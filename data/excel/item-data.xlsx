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DFCA594B-DF13-4B90-88B4-4D53E801B1A7}" xr6:coauthVersionLast="47" xr6:coauthVersionMax="47" xr10:uidLastSave="{00000000-0000-0000-0000-000000000000}"/>
  <bookViews>
    <workbookView xWindow="6630" yWindow="1335" windowWidth="26925" windowHeight="18660" activeTab="3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装備品" sheetId="4" r:id="rId5"/>
    <sheet name="付与" sheetId="1" r:id="rId6"/>
    <sheet name="ショップ" sheetId="6" r:id="rId7"/>
    <sheet name="Sheet1" sheetId="8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1" l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3" i="4"/>
  <c r="AF114" i="4"/>
  <c r="AF115" i="4"/>
  <c r="AF116" i="4"/>
  <c r="AF117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D155" i="1" l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N384" i="2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S383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CS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E65" i="4"/>
  <c r="AG65" i="4" s="1"/>
  <c r="AH65" i="4"/>
  <c r="AE66" i="4"/>
  <c r="AG66" i="4" s="1"/>
  <c r="AH66" i="4"/>
  <c r="AE67" i="4"/>
  <c r="AH67" i="4" s="1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AG67" i="4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AE4" i="4" s="1"/>
  <c r="E5" i="4"/>
  <c r="AE5" i="4" s="1"/>
  <c r="E6" i="4"/>
  <c r="AE6" i="4" s="1"/>
  <c r="AG6" i="4" s="1"/>
  <c r="E7" i="4"/>
  <c r="AE7" i="4" s="1"/>
  <c r="AG7" i="4" s="1"/>
  <c r="E8" i="4"/>
  <c r="G4" i="2" s="1"/>
  <c r="E9" i="4"/>
  <c r="AE9" i="4" s="1"/>
  <c r="AG9" i="4" s="1"/>
  <c r="E10" i="4"/>
  <c r="AE10" i="4" s="1"/>
  <c r="AE11" i="4"/>
  <c r="AG11" i="4" s="1"/>
  <c r="AE12" i="4"/>
  <c r="AG12" i="4" s="1"/>
  <c r="AE13" i="4"/>
  <c r="AG13" i="4" s="1"/>
  <c r="AE14" i="4"/>
  <c r="E15" i="4"/>
  <c r="AG15" i="4"/>
  <c r="AH15" i="4"/>
  <c r="E16" i="4"/>
  <c r="AG16" i="4"/>
  <c r="AH16" i="4"/>
  <c r="AE17" i="4"/>
  <c r="AH17" i="4" s="1"/>
  <c r="E18" i="4"/>
  <c r="AE19" i="4"/>
  <c r="AH19" i="4" s="1"/>
  <c r="E20" i="4"/>
  <c r="AE20" i="4" s="1"/>
  <c r="E21" i="4"/>
  <c r="AE21" i="4" s="1"/>
  <c r="E22" i="4"/>
  <c r="AE22" i="4" s="1"/>
  <c r="AH22" i="4" s="1"/>
  <c r="E23" i="4"/>
  <c r="E24" i="4"/>
  <c r="E25" i="4"/>
  <c r="AE25" i="4" s="1"/>
  <c r="AH25" i="4" s="1"/>
  <c r="E26" i="4"/>
  <c r="E27" i="4"/>
  <c r="E28" i="4"/>
  <c r="AE28" i="4" s="1"/>
  <c r="AH28" i="4" s="1"/>
  <c r="E29" i="4"/>
  <c r="AE29" i="4" s="1"/>
  <c r="E30" i="4"/>
  <c r="AE30" i="4" s="1"/>
  <c r="E31" i="4"/>
  <c r="E32" i="4"/>
  <c r="E33" i="4"/>
  <c r="E34" i="4"/>
  <c r="E35" i="4"/>
  <c r="AE35" i="4" s="1"/>
  <c r="E36" i="4"/>
  <c r="AE36" i="4" s="1"/>
  <c r="E37" i="4"/>
  <c r="AE37" i="4" s="1"/>
  <c r="AH37" i="4" s="1"/>
  <c r="E38" i="4"/>
  <c r="AE38" i="4" s="1"/>
  <c r="AE39" i="4"/>
  <c r="AG39" i="4" s="1"/>
  <c r="E40" i="4"/>
  <c r="E41" i="4"/>
  <c r="AE42" i="4"/>
  <c r="AG42" i="4" s="1"/>
  <c r="E43" i="4"/>
  <c r="E44" i="4"/>
  <c r="AE44" i="4" s="1"/>
  <c r="AH44" i="4" s="1"/>
  <c r="AE45" i="4"/>
  <c r="AG45" i="4" s="1"/>
  <c r="E46" i="4"/>
  <c r="AE46" i="4" s="1"/>
  <c r="AG46" i="4" s="1"/>
  <c r="E47" i="4"/>
  <c r="E48" i="4"/>
  <c r="AE48" i="4" s="1"/>
  <c r="AE49" i="4"/>
  <c r="AH49" i="4" s="1"/>
  <c r="E50" i="4"/>
  <c r="E51" i="4"/>
  <c r="AE51" i="4" s="1"/>
  <c r="E52" i="4"/>
  <c r="AE52" i="4" s="1"/>
  <c r="AE53" i="4"/>
  <c r="AH53" i="4" s="1"/>
  <c r="AE54" i="4"/>
  <c r="AH54" i="4" s="1"/>
  <c r="AE55" i="4"/>
  <c r="AG55" i="4" s="1"/>
  <c r="AE56" i="4"/>
  <c r="AH56" i="4" s="1"/>
  <c r="AG57" i="4"/>
  <c r="AH57" i="4"/>
  <c r="AE58" i="4"/>
  <c r="AH58" i="4" s="1"/>
  <c r="E59" i="4"/>
  <c r="E60" i="4"/>
  <c r="E61" i="4"/>
  <c r="E62" i="4"/>
  <c r="E63" i="4"/>
  <c r="AE63" i="4" s="1"/>
  <c r="AG63" i="4" s="1"/>
  <c r="E64" i="4"/>
  <c r="AE64" i="4" s="1"/>
  <c r="AE68" i="4"/>
  <c r="AG68" i="4" s="1"/>
  <c r="AE69" i="4"/>
  <c r="AG69" i="4" s="1"/>
  <c r="AE70" i="4"/>
  <c r="AG70" i="4" s="1"/>
  <c r="AE71" i="4"/>
  <c r="AG71" i="4" s="1"/>
  <c r="AE72" i="4"/>
  <c r="AG72" i="4" s="1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AG58" i="4" l="1"/>
  <c r="CH26" i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AE60" i="4"/>
  <c r="AG60" i="4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AE40" i="4"/>
  <c r="AG40" i="4" s="1"/>
  <c r="G55" i="2"/>
  <c r="G93" i="2"/>
  <c r="G173" i="2"/>
  <c r="G247" i="2"/>
  <c r="G18" i="2"/>
  <c r="G210" i="2"/>
  <c r="AE18" i="4"/>
  <c r="AG18" i="4" s="1"/>
  <c r="G47" i="2"/>
  <c r="G85" i="2"/>
  <c r="G165" i="2"/>
  <c r="G239" i="2"/>
  <c r="G10" i="2"/>
  <c r="G202" i="2"/>
  <c r="AH71" i="4"/>
  <c r="AE59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E50" i="4"/>
  <c r="AH50" i="4" s="1"/>
  <c r="G59" i="2"/>
  <c r="G97" i="2"/>
  <c r="G177" i="2"/>
  <c r="G251" i="2"/>
  <c r="G22" i="2"/>
  <c r="G214" i="2"/>
  <c r="AE27" i="4"/>
  <c r="AH27" i="4" s="1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AE26" i="4"/>
  <c r="AG26" i="4" s="1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E24" i="4"/>
  <c r="AH24" i="4" s="1"/>
  <c r="G49" i="2"/>
  <c r="G87" i="2"/>
  <c r="G167" i="2"/>
  <c r="G241" i="2"/>
  <c r="G12" i="2"/>
  <c r="G204" i="2"/>
  <c r="AE34" i="4"/>
  <c r="AH34" i="4" s="1"/>
  <c r="G246" i="2"/>
  <c r="G17" i="2"/>
  <c r="G209" i="2"/>
  <c r="G54" i="2"/>
  <c r="G92" i="2"/>
  <c r="G172" i="2"/>
  <c r="AE23" i="4"/>
  <c r="AG23" i="4" s="1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AE3" i="4"/>
  <c r="AG3" i="4" s="1"/>
  <c r="G232" i="2"/>
  <c r="G195" i="2"/>
  <c r="G40" i="2"/>
  <c r="G78" i="2"/>
  <c r="G158" i="2"/>
  <c r="AE33" i="4"/>
  <c r="G51" i="2"/>
  <c r="AE43" i="4"/>
  <c r="AG43" i="4" s="1"/>
  <c r="G57" i="2"/>
  <c r="G95" i="2"/>
  <c r="G175" i="2"/>
  <c r="G249" i="2"/>
  <c r="G20" i="2"/>
  <c r="G212" i="2"/>
  <c r="AE32" i="4"/>
  <c r="AG32" i="4" s="1"/>
  <c r="G53" i="2"/>
  <c r="G91" i="2"/>
  <c r="G171" i="2"/>
  <c r="G245" i="2"/>
  <c r="G16" i="2"/>
  <c r="G208" i="2"/>
  <c r="AE62" i="4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E31" i="4"/>
  <c r="AH31" i="4" s="1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AE41" i="4"/>
  <c r="AG41" i="4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G53" i="4"/>
  <c r="AH42" i="4"/>
  <c r="G3" i="2"/>
  <c r="CL3" i="2" s="1"/>
  <c r="AH12" i="4"/>
  <c r="AG54" i="4"/>
  <c r="AE8" i="4"/>
  <c r="AG44" i="4"/>
  <c r="AG17" i="4"/>
  <c r="AG56" i="4"/>
  <c r="AH36" i="4"/>
  <c r="AG36" i="4"/>
  <c r="AG10" i="4"/>
  <c r="AH10" i="4"/>
  <c r="AH33" i="4"/>
  <c r="AG33" i="4"/>
  <c r="AH52" i="4"/>
  <c r="AG52" i="4"/>
  <c r="AG5" i="4"/>
  <c r="AH5" i="4"/>
  <c r="AH30" i="4"/>
  <c r="AG30" i="4"/>
  <c r="AH21" i="4"/>
  <c r="AG21" i="4"/>
  <c r="AH14" i="4"/>
  <c r="AG14" i="4"/>
  <c r="AH55" i="4"/>
  <c r="AH39" i="4"/>
  <c r="AH11" i="4"/>
  <c r="AH69" i="4"/>
  <c r="AH7" i="4"/>
  <c r="AG49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G38" i="4"/>
  <c r="AH38" i="4"/>
  <c r="AG20" i="4"/>
  <c r="AH20" i="4"/>
  <c r="AG59" i="4"/>
  <c r="AH59" i="4"/>
  <c r="AG48" i="4"/>
  <c r="AH48" i="4"/>
  <c r="AG64" i="4"/>
  <c r="AH64" i="4"/>
  <c r="AG35" i="4"/>
  <c r="AH35" i="4"/>
  <c r="AG29" i="4"/>
  <c r="AH29" i="4"/>
  <c r="AG51" i="4"/>
  <c r="AH51" i="4"/>
  <c r="AG4" i="4"/>
  <c r="AH4" i="4"/>
  <c r="AG62" i="4"/>
  <c r="AH62" i="4"/>
  <c r="AE61" i="4"/>
  <c r="AG50" i="4"/>
  <c r="AE47" i="4"/>
  <c r="AG37" i="4"/>
  <c r="AG34" i="4"/>
  <c r="AG28" i="4"/>
  <c r="AG25" i="4"/>
  <c r="AG22" i="4"/>
  <c r="AG19" i="4"/>
  <c r="AH63" i="4"/>
  <c r="AH60" i="4"/>
  <c r="AH46" i="4"/>
  <c r="AH18" i="4"/>
  <c r="AH9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G24" i="4"/>
  <c r="AG31" i="4"/>
  <c r="AH32" i="4"/>
  <c r="AG27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G8" i="4"/>
  <c r="AG47" i="4"/>
  <c r="AH47" i="4"/>
  <c r="AG61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<sst xmlns="http://schemas.openxmlformats.org/spreadsheetml/2006/main" count="3842" uniqueCount="1557">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</sst>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BJ168" activePane="bottomRight" state="frozen"/>
      <selection pane="topRight" activeCell="G1" sqref="G1"/>
      <selection pane="bottomLeft" activeCell="A4" sqref="A4"/>
      <selection pane="bottomRight" activeCell="F3" sqref="F3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IFERROR(VLOOKUP($D3,素材!$1:$1016,COLUMN($B$1),FALSE)&amp;"・"&amp;VLOOKUP($C3,装備品!$1:$998,COLUMN(B$1),FALSE),"")</f>
        <v>アイアン・ナイフ</v>
      </c>
      <c r="C3" s="24" t="s">
        <v>241</v>
      </c>
      <c r="D3" s="24" t="s">
        <v>256</v>
      </c>
      <c r="E3" t="str">
        <f>IFERROR(VLOOKUP(C3,装備品!$1:$998,COLUMN(C$1),FALSE),"")</f>
        <v>武器</v>
      </c>
      <c r="F3">
        <f>IFERROR(ROUNDDOWN((VLOOKUP($C3,装備品!$1:$998,COLUMN(D$1),FALSE)+IFERROR(VLOOKUP($CI3,付与!$1:$1167,COLUMN(F$1),FALSE),0))*VLOOKUP($D3,素材!$1:$1016,COLUMN(D$1),FALSE),0),"")</f>
        <v>100</v>
      </c>
      <c r="G3">
        <f>IFERROR(ROUNDDOWN((VLOOKUP($C3,装備品!$1:$998,COLUMN(E$1),FALSE)+IFERROR(VLOOKUP($CI3,付与!$1:$1167,COLUMN(G$1),FALSE),0))*VLOOKUP($D3,素材!$1:$1016,COLUMN($E$1),FALSE),0),"")</f>
        <v>10</v>
      </c>
      <c r="H3">
        <f>IFERROR(ROUNDDOWN((VLOOKUP($C3,装備品!$1:$998,COLUMN(F$1),FALSE)+IFERROR(VLOOKUP($CI3,付与!$1:$1167,COLUMN(H$1),FALSE),0))*VLOOKUP($D3,素材!$1:$1016,COLUMN($E$1),FALSE),0),"")</f>
        <v>8</v>
      </c>
      <c r="I3">
        <f>IFERROR(ROUNDDOWN((VLOOKUP($C3,装備品!$1:$998,COLUMN(G$1),FALSE)+IFERROR(VLOOKUP($CI3,付与!$1:$1167,COLUMN(I$1),FALSE),0))*VLOOKUP($D3,素材!$1:$1016,COLUMN($E$1),FALSE),0),"")</f>
        <v>2</v>
      </c>
      <c r="J3">
        <f>IFERROR(ROUNDDOWN((VLOOKUP($C3,装備品!$1:$998,COLUMN(H$1),FALSE)+IFERROR(VLOOKUP($CI3,付与!$1:$1167,COLUMN(J$1),FALSE),0))*VLOOKUP($D3,素材!$1:$1016,COLUMN($E$1),FALSE),0),"")</f>
        <v>13</v>
      </c>
      <c r="K3">
        <f>IFERROR(ROUNDDOWN((VLOOKUP($C3,装備品!$1:$998,COLUMN(I$1),FALSE)+IFERROR(VLOOKUP($CI3,付与!$1:$1167,COLUMN(K$1),FALSE),0))*VLOOKUP($D3,素材!$1:$1016,COLUMN($E$1),FALSE),0),"")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IFERROR(VLOOKUP($C3,装備品!$1:$998,COLUMN(AA$1),FALSE)*VLOOKUP($D3,素材!$1:$1016,COLUMN($G$1),FALSE),"")</f>
        <v>0</v>
      </c>
      <c r="N3">
        <f>IFERROR(VLOOKUP($C3,装備品!$1:$998,COLUMN(I$1),FALSE),"")</f>
        <v>0</v>
      </c>
      <c r="O3" s="23">
        <f>IFERROR((VLOOKUP($C3,装備品!$1:$998,COLUMN(K$1),FALSE)+VLOOKUP($D3,素材!$1:$1016,COLUMN(H$1),FALSE))*100+IFERROR(VLOOKUP($CI3,付与!$1:$1167,COLUMN(O$1),FALSE),0),"")</f>
        <v>10</v>
      </c>
      <c r="P3" s="23">
        <f>IFERROR((VLOOKUP($C3,装備品!$1:$998,COLUMN(L$1),FALSE)+VLOOKUP($D3,素材!$1:$1016,COLUMN(I$1),FALSE))*100+IFERROR(VLOOKUP($CI3,付与!$1:$1167,COLUMN(P$1),FALSE),0),"")</f>
        <v>175</v>
      </c>
      <c r="Q3">
        <f>IFERROR(ROUNDUP(VLOOKUP($C3,装備品!$1:$998,COLUMN(M$1),FALSE)*(VLOOKUP($D3,素材!$1:$1002,COLUMN(D$1),FALSE)/100),1),"")</f>
        <v>0</v>
      </c>
      <c r="R3">
        <f>IFERROR(ROUNDUP(VLOOKUP($C3,装備品!$1:$998,COLUMN(N$1),FALSE)*(VLOOKUP($D3,素材!$1:$1002,COLUMN(D$1),FALSE)/100),1),"")</f>
        <v>0</v>
      </c>
      <c r="S3">
        <f>IFERROR(VLOOKUP($C3,装備品!$1:$998,COLUMN(P$1),FALSE),"")</f>
        <v>0</v>
      </c>
      <c r="T3">
        <f>IFERROR(VLOOKUP($C3,装備品!$1:$998,COLUMN(Q$1),FALSE),"")</f>
        <v>0</v>
      </c>
      <c r="U3">
        <f>IFERROR(VLOOKUP($C3,装備品!$1:$998,COLUMN(R$1),FALSE),"")</f>
        <v>0</v>
      </c>
      <c r="V3">
        <f>IFERROR(VLOOKUP($C3,装備品!$1:$998,COLUMN(Q$1),FALSE),"")</f>
        <v>0</v>
      </c>
      <c r="W3">
        <f>IFERROR(VLOOKUP($C3,装備品!$1:$998,COLUMN(T$1),FALSE),"")</f>
        <v>0</v>
      </c>
      <c r="Y3">
        <f>IFERROR(VLOOKUP($C3,装備品!$1:$998,COLUMN(U$1),FALSE),"")</f>
        <v>0</v>
      </c>
      <c r="Z3">
        <f>IFERROR(ROUNDUP(VLOOKUP($C3,装備品!$1:$998,COLUMN(O$1),FALSE)*VLOOKUP($D3,素材!$1:$1016,COLUMN(E$1),FALSE),1),"")</f>
        <v>0</v>
      </c>
      <c r="AA3">
        <f>IF(ISNUMBER(SEARCH(SUBSTITUTE(AA$1,RIGHT(AA$1,2),""),VLOOKUP($D3,素材!$1:$1016,COLUMN($F$1),FALSE))),VLOOKUP($C3,装備品!$1:$998,COLUMN($O$1),FALSE)*VLOOKUP($D3,素材!$1:$1016,COLUMN($E$1),FALSE)/(LEN(VLOOKUP($D3,素材!$1:$1016,COLUMN($F$1),FALSE))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20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IFERROR(VLOOKUP($C3,装備品!$1:$998,COLUMN(V$1),FALSE)*VLOOKUP($D3,素材!$1:$1016,COLUMN(N$1),FALSE)+IF(CI3="",0,VLOOKUP($CI3,付与!$1:$1176,COLUMN($CK$1),FALSE)),"")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IFERROR(VLOOKUP($D4,素材!$1:$1016,COLUMN($B$1),FALSE)&amp;"・"&amp;VLOOKUP($C4,装備品!$1:$998,COLUMN(B$1),FALSE),"")</f>
        <v>アイアン・カタナ</v>
      </c>
      <c r="C4" s="24" t="s">
        <v>240</v>
      </c>
      <c r="D4" s="24" t="s">
        <v>256</v>
      </c>
      <c r="E4" t="str">
        <f>IFERROR(VLOOKUP(C4,装備品!$1:$998,COLUMN(C$1),FALSE),"")</f>
        <v>武器</v>
      </c>
      <c r="F4">
        <f>IFERROR(ROUNDDOWN((VLOOKUP($C4,装備品!$1:$998,COLUMN(D$1),FALSE)+IFERROR(VLOOKUP($CI4,付与!$1:$1167,COLUMN(F$1),FALSE),0))*VLOOKUP($D4,素材!$1:$1016,COLUMN(D$1),FALSE),0),"")</f>
        <v>105</v>
      </c>
      <c r="G4">
        <f>IFERROR(ROUNDDOWN((VLOOKUP($C4,装備品!$1:$998,COLUMN(E$1),FALSE)+IFERROR(VLOOKUP($CI4,付与!$1:$1167,COLUMN(G$1),FALSE),0))*VLOOKUP($D4,素材!$1:$1016,COLUMN($E$1),FALSE),0),"")</f>
        <v>14</v>
      </c>
      <c r="H4">
        <f>IFERROR(ROUNDDOWN((VLOOKUP($C4,装備品!$1:$998,COLUMN(F$1),FALSE)+IFERROR(VLOOKUP($CI4,付与!$1:$1167,COLUMN(H$1),FALSE),0))*VLOOKUP($D4,素材!$1:$1016,COLUMN($E$1),FALSE),0),"")</f>
        <v>8</v>
      </c>
      <c r="I4">
        <f>IFERROR(ROUNDDOWN((VLOOKUP($C4,装備品!$1:$998,COLUMN(G$1),FALSE)+IFERROR(VLOOKUP($CI4,付与!$1:$1167,COLUMN(I$1),FALSE),0))*VLOOKUP($D4,素材!$1:$1016,COLUMN($E$1),FALSE),0),"")</f>
        <v>2</v>
      </c>
      <c r="J4">
        <f>IFERROR(ROUNDDOWN((VLOOKUP($C4,装備品!$1:$998,COLUMN(H$1),FALSE)+IFERROR(VLOOKUP($CI4,付与!$1:$1167,COLUMN(J$1),FALSE),0))*VLOOKUP($D4,素材!$1:$1016,COLUMN($E$1),FALSE),0),"")</f>
        <v>17</v>
      </c>
      <c r="K4">
        <f>IFERROR(ROUNDDOWN((VLOOKUP($C4,装備品!$1:$998,COLUMN(I$1),FALSE)+IFERROR(VLOOKUP($CI4,付与!$1:$1167,COLUMN(K$1),FALSE),0))*VLOOKUP($D4,素材!$1:$1016,COLUMN($E$1),FALSE),0),"")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IFERROR(VLOOKUP($C4,装備品!$1:$998,COLUMN(AA$1),FALSE)*VLOOKUP($D4,素材!$1:$1016,COLUMN($G$1),FALSE),"")</f>
        <v>0</v>
      </c>
      <c r="N4">
        <f>IFERROR(VLOOKUP($C4,装備品!$1:$998,COLUMN(I$1),FALSE),"")</f>
        <v>0</v>
      </c>
      <c r="O4" s="23">
        <f>IFERROR((VLOOKUP($C4,装備品!$1:$998,COLUMN(K$1),FALSE)+VLOOKUP($D4,素材!$1:$1016,COLUMN(H$1),FALSE))*100+IFERROR(VLOOKUP($CI4,付与!$1:$1167,COLUMN(O$1),FALSE),0),"")</f>
        <v>10</v>
      </c>
      <c r="P4" s="23">
        <f>IFERROR((VLOOKUP($C4,装備品!$1:$998,COLUMN(L$1),FALSE)+VLOOKUP($D4,素材!$1:$1016,COLUMN(I$1),FALSE))*100+IFERROR(VLOOKUP($CI4,付与!$1:$1167,COLUMN(P$1),FALSE),0),"")</f>
        <v>175</v>
      </c>
      <c r="Q4">
        <f>IFERROR(ROUNDUP(VLOOKUP($C4,装備品!$1:$998,COLUMN(M$1),FALSE)*(VLOOKUP($D4,素材!$1:$1002,COLUMN(D$1),FALSE)/100),1),"")</f>
        <v>0</v>
      </c>
      <c r="R4">
        <f>IFERROR(ROUNDUP(VLOOKUP($C4,装備品!$1:$998,COLUMN(N$1),FALSE)*(VLOOKUP($D4,素材!$1:$1002,COLUMN(D$1),FALSE)/100),1),"")</f>
        <v>0</v>
      </c>
      <c r="S4">
        <f>IFERROR(VLOOKUP($C4,装備品!$1:$998,COLUMN(P$1),FALSE),"")</f>
        <v>0</v>
      </c>
      <c r="T4">
        <f>IFERROR(VLOOKUP($C4,装備品!$1:$998,COLUMN(Q$1),FALSE),"")</f>
        <v>0</v>
      </c>
      <c r="U4">
        <f>IFERROR(VLOOKUP($C4,装備品!$1:$998,COLUMN(R$1),FALSE),"")</f>
        <v>0</v>
      </c>
      <c r="V4">
        <f>IFERROR(VLOOKUP($C4,装備品!$1:$998,COLUMN(Q$1),FALSE),"")</f>
        <v>0</v>
      </c>
      <c r="W4">
        <f>IFERROR(VLOOKUP($C4,装備品!$1:$998,COLUMN(T$1),FALSE),"")</f>
        <v>0</v>
      </c>
      <c r="Y4">
        <f>IFERROR(VLOOKUP($C4,装備品!$1:$998,COLUMN(U$1),FALSE),"")</f>
        <v>0</v>
      </c>
      <c r="Z4">
        <f>IFERROR(ROUNDUP(VLOOKUP($C4,装備品!$1:$998,COLUMN(O$1),FALSE)*VLOOKUP($D4,素材!$1:$1016,COLUMN(E$1),FALSE),1),"")</f>
        <v>0</v>
      </c>
      <c r="AA4">
        <f>IF(ISNUMBER(SEARCH(SUBSTITUTE(AA$1,RIGHT(AA$1,2),""),VLOOKUP($D4,素材!$1:$1016,COLUMN($F$1),FALSE))),VLOOKUP($C4,装備品!$1:$998,COLUMN($O$1),FALSE)*VLOOKUP($D4,素材!$1:$1016,COLUMN($E$1),FALSE)/(LEN(VLOOKUP($D4,素材!$1:$1016,COLUMN($F$1),FALSE))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24</v>
      </c>
      <c r="CM4" s="22" t="str">
        <f t="shared" si="2"/>
        <v>切断.webp</v>
      </c>
      <c r="CN4">
        <f>IFERROR(VLOOKUP($C4,装備品!$1:$998,COLUMN(V$1),FALSE)*VLOOKUP($D4,素材!$1:$1016,COLUMN(N$1),FALSE)+IF(CI4="",0,VLOOKUP($CI4,付与!$1:$1176,COLUMN($CK$1),FALSE)),"")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IFERROR(VLOOKUP($D5,素材!$1:$1016,COLUMN($B$1),FALSE)&amp;"・"&amp;VLOOKUP($C5,装備品!$1:$998,COLUMN(B$1),FALSE),"")</f>
        <v>アイアン・ソード</v>
      </c>
      <c r="C5" s="24" t="s">
        <v>239</v>
      </c>
      <c r="D5" s="24" t="s">
        <v>256</v>
      </c>
      <c r="E5" t="str">
        <f>IFERROR(VLOOKUP(C5,装備品!$1:$998,COLUMN(C$1),FALSE),"")</f>
        <v>武器</v>
      </c>
      <c r="F5">
        <f>IFERROR(ROUNDDOWN((VLOOKUP($C5,装備品!$1:$998,COLUMN(D$1),FALSE)+IFERROR(VLOOKUP($CI5,付与!$1:$1167,COLUMN(F$1),FALSE),0))*VLOOKUP($D5,素材!$1:$1016,COLUMN(D$1),FALSE),0),"")</f>
        <v>100</v>
      </c>
      <c r="G5">
        <f>IFERROR(ROUNDDOWN((VLOOKUP($C5,装備品!$1:$998,COLUMN(E$1),FALSE)+IFERROR(VLOOKUP($CI5,付与!$1:$1167,COLUMN(G$1),FALSE),0))*VLOOKUP($D5,素材!$1:$1016,COLUMN($E$1),FALSE),0),"")</f>
        <v>12</v>
      </c>
      <c r="H5">
        <f>IFERROR(ROUNDDOWN((VLOOKUP($C5,装備品!$1:$998,COLUMN(F$1),FALSE)+IFERROR(VLOOKUP($CI5,付与!$1:$1167,COLUMN(H$1),FALSE),0))*VLOOKUP($D5,素材!$1:$1016,COLUMN($E$1),FALSE),0),"")</f>
        <v>9</v>
      </c>
      <c r="I5">
        <f>IFERROR(ROUNDDOWN((VLOOKUP($C5,装備品!$1:$998,COLUMN(G$1),FALSE)+IFERROR(VLOOKUP($CI5,付与!$1:$1167,COLUMN(I$1),FALSE),0))*VLOOKUP($D5,素材!$1:$1016,COLUMN($E$1),FALSE),0),"")</f>
        <v>3</v>
      </c>
      <c r="J5">
        <f>IFERROR(ROUNDDOWN((VLOOKUP($C5,装備品!$1:$998,COLUMN(H$1),FALSE)+IFERROR(VLOOKUP($CI5,付与!$1:$1167,COLUMN(J$1),FALSE),0))*VLOOKUP($D5,素材!$1:$1016,COLUMN($E$1),FALSE),0),"")</f>
        <v>19</v>
      </c>
      <c r="K5">
        <f>IFERROR(ROUNDDOWN((VLOOKUP($C5,装備品!$1:$998,COLUMN(I$1),FALSE)+IFERROR(VLOOKUP($CI5,付与!$1:$1167,COLUMN(K$1),FALSE),0))*VLOOKUP($D5,素材!$1:$1016,COLUMN($E$1),FALSE),0),"")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IFERROR(VLOOKUP($C5,装備品!$1:$998,COLUMN(AA$1),FALSE)*VLOOKUP($D5,素材!$1:$1016,COLUMN($G$1),FALSE),"")</f>
        <v>0</v>
      </c>
      <c r="N5">
        <f>IFERROR(VLOOKUP($C5,装備品!$1:$998,COLUMN(I$1),FALSE),"")</f>
        <v>0</v>
      </c>
      <c r="O5" s="23">
        <f>IFERROR((VLOOKUP($C5,装備品!$1:$998,COLUMN(K$1),FALSE)+VLOOKUP($D5,素材!$1:$1016,COLUMN(H$1),FALSE))*100+IFERROR(VLOOKUP($CI5,付与!$1:$1167,COLUMN(O$1),FALSE),0),"")</f>
        <v>10</v>
      </c>
      <c r="P5" s="23">
        <f>IFERROR((VLOOKUP($C5,装備品!$1:$998,COLUMN(L$1),FALSE)+VLOOKUP($D5,素材!$1:$1016,COLUMN(I$1),FALSE))*100+IFERROR(VLOOKUP($CI5,付与!$1:$1167,COLUMN(P$1),FALSE),0),"")</f>
        <v>150</v>
      </c>
      <c r="Q5">
        <f>IFERROR(ROUNDUP(VLOOKUP($C5,装備品!$1:$998,COLUMN(M$1),FALSE)*(VLOOKUP($D5,素材!$1:$1002,COLUMN(D$1),FALSE)/100),1),"")</f>
        <v>0</v>
      </c>
      <c r="R5">
        <f>IFERROR(ROUNDUP(VLOOKUP($C5,装備品!$1:$998,COLUMN(N$1),FALSE)*(VLOOKUP($D5,素材!$1:$1002,COLUMN(D$1),FALSE)/100),1),"")</f>
        <v>0</v>
      </c>
      <c r="S5">
        <f>IFERROR(VLOOKUP($C5,装備品!$1:$998,COLUMN(P$1),FALSE),"")</f>
        <v>0</v>
      </c>
      <c r="T5">
        <f>IFERROR(VLOOKUP($C5,装備品!$1:$998,COLUMN(Q$1),FALSE),"")</f>
        <v>0</v>
      </c>
      <c r="U5">
        <f>IFERROR(VLOOKUP($C5,装備品!$1:$998,COLUMN(R$1),FALSE),"")</f>
        <v>0</v>
      </c>
      <c r="V5">
        <f>IFERROR(VLOOKUP($C5,装備品!$1:$998,COLUMN(Q$1),FALSE),"")</f>
        <v>0</v>
      </c>
      <c r="W5">
        <f>IFERROR(VLOOKUP($C5,装備品!$1:$998,COLUMN(T$1),FALSE),"")</f>
        <v>0</v>
      </c>
      <c r="Y5">
        <f>IFERROR(VLOOKUP($C5,装備品!$1:$998,COLUMN(U$1),FALSE),"")</f>
        <v>0</v>
      </c>
      <c r="Z5">
        <f>IFERROR(ROUNDUP(VLOOKUP($C5,装備品!$1:$998,COLUMN(O$1),FALSE)*VLOOKUP($D5,素材!$1:$1016,COLUMN(E$1),FALSE),1),"")</f>
        <v>0</v>
      </c>
      <c r="AA5">
        <f>IF(ISNUMBER(SEARCH(SUBSTITUTE(AA$1,RIGHT(AA$1,2),""),VLOOKUP($D5,素材!$1:$1016,COLUMN($F$1),FALSE))),VLOOKUP($C5,装備品!$1:$998,COLUMN($O$1),FALSE)*VLOOKUP($D5,素材!$1:$1016,COLUMN($E$1),FALSE)/(LEN(VLOOKUP($D5,素材!$1:$1016,COLUMN($F$1),FALSE))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24</v>
      </c>
      <c r="CM5" s="22" t="str">
        <f t="shared" si="2"/>
        <v>切断.webp</v>
      </c>
      <c r="CN5">
        <f>IFERROR(VLOOKUP($C5,装備品!$1:$998,COLUMN(V$1),FALSE)*VLOOKUP($D5,素材!$1:$1016,COLUMN(N$1),FALSE)+IF(CI5="",0,VLOOKUP($CI5,付与!$1:$1176,COLUMN($CK$1),FALSE)),"")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IFERROR(VLOOKUP($D6,素材!$1:$1016,COLUMN($B$1),FALSE)&amp;"・"&amp;VLOOKUP($C6,装備品!$1:$998,COLUMN(B$1),FALSE),"")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IFERROR(VLOOKUP(C6,装備品!$1:$998,COLUMN(C$1),FALSE),"")</f>
        <v>武器</v>
      </c>
      <c r="F6">
        <f>IFERROR(ROUNDDOWN((VLOOKUP($C6,装備品!$1:$998,COLUMN(D$1),FALSE)+IFERROR(VLOOKUP($CI6,付与!$1:$1167,COLUMN(F$1),FALSE),0))*VLOOKUP($D6,素材!$1:$1016,COLUMN(D$1),FALSE),0),"")</f>
        <v>110</v>
      </c>
      <c r="G6">
        <f>IFERROR(ROUNDDOWN((VLOOKUP($C6,装備品!$1:$998,COLUMN(E$1),FALSE)+IFERROR(VLOOKUP($CI6,付与!$1:$1167,COLUMN(G$1),FALSE),0))*VLOOKUP($D6,素材!$1:$1016,COLUMN($E$1),FALSE),0),"")</f>
        <v>12</v>
      </c>
      <c r="H6">
        <f>IFERROR(ROUNDDOWN((VLOOKUP($C6,装備品!$1:$998,COLUMN(F$1),FALSE)+IFERROR(VLOOKUP($CI6,付与!$1:$1167,COLUMN(H$1),FALSE),0))*VLOOKUP($D6,素材!$1:$1016,COLUMN($E$1),FALSE),0),"")</f>
        <v>8</v>
      </c>
      <c r="I6">
        <f>IFERROR(ROUNDDOWN((VLOOKUP($C6,装備品!$1:$998,COLUMN(G$1),FALSE)+IFERROR(VLOOKUP($CI6,付与!$1:$1167,COLUMN(I$1),FALSE),0))*VLOOKUP($D6,素材!$1:$1016,COLUMN($E$1),FALSE),0),"")</f>
        <v>3</v>
      </c>
      <c r="J6">
        <f>IFERROR(ROUNDDOWN((VLOOKUP($C6,装備品!$1:$998,COLUMN(H$1),FALSE)+IFERROR(VLOOKUP($CI6,付与!$1:$1167,COLUMN(J$1),FALSE),0))*VLOOKUP($D6,素材!$1:$1016,COLUMN($E$1),FALSE),0),"")</f>
        <v>23</v>
      </c>
      <c r="K6">
        <f>IFERROR(ROUNDDOWN((VLOOKUP($C6,装備品!$1:$998,COLUMN(I$1),FALSE)+IFERROR(VLOOKUP($CI6,付与!$1:$1167,COLUMN(K$1),FALSE),0))*VLOOKUP($D6,素材!$1:$1016,COLUMN($E$1),FALSE),0),"")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IFERROR(VLOOKUP($C6,装備品!$1:$998,COLUMN(AA$1),FALSE)*VLOOKUP($D6,素材!$1:$1016,COLUMN($G$1),FALSE),"")</f>
        <v>0</v>
      </c>
      <c r="N6">
        <f>IFERROR(VLOOKUP($C6,装備品!$1:$998,COLUMN(I$1),FALSE),"")</f>
        <v>0</v>
      </c>
      <c r="O6" s="23">
        <f>IFERROR((VLOOKUP($C6,装備品!$1:$998,COLUMN(K$1),FALSE)+VLOOKUP($D6,素材!$1:$1016,COLUMN(H$1),FALSE))*100+IFERROR(VLOOKUP($CI6,付与!$1:$1167,COLUMN(O$1),FALSE),0),"")</f>
        <v>10</v>
      </c>
      <c r="P6" s="23">
        <f>IFERROR((VLOOKUP($C6,装備品!$1:$998,COLUMN(L$1),FALSE)+VLOOKUP($D6,素材!$1:$1016,COLUMN(I$1),FALSE))*100+IFERROR(VLOOKUP($CI6,付与!$1:$1167,COLUMN(P$1),FALSE),0),"")</f>
        <v>150</v>
      </c>
      <c r="Q6">
        <f>IFERROR(ROUNDUP(VLOOKUP($C6,装備品!$1:$998,COLUMN(M$1),FALSE)*(VLOOKUP($D6,素材!$1:$1002,COLUMN(D$1),FALSE)/100),1),"")</f>
        <v>-2.5</v>
      </c>
      <c r="R6">
        <f>IFERROR(ROUNDUP(VLOOKUP($C6,装備品!$1:$998,COLUMN(N$1),FALSE)*(VLOOKUP($D6,素材!$1:$1002,COLUMN(D$1),FALSE)/100),1),"")</f>
        <v>-2.5</v>
      </c>
      <c r="S6">
        <f>IFERROR(VLOOKUP($C6,装備品!$1:$998,COLUMN(P$1),FALSE),"")</f>
        <v>0</v>
      </c>
      <c r="T6">
        <f>IFERROR(VLOOKUP($C6,装備品!$1:$998,COLUMN(Q$1),FALSE),"")</f>
        <v>0</v>
      </c>
      <c r="U6">
        <f>IFERROR(VLOOKUP($C6,装備品!$1:$998,COLUMN(R$1),FALSE),"")</f>
        <v>0</v>
      </c>
      <c r="V6">
        <f>IFERROR(VLOOKUP($C6,装備品!$1:$998,COLUMN(Q$1),FALSE),"")</f>
        <v>0</v>
      </c>
      <c r="W6">
        <f>IFERROR(VLOOKUP($C6,装備品!$1:$998,COLUMN(T$1),FALSE),"")</f>
        <v>0</v>
      </c>
      <c r="Y6">
        <f>IFERROR(VLOOKUP($C6,装備品!$1:$998,COLUMN(U$1),FALSE),"")</f>
        <v>0</v>
      </c>
      <c r="Z6">
        <f>IFERROR(ROUNDUP(VLOOKUP($C6,装備品!$1:$998,COLUMN(O$1),FALSE)*VLOOKUP($D6,素材!$1:$1016,COLUMN(E$1),FALSE),1),"")</f>
        <v>0</v>
      </c>
      <c r="AA6">
        <f>IF(ISNUMBER(SEARCH(SUBSTITUTE(AA$1,RIGHT(AA$1,2),""),VLOOKUP($D6,素材!$1:$1016,COLUMN($F$1),FALSE))),VLOOKUP($C6,装備品!$1:$998,COLUMN($O$1),FALSE)*VLOOKUP($D6,素材!$1:$1016,COLUMN($E$1),FALSE)/(LEN(VLOOKUP($D6,素材!$1:$1016,COLUMN($F$1),FALSE))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23</v>
      </c>
      <c r="CM6" s="22" t="str">
        <f t="shared" si="2"/>
        <v>切断.webp</v>
      </c>
      <c r="CN6">
        <f>IFERROR(VLOOKUP($C6,装備品!$1:$998,COLUMN(V$1),FALSE)*VLOOKUP($D6,素材!$1:$1016,COLUMN(N$1),FALSE)+IF(CI6="",0,VLOOKUP($CI6,付与!$1:$1176,COLUMN($CK$1),FALSE)),"")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IFERROR(VLOOKUP($D7,素材!$1:$1016,COLUMN($B$1),FALSE)&amp;"・"&amp;VLOOKUP($C7,装備品!$1:$998,COLUMN(B$1),FALSE),"")</f>
        <v>アイアン・ロングソード</v>
      </c>
      <c r="C7" s="24" t="s">
        <v>237</v>
      </c>
      <c r="D7" s="24" t="s">
        <v>256</v>
      </c>
      <c r="E7" t="str">
        <f>IFERROR(VLOOKUP(C7,装備品!$1:$998,COLUMN(C$1),FALSE),"")</f>
        <v>武器</v>
      </c>
      <c r="F7">
        <f>IFERROR(ROUNDDOWN((VLOOKUP($C7,装備品!$1:$998,COLUMN(D$1),FALSE)+IFERROR(VLOOKUP($CI7,付与!$1:$1167,COLUMN(F$1),FALSE),0))*VLOOKUP($D7,素材!$1:$1016,COLUMN(D$1),FALSE),0),"")</f>
        <v>115</v>
      </c>
      <c r="G7">
        <f>IFERROR(ROUNDDOWN((VLOOKUP($C7,装備品!$1:$998,COLUMN(E$1),FALSE)+IFERROR(VLOOKUP($CI7,付与!$1:$1167,COLUMN(G$1),FALSE),0))*VLOOKUP($D7,素材!$1:$1016,COLUMN($E$1),FALSE),0),"")</f>
        <v>15</v>
      </c>
      <c r="H7">
        <f>IFERROR(ROUNDDOWN((VLOOKUP($C7,装備品!$1:$998,COLUMN(F$1),FALSE)+IFERROR(VLOOKUP($CI7,付与!$1:$1167,COLUMN(H$1),FALSE),0))*VLOOKUP($D7,素材!$1:$1016,COLUMN($E$1),FALSE),0),"")</f>
        <v>9</v>
      </c>
      <c r="I7">
        <f>IFERROR(ROUNDDOWN((VLOOKUP($C7,装備品!$1:$998,COLUMN(G$1),FALSE)+IFERROR(VLOOKUP($CI7,付与!$1:$1167,COLUMN(I$1),FALSE),0))*VLOOKUP($D7,素材!$1:$1016,COLUMN($E$1),FALSE),0),"")</f>
        <v>3</v>
      </c>
      <c r="J7">
        <f>IFERROR(ROUNDDOWN((VLOOKUP($C7,装備品!$1:$998,COLUMN(H$1),FALSE)+IFERROR(VLOOKUP($CI7,付与!$1:$1167,COLUMN(J$1),FALSE),0))*VLOOKUP($D7,素材!$1:$1016,COLUMN($E$1),FALSE),0),"")</f>
        <v>20</v>
      </c>
      <c r="K7">
        <f>IFERROR(ROUNDDOWN((VLOOKUP($C7,装備品!$1:$998,COLUMN(I$1),FALSE)+IFERROR(VLOOKUP($CI7,付与!$1:$1167,COLUMN(K$1),FALSE),0))*VLOOKUP($D7,素材!$1:$1016,COLUMN($E$1),FALSE),0),"")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IFERROR(VLOOKUP($C7,装備品!$1:$998,COLUMN(AA$1),FALSE)*VLOOKUP($D7,素材!$1:$1016,COLUMN($G$1),FALSE),"")</f>
        <v>0</v>
      </c>
      <c r="N7">
        <f>IFERROR(VLOOKUP($C7,装備品!$1:$998,COLUMN(I$1),FALSE),"")</f>
        <v>0</v>
      </c>
      <c r="O7" s="23">
        <f>IFERROR((VLOOKUP($C7,装備品!$1:$998,COLUMN(K$1),FALSE)+VLOOKUP($D7,素材!$1:$1016,COLUMN(H$1),FALSE))*100+IFERROR(VLOOKUP($CI7,付与!$1:$1167,COLUMN(O$1),FALSE),0),"")</f>
        <v>10</v>
      </c>
      <c r="P7" s="23">
        <f>IFERROR((VLOOKUP($C7,装備品!$1:$998,COLUMN(L$1),FALSE)+VLOOKUP($D7,素材!$1:$1016,COLUMN(I$1),FALSE))*100+IFERROR(VLOOKUP($CI7,付与!$1:$1167,COLUMN(P$1),FALSE),0),"")</f>
        <v>150</v>
      </c>
      <c r="Q7">
        <f>IFERROR(ROUNDUP(VLOOKUP($C7,装備品!$1:$998,COLUMN(M$1),FALSE)*(VLOOKUP($D7,素材!$1:$1002,COLUMN(D$1),FALSE)/100),1),"")</f>
        <v>-2.5</v>
      </c>
      <c r="R7">
        <f>IFERROR(ROUNDUP(VLOOKUP($C7,装備品!$1:$998,COLUMN(N$1),FALSE)*(VLOOKUP($D7,素材!$1:$1002,COLUMN(D$1),FALSE)/100),1),"")</f>
        <v>-2.5</v>
      </c>
      <c r="S7">
        <f>IFERROR(VLOOKUP($C7,装備品!$1:$998,COLUMN(P$1),FALSE),"")</f>
        <v>0</v>
      </c>
      <c r="T7">
        <f>IFERROR(VLOOKUP($C7,装備品!$1:$998,COLUMN(Q$1),FALSE),"")</f>
        <v>0</v>
      </c>
      <c r="U7">
        <f>IFERROR(VLOOKUP($C7,装備品!$1:$998,COLUMN(R$1),FALSE),"")</f>
        <v>0</v>
      </c>
      <c r="V7">
        <f>IFERROR(VLOOKUP($C7,装備品!$1:$998,COLUMN(Q$1),FALSE),"")</f>
        <v>0</v>
      </c>
      <c r="W7">
        <f>IFERROR(VLOOKUP($C7,装備品!$1:$998,COLUMN(T$1),FALSE),"")</f>
        <v>0</v>
      </c>
      <c r="Y7">
        <f>IFERROR(VLOOKUP($C7,装備品!$1:$998,COLUMN(U$1),FALSE),"")</f>
        <v>0</v>
      </c>
      <c r="Z7">
        <f>IFERROR(ROUNDUP(VLOOKUP($C7,装備品!$1:$998,COLUMN(O$1),FALSE)*VLOOKUP($D7,素材!$1:$1016,COLUMN(E$1),FALSE),1),"")</f>
        <v>0</v>
      </c>
      <c r="AA7">
        <f>IF(ISNUMBER(SEARCH(SUBSTITUTE(AA$1,RIGHT(AA$1,2),""),VLOOKUP($D7,素材!$1:$1016,COLUMN($F$1),FALSE))),VLOOKUP($C7,装備品!$1:$998,COLUMN($O$1),FALSE)*VLOOKUP($D7,素材!$1:$1016,COLUMN($E$1),FALSE)/(LEN(VLOOKUP($D7,素材!$1:$1016,COLUMN($F$1),FALSE))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27</v>
      </c>
      <c r="CM7" s="22" t="str">
        <f t="shared" si="2"/>
        <v>切断.webp</v>
      </c>
      <c r="CN7">
        <f>IFERROR(VLOOKUP($C7,装備品!$1:$998,COLUMN(V$1),FALSE)*VLOOKUP($D7,素材!$1:$1016,COLUMN(N$1),FALSE)+IF(CI7="",0,VLOOKUP($CI7,付与!$1:$1176,COLUMN($CK$1),FALSE)),"")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IFERROR(VLOOKUP($D8,素材!$1:$1016,COLUMN($B$1),FALSE)&amp;"・"&amp;VLOOKUP($C8,装備品!$1:$998,COLUMN(B$1),FALSE),"")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IFERROR(VLOOKUP(C8,装備品!$1:$998,COLUMN(C$1),FALSE),"")</f>
        <v>武器</v>
      </c>
      <c r="F8">
        <f>IFERROR(ROUNDDOWN((VLOOKUP($C8,装備品!$1:$998,COLUMN(D$1),FALSE)+IFERROR(VLOOKUP($CI8,付与!$1:$1167,COLUMN(F$1),FALSE),0))*VLOOKUP($D8,素材!$1:$1016,COLUMN(D$1),FALSE),0),"")</f>
        <v>125</v>
      </c>
      <c r="G8">
        <f>IFERROR(ROUNDDOWN((VLOOKUP($C8,装備品!$1:$998,COLUMN(E$1),FALSE)+IFERROR(VLOOKUP($CI8,付与!$1:$1167,COLUMN(G$1),FALSE),0))*VLOOKUP($D8,素材!$1:$1016,COLUMN($E$1),FALSE),0),"")</f>
        <v>18</v>
      </c>
      <c r="H8">
        <f>IFERROR(ROUNDDOWN((VLOOKUP($C8,装備品!$1:$998,COLUMN(F$1),FALSE)+IFERROR(VLOOKUP($CI8,付与!$1:$1167,COLUMN(H$1),FALSE),0))*VLOOKUP($D8,素材!$1:$1016,COLUMN($E$1),FALSE),0),"")</f>
        <v>9</v>
      </c>
      <c r="I8">
        <f>IFERROR(ROUNDDOWN((VLOOKUP($C8,装備品!$1:$998,COLUMN(G$1),FALSE)+IFERROR(VLOOKUP($CI8,付与!$1:$1167,COLUMN(I$1),FALSE),0))*VLOOKUP($D8,素材!$1:$1016,COLUMN($E$1),FALSE),0),"")</f>
        <v>4</v>
      </c>
      <c r="J8">
        <f>IFERROR(ROUNDDOWN((VLOOKUP($C8,装備品!$1:$998,COLUMN(H$1),FALSE)+IFERROR(VLOOKUP($CI8,付与!$1:$1167,COLUMN(J$1),FALSE),0))*VLOOKUP($D8,素材!$1:$1016,COLUMN($E$1),FALSE),0),"")</f>
        <v>22</v>
      </c>
      <c r="K8">
        <f>IFERROR(ROUNDDOWN((VLOOKUP($C8,装備品!$1:$998,COLUMN(I$1),FALSE)+IFERROR(VLOOKUP($CI8,付与!$1:$1167,COLUMN(K$1),FALSE),0))*VLOOKUP($D8,素材!$1:$1016,COLUMN($E$1),FALSE),0),"")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IFERROR(VLOOKUP($C8,装備品!$1:$998,COLUMN(AA$1),FALSE)*VLOOKUP($D8,素材!$1:$1016,COLUMN($G$1),FALSE),"")</f>
        <v>0</v>
      </c>
      <c r="N8">
        <f>IFERROR(VLOOKUP($C8,装備品!$1:$998,COLUMN(I$1),FALSE),"")</f>
        <v>0</v>
      </c>
      <c r="O8" s="23">
        <f>IFERROR((VLOOKUP($C8,装備品!$1:$998,COLUMN(K$1),FALSE)+VLOOKUP($D8,素材!$1:$1016,COLUMN(H$1),FALSE))*100+IFERROR(VLOOKUP($CI8,付与!$1:$1167,COLUMN(O$1),FALSE),0),"")</f>
        <v>10</v>
      </c>
      <c r="P8" s="23">
        <f>IFERROR((VLOOKUP($C8,装備品!$1:$998,COLUMN(L$1),FALSE)+VLOOKUP($D8,素材!$1:$1016,COLUMN(I$1),FALSE))*100+IFERROR(VLOOKUP($CI8,付与!$1:$1167,COLUMN(P$1),FALSE),0),"")</f>
        <v>150</v>
      </c>
      <c r="Q8">
        <f>IFERROR(ROUNDUP(VLOOKUP($C8,装備品!$1:$998,COLUMN(M$1),FALSE)*(VLOOKUP($D8,素材!$1:$1002,COLUMN(D$1),FALSE)/100),1),"")</f>
        <v>-7.5</v>
      </c>
      <c r="R8">
        <f>IFERROR(ROUNDUP(VLOOKUP($C8,装備品!$1:$998,COLUMN(N$1),FALSE)*(VLOOKUP($D8,素材!$1:$1002,COLUMN(D$1),FALSE)/100),1),"")</f>
        <v>-7.5</v>
      </c>
      <c r="S8">
        <f>IFERROR(VLOOKUP($C8,装備品!$1:$998,COLUMN(P$1),FALSE),"")</f>
        <v>0</v>
      </c>
      <c r="T8">
        <f>IFERROR(VLOOKUP($C8,装備品!$1:$998,COLUMN(Q$1),FALSE),"")</f>
        <v>0</v>
      </c>
      <c r="U8">
        <f>IFERROR(VLOOKUP($C8,装備品!$1:$998,COLUMN(R$1),FALSE),"")</f>
        <v>-15</v>
      </c>
      <c r="V8">
        <f>IFERROR(VLOOKUP($C8,装備品!$1:$998,COLUMN(Q$1),FALSE),"")</f>
        <v>0</v>
      </c>
      <c r="W8">
        <f>IFERROR(VLOOKUP($C8,装備品!$1:$998,COLUMN(T$1),FALSE),"")</f>
        <v>0</v>
      </c>
      <c r="Y8">
        <f>IFERROR(VLOOKUP($C8,装備品!$1:$998,COLUMN(U$1),FALSE),"")</f>
        <v>0</v>
      </c>
      <c r="Z8">
        <f>IFERROR(ROUNDUP(VLOOKUP($C8,装備品!$1:$998,COLUMN(O$1),FALSE)*VLOOKUP($D8,素材!$1:$1016,COLUMN(E$1),FALSE),1),"")</f>
        <v>0</v>
      </c>
      <c r="AA8">
        <f>IF(ISNUMBER(SEARCH(SUBSTITUTE(AA$1,RIGHT(AA$1,2),""),VLOOKUP($D8,素材!$1:$1016,COLUMN($F$1),FALSE))),VLOOKUP($C8,装備品!$1:$998,COLUMN($O$1),FALSE)*VLOOKUP($D8,素材!$1:$1016,COLUMN($E$1),FALSE)/(LEN(VLOOKUP($D8,素材!$1:$1016,COLUMN($F$1),FALSE))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31</v>
      </c>
      <c r="CM8" s="22" t="str">
        <f t="shared" si="2"/>
        <v>切断.webp</v>
      </c>
      <c r="CN8">
        <f>IFERROR(VLOOKUP($C8,装備品!$1:$998,COLUMN(V$1),FALSE)*VLOOKUP($D8,素材!$1:$1016,COLUMN(N$1),FALSE)+IF(CI8="",0,VLOOKUP($CI8,付与!$1:$1176,COLUMN($CK$1),FALSE)),"")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IFERROR(VLOOKUP($D9,素材!$1:$1016,COLUMN($B$1),FALSE)&amp;"・"&amp;VLOOKUP($C9,装備品!$1:$998,COLUMN(B$1),FALSE),"")</f>
        <v>アイアン・レイピア</v>
      </c>
      <c r="C9" s="24" t="s">
        <v>235</v>
      </c>
      <c r="D9" s="24" t="s">
        <v>256</v>
      </c>
      <c r="E9" t="str">
        <f>IFERROR(VLOOKUP(C9,装備品!$1:$998,COLUMN(C$1),FALSE),"")</f>
        <v>武器</v>
      </c>
      <c r="F9">
        <f>IFERROR(ROUNDDOWN((VLOOKUP($C9,装備品!$1:$998,COLUMN(D$1),FALSE)+IFERROR(VLOOKUP($CI9,付与!$1:$1167,COLUMN(F$1),FALSE),0))*VLOOKUP($D9,素材!$1:$1016,COLUMN(D$1),FALSE),0),"")</f>
        <v>100</v>
      </c>
      <c r="G9">
        <f>IFERROR(ROUNDDOWN((VLOOKUP($C9,装備品!$1:$998,COLUMN(E$1),FALSE)+IFERROR(VLOOKUP($CI9,付与!$1:$1167,COLUMN(G$1),FALSE),0))*VLOOKUP($D9,素材!$1:$1016,COLUMN($E$1),FALSE),0),"")</f>
        <v>9</v>
      </c>
      <c r="H9">
        <f>IFERROR(ROUNDDOWN((VLOOKUP($C9,装備品!$1:$998,COLUMN(F$1),FALSE)+IFERROR(VLOOKUP($CI9,付与!$1:$1167,COLUMN(H$1),FALSE),0))*VLOOKUP($D9,素材!$1:$1016,COLUMN($E$1),FALSE),0),"")</f>
        <v>13</v>
      </c>
      <c r="I9">
        <f>IFERROR(ROUNDDOWN((VLOOKUP($C9,装備品!$1:$998,COLUMN(G$1),FALSE)+IFERROR(VLOOKUP($CI9,付与!$1:$1167,COLUMN(I$1),FALSE),0))*VLOOKUP($D9,素材!$1:$1016,COLUMN($E$1),FALSE),0),"")</f>
        <v>0</v>
      </c>
      <c r="J9">
        <f>IFERROR(ROUNDDOWN((VLOOKUP($C9,装備品!$1:$998,COLUMN(H$1),FALSE)+IFERROR(VLOOKUP($CI9,付与!$1:$1167,COLUMN(J$1),FALSE),0))*VLOOKUP($D9,素材!$1:$1016,COLUMN($E$1),FALSE),0),"")</f>
        <v>16</v>
      </c>
      <c r="K9">
        <f>IFERROR(ROUNDDOWN((VLOOKUP($C9,装備品!$1:$998,COLUMN(I$1),FALSE)+IFERROR(VLOOKUP($CI9,付与!$1:$1167,COLUMN(K$1),FALSE),0))*VLOOKUP($D9,素材!$1:$1016,COLUMN($E$1),FALSE),0),"")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IFERROR(VLOOKUP($C9,装備品!$1:$998,COLUMN(AA$1),FALSE)*VLOOKUP($D9,素材!$1:$1016,COLUMN($G$1),FALSE),"")</f>
        <v>0</v>
      </c>
      <c r="N9">
        <f>IFERROR(VLOOKUP($C9,装備品!$1:$998,COLUMN(I$1),FALSE),"")</f>
        <v>0</v>
      </c>
      <c r="O9" s="23">
        <f>IFERROR((VLOOKUP($C9,装備品!$1:$998,COLUMN(K$1),FALSE)+VLOOKUP($D9,素材!$1:$1016,COLUMN(H$1),FALSE))*100+IFERROR(VLOOKUP($CI9,付与!$1:$1167,COLUMN(O$1),FALSE),0),"")</f>
        <v>15</v>
      </c>
      <c r="P9" s="23">
        <f>IFERROR((VLOOKUP($C9,装備品!$1:$998,COLUMN(L$1),FALSE)+VLOOKUP($D9,素材!$1:$1016,COLUMN(I$1),FALSE))*100+IFERROR(VLOOKUP($CI9,付与!$1:$1167,COLUMN(P$1),FALSE),0),"")</f>
        <v>125</v>
      </c>
      <c r="Q9">
        <f>IFERROR(ROUNDUP(VLOOKUP($C9,装備品!$1:$998,COLUMN(M$1),FALSE)*(VLOOKUP($D9,素材!$1:$1002,COLUMN(D$1),FALSE)/100),1),"")</f>
        <v>0</v>
      </c>
      <c r="R9">
        <f>IFERROR(ROUNDUP(VLOOKUP($C9,装備品!$1:$998,COLUMN(N$1),FALSE)*(VLOOKUP($D9,素材!$1:$1002,COLUMN(D$1),FALSE)/100),1),"")</f>
        <v>0</v>
      </c>
      <c r="S9">
        <f>IFERROR(VLOOKUP($C9,装備品!$1:$998,COLUMN(P$1),FALSE),"")</f>
        <v>0</v>
      </c>
      <c r="T9">
        <f>IFERROR(VLOOKUP($C9,装備品!$1:$998,COLUMN(Q$1),FALSE),"")</f>
        <v>0</v>
      </c>
      <c r="U9">
        <f>IFERROR(VLOOKUP($C9,装備品!$1:$998,COLUMN(R$1),FALSE),"")</f>
        <v>0</v>
      </c>
      <c r="V9">
        <f>IFERROR(VLOOKUP($C9,装備品!$1:$998,COLUMN(Q$1),FALSE),"")</f>
        <v>0</v>
      </c>
      <c r="W9">
        <f>IFERROR(VLOOKUP($C9,装備品!$1:$998,COLUMN(T$1),FALSE),"")</f>
        <v>0</v>
      </c>
      <c r="Y9">
        <f>IFERROR(VLOOKUP($C9,装備品!$1:$998,COLUMN(U$1),FALSE),"")</f>
        <v>0</v>
      </c>
      <c r="Z9">
        <f>IFERROR(ROUNDUP(VLOOKUP($C9,装備品!$1:$998,COLUMN(O$1),FALSE)*VLOOKUP($D9,素材!$1:$1016,COLUMN(E$1),FALSE),1),"")</f>
        <v>0</v>
      </c>
      <c r="AA9">
        <f>IF(ISNUMBER(SEARCH(SUBSTITUTE(AA$1,RIGHT(AA$1,2),""),VLOOKUP($D9,素材!$1:$1016,COLUMN($F$1),FALSE))),VLOOKUP($C9,装備品!$1:$998,COLUMN($O$1),FALSE)*VLOOKUP($D9,素材!$1:$1016,COLUMN($E$1),FALSE)/(LEN(VLOOKUP($D9,素材!$1:$1016,COLUMN($F$1),FALSE))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22</v>
      </c>
      <c r="CM9" s="22" t="str">
        <f t="shared" si="2"/>
        <v>貫通.webp</v>
      </c>
      <c r="CN9">
        <f>IFERROR(VLOOKUP($C9,装備品!$1:$998,COLUMN(V$1),FALSE)*VLOOKUP($D9,素材!$1:$1016,COLUMN(N$1),FALSE)+IF(CI9="",0,VLOOKUP($CI9,付与!$1:$1176,COLUMN($CK$1),FALSE)),"")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IFERROR(VLOOKUP($D10,素材!$1:$1016,COLUMN($B$1),FALSE)&amp;"・"&amp;VLOOKUP($C10,装備品!$1:$998,COLUMN(B$1),FALSE),"")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IFERROR(VLOOKUP(C10,装備品!$1:$998,COLUMN(C$1),FALSE),"")</f>
        <v>武器</v>
      </c>
      <c r="F10">
        <f>IFERROR(ROUNDDOWN((VLOOKUP($C10,装備品!$1:$998,COLUMN(D$1),FALSE)+IFERROR(VLOOKUP($CI10,付与!$1:$1167,COLUMN(F$1),FALSE),0))*VLOOKUP($D10,素材!$1:$1016,COLUMN(D$1),FALSE),0),"")</f>
        <v>110</v>
      </c>
      <c r="G10">
        <f>IFERROR(ROUNDDOWN((VLOOKUP($C10,装備品!$1:$998,COLUMN(E$1),FALSE)+IFERROR(VLOOKUP($CI10,付与!$1:$1167,COLUMN(G$1),FALSE),0))*VLOOKUP($D10,素材!$1:$1016,COLUMN($E$1),FALSE),0),"")</f>
        <v>4</v>
      </c>
      <c r="H10">
        <f>IFERROR(ROUNDDOWN((VLOOKUP($C10,装備品!$1:$998,COLUMN(F$1),FALSE)+IFERROR(VLOOKUP($CI10,付与!$1:$1167,COLUMN(H$1),FALSE),0))*VLOOKUP($D10,素材!$1:$1016,COLUMN($E$1),FALSE),0),"")</f>
        <v>18</v>
      </c>
      <c r="I10">
        <f>IFERROR(ROUNDDOWN((VLOOKUP($C10,装備品!$1:$998,COLUMN(G$1),FALSE)+IFERROR(VLOOKUP($CI10,付与!$1:$1167,COLUMN(I$1),FALSE),0))*VLOOKUP($D10,素材!$1:$1016,COLUMN($E$1),FALSE),0),"")</f>
        <v>0</v>
      </c>
      <c r="J10">
        <f>IFERROR(ROUNDDOWN((VLOOKUP($C10,装備品!$1:$998,COLUMN(H$1),FALSE)+IFERROR(VLOOKUP($CI10,付与!$1:$1167,COLUMN(J$1),FALSE),0))*VLOOKUP($D10,素材!$1:$1016,COLUMN($E$1),FALSE),0),"")</f>
        <v>17</v>
      </c>
      <c r="K10">
        <f>IFERROR(ROUNDDOWN((VLOOKUP($C10,装備品!$1:$998,COLUMN(I$1),FALSE)+IFERROR(VLOOKUP($CI10,付与!$1:$1167,COLUMN(K$1),FALSE),0))*VLOOKUP($D10,素材!$1:$1016,COLUMN($E$1),FALSE),0),"")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IFERROR(VLOOKUP($C10,装備品!$1:$998,COLUMN(AA$1),FALSE)*VLOOKUP($D10,素材!$1:$1016,COLUMN($G$1),FALSE),"")</f>
        <v>0</v>
      </c>
      <c r="N10">
        <f>IFERROR(VLOOKUP($C10,装備品!$1:$998,COLUMN(I$1),FALSE),"")</f>
        <v>0</v>
      </c>
      <c r="O10" s="23">
        <f>IFERROR((VLOOKUP($C10,装備品!$1:$998,COLUMN(K$1),FALSE)+VLOOKUP($D10,素材!$1:$1016,COLUMN(H$1),FALSE))*100+IFERROR(VLOOKUP($CI10,付与!$1:$1167,COLUMN(O$1),FALSE),0),"")</f>
        <v>10</v>
      </c>
      <c r="P10" s="23">
        <f>IFERROR((VLOOKUP($C10,装備品!$1:$998,COLUMN(L$1),FALSE)+VLOOKUP($D10,素材!$1:$1016,COLUMN(I$1),FALSE))*100+IFERROR(VLOOKUP($CI10,付与!$1:$1167,COLUMN(P$1),FALSE),0),"")</f>
        <v>150</v>
      </c>
      <c r="Q10">
        <f>IFERROR(ROUNDUP(VLOOKUP($C10,装備品!$1:$998,COLUMN(M$1),FALSE)*(VLOOKUP($D10,素材!$1:$1002,COLUMN(D$1),FALSE)/100),1),"")</f>
        <v>0</v>
      </c>
      <c r="R10">
        <f>IFERROR(ROUNDUP(VLOOKUP($C10,装備品!$1:$998,COLUMN(N$1),FALSE)*(VLOOKUP($D10,素材!$1:$1002,COLUMN(D$1),FALSE)/100),1),"")</f>
        <v>0</v>
      </c>
      <c r="S10">
        <f>IFERROR(VLOOKUP($C10,装備品!$1:$998,COLUMN(P$1),FALSE),"")</f>
        <v>0</v>
      </c>
      <c r="T10">
        <f>IFERROR(VLOOKUP($C10,装備品!$1:$998,COLUMN(Q$1),FALSE),"")</f>
        <v>0</v>
      </c>
      <c r="U10">
        <f>IFERROR(VLOOKUP($C10,装備品!$1:$998,COLUMN(R$1),FALSE),"")</f>
        <v>0</v>
      </c>
      <c r="V10">
        <f>IFERROR(VLOOKUP($C10,装備品!$1:$998,COLUMN(Q$1),FALSE),"")</f>
        <v>0</v>
      </c>
      <c r="W10">
        <f>IFERROR(VLOOKUP($C10,装備品!$1:$998,COLUMN(T$1),FALSE),"")</f>
        <v>0</v>
      </c>
      <c r="Y10">
        <f>IFERROR(VLOOKUP($C10,装備品!$1:$998,COLUMN(U$1),FALSE),"")</f>
        <v>0</v>
      </c>
      <c r="Z10">
        <f>IFERROR(ROUNDUP(VLOOKUP($C10,装備品!$1:$998,COLUMN(O$1),FALSE)*VLOOKUP($D10,素材!$1:$1016,COLUMN(E$1),FALSE),1),"")</f>
        <v>0</v>
      </c>
      <c r="AA10">
        <f>IF(ISNUMBER(SEARCH(SUBSTITUTE(AA$1,RIGHT(AA$1,2),""),VLOOKUP($D10,素材!$1:$1016,COLUMN($F$1),FALSE))),VLOOKUP($C10,装備品!$1:$998,COLUMN($O$1),FALSE)*VLOOKUP($D10,素材!$1:$1016,COLUMN($E$1),FALSE)/(LEN(VLOOKUP($D10,素材!$1:$1016,COLUMN($F$1),FALSE))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22</v>
      </c>
      <c r="CM10" s="22" t="str">
        <f t="shared" si="2"/>
        <v>貫通.webp</v>
      </c>
      <c r="CN10">
        <f>IFERROR(VLOOKUP($C10,装備品!$1:$998,COLUMN(V$1),FALSE)*VLOOKUP($D10,素材!$1:$1016,COLUMN(N$1),FALSE)+IF(CI10="",0,VLOOKUP($CI10,付与!$1:$1176,COLUMN($CK$1),FALSE)),"")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IFERROR(VLOOKUP($D11,素材!$1:$1016,COLUMN($B$1),FALSE)&amp;"・"&amp;VLOOKUP($C11,装備品!$1:$998,COLUMN(B$1),FALSE),"")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IFERROR(VLOOKUP(C11,装備品!$1:$998,COLUMN(C$1),FALSE),"")</f>
        <v>武器</v>
      </c>
      <c r="F11">
        <f>IFERROR(ROUNDDOWN((VLOOKUP($C11,装備品!$1:$998,COLUMN(D$1),FALSE)+IFERROR(VLOOKUP($CI11,付与!$1:$1167,COLUMN(F$1),FALSE),0))*VLOOKUP($D11,素材!$1:$1016,COLUMN(D$1),FALSE),0),"")</f>
        <v>105</v>
      </c>
      <c r="G11">
        <f>IFERROR(ROUNDDOWN((VLOOKUP($C11,装備品!$1:$998,COLUMN(E$1),FALSE)+IFERROR(VLOOKUP($CI11,付与!$1:$1167,COLUMN(G$1),FALSE),0))*VLOOKUP($D11,素材!$1:$1016,COLUMN($E$1),FALSE),0),"")</f>
        <v>8</v>
      </c>
      <c r="H11">
        <f>IFERROR(ROUNDDOWN((VLOOKUP($C11,装備品!$1:$998,COLUMN(F$1),FALSE)+IFERROR(VLOOKUP($CI11,付与!$1:$1167,COLUMN(H$1),FALSE),0))*VLOOKUP($D11,素材!$1:$1016,COLUMN($E$1),FALSE),0),"")</f>
        <v>14</v>
      </c>
      <c r="I11">
        <f>IFERROR(ROUNDDOWN((VLOOKUP($C11,装備品!$1:$998,COLUMN(G$1),FALSE)+IFERROR(VLOOKUP($CI11,付与!$1:$1167,COLUMN(I$1),FALSE),0))*VLOOKUP($D11,素材!$1:$1016,COLUMN($E$1),FALSE),0),"")</f>
        <v>3</v>
      </c>
      <c r="J11">
        <f>IFERROR(ROUNDDOWN((VLOOKUP($C11,装備品!$1:$998,COLUMN(H$1),FALSE)+IFERROR(VLOOKUP($CI11,付与!$1:$1167,COLUMN(J$1),FALSE),0))*VLOOKUP($D11,素材!$1:$1016,COLUMN($E$1),FALSE),0),"")</f>
        <v>17</v>
      </c>
      <c r="K11">
        <f>IFERROR(ROUNDDOWN((VLOOKUP($C11,装備品!$1:$998,COLUMN(I$1),FALSE)+IFERROR(VLOOKUP($CI11,付与!$1:$1167,COLUMN(K$1),FALSE),0))*VLOOKUP($D11,素材!$1:$1016,COLUMN($E$1),FALSE),0),"")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IFERROR(VLOOKUP($C11,装備品!$1:$998,COLUMN(AA$1),FALSE)*VLOOKUP($D11,素材!$1:$1016,COLUMN($G$1),FALSE),"")</f>
        <v>0</v>
      </c>
      <c r="N11">
        <f>IFERROR(VLOOKUP($C11,装備品!$1:$998,COLUMN(I$1),FALSE),"")</f>
        <v>0</v>
      </c>
      <c r="O11" s="23">
        <f>IFERROR((VLOOKUP($C11,装備品!$1:$998,COLUMN(K$1),FALSE)+VLOOKUP($D11,素材!$1:$1016,COLUMN(H$1),FALSE))*100+IFERROR(VLOOKUP($CI11,付与!$1:$1167,COLUMN(O$1),FALSE),0),"")</f>
        <v>10</v>
      </c>
      <c r="P11" s="23">
        <f>IFERROR((VLOOKUP($C11,装備品!$1:$998,COLUMN(L$1),FALSE)+VLOOKUP($D11,素材!$1:$1016,COLUMN(I$1),FALSE))*100+IFERROR(VLOOKUP($CI11,付与!$1:$1167,COLUMN(P$1),FALSE),0),"")</f>
        <v>150</v>
      </c>
      <c r="Q11">
        <f>IFERROR(ROUNDUP(VLOOKUP($C11,装備品!$1:$998,COLUMN(M$1),FALSE)*(VLOOKUP($D11,素材!$1:$1002,COLUMN(D$1),FALSE)/100),1),"")</f>
        <v>0</v>
      </c>
      <c r="R11">
        <f>IFERROR(ROUNDUP(VLOOKUP($C11,装備品!$1:$998,COLUMN(N$1),FALSE)*(VLOOKUP($D11,素材!$1:$1002,COLUMN(D$1),FALSE)/100),1),"")</f>
        <v>0</v>
      </c>
      <c r="S11">
        <f>IFERROR(VLOOKUP($C11,装備品!$1:$998,COLUMN(P$1),FALSE),"")</f>
        <v>0</v>
      </c>
      <c r="T11">
        <f>IFERROR(VLOOKUP($C11,装備品!$1:$998,COLUMN(Q$1),FALSE),"")</f>
        <v>0</v>
      </c>
      <c r="U11">
        <f>IFERROR(VLOOKUP($C11,装備品!$1:$998,COLUMN(R$1),FALSE),"")</f>
        <v>0</v>
      </c>
      <c r="V11">
        <f>IFERROR(VLOOKUP($C11,装備品!$1:$998,COLUMN(Q$1),FALSE),"")</f>
        <v>0</v>
      </c>
      <c r="W11">
        <f>IFERROR(VLOOKUP($C11,装備品!$1:$998,COLUMN(T$1),FALSE),"")</f>
        <v>0</v>
      </c>
      <c r="Y11">
        <f>IFERROR(VLOOKUP($C11,装備品!$1:$998,COLUMN(U$1),FALSE),"")</f>
        <v>0</v>
      </c>
      <c r="Z11">
        <f>IFERROR(ROUNDUP(VLOOKUP($C11,装備品!$1:$998,COLUMN(O$1),FALSE)*VLOOKUP($D11,素材!$1:$1016,COLUMN(E$1),FALSE),1),"")</f>
        <v>0</v>
      </c>
      <c r="AA11">
        <f>IF(ISNUMBER(SEARCH(SUBSTITUTE(AA$1,RIGHT(AA$1,2),""),VLOOKUP($D11,素材!$1:$1016,COLUMN($F$1),FALSE))),VLOOKUP($C11,装備品!$1:$998,COLUMN($O$1),FALSE)*VLOOKUP($D11,素材!$1:$1016,COLUMN($E$1),FALSE)/(LEN(VLOOKUP($D11,素材!$1:$1016,COLUMN($F$1),FALSE))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25</v>
      </c>
      <c r="CM11" s="22" t="str">
        <f t="shared" si="2"/>
        <v>貫通.webp</v>
      </c>
      <c r="CN11">
        <f>IFERROR(VLOOKUP($C11,装備品!$1:$998,COLUMN(V$1),FALSE)*VLOOKUP($D11,素材!$1:$1016,COLUMN(N$1),FALSE)+IF(CI11="",0,VLOOKUP($CI11,付与!$1:$1176,COLUMN($CK$1),FALSE)),"")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IFERROR(VLOOKUP($D12,素材!$1:$1016,COLUMN($B$1),FALSE)&amp;"・"&amp;VLOOKUP($C12,装備品!$1:$998,COLUMN(B$1),FALSE),"")</f>
        <v>アイアン・スピア</v>
      </c>
      <c r="C12" s="24" t="s">
        <v>232</v>
      </c>
      <c r="D12" s="24" t="s">
        <v>256</v>
      </c>
      <c r="E12" t="str">
        <f>IFERROR(VLOOKUP(C12,装備品!$1:$998,COLUMN(C$1),FALSE),"")</f>
        <v>武器</v>
      </c>
      <c r="F12">
        <f>IFERROR(ROUNDDOWN((VLOOKUP($C12,装備品!$1:$998,COLUMN(D$1),FALSE)+IFERROR(VLOOKUP($CI12,付与!$1:$1167,COLUMN(F$1),FALSE),0))*VLOOKUP($D12,素材!$1:$1016,COLUMN(D$1),FALSE),0),"")</f>
        <v>115</v>
      </c>
      <c r="G12">
        <f>IFERROR(ROUNDDOWN((VLOOKUP($C12,装備品!$1:$998,COLUMN(E$1),FALSE)+IFERROR(VLOOKUP($CI12,付与!$1:$1167,COLUMN(G$1),FALSE),0))*VLOOKUP($D12,素材!$1:$1016,COLUMN($E$1),FALSE),0),"")</f>
        <v>8</v>
      </c>
      <c r="H12">
        <f>IFERROR(ROUNDDOWN((VLOOKUP($C12,装備品!$1:$998,COLUMN(F$1),FALSE)+IFERROR(VLOOKUP($CI12,付与!$1:$1167,COLUMN(H$1),FALSE),0))*VLOOKUP($D12,素材!$1:$1016,COLUMN($E$1),FALSE),0),"")</f>
        <v>16</v>
      </c>
      <c r="I12">
        <f>IFERROR(ROUNDDOWN((VLOOKUP($C12,装備品!$1:$998,COLUMN(G$1),FALSE)+IFERROR(VLOOKUP($CI12,付与!$1:$1167,COLUMN(I$1),FALSE),0))*VLOOKUP($D12,素材!$1:$1016,COLUMN($E$1),FALSE),0),"")</f>
        <v>3</v>
      </c>
      <c r="J12">
        <f>IFERROR(ROUNDDOWN((VLOOKUP($C12,装備品!$1:$998,COLUMN(H$1),FALSE)+IFERROR(VLOOKUP($CI12,付与!$1:$1167,COLUMN(J$1),FALSE),0))*VLOOKUP($D12,素材!$1:$1016,COLUMN($E$1),FALSE),0),"")</f>
        <v>17</v>
      </c>
      <c r="K12">
        <f>IFERROR(ROUNDDOWN((VLOOKUP($C12,装備品!$1:$998,COLUMN(I$1),FALSE)+IFERROR(VLOOKUP($CI12,付与!$1:$1167,COLUMN(K$1),FALSE),0))*VLOOKUP($D12,素材!$1:$1016,COLUMN($E$1),FALSE),0),"")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IFERROR(VLOOKUP($C12,装備品!$1:$998,COLUMN(AA$1),FALSE)*VLOOKUP($D12,素材!$1:$1016,COLUMN($G$1),FALSE),"")</f>
        <v>0</v>
      </c>
      <c r="N12">
        <f>IFERROR(VLOOKUP($C12,装備品!$1:$998,COLUMN(I$1),FALSE),"")</f>
        <v>0</v>
      </c>
      <c r="O12" s="23">
        <f>IFERROR((VLOOKUP($C12,装備品!$1:$998,COLUMN(K$1),FALSE)+VLOOKUP($D12,素材!$1:$1016,COLUMN(H$1),FALSE))*100+IFERROR(VLOOKUP($CI12,付与!$1:$1167,COLUMN(O$1),FALSE),0),"")</f>
        <v>10</v>
      </c>
      <c r="P12" s="23">
        <f>IFERROR((VLOOKUP($C12,装備品!$1:$998,COLUMN(L$1),FALSE)+VLOOKUP($D12,素材!$1:$1016,COLUMN(I$1),FALSE))*100+IFERROR(VLOOKUP($CI12,付与!$1:$1167,COLUMN(P$1),FALSE),0),"")</f>
        <v>150</v>
      </c>
      <c r="Q12">
        <f>IFERROR(ROUNDUP(VLOOKUP($C12,装備品!$1:$998,COLUMN(M$1),FALSE)*(VLOOKUP($D12,素材!$1:$1002,COLUMN(D$1),FALSE)/100),1),"")</f>
        <v>0</v>
      </c>
      <c r="R12">
        <f>IFERROR(ROUNDUP(VLOOKUP($C12,装備品!$1:$998,COLUMN(N$1),FALSE)*(VLOOKUP($D12,素材!$1:$1002,COLUMN(D$1),FALSE)/100),1),"")</f>
        <v>-5</v>
      </c>
      <c r="S12">
        <f>IFERROR(VLOOKUP($C12,装備品!$1:$998,COLUMN(P$1),FALSE),"")</f>
        <v>0</v>
      </c>
      <c r="T12">
        <f>IFERROR(VLOOKUP($C12,装備品!$1:$998,COLUMN(Q$1),FALSE),"")</f>
        <v>0</v>
      </c>
      <c r="U12">
        <f>IFERROR(VLOOKUP($C12,装備品!$1:$998,COLUMN(R$1),FALSE),"")</f>
        <v>0</v>
      </c>
      <c r="V12">
        <f>IFERROR(VLOOKUP($C12,装備品!$1:$998,COLUMN(Q$1),FALSE),"")</f>
        <v>0</v>
      </c>
      <c r="W12">
        <f>IFERROR(VLOOKUP($C12,装備品!$1:$998,COLUMN(T$1),FALSE),"")</f>
        <v>0</v>
      </c>
      <c r="Y12">
        <f>IFERROR(VLOOKUP($C12,装備品!$1:$998,COLUMN(U$1),FALSE),"")</f>
        <v>0</v>
      </c>
      <c r="Z12">
        <f>IFERROR(ROUNDUP(VLOOKUP($C12,装備品!$1:$998,COLUMN(O$1),FALSE)*VLOOKUP($D12,素材!$1:$1016,COLUMN(E$1),FALSE),1),"")</f>
        <v>0</v>
      </c>
      <c r="AA12">
        <f>IF(ISNUMBER(SEARCH(SUBSTITUTE(AA$1,RIGHT(AA$1,2),""),VLOOKUP($D12,素材!$1:$1016,COLUMN($F$1),FALSE))),VLOOKUP($C12,装備品!$1:$998,COLUMN($O$1),FALSE)*VLOOKUP($D12,素材!$1:$1016,COLUMN($E$1),FALSE)/(LEN(VLOOKUP($D12,素材!$1:$1016,COLUMN($F$1),FALSE))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27</v>
      </c>
      <c r="CM12" s="22" t="str">
        <f t="shared" si="2"/>
        <v>貫通.webp</v>
      </c>
      <c r="CN12">
        <f>IFERROR(VLOOKUP($C12,装備品!$1:$998,COLUMN(V$1),FALSE)*VLOOKUP($D12,素材!$1:$1016,COLUMN(N$1),FALSE)+IF(CI12="",0,VLOOKUP($CI12,付与!$1:$1176,COLUMN($CK$1),FALSE)),"")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IFERROR(VLOOKUP($D13,素材!$1:$1016,COLUMN($B$1),FALSE)&amp;"・"&amp;VLOOKUP($C13,装備品!$1:$998,COLUMN(B$1),FALSE),"")</f>
        <v>アイアン・ランス</v>
      </c>
      <c r="C13" s="24" t="s">
        <v>231</v>
      </c>
      <c r="D13" s="24" t="s">
        <v>256</v>
      </c>
      <c r="E13" t="str">
        <f>IFERROR(VLOOKUP(C13,装備品!$1:$998,COLUMN(C$1),FALSE),"")</f>
        <v>武器</v>
      </c>
      <c r="F13">
        <f>IFERROR(ROUNDDOWN((VLOOKUP($C13,装備品!$1:$998,COLUMN(D$1),FALSE)+IFERROR(VLOOKUP($CI13,付与!$1:$1167,COLUMN(F$1),FALSE),0))*VLOOKUP($D13,素材!$1:$1016,COLUMN(D$1),FALSE),0),"")</f>
        <v>115</v>
      </c>
      <c r="G13">
        <f>IFERROR(ROUNDDOWN((VLOOKUP($C13,装備品!$1:$998,COLUMN(E$1),FALSE)+IFERROR(VLOOKUP($CI13,付与!$1:$1167,COLUMN(G$1),FALSE),0))*VLOOKUP($D13,素材!$1:$1016,COLUMN($E$1),FALSE),0),"")</f>
        <v>0</v>
      </c>
      <c r="H13">
        <f>IFERROR(ROUNDDOWN((VLOOKUP($C13,装備品!$1:$998,COLUMN(F$1),FALSE)+IFERROR(VLOOKUP($CI13,付与!$1:$1167,COLUMN(H$1),FALSE),0))*VLOOKUP($D13,素材!$1:$1016,COLUMN($E$1),FALSE),0),"")</f>
        <v>19</v>
      </c>
      <c r="I13">
        <f>IFERROR(ROUNDDOWN((VLOOKUP($C13,装備品!$1:$998,COLUMN(G$1),FALSE)+IFERROR(VLOOKUP($CI13,付与!$1:$1167,COLUMN(I$1),FALSE),0))*VLOOKUP($D13,素材!$1:$1016,COLUMN($E$1),FALSE),0),"")</f>
        <v>9</v>
      </c>
      <c r="J13">
        <f>IFERROR(ROUNDDOWN((VLOOKUP($C13,装備品!$1:$998,COLUMN(H$1),FALSE)+IFERROR(VLOOKUP($CI13,付与!$1:$1167,COLUMN(J$1),FALSE),0))*VLOOKUP($D13,素材!$1:$1016,COLUMN($E$1),FALSE),0),"")</f>
        <v>20</v>
      </c>
      <c r="K13">
        <f>IFERROR(ROUNDDOWN((VLOOKUP($C13,装備品!$1:$998,COLUMN(I$1),FALSE)+IFERROR(VLOOKUP($CI13,付与!$1:$1167,COLUMN(K$1),FALSE),0))*VLOOKUP($D13,素材!$1:$1016,COLUMN($E$1),FALSE),0),"")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IFERROR(VLOOKUP($C13,装備品!$1:$998,COLUMN(AA$1),FALSE)*VLOOKUP($D13,素材!$1:$1016,COLUMN($G$1),FALSE),"")</f>
        <v>0</v>
      </c>
      <c r="N13">
        <f>IFERROR(VLOOKUP($C13,装備品!$1:$998,COLUMN(I$1),FALSE),"")</f>
        <v>0</v>
      </c>
      <c r="O13" s="23">
        <f>IFERROR((VLOOKUP($C13,装備品!$1:$998,COLUMN(K$1),FALSE)+VLOOKUP($D13,素材!$1:$1016,COLUMN(H$1),FALSE))*100+IFERROR(VLOOKUP($CI13,付与!$1:$1167,COLUMN(O$1),FALSE),0),"")</f>
        <v>5</v>
      </c>
      <c r="P13" s="23">
        <f>IFERROR((VLOOKUP($C13,装備品!$1:$998,COLUMN(L$1),FALSE)+VLOOKUP($D13,素材!$1:$1016,COLUMN(I$1),FALSE))*100+IFERROR(VLOOKUP($CI13,付与!$1:$1167,COLUMN(P$1),FALSE),0),"")</f>
        <v>175</v>
      </c>
      <c r="Q13">
        <f>IFERROR(ROUNDUP(VLOOKUP($C13,装備品!$1:$998,COLUMN(M$1),FALSE)*(VLOOKUP($D13,素材!$1:$1002,COLUMN(D$1),FALSE)/100),1),"")</f>
        <v>-5</v>
      </c>
      <c r="R13">
        <f>IFERROR(ROUNDUP(VLOOKUP($C13,装備品!$1:$998,COLUMN(N$1),FALSE)*(VLOOKUP($D13,素材!$1:$1002,COLUMN(D$1),FALSE)/100),1),"")</f>
        <v>-5</v>
      </c>
      <c r="S13">
        <f>IFERROR(VLOOKUP($C13,装備品!$1:$998,COLUMN(P$1),FALSE),"")</f>
        <v>0</v>
      </c>
      <c r="T13">
        <f>IFERROR(VLOOKUP($C13,装備品!$1:$998,COLUMN(Q$1),FALSE),"")</f>
        <v>0</v>
      </c>
      <c r="U13">
        <f>IFERROR(VLOOKUP($C13,装備品!$1:$998,COLUMN(R$1),FALSE),"")</f>
        <v>-15</v>
      </c>
      <c r="V13">
        <f>IFERROR(VLOOKUP($C13,装備品!$1:$998,COLUMN(Q$1),FALSE),"")</f>
        <v>0</v>
      </c>
      <c r="W13">
        <f>IFERROR(VLOOKUP($C13,装備品!$1:$998,COLUMN(T$1),FALSE),"")</f>
        <v>0</v>
      </c>
      <c r="Y13">
        <f>IFERROR(VLOOKUP($C13,装備品!$1:$998,COLUMN(U$1),FALSE),"")</f>
        <v>0</v>
      </c>
      <c r="Z13">
        <f>IFERROR(ROUNDUP(VLOOKUP($C13,装備品!$1:$998,COLUMN(O$1),FALSE)*VLOOKUP($D13,素材!$1:$1016,COLUMN(E$1),FALSE),1),"")</f>
        <v>0</v>
      </c>
      <c r="AA13">
        <f>IF(ISNUMBER(SEARCH(SUBSTITUTE(AA$1,RIGHT(AA$1,2),""),VLOOKUP($D13,素材!$1:$1016,COLUMN($F$1),FALSE))),VLOOKUP($C13,装備品!$1:$998,COLUMN($O$1),FALSE)*VLOOKUP($D13,素材!$1:$1016,COLUMN($E$1),FALSE)/(LEN(VLOOKUP($D13,素材!$1:$1016,COLUMN($F$1),FALSE))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28</v>
      </c>
      <c r="CM13" s="22" t="str">
        <f t="shared" si="2"/>
        <v>貫通.webp</v>
      </c>
      <c r="CN13">
        <f>IFERROR(VLOOKUP($C13,装備品!$1:$998,COLUMN(V$1),FALSE)*VLOOKUP($D13,素材!$1:$1016,COLUMN(N$1),FALSE)+IF(CI13="",0,VLOOKUP($CI13,付与!$1:$1176,COLUMN($CK$1),FALSE)),"")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IFERROR(VLOOKUP($D14,素材!$1:$1016,COLUMN($B$1),FALSE)&amp;"・"&amp;VLOOKUP($C14,装備品!$1:$998,COLUMN(B$1),FALSE),"")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IFERROR(VLOOKUP(C14,装備品!$1:$998,COLUMN(C$1),FALSE),"")</f>
        <v>武器</v>
      </c>
      <c r="F14">
        <f>IFERROR(ROUNDDOWN((VLOOKUP($C14,装備品!$1:$998,COLUMN(D$1),FALSE)+IFERROR(VLOOKUP($CI14,付与!$1:$1167,COLUMN(F$1),FALSE),0))*VLOOKUP($D14,素材!$1:$1016,COLUMN(D$1),FALSE),0),"")</f>
        <v>110</v>
      </c>
      <c r="G14">
        <f>IFERROR(ROUNDDOWN((VLOOKUP($C14,装備品!$1:$998,COLUMN(E$1),FALSE)+IFERROR(VLOOKUP($CI14,付与!$1:$1167,COLUMN(G$1),FALSE),0))*VLOOKUP($D14,素材!$1:$1016,COLUMN($E$1),FALSE),0),"")</f>
        <v>8</v>
      </c>
      <c r="H14">
        <f>IFERROR(ROUNDDOWN((VLOOKUP($C14,装備品!$1:$998,COLUMN(F$1),FALSE)+IFERROR(VLOOKUP($CI14,付与!$1:$1167,COLUMN(H$1),FALSE),0))*VLOOKUP($D14,素材!$1:$1016,COLUMN($E$1),FALSE),0),"")</f>
        <v>10</v>
      </c>
      <c r="I14">
        <f>IFERROR(ROUNDDOWN((VLOOKUP($C14,装備品!$1:$998,COLUMN(G$1),FALSE)+IFERROR(VLOOKUP($CI14,付与!$1:$1167,COLUMN(I$1),FALSE),0))*VLOOKUP($D14,素材!$1:$1016,COLUMN($E$1),FALSE),0),"")</f>
        <v>6</v>
      </c>
      <c r="J14">
        <f>IFERROR(ROUNDDOWN((VLOOKUP($C14,装備品!$1:$998,COLUMN(H$1),FALSE)+IFERROR(VLOOKUP($CI14,付与!$1:$1167,COLUMN(J$1),FALSE),0))*VLOOKUP($D14,素材!$1:$1016,COLUMN($E$1),FALSE),0),"")</f>
        <v>19</v>
      </c>
      <c r="K14">
        <f>IFERROR(ROUNDDOWN((VLOOKUP($C14,装備品!$1:$998,COLUMN(I$1),FALSE)+IFERROR(VLOOKUP($CI14,付与!$1:$1167,COLUMN(K$1),FALSE),0))*VLOOKUP($D14,素材!$1:$1016,COLUMN($E$1),FALSE),0),"")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IFERROR(VLOOKUP($C14,装備品!$1:$998,COLUMN(AA$1),FALSE)*VLOOKUP($D14,素材!$1:$1016,COLUMN($G$1),FALSE),"")</f>
        <v>0</v>
      </c>
      <c r="N14">
        <f>IFERROR(VLOOKUP($C14,装備品!$1:$998,COLUMN(I$1),FALSE),"")</f>
        <v>0</v>
      </c>
      <c r="O14" s="23">
        <f>IFERROR((VLOOKUP($C14,装備品!$1:$998,COLUMN(K$1),FALSE)+VLOOKUP($D14,素材!$1:$1016,COLUMN(H$1),FALSE))*100+IFERROR(VLOOKUP($CI14,付与!$1:$1167,COLUMN(O$1),FALSE),0),"")</f>
        <v>10</v>
      </c>
      <c r="P14" s="23">
        <f>IFERROR((VLOOKUP($C14,装備品!$1:$998,COLUMN(L$1),FALSE)+VLOOKUP($D14,素材!$1:$1016,COLUMN(I$1),FALSE))*100+IFERROR(VLOOKUP($CI14,付与!$1:$1167,COLUMN(P$1),FALSE),0),"")</f>
        <v>150</v>
      </c>
      <c r="Q14">
        <f>IFERROR(ROUNDUP(VLOOKUP($C14,装備品!$1:$998,COLUMN(M$1),FALSE)*(VLOOKUP($D14,素材!$1:$1002,COLUMN(D$1),FALSE)/100),1),"")</f>
        <v>-5</v>
      </c>
      <c r="R14">
        <f>IFERROR(ROUNDUP(VLOOKUP($C14,装備品!$1:$998,COLUMN(N$1),FALSE)*(VLOOKUP($D14,素材!$1:$1002,COLUMN(D$1),FALSE)/100),1),"")</f>
        <v>-5</v>
      </c>
      <c r="S14">
        <f>IFERROR(VLOOKUP($C14,装備品!$1:$998,COLUMN(P$1),FALSE),"")</f>
        <v>0</v>
      </c>
      <c r="T14">
        <f>IFERROR(VLOOKUP($C14,装備品!$1:$998,COLUMN(Q$1),FALSE),"")</f>
        <v>0</v>
      </c>
      <c r="U14">
        <f>IFERROR(VLOOKUP($C14,装備品!$1:$998,COLUMN(R$1),FALSE),"")</f>
        <v>0</v>
      </c>
      <c r="V14">
        <f>IFERROR(VLOOKUP($C14,装備品!$1:$998,COLUMN(Q$1),FALSE),"")</f>
        <v>0</v>
      </c>
      <c r="W14">
        <f>IFERROR(VLOOKUP($C14,装備品!$1:$998,COLUMN(T$1),FALSE),"")</f>
        <v>0</v>
      </c>
      <c r="Y14">
        <f>IFERROR(VLOOKUP($C14,装備品!$1:$998,COLUMN(U$1),FALSE),"")</f>
        <v>0</v>
      </c>
      <c r="Z14">
        <f>IFERROR(ROUNDUP(VLOOKUP($C14,装備品!$1:$998,COLUMN(O$1),FALSE)*VLOOKUP($D14,素材!$1:$1016,COLUMN(E$1),FALSE),1),"")</f>
        <v>0</v>
      </c>
      <c r="AA14">
        <f>IF(ISNUMBER(SEARCH(SUBSTITUTE(AA$1,RIGHT(AA$1,2),""),VLOOKUP($D14,素材!$1:$1016,COLUMN($F$1),FALSE))),VLOOKUP($C14,装備品!$1:$998,COLUMN($O$1),FALSE)*VLOOKUP($D14,素材!$1:$1016,COLUMN($E$1),FALSE)/(LEN(VLOOKUP($D14,素材!$1:$1016,COLUMN($F$1),FALSE))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24</v>
      </c>
      <c r="CM14" s="22" t="str">
        <f t="shared" si="2"/>
        <v>貫通.webp</v>
      </c>
      <c r="CN14">
        <f>IFERROR(VLOOKUP($C14,装備品!$1:$998,COLUMN(V$1),FALSE)*VLOOKUP($D14,素材!$1:$1016,COLUMN(N$1),FALSE)+IF(CI14="",0,VLOOKUP($CI14,付与!$1:$1176,COLUMN($CK$1),FALSE)),"")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IFERROR(VLOOKUP($D15,素材!$1:$1016,COLUMN($B$1),FALSE)&amp;"・"&amp;VLOOKUP($C15,装備品!$1:$998,COLUMN(B$1),FALSE),"")</f>
        <v>アイアン・クラブ</v>
      </c>
      <c r="C15" s="24" t="s">
        <v>229</v>
      </c>
      <c r="D15" s="24" t="s">
        <v>256</v>
      </c>
      <c r="E15" t="str">
        <f>IFERROR(VLOOKUP(C15,装備品!$1:$998,COLUMN(C$1),FALSE),"")</f>
        <v>武器</v>
      </c>
      <c r="F15">
        <f>IFERROR(ROUNDDOWN((VLOOKUP($C15,装備品!$1:$998,COLUMN(D$1),FALSE)+IFERROR(VLOOKUP($CI15,付与!$1:$1167,COLUMN(F$1),FALSE),0))*VLOOKUP($D15,素材!$1:$1016,COLUMN(D$1),FALSE),0),"")</f>
        <v>105</v>
      </c>
      <c r="G15">
        <f>IFERROR(ROUNDDOWN((VLOOKUP($C15,装備品!$1:$998,COLUMN(E$1),FALSE)+IFERROR(VLOOKUP($CI15,付与!$1:$1167,COLUMN(G$1),FALSE),0))*VLOOKUP($D15,素材!$1:$1016,COLUMN($E$1),FALSE),0),"")</f>
        <v>2</v>
      </c>
      <c r="H15">
        <f>IFERROR(ROUNDDOWN((VLOOKUP($C15,装備品!$1:$998,COLUMN(F$1),FALSE)+IFERROR(VLOOKUP($CI15,付与!$1:$1167,COLUMN(H$1),FALSE),0))*VLOOKUP($D15,素材!$1:$1016,COLUMN($E$1),FALSE),0),"")</f>
        <v>0</v>
      </c>
      <c r="I15">
        <f>IFERROR(ROUNDDOWN((VLOOKUP($C15,装備品!$1:$998,COLUMN(G$1),FALSE)+IFERROR(VLOOKUP($CI15,付与!$1:$1167,COLUMN(I$1),FALSE),0))*VLOOKUP($D15,素材!$1:$1016,COLUMN($E$1),FALSE),0),"")</f>
        <v>20</v>
      </c>
      <c r="J15">
        <f>IFERROR(ROUNDDOWN((VLOOKUP($C15,装備品!$1:$998,COLUMN(H$1),FALSE)+IFERROR(VLOOKUP($CI15,付与!$1:$1167,COLUMN(J$1),FALSE),0))*VLOOKUP($D15,素材!$1:$1016,COLUMN($E$1),FALSE),0),"")</f>
        <v>19</v>
      </c>
      <c r="K15">
        <f>IFERROR(ROUNDDOWN((VLOOKUP($C15,装備品!$1:$998,COLUMN(I$1),FALSE)+IFERROR(VLOOKUP($CI15,付与!$1:$1167,COLUMN(K$1),FALSE),0))*VLOOKUP($D15,素材!$1:$1016,COLUMN($E$1),FALSE),0),"")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IFERROR(VLOOKUP($C15,装備品!$1:$998,COLUMN(AA$1),FALSE)*VLOOKUP($D15,素材!$1:$1016,COLUMN($G$1),FALSE),"")</f>
        <v>0</v>
      </c>
      <c r="N15">
        <f>IFERROR(VLOOKUP($C15,装備品!$1:$998,COLUMN(I$1),FALSE),"")</f>
        <v>0</v>
      </c>
      <c r="O15" s="23">
        <f>IFERROR((VLOOKUP($C15,装備品!$1:$998,COLUMN(K$1),FALSE)+VLOOKUP($D15,素材!$1:$1016,COLUMN(H$1),FALSE))*100+IFERROR(VLOOKUP($CI15,付与!$1:$1167,COLUMN(O$1),FALSE),0),"")</f>
        <v>5</v>
      </c>
      <c r="P15" s="23">
        <f>IFERROR((VLOOKUP($C15,装備品!$1:$998,COLUMN(L$1),FALSE)+VLOOKUP($D15,素材!$1:$1016,COLUMN(I$1),FALSE))*100+IFERROR(VLOOKUP($CI15,付与!$1:$1167,COLUMN(P$1),FALSE),0),"")</f>
        <v>150</v>
      </c>
      <c r="Q15">
        <f>IFERROR(ROUNDUP(VLOOKUP($C15,装備品!$1:$998,COLUMN(M$1),FALSE)*(VLOOKUP($D15,素材!$1:$1002,COLUMN(D$1),FALSE)/100),1),"")</f>
        <v>0</v>
      </c>
      <c r="R15">
        <f>IFERROR(ROUNDUP(VLOOKUP($C15,装備品!$1:$998,COLUMN(N$1),FALSE)*(VLOOKUP($D15,素材!$1:$1002,COLUMN(D$1),FALSE)/100),1),"")</f>
        <v>0</v>
      </c>
      <c r="S15">
        <f>IFERROR(VLOOKUP($C15,装備品!$1:$998,COLUMN(P$1),FALSE),"")</f>
        <v>0</v>
      </c>
      <c r="T15">
        <f>IFERROR(VLOOKUP($C15,装備品!$1:$998,COLUMN(Q$1),FALSE),"")</f>
        <v>0</v>
      </c>
      <c r="U15">
        <f>IFERROR(VLOOKUP($C15,装備品!$1:$998,COLUMN(R$1),FALSE),"")</f>
        <v>0</v>
      </c>
      <c r="V15">
        <f>IFERROR(VLOOKUP($C15,装備品!$1:$998,COLUMN(Q$1),FALSE),"")</f>
        <v>0</v>
      </c>
      <c r="W15">
        <f>IFERROR(VLOOKUP($C15,装備品!$1:$998,COLUMN(T$1),FALSE),"")</f>
        <v>0</v>
      </c>
      <c r="Y15">
        <f>IFERROR(VLOOKUP($C15,装備品!$1:$998,COLUMN(U$1),FALSE),"")</f>
        <v>0</v>
      </c>
      <c r="Z15">
        <f>IFERROR(ROUNDUP(VLOOKUP($C15,装備品!$1:$998,COLUMN(O$1),FALSE)*VLOOKUP($D15,素材!$1:$1016,COLUMN(E$1),FALSE),1),"")</f>
        <v>0</v>
      </c>
      <c r="AA15">
        <f>IF(ISNUMBER(SEARCH(SUBSTITUTE(AA$1,RIGHT(AA$1,2),""),VLOOKUP($D15,素材!$1:$1016,COLUMN($F$1),FALSE))),VLOOKUP($C15,装備品!$1:$998,COLUMN($O$1),FALSE)*VLOOKUP($D15,素材!$1:$1016,COLUMN($E$1),FALSE)/(LEN(VLOOKUP($D15,素材!$1:$1016,COLUMN($F$1),FALSE))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22</v>
      </c>
      <c r="CM15" s="22" t="str">
        <f t="shared" si="2"/>
        <v>打撃.webp</v>
      </c>
      <c r="CN15">
        <f>IFERROR(VLOOKUP($C15,装備品!$1:$998,COLUMN(V$1),FALSE)*VLOOKUP($D15,素材!$1:$1016,COLUMN(N$1),FALSE)+IF(CI15="",0,VLOOKUP($CI15,付与!$1:$1176,COLUMN($CK$1),FALSE)),"")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IFERROR(VLOOKUP($D16,素材!$1:$1016,COLUMN($B$1),FALSE)&amp;"・"&amp;VLOOKUP($C16,装備品!$1:$998,COLUMN(B$1),FALSE),"")</f>
        <v>アイアン・メイス</v>
      </c>
      <c r="C16" s="24" t="s">
        <v>228</v>
      </c>
      <c r="D16" s="24" t="s">
        <v>256</v>
      </c>
      <c r="E16" t="str">
        <f>IFERROR(VLOOKUP(C16,装備品!$1:$998,COLUMN(C$1),FALSE),"")</f>
        <v>武器</v>
      </c>
      <c r="F16">
        <f>IFERROR(ROUNDDOWN((VLOOKUP($C16,装備品!$1:$998,COLUMN(D$1),FALSE)+IFERROR(VLOOKUP($CI16,付与!$1:$1167,COLUMN(F$1),FALSE),0))*VLOOKUP($D16,素材!$1:$1016,COLUMN(D$1),FALSE),0),"")</f>
        <v>110</v>
      </c>
      <c r="G16">
        <f>IFERROR(ROUNDDOWN((VLOOKUP($C16,装備品!$1:$998,COLUMN(E$1),FALSE)+IFERROR(VLOOKUP($CI16,付与!$1:$1167,COLUMN(G$1),FALSE),0))*VLOOKUP($D16,素材!$1:$1016,COLUMN($E$1),FALSE),0),"")</f>
        <v>0</v>
      </c>
      <c r="H16">
        <f>IFERROR(ROUNDDOWN((VLOOKUP($C16,装備品!$1:$998,COLUMN(F$1),FALSE)+IFERROR(VLOOKUP($CI16,付与!$1:$1167,COLUMN(H$1),FALSE),0))*VLOOKUP($D16,素材!$1:$1016,COLUMN($E$1),FALSE),0),"")</f>
        <v>0</v>
      </c>
      <c r="I16">
        <f>IFERROR(ROUNDDOWN((VLOOKUP($C16,装備品!$1:$998,COLUMN(G$1),FALSE)+IFERROR(VLOOKUP($CI16,付与!$1:$1167,COLUMN(I$1),FALSE),0))*VLOOKUP($D16,素材!$1:$1016,COLUMN($E$1),FALSE),0),"")</f>
        <v>23</v>
      </c>
      <c r="J16">
        <f>IFERROR(ROUNDDOWN((VLOOKUP($C16,装備品!$1:$998,COLUMN(H$1),FALSE)+IFERROR(VLOOKUP($CI16,付与!$1:$1167,COLUMN(J$1),FALSE),0))*VLOOKUP($D16,素材!$1:$1016,COLUMN($E$1),FALSE),0),"")</f>
        <v>19</v>
      </c>
      <c r="K16">
        <f>IFERROR(ROUNDDOWN((VLOOKUP($C16,装備品!$1:$998,COLUMN(I$1),FALSE)+IFERROR(VLOOKUP($CI16,付与!$1:$1167,COLUMN(K$1),FALSE),0))*VLOOKUP($D16,素材!$1:$1016,COLUMN($E$1),FALSE),0),"")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IFERROR(VLOOKUP($C16,装備品!$1:$998,COLUMN(AA$1),FALSE)*VLOOKUP($D16,素材!$1:$1016,COLUMN($G$1),FALSE),"")</f>
        <v>0</v>
      </c>
      <c r="N16">
        <f>IFERROR(VLOOKUP($C16,装備品!$1:$998,COLUMN(I$1),FALSE),"")</f>
        <v>0</v>
      </c>
      <c r="O16" s="23">
        <f>IFERROR((VLOOKUP($C16,装備品!$1:$998,COLUMN(K$1),FALSE)+VLOOKUP($D16,素材!$1:$1016,COLUMN(H$1),FALSE))*100+IFERROR(VLOOKUP($CI16,付与!$1:$1167,COLUMN(O$1),FALSE),0),"")</f>
        <v>15</v>
      </c>
      <c r="P16" s="23">
        <f>IFERROR((VLOOKUP($C16,装備品!$1:$998,COLUMN(L$1),FALSE)+VLOOKUP($D16,素材!$1:$1016,COLUMN(I$1),FALSE))*100+IFERROR(VLOOKUP($CI16,付与!$1:$1167,COLUMN(P$1),FALSE),0),"")</f>
        <v>125</v>
      </c>
      <c r="Q16">
        <f>IFERROR(ROUNDUP(VLOOKUP($C16,装備品!$1:$998,COLUMN(M$1),FALSE)*(VLOOKUP($D16,素材!$1:$1002,COLUMN(D$1),FALSE)/100),1),"")</f>
        <v>0</v>
      </c>
      <c r="R16">
        <f>IFERROR(ROUNDUP(VLOOKUP($C16,装備品!$1:$998,COLUMN(N$1),FALSE)*(VLOOKUP($D16,素材!$1:$1002,COLUMN(D$1),FALSE)/100),1),"")</f>
        <v>-2</v>
      </c>
      <c r="S16">
        <f>IFERROR(VLOOKUP($C16,装備品!$1:$998,COLUMN(P$1),FALSE),"")</f>
        <v>0</v>
      </c>
      <c r="T16">
        <f>IFERROR(VLOOKUP($C16,装備品!$1:$998,COLUMN(Q$1),FALSE),"")</f>
        <v>0</v>
      </c>
      <c r="U16">
        <f>IFERROR(VLOOKUP($C16,装備品!$1:$998,COLUMN(R$1),FALSE),"")</f>
        <v>0</v>
      </c>
      <c r="V16">
        <f>IFERROR(VLOOKUP($C16,装備品!$1:$998,COLUMN(Q$1),FALSE),"")</f>
        <v>0</v>
      </c>
      <c r="W16">
        <f>IFERROR(VLOOKUP($C16,装備品!$1:$998,COLUMN(T$1),FALSE),"")</f>
        <v>0</v>
      </c>
      <c r="Y16">
        <f>IFERROR(VLOOKUP($C16,装備品!$1:$998,COLUMN(U$1),FALSE),"")</f>
        <v>0</v>
      </c>
      <c r="Z16">
        <f>IFERROR(ROUNDUP(VLOOKUP($C16,装備品!$1:$998,COLUMN(O$1),FALSE)*VLOOKUP($D16,素材!$1:$1016,COLUMN(E$1),FALSE),1),"")</f>
        <v>0</v>
      </c>
      <c r="AA16">
        <f>IF(ISNUMBER(SEARCH(SUBSTITUTE(AA$1,RIGHT(AA$1,2),""),VLOOKUP($D16,素材!$1:$1016,COLUMN($F$1),FALSE))),VLOOKUP($C16,装備品!$1:$998,COLUMN($O$1),FALSE)*VLOOKUP($D16,素材!$1:$1016,COLUMN($E$1),FALSE)/(LEN(VLOOKUP($D16,素材!$1:$1016,COLUMN($F$1),FALSE))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23</v>
      </c>
      <c r="CM16" s="22" t="str">
        <f t="shared" si="2"/>
        <v>打撃.webp</v>
      </c>
      <c r="CN16">
        <f>IFERROR(VLOOKUP($C16,装備品!$1:$998,COLUMN(V$1),FALSE)*VLOOKUP($D16,素材!$1:$1016,COLUMN(N$1),FALSE)+IF(CI16="",0,VLOOKUP($CI16,付与!$1:$1176,COLUMN($CK$1),FALSE)),"")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IFERROR(VLOOKUP($D17,素材!$1:$1016,COLUMN($B$1),FALSE)&amp;"・"&amp;VLOOKUP($C17,装備品!$1:$998,COLUMN(B$1),FALSE),"")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IFERROR(VLOOKUP(C17,装備品!$1:$998,COLUMN(C$1),FALSE),"")</f>
        <v>武器</v>
      </c>
      <c r="F17">
        <f>IFERROR(ROUNDDOWN((VLOOKUP($C17,装備品!$1:$998,COLUMN(D$1),FALSE)+IFERROR(VLOOKUP($CI17,付与!$1:$1167,COLUMN(F$1),FALSE),0))*VLOOKUP($D17,素材!$1:$1016,COLUMN(D$1),FALSE),0),"")</f>
        <v>105</v>
      </c>
      <c r="G17">
        <f>IFERROR(ROUNDDOWN((VLOOKUP($C17,装備品!$1:$998,COLUMN(E$1),FALSE)+IFERROR(VLOOKUP($CI17,付与!$1:$1167,COLUMN(G$1),FALSE),0))*VLOOKUP($D17,素材!$1:$1016,COLUMN($E$1),FALSE),0),"")</f>
        <v>0</v>
      </c>
      <c r="H17">
        <f>IFERROR(ROUNDDOWN((VLOOKUP($C17,装備品!$1:$998,COLUMN(F$1),FALSE)+IFERROR(VLOOKUP($CI17,付与!$1:$1167,COLUMN(H$1),FALSE),0))*VLOOKUP($D17,素材!$1:$1016,COLUMN($E$1),FALSE),0),"")</f>
        <v>12</v>
      </c>
      <c r="I17">
        <f>IFERROR(ROUNDDOWN((VLOOKUP($C17,装備品!$1:$998,COLUMN(G$1),FALSE)+IFERROR(VLOOKUP($CI17,付与!$1:$1167,COLUMN(I$1),FALSE),0))*VLOOKUP($D17,素材!$1:$1016,COLUMN($E$1),FALSE),0),"")</f>
        <v>12</v>
      </c>
      <c r="J17">
        <f>IFERROR(ROUNDDOWN((VLOOKUP($C17,装備品!$1:$998,COLUMN(H$1),FALSE)+IFERROR(VLOOKUP($CI17,付与!$1:$1167,COLUMN(J$1),FALSE),0))*VLOOKUP($D17,素材!$1:$1016,COLUMN($E$1),FALSE),0),"")</f>
        <v>19</v>
      </c>
      <c r="K17">
        <f>IFERROR(ROUNDDOWN((VLOOKUP($C17,装備品!$1:$998,COLUMN(I$1),FALSE)+IFERROR(VLOOKUP($CI17,付与!$1:$1167,COLUMN(K$1),FALSE),0))*VLOOKUP($D17,素材!$1:$1016,COLUMN($E$1),FALSE),0),"")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IFERROR(VLOOKUP($C17,装備品!$1:$998,COLUMN(AA$1),FALSE)*VLOOKUP($D17,素材!$1:$1016,COLUMN($G$1),FALSE),"")</f>
        <v>0</v>
      </c>
      <c r="N17">
        <f>IFERROR(VLOOKUP($C17,装備品!$1:$998,COLUMN(I$1),FALSE),"")</f>
        <v>0</v>
      </c>
      <c r="O17" s="23">
        <f>IFERROR((VLOOKUP($C17,装備品!$1:$998,COLUMN(K$1),FALSE)+VLOOKUP($D17,素材!$1:$1016,COLUMN(H$1),FALSE))*100+IFERROR(VLOOKUP($CI17,付与!$1:$1167,COLUMN(O$1),FALSE),0),"")</f>
        <v>10</v>
      </c>
      <c r="P17" s="23">
        <f>IFERROR((VLOOKUP($C17,装備品!$1:$998,COLUMN(L$1),FALSE)+VLOOKUP($D17,素材!$1:$1016,COLUMN(I$1),FALSE))*100+IFERROR(VLOOKUP($CI17,付与!$1:$1167,COLUMN(P$1),FALSE),0),"")</f>
        <v>125</v>
      </c>
      <c r="Q17">
        <f>IFERROR(ROUNDUP(VLOOKUP($C17,装備品!$1:$998,COLUMN(M$1),FALSE)*(VLOOKUP($D17,素材!$1:$1002,COLUMN(D$1),FALSE)/100),1),"")</f>
        <v>-2.5</v>
      </c>
      <c r="R17">
        <f>IFERROR(ROUNDUP(VLOOKUP($C17,装備品!$1:$998,COLUMN(N$1),FALSE)*(VLOOKUP($D17,素材!$1:$1002,COLUMN(D$1),FALSE)/100),1),"")</f>
        <v>-2.5</v>
      </c>
      <c r="S17">
        <f>IFERROR(VLOOKUP($C17,装備品!$1:$998,COLUMN(P$1),FALSE),"")</f>
        <v>0</v>
      </c>
      <c r="T17">
        <f>IFERROR(VLOOKUP($C17,装備品!$1:$998,COLUMN(Q$1),FALSE),"")</f>
        <v>0</v>
      </c>
      <c r="U17">
        <f>IFERROR(VLOOKUP($C17,装備品!$1:$998,COLUMN(R$1),FALSE),"")</f>
        <v>0</v>
      </c>
      <c r="V17">
        <f>IFERROR(VLOOKUP($C17,装備品!$1:$998,COLUMN(Q$1),FALSE),"")</f>
        <v>0</v>
      </c>
      <c r="W17">
        <f>IFERROR(VLOOKUP($C17,装備品!$1:$998,COLUMN(T$1),FALSE),"")</f>
        <v>0</v>
      </c>
      <c r="Y17">
        <f>IFERROR(VLOOKUP($C17,装備品!$1:$998,COLUMN(U$1),FALSE),"")</f>
        <v>0</v>
      </c>
      <c r="Z17">
        <f>IFERROR(ROUNDUP(VLOOKUP($C17,装備品!$1:$998,COLUMN(O$1),FALSE)*VLOOKUP($D17,素材!$1:$1016,COLUMN(E$1),FALSE),1),"")</f>
        <v>0</v>
      </c>
      <c r="AA17">
        <f>IF(ISNUMBER(SEARCH(SUBSTITUTE(AA$1,RIGHT(AA$1,2),""),VLOOKUP($D17,素材!$1:$1016,COLUMN($F$1),FALSE))),VLOOKUP($C17,装備品!$1:$998,COLUMN($O$1),FALSE)*VLOOKUP($D17,素材!$1:$1016,COLUMN($E$1),FALSE)/(LEN(VLOOKUP($D17,素材!$1:$1016,COLUMN($F$1),FALSE))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24</v>
      </c>
      <c r="CM17" s="22" t="str">
        <f t="shared" si="2"/>
        <v>貫通.webp</v>
      </c>
      <c r="CN17">
        <f>IFERROR(VLOOKUP($C17,装備品!$1:$998,COLUMN(V$1),FALSE)*VLOOKUP($D17,素材!$1:$1016,COLUMN(N$1),FALSE)+IF(CI17="",0,VLOOKUP($CI17,付与!$1:$1176,COLUMN($CK$1),FALSE)),"")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IFERROR(VLOOKUP($D18,素材!$1:$1016,COLUMN($B$1),FALSE)&amp;"・"&amp;VLOOKUP($C18,装備品!$1:$998,COLUMN(B$1),FALSE),"")</f>
        <v>アイアン・ハンマー</v>
      </c>
      <c r="C18" t="s">
        <v>226</v>
      </c>
      <c r="D18" s="24" t="s">
        <v>256</v>
      </c>
      <c r="E18" t="str">
        <f>IFERROR(VLOOKUP(C18,装備品!$1:$998,COLUMN(C$1),FALSE),"")</f>
        <v>武器</v>
      </c>
      <c r="F18">
        <f>IFERROR(ROUNDDOWN((VLOOKUP($C18,装備品!$1:$998,COLUMN(D$1),FALSE)+IFERROR(VLOOKUP($CI18,付与!$1:$1167,COLUMN(F$1),FALSE),0))*VLOOKUP($D18,素材!$1:$1016,COLUMN(D$1),FALSE),0),"")</f>
        <v>110</v>
      </c>
      <c r="G18">
        <f>IFERROR(ROUNDDOWN((VLOOKUP($C18,装備品!$1:$998,COLUMN(E$1),FALSE)+IFERROR(VLOOKUP($CI18,付与!$1:$1167,COLUMN(G$1),FALSE),0))*VLOOKUP($D18,素材!$1:$1016,COLUMN($E$1),FALSE),0),"")</f>
        <v>0</v>
      </c>
      <c r="H18">
        <f>IFERROR(ROUNDDOWN((VLOOKUP($C18,装備品!$1:$998,COLUMN(F$1),FALSE)+IFERROR(VLOOKUP($CI18,付与!$1:$1167,COLUMN(H$1),FALSE),0))*VLOOKUP($D18,素材!$1:$1016,COLUMN($E$1),FALSE),0),"")</f>
        <v>0</v>
      </c>
      <c r="I18">
        <f>IFERROR(ROUNDDOWN((VLOOKUP($C18,装備品!$1:$998,COLUMN(G$1),FALSE)+IFERROR(VLOOKUP($CI18,付与!$1:$1167,COLUMN(I$1),FALSE),0))*VLOOKUP($D18,素材!$1:$1016,COLUMN($E$1),FALSE),0),"")</f>
        <v>22</v>
      </c>
      <c r="J18">
        <f>IFERROR(ROUNDDOWN((VLOOKUP($C18,装備品!$1:$998,COLUMN(H$1),FALSE)+IFERROR(VLOOKUP($CI18,付与!$1:$1167,COLUMN(J$1),FALSE),0))*VLOOKUP($D18,素材!$1:$1016,COLUMN($E$1),FALSE),0),"")</f>
        <v>19</v>
      </c>
      <c r="K18">
        <f>IFERROR(ROUNDDOWN((VLOOKUP($C18,装備品!$1:$998,COLUMN(I$1),FALSE)+IFERROR(VLOOKUP($CI18,付与!$1:$1167,COLUMN(K$1),FALSE),0))*VLOOKUP($D18,素材!$1:$1016,COLUMN($E$1),FALSE),0),"")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IFERROR(VLOOKUP($C18,装備品!$1:$998,COLUMN(AA$1),FALSE)*VLOOKUP($D18,素材!$1:$1016,COLUMN($G$1),FALSE),"")</f>
        <v>0</v>
      </c>
      <c r="N18">
        <f>IFERROR(VLOOKUP($C18,装備品!$1:$998,COLUMN(I$1),FALSE),"")</f>
        <v>0</v>
      </c>
      <c r="O18" s="23">
        <f>IFERROR((VLOOKUP($C18,装備品!$1:$998,COLUMN(K$1),FALSE)+VLOOKUP($D18,素材!$1:$1016,COLUMN(H$1),FALSE))*100+IFERROR(VLOOKUP($CI18,付与!$1:$1167,COLUMN(O$1),FALSE),0),"")</f>
        <v>10</v>
      </c>
      <c r="P18" s="23">
        <f>IFERROR((VLOOKUP($C18,装備品!$1:$998,COLUMN(L$1),FALSE)+VLOOKUP($D18,素材!$1:$1016,COLUMN(I$1),FALSE))*100+IFERROR(VLOOKUP($CI18,付与!$1:$1167,COLUMN(P$1),FALSE),0),"")</f>
        <v>150</v>
      </c>
      <c r="Q18">
        <f>IFERROR(ROUNDUP(VLOOKUP($C18,装備品!$1:$998,COLUMN(M$1),FALSE)*(VLOOKUP($D18,素材!$1:$1002,COLUMN(D$1),FALSE)/100),1),"")</f>
        <v>-2.5</v>
      </c>
      <c r="R18">
        <f>IFERROR(ROUNDUP(VLOOKUP($C18,装備品!$1:$998,COLUMN(N$1),FALSE)*(VLOOKUP($D18,素材!$1:$1002,COLUMN(D$1),FALSE)/100),1),"")</f>
        <v>0</v>
      </c>
      <c r="S18">
        <f>IFERROR(VLOOKUP($C18,装備品!$1:$998,COLUMN(P$1),FALSE),"")</f>
        <v>0</v>
      </c>
      <c r="T18">
        <f>IFERROR(VLOOKUP($C18,装備品!$1:$998,COLUMN(Q$1),FALSE),"")</f>
        <v>0</v>
      </c>
      <c r="U18">
        <f>IFERROR(VLOOKUP($C18,装備品!$1:$998,COLUMN(R$1),FALSE),"")</f>
        <v>0</v>
      </c>
      <c r="V18">
        <f>IFERROR(VLOOKUP($C18,装備品!$1:$998,COLUMN(Q$1),FALSE),"")</f>
        <v>0</v>
      </c>
      <c r="W18">
        <f>IFERROR(VLOOKUP($C18,装備品!$1:$998,COLUMN(T$1),FALSE),"")</f>
        <v>0</v>
      </c>
      <c r="Y18">
        <f>IFERROR(VLOOKUP($C18,装備品!$1:$998,COLUMN(U$1),FALSE),"")</f>
        <v>0</v>
      </c>
      <c r="Z18">
        <f>IFERROR(ROUNDUP(VLOOKUP($C18,装備品!$1:$998,COLUMN(O$1),FALSE)*VLOOKUP($D18,素材!$1:$1016,COLUMN(E$1),FALSE),1),"")</f>
        <v>0</v>
      </c>
      <c r="AA18">
        <f>IF(ISNUMBER(SEARCH(SUBSTITUTE(AA$1,RIGHT(AA$1,2),""),VLOOKUP($D18,素材!$1:$1016,COLUMN($F$1),FALSE))),VLOOKUP($C18,装備品!$1:$998,COLUMN($O$1),FALSE)*VLOOKUP($D18,素材!$1:$1016,COLUMN($E$1),FALSE)/(LEN(VLOOKUP($D18,素材!$1:$1016,COLUMN($F$1),FALSE))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22</v>
      </c>
      <c r="CM18" s="22" t="str">
        <f t="shared" si="2"/>
        <v>打撃.webp</v>
      </c>
      <c r="CN18">
        <f>IFERROR(VLOOKUP($C18,装備品!$1:$998,COLUMN(V$1),FALSE)*VLOOKUP($D18,素材!$1:$1016,COLUMN(N$1),FALSE)+IF(CI18="",0,VLOOKUP($CI18,付与!$1:$1176,COLUMN($CK$1),FALSE)),"")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IFERROR(VLOOKUP($D19,素材!$1:$1016,COLUMN($B$1),FALSE)&amp;"・"&amp;VLOOKUP($C19,装備品!$1:$998,COLUMN(B$1),FALSE),"")</f>
        <v>アイアン・ウォーハンマー</v>
      </c>
      <c r="C19" t="s">
        <v>225</v>
      </c>
      <c r="D19" s="24" t="s">
        <v>256</v>
      </c>
      <c r="E19" t="str">
        <f>IFERROR(VLOOKUP(C19,装備品!$1:$998,COLUMN(C$1),FALSE),"")</f>
        <v>武器</v>
      </c>
      <c r="F19">
        <f>IFERROR(ROUNDDOWN((VLOOKUP($C19,装備品!$1:$998,COLUMN(D$1),FALSE)+IFERROR(VLOOKUP($CI19,付与!$1:$1167,COLUMN(F$1),FALSE),0))*VLOOKUP($D19,素材!$1:$1016,COLUMN(D$1),FALSE),0),"")</f>
        <v>125</v>
      </c>
      <c r="G19">
        <f>IFERROR(ROUNDDOWN((VLOOKUP($C19,装備品!$1:$998,COLUMN(E$1),FALSE)+IFERROR(VLOOKUP($CI19,付与!$1:$1167,COLUMN(G$1),FALSE),0))*VLOOKUP($D19,素材!$1:$1016,COLUMN($E$1),FALSE),0),"")</f>
        <v>0</v>
      </c>
      <c r="H19">
        <f>IFERROR(ROUNDDOWN((VLOOKUP($C19,装備品!$1:$998,COLUMN(F$1),FALSE)+IFERROR(VLOOKUP($CI19,付与!$1:$1167,COLUMN(H$1),FALSE),0))*VLOOKUP($D19,素材!$1:$1016,COLUMN($E$1),FALSE),0),"")</f>
        <v>0</v>
      </c>
      <c r="I19">
        <f>IFERROR(ROUNDDOWN((VLOOKUP($C19,装備品!$1:$998,COLUMN(G$1),FALSE)+IFERROR(VLOOKUP($CI19,付与!$1:$1167,COLUMN(I$1),FALSE),0))*VLOOKUP($D19,素材!$1:$1016,COLUMN($E$1),FALSE),0),"")</f>
        <v>24</v>
      </c>
      <c r="J19">
        <f>IFERROR(ROUNDDOWN((VLOOKUP($C19,装備品!$1:$998,COLUMN(H$1),FALSE)+IFERROR(VLOOKUP($CI19,付与!$1:$1167,COLUMN(J$1),FALSE),0))*VLOOKUP($D19,素材!$1:$1016,COLUMN($E$1),FALSE),0),"")</f>
        <v>21</v>
      </c>
      <c r="K19">
        <f>IFERROR(ROUNDDOWN((VLOOKUP($C19,装備品!$1:$998,COLUMN(I$1),FALSE)+IFERROR(VLOOKUP($CI19,付与!$1:$1167,COLUMN(K$1),FALSE),0))*VLOOKUP($D19,素材!$1:$1016,COLUMN($E$1),FALSE),0),"")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IFERROR(VLOOKUP($C19,装備品!$1:$998,COLUMN(AA$1),FALSE)*VLOOKUP($D19,素材!$1:$1016,COLUMN($G$1),FALSE),"")</f>
        <v>0</v>
      </c>
      <c r="N19">
        <f>IFERROR(VLOOKUP($C19,装備品!$1:$998,COLUMN(I$1),FALSE),"")</f>
        <v>0</v>
      </c>
      <c r="O19" s="23">
        <f>IFERROR((VLOOKUP($C19,装備品!$1:$998,COLUMN(K$1),FALSE)+VLOOKUP($D19,素材!$1:$1016,COLUMN(H$1),FALSE))*100+IFERROR(VLOOKUP($CI19,付与!$1:$1167,COLUMN(O$1),FALSE),0),"")</f>
        <v>10</v>
      </c>
      <c r="P19" s="23">
        <f>IFERROR((VLOOKUP($C19,装備品!$1:$998,COLUMN(L$1),FALSE)+VLOOKUP($D19,素材!$1:$1016,COLUMN(I$1),FALSE))*100+IFERROR(VLOOKUP($CI19,付与!$1:$1167,COLUMN(P$1),FALSE),0),"")</f>
        <v>150</v>
      </c>
      <c r="Q19">
        <f>IFERROR(ROUNDUP(VLOOKUP($C19,装備品!$1:$998,COLUMN(M$1),FALSE)*(VLOOKUP($D19,素材!$1:$1002,COLUMN(D$1),FALSE)/100),1),"")</f>
        <v>-5</v>
      </c>
      <c r="R19">
        <f>IFERROR(ROUNDUP(VLOOKUP($C19,装備品!$1:$998,COLUMN(N$1),FALSE)*(VLOOKUP($D19,素材!$1:$1002,COLUMN(D$1),FALSE)/100),1),"")</f>
        <v>-5</v>
      </c>
      <c r="S19">
        <f>IFERROR(VLOOKUP($C19,装備品!$1:$998,COLUMN(P$1),FALSE),"")</f>
        <v>0</v>
      </c>
      <c r="T19">
        <f>IFERROR(VLOOKUP($C19,装備品!$1:$998,COLUMN(Q$1),FALSE),"")</f>
        <v>0</v>
      </c>
      <c r="U19">
        <f>IFERROR(VLOOKUP($C19,装備品!$1:$998,COLUMN(R$1),FALSE),"")</f>
        <v>0</v>
      </c>
      <c r="V19">
        <f>IFERROR(VLOOKUP($C19,装備品!$1:$998,COLUMN(Q$1),FALSE),"")</f>
        <v>0</v>
      </c>
      <c r="W19">
        <f>IFERROR(VLOOKUP($C19,装備品!$1:$998,COLUMN(T$1),FALSE),"")</f>
        <v>0</v>
      </c>
      <c r="Y19">
        <f>IFERROR(VLOOKUP($C19,装備品!$1:$998,COLUMN(U$1),FALSE),"")</f>
        <v>0</v>
      </c>
      <c r="Z19">
        <f>IFERROR(ROUNDUP(VLOOKUP($C19,装備品!$1:$998,COLUMN(O$1),FALSE)*VLOOKUP($D19,素材!$1:$1016,COLUMN(E$1),FALSE),1),"")</f>
        <v>0</v>
      </c>
      <c r="AA19">
        <f>IF(ISNUMBER(SEARCH(SUBSTITUTE(AA$1,RIGHT(AA$1,2),""),VLOOKUP($D19,素材!$1:$1016,COLUMN($F$1),FALSE))),VLOOKUP($C19,装備品!$1:$998,COLUMN($O$1),FALSE)*VLOOKUP($D19,素材!$1:$1016,COLUMN($E$1),FALSE)/(LEN(VLOOKUP($D19,素材!$1:$1016,COLUMN($F$1),FALSE))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24</v>
      </c>
      <c r="CM19" s="22" t="str">
        <f t="shared" si="2"/>
        <v>打撃.webp</v>
      </c>
      <c r="CN19">
        <f>IFERROR(VLOOKUP($C19,装備品!$1:$998,COLUMN(V$1),FALSE)*VLOOKUP($D19,素材!$1:$1016,COLUMN(N$1),FALSE)+IF(CI19="",0,VLOOKUP($CI19,付与!$1:$1176,COLUMN($CK$1),FALSE)),"")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IFERROR(VLOOKUP($D20,素材!$1:$1016,COLUMN($B$1),FALSE)&amp;"・"&amp;VLOOKUP($C20,装備品!$1:$998,COLUMN(B$1),FALSE),"")</f>
        <v>アイアン・シックル</v>
      </c>
      <c r="C20" t="s">
        <v>224</v>
      </c>
      <c r="D20" s="24" t="s">
        <v>256</v>
      </c>
      <c r="E20" t="str">
        <f>IFERROR(VLOOKUP(C20,装備品!$1:$998,COLUMN(C$1),FALSE),"")</f>
        <v>武器</v>
      </c>
      <c r="F20">
        <f>IFERROR(ROUNDDOWN((VLOOKUP($C20,装備品!$1:$998,COLUMN(D$1),FALSE)+IFERROR(VLOOKUP($CI20,付与!$1:$1167,COLUMN(F$1),FALSE),0))*VLOOKUP($D20,素材!$1:$1016,COLUMN(D$1),FALSE),0),"")</f>
        <v>125</v>
      </c>
      <c r="G20">
        <f>IFERROR(ROUNDDOWN((VLOOKUP($C20,装備品!$1:$998,COLUMN(E$1),FALSE)+IFERROR(VLOOKUP($CI20,付与!$1:$1167,COLUMN(G$1),FALSE),0))*VLOOKUP($D20,素材!$1:$1016,COLUMN($E$1),FALSE),0),"")</f>
        <v>9</v>
      </c>
      <c r="H20">
        <f>IFERROR(ROUNDDOWN((VLOOKUP($C20,装備品!$1:$998,COLUMN(F$1),FALSE)+IFERROR(VLOOKUP($CI20,付与!$1:$1167,COLUMN(H$1),FALSE),0))*VLOOKUP($D20,素材!$1:$1016,COLUMN($E$1),FALSE),0),"")</f>
        <v>11</v>
      </c>
      <c r="I20">
        <f>IFERROR(ROUNDDOWN((VLOOKUP($C20,装備品!$1:$998,COLUMN(G$1),FALSE)+IFERROR(VLOOKUP($CI20,付与!$1:$1167,COLUMN(I$1),FALSE),0))*VLOOKUP($D20,素材!$1:$1016,COLUMN($E$1),FALSE),0),"")</f>
        <v>1</v>
      </c>
      <c r="J20">
        <f>IFERROR(ROUNDDOWN((VLOOKUP($C20,装備品!$1:$998,COLUMN(H$1),FALSE)+IFERROR(VLOOKUP($CI20,付与!$1:$1167,COLUMN(J$1),FALSE),0))*VLOOKUP($D20,素材!$1:$1016,COLUMN($E$1),FALSE),0),"")</f>
        <v>17</v>
      </c>
      <c r="K20">
        <f>IFERROR(ROUNDDOWN((VLOOKUP($C20,装備品!$1:$998,COLUMN(I$1),FALSE)+IFERROR(VLOOKUP($CI20,付与!$1:$1167,COLUMN(K$1),FALSE),0))*VLOOKUP($D20,素材!$1:$1016,COLUMN($E$1),FALSE),0),"")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IFERROR(VLOOKUP($C20,装備品!$1:$998,COLUMN(AA$1),FALSE)*VLOOKUP($D20,素材!$1:$1016,COLUMN($G$1),FALSE),"")</f>
        <v>0</v>
      </c>
      <c r="N20">
        <f>IFERROR(VLOOKUP($C20,装備品!$1:$998,COLUMN(I$1),FALSE),"")</f>
        <v>0</v>
      </c>
      <c r="O20" s="23">
        <f>IFERROR((VLOOKUP($C20,装備品!$1:$998,COLUMN(K$1),FALSE)+VLOOKUP($D20,素材!$1:$1016,COLUMN(H$1),FALSE))*100+IFERROR(VLOOKUP($CI20,付与!$1:$1167,COLUMN(O$1),FALSE),0),"")</f>
        <v>5</v>
      </c>
      <c r="P20" s="23">
        <f>IFERROR((VLOOKUP($C20,装備品!$1:$998,COLUMN(L$1),FALSE)+VLOOKUP($D20,素材!$1:$1016,COLUMN(I$1),FALSE))*100+IFERROR(VLOOKUP($CI20,付与!$1:$1167,COLUMN(P$1),FALSE),0),"")</f>
        <v>200</v>
      </c>
      <c r="Q20">
        <f>IFERROR(ROUNDUP(VLOOKUP($C20,装備品!$1:$998,COLUMN(M$1),FALSE)*(VLOOKUP($D20,素材!$1:$1002,COLUMN(D$1),FALSE)/100),1),"")</f>
        <v>0</v>
      </c>
      <c r="R20">
        <f>IFERROR(ROUNDUP(VLOOKUP($C20,装備品!$1:$998,COLUMN(N$1),FALSE)*(VLOOKUP($D20,素材!$1:$1002,COLUMN(D$1),FALSE)/100),1),"")</f>
        <v>0</v>
      </c>
      <c r="S20">
        <f>IFERROR(VLOOKUP($C20,装備品!$1:$998,COLUMN(P$1),FALSE),"")</f>
        <v>0</v>
      </c>
      <c r="T20">
        <f>IFERROR(VLOOKUP($C20,装備品!$1:$998,COLUMN(Q$1),FALSE),"")</f>
        <v>0</v>
      </c>
      <c r="U20">
        <f>IFERROR(VLOOKUP($C20,装備品!$1:$998,COLUMN(R$1),FALSE),"")</f>
        <v>0</v>
      </c>
      <c r="V20">
        <f>IFERROR(VLOOKUP($C20,装備品!$1:$998,COLUMN(Q$1),FALSE),"")</f>
        <v>0</v>
      </c>
      <c r="W20">
        <f>IFERROR(VLOOKUP($C20,装備品!$1:$998,COLUMN(T$1),FALSE),"")</f>
        <v>0</v>
      </c>
      <c r="Y20">
        <f>IFERROR(VLOOKUP($C20,装備品!$1:$998,COLUMN(U$1),FALSE),"")</f>
        <v>0</v>
      </c>
      <c r="Z20">
        <f>IFERROR(ROUNDUP(VLOOKUP($C20,装備品!$1:$998,COLUMN(O$1),FALSE)*VLOOKUP($D20,素材!$1:$1016,COLUMN(E$1),FALSE),1),"")</f>
        <v>0</v>
      </c>
      <c r="AA20">
        <f>IF(ISNUMBER(SEARCH(SUBSTITUTE(AA$1,RIGHT(AA$1,2),""),VLOOKUP($D20,素材!$1:$1016,COLUMN($F$1),FALSE))),VLOOKUP($C20,装備品!$1:$998,COLUMN($O$1),FALSE)*VLOOKUP($D20,素材!$1:$1016,COLUMN($E$1),FALSE)/(LEN(VLOOKUP($D20,素材!$1:$1016,COLUMN($F$1),FALSE))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21</v>
      </c>
      <c r="CM20" s="22" t="str">
        <f t="shared" si="2"/>
        <v>貫通.webp</v>
      </c>
      <c r="CN20">
        <f>IFERROR(VLOOKUP($C20,装備品!$1:$998,COLUMN(V$1),FALSE)*VLOOKUP($D20,素材!$1:$1016,COLUMN(N$1),FALSE)+IF(CI20="",0,VLOOKUP($CI20,付与!$1:$1176,COLUMN($CK$1),FALSE)),"")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IFERROR(VLOOKUP($D21,素材!$1:$1016,COLUMN($B$1),FALSE)&amp;"・"&amp;VLOOKUP($C21,装備品!$1:$998,COLUMN(B$1),FALSE),"")</f>
        <v>アイアン・バトルアックス</v>
      </c>
      <c r="C21" t="s">
        <v>223</v>
      </c>
      <c r="D21" s="24" t="s">
        <v>256</v>
      </c>
      <c r="E21" t="str">
        <f>IFERROR(VLOOKUP(C21,装備品!$1:$998,COLUMN(C$1),FALSE),"")</f>
        <v>武器</v>
      </c>
      <c r="F21">
        <f>IFERROR(ROUNDDOWN((VLOOKUP($C21,装備品!$1:$998,COLUMN(D$1),FALSE)+IFERROR(VLOOKUP($CI21,付与!$1:$1167,COLUMN(F$1),FALSE),0))*VLOOKUP($D21,素材!$1:$1016,COLUMN(D$1),FALSE),0),"")</f>
        <v>115</v>
      </c>
      <c r="G21">
        <f>IFERROR(ROUNDDOWN((VLOOKUP($C21,装備品!$1:$998,COLUMN(E$1),FALSE)+IFERROR(VLOOKUP($CI21,付与!$1:$1167,COLUMN(G$1),FALSE),0))*VLOOKUP($D21,素材!$1:$1016,COLUMN($E$1),FALSE),0),"")</f>
        <v>19</v>
      </c>
      <c r="H21">
        <f>IFERROR(ROUNDDOWN((VLOOKUP($C21,装備品!$1:$998,COLUMN(F$1),FALSE)+IFERROR(VLOOKUP($CI21,付与!$1:$1167,COLUMN(H$1),FALSE),0))*VLOOKUP($D21,素材!$1:$1016,COLUMN($E$1),FALSE),0),"")</f>
        <v>0</v>
      </c>
      <c r="I21">
        <f>IFERROR(ROUNDDOWN((VLOOKUP($C21,装備品!$1:$998,COLUMN(G$1),FALSE)+IFERROR(VLOOKUP($CI21,付与!$1:$1167,COLUMN(I$1),FALSE),0))*VLOOKUP($D21,素材!$1:$1016,COLUMN($E$1),FALSE),0),"")</f>
        <v>6</v>
      </c>
      <c r="J21">
        <f>IFERROR(ROUNDDOWN((VLOOKUP($C21,装備品!$1:$998,COLUMN(H$1),FALSE)+IFERROR(VLOOKUP($CI21,付与!$1:$1167,COLUMN(J$1),FALSE),0))*VLOOKUP($D21,素材!$1:$1016,COLUMN($E$1),FALSE),0),"")</f>
        <v>20</v>
      </c>
      <c r="K21">
        <f>IFERROR(ROUNDDOWN((VLOOKUP($C21,装備品!$1:$998,COLUMN(I$1),FALSE)+IFERROR(VLOOKUP($CI21,付与!$1:$1167,COLUMN(K$1),FALSE),0))*VLOOKUP($D21,素材!$1:$1016,COLUMN($E$1),FALSE),0),"")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IFERROR(VLOOKUP($C21,装備品!$1:$998,COLUMN(AA$1),FALSE)*VLOOKUP($D21,素材!$1:$1016,COLUMN($G$1),FALSE),"")</f>
        <v>0</v>
      </c>
      <c r="N21">
        <f>IFERROR(VLOOKUP($C21,装備品!$1:$998,COLUMN(I$1),FALSE),"")</f>
        <v>0</v>
      </c>
      <c r="O21" s="23">
        <f>IFERROR((VLOOKUP($C21,装備品!$1:$998,COLUMN(K$1),FALSE)+VLOOKUP($D21,素材!$1:$1016,COLUMN(H$1),FALSE))*100+IFERROR(VLOOKUP($CI21,付与!$1:$1167,COLUMN(O$1),FALSE),0),"")</f>
        <v>5</v>
      </c>
      <c r="P21" s="23">
        <f>IFERROR((VLOOKUP($C21,装備品!$1:$998,COLUMN(L$1),FALSE)+VLOOKUP($D21,素材!$1:$1016,COLUMN(I$1),FALSE))*100+IFERROR(VLOOKUP($CI21,付与!$1:$1167,COLUMN(P$1),FALSE),0),"")</f>
        <v>175</v>
      </c>
      <c r="Q21">
        <f>IFERROR(ROUNDUP(VLOOKUP($C21,装備品!$1:$998,COLUMN(M$1),FALSE)*(VLOOKUP($D21,素材!$1:$1002,COLUMN(D$1),FALSE)/100),1),"")</f>
        <v>-2.5</v>
      </c>
      <c r="R21">
        <f>IFERROR(ROUNDUP(VLOOKUP($C21,装備品!$1:$998,COLUMN(N$1),FALSE)*(VLOOKUP($D21,素材!$1:$1002,COLUMN(D$1),FALSE)/100),1),"")</f>
        <v>0</v>
      </c>
      <c r="S21">
        <f>IFERROR(VLOOKUP($C21,装備品!$1:$998,COLUMN(P$1),FALSE),"")</f>
        <v>0</v>
      </c>
      <c r="T21">
        <f>IFERROR(VLOOKUP($C21,装備品!$1:$998,COLUMN(Q$1),FALSE),"")</f>
        <v>0</v>
      </c>
      <c r="U21">
        <f>IFERROR(VLOOKUP($C21,装備品!$1:$998,COLUMN(R$1),FALSE),"")</f>
        <v>0</v>
      </c>
      <c r="V21">
        <f>IFERROR(VLOOKUP($C21,装備品!$1:$998,COLUMN(Q$1),FALSE),"")</f>
        <v>0</v>
      </c>
      <c r="W21">
        <f>IFERROR(VLOOKUP($C21,装備品!$1:$998,COLUMN(T$1),FALSE),"")</f>
        <v>0</v>
      </c>
      <c r="Y21">
        <f>IFERROR(VLOOKUP($C21,装備品!$1:$998,COLUMN(U$1),FALSE),"")</f>
        <v>0</v>
      </c>
      <c r="Z21">
        <f>IFERROR(ROUNDUP(VLOOKUP($C21,装備品!$1:$998,COLUMN(O$1),FALSE)*VLOOKUP($D21,素材!$1:$1016,COLUMN(E$1),FALSE),1),"")</f>
        <v>0</v>
      </c>
      <c r="AA21">
        <f>IF(ISNUMBER(SEARCH(SUBSTITUTE(AA$1,RIGHT(AA$1,2),""),VLOOKUP($D21,素材!$1:$1016,COLUMN($F$1),FALSE))),VLOOKUP($C21,装備品!$1:$998,COLUMN($O$1),FALSE)*VLOOKUP($D21,素材!$1:$1016,COLUMN($E$1),FALSE)/(LEN(VLOOKUP($D21,素材!$1:$1016,COLUMN($F$1),FALSE))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25</v>
      </c>
      <c r="CM21" s="22" t="str">
        <f t="shared" si="2"/>
        <v>切断.webp</v>
      </c>
      <c r="CN21">
        <f>IFERROR(VLOOKUP($C21,装備品!$1:$998,COLUMN(V$1),FALSE)*VLOOKUP($D21,素材!$1:$1016,COLUMN(N$1),FALSE)+IF(CI21="",0,VLOOKUP($CI21,付与!$1:$1176,COLUMN($CK$1),FALSE)),"")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IFERROR(VLOOKUP($D22,素材!$1:$1016,COLUMN($B$1),FALSE)&amp;"・"&amp;VLOOKUP($C22,装備品!$1:$998,COLUMN(B$1),FALSE),"")</f>
        <v>アイアン・ウィップ</v>
      </c>
      <c r="C22" t="s">
        <v>222</v>
      </c>
      <c r="D22" s="24" t="s">
        <v>256</v>
      </c>
      <c r="E22" t="str">
        <f>IFERROR(VLOOKUP(C22,装備品!$1:$998,COLUMN(C$1),FALSE),"")</f>
        <v>武器</v>
      </c>
      <c r="F22">
        <f>IFERROR(ROUNDDOWN((VLOOKUP($C22,装備品!$1:$998,COLUMN(D$1),FALSE)+IFERROR(VLOOKUP($CI22,付与!$1:$1167,COLUMN(F$1),FALSE),0))*VLOOKUP($D22,素材!$1:$1016,COLUMN(D$1),FALSE),0),"")</f>
        <v>105</v>
      </c>
      <c r="G22">
        <f>IFERROR(ROUNDDOWN((VLOOKUP($C22,装備品!$1:$998,COLUMN(E$1),FALSE)+IFERROR(VLOOKUP($CI22,付与!$1:$1167,COLUMN(G$1),FALSE),0))*VLOOKUP($D22,素材!$1:$1016,COLUMN($E$1),FALSE),0),"")</f>
        <v>18</v>
      </c>
      <c r="H22">
        <f>IFERROR(ROUNDDOWN((VLOOKUP($C22,装備品!$1:$998,COLUMN(F$1),FALSE)+IFERROR(VLOOKUP($CI22,付与!$1:$1167,COLUMN(H$1),FALSE),0))*VLOOKUP($D22,素材!$1:$1016,COLUMN($E$1),FALSE),0),"")</f>
        <v>0</v>
      </c>
      <c r="I22">
        <f>IFERROR(ROUNDDOWN((VLOOKUP($C22,装備品!$1:$998,COLUMN(G$1),FALSE)+IFERROR(VLOOKUP($CI22,付与!$1:$1167,COLUMN(I$1),FALSE),0))*VLOOKUP($D22,素材!$1:$1016,COLUMN($E$1),FALSE),0),"")</f>
        <v>4</v>
      </c>
      <c r="J22">
        <f>IFERROR(ROUNDDOWN((VLOOKUP($C22,装備品!$1:$998,COLUMN(H$1),FALSE)+IFERROR(VLOOKUP($CI22,付与!$1:$1167,COLUMN(J$1),FALSE),0))*VLOOKUP($D22,素材!$1:$1016,COLUMN($E$1),FALSE),0),"")</f>
        <v>11</v>
      </c>
      <c r="K22">
        <f>IFERROR(ROUNDDOWN((VLOOKUP($C22,装備品!$1:$998,COLUMN(I$1),FALSE)+IFERROR(VLOOKUP($CI22,付与!$1:$1167,COLUMN(K$1),FALSE),0))*VLOOKUP($D22,素材!$1:$1016,COLUMN($E$1),FALSE),0),"")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IFERROR(VLOOKUP($C22,装備品!$1:$998,COLUMN(AA$1),FALSE)*VLOOKUP($D22,素材!$1:$1016,COLUMN($G$1),FALSE),"")</f>
        <v>0</v>
      </c>
      <c r="N22">
        <f>IFERROR(VLOOKUP($C22,装備品!$1:$998,COLUMN(I$1),FALSE),"")</f>
        <v>0</v>
      </c>
      <c r="O22" s="23">
        <f>IFERROR((VLOOKUP($C22,装備品!$1:$998,COLUMN(K$1),FALSE)+VLOOKUP($D22,素材!$1:$1016,COLUMN(H$1),FALSE))*100+IFERROR(VLOOKUP($CI22,付与!$1:$1167,COLUMN(O$1),FALSE),0),"")</f>
        <v>10</v>
      </c>
      <c r="P22" s="23">
        <f>IFERROR((VLOOKUP($C22,装備品!$1:$998,COLUMN(L$1),FALSE)+VLOOKUP($D22,素材!$1:$1016,COLUMN(I$1),FALSE))*100+IFERROR(VLOOKUP($CI22,付与!$1:$1167,COLUMN(P$1),FALSE),0),"")</f>
        <v>150</v>
      </c>
      <c r="Q22">
        <f>IFERROR(ROUNDUP(VLOOKUP($C22,装備品!$1:$998,COLUMN(M$1),FALSE)*(VLOOKUP($D22,素材!$1:$1002,COLUMN(D$1),FALSE)/100),1),"")</f>
        <v>0</v>
      </c>
      <c r="R22">
        <f>IFERROR(ROUNDUP(VLOOKUP($C22,装備品!$1:$998,COLUMN(N$1),FALSE)*(VLOOKUP($D22,素材!$1:$1002,COLUMN(D$1),FALSE)/100),1),"")</f>
        <v>0</v>
      </c>
      <c r="S22">
        <f>IFERROR(VLOOKUP($C22,装備品!$1:$998,COLUMN(P$1),FALSE),"")</f>
        <v>0</v>
      </c>
      <c r="T22">
        <f>IFERROR(VLOOKUP($C22,装備品!$1:$998,COLUMN(Q$1),FALSE),"")</f>
        <v>0</v>
      </c>
      <c r="U22">
        <f>IFERROR(VLOOKUP($C22,装備品!$1:$998,COLUMN(R$1),FALSE),"")</f>
        <v>0</v>
      </c>
      <c r="V22">
        <f>IFERROR(VLOOKUP($C22,装備品!$1:$998,COLUMN(Q$1),FALSE),"")</f>
        <v>0</v>
      </c>
      <c r="W22">
        <f>IFERROR(VLOOKUP($C22,装備品!$1:$998,COLUMN(T$1),FALSE),"")</f>
        <v>0</v>
      </c>
      <c r="Y22">
        <f>IFERROR(VLOOKUP($C22,装備品!$1:$998,COLUMN(U$1),FALSE),"")</f>
        <v>1</v>
      </c>
      <c r="Z22">
        <f>IFERROR(ROUNDUP(VLOOKUP($C22,装備品!$1:$998,COLUMN(O$1),FALSE)*VLOOKUP($D22,素材!$1:$1016,COLUMN(E$1),FALSE),1),"")</f>
        <v>0</v>
      </c>
      <c r="AA22">
        <f>IF(ISNUMBER(SEARCH(SUBSTITUTE(AA$1,RIGHT(AA$1,2),""),VLOOKUP($D22,素材!$1:$1016,COLUMN($F$1),FALSE))),VLOOKUP($C22,装備品!$1:$998,COLUMN($O$1),FALSE)*VLOOKUP($D22,素材!$1:$1016,COLUMN($E$1),FALSE)/(LEN(VLOOKUP($D22,素材!$1:$1016,COLUMN($F$1),FALSE))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22</v>
      </c>
      <c r="CM22" s="22" t="str">
        <f t="shared" si="2"/>
        <v>切断.webp</v>
      </c>
      <c r="CN22">
        <f>IFERROR(VLOOKUP($C22,装備品!$1:$998,COLUMN(V$1),FALSE)*VLOOKUP($D22,素材!$1:$1016,COLUMN(N$1),FALSE)+IF(CI22="",0,VLOOKUP($CI22,付与!$1:$1176,COLUMN($CK$1),FALSE)),"")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IFERROR(VLOOKUP($D23,素材!$1:$1016,COLUMN($B$1),FALSE)&amp;"・"&amp;VLOOKUP($C23,装備品!$1:$998,COLUMN(B$1),FALSE),"")</f>
        <v>アイアン・バックラー</v>
      </c>
      <c r="C23" t="s">
        <v>221</v>
      </c>
      <c r="D23" s="24" t="s">
        <v>256</v>
      </c>
      <c r="E23" t="str">
        <f>IFERROR(VLOOKUP(C23,装備品!$1:$998,COLUMN(C$1),FALSE),"")</f>
        <v>盾</v>
      </c>
      <c r="F23">
        <f>IFERROR(ROUNDDOWN((VLOOKUP($C23,装備品!$1:$998,COLUMN(D$1),FALSE)+IFERROR(VLOOKUP($CI23,付与!$1:$1167,COLUMN(F$1),FALSE),0))*VLOOKUP($D23,素材!$1:$1016,COLUMN(D$1),FALSE),0),"")</f>
        <v>100</v>
      </c>
      <c r="G23">
        <f>IFERROR(ROUNDDOWN((VLOOKUP($C23,装備品!$1:$998,COLUMN(E$1),FALSE)+IFERROR(VLOOKUP($CI23,付与!$1:$1167,COLUMN(G$1),FALSE),0))*VLOOKUP($D23,素材!$1:$1016,COLUMN($E$1),FALSE),0),"")</f>
        <v>8</v>
      </c>
      <c r="H23">
        <f>IFERROR(ROUNDDOWN((VLOOKUP($C23,装備品!$1:$998,COLUMN(F$1),FALSE)+IFERROR(VLOOKUP($CI23,付与!$1:$1167,COLUMN(H$1),FALSE),0))*VLOOKUP($D23,素材!$1:$1016,COLUMN($E$1),FALSE),0),"")</f>
        <v>0</v>
      </c>
      <c r="I23">
        <f>IFERROR(ROUNDDOWN((VLOOKUP($C23,装備品!$1:$998,COLUMN(G$1),FALSE)+IFERROR(VLOOKUP($CI23,付与!$1:$1167,COLUMN(I$1),FALSE),0))*VLOOKUP($D23,素材!$1:$1016,COLUMN($E$1),FALSE),0),"")</f>
        <v>8</v>
      </c>
      <c r="J23">
        <f>IFERROR(ROUNDDOWN((VLOOKUP($C23,装備品!$1:$998,COLUMN(H$1),FALSE)+IFERROR(VLOOKUP($CI23,付与!$1:$1167,COLUMN(J$1),FALSE),0))*VLOOKUP($D23,素材!$1:$1016,COLUMN($E$1),FALSE),0),"")</f>
        <v>23</v>
      </c>
      <c r="K23">
        <f>IFERROR(ROUNDDOWN((VLOOKUP($C23,装備品!$1:$998,COLUMN(I$1),FALSE)+IFERROR(VLOOKUP($CI23,付与!$1:$1167,COLUMN(K$1),FALSE),0))*VLOOKUP($D23,素材!$1:$1016,COLUMN($E$1),FALSE),0),"")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IFERROR(VLOOKUP($C23,装備品!$1:$998,COLUMN(AA$1),FALSE)*VLOOKUP($D23,素材!$1:$1016,COLUMN($G$1),FALSE),"")</f>
        <v>0</v>
      </c>
      <c r="N23">
        <f>IFERROR(VLOOKUP($C23,装備品!$1:$998,COLUMN(I$1),FALSE),"")</f>
        <v>0</v>
      </c>
      <c r="O23" s="23">
        <f>IFERROR((VLOOKUP($C23,装備品!$1:$998,COLUMN(K$1),FALSE)+VLOOKUP($D23,素材!$1:$1016,COLUMN(H$1),FALSE))*100+IFERROR(VLOOKUP($CI23,付与!$1:$1167,COLUMN(O$1),FALSE),0),"")</f>
        <v>5</v>
      </c>
      <c r="P23" s="23">
        <f>IFERROR((VLOOKUP($C23,装備品!$1:$998,COLUMN(L$1),FALSE)+VLOOKUP($D23,素材!$1:$1016,COLUMN(I$1),FALSE))*100+IFERROR(VLOOKUP($CI23,付与!$1:$1167,COLUMN(P$1),FALSE),0),"")</f>
        <v>125</v>
      </c>
      <c r="Q23">
        <f>IFERROR(ROUNDUP(VLOOKUP($C23,装備品!$1:$998,COLUMN(M$1),FALSE)*(VLOOKUP($D23,素材!$1:$1002,COLUMN(D$1),FALSE)/100),1),"")</f>
        <v>0</v>
      </c>
      <c r="R23">
        <f>IFERROR(ROUNDUP(VLOOKUP($C23,装備品!$1:$998,COLUMN(N$1),FALSE)*(VLOOKUP($D23,素材!$1:$1002,COLUMN(D$1),FALSE)/100),1),"")</f>
        <v>0</v>
      </c>
      <c r="S23">
        <f>IFERROR(VLOOKUP($C23,装備品!$1:$998,COLUMN(P$1),FALSE),"")</f>
        <v>0</v>
      </c>
      <c r="T23">
        <f>IFERROR(VLOOKUP($C23,装備品!$1:$998,COLUMN(Q$1),FALSE),"")</f>
        <v>0</v>
      </c>
      <c r="U23">
        <f>IFERROR(VLOOKUP($C23,装備品!$1:$998,COLUMN(R$1),FALSE),"")</f>
        <v>0</v>
      </c>
      <c r="V23">
        <f>IFERROR(VLOOKUP($C23,装備品!$1:$998,COLUMN(Q$1),FALSE),"")</f>
        <v>0</v>
      </c>
      <c r="W23">
        <f>IFERROR(VLOOKUP($C23,装備品!$1:$998,COLUMN(T$1),FALSE),"")</f>
        <v>0</v>
      </c>
      <c r="Y23">
        <f>IFERROR(VLOOKUP($C23,装備品!$1:$998,COLUMN(U$1),FALSE),"")</f>
        <v>0</v>
      </c>
      <c r="Z23">
        <f>IFERROR(ROUNDUP(VLOOKUP($C23,装備品!$1:$998,COLUMN(O$1),FALSE)*VLOOKUP($D23,素材!$1:$1016,COLUMN(E$1),FALSE),1),"")</f>
        <v>0</v>
      </c>
      <c r="AA23">
        <f>IF(ISNUMBER(SEARCH(SUBSTITUTE(AA$1,RIGHT(AA$1,2),""),VLOOKUP($D23,素材!$1:$1016,COLUMN($F$1),FALSE))),VLOOKUP($C23,装備品!$1:$998,COLUMN($O$1),FALSE)*VLOOKUP($D23,素材!$1:$1016,COLUMN($E$1),FALSE)/(LEN(VLOOKUP($D23,素材!$1:$1016,COLUMN($F$1),FALSE))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16</v>
      </c>
      <c r="CM23" s="22" t="str">
        <f t="shared" si="2"/>
        <v>盾.webp</v>
      </c>
      <c r="CN23">
        <f>IFERROR(VLOOKUP($C23,装備品!$1:$998,COLUMN(V$1),FALSE)*VLOOKUP($D23,素材!$1:$1016,COLUMN(N$1),FALSE)+IF(CI23="",0,VLOOKUP($CI23,付与!$1:$1176,COLUMN($CK$1),FALSE)),"")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IFERROR(VLOOKUP($D24,素材!$1:$1016,COLUMN($B$1),FALSE)&amp;"・"&amp;VLOOKUP($C24,装備品!$1:$998,COLUMN(B$1),FALSE),"")</f>
        <v>アイアン・シールド</v>
      </c>
      <c r="C24" t="s">
        <v>220</v>
      </c>
      <c r="D24" s="24" t="s">
        <v>256</v>
      </c>
      <c r="E24" t="str">
        <f>IFERROR(VLOOKUP(C24,装備品!$1:$998,COLUMN(C$1),FALSE),"")</f>
        <v>盾</v>
      </c>
      <c r="F24">
        <f>IFERROR(ROUNDDOWN((VLOOKUP($C24,装備品!$1:$998,COLUMN(D$1),FALSE)+IFERROR(VLOOKUP($CI24,付与!$1:$1167,COLUMN(F$1),FALSE),0))*VLOOKUP($D24,素材!$1:$1016,COLUMN(D$1),FALSE),0),"")</f>
        <v>100</v>
      </c>
      <c r="G24">
        <f>IFERROR(ROUNDDOWN((VLOOKUP($C24,装備品!$1:$998,COLUMN(E$1),FALSE)+IFERROR(VLOOKUP($CI24,付与!$1:$1167,COLUMN(G$1),FALSE),0))*VLOOKUP($D24,素材!$1:$1016,COLUMN($E$1),FALSE),0),"")</f>
        <v>0</v>
      </c>
      <c r="H24">
        <f>IFERROR(ROUNDDOWN((VLOOKUP($C24,装備品!$1:$998,COLUMN(F$1),FALSE)+IFERROR(VLOOKUP($CI24,付与!$1:$1167,COLUMN(H$1),FALSE),0))*VLOOKUP($D24,素材!$1:$1016,COLUMN($E$1),FALSE),0),"")</f>
        <v>0</v>
      </c>
      <c r="I24">
        <f>IFERROR(ROUNDDOWN((VLOOKUP($C24,装備品!$1:$998,COLUMN(G$1),FALSE)+IFERROR(VLOOKUP($CI24,付与!$1:$1167,COLUMN(I$1),FALSE),0))*VLOOKUP($D24,素材!$1:$1016,COLUMN($E$1),FALSE),0),"")</f>
        <v>16</v>
      </c>
      <c r="J24">
        <f>IFERROR(ROUNDDOWN((VLOOKUP($C24,装備品!$1:$998,COLUMN(H$1),FALSE)+IFERROR(VLOOKUP($CI24,付与!$1:$1167,COLUMN(J$1),FALSE),0))*VLOOKUP($D24,素材!$1:$1016,COLUMN($E$1),FALSE),0),"")</f>
        <v>25</v>
      </c>
      <c r="K24">
        <f>IFERROR(ROUNDDOWN((VLOOKUP($C24,装備品!$1:$998,COLUMN(I$1),FALSE)+IFERROR(VLOOKUP($CI24,付与!$1:$1167,COLUMN(K$1),FALSE),0))*VLOOKUP($D24,素材!$1:$1016,COLUMN($E$1),FALSE),0),"")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IFERROR(VLOOKUP($C24,装備品!$1:$998,COLUMN(AA$1),FALSE)*VLOOKUP($D24,素材!$1:$1016,COLUMN($G$1),FALSE),"")</f>
        <v>0</v>
      </c>
      <c r="N24">
        <f>IFERROR(VLOOKUP($C24,装備品!$1:$998,COLUMN(I$1),FALSE),"")</f>
        <v>0</v>
      </c>
      <c r="O24" s="23">
        <f>IFERROR((VLOOKUP($C24,装備品!$1:$998,COLUMN(K$1),FALSE)+VLOOKUP($D24,素材!$1:$1016,COLUMN(H$1),FALSE))*100+IFERROR(VLOOKUP($CI24,付与!$1:$1167,COLUMN(O$1),FALSE),0),"")</f>
        <v>5</v>
      </c>
      <c r="P24" s="23">
        <f>IFERROR((VLOOKUP($C24,装備品!$1:$998,COLUMN(L$1),FALSE)+VLOOKUP($D24,素材!$1:$1016,COLUMN(I$1),FALSE))*100+IFERROR(VLOOKUP($CI24,付与!$1:$1167,COLUMN(P$1),FALSE),0),"")</f>
        <v>125</v>
      </c>
      <c r="Q24">
        <f>IFERROR(ROUNDUP(VLOOKUP($C24,装備品!$1:$998,COLUMN(M$1),FALSE)*(VLOOKUP($D24,素材!$1:$1002,COLUMN(D$1),FALSE)/100),1),"")</f>
        <v>0</v>
      </c>
      <c r="R24">
        <f>IFERROR(ROUNDUP(VLOOKUP($C24,装備品!$1:$998,COLUMN(N$1),FALSE)*(VLOOKUP($D24,素材!$1:$1002,COLUMN(D$1),FALSE)/100),1),"")</f>
        <v>0</v>
      </c>
      <c r="S24">
        <f>IFERROR(VLOOKUP($C24,装備品!$1:$998,COLUMN(P$1),FALSE),"")</f>
        <v>0</v>
      </c>
      <c r="T24">
        <f>IFERROR(VLOOKUP($C24,装備品!$1:$998,COLUMN(Q$1),FALSE),"")</f>
        <v>0</v>
      </c>
      <c r="U24">
        <f>IFERROR(VLOOKUP($C24,装備品!$1:$998,COLUMN(R$1),FALSE),"")</f>
        <v>0</v>
      </c>
      <c r="V24">
        <f>IFERROR(VLOOKUP($C24,装備品!$1:$998,COLUMN(Q$1),FALSE),"")</f>
        <v>0</v>
      </c>
      <c r="W24">
        <f>IFERROR(VLOOKUP($C24,装備品!$1:$998,COLUMN(T$1),FALSE),"")</f>
        <v>0</v>
      </c>
      <c r="Y24">
        <f>IFERROR(VLOOKUP($C24,装備品!$1:$998,COLUMN(U$1),FALSE),"")</f>
        <v>0</v>
      </c>
      <c r="Z24">
        <f>IFERROR(ROUNDUP(VLOOKUP($C24,装備品!$1:$998,COLUMN(O$1),FALSE)*VLOOKUP($D24,素材!$1:$1016,COLUMN(E$1),FALSE),1),"")</f>
        <v>0</v>
      </c>
      <c r="AA24">
        <f>IF(ISNUMBER(SEARCH(SUBSTITUTE(AA$1,RIGHT(AA$1,2),""),VLOOKUP($D24,素材!$1:$1016,COLUMN($F$1),FALSE))),VLOOKUP($C24,装備品!$1:$998,COLUMN($O$1),FALSE)*VLOOKUP($D24,素材!$1:$1016,COLUMN($E$1),FALSE)/(LEN(VLOOKUP($D24,素材!$1:$1016,COLUMN($F$1),FALSE))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16</v>
      </c>
      <c r="CM24" s="22" t="str">
        <f t="shared" si="2"/>
        <v>盾.webp</v>
      </c>
      <c r="CN24">
        <f>IFERROR(VLOOKUP($C24,装備品!$1:$998,COLUMN(V$1),FALSE)*VLOOKUP($D24,素材!$1:$1016,COLUMN(N$1),FALSE)+IF(CI24="",0,VLOOKUP($CI24,付与!$1:$1176,COLUMN($CK$1),FALSE)),"")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IFERROR(VLOOKUP($D25,素材!$1:$1016,COLUMN($B$1),FALSE)&amp;"・"&amp;VLOOKUP($C25,装備品!$1:$998,COLUMN(B$1),FALSE),"")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IFERROR(VLOOKUP(C25,装備品!$1:$998,COLUMN(C$1),FALSE),"")</f>
        <v>盾</v>
      </c>
      <c r="F25">
        <f>IFERROR(ROUNDDOWN((VLOOKUP($C25,装備品!$1:$998,COLUMN(D$1),FALSE)+IFERROR(VLOOKUP($CI25,付与!$1:$1167,COLUMN(F$1),FALSE),0))*VLOOKUP($D25,素材!$1:$1016,COLUMN(D$1),FALSE),0),"")</f>
        <v>110</v>
      </c>
      <c r="G25">
        <f>IFERROR(ROUNDDOWN((VLOOKUP($C25,装備品!$1:$998,COLUMN(E$1),FALSE)+IFERROR(VLOOKUP($CI25,付与!$1:$1167,COLUMN(G$1),FALSE),0))*VLOOKUP($D25,素材!$1:$1016,COLUMN($E$1),FALSE),0),"")</f>
        <v>9</v>
      </c>
      <c r="H25">
        <f>IFERROR(ROUNDDOWN((VLOOKUP($C25,装備品!$1:$998,COLUMN(F$1),FALSE)+IFERROR(VLOOKUP($CI25,付与!$1:$1167,COLUMN(H$1),FALSE),0))*VLOOKUP($D25,素材!$1:$1016,COLUMN($E$1),FALSE),0),"")</f>
        <v>0</v>
      </c>
      <c r="I25">
        <f>IFERROR(ROUNDDOWN((VLOOKUP($C25,装備品!$1:$998,COLUMN(G$1),FALSE)+IFERROR(VLOOKUP($CI25,付与!$1:$1167,COLUMN(I$1),FALSE),0))*VLOOKUP($D25,素材!$1:$1016,COLUMN($E$1),FALSE),0),"")</f>
        <v>9</v>
      </c>
      <c r="J25">
        <f>IFERROR(ROUNDDOWN((VLOOKUP($C25,装備品!$1:$998,COLUMN(H$1),FALSE)+IFERROR(VLOOKUP($CI25,付与!$1:$1167,COLUMN(J$1),FALSE),0))*VLOOKUP($D25,素材!$1:$1016,COLUMN($E$1),FALSE),0),"")</f>
        <v>25</v>
      </c>
      <c r="K25">
        <f>IFERROR(ROUNDDOWN((VLOOKUP($C25,装備品!$1:$998,COLUMN(I$1),FALSE)+IFERROR(VLOOKUP($CI25,付与!$1:$1167,COLUMN(K$1),FALSE),0))*VLOOKUP($D25,素材!$1:$1016,COLUMN($E$1),FALSE),0),"")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IFERROR(VLOOKUP($C25,装備品!$1:$998,COLUMN(AA$1),FALSE)*VLOOKUP($D25,素材!$1:$1016,COLUMN($G$1),FALSE),"")</f>
        <v>0</v>
      </c>
      <c r="N25">
        <f>IFERROR(VLOOKUP($C25,装備品!$1:$998,COLUMN(I$1),FALSE),"")</f>
        <v>0</v>
      </c>
      <c r="O25" s="23">
        <f>IFERROR((VLOOKUP($C25,装備品!$1:$998,COLUMN(K$1),FALSE)+VLOOKUP($D25,素材!$1:$1016,COLUMN(H$1),FALSE))*100+IFERROR(VLOOKUP($CI25,付与!$1:$1167,COLUMN(O$1),FALSE),0),"")</f>
        <v>5</v>
      </c>
      <c r="P25" s="23">
        <f>IFERROR((VLOOKUP($C25,装備品!$1:$998,COLUMN(L$1),FALSE)+VLOOKUP($D25,素材!$1:$1016,COLUMN(I$1),FALSE))*100+IFERROR(VLOOKUP($CI25,付与!$1:$1167,COLUMN(P$1),FALSE),0),"")</f>
        <v>125</v>
      </c>
      <c r="Q25">
        <f>IFERROR(ROUNDUP(VLOOKUP($C25,装備品!$1:$998,COLUMN(M$1),FALSE)*(VLOOKUP($D25,素材!$1:$1002,COLUMN(D$1),FALSE)/100),1),"")</f>
        <v>-5</v>
      </c>
      <c r="R25">
        <f>IFERROR(ROUNDUP(VLOOKUP($C25,装備品!$1:$998,COLUMN(N$1),FALSE)*(VLOOKUP($D25,素材!$1:$1002,COLUMN(D$1),FALSE)/100),1),"")</f>
        <v>0</v>
      </c>
      <c r="S25">
        <f>IFERROR(VLOOKUP($C25,装備品!$1:$998,COLUMN(P$1),FALSE),"")</f>
        <v>0</v>
      </c>
      <c r="T25">
        <f>IFERROR(VLOOKUP($C25,装備品!$1:$998,COLUMN(Q$1),FALSE),"")</f>
        <v>0</v>
      </c>
      <c r="U25">
        <f>IFERROR(VLOOKUP($C25,装備品!$1:$998,COLUMN(R$1),FALSE),"")</f>
        <v>0</v>
      </c>
      <c r="V25">
        <f>IFERROR(VLOOKUP($C25,装備品!$1:$998,COLUMN(Q$1),FALSE),"")</f>
        <v>0</v>
      </c>
      <c r="W25">
        <f>IFERROR(VLOOKUP($C25,装備品!$1:$998,COLUMN(T$1),FALSE),"")</f>
        <v>0</v>
      </c>
      <c r="Y25">
        <f>IFERROR(VLOOKUP($C25,装備品!$1:$998,COLUMN(U$1),FALSE),"")</f>
        <v>0</v>
      </c>
      <c r="Z25">
        <f>IFERROR(ROUNDUP(VLOOKUP($C25,装備品!$1:$998,COLUMN(O$1),FALSE)*VLOOKUP($D25,素材!$1:$1016,COLUMN(E$1),FALSE),1),"")</f>
        <v>0</v>
      </c>
      <c r="AA25">
        <f>IF(ISNUMBER(SEARCH(SUBSTITUTE(AA$1,RIGHT(AA$1,2),""),VLOOKUP($D25,素材!$1:$1016,COLUMN($F$1),FALSE))),VLOOKUP($C25,装備品!$1:$998,COLUMN($O$1),FALSE)*VLOOKUP($D25,素材!$1:$1016,COLUMN($E$1),FALSE)/(LEN(VLOOKUP($D25,素材!$1:$1016,COLUMN($F$1),FALSE))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18</v>
      </c>
      <c r="CM25" s="22" t="str">
        <f t="shared" si="2"/>
        <v>盾.webp</v>
      </c>
      <c r="CN25">
        <f>IFERROR(VLOOKUP($C25,装備品!$1:$998,COLUMN(V$1),FALSE)*VLOOKUP($D25,素材!$1:$1016,COLUMN(N$1),FALSE)+IF(CI25="",0,VLOOKUP($CI25,付与!$1:$1176,COLUMN($CK$1),FALSE)),"")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IFERROR(VLOOKUP($D26,素材!$1:$1016,COLUMN($B$1),FALSE)&amp;"・"&amp;VLOOKUP($C26,装備品!$1:$998,COLUMN(B$1),FALSE),"")</f>
        <v>アイアン・ラージシールド</v>
      </c>
      <c r="C26" t="s">
        <v>218</v>
      </c>
      <c r="D26" s="24" t="s">
        <v>256</v>
      </c>
      <c r="E26" t="str">
        <f>IFERROR(VLOOKUP(C26,装備品!$1:$998,COLUMN(C$1),FALSE),"")</f>
        <v>盾</v>
      </c>
      <c r="F26">
        <f>IFERROR(ROUNDDOWN((VLOOKUP($C26,装備品!$1:$998,COLUMN(D$1),FALSE)+IFERROR(VLOOKUP($CI26,付与!$1:$1167,COLUMN(F$1),FALSE),0))*VLOOKUP($D26,素材!$1:$1016,COLUMN(D$1),FALSE),0),"")</f>
        <v>115</v>
      </c>
      <c r="G26">
        <f>IFERROR(ROUNDDOWN((VLOOKUP($C26,装備品!$1:$998,COLUMN(E$1),FALSE)+IFERROR(VLOOKUP($CI26,付与!$1:$1167,COLUMN(G$1),FALSE),0))*VLOOKUP($D26,素材!$1:$1016,COLUMN($E$1),FALSE),0),"")</f>
        <v>0</v>
      </c>
      <c r="H26">
        <f>IFERROR(ROUNDDOWN((VLOOKUP($C26,装備品!$1:$998,COLUMN(F$1),FALSE)+IFERROR(VLOOKUP($CI26,付与!$1:$1167,COLUMN(H$1),FALSE),0))*VLOOKUP($D26,素材!$1:$1016,COLUMN($E$1),FALSE),0),"")</f>
        <v>0</v>
      </c>
      <c r="I26">
        <f>IFERROR(ROUNDDOWN((VLOOKUP($C26,装備品!$1:$998,COLUMN(G$1),FALSE)+IFERROR(VLOOKUP($CI26,付与!$1:$1167,COLUMN(I$1),FALSE),0))*VLOOKUP($D26,素材!$1:$1016,COLUMN($E$1),FALSE),0),"")</f>
        <v>17</v>
      </c>
      <c r="J26">
        <f>IFERROR(ROUNDDOWN((VLOOKUP($C26,装備品!$1:$998,COLUMN(H$1),FALSE)+IFERROR(VLOOKUP($CI26,付与!$1:$1167,COLUMN(J$1),FALSE),0))*VLOOKUP($D26,素材!$1:$1016,COLUMN($E$1),FALSE),0),"")</f>
        <v>27</v>
      </c>
      <c r="K26">
        <f>IFERROR(ROUNDDOWN((VLOOKUP($C26,装備品!$1:$998,COLUMN(I$1),FALSE)+IFERROR(VLOOKUP($CI26,付与!$1:$1167,COLUMN(K$1),FALSE),0))*VLOOKUP($D26,素材!$1:$1016,COLUMN($E$1),FALSE),0),"")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IFERROR(VLOOKUP($C26,装備品!$1:$998,COLUMN(AA$1),FALSE)*VLOOKUP($D26,素材!$1:$1016,COLUMN($G$1),FALSE),"")</f>
        <v>0</v>
      </c>
      <c r="N26">
        <f>IFERROR(VLOOKUP($C26,装備品!$1:$998,COLUMN(I$1),FALSE),"")</f>
        <v>0</v>
      </c>
      <c r="O26" s="23">
        <f>IFERROR((VLOOKUP($C26,装備品!$1:$998,COLUMN(K$1),FALSE)+VLOOKUP($D26,素材!$1:$1016,COLUMN(H$1),FALSE))*100+IFERROR(VLOOKUP($CI26,付与!$1:$1167,COLUMN(O$1),FALSE),0),"")</f>
        <v>5</v>
      </c>
      <c r="P26" s="23">
        <f>IFERROR((VLOOKUP($C26,装備品!$1:$998,COLUMN(L$1),FALSE)+VLOOKUP($D26,素材!$1:$1016,COLUMN(I$1),FALSE))*100+IFERROR(VLOOKUP($CI26,付与!$1:$1167,COLUMN(P$1),FALSE),0),"")</f>
        <v>125</v>
      </c>
      <c r="Q26">
        <f>IFERROR(ROUNDUP(VLOOKUP($C26,装備品!$1:$998,COLUMN(M$1),FALSE)*(VLOOKUP($D26,素材!$1:$1002,COLUMN(D$1),FALSE)/100),1),"")</f>
        <v>-5</v>
      </c>
      <c r="R26">
        <f>IFERROR(ROUNDUP(VLOOKUP($C26,装備品!$1:$998,COLUMN(N$1),FALSE)*(VLOOKUP($D26,素材!$1:$1002,COLUMN(D$1),FALSE)/100),1),"")</f>
        <v>0</v>
      </c>
      <c r="S26">
        <f>IFERROR(VLOOKUP($C26,装備品!$1:$998,COLUMN(P$1),FALSE),"")</f>
        <v>0</v>
      </c>
      <c r="T26">
        <f>IFERROR(VLOOKUP($C26,装備品!$1:$998,COLUMN(Q$1),FALSE),"")</f>
        <v>0</v>
      </c>
      <c r="U26">
        <f>IFERROR(VLOOKUP($C26,装備品!$1:$998,COLUMN(R$1),FALSE),"")</f>
        <v>0</v>
      </c>
      <c r="V26">
        <f>IFERROR(VLOOKUP($C26,装備品!$1:$998,COLUMN(Q$1),FALSE),"")</f>
        <v>0</v>
      </c>
      <c r="W26">
        <f>IFERROR(VLOOKUP($C26,装備品!$1:$998,COLUMN(T$1),FALSE),"")</f>
        <v>0</v>
      </c>
      <c r="Y26">
        <f>IFERROR(VLOOKUP($C26,装備品!$1:$998,COLUMN(U$1),FALSE),"")</f>
        <v>0</v>
      </c>
      <c r="Z26">
        <f>IFERROR(ROUNDUP(VLOOKUP($C26,装備品!$1:$998,COLUMN(O$1),FALSE)*VLOOKUP($D26,素材!$1:$1016,COLUMN(E$1),FALSE),1),"")</f>
        <v>0</v>
      </c>
      <c r="AA26">
        <f>IF(ISNUMBER(SEARCH(SUBSTITUTE(AA$1,RIGHT(AA$1,2),""),VLOOKUP($D26,素材!$1:$1016,COLUMN($F$1),FALSE))),VLOOKUP($C26,装備品!$1:$998,COLUMN($O$1),FALSE)*VLOOKUP($D26,素材!$1:$1016,COLUMN($E$1),FALSE)/(LEN(VLOOKUP($D26,素材!$1:$1016,COLUMN($F$1),FALSE))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17</v>
      </c>
      <c r="CM26" s="22" t="str">
        <f t="shared" si="2"/>
        <v>盾.webp</v>
      </c>
      <c r="CN26">
        <f>IFERROR(VLOOKUP($C26,装備品!$1:$998,COLUMN(V$1),FALSE)*VLOOKUP($D26,素材!$1:$1016,COLUMN(N$1),FALSE)+IF(CI26="",0,VLOOKUP($CI26,付与!$1:$1176,COLUMN($CK$1),FALSE)),"")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IFERROR(VLOOKUP($D27,素材!$1:$1016,COLUMN($B$1),FALSE)&amp;"・"&amp;VLOOKUP($C27,装備品!$1:$998,COLUMN(B$1),FALSE),"")</f>
        <v>アイアン・ボウ</v>
      </c>
      <c r="C27" t="s">
        <v>217</v>
      </c>
      <c r="D27" s="24" t="s">
        <v>256</v>
      </c>
      <c r="E27" t="str">
        <f>IFERROR(VLOOKUP(C27,装備品!$1:$998,COLUMN(C$1),FALSE),"")</f>
        <v>武器</v>
      </c>
      <c r="F27">
        <f>IFERROR(ROUNDDOWN((VLOOKUP($C27,装備品!$1:$998,COLUMN(D$1),FALSE)+IFERROR(VLOOKUP($CI27,付与!$1:$1167,COLUMN(F$1),FALSE),0))*VLOOKUP($D27,素材!$1:$1016,COLUMN(D$1),FALSE),0),"")</f>
        <v>110</v>
      </c>
      <c r="G27">
        <f>IFERROR(ROUNDDOWN((VLOOKUP($C27,装備品!$1:$998,COLUMN(E$1),FALSE)+IFERROR(VLOOKUP($CI27,付与!$1:$1167,COLUMN(G$1),FALSE),0))*VLOOKUP($D27,素材!$1:$1016,COLUMN($E$1),FALSE),0),"")</f>
        <v>5</v>
      </c>
      <c r="H27">
        <f>IFERROR(ROUNDDOWN((VLOOKUP($C27,装備品!$1:$998,COLUMN(F$1),FALSE)+IFERROR(VLOOKUP($CI27,付与!$1:$1167,COLUMN(H$1),FALSE),0))*VLOOKUP($D27,素材!$1:$1016,COLUMN($E$1),FALSE),0),"")</f>
        <v>5</v>
      </c>
      <c r="I27">
        <f>IFERROR(ROUNDDOWN((VLOOKUP($C27,装備品!$1:$998,COLUMN(G$1),FALSE)+IFERROR(VLOOKUP($CI27,付与!$1:$1167,COLUMN(I$1),FALSE),0))*VLOOKUP($D27,素材!$1:$1016,COLUMN($E$1),FALSE),0),"")</f>
        <v>0</v>
      </c>
      <c r="J27">
        <f>IFERROR(ROUNDDOWN((VLOOKUP($C27,装備品!$1:$998,COLUMN(H$1),FALSE)+IFERROR(VLOOKUP($CI27,付与!$1:$1167,COLUMN(J$1),FALSE),0))*VLOOKUP($D27,素材!$1:$1016,COLUMN($E$1),FALSE),0),"")</f>
        <v>0</v>
      </c>
      <c r="K27">
        <f>IFERROR(ROUNDDOWN((VLOOKUP($C27,装備品!$1:$998,COLUMN(I$1),FALSE)+IFERROR(VLOOKUP($CI27,付与!$1:$1167,COLUMN(K$1),FALSE),0))*VLOOKUP($D27,素材!$1:$1016,COLUMN($E$1),FALSE),0),"")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IFERROR(VLOOKUP($C27,装備品!$1:$998,COLUMN(AA$1),FALSE)*VLOOKUP($D27,素材!$1:$1016,COLUMN($G$1),FALSE),"")</f>
        <v>0</v>
      </c>
      <c r="N27">
        <f>IFERROR(VLOOKUP($C27,装備品!$1:$998,COLUMN(I$1),FALSE),"")</f>
        <v>1</v>
      </c>
      <c r="O27" s="23">
        <f>IFERROR((VLOOKUP($C27,装備品!$1:$998,COLUMN(K$1),FALSE)+VLOOKUP($D27,素材!$1:$1016,COLUMN(H$1),FALSE))*100+IFERROR(VLOOKUP($CI27,付与!$1:$1167,COLUMN(O$1),FALSE),0),"")</f>
        <v>10</v>
      </c>
      <c r="P27" s="23">
        <f>IFERROR((VLOOKUP($C27,装備品!$1:$998,COLUMN(L$1),FALSE)+VLOOKUP($D27,素材!$1:$1016,COLUMN(I$1),FALSE))*100+IFERROR(VLOOKUP($CI27,付与!$1:$1167,COLUMN(P$1),FALSE),0),"")</f>
        <v>130</v>
      </c>
      <c r="Q27">
        <f>IFERROR(ROUNDUP(VLOOKUP($C27,装備品!$1:$998,COLUMN(M$1),FALSE)*(VLOOKUP($D27,素材!$1:$1002,COLUMN(D$1),FALSE)/100),1),"")</f>
        <v>-2.5</v>
      </c>
      <c r="R27">
        <f>IFERROR(ROUNDUP(VLOOKUP($C27,装備品!$1:$998,COLUMN(N$1),FALSE)*(VLOOKUP($D27,素材!$1:$1002,COLUMN(D$1),FALSE)/100),1),"")</f>
        <v>0</v>
      </c>
      <c r="S27">
        <f>IFERROR(VLOOKUP($C27,装備品!$1:$998,COLUMN(P$1),FALSE),"")</f>
        <v>0</v>
      </c>
      <c r="T27">
        <f>IFERROR(VLOOKUP($C27,装備品!$1:$998,COLUMN(Q$1),FALSE),"")</f>
        <v>0</v>
      </c>
      <c r="U27">
        <f>IFERROR(VLOOKUP($C27,装備品!$1:$998,COLUMN(R$1),FALSE),"")</f>
        <v>0</v>
      </c>
      <c r="V27">
        <f>IFERROR(VLOOKUP($C27,装備品!$1:$998,COLUMN(Q$1),FALSE),"")</f>
        <v>0</v>
      </c>
      <c r="W27">
        <f>IFERROR(VLOOKUP($C27,装備品!$1:$998,COLUMN(T$1),FALSE),"")</f>
        <v>0</v>
      </c>
      <c r="Y27">
        <f>IFERROR(VLOOKUP($C27,装備品!$1:$998,COLUMN(U$1),FALSE),"")</f>
        <v>2</v>
      </c>
      <c r="Z27">
        <f>IFERROR(ROUNDUP(VLOOKUP($C27,装備品!$1:$998,COLUMN(O$1),FALSE)*VLOOKUP($D27,素材!$1:$1016,COLUMN(E$1),FALSE),1),"")</f>
        <v>0</v>
      </c>
      <c r="AA27">
        <f>IF(ISNUMBER(SEARCH(SUBSTITUTE(AA$1,RIGHT(AA$1,2),""),VLOOKUP($D27,素材!$1:$1016,COLUMN($F$1),FALSE))),VLOOKUP($C27,装備品!$1:$998,COLUMN($O$1),FALSE)*VLOOKUP($D27,素材!$1:$1016,COLUMN($E$1),FALSE)/(LEN(VLOOKUP($D27,素材!$1:$1016,COLUMN($F$1),FALSE))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10</v>
      </c>
      <c r="CM27" s="22" t="str">
        <f t="shared" si="2"/>
        <v>切断.webp</v>
      </c>
      <c r="CN27">
        <f>IFERROR(VLOOKUP($C27,装備品!$1:$998,COLUMN(V$1),FALSE)*VLOOKUP($D27,素材!$1:$1016,COLUMN(N$1),FALSE)+IF(CI27="",0,VLOOKUP($CI27,付与!$1:$1176,COLUMN($CK$1),FALSE)),"")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IFERROR(VLOOKUP($D28,素材!$1:$1016,COLUMN($B$1),FALSE)&amp;"・"&amp;VLOOKUP($C28,装備品!$1:$998,COLUMN(B$1),FALSE),"")</f>
        <v>アイアン・ロングボウ</v>
      </c>
      <c r="C28" t="s">
        <v>216</v>
      </c>
      <c r="D28" s="24" t="s">
        <v>256</v>
      </c>
      <c r="E28" t="str">
        <f>IFERROR(VLOOKUP(C28,装備品!$1:$998,COLUMN(C$1),FALSE),"")</f>
        <v>武器</v>
      </c>
      <c r="F28">
        <f>IFERROR(ROUNDDOWN((VLOOKUP($C28,装備品!$1:$998,COLUMN(D$1),FALSE)+IFERROR(VLOOKUP($CI28,付与!$1:$1167,COLUMN(F$1),FALSE),0))*VLOOKUP($D28,素材!$1:$1016,COLUMN(D$1),FALSE),0),"")</f>
        <v>120</v>
      </c>
      <c r="G28">
        <f>IFERROR(ROUNDDOWN((VLOOKUP($C28,装備品!$1:$998,COLUMN(E$1),FALSE)+IFERROR(VLOOKUP($CI28,付与!$1:$1167,COLUMN(G$1),FALSE),0))*VLOOKUP($D28,素材!$1:$1016,COLUMN($E$1),FALSE),0),"")</f>
        <v>5</v>
      </c>
      <c r="H28">
        <f>IFERROR(ROUNDDOWN((VLOOKUP($C28,装備品!$1:$998,COLUMN(F$1),FALSE)+IFERROR(VLOOKUP($CI28,付与!$1:$1167,COLUMN(H$1),FALSE),0))*VLOOKUP($D28,素材!$1:$1016,COLUMN($E$1),FALSE),0),"")</f>
        <v>5</v>
      </c>
      <c r="I28">
        <f>IFERROR(ROUNDDOWN((VLOOKUP($C28,装備品!$1:$998,COLUMN(G$1),FALSE)+IFERROR(VLOOKUP($CI28,付与!$1:$1167,COLUMN(I$1),FALSE),0))*VLOOKUP($D28,素材!$1:$1016,COLUMN($E$1),FALSE),0),"")</f>
        <v>0</v>
      </c>
      <c r="J28">
        <f>IFERROR(ROUNDDOWN((VLOOKUP($C28,装備品!$1:$998,COLUMN(H$1),FALSE)+IFERROR(VLOOKUP($CI28,付与!$1:$1167,COLUMN(J$1),FALSE),0))*VLOOKUP($D28,素材!$1:$1016,COLUMN($E$1),FALSE),0),"")</f>
        <v>0</v>
      </c>
      <c r="K28">
        <f>IFERROR(ROUNDDOWN((VLOOKUP($C28,装備品!$1:$998,COLUMN(I$1),FALSE)+IFERROR(VLOOKUP($CI28,付与!$1:$1167,COLUMN(K$1),FALSE),0))*VLOOKUP($D28,素材!$1:$1016,COLUMN($E$1),FALSE),0),"")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IFERROR(VLOOKUP($C28,装備品!$1:$998,COLUMN(AA$1),FALSE)*VLOOKUP($D28,素材!$1:$1016,COLUMN($G$1),FALSE),"")</f>
        <v>0</v>
      </c>
      <c r="N28">
        <f>IFERROR(VLOOKUP($C28,装備品!$1:$998,COLUMN(I$1),FALSE),"")</f>
        <v>1.1499999999999999</v>
      </c>
      <c r="O28" s="23">
        <f>IFERROR((VLOOKUP($C28,装備品!$1:$998,COLUMN(K$1),FALSE)+VLOOKUP($D28,素材!$1:$1016,COLUMN(H$1),FALSE))*100+IFERROR(VLOOKUP($CI28,付与!$1:$1167,COLUMN(O$1),FALSE),0),"")</f>
        <v>10</v>
      </c>
      <c r="P28" s="23">
        <f>IFERROR((VLOOKUP($C28,装備品!$1:$998,COLUMN(L$1),FALSE)+VLOOKUP($D28,素材!$1:$1016,COLUMN(I$1),FALSE))*100+IFERROR(VLOOKUP($CI28,付与!$1:$1167,COLUMN(P$1),FALSE),0),"")</f>
        <v>130</v>
      </c>
      <c r="Q28">
        <f>IFERROR(ROUNDUP(VLOOKUP($C28,装備品!$1:$998,COLUMN(M$1),FALSE)*(VLOOKUP($D28,素材!$1:$1002,COLUMN(D$1),FALSE)/100),1),"")</f>
        <v>-5</v>
      </c>
      <c r="R28">
        <f>IFERROR(ROUNDUP(VLOOKUP($C28,装備品!$1:$998,COLUMN(N$1),FALSE)*(VLOOKUP($D28,素材!$1:$1002,COLUMN(D$1),FALSE)/100),1),"")</f>
        <v>-2.5</v>
      </c>
      <c r="S28">
        <f>IFERROR(VLOOKUP($C28,装備品!$1:$998,COLUMN(P$1),FALSE),"")</f>
        <v>0</v>
      </c>
      <c r="T28">
        <f>IFERROR(VLOOKUP($C28,装備品!$1:$998,COLUMN(Q$1),FALSE),"")</f>
        <v>0</v>
      </c>
      <c r="U28">
        <f>IFERROR(VLOOKUP($C28,装備品!$1:$998,COLUMN(R$1),FALSE),"")</f>
        <v>0</v>
      </c>
      <c r="V28">
        <f>IFERROR(VLOOKUP($C28,装備品!$1:$998,COLUMN(Q$1),FALSE),"")</f>
        <v>0</v>
      </c>
      <c r="W28">
        <f>IFERROR(VLOOKUP($C28,装備品!$1:$998,COLUMN(T$1),FALSE),"")</f>
        <v>0</v>
      </c>
      <c r="Y28">
        <f>IFERROR(VLOOKUP($C28,装備品!$1:$998,COLUMN(U$1),FALSE),"")</f>
        <v>2</v>
      </c>
      <c r="Z28">
        <f>IFERROR(ROUNDUP(VLOOKUP($C28,装備品!$1:$998,COLUMN(O$1),FALSE)*VLOOKUP($D28,素材!$1:$1016,COLUMN(E$1),FALSE),1),"")</f>
        <v>0</v>
      </c>
      <c r="AA28">
        <f>IF(ISNUMBER(SEARCH(SUBSTITUTE(AA$1,RIGHT(AA$1,2),""),VLOOKUP($D28,素材!$1:$1016,COLUMN($F$1),FALSE))),VLOOKUP($C28,装備品!$1:$998,COLUMN($O$1),FALSE)*VLOOKUP($D28,素材!$1:$1016,COLUMN($E$1),FALSE)/(LEN(VLOOKUP($D28,素材!$1:$1016,COLUMN($F$1),FALSE))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10</v>
      </c>
      <c r="CM28" s="22" t="str">
        <f t="shared" si="2"/>
        <v>切断.webp</v>
      </c>
      <c r="CN28">
        <f>IFERROR(VLOOKUP($C28,装備品!$1:$998,COLUMN(V$1),FALSE)*VLOOKUP($D28,素材!$1:$1016,COLUMN(N$1),FALSE)+IF(CI28="",0,VLOOKUP($CI28,付与!$1:$1176,COLUMN($CK$1),FALSE)),"")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IFERROR(VLOOKUP($D29,素材!$1:$1016,COLUMN($B$1),FALSE)&amp;"・"&amp;VLOOKUP($C29,装備品!$1:$998,COLUMN(B$1),FALSE),"")</f>
        <v>アイアン・ロッド</v>
      </c>
      <c r="C29" t="s">
        <v>215</v>
      </c>
      <c r="D29" s="24" t="s">
        <v>256</v>
      </c>
      <c r="E29" t="str">
        <f>IFERROR(VLOOKUP(C29,装備品!$1:$998,COLUMN(C$1),FALSE),"")</f>
        <v>杖</v>
      </c>
      <c r="F29">
        <f>IFERROR(ROUNDDOWN((VLOOKUP($C29,装備品!$1:$998,COLUMN(D$1),FALSE)+IFERROR(VLOOKUP($CI29,付与!$1:$1167,COLUMN(F$1),FALSE),0))*VLOOKUP($D29,素材!$1:$1016,COLUMN(D$1),FALSE),0),"")</f>
        <v>110</v>
      </c>
      <c r="G29">
        <f>IFERROR(ROUNDDOWN((VLOOKUP($C29,装備品!$1:$998,COLUMN(E$1),FALSE)+IFERROR(VLOOKUP($CI29,付与!$1:$1167,COLUMN(G$1),FALSE),0))*VLOOKUP($D29,素材!$1:$1016,COLUMN($E$1),FALSE),0),"")</f>
        <v>0</v>
      </c>
      <c r="H29">
        <f>IFERROR(ROUNDDOWN((VLOOKUP($C29,装備品!$1:$998,COLUMN(F$1),FALSE)+IFERROR(VLOOKUP($CI29,付与!$1:$1167,COLUMN(H$1),FALSE),0))*VLOOKUP($D29,素材!$1:$1016,COLUMN($E$1),FALSE),0),"")</f>
        <v>5</v>
      </c>
      <c r="I29">
        <f>IFERROR(ROUNDDOWN((VLOOKUP($C29,装備品!$1:$998,COLUMN(G$1),FALSE)+IFERROR(VLOOKUP($CI29,付与!$1:$1167,COLUMN(I$1),FALSE),0))*VLOOKUP($D29,素材!$1:$1016,COLUMN($E$1),FALSE),0),"")</f>
        <v>14</v>
      </c>
      <c r="J29">
        <f>IFERROR(ROUNDDOWN((VLOOKUP($C29,装備品!$1:$998,COLUMN(H$1),FALSE)+IFERROR(VLOOKUP($CI29,付与!$1:$1167,COLUMN(J$1),FALSE),0))*VLOOKUP($D29,素材!$1:$1016,COLUMN($E$1),FALSE),0),"")</f>
        <v>18</v>
      </c>
      <c r="K29">
        <f>IFERROR(ROUNDDOWN((VLOOKUP($C29,装備品!$1:$998,COLUMN(I$1),FALSE)+IFERROR(VLOOKUP($CI29,付与!$1:$1167,COLUMN(K$1),FALSE),0))*VLOOKUP($D29,素材!$1:$1016,COLUMN($E$1),FALSE),0),"")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IFERROR(VLOOKUP($C29,装備品!$1:$998,COLUMN(AA$1),FALSE)*VLOOKUP($D29,素材!$1:$1016,COLUMN($G$1),FALSE),"")</f>
        <v>0</v>
      </c>
      <c r="N29">
        <f>IFERROR(VLOOKUP($C29,装備品!$1:$998,COLUMN(I$1),FALSE),"")</f>
        <v>0</v>
      </c>
      <c r="O29" s="23">
        <f>IFERROR((VLOOKUP($C29,装備品!$1:$998,COLUMN(K$1),FALSE)+VLOOKUP($D29,素材!$1:$1016,COLUMN(H$1),FALSE))*100+IFERROR(VLOOKUP($CI29,付与!$1:$1167,COLUMN(O$1),FALSE),0),"")</f>
        <v>5</v>
      </c>
      <c r="P29" s="23">
        <f>IFERROR((VLOOKUP($C29,装備品!$1:$998,COLUMN(L$1),FALSE)+VLOOKUP($D29,素材!$1:$1016,COLUMN(I$1),FALSE))*100+IFERROR(VLOOKUP($CI29,付与!$1:$1167,COLUMN(P$1),FALSE),0),"")</f>
        <v>150</v>
      </c>
      <c r="Q29">
        <f>IFERROR(ROUNDUP(VLOOKUP($C29,装備品!$1:$998,COLUMN(M$1),FALSE)*(VLOOKUP($D29,素材!$1:$1002,COLUMN(D$1),FALSE)/100),1),"")</f>
        <v>0</v>
      </c>
      <c r="R29">
        <f>IFERROR(ROUNDUP(VLOOKUP($C29,装備品!$1:$998,COLUMN(N$1),FALSE)*(VLOOKUP($D29,素材!$1:$1002,COLUMN(D$1),FALSE)/100),1),"")</f>
        <v>0</v>
      </c>
      <c r="S29">
        <f>IFERROR(VLOOKUP($C29,装備品!$1:$998,COLUMN(P$1),FALSE),"")</f>
        <v>0</v>
      </c>
      <c r="T29">
        <f>IFERROR(VLOOKUP($C29,装備品!$1:$998,COLUMN(Q$1),FALSE),"")</f>
        <v>0</v>
      </c>
      <c r="U29">
        <f>IFERROR(VLOOKUP($C29,装備品!$1:$998,COLUMN(R$1),FALSE),"")</f>
        <v>0</v>
      </c>
      <c r="V29">
        <f>IFERROR(VLOOKUP($C29,装備品!$1:$998,COLUMN(Q$1),FALSE),"")</f>
        <v>0</v>
      </c>
      <c r="W29">
        <f>IFERROR(VLOOKUP($C29,装備品!$1:$998,COLUMN(T$1),FALSE),"")</f>
        <v>0</v>
      </c>
      <c r="Y29">
        <f>IFERROR(VLOOKUP($C29,装備品!$1:$998,COLUMN(U$1),FALSE),"")</f>
        <v>0</v>
      </c>
      <c r="Z29">
        <f>IFERROR(ROUNDUP(VLOOKUP($C29,装備品!$1:$998,COLUMN(O$1),FALSE)*VLOOKUP($D29,素材!$1:$1016,COLUMN(E$1),FALSE),1),"")</f>
        <v>0</v>
      </c>
      <c r="AA29">
        <f>IF(ISNUMBER(SEARCH(SUBSTITUTE(AA$1,RIGHT(AA$1,2),""),VLOOKUP($D29,素材!$1:$1016,COLUMN($F$1),FALSE))),VLOOKUP($C29,装備品!$1:$998,COLUMN($O$1),FALSE)*VLOOKUP($D29,素材!$1:$1016,COLUMN($E$1),FALSE)/(LEN(VLOOKUP($D29,素材!$1:$1016,COLUMN($F$1),FALSE))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19</v>
      </c>
      <c r="CM29" s="22" t="str">
        <f t="shared" si="2"/>
        <v>杖.webp</v>
      </c>
      <c r="CN29">
        <f>IFERROR(VLOOKUP($C29,装備品!$1:$998,COLUMN(V$1),FALSE)*VLOOKUP($D29,素材!$1:$1016,COLUMN(N$1),FALSE)+IF(CI29="",0,VLOOKUP($CI29,付与!$1:$1176,COLUMN($CK$1),FALSE)),"")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IFERROR(VLOOKUP($D30,素材!$1:$1016,COLUMN($B$1),FALSE)&amp;"・"&amp;VLOOKUP($C30,装備品!$1:$998,COLUMN(B$1),FALSE),"")</f>
        <v>アイアン・スタッフ</v>
      </c>
      <c r="C30" t="s">
        <v>214</v>
      </c>
      <c r="D30" s="24" t="s">
        <v>256</v>
      </c>
      <c r="E30" t="str">
        <f>IFERROR(VLOOKUP(C30,装備品!$1:$998,COLUMN(C$1),FALSE),"")</f>
        <v>杖</v>
      </c>
      <c r="F30">
        <f>IFERROR(ROUNDDOWN((VLOOKUP($C30,装備品!$1:$998,COLUMN(D$1),FALSE)+IFERROR(VLOOKUP($CI30,付与!$1:$1167,COLUMN(F$1),FALSE),0))*VLOOKUP($D30,素材!$1:$1016,COLUMN(D$1),FALSE),0),"")</f>
        <v>115</v>
      </c>
      <c r="G30">
        <f>IFERROR(ROUNDDOWN((VLOOKUP($C30,装備品!$1:$998,COLUMN(E$1),FALSE)+IFERROR(VLOOKUP($CI30,付与!$1:$1167,COLUMN(G$1),FALSE),0))*VLOOKUP($D30,素材!$1:$1016,COLUMN($E$1),FALSE),0),"")</f>
        <v>0</v>
      </c>
      <c r="H30">
        <f>IFERROR(ROUNDDOWN((VLOOKUP($C30,装備品!$1:$998,COLUMN(F$1),FALSE)+IFERROR(VLOOKUP($CI30,付与!$1:$1167,COLUMN(H$1),FALSE),0))*VLOOKUP($D30,素材!$1:$1016,COLUMN($E$1),FALSE),0),"")</f>
        <v>6</v>
      </c>
      <c r="I30">
        <f>IFERROR(ROUNDDOWN((VLOOKUP($C30,装備品!$1:$998,COLUMN(G$1),FALSE)+IFERROR(VLOOKUP($CI30,付与!$1:$1167,COLUMN(I$1),FALSE),0))*VLOOKUP($D30,素材!$1:$1016,COLUMN($E$1),FALSE),0),"")</f>
        <v>16</v>
      </c>
      <c r="J30">
        <f>IFERROR(ROUNDDOWN((VLOOKUP($C30,装備品!$1:$998,COLUMN(H$1),FALSE)+IFERROR(VLOOKUP($CI30,付与!$1:$1167,COLUMN(J$1),FALSE),0))*VLOOKUP($D30,素材!$1:$1016,COLUMN($E$1),FALSE),0),"")</f>
        <v>19</v>
      </c>
      <c r="K30">
        <f>IFERROR(ROUNDDOWN((VLOOKUP($C30,装備品!$1:$998,COLUMN(I$1),FALSE)+IFERROR(VLOOKUP($CI30,付与!$1:$1167,COLUMN(K$1),FALSE),0))*VLOOKUP($D30,素材!$1:$1016,COLUMN($E$1),FALSE),0),"")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IFERROR(VLOOKUP($C30,装備品!$1:$998,COLUMN(AA$1),FALSE)*VLOOKUP($D30,素材!$1:$1016,COLUMN($G$1),FALSE),"")</f>
        <v>0</v>
      </c>
      <c r="N30">
        <f>IFERROR(VLOOKUP($C30,装備品!$1:$998,COLUMN(I$1),FALSE),"")</f>
        <v>0</v>
      </c>
      <c r="O30" s="23">
        <f>IFERROR((VLOOKUP($C30,装備品!$1:$998,COLUMN(K$1),FALSE)+VLOOKUP($D30,素材!$1:$1016,COLUMN(H$1),FALSE))*100+IFERROR(VLOOKUP($CI30,付与!$1:$1167,COLUMN(O$1),FALSE),0),"")</f>
        <v>5</v>
      </c>
      <c r="P30" s="23">
        <f>IFERROR((VLOOKUP($C30,装備品!$1:$998,COLUMN(L$1),FALSE)+VLOOKUP($D30,素材!$1:$1016,COLUMN(I$1),FALSE))*100+IFERROR(VLOOKUP($CI30,付与!$1:$1167,COLUMN(P$1),FALSE),0),"")</f>
        <v>150</v>
      </c>
      <c r="Q30">
        <f>IFERROR(ROUNDUP(VLOOKUP($C30,装備品!$1:$998,COLUMN(M$1),FALSE)*(VLOOKUP($D30,素材!$1:$1002,COLUMN(D$1),FALSE)/100),1),"")</f>
        <v>-4</v>
      </c>
      <c r="R30">
        <f>IFERROR(ROUNDUP(VLOOKUP($C30,装備品!$1:$998,COLUMN(N$1),FALSE)*(VLOOKUP($D30,素材!$1:$1002,COLUMN(D$1),FALSE)/100),1),"")</f>
        <v>-4</v>
      </c>
      <c r="S30">
        <f>IFERROR(VLOOKUP($C30,装備品!$1:$998,COLUMN(P$1),FALSE),"")</f>
        <v>0</v>
      </c>
      <c r="T30">
        <f>IFERROR(VLOOKUP($C30,装備品!$1:$998,COLUMN(Q$1),FALSE),"")</f>
        <v>0</v>
      </c>
      <c r="U30">
        <f>IFERROR(VLOOKUP($C30,装備品!$1:$998,COLUMN(R$1),FALSE),"")</f>
        <v>0</v>
      </c>
      <c r="V30">
        <f>IFERROR(VLOOKUP($C30,装備品!$1:$998,COLUMN(Q$1),FALSE),"")</f>
        <v>0</v>
      </c>
      <c r="W30">
        <f>IFERROR(VLOOKUP($C30,装備品!$1:$998,COLUMN(T$1),FALSE),"")</f>
        <v>0</v>
      </c>
      <c r="Y30">
        <f>IFERROR(VLOOKUP($C30,装備品!$1:$998,COLUMN(U$1),FALSE),"")</f>
        <v>0</v>
      </c>
      <c r="Z30">
        <f>IFERROR(ROUNDUP(VLOOKUP($C30,装備品!$1:$998,COLUMN(O$1),FALSE)*VLOOKUP($D30,素材!$1:$1016,COLUMN(E$1),FALSE),1),"")</f>
        <v>0</v>
      </c>
      <c r="AA30">
        <f>IF(ISNUMBER(SEARCH(SUBSTITUTE(AA$1,RIGHT(AA$1,2),""),VLOOKUP($D30,素材!$1:$1016,COLUMN($F$1),FALSE))),VLOOKUP($C30,装備品!$1:$998,COLUMN($O$1),FALSE)*VLOOKUP($D30,素材!$1:$1016,COLUMN($E$1),FALSE)/(LEN(VLOOKUP($D30,素材!$1:$1016,COLUMN($F$1),FALSE))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22</v>
      </c>
      <c r="CM30" s="22" t="str">
        <f t="shared" si="2"/>
        <v>杖.webp</v>
      </c>
      <c r="CN30">
        <f>IFERROR(VLOOKUP($C30,装備品!$1:$998,COLUMN(V$1),FALSE)*VLOOKUP($D30,素材!$1:$1016,COLUMN(N$1),FALSE)+IF(CI30="",0,VLOOKUP($CI30,付与!$1:$1176,COLUMN($CK$1),FALSE)),"")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IFERROR(VLOOKUP($D31,素材!$1:$1016,COLUMN($B$1),FALSE)&amp;"・"&amp;VLOOKUP($C31,装備品!$1:$998,COLUMN(B$1),FALSE),"")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IFERROR(VLOOKUP(C31,装備品!$1:$998,COLUMN(C$1),FALSE),"")</f>
        <v>銃</v>
      </c>
      <c r="F31">
        <f>IFERROR(ROUNDDOWN((VLOOKUP($C31,装備品!$1:$998,COLUMN(D$1),FALSE)+IFERROR(VLOOKUP($CI31,付与!$1:$1167,COLUMN(F$1),FALSE),0))*VLOOKUP($D31,素材!$1:$1016,COLUMN(D$1),FALSE),0),"")</f>
        <v>100</v>
      </c>
      <c r="G31">
        <f>IFERROR(ROUNDDOWN((VLOOKUP($C31,装備品!$1:$998,COLUMN(E$1),FALSE)+IFERROR(VLOOKUP($CI31,付与!$1:$1167,COLUMN(G$1),FALSE),0))*VLOOKUP($D31,素材!$1:$1016,COLUMN($E$1),FALSE),0),"")</f>
        <v>0</v>
      </c>
      <c r="H31">
        <f>IFERROR(ROUNDDOWN((VLOOKUP($C31,装備品!$1:$998,COLUMN(F$1),FALSE)+IFERROR(VLOOKUP($CI31,付与!$1:$1167,COLUMN(H$1),FALSE),0))*VLOOKUP($D31,素材!$1:$1016,COLUMN($E$1),FALSE),0),"")</f>
        <v>0</v>
      </c>
      <c r="I31">
        <f>IFERROR(ROUNDDOWN((VLOOKUP($C31,装備品!$1:$998,COLUMN(G$1),FALSE)+IFERROR(VLOOKUP($CI31,付与!$1:$1167,COLUMN(I$1),FALSE),0))*VLOOKUP($D31,素材!$1:$1016,COLUMN($E$1),FALSE),0),"")</f>
        <v>0</v>
      </c>
      <c r="J31">
        <f>IFERROR(ROUNDDOWN((VLOOKUP($C31,装備品!$1:$998,COLUMN(H$1),FALSE)+IFERROR(VLOOKUP($CI31,付与!$1:$1167,COLUMN(J$1),FALSE),0))*VLOOKUP($D31,素材!$1:$1016,COLUMN($E$1),FALSE),0),"")</f>
        <v>0</v>
      </c>
      <c r="K31">
        <f>IFERROR(ROUNDDOWN((VLOOKUP($C31,装備品!$1:$998,COLUMN(I$1),FALSE)+IFERROR(VLOOKUP($CI31,付与!$1:$1167,COLUMN(K$1),FALSE),0))*VLOOKUP($D31,素材!$1:$1016,COLUMN($E$1),FALSE),0),"")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IFERROR(VLOOKUP($C31,装備品!$1:$998,COLUMN(AA$1),FALSE)*VLOOKUP($D31,素材!$1:$1016,COLUMN($G$1),FALSE),"")</f>
        <v>0</v>
      </c>
      <c r="N31">
        <f>IFERROR(VLOOKUP($C31,装備品!$1:$998,COLUMN(I$1),FALSE),"")</f>
        <v>2.7</v>
      </c>
      <c r="O31" s="23">
        <f>IFERROR((VLOOKUP($C31,装備品!$1:$998,COLUMN(K$1),FALSE)+VLOOKUP($D31,素材!$1:$1016,COLUMN(H$1),FALSE))*100+IFERROR(VLOOKUP($CI31,付与!$1:$1167,COLUMN(O$1),FALSE),0),"")</f>
        <v>10</v>
      </c>
      <c r="P31" s="23">
        <f>IFERROR((VLOOKUP($C31,装備品!$1:$998,COLUMN(L$1),FALSE)+VLOOKUP($D31,素材!$1:$1016,COLUMN(I$1),FALSE))*100+IFERROR(VLOOKUP($CI31,付与!$1:$1167,COLUMN(P$1),FALSE),0),"")</f>
        <v>150</v>
      </c>
      <c r="Q31">
        <f>IFERROR(ROUNDUP(VLOOKUP($C31,装備品!$1:$998,COLUMN(M$1),FALSE)*(VLOOKUP($D31,素材!$1:$1002,COLUMN(D$1),FALSE)/100),1),"")</f>
        <v>0</v>
      </c>
      <c r="R31">
        <f>IFERROR(ROUNDUP(VLOOKUP($C31,装備品!$1:$998,COLUMN(N$1),FALSE)*(VLOOKUP($D31,素材!$1:$1002,COLUMN(D$1),FALSE)/100),1),"")</f>
        <v>-15</v>
      </c>
      <c r="S31">
        <f>IFERROR(VLOOKUP($C31,装備品!$1:$998,COLUMN(P$1),FALSE),"")</f>
        <v>0</v>
      </c>
      <c r="T31">
        <f>IFERROR(VLOOKUP($C31,装備品!$1:$998,COLUMN(Q$1),FALSE),"")</f>
        <v>0</v>
      </c>
      <c r="U31">
        <f>IFERROR(VLOOKUP($C31,装備品!$1:$998,COLUMN(R$1),FALSE),"")</f>
        <v>0</v>
      </c>
      <c r="V31">
        <f>IFERROR(VLOOKUP($C31,装備品!$1:$998,COLUMN(Q$1),FALSE),"")</f>
        <v>0</v>
      </c>
      <c r="W31">
        <f>IFERROR(VLOOKUP($C31,装備品!$1:$998,COLUMN(T$1),FALSE),"")</f>
        <v>0</v>
      </c>
      <c r="Y31">
        <f>IFERROR(VLOOKUP($C31,装備品!$1:$998,COLUMN(U$1),FALSE),"")</f>
        <v>0</v>
      </c>
      <c r="Z31">
        <f>IFERROR(ROUNDUP(VLOOKUP($C31,装備品!$1:$998,COLUMN(O$1),FALSE)*VLOOKUP($D31,素材!$1:$1016,COLUMN(E$1),FALSE),1),"")</f>
        <v>0</v>
      </c>
      <c r="AA31">
        <f>IF(ISNUMBER(SEARCH(SUBSTITUTE(AA$1,RIGHT(AA$1,2),""),VLOOKUP($D31,素材!$1:$1016,COLUMN($F$1),FALSE))),VLOOKUP($C31,装備品!$1:$998,COLUMN($O$1),FALSE)*VLOOKUP($D31,素材!$1:$1016,COLUMN($E$1),FALSE)/(LEN(VLOOKUP($D31,素材!$1:$1016,COLUMN($F$1),FALSE))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IFERROR(VLOOKUP($C31,装備品!$1:$998,COLUMN(V$1),FALSE)*VLOOKUP($D31,素材!$1:$1016,COLUMN(N$1),FALSE)+IF(CI31="",0,VLOOKUP($CI31,付与!$1:$1176,COLUMN($CK$1),FALSE)),"")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IFERROR(VLOOKUP($D32,素材!$1:$1016,COLUMN($B$1),FALSE)&amp;"・"&amp;VLOOKUP($C32,装備品!$1:$998,COLUMN(B$1),FALSE),"")</f>
        <v>アイアン・クロスボウ</v>
      </c>
      <c r="C32" t="s">
        <v>212</v>
      </c>
      <c r="D32" s="24" t="s">
        <v>256</v>
      </c>
      <c r="E32" t="str">
        <f>IFERROR(VLOOKUP(C32,装備品!$1:$998,COLUMN(C$1),FALSE),"")</f>
        <v>銃</v>
      </c>
      <c r="F32">
        <f>IFERROR(ROUNDDOWN((VLOOKUP($C32,装備品!$1:$998,COLUMN(D$1),FALSE)+IFERROR(VLOOKUP($CI32,付与!$1:$1167,COLUMN(F$1),FALSE),0))*VLOOKUP($D32,素材!$1:$1016,COLUMN(D$1),FALSE),0),"")</f>
        <v>100</v>
      </c>
      <c r="G32">
        <f>IFERROR(ROUNDDOWN((VLOOKUP($C32,装備品!$1:$998,COLUMN(E$1),FALSE)+IFERROR(VLOOKUP($CI32,付与!$1:$1167,COLUMN(G$1),FALSE),0))*VLOOKUP($D32,素材!$1:$1016,COLUMN($E$1),FALSE),0),"")</f>
        <v>0</v>
      </c>
      <c r="H32">
        <f>IFERROR(ROUNDDOWN((VLOOKUP($C32,装備品!$1:$998,COLUMN(F$1),FALSE)+IFERROR(VLOOKUP($CI32,付与!$1:$1167,COLUMN(H$1),FALSE),0))*VLOOKUP($D32,素材!$1:$1016,COLUMN($E$1),FALSE),0),"")</f>
        <v>0</v>
      </c>
      <c r="I32">
        <f>IFERROR(ROUNDDOWN((VLOOKUP($C32,装備品!$1:$998,COLUMN(G$1),FALSE)+IFERROR(VLOOKUP($CI32,付与!$1:$1167,COLUMN(I$1),FALSE),0))*VLOOKUP($D32,素材!$1:$1016,COLUMN($E$1),FALSE),0),"")</f>
        <v>0</v>
      </c>
      <c r="J32">
        <f>IFERROR(ROUNDDOWN((VLOOKUP($C32,装備品!$1:$998,COLUMN(H$1),FALSE)+IFERROR(VLOOKUP($CI32,付与!$1:$1167,COLUMN(J$1),FALSE),0))*VLOOKUP($D32,素材!$1:$1016,COLUMN($E$1),FALSE),0),"")</f>
        <v>0</v>
      </c>
      <c r="K32">
        <f>IFERROR(ROUNDDOWN((VLOOKUP($C32,装備品!$1:$998,COLUMN(I$1),FALSE)+IFERROR(VLOOKUP($CI32,付与!$1:$1167,COLUMN(K$1),FALSE),0))*VLOOKUP($D32,素材!$1:$1016,COLUMN($E$1),FALSE),0),"")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IFERROR(VLOOKUP($C32,装備品!$1:$998,COLUMN(AA$1),FALSE)*VLOOKUP($D32,素材!$1:$1016,COLUMN($G$1),FALSE),"")</f>
        <v>0</v>
      </c>
      <c r="N32">
        <f>IFERROR(VLOOKUP($C32,装備品!$1:$998,COLUMN(I$1),FALSE),"")</f>
        <v>3.9</v>
      </c>
      <c r="O32" s="23">
        <f>IFERROR((VLOOKUP($C32,装備品!$1:$998,COLUMN(K$1),FALSE)+VLOOKUP($D32,素材!$1:$1016,COLUMN(H$1),FALSE))*100+IFERROR(VLOOKUP($CI32,付与!$1:$1167,COLUMN(O$1),FALSE),0),"")</f>
        <v>10</v>
      </c>
      <c r="P32" s="23">
        <f>IFERROR((VLOOKUP($C32,装備品!$1:$998,COLUMN(L$1),FALSE)+VLOOKUP($D32,素材!$1:$1016,COLUMN(I$1),FALSE))*100+IFERROR(VLOOKUP($CI32,付与!$1:$1167,COLUMN(P$1),FALSE),0),"")</f>
        <v>150</v>
      </c>
      <c r="Q32">
        <f>IFERROR(ROUNDUP(VLOOKUP($C32,装備品!$1:$998,COLUMN(M$1),FALSE)*(VLOOKUP($D32,素材!$1:$1002,COLUMN(D$1),FALSE)/100),1),"")</f>
        <v>0</v>
      </c>
      <c r="R32">
        <f>IFERROR(ROUNDUP(VLOOKUP($C32,装備品!$1:$998,COLUMN(N$1),FALSE)*(VLOOKUP($D32,素材!$1:$1002,COLUMN(D$1),FALSE)/100),1),"")</f>
        <v>-15</v>
      </c>
      <c r="S32">
        <f>IFERROR(VLOOKUP($C32,装備品!$1:$998,COLUMN(P$1),FALSE),"")</f>
        <v>0</v>
      </c>
      <c r="T32">
        <f>IFERROR(VLOOKUP($C32,装備品!$1:$998,COLUMN(Q$1),FALSE),"")</f>
        <v>0</v>
      </c>
      <c r="U32">
        <f>IFERROR(VLOOKUP($C32,装備品!$1:$998,COLUMN(R$1),FALSE),"")</f>
        <v>0</v>
      </c>
      <c r="V32">
        <f>IFERROR(VLOOKUP($C32,装備品!$1:$998,COLUMN(Q$1),FALSE),"")</f>
        <v>0</v>
      </c>
      <c r="W32">
        <f>IFERROR(VLOOKUP($C32,装備品!$1:$998,COLUMN(T$1),FALSE),"")</f>
        <v>0</v>
      </c>
      <c r="Y32">
        <f>IFERROR(VLOOKUP($C32,装備品!$1:$998,COLUMN(U$1),FALSE),"")</f>
        <v>0</v>
      </c>
      <c r="Z32">
        <f>IFERROR(ROUNDUP(VLOOKUP($C32,装備品!$1:$998,COLUMN(O$1),FALSE)*VLOOKUP($D32,素材!$1:$1016,COLUMN(E$1),FALSE),1),"")</f>
        <v>0</v>
      </c>
      <c r="AA32">
        <f>IF(ISNUMBER(SEARCH(SUBSTITUTE(AA$1,RIGHT(AA$1,2),""),VLOOKUP($D32,素材!$1:$1016,COLUMN($F$1),FALSE))),VLOOKUP($C32,装備品!$1:$998,COLUMN($O$1),FALSE)*VLOOKUP($D32,素材!$1:$1016,COLUMN($E$1),FALSE)/(LEN(VLOOKUP($D32,素材!$1:$1016,COLUMN($F$1),FALSE))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IFERROR(VLOOKUP($C32,装備品!$1:$998,COLUMN(V$1),FALSE)*VLOOKUP($D32,素材!$1:$1016,COLUMN(N$1),FALSE)+IF(CI32="",0,VLOOKUP($CI32,付与!$1:$1176,COLUMN($CK$1),FALSE)),"")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IFERROR(VLOOKUP($D33,素材!$1:$1016,COLUMN($B$1),FALSE)&amp;"・"&amp;VLOOKUP($C33,装備品!$1:$998,COLUMN(B$1),FALSE),"")</f>
        <v>アイアン・リボルバー</v>
      </c>
      <c r="C33" t="s">
        <v>211</v>
      </c>
      <c r="D33" s="24" t="s">
        <v>256</v>
      </c>
      <c r="E33" t="str">
        <f>IFERROR(VLOOKUP(C33,装備品!$1:$998,COLUMN(C$1),FALSE),"")</f>
        <v>銃</v>
      </c>
      <c r="F33">
        <f>IFERROR(ROUNDDOWN((VLOOKUP($C33,装備品!$1:$998,COLUMN(D$1),FALSE)+IFERROR(VLOOKUP($CI33,付与!$1:$1167,COLUMN(F$1),FALSE),0))*VLOOKUP($D33,素材!$1:$1016,COLUMN(D$1),FALSE),0),"")</f>
        <v>100</v>
      </c>
      <c r="G33">
        <f>IFERROR(ROUNDDOWN((VLOOKUP($C33,装備品!$1:$998,COLUMN(E$1),FALSE)+IFERROR(VLOOKUP($CI33,付与!$1:$1167,COLUMN(G$1),FALSE),0))*VLOOKUP($D33,素材!$1:$1016,COLUMN($E$1),FALSE),0),"")</f>
        <v>0</v>
      </c>
      <c r="H33">
        <f>IFERROR(ROUNDDOWN((VLOOKUP($C33,装備品!$1:$998,COLUMN(F$1),FALSE)+IFERROR(VLOOKUP($CI33,付与!$1:$1167,COLUMN(H$1),FALSE),0))*VLOOKUP($D33,素材!$1:$1016,COLUMN($E$1),FALSE),0),"")</f>
        <v>0</v>
      </c>
      <c r="I33">
        <f>IFERROR(ROUNDDOWN((VLOOKUP($C33,装備品!$1:$998,COLUMN(G$1),FALSE)+IFERROR(VLOOKUP($CI33,付与!$1:$1167,COLUMN(I$1),FALSE),0))*VLOOKUP($D33,素材!$1:$1016,COLUMN($E$1),FALSE),0),"")</f>
        <v>0</v>
      </c>
      <c r="J33">
        <f>IFERROR(ROUNDDOWN((VLOOKUP($C33,装備品!$1:$998,COLUMN(H$1),FALSE)+IFERROR(VLOOKUP($CI33,付与!$1:$1167,COLUMN(J$1),FALSE),0))*VLOOKUP($D33,素材!$1:$1016,COLUMN($E$1),FALSE),0),"")</f>
        <v>0</v>
      </c>
      <c r="K33">
        <f>IFERROR(ROUNDDOWN((VLOOKUP($C33,装備品!$1:$998,COLUMN(I$1),FALSE)+IFERROR(VLOOKUP($CI33,付与!$1:$1167,COLUMN(K$1),FALSE),0))*VLOOKUP($D33,素材!$1:$1016,COLUMN($E$1),FALSE),0),"")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IFERROR(VLOOKUP($C33,装備品!$1:$998,COLUMN(AA$1),FALSE)*VLOOKUP($D33,素材!$1:$1016,COLUMN($G$1),FALSE),"")</f>
        <v>0</v>
      </c>
      <c r="N33">
        <f>IFERROR(VLOOKUP($C33,装備品!$1:$998,COLUMN(I$1),FALSE),"")</f>
        <v>2.5700000000000003</v>
      </c>
      <c r="O33" s="23">
        <f>IFERROR((VLOOKUP($C33,装備品!$1:$998,COLUMN(K$1),FALSE)+VLOOKUP($D33,素材!$1:$1016,COLUMN(H$1),FALSE))*100+IFERROR(VLOOKUP($CI33,付与!$1:$1167,COLUMN(O$1),FALSE),0),"")</f>
        <v>10</v>
      </c>
      <c r="P33" s="23">
        <f>IFERROR((VLOOKUP($C33,装備品!$1:$998,COLUMN(L$1),FALSE)+VLOOKUP($D33,素材!$1:$1016,COLUMN(I$1),FALSE))*100+IFERROR(VLOOKUP($CI33,付与!$1:$1167,COLUMN(P$1),FALSE),0),"")</f>
        <v>140</v>
      </c>
      <c r="Q33">
        <f>IFERROR(ROUNDUP(VLOOKUP($C33,装備品!$1:$998,COLUMN(M$1),FALSE)*(VLOOKUP($D33,素材!$1:$1002,COLUMN(D$1),FALSE)/100),1),"")</f>
        <v>0</v>
      </c>
      <c r="R33">
        <f>IFERROR(ROUNDUP(VLOOKUP($C33,装備品!$1:$998,COLUMN(N$1),FALSE)*(VLOOKUP($D33,素材!$1:$1002,COLUMN(D$1),FALSE)/100),1),"")</f>
        <v>-25</v>
      </c>
      <c r="S33">
        <f>IFERROR(VLOOKUP($C33,装備品!$1:$998,COLUMN(P$1),FALSE),"")</f>
        <v>0</v>
      </c>
      <c r="T33">
        <f>IFERROR(VLOOKUP($C33,装備品!$1:$998,COLUMN(Q$1),FALSE),"")</f>
        <v>0</v>
      </c>
      <c r="U33">
        <f>IFERROR(VLOOKUP($C33,装備品!$1:$998,COLUMN(R$1),FALSE),"")</f>
        <v>0</v>
      </c>
      <c r="V33">
        <f>IFERROR(VLOOKUP($C33,装備品!$1:$998,COLUMN(Q$1),FALSE),"")</f>
        <v>0</v>
      </c>
      <c r="W33">
        <f>IFERROR(VLOOKUP($C33,装備品!$1:$998,COLUMN(T$1),FALSE),"")</f>
        <v>0</v>
      </c>
      <c r="Y33">
        <f>IFERROR(VLOOKUP($C33,装備品!$1:$998,COLUMN(U$1),FALSE),"")</f>
        <v>0</v>
      </c>
      <c r="Z33">
        <f>IFERROR(ROUNDUP(VLOOKUP($C33,装備品!$1:$998,COLUMN(O$1),FALSE)*VLOOKUP($D33,素材!$1:$1016,COLUMN(E$1),FALSE),1),"")</f>
        <v>0</v>
      </c>
      <c r="AA33">
        <f>IF(ISNUMBER(SEARCH(SUBSTITUTE(AA$1,RIGHT(AA$1,2),""),VLOOKUP($D33,素材!$1:$1016,COLUMN($F$1),FALSE))),VLOOKUP($C33,装備品!$1:$998,COLUMN($O$1),FALSE)*VLOOKUP($D33,素材!$1:$1016,COLUMN($E$1),FALSE)/(LEN(VLOOKUP($D33,素材!$1:$1016,COLUMN($F$1),FALSE))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IFERROR(VLOOKUP($C33,装備品!$1:$998,COLUMN(V$1),FALSE)*VLOOKUP($D33,素材!$1:$1016,COLUMN(N$1),FALSE)+IF(CI33="",0,VLOOKUP($CI33,付与!$1:$1176,COLUMN($CK$1),FALSE)),"")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IFERROR(VLOOKUP($D34,素材!$1:$1016,COLUMN($B$1),FALSE)&amp;"・"&amp;VLOOKUP($C34,装備品!$1:$998,COLUMN(B$1),FALSE),"")</f>
        <v>アイアン・ハンドガン</v>
      </c>
      <c r="C34" t="s">
        <v>210</v>
      </c>
      <c r="D34" s="24" t="s">
        <v>256</v>
      </c>
      <c r="E34" t="str">
        <f>IFERROR(VLOOKUP(C34,装備品!$1:$998,COLUMN(C$1),FALSE),"")</f>
        <v>銃</v>
      </c>
      <c r="F34">
        <f>IFERROR(ROUNDDOWN((VLOOKUP($C34,装備品!$1:$998,COLUMN(D$1),FALSE)+IFERROR(VLOOKUP($CI34,付与!$1:$1167,COLUMN(F$1),FALSE),0))*VLOOKUP($D34,素材!$1:$1016,COLUMN(D$1),FALSE),0),"")</f>
        <v>100</v>
      </c>
      <c r="G34">
        <f>IFERROR(ROUNDDOWN((VLOOKUP($C34,装備品!$1:$998,COLUMN(E$1),FALSE)+IFERROR(VLOOKUP($CI34,付与!$1:$1167,COLUMN(G$1),FALSE),0))*VLOOKUP($D34,素材!$1:$1016,COLUMN($E$1),FALSE),0),"")</f>
        <v>0</v>
      </c>
      <c r="H34">
        <f>IFERROR(ROUNDDOWN((VLOOKUP($C34,装備品!$1:$998,COLUMN(F$1),FALSE)+IFERROR(VLOOKUP($CI34,付与!$1:$1167,COLUMN(H$1),FALSE),0))*VLOOKUP($D34,素材!$1:$1016,COLUMN($E$1),FALSE),0),"")</f>
        <v>0</v>
      </c>
      <c r="I34">
        <f>IFERROR(ROUNDDOWN((VLOOKUP($C34,装備品!$1:$998,COLUMN(G$1),FALSE)+IFERROR(VLOOKUP($CI34,付与!$1:$1167,COLUMN(I$1),FALSE),0))*VLOOKUP($D34,素材!$1:$1016,COLUMN($E$1),FALSE),0),"")</f>
        <v>0</v>
      </c>
      <c r="J34">
        <f>IFERROR(ROUNDDOWN((VLOOKUP($C34,装備品!$1:$998,COLUMN(H$1),FALSE)+IFERROR(VLOOKUP($CI34,付与!$1:$1167,COLUMN(J$1),FALSE),0))*VLOOKUP($D34,素材!$1:$1016,COLUMN($E$1),FALSE),0),"")</f>
        <v>0</v>
      </c>
      <c r="K34">
        <f>IFERROR(ROUNDDOWN((VLOOKUP($C34,装備品!$1:$998,COLUMN(I$1),FALSE)+IFERROR(VLOOKUP($CI34,付与!$1:$1167,COLUMN(K$1),FALSE),0))*VLOOKUP($D34,素材!$1:$1016,COLUMN($E$1),FALSE),0),"")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IFERROR(VLOOKUP($C34,装備品!$1:$998,COLUMN(AA$1),FALSE)*VLOOKUP($D34,素材!$1:$1016,COLUMN($G$1),FALSE),"")</f>
        <v>0</v>
      </c>
      <c r="N34">
        <f>IFERROR(VLOOKUP($C34,装備品!$1:$998,COLUMN(I$1),FALSE),"")</f>
        <v>1.8</v>
      </c>
      <c r="O34" s="23">
        <f>IFERROR((VLOOKUP($C34,装備品!$1:$998,COLUMN(K$1),FALSE)+VLOOKUP($D34,素材!$1:$1016,COLUMN(H$1),FALSE))*100+IFERROR(VLOOKUP($CI34,付与!$1:$1167,COLUMN(O$1),FALSE),0),"")</f>
        <v>15</v>
      </c>
      <c r="P34" s="23">
        <f>IFERROR((VLOOKUP($C34,装備品!$1:$998,COLUMN(L$1),FALSE)+VLOOKUP($D34,素材!$1:$1016,COLUMN(I$1),FALSE))*100+IFERROR(VLOOKUP($CI34,付与!$1:$1167,COLUMN(P$1),FALSE),0),"")</f>
        <v>175</v>
      </c>
      <c r="Q34">
        <f>IFERROR(ROUNDUP(VLOOKUP($C34,装備品!$1:$998,COLUMN(M$1),FALSE)*(VLOOKUP($D34,素材!$1:$1002,COLUMN(D$1),FALSE)/100),1),"")</f>
        <v>0</v>
      </c>
      <c r="R34">
        <f>IFERROR(ROUNDUP(VLOOKUP($C34,装備品!$1:$998,COLUMN(N$1),FALSE)*(VLOOKUP($D34,素材!$1:$1002,COLUMN(D$1),FALSE)/100),1),"")</f>
        <v>-15</v>
      </c>
      <c r="S34">
        <f>IFERROR(VLOOKUP($C34,装備品!$1:$998,COLUMN(P$1),FALSE),"")</f>
        <v>0</v>
      </c>
      <c r="T34">
        <f>IFERROR(VLOOKUP($C34,装備品!$1:$998,COLUMN(Q$1),FALSE),"")</f>
        <v>0</v>
      </c>
      <c r="U34">
        <f>IFERROR(VLOOKUP($C34,装備品!$1:$998,COLUMN(R$1),FALSE),"")</f>
        <v>0</v>
      </c>
      <c r="V34">
        <f>IFERROR(VLOOKUP($C34,装備品!$1:$998,COLUMN(Q$1),FALSE),"")</f>
        <v>0</v>
      </c>
      <c r="W34">
        <f>IFERROR(VLOOKUP($C34,装備品!$1:$998,COLUMN(T$1),FALSE),"")</f>
        <v>0</v>
      </c>
      <c r="Y34">
        <f>IFERROR(VLOOKUP($C34,装備品!$1:$998,COLUMN(U$1),FALSE),"")</f>
        <v>0</v>
      </c>
      <c r="Z34">
        <f>IFERROR(ROUNDUP(VLOOKUP($C34,装備品!$1:$998,COLUMN(O$1),FALSE)*VLOOKUP($D34,素材!$1:$1016,COLUMN(E$1),FALSE),1),"")</f>
        <v>0</v>
      </c>
      <c r="AA34">
        <f>IF(ISNUMBER(SEARCH(SUBSTITUTE(AA$1,RIGHT(AA$1,2),""),VLOOKUP($D34,素材!$1:$1016,COLUMN($F$1),FALSE))),VLOOKUP($C34,装備品!$1:$998,COLUMN($O$1),FALSE)*VLOOKUP($D34,素材!$1:$1016,COLUMN($E$1),FALSE)/(LEN(VLOOKUP($D34,素材!$1:$1016,COLUMN($F$1),FALSE))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IFERROR(VLOOKUP($C34,装備品!$1:$998,COLUMN(V$1),FALSE)*VLOOKUP($D34,素材!$1:$1016,COLUMN(N$1),FALSE)+IF(CI34="",0,VLOOKUP($CI34,付与!$1:$1176,COLUMN($CK$1),FALSE)),"")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IFERROR(VLOOKUP($D35,素材!$1:$1016,COLUMN($B$1),FALSE)&amp;"・"&amp;VLOOKUP($C35,装備品!$1:$998,COLUMN(B$1),FALSE),"")</f>
        <v>アイアン・バイザーヘルム</v>
      </c>
      <c r="C35" t="s">
        <v>209</v>
      </c>
      <c r="D35" s="24" t="s">
        <v>256</v>
      </c>
      <c r="E35" t="str">
        <f>IFERROR(VLOOKUP(C35,装備品!$1:$998,COLUMN(C$1),FALSE),"")</f>
        <v>頭</v>
      </c>
      <c r="F35">
        <f>IFERROR(ROUNDDOWN((VLOOKUP($C35,装備品!$1:$998,COLUMN(D$1),FALSE)+IFERROR(VLOOKUP($CI35,付与!$1:$1167,COLUMN(F$1),FALSE),0))*VLOOKUP($D35,素材!$1:$1016,COLUMN(D$1),FALSE),0),"")</f>
        <v>0</v>
      </c>
      <c r="G35">
        <f>IFERROR(ROUNDDOWN((VLOOKUP($C35,装備品!$1:$998,COLUMN(E$1),FALSE)+IFERROR(VLOOKUP($CI35,付与!$1:$1167,COLUMN(G$1),FALSE),0))*VLOOKUP($D35,素材!$1:$1016,COLUMN($E$1),FALSE),0),"")</f>
        <v>0</v>
      </c>
      <c r="H35">
        <f>IFERROR(ROUNDDOWN((VLOOKUP($C35,装備品!$1:$998,COLUMN(F$1),FALSE)+IFERROR(VLOOKUP($CI35,付与!$1:$1167,COLUMN(H$1),FALSE),0))*VLOOKUP($D35,素材!$1:$1016,COLUMN($E$1),FALSE),0),"")</f>
        <v>0</v>
      </c>
      <c r="I35">
        <f>IFERROR(ROUNDDOWN((VLOOKUP($C35,装備品!$1:$998,COLUMN(G$1),FALSE)+IFERROR(VLOOKUP($CI35,付与!$1:$1167,COLUMN(I$1),FALSE),0))*VLOOKUP($D35,素材!$1:$1016,COLUMN($E$1),FALSE),0),"")</f>
        <v>17</v>
      </c>
      <c r="J35">
        <f>IFERROR(ROUNDDOWN((VLOOKUP($C35,装備品!$1:$998,COLUMN(H$1),FALSE)+IFERROR(VLOOKUP($CI35,付与!$1:$1167,COLUMN(J$1),FALSE),0))*VLOOKUP($D35,素材!$1:$1016,COLUMN($E$1),FALSE),0),"")</f>
        <v>0</v>
      </c>
      <c r="K35">
        <f>IFERROR(ROUNDDOWN((VLOOKUP($C35,装備品!$1:$998,COLUMN(I$1),FALSE)+IFERROR(VLOOKUP($CI35,付与!$1:$1167,COLUMN(K$1),FALSE),0))*VLOOKUP($D35,素材!$1:$1016,COLUMN($E$1),FALSE),0),"")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IFERROR(VLOOKUP($C35,装備品!$1:$998,COLUMN(AA$1),FALSE)*VLOOKUP($D35,素材!$1:$1016,COLUMN($G$1),FALSE),"")</f>
        <v>0</v>
      </c>
      <c r="N35">
        <f>IFERROR(VLOOKUP($C35,装備品!$1:$998,COLUMN(I$1),FALSE),"")</f>
        <v>0</v>
      </c>
      <c r="O35" s="23">
        <f>IFERROR((VLOOKUP($C35,装備品!$1:$998,COLUMN(K$1),FALSE)+VLOOKUP($D35,素材!$1:$1016,COLUMN(H$1),FALSE))*100+IFERROR(VLOOKUP($CI35,付与!$1:$1167,COLUMN(O$1),FALSE),0),"")</f>
        <v>5</v>
      </c>
      <c r="P35" s="23">
        <f>IFERROR((VLOOKUP($C35,装備品!$1:$998,COLUMN(L$1),FALSE)+VLOOKUP($D35,素材!$1:$1016,COLUMN(I$1),FALSE))*100+IFERROR(VLOOKUP($CI35,付与!$1:$1167,COLUMN(P$1),FALSE),0),"")</f>
        <v>125</v>
      </c>
      <c r="Q35">
        <f>IFERROR(ROUNDUP(VLOOKUP($C35,装備品!$1:$998,COLUMN(M$1),FALSE)*(VLOOKUP($D35,素材!$1:$1002,COLUMN(D$1),FALSE)/100),1),"")</f>
        <v>-7.5</v>
      </c>
      <c r="R35">
        <f>IFERROR(ROUNDUP(VLOOKUP($C35,装備品!$1:$998,COLUMN(N$1),FALSE)*(VLOOKUP($D35,素材!$1:$1002,COLUMN(D$1),FALSE)/100),1),"")</f>
        <v>0</v>
      </c>
      <c r="S35">
        <f>IFERROR(VLOOKUP($C35,装備品!$1:$998,COLUMN(P$1),FALSE),"")</f>
        <v>0</v>
      </c>
      <c r="T35">
        <f>IFERROR(VLOOKUP($C35,装備品!$1:$998,COLUMN(Q$1),FALSE),"")</f>
        <v>0</v>
      </c>
      <c r="U35">
        <f>IFERROR(VLOOKUP($C35,装備品!$1:$998,COLUMN(R$1),FALSE),"")</f>
        <v>0</v>
      </c>
      <c r="V35">
        <f>IFERROR(VLOOKUP($C35,装備品!$1:$998,COLUMN(Q$1),FALSE),"")</f>
        <v>0</v>
      </c>
      <c r="W35">
        <f>IFERROR(VLOOKUP($C35,装備品!$1:$998,COLUMN(T$1),FALSE),"")</f>
        <v>0.35</v>
      </c>
      <c r="Y35">
        <f>IFERROR(VLOOKUP($C35,装備品!$1:$998,COLUMN(U$1),FALSE),"")</f>
        <v>0</v>
      </c>
      <c r="Z35">
        <f>IFERROR(ROUNDUP(VLOOKUP($C35,装備品!$1:$998,COLUMN(O$1),FALSE)*VLOOKUP($D35,素材!$1:$1016,COLUMN(E$1),FALSE),1),"")</f>
        <v>-600</v>
      </c>
      <c r="AA35">
        <f>IF(ISNUMBER(SEARCH(SUBSTITUTE(AA$1,RIGHT(AA$1,2),""),VLOOKUP($D35,素材!$1:$1016,COLUMN($F$1),FALSE))),VLOOKUP($C35,装備品!$1:$998,COLUMN($O$1),FALSE)*VLOOKUP($D35,素材!$1:$1016,COLUMN($E$1),FALSE)/(LEN(VLOOKUP($D35,素材!$1:$1016,COLUMN($F$1),FALSE))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17</v>
      </c>
      <c r="CM35" s="22" t="str">
        <f t="shared" si="2"/>
        <v>頭.webp</v>
      </c>
      <c r="CN35">
        <f>IFERROR(VLOOKUP($C35,装備品!$1:$998,COLUMN(V$1),FALSE)*VLOOKUP($D35,素材!$1:$1016,COLUMN(N$1),FALSE)+IF(CI35="",0,VLOOKUP($CI35,付与!$1:$1176,COLUMN($CK$1),FALSE)),"")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IFERROR(VLOOKUP($D36,素材!$1:$1016,COLUMN($B$1),FALSE)&amp;"・"&amp;VLOOKUP($C36,装備品!$1:$998,COLUMN(B$1),FALSE),"")</f>
        <v>アイアン・ヘルム</v>
      </c>
      <c r="C36" t="s">
        <v>208</v>
      </c>
      <c r="D36" s="24" t="s">
        <v>256</v>
      </c>
      <c r="E36" t="str">
        <f>IFERROR(VLOOKUP(C36,装備品!$1:$998,COLUMN(C$1),FALSE),"")</f>
        <v>頭</v>
      </c>
      <c r="F36">
        <f>IFERROR(ROUNDDOWN((VLOOKUP($C36,装備品!$1:$998,COLUMN(D$1),FALSE)+IFERROR(VLOOKUP($CI36,付与!$1:$1167,COLUMN(F$1),FALSE),0))*VLOOKUP($D36,素材!$1:$1016,COLUMN(D$1),FALSE),0),"")</f>
        <v>0</v>
      </c>
      <c r="G36">
        <f>IFERROR(ROUNDDOWN((VLOOKUP($C36,装備品!$1:$998,COLUMN(E$1),FALSE)+IFERROR(VLOOKUP($CI36,付与!$1:$1167,COLUMN(G$1),FALSE),0))*VLOOKUP($D36,素材!$1:$1016,COLUMN($E$1),FALSE),0),"")</f>
        <v>0</v>
      </c>
      <c r="H36">
        <f>IFERROR(ROUNDDOWN((VLOOKUP($C36,装備品!$1:$998,COLUMN(F$1),FALSE)+IFERROR(VLOOKUP($CI36,付与!$1:$1167,COLUMN(H$1),FALSE),0))*VLOOKUP($D36,素材!$1:$1016,COLUMN($E$1),FALSE),0),"")</f>
        <v>0</v>
      </c>
      <c r="I36">
        <f>IFERROR(ROUNDDOWN((VLOOKUP($C36,装備品!$1:$998,COLUMN(G$1),FALSE)+IFERROR(VLOOKUP($CI36,付与!$1:$1167,COLUMN(I$1),FALSE),0))*VLOOKUP($D36,素材!$1:$1016,COLUMN($E$1),FALSE),0),"")</f>
        <v>17</v>
      </c>
      <c r="J36">
        <f>IFERROR(ROUNDDOWN((VLOOKUP($C36,装備品!$1:$998,COLUMN(H$1),FALSE)+IFERROR(VLOOKUP($CI36,付与!$1:$1167,COLUMN(J$1),FALSE),0))*VLOOKUP($D36,素材!$1:$1016,COLUMN($E$1),FALSE),0),"")</f>
        <v>0</v>
      </c>
      <c r="K36">
        <f>IFERROR(ROUNDDOWN((VLOOKUP($C36,装備品!$1:$998,COLUMN(I$1),FALSE)+IFERROR(VLOOKUP($CI36,付与!$1:$1167,COLUMN(K$1),FALSE),0))*VLOOKUP($D36,素材!$1:$1016,COLUMN($E$1),FALSE),0),"")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IFERROR(VLOOKUP($C36,装備品!$1:$998,COLUMN(AA$1),FALSE)*VLOOKUP($D36,素材!$1:$1016,COLUMN($G$1),FALSE),"")</f>
        <v>0</v>
      </c>
      <c r="N36">
        <f>IFERROR(VLOOKUP($C36,装備品!$1:$998,COLUMN(I$1),FALSE),"")</f>
        <v>0</v>
      </c>
      <c r="O36" s="23">
        <f>IFERROR((VLOOKUP($C36,装備品!$1:$998,COLUMN(K$1),FALSE)+VLOOKUP($D36,素材!$1:$1016,COLUMN(H$1),FALSE))*100+IFERROR(VLOOKUP($CI36,付与!$1:$1167,COLUMN(O$1),FALSE),0),"")</f>
        <v>5</v>
      </c>
      <c r="P36" s="23">
        <f>IFERROR((VLOOKUP($C36,装備品!$1:$998,COLUMN(L$1),FALSE)+VLOOKUP($D36,素材!$1:$1016,COLUMN(I$1),FALSE))*100+IFERROR(VLOOKUP($CI36,付与!$1:$1167,COLUMN(P$1),FALSE),0),"")</f>
        <v>125</v>
      </c>
      <c r="Q36">
        <f>IFERROR(ROUNDUP(VLOOKUP($C36,装備品!$1:$998,COLUMN(M$1),FALSE)*(VLOOKUP($D36,素材!$1:$1002,COLUMN(D$1),FALSE)/100),1),"")</f>
        <v>-5</v>
      </c>
      <c r="R36">
        <f>IFERROR(ROUNDUP(VLOOKUP($C36,装備品!$1:$998,COLUMN(N$1),FALSE)*(VLOOKUP($D36,素材!$1:$1002,COLUMN(D$1),FALSE)/100),1),"")</f>
        <v>0</v>
      </c>
      <c r="S36">
        <f>IFERROR(VLOOKUP($C36,装備品!$1:$998,COLUMN(P$1),FALSE),"")</f>
        <v>0</v>
      </c>
      <c r="T36">
        <f>IFERROR(VLOOKUP($C36,装備品!$1:$998,COLUMN(Q$1),FALSE),"")</f>
        <v>0</v>
      </c>
      <c r="U36">
        <f>IFERROR(VLOOKUP($C36,装備品!$1:$998,COLUMN(R$1),FALSE),"")</f>
        <v>0</v>
      </c>
      <c r="V36">
        <f>IFERROR(VLOOKUP($C36,装備品!$1:$998,COLUMN(Q$1),FALSE),"")</f>
        <v>0</v>
      </c>
      <c r="W36">
        <f>IFERROR(VLOOKUP($C36,装備品!$1:$998,COLUMN(T$1),FALSE),"")</f>
        <v>0.25</v>
      </c>
      <c r="Y36">
        <f>IFERROR(VLOOKUP($C36,装備品!$1:$998,COLUMN(U$1),FALSE),"")</f>
        <v>0</v>
      </c>
      <c r="Z36">
        <f>IFERROR(ROUNDUP(VLOOKUP($C36,装備品!$1:$998,COLUMN(O$1),FALSE)*VLOOKUP($D36,素材!$1:$1016,COLUMN(E$1),FALSE),1),"")</f>
        <v>-300</v>
      </c>
      <c r="AA36">
        <f>IF(ISNUMBER(SEARCH(SUBSTITUTE(AA$1,RIGHT(AA$1,2),""),VLOOKUP($D36,素材!$1:$1016,COLUMN($F$1),FALSE))),VLOOKUP($C36,装備品!$1:$998,COLUMN($O$1),FALSE)*VLOOKUP($D36,素材!$1:$1016,COLUMN($E$1),FALSE)/(LEN(VLOOKUP($D36,素材!$1:$1016,COLUMN($F$1),FALSE))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17</v>
      </c>
      <c r="CM36" s="22" t="str">
        <f t="shared" si="2"/>
        <v>頭.webp</v>
      </c>
      <c r="CN36">
        <f>IFERROR(VLOOKUP($C36,装備品!$1:$998,COLUMN(V$1),FALSE)*VLOOKUP($D36,素材!$1:$1016,COLUMN(N$1),FALSE)+IF(CI36="",0,VLOOKUP($CI36,付与!$1:$1176,COLUMN($CK$1),FALSE)),"")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IFERROR(VLOOKUP($D37,素材!$1:$1016,COLUMN($B$1),FALSE)&amp;"・"&amp;VLOOKUP($C37,装備品!$1:$998,COLUMN(B$1),FALSE),"")</f>
        <v>アイアン・アーマー</v>
      </c>
      <c r="C37" t="s">
        <v>207</v>
      </c>
      <c r="D37" s="24" t="s">
        <v>256</v>
      </c>
      <c r="E37" t="str">
        <f>IFERROR(VLOOKUP(C37,装備品!$1:$998,COLUMN(C$1),FALSE),"")</f>
        <v>体</v>
      </c>
      <c r="F37">
        <f>IFERROR(ROUNDDOWN((VLOOKUP($C37,装備品!$1:$998,COLUMN(D$1),FALSE)+IFERROR(VLOOKUP($CI37,付与!$1:$1167,COLUMN(F$1),FALSE),0))*VLOOKUP($D37,素材!$1:$1016,COLUMN(D$1),FALSE),0),"")</f>
        <v>0</v>
      </c>
      <c r="G37">
        <f>IFERROR(ROUNDDOWN((VLOOKUP($C37,装備品!$1:$998,COLUMN(E$1),FALSE)+IFERROR(VLOOKUP($CI37,付与!$1:$1167,COLUMN(G$1),FALSE),0))*VLOOKUP($D37,素材!$1:$1016,COLUMN($E$1),FALSE),0),"")</f>
        <v>0</v>
      </c>
      <c r="H37">
        <f>IFERROR(ROUNDDOWN((VLOOKUP($C37,装備品!$1:$998,COLUMN(F$1),FALSE)+IFERROR(VLOOKUP($CI37,付与!$1:$1167,COLUMN(H$1),FALSE),0))*VLOOKUP($D37,素材!$1:$1016,COLUMN($E$1),FALSE),0),"")</f>
        <v>0</v>
      </c>
      <c r="I37">
        <f>IFERROR(ROUNDDOWN((VLOOKUP($C37,装備品!$1:$998,COLUMN(G$1),FALSE)+IFERROR(VLOOKUP($CI37,付与!$1:$1167,COLUMN(I$1),FALSE),0))*VLOOKUP($D37,素材!$1:$1016,COLUMN($E$1),FALSE),0),"")</f>
        <v>0</v>
      </c>
      <c r="J37">
        <f>IFERROR(ROUNDDOWN((VLOOKUP($C37,装備品!$1:$998,COLUMN(H$1),FALSE)+IFERROR(VLOOKUP($CI37,付与!$1:$1167,COLUMN(J$1),FALSE),0))*VLOOKUP($D37,素材!$1:$1016,COLUMN($E$1),FALSE),0),"")</f>
        <v>0</v>
      </c>
      <c r="K37">
        <f>IFERROR(ROUNDDOWN((VLOOKUP($C37,装備品!$1:$998,COLUMN(I$1),FALSE)+IFERROR(VLOOKUP($CI37,付与!$1:$1167,COLUMN(K$1),FALSE),0))*VLOOKUP($D37,素材!$1:$1016,COLUMN($E$1),FALSE),0),"")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IFERROR(VLOOKUP($C37,装備品!$1:$998,COLUMN(AA$1),FALSE)*VLOOKUP($D37,素材!$1:$1016,COLUMN($G$1),FALSE),"")</f>
        <v>0</v>
      </c>
      <c r="N37">
        <f>IFERROR(VLOOKUP($C37,装備品!$1:$998,COLUMN(I$1),FALSE),"")</f>
        <v>0</v>
      </c>
      <c r="O37" s="23">
        <f>IFERROR((VLOOKUP($C37,装備品!$1:$998,COLUMN(K$1),FALSE)+VLOOKUP($D37,素材!$1:$1016,COLUMN(H$1),FALSE))*100+IFERROR(VLOOKUP($CI37,付与!$1:$1167,COLUMN(O$1),FALSE),0),"")</f>
        <v>0</v>
      </c>
      <c r="P37" s="23">
        <f>IFERROR((VLOOKUP($C37,装備品!$1:$998,COLUMN(L$1),FALSE)+VLOOKUP($D37,素材!$1:$1016,COLUMN(I$1),FALSE))*100+IFERROR(VLOOKUP($CI37,付与!$1:$1167,COLUMN(P$1),FALSE),0),"")</f>
        <v>0</v>
      </c>
      <c r="Q37">
        <f>IFERROR(ROUNDUP(VLOOKUP($C37,装備品!$1:$998,COLUMN(M$1),FALSE)*(VLOOKUP($D37,素材!$1:$1002,COLUMN(D$1),FALSE)/100),1),"")</f>
        <v>-15</v>
      </c>
      <c r="R37">
        <f>IFERROR(ROUNDUP(VLOOKUP($C37,装備品!$1:$998,COLUMN(N$1),FALSE)*(VLOOKUP($D37,素材!$1:$1002,COLUMN(D$1),FALSE)/100),1),"")</f>
        <v>0</v>
      </c>
      <c r="S37">
        <f>IFERROR(VLOOKUP($C37,装備品!$1:$998,COLUMN(P$1),FALSE),"")</f>
        <v>-35</v>
      </c>
      <c r="T37">
        <f>IFERROR(VLOOKUP($C37,装備品!$1:$998,COLUMN(Q$1),FALSE),"")</f>
        <v>0</v>
      </c>
      <c r="U37">
        <f>IFERROR(VLOOKUP($C37,装備品!$1:$998,COLUMN(R$1),FALSE),"")</f>
        <v>0</v>
      </c>
      <c r="V37">
        <f>IFERROR(VLOOKUP($C37,装備品!$1:$998,COLUMN(Q$1),FALSE),"")</f>
        <v>0</v>
      </c>
      <c r="W37">
        <f>IFERROR(VLOOKUP($C37,装備品!$1:$998,COLUMN(T$1),FALSE),"")</f>
        <v>0.7</v>
      </c>
      <c r="Y37">
        <f>IFERROR(VLOOKUP($C37,装備品!$1:$998,COLUMN(U$1),FALSE),"")</f>
        <v>0</v>
      </c>
      <c r="Z37">
        <f>IFERROR(ROUNDUP(VLOOKUP($C37,装備品!$1:$998,COLUMN(O$1),FALSE)*VLOOKUP($D37,素材!$1:$1016,COLUMN(E$1),FALSE),1),"")</f>
        <v>0</v>
      </c>
      <c r="AA37">
        <f>IF(ISNUMBER(SEARCH(SUBSTITUTE(AA$1,RIGHT(AA$1,2),""),VLOOKUP($D37,素材!$1:$1016,COLUMN($F$1),FALSE))),VLOOKUP($C37,装備品!$1:$998,COLUMN($O$1),FALSE)*VLOOKUP($D37,素材!$1:$1016,COLUMN($E$1),FALSE)/(LEN(VLOOKUP($D37,素材!$1:$1016,COLUMN($F$1),FALSE))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IFERROR(VLOOKUP($C37,装備品!$1:$998,COLUMN(V$1),FALSE)*VLOOKUP($D37,素材!$1:$1016,COLUMN(N$1),FALSE)+IF(CI37="",0,VLOOKUP($CI37,付与!$1:$1176,COLUMN($CK$1),FALSE)),"")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IFERROR(VLOOKUP($D38,素材!$1:$1016,COLUMN($B$1),FALSE)&amp;"・"&amp;VLOOKUP($C38,装備品!$1:$998,COLUMN(B$1),FALSE),"")</f>
        <v>アイアン・ベスト</v>
      </c>
      <c r="C38" t="s">
        <v>206</v>
      </c>
      <c r="D38" s="24" t="s">
        <v>256</v>
      </c>
      <c r="E38" t="str">
        <f>IFERROR(VLOOKUP(C38,装備品!$1:$998,COLUMN(C$1),FALSE),"")</f>
        <v>体</v>
      </c>
      <c r="F38">
        <f>IFERROR(ROUNDDOWN((VLOOKUP($C38,装備品!$1:$998,COLUMN(D$1),FALSE)+IFERROR(VLOOKUP($CI38,付与!$1:$1167,COLUMN(F$1),FALSE),0))*VLOOKUP($D38,素材!$1:$1016,COLUMN(D$1),FALSE),0),"")</f>
        <v>0</v>
      </c>
      <c r="G38">
        <f>IFERROR(ROUNDDOWN((VLOOKUP($C38,装備品!$1:$998,COLUMN(E$1),FALSE)+IFERROR(VLOOKUP($CI38,付与!$1:$1167,COLUMN(G$1),FALSE),0))*VLOOKUP($D38,素材!$1:$1016,COLUMN($E$1),FALSE),0),"")</f>
        <v>0</v>
      </c>
      <c r="H38">
        <f>IFERROR(ROUNDDOWN((VLOOKUP($C38,装備品!$1:$998,COLUMN(F$1),FALSE)+IFERROR(VLOOKUP($CI38,付与!$1:$1167,COLUMN(H$1),FALSE),0))*VLOOKUP($D38,素材!$1:$1016,COLUMN($E$1),FALSE),0),"")</f>
        <v>0</v>
      </c>
      <c r="I38">
        <f>IFERROR(ROUNDDOWN((VLOOKUP($C38,装備品!$1:$998,COLUMN(G$1),FALSE)+IFERROR(VLOOKUP($CI38,付与!$1:$1167,COLUMN(I$1),FALSE),0))*VLOOKUP($D38,素材!$1:$1016,COLUMN($E$1),FALSE),0),"")</f>
        <v>0</v>
      </c>
      <c r="J38">
        <f>IFERROR(ROUNDDOWN((VLOOKUP($C38,装備品!$1:$998,COLUMN(H$1),FALSE)+IFERROR(VLOOKUP($CI38,付与!$1:$1167,COLUMN(J$1),FALSE),0))*VLOOKUP($D38,素材!$1:$1016,COLUMN($E$1),FALSE),0),"")</f>
        <v>0</v>
      </c>
      <c r="K38">
        <f>IFERROR(ROUNDDOWN((VLOOKUP($C38,装備品!$1:$998,COLUMN(I$1),FALSE)+IFERROR(VLOOKUP($CI38,付与!$1:$1167,COLUMN(K$1),FALSE),0))*VLOOKUP($D38,素材!$1:$1016,COLUMN($E$1),FALSE),0),"")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IFERROR(VLOOKUP($C38,装備品!$1:$998,COLUMN(AA$1),FALSE)*VLOOKUP($D38,素材!$1:$1016,COLUMN($G$1),FALSE),"")</f>
        <v>0</v>
      </c>
      <c r="N38">
        <f>IFERROR(VLOOKUP($C38,装備品!$1:$998,COLUMN(I$1),FALSE),"")</f>
        <v>0</v>
      </c>
      <c r="O38" s="23">
        <f>IFERROR((VLOOKUP($C38,装備品!$1:$998,COLUMN(K$1),FALSE)+VLOOKUP($D38,素材!$1:$1016,COLUMN(H$1),FALSE))*100+IFERROR(VLOOKUP($CI38,付与!$1:$1167,COLUMN(O$1),FALSE),0),"")</f>
        <v>0</v>
      </c>
      <c r="P38" s="23">
        <f>IFERROR((VLOOKUP($C38,装備品!$1:$998,COLUMN(L$1),FALSE)+VLOOKUP($D38,素材!$1:$1016,COLUMN(I$1),FALSE))*100+IFERROR(VLOOKUP($CI38,付与!$1:$1167,COLUMN(P$1),FALSE),0),"")</f>
        <v>0</v>
      </c>
      <c r="Q38">
        <f>IFERROR(ROUNDUP(VLOOKUP($C38,装備品!$1:$998,COLUMN(M$1),FALSE)*(VLOOKUP($D38,素材!$1:$1002,COLUMN(D$1),FALSE)/100),1),"")</f>
        <v>-7.5</v>
      </c>
      <c r="R38">
        <f>IFERROR(ROUNDUP(VLOOKUP($C38,装備品!$1:$998,COLUMN(N$1),FALSE)*(VLOOKUP($D38,素材!$1:$1002,COLUMN(D$1),FALSE)/100),1),"")</f>
        <v>0</v>
      </c>
      <c r="S38">
        <f>IFERROR(VLOOKUP($C38,装備品!$1:$998,COLUMN(P$1),FALSE),"")</f>
        <v>-15</v>
      </c>
      <c r="T38">
        <f>IFERROR(VLOOKUP($C38,装備品!$1:$998,COLUMN(Q$1),FALSE),"")</f>
        <v>0</v>
      </c>
      <c r="U38">
        <f>IFERROR(VLOOKUP($C38,装備品!$1:$998,COLUMN(R$1),FALSE),"")</f>
        <v>0</v>
      </c>
      <c r="V38">
        <f>IFERROR(VLOOKUP($C38,装備品!$1:$998,COLUMN(Q$1),FALSE),"")</f>
        <v>0</v>
      </c>
      <c r="W38">
        <f>IFERROR(VLOOKUP($C38,装備品!$1:$998,COLUMN(T$1),FALSE),"")</f>
        <v>0.5</v>
      </c>
      <c r="Y38">
        <f>IFERROR(VLOOKUP($C38,装備品!$1:$998,COLUMN(U$1),FALSE),"")</f>
        <v>0</v>
      </c>
      <c r="Z38">
        <f>IFERROR(ROUNDUP(VLOOKUP($C38,装備品!$1:$998,COLUMN(O$1),FALSE)*VLOOKUP($D38,素材!$1:$1016,COLUMN(E$1),FALSE),1),"")</f>
        <v>0</v>
      </c>
      <c r="AA38">
        <f>IF(ISNUMBER(SEARCH(SUBSTITUTE(AA$1,RIGHT(AA$1,2),""),VLOOKUP($D38,素材!$1:$1016,COLUMN($F$1),FALSE))),VLOOKUP($C38,装備品!$1:$998,COLUMN($O$1),FALSE)*VLOOKUP($D38,素材!$1:$1016,COLUMN($E$1),FALSE)/(LEN(VLOOKUP($D38,素材!$1:$1016,COLUMN($F$1),FALSE))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IFERROR(VLOOKUP($C38,装備品!$1:$998,COLUMN(V$1),FALSE)*VLOOKUP($D38,素材!$1:$1016,COLUMN(N$1),FALSE)+IF(CI38="",0,VLOOKUP($CI38,付与!$1:$1176,COLUMN($CK$1),FALSE)),"")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IFERROR(VLOOKUP($D39,素材!$1:$1016,COLUMN($B$1),FALSE)&amp;"・"&amp;VLOOKUP($C39,装備品!$1:$998,COLUMN(B$1),FALSE),"")</f>
        <v>アイアン・ブーツ</v>
      </c>
      <c r="C39" t="s">
        <v>205</v>
      </c>
      <c r="D39" s="24" t="s">
        <v>256</v>
      </c>
      <c r="E39" t="str">
        <f>IFERROR(VLOOKUP(C39,装備品!$1:$998,COLUMN(C$1),FALSE),"")</f>
        <v>足</v>
      </c>
      <c r="F39">
        <f>IFERROR(ROUNDDOWN((VLOOKUP($C39,装備品!$1:$998,COLUMN(D$1),FALSE)+IFERROR(VLOOKUP($CI39,付与!$1:$1167,COLUMN(F$1),FALSE),0))*VLOOKUP($D39,素材!$1:$1016,COLUMN(D$1),FALSE),0),"")</f>
        <v>0</v>
      </c>
      <c r="G39">
        <f>IFERROR(ROUNDDOWN((VLOOKUP($C39,装備品!$1:$998,COLUMN(E$1),FALSE)+IFERROR(VLOOKUP($CI39,付与!$1:$1167,COLUMN(G$1),FALSE),0))*VLOOKUP($D39,素材!$1:$1016,COLUMN($E$1),FALSE),0),"")</f>
        <v>0</v>
      </c>
      <c r="H39">
        <f>IFERROR(ROUNDDOWN((VLOOKUP($C39,装備品!$1:$998,COLUMN(F$1),FALSE)+IFERROR(VLOOKUP($CI39,付与!$1:$1167,COLUMN(H$1),FALSE),0))*VLOOKUP($D39,素材!$1:$1016,COLUMN($E$1),FALSE),0),"")</f>
        <v>0</v>
      </c>
      <c r="I39">
        <f>IFERROR(ROUNDDOWN((VLOOKUP($C39,装備品!$1:$998,COLUMN(G$1),FALSE)+IFERROR(VLOOKUP($CI39,付与!$1:$1167,COLUMN(I$1),FALSE),0))*VLOOKUP($D39,素材!$1:$1016,COLUMN($E$1),FALSE),0),"")</f>
        <v>20</v>
      </c>
      <c r="J39">
        <f>IFERROR(ROUNDDOWN((VLOOKUP($C39,装備品!$1:$998,COLUMN(H$1),FALSE)+IFERROR(VLOOKUP($CI39,付与!$1:$1167,COLUMN(J$1),FALSE),0))*VLOOKUP($D39,素材!$1:$1016,COLUMN($E$1),FALSE),0),"")</f>
        <v>0</v>
      </c>
      <c r="K39">
        <f>IFERROR(ROUNDDOWN((VLOOKUP($C39,装備品!$1:$998,COLUMN(I$1),FALSE)+IFERROR(VLOOKUP($CI39,付与!$1:$1167,COLUMN(K$1),FALSE),0))*VLOOKUP($D39,素材!$1:$1016,COLUMN($E$1),FALSE),0),"")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IFERROR(VLOOKUP($C39,装備品!$1:$998,COLUMN(AA$1),FALSE)*VLOOKUP($D39,素材!$1:$1016,COLUMN($G$1),FALSE),"")</f>
        <v>0</v>
      </c>
      <c r="N39">
        <f>IFERROR(VLOOKUP($C39,装備品!$1:$998,COLUMN(I$1),FALSE),"")</f>
        <v>0</v>
      </c>
      <c r="O39" s="23">
        <f>IFERROR((VLOOKUP($C39,装備品!$1:$998,COLUMN(K$1),FALSE)+VLOOKUP($D39,素材!$1:$1016,COLUMN(H$1),FALSE))*100+IFERROR(VLOOKUP($CI39,付与!$1:$1167,COLUMN(O$1),FALSE),0),"")</f>
        <v>10</v>
      </c>
      <c r="P39" s="23">
        <f>IFERROR((VLOOKUP($C39,装備品!$1:$998,COLUMN(L$1),FALSE)+VLOOKUP($D39,素材!$1:$1016,COLUMN(I$1),FALSE))*100+IFERROR(VLOOKUP($CI39,付与!$1:$1167,COLUMN(P$1),FALSE),0),"")</f>
        <v>150</v>
      </c>
      <c r="Q39">
        <f>IFERROR(ROUNDUP(VLOOKUP($C39,装備品!$1:$998,COLUMN(M$1),FALSE)*(VLOOKUP($D39,素材!$1:$1002,COLUMN(D$1),FALSE)/100),1),"")</f>
        <v>0</v>
      </c>
      <c r="R39">
        <f>IFERROR(ROUNDUP(VLOOKUP($C39,装備品!$1:$998,COLUMN(N$1),FALSE)*(VLOOKUP($D39,素材!$1:$1002,COLUMN(D$1),FALSE)/100),1),"")</f>
        <v>0</v>
      </c>
      <c r="S39">
        <f>IFERROR(VLOOKUP($C39,装備品!$1:$998,COLUMN(P$1),FALSE),"")</f>
        <v>0</v>
      </c>
      <c r="T39">
        <f>IFERROR(VLOOKUP($C39,装備品!$1:$998,COLUMN(Q$1),FALSE),"")</f>
        <v>0</v>
      </c>
      <c r="U39">
        <f>IFERROR(VLOOKUP($C39,装備品!$1:$998,COLUMN(R$1),FALSE),"")</f>
        <v>0</v>
      </c>
      <c r="V39">
        <f>IFERROR(VLOOKUP($C39,装備品!$1:$998,COLUMN(Q$1),FALSE),"")</f>
        <v>0</v>
      </c>
      <c r="W39">
        <f>IFERROR(VLOOKUP($C39,装備品!$1:$998,COLUMN(T$1),FALSE),"")</f>
        <v>0.15</v>
      </c>
      <c r="Y39">
        <f>IFERROR(VLOOKUP($C39,装備品!$1:$998,COLUMN(U$1),FALSE),"")</f>
        <v>0</v>
      </c>
      <c r="Z39">
        <f>IFERROR(ROUNDUP(VLOOKUP($C39,装備品!$1:$998,COLUMN(O$1),FALSE)*VLOOKUP($D39,素材!$1:$1016,COLUMN(E$1),FALSE),1),"")</f>
        <v>0</v>
      </c>
      <c r="AA39">
        <f>IF(ISNUMBER(SEARCH(SUBSTITUTE(AA$1,RIGHT(AA$1,2),""),VLOOKUP($D39,素材!$1:$1016,COLUMN($F$1),FALSE))),VLOOKUP($C39,装備品!$1:$998,COLUMN($O$1),FALSE)*VLOOKUP($D39,素材!$1:$1016,COLUMN($E$1),FALSE)/(LEN(VLOOKUP($D39,素材!$1:$1016,COLUMN($F$1),FALSE))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20</v>
      </c>
      <c r="CM39" s="22" t="str">
        <f t="shared" si="2"/>
        <v>足.webp</v>
      </c>
      <c r="CN39">
        <f>IFERROR(VLOOKUP($C39,装備品!$1:$998,COLUMN(V$1),FALSE)*VLOOKUP($D39,素材!$1:$1016,COLUMN(N$1),FALSE)+IF(CI39="",0,VLOOKUP($CI39,付与!$1:$1176,COLUMN($CK$1),FALSE)),"")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IFERROR(VLOOKUP($D40,素材!$1:$1016,COLUMN($B$1),FALSE)&amp;"・"&amp;VLOOKUP($C40,装備品!$1:$998,COLUMN(B$1),FALSE),"")</f>
        <v>ウッド・ナイフ</v>
      </c>
      <c r="C40" s="24" t="s">
        <v>241</v>
      </c>
      <c r="D40" s="24" t="s">
        <v>254</v>
      </c>
      <c r="E40" t="str">
        <f>IFERROR(VLOOKUP(C40,装備品!$1:$998,COLUMN(C$1),FALSE),"")</f>
        <v>武器</v>
      </c>
      <c r="F40">
        <f>IFERROR(ROUNDDOWN((VLOOKUP($C40,装備品!$1:$998,COLUMN(D$1),FALSE)+IFERROR(VLOOKUP($CI40,付与!$1:$1167,COLUMN(F$1),FALSE),0))*VLOOKUP($D40,素材!$1:$1016,COLUMN(D$1),FALSE),0),"")</f>
        <v>75</v>
      </c>
      <c r="G40">
        <f>IFERROR(ROUNDDOWN((VLOOKUP($C40,装備品!$1:$998,COLUMN(E$1),FALSE)+IFERROR(VLOOKUP($CI40,付与!$1:$1167,COLUMN(G$1),FALSE),0))*VLOOKUP($D40,素材!$1:$1016,COLUMN($E$1),FALSE),0),"")</f>
        <v>7</v>
      </c>
      <c r="H40">
        <f>IFERROR(ROUNDDOWN((VLOOKUP($C40,装備品!$1:$998,COLUMN(F$1),FALSE)+IFERROR(VLOOKUP($CI40,付与!$1:$1167,COLUMN(H$1),FALSE),0))*VLOOKUP($D40,素材!$1:$1016,COLUMN($E$1),FALSE),0),"")</f>
        <v>6</v>
      </c>
      <c r="I40">
        <f>IFERROR(ROUNDDOWN((VLOOKUP($C40,装備品!$1:$998,COLUMN(G$1),FALSE)+IFERROR(VLOOKUP($CI40,付与!$1:$1167,COLUMN(I$1),FALSE),0))*VLOOKUP($D40,素材!$1:$1016,COLUMN($E$1),FALSE),0),"")</f>
        <v>1</v>
      </c>
      <c r="J40">
        <f>IFERROR(ROUNDDOWN((VLOOKUP($C40,装備品!$1:$998,COLUMN(H$1),FALSE)+IFERROR(VLOOKUP($CI40,付与!$1:$1167,COLUMN(J$1),FALSE),0))*VLOOKUP($D40,素材!$1:$1016,COLUMN($E$1),FALSE),0),"")</f>
        <v>9</v>
      </c>
      <c r="K40">
        <f>IFERROR(ROUNDDOWN((VLOOKUP($C40,装備品!$1:$998,COLUMN(I$1),FALSE)+IFERROR(VLOOKUP($CI40,付与!$1:$1167,COLUMN(K$1),FALSE),0))*VLOOKUP($D40,素材!$1:$1016,COLUMN($E$1),FALSE),0),"")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IFERROR(VLOOKUP($C40,装備品!$1:$998,COLUMN(AA$1),FALSE)*VLOOKUP($D40,素材!$1:$1016,COLUMN($G$1),FALSE),"")</f>
        <v>0</v>
      </c>
      <c r="N40">
        <f>IFERROR(VLOOKUP($C40,装備品!$1:$998,COLUMN(I$1),FALSE),"")</f>
        <v>0</v>
      </c>
      <c r="O40" s="23">
        <f>IFERROR((VLOOKUP($C40,装備品!$1:$998,COLUMN(K$1),FALSE)+VLOOKUP($D40,素材!$1:$1016,COLUMN(H$1),FALSE))*100+IFERROR(VLOOKUP($CI40,付与!$1:$1167,COLUMN(O$1),FALSE),0),"")</f>
        <v>10</v>
      </c>
      <c r="P40" s="23">
        <f>IFERROR((VLOOKUP($C40,装備品!$1:$998,COLUMN(L$1),FALSE)+VLOOKUP($D40,素材!$1:$1016,COLUMN(I$1),FALSE))*100+IFERROR(VLOOKUP($CI40,付与!$1:$1167,COLUMN(P$1),FALSE),0),"")</f>
        <v>175</v>
      </c>
      <c r="Q40">
        <f>IFERROR(ROUNDUP(VLOOKUP($C40,装備品!$1:$998,COLUMN(M$1),FALSE)*(VLOOKUP($D40,素材!$1:$1002,COLUMN(D$1),FALSE)/100),1),"")</f>
        <v>0</v>
      </c>
      <c r="R40">
        <f>IFERROR(ROUNDUP(VLOOKUP($C40,装備品!$1:$998,COLUMN(N$1),FALSE)*(VLOOKUP($D40,素材!$1:$1002,COLUMN(D$1),FALSE)/100),1),"")</f>
        <v>0</v>
      </c>
      <c r="S40">
        <f>IFERROR(VLOOKUP($C40,装備品!$1:$998,COLUMN(P$1),FALSE),"")</f>
        <v>0</v>
      </c>
      <c r="T40">
        <f>IFERROR(VLOOKUP($C40,装備品!$1:$998,COLUMN(Q$1),FALSE),"")</f>
        <v>0</v>
      </c>
      <c r="U40">
        <f>IFERROR(VLOOKUP($C40,装備品!$1:$998,COLUMN(R$1),FALSE),"")</f>
        <v>0</v>
      </c>
      <c r="V40">
        <f>IFERROR(VLOOKUP($C40,装備品!$1:$998,COLUMN(Q$1),FALSE),"")</f>
        <v>0</v>
      </c>
      <c r="W40">
        <f>IFERROR(VLOOKUP($C40,装備品!$1:$998,COLUMN(T$1),FALSE),"")</f>
        <v>0</v>
      </c>
      <c r="Y40">
        <f>IFERROR(VLOOKUP($C40,装備品!$1:$998,COLUMN(U$1),FALSE),"")</f>
        <v>0</v>
      </c>
      <c r="Z40">
        <f>IFERROR(ROUNDUP(VLOOKUP($C40,装備品!$1:$998,COLUMN(O$1),FALSE)*VLOOKUP($D40,素材!$1:$1016,COLUMN(E$1),FALSE),1),"")</f>
        <v>0</v>
      </c>
      <c r="AA40">
        <f>IF(ISNUMBER(SEARCH(SUBSTITUTE(AA$1,RIGHT(AA$1,2),""),VLOOKUP($D40,素材!$1:$1016,COLUMN($F$1),FALSE))),VLOOKUP($C40,装備品!$1:$998,COLUMN($O$1),FALSE)*VLOOKUP($D40,素材!$1:$1016,COLUMN($E$1),FALSE)/(LEN(VLOOKUP($D40,素材!$1:$1016,COLUMN($F$1),FALSE))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IFERROR(VLOOKUP($C40,装備品!$1:$998,COLUMN(V$1),FALSE)*VLOOKUP($D40,素材!$1:$1016,COLUMN(N$1),FALSE)+IF(CI40="",0,VLOOKUP($CI40,付与!$1:$1176,COLUMN($CK$1),FALSE)),"")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IFERROR(VLOOKUP($D41,素材!$1:$1016,COLUMN($B$1),FALSE)&amp;"・"&amp;VLOOKUP($C41,装備品!$1:$998,COLUMN(B$1),FALSE),"")</f>
        <v>ウッド・カタナ</v>
      </c>
      <c r="C41" s="24" t="s">
        <v>240</v>
      </c>
      <c r="D41" s="24" t="s">
        <v>254</v>
      </c>
      <c r="E41" t="str">
        <f>IFERROR(VLOOKUP(C41,装備品!$1:$998,COLUMN(C$1),FALSE),"")</f>
        <v>武器</v>
      </c>
      <c r="F41">
        <f>IFERROR(ROUNDDOWN((VLOOKUP($C41,装備品!$1:$998,COLUMN(D$1),FALSE)+IFERROR(VLOOKUP($CI41,付与!$1:$1167,COLUMN(F$1),FALSE),0))*VLOOKUP($D41,素材!$1:$1016,COLUMN(D$1),FALSE),0),"")</f>
        <v>78</v>
      </c>
      <c r="G41">
        <f>IFERROR(ROUNDDOWN((VLOOKUP($C41,装備品!$1:$998,COLUMN(E$1),FALSE)+IFERROR(VLOOKUP($CI41,付与!$1:$1167,COLUMN(G$1),FALSE),0))*VLOOKUP($D41,素材!$1:$1016,COLUMN($E$1),FALSE),0),"")</f>
        <v>10</v>
      </c>
      <c r="H41">
        <f>IFERROR(ROUNDDOWN((VLOOKUP($C41,装備品!$1:$998,COLUMN(F$1),FALSE)+IFERROR(VLOOKUP($CI41,付与!$1:$1167,COLUMN(H$1),FALSE),0))*VLOOKUP($D41,素材!$1:$1016,COLUMN($E$1),FALSE),0),"")</f>
        <v>6</v>
      </c>
      <c r="I41">
        <f>IFERROR(ROUNDDOWN((VLOOKUP($C41,装備品!$1:$998,COLUMN(G$1),FALSE)+IFERROR(VLOOKUP($CI41,付与!$1:$1167,COLUMN(I$1),FALSE),0))*VLOOKUP($D41,素材!$1:$1016,COLUMN($E$1),FALSE),0),"")</f>
        <v>1</v>
      </c>
      <c r="J41">
        <f>IFERROR(ROUNDDOWN((VLOOKUP($C41,装備品!$1:$998,COLUMN(H$1),FALSE)+IFERROR(VLOOKUP($CI41,付与!$1:$1167,COLUMN(J$1),FALSE),0))*VLOOKUP($D41,素材!$1:$1016,COLUMN($E$1),FALSE),0),"")</f>
        <v>12</v>
      </c>
      <c r="K41">
        <f>IFERROR(ROUNDDOWN((VLOOKUP($C41,装備品!$1:$998,COLUMN(I$1),FALSE)+IFERROR(VLOOKUP($CI41,付与!$1:$1167,COLUMN(K$1),FALSE),0))*VLOOKUP($D41,素材!$1:$1016,COLUMN($E$1),FALSE),0),"")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IFERROR(VLOOKUP($C41,装備品!$1:$998,COLUMN(AA$1),FALSE)*VLOOKUP($D41,素材!$1:$1016,COLUMN($G$1),FALSE),"")</f>
        <v>0</v>
      </c>
      <c r="N41">
        <f>IFERROR(VLOOKUP($C41,装備品!$1:$998,COLUMN(I$1),FALSE),"")</f>
        <v>0</v>
      </c>
      <c r="O41" s="23">
        <f>IFERROR((VLOOKUP($C41,装備品!$1:$998,COLUMN(K$1),FALSE)+VLOOKUP($D41,素材!$1:$1016,COLUMN(H$1),FALSE))*100+IFERROR(VLOOKUP($CI41,付与!$1:$1167,COLUMN(O$1),FALSE),0),"")</f>
        <v>10</v>
      </c>
      <c r="P41" s="23">
        <f>IFERROR((VLOOKUP($C41,装備品!$1:$998,COLUMN(L$1),FALSE)+VLOOKUP($D41,素材!$1:$1016,COLUMN(I$1),FALSE))*100+IFERROR(VLOOKUP($CI41,付与!$1:$1167,COLUMN(P$1),FALSE),0),"")</f>
        <v>175</v>
      </c>
      <c r="Q41">
        <f>IFERROR(ROUNDUP(VLOOKUP($C41,装備品!$1:$998,COLUMN(M$1),FALSE)*(VLOOKUP($D41,素材!$1:$1002,COLUMN(D$1),FALSE)/100),1),"")</f>
        <v>0</v>
      </c>
      <c r="R41">
        <f>IFERROR(ROUNDUP(VLOOKUP($C41,装備品!$1:$998,COLUMN(N$1),FALSE)*(VLOOKUP($D41,素材!$1:$1002,COLUMN(D$1),FALSE)/100),1),"")</f>
        <v>0</v>
      </c>
      <c r="S41">
        <f>IFERROR(VLOOKUP($C41,装備品!$1:$998,COLUMN(P$1),FALSE),"")</f>
        <v>0</v>
      </c>
      <c r="T41">
        <f>IFERROR(VLOOKUP($C41,装備品!$1:$998,COLUMN(Q$1),FALSE),"")</f>
        <v>0</v>
      </c>
      <c r="U41">
        <f>IFERROR(VLOOKUP($C41,装備品!$1:$998,COLUMN(R$1),FALSE),"")</f>
        <v>0</v>
      </c>
      <c r="V41">
        <f>IFERROR(VLOOKUP($C41,装備品!$1:$998,COLUMN(Q$1),FALSE),"")</f>
        <v>0</v>
      </c>
      <c r="W41">
        <f>IFERROR(VLOOKUP($C41,装備品!$1:$998,COLUMN(T$1),FALSE),"")</f>
        <v>0</v>
      </c>
      <c r="Y41">
        <f>IFERROR(VLOOKUP($C41,装備品!$1:$998,COLUMN(U$1),FALSE),"")</f>
        <v>0</v>
      </c>
      <c r="Z41">
        <f>IFERROR(ROUNDUP(VLOOKUP($C41,装備品!$1:$998,COLUMN(O$1),FALSE)*VLOOKUP($D41,素材!$1:$1016,COLUMN(E$1),FALSE),1),"")</f>
        <v>0</v>
      </c>
      <c r="AA41">
        <f>IF(ISNUMBER(SEARCH(SUBSTITUTE(AA$1,RIGHT(AA$1,2),""),VLOOKUP($D41,素材!$1:$1016,COLUMN($F$1),FALSE))),VLOOKUP($C41,装備品!$1:$998,COLUMN($O$1),FALSE)*VLOOKUP($D41,素材!$1:$1016,COLUMN($E$1),FALSE)/(LEN(VLOOKUP($D41,素材!$1:$1016,COLUMN($F$1),FALSE))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IFERROR(VLOOKUP($C41,装備品!$1:$998,COLUMN(V$1),FALSE)*VLOOKUP($D41,素材!$1:$1016,COLUMN(N$1),FALSE)+IF(CI41="",0,VLOOKUP($CI41,付与!$1:$1176,COLUMN($CK$1),FALSE)),"")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IFERROR(VLOOKUP($D42,素材!$1:$1016,COLUMN($B$1),FALSE)&amp;"・"&amp;VLOOKUP($C42,装備品!$1:$998,COLUMN(B$1),FALSE),"")</f>
        <v>ウッド・ソード</v>
      </c>
      <c r="C42" s="24" t="s">
        <v>239</v>
      </c>
      <c r="D42" s="24" t="s">
        <v>254</v>
      </c>
      <c r="E42" t="str">
        <f>IFERROR(VLOOKUP(C42,装備品!$1:$998,COLUMN(C$1),FALSE),"")</f>
        <v>武器</v>
      </c>
      <c r="F42">
        <f>IFERROR(ROUNDDOWN((VLOOKUP($C42,装備品!$1:$998,COLUMN(D$1),FALSE)+IFERROR(VLOOKUP($CI42,付与!$1:$1167,COLUMN(F$1),FALSE),0))*VLOOKUP($D42,素材!$1:$1016,COLUMN(D$1),FALSE),0),"")</f>
        <v>75</v>
      </c>
      <c r="G42">
        <f>IFERROR(ROUNDDOWN((VLOOKUP($C42,装備品!$1:$998,COLUMN(E$1),FALSE)+IFERROR(VLOOKUP($CI42,付与!$1:$1167,COLUMN(G$1),FALSE),0))*VLOOKUP($D42,素材!$1:$1016,COLUMN($E$1),FALSE),0),"")</f>
        <v>9</v>
      </c>
      <c r="H42">
        <f>IFERROR(ROUNDDOWN((VLOOKUP($C42,装備品!$1:$998,COLUMN(F$1),FALSE)+IFERROR(VLOOKUP($CI42,付与!$1:$1167,COLUMN(H$1),FALSE),0))*VLOOKUP($D42,素材!$1:$1016,COLUMN($E$1),FALSE),0),"")</f>
        <v>6</v>
      </c>
      <c r="I42">
        <f>IFERROR(ROUNDDOWN((VLOOKUP($C42,装備品!$1:$998,COLUMN(G$1),FALSE)+IFERROR(VLOOKUP($CI42,付与!$1:$1167,COLUMN(I$1),FALSE),0))*VLOOKUP($D42,素材!$1:$1016,COLUMN($E$1),FALSE),0),"")</f>
        <v>2</v>
      </c>
      <c r="J42">
        <f>IFERROR(ROUNDDOWN((VLOOKUP($C42,装備品!$1:$998,COLUMN(H$1),FALSE)+IFERROR(VLOOKUP($CI42,付与!$1:$1167,COLUMN(J$1),FALSE),0))*VLOOKUP($D42,素材!$1:$1016,COLUMN($E$1),FALSE),0),"")</f>
        <v>14</v>
      </c>
      <c r="K42">
        <f>IFERROR(ROUNDDOWN((VLOOKUP($C42,装備品!$1:$998,COLUMN(I$1),FALSE)+IFERROR(VLOOKUP($CI42,付与!$1:$1167,COLUMN(K$1),FALSE),0))*VLOOKUP($D42,素材!$1:$1016,COLUMN($E$1),FALSE),0),"")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IFERROR(VLOOKUP($C42,装備品!$1:$998,COLUMN(AA$1),FALSE)*VLOOKUP($D42,素材!$1:$1016,COLUMN($G$1),FALSE),"")</f>
        <v>0</v>
      </c>
      <c r="N42">
        <f>IFERROR(VLOOKUP($C42,装備品!$1:$998,COLUMN(I$1),FALSE),"")</f>
        <v>0</v>
      </c>
      <c r="O42" s="23">
        <f>IFERROR((VLOOKUP($C42,装備品!$1:$998,COLUMN(K$1),FALSE)+VLOOKUP($D42,素材!$1:$1016,COLUMN(H$1),FALSE))*100+IFERROR(VLOOKUP($CI42,付与!$1:$1167,COLUMN(O$1),FALSE),0),"")</f>
        <v>10</v>
      </c>
      <c r="P42" s="23">
        <f>IFERROR((VLOOKUP($C42,装備品!$1:$998,COLUMN(L$1),FALSE)+VLOOKUP($D42,素材!$1:$1016,COLUMN(I$1),FALSE))*100+IFERROR(VLOOKUP($CI42,付与!$1:$1167,COLUMN(P$1),FALSE),0),"")</f>
        <v>150</v>
      </c>
      <c r="Q42">
        <f>IFERROR(ROUNDUP(VLOOKUP($C42,装備品!$1:$998,COLUMN(M$1),FALSE)*(VLOOKUP($D42,素材!$1:$1002,COLUMN(D$1),FALSE)/100),1),"")</f>
        <v>0</v>
      </c>
      <c r="R42">
        <f>IFERROR(ROUNDUP(VLOOKUP($C42,装備品!$1:$998,COLUMN(N$1),FALSE)*(VLOOKUP($D42,素材!$1:$1002,COLUMN(D$1),FALSE)/100),1),"")</f>
        <v>0</v>
      </c>
      <c r="S42">
        <f>IFERROR(VLOOKUP($C42,装備品!$1:$998,COLUMN(P$1),FALSE),"")</f>
        <v>0</v>
      </c>
      <c r="T42">
        <f>IFERROR(VLOOKUP($C42,装備品!$1:$998,COLUMN(Q$1),FALSE),"")</f>
        <v>0</v>
      </c>
      <c r="U42">
        <f>IFERROR(VLOOKUP($C42,装備品!$1:$998,COLUMN(R$1),FALSE),"")</f>
        <v>0</v>
      </c>
      <c r="V42">
        <f>IFERROR(VLOOKUP($C42,装備品!$1:$998,COLUMN(Q$1),FALSE),"")</f>
        <v>0</v>
      </c>
      <c r="W42">
        <f>IFERROR(VLOOKUP($C42,装備品!$1:$998,COLUMN(T$1),FALSE),"")</f>
        <v>0</v>
      </c>
      <c r="Y42">
        <f>IFERROR(VLOOKUP($C42,装備品!$1:$998,COLUMN(U$1),FALSE),"")</f>
        <v>0</v>
      </c>
      <c r="Z42">
        <f>IFERROR(ROUNDUP(VLOOKUP($C42,装備品!$1:$998,COLUMN(O$1),FALSE)*VLOOKUP($D42,素材!$1:$1016,COLUMN(E$1),FALSE),1),"")</f>
        <v>0</v>
      </c>
      <c r="AA42">
        <f>IF(ISNUMBER(SEARCH(SUBSTITUTE(AA$1,RIGHT(AA$1,2),""),VLOOKUP($D42,素材!$1:$1016,COLUMN($F$1),FALSE))),VLOOKUP($C42,装備品!$1:$998,COLUMN($O$1),FALSE)*VLOOKUP($D42,素材!$1:$1016,COLUMN($E$1),FALSE)/(LEN(VLOOKUP($D42,素材!$1:$1016,COLUMN($F$1),FALSE))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IFERROR(VLOOKUP($C42,装備品!$1:$998,COLUMN(V$1),FALSE)*VLOOKUP($D42,素材!$1:$1016,COLUMN(N$1),FALSE)+IF(CI42="",0,VLOOKUP($CI42,付与!$1:$1176,COLUMN($CK$1),FALSE)),"")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IFERROR(VLOOKUP($D43,素材!$1:$1016,COLUMN($B$1),FALSE)&amp;"・"&amp;VLOOKUP($C43,装備品!$1:$998,COLUMN(B$1),FALSE),"")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IFERROR(VLOOKUP(C43,装備品!$1:$998,COLUMN(C$1),FALSE),"")</f>
        <v>武器</v>
      </c>
      <c r="F43">
        <f>IFERROR(ROUNDDOWN((VLOOKUP($C43,装備品!$1:$998,COLUMN(D$1),FALSE)+IFERROR(VLOOKUP($CI43,付与!$1:$1167,COLUMN(F$1),FALSE),0))*VLOOKUP($D43,素材!$1:$1016,COLUMN(D$1),FALSE),0),"")</f>
        <v>82</v>
      </c>
      <c r="G43">
        <f>IFERROR(ROUNDDOWN((VLOOKUP($C43,装備品!$1:$998,COLUMN(E$1),FALSE)+IFERROR(VLOOKUP($CI43,付与!$1:$1167,COLUMN(G$1),FALSE),0))*VLOOKUP($D43,素材!$1:$1016,COLUMN($E$1),FALSE),0),"")</f>
        <v>9</v>
      </c>
      <c r="H43">
        <f>IFERROR(ROUNDDOWN((VLOOKUP($C43,装備品!$1:$998,COLUMN(F$1),FALSE)+IFERROR(VLOOKUP($CI43,付与!$1:$1167,COLUMN(H$1),FALSE),0))*VLOOKUP($D43,素材!$1:$1016,COLUMN($E$1),FALSE),0),"")</f>
        <v>6</v>
      </c>
      <c r="I43">
        <f>IFERROR(ROUNDDOWN((VLOOKUP($C43,装備品!$1:$998,COLUMN(G$1),FALSE)+IFERROR(VLOOKUP($CI43,付与!$1:$1167,COLUMN(I$1),FALSE),0))*VLOOKUP($D43,素材!$1:$1016,COLUMN($E$1),FALSE),0),"")</f>
        <v>2</v>
      </c>
      <c r="J43">
        <f>IFERROR(ROUNDDOWN((VLOOKUP($C43,装備品!$1:$998,COLUMN(H$1),FALSE)+IFERROR(VLOOKUP($CI43,付与!$1:$1167,COLUMN(J$1),FALSE),0))*VLOOKUP($D43,素材!$1:$1016,COLUMN($E$1),FALSE),0),"")</f>
        <v>17</v>
      </c>
      <c r="K43">
        <f>IFERROR(ROUNDDOWN((VLOOKUP($C43,装備品!$1:$998,COLUMN(I$1),FALSE)+IFERROR(VLOOKUP($CI43,付与!$1:$1167,COLUMN(K$1),FALSE),0))*VLOOKUP($D43,素材!$1:$1016,COLUMN($E$1),FALSE),0),"")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IFERROR(VLOOKUP($C43,装備品!$1:$998,COLUMN(AA$1),FALSE)*VLOOKUP($D43,素材!$1:$1016,COLUMN($G$1),FALSE),"")</f>
        <v>0</v>
      </c>
      <c r="N43">
        <f>IFERROR(VLOOKUP($C43,装備品!$1:$998,COLUMN(I$1),FALSE),"")</f>
        <v>0</v>
      </c>
      <c r="O43" s="23">
        <f>IFERROR((VLOOKUP($C43,装備品!$1:$998,COLUMN(K$1),FALSE)+VLOOKUP($D43,素材!$1:$1016,COLUMN(H$1),FALSE))*100+IFERROR(VLOOKUP($CI43,付与!$1:$1167,COLUMN(O$1),FALSE),0),"")</f>
        <v>10</v>
      </c>
      <c r="P43" s="23">
        <f>IFERROR((VLOOKUP($C43,装備品!$1:$998,COLUMN(L$1),FALSE)+VLOOKUP($D43,素材!$1:$1016,COLUMN(I$1),FALSE))*100+IFERROR(VLOOKUP($CI43,付与!$1:$1167,COLUMN(P$1),FALSE),0),"")</f>
        <v>150</v>
      </c>
      <c r="Q43">
        <f>IFERROR(ROUNDUP(VLOOKUP($C43,装備品!$1:$998,COLUMN(M$1),FALSE)*(VLOOKUP($D43,素材!$1:$1002,COLUMN(D$1),FALSE)/100),1),"")</f>
        <v>-1.9000000000000001</v>
      </c>
      <c r="R43">
        <f>IFERROR(ROUNDUP(VLOOKUP($C43,装備品!$1:$998,COLUMN(N$1),FALSE)*(VLOOKUP($D43,素材!$1:$1002,COLUMN(D$1),FALSE)/100),1),"")</f>
        <v>-1.9000000000000001</v>
      </c>
      <c r="S43">
        <f>IFERROR(VLOOKUP($C43,装備品!$1:$998,COLUMN(P$1),FALSE),"")</f>
        <v>0</v>
      </c>
      <c r="T43">
        <f>IFERROR(VLOOKUP($C43,装備品!$1:$998,COLUMN(Q$1),FALSE),"")</f>
        <v>0</v>
      </c>
      <c r="U43">
        <f>IFERROR(VLOOKUP($C43,装備品!$1:$998,COLUMN(R$1),FALSE),"")</f>
        <v>0</v>
      </c>
      <c r="V43">
        <f>IFERROR(VLOOKUP($C43,装備品!$1:$998,COLUMN(Q$1),FALSE),"")</f>
        <v>0</v>
      </c>
      <c r="W43">
        <f>IFERROR(VLOOKUP($C43,装備品!$1:$998,COLUMN(T$1),FALSE),"")</f>
        <v>0</v>
      </c>
      <c r="Y43">
        <f>IFERROR(VLOOKUP($C43,装備品!$1:$998,COLUMN(U$1),FALSE),"")</f>
        <v>0</v>
      </c>
      <c r="Z43">
        <f>IFERROR(ROUNDUP(VLOOKUP($C43,装備品!$1:$998,COLUMN(O$1),FALSE)*VLOOKUP($D43,素材!$1:$1016,COLUMN(E$1),FALSE),1),"")</f>
        <v>0</v>
      </c>
      <c r="AA43">
        <f>IF(ISNUMBER(SEARCH(SUBSTITUTE(AA$1,RIGHT(AA$1,2),""),VLOOKUP($D43,素材!$1:$1016,COLUMN($F$1),FALSE))),VLOOKUP($C43,装備品!$1:$998,COLUMN($O$1),FALSE)*VLOOKUP($D43,素材!$1:$1016,COLUMN($E$1),FALSE)/(LEN(VLOOKUP($D43,素材!$1:$1016,COLUMN($F$1),FALSE))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IFERROR(VLOOKUP($C43,装備品!$1:$998,COLUMN(V$1),FALSE)*VLOOKUP($D43,素材!$1:$1016,COLUMN(N$1),FALSE)+IF(CI43="",0,VLOOKUP($CI43,付与!$1:$1176,COLUMN($CK$1),FALSE)),"")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IFERROR(VLOOKUP($D44,素材!$1:$1016,COLUMN($B$1),FALSE)&amp;"・"&amp;VLOOKUP($C44,装備品!$1:$998,COLUMN(B$1),FALSE),"")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IFERROR(VLOOKUP(C44,装備品!$1:$998,COLUMN(C$1),FALSE),"")</f>
        <v>武器</v>
      </c>
      <c r="F44">
        <f>IFERROR(ROUNDDOWN((VLOOKUP($C44,装備品!$1:$998,COLUMN(D$1),FALSE)+IFERROR(VLOOKUP($CI44,付与!$1:$1167,COLUMN(F$1),FALSE),0))*VLOOKUP($D44,素材!$1:$1016,COLUMN(D$1),FALSE),0),"")</f>
        <v>86</v>
      </c>
      <c r="G44">
        <f>IFERROR(ROUNDDOWN((VLOOKUP($C44,装備品!$1:$998,COLUMN(E$1),FALSE)+IFERROR(VLOOKUP($CI44,付与!$1:$1167,COLUMN(G$1),FALSE),0))*VLOOKUP($D44,素材!$1:$1016,COLUMN($E$1),FALSE),0),"")</f>
        <v>11</v>
      </c>
      <c r="H44">
        <f>IFERROR(ROUNDDOWN((VLOOKUP($C44,装備品!$1:$998,COLUMN(F$1),FALSE)+IFERROR(VLOOKUP($CI44,付与!$1:$1167,COLUMN(H$1),FALSE),0))*VLOOKUP($D44,素材!$1:$1016,COLUMN($E$1),FALSE),0),"")</f>
        <v>6</v>
      </c>
      <c r="I44">
        <f>IFERROR(ROUNDDOWN((VLOOKUP($C44,装備品!$1:$998,COLUMN(G$1),FALSE)+IFERROR(VLOOKUP($CI44,付与!$1:$1167,COLUMN(I$1),FALSE),0))*VLOOKUP($D44,素材!$1:$1016,COLUMN($E$1),FALSE),0),"")</f>
        <v>2</v>
      </c>
      <c r="J44">
        <f>IFERROR(ROUNDDOWN((VLOOKUP($C44,装備品!$1:$998,COLUMN(H$1),FALSE)+IFERROR(VLOOKUP($CI44,付与!$1:$1167,COLUMN(J$1),FALSE),0))*VLOOKUP($D44,素材!$1:$1016,COLUMN($E$1),FALSE),0),"")</f>
        <v>15</v>
      </c>
      <c r="K44">
        <f>IFERROR(ROUNDDOWN((VLOOKUP($C44,装備品!$1:$998,COLUMN(I$1),FALSE)+IFERROR(VLOOKUP($CI44,付与!$1:$1167,COLUMN(K$1),FALSE),0))*VLOOKUP($D44,素材!$1:$1016,COLUMN($E$1),FALSE),0),"")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IFERROR(VLOOKUP($C44,装備品!$1:$998,COLUMN(AA$1),FALSE)*VLOOKUP($D44,素材!$1:$1016,COLUMN($G$1),FALSE),"")</f>
        <v>0</v>
      </c>
      <c r="N44">
        <f>IFERROR(VLOOKUP($C44,装備品!$1:$998,COLUMN(I$1),FALSE),"")</f>
        <v>0</v>
      </c>
      <c r="O44" s="23">
        <f>IFERROR((VLOOKUP($C44,装備品!$1:$998,COLUMN(K$1),FALSE)+VLOOKUP($D44,素材!$1:$1016,COLUMN(H$1),FALSE))*100+IFERROR(VLOOKUP($CI44,付与!$1:$1167,COLUMN(O$1),FALSE),0),"")</f>
        <v>10</v>
      </c>
      <c r="P44" s="23">
        <f>IFERROR((VLOOKUP($C44,装備品!$1:$998,COLUMN(L$1),FALSE)+VLOOKUP($D44,素材!$1:$1016,COLUMN(I$1),FALSE))*100+IFERROR(VLOOKUP($CI44,付与!$1:$1167,COLUMN(P$1),FALSE),0),"")</f>
        <v>150</v>
      </c>
      <c r="Q44">
        <f>IFERROR(ROUNDUP(VLOOKUP($C44,装備品!$1:$998,COLUMN(M$1),FALSE)*(VLOOKUP($D44,素材!$1:$1002,COLUMN(D$1),FALSE)/100),1),"")</f>
        <v>-1.9000000000000001</v>
      </c>
      <c r="R44">
        <f>IFERROR(ROUNDUP(VLOOKUP($C44,装備品!$1:$998,COLUMN(N$1),FALSE)*(VLOOKUP($D44,素材!$1:$1002,COLUMN(D$1),FALSE)/100),1),"")</f>
        <v>-1.9000000000000001</v>
      </c>
      <c r="S44">
        <f>IFERROR(VLOOKUP($C44,装備品!$1:$998,COLUMN(P$1),FALSE),"")</f>
        <v>0</v>
      </c>
      <c r="T44">
        <f>IFERROR(VLOOKUP($C44,装備品!$1:$998,COLUMN(Q$1),FALSE),"")</f>
        <v>0</v>
      </c>
      <c r="U44">
        <f>IFERROR(VLOOKUP($C44,装備品!$1:$998,COLUMN(R$1),FALSE),"")</f>
        <v>0</v>
      </c>
      <c r="V44">
        <f>IFERROR(VLOOKUP($C44,装備品!$1:$998,COLUMN(Q$1),FALSE),"")</f>
        <v>0</v>
      </c>
      <c r="W44">
        <f>IFERROR(VLOOKUP($C44,装備品!$1:$998,COLUMN(T$1),FALSE),"")</f>
        <v>0</v>
      </c>
      <c r="Y44">
        <f>IFERROR(VLOOKUP($C44,装備品!$1:$998,COLUMN(U$1),FALSE),"")</f>
        <v>0</v>
      </c>
      <c r="Z44">
        <f>IFERROR(ROUNDUP(VLOOKUP($C44,装備品!$1:$998,COLUMN(O$1),FALSE)*VLOOKUP($D44,素材!$1:$1016,COLUMN(E$1),FALSE),1),"")</f>
        <v>0</v>
      </c>
      <c r="AA44">
        <f>IF(ISNUMBER(SEARCH(SUBSTITUTE(AA$1,RIGHT(AA$1,2),""),VLOOKUP($D44,素材!$1:$1016,COLUMN($F$1),FALSE))),VLOOKUP($C44,装備品!$1:$998,COLUMN($O$1),FALSE)*VLOOKUP($D44,素材!$1:$1016,COLUMN($E$1),FALSE)/(LEN(VLOOKUP($D44,素材!$1:$1016,COLUMN($F$1),FALSE))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IFERROR(VLOOKUP($C44,装備品!$1:$998,COLUMN(V$1),FALSE)*VLOOKUP($D44,素材!$1:$1016,COLUMN(N$1),FALSE)+IF(CI44="",0,VLOOKUP($CI44,付与!$1:$1176,COLUMN($CK$1),FALSE)),"")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IFERROR(VLOOKUP($D45,素材!$1:$1016,COLUMN($B$1),FALSE)&amp;"・"&amp;VLOOKUP($C45,装備品!$1:$998,COLUMN(B$1),FALSE),"")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IFERROR(VLOOKUP(C45,装備品!$1:$998,COLUMN(C$1),FALSE),"")</f>
        <v>武器</v>
      </c>
      <c r="F45">
        <f>IFERROR(ROUNDDOWN((VLOOKUP($C45,装備品!$1:$998,COLUMN(D$1),FALSE)+IFERROR(VLOOKUP($CI45,付与!$1:$1167,COLUMN(F$1),FALSE),0))*VLOOKUP($D45,素材!$1:$1016,COLUMN(D$1),FALSE),0),"")</f>
        <v>93</v>
      </c>
      <c r="G45">
        <f>IFERROR(ROUNDDOWN((VLOOKUP($C45,装備品!$1:$998,COLUMN(E$1),FALSE)+IFERROR(VLOOKUP($CI45,付与!$1:$1167,COLUMN(G$1),FALSE),0))*VLOOKUP($D45,素材!$1:$1016,COLUMN($E$1),FALSE),0),"")</f>
        <v>13</v>
      </c>
      <c r="H45">
        <f>IFERROR(ROUNDDOWN((VLOOKUP($C45,装備品!$1:$998,COLUMN(F$1),FALSE)+IFERROR(VLOOKUP($CI45,付与!$1:$1167,COLUMN(H$1),FALSE),0))*VLOOKUP($D45,素材!$1:$1016,COLUMN($E$1),FALSE),0),"")</f>
        <v>6</v>
      </c>
      <c r="I45">
        <f>IFERROR(ROUNDDOWN((VLOOKUP($C45,装備品!$1:$998,COLUMN(G$1),FALSE)+IFERROR(VLOOKUP($CI45,付与!$1:$1167,COLUMN(I$1),FALSE),0))*VLOOKUP($D45,素材!$1:$1016,COLUMN($E$1),FALSE),0),"")</f>
        <v>3</v>
      </c>
      <c r="J45">
        <f>IFERROR(ROUNDDOWN((VLOOKUP($C45,装備品!$1:$998,COLUMN(H$1),FALSE)+IFERROR(VLOOKUP($CI45,付与!$1:$1167,COLUMN(J$1),FALSE),0))*VLOOKUP($D45,素材!$1:$1016,COLUMN($E$1),FALSE),0),"")</f>
        <v>16</v>
      </c>
      <c r="K45">
        <f>IFERROR(ROUNDDOWN((VLOOKUP($C45,装備品!$1:$998,COLUMN(I$1),FALSE)+IFERROR(VLOOKUP($CI45,付与!$1:$1167,COLUMN(K$1),FALSE),0))*VLOOKUP($D45,素材!$1:$1016,COLUMN($E$1),FALSE),0),"")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IFERROR(VLOOKUP($C45,装備品!$1:$998,COLUMN(AA$1),FALSE)*VLOOKUP($D45,素材!$1:$1016,COLUMN($G$1),FALSE),"")</f>
        <v>0</v>
      </c>
      <c r="N45">
        <f>IFERROR(VLOOKUP($C45,装備品!$1:$998,COLUMN(I$1),FALSE),"")</f>
        <v>0</v>
      </c>
      <c r="O45" s="23">
        <f>IFERROR((VLOOKUP($C45,装備品!$1:$998,COLUMN(K$1),FALSE)+VLOOKUP($D45,素材!$1:$1016,COLUMN(H$1),FALSE))*100+IFERROR(VLOOKUP($CI45,付与!$1:$1167,COLUMN(O$1),FALSE),0),"")</f>
        <v>10</v>
      </c>
      <c r="P45" s="23">
        <f>IFERROR((VLOOKUP($C45,装備品!$1:$998,COLUMN(L$1),FALSE)+VLOOKUP($D45,素材!$1:$1016,COLUMN(I$1),FALSE))*100+IFERROR(VLOOKUP($CI45,付与!$1:$1167,COLUMN(P$1),FALSE),0),"")</f>
        <v>150</v>
      </c>
      <c r="Q45">
        <f>IFERROR(ROUNDUP(VLOOKUP($C45,装備品!$1:$998,COLUMN(M$1),FALSE)*(VLOOKUP($D45,素材!$1:$1002,COLUMN(D$1),FALSE)/100),1),"")</f>
        <v>-5.6999999999999993</v>
      </c>
      <c r="R45">
        <f>IFERROR(ROUNDUP(VLOOKUP($C45,装備品!$1:$998,COLUMN(N$1),FALSE)*(VLOOKUP($D45,素材!$1:$1002,COLUMN(D$1),FALSE)/100),1),"")</f>
        <v>-5.6999999999999993</v>
      </c>
      <c r="S45">
        <f>IFERROR(VLOOKUP($C45,装備品!$1:$998,COLUMN(P$1),FALSE),"")</f>
        <v>0</v>
      </c>
      <c r="T45">
        <f>IFERROR(VLOOKUP($C45,装備品!$1:$998,COLUMN(Q$1),FALSE),"")</f>
        <v>0</v>
      </c>
      <c r="U45">
        <f>IFERROR(VLOOKUP($C45,装備品!$1:$998,COLUMN(R$1),FALSE),"")</f>
        <v>-15</v>
      </c>
      <c r="V45">
        <f>IFERROR(VLOOKUP($C45,装備品!$1:$998,COLUMN(Q$1),FALSE),"")</f>
        <v>0</v>
      </c>
      <c r="W45">
        <f>IFERROR(VLOOKUP($C45,装備品!$1:$998,COLUMN(T$1),FALSE),"")</f>
        <v>0</v>
      </c>
      <c r="Y45">
        <f>IFERROR(VLOOKUP($C45,装備品!$1:$998,COLUMN(U$1),FALSE),"")</f>
        <v>0</v>
      </c>
      <c r="Z45">
        <f>IFERROR(ROUNDUP(VLOOKUP($C45,装備品!$1:$998,COLUMN(O$1),FALSE)*VLOOKUP($D45,素材!$1:$1016,COLUMN(E$1),FALSE),1),"")</f>
        <v>0</v>
      </c>
      <c r="AA45">
        <f>IF(ISNUMBER(SEARCH(SUBSTITUTE(AA$1,RIGHT(AA$1,2),""),VLOOKUP($D45,素材!$1:$1016,COLUMN($F$1),FALSE))),VLOOKUP($C45,装備品!$1:$998,COLUMN($O$1),FALSE)*VLOOKUP($D45,素材!$1:$1016,COLUMN($E$1),FALSE)/(LEN(VLOOKUP($D45,素材!$1:$1016,COLUMN($F$1),FALSE))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IFERROR(VLOOKUP($C45,装備品!$1:$998,COLUMN(V$1),FALSE)*VLOOKUP($D45,素材!$1:$1016,COLUMN(N$1),FALSE)+IF(CI45="",0,VLOOKUP($CI45,付与!$1:$1176,COLUMN($CK$1),FALSE)),"")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IFERROR(VLOOKUP($D46,素材!$1:$1016,COLUMN($B$1),FALSE)&amp;"・"&amp;VLOOKUP($C46,装備品!$1:$998,COLUMN(B$1),FALSE),"")</f>
        <v>ウッド・レイピア</v>
      </c>
      <c r="C46" s="24" t="s">
        <v>235</v>
      </c>
      <c r="D46" s="24" t="s">
        <v>254</v>
      </c>
      <c r="E46" t="str">
        <f>IFERROR(VLOOKUP(C46,装備品!$1:$998,COLUMN(C$1),FALSE),"")</f>
        <v>武器</v>
      </c>
      <c r="F46">
        <f>IFERROR(ROUNDDOWN((VLOOKUP($C46,装備品!$1:$998,COLUMN(D$1),FALSE)+IFERROR(VLOOKUP($CI46,付与!$1:$1167,COLUMN(F$1),FALSE),0))*VLOOKUP($D46,素材!$1:$1016,COLUMN(D$1),FALSE),0),"")</f>
        <v>75</v>
      </c>
      <c r="G46">
        <f>IFERROR(ROUNDDOWN((VLOOKUP($C46,装備品!$1:$998,COLUMN(E$1),FALSE)+IFERROR(VLOOKUP($CI46,付与!$1:$1167,COLUMN(G$1),FALSE),0))*VLOOKUP($D46,素材!$1:$1016,COLUMN($E$1),FALSE),0),"")</f>
        <v>6</v>
      </c>
      <c r="H46">
        <f>IFERROR(ROUNDDOWN((VLOOKUP($C46,装備品!$1:$998,COLUMN(F$1),FALSE)+IFERROR(VLOOKUP($CI46,付与!$1:$1167,COLUMN(H$1),FALSE),0))*VLOOKUP($D46,素材!$1:$1016,COLUMN($E$1),FALSE),0),"")</f>
        <v>9</v>
      </c>
      <c r="I46">
        <f>IFERROR(ROUNDDOWN((VLOOKUP($C46,装備品!$1:$998,COLUMN(G$1),FALSE)+IFERROR(VLOOKUP($CI46,付与!$1:$1167,COLUMN(I$1),FALSE),0))*VLOOKUP($D46,素材!$1:$1016,COLUMN($E$1),FALSE),0),"")</f>
        <v>0</v>
      </c>
      <c r="J46">
        <f>IFERROR(ROUNDDOWN((VLOOKUP($C46,装備品!$1:$998,COLUMN(H$1),FALSE)+IFERROR(VLOOKUP($CI46,付与!$1:$1167,COLUMN(J$1),FALSE),0))*VLOOKUP($D46,素材!$1:$1016,COLUMN($E$1),FALSE),0),"")</f>
        <v>12</v>
      </c>
      <c r="K46">
        <f>IFERROR(ROUNDDOWN((VLOOKUP($C46,装備品!$1:$998,COLUMN(I$1),FALSE)+IFERROR(VLOOKUP($CI46,付与!$1:$1167,COLUMN(K$1),FALSE),0))*VLOOKUP($D46,素材!$1:$1016,COLUMN($E$1),FALSE),0),"")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IFERROR(VLOOKUP($C46,装備品!$1:$998,COLUMN(AA$1),FALSE)*VLOOKUP($D46,素材!$1:$1016,COLUMN($G$1),FALSE),"")</f>
        <v>0</v>
      </c>
      <c r="N46">
        <f>IFERROR(VLOOKUP($C46,装備品!$1:$998,COLUMN(I$1),FALSE),"")</f>
        <v>0</v>
      </c>
      <c r="O46" s="23">
        <f>IFERROR((VLOOKUP($C46,装備品!$1:$998,COLUMN(K$1),FALSE)+VLOOKUP($D46,素材!$1:$1016,COLUMN(H$1),FALSE))*100+IFERROR(VLOOKUP($CI46,付与!$1:$1167,COLUMN(O$1),FALSE),0),"")</f>
        <v>15</v>
      </c>
      <c r="P46" s="23">
        <f>IFERROR((VLOOKUP($C46,装備品!$1:$998,COLUMN(L$1),FALSE)+VLOOKUP($D46,素材!$1:$1016,COLUMN(I$1),FALSE))*100+IFERROR(VLOOKUP($CI46,付与!$1:$1167,COLUMN(P$1),FALSE),0),"")</f>
        <v>125</v>
      </c>
      <c r="Q46">
        <f>IFERROR(ROUNDUP(VLOOKUP($C46,装備品!$1:$998,COLUMN(M$1),FALSE)*(VLOOKUP($D46,素材!$1:$1002,COLUMN(D$1),FALSE)/100),1),"")</f>
        <v>0</v>
      </c>
      <c r="R46">
        <f>IFERROR(ROUNDUP(VLOOKUP($C46,装備品!$1:$998,COLUMN(N$1),FALSE)*(VLOOKUP($D46,素材!$1:$1002,COLUMN(D$1),FALSE)/100),1),"")</f>
        <v>0</v>
      </c>
      <c r="S46">
        <f>IFERROR(VLOOKUP($C46,装備品!$1:$998,COLUMN(P$1),FALSE),"")</f>
        <v>0</v>
      </c>
      <c r="T46">
        <f>IFERROR(VLOOKUP($C46,装備品!$1:$998,COLUMN(Q$1),FALSE),"")</f>
        <v>0</v>
      </c>
      <c r="U46">
        <f>IFERROR(VLOOKUP($C46,装備品!$1:$998,COLUMN(R$1),FALSE),"")</f>
        <v>0</v>
      </c>
      <c r="V46">
        <f>IFERROR(VLOOKUP($C46,装備品!$1:$998,COLUMN(Q$1),FALSE),"")</f>
        <v>0</v>
      </c>
      <c r="W46">
        <f>IFERROR(VLOOKUP($C46,装備品!$1:$998,COLUMN(T$1),FALSE),"")</f>
        <v>0</v>
      </c>
      <c r="Y46">
        <f>IFERROR(VLOOKUP($C46,装備品!$1:$998,COLUMN(U$1),FALSE),"")</f>
        <v>0</v>
      </c>
      <c r="Z46">
        <f>IFERROR(ROUNDUP(VLOOKUP($C46,装備品!$1:$998,COLUMN(O$1),FALSE)*VLOOKUP($D46,素材!$1:$1016,COLUMN(E$1),FALSE),1),"")</f>
        <v>0</v>
      </c>
      <c r="AA46">
        <f>IF(ISNUMBER(SEARCH(SUBSTITUTE(AA$1,RIGHT(AA$1,2),""),VLOOKUP($D46,素材!$1:$1016,COLUMN($F$1),FALSE))),VLOOKUP($C46,装備品!$1:$998,COLUMN($O$1),FALSE)*VLOOKUP($D46,素材!$1:$1016,COLUMN($E$1),FALSE)/(LEN(VLOOKUP($D46,素材!$1:$1016,COLUMN($F$1),FALSE))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IFERROR(VLOOKUP($C46,装備品!$1:$998,COLUMN(V$1),FALSE)*VLOOKUP($D46,素材!$1:$1016,COLUMN(N$1),FALSE)+IF(CI46="",0,VLOOKUP($CI46,付与!$1:$1176,COLUMN($CK$1),FALSE)),"")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IFERROR(VLOOKUP($D47,素材!$1:$1016,COLUMN($B$1),FALSE)&amp;"・"&amp;VLOOKUP($C47,装備品!$1:$998,COLUMN(B$1),FALSE),"")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IFERROR(VLOOKUP(C47,装備品!$1:$998,COLUMN(C$1),FALSE),"")</f>
        <v>武器</v>
      </c>
      <c r="F47">
        <f>IFERROR(ROUNDDOWN((VLOOKUP($C47,装備品!$1:$998,COLUMN(D$1),FALSE)+IFERROR(VLOOKUP($CI47,付与!$1:$1167,COLUMN(F$1),FALSE),0))*VLOOKUP($D47,素材!$1:$1016,COLUMN(D$1),FALSE),0),"")</f>
        <v>82</v>
      </c>
      <c r="G47">
        <f>IFERROR(ROUNDDOWN((VLOOKUP($C47,装備品!$1:$998,COLUMN(E$1),FALSE)+IFERROR(VLOOKUP($CI47,付与!$1:$1167,COLUMN(G$1),FALSE),0))*VLOOKUP($D47,素材!$1:$1016,COLUMN($E$1),FALSE),0),"")</f>
        <v>3</v>
      </c>
      <c r="H47">
        <f>IFERROR(ROUNDDOWN((VLOOKUP($C47,装備品!$1:$998,COLUMN(F$1),FALSE)+IFERROR(VLOOKUP($CI47,付与!$1:$1167,COLUMN(H$1),FALSE),0))*VLOOKUP($D47,素材!$1:$1016,COLUMN($E$1),FALSE),0),"")</f>
        <v>13</v>
      </c>
      <c r="I47">
        <f>IFERROR(ROUNDDOWN((VLOOKUP($C47,装備品!$1:$998,COLUMN(G$1),FALSE)+IFERROR(VLOOKUP($CI47,付与!$1:$1167,COLUMN(I$1),FALSE),0))*VLOOKUP($D47,素材!$1:$1016,COLUMN($E$1),FALSE),0),"")</f>
        <v>0</v>
      </c>
      <c r="J47">
        <f>IFERROR(ROUNDDOWN((VLOOKUP($C47,装備品!$1:$998,COLUMN(H$1),FALSE)+IFERROR(VLOOKUP($CI47,付与!$1:$1167,COLUMN(J$1),FALSE),0))*VLOOKUP($D47,素材!$1:$1016,COLUMN($E$1),FALSE),0),"")</f>
        <v>12</v>
      </c>
      <c r="K47">
        <f>IFERROR(ROUNDDOWN((VLOOKUP($C47,装備品!$1:$998,COLUMN(I$1),FALSE)+IFERROR(VLOOKUP($CI47,付与!$1:$1167,COLUMN(K$1),FALSE),0))*VLOOKUP($D47,素材!$1:$1016,COLUMN($E$1),FALSE),0),"")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IFERROR(VLOOKUP($C47,装備品!$1:$998,COLUMN(AA$1),FALSE)*VLOOKUP($D47,素材!$1:$1016,COLUMN($G$1),FALSE),"")</f>
        <v>0</v>
      </c>
      <c r="N47">
        <f>IFERROR(VLOOKUP($C47,装備品!$1:$998,COLUMN(I$1),FALSE),"")</f>
        <v>0</v>
      </c>
      <c r="O47" s="23">
        <f>IFERROR((VLOOKUP($C47,装備品!$1:$998,COLUMN(K$1),FALSE)+VLOOKUP($D47,素材!$1:$1016,COLUMN(H$1),FALSE))*100+IFERROR(VLOOKUP($CI47,付与!$1:$1167,COLUMN(O$1),FALSE),0),"")</f>
        <v>10</v>
      </c>
      <c r="P47" s="23">
        <f>IFERROR((VLOOKUP($C47,装備品!$1:$998,COLUMN(L$1),FALSE)+VLOOKUP($D47,素材!$1:$1016,COLUMN(I$1),FALSE))*100+IFERROR(VLOOKUP($CI47,付与!$1:$1167,COLUMN(P$1),FALSE),0),"")</f>
        <v>150</v>
      </c>
      <c r="Q47">
        <f>IFERROR(ROUNDUP(VLOOKUP($C47,装備品!$1:$998,COLUMN(M$1),FALSE)*(VLOOKUP($D47,素材!$1:$1002,COLUMN(D$1),FALSE)/100),1),"")</f>
        <v>0</v>
      </c>
      <c r="R47">
        <f>IFERROR(ROUNDUP(VLOOKUP($C47,装備品!$1:$998,COLUMN(N$1),FALSE)*(VLOOKUP($D47,素材!$1:$1002,COLUMN(D$1),FALSE)/100),1),"")</f>
        <v>0</v>
      </c>
      <c r="S47">
        <f>IFERROR(VLOOKUP($C47,装備品!$1:$998,COLUMN(P$1),FALSE),"")</f>
        <v>0</v>
      </c>
      <c r="T47">
        <f>IFERROR(VLOOKUP($C47,装備品!$1:$998,COLUMN(Q$1),FALSE),"")</f>
        <v>0</v>
      </c>
      <c r="U47">
        <f>IFERROR(VLOOKUP($C47,装備品!$1:$998,COLUMN(R$1),FALSE),"")</f>
        <v>0</v>
      </c>
      <c r="V47">
        <f>IFERROR(VLOOKUP($C47,装備品!$1:$998,COLUMN(Q$1),FALSE),"")</f>
        <v>0</v>
      </c>
      <c r="W47">
        <f>IFERROR(VLOOKUP($C47,装備品!$1:$998,COLUMN(T$1),FALSE),"")</f>
        <v>0</v>
      </c>
      <c r="Y47">
        <f>IFERROR(VLOOKUP($C47,装備品!$1:$998,COLUMN(U$1),FALSE),"")</f>
        <v>0</v>
      </c>
      <c r="Z47">
        <f>IFERROR(ROUNDUP(VLOOKUP($C47,装備品!$1:$998,COLUMN(O$1),FALSE)*VLOOKUP($D47,素材!$1:$1016,COLUMN(E$1),FALSE),1),"")</f>
        <v>0</v>
      </c>
      <c r="AA47">
        <f>IF(ISNUMBER(SEARCH(SUBSTITUTE(AA$1,RIGHT(AA$1,2),""),VLOOKUP($D47,素材!$1:$1016,COLUMN($F$1),FALSE))),VLOOKUP($C47,装備品!$1:$998,COLUMN($O$1),FALSE)*VLOOKUP($D47,素材!$1:$1016,COLUMN($E$1),FALSE)/(LEN(VLOOKUP($D47,素材!$1:$1016,COLUMN($F$1),FALSE))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IFERROR(VLOOKUP($C47,装備品!$1:$998,COLUMN(V$1),FALSE)*VLOOKUP($D47,素材!$1:$1016,COLUMN(N$1),FALSE)+IF(CI47="",0,VLOOKUP($CI47,付与!$1:$1176,COLUMN($CK$1),FALSE)),"")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IFERROR(VLOOKUP($D48,素材!$1:$1016,COLUMN($B$1),FALSE)&amp;"・"&amp;VLOOKUP($C48,装備品!$1:$998,COLUMN(B$1),FALSE),"")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IFERROR(VLOOKUP(C48,装備品!$1:$998,COLUMN(C$1),FALSE),"")</f>
        <v>武器</v>
      </c>
      <c r="F48">
        <f>IFERROR(ROUNDDOWN((VLOOKUP($C48,装備品!$1:$998,COLUMN(D$1),FALSE)+IFERROR(VLOOKUP($CI48,付与!$1:$1167,COLUMN(F$1),FALSE),0))*VLOOKUP($D48,素材!$1:$1016,COLUMN(D$1),FALSE),0),"")</f>
        <v>78</v>
      </c>
      <c r="G48">
        <f>IFERROR(ROUNDDOWN((VLOOKUP($C48,装備品!$1:$998,COLUMN(E$1),FALSE)+IFERROR(VLOOKUP($CI48,付与!$1:$1167,COLUMN(G$1),FALSE),0))*VLOOKUP($D48,素材!$1:$1016,COLUMN($E$1),FALSE),0),"")</f>
        <v>6</v>
      </c>
      <c r="H48">
        <f>IFERROR(ROUNDDOWN((VLOOKUP($C48,装備品!$1:$998,COLUMN(F$1),FALSE)+IFERROR(VLOOKUP($CI48,付与!$1:$1167,COLUMN(H$1),FALSE),0))*VLOOKUP($D48,素材!$1:$1016,COLUMN($E$1),FALSE),0),"")</f>
        <v>10</v>
      </c>
      <c r="I48">
        <f>IFERROR(ROUNDDOWN((VLOOKUP($C48,装備品!$1:$998,COLUMN(G$1),FALSE)+IFERROR(VLOOKUP($CI48,付与!$1:$1167,COLUMN(I$1),FALSE),0))*VLOOKUP($D48,素材!$1:$1016,COLUMN($E$1),FALSE),0),"")</f>
        <v>2</v>
      </c>
      <c r="J48">
        <f>IFERROR(ROUNDDOWN((VLOOKUP($C48,装備品!$1:$998,COLUMN(H$1),FALSE)+IFERROR(VLOOKUP($CI48,付与!$1:$1167,COLUMN(J$1),FALSE),0))*VLOOKUP($D48,素材!$1:$1016,COLUMN($E$1),FALSE),0),"")</f>
        <v>12</v>
      </c>
      <c r="K48">
        <f>IFERROR(ROUNDDOWN((VLOOKUP($C48,装備品!$1:$998,COLUMN(I$1),FALSE)+IFERROR(VLOOKUP($CI48,付与!$1:$1167,COLUMN(K$1),FALSE),0))*VLOOKUP($D48,素材!$1:$1016,COLUMN($E$1),FALSE),0),"")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IFERROR(VLOOKUP($C48,装備品!$1:$998,COLUMN(AA$1),FALSE)*VLOOKUP($D48,素材!$1:$1016,COLUMN($G$1),FALSE),"")</f>
        <v>0</v>
      </c>
      <c r="N48">
        <f>IFERROR(VLOOKUP($C48,装備品!$1:$998,COLUMN(I$1),FALSE),"")</f>
        <v>0</v>
      </c>
      <c r="O48" s="23">
        <f>IFERROR((VLOOKUP($C48,装備品!$1:$998,COLUMN(K$1),FALSE)+VLOOKUP($D48,素材!$1:$1016,COLUMN(H$1),FALSE))*100+IFERROR(VLOOKUP($CI48,付与!$1:$1167,COLUMN(O$1),FALSE),0),"")</f>
        <v>10</v>
      </c>
      <c r="P48" s="23">
        <f>IFERROR((VLOOKUP($C48,装備品!$1:$998,COLUMN(L$1),FALSE)+VLOOKUP($D48,素材!$1:$1016,COLUMN(I$1),FALSE))*100+IFERROR(VLOOKUP($CI48,付与!$1:$1167,COLUMN(P$1),FALSE),0),"")</f>
        <v>150</v>
      </c>
      <c r="Q48">
        <f>IFERROR(ROUNDUP(VLOOKUP($C48,装備品!$1:$998,COLUMN(M$1),FALSE)*(VLOOKUP($D48,素材!$1:$1002,COLUMN(D$1),FALSE)/100),1),"")</f>
        <v>0</v>
      </c>
      <c r="R48">
        <f>IFERROR(ROUNDUP(VLOOKUP($C48,装備品!$1:$998,COLUMN(N$1),FALSE)*(VLOOKUP($D48,素材!$1:$1002,COLUMN(D$1),FALSE)/100),1),"")</f>
        <v>0</v>
      </c>
      <c r="S48">
        <f>IFERROR(VLOOKUP($C48,装備品!$1:$998,COLUMN(P$1),FALSE),"")</f>
        <v>0</v>
      </c>
      <c r="T48">
        <f>IFERROR(VLOOKUP($C48,装備品!$1:$998,COLUMN(Q$1),FALSE),"")</f>
        <v>0</v>
      </c>
      <c r="U48">
        <f>IFERROR(VLOOKUP($C48,装備品!$1:$998,COLUMN(R$1),FALSE),"")</f>
        <v>0</v>
      </c>
      <c r="V48">
        <f>IFERROR(VLOOKUP($C48,装備品!$1:$998,COLUMN(Q$1),FALSE),"")</f>
        <v>0</v>
      </c>
      <c r="W48">
        <f>IFERROR(VLOOKUP($C48,装備品!$1:$998,COLUMN(T$1),FALSE),"")</f>
        <v>0</v>
      </c>
      <c r="Y48">
        <f>IFERROR(VLOOKUP($C48,装備品!$1:$998,COLUMN(U$1),FALSE),"")</f>
        <v>0</v>
      </c>
      <c r="Z48">
        <f>IFERROR(ROUNDUP(VLOOKUP($C48,装備品!$1:$998,COLUMN(O$1),FALSE)*VLOOKUP($D48,素材!$1:$1016,COLUMN(E$1),FALSE),1),"")</f>
        <v>0</v>
      </c>
      <c r="AA48">
        <f>IF(ISNUMBER(SEARCH(SUBSTITUTE(AA$1,RIGHT(AA$1,2),""),VLOOKUP($D48,素材!$1:$1016,COLUMN($F$1),FALSE))),VLOOKUP($C48,装備品!$1:$998,COLUMN($O$1),FALSE)*VLOOKUP($D48,素材!$1:$1016,COLUMN($E$1),FALSE)/(LEN(VLOOKUP($D48,素材!$1:$1016,COLUMN($F$1),FALSE))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IFERROR(VLOOKUP($C48,装備品!$1:$998,COLUMN(V$1),FALSE)*VLOOKUP($D48,素材!$1:$1016,COLUMN(N$1),FALSE)+IF(CI48="",0,VLOOKUP($CI48,付与!$1:$1176,COLUMN($CK$1),FALSE)),"")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IFERROR(VLOOKUP($D49,素材!$1:$1016,COLUMN($B$1),FALSE)&amp;"・"&amp;VLOOKUP($C49,装備品!$1:$998,COLUMN(B$1),FALSE),"")</f>
        <v>ウッド・スピア</v>
      </c>
      <c r="C49" s="24" t="s">
        <v>232</v>
      </c>
      <c r="D49" s="24" t="s">
        <v>254</v>
      </c>
      <c r="E49" t="str">
        <f>IFERROR(VLOOKUP(C49,装備品!$1:$998,COLUMN(C$1),FALSE),"")</f>
        <v>武器</v>
      </c>
      <c r="F49">
        <f>IFERROR(ROUNDDOWN((VLOOKUP($C49,装備品!$1:$998,COLUMN(D$1),FALSE)+IFERROR(VLOOKUP($CI49,付与!$1:$1167,COLUMN(F$1),FALSE),0))*VLOOKUP($D49,素材!$1:$1016,COLUMN(D$1),FALSE),0),"")</f>
        <v>86</v>
      </c>
      <c r="G49">
        <f>IFERROR(ROUNDDOWN((VLOOKUP($C49,装備品!$1:$998,COLUMN(E$1),FALSE)+IFERROR(VLOOKUP($CI49,付与!$1:$1167,COLUMN(G$1),FALSE),0))*VLOOKUP($D49,素材!$1:$1016,COLUMN($E$1),FALSE),0),"")</f>
        <v>6</v>
      </c>
      <c r="H49">
        <f>IFERROR(ROUNDDOWN((VLOOKUP($C49,装備品!$1:$998,COLUMN(F$1),FALSE)+IFERROR(VLOOKUP($CI49,付与!$1:$1167,COLUMN(H$1),FALSE),0))*VLOOKUP($D49,素材!$1:$1016,COLUMN($E$1),FALSE),0),"")</f>
        <v>12</v>
      </c>
      <c r="I49">
        <f>IFERROR(ROUNDDOWN((VLOOKUP($C49,装備品!$1:$998,COLUMN(G$1),FALSE)+IFERROR(VLOOKUP($CI49,付与!$1:$1167,COLUMN(I$1),FALSE),0))*VLOOKUP($D49,素材!$1:$1016,COLUMN($E$1),FALSE),0),"")</f>
        <v>2</v>
      </c>
      <c r="J49">
        <f>IFERROR(ROUNDDOWN((VLOOKUP($C49,装備品!$1:$998,COLUMN(H$1),FALSE)+IFERROR(VLOOKUP($CI49,付与!$1:$1167,COLUMN(J$1),FALSE),0))*VLOOKUP($D49,素材!$1:$1016,COLUMN($E$1),FALSE),0),"")</f>
        <v>12</v>
      </c>
      <c r="K49">
        <f>IFERROR(ROUNDDOWN((VLOOKUP($C49,装備品!$1:$998,COLUMN(I$1),FALSE)+IFERROR(VLOOKUP($CI49,付与!$1:$1167,COLUMN(K$1),FALSE),0))*VLOOKUP($D49,素材!$1:$1016,COLUMN($E$1),FALSE),0),"")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IFERROR(VLOOKUP($C49,装備品!$1:$998,COLUMN(AA$1),FALSE)*VLOOKUP($D49,素材!$1:$1016,COLUMN($G$1),FALSE),"")</f>
        <v>0</v>
      </c>
      <c r="N49">
        <f>IFERROR(VLOOKUP($C49,装備品!$1:$998,COLUMN(I$1),FALSE),"")</f>
        <v>0</v>
      </c>
      <c r="O49" s="23">
        <f>IFERROR((VLOOKUP($C49,装備品!$1:$998,COLUMN(K$1),FALSE)+VLOOKUP($D49,素材!$1:$1016,COLUMN(H$1),FALSE))*100+IFERROR(VLOOKUP($CI49,付与!$1:$1167,COLUMN(O$1),FALSE),0),"")</f>
        <v>10</v>
      </c>
      <c r="P49" s="23">
        <f>IFERROR((VLOOKUP($C49,装備品!$1:$998,COLUMN(L$1),FALSE)+VLOOKUP($D49,素材!$1:$1016,COLUMN(I$1),FALSE))*100+IFERROR(VLOOKUP($CI49,付与!$1:$1167,COLUMN(P$1),FALSE),0),"")</f>
        <v>150</v>
      </c>
      <c r="Q49">
        <f>IFERROR(ROUNDUP(VLOOKUP($C49,装備品!$1:$998,COLUMN(M$1),FALSE)*(VLOOKUP($D49,素材!$1:$1002,COLUMN(D$1),FALSE)/100),1),"")</f>
        <v>0</v>
      </c>
      <c r="R49">
        <f>IFERROR(ROUNDUP(VLOOKUP($C49,装備品!$1:$998,COLUMN(N$1),FALSE)*(VLOOKUP($D49,素材!$1:$1002,COLUMN(D$1),FALSE)/100),1),"")</f>
        <v>-3.8000000000000003</v>
      </c>
      <c r="S49">
        <f>IFERROR(VLOOKUP($C49,装備品!$1:$998,COLUMN(P$1),FALSE),"")</f>
        <v>0</v>
      </c>
      <c r="T49">
        <f>IFERROR(VLOOKUP($C49,装備品!$1:$998,COLUMN(Q$1),FALSE),"")</f>
        <v>0</v>
      </c>
      <c r="U49">
        <f>IFERROR(VLOOKUP($C49,装備品!$1:$998,COLUMN(R$1),FALSE),"")</f>
        <v>0</v>
      </c>
      <c r="V49">
        <f>IFERROR(VLOOKUP($C49,装備品!$1:$998,COLUMN(Q$1),FALSE),"")</f>
        <v>0</v>
      </c>
      <c r="W49">
        <f>IFERROR(VLOOKUP($C49,装備品!$1:$998,COLUMN(T$1),FALSE),"")</f>
        <v>0</v>
      </c>
      <c r="Y49">
        <f>IFERROR(VLOOKUP($C49,装備品!$1:$998,COLUMN(U$1),FALSE),"")</f>
        <v>0</v>
      </c>
      <c r="Z49">
        <f>IFERROR(ROUNDUP(VLOOKUP($C49,装備品!$1:$998,COLUMN(O$1),FALSE)*VLOOKUP($D49,素材!$1:$1016,COLUMN(E$1),FALSE),1),"")</f>
        <v>0</v>
      </c>
      <c r="AA49">
        <f>IF(ISNUMBER(SEARCH(SUBSTITUTE(AA$1,RIGHT(AA$1,2),""),VLOOKUP($D49,素材!$1:$1016,COLUMN($F$1),FALSE))),VLOOKUP($C49,装備品!$1:$998,COLUMN($O$1),FALSE)*VLOOKUP($D49,素材!$1:$1016,COLUMN($E$1),FALSE)/(LEN(VLOOKUP($D49,素材!$1:$1016,COLUMN($F$1),FALSE))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IFERROR(VLOOKUP($C49,装備品!$1:$998,COLUMN(V$1),FALSE)*VLOOKUP($D49,素材!$1:$1016,COLUMN(N$1),FALSE)+IF(CI49="",0,VLOOKUP($CI49,付与!$1:$1176,COLUMN($CK$1),FALSE)),"")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IFERROR(VLOOKUP($D50,素材!$1:$1016,COLUMN($B$1),FALSE)&amp;"・"&amp;VLOOKUP($C50,装備品!$1:$998,COLUMN(B$1),FALSE),"")</f>
        <v>ウッド・ランス</v>
      </c>
      <c r="C50" s="24" t="s">
        <v>231</v>
      </c>
      <c r="D50" s="24" t="s">
        <v>254</v>
      </c>
      <c r="E50" t="str">
        <f>IFERROR(VLOOKUP(C50,装備品!$1:$998,COLUMN(C$1),FALSE),"")</f>
        <v>武器</v>
      </c>
      <c r="F50">
        <f>IFERROR(ROUNDDOWN((VLOOKUP($C50,装備品!$1:$998,COLUMN(D$1),FALSE)+IFERROR(VLOOKUP($CI50,付与!$1:$1167,COLUMN(F$1),FALSE),0))*VLOOKUP($D50,素材!$1:$1016,COLUMN(D$1),FALSE),0),"")</f>
        <v>86</v>
      </c>
      <c r="G50">
        <f>IFERROR(ROUNDDOWN((VLOOKUP($C50,装備品!$1:$998,COLUMN(E$1),FALSE)+IFERROR(VLOOKUP($CI50,付与!$1:$1167,COLUMN(G$1),FALSE),0))*VLOOKUP($D50,素材!$1:$1016,COLUMN($E$1),FALSE),0),"")</f>
        <v>0</v>
      </c>
      <c r="H50">
        <f>IFERROR(ROUNDDOWN((VLOOKUP($C50,装備品!$1:$998,COLUMN(F$1),FALSE)+IFERROR(VLOOKUP($CI50,付与!$1:$1167,COLUMN(H$1),FALSE),0))*VLOOKUP($D50,素材!$1:$1016,COLUMN($E$1),FALSE),0),"")</f>
        <v>14</v>
      </c>
      <c r="I50">
        <f>IFERROR(ROUNDDOWN((VLOOKUP($C50,装備品!$1:$998,COLUMN(G$1),FALSE)+IFERROR(VLOOKUP($CI50,付与!$1:$1167,COLUMN(I$1),FALSE),0))*VLOOKUP($D50,素材!$1:$1016,COLUMN($E$1),FALSE),0),"")</f>
        <v>6</v>
      </c>
      <c r="J50">
        <f>IFERROR(ROUNDDOWN((VLOOKUP($C50,装備品!$1:$998,COLUMN(H$1),FALSE)+IFERROR(VLOOKUP($CI50,付与!$1:$1167,COLUMN(J$1),FALSE),0))*VLOOKUP($D50,素材!$1:$1016,COLUMN($E$1),FALSE),0),"")</f>
        <v>15</v>
      </c>
      <c r="K50">
        <f>IFERROR(ROUNDDOWN((VLOOKUP($C50,装備品!$1:$998,COLUMN(I$1),FALSE)+IFERROR(VLOOKUP($CI50,付与!$1:$1167,COLUMN(K$1),FALSE),0))*VLOOKUP($D50,素材!$1:$1016,COLUMN($E$1),FALSE),0),"")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IFERROR(VLOOKUP($C50,装備品!$1:$998,COLUMN(AA$1),FALSE)*VLOOKUP($D50,素材!$1:$1016,COLUMN($G$1),FALSE),"")</f>
        <v>0</v>
      </c>
      <c r="N50">
        <f>IFERROR(VLOOKUP($C50,装備品!$1:$998,COLUMN(I$1),FALSE),"")</f>
        <v>0</v>
      </c>
      <c r="O50" s="23">
        <f>IFERROR((VLOOKUP($C50,装備品!$1:$998,COLUMN(K$1),FALSE)+VLOOKUP($D50,素材!$1:$1016,COLUMN(H$1),FALSE))*100+IFERROR(VLOOKUP($CI50,付与!$1:$1167,COLUMN(O$1),FALSE),0),"")</f>
        <v>5</v>
      </c>
      <c r="P50" s="23">
        <f>IFERROR((VLOOKUP($C50,装備品!$1:$998,COLUMN(L$1),FALSE)+VLOOKUP($D50,素材!$1:$1016,COLUMN(I$1),FALSE))*100+IFERROR(VLOOKUP($CI50,付与!$1:$1167,COLUMN(P$1),FALSE),0),"")</f>
        <v>175</v>
      </c>
      <c r="Q50">
        <f>IFERROR(ROUNDUP(VLOOKUP($C50,装備品!$1:$998,COLUMN(M$1),FALSE)*(VLOOKUP($D50,素材!$1:$1002,COLUMN(D$1),FALSE)/100),1),"")</f>
        <v>-3.8000000000000003</v>
      </c>
      <c r="R50">
        <f>IFERROR(ROUNDUP(VLOOKUP($C50,装備品!$1:$998,COLUMN(N$1),FALSE)*(VLOOKUP($D50,素材!$1:$1002,COLUMN(D$1),FALSE)/100),1),"")</f>
        <v>-3.8000000000000003</v>
      </c>
      <c r="S50">
        <f>IFERROR(VLOOKUP($C50,装備品!$1:$998,COLUMN(P$1),FALSE),"")</f>
        <v>0</v>
      </c>
      <c r="T50">
        <f>IFERROR(VLOOKUP($C50,装備品!$1:$998,COLUMN(Q$1),FALSE),"")</f>
        <v>0</v>
      </c>
      <c r="U50">
        <f>IFERROR(VLOOKUP($C50,装備品!$1:$998,COLUMN(R$1),FALSE),"")</f>
        <v>-15</v>
      </c>
      <c r="V50">
        <f>IFERROR(VLOOKUP($C50,装備品!$1:$998,COLUMN(Q$1),FALSE),"")</f>
        <v>0</v>
      </c>
      <c r="W50">
        <f>IFERROR(VLOOKUP($C50,装備品!$1:$998,COLUMN(T$1),FALSE),"")</f>
        <v>0</v>
      </c>
      <c r="Y50">
        <f>IFERROR(VLOOKUP($C50,装備品!$1:$998,COLUMN(U$1),FALSE),"")</f>
        <v>0</v>
      </c>
      <c r="Z50">
        <f>IFERROR(ROUNDUP(VLOOKUP($C50,装備品!$1:$998,COLUMN(O$1),FALSE)*VLOOKUP($D50,素材!$1:$1016,COLUMN(E$1),FALSE),1),"")</f>
        <v>0</v>
      </c>
      <c r="AA50">
        <f>IF(ISNUMBER(SEARCH(SUBSTITUTE(AA$1,RIGHT(AA$1,2),""),VLOOKUP($D50,素材!$1:$1016,COLUMN($F$1),FALSE))),VLOOKUP($C50,装備品!$1:$998,COLUMN($O$1),FALSE)*VLOOKUP($D50,素材!$1:$1016,COLUMN($E$1),FALSE)/(LEN(VLOOKUP($D50,素材!$1:$1016,COLUMN($F$1),FALSE))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IFERROR(VLOOKUP($C50,装備品!$1:$998,COLUMN(V$1),FALSE)*VLOOKUP($D50,素材!$1:$1016,COLUMN(N$1),FALSE)+IF(CI50="",0,VLOOKUP($CI50,付与!$1:$1176,COLUMN($CK$1),FALSE)),"")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IFERROR(VLOOKUP($D51,素材!$1:$1016,COLUMN($B$1),FALSE)&amp;"・"&amp;VLOOKUP($C51,装備品!$1:$998,COLUMN(B$1),FALSE),"")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IFERROR(VLOOKUP(C51,装備品!$1:$998,COLUMN(C$1),FALSE),"")</f>
        <v>武器</v>
      </c>
      <c r="F51">
        <f>IFERROR(ROUNDDOWN((VLOOKUP($C51,装備品!$1:$998,COLUMN(D$1),FALSE)+IFERROR(VLOOKUP($CI51,付与!$1:$1167,COLUMN(F$1),FALSE),0))*VLOOKUP($D51,素材!$1:$1016,COLUMN(D$1),FALSE),0),"")</f>
        <v>90</v>
      </c>
      <c r="G51">
        <f>IFERROR(ROUNDDOWN((VLOOKUP($C51,装備品!$1:$998,COLUMN(E$1),FALSE)+IFERROR(VLOOKUP($CI51,付与!$1:$1167,COLUMN(G$1),FALSE),0))*VLOOKUP($D51,素材!$1:$1016,COLUMN($E$1),FALSE),0),"")</f>
        <v>0</v>
      </c>
      <c r="H51">
        <f>IFERROR(ROUNDDOWN((VLOOKUP($C51,装備品!$1:$998,COLUMN(F$1),FALSE)+IFERROR(VLOOKUP($CI51,付与!$1:$1167,COLUMN(H$1),FALSE),0))*VLOOKUP($D51,素材!$1:$1016,COLUMN($E$1),FALSE),0),"")</f>
        <v>0</v>
      </c>
      <c r="I51">
        <f>IFERROR(ROUNDDOWN((VLOOKUP($C51,装備品!$1:$998,COLUMN(G$1),FALSE)+IFERROR(VLOOKUP($CI51,付与!$1:$1167,COLUMN(I$1),FALSE),0))*VLOOKUP($D51,素材!$1:$1016,COLUMN($E$1),FALSE),0),"")</f>
        <v>17</v>
      </c>
      <c r="J51">
        <f>IFERROR(ROUNDDOWN((VLOOKUP($C51,装備品!$1:$998,COLUMN(H$1),FALSE)+IFERROR(VLOOKUP($CI51,付与!$1:$1167,COLUMN(J$1),FALSE),0))*VLOOKUP($D51,素材!$1:$1016,COLUMN($E$1),FALSE),0),"")</f>
        <v>14</v>
      </c>
      <c r="K51">
        <f>IFERROR(ROUNDDOWN((VLOOKUP($C51,装備品!$1:$998,COLUMN(I$1),FALSE)+IFERROR(VLOOKUP($CI51,付与!$1:$1167,COLUMN(K$1),FALSE),0))*VLOOKUP($D51,素材!$1:$1016,COLUMN($E$1),FALSE),0),"")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IFERROR(VLOOKUP($C51,装備品!$1:$998,COLUMN(AA$1),FALSE)*VLOOKUP($D51,素材!$1:$1016,COLUMN($G$1),FALSE),"")</f>
        <v>0</v>
      </c>
      <c r="N51">
        <f>IFERROR(VLOOKUP($C51,装備品!$1:$998,COLUMN(I$1),FALSE),"")</f>
        <v>0</v>
      </c>
      <c r="O51" s="23">
        <f>IFERROR((VLOOKUP($C51,装備品!$1:$998,COLUMN(K$1),FALSE)+VLOOKUP($D51,素材!$1:$1016,COLUMN(H$1),FALSE))*100+IFERROR(VLOOKUP($CI51,付与!$1:$1167,COLUMN(O$1),FALSE),0),"")</f>
        <v>15</v>
      </c>
      <c r="P51" s="23">
        <f>IFERROR((VLOOKUP($C51,装備品!$1:$998,COLUMN(L$1),FALSE)+VLOOKUP($D51,素材!$1:$1016,COLUMN(I$1),FALSE))*100+IFERROR(VLOOKUP($CI51,付与!$1:$1167,COLUMN(P$1),FALSE),0),"")</f>
        <v>125</v>
      </c>
      <c r="Q51">
        <f>IFERROR(ROUNDUP(VLOOKUP($C51,装備品!$1:$998,COLUMN(M$1),FALSE)*(VLOOKUP($D51,素材!$1:$1002,COLUMN(D$1),FALSE)/100),1),"")</f>
        <v>0</v>
      </c>
      <c r="R51">
        <f>IFERROR(ROUNDUP(VLOOKUP($C51,装備品!$1:$998,COLUMN(N$1),FALSE)*(VLOOKUP($D51,素材!$1:$1002,COLUMN(D$1),FALSE)/100),1),"")</f>
        <v>-3.8000000000000003</v>
      </c>
      <c r="S51">
        <f>IFERROR(VLOOKUP($C51,装備品!$1:$998,COLUMN(P$1),FALSE),"")</f>
        <v>0</v>
      </c>
      <c r="T51">
        <f>IFERROR(VLOOKUP($C51,装備品!$1:$998,COLUMN(Q$1),FALSE),"")</f>
        <v>0</v>
      </c>
      <c r="U51">
        <f>IFERROR(VLOOKUP($C51,装備品!$1:$998,COLUMN(R$1),FALSE),"")</f>
        <v>-15</v>
      </c>
      <c r="V51">
        <f>IFERROR(VLOOKUP($C51,装備品!$1:$998,COLUMN(Q$1),FALSE),"")</f>
        <v>0</v>
      </c>
      <c r="W51">
        <f>IFERROR(VLOOKUP($C51,装備品!$1:$998,COLUMN(T$1),FALSE),"")</f>
        <v>0</v>
      </c>
      <c r="Y51">
        <f>IFERROR(VLOOKUP($C51,装備品!$1:$998,COLUMN(U$1),FALSE),"")</f>
        <v>0</v>
      </c>
      <c r="Z51">
        <f>IFERROR(ROUNDUP(VLOOKUP($C51,装備品!$1:$998,COLUMN(O$1),FALSE)*VLOOKUP($D51,素材!$1:$1016,COLUMN(E$1),FALSE),1),"")</f>
        <v>0</v>
      </c>
      <c r="AA51">
        <f>IF(ISNUMBER(SEARCH(SUBSTITUTE(AA$1,RIGHT(AA$1,2),""),VLOOKUP($D51,素材!$1:$1016,COLUMN($F$1),FALSE))),VLOOKUP($C51,装備品!$1:$998,COLUMN($O$1),FALSE)*VLOOKUP($D51,素材!$1:$1016,COLUMN($E$1),FALSE)/(LEN(VLOOKUP($D51,素材!$1:$1016,COLUMN($F$1),FALSE))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IFERROR(VLOOKUP($C51,装備品!$1:$998,COLUMN(V$1),FALSE)*VLOOKUP($D51,素材!$1:$1016,COLUMN(N$1),FALSE)+IF(CI51="",0,VLOOKUP($CI51,付与!$1:$1176,COLUMN($CK$1),FALSE)),"")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IFERROR(VLOOKUP($D52,素材!$1:$1016,COLUMN($B$1),FALSE)&amp;"・"&amp;VLOOKUP($C52,装備品!$1:$998,COLUMN(B$1),FALSE),"")</f>
        <v>ウッド・クラブ</v>
      </c>
      <c r="C52" s="24" t="s">
        <v>229</v>
      </c>
      <c r="D52" s="24" t="s">
        <v>254</v>
      </c>
      <c r="E52" t="str">
        <f>IFERROR(VLOOKUP(C52,装備品!$1:$998,COLUMN(C$1),FALSE),"")</f>
        <v>武器</v>
      </c>
      <c r="F52">
        <f>IFERROR(ROUNDDOWN((VLOOKUP($C52,装備品!$1:$998,COLUMN(D$1),FALSE)+IFERROR(VLOOKUP($CI52,付与!$1:$1167,COLUMN(F$1),FALSE),0))*VLOOKUP($D52,素材!$1:$1016,COLUMN(D$1),FALSE),0),"")</f>
        <v>78</v>
      </c>
      <c r="G52">
        <f>IFERROR(ROUNDDOWN((VLOOKUP($C52,装備品!$1:$998,COLUMN(E$1),FALSE)+IFERROR(VLOOKUP($CI52,付与!$1:$1167,COLUMN(G$1),FALSE),0))*VLOOKUP($D52,素材!$1:$1016,COLUMN($E$1),FALSE),0),"")</f>
        <v>1</v>
      </c>
      <c r="H52">
        <f>IFERROR(ROUNDDOWN((VLOOKUP($C52,装備品!$1:$998,COLUMN(F$1),FALSE)+IFERROR(VLOOKUP($CI52,付与!$1:$1167,COLUMN(H$1),FALSE),0))*VLOOKUP($D52,素材!$1:$1016,COLUMN($E$1),FALSE),0),"")</f>
        <v>0</v>
      </c>
      <c r="I52">
        <f>IFERROR(ROUNDDOWN((VLOOKUP($C52,装備品!$1:$998,COLUMN(G$1),FALSE)+IFERROR(VLOOKUP($CI52,付与!$1:$1167,COLUMN(I$1),FALSE),0))*VLOOKUP($D52,素材!$1:$1016,COLUMN($E$1),FALSE),0),"")</f>
        <v>15</v>
      </c>
      <c r="J52">
        <f>IFERROR(ROUNDDOWN((VLOOKUP($C52,装備品!$1:$998,COLUMN(H$1),FALSE)+IFERROR(VLOOKUP($CI52,付与!$1:$1167,COLUMN(J$1),FALSE),0))*VLOOKUP($D52,素材!$1:$1016,COLUMN($E$1),FALSE),0),"")</f>
        <v>14</v>
      </c>
      <c r="K52">
        <f>IFERROR(ROUNDDOWN((VLOOKUP($C52,装備品!$1:$998,COLUMN(I$1),FALSE)+IFERROR(VLOOKUP($CI52,付与!$1:$1167,COLUMN(K$1),FALSE),0))*VLOOKUP($D52,素材!$1:$1016,COLUMN($E$1),FALSE),0),"")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IFERROR(VLOOKUP($C52,装備品!$1:$998,COLUMN(AA$1),FALSE)*VLOOKUP($D52,素材!$1:$1016,COLUMN($G$1),FALSE),"")</f>
        <v>0</v>
      </c>
      <c r="N52">
        <f>IFERROR(VLOOKUP($C52,装備品!$1:$998,COLUMN(I$1),FALSE),"")</f>
        <v>0</v>
      </c>
      <c r="O52" s="23">
        <f>IFERROR((VLOOKUP($C52,装備品!$1:$998,COLUMN(K$1),FALSE)+VLOOKUP($D52,素材!$1:$1016,COLUMN(H$1),FALSE))*100+IFERROR(VLOOKUP($CI52,付与!$1:$1167,COLUMN(O$1),FALSE),0),"")</f>
        <v>5</v>
      </c>
      <c r="P52" s="23">
        <f>IFERROR((VLOOKUP($C52,装備品!$1:$998,COLUMN(L$1),FALSE)+VLOOKUP($D52,素材!$1:$1016,COLUMN(I$1),FALSE))*100+IFERROR(VLOOKUP($CI52,付与!$1:$1167,COLUMN(P$1),FALSE),0),"")</f>
        <v>150</v>
      </c>
      <c r="Q52">
        <f>IFERROR(ROUNDUP(VLOOKUP($C52,装備品!$1:$998,COLUMN(M$1),FALSE)*(VLOOKUP($D52,素材!$1:$1002,COLUMN(D$1),FALSE)/100),1),"")</f>
        <v>0</v>
      </c>
      <c r="R52">
        <f>IFERROR(ROUNDUP(VLOOKUP($C52,装備品!$1:$998,COLUMN(N$1),FALSE)*(VLOOKUP($D52,素材!$1:$1002,COLUMN(D$1),FALSE)/100),1),"")</f>
        <v>0</v>
      </c>
      <c r="S52">
        <f>IFERROR(VLOOKUP($C52,装備品!$1:$998,COLUMN(P$1),FALSE),"")</f>
        <v>0</v>
      </c>
      <c r="T52">
        <f>IFERROR(VLOOKUP($C52,装備品!$1:$998,COLUMN(Q$1),FALSE),"")</f>
        <v>0</v>
      </c>
      <c r="U52">
        <f>IFERROR(VLOOKUP($C52,装備品!$1:$998,COLUMN(R$1),FALSE),"")</f>
        <v>0</v>
      </c>
      <c r="V52">
        <f>IFERROR(VLOOKUP($C52,装備品!$1:$998,COLUMN(Q$1),FALSE),"")</f>
        <v>0</v>
      </c>
      <c r="W52">
        <f>IFERROR(VLOOKUP($C52,装備品!$1:$998,COLUMN(T$1),FALSE),"")</f>
        <v>0</v>
      </c>
      <c r="Y52">
        <f>IFERROR(VLOOKUP($C52,装備品!$1:$998,COLUMN(U$1),FALSE),"")</f>
        <v>0</v>
      </c>
      <c r="Z52">
        <f>IFERROR(ROUNDUP(VLOOKUP($C52,装備品!$1:$998,COLUMN(O$1),FALSE)*VLOOKUP($D52,素材!$1:$1016,COLUMN(E$1),FALSE),1),"")</f>
        <v>0</v>
      </c>
      <c r="AA52">
        <f>IF(ISNUMBER(SEARCH(SUBSTITUTE(AA$1,RIGHT(AA$1,2),""),VLOOKUP($D52,素材!$1:$1016,COLUMN($F$1),FALSE))),VLOOKUP($C52,装備品!$1:$998,COLUMN($O$1),FALSE)*VLOOKUP($D52,素材!$1:$1016,COLUMN($E$1),FALSE)/(LEN(VLOOKUP($D52,素材!$1:$1016,COLUMN($F$1),FALSE))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IFERROR(VLOOKUP($C52,装備品!$1:$998,COLUMN(V$1),FALSE)*VLOOKUP($D52,素材!$1:$1016,COLUMN(N$1),FALSE)+IF(CI52="",0,VLOOKUP($CI52,付与!$1:$1176,COLUMN($CK$1),FALSE)),"")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IFERROR(VLOOKUP($D53,素材!$1:$1016,COLUMN($B$1),FALSE)&amp;"・"&amp;VLOOKUP($C53,装備品!$1:$998,COLUMN(B$1),FALSE),"")</f>
        <v>ウッド・メイス</v>
      </c>
      <c r="C53" s="24" t="s">
        <v>228</v>
      </c>
      <c r="D53" s="24" t="s">
        <v>254</v>
      </c>
      <c r="E53" t="str">
        <f>IFERROR(VLOOKUP(C53,装備品!$1:$998,COLUMN(C$1),FALSE),"")</f>
        <v>武器</v>
      </c>
      <c r="F53">
        <f>IFERROR(ROUNDDOWN((VLOOKUP($C53,装備品!$1:$998,COLUMN(D$1),FALSE)+IFERROR(VLOOKUP($CI53,付与!$1:$1167,COLUMN(F$1),FALSE),0))*VLOOKUP($D53,素材!$1:$1016,COLUMN(D$1),FALSE),0),"")</f>
        <v>82</v>
      </c>
      <c r="G53">
        <f>IFERROR(ROUNDDOWN((VLOOKUP($C53,装備品!$1:$998,COLUMN(E$1),FALSE)+IFERROR(VLOOKUP($CI53,付与!$1:$1167,COLUMN(G$1),FALSE),0))*VLOOKUP($D53,素材!$1:$1016,COLUMN($E$1),FALSE),0),"")</f>
        <v>0</v>
      </c>
      <c r="H53">
        <f>IFERROR(ROUNDDOWN((VLOOKUP($C53,装備品!$1:$998,COLUMN(F$1),FALSE)+IFERROR(VLOOKUP($CI53,付与!$1:$1167,COLUMN(H$1),FALSE),0))*VLOOKUP($D53,素材!$1:$1016,COLUMN($E$1),FALSE),0),"")</f>
        <v>0</v>
      </c>
      <c r="I53">
        <f>IFERROR(ROUNDDOWN((VLOOKUP($C53,装備品!$1:$998,COLUMN(G$1),FALSE)+IFERROR(VLOOKUP($CI53,付与!$1:$1167,COLUMN(I$1),FALSE),0))*VLOOKUP($D53,素材!$1:$1016,COLUMN($E$1),FALSE),0),"")</f>
        <v>17</v>
      </c>
      <c r="J53">
        <f>IFERROR(ROUNDDOWN((VLOOKUP($C53,装備品!$1:$998,COLUMN(H$1),FALSE)+IFERROR(VLOOKUP($CI53,付与!$1:$1167,COLUMN(J$1),FALSE),0))*VLOOKUP($D53,素材!$1:$1016,COLUMN($E$1),FALSE),0),"")</f>
        <v>14</v>
      </c>
      <c r="K53">
        <f>IFERROR(ROUNDDOWN((VLOOKUP($C53,装備品!$1:$998,COLUMN(I$1),FALSE)+IFERROR(VLOOKUP($CI53,付与!$1:$1167,COLUMN(K$1),FALSE),0))*VLOOKUP($D53,素材!$1:$1016,COLUMN($E$1),FALSE),0),"")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IFERROR(VLOOKUP($C53,装備品!$1:$998,COLUMN(AA$1),FALSE)*VLOOKUP($D53,素材!$1:$1016,COLUMN($G$1),FALSE),"")</f>
        <v>0</v>
      </c>
      <c r="N53">
        <f>IFERROR(VLOOKUP($C53,装備品!$1:$998,COLUMN(I$1),FALSE),"")</f>
        <v>0</v>
      </c>
      <c r="O53" s="23">
        <f>IFERROR((VLOOKUP($C53,装備品!$1:$998,COLUMN(K$1),FALSE)+VLOOKUP($D53,素材!$1:$1016,COLUMN(H$1),FALSE))*100+IFERROR(VLOOKUP($CI53,付与!$1:$1167,COLUMN(O$1),FALSE),0),"")</f>
        <v>15</v>
      </c>
      <c r="P53" s="23">
        <f>IFERROR((VLOOKUP($C53,装備品!$1:$998,COLUMN(L$1),FALSE)+VLOOKUP($D53,素材!$1:$1016,COLUMN(I$1),FALSE))*100+IFERROR(VLOOKUP($CI53,付与!$1:$1167,COLUMN(P$1),FALSE),0),"")</f>
        <v>125</v>
      </c>
      <c r="Q53">
        <f>IFERROR(ROUNDUP(VLOOKUP($C53,装備品!$1:$998,COLUMN(M$1),FALSE)*(VLOOKUP($D53,素材!$1:$1002,COLUMN(D$1),FALSE)/100),1),"")</f>
        <v>0</v>
      </c>
      <c r="R53">
        <f>IFERROR(ROUNDUP(VLOOKUP($C53,装備品!$1:$998,COLUMN(N$1),FALSE)*(VLOOKUP($D53,素材!$1:$1002,COLUMN(D$1),FALSE)/100),1),"")</f>
        <v>-1.5</v>
      </c>
      <c r="S53">
        <f>IFERROR(VLOOKUP($C53,装備品!$1:$998,COLUMN(P$1),FALSE),"")</f>
        <v>0</v>
      </c>
      <c r="T53">
        <f>IFERROR(VLOOKUP($C53,装備品!$1:$998,COLUMN(Q$1),FALSE),"")</f>
        <v>0</v>
      </c>
      <c r="U53">
        <f>IFERROR(VLOOKUP($C53,装備品!$1:$998,COLUMN(R$1),FALSE),"")</f>
        <v>0</v>
      </c>
      <c r="V53">
        <f>IFERROR(VLOOKUP($C53,装備品!$1:$998,COLUMN(Q$1),FALSE),"")</f>
        <v>0</v>
      </c>
      <c r="W53">
        <f>IFERROR(VLOOKUP($C53,装備品!$1:$998,COLUMN(T$1),FALSE),"")</f>
        <v>0</v>
      </c>
      <c r="Y53">
        <f>IFERROR(VLOOKUP($C53,装備品!$1:$998,COLUMN(U$1),FALSE),"")</f>
        <v>0</v>
      </c>
      <c r="Z53">
        <f>IFERROR(ROUNDUP(VLOOKUP($C53,装備品!$1:$998,COLUMN(O$1),FALSE)*VLOOKUP($D53,素材!$1:$1016,COLUMN(E$1),FALSE),1),"")</f>
        <v>0</v>
      </c>
      <c r="AA53">
        <f>IF(ISNUMBER(SEARCH(SUBSTITUTE(AA$1,RIGHT(AA$1,2),""),VLOOKUP($D53,素材!$1:$1016,COLUMN($F$1),FALSE))),VLOOKUP($C53,装備品!$1:$998,COLUMN($O$1),FALSE)*VLOOKUP($D53,素材!$1:$1016,COLUMN($E$1),FALSE)/(LEN(VLOOKUP($D53,素材!$1:$1016,COLUMN($F$1),FALSE))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IFERROR(VLOOKUP($C53,装備品!$1:$998,COLUMN(V$1),FALSE)*VLOOKUP($D53,素材!$1:$1016,COLUMN(N$1),FALSE)+IF(CI53="",0,VLOOKUP($CI53,付与!$1:$1176,COLUMN($CK$1),FALSE)),"")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IFERROR(VLOOKUP($D54,素材!$1:$1016,COLUMN($B$1),FALSE)&amp;"・"&amp;VLOOKUP($C54,装備品!$1:$998,COLUMN(B$1),FALSE),"")</f>
        <v>ウッド・モーニングスター</v>
      </c>
      <c r="C54" t="s">
        <v>227</v>
      </c>
      <c r="D54" s="24" t="s">
        <v>254</v>
      </c>
      <c r="E54" t="str">
        <f>IFERROR(VLOOKUP(C54,装備品!$1:$998,COLUMN(C$1),FALSE),"")</f>
        <v>武器</v>
      </c>
      <c r="F54">
        <f>IFERROR(ROUNDDOWN((VLOOKUP($C54,装備品!$1:$998,COLUMN(D$1),FALSE)+IFERROR(VLOOKUP($CI54,付与!$1:$1167,COLUMN(F$1),FALSE),0))*VLOOKUP($D54,素材!$1:$1016,COLUMN(D$1),FALSE),0),"")</f>
        <v>78</v>
      </c>
      <c r="G54">
        <f>IFERROR(ROUNDDOWN((VLOOKUP($C54,装備品!$1:$998,COLUMN(E$1),FALSE)+IFERROR(VLOOKUP($CI54,付与!$1:$1167,COLUMN(G$1),FALSE),0))*VLOOKUP($D54,素材!$1:$1016,COLUMN($E$1),FALSE),0),"")</f>
        <v>0</v>
      </c>
      <c r="H54">
        <f>IFERROR(ROUNDDOWN((VLOOKUP($C54,装備品!$1:$998,COLUMN(F$1),FALSE)+IFERROR(VLOOKUP($CI54,付与!$1:$1167,COLUMN(H$1),FALSE),0))*VLOOKUP($D54,素材!$1:$1016,COLUMN($E$1),FALSE),0),"")</f>
        <v>9</v>
      </c>
      <c r="I54">
        <f>IFERROR(ROUNDDOWN((VLOOKUP($C54,装備品!$1:$998,COLUMN(G$1),FALSE)+IFERROR(VLOOKUP($CI54,付与!$1:$1167,COLUMN(I$1),FALSE),0))*VLOOKUP($D54,素材!$1:$1016,COLUMN($E$1),FALSE),0),"")</f>
        <v>9</v>
      </c>
      <c r="J54">
        <f>IFERROR(ROUNDDOWN((VLOOKUP($C54,装備品!$1:$998,COLUMN(H$1),FALSE)+IFERROR(VLOOKUP($CI54,付与!$1:$1167,COLUMN(J$1),FALSE),0))*VLOOKUP($D54,素材!$1:$1016,COLUMN($E$1),FALSE),0),"")</f>
        <v>14</v>
      </c>
      <c r="K54">
        <f>IFERROR(ROUNDDOWN((VLOOKUP($C54,装備品!$1:$998,COLUMN(I$1),FALSE)+IFERROR(VLOOKUP($CI54,付与!$1:$1167,COLUMN(K$1),FALSE),0))*VLOOKUP($D54,素材!$1:$1016,COLUMN($E$1),FALSE),0),"")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IFERROR(VLOOKUP($C54,装備品!$1:$998,COLUMN(AA$1),FALSE)*VLOOKUP($D54,素材!$1:$1016,COLUMN($G$1),FALSE),"")</f>
        <v>0</v>
      </c>
      <c r="N54">
        <f>IFERROR(VLOOKUP($C54,装備品!$1:$998,COLUMN(I$1),FALSE),"")</f>
        <v>0</v>
      </c>
      <c r="O54" s="23">
        <f>IFERROR((VLOOKUP($C54,装備品!$1:$998,COLUMN(K$1),FALSE)+VLOOKUP($D54,素材!$1:$1016,COLUMN(H$1),FALSE))*100+IFERROR(VLOOKUP($CI54,付与!$1:$1167,COLUMN(O$1),FALSE),0),"")</f>
        <v>10</v>
      </c>
      <c r="P54" s="23">
        <f>IFERROR((VLOOKUP($C54,装備品!$1:$998,COLUMN(L$1),FALSE)+VLOOKUP($D54,素材!$1:$1016,COLUMN(I$1),FALSE))*100+IFERROR(VLOOKUP($CI54,付与!$1:$1167,COLUMN(P$1),FALSE),0),"")</f>
        <v>125</v>
      </c>
      <c r="Q54">
        <f>IFERROR(ROUNDUP(VLOOKUP($C54,装備品!$1:$998,COLUMN(M$1),FALSE)*(VLOOKUP($D54,素材!$1:$1002,COLUMN(D$1),FALSE)/100),1),"")</f>
        <v>-1.9000000000000001</v>
      </c>
      <c r="R54">
        <f>IFERROR(ROUNDUP(VLOOKUP($C54,装備品!$1:$998,COLUMN(N$1),FALSE)*(VLOOKUP($D54,素材!$1:$1002,COLUMN(D$1),FALSE)/100),1),"")</f>
        <v>-1.9000000000000001</v>
      </c>
      <c r="S54">
        <f>IFERROR(VLOOKUP($C54,装備品!$1:$998,COLUMN(P$1),FALSE),"")</f>
        <v>0</v>
      </c>
      <c r="T54">
        <f>IFERROR(VLOOKUP($C54,装備品!$1:$998,COLUMN(Q$1),FALSE),"")</f>
        <v>0</v>
      </c>
      <c r="U54">
        <f>IFERROR(VLOOKUP($C54,装備品!$1:$998,COLUMN(R$1),FALSE),"")</f>
        <v>0</v>
      </c>
      <c r="V54">
        <f>IFERROR(VLOOKUP($C54,装備品!$1:$998,COLUMN(Q$1),FALSE),"")</f>
        <v>0</v>
      </c>
      <c r="W54">
        <f>IFERROR(VLOOKUP($C54,装備品!$1:$998,COLUMN(T$1),FALSE),"")</f>
        <v>0</v>
      </c>
      <c r="Y54">
        <f>IFERROR(VLOOKUP($C54,装備品!$1:$998,COLUMN(U$1),FALSE),"")</f>
        <v>0</v>
      </c>
      <c r="Z54">
        <f>IFERROR(ROUNDUP(VLOOKUP($C54,装備品!$1:$998,COLUMN(O$1),FALSE)*VLOOKUP($D54,素材!$1:$1016,COLUMN(E$1),FALSE),1),"")</f>
        <v>0</v>
      </c>
      <c r="AA54">
        <f>IF(ISNUMBER(SEARCH(SUBSTITUTE(AA$1,RIGHT(AA$1,2),""),VLOOKUP($D54,素材!$1:$1016,COLUMN($F$1),FALSE))),VLOOKUP($C54,装備品!$1:$998,COLUMN($O$1),FALSE)*VLOOKUP($D54,素材!$1:$1016,COLUMN($E$1),FALSE)/(LEN(VLOOKUP($D54,素材!$1:$1016,COLUMN($F$1),FALSE))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IFERROR(VLOOKUP($C54,装備品!$1:$998,COLUMN(V$1),FALSE)*VLOOKUP($D54,素材!$1:$1016,COLUMN(N$1),FALSE)+IF(CI54="",0,VLOOKUP($CI54,付与!$1:$1176,COLUMN($CK$1),FALSE)),"")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IFERROR(VLOOKUP($D55,素材!$1:$1016,COLUMN($B$1),FALSE)&amp;"・"&amp;VLOOKUP($C55,装備品!$1:$998,COLUMN(B$1),FALSE),"")</f>
        <v>ウッド・ハンマー</v>
      </c>
      <c r="C55" t="s">
        <v>226</v>
      </c>
      <c r="D55" s="24" t="s">
        <v>254</v>
      </c>
      <c r="E55" t="str">
        <f>IFERROR(VLOOKUP(C55,装備品!$1:$998,COLUMN(C$1),FALSE),"")</f>
        <v>武器</v>
      </c>
      <c r="F55">
        <f>IFERROR(ROUNDDOWN((VLOOKUP($C55,装備品!$1:$998,COLUMN(D$1),FALSE)+IFERROR(VLOOKUP($CI55,付与!$1:$1167,COLUMN(F$1),FALSE),0))*VLOOKUP($D55,素材!$1:$1016,COLUMN(D$1),FALSE),0),"")</f>
        <v>82</v>
      </c>
      <c r="G55">
        <f>IFERROR(ROUNDDOWN((VLOOKUP($C55,装備品!$1:$998,COLUMN(E$1),FALSE)+IFERROR(VLOOKUP($CI55,付与!$1:$1167,COLUMN(G$1),FALSE),0))*VLOOKUP($D55,素材!$1:$1016,COLUMN($E$1),FALSE),0),"")</f>
        <v>0</v>
      </c>
      <c r="H55">
        <f>IFERROR(ROUNDDOWN((VLOOKUP($C55,装備品!$1:$998,COLUMN(F$1),FALSE)+IFERROR(VLOOKUP($CI55,付与!$1:$1167,COLUMN(H$1),FALSE),0))*VLOOKUP($D55,素材!$1:$1016,COLUMN($E$1),FALSE),0),"")</f>
        <v>0</v>
      </c>
      <c r="I55">
        <f>IFERROR(ROUNDDOWN((VLOOKUP($C55,装備品!$1:$998,COLUMN(G$1),FALSE)+IFERROR(VLOOKUP($CI55,付与!$1:$1167,COLUMN(I$1),FALSE),0))*VLOOKUP($D55,素材!$1:$1016,COLUMN($E$1),FALSE),0),"")</f>
        <v>16</v>
      </c>
      <c r="J55">
        <f>IFERROR(ROUNDDOWN((VLOOKUP($C55,装備品!$1:$998,COLUMN(H$1),FALSE)+IFERROR(VLOOKUP($CI55,付与!$1:$1167,COLUMN(J$1),FALSE),0))*VLOOKUP($D55,素材!$1:$1016,COLUMN($E$1),FALSE),0),"")</f>
        <v>14</v>
      </c>
      <c r="K55">
        <f>IFERROR(ROUNDDOWN((VLOOKUP($C55,装備品!$1:$998,COLUMN(I$1),FALSE)+IFERROR(VLOOKUP($CI55,付与!$1:$1167,COLUMN(K$1),FALSE),0))*VLOOKUP($D55,素材!$1:$1016,COLUMN($E$1),FALSE),0),"")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IFERROR(VLOOKUP($C55,装備品!$1:$998,COLUMN(AA$1),FALSE)*VLOOKUP($D55,素材!$1:$1016,COLUMN($G$1),FALSE),"")</f>
        <v>0</v>
      </c>
      <c r="N55">
        <f>IFERROR(VLOOKUP($C55,装備品!$1:$998,COLUMN(I$1),FALSE),"")</f>
        <v>0</v>
      </c>
      <c r="O55" s="23">
        <f>IFERROR((VLOOKUP($C55,装備品!$1:$998,COLUMN(K$1),FALSE)+VLOOKUP($D55,素材!$1:$1016,COLUMN(H$1),FALSE))*100+IFERROR(VLOOKUP($CI55,付与!$1:$1167,COLUMN(O$1),FALSE),0),"")</f>
        <v>10</v>
      </c>
      <c r="P55" s="23">
        <f>IFERROR((VLOOKUP($C55,装備品!$1:$998,COLUMN(L$1),FALSE)+VLOOKUP($D55,素材!$1:$1016,COLUMN(I$1),FALSE))*100+IFERROR(VLOOKUP($CI55,付与!$1:$1167,COLUMN(P$1),FALSE),0),"")</f>
        <v>150</v>
      </c>
      <c r="Q55">
        <f>IFERROR(ROUNDUP(VLOOKUP($C55,装備品!$1:$998,COLUMN(M$1),FALSE)*(VLOOKUP($D55,素材!$1:$1002,COLUMN(D$1),FALSE)/100),1),"")</f>
        <v>-1.9000000000000001</v>
      </c>
      <c r="R55">
        <f>IFERROR(ROUNDUP(VLOOKUP($C55,装備品!$1:$998,COLUMN(N$1),FALSE)*(VLOOKUP($D55,素材!$1:$1002,COLUMN(D$1),FALSE)/100),1),"")</f>
        <v>0</v>
      </c>
      <c r="S55">
        <f>IFERROR(VLOOKUP($C55,装備品!$1:$998,COLUMN(P$1),FALSE),"")</f>
        <v>0</v>
      </c>
      <c r="T55">
        <f>IFERROR(VLOOKUP($C55,装備品!$1:$998,COLUMN(Q$1),FALSE),"")</f>
        <v>0</v>
      </c>
      <c r="U55">
        <f>IFERROR(VLOOKUP($C55,装備品!$1:$998,COLUMN(R$1),FALSE),"")</f>
        <v>0</v>
      </c>
      <c r="V55">
        <f>IFERROR(VLOOKUP($C55,装備品!$1:$998,COLUMN(Q$1),FALSE),"")</f>
        <v>0</v>
      </c>
      <c r="W55">
        <f>IFERROR(VLOOKUP($C55,装備品!$1:$998,COLUMN(T$1),FALSE),"")</f>
        <v>0</v>
      </c>
      <c r="Y55">
        <f>IFERROR(VLOOKUP($C55,装備品!$1:$998,COLUMN(U$1),FALSE),"")</f>
        <v>0</v>
      </c>
      <c r="Z55">
        <f>IFERROR(ROUNDUP(VLOOKUP($C55,装備品!$1:$998,COLUMN(O$1),FALSE)*VLOOKUP($D55,素材!$1:$1016,COLUMN(E$1),FALSE),1),"")</f>
        <v>0</v>
      </c>
      <c r="AA55">
        <f>IF(ISNUMBER(SEARCH(SUBSTITUTE(AA$1,RIGHT(AA$1,2),""),VLOOKUP($D55,素材!$1:$1016,COLUMN($F$1),FALSE))),VLOOKUP($C55,装備品!$1:$998,COLUMN($O$1),FALSE)*VLOOKUP($D55,素材!$1:$1016,COLUMN($E$1),FALSE)/(LEN(VLOOKUP($D55,素材!$1:$1016,COLUMN($F$1),FALSE))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IFERROR(VLOOKUP($C55,装備品!$1:$998,COLUMN(V$1),FALSE)*VLOOKUP($D55,素材!$1:$1016,COLUMN(N$1),FALSE)+IF(CI55="",0,VLOOKUP($CI55,付与!$1:$1176,COLUMN($CK$1),FALSE)),"")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IFERROR(VLOOKUP($D56,素材!$1:$1016,COLUMN($B$1),FALSE)&amp;"・"&amp;VLOOKUP($C56,装備品!$1:$998,COLUMN(B$1),FALSE),"")</f>
        <v>ウッド・ウォーハンマー</v>
      </c>
      <c r="C56" t="s">
        <v>225</v>
      </c>
      <c r="D56" s="24" t="s">
        <v>254</v>
      </c>
      <c r="E56" t="str">
        <f>IFERROR(VLOOKUP(C56,装備品!$1:$998,COLUMN(C$1),FALSE),"")</f>
        <v>武器</v>
      </c>
      <c r="F56">
        <f>IFERROR(ROUNDDOWN((VLOOKUP($C56,装備品!$1:$998,COLUMN(D$1),FALSE)+IFERROR(VLOOKUP($CI56,付与!$1:$1167,COLUMN(F$1),FALSE),0))*VLOOKUP($D56,素材!$1:$1016,COLUMN(D$1),FALSE),0),"")</f>
        <v>93</v>
      </c>
      <c r="G56">
        <f>IFERROR(ROUNDDOWN((VLOOKUP($C56,装備品!$1:$998,COLUMN(E$1),FALSE)+IFERROR(VLOOKUP($CI56,付与!$1:$1167,COLUMN(G$1),FALSE),0))*VLOOKUP($D56,素材!$1:$1016,COLUMN($E$1),FALSE),0),"")</f>
        <v>0</v>
      </c>
      <c r="H56">
        <f>IFERROR(ROUNDDOWN((VLOOKUP($C56,装備品!$1:$998,COLUMN(F$1),FALSE)+IFERROR(VLOOKUP($CI56,付与!$1:$1167,COLUMN(H$1),FALSE),0))*VLOOKUP($D56,素材!$1:$1016,COLUMN($E$1),FALSE),0),"")</f>
        <v>0</v>
      </c>
      <c r="I56">
        <f>IFERROR(ROUNDDOWN((VLOOKUP($C56,装備品!$1:$998,COLUMN(G$1),FALSE)+IFERROR(VLOOKUP($CI56,付与!$1:$1167,COLUMN(I$1),FALSE),0))*VLOOKUP($D56,素材!$1:$1016,COLUMN($E$1),FALSE),0),"")</f>
        <v>18</v>
      </c>
      <c r="J56">
        <f>IFERROR(ROUNDDOWN((VLOOKUP($C56,装備品!$1:$998,COLUMN(H$1),FALSE)+IFERROR(VLOOKUP($CI56,付与!$1:$1167,COLUMN(J$1),FALSE),0))*VLOOKUP($D56,素材!$1:$1016,COLUMN($E$1),FALSE),0),"")</f>
        <v>15</v>
      </c>
      <c r="K56">
        <f>IFERROR(ROUNDDOWN((VLOOKUP($C56,装備品!$1:$998,COLUMN(I$1),FALSE)+IFERROR(VLOOKUP($CI56,付与!$1:$1167,COLUMN(K$1),FALSE),0))*VLOOKUP($D56,素材!$1:$1016,COLUMN($E$1),FALSE),0),"")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IFERROR(VLOOKUP($C56,装備品!$1:$998,COLUMN(AA$1),FALSE)*VLOOKUP($D56,素材!$1:$1016,COLUMN($G$1),FALSE),"")</f>
        <v>0</v>
      </c>
      <c r="N56">
        <f>IFERROR(VLOOKUP($C56,装備品!$1:$998,COLUMN(I$1),FALSE),"")</f>
        <v>0</v>
      </c>
      <c r="O56" s="23">
        <f>IFERROR((VLOOKUP($C56,装備品!$1:$998,COLUMN(K$1),FALSE)+VLOOKUP($D56,素材!$1:$1016,COLUMN(H$1),FALSE))*100+IFERROR(VLOOKUP($CI56,付与!$1:$1167,COLUMN(O$1),FALSE),0),"")</f>
        <v>10</v>
      </c>
      <c r="P56" s="23">
        <f>IFERROR((VLOOKUP($C56,装備品!$1:$998,COLUMN(L$1),FALSE)+VLOOKUP($D56,素材!$1:$1016,COLUMN(I$1),FALSE))*100+IFERROR(VLOOKUP($CI56,付与!$1:$1167,COLUMN(P$1),FALSE),0),"")</f>
        <v>150</v>
      </c>
      <c r="Q56">
        <f>IFERROR(ROUNDUP(VLOOKUP($C56,装備品!$1:$998,COLUMN(M$1),FALSE)*(VLOOKUP($D56,素材!$1:$1002,COLUMN(D$1),FALSE)/100),1),"")</f>
        <v>-3.8000000000000003</v>
      </c>
      <c r="R56">
        <f>IFERROR(ROUNDUP(VLOOKUP($C56,装備品!$1:$998,COLUMN(N$1),FALSE)*(VLOOKUP($D56,素材!$1:$1002,COLUMN(D$1),FALSE)/100),1),"")</f>
        <v>-3.8000000000000003</v>
      </c>
      <c r="S56">
        <f>IFERROR(VLOOKUP($C56,装備品!$1:$998,COLUMN(P$1),FALSE),"")</f>
        <v>0</v>
      </c>
      <c r="T56">
        <f>IFERROR(VLOOKUP($C56,装備品!$1:$998,COLUMN(Q$1),FALSE),"")</f>
        <v>0</v>
      </c>
      <c r="U56">
        <f>IFERROR(VLOOKUP($C56,装備品!$1:$998,COLUMN(R$1),FALSE),"")</f>
        <v>0</v>
      </c>
      <c r="V56">
        <f>IFERROR(VLOOKUP($C56,装備品!$1:$998,COLUMN(Q$1),FALSE),"")</f>
        <v>0</v>
      </c>
      <c r="W56">
        <f>IFERROR(VLOOKUP($C56,装備品!$1:$998,COLUMN(T$1),FALSE),"")</f>
        <v>0</v>
      </c>
      <c r="Y56">
        <f>IFERROR(VLOOKUP($C56,装備品!$1:$998,COLUMN(U$1),FALSE),"")</f>
        <v>0</v>
      </c>
      <c r="Z56">
        <f>IFERROR(ROUNDUP(VLOOKUP($C56,装備品!$1:$998,COLUMN(O$1),FALSE)*VLOOKUP($D56,素材!$1:$1016,COLUMN(E$1),FALSE),1),"")</f>
        <v>0</v>
      </c>
      <c r="AA56">
        <f>IF(ISNUMBER(SEARCH(SUBSTITUTE(AA$1,RIGHT(AA$1,2),""),VLOOKUP($D56,素材!$1:$1016,COLUMN($F$1),FALSE))),VLOOKUP($C56,装備品!$1:$998,COLUMN($O$1),FALSE)*VLOOKUP($D56,素材!$1:$1016,COLUMN($E$1),FALSE)/(LEN(VLOOKUP($D56,素材!$1:$1016,COLUMN($F$1),FALSE))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IFERROR(VLOOKUP($C56,装備品!$1:$998,COLUMN(V$1),FALSE)*VLOOKUP($D56,素材!$1:$1016,COLUMN(N$1),FALSE)+IF(CI56="",0,VLOOKUP($CI56,付与!$1:$1176,COLUMN($CK$1),FALSE)),"")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IFERROR(VLOOKUP($D57,素材!$1:$1016,COLUMN($B$1),FALSE)&amp;"・"&amp;VLOOKUP($C57,装備品!$1:$998,COLUMN(B$1),FALSE),"")</f>
        <v>ウッド・シックル</v>
      </c>
      <c r="C57" t="s">
        <v>224</v>
      </c>
      <c r="D57" s="24" t="s">
        <v>254</v>
      </c>
      <c r="E57" t="str">
        <f>IFERROR(VLOOKUP(C57,装備品!$1:$998,COLUMN(C$1),FALSE),"")</f>
        <v>武器</v>
      </c>
      <c r="F57">
        <f>IFERROR(ROUNDDOWN((VLOOKUP($C57,装備品!$1:$998,COLUMN(D$1),FALSE)+IFERROR(VLOOKUP($CI57,付与!$1:$1167,COLUMN(F$1),FALSE),0))*VLOOKUP($D57,素材!$1:$1016,COLUMN(D$1),FALSE),0),"")</f>
        <v>93</v>
      </c>
      <c r="G57">
        <f>IFERROR(ROUNDDOWN((VLOOKUP($C57,装備品!$1:$998,COLUMN(E$1),FALSE)+IFERROR(VLOOKUP($CI57,付与!$1:$1167,COLUMN(G$1),FALSE),0))*VLOOKUP($D57,素材!$1:$1016,COLUMN($E$1),FALSE),0),"")</f>
        <v>6</v>
      </c>
      <c r="H57">
        <f>IFERROR(ROUNDDOWN((VLOOKUP($C57,装備品!$1:$998,COLUMN(F$1),FALSE)+IFERROR(VLOOKUP($CI57,付与!$1:$1167,COLUMN(H$1),FALSE),0))*VLOOKUP($D57,素材!$1:$1016,COLUMN($E$1),FALSE),0),"")</f>
        <v>8</v>
      </c>
      <c r="I57">
        <f>IFERROR(ROUNDDOWN((VLOOKUP($C57,装備品!$1:$998,COLUMN(G$1),FALSE)+IFERROR(VLOOKUP($CI57,付与!$1:$1167,COLUMN(I$1),FALSE),0))*VLOOKUP($D57,素材!$1:$1016,COLUMN($E$1),FALSE),0),"")</f>
        <v>0</v>
      </c>
      <c r="J57">
        <f>IFERROR(ROUNDDOWN((VLOOKUP($C57,装備品!$1:$998,COLUMN(H$1),FALSE)+IFERROR(VLOOKUP($CI57,付与!$1:$1167,COLUMN(J$1),FALSE),0))*VLOOKUP($D57,素材!$1:$1016,COLUMN($E$1),FALSE),0),"")</f>
        <v>12</v>
      </c>
      <c r="K57">
        <f>IFERROR(ROUNDDOWN((VLOOKUP($C57,装備品!$1:$998,COLUMN(I$1),FALSE)+IFERROR(VLOOKUP($CI57,付与!$1:$1167,COLUMN(K$1),FALSE),0))*VLOOKUP($D57,素材!$1:$1016,COLUMN($E$1),FALSE),0),"")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IFERROR(VLOOKUP($C57,装備品!$1:$998,COLUMN(AA$1),FALSE)*VLOOKUP($D57,素材!$1:$1016,COLUMN($G$1),FALSE),"")</f>
        <v>0</v>
      </c>
      <c r="N57">
        <f>IFERROR(VLOOKUP($C57,装備品!$1:$998,COLUMN(I$1),FALSE),"")</f>
        <v>0</v>
      </c>
      <c r="O57" s="23">
        <f>IFERROR((VLOOKUP($C57,装備品!$1:$998,COLUMN(K$1),FALSE)+VLOOKUP($D57,素材!$1:$1016,COLUMN(H$1),FALSE))*100+IFERROR(VLOOKUP($CI57,付与!$1:$1167,COLUMN(O$1),FALSE),0),"")</f>
        <v>5</v>
      </c>
      <c r="P57" s="23">
        <f>IFERROR((VLOOKUP($C57,装備品!$1:$998,COLUMN(L$1),FALSE)+VLOOKUP($D57,素材!$1:$1016,COLUMN(I$1),FALSE))*100+IFERROR(VLOOKUP($CI57,付与!$1:$1167,COLUMN(P$1),FALSE),0),"")</f>
        <v>200</v>
      </c>
      <c r="Q57">
        <f>IFERROR(ROUNDUP(VLOOKUP($C57,装備品!$1:$998,COLUMN(M$1),FALSE)*(VLOOKUP($D57,素材!$1:$1002,COLUMN(D$1),FALSE)/100),1),"")</f>
        <v>0</v>
      </c>
      <c r="R57">
        <f>IFERROR(ROUNDUP(VLOOKUP($C57,装備品!$1:$998,COLUMN(N$1),FALSE)*(VLOOKUP($D57,素材!$1:$1002,COLUMN(D$1),FALSE)/100),1),"")</f>
        <v>0</v>
      </c>
      <c r="S57">
        <f>IFERROR(VLOOKUP($C57,装備品!$1:$998,COLUMN(P$1),FALSE),"")</f>
        <v>0</v>
      </c>
      <c r="T57">
        <f>IFERROR(VLOOKUP($C57,装備品!$1:$998,COLUMN(Q$1),FALSE),"")</f>
        <v>0</v>
      </c>
      <c r="U57">
        <f>IFERROR(VLOOKUP($C57,装備品!$1:$998,COLUMN(R$1),FALSE),"")</f>
        <v>0</v>
      </c>
      <c r="V57">
        <f>IFERROR(VLOOKUP($C57,装備品!$1:$998,COLUMN(Q$1),FALSE),"")</f>
        <v>0</v>
      </c>
      <c r="W57">
        <f>IFERROR(VLOOKUP($C57,装備品!$1:$998,COLUMN(T$1),FALSE),"")</f>
        <v>0</v>
      </c>
      <c r="Y57">
        <f>IFERROR(VLOOKUP($C57,装備品!$1:$998,COLUMN(U$1),FALSE),"")</f>
        <v>0</v>
      </c>
      <c r="Z57">
        <f>IFERROR(ROUNDUP(VLOOKUP($C57,装備品!$1:$998,COLUMN(O$1),FALSE)*VLOOKUP($D57,素材!$1:$1016,COLUMN(E$1),FALSE),1),"")</f>
        <v>0</v>
      </c>
      <c r="AA57">
        <f>IF(ISNUMBER(SEARCH(SUBSTITUTE(AA$1,RIGHT(AA$1,2),""),VLOOKUP($D57,素材!$1:$1016,COLUMN($F$1),FALSE))),VLOOKUP($C57,装備品!$1:$998,COLUMN($O$1),FALSE)*VLOOKUP($D57,素材!$1:$1016,COLUMN($E$1),FALSE)/(LEN(VLOOKUP($D57,素材!$1:$1016,COLUMN($F$1),FALSE))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IFERROR(VLOOKUP($C57,装備品!$1:$998,COLUMN(V$1),FALSE)*VLOOKUP($D57,素材!$1:$1016,COLUMN(N$1),FALSE)+IF(CI57="",0,VLOOKUP($CI57,付与!$1:$1176,COLUMN($CK$1),FALSE)),"")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IFERROR(VLOOKUP($D58,素材!$1:$1016,COLUMN($B$1),FALSE)&amp;"・"&amp;VLOOKUP($C58,装備品!$1:$998,COLUMN(B$1),FALSE),"")</f>
        <v>ウッド・バトルアックス</v>
      </c>
      <c r="C58" t="s">
        <v>223</v>
      </c>
      <c r="D58" s="24" t="s">
        <v>254</v>
      </c>
      <c r="E58" t="str">
        <f>IFERROR(VLOOKUP(C58,装備品!$1:$998,COLUMN(C$1),FALSE),"")</f>
        <v>武器</v>
      </c>
      <c r="F58">
        <f>IFERROR(ROUNDDOWN((VLOOKUP($C58,装備品!$1:$998,COLUMN(D$1),FALSE)+IFERROR(VLOOKUP($CI58,付与!$1:$1167,COLUMN(F$1),FALSE),0))*VLOOKUP($D58,素材!$1:$1016,COLUMN(D$1),FALSE),0),"")</f>
        <v>86</v>
      </c>
      <c r="G58">
        <f>IFERROR(ROUNDDOWN((VLOOKUP($C58,装備品!$1:$998,COLUMN(E$1),FALSE)+IFERROR(VLOOKUP($CI58,付与!$1:$1167,COLUMN(G$1),FALSE),0))*VLOOKUP($D58,素材!$1:$1016,COLUMN($E$1),FALSE),0),"")</f>
        <v>14</v>
      </c>
      <c r="H58">
        <f>IFERROR(ROUNDDOWN((VLOOKUP($C58,装備品!$1:$998,COLUMN(F$1),FALSE)+IFERROR(VLOOKUP($CI58,付与!$1:$1167,COLUMN(H$1),FALSE),0))*VLOOKUP($D58,素材!$1:$1016,COLUMN($E$1),FALSE),0),"")</f>
        <v>0</v>
      </c>
      <c r="I58">
        <f>IFERROR(ROUNDDOWN((VLOOKUP($C58,装備品!$1:$998,COLUMN(G$1),FALSE)+IFERROR(VLOOKUP($CI58,付与!$1:$1167,COLUMN(I$1),FALSE),0))*VLOOKUP($D58,素材!$1:$1016,COLUMN($E$1),FALSE),0),"")</f>
        <v>4</v>
      </c>
      <c r="J58">
        <f>IFERROR(ROUNDDOWN((VLOOKUP($C58,装備品!$1:$998,COLUMN(H$1),FALSE)+IFERROR(VLOOKUP($CI58,付与!$1:$1167,COLUMN(J$1),FALSE),0))*VLOOKUP($D58,素材!$1:$1016,COLUMN($E$1),FALSE),0),"")</f>
        <v>15</v>
      </c>
      <c r="K58">
        <f>IFERROR(ROUNDDOWN((VLOOKUP($C58,装備品!$1:$998,COLUMN(I$1),FALSE)+IFERROR(VLOOKUP($CI58,付与!$1:$1167,COLUMN(K$1),FALSE),0))*VLOOKUP($D58,素材!$1:$1016,COLUMN($E$1),FALSE),0),"")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IFERROR(VLOOKUP($C58,装備品!$1:$998,COLUMN(AA$1),FALSE)*VLOOKUP($D58,素材!$1:$1016,COLUMN($G$1),FALSE),"")</f>
        <v>0</v>
      </c>
      <c r="N58">
        <f>IFERROR(VLOOKUP($C58,装備品!$1:$998,COLUMN(I$1),FALSE),"")</f>
        <v>0</v>
      </c>
      <c r="O58" s="23">
        <f>IFERROR((VLOOKUP($C58,装備品!$1:$998,COLUMN(K$1),FALSE)+VLOOKUP($D58,素材!$1:$1016,COLUMN(H$1),FALSE))*100+IFERROR(VLOOKUP($CI58,付与!$1:$1167,COLUMN(O$1),FALSE),0),"")</f>
        <v>5</v>
      </c>
      <c r="P58" s="23">
        <f>IFERROR((VLOOKUP($C58,装備品!$1:$998,COLUMN(L$1),FALSE)+VLOOKUP($D58,素材!$1:$1016,COLUMN(I$1),FALSE))*100+IFERROR(VLOOKUP($CI58,付与!$1:$1167,COLUMN(P$1),FALSE),0),"")</f>
        <v>175</v>
      </c>
      <c r="Q58">
        <f>IFERROR(ROUNDUP(VLOOKUP($C58,装備品!$1:$998,COLUMN(M$1),FALSE)*(VLOOKUP($D58,素材!$1:$1002,COLUMN(D$1),FALSE)/100),1),"")</f>
        <v>-1.9000000000000001</v>
      </c>
      <c r="R58">
        <f>IFERROR(ROUNDUP(VLOOKUP($C58,装備品!$1:$998,COLUMN(N$1),FALSE)*(VLOOKUP($D58,素材!$1:$1002,COLUMN(D$1),FALSE)/100),1),"")</f>
        <v>0</v>
      </c>
      <c r="S58">
        <f>IFERROR(VLOOKUP($C58,装備品!$1:$998,COLUMN(P$1),FALSE),"")</f>
        <v>0</v>
      </c>
      <c r="T58">
        <f>IFERROR(VLOOKUP($C58,装備品!$1:$998,COLUMN(Q$1),FALSE),"")</f>
        <v>0</v>
      </c>
      <c r="U58">
        <f>IFERROR(VLOOKUP($C58,装備品!$1:$998,COLUMN(R$1),FALSE),"")</f>
        <v>0</v>
      </c>
      <c r="V58">
        <f>IFERROR(VLOOKUP($C58,装備品!$1:$998,COLUMN(Q$1),FALSE),"")</f>
        <v>0</v>
      </c>
      <c r="W58">
        <f>IFERROR(VLOOKUP($C58,装備品!$1:$998,COLUMN(T$1),FALSE),"")</f>
        <v>0</v>
      </c>
      <c r="Y58">
        <f>IFERROR(VLOOKUP($C58,装備品!$1:$998,COLUMN(U$1),FALSE),"")</f>
        <v>0</v>
      </c>
      <c r="Z58">
        <f>IFERROR(ROUNDUP(VLOOKUP($C58,装備品!$1:$998,COLUMN(O$1),FALSE)*VLOOKUP($D58,素材!$1:$1016,COLUMN(E$1),FALSE),1),"")</f>
        <v>0</v>
      </c>
      <c r="AA58">
        <f>IF(ISNUMBER(SEARCH(SUBSTITUTE(AA$1,RIGHT(AA$1,2),""),VLOOKUP($D58,素材!$1:$1016,COLUMN($F$1),FALSE))),VLOOKUP($C58,装備品!$1:$998,COLUMN($O$1),FALSE)*VLOOKUP($D58,素材!$1:$1016,COLUMN($E$1),FALSE)/(LEN(VLOOKUP($D58,素材!$1:$1016,COLUMN($F$1),FALSE))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IFERROR(VLOOKUP($C58,装備品!$1:$998,COLUMN(V$1),FALSE)*VLOOKUP($D58,素材!$1:$1016,COLUMN(N$1),FALSE)+IF(CI58="",0,VLOOKUP($CI58,付与!$1:$1176,COLUMN($CK$1),FALSE)),"")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IFERROR(VLOOKUP($D59,素材!$1:$1016,COLUMN($B$1),FALSE)&amp;"・"&amp;VLOOKUP($C59,装備品!$1:$998,COLUMN(B$1),FALSE),"")</f>
        <v>ウッド・ウィップ</v>
      </c>
      <c r="C59" t="s">
        <v>222</v>
      </c>
      <c r="D59" s="24" t="s">
        <v>254</v>
      </c>
      <c r="E59" t="str">
        <f>IFERROR(VLOOKUP(C59,装備品!$1:$998,COLUMN(C$1),FALSE),"")</f>
        <v>武器</v>
      </c>
      <c r="F59">
        <f>IFERROR(ROUNDDOWN((VLOOKUP($C59,装備品!$1:$998,COLUMN(D$1),FALSE)+IFERROR(VLOOKUP($CI59,付与!$1:$1167,COLUMN(F$1),FALSE),0))*VLOOKUP($D59,素材!$1:$1016,COLUMN(D$1),FALSE),0),"")</f>
        <v>78</v>
      </c>
      <c r="G59">
        <f>IFERROR(ROUNDDOWN((VLOOKUP($C59,装備品!$1:$998,COLUMN(E$1),FALSE)+IFERROR(VLOOKUP($CI59,付与!$1:$1167,COLUMN(G$1),FALSE),0))*VLOOKUP($D59,素材!$1:$1016,COLUMN($E$1),FALSE),0),"")</f>
        <v>13</v>
      </c>
      <c r="H59">
        <f>IFERROR(ROUNDDOWN((VLOOKUP($C59,装備品!$1:$998,COLUMN(F$1),FALSE)+IFERROR(VLOOKUP($CI59,付与!$1:$1167,COLUMN(H$1),FALSE),0))*VLOOKUP($D59,素材!$1:$1016,COLUMN($E$1),FALSE),0),"")</f>
        <v>0</v>
      </c>
      <c r="I59">
        <f>IFERROR(ROUNDDOWN((VLOOKUP($C59,装備品!$1:$998,COLUMN(G$1),FALSE)+IFERROR(VLOOKUP($CI59,付与!$1:$1167,COLUMN(I$1),FALSE),0))*VLOOKUP($D59,素材!$1:$1016,COLUMN($E$1),FALSE),0),"")</f>
        <v>3</v>
      </c>
      <c r="J59">
        <f>IFERROR(ROUNDDOWN((VLOOKUP($C59,装備品!$1:$998,COLUMN(H$1),FALSE)+IFERROR(VLOOKUP($CI59,付与!$1:$1167,COLUMN(J$1),FALSE),0))*VLOOKUP($D59,素材!$1:$1016,COLUMN($E$1),FALSE),0),"")</f>
        <v>8</v>
      </c>
      <c r="K59">
        <f>IFERROR(ROUNDDOWN((VLOOKUP($C59,装備品!$1:$998,COLUMN(I$1),FALSE)+IFERROR(VLOOKUP($CI59,付与!$1:$1167,COLUMN(K$1),FALSE),0))*VLOOKUP($D59,素材!$1:$1016,COLUMN($E$1),FALSE),0),"")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IFERROR(VLOOKUP($C59,装備品!$1:$998,COLUMN(AA$1),FALSE)*VLOOKUP($D59,素材!$1:$1016,COLUMN($G$1),FALSE),"")</f>
        <v>0</v>
      </c>
      <c r="N59">
        <f>IFERROR(VLOOKUP($C59,装備品!$1:$998,COLUMN(I$1),FALSE),"")</f>
        <v>0</v>
      </c>
      <c r="O59" s="23">
        <f>IFERROR((VLOOKUP($C59,装備品!$1:$998,COLUMN(K$1),FALSE)+VLOOKUP($D59,素材!$1:$1016,COLUMN(H$1),FALSE))*100+IFERROR(VLOOKUP($CI59,付与!$1:$1167,COLUMN(O$1),FALSE),0),"")</f>
        <v>10</v>
      </c>
      <c r="P59" s="23">
        <f>IFERROR((VLOOKUP($C59,装備品!$1:$998,COLUMN(L$1),FALSE)+VLOOKUP($D59,素材!$1:$1016,COLUMN(I$1),FALSE))*100+IFERROR(VLOOKUP($CI59,付与!$1:$1167,COLUMN(P$1),FALSE),0),"")</f>
        <v>150</v>
      </c>
      <c r="Q59">
        <f>IFERROR(ROUNDUP(VLOOKUP($C59,装備品!$1:$998,COLUMN(M$1),FALSE)*(VLOOKUP($D59,素材!$1:$1002,COLUMN(D$1),FALSE)/100),1),"")</f>
        <v>0</v>
      </c>
      <c r="R59">
        <f>IFERROR(ROUNDUP(VLOOKUP($C59,装備品!$1:$998,COLUMN(N$1),FALSE)*(VLOOKUP($D59,素材!$1:$1002,COLUMN(D$1),FALSE)/100),1),"")</f>
        <v>0</v>
      </c>
      <c r="S59">
        <f>IFERROR(VLOOKUP($C59,装備品!$1:$998,COLUMN(P$1),FALSE),"")</f>
        <v>0</v>
      </c>
      <c r="T59">
        <f>IFERROR(VLOOKUP($C59,装備品!$1:$998,COLUMN(Q$1),FALSE),"")</f>
        <v>0</v>
      </c>
      <c r="U59">
        <f>IFERROR(VLOOKUP($C59,装備品!$1:$998,COLUMN(R$1),FALSE),"")</f>
        <v>0</v>
      </c>
      <c r="V59">
        <f>IFERROR(VLOOKUP($C59,装備品!$1:$998,COLUMN(Q$1),FALSE),"")</f>
        <v>0</v>
      </c>
      <c r="W59">
        <f>IFERROR(VLOOKUP($C59,装備品!$1:$998,COLUMN(T$1),FALSE),"")</f>
        <v>0</v>
      </c>
      <c r="Y59">
        <f>IFERROR(VLOOKUP($C59,装備品!$1:$998,COLUMN(U$1),FALSE),"")</f>
        <v>1</v>
      </c>
      <c r="Z59">
        <f>IFERROR(ROUNDUP(VLOOKUP($C59,装備品!$1:$998,COLUMN(O$1),FALSE)*VLOOKUP($D59,素材!$1:$1016,COLUMN(E$1),FALSE),1),"")</f>
        <v>0</v>
      </c>
      <c r="AA59">
        <f>IF(ISNUMBER(SEARCH(SUBSTITUTE(AA$1,RIGHT(AA$1,2),""),VLOOKUP($D59,素材!$1:$1016,COLUMN($F$1),FALSE))),VLOOKUP($C59,装備品!$1:$998,COLUMN($O$1),FALSE)*VLOOKUP($D59,素材!$1:$1016,COLUMN($E$1),FALSE)/(LEN(VLOOKUP($D59,素材!$1:$1016,COLUMN($F$1),FALSE))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IFERROR(VLOOKUP($C59,装備品!$1:$998,COLUMN(V$1),FALSE)*VLOOKUP($D59,素材!$1:$1016,COLUMN(N$1),FALSE)+IF(CI59="",0,VLOOKUP($CI59,付与!$1:$1176,COLUMN($CK$1),FALSE)),"")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IFERROR(VLOOKUP($D60,素材!$1:$1016,COLUMN($B$1),FALSE)&amp;"・"&amp;VLOOKUP($C60,装備品!$1:$998,COLUMN(B$1),FALSE),"")</f>
        <v>ウッド・バックラー</v>
      </c>
      <c r="C60" t="s">
        <v>221</v>
      </c>
      <c r="D60" s="24" t="s">
        <v>254</v>
      </c>
      <c r="E60" t="str">
        <f>IFERROR(VLOOKUP(C60,装備品!$1:$998,COLUMN(C$1),FALSE),"")</f>
        <v>盾</v>
      </c>
      <c r="F60">
        <f>IFERROR(ROUNDDOWN((VLOOKUP($C60,装備品!$1:$998,COLUMN(D$1),FALSE)+IFERROR(VLOOKUP($CI60,付与!$1:$1167,COLUMN(F$1),FALSE),0))*VLOOKUP($D60,素材!$1:$1016,COLUMN(D$1),FALSE),0),"")</f>
        <v>75</v>
      </c>
      <c r="G60">
        <f>IFERROR(ROUNDDOWN((VLOOKUP($C60,装備品!$1:$998,COLUMN(E$1),FALSE)+IFERROR(VLOOKUP($CI60,付与!$1:$1167,COLUMN(G$1),FALSE),0))*VLOOKUP($D60,素材!$1:$1016,COLUMN($E$1),FALSE),0),"")</f>
        <v>6</v>
      </c>
      <c r="H60">
        <f>IFERROR(ROUNDDOWN((VLOOKUP($C60,装備品!$1:$998,COLUMN(F$1),FALSE)+IFERROR(VLOOKUP($CI60,付与!$1:$1167,COLUMN(H$1),FALSE),0))*VLOOKUP($D60,素材!$1:$1016,COLUMN($E$1),FALSE),0),"")</f>
        <v>0</v>
      </c>
      <c r="I60">
        <f>IFERROR(ROUNDDOWN((VLOOKUP($C60,装備品!$1:$998,COLUMN(G$1),FALSE)+IFERROR(VLOOKUP($CI60,付与!$1:$1167,COLUMN(I$1),FALSE),0))*VLOOKUP($D60,素材!$1:$1016,COLUMN($E$1),FALSE),0),"")</f>
        <v>6</v>
      </c>
      <c r="J60">
        <f>IFERROR(ROUNDDOWN((VLOOKUP($C60,装備品!$1:$998,COLUMN(H$1),FALSE)+IFERROR(VLOOKUP($CI60,付与!$1:$1167,COLUMN(J$1),FALSE),0))*VLOOKUP($D60,素材!$1:$1016,COLUMN($E$1),FALSE),0),"")</f>
        <v>17</v>
      </c>
      <c r="K60">
        <f>IFERROR(ROUNDDOWN((VLOOKUP($C60,装備品!$1:$998,COLUMN(I$1),FALSE)+IFERROR(VLOOKUP($CI60,付与!$1:$1167,COLUMN(K$1),FALSE),0))*VLOOKUP($D60,素材!$1:$1016,COLUMN($E$1),FALSE),0),"")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IFERROR(VLOOKUP($C60,装備品!$1:$998,COLUMN(AA$1),FALSE)*VLOOKUP($D60,素材!$1:$1016,COLUMN($G$1),FALSE),"")</f>
        <v>0</v>
      </c>
      <c r="N60">
        <f>IFERROR(VLOOKUP($C60,装備品!$1:$998,COLUMN(I$1),FALSE),"")</f>
        <v>0</v>
      </c>
      <c r="O60" s="23">
        <f>IFERROR((VLOOKUP($C60,装備品!$1:$998,COLUMN(K$1),FALSE)+VLOOKUP($D60,素材!$1:$1016,COLUMN(H$1),FALSE))*100+IFERROR(VLOOKUP($CI60,付与!$1:$1167,COLUMN(O$1),FALSE),0),"")</f>
        <v>5</v>
      </c>
      <c r="P60" s="23">
        <f>IFERROR((VLOOKUP($C60,装備品!$1:$998,COLUMN(L$1),FALSE)+VLOOKUP($D60,素材!$1:$1016,COLUMN(I$1),FALSE))*100+IFERROR(VLOOKUP($CI60,付与!$1:$1167,COLUMN(P$1),FALSE),0),"")</f>
        <v>125</v>
      </c>
      <c r="Q60">
        <f>IFERROR(ROUNDUP(VLOOKUP($C60,装備品!$1:$998,COLUMN(M$1),FALSE)*(VLOOKUP($D60,素材!$1:$1002,COLUMN(D$1),FALSE)/100),1),"")</f>
        <v>0</v>
      </c>
      <c r="R60">
        <f>IFERROR(ROUNDUP(VLOOKUP($C60,装備品!$1:$998,COLUMN(N$1),FALSE)*(VLOOKUP($D60,素材!$1:$1002,COLUMN(D$1),FALSE)/100),1),"")</f>
        <v>0</v>
      </c>
      <c r="S60">
        <f>IFERROR(VLOOKUP($C60,装備品!$1:$998,COLUMN(P$1),FALSE),"")</f>
        <v>0</v>
      </c>
      <c r="T60">
        <f>IFERROR(VLOOKUP($C60,装備品!$1:$998,COLUMN(Q$1),FALSE),"")</f>
        <v>0</v>
      </c>
      <c r="U60">
        <f>IFERROR(VLOOKUP($C60,装備品!$1:$998,COLUMN(R$1),FALSE),"")</f>
        <v>0</v>
      </c>
      <c r="V60">
        <f>IFERROR(VLOOKUP($C60,装備品!$1:$998,COLUMN(Q$1),FALSE),"")</f>
        <v>0</v>
      </c>
      <c r="W60">
        <f>IFERROR(VLOOKUP($C60,装備品!$1:$998,COLUMN(T$1),FALSE),"")</f>
        <v>0</v>
      </c>
      <c r="Y60">
        <f>IFERROR(VLOOKUP($C60,装備品!$1:$998,COLUMN(U$1),FALSE),"")</f>
        <v>0</v>
      </c>
      <c r="Z60">
        <f>IFERROR(ROUNDUP(VLOOKUP($C60,装備品!$1:$998,COLUMN(O$1),FALSE)*VLOOKUP($D60,素材!$1:$1016,COLUMN(E$1),FALSE),1),"")</f>
        <v>0</v>
      </c>
      <c r="AA60">
        <f>IF(ISNUMBER(SEARCH(SUBSTITUTE(AA$1,RIGHT(AA$1,2),""),VLOOKUP($D60,素材!$1:$1016,COLUMN($F$1),FALSE))),VLOOKUP($C60,装備品!$1:$998,COLUMN($O$1),FALSE)*VLOOKUP($D60,素材!$1:$1016,COLUMN($E$1),FALSE)/(LEN(VLOOKUP($D60,素材!$1:$1016,COLUMN($F$1),FALSE))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IFERROR(VLOOKUP($C60,装備品!$1:$998,COLUMN(V$1),FALSE)*VLOOKUP($D60,素材!$1:$1016,COLUMN(N$1),FALSE)+IF(CI60="",0,VLOOKUP($CI60,付与!$1:$1176,COLUMN($CK$1),FALSE)),"")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IFERROR(VLOOKUP($D61,素材!$1:$1016,COLUMN($B$1),FALSE)&amp;"・"&amp;VLOOKUP($C61,装備品!$1:$998,COLUMN(B$1),FALSE),"")</f>
        <v>ウッド・シールド</v>
      </c>
      <c r="C61" t="s">
        <v>220</v>
      </c>
      <c r="D61" s="24" t="s">
        <v>254</v>
      </c>
      <c r="E61" t="str">
        <f>IFERROR(VLOOKUP(C61,装備品!$1:$998,COLUMN(C$1),FALSE),"")</f>
        <v>盾</v>
      </c>
      <c r="F61">
        <f>IFERROR(ROUNDDOWN((VLOOKUP($C61,装備品!$1:$998,COLUMN(D$1),FALSE)+IFERROR(VLOOKUP($CI61,付与!$1:$1167,COLUMN(F$1),FALSE),0))*VLOOKUP($D61,素材!$1:$1016,COLUMN(D$1),FALSE),0),"")</f>
        <v>75</v>
      </c>
      <c r="G61">
        <f>IFERROR(ROUNDDOWN((VLOOKUP($C61,装備品!$1:$998,COLUMN(E$1),FALSE)+IFERROR(VLOOKUP($CI61,付与!$1:$1167,COLUMN(G$1),FALSE),0))*VLOOKUP($D61,素材!$1:$1016,COLUMN($E$1),FALSE),0),"")</f>
        <v>0</v>
      </c>
      <c r="H61">
        <f>IFERROR(ROUNDDOWN((VLOOKUP($C61,装備品!$1:$998,COLUMN(F$1),FALSE)+IFERROR(VLOOKUP($CI61,付与!$1:$1167,COLUMN(H$1),FALSE),0))*VLOOKUP($D61,素材!$1:$1016,COLUMN($E$1),FALSE),0),"")</f>
        <v>0</v>
      </c>
      <c r="I61">
        <f>IFERROR(ROUNDDOWN((VLOOKUP($C61,装備品!$1:$998,COLUMN(G$1),FALSE)+IFERROR(VLOOKUP($CI61,付与!$1:$1167,COLUMN(I$1),FALSE),0))*VLOOKUP($D61,素材!$1:$1016,COLUMN($E$1),FALSE),0),"")</f>
        <v>12</v>
      </c>
      <c r="J61">
        <f>IFERROR(ROUNDDOWN((VLOOKUP($C61,装備品!$1:$998,COLUMN(H$1),FALSE)+IFERROR(VLOOKUP($CI61,付与!$1:$1167,COLUMN(J$1),FALSE),0))*VLOOKUP($D61,素材!$1:$1016,COLUMN($E$1),FALSE),0),"")</f>
        <v>18</v>
      </c>
      <c r="K61">
        <f>IFERROR(ROUNDDOWN((VLOOKUP($C61,装備品!$1:$998,COLUMN(I$1),FALSE)+IFERROR(VLOOKUP($CI61,付与!$1:$1167,COLUMN(K$1),FALSE),0))*VLOOKUP($D61,素材!$1:$1016,COLUMN($E$1),FALSE),0),"")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IFERROR(VLOOKUP($C61,装備品!$1:$998,COLUMN(AA$1),FALSE)*VLOOKUP($D61,素材!$1:$1016,COLUMN($G$1),FALSE),"")</f>
        <v>0</v>
      </c>
      <c r="N61">
        <f>IFERROR(VLOOKUP($C61,装備品!$1:$998,COLUMN(I$1),FALSE),"")</f>
        <v>0</v>
      </c>
      <c r="O61" s="23">
        <f>IFERROR((VLOOKUP($C61,装備品!$1:$998,COLUMN(K$1),FALSE)+VLOOKUP($D61,素材!$1:$1016,COLUMN(H$1),FALSE))*100+IFERROR(VLOOKUP($CI61,付与!$1:$1167,COLUMN(O$1),FALSE),0),"")</f>
        <v>5</v>
      </c>
      <c r="P61" s="23">
        <f>IFERROR((VLOOKUP($C61,装備品!$1:$998,COLUMN(L$1),FALSE)+VLOOKUP($D61,素材!$1:$1016,COLUMN(I$1),FALSE))*100+IFERROR(VLOOKUP($CI61,付与!$1:$1167,COLUMN(P$1),FALSE),0),"")</f>
        <v>125</v>
      </c>
      <c r="Q61">
        <f>IFERROR(ROUNDUP(VLOOKUP($C61,装備品!$1:$998,COLUMN(M$1),FALSE)*(VLOOKUP($D61,素材!$1:$1002,COLUMN(D$1),FALSE)/100),1),"")</f>
        <v>0</v>
      </c>
      <c r="R61">
        <f>IFERROR(ROUNDUP(VLOOKUP($C61,装備品!$1:$998,COLUMN(N$1),FALSE)*(VLOOKUP($D61,素材!$1:$1002,COLUMN(D$1),FALSE)/100),1),"")</f>
        <v>0</v>
      </c>
      <c r="S61">
        <f>IFERROR(VLOOKUP($C61,装備品!$1:$998,COLUMN(P$1),FALSE),"")</f>
        <v>0</v>
      </c>
      <c r="T61">
        <f>IFERROR(VLOOKUP($C61,装備品!$1:$998,COLUMN(Q$1),FALSE),"")</f>
        <v>0</v>
      </c>
      <c r="U61">
        <f>IFERROR(VLOOKUP($C61,装備品!$1:$998,COLUMN(R$1),FALSE),"")</f>
        <v>0</v>
      </c>
      <c r="V61">
        <f>IFERROR(VLOOKUP($C61,装備品!$1:$998,COLUMN(Q$1),FALSE),"")</f>
        <v>0</v>
      </c>
      <c r="W61">
        <f>IFERROR(VLOOKUP($C61,装備品!$1:$998,COLUMN(T$1),FALSE),"")</f>
        <v>0</v>
      </c>
      <c r="Y61">
        <f>IFERROR(VLOOKUP($C61,装備品!$1:$998,COLUMN(U$1),FALSE),"")</f>
        <v>0</v>
      </c>
      <c r="Z61">
        <f>IFERROR(ROUNDUP(VLOOKUP($C61,装備品!$1:$998,COLUMN(O$1),FALSE)*VLOOKUP($D61,素材!$1:$1016,COLUMN(E$1),FALSE),1),"")</f>
        <v>0</v>
      </c>
      <c r="AA61">
        <f>IF(ISNUMBER(SEARCH(SUBSTITUTE(AA$1,RIGHT(AA$1,2),""),VLOOKUP($D61,素材!$1:$1016,COLUMN($F$1),FALSE))),VLOOKUP($C61,装備品!$1:$998,COLUMN($O$1),FALSE)*VLOOKUP($D61,素材!$1:$1016,COLUMN($E$1),FALSE)/(LEN(VLOOKUP($D61,素材!$1:$1016,COLUMN($F$1),FALSE))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IFERROR(VLOOKUP($C61,装備品!$1:$998,COLUMN(V$1),FALSE)*VLOOKUP($D61,素材!$1:$1016,COLUMN(N$1),FALSE)+IF(CI61="",0,VLOOKUP($CI61,付与!$1:$1176,COLUMN($CK$1),FALSE)),"")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IFERROR(VLOOKUP($D62,素材!$1:$1016,COLUMN($B$1),FALSE)&amp;"・"&amp;VLOOKUP($C62,装備品!$1:$998,COLUMN(B$1),FALSE),"")</f>
        <v>ウッド・ラウンドシールド</v>
      </c>
      <c r="C62" t="s">
        <v>219</v>
      </c>
      <c r="D62" s="24" t="s">
        <v>254</v>
      </c>
      <c r="E62" t="str">
        <f>IFERROR(VLOOKUP(C62,装備品!$1:$998,COLUMN(C$1),FALSE),"")</f>
        <v>盾</v>
      </c>
      <c r="F62">
        <f>IFERROR(ROUNDDOWN((VLOOKUP($C62,装備品!$1:$998,COLUMN(D$1),FALSE)+IFERROR(VLOOKUP($CI62,付与!$1:$1167,COLUMN(F$1),FALSE),0))*VLOOKUP($D62,素材!$1:$1016,COLUMN(D$1),FALSE),0),"")</f>
        <v>82</v>
      </c>
      <c r="G62">
        <f>IFERROR(ROUNDDOWN((VLOOKUP($C62,装備品!$1:$998,COLUMN(E$1),FALSE)+IFERROR(VLOOKUP($CI62,付与!$1:$1167,COLUMN(G$1),FALSE),0))*VLOOKUP($D62,素材!$1:$1016,COLUMN($E$1),FALSE),0),"")</f>
        <v>6</v>
      </c>
      <c r="H62">
        <f>IFERROR(ROUNDDOWN((VLOOKUP($C62,装備品!$1:$998,COLUMN(F$1),FALSE)+IFERROR(VLOOKUP($CI62,付与!$1:$1167,COLUMN(H$1),FALSE),0))*VLOOKUP($D62,素材!$1:$1016,COLUMN($E$1),FALSE),0),"")</f>
        <v>0</v>
      </c>
      <c r="I62">
        <f>IFERROR(ROUNDDOWN((VLOOKUP($C62,装備品!$1:$998,COLUMN(G$1),FALSE)+IFERROR(VLOOKUP($CI62,付与!$1:$1167,COLUMN(I$1),FALSE),0))*VLOOKUP($D62,素材!$1:$1016,COLUMN($E$1),FALSE),0),"")</f>
        <v>6</v>
      </c>
      <c r="J62">
        <f>IFERROR(ROUNDDOWN((VLOOKUP($C62,装備品!$1:$998,COLUMN(H$1),FALSE)+IFERROR(VLOOKUP($CI62,付与!$1:$1167,COLUMN(J$1),FALSE),0))*VLOOKUP($D62,素材!$1:$1016,COLUMN($E$1),FALSE),0),"")</f>
        <v>18</v>
      </c>
      <c r="K62">
        <f>IFERROR(ROUNDDOWN((VLOOKUP($C62,装備品!$1:$998,COLUMN(I$1),FALSE)+IFERROR(VLOOKUP($CI62,付与!$1:$1167,COLUMN(K$1),FALSE),0))*VLOOKUP($D62,素材!$1:$1016,COLUMN($E$1),FALSE),0),"")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IFERROR(VLOOKUP($C62,装備品!$1:$998,COLUMN(AA$1),FALSE)*VLOOKUP($D62,素材!$1:$1016,COLUMN($G$1),FALSE),"")</f>
        <v>0</v>
      </c>
      <c r="N62">
        <f>IFERROR(VLOOKUP($C62,装備品!$1:$998,COLUMN(I$1),FALSE),"")</f>
        <v>0</v>
      </c>
      <c r="O62" s="23">
        <f>IFERROR((VLOOKUP($C62,装備品!$1:$998,COLUMN(K$1),FALSE)+VLOOKUP($D62,素材!$1:$1016,COLUMN(H$1),FALSE))*100+IFERROR(VLOOKUP($CI62,付与!$1:$1167,COLUMN(O$1),FALSE),0),"")</f>
        <v>5</v>
      </c>
      <c r="P62" s="23">
        <f>IFERROR((VLOOKUP($C62,装備品!$1:$998,COLUMN(L$1),FALSE)+VLOOKUP($D62,素材!$1:$1016,COLUMN(I$1),FALSE))*100+IFERROR(VLOOKUP($CI62,付与!$1:$1167,COLUMN(P$1),FALSE),0),"")</f>
        <v>125</v>
      </c>
      <c r="Q62">
        <f>IFERROR(ROUNDUP(VLOOKUP($C62,装備品!$1:$998,COLUMN(M$1),FALSE)*(VLOOKUP($D62,素材!$1:$1002,COLUMN(D$1),FALSE)/100),1),"")</f>
        <v>-3.8000000000000003</v>
      </c>
      <c r="R62">
        <f>IFERROR(ROUNDUP(VLOOKUP($C62,装備品!$1:$998,COLUMN(N$1),FALSE)*(VLOOKUP($D62,素材!$1:$1002,COLUMN(D$1),FALSE)/100),1),"")</f>
        <v>0</v>
      </c>
      <c r="S62">
        <f>IFERROR(VLOOKUP($C62,装備品!$1:$998,COLUMN(P$1),FALSE),"")</f>
        <v>0</v>
      </c>
      <c r="T62">
        <f>IFERROR(VLOOKUP($C62,装備品!$1:$998,COLUMN(Q$1),FALSE),"")</f>
        <v>0</v>
      </c>
      <c r="U62">
        <f>IFERROR(VLOOKUP($C62,装備品!$1:$998,COLUMN(R$1),FALSE),"")</f>
        <v>0</v>
      </c>
      <c r="V62">
        <f>IFERROR(VLOOKUP($C62,装備品!$1:$998,COLUMN(Q$1),FALSE),"")</f>
        <v>0</v>
      </c>
      <c r="W62">
        <f>IFERROR(VLOOKUP($C62,装備品!$1:$998,COLUMN(T$1),FALSE),"")</f>
        <v>0</v>
      </c>
      <c r="Y62">
        <f>IFERROR(VLOOKUP($C62,装備品!$1:$998,COLUMN(U$1),FALSE),"")</f>
        <v>0</v>
      </c>
      <c r="Z62">
        <f>IFERROR(ROUNDUP(VLOOKUP($C62,装備品!$1:$998,COLUMN(O$1),FALSE)*VLOOKUP($D62,素材!$1:$1016,COLUMN(E$1),FALSE),1),"")</f>
        <v>0</v>
      </c>
      <c r="AA62">
        <f>IF(ISNUMBER(SEARCH(SUBSTITUTE(AA$1,RIGHT(AA$1,2),""),VLOOKUP($D62,素材!$1:$1016,COLUMN($F$1),FALSE))),VLOOKUP($C62,装備品!$1:$998,COLUMN($O$1),FALSE)*VLOOKUP($D62,素材!$1:$1016,COLUMN($E$1),FALSE)/(LEN(VLOOKUP($D62,素材!$1:$1016,COLUMN($F$1),FALSE))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IFERROR(VLOOKUP($C62,装備品!$1:$998,COLUMN(V$1),FALSE)*VLOOKUP($D62,素材!$1:$1016,COLUMN(N$1),FALSE)+IF(CI62="",0,VLOOKUP($CI62,付与!$1:$1176,COLUMN($CK$1),FALSE)),"")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IFERROR(VLOOKUP($D63,素材!$1:$1016,COLUMN($B$1),FALSE)&amp;"・"&amp;VLOOKUP($C63,装備品!$1:$998,COLUMN(B$1),FALSE),"")</f>
        <v>ウッド・ラージシールド</v>
      </c>
      <c r="C63" t="s">
        <v>218</v>
      </c>
      <c r="D63" s="24" t="s">
        <v>254</v>
      </c>
      <c r="E63" t="str">
        <f>IFERROR(VLOOKUP(C63,装備品!$1:$998,COLUMN(C$1),FALSE),"")</f>
        <v>盾</v>
      </c>
      <c r="F63">
        <f>IFERROR(ROUNDDOWN((VLOOKUP($C63,装備品!$1:$998,COLUMN(D$1),FALSE)+IFERROR(VLOOKUP($CI63,付与!$1:$1167,COLUMN(F$1),FALSE),0))*VLOOKUP($D63,素材!$1:$1016,COLUMN(D$1),FALSE),0),"")</f>
        <v>86</v>
      </c>
      <c r="G63">
        <f>IFERROR(ROUNDDOWN((VLOOKUP($C63,装備品!$1:$998,COLUMN(E$1),FALSE)+IFERROR(VLOOKUP($CI63,付与!$1:$1167,COLUMN(G$1),FALSE),0))*VLOOKUP($D63,素材!$1:$1016,COLUMN($E$1),FALSE),0),"")</f>
        <v>0</v>
      </c>
      <c r="H63">
        <f>IFERROR(ROUNDDOWN((VLOOKUP($C63,装備品!$1:$998,COLUMN(F$1),FALSE)+IFERROR(VLOOKUP($CI63,付与!$1:$1167,COLUMN(H$1),FALSE),0))*VLOOKUP($D63,素材!$1:$1016,COLUMN($E$1),FALSE),0),"")</f>
        <v>0</v>
      </c>
      <c r="I63">
        <f>IFERROR(ROUNDDOWN((VLOOKUP($C63,装備品!$1:$998,COLUMN(G$1),FALSE)+IFERROR(VLOOKUP($CI63,付与!$1:$1167,COLUMN(I$1),FALSE),0))*VLOOKUP($D63,素材!$1:$1016,COLUMN($E$1),FALSE),0),"")</f>
        <v>12</v>
      </c>
      <c r="J63">
        <f>IFERROR(ROUNDDOWN((VLOOKUP($C63,装備品!$1:$998,COLUMN(H$1),FALSE)+IFERROR(VLOOKUP($CI63,付与!$1:$1167,COLUMN(J$1),FALSE),0))*VLOOKUP($D63,素材!$1:$1016,COLUMN($E$1),FALSE),0),"")</f>
        <v>20</v>
      </c>
      <c r="K63">
        <f>IFERROR(ROUNDDOWN((VLOOKUP($C63,装備品!$1:$998,COLUMN(I$1),FALSE)+IFERROR(VLOOKUP($CI63,付与!$1:$1167,COLUMN(K$1),FALSE),0))*VLOOKUP($D63,素材!$1:$1016,COLUMN($E$1),FALSE),0),"")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IFERROR(VLOOKUP($C63,装備品!$1:$998,COLUMN(AA$1),FALSE)*VLOOKUP($D63,素材!$1:$1016,COLUMN($G$1),FALSE),"")</f>
        <v>0</v>
      </c>
      <c r="N63">
        <f>IFERROR(VLOOKUP($C63,装備品!$1:$998,COLUMN(I$1),FALSE),"")</f>
        <v>0</v>
      </c>
      <c r="O63" s="23">
        <f>IFERROR((VLOOKUP($C63,装備品!$1:$998,COLUMN(K$1),FALSE)+VLOOKUP($D63,素材!$1:$1016,COLUMN(H$1),FALSE))*100+IFERROR(VLOOKUP($CI63,付与!$1:$1167,COLUMN(O$1),FALSE),0),"")</f>
        <v>5</v>
      </c>
      <c r="P63" s="23">
        <f>IFERROR((VLOOKUP($C63,装備品!$1:$998,COLUMN(L$1),FALSE)+VLOOKUP($D63,素材!$1:$1016,COLUMN(I$1),FALSE))*100+IFERROR(VLOOKUP($CI63,付与!$1:$1167,COLUMN(P$1),FALSE),0),"")</f>
        <v>125</v>
      </c>
      <c r="Q63">
        <f>IFERROR(ROUNDUP(VLOOKUP($C63,装備品!$1:$998,COLUMN(M$1),FALSE)*(VLOOKUP($D63,素材!$1:$1002,COLUMN(D$1),FALSE)/100),1),"")</f>
        <v>-3.8000000000000003</v>
      </c>
      <c r="R63">
        <f>IFERROR(ROUNDUP(VLOOKUP($C63,装備品!$1:$998,COLUMN(N$1),FALSE)*(VLOOKUP($D63,素材!$1:$1002,COLUMN(D$1),FALSE)/100),1),"")</f>
        <v>0</v>
      </c>
      <c r="S63">
        <f>IFERROR(VLOOKUP($C63,装備品!$1:$998,COLUMN(P$1),FALSE),"")</f>
        <v>0</v>
      </c>
      <c r="T63">
        <f>IFERROR(VLOOKUP($C63,装備品!$1:$998,COLUMN(Q$1),FALSE),"")</f>
        <v>0</v>
      </c>
      <c r="U63">
        <f>IFERROR(VLOOKUP($C63,装備品!$1:$998,COLUMN(R$1),FALSE),"")</f>
        <v>0</v>
      </c>
      <c r="V63">
        <f>IFERROR(VLOOKUP($C63,装備品!$1:$998,COLUMN(Q$1),FALSE),"")</f>
        <v>0</v>
      </c>
      <c r="W63">
        <f>IFERROR(VLOOKUP($C63,装備品!$1:$998,COLUMN(T$1),FALSE),"")</f>
        <v>0</v>
      </c>
      <c r="Y63">
        <f>IFERROR(VLOOKUP($C63,装備品!$1:$998,COLUMN(U$1),FALSE),"")</f>
        <v>0</v>
      </c>
      <c r="Z63">
        <f>IFERROR(ROUNDUP(VLOOKUP($C63,装備品!$1:$998,COLUMN(O$1),FALSE)*VLOOKUP($D63,素材!$1:$1016,COLUMN(E$1),FALSE),1),"")</f>
        <v>0</v>
      </c>
      <c r="AA63">
        <f>IF(ISNUMBER(SEARCH(SUBSTITUTE(AA$1,RIGHT(AA$1,2),""),VLOOKUP($D63,素材!$1:$1016,COLUMN($F$1),FALSE))),VLOOKUP($C63,装備品!$1:$998,COLUMN($O$1),FALSE)*VLOOKUP($D63,素材!$1:$1016,COLUMN($E$1),FALSE)/(LEN(VLOOKUP($D63,素材!$1:$1016,COLUMN($F$1),FALSE))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IFERROR(VLOOKUP($C63,装備品!$1:$998,COLUMN(V$1),FALSE)*VLOOKUP($D63,素材!$1:$1016,COLUMN(N$1),FALSE)+IF(CI63="",0,VLOOKUP($CI63,付与!$1:$1176,COLUMN($CK$1),FALSE)),"")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IFERROR(VLOOKUP($D64,素材!$1:$1016,COLUMN($B$1),FALSE)&amp;"・"&amp;VLOOKUP($C64,装備品!$1:$998,COLUMN(B$1),FALSE),"")</f>
        <v>ウッド・ボウ</v>
      </c>
      <c r="C64" t="s">
        <v>217</v>
      </c>
      <c r="D64" s="24" t="s">
        <v>254</v>
      </c>
      <c r="E64" t="str">
        <f>IFERROR(VLOOKUP(C64,装備品!$1:$998,COLUMN(C$1),FALSE),"")</f>
        <v>武器</v>
      </c>
      <c r="F64">
        <f>IFERROR(ROUNDDOWN((VLOOKUP($C64,装備品!$1:$998,COLUMN(D$1),FALSE)+IFERROR(VLOOKUP($CI64,付与!$1:$1167,COLUMN(F$1),FALSE),0))*VLOOKUP($D64,素材!$1:$1016,COLUMN(D$1),FALSE),0),"")</f>
        <v>82</v>
      </c>
      <c r="G64">
        <f>IFERROR(ROUNDDOWN((VLOOKUP($C64,装備品!$1:$998,COLUMN(E$1),FALSE)+IFERROR(VLOOKUP($CI64,付与!$1:$1167,COLUMN(G$1),FALSE),0))*VLOOKUP($D64,素材!$1:$1016,COLUMN($E$1),FALSE),0),"")</f>
        <v>3</v>
      </c>
      <c r="H64">
        <f>IFERROR(ROUNDDOWN((VLOOKUP($C64,装備品!$1:$998,COLUMN(F$1),FALSE)+IFERROR(VLOOKUP($CI64,付与!$1:$1167,COLUMN(H$1),FALSE),0))*VLOOKUP($D64,素材!$1:$1016,COLUMN($E$1),FALSE),0),"")</f>
        <v>3</v>
      </c>
      <c r="I64">
        <f>IFERROR(ROUNDDOWN((VLOOKUP($C64,装備品!$1:$998,COLUMN(G$1),FALSE)+IFERROR(VLOOKUP($CI64,付与!$1:$1167,COLUMN(I$1),FALSE),0))*VLOOKUP($D64,素材!$1:$1016,COLUMN($E$1),FALSE),0),"")</f>
        <v>0</v>
      </c>
      <c r="J64">
        <f>IFERROR(ROUNDDOWN((VLOOKUP($C64,装備品!$1:$998,COLUMN(H$1),FALSE)+IFERROR(VLOOKUP($CI64,付与!$1:$1167,COLUMN(J$1),FALSE),0))*VLOOKUP($D64,素材!$1:$1016,COLUMN($E$1),FALSE),0),"")</f>
        <v>0</v>
      </c>
      <c r="K64">
        <f>IFERROR(ROUNDDOWN((VLOOKUP($C64,装備品!$1:$998,COLUMN(I$1),FALSE)+IFERROR(VLOOKUP($CI64,付与!$1:$1167,COLUMN(K$1),FALSE),0))*VLOOKUP($D64,素材!$1:$1016,COLUMN($E$1),FALSE),0),"")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IFERROR(VLOOKUP($C64,装備品!$1:$998,COLUMN(AA$1),FALSE)*VLOOKUP($D64,素材!$1:$1016,COLUMN($G$1),FALSE),"")</f>
        <v>0</v>
      </c>
      <c r="N64">
        <f>IFERROR(VLOOKUP($C64,装備品!$1:$998,COLUMN(I$1),FALSE),"")</f>
        <v>1</v>
      </c>
      <c r="O64" s="23">
        <f>IFERROR((VLOOKUP($C64,装備品!$1:$998,COLUMN(K$1),FALSE)+VLOOKUP($D64,素材!$1:$1016,COLUMN(H$1),FALSE))*100+IFERROR(VLOOKUP($CI64,付与!$1:$1167,COLUMN(O$1),FALSE),0),"")</f>
        <v>10</v>
      </c>
      <c r="P64" s="23">
        <f>IFERROR((VLOOKUP($C64,装備品!$1:$998,COLUMN(L$1),FALSE)+VLOOKUP($D64,素材!$1:$1016,COLUMN(I$1),FALSE))*100+IFERROR(VLOOKUP($CI64,付与!$1:$1167,COLUMN(P$1),FALSE),0),"")</f>
        <v>130</v>
      </c>
      <c r="Q64">
        <f>IFERROR(ROUNDUP(VLOOKUP($C64,装備品!$1:$998,COLUMN(M$1),FALSE)*(VLOOKUP($D64,素材!$1:$1002,COLUMN(D$1),FALSE)/100),1),"")</f>
        <v>-1.9000000000000001</v>
      </c>
      <c r="R64">
        <f>IFERROR(ROUNDUP(VLOOKUP($C64,装備品!$1:$998,COLUMN(N$1),FALSE)*(VLOOKUP($D64,素材!$1:$1002,COLUMN(D$1),FALSE)/100),1),"")</f>
        <v>0</v>
      </c>
      <c r="S64">
        <f>IFERROR(VLOOKUP($C64,装備品!$1:$998,COLUMN(P$1),FALSE),"")</f>
        <v>0</v>
      </c>
      <c r="T64">
        <f>IFERROR(VLOOKUP($C64,装備品!$1:$998,COLUMN(Q$1),FALSE),"")</f>
        <v>0</v>
      </c>
      <c r="U64">
        <f>IFERROR(VLOOKUP($C64,装備品!$1:$998,COLUMN(R$1),FALSE),"")</f>
        <v>0</v>
      </c>
      <c r="V64">
        <f>IFERROR(VLOOKUP($C64,装備品!$1:$998,COLUMN(Q$1),FALSE),"")</f>
        <v>0</v>
      </c>
      <c r="W64">
        <f>IFERROR(VLOOKUP($C64,装備品!$1:$998,COLUMN(T$1),FALSE),"")</f>
        <v>0</v>
      </c>
      <c r="Y64">
        <f>IFERROR(VLOOKUP($C64,装備品!$1:$998,COLUMN(U$1),FALSE),"")</f>
        <v>2</v>
      </c>
      <c r="Z64">
        <f>IFERROR(ROUNDUP(VLOOKUP($C64,装備品!$1:$998,COLUMN(O$1),FALSE)*VLOOKUP($D64,素材!$1:$1016,COLUMN(E$1),FALSE),1),"")</f>
        <v>0</v>
      </c>
      <c r="AA64">
        <f>IF(ISNUMBER(SEARCH(SUBSTITUTE(AA$1,RIGHT(AA$1,2),""),VLOOKUP($D64,素材!$1:$1016,COLUMN($F$1),FALSE))),VLOOKUP($C64,装備品!$1:$998,COLUMN($O$1),FALSE)*VLOOKUP($D64,素材!$1:$1016,COLUMN($E$1),FALSE)/(LEN(VLOOKUP($D64,素材!$1:$1016,COLUMN($F$1),FALSE))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IFERROR(VLOOKUP($C64,装備品!$1:$998,COLUMN(V$1),FALSE)*VLOOKUP($D64,素材!$1:$1016,COLUMN(N$1),FALSE)+IF(CI64="",0,VLOOKUP($CI64,付与!$1:$1176,COLUMN($CK$1),FALSE)),"")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IFERROR(VLOOKUP($D65,素材!$1:$1016,COLUMN($B$1),FALSE)&amp;"・"&amp;VLOOKUP($C65,装備品!$1:$998,COLUMN(B$1),FALSE),"")</f>
        <v>ウッド・ロングボウ</v>
      </c>
      <c r="C65" t="s">
        <v>216</v>
      </c>
      <c r="D65" s="24" t="s">
        <v>254</v>
      </c>
      <c r="E65" t="str">
        <f>IFERROR(VLOOKUP(C65,装備品!$1:$998,COLUMN(C$1),FALSE),"")</f>
        <v>武器</v>
      </c>
      <c r="F65">
        <f>IFERROR(ROUNDDOWN((VLOOKUP($C65,装備品!$1:$998,COLUMN(D$1),FALSE)+IFERROR(VLOOKUP($CI65,付与!$1:$1167,COLUMN(F$1),FALSE),0))*VLOOKUP($D65,素材!$1:$1016,COLUMN(D$1),FALSE),0),"")</f>
        <v>90</v>
      </c>
      <c r="G65">
        <f>IFERROR(ROUNDDOWN((VLOOKUP($C65,装備品!$1:$998,COLUMN(E$1),FALSE)+IFERROR(VLOOKUP($CI65,付与!$1:$1167,COLUMN(G$1),FALSE),0))*VLOOKUP($D65,素材!$1:$1016,COLUMN($E$1),FALSE),0),"")</f>
        <v>3</v>
      </c>
      <c r="H65">
        <f>IFERROR(ROUNDDOWN((VLOOKUP($C65,装備品!$1:$998,COLUMN(F$1),FALSE)+IFERROR(VLOOKUP($CI65,付与!$1:$1167,COLUMN(H$1),FALSE),0))*VLOOKUP($D65,素材!$1:$1016,COLUMN($E$1),FALSE),0),"")</f>
        <v>3</v>
      </c>
      <c r="I65">
        <f>IFERROR(ROUNDDOWN((VLOOKUP($C65,装備品!$1:$998,COLUMN(G$1),FALSE)+IFERROR(VLOOKUP($CI65,付与!$1:$1167,COLUMN(I$1),FALSE),0))*VLOOKUP($D65,素材!$1:$1016,COLUMN($E$1),FALSE),0),"")</f>
        <v>0</v>
      </c>
      <c r="J65">
        <f>IFERROR(ROUNDDOWN((VLOOKUP($C65,装備品!$1:$998,COLUMN(H$1),FALSE)+IFERROR(VLOOKUP($CI65,付与!$1:$1167,COLUMN(J$1),FALSE),0))*VLOOKUP($D65,素材!$1:$1016,COLUMN($E$1),FALSE),0),"")</f>
        <v>0</v>
      </c>
      <c r="K65">
        <f>IFERROR(ROUNDDOWN((VLOOKUP($C65,装備品!$1:$998,COLUMN(I$1),FALSE)+IFERROR(VLOOKUP($CI65,付与!$1:$1167,COLUMN(K$1),FALSE),0))*VLOOKUP($D65,素材!$1:$1016,COLUMN($E$1),FALSE),0),"")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IFERROR(VLOOKUP($C65,装備品!$1:$998,COLUMN(AA$1),FALSE)*VLOOKUP($D65,素材!$1:$1016,COLUMN($G$1),FALSE),"")</f>
        <v>0</v>
      </c>
      <c r="N65">
        <f>IFERROR(VLOOKUP($C65,装備品!$1:$998,COLUMN(I$1),FALSE),"")</f>
        <v>1.1499999999999999</v>
      </c>
      <c r="O65" s="23">
        <f>IFERROR((VLOOKUP($C65,装備品!$1:$998,COLUMN(K$1),FALSE)+VLOOKUP($D65,素材!$1:$1016,COLUMN(H$1),FALSE))*100+IFERROR(VLOOKUP($CI65,付与!$1:$1167,COLUMN(O$1),FALSE),0),"")</f>
        <v>10</v>
      </c>
      <c r="P65" s="23">
        <f>IFERROR((VLOOKUP($C65,装備品!$1:$998,COLUMN(L$1),FALSE)+VLOOKUP($D65,素材!$1:$1016,COLUMN(I$1),FALSE))*100+IFERROR(VLOOKUP($CI65,付与!$1:$1167,COLUMN(P$1),FALSE),0),"")</f>
        <v>130</v>
      </c>
      <c r="Q65">
        <f>IFERROR(ROUNDUP(VLOOKUP($C65,装備品!$1:$998,COLUMN(M$1),FALSE)*(VLOOKUP($D65,素材!$1:$1002,COLUMN(D$1),FALSE)/100),1),"")</f>
        <v>-3.8000000000000003</v>
      </c>
      <c r="R65">
        <f>IFERROR(ROUNDUP(VLOOKUP($C65,装備品!$1:$998,COLUMN(N$1),FALSE)*(VLOOKUP($D65,素材!$1:$1002,COLUMN(D$1),FALSE)/100),1),"")</f>
        <v>-1.9000000000000001</v>
      </c>
      <c r="S65">
        <f>IFERROR(VLOOKUP($C65,装備品!$1:$998,COLUMN(P$1),FALSE),"")</f>
        <v>0</v>
      </c>
      <c r="T65">
        <f>IFERROR(VLOOKUP($C65,装備品!$1:$998,COLUMN(Q$1),FALSE),"")</f>
        <v>0</v>
      </c>
      <c r="U65">
        <f>IFERROR(VLOOKUP($C65,装備品!$1:$998,COLUMN(R$1),FALSE),"")</f>
        <v>0</v>
      </c>
      <c r="V65">
        <f>IFERROR(VLOOKUP($C65,装備品!$1:$998,COLUMN(Q$1),FALSE),"")</f>
        <v>0</v>
      </c>
      <c r="W65">
        <f>IFERROR(VLOOKUP($C65,装備品!$1:$998,COLUMN(T$1),FALSE),"")</f>
        <v>0</v>
      </c>
      <c r="Y65">
        <f>IFERROR(VLOOKUP($C65,装備品!$1:$998,COLUMN(U$1),FALSE),"")</f>
        <v>2</v>
      </c>
      <c r="Z65">
        <f>IFERROR(ROUNDUP(VLOOKUP($C65,装備品!$1:$998,COLUMN(O$1),FALSE)*VLOOKUP($D65,素材!$1:$1016,COLUMN(E$1),FALSE),1),"")</f>
        <v>0</v>
      </c>
      <c r="AA65">
        <f>IF(ISNUMBER(SEARCH(SUBSTITUTE(AA$1,RIGHT(AA$1,2),""),VLOOKUP($D65,素材!$1:$1016,COLUMN($F$1),FALSE))),VLOOKUP($C65,装備品!$1:$998,COLUMN($O$1),FALSE)*VLOOKUP($D65,素材!$1:$1016,COLUMN($E$1),FALSE)/(LEN(VLOOKUP($D65,素材!$1:$1016,COLUMN($F$1),FALSE))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IFERROR(VLOOKUP($C65,装備品!$1:$998,COLUMN(V$1),FALSE)*VLOOKUP($D65,素材!$1:$1016,COLUMN(N$1),FALSE)+IF(CI65="",0,VLOOKUP($CI65,付与!$1:$1176,COLUMN($CK$1),FALSE)),"")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IFERROR(VLOOKUP($D66,素材!$1:$1016,COLUMN($B$1),FALSE)&amp;"・"&amp;VLOOKUP($C66,装備品!$1:$998,COLUMN(B$1),FALSE),"")</f>
        <v>ウッド・ロッド</v>
      </c>
      <c r="C66" t="s">
        <v>215</v>
      </c>
      <c r="D66" s="24" t="s">
        <v>254</v>
      </c>
      <c r="E66" t="str">
        <f>IFERROR(VLOOKUP(C66,装備品!$1:$998,COLUMN(C$1),FALSE),"")</f>
        <v>杖</v>
      </c>
      <c r="F66">
        <f>IFERROR(ROUNDDOWN((VLOOKUP($C66,装備品!$1:$998,COLUMN(D$1),FALSE)+IFERROR(VLOOKUP($CI66,付与!$1:$1167,COLUMN(F$1),FALSE),0))*VLOOKUP($D66,素材!$1:$1016,COLUMN(D$1),FALSE),0),"")</f>
        <v>82</v>
      </c>
      <c r="G66">
        <f>IFERROR(ROUNDDOWN((VLOOKUP($C66,装備品!$1:$998,COLUMN(E$1),FALSE)+IFERROR(VLOOKUP($CI66,付与!$1:$1167,COLUMN(G$1),FALSE),0))*VLOOKUP($D66,素材!$1:$1016,COLUMN($E$1),FALSE),0),"")</f>
        <v>0</v>
      </c>
      <c r="H66">
        <f>IFERROR(ROUNDDOWN((VLOOKUP($C66,装備品!$1:$998,COLUMN(F$1),FALSE)+IFERROR(VLOOKUP($CI66,付与!$1:$1167,COLUMN(H$1),FALSE),0))*VLOOKUP($D66,素材!$1:$1016,COLUMN($E$1),FALSE),0),"")</f>
        <v>3</v>
      </c>
      <c r="I66">
        <f>IFERROR(ROUNDDOWN((VLOOKUP($C66,装備品!$1:$998,COLUMN(G$1),FALSE)+IFERROR(VLOOKUP($CI66,付与!$1:$1167,COLUMN(I$1),FALSE),0))*VLOOKUP($D66,素材!$1:$1016,COLUMN($E$1),FALSE),0),"")</f>
        <v>10</v>
      </c>
      <c r="J66">
        <f>IFERROR(ROUNDDOWN((VLOOKUP($C66,装備品!$1:$998,COLUMN(H$1),FALSE)+IFERROR(VLOOKUP($CI66,付与!$1:$1167,COLUMN(J$1),FALSE),0))*VLOOKUP($D66,素材!$1:$1016,COLUMN($E$1),FALSE),0),"")</f>
        <v>13</v>
      </c>
      <c r="K66">
        <f>IFERROR(ROUNDDOWN((VLOOKUP($C66,装備品!$1:$998,COLUMN(I$1),FALSE)+IFERROR(VLOOKUP($CI66,付与!$1:$1167,COLUMN(K$1),FALSE),0))*VLOOKUP($D66,素材!$1:$1016,COLUMN($E$1),FALSE),0),"")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IFERROR(VLOOKUP($C66,装備品!$1:$998,COLUMN(AA$1),FALSE)*VLOOKUP($D66,素材!$1:$1016,COLUMN($G$1),FALSE),"")</f>
        <v>0</v>
      </c>
      <c r="N66">
        <f>IFERROR(VLOOKUP($C66,装備品!$1:$998,COLUMN(I$1),FALSE),"")</f>
        <v>0</v>
      </c>
      <c r="O66" s="23">
        <f>IFERROR((VLOOKUP($C66,装備品!$1:$998,COLUMN(K$1),FALSE)+VLOOKUP($D66,素材!$1:$1016,COLUMN(H$1),FALSE))*100+IFERROR(VLOOKUP($CI66,付与!$1:$1167,COLUMN(O$1),FALSE),0),"")</f>
        <v>5</v>
      </c>
      <c r="P66" s="23">
        <f>IFERROR((VLOOKUP($C66,装備品!$1:$998,COLUMN(L$1),FALSE)+VLOOKUP($D66,素材!$1:$1016,COLUMN(I$1),FALSE))*100+IFERROR(VLOOKUP($CI66,付与!$1:$1167,COLUMN(P$1),FALSE),0),"")</f>
        <v>150</v>
      </c>
      <c r="Q66">
        <f>IFERROR(ROUNDUP(VLOOKUP($C66,装備品!$1:$998,COLUMN(M$1),FALSE)*(VLOOKUP($D66,素材!$1:$1002,COLUMN(D$1),FALSE)/100),1),"")</f>
        <v>0</v>
      </c>
      <c r="R66">
        <f>IFERROR(ROUNDUP(VLOOKUP($C66,装備品!$1:$998,COLUMN(N$1),FALSE)*(VLOOKUP($D66,素材!$1:$1002,COLUMN(D$1),FALSE)/100),1),"")</f>
        <v>0</v>
      </c>
      <c r="S66">
        <f>IFERROR(VLOOKUP($C66,装備品!$1:$998,COLUMN(P$1),FALSE),"")</f>
        <v>0</v>
      </c>
      <c r="T66">
        <f>IFERROR(VLOOKUP($C66,装備品!$1:$998,COLUMN(Q$1),FALSE),"")</f>
        <v>0</v>
      </c>
      <c r="U66">
        <f>IFERROR(VLOOKUP($C66,装備品!$1:$998,COLUMN(R$1),FALSE),"")</f>
        <v>0</v>
      </c>
      <c r="V66">
        <f>IFERROR(VLOOKUP($C66,装備品!$1:$998,COLUMN(Q$1),FALSE),"")</f>
        <v>0</v>
      </c>
      <c r="W66">
        <f>IFERROR(VLOOKUP($C66,装備品!$1:$998,COLUMN(T$1),FALSE),"")</f>
        <v>0</v>
      </c>
      <c r="Y66">
        <f>IFERROR(VLOOKUP($C66,装備品!$1:$998,COLUMN(U$1),FALSE),"")</f>
        <v>0</v>
      </c>
      <c r="Z66">
        <f>IFERROR(ROUNDUP(VLOOKUP($C66,装備品!$1:$998,COLUMN(O$1),FALSE)*VLOOKUP($D66,素材!$1:$1016,COLUMN(E$1),FALSE),1),"")</f>
        <v>0</v>
      </c>
      <c r="AA66">
        <f>IF(ISNUMBER(SEARCH(SUBSTITUTE(AA$1,RIGHT(AA$1,2),""),VLOOKUP($D66,素材!$1:$1016,COLUMN($F$1),FALSE))),VLOOKUP($C66,装備品!$1:$998,COLUMN($O$1),FALSE)*VLOOKUP($D66,素材!$1:$1016,COLUMN($E$1),FALSE)/(LEN(VLOOKUP($D66,素材!$1:$1016,COLUMN($F$1),FALSE))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IFERROR(VLOOKUP($C66,装備品!$1:$998,COLUMN(V$1),FALSE)*VLOOKUP($D66,素材!$1:$1016,COLUMN(N$1),FALSE)+IF(CI66="",0,VLOOKUP($CI66,付与!$1:$1176,COLUMN($CK$1),FALSE)),"")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IFERROR(VLOOKUP($D67,素材!$1:$1016,COLUMN($B$1),FALSE)&amp;"・"&amp;VLOOKUP($C67,装備品!$1:$998,COLUMN(B$1),FALSE),"")</f>
        <v>ウッド・スタッフ</v>
      </c>
      <c r="C67" t="s">
        <v>214</v>
      </c>
      <c r="D67" s="24" t="s">
        <v>254</v>
      </c>
      <c r="E67" t="str">
        <f>IFERROR(VLOOKUP(C67,装備品!$1:$998,COLUMN(C$1),FALSE),"")</f>
        <v>杖</v>
      </c>
      <c r="F67">
        <f>IFERROR(ROUNDDOWN((VLOOKUP($C67,装備品!$1:$998,COLUMN(D$1),FALSE)+IFERROR(VLOOKUP($CI67,付与!$1:$1167,COLUMN(F$1),FALSE),0))*VLOOKUP($D67,素材!$1:$1016,COLUMN(D$1),FALSE),0),"")</f>
        <v>86</v>
      </c>
      <c r="G67">
        <f>IFERROR(ROUNDDOWN((VLOOKUP($C67,装備品!$1:$998,COLUMN(E$1),FALSE)+IFERROR(VLOOKUP($CI67,付与!$1:$1167,COLUMN(G$1),FALSE),0))*VLOOKUP($D67,素材!$1:$1016,COLUMN($E$1),FALSE),0),"")</f>
        <v>0</v>
      </c>
      <c r="H67">
        <f>IFERROR(ROUNDDOWN((VLOOKUP($C67,装備品!$1:$998,COLUMN(F$1),FALSE)+IFERROR(VLOOKUP($CI67,付与!$1:$1167,COLUMN(H$1),FALSE),0))*VLOOKUP($D67,素材!$1:$1016,COLUMN($E$1),FALSE),0),"")</f>
        <v>4</v>
      </c>
      <c r="I67">
        <f>IFERROR(ROUNDDOWN((VLOOKUP($C67,装備品!$1:$998,COLUMN(G$1),FALSE)+IFERROR(VLOOKUP($CI67,付与!$1:$1167,COLUMN(I$1),FALSE),0))*VLOOKUP($D67,素材!$1:$1016,COLUMN($E$1),FALSE),0),"")</f>
        <v>12</v>
      </c>
      <c r="J67">
        <f>IFERROR(ROUNDDOWN((VLOOKUP($C67,装備品!$1:$998,COLUMN(H$1),FALSE)+IFERROR(VLOOKUP($CI67,付与!$1:$1167,COLUMN(J$1),FALSE),0))*VLOOKUP($D67,素材!$1:$1016,COLUMN($E$1),FALSE),0),"")</f>
        <v>14</v>
      </c>
      <c r="K67">
        <f>IFERROR(ROUNDDOWN((VLOOKUP($C67,装備品!$1:$998,COLUMN(I$1),FALSE)+IFERROR(VLOOKUP($CI67,付与!$1:$1167,COLUMN(K$1),FALSE),0))*VLOOKUP($D67,素材!$1:$1016,COLUMN($E$1),FALSE),0),"")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IFERROR(VLOOKUP($C67,装備品!$1:$998,COLUMN(AA$1),FALSE)*VLOOKUP($D67,素材!$1:$1016,COLUMN($G$1),FALSE),"")</f>
        <v>0</v>
      </c>
      <c r="N67">
        <f>IFERROR(VLOOKUP($C67,装備品!$1:$998,COLUMN(I$1),FALSE),"")</f>
        <v>0</v>
      </c>
      <c r="O67" s="23">
        <f>IFERROR((VLOOKUP($C67,装備品!$1:$998,COLUMN(K$1),FALSE)+VLOOKUP($D67,素材!$1:$1016,COLUMN(H$1),FALSE))*100+IFERROR(VLOOKUP($CI67,付与!$1:$1167,COLUMN(O$1),FALSE),0),"")</f>
        <v>5</v>
      </c>
      <c r="P67" s="23">
        <f>IFERROR((VLOOKUP($C67,装備品!$1:$998,COLUMN(L$1),FALSE)+VLOOKUP($D67,素材!$1:$1016,COLUMN(I$1),FALSE))*100+IFERROR(VLOOKUP($CI67,付与!$1:$1167,COLUMN(P$1),FALSE),0),"")</f>
        <v>150</v>
      </c>
      <c r="Q67">
        <f>IFERROR(ROUNDUP(VLOOKUP($C67,装備品!$1:$998,COLUMN(M$1),FALSE)*(VLOOKUP($D67,素材!$1:$1002,COLUMN(D$1),FALSE)/100),1),"")</f>
        <v>-3</v>
      </c>
      <c r="R67">
        <f>IFERROR(ROUNDUP(VLOOKUP($C67,装備品!$1:$998,COLUMN(N$1),FALSE)*(VLOOKUP($D67,素材!$1:$1002,COLUMN(D$1),FALSE)/100),1),"")</f>
        <v>-3</v>
      </c>
      <c r="S67">
        <f>IFERROR(VLOOKUP($C67,装備品!$1:$998,COLUMN(P$1),FALSE),"")</f>
        <v>0</v>
      </c>
      <c r="T67">
        <f>IFERROR(VLOOKUP($C67,装備品!$1:$998,COLUMN(Q$1),FALSE),"")</f>
        <v>0</v>
      </c>
      <c r="U67">
        <f>IFERROR(VLOOKUP($C67,装備品!$1:$998,COLUMN(R$1),FALSE),"")</f>
        <v>0</v>
      </c>
      <c r="V67">
        <f>IFERROR(VLOOKUP($C67,装備品!$1:$998,COLUMN(Q$1),FALSE),"")</f>
        <v>0</v>
      </c>
      <c r="W67">
        <f>IFERROR(VLOOKUP($C67,装備品!$1:$998,COLUMN(T$1),FALSE),"")</f>
        <v>0</v>
      </c>
      <c r="Y67">
        <f>IFERROR(VLOOKUP($C67,装備品!$1:$998,COLUMN(U$1),FALSE),"")</f>
        <v>0</v>
      </c>
      <c r="Z67">
        <f>IFERROR(ROUNDUP(VLOOKUP($C67,装備品!$1:$998,COLUMN(O$1),FALSE)*VLOOKUP($D67,素材!$1:$1016,COLUMN(E$1),FALSE),1),"")</f>
        <v>0</v>
      </c>
      <c r="AA67">
        <f>IF(ISNUMBER(SEARCH(SUBSTITUTE(AA$1,RIGHT(AA$1,2),""),VLOOKUP($D67,素材!$1:$1016,COLUMN($F$1),FALSE))),VLOOKUP($C67,装備品!$1:$998,COLUMN($O$1),FALSE)*VLOOKUP($D67,素材!$1:$1016,COLUMN($E$1),FALSE)/(LEN(VLOOKUP($D67,素材!$1:$1016,COLUMN($F$1),FALSE))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IFERROR(VLOOKUP($C67,装備品!$1:$998,COLUMN(V$1),FALSE)*VLOOKUP($D67,素材!$1:$1016,COLUMN(N$1),FALSE)+IF(CI67="",0,VLOOKUP($CI67,付与!$1:$1176,COLUMN($CK$1),FALSE)),"")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IFERROR(VLOOKUP($D68,素材!$1:$1016,COLUMN($B$1),FALSE)&amp;"・"&amp;VLOOKUP($C68,装備品!$1:$998,COLUMN(B$1),FALSE),"")</f>
        <v>ウッド・ライトクロスボウ</v>
      </c>
      <c r="C68" t="s">
        <v>213</v>
      </c>
      <c r="D68" s="24" t="s">
        <v>254</v>
      </c>
      <c r="E68" t="str">
        <f>IFERROR(VLOOKUP(C68,装備品!$1:$998,COLUMN(C$1),FALSE),"")</f>
        <v>銃</v>
      </c>
      <c r="F68">
        <f>IFERROR(ROUNDDOWN((VLOOKUP($C68,装備品!$1:$998,COLUMN(D$1),FALSE)+IFERROR(VLOOKUP($CI68,付与!$1:$1167,COLUMN(F$1),FALSE),0))*VLOOKUP($D68,素材!$1:$1016,COLUMN(D$1),FALSE),0),"")</f>
        <v>75</v>
      </c>
      <c r="G68">
        <f>IFERROR(ROUNDDOWN((VLOOKUP($C68,装備品!$1:$998,COLUMN(E$1),FALSE)+IFERROR(VLOOKUP($CI68,付与!$1:$1167,COLUMN(G$1),FALSE),0))*VLOOKUP($D68,素材!$1:$1016,COLUMN($E$1),FALSE),0),"")</f>
        <v>0</v>
      </c>
      <c r="H68">
        <f>IFERROR(ROUNDDOWN((VLOOKUP($C68,装備品!$1:$998,COLUMN(F$1),FALSE)+IFERROR(VLOOKUP($CI68,付与!$1:$1167,COLUMN(H$1),FALSE),0))*VLOOKUP($D68,素材!$1:$1016,COLUMN($E$1),FALSE),0),"")</f>
        <v>0</v>
      </c>
      <c r="I68">
        <f>IFERROR(ROUNDDOWN((VLOOKUP($C68,装備品!$1:$998,COLUMN(G$1),FALSE)+IFERROR(VLOOKUP($CI68,付与!$1:$1167,COLUMN(I$1),FALSE),0))*VLOOKUP($D68,素材!$1:$1016,COLUMN($E$1),FALSE),0),"")</f>
        <v>0</v>
      </c>
      <c r="J68">
        <f>IFERROR(ROUNDDOWN((VLOOKUP($C68,装備品!$1:$998,COLUMN(H$1),FALSE)+IFERROR(VLOOKUP($CI68,付与!$1:$1167,COLUMN(J$1),FALSE),0))*VLOOKUP($D68,素材!$1:$1016,COLUMN($E$1),FALSE),0),"")</f>
        <v>0</v>
      </c>
      <c r="K68">
        <f>IFERROR(ROUNDDOWN((VLOOKUP($C68,装備品!$1:$998,COLUMN(I$1),FALSE)+IFERROR(VLOOKUP($CI68,付与!$1:$1167,COLUMN(K$1),FALSE),0))*VLOOKUP($D68,素材!$1:$1016,COLUMN($E$1),FALSE),0),"")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IFERROR(VLOOKUP($C68,装備品!$1:$998,COLUMN(AA$1),FALSE)*VLOOKUP($D68,素材!$1:$1016,COLUMN($G$1),FALSE),"")</f>
        <v>0</v>
      </c>
      <c r="N68">
        <f>IFERROR(VLOOKUP($C68,装備品!$1:$998,COLUMN(I$1),FALSE),"")</f>
        <v>2.7</v>
      </c>
      <c r="O68" s="23">
        <f>IFERROR((VLOOKUP($C68,装備品!$1:$998,COLUMN(K$1),FALSE)+VLOOKUP($D68,素材!$1:$1016,COLUMN(H$1),FALSE))*100+IFERROR(VLOOKUP($CI68,付与!$1:$1167,COLUMN(O$1),FALSE),0),"")</f>
        <v>10</v>
      </c>
      <c r="P68" s="23">
        <f>IFERROR((VLOOKUP($C68,装備品!$1:$998,COLUMN(L$1),FALSE)+VLOOKUP($D68,素材!$1:$1016,COLUMN(I$1),FALSE))*100+IFERROR(VLOOKUP($CI68,付与!$1:$1167,COLUMN(P$1),FALSE),0),"")</f>
        <v>150</v>
      </c>
      <c r="Q68">
        <f>IFERROR(ROUNDUP(VLOOKUP($C68,装備品!$1:$998,COLUMN(M$1),FALSE)*(VLOOKUP($D68,素材!$1:$1002,COLUMN(D$1),FALSE)/100),1),"")</f>
        <v>0</v>
      </c>
      <c r="R68">
        <f>IFERROR(ROUNDUP(VLOOKUP($C68,装備品!$1:$998,COLUMN(N$1),FALSE)*(VLOOKUP($D68,素材!$1:$1002,COLUMN(D$1),FALSE)/100),1),"")</f>
        <v>-11.299999999999999</v>
      </c>
      <c r="S68">
        <f>IFERROR(VLOOKUP($C68,装備品!$1:$998,COLUMN(P$1),FALSE),"")</f>
        <v>0</v>
      </c>
      <c r="T68">
        <f>IFERROR(VLOOKUP($C68,装備品!$1:$998,COLUMN(Q$1),FALSE),"")</f>
        <v>0</v>
      </c>
      <c r="U68">
        <f>IFERROR(VLOOKUP($C68,装備品!$1:$998,COLUMN(R$1),FALSE),"")</f>
        <v>0</v>
      </c>
      <c r="V68">
        <f>IFERROR(VLOOKUP($C68,装備品!$1:$998,COLUMN(Q$1),FALSE),"")</f>
        <v>0</v>
      </c>
      <c r="W68">
        <f>IFERROR(VLOOKUP($C68,装備品!$1:$998,COLUMN(T$1),FALSE),"")</f>
        <v>0</v>
      </c>
      <c r="Y68">
        <f>IFERROR(VLOOKUP($C68,装備品!$1:$998,COLUMN(U$1),FALSE),"")</f>
        <v>0</v>
      </c>
      <c r="Z68">
        <f>IFERROR(ROUNDUP(VLOOKUP($C68,装備品!$1:$998,COLUMN(O$1),FALSE)*VLOOKUP($D68,素材!$1:$1016,COLUMN(E$1),FALSE),1),"")</f>
        <v>0</v>
      </c>
      <c r="AA68">
        <f>IF(ISNUMBER(SEARCH(SUBSTITUTE(AA$1,RIGHT(AA$1,2),""),VLOOKUP($D68,素材!$1:$1016,COLUMN($F$1),FALSE))),VLOOKUP($C68,装備品!$1:$998,COLUMN($O$1),FALSE)*VLOOKUP($D68,素材!$1:$1016,COLUMN($E$1),FALSE)/(LEN(VLOOKUP($D68,素材!$1:$1016,COLUMN($F$1),FALSE))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IFERROR(VLOOKUP($C68,装備品!$1:$998,COLUMN(V$1),FALSE)*VLOOKUP($D68,素材!$1:$1016,COLUMN(N$1),FALSE)+IF(CI68="",0,VLOOKUP($CI68,付与!$1:$1176,COLUMN($CK$1),FALSE)),"")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IFERROR(VLOOKUP($D69,素材!$1:$1016,COLUMN($B$1),FALSE)&amp;"・"&amp;VLOOKUP($C69,装備品!$1:$998,COLUMN(B$1),FALSE),"")</f>
        <v>ウッド・クロスボウ</v>
      </c>
      <c r="C69" t="s">
        <v>212</v>
      </c>
      <c r="D69" s="24" t="s">
        <v>254</v>
      </c>
      <c r="E69" t="str">
        <f>IFERROR(VLOOKUP(C69,装備品!$1:$998,COLUMN(C$1),FALSE),"")</f>
        <v>銃</v>
      </c>
      <c r="F69">
        <f>IFERROR(ROUNDDOWN((VLOOKUP($C69,装備品!$1:$998,COLUMN(D$1),FALSE)+IFERROR(VLOOKUP($CI69,付与!$1:$1167,COLUMN(F$1),FALSE),0))*VLOOKUP($D69,素材!$1:$1016,COLUMN(D$1),FALSE),0),"")</f>
        <v>75</v>
      </c>
      <c r="G69">
        <f>IFERROR(ROUNDDOWN((VLOOKUP($C69,装備品!$1:$998,COLUMN(E$1),FALSE)+IFERROR(VLOOKUP($CI69,付与!$1:$1167,COLUMN(G$1),FALSE),0))*VLOOKUP($D69,素材!$1:$1016,COLUMN($E$1),FALSE),0),"")</f>
        <v>0</v>
      </c>
      <c r="H69">
        <f>IFERROR(ROUNDDOWN((VLOOKUP($C69,装備品!$1:$998,COLUMN(F$1),FALSE)+IFERROR(VLOOKUP($CI69,付与!$1:$1167,COLUMN(H$1),FALSE),0))*VLOOKUP($D69,素材!$1:$1016,COLUMN($E$1),FALSE),0),"")</f>
        <v>0</v>
      </c>
      <c r="I69">
        <f>IFERROR(ROUNDDOWN((VLOOKUP($C69,装備品!$1:$998,COLUMN(G$1),FALSE)+IFERROR(VLOOKUP($CI69,付与!$1:$1167,COLUMN(I$1),FALSE),0))*VLOOKUP($D69,素材!$1:$1016,COLUMN($E$1),FALSE),0),"")</f>
        <v>0</v>
      </c>
      <c r="J69">
        <f>IFERROR(ROUNDDOWN((VLOOKUP($C69,装備品!$1:$998,COLUMN(H$1),FALSE)+IFERROR(VLOOKUP($CI69,付与!$1:$1167,COLUMN(J$1),FALSE),0))*VLOOKUP($D69,素材!$1:$1016,COLUMN($E$1),FALSE),0),"")</f>
        <v>0</v>
      </c>
      <c r="K69">
        <f>IFERROR(ROUNDDOWN((VLOOKUP($C69,装備品!$1:$998,COLUMN(I$1),FALSE)+IFERROR(VLOOKUP($CI69,付与!$1:$1167,COLUMN(K$1),FALSE),0))*VLOOKUP($D69,素材!$1:$1016,COLUMN($E$1),FALSE),0),"")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IFERROR(VLOOKUP($C69,装備品!$1:$998,COLUMN(AA$1),FALSE)*VLOOKUP($D69,素材!$1:$1016,COLUMN($G$1),FALSE),"")</f>
        <v>0</v>
      </c>
      <c r="N69">
        <f>IFERROR(VLOOKUP($C69,装備品!$1:$998,COLUMN(I$1),FALSE),"")</f>
        <v>3.9</v>
      </c>
      <c r="O69" s="23">
        <f>IFERROR((VLOOKUP($C69,装備品!$1:$998,COLUMN(K$1),FALSE)+VLOOKUP($D69,素材!$1:$1016,COLUMN(H$1),FALSE))*100+IFERROR(VLOOKUP($CI69,付与!$1:$1167,COLUMN(O$1),FALSE),0),"")</f>
        <v>10</v>
      </c>
      <c r="P69" s="23">
        <f>IFERROR((VLOOKUP($C69,装備品!$1:$998,COLUMN(L$1),FALSE)+VLOOKUP($D69,素材!$1:$1016,COLUMN(I$1),FALSE))*100+IFERROR(VLOOKUP($CI69,付与!$1:$1167,COLUMN(P$1),FALSE),0),"")</f>
        <v>150</v>
      </c>
      <c r="Q69">
        <f>IFERROR(ROUNDUP(VLOOKUP($C69,装備品!$1:$998,COLUMN(M$1),FALSE)*(VLOOKUP($D69,素材!$1:$1002,COLUMN(D$1),FALSE)/100),1),"")</f>
        <v>0</v>
      </c>
      <c r="R69">
        <f>IFERROR(ROUNDUP(VLOOKUP($C69,装備品!$1:$998,COLUMN(N$1),FALSE)*(VLOOKUP($D69,素材!$1:$1002,COLUMN(D$1),FALSE)/100),1),"")</f>
        <v>-11.299999999999999</v>
      </c>
      <c r="S69">
        <f>IFERROR(VLOOKUP($C69,装備品!$1:$998,COLUMN(P$1),FALSE),"")</f>
        <v>0</v>
      </c>
      <c r="T69">
        <f>IFERROR(VLOOKUP($C69,装備品!$1:$998,COLUMN(Q$1),FALSE),"")</f>
        <v>0</v>
      </c>
      <c r="U69">
        <f>IFERROR(VLOOKUP($C69,装備品!$1:$998,COLUMN(R$1),FALSE),"")</f>
        <v>0</v>
      </c>
      <c r="V69">
        <f>IFERROR(VLOOKUP($C69,装備品!$1:$998,COLUMN(Q$1),FALSE),"")</f>
        <v>0</v>
      </c>
      <c r="W69">
        <f>IFERROR(VLOOKUP($C69,装備品!$1:$998,COLUMN(T$1),FALSE),"")</f>
        <v>0</v>
      </c>
      <c r="Y69">
        <f>IFERROR(VLOOKUP($C69,装備品!$1:$998,COLUMN(U$1),FALSE),"")</f>
        <v>0</v>
      </c>
      <c r="Z69">
        <f>IFERROR(ROUNDUP(VLOOKUP($C69,装備品!$1:$998,COLUMN(O$1),FALSE)*VLOOKUP($D69,素材!$1:$1016,COLUMN(E$1),FALSE),1),"")</f>
        <v>0</v>
      </c>
      <c r="AA69">
        <f>IF(ISNUMBER(SEARCH(SUBSTITUTE(AA$1,RIGHT(AA$1,2),""),VLOOKUP($D69,素材!$1:$1016,COLUMN($F$1),FALSE))),VLOOKUP($C69,装備品!$1:$998,COLUMN($O$1),FALSE)*VLOOKUP($D69,素材!$1:$1016,COLUMN($E$1),FALSE)/(LEN(VLOOKUP($D69,素材!$1:$1016,COLUMN($F$1),FALSE))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IFERROR(VLOOKUP($C69,装備品!$1:$998,COLUMN(V$1),FALSE)*VLOOKUP($D69,素材!$1:$1016,COLUMN(N$1),FALSE)+IF(CI69="",0,VLOOKUP($CI69,付与!$1:$1176,COLUMN($CK$1),FALSE)),"")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IFERROR(VLOOKUP($D70,素材!$1:$1016,COLUMN($B$1),FALSE)&amp;"・"&amp;VLOOKUP($C70,装備品!$1:$998,COLUMN(B$1),FALSE),"")</f>
        <v>ウッド・リボルバー</v>
      </c>
      <c r="C70" t="s">
        <v>211</v>
      </c>
      <c r="D70" s="24" t="s">
        <v>254</v>
      </c>
      <c r="E70" t="str">
        <f>IFERROR(VLOOKUP(C70,装備品!$1:$998,COLUMN(C$1),FALSE),"")</f>
        <v>銃</v>
      </c>
      <c r="F70">
        <f>IFERROR(ROUNDDOWN((VLOOKUP($C70,装備品!$1:$998,COLUMN(D$1),FALSE)+IFERROR(VLOOKUP($CI70,付与!$1:$1167,COLUMN(F$1),FALSE),0))*VLOOKUP($D70,素材!$1:$1016,COLUMN(D$1),FALSE),0),"")</f>
        <v>75</v>
      </c>
      <c r="G70">
        <f>IFERROR(ROUNDDOWN((VLOOKUP($C70,装備品!$1:$998,COLUMN(E$1),FALSE)+IFERROR(VLOOKUP($CI70,付与!$1:$1167,COLUMN(G$1),FALSE),0))*VLOOKUP($D70,素材!$1:$1016,COLUMN($E$1),FALSE),0),"")</f>
        <v>0</v>
      </c>
      <c r="H70">
        <f>IFERROR(ROUNDDOWN((VLOOKUP($C70,装備品!$1:$998,COLUMN(F$1),FALSE)+IFERROR(VLOOKUP($CI70,付与!$1:$1167,COLUMN(H$1),FALSE),0))*VLOOKUP($D70,素材!$1:$1016,COLUMN($E$1),FALSE),0),"")</f>
        <v>0</v>
      </c>
      <c r="I70">
        <f>IFERROR(ROUNDDOWN((VLOOKUP($C70,装備品!$1:$998,COLUMN(G$1),FALSE)+IFERROR(VLOOKUP($CI70,付与!$1:$1167,COLUMN(I$1),FALSE),0))*VLOOKUP($D70,素材!$1:$1016,COLUMN($E$1),FALSE),0),"")</f>
        <v>0</v>
      </c>
      <c r="J70">
        <f>IFERROR(ROUNDDOWN((VLOOKUP($C70,装備品!$1:$998,COLUMN(H$1),FALSE)+IFERROR(VLOOKUP($CI70,付与!$1:$1167,COLUMN(J$1),FALSE),0))*VLOOKUP($D70,素材!$1:$1016,COLUMN($E$1),FALSE),0),"")</f>
        <v>0</v>
      </c>
      <c r="K70">
        <f>IFERROR(ROUNDDOWN((VLOOKUP($C70,装備品!$1:$998,COLUMN(I$1),FALSE)+IFERROR(VLOOKUP($CI70,付与!$1:$1167,COLUMN(K$1),FALSE),0))*VLOOKUP($D70,素材!$1:$1016,COLUMN($E$1),FALSE),0),"")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IFERROR(VLOOKUP($C70,装備品!$1:$998,COLUMN(AA$1),FALSE)*VLOOKUP($D70,素材!$1:$1016,COLUMN($G$1),FALSE),"")</f>
        <v>0</v>
      </c>
      <c r="N70">
        <f>IFERROR(VLOOKUP($C70,装備品!$1:$998,COLUMN(I$1),FALSE),"")</f>
        <v>2.5700000000000003</v>
      </c>
      <c r="O70" s="23">
        <f>IFERROR((VLOOKUP($C70,装備品!$1:$998,COLUMN(K$1),FALSE)+VLOOKUP($D70,素材!$1:$1016,COLUMN(H$1),FALSE))*100+IFERROR(VLOOKUP($CI70,付与!$1:$1167,COLUMN(O$1),FALSE),0),"")</f>
        <v>10</v>
      </c>
      <c r="P70" s="23">
        <f>IFERROR((VLOOKUP($C70,装備品!$1:$998,COLUMN(L$1),FALSE)+VLOOKUP($D70,素材!$1:$1016,COLUMN(I$1),FALSE))*100+IFERROR(VLOOKUP($CI70,付与!$1:$1167,COLUMN(P$1),FALSE),0),"")</f>
        <v>140</v>
      </c>
      <c r="Q70">
        <f>IFERROR(ROUNDUP(VLOOKUP($C70,装備品!$1:$998,COLUMN(M$1),FALSE)*(VLOOKUP($D70,素材!$1:$1002,COLUMN(D$1),FALSE)/100),1),"")</f>
        <v>0</v>
      </c>
      <c r="R70">
        <f>IFERROR(ROUNDUP(VLOOKUP($C70,装備品!$1:$998,COLUMN(N$1),FALSE)*(VLOOKUP($D70,素材!$1:$1002,COLUMN(D$1),FALSE)/100),1),"")</f>
        <v>-18.8</v>
      </c>
      <c r="S70">
        <f>IFERROR(VLOOKUP($C70,装備品!$1:$998,COLUMN(P$1),FALSE),"")</f>
        <v>0</v>
      </c>
      <c r="T70">
        <f>IFERROR(VLOOKUP($C70,装備品!$1:$998,COLUMN(Q$1),FALSE),"")</f>
        <v>0</v>
      </c>
      <c r="U70">
        <f>IFERROR(VLOOKUP($C70,装備品!$1:$998,COLUMN(R$1),FALSE),"")</f>
        <v>0</v>
      </c>
      <c r="V70">
        <f>IFERROR(VLOOKUP($C70,装備品!$1:$998,COLUMN(Q$1),FALSE),"")</f>
        <v>0</v>
      </c>
      <c r="W70">
        <f>IFERROR(VLOOKUP($C70,装備品!$1:$998,COLUMN(T$1),FALSE),"")</f>
        <v>0</v>
      </c>
      <c r="Y70">
        <f>IFERROR(VLOOKUP($C70,装備品!$1:$998,COLUMN(U$1),FALSE),"")</f>
        <v>0</v>
      </c>
      <c r="Z70">
        <f>IFERROR(ROUNDUP(VLOOKUP($C70,装備品!$1:$998,COLUMN(O$1),FALSE)*VLOOKUP($D70,素材!$1:$1016,COLUMN(E$1),FALSE),1),"")</f>
        <v>0</v>
      </c>
      <c r="AA70">
        <f>IF(ISNUMBER(SEARCH(SUBSTITUTE(AA$1,RIGHT(AA$1,2),""),VLOOKUP($D70,素材!$1:$1016,COLUMN($F$1),FALSE))),VLOOKUP($C70,装備品!$1:$998,COLUMN($O$1),FALSE)*VLOOKUP($D70,素材!$1:$1016,COLUMN($E$1),FALSE)/(LEN(VLOOKUP($D70,素材!$1:$1016,COLUMN($F$1),FALSE))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IFERROR(VLOOKUP($C70,装備品!$1:$998,COLUMN(V$1),FALSE)*VLOOKUP($D70,素材!$1:$1016,COLUMN(N$1),FALSE)+IF(CI70="",0,VLOOKUP($CI70,付与!$1:$1176,COLUMN($CK$1),FALSE)),"")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IFERROR(VLOOKUP($D71,素材!$1:$1016,COLUMN($B$1),FALSE)&amp;"・"&amp;VLOOKUP($C71,装備品!$1:$998,COLUMN(B$1),FALSE),"")</f>
        <v>ウッド・ハンドガン</v>
      </c>
      <c r="C71" t="s">
        <v>210</v>
      </c>
      <c r="D71" s="24" t="s">
        <v>254</v>
      </c>
      <c r="E71" t="str">
        <f>IFERROR(VLOOKUP(C71,装備品!$1:$998,COLUMN(C$1),FALSE),"")</f>
        <v>銃</v>
      </c>
      <c r="F71">
        <f>IFERROR(ROUNDDOWN((VLOOKUP($C71,装備品!$1:$998,COLUMN(D$1),FALSE)+IFERROR(VLOOKUP($CI71,付与!$1:$1167,COLUMN(F$1),FALSE),0))*VLOOKUP($D71,素材!$1:$1016,COLUMN(D$1),FALSE),0),"")</f>
        <v>75</v>
      </c>
      <c r="G71">
        <f>IFERROR(ROUNDDOWN((VLOOKUP($C71,装備品!$1:$998,COLUMN(E$1),FALSE)+IFERROR(VLOOKUP($CI71,付与!$1:$1167,COLUMN(G$1),FALSE),0))*VLOOKUP($D71,素材!$1:$1016,COLUMN($E$1),FALSE),0),"")</f>
        <v>0</v>
      </c>
      <c r="H71">
        <f>IFERROR(ROUNDDOWN((VLOOKUP($C71,装備品!$1:$998,COLUMN(F$1),FALSE)+IFERROR(VLOOKUP($CI71,付与!$1:$1167,COLUMN(H$1),FALSE),0))*VLOOKUP($D71,素材!$1:$1016,COLUMN($E$1),FALSE),0),"")</f>
        <v>0</v>
      </c>
      <c r="I71">
        <f>IFERROR(ROUNDDOWN((VLOOKUP($C71,装備品!$1:$998,COLUMN(G$1),FALSE)+IFERROR(VLOOKUP($CI71,付与!$1:$1167,COLUMN(I$1),FALSE),0))*VLOOKUP($D71,素材!$1:$1016,COLUMN($E$1),FALSE),0),"")</f>
        <v>0</v>
      </c>
      <c r="J71">
        <f>IFERROR(ROUNDDOWN((VLOOKUP($C71,装備品!$1:$998,COLUMN(H$1),FALSE)+IFERROR(VLOOKUP($CI71,付与!$1:$1167,COLUMN(J$1),FALSE),0))*VLOOKUP($D71,素材!$1:$1016,COLUMN($E$1),FALSE),0),"")</f>
        <v>0</v>
      </c>
      <c r="K71">
        <f>IFERROR(ROUNDDOWN((VLOOKUP($C71,装備品!$1:$998,COLUMN(I$1),FALSE)+IFERROR(VLOOKUP($CI71,付与!$1:$1167,COLUMN(K$1),FALSE),0))*VLOOKUP($D71,素材!$1:$1016,COLUMN($E$1),FALSE),0),"")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IFERROR(VLOOKUP($C71,装備品!$1:$998,COLUMN(AA$1),FALSE)*VLOOKUP($D71,素材!$1:$1016,COLUMN($G$1),FALSE),"")</f>
        <v>0</v>
      </c>
      <c r="N71">
        <f>IFERROR(VLOOKUP($C71,装備品!$1:$998,COLUMN(I$1),FALSE),"")</f>
        <v>1.8</v>
      </c>
      <c r="O71" s="23">
        <f>IFERROR((VLOOKUP($C71,装備品!$1:$998,COLUMN(K$1),FALSE)+VLOOKUP($D71,素材!$1:$1016,COLUMN(H$1),FALSE))*100+IFERROR(VLOOKUP($CI71,付与!$1:$1167,COLUMN(O$1),FALSE),0),"")</f>
        <v>15</v>
      </c>
      <c r="P71" s="23">
        <f>IFERROR((VLOOKUP($C71,装備品!$1:$998,COLUMN(L$1),FALSE)+VLOOKUP($D71,素材!$1:$1016,COLUMN(I$1),FALSE))*100+IFERROR(VLOOKUP($CI71,付与!$1:$1167,COLUMN(P$1),FALSE),0),"")</f>
        <v>175</v>
      </c>
      <c r="Q71">
        <f>IFERROR(ROUNDUP(VLOOKUP($C71,装備品!$1:$998,COLUMN(M$1),FALSE)*(VLOOKUP($D71,素材!$1:$1002,COLUMN(D$1),FALSE)/100),1),"")</f>
        <v>0</v>
      </c>
      <c r="R71">
        <f>IFERROR(ROUNDUP(VLOOKUP($C71,装備品!$1:$998,COLUMN(N$1),FALSE)*(VLOOKUP($D71,素材!$1:$1002,COLUMN(D$1),FALSE)/100),1),"")</f>
        <v>-11.299999999999999</v>
      </c>
      <c r="S71">
        <f>IFERROR(VLOOKUP($C71,装備品!$1:$998,COLUMN(P$1),FALSE),"")</f>
        <v>0</v>
      </c>
      <c r="T71">
        <f>IFERROR(VLOOKUP($C71,装備品!$1:$998,COLUMN(Q$1),FALSE),"")</f>
        <v>0</v>
      </c>
      <c r="U71">
        <f>IFERROR(VLOOKUP($C71,装備品!$1:$998,COLUMN(R$1),FALSE),"")</f>
        <v>0</v>
      </c>
      <c r="V71">
        <f>IFERROR(VLOOKUP($C71,装備品!$1:$998,COLUMN(Q$1),FALSE),"")</f>
        <v>0</v>
      </c>
      <c r="W71">
        <f>IFERROR(VLOOKUP($C71,装備品!$1:$998,COLUMN(T$1),FALSE),"")</f>
        <v>0</v>
      </c>
      <c r="Y71">
        <f>IFERROR(VLOOKUP($C71,装備品!$1:$998,COLUMN(U$1),FALSE),"")</f>
        <v>0</v>
      </c>
      <c r="Z71">
        <f>IFERROR(ROUNDUP(VLOOKUP($C71,装備品!$1:$998,COLUMN(O$1),FALSE)*VLOOKUP($D71,素材!$1:$1016,COLUMN(E$1),FALSE),1),"")</f>
        <v>0</v>
      </c>
      <c r="AA71">
        <f>IF(ISNUMBER(SEARCH(SUBSTITUTE(AA$1,RIGHT(AA$1,2),""),VLOOKUP($D71,素材!$1:$1016,COLUMN($F$1),FALSE))),VLOOKUP($C71,装備品!$1:$998,COLUMN($O$1),FALSE)*VLOOKUP($D71,素材!$1:$1016,COLUMN($E$1),FALSE)/(LEN(VLOOKUP($D71,素材!$1:$1016,COLUMN($F$1),FALSE))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IFERROR(VLOOKUP($C71,装備品!$1:$998,COLUMN(V$1),FALSE)*VLOOKUP($D71,素材!$1:$1016,COLUMN(N$1),FALSE)+IF(CI71="",0,VLOOKUP($CI71,付与!$1:$1176,COLUMN($CK$1),FALSE)),"")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IFERROR(VLOOKUP($D72,素材!$1:$1016,COLUMN($B$1),FALSE)&amp;"・"&amp;VLOOKUP($C72,装備品!$1:$998,COLUMN(B$1),FALSE),"")</f>
        <v>ウッド・バイザーヘルム</v>
      </c>
      <c r="C72" t="s">
        <v>209</v>
      </c>
      <c r="D72" s="24" t="s">
        <v>254</v>
      </c>
      <c r="E72" t="str">
        <f>IFERROR(VLOOKUP(C72,装備品!$1:$998,COLUMN(C$1),FALSE),"")</f>
        <v>頭</v>
      </c>
      <c r="F72">
        <f>IFERROR(ROUNDDOWN((VLOOKUP($C72,装備品!$1:$998,COLUMN(D$1),FALSE)+IFERROR(VLOOKUP($CI72,付与!$1:$1167,COLUMN(F$1),FALSE),0))*VLOOKUP($D72,素材!$1:$1016,COLUMN(D$1),FALSE),0),"")</f>
        <v>0</v>
      </c>
      <c r="G72">
        <f>IFERROR(ROUNDDOWN((VLOOKUP($C72,装備品!$1:$998,COLUMN(E$1),FALSE)+IFERROR(VLOOKUP($CI72,付与!$1:$1167,COLUMN(G$1),FALSE),0))*VLOOKUP($D72,素材!$1:$1016,COLUMN($E$1),FALSE),0),"")</f>
        <v>0</v>
      </c>
      <c r="H72">
        <f>IFERROR(ROUNDDOWN((VLOOKUP($C72,装備品!$1:$998,COLUMN(F$1),FALSE)+IFERROR(VLOOKUP($CI72,付与!$1:$1167,COLUMN(H$1),FALSE),0))*VLOOKUP($D72,素材!$1:$1016,COLUMN($E$1),FALSE),0),"")</f>
        <v>0</v>
      </c>
      <c r="I72">
        <f>IFERROR(ROUNDDOWN((VLOOKUP($C72,装備品!$1:$998,COLUMN(G$1),FALSE)+IFERROR(VLOOKUP($CI72,付与!$1:$1167,COLUMN(I$1),FALSE),0))*VLOOKUP($D72,素材!$1:$1016,COLUMN($E$1),FALSE),0),"")</f>
        <v>12</v>
      </c>
      <c r="J72">
        <f>IFERROR(ROUNDDOWN((VLOOKUP($C72,装備品!$1:$998,COLUMN(H$1),FALSE)+IFERROR(VLOOKUP($CI72,付与!$1:$1167,COLUMN(J$1),FALSE),0))*VLOOKUP($D72,素材!$1:$1016,COLUMN($E$1),FALSE),0),"")</f>
        <v>0</v>
      </c>
      <c r="K72">
        <f>IFERROR(ROUNDDOWN((VLOOKUP($C72,装備品!$1:$998,COLUMN(I$1),FALSE)+IFERROR(VLOOKUP($CI72,付与!$1:$1167,COLUMN(K$1),FALSE),0))*VLOOKUP($D72,素材!$1:$1016,COLUMN($E$1),FALSE),0),"")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IFERROR(VLOOKUP($C72,装備品!$1:$998,COLUMN(AA$1),FALSE)*VLOOKUP($D72,素材!$1:$1016,COLUMN($G$1),FALSE),"")</f>
        <v>0</v>
      </c>
      <c r="N72">
        <f>IFERROR(VLOOKUP($C72,装備品!$1:$998,COLUMN(I$1),FALSE),"")</f>
        <v>0</v>
      </c>
      <c r="O72" s="23">
        <f>IFERROR((VLOOKUP($C72,装備品!$1:$998,COLUMN(K$1),FALSE)+VLOOKUP($D72,素材!$1:$1016,COLUMN(H$1),FALSE))*100+IFERROR(VLOOKUP($CI72,付与!$1:$1167,COLUMN(O$1),FALSE),0),"")</f>
        <v>5</v>
      </c>
      <c r="P72" s="23">
        <f>IFERROR((VLOOKUP($C72,装備品!$1:$998,COLUMN(L$1),FALSE)+VLOOKUP($D72,素材!$1:$1016,COLUMN(I$1),FALSE))*100+IFERROR(VLOOKUP($CI72,付与!$1:$1167,COLUMN(P$1),FALSE),0),"")</f>
        <v>125</v>
      </c>
      <c r="Q72">
        <f>IFERROR(ROUNDUP(VLOOKUP($C72,装備品!$1:$998,COLUMN(M$1),FALSE)*(VLOOKUP($D72,素材!$1:$1002,COLUMN(D$1),FALSE)/100),1),"")</f>
        <v>-5.6999999999999993</v>
      </c>
      <c r="R72">
        <f>IFERROR(ROUNDUP(VLOOKUP($C72,装備品!$1:$998,COLUMN(N$1),FALSE)*(VLOOKUP($D72,素材!$1:$1002,COLUMN(D$1),FALSE)/100),1),"")</f>
        <v>0</v>
      </c>
      <c r="S72">
        <f>IFERROR(VLOOKUP($C72,装備品!$1:$998,COLUMN(P$1),FALSE),"")</f>
        <v>0</v>
      </c>
      <c r="T72">
        <f>IFERROR(VLOOKUP($C72,装備品!$1:$998,COLUMN(Q$1),FALSE),"")</f>
        <v>0</v>
      </c>
      <c r="U72">
        <f>IFERROR(VLOOKUP($C72,装備品!$1:$998,COLUMN(R$1),FALSE),"")</f>
        <v>0</v>
      </c>
      <c r="V72">
        <f>IFERROR(VLOOKUP($C72,装備品!$1:$998,COLUMN(Q$1),FALSE),"")</f>
        <v>0</v>
      </c>
      <c r="W72">
        <f>IFERROR(VLOOKUP($C72,装備品!$1:$998,COLUMN(T$1),FALSE),"")</f>
        <v>0.35</v>
      </c>
      <c r="Y72">
        <f>IFERROR(VLOOKUP($C72,装備品!$1:$998,COLUMN(U$1),FALSE),"")</f>
        <v>0</v>
      </c>
      <c r="Z72">
        <f>IFERROR(ROUNDUP(VLOOKUP($C72,装備品!$1:$998,COLUMN(O$1),FALSE)*VLOOKUP($D72,素材!$1:$1016,COLUMN(E$1),FALSE),1),"")</f>
        <v>-450</v>
      </c>
      <c r="AA72">
        <f>IF(ISNUMBER(SEARCH(SUBSTITUTE(AA$1,RIGHT(AA$1,2),""),VLOOKUP($D72,素材!$1:$1016,COLUMN($F$1),FALSE))),VLOOKUP($C72,装備品!$1:$998,COLUMN($O$1),FALSE)*VLOOKUP($D72,素材!$1:$1016,COLUMN($E$1),FALSE)/(LEN(VLOOKUP($D72,素材!$1:$1016,COLUMN($F$1),FALSE))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IFERROR(VLOOKUP($C72,装備品!$1:$998,COLUMN(V$1),FALSE)*VLOOKUP($D72,素材!$1:$1016,COLUMN(N$1),FALSE)+IF(CI72="",0,VLOOKUP($CI72,付与!$1:$1176,COLUMN($CK$1),FALSE)),"")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IFERROR(VLOOKUP($D73,素材!$1:$1016,COLUMN($B$1),FALSE)&amp;"・"&amp;VLOOKUP($C73,装備品!$1:$998,COLUMN(B$1),FALSE),"")</f>
        <v>ウッド・ヘルム</v>
      </c>
      <c r="C73" t="s">
        <v>208</v>
      </c>
      <c r="D73" s="24" t="s">
        <v>254</v>
      </c>
      <c r="E73" t="str">
        <f>IFERROR(VLOOKUP(C73,装備品!$1:$998,COLUMN(C$1),FALSE),"")</f>
        <v>頭</v>
      </c>
      <c r="F73">
        <f>IFERROR(ROUNDDOWN((VLOOKUP($C73,装備品!$1:$998,COLUMN(D$1),FALSE)+IFERROR(VLOOKUP($CI73,付与!$1:$1167,COLUMN(F$1),FALSE),0))*VLOOKUP($D73,素材!$1:$1016,COLUMN(D$1),FALSE),0),"")</f>
        <v>0</v>
      </c>
      <c r="G73">
        <f>IFERROR(ROUNDDOWN((VLOOKUP($C73,装備品!$1:$998,COLUMN(E$1),FALSE)+IFERROR(VLOOKUP($CI73,付与!$1:$1167,COLUMN(G$1),FALSE),0))*VLOOKUP($D73,素材!$1:$1016,COLUMN($E$1),FALSE),0),"")</f>
        <v>0</v>
      </c>
      <c r="H73">
        <f>IFERROR(ROUNDDOWN((VLOOKUP($C73,装備品!$1:$998,COLUMN(F$1),FALSE)+IFERROR(VLOOKUP($CI73,付与!$1:$1167,COLUMN(H$1),FALSE),0))*VLOOKUP($D73,素材!$1:$1016,COLUMN($E$1),FALSE),0),"")</f>
        <v>0</v>
      </c>
      <c r="I73">
        <f>IFERROR(ROUNDDOWN((VLOOKUP($C73,装備品!$1:$998,COLUMN(G$1),FALSE)+IFERROR(VLOOKUP($CI73,付与!$1:$1167,COLUMN(I$1),FALSE),0))*VLOOKUP($D73,素材!$1:$1016,COLUMN($E$1),FALSE),0),"")</f>
        <v>12</v>
      </c>
      <c r="J73">
        <f>IFERROR(ROUNDDOWN((VLOOKUP($C73,装備品!$1:$998,COLUMN(H$1),FALSE)+IFERROR(VLOOKUP($CI73,付与!$1:$1167,COLUMN(J$1),FALSE),0))*VLOOKUP($D73,素材!$1:$1016,COLUMN($E$1),FALSE),0),"")</f>
        <v>0</v>
      </c>
      <c r="K73">
        <f>IFERROR(ROUNDDOWN((VLOOKUP($C73,装備品!$1:$998,COLUMN(I$1),FALSE)+IFERROR(VLOOKUP($CI73,付与!$1:$1167,COLUMN(K$1),FALSE),0))*VLOOKUP($D73,素材!$1:$1016,COLUMN($E$1),FALSE),0),"")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IFERROR(VLOOKUP($C73,装備品!$1:$998,COLUMN(AA$1),FALSE)*VLOOKUP($D73,素材!$1:$1016,COLUMN($G$1),FALSE),"")</f>
        <v>0</v>
      </c>
      <c r="N73">
        <f>IFERROR(VLOOKUP($C73,装備品!$1:$998,COLUMN(I$1),FALSE),"")</f>
        <v>0</v>
      </c>
      <c r="O73" s="23">
        <f>IFERROR((VLOOKUP($C73,装備品!$1:$998,COLUMN(K$1),FALSE)+VLOOKUP($D73,素材!$1:$1016,COLUMN(H$1),FALSE))*100+IFERROR(VLOOKUP($CI73,付与!$1:$1167,COLUMN(O$1),FALSE),0),"")</f>
        <v>5</v>
      </c>
      <c r="P73" s="23">
        <f>IFERROR((VLOOKUP($C73,装備品!$1:$998,COLUMN(L$1),FALSE)+VLOOKUP($D73,素材!$1:$1016,COLUMN(I$1),FALSE))*100+IFERROR(VLOOKUP($CI73,付与!$1:$1167,COLUMN(P$1),FALSE),0),"")</f>
        <v>125</v>
      </c>
      <c r="Q73">
        <f>IFERROR(ROUNDUP(VLOOKUP($C73,装備品!$1:$998,COLUMN(M$1),FALSE)*(VLOOKUP($D73,素材!$1:$1002,COLUMN(D$1),FALSE)/100),1),"")</f>
        <v>-3.8000000000000003</v>
      </c>
      <c r="R73">
        <f>IFERROR(ROUNDUP(VLOOKUP($C73,装備品!$1:$998,COLUMN(N$1),FALSE)*(VLOOKUP($D73,素材!$1:$1002,COLUMN(D$1),FALSE)/100),1),"")</f>
        <v>0</v>
      </c>
      <c r="S73">
        <f>IFERROR(VLOOKUP($C73,装備品!$1:$998,COLUMN(P$1),FALSE),"")</f>
        <v>0</v>
      </c>
      <c r="T73">
        <f>IFERROR(VLOOKUP($C73,装備品!$1:$998,COLUMN(Q$1),FALSE),"")</f>
        <v>0</v>
      </c>
      <c r="U73">
        <f>IFERROR(VLOOKUP($C73,装備品!$1:$998,COLUMN(R$1),FALSE),"")</f>
        <v>0</v>
      </c>
      <c r="V73">
        <f>IFERROR(VLOOKUP($C73,装備品!$1:$998,COLUMN(Q$1),FALSE),"")</f>
        <v>0</v>
      </c>
      <c r="W73">
        <f>IFERROR(VLOOKUP($C73,装備品!$1:$998,COLUMN(T$1),FALSE),"")</f>
        <v>0.25</v>
      </c>
      <c r="Y73">
        <f>IFERROR(VLOOKUP($C73,装備品!$1:$998,COLUMN(U$1),FALSE),"")</f>
        <v>0</v>
      </c>
      <c r="Z73">
        <f>IFERROR(ROUNDUP(VLOOKUP($C73,装備品!$1:$998,COLUMN(O$1),FALSE)*VLOOKUP($D73,素材!$1:$1016,COLUMN(E$1),FALSE),1),"")</f>
        <v>-225</v>
      </c>
      <c r="AA73">
        <f>IF(ISNUMBER(SEARCH(SUBSTITUTE(AA$1,RIGHT(AA$1,2),""),VLOOKUP($D73,素材!$1:$1016,COLUMN($F$1),FALSE))),VLOOKUP($C73,装備品!$1:$998,COLUMN($O$1),FALSE)*VLOOKUP($D73,素材!$1:$1016,COLUMN($E$1),FALSE)/(LEN(VLOOKUP($D73,素材!$1:$1016,COLUMN($F$1),FALSE))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IFERROR(VLOOKUP($C73,装備品!$1:$998,COLUMN(V$1),FALSE)*VLOOKUP($D73,素材!$1:$1016,COLUMN(N$1),FALSE)+IF(CI73="",0,VLOOKUP($CI73,付与!$1:$1176,COLUMN($CK$1),FALSE)),"")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IFERROR(VLOOKUP($D74,素材!$1:$1016,COLUMN($B$1),FALSE)&amp;"・"&amp;VLOOKUP($C74,装備品!$1:$998,COLUMN(B$1),FALSE),"")</f>
        <v>ウッド・アーマー</v>
      </c>
      <c r="C74" t="s">
        <v>207</v>
      </c>
      <c r="D74" s="24" t="s">
        <v>254</v>
      </c>
      <c r="E74" t="str">
        <f>IFERROR(VLOOKUP(C74,装備品!$1:$998,COLUMN(C$1),FALSE),"")</f>
        <v>体</v>
      </c>
      <c r="F74">
        <f>IFERROR(ROUNDDOWN((VLOOKUP($C74,装備品!$1:$998,COLUMN(D$1),FALSE)+IFERROR(VLOOKUP($CI74,付与!$1:$1167,COLUMN(F$1),FALSE),0))*VLOOKUP($D74,素材!$1:$1016,COLUMN(D$1),FALSE),0),"")</f>
        <v>0</v>
      </c>
      <c r="G74">
        <f>IFERROR(ROUNDDOWN((VLOOKUP($C74,装備品!$1:$998,COLUMN(E$1),FALSE)+IFERROR(VLOOKUP($CI74,付与!$1:$1167,COLUMN(G$1),FALSE),0))*VLOOKUP($D74,素材!$1:$1016,COLUMN($E$1),FALSE),0),"")</f>
        <v>0</v>
      </c>
      <c r="H74">
        <f>IFERROR(ROUNDDOWN((VLOOKUP($C74,装備品!$1:$998,COLUMN(F$1),FALSE)+IFERROR(VLOOKUP($CI74,付与!$1:$1167,COLUMN(H$1),FALSE),0))*VLOOKUP($D74,素材!$1:$1016,COLUMN($E$1),FALSE),0),"")</f>
        <v>0</v>
      </c>
      <c r="I74">
        <f>IFERROR(ROUNDDOWN((VLOOKUP($C74,装備品!$1:$998,COLUMN(G$1),FALSE)+IFERROR(VLOOKUP($CI74,付与!$1:$1167,COLUMN(I$1),FALSE),0))*VLOOKUP($D74,素材!$1:$1016,COLUMN($E$1),FALSE),0),"")</f>
        <v>0</v>
      </c>
      <c r="J74">
        <f>IFERROR(ROUNDDOWN((VLOOKUP($C74,装備品!$1:$998,COLUMN(H$1),FALSE)+IFERROR(VLOOKUP($CI74,付与!$1:$1167,COLUMN(J$1),FALSE),0))*VLOOKUP($D74,素材!$1:$1016,COLUMN($E$1),FALSE),0),"")</f>
        <v>0</v>
      </c>
      <c r="K74">
        <f>IFERROR(ROUNDDOWN((VLOOKUP($C74,装備品!$1:$998,COLUMN(I$1),FALSE)+IFERROR(VLOOKUP($CI74,付与!$1:$1167,COLUMN(K$1),FALSE),0))*VLOOKUP($D74,素材!$1:$1016,COLUMN($E$1),FALSE),0),"")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IFERROR(VLOOKUP($C74,装備品!$1:$998,COLUMN(AA$1),FALSE)*VLOOKUP($D74,素材!$1:$1016,COLUMN($G$1),FALSE),"")</f>
        <v>0</v>
      </c>
      <c r="N74">
        <f>IFERROR(VLOOKUP($C74,装備品!$1:$998,COLUMN(I$1),FALSE),"")</f>
        <v>0</v>
      </c>
      <c r="O74" s="23">
        <f>IFERROR((VLOOKUP($C74,装備品!$1:$998,COLUMN(K$1),FALSE)+VLOOKUP($D74,素材!$1:$1016,COLUMN(H$1),FALSE))*100+IFERROR(VLOOKUP($CI74,付与!$1:$1167,COLUMN(O$1),FALSE),0),"")</f>
        <v>0</v>
      </c>
      <c r="P74" s="23">
        <f>IFERROR((VLOOKUP($C74,装備品!$1:$998,COLUMN(L$1),FALSE)+VLOOKUP($D74,素材!$1:$1016,COLUMN(I$1),FALSE))*100+IFERROR(VLOOKUP($CI74,付与!$1:$1167,COLUMN(P$1),FALSE),0),"")</f>
        <v>0</v>
      </c>
      <c r="Q74">
        <f>IFERROR(ROUNDUP(VLOOKUP($C74,装備品!$1:$998,COLUMN(M$1),FALSE)*(VLOOKUP($D74,素材!$1:$1002,COLUMN(D$1),FALSE)/100),1),"")</f>
        <v>-11.299999999999999</v>
      </c>
      <c r="R74">
        <f>IFERROR(ROUNDUP(VLOOKUP($C74,装備品!$1:$998,COLUMN(N$1),FALSE)*(VLOOKUP($D74,素材!$1:$1002,COLUMN(D$1),FALSE)/100),1),"")</f>
        <v>0</v>
      </c>
      <c r="S74">
        <f>IFERROR(VLOOKUP($C74,装備品!$1:$998,COLUMN(P$1),FALSE),"")</f>
        <v>-35</v>
      </c>
      <c r="T74">
        <f>IFERROR(VLOOKUP($C74,装備品!$1:$998,COLUMN(Q$1),FALSE),"")</f>
        <v>0</v>
      </c>
      <c r="U74">
        <f>IFERROR(VLOOKUP($C74,装備品!$1:$998,COLUMN(R$1),FALSE),"")</f>
        <v>0</v>
      </c>
      <c r="V74">
        <f>IFERROR(VLOOKUP($C74,装備品!$1:$998,COLUMN(Q$1),FALSE),"")</f>
        <v>0</v>
      </c>
      <c r="W74">
        <f>IFERROR(VLOOKUP($C74,装備品!$1:$998,COLUMN(T$1),FALSE),"")</f>
        <v>0.7</v>
      </c>
      <c r="Y74">
        <f>IFERROR(VLOOKUP($C74,装備品!$1:$998,COLUMN(U$1),FALSE),"")</f>
        <v>0</v>
      </c>
      <c r="Z74">
        <f>IFERROR(ROUNDUP(VLOOKUP($C74,装備品!$1:$998,COLUMN(O$1),FALSE)*VLOOKUP($D74,素材!$1:$1016,COLUMN(E$1),FALSE),1),"")</f>
        <v>0</v>
      </c>
      <c r="AA74">
        <f>IF(ISNUMBER(SEARCH(SUBSTITUTE(AA$1,RIGHT(AA$1,2),""),VLOOKUP($D74,素材!$1:$1016,COLUMN($F$1),FALSE))),VLOOKUP($C74,装備品!$1:$998,COLUMN($O$1),FALSE)*VLOOKUP($D74,素材!$1:$1016,COLUMN($E$1),FALSE)/(LEN(VLOOKUP($D74,素材!$1:$1016,COLUMN($F$1),FALSE))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IFERROR(VLOOKUP($C74,装備品!$1:$998,COLUMN(V$1),FALSE)*VLOOKUP($D74,素材!$1:$1016,COLUMN(N$1),FALSE)+IF(CI74="",0,VLOOKUP($CI74,付与!$1:$1176,COLUMN($CK$1),FALSE)),"")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IFERROR(VLOOKUP($D75,素材!$1:$1016,COLUMN($B$1),FALSE)&amp;"・"&amp;VLOOKUP($C75,装備品!$1:$998,COLUMN(B$1),FALSE),"")</f>
        <v>ウッド・ベスト</v>
      </c>
      <c r="C75" t="s">
        <v>206</v>
      </c>
      <c r="D75" s="24" t="s">
        <v>254</v>
      </c>
      <c r="E75" t="str">
        <f>IFERROR(VLOOKUP(C75,装備品!$1:$998,COLUMN(C$1),FALSE),"")</f>
        <v>体</v>
      </c>
      <c r="F75">
        <f>IFERROR(ROUNDDOWN((VLOOKUP($C75,装備品!$1:$998,COLUMN(D$1),FALSE)+IFERROR(VLOOKUP($CI75,付与!$1:$1167,COLUMN(F$1),FALSE),0))*VLOOKUP($D75,素材!$1:$1016,COLUMN(D$1),FALSE),0),"")</f>
        <v>0</v>
      </c>
      <c r="G75">
        <f>IFERROR(ROUNDDOWN((VLOOKUP($C75,装備品!$1:$998,COLUMN(E$1),FALSE)+IFERROR(VLOOKUP($CI75,付与!$1:$1167,COLUMN(G$1),FALSE),0))*VLOOKUP($D75,素材!$1:$1016,COLUMN($E$1),FALSE),0),"")</f>
        <v>0</v>
      </c>
      <c r="H75">
        <f>IFERROR(ROUNDDOWN((VLOOKUP($C75,装備品!$1:$998,COLUMN(F$1),FALSE)+IFERROR(VLOOKUP($CI75,付与!$1:$1167,COLUMN(H$1),FALSE),0))*VLOOKUP($D75,素材!$1:$1016,COLUMN($E$1),FALSE),0),"")</f>
        <v>0</v>
      </c>
      <c r="I75">
        <f>IFERROR(ROUNDDOWN((VLOOKUP($C75,装備品!$1:$998,COLUMN(G$1),FALSE)+IFERROR(VLOOKUP($CI75,付与!$1:$1167,COLUMN(I$1),FALSE),0))*VLOOKUP($D75,素材!$1:$1016,COLUMN($E$1),FALSE),0),"")</f>
        <v>0</v>
      </c>
      <c r="J75">
        <f>IFERROR(ROUNDDOWN((VLOOKUP($C75,装備品!$1:$998,COLUMN(H$1),FALSE)+IFERROR(VLOOKUP($CI75,付与!$1:$1167,COLUMN(J$1),FALSE),0))*VLOOKUP($D75,素材!$1:$1016,COLUMN($E$1),FALSE),0),"")</f>
        <v>0</v>
      </c>
      <c r="K75">
        <f>IFERROR(ROUNDDOWN((VLOOKUP($C75,装備品!$1:$998,COLUMN(I$1),FALSE)+IFERROR(VLOOKUP($CI75,付与!$1:$1167,COLUMN(K$1),FALSE),0))*VLOOKUP($D75,素材!$1:$1016,COLUMN($E$1),FALSE),0),"")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IFERROR(VLOOKUP($C75,装備品!$1:$998,COLUMN(AA$1),FALSE)*VLOOKUP($D75,素材!$1:$1016,COLUMN($G$1),FALSE),"")</f>
        <v>0</v>
      </c>
      <c r="N75">
        <f>IFERROR(VLOOKUP($C75,装備品!$1:$998,COLUMN(I$1),FALSE),"")</f>
        <v>0</v>
      </c>
      <c r="O75" s="23">
        <f>IFERROR((VLOOKUP($C75,装備品!$1:$998,COLUMN(K$1),FALSE)+VLOOKUP($D75,素材!$1:$1016,COLUMN(H$1),FALSE))*100+IFERROR(VLOOKUP($CI75,付与!$1:$1167,COLUMN(O$1),FALSE),0),"")</f>
        <v>0</v>
      </c>
      <c r="P75" s="23">
        <f>IFERROR((VLOOKUP($C75,装備品!$1:$998,COLUMN(L$1),FALSE)+VLOOKUP($D75,素材!$1:$1016,COLUMN(I$1),FALSE))*100+IFERROR(VLOOKUP($CI75,付与!$1:$1167,COLUMN(P$1),FALSE),0),"")</f>
        <v>0</v>
      </c>
      <c r="Q75">
        <f>IFERROR(ROUNDUP(VLOOKUP($C75,装備品!$1:$998,COLUMN(M$1),FALSE)*(VLOOKUP($D75,素材!$1:$1002,COLUMN(D$1),FALSE)/100),1),"")</f>
        <v>-5.6999999999999993</v>
      </c>
      <c r="R75">
        <f>IFERROR(ROUNDUP(VLOOKUP($C75,装備品!$1:$998,COLUMN(N$1),FALSE)*(VLOOKUP($D75,素材!$1:$1002,COLUMN(D$1),FALSE)/100),1),"")</f>
        <v>0</v>
      </c>
      <c r="S75">
        <f>IFERROR(VLOOKUP($C75,装備品!$1:$998,COLUMN(P$1),FALSE),"")</f>
        <v>-15</v>
      </c>
      <c r="T75">
        <f>IFERROR(VLOOKUP($C75,装備品!$1:$998,COLUMN(Q$1),FALSE),"")</f>
        <v>0</v>
      </c>
      <c r="U75">
        <f>IFERROR(VLOOKUP($C75,装備品!$1:$998,COLUMN(R$1),FALSE),"")</f>
        <v>0</v>
      </c>
      <c r="V75">
        <f>IFERROR(VLOOKUP($C75,装備品!$1:$998,COLUMN(Q$1),FALSE),"")</f>
        <v>0</v>
      </c>
      <c r="W75">
        <f>IFERROR(VLOOKUP($C75,装備品!$1:$998,COLUMN(T$1),FALSE),"")</f>
        <v>0.5</v>
      </c>
      <c r="Y75">
        <f>IFERROR(VLOOKUP($C75,装備品!$1:$998,COLUMN(U$1),FALSE),"")</f>
        <v>0</v>
      </c>
      <c r="Z75">
        <f>IFERROR(ROUNDUP(VLOOKUP($C75,装備品!$1:$998,COLUMN(O$1),FALSE)*VLOOKUP($D75,素材!$1:$1016,COLUMN(E$1),FALSE),1),"")</f>
        <v>0</v>
      </c>
      <c r="AA75">
        <f>IF(ISNUMBER(SEARCH(SUBSTITUTE(AA$1,RIGHT(AA$1,2),""),VLOOKUP($D75,素材!$1:$1016,COLUMN($F$1),FALSE))),VLOOKUP($C75,装備品!$1:$998,COLUMN($O$1),FALSE)*VLOOKUP($D75,素材!$1:$1016,COLUMN($E$1),FALSE)/(LEN(VLOOKUP($D75,素材!$1:$1016,COLUMN($F$1),FALSE))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IFERROR(VLOOKUP($C75,装備品!$1:$998,COLUMN(V$1),FALSE)*VLOOKUP($D75,素材!$1:$1016,COLUMN(N$1),FALSE)+IF(CI75="",0,VLOOKUP($CI75,付与!$1:$1176,COLUMN($CK$1),FALSE)),"")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IFERROR(VLOOKUP($D76,素材!$1:$1016,COLUMN($B$1),FALSE)&amp;"・"&amp;VLOOKUP($C76,装備品!$1:$998,COLUMN(B$1),FALSE),"")</f>
        <v>ウッド・ブーツ</v>
      </c>
      <c r="C76" t="s">
        <v>205</v>
      </c>
      <c r="D76" s="24" t="s">
        <v>254</v>
      </c>
      <c r="E76" t="str">
        <f>IFERROR(VLOOKUP(C76,装備品!$1:$998,COLUMN(C$1),FALSE),"")</f>
        <v>足</v>
      </c>
      <c r="F76">
        <f>IFERROR(ROUNDDOWN((VLOOKUP($C76,装備品!$1:$998,COLUMN(D$1),FALSE)+IFERROR(VLOOKUP($CI76,付与!$1:$1167,COLUMN(F$1),FALSE),0))*VLOOKUP($D76,素材!$1:$1016,COLUMN(D$1),FALSE),0),"")</f>
        <v>0</v>
      </c>
      <c r="G76">
        <f>IFERROR(ROUNDDOWN((VLOOKUP($C76,装備品!$1:$998,COLUMN(E$1),FALSE)+IFERROR(VLOOKUP($CI76,付与!$1:$1167,COLUMN(G$1),FALSE),0))*VLOOKUP($D76,素材!$1:$1016,COLUMN($E$1),FALSE),0),"")</f>
        <v>0</v>
      </c>
      <c r="H76">
        <f>IFERROR(ROUNDDOWN((VLOOKUP($C76,装備品!$1:$998,COLUMN(F$1),FALSE)+IFERROR(VLOOKUP($CI76,付与!$1:$1167,COLUMN(H$1),FALSE),0))*VLOOKUP($D76,素材!$1:$1016,COLUMN($E$1),FALSE),0),"")</f>
        <v>0</v>
      </c>
      <c r="I76">
        <f>IFERROR(ROUNDDOWN((VLOOKUP($C76,装備品!$1:$998,COLUMN(G$1),FALSE)+IFERROR(VLOOKUP($CI76,付与!$1:$1167,COLUMN(I$1),FALSE),0))*VLOOKUP($D76,素材!$1:$1016,COLUMN($E$1),FALSE),0),"")</f>
        <v>15</v>
      </c>
      <c r="J76">
        <f>IFERROR(ROUNDDOWN((VLOOKUP($C76,装備品!$1:$998,COLUMN(H$1),FALSE)+IFERROR(VLOOKUP($CI76,付与!$1:$1167,COLUMN(J$1),FALSE),0))*VLOOKUP($D76,素材!$1:$1016,COLUMN($E$1),FALSE),0),"")</f>
        <v>0</v>
      </c>
      <c r="K76">
        <f>IFERROR(ROUNDDOWN((VLOOKUP($C76,装備品!$1:$998,COLUMN(I$1),FALSE)+IFERROR(VLOOKUP($CI76,付与!$1:$1167,COLUMN(K$1),FALSE),0))*VLOOKUP($D76,素材!$1:$1016,COLUMN($E$1),FALSE),0),"")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IFERROR(VLOOKUP($C76,装備品!$1:$998,COLUMN(AA$1),FALSE)*VLOOKUP($D76,素材!$1:$1016,COLUMN($G$1),FALSE),"")</f>
        <v>0</v>
      </c>
      <c r="N76">
        <f>IFERROR(VLOOKUP($C76,装備品!$1:$998,COLUMN(I$1),FALSE),"")</f>
        <v>0</v>
      </c>
      <c r="O76" s="23">
        <f>IFERROR((VLOOKUP($C76,装備品!$1:$998,COLUMN(K$1),FALSE)+VLOOKUP($D76,素材!$1:$1016,COLUMN(H$1),FALSE))*100+IFERROR(VLOOKUP($CI76,付与!$1:$1167,COLUMN(O$1),FALSE),0),"")</f>
        <v>10</v>
      </c>
      <c r="P76" s="23">
        <f>IFERROR((VLOOKUP($C76,装備品!$1:$998,COLUMN(L$1),FALSE)+VLOOKUP($D76,素材!$1:$1016,COLUMN(I$1),FALSE))*100+IFERROR(VLOOKUP($CI76,付与!$1:$1167,COLUMN(P$1),FALSE),0),"")</f>
        <v>150</v>
      </c>
      <c r="Q76">
        <f>IFERROR(ROUNDUP(VLOOKUP($C76,装備品!$1:$998,COLUMN(M$1),FALSE)*(VLOOKUP($D76,素材!$1:$1002,COLUMN(D$1),FALSE)/100),1),"")</f>
        <v>0</v>
      </c>
      <c r="R76">
        <f>IFERROR(ROUNDUP(VLOOKUP($C76,装備品!$1:$998,COLUMN(N$1),FALSE)*(VLOOKUP($D76,素材!$1:$1002,COLUMN(D$1),FALSE)/100),1),"")</f>
        <v>0</v>
      </c>
      <c r="S76">
        <f>IFERROR(VLOOKUP($C76,装備品!$1:$998,COLUMN(P$1),FALSE),"")</f>
        <v>0</v>
      </c>
      <c r="T76">
        <f>IFERROR(VLOOKUP($C76,装備品!$1:$998,COLUMN(Q$1),FALSE),"")</f>
        <v>0</v>
      </c>
      <c r="U76">
        <f>IFERROR(VLOOKUP($C76,装備品!$1:$998,COLUMN(R$1),FALSE),"")</f>
        <v>0</v>
      </c>
      <c r="V76">
        <f>IFERROR(VLOOKUP($C76,装備品!$1:$998,COLUMN(Q$1),FALSE),"")</f>
        <v>0</v>
      </c>
      <c r="W76">
        <f>IFERROR(VLOOKUP($C76,装備品!$1:$998,COLUMN(T$1),FALSE),"")</f>
        <v>0.15</v>
      </c>
      <c r="Y76">
        <f>IFERROR(VLOOKUP($C76,装備品!$1:$998,COLUMN(U$1),FALSE),"")</f>
        <v>0</v>
      </c>
      <c r="Z76">
        <f>IFERROR(ROUNDUP(VLOOKUP($C76,装備品!$1:$998,COLUMN(O$1),FALSE)*VLOOKUP($D76,素材!$1:$1016,COLUMN(E$1),FALSE),1),"")</f>
        <v>0</v>
      </c>
      <c r="AA76">
        <f>IF(ISNUMBER(SEARCH(SUBSTITUTE(AA$1,RIGHT(AA$1,2),""),VLOOKUP($D76,素材!$1:$1016,COLUMN($F$1),FALSE))),VLOOKUP($C76,装備品!$1:$998,COLUMN($O$1),FALSE)*VLOOKUP($D76,素材!$1:$1016,COLUMN($E$1),FALSE)/(LEN(VLOOKUP($D76,素材!$1:$1016,COLUMN($F$1),FALSE))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IFERROR(VLOOKUP($C76,装備品!$1:$998,COLUMN(V$1),FALSE)*VLOOKUP($D76,素材!$1:$1016,COLUMN(N$1),FALSE)+IF(CI76="",0,VLOOKUP($CI76,付与!$1:$1176,COLUMN($CK$1),FALSE)),"")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IFERROR(VLOOKUP($D77,素材!$1:$1016,COLUMN($B$1),FALSE)&amp;"・"&amp;VLOOKUP($C77,装備品!$1:$998,COLUMN(B$1),FALSE),"")</f>
        <v/>
      </c>
      <c r="D77" s="24"/>
      <c r="E77" t="str">
        <f>IFERROR(VLOOKUP(C77,装備品!$1:$998,COLUMN(C$1),FALSE),"")</f>
        <v/>
      </c>
      <c r="F77" t="str">
        <f>IFERROR(ROUNDDOWN((VLOOKUP($C77,装備品!$1:$998,COLUMN(D$1),FALSE)+IFERROR(VLOOKUP($CI77,付与!$1:$1167,COLUMN(F$1),FALSE),0))*VLOOKUP($D77,素材!$1:$1016,COLUMN(D$1),FALSE),0),"")</f>
        <v/>
      </c>
      <c r="G77" t="str">
        <f>IFERROR(ROUNDDOWN((VLOOKUP($C77,装備品!$1:$998,COLUMN(E$1),FALSE)+IFERROR(VLOOKUP($CI77,付与!$1:$1167,COLUMN(G$1),FALSE),0))*VLOOKUP($D77,素材!$1:$1016,COLUMN($E$1),FALSE),0),"")</f>
        <v/>
      </c>
      <c r="H77" t="str">
        <f>IFERROR(ROUNDDOWN((VLOOKUP($C77,装備品!$1:$998,COLUMN(F$1),FALSE)+IFERROR(VLOOKUP($CI77,付与!$1:$1167,COLUMN(H$1),FALSE),0))*VLOOKUP($D77,素材!$1:$1016,COLUMN($E$1),FALSE),0),"")</f>
        <v/>
      </c>
      <c r="I77" t="str">
        <f>IFERROR(ROUNDDOWN((VLOOKUP($C77,装備品!$1:$998,COLUMN(G$1),FALSE)+IFERROR(VLOOKUP($CI77,付与!$1:$1167,COLUMN(I$1),FALSE),0))*VLOOKUP($D77,素材!$1:$1016,COLUMN($E$1),FALSE),0),"")</f>
        <v/>
      </c>
      <c r="J77" t="str">
        <f>IFERROR(ROUNDDOWN((VLOOKUP($C77,装備品!$1:$998,COLUMN(H$1),FALSE)+IFERROR(VLOOKUP($CI77,付与!$1:$1167,COLUMN(J$1),FALSE),0))*VLOOKUP($D77,素材!$1:$1016,COLUMN($E$1),FALSE),0),"")</f>
        <v/>
      </c>
      <c r="K77" t="str">
        <f>IFERROR(ROUNDDOWN((VLOOKUP($C77,装備品!$1:$998,COLUMN(I$1),FALSE)+IFERROR(VLOOKUP($CI77,付与!$1:$1167,COLUMN(K$1),FALSE),0))*VLOOKUP($D77,素材!$1:$1016,COLUMN($E$1),FALSE),0),"")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IFERROR(VLOOKUP($C77,装備品!$1:$998,COLUMN(AA$1),FALSE)*VLOOKUP($D77,素材!$1:$1016,COLUMN($G$1),FALSE),"")</f>
        <v/>
      </c>
      <c r="N77" t="str">
        <f>IFERROR(VLOOKUP($C77,装備品!$1:$998,COLUMN(I$1),FALSE),"")</f>
        <v/>
      </c>
      <c r="O77" s="23" t="str">
        <f>IFERROR((VLOOKUP($C77,装備品!$1:$998,COLUMN(K$1),FALSE)+VLOOKUP($D77,素材!$1:$1016,COLUMN(H$1),FALSE))*100+IFERROR(VLOOKUP($CI77,付与!$1:$1167,COLUMN(O$1),FALSE),0),"")</f>
        <v/>
      </c>
      <c r="P77" s="23" t="str">
        <f>IFERROR((VLOOKUP($C77,装備品!$1:$998,COLUMN(L$1),FALSE)+VLOOKUP($D77,素材!$1:$1016,COLUMN(I$1),FALSE))*100+IFERROR(VLOOKUP($CI77,付与!$1:$1167,COLUMN(P$1),FALSE),0),"")</f>
        <v/>
      </c>
      <c r="Q77" t="str">
        <f>IFERROR(ROUNDUP(VLOOKUP($C77,装備品!$1:$998,COLUMN(M$1),FALSE)*(VLOOKUP($D77,素材!$1:$1002,COLUMN(D$1),FALSE)/100),1),"")</f>
        <v/>
      </c>
      <c r="R77" t="str">
        <f>IFERROR(ROUNDUP(VLOOKUP($C77,装備品!$1:$998,COLUMN(N$1),FALSE)*(VLOOKUP($D77,素材!$1:$1002,COLUMN(D$1),FALSE)/100),1),"")</f>
        <v/>
      </c>
      <c r="S77" t="str">
        <f>IFERROR(VLOOKUP($C77,装備品!$1:$998,COLUMN(P$1),FALSE),"")</f>
        <v/>
      </c>
      <c r="T77" t="str">
        <f>IFERROR(VLOOKUP($C77,装備品!$1:$998,COLUMN(Q$1),FALSE),"")</f>
        <v/>
      </c>
      <c r="U77" t="str">
        <f>IFERROR(VLOOKUP($C77,装備品!$1:$998,COLUMN(R$1),FALSE),"")</f>
        <v/>
      </c>
      <c r="V77" t="str">
        <f>IFERROR(VLOOKUP($C77,装備品!$1:$998,COLUMN(Q$1),FALSE),"")</f>
        <v/>
      </c>
      <c r="W77" t="str">
        <f>IFERROR(VLOOKUP($C77,装備品!$1:$998,COLUMN(T$1),FALSE),"")</f>
        <v/>
      </c>
      <c r="Y77" t="str">
        <f>IFERROR(VLOOKUP($C77,装備品!$1:$998,COLUMN(U$1),FALSE),"")</f>
        <v/>
      </c>
      <c r="Z77" t="str">
        <f>IFERROR(ROUNDUP(VLOOKUP($C77,装備品!$1:$998,COLUMN(O$1),FALSE)*VLOOKUP($D77,素材!$1:$1016,COLUMN(E$1),FALSE),1),"")</f>
        <v/>
      </c>
      <c r="AA77">
        <f>IF(ISNUMBER(SEARCH(SUBSTITUTE(AA$1,RIGHT(AA$1,2),""),VLOOKUP($D77,素材!$1:$1016,COLUMN($F$1),FALSE))),VLOOKUP($C77,装備品!$1:$998,COLUMN($O$1),FALSE)*VLOOKUP($D77,素材!$1:$1016,COLUMN($E$1),FALSE)/(LEN(VLOOKUP($D77,素材!$1:$1016,COLUMN($F$1),FALSE))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IFERROR(VLOOKUP($C77,装備品!$1:$998,COLUMN(V$1),FALSE)*VLOOKUP($D77,素材!$1:$1016,COLUMN(N$1),FALSE)+IF(CI77="",0,VLOOKUP($CI77,付与!$1:$1176,COLUMN($CK$1),FALSE)),"")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IFERROR(VLOOKUP($D78,素材!$1:$1016,COLUMN($B$1),FALSE)&amp;"・"&amp;VLOOKUP($C78,装備品!$1:$998,COLUMN(B$1),FALSE),"")</f>
        <v>スチール・ナイフ</v>
      </c>
      <c r="C78" s="24" t="s">
        <v>241</v>
      </c>
      <c r="D78" s="24" t="s">
        <v>252</v>
      </c>
      <c r="E78" t="str">
        <f>IFERROR(VLOOKUP(C78,装備品!$1:$998,COLUMN(C$1),FALSE),"")</f>
        <v>武器</v>
      </c>
      <c r="F78">
        <f>IFERROR(ROUNDDOWN((VLOOKUP($C78,装備品!$1:$998,COLUMN(D$1),FALSE)+IFERROR(VLOOKUP($CI78,付与!$1:$1167,COLUMN(F$1),FALSE),0))*VLOOKUP($D78,素材!$1:$1016,COLUMN(D$1),FALSE),0),"")</f>
        <v>105</v>
      </c>
      <c r="G78">
        <f>IFERROR(ROUNDDOWN((VLOOKUP($C78,装備品!$1:$998,COLUMN(E$1),FALSE)+IFERROR(VLOOKUP($CI78,付与!$1:$1167,COLUMN(G$1),FALSE),0))*VLOOKUP($D78,素材!$1:$1016,COLUMN($E$1),FALSE),0),"")</f>
        <v>13</v>
      </c>
      <c r="H78">
        <f>IFERROR(ROUNDDOWN((VLOOKUP($C78,装備品!$1:$998,COLUMN(F$1),FALSE)+IFERROR(VLOOKUP($CI78,付与!$1:$1167,COLUMN(H$1),FALSE),0))*VLOOKUP($D78,素材!$1:$1016,COLUMN($E$1),FALSE),0),"")</f>
        <v>10</v>
      </c>
      <c r="I78">
        <f>IFERROR(ROUNDDOWN((VLOOKUP($C78,装備品!$1:$998,COLUMN(G$1),FALSE)+IFERROR(VLOOKUP($CI78,付与!$1:$1167,COLUMN(I$1),FALSE),0))*VLOOKUP($D78,素材!$1:$1016,COLUMN($E$1),FALSE),0),"")</f>
        <v>2</v>
      </c>
      <c r="J78">
        <f>IFERROR(ROUNDDOWN((VLOOKUP($C78,装備品!$1:$998,COLUMN(H$1),FALSE)+IFERROR(VLOOKUP($CI78,付与!$1:$1167,COLUMN(J$1),FALSE),0))*VLOOKUP($D78,素材!$1:$1016,COLUMN($E$1),FALSE),0),"")</f>
        <v>17</v>
      </c>
      <c r="K78">
        <f>IFERROR(ROUNDDOWN((VLOOKUP($C78,装備品!$1:$998,COLUMN(I$1),FALSE)+IFERROR(VLOOKUP($CI78,付与!$1:$1167,COLUMN(K$1),FALSE),0))*VLOOKUP($D78,素材!$1:$1016,COLUMN($E$1),FALSE),0),"")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IFERROR(VLOOKUP($C78,装備品!$1:$998,COLUMN(AA$1),FALSE)*VLOOKUP($D78,素材!$1:$1016,COLUMN($G$1),FALSE),"")</f>
        <v>0</v>
      </c>
      <c r="N78">
        <f>IFERROR(VLOOKUP($C78,装備品!$1:$998,COLUMN(I$1),FALSE),"")</f>
        <v>0</v>
      </c>
      <c r="O78" s="23">
        <f>IFERROR((VLOOKUP($C78,装備品!$1:$998,COLUMN(K$1),FALSE)+VLOOKUP($D78,素材!$1:$1016,COLUMN(H$1),FALSE))*100+IFERROR(VLOOKUP($CI78,付与!$1:$1167,COLUMN(O$1),FALSE),0),"")</f>
        <v>10</v>
      </c>
      <c r="P78" s="23">
        <f>IFERROR((VLOOKUP($C78,装備品!$1:$998,COLUMN(L$1),FALSE)+VLOOKUP($D78,素材!$1:$1016,COLUMN(I$1),FALSE))*100+IFERROR(VLOOKUP($CI78,付与!$1:$1167,COLUMN(P$1),FALSE),0),"")</f>
        <v>175</v>
      </c>
      <c r="Q78">
        <f>IFERROR(ROUNDUP(VLOOKUP($C78,装備品!$1:$998,COLUMN(M$1),FALSE)*(VLOOKUP($D78,素材!$1:$1002,COLUMN(D$1),FALSE)/100),1),"")</f>
        <v>0</v>
      </c>
      <c r="R78">
        <f>IFERROR(ROUNDUP(VLOOKUP($C78,装備品!$1:$998,COLUMN(N$1),FALSE)*(VLOOKUP($D78,素材!$1:$1002,COLUMN(D$1),FALSE)/100),1),"")</f>
        <v>0</v>
      </c>
      <c r="S78">
        <f>IFERROR(VLOOKUP($C78,装備品!$1:$998,COLUMN(P$1),FALSE),"")</f>
        <v>0</v>
      </c>
      <c r="T78">
        <f>IFERROR(VLOOKUP($C78,装備品!$1:$998,COLUMN(Q$1),FALSE),"")</f>
        <v>0</v>
      </c>
      <c r="U78">
        <f>IFERROR(VLOOKUP($C78,装備品!$1:$998,COLUMN(R$1),FALSE),"")</f>
        <v>0</v>
      </c>
      <c r="V78">
        <f>IFERROR(VLOOKUP($C78,装備品!$1:$998,COLUMN(Q$1),FALSE),"")</f>
        <v>0</v>
      </c>
      <c r="W78">
        <f>IFERROR(VLOOKUP($C78,装備品!$1:$998,COLUMN(T$1),FALSE),"")</f>
        <v>0</v>
      </c>
      <c r="Y78">
        <f>IFERROR(VLOOKUP($C78,装備品!$1:$998,COLUMN(U$1),FALSE),"")</f>
        <v>0</v>
      </c>
      <c r="Z78">
        <f>IFERROR(ROUNDUP(VLOOKUP($C78,装備品!$1:$998,COLUMN(O$1),FALSE)*VLOOKUP($D78,素材!$1:$1016,COLUMN(E$1),FALSE),1),"")</f>
        <v>0</v>
      </c>
      <c r="AA78">
        <f>IF(ISNUMBER(SEARCH(SUBSTITUTE(AA$1,RIGHT(AA$1,2),""),VLOOKUP($D78,素材!$1:$1016,COLUMN($F$1),FALSE))),VLOOKUP($C78,装備品!$1:$998,COLUMN($O$1),FALSE)*VLOOKUP($D78,素材!$1:$1016,COLUMN($E$1),FALSE)/(LEN(VLOOKUP($D78,素材!$1:$1016,COLUMN($F$1),FALSE))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IFERROR(VLOOKUP($C78,装備品!$1:$998,COLUMN(V$1),FALSE)*VLOOKUP($D78,素材!$1:$1016,COLUMN(N$1),FALSE)+IF(CI78="",0,VLOOKUP($CI78,付与!$1:$1176,COLUMN($CK$1),FALSE)),"")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IFERROR(VLOOKUP($D79,素材!$1:$1016,COLUMN($B$1),FALSE)&amp;"・"&amp;VLOOKUP($C79,装備品!$1:$998,COLUMN(B$1),FALSE),"")</f>
        <v>スチール・カタナ</v>
      </c>
      <c r="C79" s="24" t="s">
        <v>240</v>
      </c>
      <c r="D79" s="24" t="s">
        <v>252</v>
      </c>
      <c r="E79" t="str">
        <f>IFERROR(VLOOKUP(C79,装備品!$1:$998,COLUMN(C$1),FALSE),"")</f>
        <v>武器</v>
      </c>
      <c r="F79">
        <f>IFERROR(ROUNDDOWN((VLOOKUP($C79,装備品!$1:$998,COLUMN(D$1),FALSE)+IFERROR(VLOOKUP($CI79,付与!$1:$1167,COLUMN(F$1),FALSE),0))*VLOOKUP($D79,素材!$1:$1016,COLUMN(D$1),FALSE),0),"")</f>
        <v>110</v>
      </c>
      <c r="G79">
        <f>IFERROR(ROUNDDOWN((VLOOKUP($C79,装備品!$1:$998,COLUMN(E$1),FALSE)+IFERROR(VLOOKUP($CI79,付与!$1:$1167,COLUMN(G$1),FALSE),0))*VLOOKUP($D79,素材!$1:$1016,COLUMN($E$1),FALSE),0),"")</f>
        <v>18</v>
      </c>
      <c r="H79">
        <f>IFERROR(ROUNDDOWN((VLOOKUP($C79,装備品!$1:$998,COLUMN(F$1),FALSE)+IFERROR(VLOOKUP($CI79,付与!$1:$1167,COLUMN(H$1),FALSE),0))*VLOOKUP($D79,素材!$1:$1016,COLUMN($E$1),FALSE),0),"")</f>
        <v>10</v>
      </c>
      <c r="I79">
        <f>IFERROR(ROUNDDOWN((VLOOKUP($C79,装備品!$1:$998,COLUMN(G$1),FALSE)+IFERROR(VLOOKUP($CI79,付与!$1:$1167,COLUMN(I$1),FALSE),0))*VLOOKUP($D79,素材!$1:$1016,COLUMN($E$1),FALSE),0),"")</f>
        <v>2</v>
      </c>
      <c r="J79">
        <f>IFERROR(ROUNDDOWN((VLOOKUP($C79,装備品!$1:$998,COLUMN(H$1),FALSE)+IFERROR(VLOOKUP($CI79,付与!$1:$1167,COLUMN(J$1),FALSE),0))*VLOOKUP($D79,素材!$1:$1016,COLUMN($E$1),FALSE),0),"")</f>
        <v>22</v>
      </c>
      <c r="K79">
        <f>IFERROR(ROUNDDOWN((VLOOKUP($C79,装備品!$1:$998,COLUMN(I$1),FALSE)+IFERROR(VLOOKUP($CI79,付与!$1:$1167,COLUMN(K$1),FALSE),0))*VLOOKUP($D79,素材!$1:$1016,COLUMN($E$1),FALSE),0),"")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IFERROR(VLOOKUP($C79,装備品!$1:$998,COLUMN(AA$1),FALSE)*VLOOKUP($D79,素材!$1:$1016,COLUMN($G$1),FALSE),"")</f>
        <v>0</v>
      </c>
      <c r="N79">
        <f>IFERROR(VLOOKUP($C79,装備品!$1:$998,COLUMN(I$1),FALSE),"")</f>
        <v>0</v>
      </c>
      <c r="O79" s="23">
        <f>IFERROR((VLOOKUP($C79,装備品!$1:$998,COLUMN(K$1),FALSE)+VLOOKUP($D79,素材!$1:$1016,COLUMN(H$1),FALSE))*100+IFERROR(VLOOKUP($CI79,付与!$1:$1167,COLUMN(O$1),FALSE),0),"")</f>
        <v>10</v>
      </c>
      <c r="P79" s="23">
        <f>IFERROR((VLOOKUP($C79,装備品!$1:$998,COLUMN(L$1),FALSE)+VLOOKUP($D79,素材!$1:$1016,COLUMN(I$1),FALSE))*100+IFERROR(VLOOKUP($CI79,付与!$1:$1167,COLUMN(P$1),FALSE),0),"")</f>
        <v>175</v>
      </c>
      <c r="Q79">
        <f>IFERROR(ROUNDUP(VLOOKUP($C79,装備品!$1:$998,COLUMN(M$1),FALSE)*(VLOOKUP($D79,素材!$1:$1002,COLUMN(D$1),FALSE)/100),1),"")</f>
        <v>0</v>
      </c>
      <c r="R79">
        <f>IFERROR(ROUNDUP(VLOOKUP($C79,装備品!$1:$998,COLUMN(N$1),FALSE)*(VLOOKUP($D79,素材!$1:$1002,COLUMN(D$1),FALSE)/100),1),"")</f>
        <v>0</v>
      </c>
      <c r="S79">
        <f>IFERROR(VLOOKUP($C79,装備品!$1:$998,COLUMN(P$1),FALSE),"")</f>
        <v>0</v>
      </c>
      <c r="T79">
        <f>IFERROR(VLOOKUP($C79,装備品!$1:$998,COLUMN(Q$1),FALSE),"")</f>
        <v>0</v>
      </c>
      <c r="U79">
        <f>IFERROR(VLOOKUP($C79,装備品!$1:$998,COLUMN(R$1),FALSE),"")</f>
        <v>0</v>
      </c>
      <c r="V79">
        <f>IFERROR(VLOOKUP($C79,装備品!$1:$998,COLUMN(Q$1),FALSE),"")</f>
        <v>0</v>
      </c>
      <c r="W79">
        <f>IFERROR(VLOOKUP($C79,装備品!$1:$998,COLUMN(T$1),FALSE),"")</f>
        <v>0</v>
      </c>
      <c r="Y79">
        <f>IFERROR(VLOOKUP($C79,装備品!$1:$998,COLUMN(U$1),FALSE),"")</f>
        <v>0</v>
      </c>
      <c r="Z79">
        <f>IFERROR(ROUNDUP(VLOOKUP($C79,装備品!$1:$998,COLUMN(O$1),FALSE)*VLOOKUP($D79,素材!$1:$1016,COLUMN(E$1),FALSE),1),"")</f>
        <v>0</v>
      </c>
      <c r="AA79">
        <f>IF(ISNUMBER(SEARCH(SUBSTITUTE(AA$1,RIGHT(AA$1,2),""),VLOOKUP($D79,素材!$1:$1016,COLUMN($F$1),FALSE))),VLOOKUP($C79,装備品!$1:$998,COLUMN($O$1),FALSE)*VLOOKUP($D79,素材!$1:$1016,COLUMN($E$1),FALSE)/(LEN(VLOOKUP($D79,素材!$1:$1016,COLUMN($F$1),FALSE))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IFERROR(VLOOKUP($C79,装備品!$1:$998,COLUMN(V$1),FALSE)*VLOOKUP($D79,素材!$1:$1016,COLUMN(N$1),FALSE)+IF(CI79="",0,VLOOKUP($CI79,付与!$1:$1176,COLUMN($CK$1),FALSE)),"")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IFERROR(VLOOKUP($D80,素材!$1:$1016,COLUMN($B$1),FALSE)&amp;"・"&amp;VLOOKUP($C80,装備品!$1:$998,COLUMN(B$1),FALSE),"")</f>
        <v>スチール・ソード</v>
      </c>
      <c r="C80" s="24" t="s">
        <v>239</v>
      </c>
      <c r="D80" s="24" t="s">
        <v>252</v>
      </c>
      <c r="E80" t="str">
        <f>IFERROR(VLOOKUP(C80,装備品!$1:$998,COLUMN(C$1),FALSE),"")</f>
        <v>武器</v>
      </c>
      <c r="F80">
        <f>IFERROR(ROUNDDOWN((VLOOKUP($C80,装備品!$1:$998,COLUMN(D$1),FALSE)+IFERROR(VLOOKUP($CI80,付与!$1:$1167,COLUMN(F$1),FALSE),0))*VLOOKUP($D80,素材!$1:$1016,COLUMN(D$1),FALSE),0),"")</f>
        <v>105</v>
      </c>
      <c r="G80">
        <f>IFERROR(ROUNDDOWN((VLOOKUP($C80,装備品!$1:$998,COLUMN(E$1),FALSE)+IFERROR(VLOOKUP($CI80,付与!$1:$1167,COLUMN(G$1),FALSE),0))*VLOOKUP($D80,素材!$1:$1016,COLUMN($E$1),FALSE),0),"")</f>
        <v>16</v>
      </c>
      <c r="H80">
        <f>IFERROR(ROUNDDOWN((VLOOKUP($C80,装備品!$1:$998,COLUMN(F$1),FALSE)+IFERROR(VLOOKUP($CI80,付与!$1:$1167,COLUMN(H$1),FALSE),0))*VLOOKUP($D80,素材!$1:$1016,COLUMN($E$1),FALSE),0),"")</f>
        <v>12</v>
      </c>
      <c r="I80">
        <f>IFERROR(ROUNDDOWN((VLOOKUP($C80,装備品!$1:$998,COLUMN(G$1),FALSE)+IFERROR(VLOOKUP($CI80,付与!$1:$1167,COLUMN(I$1),FALSE),0))*VLOOKUP($D80,素材!$1:$1016,COLUMN($E$1),FALSE),0),"")</f>
        <v>4</v>
      </c>
      <c r="J80">
        <f>IFERROR(ROUNDDOWN((VLOOKUP($C80,装備品!$1:$998,COLUMN(H$1),FALSE)+IFERROR(VLOOKUP($CI80,付与!$1:$1167,COLUMN(J$1),FALSE),0))*VLOOKUP($D80,素材!$1:$1016,COLUMN($E$1),FALSE),0),"")</f>
        <v>25</v>
      </c>
      <c r="K80">
        <f>IFERROR(ROUNDDOWN((VLOOKUP($C80,装備品!$1:$998,COLUMN(I$1),FALSE)+IFERROR(VLOOKUP($CI80,付与!$1:$1167,COLUMN(K$1),FALSE),0))*VLOOKUP($D80,素材!$1:$1016,COLUMN($E$1),FALSE),0),"")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IFERROR(VLOOKUP($C80,装備品!$1:$998,COLUMN(AA$1),FALSE)*VLOOKUP($D80,素材!$1:$1016,COLUMN($G$1),FALSE),"")</f>
        <v>0</v>
      </c>
      <c r="N80">
        <f>IFERROR(VLOOKUP($C80,装備品!$1:$998,COLUMN(I$1),FALSE),"")</f>
        <v>0</v>
      </c>
      <c r="O80" s="23">
        <f>IFERROR((VLOOKUP($C80,装備品!$1:$998,COLUMN(K$1),FALSE)+VLOOKUP($D80,素材!$1:$1016,COLUMN(H$1),FALSE))*100+IFERROR(VLOOKUP($CI80,付与!$1:$1167,COLUMN(O$1),FALSE),0),"")</f>
        <v>10</v>
      </c>
      <c r="P80" s="23">
        <f>IFERROR((VLOOKUP($C80,装備品!$1:$998,COLUMN(L$1),FALSE)+VLOOKUP($D80,素材!$1:$1016,COLUMN(I$1),FALSE))*100+IFERROR(VLOOKUP($CI80,付与!$1:$1167,COLUMN(P$1),FALSE),0),"")</f>
        <v>150</v>
      </c>
      <c r="Q80">
        <f>IFERROR(ROUNDUP(VLOOKUP($C80,装備品!$1:$998,COLUMN(M$1),FALSE)*(VLOOKUP($D80,素材!$1:$1002,COLUMN(D$1),FALSE)/100),1),"")</f>
        <v>0</v>
      </c>
      <c r="R80">
        <f>IFERROR(ROUNDUP(VLOOKUP($C80,装備品!$1:$998,COLUMN(N$1),FALSE)*(VLOOKUP($D80,素材!$1:$1002,COLUMN(D$1),FALSE)/100),1),"")</f>
        <v>0</v>
      </c>
      <c r="S80">
        <f>IFERROR(VLOOKUP($C80,装備品!$1:$998,COLUMN(P$1),FALSE),"")</f>
        <v>0</v>
      </c>
      <c r="T80">
        <f>IFERROR(VLOOKUP($C80,装備品!$1:$998,COLUMN(Q$1),FALSE),"")</f>
        <v>0</v>
      </c>
      <c r="U80">
        <f>IFERROR(VLOOKUP($C80,装備品!$1:$998,COLUMN(R$1),FALSE),"")</f>
        <v>0</v>
      </c>
      <c r="V80">
        <f>IFERROR(VLOOKUP($C80,装備品!$1:$998,COLUMN(Q$1),FALSE),"")</f>
        <v>0</v>
      </c>
      <c r="W80">
        <f>IFERROR(VLOOKUP($C80,装備品!$1:$998,COLUMN(T$1),FALSE),"")</f>
        <v>0</v>
      </c>
      <c r="Y80">
        <f>IFERROR(VLOOKUP($C80,装備品!$1:$998,COLUMN(U$1),FALSE),"")</f>
        <v>0</v>
      </c>
      <c r="Z80">
        <f>IFERROR(ROUNDUP(VLOOKUP($C80,装備品!$1:$998,COLUMN(O$1),FALSE)*VLOOKUP($D80,素材!$1:$1016,COLUMN(E$1),FALSE),1),"")</f>
        <v>0</v>
      </c>
      <c r="AA80">
        <f>IF(ISNUMBER(SEARCH(SUBSTITUTE(AA$1,RIGHT(AA$1,2),""),VLOOKUP($D80,素材!$1:$1016,COLUMN($F$1),FALSE))),VLOOKUP($C80,装備品!$1:$998,COLUMN($O$1),FALSE)*VLOOKUP($D80,素材!$1:$1016,COLUMN($E$1),FALSE)/(LEN(VLOOKUP($D80,素材!$1:$1016,COLUMN($F$1),FALSE))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IFERROR(VLOOKUP($C80,装備品!$1:$998,COLUMN(V$1),FALSE)*VLOOKUP($D80,素材!$1:$1016,COLUMN(N$1),FALSE)+IF(CI80="",0,VLOOKUP($CI80,付与!$1:$1176,COLUMN($CK$1),FALSE)),"")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IFERROR(VLOOKUP($D81,素材!$1:$1016,COLUMN($B$1),FALSE)&amp;"・"&amp;VLOOKUP($C81,装備品!$1:$998,COLUMN(B$1),FALSE),"")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IFERROR(VLOOKUP(C81,装備品!$1:$998,COLUMN(C$1),FALSE),"")</f>
        <v>武器</v>
      </c>
      <c r="F81">
        <f>IFERROR(ROUNDDOWN((VLOOKUP($C81,装備品!$1:$998,COLUMN(D$1),FALSE)+IFERROR(VLOOKUP($CI81,付与!$1:$1167,COLUMN(F$1),FALSE),0))*VLOOKUP($D81,素材!$1:$1016,COLUMN(D$1),FALSE),0),"")</f>
        <v>115</v>
      </c>
      <c r="G81">
        <f>IFERROR(ROUNDDOWN((VLOOKUP($C81,装備品!$1:$998,COLUMN(E$1),FALSE)+IFERROR(VLOOKUP($CI81,付与!$1:$1167,COLUMN(G$1),FALSE),0))*VLOOKUP($D81,素材!$1:$1016,COLUMN($E$1),FALSE),0),"")</f>
        <v>16</v>
      </c>
      <c r="H81">
        <f>IFERROR(ROUNDDOWN((VLOOKUP($C81,装備品!$1:$998,COLUMN(F$1),FALSE)+IFERROR(VLOOKUP($CI81,付与!$1:$1167,COLUMN(H$1),FALSE),0))*VLOOKUP($D81,素材!$1:$1016,COLUMN($E$1),FALSE),0),"")</f>
        <v>10</v>
      </c>
      <c r="I81">
        <f>IFERROR(ROUNDDOWN((VLOOKUP($C81,装備品!$1:$998,COLUMN(G$1),FALSE)+IFERROR(VLOOKUP($CI81,付与!$1:$1167,COLUMN(I$1),FALSE),0))*VLOOKUP($D81,素材!$1:$1016,COLUMN($E$1),FALSE),0),"")</f>
        <v>4</v>
      </c>
      <c r="J81">
        <f>IFERROR(ROUNDDOWN((VLOOKUP($C81,装備品!$1:$998,COLUMN(H$1),FALSE)+IFERROR(VLOOKUP($CI81,付与!$1:$1167,COLUMN(J$1),FALSE),0))*VLOOKUP($D81,素材!$1:$1016,COLUMN($E$1),FALSE),0),"")</f>
        <v>31</v>
      </c>
      <c r="K81">
        <f>IFERROR(ROUNDDOWN((VLOOKUP($C81,装備品!$1:$998,COLUMN(I$1),FALSE)+IFERROR(VLOOKUP($CI81,付与!$1:$1167,COLUMN(K$1),FALSE),0))*VLOOKUP($D81,素材!$1:$1016,COLUMN($E$1),FALSE),0),"")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IFERROR(VLOOKUP($C81,装備品!$1:$998,COLUMN(AA$1),FALSE)*VLOOKUP($D81,素材!$1:$1016,COLUMN($G$1),FALSE),"")</f>
        <v>0</v>
      </c>
      <c r="N81">
        <f>IFERROR(VLOOKUP($C81,装備品!$1:$998,COLUMN(I$1),FALSE),"")</f>
        <v>0</v>
      </c>
      <c r="O81" s="23">
        <f>IFERROR((VLOOKUP($C81,装備品!$1:$998,COLUMN(K$1),FALSE)+VLOOKUP($D81,素材!$1:$1016,COLUMN(H$1),FALSE))*100+IFERROR(VLOOKUP($CI81,付与!$1:$1167,COLUMN(O$1),FALSE),0),"")</f>
        <v>10</v>
      </c>
      <c r="P81" s="23">
        <f>IFERROR((VLOOKUP($C81,装備品!$1:$998,COLUMN(L$1),FALSE)+VLOOKUP($D81,素材!$1:$1016,COLUMN(I$1),FALSE))*100+IFERROR(VLOOKUP($CI81,付与!$1:$1167,COLUMN(P$1),FALSE),0),"")</f>
        <v>150</v>
      </c>
      <c r="Q81">
        <f>IFERROR(ROUNDUP(VLOOKUP($C81,装備品!$1:$998,COLUMN(M$1),FALSE)*(VLOOKUP($D81,素材!$1:$1002,COLUMN(D$1),FALSE)/100),1),"")</f>
        <v>-2.7</v>
      </c>
      <c r="R81">
        <f>IFERROR(ROUNDUP(VLOOKUP($C81,装備品!$1:$998,COLUMN(N$1),FALSE)*(VLOOKUP($D81,素材!$1:$1002,COLUMN(D$1),FALSE)/100),1),"")</f>
        <v>-2.7</v>
      </c>
      <c r="S81">
        <f>IFERROR(VLOOKUP($C81,装備品!$1:$998,COLUMN(P$1),FALSE),"")</f>
        <v>0</v>
      </c>
      <c r="T81">
        <f>IFERROR(VLOOKUP($C81,装備品!$1:$998,COLUMN(Q$1),FALSE),"")</f>
        <v>0</v>
      </c>
      <c r="U81">
        <f>IFERROR(VLOOKUP($C81,装備品!$1:$998,COLUMN(R$1),FALSE),"")</f>
        <v>0</v>
      </c>
      <c r="V81">
        <f>IFERROR(VLOOKUP($C81,装備品!$1:$998,COLUMN(Q$1),FALSE),"")</f>
        <v>0</v>
      </c>
      <c r="W81">
        <f>IFERROR(VLOOKUP($C81,装備品!$1:$998,COLUMN(T$1),FALSE),"")</f>
        <v>0</v>
      </c>
      <c r="Y81">
        <f>IFERROR(VLOOKUP($C81,装備品!$1:$998,COLUMN(U$1),FALSE),"")</f>
        <v>0</v>
      </c>
      <c r="Z81">
        <f>IFERROR(ROUNDUP(VLOOKUP($C81,装備品!$1:$998,COLUMN(O$1),FALSE)*VLOOKUP($D81,素材!$1:$1016,COLUMN(E$1),FALSE),1),"")</f>
        <v>0</v>
      </c>
      <c r="AA81">
        <f>IF(ISNUMBER(SEARCH(SUBSTITUTE(AA$1,RIGHT(AA$1,2),""),VLOOKUP($D81,素材!$1:$1016,COLUMN($F$1),FALSE))),VLOOKUP($C81,装備品!$1:$998,COLUMN($O$1),FALSE)*VLOOKUP($D81,素材!$1:$1016,COLUMN($E$1),FALSE)/(LEN(VLOOKUP($D81,素材!$1:$1016,COLUMN($F$1),FALSE))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IFERROR(VLOOKUP($C81,装備品!$1:$998,COLUMN(V$1),FALSE)*VLOOKUP($D81,素材!$1:$1016,COLUMN(N$1),FALSE)+IF(CI81="",0,VLOOKUP($CI81,付与!$1:$1176,COLUMN($CK$1),FALSE)),"")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IFERROR(VLOOKUP($D82,素材!$1:$1016,COLUMN($B$1),FALSE)&amp;"・"&amp;VLOOKUP($C82,装備品!$1:$998,COLUMN(B$1),FALSE),"")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IFERROR(VLOOKUP(C82,装備品!$1:$998,COLUMN(C$1),FALSE),"")</f>
        <v>武器</v>
      </c>
      <c r="F82">
        <f>IFERROR(ROUNDDOWN((VLOOKUP($C82,装備品!$1:$998,COLUMN(D$1),FALSE)+IFERROR(VLOOKUP($CI82,付与!$1:$1167,COLUMN(F$1),FALSE),0))*VLOOKUP($D82,素材!$1:$1016,COLUMN(D$1),FALSE),0),"")</f>
        <v>120</v>
      </c>
      <c r="G82">
        <f>IFERROR(ROUNDDOWN((VLOOKUP($C82,装備品!$1:$998,COLUMN(E$1),FALSE)+IFERROR(VLOOKUP($CI82,付与!$1:$1167,COLUMN(G$1),FALSE),0))*VLOOKUP($D82,素材!$1:$1016,COLUMN($E$1),FALSE),0),"")</f>
        <v>20</v>
      </c>
      <c r="H82">
        <f>IFERROR(ROUNDDOWN((VLOOKUP($C82,装備品!$1:$998,COLUMN(F$1),FALSE)+IFERROR(VLOOKUP($CI82,付与!$1:$1167,COLUMN(H$1),FALSE),0))*VLOOKUP($D82,素材!$1:$1016,COLUMN($E$1),FALSE),0),"")</f>
        <v>12</v>
      </c>
      <c r="I82">
        <f>IFERROR(ROUNDDOWN((VLOOKUP($C82,装備品!$1:$998,COLUMN(G$1),FALSE)+IFERROR(VLOOKUP($CI82,付与!$1:$1167,COLUMN(I$1),FALSE),0))*VLOOKUP($D82,素材!$1:$1016,COLUMN($E$1),FALSE),0),"")</f>
        <v>4</v>
      </c>
      <c r="J82">
        <f>IFERROR(ROUNDDOWN((VLOOKUP($C82,装備品!$1:$998,COLUMN(H$1),FALSE)+IFERROR(VLOOKUP($CI82,付与!$1:$1167,COLUMN(J$1),FALSE),0))*VLOOKUP($D82,素材!$1:$1016,COLUMN($E$1),FALSE),0),"")</f>
        <v>27</v>
      </c>
      <c r="K82">
        <f>IFERROR(ROUNDDOWN((VLOOKUP($C82,装備品!$1:$998,COLUMN(I$1),FALSE)+IFERROR(VLOOKUP($CI82,付与!$1:$1167,COLUMN(K$1),FALSE),0))*VLOOKUP($D82,素材!$1:$1016,COLUMN($E$1),FALSE),0),"")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IFERROR(VLOOKUP($C82,装備品!$1:$998,COLUMN(AA$1),FALSE)*VLOOKUP($D82,素材!$1:$1016,COLUMN($G$1),FALSE),"")</f>
        <v>0</v>
      </c>
      <c r="N82">
        <f>IFERROR(VLOOKUP($C82,装備品!$1:$998,COLUMN(I$1),FALSE),"")</f>
        <v>0</v>
      </c>
      <c r="O82" s="23">
        <f>IFERROR((VLOOKUP($C82,装備品!$1:$998,COLUMN(K$1),FALSE)+VLOOKUP($D82,素材!$1:$1016,COLUMN(H$1),FALSE))*100+IFERROR(VLOOKUP($CI82,付与!$1:$1167,COLUMN(O$1),FALSE),0),"")</f>
        <v>10</v>
      </c>
      <c r="P82" s="23">
        <f>IFERROR((VLOOKUP($C82,装備品!$1:$998,COLUMN(L$1),FALSE)+VLOOKUP($D82,素材!$1:$1016,COLUMN(I$1),FALSE))*100+IFERROR(VLOOKUP($CI82,付与!$1:$1167,COLUMN(P$1),FALSE),0),"")</f>
        <v>150</v>
      </c>
      <c r="Q82">
        <f>IFERROR(ROUNDUP(VLOOKUP($C82,装備品!$1:$998,COLUMN(M$1),FALSE)*(VLOOKUP($D82,素材!$1:$1002,COLUMN(D$1),FALSE)/100),1),"")</f>
        <v>-2.7</v>
      </c>
      <c r="R82">
        <f>IFERROR(ROUNDUP(VLOOKUP($C82,装備品!$1:$998,COLUMN(N$1),FALSE)*(VLOOKUP($D82,素材!$1:$1002,COLUMN(D$1),FALSE)/100),1),"")</f>
        <v>-2.7</v>
      </c>
      <c r="S82">
        <f>IFERROR(VLOOKUP($C82,装備品!$1:$998,COLUMN(P$1),FALSE),"")</f>
        <v>0</v>
      </c>
      <c r="T82">
        <f>IFERROR(VLOOKUP($C82,装備品!$1:$998,COLUMN(Q$1),FALSE),"")</f>
        <v>0</v>
      </c>
      <c r="U82">
        <f>IFERROR(VLOOKUP($C82,装備品!$1:$998,COLUMN(R$1),FALSE),"")</f>
        <v>0</v>
      </c>
      <c r="V82">
        <f>IFERROR(VLOOKUP($C82,装備品!$1:$998,COLUMN(Q$1),FALSE),"")</f>
        <v>0</v>
      </c>
      <c r="W82">
        <f>IFERROR(VLOOKUP($C82,装備品!$1:$998,COLUMN(T$1),FALSE),"")</f>
        <v>0</v>
      </c>
      <c r="Y82">
        <f>IFERROR(VLOOKUP($C82,装備品!$1:$998,COLUMN(U$1),FALSE),"")</f>
        <v>0</v>
      </c>
      <c r="Z82">
        <f>IFERROR(ROUNDUP(VLOOKUP($C82,装備品!$1:$998,COLUMN(O$1),FALSE)*VLOOKUP($D82,素材!$1:$1016,COLUMN(E$1),FALSE),1),"")</f>
        <v>0</v>
      </c>
      <c r="AA82">
        <f>IF(ISNUMBER(SEARCH(SUBSTITUTE(AA$1,RIGHT(AA$1,2),""),VLOOKUP($D82,素材!$1:$1016,COLUMN($F$1),FALSE))),VLOOKUP($C82,装備品!$1:$998,COLUMN($O$1),FALSE)*VLOOKUP($D82,素材!$1:$1016,COLUMN($E$1),FALSE)/(LEN(VLOOKUP($D82,素材!$1:$1016,COLUMN($F$1),FALSE))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IFERROR(VLOOKUP($C82,装備品!$1:$998,COLUMN(V$1),FALSE)*VLOOKUP($D82,素材!$1:$1016,COLUMN(N$1),FALSE)+IF(CI82="",0,VLOOKUP($CI82,付与!$1:$1176,COLUMN($CK$1),FALSE)),"")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IFERROR(VLOOKUP($D83,素材!$1:$1016,COLUMN($B$1),FALSE)&amp;"・"&amp;VLOOKUP($C83,装備品!$1:$998,COLUMN(B$1),FALSE),"")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IFERROR(VLOOKUP(C83,装備品!$1:$998,COLUMN(C$1),FALSE),"")</f>
        <v>武器</v>
      </c>
      <c r="F83">
        <f>IFERROR(ROUNDDOWN((VLOOKUP($C83,装備品!$1:$998,COLUMN(D$1),FALSE)+IFERROR(VLOOKUP($CI83,付与!$1:$1167,COLUMN(F$1),FALSE),0))*VLOOKUP($D83,素材!$1:$1016,COLUMN(D$1),FALSE),0),"")</f>
        <v>131</v>
      </c>
      <c r="G83">
        <f>IFERROR(ROUNDDOWN((VLOOKUP($C83,装備品!$1:$998,COLUMN(E$1),FALSE)+IFERROR(VLOOKUP($CI83,付与!$1:$1167,COLUMN(G$1),FALSE),0))*VLOOKUP($D83,素材!$1:$1016,COLUMN($E$1),FALSE),0),"")</f>
        <v>24</v>
      </c>
      <c r="H83">
        <f>IFERROR(ROUNDDOWN((VLOOKUP($C83,装備品!$1:$998,COLUMN(F$1),FALSE)+IFERROR(VLOOKUP($CI83,付与!$1:$1167,COLUMN(H$1),FALSE),0))*VLOOKUP($D83,素材!$1:$1016,COLUMN($E$1),FALSE),0),"")</f>
        <v>12</v>
      </c>
      <c r="I83">
        <f>IFERROR(ROUNDDOWN((VLOOKUP($C83,装備品!$1:$998,COLUMN(G$1),FALSE)+IFERROR(VLOOKUP($CI83,付与!$1:$1167,COLUMN(I$1),FALSE),0))*VLOOKUP($D83,素材!$1:$1016,COLUMN($E$1),FALSE),0),"")</f>
        <v>5</v>
      </c>
      <c r="J83">
        <f>IFERROR(ROUNDDOWN((VLOOKUP($C83,装備品!$1:$998,COLUMN(H$1),FALSE)+IFERROR(VLOOKUP($CI83,付与!$1:$1167,COLUMN(J$1),FALSE),0))*VLOOKUP($D83,素材!$1:$1016,COLUMN($E$1),FALSE),0),"")</f>
        <v>29</v>
      </c>
      <c r="K83">
        <f>IFERROR(ROUNDDOWN((VLOOKUP($C83,装備品!$1:$998,COLUMN(I$1),FALSE)+IFERROR(VLOOKUP($CI83,付与!$1:$1167,COLUMN(K$1),FALSE),0))*VLOOKUP($D83,素材!$1:$1016,COLUMN($E$1),FALSE),0),"")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IFERROR(VLOOKUP($C83,装備品!$1:$998,COLUMN(AA$1),FALSE)*VLOOKUP($D83,素材!$1:$1016,COLUMN($G$1),FALSE),"")</f>
        <v>0</v>
      </c>
      <c r="N83">
        <f>IFERROR(VLOOKUP($C83,装備品!$1:$998,COLUMN(I$1),FALSE),"")</f>
        <v>0</v>
      </c>
      <c r="O83" s="23">
        <f>IFERROR((VLOOKUP($C83,装備品!$1:$998,COLUMN(K$1),FALSE)+VLOOKUP($D83,素材!$1:$1016,COLUMN(H$1),FALSE))*100+IFERROR(VLOOKUP($CI83,付与!$1:$1167,COLUMN(O$1),FALSE),0),"")</f>
        <v>10</v>
      </c>
      <c r="P83" s="23">
        <f>IFERROR((VLOOKUP($C83,装備品!$1:$998,COLUMN(L$1),FALSE)+VLOOKUP($D83,素材!$1:$1016,COLUMN(I$1),FALSE))*100+IFERROR(VLOOKUP($CI83,付与!$1:$1167,COLUMN(P$1),FALSE),0),"")</f>
        <v>150</v>
      </c>
      <c r="Q83">
        <f>IFERROR(ROUNDUP(VLOOKUP($C83,装備品!$1:$998,COLUMN(M$1),FALSE)*(VLOOKUP($D83,素材!$1:$1002,COLUMN(D$1),FALSE)/100),1),"")</f>
        <v>-7.8999999999999995</v>
      </c>
      <c r="R83">
        <f>IFERROR(ROUNDUP(VLOOKUP($C83,装備品!$1:$998,COLUMN(N$1),FALSE)*(VLOOKUP($D83,素材!$1:$1002,COLUMN(D$1),FALSE)/100),1),"")</f>
        <v>-7.8999999999999995</v>
      </c>
      <c r="S83">
        <f>IFERROR(VLOOKUP($C83,装備品!$1:$998,COLUMN(P$1),FALSE),"")</f>
        <v>0</v>
      </c>
      <c r="T83">
        <f>IFERROR(VLOOKUP($C83,装備品!$1:$998,COLUMN(Q$1),FALSE),"")</f>
        <v>0</v>
      </c>
      <c r="U83">
        <f>IFERROR(VLOOKUP($C83,装備品!$1:$998,COLUMN(R$1),FALSE),"")</f>
        <v>-15</v>
      </c>
      <c r="V83">
        <f>IFERROR(VLOOKUP($C83,装備品!$1:$998,COLUMN(Q$1),FALSE),"")</f>
        <v>0</v>
      </c>
      <c r="W83">
        <f>IFERROR(VLOOKUP($C83,装備品!$1:$998,COLUMN(T$1),FALSE),"")</f>
        <v>0</v>
      </c>
      <c r="Y83">
        <f>IFERROR(VLOOKUP($C83,装備品!$1:$998,COLUMN(U$1),FALSE),"")</f>
        <v>0</v>
      </c>
      <c r="Z83">
        <f>IFERROR(ROUNDUP(VLOOKUP($C83,装備品!$1:$998,COLUMN(O$1),FALSE)*VLOOKUP($D83,素材!$1:$1016,COLUMN(E$1),FALSE),1),"")</f>
        <v>0</v>
      </c>
      <c r="AA83">
        <f>IF(ISNUMBER(SEARCH(SUBSTITUTE(AA$1,RIGHT(AA$1,2),""),VLOOKUP($D83,素材!$1:$1016,COLUMN($F$1),FALSE))),VLOOKUP($C83,装備品!$1:$998,COLUMN($O$1),FALSE)*VLOOKUP($D83,素材!$1:$1016,COLUMN($E$1),FALSE)/(LEN(VLOOKUP($D83,素材!$1:$1016,COLUMN($F$1),FALSE))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IFERROR(VLOOKUP($C83,装備品!$1:$998,COLUMN(V$1),FALSE)*VLOOKUP($D83,素材!$1:$1016,COLUMN(N$1),FALSE)+IF(CI83="",0,VLOOKUP($CI83,付与!$1:$1176,COLUMN($CK$1),FALSE)),"")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IFERROR(VLOOKUP($D84,素材!$1:$1016,COLUMN($B$1),FALSE)&amp;"・"&amp;VLOOKUP($C84,装備品!$1:$998,COLUMN(B$1),FALSE),"")</f>
        <v>スチール・レイピア</v>
      </c>
      <c r="C84" s="24" t="s">
        <v>235</v>
      </c>
      <c r="D84" s="24" t="s">
        <v>252</v>
      </c>
      <c r="E84" t="str">
        <f>IFERROR(VLOOKUP(C84,装備品!$1:$998,COLUMN(C$1),FALSE),"")</f>
        <v>武器</v>
      </c>
      <c r="F84">
        <f>IFERROR(ROUNDDOWN((VLOOKUP($C84,装備品!$1:$998,COLUMN(D$1),FALSE)+IFERROR(VLOOKUP($CI84,付与!$1:$1167,COLUMN(F$1),FALSE),0))*VLOOKUP($D84,素材!$1:$1016,COLUMN(D$1),FALSE),0),"")</f>
        <v>105</v>
      </c>
      <c r="G84">
        <f>IFERROR(ROUNDDOWN((VLOOKUP($C84,装備品!$1:$998,COLUMN(E$1),FALSE)+IFERROR(VLOOKUP($CI84,付与!$1:$1167,COLUMN(G$1),FALSE),0))*VLOOKUP($D84,素材!$1:$1016,COLUMN($E$1),FALSE),0),"")</f>
        <v>12</v>
      </c>
      <c r="H84">
        <f>IFERROR(ROUNDDOWN((VLOOKUP($C84,装備品!$1:$998,COLUMN(F$1),FALSE)+IFERROR(VLOOKUP($CI84,付与!$1:$1167,COLUMN(H$1),FALSE),0))*VLOOKUP($D84,素材!$1:$1016,COLUMN($E$1),FALSE),0),"")</f>
        <v>17</v>
      </c>
      <c r="I84">
        <f>IFERROR(ROUNDDOWN((VLOOKUP($C84,装備品!$1:$998,COLUMN(G$1),FALSE)+IFERROR(VLOOKUP($CI84,付与!$1:$1167,COLUMN(I$1),FALSE),0))*VLOOKUP($D84,素材!$1:$1016,COLUMN($E$1),FALSE),0),"")</f>
        <v>0</v>
      </c>
      <c r="J84">
        <f>IFERROR(ROUNDDOWN((VLOOKUP($C84,装備品!$1:$998,COLUMN(H$1),FALSE)+IFERROR(VLOOKUP($CI84,付与!$1:$1167,COLUMN(J$1),FALSE),0))*VLOOKUP($D84,素材!$1:$1016,COLUMN($E$1),FALSE),0),"")</f>
        <v>21</v>
      </c>
      <c r="K84">
        <f>IFERROR(ROUNDDOWN((VLOOKUP($C84,装備品!$1:$998,COLUMN(I$1),FALSE)+IFERROR(VLOOKUP($CI84,付与!$1:$1167,COLUMN(K$1),FALSE),0))*VLOOKUP($D84,素材!$1:$1016,COLUMN($E$1),FALSE),0),"")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IFERROR(VLOOKUP($C84,装備品!$1:$998,COLUMN(AA$1),FALSE)*VLOOKUP($D84,素材!$1:$1016,COLUMN($G$1),FALSE),"")</f>
        <v>0</v>
      </c>
      <c r="N84">
        <f>IFERROR(VLOOKUP($C84,装備品!$1:$998,COLUMN(I$1),FALSE),"")</f>
        <v>0</v>
      </c>
      <c r="O84" s="23">
        <f>IFERROR((VLOOKUP($C84,装備品!$1:$998,COLUMN(K$1),FALSE)+VLOOKUP($D84,素材!$1:$1016,COLUMN(H$1),FALSE))*100+IFERROR(VLOOKUP($CI84,付与!$1:$1167,COLUMN(O$1),FALSE),0),"")</f>
        <v>15</v>
      </c>
      <c r="P84" s="23">
        <f>IFERROR((VLOOKUP($C84,装備品!$1:$998,COLUMN(L$1),FALSE)+VLOOKUP($D84,素材!$1:$1016,COLUMN(I$1),FALSE))*100+IFERROR(VLOOKUP($CI84,付与!$1:$1167,COLUMN(P$1),FALSE),0),"")</f>
        <v>125</v>
      </c>
      <c r="Q84">
        <f>IFERROR(ROUNDUP(VLOOKUP($C84,装備品!$1:$998,COLUMN(M$1),FALSE)*(VLOOKUP($D84,素材!$1:$1002,COLUMN(D$1),FALSE)/100),1),"")</f>
        <v>0</v>
      </c>
      <c r="R84">
        <f>IFERROR(ROUNDUP(VLOOKUP($C84,装備品!$1:$998,COLUMN(N$1),FALSE)*(VLOOKUP($D84,素材!$1:$1002,COLUMN(D$1),FALSE)/100),1),"")</f>
        <v>0</v>
      </c>
      <c r="S84">
        <f>IFERROR(VLOOKUP($C84,装備品!$1:$998,COLUMN(P$1),FALSE),"")</f>
        <v>0</v>
      </c>
      <c r="T84">
        <f>IFERROR(VLOOKUP($C84,装備品!$1:$998,COLUMN(Q$1),FALSE),"")</f>
        <v>0</v>
      </c>
      <c r="U84">
        <f>IFERROR(VLOOKUP($C84,装備品!$1:$998,COLUMN(R$1),FALSE),"")</f>
        <v>0</v>
      </c>
      <c r="V84">
        <f>IFERROR(VLOOKUP($C84,装備品!$1:$998,COLUMN(Q$1),FALSE),"")</f>
        <v>0</v>
      </c>
      <c r="W84">
        <f>IFERROR(VLOOKUP($C84,装備品!$1:$998,COLUMN(T$1),FALSE),"")</f>
        <v>0</v>
      </c>
      <c r="Y84">
        <f>IFERROR(VLOOKUP($C84,装備品!$1:$998,COLUMN(U$1),FALSE),"")</f>
        <v>0</v>
      </c>
      <c r="Z84">
        <f>IFERROR(ROUNDUP(VLOOKUP($C84,装備品!$1:$998,COLUMN(O$1),FALSE)*VLOOKUP($D84,素材!$1:$1016,COLUMN(E$1),FALSE),1),"")</f>
        <v>0</v>
      </c>
      <c r="AA84">
        <f>IF(ISNUMBER(SEARCH(SUBSTITUTE(AA$1,RIGHT(AA$1,2),""),VLOOKUP($D84,素材!$1:$1016,COLUMN($F$1),FALSE))),VLOOKUP($C84,装備品!$1:$998,COLUMN($O$1),FALSE)*VLOOKUP($D84,素材!$1:$1016,COLUMN($E$1),FALSE)/(LEN(VLOOKUP($D84,素材!$1:$1016,COLUMN($F$1),FALSE))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IFERROR(VLOOKUP($C84,装備品!$1:$998,COLUMN(V$1),FALSE)*VLOOKUP($D84,素材!$1:$1016,COLUMN(N$1),FALSE)+IF(CI84="",0,VLOOKUP($CI84,付与!$1:$1176,COLUMN($CK$1),FALSE)),"")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IFERROR(VLOOKUP($D85,素材!$1:$1016,COLUMN($B$1),FALSE)&amp;"・"&amp;VLOOKUP($C85,装備品!$1:$998,COLUMN(B$1),FALSE),"")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IFERROR(VLOOKUP(C85,装備品!$1:$998,COLUMN(C$1),FALSE),"")</f>
        <v>武器</v>
      </c>
      <c r="F85">
        <f>IFERROR(ROUNDDOWN((VLOOKUP($C85,装備品!$1:$998,COLUMN(D$1),FALSE)+IFERROR(VLOOKUP($CI85,付与!$1:$1167,COLUMN(F$1),FALSE),0))*VLOOKUP($D85,素材!$1:$1016,COLUMN(D$1),FALSE),0),"")</f>
        <v>115</v>
      </c>
      <c r="G85">
        <f>IFERROR(ROUNDDOWN((VLOOKUP($C85,装備品!$1:$998,COLUMN(E$1),FALSE)+IFERROR(VLOOKUP($CI85,付与!$1:$1167,COLUMN(G$1),FALSE),0))*VLOOKUP($D85,素材!$1:$1016,COLUMN($E$1),FALSE),0),"")</f>
        <v>5</v>
      </c>
      <c r="H85">
        <f>IFERROR(ROUNDDOWN((VLOOKUP($C85,装備品!$1:$998,COLUMN(F$1),FALSE)+IFERROR(VLOOKUP($CI85,付与!$1:$1167,COLUMN(H$1),FALSE),0))*VLOOKUP($D85,素材!$1:$1016,COLUMN($E$1),FALSE),0),"")</f>
        <v>24</v>
      </c>
      <c r="I85">
        <f>IFERROR(ROUNDDOWN((VLOOKUP($C85,装備品!$1:$998,COLUMN(G$1),FALSE)+IFERROR(VLOOKUP($CI85,付与!$1:$1167,COLUMN(I$1),FALSE),0))*VLOOKUP($D85,素材!$1:$1016,COLUMN($E$1),FALSE),0),"")</f>
        <v>0</v>
      </c>
      <c r="J85">
        <f>IFERROR(ROUNDDOWN((VLOOKUP($C85,装備品!$1:$998,COLUMN(H$1),FALSE)+IFERROR(VLOOKUP($CI85,付与!$1:$1167,COLUMN(J$1),FALSE),0))*VLOOKUP($D85,素材!$1:$1016,COLUMN($E$1),FALSE),0),"")</f>
        <v>22</v>
      </c>
      <c r="K85">
        <f>IFERROR(ROUNDDOWN((VLOOKUP($C85,装備品!$1:$998,COLUMN(I$1),FALSE)+IFERROR(VLOOKUP($CI85,付与!$1:$1167,COLUMN(K$1),FALSE),0))*VLOOKUP($D85,素材!$1:$1016,COLUMN($E$1),FALSE),0),"")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IFERROR(VLOOKUP($C85,装備品!$1:$998,COLUMN(AA$1),FALSE)*VLOOKUP($D85,素材!$1:$1016,COLUMN($G$1),FALSE),"")</f>
        <v>0</v>
      </c>
      <c r="N85">
        <f>IFERROR(VLOOKUP($C85,装備品!$1:$998,COLUMN(I$1),FALSE),"")</f>
        <v>0</v>
      </c>
      <c r="O85" s="23">
        <f>IFERROR((VLOOKUP($C85,装備品!$1:$998,COLUMN(K$1),FALSE)+VLOOKUP($D85,素材!$1:$1016,COLUMN(H$1),FALSE))*100+IFERROR(VLOOKUP($CI85,付与!$1:$1167,COLUMN(O$1),FALSE),0),"")</f>
        <v>10</v>
      </c>
      <c r="P85" s="23">
        <f>IFERROR((VLOOKUP($C85,装備品!$1:$998,COLUMN(L$1),FALSE)+VLOOKUP($D85,素材!$1:$1016,COLUMN(I$1),FALSE))*100+IFERROR(VLOOKUP($CI85,付与!$1:$1167,COLUMN(P$1),FALSE),0),"")</f>
        <v>150</v>
      </c>
      <c r="Q85">
        <f>IFERROR(ROUNDUP(VLOOKUP($C85,装備品!$1:$998,COLUMN(M$1),FALSE)*(VLOOKUP($D85,素材!$1:$1002,COLUMN(D$1),FALSE)/100),1),"")</f>
        <v>0</v>
      </c>
      <c r="R85">
        <f>IFERROR(ROUNDUP(VLOOKUP($C85,装備品!$1:$998,COLUMN(N$1),FALSE)*(VLOOKUP($D85,素材!$1:$1002,COLUMN(D$1),FALSE)/100),1),"")</f>
        <v>0</v>
      </c>
      <c r="S85">
        <f>IFERROR(VLOOKUP($C85,装備品!$1:$998,COLUMN(P$1),FALSE),"")</f>
        <v>0</v>
      </c>
      <c r="T85">
        <f>IFERROR(VLOOKUP($C85,装備品!$1:$998,COLUMN(Q$1),FALSE),"")</f>
        <v>0</v>
      </c>
      <c r="U85">
        <f>IFERROR(VLOOKUP($C85,装備品!$1:$998,COLUMN(R$1),FALSE),"")</f>
        <v>0</v>
      </c>
      <c r="V85">
        <f>IFERROR(VLOOKUP($C85,装備品!$1:$998,COLUMN(Q$1),FALSE),"")</f>
        <v>0</v>
      </c>
      <c r="W85">
        <f>IFERROR(VLOOKUP($C85,装備品!$1:$998,COLUMN(T$1),FALSE),"")</f>
        <v>0</v>
      </c>
      <c r="Y85">
        <f>IFERROR(VLOOKUP($C85,装備品!$1:$998,COLUMN(U$1),FALSE),"")</f>
        <v>0</v>
      </c>
      <c r="Z85">
        <f>IFERROR(ROUNDUP(VLOOKUP($C85,装備品!$1:$998,COLUMN(O$1),FALSE)*VLOOKUP($D85,素材!$1:$1016,COLUMN(E$1),FALSE),1),"")</f>
        <v>0</v>
      </c>
      <c r="AA85">
        <f>IF(ISNUMBER(SEARCH(SUBSTITUTE(AA$1,RIGHT(AA$1,2),""),VLOOKUP($D85,素材!$1:$1016,COLUMN($F$1),FALSE))),VLOOKUP($C85,装備品!$1:$998,COLUMN($O$1),FALSE)*VLOOKUP($D85,素材!$1:$1016,COLUMN($E$1),FALSE)/(LEN(VLOOKUP($D85,素材!$1:$1016,COLUMN($F$1),FALSE))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IFERROR(VLOOKUP($C85,装備品!$1:$998,COLUMN(V$1),FALSE)*VLOOKUP($D85,素材!$1:$1016,COLUMN(N$1),FALSE)+IF(CI85="",0,VLOOKUP($CI85,付与!$1:$1176,COLUMN($CK$1),FALSE)),"")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IFERROR(VLOOKUP($D86,素材!$1:$1016,COLUMN($B$1),FALSE)&amp;"・"&amp;VLOOKUP($C86,装備品!$1:$998,COLUMN(B$1),FALSE),"")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IFERROR(VLOOKUP(C86,装備品!$1:$998,COLUMN(C$1),FALSE),"")</f>
        <v>武器</v>
      </c>
      <c r="F86">
        <f>IFERROR(ROUNDDOWN((VLOOKUP($C86,装備品!$1:$998,COLUMN(D$1),FALSE)+IFERROR(VLOOKUP($CI86,付与!$1:$1167,COLUMN(F$1),FALSE),0))*VLOOKUP($D86,素材!$1:$1016,COLUMN(D$1),FALSE),0),"")</f>
        <v>110</v>
      </c>
      <c r="G86">
        <f>IFERROR(ROUNDDOWN((VLOOKUP($C86,装備品!$1:$998,COLUMN(E$1),FALSE)+IFERROR(VLOOKUP($CI86,付与!$1:$1167,COLUMN(G$1),FALSE),0))*VLOOKUP($D86,素材!$1:$1016,COLUMN($E$1),FALSE),0),"")</f>
        <v>10</v>
      </c>
      <c r="H86">
        <f>IFERROR(ROUNDDOWN((VLOOKUP($C86,装備品!$1:$998,COLUMN(F$1),FALSE)+IFERROR(VLOOKUP($CI86,付与!$1:$1167,COLUMN(H$1),FALSE),0))*VLOOKUP($D86,素材!$1:$1016,COLUMN($E$1),FALSE),0),"")</f>
        <v>18</v>
      </c>
      <c r="I86">
        <f>IFERROR(ROUNDDOWN((VLOOKUP($C86,装備品!$1:$998,COLUMN(G$1),FALSE)+IFERROR(VLOOKUP($CI86,付与!$1:$1167,COLUMN(I$1),FALSE),0))*VLOOKUP($D86,素材!$1:$1016,COLUMN($E$1),FALSE),0),"")</f>
        <v>4</v>
      </c>
      <c r="J86">
        <f>IFERROR(ROUNDDOWN((VLOOKUP($C86,装備品!$1:$998,COLUMN(H$1),FALSE)+IFERROR(VLOOKUP($CI86,付与!$1:$1167,COLUMN(J$1),FALSE),0))*VLOOKUP($D86,素材!$1:$1016,COLUMN($E$1),FALSE),0),"")</f>
        <v>22</v>
      </c>
      <c r="K86">
        <f>IFERROR(ROUNDDOWN((VLOOKUP($C86,装備品!$1:$998,COLUMN(I$1),FALSE)+IFERROR(VLOOKUP($CI86,付与!$1:$1167,COLUMN(K$1),FALSE),0))*VLOOKUP($D86,素材!$1:$1016,COLUMN($E$1),FALSE),0),"")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IFERROR(VLOOKUP($C86,装備品!$1:$998,COLUMN(AA$1),FALSE)*VLOOKUP($D86,素材!$1:$1016,COLUMN($G$1),FALSE),"")</f>
        <v>0</v>
      </c>
      <c r="N86">
        <f>IFERROR(VLOOKUP($C86,装備品!$1:$998,COLUMN(I$1),FALSE),"")</f>
        <v>0</v>
      </c>
      <c r="O86" s="23">
        <f>IFERROR((VLOOKUP($C86,装備品!$1:$998,COLUMN(K$1),FALSE)+VLOOKUP($D86,素材!$1:$1016,COLUMN(H$1),FALSE))*100+IFERROR(VLOOKUP($CI86,付与!$1:$1167,COLUMN(O$1),FALSE),0),"")</f>
        <v>10</v>
      </c>
      <c r="P86" s="23">
        <f>IFERROR((VLOOKUP($C86,装備品!$1:$998,COLUMN(L$1),FALSE)+VLOOKUP($D86,素材!$1:$1016,COLUMN(I$1),FALSE))*100+IFERROR(VLOOKUP($CI86,付与!$1:$1167,COLUMN(P$1),FALSE),0),"")</f>
        <v>150</v>
      </c>
      <c r="Q86">
        <f>IFERROR(ROUNDUP(VLOOKUP($C86,装備品!$1:$998,COLUMN(M$1),FALSE)*(VLOOKUP($D86,素材!$1:$1002,COLUMN(D$1),FALSE)/100),1),"")</f>
        <v>0</v>
      </c>
      <c r="R86">
        <f>IFERROR(ROUNDUP(VLOOKUP($C86,装備品!$1:$998,COLUMN(N$1),FALSE)*(VLOOKUP($D86,素材!$1:$1002,COLUMN(D$1),FALSE)/100),1),"")</f>
        <v>0</v>
      </c>
      <c r="S86">
        <f>IFERROR(VLOOKUP($C86,装備品!$1:$998,COLUMN(P$1),FALSE),"")</f>
        <v>0</v>
      </c>
      <c r="T86">
        <f>IFERROR(VLOOKUP($C86,装備品!$1:$998,COLUMN(Q$1),FALSE),"")</f>
        <v>0</v>
      </c>
      <c r="U86">
        <f>IFERROR(VLOOKUP($C86,装備品!$1:$998,COLUMN(R$1),FALSE),"")</f>
        <v>0</v>
      </c>
      <c r="V86">
        <f>IFERROR(VLOOKUP($C86,装備品!$1:$998,COLUMN(Q$1),FALSE),"")</f>
        <v>0</v>
      </c>
      <c r="W86">
        <f>IFERROR(VLOOKUP($C86,装備品!$1:$998,COLUMN(T$1),FALSE),"")</f>
        <v>0</v>
      </c>
      <c r="Y86">
        <f>IFERROR(VLOOKUP($C86,装備品!$1:$998,COLUMN(U$1),FALSE),"")</f>
        <v>0</v>
      </c>
      <c r="Z86">
        <f>IFERROR(ROUNDUP(VLOOKUP($C86,装備品!$1:$998,COLUMN(O$1),FALSE)*VLOOKUP($D86,素材!$1:$1016,COLUMN(E$1),FALSE),1),"")</f>
        <v>0</v>
      </c>
      <c r="AA86">
        <f>IF(ISNUMBER(SEARCH(SUBSTITUTE(AA$1,RIGHT(AA$1,2),""),VLOOKUP($D86,素材!$1:$1016,COLUMN($F$1),FALSE))),VLOOKUP($C86,装備品!$1:$998,COLUMN($O$1),FALSE)*VLOOKUP($D86,素材!$1:$1016,COLUMN($E$1),FALSE)/(LEN(VLOOKUP($D86,素材!$1:$1016,COLUMN($F$1),FALSE))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IFERROR(VLOOKUP($C86,装備品!$1:$998,COLUMN(V$1),FALSE)*VLOOKUP($D86,素材!$1:$1016,COLUMN(N$1),FALSE)+IF(CI86="",0,VLOOKUP($CI86,付与!$1:$1176,COLUMN($CK$1),FALSE)),"")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IFERROR(VLOOKUP($D87,素材!$1:$1016,COLUMN($B$1),FALSE)&amp;"・"&amp;VLOOKUP($C87,装備品!$1:$998,COLUMN(B$1),FALSE),"")</f>
        <v>スチール・スピア</v>
      </c>
      <c r="C87" s="24" t="s">
        <v>232</v>
      </c>
      <c r="D87" s="24" t="s">
        <v>252</v>
      </c>
      <c r="E87" t="str">
        <f>IFERROR(VLOOKUP(C87,装備品!$1:$998,COLUMN(C$1),FALSE),"")</f>
        <v>武器</v>
      </c>
      <c r="F87">
        <f>IFERROR(ROUNDDOWN((VLOOKUP($C87,装備品!$1:$998,COLUMN(D$1),FALSE)+IFERROR(VLOOKUP($CI87,付与!$1:$1167,COLUMN(F$1),FALSE),0))*VLOOKUP($D87,素材!$1:$1016,COLUMN(D$1),FALSE),0),"")</f>
        <v>120</v>
      </c>
      <c r="G87">
        <f>IFERROR(ROUNDDOWN((VLOOKUP($C87,装備品!$1:$998,COLUMN(E$1),FALSE)+IFERROR(VLOOKUP($CI87,付与!$1:$1167,COLUMN(G$1),FALSE),0))*VLOOKUP($D87,素材!$1:$1016,COLUMN($E$1),FALSE),0),"")</f>
        <v>10</v>
      </c>
      <c r="H87">
        <f>IFERROR(ROUNDDOWN((VLOOKUP($C87,装備品!$1:$998,COLUMN(F$1),FALSE)+IFERROR(VLOOKUP($CI87,付与!$1:$1167,COLUMN(H$1),FALSE),0))*VLOOKUP($D87,素材!$1:$1016,COLUMN($E$1),FALSE),0),"")</f>
        <v>21</v>
      </c>
      <c r="I87">
        <f>IFERROR(ROUNDDOWN((VLOOKUP($C87,装備品!$1:$998,COLUMN(G$1),FALSE)+IFERROR(VLOOKUP($CI87,付与!$1:$1167,COLUMN(I$1),FALSE),0))*VLOOKUP($D87,素材!$1:$1016,COLUMN($E$1),FALSE),0),"")</f>
        <v>4</v>
      </c>
      <c r="J87">
        <f>IFERROR(ROUNDDOWN((VLOOKUP($C87,装備品!$1:$998,COLUMN(H$1),FALSE)+IFERROR(VLOOKUP($CI87,付与!$1:$1167,COLUMN(J$1),FALSE),0))*VLOOKUP($D87,素材!$1:$1016,COLUMN($E$1),FALSE),0),"")</f>
        <v>22</v>
      </c>
      <c r="K87">
        <f>IFERROR(ROUNDDOWN((VLOOKUP($C87,装備品!$1:$998,COLUMN(I$1),FALSE)+IFERROR(VLOOKUP($CI87,付与!$1:$1167,COLUMN(K$1),FALSE),0))*VLOOKUP($D87,素材!$1:$1016,COLUMN($E$1),FALSE),0),"")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IFERROR(VLOOKUP($C87,装備品!$1:$998,COLUMN(AA$1),FALSE)*VLOOKUP($D87,素材!$1:$1016,COLUMN($G$1),FALSE),"")</f>
        <v>0</v>
      </c>
      <c r="N87">
        <f>IFERROR(VLOOKUP($C87,装備品!$1:$998,COLUMN(I$1),FALSE),"")</f>
        <v>0</v>
      </c>
      <c r="O87" s="23">
        <f>IFERROR((VLOOKUP($C87,装備品!$1:$998,COLUMN(K$1),FALSE)+VLOOKUP($D87,素材!$1:$1016,COLUMN(H$1),FALSE))*100+IFERROR(VLOOKUP($CI87,付与!$1:$1167,COLUMN(O$1),FALSE),0),"")</f>
        <v>10</v>
      </c>
      <c r="P87" s="23">
        <f>IFERROR((VLOOKUP($C87,装備品!$1:$998,COLUMN(L$1),FALSE)+VLOOKUP($D87,素材!$1:$1016,COLUMN(I$1),FALSE))*100+IFERROR(VLOOKUP($CI87,付与!$1:$1167,COLUMN(P$1),FALSE),0),"")</f>
        <v>150</v>
      </c>
      <c r="Q87">
        <f>IFERROR(ROUNDUP(VLOOKUP($C87,装備品!$1:$998,COLUMN(M$1),FALSE)*(VLOOKUP($D87,素材!$1:$1002,COLUMN(D$1),FALSE)/100),1),"")</f>
        <v>0</v>
      </c>
      <c r="R87">
        <f>IFERROR(ROUNDUP(VLOOKUP($C87,装備品!$1:$998,COLUMN(N$1),FALSE)*(VLOOKUP($D87,素材!$1:$1002,COLUMN(D$1),FALSE)/100),1),"")</f>
        <v>-5.3</v>
      </c>
      <c r="S87">
        <f>IFERROR(VLOOKUP($C87,装備品!$1:$998,COLUMN(P$1),FALSE),"")</f>
        <v>0</v>
      </c>
      <c r="T87">
        <f>IFERROR(VLOOKUP($C87,装備品!$1:$998,COLUMN(Q$1),FALSE),"")</f>
        <v>0</v>
      </c>
      <c r="U87">
        <f>IFERROR(VLOOKUP($C87,装備品!$1:$998,COLUMN(R$1),FALSE),"")</f>
        <v>0</v>
      </c>
      <c r="V87">
        <f>IFERROR(VLOOKUP($C87,装備品!$1:$998,COLUMN(Q$1),FALSE),"")</f>
        <v>0</v>
      </c>
      <c r="W87">
        <f>IFERROR(VLOOKUP($C87,装備品!$1:$998,COLUMN(T$1),FALSE),"")</f>
        <v>0</v>
      </c>
      <c r="Y87">
        <f>IFERROR(VLOOKUP($C87,装備品!$1:$998,COLUMN(U$1),FALSE),"")</f>
        <v>0</v>
      </c>
      <c r="Z87">
        <f>IFERROR(ROUNDUP(VLOOKUP($C87,装備品!$1:$998,COLUMN(O$1),FALSE)*VLOOKUP($D87,素材!$1:$1016,COLUMN(E$1),FALSE),1),"")</f>
        <v>0</v>
      </c>
      <c r="AA87">
        <f>IF(ISNUMBER(SEARCH(SUBSTITUTE(AA$1,RIGHT(AA$1,2),""),VLOOKUP($D87,素材!$1:$1016,COLUMN($F$1),FALSE))),VLOOKUP($C87,装備品!$1:$998,COLUMN($O$1),FALSE)*VLOOKUP($D87,素材!$1:$1016,COLUMN($E$1),FALSE)/(LEN(VLOOKUP($D87,素材!$1:$1016,COLUMN($F$1),FALSE))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IFERROR(VLOOKUP($C87,装備品!$1:$998,COLUMN(V$1),FALSE)*VLOOKUP($D87,素材!$1:$1016,COLUMN(N$1),FALSE)+IF(CI87="",0,VLOOKUP($CI87,付与!$1:$1176,COLUMN($CK$1),FALSE)),"")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IFERROR(VLOOKUP($D88,素材!$1:$1016,COLUMN($B$1),FALSE)&amp;"・"&amp;VLOOKUP($C88,装備品!$1:$998,COLUMN(B$1),FALSE),"")</f>
        <v>スチール・ランス</v>
      </c>
      <c r="C88" s="24" t="s">
        <v>231</v>
      </c>
      <c r="D88" s="24" t="s">
        <v>252</v>
      </c>
      <c r="E88" t="str">
        <f>IFERROR(VLOOKUP(C88,装備品!$1:$998,COLUMN(C$1),FALSE),"")</f>
        <v>武器</v>
      </c>
      <c r="F88">
        <f>IFERROR(ROUNDDOWN((VLOOKUP($C88,装備品!$1:$998,COLUMN(D$1),FALSE)+IFERROR(VLOOKUP($CI88,付与!$1:$1167,COLUMN(F$1),FALSE),0))*VLOOKUP($D88,素材!$1:$1016,COLUMN(D$1),FALSE),0),"")</f>
        <v>120</v>
      </c>
      <c r="G88">
        <f>IFERROR(ROUNDDOWN((VLOOKUP($C88,装備品!$1:$998,COLUMN(E$1),FALSE)+IFERROR(VLOOKUP($CI88,付与!$1:$1167,COLUMN(G$1),FALSE),0))*VLOOKUP($D88,素材!$1:$1016,COLUMN($E$1),FALSE),0),"")</f>
        <v>0</v>
      </c>
      <c r="H88">
        <f>IFERROR(ROUNDDOWN((VLOOKUP($C88,装備品!$1:$998,COLUMN(F$1),FALSE)+IFERROR(VLOOKUP($CI88,付与!$1:$1167,COLUMN(H$1),FALSE),0))*VLOOKUP($D88,素材!$1:$1016,COLUMN($E$1),FALSE),0),"")</f>
        <v>25</v>
      </c>
      <c r="I88">
        <f>IFERROR(ROUNDDOWN((VLOOKUP($C88,装備品!$1:$998,COLUMN(G$1),FALSE)+IFERROR(VLOOKUP($CI88,付与!$1:$1167,COLUMN(I$1),FALSE),0))*VLOOKUP($D88,素材!$1:$1016,COLUMN($E$1),FALSE),0),"")</f>
        <v>12</v>
      </c>
      <c r="J88">
        <f>IFERROR(ROUNDDOWN((VLOOKUP($C88,装備品!$1:$998,COLUMN(H$1),FALSE)+IFERROR(VLOOKUP($CI88,付与!$1:$1167,COLUMN(J$1),FALSE),0))*VLOOKUP($D88,素材!$1:$1016,COLUMN($E$1),FALSE),0),"")</f>
        <v>27</v>
      </c>
      <c r="K88">
        <f>IFERROR(ROUNDDOWN((VLOOKUP($C88,装備品!$1:$998,COLUMN(I$1),FALSE)+IFERROR(VLOOKUP($CI88,付与!$1:$1167,COLUMN(K$1),FALSE),0))*VLOOKUP($D88,素材!$1:$1016,COLUMN($E$1),FALSE),0),"")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IFERROR(VLOOKUP($C88,装備品!$1:$998,COLUMN(AA$1),FALSE)*VLOOKUP($D88,素材!$1:$1016,COLUMN($G$1),FALSE),"")</f>
        <v>0</v>
      </c>
      <c r="N88">
        <f>IFERROR(VLOOKUP($C88,装備品!$1:$998,COLUMN(I$1),FALSE),"")</f>
        <v>0</v>
      </c>
      <c r="O88" s="23">
        <f>IFERROR((VLOOKUP($C88,装備品!$1:$998,COLUMN(K$1),FALSE)+VLOOKUP($D88,素材!$1:$1016,COLUMN(H$1),FALSE))*100+IFERROR(VLOOKUP($CI88,付与!$1:$1167,COLUMN(O$1),FALSE),0),"")</f>
        <v>5</v>
      </c>
      <c r="P88" s="23">
        <f>IFERROR((VLOOKUP($C88,装備品!$1:$998,COLUMN(L$1),FALSE)+VLOOKUP($D88,素材!$1:$1016,COLUMN(I$1),FALSE))*100+IFERROR(VLOOKUP($CI88,付与!$1:$1167,COLUMN(P$1),FALSE),0),"")</f>
        <v>175</v>
      </c>
      <c r="Q88">
        <f>IFERROR(ROUNDUP(VLOOKUP($C88,装備品!$1:$998,COLUMN(M$1),FALSE)*(VLOOKUP($D88,素材!$1:$1002,COLUMN(D$1),FALSE)/100),1),"")</f>
        <v>-5.3</v>
      </c>
      <c r="R88">
        <f>IFERROR(ROUNDUP(VLOOKUP($C88,装備品!$1:$998,COLUMN(N$1),FALSE)*(VLOOKUP($D88,素材!$1:$1002,COLUMN(D$1),FALSE)/100),1),"")</f>
        <v>-5.3</v>
      </c>
      <c r="S88">
        <f>IFERROR(VLOOKUP($C88,装備品!$1:$998,COLUMN(P$1),FALSE),"")</f>
        <v>0</v>
      </c>
      <c r="T88">
        <f>IFERROR(VLOOKUP($C88,装備品!$1:$998,COLUMN(Q$1),FALSE),"")</f>
        <v>0</v>
      </c>
      <c r="U88">
        <f>IFERROR(VLOOKUP($C88,装備品!$1:$998,COLUMN(R$1),FALSE),"")</f>
        <v>-15</v>
      </c>
      <c r="V88">
        <f>IFERROR(VLOOKUP($C88,装備品!$1:$998,COLUMN(Q$1),FALSE),"")</f>
        <v>0</v>
      </c>
      <c r="W88">
        <f>IFERROR(VLOOKUP($C88,装備品!$1:$998,COLUMN(T$1),FALSE),"")</f>
        <v>0</v>
      </c>
      <c r="Y88">
        <f>IFERROR(VLOOKUP($C88,装備品!$1:$998,COLUMN(U$1),FALSE),"")</f>
        <v>0</v>
      </c>
      <c r="Z88">
        <f>IFERROR(ROUNDUP(VLOOKUP($C88,装備品!$1:$998,COLUMN(O$1),FALSE)*VLOOKUP($D88,素材!$1:$1016,COLUMN(E$1),FALSE),1),"")</f>
        <v>0</v>
      </c>
      <c r="AA88">
        <f>IF(ISNUMBER(SEARCH(SUBSTITUTE(AA$1,RIGHT(AA$1,2),""),VLOOKUP($D88,素材!$1:$1016,COLUMN($F$1),FALSE))),VLOOKUP($C88,装備品!$1:$998,COLUMN($O$1),FALSE)*VLOOKUP($D88,素材!$1:$1016,COLUMN($E$1),FALSE)/(LEN(VLOOKUP($D88,素材!$1:$1016,COLUMN($F$1),FALSE))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IFERROR(VLOOKUP($C88,装備品!$1:$998,COLUMN(V$1),FALSE)*VLOOKUP($D88,素材!$1:$1016,COLUMN(N$1),FALSE)+IF(CI88="",0,VLOOKUP($CI88,付与!$1:$1176,COLUMN($CK$1),FALSE)),"")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IFERROR(VLOOKUP($D89,素材!$1:$1016,COLUMN($B$1),FALSE)&amp;"・"&amp;VLOOKUP($C89,装備品!$1:$998,COLUMN(B$1),FALSE),"")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IFERROR(VLOOKUP(C89,装備品!$1:$998,COLUMN(C$1),FALSE),"")</f>
        <v>武器</v>
      </c>
      <c r="F89">
        <f>IFERROR(ROUNDDOWN((VLOOKUP($C89,装備品!$1:$998,COLUMN(D$1),FALSE)+IFERROR(VLOOKUP($CI89,付与!$1:$1167,COLUMN(F$1),FALSE),0))*VLOOKUP($D89,素材!$1:$1016,COLUMN(D$1),FALSE),0),"")</f>
        <v>115</v>
      </c>
      <c r="G89">
        <f>IFERROR(ROUNDDOWN((VLOOKUP($C89,装備品!$1:$998,COLUMN(E$1),FALSE)+IFERROR(VLOOKUP($CI89,付与!$1:$1167,COLUMN(G$1),FALSE),0))*VLOOKUP($D89,素材!$1:$1016,COLUMN($E$1),FALSE),0),"")</f>
        <v>10</v>
      </c>
      <c r="H89">
        <f>IFERROR(ROUNDDOWN((VLOOKUP($C89,装備品!$1:$998,COLUMN(F$1),FALSE)+IFERROR(VLOOKUP($CI89,付与!$1:$1167,COLUMN(H$1),FALSE),0))*VLOOKUP($D89,素材!$1:$1016,COLUMN($E$1),FALSE),0),"")</f>
        <v>13</v>
      </c>
      <c r="I89">
        <f>IFERROR(ROUNDDOWN((VLOOKUP($C89,装備品!$1:$998,COLUMN(G$1),FALSE)+IFERROR(VLOOKUP($CI89,付与!$1:$1167,COLUMN(I$1),FALSE),0))*VLOOKUP($D89,素材!$1:$1016,COLUMN($E$1),FALSE),0),"")</f>
        <v>8</v>
      </c>
      <c r="J89">
        <f>IFERROR(ROUNDDOWN((VLOOKUP($C89,装備品!$1:$998,COLUMN(H$1),FALSE)+IFERROR(VLOOKUP($CI89,付与!$1:$1167,COLUMN(J$1),FALSE),0))*VLOOKUP($D89,素材!$1:$1016,COLUMN($E$1),FALSE),0),"")</f>
        <v>25</v>
      </c>
      <c r="K89">
        <f>IFERROR(ROUNDDOWN((VLOOKUP($C89,装備品!$1:$998,COLUMN(I$1),FALSE)+IFERROR(VLOOKUP($CI89,付与!$1:$1167,COLUMN(K$1),FALSE),0))*VLOOKUP($D89,素材!$1:$1016,COLUMN($E$1),FALSE),0),"")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IFERROR(VLOOKUP($C89,装備品!$1:$998,COLUMN(AA$1),FALSE)*VLOOKUP($D89,素材!$1:$1016,COLUMN($G$1),FALSE),"")</f>
        <v>0</v>
      </c>
      <c r="N89">
        <f>IFERROR(VLOOKUP($C89,装備品!$1:$998,COLUMN(I$1),FALSE),"")</f>
        <v>0</v>
      </c>
      <c r="O89" s="23">
        <f>IFERROR((VLOOKUP($C89,装備品!$1:$998,COLUMN(K$1),FALSE)+VLOOKUP($D89,素材!$1:$1016,COLUMN(H$1),FALSE))*100+IFERROR(VLOOKUP($CI89,付与!$1:$1167,COLUMN(O$1),FALSE),0),"")</f>
        <v>10</v>
      </c>
      <c r="P89" s="23">
        <f>IFERROR((VLOOKUP($C89,装備品!$1:$998,COLUMN(L$1),FALSE)+VLOOKUP($D89,素材!$1:$1016,COLUMN(I$1),FALSE))*100+IFERROR(VLOOKUP($CI89,付与!$1:$1167,COLUMN(P$1),FALSE),0),"")</f>
        <v>150</v>
      </c>
      <c r="Q89">
        <f>IFERROR(ROUNDUP(VLOOKUP($C89,装備品!$1:$998,COLUMN(M$1),FALSE)*(VLOOKUP($D89,素材!$1:$1002,COLUMN(D$1),FALSE)/100),1),"")</f>
        <v>-5.3</v>
      </c>
      <c r="R89">
        <f>IFERROR(ROUNDUP(VLOOKUP($C89,装備品!$1:$998,COLUMN(N$1),FALSE)*(VLOOKUP($D89,素材!$1:$1002,COLUMN(D$1),FALSE)/100),1),"")</f>
        <v>-5.3</v>
      </c>
      <c r="S89">
        <f>IFERROR(VLOOKUP($C89,装備品!$1:$998,COLUMN(P$1),FALSE),"")</f>
        <v>0</v>
      </c>
      <c r="T89">
        <f>IFERROR(VLOOKUP($C89,装備品!$1:$998,COLUMN(Q$1),FALSE),"")</f>
        <v>0</v>
      </c>
      <c r="U89">
        <f>IFERROR(VLOOKUP($C89,装備品!$1:$998,COLUMN(R$1),FALSE),"")</f>
        <v>0</v>
      </c>
      <c r="V89">
        <f>IFERROR(VLOOKUP($C89,装備品!$1:$998,COLUMN(Q$1),FALSE),"")</f>
        <v>0</v>
      </c>
      <c r="W89">
        <f>IFERROR(VLOOKUP($C89,装備品!$1:$998,COLUMN(T$1),FALSE),"")</f>
        <v>0</v>
      </c>
      <c r="Y89">
        <f>IFERROR(VLOOKUP($C89,装備品!$1:$998,COLUMN(U$1),FALSE),"")</f>
        <v>0</v>
      </c>
      <c r="Z89">
        <f>IFERROR(ROUNDUP(VLOOKUP($C89,装備品!$1:$998,COLUMN(O$1),FALSE)*VLOOKUP($D89,素材!$1:$1016,COLUMN(E$1),FALSE),1),"")</f>
        <v>0</v>
      </c>
      <c r="AA89">
        <f>IF(ISNUMBER(SEARCH(SUBSTITUTE(AA$1,RIGHT(AA$1,2),""),VLOOKUP($D89,素材!$1:$1016,COLUMN($F$1),FALSE))),VLOOKUP($C89,装備品!$1:$998,COLUMN($O$1),FALSE)*VLOOKUP($D89,素材!$1:$1016,COLUMN($E$1),FALSE)/(LEN(VLOOKUP($D89,素材!$1:$1016,COLUMN($F$1),FALSE))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IFERROR(VLOOKUP($C89,装備品!$1:$998,COLUMN(V$1),FALSE)*VLOOKUP($D89,素材!$1:$1016,COLUMN(N$1),FALSE)+IF(CI89="",0,VLOOKUP($CI89,付与!$1:$1176,COLUMN($CK$1),FALSE)),"")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IFERROR(VLOOKUP($D90,素材!$1:$1016,COLUMN($B$1),FALSE)&amp;"・"&amp;VLOOKUP($C90,装備品!$1:$998,COLUMN(B$1),FALSE),"")</f>
        <v>スチール・クラブ</v>
      </c>
      <c r="C90" s="24" t="s">
        <v>229</v>
      </c>
      <c r="D90" s="24" t="s">
        <v>252</v>
      </c>
      <c r="E90" t="str">
        <f>IFERROR(VLOOKUP(C90,装備品!$1:$998,COLUMN(C$1),FALSE),"")</f>
        <v>武器</v>
      </c>
      <c r="F90">
        <f>IFERROR(ROUNDDOWN((VLOOKUP($C90,装備品!$1:$998,COLUMN(D$1),FALSE)+IFERROR(VLOOKUP($CI90,付与!$1:$1167,COLUMN(F$1),FALSE),0))*VLOOKUP($D90,素材!$1:$1016,COLUMN(D$1),FALSE),0),"")</f>
        <v>110</v>
      </c>
      <c r="G90">
        <f>IFERROR(ROUNDDOWN((VLOOKUP($C90,装備品!$1:$998,COLUMN(E$1),FALSE)+IFERROR(VLOOKUP($CI90,付与!$1:$1167,COLUMN(G$1),FALSE),0))*VLOOKUP($D90,素材!$1:$1016,COLUMN($E$1),FALSE),0),"")</f>
        <v>2</v>
      </c>
      <c r="H90">
        <f>IFERROR(ROUNDDOWN((VLOOKUP($C90,装備品!$1:$998,COLUMN(F$1),FALSE)+IFERROR(VLOOKUP($CI90,付与!$1:$1167,COLUMN(H$1),FALSE),0))*VLOOKUP($D90,素材!$1:$1016,COLUMN($E$1),FALSE),0),"")</f>
        <v>0</v>
      </c>
      <c r="I90">
        <f>IFERROR(ROUNDDOWN((VLOOKUP($C90,装備品!$1:$998,COLUMN(G$1),FALSE)+IFERROR(VLOOKUP($CI90,付与!$1:$1167,COLUMN(I$1),FALSE),0))*VLOOKUP($D90,素材!$1:$1016,COLUMN($E$1),FALSE),0),"")</f>
        <v>27</v>
      </c>
      <c r="J90">
        <f>IFERROR(ROUNDDOWN((VLOOKUP($C90,装備品!$1:$998,COLUMN(H$1),FALSE)+IFERROR(VLOOKUP($CI90,付与!$1:$1167,COLUMN(J$1),FALSE),0))*VLOOKUP($D90,素材!$1:$1016,COLUMN($E$1),FALSE),0),"")</f>
        <v>25</v>
      </c>
      <c r="K90">
        <f>IFERROR(ROUNDDOWN((VLOOKUP($C90,装備品!$1:$998,COLUMN(I$1),FALSE)+IFERROR(VLOOKUP($CI90,付与!$1:$1167,COLUMN(K$1),FALSE),0))*VLOOKUP($D90,素材!$1:$1016,COLUMN($E$1),FALSE),0),"")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IFERROR(VLOOKUP($C90,装備品!$1:$998,COLUMN(AA$1),FALSE)*VLOOKUP($D90,素材!$1:$1016,COLUMN($G$1),FALSE),"")</f>
        <v>0</v>
      </c>
      <c r="N90">
        <f>IFERROR(VLOOKUP($C90,装備品!$1:$998,COLUMN(I$1),FALSE),"")</f>
        <v>0</v>
      </c>
      <c r="O90" s="23">
        <f>IFERROR((VLOOKUP($C90,装備品!$1:$998,COLUMN(K$1),FALSE)+VLOOKUP($D90,素材!$1:$1016,COLUMN(H$1),FALSE))*100+IFERROR(VLOOKUP($CI90,付与!$1:$1167,COLUMN(O$1),FALSE),0),"")</f>
        <v>5</v>
      </c>
      <c r="P90" s="23">
        <f>IFERROR((VLOOKUP($C90,装備品!$1:$998,COLUMN(L$1),FALSE)+VLOOKUP($D90,素材!$1:$1016,COLUMN(I$1),FALSE))*100+IFERROR(VLOOKUP($CI90,付与!$1:$1167,COLUMN(P$1),FALSE),0),"")</f>
        <v>150</v>
      </c>
      <c r="Q90">
        <f>IFERROR(ROUNDUP(VLOOKUP($C90,装備品!$1:$998,COLUMN(M$1),FALSE)*(VLOOKUP($D90,素材!$1:$1002,COLUMN(D$1),FALSE)/100),1),"")</f>
        <v>0</v>
      </c>
      <c r="R90">
        <f>IFERROR(ROUNDUP(VLOOKUP($C90,装備品!$1:$998,COLUMN(N$1),FALSE)*(VLOOKUP($D90,素材!$1:$1002,COLUMN(D$1),FALSE)/100),1),"")</f>
        <v>0</v>
      </c>
      <c r="S90">
        <f>IFERROR(VLOOKUP($C90,装備品!$1:$998,COLUMN(P$1),FALSE),"")</f>
        <v>0</v>
      </c>
      <c r="T90">
        <f>IFERROR(VLOOKUP($C90,装備品!$1:$998,COLUMN(Q$1),FALSE),"")</f>
        <v>0</v>
      </c>
      <c r="U90">
        <f>IFERROR(VLOOKUP($C90,装備品!$1:$998,COLUMN(R$1),FALSE),"")</f>
        <v>0</v>
      </c>
      <c r="V90">
        <f>IFERROR(VLOOKUP($C90,装備品!$1:$998,COLUMN(Q$1),FALSE),"")</f>
        <v>0</v>
      </c>
      <c r="W90">
        <f>IFERROR(VLOOKUP($C90,装備品!$1:$998,COLUMN(T$1),FALSE),"")</f>
        <v>0</v>
      </c>
      <c r="Y90">
        <f>IFERROR(VLOOKUP($C90,装備品!$1:$998,COLUMN(U$1),FALSE),"")</f>
        <v>0</v>
      </c>
      <c r="Z90">
        <f>IFERROR(ROUNDUP(VLOOKUP($C90,装備品!$1:$998,COLUMN(O$1),FALSE)*VLOOKUP($D90,素材!$1:$1016,COLUMN(E$1),FALSE),1),"")</f>
        <v>0</v>
      </c>
      <c r="AA90">
        <f>IF(ISNUMBER(SEARCH(SUBSTITUTE(AA$1,RIGHT(AA$1,2),""),VLOOKUP($D90,素材!$1:$1016,COLUMN($F$1),FALSE))),VLOOKUP($C90,装備品!$1:$998,COLUMN($O$1),FALSE)*VLOOKUP($D90,素材!$1:$1016,COLUMN($E$1),FALSE)/(LEN(VLOOKUP($D90,素材!$1:$1016,COLUMN($F$1),FALSE))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IFERROR(VLOOKUP($C90,装備品!$1:$998,COLUMN(V$1),FALSE)*VLOOKUP($D90,素材!$1:$1016,COLUMN(N$1),FALSE)+IF(CI90="",0,VLOOKUP($CI90,付与!$1:$1176,COLUMN($CK$1),FALSE)),"")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IFERROR(VLOOKUP($D91,素材!$1:$1016,COLUMN($B$1),FALSE)&amp;"・"&amp;VLOOKUP($C91,装備品!$1:$998,COLUMN(B$1),FALSE),"")</f>
        <v>スチール・メイス</v>
      </c>
      <c r="C91" s="24" t="s">
        <v>228</v>
      </c>
      <c r="D91" s="24" t="s">
        <v>252</v>
      </c>
      <c r="E91" t="str">
        <f>IFERROR(VLOOKUP(C91,装備品!$1:$998,COLUMN(C$1),FALSE),"")</f>
        <v>武器</v>
      </c>
      <c r="F91">
        <f>IFERROR(ROUNDDOWN((VLOOKUP($C91,装備品!$1:$998,COLUMN(D$1),FALSE)+IFERROR(VLOOKUP($CI91,付与!$1:$1167,COLUMN(F$1),FALSE),0))*VLOOKUP($D91,素材!$1:$1016,COLUMN(D$1),FALSE),0),"")</f>
        <v>115</v>
      </c>
      <c r="G91">
        <f>IFERROR(ROUNDDOWN((VLOOKUP($C91,装備品!$1:$998,COLUMN(E$1),FALSE)+IFERROR(VLOOKUP($CI91,付与!$1:$1167,COLUMN(G$1),FALSE),0))*VLOOKUP($D91,素材!$1:$1016,COLUMN($E$1),FALSE),0),"")</f>
        <v>0</v>
      </c>
      <c r="H91">
        <f>IFERROR(ROUNDDOWN((VLOOKUP($C91,装備品!$1:$998,COLUMN(F$1),FALSE)+IFERROR(VLOOKUP($CI91,付与!$1:$1167,COLUMN(H$1),FALSE),0))*VLOOKUP($D91,素材!$1:$1016,COLUMN($E$1),FALSE),0),"")</f>
        <v>0</v>
      </c>
      <c r="I91">
        <f>IFERROR(ROUNDDOWN((VLOOKUP($C91,装備品!$1:$998,COLUMN(G$1),FALSE)+IFERROR(VLOOKUP($CI91,付与!$1:$1167,COLUMN(I$1),FALSE),0))*VLOOKUP($D91,素材!$1:$1016,COLUMN($E$1),FALSE),0),"")</f>
        <v>31</v>
      </c>
      <c r="J91">
        <f>IFERROR(ROUNDDOWN((VLOOKUP($C91,装備品!$1:$998,COLUMN(H$1),FALSE)+IFERROR(VLOOKUP($CI91,付与!$1:$1167,COLUMN(J$1),FALSE),0))*VLOOKUP($D91,素材!$1:$1016,COLUMN($E$1),FALSE),0),"")</f>
        <v>25</v>
      </c>
      <c r="K91">
        <f>IFERROR(ROUNDDOWN((VLOOKUP($C91,装備品!$1:$998,COLUMN(I$1),FALSE)+IFERROR(VLOOKUP($CI91,付与!$1:$1167,COLUMN(K$1),FALSE),0))*VLOOKUP($D91,素材!$1:$1016,COLUMN($E$1),FALSE),0),"")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IFERROR(VLOOKUP($C91,装備品!$1:$998,COLUMN(AA$1),FALSE)*VLOOKUP($D91,素材!$1:$1016,COLUMN($G$1),FALSE),"")</f>
        <v>0</v>
      </c>
      <c r="N91">
        <f>IFERROR(VLOOKUP($C91,装備品!$1:$998,COLUMN(I$1),FALSE),"")</f>
        <v>0</v>
      </c>
      <c r="O91" s="23">
        <f>IFERROR((VLOOKUP($C91,装備品!$1:$998,COLUMN(K$1),FALSE)+VLOOKUP($D91,素材!$1:$1016,COLUMN(H$1),FALSE))*100+IFERROR(VLOOKUP($CI91,付与!$1:$1167,COLUMN(O$1),FALSE),0),"")</f>
        <v>15</v>
      </c>
      <c r="P91" s="23">
        <f>IFERROR((VLOOKUP($C91,装備品!$1:$998,COLUMN(L$1),FALSE)+VLOOKUP($D91,素材!$1:$1016,COLUMN(I$1),FALSE))*100+IFERROR(VLOOKUP($CI91,付与!$1:$1167,COLUMN(P$1),FALSE),0),"")</f>
        <v>125</v>
      </c>
      <c r="Q91">
        <f>IFERROR(ROUNDUP(VLOOKUP($C91,装備品!$1:$998,COLUMN(M$1),FALSE)*(VLOOKUP($D91,素材!$1:$1002,COLUMN(D$1),FALSE)/100),1),"")</f>
        <v>0</v>
      </c>
      <c r="R91">
        <f>IFERROR(ROUNDUP(VLOOKUP($C91,装備品!$1:$998,COLUMN(N$1),FALSE)*(VLOOKUP($D91,素材!$1:$1002,COLUMN(D$1),FALSE)/100),1),"")</f>
        <v>-2.1</v>
      </c>
      <c r="S91">
        <f>IFERROR(VLOOKUP($C91,装備品!$1:$998,COLUMN(P$1),FALSE),"")</f>
        <v>0</v>
      </c>
      <c r="T91">
        <f>IFERROR(VLOOKUP($C91,装備品!$1:$998,COLUMN(Q$1),FALSE),"")</f>
        <v>0</v>
      </c>
      <c r="U91">
        <f>IFERROR(VLOOKUP($C91,装備品!$1:$998,COLUMN(R$1),FALSE),"")</f>
        <v>0</v>
      </c>
      <c r="V91">
        <f>IFERROR(VLOOKUP($C91,装備品!$1:$998,COLUMN(Q$1),FALSE),"")</f>
        <v>0</v>
      </c>
      <c r="W91">
        <f>IFERROR(VLOOKUP($C91,装備品!$1:$998,COLUMN(T$1),FALSE),"")</f>
        <v>0</v>
      </c>
      <c r="Y91">
        <f>IFERROR(VLOOKUP($C91,装備品!$1:$998,COLUMN(U$1),FALSE),"")</f>
        <v>0</v>
      </c>
      <c r="Z91">
        <f>IFERROR(ROUNDUP(VLOOKUP($C91,装備品!$1:$998,COLUMN(O$1),FALSE)*VLOOKUP($D91,素材!$1:$1016,COLUMN(E$1),FALSE),1),"")</f>
        <v>0</v>
      </c>
      <c r="AA91">
        <f>IF(ISNUMBER(SEARCH(SUBSTITUTE(AA$1,RIGHT(AA$1,2),""),VLOOKUP($D91,素材!$1:$1016,COLUMN($F$1),FALSE))),VLOOKUP($C91,装備品!$1:$998,COLUMN($O$1),FALSE)*VLOOKUP($D91,素材!$1:$1016,COLUMN($E$1),FALSE)/(LEN(VLOOKUP($D91,素材!$1:$1016,COLUMN($F$1),FALSE))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IFERROR(VLOOKUP($C91,装備品!$1:$998,COLUMN(V$1),FALSE)*VLOOKUP($D91,素材!$1:$1016,COLUMN(N$1),FALSE)+IF(CI91="",0,VLOOKUP($CI91,付与!$1:$1176,COLUMN($CK$1),FALSE)),"")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IFERROR(VLOOKUP($D92,素材!$1:$1016,COLUMN($B$1),FALSE)&amp;"・"&amp;VLOOKUP($C92,装備品!$1:$998,COLUMN(B$1),FALSE),"")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IFERROR(VLOOKUP(C92,装備品!$1:$998,COLUMN(C$1),FALSE),"")</f>
        <v>武器</v>
      </c>
      <c r="F92">
        <f>IFERROR(ROUNDDOWN((VLOOKUP($C92,装備品!$1:$998,COLUMN(D$1),FALSE)+IFERROR(VLOOKUP($CI92,付与!$1:$1167,COLUMN(F$1),FALSE),0))*VLOOKUP($D92,素材!$1:$1016,COLUMN(D$1),FALSE),0),"")</f>
        <v>110</v>
      </c>
      <c r="G92">
        <f>IFERROR(ROUNDDOWN((VLOOKUP($C92,装備品!$1:$998,COLUMN(E$1),FALSE)+IFERROR(VLOOKUP($CI92,付与!$1:$1167,COLUMN(G$1),FALSE),0))*VLOOKUP($D92,素材!$1:$1016,COLUMN($E$1),FALSE),0),"")</f>
        <v>0</v>
      </c>
      <c r="H92">
        <f>IFERROR(ROUNDDOWN((VLOOKUP($C92,装備品!$1:$998,COLUMN(F$1),FALSE)+IFERROR(VLOOKUP($CI92,付与!$1:$1167,COLUMN(H$1),FALSE),0))*VLOOKUP($D92,素材!$1:$1016,COLUMN($E$1),FALSE),0),"")</f>
        <v>16</v>
      </c>
      <c r="I92">
        <f>IFERROR(ROUNDDOWN((VLOOKUP($C92,装備品!$1:$998,COLUMN(G$1),FALSE)+IFERROR(VLOOKUP($CI92,付与!$1:$1167,COLUMN(I$1),FALSE),0))*VLOOKUP($D92,素材!$1:$1016,COLUMN($E$1),FALSE),0),"")</f>
        <v>16</v>
      </c>
      <c r="J92">
        <f>IFERROR(ROUNDDOWN((VLOOKUP($C92,装備品!$1:$998,COLUMN(H$1),FALSE)+IFERROR(VLOOKUP($CI92,付与!$1:$1167,COLUMN(J$1),FALSE),0))*VLOOKUP($D92,素材!$1:$1016,COLUMN($E$1),FALSE),0),"")</f>
        <v>25</v>
      </c>
      <c r="K92">
        <f>IFERROR(ROUNDDOWN((VLOOKUP($C92,装備品!$1:$998,COLUMN(I$1),FALSE)+IFERROR(VLOOKUP($CI92,付与!$1:$1167,COLUMN(K$1),FALSE),0))*VLOOKUP($D92,素材!$1:$1016,COLUMN($E$1),FALSE),0),"")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IFERROR(VLOOKUP($C92,装備品!$1:$998,COLUMN(AA$1),FALSE)*VLOOKUP($D92,素材!$1:$1016,COLUMN($G$1),FALSE),"")</f>
        <v>0</v>
      </c>
      <c r="N92">
        <f>IFERROR(VLOOKUP($C92,装備品!$1:$998,COLUMN(I$1),FALSE),"")</f>
        <v>0</v>
      </c>
      <c r="O92" s="23">
        <f>IFERROR((VLOOKUP($C92,装備品!$1:$998,COLUMN(K$1),FALSE)+VLOOKUP($D92,素材!$1:$1016,COLUMN(H$1),FALSE))*100+IFERROR(VLOOKUP($CI92,付与!$1:$1167,COLUMN(O$1),FALSE),0),"")</f>
        <v>10</v>
      </c>
      <c r="P92" s="23">
        <f>IFERROR((VLOOKUP($C92,装備品!$1:$998,COLUMN(L$1),FALSE)+VLOOKUP($D92,素材!$1:$1016,COLUMN(I$1),FALSE))*100+IFERROR(VLOOKUP($CI92,付与!$1:$1167,COLUMN(P$1),FALSE),0),"")</f>
        <v>125</v>
      </c>
      <c r="Q92">
        <f>IFERROR(ROUNDUP(VLOOKUP($C92,装備品!$1:$998,COLUMN(M$1),FALSE)*(VLOOKUP($D92,素材!$1:$1002,COLUMN(D$1),FALSE)/100),1),"")</f>
        <v>-2.7</v>
      </c>
      <c r="R92">
        <f>IFERROR(ROUNDUP(VLOOKUP($C92,装備品!$1:$998,COLUMN(N$1),FALSE)*(VLOOKUP($D92,素材!$1:$1002,COLUMN(D$1),FALSE)/100),1),"")</f>
        <v>-2.7</v>
      </c>
      <c r="S92">
        <f>IFERROR(VLOOKUP($C92,装備品!$1:$998,COLUMN(P$1),FALSE),"")</f>
        <v>0</v>
      </c>
      <c r="T92">
        <f>IFERROR(VLOOKUP($C92,装備品!$1:$998,COLUMN(Q$1),FALSE),"")</f>
        <v>0</v>
      </c>
      <c r="U92">
        <f>IFERROR(VLOOKUP($C92,装備品!$1:$998,COLUMN(R$1),FALSE),"")</f>
        <v>0</v>
      </c>
      <c r="V92">
        <f>IFERROR(VLOOKUP($C92,装備品!$1:$998,COLUMN(Q$1),FALSE),"")</f>
        <v>0</v>
      </c>
      <c r="W92">
        <f>IFERROR(VLOOKUP($C92,装備品!$1:$998,COLUMN(T$1),FALSE),"")</f>
        <v>0</v>
      </c>
      <c r="Y92">
        <f>IFERROR(VLOOKUP($C92,装備品!$1:$998,COLUMN(U$1),FALSE),"")</f>
        <v>0</v>
      </c>
      <c r="Z92">
        <f>IFERROR(ROUNDUP(VLOOKUP($C92,装備品!$1:$998,COLUMN(O$1),FALSE)*VLOOKUP($D92,素材!$1:$1016,COLUMN(E$1),FALSE),1),"")</f>
        <v>0</v>
      </c>
      <c r="AA92">
        <f>IF(ISNUMBER(SEARCH(SUBSTITUTE(AA$1,RIGHT(AA$1,2),""),VLOOKUP($D92,素材!$1:$1016,COLUMN($F$1),FALSE))),VLOOKUP($C92,装備品!$1:$998,COLUMN($O$1),FALSE)*VLOOKUP($D92,素材!$1:$1016,COLUMN($E$1),FALSE)/(LEN(VLOOKUP($D92,素材!$1:$1016,COLUMN($F$1),FALSE))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IFERROR(VLOOKUP($C92,装備品!$1:$998,COLUMN(V$1),FALSE)*VLOOKUP($D92,素材!$1:$1016,COLUMN(N$1),FALSE)+IF(CI92="",0,VLOOKUP($CI92,付与!$1:$1176,COLUMN($CK$1),FALSE)),"")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IFERROR(VLOOKUP($D93,素材!$1:$1016,COLUMN($B$1),FALSE)&amp;"・"&amp;VLOOKUP($C93,装備品!$1:$998,COLUMN(B$1),FALSE),"")</f>
        <v>スチール・ハンマー</v>
      </c>
      <c r="C93" t="s">
        <v>226</v>
      </c>
      <c r="D93" s="24" t="s">
        <v>252</v>
      </c>
      <c r="E93" t="str">
        <f>IFERROR(VLOOKUP(C93,装備品!$1:$998,COLUMN(C$1),FALSE),"")</f>
        <v>武器</v>
      </c>
      <c r="F93">
        <f>IFERROR(ROUNDDOWN((VLOOKUP($C93,装備品!$1:$998,COLUMN(D$1),FALSE)+IFERROR(VLOOKUP($CI93,付与!$1:$1167,COLUMN(F$1),FALSE),0))*VLOOKUP($D93,素材!$1:$1016,COLUMN(D$1),FALSE),0),"")</f>
        <v>115</v>
      </c>
      <c r="G93">
        <f>IFERROR(ROUNDDOWN((VLOOKUP($C93,装備品!$1:$998,COLUMN(E$1),FALSE)+IFERROR(VLOOKUP($CI93,付与!$1:$1167,COLUMN(G$1),FALSE),0))*VLOOKUP($D93,素材!$1:$1016,COLUMN($E$1),FALSE),0),"")</f>
        <v>0</v>
      </c>
      <c r="H93">
        <f>IFERROR(ROUNDDOWN((VLOOKUP($C93,装備品!$1:$998,COLUMN(F$1),FALSE)+IFERROR(VLOOKUP($CI93,付与!$1:$1167,COLUMN(H$1),FALSE),0))*VLOOKUP($D93,素材!$1:$1016,COLUMN($E$1),FALSE),0),"")</f>
        <v>0</v>
      </c>
      <c r="I93">
        <f>IFERROR(ROUNDDOWN((VLOOKUP($C93,装備品!$1:$998,COLUMN(G$1),FALSE)+IFERROR(VLOOKUP($CI93,付与!$1:$1167,COLUMN(I$1),FALSE),0))*VLOOKUP($D93,素材!$1:$1016,COLUMN($E$1),FALSE),0),"")</f>
        <v>29</v>
      </c>
      <c r="J93">
        <f>IFERROR(ROUNDDOWN((VLOOKUP($C93,装備品!$1:$998,COLUMN(H$1),FALSE)+IFERROR(VLOOKUP($CI93,付与!$1:$1167,COLUMN(J$1),FALSE),0))*VLOOKUP($D93,素材!$1:$1016,COLUMN($E$1),FALSE),0),"")</f>
        <v>25</v>
      </c>
      <c r="K93">
        <f>IFERROR(ROUNDDOWN((VLOOKUP($C93,装備品!$1:$998,COLUMN(I$1),FALSE)+IFERROR(VLOOKUP($CI93,付与!$1:$1167,COLUMN(K$1),FALSE),0))*VLOOKUP($D93,素材!$1:$1016,COLUMN($E$1),FALSE),0),"")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IFERROR(VLOOKUP($C93,装備品!$1:$998,COLUMN(AA$1),FALSE)*VLOOKUP($D93,素材!$1:$1016,COLUMN($G$1),FALSE),"")</f>
        <v>0</v>
      </c>
      <c r="N93">
        <f>IFERROR(VLOOKUP($C93,装備品!$1:$998,COLUMN(I$1),FALSE),"")</f>
        <v>0</v>
      </c>
      <c r="O93" s="23">
        <f>IFERROR((VLOOKUP($C93,装備品!$1:$998,COLUMN(K$1),FALSE)+VLOOKUP($D93,素材!$1:$1016,COLUMN(H$1),FALSE))*100+IFERROR(VLOOKUP($CI93,付与!$1:$1167,COLUMN(O$1),FALSE),0),"")</f>
        <v>10</v>
      </c>
      <c r="P93" s="23">
        <f>IFERROR((VLOOKUP($C93,装備品!$1:$998,COLUMN(L$1),FALSE)+VLOOKUP($D93,素材!$1:$1016,COLUMN(I$1),FALSE))*100+IFERROR(VLOOKUP($CI93,付与!$1:$1167,COLUMN(P$1),FALSE),0),"")</f>
        <v>150</v>
      </c>
      <c r="Q93">
        <f>IFERROR(ROUNDUP(VLOOKUP($C93,装備品!$1:$998,COLUMN(M$1),FALSE)*(VLOOKUP($D93,素材!$1:$1002,COLUMN(D$1),FALSE)/100),1),"")</f>
        <v>-2.7</v>
      </c>
      <c r="R93">
        <f>IFERROR(ROUNDUP(VLOOKUP($C93,装備品!$1:$998,COLUMN(N$1),FALSE)*(VLOOKUP($D93,素材!$1:$1002,COLUMN(D$1),FALSE)/100),1),"")</f>
        <v>0</v>
      </c>
      <c r="S93">
        <f>IFERROR(VLOOKUP($C93,装備品!$1:$998,COLUMN(P$1),FALSE),"")</f>
        <v>0</v>
      </c>
      <c r="T93">
        <f>IFERROR(VLOOKUP($C93,装備品!$1:$998,COLUMN(Q$1),FALSE),"")</f>
        <v>0</v>
      </c>
      <c r="U93">
        <f>IFERROR(VLOOKUP($C93,装備品!$1:$998,COLUMN(R$1),FALSE),"")</f>
        <v>0</v>
      </c>
      <c r="V93">
        <f>IFERROR(VLOOKUP($C93,装備品!$1:$998,COLUMN(Q$1),FALSE),"")</f>
        <v>0</v>
      </c>
      <c r="W93">
        <f>IFERROR(VLOOKUP($C93,装備品!$1:$998,COLUMN(T$1),FALSE),"")</f>
        <v>0</v>
      </c>
      <c r="Y93">
        <f>IFERROR(VLOOKUP($C93,装備品!$1:$998,COLUMN(U$1),FALSE),"")</f>
        <v>0</v>
      </c>
      <c r="Z93">
        <f>IFERROR(ROUNDUP(VLOOKUP($C93,装備品!$1:$998,COLUMN(O$1),FALSE)*VLOOKUP($D93,素材!$1:$1016,COLUMN(E$1),FALSE),1),"")</f>
        <v>0</v>
      </c>
      <c r="AA93">
        <f>IF(ISNUMBER(SEARCH(SUBSTITUTE(AA$1,RIGHT(AA$1,2),""),VLOOKUP($D93,素材!$1:$1016,COLUMN($F$1),FALSE))),VLOOKUP($C93,装備品!$1:$998,COLUMN($O$1),FALSE)*VLOOKUP($D93,素材!$1:$1016,COLUMN($E$1),FALSE)/(LEN(VLOOKUP($D93,素材!$1:$1016,COLUMN($F$1),FALSE))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IFERROR(VLOOKUP($C93,装備品!$1:$998,COLUMN(V$1),FALSE)*VLOOKUP($D93,素材!$1:$1016,COLUMN(N$1),FALSE)+IF(CI93="",0,VLOOKUP($CI93,付与!$1:$1176,COLUMN($CK$1),FALSE)),"")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IFERROR(VLOOKUP($D94,素材!$1:$1016,COLUMN($B$1),FALSE)&amp;"・"&amp;VLOOKUP($C94,装備品!$1:$998,COLUMN(B$1),FALSE),"")</f>
        <v>スチール・ウォーハンマー</v>
      </c>
      <c r="C94" t="s">
        <v>225</v>
      </c>
      <c r="D94" s="24" t="s">
        <v>252</v>
      </c>
      <c r="E94" t="str">
        <f>IFERROR(VLOOKUP(C94,装備品!$1:$998,COLUMN(C$1),FALSE),"")</f>
        <v>武器</v>
      </c>
      <c r="F94">
        <f>IFERROR(ROUNDDOWN((VLOOKUP($C94,装備品!$1:$998,COLUMN(D$1),FALSE)+IFERROR(VLOOKUP($CI94,付与!$1:$1167,COLUMN(F$1),FALSE),0))*VLOOKUP($D94,素材!$1:$1016,COLUMN(D$1),FALSE),0),"")</f>
        <v>131</v>
      </c>
      <c r="G94">
        <f>IFERROR(ROUNDDOWN((VLOOKUP($C94,装備品!$1:$998,COLUMN(E$1),FALSE)+IFERROR(VLOOKUP($CI94,付与!$1:$1167,COLUMN(G$1),FALSE),0))*VLOOKUP($D94,素材!$1:$1016,COLUMN($E$1),FALSE),0),"")</f>
        <v>0</v>
      </c>
      <c r="H94">
        <f>IFERROR(ROUNDDOWN((VLOOKUP($C94,装備品!$1:$998,COLUMN(F$1),FALSE)+IFERROR(VLOOKUP($CI94,付与!$1:$1167,COLUMN(H$1),FALSE),0))*VLOOKUP($D94,素材!$1:$1016,COLUMN($E$1),FALSE),0),"")</f>
        <v>0</v>
      </c>
      <c r="I94">
        <f>IFERROR(ROUNDDOWN((VLOOKUP($C94,装備品!$1:$998,COLUMN(G$1),FALSE)+IFERROR(VLOOKUP($CI94,付与!$1:$1167,COLUMN(I$1),FALSE),0))*VLOOKUP($D94,素材!$1:$1016,COLUMN($E$1),FALSE),0),"")</f>
        <v>32</v>
      </c>
      <c r="J94">
        <f>IFERROR(ROUNDDOWN((VLOOKUP($C94,装備品!$1:$998,COLUMN(H$1),FALSE)+IFERROR(VLOOKUP($CI94,付与!$1:$1167,COLUMN(J$1),FALSE),0))*VLOOKUP($D94,素材!$1:$1016,COLUMN($E$1),FALSE),0),"")</f>
        <v>28</v>
      </c>
      <c r="K94">
        <f>IFERROR(ROUNDDOWN((VLOOKUP($C94,装備品!$1:$998,COLUMN(I$1),FALSE)+IFERROR(VLOOKUP($CI94,付与!$1:$1167,COLUMN(K$1),FALSE),0))*VLOOKUP($D94,素材!$1:$1016,COLUMN($E$1),FALSE),0),"")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IFERROR(VLOOKUP($C94,装備品!$1:$998,COLUMN(AA$1),FALSE)*VLOOKUP($D94,素材!$1:$1016,COLUMN($G$1),FALSE),"")</f>
        <v>0</v>
      </c>
      <c r="N94">
        <f>IFERROR(VLOOKUP($C94,装備品!$1:$998,COLUMN(I$1),FALSE),"")</f>
        <v>0</v>
      </c>
      <c r="O94" s="23">
        <f>IFERROR((VLOOKUP($C94,装備品!$1:$998,COLUMN(K$1),FALSE)+VLOOKUP($D94,素材!$1:$1016,COLUMN(H$1),FALSE))*100+IFERROR(VLOOKUP($CI94,付与!$1:$1167,COLUMN(O$1),FALSE),0),"")</f>
        <v>10</v>
      </c>
      <c r="P94" s="23">
        <f>IFERROR((VLOOKUP($C94,装備品!$1:$998,COLUMN(L$1),FALSE)+VLOOKUP($D94,素材!$1:$1016,COLUMN(I$1),FALSE))*100+IFERROR(VLOOKUP($CI94,付与!$1:$1167,COLUMN(P$1),FALSE),0),"")</f>
        <v>150</v>
      </c>
      <c r="Q94">
        <f>IFERROR(ROUNDUP(VLOOKUP($C94,装備品!$1:$998,COLUMN(M$1),FALSE)*(VLOOKUP($D94,素材!$1:$1002,COLUMN(D$1),FALSE)/100),1),"")</f>
        <v>-5.3</v>
      </c>
      <c r="R94">
        <f>IFERROR(ROUNDUP(VLOOKUP($C94,装備品!$1:$998,COLUMN(N$1),FALSE)*(VLOOKUP($D94,素材!$1:$1002,COLUMN(D$1),FALSE)/100),1),"")</f>
        <v>-5.3</v>
      </c>
      <c r="S94">
        <f>IFERROR(VLOOKUP($C94,装備品!$1:$998,COLUMN(P$1),FALSE),"")</f>
        <v>0</v>
      </c>
      <c r="T94">
        <f>IFERROR(VLOOKUP($C94,装備品!$1:$998,COLUMN(Q$1),FALSE),"")</f>
        <v>0</v>
      </c>
      <c r="U94">
        <f>IFERROR(VLOOKUP($C94,装備品!$1:$998,COLUMN(R$1),FALSE),"")</f>
        <v>0</v>
      </c>
      <c r="V94">
        <f>IFERROR(VLOOKUP($C94,装備品!$1:$998,COLUMN(Q$1),FALSE),"")</f>
        <v>0</v>
      </c>
      <c r="W94">
        <f>IFERROR(VLOOKUP($C94,装備品!$1:$998,COLUMN(T$1),FALSE),"")</f>
        <v>0</v>
      </c>
      <c r="Y94">
        <f>IFERROR(VLOOKUP($C94,装備品!$1:$998,COLUMN(U$1),FALSE),"")</f>
        <v>0</v>
      </c>
      <c r="Z94">
        <f>IFERROR(ROUNDUP(VLOOKUP($C94,装備品!$1:$998,COLUMN(O$1),FALSE)*VLOOKUP($D94,素材!$1:$1016,COLUMN(E$1),FALSE),1),"")</f>
        <v>0</v>
      </c>
      <c r="AA94">
        <f>IF(ISNUMBER(SEARCH(SUBSTITUTE(AA$1,RIGHT(AA$1,2),""),VLOOKUP($D94,素材!$1:$1016,COLUMN($F$1),FALSE))),VLOOKUP($C94,装備品!$1:$998,COLUMN($O$1),FALSE)*VLOOKUP($D94,素材!$1:$1016,COLUMN($E$1),FALSE)/(LEN(VLOOKUP($D94,素材!$1:$1016,COLUMN($F$1),FALSE))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IFERROR(VLOOKUP($C94,装備品!$1:$998,COLUMN(V$1),FALSE)*VLOOKUP($D94,素材!$1:$1016,COLUMN(N$1),FALSE)+IF(CI94="",0,VLOOKUP($CI94,付与!$1:$1176,COLUMN($CK$1),FALSE)),"")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IFERROR(VLOOKUP($D95,素材!$1:$1016,COLUMN($B$1),FALSE)&amp;"・"&amp;VLOOKUP($C95,装備品!$1:$998,COLUMN(B$1),FALSE),"")</f>
        <v>スチール・シックル</v>
      </c>
      <c r="C95" t="s">
        <v>224</v>
      </c>
      <c r="D95" s="24" t="s">
        <v>252</v>
      </c>
      <c r="E95" t="str">
        <f>IFERROR(VLOOKUP(C95,装備品!$1:$998,COLUMN(C$1),FALSE),"")</f>
        <v>武器</v>
      </c>
      <c r="F95">
        <f>IFERROR(ROUNDDOWN((VLOOKUP($C95,装備品!$1:$998,COLUMN(D$1),FALSE)+IFERROR(VLOOKUP($CI95,付与!$1:$1167,COLUMN(F$1),FALSE),0))*VLOOKUP($D95,素材!$1:$1016,COLUMN(D$1),FALSE),0),"")</f>
        <v>131</v>
      </c>
      <c r="G95">
        <f>IFERROR(ROUNDDOWN((VLOOKUP($C95,装備品!$1:$998,COLUMN(E$1),FALSE)+IFERROR(VLOOKUP($CI95,付与!$1:$1167,COLUMN(G$1),FALSE),0))*VLOOKUP($D95,素材!$1:$1016,COLUMN($E$1),FALSE),0),"")</f>
        <v>12</v>
      </c>
      <c r="H95">
        <f>IFERROR(ROUNDDOWN((VLOOKUP($C95,装備品!$1:$998,COLUMN(F$1),FALSE)+IFERROR(VLOOKUP($CI95,付与!$1:$1167,COLUMN(H$1),FALSE),0))*VLOOKUP($D95,素材!$1:$1016,COLUMN($E$1),FALSE),0),"")</f>
        <v>14</v>
      </c>
      <c r="I95">
        <f>IFERROR(ROUNDDOWN((VLOOKUP($C95,装備品!$1:$998,COLUMN(G$1),FALSE)+IFERROR(VLOOKUP($CI95,付与!$1:$1167,COLUMN(I$1),FALSE),0))*VLOOKUP($D95,素材!$1:$1016,COLUMN($E$1),FALSE),0),"")</f>
        <v>1</v>
      </c>
      <c r="J95">
        <f>IFERROR(ROUNDDOWN((VLOOKUP($C95,装備品!$1:$998,COLUMN(H$1),FALSE)+IFERROR(VLOOKUP($CI95,付与!$1:$1167,COLUMN(J$1),FALSE),0))*VLOOKUP($D95,素材!$1:$1016,COLUMN($E$1),FALSE),0),"")</f>
        <v>22</v>
      </c>
      <c r="K95">
        <f>IFERROR(ROUNDDOWN((VLOOKUP($C95,装備品!$1:$998,COLUMN(I$1),FALSE)+IFERROR(VLOOKUP($CI95,付与!$1:$1167,COLUMN(K$1),FALSE),0))*VLOOKUP($D95,素材!$1:$1016,COLUMN($E$1),FALSE),0),"")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IFERROR(VLOOKUP($C95,装備品!$1:$998,COLUMN(AA$1),FALSE)*VLOOKUP($D95,素材!$1:$1016,COLUMN($G$1),FALSE),"")</f>
        <v>0</v>
      </c>
      <c r="N95">
        <f>IFERROR(VLOOKUP($C95,装備品!$1:$998,COLUMN(I$1),FALSE),"")</f>
        <v>0</v>
      </c>
      <c r="O95" s="23">
        <f>IFERROR((VLOOKUP($C95,装備品!$1:$998,COLUMN(K$1),FALSE)+VLOOKUP($D95,素材!$1:$1016,COLUMN(H$1),FALSE))*100+IFERROR(VLOOKUP($CI95,付与!$1:$1167,COLUMN(O$1),FALSE),0),"")</f>
        <v>5</v>
      </c>
      <c r="P95" s="23">
        <f>IFERROR((VLOOKUP($C95,装備品!$1:$998,COLUMN(L$1),FALSE)+VLOOKUP($D95,素材!$1:$1016,COLUMN(I$1),FALSE))*100+IFERROR(VLOOKUP($CI95,付与!$1:$1167,COLUMN(P$1),FALSE),0),"")</f>
        <v>200</v>
      </c>
      <c r="Q95">
        <f>IFERROR(ROUNDUP(VLOOKUP($C95,装備品!$1:$998,COLUMN(M$1),FALSE)*(VLOOKUP($D95,素材!$1:$1002,COLUMN(D$1),FALSE)/100),1),"")</f>
        <v>0</v>
      </c>
      <c r="R95">
        <f>IFERROR(ROUNDUP(VLOOKUP($C95,装備品!$1:$998,COLUMN(N$1),FALSE)*(VLOOKUP($D95,素材!$1:$1002,COLUMN(D$1),FALSE)/100),1),"")</f>
        <v>0</v>
      </c>
      <c r="S95">
        <f>IFERROR(VLOOKUP($C95,装備品!$1:$998,COLUMN(P$1),FALSE),"")</f>
        <v>0</v>
      </c>
      <c r="T95">
        <f>IFERROR(VLOOKUP($C95,装備品!$1:$998,COLUMN(Q$1),FALSE),"")</f>
        <v>0</v>
      </c>
      <c r="U95">
        <f>IFERROR(VLOOKUP($C95,装備品!$1:$998,COLUMN(R$1),FALSE),"")</f>
        <v>0</v>
      </c>
      <c r="V95">
        <f>IFERROR(VLOOKUP($C95,装備品!$1:$998,COLUMN(Q$1),FALSE),"")</f>
        <v>0</v>
      </c>
      <c r="W95">
        <f>IFERROR(VLOOKUP($C95,装備品!$1:$998,COLUMN(T$1),FALSE),"")</f>
        <v>0</v>
      </c>
      <c r="Y95">
        <f>IFERROR(VLOOKUP($C95,装備品!$1:$998,COLUMN(U$1),FALSE),"")</f>
        <v>0</v>
      </c>
      <c r="Z95">
        <f>IFERROR(ROUNDUP(VLOOKUP($C95,装備品!$1:$998,COLUMN(O$1),FALSE)*VLOOKUP($D95,素材!$1:$1016,COLUMN(E$1),FALSE),1),"")</f>
        <v>0</v>
      </c>
      <c r="AA95">
        <f>IF(ISNUMBER(SEARCH(SUBSTITUTE(AA$1,RIGHT(AA$1,2),""),VLOOKUP($D95,素材!$1:$1016,COLUMN($F$1),FALSE))),VLOOKUP($C95,装備品!$1:$998,COLUMN($O$1),FALSE)*VLOOKUP($D95,素材!$1:$1016,COLUMN($E$1),FALSE)/(LEN(VLOOKUP($D95,素材!$1:$1016,COLUMN($F$1),FALSE))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IFERROR(VLOOKUP($C95,装備品!$1:$998,COLUMN(V$1),FALSE)*VLOOKUP($D95,素材!$1:$1016,COLUMN(N$1),FALSE)+IF(CI95="",0,VLOOKUP($CI95,付与!$1:$1176,COLUMN($CK$1),FALSE)),"")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IFERROR(VLOOKUP($D96,素材!$1:$1016,COLUMN($B$1),FALSE)&amp;"・"&amp;VLOOKUP($C96,装備品!$1:$998,COLUMN(B$1),FALSE),"")</f>
        <v>スチール・バトルアックス</v>
      </c>
      <c r="C96" t="s">
        <v>223</v>
      </c>
      <c r="D96" s="24" t="s">
        <v>252</v>
      </c>
      <c r="E96" t="str">
        <f>IFERROR(VLOOKUP(C96,装備品!$1:$998,COLUMN(C$1),FALSE),"")</f>
        <v>武器</v>
      </c>
      <c r="F96">
        <f>IFERROR(ROUNDDOWN((VLOOKUP($C96,装備品!$1:$998,COLUMN(D$1),FALSE)+IFERROR(VLOOKUP($CI96,付与!$1:$1167,COLUMN(F$1),FALSE),0))*VLOOKUP($D96,素材!$1:$1016,COLUMN(D$1),FALSE),0),"")</f>
        <v>120</v>
      </c>
      <c r="G96">
        <f>IFERROR(ROUNDDOWN((VLOOKUP($C96,装備品!$1:$998,COLUMN(E$1),FALSE)+IFERROR(VLOOKUP($CI96,付与!$1:$1167,COLUMN(G$1),FALSE),0))*VLOOKUP($D96,素材!$1:$1016,COLUMN($E$1),FALSE),0),"")</f>
        <v>25</v>
      </c>
      <c r="H96">
        <f>IFERROR(ROUNDDOWN((VLOOKUP($C96,装備品!$1:$998,COLUMN(F$1),FALSE)+IFERROR(VLOOKUP($CI96,付与!$1:$1167,COLUMN(H$1),FALSE),0))*VLOOKUP($D96,素材!$1:$1016,COLUMN($E$1),FALSE),0),"")</f>
        <v>0</v>
      </c>
      <c r="I96">
        <f>IFERROR(ROUNDDOWN((VLOOKUP($C96,装備品!$1:$998,COLUMN(G$1),FALSE)+IFERROR(VLOOKUP($CI96,付与!$1:$1167,COLUMN(I$1),FALSE),0))*VLOOKUP($D96,素材!$1:$1016,COLUMN($E$1),FALSE),0),"")</f>
        <v>8</v>
      </c>
      <c r="J96">
        <f>IFERROR(ROUNDDOWN((VLOOKUP($C96,装備品!$1:$998,COLUMN(H$1),FALSE)+IFERROR(VLOOKUP($CI96,付与!$1:$1167,COLUMN(J$1),FALSE),0))*VLOOKUP($D96,素材!$1:$1016,COLUMN($E$1),FALSE),0),"")</f>
        <v>27</v>
      </c>
      <c r="K96">
        <f>IFERROR(ROUNDDOWN((VLOOKUP($C96,装備品!$1:$998,COLUMN(I$1),FALSE)+IFERROR(VLOOKUP($CI96,付与!$1:$1167,COLUMN(K$1),FALSE),0))*VLOOKUP($D96,素材!$1:$1016,COLUMN($E$1),FALSE),0),"")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IFERROR(VLOOKUP($C96,装備品!$1:$998,COLUMN(AA$1),FALSE)*VLOOKUP($D96,素材!$1:$1016,COLUMN($G$1),FALSE),"")</f>
        <v>0</v>
      </c>
      <c r="N96">
        <f>IFERROR(VLOOKUP($C96,装備品!$1:$998,COLUMN(I$1),FALSE),"")</f>
        <v>0</v>
      </c>
      <c r="O96" s="23">
        <f>IFERROR((VLOOKUP($C96,装備品!$1:$998,COLUMN(K$1),FALSE)+VLOOKUP($D96,素材!$1:$1016,COLUMN(H$1),FALSE))*100+IFERROR(VLOOKUP($CI96,付与!$1:$1167,COLUMN(O$1),FALSE),0),"")</f>
        <v>5</v>
      </c>
      <c r="P96" s="23">
        <f>IFERROR((VLOOKUP($C96,装備品!$1:$998,COLUMN(L$1),FALSE)+VLOOKUP($D96,素材!$1:$1016,COLUMN(I$1),FALSE))*100+IFERROR(VLOOKUP($CI96,付与!$1:$1167,COLUMN(P$1),FALSE),0),"")</f>
        <v>175</v>
      </c>
      <c r="Q96">
        <f>IFERROR(ROUNDUP(VLOOKUP($C96,装備品!$1:$998,COLUMN(M$1),FALSE)*(VLOOKUP($D96,素材!$1:$1002,COLUMN(D$1),FALSE)/100),1),"")</f>
        <v>-2.7</v>
      </c>
      <c r="R96">
        <f>IFERROR(ROUNDUP(VLOOKUP($C96,装備品!$1:$998,COLUMN(N$1),FALSE)*(VLOOKUP($D96,素材!$1:$1002,COLUMN(D$1),FALSE)/100),1),"")</f>
        <v>0</v>
      </c>
      <c r="S96">
        <f>IFERROR(VLOOKUP($C96,装備品!$1:$998,COLUMN(P$1),FALSE),"")</f>
        <v>0</v>
      </c>
      <c r="T96">
        <f>IFERROR(VLOOKUP($C96,装備品!$1:$998,COLUMN(Q$1),FALSE),"")</f>
        <v>0</v>
      </c>
      <c r="U96">
        <f>IFERROR(VLOOKUP($C96,装備品!$1:$998,COLUMN(R$1),FALSE),"")</f>
        <v>0</v>
      </c>
      <c r="V96">
        <f>IFERROR(VLOOKUP($C96,装備品!$1:$998,COLUMN(Q$1),FALSE),"")</f>
        <v>0</v>
      </c>
      <c r="W96">
        <f>IFERROR(VLOOKUP($C96,装備品!$1:$998,COLUMN(T$1),FALSE),"")</f>
        <v>0</v>
      </c>
      <c r="Y96">
        <f>IFERROR(VLOOKUP($C96,装備品!$1:$998,COLUMN(U$1),FALSE),"")</f>
        <v>0</v>
      </c>
      <c r="Z96">
        <f>IFERROR(ROUNDUP(VLOOKUP($C96,装備品!$1:$998,COLUMN(O$1),FALSE)*VLOOKUP($D96,素材!$1:$1016,COLUMN(E$1),FALSE),1),"")</f>
        <v>0</v>
      </c>
      <c r="AA96">
        <f>IF(ISNUMBER(SEARCH(SUBSTITUTE(AA$1,RIGHT(AA$1,2),""),VLOOKUP($D96,素材!$1:$1016,COLUMN($F$1),FALSE))),VLOOKUP($C96,装備品!$1:$998,COLUMN($O$1),FALSE)*VLOOKUP($D96,素材!$1:$1016,COLUMN($E$1),FALSE)/(LEN(VLOOKUP($D96,素材!$1:$1016,COLUMN($F$1),FALSE))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IFERROR(VLOOKUP($C96,装備品!$1:$998,COLUMN(V$1),FALSE)*VLOOKUP($D96,素材!$1:$1016,COLUMN(N$1),FALSE)+IF(CI96="",0,VLOOKUP($CI96,付与!$1:$1176,COLUMN($CK$1),FALSE)),"")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IFERROR(VLOOKUP($D97,素材!$1:$1016,COLUMN($B$1),FALSE)&amp;"・"&amp;VLOOKUP($C97,装備品!$1:$998,COLUMN(B$1),FALSE),"")</f>
        <v>スチール・ウィップ</v>
      </c>
      <c r="C97" t="s">
        <v>222</v>
      </c>
      <c r="D97" s="24" t="s">
        <v>252</v>
      </c>
      <c r="E97" t="str">
        <f>IFERROR(VLOOKUP(C97,装備品!$1:$998,COLUMN(C$1),FALSE),"")</f>
        <v>武器</v>
      </c>
      <c r="F97">
        <f>IFERROR(ROUNDDOWN((VLOOKUP($C97,装備品!$1:$998,COLUMN(D$1),FALSE)+IFERROR(VLOOKUP($CI97,付与!$1:$1167,COLUMN(F$1),FALSE),0))*VLOOKUP($D97,素材!$1:$1016,COLUMN(D$1),FALSE),0),"")</f>
        <v>110</v>
      </c>
      <c r="G97">
        <f>IFERROR(ROUNDDOWN((VLOOKUP($C97,装備品!$1:$998,COLUMN(E$1),FALSE)+IFERROR(VLOOKUP($CI97,付与!$1:$1167,COLUMN(G$1),FALSE),0))*VLOOKUP($D97,素材!$1:$1016,COLUMN($E$1),FALSE),0),"")</f>
        <v>24</v>
      </c>
      <c r="H97">
        <f>IFERROR(ROUNDDOWN((VLOOKUP($C97,装備品!$1:$998,COLUMN(F$1),FALSE)+IFERROR(VLOOKUP($CI97,付与!$1:$1167,COLUMN(H$1),FALSE),0))*VLOOKUP($D97,素材!$1:$1016,COLUMN($E$1),FALSE),0),"")</f>
        <v>0</v>
      </c>
      <c r="I97">
        <f>IFERROR(ROUNDDOWN((VLOOKUP($C97,装備品!$1:$998,COLUMN(G$1),FALSE)+IFERROR(VLOOKUP($CI97,付与!$1:$1167,COLUMN(I$1),FALSE),0))*VLOOKUP($D97,素材!$1:$1016,COLUMN($E$1),FALSE),0),"")</f>
        <v>5</v>
      </c>
      <c r="J97">
        <f>IFERROR(ROUNDDOWN((VLOOKUP($C97,装備品!$1:$998,COLUMN(H$1),FALSE)+IFERROR(VLOOKUP($CI97,付与!$1:$1167,COLUMN(J$1),FALSE),0))*VLOOKUP($D97,素材!$1:$1016,COLUMN($E$1),FALSE),0),"")</f>
        <v>14</v>
      </c>
      <c r="K97">
        <f>IFERROR(ROUNDDOWN((VLOOKUP($C97,装備品!$1:$998,COLUMN(I$1),FALSE)+IFERROR(VLOOKUP($CI97,付与!$1:$1167,COLUMN(K$1),FALSE),0))*VLOOKUP($D97,素材!$1:$1016,COLUMN($E$1),FALSE),0),"")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IFERROR(VLOOKUP($C97,装備品!$1:$998,COLUMN(AA$1),FALSE)*VLOOKUP($D97,素材!$1:$1016,COLUMN($G$1),FALSE),"")</f>
        <v>0</v>
      </c>
      <c r="N97">
        <f>IFERROR(VLOOKUP($C97,装備品!$1:$998,COLUMN(I$1),FALSE),"")</f>
        <v>0</v>
      </c>
      <c r="O97" s="23">
        <f>IFERROR((VLOOKUP($C97,装備品!$1:$998,COLUMN(K$1),FALSE)+VLOOKUP($D97,素材!$1:$1016,COLUMN(H$1),FALSE))*100+IFERROR(VLOOKUP($CI97,付与!$1:$1167,COLUMN(O$1),FALSE),0),"")</f>
        <v>10</v>
      </c>
      <c r="P97" s="23">
        <f>IFERROR((VLOOKUP($C97,装備品!$1:$998,COLUMN(L$1),FALSE)+VLOOKUP($D97,素材!$1:$1016,COLUMN(I$1),FALSE))*100+IFERROR(VLOOKUP($CI97,付与!$1:$1167,COLUMN(P$1),FALSE),0),"")</f>
        <v>150</v>
      </c>
      <c r="Q97">
        <f>IFERROR(ROUNDUP(VLOOKUP($C97,装備品!$1:$998,COLUMN(M$1),FALSE)*(VLOOKUP($D97,素材!$1:$1002,COLUMN(D$1),FALSE)/100),1),"")</f>
        <v>0</v>
      </c>
      <c r="R97">
        <f>IFERROR(ROUNDUP(VLOOKUP($C97,装備品!$1:$998,COLUMN(N$1),FALSE)*(VLOOKUP($D97,素材!$1:$1002,COLUMN(D$1),FALSE)/100),1),"")</f>
        <v>0</v>
      </c>
      <c r="S97">
        <f>IFERROR(VLOOKUP($C97,装備品!$1:$998,COLUMN(P$1),FALSE),"")</f>
        <v>0</v>
      </c>
      <c r="T97">
        <f>IFERROR(VLOOKUP($C97,装備品!$1:$998,COLUMN(Q$1),FALSE),"")</f>
        <v>0</v>
      </c>
      <c r="U97">
        <f>IFERROR(VLOOKUP($C97,装備品!$1:$998,COLUMN(R$1),FALSE),"")</f>
        <v>0</v>
      </c>
      <c r="V97">
        <f>IFERROR(VLOOKUP($C97,装備品!$1:$998,COLUMN(Q$1),FALSE),"")</f>
        <v>0</v>
      </c>
      <c r="W97">
        <f>IFERROR(VLOOKUP($C97,装備品!$1:$998,COLUMN(T$1),FALSE),"")</f>
        <v>0</v>
      </c>
      <c r="Y97">
        <f>IFERROR(VLOOKUP($C97,装備品!$1:$998,COLUMN(U$1),FALSE),"")</f>
        <v>1</v>
      </c>
      <c r="Z97">
        <f>IFERROR(ROUNDUP(VLOOKUP($C97,装備品!$1:$998,COLUMN(O$1),FALSE)*VLOOKUP($D97,素材!$1:$1016,COLUMN(E$1),FALSE),1),"")</f>
        <v>0</v>
      </c>
      <c r="AA97">
        <f>IF(ISNUMBER(SEARCH(SUBSTITUTE(AA$1,RIGHT(AA$1,2),""),VLOOKUP($D97,素材!$1:$1016,COLUMN($F$1),FALSE))),VLOOKUP($C97,装備品!$1:$998,COLUMN($O$1),FALSE)*VLOOKUP($D97,素材!$1:$1016,COLUMN($E$1),FALSE)/(LEN(VLOOKUP($D97,素材!$1:$1016,COLUMN($F$1),FALSE))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IFERROR(VLOOKUP($C97,装備品!$1:$998,COLUMN(V$1),FALSE)*VLOOKUP($D97,素材!$1:$1016,COLUMN(N$1),FALSE)+IF(CI97="",0,VLOOKUP($CI97,付与!$1:$1176,COLUMN($CK$1),FALSE)),"")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IFERROR(VLOOKUP($D98,素材!$1:$1016,COLUMN($B$1),FALSE)&amp;"・"&amp;VLOOKUP($C98,装備品!$1:$998,COLUMN(B$1),FALSE),"")</f>
        <v>スチール・バックラー</v>
      </c>
      <c r="C98" t="s">
        <v>221</v>
      </c>
      <c r="D98" s="24" t="s">
        <v>252</v>
      </c>
      <c r="E98" t="str">
        <f>IFERROR(VLOOKUP(C98,装備品!$1:$998,COLUMN(C$1),FALSE),"")</f>
        <v>盾</v>
      </c>
      <c r="F98">
        <f>IFERROR(ROUNDDOWN((VLOOKUP($C98,装備品!$1:$998,COLUMN(D$1),FALSE)+IFERROR(VLOOKUP($CI98,付与!$1:$1167,COLUMN(F$1),FALSE),0))*VLOOKUP($D98,素材!$1:$1016,COLUMN(D$1),FALSE),0),"")</f>
        <v>105</v>
      </c>
      <c r="G98">
        <f>IFERROR(ROUNDDOWN((VLOOKUP($C98,装備品!$1:$998,COLUMN(E$1),FALSE)+IFERROR(VLOOKUP($CI98,付与!$1:$1167,COLUMN(G$1),FALSE),0))*VLOOKUP($D98,素材!$1:$1016,COLUMN($E$1),FALSE),0),"")</f>
        <v>10</v>
      </c>
      <c r="H98">
        <f>IFERROR(ROUNDDOWN((VLOOKUP($C98,装備品!$1:$998,COLUMN(F$1),FALSE)+IFERROR(VLOOKUP($CI98,付与!$1:$1167,COLUMN(H$1),FALSE),0))*VLOOKUP($D98,素材!$1:$1016,COLUMN($E$1),FALSE),0),"")</f>
        <v>0</v>
      </c>
      <c r="I98">
        <f>IFERROR(ROUNDDOWN((VLOOKUP($C98,装備品!$1:$998,COLUMN(G$1),FALSE)+IFERROR(VLOOKUP($CI98,付与!$1:$1167,COLUMN(I$1),FALSE),0))*VLOOKUP($D98,素材!$1:$1016,COLUMN($E$1),FALSE),0),"")</f>
        <v>10</v>
      </c>
      <c r="J98">
        <f>IFERROR(ROUNDDOWN((VLOOKUP($C98,装備品!$1:$998,COLUMN(H$1),FALSE)+IFERROR(VLOOKUP($CI98,付与!$1:$1167,COLUMN(J$1),FALSE),0))*VLOOKUP($D98,素材!$1:$1016,COLUMN($E$1),FALSE),0),"")</f>
        <v>31</v>
      </c>
      <c r="K98">
        <f>IFERROR(ROUNDDOWN((VLOOKUP($C98,装備品!$1:$998,COLUMN(I$1),FALSE)+IFERROR(VLOOKUP($CI98,付与!$1:$1167,COLUMN(K$1),FALSE),0))*VLOOKUP($D98,素材!$1:$1016,COLUMN($E$1),FALSE),0),"")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IFERROR(VLOOKUP($C98,装備品!$1:$998,COLUMN(AA$1),FALSE)*VLOOKUP($D98,素材!$1:$1016,COLUMN($G$1),FALSE),"")</f>
        <v>0</v>
      </c>
      <c r="N98">
        <f>IFERROR(VLOOKUP($C98,装備品!$1:$998,COLUMN(I$1),FALSE),"")</f>
        <v>0</v>
      </c>
      <c r="O98" s="23">
        <f>IFERROR((VLOOKUP($C98,装備品!$1:$998,COLUMN(K$1),FALSE)+VLOOKUP($D98,素材!$1:$1016,COLUMN(H$1),FALSE))*100+IFERROR(VLOOKUP($CI98,付与!$1:$1167,COLUMN(O$1),FALSE),0),"")</f>
        <v>5</v>
      </c>
      <c r="P98" s="23">
        <f>IFERROR((VLOOKUP($C98,装備品!$1:$998,COLUMN(L$1),FALSE)+VLOOKUP($D98,素材!$1:$1016,COLUMN(I$1),FALSE))*100+IFERROR(VLOOKUP($CI98,付与!$1:$1167,COLUMN(P$1),FALSE),0),"")</f>
        <v>125</v>
      </c>
      <c r="Q98">
        <f>IFERROR(ROUNDUP(VLOOKUP($C98,装備品!$1:$998,COLUMN(M$1),FALSE)*(VLOOKUP($D98,素材!$1:$1002,COLUMN(D$1),FALSE)/100),1),"")</f>
        <v>0</v>
      </c>
      <c r="R98">
        <f>IFERROR(ROUNDUP(VLOOKUP($C98,装備品!$1:$998,COLUMN(N$1),FALSE)*(VLOOKUP($D98,素材!$1:$1002,COLUMN(D$1),FALSE)/100),1),"")</f>
        <v>0</v>
      </c>
      <c r="S98">
        <f>IFERROR(VLOOKUP($C98,装備品!$1:$998,COLUMN(P$1),FALSE),"")</f>
        <v>0</v>
      </c>
      <c r="T98">
        <f>IFERROR(VLOOKUP($C98,装備品!$1:$998,COLUMN(Q$1),FALSE),"")</f>
        <v>0</v>
      </c>
      <c r="U98">
        <f>IFERROR(VLOOKUP($C98,装備品!$1:$998,COLUMN(R$1),FALSE),"")</f>
        <v>0</v>
      </c>
      <c r="V98">
        <f>IFERROR(VLOOKUP($C98,装備品!$1:$998,COLUMN(Q$1),FALSE),"")</f>
        <v>0</v>
      </c>
      <c r="W98">
        <f>IFERROR(VLOOKUP($C98,装備品!$1:$998,COLUMN(T$1),FALSE),"")</f>
        <v>0</v>
      </c>
      <c r="Y98">
        <f>IFERROR(VLOOKUP($C98,装備品!$1:$998,COLUMN(U$1),FALSE),"")</f>
        <v>0</v>
      </c>
      <c r="Z98">
        <f>IFERROR(ROUNDUP(VLOOKUP($C98,装備品!$1:$998,COLUMN(O$1),FALSE)*VLOOKUP($D98,素材!$1:$1016,COLUMN(E$1),FALSE),1),"")</f>
        <v>0</v>
      </c>
      <c r="AA98">
        <f>IF(ISNUMBER(SEARCH(SUBSTITUTE(AA$1,RIGHT(AA$1,2),""),VLOOKUP($D98,素材!$1:$1016,COLUMN($F$1),FALSE))),VLOOKUP($C98,装備品!$1:$998,COLUMN($O$1),FALSE)*VLOOKUP($D98,素材!$1:$1016,COLUMN($E$1),FALSE)/(LEN(VLOOKUP($D98,素材!$1:$1016,COLUMN($F$1),FALSE))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IFERROR(VLOOKUP($C98,装備品!$1:$998,COLUMN(V$1),FALSE)*VLOOKUP($D98,素材!$1:$1016,COLUMN(N$1),FALSE)+IF(CI98="",0,VLOOKUP($CI98,付与!$1:$1176,COLUMN($CK$1),FALSE)),"")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IFERROR(VLOOKUP($D99,素材!$1:$1016,COLUMN($B$1),FALSE)&amp;"・"&amp;VLOOKUP($C99,装備品!$1:$998,COLUMN(B$1),FALSE),"")</f>
        <v>スチール・シールド</v>
      </c>
      <c r="C99" t="s">
        <v>220</v>
      </c>
      <c r="D99" s="24" t="s">
        <v>252</v>
      </c>
      <c r="E99" t="str">
        <f>IFERROR(VLOOKUP(C99,装備品!$1:$998,COLUMN(C$1),FALSE),"")</f>
        <v>盾</v>
      </c>
      <c r="F99">
        <f>IFERROR(ROUNDDOWN((VLOOKUP($C99,装備品!$1:$998,COLUMN(D$1),FALSE)+IFERROR(VLOOKUP($CI99,付与!$1:$1167,COLUMN(F$1),FALSE),0))*VLOOKUP($D99,素材!$1:$1016,COLUMN(D$1),FALSE),0),"")</f>
        <v>105</v>
      </c>
      <c r="G99">
        <f>IFERROR(ROUNDDOWN((VLOOKUP($C99,装備品!$1:$998,COLUMN(E$1),FALSE)+IFERROR(VLOOKUP($CI99,付与!$1:$1167,COLUMN(G$1),FALSE),0))*VLOOKUP($D99,素材!$1:$1016,COLUMN($E$1),FALSE),0),"")</f>
        <v>0</v>
      </c>
      <c r="H99">
        <f>IFERROR(ROUNDDOWN((VLOOKUP($C99,装備品!$1:$998,COLUMN(F$1),FALSE)+IFERROR(VLOOKUP($CI99,付与!$1:$1167,COLUMN(H$1),FALSE),0))*VLOOKUP($D99,素材!$1:$1016,COLUMN($E$1),FALSE),0),"")</f>
        <v>0</v>
      </c>
      <c r="I99">
        <f>IFERROR(ROUNDDOWN((VLOOKUP($C99,装備品!$1:$998,COLUMN(G$1),FALSE)+IFERROR(VLOOKUP($CI99,付与!$1:$1167,COLUMN(I$1),FALSE),0))*VLOOKUP($D99,素材!$1:$1016,COLUMN($E$1),FALSE),0),"")</f>
        <v>21</v>
      </c>
      <c r="J99">
        <f>IFERROR(ROUNDDOWN((VLOOKUP($C99,装備品!$1:$998,COLUMN(H$1),FALSE)+IFERROR(VLOOKUP($CI99,付与!$1:$1167,COLUMN(J$1),FALSE),0))*VLOOKUP($D99,素材!$1:$1016,COLUMN($E$1),FALSE),0),"")</f>
        <v>33</v>
      </c>
      <c r="K99">
        <f>IFERROR(ROUNDDOWN((VLOOKUP($C99,装備品!$1:$998,COLUMN(I$1),FALSE)+IFERROR(VLOOKUP($CI99,付与!$1:$1167,COLUMN(K$1),FALSE),0))*VLOOKUP($D99,素材!$1:$1016,COLUMN($E$1),FALSE),0),"")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IFERROR(VLOOKUP($C99,装備品!$1:$998,COLUMN(AA$1),FALSE)*VLOOKUP($D99,素材!$1:$1016,COLUMN($G$1),FALSE),"")</f>
        <v>0</v>
      </c>
      <c r="N99">
        <f>IFERROR(VLOOKUP($C99,装備品!$1:$998,COLUMN(I$1),FALSE),"")</f>
        <v>0</v>
      </c>
      <c r="O99" s="23">
        <f>IFERROR((VLOOKUP($C99,装備品!$1:$998,COLUMN(K$1),FALSE)+VLOOKUP($D99,素材!$1:$1016,COLUMN(H$1),FALSE))*100+IFERROR(VLOOKUP($CI99,付与!$1:$1167,COLUMN(O$1),FALSE),0),"")</f>
        <v>5</v>
      </c>
      <c r="P99" s="23">
        <f>IFERROR((VLOOKUP($C99,装備品!$1:$998,COLUMN(L$1),FALSE)+VLOOKUP($D99,素材!$1:$1016,COLUMN(I$1),FALSE))*100+IFERROR(VLOOKUP($CI99,付与!$1:$1167,COLUMN(P$1),FALSE),0),"")</f>
        <v>125</v>
      </c>
      <c r="Q99">
        <f>IFERROR(ROUNDUP(VLOOKUP($C99,装備品!$1:$998,COLUMN(M$1),FALSE)*(VLOOKUP($D99,素材!$1:$1002,COLUMN(D$1),FALSE)/100),1),"")</f>
        <v>0</v>
      </c>
      <c r="R99">
        <f>IFERROR(ROUNDUP(VLOOKUP($C99,装備品!$1:$998,COLUMN(N$1),FALSE)*(VLOOKUP($D99,素材!$1:$1002,COLUMN(D$1),FALSE)/100),1),"")</f>
        <v>0</v>
      </c>
      <c r="S99">
        <f>IFERROR(VLOOKUP($C99,装備品!$1:$998,COLUMN(P$1),FALSE),"")</f>
        <v>0</v>
      </c>
      <c r="T99">
        <f>IFERROR(VLOOKUP($C99,装備品!$1:$998,COLUMN(Q$1),FALSE),"")</f>
        <v>0</v>
      </c>
      <c r="U99">
        <f>IFERROR(VLOOKUP($C99,装備品!$1:$998,COLUMN(R$1),FALSE),"")</f>
        <v>0</v>
      </c>
      <c r="V99">
        <f>IFERROR(VLOOKUP($C99,装備品!$1:$998,COLUMN(Q$1),FALSE),"")</f>
        <v>0</v>
      </c>
      <c r="W99">
        <f>IFERROR(VLOOKUP($C99,装備品!$1:$998,COLUMN(T$1),FALSE),"")</f>
        <v>0</v>
      </c>
      <c r="Y99">
        <f>IFERROR(VLOOKUP($C99,装備品!$1:$998,COLUMN(U$1),FALSE),"")</f>
        <v>0</v>
      </c>
      <c r="Z99">
        <f>IFERROR(ROUNDUP(VLOOKUP($C99,装備品!$1:$998,COLUMN(O$1),FALSE)*VLOOKUP($D99,素材!$1:$1016,COLUMN(E$1),FALSE),1),"")</f>
        <v>0</v>
      </c>
      <c r="AA99">
        <f>IF(ISNUMBER(SEARCH(SUBSTITUTE(AA$1,RIGHT(AA$1,2),""),VLOOKUP($D99,素材!$1:$1016,COLUMN($F$1),FALSE))),VLOOKUP($C99,装備品!$1:$998,COLUMN($O$1),FALSE)*VLOOKUP($D99,素材!$1:$1016,COLUMN($E$1),FALSE)/(LEN(VLOOKUP($D99,素材!$1:$1016,COLUMN($F$1),FALSE))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IFERROR(VLOOKUP($C99,装備品!$1:$998,COLUMN(V$1),FALSE)*VLOOKUP($D99,素材!$1:$1016,COLUMN(N$1),FALSE)+IF(CI99="",0,VLOOKUP($CI99,付与!$1:$1176,COLUMN($CK$1),FALSE)),"")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IFERROR(VLOOKUP($D100,素材!$1:$1016,COLUMN($B$1),FALSE)&amp;"・"&amp;VLOOKUP($C100,装備品!$1:$998,COLUMN(B$1),FALSE),"")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IFERROR(VLOOKUP(C100,装備品!$1:$998,COLUMN(C$1),FALSE),"")</f>
        <v>盾</v>
      </c>
      <c r="F100">
        <f>IFERROR(ROUNDDOWN((VLOOKUP($C100,装備品!$1:$998,COLUMN(D$1),FALSE)+IFERROR(VLOOKUP($CI100,付与!$1:$1167,COLUMN(F$1),FALSE),0))*VLOOKUP($D100,素材!$1:$1016,COLUMN(D$1),FALSE),0),"")</f>
        <v>115</v>
      </c>
      <c r="G100">
        <f>IFERROR(ROUNDDOWN((VLOOKUP($C100,装備品!$1:$998,COLUMN(E$1),FALSE)+IFERROR(VLOOKUP($CI100,付与!$1:$1167,COLUMN(G$1),FALSE),0))*VLOOKUP($D100,素材!$1:$1016,COLUMN($E$1),FALSE),0),"")</f>
        <v>12</v>
      </c>
      <c r="H100">
        <f>IFERROR(ROUNDDOWN((VLOOKUP($C100,装備品!$1:$998,COLUMN(F$1),FALSE)+IFERROR(VLOOKUP($CI100,付与!$1:$1167,COLUMN(H$1),FALSE),0))*VLOOKUP($D100,素材!$1:$1016,COLUMN($E$1),FALSE),0),"")</f>
        <v>0</v>
      </c>
      <c r="I100">
        <f>IFERROR(ROUNDDOWN((VLOOKUP($C100,装備品!$1:$998,COLUMN(G$1),FALSE)+IFERROR(VLOOKUP($CI100,付与!$1:$1167,COLUMN(I$1),FALSE),0))*VLOOKUP($D100,素材!$1:$1016,COLUMN($E$1),FALSE),0),"")</f>
        <v>12</v>
      </c>
      <c r="J100">
        <f>IFERROR(ROUNDDOWN((VLOOKUP($C100,装備品!$1:$998,COLUMN(H$1),FALSE)+IFERROR(VLOOKUP($CI100,付与!$1:$1167,COLUMN(J$1),FALSE),0))*VLOOKUP($D100,素材!$1:$1016,COLUMN($E$1),FALSE),0),"")</f>
        <v>33</v>
      </c>
      <c r="K100">
        <f>IFERROR(ROUNDDOWN((VLOOKUP($C100,装備品!$1:$998,COLUMN(I$1),FALSE)+IFERROR(VLOOKUP($CI100,付与!$1:$1167,COLUMN(K$1),FALSE),0))*VLOOKUP($D100,素材!$1:$1016,COLUMN($E$1),FALSE),0),"")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IFERROR(VLOOKUP($C100,装備品!$1:$998,COLUMN(AA$1),FALSE)*VLOOKUP($D100,素材!$1:$1016,COLUMN($G$1),FALSE),"")</f>
        <v>0</v>
      </c>
      <c r="N100">
        <f>IFERROR(VLOOKUP($C100,装備品!$1:$998,COLUMN(I$1),FALSE),"")</f>
        <v>0</v>
      </c>
      <c r="O100" s="23">
        <f>IFERROR((VLOOKUP($C100,装備品!$1:$998,COLUMN(K$1),FALSE)+VLOOKUP($D100,素材!$1:$1016,COLUMN(H$1),FALSE))*100+IFERROR(VLOOKUP($CI100,付与!$1:$1167,COLUMN(O$1),FALSE),0),"")</f>
        <v>5</v>
      </c>
      <c r="P100" s="23">
        <f>IFERROR((VLOOKUP($C100,装備品!$1:$998,COLUMN(L$1),FALSE)+VLOOKUP($D100,素材!$1:$1016,COLUMN(I$1),FALSE))*100+IFERROR(VLOOKUP($CI100,付与!$1:$1167,COLUMN(P$1),FALSE),0),"")</f>
        <v>125</v>
      </c>
      <c r="Q100">
        <f>IFERROR(ROUNDUP(VLOOKUP($C100,装備品!$1:$998,COLUMN(M$1),FALSE)*(VLOOKUP($D100,素材!$1:$1002,COLUMN(D$1),FALSE)/100),1),"")</f>
        <v>-5.3</v>
      </c>
      <c r="R100">
        <f>IFERROR(ROUNDUP(VLOOKUP($C100,装備品!$1:$998,COLUMN(N$1),FALSE)*(VLOOKUP($D100,素材!$1:$1002,COLUMN(D$1),FALSE)/100),1),"")</f>
        <v>0</v>
      </c>
      <c r="S100">
        <f>IFERROR(VLOOKUP($C100,装備品!$1:$998,COLUMN(P$1),FALSE),"")</f>
        <v>0</v>
      </c>
      <c r="T100">
        <f>IFERROR(VLOOKUP($C100,装備品!$1:$998,COLUMN(Q$1),FALSE),"")</f>
        <v>0</v>
      </c>
      <c r="U100">
        <f>IFERROR(VLOOKUP($C100,装備品!$1:$998,COLUMN(R$1),FALSE),"")</f>
        <v>0</v>
      </c>
      <c r="V100">
        <f>IFERROR(VLOOKUP($C100,装備品!$1:$998,COLUMN(Q$1),FALSE),"")</f>
        <v>0</v>
      </c>
      <c r="W100">
        <f>IFERROR(VLOOKUP($C100,装備品!$1:$998,COLUMN(T$1),FALSE),"")</f>
        <v>0</v>
      </c>
      <c r="Y100">
        <f>IFERROR(VLOOKUP($C100,装備品!$1:$998,COLUMN(U$1),FALSE),"")</f>
        <v>0</v>
      </c>
      <c r="Z100">
        <f>IFERROR(ROUNDUP(VLOOKUP($C100,装備品!$1:$998,COLUMN(O$1),FALSE)*VLOOKUP($D100,素材!$1:$1016,COLUMN(E$1),FALSE),1),"")</f>
        <v>0</v>
      </c>
      <c r="AA100">
        <f>IF(ISNUMBER(SEARCH(SUBSTITUTE(AA$1,RIGHT(AA$1,2),""),VLOOKUP($D100,素材!$1:$1016,COLUMN($F$1),FALSE))),VLOOKUP($C100,装備品!$1:$998,COLUMN($O$1),FALSE)*VLOOKUP($D100,素材!$1:$1016,COLUMN($E$1),FALSE)/(LEN(VLOOKUP($D100,素材!$1:$1016,COLUMN($F$1),FALSE))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IFERROR(VLOOKUP($C100,装備品!$1:$998,COLUMN(V$1),FALSE)*VLOOKUP($D100,素材!$1:$1016,COLUMN(N$1),FALSE)+IF(CI100="",0,VLOOKUP($CI100,付与!$1:$1176,COLUMN($CK$1),FALSE)),"")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IFERROR(VLOOKUP($D101,素材!$1:$1016,COLUMN($B$1),FALSE)&amp;"・"&amp;VLOOKUP($C101,装備品!$1:$998,COLUMN(B$1),FALSE),"")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IFERROR(VLOOKUP(C101,装備品!$1:$998,COLUMN(C$1),FALSE),"")</f>
        <v>盾</v>
      </c>
      <c r="F101">
        <f>IFERROR(ROUNDDOWN((VLOOKUP($C101,装備品!$1:$998,COLUMN(D$1),FALSE)+IFERROR(VLOOKUP($CI101,付与!$1:$1167,COLUMN(F$1),FALSE),0))*VLOOKUP($D101,素材!$1:$1016,COLUMN(D$1),FALSE),0),"")</f>
        <v>120</v>
      </c>
      <c r="G101">
        <f>IFERROR(ROUNDDOWN((VLOOKUP($C101,装備品!$1:$998,COLUMN(E$1),FALSE)+IFERROR(VLOOKUP($CI101,付与!$1:$1167,COLUMN(G$1),FALSE),0))*VLOOKUP($D101,素材!$1:$1016,COLUMN($E$1),FALSE),0),"")</f>
        <v>0</v>
      </c>
      <c r="H101">
        <f>IFERROR(ROUNDDOWN((VLOOKUP($C101,装備品!$1:$998,COLUMN(F$1),FALSE)+IFERROR(VLOOKUP($CI101,付与!$1:$1167,COLUMN(H$1),FALSE),0))*VLOOKUP($D101,素材!$1:$1016,COLUMN($E$1),FALSE),0),"")</f>
        <v>0</v>
      </c>
      <c r="I101">
        <f>IFERROR(ROUNDDOWN((VLOOKUP($C101,装備品!$1:$998,COLUMN(G$1),FALSE)+IFERROR(VLOOKUP($CI101,付与!$1:$1167,COLUMN(I$1),FALSE),0))*VLOOKUP($D101,素材!$1:$1016,COLUMN($E$1),FALSE),0),"")</f>
        <v>22</v>
      </c>
      <c r="J101">
        <f>IFERROR(ROUNDDOWN((VLOOKUP($C101,装備品!$1:$998,COLUMN(H$1),FALSE)+IFERROR(VLOOKUP($CI101,付与!$1:$1167,COLUMN(J$1),FALSE),0))*VLOOKUP($D101,素材!$1:$1016,COLUMN($E$1),FALSE),0),"")</f>
        <v>36</v>
      </c>
      <c r="K101">
        <f>IFERROR(ROUNDDOWN((VLOOKUP($C101,装備品!$1:$998,COLUMN(I$1),FALSE)+IFERROR(VLOOKUP($CI101,付与!$1:$1167,COLUMN(K$1),FALSE),0))*VLOOKUP($D101,素材!$1:$1016,COLUMN($E$1),FALSE),0),"")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IFERROR(VLOOKUP($C101,装備品!$1:$998,COLUMN(AA$1),FALSE)*VLOOKUP($D101,素材!$1:$1016,COLUMN($G$1),FALSE),"")</f>
        <v>0</v>
      </c>
      <c r="N101">
        <f>IFERROR(VLOOKUP($C101,装備品!$1:$998,COLUMN(I$1),FALSE),"")</f>
        <v>0</v>
      </c>
      <c r="O101" s="23">
        <f>IFERROR((VLOOKUP($C101,装備品!$1:$998,COLUMN(K$1),FALSE)+VLOOKUP($D101,素材!$1:$1016,COLUMN(H$1),FALSE))*100+IFERROR(VLOOKUP($CI101,付与!$1:$1167,COLUMN(O$1),FALSE),0),"")</f>
        <v>5</v>
      </c>
      <c r="P101" s="23">
        <f>IFERROR((VLOOKUP($C101,装備品!$1:$998,COLUMN(L$1),FALSE)+VLOOKUP($D101,素材!$1:$1016,COLUMN(I$1),FALSE))*100+IFERROR(VLOOKUP($CI101,付与!$1:$1167,COLUMN(P$1),FALSE),0),"")</f>
        <v>125</v>
      </c>
      <c r="Q101">
        <f>IFERROR(ROUNDUP(VLOOKUP($C101,装備品!$1:$998,COLUMN(M$1),FALSE)*(VLOOKUP($D101,素材!$1:$1002,COLUMN(D$1),FALSE)/100),1),"")</f>
        <v>-5.3</v>
      </c>
      <c r="R101">
        <f>IFERROR(ROUNDUP(VLOOKUP($C101,装備品!$1:$998,COLUMN(N$1),FALSE)*(VLOOKUP($D101,素材!$1:$1002,COLUMN(D$1),FALSE)/100),1),"")</f>
        <v>0</v>
      </c>
      <c r="S101">
        <f>IFERROR(VLOOKUP($C101,装備品!$1:$998,COLUMN(P$1),FALSE),"")</f>
        <v>0</v>
      </c>
      <c r="T101">
        <f>IFERROR(VLOOKUP($C101,装備品!$1:$998,COLUMN(Q$1),FALSE),"")</f>
        <v>0</v>
      </c>
      <c r="U101">
        <f>IFERROR(VLOOKUP($C101,装備品!$1:$998,COLUMN(R$1),FALSE),"")</f>
        <v>0</v>
      </c>
      <c r="V101">
        <f>IFERROR(VLOOKUP($C101,装備品!$1:$998,COLUMN(Q$1),FALSE),"")</f>
        <v>0</v>
      </c>
      <c r="W101">
        <f>IFERROR(VLOOKUP($C101,装備品!$1:$998,COLUMN(T$1),FALSE),"")</f>
        <v>0</v>
      </c>
      <c r="Y101">
        <f>IFERROR(VLOOKUP($C101,装備品!$1:$998,COLUMN(U$1),FALSE),"")</f>
        <v>0</v>
      </c>
      <c r="Z101">
        <f>IFERROR(ROUNDUP(VLOOKUP($C101,装備品!$1:$998,COLUMN(O$1),FALSE)*VLOOKUP($D101,素材!$1:$1016,COLUMN(E$1),FALSE),1),"")</f>
        <v>0</v>
      </c>
      <c r="AA101">
        <f>IF(ISNUMBER(SEARCH(SUBSTITUTE(AA$1,RIGHT(AA$1,2),""),VLOOKUP($D101,素材!$1:$1016,COLUMN($F$1),FALSE))),VLOOKUP($C101,装備品!$1:$998,COLUMN($O$1),FALSE)*VLOOKUP($D101,素材!$1:$1016,COLUMN($E$1),FALSE)/(LEN(VLOOKUP($D101,素材!$1:$1016,COLUMN($F$1),FALSE))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IFERROR(VLOOKUP($C101,装備品!$1:$998,COLUMN(V$1),FALSE)*VLOOKUP($D101,素材!$1:$1016,COLUMN(N$1),FALSE)+IF(CI101="",0,VLOOKUP($CI101,付与!$1:$1176,COLUMN($CK$1),FALSE)),"")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IFERROR(VLOOKUP($D102,素材!$1:$1016,COLUMN($B$1),FALSE)&amp;"・"&amp;VLOOKUP($C102,装備品!$1:$998,COLUMN(B$1),FALSE),"")</f>
        <v>スチール・ボウ</v>
      </c>
      <c r="C102" t="s">
        <v>217</v>
      </c>
      <c r="D102" s="24" t="s">
        <v>252</v>
      </c>
      <c r="E102" t="str">
        <f>IFERROR(VLOOKUP(C102,装備品!$1:$998,COLUMN(C$1),FALSE),"")</f>
        <v>武器</v>
      </c>
      <c r="F102">
        <f>IFERROR(ROUNDDOWN((VLOOKUP($C102,装備品!$1:$998,COLUMN(D$1),FALSE)+IFERROR(VLOOKUP($CI102,付与!$1:$1167,COLUMN(F$1),FALSE),0))*VLOOKUP($D102,素材!$1:$1016,COLUMN(D$1),FALSE),0),"")</f>
        <v>115</v>
      </c>
      <c r="G102">
        <f>IFERROR(ROUNDDOWN((VLOOKUP($C102,装備品!$1:$998,COLUMN(E$1),FALSE)+IFERROR(VLOOKUP($CI102,付与!$1:$1167,COLUMN(G$1),FALSE),0))*VLOOKUP($D102,素材!$1:$1016,COLUMN($E$1),FALSE),0),"")</f>
        <v>6</v>
      </c>
      <c r="H102">
        <f>IFERROR(ROUNDDOWN((VLOOKUP($C102,装備品!$1:$998,COLUMN(F$1),FALSE)+IFERROR(VLOOKUP($CI102,付与!$1:$1167,COLUMN(H$1),FALSE),0))*VLOOKUP($D102,素材!$1:$1016,COLUMN($E$1),FALSE),0),"")</f>
        <v>6</v>
      </c>
      <c r="I102">
        <f>IFERROR(ROUNDDOWN((VLOOKUP($C102,装備品!$1:$998,COLUMN(G$1),FALSE)+IFERROR(VLOOKUP($CI102,付与!$1:$1167,COLUMN(I$1),FALSE),0))*VLOOKUP($D102,素材!$1:$1016,COLUMN($E$1),FALSE),0),"")</f>
        <v>0</v>
      </c>
      <c r="J102">
        <f>IFERROR(ROUNDDOWN((VLOOKUP($C102,装備品!$1:$998,COLUMN(H$1),FALSE)+IFERROR(VLOOKUP($CI102,付与!$1:$1167,COLUMN(J$1),FALSE),0))*VLOOKUP($D102,素材!$1:$1016,COLUMN($E$1),FALSE),0),"")</f>
        <v>0</v>
      </c>
      <c r="K102">
        <f>IFERROR(ROUNDDOWN((VLOOKUP($C102,装備品!$1:$998,COLUMN(I$1),FALSE)+IFERROR(VLOOKUP($CI102,付与!$1:$1167,COLUMN(K$1),FALSE),0))*VLOOKUP($D102,素材!$1:$1016,COLUMN($E$1),FALSE),0),"")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IFERROR(VLOOKUP($C102,装備品!$1:$998,COLUMN(AA$1),FALSE)*VLOOKUP($D102,素材!$1:$1016,COLUMN($G$1),FALSE),"")</f>
        <v>0</v>
      </c>
      <c r="N102">
        <f>IFERROR(VLOOKUP($C102,装備品!$1:$998,COLUMN(I$1),FALSE),"")</f>
        <v>1</v>
      </c>
      <c r="O102" s="23">
        <f>IFERROR((VLOOKUP($C102,装備品!$1:$998,COLUMN(K$1),FALSE)+VLOOKUP($D102,素材!$1:$1016,COLUMN(H$1),FALSE))*100+IFERROR(VLOOKUP($CI102,付与!$1:$1167,COLUMN(O$1),FALSE),0),"")</f>
        <v>10</v>
      </c>
      <c r="P102" s="23">
        <f>IFERROR((VLOOKUP($C102,装備品!$1:$998,COLUMN(L$1),FALSE)+VLOOKUP($D102,素材!$1:$1016,COLUMN(I$1),FALSE))*100+IFERROR(VLOOKUP($CI102,付与!$1:$1167,COLUMN(P$1),FALSE),0),"")</f>
        <v>130</v>
      </c>
      <c r="Q102">
        <f>IFERROR(ROUNDUP(VLOOKUP($C102,装備品!$1:$998,COLUMN(M$1),FALSE)*(VLOOKUP($D102,素材!$1:$1002,COLUMN(D$1),FALSE)/100),1),"")</f>
        <v>-2.7</v>
      </c>
      <c r="R102">
        <f>IFERROR(ROUNDUP(VLOOKUP($C102,装備品!$1:$998,COLUMN(N$1),FALSE)*(VLOOKUP($D102,素材!$1:$1002,COLUMN(D$1),FALSE)/100),1),"")</f>
        <v>0</v>
      </c>
      <c r="S102">
        <f>IFERROR(VLOOKUP($C102,装備品!$1:$998,COLUMN(P$1),FALSE),"")</f>
        <v>0</v>
      </c>
      <c r="T102">
        <f>IFERROR(VLOOKUP($C102,装備品!$1:$998,COLUMN(Q$1),FALSE),"")</f>
        <v>0</v>
      </c>
      <c r="U102">
        <f>IFERROR(VLOOKUP($C102,装備品!$1:$998,COLUMN(R$1),FALSE),"")</f>
        <v>0</v>
      </c>
      <c r="V102">
        <f>IFERROR(VLOOKUP($C102,装備品!$1:$998,COLUMN(Q$1),FALSE),"")</f>
        <v>0</v>
      </c>
      <c r="W102">
        <f>IFERROR(VLOOKUP($C102,装備品!$1:$998,COLUMN(T$1),FALSE),"")</f>
        <v>0</v>
      </c>
      <c r="Y102">
        <f>IFERROR(VLOOKUP($C102,装備品!$1:$998,COLUMN(U$1),FALSE),"")</f>
        <v>2</v>
      </c>
      <c r="Z102">
        <f>IFERROR(ROUNDUP(VLOOKUP($C102,装備品!$1:$998,COLUMN(O$1),FALSE)*VLOOKUP($D102,素材!$1:$1016,COLUMN(E$1),FALSE),1),"")</f>
        <v>0</v>
      </c>
      <c r="AA102">
        <f>IF(ISNUMBER(SEARCH(SUBSTITUTE(AA$1,RIGHT(AA$1,2),""),VLOOKUP($D102,素材!$1:$1016,COLUMN($F$1),FALSE))),VLOOKUP($C102,装備品!$1:$998,COLUMN($O$1),FALSE)*VLOOKUP($D102,素材!$1:$1016,COLUMN($E$1),FALSE)/(LEN(VLOOKUP($D102,素材!$1:$1016,COLUMN($F$1),FALSE))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IFERROR(VLOOKUP($C102,装備品!$1:$998,COLUMN(V$1),FALSE)*VLOOKUP($D102,素材!$1:$1016,COLUMN(N$1),FALSE)+IF(CI102="",0,VLOOKUP($CI102,付与!$1:$1176,COLUMN($CK$1),FALSE)),"")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IFERROR(VLOOKUP($D103,素材!$1:$1016,COLUMN($B$1),FALSE)&amp;"・"&amp;VLOOKUP($C103,装備品!$1:$998,COLUMN(B$1),FALSE),"")</f>
        <v>スチール・ロングボウ</v>
      </c>
      <c r="C103" t="s">
        <v>216</v>
      </c>
      <c r="D103" s="24" t="s">
        <v>252</v>
      </c>
      <c r="E103" t="str">
        <f>IFERROR(VLOOKUP(C103,装備品!$1:$998,COLUMN(C$1),FALSE),"")</f>
        <v>武器</v>
      </c>
      <c r="F103">
        <f>IFERROR(ROUNDDOWN((VLOOKUP($C103,装備品!$1:$998,COLUMN(D$1),FALSE)+IFERROR(VLOOKUP($CI103,付与!$1:$1167,COLUMN(F$1),FALSE),0))*VLOOKUP($D103,素材!$1:$1016,COLUMN(D$1),FALSE),0),"")</f>
        <v>126</v>
      </c>
      <c r="G103">
        <f>IFERROR(ROUNDDOWN((VLOOKUP($C103,装備品!$1:$998,COLUMN(E$1),FALSE)+IFERROR(VLOOKUP($CI103,付与!$1:$1167,COLUMN(G$1),FALSE),0))*VLOOKUP($D103,素材!$1:$1016,COLUMN($E$1),FALSE),0),"")</f>
        <v>6</v>
      </c>
      <c r="H103">
        <f>IFERROR(ROUNDDOWN((VLOOKUP($C103,装備品!$1:$998,COLUMN(F$1),FALSE)+IFERROR(VLOOKUP($CI103,付与!$1:$1167,COLUMN(H$1),FALSE),0))*VLOOKUP($D103,素材!$1:$1016,COLUMN($E$1),FALSE),0),"")</f>
        <v>6</v>
      </c>
      <c r="I103">
        <f>IFERROR(ROUNDDOWN((VLOOKUP($C103,装備品!$1:$998,COLUMN(G$1),FALSE)+IFERROR(VLOOKUP($CI103,付与!$1:$1167,COLUMN(I$1),FALSE),0))*VLOOKUP($D103,素材!$1:$1016,COLUMN($E$1),FALSE),0),"")</f>
        <v>0</v>
      </c>
      <c r="J103">
        <f>IFERROR(ROUNDDOWN((VLOOKUP($C103,装備品!$1:$998,COLUMN(H$1),FALSE)+IFERROR(VLOOKUP($CI103,付与!$1:$1167,COLUMN(J$1),FALSE),0))*VLOOKUP($D103,素材!$1:$1016,COLUMN($E$1),FALSE),0),"")</f>
        <v>0</v>
      </c>
      <c r="K103">
        <f>IFERROR(ROUNDDOWN((VLOOKUP($C103,装備品!$1:$998,COLUMN(I$1),FALSE)+IFERROR(VLOOKUP($CI103,付与!$1:$1167,COLUMN(K$1),FALSE),0))*VLOOKUP($D103,素材!$1:$1016,COLUMN($E$1),FALSE),0),"")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IFERROR(VLOOKUP($C103,装備品!$1:$998,COLUMN(AA$1),FALSE)*VLOOKUP($D103,素材!$1:$1016,COLUMN($G$1),FALSE),"")</f>
        <v>0</v>
      </c>
      <c r="N103">
        <f>IFERROR(VLOOKUP($C103,装備品!$1:$998,COLUMN(I$1),FALSE),"")</f>
        <v>1.1499999999999999</v>
      </c>
      <c r="O103" s="23">
        <f>IFERROR((VLOOKUP($C103,装備品!$1:$998,COLUMN(K$1),FALSE)+VLOOKUP($D103,素材!$1:$1016,COLUMN(H$1),FALSE))*100+IFERROR(VLOOKUP($CI103,付与!$1:$1167,COLUMN(O$1),FALSE),0),"")</f>
        <v>10</v>
      </c>
      <c r="P103" s="23">
        <f>IFERROR((VLOOKUP($C103,装備品!$1:$998,COLUMN(L$1),FALSE)+VLOOKUP($D103,素材!$1:$1016,COLUMN(I$1),FALSE))*100+IFERROR(VLOOKUP($CI103,付与!$1:$1167,COLUMN(P$1),FALSE),0),"")</f>
        <v>130</v>
      </c>
      <c r="Q103">
        <f>IFERROR(ROUNDUP(VLOOKUP($C103,装備品!$1:$998,COLUMN(M$1),FALSE)*(VLOOKUP($D103,素材!$1:$1002,COLUMN(D$1),FALSE)/100),1),"")</f>
        <v>-5.3</v>
      </c>
      <c r="R103">
        <f>IFERROR(ROUNDUP(VLOOKUP($C103,装備品!$1:$998,COLUMN(N$1),FALSE)*(VLOOKUP($D103,素材!$1:$1002,COLUMN(D$1),FALSE)/100),1),"")</f>
        <v>-2.7</v>
      </c>
      <c r="S103">
        <f>IFERROR(VLOOKUP($C103,装備品!$1:$998,COLUMN(P$1),FALSE),"")</f>
        <v>0</v>
      </c>
      <c r="T103">
        <f>IFERROR(VLOOKUP($C103,装備品!$1:$998,COLUMN(Q$1),FALSE),"")</f>
        <v>0</v>
      </c>
      <c r="U103">
        <f>IFERROR(VLOOKUP($C103,装備品!$1:$998,COLUMN(R$1),FALSE),"")</f>
        <v>0</v>
      </c>
      <c r="V103">
        <f>IFERROR(VLOOKUP($C103,装備品!$1:$998,COLUMN(Q$1),FALSE),"")</f>
        <v>0</v>
      </c>
      <c r="W103">
        <f>IFERROR(VLOOKUP($C103,装備品!$1:$998,COLUMN(T$1),FALSE),"")</f>
        <v>0</v>
      </c>
      <c r="Y103">
        <f>IFERROR(VLOOKUP($C103,装備品!$1:$998,COLUMN(U$1),FALSE),"")</f>
        <v>2</v>
      </c>
      <c r="Z103">
        <f>IFERROR(ROUNDUP(VLOOKUP($C103,装備品!$1:$998,COLUMN(O$1),FALSE)*VLOOKUP($D103,素材!$1:$1016,COLUMN(E$1),FALSE),1),"")</f>
        <v>0</v>
      </c>
      <c r="AA103">
        <f>IF(ISNUMBER(SEARCH(SUBSTITUTE(AA$1,RIGHT(AA$1,2),""),VLOOKUP($D103,素材!$1:$1016,COLUMN($F$1),FALSE))),VLOOKUP($C103,装備品!$1:$998,COLUMN($O$1),FALSE)*VLOOKUP($D103,素材!$1:$1016,COLUMN($E$1),FALSE)/(LEN(VLOOKUP($D103,素材!$1:$1016,COLUMN($F$1),FALSE))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IFERROR(VLOOKUP($C103,装備品!$1:$998,COLUMN(V$1),FALSE)*VLOOKUP($D103,素材!$1:$1016,COLUMN(N$1),FALSE)+IF(CI103="",0,VLOOKUP($CI103,付与!$1:$1176,COLUMN($CK$1),FALSE)),"")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IFERROR(VLOOKUP($D104,素材!$1:$1016,COLUMN($B$1),FALSE)&amp;"・"&amp;VLOOKUP($C104,装備品!$1:$998,COLUMN(B$1),FALSE),"")</f>
        <v>スチール・ロッド</v>
      </c>
      <c r="C104" t="s">
        <v>215</v>
      </c>
      <c r="D104" s="24" t="s">
        <v>252</v>
      </c>
      <c r="E104" t="str">
        <f>IFERROR(VLOOKUP(C104,装備品!$1:$998,COLUMN(C$1),FALSE),"")</f>
        <v>杖</v>
      </c>
      <c r="F104">
        <f>IFERROR(ROUNDDOWN((VLOOKUP($C104,装備品!$1:$998,COLUMN(D$1),FALSE)+IFERROR(VLOOKUP($CI104,付与!$1:$1167,COLUMN(F$1),FALSE),0))*VLOOKUP($D104,素材!$1:$1016,COLUMN(D$1),FALSE),0),"")</f>
        <v>115</v>
      </c>
      <c r="G104">
        <f>IFERROR(ROUNDDOWN((VLOOKUP($C104,装備品!$1:$998,COLUMN(E$1),FALSE)+IFERROR(VLOOKUP($CI104,付与!$1:$1167,COLUMN(G$1),FALSE),0))*VLOOKUP($D104,素材!$1:$1016,COLUMN($E$1),FALSE),0),"")</f>
        <v>0</v>
      </c>
      <c r="H104">
        <f>IFERROR(ROUNDDOWN((VLOOKUP($C104,装備品!$1:$998,COLUMN(F$1),FALSE)+IFERROR(VLOOKUP($CI104,付与!$1:$1167,COLUMN(H$1),FALSE),0))*VLOOKUP($D104,素材!$1:$1016,COLUMN($E$1),FALSE),0),"")</f>
        <v>6</v>
      </c>
      <c r="I104">
        <f>IFERROR(ROUNDDOWN((VLOOKUP($C104,装備品!$1:$998,COLUMN(G$1),FALSE)+IFERROR(VLOOKUP($CI104,付与!$1:$1167,COLUMN(I$1),FALSE),0))*VLOOKUP($D104,素材!$1:$1016,COLUMN($E$1),FALSE),0),"")</f>
        <v>18</v>
      </c>
      <c r="J104">
        <f>IFERROR(ROUNDDOWN((VLOOKUP($C104,装備品!$1:$998,COLUMN(H$1),FALSE)+IFERROR(VLOOKUP($CI104,付与!$1:$1167,COLUMN(J$1),FALSE),0))*VLOOKUP($D104,素材!$1:$1016,COLUMN($E$1),FALSE),0),"")</f>
        <v>24</v>
      </c>
      <c r="K104">
        <f>IFERROR(ROUNDDOWN((VLOOKUP($C104,装備品!$1:$998,COLUMN(I$1),FALSE)+IFERROR(VLOOKUP($CI104,付与!$1:$1167,COLUMN(K$1),FALSE),0))*VLOOKUP($D104,素材!$1:$1016,COLUMN($E$1),FALSE),0),"")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IFERROR(VLOOKUP($C104,装備品!$1:$998,COLUMN(AA$1),FALSE)*VLOOKUP($D104,素材!$1:$1016,COLUMN($G$1),FALSE),"")</f>
        <v>0</v>
      </c>
      <c r="N104">
        <f>IFERROR(VLOOKUP($C104,装備品!$1:$998,COLUMN(I$1),FALSE),"")</f>
        <v>0</v>
      </c>
      <c r="O104" s="23">
        <f>IFERROR((VLOOKUP($C104,装備品!$1:$998,COLUMN(K$1),FALSE)+VLOOKUP($D104,素材!$1:$1016,COLUMN(H$1),FALSE))*100+IFERROR(VLOOKUP($CI104,付与!$1:$1167,COLUMN(O$1),FALSE),0),"")</f>
        <v>5</v>
      </c>
      <c r="P104" s="23">
        <f>IFERROR((VLOOKUP($C104,装備品!$1:$998,COLUMN(L$1),FALSE)+VLOOKUP($D104,素材!$1:$1016,COLUMN(I$1),FALSE))*100+IFERROR(VLOOKUP($CI104,付与!$1:$1167,COLUMN(P$1),FALSE),0),"")</f>
        <v>150</v>
      </c>
      <c r="Q104">
        <f>IFERROR(ROUNDUP(VLOOKUP($C104,装備品!$1:$998,COLUMN(M$1),FALSE)*(VLOOKUP($D104,素材!$1:$1002,COLUMN(D$1),FALSE)/100),1),"")</f>
        <v>0</v>
      </c>
      <c r="R104">
        <f>IFERROR(ROUNDUP(VLOOKUP($C104,装備品!$1:$998,COLUMN(N$1),FALSE)*(VLOOKUP($D104,素材!$1:$1002,COLUMN(D$1),FALSE)/100),1),"")</f>
        <v>0</v>
      </c>
      <c r="S104">
        <f>IFERROR(VLOOKUP($C104,装備品!$1:$998,COLUMN(P$1),FALSE),"")</f>
        <v>0</v>
      </c>
      <c r="T104">
        <f>IFERROR(VLOOKUP($C104,装備品!$1:$998,COLUMN(Q$1),FALSE),"")</f>
        <v>0</v>
      </c>
      <c r="U104">
        <f>IFERROR(VLOOKUP($C104,装備品!$1:$998,COLUMN(R$1),FALSE),"")</f>
        <v>0</v>
      </c>
      <c r="V104">
        <f>IFERROR(VLOOKUP($C104,装備品!$1:$998,COLUMN(Q$1),FALSE),"")</f>
        <v>0</v>
      </c>
      <c r="W104">
        <f>IFERROR(VLOOKUP($C104,装備品!$1:$998,COLUMN(T$1),FALSE),"")</f>
        <v>0</v>
      </c>
      <c r="Y104">
        <f>IFERROR(VLOOKUP($C104,装備品!$1:$998,COLUMN(U$1),FALSE),"")</f>
        <v>0</v>
      </c>
      <c r="Z104">
        <f>IFERROR(ROUNDUP(VLOOKUP($C104,装備品!$1:$998,COLUMN(O$1),FALSE)*VLOOKUP($D104,素材!$1:$1016,COLUMN(E$1),FALSE),1),"")</f>
        <v>0</v>
      </c>
      <c r="AA104">
        <f>IF(ISNUMBER(SEARCH(SUBSTITUTE(AA$1,RIGHT(AA$1,2),""),VLOOKUP($D104,素材!$1:$1016,COLUMN($F$1),FALSE))),VLOOKUP($C104,装備品!$1:$998,COLUMN($O$1),FALSE)*VLOOKUP($D104,素材!$1:$1016,COLUMN($E$1),FALSE)/(LEN(VLOOKUP($D104,素材!$1:$1016,COLUMN($F$1),FALSE))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IFERROR(VLOOKUP($C104,装備品!$1:$998,COLUMN(V$1),FALSE)*VLOOKUP($D104,素材!$1:$1016,COLUMN(N$1),FALSE)+IF(CI104="",0,VLOOKUP($CI104,付与!$1:$1176,COLUMN($CK$1),FALSE)),"")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IFERROR(VLOOKUP($D105,素材!$1:$1016,COLUMN($B$1),FALSE)&amp;"・"&amp;VLOOKUP($C105,装備品!$1:$998,COLUMN(B$1),FALSE),"")</f>
        <v>スチール・スタッフ</v>
      </c>
      <c r="C105" t="s">
        <v>214</v>
      </c>
      <c r="D105" s="24" t="s">
        <v>252</v>
      </c>
      <c r="E105" t="str">
        <f>IFERROR(VLOOKUP(C105,装備品!$1:$998,COLUMN(C$1),FALSE),"")</f>
        <v>杖</v>
      </c>
      <c r="F105">
        <f>IFERROR(ROUNDDOWN((VLOOKUP($C105,装備品!$1:$998,COLUMN(D$1),FALSE)+IFERROR(VLOOKUP($CI105,付与!$1:$1167,COLUMN(F$1),FALSE),0))*VLOOKUP($D105,素材!$1:$1016,COLUMN(D$1),FALSE),0),"")</f>
        <v>120</v>
      </c>
      <c r="G105">
        <f>IFERROR(ROUNDDOWN((VLOOKUP($C105,装備品!$1:$998,COLUMN(E$1),FALSE)+IFERROR(VLOOKUP($CI105,付与!$1:$1167,COLUMN(G$1),FALSE),0))*VLOOKUP($D105,素材!$1:$1016,COLUMN($E$1),FALSE),0),"")</f>
        <v>0</v>
      </c>
      <c r="H105">
        <f>IFERROR(ROUNDDOWN((VLOOKUP($C105,装備品!$1:$998,COLUMN(F$1),FALSE)+IFERROR(VLOOKUP($CI105,付与!$1:$1167,COLUMN(H$1),FALSE),0))*VLOOKUP($D105,素材!$1:$1016,COLUMN($E$1),FALSE),0),"")</f>
        <v>8</v>
      </c>
      <c r="I105">
        <f>IFERROR(ROUNDDOWN((VLOOKUP($C105,装備品!$1:$998,COLUMN(G$1),FALSE)+IFERROR(VLOOKUP($CI105,付与!$1:$1167,COLUMN(I$1),FALSE),0))*VLOOKUP($D105,素材!$1:$1016,COLUMN($E$1),FALSE),0),"")</f>
        <v>21</v>
      </c>
      <c r="J105">
        <f>IFERROR(ROUNDDOWN((VLOOKUP($C105,装備品!$1:$998,COLUMN(H$1),FALSE)+IFERROR(VLOOKUP($CI105,付与!$1:$1167,COLUMN(J$1),FALSE),0))*VLOOKUP($D105,素材!$1:$1016,COLUMN($E$1),FALSE),0),"")</f>
        <v>25</v>
      </c>
      <c r="K105">
        <f>IFERROR(ROUNDDOWN((VLOOKUP($C105,装備品!$1:$998,COLUMN(I$1),FALSE)+IFERROR(VLOOKUP($CI105,付与!$1:$1167,COLUMN(K$1),FALSE),0))*VLOOKUP($D105,素材!$1:$1016,COLUMN($E$1),FALSE),0),"")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IFERROR(VLOOKUP($C105,装備品!$1:$998,COLUMN(AA$1),FALSE)*VLOOKUP($D105,素材!$1:$1016,COLUMN($G$1),FALSE),"")</f>
        <v>0</v>
      </c>
      <c r="N105">
        <f>IFERROR(VLOOKUP($C105,装備品!$1:$998,COLUMN(I$1),FALSE),"")</f>
        <v>0</v>
      </c>
      <c r="O105" s="23">
        <f>IFERROR((VLOOKUP($C105,装備品!$1:$998,COLUMN(K$1),FALSE)+VLOOKUP($D105,素材!$1:$1016,COLUMN(H$1),FALSE))*100+IFERROR(VLOOKUP($CI105,付与!$1:$1167,COLUMN(O$1),FALSE),0),"")</f>
        <v>5</v>
      </c>
      <c r="P105" s="23">
        <f>IFERROR((VLOOKUP($C105,装備品!$1:$998,COLUMN(L$1),FALSE)+VLOOKUP($D105,素材!$1:$1016,COLUMN(I$1),FALSE))*100+IFERROR(VLOOKUP($CI105,付与!$1:$1167,COLUMN(P$1),FALSE),0),"")</f>
        <v>150</v>
      </c>
      <c r="Q105">
        <f>IFERROR(ROUNDUP(VLOOKUP($C105,装備品!$1:$998,COLUMN(M$1),FALSE)*(VLOOKUP($D105,素材!$1:$1002,COLUMN(D$1),FALSE)/100),1),"")</f>
        <v>-4.2</v>
      </c>
      <c r="R105">
        <f>IFERROR(ROUNDUP(VLOOKUP($C105,装備品!$1:$998,COLUMN(N$1),FALSE)*(VLOOKUP($D105,素材!$1:$1002,COLUMN(D$1),FALSE)/100),1),"")</f>
        <v>-4.2</v>
      </c>
      <c r="S105">
        <f>IFERROR(VLOOKUP($C105,装備品!$1:$998,COLUMN(P$1),FALSE),"")</f>
        <v>0</v>
      </c>
      <c r="T105">
        <f>IFERROR(VLOOKUP($C105,装備品!$1:$998,COLUMN(Q$1),FALSE),"")</f>
        <v>0</v>
      </c>
      <c r="U105">
        <f>IFERROR(VLOOKUP($C105,装備品!$1:$998,COLUMN(R$1),FALSE),"")</f>
        <v>0</v>
      </c>
      <c r="V105">
        <f>IFERROR(VLOOKUP($C105,装備品!$1:$998,COLUMN(Q$1),FALSE),"")</f>
        <v>0</v>
      </c>
      <c r="W105">
        <f>IFERROR(VLOOKUP($C105,装備品!$1:$998,COLUMN(T$1),FALSE),"")</f>
        <v>0</v>
      </c>
      <c r="Y105">
        <f>IFERROR(VLOOKUP($C105,装備品!$1:$998,COLUMN(U$1),FALSE),"")</f>
        <v>0</v>
      </c>
      <c r="Z105">
        <f>IFERROR(ROUNDUP(VLOOKUP($C105,装備品!$1:$998,COLUMN(O$1),FALSE)*VLOOKUP($D105,素材!$1:$1016,COLUMN(E$1),FALSE),1),"")</f>
        <v>0</v>
      </c>
      <c r="AA105">
        <f>IF(ISNUMBER(SEARCH(SUBSTITUTE(AA$1,RIGHT(AA$1,2),""),VLOOKUP($D105,素材!$1:$1016,COLUMN($F$1),FALSE))),VLOOKUP($C105,装備品!$1:$998,COLUMN($O$1),FALSE)*VLOOKUP($D105,素材!$1:$1016,COLUMN($E$1),FALSE)/(LEN(VLOOKUP($D105,素材!$1:$1016,COLUMN($F$1),FALSE))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IFERROR(VLOOKUP($C105,装備品!$1:$998,COLUMN(V$1),FALSE)*VLOOKUP($D105,素材!$1:$1016,COLUMN(N$1),FALSE)+IF(CI105="",0,VLOOKUP($CI105,付与!$1:$1176,COLUMN($CK$1),FALSE)),"")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IFERROR(VLOOKUP($D106,素材!$1:$1016,COLUMN($B$1),FALSE)&amp;"・"&amp;VLOOKUP($C106,装備品!$1:$998,COLUMN(B$1),FALSE),"")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IFERROR(VLOOKUP(C106,装備品!$1:$998,COLUMN(C$1),FALSE),"")</f>
        <v>銃</v>
      </c>
      <c r="F106">
        <f>IFERROR(ROUNDDOWN((VLOOKUP($C106,装備品!$1:$998,COLUMN(D$1),FALSE)+IFERROR(VLOOKUP($CI106,付与!$1:$1167,COLUMN(F$1),FALSE),0))*VLOOKUP($D106,素材!$1:$1016,COLUMN(D$1),FALSE),0),"")</f>
        <v>105</v>
      </c>
      <c r="G106">
        <f>IFERROR(ROUNDDOWN((VLOOKUP($C106,装備品!$1:$998,COLUMN(E$1),FALSE)+IFERROR(VLOOKUP($CI106,付与!$1:$1167,COLUMN(G$1),FALSE),0))*VLOOKUP($D106,素材!$1:$1016,COLUMN($E$1),FALSE),0),"")</f>
        <v>0</v>
      </c>
      <c r="H106">
        <f>IFERROR(ROUNDDOWN((VLOOKUP($C106,装備品!$1:$998,COLUMN(F$1),FALSE)+IFERROR(VLOOKUP($CI106,付与!$1:$1167,COLUMN(H$1),FALSE),0))*VLOOKUP($D106,素材!$1:$1016,COLUMN($E$1),FALSE),0),"")</f>
        <v>0</v>
      </c>
      <c r="I106">
        <f>IFERROR(ROUNDDOWN((VLOOKUP($C106,装備品!$1:$998,COLUMN(G$1),FALSE)+IFERROR(VLOOKUP($CI106,付与!$1:$1167,COLUMN(I$1),FALSE),0))*VLOOKUP($D106,素材!$1:$1016,COLUMN($E$1),FALSE),0),"")</f>
        <v>0</v>
      </c>
      <c r="J106">
        <f>IFERROR(ROUNDDOWN((VLOOKUP($C106,装備品!$1:$998,COLUMN(H$1),FALSE)+IFERROR(VLOOKUP($CI106,付与!$1:$1167,COLUMN(J$1),FALSE),0))*VLOOKUP($D106,素材!$1:$1016,COLUMN($E$1),FALSE),0),"")</f>
        <v>0</v>
      </c>
      <c r="K106">
        <f>IFERROR(ROUNDDOWN((VLOOKUP($C106,装備品!$1:$998,COLUMN(I$1),FALSE)+IFERROR(VLOOKUP($CI106,付与!$1:$1167,COLUMN(K$1),FALSE),0))*VLOOKUP($D106,素材!$1:$1016,COLUMN($E$1),FALSE),0),"")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IFERROR(VLOOKUP($C106,装備品!$1:$998,COLUMN(AA$1),FALSE)*VLOOKUP($D106,素材!$1:$1016,COLUMN($G$1),FALSE),"")</f>
        <v>0</v>
      </c>
      <c r="N106">
        <f>IFERROR(VLOOKUP($C106,装備品!$1:$998,COLUMN(I$1),FALSE),"")</f>
        <v>2.7</v>
      </c>
      <c r="O106" s="23">
        <f>IFERROR((VLOOKUP($C106,装備品!$1:$998,COLUMN(K$1),FALSE)+VLOOKUP($D106,素材!$1:$1016,COLUMN(H$1),FALSE))*100+IFERROR(VLOOKUP($CI106,付与!$1:$1167,COLUMN(O$1),FALSE),0),"")</f>
        <v>10</v>
      </c>
      <c r="P106" s="23">
        <f>IFERROR((VLOOKUP($C106,装備品!$1:$998,COLUMN(L$1),FALSE)+VLOOKUP($D106,素材!$1:$1016,COLUMN(I$1),FALSE))*100+IFERROR(VLOOKUP($CI106,付与!$1:$1167,COLUMN(P$1),FALSE),0),"")</f>
        <v>150</v>
      </c>
      <c r="Q106">
        <f>IFERROR(ROUNDUP(VLOOKUP($C106,装備品!$1:$998,COLUMN(M$1),FALSE)*(VLOOKUP($D106,素材!$1:$1002,COLUMN(D$1),FALSE)/100),1),"")</f>
        <v>0</v>
      </c>
      <c r="R106">
        <f>IFERROR(ROUNDUP(VLOOKUP($C106,装備品!$1:$998,COLUMN(N$1),FALSE)*(VLOOKUP($D106,素材!$1:$1002,COLUMN(D$1),FALSE)/100),1),"")</f>
        <v>-15.799999999999999</v>
      </c>
      <c r="S106">
        <f>IFERROR(VLOOKUP($C106,装備品!$1:$998,COLUMN(P$1),FALSE),"")</f>
        <v>0</v>
      </c>
      <c r="T106">
        <f>IFERROR(VLOOKUP($C106,装備品!$1:$998,COLUMN(Q$1),FALSE),"")</f>
        <v>0</v>
      </c>
      <c r="U106">
        <f>IFERROR(VLOOKUP($C106,装備品!$1:$998,COLUMN(R$1),FALSE),"")</f>
        <v>0</v>
      </c>
      <c r="V106">
        <f>IFERROR(VLOOKUP($C106,装備品!$1:$998,COLUMN(Q$1),FALSE),"")</f>
        <v>0</v>
      </c>
      <c r="W106">
        <f>IFERROR(VLOOKUP($C106,装備品!$1:$998,COLUMN(T$1),FALSE),"")</f>
        <v>0</v>
      </c>
      <c r="Y106">
        <f>IFERROR(VLOOKUP($C106,装備品!$1:$998,COLUMN(U$1),FALSE),"")</f>
        <v>0</v>
      </c>
      <c r="Z106">
        <f>IFERROR(ROUNDUP(VLOOKUP($C106,装備品!$1:$998,COLUMN(O$1),FALSE)*VLOOKUP($D106,素材!$1:$1016,COLUMN(E$1),FALSE),1),"")</f>
        <v>0</v>
      </c>
      <c r="AA106">
        <f>IF(ISNUMBER(SEARCH(SUBSTITUTE(AA$1,RIGHT(AA$1,2),""),VLOOKUP($D106,素材!$1:$1016,COLUMN($F$1),FALSE))),VLOOKUP($C106,装備品!$1:$998,COLUMN($O$1),FALSE)*VLOOKUP($D106,素材!$1:$1016,COLUMN($E$1),FALSE)/(LEN(VLOOKUP($D106,素材!$1:$1016,COLUMN($F$1),FALSE))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IFERROR(VLOOKUP($C106,装備品!$1:$998,COLUMN(V$1),FALSE)*VLOOKUP($D106,素材!$1:$1016,COLUMN(N$1),FALSE)+IF(CI106="",0,VLOOKUP($CI106,付与!$1:$1176,COLUMN($CK$1),FALSE)),"")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IFERROR(VLOOKUP($D107,素材!$1:$1016,COLUMN($B$1),FALSE)&amp;"・"&amp;VLOOKUP($C107,装備品!$1:$998,COLUMN(B$1),FALSE),"")</f>
        <v>スチール・クロスボウ</v>
      </c>
      <c r="C107" t="s">
        <v>212</v>
      </c>
      <c r="D107" s="24" t="s">
        <v>252</v>
      </c>
      <c r="E107" t="str">
        <f>IFERROR(VLOOKUP(C107,装備品!$1:$998,COLUMN(C$1),FALSE),"")</f>
        <v>銃</v>
      </c>
      <c r="F107">
        <f>IFERROR(ROUNDDOWN((VLOOKUP($C107,装備品!$1:$998,COLUMN(D$1),FALSE)+IFERROR(VLOOKUP($CI107,付与!$1:$1167,COLUMN(F$1),FALSE),0))*VLOOKUP($D107,素材!$1:$1016,COLUMN(D$1),FALSE),0),"")</f>
        <v>105</v>
      </c>
      <c r="G107">
        <f>IFERROR(ROUNDDOWN((VLOOKUP($C107,装備品!$1:$998,COLUMN(E$1),FALSE)+IFERROR(VLOOKUP($CI107,付与!$1:$1167,COLUMN(G$1),FALSE),0))*VLOOKUP($D107,素材!$1:$1016,COLUMN($E$1),FALSE),0),"")</f>
        <v>0</v>
      </c>
      <c r="H107">
        <f>IFERROR(ROUNDDOWN((VLOOKUP($C107,装備品!$1:$998,COLUMN(F$1),FALSE)+IFERROR(VLOOKUP($CI107,付与!$1:$1167,COLUMN(H$1),FALSE),0))*VLOOKUP($D107,素材!$1:$1016,COLUMN($E$1),FALSE),0),"")</f>
        <v>0</v>
      </c>
      <c r="I107">
        <f>IFERROR(ROUNDDOWN((VLOOKUP($C107,装備品!$1:$998,COLUMN(G$1),FALSE)+IFERROR(VLOOKUP($CI107,付与!$1:$1167,COLUMN(I$1),FALSE),0))*VLOOKUP($D107,素材!$1:$1016,COLUMN($E$1),FALSE),0),"")</f>
        <v>0</v>
      </c>
      <c r="J107">
        <f>IFERROR(ROUNDDOWN((VLOOKUP($C107,装備品!$1:$998,COLUMN(H$1),FALSE)+IFERROR(VLOOKUP($CI107,付与!$1:$1167,COLUMN(J$1),FALSE),0))*VLOOKUP($D107,素材!$1:$1016,COLUMN($E$1),FALSE),0),"")</f>
        <v>0</v>
      </c>
      <c r="K107">
        <f>IFERROR(ROUNDDOWN((VLOOKUP($C107,装備品!$1:$998,COLUMN(I$1),FALSE)+IFERROR(VLOOKUP($CI107,付与!$1:$1167,COLUMN(K$1),FALSE),0))*VLOOKUP($D107,素材!$1:$1016,COLUMN($E$1),FALSE),0),"")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IFERROR(VLOOKUP($C107,装備品!$1:$998,COLUMN(AA$1),FALSE)*VLOOKUP($D107,素材!$1:$1016,COLUMN($G$1),FALSE),"")</f>
        <v>0</v>
      </c>
      <c r="N107">
        <f>IFERROR(VLOOKUP($C107,装備品!$1:$998,COLUMN(I$1),FALSE),"")</f>
        <v>3.9</v>
      </c>
      <c r="O107" s="23">
        <f>IFERROR((VLOOKUP($C107,装備品!$1:$998,COLUMN(K$1),FALSE)+VLOOKUP($D107,素材!$1:$1016,COLUMN(H$1),FALSE))*100+IFERROR(VLOOKUP($CI107,付与!$1:$1167,COLUMN(O$1),FALSE),0),"")</f>
        <v>10</v>
      </c>
      <c r="P107" s="23">
        <f>IFERROR((VLOOKUP($C107,装備品!$1:$998,COLUMN(L$1),FALSE)+VLOOKUP($D107,素材!$1:$1016,COLUMN(I$1),FALSE))*100+IFERROR(VLOOKUP($CI107,付与!$1:$1167,COLUMN(P$1),FALSE),0),"")</f>
        <v>150</v>
      </c>
      <c r="Q107">
        <f>IFERROR(ROUNDUP(VLOOKUP($C107,装備品!$1:$998,COLUMN(M$1),FALSE)*(VLOOKUP($D107,素材!$1:$1002,COLUMN(D$1),FALSE)/100),1),"")</f>
        <v>0</v>
      </c>
      <c r="R107">
        <f>IFERROR(ROUNDUP(VLOOKUP($C107,装備品!$1:$998,COLUMN(N$1),FALSE)*(VLOOKUP($D107,素材!$1:$1002,COLUMN(D$1),FALSE)/100),1),"")</f>
        <v>-15.799999999999999</v>
      </c>
      <c r="S107">
        <f>IFERROR(VLOOKUP($C107,装備品!$1:$998,COLUMN(P$1),FALSE),"")</f>
        <v>0</v>
      </c>
      <c r="T107">
        <f>IFERROR(VLOOKUP($C107,装備品!$1:$998,COLUMN(Q$1),FALSE),"")</f>
        <v>0</v>
      </c>
      <c r="U107">
        <f>IFERROR(VLOOKUP($C107,装備品!$1:$998,COLUMN(R$1),FALSE),"")</f>
        <v>0</v>
      </c>
      <c r="V107">
        <f>IFERROR(VLOOKUP($C107,装備品!$1:$998,COLUMN(Q$1),FALSE),"")</f>
        <v>0</v>
      </c>
      <c r="W107">
        <f>IFERROR(VLOOKUP($C107,装備品!$1:$998,COLUMN(T$1),FALSE),"")</f>
        <v>0</v>
      </c>
      <c r="Y107">
        <f>IFERROR(VLOOKUP($C107,装備品!$1:$998,COLUMN(U$1),FALSE),"")</f>
        <v>0</v>
      </c>
      <c r="Z107">
        <f>IFERROR(ROUNDUP(VLOOKUP($C107,装備品!$1:$998,COLUMN(O$1),FALSE)*VLOOKUP($D107,素材!$1:$1016,COLUMN(E$1),FALSE),1),"")</f>
        <v>0</v>
      </c>
      <c r="AA107">
        <f>IF(ISNUMBER(SEARCH(SUBSTITUTE(AA$1,RIGHT(AA$1,2),""),VLOOKUP($D107,素材!$1:$1016,COLUMN($F$1),FALSE))),VLOOKUP($C107,装備品!$1:$998,COLUMN($O$1),FALSE)*VLOOKUP($D107,素材!$1:$1016,COLUMN($E$1),FALSE)/(LEN(VLOOKUP($D107,素材!$1:$1016,COLUMN($F$1),FALSE))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IFERROR(VLOOKUP($C107,装備品!$1:$998,COLUMN(V$1),FALSE)*VLOOKUP($D107,素材!$1:$1016,COLUMN(N$1),FALSE)+IF(CI107="",0,VLOOKUP($CI107,付与!$1:$1176,COLUMN($CK$1),FALSE)),"")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IFERROR(VLOOKUP($D108,素材!$1:$1016,COLUMN($B$1),FALSE)&amp;"・"&amp;VLOOKUP($C108,装備品!$1:$998,COLUMN(B$1),FALSE),"")</f>
        <v>スチール・リボルバー</v>
      </c>
      <c r="C108" t="s">
        <v>211</v>
      </c>
      <c r="D108" s="24" t="s">
        <v>252</v>
      </c>
      <c r="E108" t="str">
        <f>IFERROR(VLOOKUP(C108,装備品!$1:$998,COLUMN(C$1),FALSE),"")</f>
        <v>銃</v>
      </c>
      <c r="F108">
        <f>IFERROR(ROUNDDOWN((VLOOKUP($C108,装備品!$1:$998,COLUMN(D$1),FALSE)+IFERROR(VLOOKUP($CI108,付与!$1:$1167,COLUMN(F$1),FALSE),0))*VLOOKUP($D108,素材!$1:$1016,COLUMN(D$1),FALSE),0),"")</f>
        <v>105</v>
      </c>
      <c r="G108">
        <f>IFERROR(ROUNDDOWN((VLOOKUP($C108,装備品!$1:$998,COLUMN(E$1),FALSE)+IFERROR(VLOOKUP($CI108,付与!$1:$1167,COLUMN(G$1),FALSE),0))*VLOOKUP($D108,素材!$1:$1016,COLUMN($E$1),FALSE),0),"")</f>
        <v>0</v>
      </c>
      <c r="H108">
        <f>IFERROR(ROUNDDOWN((VLOOKUP($C108,装備品!$1:$998,COLUMN(F$1),FALSE)+IFERROR(VLOOKUP($CI108,付与!$1:$1167,COLUMN(H$1),FALSE),0))*VLOOKUP($D108,素材!$1:$1016,COLUMN($E$1),FALSE),0),"")</f>
        <v>0</v>
      </c>
      <c r="I108">
        <f>IFERROR(ROUNDDOWN((VLOOKUP($C108,装備品!$1:$998,COLUMN(G$1),FALSE)+IFERROR(VLOOKUP($CI108,付与!$1:$1167,COLUMN(I$1),FALSE),0))*VLOOKUP($D108,素材!$1:$1016,COLUMN($E$1),FALSE),0),"")</f>
        <v>0</v>
      </c>
      <c r="J108">
        <f>IFERROR(ROUNDDOWN((VLOOKUP($C108,装備品!$1:$998,COLUMN(H$1),FALSE)+IFERROR(VLOOKUP($CI108,付与!$1:$1167,COLUMN(J$1),FALSE),0))*VLOOKUP($D108,素材!$1:$1016,COLUMN($E$1),FALSE),0),"")</f>
        <v>0</v>
      </c>
      <c r="K108">
        <f>IFERROR(ROUNDDOWN((VLOOKUP($C108,装備品!$1:$998,COLUMN(I$1),FALSE)+IFERROR(VLOOKUP($CI108,付与!$1:$1167,COLUMN(K$1),FALSE),0))*VLOOKUP($D108,素材!$1:$1016,COLUMN($E$1),FALSE),0),"")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IFERROR(VLOOKUP($C108,装備品!$1:$998,COLUMN(AA$1),FALSE)*VLOOKUP($D108,素材!$1:$1016,COLUMN($G$1),FALSE),"")</f>
        <v>0</v>
      </c>
      <c r="N108">
        <f>IFERROR(VLOOKUP($C108,装備品!$1:$998,COLUMN(I$1),FALSE),"")</f>
        <v>2.5700000000000003</v>
      </c>
      <c r="O108" s="23">
        <f>IFERROR((VLOOKUP($C108,装備品!$1:$998,COLUMN(K$1),FALSE)+VLOOKUP($D108,素材!$1:$1016,COLUMN(H$1),FALSE))*100+IFERROR(VLOOKUP($CI108,付与!$1:$1167,COLUMN(O$1),FALSE),0),"")</f>
        <v>10</v>
      </c>
      <c r="P108" s="23">
        <f>IFERROR((VLOOKUP($C108,装備品!$1:$998,COLUMN(L$1),FALSE)+VLOOKUP($D108,素材!$1:$1016,COLUMN(I$1),FALSE))*100+IFERROR(VLOOKUP($CI108,付与!$1:$1167,COLUMN(P$1),FALSE),0),"")</f>
        <v>140</v>
      </c>
      <c r="Q108">
        <f>IFERROR(ROUNDUP(VLOOKUP($C108,装備品!$1:$998,COLUMN(M$1),FALSE)*(VLOOKUP($D108,素材!$1:$1002,COLUMN(D$1),FALSE)/100),1),"")</f>
        <v>0</v>
      </c>
      <c r="R108">
        <f>IFERROR(ROUNDUP(VLOOKUP($C108,装備品!$1:$998,COLUMN(N$1),FALSE)*(VLOOKUP($D108,素材!$1:$1002,COLUMN(D$1),FALSE)/100),1),"")</f>
        <v>-26.3</v>
      </c>
      <c r="S108">
        <f>IFERROR(VLOOKUP($C108,装備品!$1:$998,COLUMN(P$1),FALSE),"")</f>
        <v>0</v>
      </c>
      <c r="T108">
        <f>IFERROR(VLOOKUP($C108,装備品!$1:$998,COLUMN(Q$1),FALSE),"")</f>
        <v>0</v>
      </c>
      <c r="U108">
        <f>IFERROR(VLOOKUP($C108,装備品!$1:$998,COLUMN(R$1),FALSE),"")</f>
        <v>0</v>
      </c>
      <c r="V108">
        <f>IFERROR(VLOOKUP($C108,装備品!$1:$998,COLUMN(Q$1),FALSE),"")</f>
        <v>0</v>
      </c>
      <c r="W108">
        <f>IFERROR(VLOOKUP($C108,装備品!$1:$998,COLUMN(T$1),FALSE),"")</f>
        <v>0</v>
      </c>
      <c r="Y108">
        <f>IFERROR(VLOOKUP($C108,装備品!$1:$998,COLUMN(U$1),FALSE),"")</f>
        <v>0</v>
      </c>
      <c r="Z108">
        <f>IFERROR(ROUNDUP(VLOOKUP($C108,装備品!$1:$998,COLUMN(O$1),FALSE)*VLOOKUP($D108,素材!$1:$1016,COLUMN(E$1),FALSE),1),"")</f>
        <v>0</v>
      </c>
      <c r="AA108">
        <f>IF(ISNUMBER(SEARCH(SUBSTITUTE(AA$1,RIGHT(AA$1,2),""),VLOOKUP($D108,素材!$1:$1016,COLUMN($F$1),FALSE))),VLOOKUP($C108,装備品!$1:$998,COLUMN($O$1),FALSE)*VLOOKUP($D108,素材!$1:$1016,COLUMN($E$1),FALSE)/(LEN(VLOOKUP($D108,素材!$1:$1016,COLUMN($F$1),FALSE))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IFERROR(VLOOKUP($C108,装備品!$1:$998,COLUMN(V$1),FALSE)*VLOOKUP($D108,素材!$1:$1016,COLUMN(N$1),FALSE)+IF(CI108="",0,VLOOKUP($CI108,付与!$1:$1176,COLUMN($CK$1),FALSE)),"")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IFERROR(VLOOKUP($D109,素材!$1:$1016,COLUMN($B$1),FALSE)&amp;"・"&amp;VLOOKUP($C109,装備品!$1:$998,COLUMN(B$1),FALSE),"")</f>
        <v>スチール・ハンドガン</v>
      </c>
      <c r="C109" t="s">
        <v>210</v>
      </c>
      <c r="D109" s="24" t="s">
        <v>252</v>
      </c>
      <c r="E109" t="str">
        <f>IFERROR(VLOOKUP(C109,装備品!$1:$998,COLUMN(C$1),FALSE),"")</f>
        <v>銃</v>
      </c>
      <c r="F109">
        <f>IFERROR(ROUNDDOWN((VLOOKUP($C109,装備品!$1:$998,COLUMN(D$1),FALSE)+IFERROR(VLOOKUP($CI109,付与!$1:$1167,COLUMN(F$1),FALSE),0))*VLOOKUP($D109,素材!$1:$1016,COLUMN(D$1),FALSE),0),"")</f>
        <v>105</v>
      </c>
      <c r="G109">
        <f>IFERROR(ROUNDDOWN((VLOOKUP($C109,装備品!$1:$998,COLUMN(E$1),FALSE)+IFERROR(VLOOKUP($CI109,付与!$1:$1167,COLUMN(G$1),FALSE),0))*VLOOKUP($D109,素材!$1:$1016,COLUMN($E$1),FALSE),0),"")</f>
        <v>0</v>
      </c>
      <c r="H109">
        <f>IFERROR(ROUNDDOWN((VLOOKUP($C109,装備品!$1:$998,COLUMN(F$1),FALSE)+IFERROR(VLOOKUP($CI109,付与!$1:$1167,COLUMN(H$1),FALSE),0))*VLOOKUP($D109,素材!$1:$1016,COLUMN($E$1),FALSE),0),"")</f>
        <v>0</v>
      </c>
      <c r="I109">
        <f>IFERROR(ROUNDDOWN((VLOOKUP($C109,装備品!$1:$998,COLUMN(G$1),FALSE)+IFERROR(VLOOKUP($CI109,付与!$1:$1167,COLUMN(I$1),FALSE),0))*VLOOKUP($D109,素材!$1:$1016,COLUMN($E$1),FALSE),0),"")</f>
        <v>0</v>
      </c>
      <c r="J109">
        <f>IFERROR(ROUNDDOWN((VLOOKUP($C109,装備品!$1:$998,COLUMN(H$1),FALSE)+IFERROR(VLOOKUP($CI109,付与!$1:$1167,COLUMN(J$1),FALSE),0))*VLOOKUP($D109,素材!$1:$1016,COLUMN($E$1),FALSE),0),"")</f>
        <v>0</v>
      </c>
      <c r="K109">
        <f>IFERROR(ROUNDDOWN((VLOOKUP($C109,装備品!$1:$998,COLUMN(I$1),FALSE)+IFERROR(VLOOKUP($CI109,付与!$1:$1167,COLUMN(K$1),FALSE),0))*VLOOKUP($D109,素材!$1:$1016,COLUMN($E$1),FALSE),0),"")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IFERROR(VLOOKUP($C109,装備品!$1:$998,COLUMN(AA$1),FALSE)*VLOOKUP($D109,素材!$1:$1016,COLUMN($G$1),FALSE),"")</f>
        <v>0</v>
      </c>
      <c r="N109">
        <f>IFERROR(VLOOKUP($C109,装備品!$1:$998,COLUMN(I$1),FALSE),"")</f>
        <v>1.8</v>
      </c>
      <c r="O109" s="23">
        <f>IFERROR((VLOOKUP($C109,装備品!$1:$998,COLUMN(K$1),FALSE)+VLOOKUP($D109,素材!$1:$1016,COLUMN(H$1),FALSE))*100+IFERROR(VLOOKUP($CI109,付与!$1:$1167,COLUMN(O$1),FALSE),0),"")</f>
        <v>15</v>
      </c>
      <c r="P109" s="23">
        <f>IFERROR((VLOOKUP($C109,装備品!$1:$998,COLUMN(L$1),FALSE)+VLOOKUP($D109,素材!$1:$1016,COLUMN(I$1),FALSE))*100+IFERROR(VLOOKUP($CI109,付与!$1:$1167,COLUMN(P$1),FALSE),0),"")</f>
        <v>175</v>
      </c>
      <c r="Q109">
        <f>IFERROR(ROUNDUP(VLOOKUP($C109,装備品!$1:$998,COLUMN(M$1),FALSE)*(VLOOKUP($D109,素材!$1:$1002,COLUMN(D$1),FALSE)/100),1),"")</f>
        <v>0</v>
      </c>
      <c r="R109">
        <f>IFERROR(ROUNDUP(VLOOKUP($C109,装備品!$1:$998,COLUMN(N$1),FALSE)*(VLOOKUP($D109,素材!$1:$1002,COLUMN(D$1),FALSE)/100),1),"")</f>
        <v>-15.799999999999999</v>
      </c>
      <c r="S109">
        <f>IFERROR(VLOOKUP($C109,装備品!$1:$998,COLUMN(P$1),FALSE),"")</f>
        <v>0</v>
      </c>
      <c r="T109">
        <f>IFERROR(VLOOKUP($C109,装備品!$1:$998,COLUMN(Q$1),FALSE),"")</f>
        <v>0</v>
      </c>
      <c r="U109">
        <f>IFERROR(VLOOKUP($C109,装備品!$1:$998,COLUMN(R$1),FALSE),"")</f>
        <v>0</v>
      </c>
      <c r="V109">
        <f>IFERROR(VLOOKUP($C109,装備品!$1:$998,COLUMN(Q$1),FALSE),"")</f>
        <v>0</v>
      </c>
      <c r="W109">
        <f>IFERROR(VLOOKUP($C109,装備品!$1:$998,COLUMN(T$1),FALSE),"")</f>
        <v>0</v>
      </c>
      <c r="Y109">
        <f>IFERROR(VLOOKUP($C109,装備品!$1:$998,COLUMN(U$1),FALSE),"")</f>
        <v>0</v>
      </c>
      <c r="Z109">
        <f>IFERROR(ROUNDUP(VLOOKUP($C109,装備品!$1:$998,COLUMN(O$1),FALSE)*VLOOKUP($D109,素材!$1:$1016,COLUMN(E$1),FALSE),1),"")</f>
        <v>0</v>
      </c>
      <c r="AA109">
        <f>IF(ISNUMBER(SEARCH(SUBSTITUTE(AA$1,RIGHT(AA$1,2),""),VLOOKUP($D109,素材!$1:$1016,COLUMN($F$1),FALSE))),VLOOKUP($C109,装備品!$1:$998,COLUMN($O$1),FALSE)*VLOOKUP($D109,素材!$1:$1016,COLUMN($E$1),FALSE)/(LEN(VLOOKUP($D109,素材!$1:$1016,COLUMN($F$1),FALSE))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IFERROR(VLOOKUP($C109,装備品!$1:$998,COLUMN(V$1),FALSE)*VLOOKUP($D109,素材!$1:$1016,COLUMN(N$1),FALSE)+IF(CI109="",0,VLOOKUP($CI109,付与!$1:$1176,COLUMN($CK$1),FALSE)),"")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IFERROR(VLOOKUP($D110,素材!$1:$1016,COLUMN($B$1),FALSE)&amp;"・"&amp;VLOOKUP($C110,装備品!$1:$998,COLUMN(B$1),FALSE),"")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IFERROR(VLOOKUP(C110,装備品!$1:$998,COLUMN(C$1),FALSE),"")</f>
        <v>頭</v>
      </c>
      <c r="F110">
        <f>IFERROR(ROUNDDOWN((VLOOKUP($C110,装備品!$1:$998,COLUMN(D$1),FALSE)+IFERROR(VLOOKUP($CI110,付与!$1:$1167,COLUMN(F$1),FALSE),0))*VLOOKUP($D110,素材!$1:$1016,COLUMN(D$1),FALSE),0),"")</f>
        <v>0</v>
      </c>
      <c r="G110">
        <f>IFERROR(ROUNDDOWN((VLOOKUP($C110,装備品!$1:$998,COLUMN(E$1),FALSE)+IFERROR(VLOOKUP($CI110,付与!$1:$1167,COLUMN(G$1),FALSE),0))*VLOOKUP($D110,素材!$1:$1016,COLUMN($E$1),FALSE),0),"")</f>
        <v>0</v>
      </c>
      <c r="H110">
        <f>IFERROR(ROUNDDOWN((VLOOKUP($C110,装備品!$1:$998,COLUMN(F$1),FALSE)+IFERROR(VLOOKUP($CI110,付与!$1:$1167,COLUMN(H$1),FALSE),0))*VLOOKUP($D110,素材!$1:$1016,COLUMN($E$1),FALSE),0),"")</f>
        <v>0</v>
      </c>
      <c r="I110">
        <f>IFERROR(ROUNDDOWN((VLOOKUP($C110,装備品!$1:$998,COLUMN(G$1),FALSE)+IFERROR(VLOOKUP($CI110,付与!$1:$1167,COLUMN(I$1),FALSE),0))*VLOOKUP($D110,素材!$1:$1016,COLUMN($E$1),FALSE),0),"")</f>
        <v>22</v>
      </c>
      <c r="J110">
        <f>IFERROR(ROUNDDOWN((VLOOKUP($C110,装備品!$1:$998,COLUMN(H$1),FALSE)+IFERROR(VLOOKUP($CI110,付与!$1:$1167,COLUMN(J$1),FALSE),0))*VLOOKUP($D110,素材!$1:$1016,COLUMN($E$1),FALSE),0),"")</f>
        <v>0</v>
      </c>
      <c r="K110">
        <f>IFERROR(ROUNDDOWN((VLOOKUP($C110,装備品!$1:$998,COLUMN(I$1),FALSE)+IFERROR(VLOOKUP($CI110,付与!$1:$1167,COLUMN(K$1),FALSE),0))*VLOOKUP($D110,素材!$1:$1016,COLUMN($E$1),FALSE),0),"")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IFERROR(VLOOKUP($C110,装備品!$1:$998,COLUMN(AA$1),FALSE)*VLOOKUP($D110,素材!$1:$1016,COLUMN($G$1),FALSE),"")</f>
        <v>0</v>
      </c>
      <c r="N110">
        <f>IFERROR(VLOOKUP($C110,装備品!$1:$998,COLUMN(I$1),FALSE),"")</f>
        <v>0</v>
      </c>
      <c r="O110" s="23">
        <f>IFERROR((VLOOKUP($C110,装備品!$1:$998,COLUMN(K$1),FALSE)+VLOOKUP($D110,素材!$1:$1016,COLUMN(H$1),FALSE))*100+IFERROR(VLOOKUP($CI110,付与!$1:$1167,COLUMN(O$1),FALSE),0),"")</f>
        <v>5</v>
      </c>
      <c r="P110" s="23">
        <f>IFERROR((VLOOKUP($C110,装備品!$1:$998,COLUMN(L$1),FALSE)+VLOOKUP($D110,素材!$1:$1016,COLUMN(I$1),FALSE))*100+IFERROR(VLOOKUP($CI110,付与!$1:$1167,COLUMN(P$1),FALSE),0),"")</f>
        <v>125</v>
      </c>
      <c r="Q110">
        <f>IFERROR(ROUNDUP(VLOOKUP($C110,装備品!$1:$998,COLUMN(M$1),FALSE)*(VLOOKUP($D110,素材!$1:$1002,COLUMN(D$1),FALSE)/100),1),"")</f>
        <v>-7.8999999999999995</v>
      </c>
      <c r="R110">
        <f>IFERROR(ROUNDUP(VLOOKUP($C110,装備品!$1:$998,COLUMN(N$1),FALSE)*(VLOOKUP($D110,素材!$1:$1002,COLUMN(D$1),FALSE)/100),1),"")</f>
        <v>0</v>
      </c>
      <c r="S110">
        <f>IFERROR(VLOOKUP($C110,装備品!$1:$998,COLUMN(P$1),FALSE),"")</f>
        <v>0</v>
      </c>
      <c r="T110">
        <f>IFERROR(VLOOKUP($C110,装備品!$1:$998,COLUMN(Q$1),FALSE),"")</f>
        <v>0</v>
      </c>
      <c r="U110">
        <f>IFERROR(VLOOKUP($C110,装備品!$1:$998,COLUMN(R$1),FALSE),"")</f>
        <v>0</v>
      </c>
      <c r="V110">
        <f>IFERROR(VLOOKUP($C110,装備品!$1:$998,COLUMN(Q$1),FALSE),"")</f>
        <v>0</v>
      </c>
      <c r="W110">
        <f>IFERROR(VLOOKUP($C110,装備品!$1:$998,COLUMN(T$1),FALSE),"")</f>
        <v>0.35</v>
      </c>
      <c r="Y110">
        <f>IFERROR(VLOOKUP($C110,装備品!$1:$998,COLUMN(U$1),FALSE),"")</f>
        <v>0</v>
      </c>
      <c r="Z110">
        <f>IFERROR(ROUNDUP(VLOOKUP($C110,装備品!$1:$998,COLUMN(O$1),FALSE)*VLOOKUP($D110,素材!$1:$1016,COLUMN(E$1),FALSE),1),"")</f>
        <v>-810</v>
      </c>
      <c r="AA110">
        <f>IF(ISNUMBER(SEARCH(SUBSTITUTE(AA$1,RIGHT(AA$1,2),""),VLOOKUP($D110,素材!$1:$1016,COLUMN($F$1),FALSE))),VLOOKUP($C110,装備品!$1:$998,COLUMN($O$1),FALSE)*VLOOKUP($D110,素材!$1:$1016,COLUMN($E$1),FALSE)/(LEN(VLOOKUP($D110,素材!$1:$1016,COLUMN($F$1),FALSE))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IFERROR(VLOOKUP($C110,装備品!$1:$998,COLUMN(V$1),FALSE)*VLOOKUP($D110,素材!$1:$1016,COLUMN(N$1),FALSE)+IF(CI110="",0,VLOOKUP($CI110,付与!$1:$1176,COLUMN($CK$1),FALSE)),"")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IFERROR(VLOOKUP($D111,素材!$1:$1016,COLUMN($B$1),FALSE)&amp;"・"&amp;VLOOKUP($C111,装備品!$1:$998,COLUMN(B$1),FALSE),"")</f>
        <v>スチール・ヘルム</v>
      </c>
      <c r="C111" t="s">
        <v>208</v>
      </c>
      <c r="D111" s="24" t="s">
        <v>252</v>
      </c>
      <c r="E111" t="str">
        <f>IFERROR(VLOOKUP(C111,装備品!$1:$998,COLUMN(C$1),FALSE),"")</f>
        <v>頭</v>
      </c>
      <c r="F111">
        <f>IFERROR(ROUNDDOWN((VLOOKUP($C111,装備品!$1:$998,COLUMN(D$1),FALSE)+IFERROR(VLOOKUP($CI111,付与!$1:$1167,COLUMN(F$1),FALSE),0))*VLOOKUP($D111,素材!$1:$1016,COLUMN(D$1),FALSE),0),"")</f>
        <v>0</v>
      </c>
      <c r="G111">
        <f>IFERROR(ROUNDDOWN((VLOOKUP($C111,装備品!$1:$998,COLUMN(E$1),FALSE)+IFERROR(VLOOKUP($CI111,付与!$1:$1167,COLUMN(G$1),FALSE),0))*VLOOKUP($D111,素材!$1:$1016,COLUMN($E$1),FALSE),0),"")</f>
        <v>0</v>
      </c>
      <c r="H111">
        <f>IFERROR(ROUNDDOWN((VLOOKUP($C111,装備品!$1:$998,COLUMN(F$1),FALSE)+IFERROR(VLOOKUP($CI111,付与!$1:$1167,COLUMN(H$1),FALSE),0))*VLOOKUP($D111,素材!$1:$1016,COLUMN($E$1),FALSE),0),"")</f>
        <v>0</v>
      </c>
      <c r="I111">
        <f>IFERROR(ROUNDDOWN((VLOOKUP($C111,装備品!$1:$998,COLUMN(G$1),FALSE)+IFERROR(VLOOKUP($CI111,付与!$1:$1167,COLUMN(I$1),FALSE),0))*VLOOKUP($D111,素材!$1:$1016,COLUMN($E$1),FALSE),0),"")</f>
        <v>22</v>
      </c>
      <c r="J111">
        <f>IFERROR(ROUNDDOWN((VLOOKUP($C111,装備品!$1:$998,COLUMN(H$1),FALSE)+IFERROR(VLOOKUP($CI111,付与!$1:$1167,COLUMN(J$1),FALSE),0))*VLOOKUP($D111,素材!$1:$1016,COLUMN($E$1),FALSE),0),"")</f>
        <v>0</v>
      </c>
      <c r="K111">
        <f>IFERROR(ROUNDDOWN((VLOOKUP($C111,装備品!$1:$998,COLUMN(I$1),FALSE)+IFERROR(VLOOKUP($CI111,付与!$1:$1167,COLUMN(K$1),FALSE),0))*VLOOKUP($D111,素材!$1:$1016,COLUMN($E$1),FALSE),0),"")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IFERROR(VLOOKUP($C111,装備品!$1:$998,COLUMN(AA$1),FALSE)*VLOOKUP($D111,素材!$1:$1016,COLUMN($G$1),FALSE),"")</f>
        <v>0</v>
      </c>
      <c r="N111">
        <f>IFERROR(VLOOKUP($C111,装備品!$1:$998,COLUMN(I$1),FALSE),"")</f>
        <v>0</v>
      </c>
      <c r="O111" s="23">
        <f>IFERROR((VLOOKUP($C111,装備品!$1:$998,COLUMN(K$1),FALSE)+VLOOKUP($D111,素材!$1:$1016,COLUMN(H$1),FALSE))*100+IFERROR(VLOOKUP($CI111,付与!$1:$1167,COLUMN(O$1),FALSE),0),"")</f>
        <v>5</v>
      </c>
      <c r="P111" s="23">
        <f>IFERROR((VLOOKUP($C111,装備品!$1:$998,COLUMN(L$1),FALSE)+VLOOKUP($D111,素材!$1:$1016,COLUMN(I$1),FALSE))*100+IFERROR(VLOOKUP($CI111,付与!$1:$1167,COLUMN(P$1),FALSE),0),"")</f>
        <v>125</v>
      </c>
      <c r="Q111">
        <f>IFERROR(ROUNDUP(VLOOKUP($C111,装備品!$1:$998,COLUMN(M$1),FALSE)*(VLOOKUP($D111,素材!$1:$1002,COLUMN(D$1),FALSE)/100),1),"")</f>
        <v>-5.3</v>
      </c>
      <c r="R111">
        <f>IFERROR(ROUNDUP(VLOOKUP($C111,装備品!$1:$998,COLUMN(N$1),FALSE)*(VLOOKUP($D111,素材!$1:$1002,COLUMN(D$1),FALSE)/100),1),"")</f>
        <v>0</v>
      </c>
      <c r="S111">
        <f>IFERROR(VLOOKUP($C111,装備品!$1:$998,COLUMN(P$1),FALSE),"")</f>
        <v>0</v>
      </c>
      <c r="T111">
        <f>IFERROR(VLOOKUP($C111,装備品!$1:$998,COLUMN(Q$1),FALSE),"")</f>
        <v>0</v>
      </c>
      <c r="U111">
        <f>IFERROR(VLOOKUP($C111,装備品!$1:$998,COLUMN(R$1),FALSE),"")</f>
        <v>0</v>
      </c>
      <c r="V111">
        <f>IFERROR(VLOOKUP($C111,装備品!$1:$998,COLUMN(Q$1),FALSE),"")</f>
        <v>0</v>
      </c>
      <c r="W111">
        <f>IFERROR(VLOOKUP($C111,装備品!$1:$998,COLUMN(T$1),FALSE),"")</f>
        <v>0.25</v>
      </c>
      <c r="Y111">
        <f>IFERROR(VLOOKUP($C111,装備品!$1:$998,COLUMN(U$1),FALSE),"")</f>
        <v>0</v>
      </c>
      <c r="Z111">
        <f>IFERROR(ROUNDUP(VLOOKUP($C111,装備品!$1:$998,COLUMN(O$1),FALSE)*VLOOKUP($D111,素材!$1:$1016,COLUMN(E$1),FALSE),1),"")</f>
        <v>-405</v>
      </c>
      <c r="AA111">
        <f>IF(ISNUMBER(SEARCH(SUBSTITUTE(AA$1,RIGHT(AA$1,2),""),VLOOKUP($D111,素材!$1:$1016,COLUMN($F$1),FALSE))),VLOOKUP($C111,装備品!$1:$998,COLUMN($O$1),FALSE)*VLOOKUP($D111,素材!$1:$1016,COLUMN($E$1),FALSE)/(LEN(VLOOKUP($D111,素材!$1:$1016,COLUMN($F$1),FALSE))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IFERROR(VLOOKUP($C111,装備品!$1:$998,COLUMN(V$1),FALSE)*VLOOKUP($D111,素材!$1:$1016,COLUMN(N$1),FALSE)+IF(CI111="",0,VLOOKUP($CI111,付与!$1:$1176,COLUMN($CK$1),FALSE)),"")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IFERROR(VLOOKUP($D112,素材!$1:$1016,COLUMN($B$1),FALSE)&amp;"・"&amp;VLOOKUP($C112,装備品!$1:$998,COLUMN(B$1),FALSE),"")</f>
        <v>スチール・アーマー</v>
      </c>
      <c r="C112" t="s">
        <v>207</v>
      </c>
      <c r="D112" s="24" t="s">
        <v>252</v>
      </c>
      <c r="E112" t="str">
        <f>IFERROR(VLOOKUP(C112,装備品!$1:$998,COLUMN(C$1),FALSE),"")</f>
        <v>体</v>
      </c>
      <c r="F112">
        <f>IFERROR(ROUNDDOWN((VLOOKUP($C112,装備品!$1:$998,COLUMN(D$1),FALSE)+IFERROR(VLOOKUP($CI112,付与!$1:$1167,COLUMN(F$1),FALSE),0))*VLOOKUP($D112,素材!$1:$1016,COLUMN(D$1),FALSE),0),"")</f>
        <v>0</v>
      </c>
      <c r="G112">
        <f>IFERROR(ROUNDDOWN((VLOOKUP($C112,装備品!$1:$998,COLUMN(E$1),FALSE)+IFERROR(VLOOKUP($CI112,付与!$1:$1167,COLUMN(G$1),FALSE),0))*VLOOKUP($D112,素材!$1:$1016,COLUMN($E$1),FALSE),0),"")</f>
        <v>0</v>
      </c>
      <c r="H112">
        <f>IFERROR(ROUNDDOWN((VLOOKUP($C112,装備品!$1:$998,COLUMN(F$1),FALSE)+IFERROR(VLOOKUP($CI112,付与!$1:$1167,COLUMN(H$1),FALSE),0))*VLOOKUP($D112,素材!$1:$1016,COLUMN($E$1),FALSE),0),"")</f>
        <v>0</v>
      </c>
      <c r="I112">
        <f>IFERROR(ROUNDDOWN((VLOOKUP($C112,装備品!$1:$998,COLUMN(G$1),FALSE)+IFERROR(VLOOKUP($CI112,付与!$1:$1167,COLUMN(I$1),FALSE),0))*VLOOKUP($D112,素材!$1:$1016,COLUMN($E$1),FALSE),0),"")</f>
        <v>0</v>
      </c>
      <c r="J112">
        <f>IFERROR(ROUNDDOWN((VLOOKUP($C112,装備品!$1:$998,COLUMN(H$1),FALSE)+IFERROR(VLOOKUP($CI112,付与!$1:$1167,COLUMN(J$1),FALSE),0))*VLOOKUP($D112,素材!$1:$1016,COLUMN($E$1),FALSE),0),"")</f>
        <v>0</v>
      </c>
      <c r="K112">
        <f>IFERROR(ROUNDDOWN((VLOOKUP($C112,装備品!$1:$998,COLUMN(I$1),FALSE)+IFERROR(VLOOKUP($CI112,付与!$1:$1167,COLUMN(K$1),FALSE),0))*VLOOKUP($D112,素材!$1:$1016,COLUMN($E$1),FALSE),0),"")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IFERROR(VLOOKUP($C112,装備品!$1:$998,COLUMN(AA$1),FALSE)*VLOOKUP($D112,素材!$1:$1016,COLUMN($G$1),FALSE),"")</f>
        <v>0</v>
      </c>
      <c r="N112">
        <f>IFERROR(VLOOKUP($C112,装備品!$1:$998,COLUMN(I$1),FALSE),"")</f>
        <v>0</v>
      </c>
      <c r="O112" s="23">
        <f>IFERROR((VLOOKUP($C112,装備品!$1:$998,COLUMN(K$1),FALSE)+VLOOKUP($D112,素材!$1:$1016,COLUMN(H$1),FALSE))*100+IFERROR(VLOOKUP($CI112,付与!$1:$1167,COLUMN(O$1),FALSE),0),"")</f>
        <v>0</v>
      </c>
      <c r="P112" s="23">
        <f>IFERROR((VLOOKUP($C112,装備品!$1:$998,COLUMN(L$1),FALSE)+VLOOKUP($D112,素材!$1:$1016,COLUMN(I$1),FALSE))*100+IFERROR(VLOOKUP($CI112,付与!$1:$1167,COLUMN(P$1),FALSE),0),"")</f>
        <v>0</v>
      </c>
      <c r="Q112">
        <f>IFERROR(ROUNDUP(VLOOKUP($C112,装備品!$1:$998,COLUMN(M$1),FALSE)*(VLOOKUP($D112,素材!$1:$1002,COLUMN(D$1),FALSE)/100),1),"")</f>
        <v>-15.799999999999999</v>
      </c>
      <c r="R112">
        <f>IFERROR(ROUNDUP(VLOOKUP($C112,装備品!$1:$998,COLUMN(N$1),FALSE)*(VLOOKUP($D112,素材!$1:$1002,COLUMN(D$1),FALSE)/100),1),"")</f>
        <v>0</v>
      </c>
      <c r="S112">
        <f>IFERROR(VLOOKUP($C112,装備品!$1:$998,COLUMN(P$1),FALSE),"")</f>
        <v>-35</v>
      </c>
      <c r="T112">
        <f>IFERROR(VLOOKUP($C112,装備品!$1:$998,COLUMN(Q$1),FALSE),"")</f>
        <v>0</v>
      </c>
      <c r="U112">
        <f>IFERROR(VLOOKUP($C112,装備品!$1:$998,COLUMN(R$1),FALSE),"")</f>
        <v>0</v>
      </c>
      <c r="V112">
        <f>IFERROR(VLOOKUP($C112,装備品!$1:$998,COLUMN(Q$1),FALSE),"")</f>
        <v>0</v>
      </c>
      <c r="W112">
        <f>IFERROR(VLOOKUP($C112,装備品!$1:$998,COLUMN(T$1),FALSE),"")</f>
        <v>0.7</v>
      </c>
      <c r="Y112">
        <f>IFERROR(VLOOKUP($C112,装備品!$1:$998,COLUMN(U$1),FALSE),"")</f>
        <v>0</v>
      </c>
      <c r="Z112">
        <f>IFERROR(ROUNDUP(VLOOKUP($C112,装備品!$1:$998,COLUMN(O$1),FALSE)*VLOOKUP($D112,素材!$1:$1016,COLUMN(E$1),FALSE),1),"")</f>
        <v>0</v>
      </c>
      <c r="AA112">
        <f>IF(ISNUMBER(SEARCH(SUBSTITUTE(AA$1,RIGHT(AA$1,2),""),VLOOKUP($D112,素材!$1:$1016,COLUMN($F$1),FALSE))),VLOOKUP($C112,装備品!$1:$998,COLUMN($O$1),FALSE)*VLOOKUP($D112,素材!$1:$1016,COLUMN($E$1),FALSE)/(LEN(VLOOKUP($D112,素材!$1:$1016,COLUMN($F$1),FALSE))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IFERROR(VLOOKUP($C112,装備品!$1:$998,COLUMN(V$1),FALSE)*VLOOKUP($D112,素材!$1:$1016,COLUMN(N$1),FALSE)+IF(CI112="",0,VLOOKUP($CI112,付与!$1:$1176,COLUMN($CK$1),FALSE)),"")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IFERROR(VLOOKUP($D113,素材!$1:$1016,COLUMN($B$1),FALSE)&amp;"・"&amp;VLOOKUP($C113,装備品!$1:$998,COLUMN(B$1),FALSE),"")</f>
        <v>スチール・ベスト</v>
      </c>
      <c r="C113" t="s">
        <v>253</v>
      </c>
      <c r="D113" s="24" t="s">
        <v>252</v>
      </c>
      <c r="E113" t="str">
        <f>IFERROR(VLOOKUP(C113,装備品!$1:$998,COLUMN(C$1),FALSE),"")</f>
        <v>体</v>
      </c>
      <c r="F113">
        <f>IFERROR(ROUNDDOWN((VLOOKUP($C113,装備品!$1:$998,COLUMN(D$1),FALSE)+IFERROR(VLOOKUP($CI113,付与!$1:$1167,COLUMN(F$1),FALSE),0))*VLOOKUP($D113,素材!$1:$1016,COLUMN(D$1),FALSE),0),"")</f>
        <v>0</v>
      </c>
      <c r="G113">
        <f>IFERROR(ROUNDDOWN((VLOOKUP($C113,装備品!$1:$998,COLUMN(E$1),FALSE)+IFERROR(VLOOKUP($CI113,付与!$1:$1167,COLUMN(G$1),FALSE),0))*VLOOKUP($D113,素材!$1:$1016,COLUMN($E$1),FALSE),0),"")</f>
        <v>0</v>
      </c>
      <c r="H113">
        <f>IFERROR(ROUNDDOWN((VLOOKUP($C113,装備品!$1:$998,COLUMN(F$1),FALSE)+IFERROR(VLOOKUP($CI113,付与!$1:$1167,COLUMN(H$1),FALSE),0))*VLOOKUP($D113,素材!$1:$1016,COLUMN($E$1),FALSE),0),"")</f>
        <v>0</v>
      </c>
      <c r="I113">
        <f>IFERROR(ROUNDDOWN((VLOOKUP($C113,装備品!$1:$998,COLUMN(G$1),FALSE)+IFERROR(VLOOKUP($CI113,付与!$1:$1167,COLUMN(I$1),FALSE),0))*VLOOKUP($D113,素材!$1:$1016,COLUMN($E$1),FALSE),0),"")</f>
        <v>0</v>
      </c>
      <c r="J113">
        <f>IFERROR(ROUNDDOWN((VLOOKUP($C113,装備品!$1:$998,COLUMN(H$1),FALSE)+IFERROR(VLOOKUP($CI113,付与!$1:$1167,COLUMN(J$1),FALSE),0))*VLOOKUP($D113,素材!$1:$1016,COLUMN($E$1),FALSE),0),"")</f>
        <v>0</v>
      </c>
      <c r="K113">
        <f>IFERROR(ROUNDDOWN((VLOOKUP($C113,装備品!$1:$998,COLUMN(I$1),FALSE)+IFERROR(VLOOKUP($CI113,付与!$1:$1167,COLUMN(K$1),FALSE),0))*VLOOKUP($D113,素材!$1:$1016,COLUMN($E$1),FALSE),0),"")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IFERROR(VLOOKUP($C113,装備品!$1:$998,COLUMN(AA$1),FALSE)*VLOOKUP($D113,素材!$1:$1016,COLUMN($G$1),FALSE),"")</f>
        <v>0</v>
      </c>
      <c r="N113">
        <f>IFERROR(VLOOKUP($C113,装備品!$1:$998,COLUMN(I$1),FALSE),"")</f>
        <v>0</v>
      </c>
      <c r="O113" s="23">
        <f>IFERROR((VLOOKUP($C113,装備品!$1:$998,COLUMN(K$1),FALSE)+VLOOKUP($D113,素材!$1:$1016,COLUMN(H$1),FALSE))*100+IFERROR(VLOOKUP($CI113,付与!$1:$1167,COLUMN(O$1),FALSE),0),"")</f>
        <v>0</v>
      </c>
      <c r="P113" s="23">
        <f>IFERROR((VLOOKUP($C113,装備品!$1:$998,COLUMN(L$1),FALSE)+VLOOKUP($D113,素材!$1:$1016,COLUMN(I$1),FALSE))*100+IFERROR(VLOOKUP($CI113,付与!$1:$1167,COLUMN(P$1),FALSE),0),"")</f>
        <v>0</v>
      </c>
      <c r="Q113">
        <f>IFERROR(ROUNDUP(VLOOKUP($C113,装備品!$1:$998,COLUMN(M$1),FALSE)*(VLOOKUP($D113,素材!$1:$1002,COLUMN(D$1),FALSE)/100),1),"")</f>
        <v>-7.8999999999999995</v>
      </c>
      <c r="R113">
        <f>IFERROR(ROUNDUP(VLOOKUP($C113,装備品!$1:$998,COLUMN(N$1),FALSE)*(VLOOKUP($D113,素材!$1:$1002,COLUMN(D$1),FALSE)/100),1),"")</f>
        <v>0</v>
      </c>
      <c r="S113">
        <f>IFERROR(VLOOKUP($C113,装備品!$1:$998,COLUMN(P$1),FALSE),"")</f>
        <v>-15</v>
      </c>
      <c r="T113">
        <f>IFERROR(VLOOKUP($C113,装備品!$1:$998,COLUMN(Q$1),FALSE),"")</f>
        <v>0</v>
      </c>
      <c r="U113">
        <f>IFERROR(VLOOKUP($C113,装備品!$1:$998,COLUMN(R$1),FALSE),"")</f>
        <v>0</v>
      </c>
      <c r="V113">
        <f>IFERROR(VLOOKUP($C113,装備品!$1:$998,COLUMN(Q$1),FALSE),"")</f>
        <v>0</v>
      </c>
      <c r="W113">
        <f>IFERROR(VLOOKUP($C113,装備品!$1:$998,COLUMN(T$1),FALSE),"")</f>
        <v>0.5</v>
      </c>
      <c r="Y113">
        <f>IFERROR(VLOOKUP($C113,装備品!$1:$998,COLUMN(U$1),FALSE),"")</f>
        <v>0</v>
      </c>
      <c r="Z113">
        <f>IFERROR(ROUNDUP(VLOOKUP($C113,装備品!$1:$998,COLUMN(O$1),FALSE)*VLOOKUP($D113,素材!$1:$1016,COLUMN(E$1),FALSE),1),"")</f>
        <v>0</v>
      </c>
      <c r="AA113">
        <f>IF(ISNUMBER(SEARCH(SUBSTITUTE(AA$1,RIGHT(AA$1,2),""),VLOOKUP($D113,素材!$1:$1016,COLUMN($F$1),FALSE))),VLOOKUP($C113,装備品!$1:$998,COLUMN($O$1),FALSE)*VLOOKUP($D113,素材!$1:$1016,COLUMN($E$1),FALSE)/(LEN(VLOOKUP($D113,素材!$1:$1016,COLUMN($F$1),FALSE))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IFERROR(VLOOKUP($C113,装備品!$1:$998,COLUMN(V$1),FALSE)*VLOOKUP($D113,素材!$1:$1016,COLUMN(N$1),FALSE)+IF(CI113="",0,VLOOKUP($CI113,付与!$1:$1176,COLUMN($CK$1),FALSE)),"")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IFERROR(VLOOKUP($D114,素材!$1:$1016,COLUMN($B$1),FALSE)&amp;"・"&amp;VLOOKUP($C114,装備品!$1:$998,COLUMN(B$1),FALSE),"")</f>
        <v>スチール・ブーツ</v>
      </c>
      <c r="C114" t="s">
        <v>205</v>
      </c>
      <c r="D114" s="24" t="s">
        <v>252</v>
      </c>
      <c r="E114" t="str">
        <f>IFERROR(VLOOKUP(C114,装備品!$1:$998,COLUMN(C$1),FALSE),"")</f>
        <v>足</v>
      </c>
      <c r="F114">
        <f>IFERROR(ROUNDDOWN((VLOOKUP($C114,装備品!$1:$998,COLUMN(D$1),FALSE)+IFERROR(VLOOKUP($CI114,付与!$1:$1167,COLUMN(F$1),FALSE),0))*VLOOKUP($D114,素材!$1:$1016,COLUMN(D$1),FALSE),0),"")</f>
        <v>0</v>
      </c>
      <c r="G114">
        <f>IFERROR(ROUNDDOWN((VLOOKUP($C114,装備品!$1:$998,COLUMN(E$1),FALSE)+IFERROR(VLOOKUP($CI114,付与!$1:$1167,COLUMN(G$1),FALSE),0))*VLOOKUP($D114,素材!$1:$1016,COLUMN($E$1),FALSE),0),"")</f>
        <v>0</v>
      </c>
      <c r="H114">
        <f>IFERROR(ROUNDDOWN((VLOOKUP($C114,装備品!$1:$998,COLUMN(F$1),FALSE)+IFERROR(VLOOKUP($CI114,付与!$1:$1167,COLUMN(H$1),FALSE),0))*VLOOKUP($D114,素材!$1:$1016,COLUMN($E$1),FALSE),0),"")</f>
        <v>0</v>
      </c>
      <c r="I114">
        <f>IFERROR(ROUNDDOWN((VLOOKUP($C114,装備品!$1:$998,COLUMN(G$1),FALSE)+IFERROR(VLOOKUP($CI114,付与!$1:$1167,COLUMN(I$1),FALSE),0))*VLOOKUP($D114,素材!$1:$1016,COLUMN($E$1),FALSE),0),"")</f>
        <v>27</v>
      </c>
      <c r="J114">
        <f>IFERROR(ROUNDDOWN((VLOOKUP($C114,装備品!$1:$998,COLUMN(H$1),FALSE)+IFERROR(VLOOKUP($CI114,付与!$1:$1167,COLUMN(J$1),FALSE),0))*VLOOKUP($D114,素材!$1:$1016,COLUMN($E$1),FALSE),0),"")</f>
        <v>0</v>
      </c>
      <c r="K114">
        <f>IFERROR(ROUNDDOWN((VLOOKUP($C114,装備品!$1:$998,COLUMN(I$1),FALSE)+IFERROR(VLOOKUP($CI114,付与!$1:$1167,COLUMN(K$1),FALSE),0))*VLOOKUP($D114,素材!$1:$1016,COLUMN($E$1),FALSE),0),"")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IFERROR(VLOOKUP($C114,装備品!$1:$998,COLUMN(AA$1),FALSE)*VLOOKUP($D114,素材!$1:$1016,COLUMN($G$1),FALSE),"")</f>
        <v>0</v>
      </c>
      <c r="N114">
        <f>IFERROR(VLOOKUP($C114,装備品!$1:$998,COLUMN(I$1),FALSE),"")</f>
        <v>0</v>
      </c>
      <c r="O114" s="23">
        <f>IFERROR((VLOOKUP($C114,装備品!$1:$998,COLUMN(K$1),FALSE)+VLOOKUP($D114,素材!$1:$1016,COLUMN(H$1),FALSE))*100+IFERROR(VLOOKUP($CI114,付与!$1:$1167,COLUMN(O$1),FALSE),0),"")</f>
        <v>10</v>
      </c>
      <c r="P114" s="23">
        <f>IFERROR((VLOOKUP($C114,装備品!$1:$998,COLUMN(L$1),FALSE)+VLOOKUP($D114,素材!$1:$1016,COLUMN(I$1),FALSE))*100+IFERROR(VLOOKUP($CI114,付与!$1:$1167,COLUMN(P$1),FALSE),0),"")</f>
        <v>150</v>
      </c>
      <c r="Q114">
        <f>IFERROR(ROUNDUP(VLOOKUP($C114,装備品!$1:$998,COLUMN(M$1),FALSE)*(VLOOKUP($D114,素材!$1:$1002,COLUMN(D$1),FALSE)/100),1),"")</f>
        <v>0</v>
      </c>
      <c r="R114">
        <f>IFERROR(ROUNDUP(VLOOKUP($C114,装備品!$1:$998,COLUMN(N$1),FALSE)*(VLOOKUP($D114,素材!$1:$1002,COLUMN(D$1),FALSE)/100),1),"")</f>
        <v>0</v>
      </c>
      <c r="S114">
        <f>IFERROR(VLOOKUP($C114,装備品!$1:$998,COLUMN(P$1),FALSE),"")</f>
        <v>0</v>
      </c>
      <c r="T114">
        <f>IFERROR(VLOOKUP($C114,装備品!$1:$998,COLUMN(Q$1),FALSE),"")</f>
        <v>0</v>
      </c>
      <c r="U114">
        <f>IFERROR(VLOOKUP($C114,装備品!$1:$998,COLUMN(R$1),FALSE),"")</f>
        <v>0</v>
      </c>
      <c r="V114">
        <f>IFERROR(VLOOKUP($C114,装備品!$1:$998,COLUMN(Q$1),FALSE),"")</f>
        <v>0</v>
      </c>
      <c r="W114">
        <f>IFERROR(VLOOKUP($C114,装備品!$1:$998,COLUMN(T$1),FALSE),"")</f>
        <v>0.15</v>
      </c>
      <c r="Y114">
        <f>IFERROR(VLOOKUP($C114,装備品!$1:$998,COLUMN(U$1),FALSE),"")</f>
        <v>0</v>
      </c>
      <c r="Z114">
        <f>IFERROR(ROUNDUP(VLOOKUP($C114,装備品!$1:$998,COLUMN(O$1),FALSE)*VLOOKUP($D114,素材!$1:$1016,COLUMN(E$1),FALSE),1),"")</f>
        <v>0</v>
      </c>
      <c r="AA114">
        <f>IF(ISNUMBER(SEARCH(SUBSTITUTE(AA$1,RIGHT(AA$1,2),""),VLOOKUP($D114,素材!$1:$1016,COLUMN($F$1),FALSE))),VLOOKUP($C114,装備品!$1:$998,COLUMN($O$1),FALSE)*VLOOKUP($D114,素材!$1:$1016,COLUMN($E$1),FALSE)/(LEN(VLOOKUP($D114,素材!$1:$1016,COLUMN($F$1),FALSE))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IFERROR(VLOOKUP($C114,装備品!$1:$998,COLUMN(V$1),FALSE)*VLOOKUP($D114,素材!$1:$1016,COLUMN(N$1),FALSE)+IF(CI114="",0,VLOOKUP($CI114,付与!$1:$1176,COLUMN($CK$1),FALSE)),"")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IFERROR(VLOOKUP($D115,素材!$1:$1016,COLUMN($B$1),FALSE)&amp;"・"&amp;VLOOKUP($C115,装備品!$1:$998,COLUMN(B$1),FALSE),"")</f>
        <v/>
      </c>
      <c r="D115" s="24"/>
      <c r="E115" t="str">
        <f>IFERROR(VLOOKUP(C115,装備品!$1:$998,COLUMN(C$1),FALSE),"")</f>
        <v/>
      </c>
      <c r="F115" t="str">
        <f>IFERROR(ROUNDDOWN((VLOOKUP($C115,装備品!$1:$998,COLUMN(D$1),FALSE)+IFERROR(VLOOKUP($CI115,付与!$1:$1167,COLUMN(F$1),FALSE),0))*VLOOKUP($D115,素材!$1:$1016,COLUMN(D$1),FALSE),0),"")</f>
        <v/>
      </c>
      <c r="G115" t="str">
        <f>IFERROR(ROUNDDOWN((VLOOKUP($C115,装備品!$1:$998,COLUMN(E$1),FALSE)+IFERROR(VLOOKUP($CI115,付与!$1:$1167,COLUMN(G$1),FALSE),0))*VLOOKUP($D115,素材!$1:$1016,COLUMN($E$1),FALSE),0),"")</f>
        <v/>
      </c>
      <c r="H115" t="str">
        <f>IFERROR(ROUNDDOWN((VLOOKUP($C115,装備品!$1:$998,COLUMN(F$1),FALSE)+IFERROR(VLOOKUP($CI115,付与!$1:$1167,COLUMN(H$1),FALSE),0))*VLOOKUP($D115,素材!$1:$1016,COLUMN($E$1),FALSE),0),"")</f>
        <v/>
      </c>
      <c r="I115" t="str">
        <f>IFERROR(ROUNDDOWN((VLOOKUP($C115,装備品!$1:$998,COLUMN(G$1),FALSE)+IFERROR(VLOOKUP($CI115,付与!$1:$1167,COLUMN(I$1),FALSE),0))*VLOOKUP($D115,素材!$1:$1016,COLUMN($E$1),FALSE),0),"")</f>
        <v/>
      </c>
      <c r="J115" t="str">
        <f>IFERROR(ROUNDDOWN((VLOOKUP($C115,装備品!$1:$998,COLUMN(H$1),FALSE)+IFERROR(VLOOKUP($CI115,付与!$1:$1167,COLUMN(J$1),FALSE),0))*VLOOKUP($D115,素材!$1:$1016,COLUMN($E$1),FALSE),0),"")</f>
        <v/>
      </c>
      <c r="K115" t="str">
        <f>IFERROR(ROUNDDOWN((VLOOKUP($C115,装備品!$1:$998,COLUMN(I$1),FALSE)+IFERROR(VLOOKUP($CI115,付与!$1:$1167,COLUMN(K$1),FALSE),0))*VLOOKUP($D115,素材!$1:$1016,COLUMN($E$1),FALSE),0),"")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IFERROR(VLOOKUP($C115,装備品!$1:$998,COLUMN(AA$1),FALSE)*VLOOKUP($D115,素材!$1:$1016,COLUMN($G$1),FALSE),"")</f>
        <v/>
      </c>
      <c r="N115" t="str">
        <f>IFERROR(VLOOKUP($C115,装備品!$1:$998,COLUMN(I$1),FALSE),"")</f>
        <v/>
      </c>
      <c r="O115" s="23" t="str">
        <f>IFERROR((VLOOKUP($C115,装備品!$1:$998,COLUMN(K$1),FALSE)+VLOOKUP($D115,素材!$1:$1016,COLUMN(H$1),FALSE))*100+IFERROR(VLOOKUP($CI115,付与!$1:$1167,COLUMN(O$1),FALSE),0),"")</f>
        <v/>
      </c>
      <c r="P115" s="23" t="str">
        <f>IFERROR((VLOOKUP($C115,装備品!$1:$998,COLUMN(L$1),FALSE)+VLOOKUP($D115,素材!$1:$1016,COLUMN(I$1),FALSE))*100+IFERROR(VLOOKUP($CI115,付与!$1:$1167,COLUMN(P$1),FALSE),0),"")</f>
        <v/>
      </c>
      <c r="Q115" t="str">
        <f>IFERROR(ROUNDUP(VLOOKUP($C115,装備品!$1:$998,COLUMN(M$1),FALSE)*(VLOOKUP($D115,素材!$1:$1002,COLUMN(D$1),FALSE)/100),1),"")</f>
        <v/>
      </c>
      <c r="R115" t="str">
        <f>IFERROR(ROUNDUP(VLOOKUP($C115,装備品!$1:$998,COLUMN(N$1),FALSE)*(VLOOKUP($D115,素材!$1:$1002,COLUMN(D$1),FALSE)/100),1),"")</f>
        <v/>
      </c>
      <c r="S115" t="str">
        <f>IFERROR(VLOOKUP($C115,装備品!$1:$998,COLUMN(P$1),FALSE),"")</f>
        <v/>
      </c>
      <c r="T115" t="str">
        <f>IFERROR(VLOOKUP($C115,装備品!$1:$998,COLUMN(Q$1),FALSE),"")</f>
        <v/>
      </c>
      <c r="U115" t="str">
        <f>IFERROR(VLOOKUP($C115,装備品!$1:$998,COLUMN(R$1),FALSE),"")</f>
        <v/>
      </c>
      <c r="V115" t="str">
        <f>IFERROR(VLOOKUP($C115,装備品!$1:$998,COLUMN(Q$1),FALSE),"")</f>
        <v/>
      </c>
      <c r="W115" t="str">
        <f>IFERROR(VLOOKUP($C115,装備品!$1:$998,COLUMN(T$1),FALSE),"")</f>
        <v/>
      </c>
      <c r="Y115" t="str">
        <f>IFERROR(VLOOKUP($C115,装備品!$1:$998,COLUMN(U$1),FALSE),"")</f>
        <v/>
      </c>
      <c r="Z115" t="str">
        <f>IFERROR(ROUNDUP(VLOOKUP($C115,装備品!$1:$998,COLUMN(O$1),FALSE)*VLOOKUP($D115,素材!$1:$1016,COLUMN(E$1),FALSE),1),"")</f>
        <v/>
      </c>
      <c r="AA115">
        <f>IF(ISNUMBER(SEARCH(SUBSTITUTE(AA$1,RIGHT(AA$1,2),""),VLOOKUP($D115,素材!$1:$1016,COLUMN($F$1),FALSE))),VLOOKUP($C115,装備品!$1:$998,COLUMN($O$1),FALSE)*VLOOKUP($D115,素材!$1:$1016,COLUMN($E$1),FALSE)/(LEN(VLOOKUP($D115,素材!$1:$1016,COLUMN($F$1),FALSE))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IFERROR(VLOOKUP($C115,装備品!$1:$998,COLUMN(V$1),FALSE)*VLOOKUP($D115,素材!$1:$1016,COLUMN(N$1),FALSE)+IF(CI115="",0,VLOOKUP($CI115,付与!$1:$1176,COLUMN($CK$1),FALSE)),"")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IFERROR(VLOOKUP($D116,素材!$1:$1016,COLUMN($B$1),FALSE)&amp;"・"&amp;VLOOKUP($C116,装備品!$1:$998,COLUMN(B$1),FALSE),"")</f>
        <v>レザー・ハット</v>
      </c>
      <c r="C116" t="s">
        <v>1182</v>
      </c>
      <c r="D116" s="24" t="s">
        <v>251</v>
      </c>
      <c r="E116" t="str">
        <f>IFERROR(VLOOKUP(C116,装備品!$1:$998,COLUMN(C$1),FALSE),"")</f>
        <v>頭</v>
      </c>
      <c r="F116">
        <f>IFERROR(ROUNDDOWN((VLOOKUP($C116,装備品!$1:$998,COLUMN(D$1),FALSE)+IFERROR(VLOOKUP($CI116,付与!$1:$1167,COLUMN(F$1),FALSE),0))*VLOOKUP($D116,素材!$1:$1016,COLUMN(D$1),FALSE),0),"")</f>
        <v>0</v>
      </c>
      <c r="G116">
        <f>IFERROR(ROUNDDOWN((VLOOKUP($C116,装備品!$1:$998,COLUMN(E$1),FALSE)+IFERROR(VLOOKUP($CI116,付与!$1:$1167,COLUMN(G$1),FALSE),0))*VLOOKUP($D116,素材!$1:$1016,COLUMN($E$1),FALSE),0),"")</f>
        <v>0</v>
      </c>
      <c r="H116">
        <f>IFERROR(ROUNDDOWN((VLOOKUP($C116,装備品!$1:$998,COLUMN(F$1),FALSE)+IFERROR(VLOOKUP($CI116,付与!$1:$1167,COLUMN(H$1),FALSE),0))*VLOOKUP($D116,素材!$1:$1016,COLUMN($E$1),FALSE),0),"")</f>
        <v>0</v>
      </c>
      <c r="I116">
        <f>IFERROR(ROUNDDOWN((VLOOKUP($C116,装備品!$1:$998,COLUMN(G$1),FALSE)+IFERROR(VLOOKUP($CI116,付与!$1:$1167,COLUMN(I$1),FALSE),0))*VLOOKUP($D116,素材!$1:$1016,COLUMN($E$1),FALSE),0),"")</f>
        <v>0</v>
      </c>
      <c r="J116">
        <f>IFERROR(ROUNDDOWN((VLOOKUP($C116,装備品!$1:$998,COLUMN(H$1),FALSE)+IFERROR(VLOOKUP($CI116,付与!$1:$1167,COLUMN(J$1),FALSE),0))*VLOOKUP($D116,素材!$1:$1016,COLUMN($E$1),FALSE),0),"")</f>
        <v>0</v>
      </c>
      <c r="K116">
        <f>IFERROR(ROUNDDOWN((VLOOKUP($C116,装備品!$1:$998,COLUMN(I$1),FALSE)+IFERROR(VLOOKUP($CI116,付与!$1:$1167,COLUMN(K$1),FALSE),0))*VLOOKUP($D116,素材!$1:$1016,COLUMN($E$1),FALSE),0),"")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IFERROR(VLOOKUP($C116,装備品!$1:$998,COLUMN(AA$1),FALSE)*VLOOKUP($D116,素材!$1:$1016,COLUMN($G$1),FALSE),"")</f>
        <v/>
      </c>
      <c r="N116">
        <f>IFERROR(VLOOKUP($C116,装備品!$1:$998,COLUMN(I$1),FALSE),"")</f>
        <v>0</v>
      </c>
      <c r="O116" s="23" t="str">
        <f>IFERROR((VLOOKUP($C116,装備品!$1:$998,COLUMN(K$1),FALSE)+VLOOKUP($D116,素材!$1:$1016,COLUMN(H$1),FALSE))*100+IFERROR(VLOOKUP($CI116,付与!$1:$1167,COLUMN(O$1),FALSE),0),"")</f>
        <v/>
      </c>
      <c r="P116" s="23" t="str">
        <f>IFERROR((VLOOKUP($C116,装備品!$1:$998,COLUMN(L$1),FALSE)+VLOOKUP($D116,素材!$1:$1016,COLUMN(I$1),FALSE))*100+IFERROR(VLOOKUP($CI116,付与!$1:$1167,COLUMN(P$1),FALSE),0),"")</f>
        <v/>
      </c>
      <c r="Q116">
        <f>IFERROR(ROUNDUP(VLOOKUP($C116,装備品!$1:$998,COLUMN(M$1),FALSE)*(VLOOKUP($D116,素材!$1:$1002,COLUMN(D$1),FALSE)/100),1),"")</f>
        <v>0</v>
      </c>
      <c r="R116">
        <f>IFERROR(ROUNDUP(VLOOKUP($C116,装備品!$1:$998,COLUMN(N$1),FALSE)*(VLOOKUP($D116,素材!$1:$1002,COLUMN(D$1),FALSE)/100),1),"")</f>
        <v>0</v>
      </c>
      <c r="S116">
        <f>IFERROR(VLOOKUP($C116,装備品!$1:$998,COLUMN(P$1),FALSE),"")</f>
        <v>0</v>
      </c>
      <c r="T116">
        <f>IFERROR(VLOOKUP($C116,装備品!$1:$998,COLUMN(Q$1),FALSE),"")</f>
        <v>0</v>
      </c>
      <c r="U116">
        <f>IFERROR(VLOOKUP($C116,装備品!$1:$998,COLUMN(R$1),FALSE),"")</f>
        <v>0</v>
      </c>
      <c r="V116">
        <f>IFERROR(VLOOKUP($C116,装備品!$1:$998,COLUMN(Q$1),FALSE),"")</f>
        <v>0</v>
      </c>
      <c r="W116">
        <f>IFERROR(VLOOKUP($C116,装備品!$1:$998,COLUMN(T$1),FALSE),"")</f>
        <v>0.1</v>
      </c>
      <c r="Y116">
        <f>IFERROR(VLOOKUP($C116,装備品!$1:$998,COLUMN(U$1),FALSE),"")</f>
        <v>0</v>
      </c>
      <c r="Z116">
        <f>IFERROR(ROUNDUP(VLOOKUP($C116,装備品!$1:$998,COLUMN(O$1),FALSE)*VLOOKUP($D116,素材!$1:$1016,COLUMN(E$1),FALSE),1),"")</f>
        <v>0</v>
      </c>
      <c r="AA116">
        <f>IF(ISNUMBER(SEARCH(SUBSTITUTE(AA$1,RIGHT(AA$1,2),""),VLOOKUP($D116,素材!$1:$1016,COLUMN($F$1),FALSE))),VLOOKUP($C116,装備品!$1:$998,COLUMN($O$1),FALSE)*VLOOKUP($D116,素材!$1:$1016,COLUMN($E$1),FALSE)/(LEN(VLOOKUP($D116,素材!$1:$1016,COLUMN($F$1),FALSE))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IFERROR(VLOOKUP($C116,装備品!$1:$998,COLUMN(V$1),FALSE)*VLOOKUP($D116,素材!$1:$1016,COLUMN(N$1),FALSE)+IF(CI116="",0,VLOOKUP($CI116,付与!$1:$1176,COLUMN($CK$1),FALSE)),"")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IFERROR(VLOOKUP($D117,素材!$1:$1016,COLUMN($B$1),FALSE)&amp;"・"&amp;VLOOKUP($C117,装備品!$1:$998,COLUMN(B$1),FALSE),"")</f>
        <v>レザー・クロース</v>
      </c>
      <c r="C117" t="s">
        <v>246</v>
      </c>
      <c r="D117" s="24" t="s">
        <v>251</v>
      </c>
      <c r="E117" t="str">
        <f>IFERROR(VLOOKUP(C117,装備品!$1:$998,COLUMN(C$1),FALSE),"")</f>
        <v>体</v>
      </c>
      <c r="F117">
        <f>IFERROR(ROUNDDOWN((VLOOKUP($C117,装備品!$1:$998,COLUMN(D$1),FALSE)+IFERROR(VLOOKUP($CI117,付与!$1:$1167,COLUMN(F$1),FALSE),0))*VLOOKUP($D117,素材!$1:$1016,COLUMN(D$1),FALSE),0),"")</f>
        <v>0</v>
      </c>
      <c r="G117">
        <f>IFERROR(ROUNDDOWN((VLOOKUP($C117,装備品!$1:$998,COLUMN(E$1),FALSE)+IFERROR(VLOOKUP($CI117,付与!$1:$1167,COLUMN(G$1),FALSE),0))*VLOOKUP($D117,素材!$1:$1016,COLUMN($E$1),FALSE),0),"")</f>
        <v>0</v>
      </c>
      <c r="H117">
        <f>IFERROR(ROUNDDOWN((VLOOKUP($C117,装備品!$1:$998,COLUMN(F$1),FALSE)+IFERROR(VLOOKUP($CI117,付与!$1:$1167,COLUMN(H$1),FALSE),0))*VLOOKUP($D117,素材!$1:$1016,COLUMN($E$1),FALSE),0),"")</f>
        <v>0</v>
      </c>
      <c r="I117">
        <f>IFERROR(ROUNDDOWN((VLOOKUP($C117,装備品!$1:$998,COLUMN(G$1),FALSE)+IFERROR(VLOOKUP($CI117,付与!$1:$1167,COLUMN(I$1),FALSE),0))*VLOOKUP($D117,素材!$1:$1016,COLUMN($E$1),FALSE),0),"")</f>
        <v>0</v>
      </c>
      <c r="J117">
        <f>IFERROR(ROUNDDOWN((VLOOKUP($C117,装備品!$1:$998,COLUMN(H$1),FALSE)+IFERROR(VLOOKUP($CI117,付与!$1:$1167,COLUMN(J$1),FALSE),0))*VLOOKUP($D117,素材!$1:$1016,COLUMN($E$1),FALSE),0),"")</f>
        <v>0</v>
      </c>
      <c r="K117">
        <f>IFERROR(ROUNDDOWN((VLOOKUP($C117,装備品!$1:$998,COLUMN(I$1),FALSE)+IFERROR(VLOOKUP($CI117,付与!$1:$1167,COLUMN(K$1),FALSE),0))*VLOOKUP($D117,素材!$1:$1016,COLUMN($E$1),FALSE),0),"")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IFERROR(VLOOKUP($C117,装備品!$1:$998,COLUMN(AA$1),FALSE)*VLOOKUP($D117,素材!$1:$1016,COLUMN($G$1),FALSE),"")</f>
        <v/>
      </c>
      <c r="N117">
        <f>IFERROR(VLOOKUP($C117,装備品!$1:$998,COLUMN(I$1),FALSE),"")</f>
        <v>0</v>
      </c>
      <c r="O117" s="23" t="str">
        <f>IFERROR((VLOOKUP($C117,装備品!$1:$998,COLUMN(K$1),FALSE)+VLOOKUP($D117,素材!$1:$1016,COLUMN(H$1),FALSE))*100+IFERROR(VLOOKUP($CI117,付与!$1:$1167,COLUMN(O$1),FALSE),0),"")</f>
        <v/>
      </c>
      <c r="P117" s="23" t="str">
        <f>IFERROR((VLOOKUP($C117,装備品!$1:$998,COLUMN(L$1),FALSE)+VLOOKUP($D117,素材!$1:$1016,COLUMN(I$1),FALSE))*100+IFERROR(VLOOKUP($CI117,付与!$1:$1167,COLUMN(P$1),FALSE),0),"")</f>
        <v/>
      </c>
      <c r="Q117">
        <f>IFERROR(ROUNDUP(VLOOKUP($C117,装備品!$1:$998,COLUMN(M$1),FALSE)*(VLOOKUP($D117,素材!$1:$1002,COLUMN(D$1),FALSE)/100),1),"")</f>
        <v>0</v>
      </c>
      <c r="R117">
        <f>IFERROR(ROUNDUP(VLOOKUP($C117,装備品!$1:$998,COLUMN(N$1),FALSE)*(VLOOKUP($D117,素材!$1:$1002,COLUMN(D$1),FALSE)/100),1),"")</f>
        <v>0</v>
      </c>
      <c r="S117">
        <f>IFERROR(VLOOKUP($C117,装備品!$1:$998,COLUMN(P$1),FALSE),"")</f>
        <v>0</v>
      </c>
      <c r="T117">
        <f>IFERROR(VLOOKUP($C117,装備品!$1:$998,COLUMN(Q$1),FALSE),"")</f>
        <v>0</v>
      </c>
      <c r="U117">
        <f>IFERROR(VLOOKUP($C117,装備品!$1:$998,COLUMN(R$1),FALSE),"")</f>
        <v>0</v>
      </c>
      <c r="V117">
        <f>IFERROR(VLOOKUP($C117,装備品!$1:$998,COLUMN(Q$1),FALSE),"")</f>
        <v>0</v>
      </c>
      <c r="W117">
        <f>IFERROR(VLOOKUP($C117,装備品!$1:$998,COLUMN(T$1),FALSE),"")</f>
        <v>0.3</v>
      </c>
      <c r="Y117">
        <f>IFERROR(VLOOKUP($C117,装備品!$1:$998,COLUMN(U$1),FALSE),"")</f>
        <v>0</v>
      </c>
      <c r="Z117">
        <f>IFERROR(ROUNDUP(VLOOKUP($C117,装備品!$1:$998,COLUMN(O$1),FALSE)*VLOOKUP($D117,素材!$1:$1016,COLUMN(E$1),FALSE),1),"")</f>
        <v>0</v>
      </c>
      <c r="AA117">
        <f>IF(ISNUMBER(SEARCH(SUBSTITUTE(AA$1,RIGHT(AA$1,2),""),VLOOKUP($D117,素材!$1:$1016,COLUMN($F$1),FALSE))),VLOOKUP($C117,装備品!$1:$998,COLUMN($O$1),FALSE)*VLOOKUP($D117,素材!$1:$1016,COLUMN($E$1),FALSE)/(LEN(VLOOKUP($D117,素材!$1:$1016,COLUMN($F$1),FALSE))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IFERROR(VLOOKUP($C117,装備品!$1:$998,COLUMN(V$1),FALSE)*VLOOKUP($D117,素材!$1:$1016,COLUMN(N$1),FALSE)+IF(CI117="",0,VLOOKUP($CI117,付与!$1:$1176,COLUMN($CK$1),FALSE)),"")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IFERROR(VLOOKUP($D118,素材!$1:$1016,COLUMN($B$1),FALSE)&amp;"・"&amp;VLOOKUP($C118,装備品!$1:$998,COLUMN(B$1),FALSE),"")</f>
        <v>レザー・ローブ</v>
      </c>
      <c r="C118" t="s">
        <v>245</v>
      </c>
      <c r="D118" s="24" t="s">
        <v>251</v>
      </c>
      <c r="E118" t="str">
        <f>IFERROR(VLOOKUP(C118,装備品!$1:$998,COLUMN(C$1),FALSE),"")</f>
        <v>体</v>
      </c>
      <c r="F118">
        <f>IFERROR(ROUNDDOWN((VLOOKUP($C118,装備品!$1:$998,COLUMN(D$1),FALSE)+IFERROR(VLOOKUP($CI118,付与!$1:$1167,COLUMN(F$1),FALSE),0))*VLOOKUP($D118,素材!$1:$1016,COLUMN(D$1),FALSE),0),"")</f>
        <v>0</v>
      </c>
      <c r="G118">
        <f>IFERROR(ROUNDDOWN((VLOOKUP($C118,装備品!$1:$998,COLUMN(E$1),FALSE)+IFERROR(VLOOKUP($CI118,付与!$1:$1167,COLUMN(G$1),FALSE),0))*VLOOKUP($D118,素材!$1:$1016,COLUMN($E$1),FALSE),0),"")</f>
        <v>0</v>
      </c>
      <c r="H118">
        <f>IFERROR(ROUNDDOWN((VLOOKUP($C118,装備品!$1:$998,COLUMN(F$1),FALSE)+IFERROR(VLOOKUP($CI118,付与!$1:$1167,COLUMN(H$1),FALSE),0))*VLOOKUP($D118,素材!$1:$1016,COLUMN($E$1),FALSE),0),"")</f>
        <v>0</v>
      </c>
      <c r="I118">
        <f>IFERROR(ROUNDDOWN((VLOOKUP($C118,装備品!$1:$998,COLUMN(G$1),FALSE)+IFERROR(VLOOKUP($CI118,付与!$1:$1167,COLUMN(I$1),FALSE),0))*VLOOKUP($D118,素材!$1:$1016,COLUMN($E$1),FALSE),0),"")</f>
        <v>0</v>
      </c>
      <c r="J118">
        <f>IFERROR(ROUNDDOWN((VLOOKUP($C118,装備品!$1:$998,COLUMN(H$1),FALSE)+IFERROR(VLOOKUP($CI118,付与!$1:$1167,COLUMN(J$1),FALSE),0))*VLOOKUP($D118,素材!$1:$1016,COLUMN($E$1),FALSE),0),"")</f>
        <v>0</v>
      </c>
      <c r="K118">
        <f>IFERROR(ROUNDDOWN((VLOOKUP($C118,装備品!$1:$998,COLUMN(I$1),FALSE)+IFERROR(VLOOKUP($CI118,付与!$1:$1167,COLUMN(K$1),FALSE),0))*VLOOKUP($D118,素材!$1:$1016,COLUMN($E$1),FALSE),0),"")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IFERROR(VLOOKUP($C118,装備品!$1:$998,COLUMN(AA$1),FALSE)*VLOOKUP($D118,素材!$1:$1016,COLUMN($G$1),FALSE),"")</f>
        <v/>
      </c>
      <c r="N118">
        <f>IFERROR(VLOOKUP($C118,装備品!$1:$998,COLUMN(I$1),FALSE),"")</f>
        <v>0</v>
      </c>
      <c r="O118" s="23" t="str">
        <f>IFERROR((VLOOKUP($C118,装備品!$1:$998,COLUMN(K$1),FALSE)+VLOOKUP($D118,素材!$1:$1016,COLUMN(H$1),FALSE))*100+IFERROR(VLOOKUP($CI118,付与!$1:$1167,COLUMN(O$1),FALSE),0),"")</f>
        <v/>
      </c>
      <c r="P118" s="23" t="str">
        <f>IFERROR((VLOOKUP($C118,装備品!$1:$998,COLUMN(L$1),FALSE)+VLOOKUP($D118,素材!$1:$1016,COLUMN(I$1),FALSE))*100+IFERROR(VLOOKUP($CI118,付与!$1:$1167,COLUMN(P$1),FALSE),0),"")</f>
        <v/>
      </c>
      <c r="Q118">
        <f>IFERROR(ROUNDUP(VLOOKUP($C118,装備品!$1:$998,COLUMN(M$1),FALSE)*(VLOOKUP($D118,素材!$1:$1002,COLUMN(D$1),FALSE)/100),1),"")</f>
        <v>0</v>
      </c>
      <c r="R118">
        <f>IFERROR(ROUNDUP(VLOOKUP($C118,装備品!$1:$998,COLUMN(N$1),FALSE)*(VLOOKUP($D118,素材!$1:$1002,COLUMN(D$1),FALSE)/100),1),"")</f>
        <v>0</v>
      </c>
      <c r="S118">
        <f>IFERROR(VLOOKUP($C118,装備品!$1:$998,COLUMN(P$1),FALSE),"")</f>
        <v>0</v>
      </c>
      <c r="T118">
        <f>IFERROR(VLOOKUP($C118,装備品!$1:$998,COLUMN(Q$1),FALSE),"")</f>
        <v>0</v>
      </c>
      <c r="U118">
        <f>IFERROR(VLOOKUP($C118,装備品!$1:$998,COLUMN(R$1),FALSE),"")</f>
        <v>0</v>
      </c>
      <c r="V118">
        <f>IFERROR(VLOOKUP($C118,装備品!$1:$998,COLUMN(Q$1),FALSE),"")</f>
        <v>0</v>
      </c>
      <c r="W118">
        <f>IFERROR(VLOOKUP($C118,装備品!$1:$998,COLUMN(T$1),FALSE),"")</f>
        <v>0.2</v>
      </c>
      <c r="Y118">
        <f>IFERROR(VLOOKUP($C118,装備品!$1:$998,COLUMN(U$1),FALSE),"")</f>
        <v>0</v>
      </c>
      <c r="Z118">
        <f>IFERROR(ROUNDUP(VLOOKUP($C118,装備品!$1:$998,COLUMN(O$1),FALSE)*VLOOKUP($D118,素材!$1:$1016,COLUMN(E$1),FALSE),1),"")</f>
        <v>0</v>
      </c>
      <c r="AA118">
        <f>IF(ISNUMBER(SEARCH(SUBSTITUTE(AA$1,RIGHT(AA$1,2),""),VLOOKUP($D118,素材!$1:$1016,COLUMN($F$1),FALSE))),VLOOKUP($C118,装備品!$1:$998,COLUMN($O$1),FALSE)*VLOOKUP($D118,素材!$1:$1016,COLUMN($E$1),FALSE)/(LEN(VLOOKUP($D118,素材!$1:$1016,COLUMN($F$1),FALSE))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IFERROR(VLOOKUP($C118,装備品!$1:$998,COLUMN(V$1),FALSE)*VLOOKUP($D118,素材!$1:$1016,COLUMN(N$1),FALSE)+IF(CI118="",0,VLOOKUP($CI118,付与!$1:$1176,COLUMN($CK$1),FALSE)),"")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IFERROR(VLOOKUP($D119,素材!$1:$1016,COLUMN($B$1),FALSE)&amp;"・"&amp;VLOOKUP($C119,装備品!$1:$998,COLUMN(B$1),FALSE),"")</f>
        <v>レザー・アーマー</v>
      </c>
      <c r="C119" t="s">
        <v>207</v>
      </c>
      <c r="D119" s="24" t="s">
        <v>251</v>
      </c>
      <c r="E119" t="str">
        <f>IFERROR(VLOOKUP(C119,装備品!$1:$998,COLUMN(C$1),FALSE),"")</f>
        <v>体</v>
      </c>
      <c r="F119">
        <f>IFERROR(ROUNDDOWN((VLOOKUP($C119,装備品!$1:$998,COLUMN(D$1),FALSE)+IFERROR(VLOOKUP($CI119,付与!$1:$1167,COLUMN(F$1),FALSE),0))*VLOOKUP($D119,素材!$1:$1016,COLUMN(D$1),FALSE),0),"")</f>
        <v>0</v>
      </c>
      <c r="G119">
        <f>IFERROR(ROUNDDOWN((VLOOKUP($C119,装備品!$1:$998,COLUMN(E$1),FALSE)+IFERROR(VLOOKUP($CI119,付与!$1:$1167,COLUMN(G$1),FALSE),0))*VLOOKUP($D119,素材!$1:$1016,COLUMN($E$1),FALSE),0),"")</f>
        <v>0</v>
      </c>
      <c r="H119">
        <f>IFERROR(ROUNDDOWN((VLOOKUP($C119,装備品!$1:$998,COLUMN(F$1),FALSE)+IFERROR(VLOOKUP($CI119,付与!$1:$1167,COLUMN(H$1),FALSE),0))*VLOOKUP($D119,素材!$1:$1016,COLUMN($E$1),FALSE),0),"")</f>
        <v>0</v>
      </c>
      <c r="I119">
        <f>IFERROR(ROUNDDOWN((VLOOKUP($C119,装備品!$1:$998,COLUMN(G$1),FALSE)+IFERROR(VLOOKUP($CI119,付与!$1:$1167,COLUMN(I$1),FALSE),0))*VLOOKUP($D119,素材!$1:$1016,COLUMN($E$1),FALSE),0),"")</f>
        <v>0</v>
      </c>
      <c r="J119">
        <f>IFERROR(ROUNDDOWN((VLOOKUP($C119,装備品!$1:$998,COLUMN(H$1),FALSE)+IFERROR(VLOOKUP($CI119,付与!$1:$1167,COLUMN(J$1),FALSE),0))*VLOOKUP($D119,素材!$1:$1016,COLUMN($E$1),FALSE),0),"")</f>
        <v>0</v>
      </c>
      <c r="K119">
        <f>IFERROR(ROUNDDOWN((VLOOKUP($C119,装備品!$1:$998,COLUMN(I$1),FALSE)+IFERROR(VLOOKUP($CI119,付与!$1:$1167,COLUMN(K$1),FALSE),0))*VLOOKUP($D119,素材!$1:$1016,COLUMN($E$1),FALSE),0),"")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IFERROR(VLOOKUP($C119,装備品!$1:$998,COLUMN(AA$1),FALSE)*VLOOKUP($D119,素材!$1:$1016,COLUMN($G$1),FALSE),"")</f>
        <v/>
      </c>
      <c r="N119">
        <f>IFERROR(VLOOKUP($C119,装備品!$1:$998,COLUMN(I$1),FALSE),"")</f>
        <v>0</v>
      </c>
      <c r="O119" s="23" t="str">
        <f>IFERROR((VLOOKUP($C119,装備品!$1:$998,COLUMN(K$1),FALSE)+VLOOKUP($D119,素材!$1:$1016,COLUMN(H$1),FALSE))*100+IFERROR(VLOOKUP($CI119,付与!$1:$1167,COLUMN(O$1),FALSE),0),"")</f>
        <v/>
      </c>
      <c r="P119" s="23" t="str">
        <f>IFERROR((VLOOKUP($C119,装備品!$1:$998,COLUMN(L$1),FALSE)+VLOOKUP($D119,素材!$1:$1016,COLUMN(I$1),FALSE))*100+IFERROR(VLOOKUP($CI119,付与!$1:$1167,COLUMN(P$1),FALSE),0),"")</f>
        <v/>
      </c>
      <c r="Q119">
        <f>IFERROR(ROUNDUP(VLOOKUP($C119,装備品!$1:$998,COLUMN(M$1),FALSE)*(VLOOKUP($D119,素材!$1:$1002,COLUMN(D$1),FALSE)/100),1),"")</f>
        <v>-6</v>
      </c>
      <c r="R119">
        <f>IFERROR(ROUNDUP(VLOOKUP($C119,装備品!$1:$998,COLUMN(N$1),FALSE)*(VLOOKUP($D119,素材!$1:$1002,COLUMN(D$1),FALSE)/100),1),"")</f>
        <v>0</v>
      </c>
      <c r="S119">
        <f>IFERROR(VLOOKUP($C119,装備品!$1:$998,COLUMN(P$1),FALSE),"")</f>
        <v>-35</v>
      </c>
      <c r="T119">
        <f>IFERROR(VLOOKUP($C119,装備品!$1:$998,COLUMN(Q$1),FALSE),"")</f>
        <v>0</v>
      </c>
      <c r="U119">
        <f>IFERROR(VLOOKUP($C119,装備品!$1:$998,COLUMN(R$1),FALSE),"")</f>
        <v>0</v>
      </c>
      <c r="V119">
        <f>IFERROR(VLOOKUP($C119,装備品!$1:$998,COLUMN(Q$1),FALSE),"")</f>
        <v>0</v>
      </c>
      <c r="W119">
        <f>IFERROR(VLOOKUP($C119,装備品!$1:$998,COLUMN(T$1),FALSE),"")</f>
        <v>0.7</v>
      </c>
      <c r="Y119">
        <f>IFERROR(VLOOKUP($C119,装備品!$1:$998,COLUMN(U$1),FALSE),"")</f>
        <v>0</v>
      </c>
      <c r="Z119">
        <f>IFERROR(ROUNDUP(VLOOKUP($C119,装備品!$1:$998,COLUMN(O$1),FALSE)*VLOOKUP($D119,素材!$1:$1016,COLUMN(E$1),FALSE),1),"")</f>
        <v>0</v>
      </c>
      <c r="AA119">
        <f>IF(ISNUMBER(SEARCH(SUBSTITUTE(AA$1,RIGHT(AA$1,2),""),VLOOKUP($D119,素材!$1:$1016,COLUMN($F$1),FALSE))),VLOOKUP($C119,装備品!$1:$998,COLUMN($O$1),FALSE)*VLOOKUP($D119,素材!$1:$1016,COLUMN($E$1),FALSE)/(LEN(VLOOKUP($D119,素材!$1:$1016,COLUMN($F$1),FALSE))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IFERROR(VLOOKUP($C119,装備品!$1:$998,COLUMN(V$1),FALSE)*VLOOKUP($D119,素材!$1:$1016,COLUMN(N$1),FALSE)+IF(CI119="",0,VLOOKUP($CI119,付与!$1:$1176,COLUMN($CK$1),FALSE)),"")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IFERROR(VLOOKUP($D120,素材!$1:$1016,COLUMN($B$1),FALSE)&amp;"・"&amp;VLOOKUP($C120,装備品!$1:$998,COLUMN(B$1),FALSE),"")</f>
        <v>レザー・ベスト</v>
      </c>
      <c r="C120" t="s">
        <v>206</v>
      </c>
      <c r="D120" s="24" t="s">
        <v>251</v>
      </c>
      <c r="E120" t="str">
        <f>IFERROR(VLOOKUP(C120,装備品!$1:$998,COLUMN(C$1),FALSE),"")</f>
        <v>体</v>
      </c>
      <c r="F120">
        <f>IFERROR(ROUNDDOWN((VLOOKUP($C120,装備品!$1:$998,COLUMN(D$1),FALSE)+IFERROR(VLOOKUP($CI120,付与!$1:$1167,COLUMN(F$1),FALSE),0))*VLOOKUP($D120,素材!$1:$1016,COLUMN(D$1),FALSE),0),"")</f>
        <v>0</v>
      </c>
      <c r="G120">
        <f>IFERROR(ROUNDDOWN((VLOOKUP($C120,装備品!$1:$998,COLUMN(E$1),FALSE)+IFERROR(VLOOKUP($CI120,付与!$1:$1167,COLUMN(G$1),FALSE),0))*VLOOKUP($D120,素材!$1:$1016,COLUMN($E$1),FALSE),0),"")</f>
        <v>0</v>
      </c>
      <c r="H120">
        <f>IFERROR(ROUNDDOWN((VLOOKUP($C120,装備品!$1:$998,COLUMN(F$1),FALSE)+IFERROR(VLOOKUP($CI120,付与!$1:$1167,COLUMN(H$1),FALSE),0))*VLOOKUP($D120,素材!$1:$1016,COLUMN($E$1),FALSE),0),"")</f>
        <v>0</v>
      </c>
      <c r="I120">
        <f>IFERROR(ROUNDDOWN((VLOOKUP($C120,装備品!$1:$998,COLUMN(G$1),FALSE)+IFERROR(VLOOKUP($CI120,付与!$1:$1167,COLUMN(I$1),FALSE),0))*VLOOKUP($D120,素材!$1:$1016,COLUMN($E$1),FALSE),0),"")</f>
        <v>0</v>
      </c>
      <c r="J120">
        <f>IFERROR(ROUNDDOWN((VLOOKUP($C120,装備品!$1:$998,COLUMN(H$1),FALSE)+IFERROR(VLOOKUP($CI120,付与!$1:$1167,COLUMN(J$1),FALSE),0))*VLOOKUP($D120,素材!$1:$1016,COLUMN($E$1),FALSE),0),"")</f>
        <v>0</v>
      </c>
      <c r="K120">
        <f>IFERROR(ROUNDDOWN((VLOOKUP($C120,装備品!$1:$998,COLUMN(I$1),FALSE)+IFERROR(VLOOKUP($CI120,付与!$1:$1167,COLUMN(K$1),FALSE),0))*VLOOKUP($D120,素材!$1:$1016,COLUMN($E$1),FALSE),0),"")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IFERROR(VLOOKUP($C120,装備品!$1:$998,COLUMN(AA$1),FALSE)*VLOOKUP($D120,素材!$1:$1016,COLUMN($G$1),FALSE),"")</f>
        <v/>
      </c>
      <c r="N120">
        <f>IFERROR(VLOOKUP($C120,装備品!$1:$998,COLUMN(I$1),FALSE),"")</f>
        <v>0</v>
      </c>
      <c r="O120" s="23" t="str">
        <f>IFERROR((VLOOKUP($C120,装備品!$1:$998,COLUMN(K$1),FALSE)+VLOOKUP($D120,素材!$1:$1016,COLUMN(H$1),FALSE))*100+IFERROR(VLOOKUP($CI120,付与!$1:$1167,COLUMN(O$1),FALSE),0),"")</f>
        <v/>
      </c>
      <c r="P120" s="23" t="str">
        <f>IFERROR((VLOOKUP($C120,装備品!$1:$998,COLUMN(L$1),FALSE)+VLOOKUP($D120,素材!$1:$1016,COLUMN(I$1),FALSE))*100+IFERROR(VLOOKUP($CI120,付与!$1:$1167,COLUMN(P$1),FALSE),0),"")</f>
        <v/>
      </c>
      <c r="Q120">
        <f>IFERROR(ROUNDUP(VLOOKUP($C120,装備品!$1:$998,COLUMN(M$1),FALSE)*(VLOOKUP($D120,素材!$1:$1002,COLUMN(D$1),FALSE)/100),1),"")</f>
        <v>-3</v>
      </c>
      <c r="R120">
        <f>IFERROR(ROUNDUP(VLOOKUP($C120,装備品!$1:$998,COLUMN(N$1),FALSE)*(VLOOKUP($D120,素材!$1:$1002,COLUMN(D$1),FALSE)/100),1),"")</f>
        <v>0</v>
      </c>
      <c r="S120">
        <f>IFERROR(VLOOKUP($C120,装備品!$1:$998,COLUMN(P$1),FALSE),"")</f>
        <v>-15</v>
      </c>
      <c r="T120">
        <f>IFERROR(VLOOKUP($C120,装備品!$1:$998,COLUMN(Q$1),FALSE),"")</f>
        <v>0</v>
      </c>
      <c r="U120">
        <f>IFERROR(VLOOKUP($C120,装備品!$1:$998,COLUMN(R$1),FALSE),"")</f>
        <v>0</v>
      </c>
      <c r="V120">
        <f>IFERROR(VLOOKUP($C120,装備品!$1:$998,COLUMN(Q$1),FALSE),"")</f>
        <v>0</v>
      </c>
      <c r="W120">
        <f>IFERROR(VLOOKUP($C120,装備品!$1:$998,COLUMN(T$1),FALSE),"")</f>
        <v>0.5</v>
      </c>
      <c r="Y120">
        <f>IFERROR(VLOOKUP($C120,装備品!$1:$998,COLUMN(U$1),FALSE),"")</f>
        <v>0</v>
      </c>
      <c r="Z120">
        <f>IFERROR(ROUNDUP(VLOOKUP($C120,装備品!$1:$998,COLUMN(O$1),FALSE)*VLOOKUP($D120,素材!$1:$1016,COLUMN(E$1),FALSE),1),"")</f>
        <v>0</v>
      </c>
      <c r="AA120">
        <f>IF(ISNUMBER(SEARCH(SUBSTITUTE(AA$1,RIGHT(AA$1,2),""),VLOOKUP($D120,素材!$1:$1016,COLUMN($F$1),FALSE))),VLOOKUP($C120,装備品!$1:$998,COLUMN($O$1),FALSE)*VLOOKUP($D120,素材!$1:$1016,COLUMN($E$1),FALSE)/(LEN(VLOOKUP($D120,素材!$1:$1016,COLUMN($F$1),FALSE))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IFERROR(VLOOKUP($C120,装備品!$1:$998,COLUMN(V$1),FALSE)*VLOOKUP($D120,素材!$1:$1016,COLUMN(N$1),FALSE)+IF(CI120="",0,VLOOKUP($CI120,付与!$1:$1176,COLUMN($CK$1),FALSE)),"")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IFERROR(VLOOKUP($D121,素材!$1:$1016,COLUMN($B$1),FALSE)&amp;"・"&amp;VLOOKUP($C121,装備品!$1:$998,COLUMN(B$1),FALSE),"")</f>
        <v>レザー・ブーツ</v>
      </c>
      <c r="C121" t="s">
        <v>1280</v>
      </c>
      <c r="D121" s="24" t="s">
        <v>251</v>
      </c>
      <c r="E121" t="str">
        <f>IFERROR(VLOOKUP(C121,装備品!$1:$998,COLUMN(C$1),FALSE),"")</f>
        <v>足</v>
      </c>
      <c r="F121">
        <f>IFERROR(ROUNDDOWN((VLOOKUP($C121,装備品!$1:$998,COLUMN(D$1),FALSE)+IFERROR(VLOOKUP($CI121,付与!$1:$1167,COLUMN(F$1),FALSE),0))*VLOOKUP($D121,素材!$1:$1016,COLUMN(D$1),FALSE),0),"")</f>
        <v>0</v>
      </c>
      <c r="G121">
        <f>IFERROR(ROUNDDOWN((VLOOKUP($C121,装備品!$1:$998,COLUMN(E$1),FALSE)+IFERROR(VLOOKUP($CI121,付与!$1:$1167,COLUMN(G$1),FALSE),0))*VLOOKUP($D121,素材!$1:$1016,COLUMN($E$1),FALSE),0),"")</f>
        <v>0</v>
      </c>
      <c r="H121">
        <f>IFERROR(ROUNDDOWN((VLOOKUP($C121,装備品!$1:$998,COLUMN(F$1),FALSE)+IFERROR(VLOOKUP($CI121,付与!$1:$1167,COLUMN(H$1),FALSE),0))*VLOOKUP($D121,素材!$1:$1016,COLUMN($E$1),FALSE),0),"")</f>
        <v>0</v>
      </c>
      <c r="I121">
        <f>IFERROR(ROUNDDOWN((VLOOKUP($C121,装備品!$1:$998,COLUMN(G$1),FALSE)+IFERROR(VLOOKUP($CI121,付与!$1:$1167,COLUMN(I$1),FALSE),0))*VLOOKUP($D121,素材!$1:$1016,COLUMN($E$1),FALSE),0),"")</f>
        <v>10</v>
      </c>
      <c r="J121">
        <f>IFERROR(ROUNDDOWN((VLOOKUP($C121,装備品!$1:$998,COLUMN(H$1),FALSE)+IFERROR(VLOOKUP($CI121,付与!$1:$1167,COLUMN(J$1),FALSE),0))*VLOOKUP($D121,素材!$1:$1016,COLUMN($E$1),FALSE),0),"")</f>
        <v>0</v>
      </c>
      <c r="K121">
        <f>IFERROR(ROUNDDOWN((VLOOKUP($C121,装備品!$1:$998,COLUMN(I$1),FALSE)+IFERROR(VLOOKUP($CI121,付与!$1:$1167,COLUMN(K$1),FALSE),0))*VLOOKUP($D121,素材!$1:$1016,COLUMN($E$1),FALSE),0),"")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IFERROR(VLOOKUP($C121,装備品!$1:$998,COLUMN(AA$1),FALSE)*VLOOKUP($D121,素材!$1:$1016,COLUMN($G$1),FALSE),"")</f>
        <v/>
      </c>
      <c r="N121">
        <f>IFERROR(VLOOKUP($C121,装備品!$1:$998,COLUMN(I$1),FALSE),"")</f>
        <v>0</v>
      </c>
      <c r="O121" s="23" t="str">
        <f>IFERROR((VLOOKUP($C121,装備品!$1:$998,COLUMN(K$1),FALSE)+VLOOKUP($D121,素材!$1:$1016,COLUMN(H$1),FALSE))*100+IFERROR(VLOOKUP($CI121,付与!$1:$1167,COLUMN(O$1),FALSE),0),"")</f>
        <v/>
      </c>
      <c r="P121" s="23" t="str">
        <f>IFERROR((VLOOKUP($C121,装備品!$1:$998,COLUMN(L$1),FALSE)+VLOOKUP($D121,素材!$1:$1016,COLUMN(I$1),FALSE))*100+IFERROR(VLOOKUP($CI121,付与!$1:$1167,COLUMN(P$1),FALSE),0),"")</f>
        <v/>
      </c>
      <c r="Q121">
        <f>IFERROR(ROUNDUP(VLOOKUP($C121,装備品!$1:$998,COLUMN(M$1),FALSE)*(VLOOKUP($D121,素材!$1:$1002,COLUMN(D$1),FALSE)/100),1),"")</f>
        <v>0</v>
      </c>
      <c r="R121">
        <f>IFERROR(ROUNDUP(VLOOKUP($C121,装備品!$1:$998,COLUMN(N$1),FALSE)*(VLOOKUP($D121,素材!$1:$1002,COLUMN(D$1),FALSE)/100),1),"")</f>
        <v>0</v>
      </c>
      <c r="S121">
        <f>IFERROR(VLOOKUP($C121,装備品!$1:$998,COLUMN(P$1),FALSE),"")</f>
        <v>0</v>
      </c>
      <c r="T121">
        <f>IFERROR(VLOOKUP($C121,装備品!$1:$998,COLUMN(Q$1),FALSE),"")</f>
        <v>0</v>
      </c>
      <c r="U121">
        <f>IFERROR(VLOOKUP($C121,装備品!$1:$998,COLUMN(R$1),FALSE),"")</f>
        <v>0</v>
      </c>
      <c r="V121">
        <f>IFERROR(VLOOKUP($C121,装備品!$1:$998,COLUMN(Q$1),FALSE),"")</f>
        <v>0</v>
      </c>
      <c r="W121">
        <f>IFERROR(VLOOKUP($C121,装備品!$1:$998,COLUMN(T$1),FALSE),"")</f>
        <v>0.15</v>
      </c>
      <c r="Y121">
        <f>IFERROR(VLOOKUP($C121,装備品!$1:$998,COLUMN(U$1),FALSE),"")</f>
        <v>0</v>
      </c>
      <c r="Z121">
        <f>IFERROR(ROUNDUP(VLOOKUP($C121,装備品!$1:$998,COLUMN(O$1),FALSE)*VLOOKUP($D121,素材!$1:$1016,COLUMN(E$1),FALSE),1),"")</f>
        <v>0</v>
      </c>
      <c r="AA121">
        <f>IF(ISNUMBER(SEARCH(SUBSTITUTE(AA$1,RIGHT(AA$1,2),""),VLOOKUP($D121,素材!$1:$1016,COLUMN($F$1),FALSE))),VLOOKUP($C121,装備品!$1:$998,COLUMN($O$1),FALSE)*VLOOKUP($D121,素材!$1:$1016,COLUMN($E$1),FALSE)/(LEN(VLOOKUP($D121,素材!$1:$1016,COLUMN($F$1),FALSE))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IFERROR(VLOOKUP($C121,装備品!$1:$998,COLUMN(V$1),FALSE)*VLOOKUP($D121,素材!$1:$1016,COLUMN(N$1),FALSE)+IF(CI121="",0,VLOOKUP($CI121,付与!$1:$1176,COLUMN($CK$1),FALSE)),"")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IFERROR(VLOOKUP($D122,素材!$1:$1016,COLUMN($B$1),FALSE)&amp;"・"&amp;VLOOKUP($C122,装備品!$1:$998,COLUMN(B$1),FALSE),"")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IFERROR(VLOOKUP(C122,装備品!$1:$998,COLUMN(C$1),FALSE),"")</f>
        <v>頭</v>
      </c>
      <c r="F122">
        <f>IFERROR(ROUNDDOWN((VLOOKUP($C122,装備品!$1:$998,COLUMN(D$1),FALSE)+IFERROR(VLOOKUP($CI122,付与!$1:$1167,COLUMN(F$1),FALSE),0))*VLOOKUP($D122,素材!$1:$1016,COLUMN(D$1),FALSE),0),"")</f>
        <v>0</v>
      </c>
      <c r="G122">
        <f>IFERROR(ROUNDDOWN((VLOOKUP($C122,装備品!$1:$998,COLUMN(E$1),FALSE)+IFERROR(VLOOKUP($CI122,付与!$1:$1167,COLUMN(G$1),FALSE),0))*VLOOKUP($D122,素材!$1:$1016,COLUMN($E$1),FALSE),0),"")</f>
        <v>0</v>
      </c>
      <c r="H122">
        <f>IFERROR(ROUNDDOWN((VLOOKUP($C122,装備品!$1:$998,COLUMN(F$1),FALSE)+IFERROR(VLOOKUP($CI122,付与!$1:$1167,COLUMN(H$1),FALSE),0))*VLOOKUP($D122,素材!$1:$1016,COLUMN($E$1),FALSE),0),"")</f>
        <v>0</v>
      </c>
      <c r="I122">
        <f>IFERROR(ROUNDDOWN((VLOOKUP($C122,装備品!$1:$998,COLUMN(G$1),FALSE)+IFERROR(VLOOKUP($CI122,付与!$1:$1167,COLUMN(I$1),FALSE),0))*VLOOKUP($D122,素材!$1:$1016,COLUMN($E$1),FALSE),0),"")</f>
        <v>0</v>
      </c>
      <c r="J122">
        <f>IFERROR(ROUNDDOWN((VLOOKUP($C122,装備品!$1:$998,COLUMN(H$1),FALSE)+IFERROR(VLOOKUP($CI122,付与!$1:$1167,COLUMN(J$1),FALSE),0))*VLOOKUP($D122,素材!$1:$1016,COLUMN($E$1),FALSE),0),"")</f>
        <v>0</v>
      </c>
      <c r="K122">
        <f>IFERROR(ROUNDDOWN((VLOOKUP($C122,装備品!$1:$998,COLUMN(I$1),FALSE)+IFERROR(VLOOKUP($CI122,付与!$1:$1167,COLUMN(K$1),FALSE),0))*VLOOKUP($D122,素材!$1:$1016,COLUMN($E$1),FALSE),0),"")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IFERROR(VLOOKUP($C122,装備品!$1:$998,COLUMN(AA$1),FALSE)*VLOOKUP($D122,素材!$1:$1016,COLUMN($G$1),FALSE),"")</f>
        <v/>
      </c>
      <c r="N122">
        <f>IFERROR(VLOOKUP($C122,装備品!$1:$998,COLUMN(I$1),FALSE),"")</f>
        <v>0</v>
      </c>
      <c r="O122" s="23" t="str">
        <f>IFERROR((VLOOKUP($C122,装備品!$1:$998,COLUMN(K$1),FALSE)+VLOOKUP($D122,素材!$1:$1016,COLUMN(H$1),FALSE))*100+IFERROR(VLOOKUP($CI122,付与!$1:$1167,COLUMN(O$1),FALSE),0),"")</f>
        <v/>
      </c>
      <c r="P122" s="23" t="str">
        <f>IFERROR((VLOOKUP($C122,装備品!$1:$998,COLUMN(L$1),FALSE)+VLOOKUP($D122,素材!$1:$1016,COLUMN(I$1),FALSE))*100+IFERROR(VLOOKUP($CI122,付与!$1:$1167,COLUMN(P$1),FALSE),0),"")</f>
        <v/>
      </c>
      <c r="Q122">
        <f>IFERROR(ROUNDUP(VLOOKUP($C122,装備品!$1:$998,COLUMN(M$1),FALSE)*(VLOOKUP($D122,素材!$1:$1002,COLUMN(D$1),FALSE)/100),1),"")</f>
        <v>0</v>
      </c>
      <c r="R122">
        <f>IFERROR(ROUNDUP(VLOOKUP($C122,装備品!$1:$998,COLUMN(N$1),FALSE)*(VLOOKUP($D122,素材!$1:$1002,COLUMN(D$1),FALSE)/100),1),"")</f>
        <v>0</v>
      </c>
      <c r="S122">
        <f>IFERROR(VLOOKUP($C122,装備品!$1:$998,COLUMN(P$1),FALSE),"")</f>
        <v>0</v>
      </c>
      <c r="T122">
        <f>IFERROR(VLOOKUP($C122,装備品!$1:$998,COLUMN(Q$1),FALSE),"")</f>
        <v>0</v>
      </c>
      <c r="U122">
        <f>IFERROR(VLOOKUP($C122,装備品!$1:$998,COLUMN(R$1),FALSE),"")</f>
        <v>0</v>
      </c>
      <c r="V122">
        <f>IFERROR(VLOOKUP($C122,装備品!$1:$998,COLUMN(Q$1),FALSE),"")</f>
        <v>0</v>
      </c>
      <c r="W122">
        <f>IFERROR(VLOOKUP($C122,装備品!$1:$998,COLUMN(T$1),FALSE),"")</f>
        <v>0.1</v>
      </c>
      <c r="Y122">
        <f>IFERROR(VLOOKUP($C122,装備品!$1:$998,COLUMN(U$1),FALSE),"")</f>
        <v>0</v>
      </c>
      <c r="Z122">
        <f>IFERROR(ROUNDUP(VLOOKUP($C122,装備品!$1:$998,COLUMN(O$1),FALSE)*VLOOKUP($D122,素材!$1:$1016,COLUMN(E$1),FALSE),1),"")</f>
        <v>0</v>
      </c>
      <c r="AA122">
        <f>IF(ISNUMBER(SEARCH(SUBSTITUTE(AA$1,RIGHT(AA$1,2),""),VLOOKUP($D122,素材!$1:$1016,COLUMN($F$1),FALSE))),VLOOKUP($C122,装備品!$1:$998,COLUMN($O$1),FALSE)*VLOOKUP($D122,素材!$1:$1016,COLUMN($E$1),FALSE)/(LEN(VLOOKUP($D122,素材!$1:$1016,COLUMN($F$1),FALSE))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IFERROR(VLOOKUP($C122,装備品!$1:$998,COLUMN(V$1),FALSE)*VLOOKUP($D122,素材!$1:$1016,COLUMN(N$1),FALSE)+IF(CI122="",0,VLOOKUP($CI122,付与!$1:$1176,COLUMN($CK$1),FALSE)),"")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IFERROR(VLOOKUP($D123,素材!$1:$1016,COLUMN($B$1),FALSE)&amp;"・"&amp;VLOOKUP($C123,装備品!$1:$998,COLUMN(B$1),FALSE),"")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IFERROR(VLOOKUP(C123,装備品!$1:$998,COLUMN(C$1),FALSE),"")</f>
        <v>体</v>
      </c>
      <c r="F123">
        <f>IFERROR(ROUNDDOWN((VLOOKUP($C123,装備品!$1:$998,COLUMN(D$1),FALSE)+IFERROR(VLOOKUP($CI123,付与!$1:$1167,COLUMN(F$1),FALSE),0))*VLOOKUP($D123,素材!$1:$1016,COLUMN(D$1),FALSE),0),"")</f>
        <v>0</v>
      </c>
      <c r="G123">
        <f>IFERROR(ROUNDDOWN((VLOOKUP($C123,装備品!$1:$998,COLUMN(E$1),FALSE)+IFERROR(VLOOKUP($CI123,付与!$1:$1167,COLUMN(G$1),FALSE),0))*VLOOKUP($D123,素材!$1:$1016,COLUMN($E$1),FALSE),0),"")</f>
        <v>0</v>
      </c>
      <c r="H123">
        <f>IFERROR(ROUNDDOWN((VLOOKUP($C123,装備品!$1:$998,COLUMN(F$1),FALSE)+IFERROR(VLOOKUP($CI123,付与!$1:$1167,COLUMN(H$1),FALSE),0))*VLOOKUP($D123,素材!$1:$1016,COLUMN($E$1),FALSE),0),"")</f>
        <v>0</v>
      </c>
      <c r="I123">
        <f>IFERROR(ROUNDDOWN((VLOOKUP($C123,装備品!$1:$998,COLUMN(G$1),FALSE)+IFERROR(VLOOKUP($CI123,付与!$1:$1167,COLUMN(I$1),FALSE),0))*VLOOKUP($D123,素材!$1:$1016,COLUMN($E$1),FALSE),0),"")</f>
        <v>0</v>
      </c>
      <c r="J123">
        <f>IFERROR(ROUNDDOWN((VLOOKUP($C123,装備品!$1:$998,COLUMN(H$1),FALSE)+IFERROR(VLOOKUP($CI123,付与!$1:$1167,COLUMN(J$1),FALSE),0))*VLOOKUP($D123,素材!$1:$1016,COLUMN($E$1),FALSE),0),"")</f>
        <v>0</v>
      </c>
      <c r="K123">
        <f>IFERROR(ROUNDDOWN((VLOOKUP($C123,装備品!$1:$998,COLUMN(I$1),FALSE)+IFERROR(VLOOKUP($CI123,付与!$1:$1167,COLUMN(K$1),FALSE),0))*VLOOKUP($D123,素材!$1:$1016,COLUMN($E$1),FALSE),0),"")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IFERROR(VLOOKUP($C123,装備品!$1:$998,COLUMN(AA$1),FALSE)*VLOOKUP($D123,素材!$1:$1016,COLUMN($G$1),FALSE),"")</f>
        <v/>
      </c>
      <c r="N123">
        <f>IFERROR(VLOOKUP($C123,装備品!$1:$998,COLUMN(I$1),FALSE),"")</f>
        <v>0</v>
      </c>
      <c r="O123" s="23" t="str">
        <f>IFERROR((VLOOKUP($C123,装備品!$1:$998,COLUMN(K$1),FALSE)+VLOOKUP($D123,素材!$1:$1016,COLUMN(H$1),FALSE))*100+IFERROR(VLOOKUP($CI123,付与!$1:$1167,COLUMN(O$1),FALSE),0),"")</f>
        <v/>
      </c>
      <c r="P123" s="23" t="str">
        <f>IFERROR((VLOOKUP($C123,装備品!$1:$998,COLUMN(L$1),FALSE)+VLOOKUP($D123,素材!$1:$1016,COLUMN(I$1),FALSE))*100+IFERROR(VLOOKUP($CI123,付与!$1:$1167,COLUMN(P$1),FALSE),0),"")</f>
        <v/>
      </c>
      <c r="Q123">
        <f>IFERROR(ROUNDUP(VLOOKUP($C123,装備品!$1:$998,COLUMN(M$1),FALSE)*(VLOOKUP($D123,素材!$1:$1002,COLUMN(D$1),FALSE)/100),1),"")</f>
        <v>0</v>
      </c>
      <c r="R123">
        <f>IFERROR(ROUNDUP(VLOOKUP($C123,装備品!$1:$998,COLUMN(N$1),FALSE)*(VLOOKUP($D123,素材!$1:$1002,COLUMN(D$1),FALSE)/100),1),"")</f>
        <v>0</v>
      </c>
      <c r="S123">
        <f>IFERROR(VLOOKUP($C123,装備品!$1:$998,COLUMN(P$1),FALSE),"")</f>
        <v>0</v>
      </c>
      <c r="T123">
        <f>IFERROR(VLOOKUP($C123,装備品!$1:$998,COLUMN(Q$1),FALSE),"")</f>
        <v>0</v>
      </c>
      <c r="U123">
        <f>IFERROR(VLOOKUP($C123,装備品!$1:$998,COLUMN(R$1),FALSE),"")</f>
        <v>0</v>
      </c>
      <c r="V123">
        <f>IFERROR(VLOOKUP($C123,装備品!$1:$998,COLUMN(Q$1),FALSE),"")</f>
        <v>0</v>
      </c>
      <c r="W123">
        <f>IFERROR(VLOOKUP($C123,装備品!$1:$998,COLUMN(T$1),FALSE),"")</f>
        <v>0.3</v>
      </c>
      <c r="Y123">
        <f>IFERROR(VLOOKUP($C123,装備品!$1:$998,COLUMN(U$1),FALSE),"")</f>
        <v>0</v>
      </c>
      <c r="Z123">
        <f>IFERROR(ROUNDUP(VLOOKUP($C123,装備品!$1:$998,COLUMN(O$1),FALSE)*VLOOKUP($D123,素材!$1:$1016,COLUMN(E$1),FALSE),1),"")</f>
        <v>0</v>
      </c>
      <c r="AA123">
        <f>IF(ISNUMBER(SEARCH(SUBSTITUTE(AA$1,RIGHT(AA$1,2),""),VLOOKUP($D123,素材!$1:$1016,COLUMN($F$1),FALSE))),VLOOKUP($C123,装備品!$1:$998,COLUMN($O$1),FALSE)*VLOOKUP($D123,素材!$1:$1016,COLUMN($E$1),FALSE)/(LEN(VLOOKUP($D123,素材!$1:$1016,COLUMN($F$1),FALSE))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IFERROR(VLOOKUP($C123,装備品!$1:$998,COLUMN(V$1),FALSE)*VLOOKUP($D123,素材!$1:$1016,COLUMN(N$1),FALSE)+IF(CI123="",0,VLOOKUP($CI123,付与!$1:$1176,COLUMN($CK$1),FALSE)),"")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IFERROR(VLOOKUP($D124,素材!$1:$1016,COLUMN($B$1),FALSE)&amp;"・"&amp;VLOOKUP($C124,装備品!$1:$998,COLUMN(B$1),FALSE),"")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IFERROR(VLOOKUP(C124,装備品!$1:$998,COLUMN(C$1),FALSE),"")</f>
        <v>体</v>
      </c>
      <c r="F124">
        <f>IFERROR(ROUNDDOWN((VLOOKUP($C124,装備品!$1:$998,COLUMN(D$1),FALSE)+IFERROR(VLOOKUP($CI124,付与!$1:$1167,COLUMN(F$1),FALSE),0))*VLOOKUP($D124,素材!$1:$1016,COLUMN(D$1),FALSE),0),"")</f>
        <v>0</v>
      </c>
      <c r="G124">
        <f>IFERROR(ROUNDDOWN((VLOOKUP($C124,装備品!$1:$998,COLUMN(E$1),FALSE)+IFERROR(VLOOKUP($CI124,付与!$1:$1167,COLUMN(G$1),FALSE),0))*VLOOKUP($D124,素材!$1:$1016,COLUMN($E$1),FALSE),0),"")</f>
        <v>0</v>
      </c>
      <c r="H124">
        <f>IFERROR(ROUNDDOWN((VLOOKUP($C124,装備品!$1:$998,COLUMN(F$1),FALSE)+IFERROR(VLOOKUP($CI124,付与!$1:$1167,COLUMN(H$1),FALSE),0))*VLOOKUP($D124,素材!$1:$1016,COLUMN($E$1),FALSE),0),"")</f>
        <v>0</v>
      </c>
      <c r="I124">
        <f>IFERROR(ROUNDDOWN((VLOOKUP($C124,装備品!$1:$998,COLUMN(G$1),FALSE)+IFERROR(VLOOKUP($CI124,付与!$1:$1167,COLUMN(I$1),FALSE),0))*VLOOKUP($D124,素材!$1:$1016,COLUMN($E$1),FALSE),0),"")</f>
        <v>0</v>
      </c>
      <c r="J124">
        <f>IFERROR(ROUNDDOWN((VLOOKUP($C124,装備品!$1:$998,COLUMN(H$1),FALSE)+IFERROR(VLOOKUP($CI124,付与!$1:$1167,COLUMN(J$1),FALSE),0))*VLOOKUP($D124,素材!$1:$1016,COLUMN($E$1),FALSE),0),"")</f>
        <v>0</v>
      </c>
      <c r="K124">
        <f>IFERROR(ROUNDDOWN((VLOOKUP($C124,装備品!$1:$998,COLUMN(I$1),FALSE)+IFERROR(VLOOKUP($CI124,付与!$1:$1167,COLUMN(K$1),FALSE),0))*VLOOKUP($D124,素材!$1:$1016,COLUMN($E$1),FALSE),0),"")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IFERROR(VLOOKUP($C124,装備品!$1:$998,COLUMN(AA$1),FALSE)*VLOOKUP($D124,素材!$1:$1016,COLUMN($G$1),FALSE),"")</f>
        <v/>
      </c>
      <c r="N124">
        <f>IFERROR(VLOOKUP($C124,装備品!$1:$998,COLUMN(I$1),FALSE),"")</f>
        <v>0</v>
      </c>
      <c r="O124" s="23" t="str">
        <f>IFERROR((VLOOKUP($C124,装備品!$1:$998,COLUMN(K$1),FALSE)+VLOOKUP($D124,素材!$1:$1016,COLUMN(H$1),FALSE))*100+IFERROR(VLOOKUP($CI124,付与!$1:$1167,COLUMN(O$1),FALSE),0),"")</f>
        <v/>
      </c>
      <c r="P124" s="23" t="str">
        <f>IFERROR((VLOOKUP($C124,装備品!$1:$998,COLUMN(L$1),FALSE)+VLOOKUP($D124,素材!$1:$1016,COLUMN(I$1),FALSE))*100+IFERROR(VLOOKUP($CI124,付与!$1:$1167,COLUMN(P$1),FALSE),0),"")</f>
        <v/>
      </c>
      <c r="Q124">
        <f>IFERROR(ROUNDUP(VLOOKUP($C124,装備品!$1:$998,COLUMN(M$1),FALSE)*(VLOOKUP($D124,素材!$1:$1002,COLUMN(D$1),FALSE)/100),1),"")</f>
        <v>0</v>
      </c>
      <c r="R124">
        <f>IFERROR(ROUNDUP(VLOOKUP($C124,装備品!$1:$998,COLUMN(N$1),FALSE)*(VLOOKUP($D124,素材!$1:$1002,COLUMN(D$1),FALSE)/100),1),"")</f>
        <v>0</v>
      </c>
      <c r="S124">
        <f>IFERROR(VLOOKUP($C124,装備品!$1:$998,COLUMN(P$1),FALSE),"")</f>
        <v>0</v>
      </c>
      <c r="T124">
        <f>IFERROR(VLOOKUP($C124,装備品!$1:$998,COLUMN(Q$1),FALSE),"")</f>
        <v>0</v>
      </c>
      <c r="U124">
        <f>IFERROR(VLOOKUP($C124,装備品!$1:$998,COLUMN(R$1),FALSE),"")</f>
        <v>0</v>
      </c>
      <c r="V124">
        <f>IFERROR(VLOOKUP($C124,装備品!$1:$998,COLUMN(Q$1),FALSE),"")</f>
        <v>0</v>
      </c>
      <c r="W124">
        <f>IFERROR(VLOOKUP($C124,装備品!$1:$998,COLUMN(T$1),FALSE),"")</f>
        <v>0.2</v>
      </c>
      <c r="Y124">
        <f>IFERROR(VLOOKUP($C124,装備品!$1:$998,COLUMN(U$1),FALSE),"")</f>
        <v>0</v>
      </c>
      <c r="Z124">
        <f>IFERROR(ROUNDUP(VLOOKUP($C124,装備品!$1:$998,COLUMN(O$1),FALSE)*VLOOKUP($D124,素材!$1:$1016,COLUMN(E$1),FALSE),1),"")</f>
        <v>0</v>
      </c>
      <c r="AA124">
        <f>IF(ISNUMBER(SEARCH(SUBSTITUTE(AA$1,RIGHT(AA$1,2),""),VLOOKUP($D124,素材!$1:$1016,COLUMN($F$1),FALSE))),VLOOKUP($C124,装備品!$1:$998,COLUMN($O$1),FALSE)*VLOOKUP($D124,素材!$1:$1016,COLUMN($E$1),FALSE)/(LEN(VLOOKUP($D124,素材!$1:$1016,COLUMN($F$1),FALSE))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IFERROR(VLOOKUP($C124,装備品!$1:$998,COLUMN(V$1),FALSE)*VLOOKUP($D124,素材!$1:$1016,COLUMN(N$1),FALSE)+IF(CI124="",0,VLOOKUP($CI124,付与!$1:$1176,COLUMN($CK$1),FALSE)),"")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IFERROR(VLOOKUP($D125,素材!$1:$1016,COLUMN($B$1),FALSE)&amp;"・"&amp;VLOOKUP($C125,装備品!$1:$998,COLUMN(B$1),FALSE),"")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IFERROR(VLOOKUP(C125,装備品!$1:$998,COLUMN(C$1),FALSE),"")</f>
        <v>体</v>
      </c>
      <c r="F125">
        <f>IFERROR(ROUNDDOWN((VLOOKUP($C125,装備品!$1:$998,COLUMN(D$1),FALSE)+IFERROR(VLOOKUP($CI125,付与!$1:$1167,COLUMN(F$1),FALSE),0))*VLOOKUP($D125,素材!$1:$1016,COLUMN(D$1),FALSE),0),"")</f>
        <v>0</v>
      </c>
      <c r="G125">
        <f>IFERROR(ROUNDDOWN((VLOOKUP($C125,装備品!$1:$998,COLUMN(E$1),FALSE)+IFERROR(VLOOKUP($CI125,付与!$1:$1167,COLUMN(G$1),FALSE),0))*VLOOKUP($D125,素材!$1:$1016,COLUMN($E$1),FALSE),0),"")</f>
        <v>0</v>
      </c>
      <c r="H125">
        <f>IFERROR(ROUNDDOWN((VLOOKUP($C125,装備品!$1:$998,COLUMN(F$1),FALSE)+IFERROR(VLOOKUP($CI125,付与!$1:$1167,COLUMN(H$1),FALSE),0))*VLOOKUP($D125,素材!$1:$1016,COLUMN($E$1),FALSE),0),"")</f>
        <v>0</v>
      </c>
      <c r="I125">
        <f>IFERROR(ROUNDDOWN((VLOOKUP($C125,装備品!$1:$998,COLUMN(G$1),FALSE)+IFERROR(VLOOKUP($CI125,付与!$1:$1167,COLUMN(I$1),FALSE),0))*VLOOKUP($D125,素材!$1:$1016,COLUMN($E$1),FALSE),0),"")</f>
        <v>0</v>
      </c>
      <c r="J125">
        <f>IFERROR(ROUNDDOWN((VLOOKUP($C125,装備品!$1:$998,COLUMN(H$1),FALSE)+IFERROR(VLOOKUP($CI125,付与!$1:$1167,COLUMN(J$1),FALSE),0))*VLOOKUP($D125,素材!$1:$1016,COLUMN($E$1),FALSE),0),"")</f>
        <v>0</v>
      </c>
      <c r="K125">
        <f>IFERROR(ROUNDDOWN((VLOOKUP($C125,装備品!$1:$998,COLUMN(I$1),FALSE)+IFERROR(VLOOKUP($CI125,付与!$1:$1167,COLUMN(K$1),FALSE),0))*VLOOKUP($D125,素材!$1:$1016,COLUMN($E$1),FALSE),0),"")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IFERROR(VLOOKUP($C125,装備品!$1:$998,COLUMN(AA$1),FALSE)*VLOOKUP($D125,素材!$1:$1016,COLUMN($G$1),FALSE),"")</f>
        <v/>
      </c>
      <c r="N125">
        <f>IFERROR(VLOOKUP($C125,装備品!$1:$998,COLUMN(I$1),FALSE),"")</f>
        <v>0</v>
      </c>
      <c r="O125" s="23" t="str">
        <f>IFERROR((VLOOKUP($C125,装備品!$1:$998,COLUMN(K$1),FALSE)+VLOOKUP($D125,素材!$1:$1016,COLUMN(H$1),FALSE))*100+IFERROR(VLOOKUP($CI125,付与!$1:$1167,COLUMN(O$1),FALSE),0),"")</f>
        <v/>
      </c>
      <c r="P125" s="23" t="str">
        <f>IFERROR((VLOOKUP($C125,装備品!$1:$998,COLUMN(L$1),FALSE)+VLOOKUP($D125,素材!$1:$1016,COLUMN(I$1),FALSE))*100+IFERROR(VLOOKUP($CI125,付与!$1:$1167,COLUMN(P$1),FALSE),0),"")</f>
        <v/>
      </c>
      <c r="Q125">
        <f>IFERROR(ROUNDUP(VLOOKUP($C125,装備品!$1:$998,COLUMN(M$1),FALSE)*(VLOOKUP($D125,素材!$1:$1002,COLUMN(D$1),FALSE)/100),1),"")</f>
        <v>-6</v>
      </c>
      <c r="R125">
        <f>IFERROR(ROUNDUP(VLOOKUP($C125,装備品!$1:$998,COLUMN(N$1),FALSE)*(VLOOKUP($D125,素材!$1:$1002,COLUMN(D$1),FALSE)/100),1),"")</f>
        <v>0</v>
      </c>
      <c r="S125">
        <f>IFERROR(VLOOKUP($C125,装備品!$1:$998,COLUMN(P$1),FALSE),"")</f>
        <v>-35</v>
      </c>
      <c r="T125">
        <f>IFERROR(VLOOKUP($C125,装備品!$1:$998,COLUMN(Q$1),FALSE),"")</f>
        <v>0</v>
      </c>
      <c r="U125">
        <f>IFERROR(VLOOKUP($C125,装備品!$1:$998,COLUMN(R$1),FALSE),"")</f>
        <v>0</v>
      </c>
      <c r="V125">
        <f>IFERROR(VLOOKUP($C125,装備品!$1:$998,COLUMN(Q$1),FALSE),"")</f>
        <v>0</v>
      </c>
      <c r="W125">
        <f>IFERROR(VLOOKUP($C125,装備品!$1:$998,COLUMN(T$1),FALSE),"")</f>
        <v>0.7</v>
      </c>
      <c r="Y125">
        <f>IFERROR(VLOOKUP($C125,装備品!$1:$998,COLUMN(U$1),FALSE),"")</f>
        <v>0</v>
      </c>
      <c r="Z125">
        <f>IFERROR(ROUNDUP(VLOOKUP($C125,装備品!$1:$998,COLUMN(O$1),FALSE)*VLOOKUP($D125,素材!$1:$1016,COLUMN(E$1),FALSE),1),"")</f>
        <v>0</v>
      </c>
      <c r="AA125">
        <f>IF(ISNUMBER(SEARCH(SUBSTITUTE(AA$1,RIGHT(AA$1,2),""),VLOOKUP($D125,素材!$1:$1016,COLUMN($F$1),FALSE))),VLOOKUP($C125,装備品!$1:$998,COLUMN($O$1),FALSE)*VLOOKUP($D125,素材!$1:$1016,COLUMN($E$1),FALSE)/(LEN(VLOOKUP($D125,素材!$1:$1016,COLUMN($F$1),FALSE))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IFERROR(VLOOKUP($C125,装備品!$1:$998,COLUMN(V$1),FALSE)*VLOOKUP($D125,素材!$1:$1016,COLUMN(N$1),FALSE)+IF(CI125="",0,VLOOKUP($CI125,付与!$1:$1176,COLUMN($CK$1),FALSE)),"")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IFERROR(VLOOKUP($D126,素材!$1:$1016,COLUMN($B$1),FALSE)&amp;"・"&amp;VLOOKUP($C126,装備品!$1:$998,COLUMN(B$1),FALSE),"")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IFERROR(VLOOKUP(C126,装備品!$1:$998,COLUMN(C$1),FALSE),"")</f>
        <v>体</v>
      </c>
      <c r="F126">
        <f>IFERROR(ROUNDDOWN((VLOOKUP($C126,装備品!$1:$998,COLUMN(D$1),FALSE)+IFERROR(VLOOKUP($CI126,付与!$1:$1167,COLUMN(F$1),FALSE),0))*VLOOKUP($D126,素材!$1:$1016,COLUMN(D$1),FALSE),0),"")</f>
        <v>0</v>
      </c>
      <c r="G126">
        <f>IFERROR(ROUNDDOWN((VLOOKUP($C126,装備品!$1:$998,COLUMN(E$1),FALSE)+IFERROR(VLOOKUP($CI126,付与!$1:$1167,COLUMN(G$1),FALSE),0))*VLOOKUP($D126,素材!$1:$1016,COLUMN($E$1),FALSE),0),"")</f>
        <v>0</v>
      </c>
      <c r="H126">
        <f>IFERROR(ROUNDDOWN((VLOOKUP($C126,装備品!$1:$998,COLUMN(F$1),FALSE)+IFERROR(VLOOKUP($CI126,付与!$1:$1167,COLUMN(H$1),FALSE),0))*VLOOKUP($D126,素材!$1:$1016,COLUMN($E$1),FALSE),0),"")</f>
        <v>0</v>
      </c>
      <c r="I126">
        <f>IFERROR(ROUNDDOWN((VLOOKUP($C126,装備品!$1:$998,COLUMN(G$1),FALSE)+IFERROR(VLOOKUP($CI126,付与!$1:$1167,COLUMN(I$1),FALSE),0))*VLOOKUP($D126,素材!$1:$1016,COLUMN($E$1),FALSE),0),"")</f>
        <v>0</v>
      </c>
      <c r="J126">
        <f>IFERROR(ROUNDDOWN((VLOOKUP($C126,装備品!$1:$998,COLUMN(H$1),FALSE)+IFERROR(VLOOKUP($CI126,付与!$1:$1167,COLUMN(J$1),FALSE),0))*VLOOKUP($D126,素材!$1:$1016,COLUMN($E$1),FALSE),0),"")</f>
        <v>0</v>
      </c>
      <c r="K126">
        <f>IFERROR(ROUNDDOWN((VLOOKUP($C126,装備品!$1:$998,COLUMN(I$1),FALSE)+IFERROR(VLOOKUP($CI126,付与!$1:$1167,COLUMN(K$1),FALSE),0))*VLOOKUP($D126,素材!$1:$1016,COLUMN($E$1),FALSE),0),"")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IFERROR(VLOOKUP($C126,装備品!$1:$998,COLUMN(AA$1),FALSE)*VLOOKUP($D126,素材!$1:$1016,COLUMN($G$1),FALSE),"")</f>
        <v/>
      </c>
      <c r="N126">
        <f>IFERROR(VLOOKUP($C126,装備品!$1:$998,COLUMN(I$1),FALSE),"")</f>
        <v>0</v>
      </c>
      <c r="O126" s="23" t="str">
        <f>IFERROR((VLOOKUP($C126,装備品!$1:$998,COLUMN(K$1),FALSE)+VLOOKUP($D126,素材!$1:$1016,COLUMN(H$1),FALSE))*100+IFERROR(VLOOKUP($CI126,付与!$1:$1167,COLUMN(O$1),FALSE),0),"")</f>
        <v/>
      </c>
      <c r="P126" s="23" t="str">
        <f>IFERROR((VLOOKUP($C126,装備品!$1:$998,COLUMN(L$1),FALSE)+VLOOKUP($D126,素材!$1:$1016,COLUMN(I$1),FALSE))*100+IFERROR(VLOOKUP($CI126,付与!$1:$1167,COLUMN(P$1),FALSE),0),"")</f>
        <v/>
      </c>
      <c r="Q126">
        <f>IFERROR(ROUNDUP(VLOOKUP($C126,装備品!$1:$998,COLUMN(M$1),FALSE)*(VLOOKUP($D126,素材!$1:$1002,COLUMN(D$1),FALSE)/100),1),"")</f>
        <v>-3</v>
      </c>
      <c r="R126">
        <f>IFERROR(ROUNDUP(VLOOKUP($C126,装備品!$1:$998,COLUMN(N$1),FALSE)*(VLOOKUP($D126,素材!$1:$1002,COLUMN(D$1),FALSE)/100),1),"")</f>
        <v>0</v>
      </c>
      <c r="S126">
        <f>IFERROR(VLOOKUP($C126,装備品!$1:$998,COLUMN(P$1),FALSE),"")</f>
        <v>-15</v>
      </c>
      <c r="T126">
        <f>IFERROR(VLOOKUP($C126,装備品!$1:$998,COLUMN(Q$1),FALSE),"")</f>
        <v>0</v>
      </c>
      <c r="U126">
        <f>IFERROR(VLOOKUP($C126,装備品!$1:$998,COLUMN(R$1),FALSE),"")</f>
        <v>0</v>
      </c>
      <c r="V126">
        <f>IFERROR(VLOOKUP($C126,装備品!$1:$998,COLUMN(Q$1),FALSE),"")</f>
        <v>0</v>
      </c>
      <c r="W126">
        <f>IFERROR(VLOOKUP($C126,装備品!$1:$998,COLUMN(T$1),FALSE),"")</f>
        <v>0.5</v>
      </c>
      <c r="Y126">
        <f>IFERROR(VLOOKUP($C126,装備品!$1:$998,COLUMN(U$1),FALSE),"")</f>
        <v>0</v>
      </c>
      <c r="Z126">
        <f>IFERROR(ROUNDUP(VLOOKUP($C126,装備品!$1:$998,COLUMN(O$1),FALSE)*VLOOKUP($D126,素材!$1:$1016,COLUMN(E$1),FALSE),1),"")</f>
        <v>0</v>
      </c>
      <c r="AA126">
        <f>IF(ISNUMBER(SEARCH(SUBSTITUTE(AA$1,RIGHT(AA$1,2),""),VLOOKUP($D126,素材!$1:$1016,COLUMN($F$1),FALSE))),VLOOKUP($C126,装備品!$1:$998,COLUMN($O$1),FALSE)*VLOOKUP($D126,素材!$1:$1016,COLUMN($E$1),FALSE)/(LEN(VLOOKUP($D126,素材!$1:$1016,COLUMN($F$1),FALSE))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IFERROR(VLOOKUP($C126,装備品!$1:$998,COLUMN(V$1),FALSE)*VLOOKUP($D126,素材!$1:$1016,COLUMN(N$1),FALSE)+IF(CI126="",0,VLOOKUP($CI126,付与!$1:$1176,COLUMN($CK$1),FALSE)),"")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IFERROR(VLOOKUP($D127,素材!$1:$1016,COLUMN($B$1),FALSE)&amp;"・"&amp;VLOOKUP($C127,装備品!$1:$998,COLUMN(B$1),FALSE),"")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IFERROR(VLOOKUP(C127,装備品!$1:$998,COLUMN(C$1),FALSE),"")</f>
        <v>足</v>
      </c>
      <c r="F127">
        <f>IFERROR(ROUNDDOWN((VLOOKUP($C127,装備品!$1:$998,COLUMN(D$1),FALSE)+IFERROR(VLOOKUP($CI127,付与!$1:$1167,COLUMN(F$1),FALSE),0))*VLOOKUP($D127,素材!$1:$1016,COLUMN(D$1),FALSE),0),"")</f>
        <v>0</v>
      </c>
      <c r="G127">
        <f>IFERROR(ROUNDDOWN((VLOOKUP($C127,装備品!$1:$998,COLUMN(E$1),FALSE)+IFERROR(VLOOKUP($CI127,付与!$1:$1167,COLUMN(G$1),FALSE),0))*VLOOKUP($D127,素材!$1:$1016,COLUMN($E$1),FALSE),0),"")</f>
        <v>0</v>
      </c>
      <c r="H127">
        <f>IFERROR(ROUNDDOWN((VLOOKUP($C127,装備品!$1:$998,COLUMN(F$1),FALSE)+IFERROR(VLOOKUP($CI127,付与!$1:$1167,COLUMN(H$1),FALSE),0))*VLOOKUP($D127,素材!$1:$1016,COLUMN($E$1),FALSE),0),"")</f>
        <v>0</v>
      </c>
      <c r="I127">
        <f>IFERROR(ROUNDDOWN((VLOOKUP($C127,装備品!$1:$998,COLUMN(G$1),FALSE)+IFERROR(VLOOKUP($CI127,付与!$1:$1167,COLUMN(I$1),FALSE),0))*VLOOKUP($D127,素材!$1:$1016,COLUMN($E$1),FALSE),0),"")</f>
        <v>15</v>
      </c>
      <c r="J127">
        <f>IFERROR(ROUNDDOWN((VLOOKUP($C127,装備品!$1:$998,COLUMN(H$1),FALSE)+IFERROR(VLOOKUP($CI127,付与!$1:$1167,COLUMN(J$1),FALSE),0))*VLOOKUP($D127,素材!$1:$1016,COLUMN($E$1),FALSE),0),"")</f>
        <v>0</v>
      </c>
      <c r="K127">
        <f>IFERROR(ROUNDDOWN((VLOOKUP($C127,装備品!$1:$998,COLUMN(I$1),FALSE)+IFERROR(VLOOKUP($CI127,付与!$1:$1167,COLUMN(K$1),FALSE),0))*VLOOKUP($D127,素材!$1:$1016,COLUMN($E$1),FALSE),0),"")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IFERROR(VLOOKUP($C127,装備品!$1:$998,COLUMN(AA$1),FALSE)*VLOOKUP($D127,素材!$1:$1016,COLUMN($G$1),FALSE),"")</f>
        <v/>
      </c>
      <c r="N127">
        <f>IFERROR(VLOOKUP($C127,装備品!$1:$998,COLUMN(I$1),FALSE),"")</f>
        <v>0</v>
      </c>
      <c r="O127" s="23" t="str">
        <f>IFERROR((VLOOKUP($C127,装備品!$1:$998,COLUMN(K$1),FALSE)+VLOOKUP($D127,素材!$1:$1016,COLUMN(H$1),FALSE))*100+IFERROR(VLOOKUP($CI127,付与!$1:$1167,COLUMN(O$1),FALSE),0),"")</f>
        <v/>
      </c>
      <c r="P127" s="23" t="str">
        <f>IFERROR((VLOOKUP($C127,装備品!$1:$998,COLUMN(L$1),FALSE)+VLOOKUP($D127,素材!$1:$1016,COLUMN(I$1),FALSE))*100+IFERROR(VLOOKUP($CI127,付与!$1:$1167,COLUMN(P$1),FALSE),0),"")</f>
        <v/>
      </c>
      <c r="Q127">
        <f>IFERROR(ROUNDUP(VLOOKUP($C127,装備品!$1:$998,COLUMN(M$1),FALSE)*(VLOOKUP($D127,素材!$1:$1002,COLUMN(D$1),FALSE)/100),1),"")</f>
        <v>0</v>
      </c>
      <c r="R127">
        <f>IFERROR(ROUNDUP(VLOOKUP($C127,装備品!$1:$998,COLUMN(N$1),FALSE)*(VLOOKUP($D127,素材!$1:$1002,COLUMN(D$1),FALSE)/100),1),"")</f>
        <v>0</v>
      </c>
      <c r="S127">
        <f>IFERROR(VLOOKUP($C127,装備品!$1:$998,COLUMN(P$1),FALSE),"")</f>
        <v>0</v>
      </c>
      <c r="T127">
        <f>IFERROR(VLOOKUP($C127,装備品!$1:$998,COLUMN(Q$1),FALSE),"")</f>
        <v>0</v>
      </c>
      <c r="U127">
        <f>IFERROR(VLOOKUP($C127,装備品!$1:$998,COLUMN(R$1),FALSE),"")</f>
        <v>0</v>
      </c>
      <c r="V127">
        <f>IFERROR(VLOOKUP($C127,装備品!$1:$998,COLUMN(Q$1),FALSE),"")</f>
        <v>0</v>
      </c>
      <c r="W127">
        <f>IFERROR(VLOOKUP($C127,装備品!$1:$998,COLUMN(T$1),FALSE),"")</f>
        <v>0.15</v>
      </c>
      <c r="Y127">
        <f>IFERROR(VLOOKUP($C127,装備品!$1:$998,COLUMN(U$1),FALSE),"")</f>
        <v>0</v>
      </c>
      <c r="Z127">
        <f>IFERROR(ROUNDUP(VLOOKUP($C127,装備品!$1:$998,COLUMN(O$1),FALSE)*VLOOKUP($D127,素材!$1:$1016,COLUMN(E$1),FALSE),1),"")</f>
        <v>0</v>
      </c>
      <c r="AA127">
        <f>IF(ISNUMBER(SEARCH(SUBSTITUTE(AA$1,RIGHT(AA$1,2),""),VLOOKUP($D127,素材!$1:$1016,COLUMN($F$1),FALSE))),VLOOKUP($C127,装備品!$1:$998,COLUMN($O$1),FALSE)*VLOOKUP($D127,素材!$1:$1016,COLUMN($E$1),FALSE)/(LEN(VLOOKUP($D127,素材!$1:$1016,COLUMN($F$1),FALSE))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IFERROR(VLOOKUP($C127,装備品!$1:$998,COLUMN(V$1),FALSE)*VLOOKUP($D127,素材!$1:$1016,COLUMN(N$1),FALSE)+IF(CI127="",0,VLOOKUP($CI127,付与!$1:$1176,COLUMN($CK$1),FALSE)),"")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IFERROR(VLOOKUP($D128,素材!$1:$1016,COLUMN($B$1),FALSE)&amp;"・"&amp;VLOOKUP($C128,装備品!$1:$998,COLUMN(B$1),FALSE),"")</f>
        <v>ライトレザー・ハット</v>
      </c>
      <c r="C128" t="s">
        <v>1182</v>
      </c>
      <c r="D128" s="24" t="s">
        <v>249</v>
      </c>
      <c r="E128" t="str">
        <f>IFERROR(VLOOKUP(C128,装備品!$1:$998,COLUMN(C$1),FALSE),"")</f>
        <v>頭</v>
      </c>
      <c r="F128">
        <f>IFERROR(ROUNDDOWN((VLOOKUP($C128,装備品!$1:$998,COLUMN(D$1),FALSE)+IFERROR(VLOOKUP($CI128,付与!$1:$1167,COLUMN(F$1),FALSE),0))*VLOOKUP($D128,素材!$1:$1016,COLUMN(D$1),FALSE),0),"")</f>
        <v>0</v>
      </c>
      <c r="G128">
        <f>IFERROR(ROUNDDOWN((VLOOKUP($C128,装備品!$1:$998,COLUMN(E$1),FALSE)+IFERROR(VLOOKUP($CI128,付与!$1:$1167,COLUMN(G$1),FALSE),0))*VLOOKUP($D128,素材!$1:$1016,COLUMN($E$1),FALSE),0),"")</f>
        <v>0</v>
      </c>
      <c r="H128">
        <f>IFERROR(ROUNDDOWN((VLOOKUP($C128,装備品!$1:$998,COLUMN(F$1),FALSE)+IFERROR(VLOOKUP($CI128,付与!$1:$1167,COLUMN(H$1),FALSE),0))*VLOOKUP($D128,素材!$1:$1016,COLUMN($E$1),FALSE),0),"")</f>
        <v>0</v>
      </c>
      <c r="I128">
        <f>IFERROR(ROUNDDOWN((VLOOKUP($C128,装備品!$1:$998,COLUMN(G$1),FALSE)+IFERROR(VLOOKUP($CI128,付与!$1:$1167,COLUMN(I$1),FALSE),0))*VLOOKUP($D128,素材!$1:$1016,COLUMN($E$1),FALSE),0),"")</f>
        <v>0</v>
      </c>
      <c r="J128">
        <f>IFERROR(ROUNDDOWN((VLOOKUP($C128,装備品!$1:$998,COLUMN(H$1),FALSE)+IFERROR(VLOOKUP($CI128,付与!$1:$1167,COLUMN(J$1),FALSE),0))*VLOOKUP($D128,素材!$1:$1016,COLUMN($E$1),FALSE),0),"")</f>
        <v>0</v>
      </c>
      <c r="K128">
        <f>IFERROR(ROUNDDOWN((VLOOKUP($C128,装備品!$1:$998,COLUMN(I$1),FALSE)+IFERROR(VLOOKUP($CI128,付与!$1:$1167,COLUMN(K$1),FALSE),0))*VLOOKUP($D128,素材!$1:$1016,COLUMN($E$1),FALSE),0),"")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IFERROR(VLOOKUP($C128,装備品!$1:$998,COLUMN(AA$1),FALSE)*VLOOKUP($D128,素材!$1:$1016,COLUMN($G$1),FALSE),"")</f>
        <v/>
      </c>
      <c r="N128">
        <f>IFERROR(VLOOKUP($C128,装備品!$1:$998,COLUMN(I$1),FALSE),"")</f>
        <v>0</v>
      </c>
      <c r="O128" s="23" t="str">
        <f>IFERROR((VLOOKUP($C128,装備品!$1:$998,COLUMN(K$1),FALSE)+VLOOKUP($D128,素材!$1:$1016,COLUMN(H$1),FALSE))*100+IFERROR(VLOOKUP($CI128,付与!$1:$1167,COLUMN(O$1),FALSE),0),"")</f>
        <v/>
      </c>
      <c r="P128" s="23" t="str">
        <f>IFERROR((VLOOKUP($C128,装備品!$1:$998,COLUMN(L$1),FALSE)+VLOOKUP($D128,素材!$1:$1016,COLUMN(I$1),FALSE))*100+IFERROR(VLOOKUP($CI128,付与!$1:$1167,COLUMN(P$1),FALSE),0),"")</f>
        <v/>
      </c>
      <c r="Q128">
        <f>IFERROR(ROUNDUP(VLOOKUP($C128,装備品!$1:$998,COLUMN(M$1),FALSE)*(VLOOKUP($D128,素材!$1:$1002,COLUMN(D$1),FALSE)/100),1),"")</f>
        <v>0</v>
      </c>
      <c r="R128">
        <f>IFERROR(ROUNDUP(VLOOKUP($C128,装備品!$1:$998,COLUMN(N$1),FALSE)*(VLOOKUP($D128,素材!$1:$1002,COLUMN(D$1),FALSE)/100),1),"")</f>
        <v>0</v>
      </c>
      <c r="S128">
        <f>IFERROR(VLOOKUP($C128,装備品!$1:$998,COLUMN(P$1),FALSE),"")</f>
        <v>0</v>
      </c>
      <c r="T128">
        <f>IFERROR(VLOOKUP($C128,装備品!$1:$998,COLUMN(Q$1),FALSE),"")</f>
        <v>0</v>
      </c>
      <c r="U128">
        <f>IFERROR(VLOOKUP($C128,装備品!$1:$998,COLUMN(R$1),FALSE),"")</f>
        <v>0</v>
      </c>
      <c r="V128">
        <f>IFERROR(VLOOKUP($C128,装備品!$1:$998,COLUMN(Q$1),FALSE),"")</f>
        <v>0</v>
      </c>
      <c r="W128">
        <f>IFERROR(VLOOKUP($C128,装備品!$1:$998,COLUMN(T$1),FALSE),"")</f>
        <v>0.1</v>
      </c>
      <c r="Y128">
        <f>IFERROR(VLOOKUP($C128,装備品!$1:$998,COLUMN(U$1),FALSE),"")</f>
        <v>0</v>
      </c>
      <c r="Z128">
        <f>IFERROR(ROUNDUP(VLOOKUP($C128,装備品!$1:$998,COLUMN(O$1),FALSE)*VLOOKUP($D128,素材!$1:$1016,COLUMN(E$1),FALSE),1),"")</f>
        <v>0</v>
      </c>
      <c r="AA128">
        <f>IF(ISNUMBER(SEARCH(SUBSTITUTE(AA$1,RIGHT(AA$1,2),""),VLOOKUP($D128,素材!$1:$1016,COLUMN($F$1),FALSE))),VLOOKUP($C128,装備品!$1:$998,COLUMN($O$1),FALSE)*VLOOKUP($D128,素材!$1:$1016,COLUMN($E$1),FALSE)/(LEN(VLOOKUP($D128,素材!$1:$1016,COLUMN($F$1),FALSE))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IFERROR(VLOOKUP($C128,装備品!$1:$998,COLUMN(V$1),FALSE)*VLOOKUP($D128,素材!$1:$1016,COLUMN(N$1),FALSE)+IF(CI128="",0,VLOOKUP($CI128,付与!$1:$1176,COLUMN($CK$1),FALSE)),"")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IFERROR(VLOOKUP($D129,素材!$1:$1016,COLUMN($B$1),FALSE)&amp;"・"&amp;VLOOKUP($C129,装備品!$1:$998,COLUMN(B$1),FALSE),"")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IFERROR(VLOOKUP(C129,装備品!$1:$998,COLUMN(C$1),FALSE),"")</f>
        <v>体</v>
      </c>
      <c r="F129">
        <f>IFERROR(ROUNDDOWN((VLOOKUP($C129,装備品!$1:$998,COLUMN(D$1),FALSE)+IFERROR(VLOOKUP($CI129,付与!$1:$1167,COLUMN(F$1),FALSE),0))*VLOOKUP($D129,素材!$1:$1016,COLUMN(D$1),FALSE),0),"")</f>
        <v>0</v>
      </c>
      <c r="G129">
        <f>IFERROR(ROUNDDOWN((VLOOKUP($C129,装備品!$1:$998,COLUMN(E$1),FALSE)+IFERROR(VLOOKUP($CI129,付与!$1:$1167,COLUMN(G$1),FALSE),0))*VLOOKUP($D129,素材!$1:$1016,COLUMN($E$1),FALSE),0),"")</f>
        <v>0</v>
      </c>
      <c r="H129">
        <f>IFERROR(ROUNDDOWN((VLOOKUP($C129,装備品!$1:$998,COLUMN(F$1),FALSE)+IFERROR(VLOOKUP($CI129,付与!$1:$1167,COLUMN(H$1),FALSE),0))*VLOOKUP($D129,素材!$1:$1016,COLUMN($E$1),FALSE),0),"")</f>
        <v>0</v>
      </c>
      <c r="I129">
        <f>IFERROR(ROUNDDOWN((VLOOKUP($C129,装備品!$1:$998,COLUMN(G$1),FALSE)+IFERROR(VLOOKUP($CI129,付与!$1:$1167,COLUMN(I$1),FALSE),0))*VLOOKUP($D129,素材!$1:$1016,COLUMN($E$1),FALSE),0),"")</f>
        <v>0</v>
      </c>
      <c r="J129">
        <f>IFERROR(ROUNDDOWN((VLOOKUP($C129,装備品!$1:$998,COLUMN(H$1),FALSE)+IFERROR(VLOOKUP($CI129,付与!$1:$1167,COLUMN(J$1),FALSE),0))*VLOOKUP($D129,素材!$1:$1016,COLUMN($E$1),FALSE),0),"")</f>
        <v>0</v>
      </c>
      <c r="K129">
        <f>IFERROR(ROUNDDOWN((VLOOKUP($C129,装備品!$1:$998,COLUMN(I$1),FALSE)+IFERROR(VLOOKUP($CI129,付与!$1:$1167,COLUMN(K$1),FALSE),0))*VLOOKUP($D129,素材!$1:$1016,COLUMN($E$1),FALSE),0),"")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IFERROR(VLOOKUP($C129,装備品!$1:$998,COLUMN(AA$1),FALSE)*VLOOKUP($D129,素材!$1:$1016,COLUMN($G$1),FALSE),"")</f>
        <v/>
      </c>
      <c r="N129">
        <f>IFERROR(VLOOKUP($C129,装備品!$1:$998,COLUMN(I$1),FALSE),"")</f>
        <v>0</v>
      </c>
      <c r="O129" s="23" t="str">
        <f>IFERROR((VLOOKUP($C129,装備品!$1:$998,COLUMN(K$1),FALSE)+VLOOKUP($D129,素材!$1:$1016,COLUMN(H$1),FALSE))*100+IFERROR(VLOOKUP($CI129,付与!$1:$1167,COLUMN(O$1),FALSE),0),"")</f>
        <v/>
      </c>
      <c r="P129" s="23" t="str">
        <f>IFERROR((VLOOKUP($C129,装備品!$1:$998,COLUMN(L$1),FALSE)+VLOOKUP($D129,素材!$1:$1016,COLUMN(I$1),FALSE))*100+IFERROR(VLOOKUP($CI129,付与!$1:$1167,COLUMN(P$1),FALSE),0),"")</f>
        <v/>
      </c>
      <c r="Q129">
        <f>IFERROR(ROUNDUP(VLOOKUP($C129,装備品!$1:$998,COLUMN(M$1),FALSE)*(VLOOKUP($D129,素材!$1:$1002,COLUMN(D$1),FALSE)/100),1),"")</f>
        <v>0</v>
      </c>
      <c r="R129">
        <f>IFERROR(ROUNDUP(VLOOKUP($C129,装備品!$1:$998,COLUMN(N$1),FALSE)*(VLOOKUP($D129,素材!$1:$1002,COLUMN(D$1),FALSE)/100),1),"")</f>
        <v>0</v>
      </c>
      <c r="S129">
        <f>IFERROR(VLOOKUP($C129,装備品!$1:$998,COLUMN(P$1),FALSE),"")</f>
        <v>0</v>
      </c>
      <c r="T129">
        <f>IFERROR(VLOOKUP($C129,装備品!$1:$998,COLUMN(Q$1),FALSE),"")</f>
        <v>0</v>
      </c>
      <c r="U129">
        <f>IFERROR(VLOOKUP($C129,装備品!$1:$998,COLUMN(R$1),FALSE),"")</f>
        <v>0</v>
      </c>
      <c r="V129">
        <f>IFERROR(VLOOKUP($C129,装備品!$1:$998,COLUMN(Q$1),FALSE),"")</f>
        <v>0</v>
      </c>
      <c r="W129">
        <f>IFERROR(VLOOKUP($C129,装備品!$1:$998,COLUMN(T$1),FALSE),"")</f>
        <v>0.3</v>
      </c>
      <c r="Y129">
        <f>IFERROR(VLOOKUP($C129,装備品!$1:$998,COLUMN(U$1),FALSE),"")</f>
        <v>0</v>
      </c>
      <c r="Z129">
        <f>IFERROR(ROUNDUP(VLOOKUP($C129,装備品!$1:$998,COLUMN(O$1),FALSE)*VLOOKUP($D129,素材!$1:$1016,COLUMN(E$1),FALSE),1),"")</f>
        <v>0</v>
      </c>
      <c r="AA129">
        <f>IF(ISNUMBER(SEARCH(SUBSTITUTE(AA$1,RIGHT(AA$1,2),""),VLOOKUP($D129,素材!$1:$1016,COLUMN($F$1),FALSE))),VLOOKUP($C129,装備品!$1:$998,COLUMN($O$1),FALSE)*VLOOKUP($D129,素材!$1:$1016,COLUMN($E$1),FALSE)/(LEN(VLOOKUP($D129,素材!$1:$1016,COLUMN($F$1),FALSE))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IFERROR(VLOOKUP($C129,装備品!$1:$998,COLUMN(V$1),FALSE)*VLOOKUP($D129,素材!$1:$1016,COLUMN(N$1),FALSE)+IF(CI129="",0,VLOOKUP($CI129,付与!$1:$1176,COLUMN($CK$1),FALSE)),"")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IFERROR(VLOOKUP($D130,素材!$1:$1016,COLUMN($B$1),FALSE)&amp;"・"&amp;VLOOKUP($C130,装備品!$1:$998,COLUMN(B$1),FALSE),"")</f>
        <v>ライトレザー・ローブ</v>
      </c>
      <c r="C130" t="s">
        <v>245</v>
      </c>
      <c r="D130" s="24" t="s">
        <v>249</v>
      </c>
      <c r="E130" t="str">
        <f>IFERROR(VLOOKUP(C130,装備品!$1:$998,COLUMN(C$1),FALSE),"")</f>
        <v>体</v>
      </c>
      <c r="F130">
        <f>IFERROR(ROUNDDOWN((VLOOKUP($C130,装備品!$1:$998,COLUMN(D$1),FALSE)+IFERROR(VLOOKUP($CI130,付与!$1:$1167,COLUMN(F$1),FALSE),0))*VLOOKUP($D130,素材!$1:$1016,COLUMN(D$1),FALSE),0),"")</f>
        <v>0</v>
      </c>
      <c r="G130">
        <f>IFERROR(ROUNDDOWN((VLOOKUP($C130,装備品!$1:$998,COLUMN(E$1),FALSE)+IFERROR(VLOOKUP($CI130,付与!$1:$1167,COLUMN(G$1),FALSE),0))*VLOOKUP($D130,素材!$1:$1016,COLUMN($E$1),FALSE),0),"")</f>
        <v>0</v>
      </c>
      <c r="H130">
        <f>IFERROR(ROUNDDOWN((VLOOKUP($C130,装備品!$1:$998,COLUMN(F$1),FALSE)+IFERROR(VLOOKUP($CI130,付与!$1:$1167,COLUMN(H$1),FALSE),0))*VLOOKUP($D130,素材!$1:$1016,COLUMN($E$1),FALSE),0),"")</f>
        <v>0</v>
      </c>
      <c r="I130">
        <f>IFERROR(ROUNDDOWN((VLOOKUP($C130,装備品!$1:$998,COLUMN(G$1),FALSE)+IFERROR(VLOOKUP($CI130,付与!$1:$1167,COLUMN(I$1),FALSE),0))*VLOOKUP($D130,素材!$1:$1016,COLUMN($E$1),FALSE),0),"")</f>
        <v>0</v>
      </c>
      <c r="J130">
        <f>IFERROR(ROUNDDOWN((VLOOKUP($C130,装備品!$1:$998,COLUMN(H$1),FALSE)+IFERROR(VLOOKUP($CI130,付与!$1:$1167,COLUMN(J$1),FALSE),0))*VLOOKUP($D130,素材!$1:$1016,COLUMN($E$1),FALSE),0),"")</f>
        <v>0</v>
      </c>
      <c r="K130">
        <f>IFERROR(ROUNDDOWN((VLOOKUP($C130,装備品!$1:$998,COLUMN(I$1),FALSE)+IFERROR(VLOOKUP($CI130,付与!$1:$1167,COLUMN(K$1),FALSE),0))*VLOOKUP($D130,素材!$1:$1016,COLUMN($E$1),FALSE),0),"")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IFERROR(VLOOKUP($C130,装備品!$1:$998,COLUMN(AA$1),FALSE)*VLOOKUP($D130,素材!$1:$1016,COLUMN($G$1),FALSE),"")</f>
        <v/>
      </c>
      <c r="N130">
        <f>IFERROR(VLOOKUP($C130,装備品!$1:$998,COLUMN(I$1),FALSE),"")</f>
        <v>0</v>
      </c>
      <c r="O130" s="23" t="str">
        <f>IFERROR((VLOOKUP($C130,装備品!$1:$998,COLUMN(K$1),FALSE)+VLOOKUP($D130,素材!$1:$1016,COLUMN(H$1),FALSE))*100+IFERROR(VLOOKUP($CI130,付与!$1:$1167,COLUMN(O$1),FALSE),0),"")</f>
        <v/>
      </c>
      <c r="P130" s="23" t="str">
        <f>IFERROR((VLOOKUP($C130,装備品!$1:$998,COLUMN(L$1),FALSE)+VLOOKUP($D130,素材!$1:$1016,COLUMN(I$1),FALSE))*100+IFERROR(VLOOKUP($CI130,付与!$1:$1167,COLUMN(P$1),FALSE),0),"")</f>
        <v/>
      </c>
      <c r="Q130">
        <f>IFERROR(ROUNDUP(VLOOKUP($C130,装備品!$1:$998,COLUMN(M$1),FALSE)*(VLOOKUP($D130,素材!$1:$1002,COLUMN(D$1),FALSE)/100),1),"")</f>
        <v>0</v>
      </c>
      <c r="R130">
        <f>IFERROR(ROUNDUP(VLOOKUP($C130,装備品!$1:$998,COLUMN(N$1),FALSE)*(VLOOKUP($D130,素材!$1:$1002,COLUMN(D$1),FALSE)/100),1),"")</f>
        <v>0</v>
      </c>
      <c r="S130">
        <f>IFERROR(VLOOKUP($C130,装備品!$1:$998,COLUMN(P$1),FALSE),"")</f>
        <v>0</v>
      </c>
      <c r="T130">
        <f>IFERROR(VLOOKUP($C130,装備品!$1:$998,COLUMN(Q$1),FALSE),"")</f>
        <v>0</v>
      </c>
      <c r="U130">
        <f>IFERROR(VLOOKUP($C130,装備品!$1:$998,COLUMN(R$1),FALSE),"")</f>
        <v>0</v>
      </c>
      <c r="V130">
        <f>IFERROR(VLOOKUP($C130,装備品!$1:$998,COLUMN(Q$1),FALSE),"")</f>
        <v>0</v>
      </c>
      <c r="W130">
        <f>IFERROR(VLOOKUP($C130,装備品!$1:$998,COLUMN(T$1),FALSE),"")</f>
        <v>0.2</v>
      </c>
      <c r="Y130">
        <f>IFERROR(VLOOKUP($C130,装備品!$1:$998,COLUMN(U$1),FALSE),"")</f>
        <v>0</v>
      </c>
      <c r="Z130">
        <f>IFERROR(ROUNDUP(VLOOKUP($C130,装備品!$1:$998,COLUMN(O$1),FALSE)*VLOOKUP($D130,素材!$1:$1016,COLUMN(E$1),FALSE),1),"")</f>
        <v>0</v>
      </c>
      <c r="AA130">
        <f>IF(ISNUMBER(SEARCH(SUBSTITUTE(AA$1,RIGHT(AA$1,2),""),VLOOKUP($D130,素材!$1:$1016,COLUMN($F$1),FALSE))),VLOOKUP($C130,装備品!$1:$998,COLUMN($O$1),FALSE)*VLOOKUP($D130,素材!$1:$1016,COLUMN($E$1),FALSE)/(LEN(VLOOKUP($D130,素材!$1:$1016,COLUMN($F$1),FALSE))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IFERROR(VLOOKUP($C130,装備品!$1:$998,COLUMN(V$1),FALSE)*VLOOKUP($D130,素材!$1:$1016,COLUMN(N$1),FALSE)+IF(CI130="",0,VLOOKUP($CI130,付与!$1:$1176,COLUMN($CK$1),FALSE)),"")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IFERROR(VLOOKUP($D131,素材!$1:$1016,COLUMN($B$1),FALSE)&amp;"・"&amp;VLOOKUP($C131,装備品!$1:$998,COLUMN(B$1),FALSE),"")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IFERROR(VLOOKUP(C131,装備品!$1:$998,COLUMN(C$1),FALSE),"")</f>
        <v>体</v>
      </c>
      <c r="F131">
        <f>IFERROR(ROUNDDOWN((VLOOKUP($C131,装備品!$1:$998,COLUMN(D$1),FALSE)+IFERROR(VLOOKUP($CI131,付与!$1:$1167,COLUMN(F$1),FALSE),0))*VLOOKUP($D131,素材!$1:$1016,COLUMN(D$1),FALSE),0),"")</f>
        <v>0</v>
      </c>
      <c r="G131">
        <f>IFERROR(ROUNDDOWN((VLOOKUP($C131,装備品!$1:$998,COLUMN(E$1),FALSE)+IFERROR(VLOOKUP($CI131,付与!$1:$1167,COLUMN(G$1),FALSE),0))*VLOOKUP($D131,素材!$1:$1016,COLUMN($E$1),FALSE),0),"")</f>
        <v>0</v>
      </c>
      <c r="H131">
        <f>IFERROR(ROUNDDOWN((VLOOKUP($C131,装備品!$1:$998,COLUMN(F$1),FALSE)+IFERROR(VLOOKUP($CI131,付与!$1:$1167,COLUMN(H$1),FALSE),0))*VLOOKUP($D131,素材!$1:$1016,COLUMN($E$1),FALSE),0),"")</f>
        <v>0</v>
      </c>
      <c r="I131">
        <f>IFERROR(ROUNDDOWN((VLOOKUP($C131,装備品!$1:$998,COLUMN(G$1),FALSE)+IFERROR(VLOOKUP($CI131,付与!$1:$1167,COLUMN(I$1),FALSE),0))*VLOOKUP($D131,素材!$1:$1016,COLUMN($E$1),FALSE),0),"")</f>
        <v>0</v>
      </c>
      <c r="J131">
        <f>IFERROR(ROUNDDOWN((VLOOKUP($C131,装備品!$1:$998,COLUMN(H$1),FALSE)+IFERROR(VLOOKUP($CI131,付与!$1:$1167,COLUMN(J$1),FALSE),0))*VLOOKUP($D131,素材!$1:$1016,COLUMN($E$1),FALSE),0),"")</f>
        <v>0</v>
      </c>
      <c r="K131">
        <f>IFERROR(ROUNDDOWN((VLOOKUP($C131,装備品!$1:$998,COLUMN(I$1),FALSE)+IFERROR(VLOOKUP($CI131,付与!$1:$1167,COLUMN(K$1),FALSE),0))*VLOOKUP($D131,素材!$1:$1016,COLUMN($E$1),FALSE),0),"")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IFERROR(VLOOKUP($C131,装備品!$1:$998,COLUMN(AA$1),FALSE)*VLOOKUP($D131,素材!$1:$1016,COLUMN($G$1),FALSE),"")</f>
        <v/>
      </c>
      <c r="N131">
        <f>IFERROR(VLOOKUP($C131,装備品!$1:$998,COLUMN(I$1),FALSE),"")</f>
        <v>0</v>
      </c>
      <c r="O131" s="23" t="str">
        <f>IFERROR((VLOOKUP($C131,装備品!$1:$998,COLUMN(K$1),FALSE)+VLOOKUP($D131,素材!$1:$1016,COLUMN(H$1),FALSE))*100+IFERROR(VLOOKUP($CI131,付与!$1:$1167,COLUMN(O$1),FALSE),0),"")</f>
        <v/>
      </c>
      <c r="P131" s="23" t="str">
        <f>IFERROR((VLOOKUP($C131,装備品!$1:$998,COLUMN(L$1),FALSE)+VLOOKUP($D131,素材!$1:$1016,COLUMN(I$1),FALSE))*100+IFERROR(VLOOKUP($CI131,付与!$1:$1167,COLUMN(P$1),FALSE),0),"")</f>
        <v/>
      </c>
      <c r="Q131">
        <f>IFERROR(ROUNDUP(VLOOKUP($C131,装備品!$1:$998,COLUMN(M$1),FALSE)*(VLOOKUP($D131,素材!$1:$1002,COLUMN(D$1),FALSE)/100),1),"")</f>
        <v>-3.8000000000000003</v>
      </c>
      <c r="R131">
        <f>IFERROR(ROUNDUP(VLOOKUP($C131,装備品!$1:$998,COLUMN(N$1),FALSE)*(VLOOKUP($D131,素材!$1:$1002,COLUMN(D$1),FALSE)/100),1),"")</f>
        <v>0</v>
      </c>
      <c r="S131">
        <f>IFERROR(VLOOKUP($C131,装備品!$1:$998,COLUMN(P$1),FALSE),"")</f>
        <v>-35</v>
      </c>
      <c r="T131">
        <f>IFERROR(VLOOKUP($C131,装備品!$1:$998,COLUMN(Q$1),FALSE),"")</f>
        <v>0</v>
      </c>
      <c r="U131">
        <f>IFERROR(VLOOKUP($C131,装備品!$1:$998,COLUMN(R$1),FALSE),"")</f>
        <v>0</v>
      </c>
      <c r="V131">
        <f>IFERROR(VLOOKUP($C131,装備品!$1:$998,COLUMN(Q$1),FALSE),"")</f>
        <v>0</v>
      </c>
      <c r="W131">
        <f>IFERROR(VLOOKUP($C131,装備品!$1:$998,COLUMN(T$1),FALSE),"")</f>
        <v>0.7</v>
      </c>
      <c r="Y131">
        <f>IFERROR(VLOOKUP($C131,装備品!$1:$998,COLUMN(U$1),FALSE),"")</f>
        <v>0</v>
      </c>
      <c r="Z131">
        <f>IFERROR(ROUNDUP(VLOOKUP($C131,装備品!$1:$998,COLUMN(O$1),FALSE)*VLOOKUP($D131,素材!$1:$1016,COLUMN(E$1),FALSE),1),"")</f>
        <v>0</v>
      </c>
      <c r="AA131">
        <f>IF(ISNUMBER(SEARCH(SUBSTITUTE(AA$1,RIGHT(AA$1,2),""),VLOOKUP($D131,素材!$1:$1016,COLUMN($F$1),FALSE))),VLOOKUP($C131,装備品!$1:$998,COLUMN($O$1),FALSE)*VLOOKUP($D131,素材!$1:$1016,COLUMN($E$1),FALSE)/(LEN(VLOOKUP($D131,素材!$1:$1016,COLUMN($F$1),FALSE))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IFERROR(VLOOKUP($C131,装備品!$1:$998,COLUMN(V$1),FALSE)*VLOOKUP($D131,素材!$1:$1016,COLUMN(N$1),FALSE)+IF(CI131="",0,VLOOKUP($CI131,付与!$1:$1176,COLUMN($CK$1),FALSE)),"")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IFERROR(VLOOKUP($D132,素材!$1:$1016,COLUMN($B$1),FALSE)&amp;"・"&amp;VLOOKUP($C132,装備品!$1:$998,COLUMN(B$1),FALSE),"")</f>
        <v>ライトレザー・ベスト</v>
      </c>
      <c r="C132" t="s">
        <v>206</v>
      </c>
      <c r="D132" s="24" t="s">
        <v>249</v>
      </c>
      <c r="E132" t="str">
        <f>IFERROR(VLOOKUP(C132,装備品!$1:$998,COLUMN(C$1),FALSE),"")</f>
        <v>体</v>
      </c>
      <c r="F132">
        <f>IFERROR(ROUNDDOWN((VLOOKUP($C132,装備品!$1:$998,COLUMN(D$1),FALSE)+IFERROR(VLOOKUP($CI132,付与!$1:$1167,COLUMN(F$1),FALSE),0))*VLOOKUP($D132,素材!$1:$1016,COLUMN(D$1),FALSE),0),"")</f>
        <v>0</v>
      </c>
      <c r="G132">
        <f>IFERROR(ROUNDDOWN((VLOOKUP($C132,装備品!$1:$998,COLUMN(E$1),FALSE)+IFERROR(VLOOKUP($CI132,付与!$1:$1167,COLUMN(G$1),FALSE),0))*VLOOKUP($D132,素材!$1:$1016,COLUMN($E$1),FALSE),0),"")</f>
        <v>0</v>
      </c>
      <c r="H132">
        <f>IFERROR(ROUNDDOWN((VLOOKUP($C132,装備品!$1:$998,COLUMN(F$1),FALSE)+IFERROR(VLOOKUP($CI132,付与!$1:$1167,COLUMN(H$1),FALSE),0))*VLOOKUP($D132,素材!$1:$1016,COLUMN($E$1),FALSE),0),"")</f>
        <v>0</v>
      </c>
      <c r="I132">
        <f>IFERROR(ROUNDDOWN((VLOOKUP($C132,装備品!$1:$998,COLUMN(G$1),FALSE)+IFERROR(VLOOKUP($CI132,付与!$1:$1167,COLUMN(I$1),FALSE),0))*VLOOKUP($D132,素材!$1:$1016,COLUMN($E$1),FALSE),0),"")</f>
        <v>0</v>
      </c>
      <c r="J132">
        <f>IFERROR(ROUNDDOWN((VLOOKUP($C132,装備品!$1:$998,COLUMN(H$1),FALSE)+IFERROR(VLOOKUP($CI132,付与!$1:$1167,COLUMN(J$1),FALSE),0))*VLOOKUP($D132,素材!$1:$1016,COLUMN($E$1),FALSE),0),"")</f>
        <v>0</v>
      </c>
      <c r="K132">
        <f>IFERROR(ROUNDDOWN((VLOOKUP($C132,装備品!$1:$998,COLUMN(I$1),FALSE)+IFERROR(VLOOKUP($CI132,付与!$1:$1167,COLUMN(K$1),FALSE),0))*VLOOKUP($D132,素材!$1:$1016,COLUMN($E$1),FALSE),0),"")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IFERROR(VLOOKUP($C132,装備品!$1:$998,COLUMN(AA$1),FALSE)*VLOOKUP($D132,素材!$1:$1016,COLUMN($G$1),FALSE),"")</f>
        <v/>
      </c>
      <c r="N132">
        <f>IFERROR(VLOOKUP($C132,装備品!$1:$998,COLUMN(I$1),FALSE),"")</f>
        <v>0</v>
      </c>
      <c r="O132" s="23" t="str">
        <f>IFERROR((VLOOKUP($C132,装備品!$1:$998,COLUMN(K$1),FALSE)+VLOOKUP($D132,素材!$1:$1016,COLUMN(H$1),FALSE))*100+IFERROR(VLOOKUP($CI132,付与!$1:$1167,COLUMN(O$1),FALSE),0),"")</f>
        <v/>
      </c>
      <c r="P132" s="23" t="str">
        <f>IFERROR((VLOOKUP($C132,装備品!$1:$998,COLUMN(L$1),FALSE)+VLOOKUP($D132,素材!$1:$1016,COLUMN(I$1),FALSE))*100+IFERROR(VLOOKUP($CI132,付与!$1:$1167,COLUMN(P$1),FALSE),0),"")</f>
        <v/>
      </c>
      <c r="Q132">
        <f>IFERROR(ROUNDUP(VLOOKUP($C132,装備品!$1:$998,COLUMN(M$1),FALSE)*(VLOOKUP($D132,素材!$1:$1002,COLUMN(D$1),FALSE)/100),1),"")</f>
        <v>-1.9000000000000001</v>
      </c>
      <c r="R132">
        <f>IFERROR(ROUNDUP(VLOOKUP($C132,装備品!$1:$998,COLUMN(N$1),FALSE)*(VLOOKUP($D132,素材!$1:$1002,COLUMN(D$1),FALSE)/100),1),"")</f>
        <v>0</v>
      </c>
      <c r="S132">
        <f>IFERROR(VLOOKUP($C132,装備品!$1:$998,COLUMN(P$1),FALSE),"")</f>
        <v>-15</v>
      </c>
      <c r="T132">
        <f>IFERROR(VLOOKUP($C132,装備品!$1:$998,COLUMN(Q$1),FALSE),"")</f>
        <v>0</v>
      </c>
      <c r="U132">
        <f>IFERROR(VLOOKUP($C132,装備品!$1:$998,COLUMN(R$1),FALSE),"")</f>
        <v>0</v>
      </c>
      <c r="V132">
        <f>IFERROR(VLOOKUP($C132,装備品!$1:$998,COLUMN(Q$1),FALSE),"")</f>
        <v>0</v>
      </c>
      <c r="W132">
        <f>IFERROR(VLOOKUP($C132,装備品!$1:$998,COLUMN(T$1),FALSE),"")</f>
        <v>0.5</v>
      </c>
      <c r="Y132">
        <f>IFERROR(VLOOKUP($C132,装備品!$1:$998,COLUMN(U$1),FALSE),"")</f>
        <v>0</v>
      </c>
      <c r="Z132">
        <f>IFERROR(ROUNDUP(VLOOKUP($C132,装備品!$1:$998,COLUMN(O$1),FALSE)*VLOOKUP($D132,素材!$1:$1016,COLUMN(E$1),FALSE),1),"")</f>
        <v>0</v>
      </c>
      <c r="AA132">
        <f>IF(ISNUMBER(SEARCH(SUBSTITUTE(AA$1,RIGHT(AA$1,2),""),VLOOKUP($D132,素材!$1:$1016,COLUMN($F$1),FALSE))),VLOOKUP($C132,装備品!$1:$998,COLUMN($O$1),FALSE)*VLOOKUP($D132,素材!$1:$1016,COLUMN($E$1),FALSE)/(LEN(VLOOKUP($D132,素材!$1:$1016,COLUMN($F$1),FALSE))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IFERROR(VLOOKUP($C132,装備品!$1:$998,COLUMN(V$1),FALSE)*VLOOKUP($D132,素材!$1:$1016,COLUMN(N$1),FALSE)+IF(CI132="",0,VLOOKUP($CI132,付与!$1:$1176,COLUMN($CK$1),FALSE)),"")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IFERROR(VLOOKUP($D133,素材!$1:$1016,COLUMN($B$1),FALSE)&amp;"・"&amp;VLOOKUP($C133,装備品!$1:$998,COLUMN(B$1),FALSE),"")</f>
        <v>ライトレザー・ブーツ</v>
      </c>
      <c r="C133" t="s">
        <v>1280</v>
      </c>
      <c r="D133" s="24" t="s">
        <v>249</v>
      </c>
      <c r="E133" t="str">
        <f>IFERROR(VLOOKUP(C133,装備品!$1:$998,COLUMN(C$1),FALSE),"")</f>
        <v>足</v>
      </c>
      <c r="F133">
        <f>IFERROR(ROUNDDOWN((VLOOKUP($C133,装備品!$1:$998,COLUMN(D$1),FALSE)+IFERROR(VLOOKUP($CI133,付与!$1:$1167,COLUMN(F$1),FALSE),0))*VLOOKUP($D133,素材!$1:$1016,COLUMN(D$1),FALSE),0),"")</f>
        <v>0</v>
      </c>
      <c r="G133">
        <f>IFERROR(ROUNDDOWN((VLOOKUP($C133,装備品!$1:$998,COLUMN(E$1),FALSE)+IFERROR(VLOOKUP($CI133,付与!$1:$1167,COLUMN(G$1),FALSE),0))*VLOOKUP($D133,素材!$1:$1016,COLUMN($E$1),FALSE),0),"")</f>
        <v>0</v>
      </c>
      <c r="H133">
        <f>IFERROR(ROUNDDOWN((VLOOKUP($C133,装備品!$1:$998,COLUMN(F$1),FALSE)+IFERROR(VLOOKUP($CI133,付与!$1:$1167,COLUMN(H$1),FALSE),0))*VLOOKUP($D133,素材!$1:$1016,COLUMN($E$1),FALSE),0),"")</f>
        <v>0</v>
      </c>
      <c r="I133">
        <f>IFERROR(ROUNDDOWN((VLOOKUP($C133,装備品!$1:$998,COLUMN(G$1),FALSE)+IFERROR(VLOOKUP($CI133,付与!$1:$1167,COLUMN(I$1),FALSE),0))*VLOOKUP($D133,素材!$1:$1016,COLUMN($E$1),FALSE),0),"")</f>
        <v>15</v>
      </c>
      <c r="J133">
        <f>IFERROR(ROUNDDOWN((VLOOKUP($C133,装備品!$1:$998,COLUMN(H$1),FALSE)+IFERROR(VLOOKUP($CI133,付与!$1:$1167,COLUMN(J$1),FALSE),0))*VLOOKUP($D133,素材!$1:$1016,COLUMN($E$1),FALSE),0),"")</f>
        <v>0</v>
      </c>
      <c r="K133">
        <f>IFERROR(ROUNDDOWN((VLOOKUP($C133,装備品!$1:$998,COLUMN(I$1),FALSE)+IFERROR(VLOOKUP($CI133,付与!$1:$1167,COLUMN(K$1),FALSE),0))*VLOOKUP($D133,素材!$1:$1016,COLUMN($E$1),FALSE),0),"")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IFERROR(VLOOKUP($C133,装備品!$1:$998,COLUMN(AA$1),FALSE)*VLOOKUP($D133,素材!$1:$1016,COLUMN($G$1),FALSE),"")</f>
        <v/>
      </c>
      <c r="N133">
        <f>IFERROR(VLOOKUP($C133,装備品!$1:$998,COLUMN(I$1),FALSE),"")</f>
        <v>0</v>
      </c>
      <c r="O133" s="23" t="str">
        <f>IFERROR((VLOOKUP($C133,装備品!$1:$998,COLUMN(K$1),FALSE)+VLOOKUP($D133,素材!$1:$1016,COLUMN(H$1),FALSE))*100+IFERROR(VLOOKUP($CI133,付与!$1:$1167,COLUMN(O$1),FALSE),0),"")</f>
        <v/>
      </c>
      <c r="P133" s="23" t="str">
        <f>IFERROR((VLOOKUP($C133,装備品!$1:$998,COLUMN(L$1),FALSE)+VLOOKUP($D133,素材!$1:$1016,COLUMN(I$1),FALSE))*100+IFERROR(VLOOKUP($CI133,付与!$1:$1167,COLUMN(P$1),FALSE),0),"")</f>
        <v/>
      </c>
      <c r="Q133">
        <f>IFERROR(ROUNDUP(VLOOKUP($C133,装備品!$1:$998,COLUMN(M$1),FALSE)*(VLOOKUP($D133,素材!$1:$1002,COLUMN(D$1),FALSE)/100),1),"")</f>
        <v>0</v>
      </c>
      <c r="R133">
        <f>IFERROR(ROUNDUP(VLOOKUP($C133,装備品!$1:$998,COLUMN(N$1),FALSE)*(VLOOKUP($D133,素材!$1:$1002,COLUMN(D$1),FALSE)/100),1),"")</f>
        <v>0</v>
      </c>
      <c r="S133">
        <f>IFERROR(VLOOKUP($C133,装備品!$1:$998,COLUMN(P$1),FALSE),"")</f>
        <v>0</v>
      </c>
      <c r="T133">
        <f>IFERROR(VLOOKUP($C133,装備品!$1:$998,COLUMN(Q$1),FALSE),"")</f>
        <v>0</v>
      </c>
      <c r="U133">
        <f>IFERROR(VLOOKUP($C133,装備品!$1:$998,COLUMN(R$1),FALSE),"")</f>
        <v>0</v>
      </c>
      <c r="V133">
        <f>IFERROR(VLOOKUP($C133,装備品!$1:$998,COLUMN(Q$1),FALSE),"")</f>
        <v>0</v>
      </c>
      <c r="W133">
        <f>IFERROR(VLOOKUP($C133,装備品!$1:$998,COLUMN(T$1),FALSE),"")</f>
        <v>0.15</v>
      </c>
      <c r="Y133">
        <f>IFERROR(VLOOKUP($C133,装備品!$1:$998,COLUMN(U$1),FALSE),"")</f>
        <v>0</v>
      </c>
      <c r="Z133">
        <f>IFERROR(ROUNDUP(VLOOKUP($C133,装備品!$1:$998,COLUMN(O$1),FALSE)*VLOOKUP($D133,素材!$1:$1016,COLUMN(E$1),FALSE),1),"")</f>
        <v>0</v>
      </c>
      <c r="AA133">
        <f>IF(ISNUMBER(SEARCH(SUBSTITUTE(AA$1,RIGHT(AA$1,2),""),VLOOKUP($D133,素材!$1:$1016,COLUMN($F$1),FALSE))),VLOOKUP($C133,装備品!$1:$998,COLUMN($O$1),FALSE)*VLOOKUP($D133,素材!$1:$1016,COLUMN($E$1),FALSE)/(LEN(VLOOKUP($D133,素材!$1:$1016,COLUMN($F$1),FALSE))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IFERROR(VLOOKUP($C133,装備品!$1:$998,COLUMN(V$1),FALSE)*VLOOKUP($D133,素材!$1:$1016,COLUMN(N$1),FALSE)+IF(CI133="",0,VLOOKUP($CI133,付与!$1:$1176,COLUMN($CK$1),FALSE)),"")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IFERROR(VLOOKUP($D134,素材!$1:$1016,COLUMN($B$1),FALSE)&amp;"・"&amp;VLOOKUP($C134,装備品!$1:$998,COLUMN(B$1),FALSE),"")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IFERROR(VLOOKUP(C134,装備品!$1:$998,COLUMN(C$1),FALSE),"")</f>
        <v>頭</v>
      </c>
      <c r="F134">
        <f>IFERROR(ROUNDDOWN((VLOOKUP($C134,装備品!$1:$998,COLUMN(D$1),FALSE)+IFERROR(VLOOKUP($CI134,付与!$1:$1167,COLUMN(F$1),FALSE),0))*VLOOKUP($D134,素材!$1:$1016,COLUMN(D$1),FALSE),0),"")</f>
        <v>0</v>
      </c>
      <c r="G134">
        <f>IFERROR(ROUNDDOWN((VLOOKUP($C134,装備品!$1:$998,COLUMN(E$1),FALSE)+IFERROR(VLOOKUP($CI134,付与!$1:$1167,COLUMN(G$1),FALSE),0))*VLOOKUP($D134,素材!$1:$1016,COLUMN($E$1),FALSE),0),"")</f>
        <v>0</v>
      </c>
      <c r="H134">
        <f>IFERROR(ROUNDDOWN((VLOOKUP($C134,装備品!$1:$998,COLUMN(F$1),FALSE)+IFERROR(VLOOKUP($CI134,付与!$1:$1167,COLUMN(H$1),FALSE),0))*VLOOKUP($D134,素材!$1:$1016,COLUMN($E$1),FALSE),0),"")</f>
        <v>0</v>
      </c>
      <c r="I134">
        <f>IFERROR(ROUNDDOWN((VLOOKUP($C134,装備品!$1:$998,COLUMN(G$1),FALSE)+IFERROR(VLOOKUP($CI134,付与!$1:$1167,COLUMN(I$1),FALSE),0))*VLOOKUP($D134,素材!$1:$1016,COLUMN($E$1),FALSE),0),"")</f>
        <v>0</v>
      </c>
      <c r="J134">
        <f>IFERROR(ROUNDDOWN((VLOOKUP($C134,装備品!$1:$998,COLUMN(H$1),FALSE)+IFERROR(VLOOKUP($CI134,付与!$1:$1167,COLUMN(J$1),FALSE),0))*VLOOKUP($D134,素材!$1:$1016,COLUMN($E$1),FALSE),0),"")</f>
        <v>0</v>
      </c>
      <c r="K134">
        <f>IFERROR(ROUNDDOWN((VLOOKUP($C134,装備品!$1:$998,COLUMN(I$1),FALSE)+IFERROR(VLOOKUP($CI134,付与!$1:$1167,COLUMN(K$1),FALSE),0))*VLOOKUP($D134,素材!$1:$1016,COLUMN($E$1),FALSE),0),"")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IFERROR(VLOOKUP($C134,装備品!$1:$998,COLUMN(AA$1),FALSE)*VLOOKUP($D134,素材!$1:$1016,COLUMN($G$1),FALSE),"")</f>
        <v/>
      </c>
      <c r="N134">
        <f>IFERROR(VLOOKUP($C134,装備品!$1:$998,COLUMN(I$1),FALSE),"")</f>
        <v>0</v>
      </c>
      <c r="O134" s="23" t="str">
        <f>IFERROR((VLOOKUP($C134,装備品!$1:$998,COLUMN(K$1),FALSE)+VLOOKUP($D134,素材!$1:$1016,COLUMN(H$1),FALSE))*100+IFERROR(VLOOKUP($CI134,付与!$1:$1167,COLUMN(O$1),FALSE),0),"")</f>
        <v/>
      </c>
      <c r="P134" s="23" t="str">
        <f>IFERROR((VLOOKUP($C134,装備品!$1:$998,COLUMN(L$1),FALSE)+VLOOKUP($D134,素材!$1:$1016,COLUMN(I$1),FALSE))*100+IFERROR(VLOOKUP($CI134,付与!$1:$1167,COLUMN(P$1),FALSE),0),"")</f>
        <v/>
      </c>
      <c r="Q134">
        <f>IFERROR(ROUNDUP(VLOOKUP($C134,装備品!$1:$998,COLUMN(M$1),FALSE)*(VLOOKUP($D134,素材!$1:$1002,COLUMN(D$1),FALSE)/100),1),"")</f>
        <v>0</v>
      </c>
      <c r="R134">
        <f>IFERROR(ROUNDUP(VLOOKUP($C134,装備品!$1:$998,COLUMN(N$1),FALSE)*(VLOOKUP($D134,素材!$1:$1002,COLUMN(D$1),FALSE)/100),1),"")</f>
        <v>0</v>
      </c>
      <c r="S134">
        <f>IFERROR(VLOOKUP($C134,装備品!$1:$998,COLUMN(P$1),FALSE),"")</f>
        <v>0</v>
      </c>
      <c r="T134">
        <f>IFERROR(VLOOKUP($C134,装備品!$1:$998,COLUMN(Q$1),FALSE),"")</f>
        <v>0</v>
      </c>
      <c r="U134">
        <f>IFERROR(VLOOKUP($C134,装備品!$1:$998,COLUMN(R$1),FALSE),"")</f>
        <v>0</v>
      </c>
      <c r="V134">
        <f>IFERROR(VLOOKUP($C134,装備品!$1:$998,COLUMN(Q$1),FALSE),"")</f>
        <v>0</v>
      </c>
      <c r="W134">
        <f>IFERROR(VLOOKUP($C134,装備品!$1:$998,COLUMN(T$1),FALSE),"")</f>
        <v>0.1</v>
      </c>
      <c r="Y134">
        <f>IFERROR(VLOOKUP($C134,装備品!$1:$998,COLUMN(U$1),FALSE),"")</f>
        <v>0</v>
      </c>
      <c r="Z134">
        <f>IFERROR(ROUNDUP(VLOOKUP($C134,装備品!$1:$998,COLUMN(O$1),FALSE)*VLOOKUP($D134,素材!$1:$1016,COLUMN(E$1),FALSE),1),"")</f>
        <v>0</v>
      </c>
      <c r="AA134">
        <f>IF(ISNUMBER(SEARCH(SUBSTITUTE(AA$1,RIGHT(AA$1,2),""),VLOOKUP($D134,素材!$1:$1016,COLUMN($F$1),FALSE))),VLOOKUP($C134,装備品!$1:$998,COLUMN($O$1),FALSE)*VLOOKUP($D134,素材!$1:$1016,COLUMN($E$1),FALSE)/(LEN(VLOOKUP($D134,素材!$1:$1016,COLUMN($F$1),FALSE))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IFERROR(VLOOKUP($C134,装備品!$1:$998,COLUMN(V$1),FALSE)*VLOOKUP($D134,素材!$1:$1016,COLUMN(N$1),FALSE)+IF(CI134="",0,VLOOKUP($CI134,付与!$1:$1176,COLUMN($CK$1),FALSE)),"")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IFERROR(VLOOKUP($D135,素材!$1:$1016,COLUMN($B$1),FALSE)&amp;"・"&amp;VLOOKUP($C135,装備品!$1:$998,COLUMN(B$1),FALSE),"")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IFERROR(VLOOKUP(C135,装備品!$1:$998,COLUMN(C$1),FALSE),"")</f>
        <v>体</v>
      </c>
      <c r="F135">
        <f>IFERROR(ROUNDDOWN((VLOOKUP($C135,装備品!$1:$998,COLUMN(D$1),FALSE)+IFERROR(VLOOKUP($CI135,付与!$1:$1167,COLUMN(F$1),FALSE),0))*VLOOKUP($D135,素材!$1:$1016,COLUMN(D$1),FALSE),0),"")</f>
        <v>0</v>
      </c>
      <c r="G135">
        <f>IFERROR(ROUNDDOWN((VLOOKUP($C135,装備品!$1:$998,COLUMN(E$1),FALSE)+IFERROR(VLOOKUP($CI135,付与!$1:$1167,COLUMN(G$1),FALSE),0))*VLOOKUP($D135,素材!$1:$1016,COLUMN($E$1),FALSE),0),"")</f>
        <v>0</v>
      </c>
      <c r="H135">
        <f>IFERROR(ROUNDDOWN((VLOOKUP($C135,装備品!$1:$998,COLUMN(F$1),FALSE)+IFERROR(VLOOKUP($CI135,付与!$1:$1167,COLUMN(H$1),FALSE),0))*VLOOKUP($D135,素材!$1:$1016,COLUMN($E$1),FALSE),0),"")</f>
        <v>0</v>
      </c>
      <c r="I135">
        <f>IFERROR(ROUNDDOWN((VLOOKUP($C135,装備品!$1:$998,COLUMN(G$1),FALSE)+IFERROR(VLOOKUP($CI135,付与!$1:$1167,COLUMN(I$1),FALSE),0))*VLOOKUP($D135,素材!$1:$1016,COLUMN($E$1),FALSE),0),"")</f>
        <v>0</v>
      </c>
      <c r="J135">
        <f>IFERROR(ROUNDDOWN((VLOOKUP($C135,装備品!$1:$998,COLUMN(H$1),FALSE)+IFERROR(VLOOKUP($CI135,付与!$1:$1167,COLUMN(J$1),FALSE),0))*VLOOKUP($D135,素材!$1:$1016,COLUMN($E$1),FALSE),0),"")</f>
        <v>0</v>
      </c>
      <c r="K135">
        <f>IFERROR(ROUNDDOWN((VLOOKUP($C135,装備品!$1:$998,COLUMN(I$1),FALSE)+IFERROR(VLOOKUP($CI135,付与!$1:$1167,COLUMN(K$1),FALSE),0))*VLOOKUP($D135,素材!$1:$1016,COLUMN($E$1),FALSE),0),"")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IFERROR(VLOOKUP($C135,装備品!$1:$998,COLUMN(AA$1),FALSE)*VLOOKUP($D135,素材!$1:$1016,COLUMN($G$1),FALSE),"")</f>
        <v/>
      </c>
      <c r="N135">
        <f>IFERROR(VLOOKUP($C135,装備品!$1:$998,COLUMN(I$1),FALSE),"")</f>
        <v>0</v>
      </c>
      <c r="O135" s="23" t="str">
        <f>IFERROR((VLOOKUP($C135,装備品!$1:$998,COLUMN(K$1),FALSE)+VLOOKUP($D135,素材!$1:$1016,COLUMN(H$1),FALSE))*100+IFERROR(VLOOKUP($CI135,付与!$1:$1167,COLUMN(O$1),FALSE),0),"")</f>
        <v/>
      </c>
      <c r="P135" s="23" t="str">
        <f>IFERROR((VLOOKUP($C135,装備品!$1:$998,COLUMN(L$1),FALSE)+VLOOKUP($D135,素材!$1:$1016,COLUMN(I$1),FALSE))*100+IFERROR(VLOOKUP($CI135,付与!$1:$1167,COLUMN(P$1),FALSE),0),"")</f>
        <v/>
      </c>
      <c r="Q135">
        <f>IFERROR(ROUNDUP(VLOOKUP($C135,装備品!$1:$998,COLUMN(M$1),FALSE)*(VLOOKUP($D135,素材!$1:$1002,COLUMN(D$1),FALSE)/100),1),"")</f>
        <v>0</v>
      </c>
      <c r="R135">
        <f>IFERROR(ROUNDUP(VLOOKUP($C135,装備品!$1:$998,COLUMN(N$1),FALSE)*(VLOOKUP($D135,素材!$1:$1002,COLUMN(D$1),FALSE)/100),1),"")</f>
        <v>0</v>
      </c>
      <c r="S135">
        <f>IFERROR(VLOOKUP($C135,装備品!$1:$998,COLUMN(P$1),FALSE),"")</f>
        <v>0</v>
      </c>
      <c r="T135">
        <f>IFERROR(VLOOKUP($C135,装備品!$1:$998,COLUMN(Q$1),FALSE),"")</f>
        <v>0</v>
      </c>
      <c r="U135">
        <f>IFERROR(VLOOKUP($C135,装備品!$1:$998,COLUMN(R$1),FALSE),"")</f>
        <v>0</v>
      </c>
      <c r="V135">
        <f>IFERROR(VLOOKUP($C135,装備品!$1:$998,COLUMN(Q$1),FALSE),"")</f>
        <v>0</v>
      </c>
      <c r="W135">
        <f>IFERROR(VLOOKUP($C135,装備品!$1:$998,COLUMN(T$1),FALSE),"")</f>
        <v>0.3</v>
      </c>
      <c r="Y135">
        <f>IFERROR(VLOOKUP($C135,装備品!$1:$998,COLUMN(U$1),FALSE),"")</f>
        <v>0</v>
      </c>
      <c r="Z135">
        <f>IFERROR(ROUNDUP(VLOOKUP($C135,装備品!$1:$998,COLUMN(O$1),FALSE)*VLOOKUP($D135,素材!$1:$1016,COLUMN(E$1),FALSE),1),"")</f>
        <v>0</v>
      </c>
      <c r="AA135">
        <f>IF(ISNUMBER(SEARCH(SUBSTITUTE(AA$1,RIGHT(AA$1,2),""),VLOOKUP($D135,素材!$1:$1016,COLUMN($F$1),FALSE))),VLOOKUP($C135,装備品!$1:$998,COLUMN($O$1),FALSE)*VLOOKUP($D135,素材!$1:$1016,COLUMN($E$1),FALSE)/(LEN(VLOOKUP($D135,素材!$1:$1016,COLUMN($F$1),FALSE))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IFERROR(VLOOKUP($C135,装備品!$1:$998,COLUMN(V$1),FALSE)*VLOOKUP($D135,素材!$1:$1016,COLUMN(N$1),FALSE)+IF(CI135="",0,VLOOKUP($CI135,付与!$1:$1176,COLUMN($CK$1),FALSE)),"")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IFERROR(VLOOKUP($D136,素材!$1:$1016,COLUMN($B$1),FALSE)&amp;"・"&amp;VLOOKUP($C136,装備品!$1:$998,COLUMN(B$1),FALSE),"")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IFERROR(VLOOKUP(C136,装備品!$1:$998,COLUMN(C$1),FALSE),"")</f>
        <v>体</v>
      </c>
      <c r="F136">
        <f>IFERROR(ROUNDDOWN((VLOOKUP($C136,装備品!$1:$998,COLUMN(D$1),FALSE)+IFERROR(VLOOKUP($CI136,付与!$1:$1167,COLUMN(F$1),FALSE),0))*VLOOKUP($D136,素材!$1:$1016,COLUMN(D$1),FALSE),0),"")</f>
        <v>0</v>
      </c>
      <c r="G136">
        <f>IFERROR(ROUNDDOWN((VLOOKUP($C136,装備品!$1:$998,COLUMN(E$1),FALSE)+IFERROR(VLOOKUP($CI136,付与!$1:$1167,COLUMN(G$1),FALSE),0))*VLOOKUP($D136,素材!$1:$1016,COLUMN($E$1),FALSE),0),"")</f>
        <v>0</v>
      </c>
      <c r="H136">
        <f>IFERROR(ROUNDDOWN((VLOOKUP($C136,装備品!$1:$998,COLUMN(F$1),FALSE)+IFERROR(VLOOKUP($CI136,付与!$1:$1167,COLUMN(H$1),FALSE),0))*VLOOKUP($D136,素材!$1:$1016,COLUMN($E$1),FALSE),0),"")</f>
        <v>0</v>
      </c>
      <c r="I136">
        <f>IFERROR(ROUNDDOWN((VLOOKUP($C136,装備品!$1:$998,COLUMN(G$1),FALSE)+IFERROR(VLOOKUP($CI136,付与!$1:$1167,COLUMN(I$1),FALSE),0))*VLOOKUP($D136,素材!$1:$1016,COLUMN($E$1),FALSE),0),"")</f>
        <v>0</v>
      </c>
      <c r="J136">
        <f>IFERROR(ROUNDDOWN((VLOOKUP($C136,装備品!$1:$998,COLUMN(H$1),FALSE)+IFERROR(VLOOKUP($CI136,付与!$1:$1167,COLUMN(J$1),FALSE),0))*VLOOKUP($D136,素材!$1:$1016,COLUMN($E$1),FALSE),0),"")</f>
        <v>0</v>
      </c>
      <c r="K136">
        <f>IFERROR(ROUNDDOWN((VLOOKUP($C136,装備品!$1:$998,COLUMN(I$1),FALSE)+IFERROR(VLOOKUP($CI136,付与!$1:$1167,COLUMN(K$1),FALSE),0))*VLOOKUP($D136,素材!$1:$1016,COLUMN($E$1),FALSE),0),"")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IFERROR(VLOOKUP($C136,装備品!$1:$998,COLUMN(AA$1),FALSE)*VLOOKUP($D136,素材!$1:$1016,COLUMN($G$1),FALSE),"")</f>
        <v/>
      </c>
      <c r="N136">
        <f>IFERROR(VLOOKUP($C136,装備品!$1:$998,COLUMN(I$1),FALSE),"")</f>
        <v>0</v>
      </c>
      <c r="O136" s="23" t="str">
        <f>IFERROR((VLOOKUP($C136,装備品!$1:$998,COLUMN(K$1),FALSE)+VLOOKUP($D136,素材!$1:$1016,COLUMN(H$1),FALSE))*100+IFERROR(VLOOKUP($CI136,付与!$1:$1167,COLUMN(O$1),FALSE),0),"")</f>
        <v/>
      </c>
      <c r="P136" s="23" t="str">
        <f>IFERROR((VLOOKUP($C136,装備品!$1:$998,COLUMN(L$1),FALSE)+VLOOKUP($D136,素材!$1:$1016,COLUMN(I$1),FALSE))*100+IFERROR(VLOOKUP($CI136,付与!$1:$1167,COLUMN(P$1),FALSE),0),"")</f>
        <v/>
      </c>
      <c r="Q136">
        <f>IFERROR(ROUNDUP(VLOOKUP($C136,装備品!$1:$998,COLUMN(M$1),FALSE)*(VLOOKUP($D136,素材!$1:$1002,COLUMN(D$1),FALSE)/100),1),"")</f>
        <v>0</v>
      </c>
      <c r="R136">
        <f>IFERROR(ROUNDUP(VLOOKUP($C136,装備品!$1:$998,COLUMN(N$1),FALSE)*(VLOOKUP($D136,素材!$1:$1002,COLUMN(D$1),FALSE)/100),1),"")</f>
        <v>0</v>
      </c>
      <c r="S136">
        <f>IFERROR(VLOOKUP($C136,装備品!$1:$998,COLUMN(P$1),FALSE),"")</f>
        <v>0</v>
      </c>
      <c r="T136">
        <f>IFERROR(VLOOKUP($C136,装備品!$1:$998,COLUMN(Q$1),FALSE),"")</f>
        <v>0</v>
      </c>
      <c r="U136">
        <f>IFERROR(VLOOKUP($C136,装備品!$1:$998,COLUMN(R$1),FALSE),"")</f>
        <v>0</v>
      </c>
      <c r="V136">
        <f>IFERROR(VLOOKUP($C136,装備品!$1:$998,COLUMN(Q$1),FALSE),"")</f>
        <v>0</v>
      </c>
      <c r="W136">
        <f>IFERROR(VLOOKUP($C136,装備品!$1:$998,COLUMN(T$1),FALSE),"")</f>
        <v>0.2</v>
      </c>
      <c r="Y136">
        <f>IFERROR(VLOOKUP($C136,装備品!$1:$998,COLUMN(U$1),FALSE),"")</f>
        <v>0</v>
      </c>
      <c r="Z136">
        <f>IFERROR(ROUNDUP(VLOOKUP($C136,装備品!$1:$998,COLUMN(O$1),FALSE)*VLOOKUP($D136,素材!$1:$1016,COLUMN(E$1),FALSE),1),"")</f>
        <v>0</v>
      </c>
      <c r="AA136">
        <f>IF(ISNUMBER(SEARCH(SUBSTITUTE(AA$1,RIGHT(AA$1,2),""),VLOOKUP($D136,素材!$1:$1016,COLUMN($F$1),FALSE))),VLOOKUP($C136,装備品!$1:$998,COLUMN($O$1),FALSE)*VLOOKUP($D136,素材!$1:$1016,COLUMN($E$1),FALSE)/(LEN(VLOOKUP($D136,素材!$1:$1016,COLUMN($F$1),FALSE))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IFERROR(VLOOKUP($C136,装備品!$1:$998,COLUMN(V$1),FALSE)*VLOOKUP($D136,素材!$1:$1016,COLUMN(N$1),FALSE)+IF(CI136="",0,VLOOKUP($CI136,付与!$1:$1176,COLUMN($CK$1),FALSE)),"")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IFERROR(VLOOKUP($D137,素材!$1:$1016,COLUMN($B$1),FALSE)&amp;"・"&amp;VLOOKUP($C137,装備品!$1:$998,COLUMN(B$1),FALSE),"")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IFERROR(VLOOKUP(C137,装備品!$1:$998,COLUMN(C$1),FALSE),"")</f>
        <v>体</v>
      </c>
      <c r="F137">
        <f>IFERROR(ROUNDDOWN((VLOOKUP($C137,装備品!$1:$998,COLUMN(D$1),FALSE)+IFERROR(VLOOKUP($CI137,付与!$1:$1167,COLUMN(F$1),FALSE),0))*VLOOKUP($D137,素材!$1:$1016,COLUMN(D$1),FALSE),0),"")</f>
        <v>0</v>
      </c>
      <c r="G137">
        <f>IFERROR(ROUNDDOWN((VLOOKUP($C137,装備品!$1:$998,COLUMN(E$1),FALSE)+IFERROR(VLOOKUP($CI137,付与!$1:$1167,COLUMN(G$1),FALSE),0))*VLOOKUP($D137,素材!$1:$1016,COLUMN($E$1),FALSE),0),"")</f>
        <v>0</v>
      </c>
      <c r="H137">
        <f>IFERROR(ROUNDDOWN((VLOOKUP($C137,装備品!$1:$998,COLUMN(F$1),FALSE)+IFERROR(VLOOKUP($CI137,付与!$1:$1167,COLUMN(H$1),FALSE),0))*VLOOKUP($D137,素材!$1:$1016,COLUMN($E$1),FALSE),0),"")</f>
        <v>0</v>
      </c>
      <c r="I137">
        <f>IFERROR(ROUNDDOWN((VLOOKUP($C137,装備品!$1:$998,COLUMN(G$1),FALSE)+IFERROR(VLOOKUP($CI137,付与!$1:$1167,COLUMN(I$1),FALSE),0))*VLOOKUP($D137,素材!$1:$1016,COLUMN($E$1),FALSE),0),"")</f>
        <v>0</v>
      </c>
      <c r="J137">
        <f>IFERROR(ROUNDDOWN((VLOOKUP($C137,装備品!$1:$998,COLUMN(H$1),FALSE)+IFERROR(VLOOKUP($CI137,付与!$1:$1167,COLUMN(J$1),FALSE),0))*VLOOKUP($D137,素材!$1:$1016,COLUMN($E$1),FALSE),0),"")</f>
        <v>0</v>
      </c>
      <c r="K137">
        <f>IFERROR(ROUNDDOWN((VLOOKUP($C137,装備品!$1:$998,COLUMN(I$1),FALSE)+IFERROR(VLOOKUP($CI137,付与!$1:$1167,COLUMN(K$1),FALSE),0))*VLOOKUP($D137,素材!$1:$1016,COLUMN($E$1),FALSE),0),"")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IFERROR(VLOOKUP($C137,装備品!$1:$998,COLUMN(AA$1),FALSE)*VLOOKUP($D137,素材!$1:$1016,COLUMN($G$1),FALSE),"")</f>
        <v/>
      </c>
      <c r="N137">
        <f>IFERROR(VLOOKUP($C137,装備品!$1:$998,COLUMN(I$1),FALSE),"")</f>
        <v>0</v>
      </c>
      <c r="O137" s="23" t="str">
        <f>IFERROR((VLOOKUP($C137,装備品!$1:$998,COLUMN(K$1),FALSE)+VLOOKUP($D137,素材!$1:$1016,COLUMN(H$1),FALSE))*100+IFERROR(VLOOKUP($CI137,付与!$1:$1167,COLUMN(O$1),FALSE),0),"")</f>
        <v/>
      </c>
      <c r="P137" s="23" t="str">
        <f>IFERROR((VLOOKUP($C137,装備品!$1:$998,COLUMN(L$1),FALSE)+VLOOKUP($D137,素材!$1:$1016,COLUMN(I$1),FALSE))*100+IFERROR(VLOOKUP($CI137,付与!$1:$1167,COLUMN(P$1),FALSE),0),"")</f>
        <v/>
      </c>
      <c r="Q137">
        <f>IFERROR(ROUNDUP(VLOOKUP($C137,装備品!$1:$998,COLUMN(M$1),FALSE)*(VLOOKUP($D137,素材!$1:$1002,COLUMN(D$1),FALSE)/100),1),"")</f>
        <v>-11.299999999999999</v>
      </c>
      <c r="R137">
        <f>IFERROR(ROUNDUP(VLOOKUP($C137,装備品!$1:$998,COLUMN(N$1),FALSE)*(VLOOKUP($D137,素材!$1:$1002,COLUMN(D$1),FALSE)/100),1),"")</f>
        <v>0</v>
      </c>
      <c r="S137">
        <f>IFERROR(VLOOKUP($C137,装備品!$1:$998,COLUMN(P$1),FALSE),"")</f>
        <v>-35</v>
      </c>
      <c r="T137">
        <f>IFERROR(VLOOKUP($C137,装備品!$1:$998,COLUMN(Q$1),FALSE),"")</f>
        <v>0</v>
      </c>
      <c r="U137">
        <f>IFERROR(VLOOKUP($C137,装備品!$1:$998,COLUMN(R$1),FALSE),"")</f>
        <v>0</v>
      </c>
      <c r="V137">
        <f>IFERROR(VLOOKUP($C137,装備品!$1:$998,COLUMN(Q$1),FALSE),"")</f>
        <v>0</v>
      </c>
      <c r="W137">
        <f>IFERROR(VLOOKUP($C137,装備品!$1:$998,COLUMN(T$1),FALSE),"")</f>
        <v>0.7</v>
      </c>
      <c r="Y137">
        <f>IFERROR(VLOOKUP($C137,装備品!$1:$998,COLUMN(U$1),FALSE),"")</f>
        <v>0</v>
      </c>
      <c r="Z137">
        <f>IFERROR(ROUNDUP(VLOOKUP($C137,装備品!$1:$998,COLUMN(O$1),FALSE)*VLOOKUP($D137,素材!$1:$1016,COLUMN(E$1),FALSE),1),"")</f>
        <v>0</v>
      </c>
      <c r="AA137">
        <f>IF(ISNUMBER(SEARCH(SUBSTITUTE(AA$1,RIGHT(AA$1,2),""),VLOOKUP($D137,素材!$1:$1016,COLUMN($F$1),FALSE))),VLOOKUP($C137,装備品!$1:$998,COLUMN($O$1),FALSE)*VLOOKUP($D137,素材!$1:$1016,COLUMN($E$1),FALSE)/(LEN(VLOOKUP($D137,素材!$1:$1016,COLUMN($F$1),FALSE))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IFERROR(VLOOKUP($C137,装備品!$1:$998,COLUMN(V$1),FALSE)*VLOOKUP($D137,素材!$1:$1016,COLUMN(N$1),FALSE)+IF(CI137="",0,VLOOKUP($CI137,付与!$1:$1176,COLUMN($CK$1),FALSE)),"")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IFERROR(VLOOKUP($D138,素材!$1:$1016,COLUMN($B$1),FALSE)&amp;"・"&amp;VLOOKUP($C138,装備品!$1:$998,COLUMN(B$1),FALSE),"")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IFERROR(VLOOKUP(C138,装備品!$1:$998,COLUMN(C$1),FALSE),"")</f>
        <v>体</v>
      </c>
      <c r="F138">
        <f>IFERROR(ROUNDDOWN((VLOOKUP($C138,装備品!$1:$998,COLUMN(D$1),FALSE)+IFERROR(VLOOKUP($CI138,付与!$1:$1167,COLUMN(F$1),FALSE),0))*VLOOKUP($D138,素材!$1:$1016,COLUMN(D$1),FALSE),0),"")</f>
        <v>0</v>
      </c>
      <c r="G138">
        <f>IFERROR(ROUNDDOWN((VLOOKUP($C138,装備品!$1:$998,COLUMN(E$1),FALSE)+IFERROR(VLOOKUP($CI138,付与!$1:$1167,COLUMN(G$1),FALSE),0))*VLOOKUP($D138,素材!$1:$1016,COLUMN($E$1),FALSE),0),"")</f>
        <v>0</v>
      </c>
      <c r="H138">
        <f>IFERROR(ROUNDDOWN((VLOOKUP($C138,装備品!$1:$998,COLUMN(F$1),FALSE)+IFERROR(VLOOKUP($CI138,付与!$1:$1167,COLUMN(H$1),FALSE),0))*VLOOKUP($D138,素材!$1:$1016,COLUMN($E$1),FALSE),0),"")</f>
        <v>0</v>
      </c>
      <c r="I138">
        <f>IFERROR(ROUNDDOWN((VLOOKUP($C138,装備品!$1:$998,COLUMN(G$1),FALSE)+IFERROR(VLOOKUP($CI138,付与!$1:$1167,COLUMN(I$1),FALSE),0))*VLOOKUP($D138,素材!$1:$1016,COLUMN($E$1),FALSE),0),"")</f>
        <v>0</v>
      </c>
      <c r="J138">
        <f>IFERROR(ROUNDDOWN((VLOOKUP($C138,装備品!$1:$998,COLUMN(H$1),FALSE)+IFERROR(VLOOKUP($CI138,付与!$1:$1167,COLUMN(J$1),FALSE),0))*VLOOKUP($D138,素材!$1:$1016,COLUMN($E$1),FALSE),0),"")</f>
        <v>0</v>
      </c>
      <c r="K138">
        <f>IFERROR(ROUNDDOWN((VLOOKUP($C138,装備品!$1:$998,COLUMN(I$1),FALSE)+IFERROR(VLOOKUP($CI138,付与!$1:$1167,COLUMN(K$1),FALSE),0))*VLOOKUP($D138,素材!$1:$1016,COLUMN($E$1),FALSE),0),"")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IFERROR(VLOOKUP($C138,装備品!$1:$998,COLUMN(AA$1),FALSE)*VLOOKUP($D138,素材!$1:$1016,COLUMN($G$1),FALSE),"")</f>
        <v/>
      </c>
      <c r="N138">
        <f>IFERROR(VLOOKUP($C138,装備品!$1:$998,COLUMN(I$1),FALSE),"")</f>
        <v>0</v>
      </c>
      <c r="O138" s="23" t="str">
        <f>IFERROR((VLOOKUP($C138,装備品!$1:$998,COLUMN(K$1),FALSE)+VLOOKUP($D138,素材!$1:$1016,COLUMN(H$1),FALSE))*100+IFERROR(VLOOKUP($CI138,付与!$1:$1167,COLUMN(O$1),FALSE),0),"")</f>
        <v/>
      </c>
      <c r="P138" s="23" t="str">
        <f>IFERROR((VLOOKUP($C138,装備品!$1:$998,COLUMN(L$1),FALSE)+VLOOKUP($D138,素材!$1:$1016,COLUMN(I$1),FALSE))*100+IFERROR(VLOOKUP($CI138,付与!$1:$1167,COLUMN(P$1),FALSE),0),"")</f>
        <v/>
      </c>
      <c r="Q138">
        <f>IFERROR(ROUNDUP(VLOOKUP($C138,装備品!$1:$998,COLUMN(M$1),FALSE)*(VLOOKUP($D138,素材!$1:$1002,COLUMN(D$1),FALSE)/100),1),"")</f>
        <v>-5.6999999999999993</v>
      </c>
      <c r="R138">
        <f>IFERROR(ROUNDUP(VLOOKUP($C138,装備品!$1:$998,COLUMN(N$1),FALSE)*(VLOOKUP($D138,素材!$1:$1002,COLUMN(D$1),FALSE)/100),1),"")</f>
        <v>0</v>
      </c>
      <c r="S138">
        <f>IFERROR(VLOOKUP($C138,装備品!$1:$998,COLUMN(P$1),FALSE),"")</f>
        <v>-15</v>
      </c>
      <c r="T138">
        <f>IFERROR(VLOOKUP($C138,装備品!$1:$998,COLUMN(Q$1),FALSE),"")</f>
        <v>0</v>
      </c>
      <c r="U138">
        <f>IFERROR(VLOOKUP($C138,装備品!$1:$998,COLUMN(R$1),FALSE),"")</f>
        <v>0</v>
      </c>
      <c r="V138">
        <f>IFERROR(VLOOKUP($C138,装備品!$1:$998,COLUMN(Q$1),FALSE),"")</f>
        <v>0</v>
      </c>
      <c r="W138">
        <f>IFERROR(VLOOKUP($C138,装備品!$1:$998,COLUMN(T$1),FALSE),"")</f>
        <v>0.5</v>
      </c>
      <c r="Y138">
        <f>IFERROR(VLOOKUP($C138,装備品!$1:$998,COLUMN(U$1),FALSE),"")</f>
        <v>0</v>
      </c>
      <c r="Z138">
        <f>IFERROR(ROUNDUP(VLOOKUP($C138,装備品!$1:$998,COLUMN(O$1),FALSE)*VLOOKUP($D138,素材!$1:$1016,COLUMN(E$1),FALSE),1),"")</f>
        <v>0</v>
      </c>
      <c r="AA138">
        <f>IF(ISNUMBER(SEARCH(SUBSTITUTE(AA$1,RIGHT(AA$1,2),""),VLOOKUP($D138,素材!$1:$1016,COLUMN($F$1),FALSE))),VLOOKUP($C138,装備品!$1:$998,COLUMN($O$1),FALSE)*VLOOKUP($D138,素材!$1:$1016,COLUMN($E$1),FALSE)/(LEN(VLOOKUP($D138,素材!$1:$1016,COLUMN($F$1),FALSE))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IFERROR(VLOOKUP($C138,装備品!$1:$998,COLUMN(V$1),FALSE)*VLOOKUP($D138,素材!$1:$1016,COLUMN(N$1),FALSE)+IF(CI138="",0,VLOOKUP($CI138,付与!$1:$1176,COLUMN($CK$1),FALSE)),"")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IFERROR(VLOOKUP($D139,素材!$1:$1016,COLUMN($B$1),FALSE)&amp;"・"&amp;VLOOKUP($C139,装備品!$1:$998,COLUMN(B$1),FALSE),"")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IFERROR(VLOOKUP(C139,装備品!$1:$998,COLUMN(C$1),FALSE),"")</f>
        <v>足</v>
      </c>
      <c r="F139">
        <f>IFERROR(ROUNDDOWN((VLOOKUP($C139,装備品!$1:$998,COLUMN(D$1),FALSE)+IFERROR(VLOOKUP($CI139,付与!$1:$1167,COLUMN(F$1),FALSE),0))*VLOOKUP($D139,素材!$1:$1016,COLUMN(D$1),FALSE),0),"")</f>
        <v>0</v>
      </c>
      <c r="G139">
        <f>IFERROR(ROUNDDOWN((VLOOKUP($C139,装備品!$1:$998,COLUMN(E$1),FALSE)+IFERROR(VLOOKUP($CI139,付与!$1:$1167,COLUMN(G$1),FALSE),0))*VLOOKUP($D139,素材!$1:$1016,COLUMN($E$1),FALSE),0),"")</f>
        <v>0</v>
      </c>
      <c r="H139">
        <f>IFERROR(ROUNDDOWN((VLOOKUP($C139,装備品!$1:$998,COLUMN(F$1),FALSE)+IFERROR(VLOOKUP($CI139,付与!$1:$1167,COLUMN(H$1),FALSE),0))*VLOOKUP($D139,素材!$1:$1016,COLUMN($E$1),FALSE),0),"")</f>
        <v>0</v>
      </c>
      <c r="I139">
        <f>IFERROR(ROUNDDOWN((VLOOKUP($C139,装備品!$1:$998,COLUMN(G$1),FALSE)+IFERROR(VLOOKUP($CI139,付与!$1:$1167,COLUMN(I$1),FALSE),0))*VLOOKUP($D139,素材!$1:$1016,COLUMN($E$1),FALSE),0),"")</f>
        <v>15</v>
      </c>
      <c r="J139">
        <f>IFERROR(ROUNDDOWN((VLOOKUP($C139,装備品!$1:$998,COLUMN(H$1),FALSE)+IFERROR(VLOOKUP($CI139,付与!$1:$1167,COLUMN(J$1),FALSE),0))*VLOOKUP($D139,素材!$1:$1016,COLUMN($E$1),FALSE),0),"")</f>
        <v>0</v>
      </c>
      <c r="K139">
        <f>IFERROR(ROUNDDOWN((VLOOKUP($C139,装備品!$1:$998,COLUMN(I$1),FALSE)+IFERROR(VLOOKUP($CI139,付与!$1:$1167,COLUMN(K$1),FALSE),0))*VLOOKUP($D139,素材!$1:$1016,COLUMN($E$1),FALSE),0),"")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IFERROR(VLOOKUP($C139,装備品!$1:$998,COLUMN(AA$1),FALSE)*VLOOKUP($D139,素材!$1:$1016,COLUMN($G$1),FALSE),"")</f>
        <v/>
      </c>
      <c r="N139">
        <f>IFERROR(VLOOKUP($C139,装備品!$1:$998,COLUMN(I$1),FALSE),"")</f>
        <v>0</v>
      </c>
      <c r="O139" s="23" t="str">
        <f>IFERROR((VLOOKUP($C139,装備品!$1:$998,COLUMN(K$1),FALSE)+VLOOKUP($D139,素材!$1:$1016,COLUMN(H$1),FALSE))*100+IFERROR(VLOOKUP($CI139,付与!$1:$1167,COLUMN(O$1),FALSE),0),"")</f>
        <v/>
      </c>
      <c r="P139" s="23" t="str">
        <f>IFERROR((VLOOKUP($C139,装備品!$1:$998,COLUMN(L$1),FALSE)+VLOOKUP($D139,素材!$1:$1016,COLUMN(I$1),FALSE))*100+IFERROR(VLOOKUP($CI139,付与!$1:$1167,COLUMN(P$1),FALSE),0),"")</f>
        <v/>
      </c>
      <c r="Q139">
        <f>IFERROR(ROUNDUP(VLOOKUP($C139,装備品!$1:$998,COLUMN(M$1),FALSE)*(VLOOKUP($D139,素材!$1:$1002,COLUMN(D$1),FALSE)/100),1),"")</f>
        <v>0</v>
      </c>
      <c r="R139">
        <f>IFERROR(ROUNDUP(VLOOKUP($C139,装備品!$1:$998,COLUMN(N$1),FALSE)*(VLOOKUP($D139,素材!$1:$1002,COLUMN(D$1),FALSE)/100),1),"")</f>
        <v>0</v>
      </c>
      <c r="S139">
        <f>IFERROR(VLOOKUP($C139,装備品!$1:$998,COLUMN(P$1),FALSE),"")</f>
        <v>0</v>
      </c>
      <c r="T139">
        <f>IFERROR(VLOOKUP($C139,装備品!$1:$998,COLUMN(Q$1),FALSE),"")</f>
        <v>0</v>
      </c>
      <c r="U139">
        <f>IFERROR(VLOOKUP($C139,装備品!$1:$998,COLUMN(R$1),FALSE),"")</f>
        <v>0</v>
      </c>
      <c r="V139">
        <f>IFERROR(VLOOKUP($C139,装備品!$1:$998,COLUMN(Q$1),FALSE),"")</f>
        <v>0</v>
      </c>
      <c r="W139">
        <f>IFERROR(VLOOKUP($C139,装備品!$1:$998,COLUMN(T$1),FALSE),"")</f>
        <v>0.15</v>
      </c>
      <c r="Y139">
        <f>IFERROR(VLOOKUP($C139,装備品!$1:$998,COLUMN(U$1),FALSE),"")</f>
        <v>0</v>
      </c>
      <c r="Z139">
        <f>IFERROR(ROUNDUP(VLOOKUP($C139,装備品!$1:$998,COLUMN(O$1),FALSE)*VLOOKUP($D139,素材!$1:$1016,COLUMN(E$1),FALSE),1),"")</f>
        <v>0</v>
      </c>
      <c r="AA139">
        <f>IF(ISNUMBER(SEARCH(SUBSTITUTE(AA$1,RIGHT(AA$1,2),""),VLOOKUP($D139,素材!$1:$1016,COLUMN($F$1),FALSE))),VLOOKUP($C139,装備品!$1:$998,COLUMN($O$1),FALSE)*VLOOKUP($D139,素材!$1:$1016,COLUMN($E$1),FALSE)/(LEN(VLOOKUP($D139,素材!$1:$1016,COLUMN($F$1),FALSE))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IFERROR(VLOOKUP($C139,装備品!$1:$998,COLUMN(V$1),FALSE)*VLOOKUP($D139,素材!$1:$1016,COLUMN(N$1),FALSE)+IF(CI139="",0,VLOOKUP($CI139,付与!$1:$1176,COLUMN($CK$1),FALSE)),"")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IFERROR(VLOOKUP($D140,素材!$1:$1016,COLUMN($B$1),FALSE)&amp;"・"&amp;VLOOKUP($C140,装備品!$1:$998,COLUMN(B$1),FALSE),"")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IFERROR(VLOOKUP(C140,装備品!$1:$998,COLUMN(C$1),FALSE),"")</f>
        <v>頭</v>
      </c>
      <c r="F140">
        <f>IFERROR(ROUNDDOWN((VLOOKUP($C140,装備品!$1:$998,COLUMN(D$1),FALSE)+IFERROR(VLOOKUP($CI140,付与!$1:$1167,COLUMN(F$1),FALSE),0))*VLOOKUP($D140,素材!$1:$1016,COLUMN(D$1),FALSE),0),"")</f>
        <v>0</v>
      </c>
      <c r="G140">
        <f>IFERROR(ROUNDDOWN((VLOOKUP($C140,装備品!$1:$998,COLUMN(E$1),FALSE)+IFERROR(VLOOKUP($CI140,付与!$1:$1167,COLUMN(G$1),FALSE),0))*VLOOKUP($D140,素材!$1:$1016,COLUMN($E$1),FALSE),0),"")</f>
        <v>0</v>
      </c>
      <c r="H140">
        <f>IFERROR(ROUNDDOWN((VLOOKUP($C140,装備品!$1:$998,COLUMN(F$1),FALSE)+IFERROR(VLOOKUP($CI140,付与!$1:$1167,COLUMN(H$1),FALSE),0))*VLOOKUP($D140,素材!$1:$1016,COLUMN($E$1),FALSE),0),"")</f>
        <v>0</v>
      </c>
      <c r="I140">
        <f>IFERROR(ROUNDDOWN((VLOOKUP($C140,装備品!$1:$998,COLUMN(G$1),FALSE)+IFERROR(VLOOKUP($CI140,付与!$1:$1167,COLUMN(I$1),FALSE),0))*VLOOKUP($D140,素材!$1:$1016,COLUMN($E$1),FALSE),0),"")</f>
        <v>0</v>
      </c>
      <c r="J140">
        <f>IFERROR(ROUNDDOWN((VLOOKUP($C140,装備品!$1:$998,COLUMN(H$1),FALSE)+IFERROR(VLOOKUP($CI140,付与!$1:$1167,COLUMN(J$1),FALSE),0))*VLOOKUP($D140,素材!$1:$1016,COLUMN($E$1),FALSE),0),"")</f>
        <v>0</v>
      </c>
      <c r="K140">
        <f>IFERROR(ROUNDDOWN((VLOOKUP($C140,装備品!$1:$998,COLUMN(I$1),FALSE)+IFERROR(VLOOKUP($CI140,付与!$1:$1167,COLUMN(K$1),FALSE),0))*VLOOKUP($D140,素材!$1:$1016,COLUMN($E$1),FALSE),0),"")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IFERROR(VLOOKUP($C140,装備品!$1:$998,COLUMN(AA$1),FALSE)*VLOOKUP($D140,素材!$1:$1016,COLUMN($G$1),FALSE),"")</f>
        <v>25</v>
      </c>
      <c r="N140">
        <f>IFERROR(VLOOKUP($C140,装備品!$1:$998,COLUMN(I$1),FALSE),"")</f>
        <v>0</v>
      </c>
      <c r="O140" s="23" t="str">
        <f>IFERROR((VLOOKUP($C140,装備品!$1:$998,COLUMN(K$1),FALSE)+VLOOKUP($D140,素材!$1:$1016,COLUMN(H$1),FALSE))*100+IFERROR(VLOOKUP($CI140,付与!$1:$1167,COLUMN(O$1),FALSE),0),"")</f>
        <v/>
      </c>
      <c r="P140" s="23" t="str">
        <f>IFERROR((VLOOKUP($C140,装備品!$1:$998,COLUMN(L$1),FALSE)+VLOOKUP($D140,素材!$1:$1016,COLUMN(I$1),FALSE))*100+IFERROR(VLOOKUP($CI140,付与!$1:$1167,COLUMN(P$1),FALSE),0),"")</f>
        <v/>
      </c>
      <c r="Q140">
        <f>IFERROR(ROUNDUP(VLOOKUP($C140,装備品!$1:$998,COLUMN(M$1),FALSE)*(VLOOKUP($D140,素材!$1:$1002,COLUMN(D$1),FALSE)/100),1),"")</f>
        <v>0</v>
      </c>
      <c r="R140">
        <f>IFERROR(ROUNDUP(VLOOKUP($C140,装備品!$1:$998,COLUMN(N$1),FALSE)*(VLOOKUP($D140,素材!$1:$1002,COLUMN(D$1),FALSE)/100),1),"")</f>
        <v>0</v>
      </c>
      <c r="S140">
        <f>IFERROR(VLOOKUP($C140,装備品!$1:$998,COLUMN(P$1),FALSE),"")</f>
        <v>0</v>
      </c>
      <c r="T140">
        <f>IFERROR(VLOOKUP($C140,装備品!$1:$998,COLUMN(Q$1),FALSE),"")</f>
        <v>0</v>
      </c>
      <c r="U140">
        <f>IFERROR(VLOOKUP($C140,装備品!$1:$998,COLUMN(R$1),FALSE),"")</f>
        <v>0</v>
      </c>
      <c r="V140">
        <f>IFERROR(VLOOKUP($C140,装備品!$1:$998,COLUMN(Q$1),FALSE),"")</f>
        <v>0</v>
      </c>
      <c r="W140">
        <f>IFERROR(VLOOKUP($C140,装備品!$1:$998,COLUMN(T$1),FALSE),"")</f>
        <v>0.1</v>
      </c>
      <c r="Y140">
        <f>IFERROR(VLOOKUP($C140,装備品!$1:$998,COLUMN(U$1),FALSE),"")</f>
        <v>0</v>
      </c>
      <c r="Z140">
        <f>IFERROR(ROUNDUP(VLOOKUP($C140,装備品!$1:$998,COLUMN(O$1),FALSE)*VLOOKUP($D140,素材!$1:$1016,COLUMN(E$1),FALSE),1),"")</f>
        <v>0</v>
      </c>
      <c r="AA140">
        <f>IF(ISNUMBER(SEARCH(SUBSTITUTE(AA$1,RIGHT(AA$1,2),""),VLOOKUP($D140,素材!$1:$1016,COLUMN($F$1),FALSE))),VLOOKUP($C140,装備品!$1:$998,COLUMN($O$1),FALSE)*VLOOKUP($D140,素材!$1:$1016,COLUMN($E$1),FALSE)/(LEN(VLOOKUP($D140,素材!$1:$1016,COLUMN($F$1),FALSE))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IFERROR(VLOOKUP($C140,装備品!$1:$998,COLUMN(V$1),FALSE)*VLOOKUP($D140,素材!$1:$1016,COLUMN(N$1),FALSE)+IF(CI140="",0,VLOOKUP($CI140,付与!$1:$1176,COLUMN($CK$1),FALSE)),"")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IFERROR(VLOOKUP($D141,素材!$1:$1016,COLUMN($B$1),FALSE)&amp;"・"&amp;VLOOKUP($C141,装備品!$1:$998,COLUMN(B$1),FALSE),"")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IFERROR(VLOOKUP(C141,装備品!$1:$998,COLUMN(C$1),FALSE),"")</f>
        <v>体</v>
      </c>
      <c r="F141">
        <f>IFERROR(ROUNDDOWN((VLOOKUP($C141,装備品!$1:$998,COLUMN(D$1),FALSE)+IFERROR(VLOOKUP($CI141,付与!$1:$1167,COLUMN(F$1),FALSE),0))*VLOOKUP($D141,素材!$1:$1016,COLUMN(D$1),FALSE),0),"")</f>
        <v>0</v>
      </c>
      <c r="G141">
        <f>IFERROR(ROUNDDOWN((VLOOKUP($C141,装備品!$1:$998,COLUMN(E$1),FALSE)+IFERROR(VLOOKUP($CI141,付与!$1:$1167,COLUMN(G$1),FALSE),0))*VLOOKUP($D141,素材!$1:$1016,COLUMN($E$1),FALSE),0),"")</f>
        <v>0</v>
      </c>
      <c r="H141">
        <f>IFERROR(ROUNDDOWN((VLOOKUP($C141,装備品!$1:$998,COLUMN(F$1),FALSE)+IFERROR(VLOOKUP($CI141,付与!$1:$1167,COLUMN(H$1),FALSE),0))*VLOOKUP($D141,素材!$1:$1016,COLUMN($E$1),FALSE),0),"")</f>
        <v>0</v>
      </c>
      <c r="I141">
        <f>IFERROR(ROUNDDOWN((VLOOKUP($C141,装備品!$1:$998,COLUMN(G$1),FALSE)+IFERROR(VLOOKUP($CI141,付与!$1:$1167,COLUMN(I$1),FALSE),0))*VLOOKUP($D141,素材!$1:$1016,COLUMN($E$1),FALSE),0),"")</f>
        <v>0</v>
      </c>
      <c r="J141">
        <f>IFERROR(ROUNDDOWN((VLOOKUP($C141,装備品!$1:$998,COLUMN(H$1),FALSE)+IFERROR(VLOOKUP($CI141,付与!$1:$1167,COLUMN(J$1),FALSE),0))*VLOOKUP($D141,素材!$1:$1016,COLUMN($E$1),FALSE),0),"")</f>
        <v>0</v>
      </c>
      <c r="K141">
        <f>IFERROR(ROUNDDOWN((VLOOKUP($C141,装備品!$1:$998,COLUMN(I$1),FALSE)+IFERROR(VLOOKUP($CI141,付与!$1:$1167,COLUMN(K$1),FALSE),0))*VLOOKUP($D141,素材!$1:$1016,COLUMN($E$1),FALSE),0),"")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IFERROR(VLOOKUP($C141,装備品!$1:$998,COLUMN(AA$1),FALSE)*VLOOKUP($D141,素材!$1:$1016,COLUMN($G$1),FALSE),"")</f>
        <v>50</v>
      </c>
      <c r="N141">
        <f>IFERROR(VLOOKUP($C141,装備品!$1:$998,COLUMN(I$1),FALSE),"")</f>
        <v>0</v>
      </c>
      <c r="O141" s="23" t="str">
        <f>IFERROR((VLOOKUP($C141,装備品!$1:$998,COLUMN(K$1),FALSE)+VLOOKUP($D141,素材!$1:$1016,COLUMN(H$1),FALSE))*100+IFERROR(VLOOKUP($CI141,付与!$1:$1167,COLUMN(O$1),FALSE),0),"")</f>
        <v/>
      </c>
      <c r="P141" s="23" t="str">
        <f>IFERROR((VLOOKUP($C141,装備品!$1:$998,COLUMN(L$1),FALSE)+VLOOKUP($D141,素材!$1:$1016,COLUMN(I$1),FALSE))*100+IFERROR(VLOOKUP($CI141,付与!$1:$1167,COLUMN(P$1),FALSE),0),"")</f>
        <v/>
      </c>
      <c r="Q141">
        <f>IFERROR(ROUNDUP(VLOOKUP($C141,装備品!$1:$998,COLUMN(M$1),FALSE)*(VLOOKUP($D141,素材!$1:$1002,COLUMN(D$1),FALSE)/100),1),"")</f>
        <v>0</v>
      </c>
      <c r="R141">
        <f>IFERROR(ROUNDUP(VLOOKUP($C141,装備品!$1:$998,COLUMN(N$1),FALSE)*(VLOOKUP($D141,素材!$1:$1002,COLUMN(D$1),FALSE)/100),1),"")</f>
        <v>0</v>
      </c>
      <c r="S141">
        <f>IFERROR(VLOOKUP($C141,装備品!$1:$998,COLUMN(P$1),FALSE),"")</f>
        <v>0</v>
      </c>
      <c r="T141">
        <f>IFERROR(VLOOKUP($C141,装備品!$1:$998,COLUMN(Q$1),FALSE),"")</f>
        <v>0</v>
      </c>
      <c r="U141">
        <f>IFERROR(VLOOKUP($C141,装備品!$1:$998,COLUMN(R$1),FALSE),"")</f>
        <v>0</v>
      </c>
      <c r="V141">
        <f>IFERROR(VLOOKUP($C141,装備品!$1:$998,COLUMN(Q$1),FALSE),"")</f>
        <v>0</v>
      </c>
      <c r="W141">
        <f>IFERROR(VLOOKUP($C141,装備品!$1:$998,COLUMN(T$1),FALSE),"")</f>
        <v>0.3</v>
      </c>
      <c r="Y141">
        <f>IFERROR(VLOOKUP($C141,装備品!$1:$998,COLUMN(U$1),FALSE),"")</f>
        <v>0</v>
      </c>
      <c r="Z141">
        <f>IFERROR(ROUNDUP(VLOOKUP($C141,装備品!$1:$998,COLUMN(O$1),FALSE)*VLOOKUP($D141,素材!$1:$1016,COLUMN(E$1),FALSE),1),"")</f>
        <v>0</v>
      </c>
      <c r="AA141">
        <f>IF(ISNUMBER(SEARCH(SUBSTITUTE(AA$1,RIGHT(AA$1,2),""),VLOOKUP($D141,素材!$1:$1016,COLUMN($F$1),FALSE))),VLOOKUP($C141,装備品!$1:$998,COLUMN($O$1),FALSE)*VLOOKUP($D141,素材!$1:$1016,COLUMN($E$1),FALSE)/(LEN(VLOOKUP($D141,素材!$1:$1016,COLUMN($F$1),FALSE))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IFERROR(VLOOKUP($C141,装備品!$1:$998,COLUMN(V$1),FALSE)*VLOOKUP($D141,素材!$1:$1016,COLUMN(N$1),FALSE)+IF(CI141="",0,VLOOKUP($CI141,付与!$1:$1176,COLUMN($CK$1),FALSE)),"")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IFERROR(VLOOKUP($D142,素材!$1:$1016,COLUMN($B$1),FALSE)&amp;"・"&amp;VLOOKUP($C142,装備品!$1:$998,COLUMN(B$1),FALSE),"")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IFERROR(VLOOKUP(C142,装備品!$1:$998,COLUMN(C$1),FALSE),"")</f>
        <v>体</v>
      </c>
      <c r="F142">
        <f>IFERROR(ROUNDDOWN((VLOOKUP($C142,装備品!$1:$998,COLUMN(D$1),FALSE)+IFERROR(VLOOKUP($CI142,付与!$1:$1167,COLUMN(F$1),FALSE),0))*VLOOKUP($D142,素材!$1:$1016,COLUMN(D$1),FALSE),0),"")</f>
        <v>0</v>
      </c>
      <c r="G142">
        <f>IFERROR(ROUNDDOWN((VLOOKUP($C142,装備品!$1:$998,COLUMN(E$1),FALSE)+IFERROR(VLOOKUP($CI142,付与!$1:$1167,COLUMN(G$1),FALSE),0))*VLOOKUP($D142,素材!$1:$1016,COLUMN($E$1),FALSE),0),"")</f>
        <v>0</v>
      </c>
      <c r="H142">
        <f>IFERROR(ROUNDDOWN((VLOOKUP($C142,装備品!$1:$998,COLUMN(F$1),FALSE)+IFERROR(VLOOKUP($CI142,付与!$1:$1167,COLUMN(H$1),FALSE),0))*VLOOKUP($D142,素材!$1:$1016,COLUMN($E$1),FALSE),0),"")</f>
        <v>0</v>
      </c>
      <c r="I142">
        <f>IFERROR(ROUNDDOWN((VLOOKUP($C142,装備品!$1:$998,COLUMN(G$1),FALSE)+IFERROR(VLOOKUP($CI142,付与!$1:$1167,COLUMN(I$1),FALSE),0))*VLOOKUP($D142,素材!$1:$1016,COLUMN($E$1),FALSE),0),"")</f>
        <v>0</v>
      </c>
      <c r="J142">
        <f>IFERROR(ROUNDDOWN((VLOOKUP($C142,装備品!$1:$998,COLUMN(H$1),FALSE)+IFERROR(VLOOKUP($CI142,付与!$1:$1167,COLUMN(J$1),FALSE),0))*VLOOKUP($D142,素材!$1:$1016,COLUMN($E$1),FALSE),0),"")</f>
        <v>0</v>
      </c>
      <c r="K142">
        <f>IFERROR(ROUNDDOWN((VLOOKUP($C142,装備品!$1:$998,COLUMN(I$1),FALSE)+IFERROR(VLOOKUP($CI142,付与!$1:$1167,COLUMN(K$1),FALSE),0))*VLOOKUP($D142,素材!$1:$1016,COLUMN($E$1),FALSE),0),"")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IFERROR(VLOOKUP($C142,装備品!$1:$998,COLUMN(AA$1),FALSE)*VLOOKUP($D142,素材!$1:$1016,COLUMN($G$1),FALSE),"")</f>
        <v>50</v>
      </c>
      <c r="N142">
        <f>IFERROR(VLOOKUP($C142,装備品!$1:$998,COLUMN(I$1),FALSE),"")</f>
        <v>0</v>
      </c>
      <c r="O142" s="23" t="str">
        <f>IFERROR((VLOOKUP($C142,装備品!$1:$998,COLUMN(K$1),FALSE)+VLOOKUP($D142,素材!$1:$1016,COLUMN(H$1),FALSE))*100+IFERROR(VLOOKUP($CI142,付与!$1:$1167,COLUMN(O$1),FALSE),0),"")</f>
        <v/>
      </c>
      <c r="P142" s="23" t="str">
        <f>IFERROR((VLOOKUP($C142,装備品!$1:$998,COLUMN(L$1),FALSE)+VLOOKUP($D142,素材!$1:$1016,COLUMN(I$1),FALSE))*100+IFERROR(VLOOKUP($CI142,付与!$1:$1167,COLUMN(P$1),FALSE),0),"")</f>
        <v/>
      </c>
      <c r="Q142">
        <f>IFERROR(ROUNDUP(VLOOKUP($C142,装備品!$1:$998,COLUMN(M$1),FALSE)*(VLOOKUP($D142,素材!$1:$1002,COLUMN(D$1),FALSE)/100),1),"")</f>
        <v>0</v>
      </c>
      <c r="R142">
        <f>IFERROR(ROUNDUP(VLOOKUP($C142,装備品!$1:$998,COLUMN(N$1),FALSE)*(VLOOKUP($D142,素材!$1:$1002,COLUMN(D$1),FALSE)/100),1),"")</f>
        <v>0</v>
      </c>
      <c r="S142">
        <f>IFERROR(VLOOKUP($C142,装備品!$1:$998,COLUMN(P$1),FALSE),"")</f>
        <v>0</v>
      </c>
      <c r="T142">
        <f>IFERROR(VLOOKUP($C142,装備品!$1:$998,COLUMN(Q$1),FALSE),"")</f>
        <v>0</v>
      </c>
      <c r="U142">
        <f>IFERROR(VLOOKUP($C142,装備品!$1:$998,COLUMN(R$1),FALSE),"")</f>
        <v>0</v>
      </c>
      <c r="V142">
        <f>IFERROR(VLOOKUP($C142,装備品!$1:$998,COLUMN(Q$1),FALSE),"")</f>
        <v>0</v>
      </c>
      <c r="W142">
        <f>IFERROR(VLOOKUP($C142,装備品!$1:$998,COLUMN(T$1),FALSE),"")</f>
        <v>0.2</v>
      </c>
      <c r="Y142">
        <f>IFERROR(VLOOKUP($C142,装備品!$1:$998,COLUMN(U$1),FALSE),"")</f>
        <v>0</v>
      </c>
      <c r="Z142">
        <f>IFERROR(ROUNDUP(VLOOKUP($C142,装備品!$1:$998,COLUMN(O$1),FALSE)*VLOOKUP($D142,素材!$1:$1016,COLUMN(E$1),FALSE),1),"")</f>
        <v>0</v>
      </c>
      <c r="AA142">
        <f>IF(ISNUMBER(SEARCH(SUBSTITUTE(AA$1,RIGHT(AA$1,2),""),VLOOKUP($D142,素材!$1:$1016,COLUMN($F$1),FALSE))),VLOOKUP($C142,装備品!$1:$998,COLUMN($O$1),FALSE)*VLOOKUP($D142,素材!$1:$1016,COLUMN($E$1),FALSE)/(LEN(VLOOKUP($D142,素材!$1:$1016,COLUMN($F$1),FALSE))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IFERROR(VLOOKUP($C142,装備品!$1:$998,COLUMN(V$1),FALSE)*VLOOKUP($D142,素材!$1:$1016,COLUMN(N$1),FALSE)+IF(CI142="",0,VLOOKUP($CI142,付与!$1:$1176,COLUMN($CK$1),FALSE)),"")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IFERROR(VLOOKUP($D143,素材!$1:$1016,COLUMN($B$1),FALSE)&amp;"・"&amp;VLOOKUP($C143,装備品!$1:$998,COLUMN(B$1),FALSE),"")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IFERROR(VLOOKUP(C143,装備品!$1:$998,COLUMN(C$1),FALSE),"")</f>
        <v>体</v>
      </c>
      <c r="F143">
        <f>IFERROR(ROUNDDOWN((VLOOKUP($C143,装備品!$1:$998,COLUMN(D$1),FALSE)+IFERROR(VLOOKUP($CI143,付与!$1:$1167,COLUMN(F$1),FALSE),0))*VLOOKUP($D143,素材!$1:$1016,COLUMN(D$1),FALSE),0),"")</f>
        <v>0</v>
      </c>
      <c r="G143">
        <f>IFERROR(ROUNDDOWN((VLOOKUP($C143,装備品!$1:$998,COLUMN(E$1),FALSE)+IFERROR(VLOOKUP($CI143,付与!$1:$1167,COLUMN(G$1),FALSE),0))*VLOOKUP($D143,素材!$1:$1016,COLUMN($E$1),FALSE),0),"")</f>
        <v>0</v>
      </c>
      <c r="H143">
        <f>IFERROR(ROUNDDOWN((VLOOKUP($C143,装備品!$1:$998,COLUMN(F$1),FALSE)+IFERROR(VLOOKUP($CI143,付与!$1:$1167,COLUMN(H$1),FALSE),0))*VLOOKUP($D143,素材!$1:$1016,COLUMN($E$1),FALSE),0),"")</f>
        <v>0</v>
      </c>
      <c r="I143">
        <f>IFERROR(ROUNDDOWN((VLOOKUP($C143,装備品!$1:$998,COLUMN(G$1),FALSE)+IFERROR(VLOOKUP($CI143,付与!$1:$1167,COLUMN(I$1),FALSE),0))*VLOOKUP($D143,素材!$1:$1016,COLUMN($E$1),FALSE),0),"")</f>
        <v>0</v>
      </c>
      <c r="J143">
        <f>IFERROR(ROUNDDOWN((VLOOKUP($C143,装備品!$1:$998,COLUMN(H$1),FALSE)+IFERROR(VLOOKUP($CI143,付与!$1:$1167,COLUMN(J$1),FALSE),0))*VLOOKUP($D143,素材!$1:$1016,COLUMN($E$1),FALSE),0),"")</f>
        <v>0</v>
      </c>
      <c r="K143">
        <f>IFERROR(ROUNDDOWN((VLOOKUP($C143,装備品!$1:$998,COLUMN(I$1),FALSE)+IFERROR(VLOOKUP($CI143,付与!$1:$1167,COLUMN(K$1),FALSE),0))*VLOOKUP($D143,素材!$1:$1016,COLUMN($E$1),FALSE),0),"")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IFERROR(VLOOKUP($C143,装備品!$1:$998,COLUMN(AA$1),FALSE)*VLOOKUP($D143,素材!$1:$1016,COLUMN($G$1),FALSE),"")</f>
        <v>75</v>
      </c>
      <c r="N143">
        <f>IFERROR(VLOOKUP($C143,装備品!$1:$998,COLUMN(I$1),FALSE),"")</f>
        <v>0</v>
      </c>
      <c r="O143" s="23" t="str">
        <f>IFERROR((VLOOKUP($C143,装備品!$1:$998,COLUMN(K$1),FALSE)+VLOOKUP($D143,素材!$1:$1016,COLUMN(H$1),FALSE))*100+IFERROR(VLOOKUP($CI143,付与!$1:$1167,COLUMN(O$1),FALSE),0),"")</f>
        <v/>
      </c>
      <c r="P143" s="23" t="str">
        <f>IFERROR((VLOOKUP($C143,装備品!$1:$998,COLUMN(L$1),FALSE)+VLOOKUP($D143,素材!$1:$1016,COLUMN(I$1),FALSE))*100+IFERROR(VLOOKUP($CI143,付与!$1:$1167,COLUMN(P$1),FALSE),0),"")</f>
        <v/>
      </c>
      <c r="Q143">
        <f>IFERROR(ROUNDUP(VLOOKUP($C143,装備品!$1:$998,COLUMN(M$1),FALSE)*(VLOOKUP($D143,素材!$1:$1002,COLUMN(D$1),FALSE)/100),1),"")</f>
        <v>-12</v>
      </c>
      <c r="R143">
        <f>IFERROR(ROUNDUP(VLOOKUP($C143,装備品!$1:$998,COLUMN(N$1),FALSE)*(VLOOKUP($D143,素材!$1:$1002,COLUMN(D$1),FALSE)/100),1),"")</f>
        <v>0</v>
      </c>
      <c r="S143">
        <f>IFERROR(VLOOKUP($C143,装備品!$1:$998,COLUMN(P$1),FALSE),"")</f>
        <v>-35</v>
      </c>
      <c r="T143">
        <f>IFERROR(VLOOKUP($C143,装備品!$1:$998,COLUMN(Q$1),FALSE),"")</f>
        <v>0</v>
      </c>
      <c r="U143">
        <f>IFERROR(VLOOKUP($C143,装備品!$1:$998,COLUMN(R$1),FALSE),"")</f>
        <v>0</v>
      </c>
      <c r="V143">
        <f>IFERROR(VLOOKUP($C143,装備品!$1:$998,COLUMN(Q$1),FALSE),"")</f>
        <v>0</v>
      </c>
      <c r="W143">
        <f>IFERROR(VLOOKUP($C143,装備品!$1:$998,COLUMN(T$1),FALSE),"")</f>
        <v>0.7</v>
      </c>
      <c r="Y143">
        <f>IFERROR(VLOOKUP($C143,装備品!$1:$998,COLUMN(U$1),FALSE),"")</f>
        <v>0</v>
      </c>
      <c r="Z143">
        <f>IFERROR(ROUNDUP(VLOOKUP($C143,装備品!$1:$998,COLUMN(O$1),FALSE)*VLOOKUP($D143,素材!$1:$1016,COLUMN(E$1),FALSE),1),"")</f>
        <v>0</v>
      </c>
      <c r="AA143">
        <f>IF(ISNUMBER(SEARCH(SUBSTITUTE(AA$1,RIGHT(AA$1,2),""),VLOOKUP($D143,素材!$1:$1016,COLUMN($F$1),FALSE))),VLOOKUP($C143,装備品!$1:$998,COLUMN($O$1),FALSE)*VLOOKUP($D143,素材!$1:$1016,COLUMN($E$1),FALSE)/(LEN(VLOOKUP($D143,素材!$1:$1016,COLUMN($F$1),FALSE))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IFERROR(VLOOKUP($C143,装備品!$1:$998,COLUMN(V$1),FALSE)*VLOOKUP($D143,素材!$1:$1016,COLUMN(N$1),FALSE)+IF(CI143="",0,VLOOKUP($CI143,付与!$1:$1176,COLUMN($CK$1),FALSE)),"")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IFERROR(VLOOKUP($D144,素材!$1:$1016,COLUMN($B$1),FALSE)&amp;"・"&amp;VLOOKUP($C144,装備品!$1:$998,COLUMN(B$1),FALSE),"")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IFERROR(VLOOKUP(C144,装備品!$1:$998,COLUMN(C$1),FALSE),"")</f>
        <v>体</v>
      </c>
      <c r="F144">
        <f>IFERROR(ROUNDDOWN((VLOOKUP($C144,装備品!$1:$998,COLUMN(D$1),FALSE)+IFERROR(VLOOKUP($CI144,付与!$1:$1167,COLUMN(F$1),FALSE),0))*VLOOKUP($D144,素材!$1:$1016,COLUMN(D$1),FALSE),0),"")</f>
        <v>0</v>
      </c>
      <c r="G144">
        <f>IFERROR(ROUNDDOWN((VLOOKUP($C144,装備品!$1:$998,COLUMN(E$1),FALSE)+IFERROR(VLOOKUP($CI144,付与!$1:$1167,COLUMN(G$1),FALSE),0))*VLOOKUP($D144,素材!$1:$1016,COLUMN($E$1),FALSE),0),"")</f>
        <v>0</v>
      </c>
      <c r="H144">
        <f>IFERROR(ROUNDDOWN((VLOOKUP($C144,装備品!$1:$998,COLUMN(F$1),FALSE)+IFERROR(VLOOKUP($CI144,付与!$1:$1167,COLUMN(H$1),FALSE),0))*VLOOKUP($D144,素材!$1:$1016,COLUMN($E$1),FALSE),0),"")</f>
        <v>0</v>
      </c>
      <c r="I144">
        <f>IFERROR(ROUNDDOWN((VLOOKUP($C144,装備品!$1:$998,COLUMN(G$1),FALSE)+IFERROR(VLOOKUP($CI144,付与!$1:$1167,COLUMN(I$1),FALSE),0))*VLOOKUP($D144,素材!$1:$1016,COLUMN($E$1),FALSE),0),"")</f>
        <v>0</v>
      </c>
      <c r="J144">
        <f>IFERROR(ROUNDDOWN((VLOOKUP($C144,装備品!$1:$998,COLUMN(H$1),FALSE)+IFERROR(VLOOKUP($CI144,付与!$1:$1167,COLUMN(J$1),FALSE),0))*VLOOKUP($D144,素材!$1:$1016,COLUMN($E$1),FALSE),0),"")</f>
        <v>0</v>
      </c>
      <c r="K144">
        <f>IFERROR(ROUNDDOWN((VLOOKUP($C144,装備品!$1:$998,COLUMN(I$1),FALSE)+IFERROR(VLOOKUP($CI144,付与!$1:$1167,COLUMN(K$1),FALSE),0))*VLOOKUP($D144,素材!$1:$1016,COLUMN($E$1),FALSE),0),"")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IFERROR(VLOOKUP($C144,装備品!$1:$998,COLUMN(AA$1),FALSE)*VLOOKUP($D144,素材!$1:$1016,COLUMN($G$1),FALSE),"")</f>
        <v>62.5</v>
      </c>
      <c r="N144">
        <f>IFERROR(VLOOKUP($C144,装備品!$1:$998,COLUMN(I$1),FALSE),"")</f>
        <v>0</v>
      </c>
      <c r="O144" s="23" t="str">
        <f>IFERROR((VLOOKUP($C144,装備品!$1:$998,COLUMN(K$1),FALSE)+VLOOKUP($D144,素材!$1:$1016,COLUMN(H$1),FALSE))*100+IFERROR(VLOOKUP($CI144,付与!$1:$1167,COLUMN(O$1),FALSE),0),"")</f>
        <v/>
      </c>
      <c r="P144" s="23" t="str">
        <f>IFERROR((VLOOKUP($C144,装備品!$1:$998,COLUMN(L$1),FALSE)+VLOOKUP($D144,素材!$1:$1016,COLUMN(I$1),FALSE))*100+IFERROR(VLOOKUP($CI144,付与!$1:$1167,COLUMN(P$1),FALSE),0),"")</f>
        <v/>
      </c>
      <c r="Q144">
        <f>IFERROR(ROUNDUP(VLOOKUP($C144,装備品!$1:$998,COLUMN(M$1),FALSE)*(VLOOKUP($D144,素材!$1:$1002,COLUMN(D$1),FALSE)/100),1),"")</f>
        <v>-6</v>
      </c>
      <c r="R144">
        <f>IFERROR(ROUNDUP(VLOOKUP($C144,装備品!$1:$998,COLUMN(N$1),FALSE)*(VLOOKUP($D144,素材!$1:$1002,COLUMN(D$1),FALSE)/100),1),"")</f>
        <v>0</v>
      </c>
      <c r="S144">
        <f>IFERROR(VLOOKUP($C144,装備品!$1:$998,COLUMN(P$1),FALSE),"")</f>
        <v>-15</v>
      </c>
      <c r="T144">
        <f>IFERROR(VLOOKUP($C144,装備品!$1:$998,COLUMN(Q$1),FALSE),"")</f>
        <v>0</v>
      </c>
      <c r="U144">
        <f>IFERROR(VLOOKUP($C144,装備品!$1:$998,COLUMN(R$1),FALSE),"")</f>
        <v>0</v>
      </c>
      <c r="V144">
        <f>IFERROR(VLOOKUP($C144,装備品!$1:$998,COLUMN(Q$1),FALSE),"")</f>
        <v>0</v>
      </c>
      <c r="W144">
        <f>IFERROR(VLOOKUP($C144,装備品!$1:$998,COLUMN(T$1),FALSE),"")</f>
        <v>0.5</v>
      </c>
      <c r="Y144">
        <f>IFERROR(VLOOKUP($C144,装備品!$1:$998,COLUMN(U$1),FALSE),"")</f>
        <v>0</v>
      </c>
      <c r="Z144">
        <f>IFERROR(ROUNDUP(VLOOKUP($C144,装備品!$1:$998,COLUMN(O$1),FALSE)*VLOOKUP($D144,素材!$1:$1016,COLUMN(E$1),FALSE),1),"")</f>
        <v>0</v>
      </c>
      <c r="AA144">
        <f>IF(ISNUMBER(SEARCH(SUBSTITUTE(AA$1,RIGHT(AA$1,2),""),VLOOKUP($D144,素材!$1:$1016,COLUMN($F$1),FALSE))),VLOOKUP($C144,装備品!$1:$998,COLUMN($O$1),FALSE)*VLOOKUP($D144,素材!$1:$1016,COLUMN($E$1),FALSE)/(LEN(VLOOKUP($D144,素材!$1:$1016,COLUMN($F$1),FALSE))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IFERROR(VLOOKUP($C144,装備品!$1:$998,COLUMN(V$1),FALSE)*VLOOKUP($D144,素材!$1:$1016,COLUMN(N$1),FALSE)+IF(CI144="",0,VLOOKUP($CI144,付与!$1:$1176,COLUMN($CK$1),FALSE)),"")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IFERROR(VLOOKUP($D145,素材!$1:$1016,COLUMN($B$1),FALSE)&amp;"・"&amp;VLOOKUP($C145,装備品!$1:$998,COLUMN(B$1),FALSE),"")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IFERROR(VLOOKUP(C145,装備品!$1:$998,COLUMN(C$1),FALSE),"")</f>
        <v>頭</v>
      </c>
      <c r="F145">
        <f>IFERROR(ROUNDDOWN((VLOOKUP($C145,装備品!$1:$998,COLUMN(D$1),FALSE)+IFERROR(VLOOKUP($CI145,付与!$1:$1167,COLUMN(F$1),FALSE),0))*VLOOKUP($D145,素材!$1:$1016,COLUMN(D$1),FALSE),0),"")</f>
        <v>0</v>
      </c>
      <c r="G145">
        <f>IFERROR(ROUNDDOWN((VLOOKUP($C145,装備品!$1:$998,COLUMN(E$1),FALSE)+IFERROR(VLOOKUP($CI145,付与!$1:$1167,COLUMN(G$1),FALSE),0))*VLOOKUP($D145,素材!$1:$1016,COLUMN($E$1),FALSE),0),"")</f>
        <v>0</v>
      </c>
      <c r="H145">
        <f>IFERROR(ROUNDDOWN((VLOOKUP($C145,装備品!$1:$998,COLUMN(F$1),FALSE)+IFERROR(VLOOKUP($CI145,付与!$1:$1167,COLUMN(H$1),FALSE),0))*VLOOKUP($D145,素材!$1:$1016,COLUMN($E$1),FALSE),0),"")</f>
        <v>0</v>
      </c>
      <c r="I145">
        <f>IFERROR(ROUNDDOWN((VLOOKUP($C145,装備品!$1:$998,COLUMN(G$1),FALSE)+IFERROR(VLOOKUP($CI145,付与!$1:$1167,COLUMN(I$1),FALSE),0))*VLOOKUP($D145,素材!$1:$1016,COLUMN($E$1),FALSE),0),"")</f>
        <v>0</v>
      </c>
      <c r="J145">
        <f>IFERROR(ROUNDDOWN((VLOOKUP($C145,装備品!$1:$998,COLUMN(H$1),FALSE)+IFERROR(VLOOKUP($CI145,付与!$1:$1167,COLUMN(J$1),FALSE),0))*VLOOKUP($D145,素材!$1:$1016,COLUMN($E$1),FALSE),0),"")</f>
        <v>0</v>
      </c>
      <c r="K145">
        <f>IFERROR(ROUNDDOWN((VLOOKUP($C145,装備品!$1:$998,COLUMN(I$1),FALSE)+IFERROR(VLOOKUP($CI145,付与!$1:$1167,COLUMN(K$1),FALSE),0))*VLOOKUP($D145,素材!$1:$1016,COLUMN($E$1),FALSE),0),"")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IFERROR(VLOOKUP($C145,装備品!$1:$998,COLUMN(AA$1),FALSE)*VLOOKUP($D145,素材!$1:$1016,COLUMN($G$1),FALSE),"")</f>
        <v>25</v>
      </c>
      <c r="N145">
        <f>IFERROR(VLOOKUP($C145,装備品!$1:$998,COLUMN(I$1),FALSE),"")</f>
        <v>0</v>
      </c>
      <c r="O145" s="23" t="str">
        <f>IFERROR((VLOOKUP($C145,装備品!$1:$998,COLUMN(K$1),FALSE)+VLOOKUP($D145,素材!$1:$1016,COLUMN(H$1),FALSE))*100+IFERROR(VLOOKUP($CI145,付与!$1:$1167,COLUMN(O$1),FALSE),0),"")</f>
        <v/>
      </c>
      <c r="P145" s="23" t="str">
        <f>IFERROR((VLOOKUP($C145,装備品!$1:$998,COLUMN(L$1),FALSE)+VLOOKUP($D145,素材!$1:$1016,COLUMN(I$1),FALSE))*100+IFERROR(VLOOKUP($CI145,付与!$1:$1167,COLUMN(P$1),FALSE),0),"")</f>
        <v/>
      </c>
      <c r="Q145">
        <f>IFERROR(ROUNDUP(VLOOKUP($C145,装備品!$1:$998,COLUMN(M$1),FALSE)*(VLOOKUP($D145,素材!$1:$1002,COLUMN(D$1),FALSE)/100),1),"")</f>
        <v>0</v>
      </c>
      <c r="R145">
        <f>IFERROR(ROUNDUP(VLOOKUP($C145,装備品!$1:$998,COLUMN(N$1),FALSE)*(VLOOKUP($D145,素材!$1:$1002,COLUMN(D$1),FALSE)/100),1),"")</f>
        <v>0</v>
      </c>
      <c r="S145">
        <f>IFERROR(VLOOKUP($C145,装備品!$1:$998,COLUMN(P$1),FALSE),"")</f>
        <v>0</v>
      </c>
      <c r="T145">
        <f>IFERROR(VLOOKUP($C145,装備品!$1:$998,COLUMN(Q$1),FALSE),"")</f>
        <v>0</v>
      </c>
      <c r="U145">
        <f>IFERROR(VLOOKUP($C145,装備品!$1:$998,COLUMN(R$1),FALSE),"")</f>
        <v>0</v>
      </c>
      <c r="V145">
        <f>IFERROR(VLOOKUP($C145,装備品!$1:$998,COLUMN(Q$1),FALSE),"")</f>
        <v>0</v>
      </c>
      <c r="W145">
        <f>IFERROR(VLOOKUP($C145,装備品!$1:$998,COLUMN(T$1),FALSE),"")</f>
        <v>0.1</v>
      </c>
      <c r="Y145">
        <f>IFERROR(VLOOKUP($C145,装備品!$1:$998,COLUMN(U$1),FALSE),"")</f>
        <v>0</v>
      </c>
      <c r="Z145">
        <f>IFERROR(ROUNDUP(VLOOKUP($C145,装備品!$1:$998,COLUMN(O$1),FALSE)*VLOOKUP($D145,素材!$1:$1016,COLUMN(E$1),FALSE),1),"")</f>
        <v>0</v>
      </c>
      <c r="AA145">
        <f>IF(ISNUMBER(SEARCH(SUBSTITUTE(AA$1,RIGHT(AA$1,2),""),VLOOKUP($D145,素材!$1:$1016,COLUMN($F$1),FALSE))),VLOOKUP($C145,装備品!$1:$998,COLUMN($O$1),FALSE)*VLOOKUP($D145,素材!$1:$1016,COLUMN($E$1),FALSE)/(LEN(VLOOKUP($D145,素材!$1:$1016,COLUMN($F$1),FALSE))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IFERROR(VLOOKUP($C145,装備品!$1:$998,COLUMN(V$1),FALSE)*VLOOKUP($D145,素材!$1:$1016,COLUMN(N$1),FALSE)+IF(CI145="",0,VLOOKUP($CI145,付与!$1:$1176,COLUMN($CK$1),FALSE)),"")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IFERROR(VLOOKUP($D146,素材!$1:$1016,COLUMN($B$1),FALSE)&amp;"・"&amp;VLOOKUP($C146,装備品!$1:$998,COLUMN(B$1),FALSE),"")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IFERROR(VLOOKUP(C146,装備品!$1:$998,COLUMN(C$1),FALSE),"")</f>
        <v>体</v>
      </c>
      <c r="F146">
        <f>IFERROR(ROUNDDOWN((VLOOKUP($C146,装備品!$1:$998,COLUMN(D$1),FALSE)+IFERROR(VLOOKUP($CI146,付与!$1:$1167,COLUMN(F$1),FALSE),0))*VLOOKUP($D146,素材!$1:$1016,COLUMN(D$1),FALSE),0),"")</f>
        <v>0</v>
      </c>
      <c r="G146">
        <f>IFERROR(ROUNDDOWN((VLOOKUP($C146,装備品!$1:$998,COLUMN(E$1),FALSE)+IFERROR(VLOOKUP($CI146,付与!$1:$1167,COLUMN(G$1),FALSE),0))*VLOOKUP($D146,素材!$1:$1016,COLUMN($E$1),FALSE),0),"")</f>
        <v>0</v>
      </c>
      <c r="H146">
        <f>IFERROR(ROUNDDOWN((VLOOKUP($C146,装備品!$1:$998,COLUMN(F$1),FALSE)+IFERROR(VLOOKUP($CI146,付与!$1:$1167,COLUMN(H$1),FALSE),0))*VLOOKUP($D146,素材!$1:$1016,COLUMN($E$1),FALSE),0),"")</f>
        <v>0</v>
      </c>
      <c r="I146">
        <f>IFERROR(ROUNDDOWN((VLOOKUP($C146,装備品!$1:$998,COLUMN(G$1),FALSE)+IFERROR(VLOOKUP($CI146,付与!$1:$1167,COLUMN(I$1),FALSE),0))*VLOOKUP($D146,素材!$1:$1016,COLUMN($E$1),FALSE),0),"")</f>
        <v>0</v>
      </c>
      <c r="J146">
        <f>IFERROR(ROUNDDOWN((VLOOKUP($C146,装備品!$1:$998,COLUMN(H$1),FALSE)+IFERROR(VLOOKUP($CI146,付与!$1:$1167,COLUMN(J$1),FALSE),0))*VLOOKUP($D146,素材!$1:$1016,COLUMN($E$1),FALSE),0),"")</f>
        <v>0</v>
      </c>
      <c r="K146">
        <f>IFERROR(ROUNDDOWN((VLOOKUP($C146,装備品!$1:$998,COLUMN(I$1),FALSE)+IFERROR(VLOOKUP($CI146,付与!$1:$1167,COLUMN(K$1),FALSE),0))*VLOOKUP($D146,素材!$1:$1016,COLUMN($E$1),FALSE),0),"")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IFERROR(VLOOKUP($C146,装備品!$1:$998,COLUMN(AA$1),FALSE)*VLOOKUP($D146,素材!$1:$1016,COLUMN($G$1),FALSE),"")</f>
        <v>50</v>
      </c>
      <c r="N146">
        <f>IFERROR(VLOOKUP($C146,装備品!$1:$998,COLUMN(I$1),FALSE),"")</f>
        <v>0</v>
      </c>
      <c r="O146" s="23" t="str">
        <f>IFERROR((VLOOKUP($C146,装備品!$1:$998,COLUMN(K$1),FALSE)+VLOOKUP($D146,素材!$1:$1016,COLUMN(H$1),FALSE))*100+IFERROR(VLOOKUP($CI146,付与!$1:$1167,COLUMN(O$1),FALSE),0),"")</f>
        <v/>
      </c>
      <c r="P146" s="23" t="str">
        <f>IFERROR((VLOOKUP($C146,装備品!$1:$998,COLUMN(L$1),FALSE)+VLOOKUP($D146,素材!$1:$1016,COLUMN(I$1),FALSE))*100+IFERROR(VLOOKUP($CI146,付与!$1:$1167,COLUMN(P$1),FALSE),0),"")</f>
        <v/>
      </c>
      <c r="Q146">
        <f>IFERROR(ROUNDUP(VLOOKUP($C146,装備品!$1:$998,COLUMN(M$1),FALSE)*(VLOOKUP($D146,素材!$1:$1002,COLUMN(D$1),FALSE)/100),1),"")</f>
        <v>0</v>
      </c>
      <c r="R146">
        <f>IFERROR(ROUNDUP(VLOOKUP($C146,装備品!$1:$998,COLUMN(N$1),FALSE)*(VLOOKUP($D146,素材!$1:$1002,COLUMN(D$1),FALSE)/100),1),"")</f>
        <v>0</v>
      </c>
      <c r="S146">
        <f>IFERROR(VLOOKUP($C146,装備品!$1:$998,COLUMN(P$1),FALSE),"")</f>
        <v>0</v>
      </c>
      <c r="T146">
        <f>IFERROR(VLOOKUP($C146,装備品!$1:$998,COLUMN(Q$1),FALSE),"")</f>
        <v>0</v>
      </c>
      <c r="U146">
        <f>IFERROR(VLOOKUP($C146,装備品!$1:$998,COLUMN(R$1),FALSE),"")</f>
        <v>0</v>
      </c>
      <c r="V146">
        <f>IFERROR(VLOOKUP($C146,装備品!$1:$998,COLUMN(Q$1),FALSE),"")</f>
        <v>0</v>
      </c>
      <c r="W146">
        <f>IFERROR(VLOOKUP($C146,装備品!$1:$998,COLUMN(T$1),FALSE),"")</f>
        <v>0.3</v>
      </c>
      <c r="Y146">
        <f>IFERROR(VLOOKUP($C146,装備品!$1:$998,COLUMN(U$1),FALSE),"")</f>
        <v>0</v>
      </c>
      <c r="Z146">
        <f>IFERROR(ROUNDUP(VLOOKUP($C146,装備品!$1:$998,COLUMN(O$1),FALSE)*VLOOKUP($D146,素材!$1:$1016,COLUMN(E$1),FALSE),1),"")</f>
        <v>0</v>
      </c>
      <c r="AA146">
        <f>IF(ISNUMBER(SEARCH(SUBSTITUTE(AA$1,RIGHT(AA$1,2),""),VLOOKUP($D146,素材!$1:$1016,COLUMN($F$1),FALSE))),VLOOKUP($C146,装備品!$1:$998,COLUMN($O$1),FALSE)*VLOOKUP($D146,素材!$1:$1016,COLUMN($E$1),FALSE)/(LEN(VLOOKUP($D146,素材!$1:$1016,COLUMN($F$1),FALSE))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IFERROR(VLOOKUP($C146,装備品!$1:$998,COLUMN(V$1),FALSE)*VLOOKUP($D146,素材!$1:$1016,COLUMN(N$1),FALSE)+IF(CI146="",0,VLOOKUP($CI146,付与!$1:$1176,COLUMN($CK$1),FALSE)),"")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IFERROR(VLOOKUP($D147,素材!$1:$1016,COLUMN($B$1),FALSE)&amp;"・"&amp;VLOOKUP($C147,装備品!$1:$998,COLUMN(B$1),FALSE),"")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IFERROR(VLOOKUP(C147,装備品!$1:$998,COLUMN(C$1),FALSE),"")</f>
        <v>体</v>
      </c>
      <c r="F147">
        <f>IFERROR(ROUNDDOWN((VLOOKUP($C147,装備品!$1:$998,COLUMN(D$1),FALSE)+IFERROR(VLOOKUP($CI147,付与!$1:$1167,COLUMN(F$1),FALSE),0))*VLOOKUP($D147,素材!$1:$1016,COLUMN(D$1),FALSE),0),"")</f>
        <v>0</v>
      </c>
      <c r="G147">
        <f>IFERROR(ROUNDDOWN((VLOOKUP($C147,装備品!$1:$998,COLUMN(E$1),FALSE)+IFERROR(VLOOKUP($CI147,付与!$1:$1167,COLUMN(G$1),FALSE),0))*VLOOKUP($D147,素材!$1:$1016,COLUMN($E$1),FALSE),0),"")</f>
        <v>0</v>
      </c>
      <c r="H147">
        <f>IFERROR(ROUNDDOWN((VLOOKUP($C147,装備品!$1:$998,COLUMN(F$1),FALSE)+IFERROR(VLOOKUP($CI147,付与!$1:$1167,COLUMN(H$1),FALSE),0))*VLOOKUP($D147,素材!$1:$1016,COLUMN($E$1),FALSE),0),"")</f>
        <v>0</v>
      </c>
      <c r="I147">
        <f>IFERROR(ROUNDDOWN((VLOOKUP($C147,装備品!$1:$998,COLUMN(G$1),FALSE)+IFERROR(VLOOKUP($CI147,付与!$1:$1167,COLUMN(I$1),FALSE),0))*VLOOKUP($D147,素材!$1:$1016,COLUMN($E$1),FALSE),0),"")</f>
        <v>0</v>
      </c>
      <c r="J147">
        <f>IFERROR(ROUNDDOWN((VLOOKUP($C147,装備品!$1:$998,COLUMN(H$1),FALSE)+IFERROR(VLOOKUP($CI147,付与!$1:$1167,COLUMN(J$1),FALSE),0))*VLOOKUP($D147,素材!$1:$1016,COLUMN($E$1),FALSE),0),"")</f>
        <v>0</v>
      </c>
      <c r="K147">
        <f>IFERROR(ROUNDDOWN((VLOOKUP($C147,装備品!$1:$998,COLUMN(I$1),FALSE)+IFERROR(VLOOKUP($CI147,付与!$1:$1167,COLUMN(K$1),FALSE),0))*VLOOKUP($D147,素材!$1:$1016,COLUMN($E$1),FALSE),0),"")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IFERROR(VLOOKUP($C147,装備品!$1:$998,COLUMN(AA$1),FALSE)*VLOOKUP($D147,素材!$1:$1016,COLUMN($G$1),FALSE),"")</f>
        <v>50</v>
      </c>
      <c r="N147">
        <f>IFERROR(VLOOKUP($C147,装備品!$1:$998,COLUMN(I$1),FALSE),"")</f>
        <v>0</v>
      </c>
      <c r="O147" s="23" t="str">
        <f>IFERROR((VLOOKUP($C147,装備品!$1:$998,COLUMN(K$1),FALSE)+VLOOKUP($D147,素材!$1:$1016,COLUMN(H$1),FALSE))*100+IFERROR(VLOOKUP($CI147,付与!$1:$1167,COLUMN(O$1),FALSE),0),"")</f>
        <v/>
      </c>
      <c r="P147" s="23" t="str">
        <f>IFERROR((VLOOKUP($C147,装備品!$1:$998,COLUMN(L$1),FALSE)+VLOOKUP($D147,素材!$1:$1016,COLUMN(I$1),FALSE))*100+IFERROR(VLOOKUP($CI147,付与!$1:$1167,COLUMN(P$1),FALSE),0),"")</f>
        <v/>
      </c>
      <c r="Q147">
        <f>IFERROR(ROUNDUP(VLOOKUP($C147,装備品!$1:$998,COLUMN(M$1),FALSE)*(VLOOKUP($D147,素材!$1:$1002,COLUMN(D$1),FALSE)/100),1),"")</f>
        <v>0</v>
      </c>
      <c r="R147">
        <f>IFERROR(ROUNDUP(VLOOKUP($C147,装備品!$1:$998,COLUMN(N$1),FALSE)*(VLOOKUP($D147,素材!$1:$1002,COLUMN(D$1),FALSE)/100),1),"")</f>
        <v>0</v>
      </c>
      <c r="S147">
        <f>IFERROR(VLOOKUP($C147,装備品!$1:$998,COLUMN(P$1),FALSE),"")</f>
        <v>0</v>
      </c>
      <c r="T147">
        <f>IFERROR(VLOOKUP($C147,装備品!$1:$998,COLUMN(Q$1),FALSE),"")</f>
        <v>0</v>
      </c>
      <c r="U147">
        <f>IFERROR(VLOOKUP($C147,装備品!$1:$998,COLUMN(R$1),FALSE),"")</f>
        <v>0</v>
      </c>
      <c r="V147">
        <f>IFERROR(VLOOKUP($C147,装備品!$1:$998,COLUMN(Q$1),FALSE),"")</f>
        <v>0</v>
      </c>
      <c r="W147">
        <f>IFERROR(VLOOKUP($C147,装備品!$1:$998,COLUMN(T$1),FALSE),"")</f>
        <v>0.2</v>
      </c>
      <c r="Y147">
        <f>IFERROR(VLOOKUP($C147,装備品!$1:$998,COLUMN(U$1),FALSE),"")</f>
        <v>0</v>
      </c>
      <c r="Z147">
        <f>IFERROR(ROUNDUP(VLOOKUP($C147,装備品!$1:$998,COLUMN(O$1),FALSE)*VLOOKUP($D147,素材!$1:$1016,COLUMN(E$1),FALSE),1),"")</f>
        <v>0</v>
      </c>
      <c r="AA147">
        <f>IF(ISNUMBER(SEARCH(SUBSTITUTE(AA$1,RIGHT(AA$1,2),""),VLOOKUP($D147,素材!$1:$1016,COLUMN($F$1),FALSE))),VLOOKUP($C147,装備品!$1:$998,COLUMN($O$1),FALSE)*VLOOKUP($D147,素材!$1:$1016,COLUMN($E$1),FALSE)/(LEN(VLOOKUP($D147,素材!$1:$1016,COLUMN($F$1),FALSE))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IFERROR(VLOOKUP($C147,装備品!$1:$998,COLUMN(V$1),FALSE)*VLOOKUP($D147,素材!$1:$1016,COLUMN(N$1),FALSE)+IF(CI147="",0,VLOOKUP($CI147,付与!$1:$1176,COLUMN($CK$1),FALSE)),"")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IFERROR(VLOOKUP($D148,素材!$1:$1016,COLUMN($B$1),FALSE)&amp;"・"&amp;VLOOKUP($C148,装備品!$1:$998,COLUMN(B$1),FALSE),"")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IFERROR(VLOOKUP(C148,装備品!$1:$998,COLUMN(C$1),FALSE),"")</f>
        <v>体</v>
      </c>
      <c r="F148">
        <f>IFERROR(ROUNDDOWN((VLOOKUP($C148,装備品!$1:$998,COLUMN(D$1),FALSE)+IFERROR(VLOOKUP($CI148,付与!$1:$1167,COLUMN(F$1),FALSE),0))*VLOOKUP($D148,素材!$1:$1016,COLUMN(D$1),FALSE),0),"")</f>
        <v>0</v>
      </c>
      <c r="G148">
        <f>IFERROR(ROUNDDOWN((VLOOKUP($C148,装備品!$1:$998,COLUMN(E$1),FALSE)+IFERROR(VLOOKUP($CI148,付与!$1:$1167,COLUMN(G$1),FALSE),0))*VLOOKUP($D148,素材!$1:$1016,COLUMN($E$1),FALSE),0),"")</f>
        <v>0</v>
      </c>
      <c r="H148">
        <f>IFERROR(ROUNDDOWN((VLOOKUP($C148,装備品!$1:$998,COLUMN(F$1),FALSE)+IFERROR(VLOOKUP($CI148,付与!$1:$1167,COLUMN(H$1),FALSE),0))*VLOOKUP($D148,素材!$1:$1016,COLUMN($E$1),FALSE),0),"")</f>
        <v>0</v>
      </c>
      <c r="I148">
        <f>IFERROR(ROUNDDOWN((VLOOKUP($C148,装備品!$1:$998,COLUMN(G$1),FALSE)+IFERROR(VLOOKUP($CI148,付与!$1:$1167,COLUMN(I$1),FALSE),0))*VLOOKUP($D148,素材!$1:$1016,COLUMN($E$1),FALSE),0),"")</f>
        <v>0</v>
      </c>
      <c r="J148">
        <f>IFERROR(ROUNDDOWN((VLOOKUP($C148,装備品!$1:$998,COLUMN(H$1),FALSE)+IFERROR(VLOOKUP($CI148,付与!$1:$1167,COLUMN(J$1),FALSE),0))*VLOOKUP($D148,素材!$1:$1016,COLUMN($E$1),FALSE),0),"")</f>
        <v>0</v>
      </c>
      <c r="K148">
        <f>IFERROR(ROUNDDOWN((VLOOKUP($C148,装備品!$1:$998,COLUMN(I$1),FALSE)+IFERROR(VLOOKUP($CI148,付与!$1:$1167,COLUMN(K$1),FALSE),0))*VLOOKUP($D148,素材!$1:$1016,COLUMN($E$1),FALSE),0),"")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IFERROR(VLOOKUP($C148,装備品!$1:$998,COLUMN(AA$1),FALSE)*VLOOKUP($D148,素材!$1:$1016,COLUMN($G$1),FALSE),"")</f>
        <v>75</v>
      </c>
      <c r="N148">
        <f>IFERROR(VLOOKUP($C148,装備品!$1:$998,COLUMN(I$1),FALSE),"")</f>
        <v>0</v>
      </c>
      <c r="O148" s="23" t="str">
        <f>IFERROR((VLOOKUP($C148,装備品!$1:$998,COLUMN(K$1),FALSE)+VLOOKUP($D148,素材!$1:$1016,COLUMN(H$1),FALSE))*100+IFERROR(VLOOKUP($CI148,付与!$1:$1167,COLUMN(O$1),FALSE),0),"")</f>
        <v/>
      </c>
      <c r="P148" s="23" t="str">
        <f>IFERROR((VLOOKUP($C148,装備品!$1:$998,COLUMN(L$1),FALSE)+VLOOKUP($D148,素材!$1:$1016,COLUMN(I$1),FALSE))*100+IFERROR(VLOOKUP($CI148,付与!$1:$1167,COLUMN(P$1),FALSE),0),"")</f>
        <v/>
      </c>
      <c r="Q148">
        <f>IFERROR(ROUNDUP(VLOOKUP($C148,装備品!$1:$998,COLUMN(M$1),FALSE)*(VLOOKUP($D148,素材!$1:$1002,COLUMN(D$1),FALSE)/100),1),"")</f>
        <v>-12</v>
      </c>
      <c r="R148">
        <f>IFERROR(ROUNDUP(VLOOKUP($C148,装備品!$1:$998,COLUMN(N$1),FALSE)*(VLOOKUP($D148,素材!$1:$1002,COLUMN(D$1),FALSE)/100),1),"")</f>
        <v>0</v>
      </c>
      <c r="S148">
        <f>IFERROR(VLOOKUP($C148,装備品!$1:$998,COLUMN(P$1),FALSE),"")</f>
        <v>-35</v>
      </c>
      <c r="T148">
        <f>IFERROR(VLOOKUP($C148,装備品!$1:$998,COLUMN(Q$1),FALSE),"")</f>
        <v>0</v>
      </c>
      <c r="U148">
        <f>IFERROR(VLOOKUP($C148,装備品!$1:$998,COLUMN(R$1),FALSE),"")</f>
        <v>0</v>
      </c>
      <c r="V148">
        <f>IFERROR(VLOOKUP($C148,装備品!$1:$998,COLUMN(Q$1),FALSE),"")</f>
        <v>0</v>
      </c>
      <c r="W148">
        <f>IFERROR(VLOOKUP($C148,装備品!$1:$998,COLUMN(T$1),FALSE),"")</f>
        <v>0.7</v>
      </c>
      <c r="Y148">
        <f>IFERROR(VLOOKUP($C148,装備品!$1:$998,COLUMN(U$1),FALSE),"")</f>
        <v>0</v>
      </c>
      <c r="Z148">
        <f>IFERROR(ROUNDUP(VLOOKUP($C148,装備品!$1:$998,COLUMN(O$1),FALSE)*VLOOKUP($D148,素材!$1:$1016,COLUMN(E$1),FALSE),1),"")</f>
        <v>0</v>
      </c>
      <c r="AA148">
        <f>IF(ISNUMBER(SEARCH(SUBSTITUTE(AA$1,RIGHT(AA$1,2),""),VLOOKUP($D148,素材!$1:$1016,COLUMN($F$1),FALSE))),VLOOKUP($C148,装備品!$1:$998,COLUMN($O$1),FALSE)*VLOOKUP($D148,素材!$1:$1016,COLUMN($E$1),FALSE)/(LEN(VLOOKUP($D148,素材!$1:$1016,COLUMN($F$1),FALSE))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IFERROR(VLOOKUP($C148,装備品!$1:$998,COLUMN(V$1),FALSE)*VLOOKUP($D148,素材!$1:$1016,COLUMN(N$1),FALSE)+IF(CI148="",0,VLOOKUP($CI148,付与!$1:$1176,COLUMN($CK$1),FALSE)),"")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IFERROR(VLOOKUP($D149,素材!$1:$1016,COLUMN($B$1),FALSE)&amp;"・"&amp;VLOOKUP($C149,装備品!$1:$998,COLUMN(B$1),FALSE),"")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IFERROR(VLOOKUP(C149,装備品!$1:$998,COLUMN(C$1),FALSE),"")</f>
        <v>体</v>
      </c>
      <c r="F149">
        <f>IFERROR(ROUNDDOWN((VLOOKUP($C149,装備品!$1:$998,COLUMN(D$1),FALSE)+IFERROR(VLOOKUP($CI149,付与!$1:$1167,COLUMN(F$1),FALSE),0))*VLOOKUP($D149,素材!$1:$1016,COLUMN(D$1),FALSE),0),"")</f>
        <v>0</v>
      </c>
      <c r="G149">
        <f>IFERROR(ROUNDDOWN((VLOOKUP($C149,装備品!$1:$998,COLUMN(E$1),FALSE)+IFERROR(VLOOKUP($CI149,付与!$1:$1167,COLUMN(G$1),FALSE),0))*VLOOKUP($D149,素材!$1:$1016,COLUMN($E$1),FALSE),0),"")</f>
        <v>0</v>
      </c>
      <c r="H149">
        <f>IFERROR(ROUNDDOWN((VLOOKUP($C149,装備品!$1:$998,COLUMN(F$1),FALSE)+IFERROR(VLOOKUP($CI149,付与!$1:$1167,COLUMN(H$1),FALSE),0))*VLOOKUP($D149,素材!$1:$1016,COLUMN($E$1),FALSE),0),"")</f>
        <v>0</v>
      </c>
      <c r="I149">
        <f>IFERROR(ROUNDDOWN((VLOOKUP($C149,装備品!$1:$998,COLUMN(G$1),FALSE)+IFERROR(VLOOKUP($CI149,付与!$1:$1167,COLUMN(I$1),FALSE),0))*VLOOKUP($D149,素材!$1:$1016,COLUMN($E$1),FALSE),0),"")</f>
        <v>0</v>
      </c>
      <c r="J149">
        <f>IFERROR(ROUNDDOWN((VLOOKUP($C149,装備品!$1:$998,COLUMN(H$1),FALSE)+IFERROR(VLOOKUP($CI149,付与!$1:$1167,COLUMN(J$1),FALSE),0))*VLOOKUP($D149,素材!$1:$1016,COLUMN($E$1),FALSE),0),"")</f>
        <v>0</v>
      </c>
      <c r="K149">
        <f>IFERROR(ROUNDDOWN((VLOOKUP($C149,装備品!$1:$998,COLUMN(I$1),FALSE)+IFERROR(VLOOKUP($CI149,付与!$1:$1167,COLUMN(K$1),FALSE),0))*VLOOKUP($D149,素材!$1:$1016,COLUMN($E$1),FALSE),0),"")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IFERROR(VLOOKUP($C149,装備品!$1:$998,COLUMN(AA$1),FALSE)*VLOOKUP($D149,素材!$1:$1016,COLUMN($G$1),FALSE),"")</f>
        <v>62.5</v>
      </c>
      <c r="N149">
        <f>IFERROR(VLOOKUP($C149,装備品!$1:$998,COLUMN(I$1),FALSE),"")</f>
        <v>0</v>
      </c>
      <c r="O149" s="23" t="str">
        <f>IFERROR((VLOOKUP($C149,装備品!$1:$998,COLUMN(K$1),FALSE)+VLOOKUP($D149,素材!$1:$1016,COLUMN(H$1),FALSE))*100+IFERROR(VLOOKUP($CI149,付与!$1:$1167,COLUMN(O$1),FALSE),0),"")</f>
        <v/>
      </c>
      <c r="P149" s="23" t="str">
        <f>IFERROR((VLOOKUP($C149,装備品!$1:$998,COLUMN(L$1),FALSE)+VLOOKUP($D149,素材!$1:$1016,COLUMN(I$1),FALSE))*100+IFERROR(VLOOKUP($CI149,付与!$1:$1167,COLUMN(P$1),FALSE),0),"")</f>
        <v/>
      </c>
      <c r="Q149">
        <f>IFERROR(ROUNDUP(VLOOKUP($C149,装備品!$1:$998,COLUMN(M$1),FALSE)*(VLOOKUP($D149,素材!$1:$1002,COLUMN(D$1),FALSE)/100),1),"")</f>
        <v>-6</v>
      </c>
      <c r="R149">
        <f>IFERROR(ROUNDUP(VLOOKUP($C149,装備品!$1:$998,COLUMN(N$1),FALSE)*(VLOOKUP($D149,素材!$1:$1002,COLUMN(D$1),FALSE)/100),1),"")</f>
        <v>0</v>
      </c>
      <c r="S149">
        <f>IFERROR(VLOOKUP($C149,装備品!$1:$998,COLUMN(P$1),FALSE),"")</f>
        <v>-15</v>
      </c>
      <c r="T149">
        <f>IFERROR(VLOOKUP($C149,装備品!$1:$998,COLUMN(Q$1),FALSE),"")</f>
        <v>0</v>
      </c>
      <c r="U149">
        <f>IFERROR(VLOOKUP($C149,装備品!$1:$998,COLUMN(R$1),FALSE),"")</f>
        <v>0</v>
      </c>
      <c r="V149">
        <f>IFERROR(VLOOKUP($C149,装備品!$1:$998,COLUMN(Q$1),FALSE),"")</f>
        <v>0</v>
      </c>
      <c r="W149">
        <f>IFERROR(VLOOKUP($C149,装備品!$1:$998,COLUMN(T$1),FALSE),"")</f>
        <v>0.5</v>
      </c>
      <c r="Y149">
        <f>IFERROR(VLOOKUP($C149,装備品!$1:$998,COLUMN(U$1),FALSE),"")</f>
        <v>0</v>
      </c>
      <c r="Z149">
        <f>IFERROR(ROUNDUP(VLOOKUP($C149,装備品!$1:$998,COLUMN(O$1),FALSE)*VLOOKUP($D149,素材!$1:$1016,COLUMN(E$1),FALSE),1),"")</f>
        <v>0</v>
      </c>
      <c r="AA149">
        <f>IF(ISNUMBER(SEARCH(SUBSTITUTE(AA$1,RIGHT(AA$1,2),""),VLOOKUP($D149,素材!$1:$1016,COLUMN($F$1),FALSE))),VLOOKUP($C149,装備品!$1:$998,COLUMN($O$1),FALSE)*VLOOKUP($D149,素材!$1:$1016,COLUMN($E$1),FALSE)/(LEN(VLOOKUP($D149,素材!$1:$1016,COLUMN($F$1),FALSE))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IFERROR(VLOOKUP($C149,装備品!$1:$998,COLUMN(V$1),FALSE)*VLOOKUP($D149,素材!$1:$1016,COLUMN(N$1),FALSE)+IF(CI149="",0,VLOOKUP($CI149,付与!$1:$1176,COLUMN($CK$1),FALSE)),"")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IFERROR(VLOOKUP($D150,素材!$1:$1016,COLUMN($B$1),FALSE)&amp;"・"&amp;VLOOKUP($C150,装備品!$1:$998,COLUMN(B$1),FALSE),"")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IFERROR(VLOOKUP(C150,装備品!$1:$998,COLUMN(C$1),FALSE),"")</f>
        <v>頭</v>
      </c>
      <c r="F150">
        <f>IFERROR(ROUNDDOWN((VLOOKUP($C150,装備品!$1:$998,COLUMN(D$1),FALSE)+IFERROR(VLOOKUP($CI150,付与!$1:$1167,COLUMN(F$1),FALSE),0))*VLOOKUP($D150,素材!$1:$1016,COLUMN(D$1),FALSE),0),"")</f>
        <v>0</v>
      </c>
      <c r="G150">
        <f>IFERROR(ROUNDDOWN((VLOOKUP($C150,装備品!$1:$998,COLUMN(E$1),FALSE)+IFERROR(VLOOKUP($CI150,付与!$1:$1167,COLUMN(G$1),FALSE),0))*VLOOKUP($D150,素材!$1:$1016,COLUMN($E$1),FALSE),0),"")</f>
        <v>0</v>
      </c>
      <c r="H150">
        <f>IFERROR(ROUNDDOWN((VLOOKUP($C150,装備品!$1:$998,COLUMN(F$1),FALSE)+IFERROR(VLOOKUP($CI150,付与!$1:$1167,COLUMN(H$1),FALSE),0))*VLOOKUP($D150,素材!$1:$1016,COLUMN($E$1),FALSE),0),"")</f>
        <v>0</v>
      </c>
      <c r="I150">
        <f>IFERROR(ROUNDDOWN((VLOOKUP($C150,装備品!$1:$998,COLUMN(G$1),FALSE)+IFERROR(VLOOKUP($CI150,付与!$1:$1167,COLUMN(I$1),FALSE),0))*VLOOKUP($D150,素材!$1:$1016,COLUMN($E$1),FALSE),0),"")</f>
        <v>0</v>
      </c>
      <c r="J150">
        <f>IFERROR(ROUNDDOWN((VLOOKUP($C150,装備品!$1:$998,COLUMN(H$1),FALSE)+IFERROR(VLOOKUP($CI150,付与!$1:$1167,COLUMN(J$1),FALSE),0))*VLOOKUP($D150,素材!$1:$1016,COLUMN($E$1),FALSE),0),"")</f>
        <v>0</v>
      </c>
      <c r="K150">
        <f>IFERROR(ROUNDDOWN((VLOOKUP($C150,装備品!$1:$998,COLUMN(I$1),FALSE)+IFERROR(VLOOKUP($CI150,付与!$1:$1167,COLUMN(K$1),FALSE),0))*VLOOKUP($D150,素材!$1:$1016,COLUMN($E$1),FALSE),0),"")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IFERROR(VLOOKUP($C150,装備品!$1:$998,COLUMN(AA$1),FALSE)*VLOOKUP($D150,素材!$1:$1016,COLUMN($G$1),FALSE),"")</f>
        <v>25</v>
      </c>
      <c r="N150">
        <f>IFERROR(VLOOKUP($C150,装備品!$1:$998,COLUMN(I$1),FALSE),"")</f>
        <v>0</v>
      </c>
      <c r="O150" s="23" t="str">
        <f>IFERROR((VLOOKUP($C150,装備品!$1:$998,COLUMN(K$1),FALSE)+VLOOKUP($D150,素材!$1:$1016,COLUMN(H$1),FALSE))*100+IFERROR(VLOOKUP($CI150,付与!$1:$1167,COLUMN(O$1),FALSE),0),"")</f>
        <v/>
      </c>
      <c r="P150" s="23" t="str">
        <f>IFERROR((VLOOKUP($C150,装備品!$1:$998,COLUMN(L$1),FALSE)+VLOOKUP($D150,素材!$1:$1016,COLUMN(I$1),FALSE))*100+IFERROR(VLOOKUP($CI150,付与!$1:$1167,COLUMN(P$1),FALSE),0),"")</f>
        <v/>
      </c>
      <c r="Q150">
        <f>IFERROR(ROUNDUP(VLOOKUP($C150,装備品!$1:$998,COLUMN(M$1),FALSE)*(VLOOKUP($D150,素材!$1:$1002,COLUMN(D$1),FALSE)/100),1),"")</f>
        <v>0</v>
      </c>
      <c r="R150">
        <f>IFERROR(ROUNDUP(VLOOKUP($C150,装備品!$1:$998,COLUMN(N$1),FALSE)*(VLOOKUP($D150,素材!$1:$1002,COLUMN(D$1),FALSE)/100),1),"")</f>
        <v>0</v>
      </c>
      <c r="S150">
        <f>IFERROR(VLOOKUP($C150,装備品!$1:$998,COLUMN(P$1),FALSE),"")</f>
        <v>0</v>
      </c>
      <c r="T150">
        <f>IFERROR(VLOOKUP($C150,装備品!$1:$998,COLUMN(Q$1),FALSE),"")</f>
        <v>0</v>
      </c>
      <c r="U150">
        <f>IFERROR(VLOOKUP($C150,装備品!$1:$998,COLUMN(R$1),FALSE),"")</f>
        <v>0</v>
      </c>
      <c r="V150">
        <f>IFERROR(VLOOKUP($C150,装備品!$1:$998,COLUMN(Q$1),FALSE),"")</f>
        <v>0</v>
      </c>
      <c r="W150">
        <f>IFERROR(VLOOKUP($C150,装備品!$1:$998,COLUMN(T$1),FALSE),"")</f>
        <v>0.1</v>
      </c>
      <c r="Y150">
        <f>IFERROR(VLOOKUP($C150,装備品!$1:$998,COLUMN(U$1),FALSE),"")</f>
        <v>0</v>
      </c>
      <c r="Z150">
        <f>IFERROR(ROUNDUP(VLOOKUP($C150,装備品!$1:$998,COLUMN(O$1),FALSE)*VLOOKUP($D150,素材!$1:$1016,COLUMN(E$1),FALSE),1),"")</f>
        <v>0</v>
      </c>
      <c r="AA150">
        <f>IF(ISNUMBER(SEARCH(SUBSTITUTE(AA$1,RIGHT(AA$1,2),""),VLOOKUP($D150,素材!$1:$1016,COLUMN($F$1),FALSE))),VLOOKUP($C150,装備品!$1:$998,COLUMN($O$1),FALSE)*VLOOKUP($D150,素材!$1:$1016,COLUMN($E$1),FALSE)/(LEN(VLOOKUP($D150,素材!$1:$1016,COLUMN($F$1),FALSE))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IFERROR(VLOOKUP($C150,装備品!$1:$998,COLUMN(V$1),FALSE)*VLOOKUP($D150,素材!$1:$1016,COLUMN(N$1),FALSE)+IF(CI150="",0,VLOOKUP($CI150,付与!$1:$1176,COLUMN($CK$1),FALSE)),"")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IFERROR(VLOOKUP($D151,素材!$1:$1016,COLUMN($B$1),FALSE)&amp;"・"&amp;VLOOKUP($C151,装備品!$1:$998,COLUMN(B$1),FALSE),"")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IFERROR(VLOOKUP(C151,装備品!$1:$998,COLUMN(C$1),FALSE),"")</f>
        <v>体</v>
      </c>
      <c r="F151">
        <f>IFERROR(ROUNDDOWN((VLOOKUP($C151,装備品!$1:$998,COLUMN(D$1),FALSE)+IFERROR(VLOOKUP($CI151,付与!$1:$1167,COLUMN(F$1),FALSE),0))*VLOOKUP($D151,素材!$1:$1016,COLUMN(D$1),FALSE),0),"")</f>
        <v>0</v>
      </c>
      <c r="G151">
        <f>IFERROR(ROUNDDOWN((VLOOKUP($C151,装備品!$1:$998,COLUMN(E$1),FALSE)+IFERROR(VLOOKUP($CI151,付与!$1:$1167,COLUMN(G$1),FALSE),0))*VLOOKUP($D151,素材!$1:$1016,COLUMN($E$1),FALSE),0),"")</f>
        <v>0</v>
      </c>
      <c r="H151">
        <f>IFERROR(ROUNDDOWN((VLOOKUP($C151,装備品!$1:$998,COLUMN(F$1),FALSE)+IFERROR(VLOOKUP($CI151,付与!$1:$1167,COLUMN(H$1),FALSE),0))*VLOOKUP($D151,素材!$1:$1016,COLUMN($E$1),FALSE),0),"")</f>
        <v>0</v>
      </c>
      <c r="I151">
        <f>IFERROR(ROUNDDOWN((VLOOKUP($C151,装備品!$1:$998,COLUMN(G$1),FALSE)+IFERROR(VLOOKUP($CI151,付与!$1:$1167,COLUMN(I$1),FALSE),0))*VLOOKUP($D151,素材!$1:$1016,COLUMN($E$1),FALSE),0),"")</f>
        <v>0</v>
      </c>
      <c r="J151">
        <f>IFERROR(ROUNDDOWN((VLOOKUP($C151,装備品!$1:$998,COLUMN(H$1),FALSE)+IFERROR(VLOOKUP($CI151,付与!$1:$1167,COLUMN(J$1),FALSE),0))*VLOOKUP($D151,素材!$1:$1016,COLUMN($E$1),FALSE),0),"")</f>
        <v>0</v>
      </c>
      <c r="K151">
        <f>IFERROR(ROUNDDOWN((VLOOKUP($C151,装備品!$1:$998,COLUMN(I$1),FALSE)+IFERROR(VLOOKUP($CI151,付与!$1:$1167,COLUMN(K$1),FALSE),0))*VLOOKUP($D151,素材!$1:$1016,COLUMN($E$1),FALSE),0),"")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IFERROR(VLOOKUP($C151,装備品!$1:$998,COLUMN(AA$1),FALSE)*VLOOKUP($D151,素材!$1:$1016,COLUMN($G$1),FALSE),"")</f>
        <v>50</v>
      </c>
      <c r="N151">
        <f>IFERROR(VLOOKUP($C151,装備品!$1:$998,COLUMN(I$1),FALSE),"")</f>
        <v>0</v>
      </c>
      <c r="O151" s="23" t="str">
        <f>IFERROR((VLOOKUP($C151,装備品!$1:$998,COLUMN(K$1),FALSE)+VLOOKUP($D151,素材!$1:$1016,COLUMN(H$1),FALSE))*100+IFERROR(VLOOKUP($CI151,付与!$1:$1167,COLUMN(O$1),FALSE),0),"")</f>
        <v/>
      </c>
      <c r="P151" s="23" t="str">
        <f>IFERROR((VLOOKUP($C151,装備品!$1:$998,COLUMN(L$1),FALSE)+VLOOKUP($D151,素材!$1:$1016,COLUMN(I$1),FALSE))*100+IFERROR(VLOOKUP($CI151,付与!$1:$1167,COLUMN(P$1),FALSE),0),"")</f>
        <v/>
      </c>
      <c r="Q151">
        <f>IFERROR(ROUNDUP(VLOOKUP($C151,装備品!$1:$998,COLUMN(M$1),FALSE)*(VLOOKUP($D151,素材!$1:$1002,COLUMN(D$1),FALSE)/100),1),"")</f>
        <v>0</v>
      </c>
      <c r="R151">
        <f>IFERROR(ROUNDUP(VLOOKUP($C151,装備品!$1:$998,COLUMN(N$1),FALSE)*(VLOOKUP($D151,素材!$1:$1002,COLUMN(D$1),FALSE)/100),1),"")</f>
        <v>0</v>
      </c>
      <c r="S151">
        <f>IFERROR(VLOOKUP($C151,装備品!$1:$998,COLUMN(P$1),FALSE),"")</f>
        <v>0</v>
      </c>
      <c r="T151">
        <f>IFERROR(VLOOKUP($C151,装備品!$1:$998,COLUMN(Q$1),FALSE),"")</f>
        <v>0</v>
      </c>
      <c r="U151">
        <f>IFERROR(VLOOKUP($C151,装備品!$1:$998,COLUMN(R$1),FALSE),"")</f>
        <v>0</v>
      </c>
      <c r="V151">
        <f>IFERROR(VLOOKUP($C151,装備品!$1:$998,COLUMN(Q$1),FALSE),"")</f>
        <v>0</v>
      </c>
      <c r="W151">
        <f>IFERROR(VLOOKUP($C151,装備品!$1:$998,COLUMN(T$1),FALSE),"")</f>
        <v>0.3</v>
      </c>
      <c r="Y151">
        <f>IFERROR(VLOOKUP($C151,装備品!$1:$998,COLUMN(U$1),FALSE),"")</f>
        <v>0</v>
      </c>
      <c r="Z151">
        <f>IFERROR(ROUNDUP(VLOOKUP($C151,装備品!$1:$998,COLUMN(O$1),FALSE)*VLOOKUP($D151,素材!$1:$1016,COLUMN(E$1),FALSE),1),"")</f>
        <v>0</v>
      </c>
      <c r="AA151">
        <f>IF(ISNUMBER(SEARCH(SUBSTITUTE(AA$1,RIGHT(AA$1,2),""),VLOOKUP($D151,素材!$1:$1016,COLUMN($F$1),FALSE))),VLOOKUP($C151,装備品!$1:$998,COLUMN($O$1),FALSE)*VLOOKUP($D151,素材!$1:$1016,COLUMN($E$1),FALSE)/(LEN(VLOOKUP($D151,素材!$1:$1016,COLUMN($F$1),FALSE))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IFERROR(VLOOKUP($C151,装備品!$1:$998,COLUMN(V$1),FALSE)*VLOOKUP($D151,素材!$1:$1016,COLUMN(N$1),FALSE)+IF(CI151="",0,VLOOKUP($CI151,付与!$1:$1176,COLUMN($CK$1),FALSE)),"")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IFERROR(VLOOKUP($D152,素材!$1:$1016,COLUMN($B$1),FALSE)&amp;"・"&amp;VLOOKUP($C152,装備品!$1:$998,COLUMN(B$1),FALSE),"")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IFERROR(VLOOKUP(C152,装備品!$1:$998,COLUMN(C$1),FALSE),"")</f>
        <v>体</v>
      </c>
      <c r="F152">
        <f>IFERROR(ROUNDDOWN((VLOOKUP($C152,装備品!$1:$998,COLUMN(D$1),FALSE)+IFERROR(VLOOKUP($CI152,付与!$1:$1167,COLUMN(F$1),FALSE),0))*VLOOKUP($D152,素材!$1:$1016,COLUMN(D$1),FALSE),0),"")</f>
        <v>0</v>
      </c>
      <c r="G152">
        <f>IFERROR(ROUNDDOWN((VLOOKUP($C152,装備品!$1:$998,COLUMN(E$1),FALSE)+IFERROR(VLOOKUP($CI152,付与!$1:$1167,COLUMN(G$1),FALSE),0))*VLOOKUP($D152,素材!$1:$1016,COLUMN($E$1),FALSE),0),"")</f>
        <v>0</v>
      </c>
      <c r="H152">
        <f>IFERROR(ROUNDDOWN((VLOOKUP($C152,装備品!$1:$998,COLUMN(F$1),FALSE)+IFERROR(VLOOKUP($CI152,付与!$1:$1167,COLUMN(H$1),FALSE),0))*VLOOKUP($D152,素材!$1:$1016,COLUMN($E$1),FALSE),0),"")</f>
        <v>0</v>
      </c>
      <c r="I152">
        <f>IFERROR(ROUNDDOWN((VLOOKUP($C152,装備品!$1:$998,COLUMN(G$1),FALSE)+IFERROR(VLOOKUP($CI152,付与!$1:$1167,COLUMN(I$1),FALSE),0))*VLOOKUP($D152,素材!$1:$1016,COLUMN($E$1),FALSE),0),"")</f>
        <v>0</v>
      </c>
      <c r="J152">
        <f>IFERROR(ROUNDDOWN((VLOOKUP($C152,装備品!$1:$998,COLUMN(H$1),FALSE)+IFERROR(VLOOKUP($CI152,付与!$1:$1167,COLUMN(J$1),FALSE),0))*VLOOKUP($D152,素材!$1:$1016,COLUMN($E$1),FALSE),0),"")</f>
        <v>0</v>
      </c>
      <c r="K152">
        <f>IFERROR(ROUNDDOWN((VLOOKUP($C152,装備品!$1:$998,COLUMN(I$1),FALSE)+IFERROR(VLOOKUP($CI152,付与!$1:$1167,COLUMN(K$1),FALSE),0))*VLOOKUP($D152,素材!$1:$1016,COLUMN($E$1),FALSE),0),"")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IFERROR(VLOOKUP($C152,装備品!$1:$998,COLUMN(AA$1),FALSE)*VLOOKUP($D152,素材!$1:$1016,COLUMN($G$1),FALSE),"")</f>
        <v>50</v>
      </c>
      <c r="N152">
        <f>IFERROR(VLOOKUP($C152,装備品!$1:$998,COLUMN(I$1),FALSE),"")</f>
        <v>0</v>
      </c>
      <c r="O152" s="23" t="str">
        <f>IFERROR((VLOOKUP($C152,装備品!$1:$998,COLUMN(K$1),FALSE)+VLOOKUP($D152,素材!$1:$1016,COLUMN(H$1),FALSE))*100+IFERROR(VLOOKUP($CI152,付与!$1:$1167,COLUMN(O$1),FALSE),0),"")</f>
        <v/>
      </c>
      <c r="P152" s="23" t="str">
        <f>IFERROR((VLOOKUP($C152,装備品!$1:$998,COLUMN(L$1),FALSE)+VLOOKUP($D152,素材!$1:$1016,COLUMN(I$1),FALSE))*100+IFERROR(VLOOKUP($CI152,付与!$1:$1167,COLUMN(P$1),FALSE),0),"")</f>
        <v/>
      </c>
      <c r="Q152">
        <f>IFERROR(ROUNDUP(VLOOKUP($C152,装備品!$1:$998,COLUMN(M$1),FALSE)*(VLOOKUP($D152,素材!$1:$1002,COLUMN(D$1),FALSE)/100),1),"")</f>
        <v>0</v>
      </c>
      <c r="R152">
        <f>IFERROR(ROUNDUP(VLOOKUP($C152,装備品!$1:$998,COLUMN(N$1),FALSE)*(VLOOKUP($D152,素材!$1:$1002,COLUMN(D$1),FALSE)/100),1),"")</f>
        <v>0</v>
      </c>
      <c r="S152">
        <f>IFERROR(VLOOKUP($C152,装備品!$1:$998,COLUMN(P$1),FALSE),"")</f>
        <v>0</v>
      </c>
      <c r="T152">
        <f>IFERROR(VLOOKUP($C152,装備品!$1:$998,COLUMN(Q$1),FALSE),"")</f>
        <v>0</v>
      </c>
      <c r="U152">
        <f>IFERROR(VLOOKUP($C152,装備品!$1:$998,COLUMN(R$1),FALSE),"")</f>
        <v>0</v>
      </c>
      <c r="V152">
        <f>IFERROR(VLOOKUP($C152,装備品!$1:$998,COLUMN(Q$1),FALSE),"")</f>
        <v>0</v>
      </c>
      <c r="W152">
        <f>IFERROR(VLOOKUP($C152,装備品!$1:$998,COLUMN(T$1),FALSE),"")</f>
        <v>0.2</v>
      </c>
      <c r="Y152">
        <f>IFERROR(VLOOKUP($C152,装備品!$1:$998,COLUMN(U$1),FALSE),"")</f>
        <v>0</v>
      </c>
      <c r="Z152">
        <f>IFERROR(ROUNDUP(VLOOKUP($C152,装備品!$1:$998,COLUMN(O$1),FALSE)*VLOOKUP($D152,素材!$1:$1016,COLUMN(E$1),FALSE),1),"")</f>
        <v>0</v>
      </c>
      <c r="AA152">
        <f>IF(ISNUMBER(SEARCH(SUBSTITUTE(AA$1,RIGHT(AA$1,2),""),VLOOKUP($D152,素材!$1:$1016,COLUMN($F$1),FALSE))),VLOOKUP($C152,装備品!$1:$998,COLUMN($O$1),FALSE)*VLOOKUP($D152,素材!$1:$1016,COLUMN($E$1),FALSE)/(LEN(VLOOKUP($D152,素材!$1:$1016,COLUMN($F$1),FALSE))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IFERROR(VLOOKUP($C152,装備品!$1:$998,COLUMN(V$1),FALSE)*VLOOKUP($D152,素材!$1:$1016,COLUMN(N$1),FALSE)+IF(CI152="",0,VLOOKUP($CI152,付与!$1:$1176,COLUMN($CK$1),FALSE)),"")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IFERROR(VLOOKUP($D153,素材!$1:$1016,COLUMN($B$1),FALSE)&amp;"・"&amp;VLOOKUP($C153,装備品!$1:$998,COLUMN(B$1),FALSE),"")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IFERROR(VLOOKUP(C153,装備品!$1:$998,COLUMN(C$1),FALSE),"")</f>
        <v>体</v>
      </c>
      <c r="F153">
        <f>IFERROR(ROUNDDOWN((VLOOKUP($C153,装備品!$1:$998,COLUMN(D$1),FALSE)+IFERROR(VLOOKUP($CI153,付与!$1:$1167,COLUMN(F$1),FALSE),0))*VLOOKUP($D153,素材!$1:$1016,COLUMN(D$1),FALSE),0),"")</f>
        <v>0</v>
      </c>
      <c r="G153">
        <f>IFERROR(ROUNDDOWN((VLOOKUP($C153,装備品!$1:$998,COLUMN(E$1),FALSE)+IFERROR(VLOOKUP($CI153,付与!$1:$1167,COLUMN(G$1),FALSE),0))*VLOOKUP($D153,素材!$1:$1016,COLUMN($E$1),FALSE),0),"")</f>
        <v>0</v>
      </c>
      <c r="H153">
        <f>IFERROR(ROUNDDOWN((VLOOKUP($C153,装備品!$1:$998,COLUMN(F$1),FALSE)+IFERROR(VLOOKUP($CI153,付与!$1:$1167,COLUMN(H$1),FALSE),0))*VLOOKUP($D153,素材!$1:$1016,COLUMN($E$1),FALSE),0),"")</f>
        <v>0</v>
      </c>
      <c r="I153">
        <f>IFERROR(ROUNDDOWN((VLOOKUP($C153,装備品!$1:$998,COLUMN(G$1),FALSE)+IFERROR(VLOOKUP($CI153,付与!$1:$1167,COLUMN(I$1),FALSE),0))*VLOOKUP($D153,素材!$1:$1016,COLUMN($E$1),FALSE),0),"")</f>
        <v>0</v>
      </c>
      <c r="J153">
        <f>IFERROR(ROUNDDOWN((VLOOKUP($C153,装備品!$1:$998,COLUMN(H$1),FALSE)+IFERROR(VLOOKUP($CI153,付与!$1:$1167,COLUMN(J$1),FALSE),0))*VLOOKUP($D153,素材!$1:$1016,COLUMN($E$1),FALSE),0),"")</f>
        <v>0</v>
      </c>
      <c r="K153">
        <f>IFERROR(ROUNDDOWN((VLOOKUP($C153,装備品!$1:$998,COLUMN(I$1),FALSE)+IFERROR(VLOOKUP($CI153,付与!$1:$1167,COLUMN(K$1),FALSE),0))*VLOOKUP($D153,素材!$1:$1016,COLUMN($E$1),FALSE),0),"")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IFERROR(VLOOKUP($C153,装備品!$1:$998,COLUMN(AA$1),FALSE)*VLOOKUP($D153,素材!$1:$1016,COLUMN($G$1),FALSE),"")</f>
        <v>75</v>
      </c>
      <c r="N153">
        <f>IFERROR(VLOOKUP($C153,装備品!$1:$998,COLUMN(I$1),FALSE),"")</f>
        <v>0</v>
      </c>
      <c r="O153" s="23" t="str">
        <f>IFERROR((VLOOKUP($C153,装備品!$1:$998,COLUMN(K$1),FALSE)+VLOOKUP($D153,素材!$1:$1016,COLUMN(H$1),FALSE))*100+IFERROR(VLOOKUP($CI153,付与!$1:$1167,COLUMN(O$1),FALSE),0),"")</f>
        <v/>
      </c>
      <c r="P153" s="23" t="str">
        <f>IFERROR((VLOOKUP($C153,装備品!$1:$998,COLUMN(L$1),FALSE)+VLOOKUP($D153,素材!$1:$1016,COLUMN(I$1),FALSE))*100+IFERROR(VLOOKUP($CI153,付与!$1:$1167,COLUMN(P$1),FALSE),0),"")</f>
        <v/>
      </c>
      <c r="Q153">
        <f>IFERROR(ROUNDUP(VLOOKUP($C153,装備品!$1:$998,COLUMN(M$1),FALSE)*(VLOOKUP($D153,素材!$1:$1002,COLUMN(D$1),FALSE)/100),1),"")</f>
        <v>-12</v>
      </c>
      <c r="R153">
        <f>IFERROR(ROUNDUP(VLOOKUP($C153,装備品!$1:$998,COLUMN(N$1),FALSE)*(VLOOKUP($D153,素材!$1:$1002,COLUMN(D$1),FALSE)/100),1),"")</f>
        <v>0</v>
      </c>
      <c r="S153">
        <f>IFERROR(VLOOKUP($C153,装備品!$1:$998,COLUMN(P$1),FALSE),"")</f>
        <v>-35</v>
      </c>
      <c r="T153">
        <f>IFERROR(VLOOKUP($C153,装備品!$1:$998,COLUMN(Q$1),FALSE),"")</f>
        <v>0</v>
      </c>
      <c r="U153">
        <f>IFERROR(VLOOKUP($C153,装備品!$1:$998,COLUMN(R$1),FALSE),"")</f>
        <v>0</v>
      </c>
      <c r="V153">
        <f>IFERROR(VLOOKUP($C153,装備品!$1:$998,COLUMN(Q$1),FALSE),"")</f>
        <v>0</v>
      </c>
      <c r="W153">
        <f>IFERROR(VLOOKUP($C153,装備品!$1:$998,COLUMN(T$1),FALSE),"")</f>
        <v>0.7</v>
      </c>
      <c r="Y153">
        <f>IFERROR(VLOOKUP($C153,装備品!$1:$998,COLUMN(U$1),FALSE),"")</f>
        <v>0</v>
      </c>
      <c r="Z153">
        <f>IFERROR(ROUNDUP(VLOOKUP($C153,装備品!$1:$998,COLUMN(O$1),FALSE)*VLOOKUP($D153,素材!$1:$1016,COLUMN(E$1),FALSE),1),"")</f>
        <v>0</v>
      </c>
      <c r="AA153">
        <f>IF(ISNUMBER(SEARCH(SUBSTITUTE(AA$1,RIGHT(AA$1,2),""),VLOOKUP($D153,素材!$1:$1016,COLUMN($F$1),FALSE))),VLOOKUP($C153,装備品!$1:$998,COLUMN($O$1),FALSE)*VLOOKUP($D153,素材!$1:$1016,COLUMN($E$1),FALSE)/(LEN(VLOOKUP($D153,素材!$1:$1016,COLUMN($F$1),FALSE))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IFERROR(VLOOKUP($C153,装備品!$1:$998,COLUMN(V$1),FALSE)*VLOOKUP($D153,素材!$1:$1016,COLUMN(N$1),FALSE)+IF(CI153="",0,VLOOKUP($CI153,付与!$1:$1176,COLUMN($CK$1),FALSE)),"")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IFERROR(VLOOKUP($D154,素材!$1:$1016,COLUMN($B$1),FALSE)&amp;"・"&amp;VLOOKUP($C154,装備品!$1:$998,COLUMN(B$1),FALSE),"")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IFERROR(VLOOKUP(C154,装備品!$1:$998,COLUMN(C$1),FALSE),"")</f>
        <v>体</v>
      </c>
      <c r="F154">
        <f>IFERROR(ROUNDDOWN((VLOOKUP($C154,装備品!$1:$998,COLUMN(D$1),FALSE)+IFERROR(VLOOKUP($CI154,付与!$1:$1167,COLUMN(F$1),FALSE),0))*VLOOKUP($D154,素材!$1:$1016,COLUMN(D$1),FALSE),0),"")</f>
        <v>0</v>
      </c>
      <c r="G154">
        <f>IFERROR(ROUNDDOWN((VLOOKUP($C154,装備品!$1:$998,COLUMN(E$1),FALSE)+IFERROR(VLOOKUP($CI154,付与!$1:$1167,COLUMN(G$1),FALSE),0))*VLOOKUP($D154,素材!$1:$1016,COLUMN($E$1),FALSE),0),"")</f>
        <v>0</v>
      </c>
      <c r="H154">
        <f>IFERROR(ROUNDDOWN((VLOOKUP($C154,装備品!$1:$998,COLUMN(F$1),FALSE)+IFERROR(VLOOKUP($CI154,付与!$1:$1167,COLUMN(H$1),FALSE),0))*VLOOKUP($D154,素材!$1:$1016,COLUMN($E$1),FALSE),0),"")</f>
        <v>0</v>
      </c>
      <c r="I154">
        <f>IFERROR(ROUNDDOWN((VLOOKUP($C154,装備品!$1:$998,COLUMN(G$1),FALSE)+IFERROR(VLOOKUP($CI154,付与!$1:$1167,COLUMN(I$1),FALSE),0))*VLOOKUP($D154,素材!$1:$1016,COLUMN($E$1),FALSE),0),"")</f>
        <v>0</v>
      </c>
      <c r="J154">
        <f>IFERROR(ROUNDDOWN((VLOOKUP($C154,装備品!$1:$998,COLUMN(H$1),FALSE)+IFERROR(VLOOKUP($CI154,付与!$1:$1167,COLUMN(J$1),FALSE),0))*VLOOKUP($D154,素材!$1:$1016,COLUMN($E$1),FALSE),0),"")</f>
        <v>0</v>
      </c>
      <c r="K154">
        <f>IFERROR(ROUNDDOWN((VLOOKUP($C154,装備品!$1:$998,COLUMN(I$1),FALSE)+IFERROR(VLOOKUP($CI154,付与!$1:$1167,COLUMN(K$1),FALSE),0))*VLOOKUP($D154,素材!$1:$1016,COLUMN($E$1),FALSE),0),"")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IFERROR(VLOOKUP($C154,装備品!$1:$998,COLUMN(AA$1),FALSE)*VLOOKUP($D154,素材!$1:$1016,COLUMN($G$1),FALSE),"")</f>
        <v>62.5</v>
      </c>
      <c r="N154">
        <f>IFERROR(VLOOKUP($C154,装備品!$1:$998,COLUMN(I$1),FALSE),"")</f>
        <v>0</v>
      </c>
      <c r="O154" s="23" t="str">
        <f>IFERROR((VLOOKUP($C154,装備品!$1:$998,COLUMN(K$1),FALSE)+VLOOKUP($D154,素材!$1:$1016,COLUMN(H$1),FALSE))*100+IFERROR(VLOOKUP($CI154,付与!$1:$1167,COLUMN(O$1),FALSE),0),"")</f>
        <v/>
      </c>
      <c r="P154" s="23" t="str">
        <f>IFERROR((VLOOKUP($C154,装備品!$1:$998,COLUMN(L$1),FALSE)+VLOOKUP($D154,素材!$1:$1016,COLUMN(I$1),FALSE))*100+IFERROR(VLOOKUP($CI154,付与!$1:$1167,COLUMN(P$1),FALSE),0),"")</f>
        <v/>
      </c>
      <c r="Q154">
        <f>IFERROR(ROUNDUP(VLOOKUP($C154,装備品!$1:$998,COLUMN(M$1),FALSE)*(VLOOKUP($D154,素材!$1:$1002,COLUMN(D$1),FALSE)/100),1),"")</f>
        <v>-6</v>
      </c>
      <c r="R154">
        <f>IFERROR(ROUNDUP(VLOOKUP($C154,装備品!$1:$998,COLUMN(N$1),FALSE)*(VLOOKUP($D154,素材!$1:$1002,COLUMN(D$1),FALSE)/100),1),"")</f>
        <v>0</v>
      </c>
      <c r="S154">
        <f>IFERROR(VLOOKUP($C154,装備品!$1:$998,COLUMN(P$1),FALSE),"")</f>
        <v>-15</v>
      </c>
      <c r="T154">
        <f>IFERROR(VLOOKUP($C154,装備品!$1:$998,COLUMN(Q$1),FALSE),"")</f>
        <v>0</v>
      </c>
      <c r="U154">
        <f>IFERROR(VLOOKUP($C154,装備品!$1:$998,COLUMN(R$1),FALSE),"")</f>
        <v>0</v>
      </c>
      <c r="V154">
        <f>IFERROR(VLOOKUP($C154,装備品!$1:$998,COLUMN(Q$1),FALSE),"")</f>
        <v>0</v>
      </c>
      <c r="W154">
        <f>IFERROR(VLOOKUP($C154,装備品!$1:$998,COLUMN(T$1),FALSE),"")</f>
        <v>0.5</v>
      </c>
      <c r="Y154">
        <f>IFERROR(VLOOKUP($C154,装備品!$1:$998,COLUMN(U$1),FALSE),"")</f>
        <v>0</v>
      </c>
      <c r="Z154">
        <f>IFERROR(ROUNDUP(VLOOKUP($C154,装備品!$1:$998,COLUMN(O$1),FALSE)*VLOOKUP($D154,素材!$1:$1016,COLUMN(E$1),FALSE),1),"")</f>
        <v>0</v>
      </c>
      <c r="AA154">
        <f>IF(ISNUMBER(SEARCH(SUBSTITUTE(AA$1,RIGHT(AA$1,2),""),VLOOKUP($D154,素材!$1:$1016,COLUMN($F$1),FALSE))),VLOOKUP($C154,装備品!$1:$998,COLUMN($O$1),FALSE)*VLOOKUP($D154,素材!$1:$1016,COLUMN($E$1),FALSE)/(LEN(VLOOKUP($D154,素材!$1:$1016,COLUMN($F$1),FALSE))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IFERROR(VLOOKUP($C154,装備品!$1:$998,COLUMN(V$1),FALSE)*VLOOKUP($D154,素材!$1:$1016,COLUMN(N$1),FALSE)+IF(CI154="",0,VLOOKUP($CI154,付与!$1:$1176,COLUMN($CK$1),FALSE)),"")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IFERROR(VLOOKUP(C155,装備品!$1:$998,COLUMN(C$1),FALSE),"")</f>
        <v/>
      </c>
      <c r="F155" t="str">
        <f>IFERROR(ROUNDDOWN((VLOOKUP($C155,装備品!$1:$998,COLUMN(D$1),FALSE)+IFERROR(VLOOKUP($CI155,付与!$1:$1167,COLUMN(F$1),FALSE),0))*VLOOKUP($D155,素材!$1:$1016,COLUMN(D$1),FALSE),0),"")</f>
        <v/>
      </c>
      <c r="G155" t="str">
        <f>IFERROR(ROUNDDOWN((VLOOKUP($C155,装備品!$1:$998,COLUMN(E$1),FALSE)+IFERROR(VLOOKUP($CI155,付与!$1:$1167,COLUMN(G$1),FALSE),0))*VLOOKUP($D155,素材!$1:$1016,COLUMN($E$1),FALSE),0),"")</f>
        <v/>
      </c>
      <c r="H155" t="str">
        <f>IFERROR(ROUNDDOWN((VLOOKUP($C155,装備品!$1:$998,COLUMN(F$1),FALSE)+IFERROR(VLOOKUP($CI155,付与!$1:$1167,COLUMN(H$1),FALSE),0))*VLOOKUP($D155,素材!$1:$1016,COLUMN($E$1),FALSE),0),"")</f>
        <v/>
      </c>
      <c r="I155" t="str">
        <f>IFERROR(ROUNDDOWN((VLOOKUP($C155,装備品!$1:$998,COLUMN(G$1),FALSE)+IFERROR(VLOOKUP($CI155,付与!$1:$1167,COLUMN(I$1),FALSE),0))*VLOOKUP($D155,素材!$1:$1016,COLUMN($E$1),FALSE),0),"")</f>
        <v/>
      </c>
      <c r="J155" t="str">
        <f>IFERROR(ROUNDDOWN((VLOOKUP($C155,装備品!$1:$998,COLUMN(H$1),FALSE)+IFERROR(VLOOKUP($CI155,付与!$1:$1167,COLUMN(J$1),FALSE),0))*VLOOKUP($D155,素材!$1:$1016,COLUMN($E$1),FALSE),0),"")</f>
        <v/>
      </c>
      <c r="K155" t="str">
        <f>IFERROR(ROUNDDOWN((VLOOKUP($C155,装備品!$1:$998,COLUMN(I$1),FALSE)+IFERROR(VLOOKUP($CI155,付与!$1:$1167,COLUMN(K$1),FALSE),0))*VLOOKUP($D155,素材!$1:$1016,COLUMN($E$1),FALSE),0),"")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IFERROR(VLOOKUP($C155,装備品!$1:$998,COLUMN(AA$1),FALSE)*VLOOKUP($D155,素材!$1:$1016,COLUMN($G$1),FALSE),"")</f>
        <v/>
      </c>
      <c r="N155" t="str">
        <f>IFERROR(VLOOKUP($C155,装備品!$1:$998,COLUMN(I$1),FALSE),"")</f>
        <v/>
      </c>
      <c r="O155" s="23" t="str">
        <f>IFERROR((VLOOKUP($C155,装備品!$1:$998,COLUMN(K$1),FALSE)+VLOOKUP($D155,素材!$1:$1016,COLUMN(H$1),FALSE))*100+IFERROR(VLOOKUP($CI155,付与!$1:$1167,COLUMN(O$1),FALSE),0),"")</f>
        <v/>
      </c>
      <c r="P155" s="23" t="str">
        <f>IFERROR((VLOOKUP($C155,装備品!$1:$998,COLUMN(L$1),FALSE)+VLOOKUP($D155,素材!$1:$1016,COLUMN(I$1),FALSE))*100+IFERROR(VLOOKUP($CI155,付与!$1:$1167,COLUMN(P$1),FALSE),0),"")</f>
        <v/>
      </c>
      <c r="Q155" t="str">
        <f>IFERROR(ROUNDUP(VLOOKUP($C155,装備品!$1:$998,COLUMN(M$1),FALSE)*(VLOOKUP($D155,素材!$1:$1002,COLUMN(D$1),FALSE)/100),1),"")</f>
        <v/>
      </c>
      <c r="R155" t="str">
        <f>IFERROR(ROUNDUP(VLOOKUP($C155,装備品!$1:$998,COLUMN(N$1),FALSE)*(VLOOKUP($D155,素材!$1:$1002,COLUMN(D$1),FALSE)/100),1),"")</f>
        <v/>
      </c>
      <c r="S155" t="str">
        <f>IFERROR(VLOOKUP($C155,装備品!$1:$998,COLUMN(P$1),FALSE),"")</f>
        <v/>
      </c>
      <c r="T155" t="str">
        <f>IFERROR(VLOOKUP($C155,装備品!$1:$998,COLUMN(Q$1),FALSE),"")</f>
        <v/>
      </c>
      <c r="U155" t="str">
        <f>IFERROR(VLOOKUP($C155,装備品!$1:$998,COLUMN(R$1),FALSE),"")</f>
        <v/>
      </c>
      <c r="V155" t="str">
        <f>IFERROR(VLOOKUP($C155,装備品!$1:$998,COLUMN(Q$1),FALSE),"")</f>
        <v/>
      </c>
      <c r="W155" t="str">
        <f>IFERROR(VLOOKUP($C155,装備品!$1:$998,COLUMN(T$1),FALSE),"")</f>
        <v/>
      </c>
      <c r="Y155" t="str">
        <f>IFERROR(VLOOKUP($C155,装備品!$1:$998,COLUMN(U$1),FALSE),"")</f>
        <v/>
      </c>
      <c r="Z155" t="str">
        <f>IFERROR(ROUNDUP(VLOOKUP($C155,装備品!$1:$998,COLUMN(O$1),FALSE)*VLOOKUP($D155,素材!$1:$1016,COLUMN(E$1),FALSE),1),"")</f>
        <v/>
      </c>
      <c r="AA155">
        <f>IF(ISNUMBER(SEARCH(SUBSTITUTE(AA$1,RIGHT(AA$1,2),""),VLOOKUP($D155,素材!$1:$1016,COLUMN($F$1),FALSE))),VLOOKUP($C155,装備品!$1:$998,COLUMN($O$1),FALSE)*VLOOKUP($D155,素材!$1:$1016,COLUMN($E$1),FALSE)/(LEN(VLOOKUP($D155,素材!$1:$1016,COLUMN($F$1),FALSE))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IFERROR(VLOOKUP($C155,装備品!$1:$998,COLUMN(V$1),FALSE)*VLOOKUP($D155,素材!$1:$1016,COLUMN(N$1),FALSE)+IF(CI155="",0,VLOOKUP($CI155,付与!$1:$1176,COLUMN($CK$1),FALSE)),"")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IFERROR(VLOOKUP(C156,装備品!$1:$998,COLUMN(C$1),FALSE),"")</f>
        <v/>
      </c>
      <c r="F156" t="str">
        <f>IFERROR(ROUNDDOWN((VLOOKUP($C156,装備品!$1:$998,COLUMN(D$1),FALSE)+IFERROR(VLOOKUP($CI156,付与!$1:$1167,COLUMN(F$1),FALSE),0))*VLOOKUP($D156,素材!$1:$1016,COLUMN(D$1),FALSE),0),"")</f>
        <v/>
      </c>
      <c r="G156" t="str">
        <f>IFERROR(ROUNDDOWN((VLOOKUP($C156,装備品!$1:$998,COLUMN(E$1),FALSE)+IFERROR(VLOOKUP($CI156,付与!$1:$1167,COLUMN(G$1),FALSE),0))*VLOOKUP($D156,素材!$1:$1016,COLUMN($E$1),FALSE),0),"")</f>
        <v/>
      </c>
      <c r="H156" t="str">
        <f>IFERROR(ROUNDDOWN((VLOOKUP($C156,装備品!$1:$998,COLUMN(F$1),FALSE)+IFERROR(VLOOKUP($CI156,付与!$1:$1167,COLUMN(H$1),FALSE),0))*VLOOKUP($D156,素材!$1:$1016,COLUMN($E$1),FALSE),0),"")</f>
        <v/>
      </c>
      <c r="I156" t="str">
        <f>IFERROR(ROUNDDOWN((VLOOKUP($C156,装備品!$1:$998,COLUMN(G$1),FALSE)+IFERROR(VLOOKUP($CI156,付与!$1:$1167,COLUMN(I$1),FALSE),0))*VLOOKUP($D156,素材!$1:$1016,COLUMN($E$1),FALSE),0),"")</f>
        <v/>
      </c>
      <c r="J156" t="str">
        <f>IFERROR(ROUNDDOWN((VLOOKUP($C156,装備品!$1:$998,COLUMN(H$1),FALSE)+IFERROR(VLOOKUP($CI156,付与!$1:$1167,COLUMN(J$1),FALSE),0))*VLOOKUP($D156,素材!$1:$1016,COLUMN($E$1),FALSE),0),"")</f>
        <v/>
      </c>
      <c r="K156" t="str">
        <f>IFERROR(ROUNDDOWN((VLOOKUP($C156,装備品!$1:$998,COLUMN(I$1),FALSE)+IFERROR(VLOOKUP($CI156,付与!$1:$1167,COLUMN(K$1),FALSE),0))*VLOOKUP($D156,素材!$1:$1016,COLUMN($E$1),FALSE),0),"")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IFERROR(VLOOKUP($C156,装備品!$1:$998,COLUMN(AA$1),FALSE)*VLOOKUP($D156,素材!$1:$1016,COLUMN($G$1),FALSE),"")</f>
        <v/>
      </c>
      <c r="N156" t="str">
        <f>IFERROR(VLOOKUP($C156,装備品!$1:$998,COLUMN(I$1),FALSE),"")</f>
        <v/>
      </c>
      <c r="O156" s="23" t="str">
        <f>IFERROR((VLOOKUP($C156,装備品!$1:$998,COLUMN(K$1),FALSE)+VLOOKUP($D156,素材!$1:$1016,COLUMN(H$1),FALSE))*100+IFERROR(VLOOKUP($CI156,付与!$1:$1167,COLUMN(O$1),FALSE),0),"")</f>
        <v/>
      </c>
      <c r="P156" s="23" t="str">
        <f>IFERROR((VLOOKUP($C156,装備品!$1:$998,COLUMN(L$1),FALSE)+VLOOKUP($D156,素材!$1:$1016,COLUMN(I$1),FALSE))*100+IFERROR(VLOOKUP($CI156,付与!$1:$1167,COLUMN(P$1),FALSE),0),"")</f>
        <v/>
      </c>
      <c r="Q156" t="str">
        <f>IFERROR(ROUNDUP(VLOOKUP($C156,装備品!$1:$998,COLUMN(M$1),FALSE)*(VLOOKUP($D156,素材!$1:$1002,COLUMN(D$1),FALSE)/100),1),"")</f>
        <v/>
      </c>
      <c r="R156" t="str">
        <f>IFERROR(ROUNDUP(VLOOKUP($C156,装備品!$1:$998,COLUMN(N$1),FALSE)*(VLOOKUP($D156,素材!$1:$1002,COLUMN(D$1),FALSE)/100),1),"")</f>
        <v/>
      </c>
      <c r="S156" t="str">
        <f>IFERROR(VLOOKUP($C156,装備品!$1:$998,COLUMN(P$1),FALSE),"")</f>
        <v/>
      </c>
      <c r="T156" t="str">
        <f>IFERROR(VLOOKUP($C156,装備品!$1:$998,COLUMN(Q$1),FALSE),"")</f>
        <v/>
      </c>
      <c r="U156" t="str">
        <f>IFERROR(VLOOKUP($C156,装備品!$1:$998,COLUMN(R$1),FALSE),"")</f>
        <v/>
      </c>
      <c r="V156" t="str">
        <f>IFERROR(VLOOKUP($C156,装備品!$1:$998,COLUMN(Q$1),FALSE),"")</f>
        <v/>
      </c>
      <c r="W156" t="str">
        <f>IFERROR(VLOOKUP($C156,装備品!$1:$998,COLUMN(T$1),FALSE),"")</f>
        <v/>
      </c>
      <c r="Y156" t="str">
        <f>IFERROR(VLOOKUP($C156,装備品!$1:$998,COLUMN(U$1),FALSE),"")</f>
        <v/>
      </c>
      <c r="Z156" t="str">
        <f>IFERROR(ROUNDUP(VLOOKUP($C156,装備品!$1:$998,COLUMN(O$1),FALSE)*VLOOKUP($D156,素材!$1:$1016,COLUMN(E$1),FALSE),1),"")</f>
        <v/>
      </c>
      <c r="AA156">
        <f>IF(ISNUMBER(SEARCH(SUBSTITUTE(AA$1,RIGHT(AA$1,2),""),VLOOKUP($D156,素材!$1:$1016,COLUMN($F$1),FALSE))),VLOOKUP($C156,装備品!$1:$998,COLUMN($O$1),FALSE)*VLOOKUP($D156,素材!$1:$1016,COLUMN($E$1),FALSE)/(LEN(VLOOKUP($D156,素材!$1:$1016,COLUMN($F$1),FALSE))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IFERROR(VLOOKUP($C156,装備品!$1:$998,COLUMN(V$1),FALSE)*VLOOKUP($D156,素材!$1:$1016,COLUMN(N$1),FALSE)+IF(CI156="",0,VLOOKUP($CI156,付与!$1:$1176,COLUMN($CK$1),FALSE)),"")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IFERROR(VLOOKUP(C157,装備品!$1:$998,COLUMN(C$1),FALSE),"")</f>
        <v/>
      </c>
      <c r="F157" t="str">
        <f>IFERROR(ROUNDDOWN((VLOOKUP($C157,装備品!$1:$998,COLUMN(D$1),FALSE)+IFERROR(VLOOKUP($CI157,付与!$1:$1167,COLUMN(F$1),FALSE),0))*VLOOKUP($D157,素材!$1:$1016,COLUMN(D$1),FALSE),0),"")</f>
        <v/>
      </c>
      <c r="G157" t="str">
        <f>IFERROR(ROUNDDOWN((VLOOKUP($C157,装備品!$1:$998,COLUMN(E$1),FALSE)+IFERROR(VLOOKUP($CI157,付与!$1:$1167,COLUMN(G$1),FALSE),0))*VLOOKUP($D157,素材!$1:$1016,COLUMN($E$1),FALSE),0),"")</f>
        <v/>
      </c>
      <c r="H157" t="str">
        <f>IFERROR(ROUNDDOWN((VLOOKUP($C157,装備品!$1:$998,COLUMN(F$1),FALSE)+IFERROR(VLOOKUP($CI157,付与!$1:$1167,COLUMN(H$1),FALSE),0))*VLOOKUP($D157,素材!$1:$1016,COLUMN($E$1),FALSE),0),"")</f>
        <v/>
      </c>
      <c r="I157" t="str">
        <f>IFERROR(ROUNDDOWN((VLOOKUP($C157,装備品!$1:$998,COLUMN(G$1),FALSE)+IFERROR(VLOOKUP($CI157,付与!$1:$1167,COLUMN(I$1),FALSE),0))*VLOOKUP($D157,素材!$1:$1016,COLUMN($E$1),FALSE),0),"")</f>
        <v/>
      </c>
      <c r="J157" t="str">
        <f>IFERROR(ROUNDDOWN((VLOOKUP($C157,装備品!$1:$998,COLUMN(H$1),FALSE)+IFERROR(VLOOKUP($CI157,付与!$1:$1167,COLUMN(J$1),FALSE),0))*VLOOKUP($D157,素材!$1:$1016,COLUMN($E$1),FALSE),0),"")</f>
        <v/>
      </c>
      <c r="K157" t="str">
        <f>IFERROR(ROUNDDOWN((VLOOKUP($C157,装備品!$1:$998,COLUMN(I$1),FALSE)+IFERROR(VLOOKUP($CI157,付与!$1:$1167,COLUMN(K$1),FALSE),0))*VLOOKUP($D157,素材!$1:$1016,COLUMN($E$1),FALSE),0),"")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IFERROR(VLOOKUP($C157,装備品!$1:$998,COLUMN(AA$1),FALSE)*VLOOKUP($D157,素材!$1:$1016,COLUMN($G$1),FALSE),"")</f>
        <v/>
      </c>
      <c r="N157" t="str">
        <f>IFERROR(VLOOKUP($C157,装備品!$1:$998,COLUMN(I$1),FALSE),"")</f>
        <v/>
      </c>
      <c r="O157" s="23" t="str">
        <f>IFERROR((VLOOKUP($C157,装備品!$1:$998,COLUMN(K$1),FALSE)+VLOOKUP($D157,素材!$1:$1016,COLUMN(H$1),FALSE))*100+IFERROR(VLOOKUP($CI157,付与!$1:$1167,COLUMN(O$1),FALSE),0),"")</f>
        <v/>
      </c>
      <c r="P157" s="23" t="str">
        <f>IFERROR((VLOOKUP($C157,装備品!$1:$998,COLUMN(L$1),FALSE)+VLOOKUP($D157,素材!$1:$1016,COLUMN(I$1),FALSE))*100+IFERROR(VLOOKUP($CI157,付与!$1:$1167,COLUMN(P$1),FALSE),0),"")</f>
        <v/>
      </c>
      <c r="Q157" t="str">
        <f>IFERROR(ROUNDUP(VLOOKUP($C157,装備品!$1:$998,COLUMN(M$1),FALSE)*(VLOOKUP($D157,素材!$1:$1002,COLUMN(D$1),FALSE)/100),1),"")</f>
        <v/>
      </c>
      <c r="R157" t="str">
        <f>IFERROR(ROUNDUP(VLOOKUP($C157,装備品!$1:$998,COLUMN(N$1),FALSE)*(VLOOKUP($D157,素材!$1:$1002,COLUMN(D$1),FALSE)/100),1),"")</f>
        <v/>
      </c>
      <c r="S157" t="str">
        <f>IFERROR(VLOOKUP($C157,装備品!$1:$998,COLUMN(P$1),FALSE),"")</f>
        <v/>
      </c>
      <c r="T157" t="str">
        <f>IFERROR(VLOOKUP($C157,装備品!$1:$998,COLUMN(Q$1),FALSE),"")</f>
        <v/>
      </c>
      <c r="U157" t="str">
        <f>IFERROR(VLOOKUP($C157,装備品!$1:$998,COLUMN(R$1),FALSE),"")</f>
        <v/>
      </c>
      <c r="V157" t="str">
        <f>IFERROR(VLOOKUP($C157,装備品!$1:$998,COLUMN(Q$1),FALSE),"")</f>
        <v/>
      </c>
      <c r="W157" t="str">
        <f>IFERROR(VLOOKUP($C157,装備品!$1:$998,COLUMN(T$1),FALSE),"")</f>
        <v/>
      </c>
      <c r="Y157" t="str">
        <f>IFERROR(VLOOKUP($C157,装備品!$1:$998,COLUMN(U$1),FALSE),"")</f>
        <v/>
      </c>
      <c r="Z157" t="str">
        <f>IFERROR(ROUNDUP(VLOOKUP($C157,装備品!$1:$998,COLUMN(O$1),FALSE)*VLOOKUP($D157,素材!$1:$1016,COLUMN(E$1),FALSE),1),"")</f>
        <v/>
      </c>
      <c r="AA157">
        <f>IF(ISNUMBER(SEARCH(SUBSTITUTE(AA$1,RIGHT(AA$1,2),""),VLOOKUP($D157,素材!$1:$1016,COLUMN($F$1),FALSE))),VLOOKUP($C157,装備品!$1:$998,COLUMN($O$1),FALSE)*VLOOKUP($D157,素材!$1:$1016,COLUMN($E$1),FALSE)/(LEN(VLOOKUP($D157,素材!$1:$1016,COLUMN($F$1),FALSE))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IFERROR(VLOOKUP($C157,装備品!$1:$998,COLUMN(V$1),FALSE)*VLOOKUP($D157,素材!$1:$1016,COLUMN(N$1),FALSE)+IF(CI157="",0,VLOOKUP($CI157,付与!$1:$1176,COLUMN($CK$1),FALSE)),"")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IFERROR(VLOOKUP($D158,素材!$1:$1016,COLUMN($B$1),FALSE)&amp;"・"&amp;VLOOKUP($C158,装備品!$1:$998,COLUMN(B$1),FALSE),"")</f>
        <v/>
      </c>
      <c r="C158" s="24" t="s">
        <v>241</v>
      </c>
      <c r="D158" s="24" t="s">
        <v>243</v>
      </c>
      <c r="E158" t="str">
        <f>IFERROR(VLOOKUP(C158,装備品!$1:$998,COLUMN(C$1),FALSE),"")</f>
        <v>武器</v>
      </c>
      <c r="F158" t="str">
        <f>IFERROR(ROUNDDOWN((VLOOKUP($C158,装備品!$1:$998,COLUMN(D$1),FALSE)+IFERROR(VLOOKUP($CI158,付与!$1:$1167,COLUMN(F$1),FALSE),0))*VLOOKUP($D158,素材!$1:$1016,COLUMN(D$1),FALSE),0),"")</f>
        <v/>
      </c>
      <c r="G158" t="str">
        <f>IFERROR(ROUNDDOWN((VLOOKUP($C158,装備品!$1:$998,COLUMN(E$1),FALSE)+IFERROR(VLOOKUP($CI158,付与!$1:$1167,COLUMN(G$1),FALSE),0))*VLOOKUP($D158,素材!$1:$1016,COLUMN($E$1),FALSE),0),"")</f>
        <v/>
      </c>
      <c r="H158" t="str">
        <f>IFERROR(ROUNDDOWN((VLOOKUP($C158,装備品!$1:$998,COLUMN(F$1),FALSE)+IFERROR(VLOOKUP($CI158,付与!$1:$1167,COLUMN(H$1),FALSE),0))*VLOOKUP($D158,素材!$1:$1016,COLUMN($E$1),FALSE),0),"")</f>
        <v/>
      </c>
      <c r="I158" t="str">
        <f>IFERROR(ROUNDDOWN((VLOOKUP($C158,装備品!$1:$998,COLUMN(G$1),FALSE)+IFERROR(VLOOKUP($CI158,付与!$1:$1167,COLUMN(I$1),FALSE),0))*VLOOKUP($D158,素材!$1:$1016,COLUMN($E$1),FALSE),0),"")</f>
        <v/>
      </c>
      <c r="J158" t="str">
        <f>IFERROR(ROUNDDOWN((VLOOKUP($C158,装備品!$1:$998,COLUMN(H$1),FALSE)+IFERROR(VLOOKUP($CI158,付与!$1:$1167,COLUMN(J$1),FALSE),0))*VLOOKUP($D158,素材!$1:$1016,COLUMN($E$1),FALSE),0),"")</f>
        <v/>
      </c>
      <c r="K158" t="str">
        <f>IFERROR(ROUNDDOWN((VLOOKUP($C158,装備品!$1:$998,COLUMN(I$1),FALSE)+IFERROR(VLOOKUP($CI158,付与!$1:$1167,COLUMN(K$1),FALSE),0))*VLOOKUP($D158,素材!$1:$1016,COLUMN($E$1),FALSE),0),"")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IFERROR(VLOOKUP($C158,装備品!$1:$998,COLUMN(AA$1),FALSE)*VLOOKUP($D158,素材!$1:$1016,COLUMN($G$1),FALSE),"")</f>
        <v/>
      </c>
      <c r="N158">
        <f>IFERROR(VLOOKUP($C158,装備品!$1:$998,COLUMN(I$1),FALSE),"")</f>
        <v>0</v>
      </c>
      <c r="O158" s="23" t="str">
        <f>IFERROR((VLOOKUP($C158,装備品!$1:$998,COLUMN(K$1),FALSE)+VLOOKUP($D158,素材!$1:$1016,COLUMN(H$1),FALSE))*100+IFERROR(VLOOKUP($CI158,付与!$1:$1167,COLUMN(O$1),FALSE),0),"")</f>
        <v/>
      </c>
      <c r="P158" s="23" t="str">
        <f>IFERROR((VLOOKUP($C158,装備品!$1:$998,COLUMN(L$1),FALSE)+VLOOKUP($D158,素材!$1:$1016,COLUMN(I$1),FALSE))*100+IFERROR(VLOOKUP($CI158,付与!$1:$1167,COLUMN(P$1),FALSE),0),"")</f>
        <v/>
      </c>
      <c r="Q158" t="str">
        <f>IFERROR(ROUNDUP(VLOOKUP($C158,装備品!$1:$998,COLUMN(M$1),FALSE)*(VLOOKUP($D158,素材!$1:$1002,COLUMN(D$1),FALSE)/100),1),"")</f>
        <v/>
      </c>
      <c r="R158" t="str">
        <f>IFERROR(ROUNDUP(VLOOKUP($C158,装備品!$1:$998,COLUMN(N$1),FALSE)*(VLOOKUP($D158,素材!$1:$1002,COLUMN(D$1),FALSE)/100),1),"")</f>
        <v/>
      </c>
      <c r="S158">
        <f>IFERROR(VLOOKUP($C158,装備品!$1:$998,COLUMN(P$1),FALSE),"")</f>
        <v>0</v>
      </c>
      <c r="T158">
        <f>IFERROR(VLOOKUP($C158,装備品!$1:$998,COLUMN(Q$1),FALSE),"")</f>
        <v>0</v>
      </c>
      <c r="U158">
        <f>IFERROR(VLOOKUP($C158,装備品!$1:$998,COLUMN(R$1),FALSE),"")</f>
        <v>0</v>
      </c>
      <c r="V158">
        <f>IFERROR(VLOOKUP($C158,装備品!$1:$998,COLUMN(Q$1),FALSE),"")</f>
        <v>0</v>
      </c>
      <c r="W158">
        <f>IFERROR(VLOOKUP($C158,装備品!$1:$998,COLUMN(T$1),FALSE),"")</f>
        <v>0</v>
      </c>
      <c r="Y158">
        <f>IFERROR(VLOOKUP($C158,装備品!$1:$998,COLUMN(U$1),FALSE),"")</f>
        <v>0</v>
      </c>
      <c r="Z158" t="str">
        <f>IFERROR(ROUNDUP(VLOOKUP($C158,装備品!$1:$998,COLUMN(O$1),FALSE)*VLOOKUP($D158,素材!$1:$1016,COLUMN(E$1),FALSE),1),"")</f>
        <v/>
      </c>
      <c r="AA158">
        <f>IF(ISNUMBER(SEARCH(SUBSTITUTE(AA$1,RIGHT(AA$1,2),""),VLOOKUP($D158,素材!$1:$1016,COLUMN($F$1),FALSE))),VLOOKUP($C158,装備品!$1:$998,COLUMN($O$1),FALSE)*VLOOKUP($D158,素材!$1:$1016,COLUMN($E$1),FALSE)/(LEN(VLOOKUP($D158,素材!$1:$1016,COLUMN($F$1),FALSE))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IFERROR(VLOOKUP($C158,装備品!$1:$998,COLUMN(V$1),FALSE)*VLOOKUP($D158,素材!$1:$1016,COLUMN(N$1),FALSE)+IF(CI158="",0,VLOOKUP($CI158,付与!$1:$1176,COLUMN($CK$1),FALSE)),"")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IFERROR(VLOOKUP($D159,素材!$1:$1016,COLUMN($B$1),FALSE)&amp;"・"&amp;VLOOKUP($C159,装備品!$1:$998,COLUMN(B$1),FALSE),"")</f>
        <v/>
      </c>
      <c r="C159" s="24" t="s">
        <v>240</v>
      </c>
      <c r="D159" s="24" t="s">
        <v>243</v>
      </c>
      <c r="E159" t="str">
        <f>IFERROR(VLOOKUP(C159,装備品!$1:$998,COLUMN(C$1),FALSE),"")</f>
        <v>武器</v>
      </c>
      <c r="F159" t="str">
        <f>IFERROR(ROUNDDOWN((VLOOKUP($C159,装備品!$1:$998,COLUMN(D$1),FALSE)+IFERROR(VLOOKUP($CI159,付与!$1:$1167,COLUMN(F$1),FALSE),0))*VLOOKUP($D159,素材!$1:$1016,COLUMN(D$1),FALSE),0),"")</f>
        <v/>
      </c>
      <c r="G159" t="str">
        <f>IFERROR(ROUNDDOWN((VLOOKUP($C159,装備品!$1:$998,COLUMN(E$1),FALSE)+IFERROR(VLOOKUP($CI159,付与!$1:$1167,COLUMN(G$1),FALSE),0))*VLOOKUP($D159,素材!$1:$1016,COLUMN($E$1),FALSE),0),"")</f>
        <v/>
      </c>
      <c r="H159" t="str">
        <f>IFERROR(ROUNDDOWN((VLOOKUP($C159,装備品!$1:$998,COLUMN(F$1),FALSE)+IFERROR(VLOOKUP($CI159,付与!$1:$1167,COLUMN(H$1),FALSE),0))*VLOOKUP($D159,素材!$1:$1016,COLUMN($E$1),FALSE),0),"")</f>
        <v/>
      </c>
      <c r="I159" t="str">
        <f>IFERROR(ROUNDDOWN((VLOOKUP($C159,装備品!$1:$998,COLUMN(G$1),FALSE)+IFERROR(VLOOKUP($CI159,付与!$1:$1167,COLUMN(I$1),FALSE),0))*VLOOKUP($D159,素材!$1:$1016,COLUMN($E$1),FALSE),0),"")</f>
        <v/>
      </c>
      <c r="J159" t="str">
        <f>IFERROR(ROUNDDOWN((VLOOKUP($C159,装備品!$1:$998,COLUMN(H$1),FALSE)+IFERROR(VLOOKUP($CI159,付与!$1:$1167,COLUMN(J$1),FALSE),0))*VLOOKUP($D159,素材!$1:$1016,COLUMN($E$1),FALSE),0),"")</f>
        <v/>
      </c>
      <c r="K159" t="str">
        <f>IFERROR(ROUNDDOWN((VLOOKUP($C159,装備品!$1:$998,COLUMN(I$1),FALSE)+IFERROR(VLOOKUP($CI159,付与!$1:$1167,COLUMN(K$1),FALSE),0))*VLOOKUP($D159,素材!$1:$1016,COLUMN($E$1),FALSE),0),"")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IFERROR(VLOOKUP($C159,装備品!$1:$998,COLUMN(AA$1),FALSE)*VLOOKUP($D159,素材!$1:$1016,COLUMN($G$1),FALSE),"")</f>
        <v/>
      </c>
      <c r="N159">
        <f>IFERROR(VLOOKUP($C159,装備品!$1:$998,COLUMN(I$1),FALSE),"")</f>
        <v>0</v>
      </c>
      <c r="O159" s="23" t="str">
        <f>IFERROR((VLOOKUP($C159,装備品!$1:$998,COLUMN(K$1),FALSE)+VLOOKUP($D159,素材!$1:$1016,COLUMN(H$1),FALSE))*100+IFERROR(VLOOKUP($CI159,付与!$1:$1167,COLUMN(O$1),FALSE),0),"")</f>
        <v/>
      </c>
      <c r="P159" s="23" t="str">
        <f>IFERROR((VLOOKUP($C159,装備品!$1:$998,COLUMN(L$1),FALSE)+VLOOKUP($D159,素材!$1:$1016,COLUMN(I$1),FALSE))*100+IFERROR(VLOOKUP($CI159,付与!$1:$1167,COLUMN(P$1),FALSE),0),"")</f>
        <v/>
      </c>
      <c r="Q159" t="str">
        <f>IFERROR(ROUNDUP(VLOOKUP($C159,装備品!$1:$998,COLUMN(M$1),FALSE)*(VLOOKUP($D159,素材!$1:$1002,COLUMN(D$1),FALSE)/100),1),"")</f>
        <v/>
      </c>
      <c r="R159" t="str">
        <f>IFERROR(ROUNDUP(VLOOKUP($C159,装備品!$1:$998,COLUMN(N$1),FALSE)*(VLOOKUP($D159,素材!$1:$1002,COLUMN(D$1),FALSE)/100),1),"")</f>
        <v/>
      </c>
      <c r="S159">
        <f>IFERROR(VLOOKUP($C159,装備品!$1:$998,COLUMN(P$1),FALSE),"")</f>
        <v>0</v>
      </c>
      <c r="T159">
        <f>IFERROR(VLOOKUP($C159,装備品!$1:$998,COLUMN(Q$1),FALSE),"")</f>
        <v>0</v>
      </c>
      <c r="U159">
        <f>IFERROR(VLOOKUP($C159,装備品!$1:$998,COLUMN(R$1),FALSE),"")</f>
        <v>0</v>
      </c>
      <c r="V159">
        <f>IFERROR(VLOOKUP($C159,装備品!$1:$998,COLUMN(Q$1),FALSE),"")</f>
        <v>0</v>
      </c>
      <c r="W159">
        <f>IFERROR(VLOOKUP($C159,装備品!$1:$998,COLUMN(T$1),FALSE),"")</f>
        <v>0</v>
      </c>
      <c r="Y159">
        <f>IFERROR(VLOOKUP($C159,装備品!$1:$998,COLUMN(U$1),FALSE),"")</f>
        <v>0</v>
      </c>
      <c r="Z159" t="str">
        <f>IFERROR(ROUNDUP(VLOOKUP($C159,装備品!$1:$998,COLUMN(O$1),FALSE)*VLOOKUP($D159,素材!$1:$1016,COLUMN(E$1),FALSE),1),"")</f>
        <v/>
      </c>
      <c r="AA159">
        <f>IF(ISNUMBER(SEARCH(SUBSTITUTE(AA$1,RIGHT(AA$1,2),""),VLOOKUP($D159,素材!$1:$1016,COLUMN($F$1),FALSE))),VLOOKUP($C159,装備品!$1:$998,COLUMN($O$1),FALSE)*VLOOKUP($D159,素材!$1:$1016,COLUMN($E$1),FALSE)/(LEN(VLOOKUP($D159,素材!$1:$1016,COLUMN($F$1),FALSE))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IFERROR(VLOOKUP($C159,装備品!$1:$998,COLUMN(V$1),FALSE)*VLOOKUP($D159,素材!$1:$1016,COLUMN(N$1),FALSE)+IF(CI159="",0,VLOOKUP($CI159,付与!$1:$1176,COLUMN($CK$1),FALSE)),"")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IFERROR(VLOOKUP($D160,素材!$1:$1016,COLUMN($B$1),FALSE)&amp;"・"&amp;VLOOKUP($C160,装備品!$1:$998,COLUMN(B$1),FALSE),"")</f>
        <v/>
      </c>
      <c r="C160" s="24" t="s">
        <v>239</v>
      </c>
      <c r="D160" s="24" t="s">
        <v>243</v>
      </c>
      <c r="E160" t="str">
        <f>IFERROR(VLOOKUP(C160,装備品!$1:$998,COLUMN(C$1),FALSE),"")</f>
        <v>武器</v>
      </c>
      <c r="F160" t="str">
        <f>IFERROR(ROUNDDOWN((VLOOKUP($C160,装備品!$1:$998,COLUMN(D$1),FALSE)+IFERROR(VLOOKUP($CI160,付与!$1:$1167,COLUMN(F$1),FALSE),0))*VLOOKUP($D160,素材!$1:$1016,COLUMN(D$1),FALSE),0),"")</f>
        <v/>
      </c>
      <c r="G160" t="str">
        <f>IFERROR(ROUNDDOWN((VLOOKUP($C160,装備品!$1:$998,COLUMN(E$1),FALSE)+IFERROR(VLOOKUP($CI160,付与!$1:$1167,COLUMN(G$1),FALSE),0))*VLOOKUP($D160,素材!$1:$1016,COLUMN($E$1),FALSE),0),"")</f>
        <v/>
      </c>
      <c r="H160" t="str">
        <f>IFERROR(ROUNDDOWN((VLOOKUP($C160,装備品!$1:$998,COLUMN(F$1),FALSE)+IFERROR(VLOOKUP($CI160,付与!$1:$1167,COLUMN(H$1),FALSE),0))*VLOOKUP($D160,素材!$1:$1016,COLUMN($E$1),FALSE),0),"")</f>
        <v/>
      </c>
      <c r="I160" t="str">
        <f>IFERROR(ROUNDDOWN((VLOOKUP($C160,装備品!$1:$998,COLUMN(G$1),FALSE)+IFERROR(VLOOKUP($CI160,付与!$1:$1167,COLUMN(I$1),FALSE),0))*VLOOKUP($D160,素材!$1:$1016,COLUMN($E$1),FALSE),0),"")</f>
        <v/>
      </c>
      <c r="J160" t="str">
        <f>IFERROR(ROUNDDOWN((VLOOKUP($C160,装備品!$1:$998,COLUMN(H$1),FALSE)+IFERROR(VLOOKUP($CI160,付与!$1:$1167,COLUMN(J$1),FALSE),0))*VLOOKUP($D160,素材!$1:$1016,COLUMN($E$1),FALSE),0),"")</f>
        <v/>
      </c>
      <c r="K160" t="str">
        <f>IFERROR(ROUNDDOWN((VLOOKUP($C160,装備品!$1:$998,COLUMN(I$1),FALSE)+IFERROR(VLOOKUP($CI160,付与!$1:$1167,COLUMN(K$1),FALSE),0))*VLOOKUP($D160,素材!$1:$1016,COLUMN($E$1),FALSE),0),"")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IFERROR(VLOOKUP($C160,装備品!$1:$998,COLUMN(AA$1),FALSE)*VLOOKUP($D160,素材!$1:$1016,COLUMN($G$1),FALSE),"")</f>
        <v/>
      </c>
      <c r="N160">
        <f>IFERROR(VLOOKUP($C160,装備品!$1:$998,COLUMN(I$1),FALSE),"")</f>
        <v>0</v>
      </c>
      <c r="O160" s="23" t="str">
        <f>IFERROR((VLOOKUP($C160,装備品!$1:$998,COLUMN(K$1),FALSE)+VLOOKUP($D160,素材!$1:$1016,COLUMN(H$1),FALSE))*100+IFERROR(VLOOKUP($CI160,付与!$1:$1167,COLUMN(O$1),FALSE),0),"")</f>
        <v/>
      </c>
      <c r="P160" s="23" t="str">
        <f>IFERROR((VLOOKUP($C160,装備品!$1:$998,COLUMN(L$1),FALSE)+VLOOKUP($D160,素材!$1:$1016,COLUMN(I$1),FALSE))*100+IFERROR(VLOOKUP($CI160,付与!$1:$1167,COLUMN(P$1),FALSE),0),"")</f>
        <v/>
      </c>
      <c r="Q160" t="str">
        <f>IFERROR(ROUNDUP(VLOOKUP($C160,装備品!$1:$998,COLUMN(M$1),FALSE)*(VLOOKUP($D160,素材!$1:$1002,COLUMN(D$1),FALSE)/100),1),"")</f>
        <v/>
      </c>
      <c r="R160" t="str">
        <f>IFERROR(ROUNDUP(VLOOKUP($C160,装備品!$1:$998,COLUMN(N$1),FALSE)*(VLOOKUP($D160,素材!$1:$1002,COLUMN(D$1),FALSE)/100),1),"")</f>
        <v/>
      </c>
      <c r="S160">
        <f>IFERROR(VLOOKUP($C160,装備品!$1:$998,COLUMN(P$1),FALSE),"")</f>
        <v>0</v>
      </c>
      <c r="T160">
        <f>IFERROR(VLOOKUP($C160,装備品!$1:$998,COLUMN(Q$1),FALSE),"")</f>
        <v>0</v>
      </c>
      <c r="U160">
        <f>IFERROR(VLOOKUP($C160,装備品!$1:$998,COLUMN(R$1),FALSE),"")</f>
        <v>0</v>
      </c>
      <c r="V160">
        <f>IFERROR(VLOOKUP($C160,装備品!$1:$998,COLUMN(Q$1),FALSE),"")</f>
        <v>0</v>
      </c>
      <c r="W160">
        <f>IFERROR(VLOOKUP($C160,装備品!$1:$998,COLUMN(T$1),FALSE),"")</f>
        <v>0</v>
      </c>
      <c r="Y160">
        <f>IFERROR(VLOOKUP($C160,装備品!$1:$998,COLUMN(U$1),FALSE),"")</f>
        <v>0</v>
      </c>
      <c r="Z160" t="str">
        <f>IFERROR(ROUNDUP(VLOOKUP($C160,装備品!$1:$998,COLUMN(O$1),FALSE)*VLOOKUP($D160,素材!$1:$1016,COLUMN(E$1),FALSE),1),"")</f>
        <v/>
      </c>
      <c r="AA160">
        <f>IF(ISNUMBER(SEARCH(SUBSTITUTE(AA$1,RIGHT(AA$1,2),""),VLOOKUP($D160,素材!$1:$1016,COLUMN($F$1),FALSE))),VLOOKUP($C160,装備品!$1:$998,COLUMN($O$1),FALSE)*VLOOKUP($D160,素材!$1:$1016,COLUMN($E$1),FALSE)/(LEN(VLOOKUP($D160,素材!$1:$1016,COLUMN($F$1),FALSE))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IFERROR(VLOOKUP($C160,装備品!$1:$998,COLUMN(V$1),FALSE)*VLOOKUP($D160,素材!$1:$1016,COLUMN(N$1),FALSE)+IF(CI160="",0,VLOOKUP($CI160,付与!$1:$1176,COLUMN($CK$1),FALSE)),"")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IFERROR(VLOOKUP($D161,素材!$1:$1016,COLUMN($B$1),FALSE)&amp;"・"&amp;VLOOKUP($C161,装備品!$1:$998,COLUMN(B$1),FALSE),"")</f>
        <v/>
      </c>
      <c r="C161" s="24" t="s">
        <v>238</v>
      </c>
      <c r="D161" s="24" t="s">
        <v>243</v>
      </c>
      <c r="E161" t="str">
        <f>IFERROR(VLOOKUP(C161,装備品!$1:$998,COLUMN(C$1),FALSE),"")</f>
        <v>武器</v>
      </c>
      <c r="F161" t="str">
        <f>IFERROR(ROUNDDOWN((VLOOKUP($C161,装備品!$1:$998,COLUMN(D$1),FALSE)+IFERROR(VLOOKUP($CI161,付与!$1:$1167,COLUMN(F$1),FALSE),0))*VLOOKUP($D161,素材!$1:$1016,COLUMN(D$1),FALSE),0),"")</f>
        <v/>
      </c>
      <c r="G161" t="str">
        <f>IFERROR(ROUNDDOWN((VLOOKUP($C161,装備品!$1:$998,COLUMN(E$1),FALSE)+IFERROR(VLOOKUP($CI161,付与!$1:$1167,COLUMN(G$1),FALSE),0))*VLOOKUP($D161,素材!$1:$1016,COLUMN($E$1),FALSE),0),"")</f>
        <v/>
      </c>
      <c r="H161" t="str">
        <f>IFERROR(ROUNDDOWN((VLOOKUP($C161,装備品!$1:$998,COLUMN(F$1),FALSE)+IFERROR(VLOOKUP($CI161,付与!$1:$1167,COLUMN(H$1),FALSE),0))*VLOOKUP($D161,素材!$1:$1016,COLUMN($E$1),FALSE),0),"")</f>
        <v/>
      </c>
      <c r="I161" t="str">
        <f>IFERROR(ROUNDDOWN((VLOOKUP($C161,装備品!$1:$998,COLUMN(G$1),FALSE)+IFERROR(VLOOKUP($CI161,付与!$1:$1167,COLUMN(I$1),FALSE),0))*VLOOKUP($D161,素材!$1:$1016,COLUMN($E$1),FALSE),0),"")</f>
        <v/>
      </c>
      <c r="J161" t="str">
        <f>IFERROR(ROUNDDOWN((VLOOKUP($C161,装備品!$1:$998,COLUMN(H$1),FALSE)+IFERROR(VLOOKUP($CI161,付与!$1:$1167,COLUMN(J$1),FALSE),0))*VLOOKUP($D161,素材!$1:$1016,COLUMN($E$1),FALSE),0),"")</f>
        <v/>
      </c>
      <c r="K161" t="str">
        <f>IFERROR(ROUNDDOWN((VLOOKUP($C161,装備品!$1:$998,COLUMN(I$1),FALSE)+IFERROR(VLOOKUP($CI161,付与!$1:$1167,COLUMN(K$1),FALSE),0))*VLOOKUP($D161,素材!$1:$1016,COLUMN($E$1),FALSE),0),"")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IFERROR(VLOOKUP($C161,装備品!$1:$998,COLUMN(AA$1),FALSE)*VLOOKUP($D161,素材!$1:$1016,COLUMN($G$1),FALSE),"")</f>
        <v/>
      </c>
      <c r="N161">
        <f>IFERROR(VLOOKUP($C161,装備品!$1:$998,COLUMN(I$1),FALSE),"")</f>
        <v>0</v>
      </c>
      <c r="O161" s="23" t="str">
        <f>IFERROR((VLOOKUP($C161,装備品!$1:$998,COLUMN(K$1),FALSE)+VLOOKUP($D161,素材!$1:$1016,COLUMN(H$1),FALSE))*100+IFERROR(VLOOKUP($CI161,付与!$1:$1167,COLUMN(O$1),FALSE),0),"")</f>
        <v/>
      </c>
      <c r="P161" s="23" t="str">
        <f>IFERROR((VLOOKUP($C161,装備品!$1:$998,COLUMN(L$1),FALSE)+VLOOKUP($D161,素材!$1:$1016,COLUMN(I$1),FALSE))*100+IFERROR(VLOOKUP($CI161,付与!$1:$1167,COLUMN(P$1),FALSE),0),"")</f>
        <v/>
      </c>
      <c r="Q161" t="str">
        <f>IFERROR(ROUNDUP(VLOOKUP($C161,装備品!$1:$998,COLUMN(M$1),FALSE)*(VLOOKUP($D161,素材!$1:$1002,COLUMN(D$1),FALSE)/100),1),"")</f>
        <v/>
      </c>
      <c r="R161" t="str">
        <f>IFERROR(ROUNDUP(VLOOKUP($C161,装備品!$1:$998,COLUMN(N$1),FALSE)*(VLOOKUP($D161,素材!$1:$1002,COLUMN(D$1),FALSE)/100),1),"")</f>
        <v/>
      </c>
      <c r="S161">
        <f>IFERROR(VLOOKUP($C161,装備品!$1:$998,COLUMN(P$1),FALSE),"")</f>
        <v>0</v>
      </c>
      <c r="T161">
        <f>IFERROR(VLOOKUP($C161,装備品!$1:$998,COLUMN(Q$1),FALSE),"")</f>
        <v>0</v>
      </c>
      <c r="U161">
        <f>IFERROR(VLOOKUP($C161,装備品!$1:$998,COLUMN(R$1),FALSE),"")</f>
        <v>0</v>
      </c>
      <c r="V161">
        <f>IFERROR(VLOOKUP($C161,装備品!$1:$998,COLUMN(Q$1),FALSE),"")</f>
        <v>0</v>
      </c>
      <c r="W161">
        <f>IFERROR(VLOOKUP($C161,装備品!$1:$998,COLUMN(T$1),FALSE),"")</f>
        <v>0</v>
      </c>
      <c r="Y161">
        <f>IFERROR(VLOOKUP($C161,装備品!$1:$998,COLUMN(U$1),FALSE),"")</f>
        <v>0</v>
      </c>
      <c r="Z161" t="str">
        <f>IFERROR(ROUNDUP(VLOOKUP($C161,装備品!$1:$998,COLUMN(O$1),FALSE)*VLOOKUP($D161,素材!$1:$1016,COLUMN(E$1),FALSE),1),"")</f>
        <v/>
      </c>
      <c r="AA161">
        <f>IF(ISNUMBER(SEARCH(SUBSTITUTE(AA$1,RIGHT(AA$1,2),""),VLOOKUP($D161,素材!$1:$1016,COLUMN($F$1),FALSE))),VLOOKUP($C161,装備品!$1:$998,COLUMN($O$1),FALSE)*VLOOKUP($D161,素材!$1:$1016,COLUMN($E$1),FALSE)/(LEN(VLOOKUP($D161,素材!$1:$1016,COLUMN($F$1),FALSE))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IFERROR(VLOOKUP($C161,装備品!$1:$998,COLUMN(V$1),FALSE)*VLOOKUP($D161,素材!$1:$1016,COLUMN(N$1),FALSE)+IF(CI161="",0,VLOOKUP($CI161,付与!$1:$1176,COLUMN($CK$1),FALSE)),"")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IFERROR(VLOOKUP($D162,素材!$1:$1016,COLUMN($B$1),FALSE)&amp;"・"&amp;VLOOKUP($C162,装備品!$1:$998,COLUMN(B$1),FALSE),"")</f>
        <v/>
      </c>
      <c r="C162" s="24" t="s">
        <v>237</v>
      </c>
      <c r="D162" s="24" t="s">
        <v>243</v>
      </c>
      <c r="E162" t="str">
        <f>IFERROR(VLOOKUP(C162,装備品!$1:$998,COLUMN(C$1),FALSE),"")</f>
        <v>武器</v>
      </c>
      <c r="F162" t="str">
        <f>IFERROR(ROUNDDOWN((VLOOKUP($C162,装備品!$1:$998,COLUMN(D$1),FALSE)+IFERROR(VLOOKUP($CI162,付与!$1:$1167,COLUMN(F$1),FALSE),0))*VLOOKUP($D162,素材!$1:$1016,COLUMN(D$1),FALSE),0),"")</f>
        <v/>
      </c>
      <c r="G162" t="str">
        <f>IFERROR(ROUNDDOWN((VLOOKUP($C162,装備品!$1:$998,COLUMN(E$1),FALSE)+IFERROR(VLOOKUP($CI162,付与!$1:$1167,COLUMN(G$1),FALSE),0))*VLOOKUP($D162,素材!$1:$1016,COLUMN($E$1),FALSE),0),"")</f>
        <v/>
      </c>
      <c r="H162" t="str">
        <f>IFERROR(ROUNDDOWN((VLOOKUP($C162,装備品!$1:$998,COLUMN(F$1),FALSE)+IFERROR(VLOOKUP($CI162,付与!$1:$1167,COLUMN(H$1),FALSE),0))*VLOOKUP($D162,素材!$1:$1016,COLUMN($E$1),FALSE),0),"")</f>
        <v/>
      </c>
      <c r="I162" t="str">
        <f>IFERROR(ROUNDDOWN((VLOOKUP($C162,装備品!$1:$998,COLUMN(G$1),FALSE)+IFERROR(VLOOKUP($CI162,付与!$1:$1167,COLUMN(I$1),FALSE),0))*VLOOKUP($D162,素材!$1:$1016,COLUMN($E$1),FALSE),0),"")</f>
        <v/>
      </c>
      <c r="J162" t="str">
        <f>IFERROR(ROUNDDOWN((VLOOKUP($C162,装備品!$1:$998,COLUMN(H$1),FALSE)+IFERROR(VLOOKUP($CI162,付与!$1:$1167,COLUMN(J$1),FALSE),0))*VLOOKUP($D162,素材!$1:$1016,COLUMN($E$1),FALSE),0),"")</f>
        <v/>
      </c>
      <c r="K162" t="str">
        <f>IFERROR(ROUNDDOWN((VLOOKUP($C162,装備品!$1:$998,COLUMN(I$1),FALSE)+IFERROR(VLOOKUP($CI162,付与!$1:$1167,COLUMN(K$1),FALSE),0))*VLOOKUP($D162,素材!$1:$1016,COLUMN($E$1),FALSE),0),"")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IFERROR(VLOOKUP($C162,装備品!$1:$998,COLUMN(AA$1),FALSE)*VLOOKUP($D162,素材!$1:$1016,COLUMN($G$1),FALSE),"")</f>
        <v/>
      </c>
      <c r="N162">
        <f>IFERROR(VLOOKUP($C162,装備品!$1:$998,COLUMN(I$1),FALSE),"")</f>
        <v>0</v>
      </c>
      <c r="O162" s="23" t="str">
        <f>IFERROR((VLOOKUP($C162,装備品!$1:$998,COLUMN(K$1),FALSE)+VLOOKUP($D162,素材!$1:$1016,COLUMN(H$1),FALSE))*100+IFERROR(VLOOKUP($CI162,付与!$1:$1167,COLUMN(O$1),FALSE),0),"")</f>
        <v/>
      </c>
      <c r="P162" s="23" t="str">
        <f>IFERROR((VLOOKUP($C162,装備品!$1:$998,COLUMN(L$1),FALSE)+VLOOKUP($D162,素材!$1:$1016,COLUMN(I$1),FALSE))*100+IFERROR(VLOOKUP($CI162,付与!$1:$1167,COLUMN(P$1),FALSE),0),"")</f>
        <v/>
      </c>
      <c r="Q162" t="str">
        <f>IFERROR(ROUNDUP(VLOOKUP($C162,装備品!$1:$998,COLUMN(M$1),FALSE)*(VLOOKUP($D162,素材!$1:$1002,COLUMN(D$1),FALSE)/100),1),"")</f>
        <v/>
      </c>
      <c r="R162" t="str">
        <f>IFERROR(ROUNDUP(VLOOKUP($C162,装備品!$1:$998,COLUMN(N$1),FALSE)*(VLOOKUP($D162,素材!$1:$1002,COLUMN(D$1),FALSE)/100),1),"")</f>
        <v/>
      </c>
      <c r="S162">
        <f>IFERROR(VLOOKUP($C162,装備品!$1:$998,COLUMN(P$1),FALSE),"")</f>
        <v>0</v>
      </c>
      <c r="T162">
        <f>IFERROR(VLOOKUP($C162,装備品!$1:$998,COLUMN(Q$1),FALSE),"")</f>
        <v>0</v>
      </c>
      <c r="U162">
        <f>IFERROR(VLOOKUP($C162,装備品!$1:$998,COLUMN(R$1),FALSE),"")</f>
        <v>0</v>
      </c>
      <c r="V162">
        <f>IFERROR(VLOOKUP($C162,装備品!$1:$998,COLUMN(Q$1),FALSE),"")</f>
        <v>0</v>
      </c>
      <c r="W162">
        <f>IFERROR(VLOOKUP($C162,装備品!$1:$998,COLUMN(T$1),FALSE),"")</f>
        <v>0</v>
      </c>
      <c r="Y162">
        <f>IFERROR(VLOOKUP($C162,装備品!$1:$998,COLUMN(U$1),FALSE),"")</f>
        <v>0</v>
      </c>
      <c r="Z162" t="str">
        <f>IFERROR(ROUNDUP(VLOOKUP($C162,装備品!$1:$998,COLUMN(O$1),FALSE)*VLOOKUP($D162,素材!$1:$1016,COLUMN(E$1),FALSE),1),"")</f>
        <v/>
      </c>
      <c r="AA162">
        <f>IF(ISNUMBER(SEARCH(SUBSTITUTE(AA$1,RIGHT(AA$1,2),""),VLOOKUP($D162,素材!$1:$1016,COLUMN($F$1),FALSE))),VLOOKUP($C162,装備品!$1:$998,COLUMN($O$1),FALSE)*VLOOKUP($D162,素材!$1:$1016,COLUMN($E$1),FALSE)/(LEN(VLOOKUP($D162,素材!$1:$1016,COLUMN($F$1),FALSE))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IFERROR(VLOOKUP($C162,装備品!$1:$998,COLUMN(V$1),FALSE)*VLOOKUP($D162,素材!$1:$1016,COLUMN(N$1),FALSE)+IF(CI162="",0,VLOOKUP($CI162,付与!$1:$1176,COLUMN($CK$1),FALSE)),"")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IFERROR(VLOOKUP($D163,素材!$1:$1016,COLUMN($B$1),FALSE)&amp;"・"&amp;VLOOKUP($C163,装備品!$1:$998,COLUMN(B$1),FALSE),"")</f>
        <v/>
      </c>
      <c r="C163" s="24" t="s">
        <v>236</v>
      </c>
      <c r="D163" s="24" t="s">
        <v>243</v>
      </c>
      <c r="E163" t="str">
        <f>IFERROR(VLOOKUP(C163,装備品!$1:$998,COLUMN(C$1),FALSE),"")</f>
        <v>武器</v>
      </c>
      <c r="F163" t="str">
        <f>IFERROR(ROUNDDOWN((VLOOKUP($C163,装備品!$1:$998,COLUMN(D$1),FALSE)+IFERROR(VLOOKUP($CI163,付与!$1:$1167,COLUMN(F$1),FALSE),0))*VLOOKUP($D163,素材!$1:$1016,COLUMN(D$1),FALSE),0),"")</f>
        <v/>
      </c>
      <c r="G163" t="str">
        <f>IFERROR(ROUNDDOWN((VLOOKUP($C163,装備品!$1:$998,COLUMN(E$1),FALSE)+IFERROR(VLOOKUP($CI163,付与!$1:$1167,COLUMN(G$1),FALSE),0))*VLOOKUP($D163,素材!$1:$1016,COLUMN($E$1),FALSE),0),"")</f>
        <v/>
      </c>
      <c r="H163" t="str">
        <f>IFERROR(ROUNDDOWN((VLOOKUP($C163,装備品!$1:$998,COLUMN(F$1),FALSE)+IFERROR(VLOOKUP($CI163,付与!$1:$1167,COLUMN(H$1),FALSE),0))*VLOOKUP($D163,素材!$1:$1016,COLUMN($E$1),FALSE),0),"")</f>
        <v/>
      </c>
      <c r="I163" t="str">
        <f>IFERROR(ROUNDDOWN((VLOOKUP($C163,装備品!$1:$998,COLUMN(G$1),FALSE)+IFERROR(VLOOKUP($CI163,付与!$1:$1167,COLUMN(I$1),FALSE),0))*VLOOKUP($D163,素材!$1:$1016,COLUMN($E$1),FALSE),0),"")</f>
        <v/>
      </c>
      <c r="J163" t="str">
        <f>IFERROR(ROUNDDOWN((VLOOKUP($C163,装備品!$1:$998,COLUMN(H$1),FALSE)+IFERROR(VLOOKUP($CI163,付与!$1:$1167,COLUMN(J$1),FALSE),0))*VLOOKUP($D163,素材!$1:$1016,COLUMN($E$1),FALSE),0),"")</f>
        <v/>
      </c>
      <c r="K163" t="str">
        <f>IFERROR(ROUNDDOWN((VLOOKUP($C163,装備品!$1:$998,COLUMN(I$1),FALSE)+IFERROR(VLOOKUP($CI163,付与!$1:$1167,COLUMN(K$1),FALSE),0))*VLOOKUP($D163,素材!$1:$1016,COLUMN($E$1),FALSE),0),"")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IFERROR(VLOOKUP($C163,装備品!$1:$998,COLUMN(AA$1),FALSE)*VLOOKUP($D163,素材!$1:$1016,COLUMN($G$1),FALSE),"")</f>
        <v/>
      </c>
      <c r="N163">
        <f>IFERROR(VLOOKUP($C163,装備品!$1:$998,COLUMN(I$1),FALSE),"")</f>
        <v>0</v>
      </c>
      <c r="O163" s="23" t="str">
        <f>IFERROR((VLOOKUP($C163,装備品!$1:$998,COLUMN(K$1),FALSE)+VLOOKUP($D163,素材!$1:$1016,COLUMN(H$1),FALSE))*100+IFERROR(VLOOKUP($CI163,付与!$1:$1167,COLUMN(O$1),FALSE),0),"")</f>
        <v/>
      </c>
      <c r="P163" s="23" t="str">
        <f>IFERROR((VLOOKUP($C163,装備品!$1:$998,COLUMN(L$1),FALSE)+VLOOKUP($D163,素材!$1:$1016,COLUMN(I$1),FALSE))*100+IFERROR(VLOOKUP($CI163,付与!$1:$1167,COLUMN(P$1),FALSE),0),"")</f>
        <v/>
      </c>
      <c r="Q163" t="str">
        <f>IFERROR(ROUNDUP(VLOOKUP($C163,装備品!$1:$998,COLUMN(M$1),FALSE)*(VLOOKUP($D163,素材!$1:$1002,COLUMN(D$1),FALSE)/100),1),"")</f>
        <v/>
      </c>
      <c r="R163" t="str">
        <f>IFERROR(ROUNDUP(VLOOKUP($C163,装備品!$1:$998,COLUMN(N$1),FALSE)*(VLOOKUP($D163,素材!$1:$1002,COLUMN(D$1),FALSE)/100),1),"")</f>
        <v/>
      </c>
      <c r="S163">
        <f>IFERROR(VLOOKUP($C163,装備品!$1:$998,COLUMN(P$1),FALSE),"")</f>
        <v>0</v>
      </c>
      <c r="T163">
        <f>IFERROR(VLOOKUP($C163,装備品!$1:$998,COLUMN(Q$1),FALSE),"")</f>
        <v>0</v>
      </c>
      <c r="U163">
        <f>IFERROR(VLOOKUP($C163,装備品!$1:$998,COLUMN(R$1),FALSE),"")</f>
        <v>-15</v>
      </c>
      <c r="V163">
        <f>IFERROR(VLOOKUP($C163,装備品!$1:$998,COLUMN(Q$1),FALSE),"")</f>
        <v>0</v>
      </c>
      <c r="W163">
        <f>IFERROR(VLOOKUP($C163,装備品!$1:$998,COLUMN(T$1),FALSE),"")</f>
        <v>0</v>
      </c>
      <c r="Y163">
        <f>IFERROR(VLOOKUP($C163,装備品!$1:$998,COLUMN(U$1),FALSE),"")</f>
        <v>0</v>
      </c>
      <c r="Z163" t="str">
        <f>IFERROR(ROUNDUP(VLOOKUP($C163,装備品!$1:$998,COLUMN(O$1),FALSE)*VLOOKUP($D163,素材!$1:$1016,COLUMN(E$1),FALSE),1),"")</f>
        <v/>
      </c>
      <c r="AA163">
        <f>IF(ISNUMBER(SEARCH(SUBSTITUTE(AA$1,RIGHT(AA$1,2),""),VLOOKUP($D163,素材!$1:$1016,COLUMN($F$1),FALSE))),VLOOKUP($C163,装備品!$1:$998,COLUMN($O$1),FALSE)*VLOOKUP($D163,素材!$1:$1016,COLUMN($E$1),FALSE)/(LEN(VLOOKUP($D163,素材!$1:$1016,COLUMN($F$1),FALSE))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IFERROR(VLOOKUP($C163,装備品!$1:$998,COLUMN(V$1),FALSE)*VLOOKUP($D163,素材!$1:$1016,COLUMN(N$1),FALSE)+IF(CI163="",0,VLOOKUP($CI163,付与!$1:$1176,COLUMN($CK$1),FALSE)),"")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IFERROR(VLOOKUP($D164,素材!$1:$1016,COLUMN($B$1),FALSE)&amp;"・"&amp;VLOOKUP($C164,装備品!$1:$998,COLUMN(B$1),FALSE),"")</f>
        <v/>
      </c>
      <c r="C164" s="24" t="s">
        <v>235</v>
      </c>
      <c r="D164" s="24" t="s">
        <v>243</v>
      </c>
      <c r="E164" t="str">
        <f>IFERROR(VLOOKUP(C164,装備品!$1:$998,COLUMN(C$1),FALSE),"")</f>
        <v>武器</v>
      </c>
      <c r="F164" t="str">
        <f>IFERROR(ROUNDDOWN((VLOOKUP($C164,装備品!$1:$998,COLUMN(D$1),FALSE)+IFERROR(VLOOKUP($CI164,付与!$1:$1167,COLUMN(F$1),FALSE),0))*VLOOKUP($D164,素材!$1:$1016,COLUMN(D$1),FALSE),0),"")</f>
        <v/>
      </c>
      <c r="G164" t="str">
        <f>IFERROR(ROUNDDOWN((VLOOKUP($C164,装備品!$1:$998,COLUMN(E$1),FALSE)+IFERROR(VLOOKUP($CI164,付与!$1:$1167,COLUMN(G$1),FALSE),0))*VLOOKUP($D164,素材!$1:$1016,COLUMN($E$1),FALSE),0),"")</f>
        <v/>
      </c>
      <c r="H164" t="str">
        <f>IFERROR(ROUNDDOWN((VLOOKUP($C164,装備品!$1:$998,COLUMN(F$1),FALSE)+IFERROR(VLOOKUP($CI164,付与!$1:$1167,COLUMN(H$1),FALSE),0))*VLOOKUP($D164,素材!$1:$1016,COLUMN($E$1),FALSE),0),"")</f>
        <v/>
      </c>
      <c r="I164" t="str">
        <f>IFERROR(ROUNDDOWN((VLOOKUP($C164,装備品!$1:$998,COLUMN(G$1),FALSE)+IFERROR(VLOOKUP($CI164,付与!$1:$1167,COLUMN(I$1),FALSE),0))*VLOOKUP($D164,素材!$1:$1016,COLUMN($E$1),FALSE),0),"")</f>
        <v/>
      </c>
      <c r="J164" t="str">
        <f>IFERROR(ROUNDDOWN((VLOOKUP($C164,装備品!$1:$998,COLUMN(H$1),FALSE)+IFERROR(VLOOKUP($CI164,付与!$1:$1167,COLUMN(J$1),FALSE),0))*VLOOKUP($D164,素材!$1:$1016,COLUMN($E$1),FALSE),0),"")</f>
        <v/>
      </c>
      <c r="K164" t="str">
        <f>IFERROR(ROUNDDOWN((VLOOKUP($C164,装備品!$1:$998,COLUMN(I$1),FALSE)+IFERROR(VLOOKUP($CI164,付与!$1:$1167,COLUMN(K$1),FALSE),0))*VLOOKUP($D164,素材!$1:$1016,COLUMN($E$1),FALSE),0),"")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IFERROR(VLOOKUP($C164,装備品!$1:$998,COLUMN(AA$1),FALSE)*VLOOKUP($D164,素材!$1:$1016,COLUMN($G$1),FALSE),"")</f>
        <v/>
      </c>
      <c r="N164">
        <f>IFERROR(VLOOKUP($C164,装備品!$1:$998,COLUMN(I$1),FALSE),"")</f>
        <v>0</v>
      </c>
      <c r="O164" s="23" t="str">
        <f>IFERROR((VLOOKUP($C164,装備品!$1:$998,COLUMN(K$1),FALSE)+VLOOKUP($D164,素材!$1:$1016,COLUMN(H$1),FALSE))*100+IFERROR(VLOOKUP($CI164,付与!$1:$1167,COLUMN(O$1),FALSE),0),"")</f>
        <v/>
      </c>
      <c r="P164" s="23" t="str">
        <f>IFERROR((VLOOKUP($C164,装備品!$1:$998,COLUMN(L$1),FALSE)+VLOOKUP($D164,素材!$1:$1016,COLUMN(I$1),FALSE))*100+IFERROR(VLOOKUP($CI164,付与!$1:$1167,COLUMN(P$1),FALSE),0),"")</f>
        <v/>
      </c>
      <c r="Q164" t="str">
        <f>IFERROR(ROUNDUP(VLOOKUP($C164,装備品!$1:$998,COLUMN(M$1),FALSE)*(VLOOKUP($D164,素材!$1:$1002,COLUMN(D$1),FALSE)/100),1),"")</f>
        <v/>
      </c>
      <c r="R164" t="str">
        <f>IFERROR(ROUNDUP(VLOOKUP($C164,装備品!$1:$998,COLUMN(N$1),FALSE)*(VLOOKUP($D164,素材!$1:$1002,COLUMN(D$1),FALSE)/100),1),"")</f>
        <v/>
      </c>
      <c r="S164">
        <f>IFERROR(VLOOKUP($C164,装備品!$1:$998,COLUMN(P$1),FALSE),"")</f>
        <v>0</v>
      </c>
      <c r="T164">
        <f>IFERROR(VLOOKUP($C164,装備品!$1:$998,COLUMN(Q$1),FALSE),"")</f>
        <v>0</v>
      </c>
      <c r="U164">
        <f>IFERROR(VLOOKUP($C164,装備品!$1:$998,COLUMN(R$1),FALSE),"")</f>
        <v>0</v>
      </c>
      <c r="V164">
        <f>IFERROR(VLOOKUP($C164,装備品!$1:$998,COLUMN(Q$1),FALSE),"")</f>
        <v>0</v>
      </c>
      <c r="W164">
        <f>IFERROR(VLOOKUP($C164,装備品!$1:$998,COLUMN(T$1),FALSE),"")</f>
        <v>0</v>
      </c>
      <c r="Y164">
        <f>IFERROR(VLOOKUP($C164,装備品!$1:$998,COLUMN(U$1),FALSE),"")</f>
        <v>0</v>
      </c>
      <c r="Z164" t="str">
        <f>IFERROR(ROUNDUP(VLOOKUP($C164,装備品!$1:$998,COLUMN(O$1),FALSE)*VLOOKUP($D164,素材!$1:$1016,COLUMN(E$1),FALSE),1),"")</f>
        <v/>
      </c>
      <c r="AA164">
        <f>IF(ISNUMBER(SEARCH(SUBSTITUTE(AA$1,RIGHT(AA$1,2),""),VLOOKUP($D164,素材!$1:$1016,COLUMN($F$1),FALSE))),VLOOKUP($C164,装備品!$1:$998,COLUMN($O$1),FALSE)*VLOOKUP($D164,素材!$1:$1016,COLUMN($E$1),FALSE)/(LEN(VLOOKUP($D164,素材!$1:$1016,COLUMN($F$1),FALSE))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IFERROR(VLOOKUP($C164,装備品!$1:$998,COLUMN(V$1),FALSE)*VLOOKUP($D164,素材!$1:$1016,COLUMN(N$1),FALSE)+IF(CI164="",0,VLOOKUP($CI164,付与!$1:$1176,COLUMN($CK$1),FALSE)),"")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IFERROR(VLOOKUP($D165,素材!$1:$1016,COLUMN($B$1),FALSE)&amp;"・"&amp;VLOOKUP($C165,装備品!$1:$998,COLUMN(B$1),FALSE),"")</f>
        <v/>
      </c>
      <c r="C165" s="24" t="s">
        <v>234</v>
      </c>
      <c r="D165" s="24" t="s">
        <v>243</v>
      </c>
      <c r="E165" t="str">
        <f>IFERROR(VLOOKUP(C165,装備品!$1:$998,COLUMN(C$1),FALSE),"")</f>
        <v>武器</v>
      </c>
      <c r="F165" t="str">
        <f>IFERROR(ROUNDDOWN((VLOOKUP($C165,装備品!$1:$998,COLUMN(D$1),FALSE)+IFERROR(VLOOKUP($CI165,付与!$1:$1167,COLUMN(F$1),FALSE),0))*VLOOKUP($D165,素材!$1:$1016,COLUMN(D$1),FALSE),0),"")</f>
        <v/>
      </c>
      <c r="G165" t="str">
        <f>IFERROR(ROUNDDOWN((VLOOKUP($C165,装備品!$1:$998,COLUMN(E$1),FALSE)+IFERROR(VLOOKUP($CI165,付与!$1:$1167,COLUMN(G$1),FALSE),0))*VLOOKUP($D165,素材!$1:$1016,COLUMN($E$1),FALSE),0),"")</f>
        <v/>
      </c>
      <c r="H165" t="str">
        <f>IFERROR(ROUNDDOWN((VLOOKUP($C165,装備品!$1:$998,COLUMN(F$1),FALSE)+IFERROR(VLOOKUP($CI165,付与!$1:$1167,COLUMN(H$1),FALSE),0))*VLOOKUP($D165,素材!$1:$1016,COLUMN($E$1),FALSE),0),"")</f>
        <v/>
      </c>
      <c r="I165" t="str">
        <f>IFERROR(ROUNDDOWN((VLOOKUP($C165,装備品!$1:$998,COLUMN(G$1),FALSE)+IFERROR(VLOOKUP($CI165,付与!$1:$1167,COLUMN(I$1),FALSE),0))*VLOOKUP($D165,素材!$1:$1016,COLUMN($E$1),FALSE),0),"")</f>
        <v/>
      </c>
      <c r="J165" t="str">
        <f>IFERROR(ROUNDDOWN((VLOOKUP($C165,装備品!$1:$998,COLUMN(H$1),FALSE)+IFERROR(VLOOKUP($CI165,付与!$1:$1167,COLUMN(J$1),FALSE),0))*VLOOKUP($D165,素材!$1:$1016,COLUMN($E$1),FALSE),0),"")</f>
        <v/>
      </c>
      <c r="K165" t="str">
        <f>IFERROR(ROUNDDOWN((VLOOKUP($C165,装備品!$1:$998,COLUMN(I$1),FALSE)+IFERROR(VLOOKUP($CI165,付与!$1:$1167,COLUMN(K$1),FALSE),0))*VLOOKUP($D165,素材!$1:$1016,COLUMN($E$1),FALSE),0),"")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IFERROR(VLOOKUP($C165,装備品!$1:$998,COLUMN(AA$1),FALSE)*VLOOKUP($D165,素材!$1:$1016,COLUMN($G$1),FALSE),"")</f>
        <v/>
      </c>
      <c r="N165">
        <f>IFERROR(VLOOKUP($C165,装備品!$1:$998,COLUMN(I$1),FALSE),"")</f>
        <v>0</v>
      </c>
      <c r="O165" s="23" t="str">
        <f>IFERROR((VLOOKUP($C165,装備品!$1:$998,COLUMN(K$1),FALSE)+VLOOKUP($D165,素材!$1:$1016,COLUMN(H$1),FALSE))*100+IFERROR(VLOOKUP($CI165,付与!$1:$1167,COLUMN(O$1),FALSE),0),"")</f>
        <v/>
      </c>
      <c r="P165" s="23" t="str">
        <f>IFERROR((VLOOKUP($C165,装備品!$1:$998,COLUMN(L$1),FALSE)+VLOOKUP($D165,素材!$1:$1016,COLUMN(I$1),FALSE))*100+IFERROR(VLOOKUP($CI165,付与!$1:$1167,COLUMN(P$1),FALSE),0),"")</f>
        <v/>
      </c>
      <c r="Q165" t="str">
        <f>IFERROR(ROUNDUP(VLOOKUP($C165,装備品!$1:$998,COLUMN(M$1),FALSE)*(VLOOKUP($D165,素材!$1:$1002,COLUMN(D$1),FALSE)/100),1),"")</f>
        <v/>
      </c>
      <c r="R165" t="str">
        <f>IFERROR(ROUNDUP(VLOOKUP($C165,装備品!$1:$998,COLUMN(N$1),FALSE)*(VLOOKUP($D165,素材!$1:$1002,COLUMN(D$1),FALSE)/100),1),"")</f>
        <v/>
      </c>
      <c r="S165">
        <f>IFERROR(VLOOKUP($C165,装備品!$1:$998,COLUMN(P$1),FALSE),"")</f>
        <v>0</v>
      </c>
      <c r="T165">
        <f>IFERROR(VLOOKUP($C165,装備品!$1:$998,COLUMN(Q$1),FALSE),"")</f>
        <v>0</v>
      </c>
      <c r="U165">
        <f>IFERROR(VLOOKUP($C165,装備品!$1:$998,COLUMN(R$1),FALSE),"")</f>
        <v>0</v>
      </c>
      <c r="V165">
        <f>IFERROR(VLOOKUP($C165,装備品!$1:$998,COLUMN(Q$1),FALSE),"")</f>
        <v>0</v>
      </c>
      <c r="W165">
        <f>IFERROR(VLOOKUP($C165,装備品!$1:$998,COLUMN(T$1),FALSE),"")</f>
        <v>0</v>
      </c>
      <c r="Y165">
        <f>IFERROR(VLOOKUP($C165,装備品!$1:$998,COLUMN(U$1),FALSE),"")</f>
        <v>0</v>
      </c>
      <c r="Z165" t="str">
        <f>IFERROR(ROUNDUP(VLOOKUP($C165,装備品!$1:$998,COLUMN(O$1),FALSE)*VLOOKUP($D165,素材!$1:$1016,COLUMN(E$1),FALSE),1),"")</f>
        <v/>
      </c>
      <c r="AA165">
        <f>IF(ISNUMBER(SEARCH(SUBSTITUTE(AA$1,RIGHT(AA$1,2),""),VLOOKUP($D165,素材!$1:$1016,COLUMN($F$1),FALSE))),VLOOKUP($C165,装備品!$1:$998,COLUMN($O$1),FALSE)*VLOOKUP($D165,素材!$1:$1016,COLUMN($E$1),FALSE)/(LEN(VLOOKUP($D165,素材!$1:$1016,COLUMN($F$1),FALSE))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IFERROR(VLOOKUP($C165,装備品!$1:$998,COLUMN(V$1),FALSE)*VLOOKUP($D165,素材!$1:$1016,COLUMN(N$1),FALSE)+IF(CI165="",0,VLOOKUP($CI165,付与!$1:$1176,COLUMN($CK$1),FALSE)),"")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IFERROR(VLOOKUP($D166,素材!$1:$1016,COLUMN($B$1),FALSE)&amp;"・"&amp;VLOOKUP($C166,装備品!$1:$998,COLUMN(B$1),FALSE),"")</f>
        <v/>
      </c>
      <c r="C166" s="24" t="s">
        <v>233</v>
      </c>
      <c r="D166" s="24" t="s">
        <v>243</v>
      </c>
      <c r="E166" t="str">
        <f>IFERROR(VLOOKUP(C166,装備品!$1:$998,COLUMN(C$1),FALSE),"")</f>
        <v>武器</v>
      </c>
      <c r="F166" t="str">
        <f>IFERROR(ROUNDDOWN((VLOOKUP($C166,装備品!$1:$998,COLUMN(D$1),FALSE)+IFERROR(VLOOKUP($CI166,付与!$1:$1167,COLUMN(F$1),FALSE),0))*VLOOKUP($D166,素材!$1:$1016,COLUMN(D$1),FALSE),0),"")</f>
        <v/>
      </c>
      <c r="G166" t="str">
        <f>IFERROR(ROUNDDOWN((VLOOKUP($C166,装備品!$1:$998,COLUMN(E$1),FALSE)+IFERROR(VLOOKUP($CI166,付与!$1:$1167,COLUMN(G$1),FALSE),0))*VLOOKUP($D166,素材!$1:$1016,COLUMN($E$1),FALSE),0),"")</f>
        <v/>
      </c>
      <c r="H166" t="str">
        <f>IFERROR(ROUNDDOWN((VLOOKUP($C166,装備品!$1:$998,COLUMN(F$1),FALSE)+IFERROR(VLOOKUP($CI166,付与!$1:$1167,COLUMN(H$1),FALSE),0))*VLOOKUP($D166,素材!$1:$1016,COLUMN($E$1),FALSE),0),"")</f>
        <v/>
      </c>
      <c r="I166" t="str">
        <f>IFERROR(ROUNDDOWN((VLOOKUP($C166,装備品!$1:$998,COLUMN(G$1),FALSE)+IFERROR(VLOOKUP($CI166,付与!$1:$1167,COLUMN(I$1),FALSE),0))*VLOOKUP($D166,素材!$1:$1016,COLUMN($E$1),FALSE),0),"")</f>
        <v/>
      </c>
      <c r="J166" t="str">
        <f>IFERROR(ROUNDDOWN((VLOOKUP($C166,装備品!$1:$998,COLUMN(H$1),FALSE)+IFERROR(VLOOKUP($CI166,付与!$1:$1167,COLUMN(J$1),FALSE),0))*VLOOKUP($D166,素材!$1:$1016,COLUMN($E$1),FALSE),0),"")</f>
        <v/>
      </c>
      <c r="K166" t="str">
        <f>IFERROR(ROUNDDOWN((VLOOKUP($C166,装備品!$1:$998,COLUMN(I$1),FALSE)+IFERROR(VLOOKUP($CI166,付与!$1:$1167,COLUMN(K$1),FALSE),0))*VLOOKUP($D166,素材!$1:$1016,COLUMN($E$1),FALSE),0),"")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IFERROR(VLOOKUP($C166,装備品!$1:$998,COLUMN(AA$1),FALSE)*VLOOKUP($D166,素材!$1:$1016,COLUMN($G$1),FALSE),"")</f>
        <v/>
      </c>
      <c r="N166">
        <f>IFERROR(VLOOKUP($C166,装備品!$1:$998,COLUMN(I$1),FALSE),"")</f>
        <v>0</v>
      </c>
      <c r="O166" s="23" t="str">
        <f>IFERROR((VLOOKUP($C166,装備品!$1:$998,COLUMN(K$1),FALSE)+VLOOKUP($D166,素材!$1:$1016,COLUMN(H$1),FALSE))*100+IFERROR(VLOOKUP($CI166,付与!$1:$1167,COLUMN(O$1),FALSE),0),"")</f>
        <v/>
      </c>
      <c r="P166" s="23" t="str">
        <f>IFERROR((VLOOKUP($C166,装備品!$1:$998,COLUMN(L$1),FALSE)+VLOOKUP($D166,素材!$1:$1016,COLUMN(I$1),FALSE))*100+IFERROR(VLOOKUP($CI166,付与!$1:$1167,COLUMN(P$1),FALSE),0),"")</f>
        <v/>
      </c>
      <c r="Q166" t="str">
        <f>IFERROR(ROUNDUP(VLOOKUP($C166,装備品!$1:$998,COLUMN(M$1),FALSE)*(VLOOKUP($D166,素材!$1:$1002,COLUMN(D$1),FALSE)/100),1),"")</f>
        <v/>
      </c>
      <c r="R166" t="str">
        <f>IFERROR(ROUNDUP(VLOOKUP($C166,装備品!$1:$998,COLUMN(N$1),FALSE)*(VLOOKUP($D166,素材!$1:$1002,COLUMN(D$1),FALSE)/100),1),"")</f>
        <v/>
      </c>
      <c r="S166">
        <f>IFERROR(VLOOKUP($C166,装備品!$1:$998,COLUMN(P$1),FALSE),"")</f>
        <v>0</v>
      </c>
      <c r="T166">
        <f>IFERROR(VLOOKUP($C166,装備品!$1:$998,COLUMN(Q$1),FALSE),"")</f>
        <v>0</v>
      </c>
      <c r="U166">
        <f>IFERROR(VLOOKUP($C166,装備品!$1:$998,COLUMN(R$1),FALSE),"")</f>
        <v>0</v>
      </c>
      <c r="V166">
        <f>IFERROR(VLOOKUP($C166,装備品!$1:$998,COLUMN(Q$1),FALSE),"")</f>
        <v>0</v>
      </c>
      <c r="W166">
        <f>IFERROR(VLOOKUP($C166,装備品!$1:$998,COLUMN(T$1),FALSE),"")</f>
        <v>0</v>
      </c>
      <c r="Y166">
        <f>IFERROR(VLOOKUP($C166,装備品!$1:$998,COLUMN(U$1),FALSE),"")</f>
        <v>0</v>
      </c>
      <c r="Z166" t="str">
        <f>IFERROR(ROUNDUP(VLOOKUP($C166,装備品!$1:$998,COLUMN(O$1),FALSE)*VLOOKUP($D166,素材!$1:$1016,COLUMN(E$1),FALSE),1),"")</f>
        <v/>
      </c>
      <c r="AA166">
        <f>IF(ISNUMBER(SEARCH(SUBSTITUTE(AA$1,RIGHT(AA$1,2),""),VLOOKUP($D166,素材!$1:$1016,COLUMN($F$1),FALSE))),VLOOKUP($C166,装備品!$1:$998,COLUMN($O$1),FALSE)*VLOOKUP($D166,素材!$1:$1016,COLUMN($E$1),FALSE)/(LEN(VLOOKUP($D166,素材!$1:$1016,COLUMN($F$1),FALSE))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IFERROR(VLOOKUP($C166,装備品!$1:$998,COLUMN(V$1),FALSE)*VLOOKUP($D166,素材!$1:$1016,COLUMN(N$1),FALSE)+IF(CI166="",0,VLOOKUP($CI166,付与!$1:$1176,COLUMN($CK$1),FALSE)),"")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IFERROR(VLOOKUP($D167,素材!$1:$1016,COLUMN($B$1),FALSE)&amp;"・"&amp;VLOOKUP($C167,装備品!$1:$998,COLUMN(B$1),FALSE),"")</f>
        <v/>
      </c>
      <c r="C167" s="24" t="s">
        <v>232</v>
      </c>
      <c r="D167" s="24" t="s">
        <v>243</v>
      </c>
      <c r="E167" t="str">
        <f>IFERROR(VLOOKUP(C167,装備品!$1:$998,COLUMN(C$1),FALSE),"")</f>
        <v>武器</v>
      </c>
      <c r="F167" t="str">
        <f>IFERROR(ROUNDDOWN((VLOOKUP($C167,装備品!$1:$998,COLUMN(D$1),FALSE)+IFERROR(VLOOKUP($CI167,付与!$1:$1167,COLUMN(F$1),FALSE),0))*VLOOKUP($D167,素材!$1:$1016,COLUMN(D$1),FALSE),0),"")</f>
        <v/>
      </c>
      <c r="G167" t="str">
        <f>IFERROR(ROUNDDOWN((VLOOKUP($C167,装備品!$1:$998,COLUMN(E$1),FALSE)+IFERROR(VLOOKUP($CI167,付与!$1:$1167,COLUMN(G$1),FALSE),0))*VLOOKUP($D167,素材!$1:$1016,COLUMN($E$1),FALSE),0),"")</f>
        <v/>
      </c>
      <c r="H167" t="str">
        <f>IFERROR(ROUNDDOWN((VLOOKUP($C167,装備品!$1:$998,COLUMN(F$1),FALSE)+IFERROR(VLOOKUP($CI167,付与!$1:$1167,COLUMN(H$1),FALSE),0))*VLOOKUP($D167,素材!$1:$1016,COLUMN($E$1),FALSE),0),"")</f>
        <v/>
      </c>
      <c r="I167" t="str">
        <f>IFERROR(ROUNDDOWN((VLOOKUP($C167,装備品!$1:$998,COLUMN(G$1),FALSE)+IFERROR(VLOOKUP($CI167,付与!$1:$1167,COLUMN(I$1),FALSE),0))*VLOOKUP($D167,素材!$1:$1016,COLUMN($E$1),FALSE),0),"")</f>
        <v/>
      </c>
      <c r="J167" t="str">
        <f>IFERROR(ROUNDDOWN((VLOOKUP($C167,装備品!$1:$998,COLUMN(H$1),FALSE)+IFERROR(VLOOKUP($CI167,付与!$1:$1167,COLUMN(J$1),FALSE),0))*VLOOKUP($D167,素材!$1:$1016,COLUMN($E$1),FALSE),0),"")</f>
        <v/>
      </c>
      <c r="K167" t="str">
        <f>IFERROR(ROUNDDOWN((VLOOKUP($C167,装備品!$1:$998,COLUMN(I$1),FALSE)+IFERROR(VLOOKUP($CI167,付与!$1:$1167,COLUMN(K$1),FALSE),0))*VLOOKUP($D167,素材!$1:$1016,COLUMN($E$1),FALSE),0),"")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IFERROR(VLOOKUP($C167,装備品!$1:$998,COLUMN(AA$1),FALSE)*VLOOKUP($D167,素材!$1:$1016,COLUMN($G$1),FALSE),"")</f>
        <v/>
      </c>
      <c r="N167">
        <f>IFERROR(VLOOKUP($C167,装備品!$1:$998,COLUMN(I$1),FALSE),"")</f>
        <v>0</v>
      </c>
      <c r="O167" s="23" t="str">
        <f>IFERROR((VLOOKUP($C167,装備品!$1:$998,COLUMN(K$1),FALSE)+VLOOKUP($D167,素材!$1:$1016,COLUMN(H$1),FALSE))*100+IFERROR(VLOOKUP($CI167,付与!$1:$1167,COLUMN(O$1),FALSE),0),"")</f>
        <v/>
      </c>
      <c r="P167" s="23" t="str">
        <f>IFERROR((VLOOKUP($C167,装備品!$1:$998,COLUMN(L$1),FALSE)+VLOOKUP($D167,素材!$1:$1016,COLUMN(I$1),FALSE))*100+IFERROR(VLOOKUP($CI167,付与!$1:$1167,COLUMN(P$1),FALSE),0),"")</f>
        <v/>
      </c>
      <c r="Q167" t="str">
        <f>IFERROR(ROUNDUP(VLOOKUP($C167,装備品!$1:$998,COLUMN(M$1),FALSE)*(VLOOKUP($D167,素材!$1:$1002,COLUMN(D$1),FALSE)/100),1),"")</f>
        <v/>
      </c>
      <c r="R167" t="str">
        <f>IFERROR(ROUNDUP(VLOOKUP($C167,装備品!$1:$998,COLUMN(N$1),FALSE)*(VLOOKUP($D167,素材!$1:$1002,COLUMN(D$1),FALSE)/100),1),"")</f>
        <v/>
      </c>
      <c r="S167">
        <f>IFERROR(VLOOKUP($C167,装備品!$1:$998,COLUMN(P$1),FALSE),"")</f>
        <v>0</v>
      </c>
      <c r="T167">
        <f>IFERROR(VLOOKUP($C167,装備品!$1:$998,COLUMN(Q$1),FALSE),"")</f>
        <v>0</v>
      </c>
      <c r="U167">
        <f>IFERROR(VLOOKUP($C167,装備品!$1:$998,COLUMN(R$1),FALSE),"")</f>
        <v>0</v>
      </c>
      <c r="V167">
        <f>IFERROR(VLOOKUP($C167,装備品!$1:$998,COLUMN(Q$1),FALSE),"")</f>
        <v>0</v>
      </c>
      <c r="W167">
        <f>IFERROR(VLOOKUP($C167,装備品!$1:$998,COLUMN(T$1),FALSE),"")</f>
        <v>0</v>
      </c>
      <c r="Y167">
        <f>IFERROR(VLOOKUP($C167,装備品!$1:$998,COLUMN(U$1),FALSE),"")</f>
        <v>0</v>
      </c>
      <c r="Z167" t="str">
        <f>IFERROR(ROUNDUP(VLOOKUP($C167,装備品!$1:$998,COLUMN(O$1),FALSE)*VLOOKUP($D167,素材!$1:$1016,COLUMN(E$1),FALSE),1),"")</f>
        <v/>
      </c>
      <c r="AA167">
        <f>IF(ISNUMBER(SEARCH(SUBSTITUTE(AA$1,RIGHT(AA$1,2),""),VLOOKUP($D167,素材!$1:$1016,COLUMN($F$1),FALSE))),VLOOKUP($C167,装備品!$1:$998,COLUMN($O$1),FALSE)*VLOOKUP($D167,素材!$1:$1016,COLUMN($E$1),FALSE)/(LEN(VLOOKUP($D167,素材!$1:$1016,COLUMN($F$1),FALSE))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IFERROR(VLOOKUP($C167,装備品!$1:$998,COLUMN(V$1),FALSE)*VLOOKUP($D167,素材!$1:$1016,COLUMN(N$1),FALSE)+IF(CI167="",0,VLOOKUP($CI167,付与!$1:$1176,COLUMN($CK$1),FALSE)),"")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IFERROR(VLOOKUP($D168,素材!$1:$1016,COLUMN($B$1),FALSE)&amp;"・"&amp;VLOOKUP($C168,装備品!$1:$998,COLUMN(B$1),FALSE),"")</f>
        <v/>
      </c>
      <c r="C168" s="24" t="s">
        <v>231</v>
      </c>
      <c r="D168" s="24" t="s">
        <v>243</v>
      </c>
      <c r="E168" t="str">
        <f>IFERROR(VLOOKUP(C168,装備品!$1:$998,COLUMN(C$1),FALSE),"")</f>
        <v>武器</v>
      </c>
      <c r="F168" t="str">
        <f>IFERROR(ROUNDDOWN((VLOOKUP($C168,装備品!$1:$998,COLUMN(D$1),FALSE)+IFERROR(VLOOKUP($CI168,付与!$1:$1167,COLUMN(F$1),FALSE),0))*VLOOKUP($D168,素材!$1:$1016,COLUMN(D$1),FALSE),0),"")</f>
        <v/>
      </c>
      <c r="G168" t="str">
        <f>IFERROR(ROUNDDOWN((VLOOKUP($C168,装備品!$1:$998,COLUMN(E$1),FALSE)+IFERROR(VLOOKUP($CI168,付与!$1:$1167,COLUMN(G$1),FALSE),0))*VLOOKUP($D168,素材!$1:$1016,COLUMN($E$1),FALSE),0),"")</f>
        <v/>
      </c>
      <c r="H168" t="str">
        <f>IFERROR(ROUNDDOWN((VLOOKUP($C168,装備品!$1:$998,COLUMN(F$1),FALSE)+IFERROR(VLOOKUP($CI168,付与!$1:$1167,COLUMN(H$1),FALSE),0))*VLOOKUP($D168,素材!$1:$1016,COLUMN($E$1),FALSE),0),"")</f>
        <v/>
      </c>
      <c r="I168" t="str">
        <f>IFERROR(ROUNDDOWN((VLOOKUP($C168,装備品!$1:$998,COLUMN(G$1),FALSE)+IFERROR(VLOOKUP($CI168,付与!$1:$1167,COLUMN(I$1),FALSE),0))*VLOOKUP($D168,素材!$1:$1016,COLUMN($E$1),FALSE),0),"")</f>
        <v/>
      </c>
      <c r="J168" t="str">
        <f>IFERROR(ROUNDDOWN((VLOOKUP($C168,装備品!$1:$998,COLUMN(H$1),FALSE)+IFERROR(VLOOKUP($CI168,付与!$1:$1167,COLUMN(J$1),FALSE),0))*VLOOKUP($D168,素材!$1:$1016,COLUMN($E$1),FALSE),0),"")</f>
        <v/>
      </c>
      <c r="K168" t="str">
        <f>IFERROR(ROUNDDOWN((VLOOKUP($C168,装備品!$1:$998,COLUMN(I$1),FALSE)+IFERROR(VLOOKUP($CI168,付与!$1:$1167,COLUMN(K$1),FALSE),0))*VLOOKUP($D168,素材!$1:$1016,COLUMN($E$1),FALSE),0),"")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IFERROR(VLOOKUP($C168,装備品!$1:$998,COLUMN(AA$1),FALSE)*VLOOKUP($D168,素材!$1:$1016,COLUMN($G$1),FALSE),"")</f>
        <v/>
      </c>
      <c r="N168">
        <f>IFERROR(VLOOKUP($C168,装備品!$1:$998,COLUMN(I$1),FALSE),"")</f>
        <v>0</v>
      </c>
      <c r="O168" s="23" t="str">
        <f>IFERROR((VLOOKUP($C168,装備品!$1:$998,COLUMN(K$1),FALSE)+VLOOKUP($D168,素材!$1:$1016,COLUMN(H$1),FALSE))*100+IFERROR(VLOOKUP($CI168,付与!$1:$1167,COLUMN(O$1),FALSE),0),"")</f>
        <v/>
      </c>
      <c r="P168" s="23" t="str">
        <f>IFERROR((VLOOKUP($C168,装備品!$1:$998,COLUMN(L$1),FALSE)+VLOOKUP($D168,素材!$1:$1016,COLUMN(I$1),FALSE))*100+IFERROR(VLOOKUP($CI168,付与!$1:$1167,COLUMN(P$1),FALSE),0),"")</f>
        <v/>
      </c>
      <c r="Q168" t="str">
        <f>IFERROR(ROUNDUP(VLOOKUP($C168,装備品!$1:$998,COLUMN(M$1),FALSE)*(VLOOKUP($D168,素材!$1:$1002,COLUMN(D$1),FALSE)/100),1),"")</f>
        <v/>
      </c>
      <c r="R168" t="str">
        <f>IFERROR(ROUNDUP(VLOOKUP($C168,装備品!$1:$998,COLUMN(N$1),FALSE)*(VLOOKUP($D168,素材!$1:$1002,COLUMN(D$1),FALSE)/100),1),"")</f>
        <v/>
      </c>
      <c r="S168">
        <f>IFERROR(VLOOKUP($C168,装備品!$1:$998,COLUMN(P$1),FALSE),"")</f>
        <v>0</v>
      </c>
      <c r="T168">
        <f>IFERROR(VLOOKUP($C168,装備品!$1:$998,COLUMN(Q$1),FALSE),"")</f>
        <v>0</v>
      </c>
      <c r="U168">
        <f>IFERROR(VLOOKUP($C168,装備品!$1:$998,COLUMN(R$1),FALSE),"")</f>
        <v>-15</v>
      </c>
      <c r="V168">
        <f>IFERROR(VLOOKUP($C168,装備品!$1:$998,COLUMN(Q$1),FALSE),"")</f>
        <v>0</v>
      </c>
      <c r="W168">
        <f>IFERROR(VLOOKUP($C168,装備品!$1:$998,COLUMN(T$1),FALSE),"")</f>
        <v>0</v>
      </c>
      <c r="Y168">
        <f>IFERROR(VLOOKUP($C168,装備品!$1:$998,COLUMN(U$1),FALSE),"")</f>
        <v>0</v>
      </c>
      <c r="Z168" t="str">
        <f>IFERROR(ROUNDUP(VLOOKUP($C168,装備品!$1:$998,COLUMN(O$1),FALSE)*VLOOKUP($D168,素材!$1:$1016,COLUMN(E$1),FALSE),1),"")</f>
        <v/>
      </c>
      <c r="AA168">
        <f>IF(ISNUMBER(SEARCH(SUBSTITUTE(AA$1,RIGHT(AA$1,2),""),VLOOKUP($D168,素材!$1:$1016,COLUMN($F$1),FALSE))),VLOOKUP($C168,装備品!$1:$998,COLUMN($O$1),FALSE)*VLOOKUP($D168,素材!$1:$1016,COLUMN($E$1),FALSE)/(LEN(VLOOKUP($D168,素材!$1:$1016,COLUMN($F$1),FALSE))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IFERROR(VLOOKUP($C168,装備品!$1:$998,COLUMN(V$1),FALSE)*VLOOKUP($D168,素材!$1:$1016,COLUMN(N$1),FALSE)+IF(CI168="",0,VLOOKUP($CI168,付与!$1:$1176,COLUMN($CK$1),FALSE)),"")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IFERROR(VLOOKUP($D169,素材!$1:$1016,COLUMN($B$1),FALSE)&amp;"・"&amp;VLOOKUP($C169,装備品!$1:$998,COLUMN(B$1),FALSE),"")</f>
        <v/>
      </c>
      <c r="C169" s="24" t="s">
        <v>230</v>
      </c>
      <c r="D169" s="24" t="s">
        <v>243</v>
      </c>
      <c r="E169" t="str">
        <f>IFERROR(VLOOKUP(C169,装備品!$1:$998,COLUMN(C$1),FALSE),"")</f>
        <v>武器</v>
      </c>
      <c r="F169" t="str">
        <f>IFERROR(ROUNDDOWN((VLOOKUP($C169,装備品!$1:$998,COLUMN(D$1),FALSE)+IFERROR(VLOOKUP($CI169,付与!$1:$1167,COLUMN(F$1),FALSE),0))*VLOOKUP($D169,素材!$1:$1016,COLUMN(D$1),FALSE),0),"")</f>
        <v/>
      </c>
      <c r="G169" t="str">
        <f>IFERROR(ROUNDDOWN((VLOOKUP($C169,装備品!$1:$998,COLUMN(E$1),FALSE)+IFERROR(VLOOKUP($CI169,付与!$1:$1167,COLUMN(G$1),FALSE),0))*VLOOKUP($D169,素材!$1:$1016,COLUMN($E$1),FALSE),0),"")</f>
        <v/>
      </c>
      <c r="H169" t="str">
        <f>IFERROR(ROUNDDOWN((VLOOKUP($C169,装備品!$1:$998,COLUMN(F$1),FALSE)+IFERROR(VLOOKUP($CI169,付与!$1:$1167,COLUMN(H$1),FALSE),0))*VLOOKUP($D169,素材!$1:$1016,COLUMN($E$1),FALSE),0),"")</f>
        <v/>
      </c>
      <c r="I169" t="str">
        <f>IFERROR(ROUNDDOWN((VLOOKUP($C169,装備品!$1:$998,COLUMN(G$1),FALSE)+IFERROR(VLOOKUP($CI169,付与!$1:$1167,COLUMN(I$1),FALSE),0))*VLOOKUP($D169,素材!$1:$1016,COLUMN($E$1),FALSE),0),"")</f>
        <v/>
      </c>
      <c r="J169" t="str">
        <f>IFERROR(ROUNDDOWN((VLOOKUP($C169,装備品!$1:$998,COLUMN(H$1),FALSE)+IFERROR(VLOOKUP($CI169,付与!$1:$1167,COLUMN(J$1),FALSE),0))*VLOOKUP($D169,素材!$1:$1016,COLUMN($E$1),FALSE),0),"")</f>
        <v/>
      </c>
      <c r="K169" t="str">
        <f>IFERROR(ROUNDDOWN((VLOOKUP($C169,装備品!$1:$998,COLUMN(I$1),FALSE)+IFERROR(VLOOKUP($CI169,付与!$1:$1167,COLUMN(K$1),FALSE),0))*VLOOKUP($D169,素材!$1:$1016,COLUMN($E$1),FALSE),0),"")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IFERROR(VLOOKUP($C169,装備品!$1:$998,COLUMN(AA$1),FALSE)*VLOOKUP($D169,素材!$1:$1016,COLUMN($G$1),FALSE),"")</f>
        <v/>
      </c>
      <c r="N169">
        <f>IFERROR(VLOOKUP($C169,装備品!$1:$998,COLUMN(I$1),FALSE),"")</f>
        <v>0</v>
      </c>
      <c r="O169" s="23" t="str">
        <f>IFERROR((VLOOKUP($C169,装備品!$1:$998,COLUMN(K$1),FALSE)+VLOOKUP($D169,素材!$1:$1016,COLUMN(H$1),FALSE))*100+IFERROR(VLOOKUP($CI169,付与!$1:$1167,COLUMN(O$1),FALSE),0),"")</f>
        <v/>
      </c>
      <c r="P169" s="23" t="str">
        <f>IFERROR((VLOOKUP($C169,装備品!$1:$998,COLUMN(L$1),FALSE)+VLOOKUP($D169,素材!$1:$1016,COLUMN(I$1),FALSE))*100+IFERROR(VLOOKUP($CI169,付与!$1:$1167,COLUMN(P$1),FALSE),0),"")</f>
        <v/>
      </c>
      <c r="Q169" t="str">
        <f>IFERROR(ROUNDUP(VLOOKUP($C169,装備品!$1:$998,COLUMN(M$1),FALSE)*(VLOOKUP($D169,素材!$1:$1002,COLUMN(D$1),FALSE)/100),1),"")</f>
        <v/>
      </c>
      <c r="R169" t="str">
        <f>IFERROR(ROUNDUP(VLOOKUP($C169,装備品!$1:$998,COLUMN(N$1),FALSE)*(VLOOKUP($D169,素材!$1:$1002,COLUMN(D$1),FALSE)/100),1),"")</f>
        <v/>
      </c>
      <c r="S169">
        <f>IFERROR(VLOOKUP($C169,装備品!$1:$998,COLUMN(P$1),FALSE),"")</f>
        <v>0</v>
      </c>
      <c r="T169">
        <f>IFERROR(VLOOKUP($C169,装備品!$1:$998,COLUMN(Q$1),FALSE),"")</f>
        <v>0</v>
      </c>
      <c r="U169">
        <f>IFERROR(VLOOKUP($C169,装備品!$1:$998,COLUMN(R$1),FALSE),"")</f>
        <v>0</v>
      </c>
      <c r="V169">
        <f>IFERROR(VLOOKUP($C169,装備品!$1:$998,COLUMN(Q$1),FALSE),"")</f>
        <v>0</v>
      </c>
      <c r="W169">
        <f>IFERROR(VLOOKUP($C169,装備品!$1:$998,COLUMN(T$1),FALSE),"")</f>
        <v>0</v>
      </c>
      <c r="Y169">
        <f>IFERROR(VLOOKUP($C169,装備品!$1:$998,COLUMN(U$1),FALSE),"")</f>
        <v>0</v>
      </c>
      <c r="Z169" t="str">
        <f>IFERROR(ROUNDUP(VLOOKUP($C169,装備品!$1:$998,COLUMN(O$1),FALSE)*VLOOKUP($D169,素材!$1:$1016,COLUMN(E$1),FALSE),1),"")</f>
        <v/>
      </c>
      <c r="AA169">
        <f>IF(ISNUMBER(SEARCH(SUBSTITUTE(AA$1,RIGHT(AA$1,2),""),VLOOKUP($D169,素材!$1:$1016,COLUMN($F$1),FALSE))),VLOOKUP($C169,装備品!$1:$998,COLUMN($O$1),FALSE)*VLOOKUP($D169,素材!$1:$1016,COLUMN($E$1),FALSE)/(LEN(VLOOKUP($D169,素材!$1:$1016,COLUMN($F$1),FALSE))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IFERROR(VLOOKUP($C169,装備品!$1:$998,COLUMN(V$1),FALSE)*VLOOKUP($D169,素材!$1:$1016,COLUMN(N$1),FALSE)+IF(CI169="",0,VLOOKUP($CI169,付与!$1:$1176,COLUMN($CK$1),FALSE)),"")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IFERROR(VLOOKUP($D170,素材!$1:$1016,COLUMN($B$1),FALSE)&amp;"・"&amp;VLOOKUP($C170,装備品!$1:$998,COLUMN(B$1),FALSE),"")</f>
        <v/>
      </c>
      <c r="C170" s="24" t="s">
        <v>229</v>
      </c>
      <c r="D170" s="24" t="s">
        <v>243</v>
      </c>
      <c r="E170" t="str">
        <f>IFERROR(VLOOKUP(C170,装備品!$1:$998,COLUMN(C$1),FALSE),"")</f>
        <v>武器</v>
      </c>
      <c r="F170" t="str">
        <f>IFERROR(ROUNDDOWN((VLOOKUP($C170,装備品!$1:$998,COLUMN(D$1),FALSE)+IFERROR(VLOOKUP($CI170,付与!$1:$1167,COLUMN(F$1),FALSE),0))*VLOOKUP($D170,素材!$1:$1016,COLUMN(D$1),FALSE),0),"")</f>
        <v/>
      </c>
      <c r="G170" t="str">
        <f>IFERROR(ROUNDDOWN((VLOOKUP($C170,装備品!$1:$998,COLUMN(E$1),FALSE)+IFERROR(VLOOKUP($CI170,付与!$1:$1167,COLUMN(G$1),FALSE),0))*VLOOKUP($D170,素材!$1:$1016,COLUMN($E$1),FALSE),0),"")</f>
        <v/>
      </c>
      <c r="H170" t="str">
        <f>IFERROR(ROUNDDOWN((VLOOKUP($C170,装備品!$1:$998,COLUMN(F$1),FALSE)+IFERROR(VLOOKUP($CI170,付与!$1:$1167,COLUMN(H$1),FALSE),0))*VLOOKUP($D170,素材!$1:$1016,COLUMN($E$1),FALSE),0),"")</f>
        <v/>
      </c>
      <c r="I170" t="str">
        <f>IFERROR(ROUNDDOWN((VLOOKUP($C170,装備品!$1:$998,COLUMN(G$1),FALSE)+IFERROR(VLOOKUP($CI170,付与!$1:$1167,COLUMN(I$1),FALSE),0))*VLOOKUP($D170,素材!$1:$1016,COLUMN($E$1),FALSE),0),"")</f>
        <v/>
      </c>
      <c r="J170" t="str">
        <f>IFERROR(ROUNDDOWN((VLOOKUP($C170,装備品!$1:$998,COLUMN(H$1),FALSE)+IFERROR(VLOOKUP($CI170,付与!$1:$1167,COLUMN(J$1),FALSE),0))*VLOOKUP($D170,素材!$1:$1016,COLUMN($E$1),FALSE),0),"")</f>
        <v/>
      </c>
      <c r="K170" t="str">
        <f>IFERROR(ROUNDDOWN((VLOOKUP($C170,装備品!$1:$998,COLUMN(I$1),FALSE)+IFERROR(VLOOKUP($CI170,付与!$1:$1167,COLUMN(K$1),FALSE),0))*VLOOKUP($D170,素材!$1:$1016,COLUMN($E$1),FALSE),0),"")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IFERROR(VLOOKUP($C170,装備品!$1:$998,COLUMN(AA$1),FALSE)*VLOOKUP($D170,素材!$1:$1016,COLUMN($G$1),FALSE),"")</f>
        <v/>
      </c>
      <c r="N170">
        <f>IFERROR(VLOOKUP($C170,装備品!$1:$998,COLUMN(I$1),FALSE),"")</f>
        <v>0</v>
      </c>
      <c r="O170" s="23" t="str">
        <f>IFERROR((VLOOKUP($C170,装備品!$1:$998,COLUMN(K$1),FALSE)+VLOOKUP($D170,素材!$1:$1016,COLUMN(H$1),FALSE))*100+IFERROR(VLOOKUP($CI170,付与!$1:$1167,COLUMN(O$1),FALSE),0),"")</f>
        <v/>
      </c>
      <c r="P170" s="23" t="str">
        <f>IFERROR((VLOOKUP($C170,装備品!$1:$998,COLUMN(L$1),FALSE)+VLOOKUP($D170,素材!$1:$1016,COLUMN(I$1),FALSE))*100+IFERROR(VLOOKUP($CI170,付与!$1:$1167,COLUMN(P$1),FALSE),0),"")</f>
        <v/>
      </c>
      <c r="Q170" t="str">
        <f>IFERROR(ROUNDUP(VLOOKUP($C170,装備品!$1:$998,COLUMN(M$1),FALSE)*(VLOOKUP($D170,素材!$1:$1002,COLUMN(D$1),FALSE)/100),1),"")</f>
        <v/>
      </c>
      <c r="R170" t="str">
        <f>IFERROR(ROUNDUP(VLOOKUP($C170,装備品!$1:$998,COLUMN(N$1),FALSE)*(VLOOKUP($D170,素材!$1:$1002,COLUMN(D$1),FALSE)/100),1),"")</f>
        <v/>
      </c>
      <c r="S170">
        <f>IFERROR(VLOOKUP($C170,装備品!$1:$998,COLUMN(P$1),FALSE),"")</f>
        <v>0</v>
      </c>
      <c r="T170">
        <f>IFERROR(VLOOKUP($C170,装備品!$1:$998,COLUMN(Q$1),FALSE),"")</f>
        <v>0</v>
      </c>
      <c r="U170">
        <f>IFERROR(VLOOKUP($C170,装備品!$1:$998,COLUMN(R$1),FALSE),"")</f>
        <v>0</v>
      </c>
      <c r="V170">
        <f>IFERROR(VLOOKUP($C170,装備品!$1:$998,COLUMN(Q$1),FALSE),"")</f>
        <v>0</v>
      </c>
      <c r="W170">
        <f>IFERROR(VLOOKUP($C170,装備品!$1:$998,COLUMN(T$1),FALSE),"")</f>
        <v>0</v>
      </c>
      <c r="Y170">
        <f>IFERROR(VLOOKUP($C170,装備品!$1:$998,COLUMN(U$1),FALSE),"")</f>
        <v>0</v>
      </c>
      <c r="Z170" t="str">
        <f>IFERROR(ROUNDUP(VLOOKUP($C170,装備品!$1:$998,COLUMN(O$1),FALSE)*VLOOKUP($D170,素材!$1:$1016,COLUMN(E$1),FALSE),1),"")</f>
        <v/>
      </c>
      <c r="AA170">
        <f>IF(ISNUMBER(SEARCH(SUBSTITUTE(AA$1,RIGHT(AA$1,2),""),VLOOKUP($D170,素材!$1:$1016,COLUMN($F$1),FALSE))),VLOOKUP($C170,装備品!$1:$998,COLUMN($O$1),FALSE)*VLOOKUP($D170,素材!$1:$1016,COLUMN($E$1),FALSE)/(LEN(VLOOKUP($D170,素材!$1:$1016,COLUMN($F$1),FALSE))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IFERROR(VLOOKUP($C170,装備品!$1:$998,COLUMN(V$1),FALSE)*VLOOKUP($D170,素材!$1:$1016,COLUMN(N$1),FALSE)+IF(CI170="",0,VLOOKUP($CI170,付与!$1:$1176,COLUMN($CK$1),FALSE)),"")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IFERROR(VLOOKUP($D171,素材!$1:$1016,COLUMN($B$1),FALSE)&amp;"・"&amp;VLOOKUP($C171,装備品!$1:$998,COLUMN(B$1),FALSE),"")</f>
        <v/>
      </c>
      <c r="C171" s="24" t="s">
        <v>228</v>
      </c>
      <c r="D171" s="24" t="s">
        <v>243</v>
      </c>
      <c r="E171" t="str">
        <f>IFERROR(VLOOKUP(C171,装備品!$1:$998,COLUMN(C$1),FALSE),"")</f>
        <v>武器</v>
      </c>
      <c r="F171" t="str">
        <f>IFERROR(ROUNDDOWN((VLOOKUP($C171,装備品!$1:$998,COLUMN(D$1),FALSE)+IFERROR(VLOOKUP($CI171,付与!$1:$1167,COLUMN(F$1),FALSE),0))*VLOOKUP($D171,素材!$1:$1016,COLUMN(D$1),FALSE),0),"")</f>
        <v/>
      </c>
      <c r="G171" t="str">
        <f>IFERROR(ROUNDDOWN((VLOOKUP($C171,装備品!$1:$998,COLUMN(E$1),FALSE)+IFERROR(VLOOKUP($CI171,付与!$1:$1167,COLUMN(G$1),FALSE),0))*VLOOKUP($D171,素材!$1:$1016,COLUMN($E$1),FALSE),0),"")</f>
        <v/>
      </c>
      <c r="H171" t="str">
        <f>IFERROR(ROUNDDOWN((VLOOKUP($C171,装備品!$1:$998,COLUMN(F$1),FALSE)+IFERROR(VLOOKUP($CI171,付与!$1:$1167,COLUMN(H$1),FALSE),0))*VLOOKUP($D171,素材!$1:$1016,COLUMN($E$1),FALSE),0),"")</f>
        <v/>
      </c>
      <c r="I171" t="str">
        <f>IFERROR(ROUNDDOWN((VLOOKUP($C171,装備品!$1:$998,COLUMN(G$1),FALSE)+IFERROR(VLOOKUP($CI171,付与!$1:$1167,COLUMN(I$1),FALSE),0))*VLOOKUP($D171,素材!$1:$1016,COLUMN($E$1),FALSE),0),"")</f>
        <v/>
      </c>
      <c r="J171" t="str">
        <f>IFERROR(ROUNDDOWN((VLOOKUP($C171,装備品!$1:$998,COLUMN(H$1),FALSE)+IFERROR(VLOOKUP($CI171,付与!$1:$1167,COLUMN(J$1),FALSE),0))*VLOOKUP($D171,素材!$1:$1016,COLUMN($E$1),FALSE),0),"")</f>
        <v/>
      </c>
      <c r="K171" t="str">
        <f>IFERROR(ROUNDDOWN((VLOOKUP($C171,装備品!$1:$998,COLUMN(I$1),FALSE)+IFERROR(VLOOKUP($CI171,付与!$1:$1167,COLUMN(K$1),FALSE),0))*VLOOKUP($D171,素材!$1:$1016,COLUMN($E$1),FALSE),0),"")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IFERROR(VLOOKUP($C171,装備品!$1:$998,COLUMN(AA$1),FALSE)*VLOOKUP($D171,素材!$1:$1016,COLUMN($G$1),FALSE),"")</f>
        <v/>
      </c>
      <c r="N171">
        <f>IFERROR(VLOOKUP($C171,装備品!$1:$998,COLUMN(I$1),FALSE),"")</f>
        <v>0</v>
      </c>
      <c r="O171" s="23" t="str">
        <f>IFERROR((VLOOKUP($C171,装備品!$1:$998,COLUMN(K$1),FALSE)+VLOOKUP($D171,素材!$1:$1016,COLUMN(H$1),FALSE))*100+IFERROR(VLOOKUP($CI171,付与!$1:$1167,COLUMN(O$1),FALSE),0),"")</f>
        <v/>
      </c>
      <c r="P171" s="23" t="str">
        <f>IFERROR((VLOOKUP($C171,装備品!$1:$998,COLUMN(L$1),FALSE)+VLOOKUP($D171,素材!$1:$1016,COLUMN(I$1),FALSE))*100+IFERROR(VLOOKUP($CI171,付与!$1:$1167,COLUMN(P$1),FALSE),0),"")</f>
        <v/>
      </c>
      <c r="Q171" t="str">
        <f>IFERROR(ROUNDUP(VLOOKUP($C171,装備品!$1:$998,COLUMN(M$1),FALSE)*(VLOOKUP($D171,素材!$1:$1002,COLUMN(D$1),FALSE)/100),1),"")</f>
        <v/>
      </c>
      <c r="R171" t="str">
        <f>IFERROR(ROUNDUP(VLOOKUP($C171,装備品!$1:$998,COLUMN(N$1),FALSE)*(VLOOKUP($D171,素材!$1:$1002,COLUMN(D$1),FALSE)/100),1),"")</f>
        <v/>
      </c>
      <c r="S171">
        <f>IFERROR(VLOOKUP($C171,装備品!$1:$998,COLUMN(P$1),FALSE),"")</f>
        <v>0</v>
      </c>
      <c r="T171">
        <f>IFERROR(VLOOKUP($C171,装備品!$1:$998,COLUMN(Q$1),FALSE),"")</f>
        <v>0</v>
      </c>
      <c r="U171">
        <f>IFERROR(VLOOKUP($C171,装備品!$1:$998,COLUMN(R$1),FALSE),"")</f>
        <v>0</v>
      </c>
      <c r="V171">
        <f>IFERROR(VLOOKUP($C171,装備品!$1:$998,COLUMN(Q$1),FALSE),"")</f>
        <v>0</v>
      </c>
      <c r="W171">
        <f>IFERROR(VLOOKUP($C171,装備品!$1:$998,COLUMN(T$1),FALSE),"")</f>
        <v>0</v>
      </c>
      <c r="Y171">
        <f>IFERROR(VLOOKUP($C171,装備品!$1:$998,COLUMN(U$1),FALSE),"")</f>
        <v>0</v>
      </c>
      <c r="Z171" t="str">
        <f>IFERROR(ROUNDUP(VLOOKUP($C171,装備品!$1:$998,COLUMN(O$1),FALSE)*VLOOKUP($D171,素材!$1:$1016,COLUMN(E$1),FALSE),1),"")</f>
        <v/>
      </c>
      <c r="AA171">
        <f>IF(ISNUMBER(SEARCH(SUBSTITUTE(AA$1,RIGHT(AA$1,2),""),VLOOKUP($D171,素材!$1:$1016,COLUMN($F$1),FALSE))),VLOOKUP($C171,装備品!$1:$998,COLUMN($O$1),FALSE)*VLOOKUP($D171,素材!$1:$1016,COLUMN($E$1),FALSE)/(LEN(VLOOKUP($D171,素材!$1:$1016,COLUMN($F$1),FALSE))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IFERROR(VLOOKUP($C171,装備品!$1:$998,COLUMN(V$1),FALSE)*VLOOKUP($D171,素材!$1:$1016,COLUMN(N$1),FALSE)+IF(CI171="",0,VLOOKUP($CI171,付与!$1:$1176,COLUMN($CK$1),FALSE)),"")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IFERROR(VLOOKUP($D172,素材!$1:$1016,COLUMN($B$1),FALSE)&amp;"・"&amp;VLOOKUP($C172,装備品!$1:$998,COLUMN(B$1),FALSE),"")</f>
        <v/>
      </c>
      <c r="C172" t="s">
        <v>227</v>
      </c>
      <c r="D172" s="24" t="s">
        <v>243</v>
      </c>
      <c r="E172" t="str">
        <f>IFERROR(VLOOKUP(C172,装備品!$1:$998,COLUMN(C$1),FALSE),"")</f>
        <v>武器</v>
      </c>
      <c r="F172" t="str">
        <f>IFERROR(ROUNDDOWN((VLOOKUP($C172,装備品!$1:$998,COLUMN(D$1),FALSE)+IFERROR(VLOOKUP($CI172,付与!$1:$1167,COLUMN(F$1),FALSE),0))*VLOOKUP($D172,素材!$1:$1016,COLUMN(D$1),FALSE),0),"")</f>
        <v/>
      </c>
      <c r="G172" t="str">
        <f>IFERROR(ROUNDDOWN((VLOOKUP($C172,装備品!$1:$998,COLUMN(E$1),FALSE)+IFERROR(VLOOKUP($CI172,付与!$1:$1167,COLUMN(G$1),FALSE),0))*VLOOKUP($D172,素材!$1:$1016,COLUMN($E$1),FALSE),0),"")</f>
        <v/>
      </c>
      <c r="H172" t="str">
        <f>IFERROR(ROUNDDOWN((VLOOKUP($C172,装備品!$1:$998,COLUMN(F$1),FALSE)+IFERROR(VLOOKUP($CI172,付与!$1:$1167,COLUMN(H$1),FALSE),0))*VLOOKUP($D172,素材!$1:$1016,COLUMN($E$1),FALSE),0),"")</f>
        <v/>
      </c>
      <c r="I172" t="str">
        <f>IFERROR(ROUNDDOWN((VLOOKUP($C172,装備品!$1:$998,COLUMN(G$1),FALSE)+IFERROR(VLOOKUP($CI172,付与!$1:$1167,COLUMN(I$1),FALSE),0))*VLOOKUP($D172,素材!$1:$1016,COLUMN($E$1),FALSE),0),"")</f>
        <v/>
      </c>
      <c r="J172" t="str">
        <f>IFERROR(ROUNDDOWN((VLOOKUP($C172,装備品!$1:$998,COLUMN(H$1),FALSE)+IFERROR(VLOOKUP($CI172,付与!$1:$1167,COLUMN(J$1),FALSE),0))*VLOOKUP($D172,素材!$1:$1016,COLUMN($E$1),FALSE),0),"")</f>
        <v/>
      </c>
      <c r="K172" t="str">
        <f>IFERROR(ROUNDDOWN((VLOOKUP($C172,装備品!$1:$998,COLUMN(I$1),FALSE)+IFERROR(VLOOKUP($CI172,付与!$1:$1167,COLUMN(K$1),FALSE),0))*VLOOKUP($D172,素材!$1:$1016,COLUMN($E$1),FALSE),0),"")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IFERROR(VLOOKUP($C172,装備品!$1:$998,COLUMN(AA$1),FALSE)*VLOOKUP($D172,素材!$1:$1016,COLUMN($G$1),FALSE),"")</f>
        <v/>
      </c>
      <c r="N172">
        <f>IFERROR(VLOOKUP($C172,装備品!$1:$998,COLUMN(I$1),FALSE),"")</f>
        <v>0</v>
      </c>
      <c r="O172" s="23" t="str">
        <f>IFERROR((VLOOKUP($C172,装備品!$1:$998,COLUMN(K$1),FALSE)+VLOOKUP($D172,素材!$1:$1016,COLUMN(H$1),FALSE))*100+IFERROR(VLOOKUP($CI172,付与!$1:$1167,COLUMN(O$1),FALSE),0),"")</f>
        <v/>
      </c>
      <c r="P172" s="23" t="str">
        <f>IFERROR((VLOOKUP($C172,装備品!$1:$998,COLUMN(L$1),FALSE)+VLOOKUP($D172,素材!$1:$1016,COLUMN(I$1),FALSE))*100+IFERROR(VLOOKUP($CI172,付与!$1:$1167,COLUMN(P$1),FALSE),0),"")</f>
        <v/>
      </c>
      <c r="Q172" t="str">
        <f>IFERROR(ROUNDUP(VLOOKUP($C172,装備品!$1:$998,COLUMN(M$1),FALSE)*(VLOOKUP($D172,素材!$1:$1002,COLUMN(D$1),FALSE)/100),1),"")</f>
        <v/>
      </c>
      <c r="R172" t="str">
        <f>IFERROR(ROUNDUP(VLOOKUP($C172,装備品!$1:$998,COLUMN(N$1),FALSE)*(VLOOKUP($D172,素材!$1:$1002,COLUMN(D$1),FALSE)/100),1),"")</f>
        <v/>
      </c>
      <c r="S172">
        <f>IFERROR(VLOOKUP($C172,装備品!$1:$998,COLUMN(P$1),FALSE),"")</f>
        <v>0</v>
      </c>
      <c r="T172">
        <f>IFERROR(VLOOKUP($C172,装備品!$1:$998,COLUMN(Q$1),FALSE),"")</f>
        <v>0</v>
      </c>
      <c r="U172">
        <f>IFERROR(VLOOKUP($C172,装備品!$1:$998,COLUMN(R$1),FALSE),"")</f>
        <v>0</v>
      </c>
      <c r="V172">
        <f>IFERROR(VLOOKUP($C172,装備品!$1:$998,COLUMN(Q$1),FALSE),"")</f>
        <v>0</v>
      </c>
      <c r="W172">
        <f>IFERROR(VLOOKUP($C172,装備品!$1:$998,COLUMN(T$1),FALSE),"")</f>
        <v>0</v>
      </c>
      <c r="Y172">
        <f>IFERROR(VLOOKUP($C172,装備品!$1:$998,COLUMN(U$1),FALSE),"")</f>
        <v>0</v>
      </c>
      <c r="Z172" t="str">
        <f>IFERROR(ROUNDUP(VLOOKUP($C172,装備品!$1:$998,COLUMN(O$1),FALSE)*VLOOKUP($D172,素材!$1:$1016,COLUMN(E$1),FALSE),1),"")</f>
        <v/>
      </c>
      <c r="AA172">
        <f>IF(ISNUMBER(SEARCH(SUBSTITUTE(AA$1,RIGHT(AA$1,2),""),VLOOKUP($D172,素材!$1:$1016,COLUMN($F$1),FALSE))),VLOOKUP($C172,装備品!$1:$998,COLUMN($O$1),FALSE)*VLOOKUP($D172,素材!$1:$1016,COLUMN($E$1),FALSE)/(LEN(VLOOKUP($D172,素材!$1:$1016,COLUMN($F$1),FALSE))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IFERROR(VLOOKUP($C172,装備品!$1:$998,COLUMN(V$1),FALSE)*VLOOKUP($D172,素材!$1:$1016,COLUMN(N$1),FALSE)+IF(CI172="",0,VLOOKUP($CI172,付与!$1:$1176,COLUMN($CK$1),FALSE)),"")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IFERROR(VLOOKUP($D173,素材!$1:$1016,COLUMN($B$1),FALSE)&amp;"・"&amp;VLOOKUP($C173,装備品!$1:$998,COLUMN(B$1),FALSE),"")</f>
        <v/>
      </c>
      <c r="C173" t="s">
        <v>226</v>
      </c>
      <c r="D173" s="24" t="s">
        <v>243</v>
      </c>
      <c r="E173" t="str">
        <f>IFERROR(VLOOKUP(C173,装備品!$1:$998,COLUMN(C$1),FALSE),"")</f>
        <v>武器</v>
      </c>
      <c r="F173" t="str">
        <f>IFERROR(ROUNDDOWN((VLOOKUP($C173,装備品!$1:$998,COLUMN(D$1),FALSE)+IFERROR(VLOOKUP($CI173,付与!$1:$1167,COLUMN(F$1),FALSE),0))*VLOOKUP($D173,素材!$1:$1016,COLUMN(D$1),FALSE),0),"")</f>
        <v/>
      </c>
      <c r="G173" t="str">
        <f>IFERROR(ROUNDDOWN((VLOOKUP($C173,装備品!$1:$998,COLUMN(E$1),FALSE)+IFERROR(VLOOKUP($CI173,付与!$1:$1167,COLUMN(G$1),FALSE),0))*VLOOKUP($D173,素材!$1:$1016,COLUMN($E$1),FALSE),0),"")</f>
        <v/>
      </c>
      <c r="H173" t="str">
        <f>IFERROR(ROUNDDOWN((VLOOKUP($C173,装備品!$1:$998,COLUMN(F$1),FALSE)+IFERROR(VLOOKUP($CI173,付与!$1:$1167,COLUMN(H$1),FALSE),0))*VLOOKUP($D173,素材!$1:$1016,COLUMN($E$1),FALSE),0),"")</f>
        <v/>
      </c>
      <c r="I173" t="str">
        <f>IFERROR(ROUNDDOWN((VLOOKUP($C173,装備品!$1:$998,COLUMN(G$1),FALSE)+IFERROR(VLOOKUP($CI173,付与!$1:$1167,COLUMN(I$1),FALSE),0))*VLOOKUP($D173,素材!$1:$1016,COLUMN($E$1),FALSE),0),"")</f>
        <v/>
      </c>
      <c r="J173" t="str">
        <f>IFERROR(ROUNDDOWN((VLOOKUP($C173,装備品!$1:$998,COLUMN(H$1),FALSE)+IFERROR(VLOOKUP($CI173,付与!$1:$1167,COLUMN(J$1),FALSE),0))*VLOOKUP($D173,素材!$1:$1016,COLUMN($E$1),FALSE),0),"")</f>
        <v/>
      </c>
      <c r="K173" t="str">
        <f>IFERROR(ROUNDDOWN((VLOOKUP($C173,装備品!$1:$998,COLUMN(I$1),FALSE)+IFERROR(VLOOKUP($CI173,付与!$1:$1167,COLUMN(K$1),FALSE),0))*VLOOKUP($D173,素材!$1:$1016,COLUMN($E$1),FALSE),0),"")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IFERROR(VLOOKUP($C173,装備品!$1:$998,COLUMN(AA$1),FALSE)*VLOOKUP($D173,素材!$1:$1016,COLUMN($G$1),FALSE),"")</f>
        <v/>
      </c>
      <c r="N173">
        <f>IFERROR(VLOOKUP($C173,装備品!$1:$998,COLUMN(I$1),FALSE),"")</f>
        <v>0</v>
      </c>
      <c r="O173" s="23" t="str">
        <f>IFERROR((VLOOKUP($C173,装備品!$1:$998,COLUMN(K$1),FALSE)+VLOOKUP($D173,素材!$1:$1016,COLUMN(H$1),FALSE))*100+IFERROR(VLOOKUP($CI173,付与!$1:$1167,COLUMN(O$1),FALSE),0),"")</f>
        <v/>
      </c>
      <c r="P173" s="23" t="str">
        <f>IFERROR((VLOOKUP($C173,装備品!$1:$998,COLUMN(L$1),FALSE)+VLOOKUP($D173,素材!$1:$1016,COLUMN(I$1),FALSE))*100+IFERROR(VLOOKUP($CI173,付与!$1:$1167,COLUMN(P$1),FALSE),0),"")</f>
        <v/>
      </c>
      <c r="Q173" t="str">
        <f>IFERROR(ROUNDUP(VLOOKUP($C173,装備品!$1:$998,COLUMN(M$1),FALSE)*(VLOOKUP($D173,素材!$1:$1002,COLUMN(D$1),FALSE)/100),1),"")</f>
        <v/>
      </c>
      <c r="R173" t="str">
        <f>IFERROR(ROUNDUP(VLOOKUP($C173,装備品!$1:$998,COLUMN(N$1),FALSE)*(VLOOKUP($D173,素材!$1:$1002,COLUMN(D$1),FALSE)/100),1),"")</f>
        <v/>
      </c>
      <c r="S173">
        <f>IFERROR(VLOOKUP($C173,装備品!$1:$998,COLUMN(P$1),FALSE),"")</f>
        <v>0</v>
      </c>
      <c r="T173">
        <f>IFERROR(VLOOKUP($C173,装備品!$1:$998,COLUMN(Q$1),FALSE),"")</f>
        <v>0</v>
      </c>
      <c r="U173">
        <f>IFERROR(VLOOKUP($C173,装備品!$1:$998,COLUMN(R$1),FALSE),"")</f>
        <v>0</v>
      </c>
      <c r="V173">
        <f>IFERROR(VLOOKUP($C173,装備品!$1:$998,COLUMN(Q$1),FALSE),"")</f>
        <v>0</v>
      </c>
      <c r="W173">
        <f>IFERROR(VLOOKUP($C173,装備品!$1:$998,COLUMN(T$1),FALSE),"")</f>
        <v>0</v>
      </c>
      <c r="Y173">
        <f>IFERROR(VLOOKUP($C173,装備品!$1:$998,COLUMN(U$1),FALSE),"")</f>
        <v>0</v>
      </c>
      <c r="Z173" t="str">
        <f>IFERROR(ROUNDUP(VLOOKUP($C173,装備品!$1:$998,COLUMN(O$1),FALSE)*VLOOKUP($D173,素材!$1:$1016,COLUMN(E$1),FALSE),1),"")</f>
        <v/>
      </c>
      <c r="AA173">
        <f>IF(ISNUMBER(SEARCH(SUBSTITUTE(AA$1,RIGHT(AA$1,2),""),VLOOKUP($D173,素材!$1:$1016,COLUMN($F$1),FALSE))),VLOOKUP($C173,装備品!$1:$998,COLUMN($O$1),FALSE)*VLOOKUP($D173,素材!$1:$1016,COLUMN($E$1),FALSE)/(LEN(VLOOKUP($D173,素材!$1:$1016,COLUMN($F$1),FALSE))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IFERROR(VLOOKUP($C173,装備品!$1:$998,COLUMN(V$1),FALSE)*VLOOKUP($D173,素材!$1:$1016,COLUMN(N$1),FALSE)+IF(CI173="",0,VLOOKUP($CI173,付与!$1:$1176,COLUMN($CK$1),FALSE)),"")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IFERROR(VLOOKUP($D174,素材!$1:$1016,COLUMN($B$1),FALSE)&amp;"・"&amp;VLOOKUP($C174,装備品!$1:$998,COLUMN(B$1),FALSE),"")</f>
        <v/>
      </c>
      <c r="C174" t="s">
        <v>225</v>
      </c>
      <c r="D174" s="24" t="s">
        <v>243</v>
      </c>
      <c r="E174" t="str">
        <f>IFERROR(VLOOKUP(C174,装備品!$1:$998,COLUMN(C$1),FALSE),"")</f>
        <v>武器</v>
      </c>
      <c r="F174" t="str">
        <f>IFERROR(ROUNDDOWN((VLOOKUP($C174,装備品!$1:$998,COLUMN(D$1),FALSE)+IFERROR(VLOOKUP($CI174,付与!$1:$1167,COLUMN(F$1),FALSE),0))*VLOOKUP($D174,素材!$1:$1016,COLUMN(D$1),FALSE),0),"")</f>
        <v/>
      </c>
      <c r="G174" t="str">
        <f>IFERROR(ROUNDDOWN((VLOOKUP($C174,装備品!$1:$998,COLUMN(E$1),FALSE)+IFERROR(VLOOKUP($CI174,付与!$1:$1167,COLUMN(G$1),FALSE),0))*VLOOKUP($D174,素材!$1:$1016,COLUMN($E$1),FALSE),0),"")</f>
        <v/>
      </c>
      <c r="H174" t="str">
        <f>IFERROR(ROUNDDOWN((VLOOKUP($C174,装備品!$1:$998,COLUMN(F$1),FALSE)+IFERROR(VLOOKUP($CI174,付与!$1:$1167,COLUMN(H$1),FALSE),0))*VLOOKUP($D174,素材!$1:$1016,COLUMN($E$1),FALSE),0),"")</f>
        <v/>
      </c>
      <c r="I174" t="str">
        <f>IFERROR(ROUNDDOWN((VLOOKUP($C174,装備品!$1:$998,COLUMN(G$1),FALSE)+IFERROR(VLOOKUP($CI174,付与!$1:$1167,COLUMN(I$1),FALSE),0))*VLOOKUP($D174,素材!$1:$1016,COLUMN($E$1),FALSE),0),"")</f>
        <v/>
      </c>
      <c r="J174" t="str">
        <f>IFERROR(ROUNDDOWN((VLOOKUP($C174,装備品!$1:$998,COLUMN(H$1),FALSE)+IFERROR(VLOOKUP($CI174,付与!$1:$1167,COLUMN(J$1),FALSE),0))*VLOOKUP($D174,素材!$1:$1016,COLUMN($E$1),FALSE),0),"")</f>
        <v/>
      </c>
      <c r="K174" t="str">
        <f>IFERROR(ROUNDDOWN((VLOOKUP($C174,装備品!$1:$998,COLUMN(I$1),FALSE)+IFERROR(VLOOKUP($CI174,付与!$1:$1167,COLUMN(K$1),FALSE),0))*VLOOKUP($D174,素材!$1:$1016,COLUMN($E$1),FALSE),0),"")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IFERROR(VLOOKUP($C174,装備品!$1:$998,COLUMN(AA$1),FALSE)*VLOOKUP($D174,素材!$1:$1016,COLUMN($G$1),FALSE),"")</f>
        <v/>
      </c>
      <c r="N174">
        <f>IFERROR(VLOOKUP($C174,装備品!$1:$998,COLUMN(I$1),FALSE),"")</f>
        <v>0</v>
      </c>
      <c r="O174" s="23" t="str">
        <f>IFERROR((VLOOKUP($C174,装備品!$1:$998,COLUMN(K$1),FALSE)+VLOOKUP($D174,素材!$1:$1016,COLUMN(H$1),FALSE))*100+IFERROR(VLOOKUP($CI174,付与!$1:$1167,COLUMN(O$1),FALSE),0),"")</f>
        <v/>
      </c>
      <c r="P174" s="23" t="str">
        <f>IFERROR((VLOOKUP($C174,装備品!$1:$998,COLUMN(L$1),FALSE)+VLOOKUP($D174,素材!$1:$1016,COLUMN(I$1),FALSE))*100+IFERROR(VLOOKUP($CI174,付与!$1:$1167,COLUMN(P$1),FALSE),0),"")</f>
        <v/>
      </c>
      <c r="Q174" t="str">
        <f>IFERROR(ROUNDUP(VLOOKUP($C174,装備品!$1:$998,COLUMN(M$1),FALSE)*(VLOOKUP($D174,素材!$1:$1002,COLUMN(D$1),FALSE)/100),1),"")</f>
        <v/>
      </c>
      <c r="R174" t="str">
        <f>IFERROR(ROUNDUP(VLOOKUP($C174,装備品!$1:$998,COLUMN(N$1),FALSE)*(VLOOKUP($D174,素材!$1:$1002,COLUMN(D$1),FALSE)/100),1),"")</f>
        <v/>
      </c>
      <c r="S174">
        <f>IFERROR(VLOOKUP($C174,装備品!$1:$998,COLUMN(P$1),FALSE),"")</f>
        <v>0</v>
      </c>
      <c r="T174">
        <f>IFERROR(VLOOKUP($C174,装備品!$1:$998,COLUMN(Q$1),FALSE),"")</f>
        <v>0</v>
      </c>
      <c r="U174">
        <f>IFERROR(VLOOKUP($C174,装備品!$1:$998,COLUMN(R$1),FALSE),"")</f>
        <v>0</v>
      </c>
      <c r="V174">
        <f>IFERROR(VLOOKUP($C174,装備品!$1:$998,COLUMN(Q$1),FALSE),"")</f>
        <v>0</v>
      </c>
      <c r="W174">
        <f>IFERROR(VLOOKUP($C174,装備品!$1:$998,COLUMN(T$1),FALSE),"")</f>
        <v>0</v>
      </c>
      <c r="Y174">
        <f>IFERROR(VLOOKUP($C174,装備品!$1:$998,COLUMN(U$1),FALSE),"")</f>
        <v>0</v>
      </c>
      <c r="Z174" t="str">
        <f>IFERROR(ROUNDUP(VLOOKUP($C174,装備品!$1:$998,COLUMN(O$1),FALSE)*VLOOKUP($D174,素材!$1:$1016,COLUMN(E$1),FALSE),1),"")</f>
        <v/>
      </c>
      <c r="AA174">
        <f>IF(ISNUMBER(SEARCH(SUBSTITUTE(AA$1,RIGHT(AA$1,2),""),VLOOKUP($D174,素材!$1:$1016,COLUMN($F$1),FALSE))),VLOOKUP($C174,装備品!$1:$998,COLUMN($O$1),FALSE)*VLOOKUP($D174,素材!$1:$1016,COLUMN($E$1),FALSE)/(LEN(VLOOKUP($D174,素材!$1:$1016,COLUMN($F$1),FALSE))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IFERROR(VLOOKUP($C174,装備品!$1:$998,COLUMN(V$1),FALSE)*VLOOKUP($D174,素材!$1:$1016,COLUMN(N$1),FALSE)+IF(CI174="",0,VLOOKUP($CI174,付与!$1:$1176,COLUMN($CK$1),FALSE)),"")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IFERROR(VLOOKUP($D175,素材!$1:$1016,COLUMN($B$1),FALSE)&amp;"・"&amp;VLOOKUP($C175,装備品!$1:$998,COLUMN(B$1),FALSE),"")</f>
        <v/>
      </c>
      <c r="C175" t="s">
        <v>224</v>
      </c>
      <c r="D175" s="24" t="s">
        <v>243</v>
      </c>
      <c r="E175" t="str">
        <f>IFERROR(VLOOKUP(C175,装備品!$1:$998,COLUMN(C$1),FALSE),"")</f>
        <v>武器</v>
      </c>
      <c r="F175" t="str">
        <f>IFERROR(ROUNDDOWN((VLOOKUP($C175,装備品!$1:$998,COLUMN(D$1),FALSE)+IFERROR(VLOOKUP($CI175,付与!$1:$1167,COLUMN(F$1),FALSE),0))*VLOOKUP($D175,素材!$1:$1016,COLUMN(D$1),FALSE),0),"")</f>
        <v/>
      </c>
      <c r="G175" t="str">
        <f>IFERROR(ROUNDDOWN((VLOOKUP($C175,装備品!$1:$998,COLUMN(E$1),FALSE)+IFERROR(VLOOKUP($CI175,付与!$1:$1167,COLUMN(G$1),FALSE),0))*VLOOKUP($D175,素材!$1:$1016,COLUMN($E$1),FALSE),0),"")</f>
        <v/>
      </c>
      <c r="H175" t="str">
        <f>IFERROR(ROUNDDOWN((VLOOKUP($C175,装備品!$1:$998,COLUMN(F$1),FALSE)+IFERROR(VLOOKUP($CI175,付与!$1:$1167,COLUMN(H$1),FALSE),0))*VLOOKUP($D175,素材!$1:$1016,COLUMN($E$1),FALSE),0),"")</f>
        <v/>
      </c>
      <c r="I175" t="str">
        <f>IFERROR(ROUNDDOWN((VLOOKUP($C175,装備品!$1:$998,COLUMN(G$1),FALSE)+IFERROR(VLOOKUP($CI175,付与!$1:$1167,COLUMN(I$1),FALSE),0))*VLOOKUP($D175,素材!$1:$1016,COLUMN($E$1),FALSE),0),"")</f>
        <v/>
      </c>
      <c r="J175" t="str">
        <f>IFERROR(ROUNDDOWN((VLOOKUP($C175,装備品!$1:$998,COLUMN(H$1),FALSE)+IFERROR(VLOOKUP($CI175,付与!$1:$1167,COLUMN(J$1),FALSE),0))*VLOOKUP($D175,素材!$1:$1016,COLUMN($E$1),FALSE),0),"")</f>
        <v/>
      </c>
      <c r="K175" t="str">
        <f>IFERROR(ROUNDDOWN((VLOOKUP($C175,装備品!$1:$998,COLUMN(I$1),FALSE)+IFERROR(VLOOKUP($CI175,付与!$1:$1167,COLUMN(K$1),FALSE),0))*VLOOKUP($D175,素材!$1:$1016,COLUMN($E$1),FALSE),0),"")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IFERROR(VLOOKUP($C175,装備品!$1:$998,COLUMN(AA$1),FALSE)*VLOOKUP($D175,素材!$1:$1016,COLUMN($G$1),FALSE),"")</f>
        <v/>
      </c>
      <c r="N175">
        <f>IFERROR(VLOOKUP($C175,装備品!$1:$998,COLUMN(I$1),FALSE),"")</f>
        <v>0</v>
      </c>
      <c r="O175" s="23" t="str">
        <f>IFERROR((VLOOKUP($C175,装備品!$1:$998,COLUMN(K$1),FALSE)+VLOOKUP($D175,素材!$1:$1016,COLUMN(H$1),FALSE))*100+IFERROR(VLOOKUP($CI175,付与!$1:$1167,COLUMN(O$1),FALSE),0),"")</f>
        <v/>
      </c>
      <c r="P175" s="23" t="str">
        <f>IFERROR((VLOOKUP($C175,装備品!$1:$998,COLUMN(L$1),FALSE)+VLOOKUP($D175,素材!$1:$1016,COLUMN(I$1),FALSE))*100+IFERROR(VLOOKUP($CI175,付与!$1:$1167,COLUMN(P$1),FALSE),0),"")</f>
        <v/>
      </c>
      <c r="Q175" t="str">
        <f>IFERROR(ROUNDUP(VLOOKUP($C175,装備品!$1:$998,COLUMN(M$1),FALSE)*(VLOOKUP($D175,素材!$1:$1002,COLUMN(D$1),FALSE)/100),1),"")</f>
        <v/>
      </c>
      <c r="R175" t="str">
        <f>IFERROR(ROUNDUP(VLOOKUP($C175,装備品!$1:$998,COLUMN(N$1),FALSE)*(VLOOKUP($D175,素材!$1:$1002,COLUMN(D$1),FALSE)/100),1),"")</f>
        <v/>
      </c>
      <c r="S175">
        <f>IFERROR(VLOOKUP($C175,装備品!$1:$998,COLUMN(P$1),FALSE),"")</f>
        <v>0</v>
      </c>
      <c r="T175">
        <f>IFERROR(VLOOKUP($C175,装備品!$1:$998,COLUMN(Q$1),FALSE),"")</f>
        <v>0</v>
      </c>
      <c r="U175">
        <f>IFERROR(VLOOKUP($C175,装備品!$1:$998,COLUMN(R$1),FALSE),"")</f>
        <v>0</v>
      </c>
      <c r="V175">
        <f>IFERROR(VLOOKUP($C175,装備品!$1:$998,COLUMN(Q$1),FALSE),"")</f>
        <v>0</v>
      </c>
      <c r="W175">
        <f>IFERROR(VLOOKUP($C175,装備品!$1:$998,COLUMN(T$1),FALSE),"")</f>
        <v>0</v>
      </c>
      <c r="Y175">
        <f>IFERROR(VLOOKUP($C175,装備品!$1:$998,COLUMN(U$1),FALSE),"")</f>
        <v>0</v>
      </c>
      <c r="Z175" t="str">
        <f>IFERROR(ROUNDUP(VLOOKUP($C175,装備品!$1:$998,COLUMN(O$1),FALSE)*VLOOKUP($D175,素材!$1:$1016,COLUMN(E$1),FALSE),1),"")</f>
        <v/>
      </c>
      <c r="AA175">
        <f>IF(ISNUMBER(SEARCH(SUBSTITUTE(AA$1,RIGHT(AA$1,2),""),VLOOKUP($D175,素材!$1:$1016,COLUMN($F$1),FALSE))),VLOOKUP($C175,装備品!$1:$998,COLUMN($O$1),FALSE)*VLOOKUP($D175,素材!$1:$1016,COLUMN($E$1),FALSE)/(LEN(VLOOKUP($D175,素材!$1:$1016,COLUMN($F$1),FALSE))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IFERROR(VLOOKUP($C175,装備品!$1:$998,COLUMN(V$1),FALSE)*VLOOKUP($D175,素材!$1:$1016,COLUMN(N$1),FALSE)+IF(CI175="",0,VLOOKUP($CI175,付与!$1:$1176,COLUMN($CK$1),FALSE)),"")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IFERROR(VLOOKUP($D176,素材!$1:$1016,COLUMN($B$1),FALSE)&amp;"・"&amp;VLOOKUP($C176,装備品!$1:$998,COLUMN(B$1),FALSE),"")</f>
        <v/>
      </c>
      <c r="C176" t="s">
        <v>223</v>
      </c>
      <c r="D176" s="24" t="s">
        <v>243</v>
      </c>
      <c r="E176" t="str">
        <f>IFERROR(VLOOKUP(C176,装備品!$1:$998,COLUMN(C$1),FALSE),"")</f>
        <v>武器</v>
      </c>
      <c r="F176" t="str">
        <f>IFERROR(ROUNDDOWN((VLOOKUP($C176,装備品!$1:$998,COLUMN(D$1),FALSE)+IFERROR(VLOOKUP($CI176,付与!$1:$1167,COLUMN(F$1),FALSE),0))*VLOOKUP($D176,素材!$1:$1016,COLUMN(D$1),FALSE),0),"")</f>
        <v/>
      </c>
      <c r="G176" t="str">
        <f>IFERROR(ROUNDDOWN((VLOOKUP($C176,装備品!$1:$998,COLUMN(E$1),FALSE)+IFERROR(VLOOKUP($CI176,付与!$1:$1167,COLUMN(G$1),FALSE),0))*VLOOKUP($D176,素材!$1:$1016,COLUMN($E$1),FALSE),0),"")</f>
        <v/>
      </c>
      <c r="H176" t="str">
        <f>IFERROR(ROUNDDOWN((VLOOKUP($C176,装備品!$1:$998,COLUMN(F$1),FALSE)+IFERROR(VLOOKUP($CI176,付与!$1:$1167,COLUMN(H$1),FALSE),0))*VLOOKUP($D176,素材!$1:$1016,COLUMN($E$1),FALSE),0),"")</f>
        <v/>
      </c>
      <c r="I176" t="str">
        <f>IFERROR(ROUNDDOWN((VLOOKUP($C176,装備品!$1:$998,COLUMN(G$1),FALSE)+IFERROR(VLOOKUP($CI176,付与!$1:$1167,COLUMN(I$1),FALSE),0))*VLOOKUP($D176,素材!$1:$1016,COLUMN($E$1),FALSE),0),"")</f>
        <v/>
      </c>
      <c r="J176" t="str">
        <f>IFERROR(ROUNDDOWN((VLOOKUP($C176,装備品!$1:$998,COLUMN(H$1),FALSE)+IFERROR(VLOOKUP($CI176,付与!$1:$1167,COLUMN(J$1),FALSE),0))*VLOOKUP($D176,素材!$1:$1016,COLUMN($E$1),FALSE),0),"")</f>
        <v/>
      </c>
      <c r="K176" t="str">
        <f>IFERROR(ROUNDDOWN((VLOOKUP($C176,装備品!$1:$998,COLUMN(I$1),FALSE)+IFERROR(VLOOKUP($CI176,付与!$1:$1167,COLUMN(K$1),FALSE),0))*VLOOKUP($D176,素材!$1:$1016,COLUMN($E$1),FALSE),0),"")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IFERROR(VLOOKUP($C176,装備品!$1:$998,COLUMN(AA$1),FALSE)*VLOOKUP($D176,素材!$1:$1016,COLUMN($G$1),FALSE),"")</f>
        <v/>
      </c>
      <c r="N176">
        <f>IFERROR(VLOOKUP($C176,装備品!$1:$998,COLUMN(I$1),FALSE),"")</f>
        <v>0</v>
      </c>
      <c r="O176" s="23" t="str">
        <f>IFERROR((VLOOKUP($C176,装備品!$1:$998,COLUMN(K$1),FALSE)+VLOOKUP($D176,素材!$1:$1016,COLUMN(H$1),FALSE))*100+IFERROR(VLOOKUP($CI176,付与!$1:$1167,COLUMN(O$1),FALSE),0),"")</f>
        <v/>
      </c>
      <c r="P176" s="23" t="str">
        <f>IFERROR((VLOOKUP($C176,装備品!$1:$998,COLUMN(L$1),FALSE)+VLOOKUP($D176,素材!$1:$1016,COLUMN(I$1),FALSE))*100+IFERROR(VLOOKUP($CI176,付与!$1:$1167,COLUMN(P$1),FALSE),0),"")</f>
        <v/>
      </c>
      <c r="Q176" t="str">
        <f>IFERROR(ROUNDUP(VLOOKUP($C176,装備品!$1:$998,COLUMN(M$1),FALSE)*(VLOOKUP($D176,素材!$1:$1002,COLUMN(D$1),FALSE)/100),1),"")</f>
        <v/>
      </c>
      <c r="R176" t="str">
        <f>IFERROR(ROUNDUP(VLOOKUP($C176,装備品!$1:$998,COLUMN(N$1),FALSE)*(VLOOKUP($D176,素材!$1:$1002,COLUMN(D$1),FALSE)/100),1),"")</f>
        <v/>
      </c>
      <c r="S176">
        <f>IFERROR(VLOOKUP($C176,装備品!$1:$998,COLUMN(P$1),FALSE),"")</f>
        <v>0</v>
      </c>
      <c r="T176">
        <f>IFERROR(VLOOKUP($C176,装備品!$1:$998,COLUMN(Q$1),FALSE),"")</f>
        <v>0</v>
      </c>
      <c r="U176">
        <f>IFERROR(VLOOKUP($C176,装備品!$1:$998,COLUMN(R$1),FALSE),"")</f>
        <v>0</v>
      </c>
      <c r="V176">
        <f>IFERROR(VLOOKUP($C176,装備品!$1:$998,COLUMN(Q$1),FALSE),"")</f>
        <v>0</v>
      </c>
      <c r="W176">
        <f>IFERROR(VLOOKUP($C176,装備品!$1:$998,COLUMN(T$1),FALSE),"")</f>
        <v>0</v>
      </c>
      <c r="Y176">
        <f>IFERROR(VLOOKUP($C176,装備品!$1:$998,COLUMN(U$1),FALSE),"")</f>
        <v>0</v>
      </c>
      <c r="Z176" t="str">
        <f>IFERROR(ROUNDUP(VLOOKUP($C176,装備品!$1:$998,COLUMN(O$1),FALSE)*VLOOKUP($D176,素材!$1:$1016,COLUMN(E$1),FALSE),1),"")</f>
        <v/>
      </c>
      <c r="AA176">
        <f>IF(ISNUMBER(SEARCH(SUBSTITUTE(AA$1,RIGHT(AA$1,2),""),VLOOKUP($D176,素材!$1:$1016,COLUMN($F$1),FALSE))),VLOOKUP($C176,装備品!$1:$998,COLUMN($O$1),FALSE)*VLOOKUP($D176,素材!$1:$1016,COLUMN($E$1),FALSE)/(LEN(VLOOKUP($D176,素材!$1:$1016,COLUMN($F$1),FALSE))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IFERROR(VLOOKUP($C176,装備品!$1:$998,COLUMN(V$1),FALSE)*VLOOKUP($D176,素材!$1:$1016,COLUMN(N$1),FALSE)+IF(CI176="",0,VLOOKUP($CI176,付与!$1:$1176,COLUMN($CK$1),FALSE)),"")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IFERROR(VLOOKUP($D177,素材!$1:$1016,COLUMN($B$1),FALSE)&amp;"・"&amp;VLOOKUP($C177,装備品!$1:$998,COLUMN(B$1),FALSE),"")</f>
        <v/>
      </c>
      <c r="C177" t="s">
        <v>222</v>
      </c>
      <c r="D177" s="24" t="s">
        <v>243</v>
      </c>
      <c r="E177" t="str">
        <f>IFERROR(VLOOKUP(C177,装備品!$1:$998,COLUMN(C$1),FALSE),"")</f>
        <v>武器</v>
      </c>
      <c r="F177" t="str">
        <f>IFERROR(ROUNDDOWN((VLOOKUP($C177,装備品!$1:$998,COLUMN(D$1),FALSE)+IFERROR(VLOOKUP($CI177,付与!$1:$1167,COLUMN(F$1),FALSE),0))*VLOOKUP($D177,素材!$1:$1016,COLUMN(D$1),FALSE),0),"")</f>
        <v/>
      </c>
      <c r="G177" t="str">
        <f>IFERROR(ROUNDDOWN((VLOOKUP($C177,装備品!$1:$998,COLUMN(E$1),FALSE)+IFERROR(VLOOKUP($CI177,付与!$1:$1167,COLUMN(G$1),FALSE),0))*VLOOKUP($D177,素材!$1:$1016,COLUMN($E$1),FALSE),0),"")</f>
        <v/>
      </c>
      <c r="H177" t="str">
        <f>IFERROR(ROUNDDOWN((VLOOKUP($C177,装備品!$1:$998,COLUMN(F$1),FALSE)+IFERROR(VLOOKUP($CI177,付与!$1:$1167,COLUMN(H$1),FALSE),0))*VLOOKUP($D177,素材!$1:$1016,COLUMN($E$1),FALSE),0),"")</f>
        <v/>
      </c>
      <c r="I177" t="str">
        <f>IFERROR(ROUNDDOWN((VLOOKUP($C177,装備品!$1:$998,COLUMN(G$1),FALSE)+IFERROR(VLOOKUP($CI177,付与!$1:$1167,COLUMN(I$1),FALSE),0))*VLOOKUP($D177,素材!$1:$1016,COLUMN($E$1),FALSE),0),"")</f>
        <v/>
      </c>
      <c r="J177" t="str">
        <f>IFERROR(ROUNDDOWN((VLOOKUP($C177,装備品!$1:$998,COLUMN(H$1),FALSE)+IFERROR(VLOOKUP($CI177,付与!$1:$1167,COLUMN(J$1),FALSE),0))*VLOOKUP($D177,素材!$1:$1016,COLUMN($E$1),FALSE),0),"")</f>
        <v/>
      </c>
      <c r="K177" t="str">
        <f>IFERROR(ROUNDDOWN((VLOOKUP($C177,装備品!$1:$998,COLUMN(I$1),FALSE)+IFERROR(VLOOKUP($CI177,付与!$1:$1167,COLUMN(K$1),FALSE),0))*VLOOKUP($D177,素材!$1:$1016,COLUMN($E$1),FALSE),0),"")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IFERROR(VLOOKUP($C177,装備品!$1:$998,COLUMN(AA$1),FALSE)*VLOOKUP($D177,素材!$1:$1016,COLUMN($G$1),FALSE),"")</f>
        <v/>
      </c>
      <c r="N177">
        <f>IFERROR(VLOOKUP($C177,装備品!$1:$998,COLUMN(I$1),FALSE),"")</f>
        <v>0</v>
      </c>
      <c r="O177" s="23" t="str">
        <f>IFERROR((VLOOKUP($C177,装備品!$1:$998,COLUMN(K$1),FALSE)+VLOOKUP($D177,素材!$1:$1016,COLUMN(H$1),FALSE))*100+IFERROR(VLOOKUP($CI177,付与!$1:$1167,COLUMN(O$1),FALSE),0),"")</f>
        <v/>
      </c>
      <c r="P177" s="23" t="str">
        <f>IFERROR((VLOOKUP($C177,装備品!$1:$998,COLUMN(L$1),FALSE)+VLOOKUP($D177,素材!$1:$1016,COLUMN(I$1),FALSE))*100+IFERROR(VLOOKUP($CI177,付与!$1:$1167,COLUMN(P$1),FALSE),0),"")</f>
        <v/>
      </c>
      <c r="Q177" t="str">
        <f>IFERROR(ROUNDUP(VLOOKUP($C177,装備品!$1:$998,COLUMN(M$1),FALSE)*(VLOOKUP($D177,素材!$1:$1002,COLUMN(D$1),FALSE)/100),1),"")</f>
        <v/>
      </c>
      <c r="R177" t="str">
        <f>IFERROR(ROUNDUP(VLOOKUP($C177,装備品!$1:$998,COLUMN(N$1),FALSE)*(VLOOKUP($D177,素材!$1:$1002,COLUMN(D$1),FALSE)/100),1),"")</f>
        <v/>
      </c>
      <c r="S177">
        <f>IFERROR(VLOOKUP($C177,装備品!$1:$998,COLUMN(P$1),FALSE),"")</f>
        <v>0</v>
      </c>
      <c r="T177">
        <f>IFERROR(VLOOKUP($C177,装備品!$1:$998,COLUMN(Q$1),FALSE),"")</f>
        <v>0</v>
      </c>
      <c r="U177">
        <f>IFERROR(VLOOKUP($C177,装備品!$1:$998,COLUMN(R$1),FALSE),"")</f>
        <v>0</v>
      </c>
      <c r="V177">
        <f>IFERROR(VLOOKUP($C177,装備品!$1:$998,COLUMN(Q$1),FALSE),"")</f>
        <v>0</v>
      </c>
      <c r="W177">
        <f>IFERROR(VLOOKUP($C177,装備品!$1:$998,COLUMN(T$1),FALSE),"")</f>
        <v>0</v>
      </c>
      <c r="Y177">
        <f>IFERROR(VLOOKUP($C177,装備品!$1:$998,COLUMN(U$1),FALSE),"")</f>
        <v>1</v>
      </c>
      <c r="Z177" t="str">
        <f>IFERROR(ROUNDUP(VLOOKUP($C177,装備品!$1:$998,COLUMN(O$1),FALSE)*VLOOKUP($D177,素材!$1:$1016,COLUMN(E$1),FALSE),1),"")</f>
        <v/>
      </c>
      <c r="AA177">
        <f>IF(ISNUMBER(SEARCH(SUBSTITUTE(AA$1,RIGHT(AA$1,2),""),VLOOKUP($D177,素材!$1:$1016,COLUMN($F$1),FALSE))),VLOOKUP($C177,装備品!$1:$998,COLUMN($O$1),FALSE)*VLOOKUP($D177,素材!$1:$1016,COLUMN($E$1),FALSE)/(LEN(VLOOKUP($D177,素材!$1:$1016,COLUMN($F$1),FALSE))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IFERROR(VLOOKUP($C177,装備品!$1:$998,COLUMN(V$1),FALSE)*VLOOKUP($D177,素材!$1:$1016,COLUMN(N$1),FALSE)+IF(CI177="",0,VLOOKUP($CI177,付与!$1:$1176,COLUMN($CK$1),FALSE)),"")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IFERROR(VLOOKUP($D178,素材!$1:$1016,COLUMN($B$1),FALSE)&amp;"・"&amp;VLOOKUP($C178,装備品!$1:$998,COLUMN(B$1),FALSE),"")</f>
        <v/>
      </c>
      <c r="C178" t="s">
        <v>221</v>
      </c>
      <c r="D178" s="24" t="s">
        <v>243</v>
      </c>
      <c r="E178" t="str">
        <f>IFERROR(VLOOKUP(C178,装備品!$1:$998,COLUMN(C$1),FALSE),"")</f>
        <v>盾</v>
      </c>
      <c r="F178" t="str">
        <f>IFERROR(ROUNDDOWN((VLOOKUP($C178,装備品!$1:$998,COLUMN(D$1),FALSE)+IFERROR(VLOOKUP($CI178,付与!$1:$1167,COLUMN(F$1),FALSE),0))*VLOOKUP($D178,素材!$1:$1016,COLUMN(D$1),FALSE),0),"")</f>
        <v/>
      </c>
      <c r="G178" t="str">
        <f>IFERROR(ROUNDDOWN((VLOOKUP($C178,装備品!$1:$998,COLUMN(E$1),FALSE)+IFERROR(VLOOKUP($CI178,付与!$1:$1167,COLUMN(G$1),FALSE),0))*VLOOKUP($D178,素材!$1:$1016,COLUMN($E$1),FALSE),0),"")</f>
        <v/>
      </c>
      <c r="H178" t="str">
        <f>IFERROR(ROUNDDOWN((VLOOKUP($C178,装備品!$1:$998,COLUMN(F$1),FALSE)+IFERROR(VLOOKUP($CI178,付与!$1:$1167,COLUMN(H$1),FALSE),0))*VLOOKUP($D178,素材!$1:$1016,COLUMN($E$1),FALSE),0),"")</f>
        <v/>
      </c>
      <c r="I178" t="str">
        <f>IFERROR(ROUNDDOWN((VLOOKUP($C178,装備品!$1:$998,COLUMN(G$1),FALSE)+IFERROR(VLOOKUP($CI178,付与!$1:$1167,COLUMN(I$1),FALSE),0))*VLOOKUP($D178,素材!$1:$1016,COLUMN($E$1),FALSE),0),"")</f>
        <v/>
      </c>
      <c r="J178" t="str">
        <f>IFERROR(ROUNDDOWN((VLOOKUP($C178,装備品!$1:$998,COLUMN(H$1),FALSE)+IFERROR(VLOOKUP($CI178,付与!$1:$1167,COLUMN(J$1),FALSE),0))*VLOOKUP($D178,素材!$1:$1016,COLUMN($E$1),FALSE),0),"")</f>
        <v/>
      </c>
      <c r="K178" t="str">
        <f>IFERROR(ROUNDDOWN((VLOOKUP($C178,装備品!$1:$998,COLUMN(I$1),FALSE)+IFERROR(VLOOKUP($CI178,付与!$1:$1167,COLUMN(K$1),FALSE),0))*VLOOKUP($D178,素材!$1:$1016,COLUMN($E$1),FALSE),0),"")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IFERROR(VLOOKUP($C178,装備品!$1:$998,COLUMN(AA$1),FALSE)*VLOOKUP($D178,素材!$1:$1016,COLUMN($G$1),FALSE),"")</f>
        <v/>
      </c>
      <c r="N178">
        <f>IFERROR(VLOOKUP($C178,装備品!$1:$998,COLUMN(I$1),FALSE),"")</f>
        <v>0</v>
      </c>
      <c r="O178" s="23" t="str">
        <f>IFERROR((VLOOKUP($C178,装備品!$1:$998,COLUMN(K$1),FALSE)+VLOOKUP($D178,素材!$1:$1016,COLUMN(H$1),FALSE))*100+IFERROR(VLOOKUP($CI178,付与!$1:$1167,COLUMN(O$1),FALSE),0),"")</f>
        <v/>
      </c>
      <c r="P178" s="23" t="str">
        <f>IFERROR((VLOOKUP($C178,装備品!$1:$998,COLUMN(L$1),FALSE)+VLOOKUP($D178,素材!$1:$1016,COLUMN(I$1),FALSE))*100+IFERROR(VLOOKUP($CI178,付与!$1:$1167,COLUMN(P$1),FALSE),0),"")</f>
        <v/>
      </c>
      <c r="Q178" t="str">
        <f>IFERROR(ROUNDUP(VLOOKUP($C178,装備品!$1:$998,COLUMN(M$1),FALSE)*(VLOOKUP($D178,素材!$1:$1002,COLUMN(D$1),FALSE)/100),1),"")</f>
        <v/>
      </c>
      <c r="R178" t="str">
        <f>IFERROR(ROUNDUP(VLOOKUP($C178,装備品!$1:$998,COLUMN(N$1),FALSE)*(VLOOKUP($D178,素材!$1:$1002,COLUMN(D$1),FALSE)/100),1),"")</f>
        <v/>
      </c>
      <c r="S178">
        <f>IFERROR(VLOOKUP($C178,装備品!$1:$998,COLUMN(P$1),FALSE),"")</f>
        <v>0</v>
      </c>
      <c r="T178">
        <f>IFERROR(VLOOKUP($C178,装備品!$1:$998,COLUMN(Q$1),FALSE),"")</f>
        <v>0</v>
      </c>
      <c r="U178">
        <f>IFERROR(VLOOKUP($C178,装備品!$1:$998,COLUMN(R$1),FALSE),"")</f>
        <v>0</v>
      </c>
      <c r="V178">
        <f>IFERROR(VLOOKUP($C178,装備品!$1:$998,COLUMN(Q$1),FALSE),"")</f>
        <v>0</v>
      </c>
      <c r="W178">
        <f>IFERROR(VLOOKUP($C178,装備品!$1:$998,COLUMN(T$1),FALSE),"")</f>
        <v>0</v>
      </c>
      <c r="Y178">
        <f>IFERROR(VLOOKUP($C178,装備品!$1:$998,COLUMN(U$1),FALSE),"")</f>
        <v>0</v>
      </c>
      <c r="Z178" t="str">
        <f>IFERROR(ROUNDUP(VLOOKUP($C178,装備品!$1:$998,COLUMN(O$1),FALSE)*VLOOKUP($D178,素材!$1:$1016,COLUMN(E$1),FALSE),1),"")</f>
        <v/>
      </c>
      <c r="AA178">
        <f>IF(ISNUMBER(SEARCH(SUBSTITUTE(AA$1,RIGHT(AA$1,2),""),VLOOKUP($D178,素材!$1:$1016,COLUMN($F$1),FALSE))),VLOOKUP($C178,装備品!$1:$998,COLUMN($O$1),FALSE)*VLOOKUP($D178,素材!$1:$1016,COLUMN($E$1),FALSE)/(LEN(VLOOKUP($D178,素材!$1:$1016,COLUMN($F$1),FALSE))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IFERROR(VLOOKUP($C178,装備品!$1:$998,COLUMN(V$1),FALSE)*VLOOKUP($D178,素材!$1:$1016,COLUMN(N$1),FALSE)+IF(CI178="",0,VLOOKUP($CI178,付与!$1:$1176,COLUMN($CK$1),FALSE)),"")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IFERROR(VLOOKUP($D179,素材!$1:$1016,COLUMN($B$1),FALSE)&amp;"・"&amp;VLOOKUP($C179,装備品!$1:$998,COLUMN(B$1),FALSE),"")</f>
        <v/>
      </c>
      <c r="C179" t="s">
        <v>220</v>
      </c>
      <c r="D179" s="24" t="s">
        <v>243</v>
      </c>
      <c r="E179" t="str">
        <f>IFERROR(VLOOKUP(C179,装備品!$1:$998,COLUMN(C$1),FALSE),"")</f>
        <v>盾</v>
      </c>
      <c r="F179" t="str">
        <f>IFERROR(ROUNDDOWN((VLOOKUP($C179,装備品!$1:$998,COLUMN(D$1),FALSE)+IFERROR(VLOOKUP($CI179,付与!$1:$1167,COLUMN(F$1),FALSE),0))*VLOOKUP($D179,素材!$1:$1016,COLUMN(D$1),FALSE),0),"")</f>
        <v/>
      </c>
      <c r="G179" t="str">
        <f>IFERROR(ROUNDDOWN((VLOOKUP($C179,装備品!$1:$998,COLUMN(E$1),FALSE)+IFERROR(VLOOKUP($CI179,付与!$1:$1167,COLUMN(G$1),FALSE),0))*VLOOKUP($D179,素材!$1:$1016,COLUMN($E$1),FALSE),0),"")</f>
        <v/>
      </c>
      <c r="H179" t="str">
        <f>IFERROR(ROUNDDOWN((VLOOKUP($C179,装備品!$1:$998,COLUMN(F$1),FALSE)+IFERROR(VLOOKUP($CI179,付与!$1:$1167,COLUMN(H$1),FALSE),0))*VLOOKUP($D179,素材!$1:$1016,COLUMN($E$1),FALSE),0),"")</f>
        <v/>
      </c>
      <c r="I179" t="str">
        <f>IFERROR(ROUNDDOWN((VLOOKUP($C179,装備品!$1:$998,COLUMN(G$1),FALSE)+IFERROR(VLOOKUP($CI179,付与!$1:$1167,COLUMN(I$1),FALSE),0))*VLOOKUP($D179,素材!$1:$1016,COLUMN($E$1),FALSE),0),"")</f>
        <v/>
      </c>
      <c r="J179" t="str">
        <f>IFERROR(ROUNDDOWN((VLOOKUP($C179,装備品!$1:$998,COLUMN(H$1),FALSE)+IFERROR(VLOOKUP($CI179,付与!$1:$1167,COLUMN(J$1),FALSE),0))*VLOOKUP($D179,素材!$1:$1016,COLUMN($E$1),FALSE),0),"")</f>
        <v/>
      </c>
      <c r="K179" t="str">
        <f>IFERROR(ROUNDDOWN((VLOOKUP($C179,装備品!$1:$998,COLUMN(I$1),FALSE)+IFERROR(VLOOKUP($CI179,付与!$1:$1167,COLUMN(K$1),FALSE),0))*VLOOKUP($D179,素材!$1:$1016,COLUMN($E$1),FALSE),0),"")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IFERROR(VLOOKUP($C179,装備品!$1:$998,COLUMN(AA$1),FALSE)*VLOOKUP($D179,素材!$1:$1016,COLUMN($G$1),FALSE),"")</f>
        <v/>
      </c>
      <c r="N179">
        <f>IFERROR(VLOOKUP($C179,装備品!$1:$998,COLUMN(I$1),FALSE),"")</f>
        <v>0</v>
      </c>
      <c r="O179" s="23" t="str">
        <f>IFERROR((VLOOKUP($C179,装備品!$1:$998,COLUMN(K$1),FALSE)+VLOOKUP($D179,素材!$1:$1016,COLUMN(H$1),FALSE))*100+IFERROR(VLOOKUP($CI179,付与!$1:$1167,COLUMN(O$1),FALSE),0),"")</f>
        <v/>
      </c>
      <c r="P179" s="23" t="str">
        <f>IFERROR((VLOOKUP($C179,装備品!$1:$998,COLUMN(L$1),FALSE)+VLOOKUP($D179,素材!$1:$1016,COLUMN(I$1),FALSE))*100+IFERROR(VLOOKUP($CI179,付与!$1:$1167,COLUMN(P$1),FALSE),0),"")</f>
        <v/>
      </c>
      <c r="Q179" t="str">
        <f>IFERROR(ROUNDUP(VLOOKUP($C179,装備品!$1:$998,COLUMN(M$1),FALSE)*(VLOOKUP($D179,素材!$1:$1002,COLUMN(D$1),FALSE)/100),1),"")</f>
        <v/>
      </c>
      <c r="R179" t="str">
        <f>IFERROR(ROUNDUP(VLOOKUP($C179,装備品!$1:$998,COLUMN(N$1),FALSE)*(VLOOKUP($D179,素材!$1:$1002,COLUMN(D$1),FALSE)/100),1),"")</f>
        <v/>
      </c>
      <c r="S179">
        <f>IFERROR(VLOOKUP($C179,装備品!$1:$998,COLUMN(P$1),FALSE),"")</f>
        <v>0</v>
      </c>
      <c r="T179">
        <f>IFERROR(VLOOKUP($C179,装備品!$1:$998,COLUMN(Q$1),FALSE),"")</f>
        <v>0</v>
      </c>
      <c r="U179">
        <f>IFERROR(VLOOKUP($C179,装備品!$1:$998,COLUMN(R$1),FALSE),"")</f>
        <v>0</v>
      </c>
      <c r="V179">
        <f>IFERROR(VLOOKUP($C179,装備品!$1:$998,COLUMN(Q$1),FALSE),"")</f>
        <v>0</v>
      </c>
      <c r="W179">
        <f>IFERROR(VLOOKUP($C179,装備品!$1:$998,COLUMN(T$1),FALSE),"")</f>
        <v>0</v>
      </c>
      <c r="Y179">
        <f>IFERROR(VLOOKUP($C179,装備品!$1:$998,COLUMN(U$1),FALSE),"")</f>
        <v>0</v>
      </c>
      <c r="Z179" t="str">
        <f>IFERROR(ROUNDUP(VLOOKUP($C179,装備品!$1:$998,COLUMN(O$1),FALSE)*VLOOKUP($D179,素材!$1:$1016,COLUMN(E$1),FALSE),1),"")</f>
        <v/>
      </c>
      <c r="AA179">
        <f>IF(ISNUMBER(SEARCH(SUBSTITUTE(AA$1,RIGHT(AA$1,2),""),VLOOKUP($D179,素材!$1:$1016,COLUMN($F$1),FALSE))),VLOOKUP($C179,装備品!$1:$998,COLUMN($O$1),FALSE)*VLOOKUP($D179,素材!$1:$1016,COLUMN($E$1),FALSE)/(LEN(VLOOKUP($D179,素材!$1:$1016,COLUMN($F$1),FALSE))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IFERROR(VLOOKUP($C179,装備品!$1:$998,COLUMN(V$1),FALSE)*VLOOKUP($D179,素材!$1:$1016,COLUMN(N$1),FALSE)+IF(CI179="",0,VLOOKUP($CI179,付与!$1:$1176,COLUMN($CK$1),FALSE)),"")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IFERROR(VLOOKUP($D180,素材!$1:$1016,COLUMN($B$1),FALSE)&amp;"・"&amp;VLOOKUP($C180,装備品!$1:$998,COLUMN(B$1),FALSE),"")</f>
        <v/>
      </c>
      <c r="C180" t="s">
        <v>219</v>
      </c>
      <c r="D180" s="24" t="s">
        <v>243</v>
      </c>
      <c r="E180" t="str">
        <f>IFERROR(VLOOKUP(C180,装備品!$1:$998,COLUMN(C$1),FALSE),"")</f>
        <v>盾</v>
      </c>
      <c r="F180" t="str">
        <f>IFERROR(ROUNDDOWN((VLOOKUP($C180,装備品!$1:$998,COLUMN(D$1),FALSE)+IFERROR(VLOOKUP($CI180,付与!$1:$1167,COLUMN(F$1),FALSE),0))*VLOOKUP($D180,素材!$1:$1016,COLUMN(D$1),FALSE),0),"")</f>
        <v/>
      </c>
      <c r="G180" t="str">
        <f>IFERROR(ROUNDDOWN((VLOOKUP($C180,装備品!$1:$998,COLUMN(E$1),FALSE)+IFERROR(VLOOKUP($CI180,付与!$1:$1167,COLUMN(G$1),FALSE),0))*VLOOKUP($D180,素材!$1:$1016,COLUMN($E$1),FALSE),0),"")</f>
        <v/>
      </c>
      <c r="H180" t="str">
        <f>IFERROR(ROUNDDOWN((VLOOKUP($C180,装備品!$1:$998,COLUMN(F$1),FALSE)+IFERROR(VLOOKUP($CI180,付与!$1:$1167,COLUMN(H$1),FALSE),0))*VLOOKUP($D180,素材!$1:$1016,COLUMN($E$1),FALSE),0),"")</f>
        <v/>
      </c>
      <c r="I180" t="str">
        <f>IFERROR(ROUNDDOWN((VLOOKUP($C180,装備品!$1:$998,COLUMN(G$1),FALSE)+IFERROR(VLOOKUP($CI180,付与!$1:$1167,COLUMN(I$1),FALSE),0))*VLOOKUP($D180,素材!$1:$1016,COLUMN($E$1),FALSE),0),"")</f>
        <v/>
      </c>
      <c r="J180" t="str">
        <f>IFERROR(ROUNDDOWN((VLOOKUP($C180,装備品!$1:$998,COLUMN(H$1),FALSE)+IFERROR(VLOOKUP($CI180,付与!$1:$1167,COLUMN(J$1),FALSE),0))*VLOOKUP($D180,素材!$1:$1016,COLUMN($E$1),FALSE),0),"")</f>
        <v/>
      </c>
      <c r="K180" t="str">
        <f>IFERROR(ROUNDDOWN((VLOOKUP($C180,装備品!$1:$998,COLUMN(I$1),FALSE)+IFERROR(VLOOKUP($CI180,付与!$1:$1167,COLUMN(K$1),FALSE),0))*VLOOKUP($D180,素材!$1:$1016,COLUMN($E$1),FALSE),0),"")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IFERROR(VLOOKUP($C180,装備品!$1:$998,COLUMN(AA$1),FALSE)*VLOOKUP($D180,素材!$1:$1016,COLUMN($G$1),FALSE),"")</f>
        <v/>
      </c>
      <c r="N180">
        <f>IFERROR(VLOOKUP($C180,装備品!$1:$998,COLUMN(I$1),FALSE),"")</f>
        <v>0</v>
      </c>
      <c r="O180" s="23" t="str">
        <f>IFERROR((VLOOKUP($C180,装備品!$1:$998,COLUMN(K$1),FALSE)+VLOOKUP($D180,素材!$1:$1016,COLUMN(H$1),FALSE))*100+IFERROR(VLOOKUP($CI180,付与!$1:$1167,COLUMN(O$1),FALSE),0),"")</f>
        <v/>
      </c>
      <c r="P180" s="23" t="str">
        <f>IFERROR((VLOOKUP($C180,装備品!$1:$998,COLUMN(L$1),FALSE)+VLOOKUP($D180,素材!$1:$1016,COLUMN(I$1),FALSE))*100+IFERROR(VLOOKUP($CI180,付与!$1:$1167,COLUMN(P$1),FALSE),0),"")</f>
        <v/>
      </c>
      <c r="Q180" t="str">
        <f>IFERROR(ROUNDUP(VLOOKUP($C180,装備品!$1:$998,COLUMN(M$1),FALSE)*(VLOOKUP($D180,素材!$1:$1002,COLUMN(D$1),FALSE)/100),1),"")</f>
        <v/>
      </c>
      <c r="R180" t="str">
        <f>IFERROR(ROUNDUP(VLOOKUP($C180,装備品!$1:$998,COLUMN(N$1),FALSE)*(VLOOKUP($D180,素材!$1:$1002,COLUMN(D$1),FALSE)/100),1),"")</f>
        <v/>
      </c>
      <c r="S180">
        <f>IFERROR(VLOOKUP($C180,装備品!$1:$998,COLUMN(P$1),FALSE),"")</f>
        <v>0</v>
      </c>
      <c r="T180">
        <f>IFERROR(VLOOKUP($C180,装備品!$1:$998,COLUMN(Q$1),FALSE),"")</f>
        <v>0</v>
      </c>
      <c r="U180">
        <f>IFERROR(VLOOKUP($C180,装備品!$1:$998,COLUMN(R$1),FALSE),"")</f>
        <v>0</v>
      </c>
      <c r="V180">
        <f>IFERROR(VLOOKUP($C180,装備品!$1:$998,COLUMN(Q$1),FALSE),"")</f>
        <v>0</v>
      </c>
      <c r="W180">
        <f>IFERROR(VLOOKUP($C180,装備品!$1:$998,COLUMN(T$1),FALSE),"")</f>
        <v>0</v>
      </c>
      <c r="Y180">
        <f>IFERROR(VLOOKUP($C180,装備品!$1:$998,COLUMN(U$1),FALSE),"")</f>
        <v>0</v>
      </c>
      <c r="Z180" t="str">
        <f>IFERROR(ROUNDUP(VLOOKUP($C180,装備品!$1:$998,COLUMN(O$1),FALSE)*VLOOKUP($D180,素材!$1:$1016,COLUMN(E$1),FALSE),1),"")</f>
        <v/>
      </c>
      <c r="AA180">
        <f>IF(ISNUMBER(SEARCH(SUBSTITUTE(AA$1,RIGHT(AA$1,2),""),VLOOKUP($D180,素材!$1:$1016,COLUMN($F$1),FALSE))),VLOOKUP($C180,装備品!$1:$998,COLUMN($O$1),FALSE)*VLOOKUP($D180,素材!$1:$1016,COLUMN($E$1),FALSE)/(LEN(VLOOKUP($D180,素材!$1:$1016,COLUMN($F$1),FALSE))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IFERROR(VLOOKUP($C180,装備品!$1:$998,COLUMN(V$1),FALSE)*VLOOKUP($D180,素材!$1:$1016,COLUMN(N$1),FALSE)+IF(CI180="",0,VLOOKUP($CI180,付与!$1:$1176,COLUMN($CK$1),FALSE)),"")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IFERROR(VLOOKUP($D181,素材!$1:$1016,COLUMN($B$1),FALSE)&amp;"・"&amp;VLOOKUP($C181,装備品!$1:$998,COLUMN(B$1),FALSE),"")</f>
        <v/>
      </c>
      <c r="C181" t="s">
        <v>218</v>
      </c>
      <c r="D181" s="24" t="s">
        <v>243</v>
      </c>
      <c r="E181" t="str">
        <f>IFERROR(VLOOKUP(C181,装備品!$1:$998,COLUMN(C$1),FALSE),"")</f>
        <v>盾</v>
      </c>
      <c r="F181" t="str">
        <f>IFERROR(ROUNDDOWN((VLOOKUP($C181,装備品!$1:$998,COLUMN(D$1),FALSE)+IFERROR(VLOOKUP($CI181,付与!$1:$1167,COLUMN(F$1),FALSE),0))*VLOOKUP($D181,素材!$1:$1016,COLUMN(D$1),FALSE),0),"")</f>
        <v/>
      </c>
      <c r="G181" t="str">
        <f>IFERROR(ROUNDDOWN((VLOOKUP($C181,装備品!$1:$998,COLUMN(E$1),FALSE)+IFERROR(VLOOKUP($CI181,付与!$1:$1167,COLUMN(G$1),FALSE),0))*VLOOKUP($D181,素材!$1:$1016,COLUMN($E$1),FALSE),0),"")</f>
        <v/>
      </c>
      <c r="H181" t="str">
        <f>IFERROR(ROUNDDOWN((VLOOKUP($C181,装備品!$1:$998,COLUMN(F$1),FALSE)+IFERROR(VLOOKUP($CI181,付与!$1:$1167,COLUMN(H$1),FALSE),0))*VLOOKUP($D181,素材!$1:$1016,COLUMN($E$1),FALSE),0),"")</f>
        <v/>
      </c>
      <c r="I181" t="str">
        <f>IFERROR(ROUNDDOWN((VLOOKUP($C181,装備品!$1:$998,COLUMN(G$1),FALSE)+IFERROR(VLOOKUP($CI181,付与!$1:$1167,COLUMN(I$1),FALSE),0))*VLOOKUP($D181,素材!$1:$1016,COLUMN($E$1),FALSE),0),"")</f>
        <v/>
      </c>
      <c r="J181" t="str">
        <f>IFERROR(ROUNDDOWN((VLOOKUP($C181,装備品!$1:$998,COLUMN(H$1),FALSE)+IFERROR(VLOOKUP($CI181,付与!$1:$1167,COLUMN(J$1),FALSE),0))*VLOOKUP($D181,素材!$1:$1016,COLUMN($E$1),FALSE),0),"")</f>
        <v/>
      </c>
      <c r="K181" t="str">
        <f>IFERROR(ROUNDDOWN((VLOOKUP($C181,装備品!$1:$998,COLUMN(I$1),FALSE)+IFERROR(VLOOKUP($CI181,付与!$1:$1167,COLUMN(K$1),FALSE),0))*VLOOKUP($D181,素材!$1:$1016,COLUMN($E$1),FALSE),0),"")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IFERROR(VLOOKUP($C181,装備品!$1:$998,COLUMN(AA$1),FALSE)*VLOOKUP($D181,素材!$1:$1016,COLUMN($G$1),FALSE),"")</f>
        <v/>
      </c>
      <c r="N181">
        <f>IFERROR(VLOOKUP($C181,装備品!$1:$998,COLUMN(I$1),FALSE),"")</f>
        <v>0</v>
      </c>
      <c r="O181" s="23" t="str">
        <f>IFERROR((VLOOKUP($C181,装備品!$1:$998,COLUMN(K$1),FALSE)+VLOOKUP($D181,素材!$1:$1016,COLUMN(H$1),FALSE))*100+IFERROR(VLOOKUP($CI181,付与!$1:$1167,COLUMN(O$1),FALSE),0),"")</f>
        <v/>
      </c>
      <c r="P181" s="23" t="str">
        <f>IFERROR((VLOOKUP($C181,装備品!$1:$998,COLUMN(L$1),FALSE)+VLOOKUP($D181,素材!$1:$1016,COLUMN(I$1),FALSE))*100+IFERROR(VLOOKUP($CI181,付与!$1:$1167,COLUMN(P$1),FALSE),0),"")</f>
        <v/>
      </c>
      <c r="Q181" t="str">
        <f>IFERROR(ROUNDUP(VLOOKUP($C181,装備品!$1:$998,COLUMN(M$1),FALSE)*(VLOOKUP($D181,素材!$1:$1002,COLUMN(D$1),FALSE)/100),1),"")</f>
        <v/>
      </c>
      <c r="R181" t="str">
        <f>IFERROR(ROUNDUP(VLOOKUP($C181,装備品!$1:$998,COLUMN(N$1),FALSE)*(VLOOKUP($D181,素材!$1:$1002,COLUMN(D$1),FALSE)/100),1),"")</f>
        <v/>
      </c>
      <c r="S181">
        <f>IFERROR(VLOOKUP($C181,装備品!$1:$998,COLUMN(P$1),FALSE),"")</f>
        <v>0</v>
      </c>
      <c r="T181">
        <f>IFERROR(VLOOKUP($C181,装備品!$1:$998,COLUMN(Q$1),FALSE),"")</f>
        <v>0</v>
      </c>
      <c r="U181">
        <f>IFERROR(VLOOKUP($C181,装備品!$1:$998,COLUMN(R$1),FALSE),"")</f>
        <v>0</v>
      </c>
      <c r="V181">
        <f>IFERROR(VLOOKUP($C181,装備品!$1:$998,COLUMN(Q$1),FALSE),"")</f>
        <v>0</v>
      </c>
      <c r="W181">
        <f>IFERROR(VLOOKUP($C181,装備品!$1:$998,COLUMN(T$1),FALSE),"")</f>
        <v>0</v>
      </c>
      <c r="Y181">
        <f>IFERROR(VLOOKUP($C181,装備品!$1:$998,COLUMN(U$1),FALSE),"")</f>
        <v>0</v>
      </c>
      <c r="Z181" t="str">
        <f>IFERROR(ROUNDUP(VLOOKUP($C181,装備品!$1:$998,COLUMN(O$1),FALSE)*VLOOKUP($D181,素材!$1:$1016,COLUMN(E$1),FALSE),1),"")</f>
        <v/>
      </c>
      <c r="AA181">
        <f>IF(ISNUMBER(SEARCH(SUBSTITUTE(AA$1,RIGHT(AA$1,2),""),VLOOKUP($D181,素材!$1:$1016,COLUMN($F$1),FALSE))),VLOOKUP($C181,装備品!$1:$998,COLUMN($O$1),FALSE)*VLOOKUP($D181,素材!$1:$1016,COLUMN($E$1),FALSE)/(LEN(VLOOKUP($D181,素材!$1:$1016,COLUMN($F$1),FALSE))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IFERROR(VLOOKUP($C181,装備品!$1:$998,COLUMN(V$1),FALSE)*VLOOKUP($D181,素材!$1:$1016,COLUMN(N$1),FALSE)+IF(CI181="",0,VLOOKUP($CI181,付与!$1:$1176,COLUMN($CK$1),FALSE)),"")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IFERROR(VLOOKUP($D182,素材!$1:$1016,COLUMN($B$1),FALSE)&amp;"・"&amp;VLOOKUP($C182,装備品!$1:$998,COLUMN(B$1),FALSE),"")</f>
        <v/>
      </c>
      <c r="C182" t="s">
        <v>217</v>
      </c>
      <c r="D182" s="24" t="s">
        <v>243</v>
      </c>
      <c r="E182" t="str">
        <f>IFERROR(VLOOKUP(C182,装備品!$1:$998,COLUMN(C$1),FALSE),"")</f>
        <v>武器</v>
      </c>
      <c r="F182" t="str">
        <f>IFERROR(ROUNDDOWN((VLOOKUP($C182,装備品!$1:$998,COLUMN(D$1),FALSE)+IFERROR(VLOOKUP($CI182,付与!$1:$1167,COLUMN(F$1),FALSE),0))*VLOOKUP($D182,素材!$1:$1016,COLUMN(D$1),FALSE),0),"")</f>
        <v/>
      </c>
      <c r="G182" t="str">
        <f>IFERROR(ROUNDDOWN((VLOOKUP($C182,装備品!$1:$998,COLUMN(E$1),FALSE)+IFERROR(VLOOKUP($CI182,付与!$1:$1167,COLUMN(G$1),FALSE),0))*VLOOKUP($D182,素材!$1:$1016,COLUMN($E$1),FALSE),0),"")</f>
        <v/>
      </c>
      <c r="H182" t="str">
        <f>IFERROR(ROUNDDOWN((VLOOKUP($C182,装備品!$1:$998,COLUMN(F$1),FALSE)+IFERROR(VLOOKUP($CI182,付与!$1:$1167,COLUMN(H$1),FALSE),0))*VLOOKUP($D182,素材!$1:$1016,COLUMN($E$1),FALSE),0),"")</f>
        <v/>
      </c>
      <c r="I182" t="str">
        <f>IFERROR(ROUNDDOWN((VLOOKUP($C182,装備品!$1:$998,COLUMN(G$1),FALSE)+IFERROR(VLOOKUP($CI182,付与!$1:$1167,COLUMN(I$1),FALSE),0))*VLOOKUP($D182,素材!$1:$1016,COLUMN($E$1),FALSE),0),"")</f>
        <v/>
      </c>
      <c r="J182" t="str">
        <f>IFERROR(ROUNDDOWN((VLOOKUP($C182,装備品!$1:$998,COLUMN(H$1),FALSE)+IFERROR(VLOOKUP($CI182,付与!$1:$1167,COLUMN(J$1),FALSE),0))*VLOOKUP($D182,素材!$1:$1016,COLUMN($E$1),FALSE),0),"")</f>
        <v/>
      </c>
      <c r="K182" t="str">
        <f>IFERROR(ROUNDDOWN((VLOOKUP($C182,装備品!$1:$998,COLUMN(I$1),FALSE)+IFERROR(VLOOKUP($CI182,付与!$1:$1167,COLUMN(K$1),FALSE),0))*VLOOKUP($D182,素材!$1:$1016,COLUMN($E$1),FALSE),0),"")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IFERROR(VLOOKUP($C182,装備品!$1:$998,COLUMN(AA$1),FALSE)*VLOOKUP($D182,素材!$1:$1016,COLUMN($G$1),FALSE),"")</f>
        <v/>
      </c>
      <c r="N182">
        <f>IFERROR(VLOOKUP($C182,装備品!$1:$998,COLUMN(I$1),FALSE),"")</f>
        <v>1</v>
      </c>
      <c r="O182" s="23" t="str">
        <f>IFERROR((VLOOKUP($C182,装備品!$1:$998,COLUMN(K$1),FALSE)+VLOOKUP($D182,素材!$1:$1016,COLUMN(H$1),FALSE))*100+IFERROR(VLOOKUP($CI182,付与!$1:$1167,COLUMN(O$1),FALSE),0),"")</f>
        <v/>
      </c>
      <c r="P182" s="23" t="str">
        <f>IFERROR((VLOOKUP($C182,装備品!$1:$998,COLUMN(L$1),FALSE)+VLOOKUP($D182,素材!$1:$1016,COLUMN(I$1),FALSE))*100+IFERROR(VLOOKUP($CI182,付与!$1:$1167,COLUMN(P$1),FALSE),0),"")</f>
        <v/>
      </c>
      <c r="Q182" t="str">
        <f>IFERROR(ROUNDUP(VLOOKUP($C182,装備品!$1:$998,COLUMN(M$1),FALSE)*(VLOOKUP($D182,素材!$1:$1002,COLUMN(D$1),FALSE)/100),1),"")</f>
        <v/>
      </c>
      <c r="R182" t="str">
        <f>IFERROR(ROUNDUP(VLOOKUP($C182,装備品!$1:$998,COLUMN(N$1),FALSE)*(VLOOKUP($D182,素材!$1:$1002,COLUMN(D$1),FALSE)/100),1),"")</f>
        <v/>
      </c>
      <c r="S182">
        <f>IFERROR(VLOOKUP($C182,装備品!$1:$998,COLUMN(P$1),FALSE),"")</f>
        <v>0</v>
      </c>
      <c r="T182">
        <f>IFERROR(VLOOKUP($C182,装備品!$1:$998,COLUMN(Q$1),FALSE),"")</f>
        <v>0</v>
      </c>
      <c r="U182">
        <f>IFERROR(VLOOKUP($C182,装備品!$1:$998,COLUMN(R$1),FALSE),"")</f>
        <v>0</v>
      </c>
      <c r="V182">
        <f>IFERROR(VLOOKUP($C182,装備品!$1:$998,COLUMN(Q$1),FALSE),"")</f>
        <v>0</v>
      </c>
      <c r="W182">
        <f>IFERROR(VLOOKUP($C182,装備品!$1:$998,COLUMN(T$1),FALSE),"")</f>
        <v>0</v>
      </c>
      <c r="Y182">
        <f>IFERROR(VLOOKUP($C182,装備品!$1:$998,COLUMN(U$1),FALSE),"")</f>
        <v>2</v>
      </c>
      <c r="Z182" t="str">
        <f>IFERROR(ROUNDUP(VLOOKUP($C182,装備品!$1:$998,COLUMN(O$1),FALSE)*VLOOKUP($D182,素材!$1:$1016,COLUMN(E$1),FALSE),1),"")</f>
        <v/>
      </c>
      <c r="AA182">
        <f>IF(ISNUMBER(SEARCH(SUBSTITUTE(AA$1,RIGHT(AA$1,2),""),VLOOKUP($D182,素材!$1:$1016,COLUMN($F$1),FALSE))),VLOOKUP($C182,装備品!$1:$998,COLUMN($O$1),FALSE)*VLOOKUP($D182,素材!$1:$1016,COLUMN($E$1),FALSE)/(LEN(VLOOKUP($D182,素材!$1:$1016,COLUMN($F$1),FALSE))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IFERROR(VLOOKUP($C182,装備品!$1:$998,COLUMN(V$1),FALSE)*VLOOKUP($D182,素材!$1:$1016,COLUMN(N$1),FALSE)+IF(CI182="",0,VLOOKUP($CI182,付与!$1:$1176,COLUMN($CK$1),FALSE)),"")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IFERROR(VLOOKUP($D183,素材!$1:$1016,COLUMN($B$1),FALSE)&amp;"・"&amp;VLOOKUP($C183,装備品!$1:$998,COLUMN(B$1),FALSE),"")</f>
        <v/>
      </c>
      <c r="C183" t="s">
        <v>216</v>
      </c>
      <c r="D183" s="24" t="s">
        <v>243</v>
      </c>
      <c r="E183" t="str">
        <f>IFERROR(VLOOKUP(C183,装備品!$1:$998,COLUMN(C$1),FALSE),"")</f>
        <v>武器</v>
      </c>
      <c r="F183" t="str">
        <f>IFERROR(ROUNDDOWN((VLOOKUP($C183,装備品!$1:$998,COLUMN(D$1),FALSE)+IFERROR(VLOOKUP($CI183,付与!$1:$1167,COLUMN(F$1),FALSE),0))*VLOOKUP($D183,素材!$1:$1016,COLUMN(D$1),FALSE),0),"")</f>
        <v/>
      </c>
      <c r="G183" t="str">
        <f>IFERROR(ROUNDDOWN((VLOOKUP($C183,装備品!$1:$998,COLUMN(E$1),FALSE)+IFERROR(VLOOKUP($CI183,付与!$1:$1167,COLUMN(G$1),FALSE),0))*VLOOKUP($D183,素材!$1:$1016,COLUMN($E$1),FALSE),0),"")</f>
        <v/>
      </c>
      <c r="H183" t="str">
        <f>IFERROR(ROUNDDOWN((VLOOKUP($C183,装備品!$1:$998,COLUMN(F$1),FALSE)+IFERROR(VLOOKUP($CI183,付与!$1:$1167,COLUMN(H$1),FALSE),0))*VLOOKUP($D183,素材!$1:$1016,COLUMN($E$1),FALSE),0),"")</f>
        <v/>
      </c>
      <c r="I183" t="str">
        <f>IFERROR(ROUNDDOWN((VLOOKUP($C183,装備品!$1:$998,COLUMN(G$1),FALSE)+IFERROR(VLOOKUP($CI183,付与!$1:$1167,COLUMN(I$1),FALSE),0))*VLOOKUP($D183,素材!$1:$1016,COLUMN($E$1),FALSE),0),"")</f>
        <v/>
      </c>
      <c r="J183" t="str">
        <f>IFERROR(ROUNDDOWN((VLOOKUP($C183,装備品!$1:$998,COLUMN(H$1),FALSE)+IFERROR(VLOOKUP($CI183,付与!$1:$1167,COLUMN(J$1),FALSE),0))*VLOOKUP($D183,素材!$1:$1016,COLUMN($E$1),FALSE),0),"")</f>
        <v/>
      </c>
      <c r="K183" t="str">
        <f>IFERROR(ROUNDDOWN((VLOOKUP($C183,装備品!$1:$998,COLUMN(I$1),FALSE)+IFERROR(VLOOKUP($CI183,付与!$1:$1167,COLUMN(K$1),FALSE),0))*VLOOKUP($D183,素材!$1:$1016,COLUMN($E$1),FALSE),0),"")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IFERROR(VLOOKUP($C183,装備品!$1:$998,COLUMN(AA$1),FALSE)*VLOOKUP($D183,素材!$1:$1016,COLUMN($G$1),FALSE),"")</f>
        <v/>
      </c>
      <c r="N183">
        <f>IFERROR(VLOOKUP($C183,装備品!$1:$998,COLUMN(I$1),FALSE),"")</f>
        <v>1.1499999999999999</v>
      </c>
      <c r="O183" s="23" t="str">
        <f>IFERROR((VLOOKUP($C183,装備品!$1:$998,COLUMN(K$1),FALSE)+VLOOKUP($D183,素材!$1:$1016,COLUMN(H$1),FALSE))*100+IFERROR(VLOOKUP($CI183,付与!$1:$1167,COLUMN(O$1),FALSE),0),"")</f>
        <v/>
      </c>
      <c r="P183" s="23" t="str">
        <f>IFERROR((VLOOKUP($C183,装備品!$1:$998,COLUMN(L$1),FALSE)+VLOOKUP($D183,素材!$1:$1016,COLUMN(I$1),FALSE))*100+IFERROR(VLOOKUP($CI183,付与!$1:$1167,COLUMN(P$1),FALSE),0),"")</f>
        <v/>
      </c>
      <c r="Q183" t="str">
        <f>IFERROR(ROUNDUP(VLOOKUP($C183,装備品!$1:$998,COLUMN(M$1),FALSE)*(VLOOKUP($D183,素材!$1:$1002,COLUMN(D$1),FALSE)/100),1),"")</f>
        <v/>
      </c>
      <c r="R183" t="str">
        <f>IFERROR(ROUNDUP(VLOOKUP($C183,装備品!$1:$998,COLUMN(N$1),FALSE)*(VLOOKUP($D183,素材!$1:$1002,COLUMN(D$1),FALSE)/100),1),"")</f>
        <v/>
      </c>
      <c r="S183">
        <f>IFERROR(VLOOKUP($C183,装備品!$1:$998,COLUMN(P$1),FALSE),"")</f>
        <v>0</v>
      </c>
      <c r="T183">
        <f>IFERROR(VLOOKUP($C183,装備品!$1:$998,COLUMN(Q$1),FALSE),"")</f>
        <v>0</v>
      </c>
      <c r="U183">
        <f>IFERROR(VLOOKUP($C183,装備品!$1:$998,COLUMN(R$1),FALSE),"")</f>
        <v>0</v>
      </c>
      <c r="V183">
        <f>IFERROR(VLOOKUP($C183,装備品!$1:$998,COLUMN(Q$1),FALSE),"")</f>
        <v>0</v>
      </c>
      <c r="W183">
        <f>IFERROR(VLOOKUP($C183,装備品!$1:$998,COLUMN(T$1),FALSE),"")</f>
        <v>0</v>
      </c>
      <c r="Y183">
        <f>IFERROR(VLOOKUP($C183,装備品!$1:$998,COLUMN(U$1),FALSE),"")</f>
        <v>2</v>
      </c>
      <c r="Z183" t="str">
        <f>IFERROR(ROUNDUP(VLOOKUP($C183,装備品!$1:$998,COLUMN(O$1),FALSE)*VLOOKUP($D183,素材!$1:$1016,COLUMN(E$1),FALSE),1),"")</f>
        <v/>
      </c>
      <c r="AA183">
        <f>IF(ISNUMBER(SEARCH(SUBSTITUTE(AA$1,RIGHT(AA$1,2),""),VLOOKUP($D183,素材!$1:$1016,COLUMN($F$1),FALSE))),VLOOKUP($C183,装備品!$1:$998,COLUMN($O$1),FALSE)*VLOOKUP($D183,素材!$1:$1016,COLUMN($E$1),FALSE)/(LEN(VLOOKUP($D183,素材!$1:$1016,COLUMN($F$1),FALSE))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IFERROR(VLOOKUP($C183,装備品!$1:$998,COLUMN(V$1),FALSE)*VLOOKUP($D183,素材!$1:$1016,COLUMN(N$1),FALSE)+IF(CI183="",0,VLOOKUP($CI183,付与!$1:$1176,COLUMN($CK$1),FALSE)),"")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IFERROR(VLOOKUP($D184,素材!$1:$1016,COLUMN($B$1),FALSE)&amp;"・"&amp;VLOOKUP($C184,装備品!$1:$998,COLUMN(B$1),FALSE),"")</f>
        <v/>
      </c>
      <c r="C184" t="s">
        <v>215</v>
      </c>
      <c r="D184" s="24" t="s">
        <v>243</v>
      </c>
      <c r="E184" t="str">
        <f>IFERROR(VLOOKUP(C184,装備品!$1:$998,COLUMN(C$1),FALSE),"")</f>
        <v>杖</v>
      </c>
      <c r="F184" t="str">
        <f>IFERROR(ROUNDDOWN((VLOOKUP($C184,装備品!$1:$998,COLUMN(D$1),FALSE)+IFERROR(VLOOKUP($CI184,付与!$1:$1167,COLUMN(F$1),FALSE),0))*VLOOKUP($D184,素材!$1:$1016,COLUMN(D$1),FALSE),0),"")</f>
        <v/>
      </c>
      <c r="G184" t="str">
        <f>IFERROR(ROUNDDOWN((VLOOKUP($C184,装備品!$1:$998,COLUMN(E$1),FALSE)+IFERROR(VLOOKUP($CI184,付与!$1:$1167,COLUMN(G$1),FALSE),0))*VLOOKUP($D184,素材!$1:$1016,COLUMN($E$1),FALSE),0),"")</f>
        <v/>
      </c>
      <c r="H184" t="str">
        <f>IFERROR(ROUNDDOWN((VLOOKUP($C184,装備品!$1:$998,COLUMN(F$1),FALSE)+IFERROR(VLOOKUP($CI184,付与!$1:$1167,COLUMN(H$1),FALSE),0))*VLOOKUP($D184,素材!$1:$1016,COLUMN($E$1),FALSE),0),"")</f>
        <v/>
      </c>
      <c r="I184" t="str">
        <f>IFERROR(ROUNDDOWN((VLOOKUP($C184,装備品!$1:$998,COLUMN(G$1),FALSE)+IFERROR(VLOOKUP($CI184,付与!$1:$1167,COLUMN(I$1),FALSE),0))*VLOOKUP($D184,素材!$1:$1016,COLUMN($E$1),FALSE),0),"")</f>
        <v/>
      </c>
      <c r="J184" t="str">
        <f>IFERROR(ROUNDDOWN((VLOOKUP($C184,装備品!$1:$998,COLUMN(H$1),FALSE)+IFERROR(VLOOKUP($CI184,付与!$1:$1167,COLUMN(J$1),FALSE),0))*VLOOKUP($D184,素材!$1:$1016,COLUMN($E$1),FALSE),0),"")</f>
        <v/>
      </c>
      <c r="K184" t="str">
        <f>IFERROR(ROUNDDOWN((VLOOKUP($C184,装備品!$1:$998,COLUMN(I$1),FALSE)+IFERROR(VLOOKUP($CI184,付与!$1:$1167,COLUMN(K$1),FALSE),0))*VLOOKUP($D184,素材!$1:$1016,COLUMN($E$1),FALSE),0),"")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IFERROR(VLOOKUP($C184,装備品!$1:$998,COLUMN(AA$1),FALSE)*VLOOKUP($D184,素材!$1:$1016,COLUMN($G$1),FALSE),"")</f>
        <v/>
      </c>
      <c r="N184">
        <f>IFERROR(VLOOKUP($C184,装備品!$1:$998,COLUMN(I$1),FALSE),"")</f>
        <v>0</v>
      </c>
      <c r="O184" s="23" t="str">
        <f>IFERROR((VLOOKUP($C184,装備品!$1:$998,COLUMN(K$1),FALSE)+VLOOKUP($D184,素材!$1:$1016,COLUMN(H$1),FALSE))*100+IFERROR(VLOOKUP($CI184,付与!$1:$1167,COLUMN(O$1),FALSE),0),"")</f>
        <v/>
      </c>
      <c r="P184" s="23" t="str">
        <f>IFERROR((VLOOKUP($C184,装備品!$1:$998,COLUMN(L$1),FALSE)+VLOOKUP($D184,素材!$1:$1016,COLUMN(I$1),FALSE))*100+IFERROR(VLOOKUP($CI184,付与!$1:$1167,COLUMN(P$1),FALSE),0),"")</f>
        <v/>
      </c>
      <c r="Q184" t="str">
        <f>IFERROR(ROUNDUP(VLOOKUP($C184,装備品!$1:$998,COLUMN(M$1),FALSE)*(VLOOKUP($D184,素材!$1:$1002,COLUMN(D$1),FALSE)/100),1),"")</f>
        <v/>
      </c>
      <c r="R184" t="str">
        <f>IFERROR(ROUNDUP(VLOOKUP($C184,装備品!$1:$998,COLUMN(N$1),FALSE)*(VLOOKUP($D184,素材!$1:$1002,COLUMN(D$1),FALSE)/100),1),"")</f>
        <v/>
      </c>
      <c r="S184">
        <f>IFERROR(VLOOKUP($C184,装備品!$1:$998,COLUMN(P$1),FALSE),"")</f>
        <v>0</v>
      </c>
      <c r="T184">
        <f>IFERROR(VLOOKUP($C184,装備品!$1:$998,COLUMN(Q$1),FALSE),"")</f>
        <v>0</v>
      </c>
      <c r="U184">
        <f>IFERROR(VLOOKUP($C184,装備品!$1:$998,COLUMN(R$1),FALSE),"")</f>
        <v>0</v>
      </c>
      <c r="V184">
        <f>IFERROR(VLOOKUP($C184,装備品!$1:$998,COLUMN(Q$1),FALSE),"")</f>
        <v>0</v>
      </c>
      <c r="W184">
        <f>IFERROR(VLOOKUP($C184,装備品!$1:$998,COLUMN(T$1),FALSE),"")</f>
        <v>0</v>
      </c>
      <c r="Y184">
        <f>IFERROR(VLOOKUP($C184,装備品!$1:$998,COLUMN(U$1),FALSE),"")</f>
        <v>0</v>
      </c>
      <c r="Z184" t="str">
        <f>IFERROR(ROUNDUP(VLOOKUP($C184,装備品!$1:$998,COLUMN(O$1),FALSE)*VLOOKUP($D184,素材!$1:$1016,COLUMN(E$1),FALSE),1),"")</f>
        <v/>
      </c>
      <c r="AA184">
        <f>IF(ISNUMBER(SEARCH(SUBSTITUTE(AA$1,RIGHT(AA$1,2),""),VLOOKUP($D184,素材!$1:$1016,COLUMN($F$1),FALSE))),VLOOKUP($C184,装備品!$1:$998,COLUMN($O$1),FALSE)*VLOOKUP($D184,素材!$1:$1016,COLUMN($E$1),FALSE)/(LEN(VLOOKUP($D184,素材!$1:$1016,COLUMN($F$1),FALSE))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IFERROR(VLOOKUP($C184,装備品!$1:$998,COLUMN(V$1),FALSE)*VLOOKUP($D184,素材!$1:$1016,COLUMN(N$1),FALSE)+IF(CI184="",0,VLOOKUP($CI184,付与!$1:$1176,COLUMN($CK$1),FALSE)),"")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IFERROR(VLOOKUP($D185,素材!$1:$1016,COLUMN($B$1),FALSE)&amp;"・"&amp;VLOOKUP($C185,装備品!$1:$998,COLUMN(B$1),FALSE),"")</f>
        <v/>
      </c>
      <c r="C185" t="s">
        <v>214</v>
      </c>
      <c r="D185" s="24" t="s">
        <v>243</v>
      </c>
      <c r="E185" t="str">
        <f>IFERROR(VLOOKUP(C185,装備品!$1:$998,COLUMN(C$1),FALSE),"")</f>
        <v>杖</v>
      </c>
      <c r="F185" t="str">
        <f>IFERROR(ROUNDDOWN((VLOOKUP($C185,装備品!$1:$998,COLUMN(D$1),FALSE)+IFERROR(VLOOKUP($CI185,付与!$1:$1167,COLUMN(F$1),FALSE),0))*VLOOKUP($D185,素材!$1:$1016,COLUMN(D$1),FALSE),0),"")</f>
        <v/>
      </c>
      <c r="G185" t="str">
        <f>IFERROR(ROUNDDOWN((VLOOKUP($C185,装備品!$1:$998,COLUMN(E$1),FALSE)+IFERROR(VLOOKUP($CI185,付与!$1:$1167,COLUMN(G$1),FALSE),0))*VLOOKUP($D185,素材!$1:$1016,COLUMN($E$1),FALSE),0),"")</f>
        <v/>
      </c>
      <c r="H185" t="str">
        <f>IFERROR(ROUNDDOWN((VLOOKUP($C185,装備品!$1:$998,COLUMN(F$1),FALSE)+IFERROR(VLOOKUP($CI185,付与!$1:$1167,COLUMN(H$1),FALSE),0))*VLOOKUP($D185,素材!$1:$1016,COLUMN($E$1),FALSE),0),"")</f>
        <v/>
      </c>
      <c r="I185" t="str">
        <f>IFERROR(ROUNDDOWN((VLOOKUP($C185,装備品!$1:$998,COLUMN(G$1),FALSE)+IFERROR(VLOOKUP($CI185,付与!$1:$1167,COLUMN(I$1),FALSE),0))*VLOOKUP($D185,素材!$1:$1016,COLUMN($E$1),FALSE),0),"")</f>
        <v/>
      </c>
      <c r="J185" t="str">
        <f>IFERROR(ROUNDDOWN((VLOOKUP($C185,装備品!$1:$998,COLUMN(H$1),FALSE)+IFERROR(VLOOKUP($CI185,付与!$1:$1167,COLUMN(J$1),FALSE),0))*VLOOKUP($D185,素材!$1:$1016,COLUMN($E$1),FALSE),0),"")</f>
        <v/>
      </c>
      <c r="K185" t="str">
        <f>IFERROR(ROUNDDOWN((VLOOKUP($C185,装備品!$1:$998,COLUMN(I$1),FALSE)+IFERROR(VLOOKUP($CI185,付与!$1:$1167,COLUMN(K$1),FALSE),0))*VLOOKUP($D185,素材!$1:$1016,COLUMN($E$1),FALSE),0),"")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IFERROR(VLOOKUP($C185,装備品!$1:$998,COLUMN(AA$1),FALSE)*VLOOKUP($D185,素材!$1:$1016,COLUMN($G$1),FALSE),"")</f>
        <v/>
      </c>
      <c r="N185">
        <f>IFERROR(VLOOKUP($C185,装備品!$1:$998,COLUMN(I$1),FALSE),"")</f>
        <v>0</v>
      </c>
      <c r="O185" s="23" t="str">
        <f>IFERROR((VLOOKUP($C185,装備品!$1:$998,COLUMN(K$1),FALSE)+VLOOKUP($D185,素材!$1:$1016,COLUMN(H$1),FALSE))*100+IFERROR(VLOOKUP($CI185,付与!$1:$1167,COLUMN(O$1),FALSE),0),"")</f>
        <v/>
      </c>
      <c r="P185" s="23" t="str">
        <f>IFERROR((VLOOKUP($C185,装備品!$1:$998,COLUMN(L$1),FALSE)+VLOOKUP($D185,素材!$1:$1016,COLUMN(I$1),FALSE))*100+IFERROR(VLOOKUP($CI185,付与!$1:$1167,COLUMN(P$1),FALSE),0),"")</f>
        <v/>
      </c>
      <c r="Q185" t="str">
        <f>IFERROR(ROUNDUP(VLOOKUP($C185,装備品!$1:$998,COLUMN(M$1),FALSE)*(VLOOKUP($D185,素材!$1:$1002,COLUMN(D$1),FALSE)/100),1),"")</f>
        <v/>
      </c>
      <c r="R185" t="str">
        <f>IFERROR(ROUNDUP(VLOOKUP($C185,装備品!$1:$998,COLUMN(N$1),FALSE)*(VLOOKUP($D185,素材!$1:$1002,COLUMN(D$1),FALSE)/100),1),"")</f>
        <v/>
      </c>
      <c r="S185">
        <f>IFERROR(VLOOKUP($C185,装備品!$1:$998,COLUMN(P$1),FALSE),"")</f>
        <v>0</v>
      </c>
      <c r="T185">
        <f>IFERROR(VLOOKUP($C185,装備品!$1:$998,COLUMN(Q$1),FALSE),"")</f>
        <v>0</v>
      </c>
      <c r="U185">
        <f>IFERROR(VLOOKUP($C185,装備品!$1:$998,COLUMN(R$1),FALSE),"")</f>
        <v>0</v>
      </c>
      <c r="V185">
        <f>IFERROR(VLOOKUP($C185,装備品!$1:$998,COLUMN(Q$1),FALSE),"")</f>
        <v>0</v>
      </c>
      <c r="W185">
        <f>IFERROR(VLOOKUP($C185,装備品!$1:$998,COLUMN(T$1),FALSE),"")</f>
        <v>0</v>
      </c>
      <c r="Y185">
        <f>IFERROR(VLOOKUP($C185,装備品!$1:$998,COLUMN(U$1),FALSE),"")</f>
        <v>0</v>
      </c>
      <c r="Z185" t="str">
        <f>IFERROR(ROUNDUP(VLOOKUP($C185,装備品!$1:$998,COLUMN(O$1),FALSE)*VLOOKUP($D185,素材!$1:$1016,COLUMN(E$1),FALSE),1),"")</f>
        <v/>
      </c>
      <c r="AA185">
        <f>IF(ISNUMBER(SEARCH(SUBSTITUTE(AA$1,RIGHT(AA$1,2),""),VLOOKUP($D185,素材!$1:$1016,COLUMN($F$1),FALSE))),VLOOKUP($C185,装備品!$1:$998,COLUMN($O$1),FALSE)*VLOOKUP($D185,素材!$1:$1016,COLUMN($E$1),FALSE)/(LEN(VLOOKUP($D185,素材!$1:$1016,COLUMN($F$1),FALSE))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IFERROR(VLOOKUP($C185,装備品!$1:$998,COLUMN(V$1),FALSE)*VLOOKUP($D185,素材!$1:$1016,COLUMN(N$1),FALSE)+IF(CI185="",0,VLOOKUP($CI185,付与!$1:$1176,COLUMN($CK$1),FALSE)),"")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IFERROR(VLOOKUP($D186,素材!$1:$1016,COLUMN($B$1),FALSE)&amp;"・"&amp;VLOOKUP($C186,装備品!$1:$998,COLUMN(B$1),FALSE),"")</f>
        <v/>
      </c>
      <c r="C186" t="s">
        <v>213</v>
      </c>
      <c r="D186" s="24" t="s">
        <v>243</v>
      </c>
      <c r="E186" t="str">
        <f>IFERROR(VLOOKUP(C186,装備品!$1:$998,COLUMN(C$1),FALSE),"")</f>
        <v>銃</v>
      </c>
      <c r="F186" t="str">
        <f>IFERROR(ROUNDDOWN((VLOOKUP($C186,装備品!$1:$998,COLUMN(D$1),FALSE)+IFERROR(VLOOKUP($CI186,付与!$1:$1167,COLUMN(F$1),FALSE),0))*VLOOKUP($D186,素材!$1:$1016,COLUMN(D$1),FALSE),0),"")</f>
        <v/>
      </c>
      <c r="G186" t="str">
        <f>IFERROR(ROUNDDOWN((VLOOKUP($C186,装備品!$1:$998,COLUMN(E$1),FALSE)+IFERROR(VLOOKUP($CI186,付与!$1:$1167,COLUMN(G$1),FALSE),0))*VLOOKUP($D186,素材!$1:$1016,COLUMN($E$1),FALSE),0),"")</f>
        <v/>
      </c>
      <c r="H186" t="str">
        <f>IFERROR(ROUNDDOWN((VLOOKUP($C186,装備品!$1:$998,COLUMN(F$1),FALSE)+IFERROR(VLOOKUP($CI186,付与!$1:$1167,COLUMN(H$1),FALSE),0))*VLOOKUP($D186,素材!$1:$1016,COLUMN($E$1),FALSE),0),"")</f>
        <v/>
      </c>
      <c r="I186" t="str">
        <f>IFERROR(ROUNDDOWN((VLOOKUP($C186,装備品!$1:$998,COLUMN(G$1),FALSE)+IFERROR(VLOOKUP($CI186,付与!$1:$1167,COLUMN(I$1),FALSE),0))*VLOOKUP($D186,素材!$1:$1016,COLUMN($E$1),FALSE),0),"")</f>
        <v/>
      </c>
      <c r="J186" t="str">
        <f>IFERROR(ROUNDDOWN((VLOOKUP($C186,装備品!$1:$998,COLUMN(H$1),FALSE)+IFERROR(VLOOKUP($CI186,付与!$1:$1167,COLUMN(J$1),FALSE),0))*VLOOKUP($D186,素材!$1:$1016,COLUMN($E$1),FALSE),0),"")</f>
        <v/>
      </c>
      <c r="K186" t="str">
        <f>IFERROR(ROUNDDOWN((VLOOKUP($C186,装備品!$1:$998,COLUMN(I$1),FALSE)+IFERROR(VLOOKUP($CI186,付与!$1:$1167,COLUMN(K$1),FALSE),0))*VLOOKUP($D186,素材!$1:$1016,COLUMN($E$1),FALSE),0),"")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IFERROR(VLOOKUP($C186,装備品!$1:$998,COLUMN(AA$1),FALSE)*VLOOKUP($D186,素材!$1:$1016,COLUMN($G$1),FALSE),"")</f>
        <v/>
      </c>
      <c r="N186">
        <f>IFERROR(VLOOKUP($C186,装備品!$1:$998,COLUMN(I$1),FALSE),"")</f>
        <v>2.7</v>
      </c>
      <c r="O186" s="23" t="str">
        <f>IFERROR((VLOOKUP($C186,装備品!$1:$998,COLUMN(K$1),FALSE)+VLOOKUP($D186,素材!$1:$1016,COLUMN(H$1),FALSE))*100+IFERROR(VLOOKUP($CI186,付与!$1:$1167,COLUMN(O$1),FALSE),0),"")</f>
        <v/>
      </c>
      <c r="P186" s="23" t="str">
        <f>IFERROR((VLOOKUP($C186,装備品!$1:$998,COLUMN(L$1),FALSE)+VLOOKUP($D186,素材!$1:$1016,COLUMN(I$1),FALSE))*100+IFERROR(VLOOKUP($CI186,付与!$1:$1167,COLUMN(P$1),FALSE),0),"")</f>
        <v/>
      </c>
      <c r="Q186" t="str">
        <f>IFERROR(ROUNDUP(VLOOKUP($C186,装備品!$1:$998,COLUMN(M$1),FALSE)*(VLOOKUP($D186,素材!$1:$1002,COLUMN(D$1),FALSE)/100),1),"")</f>
        <v/>
      </c>
      <c r="R186" t="str">
        <f>IFERROR(ROUNDUP(VLOOKUP($C186,装備品!$1:$998,COLUMN(N$1),FALSE)*(VLOOKUP($D186,素材!$1:$1002,COLUMN(D$1),FALSE)/100),1),"")</f>
        <v/>
      </c>
      <c r="S186">
        <f>IFERROR(VLOOKUP($C186,装備品!$1:$998,COLUMN(P$1),FALSE),"")</f>
        <v>0</v>
      </c>
      <c r="T186">
        <f>IFERROR(VLOOKUP($C186,装備品!$1:$998,COLUMN(Q$1),FALSE),"")</f>
        <v>0</v>
      </c>
      <c r="U186">
        <f>IFERROR(VLOOKUP($C186,装備品!$1:$998,COLUMN(R$1),FALSE),"")</f>
        <v>0</v>
      </c>
      <c r="V186">
        <f>IFERROR(VLOOKUP($C186,装備品!$1:$998,COLUMN(Q$1),FALSE),"")</f>
        <v>0</v>
      </c>
      <c r="W186">
        <f>IFERROR(VLOOKUP($C186,装備品!$1:$998,COLUMN(T$1),FALSE),"")</f>
        <v>0</v>
      </c>
      <c r="Y186">
        <f>IFERROR(VLOOKUP($C186,装備品!$1:$998,COLUMN(U$1),FALSE),"")</f>
        <v>0</v>
      </c>
      <c r="Z186" t="str">
        <f>IFERROR(ROUNDUP(VLOOKUP($C186,装備品!$1:$998,COLUMN(O$1),FALSE)*VLOOKUP($D186,素材!$1:$1016,COLUMN(E$1),FALSE),1),"")</f>
        <v/>
      </c>
      <c r="AA186">
        <f>IF(ISNUMBER(SEARCH(SUBSTITUTE(AA$1,RIGHT(AA$1,2),""),VLOOKUP($D186,素材!$1:$1016,COLUMN($F$1),FALSE))),VLOOKUP($C186,装備品!$1:$998,COLUMN($O$1),FALSE)*VLOOKUP($D186,素材!$1:$1016,COLUMN($E$1),FALSE)/(LEN(VLOOKUP($D186,素材!$1:$1016,COLUMN($F$1),FALSE))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IFERROR(VLOOKUP($C186,装備品!$1:$998,COLUMN(V$1),FALSE)*VLOOKUP($D186,素材!$1:$1016,COLUMN(N$1),FALSE)+IF(CI186="",0,VLOOKUP($CI186,付与!$1:$1176,COLUMN($CK$1),FALSE)),"")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IFERROR(VLOOKUP($D187,素材!$1:$1016,COLUMN($B$1),FALSE)&amp;"・"&amp;VLOOKUP($C187,装備品!$1:$998,COLUMN(B$1),FALSE),"")</f>
        <v/>
      </c>
      <c r="C187" t="s">
        <v>212</v>
      </c>
      <c r="D187" s="24" t="s">
        <v>243</v>
      </c>
      <c r="E187" t="str">
        <f>IFERROR(VLOOKUP(C187,装備品!$1:$998,COLUMN(C$1),FALSE),"")</f>
        <v>銃</v>
      </c>
      <c r="F187" t="str">
        <f>IFERROR(ROUNDDOWN((VLOOKUP($C187,装備品!$1:$998,COLUMN(D$1),FALSE)+IFERROR(VLOOKUP($CI187,付与!$1:$1167,COLUMN(F$1),FALSE),0))*VLOOKUP($D187,素材!$1:$1016,COLUMN(D$1),FALSE),0),"")</f>
        <v/>
      </c>
      <c r="G187" t="str">
        <f>IFERROR(ROUNDDOWN((VLOOKUP($C187,装備品!$1:$998,COLUMN(E$1),FALSE)+IFERROR(VLOOKUP($CI187,付与!$1:$1167,COLUMN(G$1),FALSE),0))*VLOOKUP($D187,素材!$1:$1016,COLUMN($E$1),FALSE),0),"")</f>
        <v/>
      </c>
      <c r="H187" t="str">
        <f>IFERROR(ROUNDDOWN((VLOOKUP($C187,装備品!$1:$998,COLUMN(F$1),FALSE)+IFERROR(VLOOKUP($CI187,付与!$1:$1167,COLUMN(H$1),FALSE),0))*VLOOKUP($D187,素材!$1:$1016,COLUMN($E$1),FALSE),0),"")</f>
        <v/>
      </c>
      <c r="I187" t="str">
        <f>IFERROR(ROUNDDOWN((VLOOKUP($C187,装備品!$1:$998,COLUMN(G$1),FALSE)+IFERROR(VLOOKUP($CI187,付与!$1:$1167,COLUMN(I$1),FALSE),0))*VLOOKUP($D187,素材!$1:$1016,COLUMN($E$1),FALSE),0),"")</f>
        <v/>
      </c>
      <c r="J187" t="str">
        <f>IFERROR(ROUNDDOWN((VLOOKUP($C187,装備品!$1:$998,COLUMN(H$1),FALSE)+IFERROR(VLOOKUP($CI187,付与!$1:$1167,COLUMN(J$1),FALSE),0))*VLOOKUP($D187,素材!$1:$1016,COLUMN($E$1),FALSE),0),"")</f>
        <v/>
      </c>
      <c r="K187" t="str">
        <f>IFERROR(ROUNDDOWN((VLOOKUP($C187,装備品!$1:$998,COLUMN(I$1),FALSE)+IFERROR(VLOOKUP($CI187,付与!$1:$1167,COLUMN(K$1),FALSE),0))*VLOOKUP($D187,素材!$1:$1016,COLUMN($E$1),FALSE),0),"")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IFERROR(VLOOKUP($C187,装備品!$1:$998,COLUMN(AA$1),FALSE)*VLOOKUP($D187,素材!$1:$1016,COLUMN($G$1),FALSE),"")</f>
        <v/>
      </c>
      <c r="N187">
        <f>IFERROR(VLOOKUP($C187,装備品!$1:$998,COLUMN(I$1),FALSE),"")</f>
        <v>3.9</v>
      </c>
      <c r="O187" s="23" t="str">
        <f>IFERROR((VLOOKUP($C187,装備品!$1:$998,COLUMN(K$1),FALSE)+VLOOKUP($D187,素材!$1:$1016,COLUMN(H$1),FALSE))*100+IFERROR(VLOOKUP($CI187,付与!$1:$1167,COLUMN(O$1),FALSE),0),"")</f>
        <v/>
      </c>
      <c r="P187" s="23" t="str">
        <f>IFERROR((VLOOKUP($C187,装備品!$1:$998,COLUMN(L$1),FALSE)+VLOOKUP($D187,素材!$1:$1016,COLUMN(I$1),FALSE))*100+IFERROR(VLOOKUP($CI187,付与!$1:$1167,COLUMN(P$1),FALSE),0),"")</f>
        <v/>
      </c>
      <c r="Q187" t="str">
        <f>IFERROR(ROUNDUP(VLOOKUP($C187,装備品!$1:$998,COLUMN(M$1),FALSE)*(VLOOKUP($D187,素材!$1:$1002,COLUMN(D$1),FALSE)/100),1),"")</f>
        <v/>
      </c>
      <c r="R187" t="str">
        <f>IFERROR(ROUNDUP(VLOOKUP($C187,装備品!$1:$998,COLUMN(N$1),FALSE)*(VLOOKUP($D187,素材!$1:$1002,COLUMN(D$1),FALSE)/100),1),"")</f>
        <v/>
      </c>
      <c r="S187">
        <f>IFERROR(VLOOKUP($C187,装備品!$1:$998,COLUMN(P$1),FALSE),"")</f>
        <v>0</v>
      </c>
      <c r="T187">
        <f>IFERROR(VLOOKUP($C187,装備品!$1:$998,COLUMN(Q$1),FALSE),"")</f>
        <v>0</v>
      </c>
      <c r="U187">
        <f>IFERROR(VLOOKUP($C187,装備品!$1:$998,COLUMN(R$1),FALSE),"")</f>
        <v>0</v>
      </c>
      <c r="V187">
        <f>IFERROR(VLOOKUP($C187,装備品!$1:$998,COLUMN(Q$1),FALSE),"")</f>
        <v>0</v>
      </c>
      <c r="W187">
        <f>IFERROR(VLOOKUP($C187,装備品!$1:$998,COLUMN(T$1),FALSE),"")</f>
        <v>0</v>
      </c>
      <c r="Y187">
        <f>IFERROR(VLOOKUP($C187,装備品!$1:$998,COLUMN(U$1),FALSE),"")</f>
        <v>0</v>
      </c>
      <c r="Z187" t="str">
        <f>IFERROR(ROUNDUP(VLOOKUP($C187,装備品!$1:$998,COLUMN(O$1),FALSE)*VLOOKUP($D187,素材!$1:$1016,COLUMN(E$1),FALSE),1),"")</f>
        <v/>
      </c>
      <c r="AA187">
        <f>IF(ISNUMBER(SEARCH(SUBSTITUTE(AA$1,RIGHT(AA$1,2),""),VLOOKUP($D187,素材!$1:$1016,COLUMN($F$1),FALSE))),VLOOKUP($C187,装備品!$1:$998,COLUMN($O$1),FALSE)*VLOOKUP($D187,素材!$1:$1016,COLUMN($E$1),FALSE)/(LEN(VLOOKUP($D187,素材!$1:$1016,COLUMN($F$1),FALSE))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IFERROR(VLOOKUP($C187,装備品!$1:$998,COLUMN(V$1),FALSE)*VLOOKUP($D187,素材!$1:$1016,COLUMN(N$1),FALSE)+IF(CI187="",0,VLOOKUP($CI187,付与!$1:$1176,COLUMN($CK$1),FALSE)),"")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IFERROR(VLOOKUP($D188,素材!$1:$1016,COLUMN($B$1),FALSE)&amp;"・"&amp;VLOOKUP($C188,装備品!$1:$998,COLUMN(B$1),FALSE),"")</f>
        <v/>
      </c>
      <c r="C188" t="s">
        <v>211</v>
      </c>
      <c r="D188" s="24" t="s">
        <v>243</v>
      </c>
      <c r="E188" t="str">
        <f>IFERROR(VLOOKUP(C188,装備品!$1:$998,COLUMN(C$1),FALSE),"")</f>
        <v>銃</v>
      </c>
      <c r="F188" t="str">
        <f>IFERROR(ROUNDDOWN((VLOOKUP($C188,装備品!$1:$998,COLUMN(D$1),FALSE)+IFERROR(VLOOKUP($CI188,付与!$1:$1167,COLUMN(F$1),FALSE),0))*VLOOKUP($D188,素材!$1:$1016,COLUMN(D$1),FALSE),0),"")</f>
        <v/>
      </c>
      <c r="G188" t="str">
        <f>IFERROR(ROUNDDOWN((VLOOKUP($C188,装備品!$1:$998,COLUMN(E$1),FALSE)+IFERROR(VLOOKUP($CI188,付与!$1:$1167,COLUMN(G$1),FALSE),0))*VLOOKUP($D188,素材!$1:$1016,COLUMN($E$1),FALSE),0),"")</f>
        <v/>
      </c>
      <c r="H188" t="str">
        <f>IFERROR(ROUNDDOWN((VLOOKUP($C188,装備品!$1:$998,COLUMN(F$1),FALSE)+IFERROR(VLOOKUP($CI188,付与!$1:$1167,COLUMN(H$1),FALSE),0))*VLOOKUP($D188,素材!$1:$1016,COLUMN($E$1),FALSE),0),"")</f>
        <v/>
      </c>
      <c r="I188" t="str">
        <f>IFERROR(ROUNDDOWN((VLOOKUP($C188,装備品!$1:$998,COLUMN(G$1),FALSE)+IFERROR(VLOOKUP($CI188,付与!$1:$1167,COLUMN(I$1),FALSE),0))*VLOOKUP($D188,素材!$1:$1016,COLUMN($E$1),FALSE),0),"")</f>
        <v/>
      </c>
      <c r="J188" t="str">
        <f>IFERROR(ROUNDDOWN((VLOOKUP($C188,装備品!$1:$998,COLUMN(H$1),FALSE)+IFERROR(VLOOKUP($CI188,付与!$1:$1167,COLUMN(J$1),FALSE),0))*VLOOKUP($D188,素材!$1:$1016,COLUMN($E$1),FALSE),0),"")</f>
        <v/>
      </c>
      <c r="K188" t="str">
        <f>IFERROR(ROUNDDOWN((VLOOKUP($C188,装備品!$1:$998,COLUMN(I$1),FALSE)+IFERROR(VLOOKUP($CI188,付与!$1:$1167,COLUMN(K$1),FALSE),0))*VLOOKUP($D188,素材!$1:$1016,COLUMN($E$1),FALSE),0),"")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IFERROR(VLOOKUP($C188,装備品!$1:$998,COLUMN(AA$1),FALSE)*VLOOKUP($D188,素材!$1:$1016,COLUMN($G$1),FALSE),"")</f>
        <v/>
      </c>
      <c r="N188">
        <f>IFERROR(VLOOKUP($C188,装備品!$1:$998,COLUMN(I$1),FALSE),"")</f>
        <v>2.5700000000000003</v>
      </c>
      <c r="O188" s="23" t="str">
        <f>IFERROR((VLOOKUP($C188,装備品!$1:$998,COLUMN(K$1),FALSE)+VLOOKUP($D188,素材!$1:$1016,COLUMN(H$1),FALSE))*100+IFERROR(VLOOKUP($CI188,付与!$1:$1167,COLUMN(O$1),FALSE),0),"")</f>
        <v/>
      </c>
      <c r="P188" s="23" t="str">
        <f>IFERROR((VLOOKUP($C188,装備品!$1:$998,COLUMN(L$1),FALSE)+VLOOKUP($D188,素材!$1:$1016,COLUMN(I$1),FALSE))*100+IFERROR(VLOOKUP($CI188,付与!$1:$1167,COLUMN(P$1),FALSE),0),"")</f>
        <v/>
      </c>
      <c r="Q188" t="str">
        <f>IFERROR(ROUNDUP(VLOOKUP($C188,装備品!$1:$998,COLUMN(M$1),FALSE)*(VLOOKUP($D188,素材!$1:$1002,COLUMN(D$1),FALSE)/100),1),"")</f>
        <v/>
      </c>
      <c r="R188" t="str">
        <f>IFERROR(ROUNDUP(VLOOKUP($C188,装備品!$1:$998,COLUMN(N$1),FALSE)*(VLOOKUP($D188,素材!$1:$1002,COLUMN(D$1),FALSE)/100),1),"")</f>
        <v/>
      </c>
      <c r="S188">
        <f>IFERROR(VLOOKUP($C188,装備品!$1:$998,COLUMN(P$1),FALSE),"")</f>
        <v>0</v>
      </c>
      <c r="T188">
        <f>IFERROR(VLOOKUP($C188,装備品!$1:$998,COLUMN(Q$1),FALSE),"")</f>
        <v>0</v>
      </c>
      <c r="U188">
        <f>IFERROR(VLOOKUP($C188,装備品!$1:$998,COLUMN(R$1),FALSE),"")</f>
        <v>0</v>
      </c>
      <c r="V188">
        <f>IFERROR(VLOOKUP($C188,装備品!$1:$998,COLUMN(Q$1),FALSE),"")</f>
        <v>0</v>
      </c>
      <c r="W188">
        <f>IFERROR(VLOOKUP($C188,装備品!$1:$998,COLUMN(T$1),FALSE),"")</f>
        <v>0</v>
      </c>
      <c r="Y188">
        <f>IFERROR(VLOOKUP($C188,装備品!$1:$998,COLUMN(U$1),FALSE),"")</f>
        <v>0</v>
      </c>
      <c r="Z188" t="str">
        <f>IFERROR(ROUNDUP(VLOOKUP($C188,装備品!$1:$998,COLUMN(O$1),FALSE)*VLOOKUP($D188,素材!$1:$1016,COLUMN(E$1),FALSE),1),"")</f>
        <v/>
      </c>
      <c r="AA188">
        <f>IF(ISNUMBER(SEARCH(SUBSTITUTE(AA$1,RIGHT(AA$1,2),""),VLOOKUP($D188,素材!$1:$1016,COLUMN($F$1),FALSE))),VLOOKUP($C188,装備品!$1:$998,COLUMN($O$1),FALSE)*VLOOKUP($D188,素材!$1:$1016,COLUMN($E$1),FALSE)/(LEN(VLOOKUP($D188,素材!$1:$1016,COLUMN($F$1),FALSE))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IFERROR(VLOOKUP($C188,装備品!$1:$998,COLUMN(V$1),FALSE)*VLOOKUP($D188,素材!$1:$1016,COLUMN(N$1),FALSE)+IF(CI188="",0,VLOOKUP($CI188,付与!$1:$1176,COLUMN($CK$1),FALSE)),"")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IFERROR(VLOOKUP($D189,素材!$1:$1016,COLUMN($B$1),FALSE)&amp;"・"&amp;VLOOKUP($C189,装備品!$1:$998,COLUMN(B$1),FALSE),"")</f>
        <v/>
      </c>
      <c r="C189" t="s">
        <v>210</v>
      </c>
      <c r="D189" s="24" t="s">
        <v>243</v>
      </c>
      <c r="E189" t="str">
        <f>IFERROR(VLOOKUP(C189,装備品!$1:$998,COLUMN(C$1),FALSE),"")</f>
        <v>銃</v>
      </c>
      <c r="F189" t="str">
        <f>IFERROR(ROUNDDOWN((VLOOKUP($C189,装備品!$1:$998,COLUMN(D$1),FALSE)+IFERROR(VLOOKUP($CI189,付与!$1:$1167,COLUMN(F$1),FALSE),0))*VLOOKUP($D189,素材!$1:$1016,COLUMN(D$1),FALSE),0),"")</f>
        <v/>
      </c>
      <c r="G189" t="str">
        <f>IFERROR(ROUNDDOWN((VLOOKUP($C189,装備品!$1:$998,COLUMN(E$1),FALSE)+IFERROR(VLOOKUP($CI189,付与!$1:$1167,COLUMN(G$1),FALSE),0))*VLOOKUP($D189,素材!$1:$1016,COLUMN($E$1),FALSE),0),"")</f>
        <v/>
      </c>
      <c r="H189" t="str">
        <f>IFERROR(ROUNDDOWN((VLOOKUP($C189,装備品!$1:$998,COLUMN(F$1),FALSE)+IFERROR(VLOOKUP($CI189,付与!$1:$1167,COLUMN(H$1),FALSE),0))*VLOOKUP($D189,素材!$1:$1016,COLUMN($E$1),FALSE),0),"")</f>
        <v/>
      </c>
      <c r="I189" t="str">
        <f>IFERROR(ROUNDDOWN((VLOOKUP($C189,装備品!$1:$998,COLUMN(G$1),FALSE)+IFERROR(VLOOKUP($CI189,付与!$1:$1167,COLUMN(I$1),FALSE),0))*VLOOKUP($D189,素材!$1:$1016,COLUMN($E$1),FALSE),0),"")</f>
        <v/>
      </c>
      <c r="J189" t="str">
        <f>IFERROR(ROUNDDOWN((VLOOKUP($C189,装備品!$1:$998,COLUMN(H$1),FALSE)+IFERROR(VLOOKUP($CI189,付与!$1:$1167,COLUMN(J$1),FALSE),0))*VLOOKUP($D189,素材!$1:$1016,COLUMN($E$1),FALSE),0),"")</f>
        <v/>
      </c>
      <c r="K189" t="str">
        <f>IFERROR(ROUNDDOWN((VLOOKUP($C189,装備品!$1:$998,COLUMN(I$1),FALSE)+IFERROR(VLOOKUP($CI189,付与!$1:$1167,COLUMN(K$1),FALSE),0))*VLOOKUP($D189,素材!$1:$1016,COLUMN($E$1),FALSE),0),"")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IFERROR(VLOOKUP($C189,装備品!$1:$998,COLUMN(AA$1),FALSE)*VLOOKUP($D189,素材!$1:$1016,COLUMN($G$1),FALSE),"")</f>
        <v/>
      </c>
      <c r="N189">
        <f>IFERROR(VLOOKUP($C189,装備品!$1:$998,COLUMN(I$1),FALSE),"")</f>
        <v>1.8</v>
      </c>
      <c r="O189" s="23" t="str">
        <f>IFERROR((VLOOKUP($C189,装備品!$1:$998,COLUMN(K$1),FALSE)+VLOOKUP($D189,素材!$1:$1016,COLUMN(H$1),FALSE))*100+IFERROR(VLOOKUP($CI189,付与!$1:$1167,COLUMN(O$1),FALSE),0),"")</f>
        <v/>
      </c>
      <c r="P189" s="23" t="str">
        <f>IFERROR((VLOOKUP($C189,装備品!$1:$998,COLUMN(L$1),FALSE)+VLOOKUP($D189,素材!$1:$1016,COLUMN(I$1),FALSE))*100+IFERROR(VLOOKUP($CI189,付与!$1:$1167,COLUMN(P$1),FALSE),0),"")</f>
        <v/>
      </c>
      <c r="Q189" t="str">
        <f>IFERROR(ROUNDUP(VLOOKUP($C189,装備品!$1:$998,COLUMN(M$1),FALSE)*(VLOOKUP($D189,素材!$1:$1002,COLUMN(D$1),FALSE)/100),1),"")</f>
        <v/>
      </c>
      <c r="R189" t="str">
        <f>IFERROR(ROUNDUP(VLOOKUP($C189,装備品!$1:$998,COLUMN(N$1),FALSE)*(VLOOKUP($D189,素材!$1:$1002,COLUMN(D$1),FALSE)/100),1),"")</f>
        <v/>
      </c>
      <c r="S189">
        <f>IFERROR(VLOOKUP($C189,装備品!$1:$998,COLUMN(P$1),FALSE),"")</f>
        <v>0</v>
      </c>
      <c r="T189">
        <f>IFERROR(VLOOKUP($C189,装備品!$1:$998,COLUMN(Q$1),FALSE),"")</f>
        <v>0</v>
      </c>
      <c r="U189">
        <f>IFERROR(VLOOKUP($C189,装備品!$1:$998,COLUMN(R$1),FALSE),"")</f>
        <v>0</v>
      </c>
      <c r="V189">
        <f>IFERROR(VLOOKUP($C189,装備品!$1:$998,COLUMN(Q$1),FALSE),"")</f>
        <v>0</v>
      </c>
      <c r="W189">
        <f>IFERROR(VLOOKUP($C189,装備品!$1:$998,COLUMN(T$1),FALSE),"")</f>
        <v>0</v>
      </c>
      <c r="Y189">
        <f>IFERROR(VLOOKUP($C189,装備品!$1:$998,COLUMN(U$1),FALSE),"")</f>
        <v>0</v>
      </c>
      <c r="Z189" t="str">
        <f>IFERROR(ROUNDUP(VLOOKUP($C189,装備品!$1:$998,COLUMN(O$1),FALSE)*VLOOKUP($D189,素材!$1:$1016,COLUMN(E$1),FALSE),1),"")</f>
        <v/>
      </c>
      <c r="AA189">
        <f>IF(ISNUMBER(SEARCH(SUBSTITUTE(AA$1,RIGHT(AA$1,2),""),VLOOKUP($D189,素材!$1:$1016,COLUMN($F$1),FALSE))),VLOOKUP($C189,装備品!$1:$998,COLUMN($O$1),FALSE)*VLOOKUP($D189,素材!$1:$1016,COLUMN($E$1),FALSE)/(LEN(VLOOKUP($D189,素材!$1:$1016,COLUMN($F$1),FALSE))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IFERROR(VLOOKUP($C189,装備品!$1:$998,COLUMN(V$1),FALSE)*VLOOKUP($D189,素材!$1:$1016,COLUMN(N$1),FALSE)+IF(CI189="",0,VLOOKUP($CI189,付与!$1:$1176,COLUMN($CK$1),FALSE)),"")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IFERROR(VLOOKUP($D190,素材!$1:$1016,COLUMN($B$1),FALSE)&amp;"・"&amp;VLOOKUP($C190,装備品!$1:$998,COLUMN(B$1),FALSE),"")</f>
        <v/>
      </c>
      <c r="C190" t="s">
        <v>209</v>
      </c>
      <c r="D190" s="24" t="s">
        <v>243</v>
      </c>
      <c r="E190" t="str">
        <f>IFERROR(VLOOKUP(C190,装備品!$1:$998,COLUMN(C$1),FALSE),"")</f>
        <v>頭</v>
      </c>
      <c r="F190" t="str">
        <f>IFERROR(ROUNDDOWN((VLOOKUP($C190,装備品!$1:$998,COLUMN(D$1),FALSE)+IFERROR(VLOOKUP($CI190,付与!$1:$1167,COLUMN(F$1),FALSE),0))*VLOOKUP($D190,素材!$1:$1016,COLUMN(D$1),FALSE),0),"")</f>
        <v/>
      </c>
      <c r="G190" t="str">
        <f>IFERROR(ROUNDDOWN((VLOOKUP($C190,装備品!$1:$998,COLUMN(E$1),FALSE)+IFERROR(VLOOKUP($CI190,付与!$1:$1167,COLUMN(G$1),FALSE),0))*VLOOKUP($D190,素材!$1:$1016,COLUMN($E$1),FALSE),0),"")</f>
        <v/>
      </c>
      <c r="H190" t="str">
        <f>IFERROR(ROUNDDOWN((VLOOKUP($C190,装備品!$1:$998,COLUMN(F$1),FALSE)+IFERROR(VLOOKUP($CI190,付与!$1:$1167,COLUMN(H$1),FALSE),0))*VLOOKUP($D190,素材!$1:$1016,COLUMN($E$1),FALSE),0),"")</f>
        <v/>
      </c>
      <c r="I190" t="str">
        <f>IFERROR(ROUNDDOWN((VLOOKUP($C190,装備品!$1:$998,COLUMN(G$1),FALSE)+IFERROR(VLOOKUP($CI190,付与!$1:$1167,COLUMN(I$1),FALSE),0))*VLOOKUP($D190,素材!$1:$1016,COLUMN($E$1),FALSE),0),"")</f>
        <v/>
      </c>
      <c r="J190" t="str">
        <f>IFERROR(ROUNDDOWN((VLOOKUP($C190,装備品!$1:$998,COLUMN(H$1),FALSE)+IFERROR(VLOOKUP($CI190,付与!$1:$1167,COLUMN(J$1),FALSE),0))*VLOOKUP($D190,素材!$1:$1016,COLUMN($E$1),FALSE),0),"")</f>
        <v/>
      </c>
      <c r="K190" t="str">
        <f>IFERROR(ROUNDDOWN((VLOOKUP($C190,装備品!$1:$998,COLUMN(I$1),FALSE)+IFERROR(VLOOKUP($CI190,付与!$1:$1167,COLUMN(K$1),FALSE),0))*VLOOKUP($D190,素材!$1:$1016,COLUMN($E$1),FALSE),0),"")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IFERROR(VLOOKUP($C190,装備品!$1:$998,COLUMN(AA$1),FALSE)*VLOOKUP($D190,素材!$1:$1016,COLUMN($G$1),FALSE),"")</f>
        <v/>
      </c>
      <c r="N190">
        <f>IFERROR(VLOOKUP($C190,装備品!$1:$998,COLUMN(I$1),FALSE),"")</f>
        <v>0</v>
      </c>
      <c r="O190" s="23" t="str">
        <f>IFERROR((VLOOKUP($C190,装備品!$1:$998,COLUMN(K$1),FALSE)+VLOOKUP($D190,素材!$1:$1016,COLUMN(H$1),FALSE))*100+IFERROR(VLOOKUP($CI190,付与!$1:$1167,COLUMN(O$1),FALSE),0),"")</f>
        <v/>
      </c>
      <c r="P190" s="23" t="str">
        <f>IFERROR((VLOOKUP($C190,装備品!$1:$998,COLUMN(L$1),FALSE)+VLOOKUP($D190,素材!$1:$1016,COLUMN(I$1),FALSE))*100+IFERROR(VLOOKUP($CI190,付与!$1:$1167,COLUMN(P$1),FALSE),0),"")</f>
        <v/>
      </c>
      <c r="Q190" t="str">
        <f>IFERROR(ROUNDUP(VLOOKUP($C190,装備品!$1:$998,COLUMN(M$1),FALSE)*(VLOOKUP($D190,素材!$1:$1002,COLUMN(D$1),FALSE)/100),1),"")</f>
        <v/>
      </c>
      <c r="R190" t="str">
        <f>IFERROR(ROUNDUP(VLOOKUP($C190,装備品!$1:$998,COLUMN(N$1),FALSE)*(VLOOKUP($D190,素材!$1:$1002,COLUMN(D$1),FALSE)/100),1),"")</f>
        <v/>
      </c>
      <c r="S190">
        <f>IFERROR(VLOOKUP($C190,装備品!$1:$998,COLUMN(P$1),FALSE),"")</f>
        <v>0</v>
      </c>
      <c r="T190">
        <f>IFERROR(VLOOKUP($C190,装備品!$1:$998,COLUMN(Q$1),FALSE),"")</f>
        <v>0</v>
      </c>
      <c r="U190">
        <f>IFERROR(VLOOKUP($C190,装備品!$1:$998,COLUMN(R$1),FALSE),"")</f>
        <v>0</v>
      </c>
      <c r="V190">
        <f>IFERROR(VLOOKUP($C190,装備品!$1:$998,COLUMN(Q$1),FALSE),"")</f>
        <v>0</v>
      </c>
      <c r="W190">
        <f>IFERROR(VLOOKUP($C190,装備品!$1:$998,COLUMN(T$1),FALSE),"")</f>
        <v>0.35</v>
      </c>
      <c r="Y190">
        <f>IFERROR(VLOOKUP($C190,装備品!$1:$998,COLUMN(U$1),FALSE),"")</f>
        <v>0</v>
      </c>
      <c r="Z190" t="str">
        <f>IFERROR(ROUNDUP(VLOOKUP($C190,装備品!$1:$998,COLUMN(O$1),FALSE)*VLOOKUP($D190,素材!$1:$1016,COLUMN(E$1),FALSE),1),"")</f>
        <v/>
      </c>
      <c r="AA190">
        <f>IF(ISNUMBER(SEARCH(SUBSTITUTE(AA$1,RIGHT(AA$1,2),""),VLOOKUP($D190,素材!$1:$1016,COLUMN($F$1),FALSE))),VLOOKUP($C190,装備品!$1:$998,COLUMN($O$1),FALSE)*VLOOKUP($D190,素材!$1:$1016,COLUMN($E$1),FALSE)/(LEN(VLOOKUP($D190,素材!$1:$1016,COLUMN($F$1),FALSE))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IFERROR(VLOOKUP($C190,装備品!$1:$998,COLUMN(V$1),FALSE)*VLOOKUP($D190,素材!$1:$1016,COLUMN(N$1),FALSE)+IF(CI190="",0,VLOOKUP($CI190,付与!$1:$1176,COLUMN($CK$1),FALSE)),"")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IFERROR(VLOOKUP($D191,素材!$1:$1016,COLUMN($B$1),FALSE)&amp;"・"&amp;VLOOKUP($C191,装備品!$1:$998,COLUMN(B$1),FALSE),"")</f>
        <v/>
      </c>
      <c r="C191" t="s">
        <v>208</v>
      </c>
      <c r="D191" s="24" t="s">
        <v>243</v>
      </c>
      <c r="E191" t="str">
        <f>IFERROR(VLOOKUP(C191,装備品!$1:$998,COLUMN(C$1),FALSE),"")</f>
        <v>頭</v>
      </c>
      <c r="F191" t="str">
        <f>IFERROR(ROUNDDOWN((VLOOKUP($C191,装備品!$1:$998,COLUMN(D$1),FALSE)+IFERROR(VLOOKUP($CI191,付与!$1:$1167,COLUMN(F$1),FALSE),0))*VLOOKUP($D191,素材!$1:$1016,COLUMN(D$1),FALSE),0),"")</f>
        <v/>
      </c>
      <c r="G191" t="str">
        <f>IFERROR(ROUNDDOWN((VLOOKUP($C191,装備品!$1:$998,COLUMN(E$1),FALSE)+IFERROR(VLOOKUP($CI191,付与!$1:$1167,COLUMN(G$1),FALSE),0))*VLOOKUP($D191,素材!$1:$1016,COLUMN($E$1),FALSE),0),"")</f>
        <v/>
      </c>
      <c r="H191" t="str">
        <f>IFERROR(ROUNDDOWN((VLOOKUP($C191,装備品!$1:$998,COLUMN(F$1),FALSE)+IFERROR(VLOOKUP($CI191,付与!$1:$1167,COLUMN(H$1),FALSE),0))*VLOOKUP($D191,素材!$1:$1016,COLUMN($E$1),FALSE),0),"")</f>
        <v/>
      </c>
      <c r="I191" t="str">
        <f>IFERROR(ROUNDDOWN((VLOOKUP($C191,装備品!$1:$998,COLUMN(G$1),FALSE)+IFERROR(VLOOKUP($CI191,付与!$1:$1167,COLUMN(I$1),FALSE),0))*VLOOKUP($D191,素材!$1:$1016,COLUMN($E$1),FALSE),0),"")</f>
        <v/>
      </c>
      <c r="J191" t="str">
        <f>IFERROR(ROUNDDOWN((VLOOKUP($C191,装備品!$1:$998,COLUMN(H$1),FALSE)+IFERROR(VLOOKUP($CI191,付与!$1:$1167,COLUMN(J$1),FALSE),0))*VLOOKUP($D191,素材!$1:$1016,COLUMN($E$1),FALSE),0),"")</f>
        <v/>
      </c>
      <c r="K191" t="str">
        <f>IFERROR(ROUNDDOWN((VLOOKUP($C191,装備品!$1:$998,COLUMN(I$1),FALSE)+IFERROR(VLOOKUP($CI191,付与!$1:$1167,COLUMN(K$1),FALSE),0))*VLOOKUP($D191,素材!$1:$1016,COLUMN($E$1),FALSE),0),"")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IFERROR(VLOOKUP($C191,装備品!$1:$998,COLUMN(AA$1),FALSE)*VLOOKUP($D191,素材!$1:$1016,COLUMN($G$1),FALSE),"")</f>
        <v/>
      </c>
      <c r="N191">
        <f>IFERROR(VLOOKUP($C191,装備品!$1:$998,COLUMN(I$1),FALSE),"")</f>
        <v>0</v>
      </c>
      <c r="O191" s="23" t="str">
        <f>IFERROR((VLOOKUP($C191,装備品!$1:$998,COLUMN(K$1),FALSE)+VLOOKUP($D191,素材!$1:$1016,COLUMN(H$1),FALSE))*100+IFERROR(VLOOKUP($CI191,付与!$1:$1167,COLUMN(O$1),FALSE),0),"")</f>
        <v/>
      </c>
      <c r="P191" s="23" t="str">
        <f>IFERROR((VLOOKUP($C191,装備品!$1:$998,COLUMN(L$1),FALSE)+VLOOKUP($D191,素材!$1:$1016,COLUMN(I$1),FALSE))*100+IFERROR(VLOOKUP($CI191,付与!$1:$1167,COLUMN(P$1),FALSE),0),"")</f>
        <v/>
      </c>
      <c r="Q191" t="str">
        <f>IFERROR(ROUNDUP(VLOOKUP($C191,装備品!$1:$998,COLUMN(M$1),FALSE)*(VLOOKUP($D191,素材!$1:$1002,COLUMN(D$1),FALSE)/100),1),"")</f>
        <v/>
      </c>
      <c r="R191" t="str">
        <f>IFERROR(ROUNDUP(VLOOKUP($C191,装備品!$1:$998,COLUMN(N$1),FALSE)*(VLOOKUP($D191,素材!$1:$1002,COLUMN(D$1),FALSE)/100),1),"")</f>
        <v/>
      </c>
      <c r="S191">
        <f>IFERROR(VLOOKUP($C191,装備品!$1:$998,COLUMN(P$1),FALSE),"")</f>
        <v>0</v>
      </c>
      <c r="T191">
        <f>IFERROR(VLOOKUP($C191,装備品!$1:$998,COLUMN(Q$1),FALSE),"")</f>
        <v>0</v>
      </c>
      <c r="U191">
        <f>IFERROR(VLOOKUP($C191,装備品!$1:$998,COLUMN(R$1),FALSE),"")</f>
        <v>0</v>
      </c>
      <c r="V191">
        <f>IFERROR(VLOOKUP($C191,装備品!$1:$998,COLUMN(Q$1),FALSE),"")</f>
        <v>0</v>
      </c>
      <c r="W191">
        <f>IFERROR(VLOOKUP($C191,装備品!$1:$998,COLUMN(T$1),FALSE),"")</f>
        <v>0.25</v>
      </c>
      <c r="Y191">
        <f>IFERROR(VLOOKUP($C191,装備品!$1:$998,COLUMN(U$1),FALSE),"")</f>
        <v>0</v>
      </c>
      <c r="Z191" t="str">
        <f>IFERROR(ROUNDUP(VLOOKUP($C191,装備品!$1:$998,COLUMN(O$1),FALSE)*VLOOKUP($D191,素材!$1:$1016,COLUMN(E$1),FALSE),1),"")</f>
        <v/>
      </c>
      <c r="AA191">
        <f>IF(ISNUMBER(SEARCH(SUBSTITUTE(AA$1,RIGHT(AA$1,2),""),VLOOKUP($D191,素材!$1:$1016,COLUMN($F$1),FALSE))),VLOOKUP($C191,装備品!$1:$998,COLUMN($O$1),FALSE)*VLOOKUP($D191,素材!$1:$1016,COLUMN($E$1),FALSE)/(LEN(VLOOKUP($D191,素材!$1:$1016,COLUMN($F$1),FALSE))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IFERROR(VLOOKUP($C191,装備品!$1:$998,COLUMN(V$1),FALSE)*VLOOKUP($D191,素材!$1:$1016,COLUMN(N$1),FALSE)+IF(CI191="",0,VLOOKUP($CI191,付与!$1:$1176,COLUMN($CK$1),FALSE)),"")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IFERROR(VLOOKUP($D192,素材!$1:$1016,COLUMN($B$1),FALSE)&amp;"・"&amp;VLOOKUP($C192,装備品!$1:$998,COLUMN(B$1),FALSE),"")</f>
        <v/>
      </c>
      <c r="C192" t="s">
        <v>207</v>
      </c>
      <c r="D192" s="24" t="s">
        <v>243</v>
      </c>
      <c r="E192" t="str">
        <f>IFERROR(VLOOKUP(C192,装備品!$1:$998,COLUMN(C$1),FALSE),"")</f>
        <v>体</v>
      </c>
      <c r="F192" t="str">
        <f>IFERROR(ROUNDDOWN((VLOOKUP($C192,装備品!$1:$998,COLUMN(D$1),FALSE)+IFERROR(VLOOKUP($CI192,付与!$1:$1167,COLUMN(F$1),FALSE),0))*VLOOKUP($D192,素材!$1:$1016,COLUMN(D$1),FALSE),0),"")</f>
        <v/>
      </c>
      <c r="G192" t="str">
        <f>IFERROR(ROUNDDOWN((VLOOKUP($C192,装備品!$1:$998,COLUMN(E$1),FALSE)+IFERROR(VLOOKUP($CI192,付与!$1:$1167,COLUMN(G$1),FALSE),0))*VLOOKUP($D192,素材!$1:$1016,COLUMN($E$1),FALSE),0),"")</f>
        <v/>
      </c>
      <c r="H192" t="str">
        <f>IFERROR(ROUNDDOWN((VLOOKUP($C192,装備品!$1:$998,COLUMN(F$1),FALSE)+IFERROR(VLOOKUP($CI192,付与!$1:$1167,COLUMN(H$1),FALSE),0))*VLOOKUP($D192,素材!$1:$1016,COLUMN($E$1),FALSE),0),"")</f>
        <v/>
      </c>
      <c r="I192" t="str">
        <f>IFERROR(ROUNDDOWN((VLOOKUP($C192,装備品!$1:$998,COLUMN(G$1),FALSE)+IFERROR(VLOOKUP($CI192,付与!$1:$1167,COLUMN(I$1),FALSE),0))*VLOOKUP($D192,素材!$1:$1016,COLUMN($E$1),FALSE),0),"")</f>
        <v/>
      </c>
      <c r="J192" t="str">
        <f>IFERROR(ROUNDDOWN((VLOOKUP($C192,装備品!$1:$998,COLUMN(H$1),FALSE)+IFERROR(VLOOKUP($CI192,付与!$1:$1167,COLUMN(J$1),FALSE),0))*VLOOKUP($D192,素材!$1:$1016,COLUMN($E$1),FALSE),0),"")</f>
        <v/>
      </c>
      <c r="K192" t="str">
        <f>IFERROR(ROUNDDOWN((VLOOKUP($C192,装備品!$1:$998,COLUMN(I$1),FALSE)+IFERROR(VLOOKUP($CI192,付与!$1:$1167,COLUMN(K$1),FALSE),0))*VLOOKUP($D192,素材!$1:$1016,COLUMN($E$1),FALSE),0),"")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IFERROR(VLOOKUP($C192,装備品!$1:$998,COLUMN(AA$1),FALSE)*VLOOKUP($D192,素材!$1:$1016,COLUMN($G$1),FALSE),"")</f>
        <v/>
      </c>
      <c r="N192">
        <f>IFERROR(VLOOKUP($C192,装備品!$1:$998,COLUMN(I$1),FALSE),"")</f>
        <v>0</v>
      </c>
      <c r="O192" s="23" t="str">
        <f>IFERROR((VLOOKUP($C192,装備品!$1:$998,COLUMN(K$1),FALSE)+VLOOKUP($D192,素材!$1:$1016,COLUMN(H$1),FALSE))*100+IFERROR(VLOOKUP($CI192,付与!$1:$1167,COLUMN(O$1),FALSE),0),"")</f>
        <v/>
      </c>
      <c r="P192" s="23" t="str">
        <f>IFERROR((VLOOKUP($C192,装備品!$1:$998,COLUMN(L$1),FALSE)+VLOOKUP($D192,素材!$1:$1016,COLUMN(I$1),FALSE))*100+IFERROR(VLOOKUP($CI192,付与!$1:$1167,COLUMN(P$1),FALSE),0),"")</f>
        <v/>
      </c>
      <c r="Q192" t="str">
        <f>IFERROR(ROUNDUP(VLOOKUP($C192,装備品!$1:$998,COLUMN(M$1),FALSE)*(VLOOKUP($D192,素材!$1:$1002,COLUMN(D$1),FALSE)/100),1),"")</f>
        <v/>
      </c>
      <c r="R192" t="str">
        <f>IFERROR(ROUNDUP(VLOOKUP($C192,装備品!$1:$998,COLUMN(N$1),FALSE)*(VLOOKUP($D192,素材!$1:$1002,COLUMN(D$1),FALSE)/100),1),"")</f>
        <v/>
      </c>
      <c r="S192">
        <f>IFERROR(VLOOKUP($C192,装備品!$1:$998,COLUMN(P$1),FALSE),"")</f>
        <v>-35</v>
      </c>
      <c r="T192">
        <f>IFERROR(VLOOKUP($C192,装備品!$1:$998,COLUMN(Q$1),FALSE),"")</f>
        <v>0</v>
      </c>
      <c r="U192">
        <f>IFERROR(VLOOKUP($C192,装備品!$1:$998,COLUMN(R$1),FALSE),"")</f>
        <v>0</v>
      </c>
      <c r="V192">
        <f>IFERROR(VLOOKUP($C192,装備品!$1:$998,COLUMN(Q$1),FALSE),"")</f>
        <v>0</v>
      </c>
      <c r="W192">
        <f>IFERROR(VLOOKUP($C192,装備品!$1:$998,COLUMN(T$1),FALSE),"")</f>
        <v>0.7</v>
      </c>
      <c r="Y192">
        <f>IFERROR(VLOOKUP($C192,装備品!$1:$998,COLUMN(U$1),FALSE),"")</f>
        <v>0</v>
      </c>
      <c r="Z192" t="str">
        <f>IFERROR(ROUNDUP(VLOOKUP($C192,装備品!$1:$998,COLUMN(O$1),FALSE)*VLOOKUP($D192,素材!$1:$1016,COLUMN(E$1),FALSE),1),"")</f>
        <v/>
      </c>
      <c r="AA192">
        <f>IF(ISNUMBER(SEARCH(SUBSTITUTE(AA$1,RIGHT(AA$1,2),""),VLOOKUP($D192,素材!$1:$1016,COLUMN($F$1),FALSE))),VLOOKUP($C192,装備品!$1:$998,COLUMN($O$1),FALSE)*VLOOKUP($D192,素材!$1:$1016,COLUMN($E$1),FALSE)/(LEN(VLOOKUP($D192,素材!$1:$1016,COLUMN($F$1),FALSE))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IFERROR(VLOOKUP($C192,装備品!$1:$998,COLUMN(V$1),FALSE)*VLOOKUP($D192,素材!$1:$1016,COLUMN(N$1),FALSE)+IF(CI192="",0,VLOOKUP($CI192,付与!$1:$1176,COLUMN($CK$1),FALSE)),"")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IFERROR(VLOOKUP($D193,素材!$1:$1016,COLUMN($B$1),FALSE)&amp;"・"&amp;VLOOKUP($C193,装備品!$1:$998,COLUMN(B$1),FALSE),"")</f>
        <v/>
      </c>
      <c r="C193" t="s">
        <v>206</v>
      </c>
      <c r="D193" s="24" t="s">
        <v>243</v>
      </c>
      <c r="E193" t="str">
        <f>IFERROR(VLOOKUP(C193,装備品!$1:$998,COLUMN(C$1),FALSE),"")</f>
        <v>体</v>
      </c>
      <c r="F193" t="str">
        <f>IFERROR(ROUNDDOWN((VLOOKUP($C193,装備品!$1:$998,COLUMN(D$1),FALSE)+IFERROR(VLOOKUP($CI193,付与!$1:$1167,COLUMN(F$1),FALSE),0))*VLOOKUP($D193,素材!$1:$1016,COLUMN(D$1),FALSE),0),"")</f>
        <v/>
      </c>
      <c r="G193" t="str">
        <f>IFERROR(ROUNDDOWN((VLOOKUP($C193,装備品!$1:$998,COLUMN(E$1),FALSE)+IFERROR(VLOOKUP($CI193,付与!$1:$1167,COLUMN(G$1),FALSE),0))*VLOOKUP($D193,素材!$1:$1016,COLUMN($E$1),FALSE),0),"")</f>
        <v/>
      </c>
      <c r="H193" t="str">
        <f>IFERROR(ROUNDDOWN((VLOOKUP($C193,装備品!$1:$998,COLUMN(F$1),FALSE)+IFERROR(VLOOKUP($CI193,付与!$1:$1167,COLUMN(H$1),FALSE),0))*VLOOKUP($D193,素材!$1:$1016,COLUMN($E$1),FALSE),0),"")</f>
        <v/>
      </c>
      <c r="I193" t="str">
        <f>IFERROR(ROUNDDOWN((VLOOKUP($C193,装備品!$1:$998,COLUMN(G$1),FALSE)+IFERROR(VLOOKUP($CI193,付与!$1:$1167,COLUMN(I$1),FALSE),0))*VLOOKUP($D193,素材!$1:$1016,COLUMN($E$1),FALSE),0),"")</f>
        <v/>
      </c>
      <c r="J193" t="str">
        <f>IFERROR(ROUNDDOWN((VLOOKUP($C193,装備品!$1:$998,COLUMN(H$1),FALSE)+IFERROR(VLOOKUP($CI193,付与!$1:$1167,COLUMN(J$1),FALSE),0))*VLOOKUP($D193,素材!$1:$1016,COLUMN($E$1),FALSE),0),"")</f>
        <v/>
      </c>
      <c r="K193" t="str">
        <f>IFERROR(ROUNDDOWN((VLOOKUP($C193,装備品!$1:$998,COLUMN(I$1),FALSE)+IFERROR(VLOOKUP($CI193,付与!$1:$1167,COLUMN(K$1),FALSE),0))*VLOOKUP($D193,素材!$1:$1016,COLUMN($E$1),FALSE),0),"")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IFERROR(VLOOKUP($C193,装備品!$1:$998,COLUMN(AA$1),FALSE)*VLOOKUP($D193,素材!$1:$1016,COLUMN($G$1),FALSE),"")</f>
        <v/>
      </c>
      <c r="N193">
        <f>IFERROR(VLOOKUP($C193,装備品!$1:$998,COLUMN(I$1),FALSE),"")</f>
        <v>0</v>
      </c>
      <c r="O193" s="23" t="str">
        <f>IFERROR((VLOOKUP($C193,装備品!$1:$998,COLUMN(K$1),FALSE)+VLOOKUP($D193,素材!$1:$1016,COLUMN(H$1),FALSE))*100+IFERROR(VLOOKUP($CI193,付与!$1:$1167,COLUMN(O$1),FALSE),0),"")</f>
        <v/>
      </c>
      <c r="P193" s="23" t="str">
        <f>IFERROR((VLOOKUP($C193,装備品!$1:$998,COLUMN(L$1),FALSE)+VLOOKUP($D193,素材!$1:$1016,COLUMN(I$1),FALSE))*100+IFERROR(VLOOKUP($CI193,付与!$1:$1167,COLUMN(P$1),FALSE),0),"")</f>
        <v/>
      </c>
      <c r="Q193" t="str">
        <f>IFERROR(ROUNDUP(VLOOKUP($C193,装備品!$1:$998,COLUMN(M$1),FALSE)*(VLOOKUP($D193,素材!$1:$1002,COLUMN(D$1),FALSE)/100),1),"")</f>
        <v/>
      </c>
      <c r="R193" t="str">
        <f>IFERROR(ROUNDUP(VLOOKUP($C193,装備品!$1:$998,COLUMN(N$1),FALSE)*(VLOOKUP($D193,素材!$1:$1002,COLUMN(D$1),FALSE)/100),1),"")</f>
        <v/>
      </c>
      <c r="S193">
        <f>IFERROR(VLOOKUP($C193,装備品!$1:$998,COLUMN(P$1),FALSE),"")</f>
        <v>-15</v>
      </c>
      <c r="T193">
        <f>IFERROR(VLOOKUP($C193,装備品!$1:$998,COLUMN(Q$1),FALSE),"")</f>
        <v>0</v>
      </c>
      <c r="U193">
        <f>IFERROR(VLOOKUP($C193,装備品!$1:$998,COLUMN(R$1),FALSE),"")</f>
        <v>0</v>
      </c>
      <c r="V193">
        <f>IFERROR(VLOOKUP($C193,装備品!$1:$998,COLUMN(Q$1),FALSE),"")</f>
        <v>0</v>
      </c>
      <c r="W193">
        <f>IFERROR(VLOOKUP($C193,装備品!$1:$998,COLUMN(T$1),FALSE),"")</f>
        <v>0.5</v>
      </c>
      <c r="Y193">
        <f>IFERROR(VLOOKUP($C193,装備品!$1:$998,COLUMN(U$1),FALSE),"")</f>
        <v>0</v>
      </c>
      <c r="Z193" t="str">
        <f>IFERROR(ROUNDUP(VLOOKUP($C193,装備品!$1:$998,COLUMN(O$1),FALSE)*VLOOKUP($D193,素材!$1:$1016,COLUMN(E$1),FALSE),1),"")</f>
        <v/>
      </c>
      <c r="AA193">
        <f>IF(ISNUMBER(SEARCH(SUBSTITUTE(AA$1,RIGHT(AA$1,2),""),VLOOKUP($D193,素材!$1:$1016,COLUMN($F$1),FALSE))),VLOOKUP($C193,装備品!$1:$998,COLUMN($O$1),FALSE)*VLOOKUP($D193,素材!$1:$1016,COLUMN($E$1),FALSE)/(LEN(VLOOKUP($D193,素材!$1:$1016,COLUMN($F$1),FALSE))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IFERROR(VLOOKUP($C193,装備品!$1:$998,COLUMN(V$1),FALSE)*VLOOKUP($D193,素材!$1:$1016,COLUMN(N$1),FALSE)+IF(CI193="",0,VLOOKUP($CI193,付与!$1:$1176,COLUMN($CK$1),FALSE)),"")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IFERROR(VLOOKUP($D194,素材!$1:$1016,COLUMN($B$1),FALSE)&amp;"・"&amp;VLOOKUP($C194,装備品!$1:$998,COLUMN(B$1),FALSE),"")</f>
        <v/>
      </c>
      <c r="C194" t="s">
        <v>205</v>
      </c>
      <c r="D194" s="24" t="s">
        <v>243</v>
      </c>
      <c r="E194" t="str">
        <f>IFERROR(VLOOKUP(C194,装備品!$1:$998,COLUMN(C$1),FALSE),"")</f>
        <v>足</v>
      </c>
      <c r="F194" t="str">
        <f>IFERROR(ROUNDDOWN((VLOOKUP($C194,装備品!$1:$998,COLUMN(D$1),FALSE)+IFERROR(VLOOKUP($CI194,付与!$1:$1167,COLUMN(F$1),FALSE),0))*VLOOKUP($D194,素材!$1:$1016,COLUMN(D$1),FALSE),0),"")</f>
        <v/>
      </c>
      <c r="G194" t="str">
        <f>IFERROR(ROUNDDOWN((VLOOKUP($C194,装備品!$1:$998,COLUMN(E$1),FALSE)+IFERROR(VLOOKUP($CI194,付与!$1:$1167,COLUMN(G$1),FALSE),0))*VLOOKUP($D194,素材!$1:$1016,COLUMN($E$1),FALSE),0),"")</f>
        <v/>
      </c>
      <c r="H194" t="str">
        <f>IFERROR(ROUNDDOWN((VLOOKUP($C194,装備品!$1:$998,COLUMN(F$1),FALSE)+IFERROR(VLOOKUP($CI194,付与!$1:$1167,COLUMN(H$1),FALSE),0))*VLOOKUP($D194,素材!$1:$1016,COLUMN($E$1),FALSE),0),"")</f>
        <v/>
      </c>
      <c r="I194" t="str">
        <f>IFERROR(ROUNDDOWN((VLOOKUP($C194,装備品!$1:$998,COLUMN(G$1),FALSE)+IFERROR(VLOOKUP($CI194,付与!$1:$1167,COLUMN(I$1),FALSE),0))*VLOOKUP($D194,素材!$1:$1016,COLUMN($E$1),FALSE),0),"")</f>
        <v/>
      </c>
      <c r="J194" t="str">
        <f>IFERROR(ROUNDDOWN((VLOOKUP($C194,装備品!$1:$998,COLUMN(H$1),FALSE)+IFERROR(VLOOKUP($CI194,付与!$1:$1167,COLUMN(J$1),FALSE),0))*VLOOKUP($D194,素材!$1:$1016,COLUMN($E$1),FALSE),0),"")</f>
        <v/>
      </c>
      <c r="K194" t="str">
        <f>IFERROR(ROUNDDOWN((VLOOKUP($C194,装備品!$1:$998,COLUMN(I$1),FALSE)+IFERROR(VLOOKUP($CI194,付与!$1:$1167,COLUMN(K$1),FALSE),0))*VLOOKUP($D194,素材!$1:$1016,COLUMN($E$1),FALSE),0),"")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IFERROR(VLOOKUP($C194,装備品!$1:$998,COLUMN(AA$1),FALSE)*VLOOKUP($D194,素材!$1:$1016,COLUMN($G$1),FALSE),"")</f>
        <v/>
      </c>
      <c r="N194">
        <f>IFERROR(VLOOKUP($C194,装備品!$1:$998,COLUMN(I$1),FALSE),"")</f>
        <v>0</v>
      </c>
      <c r="O194" s="23" t="str">
        <f>IFERROR((VLOOKUP($C194,装備品!$1:$998,COLUMN(K$1),FALSE)+VLOOKUP($D194,素材!$1:$1016,COLUMN(H$1),FALSE))*100+IFERROR(VLOOKUP($CI194,付与!$1:$1167,COLUMN(O$1),FALSE),0),"")</f>
        <v/>
      </c>
      <c r="P194" s="23" t="str">
        <f>IFERROR((VLOOKUP($C194,装備品!$1:$998,COLUMN(L$1),FALSE)+VLOOKUP($D194,素材!$1:$1016,COLUMN(I$1),FALSE))*100+IFERROR(VLOOKUP($CI194,付与!$1:$1167,COLUMN(P$1),FALSE),0),"")</f>
        <v/>
      </c>
      <c r="Q194" t="str">
        <f>IFERROR(ROUNDUP(VLOOKUP($C194,装備品!$1:$998,COLUMN(M$1),FALSE)*(VLOOKUP($D194,素材!$1:$1002,COLUMN(D$1),FALSE)/100),1),"")</f>
        <v/>
      </c>
      <c r="R194" t="str">
        <f>IFERROR(ROUNDUP(VLOOKUP($C194,装備品!$1:$998,COLUMN(N$1),FALSE)*(VLOOKUP($D194,素材!$1:$1002,COLUMN(D$1),FALSE)/100),1),"")</f>
        <v/>
      </c>
      <c r="S194">
        <f>IFERROR(VLOOKUP($C194,装備品!$1:$998,COLUMN(P$1),FALSE),"")</f>
        <v>0</v>
      </c>
      <c r="T194">
        <f>IFERROR(VLOOKUP($C194,装備品!$1:$998,COLUMN(Q$1),FALSE),"")</f>
        <v>0</v>
      </c>
      <c r="U194">
        <f>IFERROR(VLOOKUP($C194,装備品!$1:$998,COLUMN(R$1),FALSE),"")</f>
        <v>0</v>
      </c>
      <c r="V194">
        <f>IFERROR(VLOOKUP($C194,装備品!$1:$998,COLUMN(Q$1),FALSE),"")</f>
        <v>0</v>
      </c>
      <c r="W194">
        <f>IFERROR(VLOOKUP($C194,装備品!$1:$998,COLUMN(T$1),FALSE),"")</f>
        <v>0.15</v>
      </c>
      <c r="Y194">
        <f>IFERROR(VLOOKUP($C194,装備品!$1:$998,COLUMN(U$1),FALSE),"")</f>
        <v>0</v>
      </c>
      <c r="Z194" t="str">
        <f>IFERROR(ROUNDUP(VLOOKUP($C194,装備品!$1:$998,COLUMN(O$1),FALSE)*VLOOKUP($D194,素材!$1:$1016,COLUMN(E$1),FALSE),1),"")</f>
        <v/>
      </c>
      <c r="AA194">
        <f>IF(ISNUMBER(SEARCH(SUBSTITUTE(AA$1,RIGHT(AA$1,2),""),VLOOKUP($D194,素材!$1:$1016,COLUMN($F$1),FALSE))),VLOOKUP($C194,装備品!$1:$998,COLUMN($O$1),FALSE)*VLOOKUP($D194,素材!$1:$1016,COLUMN($E$1),FALSE)/(LEN(VLOOKUP($D194,素材!$1:$1016,COLUMN($F$1),FALSE))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IFERROR(VLOOKUP($C194,装備品!$1:$998,COLUMN(V$1),FALSE)*VLOOKUP($D194,素材!$1:$1016,COLUMN(N$1),FALSE)+IF(CI194="",0,VLOOKUP($CI194,付与!$1:$1176,COLUMN($CK$1),FALSE)),"")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IFERROR(VLOOKUP($D195,素材!$1:$1016,COLUMN($B$1),FALSE)&amp;"・"&amp;VLOOKUP($C195,装備品!$1:$998,COLUMN(B$1),FALSE),"")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IFERROR(VLOOKUP(C195,装備品!$1:$998,COLUMN(C$1),FALSE),"")</f>
        <v>武器</v>
      </c>
      <c r="F195">
        <f>IFERROR(ROUNDDOWN((VLOOKUP($C195,装備品!$1:$998,COLUMN(D$1),FALSE)+IFERROR(VLOOKUP($CI195,付与!$1:$1167,COLUMN(F$1),FALSE),0))*VLOOKUP($D195,素材!$1:$1016,COLUMN(D$1),FALSE),0),"")</f>
        <v>100</v>
      </c>
      <c r="G195">
        <f>IFERROR(ROUNDDOWN((VLOOKUP($C195,装備品!$1:$998,COLUMN(E$1),FALSE)+IFERROR(VLOOKUP($CI195,付与!$1:$1167,COLUMN(G$1),FALSE),0))*VLOOKUP($D195,素材!$1:$1016,COLUMN($E$1),FALSE),0),"")</f>
        <v>10</v>
      </c>
      <c r="H195">
        <f>IFERROR(ROUNDDOWN((VLOOKUP($C195,装備品!$1:$998,COLUMN(F$1),FALSE)+IFERROR(VLOOKUP($CI195,付与!$1:$1167,COLUMN(H$1),FALSE),0))*VLOOKUP($D195,素材!$1:$1016,COLUMN($E$1),FALSE),0),"")</f>
        <v>8</v>
      </c>
      <c r="I195">
        <f>IFERROR(ROUNDDOWN((VLOOKUP($C195,装備品!$1:$998,COLUMN(G$1),FALSE)+IFERROR(VLOOKUP($CI195,付与!$1:$1167,COLUMN(I$1),FALSE),0))*VLOOKUP($D195,素材!$1:$1016,COLUMN($E$1),FALSE),0),"")</f>
        <v>2</v>
      </c>
      <c r="J195">
        <f>IFERROR(ROUNDDOWN((VLOOKUP($C195,装備品!$1:$998,COLUMN(H$1),FALSE)+IFERROR(VLOOKUP($CI195,付与!$1:$1167,COLUMN(J$1),FALSE),0))*VLOOKUP($D195,素材!$1:$1016,COLUMN($E$1),FALSE),0),"")</f>
        <v>13</v>
      </c>
      <c r="K195">
        <f>IFERROR(ROUNDDOWN((VLOOKUP($C195,装備品!$1:$998,COLUMN(I$1),FALSE)+IFERROR(VLOOKUP($CI195,付与!$1:$1167,COLUMN(K$1),FALSE),0))*VLOOKUP($D195,素材!$1:$1016,COLUMN($E$1),FALSE),0),"")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IFERROR(VLOOKUP($C195,装備品!$1:$998,COLUMN(AA$1),FALSE)*VLOOKUP($D195,素材!$1:$1016,COLUMN($G$1),FALSE),"")</f>
        <v>35</v>
      </c>
      <c r="N195">
        <f>IFERROR(VLOOKUP($C195,装備品!$1:$998,COLUMN(I$1),FALSE),"")</f>
        <v>0</v>
      </c>
      <c r="O195" s="23">
        <f>IFERROR((VLOOKUP($C195,装備品!$1:$998,COLUMN(K$1),FALSE)+VLOOKUP($D195,素材!$1:$1016,COLUMN(H$1),FALSE))*100+IFERROR(VLOOKUP($CI195,付与!$1:$1167,COLUMN(O$1),FALSE),0),"")</f>
        <v>10</v>
      </c>
      <c r="P195" s="23">
        <f>IFERROR((VLOOKUP($C195,装備品!$1:$998,COLUMN(L$1),FALSE)+VLOOKUP($D195,素材!$1:$1016,COLUMN(I$1),FALSE))*100+IFERROR(VLOOKUP($CI195,付与!$1:$1167,COLUMN(P$1),FALSE),0),"")</f>
        <v>175</v>
      </c>
      <c r="Q195">
        <f>IFERROR(ROUNDUP(VLOOKUP($C195,装備品!$1:$998,COLUMN(M$1),FALSE)*(VLOOKUP($D195,素材!$1:$1002,COLUMN(D$1),FALSE)/100),1),"")</f>
        <v>0</v>
      </c>
      <c r="R195">
        <f>IFERROR(ROUNDUP(VLOOKUP($C195,装備品!$1:$998,COLUMN(N$1),FALSE)*(VLOOKUP($D195,素材!$1:$1002,COLUMN(D$1),FALSE)/100),1),"")</f>
        <v>0</v>
      </c>
      <c r="S195">
        <f>IFERROR(VLOOKUP($C195,装備品!$1:$998,COLUMN(P$1),FALSE),"")</f>
        <v>0</v>
      </c>
      <c r="T195">
        <f>IFERROR(VLOOKUP($C195,装備品!$1:$998,COLUMN(Q$1),FALSE),"")</f>
        <v>0</v>
      </c>
      <c r="U195">
        <f>IFERROR(VLOOKUP($C195,装備品!$1:$998,COLUMN(R$1),FALSE),"")</f>
        <v>0</v>
      </c>
      <c r="V195">
        <f>IFERROR(VLOOKUP($C195,装備品!$1:$998,COLUMN(Q$1),FALSE),"")</f>
        <v>0</v>
      </c>
      <c r="W195">
        <f>IFERROR(VLOOKUP($C195,装備品!$1:$998,COLUMN(T$1),FALSE),"")</f>
        <v>0</v>
      </c>
      <c r="Y195">
        <f>IFERROR(VLOOKUP($C195,装備品!$1:$998,COLUMN(U$1),FALSE),"")</f>
        <v>0</v>
      </c>
      <c r="Z195">
        <f>IFERROR(ROUNDUP(VLOOKUP($C195,装備品!$1:$998,COLUMN(O$1),FALSE)*VLOOKUP($D195,素材!$1:$1016,COLUMN(E$1),FALSE),1),"")</f>
        <v>0</v>
      </c>
      <c r="AA195">
        <f>IF(ISNUMBER(SEARCH(SUBSTITUTE(AA$1,RIGHT(AA$1,2),""),VLOOKUP($D195,素材!$1:$1016,COLUMN($F$1),FALSE))),VLOOKUP($C195,装備品!$1:$998,COLUMN($O$1),FALSE)*VLOOKUP($D195,素材!$1:$1016,COLUMN($E$1),FALSE)/(LEN(VLOOKUP($D195,素材!$1:$1016,COLUMN($F$1),FALSE))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IFERROR(VLOOKUP($C195,装備品!$1:$998,COLUMN(V$1),FALSE)*VLOOKUP($D195,素材!$1:$1016,COLUMN(N$1),FALSE)+IF(CI195="",0,VLOOKUP($CI195,付与!$1:$1176,COLUMN($CK$1),FALSE)),"")</f>
        <v>0</v>
      </c>
      <c r="CO195">
        <f>VLOOKUP(D195,素材!$A:$O,COLUMN(素材!O$1),FALSE)</f>
        <v>0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IFERROR(VLOOKUP($D196,素材!$1:$1016,COLUMN($B$1),FALSE)&amp;"・"&amp;VLOOKUP($C196,装備品!$1:$998,COLUMN(B$1),FALSE),"")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IFERROR(VLOOKUP(C196,装備品!$1:$998,COLUMN(C$1),FALSE),"")</f>
        <v>武器</v>
      </c>
      <c r="F196">
        <f>IFERROR(ROUNDDOWN((VLOOKUP($C196,装備品!$1:$998,COLUMN(D$1),FALSE)+IFERROR(VLOOKUP($CI196,付与!$1:$1167,COLUMN(F$1),FALSE),0))*VLOOKUP($D196,素材!$1:$1016,COLUMN(D$1),FALSE),0),"")</f>
        <v>105</v>
      </c>
      <c r="G196">
        <f>IFERROR(ROUNDDOWN((VLOOKUP($C196,装備品!$1:$998,COLUMN(E$1),FALSE)+IFERROR(VLOOKUP($CI196,付与!$1:$1167,COLUMN(G$1),FALSE),0))*VLOOKUP($D196,素材!$1:$1016,COLUMN($E$1),FALSE),0),"")</f>
        <v>14</v>
      </c>
      <c r="H196">
        <f>IFERROR(ROUNDDOWN((VLOOKUP($C196,装備品!$1:$998,COLUMN(F$1),FALSE)+IFERROR(VLOOKUP($CI196,付与!$1:$1167,COLUMN(H$1),FALSE),0))*VLOOKUP($D196,素材!$1:$1016,COLUMN($E$1),FALSE),0),"")</f>
        <v>8</v>
      </c>
      <c r="I196">
        <f>IFERROR(ROUNDDOWN((VLOOKUP($C196,装備品!$1:$998,COLUMN(G$1),FALSE)+IFERROR(VLOOKUP($CI196,付与!$1:$1167,COLUMN(I$1),FALSE),0))*VLOOKUP($D196,素材!$1:$1016,COLUMN($E$1),FALSE),0),"")</f>
        <v>2</v>
      </c>
      <c r="J196">
        <f>IFERROR(ROUNDDOWN((VLOOKUP($C196,装備品!$1:$998,COLUMN(H$1),FALSE)+IFERROR(VLOOKUP($CI196,付与!$1:$1167,COLUMN(J$1),FALSE),0))*VLOOKUP($D196,素材!$1:$1016,COLUMN($E$1),FALSE),0),"")</f>
        <v>17</v>
      </c>
      <c r="K196">
        <f>IFERROR(ROUNDDOWN((VLOOKUP($C196,装備品!$1:$998,COLUMN(I$1),FALSE)+IFERROR(VLOOKUP($CI196,付与!$1:$1167,COLUMN(K$1),FALSE),0))*VLOOKUP($D196,素材!$1:$1016,COLUMN($E$1),FALSE),0),"")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IFERROR(VLOOKUP($C196,装備品!$1:$998,COLUMN(AA$1),FALSE)*VLOOKUP($D196,素材!$1:$1016,COLUMN($G$1),FALSE),"")</f>
        <v>70</v>
      </c>
      <c r="N196">
        <f>IFERROR(VLOOKUP($C196,装備品!$1:$998,COLUMN(I$1),FALSE),"")</f>
        <v>0</v>
      </c>
      <c r="O196" s="23">
        <f>IFERROR((VLOOKUP($C196,装備品!$1:$998,COLUMN(K$1),FALSE)+VLOOKUP($D196,素材!$1:$1016,COLUMN(H$1),FALSE))*100+IFERROR(VLOOKUP($CI196,付与!$1:$1167,COLUMN(O$1),FALSE),0),"")</f>
        <v>10</v>
      </c>
      <c r="P196" s="23">
        <f>IFERROR((VLOOKUP($C196,装備品!$1:$998,COLUMN(L$1),FALSE)+VLOOKUP($D196,素材!$1:$1016,COLUMN(I$1),FALSE))*100+IFERROR(VLOOKUP($CI196,付与!$1:$1167,COLUMN(P$1),FALSE),0),"")</f>
        <v>175</v>
      </c>
      <c r="Q196">
        <f>IFERROR(ROUNDUP(VLOOKUP($C196,装備品!$1:$998,COLUMN(M$1),FALSE)*(VLOOKUP($D196,素材!$1:$1002,COLUMN(D$1),FALSE)/100),1),"")</f>
        <v>0</v>
      </c>
      <c r="R196">
        <f>IFERROR(ROUNDUP(VLOOKUP($C196,装備品!$1:$998,COLUMN(N$1),FALSE)*(VLOOKUP($D196,素材!$1:$1002,COLUMN(D$1),FALSE)/100),1),"")</f>
        <v>0</v>
      </c>
      <c r="S196">
        <f>IFERROR(VLOOKUP($C196,装備品!$1:$998,COLUMN(P$1),FALSE),"")</f>
        <v>0</v>
      </c>
      <c r="T196">
        <f>IFERROR(VLOOKUP($C196,装備品!$1:$998,COLUMN(Q$1),FALSE),"")</f>
        <v>0</v>
      </c>
      <c r="U196">
        <f>IFERROR(VLOOKUP($C196,装備品!$1:$998,COLUMN(R$1),FALSE),"")</f>
        <v>0</v>
      </c>
      <c r="V196">
        <f>IFERROR(VLOOKUP($C196,装備品!$1:$998,COLUMN(Q$1),FALSE),"")</f>
        <v>0</v>
      </c>
      <c r="W196">
        <f>IFERROR(VLOOKUP($C196,装備品!$1:$998,COLUMN(T$1),FALSE),"")</f>
        <v>0</v>
      </c>
      <c r="Y196">
        <f>IFERROR(VLOOKUP($C196,装備品!$1:$998,COLUMN(U$1),FALSE),"")</f>
        <v>0</v>
      </c>
      <c r="Z196">
        <f>IFERROR(ROUNDUP(VLOOKUP($C196,装備品!$1:$998,COLUMN(O$1),FALSE)*VLOOKUP($D196,素材!$1:$1016,COLUMN(E$1),FALSE),1),"")</f>
        <v>0</v>
      </c>
      <c r="AA196">
        <f>IF(ISNUMBER(SEARCH(SUBSTITUTE(AA$1,RIGHT(AA$1,2),""),VLOOKUP($D196,素材!$1:$1016,COLUMN($F$1),FALSE))),VLOOKUP($C196,装備品!$1:$998,COLUMN($O$1),FALSE)*VLOOKUP($D196,素材!$1:$1016,COLUMN($E$1),FALSE)/(LEN(VLOOKUP($D196,素材!$1:$1016,COLUMN($F$1),FALSE))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IFERROR(VLOOKUP($C196,装備品!$1:$998,COLUMN(V$1),FALSE)*VLOOKUP($D196,素材!$1:$1016,COLUMN(N$1),FALSE)+IF(CI196="",0,VLOOKUP($CI196,付与!$1:$1176,COLUMN($CK$1),FALSE)),"")</f>
        <v>0</v>
      </c>
      <c r="CO196">
        <f>VLOOKUP(D196,素材!$A:$O,COLUMN(素材!O$1),FALSE)</f>
        <v>0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IFERROR(VLOOKUP($D197,素材!$1:$1016,COLUMN($B$1),FALSE)&amp;"・"&amp;VLOOKUP($C197,装備品!$1:$998,COLUMN(B$1),FALSE),"")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IFERROR(VLOOKUP(C197,装備品!$1:$998,COLUMN(C$1),FALSE),"")</f>
        <v>武器</v>
      </c>
      <c r="F197">
        <f>IFERROR(ROUNDDOWN((VLOOKUP($C197,装備品!$1:$998,COLUMN(D$1),FALSE)+IFERROR(VLOOKUP($CI197,付与!$1:$1167,COLUMN(F$1),FALSE),0))*VLOOKUP($D197,素材!$1:$1016,COLUMN(D$1),FALSE),0),"")</f>
        <v>100</v>
      </c>
      <c r="G197">
        <f>IFERROR(ROUNDDOWN((VLOOKUP($C197,装備品!$1:$998,COLUMN(E$1),FALSE)+IFERROR(VLOOKUP($CI197,付与!$1:$1167,COLUMN(G$1),FALSE),0))*VLOOKUP($D197,素材!$1:$1016,COLUMN($E$1),FALSE),0),"")</f>
        <v>12</v>
      </c>
      <c r="H197">
        <f>IFERROR(ROUNDDOWN((VLOOKUP($C197,装備品!$1:$998,COLUMN(F$1),FALSE)+IFERROR(VLOOKUP($CI197,付与!$1:$1167,COLUMN(H$1),FALSE),0))*VLOOKUP($D197,素材!$1:$1016,COLUMN($E$1),FALSE),0),"")</f>
        <v>9</v>
      </c>
      <c r="I197">
        <f>IFERROR(ROUNDDOWN((VLOOKUP($C197,装備品!$1:$998,COLUMN(G$1),FALSE)+IFERROR(VLOOKUP($CI197,付与!$1:$1167,COLUMN(I$1),FALSE),0))*VLOOKUP($D197,素材!$1:$1016,COLUMN($E$1),FALSE),0),"")</f>
        <v>3</v>
      </c>
      <c r="J197">
        <f>IFERROR(ROUNDDOWN((VLOOKUP($C197,装備品!$1:$998,COLUMN(H$1),FALSE)+IFERROR(VLOOKUP($CI197,付与!$1:$1167,COLUMN(J$1),FALSE),0))*VLOOKUP($D197,素材!$1:$1016,COLUMN($E$1),FALSE),0),"")</f>
        <v>19</v>
      </c>
      <c r="K197">
        <f>IFERROR(ROUNDDOWN((VLOOKUP($C197,装備品!$1:$998,COLUMN(I$1),FALSE)+IFERROR(VLOOKUP($CI197,付与!$1:$1167,COLUMN(K$1),FALSE),0))*VLOOKUP($D197,素材!$1:$1016,COLUMN($E$1),FALSE),0),"")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IFERROR(VLOOKUP($C197,装備品!$1:$998,COLUMN(AA$1),FALSE)*VLOOKUP($D197,素材!$1:$1016,COLUMN($G$1),FALSE),"")</f>
        <v>52.5</v>
      </c>
      <c r="N197">
        <f>IFERROR(VLOOKUP($C197,装備品!$1:$998,COLUMN(I$1),FALSE),"")</f>
        <v>0</v>
      </c>
      <c r="O197" s="23">
        <f>IFERROR((VLOOKUP($C197,装備品!$1:$998,COLUMN(K$1),FALSE)+VLOOKUP($D197,素材!$1:$1016,COLUMN(H$1),FALSE))*100+IFERROR(VLOOKUP($CI197,付与!$1:$1167,COLUMN(O$1),FALSE),0),"")</f>
        <v>10</v>
      </c>
      <c r="P197" s="23">
        <f>IFERROR((VLOOKUP($C197,装備品!$1:$998,COLUMN(L$1),FALSE)+VLOOKUP($D197,素材!$1:$1016,COLUMN(I$1),FALSE))*100+IFERROR(VLOOKUP($CI197,付与!$1:$1167,COLUMN(P$1),FALSE),0),"")</f>
        <v>150</v>
      </c>
      <c r="Q197">
        <f>IFERROR(ROUNDUP(VLOOKUP($C197,装備品!$1:$998,COLUMN(M$1),FALSE)*(VLOOKUP($D197,素材!$1:$1002,COLUMN(D$1),FALSE)/100),1),"")</f>
        <v>0</v>
      </c>
      <c r="R197">
        <f>IFERROR(ROUNDUP(VLOOKUP($C197,装備品!$1:$998,COLUMN(N$1),FALSE)*(VLOOKUP($D197,素材!$1:$1002,COLUMN(D$1),FALSE)/100),1),"")</f>
        <v>0</v>
      </c>
      <c r="S197">
        <f>IFERROR(VLOOKUP($C197,装備品!$1:$998,COLUMN(P$1),FALSE),"")</f>
        <v>0</v>
      </c>
      <c r="T197">
        <f>IFERROR(VLOOKUP($C197,装備品!$1:$998,COLUMN(Q$1),FALSE),"")</f>
        <v>0</v>
      </c>
      <c r="U197">
        <f>IFERROR(VLOOKUP($C197,装備品!$1:$998,COLUMN(R$1),FALSE),"")</f>
        <v>0</v>
      </c>
      <c r="V197">
        <f>IFERROR(VLOOKUP($C197,装備品!$1:$998,COLUMN(Q$1),FALSE),"")</f>
        <v>0</v>
      </c>
      <c r="W197">
        <f>IFERROR(VLOOKUP($C197,装備品!$1:$998,COLUMN(T$1),FALSE),"")</f>
        <v>0</v>
      </c>
      <c r="Y197">
        <f>IFERROR(VLOOKUP($C197,装備品!$1:$998,COLUMN(U$1),FALSE),"")</f>
        <v>0</v>
      </c>
      <c r="Z197">
        <f>IFERROR(ROUNDUP(VLOOKUP($C197,装備品!$1:$998,COLUMN(O$1),FALSE)*VLOOKUP($D197,素材!$1:$1016,COLUMN(E$1),FALSE),1),"")</f>
        <v>0</v>
      </c>
      <c r="AA197">
        <f>IF(ISNUMBER(SEARCH(SUBSTITUTE(AA$1,RIGHT(AA$1,2),""),VLOOKUP($D197,素材!$1:$1016,COLUMN($F$1),FALSE))),VLOOKUP($C197,装備品!$1:$998,COLUMN($O$1),FALSE)*VLOOKUP($D197,素材!$1:$1016,COLUMN($E$1),FALSE)/(LEN(VLOOKUP($D197,素材!$1:$1016,COLUMN($F$1),FALSE))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IFERROR(VLOOKUP($C197,装備品!$1:$998,COLUMN(V$1),FALSE)*VLOOKUP($D197,素材!$1:$1016,COLUMN(N$1),FALSE)+IF(CI197="",0,VLOOKUP($CI197,付与!$1:$1176,COLUMN($CK$1),FALSE)),"")</f>
        <v>0</v>
      </c>
      <c r="CO197">
        <f>VLOOKUP(D197,素材!$A:$O,COLUMN(素材!O$1),FALSE)</f>
        <v>0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IFERROR(VLOOKUP($D198,素材!$1:$1016,COLUMN($B$1),FALSE)&amp;"・"&amp;VLOOKUP($C198,装備品!$1:$998,COLUMN(B$1),FALSE),"")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IFERROR(VLOOKUP(C198,装備品!$1:$998,COLUMN(C$1),FALSE),"")</f>
        <v>武器</v>
      </c>
      <c r="F198">
        <f>IFERROR(ROUNDDOWN((VLOOKUP($C198,装備品!$1:$998,COLUMN(D$1),FALSE)+IFERROR(VLOOKUP($CI198,付与!$1:$1167,COLUMN(F$1),FALSE),0))*VLOOKUP($D198,素材!$1:$1016,COLUMN(D$1),FALSE),0),"")</f>
        <v>110</v>
      </c>
      <c r="G198">
        <f>IFERROR(ROUNDDOWN((VLOOKUP($C198,装備品!$1:$998,COLUMN(E$1),FALSE)+IFERROR(VLOOKUP($CI198,付与!$1:$1167,COLUMN(G$1),FALSE),0))*VLOOKUP($D198,素材!$1:$1016,COLUMN($E$1),FALSE),0),"")</f>
        <v>12</v>
      </c>
      <c r="H198">
        <f>IFERROR(ROUNDDOWN((VLOOKUP($C198,装備品!$1:$998,COLUMN(F$1),FALSE)+IFERROR(VLOOKUP($CI198,付与!$1:$1167,COLUMN(H$1),FALSE),0))*VLOOKUP($D198,素材!$1:$1016,COLUMN($E$1),FALSE),0),"")</f>
        <v>8</v>
      </c>
      <c r="I198">
        <f>IFERROR(ROUNDDOWN((VLOOKUP($C198,装備品!$1:$998,COLUMN(G$1),FALSE)+IFERROR(VLOOKUP($CI198,付与!$1:$1167,COLUMN(I$1),FALSE),0))*VLOOKUP($D198,素材!$1:$1016,COLUMN($E$1),FALSE),0),"")</f>
        <v>3</v>
      </c>
      <c r="J198">
        <f>IFERROR(ROUNDDOWN((VLOOKUP($C198,装備品!$1:$998,COLUMN(H$1),FALSE)+IFERROR(VLOOKUP($CI198,付与!$1:$1167,COLUMN(J$1),FALSE),0))*VLOOKUP($D198,素材!$1:$1016,COLUMN($E$1),FALSE),0),"")</f>
        <v>23</v>
      </c>
      <c r="K198">
        <f>IFERROR(ROUNDDOWN((VLOOKUP($C198,装備品!$1:$998,COLUMN(I$1),FALSE)+IFERROR(VLOOKUP($CI198,付与!$1:$1167,COLUMN(K$1),FALSE),0))*VLOOKUP($D198,素材!$1:$1016,COLUMN($E$1),FALSE),0),"")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IFERROR(VLOOKUP($C198,装備品!$1:$998,COLUMN(AA$1),FALSE)*VLOOKUP($D198,素材!$1:$1016,COLUMN($G$1),FALSE),"")</f>
        <v>70</v>
      </c>
      <c r="N198">
        <f>IFERROR(VLOOKUP($C198,装備品!$1:$998,COLUMN(I$1),FALSE),"")</f>
        <v>0</v>
      </c>
      <c r="O198" s="23">
        <f>IFERROR((VLOOKUP($C198,装備品!$1:$998,COLUMN(K$1),FALSE)+VLOOKUP($D198,素材!$1:$1016,COLUMN(H$1),FALSE))*100+IFERROR(VLOOKUP($CI198,付与!$1:$1167,COLUMN(O$1),FALSE),0),"")</f>
        <v>10</v>
      </c>
      <c r="P198" s="23">
        <f>IFERROR((VLOOKUP($C198,装備品!$1:$998,COLUMN(L$1),FALSE)+VLOOKUP($D198,素材!$1:$1016,COLUMN(I$1),FALSE))*100+IFERROR(VLOOKUP($CI198,付与!$1:$1167,COLUMN(P$1),FALSE),0),"")</f>
        <v>150</v>
      </c>
      <c r="Q198">
        <f>IFERROR(ROUNDUP(VLOOKUP($C198,装備品!$1:$998,COLUMN(M$1),FALSE)*(VLOOKUP($D198,素材!$1:$1002,COLUMN(D$1),FALSE)/100),1),"")</f>
        <v>-2.5</v>
      </c>
      <c r="R198">
        <f>IFERROR(ROUNDUP(VLOOKUP($C198,装備品!$1:$998,COLUMN(N$1),FALSE)*(VLOOKUP($D198,素材!$1:$1002,COLUMN(D$1),FALSE)/100),1),"")</f>
        <v>-2.5</v>
      </c>
      <c r="S198">
        <f>IFERROR(VLOOKUP($C198,装備品!$1:$998,COLUMN(P$1),FALSE),"")</f>
        <v>0</v>
      </c>
      <c r="T198">
        <f>IFERROR(VLOOKUP($C198,装備品!$1:$998,COLUMN(Q$1),FALSE),"")</f>
        <v>0</v>
      </c>
      <c r="U198">
        <f>IFERROR(VLOOKUP($C198,装備品!$1:$998,COLUMN(R$1),FALSE),"")</f>
        <v>0</v>
      </c>
      <c r="V198">
        <f>IFERROR(VLOOKUP($C198,装備品!$1:$998,COLUMN(Q$1),FALSE),"")</f>
        <v>0</v>
      </c>
      <c r="W198">
        <f>IFERROR(VLOOKUP($C198,装備品!$1:$998,COLUMN(T$1),FALSE),"")</f>
        <v>0</v>
      </c>
      <c r="Y198">
        <f>IFERROR(VLOOKUP($C198,装備品!$1:$998,COLUMN(U$1),FALSE),"")</f>
        <v>0</v>
      </c>
      <c r="Z198">
        <f>IFERROR(ROUNDUP(VLOOKUP($C198,装備品!$1:$998,COLUMN(O$1),FALSE)*VLOOKUP($D198,素材!$1:$1016,COLUMN(E$1),FALSE),1),"")</f>
        <v>0</v>
      </c>
      <c r="AA198">
        <f>IF(ISNUMBER(SEARCH(SUBSTITUTE(AA$1,RIGHT(AA$1,2),""),VLOOKUP($D198,素材!$1:$1016,COLUMN($F$1),FALSE))),VLOOKUP($C198,装備品!$1:$998,COLUMN($O$1),FALSE)*VLOOKUP($D198,素材!$1:$1016,COLUMN($E$1),FALSE)/(LEN(VLOOKUP($D198,素材!$1:$1016,COLUMN($F$1),FALSE))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IFERROR(VLOOKUP($C198,装備品!$1:$998,COLUMN(V$1),FALSE)*VLOOKUP($D198,素材!$1:$1016,COLUMN(N$1),FALSE)+IF(CI198="",0,VLOOKUP($CI198,付与!$1:$1176,COLUMN($CK$1),FALSE)),"")</f>
        <v>0</v>
      </c>
      <c r="CO198">
        <f>VLOOKUP(D198,素材!$A:$O,COLUMN(素材!O$1),FALSE)</f>
        <v>0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IFERROR(VLOOKUP($D199,素材!$1:$1016,COLUMN($B$1),FALSE)&amp;"・"&amp;VLOOKUP($C199,装備品!$1:$998,COLUMN(B$1),FALSE),"")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IFERROR(VLOOKUP(C199,装備品!$1:$998,COLUMN(C$1),FALSE),"")</f>
        <v>武器</v>
      </c>
      <c r="F199">
        <f>IFERROR(ROUNDDOWN((VLOOKUP($C199,装備品!$1:$998,COLUMN(D$1),FALSE)+IFERROR(VLOOKUP($CI199,付与!$1:$1167,COLUMN(F$1),FALSE),0))*VLOOKUP($D199,素材!$1:$1016,COLUMN(D$1),FALSE),0),"")</f>
        <v>115</v>
      </c>
      <c r="G199">
        <f>IFERROR(ROUNDDOWN((VLOOKUP($C199,装備品!$1:$998,COLUMN(E$1),FALSE)+IFERROR(VLOOKUP($CI199,付与!$1:$1167,COLUMN(G$1),FALSE),0))*VLOOKUP($D199,素材!$1:$1016,COLUMN($E$1),FALSE),0),"")</f>
        <v>15</v>
      </c>
      <c r="H199">
        <f>IFERROR(ROUNDDOWN((VLOOKUP($C199,装備品!$1:$998,COLUMN(F$1),FALSE)+IFERROR(VLOOKUP($CI199,付与!$1:$1167,COLUMN(H$1),FALSE),0))*VLOOKUP($D199,素材!$1:$1016,COLUMN($E$1),FALSE),0),"")</f>
        <v>9</v>
      </c>
      <c r="I199">
        <f>IFERROR(ROUNDDOWN((VLOOKUP($C199,装備品!$1:$998,COLUMN(G$1),FALSE)+IFERROR(VLOOKUP($CI199,付与!$1:$1167,COLUMN(I$1),FALSE),0))*VLOOKUP($D199,素材!$1:$1016,COLUMN($E$1),FALSE),0),"")</f>
        <v>3</v>
      </c>
      <c r="J199">
        <f>IFERROR(ROUNDDOWN((VLOOKUP($C199,装備品!$1:$998,COLUMN(H$1),FALSE)+IFERROR(VLOOKUP($CI199,付与!$1:$1167,COLUMN(J$1),FALSE),0))*VLOOKUP($D199,素材!$1:$1016,COLUMN($E$1),FALSE),0),"")</f>
        <v>20</v>
      </c>
      <c r="K199">
        <f>IFERROR(ROUNDDOWN((VLOOKUP($C199,装備品!$1:$998,COLUMN(I$1),FALSE)+IFERROR(VLOOKUP($CI199,付与!$1:$1167,COLUMN(K$1),FALSE),0))*VLOOKUP($D199,素材!$1:$1016,COLUMN($E$1),FALSE),0),"")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IFERROR(VLOOKUP($C199,装備品!$1:$998,COLUMN(AA$1),FALSE)*VLOOKUP($D199,素材!$1:$1016,COLUMN($G$1),FALSE),"")</f>
        <v>70</v>
      </c>
      <c r="N199">
        <f>IFERROR(VLOOKUP($C199,装備品!$1:$998,COLUMN(I$1),FALSE),"")</f>
        <v>0</v>
      </c>
      <c r="O199" s="23">
        <f>IFERROR((VLOOKUP($C199,装備品!$1:$998,COLUMN(K$1),FALSE)+VLOOKUP($D199,素材!$1:$1016,COLUMN(H$1),FALSE))*100+IFERROR(VLOOKUP($CI199,付与!$1:$1167,COLUMN(O$1),FALSE),0),"")</f>
        <v>10</v>
      </c>
      <c r="P199" s="23">
        <f>IFERROR((VLOOKUP($C199,装備品!$1:$998,COLUMN(L$1),FALSE)+VLOOKUP($D199,素材!$1:$1016,COLUMN(I$1),FALSE))*100+IFERROR(VLOOKUP($CI199,付与!$1:$1167,COLUMN(P$1),FALSE),0),"")</f>
        <v>150</v>
      </c>
      <c r="Q199">
        <f>IFERROR(ROUNDUP(VLOOKUP($C199,装備品!$1:$998,COLUMN(M$1),FALSE)*(VLOOKUP($D199,素材!$1:$1002,COLUMN(D$1),FALSE)/100),1),"")</f>
        <v>-2.5</v>
      </c>
      <c r="R199">
        <f>IFERROR(ROUNDUP(VLOOKUP($C199,装備品!$1:$998,COLUMN(N$1),FALSE)*(VLOOKUP($D199,素材!$1:$1002,COLUMN(D$1),FALSE)/100),1),"")</f>
        <v>-2.5</v>
      </c>
      <c r="S199">
        <f>IFERROR(VLOOKUP($C199,装備品!$1:$998,COLUMN(P$1),FALSE),"")</f>
        <v>0</v>
      </c>
      <c r="T199">
        <f>IFERROR(VLOOKUP($C199,装備品!$1:$998,COLUMN(Q$1),FALSE),"")</f>
        <v>0</v>
      </c>
      <c r="U199">
        <f>IFERROR(VLOOKUP($C199,装備品!$1:$998,COLUMN(R$1),FALSE),"")</f>
        <v>0</v>
      </c>
      <c r="V199">
        <f>IFERROR(VLOOKUP($C199,装備品!$1:$998,COLUMN(Q$1),FALSE),"")</f>
        <v>0</v>
      </c>
      <c r="W199">
        <f>IFERROR(VLOOKUP($C199,装備品!$1:$998,COLUMN(T$1),FALSE),"")</f>
        <v>0</v>
      </c>
      <c r="Y199">
        <f>IFERROR(VLOOKUP($C199,装備品!$1:$998,COLUMN(U$1),FALSE),"")</f>
        <v>0</v>
      </c>
      <c r="Z199">
        <f>IFERROR(ROUNDUP(VLOOKUP($C199,装備品!$1:$998,COLUMN(O$1),FALSE)*VLOOKUP($D199,素材!$1:$1016,COLUMN(E$1),FALSE),1),"")</f>
        <v>0</v>
      </c>
      <c r="AA199">
        <f>IF(ISNUMBER(SEARCH(SUBSTITUTE(AA$1,RIGHT(AA$1,2),""),VLOOKUP($D199,素材!$1:$1016,COLUMN($F$1),FALSE))),VLOOKUP($C199,装備品!$1:$998,COLUMN($O$1),FALSE)*VLOOKUP($D199,素材!$1:$1016,COLUMN($E$1),FALSE)/(LEN(VLOOKUP($D199,素材!$1:$1016,COLUMN($F$1),FALSE))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IFERROR(VLOOKUP($C199,装備品!$1:$998,COLUMN(V$1),FALSE)*VLOOKUP($D199,素材!$1:$1016,COLUMN(N$1),FALSE)+IF(CI199="",0,VLOOKUP($CI199,付与!$1:$1176,COLUMN($CK$1),FALSE)),"")</f>
        <v>0</v>
      </c>
      <c r="CO199">
        <f>VLOOKUP(D199,素材!$A:$O,COLUMN(素材!O$1),FALSE)</f>
        <v>0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IFERROR(VLOOKUP($D200,素材!$1:$1016,COLUMN($B$1),FALSE)&amp;"・"&amp;VLOOKUP($C200,装備品!$1:$998,COLUMN(B$1),FALSE),"")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IFERROR(VLOOKUP(C200,装備品!$1:$998,COLUMN(C$1),FALSE),"")</f>
        <v>武器</v>
      </c>
      <c r="F200">
        <f>IFERROR(ROUNDDOWN((VLOOKUP($C200,装備品!$1:$998,COLUMN(D$1),FALSE)+IFERROR(VLOOKUP($CI200,付与!$1:$1167,COLUMN(F$1),FALSE),0))*VLOOKUP($D200,素材!$1:$1016,COLUMN(D$1),FALSE),0),"")</f>
        <v>125</v>
      </c>
      <c r="G200">
        <f>IFERROR(ROUNDDOWN((VLOOKUP($C200,装備品!$1:$998,COLUMN(E$1),FALSE)+IFERROR(VLOOKUP($CI200,付与!$1:$1167,COLUMN(G$1),FALSE),0))*VLOOKUP($D200,素材!$1:$1016,COLUMN($E$1),FALSE),0),"")</f>
        <v>18</v>
      </c>
      <c r="H200">
        <f>IFERROR(ROUNDDOWN((VLOOKUP($C200,装備品!$1:$998,COLUMN(F$1),FALSE)+IFERROR(VLOOKUP($CI200,付与!$1:$1167,COLUMN(H$1),FALSE),0))*VLOOKUP($D200,素材!$1:$1016,COLUMN($E$1),FALSE),0),"")</f>
        <v>9</v>
      </c>
      <c r="I200">
        <f>IFERROR(ROUNDDOWN((VLOOKUP($C200,装備品!$1:$998,COLUMN(G$1),FALSE)+IFERROR(VLOOKUP($CI200,付与!$1:$1167,COLUMN(I$1),FALSE),0))*VLOOKUP($D200,素材!$1:$1016,COLUMN($E$1),FALSE),0),"")</f>
        <v>4</v>
      </c>
      <c r="J200">
        <f>IFERROR(ROUNDDOWN((VLOOKUP($C200,装備品!$1:$998,COLUMN(H$1),FALSE)+IFERROR(VLOOKUP($CI200,付与!$1:$1167,COLUMN(J$1),FALSE),0))*VLOOKUP($D200,素材!$1:$1016,COLUMN($E$1),FALSE),0),"")</f>
        <v>22</v>
      </c>
      <c r="K200">
        <f>IFERROR(ROUNDDOWN((VLOOKUP($C200,装備品!$1:$998,COLUMN(I$1),FALSE)+IFERROR(VLOOKUP($CI200,付与!$1:$1167,COLUMN(K$1),FALSE),0))*VLOOKUP($D200,素材!$1:$1016,COLUMN($E$1),FALSE),0),"")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IFERROR(VLOOKUP($C200,装備品!$1:$998,COLUMN(AA$1),FALSE)*VLOOKUP($D200,素材!$1:$1016,COLUMN($G$1),FALSE),"")</f>
        <v>105</v>
      </c>
      <c r="N200">
        <f>IFERROR(VLOOKUP($C200,装備品!$1:$998,COLUMN(I$1),FALSE),"")</f>
        <v>0</v>
      </c>
      <c r="O200" s="23">
        <f>IFERROR((VLOOKUP($C200,装備品!$1:$998,COLUMN(K$1),FALSE)+VLOOKUP($D200,素材!$1:$1016,COLUMN(H$1),FALSE))*100+IFERROR(VLOOKUP($CI200,付与!$1:$1167,COLUMN(O$1),FALSE),0),"")</f>
        <v>10</v>
      </c>
      <c r="P200" s="23">
        <f>IFERROR((VLOOKUP($C200,装備品!$1:$998,COLUMN(L$1),FALSE)+VLOOKUP($D200,素材!$1:$1016,COLUMN(I$1),FALSE))*100+IFERROR(VLOOKUP($CI200,付与!$1:$1167,COLUMN(P$1),FALSE),0),"")</f>
        <v>150</v>
      </c>
      <c r="Q200">
        <f>IFERROR(ROUNDUP(VLOOKUP($C200,装備品!$1:$998,COLUMN(M$1),FALSE)*(VLOOKUP($D200,素材!$1:$1002,COLUMN(D$1),FALSE)/100),1),"")</f>
        <v>-7.5</v>
      </c>
      <c r="R200">
        <f>IFERROR(ROUNDUP(VLOOKUP($C200,装備品!$1:$998,COLUMN(N$1),FALSE)*(VLOOKUP($D200,素材!$1:$1002,COLUMN(D$1),FALSE)/100),1),"")</f>
        <v>-7.5</v>
      </c>
      <c r="S200">
        <f>IFERROR(VLOOKUP($C200,装備品!$1:$998,COLUMN(P$1),FALSE),"")</f>
        <v>0</v>
      </c>
      <c r="T200">
        <f>IFERROR(VLOOKUP($C200,装備品!$1:$998,COLUMN(Q$1),FALSE),"")</f>
        <v>0</v>
      </c>
      <c r="U200">
        <f>IFERROR(VLOOKUP($C200,装備品!$1:$998,COLUMN(R$1),FALSE),"")</f>
        <v>-15</v>
      </c>
      <c r="V200">
        <f>IFERROR(VLOOKUP($C200,装備品!$1:$998,COLUMN(Q$1),FALSE),"")</f>
        <v>0</v>
      </c>
      <c r="W200">
        <f>IFERROR(VLOOKUP($C200,装備品!$1:$998,COLUMN(T$1),FALSE),"")</f>
        <v>0</v>
      </c>
      <c r="Y200">
        <f>IFERROR(VLOOKUP($C200,装備品!$1:$998,COLUMN(U$1),FALSE),"")</f>
        <v>0</v>
      </c>
      <c r="Z200">
        <f>IFERROR(ROUNDUP(VLOOKUP($C200,装備品!$1:$998,COLUMN(O$1),FALSE)*VLOOKUP($D200,素材!$1:$1016,COLUMN(E$1),FALSE),1),"")</f>
        <v>0</v>
      </c>
      <c r="AA200">
        <f>IF(ISNUMBER(SEARCH(SUBSTITUTE(AA$1,RIGHT(AA$1,2),""),VLOOKUP($D200,素材!$1:$1016,COLUMN($F$1),FALSE))),VLOOKUP($C200,装備品!$1:$998,COLUMN($O$1),FALSE)*VLOOKUP($D200,素材!$1:$1016,COLUMN($E$1),FALSE)/(LEN(VLOOKUP($D200,素材!$1:$1016,COLUMN($F$1),FALSE))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IFERROR(VLOOKUP($C200,装備品!$1:$998,COLUMN(V$1),FALSE)*VLOOKUP($D200,素材!$1:$1016,COLUMN(N$1),FALSE)+IF(CI200="",0,VLOOKUP($CI200,付与!$1:$1176,COLUMN($CK$1),FALSE)),"")</f>
        <v>0</v>
      </c>
      <c r="CO200">
        <f>VLOOKUP(D200,素材!$A:$O,COLUMN(素材!O$1),FALSE)</f>
        <v>0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IFERROR(VLOOKUP($D201,素材!$1:$1016,COLUMN($B$1),FALSE)&amp;"・"&amp;VLOOKUP($C201,装備品!$1:$998,COLUMN(B$1),FALSE),"")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IFERROR(VLOOKUP(C201,装備品!$1:$998,COLUMN(C$1),FALSE),"")</f>
        <v>武器</v>
      </c>
      <c r="F201">
        <f>IFERROR(ROUNDDOWN((VLOOKUP($C201,装備品!$1:$998,COLUMN(D$1),FALSE)+IFERROR(VLOOKUP($CI201,付与!$1:$1167,COLUMN(F$1),FALSE),0))*VLOOKUP($D201,素材!$1:$1016,COLUMN(D$1),FALSE),0),"")</f>
        <v>100</v>
      </c>
      <c r="G201">
        <f>IFERROR(ROUNDDOWN((VLOOKUP($C201,装備品!$1:$998,COLUMN(E$1),FALSE)+IFERROR(VLOOKUP($CI201,付与!$1:$1167,COLUMN(G$1),FALSE),0))*VLOOKUP($D201,素材!$1:$1016,COLUMN($E$1),FALSE),0),"")</f>
        <v>9</v>
      </c>
      <c r="H201">
        <f>IFERROR(ROUNDDOWN((VLOOKUP($C201,装備品!$1:$998,COLUMN(F$1),FALSE)+IFERROR(VLOOKUP($CI201,付与!$1:$1167,COLUMN(H$1),FALSE),0))*VLOOKUP($D201,素材!$1:$1016,COLUMN($E$1),FALSE),0),"")</f>
        <v>13</v>
      </c>
      <c r="I201">
        <f>IFERROR(ROUNDDOWN((VLOOKUP($C201,装備品!$1:$998,COLUMN(G$1),FALSE)+IFERROR(VLOOKUP($CI201,付与!$1:$1167,COLUMN(I$1),FALSE),0))*VLOOKUP($D201,素材!$1:$1016,COLUMN($E$1),FALSE),0),"")</f>
        <v>0</v>
      </c>
      <c r="J201">
        <f>IFERROR(ROUNDDOWN((VLOOKUP($C201,装備品!$1:$998,COLUMN(H$1),FALSE)+IFERROR(VLOOKUP($CI201,付与!$1:$1167,COLUMN(J$1),FALSE),0))*VLOOKUP($D201,素材!$1:$1016,COLUMN($E$1),FALSE),0),"")</f>
        <v>16</v>
      </c>
      <c r="K201">
        <f>IFERROR(ROUNDDOWN((VLOOKUP($C201,装備品!$1:$998,COLUMN(I$1),FALSE)+IFERROR(VLOOKUP($CI201,付与!$1:$1167,COLUMN(K$1),FALSE),0))*VLOOKUP($D201,素材!$1:$1016,COLUMN($E$1),FALSE),0),"")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IFERROR(VLOOKUP($C201,装備品!$1:$998,COLUMN(AA$1),FALSE)*VLOOKUP($D201,素材!$1:$1016,COLUMN($G$1),FALSE),"")</f>
        <v>70</v>
      </c>
      <c r="N201">
        <f>IFERROR(VLOOKUP($C201,装備品!$1:$998,COLUMN(I$1),FALSE),"")</f>
        <v>0</v>
      </c>
      <c r="O201" s="23">
        <f>IFERROR((VLOOKUP($C201,装備品!$1:$998,COLUMN(K$1),FALSE)+VLOOKUP($D201,素材!$1:$1016,COLUMN(H$1),FALSE))*100+IFERROR(VLOOKUP($CI201,付与!$1:$1167,COLUMN(O$1),FALSE),0),"")</f>
        <v>15</v>
      </c>
      <c r="P201" s="23">
        <f>IFERROR((VLOOKUP($C201,装備品!$1:$998,COLUMN(L$1),FALSE)+VLOOKUP($D201,素材!$1:$1016,COLUMN(I$1),FALSE))*100+IFERROR(VLOOKUP($CI201,付与!$1:$1167,COLUMN(P$1),FALSE),0),"")</f>
        <v>125</v>
      </c>
      <c r="Q201">
        <f>IFERROR(ROUNDUP(VLOOKUP($C201,装備品!$1:$998,COLUMN(M$1),FALSE)*(VLOOKUP($D201,素材!$1:$1002,COLUMN(D$1),FALSE)/100),1),"")</f>
        <v>0</v>
      </c>
      <c r="R201">
        <f>IFERROR(ROUNDUP(VLOOKUP($C201,装備品!$1:$998,COLUMN(N$1),FALSE)*(VLOOKUP($D201,素材!$1:$1002,COLUMN(D$1),FALSE)/100),1),"")</f>
        <v>0</v>
      </c>
      <c r="S201">
        <f>IFERROR(VLOOKUP($C201,装備品!$1:$998,COLUMN(P$1),FALSE),"")</f>
        <v>0</v>
      </c>
      <c r="T201">
        <f>IFERROR(VLOOKUP($C201,装備品!$1:$998,COLUMN(Q$1),FALSE),"")</f>
        <v>0</v>
      </c>
      <c r="U201">
        <f>IFERROR(VLOOKUP($C201,装備品!$1:$998,COLUMN(R$1),FALSE),"")</f>
        <v>0</v>
      </c>
      <c r="V201">
        <f>IFERROR(VLOOKUP($C201,装備品!$1:$998,COLUMN(Q$1),FALSE),"")</f>
        <v>0</v>
      </c>
      <c r="W201">
        <f>IFERROR(VLOOKUP($C201,装備品!$1:$998,COLUMN(T$1),FALSE),"")</f>
        <v>0</v>
      </c>
      <c r="Y201">
        <f>IFERROR(VLOOKUP($C201,装備品!$1:$998,COLUMN(U$1),FALSE),"")</f>
        <v>0</v>
      </c>
      <c r="Z201">
        <f>IFERROR(ROUNDUP(VLOOKUP($C201,装備品!$1:$998,COLUMN(O$1),FALSE)*VLOOKUP($D201,素材!$1:$1016,COLUMN(E$1),FALSE),1),"")</f>
        <v>0</v>
      </c>
      <c r="AA201">
        <f>IF(ISNUMBER(SEARCH(SUBSTITUTE(AA$1,RIGHT(AA$1,2),""),VLOOKUP($D201,素材!$1:$1016,COLUMN($F$1),FALSE))),VLOOKUP($C201,装備品!$1:$998,COLUMN($O$1),FALSE)*VLOOKUP($D201,素材!$1:$1016,COLUMN($E$1),FALSE)/(LEN(VLOOKUP($D201,素材!$1:$1016,COLUMN($F$1),FALSE))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IFERROR(VLOOKUP($C201,装備品!$1:$998,COLUMN(V$1),FALSE)*VLOOKUP($D201,素材!$1:$1016,COLUMN(N$1),FALSE)+IF(CI201="",0,VLOOKUP($CI201,付与!$1:$1176,COLUMN($CK$1),FALSE)),"")</f>
        <v>0</v>
      </c>
      <c r="CO201">
        <f>VLOOKUP(D201,素材!$A:$O,COLUMN(素材!O$1),FALSE)</f>
        <v>0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IFERROR(VLOOKUP($D202,素材!$1:$1016,COLUMN($B$1),FALSE)&amp;"・"&amp;VLOOKUP($C202,装備品!$1:$998,COLUMN(B$1),FALSE),"")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IFERROR(VLOOKUP(C202,装備品!$1:$998,COLUMN(C$1),FALSE),"")</f>
        <v>武器</v>
      </c>
      <c r="F202">
        <f>IFERROR(ROUNDDOWN((VLOOKUP($C202,装備品!$1:$998,COLUMN(D$1),FALSE)+IFERROR(VLOOKUP($CI202,付与!$1:$1167,COLUMN(F$1),FALSE),0))*VLOOKUP($D202,素材!$1:$1016,COLUMN(D$1),FALSE),0),"")</f>
        <v>110</v>
      </c>
      <c r="G202">
        <f>IFERROR(ROUNDDOWN((VLOOKUP($C202,装備品!$1:$998,COLUMN(E$1),FALSE)+IFERROR(VLOOKUP($CI202,付与!$1:$1167,COLUMN(G$1),FALSE),0))*VLOOKUP($D202,素材!$1:$1016,COLUMN($E$1),FALSE),0),"")</f>
        <v>4</v>
      </c>
      <c r="H202">
        <f>IFERROR(ROUNDDOWN((VLOOKUP($C202,装備品!$1:$998,COLUMN(F$1),FALSE)+IFERROR(VLOOKUP($CI202,付与!$1:$1167,COLUMN(H$1),FALSE),0))*VLOOKUP($D202,素材!$1:$1016,COLUMN($E$1),FALSE),0),"")</f>
        <v>18</v>
      </c>
      <c r="I202">
        <f>IFERROR(ROUNDDOWN((VLOOKUP($C202,装備品!$1:$998,COLUMN(G$1),FALSE)+IFERROR(VLOOKUP($CI202,付与!$1:$1167,COLUMN(I$1),FALSE),0))*VLOOKUP($D202,素材!$1:$1016,COLUMN($E$1),FALSE),0),"")</f>
        <v>0</v>
      </c>
      <c r="J202">
        <f>IFERROR(ROUNDDOWN((VLOOKUP($C202,装備品!$1:$998,COLUMN(H$1),FALSE)+IFERROR(VLOOKUP($CI202,付与!$1:$1167,COLUMN(J$1),FALSE),0))*VLOOKUP($D202,素材!$1:$1016,COLUMN($E$1),FALSE),0),"")</f>
        <v>17</v>
      </c>
      <c r="K202">
        <f>IFERROR(ROUNDDOWN((VLOOKUP($C202,装備品!$1:$998,COLUMN(I$1),FALSE)+IFERROR(VLOOKUP($CI202,付与!$1:$1167,COLUMN(K$1),FALSE),0))*VLOOKUP($D202,素材!$1:$1016,COLUMN($E$1),FALSE),0),"")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IFERROR(VLOOKUP($C202,装備品!$1:$998,COLUMN(AA$1),FALSE)*VLOOKUP($D202,素材!$1:$1016,COLUMN($G$1),FALSE),"")</f>
        <v>52.5</v>
      </c>
      <c r="N202">
        <f>IFERROR(VLOOKUP($C202,装備品!$1:$998,COLUMN(I$1),FALSE),"")</f>
        <v>0</v>
      </c>
      <c r="O202" s="23">
        <f>IFERROR((VLOOKUP($C202,装備品!$1:$998,COLUMN(K$1),FALSE)+VLOOKUP($D202,素材!$1:$1016,COLUMN(H$1),FALSE))*100+IFERROR(VLOOKUP($CI202,付与!$1:$1167,COLUMN(O$1),FALSE),0),"")</f>
        <v>10</v>
      </c>
      <c r="P202" s="23">
        <f>IFERROR((VLOOKUP($C202,装備品!$1:$998,COLUMN(L$1),FALSE)+VLOOKUP($D202,素材!$1:$1016,COLUMN(I$1),FALSE))*100+IFERROR(VLOOKUP($CI202,付与!$1:$1167,COLUMN(P$1),FALSE),0),"")</f>
        <v>150</v>
      </c>
      <c r="Q202">
        <f>IFERROR(ROUNDUP(VLOOKUP($C202,装備品!$1:$998,COLUMN(M$1),FALSE)*(VLOOKUP($D202,素材!$1:$1002,COLUMN(D$1),FALSE)/100),1),"")</f>
        <v>0</v>
      </c>
      <c r="R202">
        <f>IFERROR(ROUNDUP(VLOOKUP($C202,装備品!$1:$998,COLUMN(N$1),FALSE)*(VLOOKUP($D202,素材!$1:$1002,COLUMN(D$1),FALSE)/100),1),"")</f>
        <v>0</v>
      </c>
      <c r="S202">
        <f>IFERROR(VLOOKUP($C202,装備品!$1:$998,COLUMN(P$1),FALSE),"")</f>
        <v>0</v>
      </c>
      <c r="T202">
        <f>IFERROR(VLOOKUP($C202,装備品!$1:$998,COLUMN(Q$1),FALSE),"")</f>
        <v>0</v>
      </c>
      <c r="U202">
        <f>IFERROR(VLOOKUP($C202,装備品!$1:$998,COLUMN(R$1),FALSE),"")</f>
        <v>0</v>
      </c>
      <c r="V202">
        <f>IFERROR(VLOOKUP($C202,装備品!$1:$998,COLUMN(Q$1),FALSE),"")</f>
        <v>0</v>
      </c>
      <c r="W202">
        <f>IFERROR(VLOOKUP($C202,装備品!$1:$998,COLUMN(T$1),FALSE),"")</f>
        <v>0</v>
      </c>
      <c r="Y202">
        <f>IFERROR(VLOOKUP($C202,装備品!$1:$998,COLUMN(U$1),FALSE),"")</f>
        <v>0</v>
      </c>
      <c r="Z202">
        <f>IFERROR(ROUNDUP(VLOOKUP($C202,装備品!$1:$998,COLUMN(O$1),FALSE)*VLOOKUP($D202,素材!$1:$1016,COLUMN(E$1),FALSE),1),"")</f>
        <v>0</v>
      </c>
      <c r="AA202">
        <f>IF(ISNUMBER(SEARCH(SUBSTITUTE(AA$1,RIGHT(AA$1,2),""),VLOOKUP($D202,素材!$1:$1016,COLUMN($F$1),FALSE))),VLOOKUP($C202,装備品!$1:$998,COLUMN($O$1),FALSE)*VLOOKUP($D202,素材!$1:$1016,COLUMN($E$1),FALSE)/(LEN(VLOOKUP($D202,素材!$1:$1016,COLUMN($F$1),FALSE))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IFERROR(VLOOKUP($C202,装備品!$1:$998,COLUMN(V$1),FALSE)*VLOOKUP($D202,素材!$1:$1016,COLUMN(N$1),FALSE)+IF(CI202="",0,VLOOKUP($CI202,付与!$1:$1176,COLUMN($CK$1),FALSE)),"")</f>
        <v>0</v>
      </c>
      <c r="CO202">
        <f>VLOOKUP(D202,素材!$A:$O,COLUMN(素材!O$1),FALSE)</f>
        <v>0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IFERROR(VLOOKUP($D203,素材!$1:$1016,COLUMN($B$1),FALSE)&amp;"・"&amp;VLOOKUP($C203,装備品!$1:$998,COLUMN(B$1),FALSE),"")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IFERROR(VLOOKUP(C203,装備品!$1:$998,COLUMN(C$1),FALSE),"")</f>
        <v>武器</v>
      </c>
      <c r="F203">
        <f>IFERROR(ROUNDDOWN((VLOOKUP($C203,装備品!$1:$998,COLUMN(D$1),FALSE)+IFERROR(VLOOKUP($CI203,付与!$1:$1167,COLUMN(F$1),FALSE),0))*VLOOKUP($D203,素材!$1:$1016,COLUMN(D$1),FALSE),0),"")</f>
        <v>105</v>
      </c>
      <c r="G203">
        <f>IFERROR(ROUNDDOWN((VLOOKUP($C203,装備品!$1:$998,COLUMN(E$1),FALSE)+IFERROR(VLOOKUP($CI203,付与!$1:$1167,COLUMN(G$1),FALSE),0))*VLOOKUP($D203,素材!$1:$1016,COLUMN($E$1),FALSE),0),"")</f>
        <v>8</v>
      </c>
      <c r="H203">
        <f>IFERROR(ROUNDDOWN((VLOOKUP($C203,装備品!$1:$998,COLUMN(F$1),FALSE)+IFERROR(VLOOKUP($CI203,付与!$1:$1167,COLUMN(H$1),FALSE),0))*VLOOKUP($D203,素材!$1:$1016,COLUMN($E$1),FALSE),0),"")</f>
        <v>14</v>
      </c>
      <c r="I203">
        <f>IFERROR(ROUNDDOWN((VLOOKUP($C203,装備品!$1:$998,COLUMN(G$1),FALSE)+IFERROR(VLOOKUP($CI203,付与!$1:$1167,COLUMN(I$1),FALSE),0))*VLOOKUP($D203,素材!$1:$1016,COLUMN($E$1),FALSE),0),"")</f>
        <v>3</v>
      </c>
      <c r="J203">
        <f>IFERROR(ROUNDDOWN((VLOOKUP($C203,装備品!$1:$998,COLUMN(H$1),FALSE)+IFERROR(VLOOKUP($CI203,付与!$1:$1167,COLUMN(J$1),FALSE),0))*VLOOKUP($D203,素材!$1:$1016,COLUMN($E$1),FALSE),0),"")</f>
        <v>17</v>
      </c>
      <c r="K203">
        <f>IFERROR(ROUNDDOWN((VLOOKUP($C203,装備品!$1:$998,COLUMN(I$1),FALSE)+IFERROR(VLOOKUP($CI203,付与!$1:$1167,COLUMN(K$1),FALSE),0))*VLOOKUP($D203,素材!$1:$1016,COLUMN($E$1),FALSE),0),"")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IFERROR(VLOOKUP($C203,装備品!$1:$998,COLUMN(AA$1),FALSE)*VLOOKUP($D203,素材!$1:$1016,COLUMN($G$1),FALSE),"")</f>
        <v>52.5</v>
      </c>
      <c r="N203">
        <f>IFERROR(VLOOKUP($C203,装備品!$1:$998,COLUMN(I$1),FALSE),"")</f>
        <v>0</v>
      </c>
      <c r="O203" s="23">
        <f>IFERROR((VLOOKUP($C203,装備品!$1:$998,COLUMN(K$1),FALSE)+VLOOKUP($D203,素材!$1:$1016,COLUMN(H$1),FALSE))*100+IFERROR(VLOOKUP($CI203,付与!$1:$1167,COLUMN(O$1),FALSE),0),"")</f>
        <v>10</v>
      </c>
      <c r="P203" s="23">
        <f>IFERROR((VLOOKUP($C203,装備品!$1:$998,COLUMN(L$1),FALSE)+VLOOKUP($D203,素材!$1:$1016,COLUMN(I$1),FALSE))*100+IFERROR(VLOOKUP($CI203,付与!$1:$1167,COLUMN(P$1),FALSE),0),"")</f>
        <v>150</v>
      </c>
      <c r="Q203">
        <f>IFERROR(ROUNDUP(VLOOKUP($C203,装備品!$1:$998,COLUMN(M$1),FALSE)*(VLOOKUP($D203,素材!$1:$1002,COLUMN(D$1),FALSE)/100),1),"")</f>
        <v>0</v>
      </c>
      <c r="R203">
        <f>IFERROR(ROUNDUP(VLOOKUP($C203,装備品!$1:$998,COLUMN(N$1),FALSE)*(VLOOKUP($D203,素材!$1:$1002,COLUMN(D$1),FALSE)/100),1),"")</f>
        <v>0</v>
      </c>
      <c r="S203">
        <f>IFERROR(VLOOKUP($C203,装備品!$1:$998,COLUMN(P$1),FALSE),"")</f>
        <v>0</v>
      </c>
      <c r="T203">
        <f>IFERROR(VLOOKUP($C203,装備品!$1:$998,COLUMN(Q$1),FALSE),"")</f>
        <v>0</v>
      </c>
      <c r="U203">
        <f>IFERROR(VLOOKUP($C203,装備品!$1:$998,COLUMN(R$1),FALSE),"")</f>
        <v>0</v>
      </c>
      <c r="V203">
        <f>IFERROR(VLOOKUP($C203,装備品!$1:$998,COLUMN(Q$1),FALSE),"")</f>
        <v>0</v>
      </c>
      <c r="W203">
        <f>IFERROR(VLOOKUP($C203,装備品!$1:$998,COLUMN(T$1),FALSE),"")</f>
        <v>0</v>
      </c>
      <c r="Y203">
        <f>IFERROR(VLOOKUP($C203,装備品!$1:$998,COLUMN(U$1),FALSE),"")</f>
        <v>0</v>
      </c>
      <c r="Z203">
        <f>IFERROR(ROUNDUP(VLOOKUP($C203,装備品!$1:$998,COLUMN(O$1),FALSE)*VLOOKUP($D203,素材!$1:$1016,COLUMN(E$1),FALSE),1),"")</f>
        <v>0</v>
      </c>
      <c r="AA203">
        <f>IF(ISNUMBER(SEARCH(SUBSTITUTE(AA$1,RIGHT(AA$1,2),""),VLOOKUP($D203,素材!$1:$1016,COLUMN($F$1),FALSE))),VLOOKUP($C203,装備品!$1:$998,COLUMN($O$1),FALSE)*VLOOKUP($D203,素材!$1:$1016,COLUMN($E$1),FALSE)/(LEN(VLOOKUP($D203,素材!$1:$1016,COLUMN($F$1),FALSE))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IFERROR(VLOOKUP($C203,装備品!$1:$998,COLUMN(V$1),FALSE)*VLOOKUP($D203,素材!$1:$1016,COLUMN(N$1),FALSE)+IF(CI203="",0,VLOOKUP($CI203,付与!$1:$1176,COLUMN($CK$1),FALSE)),"")</f>
        <v>0</v>
      </c>
      <c r="CO203">
        <f>VLOOKUP(D203,素材!$A:$O,COLUMN(素材!O$1),FALSE)</f>
        <v>0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IFERROR(VLOOKUP($D204,素材!$1:$1016,COLUMN($B$1),FALSE)&amp;"・"&amp;VLOOKUP($C204,装備品!$1:$998,COLUMN(B$1),FALSE),"")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IFERROR(VLOOKUP(C204,装備品!$1:$998,COLUMN(C$1),FALSE),"")</f>
        <v>武器</v>
      </c>
      <c r="F204">
        <f>IFERROR(ROUNDDOWN((VLOOKUP($C204,装備品!$1:$998,COLUMN(D$1),FALSE)+IFERROR(VLOOKUP($CI204,付与!$1:$1167,COLUMN(F$1),FALSE),0))*VLOOKUP($D204,素材!$1:$1016,COLUMN(D$1),FALSE),0),"")</f>
        <v>115</v>
      </c>
      <c r="G204">
        <f>IFERROR(ROUNDDOWN((VLOOKUP($C204,装備品!$1:$998,COLUMN(E$1),FALSE)+IFERROR(VLOOKUP($CI204,付与!$1:$1167,COLUMN(G$1),FALSE),0))*VLOOKUP($D204,素材!$1:$1016,COLUMN($E$1),FALSE),0),"")</f>
        <v>8</v>
      </c>
      <c r="H204">
        <f>IFERROR(ROUNDDOWN((VLOOKUP($C204,装備品!$1:$998,COLUMN(F$1),FALSE)+IFERROR(VLOOKUP($CI204,付与!$1:$1167,COLUMN(H$1),FALSE),0))*VLOOKUP($D204,素材!$1:$1016,COLUMN($E$1),FALSE),0),"")</f>
        <v>16</v>
      </c>
      <c r="I204">
        <f>IFERROR(ROUNDDOWN((VLOOKUP($C204,装備品!$1:$998,COLUMN(G$1),FALSE)+IFERROR(VLOOKUP($CI204,付与!$1:$1167,COLUMN(I$1),FALSE),0))*VLOOKUP($D204,素材!$1:$1016,COLUMN($E$1),FALSE),0),"")</f>
        <v>3</v>
      </c>
      <c r="J204">
        <f>IFERROR(ROUNDDOWN((VLOOKUP($C204,装備品!$1:$998,COLUMN(H$1),FALSE)+IFERROR(VLOOKUP($CI204,付与!$1:$1167,COLUMN(J$1),FALSE),0))*VLOOKUP($D204,素材!$1:$1016,COLUMN($E$1),FALSE),0),"")</f>
        <v>17</v>
      </c>
      <c r="K204">
        <f>IFERROR(ROUNDDOWN((VLOOKUP($C204,装備品!$1:$998,COLUMN(I$1),FALSE)+IFERROR(VLOOKUP($CI204,付与!$1:$1167,COLUMN(K$1),FALSE),0))*VLOOKUP($D204,素材!$1:$1016,COLUMN($E$1),FALSE),0),"")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IFERROR(VLOOKUP($C204,装備品!$1:$998,COLUMN(AA$1),FALSE)*VLOOKUP($D204,素材!$1:$1016,COLUMN($G$1),FALSE),"")</f>
        <v>70</v>
      </c>
      <c r="N204">
        <f>IFERROR(VLOOKUP($C204,装備品!$1:$998,COLUMN(I$1),FALSE),"")</f>
        <v>0</v>
      </c>
      <c r="O204" s="23">
        <f>IFERROR((VLOOKUP($C204,装備品!$1:$998,COLUMN(K$1),FALSE)+VLOOKUP($D204,素材!$1:$1016,COLUMN(H$1),FALSE))*100+IFERROR(VLOOKUP($CI204,付与!$1:$1167,COLUMN(O$1),FALSE),0),"")</f>
        <v>10</v>
      </c>
      <c r="P204" s="23">
        <f>IFERROR((VLOOKUP($C204,装備品!$1:$998,COLUMN(L$1),FALSE)+VLOOKUP($D204,素材!$1:$1016,COLUMN(I$1),FALSE))*100+IFERROR(VLOOKUP($CI204,付与!$1:$1167,COLUMN(P$1),FALSE),0),"")</f>
        <v>150</v>
      </c>
      <c r="Q204">
        <f>IFERROR(ROUNDUP(VLOOKUP($C204,装備品!$1:$998,COLUMN(M$1),FALSE)*(VLOOKUP($D204,素材!$1:$1002,COLUMN(D$1),FALSE)/100),1),"")</f>
        <v>0</v>
      </c>
      <c r="R204">
        <f>IFERROR(ROUNDUP(VLOOKUP($C204,装備品!$1:$998,COLUMN(N$1),FALSE)*(VLOOKUP($D204,素材!$1:$1002,COLUMN(D$1),FALSE)/100),1),"")</f>
        <v>-5</v>
      </c>
      <c r="S204">
        <f>IFERROR(VLOOKUP($C204,装備品!$1:$998,COLUMN(P$1),FALSE),"")</f>
        <v>0</v>
      </c>
      <c r="T204">
        <f>IFERROR(VLOOKUP($C204,装備品!$1:$998,COLUMN(Q$1),FALSE),"")</f>
        <v>0</v>
      </c>
      <c r="U204">
        <f>IFERROR(VLOOKUP($C204,装備品!$1:$998,COLUMN(R$1),FALSE),"")</f>
        <v>0</v>
      </c>
      <c r="V204">
        <f>IFERROR(VLOOKUP($C204,装備品!$1:$998,COLUMN(Q$1),FALSE),"")</f>
        <v>0</v>
      </c>
      <c r="W204">
        <f>IFERROR(VLOOKUP($C204,装備品!$1:$998,COLUMN(T$1),FALSE),"")</f>
        <v>0</v>
      </c>
      <c r="Y204">
        <f>IFERROR(VLOOKUP($C204,装備品!$1:$998,COLUMN(U$1),FALSE),"")</f>
        <v>0</v>
      </c>
      <c r="Z204">
        <f>IFERROR(ROUNDUP(VLOOKUP($C204,装備品!$1:$998,COLUMN(O$1),FALSE)*VLOOKUP($D204,素材!$1:$1016,COLUMN(E$1),FALSE),1),"")</f>
        <v>0</v>
      </c>
      <c r="AA204">
        <f>IF(ISNUMBER(SEARCH(SUBSTITUTE(AA$1,RIGHT(AA$1,2),""),VLOOKUP($D204,素材!$1:$1016,COLUMN($F$1),FALSE))),VLOOKUP($C204,装備品!$1:$998,COLUMN($O$1),FALSE)*VLOOKUP($D204,素材!$1:$1016,COLUMN($E$1),FALSE)/(LEN(VLOOKUP($D204,素材!$1:$1016,COLUMN($F$1),FALSE))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IFERROR(VLOOKUP($C204,装備品!$1:$998,COLUMN(V$1),FALSE)*VLOOKUP($D204,素材!$1:$1016,COLUMN(N$1),FALSE)+IF(CI204="",0,VLOOKUP($CI204,付与!$1:$1176,COLUMN($CK$1),FALSE)),"")</f>
        <v>0</v>
      </c>
      <c r="CO204">
        <f>VLOOKUP(D204,素材!$A:$O,COLUMN(素材!O$1),FALSE)</f>
        <v>0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IFERROR(VLOOKUP($D205,素材!$1:$1016,COLUMN($B$1),FALSE)&amp;"・"&amp;VLOOKUP($C205,装備品!$1:$998,COLUMN(B$1),FALSE),"")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IFERROR(VLOOKUP(C205,装備品!$1:$998,COLUMN(C$1),FALSE),"")</f>
        <v>武器</v>
      </c>
      <c r="F205">
        <f>IFERROR(ROUNDDOWN((VLOOKUP($C205,装備品!$1:$998,COLUMN(D$1),FALSE)+IFERROR(VLOOKUP($CI205,付与!$1:$1167,COLUMN(F$1),FALSE),0))*VLOOKUP($D205,素材!$1:$1016,COLUMN(D$1),FALSE),0),"")</f>
        <v>115</v>
      </c>
      <c r="G205">
        <f>IFERROR(ROUNDDOWN((VLOOKUP($C205,装備品!$1:$998,COLUMN(E$1),FALSE)+IFERROR(VLOOKUP($CI205,付与!$1:$1167,COLUMN(G$1),FALSE),0))*VLOOKUP($D205,素材!$1:$1016,COLUMN($E$1),FALSE),0),"")</f>
        <v>0</v>
      </c>
      <c r="H205">
        <f>IFERROR(ROUNDDOWN((VLOOKUP($C205,装備品!$1:$998,COLUMN(F$1),FALSE)+IFERROR(VLOOKUP($CI205,付与!$1:$1167,COLUMN(H$1),FALSE),0))*VLOOKUP($D205,素材!$1:$1016,COLUMN($E$1),FALSE),0),"")</f>
        <v>19</v>
      </c>
      <c r="I205">
        <f>IFERROR(ROUNDDOWN((VLOOKUP($C205,装備品!$1:$998,COLUMN(G$1),FALSE)+IFERROR(VLOOKUP($CI205,付与!$1:$1167,COLUMN(I$1),FALSE),0))*VLOOKUP($D205,素材!$1:$1016,COLUMN($E$1),FALSE),0),"")</f>
        <v>9</v>
      </c>
      <c r="J205">
        <f>IFERROR(ROUNDDOWN((VLOOKUP($C205,装備品!$1:$998,COLUMN(H$1),FALSE)+IFERROR(VLOOKUP($CI205,付与!$1:$1167,COLUMN(J$1),FALSE),0))*VLOOKUP($D205,素材!$1:$1016,COLUMN($E$1),FALSE),0),"")</f>
        <v>20</v>
      </c>
      <c r="K205">
        <f>IFERROR(ROUNDDOWN((VLOOKUP($C205,装備品!$1:$998,COLUMN(I$1),FALSE)+IFERROR(VLOOKUP($CI205,付与!$1:$1167,COLUMN(K$1),FALSE),0))*VLOOKUP($D205,素材!$1:$1016,COLUMN($E$1),FALSE),0),"")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IFERROR(VLOOKUP($C205,装備品!$1:$998,COLUMN(AA$1),FALSE)*VLOOKUP($D205,素材!$1:$1016,COLUMN($G$1),FALSE),"")</f>
        <v>105</v>
      </c>
      <c r="N205">
        <f>IFERROR(VLOOKUP($C205,装備品!$1:$998,COLUMN(I$1),FALSE),"")</f>
        <v>0</v>
      </c>
      <c r="O205" s="23">
        <f>IFERROR((VLOOKUP($C205,装備品!$1:$998,COLUMN(K$1),FALSE)+VLOOKUP($D205,素材!$1:$1016,COLUMN(H$1),FALSE))*100+IFERROR(VLOOKUP($CI205,付与!$1:$1167,COLUMN(O$1),FALSE),0),"")</f>
        <v>5</v>
      </c>
      <c r="P205" s="23">
        <f>IFERROR((VLOOKUP($C205,装備品!$1:$998,COLUMN(L$1),FALSE)+VLOOKUP($D205,素材!$1:$1016,COLUMN(I$1),FALSE))*100+IFERROR(VLOOKUP($CI205,付与!$1:$1167,COLUMN(P$1),FALSE),0),"")</f>
        <v>175</v>
      </c>
      <c r="Q205">
        <f>IFERROR(ROUNDUP(VLOOKUP($C205,装備品!$1:$998,COLUMN(M$1),FALSE)*(VLOOKUP($D205,素材!$1:$1002,COLUMN(D$1),FALSE)/100),1),"")</f>
        <v>-5</v>
      </c>
      <c r="R205">
        <f>IFERROR(ROUNDUP(VLOOKUP($C205,装備品!$1:$998,COLUMN(N$1),FALSE)*(VLOOKUP($D205,素材!$1:$1002,COLUMN(D$1),FALSE)/100),1),"")</f>
        <v>-5</v>
      </c>
      <c r="S205">
        <f>IFERROR(VLOOKUP($C205,装備品!$1:$998,COLUMN(P$1),FALSE),"")</f>
        <v>0</v>
      </c>
      <c r="T205">
        <f>IFERROR(VLOOKUP($C205,装備品!$1:$998,COLUMN(Q$1),FALSE),"")</f>
        <v>0</v>
      </c>
      <c r="U205">
        <f>IFERROR(VLOOKUP($C205,装備品!$1:$998,COLUMN(R$1),FALSE),"")</f>
        <v>-15</v>
      </c>
      <c r="V205">
        <f>IFERROR(VLOOKUP($C205,装備品!$1:$998,COLUMN(Q$1),FALSE),"")</f>
        <v>0</v>
      </c>
      <c r="W205">
        <f>IFERROR(VLOOKUP($C205,装備品!$1:$998,COLUMN(T$1),FALSE),"")</f>
        <v>0</v>
      </c>
      <c r="Y205">
        <f>IFERROR(VLOOKUP($C205,装備品!$1:$998,COLUMN(U$1),FALSE),"")</f>
        <v>0</v>
      </c>
      <c r="Z205">
        <f>IFERROR(ROUNDUP(VLOOKUP($C205,装備品!$1:$998,COLUMN(O$1),FALSE)*VLOOKUP($D205,素材!$1:$1016,COLUMN(E$1),FALSE),1),"")</f>
        <v>0</v>
      </c>
      <c r="AA205">
        <f>IF(ISNUMBER(SEARCH(SUBSTITUTE(AA$1,RIGHT(AA$1,2),""),VLOOKUP($D205,素材!$1:$1016,COLUMN($F$1),FALSE))),VLOOKUP($C205,装備品!$1:$998,COLUMN($O$1),FALSE)*VLOOKUP($D205,素材!$1:$1016,COLUMN($E$1),FALSE)/(LEN(VLOOKUP($D205,素材!$1:$1016,COLUMN($F$1),FALSE))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IFERROR(VLOOKUP($C205,装備品!$1:$998,COLUMN(V$1),FALSE)*VLOOKUP($D205,素材!$1:$1016,COLUMN(N$1),FALSE)+IF(CI205="",0,VLOOKUP($CI205,付与!$1:$1176,COLUMN($CK$1),FALSE)),"")</f>
        <v>0</v>
      </c>
      <c r="CO205">
        <f>VLOOKUP(D205,素材!$A:$O,COLUMN(素材!O$1),FALSE)</f>
        <v>0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IFERROR(VLOOKUP($D206,素材!$1:$1016,COLUMN($B$1),FALSE)&amp;"・"&amp;VLOOKUP($C206,装備品!$1:$998,COLUMN(B$1),FALSE),"")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IFERROR(VLOOKUP(C206,装備品!$1:$998,COLUMN(C$1),FALSE),"")</f>
        <v>武器</v>
      </c>
      <c r="F206">
        <f>IFERROR(ROUNDDOWN((VLOOKUP($C206,装備品!$1:$998,COLUMN(D$1),FALSE)+IFERROR(VLOOKUP($CI206,付与!$1:$1167,COLUMN(F$1),FALSE),0))*VLOOKUP($D206,素材!$1:$1016,COLUMN(D$1),FALSE),0),"")</f>
        <v>110</v>
      </c>
      <c r="G206">
        <f>IFERROR(ROUNDDOWN((VLOOKUP($C206,装備品!$1:$998,COLUMN(E$1),FALSE)+IFERROR(VLOOKUP($CI206,付与!$1:$1167,COLUMN(G$1),FALSE),0))*VLOOKUP($D206,素材!$1:$1016,COLUMN($E$1),FALSE),0),"")</f>
        <v>8</v>
      </c>
      <c r="H206">
        <f>IFERROR(ROUNDDOWN((VLOOKUP($C206,装備品!$1:$998,COLUMN(F$1),FALSE)+IFERROR(VLOOKUP($CI206,付与!$1:$1167,COLUMN(H$1),FALSE),0))*VLOOKUP($D206,素材!$1:$1016,COLUMN($E$1),FALSE),0),"")</f>
        <v>10</v>
      </c>
      <c r="I206">
        <f>IFERROR(ROUNDDOWN((VLOOKUP($C206,装備品!$1:$998,COLUMN(G$1),FALSE)+IFERROR(VLOOKUP($CI206,付与!$1:$1167,COLUMN(I$1),FALSE),0))*VLOOKUP($D206,素材!$1:$1016,COLUMN($E$1),FALSE),0),"")</f>
        <v>6</v>
      </c>
      <c r="J206">
        <f>IFERROR(ROUNDDOWN((VLOOKUP($C206,装備品!$1:$998,COLUMN(H$1),FALSE)+IFERROR(VLOOKUP($CI206,付与!$1:$1167,COLUMN(J$1),FALSE),0))*VLOOKUP($D206,素材!$1:$1016,COLUMN($E$1),FALSE),0),"")</f>
        <v>19</v>
      </c>
      <c r="K206">
        <f>IFERROR(ROUNDDOWN((VLOOKUP($C206,装備品!$1:$998,COLUMN(I$1),FALSE)+IFERROR(VLOOKUP($CI206,付与!$1:$1167,COLUMN(K$1),FALSE),0))*VLOOKUP($D206,素材!$1:$1016,COLUMN($E$1),FALSE),0),"")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IFERROR(VLOOKUP($C206,装備品!$1:$998,COLUMN(AA$1),FALSE)*VLOOKUP($D206,素材!$1:$1016,COLUMN($G$1),FALSE),"")</f>
        <v>87.5</v>
      </c>
      <c r="N206">
        <f>IFERROR(VLOOKUP($C206,装備品!$1:$998,COLUMN(I$1),FALSE),"")</f>
        <v>0</v>
      </c>
      <c r="O206" s="23">
        <f>IFERROR((VLOOKUP($C206,装備品!$1:$998,COLUMN(K$1),FALSE)+VLOOKUP($D206,素材!$1:$1016,COLUMN(H$1),FALSE))*100+IFERROR(VLOOKUP($CI206,付与!$1:$1167,COLUMN(O$1),FALSE),0),"")</f>
        <v>10</v>
      </c>
      <c r="P206" s="23">
        <f>IFERROR((VLOOKUP($C206,装備品!$1:$998,COLUMN(L$1),FALSE)+VLOOKUP($D206,素材!$1:$1016,COLUMN(I$1),FALSE))*100+IFERROR(VLOOKUP($CI206,付与!$1:$1167,COLUMN(P$1),FALSE),0),"")</f>
        <v>150</v>
      </c>
      <c r="Q206">
        <f>IFERROR(ROUNDUP(VLOOKUP($C206,装備品!$1:$998,COLUMN(M$1),FALSE)*(VLOOKUP($D206,素材!$1:$1002,COLUMN(D$1),FALSE)/100),1),"")</f>
        <v>-5</v>
      </c>
      <c r="R206">
        <f>IFERROR(ROUNDUP(VLOOKUP($C206,装備品!$1:$998,COLUMN(N$1),FALSE)*(VLOOKUP($D206,素材!$1:$1002,COLUMN(D$1),FALSE)/100),1),"")</f>
        <v>-5</v>
      </c>
      <c r="S206">
        <f>IFERROR(VLOOKUP($C206,装備品!$1:$998,COLUMN(P$1),FALSE),"")</f>
        <v>0</v>
      </c>
      <c r="T206">
        <f>IFERROR(VLOOKUP($C206,装備品!$1:$998,COLUMN(Q$1),FALSE),"")</f>
        <v>0</v>
      </c>
      <c r="U206">
        <f>IFERROR(VLOOKUP($C206,装備品!$1:$998,COLUMN(R$1),FALSE),"")</f>
        <v>0</v>
      </c>
      <c r="V206">
        <f>IFERROR(VLOOKUP($C206,装備品!$1:$998,COLUMN(Q$1),FALSE),"")</f>
        <v>0</v>
      </c>
      <c r="W206">
        <f>IFERROR(VLOOKUP($C206,装備品!$1:$998,COLUMN(T$1),FALSE),"")</f>
        <v>0</v>
      </c>
      <c r="Y206">
        <f>IFERROR(VLOOKUP($C206,装備品!$1:$998,COLUMN(U$1),FALSE),"")</f>
        <v>0</v>
      </c>
      <c r="Z206">
        <f>IFERROR(ROUNDUP(VLOOKUP($C206,装備品!$1:$998,COLUMN(O$1),FALSE)*VLOOKUP($D206,素材!$1:$1016,COLUMN(E$1),FALSE),1),"")</f>
        <v>0</v>
      </c>
      <c r="AA206">
        <f>IF(ISNUMBER(SEARCH(SUBSTITUTE(AA$1,RIGHT(AA$1,2),""),VLOOKUP($D206,素材!$1:$1016,COLUMN($F$1),FALSE))),VLOOKUP($C206,装備品!$1:$998,COLUMN($O$1),FALSE)*VLOOKUP($D206,素材!$1:$1016,COLUMN($E$1),FALSE)/(LEN(VLOOKUP($D206,素材!$1:$1016,COLUMN($F$1),FALSE))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IFERROR(VLOOKUP($C206,装備品!$1:$998,COLUMN(V$1),FALSE)*VLOOKUP($D206,素材!$1:$1016,COLUMN(N$1),FALSE)+IF(CI206="",0,VLOOKUP($CI206,付与!$1:$1176,COLUMN($CK$1),FALSE)),"")</f>
        <v>0</v>
      </c>
      <c r="CO206">
        <f>VLOOKUP(D206,素材!$A:$O,COLUMN(素材!O$1),FALSE)</f>
        <v>0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IFERROR(VLOOKUP($D207,素材!$1:$1016,COLUMN($B$1),FALSE)&amp;"・"&amp;VLOOKUP($C207,装備品!$1:$998,COLUMN(B$1),FALSE),"")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IFERROR(VLOOKUP(C207,装備品!$1:$998,COLUMN(C$1),FALSE),"")</f>
        <v>武器</v>
      </c>
      <c r="F207">
        <f>IFERROR(ROUNDDOWN((VLOOKUP($C207,装備品!$1:$998,COLUMN(D$1),FALSE)+IFERROR(VLOOKUP($CI207,付与!$1:$1167,COLUMN(F$1),FALSE),0))*VLOOKUP($D207,素材!$1:$1016,COLUMN(D$1),FALSE),0),"")</f>
        <v>105</v>
      </c>
      <c r="G207">
        <f>IFERROR(ROUNDDOWN((VLOOKUP($C207,装備品!$1:$998,COLUMN(E$1),FALSE)+IFERROR(VLOOKUP($CI207,付与!$1:$1167,COLUMN(G$1),FALSE),0))*VLOOKUP($D207,素材!$1:$1016,COLUMN($E$1),FALSE),0),"")</f>
        <v>2</v>
      </c>
      <c r="H207">
        <f>IFERROR(ROUNDDOWN((VLOOKUP($C207,装備品!$1:$998,COLUMN(F$1),FALSE)+IFERROR(VLOOKUP($CI207,付与!$1:$1167,COLUMN(H$1),FALSE),0))*VLOOKUP($D207,素材!$1:$1016,COLUMN($E$1),FALSE),0),"")</f>
        <v>0</v>
      </c>
      <c r="I207">
        <f>IFERROR(ROUNDDOWN((VLOOKUP($C207,装備品!$1:$998,COLUMN(G$1),FALSE)+IFERROR(VLOOKUP($CI207,付与!$1:$1167,COLUMN(I$1),FALSE),0))*VLOOKUP($D207,素材!$1:$1016,COLUMN($E$1),FALSE),0),"")</f>
        <v>20</v>
      </c>
      <c r="J207">
        <f>IFERROR(ROUNDDOWN((VLOOKUP($C207,装備品!$1:$998,COLUMN(H$1),FALSE)+IFERROR(VLOOKUP($CI207,付与!$1:$1167,COLUMN(J$1),FALSE),0))*VLOOKUP($D207,素材!$1:$1016,COLUMN($E$1),FALSE),0),"")</f>
        <v>19</v>
      </c>
      <c r="K207">
        <f>IFERROR(ROUNDDOWN((VLOOKUP($C207,装備品!$1:$998,COLUMN(I$1),FALSE)+IFERROR(VLOOKUP($CI207,付与!$1:$1167,COLUMN(K$1),FALSE),0))*VLOOKUP($D207,素材!$1:$1016,COLUMN($E$1),FALSE),0),"")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IFERROR(VLOOKUP($C207,装備品!$1:$998,COLUMN(AA$1),FALSE)*VLOOKUP($D207,素材!$1:$1016,COLUMN($G$1),FALSE),"")</f>
        <v>52.5</v>
      </c>
      <c r="N207">
        <f>IFERROR(VLOOKUP($C207,装備品!$1:$998,COLUMN(I$1),FALSE),"")</f>
        <v>0</v>
      </c>
      <c r="O207" s="23">
        <f>IFERROR((VLOOKUP($C207,装備品!$1:$998,COLUMN(K$1),FALSE)+VLOOKUP($D207,素材!$1:$1016,COLUMN(H$1),FALSE))*100+IFERROR(VLOOKUP($CI207,付与!$1:$1167,COLUMN(O$1),FALSE),0),"")</f>
        <v>5</v>
      </c>
      <c r="P207" s="23">
        <f>IFERROR((VLOOKUP($C207,装備品!$1:$998,COLUMN(L$1),FALSE)+VLOOKUP($D207,素材!$1:$1016,COLUMN(I$1),FALSE))*100+IFERROR(VLOOKUP($CI207,付与!$1:$1167,COLUMN(P$1),FALSE),0),"")</f>
        <v>150</v>
      </c>
      <c r="Q207">
        <f>IFERROR(ROUNDUP(VLOOKUP($C207,装備品!$1:$998,COLUMN(M$1),FALSE)*(VLOOKUP($D207,素材!$1:$1002,COLUMN(D$1),FALSE)/100),1),"")</f>
        <v>0</v>
      </c>
      <c r="R207">
        <f>IFERROR(ROUNDUP(VLOOKUP($C207,装備品!$1:$998,COLUMN(N$1),FALSE)*(VLOOKUP($D207,素材!$1:$1002,COLUMN(D$1),FALSE)/100),1),"")</f>
        <v>0</v>
      </c>
      <c r="S207">
        <f>IFERROR(VLOOKUP($C207,装備品!$1:$998,COLUMN(P$1),FALSE),"")</f>
        <v>0</v>
      </c>
      <c r="T207">
        <f>IFERROR(VLOOKUP($C207,装備品!$1:$998,COLUMN(Q$1),FALSE),"")</f>
        <v>0</v>
      </c>
      <c r="U207">
        <f>IFERROR(VLOOKUP($C207,装備品!$1:$998,COLUMN(R$1),FALSE),"")</f>
        <v>0</v>
      </c>
      <c r="V207">
        <f>IFERROR(VLOOKUP($C207,装備品!$1:$998,COLUMN(Q$1),FALSE),"")</f>
        <v>0</v>
      </c>
      <c r="W207">
        <f>IFERROR(VLOOKUP($C207,装備品!$1:$998,COLUMN(T$1),FALSE),"")</f>
        <v>0</v>
      </c>
      <c r="Y207">
        <f>IFERROR(VLOOKUP($C207,装備品!$1:$998,COLUMN(U$1),FALSE),"")</f>
        <v>0</v>
      </c>
      <c r="Z207">
        <f>IFERROR(ROUNDUP(VLOOKUP($C207,装備品!$1:$998,COLUMN(O$1),FALSE)*VLOOKUP($D207,素材!$1:$1016,COLUMN(E$1),FALSE),1),"")</f>
        <v>0</v>
      </c>
      <c r="AA207">
        <f>IF(ISNUMBER(SEARCH(SUBSTITUTE(AA$1,RIGHT(AA$1,2),""),VLOOKUP($D207,素材!$1:$1016,COLUMN($F$1),FALSE))),VLOOKUP($C207,装備品!$1:$998,COLUMN($O$1),FALSE)*VLOOKUP($D207,素材!$1:$1016,COLUMN($E$1),FALSE)/(LEN(VLOOKUP($D207,素材!$1:$1016,COLUMN($F$1),FALSE))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IFERROR(VLOOKUP($C207,装備品!$1:$998,COLUMN(V$1),FALSE)*VLOOKUP($D207,素材!$1:$1016,COLUMN(N$1),FALSE)+IF(CI207="",0,VLOOKUP($CI207,付与!$1:$1176,COLUMN($CK$1),FALSE)),"")</f>
        <v>0</v>
      </c>
      <c r="CO207">
        <f>VLOOKUP(D207,素材!$A:$O,COLUMN(素材!O$1),FALSE)</f>
        <v>0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IFERROR(VLOOKUP($D208,素材!$1:$1016,COLUMN($B$1),FALSE)&amp;"・"&amp;VLOOKUP($C208,装備品!$1:$998,COLUMN(B$1),FALSE),"")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IFERROR(VLOOKUP(C208,装備品!$1:$998,COLUMN(C$1),FALSE),"")</f>
        <v>武器</v>
      </c>
      <c r="F208">
        <f>IFERROR(ROUNDDOWN((VLOOKUP($C208,装備品!$1:$998,COLUMN(D$1),FALSE)+IFERROR(VLOOKUP($CI208,付与!$1:$1167,COLUMN(F$1),FALSE),0))*VLOOKUP($D208,素材!$1:$1016,COLUMN(D$1),FALSE),0),"")</f>
        <v>110</v>
      </c>
      <c r="G208">
        <f>IFERROR(ROUNDDOWN((VLOOKUP($C208,装備品!$1:$998,COLUMN(E$1),FALSE)+IFERROR(VLOOKUP($CI208,付与!$1:$1167,COLUMN(G$1),FALSE),0))*VLOOKUP($D208,素材!$1:$1016,COLUMN($E$1),FALSE),0),"")</f>
        <v>0</v>
      </c>
      <c r="H208">
        <f>IFERROR(ROUNDDOWN((VLOOKUP($C208,装備品!$1:$998,COLUMN(F$1),FALSE)+IFERROR(VLOOKUP($CI208,付与!$1:$1167,COLUMN(H$1),FALSE),0))*VLOOKUP($D208,素材!$1:$1016,COLUMN($E$1),FALSE),0),"")</f>
        <v>0</v>
      </c>
      <c r="I208">
        <f>IFERROR(ROUNDDOWN((VLOOKUP($C208,装備品!$1:$998,COLUMN(G$1),FALSE)+IFERROR(VLOOKUP($CI208,付与!$1:$1167,COLUMN(I$1),FALSE),0))*VLOOKUP($D208,素材!$1:$1016,COLUMN($E$1),FALSE),0),"")</f>
        <v>23</v>
      </c>
      <c r="J208">
        <f>IFERROR(ROUNDDOWN((VLOOKUP($C208,装備品!$1:$998,COLUMN(H$1),FALSE)+IFERROR(VLOOKUP($CI208,付与!$1:$1167,COLUMN(J$1),FALSE),0))*VLOOKUP($D208,素材!$1:$1016,COLUMN($E$1),FALSE),0),"")</f>
        <v>19</v>
      </c>
      <c r="K208">
        <f>IFERROR(ROUNDDOWN((VLOOKUP($C208,装備品!$1:$998,COLUMN(I$1),FALSE)+IFERROR(VLOOKUP($CI208,付与!$1:$1167,COLUMN(K$1),FALSE),0))*VLOOKUP($D208,素材!$1:$1016,COLUMN($E$1),FALSE),0),"")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IFERROR(VLOOKUP($C208,装備品!$1:$998,COLUMN(AA$1),FALSE)*VLOOKUP($D208,素材!$1:$1016,COLUMN($G$1),FALSE),"")</f>
        <v>70</v>
      </c>
      <c r="N208">
        <f>IFERROR(VLOOKUP($C208,装備品!$1:$998,COLUMN(I$1),FALSE),"")</f>
        <v>0</v>
      </c>
      <c r="O208" s="23">
        <f>IFERROR((VLOOKUP($C208,装備品!$1:$998,COLUMN(K$1),FALSE)+VLOOKUP($D208,素材!$1:$1016,COLUMN(H$1),FALSE))*100+IFERROR(VLOOKUP($CI208,付与!$1:$1167,COLUMN(O$1),FALSE),0),"")</f>
        <v>15</v>
      </c>
      <c r="P208" s="23">
        <f>IFERROR((VLOOKUP($C208,装備品!$1:$998,COLUMN(L$1),FALSE)+VLOOKUP($D208,素材!$1:$1016,COLUMN(I$1),FALSE))*100+IFERROR(VLOOKUP($CI208,付与!$1:$1167,COLUMN(P$1),FALSE),0),"")</f>
        <v>125</v>
      </c>
      <c r="Q208">
        <f>IFERROR(ROUNDUP(VLOOKUP($C208,装備品!$1:$998,COLUMN(M$1),FALSE)*(VLOOKUP($D208,素材!$1:$1002,COLUMN(D$1),FALSE)/100),1),"")</f>
        <v>0</v>
      </c>
      <c r="R208">
        <f>IFERROR(ROUNDUP(VLOOKUP($C208,装備品!$1:$998,COLUMN(N$1),FALSE)*(VLOOKUP($D208,素材!$1:$1002,COLUMN(D$1),FALSE)/100),1),"")</f>
        <v>-2</v>
      </c>
      <c r="S208">
        <f>IFERROR(VLOOKUP($C208,装備品!$1:$998,COLUMN(P$1),FALSE),"")</f>
        <v>0</v>
      </c>
      <c r="T208">
        <f>IFERROR(VLOOKUP($C208,装備品!$1:$998,COLUMN(Q$1),FALSE),"")</f>
        <v>0</v>
      </c>
      <c r="U208">
        <f>IFERROR(VLOOKUP($C208,装備品!$1:$998,COLUMN(R$1),FALSE),"")</f>
        <v>0</v>
      </c>
      <c r="V208">
        <f>IFERROR(VLOOKUP($C208,装備品!$1:$998,COLUMN(Q$1),FALSE),"")</f>
        <v>0</v>
      </c>
      <c r="W208">
        <f>IFERROR(VLOOKUP($C208,装備品!$1:$998,COLUMN(T$1),FALSE),"")</f>
        <v>0</v>
      </c>
      <c r="Y208">
        <f>IFERROR(VLOOKUP($C208,装備品!$1:$998,COLUMN(U$1),FALSE),"")</f>
        <v>0</v>
      </c>
      <c r="Z208">
        <f>IFERROR(ROUNDUP(VLOOKUP($C208,装備品!$1:$998,COLUMN(O$1),FALSE)*VLOOKUP($D208,素材!$1:$1016,COLUMN(E$1),FALSE),1),"")</f>
        <v>0</v>
      </c>
      <c r="AA208">
        <f>IF(ISNUMBER(SEARCH(SUBSTITUTE(AA$1,RIGHT(AA$1,2),""),VLOOKUP($D208,素材!$1:$1016,COLUMN($F$1),FALSE))),VLOOKUP($C208,装備品!$1:$998,COLUMN($O$1),FALSE)*VLOOKUP($D208,素材!$1:$1016,COLUMN($E$1),FALSE)/(LEN(VLOOKUP($D208,素材!$1:$1016,COLUMN($F$1),FALSE))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IFERROR(VLOOKUP($C208,装備品!$1:$998,COLUMN(V$1),FALSE)*VLOOKUP($D208,素材!$1:$1016,COLUMN(N$1),FALSE)+IF(CI208="",0,VLOOKUP($CI208,付与!$1:$1176,COLUMN($CK$1),FALSE)),"")</f>
        <v>0</v>
      </c>
      <c r="CO208">
        <f>VLOOKUP(D208,素材!$A:$O,COLUMN(素材!O$1),FALSE)</f>
        <v>0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IFERROR(VLOOKUP($D209,素材!$1:$1016,COLUMN($B$1),FALSE)&amp;"・"&amp;VLOOKUP($C209,装備品!$1:$998,COLUMN(B$1),FALSE),"")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IFERROR(VLOOKUP(C209,装備品!$1:$998,COLUMN(C$1),FALSE),"")</f>
        <v>武器</v>
      </c>
      <c r="F209">
        <f>IFERROR(ROUNDDOWN((VLOOKUP($C209,装備品!$1:$998,COLUMN(D$1),FALSE)+IFERROR(VLOOKUP($CI209,付与!$1:$1167,COLUMN(F$1),FALSE),0))*VLOOKUP($D209,素材!$1:$1016,COLUMN(D$1),FALSE),0),"")</f>
        <v>105</v>
      </c>
      <c r="G209">
        <f>IFERROR(ROUNDDOWN((VLOOKUP($C209,装備品!$1:$998,COLUMN(E$1),FALSE)+IFERROR(VLOOKUP($CI209,付与!$1:$1167,COLUMN(G$1),FALSE),0))*VLOOKUP($D209,素材!$1:$1016,COLUMN($E$1),FALSE),0),"")</f>
        <v>0</v>
      </c>
      <c r="H209">
        <f>IFERROR(ROUNDDOWN((VLOOKUP($C209,装備品!$1:$998,COLUMN(F$1),FALSE)+IFERROR(VLOOKUP($CI209,付与!$1:$1167,COLUMN(H$1),FALSE),0))*VLOOKUP($D209,素材!$1:$1016,COLUMN($E$1),FALSE),0),"")</f>
        <v>12</v>
      </c>
      <c r="I209">
        <f>IFERROR(ROUNDDOWN((VLOOKUP($C209,装備品!$1:$998,COLUMN(G$1),FALSE)+IFERROR(VLOOKUP($CI209,付与!$1:$1167,COLUMN(I$1),FALSE),0))*VLOOKUP($D209,素材!$1:$1016,COLUMN($E$1),FALSE),0),"")</f>
        <v>12</v>
      </c>
      <c r="J209">
        <f>IFERROR(ROUNDDOWN((VLOOKUP($C209,装備品!$1:$998,COLUMN(H$1),FALSE)+IFERROR(VLOOKUP($CI209,付与!$1:$1167,COLUMN(J$1),FALSE),0))*VLOOKUP($D209,素材!$1:$1016,COLUMN($E$1),FALSE),0),"")</f>
        <v>19</v>
      </c>
      <c r="K209">
        <f>IFERROR(ROUNDDOWN((VLOOKUP($C209,装備品!$1:$998,COLUMN(I$1),FALSE)+IFERROR(VLOOKUP($CI209,付与!$1:$1167,COLUMN(K$1),FALSE),0))*VLOOKUP($D209,素材!$1:$1016,COLUMN($E$1),FALSE),0),"")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IFERROR(VLOOKUP($C209,装備品!$1:$998,COLUMN(AA$1),FALSE)*VLOOKUP($D209,素材!$1:$1016,COLUMN($G$1),FALSE),"")</f>
        <v>70</v>
      </c>
      <c r="N209">
        <f>IFERROR(VLOOKUP($C209,装備品!$1:$998,COLUMN(I$1),FALSE),"")</f>
        <v>0</v>
      </c>
      <c r="O209" s="23">
        <f>IFERROR((VLOOKUP($C209,装備品!$1:$998,COLUMN(K$1),FALSE)+VLOOKUP($D209,素材!$1:$1016,COLUMN(H$1),FALSE))*100+IFERROR(VLOOKUP($CI209,付与!$1:$1167,COLUMN(O$1),FALSE),0),"")</f>
        <v>10</v>
      </c>
      <c r="P209" s="23">
        <f>IFERROR((VLOOKUP($C209,装備品!$1:$998,COLUMN(L$1),FALSE)+VLOOKUP($D209,素材!$1:$1016,COLUMN(I$1),FALSE))*100+IFERROR(VLOOKUP($CI209,付与!$1:$1167,COLUMN(P$1),FALSE),0),"")</f>
        <v>125</v>
      </c>
      <c r="Q209">
        <f>IFERROR(ROUNDUP(VLOOKUP($C209,装備品!$1:$998,COLUMN(M$1),FALSE)*(VLOOKUP($D209,素材!$1:$1002,COLUMN(D$1),FALSE)/100),1),"")</f>
        <v>-2.5</v>
      </c>
      <c r="R209">
        <f>IFERROR(ROUNDUP(VLOOKUP($C209,装備品!$1:$998,COLUMN(N$1),FALSE)*(VLOOKUP($D209,素材!$1:$1002,COLUMN(D$1),FALSE)/100),1),"")</f>
        <v>-2.5</v>
      </c>
      <c r="S209">
        <f>IFERROR(VLOOKUP($C209,装備品!$1:$998,COLUMN(P$1),FALSE),"")</f>
        <v>0</v>
      </c>
      <c r="T209">
        <f>IFERROR(VLOOKUP($C209,装備品!$1:$998,COLUMN(Q$1),FALSE),"")</f>
        <v>0</v>
      </c>
      <c r="U209">
        <f>IFERROR(VLOOKUP($C209,装備品!$1:$998,COLUMN(R$1),FALSE),"")</f>
        <v>0</v>
      </c>
      <c r="V209">
        <f>IFERROR(VLOOKUP($C209,装備品!$1:$998,COLUMN(Q$1),FALSE),"")</f>
        <v>0</v>
      </c>
      <c r="W209">
        <f>IFERROR(VLOOKUP($C209,装備品!$1:$998,COLUMN(T$1),FALSE),"")</f>
        <v>0</v>
      </c>
      <c r="Y209">
        <f>IFERROR(VLOOKUP($C209,装備品!$1:$998,COLUMN(U$1),FALSE),"")</f>
        <v>0</v>
      </c>
      <c r="Z209">
        <f>IFERROR(ROUNDUP(VLOOKUP($C209,装備品!$1:$998,COLUMN(O$1),FALSE)*VLOOKUP($D209,素材!$1:$1016,COLUMN(E$1),FALSE),1),"")</f>
        <v>0</v>
      </c>
      <c r="AA209">
        <f>IF(ISNUMBER(SEARCH(SUBSTITUTE(AA$1,RIGHT(AA$1,2),""),VLOOKUP($D209,素材!$1:$1016,COLUMN($F$1),FALSE))),VLOOKUP($C209,装備品!$1:$998,COLUMN($O$1),FALSE)*VLOOKUP($D209,素材!$1:$1016,COLUMN($E$1),FALSE)/(LEN(VLOOKUP($D209,素材!$1:$1016,COLUMN($F$1),FALSE))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IFERROR(VLOOKUP($C209,装備品!$1:$998,COLUMN(V$1),FALSE)*VLOOKUP($D209,素材!$1:$1016,COLUMN(N$1),FALSE)+IF(CI209="",0,VLOOKUP($CI209,付与!$1:$1176,COLUMN($CK$1),FALSE)),"")</f>
        <v>0</v>
      </c>
      <c r="CO209">
        <f>VLOOKUP(D209,素材!$A:$O,COLUMN(素材!O$1),FALSE)</f>
        <v>0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IFERROR(VLOOKUP($D210,素材!$1:$1016,COLUMN($B$1),FALSE)&amp;"・"&amp;VLOOKUP($C210,装備品!$1:$998,COLUMN(B$1),FALSE),"")</f>
        <v>ドゥララン・ハンマー</v>
      </c>
      <c r="C210" t="s">
        <v>226</v>
      </c>
      <c r="D210" s="24" t="s">
        <v>242</v>
      </c>
      <c r="E210" t="str">
        <f>IFERROR(VLOOKUP(C210,装備品!$1:$998,COLUMN(C$1),FALSE),"")</f>
        <v>武器</v>
      </c>
      <c r="F210">
        <f>IFERROR(ROUNDDOWN((VLOOKUP($C210,装備品!$1:$998,COLUMN(D$1),FALSE)+IFERROR(VLOOKUP($CI210,付与!$1:$1167,COLUMN(F$1),FALSE),0))*VLOOKUP($D210,素材!$1:$1016,COLUMN(D$1),FALSE),0),"")</f>
        <v>110</v>
      </c>
      <c r="G210">
        <f>IFERROR(ROUNDDOWN((VLOOKUP($C210,装備品!$1:$998,COLUMN(E$1),FALSE)+IFERROR(VLOOKUP($CI210,付与!$1:$1167,COLUMN(G$1),FALSE),0))*VLOOKUP($D210,素材!$1:$1016,COLUMN($E$1),FALSE),0),"")</f>
        <v>0</v>
      </c>
      <c r="H210">
        <f>IFERROR(ROUNDDOWN((VLOOKUP($C210,装備品!$1:$998,COLUMN(F$1),FALSE)+IFERROR(VLOOKUP($CI210,付与!$1:$1167,COLUMN(H$1),FALSE),0))*VLOOKUP($D210,素材!$1:$1016,COLUMN($E$1),FALSE),0),"")</f>
        <v>0</v>
      </c>
      <c r="I210">
        <f>IFERROR(ROUNDDOWN((VLOOKUP($C210,装備品!$1:$998,COLUMN(G$1),FALSE)+IFERROR(VLOOKUP($CI210,付与!$1:$1167,COLUMN(I$1),FALSE),0))*VLOOKUP($D210,素材!$1:$1016,COLUMN($E$1),FALSE),0),"")</f>
        <v>22</v>
      </c>
      <c r="J210">
        <f>IFERROR(ROUNDDOWN((VLOOKUP($C210,装備品!$1:$998,COLUMN(H$1),FALSE)+IFERROR(VLOOKUP($CI210,付与!$1:$1167,COLUMN(J$1),FALSE),0))*VLOOKUP($D210,素材!$1:$1016,COLUMN($E$1),FALSE),0),"")</f>
        <v>19</v>
      </c>
      <c r="K210">
        <f>IFERROR(ROUNDDOWN((VLOOKUP($C210,装備品!$1:$998,COLUMN(I$1),FALSE)+IFERROR(VLOOKUP($CI210,付与!$1:$1167,COLUMN(K$1),FALSE),0))*VLOOKUP($D210,素材!$1:$1016,COLUMN($E$1),FALSE),0),"")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IFERROR(VLOOKUP($C210,装備品!$1:$998,COLUMN(AA$1),FALSE)*VLOOKUP($D210,素材!$1:$1016,COLUMN($G$1),FALSE),"")</f>
        <v>70</v>
      </c>
      <c r="N210">
        <f>IFERROR(VLOOKUP($C210,装備品!$1:$998,COLUMN(I$1),FALSE),"")</f>
        <v>0</v>
      </c>
      <c r="O210" s="23">
        <f>IFERROR((VLOOKUP($C210,装備品!$1:$998,COLUMN(K$1),FALSE)+VLOOKUP($D210,素材!$1:$1016,COLUMN(H$1),FALSE))*100+IFERROR(VLOOKUP($CI210,付与!$1:$1167,COLUMN(O$1),FALSE),0),"")</f>
        <v>10</v>
      </c>
      <c r="P210" s="23">
        <f>IFERROR((VLOOKUP($C210,装備品!$1:$998,COLUMN(L$1),FALSE)+VLOOKUP($D210,素材!$1:$1016,COLUMN(I$1),FALSE))*100+IFERROR(VLOOKUP($CI210,付与!$1:$1167,COLUMN(P$1),FALSE),0),"")</f>
        <v>150</v>
      </c>
      <c r="Q210">
        <f>IFERROR(ROUNDUP(VLOOKUP($C210,装備品!$1:$998,COLUMN(M$1),FALSE)*(VLOOKUP($D210,素材!$1:$1002,COLUMN(D$1),FALSE)/100),1),"")</f>
        <v>-2.5</v>
      </c>
      <c r="R210">
        <f>IFERROR(ROUNDUP(VLOOKUP($C210,装備品!$1:$998,COLUMN(N$1),FALSE)*(VLOOKUP($D210,素材!$1:$1002,COLUMN(D$1),FALSE)/100),1),"")</f>
        <v>0</v>
      </c>
      <c r="S210">
        <f>IFERROR(VLOOKUP($C210,装備品!$1:$998,COLUMN(P$1),FALSE),"")</f>
        <v>0</v>
      </c>
      <c r="T210">
        <f>IFERROR(VLOOKUP($C210,装備品!$1:$998,COLUMN(Q$1),FALSE),"")</f>
        <v>0</v>
      </c>
      <c r="U210">
        <f>IFERROR(VLOOKUP($C210,装備品!$1:$998,COLUMN(R$1),FALSE),"")</f>
        <v>0</v>
      </c>
      <c r="V210">
        <f>IFERROR(VLOOKUP($C210,装備品!$1:$998,COLUMN(Q$1),FALSE),"")</f>
        <v>0</v>
      </c>
      <c r="W210">
        <f>IFERROR(VLOOKUP($C210,装備品!$1:$998,COLUMN(T$1),FALSE),"")</f>
        <v>0</v>
      </c>
      <c r="Y210">
        <f>IFERROR(VLOOKUP($C210,装備品!$1:$998,COLUMN(U$1),FALSE),"")</f>
        <v>0</v>
      </c>
      <c r="Z210">
        <f>IFERROR(ROUNDUP(VLOOKUP($C210,装備品!$1:$998,COLUMN(O$1),FALSE)*VLOOKUP($D210,素材!$1:$1016,COLUMN(E$1),FALSE),1),"")</f>
        <v>0</v>
      </c>
      <c r="AA210">
        <f>IF(ISNUMBER(SEARCH(SUBSTITUTE(AA$1,RIGHT(AA$1,2),""),VLOOKUP($D210,素材!$1:$1016,COLUMN($F$1),FALSE))),VLOOKUP($C210,装備品!$1:$998,COLUMN($O$1),FALSE)*VLOOKUP($D210,素材!$1:$1016,COLUMN($E$1),FALSE)/(LEN(VLOOKUP($D210,素材!$1:$1016,COLUMN($F$1),FALSE))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IFERROR(VLOOKUP($C210,装備品!$1:$998,COLUMN(V$1),FALSE)*VLOOKUP($D210,素材!$1:$1016,COLUMN(N$1),FALSE)+IF(CI210="",0,VLOOKUP($CI210,付与!$1:$1176,COLUMN($CK$1),FALSE)),"")</f>
        <v>0</v>
      </c>
      <c r="CO210">
        <f>VLOOKUP(D210,素材!$A:$O,COLUMN(素材!O$1),FALSE)</f>
        <v>0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IFERROR(VLOOKUP($D211,素材!$1:$1016,COLUMN($B$1),FALSE)&amp;"・"&amp;VLOOKUP($C211,装備品!$1:$998,COLUMN(B$1),FALSE),"")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IFERROR(VLOOKUP(C211,装備品!$1:$998,COLUMN(C$1),FALSE),"")</f>
        <v>武器</v>
      </c>
      <c r="F211">
        <f>IFERROR(ROUNDDOWN((VLOOKUP($C211,装備品!$1:$998,COLUMN(D$1),FALSE)+IFERROR(VLOOKUP($CI211,付与!$1:$1167,COLUMN(F$1),FALSE),0))*VLOOKUP($D211,素材!$1:$1016,COLUMN(D$1),FALSE),0),"")</f>
        <v>125</v>
      </c>
      <c r="G211">
        <f>IFERROR(ROUNDDOWN((VLOOKUP($C211,装備品!$1:$998,COLUMN(E$1),FALSE)+IFERROR(VLOOKUP($CI211,付与!$1:$1167,COLUMN(G$1),FALSE),0))*VLOOKUP($D211,素材!$1:$1016,COLUMN($E$1),FALSE),0),"")</f>
        <v>0</v>
      </c>
      <c r="H211">
        <f>IFERROR(ROUNDDOWN((VLOOKUP($C211,装備品!$1:$998,COLUMN(F$1),FALSE)+IFERROR(VLOOKUP($CI211,付与!$1:$1167,COLUMN(H$1),FALSE),0))*VLOOKUP($D211,素材!$1:$1016,COLUMN($E$1),FALSE),0),"")</f>
        <v>0</v>
      </c>
      <c r="I211">
        <f>IFERROR(ROUNDDOWN((VLOOKUP($C211,装備品!$1:$998,COLUMN(G$1),FALSE)+IFERROR(VLOOKUP($CI211,付与!$1:$1167,COLUMN(I$1),FALSE),0))*VLOOKUP($D211,素材!$1:$1016,COLUMN($E$1),FALSE),0),"")</f>
        <v>24</v>
      </c>
      <c r="J211">
        <f>IFERROR(ROUNDDOWN((VLOOKUP($C211,装備品!$1:$998,COLUMN(H$1),FALSE)+IFERROR(VLOOKUP($CI211,付与!$1:$1167,COLUMN(J$1),FALSE),0))*VLOOKUP($D211,素材!$1:$1016,COLUMN($E$1),FALSE),0),"")</f>
        <v>21</v>
      </c>
      <c r="K211">
        <f>IFERROR(ROUNDDOWN((VLOOKUP($C211,装備品!$1:$998,COLUMN(I$1),FALSE)+IFERROR(VLOOKUP($CI211,付与!$1:$1167,COLUMN(K$1),FALSE),0))*VLOOKUP($D211,素材!$1:$1016,COLUMN($E$1),FALSE),0),"")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IFERROR(VLOOKUP($C211,装備品!$1:$998,COLUMN(AA$1),FALSE)*VLOOKUP($D211,素材!$1:$1016,COLUMN($G$1),FALSE),"")</f>
        <v>87.5</v>
      </c>
      <c r="N211">
        <f>IFERROR(VLOOKUP($C211,装備品!$1:$998,COLUMN(I$1),FALSE),"")</f>
        <v>0</v>
      </c>
      <c r="O211" s="23">
        <f>IFERROR((VLOOKUP($C211,装備品!$1:$998,COLUMN(K$1),FALSE)+VLOOKUP($D211,素材!$1:$1016,COLUMN(H$1),FALSE))*100+IFERROR(VLOOKUP($CI211,付与!$1:$1167,COLUMN(O$1),FALSE),0),"")</f>
        <v>10</v>
      </c>
      <c r="P211" s="23">
        <f>IFERROR((VLOOKUP($C211,装備品!$1:$998,COLUMN(L$1),FALSE)+VLOOKUP($D211,素材!$1:$1016,COLUMN(I$1),FALSE))*100+IFERROR(VLOOKUP($CI211,付与!$1:$1167,COLUMN(P$1),FALSE),0),"")</f>
        <v>150</v>
      </c>
      <c r="Q211">
        <f>IFERROR(ROUNDUP(VLOOKUP($C211,装備品!$1:$998,COLUMN(M$1),FALSE)*(VLOOKUP($D211,素材!$1:$1002,COLUMN(D$1),FALSE)/100),1),"")</f>
        <v>-5</v>
      </c>
      <c r="R211">
        <f>IFERROR(ROUNDUP(VLOOKUP($C211,装備品!$1:$998,COLUMN(N$1),FALSE)*(VLOOKUP($D211,素材!$1:$1002,COLUMN(D$1),FALSE)/100),1),"")</f>
        <v>-5</v>
      </c>
      <c r="S211">
        <f>IFERROR(VLOOKUP($C211,装備品!$1:$998,COLUMN(P$1),FALSE),"")</f>
        <v>0</v>
      </c>
      <c r="T211">
        <f>IFERROR(VLOOKUP($C211,装備品!$1:$998,COLUMN(Q$1),FALSE),"")</f>
        <v>0</v>
      </c>
      <c r="U211">
        <f>IFERROR(VLOOKUP($C211,装備品!$1:$998,COLUMN(R$1),FALSE),"")</f>
        <v>0</v>
      </c>
      <c r="V211">
        <f>IFERROR(VLOOKUP($C211,装備品!$1:$998,COLUMN(Q$1),FALSE),"")</f>
        <v>0</v>
      </c>
      <c r="W211">
        <f>IFERROR(VLOOKUP($C211,装備品!$1:$998,COLUMN(T$1),FALSE),"")</f>
        <v>0</v>
      </c>
      <c r="Y211">
        <f>IFERROR(VLOOKUP($C211,装備品!$1:$998,COLUMN(U$1),FALSE),"")</f>
        <v>0</v>
      </c>
      <c r="Z211">
        <f>IFERROR(ROUNDUP(VLOOKUP($C211,装備品!$1:$998,COLUMN(O$1),FALSE)*VLOOKUP($D211,素材!$1:$1016,COLUMN(E$1),FALSE),1),"")</f>
        <v>0</v>
      </c>
      <c r="AA211">
        <f>IF(ISNUMBER(SEARCH(SUBSTITUTE(AA$1,RIGHT(AA$1,2),""),VLOOKUP($D211,素材!$1:$1016,COLUMN($F$1),FALSE))),VLOOKUP($C211,装備品!$1:$998,COLUMN($O$1),FALSE)*VLOOKUP($D211,素材!$1:$1016,COLUMN($E$1),FALSE)/(LEN(VLOOKUP($D211,素材!$1:$1016,COLUMN($F$1),FALSE))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IFERROR(VLOOKUP($C211,装備品!$1:$998,COLUMN(V$1),FALSE)*VLOOKUP($D211,素材!$1:$1016,COLUMN(N$1),FALSE)+IF(CI211="",0,VLOOKUP($CI211,付与!$1:$1176,COLUMN($CK$1),FALSE)),"")</f>
        <v>0</v>
      </c>
      <c r="CO211">
        <f>VLOOKUP(D211,素材!$A:$O,COLUMN(素材!O$1),FALSE)</f>
        <v>0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IFERROR(VLOOKUP($D212,素材!$1:$1016,COLUMN($B$1),FALSE)&amp;"・"&amp;VLOOKUP($C212,装備品!$1:$998,COLUMN(B$1),FALSE),"")</f>
        <v>ドゥララン・シックル</v>
      </c>
      <c r="C212" t="s">
        <v>224</v>
      </c>
      <c r="D212" s="24" t="s">
        <v>242</v>
      </c>
      <c r="E212" t="str">
        <f>IFERROR(VLOOKUP(C212,装備品!$1:$998,COLUMN(C$1),FALSE),"")</f>
        <v>武器</v>
      </c>
      <c r="F212">
        <f>IFERROR(ROUNDDOWN((VLOOKUP($C212,装備品!$1:$998,COLUMN(D$1),FALSE)+IFERROR(VLOOKUP($CI212,付与!$1:$1167,COLUMN(F$1),FALSE),0))*VLOOKUP($D212,素材!$1:$1016,COLUMN(D$1),FALSE),0),"")</f>
        <v>125</v>
      </c>
      <c r="G212">
        <f>IFERROR(ROUNDDOWN((VLOOKUP($C212,装備品!$1:$998,COLUMN(E$1),FALSE)+IFERROR(VLOOKUP($CI212,付与!$1:$1167,COLUMN(G$1),FALSE),0))*VLOOKUP($D212,素材!$1:$1016,COLUMN($E$1),FALSE),0),"")</f>
        <v>9</v>
      </c>
      <c r="H212">
        <f>IFERROR(ROUNDDOWN((VLOOKUP($C212,装備品!$1:$998,COLUMN(F$1),FALSE)+IFERROR(VLOOKUP($CI212,付与!$1:$1167,COLUMN(H$1),FALSE),0))*VLOOKUP($D212,素材!$1:$1016,COLUMN($E$1),FALSE),0),"")</f>
        <v>11</v>
      </c>
      <c r="I212">
        <f>IFERROR(ROUNDDOWN((VLOOKUP($C212,装備品!$1:$998,COLUMN(G$1),FALSE)+IFERROR(VLOOKUP($CI212,付与!$1:$1167,COLUMN(I$1),FALSE),0))*VLOOKUP($D212,素材!$1:$1016,COLUMN($E$1),FALSE),0),"")</f>
        <v>1</v>
      </c>
      <c r="J212">
        <f>IFERROR(ROUNDDOWN((VLOOKUP($C212,装備品!$1:$998,COLUMN(H$1),FALSE)+IFERROR(VLOOKUP($CI212,付与!$1:$1167,COLUMN(J$1),FALSE),0))*VLOOKUP($D212,素材!$1:$1016,COLUMN($E$1),FALSE),0),"")</f>
        <v>17</v>
      </c>
      <c r="K212">
        <f>IFERROR(ROUNDDOWN((VLOOKUP($C212,装備品!$1:$998,COLUMN(I$1),FALSE)+IFERROR(VLOOKUP($CI212,付与!$1:$1167,COLUMN(K$1),FALSE),0))*VLOOKUP($D212,素材!$1:$1016,COLUMN($E$1),FALSE),0),"")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IFERROR(VLOOKUP($C212,装備品!$1:$998,COLUMN(AA$1),FALSE)*VLOOKUP($D212,素材!$1:$1016,COLUMN($G$1),FALSE),"")</f>
        <v>70</v>
      </c>
      <c r="N212">
        <f>IFERROR(VLOOKUP($C212,装備品!$1:$998,COLUMN(I$1),FALSE),"")</f>
        <v>0</v>
      </c>
      <c r="O212" s="23">
        <f>IFERROR((VLOOKUP($C212,装備品!$1:$998,COLUMN(K$1),FALSE)+VLOOKUP($D212,素材!$1:$1016,COLUMN(H$1),FALSE))*100+IFERROR(VLOOKUP($CI212,付与!$1:$1167,COLUMN(O$1),FALSE),0),"")</f>
        <v>5</v>
      </c>
      <c r="P212" s="23">
        <f>IFERROR((VLOOKUP($C212,装備品!$1:$998,COLUMN(L$1),FALSE)+VLOOKUP($D212,素材!$1:$1016,COLUMN(I$1),FALSE))*100+IFERROR(VLOOKUP($CI212,付与!$1:$1167,COLUMN(P$1),FALSE),0),"")</f>
        <v>200</v>
      </c>
      <c r="Q212">
        <f>IFERROR(ROUNDUP(VLOOKUP($C212,装備品!$1:$998,COLUMN(M$1),FALSE)*(VLOOKUP($D212,素材!$1:$1002,COLUMN(D$1),FALSE)/100),1),"")</f>
        <v>0</v>
      </c>
      <c r="R212">
        <f>IFERROR(ROUNDUP(VLOOKUP($C212,装備品!$1:$998,COLUMN(N$1),FALSE)*(VLOOKUP($D212,素材!$1:$1002,COLUMN(D$1),FALSE)/100),1),"")</f>
        <v>0</v>
      </c>
      <c r="S212">
        <f>IFERROR(VLOOKUP($C212,装備品!$1:$998,COLUMN(P$1),FALSE),"")</f>
        <v>0</v>
      </c>
      <c r="T212">
        <f>IFERROR(VLOOKUP($C212,装備品!$1:$998,COLUMN(Q$1),FALSE),"")</f>
        <v>0</v>
      </c>
      <c r="U212">
        <f>IFERROR(VLOOKUP($C212,装備品!$1:$998,COLUMN(R$1),FALSE),"")</f>
        <v>0</v>
      </c>
      <c r="V212">
        <f>IFERROR(VLOOKUP($C212,装備品!$1:$998,COLUMN(Q$1),FALSE),"")</f>
        <v>0</v>
      </c>
      <c r="W212">
        <f>IFERROR(VLOOKUP($C212,装備品!$1:$998,COLUMN(T$1),FALSE),"")</f>
        <v>0</v>
      </c>
      <c r="Y212">
        <f>IFERROR(VLOOKUP($C212,装備品!$1:$998,COLUMN(U$1),FALSE),"")</f>
        <v>0</v>
      </c>
      <c r="Z212">
        <f>IFERROR(ROUNDUP(VLOOKUP($C212,装備品!$1:$998,COLUMN(O$1),FALSE)*VLOOKUP($D212,素材!$1:$1016,COLUMN(E$1),FALSE),1),"")</f>
        <v>0</v>
      </c>
      <c r="AA212">
        <f>IF(ISNUMBER(SEARCH(SUBSTITUTE(AA$1,RIGHT(AA$1,2),""),VLOOKUP($D212,素材!$1:$1016,COLUMN($F$1),FALSE))),VLOOKUP($C212,装備品!$1:$998,COLUMN($O$1),FALSE)*VLOOKUP($D212,素材!$1:$1016,COLUMN($E$1),FALSE)/(LEN(VLOOKUP($D212,素材!$1:$1016,COLUMN($F$1),FALSE))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IFERROR(VLOOKUP($C212,装備品!$1:$998,COLUMN(V$1),FALSE)*VLOOKUP($D212,素材!$1:$1016,COLUMN(N$1),FALSE)+IF(CI212="",0,VLOOKUP($CI212,付与!$1:$1176,COLUMN($CK$1),FALSE)),"")</f>
        <v>0</v>
      </c>
      <c r="CO212">
        <f>VLOOKUP(D212,素材!$A:$O,COLUMN(素材!O$1),FALSE)</f>
        <v>0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IFERROR(VLOOKUP($D213,素材!$1:$1016,COLUMN($B$1),FALSE)&amp;"・"&amp;VLOOKUP($C213,装備品!$1:$998,COLUMN(B$1),FALSE),"")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IFERROR(VLOOKUP(C213,装備品!$1:$998,COLUMN(C$1),FALSE),"")</f>
        <v>武器</v>
      </c>
      <c r="F213">
        <f>IFERROR(ROUNDDOWN((VLOOKUP($C213,装備品!$1:$998,COLUMN(D$1),FALSE)+IFERROR(VLOOKUP($CI213,付与!$1:$1167,COLUMN(F$1),FALSE),0))*VLOOKUP($D213,素材!$1:$1016,COLUMN(D$1),FALSE),0),"")</f>
        <v>115</v>
      </c>
      <c r="G213">
        <f>IFERROR(ROUNDDOWN((VLOOKUP($C213,装備品!$1:$998,COLUMN(E$1),FALSE)+IFERROR(VLOOKUP($CI213,付与!$1:$1167,COLUMN(G$1),FALSE),0))*VLOOKUP($D213,素材!$1:$1016,COLUMN($E$1),FALSE),0),"")</f>
        <v>19</v>
      </c>
      <c r="H213">
        <f>IFERROR(ROUNDDOWN((VLOOKUP($C213,装備品!$1:$998,COLUMN(F$1),FALSE)+IFERROR(VLOOKUP($CI213,付与!$1:$1167,COLUMN(H$1),FALSE),0))*VLOOKUP($D213,素材!$1:$1016,COLUMN($E$1),FALSE),0),"")</f>
        <v>0</v>
      </c>
      <c r="I213">
        <f>IFERROR(ROUNDDOWN((VLOOKUP($C213,装備品!$1:$998,COLUMN(G$1),FALSE)+IFERROR(VLOOKUP($CI213,付与!$1:$1167,COLUMN(I$1),FALSE),0))*VLOOKUP($D213,素材!$1:$1016,COLUMN($E$1),FALSE),0),"")</f>
        <v>6</v>
      </c>
      <c r="J213">
        <f>IFERROR(ROUNDDOWN((VLOOKUP($C213,装備品!$1:$998,COLUMN(H$1),FALSE)+IFERROR(VLOOKUP($CI213,付与!$1:$1167,COLUMN(J$1),FALSE),0))*VLOOKUP($D213,素材!$1:$1016,COLUMN($E$1),FALSE),0),"")</f>
        <v>20</v>
      </c>
      <c r="K213">
        <f>IFERROR(ROUNDDOWN((VLOOKUP($C213,装備品!$1:$998,COLUMN(I$1),FALSE)+IFERROR(VLOOKUP($CI213,付与!$1:$1167,COLUMN(K$1),FALSE),0))*VLOOKUP($D213,素材!$1:$1016,COLUMN($E$1),FALSE),0),"")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IFERROR(VLOOKUP($C213,装備品!$1:$998,COLUMN(AA$1),FALSE)*VLOOKUP($D213,素材!$1:$1016,COLUMN($G$1),FALSE),"")</f>
        <v>70</v>
      </c>
      <c r="N213">
        <f>IFERROR(VLOOKUP($C213,装備品!$1:$998,COLUMN(I$1),FALSE),"")</f>
        <v>0</v>
      </c>
      <c r="O213" s="23">
        <f>IFERROR((VLOOKUP($C213,装備品!$1:$998,COLUMN(K$1),FALSE)+VLOOKUP($D213,素材!$1:$1016,COLUMN(H$1),FALSE))*100+IFERROR(VLOOKUP($CI213,付与!$1:$1167,COLUMN(O$1),FALSE),0),"")</f>
        <v>5</v>
      </c>
      <c r="P213" s="23">
        <f>IFERROR((VLOOKUP($C213,装備品!$1:$998,COLUMN(L$1),FALSE)+VLOOKUP($D213,素材!$1:$1016,COLUMN(I$1),FALSE))*100+IFERROR(VLOOKUP($CI213,付与!$1:$1167,COLUMN(P$1),FALSE),0),"")</f>
        <v>175</v>
      </c>
      <c r="Q213">
        <f>IFERROR(ROUNDUP(VLOOKUP($C213,装備品!$1:$998,COLUMN(M$1),FALSE)*(VLOOKUP($D213,素材!$1:$1002,COLUMN(D$1),FALSE)/100),1),"")</f>
        <v>-2.5</v>
      </c>
      <c r="R213">
        <f>IFERROR(ROUNDUP(VLOOKUP($C213,装備品!$1:$998,COLUMN(N$1),FALSE)*(VLOOKUP($D213,素材!$1:$1002,COLUMN(D$1),FALSE)/100),1),"")</f>
        <v>0</v>
      </c>
      <c r="S213">
        <f>IFERROR(VLOOKUP($C213,装備品!$1:$998,COLUMN(P$1),FALSE),"")</f>
        <v>0</v>
      </c>
      <c r="T213">
        <f>IFERROR(VLOOKUP($C213,装備品!$1:$998,COLUMN(Q$1),FALSE),"")</f>
        <v>0</v>
      </c>
      <c r="U213">
        <f>IFERROR(VLOOKUP($C213,装備品!$1:$998,COLUMN(R$1),FALSE),"")</f>
        <v>0</v>
      </c>
      <c r="V213">
        <f>IFERROR(VLOOKUP($C213,装備品!$1:$998,COLUMN(Q$1),FALSE),"")</f>
        <v>0</v>
      </c>
      <c r="W213">
        <f>IFERROR(VLOOKUP($C213,装備品!$1:$998,COLUMN(T$1),FALSE),"")</f>
        <v>0</v>
      </c>
      <c r="Y213">
        <f>IFERROR(VLOOKUP($C213,装備品!$1:$998,COLUMN(U$1),FALSE),"")</f>
        <v>0</v>
      </c>
      <c r="Z213">
        <f>IFERROR(ROUNDUP(VLOOKUP($C213,装備品!$1:$998,COLUMN(O$1),FALSE)*VLOOKUP($D213,素材!$1:$1016,COLUMN(E$1),FALSE),1),"")</f>
        <v>0</v>
      </c>
      <c r="AA213">
        <f>IF(ISNUMBER(SEARCH(SUBSTITUTE(AA$1,RIGHT(AA$1,2),""),VLOOKUP($D213,素材!$1:$1016,COLUMN($F$1),FALSE))),VLOOKUP($C213,装備品!$1:$998,COLUMN($O$1),FALSE)*VLOOKUP($D213,素材!$1:$1016,COLUMN($E$1),FALSE)/(LEN(VLOOKUP($D213,素材!$1:$1016,COLUMN($F$1),FALSE))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IFERROR(VLOOKUP($C213,装備品!$1:$998,COLUMN(V$1),FALSE)*VLOOKUP($D213,素材!$1:$1016,COLUMN(N$1),FALSE)+IF(CI213="",0,VLOOKUP($CI213,付与!$1:$1176,COLUMN($CK$1),FALSE)),"")</f>
        <v>0</v>
      </c>
      <c r="CO213">
        <f>VLOOKUP(D213,素材!$A:$O,COLUMN(素材!O$1),FALSE)</f>
        <v>0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IFERROR(VLOOKUP($D214,素材!$1:$1016,COLUMN($B$1),FALSE)&amp;"・"&amp;VLOOKUP($C214,装備品!$1:$998,COLUMN(B$1),FALSE),"")</f>
        <v>ドゥララン・ウィップ</v>
      </c>
      <c r="C214" t="s">
        <v>222</v>
      </c>
      <c r="D214" s="24" t="s">
        <v>242</v>
      </c>
      <c r="E214" t="str">
        <f>IFERROR(VLOOKUP(C214,装備品!$1:$998,COLUMN(C$1),FALSE),"")</f>
        <v>武器</v>
      </c>
      <c r="F214">
        <f>IFERROR(ROUNDDOWN((VLOOKUP($C214,装備品!$1:$998,COLUMN(D$1),FALSE)+IFERROR(VLOOKUP($CI214,付与!$1:$1167,COLUMN(F$1),FALSE),0))*VLOOKUP($D214,素材!$1:$1016,COLUMN(D$1),FALSE),0),"")</f>
        <v>105</v>
      </c>
      <c r="G214">
        <f>IFERROR(ROUNDDOWN((VLOOKUP($C214,装備品!$1:$998,COLUMN(E$1),FALSE)+IFERROR(VLOOKUP($CI214,付与!$1:$1167,COLUMN(G$1),FALSE),0))*VLOOKUP($D214,素材!$1:$1016,COLUMN($E$1),FALSE),0),"")</f>
        <v>18</v>
      </c>
      <c r="H214">
        <f>IFERROR(ROUNDDOWN((VLOOKUP($C214,装備品!$1:$998,COLUMN(F$1),FALSE)+IFERROR(VLOOKUP($CI214,付与!$1:$1167,COLUMN(H$1),FALSE),0))*VLOOKUP($D214,素材!$1:$1016,COLUMN($E$1),FALSE),0),"")</f>
        <v>0</v>
      </c>
      <c r="I214">
        <f>IFERROR(ROUNDDOWN((VLOOKUP($C214,装備品!$1:$998,COLUMN(G$1),FALSE)+IFERROR(VLOOKUP($CI214,付与!$1:$1167,COLUMN(I$1),FALSE),0))*VLOOKUP($D214,素材!$1:$1016,COLUMN($E$1),FALSE),0),"")</f>
        <v>4</v>
      </c>
      <c r="J214">
        <f>IFERROR(ROUNDDOWN((VLOOKUP($C214,装備品!$1:$998,COLUMN(H$1),FALSE)+IFERROR(VLOOKUP($CI214,付与!$1:$1167,COLUMN(J$1),FALSE),0))*VLOOKUP($D214,素材!$1:$1016,COLUMN($E$1),FALSE),0),"")</f>
        <v>11</v>
      </c>
      <c r="K214">
        <f>IFERROR(ROUNDDOWN((VLOOKUP($C214,装備品!$1:$998,COLUMN(I$1),FALSE)+IFERROR(VLOOKUP($CI214,付与!$1:$1167,COLUMN(K$1),FALSE),0))*VLOOKUP($D214,素材!$1:$1016,COLUMN($E$1),FALSE),0),"")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IFERROR(VLOOKUP($C214,装備品!$1:$998,COLUMN(AA$1),FALSE)*VLOOKUP($D214,素材!$1:$1016,COLUMN($G$1),FALSE),"")</f>
        <v>87.5</v>
      </c>
      <c r="N214">
        <f>IFERROR(VLOOKUP($C214,装備品!$1:$998,COLUMN(I$1),FALSE),"")</f>
        <v>0</v>
      </c>
      <c r="O214" s="23">
        <f>IFERROR((VLOOKUP($C214,装備品!$1:$998,COLUMN(K$1),FALSE)+VLOOKUP($D214,素材!$1:$1016,COLUMN(H$1),FALSE))*100+IFERROR(VLOOKUP($CI214,付与!$1:$1167,COLUMN(O$1),FALSE),0),"")</f>
        <v>10</v>
      </c>
      <c r="P214" s="23">
        <f>IFERROR((VLOOKUP($C214,装備品!$1:$998,COLUMN(L$1),FALSE)+VLOOKUP($D214,素材!$1:$1016,COLUMN(I$1),FALSE))*100+IFERROR(VLOOKUP($CI214,付与!$1:$1167,COLUMN(P$1),FALSE),0),"")</f>
        <v>150</v>
      </c>
      <c r="Q214">
        <f>IFERROR(ROUNDUP(VLOOKUP($C214,装備品!$1:$998,COLUMN(M$1),FALSE)*(VLOOKUP($D214,素材!$1:$1002,COLUMN(D$1),FALSE)/100),1),"")</f>
        <v>0</v>
      </c>
      <c r="R214">
        <f>IFERROR(ROUNDUP(VLOOKUP($C214,装備品!$1:$998,COLUMN(N$1),FALSE)*(VLOOKUP($D214,素材!$1:$1002,COLUMN(D$1),FALSE)/100),1),"")</f>
        <v>0</v>
      </c>
      <c r="S214">
        <f>IFERROR(VLOOKUP($C214,装備品!$1:$998,COLUMN(P$1),FALSE),"")</f>
        <v>0</v>
      </c>
      <c r="T214">
        <f>IFERROR(VLOOKUP($C214,装備品!$1:$998,COLUMN(Q$1),FALSE),"")</f>
        <v>0</v>
      </c>
      <c r="U214">
        <f>IFERROR(VLOOKUP($C214,装備品!$1:$998,COLUMN(R$1),FALSE),"")</f>
        <v>0</v>
      </c>
      <c r="V214">
        <f>IFERROR(VLOOKUP($C214,装備品!$1:$998,COLUMN(Q$1),FALSE),"")</f>
        <v>0</v>
      </c>
      <c r="W214">
        <f>IFERROR(VLOOKUP($C214,装備品!$1:$998,COLUMN(T$1),FALSE),"")</f>
        <v>0</v>
      </c>
      <c r="Y214">
        <f>IFERROR(VLOOKUP($C214,装備品!$1:$998,COLUMN(U$1),FALSE),"")</f>
        <v>1</v>
      </c>
      <c r="Z214">
        <f>IFERROR(ROUNDUP(VLOOKUP($C214,装備品!$1:$998,COLUMN(O$1),FALSE)*VLOOKUP($D214,素材!$1:$1016,COLUMN(E$1),FALSE),1),"")</f>
        <v>0</v>
      </c>
      <c r="AA214">
        <f>IF(ISNUMBER(SEARCH(SUBSTITUTE(AA$1,RIGHT(AA$1,2),""),VLOOKUP($D214,素材!$1:$1016,COLUMN($F$1),FALSE))),VLOOKUP($C214,装備品!$1:$998,COLUMN($O$1),FALSE)*VLOOKUP($D214,素材!$1:$1016,COLUMN($E$1),FALSE)/(LEN(VLOOKUP($D214,素材!$1:$1016,COLUMN($F$1),FALSE))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IFERROR(VLOOKUP($C214,装備品!$1:$998,COLUMN(V$1),FALSE)*VLOOKUP($D214,素材!$1:$1016,COLUMN(N$1),FALSE)+IF(CI214="",0,VLOOKUP($CI214,付与!$1:$1176,COLUMN($CK$1),FALSE)),"")</f>
        <v>0</v>
      </c>
      <c r="CO214">
        <f>VLOOKUP(D214,素材!$A:$O,COLUMN(素材!O$1),FALSE)</f>
        <v>0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IFERROR(VLOOKUP($D215,素材!$1:$1016,COLUMN($B$1),FALSE)&amp;"・"&amp;VLOOKUP($C215,装備品!$1:$998,COLUMN(B$1),FALSE),"")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IFERROR(VLOOKUP(C215,装備品!$1:$998,COLUMN(C$1),FALSE),"")</f>
        <v>盾</v>
      </c>
      <c r="F215">
        <f>IFERROR(ROUNDDOWN((VLOOKUP($C215,装備品!$1:$998,COLUMN(D$1),FALSE)+IFERROR(VLOOKUP($CI215,付与!$1:$1167,COLUMN(F$1),FALSE),0))*VLOOKUP($D215,素材!$1:$1016,COLUMN(D$1),FALSE),0),"")</f>
        <v>100</v>
      </c>
      <c r="G215">
        <f>IFERROR(ROUNDDOWN((VLOOKUP($C215,装備品!$1:$998,COLUMN(E$1),FALSE)+IFERROR(VLOOKUP($CI215,付与!$1:$1167,COLUMN(G$1),FALSE),0))*VLOOKUP($D215,素材!$1:$1016,COLUMN($E$1),FALSE),0),"")</f>
        <v>8</v>
      </c>
      <c r="H215">
        <f>IFERROR(ROUNDDOWN((VLOOKUP($C215,装備品!$1:$998,COLUMN(F$1),FALSE)+IFERROR(VLOOKUP($CI215,付与!$1:$1167,COLUMN(H$1),FALSE),0))*VLOOKUP($D215,素材!$1:$1016,COLUMN($E$1),FALSE),0),"")</f>
        <v>0</v>
      </c>
      <c r="I215">
        <f>IFERROR(ROUNDDOWN((VLOOKUP($C215,装備品!$1:$998,COLUMN(G$1),FALSE)+IFERROR(VLOOKUP($CI215,付与!$1:$1167,COLUMN(I$1),FALSE),0))*VLOOKUP($D215,素材!$1:$1016,COLUMN($E$1),FALSE),0),"")</f>
        <v>8</v>
      </c>
      <c r="J215">
        <f>IFERROR(ROUNDDOWN((VLOOKUP($C215,装備品!$1:$998,COLUMN(H$1),FALSE)+IFERROR(VLOOKUP($CI215,付与!$1:$1167,COLUMN(J$1),FALSE),0))*VLOOKUP($D215,素材!$1:$1016,COLUMN($E$1),FALSE),0),"")</f>
        <v>23</v>
      </c>
      <c r="K215">
        <f>IFERROR(ROUNDDOWN((VLOOKUP($C215,装備品!$1:$998,COLUMN(I$1),FALSE)+IFERROR(VLOOKUP($CI215,付与!$1:$1167,COLUMN(K$1),FALSE),0))*VLOOKUP($D215,素材!$1:$1016,COLUMN($E$1),FALSE),0),"")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IFERROR(VLOOKUP($C215,装備品!$1:$998,COLUMN(AA$1),FALSE)*VLOOKUP($D215,素材!$1:$1016,COLUMN($G$1),FALSE),"")</f>
        <v>52.5</v>
      </c>
      <c r="N215">
        <f>IFERROR(VLOOKUP($C215,装備品!$1:$998,COLUMN(I$1),FALSE),"")</f>
        <v>0</v>
      </c>
      <c r="O215" s="23">
        <f>IFERROR((VLOOKUP($C215,装備品!$1:$998,COLUMN(K$1),FALSE)+VLOOKUP($D215,素材!$1:$1016,COLUMN(H$1),FALSE))*100+IFERROR(VLOOKUP($CI215,付与!$1:$1167,COLUMN(O$1),FALSE),0),"")</f>
        <v>5</v>
      </c>
      <c r="P215" s="23">
        <f>IFERROR((VLOOKUP($C215,装備品!$1:$998,COLUMN(L$1),FALSE)+VLOOKUP($D215,素材!$1:$1016,COLUMN(I$1),FALSE))*100+IFERROR(VLOOKUP($CI215,付与!$1:$1167,COLUMN(P$1),FALSE),0),"")</f>
        <v>125</v>
      </c>
      <c r="Q215">
        <f>IFERROR(ROUNDUP(VLOOKUP($C215,装備品!$1:$998,COLUMN(M$1),FALSE)*(VLOOKUP($D215,素材!$1:$1002,COLUMN(D$1),FALSE)/100),1),"")</f>
        <v>0</v>
      </c>
      <c r="R215">
        <f>IFERROR(ROUNDUP(VLOOKUP($C215,装備品!$1:$998,COLUMN(N$1),FALSE)*(VLOOKUP($D215,素材!$1:$1002,COLUMN(D$1),FALSE)/100),1),"")</f>
        <v>0</v>
      </c>
      <c r="S215">
        <f>IFERROR(VLOOKUP($C215,装備品!$1:$998,COLUMN(P$1),FALSE),"")</f>
        <v>0</v>
      </c>
      <c r="T215">
        <f>IFERROR(VLOOKUP($C215,装備品!$1:$998,COLUMN(Q$1),FALSE),"")</f>
        <v>0</v>
      </c>
      <c r="U215">
        <f>IFERROR(VLOOKUP($C215,装備品!$1:$998,COLUMN(R$1),FALSE),"")</f>
        <v>0</v>
      </c>
      <c r="V215">
        <f>IFERROR(VLOOKUP($C215,装備品!$1:$998,COLUMN(Q$1),FALSE),"")</f>
        <v>0</v>
      </c>
      <c r="W215">
        <f>IFERROR(VLOOKUP($C215,装備品!$1:$998,COLUMN(T$1),FALSE),"")</f>
        <v>0</v>
      </c>
      <c r="Y215">
        <f>IFERROR(VLOOKUP($C215,装備品!$1:$998,COLUMN(U$1),FALSE),"")</f>
        <v>0</v>
      </c>
      <c r="Z215">
        <f>IFERROR(ROUNDUP(VLOOKUP($C215,装備品!$1:$998,COLUMN(O$1),FALSE)*VLOOKUP($D215,素材!$1:$1016,COLUMN(E$1),FALSE),1),"")</f>
        <v>0</v>
      </c>
      <c r="AA215">
        <f>IF(ISNUMBER(SEARCH(SUBSTITUTE(AA$1,RIGHT(AA$1,2),""),VLOOKUP($D215,素材!$1:$1016,COLUMN($F$1),FALSE))),VLOOKUP($C215,装備品!$1:$998,COLUMN($O$1),FALSE)*VLOOKUP($D215,素材!$1:$1016,COLUMN($E$1),FALSE)/(LEN(VLOOKUP($D215,素材!$1:$1016,COLUMN($F$1),FALSE))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IFERROR(VLOOKUP($C215,装備品!$1:$998,COLUMN(V$1),FALSE)*VLOOKUP($D215,素材!$1:$1016,COLUMN(N$1),FALSE)+IF(CI215="",0,VLOOKUP($CI215,付与!$1:$1176,COLUMN($CK$1),FALSE)),"")</f>
        <v>0</v>
      </c>
      <c r="CO215">
        <f>VLOOKUP(D215,素材!$A:$O,COLUMN(素材!O$1),FALSE)</f>
        <v>0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IFERROR(VLOOKUP($D216,素材!$1:$1016,COLUMN($B$1),FALSE)&amp;"・"&amp;VLOOKUP($C216,装備品!$1:$998,COLUMN(B$1),FALSE),"")</f>
        <v>ドゥララン・シールド</v>
      </c>
      <c r="C216" t="s">
        <v>220</v>
      </c>
      <c r="D216" s="24" t="s">
        <v>242</v>
      </c>
      <c r="E216" t="str">
        <f>IFERROR(VLOOKUP(C216,装備品!$1:$998,COLUMN(C$1),FALSE),"")</f>
        <v>盾</v>
      </c>
      <c r="F216">
        <f>IFERROR(ROUNDDOWN((VLOOKUP($C216,装備品!$1:$998,COLUMN(D$1),FALSE)+IFERROR(VLOOKUP($CI216,付与!$1:$1167,COLUMN(F$1),FALSE),0))*VLOOKUP($D216,素材!$1:$1016,COLUMN(D$1),FALSE),0),"")</f>
        <v>100</v>
      </c>
      <c r="G216">
        <f>IFERROR(ROUNDDOWN((VLOOKUP($C216,装備品!$1:$998,COLUMN(E$1),FALSE)+IFERROR(VLOOKUP($CI216,付与!$1:$1167,COLUMN(G$1),FALSE),0))*VLOOKUP($D216,素材!$1:$1016,COLUMN($E$1),FALSE),0),"")</f>
        <v>0</v>
      </c>
      <c r="H216">
        <f>IFERROR(ROUNDDOWN((VLOOKUP($C216,装備品!$1:$998,COLUMN(F$1),FALSE)+IFERROR(VLOOKUP($CI216,付与!$1:$1167,COLUMN(H$1),FALSE),0))*VLOOKUP($D216,素材!$1:$1016,COLUMN($E$1),FALSE),0),"")</f>
        <v>0</v>
      </c>
      <c r="I216">
        <f>IFERROR(ROUNDDOWN((VLOOKUP($C216,装備品!$1:$998,COLUMN(G$1),FALSE)+IFERROR(VLOOKUP($CI216,付与!$1:$1167,COLUMN(I$1),FALSE),0))*VLOOKUP($D216,素材!$1:$1016,COLUMN($E$1),FALSE),0),"")</f>
        <v>16</v>
      </c>
      <c r="J216">
        <f>IFERROR(ROUNDDOWN((VLOOKUP($C216,装備品!$1:$998,COLUMN(H$1),FALSE)+IFERROR(VLOOKUP($CI216,付与!$1:$1167,COLUMN(J$1),FALSE),0))*VLOOKUP($D216,素材!$1:$1016,COLUMN($E$1),FALSE),0),"")</f>
        <v>25</v>
      </c>
      <c r="K216">
        <f>IFERROR(ROUNDDOWN((VLOOKUP($C216,装備品!$1:$998,COLUMN(I$1),FALSE)+IFERROR(VLOOKUP($CI216,付与!$1:$1167,COLUMN(K$1),FALSE),0))*VLOOKUP($D216,素材!$1:$1016,COLUMN($E$1),FALSE),0),"")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IFERROR(VLOOKUP($C216,装備品!$1:$998,COLUMN(AA$1),FALSE)*VLOOKUP($D216,素材!$1:$1016,COLUMN($G$1),FALSE),"")</f>
        <v>52.5</v>
      </c>
      <c r="N216">
        <f>IFERROR(VLOOKUP($C216,装備品!$1:$998,COLUMN(I$1),FALSE),"")</f>
        <v>0</v>
      </c>
      <c r="O216" s="23">
        <f>IFERROR((VLOOKUP($C216,装備品!$1:$998,COLUMN(K$1),FALSE)+VLOOKUP($D216,素材!$1:$1016,COLUMN(H$1),FALSE))*100+IFERROR(VLOOKUP($CI216,付与!$1:$1167,COLUMN(O$1),FALSE),0),"")</f>
        <v>5</v>
      </c>
      <c r="P216" s="23">
        <f>IFERROR((VLOOKUP($C216,装備品!$1:$998,COLUMN(L$1),FALSE)+VLOOKUP($D216,素材!$1:$1016,COLUMN(I$1),FALSE))*100+IFERROR(VLOOKUP($CI216,付与!$1:$1167,COLUMN(P$1),FALSE),0),"")</f>
        <v>125</v>
      </c>
      <c r="Q216">
        <f>IFERROR(ROUNDUP(VLOOKUP($C216,装備品!$1:$998,COLUMN(M$1),FALSE)*(VLOOKUP($D216,素材!$1:$1002,COLUMN(D$1),FALSE)/100),1),"")</f>
        <v>0</v>
      </c>
      <c r="R216">
        <f>IFERROR(ROUNDUP(VLOOKUP($C216,装備品!$1:$998,COLUMN(N$1),FALSE)*(VLOOKUP($D216,素材!$1:$1002,COLUMN(D$1),FALSE)/100),1),"")</f>
        <v>0</v>
      </c>
      <c r="S216">
        <f>IFERROR(VLOOKUP($C216,装備品!$1:$998,COLUMN(P$1),FALSE),"")</f>
        <v>0</v>
      </c>
      <c r="T216">
        <f>IFERROR(VLOOKUP($C216,装備品!$1:$998,COLUMN(Q$1),FALSE),"")</f>
        <v>0</v>
      </c>
      <c r="U216">
        <f>IFERROR(VLOOKUP($C216,装備品!$1:$998,COLUMN(R$1),FALSE),"")</f>
        <v>0</v>
      </c>
      <c r="V216">
        <f>IFERROR(VLOOKUP($C216,装備品!$1:$998,COLUMN(Q$1),FALSE),"")</f>
        <v>0</v>
      </c>
      <c r="W216">
        <f>IFERROR(VLOOKUP($C216,装備品!$1:$998,COLUMN(T$1),FALSE),"")</f>
        <v>0</v>
      </c>
      <c r="Y216">
        <f>IFERROR(VLOOKUP($C216,装備品!$1:$998,COLUMN(U$1),FALSE),"")</f>
        <v>0</v>
      </c>
      <c r="Z216">
        <f>IFERROR(ROUNDUP(VLOOKUP($C216,装備品!$1:$998,COLUMN(O$1),FALSE)*VLOOKUP($D216,素材!$1:$1016,COLUMN(E$1),FALSE),1),"")</f>
        <v>0</v>
      </c>
      <c r="AA216">
        <f>IF(ISNUMBER(SEARCH(SUBSTITUTE(AA$1,RIGHT(AA$1,2),""),VLOOKUP($D216,素材!$1:$1016,COLUMN($F$1),FALSE))),VLOOKUP($C216,装備品!$1:$998,COLUMN($O$1),FALSE)*VLOOKUP($D216,素材!$1:$1016,COLUMN($E$1),FALSE)/(LEN(VLOOKUP($D216,素材!$1:$1016,COLUMN($F$1),FALSE))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IFERROR(VLOOKUP($C216,装備品!$1:$998,COLUMN(V$1),FALSE)*VLOOKUP($D216,素材!$1:$1016,COLUMN(N$1),FALSE)+IF(CI216="",0,VLOOKUP($CI216,付与!$1:$1176,COLUMN($CK$1),FALSE)),"")</f>
        <v>0</v>
      </c>
      <c r="CO216">
        <f>VLOOKUP(D216,素材!$A:$O,COLUMN(素材!O$1),FALSE)</f>
        <v>0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IFERROR(VLOOKUP($D217,素材!$1:$1016,COLUMN($B$1),FALSE)&amp;"・"&amp;VLOOKUP($C217,装備品!$1:$998,COLUMN(B$1),FALSE),"")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IFERROR(VLOOKUP(C217,装備品!$1:$998,COLUMN(C$1),FALSE),"")</f>
        <v>盾</v>
      </c>
      <c r="F217">
        <f>IFERROR(ROUNDDOWN((VLOOKUP($C217,装備品!$1:$998,COLUMN(D$1),FALSE)+IFERROR(VLOOKUP($CI217,付与!$1:$1167,COLUMN(F$1),FALSE),0))*VLOOKUP($D217,素材!$1:$1016,COLUMN(D$1),FALSE),0),"")</f>
        <v>110</v>
      </c>
      <c r="G217">
        <f>IFERROR(ROUNDDOWN((VLOOKUP($C217,装備品!$1:$998,COLUMN(E$1),FALSE)+IFERROR(VLOOKUP($CI217,付与!$1:$1167,COLUMN(G$1),FALSE),0))*VLOOKUP($D217,素材!$1:$1016,COLUMN($E$1),FALSE),0),"")</f>
        <v>9</v>
      </c>
      <c r="H217">
        <f>IFERROR(ROUNDDOWN((VLOOKUP($C217,装備品!$1:$998,COLUMN(F$1),FALSE)+IFERROR(VLOOKUP($CI217,付与!$1:$1167,COLUMN(H$1),FALSE),0))*VLOOKUP($D217,素材!$1:$1016,COLUMN($E$1),FALSE),0),"")</f>
        <v>0</v>
      </c>
      <c r="I217">
        <f>IFERROR(ROUNDDOWN((VLOOKUP($C217,装備品!$1:$998,COLUMN(G$1),FALSE)+IFERROR(VLOOKUP($CI217,付与!$1:$1167,COLUMN(I$1),FALSE),0))*VLOOKUP($D217,素材!$1:$1016,COLUMN($E$1),FALSE),0),"")</f>
        <v>9</v>
      </c>
      <c r="J217">
        <f>IFERROR(ROUNDDOWN((VLOOKUP($C217,装備品!$1:$998,COLUMN(H$1),FALSE)+IFERROR(VLOOKUP($CI217,付与!$1:$1167,COLUMN(J$1),FALSE),0))*VLOOKUP($D217,素材!$1:$1016,COLUMN($E$1),FALSE),0),"")</f>
        <v>25</v>
      </c>
      <c r="K217">
        <f>IFERROR(ROUNDDOWN((VLOOKUP($C217,装備品!$1:$998,COLUMN(I$1),FALSE)+IFERROR(VLOOKUP($CI217,付与!$1:$1167,COLUMN(K$1),FALSE),0))*VLOOKUP($D217,素材!$1:$1016,COLUMN($E$1),FALSE),0),"")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IFERROR(VLOOKUP($C217,装備品!$1:$998,COLUMN(AA$1),FALSE)*VLOOKUP($D217,素材!$1:$1016,COLUMN($G$1),FALSE),"")</f>
        <v>70</v>
      </c>
      <c r="N217">
        <f>IFERROR(VLOOKUP($C217,装備品!$1:$998,COLUMN(I$1),FALSE),"")</f>
        <v>0</v>
      </c>
      <c r="O217" s="23">
        <f>IFERROR((VLOOKUP($C217,装備品!$1:$998,COLUMN(K$1),FALSE)+VLOOKUP($D217,素材!$1:$1016,COLUMN(H$1),FALSE))*100+IFERROR(VLOOKUP($CI217,付与!$1:$1167,COLUMN(O$1),FALSE),0),"")</f>
        <v>5</v>
      </c>
      <c r="P217" s="23">
        <f>IFERROR((VLOOKUP($C217,装備品!$1:$998,COLUMN(L$1),FALSE)+VLOOKUP($D217,素材!$1:$1016,COLUMN(I$1),FALSE))*100+IFERROR(VLOOKUP($CI217,付与!$1:$1167,COLUMN(P$1),FALSE),0),"")</f>
        <v>125</v>
      </c>
      <c r="Q217">
        <f>IFERROR(ROUNDUP(VLOOKUP($C217,装備品!$1:$998,COLUMN(M$1),FALSE)*(VLOOKUP($D217,素材!$1:$1002,COLUMN(D$1),FALSE)/100),1),"")</f>
        <v>-5</v>
      </c>
      <c r="R217">
        <f>IFERROR(ROUNDUP(VLOOKUP($C217,装備品!$1:$998,COLUMN(N$1),FALSE)*(VLOOKUP($D217,素材!$1:$1002,COLUMN(D$1),FALSE)/100),1),"")</f>
        <v>0</v>
      </c>
      <c r="S217">
        <f>IFERROR(VLOOKUP($C217,装備品!$1:$998,COLUMN(P$1),FALSE),"")</f>
        <v>0</v>
      </c>
      <c r="T217">
        <f>IFERROR(VLOOKUP($C217,装備品!$1:$998,COLUMN(Q$1),FALSE),"")</f>
        <v>0</v>
      </c>
      <c r="U217">
        <f>IFERROR(VLOOKUP($C217,装備品!$1:$998,COLUMN(R$1),FALSE),"")</f>
        <v>0</v>
      </c>
      <c r="V217">
        <f>IFERROR(VLOOKUP($C217,装備品!$1:$998,COLUMN(Q$1),FALSE),"")</f>
        <v>0</v>
      </c>
      <c r="W217">
        <f>IFERROR(VLOOKUP($C217,装備品!$1:$998,COLUMN(T$1),FALSE),"")</f>
        <v>0</v>
      </c>
      <c r="Y217">
        <f>IFERROR(VLOOKUP($C217,装備品!$1:$998,COLUMN(U$1),FALSE),"")</f>
        <v>0</v>
      </c>
      <c r="Z217">
        <f>IFERROR(ROUNDUP(VLOOKUP($C217,装備品!$1:$998,COLUMN(O$1),FALSE)*VLOOKUP($D217,素材!$1:$1016,COLUMN(E$1),FALSE),1),"")</f>
        <v>0</v>
      </c>
      <c r="AA217">
        <f>IF(ISNUMBER(SEARCH(SUBSTITUTE(AA$1,RIGHT(AA$1,2),""),VLOOKUP($D217,素材!$1:$1016,COLUMN($F$1),FALSE))),VLOOKUP($C217,装備品!$1:$998,COLUMN($O$1),FALSE)*VLOOKUP($D217,素材!$1:$1016,COLUMN($E$1),FALSE)/(LEN(VLOOKUP($D217,素材!$1:$1016,COLUMN($F$1),FALSE))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IFERROR(VLOOKUP($C217,装備品!$1:$998,COLUMN(V$1),FALSE)*VLOOKUP($D217,素材!$1:$1016,COLUMN(N$1),FALSE)+IF(CI217="",0,VLOOKUP($CI217,付与!$1:$1176,COLUMN($CK$1),FALSE)),"")</f>
        <v>0</v>
      </c>
      <c r="CO217">
        <f>VLOOKUP(D217,素材!$A:$O,COLUMN(素材!O$1),FALSE)</f>
        <v>0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IFERROR(VLOOKUP($D218,素材!$1:$1016,COLUMN($B$1),FALSE)&amp;"・"&amp;VLOOKUP($C218,装備品!$1:$998,COLUMN(B$1),FALSE),"")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IFERROR(VLOOKUP(C218,装備品!$1:$998,COLUMN(C$1),FALSE),"")</f>
        <v>盾</v>
      </c>
      <c r="F218">
        <f>IFERROR(ROUNDDOWN((VLOOKUP($C218,装備品!$1:$998,COLUMN(D$1),FALSE)+IFERROR(VLOOKUP($CI218,付与!$1:$1167,COLUMN(F$1),FALSE),0))*VLOOKUP($D218,素材!$1:$1016,COLUMN(D$1),FALSE),0),"")</f>
        <v>115</v>
      </c>
      <c r="G218">
        <f>IFERROR(ROUNDDOWN((VLOOKUP($C218,装備品!$1:$998,COLUMN(E$1),FALSE)+IFERROR(VLOOKUP($CI218,付与!$1:$1167,COLUMN(G$1),FALSE),0))*VLOOKUP($D218,素材!$1:$1016,COLUMN($E$1),FALSE),0),"")</f>
        <v>0</v>
      </c>
      <c r="H218">
        <f>IFERROR(ROUNDDOWN((VLOOKUP($C218,装備品!$1:$998,COLUMN(F$1),FALSE)+IFERROR(VLOOKUP($CI218,付与!$1:$1167,COLUMN(H$1),FALSE),0))*VLOOKUP($D218,素材!$1:$1016,COLUMN($E$1),FALSE),0),"")</f>
        <v>0</v>
      </c>
      <c r="I218">
        <f>IFERROR(ROUNDDOWN((VLOOKUP($C218,装備品!$1:$998,COLUMN(G$1),FALSE)+IFERROR(VLOOKUP($CI218,付与!$1:$1167,COLUMN(I$1),FALSE),0))*VLOOKUP($D218,素材!$1:$1016,COLUMN($E$1),FALSE),0),"")</f>
        <v>17</v>
      </c>
      <c r="J218">
        <f>IFERROR(ROUNDDOWN((VLOOKUP($C218,装備品!$1:$998,COLUMN(H$1),FALSE)+IFERROR(VLOOKUP($CI218,付与!$1:$1167,COLUMN(J$1),FALSE),0))*VLOOKUP($D218,素材!$1:$1016,COLUMN($E$1),FALSE),0),"")</f>
        <v>27</v>
      </c>
      <c r="K218">
        <f>IFERROR(ROUNDDOWN((VLOOKUP($C218,装備品!$1:$998,COLUMN(I$1),FALSE)+IFERROR(VLOOKUP($CI218,付与!$1:$1167,COLUMN(K$1),FALSE),0))*VLOOKUP($D218,素材!$1:$1016,COLUMN($E$1),FALSE),0),"")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IFERROR(VLOOKUP($C218,装備品!$1:$998,COLUMN(AA$1),FALSE)*VLOOKUP($D218,素材!$1:$1016,COLUMN($G$1),FALSE),"")</f>
        <v>70</v>
      </c>
      <c r="N218">
        <f>IFERROR(VLOOKUP($C218,装備品!$1:$998,COLUMN(I$1),FALSE),"")</f>
        <v>0</v>
      </c>
      <c r="O218" s="23">
        <f>IFERROR((VLOOKUP($C218,装備品!$1:$998,COLUMN(K$1),FALSE)+VLOOKUP($D218,素材!$1:$1016,COLUMN(H$1),FALSE))*100+IFERROR(VLOOKUP($CI218,付与!$1:$1167,COLUMN(O$1),FALSE),0),"")</f>
        <v>5</v>
      </c>
      <c r="P218" s="23">
        <f>IFERROR((VLOOKUP($C218,装備品!$1:$998,COLUMN(L$1),FALSE)+VLOOKUP($D218,素材!$1:$1016,COLUMN(I$1),FALSE))*100+IFERROR(VLOOKUP($CI218,付与!$1:$1167,COLUMN(P$1),FALSE),0),"")</f>
        <v>125</v>
      </c>
      <c r="Q218">
        <f>IFERROR(ROUNDUP(VLOOKUP($C218,装備品!$1:$998,COLUMN(M$1),FALSE)*(VLOOKUP($D218,素材!$1:$1002,COLUMN(D$1),FALSE)/100),1),"")</f>
        <v>-5</v>
      </c>
      <c r="R218">
        <f>IFERROR(ROUNDUP(VLOOKUP($C218,装備品!$1:$998,COLUMN(N$1),FALSE)*(VLOOKUP($D218,素材!$1:$1002,COLUMN(D$1),FALSE)/100),1),"")</f>
        <v>0</v>
      </c>
      <c r="S218">
        <f>IFERROR(VLOOKUP($C218,装備品!$1:$998,COLUMN(P$1),FALSE),"")</f>
        <v>0</v>
      </c>
      <c r="T218">
        <f>IFERROR(VLOOKUP($C218,装備品!$1:$998,COLUMN(Q$1),FALSE),"")</f>
        <v>0</v>
      </c>
      <c r="U218">
        <f>IFERROR(VLOOKUP($C218,装備品!$1:$998,COLUMN(R$1),FALSE),"")</f>
        <v>0</v>
      </c>
      <c r="V218">
        <f>IFERROR(VLOOKUP($C218,装備品!$1:$998,COLUMN(Q$1),FALSE),"")</f>
        <v>0</v>
      </c>
      <c r="W218">
        <f>IFERROR(VLOOKUP($C218,装備品!$1:$998,COLUMN(T$1),FALSE),"")</f>
        <v>0</v>
      </c>
      <c r="Y218">
        <f>IFERROR(VLOOKUP($C218,装備品!$1:$998,COLUMN(U$1),FALSE),"")</f>
        <v>0</v>
      </c>
      <c r="Z218">
        <f>IFERROR(ROUNDUP(VLOOKUP($C218,装備品!$1:$998,COLUMN(O$1),FALSE)*VLOOKUP($D218,素材!$1:$1016,COLUMN(E$1),FALSE),1),"")</f>
        <v>0</v>
      </c>
      <c r="AA218">
        <f>IF(ISNUMBER(SEARCH(SUBSTITUTE(AA$1,RIGHT(AA$1,2),""),VLOOKUP($D218,素材!$1:$1016,COLUMN($F$1),FALSE))),VLOOKUP($C218,装備品!$1:$998,COLUMN($O$1),FALSE)*VLOOKUP($D218,素材!$1:$1016,COLUMN($E$1),FALSE)/(LEN(VLOOKUP($D218,素材!$1:$1016,COLUMN($F$1),FALSE))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IFERROR(VLOOKUP($C218,装備品!$1:$998,COLUMN(V$1),FALSE)*VLOOKUP($D218,素材!$1:$1016,COLUMN(N$1),FALSE)+IF(CI218="",0,VLOOKUP($CI218,付与!$1:$1176,COLUMN($CK$1),FALSE)),"")</f>
        <v>0</v>
      </c>
      <c r="CO218">
        <f>VLOOKUP(D218,素材!$A:$O,COLUMN(素材!O$1),FALSE)</f>
        <v>0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IFERROR(VLOOKUP($D219,素材!$1:$1016,COLUMN($B$1),FALSE)&amp;"・"&amp;VLOOKUP($C219,装備品!$1:$998,COLUMN(B$1),FALSE),"")</f>
        <v>ドゥララン・ボウ</v>
      </c>
      <c r="C219" t="s">
        <v>217</v>
      </c>
      <c r="D219" s="24" t="s">
        <v>242</v>
      </c>
      <c r="E219" t="str">
        <f>IFERROR(VLOOKUP(C219,装備品!$1:$998,COLUMN(C$1),FALSE),"")</f>
        <v>武器</v>
      </c>
      <c r="F219">
        <f>IFERROR(ROUNDDOWN((VLOOKUP($C219,装備品!$1:$998,COLUMN(D$1),FALSE)+IFERROR(VLOOKUP($CI219,付与!$1:$1167,COLUMN(F$1),FALSE),0))*VLOOKUP($D219,素材!$1:$1016,COLUMN(D$1),FALSE),0),"")</f>
        <v>110</v>
      </c>
      <c r="G219">
        <f>IFERROR(ROUNDDOWN((VLOOKUP($C219,装備品!$1:$998,COLUMN(E$1),FALSE)+IFERROR(VLOOKUP($CI219,付与!$1:$1167,COLUMN(G$1),FALSE),0))*VLOOKUP($D219,素材!$1:$1016,COLUMN($E$1),FALSE),0),"")</f>
        <v>5</v>
      </c>
      <c r="H219">
        <f>IFERROR(ROUNDDOWN((VLOOKUP($C219,装備品!$1:$998,COLUMN(F$1),FALSE)+IFERROR(VLOOKUP($CI219,付与!$1:$1167,COLUMN(H$1),FALSE),0))*VLOOKUP($D219,素材!$1:$1016,COLUMN($E$1),FALSE),0),"")</f>
        <v>5</v>
      </c>
      <c r="I219">
        <f>IFERROR(ROUNDDOWN((VLOOKUP($C219,装備品!$1:$998,COLUMN(G$1),FALSE)+IFERROR(VLOOKUP($CI219,付与!$1:$1167,COLUMN(I$1),FALSE),0))*VLOOKUP($D219,素材!$1:$1016,COLUMN($E$1),FALSE),0),"")</f>
        <v>0</v>
      </c>
      <c r="J219">
        <f>IFERROR(ROUNDDOWN((VLOOKUP($C219,装備品!$1:$998,COLUMN(H$1),FALSE)+IFERROR(VLOOKUP($CI219,付与!$1:$1167,COLUMN(J$1),FALSE),0))*VLOOKUP($D219,素材!$1:$1016,COLUMN($E$1),FALSE),0),"")</f>
        <v>0</v>
      </c>
      <c r="K219">
        <f>IFERROR(ROUNDDOWN((VLOOKUP($C219,装備品!$1:$998,COLUMN(I$1),FALSE)+IFERROR(VLOOKUP($CI219,付与!$1:$1167,COLUMN(K$1),FALSE),0))*VLOOKUP($D219,素材!$1:$1016,COLUMN($E$1),FALSE),0),"")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IFERROR(VLOOKUP($C219,装備品!$1:$998,COLUMN(AA$1),FALSE)*VLOOKUP($D219,素材!$1:$1016,COLUMN($G$1),FALSE),"")</f>
        <v>52.5</v>
      </c>
      <c r="N219">
        <f>IFERROR(VLOOKUP($C219,装備品!$1:$998,COLUMN(I$1),FALSE),"")</f>
        <v>1</v>
      </c>
      <c r="O219" s="23">
        <f>IFERROR((VLOOKUP($C219,装備品!$1:$998,COLUMN(K$1),FALSE)+VLOOKUP($D219,素材!$1:$1016,COLUMN(H$1),FALSE))*100+IFERROR(VLOOKUP($CI219,付与!$1:$1167,COLUMN(O$1),FALSE),0),"")</f>
        <v>10</v>
      </c>
      <c r="P219" s="23">
        <f>IFERROR((VLOOKUP($C219,装備品!$1:$998,COLUMN(L$1),FALSE)+VLOOKUP($D219,素材!$1:$1016,COLUMN(I$1),FALSE))*100+IFERROR(VLOOKUP($CI219,付与!$1:$1167,COLUMN(P$1),FALSE),0),"")</f>
        <v>130</v>
      </c>
      <c r="Q219">
        <f>IFERROR(ROUNDUP(VLOOKUP($C219,装備品!$1:$998,COLUMN(M$1),FALSE)*(VLOOKUP($D219,素材!$1:$1002,COLUMN(D$1),FALSE)/100),1),"")</f>
        <v>-2.5</v>
      </c>
      <c r="R219">
        <f>IFERROR(ROUNDUP(VLOOKUP($C219,装備品!$1:$998,COLUMN(N$1),FALSE)*(VLOOKUP($D219,素材!$1:$1002,COLUMN(D$1),FALSE)/100),1),"")</f>
        <v>0</v>
      </c>
      <c r="S219">
        <f>IFERROR(VLOOKUP($C219,装備品!$1:$998,COLUMN(P$1),FALSE),"")</f>
        <v>0</v>
      </c>
      <c r="T219">
        <f>IFERROR(VLOOKUP($C219,装備品!$1:$998,COLUMN(Q$1),FALSE),"")</f>
        <v>0</v>
      </c>
      <c r="U219">
        <f>IFERROR(VLOOKUP($C219,装備品!$1:$998,COLUMN(R$1),FALSE),"")</f>
        <v>0</v>
      </c>
      <c r="V219">
        <f>IFERROR(VLOOKUP($C219,装備品!$1:$998,COLUMN(Q$1),FALSE),"")</f>
        <v>0</v>
      </c>
      <c r="W219">
        <f>IFERROR(VLOOKUP($C219,装備品!$1:$998,COLUMN(T$1),FALSE),"")</f>
        <v>0</v>
      </c>
      <c r="Y219">
        <f>IFERROR(VLOOKUP($C219,装備品!$1:$998,COLUMN(U$1),FALSE),"")</f>
        <v>2</v>
      </c>
      <c r="Z219">
        <f>IFERROR(ROUNDUP(VLOOKUP($C219,装備品!$1:$998,COLUMN(O$1),FALSE)*VLOOKUP($D219,素材!$1:$1016,COLUMN(E$1),FALSE),1),"")</f>
        <v>0</v>
      </c>
      <c r="AA219">
        <f>IF(ISNUMBER(SEARCH(SUBSTITUTE(AA$1,RIGHT(AA$1,2),""),VLOOKUP($D219,素材!$1:$1016,COLUMN($F$1),FALSE))),VLOOKUP($C219,装備品!$1:$998,COLUMN($O$1),FALSE)*VLOOKUP($D219,素材!$1:$1016,COLUMN($E$1),FALSE)/(LEN(VLOOKUP($D219,素材!$1:$1016,COLUMN($F$1),FALSE))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IFERROR(VLOOKUP($C219,装備品!$1:$998,COLUMN(V$1),FALSE)*VLOOKUP($D219,素材!$1:$1016,COLUMN(N$1),FALSE)+IF(CI219="",0,VLOOKUP($CI219,付与!$1:$1176,COLUMN($CK$1),FALSE)),"")</f>
        <v>0</v>
      </c>
      <c r="CO219">
        <f>VLOOKUP(D219,素材!$A:$O,COLUMN(素材!O$1),FALSE)</f>
        <v>0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IFERROR(VLOOKUP($D220,素材!$1:$1016,COLUMN($B$1),FALSE)&amp;"・"&amp;VLOOKUP($C220,装備品!$1:$998,COLUMN(B$1),FALSE),"")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IFERROR(VLOOKUP(C220,装備品!$1:$998,COLUMN(C$1),FALSE),"")</f>
        <v>武器</v>
      </c>
      <c r="F220">
        <f>IFERROR(ROUNDDOWN((VLOOKUP($C220,装備品!$1:$998,COLUMN(D$1),FALSE)+IFERROR(VLOOKUP($CI220,付与!$1:$1167,COLUMN(F$1),FALSE),0))*VLOOKUP($D220,素材!$1:$1016,COLUMN(D$1),FALSE),0),"")</f>
        <v>120</v>
      </c>
      <c r="G220">
        <f>IFERROR(ROUNDDOWN((VLOOKUP($C220,装備品!$1:$998,COLUMN(E$1),FALSE)+IFERROR(VLOOKUP($CI220,付与!$1:$1167,COLUMN(G$1),FALSE),0))*VLOOKUP($D220,素材!$1:$1016,COLUMN($E$1),FALSE),0),"")</f>
        <v>5</v>
      </c>
      <c r="H220">
        <f>IFERROR(ROUNDDOWN((VLOOKUP($C220,装備品!$1:$998,COLUMN(F$1),FALSE)+IFERROR(VLOOKUP($CI220,付与!$1:$1167,COLUMN(H$1),FALSE),0))*VLOOKUP($D220,素材!$1:$1016,COLUMN($E$1),FALSE),0),"")</f>
        <v>5</v>
      </c>
      <c r="I220">
        <f>IFERROR(ROUNDDOWN((VLOOKUP($C220,装備品!$1:$998,COLUMN(G$1),FALSE)+IFERROR(VLOOKUP($CI220,付与!$1:$1167,COLUMN(I$1),FALSE),0))*VLOOKUP($D220,素材!$1:$1016,COLUMN($E$1),FALSE),0),"")</f>
        <v>0</v>
      </c>
      <c r="J220">
        <f>IFERROR(ROUNDDOWN((VLOOKUP($C220,装備品!$1:$998,COLUMN(H$1),FALSE)+IFERROR(VLOOKUP($CI220,付与!$1:$1167,COLUMN(J$1),FALSE),0))*VLOOKUP($D220,素材!$1:$1016,COLUMN($E$1),FALSE),0),"")</f>
        <v>0</v>
      </c>
      <c r="K220">
        <f>IFERROR(ROUNDDOWN((VLOOKUP($C220,装備品!$1:$998,COLUMN(I$1),FALSE)+IFERROR(VLOOKUP($CI220,付与!$1:$1167,COLUMN(K$1),FALSE),0))*VLOOKUP($D220,素材!$1:$1016,COLUMN($E$1),FALSE),0),"")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IFERROR(VLOOKUP($C220,装備品!$1:$998,COLUMN(AA$1),FALSE)*VLOOKUP($D220,素材!$1:$1016,COLUMN($G$1),FALSE),"")</f>
        <v>70</v>
      </c>
      <c r="N220">
        <f>IFERROR(VLOOKUP($C220,装備品!$1:$998,COLUMN(I$1),FALSE),"")</f>
        <v>1.1499999999999999</v>
      </c>
      <c r="O220" s="23">
        <f>IFERROR((VLOOKUP($C220,装備品!$1:$998,COLUMN(K$1),FALSE)+VLOOKUP($D220,素材!$1:$1016,COLUMN(H$1),FALSE))*100+IFERROR(VLOOKUP($CI220,付与!$1:$1167,COLUMN(O$1),FALSE),0),"")</f>
        <v>10</v>
      </c>
      <c r="P220" s="23">
        <f>IFERROR((VLOOKUP($C220,装備品!$1:$998,COLUMN(L$1),FALSE)+VLOOKUP($D220,素材!$1:$1016,COLUMN(I$1),FALSE))*100+IFERROR(VLOOKUP($CI220,付与!$1:$1167,COLUMN(P$1),FALSE),0),"")</f>
        <v>130</v>
      </c>
      <c r="Q220">
        <f>IFERROR(ROUNDUP(VLOOKUP($C220,装備品!$1:$998,COLUMN(M$1),FALSE)*(VLOOKUP($D220,素材!$1:$1002,COLUMN(D$1),FALSE)/100),1),"")</f>
        <v>-5</v>
      </c>
      <c r="R220">
        <f>IFERROR(ROUNDUP(VLOOKUP($C220,装備品!$1:$998,COLUMN(N$1),FALSE)*(VLOOKUP($D220,素材!$1:$1002,COLUMN(D$1),FALSE)/100),1),"")</f>
        <v>-2.5</v>
      </c>
      <c r="S220">
        <f>IFERROR(VLOOKUP($C220,装備品!$1:$998,COLUMN(P$1),FALSE),"")</f>
        <v>0</v>
      </c>
      <c r="T220">
        <f>IFERROR(VLOOKUP($C220,装備品!$1:$998,COLUMN(Q$1),FALSE),"")</f>
        <v>0</v>
      </c>
      <c r="U220">
        <f>IFERROR(VLOOKUP($C220,装備品!$1:$998,COLUMN(R$1),FALSE),"")</f>
        <v>0</v>
      </c>
      <c r="V220">
        <f>IFERROR(VLOOKUP($C220,装備品!$1:$998,COLUMN(Q$1),FALSE),"")</f>
        <v>0</v>
      </c>
      <c r="W220">
        <f>IFERROR(VLOOKUP($C220,装備品!$1:$998,COLUMN(T$1),FALSE),"")</f>
        <v>0</v>
      </c>
      <c r="Y220">
        <f>IFERROR(VLOOKUP($C220,装備品!$1:$998,COLUMN(U$1),FALSE),"")</f>
        <v>2</v>
      </c>
      <c r="Z220">
        <f>IFERROR(ROUNDUP(VLOOKUP($C220,装備品!$1:$998,COLUMN(O$1),FALSE)*VLOOKUP($D220,素材!$1:$1016,COLUMN(E$1),FALSE),1),"")</f>
        <v>0</v>
      </c>
      <c r="AA220">
        <f>IF(ISNUMBER(SEARCH(SUBSTITUTE(AA$1,RIGHT(AA$1,2),""),VLOOKUP($D220,素材!$1:$1016,COLUMN($F$1),FALSE))),VLOOKUP($C220,装備品!$1:$998,COLUMN($O$1),FALSE)*VLOOKUP($D220,素材!$1:$1016,COLUMN($E$1),FALSE)/(LEN(VLOOKUP($D220,素材!$1:$1016,COLUMN($F$1),FALSE))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IFERROR(VLOOKUP($C220,装備品!$1:$998,COLUMN(V$1),FALSE)*VLOOKUP($D220,素材!$1:$1016,COLUMN(N$1),FALSE)+IF(CI220="",0,VLOOKUP($CI220,付与!$1:$1176,COLUMN($CK$1),FALSE)),"")</f>
        <v>0</v>
      </c>
      <c r="CO220">
        <f>VLOOKUP(D220,素材!$A:$O,COLUMN(素材!O$1),FALSE)</f>
        <v>0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IFERROR(VLOOKUP($D221,素材!$1:$1016,COLUMN($B$1),FALSE)&amp;"・"&amp;VLOOKUP($C221,装備品!$1:$998,COLUMN(B$1),FALSE),"")</f>
        <v>ドゥララン・ロッド</v>
      </c>
      <c r="C221" t="s">
        <v>215</v>
      </c>
      <c r="D221" s="24" t="s">
        <v>242</v>
      </c>
      <c r="E221" t="str">
        <f>IFERROR(VLOOKUP(C221,装備品!$1:$998,COLUMN(C$1),FALSE),"")</f>
        <v>杖</v>
      </c>
      <c r="F221">
        <f>IFERROR(ROUNDDOWN((VLOOKUP($C221,装備品!$1:$998,COLUMN(D$1),FALSE)+IFERROR(VLOOKUP($CI221,付与!$1:$1167,COLUMN(F$1),FALSE),0))*VLOOKUP($D221,素材!$1:$1016,COLUMN(D$1),FALSE),0),"")</f>
        <v>110</v>
      </c>
      <c r="G221">
        <f>IFERROR(ROUNDDOWN((VLOOKUP($C221,装備品!$1:$998,COLUMN(E$1),FALSE)+IFERROR(VLOOKUP($CI221,付与!$1:$1167,COLUMN(G$1),FALSE),0))*VLOOKUP($D221,素材!$1:$1016,COLUMN($E$1),FALSE),0),"")</f>
        <v>0</v>
      </c>
      <c r="H221">
        <f>IFERROR(ROUNDDOWN((VLOOKUP($C221,装備品!$1:$998,COLUMN(F$1),FALSE)+IFERROR(VLOOKUP($CI221,付与!$1:$1167,COLUMN(H$1),FALSE),0))*VLOOKUP($D221,素材!$1:$1016,COLUMN($E$1),FALSE),0),"")</f>
        <v>5</v>
      </c>
      <c r="I221">
        <f>IFERROR(ROUNDDOWN((VLOOKUP($C221,装備品!$1:$998,COLUMN(G$1),FALSE)+IFERROR(VLOOKUP($CI221,付与!$1:$1167,COLUMN(I$1),FALSE),0))*VLOOKUP($D221,素材!$1:$1016,COLUMN($E$1),FALSE),0),"")</f>
        <v>14</v>
      </c>
      <c r="J221">
        <f>IFERROR(ROUNDDOWN((VLOOKUP($C221,装備品!$1:$998,COLUMN(H$1),FALSE)+IFERROR(VLOOKUP($CI221,付与!$1:$1167,COLUMN(J$1),FALSE),0))*VLOOKUP($D221,素材!$1:$1016,COLUMN($E$1),FALSE),0),"")</f>
        <v>18</v>
      </c>
      <c r="K221">
        <f>IFERROR(ROUNDDOWN((VLOOKUP($C221,装備品!$1:$998,COLUMN(I$1),FALSE)+IFERROR(VLOOKUP($CI221,付与!$1:$1167,COLUMN(K$1),FALSE),0))*VLOOKUP($D221,素材!$1:$1016,COLUMN($E$1),FALSE),0),"")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IFERROR(VLOOKUP($C221,装備品!$1:$998,COLUMN(AA$1),FALSE)*VLOOKUP($D221,素材!$1:$1016,COLUMN($G$1),FALSE),"")</f>
        <v>70</v>
      </c>
      <c r="N221">
        <f>IFERROR(VLOOKUP($C221,装備品!$1:$998,COLUMN(I$1),FALSE),"")</f>
        <v>0</v>
      </c>
      <c r="O221" s="23">
        <f>IFERROR((VLOOKUP($C221,装備品!$1:$998,COLUMN(K$1),FALSE)+VLOOKUP($D221,素材!$1:$1016,COLUMN(H$1),FALSE))*100+IFERROR(VLOOKUP($CI221,付与!$1:$1167,COLUMN(O$1),FALSE),0),"")</f>
        <v>5</v>
      </c>
      <c r="P221" s="23">
        <f>IFERROR((VLOOKUP($C221,装備品!$1:$998,COLUMN(L$1),FALSE)+VLOOKUP($D221,素材!$1:$1016,COLUMN(I$1),FALSE))*100+IFERROR(VLOOKUP($CI221,付与!$1:$1167,COLUMN(P$1),FALSE),0),"")</f>
        <v>150</v>
      </c>
      <c r="Q221">
        <f>IFERROR(ROUNDUP(VLOOKUP($C221,装備品!$1:$998,COLUMN(M$1),FALSE)*(VLOOKUP($D221,素材!$1:$1002,COLUMN(D$1),FALSE)/100),1),"")</f>
        <v>0</v>
      </c>
      <c r="R221">
        <f>IFERROR(ROUNDUP(VLOOKUP($C221,装備品!$1:$998,COLUMN(N$1),FALSE)*(VLOOKUP($D221,素材!$1:$1002,COLUMN(D$1),FALSE)/100),1),"")</f>
        <v>0</v>
      </c>
      <c r="S221">
        <f>IFERROR(VLOOKUP($C221,装備品!$1:$998,COLUMN(P$1),FALSE),"")</f>
        <v>0</v>
      </c>
      <c r="T221">
        <f>IFERROR(VLOOKUP($C221,装備品!$1:$998,COLUMN(Q$1),FALSE),"")</f>
        <v>0</v>
      </c>
      <c r="U221">
        <f>IFERROR(VLOOKUP($C221,装備品!$1:$998,COLUMN(R$1),FALSE),"")</f>
        <v>0</v>
      </c>
      <c r="V221">
        <f>IFERROR(VLOOKUP($C221,装備品!$1:$998,COLUMN(Q$1),FALSE),"")</f>
        <v>0</v>
      </c>
      <c r="W221">
        <f>IFERROR(VLOOKUP($C221,装備品!$1:$998,COLUMN(T$1),FALSE),"")</f>
        <v>0</v>
      </c>
      <c r="Y221">
        <f>IFERROR(VLOOKUP($C221,装備品!$1:$998,COLUMN(U$1),FALSE),"")</f>
        <v>0</v>
      </c>
      <c r="Z221">
        <f>IFERROR(ROUNDUP(VLOOKUP($C221,装備品!$1:$998,COLUMN(O$1),FALSE)*VLOOKUP($D221,素材!$1:$1016,COLUMN(E$1),FALSE),1),"")</f>
        <v>0</v>
      </c>
      <c r="AA221">
        <f>IF(ISNUMBER(SEARCH(SUBSTITUTE(AA$1,RIGHT(AA$1,2),""),VLOOKUP($D221,素材!$1:$1016,COLUMN($F$1),FALSE))),VLOOKUP($C221,装備品!$1:$998,COLUMN($O$1),FALSE)*VLOOKUP($D221,素材!$1:$1016,COLUMN($E$1),FALSE)/(LEN(VLOOKUP($D221,素材!$1:$1016,COLUMN($F$1),FALSE))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IFERROR(VLOOKUP($C221,装備品!$1:$998,COLUMN(V$1),FALSE)*VLOOKUP($D221,素材!$1:$1016,COLUMN(N$1),FALSE)+IF(CI221="",0,VLOOKUP($CI221,付与!$1:$1176,COLUMN($CK$1),FALSE)),"")</f>
        <v>0</v>
      </c>
      <c r="CO221">
        <f>VLOOKUP(D221,素材!$A:$O,COLUMN(素材!O$1),FALSE)</f>
        <v>0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IFERROR(VLOOKUP($D222,素材!$1:$1016,COLUMN($B$1),FALSE)&amp;"・"&amp;VLOOKUP($C222,装備品!$1:$998,COLUMN(B$1),FALSE),"")</f>
        <v>ドゥララン・スタッフ</v>
      </c>
      <c r="C222" t="s">
        <v>214</v>
      </c>
      <c r="D222" s="24" t="s">
        <v>242</v>
      </c>
      <c r="E222" t="str">
        <f>IFERROR(VLOOKUP(C222,装備品!$1:$998,COLUMN(C$1),FALSE),"")</f>
        <v>杖</v>
      </c>
      <c r="F222">
        <f>IFERROR(ROUNDDOWN((VLOOKUP($C222,装備品!$1:$998,COLUMN(D$1),FALSE)+IFERROR(VLOOKUP($CI222,付与!$1:$1167,COLUMN(F$1),FALSE),0))*VLOOKUP($D222,素材!$1:$1016,COLUMN(D$1),FALSE),0),"")</f>
        <v>115</v>
      </c>
      <c r="G222">
        <f>IFERROR(ROUNDDOWN((VLOOKUP($C222,装備品!$1:$998,COLUMN(E$1),FALSE)+IFERROR(VLOOKUP($CI222,付与!$1:$1167,COLUMN(G$1),FALSE),0))*VLOOKUP($D222,素材!$1:$1016,COLUMN($E$1),FALSE),0),"")</f>
        <v>0</v>
      </c>
      <c r="H222">
        <f>IFERROR(ROUNDDOWN((VLOOKUP($C222,装備品!$1:$998,COLUMN(F$1),FALSE)+IFERROR(VLOOKUP($CI222,付与!$1:$1167,COLUMN(H$1),FALSE),0))*VLOOKUP($D222,素材!$1:$1016,COLUMN($E$1),FALSE),0),"")</f>
        <v>6</v>
      </c>
      <c r="I222">
        <f>IFERROR(ROUNDDOWN((VLOOKUP($C222,装備品!$1:$998,COLUMN(G$1),FALSE)+IFERROR(VLOOKUP($CI222,付与!$1:$1167,COLUMN(I$1),FALSE),0))*VLOOKUP($D222,素材!$1:$1016,COLUMN($E$1),FALSE),0),"")</f>
        <v>16</v>
      </c>
      <c r="J222">
        <f>IFERROR(ROUNDDOWN((VLOOKUP($C222,装備品!$1:$998,COLUMN(H$1),FALSE)+IFERROR(VLOOKUP($CI222,付与!$1:$1167,COLUMN(J$1),FALSE),0))*VLOOKUP($D222,素材!$1:$1016,COLUMN($E$1),FALSE),0),"")</f>
        <v>19</v>
      </c>
      <c r="K222">
        <f>IFERROR(ROUNDDOWN((VLOOKUP($C222,装備品!$1:$998,COLUMN(I$1),FALSE)+IFERROR(VLOOKUP($CI222,付与!$1:$1167,COLUMN(K$1),FALSE),0))*VLOOKUP($D222,素材!$1:$1016,COLUMN($E$1),FALSE),0),"")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IFERROR(VLOOKUP($C222,装備品!$1:$998,COLUMN(AA$1),FALSE)*VLOOKUP($D222,素材!$1:$1016,COLUMN($G$1),FALSE),"")</f>
        <v>105</v>
      </c>
      <c r="N222">
        <f>IFERROR(VLOOKUP($C222,装備品!$1:$998,COLUMN(I$1),FALSE),"")</f>
        <v>0</v>
      </c>
      <c r="O222" s="23">
        <f>IFERROR((VLOOKUP($C222,装備品!$1:$998,COLUMN(K$1),FALSE)+VLOOKUP($D222,素材!$1:$1016,COLUMN(H$1),FALSE))*100+IFERROR(VLOOKUP($CI222,付与!$1:$1167,COLUMN(O$1),FALSE),0),"")</f>
        <v>5</v>
      </c>
      <c r="P222" s="23">
        <f>IFERROR((VLOOKUP($C222,装備品!$1:$998,COLUMN(L$1),FALSE)+VLOOKUP($D222,素材!$1:$1016,COLUMN(I$1),FALSE))*100+IFERROR(VLOOKUP($CI222,付与!$1:$1167,COLUMN(P$1),FALSE),0),"")</f>
        <v>150</v>
      </c>
      <c r="Q222">
        <f>IFERROR(ROUNDUP(VLOOKUP($C222,装備品!$1:$998,COLUMN(M$1),FALSE)*(VLOOKUP($D222,素材!$1:$1002,COLUMN(D$1),FALSE)/100),1),"")</f>
        <v>-4</v>
      </c>
      <c r="R222">
        <f>IFERROR(ROUNDUP(VLOOKUP($C222,装備品!$1:$998,COLUMN(N$1),FALSE)*(VLOOKUP($D222,素材!$1:$1002,COLUMN(D$1),FALSE)/100),1),"")</f>
        <v>-4</v>
      </c>
      <c r="S222">
        <f>IFERROR(VLOOKUP($C222,装備品!$1:$998,COLUMN(P$1),FALSE),"")</f>
        <v>0</v>
      </c>
      <c r="T222">
        <f>IFERROR(VLOOKUP($C222,装備品!$1:$998,COLUMN(Q$1),FALSE),"")</f>
        <v>0</v>
      </c>
      <c r="U222">
        <f>IFERROR(VLOOKUP($C222,装備品!$1:$998,COLUMN(R$1),FALSE),"")</f>
        <v>0</v>
      </c>
      <c r="V222">
        <f>IFERROR(VLOOKUP($C222,装備品!$1:$998,COLUMN(Q$1),FALSE),"")</f>
        <v>0</v>
      </c>
      <c r="W222">
        <f>IFERROR(VLOOKUP($C222,装備品!$1:$998,COLUMN(T$1),FALSE),"")</f>
        <v>0</v>
      </c>
      <c r="Y222">
        <f>IFERROR(VLOOKUP($C222,装備品!$1:$998,COLUMN(U$1),FALSE),"")</f>
        <v>0</v>
      </c>
      <c r="Z222">
        <f>IFERROR(ROUNDUP(VLOOKUP($C222,装備品!$1:$998,COLUMN(O$1),FALSE)*VLOOKUP($D222,素材!$1:$1016,COLUMN(E$1),FALSE),1),"")</f>
        <v>0</v>
      </c>
      <c r="AA222">
        <f>IF(ISNUMBER(SEARCH(SUBSTITUTE(AA$1,RIGHT(AA$1,2),""),VLOOKUP($D222,素材!$1:$1016,COLUMN($F$1),FALSE))),VLOOKUP($C222,装備品!$1:$998,COLUMN($O$1),FALSE)*VLOOKUP($D222,素材!$1:$1016,COLUMN($E$1),FALSE)/(LEN(VLOOKUP($D222,素材!$1:$1016,COLUMN($F$1),FALSE))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IFERROR(VLOOKUP($C222,装備品!$1:$998,COLUMN(V$1),FALSE)*VLOOKUP($D222,素材!$1:$1016,COLUMN(N$1),FALSE)+IF(CI222="",0,VLOOKUP($CI222,付与!$1:$1176,COLUMN($CK$1),FALSE)),"")</f>
        <v>0</v>
      </c>
      <c r="CO222">
        <f>VLOOKUP(D222,素材!$A:$O,COLUMN(素材!O$1),FALSE)</f>
        <v>0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IFERROR(VLOOKUP($D223,素材!$1:$1016,COLUMN($B$1),FALSE)&amp;"・"&amp;VLOOKUP($C223,装備品!$1:$998,COLUMN(B$1),FALSE),"")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IFERROR(VLOOKUP(C223,装備品!$1:$998,COLUMN(C$1),FALSE),"")</f>
        <v>銃</v>
      </c>
      <c r="F223">
        <f>IFERROR(ROUNDDOWN((VLOOKUP($C223,装備品!$1:$998,COLUMN(D$1),FALSE)+IFERROR(VLOOKUP($CI223,付与!$1:$1167,COLUMN(F$1),FALSE),0))*VLOOKUP($D223,素材!$1:$1016,COLUMN(D$1),FALSE),0),"")</f>
        <v>100</v>
      </c>
      <c r="G223">
        <f>IFERROR(ROUNDDOWN((VLOOKUP($C223,装備品!$1:$998,COLUMN(E$1),FALSE)+IFERROR(VLOOKUP($CI223,付与!$1:$1167,COLUMN(G$1),FALSE),0))*VLOOKUP($D223,素材!$1:$1016,COLUMN($E$1),FALSE),0),"")</f>
        <v>0</v>
      </c>
      <c r="H223">
        <f>IFERROR(ROUNDDOWN((VLOOKUP($C223,装備品!$1:$998,COLUMN(F$1),FALSE)+IFERROR(VLOOKUP($CI223,付与!$1:$1167,COLUMN(H$1),FALSE),0))*VLOOKUP($D223,素材!$1:$1016,COLUMN($E$1),FALSE),0),"")</f>
        <v>0</v>
      </c>
      <c r="I223">
        <f>IFERROR(ROUNDDOWN((VLOOKUP($C223,装備品!$1:$998,COLUMN(G$1),FALSE)+IFERROR(VLOOKUP($CI223,付与!$1:$1167,COLUMN(I$1),FALSE),0))*VLOOKUP($D223,素材!$1:$1016,COLUMN($E$1),FALSE),0),"")</f>
        <v>0</v>
      </c>
      <c r="J223">
        <f>IFERROR(ROUNDDOWN((VLOOKUP($C223,装備品!$1:$998,COLUMN(H$1),FALSE)+IFERROR(VLOOKUP($CI223,付与!$1:$1167,COLUMN(J$1),FALSE),0))*VLOOKUP($D223,素材!$1:$1016,COLUMN($E$1),FALSE),0),"")</f>
        <v>0</v>
      </c>
      <c r="K223">
        <f>IFERROR(ROUNDDOWN((VLOOKUP($C223,装備品!$1:$998,COLUMN(I$1),FALSE)+IFERROR(VLOOKUP($CI223,付与!$1:$1167,COLUMN(K$1),FALSE),0))*VLOOKUP($D223,素材!$1:$1016,COLUMN($E$1),FALSE),0),"")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IFERROR(VLOOKUP($C223,装備品!$1:$998,COLUMN(AA$1),FALSE)*VLOOKUP($D223,素材!$1:$1016,COLUMN($G$1),FALSE),"")</f>
        <v>87.5</v>
      </c>
      <c r="N223">
        <f>IFERROR(VLOOKUP($C223,装備品!$1:$998,COLUMN(I$1),FALSE),"")</f>
        <v>2.7</v>
      </c>
      <c r="O223" s="23">
        <f>IFERROR((VLOOKUP($C223,装備品!$1:$998,COLUMN(K$1),FALSE)+VLOOKUP($D223,素材!$1:$1016,COLUMN(H$1),FALSE))*100+IFERROR(VLOOKUP($CI223,付与!$1:$1167,COLUMN(O$1),FALSE),0),"")</f>
        <v>10</v>
      </c>
      <c r="P223" s="23">
        <f>IFERROR((VLOOKUP($C223,装備品!$1:$998,COLUMN(L$1),FALSE)+VLOOKUP($D223,素材!$1:$1016,COLUMN(I$1),FALSE))*100+IFERROR(VLOOKUP($CI223,付与!$1:$1167,COLUMN(P$1),FALSE),0),"")</f>
        <v>150</v>
      </c>
      <c r="Q223">
        <f>IFERROR(ROUNDUP(VLOOKUP($C223,装備品!$1:$998,COLUMN(M$1),FALSE)*(VLOOKUP($D223,素材!$1:$1002,COLUMN(D$1),FALSE)/100),1),"")</f>
        <v>0</v>
      </c>
      <c r="R223">
        <f>IFERROR(ROUNDUP(VLOOKUP($C223,装備品!$1:$998,COLUMN(N$1),FALSE)*(VLOOKUP($D223,素材!$1:$1002,COLUMN(D$1),FALSE)/100),1),"")</f>
        <v>-15</v>
      </c>
      <c r="S223">
        <f>IFERROR(VLOOKUP($C223,装備品!$1:$998,COLUMN(P$1),FALSE),"")</f>
        <v>0</v>
      </c>
      <c r="T223">
        <f>IFERROR(VLOOKUP($C223,装備品!$1:$998,COLUMN(Q$1),FALSE),"")</f>
        <v>0</v>
      </c>
      <c r="U223">
        <f>IFERROR(VLOOKUP($C223,装備品!$1:$998,COLUMN(R$1),FALSE),"")</f>
        <v>0</v>
      </c>
      <c r="V223">
        <f>IFERROR(VLOOKUP($C223,装備品!$1:$998,COLUMN(Q$1),FALSE),"")</f>
        <v>0</v>
      </c>
      <c r="W223">
        <f>IFERROR(VLOOKUP($C223,装備品!$1:$998,COLUMN(T$1),FALSE),"")</f>
        <v>0</v>
      </c>
      <c r="Y223">
        <f>IFERROR(VLOOKUP($C223,装備品!$1:$998,COLUMN(U$1),FALSE),"")</f>
        <v>0</v>
      </c>
      <c r="Z223">
        <f>IFERROR(ROUNDUP(VLOOKUP($C223,装備品!$1:$998,COLUMN(O$1),FALSE)*VLOOKUP($D223,素材!$1:$1016,COLUMN(E$1),FALSE),1),"")</f>
        <v>0</v>
      </c>
      <c r="AA223">
        <f>IF(ISNUMBER(SEARCH(SUBSTITUTE(AA$1,RIGHT(AA$1,2),""),VLOOKUP($D223,素材!$1:$1016,COLUMN($F$1),FALSE))),VLOOKUP($C223,装備品!$1:$998,COLUMN($O$1),FALSE)*VLOOKUP($D223,素材!$1:$1016,COLUMN($E$1),FALSE)/(LEN(VLOOKUP($D223,素材!$1:$1016,COLUMN($F$1),FALSE))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IFERROR(VLOOKUP($C223,装備品!$1:$998,COLUMN(V$1),FALSE)*VLOOKUP($D223,素材!$1:$1016,COLUMN(N$1),FALSE)+IF(CI223="",0,VLOOKUP($CI223,付与!$1:$1176,COLUMN($CK$1),FALSE)),"")</f>
        <v>1500</v>
      </c>
      <c r="CO223">
        <f>VLOOKUP(D223,素材!$A:$O,COLUMN(素材!O$1),FALSE)</f>
        <v>0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IFERROR(VLOOKUP($D224,素材!$1:$1016,COLUMN($B$1),FALSE)&amp;"・"&amp;VLOOKUP($C224,装備品!$1:$998,COLUMN(B$1),FALSE),"")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IFERROR(VLOOKUP(C224,装備品!$1:$998,COLUMN(C$1),FALSE),"")</f>
        <v>銃</v>
      </c>
      <c r="F224">
        <f>IFERROR(ROUNDDOWN((VLOOKUP($C224,装備品!$1:$998,COLUMN(D$1),FALSE)+IFERROR(VLOOKUP($CI224,付与!$1:$1167,COLUMN(F$1),FALSE),0))*VLOOKUP($D224,素材!$1:$1016,COLUMN(D$1),FALSE),0),"")</f>
        <v>100</v>
      </c>
      <c r="G224">
        <f>IFERROR(ROUNDDOWN((VLOOKUP($C224,装備品!$1:$998,COLUMN(E$1),FALSE)+IFERROR(VLOOKUP($CI224,付与!$1:$1167,COLUMN(G$1),FALSE),0))*VLOOKUP($D224,素材!$1:$1016,COLUMN($E$1),FALSE),0),"")</f>
        <v>0</v>
      </c>
      <c r="H224">
        <f>IFERROR(ROUNDDOWN((VLOOKUP($C224,装備品!$1:$998,COLUMN(F$1),FALSE)+IFERROR(VLOOKUP($CI224,付与!$1:$1167,COLUMN(H$1),FALSE),0))*VLOOKUP($D224,素材!$1:$1016,COLUMN($E$1),FALSE),0),"")</f>
        <v>0</v>
      </c>
      <c r="I224">
        <f>IFERROR(ROUNDDOWN((VLOOKUP($C224,装備品!$1:$998,COLUMN(G$1),FALSE)+IFERROR(VLOOKUP($CI224,付与!$1:$1167,COLUMN(I$1),FALSE),0))*VLOOKUP($D224,素材!$1:$1016,COLUMN($E$1),FALSE),0),"")</f>
        <v>0</v>
      </c>
      <c r="J224">
        <f>IFERROR(ROUNDDOWN((VLOOKUP($C224,装備品!$1:$998,COLUMN(H$1),FALSE)+IFERROR(VLOOKUP($CI224,付与!$1:$1167,COLUMN(J$1),FALSE),0))*VLOOKUP($D224,素材!$1:$1016,COLUMN($E$1),FALSE),0),"")</f>
        <v>0</v>
      </c>
      <c r="K224">
        <f>IFERROR(ROUNDDOWN((VLOOKUP($C224,装備品!$1:$998,COLUMN(I$1),FALSE)+IFERROR(VLOOKUP($CI224,付与!$1:$1167,COLUMN(K$1),FALSE),0))*VLOOKUP($D224,素材!$1:$1016,COLUMN($E$1),FALSE),0),"")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IFERROR(VLOOKUP($C224,装備品!$1:$998,COLUMN(AA$1),FALSE)*VLOOKUP($D224,素材!$1:$1016,COLUMN($G$1),FALSE),"")</f>
        <v>105</v>
      </c>
      <c r="N224">
        <f>IFERROR(VLOOKUP($C224,装備品!$1:$998,COLUMN(I$1),FALSE),"")</f>
        <v>3.9</v>
      </c>
      <c r="O224" s="23">
        <f>IFERROR((VLOOKUP($C224,装備品!$1:$998,COLUMN(K$1),FALSE)+VLOOKUP($D224,素材!$1:$1016,COLUMN(H$1),FALSE))*100+IFERROR(VLOOKUP($CI224,付与!$1:$1167,COLUMN(O$1),FALSE),0),"")</f>
        <v>10</v>
      </c>
      <c r="P224" s="23">
        <f>IFERROR((VLOOKUP($C224,装備品!$1:$998,COLUMN(L$1),FALSE)+VLOOKUP($D224,素材!$1:$1016,COLUMN(I$1),FALSE))*100+IFERROR(VLOOKUP($CI224,付与!$1:$1167,COLUMN(P$1),FALSE),0),"")</f>
        <v>150</v>
      </c>
      <c r="Q224">
        <f>IFERROR(ROUNDUP(VLOOKUP($C224,装備品!$1:$998,COLUMN(M$1),FALSE)*(VLOOKUP($D224,素材!$1:$1002,COLUMN(D$1),FALSE)/100),1),"")</f>
        <v>0</v>
      </c>
      <c r="R224">
        <f>IFERROR(ROUNDUP(VLOOKUP($C224,装備品!$1:$998,COLUMN(N$1),FALSE)*(VLOOKUP($D224,素材!$1:$1002,COLUMN(D$1),FALSE)/100),1),"")</f>
        <v>-15</v>
      </c>
      <c r="S224">
        <f>IFERROR(VLOOKUP($C224,装備品!$1:$998,COLUMN(P$1),FALSE),"")</f>
        <v>0</v>
      </c>
      <c r="T224">
        <f>IFERROR(VLOOKUP($C224,装備品!$1:$998,COLUMN(Q$1),FALSE),"")</f>
        <v>0</v>
      </c>
      <c r="U224">
        <f>IFERROR(VLOOKUP($C224,装備品!$1:$998,COLUMN(R$1),FALSE),"")</f>
        <v>0</v>
      </c>
      <c r="V224">
        <f>IFERROR(VLOOKUP($C224,装備品!$1:$998,COLUMN(Q$1),FALSE),"")</f>
        <v>0</v>
      </c>
      <c r="W224">
        <f>IFERROR(VLOOKUP($C224,装備品!$1:$998,COLUMN(T$1),FALSE),"")</f>
        <v>0</v>
      </c>
      <c r="Y224">
        <f>IFERROR(VLOOKUP($C224,装備品!$1:$998,COLUMN(U$1),FALSE),"")</f>
        <v>0</v>
      </c>
      <c r="Z224">
        <f>IFERROR(ROUNDUP(VLOOKUP($C224,装備品!$1:$998,COLUMN(O$1),FALSE)*VLOOKUP($D224,素材!$1:$1016,COLUMN(E$1),FALSE),1),"")</f>
        <v>0</v>
      </c>
      <c r="AA224">
        <f>IF(ISNUMBER(SEARCH(SUBSTITUTE(AA$1,RIGHT(AA$1,2),""),VLOOKUP($D224,素材!$1:$1016,COLUMN($F$1),FALSE))),VLOOKUP($C224,装備品!$1:$998,COLUMN($O$1),FALSE)*VLOOKUP($D224,素材!$1:$1016,COLUMN($E$1),FALSE)/(LEN(VLOOKUP($D224,素材!$1:$1016,COLUMN($F$1),FALSE))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IFERROR(VLOOKUP($C224,装備品!$1:$998,COLUMN(V$1),FALSE)*VLOOKUP($D224,素材!$1:$1016,COLUMN(N$1),FALSE)+IF(CI224="",0,VLOOKUP($CI224,付与!$1:$1176,COLUMN($CK$1),FALSE)),"")</f>
        <v>1500</v>
      </c>
      <c r="CO224">
        <f>VLOOKUP(D224,素材!$A:$O,COLUMN(素材!O$1),FALSE)</f>
        <v>0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IFERROR(VLOOKUP($D225,素材!$1:$1016,COLUMN($B$1),FALSE)&amp;"・"&amp;VLOOKUP($C225,装備品!$1:$998,COLUMN(B$1),FALSE),"")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IFERROR(VLOOKUP(C225,装備品!$1:$998,COLUMN(C$1),FALSE),"")</f>
        <v>銃</v>
      </c>
      <c r="F225">
        <f>IFERROR(ROUNDDOWN((VLOOKUP($C225,装備品!$1:$998,COLUMN(D$1),FALSE)+IFERROR(VLOOKUP($CI225,付与!$1:$1167,COLUMN(F$1),FALSE),0))*VLOOKUP($D225,素材!$1:$1016,COLUMN(D$1),FALSE),0),"")</f>
        <v>100</v>
      </c>
      <c r="G225">
        <f>IFERROR(ROUNDDOWN((VLOOKUP($C225,装備品!$1:$998,COLUMN(E$1),FALSE)+IFERROR(VLOOKUP($CI225,付与!$1:$1167,COLUMN(G$1),FALSE),0))*VLOOKUP($D225,素材!$1:$1016,COLUMN($E$1),FALSE),0),"")</f>
        <v>0</v>
      </c>
      <c r="H225">
        <f>IFERROR(ROUNDDOWN((VLOOKUP($C225,装備品!$1:$998,COLUMN(F$1),FALSE)+IFERROR(VLOOKUP($CI225,付与!$1:$1167,COLUMN(H$1),FALSE),0))*VLOOKUP($D225,素材!$1:$1016,COLUMN($E$1),FALSE),0),"")</f>
        <v>0</v>
      </c>
      <c r="I225">
        <f>IFERROR(ROUNDDOWN((VLOOKUP($C225,装備品!$1:$998,COLUMN(G$1),FALSE)+IFERROR(VLOOKUP($CI225,付与!$1:$1167,COLUMN(I$1),FALSE),0))*VLOOKUP($D225,素材!$1:$1016,COLUMN($E$1),FALSE),0),"")</f>
        <v>0</v>
      </c>
      <c r="J225">
        <f>IFERROR(ROUNDDOWN((VLOOKUP($C225,装備品!$1:$998,COLUMN(H$1),FALSE)+IFERROR(VLOOKUP($CI225,付与!$1:$1167,COLUMN(J$1),FALSE),0))*VLOOKUP($D225,素材!$1:$1016,COLUMN($E$1),FALSE),0),"")</f>
        <v>0</v>
      </c>
      <c r="K225">
        <f>IFERROR(ROUNDDOWN((VLOOKUP($C225,装備品!$1:$998,COLUMN(I$1),FALSE)+IFERROR(VLOOKUP($CI225,付与!$1:$1167,COLUMN(K$1),FALSE),0))*VLOOKUP($D225,素材!$1:$1016,COLUMN($E$1),FALSE),0),"")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IFERROR(VLOOKUP($C225,装備品!$1:$998,COLUMN(AA$1),FALSE)*VLOOKUP($D225,素材!$1:$1016,COLUMN($G$1),FALSE),"")</f>
        <v>70</v>
      </c>
      <c r="N225">
        <f>IFERROR(VLOOKUP($C225,装備品!$1:$998,COLUMN(I$1),FALSE),"")</f>
        <v>2.5700000000000003</v>
      </c>
      <c r="O225" s="23">
        <f>IFERROR((VLOOKUP($C225,装備品!$1:$998,COLUMN(K$1),FALSE)+VLOOKUP($D225,素材!$1:$1016,COLUMN(H$1),FALSE))*100+IFERROR(VLOOKUP($CI225,付与!$1:$1167,COLUMN(O$1),FALSE),0),"")</f>
        <v>10</v>
      </c>
      <c r="P225" s="23">
        <f>IFERROR((VLOOKUP($C225,装備品!$1:$998,COLUMN(L$1),FALSE)+VLOOKUP($D225,素材!$1:$1016,COLUMN(I$1),FALSE))*100+IFERROR(VLOOKUP($CI225,付与!$1:$1167,COLUMN(P$1),FALSE),0),"")</f>
        <v>140</v>
      </c>
      <c r="Q225">
        <f>IFERROR(ROUNDUP(VLOOKUP($C225,装備品!$1:$998,COLUMN(M$1),FALSE)*(VLOOKUP($D225,素材!$1:$1002,COLUMN(D$1),FALSE)/100),1),"")</f>
        <v>0</v>
      </c>
      <c r="R225">
        <f>IFERROR(ROUNDUP(VLOOKUP($C225,装備品!$1:$998,COLUMN(N$1),FALSE)*(VLOOKUP($D225,素材!$1:$1002,COLUMN(D$1),FALSE)/100),1),"")</f>
        <v>-25</v>
      </c>
      <c r="S225">
        <f>IFERROR(VLOOKUP($C225,装備品!$1:$998,COLUMN(P$1),FALSE),"")</f>
        <v>0</v>
      </c>
      <c r="T225">
        <f>IFERROR(VLOOKUP($C225,装備品!$1:$998,COLUMN(Q$1),FALSE),"")</f>
        <v>0</v>
      </c>
      <c r="U225">
        <f>IFERROR(VLOOKUP($C225,装備品!$1:$998,COLUMN(R$1),FALSE),"")</f>
        <v>0</v>
      </c>
      <c r="V225">
        <f>IFERROR(VLOOKUP($C225,装備品!$1:$998,COLUMN(Q$1),FALSE),"")</f>
        <v>0</v>
      </c>
      <c r="W225">
        <f>IFERROR(VLOOKUP($C225,装備品!$1:$998,COLUMN(T$1),FALSE),"")</f>
        <v>0</v>
      </c>
      <c r="Y225">
        <f>IFERROR(VLOOKUP($C225,装備品!$1:$998,COLUMN(U$1),FALSE),"")</f>
        <v>0</v>
      </c>
      <c r="Z225">
        <f>IFERROR(ROUNDUP(VLOOKUP($C225,装備品!$1:$998,COLUMN(O$1),FALSE)*VLOOKUP($D225,素材!$1:$1016,COLUMN(E$1),FALSE),1),"")</f>
        <v>0</v>
      </c>
      <c r="AA225">
        <f>IF(ISNUMBER(SEARCH(SUBSTITUTE(AA$1,RIGHT(AA$1,2),""),VLOOKUP($D225,素材!$1:$1016,COLUMN($F$1),FALSE))),VLOOKUP($C225,装備品!$1:$998,COLUMN($O$1),FALSE)*VLOOKUP($D225,素材!$1:$1016,COLUMN($E$1),FALSE)/(LEN(VLOOKUP($D225,素材!$1:$1016,COLUMN($F$1),FALSE))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IFERROR(VLOOKUP($C225,装備品!$1:$998,COLUMN(V$1),FALSE)*VLOOKUP($D225,素材!$1:$1016,COLUMN(N$1),FALSE)+IF(CI225="",0,VLOOKUP($CI225,付与!$1:$1176,COLUMN($CK$1),FALSE)),"")</f>
        <v>9000</v>
      </c>
      <c r="CO225">
        <f>VLOOKUP(D225,素材!$A:$O,COLUMN(素材!O$1),FALSE)</f>
        <v>0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IFERROR(VLOOKUP($D226,素材!$1:$1016,COLUMN($B$1),FALSE)&amp;"・"&amp;VLOOKUP($C226,装備品!$1:$998,COLUMN(B$1),FALSE),"")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IFERROR(VLOOKUP(C226,装備品!$1:$998,COLUMN(C$1),FALSE),"")</f>
        <v>銃</v>
      </c>
      <c r="F226">
        <f>IFERROR(ROUNDDOWN((VLOOKUP($C226,装備品!$1:$998,COLUMN(D$1),FALSE)+IFERROR(VLOOKUP($CI226,付与!$1:$1167,COLUMN(F$1),FALSE),0))*VLOOKUP($D226,素材!$1:$1016,COLUMN(D$1),FALSE),0),"")</f>
        <v>100</v>
      </c>
      <c r="G226">
        <f>IFERROR(ROUNDDOWN((VLOOKUP($C226,装備品!$1:$998,COLUMN(E$1),FALSE)+IFERROR(VLOOKUP($CI226,付与!$1:$1167,COLUMN(G$1),FALSE),0))*VLOOKUP($D226,素材!$1:$1016,COLUMN($E$1),FALSE),0),"")</f>
        <v>0</v>
      </c>
      <c r="H226">
        <f>IFERROR(ROUNDDOWN((VLOOKUP($C226,装備品!$1:$998,COLUMN(F$1),FALSE)+IFERROR(VLOOKUP($CI226,付与!$1:$1167,COLUMN(H$1),FALSE),0))*VLOOKUP($D226,素材!$1:$1016,COLUMN($E$1),FALSE),0),"")</f>
        <v>0</v>
      </c>
      <c r="I226">
        <f>IFERROR(ROUNDDOWN((VLOOKUP($C226,装備品!$1:$998,COLUMN(G$1),FALSE)+IFERROR(VLOOKUP($CI226,付与!$1:$1167,COLUMN(I$1),FALSE),0))*VLOOKUP($D226,素材!$1:$1016,COLUMN($E$1),FALSE),0),"")</f>
        <v>0</v>
      </c>
      <c r="J226">
        <f>IFERROR(ROUNDDOWN((VLOOKUP($C226,装備品!$1:$998,COLUMN(H$1),FALSE)+IFERROR(VLOOKUP($CI226,付与!$1:$1167,COLUMN(J$1),FALSE),0))*VLOOKUP($D226,素材!$1:$1016,COLUMN($E$1),FALSE),0),"")</f>
        <v>0</v>
      </c>
      <c r="K226">
        <f>IFERROR(ROUNDDOWN((VLOOKUP($C226,装備品!$1:$998,COLUMN(I$1),FALSE)+IFERROR(VLOOKUP($CI226,付与!$1:$1167,COLUMN(K$1),FALSE),0))*VLOOKUP($D226,素材!$1:$1016,COLUMN($E$1),FALSE),0),"")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IFERROR(VLOOKUP($C226,装備品!$1:$998,COLUMN(AA$1),FALSE)*VLOOKUP($D226,素材!$1:$1016,COLUMN($G$1),FALSE),"")</f>
        <v>70</v>
      </c>
      <c r="N226">
        <f>IFERROR(VLOOKUP($C226,装備品!$1:$998,COLUMN(I$1),FALSE),"")</f>
        <v>1.8</v>
      </c>
      <c r="O226" s="23">
        <f>IFERROR((VLOOKUP($C226,装備品!$1:$998,COLUMN(K$1),FALSE)+VLOOKUP($D226,素材!$1:$1016,COLUMN(H$1),FALSE))*100+IFERROR(VLOOKUP($CI226,付与!$1:$1167,COLUMN(O$1),FALSE),0),"")</f>
        <v>15</v>
      </c>
      <c r="P226" s="23">
        <f>IFERROR((VLOOKUP($C226,装備品!$1:$998,COLUMN(L$1),FALSE)+VLOOKUP($D226,素材!$1:$1016,COLUMN(I$1),FALSE))*100+IFERROR(VLOOKUP($CI226,付与!$1:$1167,COLUMN(P$1),FALSE),0),"")</f>
        <v>175</v>
      </c>
      <c r="Q226">
        <f>IFERROR(ROUNDUP(VLOOKUP($C226,装備品!$1:$998,COLUMN(M$1),FALSE)*(VLOOKUP($D226,素材!$1:$1002,COLUMN(D$1),FALSE)/100),1),"")</f>
        <v>0</v>
      </c>
      <c r="R226">
        <f>IFERROR(ROUNDUP(VLOOKUP($C226,装備品!$1:$998,COLUMN(N$1),FALSE)*(VLOOKUP($D226,素材!$1:$1002,COLUMN(D$1),FALSE)/100),1),"")</f>
        <v>-15</v>
      </c>
      <c r="S226">
        <f>IFERROR(VLOOKUP($C226,装備品!$1:$998,COLUMN(P$1),FALSE),"")</f>
        <v>0</v>
      </c>
      <c r="T226">
        <f>IFERROR(VLOOKUP($C226,装備品!$1:$998,COLUMN(Q$1),FALSE),"")</f>
        <v>0</v>
      </c>
      <c r="U226">
        <f>IFERROR(VLOOKUP($C226,装備品!$1:$998,COLUMN(R$1),FALSE),"")</f>
        <v>0</v>
      </c>
      <c r="V226">
        <f>IFERROR(VLOOKUP($C226,装備品!$1:$998,COLUMN(Q$1),FALSE),"")</f>
        <v>0</v>
      </c>
      <c r="W226">
        <f>IFERROR(VLOOKUP($C226,装備品!$1:$998,COLUMN(T$1),FALSE),"")</f>
        <v>0</v>
      </c>
      <c r="Y226">
        <f>IFERROR(VLOOKUP($C226,装備品!$1:$998,COLUMN(U$1),FALSE),"")</f>
        <v>0</v>
      </c>
      <c r="Z226">
        <f>IFERROR(ROUNDUP(VLOOKUP($C226,装備品!$1:$998,COLUMN(O$1),FALSE)*VLOOKUP($D226,素材!$1:$1016,COLUMN(E$1),FALSE),1),"")</f>
        <v>0</v>
      </c>
      <c r="AA226">
        <f>IF(ISNUMBER(SEARCH(SUBSTITUTE(AA$1,RIGHT(AA$1,2),""),VLOOKUP($D226,素材!$1:$1016,COLUMN($F$1),FALSE))),VLOOKUP($C226,装備品!$1:$998,COLUMN($O$1),FALSE)*VLOOKUP($D226,素材!$1:$1016,COLUMN($E$1),FALSE)/(LEN(VLOOKUP($D226,素材!$1:$1016,COLUMN($F$1),FALSE))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IFERROR(VLOOKUP($C226,装備品!$1:$998,COLUMN(V$1),FALSE)*VLOOKUP($D226,素材!$1:$1016,COLUMN(N$1),FALSE)+IF(CI226="",0,VLOOKUP($CI226,付与!$1:$1176,COLUMN($CK$1),FALSE)),"")</f>
        <v>18000</v>
      </c>
      <c r="CO226">
        <f>VLOOKUP(D226,素材!$A:$O,COLUMN(素材!O$1),FALSE)</f>
        <v>0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IFERROR(VLOOKUP($D227,素材!$1:$1016,COLUMN($B$1),FALSE)&amp;"・"&amp;VLOOKUP($C227,装備品!$1:$998,COLUMN(B$1),FALSE),"")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IFERROR(VLOOKUP(C227,装備品!$1:$998,COLUMN(C$1),FALSE),"")</f>
        <v>頭</v>
      </c>
      <c r="F227">
        <f>IFERROR(ROUNDDOWN((VLOOKUP($C227,装備品!$1:$998,COLUMN(D$1),FALSE)+IFERROR(VLOOKUP($CI227,付与!$1:$1167,COLUMN(F$1),FALSE),0))*VLOOKUP($D227,素材!$1:$1016,COLUMN(D$1),FALSE),0),"")</f>
        <v>0</v>
      </c>
      <c r="G227">
        <f>IFERROR(ROUNDDOWN((VLOOKUP($C227,装備品!$1:$998,COLUMN(E$1),FALSE)+IFERROR(VLOOKUP($CI227,付与!$1:$1167,COLUMN(G$1),FALSE),0))*VLOOKUP($D227,素材!$1:$1016,COLUMN($E$1),FALSE),0),"")</f>
        <v>0</v>
      </c>
      <c r="H227">
        <f>IFERROR(ROUNDDOWN((VLOOKUP($C227,装備品!$1:$998,COLUMN(F$1),FALSE)+IFERROR(VLOOKUP($CI227,付与!$1:$1167,COLUMN(H$1),FALSE),0))*VLOOKUP($D227,素材!$1:$1016,COLUMN($E$1),FALSE),0),"")</f>
        <v>0</v>
      </c>
      <c r="I227">
        <f>IFERROR(ROUNDDOWN((VLOOKUP($C227,装備品!$1:$998,COLUMN(G$1),FALSE)+IFERROR(VLOOKUP($CI227,付与!$1:$1167,COLUMN(I$1),FALSE),0))*VLOOKUP($D227,素材!$1:$1016,COLUMN($E$1),FALSE),0),"")</f>
        <v>17</v>
      </c>
      <c r="J227">
        <f>IFERROR(ROUNDDOWN((VLOOKUP($C227,装備品!$1:$998,COLUMN(H$1),FALSE)+IFERROR(VLOOKUP($CI227,付与!$1:$1167,COLUMN(J$1),FALSE),0))*VLOOKUP($D227,素材!$1:$1016,COLUMN($E$1),FALSE),0),"")</f>
        <v>0</v>
      </c>
      <c r="K227">
        <f>IFERROR(ROUNDDOWN((VLOOKUP($C227,装備品!$1:$998,COLUMN(I$1),FALSE)+IFERROR(VLOOKUP($CI227,付与!$1:$1167,COLUMN(K$1),FALSE),0))*VLOOKUP($D227,素材!$1:$1016,COLUMN($E$1),FALSE),0),"")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IFERROR(VLOOKUP($C227,装備品!$1:$998,COLUMN(AA$1),FALSE)*VLOOKUP($D227,素材!$1:$1016,COLUMN($G$1),FALSE),"")</f>
        <v>70</v>
      </c>
      <c r="N227">
        <f>IFERROR(VLOOKUP($C227,装備品!$1:$998,COLUMN(I$1),FALSE),"")</f>
        <v>0</v>
      </c>
      <c r="O227" s="23">
        <f>IFERROR((VLOOKUP($C227,装備品!$1:$998,COLUMN(K$1),FALSE)+VLOOKUP($D227,素材!$1:$1016,COLUMN(H$1),FALSE))*100+IFERROR(VLOOKUP($CI227,付与!$1:$1167,COLUMN(O$1),FALSE),0),"")</f>
        <v>5</v>
      </c>
      <c r="P227" s="23">
        <f>IFERROR((VLOOKUP($C227,装備品!$1:$998,COLUMN(L$1),FALSE)+VLOOKUP($D227,素材!$1:$1016,COLUMN(I$1),FALSE))*100+IFERROR(VLOOKUP($CI227,付与!$1:$1167,COLUMN(P$1),FALSE),0),"")</f>
        <v>125</v>
      </c>
      <c r="Q227">
        <f>IFERROR(ROUNDUP(VLOOKUP($C227,装備品!$1:$998,COLUMN(M$1),FALSE)*(VLOOKUP($D227,素材!$1:$1002,COLUMN(D$1),FALSE)/100),1),"")</f>
        <v>-7.5</v>
      </c>
      <c r="R227">
        <f>IFERROR(ROUNDUP(VLOOKUP($C227,装備品!$1:$998,COLUMN(N$1),FALSE)*(VLOOKUP($D227,素材!$1:$1002,COLUMN(D$1),FALSE)/100),1),"")</f>
        <v>0</v>
      </c>
      <c r="S227">
        <f>IFERROR(VLOOKUP($C227,装備品!$1:$998,COLUMN(P$1),FALSE),"")</f>
        <v>0</v>
      </c>
      <c r="T227">
        <f>IFERROR(VLOOKUP($C227,装備品!$1:$998,COLUMN(Q$1),FALSE),"")</f>
        <v>0</v>
      </c>
      <c r="U227">
        <f>IFERROR(VLOOKUP($C227,装備品!$1:$998,COLUMN(R$1),FALSE),"")</f>
        <v>0</v>
      </c>
      <c r="V227">
        <f>IFERROR(VLOOKUP($C227,装備品!$1:$998,COLUMN(Q$1),FALSE),"")</f>
        <v>0</v>
      </c>
      <c r="W227">
        <f>IFERROR(VLOOKUP($C227,装備品!$1:$998,COLUMN(T$1),FALSE),"")</f>
        <v>0.35</v>
      </c>
      <c r="Y227">
        <f>IFERROR(VLOOKUP($C227,装備品!$1:$998,COLUMN(U$1),FALSE),"")</f>
        <v>0</v>
      </c>
      <c r="Z227">
        <f>IFERROR(ROUNDUP(VLOOKUP($C227,装備品!$1:$998,COLUMN(O$1),FALSE)*VLOOKUP($D227,素材!$1:$1016,COLUMN(E$1),FALSE),1),"")</f>
        <v>-600</v>
      </c>
      <c r="AA227">
        <f>IF(ISNUMBER(SEARCH(SUBSTITUTE(AA$1,RIGHT(AA$1,2),""),VLOOKUP($D227,素材!$1:$1016,COLUMN($F$1),FALSE))),VLOOKUP($C227,装備品!$1:$998,COLUMN($O$1),FALSE)*VLOOKUP($D227,素材!$1:$1016,COLUMN($E$1),FALSE)/(LEN(VLOOKUP($D227,素材!$1:$1016,COLUMN($F$1),FALSE))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IFERROR(VLOOKUP($C227,装備品!$1:$998,COLUMN(V$1),FALSE)*VLOOKUP($D227,素材!$1:$1016,COLUMN(N$1),FALSE)+IF(CI227="",0,VLOOKUP($CI227,付与!$1:$1176,COLUMN($CK$1),FALSE)),"")</f>
        <v>0</v>
      </c>
      <c r="CO227">
        <f>VLOOKUP(D227,素材!$A:$O,COLUMN(素材!O$1),FALSE)</f>
        <v>0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IFERROR(VLOOKUP($D228,素材!$1:$1016,COLUMN($B$1),FALSE)&amp;"・"&amp;VLOOKUP($C228,装備品!$1:$998,COLUMN(B$1),FALSE),"")</f>
        <v>ドゥララン・ヘルム</v>
      </c>
      <c r="C228" t="s">
        <v>208</v>
      </c>
      <c r="D228" s="24" t="s">
        <v>242</v>
      </c>
      <c r="E228" t="str">
        <f>IFERROR(VLOOKUP(C228,装備品!$1:$998,COLUMN(C$1),FALSE),"")</f>
        <v>頭</v>
      </c>
      <c r="F228">
        <f>IFERROR(ROUNDDOWN((VLOOKUP($C228,装備品!$1:$998,COLUMN(D$1),FALSE)+IFERROR(VLOOKUP($CI228,付与!$1:$1167,COLUMN(F$1),FALSE),0))*VLOOKUP($D228,素材!$1:$1016,COLUMN(D$1),FALSE),0),"")</f>
        <v>0</v>
      </c>
      <c r="G228">
        <f>IFERROR(ROUNDDOWN((VLOOKUP($C228,装備品!$1:$998,COLUMN(E$1),FALSE)+IFERROR(VLOOKUP($CI228,付与!$1:$1167,COLUMN(G$1),FALSE),0))*VLOOKUP($D228,素材!$1:$1016,COLUMN($E$1),FALSE),0),"")</f>
        <v>0</v>
      </c>
      <c r="H228">
        <f>IFERROR(ROUNDDOWN((VLOOKUP($C228,装備品!$1:$998,COLUMN(F$1),FALSE)+IFERROR(VLOOKUP($CI228,付与!$1:$1167,COLUMN(H$1),FALSE),0))*VLOOKUP($D228,素材!$1:$1016,COLUMN($E$1),FALSE),0),"")</f>
        <v>0</v>
      </c>
      <c r="I228">
        <f>IFERROR(ROUNDDOWN((VLOOKUP($C228,装備品!$1:$998,COLUMN(G$1),FALSE)+IFERROR(VLOOKUP($CI228,付与!$1:$1167,COLUMN(I$1),FALSE),0))*VLOOKUP($D228,素材!$1:$1016,COLUMN($E$1),FALSE),0),"")</f>
        <v>17</v>
      </c>
      <c r="J228">
        <f>IFERROR(ROUNDDOWN((VLOOKUP($C228,装備品!$1:$998,COLUMN(H$1),FALSE)+IFERROR(VLOOKUP($CI228,付与!$1:$1167,COLUMN(J$1),FALSE),0))*VLOOKUP($D228,素材!$1:$1016,COLUMN($E$1),FALSE),0),"")</f>
        <v>0</v>
      </c>
      <c r="K228">
        <f>IFERROR(ROUNDDOWN((VLOOKUP($C228,装備品!$1:$998,COLUMN(I$1),FALSE)+IFERROR(VLOOKUP($CI228,付与!$1:$1167,COLUMN(K$1),FALSE),0))*VLOOKUP($D228,素材!$1:$1016,COLUMN($E$1),FALSE),0),"")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IFERROR(VLOOKUP($C228,装備品!$1:$998,COLUMN(AA$1),FALSE)*VLOOKUP($D228,素材!$1:$1016,COLUMN($G$1),FALSE),"")</f>
        <v>52.5</v>
      </c>
      <c r="N228">
        <f>IFERROR(VLOOKUP($C228,装備品!$1:$998,COLUMN(I$1),FALSE),"")</f>
        <v>0</v>
      </c>
      <c r="O228" s="23">
        <f>IFERROR((VLOOKUP($C228,装備品!$1:$998,COLUMN(K$1),FALSE)+VLOOKUP($D228,素材!$1:$1016,COLUMN(H$1),FALSE))*100+IFERROR(VLOOKUP($CI228,付与!$1:$1167,COLUMN(O$1),FALSE),0),"")</f>
        <v>5</v>
      </c>
      <c r="P228" s="23">
        <f>IFERROR((VLOOKUP($C228,装備品!$1:$998,COLUMN(L$1),FALSE)+VLOOKUP($D228,素材!$1:$1016,COLUMN(I$1),FALSE))*100+IFERROR(VLOOKUP($CI228,付与!$1:$1167,COLUMN(P$1),FALSE),0),"")</f>
        <v>125</v>
      </c>
      <c r="Q228">
        <f>IFERROR(ROUNDUP(VLOOKUP($C228,装備品!$1:$998,COLUMN(M$1),FALSE)*(VLOOKUP($D228,素材!$1:$1002,COLUMN(D$1),FALSE)/100),1),"")</f>
        <v>-5</v>
      </c>
      <c r="R228">
        <f>IFERROR(ROUNDUP(VLOOKUP($C228,装備品!$1:$998,COLUMN(N$1),FALSE)*(VLOOKUP($D228,素材!$1:$1002,COLUMN(D$1),FALSE)/100),1),"")</f>
        <v>0</v>
      </c>
      <c r="S228">
        <f>IFERROR(VLOOKUP($C228,装備品!$1:$998,COLUMN(P$1),FALSE),"")</f>
        <v>0</v>
      </c>
      <c r="T228">
        <f>IFERROR(VLOOKUP($C228,装備品!$1:$998,COLUMN(Q$1),FALSE),"")</f>
        <v>0</v>
      </c>
      <c r="U228">
        <f>IFERROR(VLOOKUP($C228,装備品!$1:$998,COLUMN(R$1),FALSE),"")</f>
        <v>0</v>
      </c>
      <c r="V228">
        <f>IFERROR(VLOOKUP($C228,装備品!$1:$998,COLUMN(Q$1),FALSE),"")</f>
        <v>0</v>
      </c>
      <c r="W228">
        <f>IFERROR(VLOOKUP($C228,装備品!$1:$998,COLUMN(T$1),FALSE),"")</f>
        <v>0.25</v>
      </c>
      <c r="Y228">
        <f>IFERROR(VLOOKUP($C228,装備品!$1:$998,COLUMN(U$1),FALSE),"")</f>
        <v>0</v>
      </c>
      <c r="Z228">
        <f>IFERROR(ROUNDUP(VLOOKUP($C228,装備品!$1:$998,COLUMN(O$1),FALSE)*VLOOKUP($D228,素材!$1:$1016,COLUMN(E$1),FALSE),1),"")</f>
        <v>-300</v>
      </c>
      <c r="AA228">
        <f>IF(ISNUMBER(SEARCH(SUBSTITUTE(AA$1,RIGHT(AA$1,2),""),VLOOKUP($D228,素材!$1:$1016,COLUMN($F$1),FALSE))),VLOOKUP($C228,装備品!$1:$998,COLUMN($O$1),FALSE)*VLOOKUP($D228,素材!$1:$1016,COLUMN($E$1),FALSE)/(LEN(VLOOKUP($D228,素材!$1:$1016,COLUMN($F$1),FALSE))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IFERROR(VLOOKUP($C228,装備品!$1:$998,COLUMN(V$1),FALSE)*VLOOKUP($D228,素材!$1:$1016,COLUMN(N$1),FALSE)+IF(CI228="",0,VLOOKUP($CI228,付与!$1:$1176,COLUMN($CK$1),FALSE)),"")</f>
        <v>0</v>
      </c>
      <c r="CO228">
        <f>VLOOKUP(D228,素材!$A:$O,COLUMN(素材!O$1),FALSE)</f>
        <v>0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IFERROR(VLOOKUP($D229,素材!$1:$1016,COLUMN($B$1),FALSE)&amp;"・"&amp;VLOOKUP($C229,装備品!$1:$998,COLUMN(B$1),FALSE),"")</f>
        <v>ドゥララン・アーマー</v>
      </c>
      <c r="C229" t="s">
        <v>207</v>
      </c>
      <c r="D229" s="24" t="s">
        <v>242</v>
      </c>
      <c r="E229" t="str">
        <f>IFERROR(VLOOKUP(C229,装備品!$1:$998,COLUMN(C$1),FALSE),"")</f>
        <v>体</v>
      </c>
      <c r="F229">
        <f>IFERROR(ROUNDDOWN((VLOOKUP($C229,装備品!$1:$998,COLUMN(D$1),FALSE)+IFERROR(VLOOKUP($CI229,付与!$1:$1167,COLUMN(F$1),FALSE),0))*VLOOKUP($D229,素材!$1:$1016,COLUMN(D$1),FALSE),0),"")</f>
        <v>0</v>
      </c>
      <c r="G229">
        <f>IFERROR(ROUNDDOWN((VLOOKUP($C229,装備品!$1:$998,COLUMN(E$1),FALSE)+IFERROR(VLOOKUP($CI229,付与!$1:$1167,COLUMN(G$1),FALSE),0))*VLOOKUP($D229,素材!$1:$1016,COLUMN($E$1),FALSE),0),"")</f>
        <v>0</v>
      </c>
      <c r="H229">
        <f>IFERROR(ROUNDDOWN((VLOOKUP($C229,装備品!$1:$998,COLUMN(F$1),FALSE)+IFERROR(VLOOKUP($CI229,付与!$1:$1167,COLUMN(H$1),FALSE),0))*VLOOKUP($D229,素材!$1:$1016,COLUMN($E$1),FALSE),0),"")</f>
        <v>0</v>
      </c>
      <c r="I229">
        <f>IFERROR(ROUNDDOWN((VLOOKUP($C229,装備品!$1:$998,COLUMN(G$1),FALSE)+IFERROR(VLOOKUP($CI229,付与!$1:$1167,COLUMN(I$1),FALSE),0))*VLOOKUP($D229,素材!$1:$1016,COLUMN($E$1),FALSE),0),"")</f>
        <v>0</v>
      </c>
      <c r="J229">
        <f>IFERROR(ROUNDDOWN((VLOOKUP($C229,装備品!$1:$998,COLUMN(H$1),FALSE)+IFERROR(VLOOKUP($CI229,付与!$1:$1167,COLUMN(J$1),FALSE),0))*VLOOKUP($D229,素材!$1:$1016,COLUMN($E$1),FALSE),0),"")</f>
        <v>0</v>
      </c>
      <c r="K229">
        <f>IFERROR(ROUNDDOWN((VLOOKUP($C229,装備品!$1:$998,COLUMN(I$1),FALSE)+IFERROR(VLOOKUP($CI229,付与!$1:$1167,COLUMN(K$1),FALSE),0))*VLOOKUP($D229,素材!$1:$1016,COLUMN($E$1),FALSE),0),"")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IFERROR(VLOOKUP($C229,装備品!$1:$998,COLUMN(AA$1),FALSE)*VLOOKUP($D229,素材!$1:$1016,COLUMN($G$1),FALSE),"")</f>
        <v>105</v>
      </c>
      <c r="N229">
        <f>IFERROR(VLOOKUP($C229,装備品!$1:$998,COLUMN(I$1),FALSE),"")</f>
        <v>0</v>
      </c>
      <c r="O229" s="23">
        <f>IFERROR((VLOOKUP($C229,装備品!$1:$998,COLUMN(K$1),FALSE)+VLOOKUP($D229,素材!$1:$1016,COLUMN(H$1),FALSE))*100+IFERROR(VLOOKUP($CI229,付与!$1:$1167,COLUMN(O$1),FALSE),0),"")</f>
        <v>0</v>
      </c>
      <c r="P229" s="23">
        <f>IFERROR((VLOOKUP($C229,装備品!$1:$998,COLUMN(L$1),FALSE)+VLOOKUP($D229,素材!$1:$1016,COLUMN(I$1),FALSE))*100+IFERROR(VLOOKUP($CI229,付与!$1:$1167,COLUMN(P$1),FALSE),0),"")</f>
        <v>0</v>
      </c>
      <c r="Q229">
        <f>IFERROR(ROUNDUP(VLOOKUP($C229,装備品!$1:$998,COLUMN(M$1),FALSE)*(VLOOKUP($D229,素材!$1:$1002,COLUMN(D$1),FALSE)/100),1),"")</f>
        <v>-15</v>
      </c>
      <c r="R229">
        <f>IFERROR(ROUNDUP(VLOOKUP($C229,装備品!$1:$998,COLUMN(N$1),FALSE)*(VLOOKUP($D229,素材!$1:$1002,COLUMN(D$1),FALSE)/100),1),"")</f>
        <v>0</v>
      </c>
      <c r="S229">
        <f>IFERROR(VLOOKUP($C229,装備品!$1:$998,COLUMN(P$1),FALSE),"")</f>
        <v>-35</v>
      </c>
      <c r="T229">
        <f>IFERROR(VLOOKUP($C229,装備品!$1:$998,COLUMN(Q$1),FALSE),"")</f>
        <v>0</v>
      </c>
      <c r="U229">
        <f>IFERROR(VLOOKUP($C229,装備品!$1:$998,COLUMN(R$1),FALSE),"")</f>
        <v>0</v>
      </c>
      <c r="V229">
        <f>IFERROR(VLOOKUP($C229,装備品!$1:$998,COLUMN(Q$1),FALSE),"")</f>
        <v>0</v>
      </c>
      <c r="W229">
        <f>IFERROR(VLOOKUP($C229,装備品!$1:$998,COLUMN(T$1),FALSE),"")</f>
        <v>0.7</v>
      </c>
      <c r="Y229">
        <f>IFERROR(VLOOKUP($C229,装備品!$1:$998,COLUMN(U$1),FALSE),"")</f>
        <v>0</v>
      </c>
      <c r="Z229">
        <f>IFERROR(ROUNDUP(VLOOKUP($C229,装備品!$1:$998,COLUMN(O$1),FALSE)*VLOOKUP($D229,素材!$1:$1016,COLUMN(E$1),FALSE),1),"")</f>
        <v>0</v>
      </c>
      <c r="AA229">
        <f>IF(ISNUMBER(SEARCH(SUBSTITUTE(AA$1,RIGHT(AA$1,2),""),VLOOKUP($D229,素材!$1:$1016,COLUMN($F$1),FALSE))),VLOOKUP($C229,装備品!$1:$998,COLUMN($O$1),FALSE)*VLOOKUP($D229,素材!$1:$1016,COLUMN($E$1),FALSE)/(LEN(VLOOKUP($D229,素材!$1:$1016,COLUMN($F$1),FALSE))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IFERROR(VLOOKUP($C229,装備品!$1:$998,COLUMN(V$1),FALSE)*VLOOKUP($D229,素材!$1:$1016,COLUMN(N$1),FALSE)+IF(CI229="",0,VLOOKUP($CI229,付与!$1:$1176,COLUMN($CK$1),FALSE)),"")</f>
        <v>0</v>
      </c>
      <c r="CO229">
        <f>VLOOKUP(D229,素材!$A:$O,COLUMN(素材!O$1),FALSE)</f>
        <v>0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IFERROR(VLOOKUP($D230,素材!$1:$1016,COLUMN($B$1),FALSE)&amp;"・"&amp;VLOOKUP($C230,装備品!$1:$998,COLUMN(B$1),FALSE),"")</f>
        <v>ドゥララン・ベスト</v>
      </c>
      <c r="C230" t="s">
        <v>206</v>
      </c>
      <c r="D230" s="24" t="s">
        <v>242</v>
      </c>
      <c r="E230" t="str">
        <f>IFERROR(VLOOKUP(C230,装備品!$1:$998,COLUMN(C$1),FALSE),"")</f>
        <v>体</v>
      </c>
      <c r="F230">
        <f>IFERROR(ROUNDDOWN((VLOOKUP($C230,装備品!$1:$998,COLUMN(D$1),FALSE)+IFERROR(VLOOKUP($CI230,付与!$1:$1167,COLUMN(F$1),FALSE),0))*VLOOKUP($D230,素材!$1:$1016,COLUMN(D$1),FALSE),0),"")</f>
        <v>0</v>
      </c>
      <c r="G230">
        <f>IFERROR(ROUNDDOWN((VLOOKUP($C230,装備品!$1:$998,COLUMN(E$1),FALSE)+IFERROR(VLOOKUP($CI230,付与!$1:$1167,COLUMN(G$1),FALSE),0))*VLOOKUP($D230,素材!$1:$1016,COLUMN($E$1),FALSE),0),"")</f>
        <v>0</v>
      </c>
      <c r="H230">
        <f>IFERROR(ROUNDDOWN((VLOOKUP($C230,装備品!$1:$998,COLUMN(F$1),FALSE)+IFERROR(VLOOKUP($CI230,付与!$1:$1167,COLUMN(H$1),FALSE),0))*VLOOKUP($D230,素材!$1:$1016,COLUMN($E$1),FALSE),0),"")</f>
        <v>0</v>
      </c>
      <c r="I230">
        <f>IFERROR(ROUNDDOWN((VLOOKUP($C230,装備品!$1:$998,COLUMN(G$1),FALSE)+IFERROR(VLOOKUP($CI230,付与!$1:$1167,COLUMN(I$1),FALSE),0))*VLOOKUP($D230,素材!$1:$1016,COLUMN($E$1),FALSE),0),"")</f>
        <v>0</v>
      </c>
      <c r="J230">
        <f>IFERROR(ROUNDDOWN((VLOOKUP($C230,装備品!$1:$998,COLUMN(H$1),FALSE)+IFERROR(VLOOKUP($CI230,付与!$1:$1167,COLUMN(J$1),FALSE),0))*VLOOKUP($D230,素材!$1:$1016,COLUMN($E$1),FALSE),0),"")</f>
        <v>0</v>
      </c>
      <c r="K230">
        <f>IFERROR(ROUNDDOWN((VLOOKUP($C230,装備品!$1:$998,COLUMN(I$1),FALSE)+IFERROR(VLOOKUP($CI230,付与!$1:$1167,COLUMN(K$1),FALSE),0))*VLOOKUP($D230,素材!$1:$1016,COLUMN($E$1),FALSE),0),"")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IFERROR(VLOOKUP($C230,装備品!$1:$998,COLUMN(AA$1),FALSE)*VLOOKUP($D230,素材!$1:$1016,COLUMN($G$1),FALSE),"")</f>
        <v>87.5</v>
      </c>
      <c r="N230">
        <f>IFERROR(VLOOKUP($C230,装備品!$1:$998,COLUMN(I$1),FALSE),"")</f>
        <v>0</v>
      </c>
      <c r="O230" s="23">
        <f>IFERROR((VLOOKUP($C230,装備品!$1:$998,COLUMN(K$1),FALSE)+VLOOKUP($D230,素材!$1:$1016,COLUMN(H$1),FALSE))*100+IFERROR(VLOOKUP($CI230,付与!$1:$1167,COLUMN(O$1),FALSE),0),"")</f>
        <v>0</v>
      </c>
      <c r="P230" s="23">
        <f>IFERROR((VLOOKUP($C230,装備品!$1:$998,COLUMN(L$1),FALSE)+VLOOKUP($D230,素材!$1:$1016,COLUMN(I$1),FALSE))*100+IFERROR(VLOOKUP($CI230,付与!$1:$1167,COLUMN(P$1),FALSE),0),"")</f>
        <v>0</v>
      </c>
      <c r="Q230">
        <f>IFERROR(ROUNDUP(VLOOKUP($C230,装備品!$1:$998,COLUMN(M$1),FALSE)*(VLOOKUP($D230,素材!$1:$1002,COLUMN(D$1),FALSE)/100),1),"")</f>
        <v>-7.5</v>
      </c>
      <c r="R230">
        <f>IFERROR(ROUNDUP(VLOOKUP($C230,装備品!$1:$998,COLUMN(N$1),FALSE)*(VLOOKUP($D230,素材!$1:$1002,COLUMN(D$1),FALSE)/100),1),"")</f>
        <v>0</v>
      </c>
      <c r="S230">
        <f>IFERROR(VLOOKUP($C230,装備品!$1:$998,COLUMN(P$1),FALSE),"")</f>
        <v>-15</v>
      </c>
      <c r="T230">
        <f>IFERROR(VLOOKUP($C230,装備品!$1:$998,COLUMN(Q$1),FALSE),"")</f>
        <v>0</v>
      </c>
      <c r="U230">
        <f>IFERROR(VLOOKUP($C230,装備品!$1:$998,COLUMN(R$1),FALSE),"")</f>
        <v>0</v>
      </c>
      <c r="V230">
        <f>IFERROR(VLOOKUP($C230,装備品!$1:$998,COLUMN(Q$1),FALSE),"")</f>
        <v>0</v>
      </c>
      <c r="W230">
        <f>IFERROR(VLOOKUP($C230,装備品!$1:$998,COLUMN(T$1),FALSE),"")</f>
        <v>0.5</v>
      </c>
      <c r="Y230">
        <f>IFERROR(VLOOKUP($C230,装備品!$1:$998,COLUMN(U$1),FALSE),"")</f>
        <v>0</v>
      </c>
      <c r="Z230">
        <f>IFERROR(ROUNDUP(VLOOKUP($C230,装備品!$1:$998,COLUMN(O$1),FALSE)*VLOOKUP($D230,素材!$1:$1016,COLUMN(E$1),FALSE),1),"")</f>
        <v>0</v>
      </c>
      <c r="AA230">
        <f>IF(ISNUMBER(SEARCH(SUBSTITUTE(AA$1,RIGHT(AA$1,2),""),VLOOKUP($D230,素材!$1:$1016,COLUMN($F$1),FALSE))),VLOOKUP($C230,装備品!$1:$998,COLUMN($O$1),FALSE)*VLOOKUP($D230,素材!$1:$1016,COLUMN($E$1),FALSE)/(LEN(VLOOKUP($D230,素材!$1:$1016,COLUMN($F$1),FALSE))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IFERROR(VLOOKUP($C230,装備品!$1:$998,COLUMN(V$1),FALSE)*VLOOKUP($D230,素材!$1:$1016,COLUMN(N$1),FALSE)+IF(CI230="",0,VLOOKUP($CI230,付与!$1:$1176,COLUMN($CK$1),FALSE)),"")</f>
        <v>0</v>
      </c>
      <c r="CO230">
        <f>VLOOKUP(D230,素材!$A:$O,COLUMN(素材!O$1),FALSE)</f>
        <v>0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IFERROR(VLOOKUP($D231,素材!$1:$1016,COLUMN($B$1),FALSE)&amp;"・"&amp;VLOOKUP($C231,装備品!$1:$998,COLUMN(B$1),FALSE),"")</f>
        <v>ドゥララン・ブーツ</v>
      </c>
      <c r="C231" t="s">
        <v>205</v>
      </c>
      <c r="D231" s="24" t="s">
        <v>242</v>
      </c>
      <c r="E231" t="str">
        <f>IFERROR(VLOOKUP(C231,装備品!$1:$998,COLUMN(C$1),FALSE),"")</f>
        <v>足</v>
      </c>
      <c r="F231">
        <f>IFERROR(ROUNDDOWN((VLOOKUP($C231,装備品!$1:$998,COLUMN(D$1),FALSE)+IFERROR(VLOOKUP($CI231,付与!$1:$1167,COLUMN(F$1),FALSE),0))*VLOOKUP($D231,素材!$1:$1016,COLUMN(D$1),FALSE),0),"")</f>
        <v>0</v>
      </c>
      <c r="G231">
        <f>IFERROR(ROUNDDOWN((VLOOKUP($C231,装備品!$1:$998,COLUMN(E$1),FALSE)+IFERROR(VLOOKUP($CI231,付与!$1:$1167,COLUMN(G$1),FALSE),0))*VLOOKUP($D231,素材!$1:$1016,COLUMN($E$1),FALSE),0),"")</f>
        <v>0</v>
      </c>
      <c r="H231">
        <f>IFERROR(ROUNDDOWN((VLOOKUP($C231,装備品!$1:$998,COLUMN(F$1),FALSE)+IFERROR(VLOOKUP($CI231,付与!$1:$1167,COLUMN(H$1),FALSE),0))*VLOOKUP($D231,素材!$1:$1016,COLUMN($E$1),FALSE),0),"")</f>
        <v>0</v>
      </c>
      <c r="I231">
        <f>IFERROR(ROUNDDOWN((VLOOKUP($C231,装備品!$1:$998,COLUMN(G$1),FALSE)+IFERROR(VLOOKUP($CI231,付与!$1:$1167,COLUMN(I$1),FALSE),0))*VLOOKUP($D231,素材!$1:$1016,COLUMN($E$1),FALSE),0),"")</f>
        <v>20</v>
      </c>
      <c r="J231">
        <f>IFERROR(ROUNDDOWN((VLOOKUP($C231,装備品!$1:$998,COLUMN(H$1),FALSE)+IFERROR(VLOOKUP($CI231,付与!$1:$1167,COLUMN(J$1),FALSE),0))*VLOOKUP($D231,素材!$1:$1016,COLUMN($E$1),FALSE),0),"")</f>
        <v>0</v>
      </c>
      <c r="K231">
        <f>IFERROR(ROUNDDOWN((VLOOKUP($C231,装備品!$1:$998,COLUMN(I$1),FALSE)+IFERROR(VLOOKUP($CI231,付与!$1:$1167,COLUMN(K$1),FALSE),0))*VLOOKUP($D231,素材!$1:$1016,COLUMN($E$1),FALSE),0),"")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IFERROR(VLOOKUP($C231,装備品!$1:$998,COLUMN(AA$1),FALSE)*VLOOKUP($D231,素材!$1:$1016,COLUMN($G$1),FALSE),"")</f>
        <v>35</v>
      </c>
      <c r="N231">
        <f>IFERROR(VLOOKUP($C231,装備品!$1:$998,COLUMN(I$1),FALSE),"")</f>
        <v>0</v>
      </c>
      <c r="O231" s="23">
        <f>IFERROR((VLOOKUP($C231,装備品!$1:$998,COLUMN(K$1),FALSE)+VLOOKUP($D231,素材!$1:$1016,COLUMN(H$1),FALSE))*100+IFERROR(VLOOKUP($CI231,付与!$1:$1167,COLUMN(O$1),FALSE),0),"")</f>
        <v>10</v>
      </c>
      <c r="P231" s="23">
        <f>IFERROR((VLOOKUP($C231,装備品!$1:$998,COLUMN(L$1),FALSE)+VLOOKUP($D231,素材!$1:$1016,COLUMN(I$1),FALSE))*100+IFERROR(VLOOKUP($CI231,付与!$1:$1167,COLUMN(P$1),FALSE),0),"")</f>
        <v>150</v>
      </c>
      <c r="Q231">
        <f>IFERROR(ROUNDUP(VLOOKUP($C231,装備品!$1:$998,COLUMN(M$1),FALSE)*(VLOOKUP($D231,素材!$1:$1002,COLUMN(D$1),FALSE)/100),1),"")</f>
        <v>0</v>
      </c>
      <c r="R231">
        <f>IFERROR(ROUNDUP(VLOOKUP($C231,装備品!$1:$998,COLUMN(N$1),FALSE)*(VLOOKUP($D231,素材!$1:$1002,COLUMN(D$1),FALSE)/100),1),"")</f>
        <v>0</v>
      </c>
      <c r="S231">
        <f>IFERROR(VLOOKUP($C231,装備品!$1:$998,COLUMN(P$1),FALSE),"")</f>
        <v>0</v>
      </c>
      <c r="T231">
        <f>IFERROR(VLOOKUP($C231,装備品!$1:$998,COLUMN(Q$1),FALSE),"")</f>
        <v>0</v>
      </c>
      <c r="U231">
        <f>IFERROR(VLOOKUP($C231,装備品!$1:$998,COLUMN(R$1),FALSE),"")</f>
        <v>0</v>
      </c>
      <c r="V231">
        <f>IFERROR(VLOOKUP($C231,装備品!$1:$998,COLUMN(Q$1),FALSE),"")</f>
        <v>0</v>
      </c>
      <c r="W231">
        <f>IFERROR(VLOOKUP($C231,装備品!$1:$998,COLUMN(T$1),FALSE),"")</f>
        <v>0.15</v>
      </c>
      <c r="Y231">
        <f>IFERROR(VLOOKUP($C231,装備品!$1:$998,COLUMN(U$1),FALSE),"")</f>
        <v>0</v>
      </c>
      <c r="Z231">
        <f>IFERROR(ROUNDUP(VLOOKUP($C231,装備品!$1:$998,COLUMN(O$1),FALSE)*VLOOKUP($D231,素材!$1:$1016,COLUMN(E$1),FALSE),1),"")</f>
        <v>0</v>
      </c>
      <c r="AA231">
        <f>IF(ISNUMBER(SEARCH(SUBSTITUTE(AA$1,RIGHT(AA$1,2),""),VLOOKUP($D231,素材!$1:$1016,COLUMN($F$1),FALSE))),VLOOKUP($C231,装備品!$1:$998,COLUMN($O$1),FALSE)*VLOOKUP($D231,素材!$1:$1016,COLUMN($E$1),FALSE)/(LEN(VLOOKUP($D231,素材!$1:$1016,COLUMN($F$1),FALSE))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IFERROR(VLOOKUP($C231,装備品!$1:$998,COLUMN(V$1),FALSE)*VLOOKUP($D231,素材!$1:$1016,COLUMN(N$1),FALSE)+IF(CI231="",0,VLOOKUP($CI231,付与!$1:$1176,COLUMN($CK$1),FALSE)),"")</f>
        <v>0</v>
      </c>
      <c r="CO231">
        <f>VLOOKUP(D231,素材!$A:$O,COLUMN(素材!O$1),FALSE)</f>
        <v>0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IFERROR(VLOOKUP($D232,素材!$1:$1016,COLUMN($B$1),FALSE)&amp;"・"&amp;VLOOKUP($C232,装備品!$1:$998,COLUMN(B$1),FALSE),"")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IFERROR(VLOOKUP(C232,装備品!$1:$998,COLUMN(C$1),FALSE),"")</f>
        <v>武器</v>
      </c>
      <c r="F232">
        <f>IFERROR(ROUNDDOWN((VLOOKUP($C232,装備品!$1:$998,COLUMN(D$1),FALSE)+IFERROR(VLOOKUP($CI232,付与!$1:$1167,COLUMN(F$1),FALSE),0))*VLOOKUP($D232,素材!$1:$1016,COLUMN(D$1),FALSE),0),"")</f>
        <v>100</v>
      </c>
      <c r="G232">
        <f>IFERROR(ROUNDDOWN((VLOOKUP($C232,装備品!$1:$998,COLUMN(E$1),FALSE)+IFERROR(VLOOKUP($CI232,付与!$1:$1167,COLUMN(G$1),FALSE),0))*VLOOKUP($D232,素材!$1:$1016,COLUMN($E$1),FALSE),0),"")</f>
        <v>10</v>
      </c>
      <c r="H232">
        <f>IFERROR(ROUNDDOWN((VLOOKUP($C232,装備品!$1:$998,COLUMN(F$1),FALSE)+IFERROR(VLOOKUP($CI232,付与!$1:$1167,COLUMN(H$1),FALSE),0))*VLOOKUP($D232,素材!$1:$1016,COLUMN($E$1),FALSE),0),"")</f>
        <v>8</v>
      </c>
      <c r="I232">
        <f>IFERROR(ROUNDDOWN((VLOOKUP($C232,装備品!$1:$998,COLUMN(G$1),FALSE)+IFERROR(VLOOKUP($CI232,付与!$1:$1167,COLUMN(I$1),FALSE),0))*VLOOKUP($D232,素材!$1:$1016,COLUMN($E$1),FALSE),0),"")</f>
        <v>2</v>
      </c>
      <c r="J232">
        <f>IFERROR(ROUNDDOWN((VLOOKUP($C232,装備品!$1:$998,COLUMN(H$1),FALSE)+IFERROR(VLOOKUP($CI232,付与!$1:$1167,COLUMN(J$1),FALSE),0))*VLOOKUP($D232,素材!$1:$1016,COLUMN($E$1),FALSE),0),"")</f>
        <v>13</v>
      </c>
      <c r="K232">
        <f>IFERROR(ROUNDDOWN((VLOOKUP($C232,装備品!$1:$998,COLUMN(I$1),FALSE)+IFERROR(VLOOKUP($CI232,付与!$1:$1167,COLUMN(K$1),FALSE),0))*VLOOKUP($D232,素材!$1:$1016,COLUMN($E$1),FALSE),0),"")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IFERROR(VLOOKUP($C232,装備品!$1:$998,COLUMN(AA$1),FALSE)*VLOOKUP($D232,素材!$1:$1016,COLUMN($G$1),FALSE),"")</f>
        <v>35</v>
      </c>
      <c r="N232">
        <f>IFERROR(VLOOKUP($C232,装備品!$1:$998,COLUMN(I$1),FALSE),"")</f>
        <v>0</v>
      </c>
      <c r="O232" s="23">
        <f>IFERROR((VLOOKUP($C232,装備品!$1:$998,COLUMN(K$1),FALSE)+VLOOKUP($D232,素材!$1:$1016,COLUMN(H$1),FALSE))*100+IFERROR(VLOOKUP($CI232,付与!$1:$1167,COLUMN(O$1),FALSE),0),"")</f>
        <v>10</v>
      </c>
      <c r="P232" s="23">
        <f>IFERROR((VLOOKUP($C232,装備品!$1:$998,COLUMN(L$1),FALSE)+VLOOKUP($D232,素材!$1:$1016,COLUMN(I$1),FALSE))*100+IFERROR(VLOOKUP($CI232,付与!$1:$1167,COLUMN(P$1),FALSE),0),"")</f>
        <v>175</v>
      </c>
      <c r="Q232">
        <f>IFERROR(ROUNDUP(VLOOKUP($C232,装備品!$1:$998,COLUMN(M$1),FALSE)*(VLOOKUP($D232,素材!$1:$1002,COLUMN(D$1),FALSE)/100),1),"")</f>
        <v>0</v>
      </c>
      <c r="R232">
        <f>IFERROR(ROUNDUP(VLOOKUP($C232,装備品!$1:$998,COLUMN(N$1),FALSE)*(VLOOKUP($D232,素材!$1:$1002,COLUMN(D$1),FALSE)/100),1),"")</f>
        <v>0</v>
      </c>
      <c r="S232">
        <f>IFERROR(VLOOKUP($C232,装備品!$1:$998,COLUMN(P$1),FALSE),"")</f>
        <v>0</v>
      </c>
      <c r="T232">
        <f>IFERROR(VLOOKUP($C232,装備品!$1:$998,COLUMN(Q$1),FALSE),"")</f>
        <v>0</v>
      </c>
      <c r="U232">
        <f>IFERROR(VLOOKUP($C232,装備品!$1:$998,COLUMN(R$1),FALSE),"")</f>
        <v>0</v>
      </c>
      <c r="V232">
        <f>IFERROR(VLOOKUP($C232,装備品!$1:$998,COLUMN(Q$1),FALSE),"")</f>
        <v>0</v>
      </c>
      <c r="W232">
        <f>IFERROR(VLOOKUP($C232,装備品!$1:$998,COLUMN(T$1),FALSE),"")</f>
        <v>0</v>
      </c>
      <c r="Y232">
        <f>IFERROR(VLOOKUP($C232,装備品!$1:$998,COLUMN(U$1),FALSE),"")</f>
        <v>0</v>
      </c>
      <c r="Z232">
        <f>IFERROR(ROUNDUP(VLOOKUP($C232,装備品!$1:$998,COLUMN(O$1),FALSE)*VLOOKUP($D232,素材!$1:$1016,COLUMN(E$1),FALSE),1),"")</f>
        <v>0</v>
      </c>
      <c r="AA232">
        <f>IF(ISNUMBER(SEARCH(SUBSTITUTE(AA$1,RIGHT(AA$1,2),""),VLOOKUP($D232,素材!$1:$1016,COLUMN($F$1),FALSE))),VLOOKUP($C232,装備品!$1:$998,COLUMN($O$1),FALSE)*VLOOKUP($D232,素材!$1:$1016,COLUMN($E$1),FALSE)/(LEN(VLOOKUP($D232,素材!$1:$1016,COLUMN($F$1),FALSE))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IFERROR(VLOOKUP($C232,装備品!$1:$998,COLUMN(V$1),FALSE)*VLOOKUP($D232,素材!$1:$1016,COLUMN(N$1),FALSE)+IF(CI232="",0,VLOOKUP($CI232,付与!$1:$1176,COLUMN($CK$1),FALSE)),"")</f>
        <v>0</v>
      </c>
      <c r="CO232">
        <f>VLOOKUP(D232,素材!$A:$O,COLUMN(素材!O$1),FALSE)</f>
        <v>0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IFERROR(VLOOKUP($D233,素材!$1:$1016,COLUMN($B$1),FALSE)&amp;"・"&amp;VLOOKUP($C233,装備品!$1:$998,COLUMN(B$1),FALSE),"")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IFERROR(VLOOKUP(C233,装備品!$1:$998,COLUMN(C$1),FALSE),"")</f>
        <v>武器</v>
      </c>
      <c r="F233">
        <f>IFERROR(ROUNDDOWN((VLOOKUP($C233,装備品!$1:$998,COLUMN(D$1),FALSE)+IFERROR(VLOOKUP($CI233,付与!$1:$1167,COLUMN(F$1),FALSE),0))*VLOOKUP($D233,素材!$1:$1016,COLUMN(D$1),FALSE),0),"")</f>
        <v>105</v>
      </c>
      <c r="G233">
        <f>IFERROR(ROUNDDOWN((VLOOKUP($C233,装備品!$1:$998,COLUMN(E$1),FALSE)+IFERROR(VLOOKUP($CI233,付与!$1:$1167,COLUMN(G$1),FALSE),0))*VLOOKUP($D233,素材!$1:$1016,COLUMN($E$1),FALSE),0),"")</f>
        <v>14</v>
      </c>
      <c r="H233">
        <f>IFERROR(ROUNDDOWN((VLOOKUP($C233,装備品!$1:$998,COLUMN(F$1),FALSE)+IFERROR(VLOOKUP($CI233,付与!$1:$1167,COLUMN(H$1),FALSE),0))*VLOOKUP($D233,素材!$1:$1016,COLUMN($E$1),FALSE),0),"")</f>
        <v>8</v>
      </c>
      <c r="I233">
        <f>IFERROR(ROUNDDOWN((VLOOKUP($C233,装備品!$1:$998,COLUMN(G$1),FALSE)+IFERROR(VLOOKUP($CI233,付与!$1:$1167,COLUMN(I$1),FALSE),0))*VLOOKUP($D233,素材!$1:$1016,COLUMN($E$1),FALSE),0),"")</f>
        <v>2</v>
      </c>
      <c r="J233">
        <f>IFERROR(ROUNDDOWN((VLOOKUP($C233,装備品!$1:$998,COLUMN(H$1),FALSE)+IFERROR(VLOOKUP($CI233,付与!$1:$1167,COLUMN(J$1),FALSE),0))*VLOOKUP($D233,素材!$1:$1016,COLUMN($E$1),FALSE),0),"")</f>
        <v>17</v>
      </c>
      <c r="K233">
        <f>IFERROR(ROUNDDOWN((VLOOKUP($C233,装備品!$1:$998,COLUMN(I$1),FALSE)+IFERROR(VLOOKUP($CI233,付与!$1:$1167,COLUMN(K$1),FALSE),0))*VLOOKUP($D233,素材!$1:$1016,COLUMN($E$1),FALSE),0),"")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IFERROR(VLOOKUP($C233,装備品!$1:$998,COLUMN(AA$1),FALSE)*VLOOKUP($D233,素材!$1:$1016,COLUMN($G$1),FALSE),"")</f>
        <v>70</v>
      </c>
      <c r="N233">
        <f>IFERROR(VLOOKUP($C233,装備品!$1:$998,COLUMN(I$1),FALSE),"")</f>
        <v>0</v>
      </c>
      <c r="O233" s="23">
        <f>IFERROR((VLOOKUP($C233,装備品!$1:$998,COLUMN(K$1),FALSE)+VLOOKUP($D233,素材!$1:$1016,COLUMN(H$1),FALSE))*100+IFERROR(VLOOKUP($CI233,付与!$1:$1167,COLUMN(O$1),FALSE),0),"")</f>
        <v>10</v>
      </c>
      <c r="P233" s="23">
        <f>IFERROR((VLOOKUP($C233,装備品!$1:$998,COLUMN(L$1),FALSE)+VLOOKUP($D233,素材!$1:$1016,COLUMN(I$1),FALSE))*100+IFERROR(VLOOKUP($CI233,付与!$1:$1167,COLUMN(P$1),FALSE),0),"")</f>
        <v>175</v>
      </c>
      <c r="Q233">
        <f>IFERROR(ROUNDUP(VLOOKUP($C233,装備品!$1:$998,COLUMN(M$1),FALSE)*(VLOOKUP($D233,素材!$1:$1002,COLUMN(D$1),FALSE)/100),1),"")</f>
        <v>0</v>
      </c>
      <c r="R233">
        <f>IFERROR(ROUNDUP(VLOOKUP($C233,装備品!$1:$998,COLUMN(N$1),FALSE)*(VLOOKUP($D233,素材!$1:$1002,COLUMN(D$1),FALSE)/100),1),"")</f>
        <v>0</v>
      </c>
      <c r="S233">
        <f>IFERROR(VLOOKUP($C233,装備品!$1:$998,COLUMN(P$1),FALSE),"")</f>
        <v>0</v>
      </c>
      <c r="T233">
        <f>IFERROR(VLOOKUP($C233,装備品!$1:$998,COLUMN(Q$1),FALSE),"")</f>
        <v>0</v>
      </c>
      <c r="U233">
        <f>IFERROR(VLOOKUP($C233,装備品!$1:$998,COLUMN(R$1),FALSE),"")</f>
        <v>0</v>
      </c>
      <c r="V233">
        <f>IFERROR(VLOOKUP($C233,装備品!$1:$998,COLUMN(Q$1),FALSE),"")</f>
        <v>0</v>
      </c>
      <c r="W233">
        <f>IFERROR(VLOOKUP($C233,装備品!$1:$998,COLUMN(T$1),FALSE),"")</f>
        <v>0</v>
      </c>
      <c r="Y233">
        <f>IFERROR(VLOOKUP($C233,装備品!$1:$998,COLUMN(U$1),FALSE),"")</f>
        <v>0</v>
      </c>
      <c r="Z233">
        <f>IFERROR(ROUNDUP(VLOOKUP($C233,装備品!$1:$998,COLUMN(O$1),FALSE)*VLOOKUP($D233,素材!$1:$1016,COLUMN(E$1),FALSE),1),"")</f>
        <v>0</v>
      </c>
      <c r="AA233">
        <f>IF(ISNUMBER(SEARCH(SUBSTITUTE(AA$1,RIGHT(AA$1,2),""),VLOOKUP($D233,素材!$1:$1016,COLUMN($F$1),FALSE))),VLOOKUP($C233,装備品!$1:$998,COLUMN($O$1),FALSE)*VLOOKUP($D233,素材!$1:$1016,COLUMN($E$1),FALSE)/(LEN(VLOOKUP($D233,素材!$1:$1016,COLUMN($F$1),FALSE))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IFERROR(VLOOKUP($C233,装備品!$1:$998,COLUMN(V$1),FALSE)*VLOOKUP($D233,素材!$1:$1016,COLUMN(N$1),FALSE)+IF(CI233="",0,VLOOKUP($CI233,付与!$1:$1176,COLUMN($CK$1),FALSE)),"")</f>
        <v>0</v>
      </c>
      <c r="CO233">
        <f>VLOOKUP(D233,素材!$A:$O,COLUMN(素材!O$1),FALSE)</f>
        <v>0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IFERROR(VLOOKUP($D234,素材!$1:$1016,COLUMN($B$1),FALSE)&amp;"・"&amp;VLOOKUP($C234,装備品!$1:$998,COLUMN(B$1),FALSE),"")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IFERROR(VLOOKUP(C234,装備品!$1:$998,COLUMN(C$1),FALSE),"")</f>
        <v>武器</v>
      </c>
      <c r="F234">
        <f>IFERROR(ROUNDDOWN((VLOOKUP($C234,装備品!$1:$998,COLUMN(D$1),FALSE)+IFERROR(VLOOKUP($CI234,付与!$1:$1167,COLUMN(F$1),FALSE),0))*VLOOKUP($D234,素材!$1:$1016,COLUMN(D$1),FALSE),0),"")</f>
        <v>100</v>
      </c>
      <c r="G234">
        <f>IFERROR(ROUNDDOWN((VLOOKUP($C234,装備品!$1:$998,COLUMN(E$1),FALSE)+IFERROR(VLOOKUP($CI234,付与!$1:$1167,COLUMN(G$1),FALSE),0))*VLOOKUP($D234,素材!$1:$1016,COLUMN($E$1),FALSE),0),"")</f>
        <v>12</v>
      </c>
      <c r="H234">
        <f>IFERROR(ROUNDDOWN((VLOOKUP($C234,装備品!$1:$998,COLUMN(F$1),FALSE)+IFERROR(VLOOKUP($CI234,付与!$1:$1167,COLUMN(H$1),FALSE),0))*VLOOKUP($D234,素材!$1:$1016,COLUMN($E$1),FALSE),0),"")</f>
        <v>9</v>
      </c>
      <c r="I234">
        <f>IFERROR(ROUNDDOWN((VLOOKUP($C234,装備品!$1:$998,COLUMN(G$1),FALSE)+IFERROR(VLOOKUP($CI234,付与!$1:$1167,COLUMN(I$1),FALSE),0))*VLOOKUP($D234,素材!$1:$1016,COLUMN($E$1),FALSE),0),"")</f>
        <v>3</v>
      </c>
      <c r="J234">
        <f>IFERROR(ROUNDDOWN((VLOOKUP($C234,装備品!$1:$998,COLUMN(H$1),FALSE)+IFERROR(VLOOKUP($CI234,付与!$1:$1167,COLUMN(J$1),FALSE),0))*VLOOKUP($D234,素材!$1:$1016,COLUMN($E$1),FALSE),0),"")</f>
        <v>19</v>
      </c>
      <c r="K234">
        <f>IFERROR(ROUNDDOWN((VLOOKUP($C234,装備品!$1:$998,COLUMN(I$1),FALSE)+IFERROR(VLOOKUP($CI234,付与!$1:$1167,COLUMN(K$1),FALSE),0))*VLOOKUP($D234,素材!$1:$1016,COLUMN($E$1),FALSE),0),"")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IFERROR(VLOOKUP($C234,装備品!$1:$998,COLUMN(AA$1),FALSE)*VLOOKUP($D234,素材!$1:$1016,COLUMN($G$1),FALSE),"")</f>
        <v>52.5</v>
      </c>
      <c r="N234">
        <f>IFERROR(VLOOKUP($C234,装備品!$1:$998,COLUMN(I$1),FALSE),"")</f>
        <v>0</v>
      </c>
      <c r="O234" s="23">
        <f>IFERROR((VLOOKUP($C234,装備品!$1:$998,COLUMN(K$1),FALSE)+VLOOKUP($D234,素材!$1:$1016,COLUMN(H$1),FALSE))*100+IFERROR(VLOOKUP($CI234,付与!$1:$1167,COLUMN(O$1),FALSE),0),"")</f>
        <v>10</v>
      </c>
      <c r="P234" s="23">
        <f>IFERROR((VLOOKUP($C234,装備品!$1:$998,COLUMN(L$1),FALSE)+VLOOKUP($D234,素材!$1:$1016,COLUMN(I$1),FALSE))*100+IFERROR(VLOOKUP($CI234,付与!$1:$1167,COLUMN(P$1),FALSE),0),"")</f>
        <v>150</v>
      </c>
      <c r="Q234">
        <f>IFERROR(ROUNDUP(VLOOKUP($C234,装備品!$1:$998,COLUMN(M$1),FALSE)*(VLOOKUP($D234,素材!$1:$1002,COLUMN(D$1),FALSE)/100),1),"")</f>
        <v>0</v>
      </c>
      <c r="R234">
        <f>IFERROR(ROUNDUP(VLOOKUP($C234,装備品!$1:$998,COLUMN(N$1),FALSE)*(VLOOKUP($D234,素材!$1:$1002,COLUMN(D$1),FALSE)/100),1),"")</f>
        <v>0</v>
      </c>
      <c r="S234">
        <f>IFERROR(VLOOKUP($C234,装備品!$1:$998,COLUMN(P$1),FALSE),"")</f>
        <v>0</v>
      </c>
      <c r="T234">
        <f>IFERROR(VLOOKUP($C234,装備品!$1:$998,COLUMN(Q$1),FALSE),"")</f>
        <v>0</v>
      </c>
      <c r="U234">
        <f>IFERROR(VLOOKUP($C234,装備品!$1:$998,COLUMN(R$1),FALSE),"")</f>
        <v>0</v>
      </c>
      <c r="V234">
        <f>IFERROR(VLOOKUP($C234,装備品!$1:$998,COLUMN(Q$1),FALSE),"")</f>
        <v>0</v>
      </c>
      <c r="W234">
        <f>IFERROR(VLOOKUP($C234,装備品!$1:$998,COLUMN(T$1),FALSE),"")</f>
        <v>0</v>
      </c>
      <c r="Y234">
        <f>IFERROR(VLOOKUP($C234,装備品!$1:$998,COLUMN(U$1),FALSE),"")</f>
        <v>0</v>
      </c>
      <c r="Z234">
        <f>IFERROR(ROUNDUP(VLOOKUP($C234,装備品!$1:$998,COLUMN(O$1),FALSE)*VLOOKUP($D234,素材!$1:$1016,COLUMN(E$1),FALSE),1),"")</f>
        <v>0</v>
      </c>
      <c r="AA234">
        <f>IF(ISNUMBER(SEARCH(SUBSTITUTE(AA$1,RIGHT(AA$1,2),""),VLOOKUP($D234,素材!$1:$1016,COLUMN($F$1),FALSE))),VLOOKUP($C234,装備品!$1:$998,COLUMN($O$1),FALSE)*VLOOKUP($D234,素材!$1:$1016,COLUMN($E$1),FALSE)/(LEN(VLOOKUP($D234,素材!$1:$1016,COLUMN($F$1),FALSE))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IFERROR(VLOOKUP($C234,装備品!$1:$998,COLUMN(V$1),FALSE)*VLOOKUP($D234,素材!$1:$1016,COLUMN(N$1),FALSE)+IF(CI234="",0,VLOOKUP($CI234,付与!$1:$1176,COLUMN($CK$1),FALSE)),"")</f>
        <v>0</v>
      </c>
      <c r="CO234">
        <f>VLOOKUP(D234,素材!$A:$O,COLUMN(素材!O$1),FALSE)</f>
        <v>0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IFERROR(VLOOKUP($D235,素材!$1:$1016,COLUMN($B$1),FALSE)&amp;"・"&amp;VLOOKUP($C235,装備品!$1:$998,COLUMN(B$1),FALSE),"")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IFERROR(VLOOKUP(C235,装備品!$1:$998,COLUMN(C$1),FALSE),"")</f>
        <v>武器</v>
      </c>
      <c r="F235">
        <f>IFERROR(ROUNDDOWN((VLOOKUP($C235,装備品!$1:$998,COLUMN(D$1),FALSE)+IFERROR(VLOOKUP($CI235,付与!$1:$1167,COLUMN(F$1),FALSE),0))*VLOOKUP($D235,素材!$1:$1016,COLUMN(D$1),FALSE),0),"")</f>
        <v>110</v>
      </c>
      <c r="G235">
        <f>IFERROR(ROUNDDOWN((VLOOKUP($C235,装備品!$1:$998,COLUMN(E$1),FALSE)+IFERROR(VLOOKUP($CI235,付与!$1:$1167,COLUMN(G$1),FALSE),0))*VLOOKUP($D235,素材!$1:$1016,COLUMN($E$1),FALSE),0),"")</f>
        <v>12</v>
      </c>
      <c r="H235">
        <f>IFERROR(ROUNDDOWN((VLOOKUP($C235,装備品!$1:$998,COLUMN(F$1),FALSE)+IFERROR(VLOOKUP($CI235,付与!$1:$1167,COLUMN(H$1),FALSE),0))*VLOOKUP($D235,素材!$1:$1016,COLUMN($E$1),FALSE),0),"")</f>
        <v>8</v>
      </c>
      <c r="I235">
        <f>IFERROR(ROUNDDOWN((VLOOKUP($C235,装備品!$1:$998,COLUMN(G$1),FALSE)+IFERROR(VLOOKUP($CI235,付与!$1:$1167,COLUMN(I$1),FALSE),0))*VLOOKUP($D235,素材!$1:$1016,COLUMN($E$1),FALSE),0),"")</f>
        <v>3</v>
      </c>
      <c r="J235">
        <f>IFERROR(ROUNDDOWN((VLOOKUP($C235,装備品!$1:$998,COLUMN(H$1),FALSE)+IFERROR(VLOOKUP($CI235,付与!$1:$1167,COLUMN(J$1),FALSE),0))*VLOOKUP($D235,素材!$1:$1016,COLUMN($E$1),FALSE),0),"")</f>
        <v>23</v>
      </c>
      <c r="K235">
        <f>IFERROR(ROUNDDOWN((VLOOKUP($C235,装備品!$1:$998,COLUMN(I$1),FALSE)+IFERROR(VLOOKUP($CI235,付与!$1:$1167,COLUMN(K$1),FALSE),0))*VLOOKUP($D235,素材!$1:$1016,COLUMN($E$1),FALSE),0),"")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IFERROR(VLOOKUP($C235,装備品!$1:$998,COLUMN(AA$1),FALSE)*VLOOKUP($D235,素材!$1:$1016,COLUMN($G$1),FALSE),"")</f>
        <v>70</v>
      </c>
      <c r="N235">
        <f>IFERROR(VLOOKUP($C235,装備品!$1:$998,COLUMN(I$1),FALSE),"")</f>
        <v>0</v>
      </c>
      <c r="O235" s="23">
        <f>IFERROR((VLOOKUP($C235,装備品!$1:$998,COLUMN(K$1),FALSE)+VLOOKUP($D235,素材!$1:$1016,COLUMN(H$1),FALSE))*100+IFERROR(VLOOKUP($CI235,付与!$1:$1167,COLUMN(O$1),FALSE),0),"")</f>
        <v>10</v>
      </c>
      <c r="P235" s="23">
        <f>IFERROR((VLOOKUP($C235,装備品!$1:$998,COLUMN(L$1),FALSE)+VLOOKUP($D235,素材!$1:$1016,COLUMN(I$1),FALSE))*100+IFERROR(VLOOKUP($CI235,付与!$1:$1167,COLUMN(P$1),FALSE),0),"")</f>
        <v>150</v>
      </c>
      <c r="Q235">
        <f>IFERROR(ROUNDUP(VLOOKUP($C235,装備品!$1:$998,COLUMN(M$1),FALSE)*(VLOOKUP($D235,素材!$1:$1002,COLUMN(D$1),FALSE)/100),1),"")</f>
        <v>-2.5</v>
      </c>
      <c r="R235">
        <f>IFERROR(ROUNDUP(VLOOKUP($C235,装備品!$1:$998,COLUMN(N$1),FALSE)*(VLOOKUP($D235,素材!$1:$1002,COLUMN(D$1),FALSE)/100),1),"")</f>
        <v>-2.5</v>
      </c>
      <c r="S235">
        <f>IFERROR(VLOOKUP($C235,装備品!$1:$998,COLUMN(P$1),FALSE),"")</f>
        <v>0</v>
      </c>
      <c r="T235">
        <f>IFERROR(VLOOKUP($C235,装備品!$1:$998,COLUMN(Q$1),FALSE),"")</f>
        <v>0</v>
      </c>
      <c r="U235">
        <f>IFERROR(VLOOKUP($C235,装備品!$1:$998,COLUMN(R$1),FALSE),"")</f>
        <v>0</v>
      </c>
      <c r="V235">
        <f>IFERROR(VLOOKUP($C235,装備品!$1:$998,COLUMN(Q$1),FALSE),"")</f>
        <v>0</v>
      </c>
      <c r="W235">
        <f>IFERROR(VLOOKUP($C235,装備品!$1:$998,COLUMN(T$1),FALSE),"")</f>
        <v>0</v>
      </c>
      <c r="Y235">
        <f>IFERROR(VLOOKUP($C235,装備品!$1:$998,COLUMN(U$1),FALSE),"")</f>
        <v>0</v>
      </c>
      <c r="Z235">
        <f>IFERROR(ROUNDUP(VLOOKUP($C235,装備品!$1:$998,COLUMN(O$1),FALSE)*VLOOKUP($D235,素材!$1:$1016,COLUMN(E$1),FALSE),1),"")</f>
        <v>0</v>
      </c>
      <c r="AA235">
        <f>IF(ISNUMBER(SEARCH(SUBSTITUTE(AA$1,RIGHT(AA$1,2),""),VLOOKUP($D235,素材!$1:$1016,COLUMN($F$1),FALSE))),VLOOKUP($C235,装備品!$1:$998,COLUMN($O$1),FALSE)*VLOOKUP($D235,素材!$1:$1016,COLUMN($E$1),FALSE)/(LEN(VLOOKUP($D235,素材!$1:$1016,COLUMN($F$1),FALSE))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IFERROR(VLOOKUP($C235,装備品!$1:$998,COLUMN(V$1),FALSE)*VLOOKUP($D235,素材!$1:$1016,COLUMN(N$1),FALSE)+IF(CI235="",0,VLOOKUP($CI235,付与!$1:$1176,COLUMN($CK$1),FALSE)),"")</f>
        <v>0</v>
      </c>
      <c r="CO235">
        <f>VLOOKUP(D235,素材!$A:$O,COLUMN(素材!O$1),FALSE)</f>
        <v>0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IFERROR(VLOOKUP($D236,素材!$1:$1016,COLUMN($B$1),FALSE)&amp;"・"&amp;VLOOKUP($C236,装備品!$1:$998,COLUMN(B$1),FALSE),"")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IFERROR(VLOOKUP(C236,装備品!$1:$998,COLUMN(C$1),FALSE),"")</f>
        <v>武器</v>
      </c>
      <c r="F236">
        <f>IFERROR(ROUNDDOWN((VLOOKUP($C236,装備品!$1:$998,COLUMN(D$1),FALSE)+IFERROR(VLOOKUP($CI236,付与!$1:$1167,COLUMN(F$1),FALSE),0))*VLOOKUP($D236,素材!$1:$1016,COLUMN(D$1),FALSE),0),"")</f>
        <v>115</v>
      </c>
      <c r="G236">
        <f>IFERROR(ROUNDDOWN((VLOOKUP($C236,装備品!$1:$998,COLUMN(E$1),FALSE)+IFERROR(VLOOKUP($CI236,付与!$1:$1167,COLUMN(G$1),FALSE),0))*VLOOKUP($D236,素材!$1:$1016,COLUMN($E$1),FALSE),0),"")</f>
        <v>15</v>
      </c>
      <c r="H236">
        <f>IFERROR(ROUNDDOWN((VLOOKUP($C236,装備品!$1:$998,COLUMN(F$1),FALSE)+IFERROR(VLOOKUP($CI236,付与!$1:$1167,COLUMN(H$1),FALSE),0))*VLOOKUP($D236,素材!$1:$1016,COLUMN($E$1),FALSE),0),"")</f>
        <v>9</v>
      </c>
      <c r="I236">
        <f>IFERROR(ROUNDDOWN((VLOOKUP($C236,装備品!$1:$998,COLUMN(G$1),FALSE)+IFERROR(VLOOKUP($CI236,付与!$1:$1167,COLUMN(I$1),FALSE),0))*VLOOKUP($D236,素材!$1:$1016,COLUMN($E$1),FALSE),0),"")</f>
        <v>3</v>
      </c>
      <c r="J236">
        <f>IFERROR(ROUNDDOWN((VLOOKUP($C236,装備品!$1:$998,COLUMN(H$1),FALSE)+IFERROR(VLOOKUP($CI236,付与!$1:$1167,COLUMN(J$1),FALSE),0))*VLOOKUP($D236,素材!$1:$1016,COLUMN($E$1),FALSE),0),"")</f>
        <v>20</v>
      </c>
      <c r="K236">
        <f>IFERROR(ROUNDDOWN((VLOOKUP($C236,装備品!$1:$998,COLUMN(I$1),FALSE)+IFERROR(VLOOKUP($CI236,付与!$1:$1167,COLUMN(K$1),FALSE),0))*VLOOKUP($D236,素材!$1:$1016,COLUMN($E$1),FALSE),0),"")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IFERROR(VLOOKUP($C236,装備品!$1:$998,COLUMN(AA$1),FALSE)*VLOOKUP($D236,素材!$1:$1016,COLUMN($G$1),FALSE),"")</f>
        <v>70</v>
      </c>
      <c r="N236">
        <f>IFERROR(VLOOKUP($C236,装備品!$1:$998,COLUMN(I$1),FALSE),"")</f>
        <v>0</v>
      </c>
      <c r="O236" s="23">
        <f>IFERROR((VLOOKUP($C236,装備品!$1:$998,COLUMN(K$1),FALSE)+VLOOKUP($D236,素材!$1:$1016,COLUMN(H$1),FALSE))*100+IFERROR(VLOOKUP($CI236,付与!$1:$1167,COLUMN(O$1),FALSE),0),"")</f>
        <v>10</v>
      </c>
      <c r="P236" s="23">
        <f>IFERROR((VLOOKUP($C236,装備品!$1:$998,COLUMN(L$1),FALSE)+VLOOKUP($D236,素材!$1:$1016,COLUMN(I$1),FALSE))*100+IFERROR(VLOOKUP($CI236,付与!$1:$1167,COLUMN(P$1),FALSE),0),"")</f>
        <v>150</v>
      </c>
      <c r="Q236">
        <f>IFERROR(ROUNDUP(VLOOKUP($C236,装備品!$1:$998,COLUMN(M$1),FALSE)*(VLOOKUP($D236,素材!$1:$1002,COLUMN(D$1),FALSE)/100),1),"")</f>
        <v>-2.5</v>
      </c>
      <c r="R236">
        <f>IFERROR(ROUNDUP(VLOOKUP($C236,装備品!$1:$998,COLUMN(N$1),FALSE)*(VLOOKUP($D236,素材!$1:$1002,COLUMN(D$1),FALSE)/100),1),"")</f>
        <v>-2.5</v>
      </c>
      <c r="S236">
        <f>IFERROR(VLOOKUP($C236,装備品!$1:$998,COLUMN(P$1),FALSE),"")</f>
        <v>0</v>
      </c>
      <c r="T236">
        <f>IFERROR(VLOOKUP($C236,装備品!$1:$998,COLUMN(Q$1),FALSE),"")</f>
        <v>0</v>
      </c>
      <c r="U236">
        <f>IFERROR(VLOOKUP($C236,装備品!$1:$998,COLUMN(R$1),FALSE),"")</f>
        <v>0</v>
      </c>
      <c r="V236">
        <f>IFERROR(VLOOKUP($C236,装備品!$1:$998,COLUMN(Q$1),FALSE),"")</f>
        <v>0</v>
      </c>
      <c r="W236">
        <f>IFERROR(VLOOKUP($C236,装備品!$1:$998,COLUMN(T$1),FALSE),"")</f>
        <v>0</v>
      </c>
      <c r="Y236">
        <f>IFERROR(VLOOKUP($C236,装備品!$1:$998,COLUMN(U$1),FALSE),"")</f>
        <v>0</v>
      </c>
      <c r="Z236">
        <f>IFERROR(ROUNDUP(VLOOKUP($C236,装備品!$1:$998,COLUMN(O$1),FALSE)*VLOOKUP($D236,素材!$1:$1016,COLUMN(E$1),FALSE),1),"")</f>
        <v>0</v>
      </c>
      <c r="AA236">
        <f>IF(ISNUMBER(SEARCH(SUBSTITUTE(AA$1,RIGHT(AA$1,2),""),VLOOKUP($D236,素材!$1:$1016,COLUMN($F$1),FALSE))),VLOOKUP($C236,装備品!$1:$998,COLUMN($O$1),FALSE)*VLOOKUP($D236,素材!$1:$1016,COLUMN($E$1),FALSE)/(LEN(VLOOKUP($D236,素材!$1:$1016,COLUMN($F$1),FALSE))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IFERROR(VLOOKUP($C236,装備品!$1:$998,COLUMN(V$1),FALSE)*VLOOKUP($D236,素材!$1:$1016,COLUMN(N$1),FALSE)+IF(CI236="",0,VLOOKUP($CI236,付与!$1:$1176,COLUMN($CK$1),FALSE)),"")</f>
        <v>0</v>
      </c>
      <c r="CO236">
        <f>VLOOKUP(D236,素材!$A:$O,COLUMN(素材!O$1),FALSE)</f>
        <v>0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IFERROR(VLOOKUP($D237,素材!$1:$1016,COLUMN($B$1),FALSE)&amp;"・"&amp;VLOOKUP($C237,装備品!$1:$998,COLUMN(B$1),FALSE),"")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IFERROR(VLOOKUP(C237,装備品!$1:$998,COLUMN(C$1),FALSE),"")</f>
        <v>武器</v>
      </c>
      <c r="F237">
        <f>IFERROR(ROUNDDOWN((VLOOKUP($C237,装備品!$1:$998,COLUMN(D$1),FALSE)+IFERROR(VLOOKUP($CI237,付与!$1:$1167,COLUMN(F$1),FALSE),0))*VLOOKUP($D237,素材!$1:$1016,COLUMN(D$1),FALSE),0),"")</f>
        <v>125</v>
      </c>
      <c r="G237">
        <f>IFERROR(ROUNDDOWN((VLOOKUP($C237,装備品!$1:$998,COLUMN(E$1),FALSE)+IFERROR(VLOOKUP($CI237,付与!$1:$1167,COLUMN(G$1),FALSE),0))*VLOOKUP($D237,素材!$1:$1016,COLUMN($E$1),FALSE),0),"")</f>
        <v>18</v>
      </c>
      <c r="H237">
        <f>IFERROR(ROUNDDOWN((VLOOKUP($C237,装備品!$1:$998,COLUMN(F$1),FALSE)+IFERROR(VLOOKUP($CI237,付与!$1:$1167,COLUMN(H$1),FALSE),0))*VLOOKUP($D237,素材!$1:$1016,COLUMN($E$1),FALSE),0),"")</f>
        <v>9</v>
      </c>
      <c r="I237">
        <f>IFERROR(ROUNDDOWN((VLOOKUP($C237,装備品!$1:$998,COLUMN(G$1),FALSE)+IFERROR(VLOOKUP($CI237,付与!$1:$1167,COLUMN(I$1),FALSE),0))*VLOOKUP($D237,素材!$1:$1016,COLUMN($E$1),FALSE),0),"")</f>
        <v>4</v>
      </c>
      <c r="J237">
        <f>IFERROR(ROUNDDOWN((VLOOKUP($C237,装備品!$1:$998,COLUMN(H$1),FALSE)+IFERROR(VLOOKUP($CI237,付与!$1:$1167,COLUMN(J$1),FALSE),0))*VLOOKUP($D237,素材!$1:$1016,COLUMN($E$1),FALSE),0),"")</f>
        <v>22</v>
      </c>
      <c r="K237">
        <f>IFERROR(ROUNDDOWN((VLOOKUP($C237,装備品!$1:$998,COLUMN(I$1),FALSE)+IFERROR(VLOOKUP($CI237,付与!$1:$1167,COLUMN(K$1),FALSE),0))*VLOOKUP($D237,素材!$1:$1016,COLUMN($E$1),FALSE),0),"")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IFERROR(VLOOKUP($C237,装備品!$1:$998,COLUMN(AA$1),FALSE)*VLOOKUP($D237,素材!$1:$1016,COLUMN($G$1),FALSE),"")</f>
        <v>105</v>
      </c>
      <c r="N237">
        <f>IFERROR(VLOOKUP($C237,装備品!$1:$998,COLUMN(I$1),FALSE),"")</f>
        <v>0</v>
      </c>
      <c r="O237" s="23">
        <f>IFERROR((VLOOKUP($C237,装備品!$1:$998,COLUMN(K$1),FALSE)+VLOOKUP($D237,素材!$1:$1016,COLUMN(H$1),FALSE))*100+IFERROR(VLOOKUP($CI237,付与!$1:$1167,COLUMN(O$1),FALSE),0),"")</f>
        <v>10</v>
      </c>
      <c r="P237" s="23">
        <f>IFERROR((VLOOKUP($C237,装備品!$1:$998,COLUMN(L$1),FALSE)+VLOOKUP($D237,素材!$1:$1016,COLUMN(I$1),FALSE))*100+IFERROR(VLOOKUP($CI237,付与!$1:$1167,COLUMN(P$1),FALSE),0),"")</f>
        <v>150</v>
      </c>
      <c r="Q237">
        <f>IFERROR(ROUNDUP(VLOOKUP($C237,装備品!$1:$998,COLUMN(M$1),FALSE)*(VLOOKUP($D237,素材!$1:$1002,COLUMN(D$1),FALSE)/100),1),"")</f>
        <v>-7.5</v>
      </c>
      <c r="R237">
        <f>IFERROR(ROUNDUP(VLOOKUP($C237,装備品!$1:$998,COLUMN(N$1),FALSE)*(VLOOKUP($D237,素材!$1:$1002,COLUMN(D$1),FALSE)/100),1),"")</f>
        <v>-7.5</v>
      </c>
      <c r="S237">
        <f>IFERROR(VLOOKUP($C237,装備品!$1:$998,COLUMN(P$1),FALSE),"")</f>
        <v>0</v>
      </c>
      <c r="T237">
        <f>IFERROR(VLOOKUP($C237,装備品!$1:$998,COLUMN(Q$1),FALSE),"")</f>
        <v>0</v>
      </c>
      <c r="U237">
        <f>IFERROR(VLOOKUP($C237,装備品!$1:$998,COLUMN(R$1),FALSE),"")</f>
        <v>-15</v>
      </c>
      <c r="V237">
        <f>IFERROR(VLOOKUP($C237,装備品!$1:$998,COLUMN(Q$1),FALSE),"")</f>
        <v>0</v>
      </c>
      <c r="W237">
        <f>IFERROR(VLOOKUP($C237,装備品!$1:$998,COLUMN(T$1),FALSE),"")</f>
        <v>0</v>
      </c>
      <c r="Y237">
        <f>IFERROR(VLOOKUP($C237,装備品!$1:$998,COLUMN(U$1),FALSE),"")</f>
        <v>0</v>
      </c>
      <c r="Z237">
        <f>IFERROR(ROUNDUP(VLOOKUP($C237,装備品!$1:$998,COLUMN(O$1),FALSE)*VLOOKUP($D237,素材!$1:$1016,COLUMN(E$1),FALSE),1),"")</f>
        <v>0</v>
      </c>
      <c r="AA237">
        <f>IF(ISNUMBER(SEARCH(SUBSTITUTE(AA$1,RIGHT(AA$1,2),""),VLOOKUP($D237,素材!$1:$1016,COLUMN($F$1),FALSE))),VLOOKUP($C237,装備品!$1:$998,COLUMN($O$1),FALSE)*VLOOKUP($D237,素材!$1:$1016,COLUMN($E$1),FALSE)/(LEN(VLOOKUP($D237,素材!$1:$1016,COLUMN($F$1),FALSE))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IFERROR(VLOOKUP($C237,装備品!$1:$998,COLUMN(V$1),FALSE)*VLOOKUP($D237,素材!$1:$1016,COLUMN(N$1),FALSE)+IF(CI237="",0,VLOOKUP($CI237,付与!$1:$1176,COLUMN($CK$1),FALSE)),"")</f>
        <v>0</v>
      </c>
      <c r="CO237">
        <f>VLOOKUP(D237,素材!$A:$O,COLUMN(素材!O$1),FALSE)</f>
        <v>0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IFERROR(VLOOKUP($D238,素材!$1:$1016,COLUMN($B$1),FALSE)&amp;"・"&amp;VLOOKUP($C238,装備品!$1:$998,COLUMN(B$1),FALSE),"")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IFERROR(VLOOKUP(C238,装備品!$1:$998,COLUMN(C$1),FALSE),"")</f>
        <v>武器</v>
      </c>
      <c r="F238">
        <f>IFERROR(ROUNDDOWN((VLOOKUP($C238,装備品!$1:$998,COLUMN(D$1),FALSE)+IFERROR(VLOOKUP($CI238,付与!$1:$1167,COLUMN(F$1),FALSE),0))*VLOOKUP($D238,素材!$1:$1016,COLUMN(D$1),FALSE),0),"")</f>
        <v>100</v>
      </c>
      <c r="G238">
        <f>IFERROR(ROUNDDOWN((VLOOKUP($C238,装備品!$1:$998,COLUMN(E$1),FALSE)+IFERROR(VLOOKUP($CI238,付与!$1:$1167,COLUMN(G$1),FALSE),0))*VLOOKUP($D238,素材!$1:$1016,COLUMN($E$1),FALSE),0),"")</f>
        <v>9</v>
      </c>
      <c r="H238">
        <f>IFERROR(ROUNDDOWN((VLOOKUP($C238,装備品!$1:$998,COLUMN(F$1),FALSE)+IFERROR(VLOOKUP($CI238,付与!$1:$1167,COLUMN(H$1),FALSE),0))*VLOOKUP($D238,素材!$1:$1016,COLUMN($E$1),FALSE),0),"")</f>
        <v>13</v>
      </c>
      <c r="I238">
        <f>IFERROR(ROUNDDOWN((VLOOKUP($C238,装備品!$1:$998,COLUMN(G$1),FALSE)+IFERROR(VLOOKUP($CI238,付与!$1:$1167,COLUMN(I$1),FALSE),0))*VLOOKUP($D238,素材!$1:$1016,COLUMN($E$1),FALSE),0),"")</f>
        <v>0</v>
      </c>
      <c r="J238">
        <f>IFERROR(ROUNDDOWN((VLOOKUP($C238,装備品!$1:$998,COLUMN(H$1),FALSE)+IFERROR(VLOOKUP($CI238,付与!$1:$1167,COLUMN(J$1),FALSE),0))*VLOOKUP($D238,素材!$1:$1016,COLUMN($E$1),FALSE),0),"")</f>
        <v>16</v>
      </c>
      <c r="K238">
        <f>IFERROR(ROUNDDOWN((VLOOKUP($C238,装備品!$1:$998,COLUMN(I$1),FALSE)+IFERROR(VLOOKUP($CI238,付与!$1:$1167,COLUMN(K$1),FALSE),0))*VLOOKUP($D238,素材!$1:$1016,COLUMN($E$1),FALSE),0),"")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IFERROR(VLOOKUP($C238,装備品!$1:$998,COLUMN(AA$1),FALSE)*VLOOKUP($D238,素材!$1:$1016,COLUMN($G$1),FALSE),"")</f>
        <v>70</v>
      </c>
      <c r="N238">
        <f>IFERROR(VLOOKUP($C238,装備品!$1:$998,COLUMN(I$1),FALSE),"")</f>
        <v>0</v>
      </c>
      <c r="O238" s="23">
        <f>IFERROR((VLOOKUP($C238,装備品!$1:$998,COLUMN(K$1),FALSE)+VLOOKUP($D238,素材!$1:$1016,COLUMN(H$1),FALSE))*100+IFERROR(VLOOKUP($CI238,付与!$1:$1167,COLUMN(O$1),FALSE),0),"")</f>
        <v>15</v>
      </c>
      <c r="P238" s="23">
        <f>IFERROR((VLOOKUP($C238,装備品!$1:$998,COLUMN(L$1),FALSE)+VLOOKUP($D238,素材!$1:$1016,COLUMN(I$1),FALSE))*100+IFERROR(VLOOKUP($CI238,付与!$1:$1167,COLUMN(P$1),FALSE),0),"")</f>
        <v>125</v>
      </c>
      <c r="Q238">
        <f>IFERROR(ROUNDUP(VLOOKUP($C238,装備品!$1:$998,COLUMN(M$1),FALSE)*(VLOOKUP($D238,素材!$1:$1002,COLUMN(D$1),FALSE)/100),1),"")</f>
        <v>0</v>
      </c>
      <c r="R238">
        <f>IFERROR(ROUNDUP(VLOOKUP($C238,装備品!$1:$998,COLUMN(N$1),FALSE)*(VLOOKUP($D238,素材!$1:$1002,COLUMN(D$1),FALSE)/100),1),"")</f>
        <v>0</v>
      </c>
      <c r="S238">
        <f>IFERROR(VLOOKUP($C238,装備品!$1:$998,COLUMN(P$1),FALSE),"")</f>
        <v>0</v>
      </c>
      <c r="T238">
        <f>IFERROR(VLOOKUP($C238,装備品!$1:$998,COLUMN(Q$1),FALSE),"")</f>
        <v>0</v>
      </c>
      <c r="U238">
        <f>IFERROR(VLOOKUP($C238,装備品!$1:$998,COLUMN(R$1),FALSE),"")</f>
        <v>0</v>
      </c>
      <c r="V238">
        <f>IFERROR(VLOOKUP($C238,装備品!$1:$998,COLUMN(Q$1),FALSE),"")</f>
        <v>0</v>
      </c>
      <c r="W238">
        <f>IFERROR(VLOOKUP($C238,装備品!$1:$998,COLUMN(T$1),FALSE),"")</f>
        <v>0</v>
      </c>
      <c r="Y238">
        <f>IFERROR(VLOOKUP($C238,装備品!$1:$998,COLUMN(U$1),FALSE),"")</f>
        <v>0</v>
      </c>
      <c r="Z238">
        <f>IFERROR(ROUNDUP(VLOOKUP($C238,装備品!$1:$998,COLUMN(O$1),FALSE)*VLOOKUP($D238,素材!$1:$1016,COLUMN(E$1),FALSE),1),"")</f>
        <v>0</v>
      </c>
      <c r="AA238">
        <f>IF(ISNUMBER(SEARCH(SUBSTITUTE(AA$1,RIGHT(AA$1,2),""),VLOOKUP($D238,素材!$1:$1016,COLUMN($F$1),FALSE))),VLOOKUP($C238,装備品!$1:$998,COLUMN($O$1),FALSE)*VLOOKUP($D238,素材!$1:$1016,COLUMN($E$1),FALSE)/(LEN(VLOOKUP($D238,素材!$1:$1016,COLUMN($F$1),FALSE))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IFERROR(VLOOKUP($C238,装備品!$1:$998,COLUMN(V$1),FALSE)*VLOOKUP($D238,素材!$1:$1016,COLUMN(N$1),FALSE)+IF(CI238="",0,VLOOKUP($CI238,付与!$1:$1176,COLUMN($CK$1),FALSE)),"")</f>
        <v>0</v>
      </c>
      <c r="CO238">
        <f>VLOOKUP(D238,素材!$A:$O,COLUMN(素材!O$1),FALSE)</f>
        <v>0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IFERROR(VLOOKUP($D239,素材!$1:$1016,COLUMN($B$1),FALSE)&amp;"・"&amp;VLOOKUP($C239,装備品!$1:$998,COLUMN(B$1),FALSE),"")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IFERROR(VLOOKUP(C239,装備品!$1:$998,COLUMN(C$1),FALSE),"")</f>
        <v>武器</v>
      </c>
      <c r="F239">
        <f>IFERROR(ROUNDDOWN((VLOOKUP($C239,装備品!$1:$998,COLUMN(D$1),FALSE)+IFERROR(VLOOKUP($CI239,付与!$1:$1167,COLUMN(F$1),FALSE),0))*VLOOKUP($D239,素材!$1:$1016,COLUMN(D$1),FALSE),0),"")</f>
        <v>110</v>
      </c>
      <c r="G239">
        <f>IFERROR(ROUNDDOWN((VLOOKUP($C239,装備品!$1:$998,COLUMN(E$1),FALSE)+IFERROR(VLOOKUP($CI239,付与!$1:$1167,COLUMN(G$1),FALSE),0))*VLOOKUP($D239,素材!$1:$1016,COLUMN($E$1),FALSE),0),"")</f>
        <v>4</v>
      </c>
      <c r="H239">
        <f>IFERROR(ROUNDDOWN((VLOOKUP($C239,装備品!$1:$998,COLUMN(F$1),FALSE)+IFERROR(VLOOKUP($CI239,付与!$1:$1167,COLUMN(H$1),FALSE),0))*VLOOKUP($D239,素材!$1:$1016,COLUMN($E$1),FALSE),0),"")</f>
        <v>18</v>
      </c>
      <c r="I239">
        <f>IFERROR(ROUNDDOWN((VLOOKUP($C239,装備品!$1:$998,COLUMN(G$1),FALSE)+IFERROR(VLOOKUP($CI239,付与!$1:$1167,COLUMN(I$1),FALSE),0))*VLOOKUP($D239,素材!$1:$1016,COLUMN($E$1),FALSE),0),"")</f>
        <v>0</v>
      </c>
      <c r="J239">
        <f>IFERROR(ROUNDDOWN((VLOOKUP($C239,装備品!$1:$998,COLUMN(H$1),FALSE)+IFERROR(VLOOKUP($CI239,付与!$1:$1167,COLUMN(J$1),FALSE),0))*VLOOKUP($D239,素材!$1:$1016,COLUMN($E$1),FALSE),0),"")</f>
        <v>17</v>
      </c>
      <c r="K239">
        <f>IFERROR(ROUNDDOWN((VLOOKUP($C239,装備品!$1:$998,COLUMN(I$1),FALSE)+IFERROR(VLOOKUP($CI239,付与!$1:$1167,COLUMN(K$1),FALSE),0))*VLOOKUP($D239,素材!$1:$1016,COLUMN($E$1),FALSE),0),"")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IFERROR(VLOOKUP($C239,装備品!$1:$998,COLUMN(AA$1),FALSE)*VLOOKUP($D239,素材!$1:$1016,COLUMN($G$1),FALSE),"")</f>
        <v>52.5</v>
      </c>
      <c r="N239">
        <f>IFERROR(VLOOKUP($C239,装備品!$1:$998,COLUMN(I$1),FALSE),"")</f>
        <v>0</v>
      </c>
      <c r="O239" s="23">
        <f>IFERROR((VLOOKUP($C239,装備品!$1:$998,COLUMN(K$1),FALSE)+VLOOKUP($D239,素材!$1:$1016,COLUMN(H$1),FALSE))*100+IFERROR(VLOOKUP($CI239,付与!$1:$1167,COLUMN(O$1),FALSE),0),"")</f>
        <v>10</v>
      </c>
      <c r="P239" s="23">
        <f>IFERROR((VLOOKUP($C239,装備品!$1:$998,COLUMN(L$1),FALSE)+VLOOKUP($D239,素材!$1:$1016,COLUMN(I$1),FALSE))*100+IFERROR(VLOOKUP($CI239,付与!$1:$1167,COLUMN(P$1),FALSE),0),"")</f>
        <v>150</v>
      </c>
      <c r="Q239">
        <f>IFERROR(ROUNDUP(VLOOKUP($C239,装備品!$1:$998,COLUMN(M$1),FALSE)*(VLOOKUP($D239,素材!$1:$1002,COLUMN(D$1),FALSE)/100),1),"")</f>
        <v>0</v>
      </c>
      <c r="R239">
        <f>IFERROR(ROUNDUP(VLOOKUP($C239,装備品!$1:$998,COLUMN(N$1),FALSE)*(VLOOKUP($D239,素材!$1:$1002,COLUMN(D$1),FALSE)/100),1),"")</f>
        <v>0</v>
      </c>
      <c r="S239">
        <f>IFERROR(VLOOKUP($C239,装備品!$1:$998,COLUMN(P$1),FALSE),"")</f>
        <v>0</v>
      </c>
      <c r="T239">
        <f>IFERROR(VLOOKUP($C239,装備品!$1:$998,COLUMN(Q$1),FALSE),"")</f>
        <v>0</v>
      </c>
      <c r="U239">
        <f>IFERROR(VLOOKUP($C239,装備品!$1:$998,COLUMN(R$1),FALSE),"")</f>
        <v>0</v>
      </c>
      <c r="V239">
        <f>IFERROR(VLOOKUP($C239,装備品!$1:$998,COLUMN(Q$1),FALSE),"")</f>
        <v>0</v>
      </c>
      <c r="W239">
        <f>IFERROR(VLOOKUP($C239,装備品!$1:$998,COLUMN(T$1),FALSE),"")</f>
        <v>0</v>
      </c>
      <c r="Y239">
        <f>IFERROR(VLOOKUP($C239,装備品!$1:$998,COLUMN(U$1),FALSE),"")</f>
        <v>0</v>
      </c>
      <c r="Z239">
        <f>IFERROR(ROUNDUP(VLOOKUP($C239,装備品!$1:$998,COLUMN(O$1),FALSE)*VLOOKUP($D239,素材!$1:$1016,COLUMN(E$1),FALSE),1),"")</f>
        <v>0</v>
      </c>
      <c r="AA239">
        <f>IF(ISNUMBER(SEARCH(SUBSTITUTE(AA$1,RIGHT(AA$1,2),""),VLOOKUP($D239,素材!$1:$1016,COLUMN($F$1),FALSE))),VLOOKUP($C239,装備品!$1:$998,COLUMN($O$1),FALSE)*VLOOKUP($D239,素材!$1:$1016,COLUMN($E$1),FALSE)/(LEN(VLOOKUP($D239,素材!$1:$1016,COLUMN($F$1),FALSE))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IFERROR(VLOOKUP($C239,装備品!$1:$998,COLUMN(V$1),FALSE)*VLOOKUP($D239,素材!$1:$1016,COLUMN(N$1),FALSE)+IF(CI239="",0,VLOOKUP($CI239,付与!$1:$1176,COLUMN($CK$1),FALSE)),"")</f>
        <v>0</v>
      </c>
      <c r="CO239">
        <f>VLOOKUP(D239,素材!$A:$O,COLUMN(素材!O$1),FALSE)</f>
        <v>0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IFERROR(VLOOKUP($D240,素材!$1:$1016,COLUMN($B$1),FALSE)&amp;"・"&amp;VLOOKUP($C240,装備品!$1:$998,COLUMN(B$1),FALSE),"")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IFERROR(VLOOKUP(C240,装備品!$1:$998,COLUMN(C$1),FALSE),"")</f>
        <v>武器</v>
      </c>
      <c r="F240">
        <f>IFERROR(ROUNDDOWN((VLOOKUP($C240,装備品!$1:$998,COLUMN(D$1),FALSE)+IFERROR(VLOOKUP($CI240,付与!$1:$1167,COLUMN(F$1),FALSE),0))*VLOOKUP($D240,素材!$1:$1016,COLUMN(D$1),FALSE),0),"")</f>
        <v>105</v>
      </c>
      <c r="G240">
        <f>IFERROR(ROUNDDOWN((VLOOKUP($C240,装備品!$1:$998,COLUMN(E$1),FALSE)+IFERROR(VLOOKUP($CI240,付与!$1:$1167,COLUMN(G$1),FALSE),0))*VLOOKUP($D240,素材!$1:$1016,COLUMN($E$1),FALSE),0),"")</f>
        <v>8</v>
      </c>
      <c r="H240">
        <f>IFERROR(ROUNDDOWN((VLOOKUP($C240,装備品!$1:$998,COLUMN(F$1),FALSE)+IFERROR(VLOOKUP($CI240,付与!$1:$1167,COLUMN(H$1),FALSE),0))*VLOOKUP($D240,素材!$1:$1016,COLUMN($E$1),FALSE),0),"")</f>
        <v>14</v>
      </c>
      <c r="I240">
        <f>IFERROR(ROUNDDOWN((VLOOKUP($C240,装備品!$1:$998,COLUMN(G$1),FALSE)+IFERROR(VLOOKUP($CI240,付与!$1:$1167,COLUMN(I$1),FALSE),0))*VLOOKUP($D240,素材!$1:$1016,COLUMN($E$1),FALSE),0),"")</f>
        <v>3</v>
      </c>
      <c r="J240">
        <f>IFERROR(ROUNDDOWN((VLOOKUP($C240,装備品!$1:$998,COLUMN(H$1),FALSE)+IFERROR(VLOOKUP($CI240,付与!$1:$1167,COLUMN(J$1),FALSE),0))*VLOOKUP($D240,素材!$1:$1016,COLUMN($E$1),FALSE),0),"")</f>
        <v>17</v>
      </c>
      <c r="K240">
        <f>IFERROR(ROUNDDOWN((VLOOKUP($C240,装備品!$1:$998,COLUMN(I$1),FALSE)+IFERROR(VLOOKUP($CI240,付与!$1:$1167,COLUMN(K$1),FALSE),0))*VLOOKUP($D240,素材!$1:$1016,COLUMN($E$1),FALSE),0),"")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IFERROR(VLOOKUP($C240,装備品!$1:$998,COLUMN(AA$1),FALSE)*VLOOKUP($D240,素材!$1:$1016,COLUMN($G$1),FALSE),"")</f>
        <v>52.5</v>
      </c>
      <c r="N240">
        <f>IFERROR(VLOOKUP($C240,装備品!$1:$998,COLUMN(I$1),FALSE),"")</f>
        <v>0</v>
      </c>
      <c r="O240" s="23">
        <f>IFERROR((VLOOKUP($C240,装備品!$1:$998,COLUMN(K$1),FALSE)+VLOOKUP($D240,素材!$1:$1016,COLUMN(H$1),FALSE))*100+IFERROR(VLOOKUP($CI240,付与!$1:$1167,COLUMN(O$1),FALSE),0),"")</f>
        <v>10</v>
      </c>
      <c r="P240" s="23">
        <f>IFERROR((VLOOKUP($C240,装備品!$1:$998,COLUMN(L$1),FALSE)+VLOOKUP($D240,素材!$1:$1016,COLUMN(I$1),FALSE))*100+IFERROR(VLOOKUP($CI240,付与!$1:$1167,COLUMN(P$1),FALSE),0),"")</f>
        <v>150</v>
      </c>
      <c r="Q240">
        <f>IFERROR(ROUNDUP(VLOOKUP($C240,装備品!$1:$998,COLUMN(M$1),FALSE)*(VLOOKUP($D240,素材!$1:$1002,COLUMN(D$1),FALSE)/100),1),"")</f>
        <v>0</v>
      </c>
      <c r="R240">
        <f>IFERROR(ROUNDUP(VLOOKUP($C240,装備品!$1:$998,COLUMN(N$1),FALSE)*(VLOOKUP($D240,素材!$1:$1002,COLUMN(D$1),FALSE)/100),1),"")</f>
        <v>0</v>
      </c>
      <c r="S240">
        <f>IFERROR(VLOOKUP($C240,装備品!$1:$998,COLUMN(P$1),FALSE),"")</f>
        <v>0</v>
      </c>
      <c r="T240">
        <f>IFERROR(VLOOKUP($C240,装備品!$1:$998,COLUMN(Q$1),FALSE),"")</f>
        <v>0</v>
      </c>
      <c r="U240">
        <f>IFERROR(VLOOKUP($C240,装備品!$1:$998,COLUMN(R$1),FALSE),"")</f>
        <v>0</v>
      </c>
      <c r="V240">
        <f>IFERROR(VLOOKUP($C240,装備品!$1:$998,COLUMN(Q$1),FALSE),"")</f>
        <v>0</v>
      </c>
      <c r="W240">
        <f>IFERROR(VLOOKUP($C240,装備品!$1:$998,COLUMN(T$1),FALSE),"")</f>
        <v>0</v>
      </c>
      <c r="Y240">
        <f>IFERROR(VLOOKUP($C240,装備品!$1:$998,COLUMN(U$1),FALSE),"")</f>
        <v>0</v>
      </c>
      <c r="Z240">
        <f>IFERROR(ROUNDUP(VLOOKUP($C240,装備品!$1:$998,COLUMN(O$1),FALSE)*VLOOKUP($D240,素材!$1:$1016,COLUMN(E$1),FALSE),1),"")</f>
        <v>0</v>
      </c>
      <c r="AA240">
        <f>IF(ISNUMBER(SEARCH(SUBSTITUTE(AA$1,RIGHT(AA$1,2),""),VLOOKUP($D240,素材!$1:$1016,COLUMN($F$1),FALSE))),VLOOKUP($C240,装備品!$1:$998,COLUMN($O$1),FALSE)*VLOOKUP($D240,素材!$1:$1016,COLUMN($E$1),FALSE)/(LEN(VLOOKUP($D240,素材!$1:$1016,COLUMN($F$1),FALSE))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IFERROR(VLOOKUP($C240,装備品!$1:$998,COLUMN(V$1),FALSE)*VLOOKUP($D240,素材!$1:$1016,COLUMN(N$1),FALSE)+IF(CI240="",0,VLOOKUP($CI240,付与!$1:$1176,COLUMN($CK$1),FALSE)),"")</f>
        <v>0</v>
      </c>
      <c r="CO240">
        <f>VLOOKUP(D240,素材!$A:$O,COLUMN(素材!O$1),FALSE)</f>
        <v>0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IFERROR(VLOOKUP($D241,素材!$1:$1016,COLUMN($B$1),FALSE)&amp;"・"&amp;VLOOKUP($C241,装備品!$1:$998,COLUMN(B$1),FALSE),"")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IFERROR(VLOOKUP(C241,装備品!$1:$998,COLUMN(C$1),FALSE),"")</f>
        <v>武器</v>
      </c>
      <c r="F241">
        <f>IFERROR(ROUNDDOWN((VLOOKUP($C241,装備品!$1:$998,COLUMN(D$1),FALSE)+IFERROR(VLOOKUP($CI241,付与!$1:$1167,COLUMN(F$1),FALSE),0))*VLOOKUP($D241,素材!$1:$1016,COLUMN(D$1),FALSE),0),"")</f>
        <v>115</v>
      </c>
      <c r="G241">
        <f>IFERROR(ROUNDDOWN((VLOOKUP($C241,装備品!$1:$998,COLUMN(E$1),FALSE)+IFERROR(VLOOKUP($CI241,付与!$1:$1167,COLUMN(G$1),FALSE),0))*VLOOKUP($D241,素材!$1:$1016,COLUMN($E$1),FALSE),0),"")</f>
        <v>8</v>
      </c>
      <c r="H241">
        <f>IFERROR(ROUNDDOWN((VLOOKUP($C241,装備品!$1:$998,COLUMN(F$1),FALSE)+IFERROR(VLOOKUP($CI241,付与!$1:$1167,COLUMN(H$1),FALSE),0))*VLOOKUP($D241,素材!$1:$1016,COLUMN($E$1),FALSE),0),"")</f>
        <v>16</v>
      </c>
      <c r="I241">
        <f>IFERROR(ROUNDDOWN((VLOOKUP($C241,装備品!$1:$998,COLUMN(G$1),FALSE)+IFERROR(VLOOKUP($CI241,付与!$1:$1167,COLUMN(I$1),FALSE),0))*VLOOKUP($D241,素材!$1:$1016,COLUMN($E$1),FALSE),0),"")</f>
        <v>3</v>
      </c>
      <c r="J241">
        <f>IFERROR(ROUNDDOWN((VLOOKUP($C241,装備品!$1:$998,COLUMN(H$1),FALSE)+IFERROR(VLOOKUP($CI241,付与!$1:$1167,COLUMN(J$1),FALSE),0))*VLOOKUP($D241,素材!$1:$1016,COLUMN($E$1),FALSE),0),"")</f>
        <v>17</v>
      </c>
      <c r="K241">
        <f>IFERROR(ROUNDDOWN((VLOOKUP($C241,装備品!$1:$998,COLUMN(I$1),FALSE)+IFERROR(VLOOKUP($CI241,付与!$1:$1167,COLUMN(K$1),FALSE),0))*VLOOKUP($D241,素材!$1:$1016,COLUMN($E$1),FALSE),0),"")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IFERROR(VLOOKUP($C241,装備品!$1:$998,COLUMN(AA$1),FALSE)*VLOOKUP($D241,素材!$1:$1016,COLUMN($G$1),FALSE),"")</f>
        <v>70</v>
      </c>
      <c r="N241">
        <f>IFERROR(VLOOKUP($C241,装備品!$1:$998,COLUMN(I$1),FALSE),"")</f>
        <v>0</v>
      </c>
      <c r="O241" s="23">
        <f>IFERROR((VLOOKUP($C241,装備品!$1:$998,COLUMN(K$1),FALSE)+VLOOKUP($D241,素材!$1:$1016,COLUMN(H$1),FALSE))*100+IFERROR(VLOOKUP($CI241,付与!$1:$1167,COLUMN(O$1),FALSE),0),"")</f>
        <v>10</v>
      </c>
      <c r="P241" s="23">
        <f>IFERROR((VLOOKUP($C241,装備品!$1:$998,COLUMN(L$1),FALSE)+VLOOKUP($D241,素材!$1:$1016,COLUMN(I$1),FALSE))*100+IFERROR(VLOOKUP($CI241,付与!$1:$1167,COLUMN(P$1),FALSE),0),"")</f>
        <v>150</v>
      </c>
      <c r="Q241">
        <f>IFERROR(ROUNDUP(VLOOKUP($C241,装備品!$1:$998,COLUMN(M$1),FALSE)*(VLOOKUP($D241,素材!$1:$1002,COLUMN(D$1),FALSE)/100),1),"")</f>
        <v>0</v>
      </c>
      <c r="R241">
        <f>IFERROR(ROUNDUP(VLOOKUP($C241,装備品!$1:$998,COLUMN(N$1),FALSE)*(VLOOKUP($D241,素材!$1:$1002,COLUMN(D$1),FALSE)/100),1),"")</f>
        <v>-5</v>
      </c>
      <c r="S241">
        <f>IFERROR(VLOOKUP($C241,装備品!$1:$998,COLUMN(P$1),FALSE),"")</f>
        <v>0</v>
      </c>
      <c r="T241">
        <f>IFERROR(VLOOKUP($C241,装備品!$1:$998,COLUMN(Q$1),FALSE),"")</f>
        <v>0</v>
      </c>
      <c r="U241">
        <f>IFERROR(VLOOKUP($C241,装備品!$1:$998,COLUMN(R$1),FALSE),"")</f>
        <v>0</v>
      </c>
      <c r="V241">
        <f>IFERROR(VLOOKUP($C241,装備品!$1:$998,COLUMN(Q$1),FALSE),"")</f>
        <v>0</v>
      </c>
      <c r="W241">
        <f>IFERROR(VLOOKUP($C241,装備品!$1:$998,COLUMN(T$1),FALSE),"")</f>
        <v>0</v>
      </c>
      <c r="Y241">
        <f>IFERROR(VLOOKUP($C241,装備品!$1:$998,COLUMN(U$1),FALSE),"")</f>
        <v>0</v>
      </c>
      <c r="Z241">
        <f>IFERROR(ROUNDUP(VLOOKUP($C241,装備品!$1:$998,COLUMN(O$1),FALSE)*VLOOKUP($D241,素材!$1:$1016,COLUMN(E$1),FALSE),1),"")</f>
        <v>0</v>
      </c>
      <c r="AA241">
        <f>IF(ISNUMBER(SEARCH(SUBSTITUTE(AA$1,RIGHT(AA$1,2),""),VLOOKUP($D241,素材!$1:$1016,COLUMN($F$1),FALSE))),VLOOKUP($C241,装備品!$1:$998,COLUMN($O$1),FALSE)*VLOOKUP($D241,素材!$1:$1016,COLUMN($E$1),FALSE)/(LEN(VLOOKUP($D241,素材!$1:$1016,COLUMN($F$1),FALSE))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IFERROR(VLOOKUP($C241,装備品!$1:$998,COLUMN(V$1),FALSE)*VLOOKUP($D241,素材!$1:$1016,COLUMN(N$1),FALSE)+IF(CI241="",0,VLOOKUP($CI241,付与!$1:$1176,COLUMN($CK$1),FALSE)),"")</f>
        <v>0</v>
      </c>
      <c r="CO241">
        <f>VLOOKUP(D241,素材!$A:$O,COLUMN(素材!O$1),FALSE)</f>
        <v>0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IFERROR(VLOOKUP($D242,素材!$1:$1016,COLUMN($B$1),FALSE)&amp;"・"&amp;VLOOKUP($C242,装備品!$1:$998,COLUMN(B$1),FALSE),"")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IFERROR(VLOOKUP(C242,装備品!$1:$998,COLUMN(C$1),FALSE),"")</f>
        <v>武器</v>
      </c>
      <c r="F242">
        <f>IFERROR(ROUNDDOWN((VLOOKUP($C242,装備品!$1:$998,COLUMN(D$1),FALSE)+IFERROR(VLOOKUP($CI242,付与!$1:$1167,COLUMN(F$1),FALSE),0))*VLOOKUP($D242,素材!$1:$1016,COLUMN(D$1),FALSE),0),"")</f>
        <v>115</v>
      </c>
      <c r="G242">
        <f>IFERROR(ROUNDDOWN((VLOOKUP($C242,装備品!$1:$998,COLUMN(E$1),FALSE)+IFERROR(VLOOKUP($CI242,付与!$1:$1167,COLUMN(G$1),FALSE),0))*VLOOKUP($D242,素材!$1:$1016,COLUMN($E$1),FALSE),0),"")</f>
        <v>0</v>
      </c>
      <c r="H242">
        <f>IFERROR(ROUNDDOWN((VLOOKUP($C242,装備品!$1:$998,COLUMN(F$1),FALSE)+IFERROR(VLOOKUP($CI242,付与!$1:$1167,COLUMN(H$1),FALSE),0))*VLOOKUP($D242,素材!$1:$1016,COLUMN($E$1),FALSE),0),"")</f>
        <v>19</v>
      </c>
      <c r="I242">
        <f>IFERROR(ROUNDDOWN((VLOOKUP($C242,装備品!$1:$998,COLUMN(G$1),FALSE)+IFERROR(VLOOKUP($CI242,付与!$1:$1167,COLUMN(I$1),FALSE),0))*VLOOKUP($D242,素材!$1:$1016,COLUMN($E$1),FALSE),0),"")</f>
        <v>9</v>
      </c>
      <c r="J242">
        <f>IFERROR(ROUNDDOWN((VLOOKUP($C242,装備品!$1:$998,COLUMN(H$1),FALSE)+IFERROR(VLOOKUP($CI242,付与!$1:$1167,COLUMN(J$1),FALSE),0))*VLOOKUP($D242,素材!$1:$1016,COLUMN($E$1),FALSE),0),"")</f>
        <v>20</v>
      </c>
      <c r="K242">
        <f>IFERROR(ROUNDDOWN((VLOOKUP($C242,装備品!$1:$998,COLUMN(I$1),FALSE)+IFERROR(VLOOKUP($CI242,付与!$1:$1167,COLUMN(K$1),FALSE),0))*VLOOKUP($D242,素材!$1:$1016,COLUMN($E$1),FALSE),0),"")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IFERROR(VLOOKUP($C242,装備品!$1:$998,COLUMN(AA$1),FALSE)*VLOOKUP($D242,素材!$1:$1016,COLUMN($G$1),FALSE),"")</f>
        <v>105</v>
      </c>
      <c r="N242">
        <f>IFERROR(VLOOKUP($C242,装備品!$1:$998,COLUMN(I$1),FALSE),"")</f>
        <v>0</v>
      </c>
      <c r="O242" s="23">
        <f>IFERROR((VLOOKUP($C242,装備品!$1:$998,COLUMN(K$1),FALSE)+VLOOKUP($D242,素材!$1:$1016,COLUMN(H$1),FALSE))*100+IFERROR(VLOOKUP($CI242,付与!$1:$1167,COLUMN(O$1),FALSE),0),"")</f>
        <v>5</v>
      </c>
      <c r="P242" s="23">
        <f>IFERROR((VLOOKUP($C242,装備品!$1:$998,COLUMN(L$1),FALSE)+VLOOKUP($D242,素材!$1:$1016,COLUMN(I$1),FALSE))*100+IFERROR(VLOOKUP($CI242,付与!$1:$1167,COLUMN(P$1),FALSE),0),"")</f>
        <v>175</v>
      </c>
      <c r="Q242">
        <f>IFERROR(ROUNDUP(VLOOKUP($C242,装備品!$1:$998,COLUMN(M$1),FALSE)*(VLOOKUP($D242,素材!$1:$1002,COLUMN(D$1),FALSE)/100),1),"")</f>
        <v>-5</v>
      </c>
      <c r="R242">
        <f>IFERROR(ROUNDUP(VLOOKUP($C242,装備品!$1:$998,COLUMN(N$1),FALSE)*(VLOOKUP($D242,素材!$1:$1002,COLUMN(D$1),FALSE)/100),1),"")</f>
        <v>-5</v>
      </c>
      <c r="S242">
        <f>IFERROR(VLOOKUP($C242,装備品!$1:$998,COLUMN(P$1),FALSE),"")</f>
        <v>0</v>
      </c>
      <c r="T242">
        <f>IFERROR(VLOOKUP($C242,装備品!$1:$998,COLUMN(Q$1),FALSE),"")</f>
        <v>0</v>
      </c>
      <c r="U242">
        <f>IFERROR(VLOOKUP($C242,装備品!$1:$998,COLUMN(R$1),FALSE),"")</f>
        <v>-15</v>
      </c>
      <c r="V242">
        <f>IFERROR(VLOOKUP($C242,装備品!$1:$998,COLUMN(Q$1),FALSE),"")</f>
        <v>0</v>
      </c>
      <c r="W242">
        <f>IFERROR(VLOOKUP($C242,装備品!$1:$998,COLUMN(T$1),FALSE),"")</f>
        <v>0</v>
      </c>
      <c r="Y242">
        <f>IFERROR(VLOOKUP($C242,装備品!$1:$998,COLUMN(U$1),FALSE),"")</f>
        <v>0</v>
      </c>
      <c r="Z242">
        <f>IFERROR(ROUNDUP(VLOOKUP($C242,装備品!$1:$998,COLUMN(O$1),FALSE)*VLOOKUP($D242,素材!$1:$1016,COLUMN(E$1),FALSE),1),"")</f>
        <v>0</v>
      </c>
      <c r="AA242">
        <f>IF(ISNUMBER(SEARCH(SUBSTITUTE(AA$1,RIGHT(AA$1,2),""),VLOOKUP($D242,素材!$1:$1016,COLUMN($F$1),FALSE))),VLOOKUP($C242,装備品!$1:$998,COLUMN($O$1),FALSE)*VLOOKUP($D242,素材!$1:$1016,COLUMN($E$1),FALSE)/(LEN(VLOOKUP($D242,素材!$1:$1016,COLUMN($F$1),FALSE))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IFERROR(VLOOKUP($C242,装備品!$1:$998,COLUMN(V$1),FALSE)*VLOOKUP($D242,素材!$1:$1016,COLUMN(N$1),FALSE)+IF(CI242="",0,VLOOKUP($CI242,付与!$1:$1176,COLUMN($CK$1),FALSE)),"")</f>
        <v>0</v>
      </c>
      <c r="CO242">
        <f>VLOOKUP(D242,素材!$A:$O,COLUMN(素材!O$1),FALSE)</f>
        <v>0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IFERROR(VLOOKUP($D243,素材!$1:$1016,COLUMN($B$1),FALSE)&amp;"・"&amp;VLOOKUP($C243,装備品!$1:$998,COLUMN(B$1),FALSE),"")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IFERROR(VLOOKUP(C243,装備品!$1:$998,COLUMN(C$1),FALSE),"")</f>
        <v>武器</v>
      </c>
      <c r="F243">
        <f>IFERROR(ROUNDDOWN((VLOOKUP($C243,装備品!$1:$998,COLUMN(D$1),FALSE)+IFERROR(VLOOKUP($CI243,付与!$1:$1167,COLUMN(F$1),FALSE),0))*VLOOKUP($D243,素材!$1:$1016,COLUMN(D$1),FALSE),0),"")</f>
        <v>110</v>
      </c>
      <c r="G243">
        <f>IFERROR(ROUNDDOWN((VLOOKUP($C243,装備品!$1:$998,COLUMN(E$1),FALSE)+IFERROR(VLOOKUP($CI243,付与!$1:$1167,COLUMN(G$1),FALSE),0))*VLOOKUP($D243,素材!$1:$1016,COLUMN($E$1),FALSE),0),"")</f>
        <v>8</v>
      </c>
      <c r="H243">
        <f>IFERROR(ROUNDDOWN((VLOOKUP($C243,装備品!$1:$998,COLUMN(F$1),FALSE)+IFERROR(VLOOKUP($CI243,付与!$1:$1167,COLUMN(H$1),FALSE),0))*VLOOKUP($D243,素材!$1:$1016,COLUMN($E$1),FALSE),0),"")</f>
        <v>10</v>
      </c>
      <c r="I243">
        <f>IFERROR(ROUNDDOWN((VLOOKUP($C243,装備品!$1:$998,COLUMN(G$1),FALSE)+IFERROR(VLOOKUP($CI243,付与!$1:$1167,COLUMN(I$1),FALSE),0))*VLOOKUP($D243,素材!$1:$1016,COLUMN($E$1),FALSE),0),"")</f>
        <v>6</v>
      </c>
      <c r="J243">
        <f>IFERROR(ROUNDDOWN((VLOOKUP($C243,装備品!$1:$998,COLUMN(H$1),FALSE)+IFERROR(VLOOKUP($CI243,付与!$1:$1167,COLUMN(J$1),FALSE),0))*VLOOKUP($D243,素材!$1:$1016,COLUMN($E$1),FALSE),0),"")</f>
        <v>19</v>
      </c>
      <c r="K243">
        <f>IFERROR(ROUNDDOWN((VLOOKUP($C243,装備品!$1:$998,COLUMN(I$1),FALSE)+IFERROR(VLOOKUP($CI243,付与!$1:$1167,COLUMN(K$1),FALSE),0))*VLOOKUP($D243,素材!$1:$1016,COLUMN($E$1),FALSE),0),"")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IFERROR(VLOOKUP($C243,装備品!$1:$998,COLUMN(AA$1),FALSE)*VLOOKUP($D243,素材!$1:$1016,COLUMN($G$1),FALSE),"")</f>
        <v>87.5</v>
      </c>
      <c r="N243">
        <f>IFERROR(VLOOKUP($C243,装備品!$1:$998,COLUMN(I$1),FALSE),"")</f>
        <v>0</v>
      </c>
      <c r="O243" s="23">
        <f>IFERROR((VLOOKUP($C243,装備品!$1:$998,COLUMN(K$1),FALSE)+VLOOKUP($D243,素材!$1:$1016,COLUMN(H$1),FALSE))*100+IFERROR(VLOOKUP($CI243,付与!$1:$1167,COLUMN(O$1),FALSE),0),"")</f>
        <v>10</v>
      </c>
      <c r="P243" s="23">
        <f>IFERROR((VLOOKUP($C243,装備品!$1:$998,COLUMN(L$1),FALSE)+VLOOKUP($D243,素材!$1:$1016,COLUMN(I$1),FALSE))*100+IFERROR(VLOOKUP($CI243,付与!$1:$1167,COLUMN(P$1),FALSE),0),"")</f>
        <v>150</v>
      </c>
      <c r="Q243">
        <f>IFERROR(ROUNDUP(VLOOKUP($C243,装備品!$1:$998,COLUMN(M$1),FALSE)*(VLOOKUP($D243,素材!$1:$1002,COLUMN(D$1),FALSE)/100),1),"")</f>
        <v>-5</v>
      </c>
      <c r="R243">
        <f>IFERROR(ROUNDUP(VLOOKUP($C243,装備品!$1:$998,COLUMN(N$1),FALSE)*(VLOOKUP($D243,素材!$1:$1002,COLUMN(D$1),FALSE)/100),1),"")</f>
        <v>-5</v>
      </c>
      <c r="S243">
        <f>IFERROR(VLOOKUP($C243,装備品!$1:$998,COLUMN(P$1),FALSE),"")</f>
        <v>0</v>
      </c>
      <c r="T243">
        <f>IFERROR(VLOOKUP($C243,装備品!$1:$998,COLUMN(Q$1),FALSE),"")</f>
        <v>0</v>
      </c>
      <c r="U243">
        <f>IFERROR(VLOOKUP($C243,装備品!$1:$998,COLUMN(R$1),FALSE),"")</f>
        <v>0</v>
      </c>
      <c r="V243">
        <f>IFERROR(VLOOKUP($C243,装備品!$1:$998,COLUMN(Q$1),FALSE),"")</f>
        <v>0</v>
      </c>
      <c r="W243">
        <f>IFERROR(VLOOKUP($C243,装備品!$1:$998,COLUMN(T$1),FALSE),"")</f>
        <v>0</v>
      </c>
      <c r="Y243">
        <f>IFERROR(VLOOKUP($C243,装備品!$1:$998,COLUMN(U$1),FALSE),"")</f>
        <v>0</v>
      </c>
      <c r="Z243">
        <f>IFERROR(ROUNDUP(VLOOKUP($C243,装備品!$1:$998,COLUMN(O$1),FALSE)*VLOOKUP($D243,素材!$1:$1016,COLUMN(E$1),FALSE),1),"")</f>
        <v>0</v>
      </c>
      <c r="AA243">
        <f>IF(ISNUMBER(SEARCH(SUBSTITUTE(AA$1,RIGHT(AA$1,2),""),VLOOKUP($D243,素材!$1:$1016,COLUMN($F$1),FALSE))),VLOOKUP($C243,装備品!$1:$998,COLUMN($O$1),FALSE)*VLOOKUP($D243,素材!$1:$1016,COLUMN($E$1),FALSE)/(LEN(VLOOKUP($D243,素材!$1:$1016,COLUMN($F$1),FALSE))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IFERROR(VLOOKUP($C243,装備品!$1:$998,COLUMN(V$1),FALSE)*VLOOKUP($D243,素材!$1:$1016,COLUMN(N$1),FALSE)+IF(CI243="",0,VLOOKUP($CI243,付与!$1:$1176,COLUMN($CK$1),FALSE)),"")</f>
        <v>0</v>
      </c>
      <c r="CO243">
        <f>VLOOKUP(D243,素材!$A:$O,COLUMN(素材!O$1),FALSE)</f>
        <v>0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IFERROR(VLOOKUP($D244,素材!$1:$1016,COLUMN($B$1),FALSE)&amp;"・"&amp;VLOOKUP($C244,装備品!$1:$998,COLUMN(B$1),FALSE),"")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IFERROR(VLOOKUP(C244,装備品!$1:$998,COLUMN(C$1),FALSE),"")</f>
        <v>武器</v>
      </c>
      <c r="F244">
        <f>IFERROR(ROUNDDOWN((VLOOKUP($C244,装備品!$1:$998,COLUMN(D$1),FALSE)+IFERROR(VLOOKUP($CI244,付与!$1:$1167,COLUMN(F$1),FALSE),0))*VLOOKUP($D244,素材!$1:$1016,COLUMN(D$1),FALSE),0),"")</f>
        <v>105</v>
      </c>
      <c r="G244">
        <f>IFERROR(ROUNDDOWN((VLOOKUP($C244,装備品!$1:$998,COLUMN(E$1),FALSE)+IFERROR(VLOOKUP($CI244,付与!$1:$1167,COLUMN(G$1),FALSE),0))*VLOOKUP($D244,素材!$1:$1016,COLUMN($E$1),FALSE),0),"")</f>
        <v>2</v>
      </c>
      <c r="H244">
        <f>IFERROR(ROUNDDOWN((VLOOKUP($C244,装備品!$1:$998,COLUMN(F$1),FALSE)+IFERROR(VLOOKUP($CI244,付与!$1:$1167,COLUMN(H$1),FALSE),0))*VLOOKUP($D244,素材!$1:$1016,COLUMN($E$1),FALSE),0),"")</f>
        <v>0</v>
      </c>
      <c r="I244">
        <f>IFERROR(ROUNDDOWN((VLOOKUP($C244,装備品!$1:$998,COLUMN(G$1),FALSE)+IFERROR(VLOOKUP($CI244,付与!$1:$1167,COLUMN(I$1),FALSE),0))*VLOOKUP($D244,素材!$1:$1016,COLUMN($E$1),FALSE),0),"")</f>
        <v>20</v>
      </c>
      <c r="J244">
        <f>IFERROR(ROUNDDOWN((VLOOKUP($C244,装備品!$1:$998,COLUMN(H$1),FALSE)+IFERROR(VLOOKUP($CI244,付与!$1:$1167,COLUMN(J$1),FALSE),0))*VLOOKUP($D244,素材!$1:$1016,COLUMN($E$1),FALSE),0),"")</f>
        <v>19</v>
      </c>
      <c r="K244">
        <f>IFERROR(ROUNDDOWN((VLOOKUP($C244,装備品!$1:$998,COLUMN(I$1),FALSE)+IFERROR(VLOOKUP($CI244,付与!$1:$1167,COLUMN(K$1),FALSE),0))*VLOOKUP($D244,素材!$1:$1016,COLUMN($E$1),FALSE),0),"")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IFERROR(VLOOKUP($C244,装備品!$1:$998,COLUMN(AA$1),FALSE)*VLOOKUP($D244,素材!$1:$1016,COLUMN($G$1),FALSE),"")</f>
        <v>52.5</v>
      </c>
      <c r="N244">
        <f>IFERROR(VLOOKUP($C244,装備品!$1:$998,COLUMN(I$1),FALSE),"")</f>
        <v>0</v>
      </c>
      <c r="O244" s="23">
        <f>IFERROR((VLOOKUP($C244,装備品!$1:$998,COLUMN(K$1),FALSE)+VLOOKUP($D244,素材!$1:$1016,COLUMN(H$1),FALSE))*100+IFERROR(VLOOKUP($CI244,付与!$1:$1167,COLUMN(O$1),FALSE),0),"")</f>
        <v>5</v>
      </c>
      <c r="P244" s="23">
        <f>IFERROR((VLOOKUP($C244,装備品!$1:$998,COLUMN(L$1),FALSE)+VLOOKUP($D244,素材!$1:$1016,COLUMN(I$1),FALSE))*100+IFERROR(VLOOKUP($CI244,付与!$1:$1167,COLUMN(P$1),FALSE),0),"")</f>
        <v>150</v>
      </c>
      <c r="Q244">
        <f>IFERROR(ROUNDUP(VLOOKUP($C244,装備品!$1:$998,COLUMN(M$1),FALSE)*(VLOOKUP($D244,素材!$1:$1002,COLUMN(D$1),FALSE)/100),1),"")</f>
        <v>0</v>
      </c>
      <c r="R244">
        <f>IFERROR(ROUNDUP(VLOOKUP($C244,装備品!$1:$998,COLUMN(N$1),FALSE)*(VLOOKUP($D244,素材!$1:$1002,COLUMN(D$1),FALSE)/100),1),"")</f>
        <v>0</v>
      </c>
      <c r="S244">
        <f>IFERROR(VLOOKUP($C244,装備品!$1:$998,COLUMN(P$1),FALSE),"")</f>
        <v>0</v>
      </c>
      <c r="T244">
        <f>IFERROR(VLOOKUP($C244,装備品!$1:$998,COLUMN(Q$1),FALSE),"")</f>
        <v>0</v>
      </c>
      <c r="U244">
        <f>IFERROR(VLOOKUP($C244,装備品!$1:$998,COLUMN(R$1),FALSE),"")</f>
        <v>0</v>
      </c>
      <c r="V244">
        <f>IFERROR(VLOOKUP($C244,装備品!$1:$998,COLUMN(Q$1),FALSE),"")</f>
        <v>0</v>
      </c>
      <c r="W244">
        <f>IFERROR(VLOOKUP($C244,装備品!$1:$998,COLUMN(T$1),FALSE),"")</f>
        <v>0</v>
      </c>
      <c r="Y244">
        <f>IFERROR(VLOOKUP($C244,装備品!$1:$998,COLUMN(U$1),FALSE),"")</f>
        <v>0</v>
      </c>
      <c r="Z244">
        <f>IFERROR(ROUNDUP(VLOOKUP($C244,装備品!$1:$998,COLUMN(O$1),FALSE)*VLOOKUP($D244,素材!$1:$1016,COLUMN(E$1),FALSE),1),"")</f>
        <v>0</v>
      </c>
      <c r="AA244">
        <f>IF(ISNUMBER(SEARCH(SUBSTITUTE(AA$1,RIGHT(AA$1,2),""),VLOOKUP($D244,素材!$1:$1016,COLUMN($F$1),FALSE))),VLOOKUP($C244,装備品!$1:$998,COLUMN($O$1),FALSE)*VLOOKUP($D244,素材!$1:$1016,COLUMN($E$1),FALSE)/(LEN(VLOOKUP($D244,素材!$1:$1016,COLUMN($F$1),FALSE))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IFERROR(VLOOKUP($C244,装備品!$1:$998,COLUMN(V$1),FALSE)*VLOOKUP($D244,素材!$1:$1016,COLUMN(N$1),FALSE)+IF(CI244="",0,VLOOKUP($CI244,付与!$1:$1176,COLUMN($CK$1),FALSE)),"")</f>
        <v>0</v>
      </c>
      <c r="CO244">
        <f>VLOOKUP(D244,素材!$A:$O,COLUMN(素材!O$1),FALSE)</f>
        <v>0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IFERROR(VLOOKUP($D245,素材!$1:$1016,COLUMN($B$1),FALSE)&amp;"・"&amp;VLOOKUP($C245,装備品!$1:$998,COLUMN(B$1),FALSE),"")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IFERROR(VLOOKUP(C245,装備品!$1:$998,COLUMN(C$1),FALSE),"")</f>
        <v>武器</v>
      </c>
      <c r="F245">
        <f>IFERROR(ROUNDDOWN((VLOOKUP($C245,装備品!$1:$998,COLUMN(D$1),FALSE)+IFERROR(VLOOKUP($CI245,付与!$1:$1167,COLUMN(F$1),FALSE),0))*VLOOKUP($D245,素材!$1:$1016,COLUMN(D$1),FALSE),0),"")</f>
        <v>110</v>
      </c>
      <c r="G245">
        <f>IFERROR(ROUNDDOWN((VLOOKUP($C245,装備品!$1:$998,COLUMN(E$1),FALSE)+IFERROR(VLOOKUP($CI245,付与!$1:$1167,COLUMN(G$1),FALSE),0))*VLOOKUP($D245,素材!$1:$1016,COLUMN($E$1),FALSE),0),"")</f>
        <v>0</v>
      </c>
      <c r="H245">
        <f>IFERROR(ROUNDDOWN((VLOOKUP($C245,装備品!$1:$998,COLUMN(F$1),FALSE)+IFERROR(VLOOKUP($CI245,付与!$1:$1167,COLUMN(H$1),FALSE),0))*VLOOKUP($D245,素材!$1:$1016,COLUMN($E$1),FALSE),0),"")</f>
        <v>0</v>
      </c>
      <c r="I245">
        <f>IFERROR(ROUNDDOWN((VLOOKUP($C245,装備品!$1:$998,COLUMN(G$1),FALSE)+IFERROR(VLOOKUP($CI245,付与!$1:$1167,COLUMN(I$1),FALSE),0))*VLOOKUP($D245,素材!$1:$1016,COLUMN($E$1),FALSE),0),"")</f>
        <v>23</v>
      </c>
      <c r="J245">
        <f>IFERROR(ROUNDDOWN((VLOOKUP($C245,装備品!$1:$998,COLUMN(H$1),FALSE)+IFERROR(VLOOKUP($CI245,付与!$1:$1167,COLUMN(J$1),FALSE),0))*VLOOKUP($D245,素材!$1:$1016,COLUMN($E$1),FALSE),0),"")</f>
        <v>19</v>
      </c>
      <c r="K245">
        <f>IFERROR(ROUNDDOWN((VLOOKUP($C245,装備品!$1:$998,COLUMN(I$1),FALSE)+IFERROR(VLOOKUP($CI245,付与!$1:$1167,COLUMN(K$1),FALSE),0))*VLOOKUP($D245,素材!$1:$1016,COLUMN($E$1),FALSE),0),"")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IFERROR(VLOOKUP($C245,装備品!$1:$998,COLUMN(AA$1),FALSE)*VLOOKUP($D245,素材!$1:$1016,COLUMN($G$1),FALSE),"")</f>
        <v>70</v>
      </c>
      <c r="N245">
        <f>IFERROR(VLOOKUP($C245,装備品!$1:$998,COLUMN(I$1),FALSE),"")</f>
        <v>0</v>
      </c>
      <c r="O245" s="23">
        <f>IFERROR((VLOOKUP($C245,装備品!$1:$998,COLUMN(K$1),FALSE)+VLOOKUP($D245,素材!$1:$1016,COLUMN(H$1),FALSE))*100+IFERROR(VLOOKUP($CI245,付与!$1:$1167,COLUMN(O$1),FALSE),0),"")</f>
        <v>15</v>
      </c>
      <c r="P245" s="23">
        <f>IFERROR((VLOOKUP($C245,装備品!$1:$998,COLUMN(L$1),FALSE)+VLOOKUP($D245,素材!$1:$1016,COLUMN(I$1),FALSE))*100+IFERROR(VLOOKUP($CI245,付与!$1:$1167,COLUMN(P$1),FALSE),0),"")</f>
        <v>125</v>
      </c>
      <c r="Q245">
        <f>IFERROR(ROUNDUP(VLOOKUP($C245,装備品!$1:$998,COLUMN(M$1),FALSE)*(VLOOKUP($D245,素材!$1:$1002,COLUMN(D$1),FALSE)/100),1),"")</f>
        <v>0</v>
      </c>
      <c r="R245">
        <f>IFERROR(ROUNDUP(VLOOKUP($C245,装備品!$1:$998,COLUMN(N$1),FALSE)*(VLOOKUP($D245,素材!$1:$1002,COLUMN(D$1),FALSE)/100),1),"")</f>
        <v>-2</v>
      </c>
      <c r="S245">
        <f>IFERROR(VLOOKUP($C245,装備品!$1:$998,COLUMN(P$1),FALSE),"")</f>
        <v>0</v>
      </c>
      <c r="T245">
        <f>IFERROR(VLOOKUP($C245,装備品!$1:$998,COLUMN(Q$1),FALSE),"")</f>
        <v>0</v>
      </c>
      <c r="U245">
        <f>IFERROR(VLOOKUP($C245,装備品!$1:$998,COLUMN(R$1),FALSE),"")</f>
        <v>0</v>
      </c>
      <c r="V245">
        <f>IFERROR(VLOOKUP($C245,装備品!$1:$998,COLUMN(Q$1),FALSE),"")</f>
        <v>0</v>
      </c>
      <c r="W245">
        <f>IFERROR(VLOOKUP($C245,装備品!$1:$998,COLUMN(T$1),FALSE),"")</f>
        <v>0</v>
      </c>
      <c r="Y245">
        <f>IFERROR(VLOOKUP($C245,装備品!$1:$998,COLUMN(U$1),FALSE),"")</f>
        <v>0</v>
      </c>
      <c r="Z245">
        <f>IFERROR(ROUNDUP(VLOOKUP($C245,装備品!$1:$998,COLUMN(O$1),FALSE)*VLOOKUP($D245,素材!$1:$1016,COLUMN(E$1),FALSE),1),"")</f>
        <v>0</v>
      </c>
      <c r="AA245">
        <f>IF(ISNUMBER(SEARCH(SUBSTITUTE(AA$1,RIGHT(AA$1,2),""),VLOOKUP($D245,素材!$1:$1016,COLUMN($F$1),FALSE))),VLOOKUP($C245,装備品!$1:$998,COLUMN($O$1),FALSE)*VLOOKUP($D245,素材!$1:$1016,COLUMN($E$1),FALSE)/(LEN(VLOOKUP($D245,素材!$1:$1016,COLUMN($F$1),FALSE))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IFERROR(VLOOKUP($C245,装備品!$1:$998,COLUMN(V$1),FALSE)*VLOOKUP($D245,素材!$1:$1016,COLUMN(N$1),FALSE)+IF(CI245="",0,VLOOKUP($CI245,付与!$1:$1176,COLUMN($CK$1),FALSE)),"")</f>
        <v>0</v>
      </c>
      <c r="CO245">
        <f>VLOOKUP(D245,素材!$A:$O,COLUMN(素材!O$1),FALSE)</f>
        <v>0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IFERROR(VLOOKUP($D246,素材!$1:$1016,COLUMN($B$1),FALSE)&amp;"・"&amp;VLOOKUP($C246,装備品!$1:$998,COLUMN(B$1),FALSE),"")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IFERROR(VLOOKUP(C246,装備品!$1:$998,COLUMN(C$1),FALSE),"")</f>
        <v>武器</v>
      </c>
      <c r="F246">
        <f>IFERROR(ROUNDDOWN((VLOOKUP($C246,装備品!$1:$998,COLUMN(D$1),FALSE)+IFERROR(VLOOKUP($CI246,付与!$1:$1167,COLUMN(F$1),FALSE),0))*VLOOKUP($D246,素材!$1:$1016,COLUMN(D$1),FALSE),0),"")</f>
        <v>105</v>
      </c>
      <c r="G246">
        <f>IFERROR(ROUNDDOWN((VLOOKUP($C246,装備品!$1:$998,COLUMN(E$1),FALSE)+IFERROR(VLOOKUP($CI246,付与!$1:$1167,COLUMN(G$1),FALSE),0))*VLOOKUP($D246,素材!$1:$1016,COLUMN($E$1),FALSE),0),"")</f>
        <v>0</v>
      </c>
      <c r="H246">
        <f>IFERROR(ROUNDDOWN((VLOOKUP($C246,装備品!$1:$998,COLUMN(F$1),FALSE)+IFERROR(VLOOKUP($CI246,付与!$1:$1167,COLUMN(H$1),FALSE),0))*VLOOKUP($D246,素材!$1:$1016,COLUMN($E$1),FALSE),0),"")</f>
        <v>12</v>
      </c>
      <c r="I246">
        <f>IFERROR(ROUNDDOWN((VLOOKUP($C246,装備品!$1:$998,COLUMN(G$1),FALSE)+IFERROR(VLOOKUP($CI246,付与!$1:$1167,COLUMN(I$1),FALSE),0))*VLOOKUP($D246,素材!$1:$1016,COLUMN($E$1),FALSE),0),"")</f>
        <v>12</v>
      </c>
      <c r="J246">
        <f>IFERROR(ROUNDDOWN((VLOOKUP($C246,装備品!$1:$998,COLUMN(H$1),FALSE)+IFERROR(VLOOKUP($CI246,付与!$1:$1167,COLUMN(J$1),FALSE),0))*VLOOKUP($D246,素材!$1:$1016,COLUMN($E$1),FALSE),0),"")</f>
        <v>19</v>
      </c>
      <c r="K246">
        <f>IFERROR(ROUNDDOWN((VLOOKUP($C246,装備品!$1:$998,COLUMN(I$1),FALSE)+IFERROR(VLOOKUP($CI246,付与!$1:$1167,COLUMN(K$1),FALSE),0))*VLOOKUP($D246,素材!$1:$1016,COLUMN($E$1),FALSE),0),"")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IFERROR(VLOOKUP($C246,装備品!$1:$998,COLUMN(AA$1),FALSE)*VLOOKUP($D246,素材!$1:$1016,COLUMN($G$1),FALSE),"")</f>
        <v>70</v>
      </c>
      <c r="N246">
        <f>IFERROR(VLOOKUP($C246,装備品!$1:$998,COLUMN(I$1),FALSE),"")</f>
        <v>0</v>
      </c>
      <c r="O246" s="23">
        <f>IFERROR((VLOOKUP($C246,装備品!$1:$998,COLUMN(K$1),FALSE)+VLOOKUP($D246,素材!$1:$1016,COLUMN(H$1),FALSE))*100+IFERROR(VLOOKUP($CI246,付与!$1:$1167,COLUMN(O$1),FALSE),0),"")</f>
        <v>10</v>
      </c>
      <c r="P246" s="23">
        <f>IFERROR((VLOOKUP($C246,装備品!$1:$998,COLUMN(L$1),FALSE)+VLOOKUP($D246,素材!$1:$1016,COLUMN(I$1),FALSE))*100+IFERROR(VLOOKUP($CI246,付与!$1:$1167,COLUMN(P$1),FALSE),0),"")</f>
        <v>125</v>
      </c>
      <c r="Q246">
        <f>IFERROR(ROUNDUP(VLOOKUP($C246,装備品!$1:$998,COLUMN(M$1),FALSE)*(VLOOKUP($D246,素材!$1:$1002,COLUMN(D$1),FALSE)/100),1),"")</f>
        <v>-2.5</v>
      </c>
      <c r="R246">
        <f>IFERROR(ROUNDUP(VLOOKUP($C246,装備品!$1:$998,COLUMN(N$1),FALSE)*(VLOOKUP($D246,素材!$1:$1002,COLUMN(D$1),FALSE)/100),1),"")</f>
        <v>-2.5</v>
      </c>
      <c r="S246">
        <f>IFERROR(VLOOKUP($C246,装備品!$1:$998,COLUMN(P$1),FALSE),"")</f>
        <v>0</v>
      </c>
      <c r="T246">
        <f>IFERROR(VLOOKUP($C246,装備品!$1:$998,COLUMN(Q$1),FALSE),"")</f>
        <v>0</v>
      </c>
      <c r="U246">
        <f>IFERROR(VLOOKUP($C246,装備品!$1:$998,COLUMN(R$1),FALSE),"")</f>
        <v>0</v>
      </c>
      <c r="V246">
        <f>IFERROR(VLOOKUP($C246,装備品!$1:$998,COLUMN(Q$1),FALSE),"")</f>
        <v>0</v>
      </c>
      <c r="W246">
        <f>IFERROR(VLOOKUP($C246,装備品!$1:$998,COLUMN(T$1),FALSE),"")</f>
        <v>0</v>
      </c>
      <c r="Y246">
        <f>IFERROR(VLOOKUP($C246,装備品!$1:$998,COLUMN(U$1),FALSE),"")</f>
        <v>0</v>
      </c>
      <c r="Z246">
        <f>IFERROR(ROUNDUP(VLOOKUP($C246,装備品!$1:$998,COLUMN(O$1),FALSE)*VLOOKUP($D246,素材!$1:$1016,COLUMN(E$1),FALSE),1),"")</f>
        <v>0</v>
      </c>
      <c r="AA246">
        <f>IF(ISNUMBER(SEARCH(SUBSTITUTE(AA$1,RIGHT(AA$1,2),""),VLOOKUP($D246,素材!$1:$1016,COLUMN($F$1),FALSE))),VLOOKUP($C246,装備品!$1:$998,COLUMN($O$1),FALSE)*VLOOKUP($D246,素材!$1:$1016,COLUMN($E$1),FALSE)/(LEN(VLOOKUP($D246,素材!$1:$1016,COLUMN($F$1),FALSE))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IFERROR(VLOOKUP($C246,装備品!$1:$998,COLUMN(V$1),FALSE)*VLOOKUP($D246,素材!$1:$1016,COLUMN(N$1),FALSE)+IF(CI246="",0,VLOOKUP($CI246,付与!$1:$1176,COLUMN($CK$1),FALSE)),"")</f>
        <v>0</v>
      </c>
      <c r="CO246">
        <f>VLOOKUP(D246,素材!$A:$O,COLUMN(素材!O$1),FALSE)</f>
        <v>0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IFERROR(VLOOKUP($D247,素材!$1:$1016,COLUMN($B$1),FALSE)&amp;"・"&amp;VLOOKUP($C247,装備品!$1:$998,COLUMN(B$1),FALSE),"")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IFERROR(VLOOKUP(C247,装備品!$1:$998,COLUMN(C$1),FALSE),"")</f>
        <v>武器</v>
      </c>
      <c r="F247">
        <f>IFERROR(ROUNDDOWN((VLOOKUP($C247,装備品!$1:$998,COLUMN(D$1),FALSE)+IFERROR(VLOOKUP($CI247,付与!$1:$1167,COLUMN(F$1),FALSE),0))*VLOOKUP($D247,素材!$1:$1016,COLUMN(D$1),FALSE),0),"")</f>
        <v>110</v>
      </c>
      <c r="G247">
        <f>IFERROR(ROUNDDOWN((VLOOKUP($C247,装備品!$1:$998,COLUMN(E$1),FALSE)+IFERROR(VLOOKUP($CI247,付与!$1:$1167,COLUMN(G$1),FALSE),0))*VLOOKUP($D247,素材!$1:$1016,COLUMN($E$1),FALSE),0),"")</f>
        <v>0</v>
      </c>
      <c r="H247">
        <f>IFERROR(ROUNDDOWN((VLOOKUP($C247,装備品!$1:$998,COLUMN(F$1),FALSE)+IFERROR(VLOOKUP($CI247,付与!$1:$1167,COLUMN(H$1),FALSE),0))*VLOOKUP($D247,素材!$1:$1016,COLUMN($E$1),FALSE),0),"")</f>
        <v>0</v>
      </c>
      <c r="I247">
        <f>IFERROR(ROUNDDOWN((VLOOKUP($C247,装備品!$1:$998,COLUMN(G$1),FALSE)+IFERROR(VLOOKUP($CI247,付与!$1:$1167,COLUMN(I$1),FALSE),0))*VLOOKUP($D247,素材!$1:$1016,COLUMN($E$1),FALSE),0),"")</f>
        <v>22</v>
      </c>
      <c r="J247">
        <f>IFERROR(ROUNDDOWN((VLOOKUP($C247,装備品!$1:$998,COLUMN(H$1),FALSE)+IFERROR(VLOOKUP($CI247,付与!$1:$1167,COLUMN(J$1),FALSE),0))*VLOOKUP($D247,素材!$1:$1016,COLUMN($E$1),FALSE),0),"")</f>
        <v>19</v>
      </c>
      <c r="K247">
        <f>IFERROR(ROUNDDOWN((VLOOKUP($C247,装備品!$1:$998,COLUMN(I$1),FALSE)+IFERROR(VLOOKUP($CI247,付与!$1:$1167,COLUMN(K$1),FALSE),0))*VLOOKUP($D247,素材!$1:$1016,COLUMN($E$1),FALSE),0),"")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IFERROR(VLOOKUP($C247,装備品!$1:$998,COLUMN(AA$1),FALSE)*VLOOKUP($D247,素材!$1:$1016,COLUMN($G$1),FALSE),"")</f>
        <v>70</v>
      </c>
      <c r="N247">
        <f>IFERROR(VLOOKUP($C247,装備品!$1:$998,COLUMN(I$1),FALSE),"")</f>
        <v>0</v>
      </c>
      <c r="O247" s="23">
        <f>IFERROR((VLOOKUP($C247,装備品!$1:$998,COLUMN(K$1),FALSE)+VLOOKUP($D247,素材!$1:$1016,COLUMN(H$1),FALSE))*100+IFERROR(VLOOKUP($CI247,付与!$1:$1167,COLUMN(O$1),FALSE),0),"")</f>
        <v>10</v>
      </c>
      <c r="P247" s="23">
        <f>IFERROR((VLOOKUP($C247,装備品!$1:$998,COLUMN(L$1),FALSE)+VLOOKUP($D247,素材!$1:$1016,COLUMN(I$1),FALSE))*100+IFERROR(VLOOKUP($CI247,付与!$1:$1167,COLUMN(P$1),FALSE),0),"")</f>
        <v>150</v>
      </c>
      <c r="Q247">
        <f>IFERROR(ROUNDUP(VLOOKUP($C247,装備品!$1:$998,COLUMN(M$1),FALSE)*(VLOOKUP($D247,素材!$1:$1002,COLUMN(D$1),FALSE)/100),1),"")</f>
        <v>-2.5</v>
      </c>
      <c r="R247">
        <f>IFERROR(ROUNDUP(VLOOKUP($C247,装備品!$1:$998,COLUMN(N$1),FALSE)*(VLOOKUP($D247,素材!$1:$1002,COLUMN(D$1),FALSE)/100),1),"")</f>
        <v>0</v>
      </c>
      <c r="S247">
        <f>IFERROR(VLOOKUP($C247,装備品!$1:$998,COLUMN(P$1),FALSE),"")</f>
        <v>0</v>
      </c>
      <c r="T247">
        <f>IFERROR(VLOOKUP($C247,装備品!$1:$998,COLUMN(Q$1),FALSE),"")</f>
        <v>0</v>
      </c>
      <c r="U247">
        <f>IFERROR(VLOOKUP($C247,装備品!$1:$998,COLUMN(R$1),FALSE),"")</f>
        <v>0</v>
      </c>
      <c r="V247">
        <f>IFERROR(VLOOKUP($C247,装備品!$1:$998,COLUMN(Q$1),FALSE),"")</f>
        <v>0</v>
      </c>
      <c r="W247">
        <f>IFERROR(VLOOKUP($C247,装備品!$1:$998,COLUMN(T$1),FALSE),"")</f>
        <v>0</v>
      </c>
      <c r="Y247">
        <f>IFERROR(VLOOKUP($C247,装備品!$1:$998,COLUMN(U$1),FALSE),"")</f>
        <v>0</v>
      </c>
      <c r="Z247">
        <f>IFERROR(ROUNDUP(VLOOKUP($C247,装備品!$1:$998,COLUMN(O$1),FALSE)*VLOOKUP($D247,素材!$1:$1016,COLUMN(E$1),FALSE),1),"")</f>
        <v>0</v>
      </c>
      <c r="AA247">
        <f>IF(ISNUMBER(SEARCH(SUBSTITUTE(AA$1,RIGHT(AA$1,2),""),VLOOKUP($D247,素材!$1:$1016,COLUMN($F$1),FALSE))),VLOOKUP($C247,装備品!$1:$998,COLUMN($O$1),FALSE)*VLOOKUP($D247,素材!$1:$1016,COLUMN($E$1),FALSE)/(LEN(VLOOKUP($D247,素材!$1:$1016,COLUMN($F$1),FALSE))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IFERROR(VLOOKUP($C247,装備品!$1:$998,COLUMN(V$1),FALSE)*VLOOKUP($D247,素材!$1:$1016,COLUMN(N$1),FALSE)+IF(CI247="",0,VLOOKUP($CI247,付与!$1:$1176,COLUMN($CK$1),FALSE)),"")</f>
        <v>0</v>
      </c>
      <c r="CO247">
        <f>VLOOKUP(D247,素材!$A:$O,COLUMN(素材!O$1),FALSE)</f>
        <v>0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IFERROR(VLOOKUP($D248,素材!$1:$1016,COLUMN($B$1),FALSE)&amp;"・"&amp;VLOOKUP($C248,装備品!$1:$998,COLUMN(B$1),FALSE),"")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IFERROR(VLOOKUP(C248,装備品!$1:$998,COLUMN(C$1),FALSE),"")</f>
        <v>武器</v>
      </c>
      <c r="F248">
        <f>IFERROR(ROUNDDOWN((VLOOKUP($C248,装備品!$1:$998,COLUMN(D$1),FALSE)+IFERROR(VLOOKUP($CI248,付与!$1:$1167,COLUMN(F$1),FALSE),0))*VLOOKUP($D248,素材!$1:$1016,COLUMN(D$1),FALSE),0),"")</f>
        <v>125</v>
      </c>
      <c r="G248">
        <f>IFERROR(ROUNDDOWN((VLOOKUP($C248,装備品!$1:$998,COLUMN(E$1),FALSE)+IFERROR(VLOOKUP($CI248,付与!$1:$1167,COLUMN(G$1),FALSE),0))*VLOOKUP($D248,素材!$1:$1016,COLUMN($E$1),FALSE),0),"")</f>
        <v>0</v>
      </c>
      <c r="H248">
        <f>IFERROR(ROUNDDOWN((VLOOKUP($C248,装備品!$1:$998,COLUMN(F$1),FALSE)+IFERROR(VLOOKUP($CI248,付与!$1:$1167,COLUMN(H$1),FALSE),0))*VLOOKUP($D248,素材!$1:$1016,COLUMN($E$1),FALSE),0),"")</f>
        <v>0</v>
      </c>
      <c r="I248">
        <f>IFERROR(ROUNDDOWN((VLOOKUP($C248,装備品!$1:$998,COLUMN(G$1),FALSE)+IFERROR(VLOOKUP($CI248,付与!$1:$1167,COLUMN(I$1),FALSE),0))*VLOOKUP($D248,素材!$1:$1016,COLUMN($E$1),FALSE),0),"")</f>
        <v>24</v>
      </c>
      <c r="J248">
        <f>IFERROR(ROUNDDOWN((VLOOKUP($C248,装備品!$1:$998,COLUMN(H$1),FALSE)+IFERROR(VLOOKUP($CI248,付与!$1:$1167,COLUMN(J$1),FALSE),0))*VLOOKUP($D248,素材!$1:$1016,COLUMN($E$1),FALSE),0),"")</f>
        <v>21</v>
      </c>
      <c r="K248">
        <f>IFERROR(ROUNDDOWN((VLOOKUP($C248,装備品!$1:$998,COLUMN(I$1),FALSE)+IFERROR(VLOOKUP($CI248,付与!$1:$1167,COLUMN(K$1),FALSE),0))*VLOOKUP($D248,素材!$1:$1016,COLUMN($E$1),FALSE),0),"")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IFERROR(VLOOKUP($C248,装備品!$1:$998,COLUMN(AA$1),FALSE)*VLOOKUP($D248,素材!$1:$1016,COLUMN($G$1),FALSE),"")</f>
        <v>87.5</v>
      </c>
      <c r="N248">
        <f>IFERROR(VLOOKUP($C248,装備品!$1:$998,COLUMN(I$1),FALSE),"")</f>
        <v>0</v>
      </c>
      <c r="O248" s="23">
        <f>IFERROR((VLOOKUP($C248,装備品!$1:$998,COLUMN(K$1),FALSE)+VLOOKUP($D248,素材!$1:$1016,COLUMN(H$1),FALSE))*100+IFERROR(VLOOKUP($CI248,付与!$1:$1167,COLUMN(O$1),FALSE),0),"")</f>
        <v>10</v>
      </c>
      <c r="P248" s="23">
        <f>IFERROR((VLOOKUP($C248,装備品!$1:$998,COLUMN(L$1),FALSE)+VLOOKUP($D248,素材!$1:$1016,COLUMN(I$1),FALSE))*100+IFERROR(VLOOKUP($CI248,付与!$1:$1167,COLUMN(P$1),FALSE),0),"")</f>
        <v>150</v>
      </c>
      <c r="Q248">
        <f>IFERROR(ROUNDUP(VLOOKUP($C248,装備品!$1:$998,COLUMN(M$1),FALSE)*(VLOOKUP($D248,素材!$1:$1002,COLUMN(D$1),FALSE)/100),1),"")</f>
        <v>-5</v>
      </c>
      <c r="R248">
        <f>IFERROR(ROUNDUP(VLOOKUP($C248,装備品!$1:$998,COLUMN(N$1),FALSE)*(VLOOKUP($D248,素材!$1:$1002,COLUMN(D$1),FALSE)/100),1),"")</f>
        <v>-5</v>
      </c>
      <c r="S248">
        <f>IFERROR(VLOOKUP($C248,装備品!$1:$998,COLUMN(P$1),FALSE),"")</f>
        <v>0</v>
      </c>
      <c r="T248">
        <f>IFERROR(VLOOKUP($C248,装備品!$1:$998,COLUMN(Q$1),FALSE),"")</f>
        <v>0</v>
      </c>
      <c r="U248">
        <f>IFERROR(VLOOKUP($C248,装備品!$1:$998,COLUMN(R$1),FALSE),"")</f>
        <v>0</v>
      </c>
      <c r="V248">
        <f>IFERROR(VLOOKUP($C248,装備品!$1:$998,COLUMN(Q$1),FALSE),"")</f>
        <v>0</v>
      </c>
      <c r="W248">
        <f>IFERROR(VLOOKUP($C248,装備品!$1:$998,COLUMN(T$1),FALSE),"")</f>
        <v>0</v>
      </c>
      <c r="Y248">
        <f>IFERROR(VLOOKUP($C248,装備品!$1:$998,COLUMN(U$1),FALSE),"")</f>
        <v>0</v>
      </c>
      <c r="Z248">
        <f>IFERROR(ROUNDUP(VLOOKUP($C248,装備品!$1:$998,COLUMN(O$1),FALSE)*VLOOKUP($D248,素材!$1:$1016,COLUMN(E$1),FALSE),1),"")</f>
        <v>0</v>
      </c>
      <c r="AA248">
        <f>IF(ISNUMBER(SEARCH(SUBSTITUTE(AA$1,RIGHT(AA$1,2),""),VLOOKUP($D248,素材!$1:$1016,COLUMN($F$1),FALSE))),VLOOKUP($C248,装備品!$1:$998,COLUMN($O$1),FALSE)*VLOOKUP($D248,素材!$1:$1016,COLUMN($E$1),FALSE)/(LEN(VLOOKUP($D248,素材!$1:$1016,COLUMN($F$1),FALSE))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IFERROR(VLOOKUP($C248,装備品!$1:$998,COLUMN(V$1),FALSE)*VLOOKUP($D248,素材!$1:$1016,COLUMN(N$1),FALSE)+IF(CI248="",0,VLOOKUP($CI248,付与!$1:$1176,COLUMN($CK$1),FALSE)),"")</f>
        <v>0</v>
      </c>
      <c r="CO248">
        <f>VLOOKUP(D248,素材!$A:$O,COLUMN(素材!O$1),FALSE)</f>
        <v>0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IFERROR(VLOOKUP($D249,素材!$1:$1016,COLUMN($B$1),FALSE)&amp;"・"&amp;VLOOKUP($C249,装備品!$1:$998,COLUMN(B$1),FALSE),"")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IFERROR(VLOOKUP(C249,装備品!$1:$998,COLUMN(C$1),FALSE),"")</f>
        <v>武器</v>
      </c>
      <c r="F249">
        <f>IFERROR(ROUNDDOWN((VLOOKUP($C249,装備品!$1:$998,COLUMN(D$1),FALSE)+IFERROR(VLOOKUP($CI249,付与!$1:$1167,COLUMN(F$1),FALSE),0))*VLOOKUP($D249,素材!$1:$1016,COLUMN(D$1),FALSE),0),"")</f>
        <v>125</v>
      </c>
      <c r="G249">
        <f>IFERROR(ROUNDDOWN((VLOOKUP($C249,装備品!$1:$998,COLUMN(E$1),FALSE)+IFERROR(VLOOKUP($CI249,付与!$1:$1167,COLUMN(G$1),FALSE),0))*VLOOKUP($D249,素材!$1:$1016,COLUMN($E$1),FALSE),0),"")</f>
        <v>9</v>
      </c>
      <c r="H249">
        <f>IFERROR(ROUNDDOWN((VLOOKUP($C249,装備品!$1:$998,COLUMN(F$1),FALSE)+IFERROR(VLOOKUP($CI249,付与!$1:$1167,COLUMN(H$1),FALSE),0))*VLOOKUP($D249,素材!$1:$1016,COLUMN($E$1),FALSE),0),"")</f>
        <v>11</v>
      </c>
      <c r="I249">
        <f>IFERROR(ROUNDDOWN((VLOOKUP($C249,装備品!$1:$998,COLUMN(G$1),FALSE)+IFERROR(VLOOKUP($CI249,付与!$1:$1167,COLUMN(I$1),FALSE),0))*VLOOKUP($D249,素材!$1:$1016,COLUMN($E$1),FALSE),0),"")</f>
        <v>1</v>
      </c>
      <c r="J249">
        <f>IFERROR(ROUNDDOWN((VLOOKUP($C249,装備品!$1:$998,COLUMN(H$1),FALSE)+IFERROR(VLOOKUP($CI249,付与!$1:$1167,COLUMN(J$1),FALSE),0))*VLOOKUP($D249,素材!$1:$1016,COLUMN($E$1),FALSE),0),"")</f>
        <v>17</v>
      </c>
      <c r="K249">
        <f>IFERROR(ROUNDDOWN((VLOOKUP($C249,装備品!$1:$998,COLUMN(I$1),FALSE)+IFERROR(VLOOKUP($CI249,付与!$1:$1167,COLUMN(K$1),FALSE),0))*VLOOKUP($D249,素材!$1:$1016,COLUMN($E$1),FALSE),0),"")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IFERROR(VLOOKUP($C249,装備品!$1:$998,COLUMN(AA$1),FALSE)*VLOOKUP($D249,素材!$1:$1016,COLUMN($G$1),FALSE),"")</f>
        <v>70</v>
      </c>
      <c r="N249">
        <f>IFERROR(VLOOKUP($C249,装備品!$1:$998,COLUMN(I$1),FALSE),"")</f>
        <v>0</v>
      </c>
      <c r="O249" s="23">
        <f>IFERROR((VLOOKUP($C249,装備品!$1:$998,COLUMN(K$1),FALSE)+VLOOKUP($D249,素材!$1:$1016,COLUMN(H$1),FALSE))*100+IFERROR(VLOOKUP($CI249,付与!$1:$1167,COLUMN(O$1),FALSE),0),"")</f>
        <v>5</v>
      </c>
      <c r="P249" s="23">
        <f>IFERROR((VLOOKUP($C249,装備品!$1:$998,COLUMN(L$1),FALSE)+VLOOKUP($D249,素材!$1:$1016,COLUMN(I$1),FALSE))*100+IFERROR(VLOOKUP($CI249,付与!$1:$1167,COLUMN(P$1),FALSE),0),"")</f>
        <v>200</v>
      </c>
      <c r="Q249">
        <f>IFERROR(ROUNDUP(VLOOKUP($C249,装備品!$1:$998,COLUMN(M$1),FALSE)*(VLOOKUP($D249,素材!$1:$1002,COLUMN(D$1),FALSE)/100),1),"")</f>
        <v>0</v>
      </c>
      <c r="R249">
        <f>IFERROR(ROUNDUP(VLOOKUP($C249,装備品!$1:$998,COLUMN(N$1),FALSE)*(VLOOKUP($D249,素材!$1:$1002,COLUMN(D$1),FALSE)/100),1),"")</f>
        <v>0</v>
      </c>
      <c r="S249">
        <f>IFERROR(VLOOKUP($C249,装備品!$1:$998,COLUMN(P$1),FALSE),"")</f>
        <v>0</v>
      </c>
      <c r="T249">
        <f>IFERROR(VLOOKUP($C249,装備品!$1:$998,COLUMN(Q$1),FALSE),"")</f>
        <v>0</v>
      </c>
      <c r="U249">
        <f>IFERROR(VLOOKUP($C249,装備品!$1:$998,COLUMN(R$1),FALSE),"")</f>
        <v>0</v>
      </c>
      <c r="V249">
        <f>IFERROR(VLOOKUP($C249,装備品!$1:$998,COLUMN(Q$1),FALSE),"")</f>
        <v>0</v>
      </c>
      <c r="W249">
        <f>IFERROR(VLOOKUP($C249,装備品!$1:$998,COLUMN(T$1),FALSE),"")</f>
        <v>0</v>
      </c>
      <c r="Y249">
        <f>IFERROR(VLOOKUP($C249,装備品!$1:$998,COLUMN(U$1),FALSE),"")</f>
        <v>0</v>
      </c>
      <c r="Z249">
        <f>IFERROR(ROUNDUP(VLOOKUP($C249,装備品!$1:$998,COLUMN(O$1),FALSE)*VLOOKUP($D249,素材!$1:$1016,COLUMN(E$1),FALSE),1),"")</f>
        <v>0</v>
      </c>
      <c r="AA249">
        <f>IF(ISNUMBER(SEARCH(SUBSTITUTE(AA$1,RIGHT(AA$1,2),""),VLOOKUP($D249,素材!$1:$1016,COLUMN($F$1),FALSE))),VLOOKUP($C249,装備品!$1:$998,COLUMN($O$1),FALSE)*VLOOKUP($D249,素材!$1:$1016,COLUMN($E$1),FALSE)/(LEN(VLOOKUP($D249,素材!$1:$1016,COLUMN($F$1),FALSE))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IFERROR(VLOOKUP($C249,装備品!$1:$998,COLUMN(V$1),FALSE)*VLOOKUP($D249,素材!$1:$1016,COLUMN(N$1),FALSE)+IF(CI249="",0,VLOOKUP($CI249,付与!$1:$1176,COLUMN($CK$1),FALSE)),"")</f>
        <v>0</v>
      </c>
      <c r="CO249">
        <f>VLOOKUP(D249,素材!$A:$O,COLUMN(素材!O$1),FALSE)</f>
        <v>0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IFERROR(VLOOKUP($D250,素材!$1:$1016,COLUMN($B$1),FALSE)&amp;"・"&amp;VLOOKUP($C250,装備品!$1:$998,COLUMN(B$1),FALSE),"")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IFERROR(VLOOKUP(C250,装備品!$1:$998,COLUMN(C$1),FALSE),"")</f>
        <v>武器</v>
      </c>
      <c r="F250">
        <f>IFERROR(ROUNDDOWN((VLOOKUP($C250,装備品!$1:$998,COLUMN(D$1),FALSE)+IFERROR(VLOOKUP($CI250,付与!$1:$1167,COLUMN(F$1),FALSE),0))*VLOOKUP($D250,素材!$1:$1016,COLUMN(D$1),FALSE),0),"")</f>
        <v>115</v>
      </c>
      <c r="G250">
        <f>IFERROR(ROUNDDOWN((VLOOKUP($C250,装備品!$1:$998,COLUMN(E$1),FALSE)+IFERROR(VLOOKUP($CI250,付与!$1:$1167,COLUMN(G$1),FALSE),0))*VLOOKUP($D250,素材!$1:$1016,COLUMN($E$1),FALSE),0),"")</f>
        <v>19</v>
      </c>
      <c r="H250">
        <f>IFERROR(ROUNDDOWN((VLOOKUP($C250,装備品!$1:$998,COLUMN(F$1),FALSE)+IFERROR(VLOOKUP($CI250,付与!$1:$1167,COLUMN(H$1),FALSE),0))*VLOOKUP($D250,素材!$1:$1016,COLUMN($E$1),FALSE),0),"")</f>
        <v>0</v>
      </c>
      <c r="I250">
        <f>IFERROR(ROUNDDOWN((VLOOKUP($C250,装備品!$1:$998,COLUMN(G$1),FALSE)+IFERROR(VLOOKUP($CI250,付与!$1:$1167,COLUMN(I$1),FALSE),0))*VLOOKUP($D250,素材!$1:$1016,COLUMN($E$1),FALSE),0),"")</f>
        <v>6</v>
      </c>
      <c r="J250">
        <f>IFERROR(ROUNDDOWN((VLOOKUP($C250,装備品!$1:$998,COLUMN(H$1),FALSE)+IFERROR(VLOOKUP($CI250,付与!$1:$1167,COLUMN(J$1),FALSE),0))*VLOOKUP($D250,素材!$1:$1016,COLUMN($E$1),FALSE),0),"")</f>
        <v>20</v>
      </c>
      <c r="K250">
        <f>IFERROR(ROUNDDOWN((VLOOKUP($C250,装備品!$1:$998,COLUMN(I$1),FALSE)+IFERROR(VLOOKUP($CI250,付与!$1:$1167,COLUMN(K$1),FALSE),0))*VLOOKUP($D250,素材!$1:$1016,COLUMN($E$1),FALSE),0),"")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IFERROR(VLOOKUP($C250,装備品!$1:$998,COLUMN(AA$1),FALSE)*VLOOKUP($D250,素材!$1:$1016,COLUMN($G$1),FALSE),"")</f>
        <v>70</v>
      </c>
      <c r="N250">
        <f>IFERROR(VLOOKUP($C250,装備品!$1:$998,COLUMN(I$1),FALSE),"")</f>
        <v>0</v>
      </c>
      <c r="O250" s="23">
        <f>IFERROR((VLOOKUP($C250,装備品!$1:$998,COLUMN(K$1),FALSE)+VLOOKUP($D250,素材!$1:$1016,COLUMN(H$1),FALSE))*100+IFERROR(VLOOKUP($CI250,付与!$1:$1167,COLUMN(O$1),FALSE),0),"")</f>
        <v>5</v>
      </c>
      <c r="P250" s="23">
        <f>IFERROR((VLOOKUP($C250,装備品!$1:$998,COLUMN(L$1),FALSE)+VLOOKUP($D250,素材!$1:$1016,COLUMN(I$1),FALSE))*100+IFERROR(VLOOKUP($CI250,付与!$1:$1167,COLUMN(P$1),FALSE),0),"")</f>
        <v>175</v>
      </c>
      <c r="Q250">
        <f>IFERROR(ROUNDUP(VLOOKUP($C250,装備品!$1:$998,COLUMN(M$1),FALSE)*(VLOOKUP($D250,素材!$1:$1002,COLUMN(D$1),FALSE)/100),1),"")</f>
        <v>-2.5</v>
      </c>
      <c r="R250">
        <f>IFERROR(ROUNDUP(VLOOKUP($C250,装備品!$1:$998,COLUMN(N$1),FALSE)*(VLOOKUP($D250,素材!$1:$1002,COLUMN(D$1),FALSE)/100),1),"")</f>
        <v>0</v>
      </c>
      <c r="S250">
        <f>IFERROR(VLOOKUP($C250,装備品!$1:$998,COLUMN(P$1),FALSE),"")</f>
        <v>0</v>
      </c>
      <c r="T250">
        <f>IFERROR(VLOOKUP($C250,装備品!$1:$998,COLUMN(Q$1),FALSE),"")</f>
        <v>0</v>
      </c>
      <c r="U250">
        <f>IFERROR(VLOOKUP($C250,装備品!$1:$998,COLUMN(R$1),FALSE),"")</f>
        <v>0</v>
      </c>
      <c r="V250">
        <f>IFERROR(VLOOKUP($C250,装備品!$1:$998,COLUMN(Q$1),FALSE),"")</f>
        <v>0</v>
      </c>
      <c r="W250">
        <f>IFERROR(VLOOKUP($C250,装備品!$1:$998,COLUMN(T$1),FALSE),"")</f>
        <v>0</v>
      </c>
      <c r="Y250">
        <f>IFERROR(VLOOKUP($C250,装備品!$1:$998,COLUMN(U$1),FALSE),"")</f>
        <v>0</v>
      </c>
      <c r="Z250">
        <f>IFERROR(ROUNDUP(VLOOKUP($C250,装備品!$1:$998,COLUMN(O$1),FALSE)*VLOOKUP($D250,素材!$1:$1016,COLUMN(E$1),FALSE),1),"")</f>
        <v>0</v>
      </c>
      <c r="AA250">
        <f>IF(ISNUMBER(SEARCH(SUBSTITUTE(AA$1,RIGHT(AA$1,2),""),VLOOKUP($D250,素材!$1:$1016,COLUMN($F$1),FALSE))),VLOOKUP($C250,装備品!$1:$998,COLUMN($O$1),FALSE)*VLOOKUP($D250,素材!$1:$1016,COLUMN($E$1),FALSE)/(LEN(VLOOKUP($D250,素材!$1:$1016,COLUMN($F$1),FALSE))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IFERROR(VLOOKUP($C250,装備品!$1:$998,COLUMN(V$1),FALSE)*VLOOKUP($D250,素材!$1:$1016,COLUMN(N$1),FALSE)+IF(CI250="",0,VLOOKUP($CI250,付与!$1:$1176,COLUMN($CK$1),FALSE)),"")</f>
        <v>0</v>
      </c>
      <c r="CO250">
        <f>VLOOKUP(D250,素材!$A:$O,COLUMN(素材!O$1),FALSE)</f>
        <v>0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IFERROR(VLOOKUP($D251,素材!$1:$1016,COLUMN($B$1),FALSE)&amp;"・"&amp;VLOOKUP($C251,装備品!$1:$998,COLUMN(B$1),FALSE),"")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IFERROR(VLOOKUP(C251,装備品!$1:$998,COLUMN(C$1),FALSE),"")</f>
        <v>武器</v>
      </c>
      <c r="F251">
        <f>IFERROR(ROUNDDOWN((VLOOKUP($C251,装備品!$1:$998,COLUMN(D$1),FALSE)+IFERROR(VLOOKUP($CI251,付与!$1:$1167,COLUMN(F$1),FALSE),0))*VLOOKUP($D251,素材!$1:$1016,COLUMN(D$1),FALSE),0),"")</f>
        <v>105</v>
      </c>
      <c r="G251">
        <f>IFERROR(ROUNDDOWN((VLOOKUP($C251,装備品!$1:$998,COLUMN(E$1),FALSE)+IFERROR(VLOOKUP($CI251,付与!$1:$1167,COLUMN(G$1),FALSE),0))*VLOOKUP($D251,素材!$1:$1016,COLUMN($E$1),FALSE),0),"")</f>
        <v>18</v>
      </c>
      <c r="H251">
        <f>IFERROR(ROUNDDOWN((VLOOKUP($C251,装備品!$1:$998,COLUMN(F$1),FALSE)+IFERROR(VLOOKUP($CI251,付与!$1:$1167,COLUMN(H$1),FALSE),0))*VLOOKUP($D251,素材!$1:$1016,COLUMN($E$1),FALSE),0),"")</f>
        <v>0</v>
      </c>
      <c r="I251">
        <f>IFERROR(ROUNDDOWN((VLOOKUP($C251,装備品!$1:$998,COLUMN(G$1),FALSE)+IFERROR(VLOOKUP($CI251,付与!$1:$1167,COLUMN(I$1),FALSE),0))*VLOOKUP($D251,素材!$1:$1016,COLUMN($E$1),FALSE),0),"")</f>
        <v>4</v>
      </c>
      <c r="J251">
        <f>IFERROR(ROUNDDOWN((VLOOKUP($C251,装備品!$1:$998,COLUMN(H$1),FALSE)+IFERROR(VLOOKUP($CI251,付与!$1:$1167,COLUMN(J$1),FALSE),0))*VLOOKUP($D251,素材!$1:$1016,COLUMN($E$1),FALSE),0),"")</f>
        <v>11</v>
      </c>
      <c r="K251">
        <f>IFERROR(ROUNDDOWN((VLOOKUP($C251,装備品!$1:$998,COLUMN(I$1),FALSE)+IFERROR(VLOOKUP($CI251,付与!$1:$1167,COLUMN(K$1),FALSE),0))*VLOOKUP($D251,素材!$1:$1016,COLUMN($E$1),FALSE),0),"")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IFERROR(VLOOKUP($C251,装備品!$1:$998,COLUMN(AA$1),FALSE)*VLOOKUP($D251,素材!$1:$1016,COLUMN($G$1),FALSE),"")</f>
        <v>87.5</v>
      </c>
      <c r="N251">
        <f>IFERROR(VLOOKUP($C251,装備品!$1:$998,COLUMN(I$1),FALSE),"")</f>
        <v>0</v>
      </c>
      <c r="O251" s="23">
        <f>IFERROR((VLOOKUP($C251,装備品!$1:$998,COLUMN(K$1),FALSE)+VLOOKUP($D251,素材!$1:$1016,COLUMN(H$1),FALSE))*100+IFERROR(VLOOKUP($CI251,付与!$1:$1167,COLUMN(O$1),FALSE),0),"")</f>
        <v>10</v>
      </c>
      <c r="P251" s="23">
        <f>IFERROR((VLOOKUP($C251,装備品!$1:$998,COLUMN(L$1),FALSE)+VLOOKUP($D251,素材!$1:$1016,COLUMN(I$1),FALSE))*100+IFERROR(VLOOKUP($CI251,付与!$1:$1167,COLUMN(P$1),FALSE),0),"")</f>
        <v>150</v>
      </c>
      <c r="Q251">
        <f>IFERROR(ROUNDUP(VLOOKUP($C251,装備品!$1:$998,COLUMN(M$1),FALSE)*(VLOOKUP($D251,素材!$1:$1002,COLUMN(D$1),FALSE)/100),1),"")</f>
        <v>0</v>
      </c>
      <c r="R251">
        <f>IFERROR(ROUNDUP(VLOOKUP($C251,装備品!$1:$998,COLUMN(N$1),FALSE)*(VLOOKUP($D251,素材!$1:$1002,COLUMN(D$1),FALSE)/100),1),"")</f>
        <v>0</v>
      </c>
      <c r="S251">
        <f>IFERROR(VLOOKUP($C251,装備品!$1:$998,COLUMN(P$1),FALSE),"")</f>
        <v>0</v>
      </c>
      <c r="T251">
        <f>IFERROR(VLOOKUP($C251,装備品!$1:$998,COLUMN(Q$1),FALSE),"")</f>
        <v>0</v>
      </c>
      <c r="U251">
        <f>IFERROR(VLOOKUP($C251,装備品!$1:$998,COLUMN(R$1),FALSE),"")</f>
        <v>0</v>
      </c>
      <c r="V251">
        <f>IFERROR(VLOOKUP($C251,装備品!$1:$998,COLUMN(Q$1),FALSE),"")</f>
        <v>0</v>
      </c>
      <c r="W251">
        <f>IFERROR(VLOOKUP($C251,装備品!$1:$998,COLUMN(T$1),FALSE),"")</f>
        <v>0</v>
      </c>
      <c r="Y251">
        <f>IFERROR(VLOOKUP($C251,装備品!$1:$998,COLUMN(U$1),FALSE),"")</f>
        <v>1</v>
      </c>
      <c r="Z251">
        <f>IFERROR(ROUNDUP(VLOOKUP($C251,装備品!$1:$998,COLUMN(O$1),FALSE)*VLOOKUP($D251,素材!$1:$1016,COLUMN(E$1),FALSE),1),"")</f>
        <v>0</v>
      </c>
      <c r="AA251">
        <f>IF(ISNUMBER(SEARCH(SUBSTITUTE(AA$1,RIGHT(AA$1,2),""),VLOOKUP($D251,素材!$1:$1016,COLUMN($F$1),FALSE))),VLOOKUP($C251,装備品!$1:$998,COLUMN($O$1),FALSE)*VLOOKUP($D251,素材!$1:$1016,COLUMN($E$1),FALSE)/(LEN(VLOOKUP($D251,素材!$1:$1016,COLUMN($F$1),FALSE))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IFERROR(VLOOKUP($C251,装備品!$1:$998,COLUMN(V$1),FALSE)*VLOOKUP($D251,素材!$1:$1016,COLUMN(N$1),FALSE)+IF(CI251="",0,VLOOKUP($CI251,付与!$1:$1176,COLUMN($CK$1),FALSE)),"")</f>
        <v>0</v>
      </c>
      <c r="CO251">
        <f>VLOOKUP(D251,素材!$A:$O,COLUMN(素材!O$1),FALSE)</f>
        <v>0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IFERROR(VLOOKUP($D252,素材!$1:$1016,COLUMN($B$1),FALSE)&amp;"・"&amp;VLOOKUP($C252,装備品!$1:$998,COLUMN(B$1),FALSE),"")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IFERROR(VLOOKUP(C252,装備品!$1:$998,COLUMN(C$1),FALSE),"")</f>
        <v>盾</v>
      </c>
      <c r="F252">
        <f>IFERROR(ROUNDDOWN((VLOOKUP($C252,装備品!$1:$998,COLUMN(D$1),FALSE)+IFERROR(VLOOKUP($CI252,付与!$1:$1167,COLUMN(F$1),FALSE),0))*VLOOKUP($D252,素材!$1:$1016,COLUMN(D$1),FALSE),0),"")</f>
        <v>100</v>
      </c>
      <c r="G252">
        <f>IFERROR(ROUNDDOWN((VLOOKUP($C252,装備品!$1:$998,COLUMN(E$1),FALSE)+IFERROR(VLOOKUP($CI252,付与!$1:$1167,COLUMN(G$1),FALSE),0))*VLOOKUP($D252,素材!$1:$1016,COLUMN($E$1),FALSE),0),"")</f>
        <v>8</v>
      </c>
      <c r="H252">
        <f>IFERROR(ROUNDDOWN((VLOOKUP($C252,装備品!$1:$998,COLUMN(F$1),FALSE)+IFERROR(VLOOKUP($CI252,付与!$1:$1167,COLUMN(H$1),FALSE),0))*VLOOKUP($D252,素材!$1:$1016,COLUMN($E$1),FALSE),0),"")</f>
        <v>0</v>
      </c>
      <c r="I252">
        <f>IFERROR(ROUNDDOWN((VLOOKUP($C252,装備品!$1:$998,COLUMN(G$1),FALSE)+IFERROR(VLOOKUP($CI252,付与!$1:$1167,COLUMN(I$1),FALSE),0))*VLOOKUP($D252,素材!$1:$1016,COLUMN($E$1),FALSE),0),"")</f>
        <v>8</v>
      </c>
      <c r="J252">
        <f>IFERROR(ROUNDDOWN((VLOOKUP($C252,装備品!$1:$998,COLUMN(H$1),FALSE)+IFERROR(VLOOKUP($CI252,付与!$1:$1167,COLUMN(J$1),FALSE),0))*VLOOKUP($D252,素材!$1:$1016,COLUMN($E$1),FALSE),0),"")</f>
        <v>23</v>
      </c>
      <c r="K252">
        <f>IFERROR(ROUNDDOWN((VLOOKUP($C252,装備品!$1:$998,COLUMN(I$1),FALSE)+IFERROR(VLOOKUP($CI252,付与!$1:$1167,COLUMN(K$1),FALSE),0))*VLOOKUP($D252,素材!$1:$1016,COLUMN($E$1),FALSE),0),"")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IFERROR(VLOOKUP($C252,装備品!$1:$998,COLUMN(AA$1),FALSE)*VLOOKUP($D252,素材!$1:$1016,COLUMN($G$1),FALSE),"")</f>
        <v>52.5</v>
      </c>
      <c r="N252">
        <f>IFERROR(VLOOKUP($C252,装備品!$1:$998,COLUMN(I$1),FALSE),"")</f>
        <v>0</v>
      </c>
      <c r="O252" s="23">
        <f>IFERROR((VLOOKUP($C252,装備品!$1:$998,COLUMN(K$1),FALSE)+VLOOKUP($D252,素材!$1:$1016,COLUMN(H$1),FALSE))*100+IFERROR(VLOOKUP($CI252,付与!$1:$1167,COLUMN(O$1),FALSE),0),"")</f>
        <v>5</v>
      </c>
      <c r="P252" s="23">
        <f>IFERROR((VLOOKUP($C252,装備品!$1:$998,COLUMN(L$1),FALSE)+VLOOKUP($D252,素材!$1:$1016,COLUMN(I$1),FALSE))*100+IFERROR(VLOOKUP($CI252,付与!$1:$1167,COLUMN(P$1),FALSE),0),"")</f>
        <v>125</v>
      </c>
      <c r="Q252">
        <f>IFERROR(ROUNDUP(VLOOKUP($C252,装備品!$1:$998,COLUMN(M$1),FALSE)*(VLOOKUP($D252,素材!$1:$1002,COLUMN(D$1),FALSE)/100),1),"")</f>
        <v>0</v>
      </c>
      <c r="R252">
        <f>IFERROR(ROUNDUP(VLOOKUP($C252,装備品!$1:$998,COLUMN(N$1),FALSE)*(VLOOKUP($D252,素材!$1:$1002,COLUMN(D$1),FALSE)/100),1),"")</f>
        <v>0</v>
      </c>
      <c r="S252">
        <f>IFERROR(VLOOKUP($C252,装備品!$1:$998,COLUMN(P$1),FALSE),"")</f>
        <v>0</v>
      </c>
      <c r="T252">
        <f>IFERROR(VLOOKUP($C252,装備品!$1:$998,COLUMN(Q$1),FALSE),"")</f>
        <v>0</v>
      </c>
      <c r="U252">
        <f>IFERROR(VLOOKUP($C252,装備品!$1:$998,COLUMN(R$1),FALSE),"")</f>
        <v>0</v>
      </c>
      <c r="V252">
        <f>IFERROR(VLOOKUP($C252,装備品!$1:$998,COLUMN(Q$1),FALSE),"")</f>
        <v>0</v>
      </c>
      <c r="W252">
        <f>IFERROR(VLOOKUP($C252,装備品!$1:$998,COLUMN(T$1),FALSE),"")</f>
        <v>0</v>
      </c>
      <c r="Y252">
        <f>IFERROR(VLOOKUP($C252,装備品!$1:$998,COLUMN(U$1),FALSE),"")</f>
        <v>0</v>
      </c>
      <c r="Z252">
        <f>IFERROR(ROUNDUP(VLOOKUP($C252,装備品!$1:$998,COLUMN(O$1),FALSE)*VLOOKUP($D252,素材!$1:$1016,COLUMN(E$1),FALSE),1),"")</f>
        <v>0</v>
      </c>
      <c r="AA252">
        <f>IF(ISNUMBER(SEARCH(SUBSTITUTE(AA$1,RIGHT(AA$1,2),""),VLOOKUP($D252,素材!$1:$1016,COLUMN($F$1),FALSE))),VLOOKUP($C252,装備品!$1:$998,COLUMN($O$1),FALSE)*VLOOKUP($D252,素材!$1:$1016,COLUMN($E$1),FALSE)/(LEN(VLOOKUP($D252,素材!$1:$1016,COLUMN($F$1),FALSE))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IFERROR(VLOOKUP($C252,装備品!$1:$998,COLUMN(V$1),FALSE)*VLOOKUP($D252,素材!$1:$1016,COLUMN(N$1),FALSE)+IF(CI252="",0,VLOOKUP($CI252,付与!$1:$1176,COLUMN($CK$1),FALSE)),"")</f>
        <v>0</v>
      </c>
      <c r="CO252">
        <f>VLOOKUP(D252,素材!$A:$O,COLUMN(素材!O$1),FALSE)</f>
        <v>0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IFERROR(VLOOKUP($D253,素材!$1:$1016,COLUMN($B$1),FALSE)&amp;"・"&amp;VLOOKUP($C253,装備品!$1:$998,COLUMN(B$1),FALSE),"")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IFERROR(VLOOKUP(C253,装備品!$1:$998,COLUMN(C$1),FALSE),"")</f>
        <v>盾</v>
      </c>
      <c r="F253">
        <f>IFERROR(ROUNDDOWN((VLOOKUP($C253,装備品!$1:$998,COLUMN(D$1),FALSE)+IFERROR(VLOOKUP($CI253,付与!$1:$1167,COLUMN(F$1),FALSE),0))*VLOOKUP($D253,素材!$1:$1016,COLUMN(D$1),FALSE),0),"")</f>
        <v>100</v>
      </c>
      <c r="G253">
        <f>IFERROR(ROUNDDOWN((VLOOKUP($C253,装備品!$1:$998,COLUMN(E$1),FALSE)+IFERROR(VLOOKUP($CI253,付与!$1:$1167,COLUMN(G$1),FALSE),0))*VLOOKUP($D253,素材!$1:$1016,COLUMN($E$1),FALSE),0),"")</f>
        <v>0</v>
      </c>
      <c r="H253">
        <f>IFERROR(ROUNDDOWN((VLOOKUP($C253,装備品!$1:$998,COLUMN(F$1),FALSE)+IFERROR(VLOOKUP($CI253,付与!$1:$1167,COLUMN(H$1),FALSE),0))*VLOOKUP($D253,素材!$1:$1016,COLUMN($E$1),FALSE),0),"")</f>
        <v>0</v>
      </c>
      <c r="I253">
        <f>IFERROR(ROUNDDOWN((VLOOKUP($C253,装備品!$1:$998,COLUMN(G$1),FALSE)+IFERROR(VLOOKUP($CI253,付与!$1:$1167,COLUMN(I$1),FALSE),0))*VLOOKUP($D253,素材!$1:$1016,COLUMN($E$1),FALSE),0),"")</f>
        <v>16</v>
      </c>
      <c r="J253">
        <f>IFERROR(ROUNDDOWN((VLOOKUP($C253,装備品!$1:$998,COLUMN(H$1),FALSE)+IFERROR(VLOOKUP($CI253,付与!$1:$1167,COLUMN(J$1),FALSE),0))*VLOOKUP($D253,素材!$1:$1016,COLUMN($E$1),FALSE),0),"")</f>
        <v>25</v>
      </c>
      <c r="K253">
        <f>IFERROR(ROUNDDOWN((VLOOKUP($C253,装備品!$1:$998,COLUMN(I$1),FALSE)+IFERROR(VLOOKUP($CI253,付与!$1:$1167,COLUMN(K$1),FALSE),0))*VLOOKUP($D253,素材!$1:$1016,COLUMN($E$1),FALSE),0),"")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IFERROR(VLOOKUP($C253,装備品!$1:$998,COLUMN(AA$1),FALSE)*VLOOKUP($D253,素材!$1:$1016,COLUMN($G$1),FALSE),"")</f>
        <v>52.5</v>
      </c>
      <c r="N253">
        <f>IFERROR(VLOOKUP($C253,装備品!$1:$998,COLUMN(I$1),FALSE),"")</f>
        <v>0</v>
      </c>
      <c r="O253" s="23">
        <f>IFERROR((VLOOKUP($C253,装備品!$1:$998,COLUMN(K$1),FALSE)+VLOOKUP($D253,素材!$1:$1016,COLUMN(H$1),FALSE))*100+IFERROR(VLOOKUP($CI253,付与!$1:$1167,COLUMN(O$1),FALSE),0),"")</f>
        <v>5</v>
      </c>
      <c r="P253" s="23">
        <f>IFERROR((VLOOKUP($C253,装備品!$1:$998,COLUMN(L$1),FALSE)+VLOOKUP($D253,素材!$1:$1016,COLUMN(I$1),FALSE))*100+IFERROR(VLOOKUP($CI253,付与!$1:$1167,COLUMN(P$1),FALSE),0),"")</f>
        <v>125</v>
      </c>
      <c r="Q253">
        <f>IFERROR(ROUNDUP(VLOOKUP($C253,装備品!$1:$998,COLUMN(M$1),FALSE)*(VLOOKUP($D253,素材!$1:$1002,COLUMN(D$1),FALSE)/100),1),"")</f>
        <v>0</v>
      </c>
      <c r="R253">
        <f>IFERROR(ROUNDUP(VLOOKUP($C253,装備品!$1:$998,COLUMN(N$1),FALSE)*(VLOOKUP($D253,素材!$1:$1002,COLUMN(D$1),FALSE)/100),1),"")</f>
        <v>0</v>
      </c>
      <c r="S253">
        <f>IFERROR(VLOOKUP($C253,装備品!$1:$998,COLUMN(P$1),FALSE),"")</f>
        <v>0</v>
      </c>
      <c r="T253">
        <f>IFERROR(VLOOKUP($C253,装備品!$1:$998,COLUMN(Q$1),FALSE),"")</f>
        <v>0</v>
      </c>
      <c r="U253">
        <f>IFERROR(VLOOKUP($C253,装備品!$1:$998,COLUMN(R$1),FALSE),"")</f>
        <v>0</v>
      </c>
      <c r="V253">
        <f>IFERROR(VLOOKUP($C253,装備品!$1:$998,COLUMN(Q$1),FALSE),"")</f>
        <v>0</v>
      </c>
      <c r="W253">
        <f>IFERROR(VLOOKUP($C253,装備品!$1:$998,COLUMN(T$1),FALSE),"")</f>
        <v>0</v>
      </c>
      <c r="Y253">
        <f>IFERROR(VLOOKUP($C253,装備品!$1:$998,COLUMN(U$1),FALSE),"")</f>
        <v>0</v>
      </c>
      <c r="Z253">
        <f>IFERROR(ROUNDUP(VLOOKUP($C253,装備品!$1:$998,COLUMN(O$1),FALSE)*VLOOKUP($D253,素材!$1:$1016,COLUMN(E$1),FALSE),1),"")</f>
        <v>0</v>
      </c>
      <c r="AA253">
        <f>IF(ISNUMBER(SEARCH(SUBSTITUTE(AA$1,RIGHT(AA$1,2),""),VLOOKUP($D253,素材!$1:$1016,COLUMN($F$1),FALSE))),VLOOKUP($C253,装備品!$1:$998,COLUMN($O$1),FALSE)*VLOOKUP($D253,素材!$1:$1016,COLUMN($E$1),FALSE)/(LEN(VLOOKUP($D253,素材!$1:$1016,COLUMN($F$1),FALSE))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IFERROR(VLOOKUP($C253,装備品!$1:$998,COLUMN(V$1),FALSE)*VLOOKUP($D253,素材!$1:$1016,COLUMN(N$1),FALSE)+IF(CI253="",0,VLOOKUP($CI253,付与!$1:$1176,COLUMN($CK$1),FALSE)),"")</f>
        <v>0</v>
      </c>
      <c r="CO253">
        <f>VLOOKUP(D253,素材!$A:$O,COLUMN(素材!O$1),FALSE)</f>
        <v>0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IFERROR(VLOOKUP($D254,素材!$1:$1016,COLUMN($B$1),FALSE)&amp;"・"&amp;VLOOKUP($C254,装備品!$1:$998,COLUMN(B$1),FALSE),"")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IFERROR(VLOOKUP(C254,装備品!$1:$998,COLUMN(C$1),FALSE),"")</f>
        <v>盾</v>
      </c>
      <c r="F254">
        <f>IFERROR(ROUNDDOWN((VLOOKUP($C254,装備品!$1:$998,COLUMN(D$1),FALSE)+IFERROR(VLOOKUP($CI254,付与!$1:$1167,COLUMN(F$1),FALSE),0))*VLOOKUP($D254,素材!$1:$1016,COLUMN(D$1),FALSE),0),"")</f>
        <v>110</v>
      </c>
      <c r="G254">
        <f>IFERROR(ROUNDDOWN((VLOOKUP($C254,装備品!$1:$998,COLUMN(E$1),FALSE)+IFERROR(VLOOKUP($CI254,付与!$1:$1167,COLUMN(G$1),FALSE),0))*VLOOKUP($D254,素材!$1:$1016,COLUMN($E$1),FALSE),0),"")</f>
        <v>9</v>
      </c>
      <c r="H254">
        <f>IFERROR(ROUNDDOWN((VLOOKUP($C254,装備品!$1:$998,COLUMN(F$1),FALSE)+IFERROR(VLOOKUP($CI254,付与!$1:$1167,COLUMN(H$1),FALSE),0))*VLOOKUP($D254,素材!$1:$1016,COLUMN($E$1),FALSE),0),"")</f>
        <v>0</v>
      </c>
      <c r="I254">
        <f>IFERROR(ROUNDDOWN((VLOOKUP($C254,装備品!$1:$998,COLUMN(G$1),FALSE)+IFERROR(VLOOKUP($CI254,付与!$1:$1167,COLUMN(I$1),FALSE),0))*VLOOKUP($D254,素材!$1:$1016,COLUMN($E$1),FALSE),0),"")</f>
        <v>9</v>
      </c>
      <c r="J254">
        <f>IFERROR(ROUNDDOWN((VLOOKUP($C254,装備品!$1:$998,COLUMN(H$1),FALSE)+IFERROR(VLOOKUP($CI254,付与!$1:$1167,COLUMN(J$1),FALSE),0))*VLOOKUP($D254,素材!$1:$1016,COLUMN($E$1),FALSE),0),"")</f>
        <v>25</v>
      </c>
      <c r="K254">
        <f>IFERROR(ROUNDDOWN((VLOOKUP($C254,装備品!$1:$998,COLUMN(I$1),FALSE)+IFERROR(VLOOKUP($CI254,付与!$1:$1167,COLUMN(K$1),FALSE),0))*VLOOKUP($D254,素材!$1:$1016,COLUMN($E$1),FALSE),0),"")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IFERROR(VLOOKUP($C254,装備品!$1:$998,COLUMN(AA$1),FALSE)*VLOOKUP($D254,素材!$1:$1016,COLUMN($G$1),FALSE),"")</f>
        <v>70</v>
      </c>
      <c r="N254">
        <f>IFERROR(VLOOKUP($C254,装備品!$1:$998,COLUMN(I$1),FALSE),"")</f>
        <v>0</v>
      </c>
      <c r="O254" s="23">
        <f>IFERROR((VLOOKUP($C254,装備品!$1:$998,COLUMN(K$1),FALSE)+VLOOKUP($D254,素材!$1:$1016,COLUMN(H$1),FALSE))*100+IFERROR(VLOOKUP($CI254,付与!$1:$1167,COLUMN(O$1),FALSE),0),"")</f>
        <v>5</v>
      </c>
      <c r="P254" s="23">
        <f>IFERROR((VLOOKUP($C254,装備品!$1:$998,COLUMN(L$1),FALSE)+VLOOKUP($D254,素材!$1:$1016,COLUMN(I$1),FALSE))*100+IFERROR(VLOOKUP($CI254,付与!$1:$1167,COLUMN(P$1),FALSE),0),"")</f>
        <v>125</v>
      </c>
      <c r="Q254">
        <f>IFERROR(ROUNDUP(VLOOKUP($C254,装備品!$1:$998,COLUMN(M$1),FALSE)*(VLOOKUP($D254,素材!$1:$1002,COLUMN(D$1),FALSE)/100),1),"")</f>
        <v>-5</v>
      </c>
      <c r="R254">
        <f>IFERROR(ROUNDUP(VLOOKUP($C254,装備品!$1:$998,COLUMN(N$1),FALSE)*(VLOOKUP($D254,素材!$1:$1002,COLUMN(D$1),FALSE)/100),1),"")</f>
        <v>0</v>
      </c>
      <c r="S254">
        <f>IFERROR(VLOOKUP($C254,装備品!$1:$998,COLUMN(P$1),FALSE),"")</f>
        <v>0</v>
      </c>
      <c r="T254">
        <f>IFERROR(VLOOKUP($C254,装備品!$1:$998,COLUMN(Q$1),FALSE),"")</f>
        <v>0</v>
      </c>
      <c r="U254">
        <f>IFERROR(VLOOKUP($C254,装備品!$1:$998,COLUMN(R$1),FALSE),"")</f>
        <v>0</v>
      </c>
      <c r="V254">
        <f>IFERROR(VLOOKUP($C254,装備品!$1:$998,COLUMN(Q$1),FALSE),"")</f>
        <v>0</v>
      </c>
      <c r="W254">
        <f>IFERROR(VLOOKUP($C254,装備品!$1:$998,COLUMN(T$1),FALSE),"")</f>
        <v>0</v>
      </c>
      <c r="Y254">
        <f>IFERROR(VLOOKUP($C254,装備品!$1:$998,COLUMN(U$1),FALSE),"")</f>
        <v>0</v>
      </c>
      <c r="Z254">
        <f>IFERROR(ROUNDUP(VLOOKUP($C254,装備品!$1:$998,COLUMN(O$1),FALSE)*VLOOKUP($D254,素材!$1:$1016,COLUMN(E$1),FALSE),1),"")</f>
        <v>0</v>
      </c>
      <c r="AA254">
        <f>IF(ISNUMBER(SEARCH(SUBSTITUTE(AA$1,RIGHT(AA$1,2),""),VLOOKUP($D254,素材!$1:$1016,COLUMN($F$1),FALSE))),VLOOKUP($C254,装備品!$1:$998,COLUMN($O$1),FALSE)*VLOOKUP($D254,素材!$1:$1016,COLUMN($E$1),FALSE)/(LEN(VLOOKUP($D254,素材!$1:$1016,COLUMN($F$1),FALSE))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IFERROR(VLOOKUP($C254,装備品!$1:$998,COLUMN(V$1),FALSE)*VLOOKUP($D254,素材!$1:$1016,COLUMN(N$1),FALSE)+IF(CI254="",0,VLOOKUP($CI254,付与!$1:$1176,COLUMN($CK$1),FALSE)),"")</f>
        <v>0</v>
      </c>
      <c r="CO254">
        <f>VLOOKUP(D254,素材!$A:$O,COLUMN(素材!O$1),FALSE)</f>
        <v>0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IFERROR(VLOOKUP($D255,素材!$1:$1016,COLUMN($B$1),FALSE)&amp;"・"&amp;VLOOKUP($C255,装備品!$1:$998,COLUMN(B$1),FALSE),"")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IFERROR(VLOOKUP(C255,装備品!$1:$998,COLUMN(C$1),FALSE),"")</f>
        <v>盾</v>
      </c>
      <c r="F255">
        <f>IFERROR(ROUNDDOWN((VLOOKUP($C255,装備品!$1:$998,COLUMN(D$1),FALSE)+IFERROR(VLOOKUP($CI255,付与!$1:$1167,COLUMN(F$1),FALSE),0))*VLOOKUP($D255,素材!$1:$1016,COLUMN(D$1),FALSE),0),"")</f>
        <v>115</v>
      </c>
      <c r="G255">
        <f>IFERROR(ROUNDDOWN((VLOOKUP($C255,装備品!$1:$998,COLUMN(E$1),FALSE)+IFERROR(VLOOKUP($CI255,付与!$1:$1167,COLUMN(G$1),FALSE),0))*VLOOKUP($D255,素材!$1:$1016,COLUMN($E$1),FALSE),0),"")</f>
        <v>0</v>
      </c>
      <c r="H255">
        <f>IFERROR(ROUNDDOWN((VLOOKUP($C255,装備品!$1:$998,COLUMN(F$1),FALSE)+IFERROR(VLOOKUP($CI255,付与!$1:$1167,COLUMN(H$1),FALSE),0))*VLOOKUP($D255,素材!$1:$1016,COLUMN($E$1),FALSE),0),"")</f>
        <v>0</v>
      </c>
      <c r="I255">
        <f>IFERROR(ROUNDDOWN((VLOOKUP($C255,装備品!$1:$998,COLUMN(G$1),FALSE)+IFERROR(VLOOKUP($CI255,付与!$1:$1167,COLUMN(I$1),FALSE),0))*VLOOKUP($D255,素材!$1:$1016,COLUMN($E$1),FALSE),0),"")</f>
        <v>17</v>
      </c>
      <c r="J255">
        <f>IFERROR(ROUNDDOWN((VLOOKUP($C255,装備品!$1:$998,COLUMN(H$1),FALSE)+IFERROR(VLOOKUP($CI255,付与!$1:$1167,COLUMN(J$1),FALSE),0))*VLOOKUP($D255,素材!$1:$1016,COLUMN($E$1),FALSE),0),"")</f>
        <v>27</v>
      </c>
      <c r="K255">
        <f>IFERROR(ROUNDDOWN((VLOOKUP($C255,装備品!$1:$998,COLUMN(I$1),FALSE)+IFERROR(VLOOKUP($CI255,付与!$1:$1167,COLUMN(K$1),FALSE),0))*VLOOKUP($D255,素材!$1:$1016,COLUMN($E$1),FALSE),0),"")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IFERROR(VLOOKUP($C255,装備品!$1:$998,COLUMN(AA$1),FALSE)*VLOOKUP($D255,素材!$1:$1016,COLUMN($G$1),FALSE),"")</f>
        <v>70</v>
      </c>
      <c r="N255">
        <f>IFERROR(VLOOKUP($C255,装備品!$1:$998,COLUMN(I$1),FALSE),"")</f>
        <v>0</v>
      </c>
      <c r="O255" s="23">
        <f>IFERROR((VLOOKUP($C255,装備品!$1:$998,COLUMN(K$1),FALSE)+VLOOKUP($D255,素材!$1:$1016,COLUMN(H$1),FALSE))*100+IFERROR(VLOOKUP($CI255,付与!$1:$1167,COLUMN(O$1),FALSE),0),"")</f>
        <v>5</v>
      </c>
      <c r="P255" s="23">
        <f>IFERROR((VLOOKUP($C255,装備品!$1:$998,COLUMN(L$1),FALSE)+VLOOKUP($D255,素材!$1:$1016,COLUMN(I$1),FALSE))*100+IFERROR(VLOOKUP($CI255,付与!$1:$1167,COLUMN(P$1),FALSE),0),"")</f>
        <v>125</v>
      </c>
      <c r="Q255">
        <f>IFERROR(ROUNDUP(VLOOKUP($C255,装備品!$1:$998,COLUMN(M$1),FALSE)*(VLOOKUP($D255,素材!$1:$1002,COLUMN(D$1),FALSE)/100),1),"")</f>
        <v>-5</v>
      </c>
      <c r="R255">
        <f>IFERROR(ROUNDUP(VLOOKUP($C255,装備品!$1:$998,COLUMN(N$1),FALSE)*(VLOOKUP($D255,素材!$1:$1002,COLUMN(D$1),FALSE)/100),1),"")</f>
        <v>0</v>
      </c>
      <c r="S255">
        <f>IFERROR(VLOOKUP($C255,装備品!$1:$998,COLUMN(P$1),FALSE),"")</f>
        <v>0</v>
      </c>
      <c r="T255">
        <f>IFERROR(VLOOKUP($C255,装備品!$1:$998,COLUMN(Q$1),FALSE),"")</f>
        <v>0</v>
      </c>
      <c r="U255">
        <f>IFERROR(VLOOKUP($C255,装備品!$1:$998,COLUMN(R$1),FALSE),"")</f>
        <v>0</v>
      </c>
      <c r="V255">
        <f>IFERROR(VLOOKUP($C255,装備品!$1:$998,COLUMN(Q$1),FALSE),"")</f>
        <v>0</v>
      </c>
      <c r="W255">
        <f>IFERROR(VLOOKUP($C255,装備品!$1:$998,COLUMN(T$1),FALSE),"")</f>
        <v>0</v>
      </c>
      <c r="Y255">
        <f>IFERROR(VLOOKUP($C255,装備品!$1:$998,COLUMN(U$1),FALSE),"")</f>
        <v>0</v>
      </c>
      <c r="Z255">
        <f>IFERROR(ROUNDUP(VLOOKUP($C255,装備品!$1:$998,COLUMN(O$1),FALSE)*VLOOKUP($D255,素材!$1:$1016,COLUMN(E$1),FALSE),1),"")</f>
        <v>0</v>
      </c>
      <c r="AA255">
        <f>IF(ISNUMBER(SEARCH(SUBSTITUTE(AA$1,RIGHT(AA$1,2),""),VLOOKUP($D255,素材!$1:$1016,COLUMN($F$1),FALSE))),VLOOKUP($C255,装備品!$1:$998,COLUMN($O$1),FALSE)*VLOOKUP($D255,素材!$1:$1016,COLUMN($E$1),FALSE)/(LEN(VLOOKUP($D255,素材!$1:$1016,COLUMN($F$1),FALSE))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IFERROR(VLOOKUP($C255,装備品!$1:$998,COLUMN(V$1),FALSE)*VLOOKUP($D255,素材!$1:$1016,COLUMN(N$1),FALSE)+IF(CI255="",0,VLOOKUP($CI255,付与!$1:$1176,COLUMN($CK$1),FALSE)),"")</f>
        <v>0</v>
      </c>
      <c r="CO255">
        <f>VLOOKUP(D255,素材!$A:$O,COLUMN(素材!O$1),FALSE)</f>
        <v>0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IFERROR(VLOOKUP($D256,素材!$1:$1016,COLUMN($B$1),FALSE)&amp;"・"&amp;VLOOKUP($C256,装備品!$1:$998,COLUMN(B$1),FALSE),"")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IFERROR(VLOOKUP(C256,装備品!$1:$998,COLUMN(C$1),FALSE),"")</f>
        <v>武器</v>
      </c>
      <c r="F256">
        <f>IFERROR(ROUNDDOWN((VLOOKUP($C256,装備品!$1:$998,COLUMN(D$1),FALSE)+IFERROR(VLOOKUP($CI256,付与!$1:$1167,COLUMN(F$1),FALSE),0))*VLOOKUP($D256,素材!$1:$1016,COLUMN(D$1),FALSE),0),"")</f>
        <v>110</v>
      </c>
      <c r="G256">
        <f>IFERROR(ROUNDDOWN((VLOOKUP($C256,装備品!$1:$998,COLUMN(E$1),FALSE)+IFERROR(VLOOKUP($CI256,付与!$1:$1167,COLUMN(G$1),FALSE),0))*VLOOKUP($D256,素材!$1:$1016,COLUMN($E$1),FALSE),0),"")</f>
        <v>5</v>
      </c>
      <c r="H256">
        <f>IFERROR(ROUNDDOWN((VLOOKUP($C256,装備品!$1:$998,COLUMN(F$1),FALSE)+IFERROR(VLOOKUP($CI256,付与!$1:$1167,COLUMN(H$1),FALSE),0))*VLOOKUP($D256,素材!$1:$1016,COLUMN($E$1),FALSE),0),"")</f>
        <v>5</v>
      </c>
      <c r="I256">
        <f>IFERROR(ROUNDDOWN((VLOOKUP($C256,装備品!$1:$998,COLUMN(G$1),FALSE)+IFERROR(VLOOKUP($CI256,付与!$1:$1167,COLUMN(I$1),FALSE),0))*VLOOKUP($D256,素材!$1:$1016,COLUMN($E$1),FALSE),0),"")</f>
        <v>0</v>
      </c>
      <c r="J256">
        <f>IFERROR(ROUNDDOWN((VLOOKUP($C256,装備品!$1:$998,COLUMN(H$1),FALSE)+IFERROR(VLOOKUP($CI256,付与!$1:$1167,COLUMN(J$1),FALSE),0))*VLOOKUP($D256,素材!$1:$1016,COLUMN($E$1),FALSE),0),"")</f>
        <v>0</v>
      </c>
      <c r="K256">
        <f>IFERROR(ROUNDDOWN((VLOOKUP($C256,装備品!$1:$998,COLUMN(I$1),FALSE)+IFERROR(VLOOKUP($CI256,付与!$1:$1167,COLUMN(K$1),FALSE),0))*VLOOKUP($D256,素材!$1:$1016,COLUMN($E$1),FALSE),0),"")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IFERROR(VLOOKUP($C256,装備品!$1:$998,COLUMN(AA$1),FALSE)*VLOOKUP($D256,素材!$1:$1016,COLUMN($G$1),FALSE),"")</f>
        <v>52.5</v>
      </c>
      <c r="N256">
        <f>IFERROR(VLOOKUP($C256,装備品!$1:$998,COLUMN(I$1),FALSE),"")</f>
        <v>1</v>
      </c>
      <c r="O256" s="23">
        <f>IFERROR((VLOOKUP($C256,装備品!$1:$998,COLUMN(K$1),FALSE)+VLOOKUP($D256,素材!$1:$1016,COLUMN(H$1),FALSE))*100+IFERROR(VLOOKUP($CI256,付与!$1:$1167,COLUMN(O$1),FALSE),0),"")</f>
        <v>10</v>
      </c>
      <c r="P256" s="23">
        <f>IFERROR((VLOOKUP($C256,装備品!$1:$998,COLUMN(L$1),FALSE)+VLOOKUP($D256,素材!$1:$1016,COLUMN(I$1),FALSE))*100+IFERROR(VLOOKUP($CI256,付与!$1:$1167,COLUMN(P$1),FALSE),0),"")</f>
        <v>130</v>
      </c>
      <c r="Q256">
        <f>IFERROR(ROUNDUP(VLOOKUP($C256,装備品!$1:$998,COLUMN(M$1),FALSE)*(VLOOKUP($D256,素材!$1:$1002,COLUMN(D$1),FALSE)/100),1),"")</f>
        <v>-2.5</v>
      </c>
      <c r="R256">
        <f>IFERROR(ROUNDUP(VLOOKUP($C256,装備品!$1:$998,COLUMN(N$1),FALSE)*(VLOOKUP($D256,素材!$1:$1002,COLUMN(D$1),FALSE)/100),1),"")</f>
        <v>0</v>
      </c>
      <c r="S256">
        <f>IFERROR(VLOOKUP($C256,装備品!$1:$998,COLUMN(P$1),FALSE),"")</f>
        <v>0</v>
      </c>
      <c r="T256">
        <f>IFERROR(VLOOKUP($C256,装備品!$1:$998,COLUMN(Q$1),FALSE),"")</f>
        <v>0</v>
      </c>
      <c r="U256">
        <f>IFERROR(VLOOKUP($C256,装備品!$1:$998,COLUMN(R$1),FALSE),"")</f>
        <v>0</v>
      </c>
      <c r="V256">
        <f>IFERROR(VLOOKUP($C256,装備品!$1:$998,COLUMN(Q$1),FALSE),"")</f>
        <v>0</v>
      </c>
      <c r="W256">
        <f>IFERROR(VLOOKUP($C256,装備品!$1:$998,COLUMN(T$1),FALSE),"")</f>
        <v>0</v>
      </c>
      <c r="Y256">
        <f>IFERROR(VLOOKUP($C256,装備品!$1:$998,COLUMN(U$1),FALSE),"")</f>
        <v>2</v>
      </c>
      <c r="Z256">
        <f>IFERROR(ROUNDUP(VLOOKUP($C256,装備品!$1:$998,COLUMN(O$1),FALSE)*VLOOKUP($D256,素材!$1:$1016,COLUMN(E$1),FALSE),1),"")</f>
        <v>0</v>
      </c>
      <c r="AA256">
        <f>IF(ISNUMBER(SEARCH(SUBSTITUTE(AA$1,RIGHT(AA$1,2),""),VLOOKUP($D256,素材!$1:$1016,COLUMN($F$1),FALSE))),VLOOKUP($C256,装備品!$1:$998,COLUMN($O$1),FALSE)*VLOOKUP($D256,素材!$1:$1016,COLUMN($E$1),FALSE)/(LEN(VLOOKUP($D256,素材!$1:$1016,COLUMN($F$1),FALSE))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IFERROR(VLOOKUP($C256,装備品!$1:$998,COLUMN(V$1),FALSE)*VLOOKUP($D256,素材!$1:$1016,COLUMN(N$1),FALSE)+IF(CI256="",0,VLOOKUP($CI256,付与!$1:$1176,COLUMN($CK$1),FALSE)),"")</f>
        <v>0</v>
      </c>
      <c r="CO256">
        <f>VLOOKUP(D256,素材!$A:$O,COLUMN(素材!O$1),FALSE)</f>
        <v>0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IFERROR(VLOOKUP($D257,素材!$1:$1016,COLUMN($B$1),FALSE)&amp;"・"&amp;VLOOKUP($C257,装備品!$1:$998,COLUMN(B$1),FALSE),"")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IFERROR(VLOOKUP(C257,装備品!$1:$998,COLUMN(C$1),FALSE),"")</f>
        <v>武器</v>
      </c>
      <c r="F257">
        <f>IFERROR(ROUNDDOWN((VLOOKUP($C257,装備品!$1:$998,COLUMN(D$1),FALSE)+IFERROR(VLOOKUP($CI257,付与!$1:$1167,COLUMN(F$1),FALSE),0))*VLOOKUP($D257,素材!$1:$1016,COLUMN(D$1),FALSE),0),"")</f>
        <v>120</v>
      </c>
      <c r="G257">
        <f>IFERROR(ROUNDDOWN((VLOOKUP($C257,装備品!$1:$998,COLUMN(E$1),FALSE)+IFERROR(VLOOKUP($CI257,付与!$1:$1167,COLUMN(G$1),FALSE),0))*VLOOKUP($D257,素材!$1:$1016,COLUMN($E$1),FALSE),0),"")</f>
        <v>5</v>
      </c>
      <c r="H257">
        <f>IFERROR(ROUNDDOWN((VLOOKUP($C257,装備品!$1:$998,COLUMN(F$1),FALSE)+IFERROR(VLOOKUP($CI257,付与!$1:$1167,COLUMN(H$1),FALSE),0))*VLOOKUP($D257,素材!$1:$1016,COLUMN($E$1),FALSE),0),"")</f>
        <v>5</v>
      </c>
      <c r="I257">
        <f>IFERROR(ROUNDDOWN((VLOOKUP($C257,装備品!$1:$998,COLUMN(G$1),FALSE)+IFERROR(VLOOKUP($CI257,付与!$1:$1167,COLUMN(I$1),FALSE),0))*VLOOKUP($D257,素材!$1:$1016,COLUMN($E$1),FALSE),0),"")</f>
        <v>0</v>
      </c>
      <c r="J257">
        <f>IFERROR(ROUNDDOWN((VLOOKUP($C257,装備品!$1:$998,COLUMN(H$1),FALSE)+IFERROR(VLOOKUP($CI257,付与!$1:$1167,COLUMN(J$1),FALSE),0))*VLOOKUP($D257,素材!$1:$1016,COLUMN($E$1),FALSE),0),"")</f>
        <v>0</v>
      </c>
      <c r="K257">
        <f>IFERROR(ROUNDDOWN((VLOOKUP($C257,装備品!$1:$998,COLUMN(I$1),FALSE)+IFERROR(VLOOKUP($CI257,付与!$1:$1167,COLUMN(K$1),FALSE),0))*VLOOKUP($D257,素材!$1:$1016,COLUMN($E$1),FALSE),0),"")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IFERROR(VLOOKUP($C257,装備品!$1:$998,COLUMN(AA$1),FALSE)*VLOOKUP($D257,素材!$1:$1016,COLUMN($G$1),FALSE),"")</f>
        <v>70</v>
      </c>
      <c r="N257">
        <f>IFERROR(VLOOKUP($C257,装備品!$1:$998,COLUMN(I$1),FALSE),"")</f>
        <v>1.1499999999999999</v>
      </c>
      <c r="O257" s="23">
        <f>IFERROR((VLOOKUP($C257,装備品!$1:$998,COLUMN(K$1),FALSE)+VLOOKUP($D257,素材!$1:$1016,COLUMN(H$1),FALSE))*100+IFERROR(VLOOKUP($CI257,付与!$1:$1167,COLUMN(O$1),FALSE),0),"")</f>
        <v>10</v>
      </c>
      <c r="P257" s="23">
        <f>IFERROR((VLOOKUP($C257,装備品!$1:$998,COLUMN(L$1),FALSE)+VLOOKUP($D257,素材!$1:$1016,COLUMN(I$1),FALSE))*100+IFERROR(VLOOKUP($CI257,付与!$1:$1167,COLUMN(P$1),FALSE),0),"")</f>
        <v>130</v>
      </c>
      <c r="Q257">
        <f>IFERROR(ROUNDUP(VLOOKUP($C257,装備品!$1:$998,COLUMN(M$1),FALSE)*(VLOOKUP($D257,素材!$1:$1002,COLUMN(D$1),FALSE)/100),1),"")</f>
        <v>-5</v>
      </c>
      <c r="R257">
        <f>IFERROR(ROUNDUP(VLOOKUP($C257,装備品!$1:$998,COLUMN(N$1),FALSE)*(VLOOKUP($D257,素材!$1:$1002,COLUMN(D$1),FALSE)/100),1),"")</f>
        <v>-2.5</v>
      </c>
      <c r="S257">
        <f>IFERROR(VLOOKUP($C257,装備品!$1:$998,COLUMN(P$1),FALSE),"")</f>
        <v>0</v>
      </c>
      <c r="T257">
        <f>IFERROR(VLOOKUP($C257,装備品!$1:$998,COLUMN(Q$1),FALSE),"")</f>
        <v>0</v>
      </c>
      <c r="U257">
        <f>IFERROR(VLOOKUP($C257,装備品!$1:$998,COLUMN(R$1),FALSE),"")</f>
        <v>0</v>
      </c>
      <c r="V257">
        <f>IFERROR(VLOOKUP($C257,装備品!$1:$998,COLUMN(Q$1),FALSE),"")</f>
        <v>0</v>
      </c>
      <c r="W257">
        <f>IFERROR(VLOOKUP($C257,装備品!$1:$998,COLUMN(T$1),FALSE),"")</f>
        <v>0</v>
      </c>
      <c r="Y257">
        <f>IFERROR(VLOOKUP($C257,装備品!$1:$998,COLUMN(U$1),FALSE),"")</f>
        <v>2</v>
      </c>
      <c r="Z257">
        <f>IFERROR(ROUNDUP(VLOOKUP($C257,装備品!$1:$998,COLUMN(O$1),FALSE)*VLOOKUP($D257,素材!$1:$1016,COLUMN(E$1),FALSE),1),"")</f>
        <v>0</v>
      </c>
      <c r="AA257">
        <f>IF(ISNUMBER(SEARCH(SUBSTITUTE(AA$1,RIGHT(AA$1,2),""),VLOOKUP($D257,素材!$1:$1016,COLUMN($F$1),FALSE))),VLOOKUP($C257,装備品!$1:$998,COLUMN($O$1),FALSE)*VLOOKUP($D257,素材!$1:$1016,COLUMN($E$1),FALSE)/(LEN(VLOOKUP($D257,素材!$1:$1016,COLUMN($F$1),FALSE))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IFERROR(VLOOKUP($C257,装備品!$1:$998,COLUMN(V$1),FALSE)*VLOOKUP($D257,素材!$1:$1016,COLUMN(N$1),FALSE)+IF(CI257="",0,VLOOKUP($CI257,付与!$1:$1176,COLUMN($CK$1),FALSE)),"")</f>
        <v>0</v>
      </c>
      <c r="CO257">
        <f>VLOOKUP(D257,素材!$A:$O,COLUMN(素材!O$1),FALSE)</f>
        <v>0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IFERROR(VLOOKUP($D258,素材!$1:$1016,COLUMN($B$1),FALSE)&amp;"・"&amp;VLOOKUP($C258,装備品!$1:$998,COLUMN(B$1),FALSE),"")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IFERROR(VLOOKUP(C258,装備品!$1:$998,COLUMN(C$1),FALSE),"")</f>
        <v>杖</v>
      </c>
      <c r="F258">
        <f>IFERROR(ROUNDDOWN((VLOOKUP($C258,装備品!$1:$998,COLUMN(D$1),FALSE)+IFERROR(VLOOKUP($CI258,付与!$1:$1167,COLUMN(F$1),FALSE),0))*VLOOKUP($D258,素材!$1:$1016,COLUMN(D$1),FALSE),0),"")</f>
        <v>110</v>
      </c>
      <c r="G258">
        <f>IFERROR(ROUNDDOWN((VLOOKUP($C258,装備品!$1:$998,COLUMN(E$1),FALSE)+IFERROR(VLOOKUP($CI258,付与!$1:$1167,COLUMN(G$1),FALSE),0))*VLOOKUP($D258,素材!$1:$1016,COLUMN($E$1),FALSE),0),"")</f>
        <v>0</v>
      </c>
      <c r="H258">
        <f>IFERROR(ROUNDDOWN((VLOOKUP($C258,装備品!$1:$998,COLUMN(F$1),FALSE)+IFERROR(VLOOKUP($CI258,付与!$1:$1167,COLUMN(H$1),FALSE),0))*VLOOKUP($D258,素材!$1:$1016,COLUMN($E$1),FALSE),0),"")</f>
        <v>5</v>
      </c>
      <c r="I258">
        <f>IFERROR(ROUNDDOWN((VLOOKUP($C258,装備品!$1:$998,COLUMN(G$1),FALSE)+IFERROR(VLOOKUP($CI258,付与!$1:$1167,COLUMN(I$1),FALSE),0))*VLOOKUP($D258,素材!$1:$1016,COLUMN($E$1),FALSE),0),"")</f>
        <v>14</v>
      </c>
      <c r="J258">
        <f>IFERROR(ROUNDDOWN((VLOOKUP($C258,装備品!$1:$998,COLUMN(H$1),FALSE)+IFERROR(VLOOKUP($CI258,付与!$1:$1167,COLUMN(J$1),FALSE),0))*VLOOKUP($D258,素材!$1:$1016,COLUMN($E$1),FALSE),0),"")</f>
        <v>18</v>
      </c>
      <c r="K258">
        <f>IFERROR(ROUNDDOWN((VLOOKUP($C258,装備品!$1:$998,COLUMN(I$1),FALSE)+IFERROR(VLOOKUP($CI258,付与!$1:$1167,COLUMN(K$1),FALSE),0))*VLOOKUP($D258,素材!$1:$1016,COLUMN($E$1),FALSE),0),"")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IFERROR(VLOOKUP($C258,装備品!$1:$998,COLUMN(AA$1),FALSE)*VLOOKUP($D258,素材!$1:$1016,COLUMN($G$1),FALSE),"")</f>
        <v>70</v>
      </c>
      <c r="N258">
        <f>IFERROR(VLOOKUP($C258,装備品!$1:$998,COLUMN(I$1),FALSE),"")</f>
        <v>0</v>
      </c>
      <c r="O258" s="23">
        <f>IFERROR((VLOOKUP($C258,装備品!$1:$998,COLUMN(K$1),FALSE)+VLOOKUP($D258,素材!$1:$1016,COLUMN(H$1),FALSE))*100+IFERROR(VLOOKUP($CI258,付与!$1:$1167,COLUMN(O$1),FALSE),0),"")</f>
        <v>5</v>
      </c>
      <c r="P258" s="23">
        <f>IFERROR((VLOOKUP($C258,装備品!$1:$998,COLUMN(L$1),FALSE)+VLOOKUP($D258,素材!$1:$1016,COLUMN(I$1),FALSE))*100+IFERROR(VLOOKUP($CI258,付与!$1:$1167,COLUMN(P$1),FALSE),0),"")</f>
        <v>150</v>
      </c>
      <c r="Q258">
        <f>IFERROR(ROUNDUP(VLOOKUP($C258,装備品!$1:$998,COLUMN(M$1),FALSE)*(VLOOKUP($D258,素材!$1:$1002,COLUMN(D$1),FALSE)/100),1),"")</f>
        <v>0</v>
      </c>
      <c r="R258">
        <f>IFERROR(ROUNDUP(VLOOKUP($C258,装備品!$1:$998,COLUMN(N$1),FALSE)*(VLOOKUP($D258,素材!$1:$1002,COLUMN(D$1),FALSE)/100),1),"")</f>
        <v>0</v>
      </c>
      <c r="S258">
        <f>IFERROR(VLOOKUP($C258,装備品!$1:$998,COLUMN(P$1),FALSE),"")</f>
        <v>0</v>
      </c>
      <c r="T258">
        <f>IFERROR(VLOOKUP($C258,装備品!$1:$998,COLUMN(Q$1),FALSE),"")</f>
        <v>0</v>
      </c>
      <c r="U258">
        <f>IFERROR(VLOOKUP($C258,装備品!$1:$998,COLUMN(R$1),FALSE),"")</f>
        <v>0</v>
      </c>
      <c r="V258">
        <f>IFERROR(VLOOKUP($C258,装備品!$1:$998,COLUMN(Q$1),FALSE),"")</f>
        <v>0</v>
      </c>
      <c r="W258">
        <f>IFERROR(VLOOKUP($C258,装備品!$1:$998,COLUMN(T$1),FALSE),"")</f>
        <v>0</v>
      </c>
      <c r="Y258">
        <f>IFERROR(VLOOKUP($C258,装備品!$1:$998,COLUMN(U$1),FALSE),"")</f>
        <v>0</v>
      </c>
      <c r="Z258">
        <f>IFERROR(ROUNDUP(VLOOKUP($C258,装備品!$1:$998,COLUMN(O$1),FALSE)*VLOOKUP($D258,素材!$1:$1016,COLUMN(E$1),FALSE),1),"")</f>
        <v>0</v>
      </c>
      <c r="AA258">
        <f>IF(ISNUMBER(SEARCH(SUBSTITUTE(AA$1,RIGHT(AA$1,2),""),VLOOKUP($D258,素材!$1:$1016,COLUMN($F$1),FALSE))),VLOOKUP($C258,装備品!$1:$998,COLUMN($O$1),FALSE)*VLOOKUP($D258,素材!$1:$1016,COLUMN($E$1),FALSE)/(LEN(VLOOKUP($D258,素材!$1:$1016,COLUMN($F$1),FALSE))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IFERROR(VLOOKUP($C258,装備品!$1:$998,COLUMN(V$1),FALSE)*VLOOKUP($D258,素材!$1:$1016,COLUMN(N$1),FALSE)+IF(CI258="",0,VLOOKUP($CI258,付与!$1:$1176,COLUMN($CK$1),FALSE)),"")</f>
        <v>0</v>
      </c>
      <c r="CO258">
        <f>VLOOKUP(D258,素材!$A:$O,COLUMN(素材!O$1),FALSE)</f>
        <v>0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IFERROR(VLOOKUP($D259,素材!$1:$1016,COLUMN($B$1),FALSE)&amp;"・"&amp;VLOOKUP($C259,装備品!$1:$998,COLUMN(B$1),FALSE),"")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IFERROR(VLOOKUP(C259,装備品!$1:$998,COLUMN(C$1),FALSE),"")</f>
        <v>杖</v>
      </c>
      <c r="F259">
        <f>IFERROR(ROUNDDOWN((VLOOKUP($C259,装備品!$1:$998,COLUMN(D$1),FALSE)+IFERROR(VLOOKUP($CI259,付与!$1:$1167,COLUMN(F$1),FALSE),0))*VLOOKUP($D259,素材!$1:$1016,COLUMN(D$1),FALSE),0),"")</f>
        <v>115</v>
      </c>
      <c r="G259">
        <f>IFERROR(ROUNDDOWN((VLOOKUP($C259,装備品!$1:$998,COLUMN(E$1),FALSE)+IFERROR(VLOOKUP($CI259,付与!$1:$1167,COLUMN(G$1),FALSE),0))*VLOOKUP($D259,素材!$1:$1016,COLUMN($E$1),FALSE),0),"")</f>
        <v>0</v>
      </c>
      <c r="H259">
        <f>IFERROR(ROUNDDOWN((VLOOKUP($C259,装備品!$1:$998,COLUMN(F$1),FALSE)+IFERROR(VLOOKUP($CI259,付与!$1:$1167,COLUMN(H$1),FALSE),0))*VLOOKUP($D259,素材!$1:$1016,COLUMN($E$1),FALSE),0),"")</f>
        <v>6</v>
      </c>
      <c r="I259">
        <f>IFERROR(ROUNDDOWN((VLOOKUP($C259,装備品!$1:$998,COLUMN(G$1),FALSE)+IFERROR(VLOOKUP($CI259,付与!$1:$1167,COLUMN(I$1),FALSE),0))*VLOOKUP($D259,素材!$1:$1016,COLUMN($E$1),FALSE),0),"")</f>
        <v>16</v>
      </c>
      <c r="J259">
        <f>IFERROR(ROUNDDOWN((VLOOKUP($C259,装備品!$1:$998,COLUMN(H$1),FALSE)+IFERROR(VLOOKUP($CI259,付与!$1:$1167,COLUMN(J$1),FALSE),0))*VLOOKUP($D259,素材!$1:$1016,COLUMN($E$1),FALSE),0),"")</f>
        <v>19</v>
      </c>
      <c r="K259">
        <f>IFERROR(ROUNDDOWN((VLOOKUP($C259,装備品!$1:$998,COLUMN(I$1),FALSE)+IFERROR(VLOOKUP($CI259,付与!$1:$1167,COLUMN(K$1),FALSE),0))*VLOOKUP($D259,素材!$1:$1016,COLUMN($E$1),FALSE),0),"")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IFERROR(VLOOKUP($C259,装備品!$1:$998,COLUMN(AA$1),FALSE)*VLOOKUP($D259,素材!$1:$1016,COLUMN($G$1),FALSE),"")</f>
        <v>105</v>
      </c>
      <c r="N259">
        <f>IFERROR(VLOOKUP($C259,装備品!$1:$998,COLUMN(I$1),FALSE),"")</f>
        <v>0</v>
      </c>
      <c r="O259" s="23">
        <f>IFERROR((VLOOKUP($C259,装備品!$1:$998,COLUMN(K$1),FALSE)+VLOOKUP($D259,素材!$1:$1016,COLUMN(H$1),FALSE))*100+IFERROR(VLOOKUP($CI259,付与!$1:$1167,COLUMN(O$1),FALSE),0),"")</f>
        <v>5</v>
      </c>
      <c r="P259" s="23">
        <f>IFERROR((VLOOKUP($C259,装備品!$1:$998,COLUMN(L$1),FALSE)+VLOOKUP($D259,素材!$1:$1016,COLUMN(I$1),FALSE))*100+IFERROR(VLOOKUP($CI259,付与!$1:$1167,COLUMN(P$1),FALSE),0),"")</f>
        <v>150</v>
      </c>
      <c r="Q259">
        <f>IFERROR(ROUNDUP(VLOOKUP($C259,装備品!$1:$998,COLUMN(M$1),FALSE)*(VLOOKUP($D259,素材!$1:$1002,COLUMN(D$1),FALSE)/100),1),"")</f>
        <v>-4</v>
      </c>
      <c r="R259">
        <f>IFERROR(ROUNDUP(VLOOKUP($C259,装備品!$1:$998,COLUMN(N$1),FALSE)*(VLOOKUP($D259,素材!$1:$1002,COLUMN(D$1),FALSE)/100),1),"")</f>
        <v>-4</v>
      </c>
      <c r="S259">
        <f>IFERROR(VLOOKUP($C259,装備品!$1:$998,COLUMN(P$1),FALSE),"")</f>
        <v>0</v>
      </c>
      <c r="T259">
        <f>IFERROR(VLOOKUP($C259,装備品!$1:$998,COLUMN(Q$1),FALSE),"")</f>
        <v>0</v>
      </c>
      <c r="U259">
        <f>IFERROR(VLOOKUP($C259,装備品!$1:$998,COLUMN(R$1),FALSE),"")</f>
        <v>0</v>
      </c>
      <c r="V259">
        <f>IFERROR(VLOOKUP($C259,装備品!$1:$998,COLUMN(Q$1),FALSE),"")</f>
        <v>0</v>
      </c>
      <c r="W259">
        <f>IFERROR(VLOOKUP($C259,装備品!$1:$998,COLUMN(T$1),FALSE),"")</f>
        <v>0</v>
      </c>
      <c r="Y259">
        <f>IFERROR(VLOOKUP($C259,装備品!$1:$998,COLUMN(U$1),FALSE),"")</f>
        <v>0</v>
      </c>
      <c r="Z259">
        <f>IFERROR(ROUNDUP(VLOOKUP($C259,装備品!$1:$998,COLUMN(O$1),FALSE)*VLOOKUP($D259,素材!$1:$1016,COLUMN(E$1),FALSE),1),"")</f>
        <v>0</v>
      </c>
      <c r="AA259">
        <f>IF(ISNUMBER(SEARCH(SUBSTITUTE(AA$1,RIGHT(AA$1,2),""),VLOOKUP($D259,素材!$1:$1016,COLUMN($F$1),FALSE))),VLOOKUP($C259,装備品!$1:$998,COLUMN($O$1),FALSE)*VLOOKUP($D259,素材!$1:$1016,COLUMN($E$1),FALSE)/(LEN(VLOOKUP($D259,素材!$1:$1016,COLUMN($F$1),FALSE))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IFERROR(VLOOKUP($C259,装備品!$1:$998,COLUMN(V$1),FALSE)*VLOOKUP($D259,素材!$1:$1016,COLUMN(N$1),FALSE)+IF(CI259="",0,VLOOKUP($CI259,付与!$1:$1176,COLUMN($CK$1),FALSE)),"")</f>
        <v>0</v>
      </c>
      <c r="CO259">
        <f>VLOOKUP(D259,素材!$A:$O,COLUMN(素材!O$1),FALSE)</f>
        <v>0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IFERROR(VLOOKUP($D260,素材!$1:$1016,COLUMN($B$1),FALSE)&amp;"・"&amp;VLOOKUP($C260,装備品!$1:$998,COLUMN(B$1),FALSE),"")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IFERROR(VLOOKUP(C260,装備品!$1:$998,COLUMN(C$1),FALSE),"")</f>
        <v>銃</v>
      </c>
      <c r="F260">
        <f>IFERROR(ROUNDDOWN((VLOOKUP($C260,装備品!$1:$998,COLUMN(D$1),FALSE)+IFERROR(VLOOKUP($CI260,付与!$1:$1167,COLUMN(F$1),FALSE),0))*VLOOKUP($D260,素材!$1:$1016,COLUMN(D$1),FALSE),0),"")</f>
        <v>100</v>
      </c>
      <c r="G260">
        <f>IFERROR(ROUNDDOWN((VLOOKUP($C260,装備品!$1:$998,COLUMN(E$1),FALSE)+IFERROR(VLOOKUP($CI260,付与!$1:$1167,COLUMN(G$1),FALSE),0))*VLOOKUP($D260,素材!$1:$1016,COLUMN($E$1),FALSE),0),"")</f>
        <v>0</v>
      </c>
      <c r="H260">
        <f>IFERROR(ROUNDDOWN((VLOOKUP($C260,装備品!$1:$998,COLUMN(F$1),FALSE)+IFERROR(VLOOKUP($CI260,付与!$1:$1167,COLUMN(H$1),FALSE),0))*VLOOKUP($D260,素材!$1:$1016,COLUMN($E$1),FALSE),0),"")</f>
        <v>0</v>
      </c>
      <c r="I260">
        <f>IFERROR(ROUNDDOWN((VLOOKUP($C260,装備品!$1:$998,COLUMN(G$1),FALSE)+IFERROR(VLOOKUP($CI260,付与!$1:$1167,COLUMN(I$1),FALSE),0))*VLOOKUP($D260,素材!$1:$1016,COLUMN($E$1),FALSE),0),"")</f>
        <v>0</v>
      </c>
      <c r="J260">
        <f>IFERROR(ROUNDDOWN((VLOOKUP($C260,装備品!$1:$998,COLUMN(H$1),FALSE)+IFERROR(VLOOKUP($CI260,付与!$1:$1167,COLUMN(J$1),FALSE),0))*VLOOKUP($D260,素材!$1:$1016,COLUMN($E$1),FALSE),0),"")</f>
        <v>0</v>
      </c>
      <c r="K260">
        <f>IFERROR(ROUNDDOWN((VLOOKUP($C260,装備品!$1:$998,COLUMN(I$1),FALSE)+IFERROR(VLOOKUP($CI260,付与!$1:$1167,COLUMN(K$1),FALSE),0))*VLOOKUP($D260,素材!$1:$1016,COLUMN($E$1),FALSE),0),"")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IFERROR(VLOOKUP($C260,装備品!$1:$998,COLUMN(AA$1),FALSE)*VLOOKUP($D260,素材!$1:$1016,COLUMN($G$1),FALSE),"")</f>
        <v>87.5</v>
      </c>
      <c r="N260">
        <f>IFERROR(VLOOKUP($C260,装備品!$1:$998,COLUMN(I$1),FALSE),"")</f>
        <v>2.7</v>
      </c>
      <c r="O260" s="23">
        <f>IFERROR((VLOOKUP($C260,装備品!$1:$998,COLUMN(K$1),FALSE)+VLOOKUP($D260,素材!$1:$1016,COLUMN(H$1),FALSE))*100+IFERROR(VLOOKUP($CI260,付与!$1:$1167,COLUMN(O$1),FALSE),0),"")</f>
        <v>10</v>
      </c>
      <c r="P260" s="23">
        <f>IFERROR((VLOOKUP($C260,装備品!$1:$998,COLUMN(L$1),FALSE)+VLOOKUP($D260,素材!$1:$1016,COLUMN(I$1),FALSE))*100+IFERROR(VLOOKUP($CI260,付与!$1:$1167,COLUMN(P$1),FALSE),0),"")</f>
        <v>150</v>
      </c>
      <c r="Q260">
        <f>IFERROR(ROUNDUP(VLOOKUP($C260,装備品!$1:$998,COLUMN(M$1),FALSE)*(VLOOKUP($D260,素材!$1:$1002,COLUMN(D$1),FALSE)/100),1),"")</f>
        <v>0</v>
      </c>
      <c r="R260">
        <f>IFERROR(ROUNDUP(VLOOKUP($C260,装備品!$1:$998,COLUMN(N$1),FALSE)*(VLOOKUP($D260,素材!$1:$1002,COLUMN(D$1),FALSE)/100),1),"")</f>
        <v>-15</v>
      </c>
      <c r="S260">
        <f>IFERROR(VLOOKUP($C260,装備品!$1:$998,COLUMN(P$1),FALSE),"")</f>
        <v>0</v>
      </c>
      <c r="T260">
        <f>IFERROR(VLOOKUP($C260,装備品!$1:$998,COLUMN(Q$1),FALSE),"")</f>
        <v>0</v>
      </c>
      <c r="U260">
        <f>IFERROR(VLOOKUP($C260,装備品!$1:$998,COLUMN(R$1),FALSE),"")</f>
        <v>0</v>
      </c>
      <c r="V260">
        <f>IFERROR(VLOOKUP($C260,装備品!$1:$998,COLUMN(Q$1),FALSE),"")</f>
        <v>0</v>
      </c>
      <c r="W260">
        <f>IFERROR(VLOOKUP($C260,装備品!$1:$998,COLUMN(T$1),FALSE),"")</f>
        <v>0</v>
      </c>
      <c r="Y260">
        <f>IFERROR(VLOOKUP($C260,装備品!$1:$998,COLUMN(U$1),FALSE),"")</f>
        <v>0</v>
      </c>
      <c r="Z260">
        <f>IFERROR(ROUNDUP(VLOOKUP($C260,装備品!$1:$998,COLUMN(O$1),FALSE)*VLOOKUP($D260,素材!$1:$1016,COLUMN(E$1),FALSE),1),"")</f>
        <v>0</v>
      </c>
      <c r="AA260">
        <f>IF(ISNUMBER(SEARCH(SUBSTITUTE(AA$1,RIGHT(AA$1,2),""),VLOOKUP($D260,素材!$1:$1016,COLUMN($F$1),FALSE))),VLOOKUP($C260,装備品!$1:$998,COLUMN($O$1),FALSE)*VLOOKUP($D260,素材!$1:$1016,COLUMN($E$1),FALSE)/(LEN(VLOOKUP($D260,素材!$1:$1016,COLUMN($F$1),FALSE))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IFERROR(VLOOKUP($C260,装備品!$1:$998,COLUMN(V$1),FALSE)*VLOOKUP($D260,素材!$1:$1016,COLUMN(N$1),FALSE)+IF(CI260="",0,VLOOKUP($CI260,付与!$1:$1176,COLUMN($CK$1),FALSE)),"")</f>
        <v>1500</v>
      </c>
      <c r="CO260">
        <f>VLOOKUP(D260,素材!$A:$O,COLUMN(素材!O$1),FALSE)</f>
        <v>0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IFERROR(VLOOKUP($D261,素材!$1:$1016,COLUMN($B$1),FALSE)&amp;"・"&amp;VLOOKUP($C261,装備品!$1:$998,COLUMN(B$1),FALSE),"")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IFERROR(VLOOKUP(C261,装備品!$1:$998,COLUMN(C$1),FALSE),"")</f>
        <v>銃</v>
      </c>
      <c r="F261">
        <f>IFERROR(ROUNDDOWN((VLOOKUP($C261,装備品!$1:$998,COLUMN(D$1),FALSE)+IFERROR(VLOOKUP($CI261,付与!$1:$1167,COLUMN(F$1),FALSE),0))*VLOOKUP($D261,素材!$1:$1016,COLUMN(D$1),FALSE),0),"")</f>
        <v>100</v>
      </c>
      <c r="G261">
        <f>IFERROR(ROUNDDOWN((VLOOKUP($C261,装備品!$1:$998,COLUMN(E$1),FALSE)+IFERROR(VLOOKUP($CI261,付与!$1:$1167,COLUMN(G$1),FALSE),0))*VLOOKUP($D261,素材!$1:$1016,COLUMN($E$1),FALSE),0),"")</f>
        <v>0</v>
      </c>
      <c r="H261">
        <f>IFERROR(ROUNDDOWN((VLOOKUP($C261,装備品!$1:$998,COLUMN(F$1),FALSE)+IFERROR(VLOOKUP($CI261,付与!$1:$1167,COLUMN(H$1),FALSE),0))*VLOOKUP($D261,素材!$1:$1016,COLUMN($E$1),FALSE),0),"")</f>
        <v>0</v>
      </c>
      <c r="I261">
        <f>IFERROR(ROUNDDOWN((VLOOKUP($C261,装備品!$1:$998,COLUMN(G$1),FALSE)+IFERROR(VLOOKUP($CI261,付与!$1:$1167,COLUMN(I$1),FALSE),0))*VLOOKUP($D261,素材!$1:$1016,COLUMN($E$1),FALSE),0),"")</f>
        <v>0</v>
      </c>
      <c r="J261">
        <f>IFERROR(ROUNDDOWN((VLOOKUP($C261,装備品!$1:$998,COLUMN(H$1),FALSE)+IFERROR(VLOOKUP($CI261,付与!$1:$1167,COLUMN(J$1),FALSE),0))*VLOOKUP($D261,素材!$1:$1016,COLUMN($E$1),FALSE),0),"")</f>
        <v>0</v>
      </c>
      <c r="K261">
        <f>IFERROR(ROUNDDOWN((VLOOKUP($C261,装備品!$1:$998,COLUMN(I$1),FALSE)+IFERROR(VLOOKUP($CI261,付与!$1:$1167,COLUMN(K$1),FALSE),0))*VLOOKUP($D261,素材!$1:$1016,COLUMN($E$1),FALSE),0),"")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IFERROR(VLOOKUP($C261,装備品!$1:$998,COLUMN(AA$1),FALSE)*VLOOKUP($D261,素材!$1:$1016,COLUMN($G$1),FALSE),"")</f>
        <v>105</v>
      </c>
      <c r="N261">
        <f>IFERROR(VLOOKUP($C261,装備品!$1:$998,COLUMN(I$1),FALSE),"")</f>
        <v>3.9</v>
      </c>
      <c r="O261" s="23">
        <f>IFERROR((VLOOKUP($C261,装備品!$1:$998,COLUMN(K$1),FALSE)+VLOOKUP($D261,素材!$1:$1016,COLUMN(H$1),FALSE))*100+IFERROR(VLOOKUP($CI261,付与!$1:$1167,COLUMN(O$1),FALSE),0),"")</f>
        <v>10</v>
      </c>
      <c r="P261" s="23">
        <f>IFERROR((VLOOKUP($C261,装備品!$1:$998,COLUMN(L$1),FALSE)+VLOOKUP($D261,素材!$1:$1016,COLUMN(I$1),FALSE))*100+IFERROR(VLOOKUP($CI261,付与!$1:$1167,COLUMN(P$1),FALSE),0),"")</f>
        <v>150</v>
      </c>
      <c r="Q261">
        <f>IFERROR(ROUNDUP(VLOOKUP($C261,装備品!$1:$998,COLUMN(M$1),FALSE)*(VLOOKUP($D261,素材!$1:$1002,COLUMN(D$1),FALSE)/100),1),"")</f>
        <v>0</v>
      </c>
      <c r="R261">
        <f>IFERROR(ROUNDUP(VLOOKUP($C261,装備品!$1:$998,COLUMN(N$1),FALSE)*(VLOOKUP($D261,素材!$1:$1002,COLUMN(D$1),FALSE)/100),1),"")</f>
        <v>-15</v>
      </c>
      <c r="S261">
        <f>IFERROR(VLOOKUP($C261,装備品!$1:$998,COLUMN(P$1),FALSE),"")</f>
        <v>0</v>
      </c>
      <c r="T261">
        <f>IFERROR(VLOOKUP($C261,装備品!$1:$998,COLUMN(Q$1),FALSE),"")</f>
        <v>0</v>
      </c>
      <c r="U261">
        <f>IFERROR(VLOOKUP($C261,装備品!$1:$998,COLUMN(R$1),FALSE),"")</f>
        <v>0</v>
      </c>
      <c r="V261">
        <f>IFERROR(VLOOKUP($C261,装備品!$1:$998,COLUMN(Q$1),FALSE),"")</f>
        <v>0</v>
      </c>
      <c r="W261">
        <f>IFERROR(VLOOKUP($C261,装備品!$1:$998,COLUMN(T$1),FALSE),"")</f>
        <v>0</v>
      </c>
      <c r="Y261">
        <f>IFERROR(VLOOKUP($C261,装備品!$1:$998,COLUMN(U$1),FALSE),"")</f>
        <v>0</v>
      </c>
      <c r="Z261">
        <f>IFERROR(ROUNDUP(VLOOKUP($C261,装備品!$1:$998,COLUMN(O$1),FALSE)*VLOOKUP($D261,素材!$1:$1016,COLUMN(E$1),FALSE),1),"")</f>
        <v>0</v>
      </c>
      <c r="AA261">
        <f>IF(ISNUMBER(SEARCH(SUBSTITUTE(AA$1,RIGHT(AA$1,2),""),VLOOKUP($D261,素材!$1:$1016,COLUMN($F$1),FALSE))),VLOOKUP($C261,装備品!$1:$998,COLUMN($O$1),FALSE)*VLOOKUP($D261,素材!$1:$1016,COLUMN($E$1),FALSE)/(LEN(VLOOKUP($D261,素材!$1:$1016,COLUMN($F$1),FALSE))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IFERROR(VLOOKUP($C261,装備品!$1:$998,COLUMN(V$1),FALSE)*VLOOKUP($D261,素材!$1:$1016,COLUMN(N$1),FALSE)+IF(CI261="",0,VLOOKUP($CI261,付与!$1:$1176,COLUMN($CK$1),FALSE)),"")</f>
        <v>1500</v>
      </c>
      <c r="CO261">
        <f>VLOOKUP(D261,素材!$A:$O,COLUMN(素材!O$1),FALSE)</f>
        <v>0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IFERROR(VLOOKUP($D262,素材!$1:$1016,COLUMN($B$1),FALSE)&amp;"・"&amp;VLOOKUP($C262,装備品!$1:$998,COLUMN(B$1),FALSE),"")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IFERROR(VLOOKUP(C262,装備品!$1:$998,COLUMN(C$1),FALSE),"")</f>
        <v>銃</v>
      </c>
      <c r="F262">
        <f>IFERROR(ROUNDDOWN((VLOOKUP($C262,装備品!$1:$998,COLUMN(D$1),FALSE)+IFERROR(VLOOKUP($CI262,付与!$1:$1167,COLUMN(F$1),FALSE),0))*VLOOKUP($D262,素材!$1:$1016,COLUMN(D$1),FALSE),0),"")</f>
        <v>100</v>
      </c>
      <c r="G262">
        <f>IFERROR(ROUNDDOWN((VLOOKUP($C262,装備品!$1:$998,COLUMN(E$1),FALSE)+IFERROR(VLOOKUP($CI262,付与!$1:$1167,COLUMN(G$1),FALSE),0))*VLOOKUP($D262,素材!$1:$1016,COLUMN($E$1),FALSE),0),"")</f>
        <v>0</v>
      </c>
      <c r="H262">
        <f>IFERROR(ROUNDDOWN((VLOOKUP($C262,装備品!$1:$998,COLUMN(F$1),FALSE)+IFERROR(VLOOKUP($CI262,付与!$1:$1167,COLUMN(H$1),FALSE),0))*VLOOKUP($D262,素材!$1:$1016,COLUMN($E$1),FALSE),0),"")</f>
        <v>0</v>
      </c>
      <c r="I262">
        <f>IFERROR(ROUNDDOWN((VLOOKUP($C262,装備品!$1:$998,COLUMN(G$1),FALSE)+IFERROR(VLOOKUP($CI262,付与!$1:$1167,COLUMN(I$1),FALSE),0))*VLOOKUP($D262,素材!$1:$1016,COLUMN($E$1),FALSE),0),"")</f>
        <v>0</v>
      </c>
      <c r="J262">
        <f>IFERROR(ROUNDDOWN((VLOOKUP($C262,装備品!$1:$998,COLUMN(H$1),FALSE)+IFERROR(VLOOKUP($CI262,付与!$1:$1167,COLUMN(J$1),FALSE),0))*VLOOKUP($D262,素材!$1:$1016,COLUMN($E$1),FALSE),0),"")</f>
        <v>0</v>
      </c>
      <c r="K262">
        <f>IFERROR(ROUNDDOWN((VLOOKUP($C262,装備品!$1:$998,COLUMN(I$1),FALSE)+IFERROR(VLOOKUP($CI262,付与!$1:$1167,COLUMN(K$1),FALSE),0))*VLOOKUP($D262,素材!$1:$1016,COLUMN($E$1),FALSE),0),"")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IFERROR(VLOOKUP($C262,装備品!$1:$998,COLUMN(AA$1),FALSE)*VLOOKUP($D262,素材!$1:$1016,COLUMN($G$1),FALSE),"")</f>
        <v>70</v>
      </c>
      <c r="N262">
        <f>IFERROR(VLOOKUP($C262,装備品!$1:$998,COLUMN(I$1),FALSE),"")</f>
        <v>2.5700000000000003</v>
      </c>
      <c r="O262" s="23">
        <f>IFERROR((VLOOKUP($C262,装備品!$1:$998,COLUMN(K$1),FALSE)+VLOOKUP($D262,素材!$1:$1016,COLUMN(H$1),FALSE))*100+IFERROR(VLOOKUP($CI262,付与!$1:$1167,COLUMN(O$1),FALSE),0),"")</f>
        <v>10</v>
      </c>
      <c r="P262" s="23">
        <f>IFERROR((VLOOKUP($C262,装備品!$1:$998,COLUMN(L$1),FALSE)+VLOOKUP($D262,素材!$1:$1016,COLUMN(I$1),FALSE))*100+IFERROR(VLOOKUP($CI262,付与!$1:$1167,COLUMN(P$1),FALSE),0),"")</f>
        <v>140</v>
      </c>
      <c r="Q262">
        <f>IFERROR(ROUNDUP(VLOOKUP($C262,装備品!$1:$998,COLUMN(M$1),FALSE)*(VLOOKUP($D262,素材!$1:$1002,COLUMN(D$1),FALSE)/100),1),"")</f>
        <v>0</v>
      </c>
      <c r="R262">
        <f>IFERROR(ROUNDUP(VLOOKUP($C262,装備品!$1:$998,COLUMN(N$1),FALSE)*(VLOOKUP($D262,素材!$1:$1002,COLUMN(D$1),FALSE)/100),1),"")</f>
        <v>-25</v>
      </c>
      <c r="S262">
        <f>IFERROR(VLOOKUP($C262,装備品!$1:$998,COLUMN(P$1),FALSE),"")</f>
        <v>0</v>
      </c>
      <c r="T262">
        <f>IFERROR(VLOOKUP($C262,装備品!$1:$998,COLUMN(Q$1),FALSE),"")</f>
        <v>0</v>
      </c>
      <c r="U262">
        <f>IFERROR(VLOOKUP($C262,装備品!$1:$998,COLUMN(R$1),FALSE),"")</f>
        <v>0</v>
      </c>
      <c r="V262">
        <f>IFERROR(VLOOKUP($C262,装備品!$1:$998,COLUMN(Q$1),FALSE),"")</f>
        <v>0</v>
      </c>
      <c r="W262">
        <f>IFERROR(VLOOKUP($C262,装備品!$1:$998,COLUMN(T$1),FALSE),"")</f>
        <v>0</v>
      </c>
      <c r="Y262">
        <f>IFERROR(VLOOKUP($C262,装備品!$1:$998,COLUMN(U$1),FALSE),"")</f>
        <v>0</v>
      </c>
      <c r="Z262">
        <f>IFERROR(ROUNDUP(VLOOKUP($C262,装備品!$1:$998,COLUMN(O$1),FALSE)*VLOOKUP($D262,素材!$1:$1016,COLUMN(E$1),FALSE),1),"")</f>
        <v>0</v>
      </c>
      <c r="AA262">
        <f>IF(ISNUMBER(SEARCH(SUBSTITUTE(AA$1,RIGHT(AA$1,2),""),VLOOKUP($D262,素材!$1:$1016,COLUMN($F$1),FALSE))),VLOOKUP($C262,装備品!$1:$998,COLUMN($O$1),FALSE)*VLOOKUP($D262,素材!$1:$1016,COLUMN($E$1),FALSE)/(LEN(VLOOKUP($D262,素材!$1:$1016,COLUMN($F$1),FALSE))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IFERROR(VLOOKUP($C262,装備品!$1:$998,COLUMN(V$1),FALSE)*VLOOKUP($D262,素材!$1:$1016,COLUMN(N$1),FALSE)+IF(CI262="",0,VLOOKUP($CI262,付与!$1:$1176,COLUMN($CK$1),FALSE)),"")</f>
        <v>9000</v>
      </c>
      <c r="CO262">
        <f>VLOOKUP(D262,素材!$A:$O,COLUMN(素材!O$1),FALSE)</f>
        <v>0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IFERROR(VLOOKUP($D263,素材!$1:$1016,COLUMN($B$1),FALSE)&amp;"・"&amp;VLOOKUP($C263,装備品!$1:$998,COLUMN(B$1),FALSE),"")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IFERROR(VLOOKUP(C263,装備品!$1:$998,COLUMN(C$1),FALSE),"")</f>
        <v>銃</v>
      </c>
      <c r="F263">
        <f>IFERROR(ROUNDDOWN((VLOOKUP($C263,装備品!$1:$998,COLUMN(D$1),FALSE)+IFERROR(VLOOKUP($CI263,付与!$1:$1167,COLUMN(F$1),FALSE),0))*VLOOKUP($D263,素材!$1:$1016,COLUMN(D$1),FALSE),0),"")</f>
        <v>100</v>
      </c>
      <c r="G263">
        <f>IFERROR(ROUNDDOWN((VLOOKUP($C263,装備品!$1:$998,COLUMN(E$1),FALSE)+IFERROR(VLOOKUP($CI263,付与!$1:$1167,COLUMN(G$1),FALSE),0))*VLOOKUP($D263,素材!$1:$1016,COLUMN($E$1),FALSE),0),"")</f>
        <v>0</v>
      </c>
      <c r="H263">
        <f>IFERROR(ROUNDDOWN((VLOOKUP($C263,装備品!$1:$998,COLUMN(F$1),FALSE)+IFERROR(VLOOKUP($CI263,付与!$1:$1167,COLUMN(H$1),FALSE),0))*VLOOKUP($D263,素材!$1:$1016,COLUMN($E$1),FALSE),0),"")</f>
        <v>0</v>
      </c>
      <c r="I263">
        <f>IFERROR(ROUNDDOWN((VLOOKUP($C263,装備品!$1:$998,COLUMN(G$1),FALSE)+IFERROR(VLOOKUP($CI263,付与!$1:$1167,COLUMN(I$1),FALSE),0))*VLOOKUP($D263,素材!$1:$1016,COLUMN($E$1),FALSE),0),"")</f>
        <v>0</v>
      </c>
      <c r="J263">
        <f>IFERROR(ROUNDDOWN((VLOOKUP($C263,装備品!$1:$998,COLUMN(H$1),FALSE)+IFERROR(VLOOKUP($CI263,付与!$1:$1167,COLUMN(J$1),FALSE),0))*VLOOKUP($D263,素材!$1:$1016,COLUMN($E$1),FALSE),0),"")</f>
        <v>0</v>
      </c>
      <c r="K263">
        <f>IFERROR(ROUNDDOWN((VLOOKUP($C263,装備品!$1:$998,COLUMN(I$1),FALSE)+IFERROR(VLOOKUP($CI263,付与!$1:$1167,COLUMN(K$1),FALSE),0))*VLOOKUP($D263,素材!$1:$1016,COLUMN($E$1),FALSE),0),"")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IFERROR(VLOOKUP($C263,装備品!$1:$998,COLUMN(AA$1),FALSE)*VLOOKUP($D263,素材!$1:$1016,COLUMN($G$1),FALSE),"")</f>
        <v>70</v>
      </c>
      <c r="N263">
        <f>IFERROR(VLOOKUP($C263,装備品!$1:$998,COLUMN(I$1),FALSE),"")</f>
        <v>1.8</v>
      </c>
      <c r="O263" s="23">
        <f>IFERROR((VLOOKUP($C263,装備品!$1:$998,COLUMN(K$1),FALSE)+VLOOKUP($D263,素材!$1:$1016,COLUMN(H$1),FALSE))*100+IFERROR(VLOOKUP($CI263,付与!$1:$1167,COLUMN(O$1),FALSE),0),"")</f>
        <v>15</v>
      </c>
      <c r="P263" s="23">
        <f>IFERROR((VLOOKUP($C263,装備品!$1:$998,COLUMN(L$1),FALSE)+VLOOKUP($D263,素材!$1:$1016,COLUMN(I$1),FALSE))*100+IFERROR(VLOOKUP($CI263,付与!$1:$1167,COLUMN(P$1),FALSE),0),"")</f>
        <v>175</v>
      </c>
      <c r="Q263">
        <f>IFERROR(ROUNDUP(VLOOKUP($C263,装備品!$1:$998,COLUMN(M$1),FALSE)*(VLOOKUP($D263,素材!$1:$1002,COLUMN(D$1),FALSE)/100),1),"")</f>
        <v>0</v>
      </c>
      <c r="R263">
        <f>IFERROR(ROUNDUP(VLOOKUP($C263,装備品!$1:$998,COLUMN(N$1),FALSE)*(VLOOKUP($D263,素材!$1:$1002,COLUMN(D$1),FALSE)/100),1),"")</f>
        <v>-15</v>
      </c>
      <c r="S263">
        <f>IFERROR(VLOOKUP($C263,装備品!$1:$998,COLUMN(P$1),FALSE),"")</f>
        <v>0</v>
      </c>
      <c r="T263">
        <f>IFERROR(VLOOKUP($C263,装備品!$1:$998,COLUMN(Q$1),FALSE),"")</f>
        <v>0</v>
      </c>
      <c r="U263">
        <f>IFERROR(VLOOKUP($C263,装備品!$1:$998,COLUMN(R$1),FALSE),"")</f>
        <v>0</v>
      </c>
      <c r="V263">
        <f>IFERROR(VLOOKUP($C263,装備品!$1:$998,COLUMN(Q$1),FALSE),"")</f>
        <v>0</v>
      </c>
      <c r="W263">
        <f>IFERROR(VLOOKUP($C263,装備品!$1:$998,COLUMN(T$1),FALSE),"")</f>
        <v>0</v>
      </c>
      <c r="Y263">
        <f>IFERROR(VLOOKUP($C263,装備品!$1:$998,COLUMN(U$1),FALSE),"")</f>
        <v>0</v>
      </c>
      <c r="Z263">
        <f>IFERROR(ROUNDUP(VLOOKUP($C263,装備品!$1:$998,COLUMN(O$1),FALSE)*VLOOKUP($D263,素材!$1:$1016,COLUMN(E$1),FALSE),1),"")</f>
        <v>0</v>
      </c>
      <c r="AA263">
        <f>IF(ISNUMBER(SEARCH(SUBSTITUTE(AA$1,RIGHT(AA$1,2),""),VLOOKUP($D263,素材!$1:$1016,COLUMN($F$1),FALSE))),VLOOKUP($C263,装備品!$1:$998,COLUMN($O$1),FALSE)*VLOOKUP($D263,素材!$1:$1016,COLUMN($E$1),FALSE)/(LEN(VLOOKUP($D263,素材!$1:$1016,COLUMN($F$1),FALSE))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IFERROR(VLOOKUP($C263,装備品!$1:$998,COLUMN(V$1),FALSE)*VLOOKUP($D263,素材!$1:$1016,COLUMN(N$1),FALSE)+IF(CI263="",0,VLOOKUP($CI263,付与!$1:$1176,COLUMN($CK$1),FALSE)),"")</f>
        <v>18000</v>
      </c>
      <c r="CO263">
        <f>VLOOKUP(D263,素材!$A:$O,COLUMN(素材!O$1),FALSE)</f>
        <v>0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IFERROR(VLOOKUP($D264,素材!$1:$1016,COLUMN($B$1),FALSE)&amp;"・"&amp;VLOOKUP($C264,装備品!$1:$998,COLUMN(B$1),FALSE),"")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IFERROR(VLOOKUP(C264,装備品!$1:$998,COLUMN(C$1),FALSE),"")</f>
        <v>頭</v>
      </c>
      <c r="F264">
        <f>IFERROR(ROUNDDOWN((VLOOKUP($C264,装備品!$1:$998,COLUMN(D$1),FALSE)+IFERROR(VLOOKUP($CI264,付与!$1:$1167,COLUMN(F$1),FALSE),0))*VLOOKUP($D264,素材!$1:$1016,COLUMN(D$1),FALSE),0),"")</f>
        <v>0</v>
      </c>
      <c r="G264">
        <f>IFERROR(ROUNDDOWN((VLOOKUP($C264,装備品!$1:$998,COLUMN(E$1),FALSE)+IFERROR(VLOOKUP($CI264,付与!$1:$1167,COLUMN(G$1),FALSE),0))*VLOOKUP($D264,素材!$1:$1016,COLUMN($E$1),FALSE),0),"")</f>
        <v>0</v>
      </c>
      <c r="H264">
        <f>IFERROR(ROUNDDOWN((VLOOKUP($C264,装備品!$1:$998,COLUMN(F$1),FALSE)+IFERROR(VLOOKUP($CI264,付与!$1:$1167,COLUMN(H$1),FALSE),0))*VLOOKUP($D264,素材!$1:$1016,COLUMN($E$1),FALSE),0),"")</f>
        <v>0</v>
      </c>
      <c r="I264">
        <f>IFERROR(ROUNDDOWN((VLOOKUP($C264,装備品!$1:$998,COLUMN(G$1),FALSE)+IFERROR(VLOOKUP($CI264,付与!$1:$1167,COLUMN(I$1),FALSE),0))*VLOOKUP($D264,素材!$1:$1016,COLUMN($E$1),FALSE),0),"")</f>
        <v>17</v>
      </c>
      <c r="J264">
        <f>IFERROR(ROUNDDOWN((VLOOKUP($C264,装備品!$1:$998,COLUMN(H$1),FALSE)+IFERROR(VLOOKUP($CI264,付与!$1:$1167,COLUMN(J$1),FALSE),0))*VLOOKUP($D264,素材!$1:$1016,COLUMN($E$1),FALSE),0),"")</f>
        <v>0</v>
      </c>
      <c r="K264">
        <f>IFERROR(ROUNDDOWN((VLOOKUP($C264,装備品!$1:$998,COLUMN(I$1),FALSE)+IFERROR(VLOOKUP($CI264,付与!$1:$1167,COLUMN(K$1),FALSE),0))*VLOOKUP($D264,素材!$1:$1016,COLUMN($E$1),FALSE),0),"")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IFERROR(VLOOKUP($C264,装備品!$1:$998,COLUMN(AA$1),FALSE)*VLOOKUP($D264,素材!$1:$1016,COLUMN($G$1),FALSE),"")</f>
        <v>70</v>
      </c>
      <c r="N264">
        <f>IFERROR(VLOOKUP($C264,装備品!$1:$998,COLUMN(I$1),FALSE),"")</f>
        <v>0</v>
      </c>
      <c r="O264" s="23">
        <f>IFERROR((VLOOKUP($C264,装備品!$1:$998,COLUMN(K$1),FALSE)+VLOOKUP($D264,素材!$1:$1016,COLUMN(H$1),FALSE))*100+IFERROR(VLOOKUP($CI264,付与!$1:$1167,COLUMN(O$1),FALSE),0),"")</f>
        <v>5</v>
      </c>
      <c r="P264" s="23">
        <f>IFERROR((VLOOKUP($C264,装備品!$1:$998,COLUMN(L$1),FALSE)+VLOOKUP($D264,素材!$1:$1016,COLUMN(I$1),FALSE))*100+IFERROR(VLOOKUP($CI264,付与!$1:$1167,COLUMN(P$1),FALSE),0),"")</f>
        <v>125</v>
      </c>
      <c r="Q264">
        <f>IFERROR(ROUNDUP(VLOOKUP($C264,装備品!$1:$998,COLUMN(M$1),FALSE)*(VLOOKUP($D264,素材!$1:$1002,COLUMN(D$1),FALSE)/100),1),"")</f>
        <v>-7.5</v>
      </c>
      <c r="R264">
        <f>IFERROR(ROUNDUP(VLOOKUP($C264,装備品!$1:$998,COLUMN(N$1),FALSE)*(VLOOKUP($D264,素材!$1:$1002,COLUMN(D$1),FALSE)/100),1),"")</f>
        <v>0</v>
      </c>
      <c r="S264">
        <f>IFERROR(VLOOKUP($C264,装備品!$1:$998,COLUMN(P$1),FALSE),"")</f>
        <v>0</v>
      </c>
      <c r="T264">
        <f>IFERROR(VLOOKUP($C264,装備品!$1:$998,COLUMN(Q$1),FALSE),"")</f>
        <v>0</v>
      </c>
      <c r="U264">
        <f>IFERROR(VLOOKUP($C264,装備品!$1:$998,COLUMN(R$1),FALSE),"")</f>
        <v>0</v>
      </c>
      <c r="V264">
        <f>IFERROR(VLOOKUP($C264,装備品!$1:$998,COLUMN(Q$1),FALSE),"")</f>
        <v>0</v>
      </c>
      <c r="W264">
        <f>IFERROR(VLOOKUP($C264,装備品!$1:$998,COLUMN(T$1),FALSE),"")</f>
        <v>0.35</v>
      </c>
      <c r="Y264">
        <f>IFERROR(VLOOKUP($C264,装備品!$1:$998,COLUMN(U$1),FALSE),"")</f>
        <v>0</v>
      </c>
      <c r="Z264">
        <f>IFERROR(ROUNDUP(VLOOKUP($C264,装備品!$1:$998,COLUMN(O$1),FALSE)*VLOOKUP($D264,素材!$1:$1016,COLUMN(E$1),FALSE),1),"")</f>
        <v>-600</v>
      </c>
      <c r="AA264">
        <f>IF(ISNUMBER(SEARCH(SUBSTITUTE(AA$1,RIGHT(AA$1,2),""),VLOOKUP($D264,素材!$1:$1016,COLUMN($F$1),FALSE))),VLOOKUP($C264,装備品!$1:$998,COLUMN($O$1),FALSE)*VLOOKUP($D264,素材!$1:$1016,COLUMN($E$1),FALSE)/(LEN(VLOOKUP($D264,素材!$1:$1016,COLUMN($F$1),FALSE))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IFERROR(VLOOKUP($C264,装備品!$1:$998,COLUMN(V$1),FALSE)*VLOOKUP($D264,素材!$1:$1016,COLUMN(N$1),FALSE)+IF(CI264="",0,VLOOKUP($CI264,付与!$1:$1176,COLUMN($CK$1),FALSE)),"")</f>
        <v>0</v>
      </c>
      <c r="CO264">
        <f>VLOOKUP(D264,素材!$A:$O,COLUMN(素材!O$1),FALSE)</f>
        <v>0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IFERROR(VLOOKUP($D265,素材!$1:$1016,COLUMN($B$1),FALSE)&amp;"・"&amp;VLOOKUP($C265,装備品!$1:$998,COLUMN(B$1),FALSE),"")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IFERROR(VLOOKUP(C265,装備品!$1:$998,COLUMN(C$1),FALSE),"")</f>
        <v>頭</v>
      </c>
      <c r="F265">
        <f>IFERROR(ROUNDDOWN((VLOOKUP($C265,装備品!$1:$998,COLUMN(D$1),FALSE)+IFERROR(VLOOKUP($CI265,付与!$1:$1167,COLUMN(F$1),FALSE),0))*VLOOKUP($D265,素材!$1:$1016,COLUMN(D$1),FALSE),0),"")</f>
        <v>0</v>
      </c>
      <c r="G265">
        <f>IFERROR(ROUNDDOWN((VLOOKUP($C265,装備品!$1:$998,COLUMN(E$1),FALSE)+IFERROR(VLOOKUP($CI265,付与!$1:$1167,COLUMN(G$1),FALSE),0))*VLOOKUP($D265,素材!$1:$1016,COLUMN($E$1),FALSE),0),"")</f>
        <v>0</v>
      </c>
      <c r="H265">
        <f>IFERROR(ROUNDDOWN((VLOOKUP($C265,装備品!$1:$998,COLUMN(F$1),FALSE)+IFERROR(VLOOKUP($CI265,付与!$1:$1167,COLUMN(H$1),FALSE),0))*VLOOKUP($D265,素材!$1:$1016,COLUMN($E$1),FALSE),0),"")</f>
        <v>0</v>
      </c>
      <c r="I265">
        <f>IFERROR(ROUNDDOWN((VLOOKUP($C265,装備品!$1:$998,COLUMN(G$1),FALSE)+IFERROR(VLOOKUP($CI265,付与!$1:$1167,COLUMN(I$1),FALSE),0))*VLOOKUP($D265,素材!$1:$1016,COLUMN($E$1),FALSE),0),"")</f>
        <v>17</v>
      </c>
      <c r="J265">
        <f>IFERROR(ROUNDDOWN((VLOOKUP($C265,装備品!$1:$998,COLUMN(H$1),FALSE)+IFERROR(VLOOKUP($CI265,付与!$1:$1167,COLUMN(J$1),FALSE),0))*VLOOKUP($D265,素材!$1:$1016,COLUMN($E$1),FALSE),0),"")</f>
        <v>0</v>
      </c>
      <c r="K265">
        <f>IFERROR(ROUNDDOWN((VLOOKUP($C265,装備品!$1:$998,COLUMN(I$1),FALSE)+IFERROR(VLOOKUP($CI265,付与!$1:$1167,COLUMN(K$1),FALSE),0))*VLOOKUP($D265,素材!$1:$1016,COLUMN($E$1),FALSE),0),"")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IFERROR(VLOOKUP($C265,装備品!$1:$998,COLUMN(AA$1),FALSE)*VLOOKUP($D265,素材!$1:$1016,COLUMN($G$1),FALSE),"")</f>
        <v>52.5</v>
      </c>
      <c r="N265">
        <f>IFERROR(VLOOKUP($C265,装備品!$1:$998,COLUMN(I$1),FALSE),"")</f>
        <v>0</v>
      </c>
      <c r="O265" s="23">
        <f>IFERROR((VLOOKUP($C265,装備品!$1:$998,COLUMN(K$1),FALSE)+VLOOKUP($D265,素材!$1:$1016,COLUMN(H$1),FALSE))*100+IFERROR(VLOOKUP($CI265,付与!$1:$1167,COLUMN(O$1),FALSE),0),"")</f>
        <v>5</v>
      </c>
      <c r="P265" s="23">
        <f>IFERROR((VLOOKUP($C265,装備品!$1:$998,COLUMN(L$1),FALSE)+VLOOKUP($D265,素材!$1:$1016,COLUMN(I$1),FALSE))*100+IFERROR(VLOOKUP($CI265,付与!$1:$1167,COLUMN(P$1),FALSE),0),"")</f>
        <v>125</v>
      </c>
      <c r="Q265">
        <f>IFERROR(ROUNDUP(VLOOKUP($C265,装備品!$1:$998,COLUMN(M$1),FALSE)*(VLOOKUP($D265,素材!$1:$1002,COLUMN(D$1),FALSE)/100),1),"")</f>
        <v>-5</v>
      </c>
      <c r="R265">
        <f>IFERROR(ROUNDUP(VLOOKUP($C265,装備品!$1:$998,COLUMN(N$1),FALSE)*(VLOOKUP($D265,素材!$1:$1002,COLUMN(D$1),FALSE)/100),1),"")</f>
        <v>0</v>
      </c>
      <c r="S265">
        <f>IFERROR(VLOOKUP($C265,装備品!$1:$998,COLUMN(P$1),FALSE),"")</f>
        <v>0</v>
      </c>
      <c r="T265">
        <f>IFERROR(VLOOKUP($C265,装備品!$1:$998,COLUMN(Q$1),FALSE),"")</f>
        <v>0</v>
      </c>
      <c r="U265">
        <f>IFERROR(VLOOKUP($C265,装備品!$1:$998,COLUMN(R$1),FALSE),"")</f>
        <v>0</v>
      </c>
      <c r="V265">
        <f>IFERROR(VLOOKUP($C265,装備品!$1:$998,COLUMN(Q$1),FALSE),"")</f>
        <v>0</v>
      </c>
      <c r="W265">
        <f>IFERROR(VLOOKUP($C265,装備品!$1:$998,COLUMN(T$1),FALSE),"")</f>
        <v>0.25</v>
      </c>
      <c r="Y265">
        <f>IFERROR(VLOOKUP($C265,装備品!$1:$998,COLUMN(U$1),FALSE),"")</f>
        <v>0</v>
      </c>
      <c r="Z265">
        <f>IFERROR(ROUNDUP(VLOOKUP($C265,装備品!$1:$998,COLUMN(O$1),FALSE)*VLOOKUP($D265,素材!$1:$1016,COLUMN(E$1),FALSE),1),"")</f>
        <v>-300</v>
      </c>
      <c r="AA265">
        <f>IF(ISNUMBER(SEARCH(SUBSTITUTE(AA$1,RIGHT(AA$1,2),""),VLOOKUP($D265,素材!$1:$1016,COLUMN($F$1),FALSE))),VLOOKUP($C265,装備品!$1:$998,COLUMN($O$1),FALSE)*VLOOKUP($D265,素材!$1:$1016,COLUMN($E$1),FALSE)/(LEN(VLOOKUP($D265,素材!$1:$1016,COLUMN($F$1),FALSE))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IFERROR(VLOOKUP($C265,装備品!$1:$998,COLUMN(V$1),FALSE)*VLOOKUP($D265,素材!$1:$1016,COLUMN(N$1),FALSE)+IF(CI265="",0,VLOOKUP($CI265,付与!$1:$1176,COLUMN($CK$1),FALSE)),"")</f>
        <v>0</v>
      </c>
      <c r="CO265">
        <f>VLOOKUP(D265,素材!$A:$O,COLUMN(素材!O$1),FALSE)</f>
        <v>0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IFERROR(VLOOKUP($D266,素材!$1:$1016,COLUMN($B$1),FALSE)&amp;"・"&amp;VLOOKUP($C266,装備品!$1:$998,COLUMN(B$1),FALSE),"")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IFERROR(VLOOKUP(C266,装備品!$1:$998,COLUMN(C$1),FALSE),"")</f>
        <v>体</v>
      </c>
      <c r="F266">
        <f>IFERROR(ROUNDDOWN((VLOOKUP($C266,装備品!$1:$998,COLUMN(D$1),FALSE)+IFERROR(VLOOKUP($CI266,付与!$1:$1167,COLUMN(F$1),FALSE),0))*VLOOKUP($D266,素材!$1:$1016,COLUMN(D$1),FALSE),0),"")</f>
        <v>0</v>
      </c>
      <c r="G266">
        <f>IFERROR(ROUNDDOWN((VLOOKUP($C266,装備品!$1:$998,COLUMN(E$1),FALSE)+IFERROR(VLOOKUP($CI266,付与!$1:$1167,COLUMN(G$1),FALSE),0))*VLOOKUP($D266,素材!$1:$1016,COLUMN($E$1),FALSE),0),"")</f>
        <v>0</v>
      </c>
      <c r="H266">
        <f>IFERROR(ROUNDDOWN((VLOOKUP($C266,装備品!$1:$998,COLUMN(F$1),FALSE)+IFERROR(VLOOKUP($CI266,付与!$1:$1167,COLUMN(H$1),FALSE),0))*VLOOKUP($D266,素材!$1:$1016,COLUMN($E$1),FALSE),0),"")</f>
        <v>0</v>
      </c>
      <c r="I266">
        <f>IFERROR(ROUNDDOWN((VLOOKUP($C266,装備品!$1:$998,COLUMN(G$1),FALSE)+IFERROR(VLOOKUP($CI266,付与!$1:$1167,COLUMN(I$1),FALSE),0))*VLOOKUP($D266,素材!$1:$1016,COLUMN($E$1),FALSE),0),"")</f>
        <v>0</v>
      </c>
      <c r="J266">
        <f>IFERROR(ROUNDDOWN((VLOOKUP($C266,装備品!$1:$998,COLUMN(H$1),FALSE)+IFERROR(VLOOKUP($CI266,付与!$1:$1167,COLUMN(J$1),FALSE),0))*VLOOKUP($D266,素材!$1:$1016,COLUMN($E$1),FALSE),0),"")</f>
        <v>0</v>
      </c>
      <c r="K266">
        <f>IFERROR(ROUNDDOWN((VLOOKUP($C266,装備品!$1:$998,COLUMN(I$1),FALSE)+IFERROR(VLOOKUP($CI266,付与!$1:$1167,COLUMN(K$1),FALSE),0))*VLOOKUP($D266,素材!$1:$1016,COLUMN($E$1),FALSE),0),"")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IFERROR(VLOOKUP($C266,装備品!$1:$998,COLUMN(AA$1),FALSE)*VLOOKUP($D266,素材!$1:$1016,COLUMN($G$1),FALSE),"")</f>
        <v>105</v>
      </c>
      <c r="N266">
        <f>IFERROR(VLOOKUP($C266,装備品!$1:$998,COLUMN(I$1),FALSE),"")</f>
        <v>0</v>
      </c>
      <c r="O266" s="23">
        <f>IFERROR((VLOOKUP($C266,装備品!$1:$998,COLUMN(K$1),FALSE)+VLOOKUP($D266,素材!$1:$1016,COLUMN(H$1),FALSE))*100+IFERROR(VLOOKUP($CI266,付与!$1:$1167,COLUMN(O$1),FALSE),0),"")</f>
        <v>0</v>
      </c>
      <c r="P266" s="23">
        <f>IFERROR((VLOOKUP($C266,装備品!$1:$998,COLUMN(L$1),FALSE)+VLOOKUP($D266,素材!$1:$1016,COLUMN(I$1),FALSE))*100+IFERROR(VLOOKUP($CI266,付与!$1:$1167,COLUMN(P$1),FALSE),0),"")</f>
        <v>0</v>
      </c>
      <c r="Q266">
        <f>IFERROR(ROUNDUP(VLOOKUP($C266,装備品!$1:$998,COLUMN(M$1),FALSE)*(VLOOKUP($D266,素材!$1:$1002,COLUMN(D$1),FALSE)/100),1),"")</f>
        <v>-15</v>
      </c>
      <c r="R266">
        <f>IFERROR(ROUNDUP(VLOOKUP($C266,装備品!$1:$998,COLUMN(N$1),FALSE)*(VLOOKUP($D266,素材!$1:$1002,COLUMN(D$1),FALSE)/100),1),"")</f>
        <v>0</v>
      </c>
      <c r="S266">
        <f>IFERROR(VLOOKUP($C266,装備品!$1:$998,COLUMN(P$1),FALSE),"")</f>
        <v>-35</v>
      </c>
      <c r="T266">
        <f>IFERROR(VLOOKUP($C266,装備品!$1:$998,COLUMN(Q$1),FALSE),"")</f>
        <v>0</v>
      </c>
      <c r="U266">
        <f>IFERROR(VLOOKUP($C266,装備品!$1:$998,COLUMN(R$1),FALSE),"")</f>
        <v>0</v>
      </c>
      <c r="V266">
        <f>IFERROR(VLOOKUP($C266,装備品!$1:$998,COLUMN(Q$1),FALSE),"")</f>
        <v>0</v>
      </c>
      <c r="W266">
        <f>IFERROR(VLOOKUP($C266,装備品!$1:$998,COLUMN(T$1),FALSE),"")</f>
        <v>0.7</v>
      </c>
      <c r="Y266">
        <f>IFERROR(VLOOKUP($C266,装備品!$1:$998,COLUMN(U$1),FALSE),"")</f>
        <v>0</v>
      </c>
      <c r="Z266">
        <f>IFERROR(ROUNDUP(VLOOKUP($C266,装備品!$1:$998,COLUMN(O$1),FALSE)*VLOOKUP($D266,素材!$1:$1016,COLUMN(E$1),FALSE),1),"")</f>
        <v>0</v>
      </c>
      <c r="AA266">
        <f>IF(ISNUMBER(SEARCH(SUBSTITUTE(AA$1,RIGHT(AA$1,2),""),VLOOKUP($D266,素材!$1:$1016,COLUMN($F$1),FALSE))),VLOOKUP($C266,装備品!$1:$998,COLUMN($O$1),FALSE)*VLOOKUP($D266,素材!$1:$1016,COLUMN($E$1),FALSE)/(LEN(VLOOKUP($D266,素材!$1:$1016,COLUMN($F$1),FALSE))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IFERROR(VLOOKUP($C266,装備品!$1:$998,COLUMN(V$1),FALSE)*VLOOKUP($D266,素材!$1:$1016,COLUMN(N$1),FALSE)+IF(CI266="",0,VLOOKUP($CI266,付与!$1:$1176,COLUMN($CK$1),FALSE)),"")</f>
        <v>0</v>
      </c>
      <c r="CO266">
        <f>VLOOKUP(D266,素材!$A:$O,COLUMN(素材!O$1),FALSE)</f>
        <v>0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IFERROR(VLOOKUP($D267,素材!$1:$1016,COLUMN($B$1),FALSE)&amp;"・"&amp;VLOOKUP($C267,装備品!$1:$998,COLUMN(B$1),FALSE),"")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IFERROR(VLOOKUP(C267,装備品!$1:$998,COLUMN(C$1),FALSE),"")</f>
        <v>体</v>
      </c>
      <c r="F267">
        <f>IFERROR(ROUNDDOWN((VLOOKUP($C267,装備品!$1:$998,COLUMN(D$1),FALSE)+IFERROR(VLOOKUP($CI267,付与!$1:$1167,COLUMN(F$1),FALSE),0))*VLOOKUP($D267,素材!$1:$1016,COLUMN(D$1),FALSE),0),"")</f>
        <v>0</v>
      </c>
      <c r="G267">
        <f>IFERROR(ROUNDDOWN((VLOOKUP($C267,装備品!$1:$998,COLUMN(E$1),FALSE)+IFERROR(VLOOKUP($CI267,付与!$1:$1167,COLUMN(G$1),FALSE),0))*VLOOKUP($D267,素材!$1:$1016,COLUMN($E$1),FALSE),0),"")</f>
        <v>0</v>
      </c>
      <c r="H267">
        <f>IFERROR(ROUNDDOWN((VLOOKUP($C267,装備品!$1:$998,COLUMN(F$1),FALSE)+IFERROR(VLOOKUP($CI267,付与!$1:$1167,COLUMN(H$1),FALSE),0))*VLOOKUP($D267,素材!$1:$1016,COLUMN($E$1),FALSE),0),"")</f>
        <v>0</v>
      </c>
      <c r="I267">
        <f>IFERROR(ROUNDDOWN((VLOOKUP($C267,装備品!$1:$998,COLUMN(G$1),FALSE)+IFERROR(VLOOKUP($CI267,付与!$1:$1167,COLUMN(I$1),FALSE),0))*VLOOKUP($D267,素材!$1:$1016,COLUMN($E$1),FALSE),0),"")</f>
        <v>0</v>
      </c>
      <c r="J267">
        <f>IFERROR(ROUNDDOWN((VLOOKUP($C267,装備品!$1:$998,COLUMN(H$1),FALSE)+IFERROR(VLOOKUP($CI267,付与!$1:$1167,COLUMN(J$1),FALSE),0))*VLOOKUP($D267,素材!$1:$1016,COLUMN($E$1),FALSE),0),"")</f>
        <v>0</v>
      </c>
      <c r="K267">
        <f>IFERROR(ROUNDDOWN((VLOOKUP($C267,装備品!$1:$998,COLUMN(I$1),FALSE)+IFERROR(VLOOKUP($CI267,付与!$1:$1167,COLUMN(K$1),FALSE),0))*VLOOKUP($D267,素材!$1:$1016,COLUMN($E$1),FALSE),0),"")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IFERROR(VLOOKUP($C267,装備品!$1:$998,COLUMN(AA$1),FALSE)*VLOOKUP($D267,素材!$1:$1016,COLUMN($G$1),FALSE),"")</f>
        <v>87.5</v>
      </c>
      <c r="N267">
        <f>IFERROR(VLOOKUP($C267,装備品!$1:$998,COLUMN(I$1),FALSE),"")</f>
        <v>0</v>
      </c>
      <c r="O267" s="23">
        <f>IFERROR((VLOOKUP($C267,装備品!$1:$998,COLUMN(K$1),FALSE)+VLOOKUP($D267,素材!$1:$1016,COLUMN(H$1),FALSE))*100+IFERROR(VLOOKUP($CI267,付与!$1:$1167,COLUMN(O$1),FALSE),0),"")</f>
        <v>0</v>
      </c>
      <c r="P267" s="23">
        <f>IFERROR((VLOOKUP($C267,装備品!$1:$998,COLUMN(L$1),FALSE)+VLOOKUP($D267,素材!$1:$1016,COLUMN(I$1),FALSE))*100+IFERROR(VLOOKUP($CI267,付与!$1:$1167,COLUMN(P$1),FALSE),0),"")</f>
        <v>0</v>
      </c>
      <c r="Q267">
        <f>IFERROR(ROUNDUP(VLOOKUP($C267,装備品!$1:$998,COLUMN(M$1),FALSE)*(VLOOKUP($D267,素材!$1:$1002,COLUMN(D$1),FALSE)/100),1),"")</f>
        <v>-7.5</v>
      </c>
      <c r="R267">
        <f>IFERROR(ROUNDUP(VLOOKUP($C267,装備品!$1:$998,COLUMN(N$1),FALSE)*(VLOOKUP($D267,素材!$1:$1002,COLUMN(D$1),FALSE)/100),1),"")</f>
        <v>0</v>
      </c>
      <c r="S267">
        <f>IFERROR(VLOOKUP($C267,装備品!$1:$998,COLUMN(P$1),FALSE),"")</f>
        <v>-15</v>
      </c>
      <c r="T267">
        <f>IFERROR(VLOOKUP($C267,装備品!$1:$998,COLUMN(Q$1),FALSE),"")</f>
        <v>0</v>
      </c>
      <c r="U267">
        <f>IFERROR(VLOOKUP($C267,装備品!$1:$998,COLUMN(R$1),FALSE),"")</f>
        <v>0</v>
      </c>
      <c r="V267">
        <f>IFERROR(VLOOKUP($C267,装備品!$1:$998,COLUMN(Q$1),FALSE),"")</f>
        <v>0</v>
      </c>
      <c r="W267">
        <f>IFERROR(VLOOKUP($C267,装備品!$1:$998,COLUMN(T$1),FALSE),"")</f>
        <v>0.5</v>
      </c>
      <c r="Y267">
        <f>IFERROR(VLOOKUP($C267,装備品!$1:$998,COLUMN(U$1),FALSE),"")</f>
        <v>0</v>
      </c>
      <c r="Z267">
        <f>IFERROR(ROUNDUP(VLOOKUP($C267,装備品!$1:$998,COLUMN(O$1),FALSE)*VLOOKUP($D267,素材!$1:$1016,COLUMN(E$1),FALSE),1),"")</f>
        <v>0</v>
      </c>
      <c r="AA267">
        <f>IF(ISNUMBER(SEARCH(SUBSTITUTE(AA$1,RIGHT(AA$1,2),""),VLOOKUP($D267,素材!$1:$1016,COLUMN($F$1),FALSE))),VLOOKUP($C267,装備品!$1:$998,COLUMN($O$1),FALSE)*VLOOKUP($D267,素材!$1:$1016,COLUMN($E$1),FALSE)/(LEN(VLOOKUP($D267,素材!$1:$1016,COLUMN($F$1),FALSE))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IFERROR(VLOOKUP($C267,装備品!$1:$998,COLUMN(V$1),FALSE)*VLOOKUP($D267,素材!$1:$1016,COLUMN(N$1),FALSE)+IF(CI267="",0,VLOOKUP($CI267,付与!$1:$1176,COLUMN($CK$1),FALSE)),"")</f>
        <v>0</v>
      </c>
      <c r="CO267">
        <f>VLOOKUP(D267,素材!$A:$O,COLUMN(素材!O$1),FALSE)</f>
        <v>0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IFERROR(VLOOKUP($D268,素材!$1:$1016,COLUMN($B$1),FALSE)&amp;"・"&amp;VLOOKUP($C268,装備品!$1:$998,COLUMN(B$1),FALSE),"")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IFERROR(VLOOKUP(C268,装備品!$1:$998,COLUMN(C$1),FALSE),"")</f>
        <v>足</v>
      </c>
      <c r="F268">
        <f>IFERROR(ROUNDDOWN((VLOOKUP($C268,装備品!$1:$998,COLUMN(D$1),FALSE)+IFERROR(VLOOKUP($CI268,付与!$1:$1167,COLUMN(F$1),FALSE),0))*VLOOKUP($D268,素材!$1:$1016,COLUMN(D$1),FALSE),0),"")</f>
        <v>0</v>
      </c>
      <c r="G268">
        <f>IFERROR(ROUNDDOWN((VLOOKUP($C268,装備品!$1:$998,COLUMN(E$1),FALSE)+IFERROR(VLOOKUP($CI268,付与!$1:$1167,COLUMN(G$1),FALSE),0))*VLOOKUP($D268,素材!$1:$1016,COLUMN($E$1),FALSE),0),"")</f>
        <v>0</v>
      </c>
      <c r="H268">
        <f>IFERROR(ROUNDDOWN((VLOOKUP($C268,装備品!$1:$998,COLUMN(F$1),FALSE)+IFERROR(VLOOKUP($CI268,付与!$1:$1167,COLUMN(H$1),FALSE),0))*VLOOKUP($D268,素材!$1:$1016,COLUMN($E$1),FALSE),0),"")</f>
        <v>0</v>
      </c>
      <c r="I268">
        <f>IFERROR(ROUNDDOWN((VLOOKUP($C268,装備品!$1:$998,COLUMN(G$1),FALSE)+IFERROR(VLOOKUP($CI268,付与!$1:$1167,COLUMN(I$1),FALSE),0))*VLOOKUP($D268,素材!$1:$1016,COLUMN($E$1),FALSE),0),"")</f>
        <v>20</v>
      </c>
      <c r="J268">
        <f>IFERROR(ROUNDDOWN((VLOOKUP($C268,装備品!$1:$998,COLUMN(H$1),FALSE)+IFERROR(VLOOKUP($CI268,付与!$1:$1167,COLUMN(J$1),FALSE),0))*VLOOKUP($D268,素材!$1:$1016,COLUMN($E$1),FALSE),0),"")</f>
        <v>0</v>
      </c>
      <c r="K268">
        <f>IFERROR(ROUNDDOWN((VLOOKUP($C268,装備品!$1:$998,COLUMN(I$1),FALSE)+IFERROR(VLOOKUP($CI268,付与!$1:$1167,COLUMN(K$1),FALSE),0))*VLOOKUP($D268,素材!$1:$1016,COLUMN($E$1),FALSE),0),"")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IFERROR(VLOOKUP($C268,装備品!$1:$998,COLUMN(AA$1),FALSE)*VLOOKUP($D268,素材!$1:$1016,COLUMN($G$1),FALSE),"")</f>
        <v>35</v>
      </c>
      <c r="N268">
        <f>IFERROR(VLOOKUP($C268,装備品!$1:$998,COLUMN(I$1),FALSE),"")</f>
        <v>0</v>
      </c>
      <c r="O268" s="23">
        <f>IFERROR((VLOOKUP($C268,装備品!$1:$998,COLUMN(K$1),FALSE)+VLOOKUP($D268,素材!$1:$1016,COLUMN(H$1),FALSE))*100+IFERROR(VLOOKUP($CI268,付与!$1:$1167,COLUMN(O$1),FALSE),0),"")</f>
        <v>10</v>
      </c>
      <c r="P268" s="23">
        <f>IFERROR((VLOOKUP($C268,装備品!$1:$998,COLUMN(L$1),FALSE)+VLOOKUP($D268,素材!$1:$1016,COLUMN(I$1),FALSE))*100+IFERROR(VLOOKUP($CI268,付与!$1:$1167,COLUMN(P$1),FALSE),0),"")</f>
        <v>150</v>
      </c>
      <c r="Q268">
        <f>IFERROR(ROUNDUP(VLOOKUP($C268,装備品!$1:$998,COLUMN(M$1),FALSE)*(VLOOKUP($D268,素材!$1:$1002,COLUMN(D$1),FALSE)/100),1),"")</f>
        <v>0</v>
      </c>
      <c r="R268">
        <f>IFERROR(ROUNDUP(VLOOKUP($C268,装備品!$1:$998,COLUMN(N$1),FALSE)*(VLOOKUP($D268,素材!$1:$1002,COLUMN(D$1),FALSE)/100),1),"")</f>
        <v>0</v>
      </c>
      <c r="S268">
        <f>IFERROR(VLOOKUP($C268,装備品!$1:$998,COLUMN(P$1),FALSE),"")</f>
        <v>0</v>
      </c>
      <c r="T268">
        <f>IFERROR(VLOOKUP($C268,装備品!$1:$998,COLUMN(Q$1),FALSE),"")</f>
        <v>0</v>
      </c>
      <c r="U268">
        <f>IFERROR(VLOOKUP($C268,装備品!$1:$998,COLUMN(R$1),FALSE),"")</f>
        <v>0</v>
      </c>
      <c r="V268">
        <f>IFERROR(VLOOKUP($C268,装備品!$1:$998,COLUMN(Q$1),FALSE),"")</f>
        <v>0</v>
      </c>
      <c r="W268">
        <f>IFERROR(VLOOKUP($C268,装備品!$1:$998,COLUMN(T$1),FALSE),"")</f>
        <v>0.15</v>
      </c>
      <c r="Y268">
        <f>IFERROR(VLOOKUP($C268,装備品!$1:$998,COLUMN(U$1),FALSE),"")</f>
        <v>0</v>
      </c>
      <c r="Z268">
        <f>IFERROR(ROUNDUP(VLOOKUP($C268,装備品!$1:$998,COLUMN(O$1),FALSE)*VLOOKUP($D268,素材!$1:$1016,COLUMN(E$1),FALSE),1),"")</f>
        <v>0</v>
      </c>
      <c r="AA268">
        <f>IF(ISNUMBER(SEARCH(SUBSTITUTE(AA$1,RIGHT(AA$1,2),""),VLOOKUP($D268,素材!$1:$1016,COLUMN($F$1),FALSE))),VLOOKUP($C268,装備品!$1:$998,COLUMN($O$1),FALSE)*VLOOKUP($D268,素材!$1:$1016,COLUMN($E$1),FALSE)/(LEN(VLOOKUP($D268,素材!$1:$1016,COLUMN($F$1),FALSE))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IFERROR(VLOOKUP($C268,装備品!$1:$998,COLUMN(V$1),FALSE)*VLOOKUP($D268,素材!$1:$1016,COLUMN(N$1),FALSE)+IF(CI268="",0,VLOOKUP($CI268,付与!$1:$1176,COLUMN($CK$1),FALSE)),"")</f>
        <v>0</v>
      </c>
      <c r="CO268">
        <f>VLOOKUP(D268,素材!$A:$O,COLUMN(素材!O$1),FALSE)</f>
        <v>0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IFERROR(VLOOKUP($D269,素材!$1:$1016,COLUMN($B$1),FALSE)&amp;"・"&amp;VLOOKUP($C269,装備品!$1:$998,COLUMN(B$1),FALSE),"")</f>
        <v/>
      </c>
      <c r="C269" s="24"/>
      <c r="D269" s="24"/>
      <c r="E269" t="str">
        <f>IFERROR(VLOOKUP(C269,装備品!$1:$998,COLUMN(C$1),FALSE),"")</f>
        <v/>
      </c>
      <c r="F269" t="str">
        <f>IFERROR(ROUNDDOWN((VLOOKUP($C269,装備品!$1:$998,COLUMN(D$1),FALSE)+IFERROR(VLOOKUP($CI269,付与!$1:$1167,COLUMN(F$1),FALSE),0))*VLOOKUP($D269,素材!$1:$1016,COLUMN(D$1),FALSE),0),"")</f>
        <v/>
      </c>
      <c r="G269" t="str">
        <f>IFERROR(ROUNDDOWN((VLOOKUP($C269,装備品!$1:$998,COLUMN(E$1),FALSE)+IFERROR(VLOOKUP($CI269,付与!$1:$1167,COLUMN(G$1),FALSE),0))*VLOOKUP($D269,素材!$1:$1016,COLUMN($E$1),FALSE),0),"")</f>
        <v/>
      </c>
      <c r="H269" t="str">
        <f>IFERROR(ROUNDDOWN((VLOOKUP($C269,装備品!$1:$998,COLUMN(F$1),FALSE)+IFERROR(VLOOKUP($CI269,付与!$1:$1167,COLUMN(H$1),FALSE),0))*VLOOKUP($D269,素材!$1:$1016,COLUMN($E$1),FALSE),0),"")</f>
        <v/>
      </c>
      <c r="I269" t="str">
        <f>IFERROR(ROUNDDOWN((VLOOKUP($C269,装備品!$1:$998,COLUMN(G$1),FALSE)+IFERROR(VLOOKUP($CI269,付与!$1:$1167,COLUMN(I$1),FALSE),0))*VLOOKUP($D269,素材!$1:$1016,COLUMN($E$1),FALSE),0),"")</f>
        <v/>
      </c>
      <c r="J269" t="str">
        <f>IFERROR(ROUNDDOWN((VLOOKUP($C269,装備品!$1:$998,COLUMN(H$1),FALSE)+IFERROR(VLOOKUP($CI269,付与!$1:$1167,COLUMN(J$1),FALSE),0))*VLOOKUP($D269,素材!$1:$1016,COLUMN($E$1),FALSE),0),"")</f>
        <v/>
      </c>
      <c r="K269" t="str">
        <f>IFERROR(ROUNDDOWN((VLOOKUP($C269,装備品!$1:$998,COLUMN(I$1),FALSE)+IFERROR(VLOOKUP($CI269,付与!$1:$1167,COLUMN(K$1),FALSE),0))*VLOOKUP($D269,素材!$1:$1016,COLUMN($E$1),FALSE),0),"")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IFERROR(VLOOKUP($C269,装備品!$1:$998,COLUMN(AA$1),FALSE)*VLOOKUP($D269,素材!$1:$1016,COLUMN($G$1),FALSE),"")</f>
        <v/>
      </c>
      <c r="N269" t="str">
        <f>IFERROR(VLOOKUP($C269,装備品!$1:$998,COLUMN(I$1),FALSE),"")</f>
        <v/>
      </c>
      <c r="O269" s="23" t="str">
        <f>IFERROR((VLOOKUP($C269,装備品!$1:$998,COLUMN(K$1),FALSE)+VLOOKUP($D269,素材!$1:$1016,COLUMN(H$1),FALSE))*100+IFERROR(VLOOKUP($CI269,付与!$1:$1167,COLUMN(O$1),FALSE),0),"")</f>
        <v/>
      </c>
      <c r="P269" s="23" t="str">
        <f>IFERROR((VLOOKUP($C269,装備品!$1:$998,COLUMN(L$1),FALSE)+VLOOKUP($D269,素材!$1:$1016,COLUMN(I$1),FALSE))*100+IFERROR(VLOOKUP($CI269,付与!$1:$1167,COLUMN(P$1),FALSE),0),"")</f>
        <v/>
      </c>
      <c r="Q269" t="str">
        <f>IFERROR(ROUNDUP(VLOOKUP($C269,装備品!$1:$998,COLUMN(M$1),FALSE)*(VLOOKUP($D269,素材!$1:$1002,COLUMN(D$1),FALSE)/100),1),"")</f>
        <v/>
      </c>
      <c r="R269" t="str">
        <f>IFERROR(ROUNDUP(VLOOKUP($C269,装備品!$1:$998,COLUMN(N$1),FALSE)*(VLOOKUP($D269,素材!$1:$1002,COLUMN(D$1),FALSE)/100),1),"")</f>
        <v/>
      </c>
      <c r="S269" t="str">
        <f>IFERROR(VLOOKUP($C269,装備品!$1:$998,COLUMN(P$1),FALSE),"")</f>
        <v/>
      </c>
      <c r="T269" t="str">
        <f>IFERROR(VLOOKUP($C269,装備品!$1:$998,COLUMN(Q$1),FALSE),"")</f>
        <v/>
      </c>
      <c r="U269" t="str">
        <f>IFERROR(VLOOKUP($C269,装備品!$1:$998,COLUMN(R$1),FALSE),"")</f>
        <v/>
      </c>
      <c r="V269" t="str">
        <f>IFERROR(VLOOKUP($C269,装備品!$1:$998,COLUMN(Q$1),FALSE),"")</f>
        <v/>
      </c>
      <c r="W269" t="str">
        <f>IFERROR(VLOOKUP($C269,装備品!$1:$998,COLUMN(T$1),FALSE),"")</f>
        <v/>
      </c>
      <c r="Y269" t="str">
        <f>IFERROR(VLOOKUP($C269,装備品!$1:$998,COLUMN(U$1),FALSE),"")</f>
        <v/>
      </c>
      <c r="Z269" t="str">
        <f>IFERROR(ROUNDUP(VLOOKUP($C269,装備品!$1:$998,COLUMN(O$1),FALSE)*VLOOKUP($D269,素材!$1:$1016,COLUMN(E$1),FALSE),1),"")</f>
        <v/>
      </c>
      <c r="AA269">
        <f>IF(ISNUMBER(SEARCH(SUBSTITUTE(AA$1,RIGHT(AA$1,2),""),VLOOKUP($D269,素材!$1:$1016,COLUMN($F$1),FALSE))),VLOOKUP($C269,装備品!$1:$998,COLUMN($O$1),FALSE)*VLOOKUP($D269,素材!$1:$1016,COLUMN($E$1),FALSE)/(LEN(VLOOKUP($D269,素材!$1:$1016,COLUMN($F$1),FALSE))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IFERROR(VLOOKUP($C269,装備品!$1:$998,COLUMN(V$1),FALSE)*VLOOKUP($D269,素材!$1:$1016,COLUMN(N$1),FALSE)+IF(CI269="",0,VLOOKUP($CI269,付与!$1:$1176,COLUMN($CK$1),FALSE)),"")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IFERROR(VLOOKUP($D270,素材!$1:$1016,COLUMN($B$1),FALSE)&amp;"・"&amp;VLOOKUP($C270,装備品!$1:$998,COLUMN(B$1),FALSE),"")</f>
        <v/>
      </c>
      <c r="C270" s="24"/>
      <c r="D270" s="24"/>
      <c r="E270" t="str">
        <f>IFERROR(VLOOKUP(C270,装備品!$1:$998,COLUMN(C$1),FALSE),"")</f>
        <v/>
      </c>
      <c r="F270" t="str">
        <f>IFERROR(ROUNDDOWN((VLOOKUP($C270,装備品!$1:$998,COLUMN(D$1),FALSE)+IFERROR(VLOOKUP($CI270,付与!$1:$1167,COLUMN(F$1),FALSE),0))*VLOOKUP($D270,素材!$1:$1016,COLUMN(D$1),FALSE),0),"")</f>
        <v/>
      </c>
      <c r="G270" t="str">
        <f>IFERROR(ROUNDDOWN((VLOOKUP($C270,装備品!$1:$998,COLUMN(E$1),FALSE)+IFERROR(VLOOKUP($CI270,付与!$1:$1167,COLUMN(G$1),FALSE),0))*VLOOKUP($D270,素材!$1:$1016,COLUMN($E$1),FALSE),0),"")</f>
        <v/>
      </c>
      <c r="H270" t="str">
        <f>IFERROR(ROUNDDOWN((VLOOKUP($C270,装備品!$1:$998,COLUMN(F$1),FALSE)+IFERROR(VLOOKUP($CI270,付与!$1:$1167,COLUMN(H$1),FALSE),0))*VLOOKUP($D270,素材!$1:$1016,COLUMN($E$1),FALSE),0),"")</f>
        <v/>
      </c>
      <c r="I270" t="str">
        <f>IFERROR(ROUNDDOWN((VLOOKUP($C270,装備品!$1:$998,COLUMN(G$1),FALSE)+IFERROR(VLOOKUP($CI270,付与!$1:$1167,COLUMN(I$1),FALSE),0))*VLOOKUP($D270,素材!$1:$1016,COLUMN($E$1),FALSE),0),"")</f>
        <v/>
      </c>
      <c r="J270" t="str">
        <f>IFERROR(ROUNDDOWN((VLOOKUP($C270,装備品!$1:$998,COLUMN(H$1),FALSE)+IFERROR(VLOOKUP($CI270,付与!$1:$1167,COLUMN(J$1),FALSE),0))*VLOOKUP($D270,素材!$1:$1016,COLUMN($E$1),FALSE),0),"")</f>
        <v/>
      </c>
      <c r="K270" t="str">
        <f>IFERROR(ROUNDDOWN((VLOOKUP($C270,装備品!$1:$998,COLUMN(I$1),FALSE)+IFERROR(VLOOKUP($CI270,付与!$1:$1167,COLUMN(K$1),FALSE),0))*VLOOKUP($D270,素材!$1:$1016,COLUMN($E$1),FALSE),0),"")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IFERROR(VLOOKUP($C270,装備品!$1:$998,COLUMN(AA$1),FALSE)*VLOOKUP($D270,素材!$1:$1016,COLUMN($G$1),FALSE),"")</f>
        <v/>
      </c>
      <c r="N270" t="str">
        <f>IFERROR(VLOOKUP($C270,装備品!$1:$998,COLUMN(I$1),FALSE),"")</f>
        <v/>
      </c>
      <c r="O270" s="23" t="str">
        <f>IFERROR((VLOOKUP($C270,装備品!$1:$998,COLUMN(K$1),FALSE)+VLOOKUP($D270,素材!$1:$1016,COLUMN(H$1),FALSE))*100+IFERROR(VLOOKUP($CI270,付与!$1:$1167,COLUMN(O$1),FALSE),0),"")</f>
        <v/>
      </c>
      <c r="P270" s="23" t="str">
        <f>IFERROR((VLOOKUP($C270,装備品!$1:$998,COLUMN(L$1),FALSE)+VLOOKUP($D270,素材!$1:$1016,COLUMN(I$1),FALSE))*100+IFERROR(VLOOKUP($CI270,付与!$1:$1167,COLUMN(P$1),FALSE),0),"")</f>
        <v/>
      </c>
      <c r="Q270" t="str">
        <f>IFERROR(ROUNDUP(VLOOKUP($C270,装備品!$1:$998,COLUMN(M$1),FALSE)*(VLOOKUP($D270,素材!$1:$1002,COLUMN(D$1),FALSE)/100),1),"")</f>
        <v/>
      </c>
      <c r="R270" t="str">
        <f>IFERROR(ROUNDUP(VLOOKUP($C270,装備品!$1:$998,COLUMN(N$1),FALSE)*(VLOOKUP($D270,素材!$1:$1002,COLUMN(D$1),FALSE)/100),1),"")</f>
        <v/>
      </c>
      <c r="S270" t="str">
        <f>IFERROR(VLOOKUP($C270,装備品!$1:$998,COLUMN(P$1),FALSE),"")</f>
        <v/>
      </c>
      <c r="T270" t="str">
        <f>IFERROR(VLOOKUP($C270,装備品!$1:$998,COLUMN(Q$1),FALSE),"")</f>
        <v/>
      </c>
      <c r="U270" t="str">
        <f>IFERROR(VLOOKUP($C270,装備品!$1:$998,COLUMN(R$1),FALSE),"")</f>
        <v/>
      </c>
      <c r="V270" t="str">
        <f>IFERROR(VLOOKUP($C270,装備品!$1:$998,COLUMN(Q$1),FALSE),"")</f>
        <v/>
      </c>
      <c r="W270" t="str">
        <f>IFERROR(VLOOKUP($C270,装備品!$1:$998,COLUMN(T$1),FALSE),"")</f>
        <v/>
      </c>
      <c r="Y270" t="str">
        <f>IFERROR(VLOOKUP($C270,装備品!$1:$998,COLUMN(U$1),FALSE),"")</f>
        <v/>
      </c>
      <c r="Z270" t="str">
        <f>IFERROR(ROUNDUP(VLOOKUP($C270,装備品!$1:$998,COLUMN(O$1),FALSE)*VLOOKUP($D270,素材!$1:$1016,COLUMN(E$1),FALSE),1),"")</f>
        <v/>
      </c>
      <c r="AA270">
        <f>IF(ISNUMBER(SEARCH(SUBSTITUTE(AA$1,RIGHT(AA$1,2),""),VLOOKUP($D270,素材!$1:$1016,COLUMN($F$1),FALSE))),VLOOKUP($C270,装備品!$1:$998,COLUMN($O$1),FALSE)*VLOOKUP($D270,素材!$1:$1016,COLUMN($E$1),FALSE)/(LEN(VLOOKUP($D270,素材!$1:$1016,COLUMN($F$1),FALSE))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IFERROR(VLOOKUP($C270,装備品!$1:$998,COLUMN(V$1),FALSE)*VLOOKUP($D270,素材!$1:$1016,COLUMN(N$1),FALSE)+IF(CI270="",0,VLOOKUP($CI270,付与!$1:$1176,COLUMN($CK$1),FALSE)),"")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IFERROR(VLOOKUP($D271,素材!$1:$1016,COLUMN($B$1),FALSE)&amp;"・"&amp;VLOOKUP($C271,装備品!$1:$998,COLUMN(B$1),FALSE),"")</f>
        <v/>
      </c>
      <c r="C271" s="24"/>
      <c r="D271" s="24"/>
      <c r="E271" t="str">
        <f>IFERROR(VLOOKUP(C271,装備品!$1:$998,COLUMN(C$1),FALSE),"")</f>
        <v/>
      </c>
      <c r="F271" t="str">
        <f>IFERROR(ROUNDDOWN((VLOOKUP($C271,装備品!$1:$998,COLUMN(D$1),FALSE)+IFERROR(VLOOKUP($CI271,付与!$1:$1167,COLUMN(F$1),FALSE),0))*VLOOKUP($D271,素材!$1:$1016,COLUMN(D$1),FALSE),0),"")</f>
        <v/>
      </c>
      <c r="G271" t="str">
        <f>IFERROR(ROUNDDOWN((VLOOKUP($C271,装備品!$1:$998,COLUMN(E$1),FALSE)+IFERROR(VLOOKUP($CI271,付与!$1:$1167,COLUMN(G$1),FALSE),0))*VLOOKUP($D271,素材!$1:$1016,COLUMN($E$1),FALSE),0),"")</f>
        <v/>
      </c>
      <c r="H271" t="str">
        <f>IFERROR(ROUNDDOWN((VLOOKUP($C271,装備品!$1:$998,COLUMN(F$1),FALSE)+IFERROR(VLOOKUP($CI271,付与!$1:$1167,COLUMN(H$1),FALSE),0))*VLOOKUP($D271,素材!$1:$1016,COLUMN($E$1),FALSE),0),"")</f>
        <v/>
      </c>
      <c r="I271" t="str">
        <f>IFERROR(ROUNDDOWN((VLOOKUP($C271,装備品!$1:$998,COLUMN(G$1),FALSE)+IFERROR(VLOOKUP($CI271,付与!$1:$1167,COLUMN(I$1),FALSE),0))*VLOOKUP($D271,素材!$1:$1016,COLUMN($E$1),FALSE),0),"")</f>
        <v/>
      </c>
      <c r="J271" t="str">
        <f>IFERROR(ROUNDDOWN((VLOOKUP($C271,装備品!$1:$998,COLUMN(H$1),FALSE)+IFERROR(VLOOKUP($CI271,付与!$1:$1167,COLUMN(J$1),FALSE),0))*VLOOKUP($D271,素材!$1:$1016,COLUMN($E$1),FALSE),0),"")</f>
        <v/>
      </c>
      <c r="K271" t="str">
        <f>IFERROR(ROUNDDOWN((VLOOKUP($C271,装備品!$1:$998,COLUMN(I$1),FALSE)+IFERROR(VLOOKUP($CI271,付与!$1:$1167,COLUMN(K$1),FALSE),0))*VLOOKUP($D271,素材!$1:$1016,COLUMN($E$1),FALSE),0),"")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IFERROR(VLOOKUP($C271,装備品!$1:$998,COLUMN(AA$1),FALSE)*VLOOKUP($D271,素材!$1:$1016,COLUMN($G$1),FALSE),"")</f>
        <v/>
      </c>
      <c r="N271" t="str">
        <f>IFERROR(VLOOKUP($C271,装備品!$1:$998,COLUMN(I$1),FALSE),"")</f>
        <v/>
      </c>
      <c r="O271" s="23" t="str">
        <f>IFERROR((VLOOKUP($C271,装備品!$1:$998,COLUMN(K$1),FALSE)+VLOOKUP($D271,素材!$1:$1016,COLUMN(H$1),FALSE))*100+IFERROR(VLOOKUP($CI271,付与!$1:$1167,COLUMN(O$1),FALSE),0),"")</f>
        <v/>
      </c>
      <c r="P271" s="23" t="str">
        <f>IFERROR((VLOOKUP($C271,装備品!$1:$998,COLUMN(L$1),FALSE)+VLOOKUP($D271,素材!$1:$1016,COLUMN(I$1),FALSE))*100+IFERROR(VLOOKUP($CI271,付与!$1:$1167,COLUMN(P$1),FALSE),0),"")</f>
        <v/>
      </c>
      <c r="Q271" t="str">
        <f>IFERROR(ROUNDUP(VLOOKUP($C271,装備品!$1:$998,COLUMN(M$1),FALSE)*(VLOOKUP($D271,素材!$1:$1002,COLUMN(D$1),FALSE)/100),1),"")</f>
        <v/>
      </c>
      <c r="R271" t="str">
        <f>IFERROR(ROUNDUP(VLOOKUP($C271,装備品!$1:$998,COLUMN(N$1),FALSE)*(VLOOKUP($D271,素材!$1:$1002,COLUMN(D$1),FALSE)/100),1),"")</f>
        <v/>
      </c>
      <c r="S271" t="str">
        <f>IFERROR(VLOOKUP($C271,装備品!$1:$998,COLUMN(P$1),FALSE),"")</f>
        <v/>
      </c>
      <c r="T271" t="str">
        <f>IFERROR(VLOOKUP($C271,装備品!$1:$998,COLUMN(Q$1),FALSE),"")</f>
        <v/>
      </c>
      <c r="U271" t="str">
        <f>IFERROR(VLOOKUP($C271,装備品!$1:$998,COLUMN(R$1),FALSE),"")</f>
        <v/>
      </c>
      <c r="V271" t="str">
        <f>IFERROR(VLOOKUP($C271,装備品!$1:$998,COLUMN(Q$1),FALSE),"")</f>
        <v/>
      </c>
      <c r="W271" t="str">
        <f>IFERROR(VLOOKUP($C271,装備品!$1:$998,COLUMN(T$1),FALSE),"")</f>
        <v/>
      </c>
      <c r="Y271" t="str">
        <f>IFERROR(VLOOKUP($C271,装備品!$1:$998,COLUMN(U$1),FALSE),"")</f>
        <v/>
      </c>
      <c r="Z271" t="str">
        <f>IFERROR(ROUNDUP(VLOOKUP($C271,装備品!$1:$998,COLUMN(O$1),FALSE)*VLOOKUP($D271,素材!$1:$1016,COLUMN(E$1),FALSE),1),"")</f>
        <v/>
      </c>
      <c r="AA271">
        <f>IF(ISNUMBER(SEARCH(SUBSTITUTE(AA$1,RIGHT(AA$1,2),""),VLOOKUP($D271,素材!$1:$1016,COLUMN($F$1),FALSE))),VLOOKUP($C271,装備品!$1:$998,COLUMN($O$1),FALSE)*VLOOKUP($D271,素材!$1:$1016,COLUMN($E$1),FALSE)/(LEN(VLOOKUP($D271,素材!$1:$1016,COLUMN($F$1),FALSE))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IFERROR(VLOOKUP($C271,装備品!$1:$998,COLUMN(V$1),FALSE)*VLOOKUP($D271,素材!$1:$1016,COLUMN(N$1),FALSE)+IF(CI271="",0,VLOOKUP($CI271,付与!$1:$1176,COLUMN($CK$1),FALSE)),"")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IFERROR(VLOOKUP($D272,素材!$1:$1016,COLUMN($B$1),FALSE)&amp;"・"&amp;VLOOKUP($C272,装備品!$1:$998,COLUMN(B$1),FALSE),"")</f>
        <v/>
      </c>
      <c r="C272" s="24"/>
      <c r="D272" s="24"/>
      <c r="E272" t="str">
        <f>IFERROR(VLOOKUP(C272,装備品!$1:$998,COLUMN(C$1),FALSE),"")</f>
        <v/>
      </c>
      <c r="F272" t="str">
        <f>IFERROR(ROUNDDOWN((VLOOKUP($C272,装備品!$1:$998,COLUMN(D$1),FALSE)+IFERROR(VLOOKUP($CI272,付与!$1:$1167,COLUMN(F$1),FALSE),0))*VLOOKUP($D272,素材!$1:$1016,COLUMN(D$1),FALSE),0),"")</f>
        <v/>
      </c>
      <c r="G272" t="str">
        <f>IFERROR(ROUNDDOWN((VLOOKUP($C272,装備品!$1:$998,COLUMN(E$1),FALSE)+IFERROR(VLOOKUP($CI272,付与!$1:$1167,COLUMN(G$1),FALSE),0))*VLOOKUP($D272,素材!$1:$1016,COLUMN($E$1),FALSE),0),"")</f>
        <v/>
      </c>
      <c r="H272" t="str">
        <f>IFERROR(ROUNDDOWN((VLOOKUP($C272,装備品!$1:$998,COLUMN(F$1),FALSE)+IFERROR(VLOOKUP($CI272,付与!$1:$1167,COLUMN(H$1),FALSE),0))*VLOOKUP($D272,素材!$1:$1016,COLUMN($E$1),FALSE),0),"")</f>
        <v/>
      </c>
      <c r="I272" t="str">
        <f>IFERROR(ROUNDDOWN((VLOOKUP($C272,装備品!$1:$998,COLUMN(G$1),FALSE)+IFERROR(VLOOKUP($CI272,付与!$1:$1167,COLUMN(I$1),FALSE),0))*VLOOKUP($D272,素材!$1:$1016,COLUMN($E$1),FALSE),0),"")</f>
        <v/>
      </c>
      <c r="J272" t="str">
        <f>IFERROR(ROUNDDOWN((VLOOKUP($C272,装備品!$1:$998,COLUMN(H$1),FALSE)+IFERROR(VLOOKUP($CI272,付与!$1:$1167,COLUMN(J$1),FALSE),0))*VLOOKUP($D272,素材!$1:$1016,COLUMN($E$1),FALSE),0),"")</f>
        <v/>
      </c>
      <c r="K272" t="str">
        <f>IFERROR(ROUNDDOWN((VLOOKUP($C272,装備品!$1:$998,COLUMN(I$1),FALSE)+IFERROR(VLOOKUP($CI272,付与!$1:$1167,COLUMN(K$1),FALSE),0))*VLOOKUP($D272,素材!$1:$1016,COLUMN($E$1),FALSE),0),"")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IFERROR(VLOOKUP($C272,装備品!$1:$998,COLUMN(AA$1),FALSE)*VLOOKUP($D272,素材!$1:$1016,COLUMN($G$1),FALSE),"")</f>
        <v/>
      </c>
      <c r="N272" t="str">
        <f>IFERROR(VLOOKUP($C272,装備品!$1:$998,COLUMN(I$1),FALSE),"")</f>
        <v/>
      </c>
      <c r="O272" s="23" t="str">
        <f>IFERROR((VLOOKUP($C272,装備品!$1:$998,COLUMN(K$1),FALSE)+VLOOKUP($D272,素材!$1:$1016,COLUMN(H$1),FALSE))*100+IFERROR(VLOOKUP($CI272,付与!$1:$1167,COLUMN(O$1),FALSE),0),"")</f>
        <v/>
      </c>
      <c r="P272" s="23" t="str">
        <f>IFERROR((VLOOKUP($C272,装備品!$1:$998,COLUMN(L$1),FALSE)+VLOOKUP($D272,素材!$1:$1016,COLUMN(I$1),FALSE))*100+IFERROR(VLOOKUP($CI272,付与!$1:$1167,COLUMN(P$1),FALSE),0),"")</f>
        <v/>
      </c>
      <c r="Q272" t="str">
        <f>IFERROR(ROUNDUP(VLOOKUP($C272,装備品!$1:$998,COLUMN(M$1),FALSE)*(VLOOKUP($D272,素材!$1:$1002,COLUMN(D$1),FALSE)/100),1),"")</f>
        <v/>
      </c>
      <c r="R272" t="str">
        <f>IFERROR(ROUNDUP(VLOOKUP($C272,装備品!$1:$998,COLUMN(N$1),FALSE)*(VLOOKUP($D272,素材!$1:$1002,COLUMN(D$1),FALSE)/100),1),"")</f>
        <v/>
      </c>
      <c r="S272" t="str">
        <f>IFERROR(VLOOKUP($C272,装備品!$1:$998,COLUMN(P$1),FALSE),"")</f>
        <v/>
      </c>
      <c r="T272" t="str">
        <f>IFERROR(VLOOKUP($C272,装備品!$1:$998,COLUMN(Q$1),FALSE),"")</f>
        <v/>
      </c>
      <c r="U272" t="str">
        <f>IFERROR(VLOOKUP($C272,装備品!$1:$998,COLUMN(R$1),FALSE),"")</f>
        <v/>
      </c>
      <c r="V272" t="str">
        <f>IFERROR(VLOOKUP($C272,装備品!$1:$998,COLUMN(Q$1),FALSE),"")</f>
        <v/>
      </c>
      <c r="W272" t="str">
        <f>IFERROR(VLOOKUP($C272,装備品!$1:$998,COLUMN(T$1),FALSE),"")</f>
        <v/>
      </c>
      <c r="Y272" t="str">
        <f>IFERROR(VLOOKUP($C272,装備品!$1:$998,COLUMN(U$1),FALSE),"")</f>
        <v/>
      </c>
      <c r="Z272" t="str">
        <f>IFERROR(ROUNDUP(VLOOKUP($C272,装備品!$1:$998,COLUMN(O$1),FALSE)*VLOOKUP($D272,素材!$1:$1016,COLUMN(E$1),FALSE),1),"")</f>
        <v/>
      </c>
      <c r="AA272">
        <f>IF(ISNUMBER(SEARCH(SUBSTITUTE(AA$1,RIGHT(AA$1,2),""),VLOOKUP($D272,素材!$1:$1016,COLUMN($F$1),FALSE))),VLOOKUP($C272,装備品!$1:$998,COLUMN($O$1),FALSE)*VLOOKUP($D272,素材!$1:$1016,COLUMN($E$1),FALSE)/(LEN(VLOOKUP($D272,素材!$1:$1016,COLUMN($F$1),FALSE))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IFERROR(VLOOKUP($C272,装備品!$1:$998,COLUMN(V$1),FALSE)*VLOOKUP($D272,素材!$1:$1016,COLUMN(N$1),FALSE)+IF(CI272="",0,VLOOKUP($CI272,付与!$1:$1176,COLUMN($CK$1),FALSE)),"")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IFERROR(IF(CI273="",VLOOKUP($D273,素材!$1:$1016,COLUMN($B$1),FALSE)&amp;"・"&amp;VLOOKUP($C273,装備品!$1:$998,COLUMN(B$1),FALSE),VLOOKUP($CI273,付与!$1:$1176,COLUMN($B$1),FALSE)&amp;"・"&amp;VLOOKUP($C273,装備品!$1:$998,COLUMN(B$1),FALSE)),"")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IFERROR(VLOOKUP(C273,装備品!$1:$998,COLUMN(C$1),FALSE),"")</f>
        <v>装飾</v>
      </c>
      <c r="F273">
        <f>IFERROR(ROUNDDOWN((VLOOKUP($C273,装備品!$1:$998,COLUMN(D$1),FALSE)+IFERROR(VLOOKUP($CI273,付与!$1:$1167,COLUMN(F$1),FALSE),0))*VLOOKUP($D273,素材!$1:$1016,COLUMN(D$1),FALSE),0),"")</f>
        <v>0</v>
      </c>
      <c r="G273">
        <f>IFERROR(ROUNDDOWN((VLOOKUP($C273,装備品!$1:$998,COLUMN(E$1),FALSE)+IFERROR(VLOOKUP($CI273,付与!$1:$1167,COLUMN(G$1),FALSE),0))*VLOOKUP($D273,素材!$1:$1016,COLUMN($E$1),FALSE),0),"")</f>
        <v>0</v>
      </c>
      <c r="H273">
        <f>IFERROR(ROUNDDOWN((VLOOKUP($C273,装備品!$1:$998,COLUMN(F$1),FALSE)+IFERROR(VLOOKUP($CI273,付与!$1:$1167,COLUMN(H$1),FALSE),0))*VLOOKUP($D273,素材!$1:$1016,COLUMN($E$1),FALSE),0),"")</f>
        <v>0</v>
      </c>
      <c r="I273">
        <f>IFERROR(ROUNDDOWN((VLOOKUP($C273,装備品!$1:$998,COLUMN(G$1),FALSE)+IFERROR(VLOOKUP($CI273,付与!$1:$1167,COLUMN(I$1),FALSE),0))*VLOOKUP($D273,素材!$1:$1016,COLUMN($E$1),FALSE),0),"")</f>
        <v>0</v>
      </c>
      <c r="J273">
        <f>IFERROR(ROUNDDOWN((VLOOKUP($C273,装備品!$1:$998,COLUMN(H$1),FALSE)+IFERROR(VLOOKUP($CI273,付与!$1:$1167,COLUMN(J$1),FALSE),0))*VLOOKUP($D273,素材!$1:$1016,COLUMN($E$1),FALSE),0),"")</f>
        <v>0</v>
      </c>
      <c r="K273">
        <f>IFERROR(ROUNDDOWN((VLOOKUP($C273,装備品!$1:$998,COLUMN(I$1),FALSE)+IFERROR(VLOOKUP($CI273,付与!$1:$1167,COLUMN(K$1),FALSE),0))*VLOOKUP($D273,素材!$1:$1016,COLUMN($E$1),FALSE),0),"")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IFERROR(VLOOKUP($C273,装備品!$1:$998,COLUMN(AA$1),FALSE)*VLOOKUP($D273,素材!$1:$1016,COLUMN($G$1),FALSE),"")</f>
        <v/>
      </c>
      <c r="N273">
        <f>IFERROR(VLOOKUP($C273,装備品!$1:$998,COLUMN(I$1),FALSE),"")</f>
        <v>0</v>
      </c>
      <c r="O273" s="23" t="str">
        <f>IFERROR((VLOOKUP($C273,装備品!$1:$998,COLUMN(K$1),FALSE)+VLOOKUP($D273,素材!$1:$1016,COLUMN(H$1),FALSE))*100+IFERROR(VLOOKUP($CI273,付与!$1:$1167,COLUMN(O$1),FALSE),0),"")</f>
        <v/>
      </c>
      <c r="P273" s="23" t="str">
        <f>IFERROR((VLOOKUP($C273,装備品!$1:$998,COLUMN(L$1),FALSE)+VLOOKUP($D273,素材!$1:$1016,COLUMN(I$1),FALSE))*100+IFERROR(VLOOKUP($CI273,付与!$1:$1167,COLUMN(P$1),FALSE),0),"")</f>
        <v/>
      </c>
      <c r="Q273">
        <f>IFERROR(ROUNDUP(VLOOKUP($C273,装備品!$1:$998,COLUMN(M$1),FALSE)*(VLOOKUP($D273,素材!$1:$1002,COLUMN(D$1),FALSE)/100),1),"")</f>
        <v>0</v>
      </c>
      <c r="R273">
        <f>IFERROR(ROUNDUP(VLOOKUP($C273,装備品!$1:$998,COLUMN(N$1),FALSE)*(VLOOKUP($D273,素材!$1:$1002,COLUMN(D$1),FALSE)/100),1),"")</f>
        <v>0</v>
      </c>
      <c r="S273">
        <f>IFERROR(VLOOKUP($C273,装備品!$1:$998,COLUMN(P$1),FALSE),"")</f>
        <v>0</v>
      </c>
      <c r="T273">
        <f>IFERROR(VLOOKUP($C273,装備品!$1:$998,COLUMN(Q$1),FALSE),"")</f>
        <v>0</v>
      </c>
      <c r="U273">
        <f>IFERROR(VLOOKUP($C273,装備品!$1:$998,COLUMN(R$1),FALSE),"")</f>
        <v>0</v>
      </c>
      <c r="V273">
        <f>IFERROR(VLOOKUP($C273,装備品!$1:$998,COLUMN(Q$1),FALSE),"")</f>
        <v>0</v>
      </c>
      <c r="W273">
        <f>IFERROR(VLOOKUP($C273,装備品!$1:$998,COLUMN(T$1),FALSE),"")</f>
        <v>0</v>
      </c>
      <c r="Y273">
        <f>IFERROR(VLOOKUP($C273,装備品!$1:$998,COLUMN(U$1),FALSE),"")</f>
        <v>0</v>
      </c>
      <c r="Z273">
        <f>IFERROR(ROUNDUP(VLOOKUP($C273,装備品!$1:$998,COLUMN(O$1),FALSE)*VLOOKUP($D273,素材!$1:$1016,COLUMN(E$1),FALSE),1),"")</f>
        <v>0</v>
      </c>
      <c r="AA273">
        <f>IF(ISNUMBER(SEARCH(SUBSTITUTE(AA$1,RIGHT(AA$1,2),""),VLOOKUP($D273,素材!$1:$1016,COLUMN($F$1),FALSE))),VLOOKUP($C273,装備品!$1:$998,COLUMN($O$1),FALSE)*VLOOKUP($D273,素材!$1:$1016,COLUMN($E$1),FALSE)/(LEN(VLOOKUP($D273,素材!$1:$1016,COLUMN($F$1),FALSE))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IFERROR(VLOOKUP($C273,装備品!$1:$998,COLUMN(V$1),FALSE)*VLOOKUP($D273,素材!$1:$1016,COLUMN(N$1),FALSE)+IF(CI273="",0,VLOOKUP($CI273,付与!$1:$1176,COLUMN($CK$1),FALSE)),"")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IFERROR(IF(CI274="",VLOOKUP($D274,素材!$1:$1016,COLUMN($B$1),FALSE)&amp;"・"&amp;VLOOKUP($C274,装備品!$1:$998,COLUMN(B$1),FALSE),VLOOKUP($CI274,付与!$1:$1176,COLUMN($B$1),FALSE)&amp;"・"&amp;VLOOKUP($C274,装備品!$1:$998,COLUMN(B$1),FALSE)),"")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IFERROR(VLOOKUP(C274,装備品!$1:$998,COLUMN(C$1),FALSE),"")</f>
        <v>装飾</v>
      </c>
      <c r="F274">
        <f>IFERROR(ROUNDDOWN((VLOOKUP($C274,装備品!$1:$998,COLUMN(D$1),FALSE)+IFERROR(VLOOKUP($CI274,付与!$1:$1167,COLUMN(F$1),FALSE),0))*VLOOKUP($D274,素材!$1:$1016,COLUMN(D$1),FALSE),0),"")</f>
        <v>0</v>
      </c>
      <c r="G274">
        <f>IFERROR(ROUNDDOWN((VLOOKUP($C274,装備品!$1:$998,COLUMN(E$1),FALSE)+IFERROR(VLOOKUP($CI274,付与!$1:$1167,COLUMN(G$1),FALSE),0))*VLOOKUP($D274,素材!$1:$1016,COLUMN($E$1),FALSE),0),"")</f>
        <v>0</v>
      </c>
      <c r="H274">
        <f>IFERROR(ROUNDDOWN((VLOOKUP($C274,装備品!$1:$998,COLUMN(F$1),FALSE)+IFERROR(VLOOKUP($CI274,付与!$1:$1167,COLUMN(H$1),FALSE),0))*VLOOKUP($D274,素材!$1:$1016,COLUMN($E$1),FALSE),0),"")</f>
        <v>0</v>
      </c>
      <c r="I274">
        <f>IFERROR(ROUNDDOWN((VLOOKUP($C274,装備品!$1:$998,COLUMN(G$1),FALSE)+IFERROR(VLOOKUP($CI274,付与!$1:$1167,COLUMN(I$1),FALSE),0))*VLOOKUP($D274,素材!$1:$1016,COLUMN($E$1),FALSE),0),"")</f>
        <v>0</v>
      </c>
      <c r="J274">
        <f>IFERROR(ROUNDDOWN((VLOOKUP($C274,装備品!$1:$998,COLUMN(H$1),FALSE)+IFERROR(VLOOKUP($CI274,付与!$1:$1167,COLUMN(J$1),FALSE),0))*VLOOKUP($D274,素材!$1:$1016,COLUMN($E$1),FALSE),0),"")</f>
        <v>0</v>
      </c>
      <c r="K274">
        <f>IFERROR(ROUNDDOWN((VLOOKUP($C274,装備品!$1:$998,COLUMN(I$1),FALSE)+IFERROR(VLOOKUP($CI274,付与!$1:$1167,COLUMN(K$1),FALSE),0))*VLOOKUP($D274,素材!$1:$1016,COLUMN($E$1),FALSE),0),"")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IFERROR(VLOOKUP($C274,装備品!$1:$998,COLUMN(AA$1),FALSE)*VLOOKUP($D274,素材!$1:$1016,COLUMN($G$1),FALSE),"")</f>
        <v/>
      </c>
      <c r="N274">
        <f>IFERROR(VLOOKUP($C274,装備品!$1:$998,COLUMN(I$1),FALSE),"")</f>
        <v>0</v>
      </c>
      <c r="O274" s="23" t="str">
        <f>IFERROR((VLOOKUP($C274,装備品!$1:$998,COLUMN(K$1),FALSE)+VLOOKUP($D274,素材!$1:$1016,COLUMN(H$1),FALSE))*100+IFERROR(VLOOKUP($CI274,付与!$1:$1167,COLUMN(O$1),FALSE),0),"")</f>
        <v/>
      </c>
      <c r="P274" s="23" t="str">
        <f>IFERROR((VLOOKUP($C274,装備品!$1:$998,COLUMN(L$1),FALSE)+VLOOKUP($D274,素材!$1:$1016,COLUMN(I$1),FALSE))*100+IFERROR(VLOOKUP($CI274,付与!$1:$1167,COLUMN(P$1),FALSE),0),"")</f>
        <v/>
      </c>
      <c r="Q274">
        <f>IFERROR(ROUNDUP(VLOOKUP($C274,装備品!$1:$998,COLUMN(M$1),FALSE)*(VLOOKUP($D274,素材!$1:$1002,COLUMN(D$1),FALSE)/100),1),"")</f>
        <v>0</v>
      </c>
      <c r="R274">
        <f>IFERROR(ROUNDUP(VLOOKUP($C274,装備品!$1:$998,COLUMN(N$1),FALSE)*(VLOOKUP($D274,素材!$1:$1002,COLUMN(D$1),FALSE)/100),1),"")</f>
        <v>0</v>
      </c>
      <c r="S274">
        <f>IFERROR(VLOOKUP($C274,装備品!$1:$998,COLUMN(P$1),FALSE),"")</f>
        <v>0</v>
      </c>
      <c r="T274">
        <f>IFERROR(VLOOKUP($C274,装備品!$1:$998,COLUMN(Q$1),FALSE),"")</f>
        <v>0</v>
      </c>
      <c r="U274">
        <f>IFERROR(VLOOKUP($C274,装備品!$1:$998,COLUMN(R$1),FALSE),"")</f>
        <v>0</v>
      </c>
      <c r="V274">
        <f>IFERROR(VLOOKUP($C274,装備品!$1:$998,COLUMN(Q$1),FALSE),"")</f>
        <v>0</v>
      </c>
      <c r="W274">
        <f>IFERROR(VLOOKUP($C274,装備品!$1:$998,COLUMN(T$1),FALSE),"")</f>
        <v>0</v>
      </c>
      <c r="Y274">
        <f>IFERROR(VLOOKUP($C274,装備品!$1:$998,COLUMN(U$1),FALSE),"")</f>
        <v>0</v>
      </c>
      <c r="Z274">
        <f>IFERROR(ROUNDUP(VLOOKUP($C274,装備品!$1:$998,COLUMN(O$1),FALSE)*VLOOKUP($D274,素材!$1:$1016,COLUMN(E$1),FALSE),1),"")</f>
        <v>0</v>
      </c>
      <c r="AA274">
        <f>IF(ISNUMBER(SEARCH(SUBSTITUTE(AA$1,RIGHT(AA$1,2),""),VLOOKUP($D274,素材!$1:$1016,COLUMN($F$1),FALSE))),VLOOKUP($C274,装備品!$1:$998,COLUMN($O$1),FALSE)*VLOOKUP($D274,素材!$1:$1016,COLUMN($E$1),FALSE)/(LEN(VLOOKUP($D274,素材!$1:$1016,COLUMN($F$1),FALSE))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IFERROR(VLOOKUP($C274,装備品!$1:$998,COLUMN(V$1),FALSE)*VLOOKUP($D274,素材!$1:$1016,COLUMN(N$1),FALSE)+IF(CI274="",0,VLOOKUP($CI274,付与!$1:$1176,COLUMN($CK$1),FALSE)),"")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IFERROR(IF(CI275="",VLOOKUP($D275,素材!$1:$1016,COLUMN($B$1),FALSE)&amp;"・"&amp;VLOOKUP($C275,装備品!$1:$998,COLUMN(B$1),FALSE),VLOOKUP($CI275,付与!$1:$1176,COLUMN($B$1),FALSE)&amp;"・"&amp;VLOOKUP($C275,装備品!$1:$998,COLUMN(B$1),FALSE)),"")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IFERROR(VLOOKUP(C275,装備品!$1:$998,COLUMN(C$1),FALSE),"")</f>
        <v>装飾</v>
      </c>
      <c r="F275">
        <f>IFERROR(ROUNDDOWN((VLOOKUP($C275,装備品!$1:$998,COLUMN(D$1),FALSE)+IFERROR(VLOOKUP($CI275,付与!$1:$1167,COLUMN(F$1),FALSE),0))*VLOOKUP($D275,素材!$1:$1016,COLUMN(D$1),FALSE),0),"")</f>
        <v>0</v>
      </c>
      <c r="G275">
        <f>IFERROR(ROUNDDOWN((VLOOKUP($C275,装備品!$1:$998,COLUMN(E$1),FALSE)+IFERROR(VLOOKUP($CI275,付与!$1:$1167,COLUMN(G$1),FALSE),0))*VLOOKUP($D275,素材!$1:$1016,COLUMN($E$1),FALSE),0),"")</f>
        <v>0</v>
      </c>
      <c r="H275">
        <f>IFERROR(ROUNDDOWN((VLOOKUP($C275,装備品!$1:$998,COLUMN(F$1),FALSE)+IFERROR(VLOOKUP($CI275,付与!$1:$1167,COLUMN(H$1),FALSE),0))*VLOOKUP($D275,素材!$1:$1016,COLUMN($E$1),FALSE),0),"")</f>
        <v>0</v>
      </c>
      <c r="I275">
        <f>IFERROR(ROUNDDOWN((VLOOKUP($C275,装備品!$1:$998,COLUMN(G$1),FALSE)+IFERROR(VLOOKUP($CI275,付与!$1:$1167,COLUMN(I$1),FALSE),0))*VLOOKUP($D275,素材!$1:$1016,COLUMN($E$1),FALSE),0),"")</f>
        <v>0</v>
      </c>
      <c r="J275">
        <f>IFERROR(ROUNDDOWN((VLOOKUP($C275,装備品!$1:$998,COLUMN(H$1),FALSE)+IFERROR(VLOOKUP($CI275,付与!$1:$1167,COLUMN(J$1),FALSE),0))*VLOOKUP($D275,素材!$1:$1016,COLUMN($E$1),FALSE),0),"")</f>
        <v>0</v>
      </c>
      <c r="K275">
        <f>IFERROR(ROUNDDOWN((VLOOKUP($C275,装備品!$1:$998,COLUMN(I$1),FALSE)+IFERROR(VLOOKUP($CI275,付与!$1:$1167,COLUMN(K$1),FALSE),0))*VLOOKUP($D275,素材!$1:$1016,COLUMN($E$1),FALSE),0),"")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IFERROR(VLOOKUP($C275,装備品!$1:$998,COLUMN(AA$1),FALSE)*VLOOKUP($D275,素材!$1:$1016,COLUMN($G$1),FALSE),"")</f>
        <v/>
      </c>
      <c r="N275">
        <f>IFERROR(VLOOKUP($C275,装備品!$1:$998,COLUMN(I$1),FALSE),"")</f>
        <v>0</v>
      </c>
      <c r="O275" s="23" t="str">
        <f>IFERROR((VLOOKUP($C275,装備品!$1:$998,COLUMN(K$1),FALSE)+VLOOKUP($D275,素材!$1:$1016,COLUMN(H$1),FALSE))*100+IFERROR(VLOOKUP($CI275,付与!$1:$1167,COLUMN(O$1),FALSE),0),"")</f>
        <v/>
      </c>
      <c r="P275" s="23" t="str">
        <f>IFERROR((VLOOKUP($C275,装備品!$1:$998,COLUMN(L$1),FALSE)+VLOOKUP($D275,素材!$1:$1016,COLUMN(I$1),FALSE))*100+IFERROR(VLOOKUP($CI275,付与!$1:$1167,COLUMN(P$1),FALSE),0),"")</f>
        <v/>
      </c>
      <c r="Q275">
        <f>IFERROR(ROUNDUP(VLOOKUP($C275,装備品!$1:$998,COLUMN(M$1),FALSE)*(VLOOKUP($D275,素材!$1:$1002,COLUMN(D$1),FALSE)/100),1),"")</f>
        <v>0</v>
      </c>
      <c r="R275">
        <f>IFERROR(ROUNDUP(VLOOKUP($C275,装備品!$1:$998,COLUMN(N$1),FALSE)*(VLOOKUP($D275,素材!$1:$1002,COLUMN(D$1),FALSE)/100),1),"")</f>
        <v>0</v>
      </c>
      <c r="S275">
        <f>IFERROR(VLOOKUP($C275,装備品!$1:$998,COLUMN(P$1),FALSE),"")</f>
        <v>0</v>
      </c>
      <c r="T275">
        <f>IFERROR(VLOOKUP($C275,装備品!$1:$998,COLUMN(Q$1),FALSE),"")</f>
        <v>0</v>
      </c>
      <c r="U275">
        <f>IFERROR(VLOOKUP($C275,装備品!$1:$998,COLUMN(R$1),FALSE),"")</f>
        <v>0</v>
      </c>
      <c r="V275">
        <f>IFERROR(VLOOKUP($C275,装備品!$1:$998,COLUMN(Q$1),FALSE),"")</f>
        <v>0</v>
      </c>
      <c r="W275">
        <f>IFERROR(VLOOKUP($C275,装備品!$1:$998,COLUMN(T$1),FALSE),"")</f>
        <v>0</v>
      </c>
      <c r="Y275">
        <f>IFERROR(VLOOKUP($C275,装備品!$1:$998,COLUMN(U$1),FALSE),"")</f>
        <v>0</v>
      </c>
      <c r="Z275">
        <f>IFERROR(ROUNDUP(VLOOKUP($C275,装備品!$1:$998,COLUMN(O$1),FALSE)*VLOOKUP($D275,素材!$1:$1016,COLUMN(E$1),FALSE),1),"")</f>
        <v>0</v>
      </c>
      <c r="AA275">
        <f>IF(ISNUMBER(SEARCH(SUBSTITUTE(AA$1,RIGHT(AA$1,2),""),VLOOKUP($D275,素材!$1:$1016,COLUMN($F$1),FALSE))),VLOOKUP($C275,装備品!$1:$998,COLUMN($O$1),FALSE)*VLOOKUP($D275,素材!$1:$1016,COLUMN($E$1),FALSE)/(LEN(VLOOKUP($D275,素材!$1:$1016,COLUMN($F$1),FALSE))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IFERROR(VLOOKUP($C275,装備品!$1:$998,COLUMN(V$1),FALSE)*VLOOKUP($D275,素材!$1:$1016,COLUMN(N$1),FALSE)+IF(CI275="",0,VLOOKUP($CI275,付与!$1:$1176,COLUMN($CK$1),FALSE)),"")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IFERROR(IF(CI276="",VLOOKUP($D276,素材!$1:$1016,COLUMN($B$1),FALSE)&amp;"・"&amp;VLOOKUP($C276,装備品!$1:$998,COLUMN(B$1),FALSE),VLOOKUP($CI276,付与!$1:$1176,COLUMN($B$1),FALSE)&amp;"・"&amp;VLOOKUP($C276,装備品!$1:$998,COLUMN(B$1),FALSE)),"")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IFERROR(VLOOKUP(C276,装備品!$1:$998,COLUMN(C$1),FALSE),"")</f>
        <v>装飾</v>
      </c>
      <c r="F276">
        <f>IFERROR(ROUNDDOWN((VLOOKUP($C276,装備品!$1:$998,COLUMN(D$1),FALSE)+IFERROR(VLOOKUP($CI276,付与!$1:$1167,COLUMN(F$1),FALSE),0))*VLOOKUP($D276,素材!$1:$1016,COLUMN(D$1),FALSE),0),"")</f>
        <v>0</v>
      </c>
      <c r="G276">
        <f>IFERROR(ROUNDDOWN((VLOOKUP($C276,装備品!$1:$998,COLUMN(E$1),FALSE)+IFERROR(VLOOKUP($CI276,付与!$1:$1167,COLUMN(G$1),FALSE),0))*VLOOKUP($D276,素材!$1:$1016,COLUMN($E$1),FALSE),0),"")</f>
        <v>0</v>
      </c>
      <c r="H276">
        <f>IFERROR(ROUNDDOWN((VLOOKUP($C276,装備品!$1:$998,COLUMN(F$1),FALSE)+IFERROR(VLOOKUP($CI276,付与!$1:$1167,COLUMN(H$1),FALSE),0))*VLOOKUP($D276,素材!$1:$1016,COLUMN($E$1),FALSE),0),"")</f>
        <v>0</v>
      </c>
      <c r="I276">
        <f>IFERROR(ROUNDDOWN((VLOOKUP($C276,装備品!$1:$998,COLUMN(G$1),FALSE)+IFERROR(VLOOKUP($CI276,付与!$1:$1167,COLUMN(I$1),FALSE),0))*VLOOKUP($D276,素材!$1:$1016,COLUMN($E$1),FALSE),0),"")</f>
        <v>0</v>
      </c>
      <c r="J276">
        <f>IFERROR(ROUNDDOWN((VLOOKUP($C276,装備品!$1:$998,COLUMN(H$1),FALSE)+IFERROR(VLOOKUP($CI276,付与!$1:$1167,COLUMN(J$1),FALSE),0))*VLOOKUP($D276,素材!$1:$1016,COLUMN($E$1),FALSE),0),"")</f>
        <v>0</v>
      </c>
      <c r="K276">
        <f>IFERROR(ROUNDDOWN((VLOOKUP($C276,装備品!$1:$998,COLUMN(I$1),FALSE)+IFERROR(VLOOKUP($CI276,付与!$1:$1167,COLUMN(K$1),FALSE),0))*VLOOKUP($D276,素材!$1:$1016,COLUMN($E$1),FALSE),0),"")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IFERROR(VLOOKUP($C276,装備品!$1:$998,COLUMN(AA$1),FALSE)*VLOOKUP($D276,素材!$1:$1016,COLUMN($G$1),FALSE),"")</f>
        <v/>
      </c>
      <c r="N276">
        <f>IFERROR(VLOOKUP($C276,装備品!$1:$998,COLUMN(I$1),FALSE),"")</f>
        <v>0</v>
      </c>
      <c r="O276" s="23" t="str">
        <f>IFERROR((VLOOKUP($C276,装備品!$1:$998,COLUMN(K$1),FALSE)+VLOOKUP($D276,素材!$1:$1016,COLUMN(H$1),FALSE))*100+IFERROR(VLOOKUP($CI276,付与!$1:$1167,COLUMN(O$1),FALSE),0),"")</f>
        <v/>
      </c>
      <c r="P276" s="23" t="str">
        <f>IFERROR((VLOOKUP($C276,装備品!$1:$998,COLUMN(L$1),FALSE)+VLOOKUP($D276,素材!$1:$1016,COLUMN(I$1),FALSE))*100+IFERROR(VLOOKUP($CI276,付与!$1:$1167,COLUMN(P$1),FALSE),0),"")</f>
        <v/>
      </c>
      <c r="Q276">
        <f>IFERROR(ROUNDUP(VLOOKUP($C276,装備品!$1:$998,COLUMN(M$1),FALSE)*(VLOOKUP($D276,素材!$1:$1002,COLUMN(D$1),FALSE)/100),1),"")</f>
        <v>0</v>
      </c>
      <c r="R276">
        <f>IFERROR(ROUNDUP(VLOOKUP($C276,装備品!$1:$998,COLUMN(N$1),FALSE)*(VLOOKUP($D276,素材!$1:$1002,COLUMN(D$1),FALSE)/100),1),"")</f>
        <v>0</v>
      </c>
      <c r="S276">
        <f>IFERROR(VLOOKUP($C276,装備品!$1:$998,COLUMN(P$1),FALSE),"")</f>
        <v>0</v>
      </c>
      <c r="T276">
        <f>IFERROR(VLOOKUP($C276,装備品!$1:$998,COLUMN(Q$1),FALSE),"")</f>
        <v>0</v>
      </c>
      <c r="U276">
        <f>IFERROR(VLOOKUP($C276,装備品!$1:$998,COLUMN(R$1),FALSE),"")</f>
        <v>0</v>
      </c>
      <c r="V276">
        <f>IFERROR(VLOOKUP($C276,装備品!$1:$998,COLUMN(Q$1),FALSE),"")</f>
        <v>0</v>
      </c>
      <c r="W276">
        <f>IFERROR(VLOOKUP($C276,装備品!$1:$998,COLUMN(T$1),FALSE),"")</f>
        <v>0</v>
      </c>
      <c r="Y276">
        <f>IFERROR(VLOOKUP($C276,装備品!$1:$998,COLUMN(U$1),FALSE),"")</f>
        <v>0</v>
      </c>
      <c r="Z276">
        <f>IFERROR(ROUNDUP(VLOOKUP($C276,装備品!$1:$998,COLUMN(O$1),FALSE)*VLOOKUP($D276,素材!$1:$1016,COLUMN(E$1),FALSE),1),"")</f>
        <v>0</v>
      </c>
      <c r="AA276">
        <f>IF(ISNUMBER(SEARCH(SUBSTITUTE(AA$1,RIGHT(AA$1,2),""),VLOOKUP($D276,素材!$1:$1016,COLUMN($F$1),FALSE))),VLOOKUP($C276,装備品!$1:$998,COLUMN($O$1),FALSE)*VLOOKUP($D276,素材!$1:$1016,COLUMN($E$1),FALSE)/(LEN(VLOOKUP($D276,素材!$1:$1016,COLUMN($F$1),FALSE))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IFERROR(VLOOKUP($C276,装備品!$1:$998,COLUMN(V$1),FALSE)*VLOOKUP($D276,素材!$1:$1016,COLUMN(N$1),FALSE)+IF(CI276="",0,VLOOKUP($CI276,付与!$1:$1176,COLUMN($CK$1),FALSE)),"")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IFERROR(IF(CI277="",VLOOKUP($D277,素材!$1:$1016,COLUMN($B$1),FALSE)&amp;"・"&amp;VLOOKUP($C277,装備品!$1:$998,COLUMN(B$1),FALSE),VLOOKUP($CI277,付与!$1:$1176,COLUMN($B$1),FALSE)&amp;"・"&amp;VLOOKUP($C277,装備品!$1:$998,COLUMN(B$1),FALSE)),"")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IFERROR(VLOOKUP(C277,装備品!$1:$998,COLUMN(C$1),FALSE),"")</f>
        <v>装飾</v>
      </c>
      <c r="F277">
        <f>IFERROR(ROUNDDOWN((VLOOKUP($C277,装備品!$1:$998,COLUMN(D$1),FALSE)+IFERROR(VLOOKUP($CI277,付与!$1:$1167,COLUMN(F$1),FALSE),0))*VLOOKUP($D277,素材!$1:$1016,COLUMN(D$1),FALSE),0),"")</f>
        <v>0</v>
      </c>
      <c r="G277">
        <f>IFERROR(ROUNDDOWN((VLOOKUP($C277,装備品!$1:$998,COLUMN(E$1),FALSE)+IFERROR(VLOOKUP($CI277,付与!$1:$1167,COLUMN(G$1),FALSE),0))*VLOOKUP($D277,素材!$1:$1016,COLUMN($E$1),FALSE),0),"")</f>
        <v>0</v>
      </c>
      <c r="H277">
        <f>IFERROR(ROUNDDOWN((VLOOKUP($C277,装備品!$1:$998,COLUMN(F$1),FALSE)+IFERROR(VLOOKUP($CI277,付与!$1:$1167,COLUMN(H$1),FALSE),0))*VLOOKUP($D277,素材!$1:$1016,COLUMN($E$1),FALSE),0),"")</f>
        <v>0</v>
      </c>
      <c r="I277">
        <f>IFERROR(ROUNDDOWN((VLOOKUP($C277,装備品!$1:$998,COLUMN(G$1),FALSE)+IFERROR(VLOOKUP($CI277,付与!$1:$1167,COLUMN(I$1),FALSE),0))*VLOOKUP($D277,素材!$1:$1016,COLUMN($E$1),FALSE),0),"")</f>
        <v>0</v>
      </c>
      <c r="J277">
        <f>IFERROR(ROUNDDOWN((VLOOKUP($C277,装備品!$1:$998,COLUMN(H$1),FALSE)+IFERROR(VLOOKUP($CI277,付与!$1:$1167,COLUMN(J$1),FALSE),0))*VLOOKUP($D277,素材!$1:$1016,COLUMN($E$1),FALSE),0),"")</f>
        <v>0</v>
      </c>
      <c r="K277">
        <f>IFERROR(ROUNDDOWN((VLOOKUP($C277,装備品!$1:$998,COLUMN(I$1),FALSE)+IFERROR(VLOOKUP($CI277,付与!$1:$1167,COLUMN(K$1),FALSE),0))*VLOOKUP($D277,素材!$1:$1016,COLUMN($E$1),FALSE),0),"")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IFERROR(VLOOKUP($C277,装備品!$1:$998,COLUMN(AA$1),FALSE)*VLOOKUP($D277,素材!$1:$1016,COLUMN($G$1),FALSE),"")</f>
        <v/>
      </c>
      <c r="N277">
        <f>IFERROR(VLOOKUP($C277,装備品!$1:$998,COLUMN(I$1),FALSE),"")</f>
        <v>0</v>
      </c>
      <c r="O277" s="23" t="str">
        <f>IFERROR((VLOOKUP($C277,装備品!$1:$998,COLUMN(K$1),FALSE)+VLOOKUP($D277,素材!$1:$1016,COLUMN(H$1),FALSE))*100+IFERROR(VLOOKUP($CI277,付与!$1:$1167,COLUMN(O$1),FALSE),0),"")</f>
        <v/>
      </c>
      <c r="P277" s="23" t="str">
        <f>IFERROR((VLOOKUP($C277,装備品!$1:$998,COLUMN(L$1),FALSE)+VLOOKUP($D277,素材!$1:$1016,COLUMN(I$1),FALSE))*100+IFERROR(VLOOKUP($CI277,付与!$1:$1167,COLUMN(P$1),FALSE),0),"")</f>
        <v/>
      </c>
      <c r="Q277">
        <f>IFERROR(ROUNDUP(VLOOKUP($C277,装備品!$1:$998,COLUMN(M$1),FALSE)*(VLOOKUP($D277,素材!$1:$1002,COLUMN(D$1),FALSE)/100),1),"")</f>
        <v>0</v>
      </c>
      <c r="R277">
        <f>IFERROR(ROUNDUP(VLOOKUP($C277,装備品!$1:$998,COLUMN(N$1),FALSE)*(VLOOKUP($D277,素材!$1:$1002,COLUMN(D$1),FALSE)/100),1),"")</f>
        <v>0</v>
      </c>
      <c r="S277">
        <f>IFERROR(VLOOKUP($C277,装備品!$1:$998,COLUMN(P$1),FALSE),"")</f>
        <v>0</v>
      </c>
      <c r="T277">
        <f>IFERROR(VLOOKUP($C277,装備品!$1:$998,COLUMN(Q$1),FALSE),"")</f>
        <v>0</v>
      </c>
      <c r="U277">
        <f>IFERROR(VLOOKUP($C277,装備品!$1:$998,COLUMN(R$1),FALSE),"")</f>
        <v>0</v>
      </c>
      <c r="V277">
        <f>IFERROR(VLOOKUP($C277,装備品!$1:$998,COLUMN(Q$1),FALSE),"")</f>
        <v>0</v>
      </c>
      <c r="W277">
        <f>IFERROR(VLOOKUP($C277,装備品!$1:$998,COLUMN(T$1),FALSE),"")</f>
        <v>0</v>
      </c>
      <c r="Y277">
        <f>IFERROR(VLOOKUP($C277,装備品!$1:$998,COLUMN(U$1),FALSE),"")</f>
        <v>0</v>
      </c>
      <c r="Z277">
        <f>IFERROR(ROUNDUP(VLOOKUP($C277,装備品!$1:$998,COLUMN(O$1),FALSE)*VLOOKUP($D277,素材!$1:$1016,COLUMN(E$1),FALSE),1),"")</f>
        <v>0</v>
      </c>
      <c r="AA277">
        <f>IF(ISNUMBER(SEARCH(SUBSTITUTE(AA$1,RIGHT(AA$1,2),""),VLOOKUP($D277,素材!$1:$1016,COLUMN($F$1),FALSE))),VLOOKUP($C277,装備品!$1:$998,COLUMN($O$1),FALSE)*VLOOKUP($D277,素材!$1:$1016,COLUMN($E$1),FALSE)/(LEN(VLOOKUP($D277,素材!$1:$1016,COLUMN($F$1),FALSE))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IFERROR(VLOOKUP($C277,装備品!$1:$998,COLUMN(V$1),FALSE)*VLOOKUP($D277,素材!$1:$1016,COLUMN(N$1),FALSE)+IF(CI277="",0,VLOOKUP($CI277,付与!$1:$1176,COLUMN($CK$1),FALSE)),"")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IFERROR(IF(CI278="",VLOOKUP($D278,素材!$1:$1016,COLUMN($B$1),FALSE)&amp;"・"&amp;VLOOKUP($C278,装備品!$1:$998,COLUMN(B$1),FALSE),VLOOKUP($CI278,付与!$1:$1176,COLUMN($B$1),FALSE)&amp;"・"&amp;VLOOKUP($C278,装備品!$1:$998,COLUMN(B$1),FALSE)),"")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IFERROR(VLOOKUP(C278,装備品!$1:$998,COLUMN(C$1),FALSE),"")</f>
        <v>装飾</v>
      </c>
      <c r="F278">
        <f>IFERROR(ROUNDDOWN((VLOOKUP($C278,装備品!$1:$998,COLUMN(D$1),FALSE)+IFERROR(VLOOKUP($CI278,付与!$1:$1167,COLUMN(F$1),FALSE),0))*VLOOKUP($D278,素材!$1:$1016,COLUMN(D$1),FALSE),0),"")</f>
        <v>0</v>
      </c>
      <c r="G278">
        <f>IFERROR(ROUNDDOWN((VLOOKUP($C278,装備品!$1:$998,COLUMN(E$1),FALSE)+IFERROR(VLOOKUP($CI278,付与!$1:$1167,COLUMN(G$1),FALSE),0))*VLOOKUP($D278,素材!$1:$1016,COLUMN($E$1),FALSE),0),"")</f>
        <v>0</v>
      </c>
      <c r="H278">
        <f>IFERROR(ROUNDDOWN((VLOOKUP($C278,装備品!$1:$998,COLUMN(F$1),FALSE)+IFERROR(VLOOKUP($CI278,付与!$1:$1167,COLUMN(H$1),FALSE),0))*VLOOKUP($D278,素材!$1:$1016,COLUMN($E$1),FALSE),0),"")</f>
        <v>0</v>
      </c>
      <c r="I278">
        <f>IFERROR(ROUNDDOWN((VLOOKUP($C278,装備品!$1:$998,COLUMN(G$1),FALSE)+IFERROR(VLOOKUP($CI278,付与!$1:$1167,COLUMN(I$1),FALSE),0))*VLOOKUP($D278,素材!$1:$1016,COLUMN($E$1),FALSE),0),"")</f>
        <v>0</v>
      </c>
      <c r="J278">
        <f>IFERROR(ROUNDDOWN((VLOOKUP($C278,装備品!$1:$998,COLUMN(H$1),FALSE)+IFERROR(VLOOKUP($CI278,付与!$1:$1167,COLUMN(J$1),FALSE),0))*VLOOKUP($D278,素材!$1:$1016,COLUMN($E$1),FALSE),0),"")</f>
        <v>0</v>
      </c>
      <c r="K278">
        <f>IFERROR(ROUNDDOWN((VLOOKUP($C278,装備品!$1:$998,COLUMN(I$1),FALSE)+IFERROR(VLOOKUP($CI278,付与!$1:$1167,COLUMN(K$1),FALSE),0))*VLOOKUP($D278,素材!$1:$1016,COLUMN($E$1),FALSE),0),"")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IFERROR(VLOOKUP($C278,装備品!$1:$998,COLUMN(AA$1),FALSE)*VLOOKUP($D278,素材!$1:$1016,COLUMN($G$1),FALSE),"")</f>
        <v/>
      </c>
      <c r="N278">
        <f>IFERROR(VLOOKUP($C278,装備品!$1:$998,COLUMN(I$1),FALSE),"")</f>
        <v>0</v>
      </c>
      <c r="O278" s="23" t="str">
        <f>IFERROR((VLOOKUP($C278,装備品!$1:$998,COLUMN(K$1),FALSE)+VLOOKUP($D278,素材!$1:$1016,COLUMN(H$1),FALSE))*100+IFERROR(VLOOKUP($CI278,付与!$1:$1167,COLUMN(O$1),FALSE),0),"")</f>
        <v/>
      </c>
      <c r="P278" s="23" t="str">
        <f>IFERROR((VLOOKUP($C278,装備品!$1:$998,COLUMN(L$1),FALSE)+VLOOKUP($D278,素材!$1:$1016,COLUMN(I$1),FALSE))*100+IFERROR(VLOOKUP($CI278,付与!$1:$1167,COLUMN(P$1),FALSE),0),"")</f>
        <v/>
      </c>
      <c r="Q278">
        <f>IFERROR(ROUNDUP(VLOOKUP($C278,装備品!$1:$998,COLUMN(M$1),FALSE)*(VLOOKUP($D278,素材!$1:$1002,COLUMN(D$1),FALSE)/100),1),"")</f>
        <v>0</v>
      </c>
      <c r="R278">
        <f>IFERROR(ROUNDUP(VLOOKUP($C278,装備品!$1:$998,COLUMN(N$1),FALSE)*(VLOOKUP($D278,素材!$1:$1002,COLUMN(D$1),FALSE)/100),1),"")</f>
        <v>0</v>
      </c>
      <c r="S278">
        <f>IFERROR(VLOOKUP($C278,装備品!$1:$998,COLUMN(P$1),FALSE),"")</f>
        <v>0</v>
      </c>
      <c r="T278">
        <f>IFERROR(VLOOKUP($C278,装備品!$1:$998,COLUMN(Q$1),FALSE),"")</f>
        <v>0</v>
      </c>
      <c r="U278">
        <f>IFERROR(VLOOKUP($C278,装備品!$1:$998,COLUMN(R$1),FALSE),"")</f>
        <v>0</v>
      </c>
      <c r="V278">
        <f>IFERROR(VLOOKUP($C278,装備品!$1:$998,COLUMN(Q$1),FALSE),"")</f>
        <v>0</v>
      </c>
      <c r="W278">
        <f>IFERROR(VLOOKUP($C278,装備品!$1:$998,COLUMN(T$1),FALSE),"")</f>
        <v>0</v>
      </c>
      <c r="Y278">
        <f>IFERROR(VLOOKUP($C278,装備品!$1:$998,COLUMN(U$1),FALSE),"")</f>
        <v>0</v>
      </c>
      <c r="Z278">
        <f>IFERROR(ROUNDUP(VLOOKUP($C278,装備品!$1:$998,COLUMN(O$1),FALSE)*VLOOKUP($D278,素材!$1:$1016,COLUMN(E$1),FALSE),1),"")</f>
        <v>0</v>
      </c>
      <c r="AA278">
        <f>IF(ISNUMBER(SEARCH(SUBSTITUTE(AA$1,RIGHT(AA$1,2),""),VLOOKUP($D278,素材!$1:$1016,COLUMN($F$1),FALSE))),VLOOKUP($C278,装備品!$1:$998,COLUMN($O$1),FALSE)*VLOOKUP($D278,素材!$1:$1016,COLUMN($E$1),FALSE)/(LEN(VLOOKUP($D278,素材!$1:$1016,COLUMN($F$1),FALSE))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IFERROR(VLOOKUP($C278,装備品!$1:$998,COLUMN(V$1),FALSE)*VLOOKUP($D278,素材!$1:$1016,COLUMN(N$1),FALSE)+IF(CI278="",0,VLOOKUP($CI278,付与!$1:$1176,COLUMN($CK$1),FALSE)),"")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IFERROR(IF(CI279="",VLOOKUP($D279,素材!$1:$1016,COLUMN($B$1),FALSE)&amp;"・"&amp;VLOOKUP($C279,装備品!$1:$998,COLUMN(B$1),FALSE),VLOOKUP($CI279,付与!$1:$1176,COLUMN($B$1),FALSE)&amp;"・"&amp;VLOOKUP($C279,装備品!$1:$998,COLUMN(B$1),FALSE)),"")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IFERROR(VLOOKUP(C279,装備品!$1:$998,COLUMN(C$1),FALSE),"")</f>
        <v>装飾</v>
      </c>
      <c r="F279">
        <f>IFERROR(ROUNDDOWN((VLOOKUP($C279,装備品!$1:$998,COLUMN(D$1),FALSE)+IFERROR(VLOOKUP($CI279,付与!$1:$1167,COLUMN(F$1),FALSE),0))*VLOOKUP($D279,素材!$1:$1016,COLUMN(D$1),FALSE),0),"")</f>
        <v>0</v>
      </c>
      <c r="G279">
        <f>IFERROR(ROUNDDOWN((VLOOKUP($C279,装備品!$1:$998,COLUMN(E$1),FALSE)+IFERROR(VLOOKUP($CI279,付与!$1:$1167,COLUMN(G$1),FALSE),0))*VLOOKUP($D279,素材!$1:$1016,COLUMN($E$1),FALSE),0),"")</f>
        <v>0</v>
      </c>
      <c r="H279">
        <f>IFERROR(ROUNDDOWN((VLOOKUP($C279,装備品!$1:$998,COLUMN(F$1),FALSE)+IFERROR(VLOOKUP($CI279,付与!$1:$1167,COLUMN(H$1),FALSE),0))*VLOOKUP($D279,素材!$1:$1016,COLUMN($E$1),FALSE),0),"")</f>
        <v>0</v>
      </c>
      <c r="I279">
        <f>IFERROR(ROUNDDOWN((VLOOKUP($C279,装備品!$1:$998,COLUMN(G$1),FALSE)+IFERROR(VLOOKUP($CI279,付与!$1:$1167,COLUMN(I$1),FALSE),0))*VLOOKUP($D279,素材!$1:$1016,COLUMN($E$1),FALSE),0),"")</f>
        <v>0</v>
      </c>
      <c r="J279">
        <f>IFERROR(ROUNDDOWN((VLOOKUP($C279,装備品!$1:$998,COLUMN(H$1),FALSE)+IFERROR(VLOOKUP($CI279,付与!$1:$1167,COLUMN(J$1),FALSE),0))*VLOOKUP($D279,素材!$1:$1016,COLUMN($E$1),FALSE),0),"")</f>
        <v>0</v>
      </c>
      <c r="K279">
        <f>IFERROR(ROUNDDOWN((VLOOKUP($C279,装備品!$1:$998,COLUMN(I$1),FALSE)+IFERROR(VLOOKUP($CI279,付与!$1:$1167,COLUMN(K$1),FALSE),0))*VLOOKUP($D279,素材!$1:$1016,COLUMN($E$1),FALSE),0),"")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IFERROR(VLOOKUP($C279,装備品!$1:$998,COLUMN(AA$1),FALSE)*VLOOKUP($D279,素材!$1:$1016,COLUMN($G$1),FALSE),"")</f>
        <v/>
      </c>
      <c r="N279">
        <f>IFERROR(VLOOKUP($C279,装備品!$1:$998,COLUMN(I$1),FALSE),"")</f>
        <v>0</v>
      </c>
      <c r="O279" s="23" t="str">
        <f>IFERROR((VLOOKUP($C279,装備品!$1:$998,COLUMN(K$1),FALSE)+VLOOKUP($D279,素材!$1:$1016,COLUMN(H$1),FALSE))*100+IFERROR(VLOOKUP($CI279,付与!$1:$1167,COLUMN(O$1),FALSE),0),"")</f>
        <v/>
      </c>
      <c r="P279" s="23" t="str">
        <f>IFERROR((VLOOKUP($C279,装備品!$1:$998,COLUMN(L$1),FALSE)+VLOOKUP($D279,素材!$1:$1016,COLUMN(I$1),FALSE))*100+IFERROR(VLOOKUP($CI279,付与!$1:$1167,COLUMN(P$1),FALSE),0),"")</f>
        <v/>
      </c>
      <c r="Q279">
        <f>IFERROR(ROUNDUP(VLOOKUP($C279,装備品!$1:$998,COLUMN(M$1),FALSE)*(VLOOKUP($D279,素材!$1:$1002,COLUMN(D$1),FALSE)/100),1),"")</f>
        <v>0</v>
      </c>
      <c r="R279">
        <f>IFERROR(ROUNDUP(VLOOKUP($C279,装備品!$1:$998,COLUMN(N$1),FALSE)*(VLOOKUP($D279,素材!$1:$1002,COLUMN(D$1),FALSE)/100),1),"")</f>
        <v>0</v>
      </c>
      <c r="S279">
        <f>IFERROR(VLOOKUP($C279,装備品!$1:$998,COLUMN(P$1),FALSE),"")</f>
        <v>0</v>
      </c>
      <c r="T279">
        <f>IFERROR(VLOOKUP($C279,装備品!$1:$998,COLUMN(Q$1),FALSE),"")</f>
        <v>0</v>
      </c>
      <c r="U279">
        <f>IFERROR(VLOOKUP($C279,装備品!$1:$998,COLUMN(R$1),FALSE),"")</f>
        <v>0</v>
      </c>
      <c r="V279">
        <f>IFERROR(VLOOKUP($C279,装備品!$1:$998,COLUMN(Q$1),FALSE),"")</f>
        <v>0</v>
      </c>
      <c r="W279">
        <f>IFERROR(VLOOKUP($C279,装備品!$1:$998,COLUMN(T$1),FALSE),"")</f>
        <v>0</v>
      </c>
      <c r="Y279">
        <f>IFERROR(VLOOKUP($C279,装備品!$1:$998,COLUMN(U$1),FALSE),"")</f>
        <v>0</v>
      </c>
      <c r="Z279">
        <f>IFERROR(ROUNDUP(VLOOKUP($C279,装備品!$1:$998,COLUMN(O$1),FALSE)*VLOOKUP($D279,素材!$1:$1016,COLUMN(E$1),FALSE),1),"")</f>
        <v>0</v>
      </c>
      <c r="AA279">
        <f>IF(ISNUMBER(SEARCH(SUBSTITUTE(AA$1,RIGHT(AA$1,2),""),VLOOKUP($D279,素材!$1:$1016,COLUMN($F$1),FALSE))),VLOOKUP($C279,装備品!$1:$998,COLUMN($O$1),FALSE)*VLOOKUP($D279,素材!$1:$1016,COLUMN($E$1),FALSE)/(LEN(VLOOKUP($D279,素材!$1:$1016,COLUMN($F$1),FALSE))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IFERROR(VLOOKUP($C279,装備品!$1:$998,COLUMN(V$1),FALSE)*VLOOKUP($D279,素材!$1:$1016,COLUMN(N$1),FALSE)+IF(CI279="",0,VLOOKUP($CI279,付与!$1:$1176,COLUMN($CK$1),FALSE)),"")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IFERROR(IF(CI280="",VLOOKUP($D280,素材!$1:$1016,COLUMN($B$1),FALSE)&amp;"・"&amp;VLOOKUP($C280,装備品!$1:$998,COLUMN(B$1),FALSE),VLOOKUP($CI280,付与!$1:$1176,COLUMN($B$1),FALSE)&amp;"・"&amp;VLOOKUP($C280,装備品!$1:$998,COLUMN(B$1),FALSE)),"")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IFERROR(VLOOKUP(C280,装備品!$1:$998,COLUMN(C$1),FALSE),"")</f>
        <v>装飾</v>
      </c>
      <c r="F280">
        <f>IFERROR(ROUNDDOWN((VLOOKUP($C280,装備品!$1:$998,COLUMN(D$1),FALSE)+IFERROR(VLOOKUP($CI280,付与!$1:$1167,COLUMN(F$1),FALSE),0))*VLOOKUP($D280,素材!$1:$1016,COLUMN(D$1),FALSE),0),"")</f>
        <v>0</v>
      </c>
      <c r="G280">
        <f>IFERROR(ROUNDDOWN((VLOOKUP($C280,装備品!$1:$998,COLUMN(E$1),FALSE)+IFERROR(VLOOKUP($CI280,付与!$1:$1167,COLUMN(G$1),FALSE),0))*VLOOKUP($D280,素材!$1:$1016,COLUMN($E$1),FALSE),0),"")</f>
        <v>0</v>
      </c>
      <c r="H280">
        <f>IFERROR(ROUNDDOWN((VLOOKUP($C280,装備品!$1:$998,COLUMN(F$1),FALSE)+IFERROR(VLOOKUP($CI280,付与!$1:$1167,COLUMN(H$1),FALSE),0))*VLOOKUP($D280,素材!$1:$1016,COLUMN($E$1),FALSE),0),"")</f>
        <v>0</v>
      </c>
      <c r="I280">
        <f>IFERROR(ROUNDDOWN((VLOOKUP($C280,装備品!$1:$998,COLUMN(G$1),FALSE)+IFERROR(VLOOKUP($CI280,付与!$1:$1167,COLUMN(I$1),FALSE),0))*VLOOKUP($D280,素材!$1:$1016,COLUMN($E$1),FALSE),0),"")</f>
        <v>0</v>
      </c>
      <c r="J280">
        <f>IFERROR(ROUNDDOWN((VLOOKUP($C280,装備品!$1:$998,COLUMN(H$1),FALSE)+IFERROR(VLOOKUP($CI280,付与!$1:$1167,COLUMN(J$1),FALSE),0))*VLOOKUP($D280,素材!$1:$1016,COLUMN($E$1),FALSE),0),"")</f>
        <v>0</v>
      </c>
      <c r="K280">
        <f>IFERROR(ROUNDDOWN((VLOOKUP($C280,装備品!$1:$998,COLUMN(I$1),FALSE)+IFERROR(VLOOKUP($CI280,付与!$1:$1167,COLUMN(K$1),FALSE),0))*VLOOKUP($D280,素材!$1:$1016,COLUMN($E$1),FALSE),0),"")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IFERROR(VLOOKUP($C280,装備品!$1:$998,COLUMN(AA$1),FALSE)*VLOOKUP($D280,素材!$1:$1016,COLUMN($G$1),FALSE),"")</f>
        <v/>
      </c>
      <c r="N280">
        <f>IFERROR(VLOOKUP($C280,装備品!$1:$998,COLUMN(I$1),FALSE),"")</f>
        <v>0</v>
      </c>
      <c r="O280" s="23" t="str">
        <f>IFERROR((VLOOKUP($C280,装備品!$1:$998,COLUMN(K$1),FALSE)+VLOOKUP($D280,素材!$1:$1016,COLUMN(H$1),FALSE))*100+IFERROR(VLOOKUP($CI280,付与!$1:$1167,COLUMN(O$1),FALSE),0),"")</f>
        <v/>
      </c>
      <c r="P280" s="23" t="str">
        <f>IFERROR((VLOOKUP($C280,装備品!$1:$998,COLUMN(L$1),FALSE)+VLOOKUP($D280,素材!$1:$1016,COLUMN(I$1),FALSE))*100+IFERROR(VLOOKUP($CI280,付与!$1:$1167,COLUMN(P$1),FALSE),0),"")</f>
        <v/>
      </c>
      <c r="Q280">
        <f>IFERROR(ROUNDUP(VLOOKUP($C280,装備品!$1:$998,COLUMN(M$1),FALSE)*(VLOOKUP($D280,素材!$1:$1002,COLUMN(D$1),FALSE)/100),1),"")</f>
        <v>0</v>
      </c>
      <c r="R280">
        <f>IFERROR(ROUNDUP(VLOOKUP($C280,装備品!$1:$998,COLUMN(N$1),FALSE)*(VLOOKUP($D280,素材!$1:$1002,COLUMN(D$1),FALSE)/100),1),"")</f>
        <v>0</v>
      </c>
      <c r="S280">
        <f>IFERROR(VLOOKUP($C280,装備品!$1:$998,COLUMN(P$1),FALSE),"")</f>
        <v>0</v>
      </c>
      <c r="T280">
        <f>IFERROR(VLOOKUP($C280,装備品!$1:$998,COLUMN(Q$1),FALSE),"")</f>
        <v>0</v>
      </c>
      <c r="U280">
        <f>IFERROR(VLOOKUP($C280,装備品!$1:$998,COLUMN(R$1),FALSE),"")</f>
        <v>0</v>
      </c>
      <c r="V280">
        <f>IFERROR(VLOOKUP($C280,装備品!$1:$998,COLUMN(Q$1),FALSE),"")</f>
        <v>0</v>
      </c>
      <c r="W280">
        <f>IFERROR(VLOOKUP($C280,装備品!$1:$998,COLUMN(T$1),FALSE),"")</f>
        <v>0</v>
      </c>
      <c r="Y280">
        <f>IFERROR(VLOOKUP($C280,装備品!$1:$998,COLUMN(U$1),FALSE),"")</f>
        <v>0</v>
      </c>
      <c r="Z280">
        <f>IFERROR(ROUNDUP(VLOOKUP($C280,装備品!$1:$998,COLUMN(O$1),FALSE)*VLOOKUP($D280,素材!$1:$1016,COLUMN(E$1),FALSE),1),"")</f>
        <v>0</v>
      </c>
      <c r="AA280">
        <f>IF(ISNUMBER(SEARCH(SUBSTITUTE(AA$1,RIGHT(AA$1,2),""),VLOOKUP($D280,素材!$1:$1016,COLUMN($F$1),FALSE))),VLOOKUP($C280,装備品!$1:$998,COLUMN($O$1),FALSE)*VLOOKUP($D280,素材!$1:$1016,COLUMN($E$1),FALSE)/(LEN(VLOOKUP($D280,素材!$1:$1016,COLUMN($F$1),FALSE))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IFERROR(VLOOKUP($C280,装備品!$1:$998,COLUMN(V$1),FALSE)*VLOOKUP($D280,素材!$1:$1016,COLUMN(N$1),FALSE)+IF(CI280="",0,VLOOKUP($CI280,付与!$1:$1176,COLUMN($CK$1),FALSE)),"")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IFERROR(IF(CI281="",VLOOKUP($D281,素材!$1:$1016,COLUMN($B$1),FALSE)&amp;"・"&amp;VLOOKUP($C281,装備品!$1:$998,COLUMN(B$1),FALSE),VLOOKUP($CI281,付与!$1:$1176,COLUMN($B$1),FALSE)&amp;"・"&amp;VLOOKUP($C281,装備品!$1:$998,COLUMN(B$1),FALSE)),"")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IFERROR(VLOOKUP(C281,装備品!$1:$998,COLUMN(C$1),FALSE),"")</f>
        <v>装飾</v>
      </c>
      <c r="F281">
        <f>IFERROR(ROUNDDOWN((VLOOKUP($C281,装備品!$1:$998,COLUMN(D$1),FALSE)+IFERROR(VLOOKUP($CI281,付与!$1:$1167,COLUMN(F$1),FALSE),0))*VLOOKUP($D281,素材!$1:$1016,COLUMN(D$1),FALSE),0),"")</f>
        <v>0</v>
      </c>
      <c r="G281">
        <f>IFERROR(ROUNDDOWN((VLOOKUP($C281,装備品!$1:$998,COLUMN(E$1),FALSE)+IFERROR(VLOOKUP($CI281,付与!$1:$1167,COLUMN(G$1),FALSE),0))*VLOOKUP($D281,素材!$1:$1016,COLUMN($E$1),FALSE),0),"")</f>
        <v>0</v>
      </c>
      <c r="H281">
        <f>IFERROR(ROUNDDOWN((VLOOKUP($C281,装備品!$1:$998,COLUMN(F$1),FALSE)+IFERROR(VLOOKUP($CI281,付与!$1:$1167,COLUMN(H$1),FALSE),0))*VLOOKUP($D281,素材!$1:$1016,COLUMN($E$1),FALSE),0),"")</f>
        <v>0</v>
      </c>
      <c r="I281">
        <f>IFERROR(ROUNDDOWN((VLOOKUP($C281,装備品!$1:$998,COLUMN(G$1),FALSE)+IFERROR(VLOOKUP($CI281,付与!$1:$1167,COLUMN(I$1),FALSE),0))*VLOOKUP($D281,素材!$1:$1016,COLUMN($E$1),FALSE),0),"")</f>
        <v>0</v>
      </c>
      <c r="J281">
        <f>IFERROR(ROUNDDOWN((VLOOKUP($C281,装備品!$1:$998,COLUMN(H$1),FALSE)+IFERROR(VLOOKUP($CI281,付与!$1:$1167,COLUMN(J$1),FALSE),0))*VLOOKUP($D281,素材!$1:$1016,COLUMN($E$1),FALSE),0),"")</f>
        <v>0</v>
      </c>
      <c r="K281">
        <f>IFERROR(ROUNDDOWN((VLOOKUP($C281,装備品!$1:$998,COLUMN(I$1),FALSE)+IFERROR(VLOOKUP($CI281,付与!$1:$1167,COLUMN(K$1),FALSE),0))*VLOOKUP($D281,素材!$1:$1016,COLUMN($E$1),FALSE),0),"")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IFERROR(VLOOKUP($C281,装備品!$1:$998,COLUMN(AA$1),FALSE)*VLOOKUP($D281,素材!$1:$1016,COLUMN($G$1),FALSE),"")</f>
        <v/>
      </c>
      <c r="N281">
        <f>IFERROR(VLOOKUP($C281,装備品!$1:$998,COLUMN(I$1),FALSE),"")</f>
        <v>0</v>
      </c>
      <c r="O281" s="23" t="str">
        <f>IFERROR((VLOOKUP($C281,装備品!$1:$998,COLUMN(K$1),FALSE)+VLOOKUP($D281,素材!$1:$1016,COLUMN(H$1),FALSE))*100+IFERROR(VLOOKUP($CI281,付与!$1:$1167,COLUMN(O$1),FALSE),0),"")</f>
        <v/>
      </c>
      <c r="P281" s="23" t="str">
        <f>IFERROR((VLOOKUP($C281,装備品!$1:$998,COLUMN(L$1),FALSE)+VLOOKUP($D281,素材!$1:$1016,COLUMN(I$1),FALSE))*100+IFERROR(VLOOKUP($CI281,付与!$1:$1167,COLUMN(P$1),FALSE),0),"")</f>
        <v/>
      </c>
      <c r="Q281">
        <f>IFERROR(ROUNDUP(VLOOKUP($C281,装備品!$1:$998,COLUMN(M$1),FALSE)*(VLOOKUP($D281,素材!$1:$1002,COLUMN(D$1),FALSE)/100),1),"")</f>
        <v>0</v>
      </c>
      <c r="R281">
        <f>IFERROR(ROUNDUP(VLOOKUP($C281,装備品!$1:$998,COLUMN(N$1),FALSE)*(VLOOKUP($D281,素材!$1:$1002,COLUMN(D$1),FALSE)/100),1),"")</f>
        <v>0</v>
      </c>
      <c r="S281">
        <f>IFERROR(VLOOKUP($C281,装備品!$1:$998,COLUMN(P$1),FALSE),"")</f>
        <v>0</v>
      </c>
      <c r="T281">
        <f>IFERROR(VLOOKUP($C281,装備品!$1:$998,COLUMN(Q$1),FALSE),"")</f>
        <v>0</v>
      </c>
      <c r="U281">
        <f>IFERROR(VLOOKUP($C281,装備品!$1:$998,COLUMN(R$1),FALSE),"")</f>
        <v>0</v>
      </c>
      <c r="V281">
        <f>IFERROR(VLOOKUP($C281,装備品!$1:$998,COLUMN(Q$1),FALSE),"")</f>
        <v>0</v>
      </c>
      <c r="W281">
        <f>IFERROR(VLOOKUP($C281,装備品!$1:$998,COLUMN(T$1),FALSE),"")</f>
        <v>0</v>
      </c>
      <c r="Y281">
        <f>IFERROR(VLOOKUP($C281,装備品!$1:$998,COLUMN(U$1),FALSE),"")</f>
        <v>0</v>
      </c>
      <c r="Z281">
        <f>IFERROR(ROUNDUP(VLOOKUP($C281,装備品!$1:$998,COLUMN(O$1),FALSE)*VLOOKUP($D281,素材!$1:$1016,COLUMN(E$1),FALSE),1),"")</f>
        <v>0</v>
      </c>
      <c r="AA281">
        <f>IF(ISNUMBER(SEARCH(SUBSTITUTE(AA$1,RIGHT(AA$1,2),""),VLOOKUP($D281,素材!$1:$1016,COLUMN($F$1),FALSE))),VLOOKUP($C281,装備品!$1:$998,COLUMN($O$1),FALSE)*VLOOKUP($D281,素材!$1:$1016,COLUMN($E$1),FALSE)/(LEN(VLOOKUP($D281,素材!$1:$1016,COLUMN($F$1),FALSE))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IFERROR(VLOOKUP($C281,装備品!$1:$998,COLUMN(V$1),FALSE)*VLOOKUP($D281,素材!$1:$1016,COLUMN(N$1),FALSE)+IF(CI281="",0,VLOOKUP($CI281,付与!$1:$1176,COLUMN($CK$1),FALSE)),"")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IFERROR(IF(CI282="",VLOOKUP($D282,素材!$1:$1016,COLUMN($B$1),FALSE)&amp;"・"&amp;VLOOKUP($C282,装備品!$1:$998,COLUMN(B$1),FALSE),VLOOKUP($CI282,付与!$1:$1176,COLUMN($B$1),FALSE)&amp;"・"&amp;VLOOKUP($C282,装備品!$1:$998,COLUMN(B$1),FALSE)),"")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IFERROR(VLOOKUP(C282,装備品!$1:$998,COLUMN(C$1),FALSE),"")</f>
        <v>装飾</v>
      </c>
      <c r="F282">
        <f>IFERROR(ROUNDDOWN((VLOOKUP($C282,装備品!$1:$998,COLUMN(D$1),FALSE)+IFERROR(VLOOKUP($CI282,付与!$1:$1167,COLUMN(F$1),FALSE),0))*VLOOKUP($D282,素材!$1:$1016,COLUMN(D$1),FALSE),0),"")</f>
        <v>0</v>
      </c>
      <c r="G282">
        <f>IFERROR(ROUNDDOWN((VLOOKUP($C282,装備品!$1:$998,COLUMN(E$1),FALSE)+IFERROR(VLOOKUP($CI282,付与!$1:$1167,COLUMN(G$1),FALSE),0))*VLOOKUP($D282,素材!$1:$1016,COLUMN($E$1),FALSE),0),"")</f>
        <v>0</v>
      </c>
      <c r="H282">
        <f>IFERROR(ROUNDDOWN((VLOOKUP($C282,装備品!$1:$998,COLUMN(F$1),FALSE)+IFERROR(VLOOKUP($CI282,付与!$1:$1167,COLUMN(H$1),FALSE),0))*VLOOKUP($D282,素材!$1:$1016,COLUMN($E$1),FALSE),0),"")</f>
        <v>0</v>
      </c>
      <c r="I282">
        <f>IFERROR(ROUNDDOWN((VLOOKUP($C282,装備品!$1:$998,COLUMN(G$1),FALSE)+IFERROR(VLOOKUP($CI282,付与!$1:$1167,COLUMN(I$1),FALSE),0))*VLOOKUP($D282,素材!$1:$1016,COLUMN($E$1),FALSE),0),"")</f>
        <v>0</v>
      </c>
      <c r="J282">
        <f>IFERROR(ROUNDDOWN((VLOOKUP($C282,装備品!$1:$998,COLUMN(H$1),FALSE)+IFERROR(VLOOKUP($CI282,付与!$1:$1167,COLUMN(J$1),FALSE),0))*VLOOKUP($D282,素材!$1:$1016,COLUMN($E$1),FALSE),0),"")</f>
        <v>0</v>
      </c>
      <c r="K282">
        <f>IFERROR(ROUNDDOWN((VLOOKUP($C282,装備品!$1:$998,COLUMN(I$1),FALSE)+IFERROR(VLOOKUP($CI282,付与!$1:$1167,COLUMN(K$1),FALSE),0))*VLOOKUP($D282,素材!$1:$1016,COLUMN($E$1),FALSE),0),"")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IFERROR(VLOOKUP($C282,装備品!$1:$998,COLUMN(AA$1),FALSE)*VLOOKUP($D282,素材!$1:$1016,COLUMN($G$1),FALSE),"")</f>
        <v/>
      </c>
      <c r="N282">
        <f>IFERROR(VLOOKUP($C282,装備品!$1:$998,COLUMN(I$1),FALSE),"")</f>
        <v>0</v>
      </c>
      <c r="O282" s="23" t="str">
        <f>IFERROR((VLOOKUP($C282,装備品!$1:$998,COLUMN(K$1),FALSE)+VLOOKUP($D282,素材!$1:$1016,COLUMN(H$1),FALSE))*100+IFERROR(VLOOKUP($CI282,付与!$1:$1167,COLUMN(O$1),FALSE),0),"")</f>
        <v/>
      </c>
      <c r="P282" s="23" t="str">
        <f>IFERROR((VLOOKUP($C282,装備品!$1:$998,COLUMN(L$1),FALSE)+VLOOKUP($D282,素材!$1:$1016,COLUMN(I$1),FALSE))*100+IFERROR(VLOOKUP($CI282,付与!$1:$1167,COLUMN(P$1),FALSE),0),"")</f>
        <v/>
      </c>
      <c r="Q282">
        <f>IFERROR(ROUNDUP(VLOOKUP($C282,装備品!$1:$998,COLUMN(M$1),FALSE)*(VLOOKUP($D282,素材!$1:$1002,COLUMN(D$1),FALSE)/100),1),"")</f>
        <v>0</v>
      </c>
      <c r="R282">
        <f>IFERROR(ROUNDUP(VLOOKUP($C282,装備品!$1:$998,COLUMN(N$1),FALSE)*(VLOOKUP($D282,素材!$1:$1002,COLUMN(D$1),FALSE)/100),1),"")</f>
        <v>0</v>
      </c>
      <c r="S282">
        <f>IFERROR(VLOOKUP($C282,装備品!$1:$998,COLUMN(P$1),FALSE),"")</f>
        <v>0</v>
      </c>
      <c r="T282">
        <f>IFERROR(VLOOKUP($C282,装備品!$1:$998,COLUMN(Q$1),FALSE),"")</f>
        <v>0</v>
      </c>
      <c r="U282">
        <f>IFERROR(VLOOKUP($C282,装備品!$1:$998,COLUMN(R$1),FALSE),"")</f>
        <v>0</v>
      </c>
      <c r="V282">
        <f>IFERROR(VLOOKUP($C282,装備品!$1:$998,COLUMN(Q$1),FALSE),"")</f>
        <v>0</v>
      </c>
      <c r="W282">
        <f>IFERROR(VLOOKUP($C282,装備品!$1:$998,COLUMN(T$1),FALSE),"")</f>
        <v>0</v>
      </c>
      <c r="Y282">
        <f>IFERROR(VLOOKUP($C282,装備品!$1:$998,COLUMN(U$1),FALSE),"")</f>
        <v>0</v>
      </c>
      <c r="Z282">
        <f>IFERROR(ROUNDUP(VLOOKUP($C282,装備品!$1:$998,COLUMN(O$1),FALSE)*VLOOKUP($D282,素材!$1:$1016,COLUMN(E$1),FALSE),1),"")</f>
        <v>0</v>
      </c>
      <c r="AA282">
        <f>IF(ISNUMBER(SEARCH(SUBSTITUTE(AA$1,RIGHT(AA$1,2),""),VLOOKUP($D282,素材!$1:$1016,COLUMN($F$1),FALSE))),VLOOKUP($C282,装備品!$1:$998,COLUMN($O$1),FALSE)*VLOOKUP($D282,素材!$1:$1016,COLUMN($E$1),FALSE)/(LEN(VLOOKUP($D282,素材!$1:$1016,COLUMN($F$1),FALSE))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IFERROR(VLOOKUP($C282,装備品!$1:$998,COLUMN(V$1),FALSE)*VLOOKUP($D282,素材!$1:$1016,COLUMN(N$1),FALSE)+IF(CI282="",0,VLOOKUP($CI282,付与!$1:$1176,COLUMN($CK$1),FALSE)),"")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IFERROR(IF(CI283="",VLOOKUP($D283,素材!$1:$1016,COLUMN($B$1),FALSE)&amp;"・"&amp;VLOOKUP($C283,装備品!$1:$998,COLUMN(B$1),FALSE),VLOOKUP($CI283,付与!$1:$1176,COLUMN($B$1),FALSE)&amp;"・"&amp;VLOOKUP($C283,装備品!$1:$998,COLUMN(B$1),FALSE)),"")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IFERROR(VLOOKUP(C283,装備品!$1:$998,COLUMN(C$1),FALSE),"")</f>
        <v>装飾</v>
      </c>
      <c r="F283">
        <f>IFERROR(ROUNDDOWN((VLOOKUP($C283,装備品!$1:$998,COLUMN(D$1),FALSE)+IFERROR(VLOOKUP($CI283,付与!$1:$1167,COLUMN(F$1),FALSE),0))*VLOOKUP($D283,素材!$1:$1016,COLUMN(D$1),FALSE),0),"")</f>
        <v>0</v>
      </c>
      <c r="G283">
        <f>IFERROR(ROUNDDOWN((VLOOKUP($C283,装備品!$1:$998,COLUMN(E$1),FALSE)+IFERROR(VLOOKUP($CI283,付与!$1:$1167,COLUMN(G$1),FALSE),0))*VLOOKUP($D283,素材!$1:$1016,COLUMN($E$1),FALSE),0),"")</f>
        <v>0</v>
      </c>
      <c r="H283">
        <f>IFERROR(ROUNDDOWN((VLOOKUP($C283,装備品!$1:$998,COLUMN(F$1),FALSE)+IFERROR(VLOOKUP($CI283,付与!$1:$1167,COLUMN(H$1),FALSE),0))*VLOOKUP($D283,素材!$1:$1016,COLUMN($E$1),FALSE),0),"")</f>
        <v>0</v>
      </c>
      <c r="I283">
        <f>IFERROR(ROUNDDOWN((VLOOKUP($C283,装備品!$1:$998,COLUMN(G$1),FALSE)+IFERROR(VLOOKUP($CI283,付与!$1:$1167,COLUMN(I$1),FALSE),0))*VLOOKUP($D283,素材!$1:$1016,COLUMN($E$1),FALSE),0),"")</f>
        <v>0</v>
      </c>
      <c r="J283">
        <f>IFERROR(ROUNDDOWN((VLOOKUP($C283,装備品!$1:$998,COLUMN(H$1),FALSE)+IFERROR(VLOOKUP($CI283,付与!$1:$1167,COLUMN(J$1),FALSE),0))*VLOOKUP($D283,素材!$1:$1016,COLUMN($E$1),FALSE),0),"")</f>
        <v>0</v>
      </c>
      <c r="K283">
        <f>IFERROR(ROUNDDOWN((VLOOKUP($C283,装備品!$1:$998,COLUMN(I$1),FALSE)+IFERROR(VLOOKUP($CI283,付与!$1:$1167,COLUMN(K$1),FALSE),0))*VLOOKUP($D283,素材!$1:$1016,COLUMN($E$1),FALSE),0),"")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IFERROR(VLOOKUP($C283,装備品!$1:$998,COLUMN(AA$1),FALSE)*VLOOKUP($D283,素材!$1:$1016,COLUMN($G$1),FALSE),"")</f>
        <v/>
      </c>
      <c r="N283">
        <f>IFERROR(VLOOKUP($C283,装備品!$1:$998,COLUMN(I$1),FALSE),"")</f>
        <v>0</v>
      </c>
      <c r="O283" s="23" t="str">
        <f>IFERROR((VLOOKUP($C283,装備品!$1:$998,COLUMN(K$1),FALSE)+VLOOKUP($D283,素材!$1:$1016,COLUMN(H$1),FALSE))*100+IFERROR(VLOOKUP($CI283,付与!$1:$1167,COLUMN(O$1),FALSE),0),"")</f>
        <v/>
      </c>
      <c r="P283" s="23" t="str">
        <f>IFERROR((VLOOKUP($C283,装備品!$1:$998,COLUMN(L$1),FALSE)+VLOOKUP($D283,素材!$1:$1016,COLUMN(I$1),FALSE))*100+IFERROR(VLOOKUP($CI283,付与!$1:$1167,COLUMN(P$1),FALSE),0),"")</f>
        <v/>
      </c>
      <c r="Q283">
        <f>IFERROR(ROUNDUP(VLOOKUP($C283,装備品!$1:$998,COLUMN(M$1),FALSE)*(VLOOKUP($D283,素材!$1:$1002,COLUMN(D$1),FALSE)/100),1),"")</f>
        <v>0</v>
      </c>
      <c r="R283">
        <f>IFERROR(ROUNDUP(VLOOKUP($C283,装備品!$1:$998,COLUMN(N$1),FALSE)*(VLOOKUP($D283,素材!$1:$1002,COLUMN(D$1),FALSE)/100),1),"")</f>
        <v>0</v>
      </c>
      <c r="S283">
        <f>IFERROR(VLOOKUP($C283,装備品!$1:$998,COLUMN(P$1),FALSE),"")</f>
        <v>0</v>
      </c>
      <c r="T283">
        <f>IFERROR(VLOOKUP($C283,装備品!$1:$998,COLUMN(Q$1),FALSE),"")</f>
        <v>0</v>
      </c>
      <c r="U283">
        <f>IFERROR(VLOOKUP($C283,装備品!$1:$998,COLUMN(R$1),FALSE),"")</f>
        <v>0</v>
      </c>
      <c r="V283">
        <f>IFERROR(VLOOKUP($C283,装備品!$1:$998,COLUMN(Q$1),FALSE),"")</f>
        <v>0</v>
      </c>
      <c r="W283">
        <f>IFERROR(VLOOKUP($C283,装備品!$1:$998,COLUMN(T$1),FALSE),"")</f>
        <v>0</v>
      </c>
      <c r="Y283">
        <f>IFERROR(VLOOKUP($C283,装備品!$1:$998,COLUMN(U$1),FALSE),"")</f>
        <v>0</v>
      </c>
      <c r="Z283">
        <f>IFERROR(ROUNDUP(VLOOKUP($C283,装備品!$1:$998,COLUMN(O$1),FALSE)*VLOOKUP($D283,素材!$1:$1016,COLUMN(E$1),FALSE),1),"")</f>
        <v>0</v>
      </c>
      <c r="AA283">
        <f>IF(ISNUMBER(SEARCH(SUBSTITUTE(AA$1,RIGHT(AA$1,2),""),VLOOKUP($D283,素材!$1:$1016,COLUMN($F$1),FALSE))),VLOOKUP($C283,装備品!$1:$998,COLUMN($O$1),FALSE)*VLOOKUP($D283,素材!$1:$1016,COLUMN($E$1),FALSE)/(LEN(VLOOKUP($D283,素材!$1:$1016,COLUMN($F$1),FALSE))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IFERROR(VLOOKUP($C283,装備品!$1:$998,COLUMN(V$1),FALSE)*VLOOKUP($D283,素材!$1:$1016,COLUMN(N$1),FALSE)+IF(CI283="",0,VLOOKUP($CI283,付与!$1:$1176,COLUMN($CK$1),FALSE)),"")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IFERROR(IF(CI284="",VLOOKUP($D284,素材!$1:$1016,COLUMN($B$1),FALSE)&amp;"・"&amp;VLOOKUP($C284,装備品!$1:$998,COLUMN(B$1),FALSE),VLOOKUP($CI284,付与!$1:$1176,COLUMN($B$1),FALSE)&amp;"・"&amp;VLOOKUP($C284,装備品!$1:$998,COLUMN(B$1),FALSE)),"")</f>
        <v/>
      </c>
      <c r="C284" s="24"/>
      <c r="D284" s="24"/>
      <c r="E284" t="str">
        <f>IFERROR(VLOOKUP(C284,装備品!$1:$998,COLUMN(C$1),FALSE),"")</f>
        <v/>
      </c>
      <c r="F284" t="str">
        <f>IFERROR(ROUNDDOWN((VLOOKUP($C284,装備品!$1:$998,COLUMN(D$1),FALSE)+IFERROR(VLOOKUP($CI284,付与!$1:$1167,COLUMN(F$1),FALSE),0))*VLOOKUP($D284,素材!$1:$1016,COLUMN(D$1),FALSE),0),"")</f>
        <v/>
      </c>
      <c r="G284" t="str">
        <f>IFERROR(ROUNDDOWN((VLOOKUP($C284,装備品!$1:$998,COLUMN(E$1),FALSE)+IFERROR(VLOOKUP($CI284,付与!$1:$1167,COLUMN(G$1),FALSE),0))*VLOOKUP($D284,素材!$1:$1016,COLUMN($E$1),FALSE),0),"")</f>
        <v/>
      </c>
      <c r="H284" t="str">
        <f>IFERROR(ROUNDDOWN((VLOOKUP($C284,装備品!$1:$998,COLUMN(F$1),FALSE)+IFERROR(VLOOKUP($CI284,付与!$1:$1167,COLUMN(H$1),FALSE),0))*VLOOKUP($D284,素材!$1:$1016,COLUMN($E$1),FALSE),0),"")</f>
        <v/>
      </c>
      <c r="I284" t="str">
        <f>IFERROR(ROUNDDOWN((VLOOKUP($C284,装備品!$1:$998,COLUMN(G$1),FALSE)+IFERROR(VLOOKUP($CI284,付与!$1:$1167,COLUMN(I$1),FALSE),0))*VLOOKUP($D284,素材!$1:$1016,COLUMN($E$1),FALSE),0),"")</f>
        <v/>
      </c>
      <c r="J284" t="str">
        <f>IFERROR(ROUNDDOWN((VLOOKUP($C284,装備品!$1:$998,COLUMN(H$1),FALSE)+IFERROR(VLOOKUP($CI284,付与!$1:$1167,COLUMN(J$1),FALSE),0))*VLOOKUP($D284,素材!$1:$1016,COLUMN($E$1),FALSE),0),"")</f>
        <v/>
      </c>
      <c r="K284" t="str">
        <f>IFERROR(ROUNDDOWN((VLOOKUP($C284,装備品!$1:$998,COLUMN(I$1),FALSE)+IFERROR(VLOOKUP($CI284,付与!$1:$1167,COLUMN(K$1),FALSE),0))*VLOOKUP($D284,素材!$1:$1016,COLUMN($E$1),FALSE),0),"")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IFERROR(VLOOKUP($C284,装備品!$1:$998,COLUMN(AA$1),FALSE)*VLOOKUP($D284,素材!$1:$1016,COLUMN($G$1),FALSE),"")</f>
        <v/>
      </c>
      <c r="N284" t="str">
        <f>IFERROR(VLOOKUP($C284,装備品!$1:$998,COLUMN(I$1),FALSE),"")</f>
        <v/>
      </c>
      <c r="O284" s="23" t="str">
        <f>IFERROR((VLOOKUP($C284,装備品!$1:$998,COLUMN(K$1),FALSE)+VLOOKUP($D284,素材!$1:$1016,COLUMN(H$1),FALSE))*100+IFERROR(VLOOKUP($CI284,付与!$1:$1167,COLUMN(O$1),FALSE),0),"")</f>
        <v/>
      </c>
      <c r="P284" s="23" t="str">
        <f>IFERROR((VLOOKUP($C284,装備品!$1:$998,COLUMN(L$1),FALSE)+VLOOKUP($D284,素材!$1:$1016,COLUMN(I$1),FALSE))*100+IFERROR(VLOOKUP($CI284,付与!$1:$1167,COLUMN(P$1),FALSE),0),"")</f>
        <v/>
      </c>
      <c r="Q284" t="str">
        <f>IFERROR(ROUNDUP(VLOOKUP($C284,装備品!$1:$998,COLUMN(M$1),FALSE)*(VLOOKUP($D284,素材!$1:$1002,COLUMN(D$1),FALSE)/100),1),"")</f>
        <v/>
      </c>
      <c r="R284" t="str">
        <f>IFERROR(ROUNDUP(VLOOKUP($C284,装備品!$1:$998,COLUMN(N$1),FALSE)*(VLOOKUP($D284,素材!$1:$1002,COLUMN(D$1),FALSE)/100),1),"")</f>
        <v/>
      </c>
      <c r="S284" t="str">
        <f>IFERROR(VLOOKUP($C284,装備品!$1:$998,COLUMN(P$1),FALSE),"")</f>
        <v/>
      </c>
      <c r="T284" t="str">
        <f>IFERROR(VLOOKUP($C284,装備品!$1:$998,COLUMN(Q$1),FALSE),"")</f>
        <v/>
      </c>
      <c r="U284" t="str">
        <f>IFERROR(VLOOKUP($C284,装備品!$1:$998,COLUMN(R$1),FALSE),"")</f>
        <v/>
      </c>
      <c r="V284" t="str">
        <f>IFERROR(VLOOKUP($C284,装備品!$1:$998,COLUMN(Q$1),FALSE),"")</f>
        <v/>
      </c>
      <c r="W284" t="str">
        <f>IFERROR(VLOOKUP($C284,装備品!$1:$998,COLUMN(T$1),FALSE),"")</f>
        <v/>
      </c>
      <c r="Y284" t="str">
        <f>IFERROR(VLOOKUP($C284,装備品!$1:$998,COLUMN(U$1),FALSE),"")</f>
        <v/>
      </c>
      <c r="Z284" t="str">
        <f>IFERROR(ROUNDUP(VLOOKUP($C284,装備品!$1:$998,COLUMN(O$1),FALSE)*VLOOKUP($D284,素材!$1:$1016,COLUMN(E$1),FALSE),1),"")</f>
        <v/>
      </c>
      <c r="AA284">
        <f>IF(ISNUMBER(SEARCH(SUBSTITUTE(AA$1,RIGHT(AA$1,2),""),VLOOKUP($D284,素材!$1:$1016,COLUMN($F$1),FALSE))),VLOOKUP($C284,装備品!$1:$998,COLUMN($O$1),FALSE)*VLOOKUP($D284,素材!$1:$1016,COLUMN($E$1),FALSE)/(LEN(VLOOKUP($D284,素材!$1:$1016,COLUMN($F$1),FALSE))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IFERROR(VLOOKUP($C284,装備品!$1:$998,COLUMN(V$1),FALSE)*VLOOKUP($D284,素材!$1:$1016,COLUMN(N$1),FALSE)+IF(CI284="",0,VLOOKUP($CI284,付与!$1:$1176,COLUMN($CK$1),FALSE)),"")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IFERROR(IF(CI285="",VLOOKUP($D285,素材!$1:$1016,COLUMN($B$1),FALSE)&amp;"・"&amp;VLOOKUP($C285,装備品!$1:$998,COLUMN(B$1),FALSE),VLOOKUP($CI285,付与!$1:$1176,COLUMN($B$1),FALSE)&amp;"・"&amp;VLOOKUP($C285,装備品!$1:$998,COLUMN(B$1),FALSE)),"")</f>
        <v/>
      </c>
      <c r="C285" s="24"/>
      <c r="D285" s="24"/>
      <c r="E285" t="str">
        <f>IFERROR(VLOOKUP(C285,装備品!$1:$998,COLUMN(C$1),FALSE),"")</f>
        <v/>
      </c>
      <c r="F285" t="str">
        <f>IFERROR(ROUNDDOWN((VLOOKUP($C285,装備品!$1:$998,COLUMN(D$1),FALSE)+IFERROR(VLOOKUP($CI285,付与!$1:$1167,COLUMN(F$1),FALSE),0))*VLOOKUP($D285,素材!$1:$1016,COLUMN(D$1),FALSE),0),"")</f>
        <v/>
      </c>
      <c r="G285" t="str">
        <f>IFERROR(ROUNDDOWN((VLOOKUP($C285,装備品!$1:$998,COLUMN(E$1),FALSE)+IFERROR(VLOOKUP($CI285,付与!$1:$1167,COLUMN(G$1),FALSE),0))*VLOOKUP($D285,素材!$1:$1016,COLUMN($E$1),FALSE),0),"")</f>
        <v/>
      </c>
      <c r="H285" t="str">
        <f>IFERROR(ROUNDDOWN((VLOOKUP($C285,装備品!$1:$998,COLUMN(F$1),FALSE)+IFERROR(VLOOKUP($CI285,付与!$1:$1167,COLUMN(H$1),FALSE),0))*VLOOKUP($D285,素材!$1:$1016,COLUMN($E$1),FALSE),0),"")</f>
        <v/>
      </c>
      <c r="I285" t="str">
        <f>IFERROR(ROUNDDOWN((VLOOKUP($C285,装備品!$1:$998,COLUMN(G$1),FALSE)+IFERROR(VLOOKUP($CI285,付与!$1:$1167,COLUMN(I$1),FALSE),0))*VLOOKUP($D285,素材!$1:$1016,COLUMN($E$1),FALSE),0),"")</f>
        <v/>
      </c>
      <c r="J285" t="str">
        <f>IFERROR(ROUNDDOWN((VLOOKUP($C285,装備品!$1:$998,COLUMN(H$1),FALSE)+IFERROR(VLOOKUP($CI285,付与!$1:$1167,COLUMN(J$1),FALSE),0))*VLOOKUP($D285,素材!$1:$1016,COLUMN($E$1),FALSE),0),"")</f>
        <v/>
      </c>
      <c r="K285" t="str">
        <f>IFERROR(ROUNDDOWN((VLOOKUP($C285,装備品!$1:$998,COLUMN(I$1),FALSE)+IFERROR(VLOOKUP($CI285,付与!$1:$1167,COLUMN(K$1),FALSE),0))*VLOOKUP($D285,素材!$1:$1016,COLUMN($E$1),FALSE),0),"")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IFERROR(VLOOKUP($C285,装備品!$1:$998,COLUMN(AA$1),FALSE)*VLOOKUP($D285,素材!$1:$1016,COLUMN($G$1),FALSE),"")</f>
        <v/>
      </c>
      <c r="N285" t="str">
        <f>IFERROR(VLOOKUP($C285,装備品!$1:$998,COLUMN(I$1),FALSE),"")</f>
        <v/>
      </c>
      <c r="O285" s="23" t="str">
        <f>IFERROR((VLOOKUP($C285,装備品!$1:$998,COLUMN(K$1),FALSE)+VLOOKUP($D285,素材!$1:$1016,COLUMN(H$1),FALSE))*100+IFERROR(VLOOKUP($CI285,付与!$1:$1167,COLUMN(O$1),FALSE),0),"")</f>
        <v/>
      </c>
      <c r="P285" s="23" t="str">
        <f>IFERROR((VLOOKUP($C285,装備品!$1:$998,COLUMN(L$1),FALSE)+VLOOKUP($D285,素材!$1:$1016,COLUMN(I$1),FALSE))*100+IFERROR(VLOOKUP($CI285,付与!$1:$1167,COLUMN(P$1),FALSE),0),"")</f>
        <v/>
      </c>
      <c r="Q285" t="str">
        <f>IFERROR(ROUNDUP(VLOOKUP($C285,装備品!$1:$998,COLUMN(M$1),FALSE)*(VLOOKUP($D285,素材!$1:$1002,COLUMN(D$1),FALSE)/100),1),"")</f>
        <v/>
      </c>
      <c r="R285" t="str">
        <f>IFERROR(ROUNDUP(VLOOKUP($C285,装備品!$1:$998,COLUMN(N$1),FALSE)*(VLOOKUP($D285,素材!$1:$1002,COLUMN(D$1),FALSE)/100),1),"")</f>
        <v/>
      </c>
      <c r="S285" t="str">
        <f>IFERROR(VLOOKUP($C285,装備品!$1:$998,COLUMN(P$1),FALSE),"")</f>
        <v/>
      </c>
      <c r="T285" t="str">
        <f>IFERROR(VLOOKUP($C285,装備品!$1:$998,COLUMN(Q$1),FALSE),"")</f>
        <v/>
      </c>
      <c r="U285" t="str">
        <f>IFERROR(VLOOKUP($C285,装備品!$1:$998,COLUMN(R$1),FALSE),"")</f>
        <v/>
      </c>
      <c r="V285" t="str">
        <f>IFERROR(VLOOKUP($C285,装備品!$1:$998,COLUMN(Q$1),FALSE),"")</f>
        <v/>
      </c>
      <c r="W285" t="str">
        <f>IFERROR(VLOOKUP($C285,装備品!$1:$998,COLUMN(T$1),FALSE),"")</f>
        <v/>
      </c>
      <c r="Y285" t="str">
        <f>IFERROR(VLOOKUP($C285,装備品!$1:$998,COLUMN(U$1),FALSE),"")</f>
        <v/>
      </c>
      <c r="Z285" t="str">
        <f>IFERROR(ROUNDUP(VLOOKUP($C285,装備品!$1:$998,COLUMN(O$1),FALSE)*VLOOKUP($D285,素材!$1:$1016,COLUMN(E$1),FALSE),1),"")</f>
        <v/>
      </c>
      <c r="AA285">
        <f>IF(ISNUMBER(SEARCH(SUBSTITUTE(AA$1,RIGHT(AA$1,2),""),VLOOKUP($D285,素材!$1:$1016,COLUMN($F$1),FALSE))),VLOOKUP($C285,装備品!$1:$998,COLUMN($O$1),FALSE)*VLOOKUP($D285,素材!$1:$1016,COLUMN($E$1),FALSE)/(LEN(VLOOKUP($D285,素材!$1:$1016,COLUMN($F$1),FALSE))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IFERROR(VLOOKUP($C285,装備品!$1:$998,COLUMN(V$1),FALSE)*VLOOKUP($D285,素材!$1:$1016,COLUMN(N$1),FALSE)+IF(CI285="",0,VLOOKUP($CI285,付与!$1:$1176,COLUMN($CK$1),FALSE)),"")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IFERROR(IF(CI286="",VLOOKUP($D286,素材!$1:$1016,COLUMN($B$1),FALSE)&amp;"・"&amp;VLOOKUP($C286,装備品!$1:$998,COLUMN(B$1),FALSE),VLOOKUP($CI286,付与!$1:$1176,COLUMN($B$1),FALSE)&amp;"・"&amp;VLOOKUP($C286,装備品!$1:$998,COLUMN(B$1),FALSE)),"")</f>
        <v/>
      </c>
      <c r="C286" s="24"/>
      <c r="D286" s="24"/>
      <c r="E286" t="str">
        <f>IFERROR(VLOOKUP(C286,装備品!$1:$998,COLUMN(C$1),FALSE),"")</f>
        <v/>
      </c>
      <c r="F286" t="str">
        <f>IFERROR(ROUNDDOWN((VLOOKUP($C286,装備品!$1:$998,COLUMN(D$1),FALSE)+IFERROR(VLOOKUP($CI286,付与!$1:$1167,COLUMN(F$1),FALSE),0))*VLOOKUP($D286,素材!$1:$1016,COLUMN(D$1),FALSE),0),"")</f>
        <v/>
      </c>
      <c r="G286" t="str">
        <f>IFERROR(ROUNDDOWN((VLOOKUP($C286,装備品!$1:$998,COLUMN(E$1),FALSE)+IFERROR(VLOOKUP($CI286,付与!$1:$1167,COLUMN(G$1),FALSE),0))*VLOOKUP($D286,素材!$1:$1016,COLUMN($E$1),FALSE),0),"")</f>
        <v/>
      </c>
      <c r="H286" t="str">
        <f>IFERROR(ROUNDDOWN((VLOOKUP($C286,装備品!$1:$998,COLUMN(F$1),FALSE)+IFERROR(VLOOKUP($CI286,付与!$1:$1167,COLUMN(H$1),FALSE),0))*VLOOKUP($D286,素材!$1:$1016,COLUMN($E$1),FALSE),0),"")</f>
        <v/>
      </c>
      <c r="I286" t="str">
        <f>IFERROR(ROUNDDOWN((VLOOKUP($C286,装備品!$1:$998,COLUMN(G$1),FALSE)+IFERROR(VLOOKUP($CI286,付与!$1:$1167,COLUMN(I$1),FALSE),0))*VLOOKUP($D286,素材!$1:$1016,COLUMN($E$1),FALSE),0),"")</f>
        <v/>
      </c>
      <c r="J286" t="str">
        <f>IFERROR(ROUNDDOWN((VLOOKUP($C286,装備品!$1:$998,COLUMN(H$1),FALSE)+IFERROR(VLOOKUP($CI286,付与!$1:$1167,COLUMN(J$1),FALSE),0))*VLOOKUP($D286,素材!$1:$1016,COLUMN($E$1),FALSE),0),"")</f>
        <v/>
      </c>
      <c r="K286" t="str">
        <f>IFERROR(ROUNDDOWN((VLOOKUP($C286,装備品!$1:$998,COLUMN(I$1),FALSE)+IFERROR(VLOOKUP($CI286,付与!$1:$1167,COLUMN(K$1),FALSE),0))*VLOOKUP($D286,素材!$1:$1016,COLUMN($E$1),FALSE),0),"")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IFERROR(VLOOKUP($C286,装備品!$1:$998,COLUMN(AA$1),FALSE)*VLOOKUP($D286,素材!$1:$1016,COLUMN($G$1),FALSE),"")</f>
        <v/>
      </c>
      <c r="N286" t="str">
        <f>IFERROR(VLOOKUP($C286,装備品!$1:$998,COLUMN(I$1),FALSE),"")</f>
        <v/>
      </c>
      <c r="O286" s="23" t="str">
        <f>IFERROR((VLOOKUP($C286,装備品!$1:$998,COLUMN(K$1),FALSE)+VLOOKUP($D286,素材!$1:$1016,COLUMN(H$1),FALSE))*100+IFERROR(VLOOKUP($CI286,付与!$1:$1167,COLUMN(O$1),FALSE),0),"")</f>
        <v/>
      </c>
      <c r="P286" s="23" t="str">
        <f>IFERROR((VLOOKUP($C286,装備品!$1:$998,COLUMN(L$1),FALSE)+VLOOKUP($D286,素材!$1:$1016,COLUMN(I$1),FALSE))*100+IFERROR(VLOOKUP($CI286,付与!$1:$1167,COLUMN(P$1),FALSE),0),"")</f>
        <v/>
      </c>
      <c r="Q286" t="str">
        <f>IFERROR(ROUNDUP(VLOOKUP($C286,装備品!$1:$998,COLUMN(M$1),FALSE)*(VLOOKUP($D286,素材!$1:$1002,COLUMN(D$1),FALSE)/100),1),"")</f>
        <v/>
      </c>
      <c r="R286" t="str">
        <f>IFERROR(ROUNDUP(VLOOKUP($C286,装備品!$1:$998,COLUMN(N$1),FALSE)*(VLOOKUP($D286,素材!$1:$1002,COLUMN(D$1),FALSE)/100),1),"")</f>
        <v/>
      </c>
      <c r="S286" t="str">
        <f>IFERROR(VLOOKUP($C286,装備品!$1:$998,COLUMN(P$1),FALSE),"")</f>
        <v/>
      </c>
      <c r="T286" t="str">
        <f>IFERROR(VLOOKUP($C286,装備品!$1:$998,COLUMN(Q$1),FALSE),"")</f>
        <v/>
      </c>
      <c r="U286" t="str">
        <f>IFERROR(VLOOKUP($C286,装備品!$1:$998,COLUMN(R$1),FALSE),"")</f>
        <v/>
      </c>
      <c r="V286" t="str">
        <f>IFERROR(VLOOKUP($C286,装備品!$1:$998,COLUMN(Q$1),FALSE),"")</f>
        <v/>
      </c>
      <c r="W286" t="str">
        <f>IFERROR(VLOOKUP($C286,装備品!$1:$998,COLUMN(T$1),FALSE),"")</f>
        <v/>
      </c>
      <c r="Y286" t="str">
        <f>IFERROR(VLOOKUP($C286,装備品!$1:$998,COLUMN(U$1),FALSE),"")</f>
        <v/>
      </c>
      <c r="Z286" t="str">
        <f>IFERROR(ROUNDUP(VLOOKUP($C286,装備品!$1:$998,COLUMN(O$1),FALSE)*VLOOKUP($D286,素材!$1:$1016,COLUMN(E$1),FALSE),1),"")</f>
        <v/>
      </c>
      <c r="AA286">
        <f>IF(ISNUMBER(SEARCH(SUBSTITUTE(AA$1,RIGHT(AA$1,2),""),VLOOKUP($D286,素材!$1:$1016,COLUMN($F$1),FALSE))),VLOOKUP($C286,装備品!$1:$998,COLUMN($O$1),FALSE)*VLOOKUP($D286,素材!$1:$1016,COLUMN($E$1),FALSE)/(LEN(VLOOKUP($D286,素材!$1:$1016,COLUMN($F$1),FALSE))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IFERROR(VLOOKUP($C286,装備品!$1:$998,COLUMN(V$1),FALSE)*VLOOKUP($D286,素材!$1:$1016,COLUMN(N$1),FALSE)+IF(CI286="",0,VLOOKUP($CI286,付与!$1:$1176,COLUMN($CK$1),FALSE)),"")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IFERROR(IF(CI287="",VLOOKUP($D287,素材!$1:$1016,COLUMN($B$1),FALSE)&amp;"・"&amp;VLOOKUP($C287,装備品!$1:$998,COLUMN(B$1),FALSE),VLOOKUP($CI287,付与!$1:$1176,COLUMN($B$1),FALSE)&amp;"・"&amp;VLOOKUP($C287,装備品!$1:$998,COLUMN(B$1),FALSE)),"")</f>
        <v/>
      </c>
      <c r="C287" s="24"/>
      <c r="D287" s="24"/>
      <c r="E287" t="str">
        <f>IFERROR(VLOOKUP(C287,装備品!$1:$998,COLUMN(C$1),FALSE),"")</f>
        <v/>
      </c>
      <c r="F287" t="str">
        <f>IFERROR(ROUNDDOWN((VLOOKUP($C287,装備品!$1:$998,COLUMN(D$1),FALSE)+IFERROR(VLOOKUP($CI287,付与!$1:$1167,COLUMN(F$1),FALSE),0))*VLOOKUP($D287,素材!$1:$1016,COLUMN(D$1),FALSE),0),"")</f>
        <v/>
      </c>
      <c r="G287" t="str">
        <f>IFERROR(ROUNDDOWN((VLOOKUP($C287,装備品!$1:$998,COLUMN(E$1),FALSE)+IFERROR(VLOOKUP($CI287,付与!$1:$1167,COLUMN(G$1),FALSE),0))*VLOOKUP($D287,素材!$1:$1016,COLUMN($E$1),FALSE),0),"")</f>
        <v/>
      </c>
      <c r="H287" t="str">
        <f>IFERROR(ROUNDDOWN((VLOOKUP($C287,装備品!$1:$998,COLUMN(F$1),FALSE)+IFERROR(VLOOKUP($CI287,付与!$1:$1167,COLUMN(H$1),FALSE),0))*VLOOKUP($D287,素材!$1:$1016,COLUMN($E$1),FALSE),0),"")</f>
        <v/>
      </c>
      <c r="I287" t="str">
        <f>IFERROR(ROUNDDOWN((VLOOKUP($C287,装備品!$1:$998,COLUMN(G$1),FALSE)+IFERROR(VLOOKUP($CI287,付与!$1:$1167,COLUMN(I$1),FALSE),0))*VLOOKUP($D287,素材!$1:$1016,COLUMN($E$1),FALSE),0),"")</f>
        <v/>
      </c>
      <c r="J287" t="str">
        <f>IFERROR(ROUNDDOWN((VLOOKUP($C287,装備品!$1:$998,COLUMN(H$1),FALSE)+IFERROR(VLOOKUP($CI287,付与!$1:$1167,COLUMN(J$1),FALSE),0))*VLOOKUP($D287,素材!$1:$1016,COLUMN($E$1),FALSE),0),"")</f>
        <v/>
      </c>
      <c r="K287" t="str">
        <f>IFERROR(ROUNDDOWN((VLOOKUP($C287,装備品!$1:$998,COLUMN(I$1),FALSE)+IFERROR(VLOOKUP($CI287,付与!$1:$1167,COLUMN(K$1),FALSE),0))*VLOOKUP($D287,素材!$1:$1016,COLUMN($E$1),FALSE),0),"")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IFERROR(VLOOKUP($C287,装備品!$1:$998,COLUMN(AA$1),FALSE)*VLOOKUP($D287,素材!$1:$1016,COLUMN($G$1),FALSE),"")</f>
        <v/>
      </c>
      <c r="N287" t="str">
        <f>IFERROR(VLOOKUP($C287,装備品!$1:$998,COLUMN(I$1),FALSE),"")</f>
        <v/>
      </c>
      <c r="O287" s="23" t="str">
        <f>IFERROR((VLOOKUP($C287,装備品!$1:$998,COLUMN(K$1),FALSE)+VLOOKUP($D287,素材!$1:$1016,COLUMN(H$1),FALSE))*100+IFERROR(VLOOKUP($CI287,付与!$1:$1167,COLUMN(O$1),FALSE),0),"")</f>
        <v/>
      </c>
      <c r="P287" s="23" t="str">
        <f>IFERROR((VLOOKUP($C287,装備品!$1:$998,COLUMN(L$1),FALSE)+VLOOKUP($D287,素材!$1:$1016,COLUMN(I$1),FALSE))*100+IFERROR(VLOOKUP($CI287,付与!$1:$1167,COLUMN(P$1),FALSE),0),"")</f>
        <v/>
      </c>
      <c r="Q287" t="str">
        <f>IFERROR(ROUNDUP(VLOOKUP($C287,装備品!$1:$998,COLUMN(M$1),FALSE)*(VLOOKUP($D287,素材!$1:$1002,COLUMN(D$1),FALSE)/100),1),"")</f>
        <v/>
      </c>
      <c r="R287" t="str">
        <f>IFERROR(ROUNDUP(VLOOKUP($C287,装備品!$1:$998,COLUMN(N$1),FALSE)*(VLOOKUP($D287,素材!$1:$1002,COLUMN(D$1),FALSE)/100),1),"")</f>
        <v/>
      </c>
      <c r="S287" t="str">
        <f>IFERROR(VLOOKUP($C287,装備品!$1:$998,COLUMN(P$1),FALSE),"")</f>
        <v/>
      </c>
      <c r="T287" t="str">
        <f>IFERROR(VLOOKUP($C287,装備品!$1:$998,COLUMN(Q$1),FALSE),"")</f>
        <v/>
      </c>
      <c r="U287" t="str">
        <f>IFERROR(VLOOKUP($C287,装備品!$1:$998,COLUMN(R$1),FALSE),"")</f>
        <v/>
      </c>
      <c r="V287" t="str">
        <f>IFERROR(VLOOKUP($C287,装備品!$1:$998,COLUMN(Q$1),FALSE),"")</f>
        <v/>
      </c>
      <c r="W287" t="str">
        <f>IFERROR(VLOOKUP($C287,装備品!$1:$998,COLUMN(T$1),FALSE),"")</f>
        <v/>
      </c>
      <c r="Y287" t="str">
        <f>IFERROR(VLOOKUP($C287,装備品!$1:$998,COLUMN(U$1),FALSE),"")</f>
        <v/>
      </c>
      <c r="Z287" t="str">
        <f>IFERROR(ROUNDUP(VLOOKUP($C287,装備品!$1:$998,COLUMN(O$1),FALSE)*VLOOKUP($D287,素材!$1:$1016,COLUMN(E$1),FALSE),1),"")</f>
        <v/>
      </c>
      <c r="AA287">
        <f>IF(ISNUMBER(SEARCH(SUBSTITUTE(AA$1,RIGHT(AA$1,2),""),VLOOKUP($D287,素材!$1:$1016,COLUMN($F$1),FALSE))),VLOOKUP($C287,装備品!$1:$998,COLUMN($O$1),FALSE)*VLOOKUP($D287,素材!$1:$1016,COLUMN($E$1),FALSE)/(LEN(VLOOKUP($D287,素材!$1:$1016,COLUMN($F$1),FALSE))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IFERROR(VLOOKUP($C287,装備品!$1:$998,COLUMN(V$1),FALSE)*VLOOKUP($D287,素材!$1:$1016,COLUMN(N$1),FALSE)+IF(CI287="",0,VLOOKUP($CI287,付与!$1:$1176,COLUMN($CK$1),FALSE)),"")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IFERROR(IF(CI288="",VLOOKUP($D288,素材!$1:$1016,COLUMN($B$1),FALSE)&amp;"・"&amp;VLOOKUP($C288,装備品!$1:$998,COLUMN(B$1),FALSE),VLOOKUP($CI288,付与!$1:$1176,COLUMN($B$1),FALSE)&amp;"・"&amp;VLOOKUP($C288,装備品!$1:$998,COLUMN(B$1),FALSE)),"")</f>
        <v/>
      </c>
      <c r="C288" s="24"/>
      <c r="D288" s="24"/>
      <c r="E288" t="str">
        <f>IFERROR(VLOOKUP(C288,装備品!$1:$998,COLUMN(C$1),FALSE),"")</f>
        <v/>
      </c>
      <c r="F288" t="str">
        <f>IFERROR(ROUNDDOWN((VLOOKUP($C288,装備品!$1:$998,COLUMN(D$1),FALSE)+IFERROR(VLOOKUP($CI288,付与!$1:$1167,COLUMN(F$1),FALSE),0))*VLOOKUP($D288,素材!$1:$1016,COLUMN(D$1),FALSE),0),"")</f>
        <v/>
      </c>
      <c r="G288" t="str">
        <f>IFERROR(ROUNDDOWN((VLOOKUP($C288,装備品!$1:$998,COLUMN(E$1),FALSE)+IFERROR(VLOOKUP($CI288,付与!$1:$1167,COLUMN(G$1),FALSE),0))*VLOOKUP($D288,素材!$1:$1016,COLUMN($E$1),FALSE),0),"")</f>
        <v/>
      </c>
      <c r="H288" t="str">
        <f>IFERROR(ROUNDDOWN((VLOOKUP($C288,装備品!$1:$998,COLUMN(F$1),FALSE)+IFERROR(VLOOKUP($CI288,付与!$1:$1167,COLUMN(H$1),FALSE),0))*VLOOKUP($D288,素材!$1:$1016,COLUMN($E$1),FALSE),0),"")</f>
        <v/>
      </c>
      <c r="I288" t="str">
        <f>IFERROR(ROUNDDOWN((VLOOKUP($C288,装備品!$1:$998,COLUMN(G$1),FALSE)+IFERROR(VLOOKUP($CI288,付与!$1:$1167,COLUMN(I$1),FALSE),0))*VLOOKUP($D288,素材!$1:$1016,COLUMN($E$1),FALSE),0),"")</f>
        <v/>
      </c>
      <c r="J288" t="str">
        <f>IFERROR(ROUNDDOWN((VLOOKUP($C288,装備品!$1:$998,COLUMN(H$1),FALSE)+IFERROR(VLOOKUP($CI288,付与!$1:$1167,COLUMN(J$1),FALSE),0))*VLOOKUP($D288,素材!$1:$1016,COLUMN($E$1),FALSE),0),"")</f>
        <v/>
      </c>
      <c r="K288" t="str">
        <f>IFERROR(ROUNDDOWN((VLOOKUP($C288,装備品!$1:$998,COLUMN(I$1),FALSE)+IFERROR(VLOOKUP($CI288,付与!$1:$1167,COLUMN(K$1),FALSE),0))*VLOOKUP($D288,素材!$1:$1016,COLUMN($E$1),FALSE),0),"")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IFERROR(VLOOKUP($C288,装備品!$1:$998,COLUMN(AA$1),FALSE)*VLOOKUP($D288,素材!$1:$1016,COLUMN($G$1),FALSE),"")</f>
        <v/>
      </c>
      <c r="N288" t="str">
        <f>IFERROR(VLOOKUP($C288,装備品!$1:$998,COLUMN(I$1),FALSE),"")</f>
        <v/>
      </c>
      <c r="O288" s="23" t="str">
        <f>IFERROR((VLOOKUP($C288,装備品!$1:$998,COLUMN(K$1),FALSE)+VLOOKUP($D288,素材!$1:$1016,COLUMN(H$1),FALSE))*100+IFERROR(VLOOKUP($CI288,付与!$1:$1167,COLUMN(O$1),FALSE),0),"")</f>
        <v/>
      </c>
      <c r="P288" s="23" t="str">
        <f>IFERROR((VLOOKUP($C288,装備品!$1:$998,COLUMN(L$1),FALSE)+VLOOKUP($D288,素材!$1:$1016,COLUMN(I$1),FALSE))*100+IFERROR(VLOOKUP($CI288,付与!$1:$1167,COLUMN(P$1),FALSE),0),"")</f>
        <v/>
      </c>
      <c r="Q288" t="str">
        <f>IFERROR(ROUNDUP(VLOOKUP($C288,装備品!$1:$998,COLUMN(M$1),FALSE)*(VLOOKUP($D288,素材!$1:$1002,COLUMN(D$1),FALSE)/100),1),"")</f>
        <v/>
      </c>
      <c r="R288" t="str">
        <f>IFERROR(ROUNDUP(VLOOKUP($C288,装備品!$1:$998,COLUMN(N$1),FALSE)*(VLOOKUP($D288,素材!$1:$1002,COLUMN(D$1),FALSE)/100),1),"")</f>
        <v/>
      </c>
      <c r="S288" t="str">
        <f>IFERROR(VLOOKUP($C288,装備品!$1:$998,COLUMN(P$1),FALSE),"")</f>
        <v/>
      </c>
      <c r="T288" t="str">
        <f>IFERROR(VLOOKUP($C288,装備品!$1:$998,COLUMN(Q$1),FALSE),"")</f>
        <v/>
      </c>
      <c r="U288" t="str">
        <f>IFERROR(VLOOKUP($C288,装備品!$1:$998,COLUMN(R$1),FALSE),"")</f>
        <v/>
      </c>
      <c r="V288" t="str">
        <f>IFERROR(VLOOKUP($C288,装備品!$1:$998,COLUMN(Q$1),FALSE),"")</f>
        <v/>
      </c>
      <c r="W288" t="str">
        <f>IFERROR(VLOOKUP($C288,装備品!$1:$998,COLUMN(T$1),FALSE),"")</f>
        <v/>
      </c>
      <c r="Y288" t="str">
        <f>IFERROR(VLOOKUP($C288,装備品!$1:$998,COLUMN(U$1),FALSE),"")</f>
        <v/>
      </c>
      <c r="Z288" t="str">
        <f>IFERROR(ROUNDUP(VLOOKUP($C288,装備品!$1:$998,COLUMN(O$1),FALSE)*VLOOKUP($D288,素材!$1:$1016,COLUMN(E$1),FALSE),1),"")</f>
        <v/>
      </c>
      <c r="AA288">
        <f>IF(ISNUMBER(SEARCH(SUBSTITUTE(AA$1,RIGHT(AA$1,2),""),VLOOKUP($D288,素材!$1:$1016,COLUMN($F$1),FALSE))),VLOOKUP($C288,装備品!$1:$998,COLUMN($O$1),FALSE)*VLOOKUP($D288,素材!$1:$1016,COLUMN($E$1),FALSE)/(LEN(VLOOKUP($D288,素材!$1:$1016,COLUMN($F$1),FALSE))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IFERROR(VLOOKUP($C288,装備品!$1:$998,COLUMN(V$1),FALSE)*VLOOKUP($D288,素材!$1:$1016,COLUMN(N$1),FALSE)+IF(CI288="",0,VLOOKUP($CI288,付与!$1:$1176,COLUMN($CK$1),FALSE)),"")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IFERROR(IF(CI289="",VLOOKUP($D289,素材!$1:$1016,COLUMN($B$1),FALSE)&amp;"・"&amp;VLOOKUP($C289,装備品!$1:$998,COLUMN(B$1),FALSE),VLOOKUP($CI289,付与!$1:$1176,COLUMN($B$1),FALSE)&amp;"・"&amp;VLOOKUP($C289,装備品!$1:$998,COLUMN(B$1),FALSE)),"")</f>
        <v/>
      </c>
      <c r="C289" s="24"/>
      <c r="D289" s="24"/>
      <c r="E289" t="str">
        <f>IFERROR(VLOOKUP(C289,装備品!$1:$998,COLUMN(C$1),FALSE),"")</f>
        <v/>
      </c>
      <c r="F289" t="str">
        <f>IFERROR(ROUNDDOWN((VLOOKUP($C289,装備品!$1:$998,COLUMN(D$1),FALSE)+IFERROR(VLOOKUP($CI289,付与!$1:$1167,COLUMN(F$1),FALSE),0))*VLOOKUP($D289,素材!$1:$1016,COLUMN(D$1),FALSE),0),"")</f>
        <v/>
      </c>
      <c r="G289" t="str">
        <f>IFERROR(ROUNDDOWN((VLOOKUP($C289,装備品!$1:$998,COLUMN(E$1),FALSE)+IFERROR(VLOOKUP($CI289,付与!$1:$1167,COLUMN(G$1),FALSE),0))*VLOOKUP($D289,素材!$1:$1016,COLUMN($E$1),FALSE),0),"")</f>
        <v/>
      </c>
      <c r="H289" t="str">
        <f>IFERROR(ROUNDDOWN((VLOOKUP($C289,装備品!$1:$998,COLUMN(F$1),FALSE)+IFERROR(VLOOKUP($CI289,付与!$1:$1167,COLUMN(H$1),FALSE),0))*VLOOKUP($D289,素材!$1:$1016,COLUMN($E$1),FALSE),0),"")</f>
        <v/>
      </c>
      <c r="I289" t="str">
        <f>IFERROR(ROUNDDOWN((VLOOKUP($C289,装備品!$1:$998,COLUMN(G$1),FALSE)+IFERROR(VLOOKUP($CI289,付与!$1:$1167,COLUMN(I$1),FALSE),0))*VLOOKUP($D289,素材!$1:$1016,COLUMN($E$1),FALSE),0),"")</f>
        <v/>
      </c>
      <c r="J289" t="str">
        <f>IFERROR(ROUNDDOWN((VLOOKUP($C289,装備品!$1:$998,COLUMN(H$1),FALSE)+IFERROR(VLOOKUP($CI289,付与!$1:$1167,COLUMN(J$1),FALSE),0))*VLOOKUP($D289,素材!$1:$1016,COLUMN($E$1),FALSE),0),"")</f>
        <v/>
      </c>
      <c r="K289" t="str">
        <f>IFERROR(ROUNDDOWN((VLOOKUP($C289,装備品!$1:$998,COLUMN(I$1),FALSE)+IFERROR(VLOOKUP($CI289,付与!$1:$1167,COLUMN(K$1),FALSE),0))*VLOOKUP($D289,素材!$1:$1016,COLUMN($E$1),FALSE),0),"")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IFERROR(VLOOKUP($C289,装備品!$1:$998,COLUMN(AA$1),FALSE)*VLOOKUP($D289,素材!$1:$1016,COLUMN($G$1),FALSE),"")</f>
        <v/>
      </c>
      <c r="N289" t="str">
        <f>IFERROR(VLOOKUP($C289,装備品!$1:$998,COLUMN(I$1),FALSE),"")</f>
        <v/>
      </c>
      <c r="O289" s="23" t="str">
        <f>IFERROR((VLOOKUP($C289,装備品!$1:$998,COLUMN(K$1),FALSE)+VLOOKUP($D289,素材!$1:$1016,COLUMN(H$1),FALSE))*100+IFERROR(VLOOKUP($CI289,付与!$1:$1167,COLUMN(O$1),FALSE),0),"")</f>
        <v/>
      </c>
      <c r="P289" s="23" t="str">
        <f>IFERROR((VLOOKUP($C289,装備品!$1:$998,COLUMN(L$1),FALSE)+VLOOKUP($D289,素材!$1:$1016,COLUMN(I$1),FALSE))*100+IFERROR(VLOOKUP($CI289,付与!$1:$1167,COLUMN(P$1),FALSE),0),"")</f>
        <v/>
      </c>
      <c r="Q289" t="str">
        <f>IFERROR(ROUNDUP(VLOOKUP($C289,装備品!$1:$998,COLUMN(M$1),FALSE)*(VLOOKUP($D289,素材!$1:$1002,COLUMN(D$1),FALSE)/100),1),"")</f>
        <v/>
      </c>
      <c r="R289" t="str">
        <f>IFERROR(ROUNDUP(VLOOKUP($C289,装備品!$1:$998,COLUMN(N$1),FALSE)*(VLOOKUP($D289,素材!$1:$1002,COLUMN(D$1),FALSE)/100),1),"")</f>
        <v/>
      </c>
      <c r="S289" t="str">
        <f>IFERROR(VLOOKUP($C289,装備品!$1:$998,COLUMN(P$1),FALSE),"")</f>
        <v/>
      </c>
      <c r="T289" t="str">
        <f>IFERROR(VLOOKUP($C289,装備品!$1:$998,COLUMN(Q$1),FALSE),"")</f>
        <v/>
      </c>
      <c r="U289" t="str">
        <f>IFERROR(VLOOKUP($C289,装備品!$1:$998,COLUMN(R$1),FALSE),"")</f>
        <v/>
      </c>
      <c r="V289" t="str">
        <f>IFERROR(VLOOKUP($C289,装備品!$1:$998,COLUMN(Q$1),FALSE),"")</f>
        <v/>
      </c>
      <c r="W289" t="str">
        <f>IFERROR(VLOOKUP($C289,装備品!$1:$998,COLUMN(T$1),FALSE),"")</f>
        <v/>
      </c>
      <c r="Y289" t="str">
        <f>IFERROR(VLOOKUP($C289,装備品!$1:$998,COLUMN(U$1),FALSE),"")</f>
        <v/>
      </c>
      <c r="Z289" t="str">
        <f>IFERROR(ROUNDUP(VLOOKUP($C289,装備品!$1:$998,COLUMN(O$1),FALSE)*VLOOKUP($D289,素材!$1:$1016,COLUMN(E$1),FALSE),1),"")</f>
        <v/>
      </c>
      <c r="AA289">
        <f>IF(ISNUMBER(SEARCH(SUBSTITUTE(AA$1,RIGHT(AA$1,2),""),VLOOKUP($D289,素材!$1:$1016,COLUMN($F$1),FALSE))),VLOOKUP($C289,装備品!$1:$998,COLUMN($O$1),FALSE)*VLOOKUP($D289,素材!$1:$1016,COLUMN($E$1),FALSE)/(LEN(VLOOKUP($D289,素材!$1:$1016,COLUMN($F$1),FALSE))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IFERROR(VLOOKUP($C289,装備品!$1:$998,COLUMN(V$1),FALSE)*VLOOKUP($D289,素材!$1:$1016,COLUMN(N$1),FALSE)+IF(CI289="",0,VLOOKUP($CI289,付与!$1:$1176,COLUMN($CK$1),FALSE)),"")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IFERROR(IF(CI290="",VLOOKUP($D290,素材!$1:$1016,COLUMN($B$1),FALSE)&amp;"・"&amp;VLOOKUP($C290,装備品!$1:$998,COLUMN(B$1),FALSE),VLOOKUP($CI290,付与!$1:$1176,COLUMN($B$1),FALSE)&amp;"・"&amp;VLOOKUP($C290,装備品!$1:$998,COLUMN(B$1),FALSE)),"")</f>
        <v/>
      </c>
      <c r="C290" s="24"/>
      <c r="D290" s="24"/>
      <c r="E290" t="str">
        <f>IFERROR(VLOOKUP(C290,装備品!$1:$998,COLUMN(C$1),FALSE),"")</f>
        <v/>
      </c>
      <c r="F290" t="str">
        <f>IFERROR(ROUNDDOWN((VLOOKUP($C290,装備品!$1:$998,COLUMN(D$1),FALSE)+IFERROR(VLOOKUP($CI290,付与!$1:$1167,COLUMN(F$1),FALSE),0))*VLOOKUP($D290,素材!$1:$1016,COLUMN(D$1),FALSE),0),"")</f>
        <v/>
      </c>
      <c r="G290" t="str">
        <f>IFERROR(ROUNDDOWN((VLOOKUP($C290,装備品!$1:$998,COLUMN(E$1),FALSE)+IFERROR(VLOOKUP($CI290,付与!$1:$1167,COLUMN(G$1),FALSE),0))*VLOOKUP($D290,素材!$1:$1016,COLUMN($E$1),FALSE),0),"")</f>
        <v/>
      </c>
      <c r="H290" t="str">
        <f>IFERROR(ROUNDDOWN((VLOOKUP($C290,装備品!$1:$998,COLUMN(F$1),FALSE)+IFERROR(VLOOKUP($CI290,付与!$1:$1167,COLUMN(H$1),FALSE),0))*VLOOKUP($D290,素材!$1:$1016,COLUMN($E$1),FALSE),0),"")</f>
        <v/>
      </c>
      <c r="I290" t="str">
        <f>IFERROR(ROUNDDOWN((VLOOKUP($C290,装備品!$1:$998,COLUMN(G$1),FALSE)+IFERROR(VLOOKUP($CI290,付与!$1:$1167,COLUMN(I$1),FALSE),0))*VLOOKUP($D290,素材!$1:$1016,COLUMN($E$1),FALSE),0),"")</f>
        <v/>
      </c>
      <c r="J290" t="str">
        <f>IFERROR(ROUNDDOWN((VLOOKUP($C290,装備品!$1:$998,COLUMN(H$1),FALSE)+IFERROR(VLOOKUP($CI290,付与!$1:$1167,COLUMN(J$1),FALSE),0))*VLOOKUP($D290,素材!$1:$1016,COLUMN($E$1),FALSE),0),"")</f>
        <v/>
      </c>
      <c r="K290" t="str">
        <f>IFERROR(ROUNDDOWN((VLOOKUP($C290,装備品!$1:$998,COLUMN(I$1),FALSE)+IFERROR(VLOOKUP($CI290,付与!$1:$1167,COLUMN(K$1),FALSE),0))*VLOOKUP($D290,素材!$1:$1016,COLUMN($E$1),FALSE),0),"")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IFERROR(VLOOKUP($C290,装備品!$1:$998,COLUMN(AA$1),FALSE)*VLOOKUP($D290,素材!$1:$1016,COLUMN($G$1),FALSE),"")</f>
        <v/>
      </c>
      <c r="N290" t="str">
        <f>IFERROR(VLOOKUP($C290,装備品!$1:$998,COLUMN(I$1),FALSE),"")</f>
        <v/>
      </c>
      <c r="O290" s="23" t="str">
        <f>IFERROR((VLOOKUP($C290,装備品!$1:$998,COLUMN(K$1),FALSE)+VLOOKUP($D290,素材!$1:$1016,COLUMN(H$1),FALSE))*100+IFERROR(VLOOKUP($CI290,付与!$1:$1167,COLUMN(O$1),FALSE),0),"")</f>
        <v/>
      </c>
      <c r="P290" s="23" t="str">
        <f>IFERROR((VLOOKUP($C290,装備品!$1:$998,COLUMN(L$1),FALSE)+VLOOKUP($D290,素材!$1:$1016,COLUMN(I$1),FALSE))*100+IFERROR(VLOOKUP($CI290,付与!$1:$1167,COLUMN(P$1),FALSE),0),"")</f>
        <v/>
      </c>
      <c r="Q290" t="str">
        <f>IFERROR(ROUNDUP(VLOOKUP($C290,装備品!$1:$998,COLUMN(M$1),FALSE)*(VLOOKUP($D290,素材!$1:$1002,COLUMN(D$1),FALSE)/100),1),"")</f>
        <v/>
      </c>
      <c r="R290" t="str">
        <f>IFERROR(ROUNDUP(VLOOKUP($C290,装備品!$1:$998,COLUMN(N$1),FALSE)*(VLOOKUP($D290,素材!$1:$1002,COLUMN(D$1),FALSE)/100),1),"")</f>
        <v/>
      </c>
      <c r="S290" t="str">
        <f>IFERROR(VLOOKUP($C290,装備品!$1:$998,COLUMN(P$1),FALSE),"")</f>
        <v/>
      </c>
      <c r="T290" t="str">
        <f>IFERROR(VLOOKUP($C290,装備品!$1:$998,COLUMN(Q$1),FALSE),"")</f>
        <v/>
      </c>
      <c r="U290" t="str">
        <f>IFERROR(VLOOKUP($C290,装備品!$1:$998,COLUMN(R$1),FALSE),"")</f>
        <v/>
      </c>
      <c r="V290" t="str">
        <f>IFERROR(VLOOKUP($C290,装備品!$1:$998,COLUMN(Q$1),FALSE),"")</f>
        <v/>
      </c>
      <c r="W290" t="str">
        <f>IFERROR(VLOOKUP($C290,装備品!$1:$998,COLUMN(T$1),FALSE),"")</f>
        <v/>
      </c>
      <c r="Y290" t="str">
        <f>IFERROR(VLOOKUP($C290,装備品!$1:$998,COLUMN(U$1),FALSE),"")</f>
        <v/>
      </c>
      <c r="Z290" t="str">
        <f>IFERROR(ROUNDUP(VLOOKUP($C290,装備品!$1:$998,COLUMN(O$1),FALSE)*VLOOKUP($D290,素材!$1:$1016,COLUMN(E$1),FALSE),1),"")</f>
        <v/>
      </c>
      <c r="AA290">
        <f>IF(ISNUMBER(SEARCH(SUBSTITUTE(AA$1,RIGHT(AA$1,2),""),VLOOKUP($D290,素材!$1:$1016,COLUMN($F$1),FALSE))),VLOOKUP($C290,装備品!$1:$998,COLUMN($O$1),FALSE)*VLOOKUP($D290,素材!$1:$1016,COLUMN($E$1),FALSE)/(LEN(VLOOKUP($D290,素材!$1:$1016,COLUMN($F$1),FALSE))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IFERROR(VLOOKUP($C290,装備品!$1:$998,COLUMN(V$1),FALSE)*VLOOKUP($D290,素材!$1:$1016,COLUMN(N$1),FALSE)+IF(CI290="",0,VLOOKUP($CI290,付与!$1:$1176,COLUMN($CK$1),FALSE)),"")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IFERROR(IF(CI291="",VLOOKUP($D291,素材!$1:$1016,COLUMN($B$1),FALSE)&amp;"・"&amp;VLOOKUP($C291,装備品!$1:$998,COLUMN(B$1),FALSE),VLOOKUP($CI291,付与!$1:$1176,COLUMN($B$1),FALSE)&amp;"・"&amp;VLOOKUP($C291,装備品!$1:$998,COLUMN(B$1),FALSE)),"")</f>
        <v/>
      </c>
      <c r="C291" s="24"/>
      <c r="D291" s="24"/>
      <c r="E291" t="str">
        <f>IFERROR(VLOOKUP(C291,装備品!$1:$998,COLUMN(C$1),FALSE),"")</f>
        <v/>
      </c>
      <c r="F291" t="str">
        <f>IFERROR(ROUNDDOWN((VLOOKUP($C291,装備品!$1:$998,COLUMN(D$1),FALSE)+IFERROR(VLOOKUP($CI291,付与!$1:$1167,COLUMN(F$1),FALSE),0))*VLOOKUP($D291,素材!$1:$1016,COLUMN(D$1),FALSE),0),"")</f>
        <v/>
      </c>
      <c r="G291" t="str">
        <f>IFERROR(ROUNDDOWN((VLOOKUP($C291,装備品!$1:$998,COLUMN(E$1),FALSE)+IFERROR(VLOOKUP($CI291,付与!$1:$1167,COLUMN(G$1),FALSE),0))*VLOOKUP($D291,素材!$1:$1016,COLUMN($E$1),FALSE),0),"")</f>
        <v/>
      </c>
      <c r="H291" t="str">
        <f>IFERROR(ROUNDDOWN((VLOOKUP($C291,装備品!$1:$998,COLUMN(F$1),FALSE)+IFERROR(VLOOKUP($CI291,付与!$1:$1167,COLUMN(H$1),FALSE),0))*VLOOKUP($D291,素材!$1:$1016,COLUMN($E$1),FALSE),0),"")</f>
        <v/>
      </c>
      <c r="I291" t="str">
        <f>IFERROR(ROUNDDOWN((VLOOKUP($C291,装備品!$1:$998,COLUMN(G$1),FALSE)+IFERROR(VLOOKUP($CI291,付与!$1:$1167,COLUMN(I$1),FALSE),0))*VLOOKUP($D291,素材!$1:$1016,COLUMN($E$1),FALSE),0),"")</f>
        <v/>
      </c>
      <c r="J291" t="str">
        <f>IFERROR(ROUNDDOWN((VLOOKUP($C291,装備品!$1:$998,COLUMN(H$1),FALSE)+IFERROR(VLOOKUP($CI291,付与!$1:$1167,COLUMN(J$1),FALSE),0))*VLOOKUP($D291,素材!$1:$1016,COLUMN($E$1),FALSE),0),"")</f>
        <v/>
      </c>
      <c r="K291" t="str">
        <f>IFERROR(ROUNDDOWN((VLOOKUP($C291,装備品!$1:$998,COLUMN(I$1),FALSE)+IFERROR(VLOOKUP($CI291,付与!$1:$1167,COLUMN(K$1),FALSE),0))*VLOOKUP($D291,素材!$1:$1016,COLUMN($E$1),FALSE),0),"")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IFERROR(VLOOKUP($C291,装備品!$1:$998,COLUMN(AA$1),FALSE)*VLOOKUP($D291,素材!$1:$1016,COLUMN($G$1),FALSE),"")</f>
        <v/>
      </c>
      <c r="N291" t="str">
        <f>IFERROR(VLOOKUP($C291,装備品!$1:$998,COLUMN(I$1),FALSE),"")</f>
        <v/>
      </c>
      <c r="O291" s="23" t="str">
        <f>IFERROR((VLOOKUP($C291,装備品!$1:$998,COLUMN(K$1),FALSE)+VLOOKUP($D291,素材!$1:$1016,COLUMN(H$1),FALSE))*100+IFERROR(VLOOKUP($CI291,付与!$1:$1167,COLUMN(O$1),FALSE),0),"")</f>
        <v/>
      </c>
      <c r="P291" s="23" t="str">
        <f>IFERROR((VLOOKUP($C291,装備品!$1:$998,COLUMN(L$1),FALSE)+VLOOKUP($D291,素材!$1:$1016,COLUMN(I$1),FALSE))*100+IFERROR(VLOOKUP($CI291,付与!$1:$1167,COLUMN(P$1),FALSE),0),"")</f>
        <v/>
      </c>
      <c r="Q291" t="str">
        <f>IFERROR(ROUNDUP(VLOOKUP($C291,装備品!$1:$998,COLUMN(M$1),FALSE)*(VLOOKUP($D291,素材!$1:$1002,COLUMN(D$1),FALSE)/100),1),"")</f>
        <v/>
      </c>
      <c r="R291" t="str">
        <f>IFERROR(ROUNDUP(VLOOKUP($C291,装備品!$1:$998,COLUMN(N$1),FALSE)*(VLOOKUP($D291,素材!$1:$1002,COLUMN(D$1),FALSE)/100),1),"")</f>
        <v/>
      </c>
      <c r="S291" t="str">
        <f>IFERROR(VLOOKUP($C291,装備品!$1:$998,COLUMN(P$1),FALSE),"")</f>
        <v/>
      </c>
      <c r="T291" t="str">
        <f>IFERROR(VLOOKUP($C291,装備品!$1:$998,COLUMN(Q$1),FALSE),"")</f>
        <v/>
      </c>
      <c r="U291" t="str">
        <f>IFERROR(VLOOKUP($C291,装備品!$1:$998,COLUMN(R$1),FALSE),"")</f>
        <v/>
      </c>
      <c r="V291" t="str">
        <f>IFERROR(VLOOKUP($C291,装備品!$1:$998,COLUMN(Q$1),FALSE),"")</f>
        <v/>
      </c>
      <c r="W291" t="str">
        <f>IFERROR(VLOOKUP($C291,装備品!$1:$998,COLUMN(T$1),FALSE),"")</f>
        <v/>
      </c>
      <c r="Y291" t="str">
        <f>IFERROR(VLOOKUP($C291,装備品!$1:$998,COLUMN(U$1),FALSE),"")</f>
        <v/>
      </c>
      <c r="Z291" t="str">
        <f>IFERROR(ROUNDUP(VLOOKUP($C291,装備品!$1:$998,COLUMN(O$1),FALSE)*VLOOKUP($D291,素材!$1:$1016,COLUMN(E$1),FALSE),1),"")</f>
        <v/>
      </c>
      <c r="AA291">
        <f>IF(ISNUMBER(SEARCH(SUBSTITUTE(AA$1,RIGHT(AA$1,2),""),VLOOKUP($D291,素材!$1:$1016,COLUMN($F$1),FALSE))),VLOOKUP($C291,装備品!$1:$998,COLUMN($O$1),FALSE)*VLOOKUP($D291,素材!$1:$1016,COLUMN($E$1),FALSE)/(LEN(VLOOKUP($D291,素材!$1:$1016,COLUMN($F$1),FALSE))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IFERROR(VLOOKUP($C291,装備品!$1:$998,COLUMN(V$1),FALSE)*VLOOKUP($D291,素材!$1:$1016,COLUMN(N$1),FALSE)+IF(CI291="",0,VLOOKUP($CI291,付与!$1:$1176,COLUMN($CK$1),FALSE)),"")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IFERROR(IF(CI292="",VLOOKUP($D292,素材!$1:$1016,COLUMN($B$1),FALSE)&amp;"・"&amp;VLOOKUP($C292,装備品!$1:$998,COLUMN(B$1),FALSE),VLOOKUP($CI292,付与!$1:$1176,COLUMN($B$1),FALSE)&amp;"・"&amp;VLOOKUP($C292,装備品!$1:$998,COLUMN(B$1),FALSE)),"")</f>
        <v/>
      </c>
      <c r="C292" s="24"/>
      <c r="D292" s="24"/>
      <c r="E292" t="str">
        <f>IFERROR(VLOOKUP(C292,装備品!$1:$998,COLUMN(C$1),FALSE),"")</f>
        <v/>
      </c>
      <c r="F292" t="str">
        <f>IFERROR(ROUNDDOWN((VLOOKUP($C292,装備品!$1:$998,COLUMN(D$1),FALSE)+IFERROR(VLOOKUP($CI292,付与!$1:$1167,COLUMN(F$1),FALSE),0))*VLOOKUP($D292,素材!$1:$1016,COLUMN(D$1),FALSE),0),"")</f>
        <v/>
      </c>
      <c r="G292" t="str">
        <f>IFERROR(ROUNDDOWN((VLOOKUP($C292,装備品!$1:$998,COLUMN(E$1),FALSE)+IFERROR(VLOOKUP($CI292,付与!$1:$1167,COLUMN(G$1),FALSE),0))*VLOOKUP($D292,素材!$1:$1016,COLUMN($E$1),FALSE),0),"")</f>
        <v/>
      </c>
      <c r="H292" t="str">
        <f>IFERROR(ROUNDDOWN((VLOOKUP($C292,装備品!$1:$998,COLUMN(F$1),FALSE)+IFERROR(VLOOKUP($CI292,付与!$1:$1167,COLUMN(H$1),FALSE),0))*VLOOKUP($D292,素材!$1:$1016,COLUMN($E$1),FALSE),0),"")</f>
        <v/>
      </c>
      <c r="I292" t="str">
        <f>IFERROR(ROUNDDOWN((VLOOKUP($C292,装備品!$1:$998,COLUMN(G$1),FALSE)+IFERROR(VLOOKUP($CI292,付与!$1:$1167,COLUMN(I$1),FALSE),0))*VLOOKUP($D292,素材!$1:$1016,COLUMN($E$1),FALSE),0),"")</f>
        <v/>
      </c>
      <c r="J292" t="str">
        <f>IFERROR(ROUNDDOWN((VLOOKUP($C292,装備品!$1:$998,COLUMN(H$1),FALSE)+IFERROR(VLOOKUP($CI292,付与!$1:$1167,COLUMN(J$1),FALSE),0))*VLOOKUP($D292,素材!$1:$1016,COLUMN($E$1),FALSE),0),"")</f>
        <v/>
      </c>
      <c r="K292" t="str">
        <f>IFERROR(ROUNDDOWN((VLOOKUP($C292,装備品!$1:$998,COLUMN(I$1),FALSE)+IFERROR(VLOOKUP($CI292,付与!$1:$1167,COLUMN(K$1),FALSE),0))*VLOOKUP($D292,素材!$1:$1016,COLUMN($E$1),FALSE),0),"")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IFERROR(VLOOKUP($C292,装備品!$1:$998,COLUMN(AA$1),FALSE)*VLOOKUP($D292,素材!$1:$1016,COLUMN($G$1),FALSE),"")</f>
        <v/>
      </c>
      <c r="N292" t="str">
        <f>IFERROR(VLOOKUP($C292,装備品!$1:$998,COLUMN(I$1),FALSE),"")</f>
        <v/>
      </c>
      <c r="O292" s="23" t="str">
        <f>IFERROR((VLOOKUP($C292,装備品!$1:$998,COLUMN(K$1),FALSE)+VLOOKUP($D292,素材!$1:$1016,COLUMN(H$1),FALSE))*100+IFERROR(VLOOKUP($CI292,付与!$1:$1167,COLUMN(O$1),FALSE),0),"")</f>
        <v/>
      </c>
      <c r="P292" s="23" t="str">
        <f>IFERROR((VLOOKUP($C292,装備品!$1:$998,COLUMN(L$1),FALSE)+VLOOKUP($D292,素材!$1:$1016,COLUMN(I$1),FALSE))*100+IFERROR(VLOOKUP($CI292,付与!$1:$1167,COLUMN(P$1),FALSE),0),"")</f>
        <v/>
      </c>
      <c r="Q292" t="str">
        <f>IFERROR(ROUNDUP(VLOOKUP($C292,装備品!$1:$998,COLUMN(M$1),FALSE)*(VLOOKUP($D292,素材!$1:$1002,COLUMN(D$1),FALSE)/100),1),"")</f>
        <v/>
      </c>
      <c r="R292" t="str">
        <f>IFERROR(ROUNDUP(VLOOKUP($C292,装備品!$1:$998,COLUMN(N$1),FALSE)*(VLOOKUP($D292,素材!$1:$1002,COLUMN(D$1),FALSE)/100),1),"")</f>
        <v/>
      </c>
      <c r="S292" t="str">
        <f>IFERROR(VLOOKUP($C292,装備品!$1:$998,COLUMN(P$1),FALSE),"")</f>
        <v/>
      </c>
      <c r="T292" t="str">
        <f>IFERROR(VLOOKUP($C292,装備品!$1:$998,COLUMN(Q$1),FALSE),"")</f>
        <v/>
      </c>
      <c r="U292" t="str">
        <f>IFERROR(VLOOKUP($C292,装備品!$1:$998,COLUMN(R$1),FALSE),"")</f>
        <v/>
      </c>
      <c r="V292" t="str">
        <f>IFERROR(VLOOKUP($C292,装備品!$1:$998,COLUMN(Q$1),FALSE),"")</f>
        <v/>
      </c>
      <c r="W292" t="str">
        <f>IFERROR(VLOOKUP($C292,装備品!$1:$998,COLUMN(T$1),FALSE),"")</f>
        <v/>
      </c>
      <c r="Y292" t="str">
        <f>IFERROR(VLOOKUP($C292,装備品!$1:$998,COLUMN(U$1),FALSE),"")</f>
        <v/>
      </c>
      <c r="Z292" t="str">
        <f>IFERROR(ROUNDUP(VLOOKUP($C292,装備品!$1:$998,COLUMN(O$1),FALSE)*VLOOKUP($D292,素材!$1:$1016,COLUMN(E$1),FALSE),1),"")</f>
        <v/>
      </c>
      <c r="AA292">
        <f>IF(ISNUMBER(SEARCH(SUBSTITUTE(AA$1,RIGHT(AA$1,2),""),VLOOKUP($D292,素材!$1:$1016,COLUMN($F$1),FALSE))),VLOOKUP($C292,装備品!$1:$998,COLUMN($O$1),FALSE)*VLOOKUP($D292,素材!$1:$1016,COLUMN($E$1),FALSE)/(LEN(VLOOKUP($D292,素材!$1:$1016,COLUMN($F$1),FALSE))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IFERROR(VLOOKUP($C292,装備品!$1:$998,COLUMN(V$1),FALSE)*VLOOKUP($D292,素材!$1:$1016,COLUMN(N$1),FALSE)+IF(CI292="",0,VLOOKUP($CI292,付与!$1:$1176,COLUMN($CK$1),FALSE)),"")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IFERROR(IF(CI293="",VLOOKUP($D293,素材!$1:$1016,COLUMN($B$1),FALSE)&amp;"・"&amp;VLOOKUP($C293,装備品!$1:$998,COLUMN(B$1),FALSE),VLOOKUP($CI293,付与!$1:$1176,COLUMN($B$1),FALSE)&amp;"・"&amp;VLOOKUP($C293,装備品!$1:$998,COLUMN(B$1),FALSE)),"")</f>
        <v/>
      </c>
      <c r="C293" s="24"/>
      <c r="D293" s="24"/>
      <c r="E293" t="str">
        <f>IFERROR(VLOOKUP(C293,装備品!$1:$998,COLUMN(C$1),FALSE),"")</f>
        <v/>
      </c>
      <c r="F293" t="str">
        <f>IFERROR(ROUNDDOWN((VLOOKUP($C293,装備品!$1:$998,COLUMN(D$1),FALSE)+IFERROR(VLOOKUP($CI293,付与!$1:$1167,COLUMN(F$1),FALSE),0))*VLOOKUP($D293,素材!$1:$1016,COLUMN(D$1),FALSE),0),"")</f>
        <v/>
      </c>
      <c r="G293" t="str">
        <f>IFERROR(ROUNDDOWN((VLOOKUP($C293,装備品!$1:$998,COLUMN(E$1),FALSE)+IFERROR(VLOOKUP($CI293,付与!$1:$1167,COLUMN(G$1),FALSE),0))*VLOOKUP($D293,素材!$1:$1016,COLUMN($E$1),FALSE),0),"")</f>
        <v/>
      </c>
      <c r="H293" t="str">
        <f>IFERROR(ROUNDDOWN((VLOOKUP($C293,装備品!$1:$998,COLUMN(F$1),FALSE)+IFERROR(VLOOKUP($CI293,付与!$1:$1167,COLUMN(H$1),FALSE),0))*VLOOKUP($D293,素材!$1:$1016,COLUMN($E$1),FALSE),0),"")</f>
        <v/>
      </c>
      <c r="I293" t="str">
        <f>IFERROR(ROUNDDOWN((VLOOKUP($C293,装備品!$1:$998,COLUMN(G$1),FALSE)+IFERROR(VLOOKUP($CI293,付与!$1:$1167,COLUMN(I$1),FALSE),0))*VLOOKUP($D293,素材!$1:$1016,COLUMN($E$1),FALSE),0),"")</f>
        <v/>
      </c>
      <c r="J293" t="str">
        <f>IFERROR(ROUNDDOWN((VLOOKUP($C293,装備品!$1:$998,COLUMN(H$1),FALSE)+IFERROR(VLOOKUP($CI293,付与!$1:$1167,COLUMN(J$1),FALSE),0))*VLOOKUP($D293,素材!$1:$1016,COLUMN($E$1),FALSE),0),"")</f>
        <v/>
      </c>
      <c r="K293" t="str">
        <f>IFERROR(ROUNDDOWN((VLOOKUP($C293,装備品!$1:$998,COLUMN(I$1),FALSE)+IFERROR(VLOOKUP($CI293,付与!$1:$1167,COLUMN(K$1),FALSE),0))*VLOOKUP($D293,素材!$1:$1016,COLUMN($E$1),FALSE),0),"")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IFERROR(VLOOKUP($C293,装備品!$1:$998,COLUMN(AA$1),FALSE)*VLOOKUP($D293,素材!$1:$1016,COLUMN($G$1),FALSE),"")</f>
        <v/>
      </c>
      <c r="N293" t="str">
        <f>IFERROR(VLOOKUP($C293,装備品!$1:$998,COLUMN(I$1),FALSE),"")</f>
        <v/>
      </c>
      <c r="O293" s="23" t="str">
        <f>IFERROR((VLOOKUP($C293,装備品!$1:$998,COLUMN(K$1),FALSE)+VLOOKUP($D293,素材!$1:$1016,COLUMN(H$1),FALSE))*100+IFERROR(VLOOKUP($CI293,付与!$1:$1167,COLUMN(O$1),FALSE),0),"")</f>
        <v/>
      </c>
      <c r="P293" s="23" t="str">
        <f>IFERROR((VLOOKUP($C293,装備品!$1:$998,COLUMN(L$1),FALSE)+VLOOKUP($D293,素材!$1:$1016,COLUMN(I$1),FALSE))*100+IFERROR(VLOOKUP($CI293,付与!$1:$1167,COLUMN(P$1),FALSE),0),"")</f>
        <v/>
      </c>
      <c r="Q293" t="str">
        <f>IFERROR(ROUNDUP(VLOOKUP($C293,装備品!$1:$998,COLUMN(M$1),FALSE)*(VLOOKUP($D293,素材!$1:$1002,COLUMN(D$1),FALSE)/100),1),"")</f>
        <v/>
      </c>
      <c r="R293" t="str">
        <f>IFERROR(ROUNDUP(VLOOKUP($C293,装備品!$1:$998,COLUMN(N$1),FALSE)*(VLOOKUP($D293,素材!$1:$1002,COLUMN(D$1),FALSE)/100),1),"")</f>
        <v/>
      </c>
      <c r="S293" t="str">
        <f>IFERROR(VLOOKUP($C293,装備品!$1:$998,COLUMN(P$1),FALSE),"")</f>
        <v/>
      </c>
      <c r="T293" t="str">
        <f>IFERROR(VLOOKUP($C293,装備品!$1:$998,COLUMN(Q$1),FALSE),"")</f>
        <v/>
      </c>
      <c r="U293" t="str">
        <f>IFERROR(VLOOKUP($C293,装備品!$1:$998,COLUMN(R$1),FALSE),"")</f>
        <v/>
      </c>
      <c r="V293" t="str">
        <f>IFERROR(VLOOKUP($C293,装備品!$1:$998,COLUMN(Q$1),FALSE),"")</f>
        <v/>
      </c>
      <c r="W293" t="str">
        <f>IFERROR(VLOOKUP($C293,装備品!$1:$998,COLUMN(T$1),FALSE),"")</f>
        <v/>
      </c>
      <c r="Y293" t="str">
        <f>IFERROR(VLOOKUP($C293,装備品!$1:$998,COLUMN(U$1),FALSE),"")</f>
        <v/>
      </c>
      <c r="Z293" t="str">
        <f>IFERROR(ROUNDUP(VLOOKUP($C293,装備品!$1:$998,COLUMN(O$1),FALSE)*VLOOKUP($D293,素材!$1:$1016,COLUMN(E$1),FALSE),1),"")</f>
        <v/>
      </c>
      <c r="AA293">
        <f>IF(ISNUMBER(SEARCH(SUBSTITUTE(AA$1,RIGHT(AA$1,2),""),VLOOKUP($D293,素材!$1:$1016,COLUMN($F$1),FALSE))),VLOOKUP($C293,装備品!$1:$998,COLUMN($O$1),FALSE)*VLOOKUP($D293,素材!$1:$1016,COLUMN($E$1),FALSE)/(LEN(VLOOKUP($D293,素材!$1:$1016,COLUMN($F$1),FALSE))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IFERROR(VLOOKUP($C293,装備品!$1:$998,COLUMN(V$1),FALSE)*VLOOKUP($D293,素材!$1:$1016,COLUMN(N$1),FALSE)+IF(CI293="",0,VLOOKUP($CI293,付与!$1:$1176,COLUMN($CK$1),FALSE)),"")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IFERROR(IF(CI294="",VLOOKUP($D294,素材!$1:$1016,COLUMN($B$1),FALSE)&amp;"・"&amp;VLOOKUP($C294,装備品!$1:$998,COLUMN(B$1),FALSE),VLOOKUP($CI294,付与!$1:$1176,COLUMN($B$1),FALSE)&amp;"・"&amp;VLOOKUP($C294,装備品!$1:$998,COLUMN(B$1),FALSE)),"")</f>
        <v/>
      </c>
      <c r="C294" s="24"/>
      <c r="D294" s="24"/>
      <c r="E294" t="str">
        <f>IFERROR(VLOOKUP(C294,装備品!$1:$998,COLUMN(C$1),FALSE),"")</f>
        <v/>
      </c>
      <c r="F294" t="str">
        <f>IFERROR(ROUNDDOWN((VLOOKUP($C294,装備品!$1:$998,COLUMN(D$1),FALSE)+IFERROR(VLOOKUP($CI294,付与!$1:$1167,COLUMN(F$1),FALSE),0))*VLOOKUP($D294,素材!$1:$1016,COLUMN(D$1),FALSE),0),"")</f>
        <v/>
      </c>
      <c r="G294" t="str">
        <f>IFERROR(ROUNDDOWN((VLOOKUP($C294,装備品!$1:$998,COLUMN(E$1),FALSE)+IFERROR(VLOOKUP($CI294,付与!$1:$1167,COLUMN(G$1),FALSE),0))*VLOOKUP($D294,素材!$1:$1016,COLUMN($E$1),FALSE),0),"")</f>
        <v/>
      </c>
      <c r="H294" t="str">
        <f>IFERROR(ROUNDDOWN((VLOOKUP($C294,装備品!$1:$998,COLUMN(F$1),FALSE)+IFERROR(VLOOKUP($CI294,付与!$1:$1167,COLUMN(H$1),FALSE),0))*VLOOKUP($D294,素材!$1:$1016,COLUMN($E$1),FALSE),0),"")</f>
        <v/>
      </c>
      <c r="I294" t="str">
        <f>IFERROR(ROUNDDOWN((VLOOKUP($C294,装備品!$1:$998,COLUMN(G$1),FALSE)+IFERROR(VLOOKUP($CI294,付与!$1:$1167,COLUMN(I$1),FALSE),0))*VLOOKUP($D294,素材!$1:$1016,COLUMN($E$1),FALSE),0),"")</f>
        <v/>
      </c>
      <c r="J294" t="str">
        <f>IFERROR(ROUNDDOWN((VLOOKUP($C294,装備品!$1:$998,COLUMN(H$1),FALSE)+IFERROR(VLOOKUP($CI294,付与!$1:$1167,COLUMN(J$1),FALSE),0))*VLOOKUP($D294,素材!$1:$1016,COLUMN($E$1),FALSE),0),"")</f>
        <v/>
      </c>
      <c r="K294" t="str">
        <f>IFERROR(ROUNDDOWN((VLOOKUP($C294,装備品!$1:$998,COLUMN(I$1),FALSE)+IFERROR(VLOOKUP($CI294,付与!$1:$1167,COLUMN(K$1),FALSE),0))*VLOOKUP($D294,素材!$1:$1016,COLUMN($E$1),FALSE),0),"")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IFERROR(VLOOKUP($C294,装備品!$1:$998,COLUMN(AA$1),FALSE)*VLOOKUP($D294,素材!$1:$1016,COLUMN($G$1),FALSE),"")</f>
        <v/>
      </c>
      <c r="N294" t="str">
        <f>IFERROR(VLOOKUP($C294,装備品!$1:$998,COLUMN(I$1),FALSE),"")</f>
        <v/>
      </c>
      <c r="O294" s="23" t="str">
        <f>IFERROR((VLOOKUP($C294,装備品!$1:$998,COLUMN(K$1),FALSE)+VLOOKUP($D294,素材!$1:$1016,COLUMN(H$1),FALSE))*100+IFERROR(VLOOKUP($CI294,付与!$1:$1167,COLUMN(O$1),FALSE),0),"")</f>
        <v/>
      </c>
      <c r="P294" s="23" t="str">
        <f>IFERROR((VLOOKUP($C294,装備品!$1:$998,COLUMN(L$1),FALSE)+VLOOKUP($D294,素材!$1:$1016,COLUMN(I$1),FALSE))*100+IFERROR(VLOOKUP($CI294,付与!$1:$1167,COLUMN(P$1),FALSE),0),"")</f>
        <v/>
      </c>
      <c r="Q294" t="str">
        <f>IFERROR(ROUNDUP(VLOOKUP($C294,装備品!$1:$998,COLUMN(M$1),FALSE)*(VLOOKUP($D294,素材!$1:$1002,COLUMN(D$1),FALSE)/100),1),"")</f>
        <v/>
      </c>
      <c r="R294" t="str">
        <f>IFERROR(ROUNDUP(VLOOKUP($C294,装備品!$1:$998,COLUMN(N$1),FALSE)*(VLOOKUP($D294,素材!$1:$1002,COLUMN(D$1),FALSE)/100),1),"")</f>
        <v/>
      </c>
      <c r="S294" t="str">
        <f>IFERROR(VLOOKUP($C294,装備品!$1:$998,COLUMN(P$1),FALSE),"")</f>
        <v/>
      </c>
      <c r="T294" t="str">
        <f>IFERROR(VLOOKUP($C294,装備品!$1:$998,COLUMN(Q$1),FALSE),"")</f>
        <v/>
      </c>
      <c r="U294" t="str">
        <f>IFERROR(VLOOKUP($C294,装備品!$1:$998,COLUMN(R$1),FALSE),"")</f>
        <v/>
      </c>
      <c r="V294" t="str">
        <f>IFERROR(VLOOKUP($C294,装備品!$1:$998,COLUMN(Q$1),FALSE),"")</f>
        <v/>
      </c>
      <c r="W294" t="str">
        <f>IFERROR(VLOOKUP($C294,装備品!$1:$998,COLUMN(T$1),FALSE),"")</f>
        <v/>
      </c>
      <c r="Y294" t="str">
        <f>IFERROR(VLOOKUP($C294,装備品!$1:$998,COLUMN(U$1),FALSE),"")</f>
        <v/>
      </c>
      <c r="Z294" t="str">
        <f>IFERROR(ROUNDUP(VLOOKUP($C294,装備品!$1:$998,COLUMN(O$1),FALSE)*VLOOKUP($D294,素材!$1:$1016,COLUMN(E$1),FALSE),1),"")</f>
        <v/>
      </c>
      <c r="AA294">
        <f>IF(ISNUMBER(SEARCH(SUBSTITUTE(AA$1,RIGHT(AA$1,2),""),VLOOKUP($D294,素材!$1:$1016,COLUMN($F$1),FALSE))),VLOOKUP($C294,装備品!$1:$998,COLUMN($O$1),FALSE)*VLOOKUP($D294,素材!$1:$1016,COLUMN($E$1),FALSE)/(LEN(VLOOKUP($D294,素材!$1:$1016,COLUMN($F$1),FALSE))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IFERROR(VLOOKUP($C294,装備品!$1:$998,COLUMN(V$1),FALSE)*VLOOKUP($D294,素材!$1:$1016,COLUMN(N$1),FALSE)+IF(CI294="",0,VLOOKUP($CI294,付与!$1:$1176,COLUMN($CK$1),FALSE)),"")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IFERROR(IF(CI295="",VLOOKUP($D295,素材!$1:$1016,COLUMN($B$1),FALSE)&amp;"・"&amp;VLOOKUP($C295,装備品!$1:$998,COLUMN(B$1),FALSE),VLOOKUP($CI295,付与!$1:$1176,COLUMN($B$1),FALSE)&amp;"・"&amp;VLOOKUP($C295,装備品!$1:$998,COLUMN(B$1),FALSE)),"")</f>
        <v/>
      </c>
      <c r="C295" s="24"/>
      <c r="D295" s="24"/>
      <c r="E295" t="str">
        <f>IFERROR(VLOOKUP(C295,装備品!$1:$998,COLUMN(C$1),FALSE),"")</f>
        <v/>
      </c>
      <c r="F295" t="str">
        <f>IFERROR(ROUNDDOWN((VLOOKUP($C295,装備品!$1:$998,COLUMN(D$1),FALSE)+IFERROR(VLOOKUP($CI295,付与!$1:$1167,COLUMN(F$1),FALSE),0))*VLOOKUP($D295,素材!$1:$1016,COLUMN(D$1),FALSE),0),"")</f>
        <v/>
      </c>
      <c r="G295" t="str">
        <f>IFERROR(ROUNDDOWN((VLOOKUP($C295,装備品!$1:$998,COLUMN(E$1),FALSE)+IFERROR(VLOOKUP($CI295,付与!$1:$1167,COLUMN(G$1),FALSE),0))*VLOOKUP($D295,素材!$1:$1016,COLUMN($E$1),FALSE),0),"")</f>
        <v/>
      </c>
      <c r="H295" t="str">
        <f>IFERROR(ROUNDDOWN((VLOOKUP($C295,装備品!$1:$998,COLUMN(F$1),FALSE)+IFERROR(VLOOKUP($CI295,付与!$1:$1167,COLUMN(H$1),FALSE),0))*VLOOKUP($D295,素材!$1:$1016,COLUMN($E$1),FALSE),0),"")</f>
        <v/>
      </c>
      <c r="I295" t="str">
        <f>IFERROR(ROUNDDOWN((VLOOKUP($C295,装備品!$1:$998,COLUMN(G$1),FALSE)+IFERROR(VLOOKUP($CI295,付与!$1:$1167,COLUMN(I$1),FALSE),0))*VLOOKUP($D295,素材!$1:$1016,COLUMN($E$1),FALSE),0),"")</f>
        <v/>
      </c>
      <c r="J295" t="str">
        <f>IFERROR(ROUNDDOWN((VLOOKUP($C295,装備品!$1:$998,COLUMN(H$1),FALSE)+IFERROR(VLOOKUP($CI295,付与!$1:$1167,COLUMN(J$1),FALSE),0))*VLOOKUP($D295,素材!$1:$1016,COLUMN($E$1),FALSE),0),"")</f>
        <v/>
      </c>
      <c r="K295" t="str">
        <f>IFERROR(ROUNDDOWN((VLOOKUP($C295,装備品!$1:$998,COLUMN(I$1),FALSE)+IFERROR(VLOOKUP($CI295,付与!$1:$1167,COLUMN(K$1),FALSE),0))*VLOOKUP($D295,素材!$1:$1016,COLUMN($E$1),FALSE),0),"")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IFERROR(VLOOKUP($C295,装備品!$1:$998,COLUMN(AA$1),FALSE)*VLOOKUP($D295,素材!$1:$1016,COLUMN($G$1),FALSE),"")</f>
        <v/>
      </c>
      <c r="N295" t="str">
        <f>IFERROR(VLOOKUP($C295,装備品!$1:$998,COLUMN(I$1),FALSE),"")</f>
        <v/>
      </c>
      <c r="O295" s="23" t="str">
        <f>IFERROR((VLOOKUP($C295,装備品!$1:$998,COLUMN(K$1),FALSE)+VLOOKUP($D295,素材!$1:$1016,COLUMN(H$1),FALSE))*100+IFERROR(VLOOKUP($CI295,付与!$1:$1167,COLUMN(O$1),FALSE),0),"")</f>
        <v/>
      </c>
      <c r="P295" s="23" t="str">
        <f>IFERROR((VLOOKUP($C295,装備品!$1:$998,COLUMN(L$1),FALSE)+VLOOKUP($D295,素材!$1:$1016,COLUMN(I$1),FALSE))*100+IFERROR(VLOOKUP($CI295,付与!$1:$1167,COLUMN(P$1),FALSE),0),"")</f>
        <v/>
      </c>
      <c r="Q295" t="str">
        <f>IFERROR(ROUNDUP(VLOOKUP($C295,装備品!$1:$998,COLUMN(M$1),FALSE)*(VLOOKUP($D295,素材!$1:$1002,COLUMN(D$1),FALSE)/100),1),"")</f>
        <v/>
      </c>
      <c r="R295" t="str">
        <f>IFERROR(ROUNDUP(VLOOKUP($C295,装備品!$1:$998,COLUMN(N$1),FALSE)*(VLOOKUP($D295,素材!$1:$1002,COLUMN(D$1),FALSE)/100),1),"")</f>
        <v/>
      </c>
      <c r="S295" t="str">
        <f>IFERROR(VLOOKUP($C295,装備品!$1:$998,COLUMN(P$1),FALSE),"")</f>
        <v/>
      </c>
      <c r="T295" t="str">
        <f>IFERROR(VLOOKUP($C295,装備品!$1:$998,COLUMN(Q$1),FALSE),"")</f>
        <v/>
      </c>
      <c r="U295" t="str">
        <f>IFERROR(VLOOKUP($C295,装備品!$1:$998,COLUMN(R$1),FALSE),"")</f>
        <v/>
      </c>
      <c r="V295" t="str">
        <f>IFERROR(VLOOKUP($C295,装備品!$1:$998,COLUMN(Q$1),FALSE),"")</f>
        <v/>
      </c>
      <c r="W295" t="str">
        <f>IFERROR(VLOOKUP($C295,装備品!$1:$998,COLUMN(T$1),FALSE),"")</f>
        <v/>
      </c>
      <c r="Y295" t="str">
        <f>IFERROR(VLOOKUP($C295,装備品!$1:$998,COLUMN(U$1),FALSE),"")</f>
        <v/>
      </c>
      <c r="Z295" t="str">
        <f>IFERROR(ROUNDUP(VLOOKUP($C295,装備品!$1:$998,COLUMN(O$1),FALSE)*VLOOKUP($D295,素材!$1:$1016,COLUMN(E$1),FALSE),1),"")</f>
        <v/>
      </c>
      <c r="AA295">
        <f>IF(ISNUMBER(SEARCH(SUBSTITUTE(AA$1,RIGHT(AA$1,2),""),VLOOKUP($D295,素材!$1:$1016,COLUMN($F$1),FALSE))),VLOOKUP($C295,装備品!$1:$998,COLUMN($O$1),FALSE)*VLOOKUP($D295,素材!$1:$1016,COLUMN($E$1),FALSE)/(LEN(VLOOKUP($D295,素材!$1:$1016,COLUMN($F$1),FALSE))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IFERROR(VLOOKUP($C295,装備品!$1:$998,COLUMN(V$1),FALSE)*VLOOKUP($D295,素材!$1:$1016,COLUMN(N$1),FALSE)+IF(CI295="",0,VLOOKUP($CI295,付与!$1:$1176,COLUMN($CK$1),FALSE)),"")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IFERROR(IF(CI296="",VLOOKUP($D296,素材!$1:$1016,COLUMN($B$1),FALSE)&amp;"・"&amp;VLOOKUP($C296,装備品!$1:$998,COLUMN(B$1),FALSE),VLOOKUP($CI296,付与!$1:$1176,COLUMN($B$1),FALSE)&amp;"・"&amp;VLOOKUP($C296,装備品!$1:$998,COLUMN(B$1),FALSE)),"")</f>
        <v/>
      </c>
      <c r="C296" s="24"/>
      <c r="D296" s="24"/>
      <c r="E296" t="str">
        <f>IFERROR(VLOOKUP(C296,装備品!$1:$998,COLUMN(C$1),FALSE),"")</f>
        <v/>
      </c>
      <c r="F296" t="str">
        <f>IFERROR(ROUNDDOWN((VLOOKUP($C296,装備品!$1:$998,COLUMN(D$1),FALSE)+IFERROR(VLOOKUP($CI296,付与!$1:$1167,COLUMN(F$1),FALSE),0))*VLOOKUP($D296,素材!$1:$1016,COLUMN(D$1),FALSE),0),"")</f>
        <v/>
      </c>
      <c r="G296" t="str">
        <f>IFERROR(ROUNDDOWN((VLOOKUP($C296,装備品!$1:$998,COLUMN(E$1),FALSE)+IFERROR(VLOOKUP($CI296,付与!$1:$1167,COLUMN(G$1),FALSE),0))*VLOOKUP($D296,素材!$1:$1016,COLUMN($E$1),FALSE),0),"")</f>
        <v/>
      </c>
      <c r="H296" t="str">
        <f>IFERROR(ROUNDDOWN((VLOOKUP($C296,装備品!$1:$998,COLUMN(F$1),FALSE)+IFERROR(VLOOKUP($CI296,付与!$1:$1167,COLUMN(H$1),FALSE),0))*VLOOKUP($D296,素材!$1:$1016,COLUMN($E$1),FALSE),0),"")</f>
        <v/>
      </c>
      <c r="I296" t="str">
        <f>IFERROR(ROUNDDOWN((VLOOKUP($C296,装備品!$1:$998,COLUMN(G$1),FALSE)+IFERROR(VLOOKUP($CI296,付与!$1:$1167,COLUMN(I$1),FALSE),0))*VLOOKUP($D296,素材!$1:$1016,COLUMN($E$1),FALSE),0),"")</f>
        <v/>
      </c>
      <c r="J296" t="str">
        <f>IFERROR(ROUNDDOWN((VLOOKUP($C296,装備品!$1:$998,COLUMN(H$1),FALSE)+IFERROR(VLOOKUP($CI296,付与!$1:$1167,COLUMN(J$1),FALSE),0))*VLOOKUP($D296,素材!$1:$1016,COLUMN($E$1),FALSE),0),"")</f>
        <v/>
      </c>
      <c r="K296" t="str">
        <f>IFERROR(ROUNDDOWN((VLOOKUP($C296,装備品!$1:$998,COLUMN(I$1),FALSE)+IFERROR(VLOOKUP($CI296,付与!$1:$1167,COLUMN(K$1),FALSE),0))*VLOOKUP($D296,素材!$1:$1016,COLUMN($E$1),FALSE),0),"")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IFERROR(VLOOKUP($C296,装備品!$1:$998,COLUMN(AA$1),FALSE)*VLOOKUP($D296,素材!$1:$1016,COLUMN($G$1),FALSE),"")</f>
        <v/>
      </c>
      <c r="N296" t="str">
        <f>IFERROR(VLOOKUP($C296,装備品!$1:$998,COLUMN(I$1),FALSE),"")</f>
        <v/>
      </c>
      <c r="O296" s="23" t="str">
        <f>IFERROR((VLOOKUP($C296,装備品!$1:$998,COLUMN(K$1),FALSE)+VLOOKUP($D296,素材!$1:$1016,COLUMN(H$1),FALSE))*100+IFERROR(VLOOKUP($CI296,付与!$1:$1167,COLUMN(O$1),FALSE),0),"")</f>
        <v/>
      </c>
      <c r="P296" s="23" t="str">
        <f>IFERROR((VLOOKUP($C296,装備品!$1:$998,COLUMN(L$1),FALSE)+VLOOKUP($D296,素材!$1:$1016,COLUMN(I$1),FALSE))*100+IFERROR(VLOOKUP($CI296,付与!$1:$1167,COLUMN(P$1),FALSE),0),"")</f>
        <v/>
      </c>
      <c r="Q296" t="str">
        <f>IFERROR(ROUNDUP(VLOOKUP($C296,装備品!$1:$998,COLUMN(M$1),FALSE)*(VLOOKUP($D296,素材!$1:$1002,COLUMN(D$1),FALSE)/100),1),"")</f>
        <v/>
      </c>
      <c r="R296" t="str">
        <f>IFERROR(ROUNDUP(VLOOKUP($C296,装備品!$1:$998,COLUMN(N$1),FALSE)*(VLOOKUP($D296,素材!$1:$1002,COLUMN(D$1),FALSE)/100),1),"")</f>
        <v/>
      </c>
      <c r="S296" t="str">
        <f>IFERROR(VLOOKUP($C296,装備品!$1:$998,COLUMN(P$1),FALSE),"")</f>
        <v/>
      </c>
      <c r="T296" t="str">
        <f>IFERROR(VLOOKUP($C296,装備品!$1:$998,COLUMN(Q$1),FALSE),"")</f>
        <v/>
      </c>
      <c r="U296" t="str">
        <f>IFERROR(VLOOKUP($C296,装備品!$1:$998,COLUMN(R$1),FALSE),"")</f>
        <v/>
      </c>
      <c r="V296" t="str">
        <f>IFERROR(VLOOKUP($C296,装備品!$1:$998,COLUMN(Q$1),FALSE),"")</f>
        <v/>
      </c>
      <c r="W296" t="str">
        <f>IFERROR(VLOOKUP($C296,装備品!$1:$998,COLUMN(T$1),FALSE),"")</f>
        <v/>
      </c>
      <c r="Y296" t="str">
        <f>IFERROR(VLOOKUP($C296,装備品!$1:$998,COLUMN(U$1),FALSE),"")</f>
        <v/>
      </c>
      <c r="Z296" t="str">
        <f>IFERROR(ROUNDUP(VLOOKUP($C296,装備品!$1:$998,COLUMN(O$1),FALSE)*VLOOKUP($D296,素材!$1:$1016,COLUMN(E$1),FALSE),1),"")</f>
        <v/>
      </c>
      <c r="AA296">
        <f>IF(ISNUMBER(SEARCH(SUBSTITUTE(AA$1,RIGHT(AA$1,2),""),VLOOKUP($D296,素材!$1:$1016,COLUMN($F$1),FALSE))),VLOOKUP($C296,装備品!$1:$998,COLUMN($O$1),FALSE)*VLOOKUP($D296,素材!$1:$1016,COLUMN($E$1),FALSE)/(LEN(VLOOKUP($D296,素材!$1:$1016,COLUMN($F$1),FALSE))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IFERROR(VLOOKUP($C296,装備品!$1:$998,COLUMN(V$1),FALSE)*VLOOKUP($D296,素材!$1:$1016,COLUMN(N$1),FALSE)+IF(CI296="",0,VLOOKUP($CI296,付与!$1:$1176,COLUMN($CK$1),FALSE)),"")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IFERROR(IF(CI297="",VLOOKUP($D297,素材!$1:$1016,COLUMN($B$1),FALSE)&amp;"・"&amp;VLOOKUP($C297,装備品!$1:$998,COLUMN(B$1),FALSE),VLOOKUP($CI297,付与!$1:$1176,COLUMN($B$1),FALSE)&amp;"・"&amp;VLOOKUP($C297,装備品!$1:$998,COLUMN(B$1),FALSE)),"")</f>
        <v/>
      </c>
      <c r="C297" s="24"/>
      <c r="D297" s="24"/>
      <c r="E297" t="str">
        <f>IFERROR(VLOOKUP(C297,装備品!$1:$998,COLUMN(C$1),FALSE),"")</f>
        <v/>
      </c>
      <c r="F297" t="str">
        <f>IFERROR(ROUNDDOWN((VLOOKUP($C297,装備品!$1:$998,COLUMN(D$1),FALSE)+IFERROR(VLOOKUP($CI297,付与!$1:$1167,COLUMN(F$1),FALSE),0))*VLOOKUP($D297,素材!$1:$1016,COLUMN(D$1),FALSE),0),"")</f>
        <v/>
      </c>
      <c r="G297" t="str">
        <f>IFERROR(ROUNDDOWN((VLOOKUP($C297,装備品!$1:$998,COLUMN(E$1),FALSE)+IFERROR(VLOOKUP($CI297,付与!$1:$1167,COLUMN(G$1),FALSE),0))*VLOOKUP($D297,素材!$1:$1016,COLUMN($E$1),FALSE),0),"")</f>
        <v/>
      </c>
      <c r="H297" t="str">
        <f>IFERROR(ROUNDDOWN((VLOOKUP($C297,装備品!$1:$998,COLUMN(F$1),FALSE)+IFERROR(VLOOKUP($CI297,付与!$1:$1167,COLUMN(H$1),FALSE),0))*VLOOKUP($D297,素材!$1:$1016,COLUMN($E$1),FALSE),0),"")</f>
        <v/>
      </c>
      <c r="I297" t="str">
        <f>IFERROR(ROUNDDOWN((VLOOKUP($C297,装備品!$1:$998,COLUMN(G$1),FALSE)+IFERROR(VLOOKUP($CI297,付与!$1:$1167,COLUMN(I$1),FALSE),0))*VLOOKUP($D297,素材!$1:$1016,COLUMN($E$1),FALSE),0),"")</f>
        <v/>
      </c>
      <c r="J297" t="str">
        <f>IFERROR(ROUNDDOWN((VLOOKUP($C297,装備品!$1:$998,COLUMN(H$1),FALSE)+IFERROR(VLOOKUP($CI297,付与!$1:$1167,COLUMN(J$1),FALSE),0))*VLOOKUP($D297,素材!$1:$1016,COLUMN($E$1),FALSE),0),"")</f>
        <v/>
      </c>
      <c r="K297" t="str">
        <f>IFERROR(ROUNDDOWN((VLOOKUP($C297,装備品!$1:$998,COLUMN(I$1),FALSE)+IFERROR(VLOOKUP($CI297,付与!$1:$1167,COLUMN(K$1),FALSE),0))*VLOOKUP($D297,素材!$1:$1016,COLUMN($E$1),FALSE),0),"")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IFERROR(VLOOKUP($C297,装備品!$1:$998,COLUMN(AA$1),FALSE)*VLOOKUP($D297,素材!$1:$1016,COLUMN($G$1),FALSE),"")</f>
        <v/>
      </c>
      <c r="N297" t="str">
        <f>IFERROR(VLOOKUP($C297,装備品!$1:$998,COLUMN(I$1),FALSE),"")</f>
        <v/>
      </c>
      <c r="O297" s="23" t="str">
        <f>IFERROR((VLOOKUP($C297,装備品!$1:$998,COLUMN(K$1),FALSE)+VLOOKUP($D297,素材!$1:$1016,COLUMN(H$1),FALSE))*100+IFERROR(VLOOKUP($CI297,付与!$1:$1167,COLUMN(O$1),FALSE),0),"")</f>
        <v/>
      </c>
      <c r="P297" s="23" t="str">
        <f>IFERROR((VLOOKUP($C297,装備品!$1:$998,COLUMN(L$1),FALSE)+VLOOKUP($D297,素材!$1:$1016,COLUMN(I$1),FALSE))*100+IFERROR(VLOOKUP($CI297,付与!$1:$1167,COLUMN(P$1),FALSE),0),"")</f>
        <v/>
      </c>
      <c r="Q297" t="str">
        <f>IFERROR(ROUNDUP(VLOOKUP($C297,装備品!$1:$998,COLUMN(M$1),FALSE)*(VLOOKUP($D297,素材!$1:$1002,COLUMN(D$1),FALSE)/100),1),"")</f>
        <v/>
      </c>
      <c r="R297" t="str">
        <f>IFERROR(ROUNDUP(VLOOKUP($C297,装備品!$1:$998,COLUMN(N$1),FALSE)*(VLOOKUP($D297,素材!$1:$1002,COLUMN(D$1),FALSE)/100),1),"")</f>
        <v/>
      </c>
      <c r="S297" t="str">
        <f>IFERROR(VLOOKUP($C297,装備品!$1:$998,COLUMN(P$1),FALSE),"")</f>
        <v/>
      </c>
      <c r="T297" t="str">
        <f>IFERROR(VLOOKUP($C297,装備品!$1:$998,COLUMN(Q$1),FALSE),"")</f>
        <v/>
      </c>
      <c r="U297" t="str">
        <f>IFERROR(VLOOKUP($C297,装備品!$1:$998,COLUMN(R$1),FALSE),"")</f>
        <v/>
      </c>
      <c r="V297" t="str">
        <f>IFERROR(VLOOKUP($C297,装備品!$1:$998,COLUMN(Q$1),FALSE),"")</f>
        <v/>
      </c>
      <c r="W297" t="str">
        <f>IFERROR(VLOOKUP($C297,装備品!$1:$998,COLUMN(T$1),FALSE),"")</f>
        <v/>
      </c>
      <c r="Y297" t="str">
        <f>IFERROR(VLOOKUP($C297,装備品!$1:$998,COLUMN(U$1),FALSE),"")</f>
        <v/>
      </c>
      <c r="Z297" t="str">
        <f>IFERROR(ROUNDUP(VLOOKUP($C297,装備品!$1:$998,COLUMN(O$1),FALSE)*VLOOKUP($D297,素材!$1:$1016,COLUMN(E$1),FALSE),1),"")</f>
        <v/>
      </c>
      <c r="AA297">
        <f>IF(ISNUMBER(SEARCH(SUBSTITUTE(AA$1,RIGHT(AA$1,2),""),VLOOKUP($D297,素材!$1:$1016,COLUMN($F$1),FALSE))),VLOOKUP($C297,装備品!$1:$998,COLUMN($O$1),FALSE)*VLOOKUP($D297,素材!$1:$1016,COLUMN($E$1),FALSE)/(LEN(VLOOKUP($D297,素材!$1:$1016,COLUMN($F$1),FALSE))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IFERROR(VLOOKUP($C297,装備品!$1:$998,COLUMN(V$1),FALSE)*VLOOKUP($D297,素材!$1:$1016,COLUMN(N$1),FALSE)+IF(CI297="",0,VLOOKUP($CI297,付与!$1:$1176,COLUMN($CK$1),FALSE)),"")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IFERROR(IF(CI298="",VLOOKUP($D298,素材!$1:$1016,COLUMN($B$1),FALSE)&amp;"・"&amp;VLOOKUP($C298,装備品!$1:$998,COLUMN(B$1),FALSE),VLOOKUP($CI298,付与!$1:$1176,COLUMN($B$1),FALSE)&amp;"・"&amp;VLOOKUP($C298,装備品!$1:$998,COLUMN(B$1),FALSE)),"")</f>
        <v/>
      </c>
      <c r="C298" s="24"/>
      <c r="D298" s="24"/>
      <c r="E298" t="str">
        <f>IFERROR(VLOOKUP(C298,装備品!$1:$998,COLUMN(C$1),FALSE),"")</f>
        <v/>
      </c>
      <c r="F298" t="str">
        <f>IFERROR(ROUNDDOWN((VLOOKUP($C298,装備品!$1:$998,COLUMN(D$1),FALSE)+IFERROR(VLOOKUP($CI298,付与!$1:$1167,COLUMN(F$1),FALSE),0))*VLOOKUP($D298,素材!$1:$1016,COLUMN(D$1),FALSE),0),"")</f>
        <v/>
      </c>
      <c r="G298" t="str">
        <f>IFERROR(ROUNDDOWN((VLOOKUP($C298,装備品!$1:$998,COLUMN(E$1),FALSE)+IFERROR(VLOOKUP($CI298,付与!$1:$1167,COLUMN(G$1),FALSE),0))*VLOOKUP($D298,素材!$1:$1016,COLUMN($E$1),FALSE),0),"")</f>
        <v/>
      </c>
      <c r="H298" t="str">
        <f>IFERROR(ROUNDDOWN((VLOOKUP($C298,装備品!$1:$998,COLUMN(F$1),FALSE)+IFERROR(VLOOKUP($CI298,付与!$1:$1167,COLUMN(H$1),FALSE),0))*VLOOKUP($D298,素材!$1:$1016,COLUMN($E$1),FALSE),0),"")</f>
        <v/>
      </c>
      <c r="I298" t="str">
        <f>IFERROR(ROUNDDOWN((VLOOKUP($C298,装備品!$1:$998,COLUMN(G$1),FALSE)+IFERROR(VLOOKUP($CI298,付与!$1:$1167,COLUMN(I$1),FALSE),0))*VLOOKUP($D298,素材!$1:$1016,COLUMN($E$1),FALSE),0),"")</f>
        <v/>
      </c>
      <c r="J298" t="str">
        <f>IFERROR(ROUNDDOWN((VLOOKUP($C298,装備品!$1:$998,COLUMN(H$1),FALSE)+IFERROR(VLOOKUP($CI298,付与!$1:$1167,COLUMN(J$1),FALSE),0))*VLOOKUP($D298,素材!$1:$1016,COLUMN($E$1),FALSE),0),"")</f>
        <v/>
      </c>
      <c r="K298" t="str">
        <f>IFERROR(ROUNDDOWN((VLOOKUP($C298,装備品!$1:$998,COLUMN(I$1),FALSE)+IFERROR(VLOOKUP($CI298,付与!$1:$1167,COLUMN(K$1),FALSE),0))*VLOOKUP($D298,素材!$1:$1016,COLUMN($E$1),FALSE),0),"")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IFERROR(VLOOKUP($C298,装備品!$1:$998,COLUMN(AA$1),FALSE)*VLOOKUP($D298,素材!$1:$1016,COLUMN($G$1),FALSE),"")</f>
        <v/>
      </c>
      <c r="N298" t="str">
        <f>IFERROR(VLOOKUP($C298,装備品!$1:$998,COLUMN(I$1),FALSE),"")</f>
        <v/>
      </c>
      <c r="O298" s="23" t="str">
        <f>IFERROR((VLOOKUP($C298,装備品!$1:$998,COLUMN(K$1),FALSE)+VLOOKUP($D298,素材!$1:$1016,COLUMN(H$1),FALSE))*100+IFERROR(VLOOKUP($CI298,付与!$1:$1167,COLUMN(O$1),FALSE),0),"")</f>
        <v/>
      </c>
      <c r="P298" s="23" t="str">
        <f>IFERROR((VLOOKUP($C298,装備品!$1:$998,COLUMN(L$1),FALSE)+VLOOKUP($D298,素材!$1:$1016,COLUMN(I$1),FALSE))*100+IFERROR(VLOOKUP($CI298,付与!$1:$1167,COLUMN(P$1),FALSE),0),"")</f>
        <v/>
      </c>
      <c r="Q298" t="str">
        <f>IFERROR(ROUNDUP(VLOOKUP($C298,装備品!$1:$998,COLUMN(M$1),FALSE)*(VLOOKUP($D298,素材!$1:$1002,COLUMN(D$1),FALSE)/100),1),"")</f>
        <v/>
      </c>
      <c r="R298" t="str">
        <f>IFERROR(ROUNDUP(VLOOKUP($C298,装備品!$1:$998,COLUMN(N$1),FALSE)*(VLOOKUP($D298,素材!$1:$1002,COLUMN(D$1),FALSE)/100),1),"")</f>
        <v/>
      </c>
      <c r="S298" t="str">
        <f>IFERROR(VLOOKUP($C298,装備品!$1:$998,COLUMN(P$1),FALSE),"")</f>
        <v/>
      </c>
      <c r="T298" t="str">
        <f>IFERROR(VLOOKUP($C298,装備品!$1:$998,COLUMN(Q$1),FALSE),"")</f>
        <v/>
      </c>
      <c r="U298" t="str">
        <f>IFERROR(VLOOKUP($C298,装備品!$1:$998,COLUMN(R$1),FALSE),"")</f>
        <v/>
      </c>
      <c r="V298" t="str">
        <f>IFERROR(VLOOKUP($C298,装備品!$1:$998,COLUMN(Q$1),FALSE),"")</f>
        <v/>
      </c>
      <c r="W298" t="str">
        <f>IFERROR(VLOOKUP($C298,装備品!$1:$998,COLUMN(T$1),FALSE),"")</f>
        <v/>
      </c>
      <c r="Y298" t="str">
        <f>IFERROR(VLOOKUP($C298,装備品!$1:$998,COLUMN(U$1),FALSE),"")</f>
        <v/>
      </c>
      <c r="Z298" t="str">
        <f>IFERROR(ROUNDUP(VLOOKUP($C298,装備品!$1:$998,COLUMN(O$1),FALSE)*VLOOKUP($D298,素材!$1:$1016,COLUMN(E$1),FALSE),1),"")</f>
        <v/>
      </c>
      <c r="AA298">
        <f>IF(ISNUMBER(SEARCH(SUBSTITUTE(AA$1,RIGHT(AA$1,2),""),VLOOKUP($D298,素材!$1:$1016,COLUMN($F$1),FALSE))),VLOOKUP($C298,装備品!$1:$998,COLUMN($O$1),FALSE)*VLOOKUP($D298,素材!$1:$1016,COLUMN($E$1),FALSE)/(LEN(VLOOKUP($D298,素材!$1:$1016,COLUMN($F$1),FALSE))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IFERROR(VLOOKUP($C298,装備品!$1:$998,COLUMN(V$1),FALSE)*VLOOKUP($D298,素材!$1:$1016,COLUMN(N$1),FALSE)+IF(CI298="",0,VLOOKUP($CI298,付与!$1:$1176,COLUMN($CK$1),FALSE)),"")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IFERROR(IF(CI299="",VLOOKUP($D299,素材!$1:$1016,COLUMN($B$1),FALSE)&amp;"・"&amp;VLOOKUP($C299,装備品!$1:$998,COLUMN(B$1),FALSE),VLOOKUP($CI299,付与!$1:$1176,COLUMN($B$1),FALSE)&amp;"・"&amp;VLOOKUP($C299,装備品!$1:$998,COLUMN(B$1),FALSE)),"")</f>
        <v/>
      </c>
      <c r="C299" s="24"/>
      <c r="D299" s="24"/>
      <c r="E299" t="str">
        <f>IFERROR(VLOOKUP(C299,装備品!$1:$998,COLUMN(C$1),FALSE),"")</f>
        <v/>
      </c>
      <c r="F299" t="str">
        <f>IFERROR(ROUNDDOWN((VLOOKUP($C299,装備品!$1:$998,COLUMN(D$1),FALSE)+IFERROR(VLOOKUP($CI299,付与!$1:$1167,COLUMN(F$1),FALSE),0))*VLOOKUP($D299,素材!$1:$1016,COLUMN(D$1),FALSE),0),"")</f>
        <v/>
      </c>
      <c r="G299" t="str">
        <f>IFERROR(ROUNDDOWN((VLOOKUP($C299,装備品!$1:$998,COLUMN(E$1),FALSE)+IFERROR(VLOOKUP($CI299,付与!$1:$1167,COLUMN(G$1),FALSE),0))*VLOOKUP($D299,素材!$1:$1016,COLUMN($E$1),FALSE),0),"")</f>
        <v/>
      </c>
      <c r="H299" t="str">
        <f>IFERROR(ROUNDDOWN((VLOOKUP($C299,装備品!$1:$998,COLUMN(F$1),FALSE)+IFERROR(VLOOKUP($CI299,付与!$1:$1167,COLUMN(H$1),FALSE),0))*VLOOKUP($D299,素材!$1:$1016,COLUMN($E$1),FALSE),0),"")</f>
        <v/>
      </c>
      <c r="I299" t="str">
        <f>IFERROR(ROUNDDOWN((VLOOKUP($C299,装備品!$1:$998,COLUMN(G$1),FALSE)+IFERROR(VLOOKUP($CI299,付与!$1:$1167,COLUMN(I$1),FALSE),0))*VLOOKUP($D299,素材!$1:$1016,COLUMN($E$1),FALSE),0),"")</f>
        <v/>
      </c>
      <c r="J299" t="str">
        <f>IFERROR(ROUNDDOWN((VLOOKUP($C299,装備品!$1:$998,COLUMN(H$1),FALSE)+IFERROR(VLOOKUP($CI299,付与!$1:$1167,COLUMN(J$1),FALSE),0))*VLOOKUP($D299,素材!$1:$1016,COLUMN($E$1),FALSE),0),"")</f>
        <v/>
      </c>
      <c r="K299" t="str">
        <f>IFERROR(ROUNDDOWN((VLOOKUP($C299,装備品!$1:$998,COLUMN(I$1),FALSE)+IFERROR(VLOOKUP($CI299,付与!$1:$1167,COLUMN(K$1),FALSE),0))*VLOOKUP($D299,素材!$1:$1016,COLUMN($E$1),FALSE),0),"")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IFERROR(VLOOKUP($C299,装備品!$1:$998,COLUMN(AA$1),FALSE)*VLOOKUP($D299,素材!$1:$1016,COLUMN($G$1),FALSE),"")</f>
        <v/>
      </c>
      <c r="N299" t="str">
        <f>IFERROR(VLOOKUP($C299,装備品!$1:$998,COLUMN(I$1),FALSE),"")</f>
        <v/>
      </c>
      <c r="O299" s="23" t="str">
        <f>IFERROR((VLOOKUP($C299,装備品!$1:$998,COLUMN(K$1),FALSE)+VLOOKUP($D299,素材!$1:$1016,COLUMN(H$1),FALSE))*100+IFERROR(VLOOKUP($CI299,付与!$1:$1167,COLUMN(O$1),FALSE),0),"")</f>
        <v/>
      </c>
      <c r="P299" s="23" t="str">
        <f>IFERROR((VLOOKUP($C299,装備品!$1:$998,COLUMN(L$1),FALSE)+VLOOKUP($D299,素材!$1:$1016,COLUMN(I$1),FALSE))*100+IFERROR(VLOOKUP($CI299,付与!$1:$1167,COLUMN(P$1),FALSE),0),"")</f>
        <v/>
      </c>
      <c r="Q299" t="str">
        <f>IFERROR(ROUNDUP(VLOOKUP($C299,装備品!$1:$998,COLUMN(M$1),FALSE)*(VLOOKUP($D299,素材!$1:$1002,COLUMN(D$1),FALSE)/100),1),"")</f>
        <v/>
      </c>
      <c r="R299" t="str">
        <f>IFERROR(ROUNDUP(VLOOKUP($C299,装備品!$1:$998,COLUMN(N$1),FALSE)*(VLOOKUP($D299,素材!$1:$1002,COLUMN(D$1),FALSE)/100),1),"")</f>
        <v/>
      </c>
      <c r="S299" t="str">
        <f>IFERROR(VLOOKUP($C299,装備品!$1:$998,COLUMN(P$1),FALSE),"")</f>
        <v/>
      </c>
      <c r="T299" t="str">
        <f>IFERROR(VLOOKUP($C299,装備品!$1:$998,COLUMN(Q$1),FALSE),"")</f>
        <v/>
      </c>
      <c r="U299" t="str">
        <f>IFERROR(VLOOKUP($C299,装備品!$1:$998,COLUMN(R$1),FALSE),"")</f>
        <v/>
      </c>
      <c r="V299" t="str">
        <f>IFERROR(VLOOKUP($C299,装備品!$1:$998,COLUMN(Q$1),FALSE),"")</f>
        <v/>
      </c>
      <c r="W299" t="str">
        <f>IFERROR(VLOOKUP($C299,装備品!$1:$998,COLUMN(T$1),FALSE),"")</f>
        <v/>
      </c>
      <c r="Y299" t="str">
        <f>IFERROR(VLOOKUP($C299,装備品!$1:$998,COLUMN(U$1),FALSE),"")</f>
        <v/>
      </c>
      <c r="Z299" t="str">
        <f>IFERROR(ROUNDUP(VLOOKUP($C299,装備品!$1:$998,COLUMN(O$1),FALSE)*VLOOKUP($D299,素材!$1:$1016,COLUMN(E$1),FALSE),1),"")</f>
        <v/>
      </c>
      <c r="AA299">
        <f>IF(ISNUMBER(SEARCH(SUBSTITUTE(AA$1,RIGHT(AA$1,2),""),VLOOKUP($D299,素材!$1:$1016,COLUMN($F$1),FALSE))),VLOOKUP($C299,装備品!$1:$998,COLUMN($O$1),FALSE)*VLOOKUP($D299,素材!$1:$1016,COLUMN($E$1),FALSE)/(LEN(VLOOKUP($D299,素材!$1:$1016,COLUMN($F$1),FALSE))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IFERROR(VLOOKUP($C299,装備品!$1:$998,COLUMN(V$1),FALSE)*VLOOKUP($D299,素材!$1:$1016,COLUMN(N$1),FALSE)+IF(CI299="",0,VLOOKUP($CI299,付与!$1:$1176,COLUMN($CK$1),FALSE)),"")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IFERROR(IF(CI300="",VLOOKUP($D300,素材!$1:$1016,COLUMN($B$1),FALSE)&amp;"・"&amp;VLOOKUP($C300,装備品!$1:$998,COLUMN(B$1),FALSE),VLOOKUP($CI300,付与!$1:$1176,COLUMN($B$1),FALSE)&amp;"・"&amp;VLOOKUP($C300,装備品!$1:$998,COLUMN(B$1),FALSE)),"")</f>
        <v/>
      </c>
      <c r="C300" s="24"/>
      <c r="D300" s="24"/>
      <c r="E300" t="str">
        <f>IFERROR(VLOOKUP(C300,装備品!$1:$998,COLUMN(C$1),FALSE),"")</f>
        <v/>
      </c>
      <c r="F300" t="str">
        <f>IFERROR(ROUNDDOWN((VLOOKUP($C300,装備品!$1:$998,COLUMN(D$1),FALSE)+IFERROR(VLOOKUP($CI300,付与!$1:$1167,COLUMN(F$1),FALSE),0))*VLOOKUP($D300,素材!$1:$1016,COLUMN(D$1),FALSE),0),"")</f>
        <v/>
      </c>
      <c r="G300" t="str">
        <f>IFERROR(ROUNDDOWN((VLOOKUP($C300,装備品!$1:$998,COLUMN(E$1),FALSE)+IFERROR(VLOOKUP($CI300,付与!$1:$1167,COLUMN(G$1),FALSE),0))*VLOOKUP($D300,素材!$1:$1016,COLUMN($E$1),FALSE),0),"")</f>
        <v/>
      </c>
      <c r="H300" t="str">
        <f>IFERROR(ROUNDDOWN((VLOOKUP($C300,装備品!$1:$998,COLUMN(F$1),FALSE)+IFERROR(VLOOKUP($CI300,付与!$1:$1167,COLUMN(H$1),FALSE),0))*VLOOKUP($D300,素材!$1:$1016,COLUMN($E$1),FALSE),0),"")</f>
        <v/>
      </c>
      <c r="I300" t="str">
        <f>IFERROR(ROUNDDOWN((VLOOKUP($C300,装備品!$1:$998,COLUMN(G$1),FALSE)+IFERROR(VLOOKUP($CI300,付与!$1:$1167,COLUMN(I$1),FALSE),0))*VLOOKUP($D300,素材!$1:$1016,COLUMN($E$1),FALSE),0),"")</f>
        <v/>
      </c>
      <c r="J300" t="str">
        <f>IFERROR(ROUNDDOWN((VLOOKUP($C300,装備品!$1:$998,COLUMN(H$1),FALSE)+IFERROR(VLOOKUP($CI300,付与!$1:$1167,COLUMN(J$1),FALSE),0))*VLOOKUP($D300,素材!$1:$1016,COLUMN($E$1),FALSE),0),"")</f>
        <v/>
      </c>
      <c r="K300" t="str">
        <f>IFERROR(ROUNDDOWN((VLOOKUP($C300,装備品!$1:$998,COLUMN(I$1),FALSE)+IFERROR(VLOOKUP($CI300,付与!$1:$1167,COLUMN(K$1),FALSE),0))*VLOOKUP($D300,素材!$1:$1016,COLUMN($E$1),FALSE),0),"")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IFERROR(VLOOKUP($C300,装備品!$1:$998,COLUMN(AA$1),FALSE)*VLOOKUP($D300,素材!$1:$1016,COLUMN($G$1),FALSE),"")</f>
        <v/>
      </c>
      <c r="N300" t="str">
        <f>IFERROR(VLOOKUP($C300,装備品!$1:$998,COLUMN(I$1),FALSE),"")</f>
        <v/>
      </c>
      <c r="O300" s="23" t="str">
        <f>IFERROR((VLOOKUP($C300,装備品!$1:$998,COLUMN(K$1),FALSE)+VLOOKUP($D300,素材!$1:$1016,COLUMN(H$1),FALSE))*100+IFERROR(VLOOKUP($CI300,付与!$1:$1167,COLUMN(O$1),FALSE),0),"")</f>
        <v/>
      </c>
      <c r="P300" s="23" t="str">
        <f>IFERROR((VLOOKUP($C300,装備品!$1:$998,COLUMN(L$1),FALSE)+VLOOKUP($D300,素材!$1:$1016,COLUMN(I$1),FALSE))*100+IFERROR(VLOOKUP($CI300,付与!$1:$1167,COLUMN(P$1),FALSE),0),"")</f>
        <v/>
      </c>
      <c r="Q300" t="str">
        <f>IFERROR(ROUNDUP(VLOOKUP($C300,装備品!$1:$998,COLUMN(M$1),FALSE)*(VLOOKUP($D300,素材!$1:$1002,COLUMN(D$1),FALSE)/100),1),"")</f>
        <v/>
      </c>
      <c r="R300" t="str">
        <f>IFERROR(ROUNDUP(VLOOKUP($C300,装備品!$1:$998,COLUMN(N$1),FALSE)*(VLOOKUP($D300,素材!$1:$1002,COLUMN(D$1),FALSE)/100),1),"")</f>
        <v/>
      </c>
      <c r="S300" t="str">
        <f>IFERROR(VLOOKUP($C300,装備品!$1:$998,COLUMN(P$1),FALSE),"")</f>
        <v/>
      </c>
      <c r="T300" t="str">
        <f>IFERROR(VLOOKUP($C300,装備品!$1:$998,COLUMN(Q$1),FALSE),"")</f>
        <v/>
      </c>
      <c r="U300" t="str">
        <f>IFERROR(VLOOKUP($C300,装備品!$1:$998,COLUMN(R$1),FALSE),"")</f>
        <v/>
      </c>
      <c r="V300" t="str">
        <f>IFERROR(VLOOKUP($C300,装備品!$1:$998,COLUMN(Q$1),FALSE),"")</f>
        <v/>
      </c>
      <c r="W300" t="str">
        <f>IFERROR(VLOOKUP($C300,装備品!$1:$998,COLUMN(T$1),FALSE),"")</f>
        <v/>
      </c>
      <c r="Y300" t="str">
        <f>IFERROR(VLOOKUP($C300,装備品!$1:$998,COLUMN(U$1),FALSE),"")</f>
        <v/>
      </c>
      <c r="Z300" t="str">
        <f>IFERROR(ROUNDUP(VLOOKUP($C300,装備品!$1:$998,COLUMN(O$1),FALSE)*VLOOKUP($D300,素材!$1:$1016,COLUMN(E$1),FALSE),1),"")</f>
        <v/>
      </c>
      <c r="AA300">
        <f>IF(ISNUMBER(SEARCH(SUBSTITUTE(AA$1,RIGHT(AA$1,2),""),VLOOKUP($D300,素材!$1:$1016,COLUMN($F$1),FALSE))),VLOOKUP($C300,装備品!$1:$998,COLUMN($O$1),FALSE)*VLOOKUP($D300,素材!$1:$1016,COLUMN($E$1),FALSE)/(LEN(VLOOKUP($D300,素材!$1:$1016,COLUMN($F$1),FALSE))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IFERROR(VLOOKUP($C300,装備品!$1:$998,COLUMN(V$1),FALSE)*VLOOKUP($D300,素材!$1:$1016,COLUMN(N$1),FALSE)+IF(CI300="",0,VLOOKUP($CI300,付与!$1:$1176,COLUMN($CK$1),FALSE)),"")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IFERROR(IF(CI301="",VLOOKUP($D301,素材!$1:$1016,COLUMN($B$1),FALSE)&amp;"・"&amp;VLOOKUP($C301,装備品!$1:$998,COLUMN(B$1),FALSE),VLOOKUP($CI301,付与!$1:$1176,COLUMN($B$1),FALSE)&amp;"・"&amp;VLOOKUP($C301,装備品!$1:$998,COLUMN(B$1),FALSE)),"")</f>
        <v/>
      </c>
      <c r="C301" s="24"/>
      <c r="D301" s="24"/>
      <c r="E301" t="str">
        <f>IFERROR(VLOOKUP(C301,装備品!$1:$998,COLUMN(C$1),FALSE),"")</f>
        <v/>
      </c>
      <c r="F301" t="str">
        <f>IFERROR(ROUNDDOWN((VLOOKUP($C301,装備品!$1:$998,COLUMN(D$1),FALSE)+IFERROR(VLOOKUP($CI301,付与!$1:$1167,COLUMN(F$1),FALSE),0))*VLOOKUP($D301,素材!$1:$1016,COLUMN(D$1),FALSE),0),"")</f>
        <v/>
      </c>
      <c r="G301" t="str">
        <f>IFERROR(ROUNDDOWN((VLOOKUP($C301,装備品!$1:$998,COLUMN(E$1),FALSE)+IFERROR(VLOOKUP($CI301,付与!$1:$1167,COLUMN(G$1),FALSE),0))*VLOOKUP($D301,素材!$1:$1016,COLUMN($E$1),FALSE),0),"")</f>
        <v/>
      </c>
      <c r="H301" t="str">
        <f>IFERROR(ROUNDDOWN((VLOOKUP($C301,装備品!$1:$998,COLUMN(F$1),FALSE)+IFERROR(VLOOKUP($CI301,付与!$1:$1167,COLUMN(H$1),FALSE),0))*VLOOKUP($D301,素材!$1:$1016,COLUMN($E$1),FALSE),0),"")</f>
        <v/>
      </c>
      <c r="I301" t="str">
        <f>IFERROR(ROUNDDOWN((VLOOKUP($C301,装備品!$1:$998,COLUMN(G$1),FALSE)+IFERROR(VLOOKUP($CI301,付与!$1:$1167,COLUMN(I$1),FALSE),0))*VLOOKUP($D301,素材!$1:$1016,COLUMN($E$1),FALSE),0),"")</f>
        <v/>
      </c>
      <c r="J301" t="str">
        <f>IFERROR(ROUNDDOWN((VLOOKUP($C301,装備品!$1:$998,COLUMN(H$1),FALSE)+IFERROR(VLOOKUP($CI301,付与!$1:$1167,COLUMN(J$1),FALSE),0))*VLOOKUP($D301,素材!$1:$1016,COLUMN($E$1),FALSE),0),"")</f>
        <v/>
      </c>
      <c r="K301" t="str">
        <f>IFERROR(ROUNDDOWN((VLOOKUP($C301,装備品!$1:$998,COLUMN(I$1),FALSE)+IFERROR(VLOOKUP($CI301,付与!$1:$1167,COLUMN(K$1),FALSE),0))*VLOOKUP($D301,素材!$1:$1016,COLUMN($E$1),FALSE),0),"")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IFERROR(VLOOKUP($C301,装備品!$1:$998,COLUMN(AA$1),FALSE)*VLOOKUP($D301,素材!$1:$1016,COLUMN($G$1),FALSE),"")</f>
        <v/>
      </c>
      <c r="N301" t="str">
        <f>IFERROR(VLOOKUP($C301,装備品!$1:$998,COLUMN(I$1),FALSE),"")</f>
        <v/>
      </c>
      <c r="O301" s="23" t="str">
        <f>IFERROR((VLOOKUP($C301,装備品!$1:$998,COLUMN(K$1),FALSE)+VLOOKUP($D301,素材!$1:$1016,COLUMN(H$1),FALSE))*100+IFERROR(VLOOKUP($CI301,付与!$1:$1167,COLUMN(O$1),FALSE),0),"")</f>
        <v/>
      </c>
      <c r="P301" s="23" t="str">
        <f>IFERROR((VLOOKUP($C301,装備品!$1:$998,COLUMN(L$1),FALSE)+VLOOKUP($D301,素材!$1:$1016,COLUMN(I$1),FALSE))*100+IFERROR(VLOOKUP($CI301,付与!$1:$1167,COLUMN(P$1),FALSE),0),"")</f>
        <v/>
      </c>
      <c r="Q301" t="str">
        <f>IFERROR(ROUNDUP(VLOOKUP($C301,装備品!$1:$998,COLUMN(M$1),FALSE)*(VLOOKUP($D301,素材!$1:$1002,COLUMN(D$1),FALSE)/100),1),"")</f>
        <v/>
      </c>
      <c r="R301" t="str">
        <f>IFERROR(ROUNDUP(VLOOKUP($C301,装備品!$1:$998,COLUMN(N$1),FALSE)*(VLOOKUP($D301,素材!$1:$1002,COLUMN(D$1),FALSE)/100),1),"")</f>
        <v/>
      </c>
      <c r="S301" t="str">
        <f>IFERROR(VLOOKUP($C301,装備品!$1:$998,COLUMN(P$1),FALSE),"")</f>
        <v/>
      </c>
      <c r="T301" t="str">
        <f>IFERROR(VLOOKUP($C301,装備品!$1:$998,COLUMN(Q$1),FALSE),"")</f>
        <v/>
      </c>
      <c r="U301" t="str">
        <f>IFERROR(VLOOKUP($C301,装備品!$1:$998,COLUMN(R$1),FALSE),"")</f>
        <v/>
      </c>
      <c r="V301" t="str">
        <f>IFERROR(VLOOKUP($C301,装備品!$1:$998,COLUMN(Q$1),FALSE),"")</f>
        <v/>
      </c>
      <c r="W301" t="str">
        <f>IFERROR(VLOOKUP($C301,装備品!$1:$998,COLUMN(T$1),FALSE),"")</f>
        <v/>
      </c>
      <c r="Y301" t="str">
        <f>IFERROR(VLOOKUP($C301,装備品!$1:$998,COLUMN(U$1),FALSE),"")</f>
        <v/>
      </c>
      <c r="Z301" t="str">
        <f>IFERROR(ROUNDUP(VLOOKUP($C301,装備品!$1:$998,COLUMN(O$1),FALSE)*VLOOKUP($D301,素材!$1:$1016,COLUMN(E$1),FALSE),1),"")</f>
        <v/>
      </c>
      <c r="AA301">
        <f>IF(ISNUMBER(SEARCH(SUBSTITUTE(AA$1,RIGHT(AA$1,2),""),VLOOKUP($D301,素材!$1:$1016,COLUMN($F$1),FALSE))),VLOOKUP($C301,装備品!$1:$998,COLUMN($O$1),FALSE)*VLOOKUP($D301,素材!$1:$1016,COLUMN($E$1),FALSE)/(LEN(VLOOKUP($D301,素材!$1:$1016,COLUMN($F$1),FALSE))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IFERROR(VLOOKUP($C301,装備品!$1:$998,COLUMN(V$1),FALSE)*VLOOKUP($D301,素材!$1:$1016,COLUMN(N$1),FALSE)+IF(CI301="",0,VLOOKUP($CI301,付与!$1:$1176,COLUMN($CK$1),FALSE)),"")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IFERROR(IF(CI302="",VLOOKUP($D302,素材!$1:$1016,COLUMN($B$1),FALSE)&amp;"・"&amp;VLOOKUP($C302,装備品!$1:$998,COLUMN(B$1),FALSE),VLOOKUP($CI302,付与!$1:$1176,COLUMN($B$1),FALSE)&amp;"・"&amp;VLOOKUP($C302,装備品!$1:$998,COLUMN(B$1),FALSE)),"")</f>
        <v/>
      </c>
      <c r="C302" s="24"/>
      <c r="D302" s="24"/>
      <c r="E302" t="str">
        <f>IFERROR(VLOOKUP(C302,装備品!$1:$998,COLUMN(C$1),FALSE),"")</f>
        <v/>
      </c>
      <c r="F302" t="str">
        <f>IFERROR(ROUNDDOWN((VLOOKUP($C302,装備品!$1:$998,COLUMN(D$1),FALSE)+IFERROR(VLOOKUP($CI302,付与!$1:$1167,COLUMN(F$1),FALSE),0))*VLOOKUP($D302,素材!$1:$1016,COLUMN(D$1),FALSE),0),"")</f>
        <v/>
      </c>
      <c r="G302" t="str">
        <f>IFERROR(ROUNDDOWN((VLOOKUP($C302,装備品!$1:$998,COLUMN(E$1),FALSE)+IFERROR(VLOOKUP($CI302,付与!$1:$1167,COLUMN(G$1),FALSE),0))*VLOOKUP($D302,素材!$1:$1016,COLUMN($E$1),FALSE),0),"")</f>
        <v/>
      </c>
      <c r="H302" t="str">
        <f>IFERROR(ROUNDDOWN((VLOOKUP($C302,装備品!$1:$998,COLUMN(F$1),FALSE)+IFERROR(VLOOKUP($CI302,付与!$1:$1167,COLUMN(H$1),FALSE),0))*VLOOKUP($D302,素材!$1:$1016,COLUMN($E$1),FALSE),0),"")</f>
        <v/>
      </c>
      <c r="I302" t="str">
        <f>IFERROR(ROUNDDOWN((VLOOKUP($C302,装備品!$1:$998,COLUMN(G$1),FALSE)+IFERROR(VLOOKUP($CI302,付与!$1:$1167,COLUMN(I$1),FALSE),0))*VLOOKUP($D302,素材!$1:$1016,COLUMN($E$1),FALSE),0),"")</f>
        <v/>
      </c>
      <c r="J302" t="str">
        <f>IFERROR(ROUNDDOWN((VLOOKUP($C302,装備品!$1:$998,COLUMN(H$1),FALSE)+IFERROR(VLOOKUP($CI302,付与!$1:$1167,COLUMN(J$1),FALSE),0))*VLOOKUP($D302,素材!$1:$1016,COLUMN($E$1),FALSE),0),"")</f>
        <v/>
      </c>
      <c r="K302" t="str">
        <f>IFERROR(ROUNDDOWN((VLOOKUP($C302,装備品!$1:$998,COLUMN(I$1),FALSE)+IFERROR(VLOOKUP($CI302,付与!$1:$1167,COLUMN(K$1),FALSE),0))*VLOOKUP($D302,素材!$1:$1016,COLUMN($E$1),FALSE),0),"")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IFERROR(VLOOKUP($C302,装備品!$1:$998,COLUMN(AA$1),FALSE)*VLOOKUP($D302,素材!$1:$1016,COLUMN($G$1),FALSE),"")</f>
        <v/>
      </c>
      <c r="N302" t="str">
        <f>IFERROR(VLOOKUP($C302,装備品!$1:$998,COLUMN(I$1),FALSE),"")</f>
        <v/>
      </c>
      <c r="O302" s="23" t="str">
        <f>IFERROR((VLOOKUP($C302,装備品!$1:$998,COLUMN(K$1),FALSE)+VLOOKUP($D302,素材!$1:$1016,COLUMN(H$1),FALSE))*100+IFERROR(VLOOKUP($CI302,付与!$1:$1167,COLUMN(O$1),FALSE),0),"")</f>
        <v/>
      </c>
      <c r="P302" s="23" t="str">
        <f>IFERROR((VLOOKUP($C302,装備品!$1:$998,COLUMN(L$1),FALSE)+VLOOKUP($D302,素材!$1:$1016,COLUMN(I$1),FALSE))*100+IFERROR(VLOOKUP($CI302,付与!$1:$1167,COLUMN(P$1),FALSE),0),"")</f>
        <v/>
      </c>
      <c r="Q302" t="str">
        <f>IFERROR(ROUNDUP(VLOOKUP($C302,装備品!$1:$998,COLUMN(M$1),FALSE)*(VLOOKUP($D302,素材!$1:$1002,COLUMN(D$1),FALSE)/100),1),"")</f>
        <v/>
      </c>
      <c r="R302" t="str">
        <f>IFERROR(ROUNDUP(VLOOKUP($C302,装備品!$1:$998,COLUMN(N$1),FALSE)*(VLOOKUP($D302,素材!$1:$1002,COLUMN(D$1),FALSE)/100),1),"")</f>
        <v/>
      </c>
      <c r="S302" t="str">
        <f>IFERROR(VLOOKUP($C302,装備品!$1:$998,COLUMN(P$1),FALSE),"")</f>
        <v/>
      </c>
      <c r="T302" t="str">
        <f>IFERROR(VLOOKUP($C302,装備品!$1:$998,COLUMN(Q$1),FALSE),"")</f>
        <v/>
      </c>
      <c r="U302" t="str">
        <f>IFERROR(VLOOKUP($C302,装備品!$1:$998,COLUMN(R$1),FALSE),"")</f>
        <v/>
      </c>
      <c r="V302" t="str">
        <f>IFERROR(VLOOKUP($C302,装備品!$1:$998,COLUMN(Q$1),FALSE),"")</f>
        <v/>
      </c>
      <c r="W302" t="str">
        <f>IFERROR(VLOOKUP($C302,装備品!$1:$998,COLUMN(T$1),FALSE),"")</f>
        <v/>
      </c>
      <c r="Y302" t="str">
        <f>IFERROR(VLOOKUP($C302,装備品!$1:$998,COLUMN(U$1),FALSE),"")</f>
        <v/>
      </c>
      <c r="Z302" t="str">
        <f>IFERROR(ROUNDUP(VLOOKUP($C302,装備品!$1:$998,COLUMN(O$1),FALSE)*VLOOKUP($D302,素材!$1:$1016,COLUMN(E$1),FALSE),1),"")</f>
        <v/>
      </c>
      <c r="AA302">
        <f>IF(ISNUMBER(SEARCH(SUBSTITUTE(AA$1,RIGHT(AA$1,2),""),VLOOKUP($D302,素材!$1:$1016,COLUMN($F$1),FALSE))),VLOOKUP($C302,装備品!$1:$998,COLUMN($O$1),FALSE)*VLOOKUP($D302,素材!$1:$1016,COLUMN($E$1),FALSE)/(LEN(VLOOKUP($D302,素材!$1:$1016,COLUMN($F$1),FALSE))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IFERROR(VLOOKUP($C302,装備品!$1:$998,COLUMN(V$1),FALSE)*VLOOKUP($D302,素材!$1:$1016,COLUMN(N$1),FALSE)+IF(CI302="",0,VLOOKUP($CI302,付与!$1:$1176,COLUMN($CK$1),FALSE)),"")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IFERROR(IF(CI303="",VLOOKUP($D303,素材!$1:$1016,COLUMN($B$1),FALSE)&amp;"・"&amp;VLOOKUP($C303,装備品!$1:$998,COLUMN(B$1),FALSE),VLOOKUP($CI303,付与!$1:$1176,COLUMN($B$1),FALSE)&amp;"・"&amp;VLOOKUP($C303,装備品!$1:$998,COLUMN(B$1),FALSE)),"")</f>
        <v/>
      </c>
      <c r="C303" s="24"/>
      <c r="D303" s="24"/>
      <c r="E303" t="str">
        <f>IFERROR(VLOOKUP(C303,装備品!$1:$998,COLUMN(C$1),FALSE),"")</f>
        <v/>
      </c>
      <c r="F303" t="str">
        <f>IFERROR(ROUNDDOWN((VLOOKUP($C303,装備品!$1:$998,COLUMN(D$1),FALSE)+IFERROR(VLOOKUP($CI303,付与!$1:$1167,COLUMN(F$1),FALSE),0))*VLOOKUP($D303,素材!$1:$1016,COLUMN(D$1),FALSE),0),"")</f>
        <v/>
      </c>
      <c r="G303" t="str">
        <f>IFERROR(ROUNDDOWN((VLOOKUP($C303,装備品!$1:$998,COLUMN(E$1),FALSE)+IFERROR(VLOOKUP($CI303,付与!$1:$1167,COLUMN(G$1),FALSE),0))*VLOOKUP($D303,素材!$1:$1016,COLUMN($E$1),FALSE),0),"")</f>
        <v/>
      </c>
      <c r="H303" t="str">
        <f>IFERROR(ROUNDDOWN((VLOOKUP($C303,装備品!$1:$998,COLUMN(F$1),FALSE)+IFERROR(VLOOKUP($CI303,付与!$1:$1167,COLUMN(H$1),FALSE),0))*VLOOKUP($D303,素材!$1:$1016,COLUMN($E$1),FALSE),0),"")</f>
        <v/>
      </c>
      <c r="I303" t="str">
        <f>IFERROR(ROUNDDOWN((VLOOKUP($C303,装備品!$1:$998,COLUMN(G$1),FALSE)+IFERROR(VLOOKUP($CI303,付与!$1:$1167,COLUMN(I$1),FALSE),0))*VLOOKUP($D303,素材!$1:$1016,COLUMN($E$1),FALSE),0),"")</f>
        <v/>
      </c>
      <c r="J303" t="str">
        <f>IFERROR(ROUNDDOWN((VLOOKUP($C303,装備品!$1:$998,COLUMN(H$1),FALSE)+IFERROR(VLOOKUP($CI303,付与!$1:$1167,COLUMN(J$1),FALSE),0))*VLOOKUP($D303,素材!$1:$1016,COLUMN($E$1),FALSE),0),"")</f>
        <v/>
      </c>
      <c r="K303" t="str">
        <f>IFERROR(ROUNDDOWN((VLOOKUP($C303,装備品!$1:$998,COLUMN(I$1),FALSE)+IFERROR(VLOOKUP($CI303,付与!$1:$1167,COLUMN(K$1),FALSE),0))*VLOOKUP($D303,素材!$1:$1016,COLUMN($E$1),FALSE),0),"")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IFERROR(VLOOKUP($C303,装備品!$1:$998,COLUMN(AA$1),FALSE)*VLOOKUP($D303,素材!$1:$1016,COLUMN($G$1),FALSE),"")</f>
        <v/>
      </c>
      <c r="N303" t="str">
        <f>IFERROR(VLOOKUP($C303,装備品!$1:$998,COLUMN(I$1),FALSE),"")</f>
        <v/>
      </c>
      <c r="O303" s="23" t="str">
        <f>IFERROR((VLOOKUP($C303,装備品!$1:$998,COLUMN(K$1),FALSE)+VLOOKUP($D303,素材!$1:$1016,COLUMN(H$1),FALSE))*100+IFERROR(VLOOKUP($CI303,付与!$1:$1167,COLUMN(O$1),FALSE),0),"")</f>
        <v/>
      </c>
      <c r="P303" s="23" t="str">
        <f>IFERROR((VLOOKUP($C303,装備品!$1:$998,COLUMN(L$1),FALSE)+VLOOKUP($D303,素材!$1:$1016,COLUMN(I$1),FALSE))*100+IFERROR(VLOOKUP($CI303,付与!$1:$1167,COLUMN(P$1),FALSE),0),"")</f>
        <v/>
      </c>
      <c r="Q303" t="str">
        <f>IFERROR(ROUNDUP(VLOOKUP($C303,装備品!$1:$998,COLUMN(M$1),FALSE)*(VLOOKUP($D303,素材!$1:$1002,COLUMN(D$1),FALSE)/100),1),"")</f>
        <v/>
      </c>
      <c r="R303" t="str">
        <f>IFERROR(ROUNDUP(VLOOKUP($C303,装備品!$1:$998,COLUMN(N$1),FALSE)*(VLOOKUP($D303,素材!$1:$1002,COLUMN(D$1),FALSE)/100),1),"")</f>
        <v/>
      </c>
      <c r="S303" t="str">
        <f>IFERROR(VLOOKUP($C303,装備品!$1:$998,COLUMN(P$1),FALSE),"")</f>
        <v/>
      </c>
      <c r="T303" t="str">
        <f>IFERROR(VLOOKUP($C303,装備品!$1:$998,COLUMN(Q$1),FALSE),"")</f>
        <v/>
      </c>
      <c r="U303" t="str">
        <f>IFERROR(VLOOKUP($C303,装備品!$1:$998,COLUMN(R$1),FALSE),"")</f>
        <v/>
      </c>
      <c r="V303" t="str">
        <f>IFERROR(VLOOKUP($C303,装備品!$1:$998,COLUMN(Q$1),FALSE),"")</f>
        <v/>
      </c>
      <c r="W303" t="str">
        <f>IFERROR(VLOOKUP($C303,装備品!$1:$998,COLUMN(T$1),FALSE),"")</f>
        <v/>
      </c>
      <c r="Y303" t="str">
        <f>IFERROR(VLOOKUP($C303,装備品!$1:$998,COLUMN(U$1),FALSE),"")</f>
        <v/>
      </c>
      <c r="Z303" t="str">
        <f>IFERROR(ROUNDUP(VLOOKUP($C303,装備品!$1:$998,COLUMN(O$1),FALSE)*VLOOKUP($D303,素材!$1:$1016,COLUMN(E$1),FALSE),1),"")</f>
        <v/>
      </c>
      <c r="AA303">
        <f>IF(ISNUMBER(SEARCH(SUBSTITUTE(AA$1,RIGHT(AA$1,2),""),VLOOKUP($D303,素材!$1:$1016,COLUMN($F$1),FALSE))),VLOOKUP($C303,装備品!$1:$998,COLUMN($O$1),FALSE)*VLOOKUP($D303,素材!$1:$1016,COLUMN($E$1),FALSE)/(LEN(VLOOKUP($D303,素材!$1:$1016,COLUMN($F$1),FALSE))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IFERROR(VLOOKUP($C303,装備品!$1:$998,COLUMN(V$1),FALSE)*VLOOKUP($D303,素材!$1:$1016,COLUMN(N$1),FALSE)+IF(CI303="",0,VLOOKUP($CI303,付与!$1:$1176,COLUMN($CK$1),FALSE)),"")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IFERROR(IF(CI304="",VLOOKUP($D304,素材!$1:$1016,COLUMN($B$1),FALSE)&amp;"・"&amp;VLOOKUP($C304,装備品!$1:$998,COLUMN(B$1),FALSE),VLOOKUP($CI304,付与!$1:$1176,COLUMN($B$1),FALSE)&amp;"・"&amp;VLOOKUP($C304,装備品!$1:$998,COLUMN(B$1),FALSE)),"")</f>
        <v/>
      </c>
      <c r="C304" s="24"/>
      <c r="D304" s="24"/>
      <c r="E304" t="str">
        <f>IFERROR(VLOOKUP(C304,装備品!$1:$998,COLUMN(C$1),FALSE),"")</f>
        <v/>
      </c>
      <c r="F304" t="str">
        <f>IFERROR(ROUNDDOWN((VLOOKUP($C304,装備品!$1:$998,COLUMN(D$1),FALSE)+IFERROR(VLOOKUP($CI304,付与!$1:$1167,COLUMN(F$1),FALSE),0))*VLOOKUP($D304,素材!$1:$1016,COLUMN(D$1),FALSE),0),"")</f>
        <v/>
      </c>
      <c r="G304" t="str">
        <f>IFERROR(ROUNDDOWN((VLOOKUP($C304,装備品!$1:$998,COLUMN(E$1),FALSE)+IFERROR(VLOOKUP($CI304,付与!$1:$1167,COLUMN(G$1),FALSE),0))*VLOOKUP($D304,素材!$1:$1016,COLUMN($E$1),FALSE),0),"")</f>
        <v/>
      </c>
      <c r="H304" t="str">
        <f>IFERROR(ROUNDDOWN((VLOOKUP($C304,装備品!$1:$998,COLUMN(F$1),FALSE)+IFERROR(VLOOKUP($CI304,付与!$1:$1167,COLUMN(H$1),FALSE),0))*VLOOKUP($D304,素材!$1:$1016,COLUMN($E$1),FALSE),0),"")</f>
        <v/>
      </c>
      <c r="I304" t="str">
        <f>IFERROR(ROUNDDOWN((VLOOKUP($C304,装備品!$1:$998,COLUMN(G$1),FALSE)+IFERROR(VLOOKUP($CI304,付与!$1:$1167,COLUMN(I$1),FALSE),0))*VLOOKUP($D304,素材!$1:$1016,COLUMN($E$1),FALSE),0),"")</f>
        <v/>
      </c>
      <c r="J304" t="str">
        <f>IFERROR(ROUNDDOWN((VLOOKUP($C304,装備品!$1:$998,COLUMN(H$1),FALSE)+IFERROR(VLOOKUP($CI304,付与!$1:$1167,COLUMN(J$1),FALSE),0))*VLOOKUP($D304,素材!$1:$1016,COLUMN($E$1),FALSE),0),"")</f>
        <v/>
      </c>
      <c r="K304" t="str">
        <f>IFERROR(ROUNDDOWN((VLOOKUP($C304,装備品!$1:$998,COLUMN(I$1),FALSE)+IFERROR(VLOOKUP($CI304,付与!$1:$1167,COLUMN(K$1),FALSE),0))*VLOOKUP($D304,素材!$1:$1016,COLUMN($E$1),FALSE),0),"")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IFERROR(VLOOKUP($C304,装備品!$1:$998,COLUMN(AA$1),FALSE)*VLOOKUP($D304,素材!$1:$1016,COLUMN($G$1),FALSE),"")</f>
        <v/>
      </c>
      <c r="N304" t="str">
        <f>IFERROR(VLOOKUP($C304,装備品!$1:$998,COLUMN(I$1),FALSE),"")</f>
        <v/>
      </c>
      <c r="O304" s="23" t="str">
        <f>IFERROR((VLOOKUP($C304,装備品!$1:$998,COLUMN(K$1),FALSE)+VLOOKUP($D304,素材!$1:$1016,COLUMN(H$1),FALSE))*100+IFERROR(VLOOKUP($CI304,付与!$1:$1167,COLUMN(O$1),FALSE),0),"")</f>
        <v/>
      </c>
      <c r="P304" s="23" t="str">
        <f>IFERROR((VLOOKUP($C304,装備品!$1:$998,COLUMN(L$1),FALSE)+VLOOKUP($D304,素材!$1:$1016,COLUMN(I$1),FALSE))*100+IFERROR(VLOOKUP($CI304,付与!$1:$1167,COLUMN(P$1),FALSE),0),"")</f>
        <v/>
      </c>
      <c r="Q304" t="str">
        <f>IFERROR(ROUNDUP(VLOOKUP($C304,装備品!$1:$998,COLUMN(M$1),FALSE)*(VLOOKUP($D304,素材!$1:$1002,COLUMN(D$1),FALSE)/100),1),"")</f>
        <v/>
      </c>
      <c r="R304" t="str">
        <f>IFERROR(ROUNDUP(VLOOKUP($C304,装備品!$1:$998,COLUMN(N$1),FALSE)*(VLOOKUP($D304,素材!$1:$1002,COLUMN(D$1),FALSE)/100),1),"")</f>
        <v/>
      </c>
      <c r="S304" t="str">
        <f>IFERROR(VLOOKUP($C304,装備品!$1:$998,COLUMN(P$1),FALSE),"")</f>
        <v/>
      </c>
      <c r="T304" t="str">
        <f>IFERROR(VLOOKUP($C304,装備品!$1:$998,COLUMN(Q$1),FALSE),"")</f>
        <v/>
      </c>
      <c r="U304" t="str">
        <f>IFERROR(VLOOKUP($C304,装備品!$1:$998,COLUMN(R$1),FALSE),"")</f>
        <v/>
      </c>
      <c r="V304" t="str">
        <f>IFERROR(VLOOKUP($C304,装備品!$1:$998,COLUMN(Q$1),FALSE),"")</f>
        <v/>
      </c>
      <c r="W304" t="str">
        <f>IFERROR(VLOOKUP($C304,装備品!$1:$998,COLUMN(T$1),FALSE),"")</f>
        <v/>
      </c>
      <c r="Y304" t="str">
        <f>IFERROR(VLOOKUP($C304,装備品!$1:$998,COLUMN(U$1),FALSE),"")</f>
        <v/>
      </c>
      <c r="Z304" t="str">
        <f>IFERROR(ROUNDUP(VLOOKUP($C304,装備品!$1:$998,COLUMN(O$1),FALSE)*VLOOKUP($D304,素材!$1:$1016,COLUMN(E$1),FALSE),1),"")</f>
        <v/>
      </c>
      <c r="AA304">
        <f>IF(ISNUMBER(SEARCH(SUBSTITUTE(AA$1,RIGHT(AA$1,2),""),VLOOKUP($D304,素材!$1:$1016,COLUMN($F$1),FALSE))),VLOOKUP($C304,装備品!$1:$998,COLUMN($O$1),FALSE)*VLOOKUP($D304,素材!$1:$1016,COLUMN($E$1),FALSE)/(LEN(VLOOKUP($D304,素材!$1:$1016,COLUMN($F$1),FALSE))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IFERROR(VLOOKUP($C304,装備品!$1:$998,COLUMN(V$1),FALSE)*VLOOKUP($D304,素材!$1:$1016,COLUMN(N$1),FALSE)+IF(CI304="",0,VLOOKUP($CI304,付与!$1:$1176,COLUMN($CK$1),FALSE)),"")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IFERROR(IF(CI305="",VLOOKUP($D305,素材!$1:$1016,COLUMN($B$1),FALSE)&amp;"・"&amp;VLOOKUP($C305,装備品!$1:$998,COLUMN(B$1),FALSE),VLOOKUP($CI305,付与!$1:$1176,COLUMN($B$1),FALSE)&amp;"・"&amp;VLOOKUP($C305,装備品!$1:$998,COLUMN(B$1),FALSE)),"")</f>
        <v/>
      </c>
      <c r="C305" s="24"/>
      <c r="D305" s="24"/>
      <c r="E305" t="str">
        <f>IFERROR(VLOOKUP(C305,装備品!$1:$998,COLUMN(C$1),FALSE),"")</f>
        <v/>
      </c>
      <c r="F305" t="str">
        <f>IFERROR(ROUNDDOWN((VLOOKUP($C305,装備品!$1:$998,COLUMN(D$1),FALSE)+IFERROR(VLOOKUP($CI305,付与!$1:$1167,COLUMN(F$1),FALSE),0))*VLOOKUP($D305,素材!$1:$1016,COLUMN(D$1),FALSE),0),"")</f>
        <v/>
      </c>
      <c r="G305" t="str">
        <f>IFERROR(ROUNDDOWN((VLOOKUP($C305,装備品!$1:$998,COLUMN(E$1),FALSE)+IFERROR(VLOOKUP($CI305,付与!$1:$1167,COLUMN(G$1),FALSE),0))*VLOOKUP($D305,素材!$1:$1016,COLUMN($E$1),FALSE),0),"")</f>
        <v/>
      </c>
      <c r="H305" t="str">
        <f>IFERROR(ROUNDDOWN((VLOOKUP($C305,装備品!$1:$998,COLUMN(F$1),FALSE)+IFERROR(VLOOKUP($CI305,付与!$1:$1167,COLUMN(H$1),FALSE),0))*VLOOKUP($D305,素材!$1:$1016,COLUMN($E$1),FALSE),0),"")</f>
        <v/>
      </c>
      <c r="I305" t="str">
        <f>IFERROR(ROUNDDOWN((VLOOKUP($C305,装備品!$1:$998,COLUMN(G$1),FALSE)+IFERROR(VLOOKUP($CI305,付与!$1:$1167,COLUMN(I$1),FALSE),0))*VLOOKUP($D305,素材!$1:$1016,COLUMN($E$1),FALSE),0),"")</f>
        <v/>
      </c>
      <c r="J305" t="str">
        <f>IFERROR(ROUNDDOWN((VLOOKUP($C305,装備品!$1:$998,COLUMN(H$1),FALSE)+IFERROR(VLOOKUP($CI305,付与!$1:$1167,COLUMN(J$1),FALSE),0))*VLOOKUP($D305,素材!$1:$1016,COLUMN($E$1),FALSE),0),"")</f>
        <v/>
      </c>
      <c r="K305" t="str">
        <f>IFERROR(ROUNDDOWN((VLOOKUP($C305,装備品!$1:$998,COLUMN(I$1),FALSE)+IFERROR(VLOOKUP($CI305,付与!$1:$1167,COLUMN(K$1),FALSE),0))*VLOOKUP($D305,素材!$1:$1016,COLUMN($E$1),FALSE),0),"")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IFERROR(VLOOKUP($C305,装備品!$1:$998,COLUMN(AA$1),FALSE)*VLOOKUP($D305,素材!$1:$1016,COLUMN($G$1),FALSE),"")</f>
        <v/>
      </c>
      <c r="N305" t="str">
        <f>IFERROR(VLOOKUP($C305,装備品!$1:$998,COLUMN(I$1),FALSE),"")</f>
        <v/>
      </c>
      <c r="O305" s="23" t="str">
        <f>IFERROR((VLOOKUP($C305,装備品!$1:$998,COLUMN(K$1),FALSE)+VLOOKUP($D305,素材!$1:$1016,COLUMN(H$1),FALSE))*100+IFERROR(VLOOKUP($CI305,付与!$1:$1167,COLUMN(O$1),FALSE),0),"")</f>
        <v/>
      </c>
      <c r="P305" s="23" t="str">
        <f>IFERROR((VLOOKUP($C305,装備品!$1:$998,COLUMN(L$1),FALSE)+VLOOKUP($D305,素材!$1:$1016,COLUMN(I$1),FALSE))*100+IFERROR(VLOOKUP($CI305,付与!$1:$1167,COLUMN(P$1),FALSE),0),"")</f>
        <v/>
      </c>
      <c r="Q305" t="str">
        <f>IFERROR(ROUNDUP(VLOOKUP($C305,装備品!$1:$998,COLUMN(M$1),FALSE)*(VLOOKUP($D305,素材!$1:$1002,COLUMN(D$1),FALSE)/100),1),"")</f>
        <v/>
      </c>
      <c r="R305" t="str">
        <f>IFERROR(ROUNDUP(VLOOKUP($C305,装備品!$1:$998,COLUMN(N$1),FALSE)*(VLOOKUP($D305,素材!$1:$1002,COLUMN(D$1),FALSE)/100),1),"")</f>
        <v/>
      </c>
      <c r="S305" t="str">
        <f>IFERROR(VLOOKUP($C305,装備品!$1:$998,COLUMN(P$1),FALSE),"")</f>
        <v/>
      </c>
      <c r="T305" t="str">
        <f>IFERROR(VLOOKUP($C305,装備品!$1:$998,COLUMN(Q$1),FALSE),"")</f>
        <v/>
      </c>
      <c r="U305" t="str">
        <f>IFERROR(VLOOKUP($C305,装備品!$1:$998,COLUMN(R$1),FALSE),"")</f>
        <v/>
      </c>
      <c r="V305" t="str">
        <f>IFERROR(VLOOKUP($C305,装備品!$1:$998,COLUMN(Q$1),FALSE),"")</f>
        <v/>
      </c>
      <c r="W305" t="str">
        <f>IFERROR(VLOOKUP($C305,装備品!$1:$998,COLUMN(T$1),FALSE),"")</f>
        <v/>
      </c>
      <c r="Y305" t="str">
        <f>IFERROR(VLOOKUP($C305,装備品!$1:$998,COLUMN(U$1),FALSE),"")</f>
        <v/>
      </c>
      <c r="Z305" t="str">
        <f>IFERROR(ROUNDUP(VLOOKUP($C305,装備品!$1:$998,COLUMN(O$1),FALSE)*VLOOKUP($D305,素材!$1:$1016,COLUMN(E$1),FALSE),1),"")</f>
        <v/>
      </c>
      <c r="AA305">
        <f>IF(ISNUMBER(SEARCH(SUBSTITUTE(AA$1,RIGHT(AA$1,2),""),VLOOKUP($D305,素材!$1:$1016,COLUMN($F$1),FALSE))),VLOOKUP($C305,装備品!$1:$998,COLUMN($O$1),FALSE)*VLOOKUP($D305,素材!$1:$1016,COLUMN($E$1),FALSE)/(LEN(VLOOKUP($D305,素材!$1:$1016,COLUMN($F$1),FALSE))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IFERROR(VLOOKUP($C305,装備品!$1:$998,COLUMN(V$1),FALSE)*VLOOKUP($D305,素材!$1:$1016,COLUMN(N$1),FALSE)+IF(CI305="",0,VLOOKUP($CI305,付与!$1:$1176,COLUMN($CK$1),FALSE)),"")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IFERROR(IF(CI306="",VLOOKUP($D306,素材!$1:$1016,COLUMN($B$1),FALSE)&amp;"・"&amp;VLOOKUP($C306,装備品!$1:$998,COLUMN(B$1),FALSE),VLOOKUP($CI306,付与!$1:$1176,COLUMN($B$1),FALSE)&amp;"・"&amp;VLOOKUP($C306,装備品!$1:$998,COLUMN(B$1),FALSE)),"")</f>
        <v/>
      </c>
      <c r="C306" s="24"/>
      <c r="D306" s="24"/>
      <c r="E306" t="str">
        <f>IFERROR(VLOOKUP(C306,装備品!$1:$998,COLUMN(C$1),FALSE),"")</f>
        <v/>
      </c>
      <c r="F306" t="str">
        <f>IFERROR(ROUNDDOWN((VLOOKUP($C306,装備品!$1:$998,COLUMN(D$1),FALSE)+IFERROR(VLOOKUP($CI306,付与!$1:$1167,COLUMN(F$1),FALSE),0))*VLOOKUP($D306,素材!$1:$1016,COLUMN(D$1),FALSE),0),"")</f>
        <v/>
      </c>
      <c r="G306" t="str">
        <f>IFERROR(ROUNDDOWN((VLOOKUP($C306,装備品!$1:$998,COLUMN(E$1),FALSE)+IFERROR(VLOOKUP($CI306,付与!$1:$1167,COLUMN(G$1),FALSE),0))*VLOOKUP($D306,素材!$1:$1016,COLUMN($E$1),FALSE),0),"")</f>
        <v/>
      </c>
      <c r="H306" t="str">
        <f>IFERROR(ROUNDDOWN((VLOOKUP($C306,装備品!$1:$998,COLUMN(F$1),FALSE)+IFERROR(VLOOKUP($CI306,付与!$1:$1167,COLUMN(H$1),FALSE),0))*VLOOKUP($D306,素材!$1:$1016,COLUMN($E$1),FALSE),0),"")</f>
        <v/>
      </c>
      <c r="I306" t="str">
        <f>IFERROR(ROUNDDOWN((VLOOKUP($C306,装備品!$1:$998,COLUMN(G$1),FALSE)+IFERROR(VLOOKUP($CI306,付与!$1:$1167,COLUMN(I$1),FALSE),0))*VLOOKUP($D306,素材!$1:$1016,COLUMN($E$1),FALSE),0),"")</f>
        <v/>
      </c>
      <c r="J306" t="str">
        <f>IFERROR(ROUNDDOWN((VLOOKUP($C306,装備品!$1:$998,COLUMN(H$1),FALSE)+IFERROR(VLOOKUP($CI306,付与!$1:$1167,COLUMN(J$1),FALSE),0))*VLOOKUP($D306,素材!$1:$1016,COLUMN($E$1),FALSE),0),"")</f>
        <v/>
      </c>
      <c r="K306" t="str">
        <f>IFERROR(ROUNDDOWN((VLOOKUP($C306,装備品!$1:$998,COLUMN(I$1),FALSE)+IFERROR(VLOOKUP($CI306,付与!$1:$1167,COLUMN(K$1),FALSE),0))*VLOOKUP($D306,素材!$1:$1016,COLUMN($E$1),FALSE),0),"")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IFERROR(VLOOKUP($C306,装備品!$1:$998,COLUMN(AA$1),FALSE)*VLOOKUP($D306,素材!$1:$1016,COLUMN($G$1),FALSE),"")</f>
        <v/>
      </c>
      <c r="N306" t="str">
        <f>IFERROR(VLOOKUP($C306,装備品!$1:$998,COLUMN(I$1),FALSE),"")</f>
        <v/>
      </c>
      <c r="O306" s="23" t="str">
        <f>IFERROR((VLOOKUP($C306,装備品!$1:$998,COLUMN(K$1),FALSE)+VLOOKUP($D306,素材!$1:$1016,COLUMN(H$1),FALSE))*100+IFERROR(VLOOKUP($CI306,付与!$1:$1167,COLUMN(O$1),FALSE),0),"")</f>
        <v/>
      </c>
      <c r="P306" s="23" t="str">
        <f>IFERROR((VLOOKUP($C306,装備品!$1:$998,COLUMN(L$1),FALSE)+VLOOKUP($D306,素材!$1:$1016,COLUMN(I$1),FALSE))*100+IFERROR(VLOOKUP($CI306,付与!$1:$1167,COLUMN(P$1),FALSE),0),"")</f>
        <v/>
      </c>
      <c r="Q306" t="str">
        <f>IFERROR(ROUNDUP(VLOOKUP($C306,装備品!$1:$998,COLUMN(M$1),FALSE)*(VLOOKUP($D306,素材!$1:$1002,COLUMN(D$1),FALSE)/100),1),"")</f>
        <v/>
      </c>
      <c r="R306" t="str">
        <f>IFERROR(ROUNDUP(VLOOKUP($C306,装備品!$1:$998,COLUMN(N$1),FALSE)*(VLOOKUP($D306,素材!$1:$1002,COLUMN(D$1),FALSE)/100),1),"")</f>
        <v/>
      </c>
      <c r="S306" t="str">
        <f>IFERROR(VLOOKUP($C306,装備品!$1:$998,COLUMN(P$1),FALSE),"")</f>
        <v/>
      </c>
      <c r="T306" t="str">
        <f>IFERROR(VLOOKUP($C306,装備品!$1:$998,COLUMN(Q$1),FALSE),"")</f>
        <v/>
      </c>
      <c r="U306" t="str">
        <f>IFERROR(VLOOKUP($C306,装備品!$1:$998,COLUMN(R$1),FALSE),"")</f>
        <v/>
      </c>
      <c r="V306" t="str">
        <f>IFERROR(VLOOKUP($C306,装備品!$1:$998,COLUMN(Q$1),FALSE),"")</f>
        <v/>
      </c>
      <c r="W306" t="str">
        <f>IFERROR(VLOOKUP($C306,装備品!$1:$998,COLUMN(T$1),FALSE),"")</f>
        <v/>
      </c>
      <c r="Y306" t="str">
        <f>IFERROR(VLOOKUP($C306,装備品!$1:$998,COLUMN(U$1),FALSE),"")</f>
        <v/>
      </c>
      <c r="Z306" t="str">
        <f>IFERROR(ROUNDUP(VLOOKUP($C306,装備品!$1:$998,COLUMN(O$1),FALSE)*VLOOKUP($D306,素材!$1:$1016,COLUMN(E$1),FALSE),1),"")</f>
        <v/>
      </c>
      <c r="AA306">
        <f>IF(ISNUMBER(SEARCH(SUBSTITUTE(AA$1,RIGHT(AA$1,2),""),VLOOKUP($D306,素材!$1:$1016,COLUMN($F$1),FALSE))),VLOOKUP($C306,装備品!$1:$998,COLUMN($O$1),FALSE)*VLOOKUP($D306,素材!$1:$1016,COLUMN($E$1),FALSE)/(LEN(VLOOKUP($D306,素材!$1:$1016,COLUMN($F$1),FALSE))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IFERROR(VLOOKUP($C306,装備品!$1:$998,COLUMN(V$1),FALSE)*VLOOKUP($D306,素材!$1:$1016,COLUMN(N$1),FALSE)+IF(CI306="",0,VLOOKUP($CI306,付与!$1:$1176,COLUMN($CK$1),FALSE)),"")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IFERROR(IF(CI307="",VLOOKUP($D307,素材!$1:$1016,COLUMN($B$1),FALSE)&amp;"・"&amp;VLOOKUP($C307,装備品!$1:$998,COLUMN(B$1),FALSE),VLOOKUP($CI307,付与!$1:$1176,COLUMN($B$1),FALSE)&amp;"・"&amp;VLOOKUP($C307,装備品!$1:$998,COLUMN(B$1),FALSE)),"")</f>
        <v/>
      </c>
      <c r="C307" s="24"/>
      <c r="D307" s="24"/>
      <c r="E307" t="str">
        <f>IFERROR(VLOOKUP(C307,装備品!$1:$998,COLUMN(C$1),FALSE),"")</f>
        <v/>
      </c>
      <c r="F307" t="str">
        <f>IFERROR(ROUNDDOWN((VLOOKUP($C307,装備品!$1:$998,COLUMN(D$1),FALSE)+IFERROR(VLOOKUP($CI307,付与!$1:$1167,COLUMN(F$1),FALSE),0))*VLOOKUP($D307,素材!$1:$1016,COLUMN(D$1),FALSE),0),"")</f>
        <v/>
      </c>
      <c r="G307" t="str">
        <f>IFERROR(ROUNDDOWN((VLOOKUP($C307,装備品!$1:$998,COLUMN(E$1),FALSE)+IFERROR(VLOOKUP($CI307,付与!$1:$1167,COLUMN(G$1),FALSE),0))*VLOOKUP($D307,素材!$1:$1016,COLUMN($E$1),FALSE),0),"")</f>
        <v/>
      </c>
      <c r="H307" t="str">
        <f>IFERROR(ROUNDDOWN((VLOOKUP($C307,装備品!$1:$998,COLUMN(F$1),FALSE)+IFERROR(VLOOKUP($CI307,付与!$1:$1167,COLUMN(H$1),FALSE),0))*VLOOKUP($D307,素材!$1:$1016,COLUMN($E$1),FALSE),0),"")</f>
        <v/>
      </c>
      <c r="I307" t="str">
        <f>IFERROR(ROUNDDOWN((VLOOKUP($C307,装備品!$1:$998,COLUMN(G$1),FALSE)+IFERROR(VLOOKUP($CI307,付与!$1:$1167,COLUMN(I$1),FALSE),0))*VLOOKUP($D307,素材!$1:$1016,COLUMN($E$1),FALSE),0),"")</f>
        <v/>
      </c>
      <c r="J307" t="str">
        <f>IFERROR(ROUNDDOWN((VLOOKUP($C307,装備品!$1:$998,COLUMN(H$1),FALSE)+IFERROR(VLOOKUP($CI307,付与!$1:$1167,COLUMN(J$1),FALSE),0))*VLOOKUP($D307,素材!$1:$1016,COLUMN($E$1),FALSE),0),"")</f>
        <v/>
      </c>
      <c r="K307" t="str">
        <f>IFERROR(ROUNDDOWN((VLOOKUP($C307,装備品!$1:$998,COLUMN(I$1),FALSE)+IFERROR(VLOOKUP($CI307,付与!$1:$1167,COLUMN(K$1),FALSE),0))*VLOOKUP($D307,素材!$1:$1016,COLUMN($E$1),FALSE),0),"")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IFERROR(VLOOKUP($C307,装備品!$1:$998,COLUMN(AA$1),FALSE)*VLOOKUP($D307,素材!$1:$1016,COLUMN($G$1),FALSE),"")</f>
        <v/>
      </c>
      <c r="N307" t="str">
        <f>IFERROR(VLOOKUP($C307,装備品!$1:$998,COLUMN(I$1),FALSE),"")</f>
        <v/>
      </c>
      <c r="O307" s="23" t="str">
        <f>IFERROR((VLOOKUP($C307,装備品!$1:$998,COLUMN(K$1),FALSE)+VLOOKUP($D307,素材!$1:$1016,COLUMN(H$1),FALSE))*100+IFERROR(VLOOKUP($CI307,付与!$1:$1167,COLUMN(O$1),FALSE),0),"")</f>
        <v/>
      </c>
      <c r="P307" s="23" t="str">
        <f>IFERROR((VLOOKUP($C307,装備品!$1:$998,COLUMN(L$1),FALSE)+VLOOKUP($D307,素材!$1:$1016,COLUMN(I$1),FALSE))*100+IFERROR(VLOOKUP($CI307,付与!$1:$1167,COLUMN(P$1),FALSE),0),"")</f>
        <v/>
      </c>
      <c r="Q307" t="str">
        <f>IFERROR(ROUNDUP(VLOOKUP($C307,装備品!$1:$998,COLUMN(M$1),FALSE)*(VLOOKUP($D307,素材!$1:$1002,COLUMN(D$1),FALSE)/100),1),"")</f>
        <v/>
      </c>
      <c r="R307" t="str">
        <f>IFERROR(ROUNDUP(VLOOKUP($C307,装備品!$1:$998,COLUMN(N$1),FALSE)*(VLOOKUP($D307,素材!$1:$1002,COLUMN(D$1),FALSE)/100),1),"")</f>
        <v/>
      </c>
      <c r="S307" t="str">
        <f>IFERROR(VLOOKUP($C307,装備品!$1:$998,COLUMN(P$1),FALSE),"")</f>
        <v/>
      </c>
      <c r="T307" t="str">
        <f>IFERROR(VLOOKUP($C307,装備品!$1:$998,COLUMN(Q$1),FALSE),"")</f>
        <v/>
      </c>
      <c r="U307" t="str">
        <f>IFERROR(VLOOKUP($C307,装備品!$1:$998,COLUMN(R$1),FALSE),"")</f>
        <v/>
      </c>
      <c r="V307" t="str">
        <f>IFERROR(VLOOKUP($C307,装備品!$1:$998,COLUMN(Q$1),FALSE),"")</f>
        <v/>
      </c>
      <c r="W307" t="str">
        <f>IFERROR(VLOOKUP($C307,装備品!$1:$998,COLUMN(T$1),FALSE),"")</f>
        <v/>
      </c>
      <c r="Y307" t="str">
        <f>IFERROR(VLOOKUP($C307,装備品!$1:$998,COLUMN(U$1),FALSE),"")</f>
        <v/>
      </c>
      <c r="Z307" t="str">
        <f>IFERROR(ROUNDUP(VLOOKUP($C307,装備品!$1:$998,COLUMN(O$1),FALSE)*VLOOKUP($D307,素材!$1:$1016,COLUMN(E$1),FALSE),1),"")</f>
        <v/>
      </c>
      <c r="AA307">
        <f>IF(ISNUMBER(SEARCH(SUBSTITUTE(AA$1,RIGHT(AA$1,2),""),VLOOKUP($D307,素材!$1:$1016,COLUMN($F$1),FALSE))),VLOOKUP($C307,装備品!$1:$998,COLUMN($O$1),FALSE)*VLOOKUP($D307,素材!$1:$1016,COLUMN($E$1),FALSE)/(LEN(VLOOKUP($D307,素材!$1:$1016,COLUMN($F$1),FALSE))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IFERROR(VLOOKUP($C307,装備品!$1:$998,COLUMN(V$1),FALSE)*VLOOKUP($D307,素材!$1:$1016,COLUMN(N$1),FALSE)+IF(CI307="",0,VLOOKUP($CI307,付与!$1:$1176,COLUMN($CK$1),FALSE)),"")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IFERROR(IF(CI308="",VLOOKUP($D308,素材!$1:$1016,COLUMN($B$1),FALSE)&amp;"・"&amp;VLOOKUP($C308,装備品!$1:$998,COLUMN(B$1),FALSE),VLOOKUP($CI308,付与!$1:$1176,COLUMN($B$1),FALSE)&amp;"・"&amp;VLOOKUP($C308,装備品!$1:$998,COLUMN(B$1),FALSE)),"")</f>
        <v/>
      </c>
      <c r="C308" s="24"/>
      <c r="D308" s="24"/>
      <c r="E308" t="str">
        <f>IFERROR(VLOOKUP(C308,装備品!$1:$998,COLUMN(C$1),FALSE),"")</f>
        <v/>
      </c>
      <c r="F308" t="str">
        <f>IFERROR(ROUNDDOWN((VLOOKUP($C308,装備品!$1:$998,COLUMN(D$1),FALSE)+IFERROR(VLOOKUP($CI308,付与!$1:$1167,COLUMN(F$1),FALSE),0))*VLOOKUP($D308,素材!$1:$1016,COLUMN(D$1),FALSE),0),"")</f>
        <v/>
      </c>
      <c r="G308" t="str">
        <f>IFERROR(ROUNDDOWN((VLOOKUP($C308,装備品!$1:$998,COLUMN(E$1),FALSE)+IFERROR(VLOOKUP($CI308,付与!$1:$1167,COLUMN(G$1),FALSE),0))*VLOOKUP($D308,素材!$1:$1016,COLUMN($E$1),FALSE),0),"")</f>
        <v/>
      </c>
      <c r="H308" t="str">
        <f>IFERROR(ROUNDDOWN((VLOOKUP($C308,装備品!$1:$998,COLUMN(F$1),FALSE)+IFERROR(VLOOKUP($CI308,付与!$1:$1167,COLUMN(H$1),FALSE),0))*VLOOKUP($D308,素材!$1:$1016,COLUMN($E$1),FALSE),0),"")</f>
        <v/>
      </c>
      <c r="I308" t="str">
        <f>IFERROR(ROUNDDOWN((VLOOKUP($C308,装備品!$1:$998,COLUMN(G$1),FALSE)+IFERROR(VLOOKUP($CI308,付与!$1:$1167,COLUMN(I$1),FALSE),0))*VLOOKUP($D308,素材!$1:$1016,COLUMN($E$1),FALSE),0),"")</f>
        <v/>
      </c>
      <c r="J308" t="str">
        <f>IFERROR(ROUNDDOWN((VLOOKUP($C308,装備品!$1:$998,COLUMN(H$1),FALSE)+IFERROR(VLOOKUP($CI308,付与!$1:$1167,COLUMN(J$1),FALSE),0))*VLOOKUP($D308,素材!$1:$1016,COLUMN($E$1),FALSE),0),"")</f>
        <v/>
      </c>
      <c r="K308" t="str">
        <f>IFERROR(ROUNDDOWN((VLOOKUP($C308,装備品!$1:$998,COLUMN(I$1),FALSE)+IFERROR(VLOOKUP($CI308,付与!$1:$1167,COLUMN(K$1),FALSE),0))*VLOOKUP($D308,素材!$1:$1016,COLUMN($E$1),FALSE),0),"")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IFERROR(VLOOKUP($C308,装備品!$1:$998,COLUMN(AA$1),FALSE)*VLOOKUP($D308,素材!$1:$1016,COLUMN($G$1),FALSE),"")</f>
        <v/>
      </c>
      <c r="N308" t="str">
        <f>IFERROR(VLOOKUP($C308,装備品!$1:$998,COLUMN(I$1),FALSE),"")</f>
        <v/>
      </c>
      <c r="O308" s="23" t="str">
        <f>IFERROR((VLOOKUP($C308,装備品!$1:$998,COLUMN(K$1),FALSE)+VLOOKUP($D308,素材!$1:$1016,COLUMN(H$1),FALSE))*100+IFERROR(VLOOKUP($CI308,付与!$1:$1167,COLUMN(O$1),FALSE),0),"")</f>
        <v/>
      </c>
      <c r="P308" s="23" t="str">
        <f>IFERROR((VLOOKUP($C308,装備品!$1:$998,COLUMN(L$1),FALSE)+VLOOKUP($D308,素材!$1:$1016,COLUMN(I$1),FALSE))*100+IFERROR(VLOOKUP($CI308,付与!$1:$1167,COLUMN(P$1),FALSE),0),"")</f>
        <v/>
      </c>
      <c r="Q308" t="str">
        <f>IFERROR(ROUNDUP(VLOOKUP($C308,装備品!$1:$998,COLUMN(M$1),FALSE)*(VLOOKUP($D308,素材!$1:$1002,COLUMN(D$1),FALSE)/100),1),"")</f>
        <v/>
      </c>
      <c r="R308" t="str">
        <f>IFERROR(ROUNDUP(VLOOKUP($C308,装備品!$1:$998,COLUMN(N$1),FALSE)*(VLOOKUP($D308,素材!$1:$1002,COLUMN(D$1),FALSE)/100),1),"")</f>
        <v/>
      </c>
      <c r="S308" t="str">
        <f>IFERROR(VLOOKUP($C308,装備品!$1:$998,COLUMN(P$1),FALSE),"")</f>
        <v/>
      </c>
      <c r="T308" t="str">
        <f>IFERROR(VLOOKUP($C308,装備品!$1:$998,COLUMN(Q$1),FALSE),"")</f>
        <v/>
      </c>
      <c r="U308" t="str">
        <f>IFERROR(VLOOKUP($C308,装備品!$1:$998,COLUMN(R$1),FALSE),"")</f>
        <v/>
      </c>
      <c r="V308" t="str">
        <f>IFERROR(VLOOKUP($C308,装備品!$1:$998,COLUMN(Q$1),FALSE),"")</f>
        <v/>
      </c>
      <c r="W308" t="str">
        <f>IFERROR(VLOOKUP($C308,装備品!$1:$998,COLUMN(T$1),FALSE),"")</f>
        <v/>
      </c>
      <c r="Y308" t="str">
        <f>IFERROR(VLOOKUP($C308,装備品!$1:$998,COLUMN(U$1),FALSE),"")</f>
        <v/>
      </c>
      <c r="Z308" t="str">
        <f>IFERROR(ROUNDUP(VLOOKUP($C308,装備品!$1:$998,COLUMN(O$1),FALSE)*VLOOKUP($D308,素材!$1:$1016,COLUMN(E$1),FALSE),1),"")</f>
        <v/>
      </c>
      <c r="AA308">
        <f>IF(ISNUMBER(SEARCH(SUBSTITUTE(AA$1,RIGHT(AA$1,2),""),VLOOKUP($D308,素材!$1:$1016,COLUMN($F$1),FALSE))),VLOOKUP($C308,装備品!$1:$998,COLUMN($O$1),FALSE)*VLOOKUP($D308,素材!$1:$1016,COLUMN($E$1),FALSE)/(LEN(VLOOKUP($D308,素材!$1:$1016,COLUMN($F$1),FALSE))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IFERROR(VLOOKUP($C308,装備品!$1:$998,COLUMN(V$1),FALSE)*VLOOKUP($D308,素材!$1:$1016,COLUMN(N$1),FALSE)+IF(CI308="",0,VLOOKUP($CI308,付与!$1:$1176,COLUMN($CK$1),FALSE)),"")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IFERROR(IF(CI309="",VLOOKUP($D309,素材!$1:$1016,COLUMN($B$1),FALSE)&amp;"・"&amp;VLOOKUP($C309,装備品!$1:$998,COLUMN(B$1),FALSE),VLOOKUP($CI309,付与!$1:$1176,COLUMN($B$1),FALSE)&amp;"・"&amp;VLOOKUP($C309,装備品!$1:$998,COLUMN(B$1),FALSE)),"")</f>
        <v/>
      </c>
      <c r="C309" s="24"/>
      <c r="D309" s="24"/>
      <c r="E309" t="str">
        <f>IFERROR(VLOOKUP(C309,装備品!$1:$998,COLUMN(C$1),FALSE),"")</f>
        <v/>
      </c>
      <c r="F309" t="str">
        <f>IFERROR(ROUNDDOWN((VLOOKUP($C309,装備品!$1:$998,COLUMN(D$1),FALSE)+IFERROR(VLOOKUP($CI309,付与!$1:$1167,COLUMN(F$1),FALSE),0))*VLOOKUP($D309,素材!$1:$1016,COLUMN(D$1),FALSE),0),"")</f>
        <v/>
      </c>
      <c r="G309" t="str">
        <f>IFERROR(ROUNDDOWN((VLOOKUP($C309,装備品!$1:$998,COLUMN(E$1),FALSE)+IFERROR(VLOOKUP($CI309,付与!$1:$1167,COLUMN(G$1),FALSE),0))*VLOOKUP($D309,素材!$1:$1016,COLUMN($E$1),FALSE),0),"")</f>
        <v/>
      </c>
      <c r="H309" t="str">
        <f>IFERROR(ROUNDDOWN((VLOOKUP($C309,装備品!$1:$998,COLUMN(F$1),FALSE)+IFERROR(VLOOKUP($CI309,付与!$1:$1167,COLUMN(H$1),FALSE),0))*VLOOKUP($D309,素材!$1:$1016,COLUMN($E$1),FALSE),0),"")</f>
        <v/>
      </c>
      <c r="I309" t="str">
        <f>IFERROR(ROUNDDOWN((VLOOKUP($C309,装備品!$1:$998,COLUMN(G$1),FALSE)+IFERROR(VLOOKUP($CI309,付与!$1:$1167,COLUMN(I$1),FALSE),0))*VLOOKUP($D309,素材!$1:$1016,COLUMN($E$1),FALSE),0),"")</f>
        <v/>
      </c>
      <c r="J309" t="str">
        <f>IFERROR(ROUNDDOWN((VLOOKUP($C309,装備品!$1:$998,COLUMN(H$1),FALSE)+IFERROR(VLOOKUP($CI309,付与!$1:$1167,COLUMN(J$1),FALSE),0))*VLOOKUP($D309,素材!$1:$1016,COLUMN($E$1),FALSE),0),"")</f>
        <v/>
      </c>
      <c r="K309" t="str">
        <f>IFERROR(ROUNDDOWN((VLOOKUP($C309,装備品!$1:$998,COLUMN(I$1),FALSE)+IFERROR(VLOOKUP($CI309,付与!$1:$1167,COLUMN(K$1),FALSE),0))*VLOOKUP($D309,素材!$1:$1016,COLUMN($E$1),FALSE),0),"")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IFERROR(VLOOKUP($C309,装備品!$1:$998,COLUMN(AA$1),FALSE)*VLOOKUP($D309,素材!$1:$1016,COLUMN($G$1),FALSE),"")</f>
        <v/>
      </c>
      <c r="N309" t="str">
        <f>IFERROR(VLOOKUP($C309,装備品!$1:$998,COLUMN(I$1),FALSE),"")</f>
        <v/>
      </c>
      <c r="O309" s="23" t="str">
        <f>IFERROR((VLOOKUP($C309,装備品!$1:$998,COLUMN(K$1),FALSE)+VLOOKUP($D309,素材!$1:$1016,COLUMN(H$1),FALSE))*100+IFERROR(VLOOKUP($CI309,付与!$1:$1167,COLUMN(O$1),FALSE),0),"")</f>
        <v/>
      </c>
      <c r="P309" s="23" t="str">
        <f>IFERROR((VLOOKUP($C309,装備品!$1:$998,COLUMN(L$1),FALSE)+VLOOKUP($D309,素材!$1:$1016,COLUMN(I$1),FALSE))*100+IFERROR(VLOOKUP($CI309,付与!$1:$1167,COLUMN(P$1),FALSE),0),"")</f>
        <v/>
      </c>
      <c r="Q309" t="str">
        <f>IFERROR(ROUNDUP(VLOOKUP($C309,装備品!$1:$998,COLUMN(M$1),FALSE)*(VLOOKUP($D309,素材!$1:$1002,COLUMN(D$1),FALSE)/100),1),"")</f>
        <v/>
      </c>
      <c r="R309" t="str">
        <f>IFERROR(ROUNDUP(VLOOKUP($C309,装備品!$1:$998,COLUMN(N$1),FALSE)*(VLOOKUP($D309,素材!$1:$1002,COLUMN(D$1),FALSE)/100),1),"")</f>
        <v/>
      </c>
      <c r="S309" t="str">
        <f>IFERROR(VLOOKUP($C309,装備品!$1:$998,COLUMN(P$1),FALSE),"")</f>
        <v/>
      </c>
      <c r="T309" t="str">
        <f>IFERROR(VLOOKUP($C309,装備品!$1:$998,COLUMN(Q$1),FALSE),"")</f>
        <v/>
      </c>
      <c r="U309" t="str">
        <f>IFERROR(VLOOKUP($C309,装備品!$1:$998,COLUMN(R$1),FALSE),"")</f>
        <v/>
      </c>
      <c r="V309" t="str">
        <f>IFERROR(VLOOKUP($C309,装備品!$1:$998,COLUMN(Q$1),FALSE),"")</f>
        <v/>
      </c>
      <c r="W309" t="str">
        <f>IFERROR(VLOOKUP($C309,装備品!$1:$998,COLUMN(T$1),FALSE),"")</f>
        <v/>
      </c>
      <c r="Y309" t="str">
        <f>IFERROR(VLOOKUP($C309,装備品!$1:$998,COLUMN(U$1),FALSE),"")</f>
        <v/>
      </c>
      <c r="Z309" t="str">
        <f>IFERROR(ROUNDUP(VLOOKUP($C309,装備品!$1:$998,COLUMN(O$1),FALSE)*VLOOKUP($D309,素材!$1:$1016,COLUMN(E$1),FALSE),1),"")</f>
        <v/>
      </c>
      <c r="AA309">
        <f>IF(ISNUMBER(SEARCH(SUBSTITUTE(AA$1,RIGHT(AA$1,2),""),VLOOKUP($D309,素材!$1:$1016,COLUMN($F$1),FALSE))),VLOOKUP($C309,装備品!$1:$998,COLUMN($O$1),FALSE)*VLOOKUP($D309,素材!$1:$1016,COLUMN($E$1),FALSE)/(LEN(VLOOKUP($D309,素材!$1:$1016,COLUMN($F$1),FALSE))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IFERROR(VLOOKUP($C309,装備品!$1:$998,COLUMN(V$1),FALSE)*VLOOKUP($D309,素材!$1:$1016,COLUMN(N$1),FALSE)+IF(CI309="",0,VLOOKUP($CI309,付与!$1:$1176,COLUMN($CK$1),FALSE)),"")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IFERROR(IF(CI310="",VLOOKUP($D310,素材!$1:$1016,COLUMN($B$1),FALSE)&amp;"・"&amp;VLOOKUP($C310,装備品!$1:$998,COLUMN(B$1),FALSE),VLOOKUP($CI310,付与!$1:$1176,COLUMN($B$1),FALSE)&amp;"・"&amp;VLOOKUP($C310,装備品!$1:$998,COLUMN(B$1),FALSE)),"")</f>
        <v/>
      </c>
      <c r="C310" s="24"/>
      <c r="D310" s="24"/>
      <c r="E310" t="str">
        <f>IFERROR(VLOOKUP(C310,装備品!$1:$998,COLUMN(C$1),FALSE),"")</f>
        <v/>
      </c>
      <c r="F310" t="str">
        <f>IFERROR(ROUNDDOWN((VLOOKUP($C310,装備品!$1:$998,COLUMN(D$1),FALSE)+IFERROR(VLOOKUP($CI310,付与!$1:$1167,COLUMN(F$1),FALSE),0))*VLOOKUP($D310,素材!$1:$1016,COLUMN(D$1),FALSE),0),"")</f>
        <v/>
      </c>
      <c r="G310" t="str">
        <f>IFERROR(ROUNDDOWN((VLOOKUP($C310,装備品!$1:$998,COLUMN(E$1),FALSE)+IFERROR(VLOOKUP($CI310,付与!$1:$1167,COLUMN(G$1),FALSE),0))*VLOOKUP($D310,素材!$1:$1016,COLUMN($E$1),FALSE),0),"")</f>
        <v/>
      </c>
      <c r="H310" t="str">
        <f>IFERROR(ROUNDDOWN((VLOOKUP($C310,装備品!$1:$998,COLUMN(F$1),FALSE)+IFERROR(VLOOKUP($CI310,付与!$1:$1167,COLUMN(H$1),FALSE),0))*VLOOKUP($D310,素材!$1:$1016,COLUMN($E$1),FALSE),0),"")</f>
        <v/>
      </c>
      <c r="I310" t="str">
        <f>IFERROR(ROUNDDOWN((VLOOKUP($C310,装備品!$1:$998,COLUMN(G$1),FALSE)+IFERROR(VLOOKUP($CI310,付与!$1:$1167,COLUMN(I$1),FALSE),0))*VLOOKUP($D310,素材!$1:$1016,COLUMN($E$1),FALSE),0),"")</f>
        <v/>
      </c>
      <c r="J310" t="str">
        <f>IFERROR(ROUNDDOWN((VLOOKUP($C310,装備品!$1:$998,COLUMN(H$1),FALSE)+IFERROR(VLOOKUP($CI310,付与!$1:$1167,COLUMN(J$1),FALSE),0))*VLOOKUP($D310,素材!$1:$1016,COLUMN($E$1),FALSE),0),"")</f>
        <v/>
      </c>
      <c r="K310" t="str">
        <f>IFERROR(ROUNDDOWN((VLOOKUP($C310,装備品!$1:$998,COLUMN(I$1),FALSE)+IFERROR(VLOOKUP($CI310,付与!$1:$1167,COLUMN(K$1),FALSE),0))*VLOOKUP($D310,素材!$1:$1016,COLUMN($E$1),FALSE),0),"")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IFERROR(VLOOKUP($C310,装備品!$1:$998,COLUMN(AA$1),FALSE)*VLOOKUP($D310,素材!$1:$1016,COLUMN($G$1),FALSE),"")</f>
        <v/>
      </c>
      <c r="N310" t="str">
        <f>IFERROR(VLOOKUP($C310,装備品!$1:$998,COLUMN(I$1),FALSE),"")</f>
        <v/>
      </c>
      <c r="O310" s="23" t="str">
        <f>IFERROR((VLOOKUP($C310,装備品!$1:$998,COLUMN(K$1),FALSE)+VLOOKUP($D310,素材!$1:$1016,COLUMN(H$1),FALSE))*100+IFERROR(VLOOKUP($CI310,付与!$1:$1167,COLUMN(O$1),FALSE),0),"")</f>
        <v/>
      </c>
      <c r="P310" s="23" t="str">
        <f>IFERROR((VLOOKUP($C310,装備品!$1:$998,COLUMN(L$1),FALSE)+VLOOKUP($D310,素材!$1:$1016,COLUMN(I$1),FALSE))*100+IFERROR(VLOOKUP($CI310,付与!$1:$1167,COLUMN(P$1),FALSE),0),"")</f>
        <v/>
      </c>
      <c r="Q310" t="str">
        <f>IFERROR(ROUNDUP(VLOOKUP($C310,装備品!$1:$998,COLUMN(M$1),FALSE)*(VLOOKUP($D310,素材!$1:$1002,COLUMN(D$1),FALSE)/100),1),"")</f>
        <v/>
      </c>
      <c r="R310" t="str">
        <f>IFERROR(ROUNDUP(VLOOKUP($C310,装備品!$1:$998,COLUMN(N$1),FALSE)*(VLOOKUP($D310,素材!$1:$1002,COLUMN(D$1),FALSE)/100),1),"")</f>
        <v/>
      </c>
      <c r="S310" t="str">
        <f>IFERROR(VLOOKUP($C310,装備品!$1:$998,COLUMN(P$1),FALSE),"")</f>
        <v/>
      </c>
      <c r="T310" t="str">
        <f>IFERROR(VLOOKUP($C310,装備品!$1:$998,COLUMN(Q$1),FALSE),"")</f>
        <v/>
      </c>
      <c r="U310" t="str">
        <f>IFERROR(VLOOKUP($C310,装備品!$1:$998,COLUMN(R$1),FALSE),"")</f>
        <v/>
      </c>
      <c r="V310" t="str">
        <f>IFERROR(VLOOKUP($C310,装備品!$1:$998,COLUMN(Q$1),FALSE),"")</f>
        <v/>
      </c>
      <c r="W310" t="str">
        <f>IFERROR(VLOOKUP($C310,装備品!$1:$998,COLUMN(T$1),FALSE),"")</f>
        <v/>
      </c>
      <c r="Y310" t="str">
        <f>IFERROR(VLOOKUP($C310,装備品!$1:$998,COLUMN(U$1),FALSE),"")</f>
        <v/>
      </c>
      <c r="Z310" t="str">
        <f>IFERROR(ROUNDUP(VLOOKUP($C310,装備品!$1:$998,COLUMN(O$1),FALSE)*VLOOKUP($D310,素材!$1:$1016,COLUMN(E$1),FALSE),1),"")</f>
        <v/>
      </c>
      <c r="AA310">
        <f>IF(ISNUMBER(SEARCH(SUBSTITUTE(AA$1,RIGHT(AA$1,2),""),VLOOKUP($D310,素材!$1:$1016,COLUMN($F$1),FALSE))),VLOOKUP($C310,装備品!$1:$998,COLUMN($O$1),FALSE)*VLOOKUP($D310,素材!$1:$1016,COLUMN($E$1),FALSE)/(LEN(VLOOKUP($D310,素材!$1:$1016,COLUMN($F$1),FALSE))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IFERROR(VLOOKUP($C310,装備品!$1:$998,COLUMN(V$1),FALSE)*VLOOKUP($D310,素材!$1:$1016,COLUMN(N$1),FALSE)+IF(CI310="",0,VLOOKUP($CI310,付与!$1:$1176,COLUMN($CK$1),FALSE)),"")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IFERROR(IF(CI311="",VLOOKUP($D311,素材!$1:$1016,COLUMN($B$1),FALSE)&amp;"・"&amp;VLOOKUP($C311,装備品!$1:$998,COLUMN(B$1),FALSE),VLOOKUP($CI311,付与!$1:$1176,COLUMN($B$1),FALSE)&amp;"・"&amp;VLOOKUP($C311,装備品!$1:$998,COLUMN(B$1),FALSE)),"")</f>
        <v/>
      </c>
      <c r="C311" s="24"/>
      <c r="D311" s="24"/>
      <c r="E311" t="str">
        <f>IFERROR(VLOOKUP(C311,装備品!$1:$998,COLUMN(C$1),FALSE),"")</f>
        <v/>
      </c>
      <c r="F311" t="str">
        <f>IFERROR(ROUNDDOWN((VLOOKUP($C311,装備品!$1:$998,COLUMN(D$1),FALSE)+IFERROR(VLOOKUP($CI311,付与!$1:$1167,COLUMN(F$1),FALSE),0))*VLOOKUP($D311,素材!$1:$1016,COLUMN(D$1),FALSE),0),"")</f>
        <v/>
      </c>
      <c r="G311" t="str">
        <f>IFERROR(ROUNDDOWN((VLOOKUP($C311,装備品!$1:$998,COLUMN(E$1),FALSE)+IFERROR(VLOOKUP($CI311,付与!$1:$1167,COLUMN(G$1),FALSE),0))*VLOOKUP($D311,素材!$1:$1016,COLUMN($E$1),FALSE),0),"")</f>
        <v/>
      </c>
      <c r="H311" t="str">
        <f>IFERROR(ROUNDDOWN((VLOOKUP($C311,装備品!$1:$998,COLUMN(F$1),FALSE)+IFERROR(VLOOKUP($CI311,付与!$1:$1167,COLUMN(H$1),FALSE),0))*VLOOKUP($D311,素材!$1:$1016,COLUMN($E$1),FALSE),0),"")</f>
        <v/>
      </c>
      <c r="I311" t="str">
        <f>IFERROR(ROUNDDOWN((VLOOKUP($C311,装備品!$1:$998,COLUMN(G$1),FALSE)+IFERROR(VLOOKUP($CI311,付与!$1:$1167,COLUMN(I$1),FALSE),0))*VLOOKUP($D311,素材!$1:$1016,COLUMN($E$1),FALSE),0),"")</f>
        <v/>
      </c>
      <c r="J311" t="str">
        <f>IFERROR(ROUNDDOWN((VLOOKUP($C311,装備品!$1:$998,COLUMN(H$1),FALSE)+IFERROR(VLOOKUP($CI311,付与!$1:$1167,COLUMN(J$1),FALSE),0))*VLOOKUP($D311,素材!$1:$1016,COLUMN($E$1),FALSE),0),"")</f>
        <v/>
      </c>
      <c r="K311" t="str">
        <f>IFERROR(ROUNDDOWN((VLOOKUP($C311,装備品!$1:$998,COLUMN(I$1),FALSE)+IFERROR(VLOOKUP($CI311,付与!$1:$1167,COLUMN(K$1),FALSE),0))*VLOOKUP($D311,素材!$1:$1016,COLUMN($E$1),FALSE),0),"")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IFERROR(VLOOKUP($C311,装備品!$1:$998,COLUMN(AA$1),FALSE)*VLOOKUP($D311,素材!$1:$1016,COLUMN($G$1),FALSE),"")</f>
        <v/>
      </c>
      <c r="N311" t="str">
        <f>IFERROR(VLOOKUP($C311,装備品!$1:$998,COLUMN(I$1),FALSE),"")</f>
        <v/>
      </c>
      <c r="O311" s="23" t="str">
        <f>IFERROR((VLOOKUP($C311,装備品!$1:$998,COLUMN(K$1),FALSE)+VLOOKUP($D311,素材!$1:$1016,COLUMN(H$1),FALSE))*100+IFERROR(VLOOKUP($CI311,付与!$1:$1167,COLUMN(O$1),FALSE),0),"")</f>
        <v/>
      </c>
      <c r="P311" s="23" t="str">
        <f>IFERROR((VLOOKUP($C311,装備品!$1:$998,COLUMN(L$1),FALSE)+VLOOKUP($D311,素材!$1:$1016,COLUMN(I$1),FALSE))*100+IFERROR(VLOOKUP($CI311,付与!$1:$1167,COLUMN(P$1),FALSE),0),"")</f>
        <v/>
      </c>
      <c r="Q311" t="str">
        <f>IFERROR(ROUNDUP(VLOOKUP($C311,装備品!$1:$998,COLUMN(M$1),FALSE)*(VLOOKUP($D311,素材!$1:$1002,COLUMN(D$1),FALSE)/100),1),"")</f>
        <v/>
      </c>
      <c r="R311" t="str">
        <f>IFERROR(ROUNDUP(VLOOKUP($C311,装備品!$1:$998,COLUMN(N$1),FALSE)*(VLOOKUP($D311,素材!$1:$1002,COLUMN(D$1),FALSE)/100),1),"")</f>
        <v/>
      </c>
      <c r="S311" t="str">
        <f>IFERROR(VLOOKUP($C311,装備品!$1:$998,COLUMN(P$1),FALSE),"")</f>
        <v/>
      </c>
      <c r="T311" t="str">
        <f>IFERROR(VLOOKUP($C311,装備品!$1:$998,COLUMN(Q$1),FALSE),"")</f>
        <v/>
      </c>
      <c r="U311" t="str">
        <f>IFERROR(VLOOKUP($C311,装備品!$1:$998,COLUMN(R$1),FALSE),"")</f>
        <v/>
      </c>
      <c r="V311" t="str">
        <f>IFERROR(VLOOKUP($C311,装備品!$1:$998,COLUMN(Q$1),FALSE),"")</f>
        <v/>
      </c>
      <c r="W311" t="str">
        <f>IFERROR(VLOOKUP($C311,装備品!$1:$998,COLUMN(T$1),FALSE),"")</f>
        <v/>
      </c>
      <c r="Y311" t="str">
        <f>IFERROR(VLOOKUP($C311,装備品!$1:$998,COLUMN(U$1),FALSE),"")</f>
        <v/>
      </c>
      <c r="Z311" t="str">
        <f>IFERROR(ROUNDUP(VLOOKUP($C311,装備品!$1:$998,COLUMN(O$1),FALSE)*VLOOKUP($D311,素材!$1:$1016,COLUMN(E$1),FALSE),1),"")</f>
        <v/>
      </c>
      <c r="AA311">
        <f>IF(ISNUMBER(SEARCH(SUBSTITUTE(AA$1,RIGHT(AA$1,2),""),VLOOKUP($D311,素材!$1:$1016,COLUMN($F$1),FALSE))),VLOOKUP($C311,装備品!$1:$998,COLUMN($O$1),FALSE)*VLOOKUP($D311,素材!$1:$1016,COLUMN($E$1),FALSE)/(LEN(VLOOKUP($D311,素材!$1:$1016,COLUMN($F$1),FALSE))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IFERROR(VLOOKUP($C311,装備品!$1:$998,COLUMN(V$1),FALSE)*VLOOKUP($D311,素材!$1:$1016,COLUMN(N$1),FALSE)+IF(CI311="",0,VLOOKUP($CI311,付与!$1:$1176,COLUMN($CK$1),FALSE)),"")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IFERROR(IF(CI312="",VLOOKUP($D312,素材!$1:$1016,COLUMN($B$1),FALSE)&amp;"・"&amp;VLOOKUP($C312,装備品!$1:$998,COLUMN(B$1),FALSE),VLOOKUP($CI312,付与!$1:$1176,COLUMN($B$1),FALSE)&amp;"・"&amp;VLOOKUP($C312,装備品!$1:$998,COLUMN(B$1),FALSE)),"")</f>
        <v/>
      </c>
      <c r="C312" s="24"/>
      <c r="D312" s="24"/>
      <c r="E312" t="str">
        <f>IFERROR(VLOOKUP(C312,装備品!$1:$998,COLUMN(C$1),FALSE),"")</f>
        <v/>
      </c>
      <c r="F312" t="str">
        <f>IFERROR(ROUNDDOWN((VLOOKUP($C312,装備品!$1:$998,COLUMN(D$1),FALSE)+IFERROR(VLOOKUP($CI312,付与!$1:$1167,COLUMN(F$1),FALSE),0))*VLOOKUP($D312,素材!$1:$1016,COLUMN(D$1),FALSE),0),"")</f>
        <v/>
      </c>
      <c r="G312" t="str">
        <f>IFERROR(ROUNDDOWN((VLOOKUP($C312,装備品!$1:$998,COLUMN(E$1),FALSE)+IFERROR(VLOOKUP($CI312,付与!$1:$1167,COLUMN(G$1),FALSE),0))*VLOOKUP($D312,素材!$1:$1016,COLUMN($E$1),FALSE),0),"")</f>
        <v/>
      </c>
      <c r="H312" t="str">
        <f>IFERROR(ROUNDDOWN((VLOOKUP($C312,装備品!$1:$998,COLUMN(F$1),FALSE)+IFERROR(VLOOKUP($CI312,付与!$1:$1167,COLUMN(H$1),FALSE),0))*VLOOKUP($D312,素材!$1:$1016,COLUMN($E$1),FALSE),0),"")</f>
        <v/>
      </c>
      <c r="I312" t="str">
        <f>IFERROR(ROUNDDOWN((VLOOKUP($C312,装備品!$1:$998,COLUMN(G$1),FALSE)+IFERROR(VLOOKUP($CI312,付与!$1:$1167,COLUMN(I$1),FALSE),0))*VLOOKUP($D312,素材!$1:$1016,COLUMN($E$1),FALSE),0),"")</f>
        <v/>
      </c>
      <c r="J312" t="str">
        <f>IFERROR(ROUNDDOWN((VLOOKUP($C312,装備品!$1:$998,COLUMN(H$1),FALSE)+IFERROR(VLOOKUP($CI312,付与!$1:$1167,COLUMN(J$1),FALSE),0))*VLOOKUP($D312,素材!$1:$1016,COLUMN($E$1),FALSE),0),"")</f>
        <v/>
      </c>
      <c r="K312" t="str">
        <f>IFERROR(ROUNDDOWN((VLOOKUP($C312,装備品!$1:$998,COLUMN(I$1),FALSE)+IFERROR(VLOOKUP($CI312,付与!$1:$1167,COLUMN(K$1),FALSE),0))*VLOOKUP($D312,素材!$1:$1016,COLUMN($E$1),FALSE),0),"")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IFERROR(VLOOKUP($C312,装備品!$1:$998,COLUMN(AA$1),FALSE)*VLOOKUP($D312,素材!$1:$1016,COLUMN($G$1),FALSE),"")</f>
        <v/>
      </c>
      <c r="N312" t="str">
        <f>IFERROR(VLOOKUP($C312,装備品!$1:$998,COLUMN(I$1),FALSE),"")</f>
        <v/>
      </c>
      <c r="O312" s="23" t="str">
        <f>IFERROR((VLOOKUP($C312,装備品!$1:$998,COLUMN(K$1),FALSE)+VLOOKUP($D312,素材!$1:$1016,COLUMN(H$1),FALSE))*100+IFERROR(VLOOKUP($CI312,付与!$1:$1167,COLUMN(O$1),FALSE),0),"")</f>
        <v/>
      </c>
      <c r="P312" s="23" t="str">
        <f>IFERROR((VLOOKUP($C312,装備品!$1:$998,COLUMN(L$1),FALSE)+VLOOKUP($D312,素材!$1:$1016,COLUMN(I$1),FALSE))*100+IFERROR(VLOOKUP($CI312,付与!$1:$1167,COLUMN(P$1),FALSE),0),"")</f>
        <v/>
      </c>
      <c r="Q312" t="str">
        <f>IFERROR(ROUNDUP(VLOOKUP($C312,装備品!$1:$998,COLUMN(M$1),FALSE)*(VLOOKUP($D312,素材!$1:$1002,COLUMN(D$1),FALSE)/100),1),"")</f>
        <v/>
      </c>
      <c r="R312" t="str">
        <f>IFERROR(ROUNDUP(VLOOKUP($C312,装備品!$1:$998,COLUMN(N$1),FALSE)*(VLOOKUP($D312,素材!$1:$1002,COLUMN(D$1),FALSE)/100),1),"")</f>
        <v/>
      </c>
      <c r="S312" t="str">
        <f>IFERROR(VLOOKUP($C312,装備品!$1:$998,COLUMN(P$1),FALSE),"")</f>
        <v/>
      </c>
      <c r="T312" t="str">
        <f>IFERROR(VLOOKUP($C312,装備品!$1:$998,COLUMN(Q$1),FALSE),"")</f>
        <v/>
      </c>
      <c r="U312" t="str">
        <f>IFERROR(VLOOKUP($C312,装備品!$1:$998,COLUMN(R$1),FALSE),"")</f>
        <v/>
      </c>
      <c r="V312" t="str">
        <f>IFERROR(VLOOKUP($C312,装備品!$1:$998,COLUMN(Q$1),FALSE),"")</f>
        <v/>
      </c>
      <c r="W312" t="str">
        <f>IFERROR(VLOOKUP($C312,装備品!$1:$998,COLUMN(T$1),FALSE),"")</f>
        <v/>
      </c>
      <c r="Y312" t="str">
        <f>IFERROR(VLOOKUP($C312,装備品!$1:$998,COLUMN(U$1),FALSE),"")</f>
        <v/>
      </c>
      <c r="Z312" t="str">
        <f>IFERROR(ROUNDUP(VLOOKUP($C312,装備品!$1:$998,COLUMN(O$1),FALSE)*VLOOKUP($D312,素材!$1:$1016,COLUMN(E$1),FALSE),1),"")</f>
        <v/>
      </c>
      <c r="AA312">
        <f>IF(ISNUMBER(SEARCH(SUBSTITUTE(AA$1,RIGHT(AA$1,2),""),VLOOKUP($D312,素材!$1:$1016,COLUMN($F$1),FALSE))),VLOOKUP($C312,装備品!$1:$998,COLUMN($O$1),FALSE)*VLOOKUP($D312,素材!$1:$1016,COLUMN($E$1),FALSE)/(LEN(VLOOKUP($D312,素材!$1:$1016,COLUMN($F$1),FALSE))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IFERROR(VLOOKUP($C312,装備品!$1:$998,COLUMN(V$1),FALSE)*VLOOKUP($D312,素材!$1:$1016,COLUMN(N$1),FALSE)+IF(CI312="",0,VLOOKUP($CI312,付与!$1:$1176,COLUMN($CK$1),FALSE)),"")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IFERROR(IF(CI313="",VLOOKUP($D313,素材!$1:$1016,COLUMN($B$1),FALSE)&amp;"・"&amp;VLOOKUP($C313,装備品!$1:$998,COLUMN(B$1),FALSE),VLOOKUP($CI313,付与!$1:$1176,COLUMN($B$1),FALSE)&amp;"・"&amp;VLOOKUP($C313,装備品!$1:$998,COLUMN(B$1),FALSE)),"")</f>
        <v/>
      </c>
      <c r="C313" s="24"/>
      <c r="D313" s="24"/>
      <c r="E313" t="str">
        <f>IFERROR(VLOOKUP(C313,装備品!$1:$998,COLUMN(C$1),FALSE),"")</f>
        <v/>
      </c>
      <c r="F313" t="str">
        <f>IFERROR(ROUNDDOWN((VLOOKUP($C313,装備品!$1:$998,COLUMN(D$1),FALSE)+IFERROR(VLOOKUP($CI313,付与!$1:$1167,COLUMN(F$1),FALSE),0))*VLOOKUP($D313,素材!$1:$1016,COLUMN(D$1),FALSE),0),"")</f>
        <v/>
      </c>
      <c r="G313" t="str">
        <f>IFERROR(ROUNDDOWN((VLOOKUP($C313,装備品!$1:$998,COLUMN(E$1),FALSE)+IFERROR(VLOOKUP($CI313,付与!$1:$1167,COLUMN(G$1),FALSE),0))*VLOOKUP($D313,素材!$1:$1016,COLUMN($E$1),FALSE),0),"")</f>
        <v/>
      </c>
      <c r="H313" t="str">
        <f>IFERROR(ROUNDDOWN((VLOOKUP($C313,装備品!$1:$998,COLUMN(F$1),FALSE)+IFERROR(VLOOKUP($CI313,付与!$1:$1167,COLUMN(H$1),FALSE),0))*VLOOKUP($D313,素材!$1:$1016,COLUMN($E$1),FALSE),0),"")</f>
        <v/>
      </c>
      <c r="I313" t="str">
        <f>IFERROR(ROUNDDOWN((VLOOKUP($C313,装備品!$1:$998,COLUMN(G$1),FALSE)+IFERROR(VLOOKUP($CI313,付与!$1:$1167,COLUMN(I$1),FALSE),0))*VLOOKUP($D313,素材!$1:$1016,COLUMN($E$1),FALSE),0),"")</f>
        <v/>
      </c>
      <c r="J313" t="str">
        <f>IFERROR(ROUNDDOWN((VLOOKUP($C313,装備品!$1:$998,COLUMN(H$1),FALSE)+IFERROR(VLOOKUP($CI313,付与!$1:$1167,COLUMN(J$1),FALSE),0))*VLOOKUP($D313,素材!$1:$1016,COLUMN($E$1),FALSE),0),"")</f>
        <v/>
      </c>
      <c r="K313" t="str">
        <f>IFERROR(ROUNDDOWN((VLOOKUP($C313,装備品!$1:$998,COLUMN(I$1),FALSE)+IFERROR(VLOOKUP($CI313,付与!$1:$1167,COLUMN(K$1),FALSE),0))*VLOOKUP($D313,素材!$1:$1016,COLUMN($E$1),FALSE),0),"")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IFERROR(VLOOKUP($C313,装備品!$1:$998,COLUMN(AA$1),FALSE)*VLOOKUP($D313,素材!$1:$1016,COLUMN($G$1),FALSE),"")</f>
        <v/>
      </c>
      <c r="N313" t="str">
        <f>IFERROR(VLOOKUP($C313,装備品!$1:$998,COLUMN(I$1),FALSE),"")</f>
        <v/>
      </c>
      <c r="O313" s="23" t="str">
        <f>IFERROR((VLOOKUP($C313,装備品!$1:$998,COLUMN(K$1),FALSE)+VLOOKUP($D313,素材!$1:$1016,COLUMN(H$1),FALSE))*100+IFERROR(VLOOKUP($CI313,付与!$1:$1167,COLUMN(O$1),FALSE),0),"")</f>
        <v/>
      </c>
      <c r="P313" s="23" t="str">
        <f>IFERROR((VLOOKUP($C313,装備品!$1:$998,COLUMN(L$1),FALSE)+VLOOKUP($D313,素材!$1:$1016,COLUMN(I$1),FALSE))*100+IFERROR(VLOOKUP($CI313,付与!$1:$1167,COLUMN(P$1),FALSE),0),"")</f>
        <v/>
      </c>
      <c r="Q313" t="str">
        <f>IFERROR(ROUNDUP(VLOOKUP($C313,装備品!$1:$998,COLUMN(M$1),FALSE)*(VLOOKUP($D313,素材!$1:$1002,COLUMN(D$1),FALSE)/100),1),"")</f>
        <v/>
      </c>
      <c r="R313" t="str">
        <f>IFERROR(ROUNDUP(VLOOKUP($C313,装備品!$1:$998,COLUMN(N$1),FALSE)*(VLOOKUP($D313,素材!$1:$1002,COLUMN(D$1),FALSE)/100),1),"")</f>
        <v/>
      </c>
      <c r="S313" t="str">
        <f>IFERROR(VLOOKUP($C313,装備品!$1:$998,COLUMN(P$1),FALSE),"")</f>
        <v/>
      </c>
      <c r="T313" t="str">
        <f>IFERROR(VLOOKUP($C313,装備品!$1:$998,COLUMN(Q$1),FALSE),"")</f>
        <v/>
      </c>
      <c r="U313" t="str">
        <f>IFERROR(VLOOKUP($C313,装備品!$1:$998,COLUMN(R$1),FALSE),"")</f>
        <v/>
      </c>
      <c r="V313" t="str">
        <f>IFERROR(VLOOKUP($C313,装備品!$1:$998,COLUMN(Q$1),FALSE),"")</f>
        <v/>
      </c>
      <c r="W313" t="str">
        <f>IFERROR(VLOOKUP($C313,装備品!$1:$998,COLUMN(T$1),FALSE),"")</f>
        <v/>
      </c>
      <c r="Y313" t="str">
        <f>IFERROR(VLOOKUP($C313,装備品!$1:$998,COLUMN(U$1),FALSE),"")</f>
        <v/>
      </c>
      <c r="Z313" t="str">
        <f>IFERROR(ROUNDUP(VLOOKUP($C313,装備品!$1:$998,COLUMN(O$1),FALSE)*VLOOKUP($D313,素材!$1:$1016,COLUMN(E$1),FALSE),1),"")</f>
        <v/>
      </c>
      <c r="AA313">
        <f>IF(ISNUMBER(SEARCH(SUBSTITUTE(AA$1,RIGHT(AA$1,2),""),VLOOKUP($D313,素材!$1:$1016,COLUMN($F$1),FALSE))),VLOOKUP($C313,装備品!$1:$998,COLUMN($O$1),FALSE)*VLOOKUP($D313,素材!$1:$1016,COLUMN($E$1),FALSE)/(LEN(VLOOKUP($D313,素材!$1:$1016,COLUMN($F$1),FALSE))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IFERROR(VLOOKUP($C313,装備品!$1:$998,COLUMN(V$1),FALSE)*VLOOKUP($D313,素材!$1:$1016,COLUMN(N$1),FALSE)+IF(CI313="",0,VLOOKUP($CI313,付与!$1:$1176,COLUMN($CK$1),FALSE)),"")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IFERROR(IF(CI314="",VLOOKUP($D314,素材!$1:$1016,COLUMN($B$1),FALSE)&amp;"・"&amp;VLOOKUP($C314,装備品!$1:$998,COLUMN(B$1),FALSE),VLOOKUP($CI314,付与!$1:$1176,COLUMN($B$1),FALSE)&amp;"・"&amp;VLOOKUP($C314,装備品!$1:$998,COLUMN(B$1),FALSE)),"")</f>
        <v/>
      </c>
      <c r="C314" s="24"/>
      <c r="D314" s="24"/>
      <c r="E314" t="str">
        <f>IFERROR(VLOOKUP(C314,装備品!$1:$998,COLUMN(C$1),FALSE),"")</f>
        <v/>
      </c>
      <c r="F314" t="str">
        <f>IFERROR(ROUNDDOWN((VLOOKUP($C314,装備品!$1:$998,COLUMN(D$1),FALSE)+IFERROR(VLOOKUP($CI314,付与!$1:$1167,COLUMN(F$1),FALSE),0))*VLOOKUP($D314,素材!$1:$1016,COLUMN(D$1),FALSE),0),"")</f>
        <v/>
      </c>
      <c r="G314" t="str">
        <f>IFERROR(ROUNDDOWN((VLOOKUP($C314,装備品!$1:$998,COLUMN(E$1),FALSE)+IFERROR(VLOOKUP($CI314,付与!$1:$1167,COLUMN(G$1),FALSE),0))*VLOOKUP($D314,素材!$1:$1016,COLUMN($E$1),FALSE),0),"")</f>
        <v/>
      </c>
      <c r="H314" t="str">
        <f>IFERROR(ROUNDDOWN((VLOOKUP($C314,装備品!$1:$998,COLUMN(F$1),FALSE)+IFERROR(VLOOKUP($CI314,付与!$1:$1167,COLUMN(H$1),FALSE),0))*VLOOKUP($D314,素材!$1:$1016,COLUMN($E$1),FALSE),0),"")</f>
        <v/>
      </c>
      <c r="I314" t="str">
        <f>IFERROR(ROUNDDOWN((VLOOKUP($C314,装備品!$1:$998,COLUMN(G$1),FALSE)+IFERROR(VLOOKUP($CI314,付与!$1:$1167,COLUMN(I$1),FALSE),0))*VLOOKUP($D314,素材!$1:$1016,COLUMN($E$1),FALSE),0),"")</f>
        <v/>
      </c>
      <c r="J314" t="str">
        <f>IFERROR(ROUNDDOWN((VLOOKUP($C314,装備品!$1:$998,COLUMN(H$1),FALSE)+IFERROR(VLOOKUP($CI314,付与!$1:$1167,COLUMN(J$1),FALSE),0))*VLOOKUP($D314,素材!$1:$1016,COLUMN($E$1),FALSE),0),"")</f>
        <v/>
      </c>
      <c r="K314" t="str">
        <f>IFERROR(ROUNDDOWN((VLOOKUP($C314,装備品!$1:$998,COLUMN(I$1),FALSE)+IFERROR(VLOOKUP($CI314,付与!$1:$1167,COLUMN(K$1),FALSE),0))*VLOOKUP($D314,素材!$1:$1016,COLUMN($E$1),FALSE),0),"")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IFERROR(VLOOKUP($C314,装備品!$1:$998,COLUMN(AA$1),FALSE)*VLOOKUP($D314,素材!$1:$1016,COLUMN($G$1),FALSE),"")</f>
        <v/>
      </c>
      <c r="N314" t="str">
        <f>IFERROR(VLOOKUP($C314,装備品!$1:$998,COLUMN(I$1),FALSE),"")</f>
        <v/>
      </c>
      <c r="O314" s="23" t="str">
        <f>IFERROR((VLOOKUP($C314,装備品!$1:$998,COLUMN(K$1),FALSE)+VLOOKUP($D314,素材!$1:$1016,COLUMN(H$1),FALSE))*100+IFERROR(VLOOKUP($CI314,付与!$1:$1167,COLUMN(O$1),FALSE),0),"")</f>
        <v/>
      </c>
      <c r="P314" s="23" t="str">
        <f>IFERROR((VLOOKUP($C314,装備品!$1:$998,COLUMN(L$1),FALSE)+VLOOKUP($D314,素材!$1:$1016,COLUMN(I$1),FALSE))*100+IFERROR(VLOOKUP($CI314,付与!$1:$1167,COLUMN(P$1),FALSE),0),"")</f>
        <v/>
      </c>
      <c r="Q314" t="str">
        <f>IFERROR(ROUNDUP(VLOOKUP($C314,装備品!$1:$998,COLUMN(M$1),FALSE)*(VLOOKUP($D314,素材!$1:$1002,COLUMN(D$1),FALSE)/100),1),"")</f>
        <v/>
      </c>
      <c r="R314" t="str">
        <f>IFERROR(ROUNDUP(VLOOKUP($C314,装備品!$1:$998,COLUMN(N$1),FALSE)*(VLOOKUP($D314,素材!$1:$1002,COLUMN(D$1),FALSE)/100),1),"")</f>
        <v/>
      </c>
      <c r="S314" t="str">
        <f>IFERROR(VLOOKUP($C314,装備品!$1:$998,COLUMN(P$1),FALSE),"")</f>
        <v/>
      </c>
      <c r="T314" t="str">
        <f>IFERROR(VLOOKUP($C314,装備品!$1:$998,COLUMN(Q$1),FALSE),"")</f>
        <v/>
      </c>
      <c r="U314" t="str">
        <f>IFERROR(VLOOKUP($C314,装備品!$1:$998,COLUMN(R$1),FALSE),"")</f>
        <v/>
      </c>
      <c r="V314" t="str">
        <f>IFERROR(VLOOKUP($C314,装備品!$1:$998,COLUMN(Q$1),FALSE),"")</f>
        <v/>
      </c>
      <c r="W314" t="str">
        <f>IFERROR(VLOOKUP($C314,装備品!$1:$998,COLUMN(T$1),FALSE),"")</f>
        <v/>
      </c>
      <c r="Y314" t="str">
        <f>IFERROR(VLOOKUP($C314,装備品!$1:$998,COLUMN(U$1),FALSE),"")</f>
        <v/>
      </c>
      <c r="Z314" t="str">
        <f>IFERROR(ROUNDUP(VLOOKUP($C314,装備品!$1:$998,COLUMN(O$1),FALSE)*VLOOKUP($D314,素材!$1:$1016,COLUMN(E$1),FALSE),1),"")</f>
        <v/>
      </c>
      <c r="AA314">
        <f>IF(ISNUMBER(SEARCH(SUBSTITUTE(AA$1,RIGHT(AA$1,2),""),VLOOKUP($D314,素材!$1:$1016,COLUMN($F$1),FALSE))),VLOOKUP($C314,装備品!$1:$998,COLUMN($O$1),FALSE)*VLOOKUP($D314,素材!$1:$1016,COLUMN($E$1),FALSE)/(LEN(VLOOKUP($D314,素材!$1:$1016,COLUMN($F$1),FALSE))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IFERROR(VLOOKUP($C314,装備品!$1:$998,COLUMN(V$1),FALSE)*VLOOKUP($D314,素材!$1:$1016,COLUMN(N$1),FALSE)+IF(CI314="",0,VLOOKUP($CI314,付与!$1:$1176,COLUMN($CK$1),FALSE)),"")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IFERROR(IF(CI315="",VLOOKUP($D315,素材!$1:$1016,COLUMN($B$1),FALSE)&amp;"・"&amp;VLOOKUP($C315,装備品!$1:$998,COLUMN(B$1),FALSE),VLOOKUP($CI315,付与!$1:$1176,COLUMN($B$1),FALSE)&amp;"・"&amp;VLOOKUP($C315,装備品!$1:$998,COLUMN(B$1),FALSE)),"")</f>
        <v/>
      </c>
      <c r="C315" s="24"/>
      <c r="D315" s="24"/>
      <c r="E315" t="str">
        <f>IFERROR(VLOOKUP(C315,装備品!$1:$998,COLUMN(C$1),FALSE),"")</f>
        <v/>
      </c>
      <c r="F315" t="str">
        <f>IFERROR(ROUNDDOWN((VLOOKUP($C315,装備品!$1:$998,COLUMN(D$1),FALSE)+IFERROR(VLOOKUP($CI315,付与!$1:$1167,COLUMN(F$1),FALSE),0))*VLOOKUP($D315,素材!$1:$1016,COLUMN(D$1),FALSE),0),"")</f>
        <v/>
      </c>
      <c r="G315" t="str">
        <f>IFERROR(ROUNDDOWN((VLOOKUP($C315,装備品!$1:$998,COLUMN(E$1),FALSE)+IFERROR(VLOOKUP($CI315,付与!$1:$1167,COLUMN(G$1),FALSE),0))*VLOOKUP($D315,素材!$1:$1016,COLUMN($E$1),FALSE),0),"")</f>
        <v/>
      </c>
      <c r="H315" t="str">
        <f>IFERROR(ROUNDDOWN((VLOOKUP($C315,装備品!$1:$998,COLUMN(F$1),FALSE)+IFERROR(VLOOKUP($CI315,付与!$1:$1167,COLUMN(H$1),FALSE),0))*VLOOKUP($D315,素材!$1:$1016,COLUMN($E$1),FALSE),0),"")</f>
        <v/>
      </c>
      <c r="I315" t="str">
        <f>IFERROR(ROUNDDOWN((VLOOKUP($C315,装備品!$1:$998,COLUMN(G$1),FALSE)+IFERROR(VLOOKUP($CI315,付与!$1:$1167,COLUMN(I$1),FALSE),0))*VLOOKUP($D315,素材!$1:$1016,COLUMN($E$1),FALSE),0),"")</f>
        <v/>
      </c>
      <c r="J315" t="str">
        <f>IFERROR(ROUNDDOWN((VLOOKUP($C315,装備品!$1:$998,COLUMN(H$1),FALSE)+IFERROR(VLOOKUP($CI315,付与!$1:$1167,COLUMN(J$1),FALSE),0))*VLOOKUP($D315,素材!$1:$1016,COLUMN($E$1),FALSE),0),"")</f>
        <v/>
      </c>
      <c r="K315" t="str">
        <f>IFERROR(ROUNDDOWN((VLOOKUP($C315,装備品!$1:$998,COLUMN(I$1),FALSE)+IFERROR(VLOOKUP($CI315,付与!$1:$1167,COLUMN(K$1),FALSE),0))*VLOOKUP($D315,素材!$1:$1016,COLUMN($E$1),FALSE),0),"")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IFERROR(VLOOKUP($C315,装備品!$1:$998,COLUMN(AA$1),FALSE)*VLOOKUP($D315,素材!$1:$1016,COLUMN($G$1),FALSE),"")</f>
        <v/>
      </c>
      <c r="N315" t="str">
        <f>IFERROR(VLOOKUP($C315,装備品!$1:$998,COLUMN(I$1),FALSE),"")</f>
        <v/>
      </c>
      <c r="O315" s="23" t="str">
        <f>IFERROR((VLOOKUP($C315,装備品!$1:$998,COLUMN(K$1),FALSE)+VLOOKUP($D315,素材!$1:$1016,COLUMN(H$1),FALSE))*100+IFERROR(VLOOKUP($CI315,付与!$1:$1167,COLUMN(O$1),FALSE),0),"")</f>
        <v/>
      </c>
      <c r="P315" s="23" t="str">
        <f>IFERROR((VLOOKUP($C315,装備品!$1:$998,COLUMN(L$1),FALSE)+VLOOKUP($D315,素材!$1:$1016,COLUMN(I$1),FALSE))*100+IFERROR(VLOOKUP($CI315,付与!$1:$1167,COLUMN(P$1),FALSE),0),"")</f>
        <v/>
      </c>
      <c r="Q315" t="str">
        <f>IFERROR(ROUNDUP(VLOOKUP($C315,装備品!$1:$998,COLUMN(M$1),FALSE)*(VLOOKUP($D315,素材!$1:$1002,COLUMN(D$1),FALSE)/100),1),"")</f>
        <v/>
      </c>
      <c r="R315" t="str">
        <f>IFERROR(ROUNDUP(VLOOKUP($C315,装備品!$1:$998,COLUMN(N$1),FALSE)*(VLOOKUP($D315,素材!$1:$1002,COLUMN(D$1),FALSE)/100),1),"")</f>
        <v/>
      </c>
      <c r="S315" t="str">
        <f>IFERROR(VLOOKUP($C315,装備品!$1:$998,COLUMN(P$1),FALSE),"")</f>
        <v/>
      </c>
      <c r="T315" t="str">
        <f>IFERROR(VLOOKUP($C315,装備品!$1:$998,COLUMN(Q$1),FALSE),"")</f>
        <v/>
      </c>
      <c r="U315" t="str">
        <f>IFERROR(VLOOKUP($C315,装備品!$1:$998,COLUMN(R$1),FALSE),"")</f>
        <v/>
      </c>
      <c r="V315" t="str">
        <f>IFERROR(VLOOKUP($C315,装備品!$1:$998,COLUMN(Q$1),FALSE),"")</f>
        <v/>
      </c>
      <c r="W315" t="str">
        <f>IFERROR(VLOOKUP($C315,装備品!$1:$998,COLUMN(T$1),FALSE),"")</f>
        <v/>
      </c>
      <c r="Y315" t="str">
        <f>IFERROR(VLOOKUP($C315,装備品!$1:$998,COLUMN(U$1),FALSE),"")</f>
        <v/>
      </c>
      <c r="Z315" t="str">
        <f>IFERROR(ROUNDUP(VLOOKUP($C315,装備品!$1:$998,COLUMN(O$1),FALSE)*VLOOKUP($D315,素材!$1:$1016,COLUMN(E$1),FALSE),1),"")</f>
        <v/>
      </c>
      <c r="AA315">
        <f>IF(ISNUMBER(SEARCH(SUBSTITUTE(AA$1,RIGHT(AA$1,2),""),VLOOKUP($D315,素材!$1:$1016,COLUMN($F$1),FALSE))),VLOOKUP($C315,装備品!$1:$998,COLUMN($O$1),FALSE)*VLOOKUP($D315,素材!$1:$1016,COLUMN($E$1),FALSE)/(LEN(VLOOKUP($D315,素材!$1:$1016,COLUMN($F$1),FALSE))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IFERROR(VLOOKUP($C315,装備品!$1:$998,COLUMN(V$1),FALSE)*VLOOKUP($D315,素材!$1:$1016,COLUMN(N$1),FALSE)+IF(CI315="",0,VLOOKUP($CI315,付与!$1:$1176,COLUMN($CK$1),FALSE)),"")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IFERROR(IF(CI316="",VLOOKUP($D316,素材!$1:$1016,COLUMN($B$1),FALSE)&amp;"・"&amp;VLOOKUP($C316,装備品!$1:$998,COLUMN(B$1),FALSE),VLOOKUP($CI316,付与!$1:$1176,COLUMN($B$1),FALSE)&amp;"・"&amp;VLOOKUP($C316,装備品!$1:$998,COLUMN(B$1),FALSE)),"")</f>
        <v/>
      </c>
      <c r="C316" s="24"/>
      <c r="D316" s="24"/>
      <c r="E316" t="str">
        <f>IFERROR(VLOOKUP(C316,装備品!$1:$998,COLUMN(C$1),FALSE),"")</f>
        <v/>
      </c>
      <c r="F316" t="str">
        <f>IFERROR(ROUNDDOWN((VLOOKUP($C316,装備品!$1:$998,COLUMN(D$1),FALSE)+IFERROR(VLOOKUP($CI316,付与!$1:$1167,COLUMN(F$1),FALSE),0))*VLOOKUP($D316,素材!$1:$1016,COLUMN(D$1),FALSE),0),"")</f>
        <v/>
      </c>
      <c r="G316" t="str">
        <f>IFERROR(ROUNDDOWN((VLOOKUP($C316,装備品!$1:$998,COLUMN(E$1),FALSE)+IFERROR(VLOOKUP($CI316,付与!$1:$1167,COLUMN(G$1),FALSE),0))*VLOOKUP($D316,素材!$1:$1016,COLUMN($E$1),FALSE),0),"")</f>
        <v/>
      </c>
      <c r="H316" t="str">
        <f>IFERROR(ROUNDDOWN((VLOOKUP($C316,装備品!$1:$998,COLUMN(F$1),FALSE)+IFERROR(VLOOKUP($CI316,付与!$1:$1167,COLUMN(H$1),FALSE),0))*VLOOKUP($D316,素材!$1:$1016,COLUMN($E$1),FALSE),0),"")</f>
        <v/>
      </c>
      <c r="I316" t="str">
        <f>IFERROR(ROUNDDOWN((VLOOKUP($C316,装備品!$1:$998,COLUMN(G$1),FALSE)+IFERROR(VLOOKUP($CI316,付与!$1:$1167,COLUMN(I$1),FALSE),0))*VLOOKUP($D316,素材!$1:$1016,COLUMN($E$1),FALSE),0),"")</f>
        <v/>
      </c>
      <c r="J316" t="str">
        <f>IFERROR(ROUNDDOWN((VLOOKUP($C316,装備品!$1:$998,COLUMN(H$1),FALSE)+IFERROR(VLOOKUP($CI316,付与!$1:$1167,COLUMN(J$1),FALSE),0))*VLOOKUP($D316,素材!$1:$1016,COLUMN($E$1),FALSE),0),"")</f>
        <v/>
      </c>
      <c r="K316" t="str">
        <f>IFERROR(ROUNDDOWN((VLOOKUP($C316,装備品!$1:$998,COLUMN(I$1),FALSE)+IFERROR(VLOOKUP($CI316,付与!$1:$1167,COLUMN(K$1),FALSE),0))*VLOOKUP($D316,素材!$1:$1016,COLUMN($E$1),FALSE),0),"")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IFERROR(VLOOKUP($C316,装備品!$1:$998,COLUMN(AA$1),FALSE)*VLOOKUP($D316,素材!$1:$1016,COLUMN($G$1),FALSE),"")</f>
        <v/>
      </c>
      <c r="N316" t="str">
        <f>IFERROR(VLOOKUP($C316,装備品!$1:$998,COLUMN(I$1),FALSE),"")</f>
        <v/>
      </c>
      <c r="O316" s="23" t="str">
        <f>IFERROR((VLOOKUP($C316,装備品!$1:$998,COLUMN(K$1),FALSE)+VLOOKUP($D316,素材!$1:$1016,COLUMN(H$1),FALSE))*100+IFERROR(VLOOKUP($CI316,付与!$1:$1167,COLUMN(O$1),FALSE),0),"")</f>
        <v/>
      </c>
      <c r="P316" s="23" t="str">
        <f>IFERROR((VLOOKUP($C316,装備品!$1:$998,COLUMN(L$1),FALSE)+VLOOKUP($D316,素材!$1:$1016,COLUMN(I$1),FALSE))*100+IFERROR(VLOOKUP($CI316,付与!$1:$1167,COLUMN(P$1),FALSE),0),"")</f>
        <v/>
      </c>
      <c r="Q316" t="str">
        <f>IFERROR(ROUNDUP(VLOOKUP($C316,装備品!$1:$998,COLUMN(M$1),FALSE)*(VLOOKUP($D316,素材!$1:$1002,COLUMN(D$1),FALSE)/100),1),"")</f>
        <v/>
      </c>
      <c r="R316" t="str">
        <f>IFERROR(ROUNDUP(VLOOKUP($C316,装備品!$1:$998,COLUMN(N$1),FALSE)*(VLOOKUP($D316,素材!$1:$1002,COLUMN(D$1),FALSE)/100),1),"")</f>
        <v/>
      </c>
      <c r="S316" t="str">
        <f>IFERROR(VLOOKUP($C316,装備品!$1:$998,COLUMN(P$1),FALSE),"")</f>
        <v/>
      </c>
      <c r="T316" t="str">
        <f>IFERROR(VLOOKUP($C316,装備品!$1:$998,COLUMN(Q$1),FALSE),"")</f>
        <v/>
      </c>
      <c r="U316" t="str">
        <f>IFERROR(VLOOKUP($C316,装備品!$1:$998,COLUMN(R$1),FALSE),"")</f>
        <v/>
      </c>
      <c r="V316" t="str">
        <f>IFERROR(VLOOKUP($C316,装備品!$1:$998,COLUMN(Q$1),FALSE),"")</f>
        <v/>
      </c>
      <c r="W316" t="str">
        <f>IFERROR(VLOOKUP($C316,装備品!$1:$998,COLUMN(T$1),FALSE),"")</f>
        <v/>
      </c>
      <c r="Y316" t="str">
        <f>IFERROR(VLOOKUP($C316,装備品!$1:$998,COLUMN(U$1),FALSE),"")</f>
        <v/>
      </c>
      <c r="Z316" t="str">
        <f>IFERROR(ROUNDUP(VLOOKUP($C316,装備品!$1:$998,COLUMN(O$1),FALSE)*VLOOKUP($D316,素材!$1:$1016,COLUMN(E$1),FALSE),1),"")</f>
        <v/>
      </c>
      <c r="AA316">
        <f>IF(ISNUMBER(SEARCH(SUBSTITUTE(AA$1,RIGHT(AA$1,2),""),VLOOKUP($D316,素材!$1:$1016,COLUMN($F$1),FALSE))),VLOOKUP($C316,装備品!$1:$998,COLUMN($O$1),FALSE)*VLOOKUP($D316,素材!$1:$1016,COLUMN($E$1),FALSE)/(LEN(VLOOKUP($D316,素材!$1:$1016,COLUMN($F$1),FALSE))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IFERROR(VLOOKUP($C316,装備品!$1:$998,COLUMN(V$1),FALSE)*VLOOKUP($D316,素材!$1:$1016,COLUMN(N$1),FALSE)+IF(CI316="",0,VLOOKUP($CI316,付与!$1:$1176,COLUMN($CK$1),FALSE)),"")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IFERROR(IF(CI317="",VLOOKUP($D317,素材!$1:$1016,COLUMN($B$1),FALSE)&amp;"・"&amp;VLOOKUP($C317,装備品!$1:$998,COLUMN(B$1),FALSE),VLOOKUP($CI317,付与!$1:$1176,COLUMN($B$1),FALSE)&amp;"・"&amp;VLOOKUP($C317,装備品!$1:$998,COLUMN(B$1),FALSE)),"")</f>
        <v/>
      </c>
      <c r="C317" s="24"/>
      <c r="D317" s="24"/>
      <c r="E317" t="str">
        <f>IFERROR(VLOOKUP(C317,装備品!$1:$998,COLUMN(C$1),FALSE),"")</f>
        <v/>
      </c>
      <c r="F317" t="str">
        <f>IFERROR(ROUNDDOWN((VLOOKUP($C317,装備品!$1:$998,COLUMN(D$1),FALSE)+IFERROR(VLOOKUP($CI317,付与!$1:$1167,COLUMN(F$1),FALSE),0))*VLOOKUP($D317,素材!$1:$1016,COLUMN(D$1),FALSE),0),"")</f>
        <v/>
      </c>
      <c r="G317" t="str">
        <f>IFERROR(ROUNDDOWN((VLOOKUP($C317,装備品!$1:$998,COLUMN(E$1),FALSE)+IFERROR(VLOOKUP($CI317,付与!$1:$1167,COLUMN(G$1),FALSE),0))*VLOOKUP($D317,素材!$1:$1016,COLUMN($E$1),FALSE),0),"")</f>
        <v/>
      </c>
      <c r="H317" t="str">
        <f>IFERROR(ROUNDDOWN((VLOOKUP($C317,装備品!$1:$998,COLUMN(F$1),FALSE)+IFERROR(VLOOKUP($CI317,付与!$1:$1167,COLUMN(H$1),FALSE),0))*VLOOKUP($D317,素材!$1:$1016,COLUMN($E$1),FALSE),0),"")</f>
        <v/>
      </c>
      <c r="I317" t="str">
        <f>IFERROR(ROUNDDOWN((VLOOKUP($C317,装備品!$1:$998,COLUMN(G$1),FALSE)+IFERROR(VLOOKUP($CI317,付与!$1:$1167,COLUMN(I$1),FALSE),0))*VLOOKUP($D317,素材!$1:$1016,COLUMN($E$1),FALSE),0),"")</f>
        <v/>
      </c>
      <c r="J317" t="str">
        <f>IFERROR(ROUNDDOWN((VLOOKUP($C317,装備品!$1:$998,COLUMN(H$1),FALSE)+IFERROR(VLOOKUP($CI317,付与!$1:$1167,COLUMN(J$1),FALSE),0))*VLOOKUP($D317,素材!$1:$1016,COLUMN($E$1),FALSE),0),"")</f>
        <v/>
      </c>
      <c r="K317" t="str">
        <f>IFERROR(ROUNDDOWN((VLOOKUP($C317,装備品!$1:$998,COLUMN(I$1),FALSE)+IFERROR(VLOOKUP($CI317,付与!$1:$1167,COLUMN(K$1),FALSE),0))*VLOOKUP($D317,素材!$1:$1016,COLUMN($E$1),FALSE),0),"")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IFERROR(VLOOKUP($C317,装備品!$1:$998,COLUMN(AA$1),FALSE)*VLOOKUP($D317,素材!$1:$1016,COLUMN($G$1),FALSE),"")</f>
        <v/>
      </c>
      <c r="N317" t="str">
        <f>IFERROR(VLOOKUP($C317,装備品!$1:$998,COLUMN(I$1),FALSE),"")</f>
        <v/>
      </c>
      <c r="O317" s="23" t="str">
        <f>IFERROR((VLOOKUP($C317,装備品!$1:$998,COLUMN(K$1),FALSE)+VLOOKUP($D317,素材!$1:$1016,COLUMN(H$1),FALSE))*100+IFERROR(VLOOKUP($CI317,付与!$1:$1167,COLUMN(O$1),FALSE),0),"")</f>
        <v/>
      </c>
      <c r="P317" s="23" t="str">
        <f>IFERROR((VLOOKUP($C317,装備品!$1:$998,COLUMN(L$1),FALSE)+VLOOKUP($D317,素材!$1:$1016,COLUMN(I$1),FALSE))*100+IFERROR(VLOOKUP($CI317,付与!$1:$1167,COLUMN(P$1),FALSE),0),"")</f>
        <v/>
      </c>
      <c r="Q317" t="str">
        <f>IFERROR(ROUNDUP(VLOOKUP($C317,装備品!$1:$998,COLUMN(M$1),FALSE)*(VLOOKUP($D317,素材!$1:$1002,COLUMN(D$1),FALSE)/100),1),"")</f>
        <v/>
      </c>
      <c r="R317" t="str">
        <f>IFERROR(ROUNDUP(VLOOKUP($C317,装備品!$1:$998,COLUMN(N$1),FALSE)*(VLOOKUP($D317,素材!$1:$1002,COLUMN(D$1),FALSE)/100),1),"")</f>
        <v/>
      </c>
      <c r="S317" t="str">
        <f>IFERROR(VLOOKUP($C317,装備品!$1:$998,COLUMN(P$1),FALSE),"")</f>
        <v/>
      </c>
      <c r="T317" t="str">
        <f>IFERROR(VLOOKUP($C317,装備品!$1:$998,COLUMN(Q$1),FALSE),"")</f>
        <v/>
      </c>
      <c r="U317" t="str">
        <f>IFERROR(VLOOKUP($C317,装備品!$1:$998,COLUMN(R$1),FALSE),"")</f>
        <v/>
      </c>
      <c r="V317" t="str">
        <f>IFERROR(VLOOKUP($C317,装備品!$1:$998,COLUMN(Q$1),FALSE),"")</f>
        <v/>
      </c>
      <c r="W317" t="str">
        <f>IFERROR(VLOOKUP($C317,装備品!$1:$998,COLUMN(T$1),FALSE),"")</f>
        <v/>
      </c>
      <c r="Y317" t="str">
        <f>IFERROR(VLOOKUP($C317,装備品!$1:$998,COLUMN(U$1),FALSE),"")</f>
        <v/>
      </c>
      <c r="Z317" t="str">
        <f>IFERROR(ROUNDUP(VLOOKUP($C317,装備品!$1:$998,COLUMN(O$1),FALSE)*VLOOKUP($D317,素材!$1:$1016,COLUMN(E$1),FALSE),1),"")</f>
        <v/>
      </c>
      <c r="AA317">
        <f>IF(ISNUMBER(SEARCH(SUBSTITUTE(AA$1,RIGHT(AA$1,2),""),VLOOKUP($D317,素材!$1:$1016,COLUMN($F$1),FALSE))),VLOOKUP($C317,装備品!$1:$998,COLUMN($O$1),FALSE)*VLOOKUP($D317,素材!$1:$1016,COLUMN($E$1),FALSE)/(LEN(VLOOKUP($D317,素材!$1:$1016,COLUMN($F$1),FALSE))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IFERROR(VLOOKUP($C317,装備品!$1:$998,COLUMN(V$1),FALSE)*VLOOKUP($D317,素材!$1:$1016,COLUMN(N$1),FALSE)+IF(CI317="",0,VLOOKUP($CI317,付与!$1:$1176,COLUMN($CK$1),FALSE)),"")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IFERROR(IF(CI318="",VLOOKUP($D318,素材!$1:$1016,COLUMN($B$1),FALSE)&amp;"・"&amp;VLOOKUP($C318,装備品!$1:$998,COLUMN(B$1),FALSE),VLOOKUP($CI318,付与!$1:$1176,COLUMN($B$1),FALSE)&amp;"・"&amp;VLOOKUP($C318,装備品!$1:$998,COLUMN(B$1),FALSE)),"")</f>
        <v/>
      </c>
      <c r="C318" s="24"/>
      <c r="D318" s="24"/>
      <c r="E318" t="str">
        <f>IFERROR(VLOOKUP(C318,装備品!$1:$998,COLUMN(C$1),FALSE),"")</f>
        <v/>
      </c>
      <c r="F318" t="str">
        <f>IFERROR(ROUNDDOWN((VLOOKUP($C318,装備品!$1:$998,COLUMN(D$1),FALSE)+IFERROR(VLOOKUP($CI318,付与!$1:$1167,COLUMN(F$1),FALSE),0))*VLOOKUP($D318,素材!$1:$1016,COLUMN(D$1),FALSE),0),"")</f>
        <v/>
      </c>
      <c r="G318" t="str">
        <f>IFERROR(ROUNDDOWN((VLOOKUP($C318,装備品!$1:$998,COLUMN(E$1),FALSE)+IFERROR(VLOOKUP($CI318,付与!$1:$1167,COLUMN(G$1),FALSE),0))*VLOOKUP($D318,素材!$1:$1016,COLUMN($E$1),FALSE),0),"")</f>
        <v/>
      </c>
      <c r="H318" t="str">
        <f>IFERROR(ROUNDDOWN((VLOOKUP($C318,装備品!$1:$998,COLUMN(F$1),FALSE)+IFERROR(VLOOKUP($CI318,付与!$1:$1167,COLUMN(H$1),FALSE),0))*VLOOKUP($D318,素材!$1:$1016,COLUMN($E$1),FALSE),0),"")</f>
        <v/>
      </c>
      <c r="I318" t="str">
        <f>IFERROR(ROUNDDOWN((VLOOKUP($C318,装備品!$1:$998,COLUMN(G$1),FALSE)+IFERROR(VLOOKUP($CI318,付与!$1:$1167,COLUMN(I$1),FALSE),0))*VLOOKUP($D318,素材!$1:$1016,COLUMN($E$1),FALSE),0),"")</f>
        <v/>
      </c>
      <c r="J318" t="str">
        <f>IFERROR(ROUNDDOWN((VLOOKUP($C318,装備品!$1:$998,COLUMN(H$1),FALSE)+IFERROR(VLOOKUP($CI318,付与!$1:$1167,COLUMN(J$1),FALSE),0))*VLOOKUP($D318,素材!$1:$1016,COLUMN($E$1),FALSE),0),"")</f>
        <v/>
      </c>
      <c r="K318" t="str">
        <f>IFERROR(ROUNDDOWN((VLOOKUP($C318,装備品!$1:$998,COLUMN(I$1),FALSE)+IFERROR(VLOOKUP($CI318,付与!$1:$1167,COLUMN(K$1),FALSE),0))*VLOOKUP($D318,素材!$1:$1016,COLUMN($E$1),FALSE),0),"")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IFERROR(VLOOKUP($C318,装備品!$1:$998,COLUMN(AA$1),FALSE)*VLOOKUP($D318,素材!$1:$1016,COLUMN($G$1),FALSE),"")</f>
        <v/>
      </c>
      <c r="N318" t="str">
        <f>IFERROR(VLOOKUP($C318,装備品!$1:$998,COLUMN(I$1),FALSE),"")</f>
        <v/>
      </c>
      <c r="O318" s="23" t="str">
        <f>IFERROR((VLOOKUP($C318,装備品!$1:$998,COLUMN(K$1),FALSE)+VLOOKUP($D318,素材!$1:$1016,COLUMN(H$1),FALSE))*100+IFERROR(VLOOKUP($CI318,付与!$1:$1167,COLUMN(O$1),FALSE),0),"")</f>
        <v/>
      </c>
      <c r="P318" s="23" t="str">
        <f>IFERROR((VLOOKUP($C318,装備品!$1:$998,COLUMN(L$1),FALSE)+VLOOKUP($D318,素材!$1:$1016,COLUMN(I$1),FALSE))*100+IFERROR(VLOOKUP($CI318,付与!$1:$1167,COLUMN(P$1),FALSE),0),"")</f>
        <v/>
      </c>
      <c r="Q318" t="str">
        <f>IFERROR(ROUNDUP(VLOOKUP($C318,装備品!$1:$998,COLUMN(M$1),FALSE)*(VLOOKUP($D318,素材!$1:$1002,COLUMN(D$1),FALSE)/100),1),"")</f>
        <v/>
      </c>
      <c r="R318" t="str">
        <f>IFERROR(ROUNDUP(VLOOKUP($C318,装備品!$1:$998,COLUMN(N$1),FALSE)*(VLOOKUP($D318,素材!$1:$1002,COLUMN(D$1),FALSE)/100),1),"")</f>
        <v/>
      </c>
      <c r="S318" t="str">
        <f>IFERROR(VLOOKUP($C318,装備品!$1:$998,COLUMN(P$1),FALSE),"")</f>
        <v/>
      </c>
      <c r="T318" t="str">
        <f>IFERROR(VLOOKUP($C318,装備品!$1:$998,COLUMN(Q$1),FALSE),"")</f>
        <v/>
      </c>
      <c r="U318" t="str">
        <f>IFERROR(VLOOKUP($C318,装備品!$1:$998,COLUMN(R$1),FALSE),"")</f>
        <v/>
      </c>
      <c r="V318" t="str">
        <f>IFERROR(VLOOKUP($C318,装備品!$1:$998,COLUMN(Q$1),FALSE),"")</f>
        <v/>
      </c>
      <c r="W318" t="str">
        <f>IFERROR(VLOOKUP($C318,装備品!$1:$998,COLUMN(T$1),FALSE),"")</f>
        <v/>
      </c>
      <c r="Y318" t="str">
        <f>IFERROR(VLOOKUP($C318,装備品!$1:$998,COLUMN(U$1),FALSE),"")</f>
        <v/>
      </c>
      <c r="Z318" t="str">
        <f>IFERROR(ROUNDUP(VLOOKUP($C318,装備品!$1:$998,COLUMN(O$1),FALSE)*VLOOKUP($D318,素材!$1:$1016,COLUMN(E$1),FALSE),1),"")</f>
        <v/>
      </c>
      <c r="AA318">
        <f>IF(ISNUMBER(SEARCH(SUBSTITUTE(AA$1,RIGHT(AA$1,2),""),VLOOKUP($D318,素材!$1:$1016,COLUMN($F$1),FALSE))),VLOOKUP($C318,装備品!$1:$998,COLUMN($O$1),FALSE)*VLOOKUP($D318,素材!$1:$1016,COLUMN($E$1),FALSE)/(LEN(VLOOKUP($D318,素材!$1:$1016,COLUMN($F$1),FALSE))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IFERROR(VLOOKUP($C318,装備品!$1:$998,COLUMN(V$1),FALSE)*VLOOKUP($D318,素材!$1:$1016,COLUMN(N$1),FALSE)+IF(CI318="",0,VLOOKUP($CI318,付与!$1:$1176,COLUMN($CK$1),FALSE)),"")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IFERROR(IF(CI319="",VLOOKUP($D319,素材!$1:$1016,COLUMN($B$1),FALSE)&amp;"・"&amp;VLOOKUP($C319,装備品!$1:$998,COLUMN(B$1),FALSE),VLOOKUP($CI319,付与!$1:$1176,COLUMN($B$1),FALSE)&amp;"・"&amp;VLOOKUP($C319,装備品!$1:$998,COLUMN(B$1),FALSE)),"")</f>
        <v/>
      </c>
      <c r="C319" s="24"/>
      <c r="D319" s="24"/>
      <c r="E319" t="str">
        <f>IFERROR(VLOOKUP(C319,装備品!$1:$998,COLUMN(C$1),FALSE),"")</f>
        <v/>
      </c>
      <c r="F319" t="str">
        <f>IFERROR(ROUNDDOWN((VLOOKUP($C319,装備品!$1:$998,COLUMN(D$1),FALSE)+IFERROR(VLOOKUP($CI319,付与!$1:$1167,COLUMN(F$1),FALSE),0))*VLOOKUP($D319,素材!$1:$1016,COLUMN(D$1),FALSE),0),"")</f>
        <v/>
      </c>
      <c r="G319" t="str">
        <f>IFERROR(ROUNDDOWN((VLOOKUP($C319,装備品!$1:$998,COLUMN(E$1),FALSE)+IFERROR(VLOOKUP($CI319,付与!$1:$1167,COLUMN(G$1),FALSE),0))*VLOOKUP($D319,素材!$1:$1016,COLUMN($E$1),FALSE),0),"")</f>
        <v/>
      </c>
      <c r="H319" t="str">
        <f>IFERROR(ROUNDDOWN((VLOOKUP($C319,装備品!$1:$998,COLUMN(F$1),FALSE)+IFERROR(VLOOKUP($CI319,付与!$1:$1167,COLUMN(H$1),FALSE),0))*VLOOKUP($D319,素材!$1:$1016,COLUMN($E$1),FALSE),0),"")</f>
        <v/>
      </c>
      <c r="I319" t="str">
        <f>IFERROR(ROUNDDOWN((VLOOKUP($C319,装備品!$1:$998,COLUMN(G$1),FALSE)+IFERROR(VLOOKUP($CI319,付与!$1:$1167,COLUMN(I$1),FALSE),0))*VLOOKUP($D319,素材!$1:$1016,COLUMN($E$1),FALSE),0),"")</f>
        <v/>
      </c>
      <c r="J319" t="str">
        <f>IFERROR(ROUNDDOWN((VLOOKUP($C319,装備品!$1:$998,COLUMN(H$1),FALSE)+IFERROR(VLOOKUP($CI319,付与!$1:$1167,COLUMN(J$1),FALSE),0))*VLOOKUP($D319,素材!$1:$1016,COLUMN($E$1),FALSE),0),"")</f>
        <v/>
      </c>
      <c r="K319" t="str">
        <f>IFERROR(ROUNDDOWN((VLOOKUP($C319,装備品!$1:$998,COLUMN(I$1),FALSE)+IFERROR(VLOOKUP($CI319,付与!$1:$1167,COLUMN(K$1),FALSE),0))*VLOOKUP($D319,素材!$1:$1016,COLUMN($E$1),FALSE),0),"")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IFERROR(VLOOKUP($C319,装備品!$1:$998,COLUMN(AA$1),FALSE)*VLOOKUP($D319,素材!$1:$1016,COLUMN($G$1),FALSE),"")</f>
        <v/>
      </c>
      <c r="N319" t="str">
        <f>IFERROR(VLOOKUP($C319,装備品!$1:$998,COLUMN(I$1),FALSE),"")</f>
        <v/>
      </c>
      <c r="O319" s="23" t="str">
        <f>IFERROR((VLOOKUP($C319,装備品!$1:$998,COLUMN(K$1),FALSE)+VLOOKUP($D319,素材!$1:$1016,COLUMN(H$1),FALSE))*100+IFERROR(VLOOKUP($CI319,付与!$1:$1167,COLUMN(O$1),FALSE),0),"")</f>
        <v/>
      </c>
      <c r="P319" s="23" t="str">
        <f>IFERROR((VLOOKUP($C319,装備品!$1:$998,COLUMN(L$1),FALSE)+VLOOKUP($D319,素材!$1:$1016,COLUMN(I$1),FALSE))*100+IFERROR(VLOOKUP($CI319,付与!$1:$1167,COLUMN(P$1),FALSE),0),"")</f>
        <v/>
      </c>
      <c r="Q319" t="str">
        <f>IFERROR(ROUNDUP(VLOOKUP($C319,装備品!$1:$998,COLUMN(M$1),FALSE)*(VLOOKUP($D319,素材!$1:$1002,COLUMN(D$1),FALSE)/100),1),"")</f>
        <v/>
      </c>
      <c r="R319" t="str">
        <f>IFERROR(ROUNDUP(VLOOKUP($C319,装備品!$1:$998,COLUMN(N$1),FALSE)*(VLOOKUP($D319,素材!$1:$1002,COLUMN(D$1),FALSE)/100),1),"")</f>
        <v/>
      </c>
      <c r="S319" t="str">
        <f>IFERROR(VLOOKUP($C319,装備品!$1:$998,COLUMN(P$1),FALSE),"")</f>
        <v/>
      </c>
      <c r="T319" t="str">
        <f>IFERROR(VLOOKUP($C319,装備品!$1:$998,COLUMN(Q$1),FALSE),"")</f>
        <v/>
      </c>
      <c r="U319" t="str">
        <f>IFERROR(VLOOKUP($C319,装備品!$1:$998,COLUMN(R$1),FALSE),"")</f>
        <v/>
      </c>
      <c r="V319" t="str">
        <f>IFERROR(VLOOKUP($C319,装備品!$1:$998,COLUMN(Q$1),FALSE),"")</f>
        <v/>
      </c>
      <c r="W319" t="str">
        <f>IFERROR(VLOOKUP($C319,装備品!$1:$998,COLUMN(T$1),FALSE),"")</f>
        <v/>
      </c>
      <c r="Y319" t="str">
        <f>IFERROR(VLOOKUP($C319,装備品!$1:$998,COLUMN(U$1),FALSE),"")</f>
        <v/>
      </c>
      <c r="Z319" t="str">
        <f>IFERROR(ROUNDUP(VLOOKUP($C319,装備品!$1:$998,COLUMN(O$1),FALSE)*VLOOKUP($D319,素材!$1:$1016,COLUMN(E$1),FALSE),1),"")</f>
        <v/>
      </c>
      <c r="AA319">
        <f>IF(ISNUMBER(SEARCH(SUBSTITUTE(AA$1,RIGHT(AA$1,2),""),VLOOKUP($D319,素材!$1:$1016,COLUMN($F$1),FALSE))),VLOOKUP($C319,装備品!$1:$998,COLUMN($O$1),FALSE)*VLOOKUP($D319,素材!$1:$1016,COLUMN($E$1),FALSE)/(LEN(VLOOKUP($D319,素材!$1:$1016,COLUMN($F$1),FALSE))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IFERROR(VLOOKUP($C319,装備品!$1:$998,COLUMN(V$1),FALSE)*VLOOKUP($D319,素材!$1:$1016,COLUMN(N$1),FALSE)+IF(CI319="",0,VLOOKUP($CI319,付与!$1:$1176,COLUMN($CK$1),FALSE)),"")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IFERROR(IF(CI320="",VLOOKUP($D320,素材!$1:$1016,COLUMN($B$1),FALSE)&amp;"・"&amp;VLOOKUP($C320,装備品!$1:$998,COLUMN(B$1),FALSE),VLOOKUP($CI320,付与!$1:$1176,COLUMN($B$1),FALSE)&amp;"・"&amp;VLOOKUP($C320,装備品!$1:$998,COLUMN(B$1),FALSE)),"")</f>
        <v/>
      </c>
      <c r="C320" s="24"/>
      <c r="D320" s="24"/>
      <c r="E320" t="str">
        <f>IFERROR(VLOOKUP(C320,装備品!$1:$998,COLUMN(C$1),FALSE),"")</f>
        <v/>
      </c>
      <c r="F320" t="str">
        <f>IFERROR(ROUNDDOWN((VLOOKUP($C320,装備品!$1:$998,COLUMN(D$1),FALSE)+IFERROR(VLOOKUP($CI320,付与!$1:$1167,COLUMN(F$1),FALSE),0))*VLOOKUP($D320,素材!$1:$1016,COLUMN(D$1),FALSE),0),"")</f>
        <v/>
      </c>
      <c r="G320" t="str">
        <f>IFERROR(ROUNDDOWN((VLOOKUP($C320,装備品!$1:$998,COLUMN(E$1),FALSE)+IFERROR(VLOOKUP($CI320,付与!$1:$1167,COLUMN(G$1),FALSE),0))*VLOOKUP($D320,素材!$1:$1016,COLUMN($E$1),FALSE),0),"")</f>
        <v/>
      </c>
      <c r="H320" t="str">
        <f>IFERROR(ROUNDDOWN((VLOOKUP($C320,装備品!$1:$998,COLUMN(F$1),FALSE)+IFERROR(VLOOKUP($CI320,付与!$1:$1167,COLUMN(H$1),FALSE),0))*VLOOKUP($D320,素材!$1:$1016,COLUMN($E$1),FALSE),0),"")</f>
        <v/>
      </c>
      <c r="I320" t="str">
        <f>IFERROR(ROUNDDOWN((VLOOKUP($C320,装備品!$1:$998,COLUMN(G$1),FALSE)+IFERROR(VLOOKUP($CI320,付与!$1:$1167,COLUMN(I$1),FALSE),0))*VLOOKUP($D320,素材!$1:$1016,COLUMN($E$1),FALSE),0),"")</f>
        <v/>
      </c>
      <c r="J320" t="str">
        <f>IFERROR(ROUNDDOWN((VLOOKUP($C320,装備品!$1:$998,COLUMN(H$1),FALSE)+IFERROR(VLOOKUP($CI320,付与!$1:$1167,COLUMN(J$1),FALSE),0))*VLOOKUP($D320,素材!$1:$1016,COLUMN($E$1),FALSE),0),"")</f>
        <v/>
      </c>
      <c r="K320" t="str">
        <f>IFERROR(ROUNDDOWN((VLOOKUP($C320,装備品!$1:$998,COLUMN(I$1),FALSE)+IFERROR(VLOOKUP($CI320,付与!$1:$1167,COLUMN(K$1),FALSE),0))*VLOOKUP($D320,素材!$1:$1016,COLUMN($E$1),FALSE),0),"")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IFERROR(VLOOKUP($C320,装備品!$1:$998,COLUMN(AA$1),FALSE)*VLOOKUP($D320,素材!$1:$1016,COLUMN($G$1),FALSE),"")</f>
        <v/>
      </c>
      <c r="N320" t="str">
        <f>IFERROR(VLOOKUP($C320,装備品!$1:$998,COLUMN(I$1),FALSE),"")</f>
        <v/>
      </c>
      <c r="O320" s="23" t="str">
        <f>IFERROR((VLOOKUP($C320,装備品!$1:$998,COLUMN(K$1),FALSE)+VLOOKUP($D320,素材!$1:$1016,COLUMN(H$1),FALSE))*100+IFERROR(VLOOKUP($CI320,付与!$1:$1167,COLUMN(O$1),FALSE),0),"")</f>
        <v/>
      </c>
      <c r="P320" s="23" t="str">
        <f>IFERROR((VLOOKUP($C320,装備品!$1:$998,COLUMN(L$1),FALSE)+VLOOKUP($D320,素材!$1:$1016,COLUMN(I$1),FALSE))*100+IFERROR(VLOOKUP($CI320,付与!$1:$1167,COLUMN(P$1),FALSE),0),"")</f>
        <v/>
      </c>
      <c r="Q320" t="str">
        <f>IFERROR(ROUNDUP(VLOOKUP($C320,装備品!$1:$998,COLUMN(M$1),FALSE)*(VLOOKUP($D320,素材!$1:$1002,COLUMN(D$1),FALSE)/100),1),"")</f>
        <v/>
      </c>
      <c r="R320" t="str">
        <f>IFERROR(ROUNDUP(VLOOKUP($C320,装備品!$1:$998,COLUMN(N$1),FALSE)*(VLOOKUP($D320,素材!$1:$1002,COLUMN(D$1),FALSE)/100),1),"")</f>
        <v/>
      </c>
      <c r="S320" t="str">
        <f>IFERROR(VLOOKUP($C320,装備品!$1:$998,COLUMN(P$1),FALSE),"")</f>
        <v/>
      </c>
      <c r="T320" t="str">
        <f>IFERROR(VLOOKUP($C320,装備品!$1:$998,COLUMN(Q$1),FALSE),"")</f>
        <v/>
      </c>
      <c r="U320" t="str">
        <f>IFERROR(VLOOKUP($C320,装備品!$1:$998,COLUMN(R$1),FALSE),"")</f>
        <v/>
      </c>
      <c r="V320" t="str">
        <f>IFERROR(VLOOKUP($C320,装備品!$1:$998,COLUMN(Q$1),FALSE),"")</f>
        <v/>
      </c>
      <c r="W320" t="str">
        <f>IFERROR(VLOOKUP($C320,装備品!$1:$998,COLUMN(T$1),FALSE),"")</f>
        <v/>
      </c>
      <c r="Y320" t="str">
        <f>IFERROR(VLOOKUP($C320,装備品!$1:$998,COLUMN(U$1),FALSE),"")</f>
        <v/>
      </c>
      <c r="Z320" t="str">
        <f>IFERROR(ROUNDUP(VLOOKUP($C320,装備品!$1:$998,COLUMN(O$1),FALSE)*VLOOKUP($D320,素材!$1:$1016,COLUMN(E$1),FALSE),1),"")</f>
        <v/>
      </c>
      <c r="AA320">
        <f>IF(ISNUMBER(SEARCH(SUBSTITUTE(AA$1,RIGHT(AA$1,2),""),VLOOKUP($D320,素材!$1:$1016,COLUMN($F$1),FALSE))),VLOOKUP($C320,装備品!$1:$998,COLUMN($O$1),FALSE)*VLOOKUP($D320,素材!$1:$1016,COLUMN($E$1),FALSE)/(LEN(VLOOKUP($D320,素材!$1:$1016,COLUMN($F$1),FALSE))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IFERROR(VLOOKUP($C320,装備品!$1:$998,COLUMN(V$1),FALSE)*VLOOKUP($D320,素材!$1:$1016,COLUMN(N$1),FALSE)+IF(CI320="",0,VLOOKUP($CI320,付与!$1:$1176,COLUMN($CK$1),FALSE)),"")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IFERROR(IF(CI321="",VLOOKUP($D321,素材!$1:$1016,COLUMN($B$1),FALSE)&amp;"・"&amp;VLOOKUP($C321,装備品!$1:$998,COLUMN(B$1),FALSE),VLOOKUP($CI321,付与!$1:$1176,COLUMN($B$1),FALSE)&amp;"・"&amp;VLOOKUP($C321,装備品!$1:$998,COLUMN(B$1),FALSE)),"")</f>
        <v/>
      </c>
      <c r="C321" s="24"/>
      <c r="D321" s="24"/>
      <c r="E321" t="str">
        <f>IFERROR(VLOOKUP(C321,装備品!$1:$998,COLUMN(C$1),FALSE),"")</f>
        <v/>
      </c>
      <c r="F321" t="str">
        <f>IFERROR(ROUNDDOWN((VLOOKUP($C321,装備品!$1:$998,COLUMN(D$1),FALSE)+IFERROR(VLOOKUP($CI321,付与!$1:$1167,COLUMN(F$1),FALSE),0))*VLOOKUP($D321,素材!$1:$1016,COLUMN(D$1),FALSE),0),"")</f>
        <v/>
      </c>
      <c r="G321" t="str">
        <f>IFERROR(ROUNDDOWN((VLOOKUP($C321,装備品!$1:$998,COLUMN(E$1),FALSE)+IFERROR(VLOOKUP($CI321,付与!$1:$1167,COLUMN(G$1),FALSE),0))*VLOOKUP($D321,素材!$1:$1016,COLUMN($E$1),FALSE),0),"")</f>
        <v/>
      </c>
      <c r="H321" t="str">
        <f>IFERROR(ROUNDDOWN((VLOOKUP($C321,装備品!$1:$998,COLUMN(F$1),FALSE)+IFERROR(VLOOKUP($CI321,付与!$1:$1167,COLUMN(H$1),FALSE),0))*VLOOKUP($D321,素材!$1:$1016,COLUMN($E$1),FALSE),0),"")</f>
        <v/>
      </c>
      <c r="I321" t="str">
        <f>IFERROR(ROUNDDOWN((VLOOKUP($C321,装備品!$1:$998,COLUMN(G$1),FALSE)+IFERROR(VLOOKUP($CI321,付与!$1:$1167,COLUMN(I$1),FALSE),0))*VLOOKUP($D321,素材!$1:$1016,COLUMN($E$1),FALSE),0),"")</f>
        <v/>
      </c>
      <c r="J321" t="str">
        <f>IFERROR(ROUNDDOWN((VLOOKUP($C321,装備品!$1:$998,COLUMN(H$1),FALSE)+IFERROR(VLOOKUP($CI321,付与!$1:$1167,COLUMN(J$1),FALSE),0))*VLOOKUP($D321,素材!$1:$1016,COLUMN($E$1),FALSE),0),"")</f>
        <v/>
      </c>
      <c r="K321" t="str">
        <f>IFERROR(ROUNDDOWN((VLOOKUP($C321,装備品!$1:$998,COLUMN(I$1),FALSE)+IFERROR(VLOOKUP($CI321,付与!$1:$1167,COLUMN(K$1),FALSE),0))*VLOOKUP($D321,素材!$1:$1016,COLUMN($E$1),FALSE),0),"")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IFERROR(VLOOKUP($C321,装備品!$1:$998,COLUMN(AA$1),FALSE)*VLOOKUP($D321,素材!$1:$1016,COLUMN($G$1),FALSE),"")</f>
        <v/>
      </c>
      <c r="N321" t="str">
        <f>IFERROR(VLOOKUP($C321,装備品!$1:$998,COLUMN(I$1),FALSE),"")</f>
        <v/>
      </c>
      <c r="O321" s="23" t="str">
        <f>IFERROR((VLOOKUP($C321,装備品!$1:$998,COLUMN(K$1),FALSE)+VLOOKUP($D321,素材!$1:$1016,COLUMN(H$1),FALSE))*100+IFERROR(VLOOKUP($CI321,付与!$1:$1167,COLUMN(O$1),FALSE),0),"")</f>
        <v/>
      </c>
      <c r="P321" s="23" t="str">
        <f>IFERROR((VLOOKUP($C321,装備品!$1:$998,COLUMN(L$1),FALSE)+VLOOKUP($D321,素材!$1:$1016,COLUMN(I$1),FALSE))*100+IFERROR(VLOOKUP($CI321,付与!$1:$1167,COLUMN(P$1),FALSE),0),"")</f>
        <v/>
      </c>
      <c r="Q321" t="str">
        <f>IFERROR(ROUNDUP(VLOOKUP($C321,装備品!$1:$998,COLUMN(M$1),FALSE)*(VLOOKUP($D321,素材!$1:$1002,COLUMN(D$1),FALSE)/100),1),"")</f>
        <v/>
      </c>
      <c r="R321" t="str">
        <f>IFERROR(ROUNDUP(VLOOKUP($C321,装備品!$1:$998,COLUMN(N$1),FALSE)*(VLOOKUP($D321,素材!$1:$1002,COLUMN(D$1),FALSE)/100),1),"")</f>
        <v/>
      </c>
      <c r="S321" t="str">
        <f>IFERROR(VLOOKUP($C321,装備品!$1:$998,COLUMN(P$1),FALSE),"")</f>
        <v/>
      </c>
      <c r="T321" t="str">
        <f>IFERROR(VLOOKUP($C321,装備品!$1:$998,COLUMN(Q$1),FALSE),"")</f>
        <v/>
      </c>
      <c r="U321" t="str">
        <f>IFERROR(VLOOKUP($C321,装備品!$1:$998,COLUMN(R$1),FALSE),"")</f>
        <v/>
      </c>
      <c r="V321" t="str">
        <f>IFERROR(VLOOKUP($C321,装備品!$1:$998,COLUMN(Q$1),FALSE),"")</f>
        <v/>
      </c>
      <c r="W321" t="str">
        <f>IFERROR(VLOOKUP($C321,装備品!$1:$998,COLUMN(T$1),FALSE),"")</f>
        <v/>
      </c>
      <c r="Y321" t="str">
        <f>IFERROR(VLOOKUP($C321,装備品!$1:$998,COLUMN(U$1),FALSE),"")</f>
        <v/>
      </c>
      <c r="Z321" t="str">
        <f>IFERROR(ROUNDUP(VLOOKUP($C321,装備品!$1:$998,COLUMN(O$1),FALSE)*VLOOKUP($D321,素材!$1:$1016,COLUMN(E$1),FALSE),1),"")</f>
        <v/>
      </c>
      <c r="AA321">
        <f>IF(ISNUMBER(SEARCH(SUBSTITUTE(AA$1,RIGHT(AA$1,2),""),VLOOKUP($D321,素材!$1:$1016,COLUMN($F$1),FALSE))),VLOOKUP($C321,装備品!$1:$998,COLUMN($O$1),FALSE)*VLOOKUP($D321,素材!$1:$1016,COLUMN($E$1),FALSE)/(LEN(VLOOKUP($D321,素材!$1:$1016,COLUMN($F$1),FALSE))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IFERROR(VLOOKUP($C321,装備品!$1:$998,COLUMN(V$1),FALSE)*VLOOKUP($D321,素材!$1:$1016,COLUMN(N$1),FALSE)+IF(CI321="",0,VLOOKUP($CI321,付与!$1:$1176,COLUMN($CK$1),FALSE)),"")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IFERROR(IF(CI322="",VLOOKUP($D322,素材!$1:$1016,COLUMN($B$1),FALSE)&amp;"・"&amp;VLOOKUP($C322,装備品!$1:$998,COLUMN(B$1),FALSE),VLOOKUP($CI322,付与!$1:$1176,COLUMN($B$1),FALSE)&amp;"・"&amp;VLOOKUP($C322,装備品!$1:$998,COLUMN(B$1),FALSE)),"")</f>
        <v/>
      </c>
      <c r="C322" s="24"/>
      <c r="D322" s="24"/>
      <c r="E322" t="str">
        <f>IFERROR(VLOOKUP(C322,装備品!$1:$998,COLUMN(C$1),FALSE),"")</f>
        <v/>
      </c>
      <c r="F322" t="str">
        <f>IFERROR(ROUNDDOWN((VLOOKUP($C322,装備品!$1:$998,COLUMN(D$1),FALSE)+IFERROR(VLOOKUP($CI322,付与!$1:$1167,COLUMN(F$1),FALSE),0))*VLOOKUP($D322,素材!$1:$1016,COLUMN(D$1),FALSE),0),"")</f>
        <v/>
      </c>
      <c r="G322" t="str">
        <f>IFERROR(ROUNDDOWN((VLOOKUP($C322,装備品!$1:$998,COLUMN(E$1),FALSE)+IFERROR(VLOOKUP($CI322,付与!$1:$1167,COLUMN(G$1),FALSE),0))*VLOOKUP($D322,素材!$1:$1016,COLUMN($E$1),FALSE),0),"")</f>
        <v/>
      </c>
      <c r="H322" t="str">
        <f>IFERROR(ROUNDDOWN((VLOOKUP($C322,装備品!$1:$998,COLUMN(F$1),FALSE)+IFERROR(VLOOKUP($CI322,付与!$1:$1167,COLUMN(H$1),FALSE),0))*VLOOKUP($D322,素材!$1:$1016,COLUMN($E$1),FALSE),0),"")</f>
        <v/>
      </c>
      <c r="I322" t="str">
        <f>IFERROR(ROUNDDOWN((VLOOKUP($C322,装備品!$1:$998,COLUMN(G$1),FALSE)+IFERROR(VLOOKUP($CI322,付与!$1:$1167,COLUMN(I$1),FALSE),0))*VLOOKUP($D322,素材!$1:$1016,COLUMN($E$1),FALSE),0),"")</f>
        <v/>
      </c>
      <c r="J322" t="str">
        <f>IFERROR(ROUNDDOWN((VLOOKUP($C322,装備品!$1:$998,COLUMN(H$1),FALSE)+IFERROR(VLOOKUP($CI322,付与!$1:$1167,COLUMN(J$1),FALSE),0))*VLOOKUP($D322,素材!$1:$1016,COLUMN($E$1),FALSE),0),"")</f>
        <v/>
      </c>
      <c r="K322" t="str">
        <f>IFERROR(ROUNDDOWN((VLOOKUP($C322,装備品!$1:$998,COLUMN(I$1),FALSE)+IFERROR(VLOOKUP($CI322,付与!$1:$1167,COLUMN(K$1),FALSE),0))*VLOOKUP($D322,素材!$1:$1016,COLUMN($E$1),FALSE),0),"")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IFERROR(VLOOKUP($C322,装備品!$1:$998,COLUMN(AA$1),FALSE)*VLOOKUP($D322,素材!$1:$1016,COLUMN($G$1),FALSE),"")</f>
        <v/>
      </c>
      <c r="N322" t="str">
        <f>IFERROR(VLOOKUP($C322,装備品!$1:$998,COLUMN(I$1),FALSE),"")</f>
        <v/>
      </c>
      <c r="O322" s="23" t="str">
        <f>IFERROR((VLOOKUP($C322,装備品!$1:$998,COLUMN(K$1),FALSE)+VLOOKUP($D322,素材!$1:$1016,COLUMN(H$1),FALSE))*100+IFERROR(VLOOKUP($CI322,付与!$1:$1167,COLUMN(O$1),FALSE),0),"")</f>
        <v/>
      </c>
      <c r="P322" s="23" t="str">
        <f>IFERROR((VLOOKUP($C322,装備品!$1:$998,COLUMN(L$1),FALSE)+VLOOKUP($D322,素材!$1:$1016,COLUMN(I$1),FALSE))*100+IFERROR(VLOOKUP($CI322,付与!$1:$1167,COLUMN(P$1),FALSE),0),"")</f>
        <v/>
      </c>
      <c r="Q322" t="str">
        <f>IFERROR(ROUNDUP(VLOOKUP($C322,装備品!$1:$998,COLUMN(M$1),FALSE)*(VLOOKUP($D322,素材!$1:$1002,COLUMN(D$1),FALSE)/100),1),"")</f>
        <v/>
      </c>
      <c r="R322" t="str">
        <f>IFERROR(ROUNDUP(VLOOKUP($C322,装備品!$1:$998,COLUMN(N$1),FALSE)*(VLOOKUP($D322,素材!$1:$1002,COLUMN(D$1),FALSE)/100),1),"")</f>
        <v/>
      </c>
      <c r="S322" t="str">
        <f>IFERROR(VLOOKUP($C322,装備品!$1:$998,COLUMN(P$1),FALSE),"")</f>
        <v/>
      </c>
      <c r="T322" t="str">
        <f>IFERROR(VLOOKUP($C322,装備品!$1:$998,COLUMN(Q$1),FALSE),"")</f>
        <v/>
      </c>
      <c r="U322" t="str">
        <f>IFERROR(VLOOKUP($C322,装備品!$1:$998,COLUMN(R$1),FALSE),"")</f>
        <v/>
      </c>
      <c r="V322" t="str">
        <f>IFERROR(VLOOKUP($C322,装備品!$1:$998,COLUMN(Q$1),FALSE),"")</f>
        <v/>
      </c>
      <c r="W322" t="str">
        <f>IFERROR(VLOOKUP($C322,装備品!$1:$998,COLUMN(T$1),FALSE),"")</f>
        <v/>
      </c>
      <c r="Y322" t="str">
        <f>IFERROR(VLOOKUP($C322,装備品!$1:$998,COLUMN(U$1),FALSE),"")</f>
        <v/>
      </c>
      <c r="Z322" t="str">
        <f>IFERROR(ROUNDUP(VLOOKUP($C322,装備品!$1:$998,COLUMN(O$1),FALSE)*VLOOKUP($D322,素材!$1:$1016,COLUMN(E$1),FALSE),1),"")</f>
        <v/>
      </c>
      <c r="AA322">
        <f>IF(ISNUMBER(SEARCH(SUBSTITUTE(AA$1,RIGHT(AA$1,2),""),VLOOKUP($D322,素材!$1:$1016,COLUMN($F$1),FALSE))),VLOOKUP($C322,装備品!$1:$998,COLUMN($O$1),FALSE)*VLOOKUP($D322,素材!$1:$1016,COLUMN($E$1),FALSE)/(LEN(VLOOKUP($D322,素材!$1:$1016,COLUMN($F$1),FALSE))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IFERROR(VLOOKUP($C322,装備品!$1:$998,COLUMN(V$1),FALSE)*VLOOKUP($D322,素材!$1:$1016,COLUMN(N$1),FALSE)+IF(CI322="",0,VLOOKUP($CI322,付与!$1:$1176,COLUMN($CK$1),FALSE)),"")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IFERROR(IF(CI323="",VLOOKUP($D323,素材!$1:$1016,COLUMN($B$1),FALSE)&amp;"・"&amp;VLOOKUP($C323,装備品!$1:$998,COLUMN(B$1),FALSE),VLOOKUP($CI323,付与!$1:$1176,COLUMN($B$1),FALSE)&amp;"・"&amp;VLOOKUP($C323,装備品!$1:$998,COLUMN(B$1),FALSE)),"")</f>
        <v/>
      </c>
      <c r="C323" s="24"/>
      <c r="D323" s="24"/>
      <c r="E323" t="str">
        <f>IFERROR(VLOOKUP(C323,装備品!$1:$998,COLUMN(C$1),FALSE),"")</f>
        <v/>
      </c>
      <c r="F323" t="str">
        <f>IFERROR(ROUNDDOWN((VLOOKUP($C323,装備品!$1:$998,COLUMN(D$1),FALSE)+IFERROR(VLOOKUP($CI323,付与!$1:$1167,COLUMN(F$1),FALSE),0))*VLOOKUP($D323,素材!$1:$1016,COLUMN(D$1),FALSE),0),"")</f>
        <v/>
      </c>
      <c r="G323" t="str">
        <f>IFERROR(ROUNDDOWN((VLOOKUP($C323,装備品!$1:$998,COLUMN(E$1),FALSE)+IFERROR(VLOOKUP($CI323,付与!$1:$1167,COLUMN(G$1),FALSE),0))*VLOOKUP($D323,素材!$1:$1016,COLUMN($E$1),FALSE),0),"")</f>
        <v/>
      </c>
      <c r="H323" t="str">
        <f>IFERROR(ROUNDDOWN((VLOOKUP($C323,装備品!$1:$998,COLUMN(F$1),FALSE)+IFERROR(VLOOKUP($CI323,付与!$1:$1167,COLUMN(H$1),FALSE),0))*VLOOKUP($D323,素材!$1:$1016,COLUMN($E$1),FALSE),0),"")</f>
        <v/>
      </c>
      <c r="I323" t="str">
        <f>IFERROR(ROUNDDOWN((VLOOKUP($C323,装備品!$1:$998,COLUMN(G$1),FALSE)+IFERROR(VLOOKUP($CI323,付与!$1:$1167,COLUMN(I$1),FALSE),0))*VLOOKUP($D323,素材!$1:$1016,COLUMN($E$1),FALSE),0),"")</f>
        <v/>
      </c>
      <c r="J323" t="str">
        <f>IFERROR(ROUNDDOWN((VLOOKUP($C323,装備品!$1:$998,COLUMN(H$1),FALSE)+IFERROR(VLOOKUP($CI323,付与!$1:$1167,COLUMN(J$1),FALSE),0))*VLOOKUP($D323,素材!$1:$1016,COLUMN($E$1),FALSE),0),"")</f>
        <v/>
      </c>
      <c r="K323" t="str">
        <f>IFERROR(ROUNDDOWN((VLOOKUP($C323,装備品!$1:$998,COLUMN(I$1),FALSE)+IFERROR(VLOOKUP($CI323,付与!$1:$1167,COLUMN(K$1),FALSE),0))*VLOOKUP($D323,素材!$1:$1016,COLUMN($E$1),FALSE),0),"")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IFERROR(VLOOKUP($C323,装備品!$1:$998,COLUMN(AA$1),FALSE)*VLOOKUP($D323,素材!$1:$1016,COLUMN($G$1),FALSE),"")</f>
        <v/>
      </c>
      <c r="N323" t="str">
        <f>IFERROR(VLOOKUP($C323,装備品!$1:$998,COLUMN(I$1),FALSE),"")</f>
        <v/>
      </c>
      <c r="O323" s="23" t="str">
        <f>IFERROR((VLOOKUP($C323,装備品!$1:$998,COLUMN(K$1),FALSE)+VLOOKUP($D323,素材!$1:$1016,COLUMN(H$1),FALSE))*100+IFERROR(VLOOKUP($CI323,付与!$1:$1167,COLUMN(O$1),FALSE),0),"")</f>
        <v/>
      </c>
      <c r="P323" s="23" t="str">
        <f>IFERROR((VLOOKUP($C323,装備品!$1:$998,COLUMN(L$1),FALSE)+VLOOKUP($D323,素材!$1:$1016,COLUMN(I$1),FALSE))*100+IFERROR(VLOOKUP($CI323,付与!$1:$1167,COLUMN(P$1),FALSE),0),"")</f>
        <v/>
      </c>
      <c r="Q323" t="str">
        <f>IFERROR(ROUNDUP(VLOOKUP($C323,装備品!$1:$998,COLUMN(M$1),FALSE)*(VLOOKUP($D323,素材!$1:$1002,COLUMN(D$1),FALSE)/100),1),"")</f>
        <v/>
      </c>
      <c r="R323" t="str">
        <f>IFERROR(ROUNDUP(VLOOKUP($C323,装備品!$1:$998,COLUMN(N$1),FALSE)*(VLOOKUP($D323,素材!$1:$1002,COLUMN(D$1),FALSE)/100),1),"")</f>
        <v/>
      </c>
      <c r="S323" t="str">
        <f>IFERROR(VLOOKUP($C323,装備品!$1:$998,COLUMN(P$1),FALSE),"")</f>
        <v/>
      </c>
      <c r="T323" t="str">
        <f>IFERROR(VLOOKUP($C323,装備品!$1:$998,COLUMN(Q$1),FALSE),"")</f>
        <v/>
      </c>
      <c r="U323" t="str">
        <f>IFERROR(VLOOKUP($C323,装備品!$1:$998,COLUMN(R$1),FALSE),"")</f>
        <v/>
      </c>
      <c r="V323" t="str">
        <f>IFERROR(VLOOKUP($C323,装備品!$1:$998,COLUMN(Q$1),FALSE),"")</f>
        <v/>
      </c>
      <c r="W323" t="str">
        <f>IFERROR(VLOOKUP($C323,装備品!$1:$998,COLUMN(T$1),FALSE),"")</f>
        <v/>
      </c>
      <c r="Y323" t="str">
        <f>IFERROR(VLOOKUP($C323,装備品!$1:$998,COLUMN(U$1),FALSE),"")</f>
        <v/>
      </c>
      <c r="Z323" t="str">
        <f>IFERROR(ROUNDUP(VLOOKUP($C323,装備品!$1:$998,COLUMN(O$1),FALSE)*VLOOKUP($D323,素材!$1:$1016,COLUMN(E$1),FALSE),1),"")</f>
        <v/>
      </c>
      <c r="AA323">
        <f>IF(ISNUMBER(SEARCH(SUBSTITUTE(AA$1,RIGHT(AA$1,2),""),VLOOKUP($D323,素材!$1:$1016,COLUMN($F$1),FALSE))),VLOOKUP($C323,装備品!$1:$998,COLUMN($O$1),FALSE)*VLOOKUP($D323,素材!$1:$1016,COLUMN($E$1),FALSE)/(LEN(VLOOKUP($D323,素材!$1:$1016,COLUMN($F$1),FALSE))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IFERROR(VLOOKUP($C323,装備品!$1:$998,COLUMN(V$1),FALSE)*VLOOKUP($D323,素材!$1:$1016,COLUMN(N$1),FALSE)+IF(CI323="",0,VLOOKUP($CI323,付与!$1:$1176,COLUMN($CK$1),FALSE)),"")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IFERROR(IF(CI324="",VLOOKUP($D324,素材!$1:$1016,COLUMN($B$1),FALSE)&amp;"・"&amp;VLOOKUP($C324,装備品!$1:$998,COLUMN(B$1),FALSE),VLOOKUP($CI324,付与!$1:$1176,COLUMN($B$1),FALSE)&amp;"・"&amp;VLOOKUP($C324,装備品!$1:$998,COLUMN(B$1),FALSE)),"")</f>
        <v/>
      </c>
      <c r="C324" s="24"/>
      <c r="D324" s="24"/>
      <c r="E324" t="str">
        <f>IFERROR(VLOOKUP(C324,装備品!$1:$998,COLUMN(C$1),FALSE),"")</f>
        <v/>
      </c>
      <c r="F324" t="str">
        <f>IFERROR(ROUNDDOWN((VLOOKUP($C324,装備品!$1:$998,COLUMN(D$1),FALSE)+IFERROR(VLOOKUP($CI324,付与!$1:$1167,COLUMN(F$1),FALSE),0))*VLOOKUP($D324,素材!$1:$1016,COLUMN(D$1),FALSE),0),"")</f>
        <v/>
      </c>
      <c r="G324" t="str">
        <f>IFERROR(ROUNDDOWN((VLOOKUP($C324,装備品!$1:$998,COLUMN(E$1),FALSE)+IFERROR(VLOOKUP($CI324,付与!$1:$1167,COLUMN(G$1),FALSE),0))*VLOOKUP($D324,素材!$1:$1016,COLUMN($E$1),FALSE),0),"")</f>
        <v/>
      </c>
      <c r="H324" t="str">
        <f>IFERROR(ROUNDDOWN((VLOOKUP($C324,装備品!$1:$998,COLUMN(F$1),FALSE)+IFERROR(VLOOKUP($CI324,付与!$1:$1167,COLUMN(H$1),FALSE),0))*VLOOKUP($D324,素材!$1:$1016,COLUMN($E$1),FALSE),0),"")</f>
        <v/>
      </c>
      <c r="I324" t="str">
        <f>IFERROR(ROUNDDOWN((VLOOKUP($C324,装備品!$1:$998,COLUMN(G$1),FALSE)+IFERROR(VLOOKUP($CI324,付与!$1:$1167,COLUMN(I$1),FALSE),0))*VLOOKUP($D324,素材!$1:$1016,COLUMN($E$1),FALSE),0),"")</f>
        <v/>
      </c>
      <c r="J324" t="str">
        <f>IFERROR(ROUNDDOWN((VLOOKUP($C324,装備品!$1:$998,COLUMN(H$1),FALSE)+IFERROR(VLOOKUP($CI324,付与!$1:$1167,COLUMN(J$1),FALSE),0))*VLOOKUP($D324,素材!$1:$1016,COLUMN($E$1),FALSE),0),"")</f>
        <v/>
      </c>
      <c r="K324" t="str">
        <f>IFERROR(ROUNDDOWN((VLOOKUP($C324,装備品!$1:$998,COLUMN(I$1),FALSE)+IFERROR(VLOOKUP($CI324,付与!$1:$1167,COLUMN(K$1),FALSE),0))*VLOOKUP($D324,素材!$1:$1016,COLUMN($E$1),FALSE),0),"")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IFERROR(VLOOKUP($C324,装備品!$1:$998,COLUMN(AA$1),FALSE)*VLOOKUP($D324,素材!$1:$1016,COLUMN($G$1),FALSE),"")</f>
        <v/>
      </c>
      <c r="N324" t="str">
        <f>IFERROR(VLOOKUP($C324,装備品!$1:$998,COLUMN(I$1),FALSE),"")</f>
        <v/>
      </c>
      <c r="O324" s="23" t="str">
        <f>IFERROR((VLOOKUP($C324,装備品!$1:$998,COLUMN(K$1),FALSE)+VLOOKUP($D324,素材!$1:$1016,COLUMN(H$1),FALSE))*100+IFERROR(VLOOKUP($CI324,付与!$1:$1167,COLUMN(O$1),FALSE),0),"")</f>
        <v/>
      </c>
      <c r="P324" s="23" t="str">
        <f>IFERROR((VLOOKUP($C324,装備品!$1:$998,COLUMN(L$1),FALSE)+VLOOKUP($D324,素材!$1:$1016,COLUMN(I$1),FALSE))*100+IFERROR(VLOOKUP($CI324,付与!$1:$1167,COLUMN(P$1),FALSE),0),"")</f>
        <v/>
      </c>
      <c r="Q324" t="str">
        <f>IFERROR(ROUNDUP(VLOOKUP($C324,装備品!$1:$998,COLUMN(M$1),FALSE)*(VLOOKUP($D324,素材!$1:$1002,COLUMN(D$1),FALSE)/100),1),"")</f>
        <v/>
      </c>
      <c r="R324" t="str">
        <f>IFERROR(ROUNDUP(VLOOKUP($C324,装備品!$1:$998,COLUMN(N$1),FALSE)*(VLOOKUP($D324,素材!$1:$1002,COLUMN(D$1),FALSE)/100),1),"")</f>
        <v/>
      </c>
      <c r="S324" t="str">
        <f>IFERROR(VLOOKUP($C324,装備品!$1:$998,COLUMN(P$1),FALSE),"")</f>
        <v/>
      </c>
      <c r="T324" t="str">
        <f>IFERROR(VLOOKUP($C324,装備品!$1:$998,COLUMN(Q$1),FALSE),"")</f>
        <v/>
      </c>
      <c r="U324" t="str">
        <f>IFERROR(VLOOKUP($C324,装備品!$1:$998,COLUMN(R$1),FALSE),"")</f>
        <v/>
      </c>
      <c r="V324" t="str">
        <f>IFERROR(VLOOKUP($C324,装備品!$1:$998,COLUMN(Q$1),FALSE),"")</f>
        <v/>
      </c>
      <c r="W324" t="str">
        <f>IFERROR(VLOOKUP($C324,装備品!$1:$998,COLUMN(T$1),FALSE),"")</f>
        <v/>
      </c>
      <c r="Y324" t="str">
        <f>IFERROR(VLOOKUP($C324,装備品!$1:$998,COLUMN(U$1),FALSE),"")</f>
        <v/>
      </c>
      <c r="Z324" t="str">
        <f>IFERROR(ROUNDUP(VLOOKUP($C324,装備品!$1:$998,COLUMN(O$1),FALSE)*VLOOKUP($D324,素材!$1:$1016,COLUMN(E$1),FALSE),1),"")</f>
        <v/>
      </c>
      <c r="AA324">
        <f>IF(ISNUMBER(SEARCH(SUBSTITUTE(AA$1,RIGHT(AA$1,2),""),VLOOKUP($D324,素材!$1:$1016,COLUMN($F$1),FALSE))),VLOOKUP($C324,装備品!$1:$998,COLUMN($O$1),FALSE)*VLOOKUP($D324,素材!$1:$1016,COLUMN($E$1),FALSE)/(LEN(VLOOKUP($D324,素材!$1:$1016,COLUMN($F$1),FALSE))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IFERROR(VLOOKUP($C324,装備品!$1:$998,COLUMN(V$1),FALSE)*VLOOKUP($D324,素材!$1:$1016,COLUMN(N$1),FALSE)+IF(CI324="",0,VLOOKUP($CI324,付与!$1:$1176,COLUMN($CK$1),FALSE)),"")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IFERROR(IF(CI325="",VLOOKUP($D325,素材!$1:$1016,COLUMN($B$1),FALSE)&amp;"・"&amp;VLOOKUP($C325,装備品!$1:$998,COLUMN(B$1),FALSE),VLOOKUP($CI325,付与!$1:$1176,COLUMN($B$1),FALSE)&amp;"・"&amp;VLOOKUP($C325,装備品!$1:$998,COLUMN(B$1),FALSE)),"")</f>
        <v/>
      </c>
      <c r="C325" s="24"/>
      <c r="D325" s="24"/>
      <c r="E325" t="str">
        <f>IFERROR(VLOOKUP(C325,装備品!$1:$998,COLUMN(C$1),FALSE),"")</f>
        <v/>
      </c>
      <c r="F325" t="str">
        <f>IFERROR(ROUNDDOWN((VLOOKUP($C325,装備品!$1:$998,COLUMN(D$1),FALSE)+IFERROR(VLOOKUP($CI325,付与!$1:$1167,COLUMN(F$1),FALSE),0))*VLOOKUP($D325,素材!$1:$1016,COLUMN(D$1),FALSE),0),"")</f>
        <v/>
      </c>
      <c r="G325" t="str">
        <f>IFERROR(ROUNDDOWN((VLOOKUP($C325,装備品!$1:$998,COLUMN(E$1),FALSE)+IFERROR(VLOOKUP($CI325,付与!$1:$1167,COLUMN(G$1),FALSE),0))*VLOOKUP($D325,素材!$1:$1016,COLUMN($E$1),FALSE),0),"")</f>
        <v/>
      </c>
      <c r="H325" t="str">
        <f>IFERROR(ROUNDDOWN((VLOOKUP($C325,装備品!$1:$998,COLUMN(F$1),FALSE)+IFERROR(VLOOKUP($CI325,付与!$1:$1167,COLUMN(H$1),FALSE),0))*VLOOKUP($D325,素材!$1:$1016,COLUMN($E$1),FALSE),0),"")</f>
        <v/>
      </c>
      <c r="I325" t="str">
        <f>IFERROR(ROUNDDOWN((VLOOKUP($C325,装備品!$1:$998,COLUMN(G$1),FALSE)+IFERROR(VLOOKUP($CI325,付与!$1:$1167,COLUMN(I$1),FALSE),0))*VLOOKUP($D325,素材!$1:$1016,COLUMN($E$1),FALSE),0),"")</f>
        <v/>
      </c>
      <c r="J325" t="str">
        <f>IFERROR(ROUNDDOWN((VLOOKUP($C325,装備品!$1:$998,COLUMN(H$1),FALSE)+IFERROR(VLOOKUP($CI325,付与!$1:$1167,COLUMN(J$1),FALSE),0))*VLOOKUP($D325,素材!$1:$1016,COLUMN($E$1),FALSE),0),"")</f>
        <v/>
      </c>
      <c r="K325" t="str">
        <f>IFERROR(ROUNDDOWN((VLOOKUP($C325,装備品!$1:$998,COLUMN(I$1),FALSE)+IFERROR(VLOOKUP($CI325,付与!$1:$1167,COLUMN(K$1),FALSE),0))*VLOOKUP($D325,素材!$1:$1016,COLUMN($E$1),FALSE),0),"")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IFERROR(VLOOKUP($C325,装備品!$1:$998,COLUMN(AA$1),FALSE)*VLOOKUP($D325,素材!$1:$1016,COLUMN($G$1),FALSE),"")</f>
        <v/>
      </c>
      <c r="N325" t="str">
        <f>IFERROR(VLOOKUP($C325,装備品!$1:$998,COLUMN(I$1),FALSE),"")</f>
        <v/>
      </c>
      <c r="O325" s="23" t="str">
        <f>IFERROR((VLOOKUP($C325,装備品!$1:$998,COLUMN(K$1),FALSE)+VLOOKUP($D325,素材!$1:$1016,COLUMN(H$1),FALSE))*100+IFERROR(VLOOKUP($CI325,付与!$1:$1167,COLUMN(O$1),FALSE),0),"")</f>
        <v/>
      </c>
      <c r="P325" s="23" t="str">
        <f>IFERROR((VLOOKUP($C325,装備品!$1:$998,COLUMN(L$1),FALSE)+VLOOKUP($D325,素材!$1:$1016,COLUMN(I$1),FALSE))*100+IFERROR(VLOOKUP($CI325,付与!$1:$1167,COLUMN(P$1),FALSE),0),"")</f>
        <v/>
      </c>
      <c r="Q325" t="str">
        <f>IFERROR(ROUNDUP(VLOOKUP($C325,装備品!$1:$998,COLUMN(M$1),FALSE)*(VLOOKUP($D325,素材!$1:$1002,COLUMN(D$1),FALSE)/100),1),"")</f>
        <v/>
      </c>
      <c r="R325" t="str">
        <f>IFERROR(ROUNDUP(VLOOKUP($C325,装備品!$1:$998,COLUMN(N$1),FALSE)*(VLOOKUP($D325,素材!$1:$1002,COLUMN(D$1),FALSE)/100),1),"")</f>
        <v/>
      </c>
      <c r="S325" t="str">
        <f>IFERROR(VLOOKUP($C325,装備品!$1:$998,COLUMN(P$1),FALSE),"")</f>
        <v/>
      </c>
      <c r="T325" t="str">
        <f>IFERROR(VLOOKUP($C325,装備品!$1:$998,COLUMN(Q$1),FALSE),"")</f>
        <v/>
      </c>
      <c r="U325" t="str">
        <f>IFERROR(VLOOKUP($C325,装備品!$1:$998,COLUMN(R$1),FALSE),"")</f>
        <v/>
      </c>
      <c r="V325" t="str">
        <f>IFERROR(VLOOKUP($C325,装備品!$1:$998,COLUMN(Q$1),FALSE),"")</f>
        <v/>
      </c>
      <c r="W325" t="str">
        <f>IFERROR(VLOOKUP($C325,装備品!$1:$998,COLUMN(T$1),FALSE),"")</f>
        <v/>
      </c>
      <c r="Y325" t="str">
        <f>IFERROR(VLOOKUP($C325,装備品!$1:$998,COLUMN(U$1),FALSE),"")</f>
        <v/>
      </c>
      <c r="Z325" t="str">
        <f>IFERROR(ROUNDUP(VLOOKUP($C325,装備品!$1:$998,COLUMN(O$1),FALSE)*VLOOKUP($D325,素材!$1:$1016,COLUMN(E$1),FALSE),1),"")</f>
        <v/>
      </c>
      <c r="AA325">
        <f>IF(ISNUMBER(SEARCH(SUBSTITUTE(AA$1,RIGHT(AA$1,2),""),VLOOKUP($D325,素材!$1:$1016,COLUMN($F$1),FALSE))),VLOOKUP($C325,装備品!$1:$998,COLUMN($O$1),FALSE)*VLOOKUP($D325,素材!$1:$1016,COLUMN($E$1),FALSE)/(LEN(VLOOKUP($D325,素材!$1:$1016,COLUMN($F$1),FALSE))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IFERROR(VLOOKUP($C325,装備品!$1:$998,COLUMN(V$1),FALSE)*VLOOKUP($D325,素材!$1:$1016,COLUMN(N$1),FALSE)+IF(CI325="",0,VLOOKUP($CI325,付与!$1:$1176,COLUMN($CK$1),FALSE)),"")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IFERROR(IF(CI326="",VLOOKUP($D326,素材!$1:$1016,COLUMN($B$1),FALSE)&amp;"・"&amp;VLOOKUP($C326,装備品!$1:$998,COLUMN(B$1),FALSE),VLOOKUP($CI326,付与!$1:$1176,COLUMN($B$1),FALSE)&amp;"・"&amp;VLOOKUP($C326,装備品!$1:$998,COLUMN(B$1),FALSE)),"")</f>
        <v/>
      </c>
      <c r="C326" s="24"/>
      <c r="D326" s="24"/>
      <c r="E326" t="str">
        <f>IFERROR(VLOOKUP(C326,装備品!$1:$998,COLUMN(C$1),FALSE),"")</f>
        <v/>
      </c>
      <c r="F326" t="str">
        <f>IFERROR(ROUNDDOWN((VLOOKUP($C326,装備品!$1:$998,COLUMN(D$1),FALSE)+IFERROR(VLOOKUP($CI326,付与!$1:$1167,COLUMN(F$1),FALSE),0))*VLOOKUP($D326,素材!$1:$1016,COLUMN(D$1),FALSE),0),"")</f>
        <v/>
      </c>
      <c r="G326" t="str">
        <f>IFERROR(ROUNDDOWN((VLOOKUP($C326,装備品!$1:$998,COLUMN(E$1),FALSE)+IFERROR(VLOOKUP($CI326,付与!$1:$1167,COLUMN(G$1),FALSE),0))*VLOOKUP($D326,素材!$1:$1016,COLUMN($E$1),FALSE),0),"")</f>
        <v/>
      </c>
      <c r="H326" t="str">
        <f>IFERROR(ROUNDDOWN((VLOOKUP($C326,装備品!$1:$998,COLUMN(F$1),FALSE)+IFERROR(VLOOKUP($CI326,付与!$1:$1167,COLUMN(H$1),FALSE),0))*VLOOKUP($D326,素材!$1:$1016,COLUMN($E$1),FALSE),0),"")</f>
        <v/>
      </c>
      <c r="I326" t="str">
        <f>IFERROR(ROUNDDOWN((VLOOKUP($C326,装備品!$1:$998,COLUMN(G$1),FALSE)+IFERROR(VLOOKUP($CI326,付与!$1:$1167,COLUMN(I$1),FALSE),0))*VLOOKUP($D326,素材!$1:$1016,COLUMN($E$1),FALSE),0),"")</f>
        <v/>
      </c>
      <c r="J326" t="str">
        <f>IFERROR(ROUNDDOWN((VLOOKUP($C326,装備品!$1:$998,COLUMN(H$1),FALSE)+IFERROR(VLOOKUP($CI326,付与!$1:$1167,COLUMN(J$1),FALSE),0))*VLOOKUP($D326,素材!$1:$1016,COLUMN($E$1),FALSE),0),"")</f>
        <v/>
      </c>
      <c r="K326" t="str">
        <f>IFERROR(ROUNDDOWN((VLOOKUP($C326,装備品!$1:$998,COLUMN(I$1),FALSE)+IFERROR(VLOOKUP($CI326,付与!$1:$1167,COLUMN(K$1),FALSE),0))*VLOOKUP($D326,素材!$1:$1016,COLUMN($E$1),FALSE),0),"")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IFERROR(VLOOKUP($C326,装備品!$1:$998,COLUMN(AA$1),FALSE)*VLOOKUP($D326,素材!$1:$1016,COLUMN($G$1),FALSE),"")</f>
        <v/>
      </c>
      <c r="N326" t="str">
        <f>IFERROR(VLOOKUP($C326,装備品!$1:$998,COLUMN(I$1),FALSE),"")</f>
        <v/>
      </c>
      <c r="O326" s="23" t="str">
        <f>IFERROR((VLOOKUP($C326,装備品!$1:$998,COLUMN(K$1),FALSE)+VLOOKUP($D326,素材!$1:$1016,COLUMN(H$1),FALSE))*100+IFERROR(VLOOKUP($CI326,付与!$1:$1167,COLUMN(O$1),FALSE),0),"")</f>
        <v/>
      </c>
      <c r="P326" s="23" t="str">
        <f>IFERROR((VLOOKUP($C326,装備品!$1:$998,COLUMN(L$1),FALSE)+VLOOKUP($D326,素材!$1:$1016,COLUMN(I$1),FALSE))*100+IFERROR(VLOOKUP($CI326,付与!$1:$1167,COLUMN(P$1),FALSE),0),"")</f>
        <v/>
      </c>
      <c r="Q326" t="str">
        <f>IFERROR(ROUNDUP(VLOOKUP($C326,装備品!$1:$998,COLUMN(M$1),FALSE)*(VLOOKUP($D326,素材!$1:$1002,COLUMN(D$1),FALSE)/100),1),"")</f>
        <v/>
      </c>
      <c r="R326" t="str">
        <f>IFERROR(ROUNDUP(VLOOKUP($C326,装備品!$1:$998,COLUMN(N$1),FALSE)*(VLOOKUP($D326,素材!$1:$1002,COLUMN(D$1),FALSE)/100),1),"")</f>
        <v/>
      </c>
      <c r="S326" t="str">
        <f>IFERROR(VLOOKUP($C326,装備品!$1:$998,COLUMN(P$1),FALSE),"")</f>
        <v/>
      </c>
      <c r="T326" t="str">
        <f>IFERROR(VLOOKUP($C326,装備品!$1:$998,COLUMN(Q$1),FALSE),"")</f>
        <v/>
      </c>
      <c r="U326" t="str">
        <f>IFERROR(VLOOKUP($C326,装備品!$1:$998,COLUMN(R$1),FALSE),"")</f>
        <v/>
      </c>
      <c r="V326" t="str">
        <f>IFERROR(VLOOKUP($C326,装備品!$1:$998,COLUMN(Q$1),FALSE),"")</f>
        <v/>
      </c>
      <c r="W326" t="str">
        <f>IFERROR(VLOOKUP($C326,装備品!$1:$998,COLUMN(T$1),FALSE),"")</f>
        <v/>
      </c>
      <c r="Y326" t="str">
        <f>IFERROR(VLOOKUP($C326,装備品!$1:$998,COLUMN(U$1),FALSE),"")</f>
        <v/>
      </c>
      <c r="Z326" t="str">
        <f>IFERROR(ROUNDUP(VLOOKUP($C326,装備品!$1:$998,COLUMN(O$1),FALSE)*VLOOKUP($D326,素材!$1:$1016,COLUMN(E$1),FALSE),1),"")</f>
        <v/>
      </c>
      <c r="AA326">
        <f>IF(ISNUMBER(SEARCH(SUBSTITUTE(AA$1,RIGHT(AA$1,2),""),VLOOKUP($D326,素材!$1:$1016,COLUMN($F$1),FALSE))),VLOOKUP($C326,装備品!$1:$998,COLUMN($O$1),FALSE)*VLOOKUP($D326,素材!$1:$1016,COLUMN($E$1),FALSE)/(LEN(VLOOKUP($D326,素材!$1:$1016,COLUMN($F$1),FALSE))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IFERROR(VLOOKUP($C326,装備品!$1:$998,COLUMN(V$1),FALSE)*VLOOKUP($D326,素材!$1:$1016,COLUMN(N$1),FALSE)+IF(CI326="",0,VLOOKUP($CI326,付与!$1:$1176,COLUMN($CK$1),FALSE)),"")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IFERROR(IF(CI327="",VLOOKUP($D327,素材!$1:$1016,COLUMN($B$1),FALSE)&amp;"・"&amp;VLOOKUP($C327,装備品!$1:$998,COLUMN(B$1),FALSE),VLOOKUP($CI327,付与!$1:$1176,COLUMN($B$1),FALSE)&amp;"・"&amp;VLOOKUP($C327,装備品!$1:$998,COLUMN(B$1),FALSE)),"")</f>
        <v/>
      </c>
      <c r="C327" s="24"/>
      <c r="D327" s="24"/>
      <c r="E327" t="str">
        <f>IFERROR(VLOOKUP(C327,装備品!$1:$998,COLUMN(C$1),FALSE),"")</f>
        <v/>
      </c>
      <c r="F327" t="str">
        <f>IFERROR(ROUNDDOWN((VLOOKUP($C327,装備品!$1:$998,COLUMN(D$1),FALSE)+IFERROR(VLOOKUP($CI327,付与!$1:$1167,COLUMN(F$1),FALSE),0))*VLOOKUP($D327,素材!$1:$1016,COLUMN(D$1),FALSE),0),"")</f>
        <v/>
      </c>
      <c r="G327" t="str">
        <f>IFERROR(ROUNDDOWN((VLOOKUP($C327,装備品!$1:$998,COLUMN(E$1),FALSE)+IFERROR(VLOOKUP($CI327,付与!$1:$1167,COLUMN(G$1),FALSE),0))*VLOOKUP($D327,素材!$1:$1016,COLUMN($E$1),FALSE),0),"")</f>
        <v/>
      </c>
      <c r="H327" t="str">
        <f>IFERROR(ROUNDDOWN((VLOOKUP($C327,装備品!$1:$998,COLUMN(F$1),FALSE)+IFERROR(VLOOKUP($CI327,付与!$1:$1167,COLUMN(H$1),FALSE),0))*VLOOKUP($D327,素材!$1:$1016,COLUMN($E$1),FALSE),0),"")</f>
        <v/>
      </c>
      <c r="I327" t="str">
        <f>IFERROR(ROUNDDOWN((VLOOKUP($C327,装備品!$1:$998,COLUMN(G$1),FALSE)+IFERROR(VLOOKUP($CI327,付与!$1:$1167,COLUMN(I$1),FALSE),0))*VLOOKUP($D327,素材!$1:$1016,COLUMN($E$1),FALSE),0),"")</f>
        <v/>
      </c>
      <c r="J327" t="str">
        <f>IFERROR(ROUNDDOWN((VLOOKUP($C327,装備品!$1:$998,COLUMN(H$1),FALSE)+IFERROR(VLOOKUP($CI327,付与!$1:$1167,COLUMN(J$1),FALSE),0))*VLOOKUP($D327,素材!$1:$1016,COLUMN($E$1),FALSE),0),"")</f>
        <v/>
      </c>
      <c r="K327" t="str">
        <f>IFERROR(ROUNDDOWN((VLOOKUP($C327,装備品!$1:$998,COLUMN(I$1),FALSE)+IFERROR(VLOOKUP($CI327,付与!$1:$1167,COLUMN(K$1),FALSE),0))*VLOOKUP($D327,素材!$1:$1016,COLUMN($E$1),FALSE),0),"")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IFERROR(VLOOKUP($C327,装備品!$1:$998,COLUMN(AA$1),FALSE)*VLOOKUP($D327,素材!$1:$1016,COLUMN($G$1),FALSE),"")</f>
        <v/>
      </c>
      <c r="N327" t="str">
        <f>IFERROR(VLOOKUP($C327,装備品!$1:$998,COLUMN(I$1),FALSE),"")</f>
        <v/>
      </c>
      <c r="O327" s="23" t="str">
        <f>IFERROR((VLOOKUP($C327,装備品!$1:$998,COLUMN(K$1),FALSE)+VLOOKUP($D327,素材!$1:$1016,COLUMN(H$1),FALSE))*100+IFERROR(VLOOKUP($CI327,付与!$1:$1167,COLUMN(O$1),FALSE),0),"")</f>
        <v/>
      </c>
      <c r="P327" s="23" t="str">
        <f>IFERROR((VLOOKUP($C327,装備品!$1:$998,COLUMN(L$1),FALSE)+VLOOKUP($D327,素材!$1:$1016,COLUMN(I$1),FALSE))*100+IFERROR(VLOOKUP($CI327,付与!$1:$1167,COLUMN(P$1),FALSE),0),"")</f>
        <v/>
      </c>
      <c r="Q327" t="str">
        <f>IFERROR(ROUNDUP(VLOOKUP($C327,装備品!$1:$998,COLUMN(M$1),FALSE)*(VLOOKUP($D327,素材!$1:$1002,COLUMN(D$1),FALSE)/100),1),"")</f>
        <v/>
      </c>
      <c r="R327" t="str">
        <f>IFERROR(ROUNDUP(VLOOKUP($C327,装備品!$1:$998,COLUMN(N$1),FALSE)*(VLOOKUP($D327,素材!$1:$1002,COLUMN(D$1),FALSE)/100),1),"")</f>
        <v/>
      </c>
      <c r="S327" t="str">
        <f>IFERROR(VLOOKUP($C327,装備品!$1:$998,COLUMN(P$1),FALSE),"")</f>
        <v/>
      </c>
      <c r="T327" t="str">
        <f>IFERROR(VLOOKUP($C327,装備品!$1:$998,COLUMN(Q$1),FALSE),"")</f>
        <v/>
      </c>
      <c r="U327" t="str">
        <f>IFERROR(VLOOKUP($C327,装備品!$1:$998,COLUMN(R$1),FALSE),"")</f>
        <v/>
      </c>
      <c r="V327" t="str">
        <f>IFERROR(VLOOKUP($C327,装備品!$1:$998,COLUMN(Q$1),FALSE),"")</f>
        <v/>
      </c>
      <c r="W327" t="str">
        <f>IFERROR(VLOOKUP($C327,装備品!$1:$998,COLUMN(T$1),FALSE),"")</f>
        <v/>
      </c>
      <c r="Y327" t="str">
        <f>IFERROR(VLOOKUP($C327,装備品!$1:$998,COLUMN(U$1),FALSE),"")</f>
        <v/>
      </c>
      <c r="Z327" t="str">
        <f>IFERROR(ROUNDUP(VLOOKUP($C327,装備品!$1:$998,COLUMN(O$1),FALSE)*VLOOKUP($D327,素材!$1:$1016,COLUMN(E$1),FALSE),1),"")</f>
        <v/>
      </c>
      <c r="AA327">
        <f>IF(ISNUMBER(SEARCH(SUBSTITUTE(AA$1,RIGHT(AA$1,2),""),VLOOKUP($D327,素材!$1:$1016,COLUMN($F$1),FALSE))),VLOOKUP($C327,装備品!$1:$998,COLUMN($O$1),FALSE)*VLOOKUP($D327,素材!$1:$1016,COLUMN($E$1),FALSE)/(LEN(VLOOKUP($D327,素材!$1:$1016,COLUMN($F$1),FALSE))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IFERROR(VLOOKUP($C327,装備品!$1:$998,COLUMN(V$1),FALSE)*VLOOKUP($D327,素材!$1:$1016,COLUMN(N$1),FALSE)+IF(CI327="",0,VLOOKUP($CI327,付与!$1:$1176,COLUMN($CK$1),FALSE)),"")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IFERROR(IF(CI328="",VLOOKUP($D328,素材!$1:$1016,COLUMN($B$1),FALSE)&amp;"・"&amp;VLOOKUP($C328,装備品!$1:$998,COLUMN(B$1),FALSE),VLOOKUP($CI328,付与!$1:$1176,COLUMN($B$1),FALSE)&amp;"・"&amp;VLOOKUP($C328,装備品!$1:$998,COLUMN(B$1),FALSE)),"")</f>
        <v/>
      </c>
      <c r="C328" s="24"/>
      <c r="D328" s="24"/>
      <c r="E328" t="str">
        <f>IFERROR(VLOOKUP(C328,装備品!$1:$998,COLUMN(C$1),FALSE),"")</f>
        <v/>
      </c>
      <c r="F328" t="str">
        <f>IFERROR(ROUNDDOWN((VLOOKUP($C328,装備品!$1:$998,COLUMN(D$1),FALSE)+IFERROR(VLOOKUP($CI328,付与!$1:$1167,COLUMN(F$1),FALSE),0))*VLOOKUP($D328,素材!$1:$1016,COLUMN(D$1),FALSE),0),"")</f>
        <v/>
      </c>
      <c r="G328" t="str">
        <f>IFERROR(ROUNDDOWN((VLOOKUP($C328,装備品!$1:$998,COLUMN(E$1),FALSE)+IFERROR(VLOOKUP($CI328,付与!$1:$1167,COLUMN(G$1),FALSE),0))*VLOOKUP($D328,素材!$1:$1016,COLUMN($E$1),FALSE),0),"")</f>
        <v/>
      </c>
      <c r="H328" t="str">
        <f>IFERROR(ROUNDDOWN((VLOOKUP($C328,装備品!$1:$998,COLUMN(F$1),FALSE)+IFERROR(VLOOKUP($CI328,付与!$1:$1167,COLUMN(H$1),FALSE),0))*VLOOKUP($D328,素材!$1:$1016,COLUMN($E$1),FALSE),0),"")</f>
        <v/>
      </c>
      <c r="I328" t="str">
        <f>IFERROR(ROUNDDOWN((VLOOKUP($C328,装備品!$1:$998,COLUMN(G$1),FALSE)+IFERROR(VLOOKUP($CI328,付与!$1:$1167,COLUMN(I$1),FALSE),0))*VLOOKUP($D328,素材!$1:$1016,COLUMN($E$1),FALSE),0),"")</f>
        <v/>
      </c>
      <c r="J328" t="str">
        <f>IFERROR(ROUNDDOWN((VLOOKUP($C328,装備品!$1:$998,COLUMN(H$1),FALSE)+IFERROR(VLOOKUP($CI328,付与!$1:$1167,COLUMN(J$1),FALSE),0))*VLOOKUP($D328,素材!$1:$1016,COLUMN($E$1),FALSE),0),"")</f>
        <v/>
      </c>
      <c r="K328" t="str">
        <f>IFERROR(ROUNDDOWN((VLOOKUP($C328,装備品!$1:$998,COLUMN(I$1),FALSE)+IFERROR(VLOOKUP($CI328,付与!$1:$1167,COLUMN(K$1),FALSE),0))*VLOOKUP($D328,素材!$1:$1016,COLUMN($E$1),FALSE),0),"")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IFERROR(VLOOKUP($C328,装備品!$1:$998,COLUMN(AA$1),FALSE)*VLOOKUP($D328,素材!$1:$1016,COLUMN($G$1),FALSE),"")</f>
        <v/>
      </c>
      <c r="N328" t="str">
        <f>IFERROR(VLOOKUP($C328,装備品!$1:$998,COLUMN(I$1),FALSE),"")</f>
        <v/>
      </c>
      <c r="O328" s="23" t="str">
        <f>IFERROR((VLOOKUP($C328,装備品!$1:$998,COLUMN(K$1),FALSE)+VLOOKUP($D328,素材!$1:$1016,COLUMN(H$1),FALSE))*100+IFERROR(VLOOKUP($CI328,付与!$1:$1167,COLUMN(O$1),FALSE),0),"")</f>
        <v/>
      </c>
      <c r="P328" s="23" t="str">
        <f>IFERROR((VLOOKUP($C328,装備品!$1:$998,COLUMN(L$1),FALSE)+VLOOKUP($D328,素材!$1:$1016,COLUMN(I$1),FALSE))*100+IFERROR(VLOOKUP($CI328,付与!$1:$1167,COLUMN(P$1),FALSE),0),"")</f>
        <v/>
      </c>
      <c r="Q328" t="str">
        <f>IFERROR(ROUNDUP(VLOOKUP($C328,装備品!$1:$998,COLUMN(M$1),FALSE)*(VLOOKUP($D328,素材!$1:$1002,COLUMN(D$1),FALSE)/100),1),"")</f>
        <v/>
      </c>
      <c r="R328" t="str">
        <f>IFERROR(ROUNDUP(VLOOKUP($C328,装備品!$1:$998,COLUMN(N$1),FALSE)*(VLOOKUP($D328,素材!$1:$1002,COLUMN(D$1),FALSE)/100),1),"")</f>
        <v/>
      </c>
      <c r="S328" t="str">
        <f>IFERROR(VLOOKUP($C328,装備品!$1:$998,COLUMN(P$1),FALSE),"")</f>
        <v/>
      </c>
      <c r="T328" t="str">
        <f>IFERROR(VLOOKUP($C328,装備品!$1:$998,COLUMN(Q$1),FALSE),"")</f>
        <v/>
      </c>
      <c r="U328" t="str">
        <f>IFERROR(VLOOKUP($C328,装備品!$1:$998,COLUMN(R$1),FALSE),"")</f>
        <v/>
      </c>
      <c r="V328" t="str">
        <f>IFERROR(VLOOKUP($C328,装備品!$1:$998,COLUMN(Q$1),FALSE),"")</f>
        <v/>
      </c>
      <c r="W328" t="str">
        <f>IFERROR(VLOOKUP($C328,装備品!$1:$998,COLUMN(T$1),FALSE),"")</f>
        <v/>
      </c>
      <c r="Y328" t="str">
        <f>IFERROR(VLOOKUP($C328,装備品!$1:$998,COLUMN(U$1),FALSE),"")</f>
        <v/>
      </c>
      <c r="Z328" t="str">
        <f>IFERROR(ROUNDUP(VLOOKUP($C328,装備品!$1:$998,COLUMN(O$1),FALSE)*VLOOKUP($D328,素材!$1:$1016,COLUMN(E$1),FALSE),1),"")</f>
        <v/>
      </c>
      <c r="AA328">
        <f>IF(ISNUMBER(SEARCH(SUBSTITUTE(AA$1,RIGHT(AA$1,2),""),VLOOKUP($D328,素材!$1:$1016,COLUMN($F$1),FALSE))),VLOOKUP($C328,装備品!$1:$998,COLUMN($O$1),FALSE)*VLOOKUP($D328,素材!$1:$1016,COLUMN($E$1),FALSE)/(LEN(VLOOKUP($D328,素材!$1:$1016,COLUMN($F$1),FALSE))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IFERROR(VLOOKUP($C328,装備品!$1:$998,COLUMN(V$1),FALSE)*VLOOKUP($D328,素材!$1:$1016,COLUMN(N$1),FALSE)+IF(CI328="",0,VLOOKUP($CI328,付与!$1:$1176,COLUMN($CK$1),FALSE)),"")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IFERROR(IF(CI329="",VLOOKUP($D329,素材!$1:$1016,COLUMN($B$1),FALSE)&amp;"・"&amp;VLOOKUP($C329,装備品!$1:$998,COLUMN(B$1),FALSE),VLOOKUP($CI329,付与!$1:$1176,COLUMN($B$1),FALSE)&amp;"・"&amp;VLOOKUP($C329,装備品!$1:$998,COLUMN(B$1),FALSE)),"")</f>
        <v/>
      </c>
      <c r="C329" s="24"/>
      <c r="D329" s="24"/>
      <c r="E329" t="str">
        <f>IFERROR(VLOOKUP(C329,装備品!$1:$998,COLUMN(C$1),FALSE),"")</f>
        <v/>
      </c>
      <c r="F329" t="str">
        <f>IFERROR(ROUNDDOWN((VLOOKUP($C329,装備品!$1:$998,COLUMN(D$1),FALSE)+IFERROR(VLOOKUP($CI329,付与!$1:$1167,COLUMN(F$1),FALSE),0))*VLOOKUP($D329,素材!$1:$1016,COLUMN(D$1),FALSE),0),"")</f>
        <v/>
      </c>
      <c r="G329" t="str">
        <f>IFERROR(ROUNDDOWN((VLOOKUP($C329,装備品!$1:$998,COLUMN(E$1),FALSE)+IFERROR(VLOOKUP($CI329,付与!$1:$1167,COLUMN(G$1),FALSE),0))*VLOOKUP($D329,素材!$1:$1016,COLUMN($E$1),FALSE),0),"")</f>
        <v/>
      </c>
      <c r="H329" t="str">
        <f>IFERROR(ROUNDDOWN((VLOOKUP($C329,装備品!$1:$998,COLUMN(F$1),FALSE)+IFERROR(VLOOKUP($CI329,付与!$1:$1167,COLUMN(H$1),FALSE),0))*VLOOKUP($D329,素材!$1:$1016,COLUMN($E$1),FALSE),0),"")</f>
        <v/>
      </c>
      <c r="I329" t="str">
        <f>IFERROR(ROUNDDOWN((VLOOKUP($C329,装備品!$1:$998,COLUMN(G$1),FALSE)+IFERROR(VLOOKUP($CI329,付与!$1:$1167,COLUMN(I$1),FALSE),0))*VLOOKUP($D329,素材!$1:$1016,COLUMN($E$1),FALSE),0),"")</f>
        <v/>
      </c>
      <c r="J329" t="str">
        <f>IFERROR(ROUNDDOWN((VLOOKUP($C329,装備品!$1:$998,COLUMN(H$1),FALSE)+IFERROR(VLOOKUP($CI329,付与!$1:$1167,COLUMN(J$1),FALSE),0))*VLOOKUP($D329,素材!$1:$1016,COLUMN($E$1),FALSE),0),"")</f>
        <v/>
      </c>
      <c r="K329" t="str">
        <f>IFERROR(ROUNDDOWN((VLOOKUP($C329,装備品!$1:$998,COLUMN(I$1),FALSE)+IFERROR(VLOOKUP($CI329,付与!$1:$1167,COLUMN(K$1),FALSE),0))*VLOOKUP($D329,素材!$1:$1016,COLUMN($E$1),FALSE),0),"")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IFERROR(VLOOKUP($C329,装備品!$1:$998,COLUMN(AA$1),FALSE)*VLOOKUP($D329,素材!$1:$1016,COLUMN($G$1),FALSE),"")</f>
        <v/>
      </c>
      <c r="N329" t="str">
        <f>IFERROR(VLOOKUP($C329,装備品!$1:$998,COLUMN(I$1),FALSE),"")</f>
        <v/>
      </c>
      <c r="O329" s="23" t="str">
        <f>IFERROR((VLOOKUP($C329,装備品!$1:$998,COLUMN(K$1),FALSE)+VLOOKUP($D329,素材!$1:$1016,COLUMN(H$1),FALSE))*100+IFERROR(VLOOKUP($CI329,付与!$1:$1167,COLUMN(O$1),FALSE),0),"")</f>
        <v/>
      </c>
      <c r="P329" s="23" t="str">
        <f>IFERROR((VLOOKUP($C329,装備品!$1:$998,COLUMN(L$1),FALSE)+VLOOKUP($D329,素材!$1:$1016,COLUMN(I$1),FALSE))*100+IFERROR(VLOOKUP($CI329,付与!$1:$1167,COLUMN(P$1),FALSE),0),"")</f>
        <v/>
      </c>
      <c r="Q329" t="str">
        <f>IFERROR(ROUNDUP(VLOOKUP($C329,装備品!$1:$998,COLUMN(M$1),FALSE)*(VLOOKUP($D329,素材!$1:$1002,COLUMN(D$1),FALSE)/100),1),"")</f>
        <v/>
      </c>
      <c r="R329" t="str">
        <f>IFERROR(ROUNDUP(VLOOKUP($C329,装備品!$1:$998,COLUMN(N$1),FALSE)*(VLOOKUP($D329,素材!$1:$1002,COLUMN(D$1),FALSE)/100),1),"")</f>
        <v/>
      </c>
      <c r="S329" t="str">
        <f>IFERROR(VLOOKUP($C329,装備品!$1:$998,COLUMN(P$1),FALSE),"")</f>
        <v/>
      </c>
      <c r="T329" t="str">
        <f>IFERROR(VLOOKUP($C329,装備品!$1:$998,COLUMN(Q$1),FALSE),"")</f>
        <v/>
      </c>
      <c r="U329" t="str">
        <f>IFERROR(VLOOKUP($C329,装備品!$1:$998,COLUMN(R$1),FALSE),"")</f>
        <v/>
      </c>
      <c r="V329" t="str">
        <f>IFERROR(VLOOKUP($C329,装備品!$1:$998,COLUMN(Q$1),FALSE),"")</f>
        <v/>
      </c>
      <c r="W329" t="str">
        <f>IFERROR(VLOOKUP($C329,装備品!$1:$998,COLUMN(T$1),FALSE),"")</f>
        <v/>
      </c>
      <c r="Y329" t="str">
        <f>IFERROR(VLOOKUP($C329,装備品!$1:$998,COLUMN(U$1),FALSE),"")</f>
        <v/>
      </c>
      <c r="Z329" t="str">
        <f>IFERROR(ROUNDUP(VLOOKUP($C329,装備品!$1:$998,COLUMN(O$1),FALSE)*VLOOKUP($D329,素材!$1:$1016,COLUMN(E$1),FALSE),1),"")</f>
        <v/>
      </c>
      <c r="AA329">
        <f>IF(ISNUMBER(SEARCH(SUBSTITUTE(AA$1,RIGHT(AA$1,2),""),VLOOKUP($D329,素材!$1:$1016,COLUMN($F$1),FALSE))),VLOOKUP($C329,装備品!$1:$998,COLUMN($O$1),FALSE)*VLOOKUP($D329,素材!$1:$1016,COLUMN($E$1),FALSE)/(LEN(VLOOKUP($D329,素材!$1:$1016,COLUMN($F$1),FALSE))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IFERROR(VLOOKUP($C329,装備品!$1:$998,COLUMN(V$1),FALSE)*VLOOKUP($D329,素材!$1:$1016,COLUMN(N$1),FALSE)+IF(CI329="",0,VLOOKUP($CI329,付与!$1:$1176,COLUMN($CK$1),FALSE)),"")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IFERROR(IF(CI330="",VLOOKUP($D330,素材!$1:$1016,COLUMN($B$1),FALSE)&amp;"・"&amp;VLOOKUP($C330,装備品!$1:$998,COLUMN(B$1),FALSE),VLOOKUP($CI330,付与!$1:$1176,COLUMN($B$1),FALSE)&amp;"・"&amp;VLOOKUP($C330,装備品!$1:$998,COLUMN(B$1),FALSE)),"")</f>
        <v/>
      </c>
      <c r="C330" s="24"/>
      <c r="D330" s="24"/>
      <c r="E330" t="str">
        <f>IFERROR(VLOOKUP(C330,装備品!$1:$998,COLUMN(C$1),FALSE),"")</f>
        <v/>
      </c>
      <c r="F330" t="str">
        <f>IFERROR(ROUNDDOWN((VLOOKUP($C330,装備品!$1:$998,COLUMN(D$1),FALSE)+IFERROR(VLOOKUP($CI330,付与!$1:$1167,COLUMN(F$1),FALSE),0))*VLOOKUP($D330,素材!$1:$1016,COLUMN(D$1),FALSE),0),"")</f>
        <v/>
      </c>
      <c r="G330" t="str">
        <f>IFERROR(ROUNDDOWN((VLOOKUP($C330,装備品!$1:$998,COLUMN(E$1),FALSE)+IFERROR(VLOOKUP($CI330,付与!$1:$1167,COLUMN(G$1),FALSE),0))*VLOOKUP($D330,素材!$1:$1016,COLUMN($E$1),FALSE),0),"")</f>
        <v/>
      </c>
      <c r="H330" t="str">
        <f>IFERROR(ROUNDDOWN((VLOOKUP($C330,装備品!$1:$998,COLUMN(F$1),FALSE)+IFERROR(VLOOKUP($CI330,付与!$1:$1167,COLUMN(H$1),FALSE),0))*VLOOKUP($D330,素材!$1:$1016,COLUMN($E$1),FALSE),0),"")</f>
        <v/>
      </c>
      <c r="I330" t="str">
        <f>IFERROR(ROUNDDOWN((VLOOKUP($C330,装備品!$1:$998,COLUMN(G$1),FALSE)+IFERROR(VLOOKUP($CI330,付与!$1:$1167,COLUMN(I$1),FALSE),0))*VLOOKUP($D330,素材!$1:$1016,COLUMN($E$1),FALSE),0),"")</f>
        <v/>
      </c>
      <c r="J330" t="str">
        <f>IFERROR(ROUNDDOWN((VLOOKUP($C330,装備品!$1:$998,COLUMN(H$1),FALSE)+IFERROR(VLOOKUP($CI330,付与!$1:$1167,COLUMN(J$1),FALSE),0))*VLOOKUP($D330,素材!$1:$1016,COLUMN($E$1),FALSE),0),"")</f>
        <v/>
      </c>
      <c r="K330" t="str">
        <f>IFERROR(ROUNDDOWN((VLOOKUP($C330,装備品!$1:$998,COLUMN(I$1),FALSE)+IFERROR(VLOOKUP($CI330,付与!$1:$1167,COLUMN(K$1),FALSE),0))*VLOOKUP($D330,素材!$1:$1016,COLUMN($E$1),FALSE),0),"")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IFERROR(VLOOKUP($C330,装備品!$1:$998,COLUMN(AA$1),FALSE)*VLOOKUP($D330,素材!$1:$1016,COLUMN($G$1),FALSE),"")</f>
        <v/>
      </c>
      <c r="N330" t="str">
        <f>IFERROR(VLOOKUP($C330,装備品!$1:$998,COLUMN(I$1),FALSE),"")</f>
        <v/>
      </c>
      <c r="O330" s="23" t="str">
        <f>IFERROR((VLOOKUP($C330,装備品!$1:$998,COLUMN(K$1),FALSE)+VLOOKUP($D330,素材!$1:$1016,COLUMN(H$1),FALSE))*100+IFERROR(VLOOKUP($CI330,付与!$1:$1167,COLUMN(O$1),FALSE),0),"")</f>
        <v/>
      </c>
      <c r="P330" s="23" t="str">
        <f>IFERROR((VLOOKUP($C330,装備品!$1:$998,COLUMN(L$1),FALSE)+VLOOKUP($D330,素材!$1:$1016,COLUMN(I$1),FALSE))*100+IFERROR(VLOOKUP($CI330,付与!$1:$1167,COLUMN(P$1),FALSE),0),"")</f>
        <v/>
      </c>
      <c r="Q330" t="str">
        <f>IFERROR(ROUNDUP(VLOOKUP($C330,装備品!$1:$998,COLUMN(M$1),FALSE)*(VLOOKUP($D330,素材!$1:$1002,COLUMN(D$1),FALSE)/100),1),"")</f>
        <v/>
      </c>
      <c r="R330" t="str">
        <f>IFERROR(ROUNDUP(VLOOKUP($C330,装備品!$1:$998,COLUMN(N$1),FALSE)*(VLOOKUP($D330,素材!$1:$1002,COLUMN(D$1),FALSE)/100),1),"")</f>
        <v/>
      </c>
      <c r="S330" t="str">
        <f>IFERROR(VLOOKUP($C330,装備品!$1:$998,COLUMN(P$1),FALSE),"")</f>
        <v/>
      </c>
      <c r="T330" t="str">
        <f>IFERROR(VLOOKUP($C330,装備品!$1:$998,COLUMN(Q$1),FALSE),"")</f>
        <v/>
      </c>
      <c r="U330" t="str">
        <f>IFERROR(VLOOKUP($C330,装備品!$1:$998,COLUMN(R$1),FALSE),"")</f>
        <v/>
      </c>
      <c r="V330" t="str">
        <f>IFERROR(VLOOKUP($C330,装備品!$1:$998,COLUMN(Q$1),FALSE),"")</f>
        <v/>
      </c>
      <c r="W330" t="str">
        <f>IFERROR(VLOOKUP($C330,装備品!$1:$998,COLUMN(T$1),FALSE),"")</f>
        <v/>
      </c>
      <c r="Y330" t="str">
        <f>IFERROR(VLOOKUP($C330,装備品!$1:$998,COLUMN(U$1),FALSE),"")</f>
        <v/>
      </c>
      <c r="Z330" t="str">
        <f>IFERROR(ROUNDUP(VLOOKUP($C330,装備品!$1:$998,COLUMN(O$1),FALSE)*VLOOKUP($D330,素材!$1:$1016,COLUMN(E$1),FALSE),1),"")</f>
        <v/>
      </c>
      <c r="AA330">
        <f>IF(ISNUMBER(SEARCH(SUBSTITUTE(AA$1,RIGHT(AA$1,2),""),VLOOKUP($D330,素材!$1:$1016,COLUMN($F$1),FALSE))),VLOOKUP($C330,装備品!$1:$998,COLUMN($O$1),FALSE)*VLOOKUP($D330,素材!$1:$1016,COLUMN($E$1),FALSE)/(LEN(VLOOKUP($D330,素材!$1:$1016,COLUMN($F$1),FALSE))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IFERROR(VLOOKUP($C330,装備品!$1:$998,COLUMN(V$1),FALSE)*VLOOKUP($D330,素材!$1:$1016,COLUMN(N$1),FALSE)+IF(CI330="",0,VLOOKUP($CI330,付与!$1:$1176,COLUMN($CK$1),FALSE)),"")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IFERROR(IF(CI331="",VLOOKUP($D331,素材!$1:$1016,COLUMN($B$1),FALSE)&amp;"・"&amp;VLOOKUP($C331,装備品!$1:$998,COLUMN(B$1),FALSE),VLOOKUP($CI331,付与!$1:$1176,COLUMN($B$1),FALSE)&amp;"・"&amp;VLOOKUP($C331,装備品!$1:$998,COLUMN(B$1),FALSE)),"")</f>
        <v/>
      </c>
      <c r="C331" s="24"/>
      <c r="D331" s="24"/>
      <c r="E331" t="str">
        <f>IFERROR(VLOOKUP(C331,装備品!$1:$998,COLUMN(C$1),FALSE),"")</f>
        <v/>
      </c>
      <c r="F331" t="str">
        <f>IFERROR(ROUNDDOWN((VLOOKUP($C331,装備品!$1:$998,COLUMN(D$1),FALSE)+IFERROR(VLOOKUP($CI331,付与!$1:$1167,COLUMN(F$1),FALSE),0))*VLOOKUP($D331,素材!$1:$1016,COLUMN(D$1),FALSE),0),"")</f>
        <v/>
      </c>
      <c r="G331" t="str">
        <f>IFERROR(ROUNDDOWN((VLOOKUP($C331,装備品!$1:$998,COLUMN(E$1),FALSE)+IFERROR(VLOOKUP($CI331,付与!$1:$1167,COLUMN(G$1),FALSE),0))*VLOOKUP($D331,素材!$1:$1016,COLUMN($E$1),FALSE),0),"")</f>
        <v/>
      </c>
      <c r="H331" t="str">
        <f>IFERROR(ROUNDDOWN((VLOOKUP($C331,装備品!$1:$998,COLUMN(F$1),FALSE)+IFERROR(VLOOKUP($CI331,付与!$1:$1167,COLUMN(H$1),FALSE),0))*VLOOKUP($D331,素材!$1:$1016,COLUMN($E$1),FALSE),0),"")</f>
        <v/>
      </c>
      <c r="I331" t="str">
        <f>IFERROR(ROUNDDOWN((VLOOKUP($C331,装備品!$1:$998,COLUMN(G$1),FALSE)+IFERROR(VLOOKUP($CI331,付与!$1:$1167,COLUMN(I$1),FALSE),0))*VLOOKUP($D331,素材!$1:$1016,COLUMN($E$1),FALSE),0),"")</f>
        <v/>
      </c>
      <c r="J331" t="str">
        <f>IFERROR(ROUNDDOWN((VLOOKUP($C331,装備品!$1:$998,COLUMN(H$1),FALSE)+IFERROR(VLOOKUP($CI331,付与!$1:$1167,COLUMN(J$1),FALSE),0))*VLOOKUP($D331,素材!$1:$1016,COLUMN($E$1),FALSE),0),"")</f>
        <v/>
      </c>
      <c r="K331" t="str">
        <f>IFERROR(ROUNDDOWN((VLOOKUP($C331,装備品!$1:$998,COLUMN(I$1),FALSE)+IFERROR(VLOOKUP($CI331,付与!$1:$1167,COLUMN(K$1),FALSE),0))*VLOOKUP($D331,素材!$1:$1016,COLUMN($E$1),FALSE),0),"")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IFERROR(VLOOKUP($C331,装備品!$1:$998,COLUMN(AA$1),FALSE)*VLOOKUP($D331,素材!$1:$1016,COLUMN($G$1),FALSE),"")</f>
        <v/>
      </c>
      <c r="N331" t="str">
        <f>IFERROR(VLOOKUP($C331,装備品!$1:$998,COLUMN(I$1),FALSE),"")</f>
        <v/>
      </c>
      <c r="O331" s="23" t="str">
        <f>IFERROR((VLOOKUP($C331,装備品!$1:$998,COLUMN(K$1),FALSE)+VLOOKUP($D331,素材!$1:$1016,COLUMN(H$1),FALSE))*100+IFERROR(VLOOKUP($CI331,付与!$1:$1167,COLUMN(O$1),FALSE),0),"")</f>
        <v/>
      </c>
      <c r="P331" s="23" t="str">
        <f>IFERROR((VLOOKUP($C331,装備品!$1:$998,COLUMN(L$1),FALSE)+VLOOKUP($D331,素材!$1:$1016,COLUMN(I$1),FALSE))*100+IFERROR(VLOOKUP($CI331,付与!$1:$1167,COLUMN(P$1),FALSE),0),"")</f>
        <v/>
      </c>
      <c r="Q331" t="str">
        <f>IFERROR(ROUNDUP(VLOOKUP($C331,装備品!$1:$998,COLUMN(M$1),FALSE)*(VLOOKUP($D331,素材!$1:$1002,COLUMN(D$1),FALSE)/100),1),"")</f>
        <v/>
      </c>
      <c r="R331" t="str">
        <f>IFERROR(ROUNDUP(VLOOKUP($C331,装備品!$1:$998,COLUMN(N$1),FALSE)*(VLOOKUP($D331,素材!$1:$1002,COLUMN(D$1),FALSE)/100),1),"")</f>
        <v/>
      </c>
      <c r="S331" t="str">
        <f>IFERROR(VLOOKUP($C331,装備品!$1:$998,COLUMN(P$1),FALSE),"")</f>
        <v/>
      </c>
      <c r="T331" t="str">
        <f>IFERROR(VLOOKUP($C331,装備品!$1:$998,COLUMN(Q$1),FALSE),"")</f>
        <v/>
      </c>
      <c r="U331" t="str">
        <f>IFERROR(VLOOKUP($C331,装備品!$1:$998,COLUMN(R$1),FALSE),"")</f>
        <v/>
      </c>
      <c r="V331" t="str">
        <f>IFERROR(VLOOKUP($C331,装備品!$1:$998,COLUMN(Q$1),FALSE),"")</f>
        <v/>
      </c>
      <c r="W331" t="str">
        <f>IFERROR(VLOOKUP($C331,装備品!$1:$998,COLUMN(T$1),FALSE),"")</f>
        <v/>
      </c>
      <c r="Y331" t="str">
        <f>IFERROR(VLOOKUP($C331,装備品!$1:$998,COLUMN(U$1),FALSE),"")</f>
        <v/>
      </c>
      <c r="Z331" t="str">
        <f>IFERROR(ROUNDUP(VLOOKUP($C331,装備品!$1:$998,COLUMN(O$1),FALSE)*VLOOKUP($D331,素材!$1:$1016,COLUMN(E$1),FALSE),1),"")</f>
        <v/>
      </c>
      <c r="AA331">
        <f>IF(ISNUMBER(SEARCH(SUBSTITUTE(AA$1,RIGHT(AA$1,2),""),VLOOKUP($D331,素材!$1:$1016,COLUMN($F$1),FALSE))),VLOOKUP($C331,装備品!$1:$998,COLUMN($O$1),FALSE)*VLOOKUP($D331,素材!$1:$1016,COLUMN($E$1),FALSE)/(LEN(VLOOKUP($D331,素材!$1:$1016,COLUMN($F$1),FALSE))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IFERROR(VLOOKUP($C331,装備品!$1:$998,COLUMN(V$1),FALSE)*VLOOKUP($D331,素材!$1:$1016,COLUMN(N$1),FALSE)+IF(CI331="",0,VLOOKUP($CI331,付与!$1:$1176,COLUMN($CK$1),FALSE)),"")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IFERROR(IF(CI332="",VLOOKUP($D332,素材!$1:$1016,COLUMN($B$1),FALSE)&amp;"・"&amp;VLOOKUP($C332,装備品!$1:$998,COLUMN(B$1),FALSE),VLOOKUP($CI332,付与!$1:$1176,COLUMN($B$1),FALSE)&amp;"・"&amp;VLOOKUP($C332,装備品!$1:$998,COLUMN(B$1),FALSE)),"")</f>
        <v/>
      </c>
      <c r="C332" s="24"/>
      <c r="D332" s="24"/>
      <c r="E332" t="str">
        <f>IFERROR(VLOOKUP(C332,装備品!$1:$998,COLUMN(C$1),FALSE),"")</f>
        <v/>
      </c>
      <c r="F332" t="str">
        <f>IFERROR(ROUNDDOWN((VLOOKUP($C332,装備品!$1:$998,COLUMN(D$1),FALSE)+IFERROR(VLOOKUP($CI332,付与!$1:$1167,COLUMN(F$1),FALSE),0))*VLOOKUP($D332,素材!$1:$1016,COLUMN(D$1),FALSE),0),"")</f>
        <v/>
      </c>
      <c r="G332" t="str">
        <f>IFERROR(ROUNDDOWN((VLOOKUP($C332,装備品!$1:$998,COLUMN(E$1),FALSE)+IFERROR(VLOOKUP($CI332,付与!$1:$1167,COLUMN(G$1),FALSE),0))*VLOOKUP($D332,素材!$1:$1016,COLUMN($E$1),FALSE),0),"")</f>
        <v/>
      </c>
      <c r="H332" t="str">
        <f>IFERROR(ROUNDDOWN((VLOOKUP($C332,装備品!$1:$998,COLUMN(F$1),FALSE)+IFERROR(VLOOKUP($CI332,付与!$1:$1167,COLUMN(H$1),FALSE),0))*VLOOKUP($D332,素材!$1:$1016,COLUMN($E$1),FALSE),0),"")</f>
        <v/>
      </c>
      <c r="I332" t="str">
        <f>IFERROR(ROUNDDOWN((VLOOKUP($C332,装備品!$1:$998,COLUMN(G$1),FALSE)+IFERROR(VLOOKUP($CI332,付与!$1:$1167,COLUMN(I$1),FALSE),0))*VLOOKUP($D332,素材!$1:$1016,COLUMN($E$1),FALSE),0),"")</f>
        <v/>
      </c>
      <c r="J332" t="str">
        <f>IFERROR(ROUNDDOWN((VLOOKUP($C332,装備品!$1:$998,COLUMN(H$1),FALSE)+IFERROR(VLOOKUP($CI332,付与!$1:$1167,COLUMN(J$1),FALSE),0))*VLOOKUP($D332,素材!$1:$1016,COLUMN($E$1),FALSE),0),"")</f>
        <v/>
      </c>
      <c r="K332" t="str">
        <f>IFERROR(ROUNDDOWN((VLOOKUP($C332,装備品!$1:$998,COLUMN(I$1),FALSE)+IFERROR(VLOOKUP($CI332,付与!$1:$1167,COLUMN(K$1),FALSE),0))*VLOOKUP($D332,素材!$1:$1016,COLUMN($E$1),FALSE),0),"")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IFERROR(VLOOKUP($C332,装備品!$1:$998,COLUMN(AA$1),FALSE)*VLOOKUP($D332,素材!$1:$1016,COLUMN($G$1),FALSE),"")</f>
        <v/>
      </c>
      <c r="N332" t="str">
        <f>IFERROR(VLOOKUP($C332,装備品!$1:$998,COLUMN(I$1),FALSE),"")</f>
        <v/>
      </c>
      <c r="O332" s="23" t="str">
        <f>IFERROR((VLOOKUP($C332,装備品!$1:$998,COLUMN(K$1),FALSE)+VLOOKUP($D332,素材!$1:$1016,COLUMN(H$1),FALSE))*100+IFERROR(VLOOKUP($CI332,付与!$1:$1167,COLUMN(O$1),FALSE),0),"")</f>
        <v/>
      </c>
      <c r="P332" s="23" t="str">
        <f>IFERROR((VLOOKUP($C332,装備品!$1:$998,COLUMN(L$1),FALSE)+VLOOKUP($D332,素材!$1:$1016,COLUMN(I$1),FALSE))*100+IFERROR(VLOOKUP($CI332,付与!$1:$1167,COLUMN(P$1),FALSE),0),"")</f>
        <v/>
      </c>
      <c r="Q332" t="str">
        <f>IFERROR(ROUNDUP(VLOOKUP($C332,装備品!$1:$998,COLUMN(M$1),FALSE)*(VLOOKUP($D332,素材!$1:$1002,COLUMN(D$1),FALSE)/100),1),"")</f>
        <v/>
      </c>
      <c r="R332" t="str">
        <f>IFERROR(ROUNDUP(VLOOKUP($C332,装備品!$1:$998,COLUMN(N$1),FALSE)*(VLOOKUP($D332,素材!$1:$1002,COLUMN(D$1),FALSE)/100),1),"")</f>
        <v/>
      </c>
      <c r="S332" t="str">
        <f>IFERROR(VLOOKUP($C332,装備品!$1:$998,COLUMN(P$1),FALSE),"")</f>
        <v/>
      </c>
      <c r="T332" t="str">
        <f>IFERROR(VLOOKUP($C332,装備品!$1:$998,COLUMN(Q$1),FALSE),"")</f>
        <v/>
      </c>
      <c r="U332" t="str">
        <f>IFERROR(VLOOKUP($C332,装備品!$1:$998,COLUMN(R$1),FALSE),"")</f>
        <v/>
      </c>
      <c r="V332" t="str">
        <f>IFERROR(VLOOKUP($C332,装備品!$1:$998,COLUMN(Q$1),FALSE),"")</f>
        <v/>
      </c>
      <c r="W332" t="str">
        <f>IFERROR(VLOOKUP($C332,装備品!$1:$998,COLUMN(T$1),FALSE),"")</f>
        <v/>
      </c>
      <c r="Y332" t="str">
        <f>IFERROR(VLOOKUP($C332,装備品!$1:$998,COLUMN(U$1),FALSE),"")</f>
        <v/>
      </c>
      <c r="Z332" t="str">
        <f>IFERROR(ROUNDUP(VLOOKUP($C332,装備品!$1:$998,COLUMN(O$1),FALSE)*VLOOKUP($D332,素材!$1:$1016,COLUMN(E$1),FALSE),1),"")</f>
        <v/>
      </c>
      <c r="AA332">
        <f>IF(ISNUMBER(SEARCH(SUBSTITUTE(AA$1,RIGHT(AA$1,2),""),VLOOKUP($D332,素材!$1:$1016,COLUMN($F$1),FALSE))),VLOOKUP($C332,装備品!$1:$998,COLUMN($O$1),FALSE)*VLOOKUP($D332,素材!$1:$1016,COLUMN($E$1),FALSE)/(LEN(VLOOKUP($D332,素材!$1:$1016,COLUMN($F$1),FALSE))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IFERROR(VLOOKUP($C332,装備品!$1:$998,COLUMN(V$1),FALSE)*VLOOKUP($D332,素材!$1:$1016,COLUMN(N$1),FALSE)+IF(CI332="",0,VLOOKUP($CI332,付与!$1:$1176,COLUMN($CK$1),FALSE)),"")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IFERROR(IF(CI333="",VLOOKUP($D333,素材!$1:$1016,COLUMN($B$1),FALSE)&amp;"・"&amp;VLOOKUP($C333,装備品!$1:$998,COLUMN(B$1),FALSE),VLOOKUP($CI333,付与!$1:$1176,COLUMN($B$1),FALSE)&amp;"・"&amp;VLOOKUP($C333,装備品!$1:$998,COLUMN(B$1),FALSE)),"")</f>
        <v/>
      </c>
      <c r="C333" s="24"/>
      <c r="D333" s="24"/>
      <c r="E333" t="str">
        <f>IFERROR(VLOOKUP(C333,装備品!$1:$998,COLUMN(C$1),FALSE),"")</f>
        <v/>
      </c>
      <c r="F333" t="str">
        <f>IFERROR(ROUNDDOWN((VLOOKUP($C333,装備品!$1:$998,COLUMN(D$1),FALSE)+IFERROR(VLOOKUP($CI333,付与!$1:$1167,COLUMN(F$1),FALSE),0))*VLOOKUP($D333,素材!$1:$1016,COLUMN(D$1),FALSE),0),"")</f>
        <v/>
      </c>
      <c r="G333" t="str">
        <f>IFERROR(ROUNDDOWN((VLOOKUP($C333,装備品!$1:$998,COLUMN(E$1),FALSE)+IFERROR(VLOOKUP($CI333,付与!$1:$1167,COLUMN(G$1),FALSE),0))*VLOOKUP($D333,素材!$1:$1016,COLUMN($E$1),FALSE),0),"")</f>
        <v/>
      </c>
      <c r="H333" t="str">
        <f>IFERROR(ROUNDDOWN((VLOOKUP($C333,装備品!$1:$998,COLUMN(F$1),FALSE)+IFERROR(VLOOKUP($CI333,付与!$1:$1167,COLUMN(H$1),FALSE),0))*VLOOKUP($D333,素材!$1:$1016,COLUMN($E$1),FALSE),0),"")</f>
        <v/>
      </c>
      <c r="I333" t="str">
        <f>IFERROR(ROUNDDOWN((VLOOKUP($C333,装備品!$1:$998,COLUMN(G$1),FALSE)+IFERROR(VLOOKUP($CI333,付与!$1:$1167,COLUMN(I$1),FALSE),0))*VLOOKUP($D333,素材!$1:$1016,COLUMN($E$1),FALSE),0),"")</f>
        <v/>
      </c>
      <c r="J333" t="str">
        <f>IFERROR(ROUNDDOWN((VLOOKUP($C333,装備品!$1:$998,COLUMN(H$1),FALSE)+IFERROR(VLOOKUP($CI333,付与!$1:$1167,COLUMN(J$1),FALSE),0))*VLOOKUP($D333,素材!$1:$1016,COLUMN($E$1),FALSE),0),"")</f>
        <v/>
      </c>
      <c r="K333" t="str">
        <f>IFERROR(ROUNDDOWN((VLOOKUP($C333,装備品!$1:$998,COLUMN(I$1),FALSE)+IFERROR(VLOOKUP($CI333,付与!$1:$1167,COLUMN(K$1),FALSE),0))*VLOOKUP($D333,素材!$1:$1016,COLUMN($E$1),FALSE),0),"")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IFERROR(VLOOKUP($C333,装備品!$1:$998,COLUMN(AA$1),FALSE)*VLOOKUP($D333,素材!$1:$1016,COLUMN($G$1),FALSE),"")</f>
        <v/>
      </c>
      <c r="N333" t="str">
        <f>IFERROR(VLOOKUP($C333,装備品!$1:$998,COLUMN(I$1),FALSE),"")</f>
        <v/>
      </c>
      <c r="O333" s="23" t="str">
        <f>IFERROR((VLOOKUP($C333,装備品!$1:$998,COLUMN(K$1),FALSE)+VLOOKUP($D333,素材!$1:$1016,COLUMN(H$1),FALSE))*100+IFERROR(VLOOKUP($CI333,付与!$1:$1167,COLUMN(O$1),FALSE),0),"")</f>
        <v/>
      </c>
      <c r="P333" s="23" t="str">
        <f>IFERROR((VLOOKUP($C333,装備品!$1:$998,COLUMN(L$1),FALSE)+VLOOKUP($D333,素材!$1:$1016,COLUMN(I$1),FALSE))*100+IFERROR(VLOOKUP($CI333,付与!$1:$1167,COLUMN(P$1),FALSE),0),"")</f>
        <v/>
      </c>
      <c r="Q333" t="str">
        <f>IFERROR(ROUNDUP(VLOOKUP($C333,装備品!$1:$998,COLUMN(M$1),FALSE)*(VLOOKUP($D333,素材!$1:$1002,COLUMN(D$1),FALSE)/100),1),"")</f>
        <v/>
      </c>
      <c r="R333" t="str">
        <f>IFERROR(ROUNDUP(VLOOKUP($C333,装備品!$1:$998,COLUMN(N$1),FALSE)*(VLOOKUP($D333,素材!$1:$1002,COLUMN(D$1),FALSE)/100),1),"")</f>
        <v/>
      </c>
      <c r="S333" t="str">
        <f>IFERROR(VLOOKUP($C333,装備品!$1:$998,COLUMN(P$1),FALSE),"")</f>
        <v/>
      </c>
      <c r="T333" t="str">
        <f>IFERROR(VLOOKUP($C333,装備品!$1:$998,COLUMN(Q$1),FALSE),"")</f>
        <v/>
      </c>
      <c r="U333" t="str">
        <f>IFERROR(VLOOKUP($C333,装備品!$1:$998,COLUMN(R$1),FALSE),"")</f>
        <v/>
      </c>
      <c r="V333" t="str">
        <f>IFERROR(VLOOKUP($C333,装備品!$1:$998,COLUMN(Q$1),FALSE),"")</f>
        <v/>
      </c>
      <c r="W333" t="str">
        <f>IFERROR(VLOOKUP($C333,装備品!$1:$998,COLUMN(T$1),FALSE),"")</f>
        <v/>
      </c>
      <c r="Y333" t="str">
        <f>IFERROR(VLOOKUP($C333,装備品!$1:$998,COLUMN(U$1),FALSE),"")</f>
        <v/>
      </c>
      <c r="Z333" t="str">
        <f>IFERROR(ROUNDUP(VLOOKUP($C333,装備品!$1:$998,COLUMN(O$1),FALSE)*VLOOKUP($D333,素材!$1:$1016,COLUMN(E$1),FALSE),1),"")</f>
        <v/>
      </c>
      <c r="AA333">
        <f>IF(ISNUMBER(SEARCH(SUBSTITUTE(AA$1,RIGHT(AA$1,2),""),VLOOKUP($D333,素材!$1:$1016,COLUMN($F$1),FALSE))),VLOOKUP($C333,装備品!$1:$998,COLUMN($O$1),FALSE)*VLOOKUP($D333,素材!$1:$1016,COLUMN($E$1),FALSE)/(LEN(VLOOKUP($D333,素材!$1:$1016,COLUMN($F$1),FALSE))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IFERROR(VLOOKUP($C333,装備品!$1:$998,COLUMN(V$1),FALSE)*VLOOKUP($D333,素材!$1:$1016,COLUMN(N$1),FALSE)+IF(CI333="",0,VLOOKUP($CI333,付与!$1:$1176,COLUMN($CK$1),FALSE)),"")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IFERROR(IF(CI334="",VLOOKUP($D334,素材!$1:$1016,COLUMN($B$1),FALSE)&amp;"・"&amp;VLOOKUP($C334,装備品!$1:$998,COLUMN(B$1),FALSE),VLOOKUP($CI334,付与!$1:$1176,COLUMN($B$1),FALSE)&amp;"・"&amp;VLOOKUP($C334,装備品!$1:$998,COLUMN(B$1),FALSE)),"")</f>
        <v/>
      </c>
      <c r="C334" s="24"/>
      <c r="D334" s="24"/>
      <c r="E334" t="str">
        <f>IFERROR(VLOOKUP(C334,装備品!$1:$998,COLUMN(C$1),FALSE),"")</f>
        <v/>
      </c>
      <c r="F334" t="str">
        <f>IFERROR(ROUNDDOWN((VLOOKUP($C334,装備品!$1:$998,COLUMN(D$1),FALSE)+IFERROR(VLOOKUP($CI334,付与!$1:$1167,COLUMN(F$1),FALSE),0))*VLOOKUP($D334,素材!$1:$1016,COLUMN(D$1),FALSE),0),"")</f>
        <v/>
      </c>
      <c r="G334" t="str">
        <f>IFERROR(ROUNDDOWN((VLOOKUP($C334,装備品!$1:$998,COLUMN(E$1),FALSE)+IFERROR(VLOOKUP($CI334,付与!$1:$1167,COLUMN(G$1),FALSE),0))*VLOOKUP($D334,素材!$1:$1016,COLUMN($E$1),FALSE),0),"")</f>
        <v/>
      </c>
      <c r="H334" t="str">
        <f>IFERROR(ROUNDDOWN((VLOOKUP($C334,装備品!$1:$998,COLUMN(F$1),FALSE)+IFERROR(VLOOKUP($CI334,付与!$1:$1167,COLUMN(H$1),FALSE),0))*VLOOKUP($D334,素材!$1:$1016,COLUMN($E$1),FALSE),0),"")</f>
        <v/>
      </c>
      <c r="I334" t="str">
        <f>IFERROR(ROUNDDOWN((VLOOKUP($C334,装備品!$1:$998,COLUMN(G$1),FALSE)+IFERROR(VLOOKUP($CI334,付与!$1:$1167,COLUMN(I$1),FALSE),0))*VLOOKUP($D334,素材!$1:$1016,COLUMN($E$1),FALSE),0),"")</f>
        <v/>
      </c>
      <c r="J334" t="str">
        <f>IFERROR(ROUNDDOWN((VLOOKUP($C334,装備品!$1:$998,COLUMN(H$1),FALSE)+IFERROR(VLOOKUP($CI334,付与!$1:$1167,COLUMN(J$1),FALSE),0))*VLOOKUP($D334,素材!$1:$1016,COLUMN($E$1),FALSE),0),"")</f>
        <v/>
      </c>
      <c r="K334" t="str">
        <f>IFERROR(ROUNDDOWN((VLOOKUP($C334,装備品!$1:$998,COLUMN(I$1),FALSE)+IFERROR(VLOOKUP($CI334,付与!$1:$1167,COLUMN(K$1),FALSE),0))*VLOOKUP($D334,素材!$1:$1016,COLUMN($E$1),FALSE),0),"")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IFERROR(VLOOKUP($C334,装備品!$1:$998,COLUMN(AA$1),FALSE)*VLOOKUP($D334,素材!$1:$1016,COLUMN($G$1),FALSE),"")</f>
        <v/>
      </c>
      <c r="N334" t="str">
        <f>IFERROR(VLOOKUP($C334,装備品!$1:$998,COLUMN(I$1),FALSE),"")</f>
        <v/>
      </c>
      <c r="O334" s="23" t="str">
        <f>IFERROR((VLOOKUP($C334,装備品!$1:$998,COLUMN(K$1),FALSE)+VLOOKUP($D334,素材!$1:$1016,COLUMN(H$1),FALSE))*100+IFERROR(VLOOKUP($CI334,付与!$1:$1167,COLUMN(O$1),FALSE),0),"")</f>
        <v/>
      </c>
      <c r="P334" s="23" t="str">
        <f>IFERROR((VLOOKUP($C334,装備品!$1:$998,COLUMN(L$1),FALSE)+VLOOKUP($D334,素材!$1:$1016,COLUMN(I$1),FALSE))*100+IFERROR(VLOOKUP($CI334,付与!$1:$1167,COLUMN(P$1),FALSE),0),"")</f>
        <v/>
      </c>
      <c r="Q334" t="str">
        <f>IFERROR(ROUNDUP(VLOOKUP($C334,装備品!$1:$998,COLUMN(M$1),FALSE)*(VLOOKUP($D334,素材!$1:$1002,COLUMN(D$1),FALSE)/100),1),"")</f>
        <v/>
      </c>
      <c r="R334" t="str">
        <f>IFERROR(ROUNDUP(VLOOKUP($C334,装備品!$1:$998,COLUMN(N$1),FALSE)*(VLOOKUP($D334,素材!$1:$1002,COLUMN(D$1),FALSE)/100),1),"")</f>
        <v/>
      </c>
      <c r="S334" t="str">
        <f>IFERROR(VLOOKUP($C334,装備品!$1:$998,COLUMN(P$1),FALSE),"")</f>
        <v/>
      </c>
      <c r="T334" t="str">
        <f>IFERROR(VLOOKUP($C334,装備品!$1:$998,COLUMN(Q$1),FALSE),"")</f>
        <v/>
      </c>
      <c r="U334" t="str">
        <f>IFERROR(VLOOKUP($C334,装備品!$1:$998,COLUMN(R$1),FALSE),"")</f>
        <v/>
      </c>
      <c r="V334" t="str">
        <f>IFERROR(VLOOKUP($C334,装備品!$1:$998,COLUMN(Q$1),FALSE),"")</f>
        <v/>
      </c>
      <c r="W334" t="str">
        <f>IFERROR(VLOOKUP($C334,装備品!$1:$998,COLUMN(T$1),FALSE),"")</f>
        <v/>
      </c>
      <c r="Y334" t="str">
        <f>IFERROR(VLOOKUP($C334,装備品!$1:$998,COLUMN(U$1),FALSE),"")</f>
        <v/>
      </c>
      <c r="Z334" t="str">
        <f>IFERROR(ROUNDUP(VLOOKUP($C334,装備品!$1:$998,COLUMN(O$1),FALSE)*VLOOKUP($D334,素材!$1:$1016,COLUMN(E$1),FALSE),1),"")</f>
        <v/>
      </c>
      <c r="AA334">
        <f>IF(ISNUMBER(SEARCH(SUBSTITUTE(AA$1,RIGHT(AA$1,2),""),VLOOKUP($D334,素材!$1:$1016,COLUMN($F$1),FALSE))),VLOOKUP($C334,装備品!$1:$998,COLUMN($O$1),FALSE)*VLOOKUP($D334,素材!$1:$1016,COLUMN($E$1),FALSE)/(LEN(VLOOKUP($D334,素材!$1:$1016,COLUMN($F$1),FALSE))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IFERROR(VLOOKUP($C334,装備品!$1:$998,COLUMN(V$1),FALSE)*VLOOKUP($D334,素材!$1:$1016,COLUMN(N$1),FALSE)+IF(CI334="",0,VLOOKUP($CI334,付与!$1:$1176,COLUMN($CK$1),FALSE)),"")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IFERROR(IF(CI335="",VLOOKUP($D335,素材!$1:$1016,COLUMN($B$1),FALSE)&amp;"・"&amp;VLOOKUP($C335,装備品!$1:$998,COLUMN(B$1),FALSE),VLOOKUP($CI335,付与!$1:$1176,COLUMN($B$1),FALSE)&amp;"・"&amp;VLOOKUP($C335,装備品!$1:$998,COLUMN(B$1),FALSE)),"")</f>
        <v/>
      </c>
      <c r="C335" s="24"/>
      <c r="D335" s="24"/>
      <c r="E335" t="str">
        <f>IFERROR(VLOOKUP(C335,装備品!$1:$998,COLUMN(C$1),FALSE),"")</f>
        <v/>
      </c>
      <c r="F335" t="str">
        <f>IFERROR(ROUNDDOWN((VLOOKUP($C335,装備品!$1:$998,COLUMN(D$1),FALSE)+IFERROR(VLOOKUP($CI335,付与!$1:$1167,COLUMN(F$1),FALSE),0))*VLOOKUP($D335,素材!$1:$1016,COLUMN(D$1),FALSE),0),"")</f>
        <v/>
      </c>
      <c r="G335" t="str">
        <f>IFERROR(ROUNDDOWN((VLOOKUP($C335,装備品!$1:$998,COLUMN(E$1),FALSE)+IFERROR(VLOOKUP($CI335,付与!$1:$1167,COLUMN(G$1),FALSE),0))*VLOOKUP($D335,素材!$1:$1016,COLUMN($E$1),FALSE),0),"")</f>
        <v/>
      </c>
      <c r="H335" t="str">
        <f>IFERROR(ROUNDDOWN((VLOOKUP($C335,装備品!$1:$998,COLUMN(F$1),FALSE)+IFERROR(VLOOKUP($CI335,付与!$1:$1167,COLUMN(H$1),FALSE),0))*VLOOKUP($D335,素材!$1:$1016,COLUMN($E$1),FALSE),0),"")</f>
        <v/>
      </c>
      <c r="I335" t="str">
        <f>IFERROR(ROUNDDOWN((VLOOKUP($C335,装備品!$1:$998,COLUMN(G$1),FALSE)+IFERROR(VLOOKUP($CI335,付与!$1:$1167,COLUMN(I$1),FALSE),0))*VLOOKUP($D335,素材!$1:$1016,COLUMN($E$1),FALSE),0),"")</f>
        <v/>
      </c>
      <c r="J335" t="str">
        <f>IFERROR(ROUNDDOWN((VLOOKUP($C335,装備品!$1:$998,COLUMN(H$1),FALSE)+IFERROR(VLOOKUP($CI335,付与!$1:$1167,COLUMN(J$1),FALSE),0))*VLOOKUP($D335,素材!$1:$1016,COLUMN($E$1),FALSE),0),"")</f>
        <v/>
      </c>
      <c r="K335" t="str">
        <f>IFERROR(ROUNDDOWN((VLOOKUP($C335,装備品!$1:$998,COLUMN(I$1),FALSE)+IFERROR(VLOOKUP($CI335,付与!$1:$1167,COLUMN(K$1),FALSE),0))*VLOOKUP($D335,素材!$1:$1016,COLUMN($E$1),FALSE),0),"")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IFERROR(VLOOKUP($C335,装備品!$1:$998,COLUMN(AA$1),FALSE)*VLOOKUP($D335,素材!$1:$1016,COLUMN($G$1),FALSE),"")</f>
        <v/>
      </c>
      <c r="N335" t="str">
        <f>IFERROR(VLOOKUP($C335,装備品!$1:$998,COLUMN(I$1),FALSE),"")</f>
        <v/>
      </c>
      <c r="O335" s="23" t="str">
        <f>IFERROR((VLOOKUP($C335,装備品!$1:$998,COLUMN(K$1),FALSE)+VLOOKUP($D335,素材!$1:$1016,COLUMN(H$1),FALSE))*100+IFERROR(VLOOKUP($CI335,付与!$1:$1167,COLUMN(O$1),FALSE),0),"")</f>
        <v/>
      </c>
      <c r="P335" s="23" t="str">
        <f>IFERROR((VLOOKUP($C335,装備品!$1:$998,COLUMN(L$1),FALSE)+VLOOKUP($D335,素材!$1:$1016,COLUMN(I$1),FALSE))*100+IFERROR(VLOOKUP($CI335,付与!$1:$1167,COLUMN(P$1),FALSE),0),"")</f>
        <v/>
      </c>
      <c r="Q335" t="str">
        <f>IFERROR(ROUNDUP(VLOOKUP($C335,装備品!$1:$998,COLUMN(M$1),FALSE)*(VLOOKUP($D335,素材!$1:$1002,COLUMN(D$1),FALSE)/100),1),"")</f>
        <v/>
      </c>
      <c r="R335" t="str">
        <f>IFERROR(ROUNDUP(VLOOKUP($C335,装備品!$1:$998,COLUMN(N$1),FALSE)*(VLOOKUP($D335,素材!$1:$1002,COLUMN(D$1),FALSE)/100),1),"")</f>
        <v/>
      </c>
      <c r="S335" t="str">
        <f>IFERROR(VLOOKUP($C335,装備品!$1:$998,COLUMN(P$1),FALSE),"")</f>
        <v/>
      </c>
      <c r="T335" t="str">
        <f>IFERROR(VLOOKUP($C335,装備品!$1:$998,COLUMN(Q$1),FALSE),"")</f>
        <v/>
      </c>
      <c r="U335" t="str">
        <f>IFERROR(VLOOKUP($C335,装備品!$1:$998,COLUMN(R$1),FALSE),"")</f>
        <v/>
      </c>
      <c r="V335" t="str">
        <f>IFERROR(VLOOKUP($C335,装備品!$1:$998,COLUMN(Q$1),FALSE),"")</f>
        <v/>
      </c>
      <c r="W335" t="str">
        <f>IFERROR(VLOOKUP($C335,装備品!$1:$998,COLUMN(T$1),FALSE),"")</f>
        <v/>
      </c>
      <c r="Y335" t="str">
        <f>IFERROR(VLOOKUP($C335,装備品!$1:$998,COLUMN(U$1),FALSE),"")</f>
        <v/>
      </c>
      <c r="Z335" t="str">
        <f>IFERROR(ROUNDUP(VLOOKUP($C335,装備品!$1:$998,COLUMN(O$1),FALSE)*VLOOKUP($D335,素材!$1:$1016,COLUMN(E$1),FALSE),1),"")</f>
        <v/>
      </c>
      <c r="AA335">
        <f>IF(ISNUMBER(SEARCH(SUBSTITUTE(AA$1,RIGHT(AA$1,2),""),VLOOKUP($D335,素材!$1:$1016,COLUMN($F$1),FALSE))),VLOOKUP($C335,装備品!$1:$998,COLUMN($O$1),FALSE)*VLOOKUP($D335,素材!$1:$1016,COLUMN($E$1),FALSE)/(LEN(VLOOKUP($D335,素材!$1:$1016,COLUMN($F$1),FALSE))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IFERROR(VLOOKUP($C335,装備品!$1:$998,COLUMN(V$1),FALSE)*VLOOKUP($D335,素材!$1:$1016,COLUMN(N$1),FALSE)+IF(CI335="",0,VLOOKUP($CI335,付与!$1:$1176,COLUMN($CK$1),FALSE)),"")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IFERROR(IF(CI336="",VLOOKUP($D336,素材!$1:$1016,COLUMN($B$1),FALSE)&amp;"・"&amp;VLOOKUP($C336,装備品!$1:$998,COLUMN(B$1),FALSE),VLOOKUP($CI336,付与!$1:$1176,COLUMN($B$1),FALSE)&amp;"・"&amp;VLOOKUP($C336,装備品!$1:$998,COLUMN(B$1),FALSE)),"")</f>
        <v/>
      </c>
      <c r="C336" s="24"/>
      <c r="D336" s="24"/>
      <c r="E336" t="str">
        <f>IFERROR(VLOOKUP(C336,装備品!$1:$998,COLUMN(C$1),FALSE),"")</f>
        <v/>
      </c>
      <c r="F336" t="str">
        <f>IFERROR(ROUNDDOWN((VLOOKUP($C336,装備品!$1:$998,COLUMN(D$1),FALSE)+IFERROR(VLOOKUP($CI336,付与!$1:$1167,COLUMN(F$1),FALSE),0))*VLOOKUP($D336,素材!$1:$1016,COLUMN(D$1),FALSE),0),"")</f>
        <v/>
      </c>
      <c r="G336" t="str">
        <f>IFERROR(ROUNDDOWN((VLOOKUP($C336,装備品!$1:$998,COLUMN(E$1),FALSE)+IFERROR(VLOOKUP($CI336,付与!$1:$1167,COLUMN(G$1),FALSE),0))*VLOOKUP($D336,素材!$1:$1016,COLUMN($E$1),FALSE),0),"")</f>
        <v/>
      </c>
      <c r="H336" t="str">
        <f>IFERROR(ROUNDDOWN((VLOOKUP($C336,装備品!$1:$998,COLUMN(F$1),FALSE)+IFERROR(VLOOKUP($CI336,付与!$1:$1167,COLUMN(H$1),FALSE),0))*VLOOKUP($D336,素材!$1:$1016,COLUMN($E$1),FALSE),0),"")</f>
        <v/>
      </c>
      <c r="I336" t="str">
        <f>IFERROR(ROUNDDOWN((VLOOKUP($C336,装備品!$1:$998,COLUMN(G$1),FALSE)+IFERROR(VLOOKUP($CI336,付与!$1:$1167,COLUMN(I$1),FALSE),0))*VLOOKUP($D336,素材!$1:$1016,COLUMN($E$1),FALSE),0),"")</f>
        <v/>
      </c>
      <c r="J336" t="str">
        <f>IFERROR(ROUNDDOWN((VLOOKUP($C336,装備品!$1:$998,COLUMN(H$1),FALSE)+IFERROR(VLOOKUP($CI336,付与!$1:$1167,COLUMN(J$1),FALSE),0))*VLOOKUP($D336,素材!$1:$1016,COLUMN($E$1),FALSE),0),"")</f>
        <v/>
      </c>
      <c r="K336" t="str">
        <f>IFERROR(ROUNDDOWN((VLOOKUP($C336,装備品!$1:$998,COLUMN(I$1),FALSE)+IFERROR(VLOOKUP($CI336,付与!$1:$1167,COLUMN(K$1),FALSE),0))*VLOOKUP($D336,素材!$1:$1016,COLUMN($E$1),FALSE),0),"")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IFERROR(VLOOKUP($C336,装備品!$1:$998,COLUMN(AA$1),FALSE)*VLOOKUP($D336,素材!$1:$1016,COLUMN($G$1),FALSE),"")</f>
        <v/>
      </c>
      <c r="N336" t="str">
        <f>IFERROR(VLOOKUP($C336,装備品!$1:$998,COLUMN(I$1),FALSE),"")</f>
        <v/>
      </c>
      <c r="O336" s="23" t="str">
        <f>IFERROR((VLOOKUP($C336,装備品!$1:$998,COLUMN(K$1),FALSE)+VLOOKUP($D336,素材!$1:$1016,COLUMN(H$1),FALSE))*100+IFERROR(VLOOKUP($CI336,付与!$1:$1167,COLUMN(O$1),FALSE),0),"")</f>
        <v/>
      </c>
      <c r="P336" s="23" t="str">
        <f>IFERROR((VLOOKUP($C336,装備品!$1:$998,COLUMN(L$1),FALSE)+VLOOKUP($D336,素材!$1:$1016,COLUMN(I$1),FALSE))*100+IFERROR(VLOOKUP($CI336,付与!$1:$1167,COLUMN(P$1),FALSE),0),"")</f>
        <v/>
      </c>
      <c r="Q336" t="str">
        <f>IFERROR(ROUNDUP(VLOOKUP($C336,装備品!$1:$998,COLUMN(M$1),FALSE)*(VLOOKUP($D336,素材!$1:$1002,COLUMN(D$1),FALSE)/100),1),"")</f>
        <v/>
      </c>
      <c r="R336" t="str">
        <f>IFERROR(ROUNDUP(VLOOKUP($C336,装備品!$1:$998,COLUMN(N$1),FALSE)*(VLOOKUP($D336,素材!$1:$1002,COLUMN(D$1),FALSE)/100),1),"")</f>
        <v/>
      </c>
      <c r="S336" t="str">
        <f>IFERROR(VLOOKUP($C336,装備品!$1:$998,COLUMN(P$1),FALSE),"")</f>
        <v/>
      </c>
      <c r="T336" t="str">
        <f>IFERROR(VLOOKUP($C336,装備品!$1:$998,COLUMN(Q$1),FALSE),"")</f>
        <v/>
      </c>
      <c r="U336" t="str">
        <f>IFERROR(VLOOKUP($C336,装備品!$1:$998,COLUMN(R$1),FALSE),"")</f>
        <v/>
      </c>
      <c r="V336" t="str">
        <f>IFERROR(VLOOKUP($C336,装備品!$1:$998,COLUMN(Q$1),FALSE),"")</f>
        <v/>
      </c>
      <c r="W336" t="str">
        <f>IFERROR(VLOOKUP($C336,装備品!$1:$998,COLUMN(T$1),FALSE),"")</f>
        <v/>
      </c>
      <c r="Y336" t="str">
        <f>IFERROR(VLOOKUP($C336,装備品!$1:$998,COLUMN(U$1),FALSE),"")</f>
        <v/>
      </c>
      <c r="Z336" t="str">
        <f>IFERROR(ROUNDUP(VLOOKUP($C336,装備品!$1:$998,COLUMN(O$1),FALSE)*VLOOKUP($D336,素材!$1:$1016,COLUMN(E$1),FALSE),1),"")</f>
        <v/>
      </c>
      <c r="AA336">
        <f>IF(ISNUMBER(SEARCH(SUBSTITUTE(AA$1,RIGHT(AA$1,2),""),VLOOKUP($D336,素材!$1:$1016,COLUMN($F$1),FALSE))),VLOOKUP($C336,装備品!$1:$998,COLUMN($O$1),FALSE)*VLOOKUP($D336,素材!$1:$1016,COLUMN($E$1),FALSE)/(LEN(VLOOKUP($D336,素材!$1:$1016,COLUMN($F$1),FALSE))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IFERROR(VLOOKUP($C336,装備品!$1:$998,COLUMN(V$1),FALSE)*VLOOKUP($D336,素材!$1:$1016,COLUMN(N$1),FALSE)+IF(CI336="",0,VLOOKUP($CI336,付与!$1:$1176,COLUMN($CK$1),FALSE)),"")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IFERROR(IF(CI337="",VLOOKUP($D337,素材!$1:$1016,COLUMN($B$1),FALSE)&amp;"・"&amp;VLOOKUP($C337,装備品!$1:$998,COLUMN(B$1),FALSE),VLOOKUP($CI337,付与!$1:$1176,COLUMN($B$1),FALSE)&amp;"・"&amp;VLOOKUP($C337,装備品!$1:$998,COLUMN(B$1),FALSE)),"")</f>
        <v/>
      </c>
      <c r="C337" s="24"/>
      <c r="D337" s="24"/>
      <c r="E337" t="str">
        <f>IFERROR(VLOOKUP(C337,装備品!$1:$998,COLUMN(C$1),FALSE),"")</f>
        <v/>
      </c>
      <c r="F337" t="str">
        <f>IFERROR(ROUNDDOWN((VLOOKUP($C337,装備品!$1:$998,COLUMN(D$1),FALSE)+IFERROR(VLOOKUP($CI337,付与!$1:$1167,COLUMN(F$1),FALSE),0))*VLOOKUP($D337,素材!$1:$1016,COLUMN(D$1),FALSE),0),"")</f>
        <v/>
      </c>
      <c r="G337" t="str">
        <f>IFERROR(ROUNDDOWN((VLOOKUP($C337,装備品!$1:$998,COLUMN(E$1),FALSE)+IFERROR(VLOOKUP($CI337,付与!$1:$1167,COLUMN(G$1),FALSE),0))*VLOOKUP($D337,素材!$1:$1016,COLUMN($E$1),FALSE),0),"")</f>
        <v/>
      </c>
      <c r="H337" t="str">
        <f>IFERROR(ROUNDDOWN((VLOOKUP($C337,装備品!$1:$998,COLUMN(F$1),FALSE)+IFERROR(VLOOKUP($CI337,付与!$1:$1167,COLUMN(H$1),FALSE),0))*VLOOKUP($D337,素材!$1:$1016,COLUMN($E$1),FALSE),0),"")</f>
        <v/>
      </c>
      <c r="I337" t="str">
        <f>IFERROR(ROUNDDOWN((VLOOKUP($C337,装備品!$1:$998,COLUMN(G$1),FALSE)+IFERROR(VLOOKUP($CI337,付与!$1:$1167,COLUMN(I$1),FALSE),0))*VLOOKUP($D337,素材!$1:$1016,COLUMN($E$1),FALSE),0),"")</f>
        <v/>
      </c>
      <c r="J337" t="str">
        <f>IFERROR(ROUNDDOWN((VLOOKUP($C337,装備品!$1:$998,COLUMN(H$1),FALSE)+IFERROR(VLOOKUP($CI337,付与!$1:$1167,COLUMN(J$1),FALSE),0))*VLOOKUP($D337,素材!$1:$1016,COLUMN($E$1),FALSE),0),"")</f>
        <v/>
      </c>
      <c r="K337" t="str">
        <f>IFERROR(ROUNDDOWN((VLOOKUP($C337,装備品!$1:$998,COLUMN(I$1),FALSE)+IFERROR(VLOOKUP($CI337,付与!$1:$1167,COLUMN(K$1),FALSE),0))*VLOOKUP($D337,素材!$1:$1016,COLUMN($E$1),FALSE),0),"")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IFERROR(VLOOKUP($C337,装備品!$1:$998,COLUMN(AA$1),FALSE)*VLOOKUP($D337,素材!$1:$1016,COLUMN($G$1),FALSE),"")</f>
        <v/>
      </c>
      <c r="N337" t="str">
        <f>IFERROR(VLOOKUP($C337,装備品!$1:$998,COLUMN(I$1),FALSE),"")</f>
        <v/>
      </c>
      <c r="O337" s="23" t="str">
        <f>IFERROR((VLOOKUP($C337,装備品!$1:$998,COLUMN(K$1),FALSE)+VLOOKUP($D337,素材!$1:$1016,COLUMN(H$1),FALSE))*100+IFERROR(VLOOKUP($CI337,付与!$1:$1167,COLUMN(O$1),FALSE),0),"")</f>
        <v/>
      </c>
      <c r="P337" s="23" t="str">
        <f>IFERROR((VLOOKUP($C337,装備品!$1:$998,COLUMN(L$1),FALSE)+VLOOKUP($D337,素材!$1:$1016,COLUMN(I$1),FALSE))*100+IFERROR(VLOOKUP($CI337,付与!$1:$1167,COLUMN(P$1),FALSE),0),"")</f>
        <v/>
      </c>
      <c r="Q337" t="str">
        <f>IFERROR(ROUNDUP(VLOOKUP($C337,装備品!$1:$998,COLUMN(M$1),FALSE)*(VLOOKUP($D337,素材!$1:$1002,COLUMN(D$1),FALSE)/100),1),"")</f>
        <v/>
      </c>
      <c r="R337" t="str">
        <f>IFERROR(ROUNDUP(VLOOKUP($C337,装備品!$1:$998,COLUMN(N$1),FALSE)*(VLOOKUP($D337,素材!$1:$1002,COLUMN(D$1),FALSE)/100),1),"")</f>
        <v/>
      </c>
      <c r="S337" t="str">
        <f>IFERROR(VLOOKUP($C337,装備品!$1:$998,COLUMN(P$1),FALSE),"")</f>
        <v/>
      </c>
      <c r="T337" t="str">
        <f>IFERROR(VLOOKUP($C337,装備品!$1:$998,COLUMN(Q$1),FALSE),"")</f>
        <v/>
      </c>
      <c r="U337" t="str">
        <f>IFERROR(VLOOKUP($C337,装備品!$1:$998,COLUMN(R$1),FALSE),"")</f>
        <v/>
      </c>
      <c r="V337" t="str">
        <f>IFERROR(VLOOKUP($C337,装備品!$1:$998,COLUMN(Q$1),FALSE),"")</f>
        <v/>
      </c>
      <c r="W337" t="str">
        <f>IFERROR(VLOOKUP($C337,装備品!$1:$998,COLUMN(T$1),FALSE),"")</f>
        <v/>
      </c>
      <c r="Y337" t="str">
        <f>IFERROR(VLOOKUP($C337,装備品!$1:$998,COLUMN(U$1),FALSE),"")</f>
        <v/>
      </c>
      <c r="Z337" t="str">
        <f>IFERROR(ROUNDUP(VLOOKUP($C337,装備品!$1:$998,COLUMN(O$1),FALSE)*VLOOKUP($D337,素材!$1:$1016,COLUMN(E$1),FALSE),1),"")</f>
        <v/>
      </c>
      <c r="AA337">
        <f>IF(ISNUMBER(SEARCH(SUBSTITUTE(AA$1,RIGHT(AA$1,2),""),VLOOKUP($D337,素材!$1:$1016,COLUMN($F$1),FALSE))),VLOOKUP($C337,装備品!$1:$998,COLUMN($O$1),FALSE)*VLOOKUP($D337,素材!$1:$1016,COLUMN($E$1),FALSE)/(LEN(VLOOKUP($D337,素材!$1:$1016,COLUMN($F$1),FALSE))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IFERROR(VLOOKUP($C337,装備品!$1:$998,COLUMN(V$1),FALSE)*VLOOKUP($D337,素材!$1:$1016,COLUMN(N$1),FALSE)+IF(CI337="",0,VLOOKUP($CI337,付与!$1:$1176,COLUMN($CK$1),FALSE)),"")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IFERROR(IF(CI338="",VLOOKUP($D338,素材!$1:$1016,COLUMN($B$1),FALSE)&amp;"・"&amp;VLOOKUP($C338,装備品!$1:$998,COLUMN(B$1),FALSE),VLOOKUP($CI338,付与!$1:$1176,COLUMN($B$1),FALSE)&amp;"・"&amp;VLOOKUP($C338,装備品!$1:$998,COLUMN(B$1),FALSE)),"")</f>
        <v/>
      </c>
      <c r="C338" s="24"/>
      <c r="D338" s="24"/>
      <c r="E338" t="str">
        <f>IFERROR(VLOOKUP(C338,装備品!$1:$998,COLUMN(C$1),FALSE),"")</f>
        <v/>
      </c>
      <c r="F338" t="str">
        <f>IFERROR(ROUNDDOWN((VLOOKUP($C338,装備品!$1:$998,COLUMN(D$1),FALSE)+IFERROR(VLOOKUP($CI338,付与!$1:$1167,COLUMN(F$1),FALSE),0))*VLOOKUP($D338,素材!$1:$1016,COLUMN(D$1),FALSE),0),"")</f>
        <v/>
      </c>
      <c r="G338" t="str">
        <f>IFERROR(ROUNDDOWN((VLOOKUP($C338,装備品!$1:$998,COLUMN(E$1),FALSE)+IFERROR(VLOOKUP($CI338,付与!$1:$1167,COLUMN(G$1),FALSE),0))*VLOOKUP($D338,素材!$1:$1016,COLUMN($E$1),FALSE),0),"")</f>
        <v/>
      </c>
      <c r="H338" t="str">
        <f>IFERROR(ROUNDDOWN((VLOOKUP($C338,装備品!$1:$998,COLUMN(F$1),FALSE)+IFERROR(VLOOKUP($CI338,付与!$1:$1167,COLUMN(H$1),FALSE),0))*VLOOKUP($D338,素材!$1:$1016,COLUMN($E$1),FALSE),0),"")</f>
        <v/>
      </c>
      <c r="I338" t="str">
        <f>IFERROR(ROUNDDOWN((VLOOKUP($C338,装備品!$1:$998,COLUMN(G$1),FALSE)+IFERROR(VLOOKUP($CI338,付与!$1:$1167,COLUMN(I$1),FALSE),0))*VLOOKUP($D338,素材!$1:$1016,COLUMN($E$1),FALSE),0),"")</f>
        <v/>
      </c>
      <c r="J338" t="str">
        <f>IFERROR(ROUNDDOWN((VLOOKUP($C338,装備品!$1:$998,COLUMN(H$1),FALSE)+IFERROR(VLOOKUP($CI338,付与!$1:$1167,COLUMN(J$1),FALSE),0))*VLOOKUP($D338,素材!$1:$1016,COLUMN($E$1),FALSE),0),"")</f>
        <v/>
      </c>
      <c r="K338" t="str">
        <f>IFERROR(ROUNDDOWN((VLOOKUP($C338,装備品!$1:$998,COLUMN(I$1),FALSE)+IFERROR(VLOOKUP($CI338,付与!$1:$1167,COLUMN(K$1),FALSE),0))*VLOOKUP($D338,素材!$1:$1016,COLUMN($E$1),FALSE),0),"")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IFERROR(VLOOKUP($C338,装備品!$1:$998,COLUMN(AA$1),FALSE)*VLOOKUP($D338,素材!$1:$1016,COLUMN($G$1),FALSE),"")</f>
        <v/>
      </c>
      <c r="N338" t="str">
        <f>IFERROR(VLOOKUP($C338,装備品!$1:$998,COLUMN(I$1),FALSE),"")</f>
        <v/>
      </c>
      <c r="O338" s="23" t="str">
        <f>IFERROR((VLOOKUP($C338,装備品!$1:$998,COLUMN(K$1),FALSE)+VLOOKUP($D338,素材!$1:$1016,COLUMN(H$1),FALSE))*100+IFERROR(VLOOKUP($CI338,付与!$1:$1167,COLUMN(O$1),FALSE),0),"")</f>
        <v/>
      </c>
      <c r="P338" s="23" t="str">
        <f>IFERROR((VLOOKUP($C338,装備品!$1:$998,COLUMN(L$1),FALSE)+VLOOKUP($D338,素材!$1:$1016,COLUMN(I$1),FALSE))*100+IFERROR(VLOOKUP($CI338,付与!$1:$1167,COLUMN(P$1),FALSE),0),"")</f>
        <v/>
      </c>
      <c r="Q338" t="str">
        <f>IFERROR(ROUNDUP(VLOOKUP($C338,装備品!$1:$998,COLUMN(M$1),FALSE)*(VLOOKUP($D338,素材!$1:$1002,COLUMN(D$1),FALSE)/100),1),"")</f>
        <v/>
      </c>
      <c r="R338" t="str">
        <f>IFERROR(ROUNDUP(VLOOKUP($C338,装備品!$1:$998,COLUMN(N$1),FALSE)*(VLOOKUP($D338,素材!$1:$1002,COLUMN(D$1),FALSE)/100),1),"")</f>
        <v/>
      </c>
      <c r="S338" t="str">
        <f>IFERROR(VLOOKUP($C338,装備品!$1:$998,COLUMN(P$1),FALSE),"")</f>
        <v/>
      </c>
      <c r="T338" t="str">
        <f>IFERROR(VLOOKUP($C338,装備品!$1:$998,COLUMN(Q$1),FALSE),"")</f>
        <v/>
      </c>
      <c r="U338" t="str">
        <f>IFERROR(VLOOKUP($C338,装備品!$1:$998,COLUMN(R$1),FALSE),"")</f>
        <v/>
      </c>
      <c r="V338" t="str">
        <f>IFERROR(VLOOKUP($C338,装備品!$1:$998,COLUMN(Q$1),FALSE),"")</f>
        <v/>
      </c>
      <c r="W338" t="str">
        <f>IFERROR(VLOOKUP($C338,装備品!$1:$998,COLUMN(T$1),FALSE),"")</f>
        <v/>
      </c>
      <c r="Y338" t="str">
        <f>IFERROR(VLOOKUP($C338,装備品!$1:$998,COLUMN(U$1),FALSE),"")</f>
        <v/>
      </c>
      <c r="Z338" t="str">
        <f>IFERROR(ROUNDUP(VLOOKUP($C338,装備品!$1:$998,COLUMN(O$1),FALSE)*VLOOKUP($D338,素材!$1:$1016,COLUMN(E$1),FALSE),1),"")</f>
        <v/>
      </c>
      <c r="AA338">
        <f>IF(ISNUMBER(SEARCH(SUBSTITUTE(AA$1,RIGHT(AA$1,2),""),VLOOKUP($D338,素材!$1:$1016,COLUMN($F$1),FALSE))),VLOOKUP($C338,装備品!$1:$998,COLUMN($O$1),FALSE)*VLOOKUP($D338,素材!$1:$1016,COLUMN($E$1),FALSE)/(LEN(VLOOKUP($D338,素材!$1:$1016,COLUMN($F$1),FALSE))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IFERROR(VLOOKUP($C338,装備品!$1:$998,COLUMN(V$1),FALSE)*VLOOKUP($D338,素材!$1:$1016,COLUMN(N$1),FALSE)+IF(CI338="",0,VLOOKUP($CI338,付与!$1:$1176,COLUMN($CK$1),FALSE)),"")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IFERROR(IF(CI339="",VLOOKUP($D339,素材!$1:$1016,COLUMN($B$1),FALSE)&amp;"・"&amp;VLOOKUP($C339,装備品!$1:$998,COLUMN(B$1),FALSE),VLOOKUP($CI339,付与!$1:$1176,COLUMN($B$1),FALSE)&amp;"・"&amp;VLOOKUP($C339,装備品!$1:$998,COLUMN(B$1),FALSE)),"")</f>
        <v/>
      </c>
      <c r="C339" s="24"/>
      <c r="D339" s="24"/>
      <c r="E339" t="str">
        <f>IFERROR(VLOOKUP(C339,装備品!$1:$998,COLUMN(C$1),FALSE),"")</f>
        <v/>
      </c>
      <c r="F339" t="str">
        <f>IFERROR(ROUNDDOWN((VLOOKUP($C339,装備品!$1:$998,COLUMN(D$1),FALSE)+IFERROR(VLOOKUP($CI339,付与!$1:$1167,COLUMN(F$1),FALSE),0))*VLOOKUP($D339,素材!$1:$1016,COLUMN(D$1),FALSE),0),"")</f>
        <v/>
      </c>
      <c r="G339" t="str">
        <f>IFERROR(ROUNDDOWN((VLOOKUP($C339,装備品!$1:$998,COLUMN(E$1),FALSE)+IFERROR(VLOOKUP($CI339,付与!$1:$1167,COLUMN(G$1),FALSE),0))*VLOOKUP($D339,素材!$1:$1016,COLUMN($E$1),FALSE),0),"")</f>
        <v/>
      </c>
      <c r="H339" t="str">
        <f>IFERROR(ROUNDDOWN((VLOOKUP($C339,装備品!$1:$998,COLUMN(F$1),FALSE)+IFERROR(VLOOKUP($CI339,付与!$1:$1167,COLUMN(H$1),FALSE),0))*VLOOKUP($D339,素材!$1:$1016,COLUMN($E$1),FALSE),0),"")</f>
        <v/>
      </c>
      <c r="I339" t="str">
        <f>IFERROR(ROUNDDOWN((VLOOKUP($C339,装備品!$1:$998,COLUMN(G$1),FALSE)+IFERROR(VLOOKUP($CI339,付与!$1:$1167,COLUMN(I$1),FALSE),0))*VLOOKUP($D339,素材!$1:$1016,COLUMN($E$1),FALSE),0),"")</f>
        <v/>
      </c>
      <c r="J339" t="str">
        <f>IFERROR(ROUNDDOWN((VLOOKUP($C339,装備品!$1:$998,COLUMN(H$1),FALSE)+IFERROR(VLOOKUP($CI339,付与!$1:$1167,COLUMN(J$1),FALSE),0))*VLOOKUP($D339,素材!$1:$1016,COLUMN($E$1),FALSE),0),"")</f>
        <v/>
      </c>
      <c r="K339" t="str">
        <f>IFERROR(ROUNDDOWN((VLOOKUP($C339,装備品!$1:$998,COLUMN(I$1),FALSE)+IFERROR(VLOOKUP($CI339,付与!$1:$1167,COLUMN(K$1),FALSE),0))*VLOOKUP($D339,素材!$1:$1016,COLUMN($E$1),FALSE),0),"")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IFERROR(VLOOKUP($C339,装備品!$1:$998,COLUMN(AA$1),FALSE)*VLOOKUP($D339,素材!$1:$1016,COLUMN($G$1),FALSE),"")</f>
        <v/>
      </c>
      <c r="N339" t="str">
        <f>IFERROR(VLOOKUP($C339,装備品!$1:$998,COLUMN(I$1),FALSE),"")</f>
        <v/>
      </c>
      <c r="O339" s="23" t="str">
        <f>IFERROR((VLOOKUP($C339,装備品!$1:$998,COLUMN(K$1),FALSE)+VLOOKUP($D339,素材!$1:$1016,COLUMN(H$1),FALSE))*100+IFERROR(VLOOKUP($CI339,付与!$1:$1167,COLUMN(O$1),FALSE),0),"")</f>
        <v/>
      </c>
      <c r="P339" s="23" t="str">
        <f>IFERROR((VLOOKUP($C339,装備品!$1:$998,COLUMN(L$1),FALSE)+VLOOKUP($D339,素材!$1:$1016,COLUMN(I$1),FALSE))*100+IFERROR(VLOOKUP($CI339,付与!$1:$1167,COLUMN(P$1),FALSE),0),"")</f>
        <v/>
      </c>
      <c r="Q339" t="str">
        <f>IFERROR(ROUNDUP(VLOOKUP($C339,装備品!$1:$998,COLUMN(M$1),FALSE)*(VLOOKUP($D339,素材!$1:$1002,COLUMN(D$1),FALSE)/100),1),"")</f>
        <v/>
      </c>
      <c r="R339" t="str">
        <f>IFERROR(ROUNDUP(VLOOKUP($C339,装備品!$1:$998,COLUMN(N$1),FALSE)*(VLOOKUP($D339,素材!$1:$1002,COLUMN(D$1),FALSE)/100),1),"")</f>
        <v/>
      </c>
      <c r="S339" t="str">
        <f>IFERROR(VLOOKUP($C339,装備品!$1:$998,COLUMN(P$1),FALSE),"")</f>
        <v/>
      </c>
      <c r="T339" t="str">
        <f>IFERROR(VLOOKUP($C339,装備品!$1:$998,COLUMN(Q$1),FALSE),"")</f>
        <v/>
      </c>
      <c r="U339" t="str">
        <f>IFERROR(VLOOKUP($C339,装備品!$1:$998,COLUMN(R$1),FALSE),"")</f>
        <v/>
      </c>
      <c r="V339" t="str">
        <f>IFERROR(VLOOKUP($C339,装備品!$1:$998,COLUMN(Q$1),FALSE),"")</f>
        <v/>
      </c>
      <c r="W339" t="str">
        <f>IFERROR(VLOOKUP($C339,装備品!$1:$998,COLUMN(T$1),FALSE),"")</f>
        <v/>
      </c>
      <c r="Y339" t="str">
        <f>IFERROR(VLOOKUP($C339,装備品!$1:$998,COLUMN(U$1),FALSE),"")</f>
        <v/>
      </c>
      <c r="Z339" t="str">
        <f>IFERROR(ROUNDUP(VLOOKUP($C339,装備品!$1:$998,COLUMN(O$1),FALSE)*VLOOKUP($D339,素材!$1:$1016,COLUMN(E$1),FALSE),1),"")</f>
        <v/>
      </c>
      <c r="AA339">
        <f>IF(ISNUMBER(SEARCH(SUBSTITUTE(AA$1,RIGHT(AA$1,2),""),VLOOKUP($D339,素材!$1:$1016,COLUMN($F$1),FALSE))),VLOOKUP($C339,装備品!$1:$998,COLUMN($O$1),FALSE)*VLOOKUP($D339,素材!$1:$1016,COLUMN($E$1),FALSE)/(LEN(VLOOKUP($D339,素材!$1:$1016,COLUMN($F$1),FALSE))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IFERROR(VLOOKUP($C339,装備品!$1:$998,COLUMN(V$1),FALSE)*VLOOKUP($D339,素材!$1:$1016,COLUMN(N$1),FALSE)+IF(CI339="",0,VLOOKUP($CI339,付与!$1:$1176,COLUMN($CK$1),FALSE)),"")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IFERROR(IF(CI340="",VLOOKUP($D340,素材!$1:$1016,COLUMN($B$1),FALSE)&amp;"・"&amp;VLOOKUP($C340,装備品!$1:$998,COLUMN(B$1),FALSE),VLOOKUP($CI340,付与!$1:$1176,COLUMN($B$1),FALSE)&amp;"・"&amp;VLOOKUP($C340,装備品!$1:$998,COLUMN(B$1),FALSE)),"")</f>
        <v/>
      </c>
      <c r="C340" s="24"/>
      <c r="D340" s="24"/>
      <c r="E340" t="str">
        <f>IFERROR(VLOOKUP(C340,装備品!$1:$998,COLUMN(C$1),FALSE),"")</f>
        <v/>
      </c>
      <c r="F340" t="str">
        <f>IFERROR(ROUNDDOWN((VLOOKUP($C340,装備品!$1:$998,COLUMN(D$1),FALSE)+IFERROR(VLOOKUP($CI340,付与!$1:$1167,COLUMN(F$1),FALSE),0))*VLOOKUP($D340,素材!$1:$1016,COLUMN(D$1),FALSE),0),"")</f>
        <v/>
      </c>
      <c r="G340" t="str">
        <f>IFERROR(ROUNDDOWN((VLOOKUP($C340,装備品!$1:$998,COLUMN(E$1),FALSE)+IFERROR(VLOOKUP($CI340,付与!$1:$1167,COLUMN(G$1),FALSE),0))*VLOOKUP($D340,素材!$1:$1016,COLUMN($E$1),FALSE),0),"")</f>
        <v/>
      </c>
      <c r="H340" t="str">
        <f>IFERROR(ROUNDDOWN((VLOOKUP($C340,装備品!$1:$998,COLUMN(F$1),FALSE)+IFERROR(VLOOKUP($CI340,付与!$1:$1167,COLUMN(H$1),FALSE),0))*VLOOKUP($D340,素材!$1:$1016,COLUMN($E$1),FALSE),0),"")</f>
        <v/>
      </c>
      <c r="I340" t="str">
        <f>IFERROR(ROUNDDOWN((VLOOKUP($C340,装備品!$1:$998,COLUMN(G$1),FALSE)+IFERROR(VLOOKUP($CI340,付与!$1:$1167,COLUMN(I$1),FALSE),0))*VLOOKUP($D340,素材!$1:$1016,COLUMN($E$1),FALSE),0),"")</f>
        <v/>
      </c>
      <c r="J340" t="str">
        <f>IFERROR(ROUNDDOWN((VLOOKUP($C340,装備品!$1:$998,COLUMN(H$1),FALSE)+IFERROR(VLOOKUP($CI340,付与!$1:$1167,COLUMN(J$1),FALSE),0))*VLOOKUP($D340,素材!$1:$1016,COLUMN($E$1),FALSE),0),"")</f>
        <v/>
      </c>
      <c r="K340" t="str">
        <f>IFERROR(ROUNDDOWN((VLOOKUP($C340,装備品!$1:$998,COLUMN(I$1),FALSE)+IFERROR(VLOOKUP($CI340,付与!$1:$1167,COLUMN(K$1),FALSE),0))*VLOOKUP($D340,素材!$1:$1016,COLUMN($E$1),FALSE),0),"")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IFERROR(VLOOKUP($C340,装備品!$1:$998,COLUMN(AA$1),FALSE)*VLOOKUP($D340,素材!$1:$1016,COLUMN($G$1),FALSE),"")</f>
        <v/>
      </c>
      <c r="N340" t="str">
        <f>IFERROR(VLOOKUP($C340,装備品!$1:$998,COLUMN(I$1),FALSE),"")</f>
        <v/>
      </c>
      <c r="O340" s="23" t="str">
        <f>IFERROR((VLOOKUP($C340,装備品!$1:$998,COLUMN(K$1),FALSE)+VLOOKUP($D340,素材!$1:$1016,COLUMN(H$1),FALSE))*100+IFERROR(VLOOKUP($CI340,付与!$1:$1167,COLUMN(O$1),FALSE),0),"")</f>
        <v/>
      </c>
      <c r="P340" s="23" t="str">
        <f>IFERROR((VLOOKUP($C340,装備品!$1:$998,COLUMN(L$1),FALSE)+VLOOKUP($D340,素材!$1:$1016,COLUMN(I$1),FALSE))*100+IFERROR(VLOOKUP($CI340,付与!$1:$1167,COLUMN(P$1),FALSE),0),"")</f>
        <v/>
      </c>
      <c r="Q340" t="str">
        <f>IFERROR(ROUNDUP(VLOOKUP($C340,装備品!$1:$998,COLUMN(M$1),FALSE)*(VLOOKUP($D340,素材!$1:$1002,COLUMN(D$1),FALSE)/100),1),"")</f>
        <v/>
      </c>
      <c r="R340" t="str">
        <f>IFERROR(ROUNDUP(VLOOKUP($C340,装備品!$1:$998,COLUMN(N$1),FALSE)*(VLOOKUP($D340,素材!$1:$1002,COLUMN(D$1),FALSE)/100),1),"")</f>
        <v/>
      </c>
      <c r="S340" t="str">
        <f>IFERROR(VLOOKUP($C340,装備品!$1:$998,COLUMN(P$1),FALSE),"")</f>
        <v/>
      </c>
      <c r="T340" t="str">
        <f>IFERROR(VLOOKUP($C340,装備品!$1:$998,COLUMN(Q$1),FALSE),"")</f>
        <v/>
      </c>
      <c r="U340" t="str">
        <f>IFERROR(VLOOKUP($C340,装備品!$1:$998,COLUMN(R$1),FALSE),"")</f>
        <v/>
      </c>
      <c r="V340" t="str">
        <f>IFERROR(VLOOKUP($C340,装備品!$1:$998,COLUMN(Q$1),FALSE),"")</f>
        <v/>
      </c>
      <c r="W340" t="str">
        <f>IFERROR(VLOOKUP($C340,装備品!$1:$998,COLUMN(T$1),FALSE),"")</f>
        <v/>
      </c>
      <c r="Y340" t="str">
        <f>IFERROR(VLOOKUP($C340,装備品!$1:$998,COLUMN(U$1),FALSE),"")</f>
        <v/>
      </c>
      <c r="Z340" t="str">
        <f>IFERROR(ROUNDUP(VLOOKUP($C340,装備品!$1:$998,COLUMN(O$1),FALSE)*VLOOKUP($D340,素材!$1:$1016,COLUMN(E$1),FALSE),1),"")</f>
        <v/>
      </c>
      <c r="AA340">
        <f>IF(ISNUMBER(SEARCH(SUBSTITUTE(AA$1,RIGHT(AA$1,2),""),VLOOKUP($D340,素材!$1:$1016,COLUMN($F$1),FALSE))),VLOOKUP($C340,装備品!$1:$998,COLUMN($O$1),FALSE)*VLOOKUP($D340,素材!$1:$1016,COLUMN($E$1),FALSE)/(LEN(VLOOKUP($D340,素材!$1:$1016,COLUMN($F$1),FALSE))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IFERROR(VLOOKUP($C340,装備品!$1:$998,COLUMN(V$1),FALSE)*VLOOKUP($D340,素材!$1:$1016,COLUMN(N$1),FALSE)+IF(CI340="",0,VLOOKUP($CI340,付与!$1:$1176,COLUMN($CK$1),FALSE)),"")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IFERROR(IF(CI341="",VLOOKUP($D341,素材!$1:$1016,COLUMN($B$1),FALSE)&amp;"・"&amp;VLOOKUP($C341,装備品!$1:$998,COLUMN(B$1),FALSE),VLOOKUP($CI341,付与!$1:$1176,COLUMN($B$1),FALSE)&amp;"・"&amp;VLOOKUP($C341,装備品!$1:$998,COLUMN(B$1),FALSE)),"")</f>
        <v/>
      </c>
      <c r="C341" s="24"/>
      <c r="D341" s="24"/>
      <c r="E341" t="str">
        <f>IFERROR(VLOOKUP(C341,装備品!$1:$998,COLUMN(C$1),FALSE),"")</f>
        <v/>
      </c>
      <c r="F341" t="str">
        <f>IFERROR(ROUNDDOWN((VLOOKUP($C341,装備品!$1:$998,COLUMN(D$1),FALSE)+IFERROR(VLOOKUP($CI341,付与!$1:$1167,COLUMN(F$1),FALSE),0))*VLOOKUP($D341,素材!$1:$1016,COLUMN(D$1),FALSE),0),"")</f>
        <v/>
      </c>
      <c r="G341" t="str">
        <f>IFERROR(ROUNDDOWN((VLOOKUP($C341,装備品!$1:$998,COLUMN(E$1),FALSE)+IFERROR(VLOOKUP($CI341,付与!$1:$1167,COLUMN(G$1),FALSE),0))*VLOOKUP($D341,素材!$1:$1016,COLUMN($E$1),FALSE),0),"")</f>
        <v/>
      </c>
      <c r="H341" t="str">
        <f>IFERROR(ROUNDDOWN((VLOOKUP($C341,装備品!$1:$998,COLUMN(F$1),FALSE)+IFERROR(VLOOKUP($CI341,付与!$1:$1167,COLUMN(H$1),FALSE),0))*VLOOKUP($D341,素材!$1:$1016,COLUMN($E$1),FALSE),0),"")</f>
        <v/>
      </c>
      <c r="I341" t="str">
        <f>IFERROR(ROUNDDOWN((VLOOKUP($C341,装備品!$1:$998,COLUMN(G$1),FALSE)+IFERROR(VLOOKUP($CI341,付与!$1:$1167,COLUMN(I$1),FALSE),0))*VLOOKUP($D341,素材!$1:$1016,COLUMN($E$1),FALSE),0),"")</f>
        <v/>
      </c>
      <c r="J341" t="str">
        <f>IFERROR(ROUNDDOWN((VLOOKUP($C341,装備品!$1:$998,COLUMN(H$1),FALSE)+IFERROR(VLOOKUP($CI341,付与!$1:$1167,COLUMN(J$1),FALSE),0))*VLOOKUP($D341,素材!$1:$1016,COLUMN($E$1),FALSE),0),"")</f>
        <v/>
      </c>
      <c r="K341" t="str">
        <f>IFERROR(ROUNDDOWN((VLOOKUP($C341,装備品!$1:$998,COLUMN(I$1),FALSE)+IFERROR(VLOOKUP($CI341,付与!$1:$1167,COLUMN(K$1),FALSE),0))*VLOOKUP($D341,素材!$1:$1016,COLUMN($E$1),FALSE),0),"")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IFERROR(VLOOKUP($C341,装備品!$1:$998,COLUMN(AA$1),FALSE)*VLOOKUP($D341,素材!$1:$1016,COLUMN($G$1),FALSE),"")</f>
        <v/>
      </c>
      <c r="N341" t="str">
        <f>IFERROR(VLOOKUP($C341,装備品!$1:$998,COLUMN(I$1),FALSE),"")</f>
        <v/>
      </c>
      <c r="O341" s="23" t="str">
        <f>IFERROR((VLOOKUP($C341,装備品!$1:$998,COLUMN(K$1),FALSE)+VLOOKUP($D341,素材!$1:$1016,COLUMN(H$1),FALSE))*100+IFERROR(VLOOKUP($CI341,付与!$1:$1167,COLUMN(O$1),FALSE),0),"")</f>
        <v/>
      </c>
      <c r="P341" s="23" t="str">
        <f>IFERROR((VLOOKUP($C341,装備品!$1:$998,COLUMN(L$1),FALSE)+VLOOKUP($D341,素材!$1:$1016,COLUMN(I$1),FALSE))*100+IFERROR(VLOOKUP($CI341,付与!$1:$1167,COLUMN(P$1),FALSE),0),"")</f>
        <v/>
      </c>
      <c r="Q341" t="str">
        <f>IFERROR(ROUNDUP(VLOOKUP($C341,装備品!$1:$998,COLUMN(M$1),FALSE)*(VLOOKUP($D341,素材!$1:$1002,COLUMN(D$1),FALSE)/100),1),"")</f>
        <v/>
      </c>
      <c r="R341" t="str">
        <f>IFERROR(ROUNDUP(VLOOKUP($C341,装備品!$1:$998,COLUMN(N$1),FALSE)*(VLOOKUP($D341,素材!$1:$1002,COLUMN(D$1),FALSE)/100),1),"")</f>
        <v/>
      </c>
      <c r="S341" t="str">
        <f>IFERROR(VLOOKUP($C341,装備品!$1:$998,COLUMN(P$1),FALSE),"")</f>
        <v/>
      </c>
      <c r="T341" t="str">
        <f>IFERROR(VLOOKUP($C341,装備品!$1:$998,COLUMN(Q$1),FALSE),"")</f>
        <v/>
      </c>
      <c r="U341" t="str">
        <f>IFERROR(VLOOKUP($C341,装備品!$1:$998,COLUMN(R$1),FALSE),"")</f>
        <v/>
      </c>
      <c r="V341" t="str">
        <f>IFERROR(VLOOKUP($C341,装備品!$1:$998,COLUMN(Q$1),FALSE),"")</f>
        <v/>
      </c>
      <c r="W341" t="str">
        <f>IFERROR(VLOOKUP($C341,装備品!$1:$998,COLUMN(T$1),FALSE),"")</f>
        <v/>
      </c>
      <c r="Y341" t="str">
        <f>IFERROR(VLOOKUP($C341,装備品!$1:$998,COLUMN(U$1),FALSE),"")</f>
        <v/>
      </c>
      <c r="Z341" t="str">
        <f>IFERROR(ROUNDUP(VLOOKUP($C341,装備品!$1:$998,COLUMN(O$1),FALSE)*VLOOKUP($D341,素材!$1:$1016,COLUMN(E$1),FALSE),1),"")</f>
        <v/>
      </c>
      <c r="AA341">
        <f>IF(ISNUMBER(SEARCH(SUBSTITUTE(AA$1,RIGHT(AA$1,2),""),VLOOKUP($D341,素材!$1:$1016,COLUMN($F$1),FALSE))),VLOOKUP($C341,装備品!$1:$998,COLUMN($O$1),FALSE)*VLOOKUP($D341,素材!$1:$1016,COLUMN($E$1),FALSE)/(LEN(VLOOKUP($D341,素材!$1:$1016,COLUMN($F$1),FALSE))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IFERROR(VLOOKUP($C341,装備品!$1:$998,COLUMN(V$1),FALSE)*VLOOKUP($D341,素材!$1:$1016,COLUMN(N$1),FALSE)+IF(CI341="",0,VLOOKUP($CI341,付与!$1:$1176,COLUMN($CK$1),FALSE)),"")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IFERROR(IF(CI342="",VLOOKUP($D342,素材!$1:$1016,COLUMN($B$1),FALSE)&amp;"・"&amp;VLOOKUP($C342,装備品!$1:$998,COLUMN(B$1),FALSE),VLOOKUP($CI342,付与!$1:$1176,COLUMN($B$1),FALSE)&amp;"・"&amp;VLOOKUP($C342,装備品!$1:$998,COLUMN(B$1),FALSE)),"")</f>
        <v/>
      </c>
      <c r="C342" s="24"/>
      <c r="D342" s="24"/>
      <c r="E342" t="str">
        <f>IFERROR(VLOOKUP(C342,装備品!$1:$998,COLUMN(C$1),FALSE),"")</f>
        <v/>
      </c>
      <c r="F342" t="str">
        <f>IFERROR(ROUNDDOWN((VLOOKUP($C342,装備品!$1:$998,COLUMN(D$1),FALSE)+IFERROR(VLOOKUP($CI342,付与!$1:$1167,COLUMN(F$1),FALSE),0))*VLOOKUP($D342,素材!$1:$1016,COLUMN(D$1),FALSE),0),"")</f>
        <v/>
      </c>
      <c r="G342" t="str">
        <f>IFERROR(ROUNDDOWN((VLOOKUP($C342,装備品!$1:$998,COLUMN(E$1),FALSE)+IFERROR(VLOOKUP($CI342,付与!$1:$1167,COLUMN(G$1),FALSE),0))*VLOOKUP($D342,素材!$1:$1016,COLUMN($E$1),FALSE),0),"")</f>
        <v/>
      </c>
      <c r="H342" t="str">
        <f>IFERROR(ROUNDDOWN((VLOOKUP($C342,装備品!$1:$998,COLUMN(F$1),FALSE)+IFERROR(VLOOKUP($CI342,付与!$1:$1167,COLUMN(H$1),FALSE),0))*VLOOKUP($D342,素材!$1:$1016,COLUMN($E$1),FALSE),0),"")</f>
        <v/>
      </c>
      <c r="I342" t="str">
        <f>IFERROR(ROUNDDOWN((VLOOKUP($C342,装備品!$1:$998,COLUMN(G$1),FALSE)+IFERROR(VLOOKUP($CI342,付与!$1:$1167,COLUMN(I$1),FALSE),0))*VLOOKUP($D342,素材!$1:$1016,COLUMN($E$1),FALSE),0),"")</f>
        <v/>
      </c>
      <c r="J342" t="str">
        <f>IFERROR(ROUNDDOWN((VLOOKUP($C342,装備品!$1:$998,COLUMN(H$1),FALSE)+IFERROR(VLOOKUP($CI342,付与!$1:$1167,COLUMN(J$1),FALSE),0))*VLOOKUP($D342,素材!$1:$1016,COLUMN($E$1),FALSE),0),"")</f>
        <v/>
      </c>
      <c r="K342" t="str">
        <f>IFERROR(ROUNDDOWN((VLOOKUP($C342,装備品!$1:$998,COLUMN(I$1),FALSE)+IFERROR(VLOOKUP($CI342,付与!$1:$1167,COLUMN(K$1),FALSE),0))*VLOOKUP($D342,素材!$1:$1016,COLUMN($E$1),FALSE),0),"")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IFERROR(VLOOKUP($C342,装備品!$1:$998,COLUMN(AA$1),FALSE)*VLOOKUP($D342,素材!$1:$1016,COLUMN($G$1),FALSE),"")</f>
        <v/>
      </c>
      <c r="N342" t="str">
        <f>IFERROR(VLOOKUP($C342,装備品!$1:$998,COLUMN(I$1),FALSE),"")</f>
        <v/>
      </c>
      <c r="O342" s="23" t="str">
        <f>IFERROR((VLOOKUP($C342,装備品!$1:$998,COLUMN(K$1),FALSE)+VLOOKUP($D342,素材!$1:$1016,COLUMN(H$1),FALSE))*100+IFERROR(VLOOKUP($CI342,付与!$1:$1167,COLUMN(O$1),FALSE),0),"")</f>
        <v/>
      </c>
      <c r="P342" s="23" t="str">
        <f>IFERROR((VLOOKUP($C342,装備品!$1:$998,COLUMN(L$1),FALSE)+VLOOKUP($D342,素材!$1:$1016,COLUMN(I$1),FALSE))*100+IFERROR(VLOOKUP($CI342,付与!$1:$1167,COLUMN(P$1),FALSE),0),"")</f>
        <v/>
      </c>
      <c r="Q342" t="str">
        <f>IFERROR(ROUNDUP(VLOOKUP($C342,装備品!$1:$998,COLUMN(M$1),FALSE)*(VLOOKUP($D342,素材!$1:$1002,COLUMN(D$1),FALSE)/100),1),"")</f>
        <v/>
      </c>
      <c r="R342" t="str">
        <f>IFERROR(ROUNDUP(VLOOKUP($C342,装備品!$1:$998,COLUMN(N$1),FALSE)*(VLOOKUP($D342,素材!$1:$1002,COLUMN(D$1),FALSE)/100),1),"")</f>
        <v/>
      </c>
      <c r="S342" t="str">
        <f>IFERROR(VLOOKUP($C342,装備品!$1:$998,COLUMN(P$1),FALSE),"")</f>
        <v/>
      </c>
      <c r="T342" t="str">
        <f>IFERROR(VLOOKUP($C342,装備品!$1:$998,COLUMN(Q$1),FALSE),"")</f>
        <v/>
      </c>
      <c r="U342" t="str">
        <f>IFERROR(VLOOKUP($C342,装備品!$1:$998,COLUMN(R$1),FALSE),"")</f>
        <v/>
      </c>
      <c r="V342" t="str">
        <f>IFERROR(VLOOKUP($C342,装備品!$1:$998,COLUMN(Q$1),FALSE),"")</f>
        <v/>
      </c>
      <c r="W342" t="str">
        <f>IFERROR(VLOOKUP($C342,装備品!$1:$998,COLUMN(T$1),FALSE),"")</f>
        <v/>
      </c>
      <c r="Y342" t="str">
        <f>IFERROR(VLOOKUP($C342,装備品!$1:$998,COLUMN(U$1),FALSE),"")</f>
        <v/>
      </c>
      <c r="Z342" t="str">
        <f>IFERROR(ROUNDUP(VLOOKUP($C342,装備品!$1:$998,COLUMN(O$1),FALSE)*VLOOKUP($D342,素材!$1:$1016,COLUMN(E$1),FALSE),1),"")</f>
        <v/>
      </c>
      <c r="AA342">
        <f>IF(ISNUMBER(SEARCH(SUBSTITUTE(AA$1,RIGHT(AA$1,2),""),VLOOKUP($D342,素材!$1:$1016,COLUMN($F$1),FALSE))),VLOOKUP($C342,装備品!$1:$998,COLUMN($O$1),FALSE)*VLOOKUP($D342,素材!$1:$1016,COLUMN($E$1),FALSE)/(LEN(VLOOKUP($D342,素材!$1:$1016,COLUMN($F$1),FALSE))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IFERROR(VLOOKUP($C342,装備品!$1:$998,COLUMN(V$1),FALSE)*VLOOKUP($D342,素材!$1:$1016,COLUMN(N$1),FALSE)+IF(CI342="",0,VLOOKUP($CI342,付与!$1:$1176,COLUMN($CK$1),FALSE)),"")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IFERROR(IF(CI343="",VLOOKUP($D343,素材!$1:$1016,COLUMN($B$1),FALSE)&amp;"・"&amp;VLOOKUP($C343,装備品!$1:$998,COLUMN(B$1),FALSE),VLOOKUP($CI343,付与!$1:$1176,COLUMN($B$1),FALSE)&amp;"・"&amp;VLOOKUP($C343,装備品!$1:$998,COLUMN(B$1),FALSE)),"")</f>
        <v/>
      </c>
      <c r="C343" s="24"/>
      <c r="D343" s="24"/>
      <c r="E343" t="str">
        <f>IFERROR(VLOOKUP(C343,装備品!$1:$998,COLUMN(C$1),FALSE),"")</f>
        <v/>
      </c>
      <c r="F343" t="str">
        <f>IFERROR(ROUNDDOWN((VLOOKUP($C343,装備品!$1:$998,COLUMN(D$1),FALSE)+IFERROR(VLOOKUP($CI343,付与!$1:$1167,COLUMN(F$1),FALSE),0))*VLOOKUP($D343,素材!$1:$1016,COLUMN(D$1),FALSE),0),"")</f>
        <v/>
      </c>
      <c r="G343" t="str">
        <f>IFERROR(ROUNDDOWN((VLOOKUP($C343,装備品!$1:$998,COLUMN(E$1),FALSE)+IFERROR(VLOOKUP($CI343,付与!$1:$1167,COLUMN(G$1),FALSE),0))*VLOOKUP($D343,素材!$1:$1016,COLUMN($E$1),FALSE),0),"")</f>
        <v/>
      </c>
      <c r="H343" t="str">
        <f>IFERROR(ROUNDDOWN((VLOOKUP($C343,装備品!$1:$998,COLUMN(F$1),FALSE)+IFERROR(VLOOKUP($CI343,付与!$1:$1167,COLUMN(H$1),FALSE),0))*VLOOKUP($D343,素材!$1:$1016,COLUMN($E$1),FALSE),0),"")</f>
        <v/>
      </c>
      <c r="I343" t="str">
        <f>IFERROR(ROUNDDOWN((VLOOKUP($C343,装備品!$1:$998,COLUMN(G$1),FALSE)+IFERROR(VLOOKUP($CI343,付与!$1:$1167,COLUMN(I$1),FALSE),0))*VLOOKUP($D343,素材!$1:$1016,COLUMN($E$1),FALSE),0),"")</f>
        <v/>
      </c>
      <c r="J343" t="str">
        <f>IFERROR(ROUNDDOWN((VLOOKUP($C343,装備品!$1:$998,COLUMN(H$1),FALSE)+IFERROR(VLOOKUP($CI343,付与!$1:$1167,COLUMN(J$1),FALSE),0))*VLOOKUP($D343,素材!$1:$1016,COLUMN($E$1),FALSE),0),"")</f>
        <v/>
      </c>
      <c r="K343" t="str">
        <f>IFERROR(ROUNDDOWN((VLOOKUP($C343,装備品!$1:$998,COLUMN(I$1),FALSE)+IFERROR(VLOOKUP($CI343,付与!$1:$1167,COLUMN(K$1),FALSE),0))*VLOOKUP($D343,素材!$1:$1016,COLUMN($E$1),FALSE),0),"")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IFERROR(VLOOKUP($C343,装備品!$1:$998,COLUMN(AA$1),FALSE)*VLOOKUP($D343,素材!$1:$1016,COLUMN($G$1),FALSE),"")</f>
        <v/>
      </c>
      <c r="N343" t="str">
        <f>IFERROR(VLOOKUP($C343,装備品!$1:$998,COLUMN(I$1),FALSE),"")</f>
        <v/>
      </c>
      <c r="O343" s="23" t="str">
        <f>IFERROR((VLOOKUP($C343,装備品!$1:$998,COLUMN(K$1),FALSE)+VLOOKUP($D343,素材!$1:$1016,COLUMN(H$1),FALSE))*100+IFERROR(VLOOKUP($CI343,付与!$1:$1167,COLUMN(O$1),FALSE),0),"")</f>
        <v/>
      </c>
      <c r="P343" s="23" t="str">
        <f>IFERROR((VLOOKUP($C343,装備品!$1:$998,COLUMN(L$1),FALSE)+VLOOKUP($D343,素材!$1:$1016,COLUMN(I$1),FALSE))*100+IFERROR(VLOOKUP($CI343,付与!$1:$1167,COLUMN(P$1),FALSE),0),"")</f>
        <v/>
      </c>
      <c r="Q343" t="str">
        <f>IFERROR(ROUNDUP(VLOOKUP($C343,装備品!$1:$998,COLUMN(M$1),FALSE)*(VLOOKUP($D343,素材!$1:$1002,COLUMN(D$1),FALSE)/100),1),"")</f>
        <v/>
      </c>
      <c r="R343" t="str">
        <f>IFERROR(ROUNDUP(VLOOKUP($C343,装備品!$1:$998,COLUMN(N$1),FALSE)*(VLOOKUP($D343,素材!$1:$1002,COLUMN(D$1),FALSE)/100),1),"")</f>
        <v/>
      </c>
      <c r="S343" t="str">
        <f>IFERROR(VLOOKUP($C343,装備品!$1:$998,COLUMN(P$1),FALSE),"")</f>
        <v/>
      </c>
      <c r="T343" t="str">
        <f>IFERROR(VLOOKUP($C343,装備品!$1:$998,COLUMN(Q$1),FALSE),"")</f>
        <v/>
      </c>
      <c r="U343" t="str">
        <f>IFERROR(VLOOKUP($C343,装備品!$1:$998,COLUMN(R$1),FALSE),"")</f>
        <v/>
      </c>
      <c r="V343" t="str">
        <f>IFERROR(VLOOKUP($C343,装備品!$1:$998,COLUMN(Q$1),FALSE),"")</f>
        <v/>
      </c>
      <c r="W343" t="str">
        <f>IFERROR(VLOOKUP($C343,装備品!$1:$998,COLUMN(T$1),FALSE),"")</f>
        <v/>
      </c>
      <c r="Y343" t="str">
        <f>IFERROR(VLOOKUP($C343,装備品!$1:$998,COLUMN(U$1),FALSE),"")</f>
        <v/>
      </c>
      <c r="Z343" t="str">
        <f>IFERROR(ROUNDUP(VLOOKUP($C343,装備品!$1:$998,COLUMN(O$1),FALSE)*VLOOKUP($D343,素材!$1:$1016,COLUMN(E$1),FALSE),1),"")</f>
        <v/>
      </c>
      <c r="AA343">
        <f>IF(ISNUMBER(SEARCH(SUBSTITUTE(AA$1,RIGHT(AA$1,2),""),VLOOKUP($D343,素材!$1:$1016,COLUMN($F$1),FALSE))),VLOOKUP($C343,装備品!$1:$998,COLUMN($O$1),FALSE)*VLOOKUP($D343,素材!$1:$1016,COLUMN($E$1),FALSE)/(LEN(VLOOKUP($D343,素材!$1:$1016,COLUMN($F$1),FALSE))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IFERROR(VLOOKUP($C343,装備品!$1:$998,COLUMN(V$1),FALSE)*VLOOKUP($D343,素材!$1:$1016,COLUMN(N$1),FALSE)+IF(CI343="",0,VLOOKUP($CI343,付与!$1:$1176,COLUMN($CK$1),FALSE)),"")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IFERROR(IF(CI344="",VLOOKUP($D344,素材!$1:$1016,COLUMN($B$1),FALSE)&amp;"・"&amp;VLOOKUP($C344,装備品!$1:$998,COLUMN(B$1),FALSE),VLOOKUP($CI344,付与!$1:$1176,COLUMN($B$1),FALSE)&amp;"・"&amp;VLOOKUP($C344,装備品!$1:$998,COLUMN(B$1),FALSE)),"")</f>
        <v/>
      </c>
      <c r="C344" s="24"/>
      <c r="D344" s="24"/>
      <c r="E344" t="str">
        <f>IFERROR(VLOOKUP(C344,装備品!$1:$998,COLUMN(C$1),FALSE),"")</f>
        <v/>
      </c>
      <c r="F344" t="str">
        <f>IFERROR(ROUNDDOWN((VLOOKUP($C344,装備品!$1:$998,COLUMN(D$1),FALSE)+IFERROR(VLOOKUP($CI344,付与!$1:$1167,COLUMN(F$1),FALSE),0))*VLOOKUP($D344,素材!$1:$1016,COLUMN(D$1),FALSE),0),"")</f>
        <v/>
      </c>
      <c r="G344" t="str">
        <f>IFERROR(ROUNDDOWN((VLOOKUP($C344,装備品!$1:$998,COLUMN(E$1),FALSE)+IFERROR(VLOOKUP($CI344,付与!$1:$1167,COLUMN(G$1),FALSE),0))*VLOOKUP($D344,素材!$1:$1016,COLUMN($E$1),FALSE),0),"")</f>
        <v/>
      </c>
      <c r="H344" t="str">
        <f>IFERROR(ROUNDDOWN((VLOOKUP($C344,装備品!$1:$998,COLUMN(F$1),FALSE)+IFERROR(VLOOKUP($CI344,付与!$1:$1167,COLUMN(H$1),FALSE),0))*VLOOKUP($D344,素材!$1:$1016,COLUMN($E$1),FALSE),0),"")</f>
        <v/>
      </c>
      <c r="I344" t="str">
        <f>IFERROR(ROUNDDOWN((VLOOKUP($C344,装備品!$1:$998,COLUMN(G$1),FALSE)+IFERROR(VLOOKUP($CI344,付与!$1:$1167,COLUMN(I$1),FALSE),0))*VLOOKUP($D344,素材!$1:$1016,COLUMN($E$1),FALSE),0),"")</f>
        <v/>
      </c>
      <c r="J344" t="str">
        <f>IFERROR(ROUNDDOWN((VLOOKUP($C344,装備品!$1:$998,COLUMN(H$1),FALSE)+IFERROR(VLOOKUP($CI344,付与!$1:$1167,COLUMN(J$1),FALSE),0))*VLOOKUP($D344,素材!$1:$1016,COLUMN($E$1),FALSE),0),"")</f>
        <v/>
      </c>
      <c r="K344" t="str">
        <f>IFERROR(ROUNDDOWN((VLOOKUP($C344,装備品!$1:$998,COLUMN(I$1),FALSE)+IFERROR(VLOOKUP($CI344,付与!$1:$1167,COLUMN(K$1),FALSE),0))*VLOOKUP($D344,素材!$1:$1016,COLUMN($E$1),FALSE),0),"")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IFERROR(VLOOKUP($C344,装備品!$1:$998,COLUMN(AA$1),FALSE)*VLOOKUP($D344,素材!$1:$1016,COLUMN($G$1),FALSE),"")</f>
        <v/>
      </c>
      <c r="N344" t="str">
        <f>IFERROR(VLOOKUP($C344,装備品!$1:$998,COLUMN(I$1),FALSE),"")</f>
        <v/>
      </c>
      <c r="O344" s="23" t="str">
        <f>IFERROR((VLOOKUP($C344,装備品!$1:$998,COLUMN(K$1),FALSE)+VLOOKUP($D344,素材!$1:$1016,COLUMN(H$1),FALSE))*100+IFERROR(VLOOKUP($CI344,付与!$1:$1167,COLUMN(O$1),FALSE),0),"")</f>
        <v/>
      </c>
      <c r="P344" s="23" t="str">
        <f>IFERROR((VLOOKUP($C344,装備品!$1:$998,COLUMN(L$1),FALSE)+VLOOKUP($D344,素材!$1:$1016,COLUMN(I$1),FALSE))*100+IFERROR(VLOOKUP($CI344,付与!$1:$1167,COLUMN(P$1),FALSE),0),"")</f>
        <v/>
      </c>
      <c r="Q344" t="str">
        <f>IFERROR(ROUNDUP(VLOOKUP($C344,装備品!$1:$998,COLUMN(M$1),FALSE)*(VLOOKUP($D344,素材!$1:$1002,COLUMN(D$1),FALSE)/100),1),"")</f>
        <v/>
      </c>
      <c r="R344" t="str">
        <f>IFERROR(ROUNDUP(VLOOKUP($C344,装備品!$1:$998,COLUMN(N$1),FALSE)*(VLOOKUP($D344,素材!$1:$1002,COLUMN(D$1),FALSE)/100),1),"")</f>
        <v/>
      </c>
      <c r="S344" t="str">
        <f>IFERROR(VLOOKUP($C344,装備品!$1:$998,COLUMN(P$1),FALSE),"")</f>
        <v/>
      </c>
      <c r="T344" t="str">
        <f>IFERROR(VLOOKUP($C344,装備品!$1:$998,COLUMN(Q$1),FALSE),"")</f>
        <v/>
      </c>
      <c r="U344" t="str">
        <f>IFERROR(VLOOKUP($C344,装備品!$1:$998,COLUMN(R$1),FALSE),"")</f>
        <v/>
      </c>
      <c r="V344" t="str">
        <f>IFERROR(VLOOKUP($C344,装備品!$1:$998,COLUMN(Q$1),FALSE),"")</f>
        <v/>
      </c>
      <c r="W344" t="str">
        <f>IFERROR(VLOOKUP($C344,装備品!$1:$998,COLUMN(T$1),FALSE),"")</f>
        <v/>
      </c>
      <c r="Y344" t="str">
        <f>IFERROR(VLOOKUP($C344,装備品!$1:$998,COLUMN(U$1),FALSE),"")</f>
        <v/>
      </c>
      <c r="Z344" t="str">
        <f>IFERROR(ROUNDUP(VLOOKUP($C344,装備品!$1:$998,COLUMN(O$1),FALSE)*VLOOKUP($D344,素材!$1:$1016,COLUMN(E$1),FALSE),1),"")</f>
        <v/>
      </c>
      <c r="AA344">
        <f>IF(ISNUMBER(SEARCH(SUBSTITUTE(AA$1,RIGHT(AA$1,2),""),VLOOKUP($D344,素材!$1:$1016,COLUMN($F$1),FALSE))),VLOOKUP($C344,装備品!$1:$998,COLUMN($O$1),FALSE)*VLOOKUP($D344,素材!$1:$1016,COLUMN($E$1),FALSE)/(LEN(VLOOKUP($D344,素材!$1:$1016,COLUMN($F$1),FALSE))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IFERROR(VLOOKUP($C344,装備品!$1:$998,COLUMN(V$1),FALSE)*VLOOKUP($D344,素材!$1:$1016,COLUMN(N$1),FALSE)+IF(CI344="",0,VLOOKUP($CI344,付与!$1:$1176,COLUMN($CK$1),FALSE)),"")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IFERROR(IF(CI345="",VLOOKUP($D345,素材!$1:$1016,COLUMN($B$1),FALSE)&amp;"・"&amp;VLOOKUP($C345,装備品!$1:$998,COLUMN(B$1),FALSE),VLOOKUP($CI345,付与!$1:$1176,COLUMN($B$1),FALSE)&amp;"・"&amp;VLOOKUP($C345,装備品!$1:$998,COLUMN(B$1),FALSE)),"")</f>
        <v/>
      </c>
      <c r="C345" s="24"/>
      <c r="D345" s="24"/>
      <c r="E345" t="str">
        <f>IFERROR(VLOOKUP(C345,装備品!$1:$998,COLUMN(C$1),FALSE),"")</f>
        <v/>
      </c>
      <c r="F345" t="str">
        <f>IFERROR(ROUNDDOWN((VLOOKUP($C345,装備品!$1:$998,COLUMN(D$1),FALSE)+IFERROR(VLOOKUP($CI345,付与!$1:$1167,COLUMN(F$1),FALSE),0))*VLOOKUP($D345,素材!$1:$1016,COLUMN(D$1),FALSE),0),"")</f>
        <v/>
      </c>
      <c r="G345" t="str">
        <f>IFERROR(ROUNDDOWN((VLOOKUP($C345,装備品!$1:$998,COLUMN(E$1),FALSE)+IFERROR(VLOOKUP($CI345,付与!$1:$1167,COLUMN(G$1),FALSE),0))*VLOOKUP($D345,素材!$1:$1016,COLUMN($E$1),FALSE),0),"")</f>
        <v/>
      </c>
      <c r="H345" t="str">
        <f>IFERROR(ROUNDDOWN((VLOOKUP($C345,装備品!$1:$998,COLUMN(F$1),FALSE)+IFERROR(VLOOKUP($CI345,付与!$1:$1167,COLUMN(H$1),FALSE),0))*VLOOKUP($D345,素材!$1:$1016,COLUMN($E$1),FALSE),0),"")</f>
        <v/>
      </c>
      <c r="I345" t="str">
        <f>IFERROR(ROUNDDOWN((VLOOKUP($C345,装備品!$1:$998,COLUMN(G$1),FALSE)+IFERROR(VLOOKUP($CI345,付与!$1:$1167,COLUMN(I$1),FALSE),0))*VLOOKUP($D345,素材!$1:$1016,COLUMN($E$1),FALSE),0),"")</f>
        <v/>
      </c>
      <c r="J345" t="str">
        <f>IFERROR(ROUNDDOWN((VLOOKUP($C345,装備品!$1:$998,COLUMN(H$1),FALSE)+IFERROR(VLOOKUP($CI345,付与!$1:$1167,COLUMN(J$1),FALSE),0))*VLOOKUP($D345,素材!$1:$1016,COLUMN($E$1),FALSE),0),"")</f>
        <v/>
      </c>
      <c r="K345" t="str">
        <f>IFERROR(ROUNDDOWN((VLOOKUP($C345,装備品!$1:$998,COLUMN(I$1),FALSE)+IFERROR(VLOOKUP($CI345,付与!$1:$1167,COLUMN(K$1),FALSE),0))*VLOOKUP($D345,素材!$1:$1016,COLUMN($E$1),FALSE),0),"")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IFERROR(VLOOKUP($C345,装備品!$1:$998,COLUMN(AA$1),FALSE)*VLOOKUP($D345,素材!$1:$1016,COLUMN($G$1),FALSE),"")</f>
        <v/>
      </c>
      <c r="N345" t="str">
        <f>IFERROR(VLOOKUP($C345,装備品!$1:$998,COLUMN(I$1),FALSE),"")</f>
        <v/>
      </c>
      <c r="O345" s="23" t="str">
        <f>IFERROR((VLOOKUP($C345,装備品!$1:$998,COLUMN(K$1),FALSE)+VLOOKUP($D345,素材!$1:$1016,COLUMN(H$1),FALSE))*100+IFERROR(VLOOKUP($CI345,付与!$1:$1167,COLUMN(O$1),FALSE),0),"")</f>
        <v/>
      </c>
      <c r="P345" s="23" t="str">
        <f>IFERROR((VLOOKUP($C345,装備品!$1:$998,COLUMN(L$1),FALSE)+VLOOKUP($D345,素材!$1:$1016,COLUMN(I$1),FALSE))*100+IFERROR(VLOOKUP($CI345,付与!$1:$1167,COLUMN(P$1),FALSE),0),"")</f>
        <v/>
      </c>
      <c r="Q345" t="str">
        <f>IFERROR(ROUNDUP(VLOOKUP($C345,装備品!$1:$998,COLUMN(M$1),FALSE)*(VLOOKUP($D345,素材!$1:$1002,COLUMN(D$1),FALSE)/100),1),"")</f>
        <v/>
      </c>
      <c r="R345" t="str">
        <f>IFERROR(ROUNDUP(VLOOKUP($C345,装備品!$1:$998,COLUMN(N$1),FALSE)*(VLOOKUP($D345,素材!$1:$1002,COLUMN(D$1),FALSE)/100),1),"")</f>
        <v/>
      </c>
      <c r="S345" t="str">
        <f>IFERROR(VLOOKUP($C345,装備品!$1:$998,COLUMN(P$1),FALSE),"")</f>
        <v/>
      </c>
      <c r="T345" t="str">
        <f>IFERROR(VLOOKUP($C345,装備品!$1:$998,COLUMN(Q$1),FALSE),"")</f>
        <v/>
      </c>
      <c r="U345" t="str">
        <f>IFERROR(VLOOKUP($C345,装備品!$1:$998,COLUMN(R$1),FALSE),"")</f>
        <v/>
      </c>
      <c r="V345" t="str">
        <f>IFERROR(VLOOKUP($C345,装備品!$1:$998,COLUMN(Q$1),FALSE),"")</f>
        <v/>
      </c>
      <c r="W345" t="str">
        <f>IFERROR(VLOOKUP($C345,装備品!$1:$998,COLUMN(T$1),FALSE),"")</f>
        <v/>
      </c>
      <c r="Y345" t="str">
        <f>IFERROR(VLOOKUP($C345,装備品!$1:$998,COLUMN(U$1),FALSE),"")</f>
        <v/>
      </c>
      <c r="Z345" t="str">
        <f>IFERROR(ROUNDUP(VLOOKUP($C345,装備品!$1:$998,COLUMN(O$1),FALSE)*VLOOKUP($D345,素材!$1:$1016,COLUMN(E$1),FALSE),1),"")</f>
        <v/>
      </c>
      <c r="AA345">
        <f>IF(ISNUMBER(SEARCH(SUBSTITUTE(AA$1,RIGHT(AA$1,2),""),VLOOKUP($D345,素材!$1:$1016,COLUMN($F$1),FALSE))),VLOOKUP($C345,装備品!$1:$998,COLUMN($O$1),FALSE)*VLOOKUP($D345,素材!$1:$1016,COLUMN($E$1),FALSE)/(LEN(VLOOKUP($D345,素材!$1:$1016,COLUMN($F$1),FALSE))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IFERROR(VLOOKUP($C345,装備品!$1:$998,COLUMN(V$1),FALSE)*VLOOKUP($D345,素材!$1:$1016,COLUMN(N$1),FALSE)+IF(CI345="",0,VLOOKUP($CI345,付与!$1:$1176,COLUMN($CK$1),FALSE)),"")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IFERROR(IF(CI346="",VLOOKUP($D346,素材!$1:$1016,COLUMN($B$1),FALSE)&amp;"・"&amp;VLOOKUP($C346,装備品!$1:$998,COLUMN(B$1),FALSE),VLOOKUP($CI346,付与!$1:$1176,COLUMN($B$1),FALSE)&amp;"・"&amp;VLOOKUP($C346,装備品!$1:$998,COLUMN(B$1),FALSE)),"")</f>
        <v/>
      </c>
      <c r="C346" s="24"/>
      <c r="D346" s="24"/>
      <c r="E346" t="str">
        <f>IFERROR(VLOOKUP(C346,装備品!$1:$998,COLUMN(C$1),FALSE),"")</f>
        <v/>
      </c>
      <c r="F346" t="str">
        <f>IFERROR(ROUNDDOWN((VLOOKUP($C346,装備品!$1:$998,COLUMN(D$1),FALSE)+IFERROR(VLOOKUP($CI346,付与!$1:$1167,COLUMN(F$1),FALSE),0))*VLOOKUP($D346,素材!$1:$1016,COLUMN(D$1),FALSE),0),"")</f>
        <v/>
      </c>
      <c r="G346" t="str">
        <f>IFERROR(ROUNDDOWN((VLOOKUP($C346,装備品!$1:$998,COLUMN(E$1),FALSE)+IFERROR(VLOOKUP($CI346,付与!$1:$1167,COLUMN(G$1),FALSE),0))*VLOOKUP($D346,素材!$1:$1016,COLUMN($E$1),FALSE),0),"")</f>
        <v/>
      </c>
      <c r="H346" t="str">
        <f>IFERROR(ROUNDDOWN((VLOOKUP($C346,装備品!$1:$998,COLUMN(F$1),FALSE)+IFERROR(VLOOKUP($CI346,付与!$1:$1167,COLUMN(H$1),FALSE),0))*VLOOKUP($D346,素材!$1:$1016,COLUMN($E$1),FALSE),0),"")</f>
        <v/>
      </c>
      <c r="I346" t="str">
        <f>IFERROR(ROUNDDOWN((VLOOKUP($C346,装備品!$1:$998,COLUMN(G$1),FALSE)+IFERROR(VLOOKUP($CI346,付与!$1:$1167,COLUMN(I$1),FALSE),0))*VLOOKUP($D346,素材!$1:$1016,COLUMN($E$1),FALSE),0),"")</f>
        <v/>
      </c>
      <c r="J346" t="str">
        <f>IFERROR(ROUNDDOWN((VLOOKUP($C346,装備品!$1:$998,COLUMN(H$1),FALSE)+IFERROR(VLOOKUP($CI346,付与!$1:$1167,COLUMN(J$1),FALSE),0))*VLOOKUP($D346,素材!$1:$1016,COLUMN($E$1),FALSE),0),"")</f>
        <v/>
      </c>
      <c r="K346" t="str">
        <f>IFERROR(ROUNDDOWN((VLOOKUP($C346,装備品!$1:$998,COLUMN(I$1),FALSE)+IFERROR(VLOOKUP($CI346,付与!$1:$1167,COLUMN(K$1),FALSE),0))*VLOOKUP($D346,素材!$1:$1016,COLUMN($E$1),FALSE),0),"")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IFERROR(VLOOKUP($C346,装備品!$1:$998,COLUMN(AA$1),FALSE)*VLOOKUP($D346,素材!$1:$1016,COLUMN($G$1),FALSE),"")</f>
        <v/>
      </c>
      <c r="N346" t="str">
        <f>IFERROR(VLOOKUP($C346,装備品!$1:$998,COLUMN(I$1),FALSE),"")</f>
        <v/>
      </c>
      <c r="O346" s="23" t="str">
        <f>IFERROR((VLOOKUP($C346,装備品!$1:$998,COLUMN(K$1),FALSE)+VLOOKUP($D346,素材!$1:$1016,COLUMN(H$1),FALSE))*100+IFERROR(VLOOKUP($CI346,付与!$1:$1167,COLUMN(O$1),FALSE),0),"")</f>
        <v/>
      </c>
      <c r="P346" s="23" t="str">
        <f>IFERROR((VLOOKUP($C346,装備品!$1:$998,COLUMN(L$1),FALSE)+VLOOKUP($D346,素材!$1:$1016,COLUMN(I$1),FALSE))*100+IFERROR(VLOOKUP($CI346,付与!$1:$1167,COLUMN(P$1),FALSE),0),"")</f>
        <v/>
      </c>
      <c r="Q346" t="str">
        <f>IFERROR(ROUNDUP(VLOOKUP($C346,装備品!$1:$998,COLUMN(M$1),FALSE)*(VLOOKUP($D346,素材!$1:$1002,COLUMN(D$1),FALSE)/100),1),"")</f>
        <v/>
      </c>
      <c r="R346" t="str">
        <f>IFERROR(ROUNDUP(VLOOKUP($C346,装備品!$1:$998,COLUMN(N$1),FALSE)*(VLOOKUP($D346,素材!$1:$1002,COLUMN(D$1),FALSE)/100),1),"")</f>
        <v/>
      </c>
      <c r="S346" t="str">
        <f>IFERROR(VLOOKUP($C346,装備品!$1:$998,COLUMN(P$1),FALSE),"")</f>
        <v/>
      </c>
      <c r="T346" t="str">
        <f>IFERROR(VLOOKUP($C346,装備品!$1:$998,COLUMN(Q$1),FALSE),"")</f>
        <v/>
      </c>
      <c r="U346" t="str">
        <f>IFERROR(VLOOKUP($C346,装備品!$1:$998,COLUMN(R$1),FALSE),"")</f>
        <v/>
      </c>
      <c r="V346" t="str">
        <f>IFERROR(VLOOKUP($C346,装備品!$1:$998,COLUMN(Q$1),FALSE),"")</f>
        <v/>
      </c>
      <c r="W346" t="str">
        <f>IFERROR(VLOOKUP($C346,装備品!$1:$998,COLUMN(T$1),FALSE),"")</f>
        <v/>
      </c>
      <c r="Y346" t="str">
        <f>IFERROR(VLOOKUP($C346,装備品!$1:$998,COLUMN(U$1),FALSE),"")</f>
        <v/>
      </c>
      <c r="Z346" t="str">
        <f>IFERROR(ROUNDUP(VLOOKUP($C346,装備品!$1:$998,COLUMN(O$1),FALSE)*VLOOKUP($D346,素材!$1:$1016,COLUMN(E$1),FALSE),1),"")</f>
        <v/>
      </c>
      <c r="AA346">
        <f>IF(ISNUMBER(SEARCH(SUBSTITUTE(AA$1,RIGHT(AA$1,2),""),VLOOKUP($D346,素材!$1:$1016,COLUMN($F$1),FALSE))),VLOOKUP($C346,装備品!$1:$998,COLUMN($O$1),FALSE)*VLOOKUP($D346,素材!$1:$1016,COLUMN($E$1),FALSE)/(LEN(VLOOKUP($D346,素材!$1:$1016,COLUMN($F$1),FALSE))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IFERROR(VLOOKUP($C346,装備品!$1:$998,COLUMN(V$1),FALSE)*VLOOKUP($D346,素材!$1:$1016,COLUMN(N$1),FALSE)+IF(CI346="",0,VLOOKUP($CI346,付与!$1:$1176,COLUMN($CK$1),FALSE)),"")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IFERROR(IF(CI347="",VLOOKUP($D347,素材!$1:$1016,COLUMN($B$1),FALSE)&amp;"・"&amp;VLOOKUP($C347,装備品!$1:$998,COLUMN(B$1),FALSE),VLOOKUP($CI347,付与!$1:$1176,COLUMN($B$1),FALSE)&amp;"・"&amp;VLOOKUP($C347,装備品!$1:$998,COLUMN(B$1),FALSE)),"")</f>
        <v/>
      </c>
      <c r="C347" s="24"/>
      <c r="D347" s="24"/>
      <c r="E347" t="str">
        <f>IFERROR(VLOOKUP(C347,装備品!$1:$998,COLUMN(C$1),FALSE),"")</f>
        <v/>
      </c>
      <c r="F347" t="str">
        <f>IFERROR(ROUNDDOWN((VLOOKUP($C347,装備品!$1:$998,COLUMN(D$1),FALSE)+IFERROR(VLOOKUP($CI347,付与!$1:$1167,COLUMN(F$1),FALSE),0))*VLOOKUP($D347,素材!$1:$1016,COLUMN(D$1),FALSE),0),"")</f>
        <v/>
      </c>
      <c r="G347" t="str">
        <f>IFERROR(ROUNDDOWN((VLOOKUP($C347,装備品!$1:$998,COLUMN(E$1),FALSE)+IFERROR(VLOOKUP($CI347,付与!$1:$1167,COLUMN(G$1),FALSE),0))*VLOOKUP($D347,素材!$1:$1016,COLUMN($E$1),FALSE),0),"")</f>
        <v/>
      </c>
      <c r="H347" t="str">
        <f>IFERROR(ROUNDDOWN((VLOOKUP($C347,装備品!$1:$998,COLUMN(F$1),FALSE)+IFERROR(VLOOKUP($CI347,付与!$1:$1167,COLUMN(H$1),FALSE),0))*VLOOKUP($D347,素材!$1:$1016,COLUMN($E$1),FALSE),0),"")</f>
        <v/>
      </c>
      <c r="I347" t="str">
        <f>IFERROR(ROUNDDOWN((VLOOKUP($C347,装備品!$1:$998,COLUMN(G$1),FALSE)+IFERROR(VLOOKUP($CI347,付与!$1:$1167,COLUMN(I$1),FALSE),0))*VLOOKUP($D347,素材!$1:$1016,COLUMN($E$1),FALSE),0),"")</f>
        <v/>
      </c>
      <c r="J347" t="str">
        <f>IFERROR(ROUNDDOWN((VLOOKUP($C347,装備品!$1:$998,COLUMN(H$1),FALSE)+IFERROR(VLOOKUP($CI347,付与!$1:$1167,COLUMN(J$1),FALSE),0))*VLOOKUP($D347,素材!$1:$1016,COLUMN($E$1),FALSE),0),"")</f>
        <v/>
      </c>
      <c r="K347" t="str">
        <f>IFERROR(ROUNDDOWN((VLOOKUP($C347,装備品!$1:$998,COLUMN(I$1),FALSE)+IFERROR(VLOOKUP($CI347,付与!$1:$1167,COLUMN(K$1),FALSE),0))*VLOOKUP($D347,素材!$1:$1016,COLUMN($E$1),FALSE),0),"")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IFERROR(VLOOKUP($C347,装備品!$1:$998,COLUMN(AA$1),FALSE)*VLOOKUP($D347,素材!$1:$1016,COLUMN($G$1),FALSE),"")</f>
        <v/>
      </c>
      <c r="N347" t="str">
        <f>IFERROR(VLOOKUP($C347,装備品!$1:$998,COLUMN(I$1),FALSE),"")</f>
        <v/>
      </c>
      <c r="O347" s="23" t="str">
        <f>IFERROR((VLOOKUP($C347,装備品!$1:$998,COLUMN(K$1),FALSE)+VLOOKUP($D347,素材!$1:$1016,COLUMN(H$1),FALSE))*100+IFERROR(VLOOKUP($CI347,付与!$1:$1167,COLUMN(O$1),FALSE),0),"")</f>
        <v/>
      </c>
      <c r="P347" s="23" t="str">
        <f>IFERROR((VLOOKUP($C347,装備品!$1:$998,COLUMN(L$1),FALSE)+VLOOKUP($D347,素材!$1:$1016,COLUMN(I$1),FALSE))*100+IFERROR(VLOOKUP($CI347,付与!$1:$1167,COLUMN(P$1),FALSE),0),"")</f>
        <v/>
      </c>
      <c r="Q347" t="str">
        <f>IFERROR(ROUNDUP(VLOOKUP($C347,装備品!$1:$998,COLUMN(M$1),FALSE)*(VLOOKUP($D347,素材!$1:$1002,COLUMN(D$1),FALSE)/100),1),"")</f>
        <v/>
      </c>
      <c r="R347" t="str">
        <f>IFERROR(ROUNDUP(VLOOKUP($C347,装備品!$1:$998,COLUMN(N$1),FALSE)*(VLOOKUP($D347,素材!$1:$1002,COLUMN(D$1),FALSE)/100),1),"")</f>
        <v/>
      </c>
      <c r="S347" t="str">
        <f>IFERROR(VLOOKUP($C347,装備品!$1:$998,COLUMN(P$1),FALSE),"")</f>
        <v/>
      </c>
      <c r="T347" t="str">
        <f>IFERROR(VLOOKUP($C347,装備品!$1:$998,COLUMN(Q$1),FALSE),"")</f>
        <v/>
      </c>
      <c r="U347" t="str">
        <f>IFERROR(VLOOKUP($C347,装備品!$1:$998,COLUMN(R$1),FALSE),"")</f>
        <v/>
      </c>
      <c r="V347" t="str">
        <f>IFERROR(VLOOKUP($C347,装備品!$1:$998,COLUMN(Q$1),FALSE),"")</f>
        <v/>
      </c>
      <c r="W347" t="str">
        <f>IFERROR(VLOOKUP($C347,装備品!$1:$998,COLUMN(T$1),FALSE),"")</f>
        <v/>
      </c>
      <c r="Y347" t="str">
        <f>IFERROR(VLOOKUP($C347,装備品!$1:$998,COLUMN(U$1),FALSE),"")</f>
        <v/>
      </c>
      <c r="Z347" t="str">
        <f>IFERROR(ROUNDUP(VLOOKUP($C347,装備品!$1:$998,COLUMN(O$1),FALSE)*VLOOKUP($D347,素材!$1:$1016,COLUMN(E$1),FALSE),1),"")</f>
        <v/>
      </c>
      <c r="AA347">
        <f>IF(ISNUMBER(SEARCH(SUBSTITUTE(AA$1,RIGHT(AA$1,2),""),VLOOKUP($D347,素材!$1:$1016,COLUMN($F$1),FALSE))),VLOOKUP($C347,装備品!$1:$998,COLUMN($O$1),FALSE)*VLOOKUP($D347,素材!$1:$1016,COLUMN($E$1),FALSE)/(LEN(VLOOKUP($D347,素材!$1:$1016,COLUMN($F$1),FALSE))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IFERROR(VLOOKUP($C347,装備品!$1:$998,COLUMN(V$1),FALSE)*VLOOKUP($D347,素材!$1:$1016,COLUMN(N$1),FALSE)+IF(CI347="",0,VLOOKUP($CI347,付与!$1:$1176,COLUMN($CK$1),FALSE)),"")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IFERROR(IF(CI348="",VLOOKUP($D348,素材!$1:$1016,COLUMN($B$1),FALSE)&amp;"・"&amp;VLOOKUP($C348,装備品!$1:$998,COLUMN(B$1),FALSE),VLOOKUP($CI348,付与!$1:$1176,COLUMN($B$1),FALSE)&amp;"・"&amp;VLOOKUP($C348,装備品!$1:$998,COLUMN(B$1),FALSE)),"")</f>
        <v/>
      </c>
      <c r="C348" s="24"/>
      <c r="D348" s="24"/>
      <c r="E348" t="str">
        <f>IFERROR(VLOOKUP(C348,装備品!$1:$998,COLUMN(C$1),FALSE),"")</f>
        <v/>
      </c>
      <c r="F348" t="str">
        <f>IFERROR(ROUNDDOWN((VLOOKUP($C348,装備品!$1:$998,COLUMN(D$1),FALSE)+IFERROR(VLOOKUP($CI348,付与!$1:$1167,COLUMN(F$1),FALSE),0))*VLOOKUP($D348,素材!$1:$1016,COLUMN(D$1),FALSE),0),"")</f>
        <v/>
      </c>
      <c r="G348" t="str">
        <f>IFERROR(ROUNDDOWN((VLOOKUP($C348,装備品!$1:$998,COLUMN(E$1),FALSE)+IFERROR(VLOOKUP($CI348,付与!$1:$1167,COLUMN(G$1),FALSE),0))*VLOOKUP($D348,素材!$1:$1016,COLUMN($E$1),FALSE),0),"")</f>
        <v/>
      </c>
      <c r="H348" t="str">
        <f>IFERROR(ROUNDDOWN((VLOOKUP($C348,装備品!$1:$998,COLUMN(F$1),FALSE)+IFERROR(VLOOKUP($CI348,付与!$1:$1167,COLUMN(H$1),FALSE),0))*VLOOKUP($D348,素材!$1:$1016,COLUMN($E$1),FALSE),0),"")</f>
        <v/>
      </c>
      <c r="I348" t="str">
        <f>IFERROR(ROUNDDOWN((VLOOKUP($C348,装備品!$1:$998,COLUMN(G$1),FALSE)+IFERROR(VLOOKUP($CI348,付与!$1:$1167,COLUMN(I$1),FALSE),0))*VLOOKUP($D348,素材!$1:$1016,COLUMN($E$1),FALSE),0),"")</f>
        <v/>
      </c>
      <c r="J348" t="str">
        <f>IFERROR(ROUNDDOWN((VLOOKUP($C348,装備品!$1:$998,COLUMN(H$1),FALSE)+IFERROR(VLOOKUP($CI348,付与!$1:$1167,COLUMN(J$1),FALSE),0))*VLOOKUP($D348,素材!$1:$1016,COLUMN($E$1),FALSE),0),"")</f>
        <v/>
      </c>
      <c r="K348" t="str">
        <f>IFERROR(ROUNDDOWN((VLOOKUP($C348,装備品!$1:$998,COLUMN(I$1),FALSE)+IFERROR(VLOOKUP($CI348,付与!$1:$1167,COLUMN(K$1),FALSE),0))*VLOOKUP($D348,素材!$1:$1016,COLUMN($E$1),FALSE),0),"")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IFERROR(VLOOKUP($C348,装備品!$1:$998,COLUMN(AA$1),FALSE)*VLOOKUP($D348,素材!$1:$1016,COLUMN($G$1),FALSE),"")</f>
        <v/>
      </c>
      <c r="N348" t="str">
        <f>IFERROR(VLOOKUP($C348,装備品!$1:$998,COLUMN(I$1),FALSE),"")</f>
        <v/>
      </c>
      <c r="O348" s="23" t="str">
        <f>IFERROR((VLOOKUP($C348,装備品!$1:$998,COLUMN(K$1),FALSE)+VLOOKUP($D348,素材!$1:$1016,COLUMN(H$1),FALSE))*100+IFERROR(VLOOKUP($CI348,付与!$1:$1167,COLUMN(O$1),FALSE),0),"")</f>
        <v/>
      </c>
      <c r="P348" s="23" t="str">
        <f>IFERROR((VLOOKUP($C348,装備品!$1:$998,COLUMN(L$1),FALSE)+VLOOKUP($D348,素材!$1:$1016,COLUMN(I$1),FALSE))*100+IFERROR(VLOOKUP($CI348,付与!$1:$1167,COLUMN(P$1),FALSE),0),"")</f>
        <v/>
      </c>
      <c r="Q348" t="str">
        <f>IFERROR(ROUNDUP(VLOOKUP($C348,装備品!$1:$998,COLUMN(M$1),FALSE)*(VLOOKUP($D348,素材!$1:$1002,COLUMN(D$1),FALSE)/100),1),"")</f>
        <v/>
      </c>
      <c r="R348" t="str">
        <f>IFERROR(ROUNDUP(VLOOKUP($C348,装備品!$1:$998,COLUMN(N$1),FALSE)*(VLOOKUP($D348,素材!$1:$1002,COLUMN(D$1),FALSE)/100),1),"")</f>
        <v/>
      </c>
      <c r="S348" t="str">
        <f>IFERROR(VLOOKUP($C348,装備品!$1:$998,COLUMN(P$1),FALSE),"")</f>
        <v/>
      </c>
      <c r="T348" t="str">
        <f>IFERROR(VLOOKUP($C348,装備品!$1:$998,COLUMN(Q$1),FALSE),"")</f>
        <v/>
      </c>
      <c r="U348" t="str">
        <f>IFERROR(VLOOKUP($C348,装備品!$1:$998,COLUMN(R$1),FALSE),"")</f>
        <v/>
      </c>
      <c r="V348" t="str">
        <f>IFERROR(VLOOKUP($C348,装備品!$1:$998,COLUMN(Q$1),FALSE),"")</f>
        <v/>
      </c>
      <c r="W348" t="str">
        <f>IFERROR(VLOOKUP($C348,装備品!$1:$998,COLUMN(T$1),FALSE),"")</f>
        <v/>
      </c>
      <c r="Y348" t="str">
        <f>IFERROR(VLOOKUP($C348,装備品!$1:$998,COLUMN(U$1),FALSE),"")</f>
        <v/>
      </c>
      <c r="Z348" t="str">
        <f>IFERROR(ROUNDUP(VLOOKUP($C348,装備品!$1:$998,COLUMN(O$1),FALSE)*VLOOKUP($D348,素材!$1:$1016,COLUMN(E$1),FALSE),1),"")</f>
        <v/>
      </c>
      <c r="AA348">
        <f>IF(ISNUMBER(SEARCH(SUBSTITUTE(AA$1,RIGHT(AA$1,2),""),VLOOKUP($D348,素材!$1:$1016,COLUMN($F$1),FALSE))),VLOOKUP($C348,装備品!$1:$998,COLUMN($O$1),FALSE)*VLOOKUP($D348,素材!$1:$1016,COLUMN($E$1),FALSE)/(LEN(VLOOKUP($D348,素材!$1:$1016,COLUMN($F$1),FALSE))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IFERROR(VLOOKUP($C348,装備品!$1:$998,COLUMN(V$1),FALSE)*VLOOKUP($D348,素材!$1:$1016,COLUMN(N$1),FALSE)+IF(CI348="",0,VLOOKUP($CI348,付与!$1:$1176,COLUMN($CK$1),FALSE)),"")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IFERROR(VLOOKUP(C349,装備品!$1:$998,COLUMN(C$1),FALSE),"")</f>
        <v/>
      </c>
      <c r="F349" t="str">
        <f>IFERROR(ROUNDDOWN((VLOOKUP($C349,装備品!$1:$998,COLUMN(D$1),FALSE)+IFERROR(VLOOKUP($CI349,付与!$1:$1167,COLUMN(F$1),FALSE),0))*VLOOKUP($D349,素材!$1:$1016,COLUMN(D$1),FALSE),0),"")</f>
        <v/>
      </c>
      <c r="G349" t="str">
        <f>IFERROR(ROUNDDOWN((VLOOKUP($C349,装備品!$1:$998,COLUMN(E$1),FALSE)+IFERROR(VLOOKUP($CI349,付与!$1:$1167,COLUMN(G$1),FALSE),0))*VLOOKUP($D349,素材!$1:$1016,COLUMN($E$1),FALSE),0),"")</f>
        <v/>
      </c>
      <c r="H349" t="str">
        <f>IFERROR(ROUNDDOWN((VLOOKUP($C349,装備品!$1:$998,COLUMN(F$1),FALSE)+IFERROR(VLOOKUP($CI349,付与!$1:$1167,COLUMN(H$1),FALSE),0))*VLOOKUP($D349,素材!$1:$1016,COLUMN($E$1),FALSE),0),"")</f>
        <v/>
      </c>
      <c r="I349" t="str">
        <f>IFERROR(ROUNDDOWN((VLOOKUP($C349,装備品!$1:$998,COLUMN(G$1),FALSE)+IFERROR(VLOOKUP($CI349,付与!$1:$1167,COLUMN(I$1),FALSE),0))*VLOOKUP($D349,素材!$1:$1016,COLUMN($E$1),FALSE),0),"")</f>
        <v/>
      </c>
      <c r="J349" t="str">
        <f>IFERROR(ROUNDDOWN((VLOOKUP($C349,装備品!$1:$998,COLUMN(H$1),FALSE)+IFERROR(VLOOKUP($CI349,付与!$1:$1167,COLUMN(J$1),FALSE),0))*VLOOKUP($D349,素材!$1:$1016,COLUMN($E$1),FALSE),0),"")</f>
        <v/>
      </c>
      <c r="K349" t="str">
        <f>IFERROR(ROUNDDOWN((VLOOKUP($C349,装備品!$1:$998,COLUMN(I$1),FALSE)+IFERROR(VLOOKUP($CI349,付与!$1:$1167,COLUMN(K$1),FALSE),0))*VLOOKUP($D349,素材!$1:$1016,COLUMN($E$1),FALSE),0),"")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IFERROR(VLOOKUP($C349,装備品!$1:$998,COLUMN(AA$1),FALSE)*VLOOKUP($D349,素材!$1:$1016,COLUMN($G$1),FALSE),"")</f>
        <v/>
      </c>
      <c r="N349" t="str">
        <f>IFERROR(VLOOKUP($C349,装備品!$1:$998,COLUMN(I$1),FALSE),"")</f>
        <v/>
      </c>
      <c r="O349" s="23" t="str">
        <f>IFERROR((VLOOKUP($C349,装備品!$1:$998,COLUMN(K$1),FALSE)+VLOOKUP($D349,素材!$1:$1016,COLUMN(H$1),FALSE))*100+IFERROR(VLOOKUP($CI349,付与!$1:$1167,COLUMN(O$1),FALSE),0),"")</f>
        <v/>
      </c>
      <c r="P349" s="23" t="str">
        <f>IFERROR((VLOOKUP($C349,装備品!$1:$998,COLUMN(L$1),FALSE)+VLOOKUP($D349,素材!$1:$1016,COLUMN(I$1),FALSE))*100+IFERROR(VLOOKUP($CI349,付与!$1:$1167,COLUMN(P$1),FALSE),0),"")</f>
        <v/>
      </c>
      <c r="Q349" t="str">
        <f>IFERROR(ROUNDUP(VLOOKUP($C349,装備品!$1:$998,COLUMN(M$1),FALSE)*(VLOOKUP($D349,素材!$1:$1002,COLUMN(D$1),FALSE)/100),1),"")</f>
        <v/>
      </c>
      <c r="R349" t="str">
        <f>IFERROR(ROUNDUP(VLOOKUP($C349,装備品!$1:$998,COLUMN(N$1),FALSE)*(VLOOKUP($D349,素材!$1:$1002,COLUMN(D$1),FALSE)/100),1),"")</f>
        <v/>
      </c>
      <c r="S349" t="str">
        <f>IFERROR(VLOOKUP($C349,装備品!$1:$998,COLUMN(P$1),FALSE),"")</f>
        <v/>
      </c>
      <c r="T349" t="str">
        <f>IFERROR(VLOOKUP($C349,装備品!$1:$998,COLUMN(Q$1),FALSE),"")</f>
        <v/>
      </c>
      <c r="U349" t="str">
        <f>IFERROR(VLOOKUP($C349,装備品!$1:$998,COLUMN(R$1),FALSE),"")</f>
        <v/>
      </c>
      <c r="V349" t="str">
        <f>IFERROR(VLOOKUP($C349,装備品!$1:$998,COLUMN(Q$1),FALSE),"")</f>
        <v/>
      </c>
      <c r="W349" t="str">
        <f>IFERROR(VLOOKUP($C349,装備品!$1:$998,COLUMN(T$1),FALSE),"")</f>
        <v/>
      </c>
      <c r="Y349" t="str">
        <f>IFERROR(VLOOKUP($C349,装備品!$1:$998,COLUMN(U$1),FALSE),"")</f>
        <v/>
      </c>
      <c r="Z349" t="str">
        <f>IFERROR(ROUNDUP(VLOOKUP($C349,装備品!$1:$998,COLUMN(O$1),FALSE)*VLOOKUP($D349,素材!$1:$1016,COLUMN(E$1),FALSE),1),"")</f>
        <v/>
      </c>
      <c r="AA349">
        <f>IF(ISNUMBER(SEARCH(SUBSTITUTE(AA$1,RIGHT(AA$1,2),""),VLOOKUP($D349,素材!$1:$1016,COLUMN($F$1),FALSE))),VLOOKUP($C349,装備品!$1:$998,COLUMN($O$1),FALSE)*VLOOKUP($D349,素材!$1:$1016,COLUMN($E$1),FALSE)/(LEN(VLOOKUP($D349,素材!$1:$1016,COLUMN($F$1),FALSE))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IFERROR(VLOOKUP($C349,装備品!$1:$998,COLUMN(V$1),FALSE)*VLOOKUP($D349,素材!$1:$1016,COLUMN(N$1),FALSE)+IF(CI349="",0,VLOOKUP($CI349,付与!$1:$1176,COLUMN($CK$1),FALSE)),"")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IFERROR(VLOOKUP(C350,装備品!$1:$998,COLUMN(C$1),FALSE),"")</f>
        <v/>
      </c>
      <c r="F350" t="str">
        <f>IFERROR(ROUNDDOWN((VLOOKUP($C350,装備品!$1:$998,COLUMN(D$1),FALSE)+IFERROR(VLOOKUP($CI350,付与!$1:$1167,COLUMN(F$1),FALSE),0))*VLOOKUP($D350,素材!$1:$1016,COLUMN(D$1),FALSE),0),"")</f>
        <v/>
      </c>
      <c r="G350" t="str">
        <f>IFERROR(ROUNDDOWN((VLOOKUP($C350,装備品!$1:$998,COLUMN(E$1),FALSE)+IFERROR(VLOOKUP($CI350,付与!$1:$1167,COLUMN(G$1),FALSE),0))*VLOOKUP($D350,素材!$1:$1016,COLUMN($E$1),FALSE),0),"")</f>
        <v/>
      </c>
      <c r="H350" t="str">
        <f>IFERROR(ROUNDDOWN((VLOOKUP($C350,装備品!$1:$998,COLUMN(F$1),FALSE)+IFERROR(VLOOKUP($CI350,付与!$1:$1167,COLUMN(H$1),FALSE),0))*VLOOKUP($D350,素材!$1:$1016,COLUMN($E$1),FALSE),0),"")</f>
        <v/>
      </c>
      <c r="I350" t="str">
        <f>IFERROR(ROUNDDOWN((VLOOKUP($C350,装備品!$1:$998,COLUMN(G$1),FALSE)+IFERROR(VLOOKUP($CI350,付与!$1:$1167,COLUMN(I$1),FALSE),0))*VLOOKUP($D350,素材!$1:$1016,COLUMN($E$1),FALSE),0),"")</f>
        <v/>
      </c>
      <c r="J350" t="str">
        <f>IFERROR(ROUNDDOWN((VLOOKUP($C350,装備品!$1:$998,COLUMN(H$1),FALSE)+IFERROR(VLOOKUP($CI350,付与!$1:$1167,COLUMN(J$1),FALSE),0))*VLOOKUP($D350,素材!$1:$1016,COLUMN($E$1),FALSE),0),"")</f>
        <v/>
      </c>
      <c r="K350" t="str">
        <f>IFERROR(ROUNDDOWN((VLOOKUP($C350,装備品!$1:$998,COLUMN(I$1),FALSE)+IFERROR(VLOOKUP($CI350,付与!$1:$1167,COLUMN(K$1),FALSE),0))*VLOOKUP($D350,素材!$1:$1016,COLUMN($E$1),FALSE),0),"")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IFERROR(VLOOKUP($C350,装備品!$1:$998,COLUMN(AA$1),FALSE)*VLOOKUP($D350,素材!$1:$1016,COLUMN($G$1),FALSE),"")</f>
        <v/>
      </c>
      <c r="N350" t="str">
        <f>IFERROR(VLOOKUP($C350,装備品!$1:$998,COLUMN(I$1),FALSE),"")</f>
        <v/>
      </c>
      <c r="O350" s="23" t="str">
        <f>IFERROR((VLOOKUP($C350,装備品!$1:$998,COLUMN(K$1),FALSE)+VLOOKUP($D350,素材!$1:$1016,COLUMN(H$1),FALSE))*100+IFERROR(VLOOKUP($CI350,付与!$1:$1167,COLUMN(O$1),FALSE),0),"")</f>
        <v/>
      </c>
      <c r="P350" s="23" t="str">
        <f>IFERROR((VLOOKUP($C350,装備品!$1:$998,COLUMN(L$1),FALSE)+VLOOKUP($D350,素材!$1:$1016,COLUMN(I$1),FALSE))*100+IFERROR(VLOOKUP($CI350,付与!$1:$1167,COLUMN(P$1),FALSE),0),"")</f>
        <v/>
      </c>
      <c r="Q350" t="str">
        <f>IFERROR(ROUNDUP(VLOOKUP($C350,装備品!$1:$998,COLUMN(M$1),FALSE)*(VLOOKUP($D350,素材!$1:$1002,COLUMN(D$1),FALSE)/100),1),"")</f>
        <v/>
      </c>
      <c r="R350" t="str">
        <f>IFERROR(ROUNDUP(VLOOKUP($C350,装備品!$1:$998,COLUMN(N$1),FALSE)*(VLOOKUP($D350,素材!$1:$1002,COLUMN(D$1),FALSE)/100),1),"")</f>
        <v/>
      </c>
      <c r="S350" t="str">
        <f>IFERROR(VLOOKUP($C350,装備品!$1:$998,COLUMN(P$1),FALSE),"")</f>
        <v/>
      </c>
      <c r="T350" t="str">
        <f>IFERROR(VLOOKUP($C350,装備品!$1:$998,COLUMN(Q$1),FALSE),"")</f>
        <v/>
      </c>
      <c r="U350" t="str">
        <f>IFERROR(VLOOKUP($C350,装備品!$1:$998,COLUMN(R$1),FALSE),"")</f>
        <v/>
      </c>
      <c r="V350" t="str">
        <f>IFERROR(VLOOKUP($C350,装備品!$1:$998,COLUMN(Q$1),FALSE),"")</f>
        <v/>
      </c>
      <c r="W350" t="str">
        <f>IFERROR(VLOOKUP($C350,装備品!$1:$998,COLUMN(T$1),FALSE),"")</f>
        <v/>
      </c>
      <c r="Y350" t="str">
        <f>IFERROR(VLOOKUP($C350,装備品!$1:$998,COLUMN(U$1),FALSE),"")</f>
        <v/>
      </c>
      <c r="Z350" t="str">
        <f>IFERROR(ROUNDUP(VLOOKUP($C350,装備品!$1:$998,COLUMN(O$1),FALSE)*VLOOKUP($D350,素材!$1:$1016,COLUMN(E$1),FALSE),1),"")</f>
        <v/>
      </c>
      <c r="AA350">
        <f>IF(ISNUMBER(SEARCH(SUBSTITUTE(AA$1,RIGHT(AA$1,2),""),VLOOKUP($D350,素材!$1:$1016,COLUMN($F$1),FALSE))),VLOOKUP($C350,装備品!$1:$998,COLUMN($O$1),FALSE)*VLOOKUP($D350,素材!$1:$1016,COLUMN($E$1),FALSE)/(LEN(VLOOKUP($D350,素材!$1:$1016,COLUMN($F$1),FALSE))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IFERROR(VLOOKUP($C350,装備品!$1:$998,COLUMN(V$1),FALSE)*VLOOKUP($D350,素材!$1:$1016,COLUMN(N$1),FALSE)+IF(CI350="",0,VLOOKUP($CI350,付与!$1:$1176,COLUMN($CK$1),FALSE)),"")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IFERROR(VLOOKUP($D351,素材!$1:$1016,COLUMN($B$1),FALSE)&amp;"・"&amp;VLOOKUP($C351,装備品!$1:$998,COLUMN(B$1),FALSE),"")</f>
        <v>ミスリル・アーマー</v>
      </c>
      <c r="C351" t="s">
        <v>197</v>
      </c>
      <c r="D351" s="24" t="s">
        <v>200</v>
      </c>
      <c r="E351" t="str">
        <f>IFERROR(VLOOKUP(C351,装備品!$1:$998,COLUMN(C$1),FALSE),"")</f>
        <v>体</v>
      </c>
      <c r="F351">
        <f>IFERROR(ROUNDDOWN((VLOOKUP($C351,装備品!$1:$998,COLUMN(D$1),FALSE)+IFERROR(VLOOKUP($CI351,付与!$1:$1167,COLUMN(F$1),FALSE),0))*VLOOKUP($D351,素材!$1:$1016,COLUMN(D$1),FALSE),0),"")</f>
        <v>0</v>
      </c>
      <c r="G351">
        <f>IFERROR(ROUNDDOWN((VLOOKUP($C351,装備品!$1:$998,COLUMN(E$1),FALSE)+IFERROR(VLOOKUP($CI351,付与!$1:$1167,COLUMN(G$1),FALSE),0))*VLOOKUP($D351,素材!$1:$1016,COLUMN($E$1),FALSE),0),"")</f>
        <v>0</v>
      </c>
      <c r="H351">
        <f>IFERROR(ROUNDDOWN((VLOOKUP($C351,装備品!$1:$998,COLUMN(F$1),FALSE)+IFERROR(VLOOKUP($CI351,付与!$1:$1167,COLUMN(H$1),FALSE),0))*VLOOKUP($D351,素材!$1:$1016,COLUMN($E$1),FALSE),0),"")</f>
        <v>0</v>
      </c>
      <c r="I351">
        <f>IFERROR(ROUNDDOWN((VLOOKUP($C351,装備品!$1:$998,COLUMN(G$1),FALSE)+IFERROR(VLOOKUP($CI351,付与!$1:$1167,COLUMN(I$1),FALSE),0))*VLOOKUP($D351,素材!$1:$1016,COLUMN($E$1),FALSE),0),"")</f>
        <v>0</v>
      </c>
      <c r="J351">
        <f>IFERROR(ROUNDDOWN((VLOOKUP($C351,装備品!$1:$998,COLUMN(H$1),FALSE)+IFERROR(VLOOKUP($CI351,付与!$1:$1167,COLUMN(J$1),FALSE),0))*VLOOKUP($D351,素材!$1:$1016,COLUMN($E$1),FALSE),0),"")</f>
        <v>0</v>
      </c>
      <c r="K351">
        <f>IFERROR(ROUNDDOWN((VLOOKUP($C351,装備品!$1:$998,COLUMN(I$1),FALSE)+IFERROR(VLOOKUP($CI351,付与!$1:$1167,COLUMN(K$1),FALSE),0))*VLOOKUP($D351,素材!$1:$1016,COLUMN($E$1),FALSE),0),"")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IFERROR(VLOOKUP($C351,装備品!$1:$998,COLUMN(AA$1),FALSE)*VLOOKUP($D351,素材!$1:$1016,COLUMN($G$1),FALSE),"")</f>
        <v>0</v>
      </c>
      <c r="N351">
        <f>IFERROR(VLOOKUP($C351,装備品!$1:$998,COLUMN(I$1),FALSE),"")</f>
        <v>0</v>
      </c>
      <c r="O351" s="23">
        <f>IFERROR((VLOOKUP($C351,装備品!$1:$998,COLUMN(K$1),FALSE)+VLOOKUP($D351,素材!$1:$1016,COLUMN(H$1),FALSE))*100+IFERROR(VLOOKUP($CI351,付与!$1:$1167,COLUMN(O$1),FALSE),0),"")</f>
        <v>2</v>
      </c>
      <c r="P351" s="23">
        <f>IFERROR((VLOOKUP($C351,装備品!$1:$998,COLUMN(L$1),FALSE)+VLOOKUP($D351,素材!$1:$1016,COLUMN(I$1),FALSE))*100+IFERROR(VLOOKUP($CI351,付与!$1:$1167,COLUMN(P$1),FALSE),0),"")</f>
        <v>5</v>
      </c>
      <c r="Q351">
        <f>IFERROR(ROUNDUP(VLOOKUP($C351,装備品!$1:$998,COLUMN(M$1),FALSE)*(VLOOKUP($D351,素材!$1:$1002,COLUMN(D$1),FALSE)/100),1),"")</f>
        <v>-9.7999999999999989</v>
      </c>
      <c r="R351">
        <f>IFERROR(ROUNDUP(VLOOKUP($C351,装備品!$1:$998,COLUMN(N$1),FALSE)*(VLOOKUP($D351,素材!$1:$1002,COLUMN(D$1),FALSE)/100),1),"")</f>
        <v>0</v>
      </c>
      <c r="S351">
        <f>IFERROR(VLOOKUP($C351,装備品!$1:$998,COLUMN(P$1),FALSE),"")</f>
        <v>-35</v>
      </c>
      <c r="T351">
        <f>IFERROR(VLOOKUP($C351,装備品!$1:$998,COLUMN(Q$1),FALSE),"")</f>
        <v>0</v>
      </c>
      <c r="U351">
        <f>IFERROR(VLOOKUP($C351,装備品!$1:$998,COLUMN(R$1),FALSE),"")</f>
        <v>0</v>
      </c>
      <c r="V351">
        <f>IFERROR(VLOOKUP($C351,装備品!$1:$998,COLUMN(Q$1),FALSE),"")</f>
        <v>0</v>
      </c>
      <c r="W351">
        <f>IFERROR(VLOOKUP($C351,装備品!$1:$998,COLUMN(T$1),FALSE),"")</f>
        <v>0.7</v>
      </c>
      <c r="Y351">
        <f>IFERROR(VLOOKUP($C351,装備品!$1:$998,COLUMN(U$1),FALSE),"")</f>
        <v>0</v>
      </c>
      <c r="Z351">
        <f>IFERROR(ROUNDUP(VLOOKUP($C351,装備品!$1:$998,COLUMN(O$1),FALSE)*VLOOKUP($D351,素材!$1:$1016,COLUMN(E$1),FALSE),1),"")</f>
        <v>0</v>
      </c>
      <c r="AA351">
        <f>IF(ISNUMBER(SEARCH(SUBSTITUTE(AA$1,RIGHT(AA$1,2),""),VLOOKUP($D351,素材!$1:$1016,COLUMN($F$1),FALSE))),VLOOKUP($C351,装備品!$1:$998,COLUMN($O$1),FALSE)*VLOOKUP($D351,素材!$1:$1016,COLUMN($E$1),FALSE)/(LEN(VLOOKUP($D351,素材!$1:$1016,COLUMN($F$1),FALSE))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IFERROR(VLOOKUP($C351,装備品!$1:$998,COLUMN(V$1),FALSE)*VLOOKUP($D351,素材!$1:$1016,COLUMN(N$1),FALSE)+IF(CI351="",0,VLOOKUP($CI351,付与!$1:$1176,COLUMN($CK$1),FALSE)),"")</f>
        <v>0</v>
      </c>
      <c r="CO351">
        <f>VLOOKUP(D351,素材!$A:$O,COLUMN(素材!O$1),FALSE)</f>
        <v>0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IFERROR(VLOOKUP($D352,素材!$1:$1016,COLUMN($B$1),FALSE)&amp;"・"&amp;VLOOKUP($C352,装備品!$1:$998,COLUMN(B$1),FALSE),"")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IFERROR(VLOOKUP(C352,装備品!$1:$998,COLUMN(C$1),FALSE),"")</f>
        <v>体</v>
      </c>
      <c r="F352">
        <f>IFERROR(ROUNDDOWN((VLOOKUP($C352,装備品!$1:$998,COLUMN(D$1),FALSE)+IFERROR(VLOOKUP($CI352,付与!$1:$1167,COLUMN(F$1),FALSE),0))*VLOOKUP($D352,素材!$1:$1016,COLUMN(D$1),FALSE),0),"")</f>
        <v>0</v>
      </c>
      <c r="G352">
        <f>IFERROR(ROUNDDOWN((VLOOKUP($C352,装備品!$1:$998,COLUMN(E$1),FALSE)+IFERROR(VLOOKUP($CI352,付与!$1:$1167,COLUMN(G$1),FALSE),0))*VLOOKUP($D352,素材!$1:$1016,COLUMN($E$1),FALSE),0),"")</f>
        <v>0</v>
      </c>
      <c r="H352">
        <f>IFERROR(ROUNDDOWN((VLOOKUP($C352,装備品!$1:$998,COLUMN(F$1),FALSE)+IFERROR(VLOOKUP($CI352,付与!$1:$1167,COLUMN(H$1),FALSE),0))*VLOOKUP($D352,素材!$1:$1016,COLUMN($E$1),FALSE),0),"")</f>
        <v>0</v>
      </c>
      <c r="I352">
        <f>IFERROR(ROUNDDOWN((VLOOKUP($C352,装備品!$1:$998,COLUMN(G$1),FALSE)+IFERROR(VLOOKUP($CI352,付与!$1:$1167,COLUMN(I$1),FALSE),0))*VLOOKUP($D352,素材!$1:$1016,COLUMN($E$1),FALSE),0),"")</f>
        <v>0</v>
      </c>
      <c r="J352">
        <f>IFERROR(ROUNDDOWN((VLOOKUP($C352,装備品!$1:$998,COLUMN(H$1),FALSE)+IFERROR(VLOOKUP($CI352,付与!$1:$1167,COLUMN(J$1),FALSE),0))*VLOOKUP($D352,素材!$1:$1016,COLUMN($E$1),FALSE),0),"")</f>
        <v>0</v>
      </c>
      <c r="K352">
        <f>IFERROR(ROUNDDOWN((VLOOKUP($C352,装備品!$1:$998,COLUMN(I$1),FALSE)+IFERROR(VLOOKUP($CI352,付与!$1:$1167,COLUMN(K$1),FALSE),0))*VLOOKUP($D352,素材!$1:$1016,COLUMN($E$1),FALSE),0),"")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IFERROR(VLOOKUP($C352,装備品!$1:$998,COLUMN(AA$1),FALSE)*VLOOKUP($D352,素材!$1:$1016,COLUMN($G$1),FALSE),"")</f>
        <v>90</v>
      </c>
      <c r="N352">
        <f>IFERROR(VLOOKUP($C352,装備品!$1:$998,COLUMN(I$1),FALSE),"")</f>
        <v>0</v>
      </c>
      <c r="O352" s="23">
        <f>IFERROR((VLOOKUP($C352,装備品!$1:$998,COLUMN(K$1),FALSE)+VLOOKUP($D352,素材!$1:$1016,COLUMN(H$1),FALSE))*100+IFERROR(VLOOKUP($CI352,付与!$1:$1167,COLUMN(O$1),FALSE),0),"")</f>
        <v>2</v>
      </c>
      <c r="P352" s="23">
        <f>IFERROR((VLOOKUP($C352,装備品!$1:$998,COLUMN(L$1),FALSE)+VLOOKUP($D352,素材!$1:$1016,COLUMN(I$1),FALSE))*100+IFERROR(VLOOKUP($CI352,付与!$1:$1167,COLUMN(P$1),FALSE),0),"")</f>
        <v>5</v>
      </c>
      <c r="Q352">
        <f>IFERROR(ROUNDUP(VLOOKUP($C352,装備品!$1:$998,COLUMN(M$1),FALSE)*(VLOOKUP($D352,素材!$1:$1002,COLUMN(D$1),FALSE)/100),1),"")</f>
        <v>-15</v>
      </c>
      <c r="R352">
        <f>IFERROR(ROUNDUP(VLOOKUP($C352,装備品!$1:$998,COLUMN(N$1),FALSE)*(VLOOKUP($D352,素材!$1:$1002,COLUMN(D$1),FALSE)/100),1),"")</f>
        <v>0</v>
      </c>
      <c r="S352">
        <f>IFERROR(VLOOKUP($C352,装備品!$1:$998,COLUMN(P$1),FALSE),"")</f>
        <v>-35</v>
      </c>
      <c r="T352">
        <f>IFERROR(VLOOKUP($C352,装備品!$1:$998,COLUMN(Q$1),FALSE),"")</f>
        <v>0</v>
      </c>
      <c r="U352">
        <f>IFERROR(VLOOKUP($C352,装備品!$1:$998,COLUMN(R$1),FALSE),"")</f>
        <v>0</v>
      </c>
      <c r="V352">
        <f>IFERROR(VLOOKUP($C352,装備品!$1:$998,COLUMN(Q$1),FALSE),"")</f>
        <v>0</v>
      </c>
      <c r="W352">
        <f>IFERROR(VLOOKUP($C352,装備品!$1:$998,COLUMN(T$1),FALSE),"")</f>
        <v>0.7</v>
      </c>
      <c r="Y352">
        <f>IFERROR(VLOOKUP($C352,装備品!$1:$998,COLUMN(U$1),FALSE),"")</f>
        <v>0</v>
      </c>
      <c r="Z352">
        <f>IFERROR(ROUNDUP(VLOOKUP($C352,装備品!$1:$998,COLUMN(O$1),FALSE)*VLOOKUP($D352,素材!$1:$1016,COLUMN(E$1),FALSE),1),"")</f>
        <v>0</v>
      </c>
      <c r="AA352">
        <f>IF(ISNUMBER(SEARCH(SUBSTITUTE(AA$1,RIGHT(AA$1,2),""),VLOOKUP($D352,素材!$1:$1016,COLUMN($F$1),FALSE))),VLOOKUP($C352,装備品!$1:$998,COLUMN($O$1),FALSE)*VLOOKUP($D352,素材!$1:$1016,COLUMN($E$1),FALSE)/(LEN(VLOOKUP($D352,素材!$1:$1016,COLUMN($F$1),FALSE))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IFERROR(VLOOKUP($C352,装備品!$1:$998,COLUMN(V$1),FALSE)*VLOOKUP($D352,素材!$1:$1016,COLUMN(N$1),FALSE)+IF(CI352="",0,VLOOKUP($CI352,付与!$1:$1176,COLUMN($CK$1),FALSE)),"")</f>
        <v>0</v>
      </c>
      <c r="CO352">
        <f>VLOOKUP(D352,素材!$A:$O,COLUMN(素材!O$1),FALSE)</f>
        <v>0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IFERROR(VLOOKUP($D353,素材!$1:$1016,COLUMN($B$1),FALSE)&amp;"・"&amp;VLOOKUP($C353,装備品!$1:$998,COLUMN(B$1),FALSE),"")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IFERROR(VLOOKUP(C353,装備品!$1:$998,COLUMN(C$1),FALSE),"")</f>
        <v>体</v>
      </c>
      <c r="F353">
        <f>IFERROR(ROUNDDOWN((VLOOKUP($C353,装備品!$1:$998,COLUMN(D$1),FALSE)+IFERROR(VLOOKUP($CI353,付与!$1:$1167,COLUMN(F$1),FALSE),0))*VLOOKUP($D353,素材!$1:$1016,COLUMN(D$1),FALSE),0),"")</f>
        <v>0</v>
      </c>
      <c r="G353">
        <f>IFERROR(ROUNDDOWN((VLOOKUP($C353,装備品!$1:$998,COLUMN(E$1),FALSE)+IFERROR(VLOOKUP($CI353,付与!$1:$1167,COLUMN(G$1),FALSE),0))*VLOOKUP($D353,素材!$1:$1016,COLUMN($E$1),FALSE),0),"")</f>
        <v>0</v>
      </c>
      <c r="H353">
        <f>IFERROR(ROUNDDOWN((VLOOKUP($C353,装備品!$1:$998,COLUMN(F$1),FALSE)+IFERROR(VLOOKUP($CI353,付与!$1:$1167,COLUMN(H$1),FALSE),0))*VLOOKUP($D353,素材!$1:$1016,COLUMN($E$1),FALSE),0),"")</f>
        <v>0</v>
      </c>
      <c r="I353">
        <f>IFERROR(ROUNDDOWN((VLOOKUP($C353,装備品!$1:$998,COLUMN(G$1),FALSE)+IFERROR(VLOOKUP($CI353,付与!$1:$1167,COLUMN(I$1),FALSE),0))*VLOOKUP($D353,素材!$1:$1016,COLUMN($E$1),FALSE),0),"")</f>
        <v>0</v>
      </c>
      <c r="J353">
        <f>IFERROR(ROUNDDOWN((VLOOKUP($C353,装備品!$1:$998,COLUMN(H$1),FALSE)+IFERROR(VLOOKUP($CI353,付与!$1:$1167,COLUMN(J$1),FALSE),0))*VLOOKUP($D353,素材!$1:$1016,COLUMN($E$1),FALSE),0),"")</f>
        <v>0</v>
      </c>
      <c r="K353">
        <f>IFERROR(ROUNDDOWN((VLOOKUP($C353,装備品!$1:$998,COLUMN(I$1),FALSE)+IFERROR(VLOOKUP($CI353,付与!$1:$1167,COLUMN(K$1),FALSE),0))*VLOOKUP($D353,素材!$1:$1016,COLUMN($E$1),FALSE),0),"")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IFERROR(VLOOKUP($C353,装備品!$1:$998,COLUMN(AA$1),FALSE)*VLOOKUP($D353,素材!$1:$1016,COLUMN($G$1),FALSE),"")</f>
        <v>30</v>
      </c>
      <c r="N353">
        <f>IFERROR(VLOOKUP($C353,装備品!$1:$998,COLUMN(I$1),FALSE),"")</f>
        <v>0</v>
      </c>
      <c r="O353" s="23">
        <f>IFERROR((VLOOKUP($C353,装備品!$1:$998,COLUMN(K$1),FALSE)+VLOOKUP($D353,素材!$1:$1016,COLUMN(H$1),FALSE))*100+IFERROR(VLOOKUP($CI353,付与!$1:$1167,COLUMN(O$1),FALSE),0),"")</f>
        <v>2</v>
      </c>
      <c r="P353" s="23">
        <f>IFERROR((VLOOKUP($C353,装備品!$1:$998,COLUMN(L$1),FALSE)+VLOOKUP($D353,素材!$1:$1016,COLUMN(I$1),FALSE))*100+IFERROR(VLOOKUP($CI353,付与!$1:$1167,COLUMN(P$1),FALSE),0),"")</f>
        <v>5</v>
      </c>
      <c r="Q353">
        <f>IFERROR(ROUNDUP(VLOOKUP($C353,装備品!$1:$998,COLUMN(M$1),FALSE)*(VLOOKUP($D353,素材!$1:$1002,COLUMN(D$1),FALSE)/100),1),"")</f>
        <v>-17.3</v>
      </c>
      <c r="R353">
        <f>IFERROR(ROUNDUP(VLOOKUP($C353,装備品!$1:$998,COLUMN(N$1),FALSE)*(VLOOKUP($D353,素材!$1:$1002,COLUMN(D$1),FALSE)/100),1),"")</f>
        <v>0</v>
      </c>
      <c r="S353">
        <f>IFERROR(VLOOKUP($C353,装備品!$1:$998,COLUMN(P$1),FALSE),"")</f>
        <v>-35</v>
      </c>
      <c r="T353">
        <f>IFERROR(VLOOKUP($C353,装備品!$1:$998,COLUMN(Q$1),FALSE),"")</f>
        <v>0</v>
      </c>
      <c r="U353">
        <f>IFERROR(VLOOKUP($C353,装備品!$1:$998,COLUMN(R$1),FALSE),"")</f>
        <v>0</v>
      </c>
      <c r="V353">
        <f>IFERROR(VLOOKUP($C353,装備品!$1:$998,COLUMN(Q$1),FALSE),"")</f>
        <v>0</v>
      </c>
      <c r="W353">
        <f>IFERROR(VLOOKUP($C353,装備品!$1:$998,COLUMN(T$1),FALSE),"")</f>
        <v>0.7</v>
      </c>
      <c r="Y353">
        <f>IFERROR(VLOOKUP($C353,装備品!$1:$998,COLUMN(U$1),FALSE),"")</f>
        <v>0</v>
      </c>
      <c r="Z353">
        <f>IFERROR(ROUNDUP(VLOOKUP($C353,装備品!$1:$998,COLUMN(O$1),FALSE)*VLOOKUP($D353,素材!$1:$1016,COLUMN(E$1),FALSE),1),"")</f>
        <v>0</v>
      </c>
      <c r="AA353">
        <f>IF(ISNUMBER(SEARCH(SUBSTITUTE(AA$1,RIGHT(AA$1,2),""),VLOOKUP($D353,素材!$1:$1016,COLUMN($F$1),FALSE))),VLOOKUP($C353,装備品!$1:$998,COLUMN($O$1),FALSE)*VLOOKUP($D353,素材!$1:$1016,COLUMN($E$1),FALSE)/(LEN(VLOOKUP($D353,素材!$1:$1016,COLUMN($F$1),FALSE))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IFERROR(VLOOKUP($C353,装備品!$1:$998,COLUMN(V$1),FALSE)*VLOOKUP($D353,素材!$1:$1016,COLUMN(N$1),FALSE)+IF(CI353="",0,VLOOKUP($CI353,付与!$1:$1176,COLUMN($CK$1),FALSE)),"")</f>
        <v>0</v>
      </c>
      <c r="CO353">
        <f>VLOOKUP(D353,素材!$A:$O,COLUMN(素材!O$1),FALSE)</f>
        <v>0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IFERROR(VLOOKUP($D354,素材!$1:$1016,COLUMN($B$1),FALSE)&amp;"・"&amp;VLOOKUP($C354,装備品!$1:$998,COLUMN(B$1),FALSE),"")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IFERROR(VLOOKUP(C354,装備品!$1:$998,COLUMN(C$1),FALSE),"")</f>
        <v>武器</v>
      </c>
      <c r="F354">
        <f>IFERROR(ROUNDDOWN((VLOOKUP($C354,装備品!$1:$998,COLUMN(D$1),FALSE)+IFERROR(VLOOKUP($CI354,付与!$1:$1167,COLUMN(F$1),FALSE),0))*VLOOKUP($D354,素材!$1:$1016,COLUMN(D$1),FALSE),0),"")</f>
        <v>74</v>
      </c>
      <c r="G354">
        <f>IFERROR(ROUNDDOWN((VLOOKUP($C354,装備品!$1:$998,COLUMN(E$1),FALSE)+IFERROR(VLOOKUP($CI354,付与!$1:$1167,COLUMN(G$1),FALSE),0))*VLOOKUP($D354,素材!$1:$1016,COLUMN($E$1),FALSE),0),"")</f>
        <v>18</v>
      </c>
      <c r="H354">
        <f>IFERROR(ROUNDDOWN((VLOOKUP($C354,装備品!$1:$998,COLUMN(F$1),FALSE)+IFERROR(VLOOKUP($CI354,付与!$1:$1167,COLUMN(H$1),FALSE),0))*VLOOKUP($D354,素材!$1:$1016,COLUMN($E$1),FALSE),0),"")</f>
        <v>11</v>
      </c>
      <c r="I354">
        <f>IFERROR(ROUNDDOWN((VLOOKUP($C354,装備品!$1:$998,COLUMN(G$1),FALSE)+IFERROR(VLOOKUP($CI354,付与!$1:$1167,COLUMN(I$1),FALSE),0))*VLOOKUP($D354,素材!$1:$1016,COLUMN($E$1),FALSE),0),"")</f>
        <v>3</v>
      </c>
      <c r="J354">
        <f>IFERROR(ROUNDDOWN((VLOOKUP($C354,装備品!$1:$998,COLUMN(H$1),FALSE)+IFERROR(VLOOKUP($CI354,付与!$1:$1167,COLUMN(J$1),FALSE),0))*VLOOKUP($D354,素材!$1:$1016,COLUMN($E$1),FALSE),0),"")</f>
        <v>25</v>
      </c>
      <c r="K354">
        <f>IFERROR(ROUNDDOWN((VLOOKUP($C354,装備品!$1:$998,COLUMN(I$1),FALSE)+IFERROR(VLOOKUP($CI354,付与!$1:$1167,COLUMN(K$1),FALSE),0))*VLOOKUP($D354,素材!$1:$1016,COLUMN($E$1),FALSE),0),"")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IFERROR(VLOOKUP($C354,装備品!$1:$998,COLUMN(AA$1),FALSE)*VLOOKUP($D354,素材!$1:$1016,COLUMN($G$1),FALSE),"")</f>
        <v>0</v>
      </c>
      <c r="N354">
        <f>IFERROR(VLOOKUP($C354,装備品!$1:$998,COLUMN(I$1),FALSE),"")</f>
        <v>0</v>
      </c>
      <c r="O354" s="23">
        <f>IFERROR((VLOOKUP($C354,装備品!$1:$998,COLUMN(K$1),FALSE)+VLOOKUP($D354,素材!$1:$1016,COLUMN(H$1),FALSE))*100+IFERROR(VLOOKUP($CI354,付与!$1:$1167,COLUMN(O$1),FALSE),0),"")</f>
        <v>12.000000000000002</v>
      </c>
      <c r="P354" s="23">
        <f>IFERROR((VLOOKUP($C354,装備品!$1:$998,COLUMN(L$1),FALSE)+VLOOKUP($D354,素材!$1:$1016,COLUMN(I$1),FALSE))*100+IFERROR(VLOOKUP($CI354,付与!$1:$1167,COLUMN(P$1),FALSE),0),"")</f>
        <v>155</v>
      </c>
      <c r="Q354">
        <f>IFERROR(ROUNDUP(VLOOKUP($C354,装備品!$1:$998,COLUMN(M$1),FALSE)*(VLOOKUP($D354,素材!$1:$1002,COLUMN(D$1),FALSE)/100),1),"")</f>
        <v>-1.7000000000000002</v>
      </c>
      <c r="R354">
        <f>IFERROR(ROUNDUP(VLOOKUP($C354,装備品!$1:$998,COLUMN(N$1),FALSE)*(VLOOKUP($D354,素材!$1:$1002,COLUMN(D$1),FALSE)/100),1),"")</f>
        <v>-1.7000000000000002</v>
      </c>
      <c r="S354">
        <f>IFERROR(VLOOKUP($C354,装備品!$1:$998,COLUMN(P$1),FALSE),"")</f>
        <v>0</v>
      </c>
      <c r="T354">
        <f>IFERROR(VLOOKUP($C354,装備品!$1:$998,COLUMN(Q$1),FALSE),"")</f>
        <v>0</v>
      </c>
      <c r="U354">
        <f>IFERROR(VLOOKUP($C354,装備品!$1:$998,COLUMN(R$1),FALSE),"")</f>
        <v>0</v>
      </c>
      <c r="V354">
        <f>IFERROR(VLOOKUP($C354,装備品!$1:$998,COLUMN(Q$1),FALSE),"")</f>
        <v>0</v>
      </c>
      <c r="W354">
        <f>IFERROR(VLOOKUP($C354,装備品!$1:$998,COLUMN(T$1),FALSE),"")</f>
        <v>0</v>
      </c>
      <c r="Y354">
        <f>IFERROR(VLOOKUP($C354,装備品!$1:$998,COLUMN(U$1),FALSE),"")</f>
        <v>0</v>
      </c>
      <c r="Z354">
        <f>IFERROR(ROUNDUP(VLOOKUP($C354,装備品!$1:$998,COLUMN(O$1),FALSE)*VLOOKUP($D354,素材!$1:$1016,COLUMN(E$1),FALSE),1),"")</f>
        <v>0</v>
      </c>
      <c r="AA354">
        <f>IF(ISNUMBER(SEARCH(SUBSTITUTE(AA$1,RIGHT(AA$1,2),""),VLOOKUP($D354,素材!$1:$1016,COLUMN($F$1),FALSE))),VLOOKUP($C354,装備品!$1:$998,COLUMN($O$1),FALSE)*VLOOKUP($D354,素材!$1:$1016,COLUMN($E$1),FALSE)/(LEN(VLOOKUP($D354,素材!$1:$1016,COLUMN($F$1),FALSE))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IFERROR(VLOOKUP($C354,装備品!$1:$998,COLUMN(V$1),FALSE)*VLOOKUP($D354,素材!$1:$1016,COLUMN(N$1),FALSE)+IF(CI354="",0,VLOOKUP($CI354,付与!$1:$1176,COLUMN($CK$1),FALSE)),"")</f>
        <v>0</v>
      </c>
      <c r="CO354">
        <f>VLOOKUP(D354,素材!$A:$O,COLUMN(素材!O$1),FALSE)</f>
        <v>0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IFERROR(VLOOKUP($D355,素材!$1:$1016,COLUMN($B$1),FALSE)&amp;"・"&amp;VLOOKUP($C355,装備品!$1:$998,COLUMN(B$1),FALSE),"")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IFERROR(VLOOKUP(C355,装備品!$1:$998,COLUMN(C$1),FALSE),"")</f>
        <v>武器</v>
      </c>
      <c r="F355">
        <f>IFERROR(ROUNDDOWN((VLOOKUP($C355,装備品!$1:$998,COLUMN(D$1),FALSE)+IFERROR(VLOOKUP($CI355,付与!$1:$1167,COLUMN(F$1),FALSE),0))*VLOOKUP($D355,素材!$1:$1016,COLUMN(D$1),FALSE),0),"")</f>
        <v>115</v>
      </c>
      <c r="G355">
        <f>IFERROR(ROUNDDOWN((VLOOKUP($C355,装備品!$1:$998,COLUMN(E$1),FALSE)+IFERROR(VLOOKUP($CI355,付与!$1:$1167,COLUMN(G$1),FALSE),0))*VLOOKUP($D355,素材!$1:$1016,COLUMN($E$1),FALSE),0),"")</f>
        <v>22</v>
      </c>
      <c r="H355">
        <f>IFERROR(ROUNDDOWN((VLOOKUP($C355,装備品!$1:$998,COLUMN(F$1),FALSE)+IFERROR(VLOOKUP($CI355,付与!$1:$1167,COLUMN(H$1),FALSE),0))*VLOOKUP($D355,素材!$1:$1016,COLUMN($E$1),FALSE),0),"")</f>
        <v>13</v>
      </c>
      <c r="I355">
        <f>IFERROR(ROUNDDOWN((VLOOKUP($C355,装備品!$1:$998,COLUMN(G$1),FALSE)+IFERROR(VLOOKUP($CI355,付与!$1:$1167,COLUMN(I$1),FALSE),0))*VLOOKUP($D355,素材!$1:$1016,COLUMN($E$1),FALSE),0),"")</f>
        <v>4</v>
      </c>
      <c r="J355">
        <f>IFERROR(ROUNDDOWN((VLOOKUP($C355,装備品!$1:$998,COLUMN(H$1),FALSE)+IFERROR(VLOOKUP($CI355,付与!$1:$1167,COLUMN(J$1),FALSE),0))*VLOOKUP($D355,素材!$1:$1016,COLUMN($E$1),FALSE),0),"")</f>
        <v>30</v>
      </c>
      <c r="K355">
        <f>IFERROR(ROUNDDOWN((VLOOKUP($C355,装備品!$1:$998,COLUMN(I$1),FALSE)+IFERROR(VLOOKUP($CI355,付与!$1:$1167,COLUMN(K$1),FALSE),0))*VLOOKUP($D355,素材!$1:$1016,COLUMN($E$1),FALSE),0),"")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IFERROR(VLOOKUP($C355,装備品!$1:$998,COLUMN(AA$1),FALSE)*VLOOKUP($D355,素材!$1:$1016,COLUMN($G$1),FALSE),"")</f>
        <v>60</v>
      </c>
      <c r="N355">
        <f>IFERROR(VLOOKUP($C355,装備品!$1:$998,COLUMN(I$1),FALSE),"")</f>
        <v>0</v>
      </c>
      <c r="O355" s="23">
        <f>IFERROR((VLOOKUP($C355,装備品!$1:$998,COLUMN(K$1),FALSE)+VLOOKUP($D355,素材!$1:$1016,COLUMN(H$1),FALSE))*100+IFERROR(VLOOKUP($CI355,付与!$1:$1167,COLUMN(O$1),FALSE),0),"")</f>
        <v>12.000000000000002</v>
      </c>
      <c r="P355" s="23">
        <f>IFERROR((VLOOKUP($C355,装備品!$1:$998,COLUMN(L$1),FALSE)+VLOOKUP($D355,素材!$1:$1016,COLUMN(I$1),FALSE))*100+IFERROR(VLOOKUP($CI355,付与!$1:$1167,COLUMN(P$1),FALSE),0),"")</f>
        <v>155</v>
      </c>
      <c r="Q355">
        <f>IFERROR(ROUNDUP(VLOOKUP($C355,装備品!$1:$998,COLUMN(M$1),FALSE)*(VLOOKUP($D355,素材!$1:$1002,COLUMN(D$1),FALSE)/100),1),"")</f>
        <v>-2.5</v>
      </c>
      <c r="R355">
        <f>IFERROR(ROUNDUP(VLOOKUP($C355,装備品!$1:$998,COLUMN(N$1),FALSE)*(VLOOKUP($D355,素材!$1:$1002,COLUMN(D$1),FALSE)/100),1),"")</f>
        <v>-2.5</v>
      </c>
      <c r="S355">
        <f>IFERROR(VLOOKUP($C355,装備品!$1:$998,COLUMN(P$1),FALSE),"")</f>
        <v>0</v>
      </c>
      <c r="T355">
        <f>IFERROR(VLOOKUP($C355,装備品!$1:$998,COLUMN(Q$1),FALSE),"")</f>
        <v>0</v>
      </c>
      <c r="U355">
        <f>IFERROR(VLOOKUP($C355,装備品!$1:$998,COLUMN(R$1),FALSE),"")</f>
        <v>0</v>
      </c>
      <c r="V355">
        <f>IFERROR(VLOOKUP($C355,装備品!$1:$998,COLUMN(Q$1),FALSE),"")</f>
        <v>0</v>
      </c>
      <c r="W355">
        <f>IFERROR(VLOOKUP($C355,装備品!$1:$998,COLUMN(T$1),FALSE),"")</f>
        <v>0</v>
      </c>
      <c r="Y355">
        <f>IFERROR(VLOOKUP($C355,装備品!$1:$998,COLUMN(U$1),FALSE),"")</f>
        <v>0</v>
      </c>
      <c r="Z355">
        <f>IFERROR(ROUNDUP(VLOOKUP($C355,装備品!$1:$998,COLUMN(O$1),FALSE)*VLOOKUP($D355,素材!$1:$1016,COLUMN(E$1),FALSE),1),"")</f>
        <v>0</v>
      </c>
      <c r="AA355">
        <f>IF(ISNUMBER(SEARCH(SUBSTITUTE(AA$1,RIGHT(AA$1,2),""),VLOOKUP($D355,素材!$1:$1016,COLUMN($F$1),FALSE))),VLOOKUP($C355,装備品!$1:$998,COLUMN($O$1),FALSE)*VLOOKUP($D355,素材!$1:$1016,COLUMN($E$1),FALSE)/(LEN(VLOOKUP($D355,素材!$1:$1016,COLUMN($F$1),FALSE))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IFERROR(VLOOKUP($C355,装備品!$1:$998,COLUMN(V$1),FALSE)*VLOOKUP($D355,素材!$1:$1016,COLUMN(N$1),FALSE)+IF(CI355="",0,VLOOKUP($CI355,付与!$1:$1176,COLUMN($CK$1),FALSE)),"")</f>
        <v>0</v>
      </c>
      <c r="CO355">
        <f>VLOOKUP(D355,素材!$A:$O,COLUMN(素材!O$1),FALSE)</f>
        <v>0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IFERROR(VLOOKUP($D356,素材!$1:$1016,COLUMN($B$1),FALSE)&amp;"・"&amp;VLOOKUP($C356,装備品!$1:$998,COLUMN(B$1),FALSE),"")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IFERROR(VLOOKUP(C356,装備品!$1:$998,COLUMN(C$1),FALSE),"")</f>
        <v>武器</v>
      </c>
      <c r="F356">
        <f>IFERROR(ROUNDDOWN((VLOOKUP($C356,装備品!$1:$998,COLUMN(D$1),FALSE)+IFERROR(VLOOKUP($CI356,付与!$1:$1167,COLUMN(F$1),FALSE),0))*VLOOKUP($D356,素材!$1:$1016,COLUMN(D$1),FALSE),0),"")</f>
        <v>132</v>
      </c>
      <c r="G356">
        <f>IFERROR(ROUNDDOWN((VLOOKUP($C356,装備品!$1:$998,COLUMN(E$1),FALSE)+IFERROR(VLOOKUP($CI356,付与!$1:$1167,COLUMN(G$1),FALSE),0))*VLOOKUP($D356,素材!$1:$1016,COLUMN($E$1),FALSE),0),"")</f>
        <v>30</v>
      </c>
      <c r="H356">
        <f>IFERROR(ROUNDDOWN((VLOOKUP($C356,装備品!$1:$998,COLUMN(F$1),FALSE)+IFERROR(VLOOKUP($CI356,付与!$1:$1167,COLUMN(H$1),FALSE),0))*VLOOKUP($D356,素材!$1:$1016,COLUMN($E$1),FALSE),0),"")</f>
        <v>18</v>
      </c>
      <c r="I356">
        <f>IFERROR(ROUNDDOWN((VLOOKUP($C356,装備品!$1:$998,COLUMN(G$1),FALSE)+IFERROR(VLOOKUP($CI356,付与!$1:$1167,COLUMN(I$1),FALSE),0))*VLOOKUP($D356,素材!$1:$1016,COLUMN($E$1),FALSE),0),"")</f>
        <v>6</v>
      </c>
      <c r="J356">
        <f>IFERROR(ROUNDDOWN((VLOOKUP($C356,装備品!$1:$998,COLUMN(H$1),FALSE)+IFERROR(VLOOKUP($CI356,付与!$1:$1167,COLUMN(J$1),FALSE),0))*VLOOKUP($D356,素材!$1:$1016,COLUMN($E$1),FALSE),0),"")</f>
        <v>40</v>
      </c>
      <c r="K356">
        <f>IFERROR(ROUNDDOWN((VLOOKUP($C356,装備品!$1:$998,COLUMN(I$1),FALSE)+IFERROR(VLOOKUP($CI356,付与!$1:$1167,COLUMN(K$1),FALSE),0))*VLOOKUP($D356,素材!$1:$1016,COLUMN($E$1),FALSE),0),"")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IFERROR(VLOOKUP($C356,装備品!$1:$998,COLUMN(AA$1),FALSE)*VLOOKUP($D356,素材!$1:$1016,COLUMN($G$1),FALSE),"")</f>
        <v>20</v>
      </c>
      <c r="N356">
        <f>IFERROR(VLOOKUP($C356,装備品!$1:$998,COLUMN(I$1),FALSE),"")</f>
        <v>0</v>
      </c>
      <c r="O356" s="23">
        <f>IFERROR((VLOOKUP($C356,装備品!$1:$998,COLUMN(K$1),FALSE)+VLOOKUP($D356,素材!$1:$1016,COLUMN(H$1),FALSE))*100+IFERROR(VLOOKUP($CI356,付与!$1:$1167,COLUMN(O$1),FALSE),0),"")</f>
        <v>12.000000000000002</v>
      </c>
      <c r="P356" s="23">
        <f>IFERROR((VLOOKUP($C356,装備品!$1:$998,COLUMN(L$1),FALSE)+VLOOKUP($D356,素材!$1:$1016,COLUMN(I$1),FALSE))*100+IFERROR(VLOOKUP($CI356,付与!$1:$1167,COLUMN(P$1),FALSE),0),"")</f>
        <v>155</v>
      </c>
      <c r="Q356">
        <f>IFERROR(ROUNDUP(VLOOKUP($C356,装備品!$1:$998,COLUMN(M$1),FALSE)*(VLOOKUP($D356,素材!$1:$1002,COLUMN(D$1),FALSE)/100),1),"")</f>
        <v>-2.9</v>
      </c>
      <c r="R356">
        <f>IFERROR(ROUNDUP(VLOOKUP($C356,装備品!$1:$998,COLUMN(N$1),FALSE)*(VLOOKUP($D356,素材!$1:$1002,COLUMN(D$1),FALSE)/100),1),"")</f>
        <v>-2.9</v>
      </c>
      <c r="S356">
        <f>IFERROR(VLOOKUP($C356,装備品!$1:$998,COLUMN(P$1),FALSE),"")</f>
        <v>0</v>
      </c>
      <c r="T356">
        <f>IFERROR(VLOOKUP($C356,装備品!$1:$998,COLUMN(Q$1),FALSE),"")</f>
        <v>0</v>
      </c>
      <c r="U356">
        <f>IFERROR(VLOOKUP($C356,装備品!$1:$998,COLUMN(R$1),FALSE),"")</f>
        <v>0</v>
      </c>
      <c r="V356">
        <f>IFERROR(VLOOKUP($C356,装備品!$1:$998,COLUMN(Q$1),FALSE),"")</f>
        <v>0</v>
      </c>
      <c r="W356">
        <f>IFERROR(VLOOKUP($C356,装備品!$1:$998,COLUMN(T$1),FALSE),"")</f>
        <v>0</v>
      </c>
      <c r="Y356">
        <f>IFERROR(VLOOKUP($C356,装備品!$1:$998,COLUMN(U$1),FALSE),"")</f>
        <v>0</v>
      </c>
      <c r="Z356">
        <f>IFERROR(ROUNDUP(VLOOKUP($C356,装備品!$1:$998,COLUMN(O$1),FALSE)*VLOOKUP($D356,素材!$1:$1016,COLUMN(E$1),FALSE),1),"")</f>
        <v>0</v>
      </c>
      <c r="AA356">
        <f>IF(ISNUMBER(SEARCH(SUBSTITUTE(AA$1,RIGHT(AA$1,2),""),VLOOKUP($D356,素材!$1:$1016,COLUMN($F$1),FALSE))),VLOOKUP($C356,装備品!$1:$998,COLUMN($O$1),FALSE)*VLOOKUP($D356,素材!$1:$1016,COLUMN($E$1),FALSE)/(LEN(VLOOKUP($D356,素材!$1:$1016,COLUMN($F$1),FALSE))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IFERROR(VLOOKUP($C356,装備品!$1:$998,COLUMN(V$1),FALSE)*VLOOKUP($D356,素材!$1:$1016,COLUMN(N$1),FALSE)+IF(CI356="",0,VLOOKUP($CI356,付与!$1:$1176,COLUMN($CK$1),FALSE)),"")</f>
        <v>0</v>
      </c>
      <c r="CO356">
        <f>VLOOKUP(D356,素材!$A:$O,COLUMN(素材!O$1),FALSE)</f>
        <v>0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IFERROR(VLOOKUP($D357,素材!$1:$1016,COLUMN($B$1),FALSE)&amp;"・"&amp;VLOOKUP($C357,装備品!$1:$998,COLUMN(B$1),FALSE),"")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IFERROR(VLOOKUP(C357,装備品!$1:$998,COLUMN(C$1),FALSE),"")</f>
        <v>体</v>
      </c>
      <c r="F357">
        <f>IFERROR(ROUNDDOWN((VLOOKUP($C357,装備品!$1:$998,COLUMN(D$1),FALSE)+IFERROR(VLOOKUP($CI357,付与!$1:$1167,COLUMN(F$1),FALSE),0))*VLOOKUP($D357,素材!$1:$1016,COLUMN(D$1),FALSE),0),"")</f>
        <v>0</v>
      </c>
      <c r="G357">
        <f>IFERROR(ROUNDDOWN((VLOOKUP($C357,装備品!$1:$998,COLUMN(E$1),FALSE)+IFERROR(VLOOKUP($CI357,付与!$1:$1167,COLUMN(G$1),FALSE),0))*VLOOKUP($D357,素材!$1:$1016,COLUMN($E$1),FALSE),0),"")</f>
        <v>0</v>
      </c>
      <c r="H357">
        <f>IFERROR(ROUNDDOWN((VLOOKUP($C357,装備品!$1:$998,COLUMN(F$1),FALSE)+IFERROR(VLOOKUP($CI357,付与!$1:$1167,COLUMN(H$1),FALSE),0))*VLOOKUP($D357,素材!$1:$1016,COLUMN($E$1),FALSE),0),"")</f>
        <v>0</v>
      </c>
      <c r="I357">
        <f>IFERROR(ROUNDDOWN((VLOOKUP($C357,装備品!$1:$998,COLUMN(G$1),FALSE)+IFERROR(VLOOKUP($CI357,付与!$1:$1167,COLUMN(I$1),FALSE),0))*VLOOKUP($D357,素材!$1:$1016,COLUMN($E$1),FALSE),0),"")</f>
        <v>0</v>
      </c>
      <c r="J357">
        <f>IFERROR(ROUNDDOWN((VLOOKUP($C357,装備品!$1:$998,COLUMN(H$1),FALSE)+IFERROR(VLOOKUP($CI357,付与!$1:$1167,COLUMN(J$1),FALSE),0))*VLOOKUP($D357,素材!$1:$1016,COLUMN($E$1),FALSE),0),"")</f>
        <v>0</v>
      </c>
      <c r="K357">
        <f>IFERROR(ROUNDDOWN((VLOOKUP($C357,装備品!$1:$998,COLUMN(I$1),FALSE)+IFERROR(VLOOKUP($CI357,付与!$1:$1167,COLUMN(K$1),FALSE),0))*VLOOKUP($D357,素材!$1:$1016,COLUMN($E$1),FALSE),0),"")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IFERROR(VLOOKUP($C357,装備品!$1:$998,COLUMN(AA$1),FALSE)*VLOOKUP($D357,素材!$1:$1016,COLUMN($G$1),FALSE),"")</f>
        <v>0</v>
      </c>
      <c r="N357">
        <f>IFERROR(VLOOKUP($C357,装備品!$1:$998,COLUMN(I$1),FALSE),"")</f>
        <v>0</v>
      </c>
      <c r="O357" s="23">
        <f>IFERROR((VLOOKUP($C357,装備品!$1:$998,COLUMN(K$1),FALSE)+VLOOKUP($D357,素材!$1:$1016,COLUMN(H$1),FALSE))*100+IFERROR(VLOOKUP($CI357,付与!$1:$1167,COLUMN(O$1),FALSE),0),"")</f>
        <v>5</v>
      </c>
      <c r="P357" s="23">
        <f>IFERROR((VLOOKUP($C357,装備品!$1:$998,COLUMN(L$1),FALSE)+VLOOKUP($D357,素材!$1:$1016,COLUMN(I$1),FALSE))*100+IFERROR(VLOOKUP($CI357,付与!$1:$1167,COLUMN(P$1),FALSE),0),"")</f>
        <v>10</v>
      </c>
      <c r="Q357">
        <f>IFERROR(ROUNDUP(VLOOKUP($C357,装備品!$1:$998,COLUMN(M$1),FALSE)*(VLOOKUP($D357,素材!$1:$1002,COLUMN(D$1),FALSE)/100),1),"")</f>
        <v>-7.5</v>
      </c>
      <c r="R357">
        <f>IFERROR(ROUNDUP(VLOOKUP($C357,装備品!$1:$998,COLUMN(N$1),FALSE)*(VLOOKUP($D357,素材!$1:$1002,COLUMN(D$1),FALSE)/100),1),"")</f>
        <v>0</v>
      </c>
      <c r="S357">
        <f>IFERROR(VLOOKUP($C357,装備品!$1:$998,COLUMN(P$1),FALSE),"")</f>
        <v>-35</v>
      </c>
      <c r="T357">
        <f>IFERROR(VLOOKUP($C357,装備品!$1:$998,COLUMN(Q$1),FALSE),"")</f>
        <v>0</v>
      </c>
      <c r="U357">
        <f>IFERROR(VLOOKUP($C357,装備品!$1:$998,COLUMN(R$1),FALSE),"")</f>
        <v>0</v>
      </c>
      <c r="V357">
        <f>IFERROR(VLOOKUP($C357,装備品!$1:$998,COLUMN(Q$1),FALSE),"")</f>
        <v>0</v>
      </c>
      <c r="W357">
        <f>IFERROR(VLOOKUP($C357,装備品!$1:$998,COLUMN(T$1),FALSE),"")</f>
        <v>0.7</v>
      </c>
      <c r="Y357">
        <f>IFERROR(VLOOKUP($C357,装備品!$1:$998,COLUMN(U$1),FALSE),"")</f>
        <v>0</v>
      </c>
      <c r="Z357">
        <f>IFERROR(ROUNDUP(VLOOKUP($C357,装備品!$1:$998,COLUMN(O$1),FALSE)*VLOOKUP($D357,素材!$1:$1016,COLUMN(E$1),FALSE),1),"")</f>
        <v>0</v>
      </c>
      <c r="AA357">
        <f>IF(ISNUMBER(SEARCH(SUBSTITUTE(AA$1,RIGHT(AA$1,2),""),VLOOKUP($D357,素材!$1:$1016,COLUMN($F$1),FALSE))),VLOOKUP($C357,装備品!$1:$998,COLUMN($O$1),FALSE)*VLOOKUP($D357,素材!$1:$1016,COLUMN($E$1),FALSE)/(LEN(VLOOKUP($D357,素材!$1:$1016,COLUMN($F$1),FALSE))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IFERROR(VLOOKUP($C357,装備品!$1:$998,COLUMN(V$1),FALSE)*VLOOKUP($D357,素材!$1:$1016,COLUMN(N$1),FALSE)+IF(CI357="",0,VLOOKUP($CI357,付与!$1:$1176,COLUMN($CK$1),FALSE)),"")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IFERROR(VLOOKUP($D358,素材!$1:$1016,COLUMN($B$1),FALSE)&amp;"・"&amp;VLOOKUP($C358,装備品!$1:$998,COLUMN(B$1),FALSE),"")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IFERROR(VLOOKUP(C358,装備品!$1:$998,COLUMN(C$1),FALSE),"")</f>
        <v>体</v>
      </c>
      <c r="F358">
        <f>IFERROR(ROUNDDOWN((VLOOKUP($C358,装備品!$1:$998,COLUMN(D$1),FALSE)+IFERROR(VLOOKUP($CI358,付与!$1:$1167,COLUMN(F$1),FALSE),0))*VLOOKUP($D358,素材!$1:$1016,COLUMN(D$1),FALSE),0),"")</f>
        <v>0</v>
      </c>
      <c r="G358">
        <f>IFERROR(ROUNDDOWN((VLOOKUP($C358,装備品!$1:$998,COLUMN(E$1),FALSE)+IFERROR(VLOOKUP($CI358,付与!$1:$1167,COLUMN(G$1),FALSE),0))*VLOOKUP($D358,素材!$1:$1016,COLUMN($E$1),FALSE),0),"")</f>
        <v>0</v>
      </c>
      <c r="H358">
        <f>IFERROR(ROUNDDOWN((VLOOKUP($C358,装備品!$1:$998,COLUMN(F$1),FALSE)+IFERROR(VLOOKUP($CI358,付与!$1:$1167,COLUMN(H$1),FALSE),0))*VLOOKUP($D358,素材!$1:$1016,COLUMN($E$1),FALSE),0),"")</f>
        <v>0</v>
      </c>
      <c r="I358">
        <f>IFERROR(ROUNDDOWN((VLOOKUP($C358,装備品!$1:$998,COLUMN(G$1),FALSE)+IFERROR(VLOOKUP($CI358,付与!$1:$1167,COLUMN(I$1),FALSE),0))*VLOOKUP($D358,素材!$1:$1016,COLUMN($E$1),FALSE),0),"")</f>
        <v>0</v>
      </c>
      <c r="J358">
        <f>IFERROR(ROUNDDOWN((VLOOKUP($C358,装備品!$1:$998,COLUMN(H$1),FALSE)+IFERROR(VLOOKUP($CI358,付与!$1:$1167,COLUMN(J$1),FALSE),0))*VLOOKUP($D358,素材!$1:$1016,COLUMN($E$1),FALSE),0),"")</f>
        <v>0</v>
      </c>
      <c r="K358">
        <f>IFERROR(ROUNDDOWN((VLOOKUP($C358,装備品!$1:$998,COLUMN(I$1),FALSE)+IFERROR(VLOOKUP($CI358,付与!$1:$1167,COLUMN(K$1),FALSE),0))*VLOOKUP($D358,素材!$1:$1016,COLUMN($E$1),FALSE),0),"")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IFERROR(VLOOKUP($C358,装備品!$1:$998,COLUMN(AA$1),FALSE)*VLOOKUP($D358,素材!$1:$1016,COLUMN($G$1),FALSE),"")</f>
        <v>120</v>
      </c>
      <c r="N358">
        <f>IFERROR(VLOOKUP($C358,装備品!$1:$998,COLUMN(I$1),FALSE),"")</f>
        <v>0</v>
      </c>
      <c r="O358" s="23">
        <f>IFERROR((VLOOKUP($C358,装備品!$1:$998,COLUMN(K$1),FALSE)+VLOOKUP($D358,素材!$1:$1016,COLUMN(H$1),FALSE))*100+IFERROR(VLOOKUP($CI358,付与!$1:$1167,COLUMN(O$1),FALSE),0),"")</f>
        <v>5</v>
      </c>
      <c r="P358" s="23">
        <f>IFERROR((VLOOKUP($C358,装備品!$1:$998,COLUMN(L$1),FALSE)+VLOOKUP($D358,素材!$1:$1016,COLUMN(I$1),FALSE))*100+IFERROR(VLOOKUP($CI358,付与!$1:$1167,COLUMN(P$1),FALSE),0),"")</f>
        <v>10</v>
      </c>
      <c r="Q358">
        <f>IFERROR(ROUNDUP(VLOOKUP($C358,装備品!$1:$998,COLUMN(M$1),FALSE)*(VLOOKUP($D358,素材!$1:$1002,COLUMN(D$1),FALSE)/100),1),"")</f>
        <v>-15</v>
      </c>
      <c r="R358">
        <f>IFERROR(ROUNDUP(VLOOKUP($C358,装備品!$1:$998,COLUMN(N$1),FALSE)*(VLOOKUP($D358,素材!$1:$1002,COLUMN(D$1),FALSE)/100),1),"")</f>
        <v>0</v>
      </c>
      <c r="S358">
        <f>IFERROR(VLOOKUP($C358,装備品!$1:$998,COLUMN(P$1),FALSE),"")</f>
        <v>-35</v>
      </c>
      <c r="T358">
        <f>IFERROR(VLOOKUP($C358,装備品!$1:$998,COLUMN(Q$1),FALSE),"")</f>
        <v>0</v>
      </c>
      <c r="U358">
        <f>IFERROR(VLOOKUP($C358,装備品!$1:$998,COLUMN(R$1),FALSE),"")</f>
        <v>0</v>
      </c>
      <c r="V358">
        <f>IFERROR(VLOOKUP($C358,装備品!$1:$998,COLUMN(Q$1),FALSE),"")</f>
        <v>0</v>
      </c>
      <c r="W358">
        <f>IFERROR(VLOOKUP($C358,装備品!$1:$998,COLUMN(T$1),FALSE),"")</f>
        <v>0.7</v>
      </c>
      <c r="Y358">
        <f>IFERROR(VLOOKUP($C358,装備品!$1:$998,COLUMN(U$1),FALSE),"")</f>
        <v>0</v>
      </c>
      <c r="Z358">
        <f>IFERROR(ROUNDUP(VLOOKUP($C358,装備品!$1:$998,COLUMN(O$1),FALSE)*VLOOKUP($D358,素材!$1:$1016,COLUMN(E$1),FALSE),1),"")</f>
        <v>0</v>
      </c>
      <c r="AA358">
        <f>IF(ISNUMBER(SEARCH(SUBSTITUTE(AA$1,RIGHT(AA$1,2),""),VLOOKUP($D358,素材!$1:$1016,COLUMN($F$1),FALSE))),VLOOKUP($C358,装備品!$1:$998,COLUMN($O$1),FALSE)*VLOOKUP($D358,素材!$1:$1016,COLUMN($E$1),FALSE)/(LEN(VLOOKUP($D358,素材!$1:$1016,COLUMN($F$1),FALSE))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IFERROR(VLOOKUP($C358,装備品!$1:$998,COLUMN(V$1),FALSE)*VLOOKUP($D358,素材!$1:$1016,COLUMN(N$1),FALSE)+IF(CI358="",0,VLOOKUP($CI358,付与!$1:$1176,COLUMN($CK$1),FALSE)),"")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IFERROR(VLOOKUP($D359,素材!$1:$1016,COLUMN($B$1),FALSE)&amp;"・"&amp;VLOOKUP($C359,装備品!$1:$998,COLUMN(B$1),FALSE),"")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IFERROR(VLOOKUP(C359,装備品!$1:$998,COLUMN(C$1),FALSE),"")</f>
        <v>体</v>
      </c>
      <c r="F359">
        <f>IFERROR(ROUNDDOWN((VLOOKUP($C359,装備品!$1:$998,COLUMN(D$1),FALSE)+IFERROR(VLOOKUP($CI359,付与!$1:$1167,COLUMN(F$1),FALSE),0))*VLOOKUP($D359,素材!$1:$1016,COLUMN(D$1),FALSE),0),"")</f>
        <v>0</v>
      </c>
      <c r="G359">
        <f>IFERROR(ROUNDDOWN((VLOOKUP($C359,装備品!$1:$998,COLUMN(E$1),FALSE)+IFERROR(VLOOKUP($CI359,付与!$1:$1167,COLUMN(G$1),FALSE),0))*VLOOKUP($D359,素材!$1:$1016,COLUMN($E$1),FALSE),0),"")</f>
        <v>0</v>
      </c>
      <c r="H359">
        <f>IFERROR(ROUNDDOWN((VLOOKUP($C359,装備品!$1:$998,COLUMN(F$1),FALSE)+IFERROR(VLOOKUP($CI359,付与!$1:$1167,COLUMN(H$1),FALSE),0))*VLOOKUP($D359,素材!$1:$1016,COLUMN($E$1),FALSE),0),"")</f>
        <v>0</v>
      </c>
      <c r="I359">
        <f>IFERROR(ROUNDDOWN((VLOOKUP($C359,装備品!$1:$998,COLUMN(G$1),FALSE)+IFERROR(VLOOKUP($CI359,付与!$1:$1167,COLUMN(I$1),FALSE),0))*VLOOKUP($D359,素材!$1:$1016,COLUMN($E$1),FALSE),0),"")</f>
        <v>0</v>
      </c>
      <c r="J359">
        <f>IFERROR(ROUNDDOWN((VLOOKUP($C359,装備品!$1:$998,COLUMN(H$1),FALSE)+IFERROR(VLOOKUP($CI359,付与!$1:$1167,COLUMN(J$1),FALSE),0))*VLOOKUP($D359,素材!$1:$1016,COLUMN($E$1),FALSE),0),"")</f>
        <v>0</v>
      </c>
      <c r="K359">
        <f>IFERROR(ROUNDDOWN((VLOOKUP($C359,装備品!$1:$998,COLUMN(I$1),FALSE)+IFERROR(VLOOKUP($CI359,付与!$1:$1167,COLUMN(K$1),FALSE),0))*VLOOKUP($D359,素材!$1:$1016,COLUMN($E$1),FALSE),0),"")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IFERROR(VLOOKUP($C359,装備品!$1:$998,COLUMN(AA$1),FALSE)*VLOOKUP($D359,素材!$1:$1016,COLUMN($G$1),FALSE),"")</f>
        <v>60</v>
      </c>
      <c r="N359">
        <f>IFERROR(VLOOKUP($C359,装備品!$1:$998,COLUMN(I$1),FALSE),"")</f>
        <v>0</v>
      </c>
      <c r="O359" s="23">
        <f>IFERROR((VLOOKUP($C359,装備品!$1:$998,COLUMN(K$1),FALSE)+VLOOKUP($D359,素材!$1:$1016,COLUMN(H$1),FALSE))*100+IFERROR(VLOOKUP($CI359,付与!$1:$1167,COLUMN(O$1),FALSE),0),"")</f>
        <v>5</v>
      </c>
      <c r="P359" s="23">
        <f>IFERROR((VLOOKUP($C359,装備品!$1:$998,COLUMN(L$1),FALSE)+VLOOKUP($D359,素材!$1:$1016,COLUMN(I$1),FALSE))*100+IFERROR(VLOOKUP($CI359,付与!$1:$1167,COLUMN(P$1),FALSE),0),"")</f>
        <v>10</v>
      </c>
      <c r="Q359">
        <f>IFERROR(ROUNDUP(VLOOKUP($C359,装備品!$1:$998,COLUMN(M$1),FALSE)*(VLOOKUP($D359,素材!$1:$1002,COLUMN(D$1),FALSE)/100),1),"")</f>
        <v>-19.5</v>
      </c>
      <c r="R359">
        <f>IFERROR(ROUNDUP(VLOOKUP($C359,装備品!$1:$998,COLUMN(N$1),FALSE)*(VLOOKUP($D359,素材!$1:$1002,COLUMN(D$1),FALSE)/100),1),"")</f>
        <v>0</v>
      </c>
      <c r="S359">
        <f>IFERROR(VLOOKUP($C359,装備品!$1:$998,COLUMN(P$1),FALSE),"")</f>
        <v>-35</v>
      </c>
      <c r="T359">
        <f>IFERROR(VLOOKUP($C359,装備品!$1:$998,COLUMN(Q$1),FALSE),"")</f>
        <v>0</v>
      </c>
      <c r="U359">
        <f>IFERROR(VLOOKUP($C359,装備品!$1:$998,COLUMN(R$1),FALSE),"")</f>
        <v>0</v>
      </c>
      <c r="V359">
        <f>IFERROR(VLOOKUP($C359,装備品!$1:$998,COLUMN(Q$1),FALSE),"")</f>
        <v>0</v>
      </c>
      <c r="W359">
        <f>IFERROR(VLOOKUP($C359,装備品!$1:$998,COLUMN(T$1),FALSE),"")</f>
        <v>0.7</v>
      </c>
      <c r="Y359">
        <f>IFERROR(VLOOKUP($C359,装備品!$1:$998,COLUMN(U$1),FALSE),"")</f>
        <v>0</v>
      </c>
      <c r="Z359">
        <f>IFERROR(ROUNDUP(VLOOKUP($C359,装備品!$1:$998,COLUMN(O$1),FALSE)*VLOOKUP($D359,素材!$1:$1016,COLUMN(E$1),FALSE),1),"")</f>
        <v>0</v>
      </c>
      <c r="AA359">
        <f>IF(ISNUMBER(SEARCH(SUBSTITUTE(AA$1,RIGHT(AA$1,2),""),VLOOKUP($D359,素材!$1:$1016,COLUMN($F$1),FALSE))),VLOOKUP($C359,装備品!$1:$998,COLUMN($O$1),FALSE)*VLOOKUP($D359,素材!$1:$1016,COLUMN($E$1),FALSE)/(LEN(VLOOKUP($D359,素材!$1:$1016,COLUMN($F$1),FALSE))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IFERROR(VLOOKUP($C359,装備品!$1:$998,COLUMN(V$1),FALSE)*VLOOKUP($D359,素材!$1:$1016,COLUMN(N$1),FALSE)+IF(CI359="",0,VLOOKUP($CI359,付与!$1:$1176,COLUMN($CK$1),FALSE)),"")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IFERROR(VLOOKUP($D360,素材!$1:$1016,COLUMN($B$1),FALSE)&amp;"・"&amp;VLOOKUP($C360,装備品!$1:$998,COLUMN(B$1),FALSE),"")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IFERROR(VLOOKUP(C360,装備品!$1:$998,COLUMN(C$1),FALSE),"")</f>
        <v>武器</v>
      </c>
      <c r="F360">
        <f>IFERROR(ROUNDDOWN((VLOOKUP($C360,装備品!$1:$998,COLUMN(D$1),FALSE)+IFERROR(VLOOKUP($CI360,付与!$1:$1167,COLUMN(F$1),FALSE),0))*VLOOKUP($D360,素材!$1:$1016,COLUMN(D$1),FALSE),0),"")</f>
        <v>57</v>
      </c>
      <c r="G360">
        <f>IFERROR(ROUNDDOWN((VLOOKUP($C360,装備品!$1:$998,COLUMN(E$1),FALSE)+IFERROR(VLOOKUP($CI360,付与!$1:$1167,COLUMN(G$1),FALSE),0))*VLOOKUP($D360,素材!$1:$1016,COLUMN($E$1),FALSE),0),"")</f>
        <v>26</v>
      </c>
      <c r="H360">
        <f>IFERROR(ROUNDDOWN((VLOOKUP($C360,装備品!$1:$998,COLUMN(F$1),FALSE)+IFERROR(VLOOKUP($CI360,付与!$1:$1167,COLUMN(H$1),FALSE),0))*VLOOKUP($D360,素材!$1:$1016,COLUMN($E$1),FALSE),0),"")</f>
        <v>15</v>
      </c>
      <c r="I360">
        <f>IFERROR(ROUNDDOWN((VLOOKUP($C360,装備品!$1:$998,COLUMN(G$1),FALSE)+IFERROR(VLOOKUP($CI360,付与!$1:$1167,COLUMN(I$1),FALSE),0))*VLOOKUP($D360,素材!$1:$1016,COLUMN($E$1),FALSE),0),"")</f>
        <v>5</v>
      </c>
      <c r="J360">
        <f>IFERROR(ROUNDDOWN((VLOOKUP($C360,装備品!$1:$998,COLUMN(H$1),FALSE)+IFERROR(VLOOKUP($CI360,付与!$1:$1167,COLUMN(J$1),FALSE),0))*VLOOKUP($D360,素材!$1:$1016,COLUMN($E$1),FALSE),0),"")</f>
        <v>35</v>
      </c>
      <c r="K360">
        <f>IFERROR(ROUNDDOWN((VLOOKUP($C360,装備品!$1:$998,COLUMN(I$1),FALSE)+IFERROR(VLOOKUP($CI360,付与!$1:$1167,COLUMN(K$1),FALSE),0))*VLOOKUP($D360,素材!$1:$1016,COLUMN($E$1),FALSE),0),"")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IFERROR(VLOOKUP($C360,装備品!$1:$998,COLUMN(AA$1),FALSE)*VLOOKUP($D360,素材!$1:$1016,COLUMN($G$1),FALSE),"")</f>
        <v>0</v>
      </c>
      <c r="N360">
        <f>IFERROR(VLOOKUP($C360,装備品!$1:$998,COLUMN(I$1),FALSE),"")</f>
        <v>0</v>
      </c>
      <c r="O360" s="23">
        <f>IFERROR((VLOOKUP($C360,装備品!$1:$998,COLUMN(K$1),FALSE)+VLOOKUP($D360,素材!$1:$1016,COLUMN(H$1),FALSE))*100+IFERROR(VLOOKUP($CI360,付与!$1:$1167,COLUMN(O$1),FALSE),0),"")</f>
        <v>15.000000000000002</v>
      </c>
      <c r="P360" s="23">
        <f>IFERROR((VLOOKUP($C360,装備品!$1:$998,COLUMN(L$1),FALSE)+VLOOKUP($D360,素材!$1:$1016,COLUMN(I$1),FALSE))*100+IFERROR(VLOOKUP($CI360,付与!$1:$1167,COLUMN(P$1),FALSE),0),"")</f>
        <v>160</v>
      </c>
      <c r="Q360">
        <f>IFERROR(ROUNDUP(VLOOKUP($C360,装備品!$1:$998,COLUMN(M$1),FALSE)*(VLOOKUP($D360,素材!$1:$1002,COLUMN(D$1),FALSE)/100),1),"")</f>
        <v>-1.3</v>
      </c>
      <c r="R360">
        <f>IFERROR(ROUNDUP(VLOOKUP($C360,装備品!$1:$998,COLUMN(N$1),FALSE)*(VLOOKUP($D360,素材!$1:$1002,COLUMN(D$1),FALSE)/100),1),"")</f>
        <v>-1.3</v>
      </c>
      <c r="S360">
        <f>IFERROR(VLOOKUP($C360,装備品!$1:$998,COLUMN(P$1),FALSE),"")</f>
        <v>0</v>
      </c>
      <c r="T360">
        <f>IFERROR(VLOOKUP($C360,装備品!$1:$998,COLUMN(Q$1),FALSE),"")</f>
        <v>0</v>
      </c>
      <c r="U360">
        <f>IFERROR(VLOOKUP($C360,装備品!$1:$998,COLUMN(R$1),FALSE),"")</f>
        <v>0</v>
      </c>
      <c r="V360">
        <f>IFERROR(VLOOKUP($C360,装備品!$1:$998,COLUMN(Q$1),FALSE),"")</f>
        <v>0</v>
      </c>
      <c r="W360">
        <f>IFERROR(VLOOKUP($C360,装備品!$1:$998,COLUMN(T$1),FALSE),"")</f>
        <v>0</v>
      </c>
      <c r="Y360">
        <f>IFERROR(VLOOKUP($C360,装備品!$1:$998,COLUMN(U$1),FALSE),"")</f>
        <v>0</v>
      </c>
      <c r="Z360">
        <f>IFERROR(ROUNDUP(VLOOKUP($C360,装備品!$1:$998,COLUMN(O$1),FALSE)*VLOOKUP($D360,素材!$1:$1016,COLUMN(E$1),FALSE),1),"")</f>
        <v>0</v>
      </c>
      <c r="AA360">
        <f>IF(ISNUMBER(SEARCH(SUBSTITUTE(AA$1,RIGHT(AA$1,2),""),VLOOKUP($D360,素材!$1:$1016,COLUMN($F$1),FALSE))),VLOOKUP($C360,装備品!$1:$998,COLUMN($O$1),FALSE)*VLOOKUP($D360,素材!$1:$1016,COLUMN($E$1),FALSE)/(LEN(VLOOKUP($D360,素材!$1:$1016,COLUMN($F$1),FALSE))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IFERROR(VLOOKUP($C360,装備品!$1:$998,COLUMN(V$1),FALSE)*VLOOKUP($D360,素材!$1:$1016,COLUMN(N$1),FALSE)+IF(CI360="",0,VLOOKUP($CI360,付与!$1:$1176,COLUMN($CK$1),FALSE)),"")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IFERROR(VLOOKUP($D361,素材!$1:$1016,COLUMN($B$1),FALSE)&amp;"・"&amp;VLOOKUP($C361,装備品!$1:$998,COLUMN(B$1),FALSE),"")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IFERROR(VLOOKUP(C361,装備品!$1:$998,COLUMN(C$1),FALSE),"")</f>
        <v>武器</v>
      </c>
      <c r="F361">
        <f>IFERROR(ROUNDDOWN((VLOOKUP($C361,装備品!$1:$998,COLUMN(D$1),FALSE)+IFERROR(VLOOKUP($CI361,付与!$1:$1167,COLUMN(F$1),FALSE),0))*VLOOKUP($D361,素材!$1:$1016,COLUMN(D$1),FALSE),0),"")</f>
        <v>115</v>
      </c>
      <c r="G361">
        <f>IFERROR(ROUNDDOWN((VLOOKUP($C361,装備品!$1:$998,COLUMN(E$1),FALSE)+IFERROR(VLOOKUP($CI361,付与!$1:$1167,COLUMN(G$1),FALSE),0))*VLOOKUP($D361,素材!$1:$1016,COLUMN($E$1),FALSE),0),"")</f>
        <v>30</v>
      </c>
      <c r="H361">
        <f>IFERROR(ROUNDDOWN((VLOOKUP($C361,装備品!$1:$998,COLUMN(F$1),FALSE)+IFERROR(VLOOKUP($CI361,付与!$1:$1167,COLUMN(H$1),FALSE),0))*VLOOKUP($D361,素材!$1:$1016,COLUMN($E$1),FALSE),0),"")</f>
        <v>18</v>
      </c>
      <c r="I361">
        <f>IFERROR(ROUNDDOWN((VLOOKUP($C361,装備品!$1:$998,COLUMN(G$1),FALSE)+IFERROR(VLOOKUP($CI361,付与!$1:$1167,COLUMN(I$1),FALSE),0))*VLOOKUP($D361,素材!$1:$1016,COLUMN($E$1),FALSE),0),"")</f>
        <v>6</v>
      </c>
      <c r="J361">
        <f>IFERROR(ROUNDDOWN((VLOOKUP($C361,装備品!$1:$998,COLUMN(H$1),FALSE)+IFERROR(VLOOKUP($CI361,付与!$1:$1167,COLUMN(J$1),FALSE),0))*VLOOKUP($D361,素材!$1:$1016,COLUMN($E$1),FALSE),0),"")</f>
        <v>40</v>
      </c>
      <c r="K361">
        <f>IFERROR(ROUNDDOWN((VLOOKUP($C361,装備品!$1:$998,COLUMN(I$1),FALSE)+IFERROR(VLOOKUP($CI361,付与!$1:$1167,COLUMN(K$1),FALSE),0))*VLOOKUP($D361,素材!$1:$1016,COLUMN($E$1),FALSE),0),"")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IFERROR(VLOOKUP($C361,装備品!$1:$998,COLUMN(AA$1),FALSE)*VLOOKUP($D361,素材!$1:$1016,COLUMN($G$1),FALSE),"")</f>
        <v>80</v>
      </c>
      <c r="N361">
        <f>IFERROR(VLOOKUP($C361,装備品!$1:$998,COLUMN(I$1),FALSE),"")</f>
        <v>0</v>
      </c>
      <c r="O361" s="23">
        <f>IFERROR((VLOOKUP($C361,装備品!$1:$998,COLUMN(K$1),FALSE)+VLOOKUP($D361,素材!$1:$1016,COLUMN(H$1),FALSE))*100+IFERROR(VLOOKUP($CI361,付与!$1:$1167,COLUMN(O$1),FALSE),0),"")</f>
        <v>15.000000000000002</v>
      </c>
      <c r="P361" s="23">
        <f>IFERROR((VLOOKUP($C361,装備品!$1:$998,COLUMN(L$1),FALSE)+VLOOKUP($D361,素材!$1:$1016,COLUMN(I$1),FALSE))*100+IFERROR(VLOOKUP($CI361,付与!$1:$1167,COLUMN(P$1),FALSE),0),"")</f>
        <v>160</v>
      </c>
      <c r="Q361">
        <f>IFERROR(ROUNDUP(VLOOKUP($C361,装備品!$1:$998,COLUMN(M$1),FALSE)*(VLOOKUP($D361,素材!$1:$1002,COLUMN(D$1),FALSE)/100),1),"")</f>
        <v>-2.5</v>
      </c>
      <c r="R361">
        <f>IFERROR(ROUNDUP(VLOOKUP($C361,装備品!$1:$998,COLUMN(N$1),FALSE)*(VLOOKUP($D361,素材!$1:$1002,COLUMN(D$1),FALSE)/100),1),"")</f>
        <v>-2.5</v>
      </c>
      <c r="S361">
        <f>IFERROR(VLOOKUP($C361,装備品!$1:$998,COLUMN(P$1),FALSE),"")</f>
        <v>0</v>
      </c>
      <c r="T361">
        <f>IFERROR(VLOOKUP($C361,装備品!$1:$998,COLUMN(Q$1),FALSE),"")</f>
        <v>0</v>
      </c>
      <c r="U361">
        <f>IFERROR(VLOOKUP($C361,装備品!$1:$998,COLUMN(R$1),FALSE),"")</f>
        <v>0</v>
      </c>
      <c r="V361">
        <f>IFERROR(VLOOKUP($C361,装備品!$1:$998,COLUMN(Q$1),FALSE),"")</f>
        <v>0</v>
      </c>
      <c r="W361">
        <f>IFERROR(VLOOKUP($C361,装備品!$1:$998,COLUMN(T$1),FALSE),"")</f>
        <v>0</v>
      </c>
      <c r="Y361">
        <f>IFERROR(VLOOKUP($C361,装備品!$1:$998,COLUMN(U$1),FALSE),"")</f>
        <v>0</v>
      </c>
      <c r="Z361">
        <f>IFERROR(ROUNDUP(VLOOKUP($C361,装備品!$1:$998,COLUMN(O$1),FALSE)*VLOOKUP($D361,素材!$1:$1016,COLUMN(E$1),FALSE),1),"")</f>
        <v>0</v>
      </c>
      <c r="AA361">
        <f>IF(ISNUMBER(SEARCH(SUBSTITUTE(AA$1,RIGHT(AA$1,2),""),VLOOKUP($D361,素材!$1:$1016,COLUMN($F$1),FALSE))),VLOOKUP($C361,装備品!$1:$998,COLUMN($O$1),FALSE)*VLOOKUP($D361,素材!$1:$1016,COLUMN($E$1),FALSE)/(LEN(VLOOKUP($D361,素材!$1:$1016,COLUMN($F$1),FALSE))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IFERROR(VLOOKUP($C361,装備品!$1:$998,COLUMN(V$1),FALSE)*VLOOKUP($D361,素材!$1:$1016,COLUMN(N$1),FALSE)+IF(CI361="",0,VLOOKUP($CI361,付与!$1:$1176,COLUMN($CK$1),FALSE)),"")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IFERROR(VLOOKUP($D362,素材!$1:$1016,COLUMN($B$1),FALSE)&amp;"・"&amp;VLOOKUP($C362,装備品!$1:$998,COLUMN(B$1),FALSE),"")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IFERROR(VLOOKUP(C362,装備品!$1:$998,COLUMN(C$1),FALSE),"")</f>
        <v>武器</v>
      </c>
      <c r="F362">
        <f>IFERROR(ROUNDDOWN((VLOOKUP($C362,装備品!$1:$998,COLUMN(D$1),FALSE)+IFERROR(VLOOKUP($CI362,付与!$1:$1167,COLUMN(F$1),FALSE),0))*VLOOKUP($D362,素材!$1:$1016,COLUMN(D$1),FALSE),0),"")</f>
        <v>149</v>
      </c>
      <c r="G362">
        <f>IFERROR(ROUNDDOWN((VLOOKUP($C362,装備品!$1:$998,COLUMN(E$1),FALSE)+IFERROR(VLOOKUP($CI362,付与!$1:$1167,COLUMN(G$1),FALSE),0))*VLOOKUP($D362,素材!$1:$1016,COLUMN($E$1),FALSE),0),"")</f>
        <v>37</v>
      </c>
      <c r="H362">
        <f>IFERROR(ROUNDDOWN((VLOOKUP($C362,装備品!$1:$998,COLUMN(F$1),FALSE)+IFERROR(VLOOKUP($CI362,付与!$1:$1167,COLUMN(H$1),FALSE),0))*VLOOKUP($D362,素材!$1:$1016,COLUMN($E$1),FALSE),0),"")</f>
        <v>22</v>
      </c>
      <c r="I362">
        <f>IFERROR(ROUNDDOWN((VLOOKUP($C362,装備品!$1:$998,COLUMN(G$1),FALSE)+IFERROR(VLOOKUP($CI362,付与!$1:$1167,COLUMN(I$1),FALSE),0))*VLOOKUP($D362,素材!$1:$1016,COLUMN($E$1),FALSE),0),"")</f>
        <v>7</v>
      </c>
      <c r="J362">
        <f>IFERROR(ROUNDDOWN((VLOOKUP($C362,装備品!$1:$998,COLUMN(H$1),FALSE)+IFERROR(VLOOKUP($CI362,付与!$1:$1167,COLUMN(J$1),FALSE),0))*VLOOKUP($D362,素材!$1:$1016,COLUMN($E$1),FALSE),0),"")</f>
        <v>50</v>
      </c>
      <c r="K362">
        <f>IFERROR(ROUNDDOWN((VLOOKUP($C362,装備品!$1:$998,COLUMN(I$1),FALSE)+IFERROR(VLOOKUP($CI362,付与!$1:$1167,COLUMN(K$1),FALSE),0))*VLOOKUP($D362,素材!$1:$1016,COLUMN($E$1),FALSE),0),"")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IFERROR(VLOOKUP($C362,装備品!$1:$998,COLUMN(AA$1),FALSE)*VLOOKUP($D362,素材!$1:$1016,COLUMN($G$1),FALSE),"")</f>
        <v>40</v>
      </c>
      <c r="N362">
        <f>IFERROR(VLOOKUP($C362,装備品!$1:$998,COLUMN(I$1),FALSE),"")</f>
        <v>0</v>
      </c>
      <c r="O362" s="23">
        <f>IFERROR((VLOOKUP($C362,装備品!$1:$998,COLUMN(K$1),FALSE)+VLOOKUP($D362,素材!$1:$1016,COLUMN(H$1),FALSE))*100+IFERROR(VLOOKUP($CI362,付与!$1:$1167,COLUMN(O$1),FALSE),0),"")</f>
        <v>15.000000000000002</v>
      </c>
      <c r="P362" s="23">
        <f>IFERROR((VLOOKUP($C362,装備品!$1:$998,COLUMN(L$1),FALSE)+VLOOKUP($D362,素材!$1:$1016,COLUMN(I$1),FALSE))*100+IFERROR(VLOOKUP($CI362,付与!$1:$1167,COLUMN(P$1),FALSE),0),"")</f>
        <v>160</v>
      </c>
      <c r="Q362">
        <f>IFERROR(ROUNDUP(VLOOKUP($C362,装備品!$1:$998,COLUMN(M$1),FALSE)*(VLOOKUP($D362,素材!$1:$1002,COLUMN(D$1),FALSE)/100),1),"")</f>
        <v>-3.3000000000000003</v>
      </c>
      <c r="R362">
        <f>IFERROR(ROUNDUP(VLOOKUP($C362,装備品!$1:$998,COLUMN(N$1),FALSE)*(VLOOKUP($D362,素材!$1:$1002,COLUMN(D$1),FALSE)/100),1),"")</f>
        <v>-3.3000000000000003</v>
      </c>
      <c r="S362">
        <f>IFERROR(VLOOKUP($C362,装備品!$1:$998,COLUMN(P$1),FALSE),"")</f>
        <v>0</v>
      </c>
      <c r="T362">
        <f>IFERROR(VLOOKUP($C362,装備品!$1:$998,COLUMN(Q$1),FALSE),"")</f>
        <v>0</v>
      </c>
      <c r="U362">
        <f>IFERROR(VLOOKUP($C362,装備品!$1:$998,COLUMN(R$1),FALSE),"")</f>
        <v>0</v>
      </c>
      <c r="V362">
        <f>IFERROR(VLOOKUP($C362,装備品!$1:$998,COLUMN(Q$1),FALSE),"")</f>
        <v>0</v>
      </c>
      <c r="W362">
        <f>IFERROR(VLOOKUP($C362,装備品!$1:$998,COLUMN(T$1),FALSE),"")</f>
        <v>0</v>
      </c>
      <c r="Y362">
        <f>IFERROR(VLOOKUP($C362,装備品!$1:$998,COLUMN(U$1),FALSE),"")</f>
        <v>0</v>
      </c>
      <c r="Z362">
        <f>IFERROR(ROUNDUP(VLOOKUP($C362,装備品!$1:$998,COLUMN(O$1),FALSE)*VLOOKUP($D362,素材!$1:$1016,COLUMN(E$1),FALSE),1),"")</f>
        <v>0</v>
      </c>
      <c r="AA362">
        <f>IF(ISNUMBER(SEARCH(SUBSTITUTE(AA$1,RIGHT(AA$1,2),""),VLOOKUP($D362,素材!$1:$1016,COLUMN($F$1),FALSE))),VLOOKUP($C362,装備品!$1:$998,COLUMN($O$1),FALSE)*VLOOKUP($D362,素材!$1:$1016,COLUMN($E$1),FALSE)/(LEN(VLOOKUP($D362,素材!$1:$1016,COLUMN($F$1),FALSE))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IFERROR(VLOOKUP($C362,装備品!$1:$998,COLUMN(V$1),FALSE)*VLOOKUP($D362,素材!$1:$1016,COLUMN(N$1),FALSE)+IF(CI362="",0,VLOOKUP($CI362,付与!$1:$1176,COLUMN($CK$1),FALSE)),"")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IFERROR(VLOOKUP($D363,素材!$1:$1016,COLUMN($B$1),FALSE)&amp;"・"&amp;VLOOKUP($C363,装備品!$1:$998,COLUMN(B$1),FALSE),"")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IFERROR(VLOOKUP(C363,装備品!$1:$998,COLUMN(C$1),FALSE),"")</f>
        <v>体</v>
      </c>
      <c r="F363">
        <f>IFERROR(ROUNDDOWN((VLOOKUP($C363,装備品!$1:$998,COLUMN(D$1),FALSE)+IFERROR(VLOOKUP($CI363,付与!$1:$1167,COLUMN(F$1),FALSE),0))*VLOOKUP($D363,素材!$1:$1016,COLUMN(D$1),FALSE),0),"")</f>
        <v>0</v>
      </c>
      <c r="G363">
        <f>IFERROR(ROUNDDOWN((VLOOKUP($C363,装備品!$1:$998,COLUMN(E$1),FALSE)+IFERROR(VLOOKUP($CI363,付与!$1:$1167,COLUMN(G$1),FALSE),0))*VLOOKUP($D363,素材!$1:$1016,COLUMN($E$1),FALSE),0),"")</f>
        <v>0</v>
      </c>
      <c r="H363">
        <f>IFERROR(ROUNDDOWN((VLOOKUP($C363,装備品!$1:$998,COLUMN(F$1),FALSE)+IFERROR(VLOOKUP($CI363,付与!$1:$1167,COLUMN(H$1),FALSE),0))*VLOOKUP($D363,素材!$1:$1016,COLUMN($E$1),FALSE),0),"")</f>
        <v>0</v>
      </c>
      <c r="I363">
        <f>IFERROR(ROUNDDOWN((VLOOKUP($C363,装備品!$1:$998,COLUMN(G$1),FALSE)+IFERROR(VLOOKUP($CI363,付与!$1:$1167,COLUMN(I$1),FALSE),0))*VLOOKUP($D363,素材!$1:$1016,COLUMN($E$1),FALSE),0),"")</f>
        <v>0</v>
      </c>
      <c r="J363">
        <f>IFERROR(ROUNDDOWN((VLOOKUP($C363,装備品!$1:$998,COLUMN(H$1),FALSE)+IFERROR(VLOOKUP($CI363,付与!$1:$1167,COLUMN(J$1),FALSE),0))*VLOOKUP($D363,素材!$1:$1016,COLUMN($E$1),FALSE),0),"")</f>
        <v>0</v>
      </c>
      <c r="K363">
        <f>IFERROR(ROUNDDOWN((VLOOKUP($C363,装備品!$1:$998,COLUMN(I$1),FALSE)+IFERROR(VLOOKUP($CI363,付与!$1:$1167,COLUMN(K$1),FALSE),0))*VLOOKUP($D363,素材!$1:$1016,COLUMN($E$1),FALSE),0),"")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IFERROR(VLOOKUP($C363,装備品!$1:$998,COLUMN(AA$1),FALSE)*VLOOKUP($D363,素材!$1:$1016,COLUMN($G$1),FALSE),"")</f>
        <v>540</v>
      </c>
      <c r="N363">
        <f>IFERROR(VLOOKUP($C363,装備品!$1:$998,COLUMN(I$1),FALSE),"")</f>
        <v>0</v>
      </c>
      <c r="O363" s="23">
        <f>IFERROR((VLOOKUP($C363,装備品!$1:$998,COLUMN(K$1),FALSE)+VLOOKUP($D363,素材!$1:$1016,COLUMN(H$1),FALSE))*100+IFERROR(VLOOKUP($CI363,付与!$1:$1167,COLUMN(O$1),FALSE),0),"")</f>
        <v>0</v>
      </c>
      <c r="P363" s="23">
        <f>IFERROR((VLOOKUP($C363,装備品!$1:$998,COLUMN(L$1),FALSE)+VLOOKUP($D363,素材!$1:$1016,COLUMN(I$1),FALSE))*100+IFERROR(VLOOKUP($CI363,付与!$1:$1167,COLUMN(P$1),FALSE),0),"")</f>
        <v>0</v>
      </c>
      <c r="Q363">
        <f>IFERROR(ROUNDUP(VLOOKUP($C363,装備品!$1:$998,COLUMN(M$1),FALSE)*(VLOOKUP($D363,素材!$1:$1002,COLUMN(D$1),FALSE)/100),1),"")</f>
        <v>-15</v>
      </c>
      <c r="R363">
        <f>IFERROR(ROUNDUP(VLOOKUP($C363,装備品!$1:$998,COLUMN(N$1),FALSE)*(VLOOKUP($D363,素材!$1:$1002,COLUMN(D$1),FALSE)/100),1),"")</f>
        <v>0</v>
      </c>
      <c r="S363">
        <f>IFERROR(VLOOKUP($C363,装備品!$1:$998,COLUMN(P$1),FALSE),"")</f>
        <v>-35</v>
      </c>
      <c r="T363">
        <f>IFERROR(VLOOKUP($C363,装備品!$1:$998,COLUMN(Q$1),FALSE),"")</f>
        <v>0</v>
      </c>
      <c r="U363">
        <f>IFERROR(VLOOKUP($C363,装備品!$1:$998,COLUMN(R$1),FALSE),"")</f>
        <v>0</v>
      </c>
      <c r="V363">
        <f>IFERROR(VLOOKUP($C363,装備品!$1:$998,COLUMN(Q$1),FALSE),"")</f>
        <v>0</v>
      </c>
      <c r="W363">
        <f>IFERROR(VLOOKUP($C363,装備品!$1:$998,COLUMN(T$1),FALSE),"")</f>
        <v>0.7</v>
      </c>
      <c r="Y363">
        <f>IFERROR(VLOOKUP($C363,装備品!$1:$998,COLUMN(U$1),FALSE),"")</f>
        <v>0</v>
      </c>
      <c r="Z363">
        <f>IFERROR(ROUNDUP(VLOOKUP($C363,装備品!$1:$998,COLUMN(O$1),FALSE)*VLOOKUP($D363,素材!$1:$1016,COLUMN(E$1),FALSE),1),"")</f>
        <v>0</v>
      </c>
      <c r="AA363">
        <f>IF(ISNUMBER(SEARCH(SUBSTITUTE(AA$1,RIGHT(AA$1,2),""),VLOOKUP($D363,素材!$1:$1016,COLUMN($F$1),FALSE))),VLOOKUP($C363,装備品!$1:$998,COLUMN($O$1),FALSE)*VLOOKUP($D363,素材!$1:$1016,COLUMN($E$1),FALSE)/(LEN(VLOOKUP($D363,素材!$1:$1016,COLUMN($F$1),FALSE))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IFERROR(VLOOKUP($C363,装備品!$1:$998,COLUMN(V$1),FALSE)*VLOOKUP($D363,素材!$1:$1016,COLUMN(N$1),FALSE)+IF(CI363="",0,VLOOKUP($CI363,付与!$1:$1176,COLUMN($CK$1),FALSE)),"")</f>
        <v>0</v>
      </c>
      <c r="CO363">
        <f>VLOOKUP(D363,素材!$A:$O,COLUMN(素材!O$1),FALSE)</f>
        <v>0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IFERROR(VLOOKUP(C364,装備品!$1:$998,COLUMN(C$1),FALSE),"")</f>
        <v>武器</v>
      </c>
      <c r="F364">
        <f>IFERROR(ROUNDDOWN((VLOOKUP($C364,装備品!$1:$998,COLUMN(D$1),FALSE)+IFERROR(VLOOKUP($CI364,付与!$1:$1167,COLUMN(F$1),FALSE),0))*VLOOKUP($D364,素材!$1:$1016,COLUMN(D$1),FALSE),0),"")</f>
        <v>105</v>
      </c>
      <c r="G364">
        <f>IFERROR(ROUNDDOWN((VLOOKUP($C364,装備品!$1:$998,COLUMN(E$1),FALSE)+IFERROR(VLOOKUP($CI364,付与!$1:$1167,COLUMN(G$1),FALSE),0))*VLOOKUP($D364,素材!$1:$1016,COLUMN($E$1),FALSE),0),"")</f>
        <v>24</v>
      </c>
      <c r="H364">
        <f>IFERROR(ROUNDDOWN((VLOOKUP($C364,装備品!$1:$998,COLUMN(F$1),FALSE)+IFERROR(VLOOKUP($CI364,付与!$1:$1167,COLUMN(H$1),FALSE),0))*VLOOKUP($D364,素材!$1:$1016,COLUMN($E$1),FALSE),0),"")</f>
        <v>14</v>
      </c>
      <c r="I364">
        <f>IFERROR(ROUNDDOWN((VLOOKUP($C364,装備品!$1:$998,COLUMN(G$1),FALSE)+IFERROR(VLOOKUP($CI364,付与!$1:$1167,COLUMN(I$1),FALSE),0))*VLOOKUP($D364,素材!$1:$1016,COLUMN($E$1),FALSE),0),"")</f>
        <v>3</v>
      </c>
      <c r="J364">
        <f>IFERROR(ROUNDDOWN((VLOOKUP($C364,装備品!$1:$998,COLUMN(H$1),FALSE)+IFERROR(VLOOKUP($CI364,付与!$1:$1167,COLUMN(J$1),FALSE),0))*VLOOKUP($D364,素材!$1:$1016,COLUMN($E$1),FALSE),0),"")</f>
        <v>29</v>
      </c>
      <c r="K364">
        <f>IFERROR(ROUNDDOWN((VLOOKUP($C364,装備品!$1:$998,COLUMN(I$1),FALSE)+IFERROR(VLOOKUP($CI364,付与!$1:$1167,COLUMN(K$1),FALSE),0))*VLOOKUP($D364,素材!$1:$1016,COLUMN($E$1),FALSE),0),"")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IFERROR(VLOOKUP($C364,装備品!$1:$998,COLUMN(AA$1),FALSE)*VLOOKUP($D364,素材!$1:$1016,COLUMN($G$1),FALSE),"")</f>
        <v>360</v>
      </c>
      <c r="N364">
        <f>IFERROR(VLOOKUP($C364,装備品!$1:$998,COLUMN(I$1),FALSE),"")</f>
        <v>0</v>
      </c>
      <c r="O364" s="23">
        <f>IFERROR((VLOOKUP($C364,装備品!$1:$998,COLUMN(K$1),FALSE)+VLOOKUP($D364,素材!$1:$1016,COLUMN(H$1),FALSE))*100+IFERROR(VLOOKUP($CI364,付与!$1:$1167,COLUMN(O$1),FALSE),0),"")</f>
        <v>10</v>
      </c>
      <c r="P364" s="23">
        <f>IFERROR((VLOOKUP($C364,装備品!$1:$998,COLUMN(L$1),FALSE)+VLOOKUP($D364,素材!$1:$1016,COLUMN(I$1),FALSE))*100+IFERROR(VLOOKUP($CI364,付与!$1:$1167,COLUMN(P$1),FALSE),0),"")</f>
        <v>175</v>
      </c>
      <c r="Q364">
        <f>IFERROR(ROUNDUP(VLOOKUP($C364,装備品!$1:$998,COLUMN(M$1),FALSE)*(VLOOKUP($D364,素材!$1:$1002,COLUMN(D$1),FALSE)/100),1),"")</f>
        <v>0</v>
      </c>
      <c r="R364">
        <f>IFERROR(ROUNDUP(VLOOKUP($C364,装備品!$1:$998,COLUMN(N$1),FALSE)*(VLOOKUP($D364,素材!$1:$1002,COLUMN(D$1),FALSE)/100),1),"")</f>
        <v>0</v>
      </c>
      <c r="S364">
        <f>IFERROR(VLOOKUP($C364,装備品!$1:$998,COLUMN(P$1),FALSE),"")</f>
        <v>0</v>
      </c>
      <c r="T364">
        <f>IFERROR(VLOOKUP($C364,装備品!$1:$998,COLUMN(Q$1),FALSE),"")</f>
        <v>0</v>
      </c>
      <c r="U364">
        <f>IFERROR(VLOOKUP($C364,装備品!$1:$998,COLUMN(R$1),FALSE),"")</f>
        <v>0</v>
      </c>
      <c r="V364">
        <f>IFERROR(VLOOKUP($C364,装備品!$1:$998,COLUMN(Q$1),FALSE),"")</f>
        <v>0</v>
      </c>
      <c r="W364">
        <f>IFERROR(VLOOKUP($C364,装備品!$1:$998,COLUMN(T$1),FALSE),"")</f>
        <v>0</v>
      </c>
      <c r="Y364">
        <f>IFERROR(VLOOKUP($C364,装備品!$1:$998,COLUMN(U$1),FALSE),"")</f>
        <v>0</v>
      </c>
      <c r="Z364">
        <f>IFERROR(ROUNDUP(VLOOKUP($C364,装備品!$1:$998,COLUMN(O$1),FALSE)*VLOOKUP($D364,素材!$1:$1016,COLUMN(E$1),FALSE),1),"")</f>
        <v>0</v>
      </c>
      <c r="AA364">
        <f>IF(ISNUMBER(SEARCH(SUBSTITUTE(AA$1,RIGHT(AA$1,2),""),VLOOKUP($D364,素材!$1:$1016,COLUMN($F$1),FALSE))),VLOOKUP($C364,装備品!$1:$998,COLUMN($O$1),FALSE)*VLOOKUP($D364,素材!$1:$1016,COLUMN($E$1),FALSE)/(LEN(VLOOKUP($D364,素材!$1:$1016,COLUMN($F$1),FALSE))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IFERROR(VLOOKUP($C364,装備品!$1:$998,COLUMN(V$1),FALSE)*VLOOKUP($D364,素材!$1:$1016,COLUMN(N$1),FALSE)+IF(CI364="",0,VLOOKUP($CI364,付与!$1:$1176,COLUMN($CK$1),FALSE)),"")</f>
        <v>0</v>
      </c>
      <c r="CO364">
        <f>VLOOKUP(D364,素材!$A:$O,COLUMN(素材!O$1),FALSE)</f>
        <v>0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IFERROR(VLOOKUP($D365,素材!$1:$1016,COLUMN($B$1),FALSE)&amp;"・"&amp;VLOOKUP($C365,装備品!$1:$998,COLUMN(B$1),FALSE),"")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IFERROR(VLOOKUP(C365,装備品!$1:$998,COLUMN(C$1),FALSE),"")</f>
        <v>武器</v>
      </c>
      <c r="F365">
        <f>IFERROR(ROUNDDOWN((VLOOKUP($C365,装備品!$1:$998,COLUMN(D$1),FALSE)+IFERROR(VLOOKUP($CI365,付与!$1:$1167,COLUMN(F$1),FALSE),0))*VLOOKUP($D365,素材!$1:$1016,COLUMN(D$1),FALSE),0),"")</f>
        <v>105</v>
      </c>
      <c r="G365">
        <f>IFERROR(ROUNDDOWN((VLOOKUP($C365,装備品!$1:$998,COLUMN(E$1),FALSE)+IFERROR(VLOOKUP($CI365,付与!$1:$1167,COLUMN(G$1),FALSE),0))*VLOOKUP($D365,素材!$1:$1016,COLUMN($E$1),FALSE),0),"")</f>
        <v>38</v>
      </c>
      <c r="H365">
        <f>IFERROR(ROUNDDOWN((VLOOKUP($C365,装備品!$1:$998,COLUMN(F$1),FALSE)+IFERROR(VLOOKUP($CI365,付与!$1:$1167,COLUMN(H$1),FALSE),0))*VLOOKUP($D365,素材!$1:$1016,COLUMN($E$1),FALSE),0),"")</f>
        <v>22</v>
      </c>
      <c r="I365">
        <f>IFERROR(ROUNDDOWN((VLOOKUP($C365,装備品!$1:$998,COLUMN(G$1),FALSE)+IFERROR(VLOOKUP($CI365,付与!$1:$1167,COLUMN(I$1),FALSE),0))*VLOOKUP($D365,素材!$1:$1016,COLUMN($E$1),FALSE),0),"")</f>
        <v>5</v>
      </c>
      <c r="J365">
        <f>IFERROR(ROUNDDOWN((VLOOKUP($C365,装備品!$1:$998,COLUMN(H$1),FALSE)+IFERROR(VLOOKUP($CI365,付与!$1:$1167,COLUMN(J$1),FALSE),0))*VLOOKUP($D365,素材!$1:$1016,COLUMN($E$1),FALSE),0),"")</f>
        <v>46</v>
      </c>
      <c r="K365">
        <f>IFERROR(ROUNDDOWN((VLOOKUP($C365,装備品!$1:$998,COLUMN(I$1),FALSE)+IFERROR(VLOOKUP($CI365,付与!$1:$1167,COLUMN(K$1),FALSE),0))*VLOOKUP($D365,素材!$1:$1016,COLUMN($E$1),FALSE),0),"")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IFERROR(VLOOKUP($C365,装備品!$1:$998,COLUMN(AA$1),FALSE)*VLOOKUP($D365,素材!$1:$1016,COLUMN($G$1),FALSE),"")</f>
        <v>0</v>
      </c>
      <c r="N365">
        <f>IFERROR(VLOOKUP($C365,装備品!$1:$998,COLUMN(I$1),FALSE),"")</f>
        <v>0</v>
      </c>
      <c r="O365" s="23">
        <f>IFERROR((VLOOKUP($C365,装備品!$1:$998,COLUMN(K$1),FALSE)+VLOOKUP($D365,素材!$1:$1016,COLUMN(H$1),FALSE))*100+IFERROR(VLOOKUP($CI365,付与!$1:$1167,COLUMN(O$1),FALSE),0),"")</f>
        <v>25</v>
      </c>
      <c r="P365" s="23">
        <f>IFERROR((VLOOKUP($C365,装備品!$1:$998,COLUMN(L$1),FALSE)+VLOOKUP($D365,素材!$1:$1016,COLUMN(I$1),FALSE))*100+IFERROR(VLOOKUP($CI365,付与!$1:$1167,COLUMN(P$1),FALSE),0),"")</f>
        <v>195</v>
      </c>
      <c r="Q365">
        <f>IFERROR(ROUNDUP(VLOOKUP($C365,装備品!$1:$998,COLUMN(M$1),FALSE)*(VLOOKUP($D365,素材!$1:$1002,COLUMN(D$1),FALSE)/100),1),"")</f>
        <v>0</v>
      </c>
      <c r="R365">
        <f>IFERROR(ROUNDUP(VLOOKUP($C365,装備品!$1:$998,COLUMN(N$1),FALSE)*(VLOOKUP($D365,素材!$1:$1002,COLUMN(D$1),FALSE)/100),1),"")</f>
        <v>0</v>
      </c>
      <c r="S365">
        <f>IFERROR(VLOOKUP($C365,装備品!$1:$998,COLUMN(P$1),FALSE),"")</f>
        <v>0</v>
      </c>
      <c r="T365">
        <f>IFERROR(VLOOKUP($C365,装備品!$1:$998,COLUMN(Q$1),FALSE),"")</f>
        <v>0</v>
      </c>
      <c r="U365">
        <f>IFERROR(VLOOKUP($C365,装備品!$1:$998,COLUMN(R$1),FALSE),"")</f>
        <v>0</v>
      </c>
      <c r="V365">
        <f>IFERROR(VLOOKUP($C365,装備品!$1:$998,COLUMN(Q$1),FALSE),"")</f>
        <v>0</v>
      </c>
      <c r="W365">
        <f>IFERROR(VLOOKUP($C365,装備品!$1:$998,COLUMN(T$1),FALSE),"")</f>
        <v>0</v>
      </c>
      <c r="Y365">
        <f>IFERROR(VLOOKUP($C365,装備品!$1:$998,COLUMN(U$1),FALSE),"")</f>
        <v>0</v>
      </c>
      <c r="Z365">
        <f>IFERROR(ROUNDUP(VLOOKUP($C365,装備品!$1:$998,COLUMN(O$1),FALSE)*VLOOKUP($D365,素材!$1:$1016,COLUMN(E$1),FALSE),1),"")</f>
        <v>0</v>
      </c>
      <c r="AA365">
        <f>IF(ISNUMBER(SEARCH(SUBSTITUTE(AA$1,RIGHT(AA$1,2),""),VLOOKUP($D365,素材!$1:$1016,COLUMN($F$1),FALSE))),VLOOKUP($C365,装備品!$1:$998,COLUMN($O$1),FALSE)*VLOOKUP($D365,素材!$1:$1016,COLUMN($E$1),FALSE)/(LEN(VLOOKUP($D365,素材!$1:$1016,COLUMN($F$1),FALSE))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65</v>
      </c>
      <c r="CM365" s="22" t="str">
        <f t="shared" si="48"/>
        <v>切断.webp</v>
      </c>
      <c r="CN365">
        <f>IFERROR(VLOOKUP($C365,装備品!$1:$998,COLUMN(V$1),FALSE)*VLOOKUP($D365,素材!$1:$1016,COLUMN(N$1),FALSE)+IF(CI365="",0,VLOOKUP($CI365,付与!$1:$1176,COLUMN($CK$1),FALSE)),"")</f>
        <v>0</v>
      </c>
      <c r="CO365">
        <f>VLOOKUP(D365,素材!$A:$O,COLUMN(素材!O$1),FALSE)</f>
        <v>0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IFERROR(VLOOKUP($D366,素材!$1:$1016,COLUMN($B$1),FALSE)&amp;"・"&amp;VLOOKUP($C366,装備品!$1:$998,COLUMN(B$1),FALSE),"")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IFERROR(VLOOKUP(C366,装備品!$1:$998,COLUMN(C$1),FALSE),"")</f>
        <v>装飾</v>
      </c>
      <c r="F366">
        <f>IFERROR(ROUNDDOWN((VLOOKUP($C366,装備品!$1:$998,COLUMN(D$1),FALSE)+IFERROR(VLOOKUP($CI366,付与!$1:$1167,COLUMN(F$1),FALSE),0))*VLOOKUP($D366,素材!$1:$1016,COLUMN(D$1),FALSE),0),"")</f>
        <v>0</v>
      </c>
      <c r="G366">
        <f>IFERROR(ROUNDDOWN((VLOOKUP($C366,装備品!$1:$998,COLUMN(E$1),FALSE)+IFERROR(VLOOKUP($CI366,付与!$1:$1167,COLUMN(G$1),FALSE),0))*VLOOKUP($D366,素材!$1:$1016,COLUMN($E$1),FALSE),0),"")</f>
        <v>0</v>
      </c>
      <c r="H366">
        <f>IFERROR(ROUNDDOWN((VLOOKUP($C366,装備品!$1:$998,COLUMN(F$1),FALSE)+IFERROR(VLOOKUP($CI366,付与!$1:$1167,COLUMN(H$1),FALSE),0))*VLOOKUP($D366,素材!$1:$1016,COLUMN($E$1),FALSE),0),"")</f>
        <v>0</v>
      </c>
      <c r="I366">
        <f>IFERROR(ROUNDDOWN((VLOOKUP($C366,装備品!$1:$998,COLUMN(G$1),FALSE)+IFERROR(VLOOKUP($CI366,付与!$1:$1167,COLUMN(I$1),FALSE),0))*VLOOKUP($D366,素材!$1:$1016,COLUMN($E$1),FALSE),0),"")</f>
        <v>0</v>
      </c>
      <c r="J366">
        <f>IFERROR(ROUNDDOWN((VLOOKUP($C366,装備品!$1:$998,COLUMN(H$1),FALSE)+IFERROR(VLOOKUP($CI366,付与!$1:$1167,COLUMN(J$1),FALSE),0))*VLOOKUP($D366,素材!$1:$1016,COLUMN($E$1),FALSE),0),"")</f>
        <v>0</v>
      </c>
      <c r="K366">
        <f>IFERROR(ROUNDDOWN((VLOOKUP($C366,装備品!$1:$998,COLUMN(I$1),FALSE)+IFERROR(VLOOKUP($CI366,付与!$1:$1167,COLUMN(K$1),FALSE),0))*VLOOKUP($D366,素材!$1:$1016,COLUMN($E$1),FALSE),0),"")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IFERROR(VLOOKUP($C366,装備品!$1:$998,COLUMN(AA$1),FALSE)*VLOOKUP($D366,素材!$1:$1016,COLUMN($G$1),FALSE),"")</f>
        <v>20</v>
      </c>
      <c r="N366">
        <f>IFERROR(VLOOKUP($C366,装備品!$1:$998,COLUMN(I$1),FALSE),"")</f>
        <v>0</v>
      </c>
      <c r="O366" s="23">
        <f>IFERROR((VLOOKUP($C366,装備品!$1:$998,COLUMN(K$1),FALSE)+VLOOKUP($D366,素材!$1:$1016,COLUMN(H$1),FALSE))*100+IFERROR(VLOOKUP($CI366,付与!$1:$1167,COLUMN(O$1),FALSE),0),"")</f>
        <v>5</v>
      </c>
      <c r="P366" s="23">
        <f>IFERROR((VLOOKUP($C366,装備品!$1:$998,COLUMN(L$1),FALSE)+VLOOKUP($D366,素材!$1:$1016,COLUMN(I$1),FALSE))*100+IFERROR(VLOOKUP($CI366,付与!$1:$1167,COLUMN(P$1),FALSE),0),"")</f>
        <v>10</v>
      </c>
      <c r="Q366">
        <f>IFERROR(ROUNDUP(VLOOKUP($C366,装備品!$1:$998,COLUMN(M$1),FALSE)*(VLOOKUP($D366,素材!$1:$1002,COLUMN(D$1),FALSE)/100),1),"")</f>
        <v>0</v>
      </c>
      <c r="R366">
        <f>IFERROR(ROUNDUP(VLOOKUP($C366,装備品!$1:$998,COLUMN(N$1),FALSE)*(VLOOKUP($D366,素材!$1:$1002,COLUMN(D$1),FALSE)/100),1),"")</f>
        <v>0</v>
      </c>
      <c r="S366">
        <f>IFERROR(VLOOKUP($C366,装備品!$1:$998,COLUMN(P$1),FALSE),"")</f>
        <v>0</v>
      </c>
      <c r="T366">
        <f>IFERROR(VLOOKUP($C366,装備品!$1:$998,COLUMN(Q$1),FALSE),"")</f>
        <v>0</v>
      </c>
      <c r="U366">
        <f>IFERROR(VLOOKUP($C366,装備品!$1:$998,COLUMN(R$1),FALSE),"")</f>
        <v>0</v>
      </c>
      <c r="V366">
        <f>IFERROR(VLOOKUP($C366,装備品!$1:$998,COLUMN(Q$1),FALSE),"")</f>
        <v>0</v>
      </c>
      <c r="W366">
        <f>IFERROR(VLOOKUP($C366,装備品!$1:$998,COLUMN(T$1),FALSE),"")</f>
        <v>0</v>
      </c>
      <c r="Y366">
        <f>IFERROR(VLOOKUP($C366,装備品!$1:$998,COLUMN(U$1),FALSE),"")</f>
        <v>0</v>
      </c>
      <c r="Z366">
        <f>IFERROR(ROUNDUP(VLOOKUP($C366,装備品!$1:$998,COLUMN(O$1),FALSE)*VLOOKUP($D366,素材!$1:$1016,COLUMN(E$1),FALSE),1),"")</f>
        <v>0</v>
      </c>
      <c r="AA366">
        <f>IF(ISNUMBER(SEARCH(SUBSTITUTE(AA$1,RIGHT(AA$1,2),""),VLOOKUP($D366,素材!$1:$1016,COLUMN($F$1),FALSE))),VLOOKUP($C366,装備品!$1:$998,COLUMN($O$1),FALSE)*VLOOKUP($D366,素材!$1:$1016,COLUMN($E$1),FALSE)/(LEN(VLOOKUP($D366,素材!$1:$1016,COLUMN($F$1),FALSE))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IFERROR(VLOOKUP($C366,装備品!$1:$998,COLUMN(V$1),FALSE)*VLOOKUP($D366,素材!$1:$1016,COLUMN(N$1),FALSE)+IF(CI366="",0,VLOOKUP($CI366,付与!$1:$1176,COLUMN($CK$1),FALSE)),"")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IFERROR(VLOOKUP($D367,素材!$1:$1016,COLUMN($B$1),FALSE)&amp;"・"&amp;VLOOKUP($C367,装備品!$1:$998,COLUMN(B$1),FALSE),"")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IFERROR(VLOOKUP(C367,装備品!$1:$998,COLUMN(C$1),FALSE),"")</f>
        <v>装飾</v>
      </c>
      <c r="F367">
        <f>IFERROR(ROUNDDOWN((VLOOKUP($C367,装備品!$1:$998,COLUMN(D$1),FALSE)+IFERROR(VLOOKUP($CI367,付与!$1:$1167,COLUMN(F$1),FALSE),0))*VLOOKUP($D367,素材!$1:$1016,COLUMN(D$1),FALSE),0),"")</f>
        <v>0</v>
      </c>
      <c r="G367">
        <f>IFERROR(ROUNDDOWN((VLOOKUP($C367,装備品!$1:$998,COLUMN(E$1),FALSE)+IFERROR(VLOOKUP($CI367,付与!$1:$1167,COLUMN(G$1),FALSE),0))*VLOOKUP($D367,素材!$1:$1016,COLUMN($E$1),FALSE),0),"")</f>
        <v>0</v>
      </c>
      <c r="H367">
        <f>IFERROR(ROUNDDOWN((VLOOKUP($C367,装備品!$1:$998,COLUMN(F$1),FALSE)+IFERROR(VLOOKUP($CI367,付与!$1:$1167,COLUMN(H$1),FALSE),0))*VLOOKUP($D367,素材!$1:$1016,COLUMN($E$1),FALSE),0),"")</f>
        <v>0</v>
      </c>
      <c r="I367">
        <f>IFERROR(ROUNDDOWN((VLOOKUP($C367,装備品!$1:$998,COLUMN(G$1),FALSE)+IFERROR(VLOOKUP($CI367,付与!$1:$1167,COLUMN(I$1),FALSE),0))*VLOOKUP($D367,素材!$1:$1016,COLUMN($E$1),FALSE),0),"")</f>
        <v>0</v>
      </c>
      <c r="J367">
        <f>IFERROR(ROUNDDOWN((VLOOKUP($C367,装備品!$1:$998,COLUMN(H$1),FALSE)+IFERROR(VLOOKUP($CI367,付与!$1:$1167,COLUMN(J$1),FALSE),0))*VLOOKUP($D367,素材!$1:$1016,COLUMN($E$1),FALSE),0),"")</f>
        <v>0</v>
      </c>
      <c r="K367">
        <f>IFERROR(ROUNDDOWN((VLOOKUP($C367,装備品!$1:$998,COLUMN(I$1),FALSE)+IFERROR(VLOOKUP($CI367,付与!$1:$1167,COLUMN(K$1),FALSE),0))*VLOOKUP($D367,素材!$1:$1016,COLUMN($E$1),FALSE),0),"")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IFERROR(VLOOKUP($C367,装備品!$1:$998,COLUMN(AA$1),FALSE)*VLOOKUP($D367,素材!$1:$1016,COLUMN($G$1),FALSE),"")</f>
        <v>25</v>
      </c>
      <c r="N367">
        <f>IFERROR(VLOOKUP($C367,装備品!$1:$998,COLUMN(I$1),FALSE),"")</f>
        <v>0</v>
      </c>
      <c r="O367" s="23" t="str">
        <f>IFERROR((VLOOKUP($C367,装備品!$1:$998,COLUMN(K$1),FALSE)+VLOOKUP($D367,素材!$1:$1016,COLUMN(H$1),FALSE))*100+IFERROR(VLOOKUP($CI367,付与!$1:$1167,COLUMN(O$1),FALSE),0),"")</f>
        <v/>
      </c>
      <c r="P367" s="23" t="str">
        <f>IFERROR((VLOOKUP($C367,装備品!$1:$998,COLUMN(L$1),FALSE)+VLOOKUP($D367,素材!$1:$1016,COLUMN(I$1),FALSE))*100+IFERROR(VLOOKUP($CI367,付与!$1:$1167,COLUMN(P$1),FALSE),0),"")</f>
        <v/>
      </c>
      <c r="Q367">
        <f>IFERROR(ROUNDUP(VLOOKUP($C367,装備品!$1:$998,COLUMN(M$1),FALSE)*(VLOOKUP($D367,素材!$1:$1002,COLUMN(D$1),FALSE)/100),1),"")</f>
        <v>0</v>
      </c>
      <c r="R367">
        <f>IFERROR(ROUNDUP(VLOOKUP($C367,装備品!$1:$998,COLUMN(N$1),FALSE)*(VLOOKUP($D367,素材!$1:$1002,COLUMN(D$1),FALSE)/100),1),"")</f>
        <v>0</v>
      </c>
      <c r="S367">
        <f>IFERROR(VLOOKUP($C367,装備品!$1:$998,COLUMN(P$1),FALSE),"")</f>
        <v>0</v>
      </c>
      <c r="T367">
        <f>IFERROR(VLOOKUP($C367,装備品!$1:$998,COLUMN(Q$1),FALSE),"")</f>
        <v>0</v>
      </c>
      <c r="U367">
        <f>IFERROR(VLOOKUP($C367,装備品!$1:$998,COLUMN(R$1),FALSE),"")</f>
        <v>0</v>
      </c>
      <c r="V367">
        <f>IFERROR(VLOOKUP($C367,装備品!$1:$998,COLUMN(Q$1),FALSE),"")</f>
        <v>0</v>
      </c>
      <c r="W367">
        <f>IFERROR(VLOOKUP($C367,装備品!$1:$998,COLUMN(T$1),FALSE),"")</f>
        <v>0</v>
      </c>
      <c r="Y367">
        <f>IFERROR(VLOOKUP($C367,装備品!$1:$998,COLUMN(U$1),FALSE),"")</f>
        <v>0</v>
      </c>
      <c r="Z367">
        <f>IFERROR(ROUNDUP(VLOOKUP($C367,装備品!$1:$998,COLUMN(O$1),FALSE)*VLOOKUP($D367,素材!$1:$1016,COLUMN(E$1),FALSE),1),"")</f>
        <v>0</v>
      </c>
      <c r="AA367">
        <f>IF(ISNUMBER(SEARCH(SUBSTITUTE(AA$1,RIGHT(AA$1,2),""),VLOOKUP($D367,素材!$1:$1016,COLUMN($F$1),FALSE))),VLOOKUP($C367,装備品!$1:$998,COLUMN($O$1),FALSE)*VLOOKUP($D367,素材!$1:$1016,COLUMN($E$1),FALSE)/(LEN(VLOOKUP($D367,素材!$1:$1016,COLUMN($F$1),FALSE))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IFERROR(VLOOKUP($C367,装備品!$1:$998,COLUMN(V$1),FALSE)*VLOOKUP($D367,素材!$1:$1016,COLUMN(N$1),FALSE)+IF(CI367="",0,VLOOKUP($CI367,付与!$1:$1176,COLUMN($CK$1),FALSE)),"")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IFERROR(VLOOKUP($D368,素材!$1:$1016,COLUMN($B$1),FALSE)&amp;"・"&amp;VLOOKUP($C368,装備品!$1:$998,COLUMN(B$1),FALSE),"")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IFERROR(VLOOKUP(C368,装備品!$1:$998,COLUMN(C$1),FALSE),"")</f>
        <v>装飾</v>
      </c>
      <c r="F368">
        <f>IFERROR(ROUNDDOWN((VLOOKUP($C368,装備品!$1:$998,COLUMN(D$1),FALSE)+IFERROR(VLOOKUP($CI368,付与!$1:$1167,COLUMN(F$1),FALSE),0))*VLOOKUP($D368,素材!$1:$1016,COLUMN(D$1),FALSE),0),"")</f>
        <v>0</v>
      </c>
      <c r="G368">
        <f>IFERROR(ROUNDDOWN((VLOOKUP($C368,装備品!$1:$998,COLUMN(E$1),FALSE)+IFERROR(VLOOKUP($CI368,付与!$1:$1167,COLUMN(G$1),FALSE),0))*VLOOKUP($D368,素材!$1:$1016,COLUMN($E$1),FALSE),0),"")</f>
        <v>0</v>
      </c>
      <c r="H368">
        <f>IFERROR(ROUNDDOWN((VLOOKUP($C368,装備品!$1:$998,COLUMN(F$1),FALSE)+IFERROR(VLOOKUP($CI368,付与!$1:$1167,COLUMN(H$1),FALSE),0))*VLOOKUP($D368,素材!$1:$1016,COLUMN($E$1),FALSE),0),"")</f>
        <v>0</v>
      </c>
      <c r="I368">
        <f>IFERROR(ROUNDDOWN((VLOOKUP($C368,装備品!$1:$998,COLUMN(G$1),FALSE)+IFERROR(VLOOKUP($CI368,付与!$1:$1167,COLUMN(I$1),FALSE),0))*VLOOKUP($D368,素材!$1:$1016,COLUMN($E$1),FALSE),0),"")</f>
        <v>0</v>
      </c>
      <c r="J368">
        <f>IFERROR(ROUNDDOWN((VLOOKUP($C368,装備品!$1:$998,COLUMN(H$1),FALSE)+IFERROR(VLOOKUP($CI368,付与!$1:$1167,COLUMN(J$1),FALSE),0))*VLOOKUP($D368,素材!$1:$1016,COLUMN($E$1),FALSE),0),"")</f>
        <v>0</v>
      </c>
      <c r="K368">
        <f>IFERROR(ROUNDDOWN((VLOOKUP($C368,装備品!$1:$998,COLUMN(I$1),FALSE)+IFERROR(VLOOKUP($CI368,付与!$1:$1167,COLUMN(K$1),FALSE),0))*VLOOKUP($D368,素材!$1:$1016,COLUMN($E$1),FALSE),0),"")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IFERROR(VLOOKUP($C368,装備品!$1:$998,COLUMN(AA$1),FALSE)*VLOOKUP($D368,素材!$1:$1016,COLUMN($G$1),FALSE),"")</f>
        <v>25</v>
      </c>
      <c r="N368">
        <f>IFERROR(VLOOKUP($C368,装備品!$1:$998,COLUMN(I$1),FALSE),"")</f>
        <v>0</v>
      </c>
      <c r="O368" s="23" t="str">
        <f>IFERROR((VLOOKUP($C368,装備品!$1:$998,COLUMN(K$1),FALSE)+VLOOKUP($D368,素材!$1:$1016,COLUMN(H$1),FALSE))*100+IFERROR(VLOOKUP($CI368,付与!$1:$1167,COLUMN(O$1),FALSE),0),"")</f>
        <v/>
      </c>
      <c r="P368" s="23" t="str">
        <f>IFERROR((VLOOKUP($C368,装備品!$1:$998,COLUMN(L$1),FALSE)+VLOOKUP($D368,素材!$1:$1016,COLUMN(I$1),FALSE))*100+IFERROR(VLOOKUP($CI368,付与!$1:$1167,COLUMN(P$1),FALSE),0),"")</f>
        <v/>
      </c>
      <c r="Q368">
        <f>IFERROR(ROUNDUP(VLOOKUP($C368,装備品!$1:$998,COLUMN(M$1),FALSE)*(VLOOKUP($D368,素材!$1:$1002,COLUMN(D$1),FALSE)/100),1),"")</f>
        <v>0</v>
      </c>
      <c r="R368">
        <f>IFERROR(ROUNDUP(VLOOKUP($C368,装備品!$1:$998,COLUMN(N$1),FALSE)*(VLOOKUP($D368,素材!$1:$1002,COLUMN(D$1),FALSE)/100),1),"")</f>
        <v>0</v>
      </c>
      <c r="S368">
        <f>IFERROR(VLOOKUP($C368,装備品!$1:$998,COLUMN(P$1),FALSE),"")</f>
        <v>0</v>
      </c>
      <c r="T368">
        <f>IFERROR(VLOOKUP($C368,装備品!$1:$998,COLUMN(Q$1),FALSE),"")</f>
        <v>0</v>
      </c>
      <c r="U368">
        <f>IFERROR(VLOOKUP($C368,装備品!$1:$998,COLUMN(R$1),FALSE),"")</f>
        <v>0</v>
      </c>
      <c r="V368">
        <f>IFERROR(VLOOKUP($C368,装備品!$1:$998,COLUMN(Q$1),FALSE),"")</f>
        <v>0</v>
      </c>
      <c r="W368">
        <f>IFERROR(VLOOKUP($C368,装備品!$1:$998,COLUMN(T$1),FALSE),"")</f>
        <v>0</v>
      </c>
      <c r="Y368">
        <f>IFERROR(VLOOKUP($C368,装備品!$1:$998,COLUMN(U$1),FALSE),"")</f>
        <v>0</v>
      </c>
      <c r="Z368">
        <f>IFERROR(ROUNDUP(VLOOKUP($C368,装備品!$1:$998,COLUMN(O$1),FALSE)*VLOOKUP($D368,素材!$1:$1016,COLUMN(E$1),FALSE),1),"")</f>
        <v>0</v>
      </c>
      <c r="AA368">
        <f>IF(ISNUMBER(SEARCH(SUBSTITUTE(AA$1,RIGHT(AA$1,2),""),VLOOKUP($D368,素材!$1:$1016,COLUMN($F$1),FALSE))),VLOOKUP($C368,装備品!$1:$998,COLUMN($O$1),FALSE)*VLOOKUP($D368,素材!$1:$1016,COLUMN($E$1),FALSE)/(LEN(VLOOKUP($D368,素材!$1:$1016,COLUMN($F$1),FALSE))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IFERROR(VLOOKUP($C368,装備品!$1:$998,COLUMN(V$1),FALSE)*VLOOKUP($D368,素材!$1:$1016,COLUMN(N$1),FALSE)+IF(CI368="",0,VLOOKUP($CI368,付与!$1:$1176,COLUMN($CK$1),FALSE)),"")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IFERROR(VLOOKUP($D369,素材!$1:$1016,COLUMN($B$1),FALSE)&amp;"・"&amp;VLOOKUP($C369,装備品!$1:$998,COLUMN(B$1),FALSE),"")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IFERROR(VLOOKUP(C369,装備品!$1:$998,COLUMN(C$1),FALSE),"")</f>
        <v>装飾</v>
      </c>
      <c r="F369">
        <f>IFERROR(ROUNDDOWN((VLOOKUP($C369,装備品!$1:$998,COLUMN(D$1),FALSE)+IFERROR(VLOOKUP($CI369,付与!$1:$1167,COLUMN(F$1),FALSE),0))*VLOOKUP($D369,素材!$1:$1016,COLUMN(D$1),FALSE),0),"")</f>
        <v>0</v>
      </c>
      <c r="G369">
        <f>IFERROR(ROUNDDOWN((VLOOKUP($C369,装備品!$1:$998,COLUMN(E$1),FALSE)+IFERROR(VLOOKUP($CI369,付与!$1:$1167,COLUMN(G$1),FALSE),0))*VLOOKUP($D369,素材!$1:$1016,COLUMN($E$1),FALSE),0),"")</f>
        <v>0</v>
      </c>
      <c r="H369">
        <f>IFERROR(ROUNDDOWN((VLOOKUP($C369,装備品!$1:$998,COLUMN(F$1),FALSE)+IFERROR(VLOOKUP($CI369,付与!$1:$1167,COLUMN(H$1),FALSE),0))*VLOOKUP($D369,素材!$1:$1016,COLUMN($E$1),FALSE),0),"")</f>
        <v>0</v>
      </c>
      <c r="I369">
        <f>IFERROR(ROUNDDOWN((VLOOKUP($C369,装備品!$1:$998,COLUMN(G$1),FALSE)+IFERROR(VLOOKUP($CI369,付与!$1:$1167,COLUMN(I$1),FALSE),0))*VLOOKUP($D369,素材!$1:$1016,COLUMN($E$1),FALSE),0),"")</f>
        <v>0</v>
      </c>
      <c r="J369">
        <f>IFERROR(ROUNDDOWN((VLOOKUP($C369,装備品!$1:$998,COLUMN(H$1),FALSE)+IFERROR(VLOOKUP($CI369,付与!$1:$1167,COLUMN(J$1),FALSE),0))*VLOOKUP($D369,素材!$1:$1016,COLUMN($E$1),FALSE),0),"")</f>
        <v>0</v>
      </c>
      <c r="K369">
        <f>IFERROR(ROUNDDOWN((VLOOKUP($C369,装備品!$1:$998,COLUMN(I$1),FALSE)+IFERROR(VLOOKUP($CI369,付与!$1:$1167,COLUMN(K$1),FALSE),0))*VLOOKUP($D369,素材!$1:$1016,COLUMN($E$1),FALSE),0),"")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IFERROR(VLOOKUP($C369,装備品!$1:$998,COLUMN(AA$1),FALSE)*VLOOKUP($D369,素材!$1:$1016,COLUMN($G$1),FALSE),"")</f>
        <v>25</v>
      </c>
      <c r="N369">
        <f>IFERROR(VLOOKUP($C369,装備品!$1:$998,COLUMN(I$1),FALSE),"")</f>
        <v>0</v>
      </c>
      <c r="O369" s="23" t="str">
        <f>IFERROR((VLOOKUP($C369,装備品!$1:$998,COLUMN(K$1),FALSE)+VLOOKUP($D369,素材!$1:$1016,COLUMN(H$1),FALSE))*100+IFERROR(VLOOKUP($CI369,付与!$1:$1167,COLUMN(O$1),FALSE),0),"")</f>
        <v/>
      </c>
      <c r="P369" s="23" t="str">
        <f>IFERROR((VLOOKUP($C369,装備品!$1:$998,COLUMN(L$1),FALSE)+VLOOKUP($D369,素材!$1:$1016,COLUMN(I$1),FALSE))*100+IFERROR(VLOOKUP($CI369,付与!$1:$1167,COLUMN(P$1),FALSE),0),"")</f>
        <v/>
      </c>
      <c r="Q369">
        <f>IFERROR(ROUNDUP(VLOOKUP($C369,装備品!$1:$998,COLUMN(M$1),FALSE)*(VLOOKUP($D369,素材!$1:$1002,COLUMN(D$1),FALSE)/100),1),"")</f>
        <v>0</v>
      </c>
      <c r="R369">
        <f>IFERROR(ROUNDUP(VLOOKUP($C369,装備品!$1:$998,COLUMN(N$1),FALSE)*(VLOOKUP($D369,素材!$1:$1002,COLUMN(D$1),FALSE)/100),1),"")</f>
        <v>0</v>
      </c>
      <c r="S369">
        <f>IFERROR(VLOOKUP($C369,装備品!$1:$998,COLUMN(P$1),FALSE),"")</f>
        <v>0</v>
      </c>
      <c r="T369">
        <f>IFERROR(VLOOKUP($C369,装備品!$1:$998,COLUMN(Q$1),FALSE),"")</f>
        <v>0</v>
      </c>
      <c r="U369">
        <f>IFERROR(VLOOKUP($C369,装備品!$1:$998,COLUMN(R$1),FALSE),"")</f>
        <v>0</v>
      </c>
      <c r="V369">
        <f>IFERROR(VLOOKUP($C369,装備品!$1:$998,COLUMN(Q$1),FALSE),"")</f>
        <v>0</v>
      </c>
      <c r="W369">
        <f>IFERROR(VLOOKUP($C369,装備品!$1:$998,COLUMN(T$1),FALSE),"")</f>
        <v>0</v>
      </c>
      <c r="Y369">
        <f>IFERROR(VLOOKUP($C369,装備品!$1:$998,COLUMN(U$1),FALSE),"")</f>
        <v>0</v>
      </c>
      <c r="Z369">
        <f>IFERROR(ROUNDUP(VLOOKUP($C369,装備品!$1:$998,COLUMN(O$1),FALSE)*VLOOKUP($D369,素材!$1:$1016,COLUMN(E$1),FALSE),1),"")</f>
        <v>0</v>
      </c>
      <c r="AA369">
        <f>IF(ISNUMBER(SEARCH(SUBSTITUTE(AA$1,RIGHT(AA$1,2),""),VLOOKUP($D369,素材!$1:$1016,COLUMN($F$1),FALSE))),VLOOKUP($C369,装備品!$1:$998,COLUMN($O$1),FALSE)*VLOOKUP($D369,素材!$1:$1016,COLUMN($E$1),FALSE)/(LEN(VLOOKUP($D369,素材!$1:$1016,COLUMN($F$1),FALSE))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IFERROR(VLOOKUP($C369,装備品!$1:$998,COLUMN(V$1),FALSE)*VLOOKUP($D369,素材!$1:$1016,COLUMN(N$1),FALSE)+IF(CI369="",0,VLOOKUP($CI369,付与!$1:$1176,COLUMN($CK$1),FALSE)),"")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IFERROR(VLOOKUP($D370,素材!$1:$1016,COLUMN($B$1),FALSE)&amp;"・"&amp;VLOOKUP($C370,装備品!$1:$998,COLUMN(B$1),FALSE),"")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IFERROR(VLOOKUP(C370,装備品!$1:$998,COLUMN(C$1),FALSE),"")</f>
        <v>装飾</v>
      </c>
      <c r="F370">
        <f>IFERROR(ROUNDDOWN((VLOOKUP($C370,装備品!$1:$998,COLUMN(D$1),FALSE)+IFERROR(VLOOKUP($CI370,付与!$1:$1167,COLUMN(F$1),FALSE),0))*VLOOKUP($D370,素材!$1:$1016,COLUMN(D$1),FALSE),0),"")</f>
        <v>0</v>
      </c>
      <c r="G370">
        <f>IFERROR(ROUNDDOWN((VLOOKUP($C370,装備品!$1:$998,COLUMN(E$1),FALSE)+IFERROR(VLOOKUP($CI370,付与!$1:$1167,COLUMN(G$1),FALSE),0))*VLOOKUP($D370,素材!$1:$1016,COLUMN($E$1),FALSE),0),"")</f>
        <v>0</v>
      </c>
      <c r="H370">
        <f>IFERROR(ROUNDDOWN((VLOOKUP($C370,装備品!$1:$998,COLUMN(F$1),FALSE)+IFERROR(VLOOKUP($CI370,付与!$1:$1167,COLUMN(H$1),FALSE),0))*VLOOKUP($D370,素材!$1:$1016,COLUMN($E$1),FALSE),0),"")</f>
        <v>0</v>
      </c>
      <c r="I370">
        <f>IFERROR(ROUNDDOWN((VLOOKUP($C370,装備品!$1:$998,COLUMN(G$1),FALSE)+IFERROR(VLOOKUP($CI370,付与!$1:$1167,COLUMN(I$1),FALSE),0))*VLOOKUP($D370,素材!$1:$1016,COLUMN($E$1),FALSE),0),"")</f>
        <v>0</v>
      </c>
      <c r="J370">
        <f>IFERROR(ROUNDDOWN((VLOOKUP($C370,装備品!$1:$998,COLUMN(H$1),FALSE)+IFERROR(VLOOKUP($CI370,付与!$1:$1167,COLUMN(J$1),FALSE),0))*VLOOKUP($D370,素材!$1:$1016,COLUMN($E$1),FALSE),0),"")</f>
        <v>0</v>
      </c>
      <c r="K370">
        <f>IFERROR(ROUNDDOWN((VLOOKUP($C370,装備品!$1:$998,COLUMN(I$1),FALSE)+IFERROR(VLOOKUP($CI370,付与!$1:$1167,COLUMN(K$1),FALSE),0))*VLOOKUP($D370,素材!$1:$1016,COLUMN($E$1),FALSE),0),"")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IFERROR(VLOOKUP($C370,装備品!$1:$998,COLUMN(AA$1),FALSE)*VLOOKUP($D370,素材!$1:$1016,COLUMN($G$1),FALSE),"")</f>
        <v>25</v>
      </c>
      <c r="N370">
        <f>IFERROR(VLOOKUP($C370,装備品!$1:$998,COLUMN(I$1),FALSE),"")</f>
        <v>0</v>
      </c>
      <c r="O370" s="23" t="str">
        <f>IFERROR((VLOOKUP($C370,装備品!$1:$998,COLUMN(K$1),FALSE)+VLOOKUP($D370,素材!$1:$1016,COLUMN(H$1),FALSE))*100+IFERROR(VLOOKUP($CI370,付与!$1:$1167,COLUMN(O$1),FALSE),0),"")</f>
        <v/>
      </c>
      <c r="P370" s="23" t="str">
        <f>IFERROR((VLOOKUP($C370,装備品!$1:$998,COLUMN(L$1),FALSE)+VLOOKUP($D370,素材!$1:$1016,COLUMN(I$1),FALSE))*100+IFERROR(VLOOKUP($CI370,付与!$1:$1167,COLUMN(P$1),FALSE),0),"")</f>
        <v/>
      </c>
      <c r="Q370">
        <f>IFERROR(ROUNDUP(VLOOKUP($C370,装備品!$1:$998,COLUMN(M$1),FALSE)*(VLOOKUP($D370,素材!$1:$1002,COLUMN(D$1),FALSE)/100),1),"")</f>
        <v>0</v>
      </c>
      <c r="R370">
        <f>IFERROR(ROUNDUP(VLOOKUP($C370,装備品!$1:$998,COLUMN(N$1),FALSE)*(VLOOKUP($D370,素材!$1:$1002,COLUMN(D$1),FALSE)/100),1),"")</f>
        <v>0</v>
      </c>
      <c r="S370">
        <f>IFERROR(VLOOKUP($C370,装備品!$1:$998,COLUMN(P$1),FALSE),"")</f>
        <v>0</v>
      </c>
      <c r="T370">
        <f>IFERROR(VLOOKUP($C370,装備品!$1:$998,COLUMN(Q$1),FALSE),"")</f>
        <v>0</v>
      </c>
      <c r="U370">
        <f>IFERROR(VLOOKUP($C370,装備品!$1:$998,COLUMN(R$1),FALSE),"")</f>
        <v>0</v>
      </c>
      <c r="V370">
        <f>IFERROR(VLOOKUP($C370,装備品!$1:$998,COLUMN(Q$1),FALSE),"")</f>
        <v>0</v>
      </c>
      <c r="W370">
        <f>IFERROR(VLOOKUP($C370,装備品!$1:$998,COLUMN(T$1),FALSE),"")</f>
        <v>0</v>
      </c>
      <c r="Y370">
        <f>IFERROR(VLOOKUP($C370,装備品!$1:$998,COLUMN(U$1),FALSE),"")</f>
        <v>0</v>
      </c>
      <c r="Z370">
        <f>IFERROR(ROUNDUP(VLOOKUP($C370,装備品!$1:$998,COLUMN(O$1),FALSE)*VLOOKUP($D370,素材!$1:$1016,COLUMN(E$1),FALSE),1),"")</f>
        <v>0</v>
      </c>
      <c r="AA370">
        <f>IF(ISNUMBER(SEARCH(SUBSTITUTE(AA$1,RIGHT(AA$1,2),""),VLOOKUP($D370,素材!$1:$1016,COLUMN($F$1),FALSE))),VLOOKUP($C370,装備品!$1:$998,COLUMN($O$1),FALSE)*VLOOKUP($D370,素材!$1:$1016,COLUMN($E$1),FALSE)/(LEN(VLOOKUP($D370,素材!$1:$1016,COLUMN($F$1),FALSE))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IFERROR(VLOOKUP($C370,装備品!$1:$998,COLUMN(V$1),FALSE)*VLOOKUP($D370,素材!$1:$1016,COLUMN(N$1),FALSE)+IF(CI370="",0,VLOOKUP($CI370,付与!$1:$1176,COLUMN($CK$1),FALSE)),"")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IFERROR(VLOOKUP(C371,装備品!$1:$998,COLUMN(C$1),FALSE),"")</f>
        <v>装飾</v>
      </c>
      <c r="F371">
        <f>IFERROR(ROUNDDOWN((VLOOKUP($C371,装備品!$1:$998,COLUMN(D$1),FALSE)+IFERROR(VLOOKUP($CI371,付与!$1:$1167,COLUMN(F$1),FALSE),0))*VLOOKUP($D371,素材!$1:$1016,COLUMN(D$1),FALSE),0),"")</f>
        <v>0</v>
      </c>
      <c r="G371">
        <f>IFERROR(ROUNDDOWN((VLOOKUP($C371,装備品!$1:$998,COLUMN(E$1),FALSE)+IFERROR(VLOOKUP($CI371,付与!$1:$1167,COLUMN(G$1),FALSE),0))*VLOOKUP($D371,素材!$1:$1016,COLUMN($E$1),FALSE),0),"")</f>
        <v>0</v>
      </c>
      <c r="H371">
        <f>IFERROR(ROUNDDOWN((VLOOKUP($C371,装備品!$1:$998,COLUMN(F$1),FALSE)+IFERROR(VLOOKUP($CI371,付与!$1:$1167,COLUMN(H$1),FALSE),0))*VLOOKUP($D371,素材!$1:$1016,COLUMN($E$1),FALSE),0),"")</f>
        <v>0</v>
      </c>
      <c r="I371">
        <f>IFERROR(ROUNDDOWN((VLOOKUP($C371,装備品!$1:$998,COLUMN(G$1),FALSE)+IFERROR(VLOOKUP($CI371,付与!$1:$1167,COLUMN(I$1),FALSE),0))*VLOOKUP($D371,素材!$1:$1016,COLUMN($E$1),FALSE),0),"")</f>
        <v>0</v>
      </c>
      <c r="J371">
        <f>IFERROR(ROUNDDOWN((VLOOKUP($C371,装備品!$1:$998,COLUMN(H$1),FALSE)+IFERROR(VLOOKUP($CI371,付与!$1:$1167,COLUMN(J$1),FALSE),0))*VLOOKUP($D371,素材!$1:$1016,COLUMN($E$1),FALSE),0),"")</f>
        <v>0</v>
      </c>
      <c r="K371">
        <f>IFERROR(ROUNDDOWN((VLOOKUP($C371,装備品!$1:$998,COLUMN(I$1),FALSE)+IFERROR(VLOOKUP($CI371,付与!$1:$1167,COLUMN(K$1),FALSE),0))*VLOOKUP($D371,素材!$1:$1016,COLUMN($E$1),FALSE),0),"")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IFERROR(VLOOKUP($C371,装備品!$1:$998,COLUMN(AA$1),FALSE)*VLOOKUP($D371,素材!$1:$1016,COLUMN($G$1),FALSE),"")</f>
        <v>50</v>
      </c>
      <c r="N371">
        <f>IFERROR(VLOOKUP($C371,装備品!$1:$998,COLUMN(I$1),FALSE),"")</f>
        <v>0</v>
      </c>
      <c r="O371" s="23">
        <f>IFERROR((VLOOKUP($C371,装備品!$1:$998,COLUMN(K$1),FALSE)+VLOOKUP($D371,素材!$1:$1016,COLUMN(H$1),FALSE))*100+IFERROR(VLOOKUP($CI371,付与!$1:$1167,COLUMN(O$1),FALSE),0),"")</f>
        <v>0</v>
      </c>
      <c r="P371" s="23">
        <f>IFERROR((VLOOKUP($C371,装備品!$1:$998,COLUMN(L$1),FALSE)+VLOOKUP($D371,素材!$1:$1016,COLUMN(I$1),FALSE))*100+IFERROR(VLOOKUP($CI371,付与!$1:$1167,COLUMN(P$1),FALSE),0),"")</f>
        <v>0</v>
      </c>
      <c r="Q371">
        <f>IFERROR(ROUNDUP(VLOOKUP($C371,装備品!$1:$998,COLUMN(M$1),FALSE)*(VLOOKUP($D371,素材!$1:$1002,COLUMN(D$1),FALSE)/100),1),"")</f>
        <v>0</v>
      </c>
      <c r="R371">
        <f>IFERROR(ROUNDUP(VLOOKUP($C371,装備品!$1:$998,COLUMN(N$1),FALSE)*(VLOOKUP($D371,素材!$1:$1002,COLUMN(D$1),FALSE)/100),1),"")</f>
        <v>0</v>
      </c>
      <c r="S371">
        <f>IFERROR(VLOOKUP($C371,装備品!$1:$998,COLUMN(P$1),FALSE),"")</f>
        <v>0</v>
      </c>
      <c r="T371">
        <f>IFERROR(VLOOKUP($C371,装備品!$1:$998,COLUMN(Q$1),FALSE),"")</f>
        <v>0</v>
      </c>
      <c r="U371">
        <f>IFERROR(VLOOKUP($C371,装備品!$1:$998,COLUMN(R$1),FALSE),"")</f>
        <v>0</v>
      </c>
      <c r="V371">
        <f>IFERROR(VLOOKUP($C371,装備品!$1:$998,COLUMN(Q$1),FALSE),"")</f>
        <v>0</v>
      </c>
      <c r="W371">
        <f>IFERROR(VLOOKUP($C371,装備品!$1:$998,COLUMN(T$1),FALSE),"")</f>
        <v>0</v>
      </c>
      <c r="Y371">
        <f>IFERROR(VLOOKUP($C371,装備品!$1:$998,COLUMN(U$1),FALSE),"")</f>
        <v>0</v>
      </c>
      <c r="Z371">
        <f>IFERROR(ROUNDUP(VLOOKUP($C371,装備品!$1:$998,COLUMN(O$1),FALSE)*VLOOKUP($D371,素材!$1:$1016,COLUMN(E$1),FALSE),1),"")</f>
        <v>0</v>
      </c>
      <c r="AA371">
        <f>IF(ISNUMBER(SEARCH(SUBSTITUTE(AA$1,RIGHT(AA$1,2),""),VLOOKUP($D371,素材!$1:$1016,COLUMN($F$1),FALSE))),VLOOKUP($C371,装備品!$1:$998,COLUMN($O$1),FALSE)*VLOOKUP($D371,素材!$1:$1016,COLUMN($E$1),FALSE)/(LEN(VLOOKUP($D371,素材!$1:$1016,COLUMN($F$1),FALSE))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IFERROR(VLOOKUP($C371,装備品!$1:$998,COLUMN(V$1),FALSE)*VLOOKUP($D371,素材!$1:$1016,COLUMN(N$1),FALSE)+IF(CI371="",0,VLOOKUP($CI371,付与!$1:$1176,COLUMN($CK$1),FALSE)),"")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IFERROR(VLOOKUP($D372,素材!$1:$1016,COLUMN($B$1),FALSE)&amp;"・"&amp;VLOOKUP($C372,装備品!$1:$998,COLUMN(B$1),FALSE),"")</f>
        <v>ホロウウッド・ローブ</v>
      </c>
      <c r="C372" t="s">
        <v>1255</v>
      </c>
      <c r="D372" s="24" t="s">
        <v>1214</v>
      </c>
      <c r="E372" t="str">
        <f>IFERROR(VLOOKUP(C372,装備品!$1:$998,COLUMN(C$1),FALSE),"")</f>
        <v>体</v>
      </c>
      <c r="F372">
        <f>IFERROR(ROUNDDOWN((VLOOKUP($C372,装備品!$1:$998,COLUMN(D$1),FALSE)+IFERROR(VLOOKUP($CI372,付与!$1:$1167,COLUMN(F$1),FALSE),0))*VLOOKUP($D372,素材!$1:$1016,COLUMN(D$1),FALSE),0),"")</f>
        <v>0</v>
      </c>
      <c r="G372">
        <f>IFERROR(ROUNDDOWN((VLOOKUP($C372,装備品!$1:$998,COLUMN(E$1),FALSE)+IFERROR(VLOOKUP($CI372,付与!$1:$1167,COLUMN(G$1),FALSE),0))*VLOOKUP($D372,素材!$1:$1016,COLUMN($E$1),FALSE),0),"")</f>
        <v>0</v>
      </c>
      <c r="H372">
        <f>IFERROR(ROUNDDOWN((VLOOKUP($C372,装備品!$1:$998,COLUMN(F$1),FALSE)+IFERROR(VLOOKUP($CI372,付与!$1:$1167,COLUMN(H$1),FALSE),0))*VLOOKUP($D372,素材!$1:$1016,COLUMN($E$1),FALSE),0),"")</f>
        <v>0</v>
      </c>
      <c r="I372">
        <f>IFERROR(ROUNDDOWN((VLOOKUP($C372,装備品!$1:$998,COLUMN(G$1),FALSE)+IFERROR(VLOOKUP($CI372,付与!$1:$1167,COLUMN(I$1),FALSE),0))*VLOOKUP($D372,素材!$1:$1016,COLUMN($E$1),FALSE),0),"")</f>
        <v>0</v>
      </c>
      <c r="J372">
        <f>IFERROR(ROUNDDOWN((VLOOKUP($C372,装備品!$1:$998,COLUMN(H$1),FALSE)+IFERROR(VLOOKUP($CI372,付与!$1:$1167,COLUMN(J$1),FALSE),0))*VLOOKUP($D372,素材!$1:$1016,COLUMN($E$1),FALSE),0),"")</f>
        <v>0</v>
      </c>
      <c r="K372">
        <f>IFERROR(ROUNDDOWN((VLOOKUP($C372,装備品!$1:$998,COLUMN(I$1),FALSE)+IFERROR(VLOOKUP($CI372,付与!$1:$1167,COLUMN(K$1),FALSE),0))*VLOOKUP($D372,素材!$1:$1016,COLUMN($E$1),FALSE),0),"")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IFERROR(VLOOKUP($C372,装備品!$1:$998,COLUMN(AA$1),FALSE)*VLOOKUP($D372,素材!$1:$1016,COLUMN($G$1),FALSE),"")</f>
        <v>100</v>
      </c>
      <c r="N372">
        <f>IFERROR(VLOOKUP($C372,装備品!$1:$998,COLUMN(I$1),FALSE),"")</f>
        <v>0</v>
      </c>
      <c r="O372" s="23">
        <f>IFERROR((VLOOKUP($C372,装備品!$1:$998,COLUMN(K$1),FALSE)+VLOOKUP($D372,素材!$1:$1016,COLUMN(H$1),FALSE))*100+IFERROR(VLOOKUP($CI372,付与!$1:$1167,COLUMN(O$1),FALSE),0),"")</f>
        <v>0</v>
      </c>
      <c r="P372" s="23">
        <f>IFERROR((VLOOKUP($C372,装備品!$1:$998,COLUMN(L$1),FALSE)+VLOOKUP($D372,素材!$1:$1016,COLUMN(I$1),FALSE))*100+IFERROR(VLOOKUP($CI372,付与!$1:$1167,COLUMN(P$1),FALSE),0),"")</f>
        <v>0</v>
      </c>
      <c r="Q372">
        <f>IFERROR(ROUNDUP(VLOOKUP($C372,装備品!$1:$998,COLUMN(M$1),FALSE)*(VLOOKUP($D372,素材!$1:$1002,COLUMN(D$1),FALSE)/100),1),"")</f>
        <v>0</v>
      </c>
      <c r="R372">
        <f>IFERROR(ROUNDUP(VLOOKUP($C372,装備品!$1:$998,COLUMN(N$1),FALSE)*(VLOOKUP($D372,素材!$1:$1002,COLUMN(D$1),FALSE)/100),1),"")</f>
        <v>0</v>
      </c>
      <c r="S372">
        <f>IFERROR(VLOOKUP($C372,装備品!$1:$998,COLUMN(P$1),FALSE),"")</f>
        <v>0</v>
      </c>
      <c r="T372">
        <f>IFERROR(VLOOKUP($C372,装備品!$1:$998,COLUMN(Q$1),FALSE),"")</f>
        <v>0</v>
      </c>
      <c r="U372">
        <f>IFERROR(VLOOKUP($C372,装備品!$1:$998,COLUMN(R$1),FALSE),"")</f>
        <v>0</v>
      </c>
      <c r="V372">
        <f>IFERROR(VLOOKUP($C372,装備品!$1:$998,COLUMN(Q$1),FALSE),"")</f>
        <v>0</v>
      </c>
      <c r="W372">
        <f>IFERROR(VLOOKUP($C372,装備品!$1:$998,COLUMN(T$1),FALSE),"")</f>
        <v>0.2</v>
      </c>
      <c r="Y372">
        <f>IFERROR(VLOOKUP($C372,装備品!$1:$998,COLUMN(U$1),FALSE),"")</f>
        <v>0</v>
      </c>
      <c r="Z372">
        <f>IFERROR(ROUNDUP(VLOOKUP($C372,装備品!$1:$998,COLUMN(O$1),FALSE)*VLOOKUP($D372,素材!$1:$1016,COLUMN(E$1),FALSE),1),"")</f>
        <v>0</v>
      </c>
      <c r="AA372">
        <f>IF(ISNUMBER(SEARCH(SUBSTITUTE(AA$1,RIGHT(AA$1,2),""),VLOOKUP($D372,素材!$1:$1016,COLUMN($F$1),FALSE))),VLOOKUP($C372,装備品!$1:$998,COLUMN($O$1),FALSE)*VLOOKUP($D372,素材!$1:$1016,COLUMN($E$1),FALSE)/(LEN(VLOOKUP($D372,素材!$1:$1016,COLUMN($F$1),FALSE))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IFERROR(VLOOKUP($C372,装備品!$1:$998,COLUMN(V$1),FALSE)*VLOOKUP($D372,素材!$1:$1016,COLUMN(N$1),FALSE)+IF(CI372="",0,VLOOKUP($CI372,付与!$1:$1176,COLUMN($CK$1),FALSE)),"")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IFERROR(VLOOKUP(C373,装備品!$1:$998,COLUMN(C$1),FALSE),"")</f>
        <v>足</v>
      </c>
      <c r="F373">
        <f>IFERROR(ROUNDDOWN((VLOOKUP($C373,装備品!$1:$998,COLUMN(D$1),FALSE)+IFERROR(VLOOKUP($CI373,付与!$1:$1167,COLUMN(F$1),FALSE),0))*VLOOKUP($D373,素材!$1:$1016,COLUMN(D$1),FALSE),0),"")</f>
        <v>0</v>
      </c>
      <c r="G373">
        <f>IFERROR(ROUNDDOWN((VLOOKUP($C373,装備品!$1:$998,COLUMN(E$1),FALSE)+IFERROR(VLOOKUP($CI373,付与!$1:$1167,COLUMN(G$1),FALSE),0))*VLOOKUP($D373,素材!$1:$1016,COLUMN($E$1),FALSE),0),"")</f>
        <v>0</v>
      </c>
      <c r="H373">
        <f>IFERROR(ROUNDDOWN((VLOOKUP($C373,装備品!$1:$998,COLUMN(F$1),FALSE)+IFERROR(VLOOKUP($CI373,付与!$1:$1167,COLUMN(H$1),FALSE),0))*VLOOKUP($D373,素材!$1:$1016,COLUMN($E$1),FALSE),0),"")</f>
        <v>0</v>
      </c>
      <c r="I373">
        <f>IFERROR(ROUNDDOWN((VLOOKUP($C373,装備品!$1:$998,COLUMN(G$1),FALSE)+IFERROR(VLOOKUP($CI373,付与!$1:$1167,COLUMN(I$1),FALSE),0))*VLOOKUP($D373,素材!$1:$1016,COLUMN($E$1),FALSE),0),"")</f>
        <v>35</v>
      </c>
      <c r="J373">
        <f>IFERROR(ROUNDDOWN((VLOOKUP($C373,装備品!$1:$998,COLUMN(H$1),FALSE)+IFERROR(VLOOKUP($CI373,付与!$1:$1167,COLUMN(J$1),FALSE),0))*VLOOKUP($D373,素材!$1:$1016,COLUMN($E$1),FALSE),0),"")</f>
        <v>0</v>
      </c>
      <c r="K373">
        <f>IFERROR(ROUNDDOWN((VLOOKUP($C373,装備品!$1:$998,COLUMN(I$1),FALSE)+IFERROR(VLOOKUP($CI373,付与!$1:$1167,COLUMN(K$1),FALSE),0))*VLOOKUP($D373,素材!$1:$1016,COLUMN($E$1),FALSE),0),"")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IFERROR(VLOOKUP($C373,装備品!$1:$998,COLUMN(AA$1),FALSE)*VLOOKUP($D373,素材!$1:$1016,COLUMN($G$1),FALSE),"")</f>
        <v>50</v>
      </c>
      <c r="N373">
        <f>IFERROR(VLOOKUP($C373,装備品!$1:$998,COLUMN(I$1),FALSE),"")</f>
        <v>0</v>
      </c>
      <c r="O373" s="23">
        <f>IFERROR((VLOOKUP($C373,装備品!$1:$998,COLUMN(K$1),FALSE)+VLOOKUP($D373,素材!$1:$1016,COLUMN(H$1),FALSE))*100+IFERROR(VLOOKUP($CI373,付与!$1:$1167,COLUMN(O$1),FALSE),0),"")</f>
        <v>10</v>
      </c>
      <c r="P373" s="23">
        <f>IFERROR((VLOOKUP($C373,装備品!$1:$998,COLUMN(L$1),FALSE)+VLOOKUP($D373,素材!$1:$1016,COLUMN(I$1),FALSE))*100+IFERROR(VLOOKUP($CI373,付与!$1:$1167,COLUMN(P$1),FALSE),0),"")</f>
        <v>150</v>
      </c>
      <c r="Q373">
        <f>IFERROR(ROUNDUP(VLOOKUP($C373,装備品!$1:$998,COLUMN(M$1),FALSE)*(VLOOKUP($D373,素材!$1:$1002,COLUMN(D$1),FALSE)/100),1),"")</f>
        <v>0</v>
      </c>
      <c r="R373">
        <f>IFERROR(ROUNDUP(VLOOKUP($C373,装備品!$1:$998,COLUMN(N$1),FALSE)*(VLOOKUP($D373,素材!$1:$1002,COLUMN(D$1),FALSE)/100),1),"")</f>
        <v>0</v>
      </c>
      <c r="S373">
        <f>IFERROR(VLOOKUP($C373,装備品!$1:$998,COLUMN(P$1),FALSE),"")</f>
        <v>0</v>
      </c>
      <c r="T373">
        <f>IFERROR(VLOOKUP($C373,装備品!$1:$998,COLUMN(Q$1),FALSE),"")</f>
        <v>0</v>
      </c>
      <c r="U373">
        <f>IFERROR(VLOOKUP($C373,装備品!$1:$998,COLUMN(R$1),FALSE),"")</f>
        <v>0</v>
      </c>
      <c r="V373">
        <f>IFERROR(VLOOKUP($C373,装備品!$1:$998,COLUMN(Q$1),FALSE),"")</f>
        <v>0</v>
      </c>
      <c r="W373">
        <f>IFERROR(VLOOKUP($C373,装備品!$1:$998,COLUMN(T$1),FALSE),"")</f>
        <v>0.15</v>
      </c>
      <c r="Y373">
        <f>IFERROR(VLOOKUP($C373,装備品!$1:$998,COLUMN(U$1),FALSE),"")</f>
        <v>0</v>
      </c>
      <c r="Z373">
        <f>IFERROR(ROUNDUP(VLOOKUP($C373,装備品!$1:$998,COLUMN(O$1),FALSE)*VLOOKUP($D373,素材!$1:$1016,COLUMN(E$1),FALSE),1),"")</f>
        <v>0</v>
      </c>
      <c r="AA373">
        <f>IF(ISNUMBER(SEARCH(SUBSTITUTE(AA$1,RIGHT(AA$1,2),""),VLOOKUP($D373,素材!$1:$1016,COLUMN($F$1),FALSE))),VLOOKUP($C373,装備品!$1:$998,COLUMN($O$1),FALSE)*VLOOKUP($D373,素材!$1:$1016,COLUMN($E$1),FALSE)/(LEN(VLOOKUP($D373,素材!$1:$1016,COLUMN($F$1),FALSE))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IFERROR(VLOOKUP($C373,装備品!$1:$998,COLUMN(V$1),FALSE)*VLOOKUP($D373,素材!$1:$1016,COLUMN(N$1),FALSE)+IF(CI373="",0,VLOOKUP($CI373,付与!$1:$1176,COLUMN($CK$1),FALSE)),"")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IFERROR(VLOOKUP($D374,素材!$1:$1016,COLUMN($B$1),FALSE)&amp;"・"&amp;VLOOKUP($C374,装備品!$1:$998,COLUMN(B$1),FALSE),"")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IFERROR(VLOOKUP(C374,装備品!$1:$998,COLUMN(C$1),FALSE),"")</f>
        <v>頭</v>
      </c>
      <c r="F374">
        <f>IFERROR(ROUNDDOWN((VLOOKUP($C374,装備品!$1:$998,COLUMN(D$1),FALSE)+IFERROR(VLOOKUP($CI374,付与!$1:$1167,COLUMN(F$1),FALSE),0))*VLOOKUP($D374,素材!$1:$1016,COLUMN(D$1),FALSE),0),"")</f>
        <v>0</v>
      </c>
      <c r="G374">
        <f>IFERROR(ROUNDDOWN((VLOOKUP($C374,装備品!$1:$998,COLUMN(E$1),FALSE)+IFERROR(VLOOKUP($CI374,付与!$1:$1167,COLUMN(G$1),FALSE),0))*VLOOKUP($D374,素材!$1:$1016,COLUMN($E$1),FALSE),0),"")</f>
        <v>0</v>
      </c>
      <c r="H374">
        <f>IFERROR(ROUNDDOWN((VLOOKUP($C374,装備品!$1:$998,COLUMN(F$1),FALSE)+IFERROR(VLOOKUP($CI374,付与!$1:$1167,COLUMN(H$1),FALSE),0))*VLOOKUP($D374,素材!$1:$1016,COLUMN($E$1),FALSE),0),"")</f>
        <v>0</v>
      </c>
      <c r="I374">
        <f>IFERROR(ROUNDDOWN((VLOOKUP($C374,装備品!$1:$998,COLUMN(G$1),FALSE)+IFERROR(VLOOKUP($CI374,付与!$1:$1167,COLUMN(I$1),FALSE),0))*VLOOKUP($D374,素材!$1:$1016,COLUMN($E$1),FALSE),0),"")</f>
        <v>0</v>
      </c>
      <c r="J374">
        <f>IFERROR(ROUNDDOWN((VLOOKUP($C374,装備品!$1:$998,COLUMN(H$1),FALSE)+IFERROR(VLOOKUP($CI374,付与!$1:$1167,COLUMN(J$1),FALSE),0))*VLOOKUP($D374,素材!$1:$1016,COLUMN($E$1),FALSE),0),"")</f>
        <v>0</v>
      </c>
      <c r="K374">
        <f>IFERROR(ROUNDDOWN((VLOOKUP($C374,装備品!$1:$998,COLUMN(I$1),FALSE)+IFERROR(VLOOKUP($CI374,付与!$1:$1167,COLUMN(K$1),FALSE),0))*VLOOKUP($D374,素材!$1:$1016,COLUMN($E$1),FALSE),0),"")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IFERROR(VLOOKUP($C374,装備品!$1:$998,COLUMN(AA$1),FALSE)*VLOOKUP($D374,素材!$1:$1016,COLUMN($G$1),FALSE),"")</f>
        <v>50</v>
      </c>
      <c r="N374">
        <f>IFERROR(VLOOKUP($C374,装備品!$1:$998,COLUMN(I$1),FALSE),"")</f>
        <v>0</v>
      </c>
      <c r="O374" s="23">
        <f>IFERROR((VLOOKUP($C374,装備品!$1:$998,COLUMN(K$1),FALSE)+VLOOKUP($D374,素材!$1:$1016,COLUMN(H$1),FALSE))*100+IFERROR(VLOOKUP($CI374,付与!$1:$1167,COLUMN(O$1),FALSE),0),"")</f>
        <v>0</v>
      </c>
      <c r="P374" s="23">
        <f>IFERROR((VLOOKUP($C374,装備品!$1:$998,COLUMN(L$1),FALSE)+VLOOKUP($D374,素材!$1:$1016,COLUMN(I$1),FALSE))*100+IFERROR(VLOOKUP($CI374,付与!$1:$1167,COLUMN(P$1),FALSE),0),"")</f>
        <v>0</v>
      </c>
      <c r="Q374">
        <f>IFERROR(ROUNDUP(VLOOKUP($C374,装備品!$1:$998,COLUMN(M$1),FALSE)*(VLOOKUP($D374,素材!$1:$1002,COLUMN(D$1),FALSE)/100),1),"")</f>
        <v>0</v>
      </c>
      <c r="R374">
        <f>IFERROR(ROUNDUP(VLOOKUP($C374,装備品!$1:$998,COLUMN(N$1),FALSE)*(VLOOKUP($D374,素材!$1:$1002,COLUMN(D$1),FALSE)/100),1),"")</f>
        <v>0</v>
      </c>
      <c r="S374">
        <f>IFERROR(VLOOKUP($C374,装備品!$1:$998,COLUMN(P$1),FALSE),"")</f>
        <v>0</v>
      </c>
      <c r="T374">
        <f>IFERROR(VLOOKUP($C374,装備品!$1:$998,COLUMN(Q$1),FALSE),"")</f>
        <v>0</v>
      </c>
      <c r="U374">
        <f>IFERROR(VLOOKUP($C374,装備品!$1:$998,COLUMN(R$1),FALSE),"")</f>
        <v>0</v>
      </c>
      <c r="V374">
        <f>IFERROR(VLOOKUP($C374,装備品!$1:$998,COLUMN(Q$1),FALSE),"")</f>
        <v>0</v>
      </c>
      <c r="W374">
        <f>IFERROR(VLOOKUP($C374,装備品!$1:$998,COLUMN(T$1),FALSE),"")</f>
        <v>7.0000000000000007E-2</v>
      </c>
      <c r="Y374">
        <f>IFERROR(VLOOKUP($C374,装備品!$1:$998,COLUMN(U$1),FALSE),"")</f>
        <v>0</v>
      </c>
      <c r="Z374">
        <f>IFERROR(ROUNDUP(VLOOKUP($C374,装備品!$1:$998,COLUMN(O$1),FALSE)*VLOOKUP($D374,素材!$1:$1016,COLUMN(E$1),FALSE),1),"")</f>
        <v>0</v>
      </c>
      <c r="AA374">
        <f>IF(ISNUMBER(SEARCH(SUBSTITUTE(AA$1,RIGHT(AA$1,2),""),VLOOKUP($D374,素材!$1:$1016,COLUMN($F$1),FALSE))),VLOOKUP($C374,装備品!$1:$998,COLUMN($O$1),FALSE)*VLOOKUP($D374,素材!$1:$1016,COLUMN($E$1),FALSE)/(LEN(VLOOKUP($D374,素材!$1:$1016,COLUMN($F$1),FALSE))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IFERROR(VLOOKUP($C374,装備品!$1:$998,COLUMN(V$1),FALSE)*VLOOKUP($D374,素材!$1:$1016,COLUMN(N$1),FALSE)+IF(CI374="",0,VLOOKUP($CI374,付与!$1:$1176,COLUMN($CK$1),FALSE)),"")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IFERROR(VLOOKUP(C375,装備品!$1:$998,COLUMN(C$1),FALSE),"")</f>
        <v>武器</v>
      </c>
      <c r="F375">
        <f>IFERROR(ROUNDDOWN((VLOOKUP($C375,装備品!$1:$998,COLUMN(D$1),FALSE)+IFERROR(VLOOKUP($CI375,付与!$1:$1167,COLUMN(F$1),FALSE),0))*VLOOKUP($D375,素材!$1:$1016,COLUMN(D$1),FALSE),0),"")</f>
        <v>136</v>
      </c>
      <c r="G375">
        <f>IFERROR(ROUNDDOWN((VLOOKUP($C375,装備品!$1:$998,COLUMN(E$1),FALSE)+IFERROR(VLOOKUP($CI375,付与!$1:$1167,COLUMN(G$1),FALSE),0))*VLOOKUP($D375,素材!$1:$1016,COLUMN($E$1),FALSE),0),"")</f>
        <v>35</v>
      </c>
      <c r="H375">
        <f>IFERROR(ROUNDDOWN((VLOOKUP($C375,装備品!$1:$998,COLUMN(F$1),FALSE)+IFERROR(VLOOKUP($CI375,付与!$1:$1167,COLUMN(H$1),FALSE),0))*VLOOKUP($D375,素材!$1:$1016,COLUMN($E$1),FALSE),0),"")</f>
        <v>20</v>
      </c>
      <c r="I375">
        <f>IFERROR(ROUNDDOWN((VLOOKUP($C375,装備品!$1:$998,COLUMN(G$1),FALSE)+IFERROR(VLOOKUP($CI375,付与!$1:$1167,COLUMN(I$1),FALSE),0))*VLOOKUP($D375,素材!$1:$1016,COLUMN($E$1),FALSE),0),"")</f>
        <v>5</v>
      </c>
      <c r="J375">
        <f>IFERROR(ROUNDDOWN((VLOOKUP($C375,装備品!$1:$998,COLUMN(H$1),FALSE)+IFERROR(VLOOKUP($CI375,付与!$1:$1167,COLUMN(J$1),FALSE),0))*VLOOKUP($D375,素材!$1:$1016,COLUMN($E$1),FALSE),0),"")</f>
        <v>42</v>
      </c>
      <c r="K375">
        <f>IFERROR(ROUNDDOWN((VLOOKUP($C375,装備品!$1:$998,COLUMN(I$1),FALSE)+IFERROR(VLOOKUP($CI375,付与!$1:$1167,COLUMN(K$1),FALSE),0))*VLOOKUP($D375,素材!$1:$1016,COLUMN($E$1),FALSE),0),"")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IFERROR(VLOOKUP($C375,装備品!$1:$998,COLUMN(AA$1),FALSE)*VLOOKUP($D375,素材!$1:$1016,COLUMN($G$1),FALSE),"")</f>
        <v>40</v>
      </c>
      <c r="N375">
        <f>IFERROR(VLOOKUP($C375,装備品!$1:$998,COLUMN(I$1),FALSE),"")</f>
        <v>0</v>
      </c>
      <c r="O375" s="23">
        <f>IFERROR((VLOOKUP($C375,装備品!$1:$998,COLUMN(K$1),FALSE)+VLOOKUP($D375,素材!$1:$1016,COLUMN(H$1),FALSE))*100+IFERROR(VLOOKUP($CI375,付与!$1:$1167,COLUMN(O$1),FALSE),0),"")</f>
        <v>15.000000000000002</v>
      </c>
      <c r="P375" s="23">
        <f>IFERROR((VLOOKUP($C375,装備品!$1:$998,COLUMN(L$1),FALSE)+VLOOKUP($D375,素材!$1:$1016,COLUMN(I$1),FALSE))*100+IFERROR(VLOOKUP($CI375,付与!$1:$1167,COLUMN(P$1),FALSE),0),"")</f>
        <v>185</v>
      </c>
      <c r="Q375">
        <f>IFERROR(ROUNDUP(VLOOKUP($C375,装備品!$1:$998,COLUMN(M$1),FALSE)*(VLOOKUP($D375,素材!$1:$1002,COLUMN(D$1),FALSE)/100),1),"")</f>
        <v>0</v>
      </c>
      <c r="R375">
        <f>IFERROR(ROUNDUP(VLOOKUP($C375,装備品!$1:$998,COLUMN(N$1),FALSE)*(VLOOKUP($D375,素材!$1:$1002,COLUMN(D$1),FALSE)/100),1),"")</f>
        <v>0</v>
      </c>
      <c r="S375">
        <f>IFERROR(VLOOKUP($C375,装備品!$1:$998,COLUMN(P$1),FALSE),"")</f>
        <v>0</v>
      </c>
      <c r="T375">
        <f>IFERROR(VLOOKUP($C375,装備品!$1:$998,COLUMN(Q$1),FALSE),"")</f>
        <v>0</v>
      </c>
      <c r="U375">
        <f>IFERROR(VLOOKUP($C375,装備品!$1:$998,COLUMN(R$1),FALSE),"")</f>
        <v>0</v>
      </c>
      <c r="V375">
        <f>IFERROR(VLOOKUP($C375,装備品!$1:$998,COLUMN(Q$1),FALSE),"")</f>
        <v>0</v>
      </c>
      <c r="W375">
        <f>IFERROR(VLOOKUP($C375,装備品!$1:$998,COLUMN(T$1),FALSE),"")</f>
        <v>0</v>
      </c>
      <c r="Y375">
        <f>IFERROR(VLOOKUP($C375,装備品!$1:$998,COLUMN(U$1),FALSE),"")</f>
        <v>0</v>
      </c>
      <c r="Z375">
        <f>IFERROR(ROUNDUP(VLOOKUP($C375,装備品!$1:$998,COLUMN(O$1),FALSE)*VLOOKUP($D375,素材!$1:$1016,COLUMN(E$1),FALSE),1),"")</f>
        <v>0</v>
      </c>
      <c r="AA375">
        <f>IF(ISNUMBER(SEARCH(SUBSTITUTE(AA$1,RIGHT(AA$1,2),""),VLOOKUP($D375,素材!$1:$1016,COLUMN($F$1),FALSE))),VLOOKUP($C375,装備品!$1:$998,COLUMN($O$1),FALSE)*VLOOKUP($D375,素材!$1:$1016,COLUMN($E$1),FALSE)/(LEN(VLOOKUP($D375,素材!$1:$1016,COLUMN($F$1),FALSE))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IFERROR(VLOOKUP($C375,装備品!$1:$998,COLUMN(V$1),FALSE)*VLOOKUP($D375,素材!$1:$1016,COLUMN(N$1),FALSE)+IF(CI375="",0,VLOOKUP($CI375,付与!$1:$1176,COLUMN($CK$1),FALSE)),"")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IFERROR(VLOOKUP(C376,装備品!$1:$998,COLUMN(C$1),FALSE),"")</f>
        <v>武器</v>
      </c>
      <c r="F376">
        <f>IFERROR(ROUNDDOWN((VLOOKUP($C376,装備品!$1:$998,COLUMN(D$1),FALSE)+IFERROR(VLOOKUP($CI376,付与!$1:$1167,COLUMN(F$1),FALSE),0))*VLOOKUP($D376,素材!$1:$1016,COLUMN(D$1),FALSE),0),"")</f>
        <v>105</v>
      </c>
      <c r="G376">
        <f>IFERROR(ROUNDDOWN((VLOOKUP($C376,装備品!$1:$998,COLUMN(E$1),FALSE)+IFERROR(VLOOKUP($CI376,付与!$1:$1167,COLUMN(G$1),FALSE),0))*VLOOKUP($D376,素材!$1:$1016,COLUMN($E$1),FALSE),0),"")</f>
        <v>17</v>
      </c>
      <c r="H376">
        <f>IFERROR(ROUNDDOWN((VLOOKUP($C376,装備品!$1:$998,COLUMN(F$1),FALSE)+IFERROR(VLOOKUP($CI376,付与!$1:$1167,COLUMN(H$1),FALSE),0))*VLOOKUP($D376,素材!$1:$1016,COLUMN($E$1),FALSE),0),"")</f>
        <v>10</v>
      </c>
      <c r="I376">
        <f>IFERROR(ROUNDDOWN((VLOOKUP($C376,装備品!$1:$998,COLUMN(G$1),FALSE)+IFERROR(VLOOKUP($CI376,付与!$1:$1167,COLUMN(I$1),FALSE),0))*VLOOKUP($D376,素材!$1:$1016,COLUMN($E$1),FALSE),0),"")</f>
        <v>2</v>
      </c>
      <c r="J376">
        <f>IFERROR(ROUNDDOWN((VLOOKUP($C376,装備品!$1:$998,COLUMN(H$1),FALSE)+IFERROR(VLOOKUP($CI376,付与!$1:$1167,COLUMN(J$1),FALSE),0))*VLOOKUP($D376,素材!$1:$1016,COLUMN($E$1),FALSE),0),"")</f>
        <v>21</v>
      </c>
      <c r="K376">
        <f>IFERROR(ROUNDDOWN((VLOOKUP($C376,装備品!$1:$998,COLUMN(I$1),FALSE)+IFERROR(VLOOKUP($CI376,付与!$1:$1167,COLUMN(K$1),FALSE),0))*VLOOKUP($D376,素材!$1:$1016,COLUMN($E$1),FALSE),0),"")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IFERROR(VLOOKUP($C376,装備品!$1:$998,COLUMN(AA$1),FALSE)*VLOOKUP($D376,素材!$1:$1016,COLUMN($G$1),FALSE),"")</f>
        <v>80</v>
      </c>
      <c r="N376">
        <f>IFERROR(VLOOKUP($C376,装備品!$1:$998,COLUMN(I$1),FALSE),"")</f>
        <v>0</v>
      </c>
      <c r="O376" s="23">
        <f>IFERROR((VLOOKUP($C376,装備品!$1:$998,COLUMN(K$1),FALSE)+VLOOKUP($D376,素材!$1:$1016,COLUMN(H$1),FALSE))*100+IFERROR(VLOOKUP($CI376,付与!$1:$1167,COLUMN(O$1),FALSE),0),"")</f>
        <v>12.000000000000002</v>
      </c>
      <c r="P376" s="23">
        <f>IFERROR((VLOOKUP($C376,装備品!$1:$998,COLUMN(L$1),FALSE)+VLOOKUP($D376,素材!$1:$1016,COLUMN(I$1),FALSE))*100+IFERROR(VLOOKUP($CI376,付与!$1:$1167,COLUMN(P$1),FALSE),0),"")</f>
        <v>180</v>
      </c>
      <c r="Q376">
        <f>IFERROR(ROUNDUP(VLOOKUP($C376,装備品!$1:$998,COLUMN(M$1),FALSE)*(VLOOKUP($D376,素材!$1:$1002,COLUMN(D$1),FALSE)/100),1),"")</f>
        <v>0</v>
      </c>
      <c r="R376">
        <f>IFERROR(ROUNDUP(VLOOKUP($C376,装備品!$1:$998,COLUMN(N$1),FALSE)*(VLOOKUP($D376,素材!$1:$1002,COLUMN(D$1),FALSE)/100),1),"")</f>
        <v>0</v>
      </c>
      <c r="S376">
        <f>IFERROR(VLOOKUP($C376,装備品!$1:$998,COLUMN(P$1),FALSE),"")</f>
        <v>0</v>
      </c>
      <c r="T376">
        <f>IFERROR(VLOOKUP($C376,装備品!$1:$998,COLUMN(Q$1),FALSE),"")</f>
        <v>0</v>
      </c>
      <c r="U376">
        <f>IFERROR(VLOOKUP($C376,装備品!$1:$998,COLUMN(R$1),FALSE),"")</f>
        <v>0</v>
      </c>
      <c r="V376">
        <f>IFERROR(VLOOKUP($C376,装備品!$1:$998,COLUMN(Q$1),FALSE),"")</f>
        <v>0</v>
      </c>
      <c r="W376">
        <f>IFERROR(VLOOKUP($C376,装備品!$1:$998,COLUMN(T$1),FALSE),"")</f>
        <v>0</v>
      </c>
      <c r="Y376">
        <f>IFERROR(VLOOKUP($C376,装備品!$1:$998,COLUMN(U$1),FALSE),"")</f>
        <v>0</v>
      </c>
      <c r="Z376">
        <f>IFERROR(ROUNDUP(VLOOKUP($C376,装備品!$1:$998,COLUMN(O$1),FALSE)*VLOOKUP($D376,素材!$1:$1016,COLUMN(E$1),FALSE),1),"")</f>
        <v>0</v>
      </c>
      <c r="AA376">
        <f>IF(ISNUMBER(SEARCH(SUBSTITUTE(AA$1,RIGHT(AA$1,2),""),VLOOKUP($D376,素材!$1:$1016,COLUMN($F$1),FALSE))),VLOOKUP($C376,装備品!$1:$998,COLUMN($O$1),FALSE)*VLOOKUP($D376,素材!$1:$1016,COLUMN($E$1),FALSE)/(LEN(VLOOKUP($D376,素材!$1:$1016,COLUMN($F$1),FALSE))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IFERROR(VLOOKUP($C376,装備品!$1:$998,COLUMN(V$1),FALSE)*VLOOKUP($D376,素材!$1:$1016,COLUMN(N$1),FALSE)+IF(CI376="",0,VLOOKUP($CI376,付与!$1:$1176,COLUMN($CK$1),FALSE)),"")</f>
        <v>0</v>
      </c>
      <c r="CO376">
        <f>VLOOKUP(D376,素材!$A:$O,COLUMN(素材!O$1),FALSE)</f>
        <v>0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IFERROR(VLOOKUP($D377,素材!$1:$1016,COLUMN($B$1),FALSE)&amp;"・"&amp;VLOOKUP($C377,装備品!$1:$998,COLUMN(B$1),FALSE),"")</f>
        <v/>
      </c>
      <c r="D377" s="24"/>
      <c r="E377" t="str">
        <f>IFERROR(VLOOKUP(C377,装備品!$1:$998,COLUMN(C$1),FALSE),"")</f>
        <v/>
      </c>
      <c r="F377" t="str">
        <f>IFERROR(ROUNDDOWN((VLOOKUP($C377,装備品!$1:$998,COLUMN(D$1),FALSE)+IFERROR(VLOOKUP($CI377,付与!$1:$1167,COLUMN(F$1),FALSE),0))*VLOOKUP($D377,素材!$1:$1016,COLUMN(D$1),FALSE),0),"")</f>
        <v/>
      </c>
      <c r="G377" t="str">
        <f>IFERROR(ROUNDDOWN((VLOOKUP($C377,装備品!$1:$998,COLUMN(E$1),FALSE)+IFERROR(VLOOKUP($CI377,付与!$1:$1167,COLUMN(G$1),FALSE),0))*VLOOKUP($D377,素材!$1:$1016,COLUMN($E$1),FALSE),0),"")</f>
        <v/>
      </c>
      <c r="H377" t="str">
        <f>IFERROR(ROUNDDOWN((VLOOKUP($C377,装備品!$1:$998,COLUMN(F$1),FALSE)+IFERROR(VLOOKUP($CI377,付与!$1:$1167,COLUMN(H$1),FALSE),0))*VLOOKUP($D377,素材!$1:$1016,COLUMN($E$1),FALSE),0),"")</f>
        <v/>
      </c>
      <c r="I377" t="str">
        <f>IFERROR(ROUNDDOWN((VLOOKUP($C377,装備品!$1:$998,COLUMN(G$1),FALSE)+IFERROR(VLOOKUP($CI377,付与!$1:$1167,COLUMN(I$1),FALSE),0))*VLOOKUP($D377,素材!$1:$1016,COLUMN($E$1),FALSE),0),"")</f>
        <v/>
      </c>
      <c r="J377" t="str">
        <f>IFERROR(ROUNDDOWN((VLOOKUP($C377,装備品!$1:$998,COLUMN(H$1),FALSE)+IFERROR(VLOOKUP($CI377,付与!$1:$1167,COLUMN(J$1),FALSE),0))*VLOOKUP($D377,素材!$1:$1016,COLUMN($E$1),FALSE),0),"")</f>
        <v/>
      </c>
      <c r="K377" t="str">
        <f>IFERROR(ROUNDDOWN((VLOOKUP($C377,装備品!$1:$998,COLUMN(I$1),FALSE)+IFERROR(VLOOKUP($CI377,付与!$1:$1167,COLUMN(K$1),FALSE),0))*VLOOKUP($D377,素材!$1:$1016,COLUMN($E$1),FALSE),0),"")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IFERROR(VLOOKUP($C377,装備品!$1:$998,COLUMN(AA$1),FALSE)*VLOOKUP($D377,素材!$1:$1016,COLUMN($G$1),FALSE),"")</f>
        <v/>
      </c>
      <c r="N377" t="str">
        <f>IFERROR(VLOOKUP($C377,装備品!$1:$998,COLUMN(I$1),FALSE),"")</f>
        <v/>
      </c>
      <c r="O377" s="23" t="str">
        <f>IFERROR((VLOOKUP($C377,装備品!$1:$998,COLUMN(K$1),FALSE)+VLOOKUP($D377,素材!$1:$1016,COLUMN(H$1),FALSE))*100+IFERROR(VLOOKUP($CI377,付与!$1:$1167,COLUMN(O$1),FALSE),0),"")</f>
        <v/>
      </c>
      <c r="P377" s="23" t="str">
        <f>IFERROR((VLOOKUP($C377,装備品!$1:$998,COLUMN(L$1),FALSE)+VLOOKUP($D377,素材!$1:$1016,COLUMN(I$1),FALSE))*100+IFERROR(VLOOKUP($CI377,付与!$1:$1167,COLUMN(P$1),FALSE),0),"")</f>
        <v/>
      </c>
      <c r="Q377" t="str">
        <f>IFERROR(ROUNDUP(VLOOKUP($C377,装備品!$1:$998,COLUMN(M$1),FALSE)*(VLOOKUP($D377,素材!$1:$1002,COLUMN(D$1),FALSE)/100),1),"")</f>
        <v/>
      </c>
      <c r="R377" t="str">
        <f>IFERROR(ROUNDUP(VLOOKUP($C377,装備品!$1:$998,COLUMN(N$1),FALSE)*(VLOOKUP($D377,素材!$1:$1002,COLUMN(D$1),FALSE)/100),1),"")</f>
        <v/>
      </c>
      <c r="S377" t="str">
        <f>IFERROR(VLOOKUP($C377,装備品!$1:$998,COLUMN(P$1),FALSE),"")</f>
        <v/>
      </c>
      <c r="T377" t="str">
        <f>IFERROR(VLOOKUP($C377,装備品!$1:$998,COLUMN(Q$1),FALSE),"")</f>
        <v/>
      </c>
      <c r="U377" t="str">
        <f>IFERROR(VLOOKUP($C377,装備品!$1:$998,COLUMN(R$1),FALSE),"")</f>
        <v/>
      </c>
      <c r="V377" t="str">
        <f>IFERROR(VLOOKUP($C377,装備品!$1:$998,COLUMN(Q$1),FALSE),"")</f>
        <v/>
      </c>
      <c r="W377" t="str">
        <f>IFERROR(VLOOKUP($C377,装備品!$1:$998,COLUMN(T$1),FALSE),"")</f>
        <v/>
      </c>
      <c r="Y377" t="str">
        <f>IFERROR(VLOOKUP($C377,装備品!$1:$998,COLUMN(U$1),FALSE),"")</f>
        <v/>
      </c>
      <c r="Z377" t="str">
        <f>IFERROR(ROUNDUP(VLOOKUP($C377,装備品!$1:$998,COLUMN(O$1),FALSE)*VLOOKUP($D377,素材!$1:$1016,COLUMN(E$1),FALSE),1),"")</f>
        <v/>
      </c>
      <c r="AA377">
        <f>IF(ISNUMBER(SEARCH(SUBSTITUTE(AA$1,RIGHT(AA$1,2),""),VLOOKUP($D377,素材!$1:$1016,COLUMN($F$1),FALSE))),VLOOKUP($C377,装備品!$1:$998,COLUMN($O$1),FALSE)*VLOOKUP($D377,素材!$1:$1016,COLUMN($E$1),FALSE)/(LEN(VLOOKUP($D377,素材!$1:$1016,COLUMN($F$1),FALSE))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IFERROR(VLOOKUP($C377,装備品!$1:$998,COLUMN(V$1),FALSE)*VLOOKUP($D377,素材!$1:$1016,COLUMN(N$1),FALSE)+IF(CI377="",0,VLOOKUP($CI377,付与!$1:$1176,COLUMN($CK$1),FALSE)),"")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IFERROR(VLOOKUP($D378,素材!$1:$1016,COLUMN($B$1),FALSE)&amp;"・"&amp;VLOOKUP($C378,装備品!$1:$998,COLUMN(B$1),FALSE),"")</f>
        <v/>
      </c>
      <c r="D378" s="24"/>
      <c r="E378" t="str">
        <f>IFERROR(VLOOKUP(C378,装備品!$1:$998,COLUMN(C$1),FALSE),"")</f>
        <v/>
      </c>
      <c r="F378" t="str">
        <f>IFERROR(ROUNDDOWN((VLOOKUP($C378,装備品!$1:$998,COLUMN(D$1),FALSE)+IFERROR(VLOOKUP($CI378,付与!$1:$1167,COLUMN(F$1),FALSE),0))*VLOOKUP($D378,素材!$1:$1016,COLUMN(D$1),FALSE),0),"")</f>
        <v/>
      </c>
      <c r="G378" t="str">
        <f>IFERROR(ROUNDDOWN((VLOOKUP($C378,装備品!$1:$998,COLUMN(E$1),FALSE)+IFERROR(VLOOKUP($CI378,付与!$1:$1167,COLUMN(G$1),FALSE),0))*VLOOKUP($D378,素材!$1:$1016,COLUMN($E$1),FALSE),0),"")</f>
        <v/>
      </c>
      <c r="H378" t="str">
        <f>IFERROR(ROUNDDOWN((VLOOKUP($C378,装備品!$1:$998,COLUMN(F$1),FALSE)+IFERROR(VLOOKUP($CI378,付与!$1:$1167,COLUMN(H$1),FALSE),0))*VLOOKUP($D378,素材!$1:$1016,COLUMN($E$1),FALSE),0),"")</f>
        <v/>
      </c>
      <c r="I378" t="str">
        <f>IFERROR(ROUNDDOWN((VLOOKUP($C378,装備品!$1:$998,COLUMN(G$1),FALSE)+IFERROR(VLOOKUP($CI378,付与!$1:$1167,COLUMN(I$1),FALSE),0))*VLOOKUP($D378,素材!$1:$1016,COLUMN($E$1),FALSE),0),"")</f>
        <v/>
      </c>
      <c r="J378" t="str">
        <f>IFERROR(ROUNDDOWN((VLOOKUP($C378,装備品!$1:$998,COLUMN(H$1),FALSE)+IFERROR(VLOOKUP($CI378,付与!$1:$1167,COLUMN(J$1),FALSE),0))*VLOOKUP($D378,素材!$1:$1016,COLUMN($E$1),FALSE),0),"")</f>
        <v/>
      </c>
      <c r="K378" t="str">
        <f>IFERROR(ROUNDDOWN((VLOOKUP($C378,装備品!$1:$998,COLUMN(I$1),FALSE)+IFERROR(VLOOKUP($CI378,付与!$1:$1167,COLUMN(K$1),FALSE),0))*VLOOKUP($D378,素材!$1:$1016,COLUMN($E$1),FALSE),0),"")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IFERROR(VLOOKUP($C378,装備品!$1:$998,COLUMN(AA$1),FALSE)*VLOOKUP($D378,素材!$1:$1016,COLUMN($G$1),FALSE),"")</f>
        <v/>
      </c>
      <c r="N378" t="str">
        <f>IFERROR(VLOOKUP($C378,装備品!$1:$998,COLUMN(I$1),FALSE),"")</f>
        <v/>
      </c>
      <c r="O378" s="23" t="str">
        <f>IFERROR((VLOOKUP($C378,装備品!$1:$998,COLUMN(K$1),FALSE)+VLOOKUP($D378,素材!$1:$1016,COLUMN(H$1),FALSE))*100+IFERROR(VLOOKUP($CI378,付与!$1:$1167,COLUMN(O$1),FALSE),0),"")</f>
        <v/>
      </c>
      <c r="P378" s="23" t="str">
        <f>IFERROR((VLOOKUP($C378,装備品!$1:$998,COLUMN(L$1),FALSE)+VLOOKUP($D378,素材!$1:$1016,COLUMN(I$1),FALSE))*100+IFERROR(VLOOKUP($CI378,付与!$1:$1167,COLUMN(P$1),FALSE),0),"")</f>
        <v/>
      </c>
      <c r="Q378" t="str">
        <f>IFERROR(ROUNDUP(VLOOKUP($C378,装備品!$1:$998,COLUMN(M$1),FALSE)*(VLOOKUP($D378,素材!$1:$1002,COLUMN(D$1),FALSE)/100),1),"")</f>
        <v/>
      </c>
      <c r="R378" t="str">
        <f>IFERROR(ROUNDUP(VLOOKUP($C378,装備品!$1:$998,COLUMN(N$1),FALSE)*(VLOOKUP($D378,素材!$1:$1002,COLUMN(D$1),FALSE)/100),1),"")</f>
        <v/>
      </c>
      <c r="S378" t="str">
        <f>IFERROR(VLOOKUP($C378,装備品!$1:$998,COLUMN(P$1),FALSE),"")</f>
        <v/>
      </c>
      <c r="T378" t="str">
        <f>IFERROR(VLOOKUP($C378,装備品!$1:$998,COLUMN(Q$1),FALSE),"")</f>
        <v/>
      </c>
      <c r="U378" t="str">
        <f>IFERROR(VLOOKUP($C378,装備品!$1:$998,COLUMN(R$1),FALSE),"")</f>
        <v/>
      </c>
      <c r="V378" t="str">
        <f>IFERROR(VLOOKUP($C378,装備品!$1:$998,COLUMN(Q$1),FALSE),"")</f>
        <v/>
      </c>
      <c r="W378" t="str">
        <f>IFERROR(VLOOKUP($C378,装備品!$1:$998,COLUMN(T$1),FALSE),"")</f>
        <v/>
      </c>
      <c r="Y378" t="str">
        <f>IFERROR(VLOOKUP($C378,装備品!$1:$998,COLUMN(U$1),FALSE),"")</f>
        <v/>
      </c>
      <c r="Z378" t="str">
        <f>IFERROR(ROUNDUP(VLOOKUP($C378,装備品!$1:$998,COLUMN(O$1),FALSE)*VLOOKUP($D378,素材!$1:$1016,COLUMN(E$1),FALSE),1),"")</f>
        <v/>
      </c>
      <c r="AA378">
        <f>IF(ISNUMBER(SEARCH(SUBSTITUTE(AA$1,RIGHT(AA$1,2),""),VLOOKUP($D378,素材!$1:$1016,COLUMN($F$1),FALSE))),VLOOKUP($C378,装備品!$1:$998,COLUMN($O$1),FALSE)*VLOOKUP($D378,素材!$1:$1016,COLUMN($E$1),FALSE)/(LEN(VLOOKUP($D378,素材!$1:$1016,COLUMN($F$1),FALSE))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IFERROR(VLOOKUP($C378,装備品!$1:$998,COLUMN(V$1),FALSE)*VLOOKUP($D378,素材!$1:$1016,COLUMN(N$1),FALSE)+IF(CI378="",0,VLOOKUP($CI378,付与!$1:$1176,COLUMN($CK$1),FALSE)),"")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IFERROR(VLOOKUP($D379,素材!$1:$1016,COLUMN($B$1),FALSE)&amp;"・"&amp;VLOOKUP($C379,装備品!$1:$998,COLUMN(B$1),FALSE),"")</f>
        <v/>
      </c>
      <c r="D379" s="24"/>
      <c r="E379" t="str">
        <f>IFERROR(VLOOKUP(C379,装備品!$1:$998,COLUMN(C$1),FALSE),"")</f>
        <v/>
      </c>
      <c r="F379" t="str">
        <f>IFERROR(ROUNDDOWN((VLOOKUP($C379,装備品!$1:$998,COLUMN(D$1),FALSE)+IFERROR(VLOOKUP($CI379,付与!$1:$1167,COLUMN(F$1),FALSE),0))*VLOOKUP($D379,素材!$1:$1016,COLUMN(D$1),FALSE),0),"")</f>
        <v/>
      </c>
      <c r="G379" t="str">
        <f>IFERROR(ROUNDDOWN((VLOOKUP($C379,装備品!$1:$998,COLUMN(E$1),FALSE)+IFERROR(VLOOKUP($CI379,付与!$1:$1167,COLUMN(G$1),FALSE),0))*VLOOKUP($D379,素材!$1:$1016,COLUMN($E$1),FALSE),0),"")</f>
        <v/>
      </c>
      <c r="H379" t="str">
        <f>IFERROR(ROUNDDOWN((VLOOKUP($C379,装備品!$1:$998,COLUMN(F$1),FALSE)+IFERROR(VLOOKUP($CI379,付与!$1:$1167,COLUMN(H$1),FALSE),0))*VLOOKUP($D379,素材!$1:$1016,COLUMN($E$1),FALSE),0),"")</f>
        <v/>
      </c>
      <c r="I379" t="str">
        <f>IFERROR(ROUNDDOWN((VLOOKUP($C379,装備品!$1:$998,COLUMN(G$1),FALSE)+IFERROR(VLOOKUP($CI379,付与!$1:$1167,COLUMN(I$1),FALSE),0))*VLOOKUP($D379,素材!$1:$1016,COLUMN($E$1),FALSE),0),"")</f>
        <v/>
      </c>
      <c r="J379" t="str">
        <f>IFERROR(ROUNDDOWN((VLOOKUP($C379,装備品!$1:$998,COLUMN(H$1),FALSE)+IFERROR(VLOOKUP($CI379,付与!$1:$1167,COLUMN(J$1),FALSE),0))*VLOOKUP($D379,素材!$1:$1016,COLUMN($E$1),FALSE),0),"")</f>
        <v/>
      </c>
      <c r="K379" t="str">
        <f>IFERROR(ROUNDDOWN((VLOOKUP($C379,装備品!$1:$998,COLUMN(I$1),FALSE)+IFERROR(VLOOKUP($CI379,付与!$1:$1167,COLUMN(K$1),FALSE),0))*VLOOKUP($D379,素材!$1:$1016,COLUMN($E$1),FALSE),0),"")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IFERROR(VLOOKUP($C379,装備品!$1:$998,COLUMN(AA$1),FALSE)*VLOOKUP($D379,素材!$1:$1016,COLUMN($G$1),FALSE),"")</f>
        <v/>
      </c>
      <c r="N379" t="str">
        <f>IFERROR(VLOOKUP($C379,装備品!$1:$998,COLUMN(I$1),FALSE),"")</f>
        <v/>
      </c>
      <c r="O379" s="23" t="str">
        <f>IFERROR((VLOOKUP($C379,装備品!$1:$998,COLUMN(K$1),FALSE)+VLOOKUP($D379,素材!$1:$1016,COLUMN(H$1),FALSE))*100+IFERROR(VLOOKUP($CI379,付与!$1:$1167,COLUMN(O$1),FALSE),0),"")</f>
        <v/>
      </c>
      <c r="P379" s="23" t="str">
        <f>IFERROR((VLOOKUP($C379,装備品!$1:$998,COLUMN(L$1),FALSE)+VLOOKUP($D379,素材!$1:$1016,COLUMN(I$1),FALSE))*100+IFERROR(VLOOKUP($CI379,付与!$1:$1167,COLUMN(P$1),FALSE),0),"")</f>
        <v/>
      </c>
      <c r="Q379" t="str">
        <f>IFERROR(ROUNDUP(VLOOKUP($C379,装備品!$1:$998,COLUMN(M$1),FALSE)*(VLOOKUP($D379,素材!$1:$1002,COLUMN(D$1),FALSE)/100),1),"")</f>
        <v/>
      </c>
      <c r="R379" t="str">
        <f>IFERROR(ROUNDUP(VLOOKUP($C379,装備品!$1:$998,COLUMN(N$1),FALSE)*(VLOOKUP($D379,素材!$1:$1002,COLUMN(D$1),FALSE)/100),1),"")</f>
        <v/>
      </c>
      <c r="S379" t="str">
        <f>IFERROR(VLOOKUP($C379,装備品!$1:$998,COLUMN(P$1),FALSE),"")</f>
        <v/>
      </c>
      <c r="T379" t="str">
        <f>IFERROR(VLOOKUP($C379,装備品!$1:$998,COLUMN(Q$1),FALSE),"")</f>
        <v/>
      </c>
      <c r="U379" t="str">
        <f>IFERROR(VLOOKUP($C379,装備品!$1:$998,COLUMN(R$1),FALSE),"")</f>
        <v/>
      </c>
      <c r="V379" t="str">
        <f>IFERROR(VLOOKUP($C379,装備品!$1:$998,COLUMN(Q$1),FALSE),"")</f>
        <v/>
      </c>
      <c r="W379" t="str">
        <f>IFERROR(VLOOKUP($C379,装備品!$1:$998,COLUMN(T$1),FALSE),"")</f>
        <v/>
      </c>
      <c r="Y379" t="str">
        <f>IFERROR(VLOOKUP($C379,装備品!$1:$998,COLUMN(U$1),FALSE),"")</f>
        <v/>
      </c>
      <c r="Z379" t="str">
        <f>IFERROR(ROUNDUP(VLOOKUP($C379,装備品!$1:$998,COLUMN(O$1),FALSE)*VLOOKUP($D379,素材!$1:$1016,COLUMN(E$1),FALSE),1),"")</f>
        <v/>
      </c>
      <c r="AA379">
        <f>IF(ISNUMBER(SEARCH(SUBSTITUTE(AA$1,RIGHT(AA$1,2),""),VLOOKUP($D379,素材!$1:$1016,COLUMN($F$1),FALSE))),VLOOKUP($C379,装備品!$1:$998,COLUMN($O$1),FALSE)*VLOOKUP($D379,素材!$1:$1016,COLUMN($E$1),FALSE)/(LEN(VLOOKUP($D379,素材!$1:$1016,COLUMN($F$1),FALSE))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IFERROR(VLOOKUP($C379,装備品!$1:$998,COLUMN(V$1),FALSE)*VLOOKUP($D379,素材!$1:$1016,COLUMN(N$1),FALSE)+IF(CI379="",0,VLOOKUP($CI379,付与!$1:$1176,COLUMN($CK$1),FALSE)),"")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IFERROR(VLOOKUP($D380,素材!$1:$1016,COLUMN($B$1),FALSE)&amp;"・"&amp;VLOOKUP($C380,装備品!$1:$998,COLUMN(B$1),FALSE),"")</f>
        <v/>
      </c>
      <c r="D380" s="24"/>
      <c r="E380" t="str">
        <f>IFERROR(VLOOKUP(C380,装備品!$1:$998,COLUMN(C$1),FALSE),"")</f>
        <v/>
      </c>
      <c r="F380" t="str">
        <f>IFERROR(ROUNDDOWN((VLOOKUP($C380,装備品!$1:$998,COLUMN(D$1),FALSE)+IFERROR(VLOOKUP($CI380,付与!$1:$1167,COLUMN(F$1),FALSE),0))*VLOOKUP($D380,素材!$1:$1016,COLUMN(D$1),FALSE),0),"")</f>
        <v/>
      </c>
      <c r="G380" t="str">
        <f>IFERROR(ROUNDDOWN((VLOOKUP($C380,装備品!$1:$998,COLUMN(E$1),FALSE)+IFERROR(VLOOKUP($CI380,付与!$1:$1167,COLUMN(G$1),FALSE),0))*VLOOKUP($D380,素材!$1:$1016,COLUMN($E$1),FALSE),0),"")</f>
        <v/>
      </c>
      <c r="H380" t="str">
        <f>IFERROR(ROUNDDOWN((VLOOKUP($C380,装備品!$1:$998,COLUMN(F$1),FALSE)+IFERROR(VLOOKUP($CI380,付与!$1:$1167,COLUMN(H$1),FALSE),0))*VLOOKUP($D380,素材!$1:$1016,COLUMN($E$1),FALSE),0),"")</f>
        <v/>
      </c>
      <c r="I380" t="str">
        <f>IFERROR(ROUNDDOWN((VLOOKUP($C380,装備品!$1:$998,COLUMN(G$1),FALSE)+IFERROR(VLOOKUP($CI380,付与!$1:$1167,COLUMN(I$1),FALSE),0))*VLOOKUP($D380,素材!$1:$1016,COLUMN($E$1),FALSE),0),"")</f>
        <v/>
      </c>
      <c r="J380" t="str">
        <f>IFERROR(ROUNDDOWN((VLOOKUP($C380,装備品!$1:$998,COLUMN(H$1),FALSE)+IFERROR(VLOOKUP($CI380,付与!$1:$1167,COLUMN(J$1),FALSE),0))*VLOOKUP($D380,素材!$1:$1016,COLUMN($E$1),FALSE),0),"")</f>
        <v/>
      </c>
      <c r="K380" t="str">
        <f>IFERROR(ROUNDDOWN((VLOOKUP($C380,装備品!$1:$998,COLUMN(I$1),FALSE)+IFERROR(VLOOKUP($CI380,付与!$1:$1167,COLUMN(K$1),FALSE),0))*VLOOKUP($D380,素材!$1:$1016,COLUMN($E$1),FALSE),0),"")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IFERROR(VLOOKUP($C380,装備品!$1:$998,COLUMN(AA$1),FALSE)*VLOOKUP($D380,素材!$1:$1016,COLUMN($G$1),FALSE),"")</f>
        <v/>
      </c>
      <c r="N380" t="str">
        <f>IFERROR(VLOOKUP($C380,装備品!$1:$998,COLUMN(I$1),FALSE),"")</f>
        <v/>
      </c>
      <c r="O380" s="23" t="str">
        <f>IFERROR((VLOOKUP($C380,装備品!$1:$998,COLUMN(K$1),FALSE)+VLOOKUP($D380,素材!$1:$1016,COLUMN(H$1),FALSE))*100+IFERROR(VLOOKUP($CI380,付与!$1:$1167,COLUMN(O$1),FALSE),0),"")</f>
        <v/>
      </c>
      <c r="P380" s="23" t="str">
        <f>IFERROR((VLOOKUP($C380,装備品!$1:$998,COLUMN(L$1),FALSE)+VLOOKUP($D380,素材!$1:$1016,COLUMN(I$1),FALSE))*100+IFERROR(VLOOKUP($CI380,付与!$1:$1167,COLUMN(P$1),FALSE),0),"")</f>
        <v/>
      </c>
      <c r="Q380" t="str">
        <f>IFERROR(ROUNDUP(VLOOKUP($C380,装備品!$1:$998,COLUMN(M$1),FALSE)*(VLOOKUP($D380,素材!$1:$1002,COLUMN(D$1),FALSE)/100),1),"")</f>
        <v/>
      </c>
      <c r="R380" t="str">
        <f>IFERROR(ROUNDUP(VLOOKUP($C380,装備品!$1:$998,COLUMN(N$1),FALSE)*(VLOOKUP($D380,素材!$1:$1002,COLUMN(D$1),FALSE)/100),1),"")</f>
        <v/>
      </c>
      <c r="S380" t="str">
        <f>IFERROR(VLOOKUP($C380,装備品!$1:$998,COLUMN(P$1),FALSE),"")</f>
        <v/>
      </c>
      <c r="T380" t="str">
        <f>IFERROR(VLOOKUP($C380,装備品!$1:$998,COLUMN(Q$1),FALSE),"")</f>
        <v/>
      </c>
      <c r="U380" t="str">
        <f>IFERROR(VLOOKUP($C380,装備品!$1:$998,COLUMN(R$1),FALSE),"")</f>
        <v/>
      </c>
      <c r="V380" t="str">
        <f>IFERROR(VLOOKUP($C380,装備品!$1:$998,COLUMN(Q$1),FALSE),"")</f>
        <v/>
      </c>
      <c r="W380" t="str">
        <f>IFERROR(VLOOKUP($C380,装備品!$1:$998,COLUMN(T$1),FALSE),"")</f>
        <v/>
      </c>
      <c r="Y380" t="str">
        <f>IFERROR(VLOOKUP($C380,装備品!$1:$998,COLUMN(U$1),FALSE),"")</f>
        <v/>
      </c>
      <c r="Z380" t="str">
        <f>IFERROR(ROUNDUP(VLOOKUP($C380,装備品!$1:$998,COLUMN(O$1),FALSE)*VLOOKUP($D380,素材!$1:$1016,COLUMN(E$1),FALSE),1),"")</f>
        <v/>
      </c>
      <c r="AA380">
        <f>IF(ISNUMBER(SEARCH(SUBSTITUTE(AA$1,RIGHT(AA$1,2),""),VLOOKUP($D380,素材!$1:$1016,COLUMN($F$1),FALSE))),VLOOKUP($C380,装備品!$1:$998,COLUMN($O$1),FALSE)*VLOOKUP($D380,素材!$1:$1016,COLUMN($E$1),FALSE)/(LEN(VLOOKUP($D380,素材!$1:$1016,COLUMN($F$1),FALSE))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IFERROR(VLOOKUP($C380,装備品!$1:$998,COLUMN(V$1),FALSE)*VLOOKUP($D380,素材!$1:$1016,COLUMN(N$1),FALSE)+IF(CI380="",0,VLOOKUP($CI380,付与!$1:$1176,COLUMN($CK$1),FALSE)),"")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IFERROR(VLOOKUP($D381,素材!$1:$1016,COLUMN($B$1),FALSE)&amp;"・"&amp;VLOOKUP($C381,装備品!$1:$998,COLUMN(B$1),FALSE),"")</f>
        <v/>
      </c>
      <c r="D381" s="24"/>
      <c r="E381" t="str">
        <f>IFERROR(VLOOKUP(C381,装備品!$1:$998,COLUMN(C$1),FALSE),"")</f>
        <v/>
      </c>
      <c r="F381" t="str">
        <f>IFERROR(ROUNDDOWN((VLOOKUP($C381,装備品!$1:$998,COLUMN(D$1),FALSE)+IFERROR(VLOOKUP($CI381,付与!$1:$1167,COLUMN(F$1),FALSE),0))*VLOOKUP($D381,素材!$1:$1016,COLUMN(D$1),FALSE),0),"")</f>
        <v/>
      </c>
      <c r="G381" t="str">
        <f>IFERROR(ROUNDDOWN((VLOOKUP($C381,装備品!$1:$998,COLUMN(E$1),FALSE)+IFERROR(VLOOKUP($CI381,付与!$1:$1167,COLUMN(G$1),FALSE),0))*VLOOKUP($D381,素材!$1:$1016,COLUMN($E$1),FALSE),0),"")</f>
        <v/>
      </c>
      <c r="H381" t="str">
        <f>IFERROR(ROUNDDOWN((VLOOKUP($C381,装備品!$1:$998,COLUMN(F$1),FALSE)+IFERROR(VLOOKUP($CI381,付与!$1:$1167,COLUMN(H$1),FALSE),0))*VLOOKUP($D381,素材!$1:$1016,COLUMN($E$1),FALSE),0),"")</f>
        <v/>
      </c>
      <c r="I381" t="str">
        <f>IFERROR(ROUNDDOWN((VLOOKUP($C381,装備品!$1:$998,COLUMN(G$1),FALSE)+IFERROR(VLOOKUP($CI381,付与!$1:$1167,COLUMN(I$1),FALSE),0))*VLOOKUP($D381,素材!$1:$1016,COLUMN($E$1),FALSE),0),"")</f>
        <v/>
      </c>
      <c r="J381" t="str">
        <f>IFERROR(ROUNDDOWN((VLOOKUP($C381,装備品!$1:$998,COLUMN(H$1),FALSE)+IFERROR(VLOOKUP($CI381,付与!$1:$1167,COLUMN(J$1),FALSE),0))*VLOOKUP($D381,素材!$1:$1016,COLUMN($E$1),FALSE),0),"")</f>
        <v/>
      </c>
      <c r="K381" t="str">
        <f>IFERROR(ROUNDDOWN((VLOOKUP($C381,装備品!$1:$998,COLUMN(I$1),FALSE)+IFERROR(VLOOKUP($CI381,付与!$1:$1167,COLUMN(K$1),FALSE),0))*VLOOKUP($D381,素材!$1:$1016,COLUMN($E$1),FALSE),0),"")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IFERROR(VLOOKUP($C381,装備品!$1:$998,COLUMN(AA$1),FALSE)*VLOOKUP($D381,素材!$1:$1016,COLUMN($G$1),FALSE),"")</f>
        <v/>
      </c>
      <c r="N381" t="str">
        <f>IFERROR(VLOOKUP($C381,装備品!$1:$998,COLUMN(I$1),FALSE),"")</f>
        <v/>
      </c>
      <c r="O381" s="23" t="str">
        <f>IFERROR((VLOOKUP($C381,装備品!$1:$998,COLUMN(K$1),FALSE)+VLOOKUP($D381,素材!$1:$1016,COLUMN(H$1),FALSE))*100+IFERROR(VLOOKUP($CI381,付与!$1:$1167,COLUMN(O$1),FALSE),0),"")</f>
        <v/>
      </c>
      <c r="P381" s="23" t="str">
        <f>IFERROR((VLOOKUP($C381,装備品!$1:$998,COLUMN(L$1),FALSE)+VLOOKUP($D381,素材!$1:$1016,COLUMN(I$1),FALSE))*100+IFERROR(VLOOKUP($CI381,付与!$1:$1167,COLUMN(P$1),FALSE),0),"")</f>
        <v/>
      </c>
      <c r="Q381" t="str">
        <f>IFERROR(ROUNDUP(VLOOKUP($C381,装備品!$1:$998,COLUMN(M$1),FALSE)*(VLOOKUP($D381,素材!$1:$1002,COLUMN(D$1),FALSE)/100),1),"")</f>
        <v/>
      </c>
      <c r="R381" t="str">
        <f>IFERROR(ROUNDUP(VLOOKUP($C381,装備品!$1:$998,COLUMN(N$1),FALSE)*(VLOOKUP($D381,素材!$1:$1002,COLUMN(D$1),FALSE)/100),1),"")</f>
        <v/>
      </c>
      <c r="S381" t="str">
        <f>IFERROR(VLOOKUP($C381,装備品!$1:$998,COLUMN(P$1),FALSE),"")</f>
        <v/>
      </c>
      <c r="T381" t="str">
        <f>IFERROR(VLOOKUP($C381,装備品!$1:$998,COLUMN(Q$1),FALSE),"")</f>
        <v/>
      </c>
      <c r="U381" t="str">
        <f>IFERROR(VLOOKUP($C381,装備品!$1:$998,COLUMN(R$1),FALSE),"")</f>
        <v/>
      </c>
      <c r="V381" t="str">
        <f>IFERROR(VLOOKUP($C381,装備品!$1:$998,COLUMN(Q$1),FALSE),"")</f>
        <v/>
      </c>
      <c r="W381" t="str">
        <f>IFERROR(VLOOKUP($C381,装備品!$1:$998,COLUMN(T$1),FALSE),"")</f>
        <v/>
      </c>
      <c r="Y381" t="str">
        <f>IFERROR(VLOOKUP($C381,装備品!$1:$998,COLUMN(U$1),FALSE),"")</f>
        <v/>
      </c>
      <c r="Z381" t="str">
        <f>IFERROR(ROUNDUP(VLOOKUP($C381,装備品!$1:$998,COLUMN(O$1),FALSE)*VLOOKUP($D381,素材!$1:$1016,COLUMN(E$1),FALSE),1),"")</f>
        <v/>
      </c>
      <c r="AA381">
        <f>IF(ISNUMBER(SEARCH(SUBSTITUTE(AA$1,RIGHT(AA$1,2),""),VLOOKUP($D381,素材!$1:$1016,COLUMN($F$1),FALSE))),VLOOKUP($C381,装備品!$1:$998,COLUMN($O$1),FALSE)*VLOOKUP($D381,素材!$1:$1016,COLUMN($E$1),FALSE)/(LEN(VLOOKUP($D381,素材!$1:$1016,COLUMN($F$1),FALSE))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IFERROR(VLOOKUP($C381,装備品!$1:$998,COLUMN(V$1),FALSE)*VLOOKUP($D381,素材!$1:$1016,COLUMN(N$1),FALSE)+IF(CI381="",0,VLOOKUP($CI381,付与!$1:$1176,COLUMN($CK$1),FALSE)),"")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IFERROR(VLOOKUP($D382,素材!$1:$1016,COLUMN($B$1),FALSE)&amp;"・"&amp;VLOOKUP($C382,装備品!$1:$998,COLUMN(B$1),FALSE),"")</f>
        <v/>
      </c>
      <c r="D382" s="24"/>
      <c r="E382" t="str">
        <f>IFERROR(VLOOKUP(C382,装備品!$1:$998,COLUMN(C$1),FALSE),"")</f>
        <v/>
      </c>
      <c r="F382" t="str">
        <f>IFERROR(ROUNDDOWN((VLOOKUP($C382,装備品!$1:$998,COLUMN(D$1),FALSE)+IFERROR(VLOOKUP($CI382,付与!$1:$1167,COLUMN(F$1),FALSE),0))*VLOOKUP($D382,素材!$1:$1016,COLUMN(D$1),FALSE),0),"")</f>
        <v/>
      </c>
      <c r="G382" t="str">
        <f>IFERROR(ROUNDDOWN((VLOOKUP($C382,装備品!$1:$998,COLUMN(E$1),FALSE)+IFERROR(VLOOKUP($CI382,付与!$1:$1167,COLUMN(G$1),FALSE),0))*VLOOKUP($D382,素材!$1:$1016,COLUMN($E$1),FALSE),0),"")</f>
        <v/>
      </c>
      <c r="H382" t="str">
        <f>IFERROR(ROUNDDOWN((VLOOKUP($C382,装備品!$1:$998,COLUMN(F$1),FALSE)+IFERROR(VLOOKUP($CI382,付与!$1:$1167,COLUMN(H$1),FALSE),0))*VLOOKUP($D382,素材!$1:$1016,COLUMN($E$1),FALSE),0),"")</f>
        <v/>
      </c>
      <c r="I382" t="str">
        <f>IFERROR(ROUNDDOWN((VLOOKUP($C382,装備品!$1:$998,COLUMN(G$1),FALSE)+IFERROR(VLOOKUP($CI382,付与!$1:$1167,COLUMN(I$1),FALSE),0))*VLOOKUP($D382,素材!$1:$1016,COLUMN($E$1),FALSE),0),"")</f>
        <v/>
      </c>
      <c r="J382" t="str">
        <f>IFERROR(ROUNDDOWN((VLOOKUP($C382,装備品!$1:$998,COLUMN(H$1),FALSE)+IFERROR(VLOOKUP($CI382,付与!$1:$1167,COLUMN(J$1),FALSE),0))*VLOOKUP($D382,素材!$1:$1016,COLUMN($E$1),FALSE),0),"")</f>
        <v/>
      </c>
      <c r="K382" t="str">
        <f>IFERROR(ROUNDDOWN((VLOOKUP($C382,装備品!$1:$998,COLUMN(I$1),FALSE)+IFERROR(VLOOKUP($CI382,付与!$1:$1167,COLUMN(K$1),FALSE),0))*VLOOKUP($D382,素材!$1:$1016,COLUMN($E$1),FALSE),0),"")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IFERROR(VLOOKUP($C382,装備品!$1:$998,COLUMN(AA$1),FALSE)*VLOOKUP($D382,素材!$1:$1016,COLUMN($G$1),FALSE),"")</f>
        <v/>
      </c>
      <c r="N382" t="str">
        <f>IFERROR(VLOOKUP($C382,装備品!$1:$998,COLUMN(I$1),FALSE),"")</f>
        <v/>
      </c>
      <c r="O382" s="23" t="str">
        <f>IFERROR((VLOOKUP($C382,装備品!$1:$998,COLUMN(K$1),FALSE)+VLOOKUP($D382,素材!$1:$1016,COLUMN(H$1),FALSE))*100+IFERROR(VLOOKUP($CI382,付与!$1:$1167,COLUMN(O$1),FALSE),0),"")</f>
        <v/>
      </c>
      <c r="P382" s="23" t="str">
        <f>IFERROR((VLOOKUP($C382,装備品!$1:$998,COLUMN(L$1),FALSE)+VLOOKUP($D382,素材!$1:$1016,COLUMN(I$1),FALSE))*100+IFERROR(VLOOKUP($CI382,付与!$1:$1167,COLUMN(P$1),FALSE),0),"")</f>
        <v/>
      </c>
      <c r="Q382" t="str">
        <f>IFERROR(ROUNDUP(VLOOKUP($C382,装備品!$1:$998,COLUMN(M$1),FALSE)*(VLOOKUP($D382,素材!$1:$1002,COLUMN(D$1),FALSE)/100),1),"")</f>
        <v/>
      </c>
      <c r="R382" t="str">
        <f>IFERROR(ROUNDUP(VLOOKUP($C382,装備品!$1:$998,COLUMN(N$1),FALSE)*(VLOOKUP($D382,素材!$1:$1002,COLUMN(D$1),FALSE)/100),1),"")</f>
        <v/>
      </c>
      <c r="S382" t="str">
        <f>IFERROR(VLOOKUP($C382,装備品!$1:$998,COLUMN(P$1),FALSE),"")</f>
        <v/>
      </c>
      <c r="T382" t="str">
        <f>IFERROR(VLOOKUP($C382,装備品!$1:$998,COLUMN(Q$1),FALSE),"")</f>
        <v/>
      </c>
      <c r="U382" t="str">
        <f>IFERROR(VLOOKUP($C382,装備品!$1:$998,COLUMN(R$1),FALSE),"")</f>
        <v/>
      </c>
      <c r="V382" t="str">
        <f>IFERROR(VLOOKUP($C382,装備品!$1:$998,COLUMN(Q$1),FALSE),"")</f>
        <v/>
      </c>
      <c r="W382" t="str">
        <f>IFERROR(VLOOKUP($C382,装備品!$1:$998,COLUMN(T$1),FALSE),"")</f>
        <v/>
      </c>
      <c r="Y382" t="str">
        <f>IFERROR(VLOOKUP($C382,装備品!$1:$998,COLUMN(U$1),FALSE),"")</f>
        <v/>
      </c>
      <c r="Z382" t="str">
        <f>IFERROR(ROUNDUP(VLOOKUP($C382,装備品!$1:$998,COLUMN(O$1),FALSE)*VLOOKUP($D382,素材!$1:$1016,COLUMN(E$1),FALSE),1),"")</f>
        <v/>
      </c>
      <c r="AA382">
        <f>IF(ISNUMBER(SEARCH(SUBSTITUTE(AA$1,RIGHT(AA$1,2),""),VLOOKUP($D382,素材!$1:$1016,COLUMN($F$1),FALSE))),VLOOKUP($C382,装備品!$1:$998,COLUMN($O$1),FALSE)*VLOOKUP($D382,素材!$1:$1016,COLUMN($E$1),FALSE)/(LEN(VLOOKUP($D382,素材!$1:$1016,COLUMN($F$1),FALSE))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IFERROR(VLOOKUP($C382,装備品!$1:$998,COLUMN(V$1),FALSE)*VLOOKUP($D382,素材!$1:$1016,COLUMN(N$1),FALSE)+IF(CI382="",0,VLOOKUP($CI382,付与!$1:$1176,COLUMN($CK$1),FALSE)),"")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IFERROR(VLOOKUP($D383,素材!$1:$1016,COLUMN($B$1),FALSE)&amp;"・"&amp;VLOOKUP($C383,装備品!$1:$998,COLUMN(B$1),FALSE),"")</f>
        <v/>
      </c>
      <c r="D383" s="24"/>
      <c r="E383" t="str">
        <f>IFERROR(VLOOKUP(C383,装備品!$1:$998,COLUMN(C$1),FALSE),"")</f>
        <v/>
      </c>
      <c r="F383" t="str">
        <f>IFERROR(ROUNDDOWN((VLOOKUP($C383,装備品!$1:$998,COLUMN(D$1),FALSE)+IFERROR(VLOOKUP($CI383,付与!$1:$1167,COLUMN(F$1),FALSE),0))*VLOOKUP($D383,素材!$1:$1016,COLUMN(D$1),FALSE),0),"")</f>
        <v/>
      </c>
      <c r="G383" t="str">
        <f>IFERROR(ROUNDDOWN((VLOOKUP($C383,装備品!$1:$998,COLUMN(E$1),FALSE)+IFERROR(VLOOKUP($CI383,付与!$1:$1167,COLUMN(G$1),FALSE),0))*VLOOKUP($D383,素材!$1:$1016,COLUMN($E$1),FALSE),0),"")</f>
        <v/>
      </c>
      <c r="H383" t="str">
        <f>IFERROR(ROUNDDOWN((VLOOKUP($C383,装備品!$1:$998,COLUMN(F$1),FALSE)+IFERROR(VLOOKUP($CI383,付与!$1:$1167,COLUMN(H$1),FALSE),0))*VLOOKUP($D383,素材!$1:$1016,COLUMN($E$1),FALSE),0),"")</f>
        <v/>
      </c>
      <c r="I383" t="str">
        <f>IFERROR(ROUNDDOWN((VLOOKUP($C383,装備品!$1:$998,COLUMN(G$1),FALSE)+IFERROR(VLOOKUP($CI383,付与!$1:$1167,COLUMN(I$1),FALSE),0))*VLOOKUP($D383,素材!$1:$1016,COLUMN($E$1),FALSE),0),"")</f>
        <v/>
      </c>
      <c r="J383" t="str">
        <f>IFERROR(ROUNDDOWN((VLOOKUP($C383,装備品!$1:$998,COLUMN(H$1),FALSE)+IFERROR(VLOOKUP($CI383,付与!$1:$1167,COLUMN(J$1),FALSE),0))*VLOOKUP($D383,素材!$1:$1016,COLUMN($E$1),FALSE),0),"")</f>
        <v/>
      </c>
      <c r="K383" t="str">
        <f>IFERROR(ROUNDDOWN((VLOOKUP($C383,装備品!$1:$998,COLUMN(I$1),FALSE)+IFERROR(VLOOKUP($CI383,付与!$1:$1167,COLUMN(K$1),FALSE),0))*VLOOKUP($D383,素材!$1:$1016,COLUMN($E$1),FALSE),0),"")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IFERROR(VLOOKUP($C383,装備品!$1:$998,COLUMN(AA$1),FALSE)*VLOOKUP($D383,素材!$1:$1016,COLUMN($G$1),FALSE),"")</f>
        <v/>
      </c>
      <c r="N383" t="str">
        <f>IFERROR(VLOOKUP($C383,装備品!$1:$998,COLUMN(I$1),FALSE),"")</f>
        <v/>
      </c>
      <c r="O383" s="23" t="str">
        <f>IFERROR((VLOOKUP($C383,装備品!$1:$998,COLUMN(K$1),FALSE)+VLOOKUP($D383,素材!$1:$1016,COLUMN(H$1),FALSE))*100+IFERROR(VLOOKUP($CI383,付与!$1:$1167,COLUMN(O$1),FALSE),0),"")</f>
        <v/>
      </c>
      <c r="P383" s="23" t="str">
        <f>IFERROR((VLOOKUP($C383,装備品!$1:$998,COLUMN(L$1),FALSE)+VLOOKUP($D383,素材!$1:$1016,COLUMN(I$1),FALSE))*100+IFERROR(VLOOKUP($CI383,付与!$1:$1167,COLUMN(P$1),FALSE),0),"")</f>
        <v/>
      </c>
      <c r="Q383" t="str">
        <f>IFERROR(ROUNDUP(VLOOKUP($C383,装備品!$1:$998,COLUMN(M$1),FALSE)*(VLOOKUP($D383,素材!$1:$1002,COLUMN(D$1),FALSE)/100),1),"")</f>
        <v/>
      </c>
      <c r="R383" t="str">
        <f>IFERROR(ROUNDUP(VLOOKUP($C383,装備品!$1:$998,COLUMN(N$1),FALSE)*(VLOOKUP($D383,素材!$1:$1002,COLUMN(D$1),FALSE)/100),1),"")</f>
        <v/>
      </c>
      <c r="S383" t="str">
        <f>IFERROR(VLOOKUP($C383,装備品!$1:$998,COLUMN(P$1),FALSE),"")</f>
        <v/>
      </c>
      <c r="T383" t="str">
        <f>IFERROR(VLOOKUP($C383,装備品!$1:$998,COLUMN(Q$1),FALSE),"")</f>
        <v/>
      </c>
      <c r="U383" t="str">
        <f>IFERROR(VLOOKUP($C383,装備品!$1:$998,COLUMN(R$1),FALSE),"")</f>
        <v/>
      </c>
      <c r="V383" t="str">
        <f>IFERROR(VLOOKUP($C383,装備品!$1:$998,COLUMN(Q$1),FALSE),"")</f>
        <v/>
      </c>
      <c r="W383" t="str">
        <f>IFERROR(VLOOKUP($C383,装備品!$1:$998,COLUMN(T$1),FALSE),"")</f>
        <v/>
      </c>
      <c r="Y383" t="str">
        <f>IFERROR(VLOOKUP($C383,装備品!$1:$998,COLUMN(U$1),FALSE),"")</f>
        <v/>
      </c>
      <c r="Z383" t="str">
        <f>IFERROR(ROUNDUP(VLOOKUP($C383,装備品!$1:$998,COLUMN(O$1),FALSE)*VLOOKUP($D383,素材!$1:$1016,COLUMN(E$1),FALSE),1),"")</f>
        <v/>
      </c>
      <c r="AA383">
        <f>IF(ISNUMBER(SEARCH(SUBSTITUTE(AA$1,RIGHT(AA$1,2),""),VLOOKUP($D383,素材!$1:$1016,COLUMN($F$1),FALSE))),VLOOKUP($C383,装備品!$1:$998,COLUMN($O$1),FALSE)*VLOOKUP($D383,素材!$1:$1016,COLUMN($E$1),FALSE)/(LEN(VLOOKUP($D383,素材!$1:$1016,COLUMN($F$1),FALSE))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IFERROR(VLOOKUP($C383,装備品!$1:$998,COLUMN(V$1),FALSE)*VLOOKUP($D383,素材!$1:$1016,COLUMN(N$1),FALSE)+IF(CI383="",0,VLOOKUP($CI383,付与!$1:$1176,COLUMN($CK$1),FALSE)),"")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IFERROR(VLOOKUP($D384,素材!$1:$1016,COLUMN($B$1),FALSE)&amp;"・"&amp;VLOOKUP($C384,装備品!$1:$998,COLUMN(B$1),FALSE),"")</f>
        <v/>
      </c>
      <c r="D384" s="24"/>
      <c r="E384" t="str">
        <f>IFERROR(VLOOKUP(C384,装備品!$1:$998,COLUMN(C$1),FALSE),"")</f>
        <v/>
      </c>
      <c r="F384" t="str">
        <f>IFERROR(ROUNDDOWN((VLOOKUP($C384,装備品!$1:$998,COLUMN(D$1),FALSE)+IFERROR(VLOOKUP($CI384,付与!$1:$1167,COLUMN(F$1),FALSE),0))*VLOOKUP($D384,素材!$1:$1016,COLUMN(D$1),FALSE),0),"")</f>
        <v/>
      </c>
      <c r="G384" t="str">
        <f>IFERROR(ROUNDDOWN((VLOOKUP($C384,装備品!$1:$998,COLUMN(E$1),FALSE)+IFERROR(VLOOKUP($CI384,付与!$1:$1167,COLUMN(G$1),FALSE),0))*VLOOKUP($D384,素材!$1:$1016,COLUMN($E$1),FALSE),0),"")</f>
        <v/>
      </c>
      <c r="H384" t="str">
        <f>IFERROR(ROUNDDOWN((VLOOKUP($C384,装備品!$1:$998,COLUMN(F$1),FALSE)+IFERROR(VLOOKUP($CI384,付与!$1:$1167,COLUMN(H$1),FALSE),0))*VLOOKUP($D384,素材!$1:$1016,COLUMN($E$1),FALSE),0),"")</f>
        <v/>
      </c>
      <c r="I384" t="str">
        <f>IFERROR(ROUNDDOWN((VLOOKUP($C384,装備品!$1:$998,COLUMN(G$1),FALSE)+IFERROR(VLOOKUP($CI384,付与!$1:$1167,COLUMN(I$1),FALSE),0))*VLOOKUP($D384,素材!$1:$1016,COLUMN($E$1),FALSE),0),"")</f>
        <v/>
      </c>
      <c r="J384" t="str">
        <f>IFERROR(ROUNDDOWN((VLOOKUP($C384,装備品!$1:$998,COLUMN(H$1),FALSE)+IFERROR(VLOOKUP($CI384,付与!$1:$1167,COLUMN(J$1),FALSE),0))*VLOOKUP($D384,素材!$1:$1016,COLUMN($E$1),FALSE),0),"")</f>
        <v/>
      </c>
      <c r="K384" t="str">
        <f>IFERROR(ROUNDDOWN((VLOOKUP($C384,装備品!$1:$998,COLUMN(I$1),FALSE)+IFERROR(VLOOKUP($CI384,付与!$1:$1167,COLUMN(K$1),FALSE),0))*VLOOKUP($D384,素材!$1:$1016,COLUMN($E$1),FALSE),0),"")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IFERROR(VLOOKUP($C384,装備品!$1:$998,COLUMN(AA$1),FALSE)*VLOOKUP($D384,素材!$1:$1016,COLUMN($G$1),FALSE),"")</f>
        <v/>
      </c>
      <c r="N384" t="str">
        <f>IFERROR(VLOOKUP($C384,装備品!$1:$998,COLUMN(I$1),FALSE),"")</f>
        <v/>
      </c>
      <c r="O384" s="23" t="str">
        <f>IFERROR((VLOOKUP($C384,装備品!$1:$998,COLUMN(K$1),FALSE)+VLOOKUP($D384,素材!$1:$1016,COLUMN(H$1),FALSE))*100+IFERROR(VLOOKUP($CI384,付与!$1:$1167,COLUMN(O$1),FALSE),0),"")</f>
        <v/>
      </c>
      <c r="P384" s="23" t="str">
        <f>IFERROR((VLOOKUP($C384,装備品!$1:$998,COLUMN(L$1),FALSE)+VLOOKUP($D384,素材!$1:$1016,COLUMN(I$1),FALSE))*100+IFERROR(VLOOKUP($CI384,付与!$1:$1167,COLUMN(P$1),FALSE),0),"")</f>
        <v/>
      </c>
      <c r="Q384" t="str">
        <f>IFERROR(ROUNDUP(VLOOKUP($C384,装備品!$1:$998,COLUMN(M$1),FALSE)*(VLOOKUP($D384,素材!$1:$1002,COLUMN(D$1),FALSE)/100),1),"")</f>
        <v/>
      </c>
      <c r="R384" t="str">
        <f>IFERROR(ROUNDUP(VLOOKUP($C384,装備品!$1:$998,COLUMN(N$1),FALSE)*(VLOOKUP($D384,素材!$1:$1002,COLUMN(D$1),FALSE)/100),1),"")</f>
        <v/>
      </c>
      <c r="S384" t="str">
        <f>IFERROR(VLOOKUP($C384,装備品!$1:$998,COLUMN(P$1),FALSE),"")</f>
        <v/>
      </c>
      <c r="T384" t="str">
        <f>IFERROR(VLOOKUP($C384,装備品!$1:$998,COLUMN(Q$1),FALSE),"")</f>
        <v/>
      </c>
      <c r="U384" t="str">
        <f>IFERROR(VLOOKUP($C384,装備品!$1:$998,COLUMN(R$1),FALSE),"")</f>
        <v/>
      </c>
      <c r="V384" t="str">
        <f>IFERROR(VLOOKUP($C384,装備品!$1:$998,COLUMN(Q$1),FALSE),"")</f>
        <v/>
      </c>
      <c r="W384" t="str">
        <f>IFERROR(VLOOKUP($C384,装備品!$1:$998,COLUMN(T$1),FALSE),"")</f>
        <v/>
      </c>
      <c r="Y384" t="str">
        <f>IFERROR(VLOOKUP($C384,装備品!$1:$998,COLUMN(U$1),FALSE),"")</f>
        <v/>
      </c>
      <c r="Z384" t="str">
        <f>IFERROR(ROUNDUP(VLOOKUP($C384,装備品!$1:$998,COLUMN(O$1),FALSE)*VLOOKUP($D384,素材!$1:$1016,COLUMN(E$1),FALSE),1),"")</f>
        <v/>
      </c>
      <c r="AA384">
        <f>IF(ISNUMBER(SEARCH(SUBSTITUTE(AA$1,RIGHT(AA$1,2),""),VLOOKUP($D384,素材!$1:$1016,COLUMN($F$1),FALSE))),VLOOKUP($C384,装備品!$1:$998,COLUMN($O$1),FALSE)*VLOOKUP($D384,素材!$1:$1016,COLUMN($E$1),FALSE)/(LEN(VLOOKUP($D384,素材!$1:$1016,COLUMN($F$1),FALSE))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IFERROR(VLOOKUP($C384,装備品!$1:$998,COLUMN(V$1),FALSE)*VLOOKUP($D384,素材!$1:$1016,COLUMN(N$1),FALSE)+IF(CI384="",0,VLOOKUP($CI384,付与!$1:$1176,COLUMN($CK$1),FALSE)),"")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IFERROR(VLOOKUP($D385,素材!$1:$1016,COLUMN($B$1),FALSE)&amp;"・"&amp;VLOOKUP($C385,装備品!$1:$998,COLUMN(B$1),FALSE),"")</f>
        <v/>
      </c>
      <c r="D385" s="24"/>
      <c r="E385" t="str">
        <f>IFERROR(VLOOKUP(C385,装備品!$1:$998,COLUMN(C$1),FALSE),"")</f>
        <v/>
      </c>
      <c r="F385" t="str">
        <f>IFERROR(ROUNDDOWN((VLOOKUP($C385,装備品!$1:$998,COLUMN(D$1),FALSE)+IFERROR(VLOOKUP($CI385,付与!$1:$1167,COLUMN(F$1),FALSE),0))*VLOOKUP($D385,素材!$1:$1016,COLUMN(D$1),FALSE),0),"")</f>
        <v/>
      </c>
      <c r="G385" t="str">
        <f>IFERROR(ROUNDDOWN((VLOOKUP($C385,装備品!$1:$998,COLUMN(E$1),FALSE)+IFERROR(VLOOKUP($CI385,付与!$1:$1167,COLUMN(G$1),FALSE),0))*VLOOKUP($D385,素材!$1:$1016,COLUMN($E$1),FALSE),0),"")</f>
        <v/>
      </c>
      <c r="H385" t="str">
        <f>IFERROR(ROUNDDOWN((VLOOKUP($C385,装備品!$1:$998,COLUMN(F$1),FALSE)+IFERROR(VLOOKUP($CI385,付与!$1:$1167,COLUMN(H$1),FALSE),0))*VLOOKUP($D385,素材!$1:$1016,COLUMN($E$1),FALSE),0),"")</f>
        <v/>
      </c>
      <c r="I385" t="str">
        <f>IFERROR(ROUNDDOWN((VLOOKUP($C385,装備品!$1:$998,COLUMN(G$1),FALSE)+IFERROR(VLOOKUP($CI385,付与!$1:$1167,COLUMN(I$1),FALSE),0))*VLOOKUP($D385,素材!$1:$1016,COLUMN($E$1),FALSE),0),"")</f>
        <v/>
      </c>
      <c r="J385" t="str">
        <f>IFERROR(ROUNDDOWN((VLOOKUP($C385,装備品!$1:$998,COLUMN(H$1),FALSE)+IFERROR(VLOOKUP($CI385,付与!$1:$1167,COLUMN(J$1),FALSE),0))*VLOOKUP($D385,素材!$1:$1016,COLUMN($E$1),FALSE),0),"")</f>
        <v/>
      </c>
      <c r="K385" t="str">
        <f>IFERROR(ROUNDDOWN((VLOOKUP($C385,装備品!$1:$998,COLUMN(I$1),FALSE)+IFERROR(VLOOKUP($CI385,付与!$1:$1167,COLUMN(K$1),FALSE),0))*VLOOKUP($D385,素材!$1:$1016,COLUMN($E$1),FALSE),0),"")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IFERROR(VLOOKUP($C385,装備品!$1:$998,COLUMN(AA$1),FALSE)*VLOOKUP($D385,素材!$1:$1016,COLUMN($G$1),FALSE),"")</f>
        <v/>
      </c>
      <c r="N385" t="str">
        <f>IFERROR(VLOOKUP($C385,装備品!$1:$998,COLUMN(I$1),FALSE),"")</f>
        <v/>
      </c>
      <c r="O385" s="23" t="str">
        <f>IFERROR((VLOOKUP($C385,装備品!$1:$998,COLUMN(K$1),FALSE)+VLOOKUP($D385,素材!$1:$1016,COLUMN(H$1),FALSE))*100+IFERROR(VLOOKUP($CI385,付与!$1:$1167,COLUMN(O$1),FALSE),0),"")</f>
        <v/>
      </c>
      <c r="P385" s="23" t="str">
        <f>IFERROR((VLOOKUP($C385,装備品!$1:$998,COLUMN(L$1),FALSE)+VLOOKUP($D385,素材!$1:$1016,COLUMN(I$1),FALSE))*100+IFERROR(VLOOKUP($CI385,付与!$1:$1167,COLUMN(P$1),FALSE),0),"")</f>
        <v/>
      </c>
      <c r="Q385" t="str">
        <f>IFERROR(ROUNDUP(VLOOKUP($C385,装備品!$1:$998,COLUMN(M$1),FALSE)*(VLOOKUP($D385,素材!$1:$1002,COLUMN(D$1),FALSE)/100),1),"")</f>
        <v/>
      </c>
      <c r="R385" t="str">
        <f>IFERROR(ROUNDUP(VLOOKUP($C385,装備品!$1:$998,COLUMN(N$1),FALSE)*(VLOOKUP($D385,素材!$1:$1002,COLUMN(D$1),FALSE)/100),1),"")</f>
        <v/>
      </c>
      <c r="S385" t="str">
        <f>IFERROR(VLOOKUP($C385,装備品!$1:$998,COLUMN(P$1),FALSE),"")</f>
        <v/>
      </c>
      <c r="T385" t="str">
        <f>IFERROR(VLOOKUP($C385,装備品!$1:$998,COLUMN(Q$1),FALSE),"")</f>
        <v/>
      </c>
      <c r="U385" t="str">
        <f>IFERROR(VLOOKUP($C385,装備品!$1:$998,COLUMN(R$1),FALSE),"")</f>
        <v/>
      </c>
      <c r="V385" t="str">
        <f>IFERROR(VLOOKUP($C385,装備品!$1:$998,COLUMN(Q$1),FALSE),"")</f>
        <v/>
      </c>
      <c r="W385" t="str">
        <f>IFERROR(VLOOKUP($C385,装備品!$1:$998,COLUMN(T$1),FALSE),"")</f>
        <v/>
      </c>
      <c r="Y385" t="str">
        <f>IFERROR(VLOOKUP($C385,装備品!$1:$998,COLUMN(U$1),FALSE),"")</f>
        <v/>
      </c>
      <c r="Z385" t="str">
        <f>IFERROR(ROUNDUP(VLOOKUP($C385,装備品!$1:$998,COLUMN(O$1),FALSE)*VLOOKUP($D385,素材!$1:$1016,COLUMN(E$1),FALSE),1),"")</f>
        <v/>
      </c>
      <c r="AA385">
        <f>IF(ISNUMBER(SEARCH(SUBSTITUTE(AA$1,RIGHT(AA$1,2),""),VLOOKUP($D385,素材!$1:$1016,COLUMN($F$1),FALSE))),VLOOKUP($C385,装備品!$1:$998,COLUMN($O$1),FALSE)*VLOOKUP($D385,素材!$1:$1016,COLUMN($E$1),FALSE)/(LEN(VLOOKUP($D385,素材!$1:$1016,COLUMN($F$1),FALSE))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IFERROR(VLOOKUP($C385,装備品!$1:$998,COLUMN(V$1),FALSE)*VLOOKUP($D385,素材!$1:$1016,COLUMN(N$1),FALSE)+IF(CI385="",0,VLOOKUP($CI385,付与!$1:$1176,COLUMN($CK$1),FALSE)),"")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IFERROR(VLOOKUP($D386,素材!$1:$1016,COLUMN($B$1),FALSE)&amp;"・"&amp;VLOOKUP($C386,装備品!$1:$998,COLUMN(B$1),FALSE),"")</f>
        <v/>
      </c>
      <c r="D386" s="24"/>
      <c r="E386" t="str">
        <f>IFERROR(VLOOKUP(C386,装備品!$1:$998,COLUMN(C$1),FALSE),"")</f>
        <v/>
      </c>
      <c r="F386" t="str">
        <f>IFERROR(ROUNDDOWN((VLOOKUP($C386,装備品!$1:$998,COLUMN(D$1),FALSE)+IFERROR(VLOOKUP($CI386,付与!$1:$1167,COLUMN(F$1),FALSE),0))*VLOOKUP($D386,素材!$1:$1016,COLUMN(D$1),FALSE),0),"")</f>
        <v/>
      </c>
      <c r="G386" t="str">
        <f>IFERROR(ROUNDDOWN((VLOOKUP($C386,装備品!$1:$998,COLUMN(E$1),FALSE)+IFERROR(VLOOKUP($CI386,付与!$1:$1167,COLUMN(G$1),FALSE),0))*VLOOKUP($D386,素材!$1:$1016,COLUMN($E$1),FALSE),0),"")</f>
        <v/>
      </c>
      <c r="H386" t="str">
        <f>IFERROR(ROUNDDOWN((VLOOKUP($C386,装備品!$1:$998,COLUMN(F$1),FALSE)+IFERROR(VLOOKUP($CI386,付与!$1:$1167,COLUMN(H$1),FALSE),0))*VLOOKUP($D386,素材!$1:$1016,COLUMN($E$1),FALSE),0),"")</f>
        <v/>
      </c>
      <c r="I386" t="str">
        <f>IFERROR(ROUNDDOWN((VLOOKUP($C386,装備品!$1:$998,COLUMN(G$1),FALSE)+IFERROR(VLOOKUP($CI386,付与!$1:$1167,COLUMN(I$1),FALSE),0))*VLOOKUP($D386,素材!$1:$1016,COLUMN($E$1),FALSE),0),"")</f>
        <v/>
      </c>
      <c r="J386" t="str">
        <f>IFERROR(ROUNDDOWN((VLOOKUP($C386,装備品!$1:$998,COLUMN(H$1),FALSE)+IFERROR(VLOOKUP($CI386,付与!$1:$1167,COLUMN(J$1),FALSE),0))*VLOOKUP($D386,素材!$1:$1016,COLUMN($E$1),FALSE),0),"")</f>
        <v/>
      </c>
      <c r="K386" t="str">
        <f>IFERROR(ROUNDDOWN((VLOOKUP($C386,装備品!$1:$998,COLUMN(I$1),FALSE)+IFERROR(VLOOKUP($CI386,付与!$1:$1167,COLUMN(K$1),FALSE),0))*VLOOKUP($D386,素材!$1:$1016,COLUMN($E$1),FALSE),0),"")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IFERROR(VLOOKUP($C386,装備品!$1:$998,COLUMN(AA$1),FALSE)*VLOOKUP($D386,素材!$1:$1016,COLUMN($G$1),FALSE),"")</f>
        <v/>
      </c>
      <c r="N386" t="str">
        <f>IFERROR(VLOOKUP($C386,装備品!$1:$998,COLUMN(I$1),FALSE),"")</f>
        <v/>
      </c>
      <c r="O386" s="23" t="str">
        <f>IFERROR((VLOOKUP($C386,装備品!$1:$998,COLUMN(K$1),FALSE)+VLOOKUP($D386,素材!$1:$1016,COLUMN(H$1),FALSE))*100+IFERROR(VLOOKUP($CI386,付与!$1:$1167,COLUMN(O$1),FALSE),0),"")</f>
        <v/>
      </c>
      <c r="P386" s="23" t="str">
        <f>IFERROR((VLOOKUP($C386,装備品!$1:$998,COLUMN(L$1),FALSE)+VLOOKUP($D386,素材!$1:$1016,COLUMN(I$1),FALSE))*100+IFERROR(VLOOKUP($CI386,付与!$1:$1167,COLUMN(P$1),FALSE),0),"")</f>
        <v/>
      </c>
      <c r="Q386" t="str">
        <f>IFERROR(ROUNDUP(VLOOKUP($C386,装備品!$1:$998,COLUMN(M$1),FALSE)*(VLOOKUP($D386,素材!$1:$1002,COLUMN(D$1),FALSE)/100),1),"")</f>
        <v/>
      </c>
      <c r="R386" t="str">
        <f>IFERROR(ROUNDUP(VLOOKUP($C386,装備品!$1:$998,COLUMN(N$1),FALSE)*(VLOOKUP($D386,素材!$1:$1002,COLUMN(D$1),FALSE)/100),1),"")</f>
        <v/>
      </c>
      <c r="S386" t="str">
        <f>IFERROR(VLOOKUP($C386,装備品!$1:$998,COLUMN(P$1),FALSE),"")</f>
        <v/>
      </c>
      <c r="T386" t="str">
        <f>IFERROR(VLOOKUP($C386,装備品!$1:$998,COLUMN(Q$1),FALSE),"")</f>
        <v/>
      </c>
      <c r="U386" t="str">
        <f>IFERROR(VLOOKUP($C386,装備品!$1:$998,COLUMN(R$1),FALSE),"")</f>
        <v/>
      </c>
      <c r="V386" t="str">
        <f>IFERROR(VLOOKUP($C386,装備品!$1:$998,COLUMN(Q$1),FALSE),"")</f>
        <v/>
      </c>
      <c r="W386" t="str">
        <f>IFERROR(VLOOKUP($C386,装備品!$1:$998,COLUMN(T$1),FALSE),"")</f>
        <v/>
      </c>
      <c r="Y386" t="str">
        <f>IFERROR(VLOOKUP($C386,装備品!$1:$998,COLUMN(U$1),FALSE),"")</f>
        <v/>
      </c>
      <c r="Z386" t="str">
        <f>IFERROR(ROUNDUP(VLOOKUP($C386,装備品!$1:$998,COLUMN(O$1),FALSE)*VLOOKUP($D386,素材!$1:$1016,COLUMN(E$1),FALSE),1),"")</f>
        <v/>
      </c>
      <c r="AA386">
        <f>IF(ISNUMBER(SEARCH(SUBSTITUTE(AA$1,RIGHT(AA$1,2),""),VLOOKUP($D386,素材!$1:$1016,COLUMN($F$1),FALSE))),VLOOKUP($C386,装備品!$1:$998,COLUMN($O$1),FALSE)*VLOOKUP($D386,素材!$1:$1016,COLUMN($E$1),FALSE)/(LEN(VLOOKUP($D386,素材!$1:$1016,COLUMN($F$1),FALSE))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IFERROR(VLOOKUP($C386,装備品!$1:$998,COLUMN(V$1),FALSE)*VLOOKUP($D386,素材!$1:$1016,COLUMN(N$1),FALSE)+IF(CI386="",0,VLOOKUP($CI386,付与!$1:$1176,COLUMN($CK$1),FALSE)),"")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IFERROR(VLOOKUP($D387,素材!$1:$1016,COLUMN($B$1),FALSE)&amp;"・"&amp;VLOOKUP($C387,装備品!$1:$998,COLUMN(B$1),FALSE),"")</f>
        <v/>
      </c>
      <c r="D387" s="24"/>
      <c r="E387" t="str">
        <f>IFERROR(VLOOKUP(C387,装備品!$1:$998,COLUMN(C$1),FALSE),"")</f>
        <v/>
      </c>
      <c r="F387" t="str">
        <f>IFERROR(ROUNDDOWN((VLOOKUP($C387,装備品!$1:$998,COLUMN(D$1),FALSE)+IFERROR(VLOOKUP($CI387,付与!$1:$1167,COLUMN(F$1),FALSE),0))*VLOOKUP($D387,素材!$1:$1016,COLUMN(D$1),FALSE),0),"")</f>
        <v/>
      </c>
      <c r="G387" t="str">
        <f>IFERROR(ROUNDDOWN((VLOOKUP($C387,装備品!$1:$998,COLUMN(E$1),FALSE)+IFERROR(VLOOKUP($CI387,付与!$1:$1167,COLUMN(G$1),FALSE),0))*VLOOKUP($D387,素材!$1:$1016,COLUMN($E$1),FALSE),0),"")</f>
        <v/>
      </c>
      <c r="H387" t="str">
        <f>IFERROR(ROUNDDOWN((VLOOKUP($C387,装備品!$1:$998,COLUMN(F$1),FALSE)+IFERROR(VLOOKUP($CI387,付与!$1:$1167,COLUMN(H$1),FALSE),0))*VLOOKUP($D387,素材!$1:$1016,COLUMN($E$1),FALSE),0),"")</f>
        <v/>
      </c>
      <c r="I387" t="str">
        <f>IFERROR(ROUNDDOWN((VLOOKUP($C387,装備品!$1:$998,COLUMN(G$1),FALSE)+IFERROR(VLOOKUP($CI387,付与!$1:$1167,COLUMN(I$1),FALSE),0))*VLOOKUP($D387,素材!$1:$1016,COLUMN($E$1),FALSE),0),"")</f>
        <v/>
      </c>
      <c r="J387" t="str">
        <f>IFERROR(ROUNDDOWN((VLOOKUP($C387,装備品!$1:$998,COLUMN(H$1),FALSE)+IFERROR(VLOOKUP($CI387,付与!$1:$1167,COLUMN(J$1),FALSE),0))*VLOOKUP($D387,素材!$1:$1016,COLUMN($E$1),FALSE),0),"")</f>
        <v/>
      </c>
      <c r="K387" t="str">
        <f>IFERROR(ROUNDDOWN((VLOOKUP($C387,装備品!$1:$998,COLUMN(I$1),FALSE)+IFERROR(VLOOKUP($CI387,付与!$1:$1167,COLUMN(K$1),FALSE),0))*VLOOKUP($D387,素材!$1:$1016,COLUMN($E$1),FALSE),0),"")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IFERROR(VLOOKUP($C387,装備品!$1:$998,COLUMN(AA$1),FALSE)*VLOOKUP($D387,素材!$1:$1016,COLUMN($G$1),FALSE),"")</f>
        <v/>
      </c>
      <c r="N387" t="str">
        <f>IFERROR(VLOOKUP($C387,装備品!$1:$998,COLUMN(I$1),FALSE),"")</f>
        <v/>
      </c>
      <c r="O387" s="23" t="str">
        <f>IFERROR((VLOOKUP($C387,装備品!$1:$998,COLUMN(K$1),FALSE)+VLOOKUP($D387,素材!$1:$1016,COLUMN(H$1),FALSE))*100+IFERROR(VLOOKUP($CI387,付与!$1:$1167,COLUMN(O$1),FALSE),0),"")</f>
        <v/>
      </c>
      <c r="P387" s="23" t="str">
        <f>IFERROR((VLOOKUP($C387,装備品!$1:$998,COLUMN(L$1),FALSE)+VLOOKUP($D387,素材!$1:$1016,COLUMN(I$1),FALSE))*100+IFERROR(VLOOKUP($CI387,付与!$1:$1167,COLUMN(P$1),FALSE),0),"")</f>
        <v/>
      </c>
      <c r="Q387" t="str">
        <f>IFERROR(ROUNDUP(VLOOKUP($C387,装備品!$1:$998,COLUMN(M$1),FALSE)*(VLOOKUP($D387,素材!$1:$1002,COLUMN(D$1),FALSE)/100),1),"")</f>
        <v/>
      </c>
      <c r="R387" t="str">
        <f>IFERROR(ROUNDUP(VLOOKUP($C387,装備品!$1:$998,COLUMN(N$1),FALSE)*(VLOOKUP($D387,素材!$1:$1002,COLUMN(D$1),FALSE)/100),1),"")</f>
        <v/>
      </c>
      <c r="S387" t="str">
        <f>IFERROR(VLOOKUP($C387,装備品!$1:$998,COLUMN(P$1),FALSE),"")</f>
        <v/>
      </c>
      <c r="T387" t="str">
        <f>IFERROR(VLOOKUP($C387,装備品!$1:$998,COLUMN(Q$1),FALSE),"")</f>
        <v/>
      </c>
      <c r="U387" t="str">
        <f>IFERROR(VLOOKUP($C387,装備品!$1:$998,COLUMN(R$1),FALSE),"")</f>
        <v/>
      </c>
      <c r="V387" t="str">
        <f>IFERROR(VLOOKUP($C387,装備品!$1:$998,COLUMN(Q$1),FALSE),"")</f>
        <v/>
      </c>
      <c r="W387" t="str">
        <f>IFERROR(VLOOKUP($C387,装備品!$1:$998,COLUMN(T$1),FALSE),"")</f>
        <v/>
      </c>
      <c r="Y387" t="str">
        <f>IFERROR(VLOOKUP($C387,装備品!$1:$998,COLUMN(U$1),FALSE),"")</f>
        <v/>
      </c>
      <c r="Z387" t="str">
        <f>IFERROR(ROUNDUP(VLOOKUP($C387,装備品!$1:$998,COLUMN(O$1),FALSE)*VLOOKUP($D387,素材!$1:$1016,COLUMN(E$1),FALSE),1),"")</f>
        <v/>
      </c>
      <c r="AA387">
        <f>IF(ISNUMBER(SEARCH(SUBSTITUTE(AA$1,RIGHT(AA$1,2),""),VLOOKUP($D387,素材!$1:$1016,COLUMN($F$1),FALSE))),VLOOKUP($C387,装備品!$1:$998,COLUMN($O$1),FALSE)*VLOOKUP($D387,素材!$1:$1016,COLUMN($E$1),FALSE)/(LEN(VLOOKUP($D387,素材!$1:$1016,COLUMN($F$1),FALSE))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IFERROR(VLOOKUP($C387,装備品!$1:$998,COLUMN(V$1),FALSE)*VLOOKUP($D387,素材!$1:$1016,COLUMN(N$1),FALSE)+IF(CI387="",0,VLOOKUP($CI387,付与!$1:$1176,COLUMN($CK$1),FALSE)),"")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IFERROR(VLOOKUP($D388,素材!$1:$1016,COLUMN($B$1),FALSE)&amp;"・"&amp;VLOOKUP($C388,装備品!$1:$998,COLUMN(B$1),FALSE),"")</f>
        <v/>
      </c>
      <c r="D388" s="24"/>
      <c r="E388" t="str">
        <f>IFERROR(VLOOKUP(C388,装備品!$1:$998,COLUMN(C$1),FALSE),"")</f>
        <v/>
      </c>
      <c r="F388" t="str">
        <f>IFERROR(ROUNDDOWN((VLOOKUP($C388,装備品!$1:$998,COLUMN(D$1),FALSE)+IFERROR(VLOOKUP($CI388,付与!$1:$1167,COLUMN(F$1),FALSE),0))*VLOOKUP($D388,素材!$1:$1016,COLUMN(D$1),FALSE),0),"")</f>
        <v/>
      </c>
      <c r="G388" t="str">
        <f>IFERROR(ROUNDDOWN((VLOOKUP($C388,装備品!$1:$998,COLUMN(E$1),FALSE)+IFERROR(VLOOKUP($CI388,付与!$1:$1167,COLUMN(G$1),FALSE),0))*VLOOKUP($D388,素材!$1:$1016,COLUMN($E$1),FALSE),0),"")</f>
        <v/>
      </c>
      <c r="H388" t="str">
        <f>IFERROR(ROUNDDOWN((VLOOKUP($C388,装備品!$1:$998,COLUMN(F$1),FALSE)+IFERROR(VLOOKUP($CI388,付与!$1:$1167,COLUMN(H$1),FALSE),0))*VLOOKUP($D388,素材!$1:$1016,COLUMN($E$1),FALSE),0),"")</f>
        <v/>
      </c>
      <c r="I388" t="str">
        <f>IFERROR(ROUNDDOWN((VLOOKUP($C388,装備品!$1:$998,COLUMN(G$1),FALSE)+IFERROR(VLOOKUP($CI388,付与!$1:$1167,COLUMN(I$1),FALSE),0))*VLOOKUP($D388,素材!$1:$1016,COLUMN($E$1),FALSE),0),"")</f>
        <v/>
      </c>
      <c r="J388" t="str">
        <f>IFERROR(ROUNDDOWN((VLOOKUP($C388,装備品!$1:$998,COLUMN(H$1),FALSE)+IFERROR(VLOOKUP($CI388,付与!$1:$1167,COLUMN(J$1),FALSE),0))*VLOOKUP($D388,素材!$1:$1016,COLUMN($E$1),FALSE),0),"")</f>
        <v/>
      </c>
      <c r="K388" t="str">
        <f>IFERROR(ROUNDDOWN((VLOOKUP($C388,装備品!$1:$998,COLUMN(I$1),FALSE)+IFERROR(VLOOKUP($CI388,付与!$1:$1167,COLUMN(K$1),FALSE),0))*VLOOKUP($D388,素材!$1:$1016,COLUMN($E$1),FALSE),0),"")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IFERROR(VLOOKUP($C388,装備品!$1:$998,COLUMN(AA$1),FALSE)*VLOOKUP($D388,素材!$1:$1016,COLUMN($G$1),FALSE),"")</f>
        <v/>
      </c>
      <c r="N388" t="str">
        <f>IFERROR(VLOOKUP($C388,装備品!$1:$998,COLUMN(I$1),FALSE),"")</f>
        <v/>
      </c>
      <c r="O388" s="23" t="str">
        <f>IFERROR((VLOOKUP($C388,装備品!$1:$998,COLUMN(K$1),FALSE)+VLOOKUP($D388,素材!$1:$1016,COLUMN(H$1),FALSE))*100+IFERROR(VLOOKUP($CI388,付与!$1:$1167,COLUMN(O$1),FALSE),0),"")</f>
        <v/>
      </c>
      <c r="P388" s="23" t="str">
        <f>IFERROR((VLOOKUP($C388,装備品!$1:$998,COLUMN(L$1),FALSE)+VLOOKUP($D388,素材!$1:$1016,COLUMN(I$1),FALSE))*100+IFERROR(VLOOKUP($CI388,付与!$1:$1167,COLUMN(P$1),FALSE),0),"")</f>
        <v/>
      </c>
      <c r="Q388" t="str">
        <f>IFERROR(ROUNDUP(VLOOKUP($C388,装備品!$1:$998,COLUMN(M$1),FALSE)*(VLOOKUP($D388,素材!$1:$1002,COLUMN(D$1),FALSE)/100),1),"")</f>
        <v/>
      </c>
      <c r="R388" t="str">
        <f>IFERROR(ROUNDUP(VLOOKUP($C388,装備品!$1:$998,COLUMN(N$1),FALSE)*(VLOOKUP($D388,素材!$1:$1002,COLUMN(D$1),FALSE)/100),1),"")</f>
        <v/>
      </c>
      <c r="S388" t="str">
        <f>IFERROR(VLOOKUP($C388,装備品!$1:$998,COLUMN(P$1),FALSE),"")</f>
        <v/>
      </c>
      <c r="T388" t="str">
        <f>IFERROR(VLOOKUP($C388,装備品!$1:$998,COLUMN(Q$1),FALSE),"")</f>
        <v/>
      </c>
      <c r="U388" t="str">
        <f>IFERROR(VLOOKUP($C388,装備品!$1:$998,COLUMN(R$1),FALSE),"")</f>
        <v/>
      </c>
      <c r="V388" t="str">
        <f>IFERROR(VLOOKUP($C388,装備品!$1:$998,COLUMN(Q$1),FALSE),"")</f>
        <v/>
      </c>
      <c r="W388" t="str">
        <f>IFERROR(VLOOKUP($C388,装備品!$1:$998,COLUMN(T$1),FALSE),"")</f>
        <v/>
      </c>
      <c r="Y388" t="str">
        <f>IFERROR(VLOOKUP($C388,装備品!$1:$998,COLUMN(U$1),FALSE),"")</f>
        <v/>
      </c>
      <c r="Z388" t="str">
        <f>IFERROR(ROUNDUP(VLOOKUP($C388,装備品!$1:$998,COLUMN(O$1),FALSE)*VLOOKUP($D388,素材!$1:$1016,COLUMN(E$1),FALSE),1),"")</f>
        <v/>
      </c>
      <c r="AA388">
        <f>IF(ISNUMBER(SEARCH(SUBSTITUTE(AA$1,RIGHT(AA$1,2),""),VLOOKUP($D388,素材!$1:$1016,COLUMN($F$1),FALSE))),VLOOKUP($C388,装備品!$1:$998,COLUMN($O$1),FALSE)*VLOOKUP($D388,素材!$1:$1016,COLUMN($E$1),FALSE)/(LEN(VLOOKUP($D388,素材!$1:$1016,COLUMN($F$1),FALSE))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IFERROR(VLOOKUP($C388,装備品!$1:$998,COLUMN(V$1),FALSE)*VLOOKUP($D388,素材!$1:$1016,COLUMN(N$1),FALSE)+IF(CI388="",0,VLOOKUP($CI388,付与!$1:$1176,COLUMN($CK$1),FALSE)),"")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IFERROR(VLOOKUP($D389,素材!$1:$1016,COLUMN($B$1),FALSE)&amp;"・"&amp;VLOOKUP($C389,装備品!$1:$998,COLUMN(B$1),FALSE),"")</f>
        <v/>
      </c>
      <c r="D389" s="24"/>
      <c r="E389" t="str">
        <f>IFERROR(VLOOKUP(C389,装備品!$1:$998,COLUMN(C$1),FALSE),"")</f>
        <v/>
      </c>
      <c r="F389" t="str">
        <f>IFERROR(ROUNDDOWN((VLOOKUP($C389,装備品!$1:$998,COLUMN(D$1),FALSE)+IFERROR(VLOOKUP($CI389,付与!$1:$1167,COLUMN(F$1),FALSE),0))*VLOOKUP($D389,素材!$1:$1016,COLUMN(D$1),FALSE),0),"")</f>
        <v/>
      </c>
      <c r="G389" t="str">
        <f>IFERROR(ROUNDDOWN((VLOOKUP($C389,装備品!$1:$998,COLUMN(E$1),FALSE)+IFERROR(VLOOKUP($CI389,付与!$1:$1167,COLUMN(G$1),FALSE),0))*VLOOKUP($D389,素材!$1:$1016,COLUMN($E$1),FALSE),0),"")</f>
        <v/>
      </c>
      <c r="H389" t="str">
        <f>IFERROR(ROUNDDOWN((VLOOKUP($C389,装備品!$1:$998,COLUMN(F$1),FALSE)+IFERROR(VLOOKUP($CI389,付与!$1:$1167,COLUMN(H$1),FALSE),0))*VLOOKUP($D389,素材!$1:$1016,COLUMN($E$1),FALSE),0),"")</f>
        <v/>
      </c>
      <c r="I389" t="str">
        <f>IFERROR(ROUNDDOWN((VLOOKUP($C389,装備品!$1:$998,COLUMN(G$1),FALSE)+IFERROR(VLOOKUP($CI389,付与!$1:$1167,COLUMN(I$1),FALSE),0))*VLOOKUP($D389,素材!$1:$1016,COLUMN($E$1),FALSE),0),"")</f>
        <v/>
      </c>
      <c r="J389" t="str">
        <f>IFERROR(ROUNDDOWN((VLOOKUP($C389,装備品!$1:$998,COLUMN(H$1),FALSE)+IFERROR(VLOOKUP($CI389,付与!$1:$1167,COLUMN(J$1),FALSE),0))*VLOOKUP($D389,素材!$1:$1016,COLUMN($E$1),FALSE),0),"")</f>
        <v/>
      </c>
      <c r="K389" t="str">
        <f>IFERROR(ROUNDDOWN((VLOOKUP($C389,装備品!$1:$998,COLUMN(I$1),FALSE)+IFERROR(VLOOKUP($CI389,付与!$1:$1167,COLUMN(K$1),FALSE),0))*VLOOKUP($D389,素材!$1:$1016,COLUMN($E$1),FALSE),0),"")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IFERROR(VLOOKUP($C389,装備品!$1:$998,COLUMN(AA$1),FALSE)*VLOOKUP($D389,素材!$1:$1016,COLUMN($G$1),FALSE),"")</f>
        <v/>
      </c>
      <c r="N389" t="str">
        <f>IFERROR(VLOOKUP($C389,装備品!$1:$998,COLUMN(I$1),FALSE),"")</f>
        <v/>
      </c>
      <c r="O389" s="23" t="str">
        <f>IFERROR((VLOOKUP($C389,装備品!$1:$998,COLUMN(K$1),FALSE)+VLOOKUP($D389,素材!$1:$1016,COLUMN(H$1),FALSE))*100+IFERROR(VLOOKUP($CI389,付与!$1:$1167,COLUMN(O$1),FALSE),0),"")</f>
        <v/>
      </c>
      <c r="P389" s="23" t="str">
        <f>IFERROR((VLOOKUP($C389,装備品!$1:$998,COLUMN(L$1),FALSE)+VLOOKUP($D389,素材!$1:$1016,COLUMN(I$1),FALSE))*100+IFERROR(VLOOKUP($CI389,付与!$1:$1167,COLUMN(P$1),FALSE),0),"")</f>
        <v/>
      </c>
      <c r="Q389" t="str">
        <f>IFERROR(ROUNDUP(VLOOKUP($C389,装備品!$1:$998,COLUMN(M$1),FALSE)*(VLOOKUP($D389,素材!$1:$1002,COLUMN(D$1),FALSE)/100),1),"")</f>
        <v/>
      </c>
      <c r="R389" t="str">
        <f>IFERROR(ROUNDUP(VLOOKUP($C389,装備品!$1:$998,COLUMN(N$1),FALSE)*(VLOOKUP($D389,素材!$1:$1002,COLUMN(D$1),FALSE)/100),1),"")</f>
        <v/>
      </c>
      <c r="S389" t="str">
        <f>IFERROR(VLOOKUP($C389,装備品!$1:$998,COLUMN(P$1),FALSE),"")</f>
        <v/>
      </c>
      <c r="T389" t="str">
        <f>IFERROR(VLOOKUP($C389,装備品!$1:$998,COLUMN(Q$1),FALSE),"")</f>
        <v/>
      </c>
      <c r="U389" t="str">
        <f>IFERROR(VLOOKUP($C389,装備品!$1:$998,COLUMN(R$1),FALSE),"")</f>
        <v/>
      </c>
      <c r="V389" t="str">
        <f>IFERROR(VLOOKUP($C389,装備品!$1:$998,COLUMN(Q$1),FALSE),"")</f>
        <v/>
      </c>
      <c r="W389" t="str">
        <f>IFERROR(VLOOKUP($C389,装備品!$1:$998,COLUMN(T$1),FALSE),"")</f>
        <v/>
      </c>
      <c r="Y389" t="str">
        <f>IFERROR(VLOOKUP($C389,装備品!$1:$998,COLUMN(U$1),FALSE),"")</f>
        <v/>
      </c>
      <c r="Z389" t="str">
        <f>IFERROR(ROUNDUP(VLOOKUP($C389,装備品!$1:$998,COLUMN(O$1),FALSE)*VLOOKUP($D389,素材!$1:$1016,COLUMN(E$1),FALSE),1),"")</f>
        <v/>
      </c>
      <c r="AA389">
        <f>IF(ISNUMBER(SEARCH(SUBSTITUTE(AA$1,RIGHT(AA$1,2),""),VLOOKUP($D389,素材!$1:$1016,COLUMN($F$1),FALSE))),VLOOKUP($C389,装備品!$1:$998,COLUMN($O$1),FALSE)*VLOOKUP($D389,素材!$1:$1016,COLUMN($E$1),FALSE)/(LEN(VLOOKUP($D389,素材!$1:$1016,COLUMN($F$1),FALSE))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IFERROR(VLOOKUP($C389,装備品!$1:$998,COLUMN(V$1),FALSE)*VLOOKUP($D389,素材!$1:$1016,COLUMN(N$1),FALSE)+IF(CI389="",0,VLOOKUP($CI389,付与!$1:$1176,COLUMN($CK$1),FALSE)),"")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IFERROR(VLOOKUP($D390,素材!$1:$1016,COLUMN($B$1),FALSE)&amp;"・"&amp;VLOOKUP($C390,装備品!$1:$998,COLUMN(B$1),FALSE),"")</f>
        <v/>
      </c>
      <c r="D390" s="24"/>
      <c r="E390" t="str">
        <f>IFERROR(VLOOKUP(C390,装備品!$1:$998,COLUMN(C$1),FALSE),"")</f>
        <v/>
      </c>
      <c r="F390" t="str">
        <f>IFERROR(ROUNDDOWN((VLOOKUP($C390,装備品!$1:$998,COLUMN(D$1),FALSE)+IFERROR(VLOOKUP($CI390,付与!$1:$1167,COLUMN(F$1),FALSE),0))*VLOOKUP($D390,素材!$1:$1016,COLUMN(D$1),FALSE),0),"")</f>
        <v/>
      </c>
      <c r="G390" t="str">
        <f>IFERROR(ROUNDDOWN((VLOOKUP($C390,装備品!$1:$998,COLUMN(E$1),FALSE)+IFERROR(VLOOKUP($CI390,付与!$1:$1167,COLUMN(G$1),FALSE),0))*VLOOKUP($D390,素材!$1:$1016,COLUMN($E$1),FALSE),0),"")</f>
        <v/>
      </c>
      <c r="H390" t="str">
        <f>IFERROR(ROUNDDOWN((VLOOKUP($C390,装備品!$1:$998,COLUMN(F$1),FALSE)+IFERROR(VLOOKUP($CI390,付与!$1:$1167,COLUMN(H$1),FALSE),0))*VLOOKUP($D390,素材!$1:$1016,COLUMN($E$1),FALSE),0),"")</f>
        <v/>
      </c>
      <c r="I390" t="str">
        <f>IFERROR(ROUNDDOWN((VLOOKUP($C390,装備品!$1:$998,COLUMN(G$1),FALSE)+IFERROR(VLOOKUP($CI390,付与!$1:$1167,COLUMN(I$1),FALSE),0))*VLOOKUP($D390,素材!$1:$1016,COLUMN($E$1),FALSE),0),"")</f>
        <v/>
      </c>
      <c r="J390" t="str">
        <f>IFERROR(ROUNDDOWN((VLOOKUP($C390,装備品!$1:$998,COLUMN(H$1),FALSE)+IFERROR(VLOOKUP($CI390,付与!$1:$1167,COLUMN(J$1),FALSE),0))*VLOOKUP($D390,素材!$1:$1016,COLUMN($E$1),FALSE),0),"")</f>
        <v/>
      </c>
      <c r="K390" t="str">
        <f>IFERROR(ROUNDDOWN((VLOOKUP($C390,装備品!$1:$998,COLUMN(I$1),FALSE)+IFERROR(VLOOKUP($CI390,付与!$1:$1167,COLUMN(K$1),FALSE),0))*VLOOKUP($D390,素材!$1:$1016,COLUMN($E$1),FALSE),0),"")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IFERROR(VLOOKUP($C390,装備品!$1:$998,COLUMN(AA$1),FALSE)*VLOOKUP($D390,素材!$1:$1016,COLUMN($G$1),FALSE),"")</f>
        <v/>
      </c>
      <c r="N390" t="str">
        <f>IFERROR(VLOOKUP($C390,装備品!$1:$998,COLUMN(I$1),FALSE),"")</f>
        <v/>
      </c>
      <c r="O390" s="23" t="str">
        <f>IFERROR((VLOOKUP($C390,装備品!$1:$998,COLUMN(K$1),FALSE)+VLOOKUP($D390,素材!$1:$1016,COLUMN(H$1),FALSE))*100+IFERROR(VLOOKUP($CI390,付与!$1:$1167,COLUMN(O$1),FALSE),0),"")</f>
        <v/>
      </c>
      <c r="P390" s="23" t="str">
        <f>IFERROR((VLOOKUP($C390,装備品!$1:$998,COLUMN(L$1),FALSE)+VLOOKUP($D390,素材!$1:$1016,COLUMN(I$1),FALSE))*100+IFERROR(VLOOKUP($CI390,付与!$1:$1167,COLUMN(P$1),FALSE),0),"")</f>
        <v/>
      </c>
      <c r="Q390" t="str">
        <f>IFERROR(ROUNDUP(VLOOKUP($C390,装備品!$1:$998,COLUMN(M$1),FALSE)*(VLOOKUP($D390,素材!$1:$1002,COLUMN(D$1),FALSE)/100),1),"")</f>
        <v/>
      </c>
      <c r="R390" t="str">
        <f>IFERROR(ROUNDUP(VLOOKUP($C390,装備品!$1:$998,COLUMN(N$1),FALSE)*(VLOOKUP($D390,素材!$1:$1002,COLUMN(D$1),FALSE)/100),1),"")</f>
        <v/>
      </c>
      <c r="S390" t="str">
        <f>IFERROR(VLOOKUP($C390,装備品!$1:$998,COLUMN(P$1),FALSE),"")</f>
        <v/>
      </c>
      <c r="T390" t="str">
        <f>IFERROR(VLOOKUP($C390,装備品!$1:$998,COLUMN(Q$1),FALSE),"")</f>
        <v/>
      </c>
      <c r="U390" t="str">
        <f>IFERROR(VLOOKUP($C390,装備品!$1:$998,COLUMN(R$1),FALSE),"")</f>
        <v/>
      </c>
      <c r="V390" t="str">
        <f>IFERROR(VLOOKUP($C390,装備品!$1:$998,COLUMN(Q$1),FALSE),"")</f>
        <v/>
      </c>
      <c r="W390" t="str">
        <f>IFERROR(VLOOKUP($C390,装備品!$1:$998,COLUMN(T$1),FALSE),"")</f>
        <v/>
      </c>
      <c r="Y390" t="str">
        <f>IFERROR(VLOOKUP($C390,装備品!$1:$998,COLUMN(U$1),FALSE),"")</f>
        <v/>
      </c>
      <c r="Z390" t="str">
        <f>IFERROR(ROUNDUP(VLOOKUP($C390,装備品!$1:$998,COLUMN(O$1),FALSE)*VLOOKUP($D390,素材!$1:$1016,COLUMN(E$1),FALSE),1),"")</f>
        <v/>
      </c>
      <c r="AA390">
        <f>IF(ISNUMBER(SEARCH(SUBSTITUTE(AA$1,RIGHT(AA$1,2),""),VLOOKUP($D390,素材!$1:$1016,COLUMN($F$1),FALSE))),VLOOKUP($C390,装備品!$1:$998,COLUMN($O$1),FALSE)*VLOOKUP($D390,素材!$1:$1016,COLUMN($E$1),FALSE)/(LEN(VLOOKUP($D390,素材!$1:$1016,COLUMN($F$1),FALSE))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IFERROR(VLOOKUP($C390,装備品!$1:$998,COLUMN(V$1),FALSE)*VLOOKUP($D390,素材!$1:$1016,COLUMN(N$1),FALSE)+IF(CI390="",0,VLOOKUP($CI390,付与!$1:$1176,COLUMN($CK$1),FALSE)),"")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IFERROR(VLOOKUP($D391,素材!$1:$1016,COLUMN($B$1),FALSE)&amp;"・"&amp;VLOOKUP($C391,装備品!$1:$998,COLUMN(B$1),FALSE),"")</f>
        <v/>
      </c>
      <c r="D391" s="24"/>
      <c r="E391" t="str">
        <f>IFERROR(VLOOKUP(C391,装備品!$1:$998,COLUMN(C$1),FALSE),"")</f>
        <v/>
      </c>
      <c r="F391" t="str">
        <f>IFERROR(ROUNDDOWN((VLOOKUP($C391,装備品!$1:$998,COLUMN(D$1),FALSE)+IFERROR(VLOOKUP($CI391,付与!$1:$1167,COLUMN(F$1),FALSE),0))*VLOOKUP($D391,素材!$1:$1016,COLUMN(D$1),FALSE),0),"")</f>
        <v/>
      </c>
      <c r="G391" t="str">
        <f>IFERROR(ROUNDDOWN((VLOOKUP($C391,装備品!$1:$998,COLUMN(E$1),FALSE)+IFERROR(VLOOKUP($CI391,付与!$1:$1167,COLUMN(G$1),FALSE),0))*VLOOKUP($D391,素材!$1:$1016,COLUMN($E$1),FALSE),0),"")</f>
        <v/>
      </c>
      <c r="H391" t="str">
        <f>IFERROR(ROUNDDOWN((VLOOKUP($C391,装備品!$1:$998,COLUMN(F$1),FALSE)+IFERROR(VLOOKUP($CI391,付与!$1:$1167,COLUMN(H$1),FALSE),0))*VLOOKUP($D391,素材!$1:$1016,COLUMN($E$1),FALSE),0),"")</f>
        <v/>
      </c>
      <c r="I391" t="str">
        <f>IFERROR(ROUNDDOWN((VLOOKUP($C391,装備品!$1:$998,COLUMN(G$1),FALSE)+IFERROR(VLOOKUP($CI391,付与!$1:$1167,COLUMN(I$1),FALSE),0))*VLOOKUP($D391,素材!$1:$1016,COLUMN($E$1),FALSE),0),"")</f>
        <v/>
      </c>
      <c r="J391" t="str">
        <f>IFERROR(ROUNDDOWN((VLOOKUP($C391,装備品!$1:$998,COLUMN(H$1),FALSE)+IFERROR(VLOOKUP($CI391,付与!$1:$1167,COLUMN(J$1),FALSE),0))*VLOOKUP($D391,素材!$1:$1016,COLUMN($E$1),FALSE),0),"")</f>
        <v/>
      </c>
      <c r="K391" t="str">
        <f>IFERROR(ROUNDDOWN((VLOOKUP($C391,装備品!$1:$998,COLUMN(I$1),FALSE)+IFERROR(VLOOKUP($CI391,付与!$1:$1167,COLUMN(K$1),FALSE),0))*VLOOKUP($D391,素材!$1:$1016,COLUMN($E$1),FALSE),0),"")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IFERROR(VLOOKUP($C391,装備品!$1:$998,COLUMN(AA$1),FALSE)*VLOOKUP($D391,素材!$1:$1016,COLUMN($G$1),FALSE),"")</f>
        <v/>
      </c>
      <c r="N391" t="str">
        <f>IFERROR(VLOOKUP($C391,装備品!$1:$998,COLUMN(I$1),FALSE),"")</f>
        <v/>
      </c>
      <c r="O391" s="23" t="str">
        <f>IFERROR((VLOOKUP($C391,装備品!$1:$998,COLUMN(K$1),FALSE)+VLOOKUP($D391,素材!$1:$1016,COLUMN(H$1),FALSE))*100+IFERROR(VLOOKUP($CI391,付与!$1:$1167,COLUMN(O$1),FALSE),0),"")</f>
        <v/>
      </c>
      <c r="P391" s="23" t="str">
        <f>IFERROR((VLOOKUP($C391,装備品!$1:$998,COLUMN(L$1),FALSE)+VLOOKUP($D391,素材!$1:$1016,COLUMN(I$1),FALSE))*100+IFERROR(VLOOKUP($CI391,付与!$1:$1167,COLUMN(P$1),FALSE),0),"")</f>
        <v/>
      </c>
      <c r="Q391" t="str">
        <f>IFERROR(ROUNDUP(VLOOKUP($C391,装備品!$1:$998,COLUMN(M$1),FALSE)*(VLOOKUP($D391,素材!$1:$1002,COLUMN(D$1),FALSE)/100),1),"")</f>
        <v/>
      </c>
      <c r="R391" t="str">
        <f>IFERROR(ROUNDUP(VLOOKUP($C391,装備品!$1:$998,COLUMN(N$1),FALSE)*(VLOOKUP($D391,素材!$1:$1002,COLUMN(D$1),FALSE)/100),1),"")</f>
        <v/>
      </c>
      <c r="S391" t="str">
        <f>IFERROR(VLOOKUP($C391,装備品!$1:$998,COLUMN(P$1),FALSE),"")</f>
        <v/>
      </c>
      <c r="T391" t="str">
        <f>IFERROR(VLOOKUP($C391,装備品!$1:$998,COLUMN(Q$1),FALSE),"")</f>
        <v/>
      </c>
      <c r="U391" t="str">
        <f>IFERROR(VLOOKUP($C391,装備品!$1:$998,COLUMN(R$1),FALSE),"")</f>
        <v/>
      </c>
      <c r="V391" t="str">
        <f>IFERROR(VLOOKUP($C391,装備品!$1:$998,COLUMN(Q$1),FALSE),"")</f>
        <v/>
      </c>
      <c r="W391" t="str">
        <f>IFERROR(VLOOKUP($C391,装備品!$1:$998,COLUMN(T$1),FALSE),"")</f>
        <v/>
      </c>
      <c r="Y391" t="str">
        <f>IFERROR(VLOOKUP($C391,装備品!$1:$998,COLUMN(U$1),FALSE),"")</f>
        <v/>
      </c>
      <c r="Z391" t="str">
        <f>IFERROR(ROUNDUP(VLOOKUP($C391,装備品!$1:$998,COLUMN(O$1),FALSE)*VLOOKUP($D391,素材!$1:$1016,COLUMN(E$1),FALSE),1),"")</f>
        <v/>
      </c>
      <c r="AA391">
        <f>IF(ISNUMBER(SEARCH(SUBSTITUTE(AA$1,RIGHT(AA$1,2),""),VLOOKUP($D391,素材!$1:$1016,COLUMN($F$1),FALSE))),VLOOKUP($C391,装備品!$1:$998,COLUMN($O$1),FALSE)*VLOOKUP($D391,素材!$1:$1016,COLUMN($E$1),FALSE)/(LEN(VLOOKUP($D391,素材!$1:$1016,COLUMN($F$1),FALSE))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IFERROR(VLOOKUP($C391,装備品!$1:$998,COLUMN(V$1),FALSE)*VLOOKUP($D391,素材!$1:$1016,COLUMN(N$1),FALSE)+IF(CI391="",0,VLOOKUP($CI391,付与!$1:$1176,COLUMN($CK$1),FALSE)),"")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IFERROR(VLOOKUP($D392,素材!$1:$1016,COLUMN($B$1),FALSE)&amp;"・"&amp;VLOOKUP($C392,装備品!$1:$998,COLUMN(B$1),FALSE),"")</f>
        <v/>
      </c>
      <c r="D392" s="24"/>
      <c r="E392" t="str">
        <f>IFERROR(VLOOKUP(C392,装備品!$1:$998,COLUMN(C$1),FALSE),"")</f>
        <v/>
      </c>
      <c r="F392" t="str">
        <f>IFERROR(ROUNDDOWN((VLOOKUP($C392,装備品!$1:$998,COLUMN(D$1),FALSE)+IFERROR(VLOOKUP($CI392,付与!$1:$1167,COLUMN(F$1),FALSE),0))*VLOOKUP($D392,素材!$1:$1016,COLUMN(D$1),FALSE),0),"")</f>
        <v/>
      </c>
      <c r="G392" t="str">
        <f>IFERROR(ROUNDDOWN((VLOOKUP($C392,装備品!$1:$998,COLUMN(E$1),FALSE)+IFERROR(VLOOKUP($CI392,付与!$1:$1167,COLUMN(G$1),FALSE),0))*VLOOKUP($D392,素材!$1:$1016,COLUMN($E$1),FALSE),0),"")</f>
        <v/>
      </c>
      <c r="H392" t="str">
        <f>IFERROR(ROUNDDOWN((VLOOKUP($C392,装備品!$1:$998,COLUMN(F$1),FALSE)+IFERROR(VLOOKUP($CI392,付与!$1:$1167,COLUMN(H$1),FALSE),0))*VLOOKUP($D392,素材!$1:$1016,COLUMN($E$1),FALSE),0),"")</f>
        <v/>
      </c>
      <c r="I392" t="str">
        <f>IFERROR(ROUNDDOWN((VLOOKUP($C392,装備品!$1:$998,COLUMN(G$1),FALSE)+IFERROR(VLOOKUP($CI392,付与!$1:$1167,COLUMN(I$1),FALSE),0))*VLOOKUP($D392,素材!$1:$1016,COLUMN($E$1),FALSE),0),"")</f>
        <v/>
      </c>
      <c r="J392" t="str">
        <f>IFERROR(ROUNDDOWN((VLOOKUP($C392,装備品!$1:$998,COLUMN(H$1),FALSE)+IFERROR(VLOOKUP($CI392,付与!$1:$1167,COLUMN(J$1),FALSE),0))*VLOOKUP($D392,素材!$1:$1016,COLUMN($E$1),FALSE),0),"")</f>
        <v/>
      </c>
      <c r="K392" t="str">
        <f>IFERROR(ROUNDDOWN((VLOOKUP($C392,装備品!$1:$998,COLUMN(I$1),FALSE)+IFERROR(VLOOKUP($CI392,付与!$1:$1167,COLUMN(K$1),FALSE),0))*VLOOKUP($D392,素材!$1:$1016,COLUMN($E$1),FALSE),0),"")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IFERROR(VLOOKUP($C392,装備品!$1:$998,COLUMN(AA$1),FALSE)*VLOOKUP($D392,素材!$1:$1016,COLUMN($G$1),FALSE),"")</f>
        <v/>
      </c>
      <c r="N392" t="str">
        <f>IFERROR(VLOOKUP($C392,装備品!$1:$998,COLUMN(I$1),FALSE),"")</f>
        <v/>
      </c>
      <c r="O392" s="23" t="str">
        <f>IFERROR((VLOOKUP($C392,装備品!$1:$998,COLUMN(K$1),FALSE)+VLOOKUP($D392,素材!$1:$1016,COLUMN(H$1),FALSE))*100+IFERROR(VLOOKUP($CI392,付与!$1:$1167,COLUMN(O$1),FALSE),0),"")</f>
        <v/>
      </c>
      <c r="P392" s="23" t="str">
        <f>IFERROR((VLOOKUP($C392,装備品!$1:$998,COLUMN(L$1),FALSE)+VLOOKUP($D392,素材!$1:$1016,COLUMN(I$1),FALSE))*100+IFERROR(VLOOKUP($CI392,付与!$1:$1167,COLUMN(P$1),FALSE),0),"")</f>
        <v/>
      </c>
      <c r="Q392" t="str">
        <f>IFERROR(ROUNDUP(VLOOKUP($C392,装備品!$1:$998,COLUMN(M$1),FALSE)*(VLOOKUP($D392,素材!$1:$1002,COLUMN(D$1),FALSE)/100),1),"")</f>
        <v/>
      </c>
      <c r="R392" t="str">
        <f>IFERROR(ROUNDUP(VLOOKUP($C392,装備品!$1:$998,COLUMN(N$1),FALSE)*(VLOOKUP($D392,素材!$1:$1002,COLUMN(D$1),FALSE)/100),1),"")</f>
        <v/>
      </c>
      <c r="S392" t="str">
        <f>IFERROR(VLOOKUP($C392,装備品!$1:$998,COLUMN(P$1),FALSE),"")</f>
        <v/>
      </c>
      <c r="T392" t="str">
        <f>IFERROR(VLOOKUP($C392,装備品!$1:$998,COLUMN(Q$1),FALSE),"")</f>
        <v/>
      </c>
      <c r="U392" t="str">
        <f>IFERROR(VLOOKUP($C392,装備品!$1:$998,COLUMN(R$1),FALSE),"")</f>
        <v/>
      </c>
      <c r="V392" t="str">
        <f>IFERROR(VLOOKUP($C392,装備品!$1:$998,COLUMN(Q$1),FALSE),"")</f>
        <v/>
      </c>
      <c r="W392" t="str">
        <f>IFERROR(VLOOKUP($C392,装備品!$1:$998,COLUMN(T$1),FALSE),"")</f>
        <v/>
      </c>
      <c r="Y392" t="str">
        <f>IFERROR(VLOOKUP($C392,装備品!$1:$998,COLUMN(U$1),FALSE),"")</f>
        <v/>
      </c>
      <c r="Z392" t="str">
        <f>IFERROR(ROUNDUP(VLOOKUP($C392,装備品!$1:$998,COLUMN(O$1),FALSE)*VLOOKUP($D392,素材!$1:$1016,COLUMN(E$1),FALSE),1),"")</f>
        <v/>
      </c>
      <c r="AA392">
        <f>IF(ISNUMBER(SEARCH(SUBSTITUTE(AA$1,RIGHT(AA$1,2),""),VLOOKUP($D392,素材!$1:$1016,COLUMN($F$1),FALSE))),VLOOKUP($C392,装備品!$1:$998,COLUMN($O$1),FALSE)*VLOOKUP($D392,素材!$1:$1016,COLUMN($E$1),FALSE)/(LEN(VLOOKUP($D392,素材!$1:$1016,COLUMN($F$1),FALSE))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IFERROR(VLOOKUP($C392,装備品!$1:$998,COLUMN(V$1),FALSE)*VLOOKUP($D392,素材!$1:$1016,COLUMN(N$1),FALSE)+IF(CI392="",0,VLOOKUP($CI392,付与!$1:$1176,COLUMN($CK$1),FALSE)),"")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tabSelected="1" zoomScaleNormal="100" workbookViewId="0">
      <pane xSplit="1" ySplit="2" topLeftCell="B49" activePane="bottomRight" state="frozen"/>
      <selection pane="topRight" activeCell="B1" sqref="B1"/>
      <selection pane="bottomLeft" activeCell="A3" sqref="A3"/>
      <selection pane="bottomRight" activeCell="B53" sqref="B53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5.375" bestFit="1" customWidth="1"/>
    <col min="6" max="6" width="5.25" bestFit="1" customWidth="1"/>
    <col min="7" max="7" width="6.75" customWidth="1"/>
    <col min="8" max="8" width="6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26.25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55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3"/>
  <sheetViews>
    <sheetView zoomScaleNormal="100" workbookViewId="0">
      <pane xSplit="3" ySplit="1" topLeftCell="D98" activePane="bottomRight" state="frozen"/>
      <selection pane="topRight" activeCell="D1" sqref="D1"/>
      <selection pane="bottomLeft" activeCell="A3" sqref="A3"/>
      <selection pane="bottomRight" activeCell="C117" sqref="C117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9" width="5.875" customWidth="1"/>
    <col min="20" max="20" width="5.875" customWidth="1" outlineLevel="1"/>
    <col min="21" max="21" width="9" customWidth="1" outlineLevel="1"/>
    <col min="22" max="22" width="7.375" customWidth="1" outlineLevel="1"/>
    <col min="23" max="23" width="9" customWidth="1" outlineLevel="1"/>
    <col min="24" max="25" width="9" style="33" customWidth="1" outlineLevel="1"/>
    <col min="26" max="26" width="18" customWidth="1"/>
    <col min="27" max="27" width="5.5" customWidth="1" outlineLevel="1"/>
    <col min="28" max="28" width="31.75" customWidth="1" outlineLevel="1"/>
    <col min="29" max="29" width="24.75" customWidth="1" outlineLevel="1"/>
    <col min="30" max="30" width="9" customWidth="1" outlineLevel="1"/>
    <col min="31" max="31" width="6.25" customWidth="1"/>
    <col min="32" max="32" width="7.125" style="32" customWidth="1"/>
    <col min="33" max="33" width="6" bestFit="1" customWidth="1"/>
    <col min="34" max="34" width="6" customWidth="1"/>
    <col min="35" max="35" width="10.5" bestFit="1" customWidth="1"/>
    <col min="36" max="39" width="12.75" bestFit="1" customWidth="1"/>
  </cols>
  <sheetData>
    <row r="1" spans="1:42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20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I1" t="s">
        <v>868</v>
      </c>
      <c r="AJ1" t="s">
        <v>867</v>
      </c>
      <c r="AL1" s="25" t="s">
        <v>865</v>
      </c>
      <c r="AM1" s="25" t="s">
        <v>866</v>
      </c>
      <c r="AO1" t="s">
        <v>865</v>
      </c>
      <c r="AP1" t="s">
        <v>864</v>
      </c>
    </row>
    <row r="2" spans="1:42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I2">
        <v>0</v>
      </c>
      <c r="AJ2">
        <v>71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2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1.75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 t="shared" ref="AE3:AE14" si="1">SUM(E3:G3)</f>
        <v>1</v>
      </c>
      <c r="AF3" s="43">
        <v>1</v>
      </c>
      <c r="AG3" s="42">
        <f t="shared" ref="AG3:AG34" si="2">AE3*D3</f>
        <v>1</v>
      </c>
      <c r="AH3" s="42">
        <f t="shared" ref="AH3:AH34" si="3">AE3*(D3+SUM(M3:N3)/50)*(1+K3*(L3+0.25))</f>
        <v>1.2</v>
      </c>
      <c r="AI3" t="s">
        <v>241</v>
      </c>
      <c r="AJ3">
        <v>1</v>
      </c>
      <c r="AL3" s="45" t="s">
        <v>860</v>
      </c>
      <c r="AM3" s="44" t="s">
        <v>859</v>
      </c>
      <c r="AO3" t="s">
        <v>858</v>
      </c>
      <c r="AP3" t="s">
        <v>840</v>
      </c>
    </row>
    <row r="4" spans="1:42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v>1.75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si="1"/>
        <v>1.05</v>
      </c>
      <c r="AF4" s="43">
        <v>1.05</v>
      </c>
      <c r="AG4" s="42">
        <f t="shared" si="2"/>
        <v>1.05</v>
      </c>
      <c r="AH4" s="42">
        <f t="shared" si="3"/>
        <v>1.26</v>
      </c>
      <c r="AI4" t="s">
        <v>854</v>
      </c>
      <c r="AJ4">
        <v>2</v>
      </c>
      <c r="AL4" s="25" t="s">
        <v>852</v>
      </c>
      <c r="AM4" s="44" t="s">
        <v>853</v>
      </c>
      <c r="AO4" t="s">
        <v>852</v>
      </c>
      <c r="AP4" t="s">
        <v>846</v>
      </c>
    </row>
    <row r="5" spans="1:42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v>1.75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1"/>
        <v>1</v>
      </c>
      <c r="AF5" s="43">
        <v>1</v>
      </c>
      <c r="AG5" s="42">
        <f t="shared" si="2"/>
        <v>1</v>
      </c>
      <c r="AH5" s="42">
        <f t="shared" si="3"/>
        <v>1.2</v>
      </c>
      <c r="AI5" t="s">
        <v>848</v>
      </c>
      <c r="AJ5">
        <v>1</v>
      </c>
      <c r="AL5" s="25" t="s">
        <v>845</v>
      </c>
      <c r="AM5" s="44" t="s">
        <v>847</v>
      </c>
      <c r="AO5" t="s">
        <v>845</v>
      </c>
      <c r="AP5" t="s">
        <v>846</v>
      </c>
    </row>
    <row r="6" spans="1:42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v>1.75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1"/>
        <v>1.05</v>
      </c>
      <c r="AF6" s="43">
        <v>1.05</v>
      </c>
      <c r="AG6" s="42">
        <f t="shared" si="2"/>
        <v>1.05</v>
      </c>
      <c r="AH6" s="42">
        <f t="shared" si="3"/>
        <v>1.26</v>
      </c>
      <c r="AI6" t="s">
        <v>842</v>
      </c>
      <c r="AJ6">
        <v>2</v>
      </c>
      <c r="AL6" s="25" t="s">
        <v>839</v>
      </c>
      <c r="AM6" s="44" t="s">
        <v>841</v>
      </c>
      <c r="AO6" t="s">
        <v>839</v>
      </c>
      <c r="AP6" t="s">
        <v>840</v>
      </c>
    </row>
    <row r="7" spans="1:42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v>1.75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1"/>
        <v>1.1000000000000001</v>
      </c>
      <c r="AF7" s="43">
        <v>1.1000000000000001</v>
      </c>
      <c r="AG7" s="42">
        <f t="shared" si="2"/>
        <v>1.1000000000000001</v>
      </c>
      <c r="AH7" s="42">
        <f t="shared" si="3"/>
        <v>1.32</v>
      </c>
      <c r="AI7" t="s">
        <v>836</v>
      </c>
      <c r="AJ7">
        <v>2.5</v>
      </c>
      <c r="AL7" s="25" t="s">
        <v>834</v>
      </c>
      <c r="AM7" s="44" t="s">
        <v>835</v>
      </c>
      <c r="AO7" t="s">
        <v>834</v>
      </c>
      <c r="AP7" t="s">
        <v>795</v>
      </c>
    </row>
    <row r="8" spans="1:42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v>1.75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1"/>
        <v>1.2000000000000002</v>
      </c>
      <c r="AF8" s="43">
        <v>1.2</v>
      </c>
      <c r="AG8" s="42">
        <f t="shared" si="2"/>
        <v>1.2600000000000002</v>
      </c>
      <c r="AH8" s="42">
        <f t="shared" si="3"/>
        <v>1.5120000000000002</v>
      </c>
      <c r="AI8" t="s">
        <v>240</v>
      </c>
      <c r="AJ8">
        <v>3</v>
      </c>
      <c r="AL8" s="25" t="s">
        <v>831</v>
      </c>
      <c r="AM8" s="44" t="s">
        <v>832</v>
      </c>
      <c r="AO8" t="s">
        <v>831</v>
      </c>
      <c r="AP8" t="s">
        <v>765</v>
      </c>
    </row>
    <row r="9" spans="1:42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v>1.75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1"/>
        <v>1.3000000000000003</v>
      </c>
      <c r="AF9" s="43">
        <v>1.3</v>
      </c>
      <c r="AG9" s="42">
        <f t="shared" si="2"/>
        <v>1.4300000000000004</v>
      </c>
      <c r="AH9" s="42">
        <f t="shared" si="3"/>
        <v>1.5600000000000003</v>
      </c>
      <c r="AI9" t="s">
        <v>829</v>
      </c>
      <c r="AJ9">
        <v>3.5</v>
      </c>
      <c r="AL9" s="25" t="s">
        <v>827</v>
      </c>
      <c r="AM9" s="44" t="s">
        <v>828</v>
      </c>
      <c r="AO9" t="s">
        <v>827</v>
      </c>
      <c r="AP9" t="s">
        <v>765</v>
      </c>
    </row>
    <row r="10" spans="1:42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v>1.75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1"/>
        <v>1.5</v>
      </c>
      <c r="AF10" s="43">
        <v>1.5</v>
      </c>
      <c r="AG10" s="42">
        <f t="shared" si="2"/>
        <v>1.7249999999999999</v>
      </c>
      <c r="AH10" s="42">
        <f t="shared" si="3"/>
        <v>1.6199999999999999</v>
      </c>
      <c r="AI10" t="s">
        <v>824</v>
      </c>
      <c r="AJ10">
        <v>4</v>
      </c>
      <c r="AL10" s="25" t="s">
        <v>818</v>
      </c>
      <c r="AM10" s="44" t="s">
        <v>816</v>
      </c>
      <c r="AO10" t="s">
        <v>818</v>
      </c>
      <c r="AP10" t="s">
        <v>823</v>
      </c>
    </row>
    <row r="11" spans="1:42" ht="26.25" thickBot="1" x14ac:dyDescent="0.25">
      <c r="H11"/>
      <c r="I11"/>
      <c r="J11" s="42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 t="shared" si="1"/>
        <v>0</v>
      </c>
      <c r="AF11" s="43">
        <v>0</v>
      </c>
      <c r="AG11" s="42">
        <f t="shared" si="2"/>
        <v>0</v>
      </c>
      <c r="AH11" s="42">
        <f t="shared" si="3"/>
        <v>0</v>
      </c>
      <c r="AI11" t="s">
        <v>819</v>
      </c>
      <c r="AJ11">
        <v>1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2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1.5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1"/>
        <v>1.05</v>
      </c>
      <c r="AF12" s="43">
        <v>1.05</v>
      </c>
      <c r="AG12" s="42">
        <f t="shared" si="2"/>
        <v>1.05</v>
      </c>
      <c r="AH12" s="42">
        <f t="shared" si="3"/>
        <v>1.2337500000000001</v>
      </c>
      <c r="AI12" t="s">
        <v>239</v>
      </c>
      <c r="AJ12">
        <v>2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2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v>1.5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1"/>
        <v>1.2</v>
      </c>
      <c r="AF13" s="43">
        <v>1.1499999999999999</v>
      </c>
      <c r="AG13" s="42">
        <f t="shared" si="2"/>
        <v>1.2</v>
      </c>
      <c r="AH13" s="42">
        <f t="shared" si="3"/>
        <v>1.41</v>
      </c>
      <c r="AI13" t="s">
        <v>238</v>
      </c>
      <c r="AJ13">
        <v>2.5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2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v>1.5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1"/>
        <v>1.1599999999999999</v>
      </c>
      <c r="AF14" s="43">
        <v>1.1499999999999999</v>
      </c>
      <c r="AG14" s="42">
        <f t="shared" si="2"/>
        <v>1.276</v>
      </c>
      <c r="AH14" s="42">
        <f t="shared" si="3"/>
        <v>1.363</v>
      </c>
      <c r="AI14" t="s">
        <v>237</v>
      </c>
      <c r="AJ14">
        <v>3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2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v>1.5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v>1.25</v>
      </c>
      <c r="AF15" s="43">
        <v>1.35</v>
      </c>
      <c r="AG15" s="42">
        <f t="shared" si="2"/>
        <v>1.4375</v>
      </c>
      <c r="AH15" s="42">
        <f t="shared" si="3"/>
        <v>1.5421874999999998</v>
      </c>
      <c r="AI15" t="s">
        <v>236</v>
      </c>
      <c r="AJ15">
        <v>4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2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v>1.5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v>1.25</v>
      </c>
      <c r="AF16" s="43">
        <v>1.55</v>
      </c>
      <c r="AG16" s="42">
        <f t="shared" si="2"/>
        <v>1.5625</v>
      </c>
      <c r="AH16" s="42">
        <f t="shared" si="3"/>
        <v>1.3953125</v>
      </c>
      <c r="AI16" t="s">
        <v>235</v>
      </c>
      <c r="AJ16">
        <v>2.5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1.25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ref="AE17:AE56" si="4">SUM(E17:G17)</f>
        <v>1.1000000000000001</v>
      </c>
      <c r="AF17" s="43">
        <v>1.2</v>
      </c>
      <c r="AG17" s="42">
        <f t="shared" si="2"/>
        <v>1.1000000000000001</v>
      </c>
      <c r="AH17" s="42">
        <f t="shared" si="3"/>
        <v>1.3475000000000001</v>
      </c>
      <c r="AI17" t="s">
        <v>234</v>
      </c>
      <c r="AJ17">
        <v>2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1.5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4"/>
        <v>1.1000000000000001</v>
      </c>
      <c r="AF18" s="43">
        <v>1.1000000000000001</v>
      </c>
      <c r="AG18" s="42">
        <f t="shared" si="2"/>
        <v>1.2100000000000002</v>
      </c>
      <c r="AH18" s="42">
        <f t="shared" si="3"/>
        <v>1.4217500000000003</v>
      </c>
      <c r="AI18">
        <v>0</v>
      </c>
      <c r="AJ18">
        <v>70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J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4"/>
        <v>0</v>
      </c>
      <c r="AF19" s="43">
        <v>0</v>
      </c>
      <c r="AG19" s="42">
        <f t="shared" si="2"/>
        <v>0</v>
      </c>
      <c r="AH19" s="42">
        <f t="shared" si="3"/>
        <v>0</v>
      </c>
      <c r="AI19" t="s">
        <v>789</v>
      </c>
      <c r="AJ19">
        <v>2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5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1.75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4"/>
        <v>1.1000000000000001</v>
      </c>
      <c r="AF20" s="43">
        <v>1.1000000000000001</v>
      </c>
      <c r="AG20" s="42">
        <f t="shared" si="2"/>
        <v>1.2649999999999999</v>
      </c>
      <c r="AH20" s="42">
        <f t="shared" si="3"/>
        <v>1.3859999999999997</v>
      </c>
      <c r="AI20" t="s">
        <v>785</v>
      </c>
      <c r="AJ20">
        <v>2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5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1.5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4"/>
        <v>1.1000000000000001</v>
      </c>
      <c r="AF21" s="43">
        <v>1.1000000000000001</v>
      </c>
      <c r="AG21" s="42">
        <f t="shared" si="2"/>
        <v>1.2649999999999999</v>
      </c>
      <c r="AH21" s="42">
        <f t="shared" si="3"/>
        <v>1.4581874999999997</v>
      </c>
      <c r="AI21" t="s">
        <v>781</v>
      </c>
      <c r="AJ21">
        <v>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5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1.25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4"/>
        <v>0.85</v>
      </c>
      <c r="AF22" s="43">
        <v>0.85</v>
      </c>
      <c r="AG22" s="42">
        <f t="shared" si="2"/>
        <v>0.85</v>
      </c>
      <c r="AH22" s="42">
        <f t="shared" si="3"/>
        <v>1.105</v>
      </c>
      <c r="AI22" t="s">
        <v>232</v>
      </c>
      <c r="AJ22">
        <v>3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5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1.5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4"/>
        <v>1.25</v>
      </c>
      <c r="AF23" s="43">
        <v>1.25</v>
      </c>
      <c r="AG23" s="42">
        <f t="shared" si="2"/>
        <v>1.3125</v>
      </c>
      <c r="AH23" s="42">
        <f t="shared" si="3"/>
        <v>1.5421875</v>
      </c>
      <c r="AI23" t="s">
        <v>233</v>
      </c>
      <c r="AJ23">
        <v>2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5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1.5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4"/>
        <v>1.35</v>
      </c>
      <c r="AF24" s="43">
        <v>1.35</v>
      </c>
      <c r="AG24" s="42">
        <f t="shared" si="2"/>
        <v>1.5525</v>
      </c>
      <c r="AH24" s="42">
        <f t="shared" si="3"/>
        <v>1.6655624999999998</v>
      </c>
      <c r="AI24" t="s">
        <v>768</v>
      </c>
      <c r="AJ24">
        <v>3.5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5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1.5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4"/>
        <v>1.4499999999999997</v>
      </c>
      <c r="AF25" s="43">
        <v>1.45</v>
      </c>
      <c r="AG25" s="42">
        <f t="shared" si="2"/>
        <v>1.5949999999999998</v>
      </c>
      <c r="AH25" s="42">
        <f t="shared" si="3"/>
        <v>1.363</v>
      </c>
      <c r="AI25" t="s">
        <v>231</v>
      </c>
      <c r="AJ25">
        <v>4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5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1.75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4"/>
        <v>1.4</v>
      </c>
      <c r="AF26" s="43">
        <v>1.4</v>
      </c>
      <c r="AG26" s="42">
        <f t="shared" si="2"/>
        <v>1.6099999999999999</v>
      </c>
      <c r="AH26" s="42">
        <f t="shared" si="3"/>
        <v>1.4629999999999999</v>
      </c>
      <c r="AI26" t="s">
        <v>761</v>
      </c>
      <c r="AJ26">
        <v>3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5"/>
        <v>0.39999999999999991</v>
      </c>
      <c r="F27" s="29">
        <v>0.5</v>
      </c>
      <c r="G27" s="29">
        <v>0.3</v>
      </c>
      <c r="H27" s="29">
        <v>0.95</v>
      </c>
      <c r="J27">
        <v>-10</v>
      </c>
      <c r="K27" s="29">
        <v>0.1</v>
      </c>
      <c r="L27" s="29">
        <v>1.5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4"/>
        <v>1.2</v>
      </c>
      <c r="AF27" s="43">
        <v>1.2</v>
      </c>
      <c r="AG27" s="42">
        <f t="shared" si="2"/>
        <v>1.32</v>
      </c>
      <c r="AH27" s="42">
        <f t="shared" si="3"/>
        <v>1.2690000000000001</v>
      </c>
      <c r="AI27" t="s">
        <v>745</v>
      </c>
      <c r="AJ27">
        <v>3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5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1.75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4"/>
        <v>1.2</v>
      </c>
      <c r="AF28" s="43">
        <v>1.2</v>
      </c>
      <c r="AG28" s="42">
        <f t="shared" si="2"/>
        <v>1.32</v>
      </c>
      <c r="AH28" s="42">
        <f t="shared" si="3"/>
        <v>1.1519999999999999</v>
      </c>
      <c r="AI28" t="s">
        <v>229</v>
      </c>
      <c r="AJ28">
        <v>2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5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1.5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4"/>
        <v>1.3000000000000003</v>
      </c>
      <c r="AF29" s="43">
        <v>1.3</v>
      </c>
      <c r="AG29" s="42">
        <f t="shared" si="2"/>
        <v>1.3650000000000004</v>
      </c>
      <c r="AH29" s="42">
        <f t="shared" si="3"/>
        <v>1.2983750000000005</v>
      </c>
      <c r="AI29" t="s">
        <v>748</v>
      </c>
      <c r="AJ29">
        <v>4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5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1.5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4"/>
        <v>1.1999999999999997</v>
      </c>
      <c r="AF30" s="43">
        <v>1.2</v>
      </c>
      <c r="AG30" s="42">
        <f t="shared" si="2"/>
        <v>1.1999999999999997</v>
      </c>
      <c r="AH30" s="42">
        <f t="shared" si="3"/>
        <v>1.3634999999999997</v>
      </c>
      <c r="AI30" t="s">
        <v>228</v>
      </c>
      <c r="AJ30">
        <v>3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5"/>
        <v>0.10000000000000009</v>
      </c>
      <c r="F31" s="29">
        <v>0</v>
      </c>
      <c r="G31" s="29">
        <v>1</v>
      </c>
      <c r="H31" s="29">
        <v>0.95</v>
      </c>
      <c r="J31">
        <v>25</v>
      </c>
      <c r="K31" s="29">
        <v>0.05</v>
      </c>
      <c r="L31" s="29">
        <v>1.5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4"/>
        <v>1.1000000000000001</v>
      </c>
      <c r="AF31" s="43">
        <v>1.1000000000000001</v>
      </c>
      <c r="AG31" s="42">
        <f t="shared" si="2"/>
        <v>1.1550000000000002</v>
      </c>
      <c r="AH31" s="42">
        <f t="shared" si="3"/>
        <v>1.2560625000000001</v>
      </c>
      <c r="AI31" t="s">
        <v>735</v>
      </c>
      <c r="AJ31">
        <v>4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5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1.25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4"/>
        <v>1.1499999999999999</v>
      </c>
      <c r="AF32" s="43">
        <v>1.1499999999999999</v>
      </c>
      <c r="AG32" s="42">
        <f t="shared" si="2"/>
        <v>1.2649999999999999</v>
      </c>
      <c r="AH32" s="42">
        <f t="shared" si="3"/>
        <v>1.4932749999999999</v>
      </c>
      <c r="AI32" t="s">
        <v>715</v>
      </c>
      <c r="AJ32">
        <v>3.5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5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1.25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4"/>
        <v>1.1499999999999999</v>
      </c>
      <c r="AF33" s="43">
        <v>1.1499999999999999</v>
      </c>
      <c r="AG33" s="42">
        <f t="shared" si="2"/>
        <v>1.38</v>
      </c>
      <c r="AH33" s="42">
        <f t="shared" si="3"/>
        <v>1.5496249999999998</v>
      </c>
      <c r="AI33" t="s">
        <v>715</v>
      </c>
      <c r="AJ33">
        <v>3.5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5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1.25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4"/>
        <v>1.2</v>
      </c>
      <c r="AF34" s="43">
        <v>1.2</v>
      </c>
      <c r="AG34" s="42">
        <f t="shared" si="2"/>
        <v>1.26</v>
      </c>
      <c r="AH34" s="42">
        <f t="shared" si="3"/>
        <v>1.3109999999999999</v>
      </c>
      <c r="AI34" t="s">
        <v>226</v>
      </c>
      <c r="AJ34">
        <v>3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5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1.25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4"/>
        <v>1.25</v>
      </c>
      <c r="AF35" s="43">
        <v>1.25</v>
      </c>
      <c r="AG35" s="42">
        <f t="shared" ref="AG35:AG72" si="6">AE35*D35</f>
        <v>1.3125</v>
      </c>
      <c r="AH35" s="42">
        <f t="shared" ref="AH35:AH58" si="7">AE35*(D35+SUM(M35:N35)/50)*(1+K35*(L35+0.25))</f>
        <v>1.4109375</v>
      </c>
      <c r="AI35" t="s">
        <v>225</v>
      </c>
      <c r="AJ35">
        <v>3.5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5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1.5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4"/>
        <v>1.25</v>
      </c>
      <c r="AF36" s="43">
        <v>1.25</v>
      </c>
      <c r="AG36" s="42">
        <f t="shared" si="6"/>
        <v>1.375</v>
      </c>
      <c r="AH36" s="42">
        <f t="shared" si="7"/>
        <v>1.359375</v>
      </c>
      <c r="AI36" t="s">
        <v>224</v>
      </c>
      <c r="AJ36">
        <v>2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5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1.7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4"/>
        <v>1.2</v>
      </c>
      <c r="AF37" s="43">
        <v>1.2</v>
      </c>
      <c r="AG37" s="42">
        <f t="shared" si="6"/>
        <v>1.38</v>
      </c>
      <c r="AH37" s="42">
        <f t="shared" si="7"/>
        <v>1.5818249999999998</v>
      </c>
      <c r="AI37" t="s">
        <v>703</v>
      </c>
      <c r="AJ37">
        <v>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5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1.7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4"/>
        <v>1.2</v>
      </c>
      <c r="AF38" s="43">
        <v>1.2</v>
      </c>
      <c r="AG38" s="42">
        <f t="shared" si="6"/>
        <v>1.56</v>
      </c>
      <c r="AH38" s="42">
        <f t="shared" si="7"/>
        <v>1.6505999999999998</v>
      </c>
      <c r="AI38" t="s">
        <v>699</v>
      </c>
      <c r="AJ38">
        <v>3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4"/>
        <v>0</v>
      </c>
      <c r="AF39" s="43">
        <v>0</v>
      </c>
      <c r="AG39" s="42">
        <f t="shared" si="6"/>
        <v>0</v>
      </c>
      <c r="AH39" s="42">
        <f t="shared" si="7"/>
        <v>0</v>
      </c>
      <c r="AI39" t="s">
        <v>223</v>
      </c>
      <c r="AJ39">
        <v>3.5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1.5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4"/>
        <v>1.1000000000000001</v>
      </c>
      <c r="AF40" s="43">
        <v>1.1000000000000001</v>
      </c>
      <c r="AG40" s="42">
        <f t="shared" si="6"/>
        <v>1.2100000000000002</v>
      </c>
      <c r="AH40" s="42">
        <f t="shared" si="7"/>
        <v>1.3571250000000004</v>
      </c>
      <c r="AI40" t="s">
        <v>692</v>
      </c>
      <c r="AJ40">
        <v>4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1.5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4"/>
        <v>1.2</v>
      </c>
      <c r="AF41" s="43">
        <v>1.2</v>
      </c>
      <c r="AG41" s="42">
        <f t="shared" si="6"/>
        <v>1.5</v>
      </c>
      <c r="AH41" s="42">
        <f t="shared" si="7"/>
        <v>1.4805000000000001</v>
      </c>
      <c r="AI41" t="s">
        <v>222</v>
      </c>
      <c r="AJ41">
        <v>3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4"/>
        <v>0</v>
      </c>
      <c r="AF42" s="43">
        <v>0</v>
      </c>
      <c r="AG42" s="42">
        <f t="shared" si="6"/>
        <v>0</v>
      </c>
      <c r="AH42" s="42">
        <f t="shared" si="7"/>
        <v>0</v>
      </c>
      <c r="AI42" t="s">
        <v>686</v>
      </c>
      <c r="AJ42">
        <v>3.5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2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4"/>
        <v>1.05</v>
      </c>
      <c r="AF43" s="43">
        <v>1.05</v>
      </c>
      <c r="AG43" s="42">
        <f t="shared" si="6"/>
        <v>1.3125</v>
      </c>
      <c r="AH43" s="42">
        <f t="shared" si="7"/>
        <v>1.46015625</v>
      </c>
      <c r="AI43" t="s">
        <v>682</v>
      </c>
      <c r="AJ43">
        <v>4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2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4"/>
        <v>1.2</v>
      </c>
      <c r="AF44" s="43">
        <v>1.2</v>
      </c>
      <c r="AG44" s="42">
        <f t="shared" si="6"/>
        <v>1.56</v>
      </c>
      <c r="AH44" s="42">
        <f t="shared" si="7"/>
        <v>1.6020000000000001</v>
      </c>
      <c r="AI44" t="s">
        <v>700</v>
      </c>
      <c r="AJ44">
        <v>1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4"/>
        <v>0</v>
      </c>
      <c r="AF45" s="43">
        <v>0</v>
      </c>
      <c r="AG45" s="42">
        <f t="shared" si="6"/>
        <v>0</v>
      </c>
      <c r="AH45" s="42">
        <f t="shared" si="7"/>
        <v>0</v>
      </c>
      <c r="AI45" s="1" t="s">
        <v>221</v>
      </c>
      <c r="AJ45" s="1">
        <v>2</v>
      </c>
      <c r="AK45" s="1"/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1.75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4"/>
        <v>1.1000000000000001</v>
      </c>
      <c r="AF46" s="43">
        <v>1.1000000000000001</v>
      </c>
      <c r="AG46" s="42">
        <f t="shared" si="6"/>
        <v>1.2649999999999999</v>
      </c>
      <c r="AH46" s="42">
        <f t="shared" si="7"/>
        <v>1.331</v>
      </c>
      <c r="AI46" s="1" t="s">
        <v>220</v>
      </c>
      <c r="AJ46" s="1">
        <v>3</v>
      </c>
      <c r="AK46" s="1"/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1.75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4"/>
        <v>1.25</v>
      </c>
      <c r="AF47" s="43">
        <v>1.25</v>
      </c>
      <c r="AG47" s="42">
        <f t="shared" si="6"/>
        <v>1.4375</v>
      </c>
      <c r="AH47" s="42">
        <f t="shared" si="7"/>
        <v>1.5125</v>
      </c>
      <c r="AI47" s="1" t="s">
        <v>693</v>
      </c>
      <c r="AJ47" s="1">
        <v>3</v>
      </c>
      <c r="AK47" s="1"/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1.75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4"/>
        <v>1.25</v>
      </c>
      <c r="AF48" s="43">
        <v>1.25</v>
      </c>
      <c r="AG48" s="42">
        <f t="shared" si="6"/>
        <v>1.625</v>
      </c>
      <c r="AH48" s="42">
        <f t="shared" si="7"/>
        <v>1.5125000000000002</v>
      </c>
      <c r="AI48" s="1" t="s">
        <v>218</v>
      </c>
      <c r="AJ48" s="1">
        <v>3.5</v>
      </c>
      <c r="AK48" s="1"/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4"/>
        <v>0</v>
      </c>
      <c r="AF49" s="43">
        <v>0</v>
      </c>
      <c r="AG49" s="42">
        <f t="shared" si="6"/>
        <v>0</v>
      </c>
      <c r="AH49" s="42">
        <f t="shared" si="7"/>
        <v>0</v>
      </c>
      <c r="AI49" s="1" t="s">
        <v>652</v>
      </c>
      <c r="AJ49" s="1">
        <v>4</v>
      </c>
      <c r="AK49" s="1"/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1.5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4"/>
        <v>1.1000000000000001</v>
      </c>
      <c r="AF50" s="43">
        <v>1.1000000000000001</v>
      </c>
      <c r="AG50" s="42">
        <f t="shared" si="6"/>
        <v>1.1550000000000002</v>
      </c>
      <c r="AH50" s="42">
        <f t="shared" si="7"/>
        <v>1.3571250000000004</v>
      </c>
      <c r="AI50" t="s">
        <v>217</v>
      </c>
      <c r="AJ50">
        <v>2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1.5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4"/>
        <v>1.1499999999999999</v>
      </c>
      <c r="AF51" s="43">
        <v>1.1499999999999999</v>
      </c>
      <c r="AG51" s="42">
        <f t="shared" si="6"/>
        <v>1.3224999999999998</v>
      </c>
      <c r="AH51" s="42">
        <f t="shared" si="7"/>
        <v>1.3512499999999996</v>
      </c>
      <c r="AI51" t="s">
        <v>216</v>
      </c>
      <c r="AJ51">
        <v>3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1.5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4"/>
        <v>1.1499999999999999</v>
      </c>
      <c r="AF52" s="43">
        <v>1.1499999999999999</v>
      </c>
      <c r="AG52" s="42">
        <f t="shared" si="6"/>
        <v>1.4375</v>
      </c>
      <c r="AH52" s="42">
        <f t="shared" si="7"/>
        <v>1.3512499999999998</v>
      </c>
      <c r="AI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4"/>
        <v>0</v>
      </c>
      <c r="AF53" s="43">
        <v>0</v>
      </c>
      <c r="AG53" s="42">
        <f t="shared" si="6"/>
        <v>0</v>
      </c>
      <c r="AH53" s="42">
        <f t="shared" si="7"/>
        <v>0</v>
      </c>
      <c r="AI53" t="s">
        <v>213</v>
      </c>
      <c r="AJ53">
        <v>2.5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1.3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4"/>
        <v>0.5</v>
      </c>
      <c r="AF54" s="43">
        <v>1</v>
      </c>
      <c r="AG54" s="42">
        <f t="shared" si="6"/>
        <v>0.55000000000000004</v>
      </c>
      <c r="AH54" s="42">
        <f t="shared" si="7"/>
        <v>0.606375</v>
      </c>
      <c r="AI54" s="1" t="s">
        <v>210</v>
      </c>
      <c r="AJ54" s="1">
        <v>2</v>
      </c>
      <c r="AK54" s="36"/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1.3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4"/>
        <v>0.5</v>
      </c>
      <c r="AF55" s="43">
        <v>1.1499999999999999</v>
      </c>
      <c r="AG55" s="42">
        <f t="shared" si="6"/>
        <v>0.6</v>
      </c>
      <c r="AH55" s="42">
        <f t="shared" si="7"/>
        <v>0.606375</v>
      </c>
      <c r="AI55" s="1" t="s">
        <v>606</v>
      </c>
      <c r="AJ55" s="1">
        <v>5</v>
      </c>
      <c r="AK55" s="36"/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1.3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4"/>
        <v>0.5</v>
      </c>
      <c r="AF56" s="43">
        <v>1</v>
      </c>
      <c r="AG56" s="42">
        <f t="shared" si="6"/>
        <v>0.6</v>
      </c>
      <c r="AH56" s="42">
        <f t="shared" si="7"/>
        <v>0.51974999999999993</v>
      </c>
      <c r="AI56" s="1" t="s">
        <v>603</v>
      </c>
      <c r="AJ56" s="1">
        <v>2.5</v>
      </c>
      <c r="AK56" s="1"/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AA57" s="1"/>
      <c r="AB57" s="1"/>
      <c r="AD57" s="30"/>
      <c r="AE57" s="30"/>
      <c r="AF57" s="43"/>
      <c r="AG57" s="42">
        <f t="shared" si="6"/>
        <v>0</v>
      </c>
      <c r="AH57" s="42">
        <f t="shared" si="7"/>
        <v>0</v>
      </c>
      <c r="AI57" s="1"/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AA58" s="1">
        <v>71</v>
      </c>
      <c r="AB58" s="1" t="s">
        <v>498</v>
      </c>
      <c r="AD58" s="30"/>
      <c r="AE58" s="30">
        <f t="shared" ref="AE58:AE72" si="8">SUM(E58:G58)</f>
        <v>0</v>
      </c>
      <c r="AF58" s="43">
        <v>0</v>
      </c>
      <c r="AG58" s="42">
        <f t="shared" si="6"/>
        <v>0</v>
      </c>
      <c r="AH58" s="42">
        <f t="shared" si="7"/>
        <v>0</v>
      </c>
      <c r="AI58" s="1" t="s">
        <v>600</v>
      </c>
      <c r="AJ58" s="1">
        <v>4</v>
      </c>
      <c r="AK58" s="1"/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9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1.25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8"/>
        <v>0.8</v>
      </c>
      <c r="AF59" s="43">
        <v>0.8</v>
      </c>
      <c r="AG59" s="42">
        <f t="shared" si="6"/>
        <v>0.8</v>
      </c>
      <c r="AH59" s="42">
        <f t="shared" ref="AH59:AH64" si="10">MAX(AE59,H59)*(D59+SUM(M59:N59)/50)*(1+K59*(L59+0.25))</f>
        <v>1.2362499999999998</v>
      </c>
      <c r="AI59" t="s">
        <v>212</v>
      </c>
      <c r="AJ59">
        <v>3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30">
        <v>1.25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8"/>
        <v>0.8</v>
      </c>
      <c r="AF60" s="43">
        <v>0.8</v>
      </c>
      <c r="AG60" s="42">
        <f t="shared" si="6"/>
        <v>0.8</v>
      </c>
      <c r="AH60" s="42">
        <f t="shared" si="10"/>
        <v>1.34375</v>
      </c>
      <c r="AI60" s="1" t="s">
        <v>618</v>
      </c>
      <c r="AJ60" s="1">
        <v>4</v>
      </c>
      <c r="AK60" s="36"/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30">
        <v>1.25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8"/>
        <v>0.9</v>
      </c>
      <c r="AF61" s="43">
        <v>0.9</v>
      </c>
      <c r="AG61" s="42">
        <f t="shared" si="6"/>
        <v>0.9900000000000001</v>
      </c>
      <c r="AH61" s="42">
        <f t="shared" si="10"/>
        <v>1.34375</v>
      </c>
      <c r="AI61" s="1" t="s">
        <v>658</v>
      </c>
      <c r="AJ61" s="1"/>
      <c r="AK61" s="36"/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30">
        <v>1.25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8"/>
        <v>0.85</v>
      </c>
      <c r="AF62" s="43">
        <v>0.85</v>
      </c>
      <c r="AG62" s="42">
        <f t="shared" si="6"/>
        <v>0.97749999999999992</v>
      </c>
      <c r="AH62" s="42">
        <f t="shared" si="10"/>
        <v>1.5238124999999996</v>
      </c>
      <c r="AI62" s="1" t="s">
        <v>644</v>
      </c>
      <c r="AJ62" s="1">
        <v>2</v>
      </c>
      <c r="AK62" s="36"/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30">
        <v>1.25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8"/>
        <v>1</v>
      </c>
      <c r="AF63" s="43">
        <v>1</v>
      </c>
      <c r="AG63" s="42">
        <f t="shared" si="6"/>
        <v>1.1000000000000001</v>
      </c>
      <c r="AH63" s="42">
        <f t="shared" si="10"/>
        <v>1.3061250000000002</v>
      </c>
      <c r="AI63" s="1" t="s">
        <v>215</v>
      </c>
      <c r="AJ63" s="1">
        <v>3</v>
      </c>
      <c r="AK63" s="36"/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30">
        <v>1.25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8"/>
        <v>0.85</v>
      </c>
      <c r="AF64" s="43">
        <v>0.85</v>
      </c>
      <c r="AG64" s="42">
        <f t="shared" si="6"/>
        <v>0.97749999999999992</v>
      </c>
      <c r="AH64" s="42">
        <f t="shared" si="10"/>
        <v>1.3544999999999998</v>
      </c>
      <c r="AI64" s="1" t="s">
        <v>214</v>
      </c>
      <c r="AJ64" s="1">
        <v>3.5</v>
      </c>
      <c r="AK64" s="36"/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ref="AE65:AE67" si="11">SUM(E65:G65)</f>
        <v>0</v>
      </c>
      <c r="AF65" s="43">
        <v>0.85</v>
      </c>
      <c r="AG65" s="42">
        <f t="shared" ref="AG65:AG67" si="12">AE65*D65</f>
        <v>0</v>
      </c>
      <c r="AH65" s="42">
        <f t="shared" ref="AH65:AH67" si="13">MAX(AE65,H65)*(D65+SUM(M65:N65)/50)*(1+K65*(L65+0.25))</f>
        <v>0</v>
      </c>
      <c r="AI65" s="1" t="s">
        <v>646</v>
      </c>
      <c r="AJ65" s="1">
        <v>2</v>
      </c>
      <c r="AK65" s="36"/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1.35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11"/>
        <v>0.85</v>
      </c>
      <c r="AF66" s="43">
        <v>0.85</v>
      </c>
      <c r="AG66" s="42">
        <f t="shared" si="12"/>
        <v>0.89249999999999996</v>
      </c>
      <c r="AH66" s="42">
        <f t="shared" si="13"/>
        <v>1.0353000000000001</v>
      </c>
      <c r="AI66" s="37"/>
      <c r="AJ66" s="29"/>
      <c r="AK66" s="29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6"/>
      <c r="K67" s="30">
        <v>0.1</v>
      </c>
      <c r="L67" s="30">
        <v>1.5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11"/>
        <v>0.9</v>
      </c>
      <c r="AF67" s="43">
        <v>0.85</v>
      </c>
      <c r="AG67" s="42">
        <f t="shared" si="12"/>
        <v>0.9</v>
      </c>
      <c r="AH67" s="42">
        <f t="shared" si="13"/>
        <v>1.0575000000000001</v>
      </c>
      <c r="AI67" s="37"/>
      <c r="AJ67" s="29"/>
      <c r="AK67" s="29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si="8"/>
        <v>0</v>
      </c>
      <c r="AF68" s="43">
        <v>0</v>
      </c>
      <c r="AG68" s="42">
        <f t="shared" si="6"/>
        <v>0</v>
      </c>
      <c r="AH68" s="42">
        <f t="shared" ref="AH68:AH75" si="14">AE68*(D68+SUM(M68:N68)/50)*(1+K68*(L68+0.25))</f>
        <v>0</v>
      </c>
      <c r="AI68" s="1" t="s">
        <v>645</v>
      </c>
      <c r="AJ68" s="1">
        <v>8</v>
      </c>
      <c r="AK68" s="1"/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1.5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8"/>
        <v>0.65</v>
      </c>
      <c r="AF69" s="43">
        <v>0.65</v>
      </c>
      <c r="AG69" s="42">
        <f t="shared" si="6"/>
        <v>0.65</v>
      </c>
      <c r="AH69" s="42">
        <f t="shared" si="14"/>
        <v>0.70687499999999992</v>
      </c>
      <c r="AI69" s="1" t="s">
        <v>595</v>
      </c>
      <c r="AJ69" s="1">
        <v>6</v>
      </c>
      <c r="AK69" s="1"/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1.5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8"/>
        <v>0.95</v>
      </c>
      <c r="AF70" s="43">
        <v>0.95</v>
      </c>
      <c r="AG70" s="42">
        <f t="shared" si="6"/>
        <v>1.0449999999999999</v>
      </c>
      <c r="AH70" s="42">
        <f t="shared" si="14"/>
        <v>1.1364374999999998</v>
      </c>
      <c r="AI70" s="1" t="s">
        <v>591</v>
      </c>
      <c r="AJ70" s="1">
        <v>4</v>
      </c>
      <c r="AK70" s="1"/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1.5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8"/>
        <v>1.1000000000000001</v>
      </c>
      <c r="AF71" s="43">
        <v>1.1000000000000001</v>
      </c>
      <c r="AG71" s="42">
        <f t="shared" si="6"/>
        <v>1.2649999999999999</v>
      </c>
      <c r="AH71" s="42">
        <f t="shared" si="14"/>
        <v>1.1842874999999999</v>
      </c>
      <c r="AI71" s="1" t="s">
        <v>632</v>
      </c>
      <c r="AJ71" s="1">
        <v>10</v>
      </c>
      <c r="AK71" s="1"/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1.25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8"/>
        <v>0.65</v>
      </c>
      <c r="AF72" s="43">
        <v>0.65</v>
      </c>
      <c r="AG72" s="42">
        <f t="shared" si="6"/>
        <v>0.78</v>
      </c>
      <c r="AH72" s="42">
        <f t="shared" si="14"/>
        <v>0.83850000000000002</v>
      </c>
      <c r="AI72" s="1" t="s">
        <v>585</v>
      </c>
      <c r="AJ72" s="1">
        <v>2</v>
      </c>
      <c r="AK72" s="1"/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/>
      <c r="AG73" s="1"/>
      <c r="AH73" s="42">
        <f t="shared" si="14"/>
        <v>0</v>
      </c>
      <c r="AI73" s="1" t="s">
        <v>581</v>
      </c>
      <c r="AJ73" s="1">
        <v>2</v>
      </c>
      <c r="AK73" s="1"/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1.5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/>
      <c r="AF74" s="43">
        <f>I74/2</f>
        <v>1</v>
      </c>
      <c r="AG74" s="1"/>
      <c r="AH74" s="42">
        <f t="shared" si="14"/>
        <v>0</v>
      </c>
      <c r="AI74" s="1" t="s">
        <v>621</v>
      </c>
      <c r="AJ74" s="1">
        <v>4</v>
      </c>
      <c r="AK74" s="1"/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v>1.5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/>
      <c r="AF75" s="43">
        <f>I75/2</f>
        <v>1.35</v>
      </c>
      <c r="AG75" s="1"/>
      <c r="AH75" s="42">
        <f t="shared" si="14"/>
        <v>0</v>
      </c>
      <c r="AI75" s="1" t="s">
        <v>621</v>
      </c>
      <c r="AJ75" s="1">
        <v>4</v>
      </c>
      <c r="AK75" s="1"/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v>1.5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/>
      <c r="AF76" s="43"/>
      <c r="AG76" s="1"/>
      <c r="AH76" s="1"/>
      <c r="AI76" s="1" t="s">
        <v>619</v>
      </c>
      <c r="AJ76" s="1">
        <v>1</v>
      </c>
      <c r="AK76" s="1"/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30">
        <v>1.5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/>
      <c r="AG77" s="1"/>
      <c r="AH77" s="1"/>
      <c r="AI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30">
        <v>1.5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/>
      <c r="AG78" s="1"/>
      <c r="AH78" s="1"/>
      <c r="AI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/>
      <c r="AG79" s="1"/>
      <c r="AH79" s="1"/>
      <c r="AI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/>
      <c r="AG80" s="1"/>
      <c r="AH80" s="1"/>
      <c r="AI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/>
      <c r="AG81" s="1"/>
      <c r="AH81" s="1"/>
      <c r="AI81" s="1" t="s">
        <v>609</v>
      </c>
      <c r="AJ81" s="1">
        <v>1</v>
      </c>
      <c r="AK81" s="1"/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/>
      <c r="AG82" s="1"/>
      <c r="AH82" s="1"/>
      <c r="AI82" s="1" t="s">
        <v>607</v>
      </c>
      <c r="AJ82" s="1">
        <v>1</v>
      </c>
      <c r="AK82" s="1"/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/>
      <c r="AG83" s="1"/>
      <c r="AH83" s="1"/>
      <c r="AI83" s="1" t="s">
        <v>604</v>
      </c>
      <c r="AJ83" s="1">
        <v>1</v>
      </c>
      <c r="AK83" s="1"/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/>
      <c r="AG84" s="1"/>
      <c r="AH84" s="1"/>
      <c r="AI84" s="1" t="s">
        <v>539</v>
      </c>
      <c r="AJ84" s="1">
        <v>1</v>
      </c>
      <c r="AK84" s="1"/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/>
      <c r="AG85" s="1"/>
      <c r="AH85" s="1"/>
      <c r="AI85" s="1" t="s">
        <v>598</v>
      </c>
      <c r="AJ85" s="1">
        <v>1</v>
      </c>
      <c r="AK85" s="1"/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/>
      <c r="AG86" s="1"/>
      <c r="AH86" s="1"/>
      <c r="AI86" s="1" t="s">
        <v>0</v>
      </c>
      <c r="AJ86" s="1">
        <v>1</v>
      </c>
      <c r="AK86" s="1"/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/>
      <c r="AG87" s="1"/>
      <c r="AH87" s="1"/>
      <c r="AI87" s="1" t="s">
        <v>207</v>
      </c>
      <c r="AJ87" s="1">
        <v>3</v>
      </c>
      <c r="AK87" s="1"/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/>
      <c r="AG88" s="1"/>
      <c r="AH88" s="1"/>
      <c r="AI88" s="1" t="s">
        <v>592</v>
      </c>
      <c r="AJ88" s="1">
        <v>2.5</v>
      </c>
      <c r="AK88" s="1"/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/>
      <c r="AG89" s="1"/>
      <c r="AH89" s="1"/>
      <c r="AI89" s="1" t="s">
        <v>245</v>
      </c>
      <c r="AJ89" s="1">
        <v>2</v>
      </c>
      <c r="AK89" s="1"/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/>
      <c r="H90" s="30"/>
      <c r="I90" s="36">
        <v>2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/>
      <c r="AG90" s="1"/>
      <c r="AH90" s="1"/>
      <c r="AI90" s="1" t="s">
        <v>586</v>
      </c>
      <c r="AJ90" s="1">
        <v>2</v>
      </c>
      <c r="AK90" s="1"/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/>
      <c r="AG91" s="1"/>
      <c r="AH91" s="1"/>
      <c r="AI91" s="1" t="s">
        <v>582</v>
      </c>
      <c r="AJ91" s="1">
        <v>1</v>
      </c>
      <c r="AK91" s="1"/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/>
      <c r="AG92" s="1"/>
      <c r="AH92" s="1"/>
      <c r="AI92" s="1" t="s">
        <v>577</v>
      </c>
      <c r="AJ92" s="1">
        <v>1</v>
      </c>
      <c r="AK92" s="1"/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/>
      <c r="AG93" s="1"/>
      <c r="AH93" s="1"/>
      <c r="AI93" s="1" t="s">
        <v>576</v>
      </c>
      <c r="AJ93" s="1">
        <v>1</v>
      </c>
      <c r="AK93" s="1"/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/>
      <c r="AG94" s="1"/>
      <c r="AH94" s="1"/>
      <c r="AI94" s="1" t="s">
        <v>570</v>
      </c>
      <c r="AJ94" s="1">
        <v>1</v>
      </c>
      <c r="AK94" s="1"/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/>
      <c r="AG95" s="1"/>
      <c r="AH95" s="1"/>
      <c r="AI95" s="1" t="s">
        <v>89</v>
      </c>
      <c r="AJ95" s="1">
        <v>1</v>
      </c>
      <c r="AK95" s="1"/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/>
      <c r="AG96" s="1"/>
      <c r="AH96" s="1"/>
      <c r="AI96" s="1" t="s">
        <v>95</v>
      </c>
      <c r="AJ96" s="1">
        <v>1</v>
      </c>
      <c r="AK96" s="1"/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/>
      <c r="AG97" s="1"/>
      <c r="AH97" s="1"/>
      <c r="AI97" s="1" t="s">
        <v>563</v>
      </c>
      <c r="AJ97" s="1">
        <v>1</v>
      </c>
      <c r="AK97" s="1"/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/>
      <c r="AG98" s="39"/>
      <c r="AH98" s="39"/>
      <c r="AI98" s="39" t="s">
        <v>559</v>
      </c>
      <c r="AJ98" s="39">
        <v>1</v>
      </c>
      <c r="AK98" s="39"/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/>
      <c r="AG99" s="1"/>
      <c r="AH99" s="1"/>
      <c r="AI99" s="1" t="s">
        <v>554</v>
      </c>
      <c r="AJ99" s="1">
        <v>1</v>
      </c>
      <c r="AK99" s="1"/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/>
      <c r="AG100" s="1"/>
      <c r="AH100" s="1"/>
      <c r="AI100" s="1" t="s">
        <v>205</v>
      </c>
      <c r="AJ100" s="1">
        <v>1</v>
      </c>
      <c r="AK100" s="1"/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I101" t="s">
        <v>553</v>
      </c>
      <c r="AJ101">
        <v>1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I102" t="s">
        <v>552</v>
      </c>
      <c r="AJ102">
        <v>5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1.25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I103" t="s">
        <v>549</v>
      </c>
      <c r="AJ103">
        <v>3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1.25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7" si="15">T103</f>
        <v>0.35</v>
      </c>
      <c r="AG104" s="38"/>
      <c r="AH104" s="38"/>
      <c r="AI104" s="37" t="s">
        <v>545</v>
      </c>
      <c r="AJ104" s="29">
        <v>4</v>
      </c>
      <c r="AK104" s="29"/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5"/>
        <v>0.25</v>
      </c>
      <c r="AG105" s="38"/>
      <c r="AH105" s="38"/>
      <c r="AI105" s="37"/>
      <c r="AJ105" s="29"/>
      <c r="AK105" s="29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I106" s="37"/>
      <c r="AJ106" s="29"/>
      <c r="AK106" s="29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5"/>
        <v>7.0000000000000007E-2</v>
      </c>
      <c r="AG107" s="38"/>
      <c r="AH107" s="38"/>
      <c r="AI107" s="37"/>
      <c r="AJ107" s="29"/>
      <c r="AK107" s="29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5"/>
        <v>0.1</v>
      </c>
      <c r="AG108" s="38"/>
      <c r="AH108" s="38"/>
      <c r="AI108" s="37"/>
      <c r="AJ108" s="29"/>
      <c r="AK108" s="29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5"/>
        <v>0.05</v>
      </c>
      <c r="AG109" s="38"/>
      <c r="AH109" s="38"/>
      <c r="AI109" s="37"/>
      <c r="AJ109" s="29"/>
      <c r="AK109" s="29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5"/>
        <v>0.7</v>
      </c>
      <c r="AG110" s="38"/>
      <c r="AH110" s="38"/>
      <c r="AI110" s="37"/>
      <c r="AJ110" s="29"/>
      <c r="AK110" s="29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5"/>
        <v>0.5</v>
      </c>
      <c r="AG111" s="38"/>
      <c r="AH111" s="38"/>
      <c r="AI111" s="37"/>
      <c r="AJ111" s="29"/>
      <c r="AK111" s="29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5"/>
        <v>0.3</v>
      </c>
      <c r="AG112" s="38"/>
      <c r="AH112" s="38"/>
      <c r="AI112" s="37"/>
      <c r="AJ112" s="29"/>
      <c r="AK112" s="29"/>
      <c r="AL112" s="25"/>
      <c r="AM112" s="25"/>
    </row>
    <row r="113" spans="1:39" ht="19.5" thickBot="1" x14ac:dyDescent="0.25">
      <c r="A113" t="s">
        <v>205</v>
      </c>
      <c r="B113" t="s">
        <v>529</v>
      </c>
      <c r="C113" s="1" t="s">
        <v>528</v>
      </c>
      <c r="D113" s="36"/>
      <c r="G113" s="36">
        <v>1</v>
      </c>
      <c r="K113" s="30">
        <v>0.1</v>
      </c>
      <c r="L113" s="30">
        <v>1.5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 t="shared" si="15"/>
        <v>0.2</v>
      </c>
      <c r="AG113" s="35"/>
      <c r="AH113" s="35"/>
      <c r="AI113" s="37"/>
      <c r="AJ113" s="29"/>
      <c r="AK113" s="29"/>
      <c r="AL113" s="25"/>
      <c r="AM113" s="25"/>
    </row>
    <row r="114" spans="1:39" ht="19.5" thickBot="1" x14ac:dyDescent="0.25">
      <c r="A114" t="s">
        <v>525</v>
      </c>
      <c r="B114" t="s">
        <v>524</v>
      </c>
      <c r="C114" s="1" t="s">
        <v>523</v>
      </c>
      <c r="D114" s="36"/>
      <c r="T114" s="42">
        <v>0.25</v>
      </c>
      <c r="AA114" s="1">
        <v>2</v>
      </c>
      <c r="AB114" s="1" t="s">
        <v>498</v>
      </c>
      <c r="AC114" t="s">
        <v>522</v>
      </c>
      <c r="AD114" s="30"/>
      <c r="AE114" s="30"/>
      <c r="AF114" s="43">
        <f t="shared" si="15"/>
        <v>0.15</v>
      </c>
      <c r="AG114" s="35"/>
      <c r="AH114" s="35"/>
      <c r="AI114" s="34"/>
      <c r="AJ114" s="29"/>
      <c r="AK114" s="29"/>
      <c r="AL114" s="25"/>
      <c r="AM114" s="25"/>
    </row>
    <row r="115" spans="1:39" ht="19.5" thickBot="1" x14ac:dyDescent="0.25">
      <c r="A115" t="s">
        <v>521</v>
      </c>
      <c r="B115" t="s">
        <v>520</v>
      </c>
      <c r="C115" s="1" t="s">
        <v>519</v>
      </c>
      <c r="D115" s="36"/>
      <c r="T115" s="42">
        <v>0.45</v>
      </c>
      <c r="AA115" s="1">
        <v>3</v>
      </c>
      <c r="AB115" s="1" t="s">
        <v>498</v>
      </c>
      <c r="AC115" t="s">
        <v>518</v>
      </c>
      <c r="AD115" s="30"/>
      <c r="AE115" s="30"/>
      <c r="AF115" s="43">
        <f t="shared" si="15"/>
        <v>0.25</v>
      </c>
      <c r="AG115" s="35"/>
      <c r="AH115" s="35"/>
      <c r="AI115" s="34"/>
      <c r="AJ115" s="29"/>
      <c r="AK115" s="29"/>
      <c r="AL115" s="25"/>
      <c r="AM115" s="25"/>
    </row>
    <row r="116" spans="1:39" ht="19.5" thickBot="1" x14ac:dyDescent="0.25">
      <c r="A116" t="s">
        <v>517</v>
      </c>
      <c r="B116" t="s">
        <v>516</v>
      </c>
      <c r="C116" s="1" t="s">
        <v>515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T116" s="42">
        <v>0.1</v>
      </c>
      <c r="Z116" t="s">
        <v>514</v>
      </c>
      <c r="AA116" s="1">
        <v>2</v>
      </c>
      <c r="AB116" s="1" t="s">
        <v>498</v>
      </c>
      <c r="AC116" t="s">
        <v>513</v>
      </c>
      <c r="AD116" s="30"/>
      <c r="AE116" s="30"/>
      <c r="AF116" s="43">
        <f t="shared" si="15"/>
        <v>0.45</v>
      </c>
      <c r="AG116" s="35"/>
      <c r="AH116" s="35"/>
      <c r="AI116" s="34"/>
      <c r="AJ116" s="29"/>
      <c r="AK116" s="29"/>
      <c r="AL116" s="25"/>
      <c r="AM116" s="25"/>
    </row>
    <row r="117" spans="1:39" ht="19.5" thickBot="1" x14ac:dyDescent="0.25">
      <c r="C117" s="1"/>
      <c r="D117" s="36"/>
      <c r="E117" s="29"/>
      <c r="F117" s="29"/>
      <c r="G117" s="29"/>
      <c r="AA117" s="1"/>
      <c r="AB117" s="1"/>
      <c r="AD117" s="30"/>
      <c r="AE117" s="30"/>
      <c r="AF117" s="43">
        <f t="shared" si="15"/>
        <v>0.1</v>
      </c>
      <c r="AG117" s="35"/>
      <c r="AH117" s="35"/>
      <c r="AI117" s="34"/>
      <c r="AJ117" s="29"/>
      <c r="AK117" s="29"/>
      <c r="AL117" s="25"/>
      <c r="AM117" s="25"/>
    </row>
    <row r="118" spans="1:39" ht="19.5" thickBot="1" x14ac:dyDescent="0.25">
      <c r="A118" s="1" t="s">
        <v>100</v>
      </c>
      <c r="B118" s="1" t="s">
        <v>99</v>
      </c>
      <c r="C118" s="1" t="s">
        <v>500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1"/>
      <c r="P118" s="1"/>
      <c r="Q118" s="1"/>
      <c r="R118" s="1"/>
      <c r="S118" s="1"/>
      <c r="T118" s="36"/>
      <c r="AA118" s="1">
        <v>1</v>
      </c>
      <c r="AB118" s="1" t="s">
        <v>512</v>
      </c>
      <c r="AC118" t="s">
        <v>511</v>
      </c>
      <c r="AD118" s="30"/>
      <c r="AE118" s="30"/>
      <c r="AF118" s="43">
        <v>1</v>
      </c>
      <c r="AG118" s="38"/>
      <c r="AH118" s="38"/>
      <c r="AI118" s="37"/>
      <c r="AJ118" s="29"/>
      <c r="AK118" s="29"/>
      <c r="AL118" s="25"/>
      <c r="AM118" s="25"/>
    </row>
    <row r="119" spans="1:39" ht="19.5" thickBot="1" x14ac:dyDescent="0.25">
      <c r="A119" s="1" t="s">
        <v>0</v>
      </c>
      <c r="B119" s="1" t="s">
        <v>98</v>
      </c>
      <c r="C119" s="1" t="s">
        <v>500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510</v>
      </c>
      <c r="AC119" t="s">
        <v>509</v>
      </c>
      <c r="AD119" s="30"/>
      <c r="AE119" s="30"/>
      <c r="AF119" s="43">
        <v>1</v>
      </c>
      <c r="AG119" s="38"/>
      <c r="AH119" s="38"/>
      <c r="AI119" s="37"/>
      <c r="AJ119" s="29"/>
      <c r="AK119" s="29"/>
      <c r="AL119" s="25"/>
      <c r="AM119" s="25"/>
    </row>
    <row r="120" spans="1:39" ht="19.5" thickBot="1" x14ac:dyDescent="0.25">
      <c r="A120" s="1" t="s">
        <v>95</v>
      </c>
      <c r="B120" s="1" t="s">
        <v>94</v>
      </c>
      <c r="C120" s="1" t="s">
        <v>500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T120" s="36"/>
      <c r="AA120" s="1">
        <v>1</v>
      </c>
      <c r="AB120" s="1" t="s">
        <v>506</v>
      </c>
      <c r="AC120" t="s">
        <v>505</v>
      </c>
      <c r="AD120" s="30"/>
      <c r="AE120" s="30"/>
      <c r="AF120" s="43">
        <v>1</v>
      </c>
      <c r="AG120" s="35"/>
      <c r="AH120" s="35"/>
      <c r="AI120" s="37"/>
      <c r="AJ120" s="29"/>
      <c r="AK120" s="29"/>
      <c r="AL120" s="25"/>
      <c r="AM120" s="25"/>
    </row>
    <row r="121" spans="1:39" ht="19.5" thickBot="1" x14ac:dyDescent="0.25">
      <c r="A121" s="1" t="s">
        <v>93</v>
      </c>
      <c r="B121" s="1" t="s">
        <v>1246</v>
      </c>
      <c r="C121" s="1" t="s">
        <v>500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T121" s="36">
        <v>0.05</v>
      </c>
      <c r="AA121" s="1">
        <v>1</v>
      </c>
      <c r="AB121" s="1" t="s">
        <v>504</v>
      </c>
      <c r="AC121" t="s">
        <v>503</v>
      </c>
      <c r="AD121" s="30"/>
      <c r="AE121" s="30"/>
      <c r="AF121" s="43">
        <v>1</v>
      </c>
      <c r="AG121" s="35"/>
      <c r="AH121" s="35"/>
      <c r="AI121" s="37"/>
      <c r="AJ121" s="29"/>
      <c r="AK121" s="29"/>
      <c r="AL121" s="25"/>
      <c r="AM121" s="25"/>
    </row>
    <row r="122" spans="1:39" ht="19.5" thickBot="1" x14ac:dyDescent="0.25">
      <c r="A122" s="1" t="s">
        <v>91</v>
      </c>
      <c r="B122" s="1" t="s">
        <v>90</v>
      </c>
      <c r="C122" s="1" t="s">
        <v>500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P122" s="1"/>
      <c r="Q122" s="1"/>
      <c r="R122" s="1"/>
      <c r="S122" s="1"/>
      <c r="T122" s="1"/>
      <c r="AA122" s="1">
        <v>1</v>
      </c>
      <c r="AB122" s="1" t="s">
        <v>502</v>
      </c>
      <c r="AC122" t="s">
        <v>501</v>
      </c>
      <c r="AD122" s="30"/>
      <c r="AE122" s="30"/>
      <c r="AF122" s="43">
        <v>1</v>
      </c>
      <c r="AG122" s="35"/>
      <c r="AH122" s="35"/>
      <c r="AI122" s="37"/>
      <c r="AJ122" s="29"/>
      <c r="AK122" s="29"/>
      <c r="AL122" s="25"/>
      <c r="AM122" s="25"/>
    </row>
    <row r="123" spans="1:39" ht="19.5" thickBot="1" x14ac:dyDescent="0.25">
      <c r="A123" s="1" t="s">
        <v>89</v>
      </c>
      <c r="B123" s="1" t="s">
        <v>88</v>
      </c>
      <c r="C123" s="1" t="s">
        <v>500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AA123" s="1">
        <v>1</v>
      </c>
      <c r="AB123" s="1" t="s">
        <v>498</v>
      </c>
      <c r="AC123" t="s">
        <v>499</v>
      </c>
      <c r="AD123" s="30"/>
      <c r="AE123" s="30"/>
      <c r="AF123" s="43">
        <v>0.5</v>
      </c>
      <c r="AG123" s="35"/>
      <c r="AH123" s="35"/>
      <c r="AI123" s="34"/>
      <c r="AJ123" s="29"/>
      <c r="AK123" s="29"/>
      <c r="AL123" s="25"/>
      <c r="AM123" s="25"/>
    </row>
    <row r="124" spans="1:39" ht="19.5" thickBot="1" x14ac:dyDescent="0.25">
      <c r="AC124" t="s">
        <v>498</v>
      </c>
      <c r="AD124" s="30"/>
      <c r="AE124" s="30"/>
      <c r="AG124" s="35"/>
      <c r="AH124" s="35"/>
      <c r="AI124" s="34"/>
      <c r="AJ124" s="29"/>
      <c r="AK124" s="29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I125" s="34"/>
      <c r="AJ125" s="29"/>
      <c r="AK125" s="29"/>
      <c r="AL125" s="25"/>
      <c r="AM125" s="25"/>
    </row>
    <row r="126" spans="1:39" ht="36.75" thickBot="1" x14ac:dyDescent="0.25">
      <c r="A126" s="18" t="s">
        <v>192</v>
      </c>
      <c r="B126" s="18" t="s">
        <v>191</v>
      </c>
      <c r="C126" s="21" t="s">
        <v>188</v>
      </c>
      <c r="D126" s="20" t="s">
        <v>187</v>
      </c>
      <c r="E126" s="20" t="s">
        <v>186</v>
      </c>
      <c r="F126" s="20" t="s">
        <v>185</v>
      </c>
      <c r="G126" s="20" t="s">
        <v>184</v>
      </c>
      <c r="H126" s="31" t="s">
        <v>183</v>
      </c>
      <c r="I126" s="31" t="s">
        <v>182</v>
      </c>
      <c r="J126" s="20" t="s">
        <v>874</v>
      </c>
      <c r="K126" s="31" t="s">
        <v>178</v>
      </c>
      <c r="L126" s="31" t="s">
        <v>177</v>
      </c>
      <c r="M126" s="18" t="s">
        <v>176</v>
      </c>
      <c r="N126" s="18" t="s">
        <v>175</v>
      </c>
      <c r="O126" s="18"/>
      <c r="P126" s="18"/>
      <c r="Q126" s="18"/>
      <c r="R126" s="18"/>
      <c r="S126" s="18"/>
      <c r="T126" s="17" t="s">
        <v>167</v>
      </c>
      <c r="U126" s="16" t="s">
        <v>174</v>
      </c>
      <c r="V126" s="16" t="s">
        <v>173</v>
      </c>
      <c r="W126" s="16" t="s">
        <v>172</v>
      </c>
      <c r="X126" s="17" t="s">
        <v>171</v>
      </c>
      <c r="Y126" s="16" t="s">
        <v>170</v>
      </c>
      <c r="AG126" s="35"/>
      <c r="AH126" s="35"/>
      <c r="AI126" s="34"/>
      <c r="AJ126" s="29"/>
      <c r="AK126" s="29"/>
      <c r="AL126" s="25"/>
      <c r="AM126" s="25"/>
    </row>
    <row r="127" spans="1:39" ht="19.5" thickBot="1" x14ac:dyDescent="0.25">
      <c r="A127" t="s">
        <v>1228</v>
      </c>
      <c r="B127" t="s">
        <v>1237</v>
      </c>
      <c r="C127" t="s">
        <v>1228</v>
      </c>
      <c r="D127" s="29">
        <v>0.95</v>
      </c>
      <c r="E127" s="29">
        <v>0</v>
      </c>
      <c r="F127" s="29">
        <v>0</v>
      </c>
      <c r="G127" s="29">
        <v>1</v>
      </c>
      <c r="H127" s="29">
        <v>0.7</v>
      </c>
      <c r="I127" s="29" t="s">
        <v>1243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/>
      <c r="P127" s="29"/>
      <c r="Q127" s="29"/>
      <c r="R127" s="29"/>
      <c r="S127" s="29"/>
      <c r="T127" s="29" t="s">
        <v>1243</v>
      </c>
      <c r="U127" s="29" t="s">
        <v>1243</v>
      </c>
      <c r="V127" s="29" t="s">
        <v>1243</v>
      </c>
      <c r="W127" s="29" t="s">
        <v>1243</v>
      </c>
      <c r="X127" s="33">
        <v>2</v>
      </c>
      <c r="Y127" t="s">
        <v>1229</v>
      </c>
      <c r="AG127" s="35"/>
      <c r="AH127" s="35"/>
      <c r="AI127" s="34"/>
      <c r="AJ127" s="29"/>
      <c r="AK127" s="29"/>
      <c r="AL127" s="25"/>
      <c r="AM127" s="25"/>
    </row>
    <row r="128" spans="1:39" ht="19.5" thickBot="1" x14ac:dyDescent="0.25">
      <c r="A128" t="s">
        <v>1230</v>
      </c>
      <c r="B128" t="s">
        <v>1238</v>
      </c>
      <c r="C128" t="s">
        <v>1230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1243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1</v>
      </c>
      <c r="Y128" t="s">
        <v>1231</v>
      </c>
      <c r="AG128" s="35"/>
      <c r="AH128" s="35"/>
      <c r="AI128" s="34"/>
      <c r="AJ128" s="29"/>
      <c r="AK128" s="29"/>
      <c r="AL128" s="25"/>
      <c r="AM128" s="25"/>
    </row>
    <row r="129" spans="1:39" ht="19.5" thickBot="1" x14ac:dyDescent="0.25">
      <c r="A129" t="s">
        <v>1232</v>
      </c>
      <c r="B129" t="s">
        <v>1239</v>
      </c>
      <c r="C129" t="s">
        <v>1232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1243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G129" s="35"/>
      <c r="AH129" s="35"/>
      <c r="AI129" s="34"/>
      <c r="AJ129" s="29"/>
      <c r="AK129" s="29"/>
      <c r="AL129" s="25"/>
      <c r="AM129" s="25"/>
    </row>
    <row r="130" spans="1:39" ht="19.5" thickBot="1" x14ac:dyDescent="0.25">
      <c r="A130" t="s">
        <v>1233</v>
      </c>
      <c r="B130" t="s">
        <v>1240</v>
      </c>
      <c r="C130" t="s">
        <v>1233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1243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2</v>
      </c>
      <c r="Y130" t="s">
        <v>1229</v>
      </c>
      <c r="AL130" s="25"/>
      <c r="AM130" s="25"/>
    </row>
    <row r="131" spans="1:39" ht="19.5" thickBot="1" x14ac:dyDescent="0.25">
      <c r="A131" t="s">
        <v>1234</v>
      </c>
      <c r="B131" t="s">
        <v>1241</v>
      </c>
      <c r="C131" t="s">
        <v>1234</v>
      </c>
      <c r="D131" s="29">
        <v>0.85</v>
      </c>
      <c r="E131" s="29">
        <v>0</v>
      </c>
      <c r="F131" s="29">
        <v>0</v>
      </c>
      <c r="G131" s="29">
        <v>0.7</v>
      </c>
      <c r="H131" s="29">
        <v>0.3</v>
      </c>
      <c r="I131" s="29" t="s">
        <v>1243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1</v>
      </c>
      <c r="Y131" t="s">
        <v>1235</v>
      </c>
      <c r="AL131" s="25"/>
      <c r="AM131" s="25"/>
    </row>
    <row r="132" spans="1:39" ht="19.5" thickBot="1" x14ac:dyDescent="0.25">
      <c r="A132" t="s">
        <v>1236</v>
      </c>
      <c r="B132" t="s">
        <v>1242</v>
      </c>
      <c r="C132" t="s">
        <v>1236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1243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1</v>
      </c>
      <c r="Y132" t="s">
        <v>1235</v>
      </c>
      <c r="AL132" s="25"/>
      <c r="AM132" s="25"/>
    </row>
    <row r="133" spans="1:39" ht="19.5" thickBot="1" x14ac:dyDescent="0.25"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F244">
        <v>0.2</v>
      </c>
      <c r="AL244" s="25"/>
      <c r="AM244" s="25"/>
    </row>
    <row r="245" spans="6:39" ht="19.5" thickBot="1" x14ac:dyDescent="0.25">
      <c r="F245">
        <v>0.5</v>
      </c>
      <c r="AL245" s="25"/>
      <c r="AM245" s="25"/>
    </row>
    <row r="246" spans="6:39" ht="19.5" thickBot="1" x14ac:dyDescent="0.25">
      <c r="F246">
        <v>0.8</v>
      </c>
      <c r="AL246" s="25"/>
      <c r="AM246" s="25"/>
    </row>
    <row r="247" spans="6:39" ht="19.5" thickBot="1" x14ac:dyDescent="0.25"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F249">
        <v>0.25</v>
      </c>
      <c r="AL249" s="25"/>
      <c r="AM249" s="25"/>
    </row>
    <row r="250" spans="6:39" ht="19.5" thickBot="1" x14ac:dyDescent="0.25">
      <c r="F250">
        <v>0.55000000000000004</v>
      </c>
      <c r="AL250" s="25"/>
      <c r="AM250" s="25"/>
    </row>
    <row r="251" spans="6:39" ht="19.5" thickBot="1" x14ac:dyDescent="0.25">
      <c r="F251">
        <v>0.85</v>
      </c>
      <c r="AL251" s="25"/>
      <c r="AM251" s="25"/>
    </row>
    <row r="252" spans="6:39" ht="19.5" thickBot="1" x14ac:dyDescent="0.25"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F254">
        <v>0.2</v>
      </c>
      <c r="AL254" s="25"/>
      <c r="AM254" s="25"/>
    </row>
    <row r="255" spans="6:39" ht="19.5" thickBot="1" x14ac:dyDescent="0.25">
      <c r="F255">
        <v>0.5</v>
      </c>
      <c r="AL255" s="25"/>
      <c r="AM255" s="25"/>
    </row>
    <row r="256" spans="6:39" ht="19.5" thickBot="1" x14ac:dyDescent="0.25">
      <c r="F256">
        <v>0.8</v>
      </c>
      <c r="AL256" s="25"/>
      <c r="AM256" s="25"/>
    </row>
    <row r="257" spans="5:39" ht="19.5" thickBot="1" x14ac:dyDescent="0.25"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E269" t="s">
        <v>497</v>
      </c>
      <c r="F269" t="s">
        <v>495</v>
      </c>
      <c r="G269" t="s">
        <v>494</v>
      </c>
      <c r="AL269" s="25"/>
      <c r="AM269" s="25"/>
    </row>
    <row r="270" spans="5:39" ht="19.5" thickBot="1" x14ac:dyDescent="0.25"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D275" t="s">
        <v>497</v>
      </c>
      <c r="E275" t="s">
        <v>495</v>
      </c>
      <c r="F275" t="s">
        <v>494</v>
      </c>
      <c r="G275" t="s">
        <v>493</v>
      </c>
      <c r="AL275" s="25"/>
      <c r="AM275" s="25"/>
    </row>
    <row r="276" spans="4:39" ht="19.5" thickBot="1" x14ac:dyDescent="0.25"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D282" t="s">
        <v>496</v>
      </c>
      <c r="E282" t="s">
        <v>495</v>
      </c>
      <c r="F282" t="s">
        <v>494</v>
      </c>
      <c r="G282" t="s">
        <v>493</v>
      </c>
      <c r="AL282" s="25"/>
      <c r="AM282" s="25"/>
    </row>
    <row r="283" spans="4:39" ht="19.5" thickBot="1" x14ac:dyDescent="0.25">
      <c r="D283">
        <v>0.15</v>
      </c>
      <c r="E283">
        <v>0.15</v>
      </c>
      <c r="F283">
        <v>0.15</v>
      </c>
      <c r="G283">
        <v>0.15</v>
      </c>
      <c r="AL283" s="25"/>
      <c r="AM283" s="25"/>
    </row>
    <row r="284" spans="4:39" ht="19.5" thickBot="1" x14ac:dyDescent="0.25">
      <c r="D284">
        <v>0.5</v>
      </c>
      <c r="E284">
        <v>0.25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0.25</v>
      </c>
      <c r="E285">
        <v>0.5</v>
      </c>
      <c r="F285">
        <v>0</v>
      </c>
      <c r="G285">
        <v>0</v>
      </c>
      <c r="AL285" s="25"/>
      <c r="AM285" s="25"/>
    </row>
    <row r="286" spans="4:39" ht="19.5" thickBot="1" x14ac:dyDescent="0.25">
      <c r="D286">
        <v>0.25</v>
      </c>
      <c r="E286">
        <v>0.4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1</v>
      </c>
      <c r="E287">
        <v>1</v>
      </c>
      <c r="F287">
        <v>1</v>
      </c>
      <c r="G287">
        <v>1</v>
      </c>
      <c r="AL287" s="25"/>
      <c r="AM287" s="25"/>
    </row>
    <row r="288" spans="4:39" ht="19.5" thickBot="1" x14ac:dyDescent="0.25">
      <c r="D288">
        <v>0.15</v>
      </c>
      <c r="E288">
        <v>0.05</v>
      </c>
      <c r="F288">
        <v>0.1</v>
      </c>
      <c r="G288">
        <v>1</v>
      </c>
      <c r="AL288" s="25"/>
      <c r="AM288" s="25"/>
    </row>
    <row r="289" spans="4:39" ht="19.5" thickBot="1" x14ac:dyDescent="0.25">
      <c r="D289">
        <v>0.4</v>
      </c>
      <c r="E289">
        <v>0.1</v>
      </c>
      <c r="F289">
        <v>0.4</v>
      </c>
      <c r="G289">
        <v>0.4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0.5</v>
      </c>
      <c r="E291">
        <v>0.1</v>
      </c>
      <c r="F291">
        <v>0.25</v>
      </c>
      <c r="G291">
        <v>0.5</v>
      </c>
      <c r="AL291" s="25"/>
      <c r="AM291" s="25"/>
    </row>
    <row r="292" spans="4:39" ht="19.5" thickBot="1" x14ac:dyDescent="0.25">
      <c r="D292">
        <v>0.4</v>
      </c>
      <c r="E292">
        <v>0.1</v>
      </c>
      <c r="F292">
        <v>0.4</v>
      </c>
      <c r="G292">
        <v>0.25</v>
      </c>
      <c r="AL292" s="25"/>
      <c r="AM292" s="25"/>
    </row>
    <row r="293" spans="4:39" ht="19.5" thickBot="1" x14ac:dyDescent="0.25">
      <c r="D293">
        <v>0.15</v>
      </c>
      <c r="E293">
        <v>0</v>
      </c>
      <c r="F293">
        <v>0.1</v>
      </c>
      <c r="G293">
        <v>0.05</v>
      </c>
      <c r="AL293" s="25"/>
      <c r="AM293" s="25"/>
    </row>
    <row r="294" spans="4:39" ht="19.5" thickBot="1" x14ac:dyDescent="0.25">
      <c r="D294">
        <v>0.05</v>
      </c>
      <c r="E294">
        <v>0</v>
      </c>
      <c r="F294">
        <v>0.02</v>
      </c>
      <c r="G294">
        <v>0.05</v>
      </c>
      <c r="AL294" s="25"/>
      <c r="AM294" s="25"/>
    </row>
    <row r="295" spans="4:39" ht="19.5" thickBot="1" x14ac:dyDescent="0.25">
      <c r="D295">
        <v>0.15</v>
      </c>
      <c r="E295">
        <v>0</v>
      </c>
      <c r="F295">
        <v>0.1</v>
      </c>
      <c r="G295">
        <v>0.1</v>
      </c>
      <c r="AL295" s="25"/>
      <c r="AM295" s="25"/>
    </row>
    <row r="296" spans="4:39" ht="19.5" thickBot="1" x14ac:dyDescent="0.25">
      <c r="D296">
        <v>0.35</v>
      </c>
      <c r="E296">
        <v>0.35</v>
      </c>
      <c r="F296">
        <v>0.35</v>
      </c>
      <c r="G296">
        <v>0.35</v>
      </c>
      <c r="AL296" s="25"/>
      <c r="AM296" s="25"/>
    </row>
    <row r="297" spans="4:39" ht="19.5" thickBot="1" x14ac:dyDescent="0.25">
      <c r="D297">
        <v>0.5</v>
      </c>
      <c r="E297">
        <v>0.5</v>
      </c>
      <c r="F297">
        <v>0.5</v>
      </c>
      <c r="G297">
        <v>0.5</v>
      </c>
      <c r="AL297" s="25"/>
      <c r="AM297" s="25"/>
    </row>
    <row r="298" spans="4:39" ht="19.5" thickBot="1" x14ac:dyDescent="0.25">
      <c r="D298">
        <v>0.15</v>
      </c>
      <c r="E298">
        <v>0</v>
      </c>
      <c r="F298">
        <v>0.05</v>
      </c>
      <c r="G298">
        <v>0.35</v>
      </c>
      <c r="AL298" s="25"/>
      <c r="AM298" s="25"/>
    </row>
    <row r="299" spans="4:39" ht="19.5" thickBot="1" x14ac:dyDescent="0.25">
      <c r="D299">
        <v>0.4</v>
      </c>
      <c r="E299">
        <v>0.1</v>
      </c>
      <c r="F299">
        <v>0.4</v>
      </c>
      <c r="G299">
        <v>0.25</v>
      </c>
      <c r="AL299" s="25"/>
      <c r="AM299" s="25"/>
    </row>
    <row r="300" spans="4:39" ht="19.5" thickBot="1" x14ac:dyDescent="0.25">
      <c r="D300">
        <v>0.1</v>
      </c>
      <c r="E300">
        <v>0</v>
      </c>
      <c r="F300">
        <v>0</v>
      </c>
      <c r="G300">
        <v>0.1</v>
      </c>
      <c r="AL300" s="25"/>
      <c r="AM300" s="25"/>
    </row>
    <row r="301" spans="4:39" ht="19.5" thickBot="1" x14ac:dyDescent="0.25">
      <c r="D301">
        <v>0.05</v>
      </c>
      <c r="E301">
        <v>0</v>
      </c>
      <c r="F301">
        <v>0</v>
      </c>
      <c r="G301">
        <v>0.05</v>
      </c>
      <c r="AL301" s="25"/>
      <c r="AM301" s="25"/>
    </row>
    <row r="302" spans="4:39" ht="19.5" thickBot="1" x14ac:dyDescent="0.25">
      <c r="D302">
        <v>0.1</v>
      </c>
      <c r="E302">
        <v>0</v>
      </c>
      <c r="F302">
        <v>0</v>
      </c>
      <c r="G302">
        <v>0.25</v>
      </c>
      <c r="AL302" s="25"/>
      <c r="AM302" s="25"/>
    </row>
    <row r="303" spans="4:39" ht="19.5" thickBot="1" x14ac:dyDescent="0.25">
      <c r="D303">
        <v>0.85</v>
      </c>
      <c r="E303">
        <v>0.25</v>
      </c>
      <c r="F303">
        <v>0.7</v>
      </c>
      <c r="G303">
        <v>0.65</v>
      </c>
      <c r="AL303" s="25"/>
      <c r="AM303" s="25"/>
    </row>
    <row r="304" spans="4:39" ht="19.5" thickBot="1" x14ac:dyDescent="0.25">
      <c r="D304">
        <v>0.15</v>
      </c>
      <c r="E304">
        <v>0</v>
      </c>
      <c r="F304">
        <v>0.1</v>
      </c>
      <c r="G304">
        <v>0.1</v>
      </c>
      <c r="AL304" s="25"/>
      <c r="AM304" s="25"/>
    </row>
    <row r="305" spans="4:39" ht="19.5" thickBot="1" x14ac:dyDescent="0.25">
      <c r="D305">
        <v>0.1</v>
      </c>
      <c r="E305">
        <v>0</v>
      </c>
      <c r="F305">
        <v>0</v>
      </c>
      <c r="G305">
        <v>0.1</v>
      </c>
      <c r="AL305" s="25"/>
      <c r="AM305" s="25"/>
    </row>
    <row r="306" spans="4:39" ht="19.5" thickBot="1" x14ac:dyDescent="0.25">
      <c r="E306" t="s">
        <v>495</v>
      </c>
      <c r="F306" t="s">
        <v>494</v>
      </c>
      <c r="G306" t="s">
        <v>493</v>
      </c>
      <c r="AL306" s="25"/>
      <c r="AM306" s="25"/>
    </row>
    <row r="307" spans="4:39" ht="19.5" thickBot="1" x14ac:dyDescent="0.25">
      <c r="E307">
        <v>0.25</v>
      </c>
      <c r="F307">
        <v>0.25</v>
      </c>
      <c r="G307">
        <v>0.25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D372">
        <v>0.35</v>
      </c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D419" t="s">
        <v>123</v>
      </c>
      <c r="E419" t="s">
        <v>492</v>
      </c>
      <c r="F419" t="s">
        <v>491</v>
      </c>
      <c r="G419" t="s">
        <v>490</v>
      </c>
      <c r="AL419" s="25"/>
      <c r="AM419" s="25"/>
    </row>
    <row r="420" spans="4:39" ht="19.5" thickBot="1" x14ac:dyDescent="0.25">
      <c r="E420">
        <v>-25</v>
      </c>
      <c r="AL420" s="25"/>
      <c r="AM420" s="25"/>
    </row>
    <row r="421" spans="4:39" ht="19.5" thickBot="1" x14ac:dyDescent="0.25"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D457">
        <v>1</v>
      </c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D463">
        <v>1</v>
      </c>
      <c r="AL463" s="25"/>
      <c r="AM463" s="25"/>
    </row>
    <row r="464" spans="4:39" ht="19.5" thickBot="1" x14ac:dyDescent="0.25">
      <c r="D464">
        <v>1</v>
      </c>
      <c r="G464">
        <v>0.85</v>
      </c>
      <c r="H464" s="29">
        <v>0.18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L467" s="25"/>
      <c r="AM467" s="25"/>
    </row>
    <row r="468" spans="4:39" ht="19.5" thickBot="1" x14ac:dyDescent="0.25">
      <c r="D468">
        <v>1</v>
      </c>
      <c r="AL468" s="25"/>
      <c r="AM468" s="25"/>
    </row>
    <row r="469" spans="4:39" ht="19.5" thickBot="1" x14ac:dyDescent="0.25">
      <c r="AL469" s="25"/>
      <c r="AM469" s="25"/>
    </row>
    <row r="470" spans="4:39" ht="19.5" thickBot="1" x14ac:dyDescent="0.25">
      <c r="D470">
        <v>1</v>
      </c>
      <c r="AL470" s="25"/>
      <c r="AM470" s="25"/>
    </row>
    <row r="471" spans="4:39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142" activePane="bottomRight" state="frozen"/>
      <selection pane="topRight" activeCell="F1" sqref="F1"/>
      <selection pane="bottomLeft" activeCell="A8" sqref="A8"/>
      <selection pane="bottomRight" activeCell="C152" sqref="C152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装備品!AB118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装備品!AB119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装備品!AB120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装備品!AB121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装備品!AB122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装備品!AB123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9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</vt:lpstr>
      <vt:lpstr>作製品</vt:lpstr>
      <vt:lpstr>アイテム</vt:lpstr>
      <vt:lpstr>素材</vt:lpstr>
      <vt:lpstr>装備品</vt:lpstr>
      <vt:lpstr>付与</vt:lpstr>
      <vt:lpstr>ショップ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2025-10-24T10:55:10Z</dcterms:modified>
</cp:coreProperties>
</file>
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Github\game-project\data\excel\"/>
    </mc:Choice>
  </mc:AlternateContent>
  <xr:revisionPtr revIDLastSave="0" documentId="8_{9D31CFE2-88D1-4B9C-8267-A4F189101E86}" xr6:coauthVersionLast="47" xr6:coauthVersionMax="47" xr10:uidLastSave="{00000000-0000-0000-0000-000000000000}"/>
  <bookViews>
    <workbookView xWindow="765" yWindow="3435" windowWidth="35175" windowHeight="18150" activeTab="5" xr2:uid="{93FAE5DA-3CF2-4CAE-BC3E-9D6B1954436C}"/>
  </bookViews>
  <sheets>
    <sheet name="カテゴリ" sheetId="7" r:id="rId1"/>
    <sheet name="装備品" sheetId="2" r:id="rId2"/>
    <sheet name="アイテム" sheetId="3" r:id="rId3"/>
    <sheet name="素材" sheetId="5" r:id="rId4"/>
    <sheet name="武器" sheetId="4" r:id="rId5"/>
    <sheet name="装強" sheetId="1" r:id="rId6"/>
    <sheet name="ショップ" sheetId="6" r:id="rId7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4" i="2" l="1"/>
  <c r="Z4" i="2"/>
  <c r="R4" i="2"/>
  <c r="Q4" i="2"/>
  <c r="P4" i="2"/>
  <c r="O4" i="2"/>
  <c r="N4" i="2"/>
  <c r="M4" i="2"/>
  <c r="M3" i="2"/>
  <c r="L4" i="2"/>
  <c r="K4" i="2"/>
  <c r="G4" i="2"/>
  <c r="F4" i="2"/>
  <c r="E4" i="2"/>
  <c r="B4" i="2"/>
  <c r="CR139" i="2"/>
  <c r="CP139" i="2"/>
  <c r="CO139" i="2"/>
  <c r="CN139" i="2"/>
  <c r="CS139" i="2" s="1"/>
  <c r="BE139" i="2"/>
  <c r="BD139" i="2"/>
  <c r="BC139" i="2"/>
  <c r="BB139" i="2"/>
  <c r="BA139" i="2"/>
  <c r="AZ139" i="2"/>
  <c r="AY139" i="2"/>
  <c r="AX139" i="2"/>
  <c r="AW139" i="2"/>
  <c r="AV139" i="2"/>
  <c r="AU139" i="2"/>
  <c r="AT139" i="2"/>
  <c r="AS139" i="2"/>
  <c r="AR139" i="2"/>
  <c r="AQ139" i="2"/>
  <c r="AP139" i="2"/>
  <c r="AO139" i="2"/>
  <c r="AN139" i="2"/>
  <c r="AM139" i="2"/>
  <c r="AL139" i="2"/>
  <c r="AK139" i="2"/>
  <c r="AJ139" i="2"/>
  <c r="AI139" i="2"/>
  <c r="AH139" i="2"/>
  <c r="AG139" i="2"/>
  <c r="AF139" i="2"/>
  <c r="AE139" i="2"/>
  <c r="AD139" i="2"/>
  <c r="AC139" i="2"/>
  <c r="AB139" i="2"/>
  <c r="AA139" i="2"/>
  <c r="Z139" i="2"/>
  <c r="Y139" i="2"/>
  <c r="W139" i="2"/>
  <c r="V139" i="2"/>
  <c r="U139" i="2"/>
  <c r="T139" i="2"/>
  <c r="S139" i="2"/>
  <c r="R139" i="2"/>
  <c r="Q139" i="2"/>
  <c r="P139" i="2"/>
  <c r="O139" i="2"/>
  <c r="N139" i="2"/>
  <c r="M139" i="2"/>
  <c r="L139" i="2"/>
  <c r="K139" i="2"/>
  <c r="J139" i="2"/>
  <c r="I139" i="2"/>
  <c r="H139" i="2"/>
  <c r="G139" i="2"/>
  <c r="F139" i="2"/>
  <c r="E139" i="2"/>
  <c r="CM139" i="2" s="1"/>
  <c r="B139" i="2"/>
  <c r="A139" i="2"/>
  <c r="CR133" i="2"/>
  <c r="CP133" i="2"/>
  <c r="CO133" i="2"/>
  <c r="CN133" i="2"/>
  <c r="CS133" i="2" s="1"/>
  <c r="BE133" i="2"/>
  <c r="BD133" i="2"/>
  <c r="BC133" i="2"/>
  <c r="BB133" i="2"/>
  <c r="BA133" i="2"/>
  <c r="AZ133" i="2"/>
  <c r="AY133" i="2"/>
  <c r="AX133" i="2"/>
  <c r="AW133" i="2"/>
  <c r="AV133" i="2"/>
  <c r="AU133" i="2"/>
  <c r="AT133" i="2"/>
  <c r="AS133" i="2"/>
  <c r="AR133" i="2"/>
  <c r="AQ133" i="2"/>
  <c r="AP133" i="2"/>
  <c r="AO133" i="2"/>
  <c r="AN133" i="2"/>
  <c r="AM133" i="2"/>
  <c r="AL133" i="2"/>
  <c r="AK133" i="2"/>
  <c r="AJ133" i="2"/>
  <c r="AI133" i="2"/>
  <c r="AH133" i="2"/>
  <c r="AG133" i="2"/>
  <c r="AF133" i="2"/>
  <c r="AE133" i="2"/>
  <c r="AD133" i="2"/>
  <c r="AC133" i="2"/>
  <c r="AB133" i="2"/>
  <c r="AA133" i="2"/>
  <c r="Z133" i="2"/>
  <c r="Y133" i="2"/>
  <c r="W133" i="2"/>
  <c r="V133" i="2"/>
  <c r="U133" i="2"/>
  <c r="T133" i="2"/>
  <c r="S133" i="2"/>
  <c r="R133" i="2"/>
  <c r="Q133" i="2"/>
  <c r="P133" i="2"/>
  <c r="O133" i="2"/>
  <c r="N133" i="2"/>
  <c r="M133" i="2"/>
  <c r="L133" i="2"/>
  <c r="K133" i="2"/>
  <c r="J133" i="2"/>
  <c r="I133" i="2"/>
  <c r="H133" i="2"/>
  <c r="G133" i="2"/>
  <c r="F133" i="2"/>
  <c r="E133" i="2"/>
  <c r="CM133" i="2" s="1"/>
  <c r="B133" i="2"/>
  <c r="A133" i="2"/>
  <c r="CR127" i="2"/>
  <c r="CP127" i="2"/>
  <c r="CO127" i="2"/>
  <c r="CN127" i="2"/>
  <c r="CS127" i="2" s="1"/>
  <c r="BE127" i="2"/>
  <c r="BD127" i="2"/>
  <c r="BC127" i="2"/>
  <c r="BB127" i="2"/>
  <c r="BA127" i="2"/>
  <c r="AZ127" i="2"/>
  <c r="AY127" i="2"/>
  <c r="AX127" i="2"/>
  <c r="AW127" i="2"/>
  <c r="AV127" i="2"/>
  <c r="AU127" i="2"/>
  <c r="AT127" i="2"/>
  <c r="AS127" i="2"/>
  <c r="AR127" i="2"/>
  <c r="AQ127" i="2"/>
  <c r="AP127" i="2"/>
  <c r="AO127" i="2"/>
  <c r="AN127" i="2"/>
  <c r="AM127" i="2"/>
  <c r="AL127" i="2"/>
  <c r="AK127" i="2"/>
  <c r="AJ127" i="2"/>
  <c r="AI127" i="2"/>
  <c r="AH127" i="2"/>
  <c r="AG127" i="2"/>
  <c r="AF127" i="2"/>
  <c r="AE127" i="2"/>
  <c r="AD127" i="2"/>
  <c r="AC127" i="2"/>
  <c r="AB127" i="2"/>
  <c r="AA127" i="2"/>
  <c r="Z127" i="2"/>
  <c r="Y127" i="2"/>
  <c r="W127" i="2"/>
  <c r="V127" i="2"/>
  <c r="U127" i="2"/>
  <c r="T127" i="2"/>
  <c r="S127" i="2"/>
  <c r="R127" i="2"/>
  <c r="Q127" i="2"/>
  <c r="P127" i="2"/>
  <c r="O127" i="2"/>
  <c r="N127" i="2"/>
  <c r="M127" i="2"/>
  <c r="L127" i="2"/>
  <c r="K127" i="2"/>
  <c r="J127" i="2"/>
  <c r="I127" i="2"/>
  <c r="H127" i="2"/>
  <c r="G127" i="2"/>
  <c r="F127" i="2"/>
  <c r="E127" i="2"/>
  <c r="CM127" i="2" s="1"/>
  <c r="B127" i="2"/>
  <c r="A127" i="2"/>
  <c r="A121" i="2"/>
  <c r="CR121" i="2"/>
  <c r="CP121" i="2"/>
  <c r="CO121" i="2"/>
  <c r="CN121" i="2"/>
  <c r="CS121" i="2" s="1"/>
  <c r="BE121" i="2"/>
  <c r="BD121" i="2"/>
  <c r="BC121" i="2"/>
  <c r="BB121" i="2"/>
  <c r="BA121" i="2"/>
  <c r="AZ121" i="2"/>
  <c r="AY121" i="2"/>
  <c r="AX121" i="2"/>
  <c r="AW121" i="2"/>
  <c r="AV121" i="2"/>
  <c r="AU121" i="2"/>
  <c r="AT121" i="2"/>
  <c r="AS121" i="2"/>
  <c r="AR121" i="2"/>
  <c r="AQ121" i="2"/>
  <c r="AP121" i="2"/>
  <c r="AO121" i="2"/>
  <c r="AN121" i="2"/>
  <c r="AM121" i="2"/>
  <c r="AL121" i="2"/>
  <c r="AK121" i="2"/>
  <c r="AJ121" i="2"/>
  <c r="AI121" i="2"/>
  <c r="AH121" i="2"/>
  <c r="AG121" i="2"/>
  <c r="AF121" i="2"/>
  <c r="AE121" i="2"/>
  <c r="AD121" i="2"/>
  <c r="AC121" i="2"/>
  <c r="AB121" i="2"/>
  <c r="AA121" i="2"/>
  <c r="Z121" i="2"/>
  <c r="Y121" i="2"/>
  <c r="W121" i="2"/>
  <c r="V121" i="2"/>
  <c r="U121" i="2"/>
  <c r="T121" i="2"/>
  <c r="S121" i="2"/>
  <c r="R121" i="2"/>
  <c r="Q121" i="2"/>
  <c r="P121" i="2"/>
  <c r="O121" i="2"/>
  <c r="N121" i="2"/>
  <c r="M121" i="2"/>
  <c r="L121" i="2"/>
  <c r="K121" i="2"/>
  <c r="J121" i="2"/>
  <c r="I121" i="2"/>
  <c r="H121" i="2"/>
  <c r="G121" i="2"/>
  <c r="F121" i="2"/>
  <c r="E121" i="2"/>
  <c r="CM121" i="2" s="1"/>
  <c r="B121" i="2"/>
  <c r="CR376" i="2"/>
  <c r="CP376" i="2"/>
  <c r="CO376" i="2"/>
  <c r="BE376" i="2"/>
  <c r="BD376" i="2"/>
  <c r="BC376" i="2"/>
  <c r="BB376" i="2"/>
  <c r="BA376" i="2"/>
  <c r="AZ376" i="2"/>
  <c r="AY376" i="2"/>
  <c r="AX376" i="2"/>
  <c r="AW376" i="2"/>
  <c r="AV376" i="2"/>
  <c r="AU376" i="2"/>
  <c r="AT376" i="2"/>
  <c r="AS376" i="2"/>
  <c r="AR376" i="2"/>
  <c r="AQ376" i="2"/>
  <c r="AP376" i="2"/>
  <c r="AO376" i="2"/>
  <c r="AN376" i="2"/>
  <c r="AM376" i="2"/>
  <c r="AL376" i="2"/>
  <c r="AK376" i="2"/>
  <c r="AJ376" i="2"/>
  <c r="AI376" i="2"/>
  <c r="AH376" i="2"/>
  <c r="AG376" i="2"/>
  <c r="AF376" i="2"/>
  <c r="AE376" i="2"/>
  <c r="AD376" i="2"/>
  <c r="AC376" i="2"/>
  <c r="AB376" i="2"/>
  <c r="AA376" i="2"/>
  <c r="Z376" i="2"/>
  <c r="Y376" i="2"/>
  <c r="W376" i="2"/>
  <c r="V376" i="2"/>
  <c r="U376" i="2"/>
  <c r="T376" i="2"/>
  <c r="S376" i="2"/>
  <c r="R376" i="2"/>
  <c r="Q376" i="2"/>
  <c r="P376" i="2"/>
  <c r="O376" i="2"/>
  <c r="N376" i="2"/>
  <c r="M376" i="2"/>
  <c r="L376" i="2"/>
  <c r="K376" i="2"/>
  <c r="J376" i="2"/>
  <c r="I376" i="2"/>
  <c r="H376" i="2"/>
  <c r="F376" i="2"/>
  <c r="E376" i="2"/>
  <c r="B374" i="2"/>
  <c r="B372" i="2"/>
  <c r="CR372" i="2"/>
  <c r="CP372" i="2"/>
  <c r="CO372" i="2"/>
  <c r="BE372" i="2"/>
  <c r="BD372" i="2"/>
  <c r="BC372" i="2"/>
  <c r="BB372" i="2"/>
  <c r="BA372" i="2"/>
  <c r="AZ372" i="2"/>
  <c r="AY372" i="2"/>
  <c r="AX372" i="2"/>
  <c r="AW372" i="2"/>
  <c r="AV372" i="2"/>
  <c r="AU372" i="2"/>
  <c r="AT372" i="2"/>
  <c r="AS372" i="2"/>
  <c r="AR372" i="2"/>
  <c r="AQ372" i="2"/>
  <c r="AP372" i="2"/>
  <c r="AO372" i="2"/>
  <c r="AN372" i="2"/>
  <c r="AM372" i="2"/>
  <c r="AL372" i="2"/>
  <c r="AK372" i="2"/>
  <c r="AJ372" i="2"/>
  <c r="AI372" i="2"/>
  <c r="AH372" i="2"/>
  <c r="AG372" i="2"/>
  <c r="AF372" i="2"/>
  <c r="AE372" i="2"/>
  <c r="AD372" i="2"/>
  <c r="AC372" i="2"/>
  <c r="AB372" i="2"/>
  <c r="AA372" i="2"/>
  <c r="Z372" i="2"/>
  <c r="Y372" i="2"/>
  <c r="W372" i="2"/>
  <c r="V372" i="2"/>
  <c r="U372" i="2"/>
  <c r="T372" i="2"/>
  <c r="S372" i="2"/>
  <c r="R372" i="2"/>
  <c r="Q372" i="2"/>
  <c r="P372" i="2"/>
  <c r="O372" i="2"/>
  <c r="N372" i="2"/>
  <c r="M372" i="2"/>
  <c r="L372" i="2"/>
  <c r="K372" i="2"/>
  <c r="J372" i="2"/>
  <c r="I372" i="2"/>
  <c r="H372" i="2"/>
  <c r="G372" i="2"/>
  <c r="F372" i="2"/>
  <c r="E372" i="2"/>
  <c r="CM372" i="2" s="1"/>
  <c r="AZ375" i="2"/>
  <c r="BA375" i="2"/>
  <c r="BB375" i="2"/>
  <c r="BC375" i="2"/>
  <c r="BD375" i="2"/>
  <c r="BE375" i="2"/>
  <c r="AZ377" i="2"/>
  <c r="BA377" i="2"/>
  <c r="BB377" i="2"/>
  <c r="BC377" i="2"/>
  <c r="BD377" i="2"/>
  <c r="BE377" i="2"/>
  <c r="AZ378" i="2"/>
  <c r="BA378" i="2"/>
  <c r="BB378" i="2"/>
  <c r="BC378" i="2"/>
  <c r="BD378" i="2"/>
  <c r="BE378" i="2"/>
  <c r="AZ379" i="2"/>
  <c r="BA379" i="2"/>
  <c r="BB379" i="2"/>
  <c r="BC379" i="2"/>
  <c r="BD379" i="2"/>
  <c r="BE379" i="2"/>
  <c r="AZ380" i="2"/>
  <c r="BA380" i="2"/>
  <c r="BB380" i="2"/>
  <c r="BC380" i="2"/>
  <c r="BD380" i="2"/>
  <c r="BE380" i="2"/>
  <c r="AZ381" i="2"/>
  <c r="BA381" i="2"/>
  <c r="BB381" i="2"/>
  <c r="BC381" i="2"/>
  <c r="BD381" i="2"/>
  <c r="BE381" i="2"/>
  <c r="AZ382" i="2"/>
  <c r="BA382" i="2"/>
  <c r="BB382" i="2"/>
  <c r="BC382" i="2"/>
  <c r="BD382" i="2"/>
  <c r="BE382" i="2"/>
  <c r="AZ383" i="2"/>
  <c r="BA383" i="2"/>
  <c r="BB383" i="2"/>
  <c r="BC383" i="2"/>
  <c r="BD383" i="2"/>
  <c r="BE383" i="2"/>
  <c r="AZ384" i="2"/>
  <c r="BA384" i="2"/>
  <c r="BB384" i="2"/>
  <c r="BC384" i="2"/>
  <c r="BD384" i="2"/>
  <c r="BE384" i="2"/>
  <c r="AZ385" i="2"/>
  <c r="BA385" i="2"/>
  <c r="BB385" i="2"/>
  <c r="BC385" i="2"/>
  <c r="BD385" i="2"/>
  <c r="BE385" i="2"/>
  <c r="AZ386" i="2"/>
  <c r="BA386" i="2"/>
  <c r="BB386" i="2"/>
  <c r="BC386" i="2"/>
  <c r="BD386" i="2"/>
  <c r="BE386" i="2"/>
  <c r="AZ387" i="2"/>
  <c r="BA387" i="2"/>
  <c r="BB387" i="2"/>
  <c r="BC387" i="2"/>
  <c r="BD387" i="2"/>
  <c r="BE387" i="2"/>
  <c r="AZ388" i="2"/>
  <c r="BA388" i="2"/>
  <c r="BB388" i="2"/>
  <c r="BC388" i="2"/>
  <c r="BD388" i="2"/>
  <c r="BE388" i="2"/>
  <c r="AZ389" i="2"/>
  <c r="BA389" i="2"/>
  <c r="BB389" i="2"/>
  <c r="BC389" i="2"/>
  <c r="BD389" i="2"/>
  <c r="BE389" i="2"/>
  <c r="AZ390" i="2"/>
  <c r="BA390" i="2"/>
  <c r="BB390" i="2"/>
  <c r="BC390" i="2"/>
  <c r="BD390" i="2"/>
  <c r="BE390" i="2"/>
  <c r="AZ391" i="2"/>
  <c r="BA391" i="2"/>
  <c r="BB391" i="2"/>
  <c r="BC391" i="2"/>
  <c r="BD391" i="2"/>
  <c r="BE391" i="2"/>
  <c r="AZ392" i="2"/>
  <c r="BA392" i="2"/>
  <c r="BB392" i="2"/>
  <c r="BC392" i="2"/>
  <c r="BD392" i="2"/>
  <c r="BE392" i="2"/>
  <c r="AZ367" i="2"/>
  <c r="BA367" i="2"/>
  <c r="BB367" i="2"/>
  <c r="BC367" i="2"/>
  <c r="BD367" i="2"/>
  <c r="BE367" i="2"/>
  <c r="AZ368" i="2"/>
  <c r="BA368" i="2"/>
  <c r="BB368" i="2"/>
  <c r="BC368" i="2"/>
  <c r="BD368" i="2"/>
  <c r="BE368" i="2"/>
  <c r="AZ369" i="2"/>
  <c r="BA369" i="2"/>
  <c r="BB369" i="2"/>
  <c r="BC369" i="2"/>
  <c r="BD369" i="2"/>
  <c r="BE369" i="2"/>
  <c r="AZ370" i="2"/>
  <c r="BA370" i="2"/>
  <c r="BB370" i="2"/>
  <c r="BC370" i="2"/>
  <c r="BD370" i="2"/>
  <c r="BE370" i="2"/>
  <c r="AZ371" i="2"/>
  <c r="BA371" i="2"/>
  <c r="BB371" i="2"/>
  <c r="BC371" i="2"/>
  <c r="BD371" i="2"/>
  <c r="BE371" i="2"/>
  <c r="AZ373" i="2"/>
  <c r="BA373" i="2"/>
  <c r="BB373" i="2"/>
  <c r="BC373" i="2"/>
  <c r="BD373" i="2"/>
  <c r="BE373" i="2"/>
  <c r="AZ374" i="2"/>
  <c r="BA374" i="2"/>
  <c r="BB374" i="2"/>
  <c r="BC374" i="2"/>
  <c r="CA48" i="1"/>
  <c r="CA49" i="1" s="1"/>
  <c r="BZ48" i="1"/>
  <c r="BZ49" i="1" s="1"/>
  <c r="AB374" i="2"/>
  <c r="CN377" i="2"/>
  <c r="CS377" i="2" s="1"/>
  <c r="CN378" i="2"/>
  <c r="CS378" i="2" s="1"/>
  <c r="CN379" i="2"/>
  <c r="CN380" i="2"/>
  <c r="CS380" i="2" s="1"/>
  <c r="CN381" i="2"/>
  <c r="CS381" i="2" s="1"/>
  <c r="CN382" i="2"/>
  <c r="CN383" i="2"/>
  <c r="CN384" i="2"/>
  <c r="CN385" i="2"/>
  <c r="CS385" i="2" s="1"/>
  <c r="CN386" i="2"/>
  <c r="CS386" i="2" s="1"/>
  <c r="CN387" i="2"/>
  <c r="CN388" i="2"/>
  <c r="CS388" i="2" s="1"/>
  <c r="CN389" i="2"/>
  <c r="CS389" i="2" s="1"/>
  <c r="CN390" i="2"/>
  <c r="CS390" i="2" s="1"/>
  <c r="CN391" i="2"/>
  <c r="CS391" i="2" s="1"/>
  <c r="CN392" i="2"/>
  <c r="CN40" i="2"/>
  <c r="CN41" i="2"/>
  <c r="CN42" i="2"/>
  <c r="CN43" i="2"/>
  <c r="CN44" i="2"/>
  <c r="CN45" i="2"/>
  <c r="CN46" i="2"/>
  <c r="CN47" i="2"/>
  <c r="CN48" i="2"/>
  <c r="CN49" i="2"/>
  <c r="CN50" i="2"/>
  <c r="CN51" i="2"/>
  <c r="CN52" i="2"/>
  <c r="CN53" i="2"/>
  <c r="CN54" i="2"/>
  <c r="CN55" i="2"/>
  <c r="CN56" i="2"/>
  <c r="CN57" i="2"/>
  <c r="CN58" i="2"/>
  <c r="CN59" i="2"/>
  <c r="CN60" i="2"/>
  <c r="CN61" i="2"/>
  <c r="CN62" i="2"/>
  <c r="CN63" i="2"/>
  <c r="CN64" i="2"/>
  <c r="CN65" i="2"/>
  <c r="CN66" i="2"/>
  <c r="CN67" i="2"/>
  <c r="CN68" i="2"/>
  <c r="CN69" i="2"/>
  <c r="CN70" i="2"/>
  <c r="CN71" i="2"/>
  <c r="CN72" i="2"/>
  <c r="CN73" i="2"/>
  <c r="CN74" i="2"/>
  <c r="CN75" i="2"/>
  <c r="CN76" i="2"/>
  <c r="CN77" i="2"/>
  <c r="CN115" i="2"/>
  <c r="CN116" i="2"/>
  <c r="CN117" i="2"/>
  <c r="CN118" i="2"/>
  <c r="CN119" i="2"/>
  <c r="CN120" i="2"/>
  <c r="CN122" i="2"/>
  <c r="CN123" i="2"/>
  <c r="CN124" i="2"/>
  <c r="CN125" i="2"/>
  <c r="CN126" i="2"/>
  <c r="CN128" i="2"/>
  <c r="CN129" i="2"/>
  <c r="CN130" i="2"/>
  <c r="CN131" i="2"/>
  <c r="CN132" i="2"/>
  <c r="CN134" i="2"/>
  <c r="CN135" i="2"/>
  <c r="CN136" i="2"/>
  <c r="CN137" i="2"/>
  <c r="CN138" i="2"/>
  <c r="CN140" i="2"/>
  <c r="CN141" i="2"/>
  <c r="CN142" i="2"/>
  <c r="CN143" i="2"/>
  <c r="CN144" i="2"/>
  <c r="CN145" i="2"/>
  <c r="CN146" i="2"/>
  <c r="CN147" i="2"/>
  <c r="CN148" i="2"/>
  <c r="CN149" i="2"/>
  <c r="CN150" i="2"/>
  <c r="CN151" i="2"/>
  <c r="CN152" i="2"/>
  <c r="CN153" i="2"/>
  <c r="CN154" i="2"/>
  <c r="CN155" i="2"/>
  <c r="CN156" i="2"/>
  <c r="CN157" i="2"/>
  <c r="CN269" i="2"/>
  <c r="CN270" i="2"/>
  <c r="CN271" i="2"/>
  <c r="CN272" i="2"/>
  <c r="CN273" i="2"/>
  <c r="CN274" i="2"/>
  <c r="CN275" i="2"/>
  <c r="CN276" i="2"/>
  <c r="CN277" i="2"/>
  <c r="CN278" i="2"/>
  <c r="CN279" i="2"/>
  <c r="CN280" i="2"/>
  <c r="CN281" i="2"/>
  <c r="CN282" i="2"/>
  <c r="CN283" i="2"/>
  <c r="CN284" i="2"/>
  <c r="CN285" i="2"/>
  <c r="CN286" i="2"/>
  <c r="CN287" i="2"/>
  <c r="CN288" i="2"/>
  <c r="CN289" i="2"/>
  <c r="CN290" i="2"/>
  <c r="CN291" i="2"/>
  <c r="CN292" i="2"/>
  <c r="CN293" i="2"/>
  <c r="CN294" i="2"/>
  <c r="CN295" i="2"/>
  <c r="CN296" i="2"/>
  <c r="CN297" i="2"/>
  <c r="CN298" i="2"/>
  <c r="CN299" i="2"/>
  <c r="CN300" i="2"/>
  <c r="CN301" i="2"/>
  <c r="CN302" i="2"/>
  <c r="CN303" i="2"/>
  <c r="CN304" i="2"/>
  <c r="CN305" i="2"/>
  <c r="CN306" i="2"/>
  <c r="CN307" i="2"/>
  <c r="CN308" i="2"/>
  <c r="CN309" i="2"/>
  <c r="CN310" i="2"/>
  <c r="CN311" i="2"/>
  <c r="CN312" i="2"/>
  <c r="CN313" i="2"/>
  <c r="CN314" i="2"/>
  <c r="CN315" i="2"/>
  <c r="CN316" i="2"/>
  <c r="CN317" i="2"/>
  <c r="CN318" i="2"/>
  <c r="CN319" i="2"/>
  <c r="CN320" i="2"/>
  <c r="CN321" i="2"/>
  <c r="CN322" i="2"/>
  <c r="CN323" i="2"/>
  <c r="CN324" i="2"/>
  <c r="CN325" i="2"/>
  <c r="CN326" i="2"/>
  <c r="CN327" i="2"/>
  <c r="CN328" i="2"/>
  <c r="CN329" i="2"/>
  <c r="CN330" i="2"/>
  <c r="CN331" i="2"/>
  <c r="CN332" i="2"/>
  <c r="CN333" i="2"/>
  <c r="CN334" i="2"/>
  <c r="CN335" i="2"/>
  <c r="CN336" i="2"/>
  <c r="CN337" i="2"/>
  <c r="CN338" i="2"/>
  <c r="CN339" i="2"/>
  <c r="CN340" i="2"/>
  <c r="CN341" i="2"/>
  <c r="CN342" i="2"/>
  <c r="CN343" i="2"/>
  <c r="CN344" i="2"/>
  <c r="CN345" i="2"/>
  <c r="CN346" i="2"/>
  <c r="CN347" i="2"/>
  <c r="CN348" i="2"/>
  <c r="CN349" i="2"/>
  <c r="CN350" i="2"/>
  <c r="CS379" i="2"/>
  <c r="CS383" i="2"/>
  <c r="AE268" i="2"/>
  <c r="AE266" i="2"/>
  <c r="AB369" i="2"/>
  <c r="AE366" i="2"/>
  <c r="AF366" i="2"/>
  <c r="AG366" i="2"/>
  <c r="AH366" i="2"/>
  <c r="AI366" i="2"/>
  <c r="AJ366" i="2"/>
  <c r="AK366" i="2"/>
  <c r="AL366" i="2"/>
  <c r="AM366" i="2"/>
  <c r="AN366" i="2"/>
  <c r="AO366" i="2"/>
  <c r="AP366" i="2"/>
  <c r="AQ366" i="2"/>
  <c r="AR366" i="2"/>
  <c r="AS366" i="2"/>
  <c r="AT366" i="2"/>
  <c r="AU366" i="2"/>
  <c r="AV366" i="2"/>
  <c r="AW366" i="2"/>
  <c r="AX366" i="2"/>
  <c r="AY366" i="2"/>
  <c r="AZ366" i="2"/>
  <c r="AE367" i="2"/>
  <c r="AF367" i="2"/>
  <c r="AG367" i="2"/>
  <c r="AH367" i="2"/>
  <c r="AI367" i="2"/>
  <c r="AJ367" i="2"/>
  <c r="AK367" i="2"/>
  <c r="AL367" i="2"/>
  <c r="AM367" i="2"/>
  <c r="AN367" i="2"/>
  <c r="AO367" i="2"/>
  <c r="AP367" i="2"/>
  <c r="AQ367" i="2"/>
  <c r="AR367" i="2"/>
  <c r="AS367" i="2"/>
  <c r="AT367" i="2"/>
  <c r="AU367" i="2"/>
  <c r="AV367" i="2"/>
  <c r="AW367" i="2"/>
  <c r="AX367" i="2"/>
  <c r="AY367" i="2"/>
  <c r="AE368" i="2"/>
  <c r="AF368" i="2"/>
  <c r="AG368" i="2"/>
  <c r="AH368" i="2"/>
  <c r="AI368" i="2"/>
  <c r="AJ368" i="2"/>
  <c r="AK368" i="2"/>
  <c r="AL368" i="2"/>
  <c r="AM368" i="2"/>
  <c r="AN368" i="2"/>
  <c r="AO368" i="2"/>
  <c r="AP368" i="2"/>
  <c r="AQ368" i="2"/>
  <c r="AR368" i="2"/>
  <c r="AS368" i="2"/>
  <c r="AT368" i="2"/>
  <c r="AU368" i="2"/>
  <c r="AV368" i="2"/>
  <c r="AW368" i="2"/>
  <c r="AX368" i="2"/>
  <c r="AY368" i="2"/>
  <c r="AE369" i="2"/>
  <c r="AF369" i="2"/>
  <c r="AG369" i="2"/>
  <c r="AH369" i="2"/>
  <c r="AI369" i="2"/>
  <c r="AJ369" i="2"/>
  <c r="AK369" i="2"/>
  <c r="AL369" i="2"/>
  <c r="AM369" i="2"/>
  <c r="AN369" i="2"/>
  <c r="AO369" i="2"/>
  <c r="AP369" i="2"/>
  <c r="AQ369" i="2"/>
  <c r="AR369" i="2"/>
  <c r="AS369" i="2"/>
  <c r="AT369" i="2"/>
  <c r="AU369" i="2"/>
  <c r="AV369" i="2"/>
  <c r="AW369" i="2"/>
  <c r="AX369" i="2"/>
  <c r="AY369" i="2"/>
  <c r="AE370" i="2"/>
  <c r="AF370" i="2"/>
  <c r="AG370" i="2"/>
  <c r="AH370" i="2"/>
  <c r="AI370" i="2"/>
  <c r="AJ370" i="2"/>
  <c r="AK370" i="2"/>
  <c r="AL370" i="2"/>
  <c r="AM370" i="2"/>
  <c r="AN370" i="2"/>
  <c r="AO370" i="2"/>
  <c r="AP370" i="2"/>
  <c r="AQ370" i="2"/>
  <c r="AR370" i="2"/>
  <c r="AS370" i="2"/>
  <c r="AT370" i="2"/>
  <c r="AU370" i="2"/>
  <c r="AV370" i="2"/>
  <c r="AW370" i="2"/>
  <c r="AX370" i="2"/>
  <c r="AY370" i="2"/>
  <c r="AE371" i="2"/>
  <c r="AF371" i="2"/>
  <c r="AG371" i="2"/>
  <c r="AH371" i="2"/>
  <c r="AI371" i="2"/>
  <c r="AJ371" i="2"/>
  <c r="AK371" i="2"/>
  <c r="AL371" i="2"/>
  <c r="AM371" i="2"/>
  <c r="AN371" i="2"/>
  <c r="AO371" i="2"/>
  <c r="AP371" i="2"/>
  <c r="AQ371" i="2"/>
  <c r="AR371" i="2"/>
  <c r="AS371" i="2"/>
  <c r="AT371" i="2"/>
  <c r="AU371" i="2"/>
  <c r="AV371" i="2"/>
  <c r="AW371" i="2"/>
  <c r="AX371" i="2"/>
  <c r="AY371" i="2"/>
  <c r="AE374" i="2"/>
  <c r="AF374" i="2"/>
  <c r="AG374" i="2"/>
  <c r="AH374" i="2"/>
  <c r="AI374" i="2"/>
  <c r="AJ374" i="2"/>
  <c r="AK374" i="2"/>
  <c r="AL374" i="2"/>
  <c r="AM374" i="2"/>
  <c r="AN374" i="2"/>
  <c r="AO374" i="2"/>
  <c r="AP374" i="2"/>
  <c r="AQ374" i="2"/>
  <c r="AR374" i="2"/>
  <c r="AS374" i="2"/>
  <c r="AT374" i="2"/>
  <c r="AU374" i="2"/>
  <c r="AV374" i="2"/>
  <c r="AW374" i="2"/>
  <c r="AX374" i="2"/>
  <c r="AY374" i="2"/>
  <c r="AE375" i="2"/>
  <c r="AF375" i="2"/>
  <c r="AG375" i="2"/>
  <c r="AH375" i="2"/>
  <c r="AI375" i="2"/>
  <c r="AJ375" i="2"/>
  <c r="AK375" i="2"/>
  <c r="AL375" i="2"/>
  <c r="AM375" i="2"/>
  <c r="AN375" i="2"/>
  <c r="AO375" i="2"/>
  <c r="AP375" i="2"/>
  <c r="AQ375" i="2"/>
  <c r="AR375" i="2"/>
  <c r="AS375" i="2"/>
  <c r="AT375" i="2"/>
  <c r="AU375" i="2"/>
  <c r="AV375" i="2"/>
  <c r="AW375" i="2"/>
  <c r="AX375" i="2"/>
  <c r="AY375" i="2"/>
  <c r="AE377" i="2"/>
  <c r="AF377" i="2"/>
  <c r="AG377" i="2"/>
  <c r="AH377" i="2"/>
  <c r="AI377" i="2"/>
  <c r="AJ377" i="2"/>
  <c r="AK377" i="2"/>
  <c r="AL377" i="2"/>
  <c r="AM377" i="2"/>
  <c r="AN377" i="2"/>
  <c r="AO377" i="2"/>
  <c r="AP377" i="2"/>
  <c r="AQ377" i="2"/>
  <c r="AR377" i="2"/>
  <c r="AS377" i="2"/>
  <c r="AT377" i="2"/>
  <c r="AU377" i="2"/>
  <c r="AV377" i="2"/>
  <c r="AW377" i="2"/>
  <c r="AX377" i="2"/>
  <c r="AY377" i="2"/>
  <c r="AE378" i="2"/>
  <c r="AF378" i="2"/>
  <c r="AG378" i="2"/>
  <c r="AH378" i="2"/>
  <c r="AI378" i="2"/>
  <c r="AJ378" i="2"/>
  <c r="AK378" i="2"/>
  <c r="AL378" i="2"/>
  <c r="AM378" i="2"/>
  <c r="AN378" i="2"/>
  <c r="AO378" i="2"/>
  <c r="AP378" i="2"/>
  <c r="AQ378" i="2"/>
  <c r="AR378" i="2"/>
  <c r="AS378" i="2"/>
  <c r="AT378" i="2"/>
  <c r="AU378" i="2"/>
  <c r="AV378" i="2"/>
  <c r="AW378" i="2"/>
  <c r="AX378" i="2"/>
  <c r="AY378" i="2"/>
  <c r="AE379" i="2"/>
  <c r="AF379" i="2"/>
  <c r="AG379" i="2"/>
  <c r="AH379" i="2"/>
  <c r="AI379" i="2"/>
  <c r="AJ379" i="2"/>
  <c r="AK379" i="2"/>
  <c r="AL379" i="2"/>
  <c r="AM379" i="2"/>
  <c r="AN379" i="2"/>
  <c r="AO379" i="2"/>
  <c r="AP379" i="2"/>
  <c r="AQ379" i="2"/>
  <c r="AR379" i="2"/>
  <c r="AS379" i="2"/>
  <c r="AT379" i="2"/>
  <c r="AU379" i="2"/>
  <c r="AV379" i="2"/>
  <c r="AW379" i="2"/>
  <c r="AX379" i="2"/>
  <c r="AY379" i="2"/>
  <c r="AE380" i="2"/>
  <c r="AF380" i="2"/>
  <c r="AG380" i="2"/>
  <c r="AH380" i="2"/>
  <c r="AI380" i="2"/>
  <c r="AJ380" i="2"/>
  <c r="AK380" i="2"/>
  <c r="AL380" i="2"/>
  <c r="AM380" i="2"/>
  <c r="AN380" i="2"/>
  <c r="AO380" i="2"/>
  <c r="AP380" i="2"/>
  <c r="AQ380" i="2"/>
  <c r="AR380" i="2"/>
  <c r="AS380" i="2"/>
  <c r="AT380" i="2"/>
  <c r="AU380" i="2"/>
  <c r="AV380" i="2"/>
  <c r="AW380" i="2"/>
  <c r="AX380" i="2"/>
  <c r="AY380" i="2"/>
  <c r="AE381" i="2"/>
  <c r="AF381" i="2"/>
  <c r="AG381" i="2"/>
  <c r="AH381" i="2"/>
  <c r="AI381" i="2"/>
  <c r="AJ381" i="2"/>
  <c r="AK381" i="2"/>
  <c r="AL381" i="2"/>
  <c r="AM381" i="2"/>
  <c r="AN381" i="2"/>
  <c r="AO381" i="2"/>
  <c r="AP381" i="2"/>
  <c r="AQ381" i="2"/>
  <c r="AR381" i="2"/>
  <c r="AS381" i="2"/>
  <c r="AT381" i="2"/>
  <c r="AU381" i="2"/>
  <c r="AV381" i="2"/>
  <c r="AW381" i="2"/>
  <c r="AX381" i="2"/>
  <c r="AY381" i="2"/>
  <c r="AE382" i="2"/>
  <c r="AF382" i="2"/>
  <c r="AG382" i="2"/>
  <c r="AH382" i="2"/>
  <c r="AI382" i="2"/>
  <c r="AJ382" i="2"/>
  <c r="AK382" i="2"/>
  <c r="AL382" i="2"/>
  <c r="AM382" i="2"/>
  <c r="AN382" i="2"/>
  <c r="AO382" i="2"/>
  <c r="AP382" i="2"/>
  <c r="AQ382" i="2"/>
  <c r="AR382" i="2"/>
  <c r="AS382" i="2"/>
  <c r="AT382" i="2"/>
  <c r="AU382" i="2"/>
  <c r="AV382" i="2"/>
  <c r="AW382" i="2"/>
  <c r="AX382" i="2"/>
  <c r="AY382" i="2"/>
  <c r="AE383" i="2"/>
  <c r="AF383" i="2"/>
  <c r="AG383" i="2"/>
  <c r="AH383" i="2"/>
  <c r="AI383" i="2"/>
  <c r="AJ383" i="2"/>
  <c r="AK383" i="2"/>
  <c r="AL383" i="2"/>
  <c r="AM383" i="2"/>
  <c r="AN383" i="2"/>
  <c r="AO383" i="2"/>
  <c r="AP383" i="2"/>
  <c r="AQ383" i="2"/>
  <c r="AR383" i="2"/>
  <c r="AS383" i="2"/>
  <c r="AT383" i="2"/>
  <c r="AU383" i="2"/>
  <c r="AV383" i="2"/>
  <c r="AW383" i="2"/>
  <c r="AX383" i="2"/>
  <c r="AY383" i="2"/>
  <c r="AE384" i="2"/>
  <c r="AF384" i="2"/>
  <c r="AG384" i="2"/>
  <c r="AH384" i="2"/>
  <c r="AI384" i="2"/>
  <c r="AJ384" i="2"/>
  <c r="AK384" i="2"/>
  <c r="AL384" i="2"/>
  <c r="AM384" i="2"/>
  <c r="AN384" i="2"/>
  <c r="AO384" i="2"/>
  <c r="AP384" i="2"/>
  <c r="AQ384" i="2"/>
  <c r="AR384" i="2"/>
  <c r="AS384" i="2"/>
  <c r="AT384" i="2"/>
  <c r="AU384" i="2"/>
  <c r="AV384" i="2"/>
  <c r="AW384" i="2"/>
  <c r="AX384" i="2"/>
  <c r="AY384" i="2"/>
  <c r="AE385" i="2"/>
  <c r="AF385" i="2"/>
  <c r="AG385" i="2"/>
  <c r="AH385" i="2"/>
  <c r="AI385" i="2"/>
  <c r="AJ385" i="2"/>
  <c r="AK385" i="2"/>
  <c r="AL385" i="2"/>
  <c r="AM385" i="2"/>
  <c r="AN385" i="2"/>
  <c r="AO385" i="2"/>
  <c r="AP385" i="2"/>
  <c r="AQ385" i="2"/>
  <c r="AR385" i="2"/>
  <c r="AS385" i="2"/>
  <c r="AT385" i="2"/>
  <c r="AU385" i="2"/>
  <c r="AV385" i="2"/>
  <c r="AW385" i="2"/>
  <c r="AX385" i="2"/>
  <c r="AY385" i="2"/>
  <c r="AE386" i="2"/>
  <c r="AF386" i="2"/>
  <c r="AG386" i="2"/>
  <c r="AH386" i="2"/>
  <c r="AI386" i="2"/>
  <c r="AJ386" i="2"/>
  <c r="AK386" i="2"/>
  <c r="AL386" i="2"/>
  <c r="AM386" i="2"/>
  <c r="AN386" i="2"/>
  <c r="AO386" i="2"/>
  <c r="AP386" i="2"/>
  <c r="AQ386" i="2"/>
  <c r="AR386" i="2"/>
  <c r="AS386" i="2"/>
  <c r="AT386" i="2"/>
  <c r="AU386" i="2"/>
  <c r="AV386" i="2"/>
  <c r="AW386" i="2"/>
  <c r="AX386" i="2"/>
  <c r="AY386" i="2"/>
  <c r="AE387" i="2"/>
  <c r="AF387" i="2"/>
  <c r="AG387" i="2"/>
  <c r="AH387" i="2"/>
  <c r="AI387" i="2"/>
  <c r="AJ387" i="2"/>
  <c r="AK387" i="2"/>
  <c r="AL387" i="2"/>
  <c r="AM387" i="2"/>
  <c r="AN387" i="2"/>
  <c r="AO387" i="2"/>
  <c r="AP387" i="2"/>
  <c r="AQ387" i="2"/>
  <c r="AR387" i="2"/>
  <c r="AS387" i="2"/>
  <c r="AT387" i="2"/>
  <c r="AU387" i="2"/>
  <c r="AV387" i="2"/>
  <c r="AW387" i="2"/>
  <c r="AX387" i="2"/>
  <c r="AY387" i="2"/>
  <c r="AE388" i="2"/>
  <c r="AF388" i="2"/>
  <c r="AG388" i="2"/>
  <c r="AH388" i="2"/>
  <c r="AI388" i="2"/>
  <c r="AJ388" i="2"/>
  <c r="AK388" i="2"/>
  <c r="AL388" i="2"/>
  <c r="AM388" i="2"/>
  <c r="AN388" i="2"/>
  <c r="AO388" i="2"/>
  <c r="AP388" i="2"/>
  <c r="AQ388" i="2"/>
  <c r="AR388" i="2"/>
  <c r="AS388" i="2"/>
  <c r="AT388" i="2"/>
  <c r="AU388" i="2"/>
  <c r="AV388" i="2"/>
  <c r="AW388" i="2"/>
  <c r="AX388" i="2"/>
  <c r="AY388" i="2"/>
  <c r="AE389" i="2"/>
  <c r="AF389" i="2"/>
  <c r="AG389" i="2"/>
  <c r="AH389" i="2"/>
  <c r="AI389" i="2"/>
  <c r="AJ389" i="2"/>
  <c r="AK389" i="2"/>
  <c r="AL389" i="2"/>
  <c r="AM389" i="2"/>
  <c r="AN389" i="2"/>
  <c r="AO389" i="2"/>
  <c r="AP389" i="2"/>
  <c r="AQ389" i="2"/>
  <c r="AR389" i="2"/>
  <c r="AS389" i="2"/>
  <c r="AT389" i="2"/>
  <c r="AU389" i="2"/>
  <c r="AV389" i="2"/>
  <c r="AW389" i="2"/>
  <c r="AX389" i="2"/>
  <c r="AY389" i="2"/>
  <c r="AE390" i="2"/>
  <c r="AF390" i="2"/>
  <c r="AG390" i="2"/>
  <c r="AH390" i="2"/>
  <c r="AI390" i="2"/>
  <c r="AJ390" i="2"/>
  <c r="AK390" i="2"/>
  <c r="AL390" i="2"/>
  <c r="AM390" i="2"/>
  <c r="AN390" i="2"/>
  <c r="AO390" i="2"/>
  <c r="AP390" i="2"/>
  <c r="AQ390" i="2"/>
  <c r="AR390" i="2"/>
  <c r="AS390" i="2"/>
  <c r="AT390" i="2"/>
  <c r="AU390" i="2"/>
  <c r="AV390" i="2"/>
  <c r="AW390" i="2"/>
  <c r="AX390" i="2"/>
  <c r="AY390" i="2"/>
  <c r="AE391" i="2"/>
  <c r="AF391" i="2"/>
  <c r="AG391" i="2"/>
  <c r="AH391" i="2"/>
  <c r="AI391" i="2"/>
  <c r="AJ391" i="2"/>
  <c r="AK391" i="2"/>
  <c r="AL391" i="2"/>
  <c r="AM391" i="2"/>
  <c r="AN391" i="2"/>
  <c r="AO391" i="2"/>
  <c r="AP391" i="2"/>
  <c r="AQ391" i="2"/>
  <c r="AR391" i="2"/>
  <c r="AS391" i="2"/>
  <c r="AT391" i="2"/>
  <c r="AU391" i="2"/>
  <c r="AV391" i="2"/>
  <c r="AW391" i="2"/>
  <c r="AX391" i="2"/>
  <c r="AY391" i="2"/>
  <c r="AE392" i="2"/>
  <c r="AF392" i="2"/>
  <c r="AG392" i="2"/>
  <c r="AH392" i="2"/>
  <c r="AI392" i="2"/>
  <c r="AJ392" i="2"/>
  <c r="AK392" i="2"/>
  <c r="AL392" i="2"/>
  <c r="AM392" i="2"/>
  <c r="AN392" i="2"/>
  <c r="AO392" i="2"/>
  <c r="AP392" i="2"/>
  <c r="AQ392" i="2"/>
  <c r="AR392" i="2"/>
  <c r="AS392" i="2"/>
  <c r="AT392" i="2"/>
  <c r="AU392" i="2"/>
  <c r="AV392" i="2"/>
  <c r="AW392" i="2"/>
  <c r="AX392" i="2"/>
  <c r="AY392" i="2"/>
  <c r="AF373" i="2"/>
  <c r="AG373" i="2"/>
  <c r="AH373" i="2"/>
  <c r="AI373" i="2"/>
  <c r="AJ373" i="2"/>
  <c r="AK373" i="2"/>
  <c r="AL373" i="2"/>
  <c r="AM373" i="2"/>
  <c r="AN373" i="2"/>
  <c r="AO373" i="2"/>
  <c r="AP373" i="2"/>
  <c r="AQ373" i="2"/>
  <c r="AR373" i="2"/>
  <c r="AS373" i="2"/>
  <c r="AT373" i="2"/>
  <c r="AU373" i="2"/>
  <c r="AV373" i="2"/>
  <c r="AW373" i="2"/>
  <c r="AX373" i="2"/>
  <c r="AY373" i="2"/>
  <c r="AE373" i="2"/>
  <c r="E373" i="2"/>
  <c r="CM373" i="2" s="1"/>
  <c r="AA366" i="2"/>
  <c r="E371" i="2"/>
  <c r="CM371" i="2" s="1"/>
  <c r="F371" i="2"/>
  <c r="G371" i="2"/>
  <c r="H371" i="2"/>
  <c r="I371" i="2"/>
  <c r="J371" i="2"/>
  <c r="K371" i="2"/>
  <c r="L371" i="2"/>
  <c r="M371" i="2"/>
  <c r="N371" i="2"/>
  <c r="O371" i="2"/>
  <c r="P371" i="2"/>
  <c r="Q371" i="2"/>
  <c r="R371" i="2"/>
  <c r="S371" i="2"/>
  <c r="T371" i="2"/>
  <c r="U371" i="2"/>
  <c r="V371" i="2"/>
  <c r="W371" i="2"/>
  <c r="Y371" i="2"/>
  <c r="Z371" i="2"/>
  <c r="AA371" i="2"/>
  <c r="AB371" i="2"/>
  <c r="AC371" i="2"/>
  <c r="AD371" i="2"/>
  <c r="CO371" i="2"/>
  <c r="CP371" i="2"/>
  <c r="CR371" i="2"/>
  <c r="F373" i="2"/>
  <c r="G373" i="2"/>
  <c r="H373" i="2"/>
  <c r="I373" i="2"/>
  <c r="J373" i="2"/>
  <c r="K373" i="2"/>
  <c r="L373" i="2"/>
  <c r="M373" i="2"/>
  <c r="N373" i="2"/>
  <c r="O373" i="2"/>
  <c r="P373" i="2"/>
  <c r="Q373" i="2"/>
  <c r="R373" i="2"/>
  <c r="S373" i="2"/>
  <c r="T373" i="2"/>
  <c r="U373" i="2"/>
  <c r="V373" i="2"/>
  <c r="W373" i="2"/>
  <c r="Y373" i="2"/>
  <c r="Z373" i="2"/>
  <c r="AA373" i="2"/>
  <c r="AB373" i="2"/>
  <c r="AC373" i="2"/>
  <c r="AD373" i="2"/>
  <c r="CO373" i="2"/>
  <c r="CP373" i="2"/>
  <c r="CR373" i="2"/>
  <c r="E374" i="2"/>
  <c r="CM374" i="2" s="1"/>
  <c r="F374" i="2"/>
  <c r="G374" i="2"/>
  <c r="H374" i="2"/>
  <c r="I374" i="2"/>
  <c r="J374" i="2"/>
  <c r="K374" i="2"/>
  <c r="L374" i="2"/>
  <c r="M374" i="2"/>
  <c r="N374" i="2"/>
  <c r="O374" i="2"/>
  <c r="P374" i="2"/>
  <c r="Q374" i="2"/>
  <c r="R374" i="2"/>
  <c r="S374" i="2"/>
  <c r="T374" i="2"/>
  <c r="U374" i="2"/>
  <c r="V374" i="2"/>
  <c r="W374" i="2"/>
  <c r="Y374" i="2"/>
  <c r="Z374" i="2"/>
  <c r="AA374" i="2"/>
  <c r="AC374" i="2"/>
  <c r="AD374" i="2"/>
  <c r="CO374" i="2"/>
  <c r="CP374" i="2"/>
  <c r="CR374" i="2"/>
  <c r="E375" i="2"/>
  <c r="F375" i="2"/>
  <c r="H375" i="2"/>
  <c r="I375" i="2"/>
  <c r="J375" i="2"/>
  <c r="K375" i="2"/>
  <c r="L375" i="2"/>
  <c r="M375" i="2"/>
  <c r="N375" i="2"/>
  <c r="O375" i="2"/>
  <c r="P375" i="2"/>
  <c r="Q375" i="2"/>
  <c r="R375" i="2"/>
  <c r="S375" i="2"/>
  <c r="T375" i="2"/>
  <c r="U375" i="2"/>
  <c r="V375" i="2"/>
  <c r="W375" i="2"/>
  <c r="Y375" i="2"/>
  <c r="Z375" i="2"/>
  <c r="AA375" i="2"/>
  <c r="AB375" i="2"/>
  <c r="AC375" i="2"/>
  <c r="AD375" i="2"/>
  <c r="CO375" i="2"/>
  <c r="CP375" i="2"/>
  <c r="CR375" i="2"/>
  <c r="B377" i="2"/>
  <c r="E377" i="2"/>
  <c r="CM377" i="2" s="1"/>
  <c r="F377" i="2"/>
  <c r="G377" i="2"/>
  <c r="H377" i="2"/>
  <c r="I377" i="2"/>
  <c r="J377" i="2"/>
  <c r="K377" i="2"/>
  <c r="L377" i="2"/>
  <c r="M377" i="2"/>
  <c r="N377" i="2"/>
  <c r="O377" i="2"/>
  <c r="P377" i="2"/>
  <c r="Q377" i="2"/>
  <c r="R377" i="2"/>
  <c r="S377" i="2"/>
  <c r="T377" i="2"/>
  <c r="U377" i="2"/>
  <c r="V377" i="2"/>
  <c r="W377" i="2"/>
  <c r="Y377" i="2"/>
  <c r="Z377" i="2"/>
  <c r="AA377" i="2"/>
  <c r="AB377" i="2"/>
  <c r="AC377" i="2"/>
  <c r="AD377" i="2"/>
  <c r="CO377" i="2"/>
  <c r="CP377" i="2"/>
  <c r="CR377" i="2"/>
  <c r="B378" i="2"/>
  <c r="E378" i="2"/>
  <c r="CM378" i="2" s="1"/>
  <c r="F378" i="2"/>
  <c r="G378" i="2"/>
  <c r="H378" i="2"/>
  <c r="I378" i="2"/>
  <c r="J378" i="2"/>
  <c r="K378" i="2"/>
  <c r="L378" i="2"/>
  <c r="M378" i="2"/>
  <c r="N378" i="2"/>
  <c r="O378" i="2"/>
  <c r="P378" i="2"/>
  <c r="Q378" i="2"/>
  <c r="R378" i="2"/>
  <c r="S378" i="2"/>
  <c r="T378" i="2"/>
  <c r="U378" i="2"/>
  <c r="V378" i="2"/>
  <c r="W378" i="2"/>
  <c r="Y378" i="2"/>
  <c r="Z378" i="2"/>
  <c r="AA378" i="2"/>
  <c r="AB378" i="2"/>
  <c r="AC378" i="2"/>
  <c r="AD378" i="2"/>
  <c r="CO378" i="2"/>
  <c r="CP378" i="2"/>
  <c r="CR378" i="2"/>
  <c r="B379" i="2"/>
  <c r="E379" i="2"/>
  <c r="CM379" i="2" s="1"/>
  <c r="F379" i="2"/>
  <c r="G379" i="2"/>
  <c r="H379" i="2"/>
  <c r="I379" i="2"/>
  <c r="J379" i="2"/>
  <c r="K379" i="2"/>
  <c r="L379" i="2"/>
  <c r="M379" i="2"/>
  <c r="N379" i="2"/>
  <c r="O379" i="2"/>
  <c r="P379" i="2"/>
  <c r="Q379" i="2"/>
  <c r="R379" i="2"/>
  <c r="S379" i="2"/>
  <c r="T379" i="2"/>
  <c r="U379" i="2"/>
  <c r="V379" i="2"/>
  <c r="W379" i="2"/>
  <c r="Y379" i="2"/>
  <c r="Z379" i="2"/>
  <c r="AA379" i="2"/>
  <c r="AB379" i="2"/>
  <c r="AC379" i="2"/>
  <c r="AD379" i="2"/>
  <c r="CO379" i="2"/>
  <c r="CP379" i="2"/>
  <c r="CR379" i="2"/>
  <c r="B380" i="2"/>
  <c r="E380" i="2"/>
  <c r="CM380" i="2" s="1"/>
  <c r="F380" i="2"/>
  <c r="G380" i="2"/>
  <c r="H380" i="2"/>
  <c r="I380" i="2"/>
  <c r="J380" i="2"/>
  <c r="K380" i="2"/>
  <c r="L380" i="2"/>
  <c r="M380" i="2"/>
  <c r="N380" i="2"/>
  <c r="O380" i="2"/>
  <c r="P380" i="2"/>
  <c r="Q380" i="2"/>
  <c r="R380" i="2"/>
  <c r="S380" i="2"/>
  <c r="T380" i="2"/>
  <c r="U380" i="2"/>
  <c r="V380" i="2"/>
  <c r="W380" i="2"/>
  <c r="Y380" i="2"/>
  <c r="Z380" i="2"/>
  <c r="AA380" i="2"/>
  <c r="AB380" i="2"/>
  <c r="AC380" i="2"/>
  <c r="AD380" i="2"/>
  <c r="CO380" i="2"/>
  <c r="CP380" i="2"/>
  <c r="CR380" i="2"/>
  <c r="B381" i="2"/>
  <c r="E381" i="2"/>
  <c r="CM381" i="2" s="1"/>
  <c r="F381" i="2"/>
  <c r="G381" i="2"/>
  <c r="H381" i="2"/>
  <c r="I381" i="2"/>
  <c r="J381" i="2"/>
  <c r="K381" i="2"/>
  <c r="L381" i="2"/>
  <c r="M381" i="2"/>
  <c r="N381" i="2"/>
  <c r="O381" i="2"/>
  <c r="P381" i="2"/>
  <c r="Q381" i="2"/>
  <c r="R381" i="2"/>
  <c r="S381" i="2"/>
  <c r="T381" i="2"/>
  <c r="U381" i="2"/>
  <c r="V381" i="2"/>
  <c r="W381" i="2"/>
  <c r="Y381" i="2"/>
  <c r="Z381" i="2"/>
  <c r="AA381" i="2"/>
  <c r="AB381" i="2"/>
  <c r="AC381" i="2"/>
  <c r="AD381" i="2"/>
  <c r="CO381" i="2"/>
  <c r="CP381" i="2"/>
  <c r="CR381" i="2"/>
  <c r="B382" i="2"/>
  <c r="E382" i="2"/>
  <c r="CM382" i="2" s="1"/>
  <c r="F382" i="2"/>
  <c r="G382" i="2"/>
  <c r="H382" i="2"/>
  <c r="I382" i="2"/>
  <c r="J382" i="2"/>
  <c r="K382" i="2"/>
  <c r="L382" i="2"/>
  <c r="M382" i="2"/>
  <c r="N382" i="2"/>
  <c r="O382" i="2"/>
  <c r="P382" i="2"/>
  <c r="Q382" i="2"/>
  <c r="R382" i="2"/>
  <c r="S382" i="2"/>
  <c r="T382" i="2"/>
  <c r="U382" i="2"/>
  <c r="V382" i="2"/>
  <c r="W382" i="2"/>
  <c r="Y382" i="2"/>
  <c r="Z382" i="2"/>
  <c r="AA382" i="2"/>
  <c r="AB382" i="2"/>
  <c r="AC382" i="2"/>
  <c r="AD382" i="2"/>
  <c r="CS382" i="2"/>
  <c r="CO382" i="2"/>
  <c r="CP382" i="2"/>
  <c r="CR382" i="2"/>
  <c r="B383" i="2"/>
  <c r="E383" i="2"/>
  <c r="CM383" i="2" s="1"/>
  <c r="F383" i="2"/>
  <c r="G383" i="2"/>
  <c r="H383" i="2"/>
  <c r="I383" i="2"/>
  <c r="J383" i="2"/>
  <c r="K383" i="2"/>
  <c r="L383" i="2"/>
  <c r="M383" i="2"/>
  <c r="N383" i="2"/>
  <c r="O383" i="2"/>
  <c r="P383" i="2"/>
  <c r="Q383" i="2"/>
  <c r="R383" i="2"/>
  <c r="S383" i="2"/>
  <c r="T383" i="2"/>
  <c r="U383" i="2"/>
  <c r="V383" i="2"/>
  <c r="W383" i="2"/>
  <c r="Y383" i="2"/>
  <c r="Z383" i="2"/>
  <c r="AA383" i="2"/>
  <c r="AB383" i="2"/>
  <c r="AC383" i="2"/>
  <c r="AD383" i="2"/>
  <c r="CO383" i="2"/>
  <c r="CP383" i="2"/>
  <c r="CR383" i="2"/>
  <c r="B384" i="2"/>
  <c r="E384" i="2"/>
  <c r="CM384" i="2" s="1"/>
  <c r="F384" i="2"/>
  <c r="G384" i="2"/>
  <c r="H384" i="2"/>
  <c r="I384" i="2"/>
  <c r="J384" i="2"/>
  <c r="K384" i="2"/>
  <c r="L384" i="2"/>
  <c r="M384" i="2"/>
  <c r="N384" i="2"/>
  <c r="O384" i="2"/>
  <c r="P384" i="2"/>
  <c r="Q384" i="2"/>
  <c r="R384" i="2"/>
  <c r="S384" i="2"/>
  <c r="T384" i="2"/>
  <c r="U384" i="2"/>
  <c r="V384" i="2"/>
  <c r="W384" i="2"/>
  <c r="Y384" i="2"/>
  <c r="Z384" i="2"/>
  <c r="AA384" i="2"/>
  <c r="AB384" i="2"/>
  <c r="AC384" i="2"/>
  <c r="AD384" i="2"/>
  <c r="CO384" i="2"/>
  <c r="CP384" i="2"/>
  <c r="CR384" i="2"/>
  <c r="CS384" i="2"/>
  <c r="B385" i="2"/>
  <c r="E385" i="2"/>
  <c r="CM385" i="2" s="1"/>
  <c r="F385" i="2"/>
  <c r="G385" i="2"/>
  <c r="H385" i="2"/>
  <c r="I385" i="2"/>
  <c r="J385" i="2"/>
  <c r="K385" i="2"/>
  <c r="L385" i="2"/>
  <c r="M385" i="2"/>
  <c r="N385" i="2"/>
  <c r="O385" i="2"/>
  <c r="P385" i="2"/>
  <c r="Q385" i="2"/>
  <c r="R385" i="2"/>
  <c r="S385" i="2"/>
  <c r="T385" i="2"/>
  <c r="U385" i="2"/>
  <c r="V385" i="2"/>
  <c r="W385" i="2"/>
  <c r="Y385" i="2"/>
  <c r="Z385" i="2"/>
  <c r="AA385" i="2"/>
  <c r="AB385" i="2"/>
  <c r="AC385" i="2"/>
  <c r="AD385" i="2"/>
  <c r="CO385" i="2"/>
  <c r="CP385" i="2"/>
  <c r="CR385" i="2"/>
  <c r="B386" i="2"/>
  <c r="E386" i="2"/>
  <c r="CM386" i="2" s="1"/>
  <c r="F386" i="2"/>
  <c r="G386" i="2"/>
  <c r="H386" i="2"/>
  <c r="I386" i="2"/>
  <c r="J386" i="2"/>
  <c r="K386" i="2"/>
  <c r="L386" i="2"/>
  <c r="M386" i="2"/>
  <c r="N386" i="2"/>
  <c r="O386" i="2"/>
  <c r="P386" i="2"/>
  <c r="Q386" i="2"/>
  <c r="R386" i="2"/>
  <c r="S386" i="2"/>
  <c r="T386" i="2"/>
  <c r="U386" i="2"/>
  <c r="V386" i="2"/>
  <c r="W386" i="2"/>
  <c r="Y386" i="2"/>
  <c r="Z386" i="2"/>
  <c r="AA386" i="2"/>
  <c r="AB386" i="2"/>
  <c r="AC386" i="2"/>
  <c r="AD386" i="2"/>
  <c r="CO386" i="2"/>
  <c r="CP386" i="2"/>
  <c r="CR386" i="2"/>
  <c r="B387" i="2"/>
  <c r="E387" i="2"/>
  <c r="CM387" i="2" s="1"/>
  <c r="F387" i="2"/>
  <c r="G387" i="2"/>
  <c r="H387" i="2"/>
  <c r="I387" i="2"/>
  <c r="J387" i="2"/>
  <c r="K387" i="2"/>
  <c r="L387" i="2"/>
  <c r="M387" i="2"/>
  <c r="N387" i="2"/>
  <c r="O387" i="2"/>
  <c r="P387" i="2"/>
  <c r="Q387" i="2"/>
  <c r="R387" i="2"/>
  <c r="S387" i="2"/>
  <c r="T387" i="2"/>
  <c r="U387" i="2"/>
  <c r="V387" i="2"/>
  <c r="W387" i="2"/>
  <c r="Y387" i="2"/>
  <c r="Z387" i="2"/>
  <c r="AA387" i="2"/>
  <c r="AB387" i="2"/>
  <c r="AC387" i="2"/>
  <c r="AD387" i="2"/>
  <c r="CO387" i="2"/>
  <c r="CP387" i="2"/>
  <c r="CR387" i="2"/>
  <c r="B388" i="2"/>
  <c r="E388" i="2"/>
  <c r="CM388" i="2" s="1"/>
  <c r="F388" i="2"/>
  <c r="G388" i="2"/>
  <c r="H388" i="2"/>
  <c r="I388" i="2"/>
  <c r="J388" i="2"/>
  <c r="K388" i="2"/>
  <c r="L388" i="2"/>
  <c r="M388" i="2"/>
  <c r="N388" i="2"/>
  <c r="O388" i="2"/>
  <c r="P388" i="2"/>
  <c r="Q388" i="2"/>
  <c r="R388" i="2"/>
  <c r="S388" i="2"/>
  <c r="T388" i="2"/>
  <c r="U388" i="2"/>
  <c r="V388" i="2"/>
  <c r="W388" i="2"/>
  <c r="Y388" i="2"/>
  <c r="Z388" i="2"/>
  <c r="AA388" i="2"/>
  <c r="AB388" i="2"/>
  <c r="AC388" i="2"/>
  <c r="AD388" i="2"/>
  <c r="CO388" i="2"/>
  <c r="CP388" i="2"/>
  <c r="CR388" i="2"/>
  <c r="B389" i="2"/>
  <c r="E389" i="2"/>
  <c r="CM389" i="2" s="1"/>
  <c r="F389" i="2"/>
  <c r="G389" i="2"/>
  <c r="H389" i="2"/>
  <c r="I389" i="2"/>
  <c r="J389" i="2"/>
  <c r="K389" i="2"/>
  <c r="L389" i="2"/>
  <c r="M389" i="2"/>
  <c r="N389" i="2"/>
  <c r="O389" i="2"/>
  <c r="P389" i="2"/>
  <c r="Q389" i="2"/>
  <c r="R389" i="2"/>
  <c r="S389" i="2"/>
  <c r="T389" i="2"/>
  <c r="U389" i="2"/>
  <c r="V389" i="2"/>
  <c r="W389" i="2"/>
  <c r="Y389" i="2"/>
  <c r="Z389" i="2"/>
  <c r="AA389" i="2"/>
  <c r="AB389" i="2"/>
  <c r="AC389" i="2"/>
  <c r="AD389" i="2"/>
  <c r="CO389" i="2"/>
  <c r="CP389" i="2"/>
  <c r="CR389" i="2"/>
  <c r="B390" i="2"/>
  <c r="E390" i="2"/>
  <c r="CM390" i="2" s="1"/>
  <c r="F390" i="2"/>
  <c r="G390" i="2"/>
  <c r="H390" i="2"/>
  <c r="I390" i="2"/>
  <c r="J390" i="2"/>
  <c r="K390" i="2"/>
  <c r="L390" i="2"/>
  <c r="M390" i="2"/>
  <c r="N390" i="2"/>
  <c r="O390" i="2"/>
  <c r="P390" i="2"/>
  <c r="Q390" i="2"/>
  <c r="R390" i="2"/>
  <c r="S390" i="2"/>
  <c r="T390" i="2"/>
  <c r="U390" i="2"/>
  <c r="V390" i="2"/>
  <c r="W390" i="2"/>
  <c r="Y390" i="2"/>
  <c r="Z390" i="2"/>
  <c r="AA390" i="2"/>
  <c r="AB390" i="2"/>
  <c r="AC390" i="2"/>
  <c r="AD390" i="2"/>
  <c r="CO390" i="2"/>
  <c r="CP390" i="2"/>
  <c r="CR390" i="2"/>
  <c r="B391" i="2"/>
  <c r="E391" i="2"/>
  <c r="CM391" i="2" s="1"/>
  <c r="F391" i="2"/>
  <c r="G391" i="2"/>
  <c r="H391" i="2"/>
  <c r="I391" i="2"/>
  <c r="J391" i="2"/>
  <c r="K391" i="2"/>
  <c r="L391" i="2"/>
  <c r="M391" i="2"/>
  <c r="N391" i="2"/>
  <c r="O391" i="2"/>
  <c r="P391" i="2"/>
  <c r="Q391" i="2"/>
  <c r="R391" i="2"/>
  <c r="S391" i="2"/>
  <c r="T391" i="2"/>
  <c r="U391" i="2"/>
  <c r="V391" i="2"/>
  <c r="W391" i="2"/>
  <c r="Y391" i="2"/>
  <c r="Z391" i="2"/>
  <c r="AA391" i="2"/>
  <c r="AB391" i="2"/>
  <c r="AC391" i="2"/>
  <c r="AD391" i="2"/>
  <c r="CO391" i="2"/>
  <c r="CP391" i="2"/>
  <c r="CR391" i="2"/>
  <c r="B392" i="2"/>
  <c r="E392" i="2"/>
  <c r="CM392" i="2" s="1"/>
  <c r="F392" i="2"/>
  <c r="G392" i="2"/>
  <c r="H392" i="2"/>
  <c r="I392" i="2"/>
  <c r="J392" i="2"/>
  <c r="K392" i="2"/>
  <c r="L392" i="2"/>
  <c r="M392" i="2"/>
  <c r="N392" i="2"/>
  <c r="O392" i="2"/>
  <c r="P392" i="2"/>
  <c r="Q392" i="2"/>
  <c r="R392" i="2"/>
  <c r="S392" i="2"/>
  <c r="T392" i="2"/>
  <c r="U392" i="2"/>
  <c r="V392" i="2"/>
  <c r="W392" i="2"/>
  <c r="Y392" i="2"/>
  <c r="Z392" i="2"/>
  <c r="AA392" i="2"/>
  <c r="AB392" i="2"/>
  <c r="AC392" i="2"/>
  <c r="AD392" i="2"/>
  <c r="CS392" i="2"/>
  <c r="CO392" i="2"/>
  <c r="CP392" i="2"/>
  <c r="CR392" i="2"/>
  <c r="B367" i="2"/>
  <c r="E367" i="2"/>
  <c r="CM367" i="2" s="1"/>
  <c r="F367" i="2"/>
  <c r="G367" i="2"/>
  <c r="H367" i="2"/>
  <c r="I367" i="2"/>
  <c r="J367" i="2"/>
  <c r="K367" i="2"/>
  <c r="L367" i="2"/>
  <c r="M367" i="2"/>
  <c r="N367" i="2"/>
  <c r="O367" i="2"/>
  <c r="P367" i="2"/>
  <c r="Q367" i="2"/>
  <c r="R367" i="2"/>
  <c r="S367" i="2"/>
  <c r="T367" i="2"/>
  <c r="U367" i="2"/>
  <c r="V367" i="2"/>
  <c r="W367" i="2"/>
  <c r="Y367" i="2"/>
  <c r="Z367" i="2"/>
  <c r="AA367" i="2"/>
  <c r="AB367" i="2"/>
  <c r="AC367" i="2"/>
  <c r="AD367" i="2"/>
  <c r="CO367" i="2"/>
  <c r="CP367" i="2"/>
  <c r="CR367" i="2"/>
  <c r="B368" i="2"/>
  <c r="E368" i="2"/>
  <c r="CM368" i="2" s="1"/>
  <c r="F368" i="2"/>
  <c r="G368" i="2"/>
  <c r="H368" i="2"/>
  <c r="I368" i="2"/>
  <c r="J368" i="2"/>
  <c r="K368" i="2"/>
  <c r="L368" i="2"/>
  <c r="M368" i="2"/>
  <c r="N368" i="2"/>
  <c r="O368" i="2"/>
  <c r="P368" i="2"/>
  <c r="Q368" i="2"/>
  <c r="R368" i="2"/>
  <c r="S368" i="2"/>
  <c r="T368" i="2"/>
  <c r="U368" i="2"/>
  <c r="V368" i="2"/>
  <c r="W368" i="2"/>
  <c r="Y368" i="2"/>
  <c r="Z368" i="2"/>
  <c r="AA368" i="2"/>
  <c r="AB368" i="2"/>
  <c r="AC368" i="2"/>
  <c r="AD368" i="2"/>
  <c r="CO368" i="2"/>
  <c r="CP368" i="2"/>
  <c r="CR368" i="2"/>
  <c r="B369" i="2"/>
  <c r="E369" i="2"/>
  <c r="CM369" i="2" s="1"/>
  <c r="F369" i="2"/>
  <c r="G369" i="2"/>
  <c r="H369" i="2"/>
  <c r="I369" i="2"/>
  <c r="J369" i="2"/>
  <c r="K369" i="2"/>
  <c r="L369" i="2"/>
  <c r="M369" i="2"/>
  <c r="N369" i="2"/>
  <c r="O369" i="2"/>
  <c r="P369" i="2"/>
  <c r="Q369" i="2"/>
  <c r="R369" i="2"/>
  <c r="S369" i="2"/>
  <c r="T369" i="2"/>
  <c r="U369" i="2"/>
  <c r="V369" i="2"/>
  <c r="W369" i="2"/>
  <c r="Y369" i="2"/>
  <c r="Z369" i="2"/>
  <c r="AA369" i="2"/>
  <c r="AC369" i="2"/>
  <c r="AD369" i="2"/>
  <c r="CO369" i="2"/>
  <c r="CP369" i="2"/>
  <c r="CR369" i="2"/>
  <c r="B370" i="2"/>
  <c r="E370" i="2"/>
  <c r="CM370" i="2" s="1"/>
  <c r="F370" i="2"/>
  <c r="G370" i="2"/>
  <c r="H370" i="2"/>
  <c r="I370" i="2"/>
  <c r="J370" i="2"/>
  <c r="K370" i="2"/>
  <c r="L370" i="2"/>
  <c r="M370" i="2"/>
  <c r="N370" i="2"/>
  <c r="O370" i="2"/>
  <c r="P370" i="2"/>
  <c r="Q370" i="2"/>
  <c r="R370" i="2"/>
  <c r="S370" i="2"/>
  <c r="T370" i="2"/>
  <c r="U370" i="2"/>
  <c r="V370" i="2"/>
  <c r="W370" i="2"/>
  <c r="Y370" i="2"/>
  <c r="Z370" i="2"/>
  <c r="AA370" i="2"/>
  <c r="AB370" i="2"/>
  <c r="AC370" i="2"/>
  <c r="AD370" i="2"/>
  <c r="CO370" i="2"/>
  <c r="CP370" i="2"/>
  <c r="CR370" i="2"/>
  <c r="B366" i="2"/>
  <c r="E366" i="2"/>
  <c r="CM366" i="2" s="1"/>
  <c r="H4" i="2"/>
  <c r="I4" i="2"/>
  <c r="J4" i="2"/>
  <c r="S4" i="2"/>
  <c r="T4" i="2"/>
  <c r="U4" i="2"/>
  <c r="V4" i="2"/>
  <c r="W4" i="2"/>
  <c r="Y4" i="2"/>
  <c r="AB4" i="2"/>
  <c r="AC4" i="2"/>
  <c r="AD4" i="2"/>
  <c r="AE4" i="2"/>
  <c r="AF4" i="2"/>
  <c r="AG4" i="2"/>
  <c r="AH4" i="2"/>
  <c r="AI4" i="2"/>
  <c r="AJ4" i="2"/>
  <c r="AK4" i="2"/>
  <c r="AL4" i="2"/>
  <c r="AM4" i="2"/>
  <c r="AN4" i="2"/>
  <c r="AO4" i="2"/>
  <c r="AP4" i="2"/>
  <c r="AQ4" i="2"/>
  <c r="AR4" i="2"/>
  <c r="AS4" i="2"/>
  <c r="AT4" i="2"/>
  <c r="AU4" i="2"/>
  <c r="AV4" i="2"/>
  <c r="AW4" i="2"/>
  <c r="AX4" i="2"/>
  <c r="AY4" i="2"/>
  <c r="AZ4" i="2"/>
  <c r="BA4" i="2"/>
  <c r="BB4" i="2"/>
  <c r="BC4" i="2"/>
  <c r="BD4" i="2"/>
  <c r="BE4" i="2"/>
  <c r="CO4" i="2"/>
  <c r="E5" i="2"/>
  <c r="F5" i="2"/>
  <c r="G5" i="2"/>
  <c r="H5" i="2"/>
  <c r="I5" i="2"/>
  <c r="J5" i="2"/>
  <c r="K5" i="2"/>
  <c r="L5" i="2"/>
  <c r="M5" i="2"/>
  <c r="N5" i="2"/>
  <c r="O5" i="2"/>
  <c r="P5" i="2"/>
  <c r="Q5" i="2"/>
  <c r="R5" i="2"/>
  <c r="S5" i="2"/>
  <c r="T5" i="2"/>
  <c r="U5" i="2"/>
  <c r="V5" i="2"/>
  <c r="W5" i="2"/>
  <c r="Y5" i="2"/>
  <c r="Z5" i="2"/>
  <c r="AA5" i="2"/>
  <c r="AB5" i="2"/>
  <c r="AC5" i="2"/>
  <c r="AD5" i="2"/>
  <c r="AE5" i="2"/>
  <c r="AF5" i="2"/>
  <c r="AG5" i="2"/>
  <c r="AH5" i="2"/>
  <c r="AI5" i="2"/>
  <c r="AJ5" i="2"/>
  <c r="AK5" i="2"/>
  <c r="AL5" i="2"/>
  <c r="AM5" i="2"/>
  <c r="AN5" i="2"/>
  <c r="AO5" i="2"/>
  <c r="AP5" i="2"/>
  <c r="AQ5" i="2"/>
  <c r="AR5" i="2"/>
  <c r="AS5" i="2"/>
  <c r="AT5" i="2"/>
  <c r="AU5" i="2"/>
  <c r="AV5" i="2"/>
  <c r="AW5" i="2"/>
  <c r="AX5" i="2"/>
  <c r="AY5" i="2"/>
  <c r="AZ5" i="2"/>
  <c r="BA5" i="2"/>
  <c r="BB5" i="2"/>
  <c r="BC5" i="2"/>
  <c r="BD5" i="2"/>
  <c r="BE5" i="2"/>
  <c r="CO5" i="2"/>
  <c r="E6" i="2"/>
  <c r="F6" i="2"/>
  <c r="G6" i="2"/>
  <c r="H6" i="2"/>
  <c r="I6" i="2"/>
  <c r="J6" i="2"/>
  <c r="K6" i="2"/>
  <c r="L6" i="2"/>
  <c r="M6" i="2"/>
  <c r="N6" i="2"/>
  <c r="O6" i="2"/>
  <c r="P6" i="2"/>
  <c r="Q6" i="2"/>
  <c r="R6" i="2"/>
  <c r="S6" i="2"/>
  <c r="T6" i="2"/>
  <c r="U6" i="2"/>
  <c r="V6" i="2"/>
  <c r="W6" i="2"/>
  <c r="Y6" i="2"/>
  <c r="Z6" i="2"/>
  <c r="AA6" i="2"/>
  <c r="AB6" i="2"/>
  <c r="AC6" i="2"/>
  <c r="AD6" i="2"/>
  <c r="AE6" i="2"/>
  <c r="AF6" i="2"/>
  <c r="AG6" i="2"/>
  <c r="AH6" i="2"/>
  <c r="AI6" i="2"/>
  <c r="AJ6" i="2"/>
  <c r="AK6" i="2"/>
  <c r="AL6" i="2"/>
  <c r="AM6" i="2"/>
  <c r="AN6" i="2"/>
  <c r="AO6" i="2"/>
  <c r="AP6" i="2"/>
  <c r="AQ6" i="2"/>
  <c r="AR6" i="2"/>
  <c r="AS6" i="2"/>
  <c r="AT6" i="2"/>
  <c r="AU6" i="2"/>
  <c r="AV6" i="2"/>
  <c r="AW6" i="2"/>
  <c r="AX6" i="2"/>
  <c r="AY6" i="2"/>
  <c r="AZ6" i="2"/>
  <c r="BA6" i="2"/>
  <c r="BB6" i="2"/>
  <c r="BC6" i="2"/>
  <c r="BD6" i="2"/>
  <c r="BE6" i="2"/>
  <c r="CO6" i="2"/>
  <c r="E7" i="2"/>
  <c r="F7" i="2"/>
  <c r="H7" i="2"/>
  <c r="I7" i="2"/>
  <c r="J7" i="2"/>
  <c r="K7" i="2"/>
  <c r="L7" i="2"/>
  <c r="M7" i="2"/>
  <c r="N7" i="2"/>
  <c r="O7" i="2"/>
  <c r="P7" i="2"/>
  <c r="Q7" i="2"/>
  <c r="R7" i="2"/>
  <c r="S7" i="2"/>
  <c r="T7" i="2"/>
  <c r="U7" i="2"/>
  <c r="V7" i="2"/>
  <c r="W7" i="2"/>
  <c r="Y7" i="2"/>
  <c r="Z7" i="2"/>
  <c r="AA7" i="2"/>
  <c r="AB7" i="2"/>
  <c r="AC7" i="2"/>
  <c r="AD7" i="2"/>
  <c r="AE7" i="2"/>
  <c r="AF7" i="2"/>
  <c r="AG7" i="2"/>
  <c r="AH7" i="2"/>
  <c r="AI7" i="2"/>
  <c r="AJ7" i="2"/>
  <c r="AK7" i="2"/>
  <c r="AL7" i="2"/>
  <c r="AM7" i="2"/>
  <c r="AN7" i="2"/>
  <c r="AO7" i="2"/>
  <c r="AP7" i="2"/>
  <c r="AQ7" i="2"/>
  <c r="AR7" i="2"/>
  <c r="AS7" i="2"/>
  <c r="AT7" i="2"/>
  <c r="AU7" i="2"/>
  <c r="AV7" i="2"/>
  <c r="AW7" i="2"/>
  <c r="AX7" i="2"/>
  <c r="AY7" i="2"/>
  <c r="AZ7" i="2"/>
  <c r="BA7" i="2"/>
  <c r="BB7" i="2"/>
  <c r="BC7" i="2"/>
  <c r="BD7" i="2"/>
  <c r="BE7" i="2"/>
  <c r="CO7" i="2"/>
  <c r="E8" i="2"/>
  <c r="F8" i="2"/>
  <c r="H8" i="2"/>
  <c r="I8" i="2"/>
  <c r="J8" i="2"/>
  <c r="K8" i="2"/>
  <c r="L8" i="2"/>
  <c r="M8" i="2"/>
  <c r="N8" i="2"/>
  <c r="O8" i="2"/>
  <c r="P8" i="2"/>
  <c r="Q8" i="2"/>
  <c r="R8" i="2"/>
  <c r="S8" i="2"/>
  <c r="T8" i="2"/>
  <c r="U8" i="2"/>
  <c r="V8" i="2"/>
  <c r="W8" i="2"/>
  <c r="Y8" i="2"/>
  <c r="Z8" i="2"/>
  <c r="AA8" i="2"/>
  <c r="AB8" i="2"/>
  <c r="AC8" i="2"/>
  <c r="AD8" i="2"/>
  <c r="AE8" i="2"/>
  <c r="AF8" i="2"/>
  <c r="AG8" i="2"/>
  <c r="AH8" i="2"/>
  <c r="AI8" i="2"/>
  <c r="AJ8" i="2"/>
  <c r="AK8" i="2"/>
  <c r="AL8" i="2"/>
  <c r="AM8" i="2"/>
  <c r="AN8" i="2"/>
  <c r="AO8" i="2"/>
  <c r="AP8" i="2"/>
  <c r="AQ8" i="2"/>
  <c r="AR8" i="2"/>
  <c r="AS8" i="2"/>
  <c r="AT8" i="2"/>
  <c r="AU8" i="2"/>
  <c r="AV8" i="2"/>
  <c r="AW8" i="2"/>
  <c r="AX8" i="2"/>
  <c r="AY8" i="2"/>
  <c r="AZ8" i="2"/>
  <c r="BA8" i="2"/>
  <c r="BB8" i="2"/>
  <c r="BC8" i="2"/>
  <c r="BD8" i="2"/>
  <c r="BE8" i="2"/>
  <c r="CO8" i="2"/>
  <c r="E9" i="2"/>
  <c r="F9" i="2"/>
  <c r="G9" i="2"/>
  <c r="H9" i="2"/>
  <c r="I9" i="2"/>
  <c r="J9" i="2"/>
  <c r="K9" i="2"/>
  <c r="L9" i="2"/>
  <c r="M9" i="2"/>
  <c r="N9" i="2"/>
  <c r="O9" i="2"/>
  <c r="P9" i="2"/>
  <c r="Q9" i="2"/>
  <c r="R9" i="2"/>
  <c r="S9" i="2"/>
  <c r="T9" i="2"/>
  <c r="U9" i="2"/>
  <c r="V9" i="2"/>
  <c r="W9" i="2"/>
  <c r="Y9" i="2"/>
  <c r="Z9" i="2"/>
  <c r="AA9" i="2"/>
  <c r="AB9" i="2"/>
  <c r="AC9" i="2"/>
  <c r="AD9" i="2"/>
  <c r="AE9" i="2"/>
  <c r="AF9" i="2"/>
  <c r="AG9" i="2"/>
  <c r="AH9" i="2"/>
  <c r="AI9" i="2"/>
  <c r="AJ9" i="2"/>
  <c r="AK9" i="2"/>
  <c r="AL9" i="2"/>
  <c r="AM9" i="2"/>
  <c r="AN9" i="2"/>
  <c r="AO9" i="2"/>
  <c r="AP9" i="2"/>
  <c r="AQ9" i="2"/>
  <c r="AR9" i="2"/>
  <c r="AS9" i="2"/>
  <c r="AT9" i="2"/>
  <c r="AU9" i="2"/>
  <c r="AV9" i="2"/>
  <c r="AW9" i="2"/>
  <c r="AX9" i="2"/>
  <c r="AY9" i="2"/>
  <c r="AZ9" i="2"/>
  <c r="BA9" i="2"/>
  <c r="BB9" i="2"/>
  <c r="BC9" i="2"/>
  <c r="BD9" i="2"/>
  <c r="BE9" i="2"/>
  <c r="CO9" i="2"/>
  <c r="E10" i="2"/>
  <c r="F10" i="2"/>
  <c r="H10" i="2"/>
  <c r="I10" i="2"/>
  <c r="J10" i="2"/>
  <c r="K10" i="2"/>
  <c r="L10" i="2"/>
  <c r="M10" i="2"/>
  <c r="N10" i="2"/>
  <c r="O10" i="2"/>
  <c r="P10" i="2"/>
  <c r="Q10" i="2"/>
  <c r="R10" i="2"/>
  <c r="S10" i="2"/>
  <c r="T10" i="2"/>
  <c r="U10" i="2"/>
  <c r="V10" i="2"/>
  <c r="W10" i="2"/>
  <c r="Y10" i="2"/>
  <c r="Z10" i="2"/>
  <c r="AA10" i="2"/>
  <c r="AB10" i="2"/>
  <c r="AC10" i="2"/>
  <c r="AD10" i="2"/>
  <c r="AE10" i="2"/>
  <c r="AF10" i="2"/>
  <c r="AG10" i="2"/>
  <c r="AH10" i="2"/>
  <c r="AI10" i="2"/>
  <c r="AJ10" i="2"/>
  <c r="AK10" i="2"/>
  <c r="AL10" i="2"/>
  <c r="AM10" i="2"/>
  <c r="AN10" i="2"/>
  <c r="AO10" i="2"/>
  <c r="AP10" i="2"/>
  <c r="AQ10" i="2"/>
  <c r="AR10" i="2"/>
  <c r="AS10" i="2"/>
  <c r="AT10" i="2"/>
  <c r="AU10" i="2"/>
  <c r="AV10" i="2"/>
  <c r="AW10" i="2"/>
  <c r="AX10" i="2"/>
  <c r="AY10" i="2"/>
  <c r="AZ10" i="2"/>
  <c r="BA10" i="2"/>
  <c r="BB10" i="2"/>
  <c r="BC10" i="2"/>
  <c r="BD10" i="2"/>
  <c r="BE10" i="2"/>
  <c r="CO10" i="2"/>
  <c r="E11" i="2"/>
  <c r="F11" i="2"/>
  <c r="H11" i="2"/>
  <c r="I11" i="2"/>
  <c r="J11" i="2"/>
  <c r="K11" i="2"/>
  <c r="L11" i="2"/>
  <c r="M11" i="2"/>
  <c r="N11" i="2"/>
  <c r="O11" i="2"/>
  <c r="P11" i="2"/>
  <c r="Q11" i="2"/>
  <c r="R11" i="2"/>
  <c r="S11" i="2"/>
  <c r="T11" i="2"/>
  <c r="U11" i="2"/>
  <c r="V11" i="2"/>
  <c r="W11" i="2"/>
  <c r="Y11" i="2"/>
  <c r="Z11" i="2"/>
  <c r="AA11" i="2"/>
  <c r="AB11" i="2"/>
  <c r="AC11" i="2"/>
  <c r="AD11" i="2"/>
  <c r="AE11" i="2"/>
  <c r="AF11" i="2"/>
  <c r="AG11" i="2"/>
  <c r="AH11" i="2"/>
  <c r="AI11" i="2"/>
  <c r="AJ11" i="2"/>
  <c r="AK11" i="2"/>
  <c r="AL11" i="2"/>
  <c r="AM11" i="2"/>
  <c r="AN11" i="2"/>
  <c r="AO11" i="2"/>
  <c r="AP11" i="2"/>
  <c r="AQ11" i="2"/>
  <c r="AR11" i="2"/>
  <c r="AS11" i="2"/>
  <c r="AT11" i="2"/>
  <c r="AU11" i="2"/>
  <c r="AV11" i="2"/>
  <c r="AW11" i="2"/>
  <c r="AX11" i="2"/>
  <c r="AY11" i="2"/>
  <c r="AZ11" i="2"/>
  <c r="BA11" i="2"/>
  <c r="BB11" i="2"/>
  <c r="BC11" i="2"/>
  <c r="BD11" i="2"/>
  <c r="BE11" i="2"/>
  <c r="CO11" i="2"/>
  <c r="E12" i="2"/>
  <c r="F12" i="2"/>
  <c r="H12" i="2"/>
  <c r="I12" i="2"/>
  <c r="J12" i="2"/>
  <c r="K12" i="2"/>
  <c r="L12" i="2"/>
  <c r="M12" i="2"/>
  <c r="N12" i="2"/>
  <c r="O12" i="2"/>
  <c r="P12" i="2"/>
  <c r="Q12" i="2"/>
  <c r="R12" i="2"/>
  <c r="S12" i="2"/>
  <c r="T12" i="2"/>
  <c r="U12" i="2"/>
  <c r="V12" i="2"/>
  <c r="W12" i="2"/>
  <c r="Y12" i="2"/>
  <c r="Z12" i="2"/>
  <c r="AA12" i="2"/>
  <c r="AB12" i="2"/>
  <c r="AC12" i="2"/>
  <c r="AD12" i="2"/>
  <c r="AE12" i="2"/>
  <c r="AF12" i="2"/>
  <c r="AG12" i="2"/>
  <c r="AH12" i="2"/>
  <c r="AI12" i="2"/>
  <c r="AJ12" i="2"/>
  <c r="AK12" i="2"/>
  <c r="AL12" i="2"/>
  <c r="AM12" i="2"/>
  <c r="AN12" i="2"/>
  <c r="AO12" i="2"/>
  <c r="AP12" i="2"/>
  <c r="AQ12" i="2"/>
  <c r="AR12" i="2"/>
  <c r="AS12" i="2"/>
  <c r="AT12" i="2"/>
  <c r="AU12" i="2"/>
  <c r="AV12" i="2"/>
  <c r="AW12" i="2"/>
  <c r="AX12" i="2"/>
  <c r="AY12" i="2"/>
  <c r="AZ12" i="2"/>
  <c r="BA12" i="2"/>
  <c r="BB12" i="2"/>
  <c r="BC12" i="2"/>
  <c r="BD12" i="2"/>
  <c r="BE12" i="2"/>
  <c r="CO12" i="2"/>
  <c r="E13" i="2"/>
  <c r="F13" i="2"/>
  <c r="H13" i="2"/>
  <c r="I13" i="2"/>
  <c r="J13" i="2"/>
  <c r="K13" i="2"/>
  <c r="L13" i="2"/>
  <c r="M13" i="2"/>
  <c r="N13" i="2"/>
  <c r="O13" i="2"/>
  <c r="P13" i="2"/>
  <c r="Q13" i="2"/>
  <c r="R13" i="2"/>
  <c r="S13" i="2"/>
  <c r="T13" i="2"/>
  <c r="U13" i="2"/>
  <c r="V13" i="2"/>
  <c r="W13" i="2"/>
  <c r="Y13" i="2"/>
  <c r="Z13" i="2"/>
  <c r="AA13" i="2"/>
  <c r="AB13" i="2"/>
  <c r="AC13" i="2"/>
  <c r="AD13" i="2"/>
  <c r="AE13" i="2"/>
  <c r="AF13" i="2"/>
  <c r="AG13" i="2"/>
  <c r="AH13" i="2"/>
  <c r="AI13" i="2"/>
  <c r="AJ13" i="2"/>
  <c r="AK13" i="2"/>
  <c r="AL13" i="2"/>
  <c r="AM13" i="2"/>
  <c r="AN13" i="2"/>
  <c r="AO13" i="2"/>
  <c r="AP13" i="2"/>
  <c r="AQ13" i="2"/>
  <c r="AR13" i="2"/>
  <c r="AS13" i="2"/>
  <c r="AT13" i="2"/>
  <c r="AU13" i="2"/>
  <c r="AV13" i="2"/>
  <c r="AW13" i="2"/>
  <c r="AX13" i="2"/>
  <c r="AY13" i="2"/>
  <c r="AZ13" i="2"/>
  <c r="BA13" i="2"/>
  <c r="BB13" i="2"/>
  <c r="BC13" i="2"/>
  <c r="BD13" i="2"/>
  <c r="BE13" i="2"/>
  <c r="CO13" i="2"/>
  <c r="E14" i="2"/>
  <c r="F14" i="2"/>
  <c r="H14" i="2"/>
  <c r="I14" i="2"/>
  <c r="J14" i="2"/>
  <c r="K14" i="2"/>
  <c r="L14" i="2"/>
  <c r="M14" i="2"/>
  <c r="N14" i="2"/>
  <c r="O14" i="2"/>
  <c r="P14" i="2"/>
  <c r="Q14" i="2"/>
  <c r="R14" i="2"/>
  <c r="S14" i="2"/>
  <c r="T14" i="2"/>
  <c r="U14" i="2"/>
  <c r="V14" i="2"/>
  <c r="W14" i="2"/>
  <c r="Y14" i="2"/>
  <c r="Z14" i="2"/>
  <c r="AA14" i="2"/>
  <c r="AB14" i="2"/>
  <c r="AC14" i="2"/>
  <c r="AD14" i="2"/>
  <c r="AE14" i="2"/>
  <c r="AF14" i="2"/>
  <c r="AG14" i="2"/>
  <c r="AH14" i="2"/>
  <c r="AI14" i="2"/>
  <c r="AJ14" i="2"/>
  <c r="AK14" i="2"/>
  <c r="AL14" i="2"/>
  <c r="AM14" i="2"/>
  <c r="AN14" i="2"/>
  <c r="AO14" i="2"/>
  <c r="AP14" i="2"/>
  <c r="AQ14" i="2"/>
  <c r="AR14" i="2"/>
  <c r="AS14" i="2"/>
  <c r="AT14" i="2"/>
  <c r="AU14" i="2"/>
  <c r="AV14" i="2"/>
  <c r="AW14" i="2"/>
  <c r="AX14" i="2"/>
  <c r="AY14" i="2"/>
  <c r="AZ14" i="2"/>
  <c r="BA14" i="2"/>
  <c r="BB14" i="2"/>
  <c r="BC14" i="2"/>
  <c r="BD14" i="2"/>
  <c r="BE14" i="2"/>
  <c r="CO14" i="2"/>
  <c r="E15" i="2"/>
  <c r="F15" i="2"/>
  <c r="H15" i="2"/>
  <c r="I15" i="2"/>
  <c r="J15" i="2"/>
  <c r="K15" i="2"/>
  <c r="L15" i="2"/>
  <c r="M15" i="2"/>
  <c r="N15" i="2"/>
  <c r="O15" i="2"/>
  <c r="P15" i="2"/>
  <c r="Q15" i="2"/>
  <c r="R15" i="2"/>
  <c r="S15" i="2"/>
  <c r="T15" i="2"/>
  <c r="U15" i="2"/>
  <c r="V15" i="2"/>
  <c r="W15" i="2"/>
  <c r="Y15" i="2"/>
  <c r="Z15" i="2"/>
  <c r="AA15" i="2"/>
  <c r="AB15" i="2"/>
  <c r="AC15" i="2"/>
  <c r="AD15" i="2"/>
  <c r="AE15" i="2"/>
  <c r="AF15" i="2"/>
  <c r="AG15" i="2"/>
  <c r="AH15" i="2"/>
  <c r="AI15" i="2"/>
  <c r="AJ15" i="2"/>
  <c r="AK15" i="2"/>
  <c r="AL15" i="2"/>
  <c r="AM15" i="2"/>
  <c r="AN15" i="2"/>
  <c r="AO15" i="2"/>
  <c r="AP15" i="2"/>
  <c r="AQ15" i="2"/>
  <c r="AR15" i="2"/>
  <c r="AS15" i="2"/>
  <c r="AT15" i="2"/>
  <c r="AU15" i="2"/>
  <c r="AV15" i="2"/>
  <c r="AW15" i="2"/>
  <c r="AX15" i="2"/>
  <c r="AY15" i="2"/>
  <c r="AZ15" i="2"/>
  <c r="BA15" i="2"/>
  <c r="BB15" i="2"/>
  <c r="BC15" i="2"/>
  <c r="BD15" i="2"/>
  <c r="BE15" i="2"/>
  <c r="CO15" i="2"/>
  <c r="E16" i="2"/>
  <c r="F16" i="2"/>
  <c r="H16" i="2"/>
  <c r="I16" i="2"/>
  <c r="J16" i="2"/>
  <c r="K16" i="2"/>
  <c r="L16" i="2"/>
  <c r="M16" i="2"/>
  <c r="N16" i="2"/>
  <c r="O16" i="2"/>
  <c r="P16" i="2"/>
  <c r="Q16" i="2"/>
  <c r="R16" i="2"/>
  <c r="S16" i="2"/>
  <c r="T16" i="2"/>
  <c r="U16" i="2"/>
  <c r="V16" i="2"/>
  <c r="W16" i="2"/>
  <c r="Y16" i="2"/>
  <c r="Z16" i="2"/>
  <c r="AA16" i="2"/>
  <c r="AB16" i="2"/>
  <c r="AC16" i="2"/>
  <c r="AD16" i="2"/>
  <c r="AE16" i="2"/>
  <c r="AF16" i="2"/>
  <c r="AG16" i="2"/>
  <c r="AH16" i="2"/>
  <c r="AI16" i="2"/>
  <c r="AJ16" i="2"/>
  <c r="AK16" i="2"/>
  <c r="AL16" i="2"/>
  <c r="AM16" i="2"/>
  <c r="AN16" i="2"/>
  <c r="AO16" i="2"/>
  <c r="AP16" i="2"/>
  <c r="AQ16" i="2"/>
  <c r="AR16" i="2"/>
  <c r="AS16" i="2"/>
  <c r="AT16" i="2"/>
  <c r="AU16" i="2"/>
  <c r="AV16" i="2"/>
  <c r="AW16" i="2"/>
  <c r="AX16" i="2"/>
  <c r="AY16" i="2"/>
  <c r="AZ16" i="2"/>
  <c r="BA16" i="2"/>
  <c r="BB16" i="2"/>
  <c r="BC16" i="2"/>
  <c r="BD16" i="2"/>
  <c r="BE16" i="2"/>
  <c r="CO16" i="2"/>
  <c r="E17" i="2"/>
  <c r="F17" i="2"/>
  <c r="H17" i="2"/>
  <c r="I17" i="2"/>
  <c r="J17" i="2"/>
  <c r="K17" i="2"/>
  <c r="L17" i="2"/>
  <c r="M17" i="2"/>
  <c r="N17" i="2"/>
  <c r="O17" i="2"/>
  <c r="P17" i="2"/>
  <c r="Q17" i="2"/>
  <c r="R17" i="2"/>
  <c r="S17" i="2"/>
  <c r="T17" i="2"/>
  <c r="U17" i="2"/>
  <c r="V17" i="2"/>
  <c r="W17" i="2"/>
  <c r="Y17" i="2"/>
  <c r="Z17" i="2"/>
  <c r="AA17" i="2"/>
  <c r="AB17" i="2"/>
  <c r="AC17" i="2"/>
  <c r="AD17" i="2"/>
  <c r="AE17" i="2"/>
  <c r="AF17" i="2"/>
  <c r="AG17" i="2"/>
  <c r="AH17" i="2"/>
  <c r="AI17" i="2"/>
  <c r="AJ17" i="2"/>
  <c r="AK17" i="2"/>
  <c r="AL17" i="2"/>
  <c r="AM17" i="2"/>
  <c r="AN17" i="2"/>
  <c r="AO17" i="2"/>
  <c r="AP17" i="2"/>
  <c r="AQ17" i="2"/>
  <c r="AR17" i="2"/>
  <c r="AS17" i="2"/>
  <c r="AT17" i="2"/>
  <c r="AU17" i="2"/>
  <c r="AV17" i="2"/>
  <c r="AW17" i="2"/>
  <c r="AX17" i="2"/>
  <c r="AY17" i="2"/>
  <c r="AZ17" i="2"/>
  <c r="BA17" i="2"/>
  <c r="BB17" i="2"/>
  <c r="BC17" i="2"/>
  <c r="BD17" i="2"/>
  <c r="BE17" i="2"/>
  <c r="CO17" i="2"/>
  <c r="E18" i="2"/>
  <c r="F18" i="2"/>
  <c r="H18" i="2"/>
  <c r="I18" i="2"/>
  <c r="J18" i="2"/>
  <c r="K18" i="2"/>
  <c r="L18" i="2"/>
  <c r="M18" i="2"/>
  <c r="N18" i="2"/>
  <c r="O18" i="2"/>
  <c r="P18" i="2"/>
  <c r="Q18" i="2"/>
  <c r="R18" i="2"/>
  <c r="S18" i="2"/>
  <c r="T18" i="2"/>
  <c r="U18" i="2"/>
  <c r="V18" i="2"/>
  <c r="W18" i="2"/>
  <c r="Y18" i="2"/>
  <c r="Z18" i="2"/>
  <c r="AA18" i="2"/>
  <c r="AB18" i="2"/>
  <c r="AC18" i="2"/>
  <c r="AD18" i="2"/>
  <c r="AE18" i="2"/>
  <c r="AF18" i="2"/>
  <c r="AG18" i="2"/>
  <c r="AH18" i="2"/>
  <c r="AI18" i="2"/>
  <c r="AJ18" i="2"/>
  <c r="AK18" i="2"/>
  <c r="AL18" i="2"/>
  <c r="AM18" i="2"/>
  <c r="AN18" i="2"/>
  <c r="AO18" i="2"/>
  <c r="AP18" i="2"/>
  <c r="AQ18" i="2"/>
  <c r="AR18" i="2"/>
  <c r="AS18" i="2"/>
  <c r="AT18" i="2"/>
  <c r="AU18" i="2"/>
  <c r="AV18" i="2"/>
  <c r="AW18" i="2"/>
  <c r="AX18" i="2"/>
  <c r="AY18" i="2"/>
  <c r="AZ18" i="2"/>
  <c r="BA18" i="2"/>
  <c r="BB18" i="2"/>
  <c r="BC18" i="2"/>
  <c r="BD18" i="2"/>
  <c r="BE18" i="2"/>
  <c r="CO18" i="2"/>
  <c r="E19" i="2"/>
  <c r="F19" i="2"/>
  <c r="H19" i="2"/>
  <c r="I19" i="2"/>
  <c r="J19" i="2"/>
  <c r="K19" i="2"/>
  <c r="L19" i="2"/>
  <c r="M19" i="2"/>
  <c r="N19" i="2"/>
  <c r="O19" i="2"/>
  <c r="P19" i="2"/>
  <c r="Q19" i="2"/>
  <c r="R19" i="2"/>
  <c r="S19" i="2"/>
  <c r="T19" i="2"/>
  <c r="U19" i="2"/>
  <c r="V19" i="2"/>
  <c r="W19" i="2"/>
  <c r="Y19" i="2"/>
  <c r="Z19" i="2"/>
  <c r="AA19" i="2"/>
  <c r="AB19" i="2"/>
  <c r="AC19" i="2"/>
  <c r="AD19" i="2"/>
  <c r="AE19" i="2"/>
  <c r="AF19" i="2"/>
  <c r="AG19" i="2"/>
  <c r="AH19" i="2"/>
  <c r="AI19" i="2"/>
  <c r="AJ19" i="2"/>
  <c r="AK19" i="2"/>
  <c r="AL19" i="2"/>
  <c r="AM19" i="2"/>
  <c r="AN19" i="2"/>
  <c r="AO19" i="2"/>
  <c r="AP19" i="2"/>
  <c r="AQ19" i="2"/>
  <c r="AR19" i="2"/>
  <c r="AS19" i="2"/>
  <c r="AT19" i="2"/>
  <c r="AU19" i="2"/>
  <c r="AV19" i="2"/>
  <c r="AW19" i="2"/>
  <c r="AX19" i="2"/>
  <c r="AY19" i="2"/>
  <c r="AZ19" i="2"/>
  <c r="BA19" i="2"/>
  <c r="BB19" i="2"/>
  <c r="BC19" i="2"/>
  <c r="BD19" i="2"/>
  <c r="BE19" i="2"/>
  <c r="CO19" i="2"/>
  <c r="E20" i="2"/>
  <c r="F20" i="2"/>
  <c r="H20" i="2"/>
  <c r="I20" i="2"/>
  <c r="J20" i="2"/>
  <c r="K20" i="2"/>
  <c r="L20" i="2"/>
  <c r="M20" i="2"/>
  <c r="N20" i="2"/>
  <c r="O20" i="2"/>
  <c r="P20" i="2"/>
  <c r="Q20" i="2"/>
  <c r="R20" i="2"/>
  <c r="S20" i="2"/>
  <c r="T20" i="2"/>
  <c r="U20" i="2"/>
  <c r="V20" i="2"/>
  <c r="W20" i="2"/>
  <c r="Y20" i="2"/>
  <c r="Z20" i="2"/>
  <c r="AA20" i="2"/>
  <c r="AB20" i="2"/>
  <c r="AC20" i="2"/>
  <c r="AD20" i="2"/>
  <c r="AE20" i="2"/>
  <c r="AF20" i="2"/>
  <c r="AG20" i="2"/>
  <c r="AH20" i="2"/>
  <c r="AI20" i="2"/>
  <c r="AJ20" i="2"/>
  <c r="AK20" i="2"/>
  <c r="AL20" i="2"/>
  <c r="AM20" i="2"/>
  <c r="AN20" i="2"/>
  <c r="AO20" i="2"/>
  <c r="AP20" i="2"/>
  <c r="AQ20" i="2"/>
  <c r="AR20" i="2"/>
  <c r="AS20" i="2"/>
  <c r="AT20" i="2"/>
  <c r="AU20" i="2"/>
  <c r="AV20" i="2"/>
  <c r="AW20" i="2"/>
  <c r="AX20" i="2"/>
  <c r="AY20" i="2"/>
  <c r="AZ20" i="2"/>
  <c r="BA20" i="2"/>
  <c r="BB20" i="2"/>
  <c r="BC20" i="2"/>
  <c r="BD20" i="2"/>
  <c r="BE20" i="2"/>
  <c r="CO20" i="2"/>
  <c r="E21" i="2"/>
  <c r="F21" i="2"/>
  <c r="H21" i="2"/>
  <c r="I21" i="2"/>
  <c r="J21" i="2"/>
  <c r="K21" i="2"/>
  <c r="L21" i="2"/>
  <c r="M21" i="2"/>
  <c r="N21" i="2"/>
  <c r="O21" i="2"/>
  <c r="P21" i="2"/>
  <c r="Q21" i="2"/>
  <c r="R21" i="2"/>
  <c r="S21" i="2"/>
  <c r="T21" i="2"/>
  <c r="U21" i="2"/>
  <c r="V21" i="2"/>
  <c r="W21" i="2"/>
  <c r="Y21" i="2"/>
  <c r="Z21" i="2"/>
  <c r="AA21" i="2"/>
  <c r="AB21" i="2"/>
  <c r="AC21" i="2"/>
  <c r="AD21" i="2"/>
  <c r="AE21" i="2"/>
  <c r="AF21" i="2"/>
  <c r="AG21" i="2"/>
  <c r="AH21" i="2"/>
  <c r="AI21" i="2"/>
  <c r="AJ21" i="2"/>
  <c r="AK21" i="2"/>
  <c r="AL21" i="2"/>
  <c r="AM21" i="2"/>
  <c r="AN21" i="2"/>
  <c r="AO21" i="2"/>
  <c r="AP21" i="2"/>
  <c r="AQ21" i="2"/>
  <c r="AR21" i="2"/>
  <c r="AS21" i="2"/>
  <c r="AT21" i="2"/>
  <c r="AU21" i="2"/>
  <c r="AV21" i="2"/>
  <c r="AW21" i="2"/>
  <c r="AX21" i="2"/>
  <c r="AY21" i="2"/>
  <c r="AZ21" i="2"/>
  <c r="BA21" i="2"/>
  <c r="BB21" i="2"/>
  <c r="BC21" i="2"/>
  <c r="BD21" i="2"/>
  <c r="BE21" i="2"/>
  <c r="CO21" i="2"/>
  <c r="E22" i="2"/>
  <c r="F22" i="2"/>
  <c r="H22" i="2"/>
  <c r="I22" i="2"/>
  <c r="J22" i="2"/>
  <c r="K22" i="2"/>
  <c r="L22" i="2"/>
  <c r="M22" i="2"/>
  <c r="N22" i="2"/>
  <c r="O22" i="2"/>
  <c r="P22" i="2"/>
  <c r="Q22" i="2"/>
  <c r="R22" i="2"/>
  <c r="S22" i="2"/>
  <c r="T22" i="2"/>
  <c r="U22" i="2"/>
  <c r="V22" i="2"/>
  <c r="W22" i="2"/>
  <c r="Y22" i="2"/>
  <c r="Z22" i="2"/>
  <c r="AA22" i="2"/>
  <c r="AB22" i="2"/>
  <c r="AC22" i="2"/>
  <c r="AD22" i="2"/>
  <c r="AE22" i="2"/>
  <c r="AF22" i="2"/>
  <c r="AG22" i="2"/>
  <c r="AH22" i="2"/>
  <c r="AI22" i="2"/>
  <c r="AJ22" i="2"/>
  <c r="AK22" i="2"/>
  <c r="AL22" i="2"/>
  <c r="AM22" i="2"/>
  <c r="AN22" i="2"/>
  <c r="AO22" i="2"/>
  <c r="AP22" i="2"/>
  <c r="AQ22" i="2"/>
  <c r="AR22" i="2"/>
  <c r="AS22" i="2"/>
  <c r="AT22" i="2"/>
  <c r="AU22" i="2"/>
  <c r="AV22" i="2"/>
  <c r="AW22" i="2"/>
  <c r="AX22" i="2"/>
  <c r="AY22" i="2"/>
  <c r="AZ22" i="2"/>
  <c r="BA22" i="2"/>
  <c r="BB22" i="2"/>
  <c r="BC22" i="2"/>
  <c r="BD22" i="2"/>
  <c r="BE22" i="2"/>
  <c r="CO22" i="2"/>
  <c r="E23" i="2"/>
  <c r="CM23" i="2" s="1"/>
  <c r="F23" i="2"/>
  <c r="H23" i="2"/>
  <c r="I23" i="2"/>
  <c r="J23" i="2"/>
  <c r="K23" i="2"/>
  <c r="L23" i="2"/>
  <c r="M23" i="2"/>
  <c r="N23" i="2"/>
  <c r="O23" i="2"/>
  <c r="P23" i="2"/>
  <c r="Q23" i="2"/>
  <c r="R23" i="2"/>
  <c r="S23" i="2"/>
  <c r="T23" i="2"/>
  <c r="U23" i="2"/>
  <c r="V23" i="2"/>
  <c r="W23" i="2"/>
  <c r="Y23" i="2"/>
  <c r="Z23" i="2"/>
  <c r="AA23" i="2"/>
  <c r="AB23" i="2"/>
  <c r="AC23" i="2"/>
  <c r="AD23" i="2"/>
  <c r="AE23" i="2"/>
  <c r="AF23" i="2"/>
  <c r="AG23" i="2"/>
  <c r="AH23" i="2"/>
  <c r="AI23" i="2"/>
  <c r="AJ23" i="2"/>
  <c r="AK23" i="2"/>
  <c r="AL23" i="2"/>
  <c r="AM23" i="2"/>
  <c r="AN23" i="2"/>
  <c r="AO23" i="2"/>
  <c r="AP23" i="2"/>
  <c r="AQ23" i="2"/>
  <c r="AR23" i="2"/>
  <c r="AS23" i="2"/>
  <c r="AT23" i="2"/>
  <c r="AU23" i="2"/>
  <c r="AV23" i="2"/>
  <c r="AW23" i="2"/>
  <c r="AX23" i="2"/>
  <c r="AY23" i="2"/>
  <c r="AZ23" i="2"/>
  <c r="BA23" i="2"/>
  <c r="BB23" i="2"/>
  <c r="BC23" i="2"/>
  <c r="BD23" i="2"/>
  <c r="BE23" i="2"/>
  <c r="CO23" i="2"/>
  <c r="E24" i="2"/>
  <c r="CM24" i="2" s="1"/>
  <c r="F24" i="2"/>
  <c r="H24" i="2"/>
  <c r="I24" i="2"/>
  <c r="J24" i="2"/>
  <c r="K24" i="2"/>
  <c r="L24" i="2"/>
  <c r="M24" i="2"/>
  <c r="N24" i="2"/>
  <c r="O24" i="2"/>
  <c r="P24" i="2"/>
  <c r="Q24" i="2"/>
  <c r="R24" i="2"/>
  <c r="S24" i="2"/>
  <c r="T24" i="2"/>
  <c r="U24" i="2"/>
  <c r="V24" i="2"/>
  <c r="W24" i="2"/>
  <c r="Y24" i="2"/>
  <c r="Z24" i="2"/>
  <c r="AA24" i="2"/>
  <c r="AB24" i="2"/>
  <c r="AC24" i="2"/>
  <c r="AD24" i="2"/>
  <c r="AE24" i="2"/>
  <c r="AF24" i="2"/>
  <c r="AG24" i="2"/>
  <c r="AH24" i="2"/>
  <c r="AI24" i="2"/>
  <c r="AJ24" i="2"/>
  <c r="AK24" i="2"/>
  <c r="AL24" i="2"/>
  <c r="AM24" i="2"/>
  <c r="AN24" i="2"/>
  <c r="AO24" i="2"/>
  <c r="AP24" i="2"/>
  <c r="AQ24" i="2"/>
  <c r="AR24" i="2"/>
  <c r="AS24" i="2"/>
  <c r="AT24" i="2"/>
  <c r="AU24" i="2"/>
  <c r="AV24" i="2"/>
  <c r="AW24" i="2"/>
  <c r="AX24" i="2"/>
  <c r="AY24" i="2"/>
  <c r="AZ24" i="2"/>
  <c r="BA24" i="2"/>
  <c r="BB24" i="2"/>
  <c r="BC24" i="2"/>
  <c r="BD24" i="2"/>
  <c r="BE24" i="2"/>
  <c r="CO24" i="2"/>
  <c r="E25" i="2"/>
  <c r="CM25" i="2" s="1"/>
  <c r="F25" i="2"/>
  <c r="H25" i="2"/>
  <c r="I25" i="2"/>
  <c r="J25" i="2"/>
  <c r="K25" i="2"/>
  <c r="L25" i="2"/>
  <c r="M25" i="2"/>
  <c r="N25" i="2"/>
  <c r="O25" i="2"/>
  <c r="P25" i="2"/>
  <c r="Q25" i="2"/>
  <c r="R25" i="2"/>
  <c r="S25" i="2"/>
  <c r="T25" i="2"/>
  <c r="U25" i="2"/>
  <c r="V25" i="2"/>
  <c r="W25" i="2"/>
  <c r="Y25" i="2"/>
  <c r="Z25" i="2"/>
  <c r="AA25" i="2"/>
  <c r="AB25" i="2"/>
  <c r="AC25" i="2"/>
  <c r="AD25" i="2"/>
  <c r="AE25" i="2"/>
  <c r="AF25" i="2"/>
  <c r="AG25" i="2"/>
  <c r="AH25" i="2"/>
  <c r="AI25" i="2"/>
  <c r="AJ25" i="2"/>
  <c r="AK25" i="2"/>
  <c r="AL25" i="2"/>
  <c r="AM25" i="2"/>
  <c r="AN25" i="2"/>
  <c r="AO25" i="2"/>
  <c r="AP25" i="2"/>
  <c r="AQ25" i="2"/>
  <c r="AR25" i="2"/>
  <c r="AS25" i="2"/>
  <c r="AT25" i="2"/>
  <c r="AU25" i="2"/>
  <c r="AV25" i="2"/>
  <c r="AW25" i="2"/>
  <c r="AX25" i="2"/>
  <c r="AY25" i="2"/>
  <c r="AZ25" i="2"/>
  <c r="BA25" i="2"/>
  <c r="BB25" i="2"/>
  <c r="BC25" i="2"/>
  <c r="BD25" i="2"/>
  <c r="BE25" i="2"/>
  <c r="CO25" i="2"/>
  <c r="E26" i="2"/>
  <c r="CM26" i="2" s="1"/>
  <c r="F26" i="2"/>
  <c r="H26" i="2"/>
  <c r="I26" i="2"/>
  <c r="J26" i="2"/>
  <c r="K26" i="2"/>
  <c r="L26" i="2"/>
  <c r="M26" i="2"/>
  <c r="N26" i="2"/>
  <c r="O26" i="2"/>
  <c r="P26" i="2"/>
  <c r="Q26" i="2"/>
  <c r="R26" i="2"/>
  <c r="S26" i="2"/>
  <c r="T26" i="2"/>
  <c r="U26" i="2"/>
  <c r="V26" i="2"/>
  <c r="W26" i="2"/>
  <c r="Y26" i="2"/>
  <c r="Z26" i="2"/>
  <c r="AA26" i="2"/>
  <c r="AB26" i="2"/>
  <c r="AC26" i="2"/>
  <c r="AD26" i="2"/>
  <c r="AE26" i="2"/>
  <c r="AF26" i="2"/>
  <c r="AG26" i="2"/>
  <c r="AH26" i="2"/>
  <c r="AI26" i="2"/>
  <c r="AJ26" i="2"/>
  <c r="AK26" i="2"/>
  <c r="AL26" i="2"/>
  <c r="AM26" i="2"/>
  <c r="AN26" i="2"/>
  <c r="AO26" i="2"/>
  <c r="AP26" i="2"/>
  <c r="AQ26" i="2"/>
  <c r="AR26" i="2"/>
  <c r="AS26" i="2"/>
  <c r="AT26" i="2"/>
  <c r="AU26" i="2"/>
  <c r="AV26" i="2"/>
  <c r="AW26" i="2"/>
  <c r="AX26" i="2"/>
  <c r="AY26" i="2"/>
  <c r="AZ26" i="2"/>
  <c r="BA26" i="2"/>
  <c r="BB26" i="2"/>
  <c r="BC26" i="2"/>
  <c r="BD26" i="2"/>
  <c r="BE26" i="2"/>
  <c r="CO26" i="2"/>
  <c r="E27" i="2"/>
  <c r="F27" i="2"/>
  <c r="G27" i="2"/>
  <c r="H27" i="2"/>
  <c r="I27" i="2"/>
  <c r="J27" i="2"/>
  <c r="K27" i="2"/>
  <c r="L27" i="2"/>
  <c r="M27" i="2"/>
  <c r="N27" i="2"/>
  <c r="O27" i="2"/>
  <c r="P27" i="2"/>
  <c r="Q27" i="2"/>
  <c r="R27" i="2"/>
  <c r="S27" i="2"/>
  <c r="T27" i="2"/>
  <c r="U27" i="2"/>
  <c r="V27" i="2"/>
  <c r="W27" i="2"/>
  <c r="Y27" i="2"/>
  <c r="Z27" i="2"/>
  <c r="AA27" i="2"/>
  <c r="AB27" i="2"/>
  <c r="AC27" i="2"/>
  <c r="AD27" i="2"/>
  <c r="AE27" i="2"/>
  <c r="AF27" i="2"/>
  <c r="AG27" i="2"/>
  <c r="AH27" i="2"/>
  <c r="AI27" i="2"/>
  <c r="AJ27" i="2"/>
  <c r="AK27" i="2"/>
  <c r="AL27" i="2"/>
  <c r="AM27" i="2"/>
  <c r="AN27" i="2"/>
  <c r="AO27" i="2"/>
  <c r="AP27" i="2"/>
  <c r="AQ27" i="2"/>
  <c r="AR27" i="2"/>
  <c r="AS27" i="2"/>
  <c r="AT27" i="2"/>
  <c r="AU27" i="2"/>
  <c r="AV27" i="2"/>
  <c r="AW27" i="2"/>
  <c r="AX27" i="2"/>
  <c r="AY27" i="2"/>
  <c r="AZ27" i="2"/>
  <c r="BA27" i="2"/>
  <c r="BB27" i="2"/>
  <c r="BC27" i="2"/>
  <c r="BD27" i="2"/>
  <c r="BE27" i="2"/>
  <c r="CO27" i="2"/>
  <c r="E28" i="2"/>
  <c r="F28" i="2"/>
  <c r="G28" i="2"/>
  <c r="H28" i="2"/>
  <c r="I28" i="2"/>
  <c r="J28" i="2"/>
  <c r="K28" i="2"/>
  <c r="L28" i="2"/>
  <c r="M28" i="2"/>
  <c r="N28" i="2"/>
  <c r="O28" i="2"/>
  <c r="P28" i="2"/>
  <c r="Q28" i="2"/>
  <c r="R28" i="2"/>
  <c r="S28" i="2"/>
  <c r="T28" i="2"/>
  <c r="U28" i="2"/>
  <c r="V28" i="2"/>
  <c r="W28" i="2"/>
  <c r="Y28" i="2"/>
  <c r="Z28" i="2"/>
  <c r="AA28" i="2"/>
  <c r="AB28" i="2"/>
  <c r="AC28" i="2"/>
  <c r="AD28" i="2"/>
  <c r="AE28" i="2"/>
  <c r="AF28" i="2"/>
  <c r="AG28" i="2"/>
  <c r="AH28" i="2"/>
  <c r="AI28" i="2"/>
  <c r="AJ28" i="2"/>
  <c r="AK28" i="2"/>
  <c r="AL28" i="2"/>
  <c r="AM28" i="2"/>
  <c r="AN28" i="2"/>
  <c r="AO28" i="2"/>
  <c r="AP28" i="2"/>
  <c r="AQ28" i="2"/>
  <c r="AR28" i="2"/>
  <c r="AS28" i="2"/>
  <c r="AT28" i="2"/>
  <c r="AU28" i="2"/>
  <c r="AV28" i="2"/>
  <c r="AW28" i="2"/>
  <c r="AX28" i="2"/>
  <c r="AY28" i="2"/>
  <c r="AZ28" i="2"/>
  <c r="BA28" i="2"/>
  <c r="BB28" i="2"/>
  <c r="BC28" i="2"/>
  <c r="BD28" i="2"/>
  <c r="BE28" i="2"/>
  <c r="CO28" i="2"/>
  <c r="E29" i="2"/>
  <c r="CM29" i="2" s="1"/>
  <c r="F29" i="2"/>
  <c r="G29" i="2"/>
  <c r="H29" i="2"/>
  <c r="I29" i="2"/>
  <c r="J29" i="2"/>
  <c r="K29" i="2"/>
  <c r="L29" i="2"/>
  <c r="M29" i="2"/>
  <c r="N29" i="2"/>
  <c r="O29" i="2"/>
  <c r="P29" i="2"/>
  <c r="Q29" i="2"/>
  <c r="R29" i="2"/>
  <c r="S29" i="2"/>
  <c r="T29" i="2"/>
  <c r="U29" i="2"/>
  <c r="V29" i="2"/>
  <c r="W29" i="2"/>
  <c r="Y29" i="2"/>
  <c r="Z29" i="2"/>
  <c r="AA29" i="2"/>
  <c r="AB29" i="2"/>
  <c r="AC29" i="2"/>
  <c r="AD29" i="2"/>
  <c r="AE29" i="2"/>
  <c r="AF29" i="2"/>
  <c r="AG29" i="2"/>
  <c r="AH29" i="2"/>
  <c r="AI29" i="2"/>
  <c r="AJ29" i="2"/>
  <c r="AK29" i="2"/>
  <c r="AL29" i="2"/>
  <c r="AM29" i="2"/>
  <c r="AN29" i="2"/>
  <c r="AO29" i="2"/>
  <c r="AP29" i="2"/>
  <c r="AQ29" i="2"/>
  <c r="AR29" i="2"/>
  <c r="AS29" i="2"/>
  <c r="AT29" i="2"/>
  <c r="AU29" i="2"/>
  <c r="AV29" i="2"/>
  <c r="AW29" i="2"/>
  <c r="AX29" i="2"/>
  <c r="AY29" i="2"/>
  <c r="AZ29" i="2"/>
  <c r="BA29" i="2"/>
  <c r="BB29" i="2"/>
  <c r="BC29" i="2"/>
  <c r="BD29" i="2"/>
  <c r="BE29" i="2"/>
  <c r="CO29" i="2"/>
  <c r="E30" i="2"/>
  <c r="CM30" i="2" s="1"/>
  <c r="F30" i="2"/>
  <c r="G30" i="2"/>
  <c r="H30" i="2"/>
  <c r="I30" i="2"/>
  <c r="J30" i="2"/>
  <c r="K30" i="2"/>
  <c r="L30" i="2"/>
  <c r="M30" i="2"/>
  <c r="N30" i="2"/>
  <c r="O30" i="2"/>
  <c r="P30" i="2"/>
  <c r="Q30" i="2"/>
  <c r="R30" i="2"/>
  <c r="S30" i="2"/>
  <c r="T30" i="2"/>
  <c r="U30" i="2"/>
  <c r="V30" i="2"/>
  <c r="W30" i="2"/>
  <c r="Y30" i="2"/>
  <c r="Z30" i="2"/>
  <c r="AA30" i="2"/>
  <c r="AB30" i="2"/>
  <c r="AC30" i="2"/>
  <c r="AD30" i="2"/>
  <c r="AE30" i="2"/>
  <c r="AF30" i="2"/>
  <c r="AG30" i="2"/>
  <c r="AH30" i="2"/>
  <c r="AI30" i="2"/>
  <c r="AJ30" i="2"/>
  <c r="AK30" i="2"/>
  <c r="AL30" i="2"/>
  <c r="AM30" i="2"/>
  <c r="AN30" i="2"/>
  <c r="AO30" i="2"/>
  <c r="AP30" i="2"/>
  <c r="AQ30" i="2"/>
  <c r="AR30" i="2"/>
  <c r="AS30" i="2"/>
  <c r="AT30" i="2"/>
  <c r="AU30" i="2"/>
  <c r="AV30" i="2"/>
  <c r="AW30" i="2"/>
  <c r="AX30" i="2"/>
  <c r="AY30" i="2"/>
  <c r="AZ30" i="2"/>
  <c r="BA30" i="2"/>
  <c r="BB30" i="2"/>
  <c r="BC30" i="2"/>
  <c r="BD30" i="2"/>
  <c r="BE30" i="2"/>
  <c r="CO30" i="2"/>
  <c r="E31" i="2"/>
  <c r="CM31" i="2" s="1"/>
  <c r="F31" i="2"/>
  <c r="G31" i="2"/>
  <c r="H31" i="2"/>
  <c r="I31" i="2"/>
  <c r="J31" i="2"/>
  <c r="K31" i="2"/>
  <c r="L31" i="2"/>
  <c r="N31" i="2"/>
  <c r="O31" i="2"/>
  <c r="P31" i="2"/>
  <c r="Q31" i="2"/>
  <c r="R31" i="2"/>
  <c r="S31" i="2"/>
  <c r="T31" i="2"/>
  <c r="U31" i="2"/>
  <c r="V31" i="2"/>
  <c r="W31" i="2"/>
  <c r="Y31" i="2"/>
  <c r="Z31" i="2"/>
  <c r="AA31" i="2"/>
  <c r="AB31" i="2"/>
  <c r="AC31" i="2"/>
  <c r="AD31" i="2"/>
  <c r="AE31" i="2"/>
  <c r="AF31" i="2"/>
  <c r="AG31" i="2"/>
  <c r="AH31" i="2"/>
  <c r="AI31" i="2"/>
  <c r="AJ31" i="2"/>
  <c r="AK31" i="2"/>
  <c r="AL31" i="2"/>
  <c r="AM31" i="2"/>
  <c r="AN31" i="2"/>
  <c r="AO31" i="2"/>
  <c r="AP31" i="2"/>
  <c r="AQ31" i="2"/>
  <c r="AR31" i="2"/>
  <c r="AS31" i="2"/>
  <c r="AT31" i="2"/>
  <c r="AU31" i="2"/>
  <c r="AV31" i="2"/>
  <c r="AW31" i="2"/>
  <c r="AX31" i="2"/>
  <c r="AY31" i="2"/>
  <c r="AZ31" i="2"/>
  <c r="BA31" i="2"/>
  <c r="BB31" i="2"/>
  <c r="BC31" i="2"/>
  <c r="BD31" i="2"/>
  <c r="BE31" i="2"/>
  <c r="CO31" i="2"/>
  <c r="E32" i="2"/>
  <c r="CM32" i="2" s="1"/>
  <c r="F32" i="2"/>
  <c r="G32" i="2"/>
  <c r="H32" i="2"/>
  <c r="I32" i="2"/>
  <c r="J32" i="2"/>
  <c r="K32" i="2"/>
  <c r="L32" i="2"/>
  <c r="M32" i="2"/>
  <c r="N32" i="2"/>
  <c r="O32" i="2"/>
  <c r="P32" i="2"/>
  <c r="Q32" i="2"/>
  <c r="R32" i="2"/>
  <c r="S32" i="2"/>
  <c r="T32" i="2"/>
  <c r="U32" i="2"/>
  <c r="V32" i="2"/>
  <c r="W32" i="2"/>
  <c r="Y32" i="2"/>
  <c r="Z32" i="2"/>
  <c r="AA32" i="2"/>
  <c r="AB32" i="2"/>
  <c r="AC32" i="2"/>
  <c r="AD32" i="2"/>
  <c r="AE32" i="2"/>
  <c r="AF32" i="2"/>
  <c r="AG32" i="2"/>
  <c r="AH32" i="2"/>
  <c r="AI32" i="2"/>
  <c r="AJ32" i="2"/>
  <c r="AK32" i="2"/>
  <c r="AL32" i="2"/>
  <c r="AM32" i="2"/>
  <c r="AN32" i="2"/>
  <c r="AO32" i="2"/>
  <c r="AP32" i="2"/>
  <c r="AQ32" i="2"/>
  <c r="AR32" i="2"/>
  <c r="AS32" i="2"/>
  <c r="AT32" i="2"/>
  <c r="AU32" i="2"/>
  <c r="AV32" i="2"/>
  <c r="AW32" i="2"/>
  <c r="AX32" i="2"/>
  <c r="AY32" i="2"/>
  <c r="AZ32" i="2"/>
  <c r="BA32" i="2"/>
  <c r="BB32" i="2"/>
  <c r="BC32" i="2"/>
  <c r="BD32" i="2"/>
  <c r="BE32" i="2"/>
  <c r="CO32" i="2"/>
  <c r="E33" i="2"/>
  <c r="CM33" i="2" s="1"/>
  <c r="F33" i="2"/>
  <c r="G33" i="2"/>
  <c r="H33" i="2"/>
  <c r="I33" i="2"/>
  <c r="J33" i="2"/>
  <c r="K33" i="2"/>
  <c r="L33" i="2"/>
  <c r="M33" i="2"/>
  <c r="N33" i="2"/>
  <c r="O33" i="2"/>
  <c r="P33" i="2"/>
  <c r="Q33" i="2"/>
  <c r="R33" i="2"/>
  <c r="S33" i="2"/>
  <c r="T33" i="2"/>
  <c r="U33" i="2"/>
  <c r="V33" i="2"/>
  <c r="W33" i="2"/>
  <c r="Y33" i="2"/>
  <c r="Z33" i="2"/>
  <c r="AA33" i="2"/>
  <c r="AB33" i="2"/>
  <c r="AC33" i="2"/>
  <c r="AD33" i="2"/>
  <c r="AE33" i="2"/>
  <c r="AF33" i="2"/>
  <c r="AG33" i="2"/>
  <c r="AH33" i="2"/>
  <c r="AI33" i="2"/>
  <c r="AJ33" i="2"/>
  <c r="AK33" i="2"/>
  <c r="AL33" i="2"/>
  <c r="AM33" i="2"/>
  <c r="AN33" i="2"/>
  <c r="AO33" i="2"/>
  <c r="AP33" i="2"/>
  <c r="AQ33" i="2"/>
  <c r="AR33" i="2"/>
  <c r="AS33" i="2"/>
  <c r="AT33" i="2"/>
  <c r="AU33" i="2"/>
  <c r="AV33" i="2"/>
  <c r="AW33" i="2"/>
  <c r="AX33" i="2"/>
  <c r="AY33" i="2"/>
  <c r="AZ33" i="2"/>
  <c r="BA33" i="2"/>
  <c r="BB33" i="2"/>
  <c r="BC33" i="2"/>
  <c r="BD33" i="2"/>
  <c r="BE33" i="2"/>
  <c r="CO33" i="2"/>
  <c r="E34" i="2"/>
  <c r="CM34" i="2" s="1"/>
  <c r="F34" i="2"/>
  <c r="G34" i="2"/>
  <c r="H34" i="2"/>
  <c r="I34" i="2"/>
  <c r="J34" i="2"/>
  <c r="K34" i="2"/>
  <c r="L34" i="2"/>
  <c r="M34" i="2"/>
  <c r="N34" i="2"/>
  <c r="O34" i="2"/>
  <c r="P34" i="2"/>
  <c r="Q34" i="2"/>
  <c r="R34" i="2"/>
  <c r="S34" i="2"/>
  <c r="T34" i="2"/>
  <c r="U34" i="2"/>
  <c r="V34" i="2"/>
  <c r="W34" i="2"/>
  <c r="Y34" i="2"/>
  <c r="Z34" i="2"/>
  <c r="AA34" i="2"/>
  <c r="AB34" i="2"/>
  <c r="AC34" i="2"/>
  <c r="AD34" i="2"/>
  <c r="AE34" i="2"/>
  <c r="AF34" i="2"/>
  <c r="AG34" i="2"/>
  <c r="AH34" i="2"/>
  <c r="AI34" i="2"/>
  <c r="AJ34" i="2"/>
  <c r="AK34" i="2"/>
  <c r="AL34" i="2"/>
  <c r="AM34" i="2"/>
  <c r="AN34" i="2"/>
  <c r="AO34" i="2"/>
  <c r="AP34" i="2"/>
  <c r="AQ34" i="2"/>
  <c r="AR34" i="2"/>
  <c r="AS34" i="2"/>
  <c r="AT34" i="2"/>
  <c r="AU34" i="2"/>
  <c r="AV34" i="2"/>
  <c r="AW34" i="2"/>
  <c r="AX34" i="2"/>
  <c r="AY34" i="2"/>
  <c r="AZ34" i="2"/>
  <c r="BA34" i="2"/>
  <c r="BB34" i="2"/>
  <c r="BC34" i="2"/>
  <c r="BD34" i="2"/>
  <c r="BE34" i="2"/>
  <c r="CO34" i="2"/>
  <c r="E35" i="2"/>
  <c r="CM35" i="2" s="1"/>
  <c r="F35" i="2"/>
  <c r="G35" i="2"/>
  <c r="H35" i="2"/>
  <c r="I35" i="2"/>
  <c r="J35" i="2"/>
  <c r="K35" i="2"/>
  <c r="L35" i="2"/>
  <c r="M35" i="2"/>
  <c r="N35" i="2"/>
  <c r="O35" i="2"/>
  <c r="P35" i="2"/>
  <c r="Q35" i="2"/>
  <c r="R35" i="2"/>
  <c r="S35" i="2"/>
  <c r="T35" i="2"/>
  <c r="U35" i="2"/>
  <c r="V35" i="2"/>
  <c r="W35" i="2"/>
  <c r="Y35" i="2"/>
  <c r="Z35" i="2"/>
  <c r="AA35" i="2"/>
  <c r="AB35" i="2"/>
  <c r="AC35" i="2"/>
  <c r="AD35" i="2"/>
  <c r="AE35" i="2"/>
  <c r="AF35" i="2"/>
  <c r="AG35" i="2"/>
  <c r="AH35" i="2"/>
  <c r="AI35" i="2"/>
  <c r="AJ35" i="2"/>
  <c r="AK35" i="2"/>
  <c r="AL35" i="2"/>
  <c r="AM35" i="2"/>
  <c r="AN35" i="2"/>
  <c r="AO35" i="2"/>
  <c r="AP35" i="2"/>
  <c r="AQ35" i="2"/>
  <c r="AR35" i="2"/>
  <c r="AS35" i="2"/>
  <c r="AT35" i="2"/>
  <c r="AU35" i="2"/>
  <c r="AV35" i="2"/>
  <c r="AW35" i="2"/>
  <c r="AX35" i="2"/>
  <c r="AY35" i="2"/>
  <c r="AZ35" i="2"/>
  <c r="BA35" i="2"/>
  <c r="BB35" i="2"/>
  <c r="BC35" i="2"/>
  <c r="BD35" i="2"/>
  <c r="BE35" i="2"/>
  <c r="CO35" i="2"/>
  <c r="E36" i="2"/>
  <c r="CM36" i="2" s="1"/>
  <c r="F36" i="2"/>
  <c r="G36" i="2"/>
  <c r="H36" i="2"/>
  <c r="I36" i="2"/>
  <c r="J36" i="2"/>
  <c r="K36" i="2"/>
  <c r="L36" i="2"/>
  <c r="M36" i="2"/>
  <c r="N36" i="2"/>
  <c r="O36" i="2"/>
  <c r="P36" i="2"/>
  <c r="Q36" i="2"/>
  <c r="R36" i="2"/>
  <c r="S36" i="2"/>
  <c r="T36" i="2"/>
  <c r="U36" i="2"/>
  <c r="V36" i="2"/>
  <c r="W36" i="2"/>
  <c r="Y36" i="2"/>
  <c r="Z36" i="2"/>
  <c r="AA36" i="2"/>
  <c r="AB36" i="2"/>
  <c r="AC36" i="2"/>
  <c r="AD36" i="2"/>
  <c r="AE36" i="2"/>
  <c r="AF36" i="2"/>
  <c r="AG36" i="2"/>
  <c r="AH36" i="2"/>
  <c r="AI36" i="2"/>
  <c r="AJ36" i="2"/>
  <c r="AK36" i="2"/>
  <c r="AL36" i="2"/>
  <c r="AM36" i="2"/>
  <c r="AN36" i="2"/>
  <c r="AO36" i="2"/>
  <c r="AP36" i="2"/>
  <c r="AQ36" i="2"/>
  <c r="AR36" i="2"/>
  <c r="AS36" i="2"/>
  <c r="AT36" i="2"/>
  <c r="AU36" i="2"/>
  <c r="AV36" i="2"/>
  <c r="AW36" i="2"/>
  <c r="AX36" i="2"/>
  <c r="AY36" i="2"/>
  <c r="AZ36" i="2"/>
  <c r="BA36" i="2"/>
  <c r="BB36" i="2"/>
  <c r="BC36" i="2"/>
  <c r="BD36" i="2"/>
  <c r="BE36" i="2"/>
  <c r="CO36" i="2"/>
  <c r="E37" i="2"/>
  <c r="CM37" i="2" s="1"/>
  <c r="F37" i="2"/>
  <c r="G37" i="2"/>
  <c r="H37" i="2"/>
  <c r="I37" i="2"/>
  <c r="J37" i="2"/>
  <c r="K37" i="2"/>
  <c r="L37" i="2"/>
  <c r="M37" i="2"/>
  <c r="N37" i="2"/>
  <c r="O37" i="2"/>
  <c r="P37" i="2"/>
  <c r="Q37" i="2"/>
  <c r="R37" i="2"/>
  <c r="S37" i="2"/>
  <c r="T37" i="2"/>
  <c r="U37" i="2"/>
  <c r="V37" i="2"/>
  <c r="W37" i="2"/>
  <c r="Y37" i="2"/>
  <c r="Z37" i="2"/>
  <c r="AA37" i="2"/>
  <c r="AB37" i="2"/>
  <c r="AC37" i="2"/>
  <c r="AD37" i="2"/>
  <c r="AE37" i="2"/>
  <c r="AF37" i="2"/>
  <c r="AG37" i="2"/>
  <c r="AH37" i="2"/>
  <c r="AI37" i="2"/>
  <c r="AJ37" i="2"/>
  <c r="AK37" i="2"/>
  <c r="AL37" i="2"/>
  <c r="AM37" i="2"/>
  <c r="AN37" i="2"/>
  <c r="AO37" i="2"/>
  <c r="AP37" i="2"/>
  <c r="AQ37" i="2"/>
  <c r="AR37" i="2"/>
  <c r="AS37" i="2"/>
  <c r="AT37" i="2"/>
  <c r="AU37" i="2"/>
  <c r="AV37" i="2"/>
  <c r="AW37" i="2"/>
  <c r="AX37" i="2"/>
  <c r="AY37" i="2"/>
  <c r="AZ37" i="2"/>
  <c r="BA37" i="2"/>
  <c r="BB37" i="2"/>
  <c r="BC37" i="2"/>
  <c r="BD37" i="2"/>
  <c r="BE37" i="2"/>
  <c r="CO37" i="2"/>
  <c r="E38" i="2"/>
  <c r="CM38" i="2" s="1"/>
  <c r="F38" i="2"/>
  <c r="G38" i="2"/>
  <c r="H38" i="2"/>
  <c r="I38" i="2"/>
  <c r="J38" i="2"/>
  <c r="K38" i="2"/>
  <c r="L38" i="2"/>
  <c r="M38" i="2"/>
  <c r="N38" i="2"/>
  <c r="O38" i="2"/>
  <c r="P38" i="2"/>
  <c r="Q38" i="2"/>
  <c r="R38" i="2"/>
  <c r="S38" i="2"/>
  <c r="T38" i="2"/>
  <c r="U38" i="2"/>
  <c r="V38" i="2"/>
  <c r="W38" i="2"/>
  <c r="Y38" i="2"/>
  <c r="Z38" i="2"/>
  <c r="AA38" i="2"/>
  <c r="AB38" i="2"/>
  <c r="AC38" i="2"/>
  <c r="AD38" i="2"/>
  <c r="AE38" i="2"/>
  <c r="AF38" i="2"/>
  <c r="AG38" i="2"/>
  <c r="AH38" i="2"/>
  <c r="AI38" i="2"/>
  <c r="AJ38" i="2"/>
  <c r="AK38" i="2"/>
  <c r="AL38" i="2"/>
  <c r="AM38" i="2"/>
  <c r="AN38" i="2"/>
  <c r="AO38" i="2"/>
  <c r="AP38" i="2"/>
  <c r="AQ38" i="2"/>
  <c r="AR38" i="2"/>
  <c r="AS38" i="2"/>
  <c r="AT38" i="2"/>
  <c r="AU38" i="2"/>
  <c r="AV38" i="2"/>
  <c r="AW38" i="2"/>
  <c r="AX38" i="2"/>
  <c r="AY38" i="2"/>
  <c r="AZ38" i="2"/>
  <c r="BA38" i="2"/>
  <c r="BB38" i="2"/>
  <c r="BC38" i="2"/>
  <c r="BD38" i="2"/>
  <c r="BE38" i="2"/>
  <c r="CO38" i="2"/>
  <c r="E39" i="2"/>
  <c r="CM39" i="2" s="1"/>
  <c r="F39" i="2"/>
  <c r="G39" i="2"/>
  <c r="H39" i="2"/>
  <c r="I39" i="2"/>
  <c r="J39" i="2"/>
  <c r="K39" i="2"/>
  <c r="L39" i="2"/>
  <c r="M39" i="2"/>
  <c r="N39" i="2"/>
  <c r="O39" i="2"/>
  <c r="P39" i="2"/>
  <c r="Q39" i="2"/>
  <c r="R39" i="2"/>
  <c r="S39" i="2"/>
  <c r="T39" i="2"/>
  <c r="U39" i="2"/>
  <c r="V39" i="2"/>
  <c r="W39" i="2"/>
  <c r="Y39" i="2"/>
  <c r="Z39" i="2"/>
  <c r="AA39" i="2"/>
  <c r="AB39" i="2"/>
  <c r="AC39" i="2"/>
  <c r="AD39" i="2"/>
  <c r="AE39" i="2"/>
  <c r="AF39" i="2"/>
  <c r="AG39" i="2"/>
  <c r="AH39" i="2"/>
  <c r="AI39" i="2"/>
  <c r="AJ39" i="2"/>
  <c r="AK39" i="2"/>
  <c r="AL39" i="2"/>
  <c r="AM39" i="2"/>
  <c r="AN39" i="2"/>
  <c r="AO39" i="2"/>
  <c r="AP39" i="2"/>
  <c r="AQ39" i="2"/>
  <c r="AR39" i="2"/>
  <c r="AS39" i="2"/>
  <c r="AT39" i="2"/>
  <c r="AU39" i="2"/>
  <c r="AV39" i="2"/>
  <c r="AW39" i="2"/>
  <c r="AX39" i="2"/>
  <c r="AY39" i="2"/>
  <c r="AZ39" i="2"/>
  <c r="BA39" i="2"/>
  <c r="BB39" i="2"/>
  <c r="BC39" i="2"/>
  <c r="BD39" i="2"/>
  <c r="BE39" i="2"/>
  <c r="CO39" i="2"/>
  <c r="E40" i="2"/>
  <c r="F40" i="2"/>
  <c r="H40" i="2"/>
  <c r="I40" i="2"/>
  <c r="J40" i="2"/>
  <c r="K40" i="2"/>
  <c r="L40" i="2"/>
  <c r="M40" i="2"/>
  <c r="N40" i="2"/>
  <c r="O40" i="2"/>
  <c r="P40" i="2"/>
  <c r="Q40" i="2"/>
  <c r="R40" i="2"/>
  <c r="S40" i="2"/>
  <c r="T40" i="2"/>
  <c r="U40" i="2"/>
  <c r="V40" i="2"/>
  <c r="W40" i="2"/>
  <c r="Y40" i="2"/>
  <c r="Z40" i="2"/>
  <c r="AA40" i="2"/>
  <c r="AB40" i="2"/>
  <c r="AC40" i="2"/>
  <c r="AD40" i="2"/>
  <c r="AE40" i="2"/>
  <c r="AF40" i="2"/>
  <c r="AG40" i="2"/>
  <c r="AH40" i="2"/>
  <c r="AI40" i="2"/>
  <c r="AJ40" i="2"/>
  <c r="AK40" i="2"/>
  <c r="AL40" i="2"/>
  <c r="AM40" i="2"/>
  <c r="AN40" i="2"/>
  <c r="AO40" i="2"/>
  <c r="AP40" i="2"/>
  <c r="AQ40" i="2"/>
  <c r="AR40" i="2"/>
  <c r="AS40" i="2"/>
  <c r="AT40" i="2"/>
  <c r="AU40" i="2"/>
  <c r="AV40" i="2"/>
  <c r="AW40" i="2"/>
  <c r="AX40" i="2"/>
  <c r="AY40" i="2"/>
  <c r="AZ40" i="2"/>
  <c r="BA40" i="2"/>
  <c r="BB40" i="2"/>
  <c r="BC40" i="2"/>
  <c r="BD40" i="2"/>
  <c r="BE40" i="2"/>
  <c r="CO40" i="2"/>
  <c r="E41" i="2"/>
  <c r="F41" i="2"/>
  <c r="H41" i="2"/>
  <c r="I41" i="2"/>
  <c r="J41" i="2"/>
  <c r="K41" i="2"/>
  <c r="L41" i="2"/>
  <c r="M41" i="2"/>
  <c r="N41" i="2"/>
  <c r="O41" i="2"/>
  <c r="P41" i="2"/>
  <c r="Q41" i="2"/>
  <c r="R41" i="2"/>
  <c r="S41" i="2"/>
  <c r="T41" i="2"/>
  <c r="U41" i="2"/>
  <c r="V41" i="2"/>
  <c r="W41" i="2"/>
  <c r="Y41" i="2"/>
  <c r="Z41" i="2"/>
  <c r="AA41" i="2"/>
  <c r="AB41" i="2"/>
  <c r="AC41" i="2"/>
  <c r="AD41" i="2"/>
  <c r="AE41" i="2"/>
  <c r="AF41" i="2"/>
  <c r="AG41" i="2"/>
  <c r="AH41" i="2"/>
  <c r="AI41" i="2"/>
  <c r="AJ41" i="2"/>
  <c r="AK41" i="2"/>
  <c r="AL41" i="2"/>
  <c r="AM41" i="2"/>
  <c r="AN41" i="2"/>
  <c r="AO41" i="2"/>
  <c r="AP41" i="2"/>
  <c r="AQ41" i="2"/>
  <c r="AR41" i="2"/>
  <c r="AS41" i="2"/>
  <c r="AT41" i="2"/>
  <c r="AU41" i="2"/>
  <c r="AV41" i="2"/>
  <c r="AW41" i="2"/>
  <c r="AX41" i="2"/>
  <c r="AY41" i="2"/>
  <c r="AZ41" i="2"/>
  <c r="BA41" i="2"/>
  <c r="BB41" i="2"/>
  <c r="BC41" i="2"/>
  <c r="BD41" i="2"/>
  <c r="BE41" i="2"/>
  <c r="CO41" i="2"/>
  <c r="E42" i="2"/>
  <c r="F42" i="2"/>
  <c r="G42" i="2"/>
  <c r="H42" i="2"/>
  <c r="I42" i="2"/>
  <c r="J42" i="2"/>
  <c r="K42" i="2"/>
  <c r="L42" i="2"/>
  <c r="M42" i="2"/>
  <c r="N42" i="2"/>
  <c r="O42" i="2"/>
  <c r="P42" i="2"/>
  <c r="Q42" i="2"/>
  <c r="R42" i="2"/>
  <c r="S42" i="2"/>
  <c r="T42" i="2"/>
  <c r="U42" i="2"/>
  <c r="V42" i="2"/>
  <c r="W42" i="2"/>
  <c r="Y42" i="2"/>
  <c r="Z42" i="2"/>
  <c r="AA42" i="2"/>
  <c r="AB42" i="2"/>
  <c r="AC42" i="2"/>
  <c r="AD42" i="2"/>
  <c r="AE42" i="2"/>
  <c r="AF42" i="2"/>
  <c r="AG42" i="2"/>
  <c r="AH42" i="2"/>
  <c r="AI42" i="2"/>
  <c r="AJ42" i="2"/>
  <c r="AK42" i="2"/>
  <c r="AL42" i="2"/>
  <c r="AM42" i="2"/>
  <c r="AN42" i="2"/>
  <c r="AO42" i="2"/>
  <c r="AP42" i="2"/>
  <c r="AQ42" i="2"/>
  <c r="AR42" i="2"/>
  <c r="AS42" i="2"/>
  <c r="AT42" i="2"/>
  <c r="AU42" i="2"/>
  <c r="AV42" i="2"/>
  <c r="AW42" i="2"/>
  <c r="AX42" i="2"/>
  <c r="AY42" i="2"/>
  <c r="AZ42" i="2"/>
  <c r="BA42" i="2"/>
  <c r="BB42" i="2"/>
  <c r="BC42" i="2"/>
  <c r="BD42" i="2"/>
  <c r="BE42" i="2"/>
  <c r="CO42" i="2"/>
  <c r="E43" i="2"/>
  <c r="F43" i="2"/>
  <c r="G43" i="2"/>
  <c r="H43" i="2"/>
  <c r="I43" i="2"/>
  <c r="J43" i="2"/>
  <c r="K43" i="2"/>
  <c r="L43" i="2"/>
  <c r="M43" i="2"/>
  <c r="N43" i="2"/>
  <c r="O43" i="2"/>
  <c r="P43" i="2"/>
  <c r="Q43" i="2"/>
  <c r="R43" i="2"/>
  <c r="S43" i="2"/>
  <c r="T43" i="2"/>
  <c r="U43" i="2"/>
  <c r="V43" i="2"/>
  <c r="W43" i="2"/>
  <c r="Y43" i="2"/>
  <c r="Z43" i="2"/>
  <c r="AA43" i="2"/>
  <c r="AB43" i="2"/>
  <c r="AC43" i="2"/>
  <c r="AD43" i="2"/>
  <c r="AE43" i="2"/>
  <c r="AF43" i="2"/>
  <c r="AG43" i="2"/>
  <c r="AH43" i="2"/>
  <c r="AI43" i="2"/>
  <c r="AJ43" i="2"/>
  <c r="AK43" i="2"/>
  <c r="AL43" i="2"/>
  <c r="AM43" i="2"/>
  <c r="AN43" i="2"/>
  <c r="AO43" i="2"/>
  <c r="AP43" i="2"/>
  <c r="AQ43" i="2"/>
  <c r="AR43" i="2"/>
  <c r="AS43" i="2"/>
  <c r="AT43" i="2"/>
  <c r="AU43" i="2"/>
  <c r="AV43" i="2"/>
  <c r="AW43" i="2"/>
  <c r="AX43" i="2"/>
  <c r="AY43" i="2"/>
  <c r="AZ43" i="2"/>
  <c r="BA43" i="2"/>
  <c r="BB43" i="2"/>
  <c r="BC43" i="2"/>
  <c r="BD43" i="2"/>
  <c r="BE43" i="2"/>
  <c r="CO43" i="2"/>
  <c r="E44" i="2"/>
  <c r="F44" i="2"/>
  <c r="H44" i="2"/>
  <c r="I44" i="2"/>
  <c r="J44" i="2"/>
  <c r="K44" i="2"/>
  <c r="L44" i="2"/>
  <c r="M44" i="2"/>
  <c r="N44" i="2"/>
  <c r="O44" i="2"/>
  <c r="P44" i="2"/>
  <c r="Q44" i="2"/>
  <c r="R44" i="2"/>
  <c r="S44" i="2"/>
  <c r="T44" i="2"/>
  <c r="U44" i="2"/>
  <c r="V44" i="2"/>
  <c r="W44" i="2"/>
  <c r="Y44" i="2"/>
  <c r="Z44" i="2"/>
  <c r="AA44" i="2"/>
  <c r="AB44" i="2"/>
  <c r="AC44" i="2"/>
  <c r="AD44" i="2"/>
  <c r="AE44" i="2"/>
  <c r="AF44" i="2"/>
  <c r="AG44" i="2"/>
  <c r="AH44" i="2"/>
  <c r="AI44" i="2"/>
  <c r="AJ44" i="2"/>
  <c r="AK44" i="2"/>
  <c r="AL44" i="2"/>
  <c r="AM44" i="2"/>
  <c r="AN44" i="2"/>
  <c r="AO44" i="2"/>
  <c r="AP44" i="2"/>
  <c r="AQ44" i="2"/>
  <c r="AR44" i="2"/>
  <c r="AS44" i="2"/>
  <c r="AT44" i="2"/>
  <c r="AU44" i="2"/>
  <c r="AV44" i="2"/>
  <c r="AW44" i="2"/>
  <c r="AX44" i="2"/>
  <c r="AY44" i="2"/>
  <c r="AZ44" i="2"/>
  <c r="BA44" i="2"/>
  <c r="BB44" i="2"/>
  <c r="BC44" i="2"/>
  <c r="BD44" i="2"/>
  <c r="BE44" i="2"/>
  <c r="CO44" i="2"/>
  <c r="E45" i="2"/>
  <c r="F45" i="2"/>
  <c r="H45" i="2"/>
  <c r="I45" i="2"/>
  <c r="J45" i="2"/>
  <c r="K45" i="2"/>
  <c r="L45" i="2"/>
  <c r="M45" i="2"/>
  <c r="N45" i="2"/>
  <c r="O45" i="2"/>
  <c r="P45" i="2"/>
  <c r="Q45" i="2"/>
  <c r="R45" i="2"/>
  <c r="S45" i="2"/>
  <c r="T45" i="2"/>
  <c r="U45" i="2"/>
  <c r="V45" i="2"/>
  <c r="W45" i="2"/>
  <c r="Y45" i="2"/>
  <c r="Z45" i="2"/>
  <c r="AA45" i="2"/>
  <c r="AB45" i="2"/>
  <c r="AC45" i="2"/>
  <c r="AD45" i="2"/>
  <c r="AE45" i="2"/>
  <c r="AF45" i="2"/>
  <c r="AG45" i="2"/>
  <c r="AH45" i="2"/>
  <c r="AI45" i="2"/>
  <c r="AJ45" i="2"/>
  <c r="AK45" i="2"/>
  <c r="AL45" i="2"/>
  <c r="AM45" i="2"/>
  <c r="AN45" i="2"/>
  <c r="AO45" i="2"/>
  <c r="AP45" i="2"/>
  <c r="AQ45" i="2"/>
  <c r="AR45" i="2"/>
  <c r="AS45" i="2"/>
  <c r="AT45" i="2"/>
  <c r="AU45" i="2"/>
  <c r="AV45" i="2"/>
  <c r="AW45" i="2"/>
  <c r="AX45" i="2"/>
  <c r="AY45" i="2"/>
  <c r="AZ45" i="2"/>
  <c r="BA45" i="2"/>
  <c r="BB45" i="2"/>
  <c r="BC45" i="2"/>
  <c r="BD45" i="2"/>
  <c r="BE45" i="2"/>
  <c r="CO45" i="2"/>
  <c r="E46" i="2"/>
  <c r="F46" i="2"/>
  <c r="G46" i="2"/>
  <c r="H46" i="2"/>
  <c r="I46" i="2"/>
  <c r="J46" i="2"/>
  <c r="K46" i="2"/>
  <c r="L46" i="2"/>
  <c r="M46" i="2"/>
  <c r="N46" i="2"/>
  <c r="O46" i="2"/>
  <c r="P46" i="2"/>
  <c r="Q46" i="2"/>
  <c r="R46" i="2"/>
  <c r="S46" i="2"/>
  <c r="T46" i="2"/>
  <c r="U46" i="2"/>
  <c r="V46" i="2"/>
  <c r="W46" i="2"/>
  <c r="Y46" i="2"/>
  <c r="Z46" i="2"/>
  <c r="AA46" i="2"/>
  <c r="AB46" i="2"/>
  <c r="AC46" i="2"/>
  <c r="AD46" i="2"/>
  <c r="AE46" i="2"/>
  <c r="AF46" i="2"/>
  <c r="AG46" i="2"/>
  <c r="AH46" i="2"/>
  <c r="AI46" i="2"/>
  <c r="AJ46" i="2"/>
  <c r="AK46" i="2"/>
  <c r="AL46" i="2"/>
  <c r="AM46" i="2"/>
  <c r="AN46" i="2"/>
  <c r="AO46" i="2"/>
  <c r="AP46" i="2"/>
  <c r="AQ46" i="2"/>
  <c r="AR46" i="2"/>
  <c r="AS46" i="2"/>
  <c r="AT46" i="2"/>
  <c r="AU46" i="2"/>
  <c r="AV46" i="2"/>
  <c r="AW46" i="2"/>
  <c r="AX46" i="2"/>
  <c r="AY46" i="2"/>
  <c r="AZ46" i="2"/>
  <c r="BA46" i="2"/>
  <c r="BB46" i="2"/>
  <c r="BC46" i="2"/>
  <c r="BD46" i="2"/>
  <c r="BE46" i="2"/>
  <c r="CO46" i="2"/>
  <c r="E47" i="2"/>
  <c r="F47" i="2"/>
  <c r="H47" i="2"/>
  <c r="I47" i="2"/>
  <c r="J47" i="2"/>
  <c r="K47" i="2"/>
  <c r="L47" i="2"/>
  <c r="M47" i="2"/>
  <c r="N47" i="2"/>
  <c r="O47" i="2"/>
  <c r="P47" i="2"/>
  <c r="Q47" i="2"/>
  <c r="R47" i="2"/>
  <c r="S47" i="2"/>
  <c r="T47" i="2"/>
  <c r="U47" i="2"/>
  <c r="V47" i="2"/>
  <c r="W47" i="2"/>
  <c r="Y47" i="2"/>
  <c r="Z47" i="2"/>
  <c r="AA47" i="2"/>
  <c r="AB47" i="2"/>
  <c r="AC47" i="2"/>
  <c r="AD47" i="2"/>
  <c r="AE47" i="2"/>
  <c r="AF47" i="2"/>
  <c r="AG47" i="2"/>
  <c r="AH47" i="2"/>
  <c r="AI47" i="2"/>
  <c r="AJ47" i="2"/>
  <c r="AK47" i="2"/>
  <c r="AL47" i="2"/>
  <c r="AM47" i="2"/>
  <c r="AN47" i="2"/>
  <c r="AO47" i="2"/>
  <c r="AP47" i="2"/>
  <c r="AQ47" i="2"/>
  <c r="AR47" i="2"/>
  <c r="AS47" i="2"/>
  <c r="AT47" i="2"/>
  <c r="AU47" i="2"/>
  <c r="AV47" i="2"/>
  <c r="AW47" i="2"/>
  <c r="AX47" i="2"/>
  <c r="AY47" i="2"/>
  <c r="AZ47" i="2"/>
  <c r="BA47" i="2"/>
  <c r="BB47" i="2"/>
  <c r="BC47" i="2"/>
  <c r="BD47" i="2"/>
  <c r="BE47" i="2"/>
  <c r="CO47" i="2"/>
  <c r="E48" i="2"/>
  <c r="F48" i="2"/>
  <c r="H48" i="2"/>
  <c r="I48" i="2"/>
  <c r="J48" i="2"/>
  <c r="K48" i="2"/>
  <c r="L48" i="2"/>
  <c r="M48" i="2"/>
  <c r="N48" i="2"/>
  <c r="O48" i="2"/>
  <c r="P48" i="2"/>
  <c r="Q48" i="2"/>
  <c r="R48" i="2"/>
  <c r="S48" i="2"/>
  <c r="T48" i="2"/>
  <c r="U48" i="2"/>
  <c r="V48" i="2"/>
  <c r="W48" i="2"/>
  <c r="Y48" i="2"/>
  <c r="Z48" i="2"/>
  <c r="AA48" i="2"/>
  <c r="AB48" i="2"/>
  <c r="AC48" i="2"/>
  <c r="AD48" i="2"/>
  <c r="AE48" i="2"/>
  <c r="AF48" i="2"/>
  <c r="AG48" i="2"/>
  <c r="AH48" i="2"/>
  <c r="AI48" i="2"/>
  <c r="AJ48" i="2"/>
  <c r="AK48" i="2"/>
  <c r="AL48" i="2"/>
  <c r="AM48" i="2"/>
  <c r="AN48" i="2"/>
  <c r="AO48" i="2"/>
  <c r="AP48" i="2"/>
  <c r="AQ48" i="2"/>
  <c r="AR48" i="2"/>
  <c r="AS48" i="2"/>
  <c r="AT48" i="2"/>
  <c r="AU48" i="2"/>
  <c r="AV48" i="2"/>
  <c r="AW48" i="2"/>
  <c r="AX48" i="2"/>
  <c r="AY48" i="2"/>
  <c r="AZ48" i="2"/>
  <c r="BA48" i="2"/>
  <c r="BB48" i="2"/>
  <c r="BC48" i="2"/>
  <c r="BD48" i="2"/>
  <c r="BE48" i="2"/>
  <c r="CO48" i="2"/>
  <c r="E49" i="2"/>
  <c r="F49" i="2"/>
  <c r="H49" i="2"/>
  <c r="I49" i="2"/>
  <c r="J49" i="2"/>
  <c r="K49" i="2"/>
  <c r="L49" i="2"/>
  <c r="M49" i="2"/>
  <c r="N49" i="2"/>
  <c r="O49" i="2"/>
  <c r="P49" i="2"/>
  <c r="Q49" i="2"/>
  <c r="R49" i="2"/>
  <c r="S49" i="2"/>
  <c r="T49" i="2"/>
  <c r="U49" i="2"/>
  <c r="V49" i="2"/>
  <c r="W49" i="2"/>
  <c r="Y49" i="2"/>
  <c r="Z49" i="2"/>
  <c r="AA49" i="2"/>
  <c r="AB49" i="2"/>
  <c r="AC49" i="2"/>
  <c r="AD49" i="2"/>
  <c r="AE49" i="2"/>
  <c r="AF49" i="2"/>
  <c r="AG49" i="2"/>
  <c r="AH49" i="2"/>
  <c r="AI49" i="2"/>
  <c r="AJ49" i="2"/>
  <c r="AK49" i="2"/>
  <c r="AL49" i="2"/>
  <c r="AM49" i="2"/>
  <c r="AN49" i="2"/>
  <c r="AO49" i="2"/>
  <c r="AP49" i="2"/>
  <c r="AQ49" i="2"/>
  <c r="AR49" i="2"/>
  <c r="AS49" i="2"/>
  <c r="AT49" i="2"/>
  <c r="AU49" i="2"/>
  <c r="AV49" i="2"/>
  <c r="AW49" i="2"/>
  <c r="AX49" i="2"/>
  <c r="AY49" i="2"/>
  <c r="AZ49" i="2"/>
  <c r="BA49" i="2"/>
  <c r="BB49" i="2"/>
  <c r="BC49" i="2"/>
  <c r="BD49" i="2"/>
  <c r="BE49" i="2"/>
  <c r="CO49" i="2"/>
  <c r="E50" i="2"/>
  <c r="F50" i="2"/>
  <c r="H50" i="2"/>
  <c r="I50" i="2"/>
  <c r="J50" i="2"/>
  <c r="K50" i="2"/>
  <c r="L50" i="2"/>
  <c r="M50" i="2"/>
  <c r="N50" i="2"/>
  <c r="O50" i="2"/>
  <c r="P50" i="2"/>
  <c r="Q50" i="2"/>
  <c r="R50" i="2"/>
  <c r="S50" i="2"/>
  <c r="T50" i="2"/>
  <c r="U50" i="2"/>
  <c r="V50" i="2"/>
  <c r="W50" i="2"/>
  <c r="Y50" i="2"/>
  <c r="Z50" i="2"/>
  <c r="AA50" i="2"/>
  <c r="AB50" i="2"/>
  <c r="AC50" i="2"/>
  <c r="AD50" i="2"/>
  <c r="AE50" i="2"/>
  <c r="AF50" i="2"/>
  <c r="AG50" i="2"/>
  <c r="AH50" i="2"/>
  <c r="AI50" i="2"/>
  <c r="AJ50" i="2"/>
  <c r="AK50" i="2"/>
  <c r="AL50" i="2"/>
  <c r="AM50" i="2"/>
  <c r="AN50" i="2"/>
  <c r="AO50" i="2"/>
  <c r="AP50" i="2"/>
  <c r="AQ50" i="2"/>
  <c r="AR50" i="2"/>
  <c r="AS50" i="2"/>
  <c r="AT50" i="2"/>
  <c r="AU50" i="2"/>
  <c r="AV50" i="2"/>
  <c r="AW50" i="2"/>
  <c r="AX50" i="2"/>
  <c r="AY50" i="2"/>
  <c r="AZ50" i="2"/>
  <c r="BA50" i="2"/>
  <c r="BB50" i="2"/>
  <c r="BC50" i="2"/>
  <c r="BD50" i="2"/>
  <c r="BE50" i="2"/>
  <c r="CO50" i="2"/>
  <c r="E51" i="2"/>
  <c r="F51" i="2"/>
  <c r="H51" i="2"/>
  <c r="I51" i="2"/>
  <c r="J51" i="2"/>
  <c r="K51" i="2"/>
  <c r="L51" i="2"/>
  <c r="M51" i="2"/>
  <c r="N51" i="2"/>
  <c r="O51" i="2"/>
  <c r="P51" i="2"/>
  <c r="Q51" i="2"/>
  <c r="R51" i="2"/>
  <c r="S51" i="2"/>
  <c r="T51" i="2"/>
  <c r="U51" i="2"/>
  <c r="V51" i="2"/>
  <c r="W51" i="2"/>
  <c r="Y51" i="2"/>
  <c r="Z51" i="2"/>
  <c r="AA51" i="2"/>
  <c r="AB51" i="2"/>
  <c r="AC51" i="2"/>
  <c r="AD51" i="2"/>
  <c r="AE51" i="2"/>
  <c r="AF51" i="2"/>
  <c r="AG51" i="2"/>
  <c r="AH51" i="2"/>
  <c r="AI51" i="2"/>
  <c r="AJ51" i="2"/>
  <c r="AK51" i="2"/>
  <c r="AL51" i="2"/>
  <c r="AM51" i="2"/>
  <c r="AN51" i="2"/>
  <c r="AO51" i="2"/>
  <c r="AP51" i="2"/>
  <c r="AQ51" i="2"/>
  <c r="AR51" i="2"/>
  <c r="AS51" i="2"/>
  <c r="AT51" i="2"/>
  <c r="AU51" i="2"/>
  <c r="AV51" i="2"/>
  <c r="AW51" i="2"/>
  <c r="AX51" i="2"/>
  <c r="AY51" i="2"/>
  <c r="AZ51" i="2"/>
  <c r="BA51" i="2"/>
  <c r="BB51" i="2"/>
  <c r="BC51" i="2"/>
  <c r="BD51" i="2"/>
  <c r="BE51" i="2"/>
  <c r="CO51" i="2"/>
  <c r="E52" i="2"/>
  <c r="F52" i="2"/>
  <c r="H52" i="2"/>
  <c r="I52" i="2"/>
  <c r="J52" i="2"/>
  <c r="K52" i="2"/>
  <c r="L52" i="2"/>
  <c r="M52" i="2"/>
  <c r="N52" i="2"/>
  <c r="O52" i="2"/>
  <c r="P52" i="2"/>
  <c r="Q52" i="2"/>
  <c r="R52" i="2"/>
  <c r="S52" i="2"/>
  <c r="T52" i="2"/>
  <c r="U52" i="2"/>
  <c r="V52" i="2"/>
  <c r="W52" i="2"/>
  <c r="Y52" i="2"/>
  <c r="Z52" i="2"/>
  <c r="AA52" i="2"/>
  <c r="AB52" i="2"/>
  <c r="AC52" i="2"/>
  <c r="AD52" i="2"/>
  <c r="AE52" i="2"/>
  <c r="AF52" i="2"/>
  <c r="AG52" i="2"/>
  <c r="AH52" i="2"/>
  <c r="AI52" i="2"/>
  <c r="AJ52" i="2"/>
  <c r="AK52" i="2"/>
  <c r="AL52" i="2"/>
  <c r="AM52" i="2"/>
  <c r="AN52" i="2"/>
  <c r="AO52" i="2"/>
  <c r="AP52" i="2"/>
  <c r="AQ52" i="2"/>
  <c r="AR52" i="2"/>
  <c r="AS52" i="2"/>
  <c r="AT52" i="2"/>
  <c r="AU52" i="2"/>
  <c r="AV52" i="2"/>
  <c r="AW52" i="2"/>
  <c r="AX52" i="2"/>
  <c r="AY52" i="2"/>
  <c r="AZ52" i="2"/>
  <c r="BA52" i="2"/>
  <c r="BB52" i="2"/>
  <c r="BC52" i="2"/>
  <c r="BD52" i="2"/>
  <c r="BE52" i="2"/>
  <c r="CO52" i="2"/>
  <c r="E53" i="2"/>
  <c r="F53" i="2"/>
  <c r="H53" i="2"/>
  <c r="I53" i="2"/>
  <c r="J53" i="2"/>
  <c r="K53" i="2"/>
  <c r="L53" i="2"/>
  <c r="M53" i="2"/>
  <c r="N53" i="2"/>
  <c r="O53" i="2"/>
  <c r="P53" i="2"/>
  <c r="Q53" i="2"/>
  <c r="R53" i="2"/>
  <c r="S53" i="2"/>
  <c r="T53" i="2"/>
  <c r="U53" i="2"/>
  <c r="V53" i="2"/>
  <c r="W53" i="2"/>
  <c r="Y53" i="2"/>
  <c r="Z53" i="2"/>
  <c r="AA53" i="2"/>
  <c r="AB53" i="2"/>
  <c r="AC53" i="2"/>
  <c r="AD53" i="2"/>
  <c r="AE53" i="2"/>
  <c r="AF53" i="2"/>
  <c r="AG53" i="2"/>
  <c r="AH53" i="2"/>
  <c r="AI53" i="2"/>
  <c r="AJ53" i="2"/>
  <c r="AK53" i="2"/>
  <c r="AL53" i="2"/>
  <c r="AM53" i="2"/>
  <c r="AN53" i="2"/>
  <c r="AO53" i="2"/>
  <c r="AP53" i="2"/>
  <c r="AQ53" i="2"/>
  <c r="AR53" i="2"/>
  <c r="AS53" i="2"/>
  <c r="AT53" i="2"/>
  <c r="AU53" i="2"/>
  <c r="AV53" i="2"/>
  <c r="AW53" i="2"/>
  <c r="AX53" i="2"/>
  <c r="AY53" i="2"/>
  <c r="AZ53" i="2"/>
  <c r="BA53" i="2"/>
  <c r="BB53" i="2"/>
  <c r="BC53" i="2"/>
  <c r="BD53" i="2"/>
  <c r="BE53" i="2"/>
  <c r="CO53" i="2"/>
  <c r="E54" i="2"/>
  <c r="F54" i="2"/>
  <c r="H54" i="2"/>
  <c r="I54" i="2"/>
  <c r="J54" i="2"/>
  <c r="K54" i="2"/>
  <c r="L54" i="2"/>
  <c r="M54" i="2"/>
  <c r="N54" i="2"/>
  <c r="O54" i="2"/>
  <c r="P54" i="2"/>
  <c r="Q54" i="2"/>
  <c r="R54" i="2"/>
  <c r="S54" i="2"/>
  <c r="T54" i="2"/>
  <c r="U54" i="2"/>
  <c r="V54" i="2"/>
  <c r="W54" i="2"/>
  <c r="Y54" i="2"/>
  <c r="Z54" i="2"/>
  <c r="AA54" i="2"/>
  <c r="AB54" i="2"/>
  <c r="AC54" i="2"/>
  <c r="AD54" i="2"/>
  <c r="AE54" i="2"/>
  <c r="AF54" i="2"/>
  <c r="AG54" i="2"/>
  <c r="AH54" i="2"/>
  <c r="AI54" i="2"/>
  <c r="AJ54" i="2"/>
  <c r="AK54" i="2"/>
  <c r="AL54" i="2"/>
  <c r="AM54" i="2"/>
  <c r="AN54" i="2"/>
  <c r="AO54" i="2"/>
  <c r="AP54" i="2"/>
  <c r="AQ54" i="2"/>
  <c r="AR54" i="2"/>
  <c r="AS54" i="2"/>
  <c r="AT54" i="2"/>
  <c r="AU54" i="2"/>
  <c r="AV54" i="2"/>
  <c r="AW54" i="2"/>
  <c r="AX54" i="2"/>
  <c r="AY54" i="2"/>
  <c r="AZ54" i="2"/>
  <c r="BA54" i="2"/>
  <c r="BB54" i="2"/>
  <c r="BC54" i="2"/>
  <c r="BD54" i="2"/>
  <c r="BE54" i="2"/>
  <c r="CO54" i="2"/>
  <c r="E55" i="2"/>
  <c r="F55" i="2"/>
  <c r="H55" i="2"/>
  <c r="I55" i="2"/>
  <c r="J55" i="2"/>
  <c r="K55" i="2"/>
  <c r="L55" i="2"/>
  <c r="M55" i="2"/>
  <c r="N55" i="2"/>
  <c r="O55" i="2"/>
  <c r="P55" i="2"/>
  <c r="Q55" i="2"/>
  <c r="R55" i="2"/>
  <c r="S55" i="2"/>
  <c r="T55" i="2"/>
  <c r="U55" i="2"/>
  <c r="V55" i="2"/>
  <c r="W55" i="2"/>
  <c r="Y55" i="2"/>
  <c r="Z55" i="2"/>
  <c r="AA55" i="2"/>
  <c r="AB55" i="2"/>
  <c r="AC55" i="2"/>
  <c r="AD55" i="2"/>
  <c r="AE55" i="2"/>
  <c r="AF55" i="2"/>
  <c r="AG55" i="2"/>
  <c r="AH55" i="2"/>
  <c r="AI55" i="2"/>
  <c r="AJ55" i="2"/>
  <c r="AK55" i="2"/>
  <c r="AL55" i="2"/>
  <c r="AM55" i="2"/>
  <c r="AN55" i="2"/>
  <c r="AO55" i="2"/>
  <c r="AP55" i="2"/>
  <c r="AQ55" i="2"/>
  <c r="AR55" i="2"/>
  <c r="AS55" i="2"/>
  <c r="AT55" i="2"/>
  <c r="AU55" i="2"/>
  <c r="AV55" i="2"/>
  <c r="AW55" i="2"/>
  <c r="AX55" i="2"/>
  <c r="AY55" i="2"/>
  <c r="AZ55" i="2"/>
  <c r="BA55" i="2"/>
  <c r="BB55" i="2"/>
  <c r="BC55" i="2"/>
  <c r="BD55" i="2"/>
  <c r="BE55" i="2"/>
  <c r="CO55" i="2"/>
  <c r="E56" i="2"/>
  <c r="F56" i="2"/>
  <c r="H56" i="2"/>
  <c r="I56" i="2"/>
  <c r="J56" i="2"/>
  <c r="K56" i="2"/>
  <c r="L56" i="2"/>
  <c r="M56" i="2"/>
  <c r="N56" i="2"/>
  <c r="O56" i="2"/>
  <c r="P56" i="2"/>
  <c r="Q56" i="2"/>
  <c r="R56" i="2"/>
  <c r="S56" i="2"/>
  <c r="T56" i="2"/>
  <c r="U56" i="2"/>
  <c r="V56" i="2"/>
  <c r="W56" i="2"/>
  <c r="Y56" i="2"/>
  <c r="Z56" i="2"/>
  <c r="AA56" i="2"/>
  <c r="AB56" i="2"/>
  <c r="AC56" i="2"/>
  <c r="AD56" i="2"/>
  <c r="AE56" i="2"/>
  <c r="AF56" i="2"/>
  <c r="AG56" i="2"/>
  <c r="AH56" i="2"/>
  <c r="AI56" i="2"/>
  <c r="AJ56" i="2"/>
  <c r="AK56" i="2"/>
  <c r="AL56" i="2"/>
  <c r="AM56" i="2"/>
  <c r="AN56" i="2"/>
  <c r="AO56" i="2"/>
  <c r="AP56" i="2"/>
  <c r="AQ56" i="2"/>
  <c r="AR56" i="2"/>
  <c r="AS56" i="2"/>
  <c r="AT56" i="2"/>
  <c r="AU56" i="2"/>
  <c r="AV56" i="2"/>
  <c r="AW56" i="2"/>
  <c r="AX56" i="2"/>
  <c r="AY56" i="2"/>
  <c r="AZ56" i="2"/>
  <c r="BA56" i="2"/>
  <c r="BB56" i="2"/>
  <c r="BC56" i="2"/>
  <c r="BD56" i="2"/>
  <c r="BE56" i="2"/>
  <c r="CO56" i="2"/>
  <c r="E57" i="2"/>
  <c r="F57" i="2"/>
  <c r="H57" i="2"/>
  <c r="I57" i="2"/>
  <c r="J57" i="2"/>
  <c r="K57" i="2"/>
  <c r="L57" i="2"/>
  <c r="M57" i="2"/>
  <c r="N57" i="2"/>
  <c r="O57" i="2"/>
  <c r="P57" i="2"/>
  <c r="Q57" i="2"/>
  <c r="R57" i="2"/>
  <c r="S57" i="2"/>
  <c r="T57" i="2"/>
  <c r="U57" i="2"/>
  <c r="V57" i="2"/>
  <c r="W57" i="2"/>
  <c r="Y57" i="2"/>
  <c r="Z57" i="2"/>
  <c r="AA57" i="2"/>
  <c r="AB57" i="2"/>
  <c r="AC57" i="2"/>
  <c r="AD57" i="2"/>
  <c r="AE57" i="2"/>
  <c r="AF57" i="2"/>
  <c r="AG57" i="2"/>
  <c r="AH57" i="2"/>
  <c r="AI57" i="2"/>
  <c r="AJ57" i="2"/>
  <c r="AK57" i="2"/>
  <c r="AL57" i="2"/>
  <c r="AM57" i="2"/>
  <c r="AN57" i="2"/>
  <c r="AO57" i="2"/>
  <c r="AP57" i="2"/>
  <c r="AQ57" i="2"/>
  <c r="AR57" i="2"/>
  <c r="AS57" i="2"/>
  <c r="AT57" i="2"/>
  <c r="AU57" i="2"/>
  <c r="AV57" i="2"/>
  <c r="AW57" i="2"/>
  <c r="AX57" i="2"/>
  <c r="AY57" i="2"/>
  <c r="AZ57" i="2"/>
  <c r="BA57" i="2"/>
  <c r="BB57" i="2"/>
  <c r="BC57" i="2"/>
  <c r="BD57" i="2"/>
  <c r="BE57" i="2"/>
  <c r="CO57" i="2"/>
  <c r="E58" i="2"/>
  <c r="F58" i="2"/>
  <c r="H58" i="2"/>
  <c r="I58" i="2"/>
  <c r="J58" i="2"/>
  <c r="K58" i="2"/>
  <c r="L58" i="2"/>
  <c r="M58" i="2"/>
  <c r="N58" i="2"/>
  <c r="O58" i="2"/>
  <c r="P58" i="2"/>
  <c r="Q58" i="2"/>
  <c r="R58" i="2"/>
  <c r="S58" i="2"/>
  <c r="T58" i="2"/>
  <c r="U58" i="2"/>
  <c r="V58" i="2"/>
  <c r="W58" i="2"/>
  <c r="Y58" i="2"/>
  <c r="Z58" i="2"/>
  <c r="AA58" i="2"/>
  <c r="AB58" i="2"/>
  <c r="AC58" i="2"/>
  <c r="AD58" i="2"/>
  <c r="AE58" i="2"/>
  <c r="AF58" i="2"/>
  <c r="AG58" i="2"/>
  <c r="AH58" i="2"/>
  <c r="AI58" i="2"/>
  <c r="AJ58" i="2"/>
  <c r="AK58" i="2"/>
  <c r="AL58" i="2"/>
  <c r="AM58" i="2"/>
  <c r="AN58" i="2"/>
  <c r="AO58" i="2"/>
  <c r="AP58" i="2"/>
  <c r="AQ58" i="2"/>
  <c r="AR58" i="2"/>
  <c r="AS58" i="2"/>
  <c r="AT58" i="2"/>
  <c r="AU58" i="2"/>
  <c r="AV58" i="2"/>
  <c r="AW58" i="2"/>
  <c r="AX58" i="2"/>
  <c r="AY58" i="2"/>
  <c r="AZ58" i="2"/>
  <c r="BA58" i="2"/>
  <c r="BB58" i="2"/>
  <c r="BC58" i="2"/>
  <c r="BD58" i="2"/>
  <c r="BE58" i="2"/>
  <c r="CO58" i="2"/>
  <c r="E59" i="2"/>
  <c r="F59" i="2"/>
  <c r="H59" i="2"/>
  <c r="I59" i="2"/>
  <c r="J59" i="2"/>
  <c r="K59" i="2"/>
  <c r="L59" i="2"/>
  <c r="M59" i="2"/>
  <c r="N59" i="2"/>
  <c r="O59" i="2"/>
  <c r="P59" i="2"/>
  <c r="Q59" i="2"/>
  <c r="R59" i="2"/>
  <c r="S59" i="2"/>
  <c r="T59" i="2"/>
  <c r="U59" i="2"/>
  <c r="V59" i="2"/>
  <c r="W59" i="2"/>
  <c r="Y59" i="2"/>
  <c r="Z59" i="2"/>
  <c r="AA59" i="2"/>
  <c r="AB59" i="2"/>
  <c r="AC59" i="2"/>
  <c r="AD59" i="2"/>
  <c r="AE59" i="2"/>
  <c r="AF59" i="2"/>
  <c r="AG59" i="2"/>
  <c r="AH59" i="2"/>
  <c r="AI59" i="2"/>
  <c r="AJ59" i="2"/>
  <c r="AK59" i="2"/>
  <c r="AL59" i="2"/>
  <c r="AM59" i="2"/>
  <c r="AN59" i="2"/>
  <c r="AO59" i="2"/>
  <c r="AP59" i="2"/>
  <c r="AQ59" i="2"/>
  <c r="AR59" i="2"/>
  <c r="AS59" i="2"/>
  <c r="AT59" i="2"/>
  <c r="AU59" i="2"/>
  <c r="AV59" i="2"/>
  <c r="AW59" i="2"/>
  <c r="AX59" i="2"/>
  <c r="AY59" i="2"/>
  <c r="AZ59" i="2"/>
  <c r="BA59" i="2"/>
  <c r="BB59" i="2"/>
  <c r="BC59" i="2"/>
  <c r="BD59" i="2"/>
  <c r="BE59" i="2"/>
  <c r="CO59" i="2"/>
  <c r="E60" i="2"/>
  <c r="CM60" i="2" s="1"/>
  <c r="F60" i="2"/>
  <c r="H60" i="2"/>
  <c r="I60" i="2"/>
  <c r="J60" i="2"/>
  <c r="K60" i="2"/>
  <c r="L60" i="2"/>
  <c r="M60" i="2"/>
  <c r="N60" i="2"/>
  <c r="O60" i="2"/>
  <c r="P60" i="2"/>
  <c r="Q60" i="2"/>
  <c r="R60" i="2"/>
  <c r="S60" i="2"/>
  <c r="T60" i="2"/>
  <c r="U60" i="2"/>
  <c r="V60" i="2"/>
  <c r="W60" i="2"/>
  <c r="Y60" i="2"/>
  <c r="Z60" i="2"/>
  <c r="AA60" i="2"/>
  <c r="AB60" i="2"/>
  <c r="AC60" i="2"/>
  <c r="AD60" i="2"/>
  <c r="AE60" i="2"/>
  <c r="AF60" i="2"/>
  <c r="AG60" i="2"/>
  <c r="AH60" i="2"/>
  <c r="AI60" i="2"/>
  <c r="AJ60" i="2"/>
  <c r="AK60" i="2"/>
  <c r="AL60" i="2"/>
  <c r="AM60" i="2"/>
  <c r="AN60" i="2"/>
  <c r="AO60" i="2"/>
  <c r="AP60" i="2"/>
  <c r="AQ60" i="2"/>
  <c r="AR60" i="2"/>
  <c r="AS60" i="2"/>
  <c r="AT60" i="2"/>
  <c r="AU60" i="2"/>
  <c r="AV60" i="2"/>
  <c r="AW60" i="2"/>
  <c r="AX60" i="2"/>
  <c r="AY60" i="2"/>
  <c r="AZ60" i="2"/>
  <c r="BA60" i="2"/>
  <c r="BB60" i="2"/>
  <c r="BC60" i="2"/>
  <c r="BD60" i="2"/>
  <c r="BE60" i="2"/>
  <c r="CO60" i="2"/>
  <c r="E61" i="2"/>
  <c r="CM61" i="2" s="1"/>
  <c r="F61" i="2"/>
  <c r="H61" i="2"/>
  <c r="I61" i="2"/>
  <c r="J61" i="2"/>
  <c r="K61" i="2"/>
  <c r="L61" i="2"/>
  <c r="M61" i="2"/>
  <c r="N61" i="2"/>
  <c r="O61" i="2"/>
  <c r="P61" i="2"/>
  <c r="Q61" i="2"/>
  <c r="R61" i="2"/>
  <c r="S61" i="2"/>
  <c r="T61" i="2"/>
  <c r="U61" i="2"/>
  <c r="V61" i="2"/>
  <c r="W61" i="2"/>
  <c r="Y61" i="2"/>
  <c r="Z61" i="2"/>
  <c r="AA61" i="2"/>
  <c r="AB61" i="2"/>
  <c r="AC61" i="2"/>
  <c r="AD61" i="2"/>
  <c r="AE61" i="2"/>
  <c r="AF61" i="2"/>
  <c r="AG61" i="2"/>
  <c r="AH61" i="2"/>
  <c r="AI61" i="2"/>
  <c r="AJ61" i="2"/>
  <c r="AK61" i="2"/>
  <c r="AL61" i="2"/>
  <c r="AM61" i="2"/>
  <c r="AN61" i="2"/>
  <c r="AO61" i="2"/>
  <c r="AP61" i="2"/>
  <c r="AQ61" i="2"/>
  <c r="AR61" i="2"/>
  <c r="AS61" i="2"/>
  <c r="AT61" i="2"/>
  <c r="AU61" i="2"/>
  <c r="AV61" i="2"/>
  <c r="AW61" i="2"/>
  <c r="AX61" i="2"/>
  <c r="AY61" i="2"/>
  <c r="AZ61" i="2"/>
  <c r="BA61" i="2"/>
  <c r="BB61" i="2"/>
  <c r="BC61" i="2"/>
  <c r="BD61" i="2"/>
  <c r="BE61" i="2"/>
  <c r="CO61" i="2"/>
  <c r="E62" i="2"/>
  <c r="CM62" i="2" s="1"/>
  <c r="F62" i="2"/>
  <c r="H62" i="2"/>
  <c r="I62" i="2"/>
  <c r="J62" i="2"/>
  <c r="K62" i="2"/>
  <c r="L62" i="2"/>
  <c r="M62" i="2"/>
  <c r="N62" i="2"/>
  <c r="O62" i="2"/>
  <c r="P62" i="2"/>
  <c r="Q62" i="2"/>
  <c r="R62" i="2"/>
  <c r="S62" i="2"/>
  <c r="T62" i="2"/>
  <c r="U62" i="2"/>
  <c r="V62" i="2"/>
  <c r="W62" i="2"/>
  <c r="Y62" i="2"/>
  <c r="Z62" i="2"/>
  <c r="AA62" i="2"/>
  <c r="AB62" i="2"/>
  <c r="AC62" i="2"/>
  <c r="AD62" i="2"/>
  <c r="AE62" i="2"/>
  <c r="AF62" i="2"/>
  <c r="AG62" i="2"/>
  <c r="AH62" i="2"/>
  <c r="AI62" i="2"/>
  <c r="AJ62" i="2"/>
  <c r="AK62" i="2"/>
  <c r="AL62" i="2"/>
  <c r="AM62" i="2"/>
  <c r="AN62" i="2"/>
  <c r="AO62" i="2"/>
  <c r="AP62" i="2"/>
  <c r="AQ62" i="2"/>
  <c r="AR62" i="2"/>
  <c r="AS62" i="2"/>
  <c r="AT62" i="2"/>
  <c r="AU62" i="2"/>
  <c r="AV62" i="2"/>
  <c r="AW62" i="2"/>
  <c r="AX62" i="2"/>
  <c r="AY62" i="2"/>
  <c r="AZ62" i="2"/>
  <c r="BA62" i="2"/>
  <c r="BB62" i="2"/>
  <c r="BC62" i="2"/>
  <c r="BD62" i="2"/>
  <c r="BE62" i="2"/>
  <c r="CO62" i="2"/>
  <c r="E63" i="2"/>
  <c r="CM63" i="2" s="1"/>
  <c r="F63" i="2"/>
  <c r="H63" i="2"/>
  <c r="I63" i="2"/>
  <c r="J63" i="2"/>
  <c r="K63" i="2"/>
  <c r="L63" i="2"/>
  <c r="M63" i="2"/>
  <c r="N63" i="2"/>
  <c r="O63" i="2"/>
  <c r="P63" i="2"/>
  <c r="Q63" i="2"/>
  <c r="R63" i="2"/>
  <c r="S63" i="2"/>
  <c r="T63" i="2"/>
  <c r="U63" i="2"/>
  <c r="V63" i="2"/>
  <c r="W63" i="2"/>
  <c r="Y63" i="2"/>
  <c r="Z63" i="2"/>
  <c r="AA63" i="2"/>
  <c r="AB63" i="2"/>
  <c r="AC63" i="2"/>
  <c r="AD63" i="2"/>
  <c r="AE63" i="2"/>
  <c r="AF63" i="2"/>
  <c r="AG63" i="2"/>
  <c r="AH63" i="2"/>
  <c r="AI63" i="2"/>
  <c r="AJ63" i="2"/>
  <c r="AK63" i="2"/>
  <c r="AL63" i="2"/>
  <c r="AM63" i="2"/>
  <c r="AN63" i="2"/>
  <c r="AO63" i="2"/>
  <c r="AP63" i="2"/>
  <c r="AQ63" i="2"/>
  <c r="AR63" i="2"/>
  <c r="AS63" i="2"/>
  <c r="AT63" i="2"/>
  <c r="AU63" i="2"/>
  <c r="AV63" i="2"/>
  <c r="AW63" i="2"/>
  <c r="AX63" i="2"/>
  <c r="AY63" i="2"/>
  <c r="AZ63" i="2"/>
  <c r="BA63" i="2"/>
  <c r="BB63" i="2"/>
  <c r="BC63" i="2"/>
  <c r="BD63" i="2"/>
  <c r="BE63" i="2"/>
  <c r="CO63" i="2"/>
  <c r="E64" i="2"/>
  <c r="F64" i="2"/>
  <c r="G64" i="2"/>
  <c r="H64" i="2"/>
  <c r="I64" i="2"/>
  <c r="J64" i="2"/>
  <c r="K64" i="2"/>
  <c r="L64" i="2"/>
  <c r="M64" i="2"/>
  <c r="N64" i="2"/>
  <c r="O64" i="2"/>
  <c r="P64" i="2"/>
  <c r="Q64" i="2"/>
  <c r="R64" i="2"/>
  <c r="S64" i="2"/>
  <c r="T64" i="2"/>
  <c r="U64" i="2"/>
  <c r="V64" i="2"/>
  <c r="W64" i="2"/>
  <c r="Y64" i="2"/>
  <c r="Z64" i="2"/>
  <c r="AA64" i="2"/>
  <c r="AB64" i="2"/>
  <c r="AC64" i="2"/>
  <c r="AD64" i="2"/>
  <c r="AE64" i="2"/>
  <c r="AF64" i="2"/>
  <c r="AG64" i="2"/>
  <c r="AH64" i="2"/>
  <c r="AI64" i="2"/>
  <c r="AJ64" i="2"/>
  <c r="AK64" i="2"/>
  <c r="AL64" i="2"/>
  <c r="AM64" i="2"/>
  <c r="AN64" i="2"/>
  <c r="AO64" i="2"/>
  <c r="AP64" i="2"/>
  <c r="AQ64" i="2"/>
  <c r="AR64" i="2"/>
  <c r="AS64" i="2"/>
  <c r="AT64" i="2"/>
  <c r="AU64" i="2"/>
  <c r="AV64" i="2"/>
  <c r="AW64" i="2"/>
  <c r="AX64" i="2"/>
  <c r="AY64" i="2"/>
  <c r="AZ64" i="2"/>
  <c r="BA64" i="2"/>
  <c r="BB64" i="2"/>
  <c r="BC64" i="2"/>
  <c r="BD64" i="2"/>
  <c r="BE64" i="2"/>
  <c r="CO64" i="2"/>
  <c r="E65" i="2"/>
  <c r="F65" i="2"/>
  <c r="G65" i="2"/>
  <c r="H65" i="2"/>
  <c r="I65" i="2"/>
  <c r="J65" i="2"/>
  <c r="K65" i="2"/>
  <c r="L65" i="2"/>
  <c r="M65" i="2"/>
  <c r="N65" i="2"/>
  <c r="O65" i="2"/>
  <c r="P65" i="2"/>
  <c r="Q65" i="2"/>
  <c r="R65" i="2"/>
  <c r="S65" i="2"/>
  <c r="T65" i="2"/>
  <c r="U65" i="2"/>
  <c r="V65" i="2"/>
  <c r="W65" i="2"/>
  <c r="Y65" i="2"/>
  <c r="Z65" i="2"/>
  <c r="AA65" i="2"/>
  <c r="AB65" i="2"/>
  <c r="AC65" i="2"/>
  <c r="AD65" i="2"/>
  <c r="AE65" i="2"/>
  <c r="AF65" i="2"/>
  <c r="AG65" i="2"/>
  <c r="AH65" i="2"/>
  <c r="AI65" i="2"/>
  <c r="AJ65" i="2"/>
  <c r="AK65" i="2"/>
  <c r="AL65" i="2"/>
  <c r="AM65" i="2"/>
  <c r="AN65" i="2"/>
  <c r="AO65" i="2"/>
  <c r="AP65" i="2"/>
  <c r="AQ65" i="2"/>
  <c r="AR65" i="2"/>
  <c r="AS65" i="2"/>
  <c r="AT65" i="2"/>
  <c r="AU65" i="2"/>
  <c r="AV65" i="2"/>
  <c r="AW65" i="2"/>
  <c r="AX65" i="2"/>
  <c r="AY65" i="2"/>
  <c r="AZ65" i="2"/>
  <c r="BA65" i="2"/>
  <c r="BB65" i="2"/>
  <c r="BC65" i="2"/>
  <c r="BD65" i="2"/>
  <c r="BE65" i="2"/>
  <c r="CO65" i="2"/>
  <c r="E66" i="2"/>
  <c r="CM66" i="2" s="1"/>
  <c r="F66" i="2"/>
  <c r="G66" i="2"/>
  <c r="H66" i="2"/>
  <c r="I66" i="2"/>
  <c r="J66" i="2"/>
  <c r="K66" i="2"/>
  <c r="L66" i="2"/>
  <c r="M66" i="2"/>
  <c r="N66" i="2"/>
  <c r="O66" i="2"/>
  <c r="P66" i="2"/>
  <c r="Q66" i="2"/>
  <c r="R66" i="2"/>
  <c r="S66" i="2"/>
  <c r="T66" i="2"/>
  <c r="U66" i="2"/>
  <c r="V66" i="2"/>
  <c r="W66" i="2"/>
  <c r="Y66" i="2"/>
  <c r="Z66" i="2"/>
  <c r="AA66" i="2"/>
  <c r="AB66" i="2"/>
  <c r="AC66" i="2"/>
  <c r="AD66" i="2"/>
  <c r="AE66" i="2"/>
  <c r="AF66" i="2"/>
  <c r="AG66" i="2"/>
  <c r="AH66" i="2"/>
  <c r="AI66" i="2"/>
  <c r="AJ66" i="2"/>
  <c r="AK66" i="2"/>
  <c r="AL66" i="2"/>
  <c r="AM66" i="2"/>
  <c r="AN66" i="2"/>
  <c r="AO66" i="2"/>
  <c r="AP66" i="2"/>
  <c r="AQ66" i="2"/>
  <c r="AR66" i="2"/>
  <c r="AS66" i="2"/>
  <c r="AT66" i="2"/>
  <c r="AU66" i="2"/>
  <c r="AV66" i="2"/>
  <c r="AW66" i="2"/>
  <c r="AX66" i="2"/>
  <c r="AY66" i="2"/>
  <c r="AZ66" i="2"/>
  <c r="BA66" i="2"/>
  <c r="BB66" i="2"/>
  <c r="BC66" i="2"/>
  <c r="BD66" i="2"/>
  <c r="BE66" i="2"/>
  <c r="CO66" i="2"/>
  <c r="E67" i="2"/>
  <c r="CM67" i="2" s="1"/>
  <c r="F67" i="2"/>
  <c r="G67" i="2"/>
  <c r="H67" i="2"/>
  <c r="I67" i="2"/>
  <c r="J67" i="2"/>
  <c r="K67" i="2"/>
  <c r="L67" i="2"/>
  <c r="M67" i="2"/>
  <c r="N67" i="2"/>
  <c r="O67" i="2"/>
  <c r="P67" i="2"/>
  <c r="Q67" i="2"/>
  <c r="R67" i="2"/>
  <c r="S67" i="2"/>
  <c r="T67" i="2"/>
  <c r="U67" i="2"/>
  <c r="V67" i="2"/>
  <c r="W67" i="2"/>
  <c r="Y67" i="2"/>
  <c r="Z67" i="2"/>
  <c r="AA67" i="2"/>
  <c r="AB67" i="2"/>
  <c r="AC67" i="2"/>
  <c r="AD67" i="2"/>
  <c r="AE67" i="2"/>
  <c r="AF67" i="2"/>
  <c r="AG67" i="2"/>
  <c r="AH67" i="2"/>
  <c r="AI67" i="2"/>
  <c r="AJ67" i="2"/>
  <c r="AK67" i="2"/>
  <c r="AL67" i="2"/>
  <c r="AM67" i="2"/>
  <c r="AN67" i="2"/>
  <c r="AO67" i="2"/>
  <c r="AP67" i="2"/>
  <c r="AQ67" i="2"/>
  <c r="AR67" i="2"/>
  <c r="AS67" i="2"/>
  <c r="AT67" i="2"/>
  <c r="AU67" i="2"/>
  <c r="AV67" i="2"/>
  <c r="AW67" i="2"/>
  <c r="AX67" i="2"/>
  <c r="AY67" i="2"/>
  <c r="AZ67" i="2"/>
  <c r="BA67" i="2"/>
  <c r="BB67" i="2"/>
  <c r="BC67" i="2"/>
  <c r="BD67" i="2"/>
  <c r="BE67" i="2"/>
  <c r="CO67" i="2"/>
  <c r="E68" i="2"/>
  <c r="CM68" i="2" s="1"/>
  <c r="F68" i="2"/>
  <c r="G68" i="2"/>
  <c r="H68" i="2"/>
  <c r="I68" i="2"/>
  <c r="J68" i="2"/>
  <c r="K68" i="2"/>
  <c r="L68" i="2"/>
  <c r="N68" i="2"/>
  <c r="O68" i="2"/>
  <c r="P68" i="2"/>
  <c r="Q68" i="2"/>
  <c r="R68" i="2"/>
  <c r="S68" i="2"/>
  <c r="T68" i="2"/>
  <c r="U68" i="2"/>
  <c r="V68" i="2"/>
  <c r="W68" i="2"/>
  <c r="Y68" i="2"/>
  <c r="Z68" i="2"/>
  <c r="AA68" i="2"/>
  <c r="AB68" i="2"/>
  <c r="AC68" i="2"/>
  <c r="AD68" i="2"/>
  <c r="AE68" i="2"/>
  <c r="AF68" i="2"/>
  <c r="AG68" i="2"/>
  <c r="AH68" i="2"/>
  <c r="AI68" i="2"/>
  <c r="AJ68" i="2"/>
  <c r="AK68" i="2"/>
  <c r="AL68" i="2"/>
  <c r="AM68" i="2"/>
  <c r="AN68" i="2"/>
  <c r="AO68" i="2"/>
  <c r="AP68" i="2"/>
  <c r="AQ68" i="2"/>
  <c r="AR68" i="2"/>
  <c r="AS68" i="2"/>
  <c r="AT68" i="2"/>
  <c r="AU68" i="2"/>
  <c r="AV68" i="2"/>
  <c r="AW68" i="2"/>
  <c r="AX68" i="2"/>
  <c r="AY68" i="2"/>
  <c r="AZ68" i="2"/>
  <c r="BA68" i="2"/>
  <c r="BB68" i="2"/>
  <c r="BC68" i="2"/>
  <c r="BD68" i="2"/>
  <c r="BE68" i="2"/>
  <c r="CO68" i="2"/>
  <c r="E69" i="2"/>
  <c r="CM69" i="2" s="1"/>
  <c r="F69" i="2"/>
  <c r="G69" i="2"/>
  <c r="H69" i="2"/>
  <c r="I69" i="2"/>
  <c r="J69" i="2"/>
  <c r="K69" i="2"/>
  <c r="L69" i="2"/>
  <c r="M69" i="2"/>
  <c r="N69" i="2"/>
  <c r="O69" i="2"/>
  <c r="P69" i="2"/>
  <c r="Q69" i="2"/>
  <c r="R69" i="2"/>
  <c r="S69" i="2"/>
  <c r="T69" i="2"/>
  <c r="U69" i="2"/>
  <c r="V69" i="2"/>
  <c r="W69" i="2"/>
  <c r="Y69" i="2"/>
  <c r="Z69" i="2"/>
  <c r="AA69" i="2"/>
  <c r="AB69" i="2"/>
  <c r="AC69" i="2"/>
  <c r="AD69" i="2"/>
  <c r="AE69" i="2"/>
  <c r="AF69" i="2"/>
  <c r="AG69" i="2"/>
  <c r="AH69" i="2"/>
  <c r="AI69" i="2"/>
  <c r="AJ69" i="2"/>
  <c r="AK69" i="2"/>
  <c r="AL69" i="2"/>
  <c r="AM69" i="2"/>
  <c r="AN69" i="2"/>
  <c r="AO69" i="2"/>
  <c r="AP69" i="2"/>
  <c r="AQ69" i="2"/>
  <c r="AR69" i="2"/>
  <c r="AS69" i="2"/>
  <c r="AT69" i="2"/>
  <c r="AU69" i="2"/>
  <c r="AV69" i="2"/>
  <c r="AW69" i="2"/>
  <c r="AX69" i="2"/>
  <c r="AY69" i="2"/>
  <c r="AZ69" i="2"/>
  <c r="BA69" i="2"/>
  <c r="BB69" i="2"/>
  <c r="BC69" i="2"/>
  <c r="BD69" i="2"/>
  <c r="BE69" i="2"/>
  <c r="CO69" i="2"/>
  <c r="E70" i="2"/>
  <c r="CM70" i="2" s="1"/>
  <c r="F70" i="2"/>
  <c r="G70" i="2"/>
  <c r="H70" i="2"/>
  <c r="I70" i="2"/>
  <c r="J70" i="2"/>
  <c r="K70" i="2"/>
  <c r="L70" i="2"/>
  <c r="M70" i="2"/>
  <c r="N70" i="2"/>
  <c r="O70" i="2"/>
  <c r="P70" i="2"/>
  <c r="Q70" i="2"/>
  <c r="R70" i="2"/>
  <c r="S70" i="2"/>
  <c r="T70" i="2"/>
  <c r="U70" i="2"/>
  <c r="V70" i="2"/>
  <c r="W70" i="2"/>
  <c r="Y70" i="2"/>
  <c r="Z70" i="2"/>
  <c r="AA70" i="2"/>
  <c r="AB70" i="2"/>
  <c r="AC70" i="2"/>
  <c r="AD70" i="2"/>
  <c r="AE70" i="2"/>
  <c r="AF70" i="2"/>
  <c r="AG70" i="2"/>
  <c r="AH70" i="2"/>
  <c r="AI70" i="2"/>
  <c r="AJ70" i="2"/>
  <c r="AK70" i="2"/>
  <c r="AL70" i="2"/>
  <c r="AM70" i="2"/>
  <c r="AN70" i="2"/>
  <c r="AO70" i="2"/>
  <c r="AP70" i="2"/>
  <c r="AQ70" i="2"/>
  <c r="AR70" i="2"/>
  <c r="AS70" i="2"/>
  <c r="AT70" i="2"/>
  <c r="AU70" i="2"/>
  <c r="AV70" i="2"/>
  <c r="AW70" i="2"/>
  <c r="AX70" i="2"/>
  <c r="AY70" i="2"/>
  <c r="AZ70" i="2"/>
  <c r="BA70" i="2"/>
  <c r="BB70" i="2"/>
  <c r="BC70" i="2"/>
  <c r="BD70" i="2"/>
  <c r="BE70" i="2"/>
  <c r="CO70" i="2"/>
  <c r="E71" i="2"/>
  <c r="CM71" i="2" s="1"/>
  <c r="F71" i="2"/>
  <c r="G71" i="2"/>
  <c r="H71" i="2"/>
  <c r="I71" i="2"/>
  <c r="J71" i="2"/>
  <c r="K71" i="2"/>
  <c r="L71" i="2"/>
  <c r="M71" i="2"/>
  <c r="N71" i="2"/>
  <c r="O71" i="2"/>
  <c r="P71" i="2"/>
  <c r="Q71" i="2"/>
  <c r="R71" i="2"/>
  <c r="S71" i="2"/>
  <c r="T71" i="2"/>
  <c r="U71" i="2"/>
  <c r="V71" i="2"/>
  <c r="W71" i="2"/>
  <c r="Y71" i="2"/>
  <c r="Z71" i="2"/>
  <c r="AA71" i="2"/>
  <c r="AB71" i="2"/>
  <c r="AC71" i="2"/>
  <c r="AD71" i="2"/>
  <c r="AE71" i="2"/>
  <c r="AF71" i="2"/>
  <c r="AG71" i="2"/>
  <c r="AH71" i="2"/>
  <c r="AI71" i="2"/>
  <c r="AJ71" i="2"/>
  <c r="AK71" i="2"/>
  <c r="AL71" i="2"/>
  <c r="AM71" i="2"/>
  <c r="AN71" i="2"/>
  <c r="AO71" i="2"/>
  <c r="AP71" i="2"/>
  <c r="AQ71" i="2"/>
  <c r="AR71" i="2"/>
  <c r="AS71" i="2"/>
  <c r="AT71" i="2"/>
  <c r="AU71" i="2"/>
  <c r="AV71" i="2"/>
  <c r="AW71" i="2"/>
  <c r="AX71" i="2"/>
  <c r="AY71" i="2"/>
  <c r="AZ71" i="2"/>
  <c r="BA71" i="2"/>
  <c r="BB71" i="2"/>
  <c r="BC71" i="2"/>
  <c r="BD71" i="2"/>
  <c r="BE71" i="2"/>
  <c r="CO71" i="2"/>
  <c r="E72" i="2"/>
  <c r="CM72" i="2" s="1"/>
  <c r="F72" i="2"/>
  <c r="G72" i="2"/>
  <c r="H72" i="2"/>
  <c r="I72" i="2"/>
  <c r="J72" i="2"/>
  <c r="K72" i="2"/>
  <c r="L72" i="2"/>
  <c r="M72" i="2"/>
  <c r="N72" i="2"/>
  <c r="O72" i="2"/>
  <c r="P72" i="2"/>
  <c r="Q72" i="2"/>
  <c r="R72" i="2"/>
  <c r="S72" i="2"/>
  <c r="T72" i="2"/>
  <c r="U72" i="2"/>
  <c r="V72" i="2"/>
  <c r="W72" i="2"/>
  <c r="Y72" i="2"/>
  <c r="Z72" i="2"/>
  <c r="AA72" i="2"/>
  <c r="AB72" i="2"/>
  <c r="AC72" i="2"/>
  <c r="AD72" i="2"/>
  <c r="AE72" i="2"/>
  <c r="AF72" i="2"/>
  <c r="AG72" i="2"/>
  <c r="AH72" i="2"/>
  <c r="AI72" i="2"/>
  <c r="AJ72" i="2"/>
  <c r="AK72" i="2"/>
  <c r="AL72" i="2"/>
  <c r="AM72" i="2"/>
  <c r="AN72" i="2"/>
  <c r="AO72" i="2"/>
  <c r="AP72" i="2"/>
  <c r="AQ72" i="2"/>
  <c r="AR72" i="2"/>
  <c r="AS72" i="2"/>
  <c r="AT72" i="2"/>
  <c r="AU72" i="2"/>
  <c r="AV72" i="2"/>
  <c r="AW72" i="2"/>
  <c r="AX72" i="2"/>
  <c r="AY72" i="2"/>
  <c r="AZ72" i="2"/>
  <c r="BA72" i="2"/>
  <c r="BB72" i="2"/>
  <c r="BC72" i="2"/>
  <c r="BD72" i="2"/>
  <c r="BE72" i="2"/>
  <c r="CO72" i="2"/>
  <c r="E73" i="2"/>
  <c r="CM73" i="2" s="1"/>
  <c r="F73" i="2"/>
  <c r="G73" i="2"/>
  <c r="H73" i="2"/>
  <c r="I73" i="2"/>
  <c r="J73" i="2"/>
  <c r="K73" i="2"/>
  <c r="L73" i="2"/>
  <c r="M73" i="2"/>
  <c r="N73" i="2"/>
  <c r="O73" i="2"/>
  <c r="P73" i="2"/>
  <c r="Q73" i="2"/>
  <c r="R73" i="2"/>
  <c r="S73" i="2"/>
  <c r="T73" i="2"/>
  <c r="U73" i="2"/>
  <c r="V73" i="2"/>
  <c r="W73" i="2"/>
  <c r="Y73" i="2"/>
  <c r="Z73" i="2"/>
  <c r="AA73" i="2"/>
  <c r="AB73" i="2"/>
  <c r="AC73" i="2"/>
  <c r="AD73" i="2"/>
  <c r="AE73" i="2"/>
  <c r="AF73" i="2"/>
  <c r="AG73" i="2"/>
  <c r="AH73" i="2"/>
  <c r="AI73" i="2"/>
  <c r="AJ73" i="2"/>
  <c r="AK73" i="2"/>
  <c r="AL73" i="2"/>
  <c r="AM73" i="2"/>
  <c r="AN73" i="2"/>
  <c r="AO73" i="2"/>
  <c r="AP73" i="2"/>
  <c r="AQ73" i="2"/>
  <c r="AR73" i="2"/>
  <c r="AS73" i="2"/>
  <c r="AT73" i="2"/>
  <c r="AU73" i="2"/>
  <c r="AV73" i="2"/>
  <c r="AW73" i="2"/>
  <c r="AX73" i="2"/>
  <c r="AY73" i="2"/>
  <c r="AZ73" i="2"/>
  <c r="BA73" i="2"/>
  <c r="BB73" i="2"/>
  <c r="BC73" i="2"/>
  <c r="BD73" i="2"/>
  <c r="BE73" i="2"/>
  <c r="CO73" i="2"/>
  <c r="E74" i="2"/>
  <c r="CM74" i="2" s="1"/>
  <c r="F74" i="2"/>
  <c r="G74" i="2"/>
  <c r="H74" i="2"/>
  <c r="I74" i="2"/>
  <c r="J74" i="2"/>
  <c r="K74" i="2"/>
  <c r="L74" i="2"/>
  <c r="M74" i="2"/>
  <c r="N74" i="2"/>
  <c r="O74" i="2"/>
  <c r="P74" i="2"/>
  <c r="Q74" i="2"/>
  <c r="R74" i="2"/>
  <c r="S74" i="2"/>
  <c r="T74" i="2"/>
  <c r="U74" i="2"/>
  <c r="V74" i="2"/>
  <c r="W74" i="2"/>
  <c r="Y74" i="2"/>
  <c r="Z74" i="2"/>
  <c r="AA74" i="2"/>
  <c r="AB74" i="2"/>
  <c r="AC74" i="2"/>
  <c r="AD74" i="2"/>
  <c r="AE74" i="2"/>
  <c r="AF74" i="2"/>
  <c r="AG74" i="2"/>
  <c r="AH74" i="2"/>
  <c r="AI74" i="2"/>
  <c r="AJ74" i="2"/>
  <c r="AK74" i="2"/>
  <c r="AL74" i="2"/>
  <c r="AM74" i="2"/>
  <c r="AN74" i="2"/>
  <c r="AO74" i="2"/>
  <c r="AP74" i="2"/>
  <c r="AQ74" i="2"/>
  <c r="AR74" i="2"/>
  <c r="AS74" i="2"/>
  <c r="AT74" i="2"/>
  <c r="AU74" i="2"/>
  <c r="AV74" i="2"/>
  <c r="AW74" i="2"/>
  <c r="AX74" i="2"/>
  <c r="AY74" i="2"/>
  <c r="AZ74" i="2"/>
  <c r="BA74" i="2"/>
  <c r="BB74" i="2"/>
  <c r="BC74" i="2"/>
  <c r="BD74" i="2"/>
  <c r="BE74" i="2"/>
  <c r="CO74" i="2"/>
  <c r="E75" i="2"/>
  <c r="CM75" i="2" s="1"/>
  <c r="F75" i="2"/>
  <c r="G75" i="2"/>
  <c r="H75" i="2"/>
  <c r="I75" i="2"/>
  <c r="J75" i="2"/>
  <c r="K75" i="2"/>
  <c r="L75" i="2"/>
  <c r="M75" i="2"/>
  <c r="N75" i="2"/>
  <c r="O75" i="2"/>
  <c r="P75" i="2"/>
  <c r="Q75" i="2"/>
  <c r="R75" i="2"/>
  <c r="S75" i="2"/>
  <c r="T75" i="2"/>
  <c r="U75" i="2"/>
  <c r="V75" i="2"/>
  <c r="W75" i="2"/>
  <c r="Y75" i="2"/>
  <c r="Z75" i="2"/>
  <c r="AA75" i="2"/>
  <c r="AB75" i="2"/>
  <c r="AC75" i="2"/>
  <c r="AD75" i="2"/>
  <c r="AE75" i="2"/>
  <c r="AF75" i="2"/>
  <c r="AG75" i="2"/>
  <c r="AH75" i="2"/>
  <c r="AI75" i="2"/>
  <c r="AJ75" i="2"/>
  <c r="AK75" i="2"/>
  <c r="AL75" i="2"/>
  <c r="AM75" i="2"/>
  <c r="AN75" i="2"/>
  <c r="AO75" i="2"/>
  <c r="AP75" i="2"/>
  <c r="AQ75" i="2"/>
  <c r="AR75" i="2"/>
  <c r="AS75" i="2"/>
  <c r="AT75" i="2"/>
  <c r="AU75" i="2"/>
  <c r="AV75" i="2"/>
  <c r="AW75" i="2"/>
  <c r="AX75" i="2"/>
  <c r="AY75" i="2"/>
  <c r="AZ75" i="2"/>
  <c r="BA75" i="2"/>
  <c r="BB75" i="2"/>
  <c r="BC75" i="2"/>
  <c r="BD75" i="2"/>
  <c r="BE75" i="2"/>
  <c r="CO75" i="2"/>
  <c r="E76" i="2"/>
  <c r="CM76" i="2" s="1"/>
  <c r="F76" i="2"/>
  <c r="G76" i="2"/>
  <c r="H76" i="2"/>
  <c r="I76" i="2"/>
  <c r="J76" i="2"/>
  <c r="K76" i="2"/>
  <c r="L76" i="2"/>
  <c r="M76" i="2"/>
  <c r="N76" i="2"/>
  <c r="O76" i="2"/>
  <c r="P76" i="2"/>
  <c r="Q76" i="2"/>
  <c r="R76" i="2"/>
  <c r="S76" i="2"/>
  <c r="T76" i="2"/>
  <c r="U76" i="2"/>
  <c r="V76" i="2"/>
  <c r="W76" i="2"/>
  <c r="Y76" i="2"/>
  <c r="Z76" i="2"/>
  <c r="AA76" i="2"/>
  <c r="AB76" i="2"/>
  <c r="AC76" i="2"/>
  <c r="AD76" i="2"/>
  <c r="AE76" i="2"/>
  <c r="AF76" i="2"/>
  <c r="AG76" i="2"/>
  <c r="AH76" i="2"/>
  <c r="AI76" i="2"/>
  <c r="AJ76" i="2"/>
  <c r="AK76" i="2"/>
  <c r="AL76" i="2"/>
  <c r="AM76" i="2"/>
  <c r="AN76" i="2"/>
  <c r="AO76" i="2"/>
  <c r="AP76" i="2"/>
  <c r="AQ76" i="2"/>
  <c r="AR76" i="2"/>
  <c r="AS76" i="2"/>
  <c r="AT76" i="2"/>
  <c r="AU76" i="2"/>
  <c r="AV76" i="2"/>
  <c r="AW76" i="2"/>
  <c r="AX76" i="2"/>
  <c r="AY76" i="2"/>
  <c r="AZ76" i="2"/>
  <c r="BA76" i="2"/>
  <c r="BB76" i="2"/>
  <c r="BC76" i="2"/>
  <c r="BD76" i="2"/>
  <c r="BE76" i="2"/>
  <c r="CO76" i="2"/>
  <c r="E77" i="2"/>
  <c r="CM77" i="2" s="1"/>
  <c r="F77" i="2"/>
  <c r="G77" i="2"/>
  <c r="H77" i="2"/>
  <c r="I77" i="2"/>
  <c r="J77" i="2"/>
  <c r="K77" i="2"/>
  <c r="L77" i="2"/>
  <c r="M77" i="2"/>
  <c r="N77" i="2"/>
  <c r="O77" i="2"/>
  <c r="P77" i="2"/>
  <c r="Q77" i="2"/>
  <c r="R77" i="2"/>
  <c r="S77" i="2"/>
  <c r="T77" i="2"/>
  <c r="U77" i="2"/>
  <c r="V77" i="2"/>
  <c r="W77" i="2"/>
  <c r="Y77" i="2"/>
  <c r="Z77" i="2"/>
  <c r="AA77" i="2"/>
  <c r="AB77" i="2"/>
  <c r="AC77" i="2"/>
  <c r="AD77" i="2"/>
  <c r="AE77" i="2"/>
  <c r="AF77" i="2"/>
  <c r="AG77" i="2"/>
  <c r="AH77" i="2"/>
  <c r="AI77" i="2"/>
  <c r="AJ77" i="2"/>
  <c r="AK77" i="2"/>
  <c r="AL77" i="2"/>
  <c r="AM77" i="2"/>
  <c r="AN77" i="2"/>
  <c r="AO77" i="2"/>
  <c r="AP77" i="2"/>
  <c r="AQ77" i="2"/>
  <c r="AR77" i="2"/>
  <c r="AS77" i="2"/>
  <c r="AT77" i="2"/>
  <c r="AU77" i="2"/>
  <c r="AV77" i="2"/>
  <c r="AW77" i="2"/>
  <c r="AX77" i="2"/>
  <c r="AY77" i="2"/>
  <c r="AZ77" i="2"/>
  <c r="BA77" i="2"/>
  <c r="BB77" i="2"/>
  <c r="BC77" i="2"/>
  <c r="BD77" i="2"/>
  <c r="BE77" i="2"/>
  <c r="CO77" i="2"/>
  <c r="E78" i="2"/>
  <c r="F78" i="2"/>
  <c r="H78" i="2"/>
  <c r="I78" i="2"/>
  <c r="J78" i="2"/>
  <c r="K78" i="2"/>
  <c r="L78" i="2"/>
  <c r="M78" i="2"/>
  <c r="N78" i="2"/>
  <c r="O78" i="2"/>
  <c r="P78" i="2"/>
  <c r="Q78" i="2"/>
  <c r="R78" i="2"/>
  <c r="S78" i="2"/>
  <c r="T78" i="2"/>
  <c r="U78" i="2"/>
  <c r="V78" i="2"/>
  <c r="W78" i="2"/>
  <c r="Y78" i="2"/>
  <c r="Z78" i="2"/>
  <c r="AA78" i="2"/>
  <c r="AB78" i="2"/>
  <c r="AC78" i="2"/>
  <c r="AD78" i="2"/>
  <c r="AE78" i="2"/>
  <c r="AF78" i="2"/>
  <c r="AG78" i="2"/>
  <c r="AH78" i="2"/>
  <c r="AI78" i="2"/>
  <c r="AJ78" i="2"/>
  <c r="AK78" i="2"/>
  <c r="AL78" i="2"/>
  <c r="AM78" i="2"/>
  <c r="AN78" i="2"/>
  <c r="AO78" i="2"/>
  <c r="AP78" i="2"/>
  <c r="AQ78" i="2"/>
  <c r="AR78" i="2"/>
  <c r="AS78" i="2"/>
  <c r="AT78" i="2"/>
  <c r="AU78" i="2"/>
  <c r="AV78" i="2"/>
  <c r="AW78" i="2"/>
  <c r="AX78" i="2"/>
  <c r="AY78" i="2"/>
  <c r="AZ78" i="2"/>
  <c r="BA78" i="2"/>
  <c r="BB78" i="2"/>
  <c r="BC78" i="2"/>
  <c r="BD78" i="2"/>
  <c r="BE78" i="2"/>
  <c r="CO78" i="2"/>
  <c r="E79" i="2"/>
  <c r="F79" i="2"/>
  <c r="H79" i="2"/>
  <c r="I79" i="2"/>
  <c r="J79" i="2"/>
  <c r="K79" i="2"/>
  <c r="L79" i="2"/>
  <c r="M79" i="2"/>
  <c r="N79" i="2"/>
  <c r="O79" i="2"/>
  <c r="P79" i="2"/>
  <c r="Q79" i="2"/>
  <c r="R79" i="2"/>
  <c r="S79" i="2"/>
  <c r="T79" i="2"/>
  <c r="U79" i="2"/>
  <c r="V79" i="2"/>
  <c r="W79" i="2"/>
  <c r="Y79" i="2"/>
  <c r="Z79" i="2"/>
  <c r="AA79" i="2"/>
  <c r="AB79" i="2"/>
  <c r="AC79" i="2"/>
  <c r="AD79" i="2"/>
  <c r="AE79" i="2"/>
  <c r="AF79" i="2"/>
  <c r="AG79" i="2"/>
  <c r="AH79" i="2"/>
  <c r="AI79" i="2"/>
  <c r="AJ79" i="2"/>
  <c r="AK79" i="2"/>
  <c r="AL79" i="2"/>
  <c r="AM79" i="2"/>
  <c r="AN79" i="2"/>
  <c r="AO79" i="2"/>
  <c r="AP79" i="2"/>
  <c r="AQ79" i="2"/>
  <c r="AR79" i="2"/>
  <c r="AS79" i="2"/>
  <c r="AT79" i="2"/>
  <c r="AU79" i="2"/>
  <c r="AV79" i="2"/>
  <c r="AW79" i="2"/>
  <c r="AX79" i="2"/>
  <c r="AY79" i="2"/>
  <c r="AZ79" i="2"/>
  <c r="BA79" i="2"/>
  <c r="BB79" i="2"/>
  <c r="BC79" i="2"/>
  <c r="BD79" i="2"/>
  <c r="BE79" i="2"/>
  <c r="CO79" i="2"/>
  <c r="E80" i="2"/>
  <c r="F80" i="2"/>
  <c r="G80" i="2"/>
  <c r="H80" i="2"/>
  <c r="I80" i="2"/>
  <c r="J80" i="2"/>
  <c r="K80" i="2"/>
  <c r="L80" i="2"/>
  <c r="M80" i="2"/>
  <c r="N80" i="2"/>
  <c r="O80" i="2"/>
  <c r="P80" i="2"/>
  <c r="Q80" i="2"/>
  <c r="R80" i="2"/>
  <c r="S80" i="2"/>
  <c r="T80" i="2"/>
  <c r="U80" i="2"/>
  <c r="V80" i="2"/>
  <c r="W80" i="2"/>
  <c r="Y80" i="2"/>
  <c r="Z80" i="2"/>
  <c r="AA80" i="2"/>
  <c r="AB80" i="2"/>
  <c r="AC80" i="2"/>
  <c r="AD80" i="2"/>
  <c r="AE80" i="2"/>
  <c r="AF80" i="2"/>
  <c r="AG80" i="2"/>
  <c r="AH80" i="2"/>
  <c r="AI80" i="2"/>
  <c r="AJ80" i="2"/>
  <c r="AK80" i="2"/>
  <c r="AL80" i="2"/>
  <c r="AM80" i="2"/>
  <c r="AN80" i="2"/>
  <c r="AO80" i="2"/>
  <c r="AP80" i="2"/>
  <c r="AQ80" i="2"/>
  <c r="AR80" i="2"/>
  <c r="AS80" i="2"/>
  <c r="AT80" i="2"/>
  <c r="AU80" i="2"/>
  <c r="AV80" i="2"/>
  <c r="AW80" i="2"/>
  <c r="AX80" i="2"/>
  <c r="AY80" i="2"/>
  <c r="AZ80" i="2"/>
  <c r="BA80" i="2"/>
  <c r="BB80" i="2"/>
  <c r="BC80" i="2"/>
  <c r="BD80" i="2"/>
  <c r="BE80" i="2"/>
  <c r="CO80" i="2"/>
  <c r="E81" i="2"/>
  <c r="F81" i="2"/>
  <c r="G81" i="2"/>
  <c r="H81" i="2"/>
  <c r="I81" i="2"/>
  <c r="J81" i="2"/>
  <c r="K81" i="2"/>
  <c r="L81" i="2"/>
  <c r="M81" i="2"/>
  <c r="N81" i="2"/>
  <c r="O81" i="2"/>
  <c r="P81" i="2"/>
  <c r="Q81" i="2"/>
  <c r="R81" i="2"/>
  <c r="S81" i="2"/>
  <c r="T81" i="2"/>
  <c r="U81" i="2"/>
  <c r="V81" i="2"/>
  <c r="W81" i="2"/>
  <c r="Y81" i="2"/>
  <c r="Z81" i="2"/>
  <c r="AA81" i="2"/>
  <c r="AB81" i="2"/>
  <c r="AC81" i="2"/>
  <c r="AD81" i="2"/>
  <c r="AE81" i="2"/>
  <c r="AF81" i="2"/>
  <c r="AG81" i="2"/>
  <c r="AH81" i="2"/>
  <c r="AI81" i="2"/>
  <c r="AJ81" i="2"/>
  <c r="AK81" i="2"/>
  <c r="AL81" i="2"/>
  <c r="AM81" i="2"/>
  <c r="AN81" i="2"/>
  <c r="AO81" i="2"/>
  <c r="AP81" i="2"/>
  <c r="AQ81" i="2"/>
  <c r="AR81" i="2"/>
  <c r="AS81" i="2"/>
  <c r="AT81" i="2"/>
  <c r="AU81" i="2"/>
  <c r="AV81" i="2"/>
  <c r="AW81" i="2"/>
  <c r="AX81" i="2"/>
  <c r="AY81" i="2"/>
  <c r="AZ81" i="2"/>
  <c r="BA81" i="2"/>
  <c r="BB81" i="2"/>
  <c r="BC81" i="2"/>
  <c r="BD81" i="2"/>
  <c r="BE81" i="2"/>
  <c r="CO81" i="2"/>
  <c r="E82" i="2"/>
  <c r="F82" i="2"/>
  <c r="H82" i="2"/>
  <c r="I82" i="2"/>
  <c r="J82" i="2"/>
  <c r="K82" i="2"/>
  <c r="L82" i="2"/>
  <c r="M82" i="2"/>
  <c r="N82" i="2"/>
  <c r="O82" i="2"/>
  <c r="P82" i="2"/>
  <c r="Q82" i="2"/>
  <c r="R82" i="2"/>
  <c r="S82" i="2"/>
  <c r="T82" i="2"/>
  <c r="U82" i="2"/>
  <c r="V82" i="2"/>
  <c r="W82" i="2"/>
  <c r="Y82" i="2"/>
  <c r="Z82" i="2"/>
  <c r="AA82" i="2"/>
  <c r="AB82" i="2"/>
  <c r="AC82" i="2"/>
  <c r="AD82" i="2"/>
  <c r="AE82" i="2"/>
  <c r="AF82" i="2"/>
  <c r="AG82" i="2"/>
  <c r="AH82" i="2"/>
  <c r="AI82" i="2"/>
  <c r="AJ82" i="2"/>
  <c r="AK82" i="2"/>
  <c r="AL82" i="2"/>
  <c r="AM82" i="2"/>
  <c r="AN82" i="2"/>
  <c r="AO82" i="2"/>
  <c r="AP82" i="2"/>
  <c r="AQ82" i="2"/>
  <c r="AR82" i="2"/>
  <c r="AS82" i="2"/>
  <c r="AT82" i="2"/>
  <c r="AU82" i="2"/>
  <c r="AV82" i="2"/>
  <c r="AW82" i="2"/>
  <c r="AX82" i="2"/>
  <c r="AY82" i="2"/>
  <c r="AZ82" i="2"/>
  <c r="BA82" i="2"/>
  <c r="BB82" i="2"/>
  <c r="BC82" i="2"/>
  <c r="BD82" i="2"/>
  <c r="BE82" i="2"/>
  <c r="CO82" i="2"/>
  <c r="E83" i="2"/>
  <c r="F83" i="2"/>
  <c r="H83" i="2"/>
  <c r="I83" i="2"/>
  <c r="J83" i="2"/>
  <c r="K83" i="2"/>
  <c r="L83" i="2"/>
  <c r="M83" i="2"/>
  <c r="N83" i="2"/>
  <c r="O83" i="2"/>
  <c r="P83" i="2"/>
  <c r="Q83" i="2"/>
  <c r="R83" i="2"/>
  <c r="S83" i="2"/>
  <c r="T83" i="2"/>
  <c r="U83" i="2"/>
  <c r="V83" i="2"/>
  <c r="W83" i="2"/>
  <c r="Y83" i="2"/>
  <c r="Z83" i="2"/>
  <c r="AA83" i="2"/>
  <c r="AB83" i="2"/>
  <c r="AC83" i="2"/>
  <c r="AD83" i="2"/>
  <c r="AE83" i="2"/>
  <c r="AF83" i="2"/>
  <c r="AG83" i="2"/>
  <c r="AH83" i="2"/>
  <c r="AI83" i="2"/>
  <c r="AJ83" i="2"/>
  <c r="AK83" i="2"/>
  <c r="AL83" i="2"/>
  <c r="AM83" i="2"/>
  <c r="AN83" i="2"/>
  <c r="AO83" i="2"/>
  <c r="AP83" i="2"/>
  <c r="AQ83" i="2"/>
  <c r="AR83" i="2"/>
  <c r="AS83" i="2"/>
  <c r="AT83" i="2"/>
  <c r="AU83" i="2"/>
  <c r="AV83" i="2"/>
  <c r="AW83" i="2"/>
  <c r="AX83" i="2"/>
  <c r="AY83" i="2"/>
  <c r="AZ83" i="2"/>
  <c r="BA83" i="2"/>
  <c r="BB83" i="2"/>
  <c r="BC83" i="2"/>
  <c r="BD83" i="2"/>
  <c r="BE83" i="2"/>
  <c r="CO83" i="2"/>
  <c r="E84" i="2"/>
  <c r="F84" i="2"/>
  <c r="G84" i="2"/>
  <c r="H84" i="2"/>
  <c r="I84" i="2"/>
  <c r="J84" i="2"/>
  <c r="K84" i="2"/>
  <c r="L84" i="2"/>
  <c r="M84" i="2"/>
  <c r="N84" i="2"/>
  <c r="O84" i="2"/>
  <c r="P84" i="2"/>
  <c r="Q84" i="2"/>
  <c r="R84" i="2"/>
  <c r="S84" i="2"/>
  <c r="T84" i="2"/>
  <c r="U84" i="2"/>
  <c r="V84" i="2"/>
  <c r="W84" i="2"/>
  <c r="Y84" i="2"/>
  <c r="Z84" i="2"/>
  <c r="AA84" i="2"/>
  <c r="AB84" i="2"/>
  <c r="AC84" i="2"/>
  <c r="AD84" i="2"/>
  <c r="AE84" i="2"/>
  <c r="AF84" i="2"/>
  <c r="AG84" i="2"/>
  <c r="AH84" i="2"/>
  <c r="AI84" i="2"/>
  <c r="AJ84" i="2"/>
  <c r="AK84" i="2"/>
  <c r="AL84" i="2"/>
  <c r="AM84" i="2"/>
  <c r="AN84" i="2"/>
  <c r="AO84" i="2"/>
  <c r="AP84" i="2"/>
  <c r="AQ84" i="2"/>
  <c r="AR84" i="2"/>
  <c r="AS84" i="2"/>
  <c r="AT84" i="2"/>
  <c r="AU84" i="2"/>
  <c r="AV84" i="2"/>
  <c r="AW84" i="2"/>
  <c r="AX84" i="2"/>
  <c r="AY84" i="2"/>
  <c r="AZ84" i="2"/>
  <c r="BA84" i="2"/>
  <c r="BB84" i="2"/>
  <c r="BC84" i="2"/>
  <c r="BD84" i="2"/>
  <c r="BE84" i="2"/>
  <c r="CO84" i="2"/>
  <c r="E85" i="2"/>
  <c r="F85" i="2"/>
  <c r="H85" i="2"/>
  <c r="I85" i="2"/>
  <c r="J85" i="2"/>
  <c r="K85" i="2"/>
  <c r="L85" i="2"/>
  <c r="M85" i="2"/>
  <c r="N85" i="2"/>
  <c r="O85" i="2"/>
  <c r="P85" i="2"/>
  <c r="Q85" i="2"/>
  <c r="R85" i="2"/>
  <c r="S85" i="2"/>
  <c r="T85" i="2"/>
  <c r="U85" i="2"/>
  <c r="V85" i="2"/>
  <c r="W85" i="2"/>
  <c r="Y85" i="2"/>
  <c r="Z85" i="2"/>
  <c r="AA85" i="2"/>
  <c r="AB85" i="2"/>
  <c r="AC85" i="2"/>
  <c r="AD85" i="2"/>
  <c r="AE85" i="2"/>
  <c r="AF85" i="2"/>
  <c r="AG85" i="2"/>
  <c r="AH85" i="2"/>
  <c r="AI85" i="2"/>
  <c r="AJ85" i="2"/>
  <c r="AK85" i="2"/>
  <c r="AL85" i="2"/>
  <c r="AM85" i="2"/>
  <c r="AN85" i="2"/>
  <c r="AO85" i="2"/>
  <c r="AP85" i="2"/>
  <c r="AQ85" i="2"/>
  <c r="AR85" i="2"/>
  <c r="AS85" i="2"/>
  <c r="AT85" i="2"/>
  <c r="AU85" i="2"/>
  <c r="AV85" i="2"/>
  <c r="AW85" i="2"/>
  <c r="AX85" i="2"/>
  <c r="AY85" i="2"/>
  <c r="AZ85" i="2"/>
  <c r="BA85" i="2"/>
  <c r="BB85" i="2"/>
  <c r="BC85" i="2"/>
  <c r="BD85" i="2"/>
  <c r="BE85" i="2"/>
  <c r="CO85" i="2"/>
  <c r="E86" i="2"/>
  <c r="F86" i="2"/>
  <c r="H86" i="2"/>
  <c r="I86" i="2"/>
  <c r="J86" i="2"/>
  <c r="K86" i="2"/>
  <c r="L86" i="2"/>
  <c r="M86" i="2"/>
  <c r="N86" i="2"/>
  <c r="O86" i="2"/>
  <c r="P86" i="2"/>
  <c r="Q86" i="2"/>
  <c r="R86" i="2"/>
  <c r="S86" i="2"/>
  <c r="T86" i="2"/>
  <c r="U86" i="2"/>
  <c r="V86" i="2"/>
  <c r="W86" i="2"/>
  <c r="Y86" i="2"/>
  <c r="Z86" i="2"/>
  <c r="AA86" i="2"/>
  <c r="AB86" i="2"/>
  <c r="AC86" i="2"/>
  <c r="AD86" i="2"/>
  <c r="AE86" i="2"/>
  <c r="AF86" i="2"/>
  <c r="AG86" i="2"/>
  <c r="AH86" i="2"/>
  <c r="AI86" i="2"/>
  <c r="AJ86" i="2"/>
  <c r="AK86" i="2"/>
  <c r="AL86" i="2"/>
  <c r="AM86" i="2"/>
  <c r="AN86" i="2"/>
  <c r="AO86" i="2"/>
  <c r="AP86" i="2"/>
  <c r="AQ86" i="2"/>
  <c r="AR86" i="2"/>
  <c r="AS86" i="2"/>
  <c r="AT86" i="2"/>
  <c r="AU86" i="2"/>
  <c r="AV86" i="2"/>
  <c r="AW86" i="2"/>
  <c r="AX86" i="2"/>
  <c r="AY86" i="2"/>
  <c r="AZ86" i="2"/>
  <c r="BA86" i="2"/>
  <c r="BB86" i="2"/>
  <c r="BC86" i="2"/>
  <c r="BD86" i="2"/>
  <c r="BE86" i="2"/>
  <c r="CO86" i="2"/>
  <c r="E87" i="2"/>
  <c r="F87" i="2"/>
  <c r="H87" i="2"/>
  <c r="I87" i="2"/>
  <c r="J87" i="2"/>
  <c r="K87" i="2"/>
  <c r="L87" i="2"/>
  <c r="M87" i="2"/>
  <c r="N87" i="2"/>
  <c r="O87" i="2"/>
  <c r="P87" i="2"/>
  <c r="Q87" i="2"/>
  <c r="R87" i="2"/>
  <c r="S87" i="2"/>
  <c r="T87" i="2"/>
  <c r="U87" i="2"/>
  <c r="V87" i="2"/>
  <c r="W87" i="2"/>
  <c r="Y87" i="2"/>
  <c r="Z87" i="2"/>
  <c r="AA87" i="2"/>
  <c r="AB87" i="2"/>
  <c r="AC87" i="2"/>
  <c r="AD87" i="2"/>
  <c r="AE87" i="2"/>
  <c r="AF87" i="2"/>
  <c r="AG87" i="2"/>
  <c r="AH87" i="2"/>
  <c r="AI87" i="2"/>
  <c r="AJ87" i="2"/>
  <c r="AK87" i="2"/>
  <c r="AL87" i="2"/>
  <c r="AM87" i="2"/>
  <c r="AN87" i="2"/>
  <c r="AO87" i="2"/>
  <c r="AP87" i="2"/>
  <c r="AQ87" i="2"/>
  <c r="AR87" i="2"/>
  <c r="AS87" i="2"/>
  <c r="AT87" i="2"/>
  <c r="AU87" i="2"/>
  <c r="AV87" i="2"/>
  <c r="AW87" i="2"/>
  <c r="AX87" i="2"/>
  <c r="AY87" i="2"/>
  <c r="AZ87" i="2"/>
  <c r="BA87" i="2"/>
  <c r="BB87" i="2"/>
  <c r="BC87" i="2"/>
  <c r="BD87" i="2"/>
  <c r="BE87" i="2"/>
  <c r="CO87" i="2"/>
  <c r="E88" i="2"/>
  <c r="F88" i="2"/>
  <c r="H88" i="2"/>
  <c r="I88" i="2"/>
  <c r="J88" i="2"/>
  <c r="K88" i="2"/>
  <c r="L88" i="2"/>
  <c r="M88" i="2"/>
  <c r="N88" i="2"/>
  <c r="O88" i="2"/>
  <c r="P88" i="2"/>
  <c r="Q88" i="2"/>
  <c r="R88" i="2"/>
  <c r="S88" i="2"/>
  <c r="T88" i="2"/>
  <c r="U88" i="2"/>
  <c r="V88" i="2"/>
  <c r="W88" i="2"/>
  <c r="Y88" i="2"/>
  <c r="Z88" i="2"/>
  <c r="AA88" i="2"/>
  <c r="AB88" i="2"/>
  <c r="AC88" i="2"/>
  <c r="AD88" i="2"/>
  <c r="AE88" i="2"/>
  <c r="AF88" i="2"/>
  <c r="AG88" i="2"/>
  <c r="AH88" i="2"/>
  <c r="AI88" i="2"/>
  <c r="AJ88" i="2"/>
  <c r="AK88" i="2"/>
  <c r="AL88" i="2"/>
  <c r="AM88" i="2"/>
  <c r="AN88" i="2"/>
  <c r="AO88" i="2"/>
  <c r="AP88" i="2"/>
  <c r="AQ88" i="2"/>
  <c r="AR88" i="2"/>
  <c r="AS88" i="2"/>
  <c r="AT88" i="2"/>
  <c r="AU88" i="2"/>
  <c r="AV88" i="2"/>
  <c r="AW88" i="2"/>
  <c r="AX88" i="2"/>
  <c r="AY88" i="2"/>
  <c r="AZ88" i="2"/>
  <c r="BA88" i="2"/>
  <c r="BB88" i="2"/>
  <c r="BC88" i="2"/>
  <c r="BD88" i="2"/>
  <c r="BE88" i="2"/>
  <c r="CO88" i="2"/>
  <c r="E89" i="2"/>
  <c r="F89" i="2"/>
  <c r="H89" i="2"/>
  <c r="I89" i="2"/>
  <c r="J89" i="2"/>
  <c r="K89" i="2"/>
  <c r="L89" i="2"/>
  <c r="M89" i="2"/>
  <c r="N89" i="2"/>
  <c r="O89" i="2"/>
  <c r="P89" i="2"/>
  <c r="Q89" i="2"/>
  <c r="R89" i="2"/>
  <c r="S89" i="2"/>
  <c r="T89" i="2"/>
  <c r="U89" i="2"/>
  <c r="V89" i="2"/>
  <c r="W89" i="2"/>
  <c r="Y89" i="2"/>
  <c r="Z89" i="2"/>
  <c r="AA89" i="2"/>
  <c r="AB89" i="2"/>
  <c r="AC89" i="2"/>
  <c r="AD89" i="2"/>
  <c r="AE89" i="2"/>
  <c r="AF89" i="2"/>
  <c r="AG89" i="2"/>
  <c r="AH89" i="2"/>
  <c r="AI89" i="2"/>
  <c r="AJ89" i="2"/>
  <c r="AK89" i="2"/>
  <c r="AL89" i="2"/>
  <c r="AM89" i="2"/>
  <c r="AN89" i="2"/>
  <c r="AO89" i="2"/>
  <c r="AP89" i="2"/>
  <c r="AQ89" i="2"/>
  <c r="AR89" i="2"/>
  <c r="AS89" i="2"/>
  <c r="AT89" i="2"/>
  <c r="AU89" i="2"/>
  <c r="AV89" i="2"/>
  <c r="AW89" i="2"/>
  <c r="AX89" i="2"/>
  <c r="AY89" i="2"/>
  <c r="AZ89" i="2"/>
  <c r="BA89" i="2"/>
  <c r="BB89" i="2"/>
  <c r="BC89" i="2"/>
  <c r="BD89" i="2"/>
  <c r="BE89" i="2"/>
  <c r="CO89" i="2"/>
  <c r="E90" i="2"/>
  <c r="F90" i="2"/>
  <c r="H90" i="2"/>
  <c r="I90" i="2"/>
  <c r="J90" i="2"/>
  <c r="K90" i="2"/>
  <c r="L90" i="2"/>
  <c r="M90" i="2"/>
  <c r="N90" i="2"/>
  <c r="O90" i="2"/>
  <c r="P90" i="2"/>
  <c r="Q90" i="2"/>
  <c r="R90" i="2"/>
  <c r="S90" i="2"/>
  <c r="T90" i="2"/>
  <c r="U90" i="2"/>
  <c r="V90" i="2"/>
  <c r="W90" i="2"/>
  <c r="Y90" i="2"/>
  <c r="Z90" i="2"/>
  <c r="AA90" i="2"/>
  <c r="AB90" i="2"/>
  <c r="AC90" i="2"/>
  <c r="AD90" i="2"/>
  <c r="AE90" i="2"/>
  <c r="AF90" i="2"/>
  <c r="AG90" i="2"/>
  <c r="AH90" i="2"/>
  <c r="AI90" i="2"/>
  <c r="AJ90" i="2"/>
  <c r="AK90" i="2"/>
  <c r="AL90" i="2"/>
  <c r="AM90" i="2"/>
  <c r="AN90" i="2"/>
  <c r="AO90" i="2"/>
  <c r="AP90" i="2"/>
  <c r="AQ90" i="2"/>
  <c r="AR90" i="2"/>
  <c r="AS90" i="2"/>
  <c r="AT90" i="2"/>
  <c r="AU90" i="2"/>
  <c r="AV90" i="2"/>
  <c r="AW90" i="2"/>
  <c r="AX90" i="2"/>
  <c r="AY90" i="2"/>
  <c r="AZ90" i="2"/>
  <c r="BA90" i="2"/>
  <c r="BB90" i="2"/>
  <c r="BC90" i="2"/>
  <c r="BD90" i="2"/>
  <c r="BE90" i="2"/>
  <c r="CO90" i="2"/>
  <c r="E91" i="2"/>
  <c r="F91" i="2"/>
  <c r="H91" i="2"/>
  <c r="I91" i="2"/>
  <c r="J91" i="2"/>
  <c r="K91" i="2"/>
  <c r="L91" i="2"/>
  <c r="M91" i="2"/>
  <c r="N91" i="2"/>
  <c r="O91" i="2"/>
  <c r="P91" i="2"/>
  <c r="Q91" i="2"/>
  <c r="R91" i="2"/>
  <c r="S91" i="2"/>
  <c r="T91" i="2"/>
  <c r="U91" i="2"/>
  <c r="V91" i="2"/>
  <c r="W91" i="2"/>
  <c r="Y91" i="2"/>
  <c r="Z91" i="2"/>
  <c r="AA91" i="2"/>
  <c r="AB91" i="2"/>
  <c r="AC91" i="2"/>
  <c r="AD91" i="2"/>
  <c r="AE91" i="2"/>
  <c r="AF91" i="2"/>
  <c r="AG91" i="2"/>
  <c r="AH91" i="2"/>
  <c r="AI91" i="2"/>
  <c r="AJ91" i="2"/>
  <c r="AK91" i="2"/>
  <c r="AL91" i="2"/>
  <c r="AM91" i="2"/>
  <c r="AN91" i="2"/>
  <c r="AO91" i="2"/>
  <c r="AP91" i="2"/>
  <c r="AQ91" i="2"/>
  <c r="AR91" i="2"/>
  <c r="AS91" i="2"/>
  <c r="AT91" i="2"/>
  <c r="AU91" i="2"/>
  <c r="AV91" i="2"/>
  <c r="AW91" i="2"/>
  <c r="AX91" i="2"/>
  <c r="AY91" i="2"/>
  <c r="AZ91" i="2"/>
  <c r="BA91" i="2"/>
  <c r="BB91" i="2"/>
  <c r="BC91" i="2"/>
  <c r="BD91" i="2"/>
  <c r="BE91" i="2"/>
  <c r="CO91" i="2"/>
  <c r="E92" i="2"/>
  <c r="F92" i="2"/>
  <c r="H92" i="2"/>
  <c r="I92" i="2"/>
  <c r="J92" i="2"/>
  <c r="K92" i="2"/>
  <c r="L92" i="2"/>
  <c r="M92" i="2"/>
  <c r="N92" i="2"/>
  <c r="O92" i="2"/>
  <c r="P92" i="2"/>
  <c r="Q92" i="2"/>
  <c r="R92" i="2"/>
  <c r="S92" i="2"/>
  <c r="T92" i="2"/>
  <c r="U92" i="2"/>
  <c r="V92" i="2"/>
  <c r="W92" i="2"/>
  <c r="Y92" i="2"/>
  <c r="Z92" i="2"/>
  <c r="AA92" i="2"/>
  <c r="AB92" i="2"/>
  <c r="AC92" i="2"/>
  <c r="AD92" i="2"/>
  <c r="AE92" i="2"/>
  <c r="AF92" i="2"/>
  <c r="AG92" i="2"/>
  <c r="AH92" i="2"/>
  <c r="AI92" i="2"/>
  <c r="AJ92" i="2"/>
  <c r="AK92" i="2"/>
  <c r="AL92" i="2"/>
  <c r="AM92" i="2"/>
  <c r="AN92" i="2"/>
  <c r="AO92" i="2"/>
  <c r="AP92" i="2"/>
  <c r="AQ92" i="2"/>
  <c r="AR92" i="2"/>
  <c r="AS92" i="2"/>
  <c r="AT92" i="2"/>
  <c r="AU92" i="2"/>
  <c r="AV92" i="2"/>
  <c r="AW92" i="2"/>
  <c r="AX92" i="2"/>
  <c r="AY92" i="2"/>
  <c r="AZ92" i="2"/>
  <c r="BA92" i="2"/>
  <c r="BB92" i="2"/>
  <c r="BC92" i="2"/>
  <c r="BD92" i="2"/>
  <c r="BE92" i="2"/>
  <c r="CO92" i="2"/>
  <c r="E93" i="2"/>
  <c r="F93" i="2"/>
  <c r="H93" i="2"/>
  <c r="I93" i="2"/>
  <c r="J93" i="2"/>
  <c r="K93" i="2"/>
  <c r="L93" i="2"/>
  <c r="M93" i="2"/>
  <c r="N93" i="2"/>
  <c r="O93" i="2"/>
  <c r="P93" i="2"/>
  <c r="Q93" i="2"/>
  <c r="R93" i="2"/>
  <c r="S93" i="2"/>
  <c r="T93" i="2"/>
  <c r="U93" i="2"/>
  <c r="V93" i="2"/>
  <c r="W93" i="2"/>
  <c r="Y93" i="2"/>
  <c r="Z93" i="2"/>
  <c r="AA93" i="2"/>
  <c r="AB93" i="2"/>
  <c r="AC93" i="2"/>
  <c r="AD93" i="2"/>
  <c r="AE93" i="2"/>
  <c r="AF93" i="2"/>
  <c r="AG93" i="2"/>
  <c r="AH93" i="2"/>
  <c r="AI93" i="2"/>
  <c r="AJ93" i="2"/>
  <c r="AK93" i="2"/>
  <c r="AL93" i="2"/>
  <c r="AM93" i="2"/>
  <c r="AN93" i="2"/>
  <c r="AO93" i="2"/>
  <c r="AP93" i="2"/>
  <c r="AQ93" i="2"/>
  <c r="AR93" i="2"/>
  <c r="AS93" i="2"/>
  <c r="AT93" i="2"/>
  <c r="AU93" i="2"/>
  <c r="AV93" i="2"/>
  <c r="AW93" i="2"/>
  <c r="AX93" i="2"/>
  <c r="AY93" i="2"/>
  <c r="AZ93" i="2"/>
  <c r="BA93" i="2"/>
  <c r="BB93" i="2"/>
  <c r="BC93" i="2"/>
  <c r="BD93" i="2"/>
  <c r="BE93" i="2"/>
  <c r="CO93" i="2"/>
  <c r="E94" i="2"/>
  <c r="F94" i="2"/>
  <c r="H94" i="2"/>
  <c r="I94" i="2"/>
  <c r="J94" i="2"/>
  <c r="K94" i="2"/>
  <c r="L94" i="2"/>
  <c r="M94" i="2"/>
  <c r="N94" i="2"/>
  <c r="O94" i="2"/>
  <c r="P94" i="2"/>
  <c r="Q94" i="2"/>
  <c r="R94" i="2"/>
  <c r="S94" i="2"/>
  <c r="T94" i="2"/>
  <c r="U94" i="2"/>
  <c r="V94" i="2"/>
  <c r="W94" i="2"/>
  <c r="Y94" i="2"/>
  <c r="Z94" i="2"/>
  <c r="AA94" i="2"/>
  <c r="AB94" i="2"/>
  <c r="AC94" i="2"/>
  <c r="AD94" i="2"/>
  <c r="AE94" i="2"/>
  <c r="AF94" i="2"/>
  <c r="AG94" i="2"/>
  <c r="AH94" i="2"/>
  <c r="AI94" i="2"/>
  <c r="AJ94" i="2"/>
  <c r="AK94" i="2"/>
  <c r="AL94" i="2"/>
  <c r="AM94" i="2"/>
  <c r="AN94" i="2"/>
  <c r="AO94" i="2"/>
  <c r="AP94" i="2"/>
  <c r="AQ94" i="2"/>
  <c r="AR94" i="2"/>
  <c r="AS94" i="2"/>
  <c r="AT94" i="2"/>
  <c r="AU94" i="2"/>
  <c r="AV94" i="2"/>
  <c r="AW94" i="2"/>
  <c r="AX94" i="2"/>
  <c r="AY94" i="2"/>
  <c r="AZ94" i="2"/>
  <c r="BA94" i="2"/>
  <c r="BB94" i="2"/>
  <c r="BC94" i="2"/>
  <c r="BD94" i="2"/>
  <c r="BE94" i="2"/>
  <c r="CO94" i="2"/>
  <c r="E95" i="2"/>
  <c r="F95" i="2"/>
  <c r="H95" i="2"/>
  <c r="I95" i="2"/>
  <c r="J95" i="2"/>
  <c r="K95" i="2"/>
  <c r="L95" i="2"/>
  <c r="M95" i="2"/>
  <c r="N95" i="2"/>
  <c r="O95" i="2"/>
  <c r="P95" i="2"/>
  <c r="Q95" i="2"/>
  <c r="R95" i="2"/>
  <c r="S95" i="2"/>
  <c r="T95" i="2"/>
  <c r="U95" i="2"/>
  <c r="V95" i="2"/>
  <c r="W95" i="2"/>
  <c r="Y95" i="2"/>
  <c r="Z95" i="2"/>
  <c r="AA95" i="2"/>
  <c r="AB95" i="2"/>
  <c r="AC95" i="2"/>
  <c r="AD95" i="2"/>
  <c r="AE95" i="2"/>
  <c r="AF95" i="2"/>
  <c r="AG95" i="2"/>
  <c r="AH95" i="2"/>
  <c r="AI95" i="2"/>
  <c r="AJ95" i="2"/>
  <c r="AK95" i="2"/>
  <c r="AL95" i="2"/>
  <c r="AM95" i="2"/>
  <c r="AN95" i="2"/>
  <c r="AO95" i="2"/>
  <c r="AP95" i="2"/>
  <c r="AQ95" i="2"/>
  <c r="AR95" i="2"/>
  <c r="AS95" i="2"/>
  <c r="AT95" i="2"/>
  <c r="AU95" i="2"/>
  <c r="AV95" i="2"/>
  <c r="AW95" i="2"/>
  <c r="AX95" i="2"/>
  <c r="AY95" i="2"/>
  <c r="AZ95" i="2"/>
  <c r="BA95" i="2"/>
  <c r="BB95" i="2"/>
  <c r="BC95" i="2"/>
  <c r="BD95" i="2"/>
  <c r="BE95" i="2"/>
  <c r="CO95" i="2"/>
  <c r="E96" i="2"/>
  <c r="F96" i="2"/>
  <c r="H96" i="2"/>
  <c r="I96" i="2"/>
  <c r="J96" i="2"/>
  <c r="K96" i="2"/>
  <c r="L96" i="2"/>
  <c r="M96" i="2"/>
  <c r="N96" i="2"/>
  <c r="O96" i="2"/>
  <c r="P96" i="2"/>
  <c r="Q96" i="2"/>
  <c r="R96" i="2"/>
  <c r="S96" i="2"/>
  <c r="T96" i="2"/>
  <c r="U96" i="2"/>
  <c r="V96" i="2"/>
  <c r="W96" i="2"/>
  <c r="Y96" i="2"/>
  <c r="Z96" i="2"/>
  <c r="AA96" i="2"/>
  <c r="AB96" i="2"/>
  <c r="AC96" i="2"/>
  <c r="AD96" i="2"/>
  <c r="AE96" i="2"/>
  <c r="AF96" i="2"/>
  <c r="AG96" i="2"/>
  <c r="AH96" i="2"/>
  <c r="AI96" i="2"/>
  <c r="AJ96" i="2"/>
  <c r="AK96" i="2"/>
  <c r="AL96" i="2"/>
  <c r="AM96" i="2"/>
  <c r="AN96" i="2"/>
  <c r="AO96" i="2"/>
  <c r="AP96" i="2"/>
  <c r="AQ96" i="2"/>
  <c r="AR96" i="2"/>
  <c r="AS96" i="2"/>
  <c r="AT96" i="2"/>
  <c r="AU96" i="2"/>
  <c r="AV96" i="2"/>
  <c r="AW96" i="2"/>
  <c r="AX96" i="2"/>
  <c r="AY96" i="2"/>
  <c r="AZ96" i="2"/>
  <c r="BA96" i="2"/>
  <c r="BB96" i="2"/>
  <c r="BC96" i="2"/>
  <c r="BD96" i="2"/>
  <c r="BE96" i="2"/>
  <c r="CO96" i="2"/>
  <c r="E97" i="2"/>
  <c r="F97" i="2"/>
  <c r="H97" i="2"/>
  <c r="I97" i="2"/>
  <c r="J97" i="2"/>
  <c r="K97" i="2"/>
  <c r="L97" i="2"/>
  <c r="M97" i="2"/>
  <c r="N97" i="2"/>
  <c r="O97" i="2"/>
  <c r="P97" i="2"/>
  <c r="Q97" i="2"/>
  <c r="R97" i="2"/>
  <c r="S97" i="2"/>
  <c r="T97" i="2"/>
  <c r="U97" i="2"/>
  <c r="V97" i="2"/>
  <c r="W97" i="2"/>
  <c r="Y97" i="2"/>
  <c r="Z97" i="2"/>
  <c r="AA97" i="2"/>
  <c r="AB97" i="2"/>
  <c r="AC97" i="2"/>
  <c r="AD97" i="2"/>
  <c r="AE97" i="2"/>
  <c r="AF97" i="2"/>
  <c r="AG97" i="2"/>
  <c r="AH97" i="2"/>
  <c r="AI97" i="2"/>
  <c r="AJ97" i="2"/>
  <c r="AK97" i="2"/>
  <c r="AL97" i="2"/>
  <c r="AM97" i="2"/>
  <c r="AN97" i="2"/>
  <c r="AO97" i="2"/>
  <c r="AP97" i="2"/>
  <c r="AQ97" i="2"/>
  <c r="AR97" i="2"/>
  <c r="AS97" i="2"/>
  <c r="AT97" i="2"/>
  <c r="AU97" i="2"/>
  <c r="AV97" i="2"/>
  <c r="AW97" i="2"/>
  <c r="AX97" i="2"/>
  <c r="AY97" i="2"/>
  <c r="AZ97" i="2"/>
  <c r="BA97" i="2"/>
  <c r="BB97" i="2"/>
  <c r="BC97" i="2"/>
  <c r="BD97" i="2"/>
  <c r="BE97" i="2"/>
  <c r="CO97" i="2"/>
  <c r="E98" i="2"/>
  <c r="CM98" i="2" s="1"/>
  <c r="F98" i="2"/>
  <c r="H98" i="2"/>
  <c r="I98" i="2"/>
  <c r="J98" i="2"/>
  <c r="K98" i="2"/>
  <c r="L98" i="2"/>
  <c r="M98" i="2"/>
  <c r="N98" i="2"/>
  <c r="O98" i="2"/>
  <c r="P98" i="2"/>
  <c r="Q98" i="2"/>
  <c r="R98" i="2"/>
  <c r="S98" i="2"/>
  <c r="T98" i="2"/>
  <c r="U98" i="2"/>
  <c r="V98" i="2"/>
  <c r="W98" i="2"/>
  <c r="Y98" i="2"/>
  <c r="Z98" i="2"/>
  <c r="AA98" i="2"/>
  <c r="AB98" i="2"/>
  <c r="AC98" i="2"/>
  <c r="AD98" i="2"/>
  <c r="AE98" i="2"/>
  <c r="AF98" i="2"/>
  <c r="AG98" i="2"/>
  <c r="AH98" i="2"/>
  <c r="AI98" i="2"/>
  <c r="AJ98" i="2"/>
  <c r="AK98" i="2"/>
  <c r="AL98" i="2"/>
  <c r="AM98" i="2"/>
  <c r="AN98" i="2"/>
  <c r="AO98" i="2"/>
  <c r="AP98" i="2"/>
  <c r="AQ98" i="2"/>
  <c r="AR98" i="2"/>
  <c r="AS98" i="2"/>
  <c r="AT98" i="2"/>
  <c r="AU98" i="2"/>
  <c r="AV98" i="2"/>
  <c r="AW98" i="2"/>
  <c r="AX98" i="2"/>
  <c r="AY98" i="2"/>
  <c r="AZ98" i="2"/>
  <c r="BA98" i="2"/>
  <c r="BB98" i="2"/>
  <c r="BC98" i="2"/>
  <c r="BD98" i="2"/>
  <c r="BE98" i="2"/>
  <c r="CO98" i="2"/>
  <c r="E99" i="2"/>
  <c r="CM99" i="2" s="1"/>
  <c r="F99" i="2"/>
  <c r="H99" i="2"/>
  <c r="I99" i="2"/>
  <c r="J99" i="2"/>
  <c r="K99" i="2"/>
  <c r="L99" i="2"/>
  <c r="M99" i="2"/>
  <c r="N99" i="2"/>
  <c r="O99" i="2"/>
  <c r="P99" i="2"/>
  <c r="Q99" i="2"/>
  <c r="R99" i="2"/>
  <c r="S99" i="2"/>
  <c r="T99" i="2"/>
  <c r="U99" i="2"/>
  <c r="V99" i="2"/>
  <c r="W99" i="2"/>
  <c r="Y99" i="2"/>
  <c r="Z99" i="2"/>
  <c r="AA99" i="2"/>
  <c r="AB99" i="2"/>
  <c r="AC99" i="2"/>
  <c r="AD99" i="2"/>
  <c r="AE99" i="2"/>
  <c r="AF99" i="2"/>
  <c r="AG99" i="2"/>
  <c r="AH99" i="2"/>
  <c r="AI99" i="2"/>
  <c r="AJ99" i="2"/>
  <c r="AK99" i="2"/>
  <c r="AL99" i="2"/>
  <c r="AM99" i="2"/>
  <c r="AN99" i="2"/>
  <c r="AO99" i="2"/>
  <c r="AP99" i="2"/>
  <c r="AQ99" i="2"/>
  <c r="AR99" i="2"/>
  <c r="AS99" i="2"/>
  <c r="AT99" i="2"/>
  <c r="AU99" i="2"/>
  <c r="AV99" i="2"/>
  <c r="AW99" i="2"/>
  <c r="AX99" i="2"/>
  <c r="AY99" i="2"/>
  <c r="AZ99" i="2"/>
  <c r="BA99" i="2"/>
  <c r="BB99" i="2"/>
  <c r="BC99" i="2"/>
  <c r="BD99" i="2"/>
  <c r="BE99" i="2"/>
  <c r="CO99" i="2"/>
  <c r="E100" i="2"/>
  <c r="CM100" i="2" s="1"/>
  <c r="F100" i="2"/>
  <c r="H100" i="2"/>
  <c r="I100" i="2"/>
  <c r="J100" i="2"/>
  <c r="K100" i="2"/>
  <c r="L100" i="2"/>
  <c r="M100" i="2"/>
  <c r="N100" i="2"/>
  <c r="O100" i="2"/>
  <c r="P100" i="2"/>
  <c r="Q100" i="2"/>
  <c r="R100" i="2"/>
  <c r="S100" i="2"/>
  <c r="T100" i="2"/>
  <c r="U100" i="2"/>
  <c r="V100" i="2"/>
  <c r="W100" i="2"/>
  <c r="Y100" i="2"/>
  <c r="Z100" i="2"/>
  <c r="AA100" i="2"/>
  <c r="AB100" i="2"/>
  <c r="AC100" i="2"/>
  <c r="AD100" i="2"/>
  <c r="AE100" i="2"/>
  <c r="AF100" i="2"/>
  <c r="AG100" i="2"/>
  <c r="AH100" i="2"/>
  <c r="AI100" i="2"/>
  <c r="AJ100" i="2"/>
  <c r="AK100" i="2"/>
  <c r="AL100" i="2"/>
  <c r="AM100" i="2"/>
  <c r="AN100" i="2"/>
  <c r="AO100" i="2"/>
  <c r="AP100" i="2"/>
  <c r="AQ100" i="2"/>
  <c r="AR100" i="2"/>
  <c r="AS100" i="2"/>
  <c r="AT100" i="2"/>
  <c r="AU100" i="2"/>
  <c r="AV100" i="2"/>
  <c r="AW100" i="2"/>
  <c r="AX100" i="2"/>
  <c r="AY100" i="2"/>
  <c r="AZ100" i="2"/>
  <c r="BA100" i="2"/>
  <c r="BB100" i="2"/>
  <c r="BC100" i="2"/>
  <c r="BD100" i="2"/>
  <c r="BE100" i="2"/>
  <c r="CO100" i="2"/>
  <c r="E101" i="2"/>
  <c r="CM101" i="2" s="1"/>
  <c r="F101" i="2"/>
  <c r="H101" i="2"/>
  <c r="I101" i="2"/>
  <c r="J101" i="2"/>
  <c r="K101" i="2"/>
  <c r="L101" i="2"/>
  <c r="M101" i="2"/>
  <c r="N101" i="2"/>
  <c r="O101" i="2"/>
  <c r="P101" i="2"/>
  <c r="Q101" i="2"/>
  <c r="R101" i="2"/>
  <c r="S101" i="2"/>
  <c r="T101" i="2"/>
  <c r="U101" i="2"/>
  <c r="V101" i="2"/>
  <c r="W101" i="2"/>
  <c r="Y101" i="2"/>
  <c r="Z101" i="2"/>
  <c r="AA101" i="2"/>
  <c r="AB101" i="2"/>
  <c r="AC101" i="2"/>
  <c r="AD101" i="2"/>
  <c r="AE101" i="2"/>
  <c r="AF101" i="2"/>
  <c r="AG101" i="2"/>
  <c r="AH101" i="2"/>
  <c r="AI101" i="2"/>
  <c r="AJ101" i="2"/>
  <c r="AK101" i="2"/>
  <c r="AL101" i="2"/>
  <c r="AM101" i="2"/>
  <c r="AN101" i="2"/>
  <c r="AO101" i="2"/>
  <c r="AP101" i="2"/>
  <c r="AQ101" i="2"/>
  <c r="AR101" i="2"/>
  <c r="AS101" i="2"/>
  <c r="AT101" i="2"/>
  <c r="AU101" i="2"/>
  <c r="AV101" i="2"/>
  <c r="AW101" i="2"/>
  <c r="AX101" i="2"/>
  <c r="AY101" i="2"/>
  <c r="AZ101" i="2"/>
  <c r="BA101" i="2"/>
  <c r="BB101" i="2"/>
  <c r="BC101" i="2"/>
  <c r="BD101" i="2"/>
  <c r="BE101" i="2"/>
  <c r="CO101" i="2"/>
  <c r="E102" i="2"/>
  <c r="F102" i="2"/>
  <c r="G102" i="2"/>
  <c r="H102" i="2"/>
  <c r="I102" i="2"/>
  <c r="J102" i="2"/>
  <c r="K102" i="2"/>
  <c r="L102" i="2"/>
  <c r="M102" i="2"/>
  <c r="N102" i="2"/>
  <c r="O102" i="2"/>
  <c r="P102" i="2"/>
  <c r="Q102" i="2"/>
  <c r="R102" i="2"/>
  <c r="S102" i="2"/>
  <c r="T102" i="2"/>
  <c r="U102" i="2"/>
  <c r="V102" i="2"/>
  <c r="W102" i="2"/>
  <c r="Y102" i="2"/>
  <c r="Z102" i="2"/>
  <c r="AA102" i="2"/>
  <c r="AB102" i="2"/>
  <c r="AC102" i="2"/>
  <c r="AD102" i="2"/>
  <c r="AE102" i="2"/>
  <c r="AF102" i="2"/>
  <c r="AG102" i="2"/>
  <c r="AH102" i="2"/>
  <c r="AI102" i="2"/>
  <c r="AJ102" i="2"/>
  <c r="AK102" i="2"/>
  <c r="AL102" i="2"/>
  <c r="AM102" i="2"/>
  <c r="AN102" i="2"/>
  <c r="AO102" i="2"/>
  <c r="AP102" i="2"/>
  <c r="AQ102" i="2"/>
  <c r="AR102" i="2"/>
  <c r="AS102" i="2"/>
  <c r="AT102" i="2"/>
  <c r="AU102" i="2"/>
  <c r="AV102" i="2"/>
  <c r="AW102" i="2"/>
  <c r="AX102" i="2"/>
  <c r="AY102" i="2"/>
  <c r="AZ102" i="2"/>
  <c r="BA102" i="2"/>
  <c r="BB102" i="2"/>
  <c r="BC102" i="2"/>
  <c r="BD102" i="2"/>
  <c r="BE102" i="2"/>
  <c r="CO102" i="2"/>
  <c r="E103" i="2"/>
  <c r="F103" i="2"/>
  <c r="G103" i="2"/>
  <c r="H103" i="2"/>
  <c r="I103" i="2"/>
  <c r="J103" i="2"/>
  <c r="K103" i="2"/>
  <c r="L103" i="2"/>
  <c r="M103" i="2"/>
  <c r="N103" i="2"/>
  <c r="O103" i="2"/>
  <c r="P103" i="2"/>
  <c r="Q103" i="2"/>
  <c r="R103" i="2"/>
  <c r="S103" i="2"/>
  <c r="T103" i="2"/>
  <c r="U103" i="2"/>
  <c r="V103" i="2"/>
  <c r="W103" i="2"/>
  <c r="Y103" i="2"/>
  <c r="Z103" i="2"/>
  <c r="AA103" i="2"/>
  <c r="AB103" i="2"/>
  <c r="AC103" i="2"/>
  <c r="AD103" i="2"/>
  <c r="AE103" i="2"/>
  <c r="AF103" i="2"/>
  <c r="AG103" i="2"/>
  <c r="AH103" i="2"/>
  <c r="AI103" i="2"/>
  <c r="AJ103" i="2"/>
  <c r="AK103" i="2"/>
  <c r="AL103" i="2"/>
  <c r="AM103" i="2"/>
  <c r="AN103" i="2"/>
  <c r="AO103" i="2"/>
  <c r="AP103" i="2"/>
  <c r="AQ103" i="2"/>
  <c r="AR103" i="2"/>
  <c r="AS103" i="2"/>
  <c r="AT103" i="2"/>
  <c r="AU103" i="2"/>
  <c r="AV103" i="2"/>
  <c r="AW103" i="2"/>
  <c r="AX103" i="2"/>
  <c r="AY103" i="2"/>
  <c r="AZ103" i="2"/>
  <c r="BA103" i="2"/>
  <c r="BB103" i="2"/>
  <c r="BC103" i="2"/>
  <c r="BD103" i="2"/>
  <c r="BE103" i="2"/>
  <c r="CO103" i="2"/>
  <c r="E104" i="2"/>
  <c r="CM104" i="2" s="1"/>
  <c r="F104" i="2"/>
  <c r="G104" i="2"/>
  <c r="H104" i="2"/>
  <c r="I104" i="2"/>
  <c r="J104" i="2"/>
  <c r="K104" i="2"/>
  <c r="L104" i="2"/>
  <c r="M104" i="2"/>
  <c r="N104" i="2"/>
  <c r="O104" i="2"/>
  <c r="P104" i="2"/>
  <c r="Q104" i="2"/>
  <c r="R104" i="2"/>
  <c r="S104" i="2"/>
  <c r="T104" i="2"/>
  <c r="U104" i="2"/>
  <c r="V104" i="2"/>
  <c r="W104" i="2"/>
  <c r="Y104" i="2"/>
  <c r="Z104" i="2"/>
  <c r="AA104" i="2"/>
  <c r="AB104" i="2"/>
  <c r="AC104" i="2"/>
  <c r="AD104" i="2"/>
  <c r="AE104" i="2"/>
  <c r="AF104" i="2"/>
  <c r="AG104" i="2"/>
  <c r="AH104" i="2"/>
  <c r="AI104" i="2"/>
  <c r="AJ104" i="2"/>
  <c r="AK104" i="2"/>
  <c r="AL104" i="2"/>
  <c r="AM104" i="2"/>
  <c r="AN104" i="2"/>
  <c r="AO104" i="2"/>
  <c r="AP104" i="2"/>
  <c r="AQ104" i="2"/>
  <c r="AR104" i="2"/>
  <c r="AS104" i="2"/>
  <c r="AT104" i="2"/>
  <c r="AU104" i="2"/>
  <c r="AV104" i="2"/>
  <c r="AW104" i="2"/>
  <c r="AX104" i="2"/>
  <c r="AY104" i="2"/>
  <c r="AZ104" i="2"/>
  <c r="BA104" i="2"/>
  <c r="BB104" i="2"/>
  <c r="BC104" i="2"/>
  <c r="BD104" i="2"/>
  <c r="BE104" i="2"/>
  <c r="CO104" i="2"/>
  <c r="E105" i="2"/>
  <c r="CM105" i="2" s="1"/>
  <c r="F105" i="2"/>
  <c r="G105" i="2"/>
  <c r="H105" i="2"/>
  <c r="I105" i="2"/>
  <c r="J105" i="2"/>
  <c r="K105" i="2"/>
  <c r="L105" i="2"/>
  <c r="M105" i="2"/>
  <c r="N105" i="2"/>
  <c r="O105" i="2"/>
  <c r="P105" i="2"/>
  <c r="Q105" i="2"/>
  <c r="R105" i="2"/>
  <c r="S105" i="2"/>
  <c r="T105" i="2"/>
  <c r="U105" i="2"/>
  <c r="V105" i="2"/>
  <c r="W105" i="2"/>
  <c r="Y105" i="2"/>
  <c r="Z105" i="2"/>
  <c r="AA105" i="2"/>
  <c r="AB105" i="2"/>
  <c r="AC105" i="2"/>
  <c r="AD105" i="2"/>
  <c r="AE105" i="2"/>
  <c r="AF105" i="2"/>
  <c r="AG105" i="2"/>
  <c r="AH105" i="2"/>
  <c r="AI105" i="2"/>
  <c r="AJ105" i="2"/>
  <c r="AK105" i="2"/>
  <c r="AL105" i="2"/>
  <c r="AM105" i="2"/>
  <c r="AN105" i="2"/>
  <c r="AO105" i="2"/>
  <c r="AP105" i="2"/>
  <c r="AQ105" i="2"/>
  <c r="AR105" i="2"/>
  <c r="AS105" i="2"/>
  <c r="AT105" i="2"/>
  <c r="AU105" i="2"/>
  <c r="AV105" i="2"/>
  <c r="AW105" i="2"/>
  <c r="AX105" i="2"/>
  <c r="AY105" i="2"/>
  <c r="AZ105" i="2"/>
  <c r="BA105" i="2"/>
  <c r="BB105" i="2"/>
  <c r="BC105" i="2"/>
  <c r="BD105" i="2"/>
  <c r="BE105" i="2"/>
  <c r="CO105" i="2"/>
  <c r="E106" i="2"/>
  <c r="CM106" i="2" s="1"/>
  <c r="F106" i="2"/>
  <c r="G106" i="2"/>
  <c r="H106" i="2"/>
  <c r="I106" i="2"/>
  <c r="J106" i="2"/>
  <c r="K106" i="2"/>
  <c r="L106" i="2"/>
  <c r="N106" i="2"/>
  <c r="O106" i="2"/>
  <c r="P106" i="2"/>
  <c r="Q106" i="2"/>
  <c r="R106" i="2"/>
  <c r="S106" i="2"/>
  <c r="T106" i="2"/>
  <c r="U106" i="2"/>
  <c r="V106" i="2"/>
  <c r="W106" i="2"/>
  <c r="Y106" i="2"/>
  <c r="Z106" i="2"/>
  <c r="AA106" i="2"/>
  <c r="AB106" i="2"/>
  <c r="AC106" i="2"/>
  <c r="AD106" i="2"/>
  <c r="AE106" i="2"/>
  <c r="AF106" i="2"/>
  <c r="AG106" i="2"/>
  <c r="AH106" i="2"/>
  <c r="AI106" i="2"/>
  <c r="AJ106" i="2"/>
  <c r="AK106" i="2"/>
  <c r="AL106" i="2"/>
  <c r="AM106" i="2"/>
  <c r="AN106" i="2"/>
  <c r="AO106" i="2"/>
  <c r="AP106" i="2"/>
  <c r="AQ106" i="2"/>
  <c r="AR106" i="2"/>
  <c r="AS106" i="2"/>
  <c r="AT106" i="2"/>
  <c r="AU106" i="2"/>
  <c r="AV106" i="2"/>
  <c r="AW106" i="2"/>
  <c r="AX106" i="2"/>
  <c r="AY106" i="2"/>
  <c r="AZ106" i="2"/>
  <c r="BA106" i="2"/>
  <c r="BB106" i="2"/>
  <c r="BC106" i="2"/>
  <c r="BD106" i="2"/>
  <c r="BE106" i="2"/>
  <c r="CO106" i="2"/>
  <c r="E107" i="2"/>
  <c r="CM107" i="2" s="1"/>
  <c r="F107" i="2"/>
  <c r="G107" i="2"/>
  <c r="H107" i="2"/>
  <c r="I107" i="2"/>
  <c r="J107" i="2"/>
  <c r="K107" i="2"/>
  <c r="L107" i="2"/>
  <c r="M107" i="2"/>
  <c r="N107" i="2"/>
  <c r="O107" i="2"/>
  <c r="P107" i="2"/>
  <c r="Q107" i="2"/>
  <c r="R107" i="2"/>
  <c r="S107" i="2"/>
  <c r="T107" i="2"/>
  <c r="U107" i="2"/>
  <c r="V107" i="2"/>
  <c r="W107" i="2"/>
  <c r="Y107" i="2"/>
  <c r="Z107" i="2"/>
  <c r="AA107" i="2"/>
  <c r="AB107" i="2"/>
  <c r="AC107" i="2"/>
  <c r="AD107" i="2"/>
  <c r="AE107" i="2"/>
  <c r="AF107" i="2"/>
  <c r="AG107" i="2"/>
  <c r="AH107" i="2"/>
  <c r="AI107" i="2"/>
  <c r="AJ107" i="2"/>
  <c r="AK107" i="2"/>
  <c r="AL107" i="2"/>
  <c r="AM107" i="2"/>
  <c r="AN107" i="2"/>
  <c r="AO107" i="2"/>
  <c r="AP107" i="2"/>
  <c r="AQ107" i="2"/>
  <c r="AR107" i="2"/>
  <c r="AS107" i="2"/>
  <c r="AT107" i="2"/>
  <c r="AU107" i="2"/>
  <c r="AV107" i="2"/>
  <c r="AW107" i="2"/>
  <c r="AX107" i="2"/>
  <c r="AY107" i="2"/>
  <c r="AZ107" i="2"/>
  <c r="BA107" i="2"/>
  <c r="BB107" i="2"/>
  <c r="BC107" i="2"/>
  <c r="BD107" i="2"/>
  <c r="BE107" i="2"/>
  <c r="CO107" i="2"/>
  <c r="E108" i="2"/>
  <c r="CM108" i="2" s="1"/>
  <c r="F108" i="2"/>
  <c r="G108" i="2"/>
  <c r="H108" i="2"/>
  <c r="I108" i="2"/>
  <c r="J108" i="2"/>
  <c r="K108" i="2"/>
  <c r="L108" i="2"/>
  <c r="M108" i="2"/>
  <c r="N108" i="2"/>
  <c r="O108" i="2"/>
  <c r="P108" i="2"/>
  <c r="Q108" i="2"/>
  <c r="R108" i="2"/>
  <c r="S108" i="2"/>
  <c r="T108" i="2"/>
  <c r="U108" i="2"/>
  <c r="V108" i="2"/>
  <c r="W108" i="2"/>
  <c r="Y108" i="2"/>
  <c r="Z108" i="2"/>
  <c r="AA108" i="2"/>
  <c r="AB108" i="2"/>
  <c r="AC108" i="2"/>
  <c r="AD108" i="2"/>
  <c r="AE108" i="2"/>
  <c r="AF108" i="2"/>
  <c r="AG108" i="2"/>
  <c r="AH108" i="2"/>
  <c r="AI108" i="2"/>
  <c r="AJ108" i="2"/>
  <c r="AK108" i="2"/>
  <c r="AL108" i="2"/>
  <c r="AM108" i="2"/>
  <c r="AN108" i="2"/>
  <c r="AO108" i="2"/>
  <c r="AP108" i="2"/>
  <c r="AQ108" i="2"/>
  <c r="AR108" i="2"/>
  <c r="AS108" i="2"/>
  <c r="AT108" i="2"/>
  <c r="AU108" i="2"/>
  <c r="AV108" i="2"/>
  <c r="AW108" i="2"/>
  <c r="AX108" i="2"/>
  <c r="AY108" i="2"/>
  <c r="AZ108" i="2"/>
  <c r="BA108" i="2"/>
  <c r="BB108" i="2"/>
  <c r="BC108" i="2"/>
  <c r="BD108" i="2"/>
  <c r="BE108" i="2"/>
  <c r="CO108" i="2"/>
  <c r="E109" i="2"/>
  <c r="CM109" i="2" s="1"/>
  <c r="F109" i="2"/>
  <c r="G109" i="2"/>
  <c r="H109" i="2"/>
  <c r="I109" i="2"/>
  <c r="J109" i="2"/>
  <c r="K109" i="2"/>
  <c r="L109" i="2"/>
  <c r="M109" i="2"/>
  <c r="N109" i="2"/>
  <c r="O109" i="2"/>
  <c r="P109" i="2"/>
  <c r="Q109" i="2"/>
  <c r="R109" i="2"/>
  <c r="S109" i="2"/>
  <c r="T109" i="2"/>
  <c r="U109" i="2"/>
  <c r="V109" i="2"/>
  <c r="W109" i="2"/>
  <c r="Y109" i="2"/>
  <c r="Z109" i="2"/>
  <c r="AA109" i="2"/>
  <c r="AB109" i="2"/>
  <c r="AC109" i="2"/>
  <c r="AD109" i="2"/>
  <c r="AE109" i="2"/>
  <c r="AF109" i="2"/>
  <c r="AG109" i="2"/>
  <c r="AH109" i="2"/>
  <c r="AI109" i="2"/>
  <c r="AJ109" i="2"/>
  <c r="AK109" i="2"/>
  <c r="AL109" i="2"/>
  <c r="AM109" i="2"/>
  <c r="AN109" i="2"/>
  <c r="AO109" i="2"/>
  <c r="AP109" i="2"/>
  <c r="AQ109" i="2"/>
  <c r="AR109" i="2"/>
  <c r="AS109" i="2"/>
  <c r="AT109" i="2"/>
  <c r="AU109" i="2"/>
  <c r="AV109" i="2"/>
  <c r="AW109" i="2"/>
  <c r="AX109" i="2"/>
  <c r="AY109" i="2"/>
  <c r="AZ109" i="2"/>
  <c r="BA109" i="2"/>
  <c r="BB109" i="2"/>
  <c r="BC109" i="2"/>
  <c r="BD109" i="2"/>
  <c r="BE109" i="2"/>
  <c r="CO109" i="2"/>
  <c r="E110" i="2"/>
  <c r="CM110" i="2" s="1"/>
  <c r="F110" i="2"/>
  <c r="G110" i="2"/>
  <c r="H110" i="2"/>
  <c r="I110" i="2"/>
  <c r="J110" i="2"/>
  <c r="K110" i="2"/>
  <c r="L110" i="2"/>
  <c r="M110" i="2"/>
  <c r="N110" i="2"/>
  <c r="O110" i="2"/>
  <c r="P110" i="2"/>
  <c r="Q110" i="2"/>
  <c r="R110" i="2"/>
  <c r="S110" i="2"/>
  <c r="T110" i="2"/>
  <c r="U110" i="2"/>
  <c r="V110" i="2"/>
  <c r="W110" i="2"/>
  <c r="Y110" i="2"/>
  <c r="Z110" i="2"/>
  <c r="AA110" i="2"/>
  <c r="AB110" i="2"/>
  <c r="AC110" i="2"/>
  <c r="AD110" i="2"/>
  <c r="AE110" i="2"/>
  <c r="AF110" i="2"/>
  <c r="AG110" i="2"/>
  <c r="AH110" i="2"/>
  <c r="AI110" i="2"/>
  <c r="AJ110" i="2"/>
  <c r="AK110" i="2"/>
  <c r="AL110" i="2"/>
  <c r="AM110" i="2"/>
  <c r="AN110" i="2"/>
  <c r="AO110" i="2"/>
  <c r="AP110" i="2"/>
  <c r="AQ110" i="2"/>
  <c r="AR110" i="2"/>
  <c r="AS110" i="2"/>
  <c r="AT110" i="2"/>
  <c r="AU110" i="2"/>
  <c r="AV110" i="2"/>
  <c r="AW110" i="2"/>
  <c r="AX110" i="2"/>
  <c r="AY110" i="2"/>
  <c r="AZ110" i="2"/>
  <c r="BA110" i="2"/>
  <c r="BB110" i="2"/>
  <c r="BC110" i="2"/>
  <c r="BD110" i="2"/>
  <c r="BE110" i="2"/>
  <c r="CO110" i="2"/>
  <c r="E111" i="2"/>
  <c r="CM111" i="2" s="1"/>
  <c r="F111" i="2"/>
  <c r="G111" i="2"/>
  <c r="H111" i="2"/>
  <c r="I111" i="2"/>
  <c r="J111" i="2"/>
  <c r="K111" i="2"/>
  <c r="L111" i="2"/>
  <c r="M111" i="2"/>
  <c r="N111" i="2"/>
  <c r="O111" i="2"/>
  <c r="P111" i="2"/>
  <c r="Q111" i="2"/>
  <c r="R111" i="2"/>
  <c r="S111" i="2"/>
  <c r="T111" i="2"/>
  <c r="U111" i="2"/>
  <c r="V111" i="2"/>
  <c r="W111" i="2"/>
  <c r="Y111" i="2"/>
  <c r="Z111" i="2"/>
  <c r="AA111" i="2"/>
  <c r="AB111" i="2"/>
  <c r="AC111" i="2"/>
  <c r="AD111" i="2"/>
  <c r="AE111" i="2"/>
  <c r="AF111" i="2"/>
  <c r="AG111" i="2"/>
  <c r="AH111" i="2"/>
  <c r="AI111" i="2"/>
  <c r="AJ111" i="2"/>
  <c r="AK111" i="2"/>
  <c r="AL111" i="2"/>
  <c r="AM111" i="2"/>
  <c r="AN111" i="2"/>
  <c r="AO111" i="2"/>
  <c r="AP111" i="2"/>
  <c r="AQ111" i="2"/>
  <c r="AR111" i="2"/>
  <c r="AS111" i="2"/>
  <c r="AT111" i="2"/>
  <c r="AU111" i="2"/>
  <c r="AV111" i="2"/>
  <c r="AW111" i="2"/>
  <c r="AX111" i="2"/>
  <c r="AY111" i="2"/>
  <c r="AZ111" i="2"/>
  <c r="BA111" i="2"/>
  <c r="BB111" i="2"/>
  <c r="BC111" i="2"/>
  <c r="BD111" i="2"/>
  <c r="BE111" i="2"/>
  <c r="CO111" i="2"/>
  <c r="E112" i="2"/>
  <c r="CM112" i="2" s="1"/>
  <c r="F112" i="2"/>
  <c r="G112" i="2"/>
  <c r="H112" i="2"/>
  <c r="I112" i="2"/>
  <c r="J112" i="2"/>
  <c r="K112" i="2"/>
  <c r="L112" i="2"/>
  <c r="M112" i="2"/>
  <c r="N112" i="2"/>
  <c r="O112" i="2"/>
  <c r="P112" i="2"/>
  <c r="Q112" i="2"/>
  <c r="R112" i="2"/>
  <c r="S112" i="2"/>
  <c r="T112" i="2"/>
  <c r="U112" i="2"/>
  <c r="V112" i="2"/>
  <c r="W112" i="2"/>
  <c r="Y112" i="2"/>
  <c r="Z112" i="2"/>
  <c r="AA112" i="2"/>
  <c r="AB112" i="2"/>
  <c r="AC112" i="2"/>
  <c r="AD112" i="2"/>
  <c r="AE112" i="2"/>
  <c r="AF112" i="2"/>
  <c r="AG112" i="2"/>
  <c r="AH112" i="2"/>
  <c r="AI112" i="2"/>
  <c r="AJ112" i="2"/>
  <c r="AK112" i="2"/>
  <c r="AL112" i="2"/>
  <c r="AM112" i="2"/>
  <c r="AN112" i="2"/>
  <c r="AO112" i="2"/>
  <c r="AP112" i="2"/>
  <c r="AQ112" i="2"/>
  <c r="AR112" i="2"/>
  <c r="AS112" i="2"/>
  <c r="AT112" i="2"/>
  <c r="AU112" i="2"/>
  <c r="AV112" i="2"/>
  <c r="AW112" i="2"/>
  <c r="AX112" i="2"/>
  <c r="AY112" i="2"/>
  <c r="AZ112" i="2"/>
  <c r="BA112" i="2"/>
  <c r="BB112" i="2"/>
  <c r="BC112" i="2"/>
  <c r="BD112" i="2"/>
  <c r="BE112" i="2"/>
  <c r="CO112" i="2"/>
  <c r="E113" i="2"/>
  <c r="CM113" i="2" s="1"/>
  <c r="F113" i="2"/>
  <c r="G113" i="2"/>
  <c r="H113" i="2"/>
  <c r="I113" i="2"/>
  <c r="J113" i="2"/>
  <c r="K113" i="2"/>
  <c r="L113" i="2"/>
  <c r="M113" i="2"/>
  <c r="N113" i="2"/>
  <c r="O113" i="2"/>
  <c r="P113" i="2"/>
  <c r="Q113" i="2"/>
  <c r="R113" i="2"/>
  <c r="S113" i="2"/>
  <c r="T113" i="2"/>
  <c r="U113" i="2"/>
  <c r="V113" i="2"/>
  <c r="W113" i="2"/>
  <c r="Y113" i="2"/>
  <c r="Z113" i="2"/>
  <c r="AA113" i="2"/>
  <c r="AB113" i="2"/>
  <c r="AC113" i="2"/>
  <c r="AD113" i="2"/>
  <c r="AE113" i="2"/>
  <c r="AF113" i="2"/>
  <c r="AG113" i="2"/>
  <c r="AH113" i="2"/>
  <c r="AI113" i="2"/>
  <c r="AJ113" i="2"/>
  <c r="AK113" i="2"/>
  <c r="AL113" i="2"/>
  <c r="AM113" i="2"/>
  <c r="AN113" i="2"/>
  <c r="AO113" i="2"/>
  <c r="AP113" i="2"/>
  <c r="AQ113" i="2"/>
  <c r="AR113" i="2"/>
  <c r="AS113" i="2"/>
  <c r="AT113" i="2"/>
  <c r="AU113" i="2"/>
  <c r="AV113" i="2"/>
  <c r="AW113" i="2"/>
  <c r="AX113" i="2"/>
  <c r="AY113" i="2"/>
  <c r="AZ113" i="2"/>
  <c r="BA113" i="2"/>
  <c r="BB113" i="2"/>
  <c r="BC113" i="2"/>
  <c r="BD113" i="2"/>
  <c r="BE113" i="2"/>
  <c r="CO113" i="2"/>
  <c r="E114" i="2"/>
  <c r="CM114" i="2" s="1"/>
  <c r="F114" i="2"/>
  <c r="G114" i="2"/>
  <c r="H114" i="2"/>
  <c r="I114" i="2"/>
  <c r="J114" i="2"/>
  <c r="K114" i="2"/>
  <c r="L114" i="2"/>
  <c r="M114" i="2"/>
  <c r="N114" i="2"/>
  <c r="O114" i="2"/>
  <c r="P114" i="2"/>
  <c r="Q114" i="2"/>
  <c r="R114" i="2"/>
  <c r="S114" i="2"/>
  <c r="T114" i="2"/>
  <c r="U114" i="2"/>
  <c r="V114" i="2"/>
  <c r="W114" i="2"/>
  <c r="Y114" i="2"/>
  <c r="Z114" i="2"/>
  <c r="AA114" i="2"/>
  <c r="AB114" i="2"/>
  <c r="AC114" i="2"/>
  <c r="AD114" i="2"/>
  <c r="AE114" i="2"/>
  <c r="AF114" i="2"/>
  <c r="AG114" i="2"/>
  <c r="AH114" i="2"/>
  <c r="AI114" i="2"/>
  <c r="AJ114" i="2"/>
  <c r="AK114" i="2"/>
  <c r="AL114" i="2"/>
  <c r="AM114" i="2"/>
  <c r="AN114" i="2"/>
  <c r="AO114" i="2"/>
  <c r="AP114" i="2"/>
  <c r="AQ114" i="2"/>
  <c r="AR114" i="2"/>
  <c r="AS114" i="2"/>
  <c r="AT114" i="2"/>
  <c r="AU114" i="2"/>
  <c r="AV114" i="2"/>
  <c r="AW114" i="2"/>
  <c r="AX114" i="2"/>
  <c r="AY114" i="2"/>
  <c r="AZ114" i="2"/>
  <c r="BA114" i="2"/>
  <c r="BB114" i="2"/>
  <c r="BC114" i="2"/>
  <c r="BD114" i="2"/>
  <c r="BE114" i="2"/>
  <c r="CO114" i="2"/>
  <c r="E115" i="2"/>
  <c r="CM115" i="2" s="1"/>
  <c r="F115" i="2"/>
  <c r="G115" i="2"/>
  <c r="H115" i="2"/>
  <c r="I115" i="2"/>
  <c r="J115" i="2"/>
  <c r="K115" i="2"/>
  <c r="L115" i="2"/>
  <c r="M115" i="2"/>
  <c r="N115" i="2"/>
  <c r="O115" i="2"/>
  <c r="P115" i="2"/>
  <c r="Q115" i="2"/>
  <c r="R115" i="2"/>
  <c r="S115" i="2"/>
  <c r="T115" i="2"/>
  <c r="U115" i="2"/>
  <c r="V115" i="2"/>
  <c r="W115" i="2"/>
  <c r="Y115" i="2"/>
  <c r="Z115" i="2"/>
  <c r="AA115" i="2"/>
  <c r="AB115" i="2"/>
  <c r="AC115" i="2"/>
  <c r="AD115" i="2"/>
  <c r="AE115" i="2"/>
  <c r="AF115" i="2"/>
  <c r="AG115" i="2"/>
  <c r="AH115" i="2"/>
  <c r="AI115" i="2"/>
  <c r="AJ115" i="2"/>
  <c r="AK115" i="2"/>
  <c r="AL115" i="2"/>
  <c r="AM115" i="2"/>
  <c r="AN115" i="2"/>
  <c r="AO115" i="2"/>
  <c r="AP115" i="2"/>
  <c r="AQ115" i="2"/>
  <c r="AR115" i="2"/>
  <c r="AS115" i="2"/>
  <c r="AT115" i="2"/>
  <c r="AU115" i="2"/>
  <c r="AV115" i="2"/>
  <c r="AW115" i="2"/>
  <c r="AX115" i="2"/>
  <c r="AY115" i="2"/>
  <c r="AZ115" i="2"/>
  <c r="BA115" i="2"/>
  <c r="BB115" i="2"/>
  <c r="BC115" i="2"/>
  <c r="BD115" i="2"/>
  <c r="BE115" i="2"/>
  <c r="CO115" i="2"/>
  <c r="E116" i="2"/>
  <c r="CM116" i="2" s="1"/>
  <c r="F116" i="2"/>
  <c r="G116" i="2"/>
  <c r="H116" i="2"/>
  <c r="I116" i="2"/>
  <c r="J116" i="2"/>
  <c r="K116" i="2"/>
  <c r="L116" i="2"/>
  <c r="M116" i="2"/>
  <c r="N116" i="2"/>
  <c r="O116" i="2"/>
  <c r="P116" i="2"/>
  <c r="Q116" i="2"/>
  <c r="R116" i="2"/>
  <c r="S116" i="2"/>
  <c r="T116" i="2"/>
  <c r="U116" i="2"/>
  <c r="V116" i="2"/>
  <c r="W116" i="2"/>
  <c r="Y116" i="2"/>
  <c r="Z116" i="2"/>
  <c r="AA116" i="2"/>
  <c r="AB116" i="2"/>
  <c r="AC116" i="2"/>
  <c r="AD116" i="2"/>
  <c r="AE116" i="2"/>
  <c r="AF116" i="2"/>
  <c r="AG116" i="2"/>
  <c r="AH116" i="2"/>
  <c r="AI116" i="2"/>
  <c r="AJ116" i="2"/>
  <c r="AK116" i="2"/>
  <c r="AL116" i="2"/>
  <c r="AM116" i="2"/>
  <c r="AN116" i="2"/>
  <c r="AO116" i="2"/>
  <c r="AP116" i="2"/>
  <c r="AQ116" i="2"/>
  <c r="AR116" i="2"/>
  <c r="AS116" i="2"/>
  <c r="AT116" i="2"/>
  <c r="AU116" i="2"/>
  <c r="AV116" i="2"/>
  <c r="AW116" i="2"/>
  <c r="AX116" i="2"/>
  <c r="AY116" i="2"/>
  <c r="AZ116" i="2"/>
  <c r="BA116" i="2"/>
  <c r="BB116" i="2"/>
  <c r="BC116" i="2"/>
  <c r="BD116" i="2"/>
  <c r="BE116" i="2"/>
  <c r="CO116" i="2"/>
  <c r="E117" i="2"/>
  <c r="CM117" i="2" s="1"/>
  <c r="F117" i="2"/>
  <c r="G117" i="2"/>
  <c r="H117" i="2"/>
  <c r="I117" i="2"/>
  <c r="J117" i="2"/>
  <c r="K117" i="2"/>
  <c r="L117" i="2"/>
  <c r="M117" i="2"/>
  <c r="N117" i="2"/>
  <c r="O117" i="2"/>
  <c r="P117" i="2"/>
  <c r="Q117" i="2"/>
  <c r="R117" i="2"/>
  <c r="S117" i="2"/>
  <c r="T117" i="2"/>
  <c r="U117" i="2"/>
  <c r="V117" i="2"/>
  <c r="W117" i="2"/>
  <c r="Y117" i="2"/>
  <c r="Z117" i="2"/>
  <c r="AA117" i="2"/>
  <c r="AB117" i="2"/>
  <c r="AC117" i="2"/>
  <c r="AD117" i="2"/>
  <c r="AE117" i="2"/>
  <c r="AF117" i="2"/>
  <c r="AG117" i="2"/>
  <c r="AH117" i="2"/>
  <c r="AI117" i="2"/>
  <c r="AJ117" i="2"/>
  <c r="AK117" i="2"/>
  <c r="AL117" i="2"/>
  <c r="AM117" i="2"/>
  <c r="AN117" i="2"/>
  <c r="AO117" i="2"/>
  <c r="AP117" i="2"/>
  <c r="AQ117" i="2"/>
  <c r="AR117" i="2"/>
  <c r="AS117" i="2"/>
  <c r="AT117" i="2"/>
  <c r="AU117" i="2"/>
  <c r="AV117" i="2"/>
  <c r="AW117" i="2"/>
  <c r="AX117" i="2"/>
  <c r="AY117" i="2"/>
  <c r="AZ117" i="2"/>
  <c r="BA117" i="2"/>
  <c r="BB117" i="2"/>
  <c r="BC117" i="2"/>
  <c r="BD117" i="2"/>
  <c r="BE117" i="2"/>
  <c r="CO117" i="2"/>
  <c r="E118" i="2"/>
  <c r="CM118" i="2" s="1"/>
  <c r="F118" i="2"/>
  <c r="G118" i="2"/>
  <c r="H118" i="2"/>
  <c r="I118" i="2"/>
  <c r="J118" i="2"/>
  <c r="K118" i="2"/>
  <c r="L118" i="2"/>
  <c r="M118" i="2"/>
  <c r="N118" i="2"/>
  <c r="O118" i="2"/>
  <c r="P118" i="2"/>
  <c r="Q118" i="2"/>
  <c r="R118" i="2"/>
  <c r="S118" i="2"/>
  <c r="T118" i="2"/>
  <c r="U118" i="2"/>
  <c r="V118" i="2"/>
  <c r="W118" i="2"/>
  <c r="Y118" i="2"/>
  <c r="Z118" i="2"/>
  <c r="AA118" i="2"/>
  <c r="AB118" i="2"/>
  <c r="AC118" i="2"/>
  <c r="AD118" i="2"/>
  <c r="AE118" i="2"/>
  <c r="AF118" i="2"/>
  <c r="AG118" i="2"/>
  <c r="AH118" i="2"/>
  <c r="AI118" i="2"/>
  <c r="AJ118" i="2"/>
  <c r="AK118" i="2"/>
  <c r="AL118" i="2"/>
  <c r="AM118" i="2"/>
  <c r="AN118" i="2"/>
  <c r="AO118" i="2"/>
  <c r="AP118" i="2"/>
  <c r="AQ118" i="2"/>
  <c r="AR118" i="2"/>
  <c r="AS118" i="2"/>
  <c r="AT118" i="2"/>
  <c r="AU118" i="2"/>
  <c r="AV118" i="2"/>
  <c r="AW118" i="2"/>
  <c r="AX118" i="2"/>
  <c r="AY118" i="2"/>
  <c r="AZ118" i="2"/>
  <c r="BA118" i="2"/>
  <c r="BB118" i="2"/>
  <c r="BC118" i="2"/>
  <c r="BD118" i="2"/>
  <c r="BE118" i="2"/>
  <c r="CO118" i="2"/>
  <c r="E119" i="2"/>
  <c r="CM119" i="2" s="1"/>
  <c r="F119" i="2"/>
  <c r="G119" i="2"/>
  <c r="H119" i="2"/>
  <c r="I119" i="2"/>
  <c r="J119" i="2"/>
  <c r="K119" i="2"/>
  <c r="L119" i="2"/>
  <c r="M119" i="2"/>
  <c r="N119" i="2"/>
  <c r="O119" i="2"/>
  <c r="P119" i="2"/>
  <c r="Q119" i="2"/>
  <c r="R119" i="2"/>
  <c r="S119" i="2"/>
  <c r="T119" i="2"/>
  <c r="U119" i="2"/>
  <c r="V119" i="2"/>
  <c r="W119" i="2"/>
  <c r="Y119" i="2"/>
  <c r="Z119" i="2"/>
  <c r="AA119" i="2"/>
  <c r="AB119" i="2"/>
  <c r="AC119" i="2"/>
  <c r="AD119" i="2"/>
  <c r="AE119" i="2"/>
  <c r="AF119" i="2"/>
  <c r="AG119" i="2"/>
  <c r="AH119" i="2"/>
  <c r="AI119" i="2"/>
  <c r="AJ119" i="2"/>
  <c r="AK119" i="2"/>
  <c r="AL119" i="2"/>
  <c r="AM119" i="2"/>
  <c r="AN119" i="2"/>
  <c r="AO119" i="2"/>
  <c r="AP119" i="2"/>
  <c r="AQ119" i="2"/>
  <c r="AR119" i="2"/>
  <c r="AS119" i="2"/>
  <c r="AT119" i="2"/>
  <c r="AU119" i="2"/>
  <c r="AV119" i="2"/>
  <c r="AW119" i="2"/>
  <c r="AX119" i="2"/>
  <c r="AY119" i="2"/>
  <c r="AZ119" i="2"/>
  <c r="BA119" i="2"/>
  <c r="BB119" i="2"/>
  <c r="BC119" i="2"/>
  <c r="BD119" i="2"/>
  <c r="BE119" i="2"/>
  <c r="CO119" i="2"/>
  <c r="E120" i="2"/>
  <c r="CM120" i="2" s="1"/>
  <c r="F120" i="2"/>
  <c r="G120" i="2"/>
  <c r="H120" i="2"/>
  <c r="I120" i="2"/>
  <c r="J120" i="2"/>
  <c r="K120" i="2"/>
  <c r="L120" i="2"/>
  <c r="M120" i="2"/>
  <c r="N120" i="2"/>
  <c r="O120" i="2"/>
  <c r="P120" i="2"/>
  <c r="Q120" i="2"/>
  <c r="R120" i="2"/>
  <c r="S120" i="2"/>
  <c r="T120" i="2"/>
  <c r="U120" i="2"/>
  <c r="V120" i="2"/>
  <c r="W120" i="2"/>
  <c r="Y120" i="2"/>
  <c r="Z120" i="2"/>
  <c r="AA120" i="2"/>
  <c r="AB120" i="2"/>
  <c r="AC120" i="2"/>
  <c r="AD120" i="2"/>
  <c r="AE120" i="2"/>
  <c r="AF120" i="2"/>
  <c r="AG120" i="2"/>
  <c r="AH120" i="2"/>
  <c r="AI120" i="2"/>
  <c r="AJ120" i="2"/>
  <c r="AK120" i="2"/>
  <c r="AL120" i="2"/>
  <c r="AM120" i="2"/>
  <c r="AN120" i="2"/>
  <c r="AO120" i="2"/>
  <c r="AP120" i="2"/>
  <c r="AQ120" i="2"/>
  <c r="AR120" i="2"/>
  <c r="AS120" i="2"/>
  <c r="AT120" i="2"/>
  <c r="AU120" i="2"/>
  <c r="AV120" i="2"/>
  <c r="AW120" i="2"/>
  <c r="AX120" i="2"/>
  <c r="AY120" i="2"/>
  <c r="AZ120" i="2"/>
  <c r="BA120" i="2"/>
  <c r="BB120" i="2"/>
  <c r="BC120" i="2"/>
  <c r="BD120" i="2"/>
  <c r="BE120" i="2"/>
  <c r="CO120" i="2"/>
  <c r="E122" i="2"/>
  <c r="CM122" i="2" s="1"/>
  <c r="F122" i="2"/>
  <c r="G122" i="2"/>
  <c r="H122" i="2"/>
  <c r="I122" i="2"/>
  <c r="J122" i="2"/>
  <c r="K122" i="2"/>
  <c r="L122" i="2"/>
  <c r="M122" i="2"/>
  <c r="N122" i="2"/>
  <c r="O122" i="2"/>
  <c r="P122" i="2"/>
  <c r="Q122" i="2"/>
  <c r="R122" i="2"/>
  <c r="S122" i="2"/>
  <c r="T122" i="2"/>
  <c r="U122" i="2"/>
  <c r="V122" i="2"/>
  <c r="W122" i="2"/>
  <c r="Y122" i="2"/>
  <c r="Z122" i="2"/>
  <c r="AA122" i="2"/>
  <c r="AB122" i="2"/>
  <c r="AC122" i="2"/>
  <c r="AD122" i="2"/>
  <c r="AE122" i="2"/>
  <c r="AF122" i="2"/>
  <c r="AG122" i="2"/>
  <c r="AH122" i="2"/>
  <c r="AI122" i="2"/>
  <c r="AJ122" i="2"/>
  <c r="AK122" i="2"/>
  <c r="AL122" i="2"/>
  <c r="AM122" i="2"/>
  <c r="AN122" i="2"/>
  <c r="AO122" i="2"/>
  <c r="AP122" i="2"/>
  <c r="AQ122" i="2"/>
  <c r="AR122" i="2"/>
  <c r="AS122" i="2"/>
  <c r="AT122" i="2"/>
  <c r="AU122" i="2"/>
  <c r="AV122" i="2"/>
  <c r="AW122" i="2"/>
  <c r="AX122" i="2"/>
  <c r="AY122" i="2"/>
  <c r="AZ122" i="2"/>
  <c r="BA122" i="2"/>
  <c r="BB122" i="2"/>
  <c r="BC122" i="2"/>
  <c r="BD122" i="2"/>
  <c r="BE122" i="2"/>
  <c r="CO122" i="2"/>
  <c r="E123" i="2"/>
  <c r="CM123" i="2" s="1"/>
  <c r="F123" i="2"/>
  <c r="G123" i="2"/>
  <c r="H123" i="2"/>
  <c r="I123" i="2"/>
  <c r="J123" i="2"/>
  <c r="K123" i="2"/>
  <c r="L123" i="2"/>
  <c r="M123" i="2"/>
  <c r="N123" i="2"/>
  <c r="O123" i="2"/>
  <c r="P123" i="2"/>
  <c r="Q123" i="2"/>
  <c r="R123" i="2"/>
  <c r="S123" i="2"/>
  <c r="T123" i="2"/>
  <c r="U123" i="2"/>
  <c r="V123" i="2"/>
  <c r="W123" i="2"/>
  <c r="Y123" i="2"/>
  <c r="Z123" i="2"/>
  <c r="AA123" i="2"/>
  <c r="AB123" i="2"/>
  <c r="AC123" i="2"/>
  <c r="AD123" i="2"/>
  <c r="AE123" i="2"/>
  <c r="AF123" i="2"/>
  <c r="AG123" i="2"/>
  <c r="AH123" i="2"/>
  <c r="AI123" i="2"/>
  <c r="AJ123" i="2"/>
  <c r="AK123" i="2"/>
  <c r="AL123" i="2"/>
  <c r="AM123" i="2"/>
  <c r="AN123" i="2"/>
  <c r="AO123" i="2"/>
  <c r="AP123" i="2"/>
  <c r="AQ123" i="2"/>
  <c r="AR123" i="2"/>
  <c r="AS123" i="2"/>
  <c r="AT123" i="2"/>
  <c r="AU123" i="2"/>
  <c r="AV123" i="2"/>
  <c r="AW123" i="2"/>
  <c r="AX123" i="2"/>
  <c r="AY123" i="2"/>
  <c r="AZ123" i="2"/>
  <c r="BA123" i="2"/>
  <c r="BB123" i="2"/>
  <c r="BC123" i="2"/>
  <c r="BD123" i="2"/>
  <c r="BE123" i="2"/>
  <c r="CO123" i="2"/>
  <c r="E124" i="2"/>
  <c r="CM124" i="2" s="1"/>
  <c r="F124" i="2"/>
  <c r="G124" i="2"/>
  <c r="H124" i="2"/>
  <c r="I124" i="2"/>
  <c r="J124" i="2"/>
  <c r="K124" i="2"/>
  <c r="L124" i="2"/>
  <c r="M124" i="2"/>
  <c r="N124" i="2"/>
  <c r="O124" i="2"/>
  <c r="P124" i="2"/>
  <c r="Q124" i="2"/>
  <c r="R124" i="2"/>
  <c r="S124" i="2"/>
  <c r="T124" i="2"/>
  <c r="U124" i="2"/>
  <c r="V124" i="2"/>
  <c r="W124" i="2"/>
  <c r="Y124" i="2"/>
  <c r="Z124" i="2"/>
  <c r="AA124" i="2"/>
  <c r="AB124" i="2"/>
  <c r="AC124" i="2"/>
  <c r="AD124" i="2"/>
  <c r="AE124" i="2"/>
  <c r="AF124" i="2"/>
  <c r="AG124" i="2"/>
  <c r="AH124" i="2"/>
  <c r="AI124" i="2"/>
  <c r="AJ124" i="2"/>
  <c r="AK124" i="2"/>
  <c r="AL124" i="2"/>
  <c r="AM124" i="2"/>
  <c r="AN124" i="2"/>
  <c r="AO124" i="2"/>
  <c r="AP124" i="2"/>
  <c r="AQ124" i="2"/>
  <c r="AR124" i="2"/>
  <c r="AS124" i="2"/>
  <c r="AT124" i="2"/>
  <c r="AU124" i="2"/>
  <c r="AV124" i="2"/>
  <c r="AW124" i="2"/>
  <c r="AX124" i="2"/>
  <c r="AY124" i="2"/>
  <c r="AZ124" i="2"/>
  <c r="BA124" i="2"/>
  <c r="BB124" i="2"/>
  <c r="BC124" i="2"/>
  <c r="BD124" i="2"/>
  <c r="BE124" i="2"/>
  <c r="CO124" i="2"/>
  <c r="E125" i="2"/>
  <c r="CM125" i="2" s="1"/>
  <c r="F125" i="2"/>
  <c r="G125" i="2"/>
  <c r="H125" i="2"/>
  <c r="I125" i="2"/>
  <c r="J125" i="2"/>
  <c r="K125" i="2"/>
  <c r="L125" i="2"/>
  <c r="M125" i="2"/>
  <c r="N125" i="2"/>
  <c r="O125" i="2"/>
  <c r="P125" i="2"/>
  <c r="Q125" i="2"/>
  <c r="R125" i="2"/>
  <c r="S125" i="2"/>
  <c r="T125" i="2"/>
  <c r="U125" i="2"/>
  <c r="V125" i="2"/>
  <c r="W125" i="2"/>
  <c r="Y125" i="2"/>
  <c r="Z125" i="2"/>
  <c r="AA125" i="2"/>
  <c r="AB125" i="2"/>
  <c r="AC125" i="2"/>
  <c r="AD125" i="2"/>
  <c r="AE125" i="2"/>
  <c r="AF125" i="2"/>
  <c r="AG125" i="2"/>
  <c r="AH125" i="2"/>
  <c r="AI125" i="2"/>
  <c r="AJ125" i="2"/>
  <c r="AK125" i="2"/>
  <c r="AL125" i="2"/>
  <c r="AM125" i="2"/>
  <c r="AN125" i="2"/>
  <c r="AO125" i="2"/>
  <c r="AP125" i="2"/>
  <c r="AQ125" i="2"/>
  <c r="AR125" i="2"/>
  <c r="AS125" i="2"/>
  <c r="AT125" i="2"/>
  <c r="AU125" i="2"/>
  <c r="AV125" i="2"/>
  <c r="AW125" i="2"/>
  <c r="AX125" i="2"/>
  <c r="AY125" i="2"/>
  <c r="AZ125" i="2"/>
  <c r="BA125" i="2"/>
  <c r="BB125" i="2"/>
  <c r="BC125" i="2"/>
  <c r="BD125" i="2"/>
  <c r="BE125" i="2"/>
  <c r="CO125" i="2"/>
  <c r="E126" i="2"/>
  <c r="CM126" i="2" s="1"/>
  <c r="F126" i="2"/>
  <c r="G126" i="2"/>
  <c r="H126" i="2"/>
  <c r="I126" i="2"/>
  <c r="J126" i="2"/>
  <c r="K126" i="2"/>
  <c r="L126" i="2"/>
  <c r="M126" i="2"/>
  <c r="N126" i="2"/>
  <c r="O126" i="2"/>
  <c r="P126" i="2"/>
  <c r="Q126" i="2"/>
  <c r="R126" i="2"/>
  <c r="S126" i="2"/>
  <c r="T126" i="2"/>
  <c r="U126" i="2"/>
  <c r="V126" i="2"/>
  <c r="W126" i="2"/>
  <c r="Y126" i="2"/>
  <c r="Z126" i="2"/>
  <c r="AA126" i="2"/>
  <c r="AB126" i="2"/>
  <c r="AC126" i="2"/>
  <c r="AD126" i="2"/>
  <c r="AE126" i="2"/>
  <c r="AF126" i="2"/>
  <c r="AG126" i="2"/>
  <c r="AH126" i="2"/>
  <c r="AI126" i="2"/>
  <c r="AJ126" i="2"/>
  <c r="AK126" i="2"/>
  <c r="AL126" i="2"/>
  <c r="AM126" i="2"/>
  <c r="AN126" i="2"/>
  <c r="AO126" i="2"/>
  <c r="AP126" i="2"/>
  <c r="AQ126" i="2"/>
  <c r="AR126" i="2"/>
  <c r="AS126" i="2"/>
  <c r="AT126" i="2"/>
  <c r="AU126" i="2"/>
  <c r="AV126" i="2"/>
  <c r="AW126" i="2"/>
  <c r="AX126" i="2"/>
  <c r="AY126" i="2"/>
  <c r="AZ126" i="2"/>
  <c r="BA126" i="2"/>
  <c r="BB126" i="2"/>
  <c r="BC126" i="2"/>
  <c r="BD126" i="2"/>
  <c r="BE126" i="2"/>
  <c r="CO126" i="2"/>
  <c r="E128" i="2"/>
  <c r="CM128" i="2" s="1"/>
  <c r="F128" i="2"/>
  <c r="G128" i="2"/>
  <c r="H128" i="2"/>
  <c r="I128" i="2"/>
  <c r="J128" i="2"/>
  <c r="K128" i="2"/>
  <c r="L128" i="2"/>
  <c r="M128" i="2"/>
  <c r="N128" i="2"/>
  <c r="O128" i="2"/>
  <c r="P128" i="2"/>
  <c r="Q128" i="2"/>
  <c r="R128" i="2"/>
  <c r="S128" i="2"/>
  <c r="T128" i="2"/>
  <c r="U128" i="2"/>
  <c r="V128" i="2"/>
  <c r="W128" i="2"/>
  <c r="Y128" i="2"/>
  <c r="Z128" i="2"/>
  <c r="AA128" i="2"/>
  <c r="AB128" i="2"/>
  <c r="AC128" i="2"/>
  <c r="AD128" i="2"/>
  <c r="AE128" i="2"/>
  <c r="AF128" i="2"/>
  <c r="AG128" i="2"/>
  <c r="AH128" i="2"/>
  <c r="AI128" i="2"/>
  <c r="AJ128" i="2"/>
  <c r="AK128" i="2"/>
  <c r="AL128" i="2"/>
  <c r="AM128" i="2"/>
  <c r="AN128" i="2"/>
  <c r="AO128" i="2"/>
  <c r="AP128" i="2"/>
  <c r="AQ128" i="2"/>
  <c r="AR128" i="2"/>
  <c r="AS128" i="2"/>
  <c r="AT128" i="2"/>
  <c r="AU128" i="2"/>
  <c r="AV128" i="2"/>
  <c r="AW128" i="2"/>
  <c r="AX128" i="2"/>
  <c r="AY128" i="2"/>
  <c r="AZ128" i="2"/>
  <c r="BA128" i="2"/>
  <c r="BB128" i="2"/>
  <c r="BC128" i="2"/>
  <c r="BD128" i="2"/>
  <c r="BE128" i="2"/>
  <c r="CO128" i="2"/>
  <c r="E129" i="2"/>
  <c r="CM129" i="2" s="1"/>
  <c r="F129" i="2"/>
  <c r="G129" i="2"/>
  <c r="H129" i="2"/>
  <c r="I129" i="2"/>
  <c r="J129" i="2"/>
  <c r="K129" i="2"/>
  <c r="L129" i="2"/>
  <c r="M129" i="2"/>
  <c r="N129" i="2"/>
  <c r="O129" i="2"/>
  <c r="P129" i="2"/>
  <c r="Q129" i="2"/>
  <c r="R129" i="2"/>
  <c r="S129" i="2"/>
  <c r="T129" i="2"/>
  <c r="U129" i="2"/>
  <c r="V129" i="2"/>
  <c r="W129" i="2"/>
  <c r="Y129" i="2"/>
  <c r="Z129" i="2"/>
  <c r="AA129" i="2"/>
  <c r="AB129" i="2"/>
  <c r="AC129" i="2"/>
  <c r="AD129" i="2"/>
  <c r="AE129" i="2"/>
  <c r="AF129" i="2"/>
  <c r="AG129" i="2"/>
  <c r="AH129" i="2"/>
  <c r="AI129" i="2"/>
  <c r="AJ129" i="2"/>
  <c r="AK129" i="2"/>
  <c r="AL129" i="2"/>
  <c r="AM129" i="2"/>
  <c r="AN129" i="2"/>
  <c r="AO129" i="2"/>
  <c r="AP129" i="2"/>
  <c r="AQ129" i="2"/>
  <c r="AR129" i="2"/>
  <c r="AS129" i="2"/>
  <c r="AT129" i="2"/>
  <c r="AU129" i="2"/>
  <c r="AV129" i="2"/>
  <c r="AW129" i="2"/>
  <c r="AX129" i="2"/>
  <c r="AY129" i="2"/>
  <c r="AZ129" i="2"/>
  <c r="BA129" i="2"/>
  <c r="BB129" i="2"/>
  <c r="BC129" i="2"/>
  <c r="BD129" i="2"/>
  <c r="BE129" i="2"/>
  <c r="CO129" i="2"/>
  <c r="E130" i="2"/>
  <c r="CM130" i="2" s="1"/>
  <c r="F130" i="2"/>
  <c r="G130" i="2"/>
  <c r="H130" i="2"/>
  <c r="I130" i="2"/>
  <c r="J130" i="2"/>
  <c r="K130" i="2"/>
  <c r="L130" i="2"/>
  <c r="M130" i="2"/>
  <c r="N130" i="2"/>
  <c r="O130" i="2"/>
  <c r="P130" i="2"/>
  <c r="Q130" i="2"/>
  <c r="R130" i="2"/>
  <c r="S130" i="2"/>
  <c r="T130" i="2"/>
  <c r="U130" i="2"/>
  <c r="V130" i="2"/>
  <c r="W130" i="2"/>
  <c r="Y130" i="2"/>
  <c r="Z130" i="2"/>
  <c r="AA130" i="2"/>
  <c r="AB130" i="2"/>
  <c r="AC130" i="2"/>
  <c r="AD130" i="2"/>
  <c r="AE130" i="2"/>
  <c r="AF130" i="2"/>
  <c r="AG130" i="2"/>
  <c r="AH130" i="2"/>
  <c r="AI130" i="2"/>
  <c r="AJ130" i="2"/>
  <c r="AK130" i="2"/>
  <c r="AL130" i="2"/>
  <c r="AM130" i="2"/>
  <c r="AN130" i="2"/>
  <c r="AO130" i="2"/>
  <c r="AP130" i="2"/>
  <c r="AQ130" i="2"/>
  <c r="AR130" i="2"/>
  <c r="AS130" i="2"/>
  <c r="AT130" i="2"/>
  <c r="AU130" i="2"/>
  <c r="AV130" i="2"/>
  <c r="AW130" i="2"/>
  <c r="AX130" i="2"/>
  <c r="AY130" i="2"/>
  <c r="AZ130" i="2"/>
  <c r="BA130" i="2"/>
  <c r="BB130" i="2"/>
  <c r="BC130" i="2"/>
  <c r="BD130" i="2"/>
  <c r="BE130" i="2"/>
  <c r="CO130" i="2"/>
  <c r="E131" i="2"/>
  <c r="CM131" i="2" s="1"/>
  <c r="F131" i="2"/>
  <c r="G131" i="2"/>
  <c r="H131" i="2"/>
  <c r="I131" i="2"/>
  <c r="J131" i="2"/>
  <c r="K131" i="2"/>
  <c r="L131" i="2"/>
  <c r="M131" i="2"/>
  <c r="N131" i="2"/>
  <c r="O131" i="2"/>
  <c r="P131" i="2"/>
  <c r="Q131" i="2"/>
  <c r="R131" i="2"/>
  <c r="S131" i="2"/>
  <c r="T131" i="2"/>
  <c r="U131" i="2"/>
  <c r="V131" i="2"/>
  <c r="W131" i="2"/>
  <c r="Y131" i="2"/>
  <c r="Z131" i="2"/>
  <c r="AA131" i="2"/>
  <c r="AB131" i="2"/>
  <c r="AC131" i="2"/>
  <c r="AD131" i="2"/>
  <c r="AE131" i="2"/>
  <c r="AF131" i="2"/>
  <c r="AG131" i="2"/>
  <c r="AH131" i="2"/>
  <c r="AI131" i="2"/>
  <c r="AJ131" i="2"/>
  <c r="AK131" i="2"/>
  <c r="AL131" i="2"/>
  <c r="AM131" i="2"/>
  <c r="AN131" i="2"/>
  <c r="AO131" i="2"/>
  <c r="AP131" i="2"/>
  <c r="AQ131" i="2"/>
  <c r="AR131" i="2"/>
  <c r="AS131" i="2"/>
  <c r="AT131" i="2"/>
  <c r="AU131" i="2"/>
  <c r="AV131" i="2"/>
  <c r="AW131" i="2"/>
  <c r="AX131" i="2"/>
  <c r="AY131" i="2"/>
  <c r="AZ131" i="2"/>
  <c r="BA131" i="2"/>
  <c r="BB131" i="2"/>
  <c r="BC131" i="2"/>
  <c r="BD131" i="2"/>
  <c r="BE131" i="2"/>
  <c r="CO131" i="2"/>
  <c r="E132" i="2"/>
  <c r="CM132" i="2" s="1"/>
  <c r="F132" i="2"/>
  <c r="G132" i="2"/>
  <c r="H132" i="2"/>
  <c r="I132" i="2"/>
  <c r="J132" i="2"/>
  <c r="K132" i="2"/>
  <c r="L132" i="2"/>
  <c r="M132" i="2"/>
  <c r="N132" i="2"/>
  <c r="O132" i="2"/>
  <c r="P132" i="2"/>
  <c r="Q132" i="2"/>
  <c r="R132" i="2"/>
  <c r="S132" i="2"/>
  <c r="T132" i="2"/>
  <c r="U132" i="2"/>
  <c r="V132" i="2"/>
  <c r="W132" i="2"/>
  <c r="Y132" i="2"/>
  <c r="Z132" i="2"/>
  <c r="AA132" i="2"/>
  <c r="AB132" i="2"/>
  <c r="AC132" i="2"/>
  <c r="AD132" i="2"/>
  <c r="AE132" i="2"/>
  <c r="AF132" i="2"/>
  <c r="AG132" i="2"/>
  <c r="AH132" i="2"/>
  <c r="AI132" i="2"/>
  <c r="AJ132" i="2"/>
  <c r="AK132" i="2"/>
  <c r="AL132" i="2"/>
  <c r="AM132" i="2"/>
  <c r="AN132" i="2"/>
  <c r="AO132" i="2"/>
  <c r="AP132" i="2"/>
  <c r="AQ132" i="2"/>
  <c r="AR132" i="2"/>
  <c r="AS132" i="2"/>
  <c r="AT132" i="2"/>
  <c r="AU132" i="2"/>
  <c r="AV132" i="2"/>
  <c r="AW132" i="2"/>
  <c r="AX132" i="2"/>
  <c r="AY132" i="2"/>
  <c r="AZ132" i="2"/>
  <c r="BA132" i="2"/>
  <c r="BB132" i="2"/>
  <c r="BC132" i="2"/>
  <c r="BD132" i="2"/>
  <c r="BE132" i="2"/>
  <c r="CO132" i="2"/>
  <c r="E134" i="2"/>
  <c r="CM134" i="2" s="1"/>
  <c r="F134" i="2"/>
  <c r="G134" i="2"/>
  <c r="H134" i="2"/>
  <c r="I134" i="2"/>
  <c r="J134" i="2"/>
  <c r="K134" i="2"/>
  <c r="L134" i="2"/>
  <c r="M134" i="2"/>
  <c r="N134" i="2"/>
  <c r="O134" i="2"/>
  <c r="P134" i="2"/>
  <c r="Q134" i="2"/>
  <c r="R134" i="2"/>
  <c r="S134" i="2"/>
  <c r="T134" i="2"/>
  <c r="U134" i="2"/>
  <c r="V134" i="2"/>
  <c r="W134" i="2"/>
  <c r="Y134" i="2"/>
  <c r="Z134" i="2"/>
  <c r="AA134" i="2"/>
  <c r="AB134" i="2"/>
  <c r="AC134" i="2"/>
  <c r="AD134" i="2"/>
  <c r="AE134" i="2"/>
  <c r="AF134" i="2"/>
  <c r="AG134" i="2"/>
  <c r="AH134" i="2"/>
  <c r="AI134" i="2"/>
  <c r="AJ134" i="2"/>
  <c r="AK134" i="2"/>
  <c r="AL134" i="2"/>
  <c r="AM134" i="2"/>
  <c r="AN134" i="2"/>
  <c r="AO134" i="2"/>
  <c r="AP134" i="2"/>
  <c r="AQ134" i="2"/>
  <c r="AR134" i="2"/>
  <c r="AS134" i="2"/>
  <c r="AT134" i="2"/>
  <c r="AU134" i="2"/>
  <c r="AV134" i="2"/>
  <c r="AW134" i="2"/>
  <c r="AX134" i="2"/>
  <c r="AY134" i="2"/>
  <c r="AZ134" i="2"/>
  <c r="BA134" i="2"/>
  <c r="BB134" i="2"/>
  <c r="BC134" i="2"/>
  <c r="BD134" i="2"/>
  <c r="BE134" i="2"/>
  <c r="CO134" i="2"/>
  <c r="E135" i="2"/>
  <c r="CM135" i="2" s="1"/>
  <c r="F135" i="2"/>
  <c r="G135" i="2"/>
  <c r="H135" i="2"/>
  <c r="I135" i="2"/>
  <c r="J135" i="2"/>
  <c r="K135" i="2"/>
  <c r="L135" i="2"/>
  <c r="M135" i="2"/>
  <c r="N135" i="2"/>
  <c r="O135" i="2"/>
  <c r="P135" i="2"/>
  <c r="Q135" i="2"/>
  <c r="R135" i="2"/>
  <c r="S135" i="2"/>
  <c r="T135" i="2"/>
  <c r="U135" i="2"/>
  <c r="V135" i="2"/>
  <c r="W135" i="2"/>
  <c r="Y135" i="2"/>
  <c r="Z135" i="2"/>
  <c r="AA135" i="2"/>
  <c r="AB135" i="2"/>
  <c r="AC135" i="2"/>
  <c r="AD135" i="2"/>
  <c r="AE135" i="2"/>
  <c r="AF135" i="2"/>
  <c r="AG135" i="2"/>
  <c r="AH135" i="2"/>
  <c r="AI135" i="2"/>
  <c r="AJ135" i="2"/>
  <c r="AK135" i="2"/>
  <c r="AL135" i="2"/>
  <c r="AM135" i="2"/>
  <c r="AN135" i="2"/>
  <c r="AO135" i="2"/>
  <c r="AP135" i="2"/>
  <c r="AQ135" i="2"/>
  <c r="AR135" i="2"/>
  <c r="AS135" i="2"/>
  <c r="AT135" i="2"/>
  <c r="AU135" i="2"/>
  <c r="AV135" i="2"/>
  <c r="AW135" i="2"/>
  <c r="AX135" i="2"/>
  <c r="AY135" i="2"/>
  <c r="AZ135" i="2"/>
  <c r="BA135" i="2"/>
  <c r="BB135" i="2"/>
  <c r="BC135" i="2"/>
  <c r="BD135" i="2"/>
  <c r="BE135" i="2"/>
  <c r="CO135" i="2"/>
  <c r="E136" i="2"/>
  <c r="CM136" i="2" s="1"/>
  <c r="F136" i="2"/>
  <c r="G136" i="2"/>
  <c r="H136" i="2"/>
  <c r="I136" i="2"/>
  <c r="J136" i="2"/>
  <c r="K136" i="2"/>
  <c r="L136" i="2"/>
  <c r="M136" i="2"/>
  <c r="N136" i="2"/>
  <c r="O136" i="2"/>
  <c r="P136" i="2"/>
  <c r="Q136" i="2"/>
  <c r="R136" i="2"/>
  <c r="S136" i="2"/>
  <c r="T136" i="2"/>
  <c r="U136" i="2"/>
  <c r="V136" i="2"/>
  <c r="W136" i="2"/>
  <c r="Y136" i="2"/>
  <c r="Z136" i="2"/>
  <c r="AA136" i="2"/>
  <c r="AB136" i="2"/>
  <c r="AC136" i="2"/>
  <c r="AD136" i="2"/>
  <c r="AE136" i="2"/>
  <c r="AF136" i="2"/>
  <c r="AG136" i="2"/>
  <c r="AH136" i="2"/>
  <c r="AI136" i="2"/>
  <c r="AJ136" i="2"/>
  <c r="AK136" i="2"/>
  <c r="AL136" i="2"/>
  <c r="AM136" i="2"/>
  <c r="AN136" i="2"/>
  <c r="AO136" i="2"/>
  <c r="AP136" i="2"/>
  <c r="AQ136" i="2"/>
  <c r="AR136" i="2"/>
  <c r="AS136" i="2"/>
  <c r="AT136" i="2"/>
  <c r="AU136" i="2"/>
  <c r="AV136" i="2"/>
  <c r="AW136" i="2"/>
  <c r="AX136" i="2"/>
  <c r="AY136" i="2"/>
  <c r="AZ136" i="2"/>
  <c r="BA136" i="2"/>
  <c r="BB136" i="2"/>
  <c r="BC136" i="2"/>
  <c r="BD136" i="2"/>
  <c r="BE136" i="2"/>
  <c r="CO136" i="2"/>
  <c r="E137" i="2"/>
  <c r="CM137" i="2" s="1"/>
  <c r="F137" i="2"/>
  <c r="G137" i="2"/>
  <c r="H137" i="2"/>
  <c r="I137" i="2"/>
  <c r="J137" i="2"/>
  <c r="K137" i="2"/>
  <c r="L137" i="2"/>
  <c r="M137" i="2"/>
  <c r="N137" i="2"/>
  <c r="O137" i="2"/>
  <c r="P137" i="2"/>
  <c r="Q137" i="2"/>
  <c r="R137" i="2"/>
  <c r="S137" i="2"/>
  <c r="T137" i="2"/>
  <c r="U137" i="2"/>
  <c r="V137" i="2"/>
  <c r="W137" i="2"/>
  <c r="Y137" i="2"/>
  <c r="Z137" i="2"/>
  <c r="AA137" i="2"/>
  <c r="AB137" i="2"/>
  <c r="AC137" i="2"/>
  <c r="AD137" i="2"/>
  <c r="AE137" i="2"/>
  <c r="AF137" i="2"/>
  <c r="AG137" i="2"/>
  <c r="AH137" i="2"/>
  <c r="AI137" i="2"/>
  <c r="AJ137" i="2"/>
  <c r="AK137" i="2"/>
  <c r="AL137" i="2"/>
  <c r="AM137" i="2"/>
  <c r="AN137" i="2"/>
  <c r="AO137" i="2"/>
  <c r="AP137" i="2"/>
  <c r="AQ137" i="2"/>
  <c r="AR137" i="2"/>
  <c r="AS137" i="2"/>
  <c r="AT137" i="2"/>
  <c r="AU137" i="2"/>
  <c r="AV137" i="2"/>
  <c r="AW137" i="2"/>
  <c r="AX137" i="2"/>
  <c r="AY137" i="2"/>
  <c r="AZ137" i="2"/>
  <c r="BA137" i="2"/>
  <c r="BB137" i="2"/>
  <c r="BC137" i="2"/>
  <c r="BD137" i="2"/>
  <c r="BE137" i="2"/>
  <c r="CO137" i="2"/>
  <c r="E138" i="2"/>
  <c r="CM138" i="2" s="1"/>
  <c r="F138" i="2"/>
  <c r="G138" i="2"/>
  <c r="H138" i="2"/>
  <c r="I138" i="2"/>
  <c r="J138" i="2"/>
  <c r="K138" i="2"/>
  <c r="L138" i="2"/>
  <c r="M138" i="2"/>
  <c r="N138" i="2"/>
  <c r="O138" i="2"/>
  <c r="P138" i="2"/>
  <c r="Q138" i="2"/>
  <c r="R138" i="2"/>
  <c r="S138" i="2"/>
  <c r="T138" i="2"/>
  <c r="U138" i="2"/>
  <c r="V138" i="2"/>
  <c r="W138" i="2"/>
  <c r="Y138" i="2"/>
  <c r="Z138" i="2"/>
  <c r="AA138" i="2"/>
  <c r="AB138" i="2"/>
  <c r="AC138" i="2"/>
  <c r="AD138" i="2"/>
  <c r="AE138" i="2"/>
  <c r="AF138" i="2"/>
  <c r="AG138" i="2"/>
  <c r="AH138" i="2"/>
  <c r="AI138" i="2"/>
  <c r="AJ138" i="2"/>
  <c r="AK138" i="2"/>
  <c r="AL138" i="2"/>
  <c r="AM138" i="2"/>
  <c r="AN138" i="2"/>
  <c r="AO138" i="2"/>
  <c r="AP138" i="2"/>
  <c r="AQ138" i="2"/>
  <c r="AR138" i="2"/>
  <c r="AS138" i="2"/>
  <c r="AT138" i="2"/>
  <c r="AU138" i="2"/>
  <c r="AV138" i="2"/>
  <c r="AW138" i="2"/>
  <c r="AX138" i="2"/>
  <c r="AY138" i="2"/>
  <c r="AZ138" i="2"/>
  <c r="BA138" i="2"/>
  <c r="BB138" i="2"/>
  <c r="BC138" i="2"/>
  <c r="BD138" i="2"/>
  <c r="BE138" i="2"/>
  <c r="CO138" i="2"/>
  <c r="E140" i="2"/>
  <c r="CM140" i="2" s="1"/>
  <c r="F140" i="2"/>
  <c r="G140" i="2"/>
  <c r="H140" i="2"/>
  <c r="I140" i="2"/>
  <c r="J140" i="2"/>
  <c r="K140" i="2"/>
  <c r="L140" i="2"/>
  <c r="M140" i="2"/>
  <c r="N140" i="2"/>
  <c r="O140" i="2"/>
  <c r="P140" i="2"/>
  <c r="Q140" i="2"/>
  <c r="R140" i="2"/>
  <c r="S140" i="2"/>
  <c r="T140" i="2"/>
  <c r="U140" i="2"/>
  <c r="V140" i="2"/>
  <c r="W140" i="2"/>
  <c r="Y140" i="2"/>
  <c r="Z140" i="2"/>
  <c r="AA140" i="2"/>
  <c r="AB140" i="2"/>
  <c r="AC140" i="2"/>
  <c r="AD140" i="2"/>
  <c r="AE140" i="2"/>
  <c r="AF140" i="2"/>
  <c r="AG140" i="2"/>
  <c r="AH140" i="2"/>
  <c r="AI140" i="2"/>
  <c r="AJ140" i="2"/>
  <c r="AK140" i="2"/>
  <c r="AL140" i="2"/>
  <c r="AM140" i="2"/>
  <c r="AN140" i="2"/>
  <c r="AO140" i="2"/>
  <c r="AP140" i="2"/>
  <c r="AQ140" i="2"/>
  <c r="AR140" i="2"/>
  <c r="AS140" i="2"/>
  <c r="AT140" i="2"/>
  <c r="AU140" i="2"/>
  <c r="AV140" i="2"/>
  <c r="AW140" i="2"/>
  <c r="AX140" i="2"/>
  <c r="AY140" i="2"/>
  <c r="AZ140" i="2"/>
  <c r="BA140" i="2"/>
  <c r="BB140" i="2"/>
  <c r="BC140" i="2"/>
  <c r="BD140" i="2"/>
  <c r="BE140" i="2"/>
  <c r="CO140" i="2"/>
  <c r="E141" i="2"/>
  <c r="CM141" i="2" s="1"/>
  <c r="F141" i="2"/>
  <c r="G141" i="2"/>
  <c r="H141" i="2"/>
  <c r="I141" i="2"/>
  <c r="J141" i="2"/>
  <c r="K141" i="2"/>
  <c r="L141" i="2"/>
  <c r="M141" i="2"/>
  <c r="N141" i="2"/>
  <c r="O141" i="2"/>
  <c r="P141" i="2"/>
  <c r="Q141" i="2"/>
  <c r="R141" i="2"/>
  <c r="S141" i="2"/>
  <c r="T141" i="2"/>
  <c r="U141" i="2"/>
  <c r="V141" i="2"/>
  <c r="W141" i="2"/>
  <c r="Y141" i="2"/>
  <c r="Z141" i="2"/>
  <c r="AA141" i="2"/>
  <c r="AB141" i="2"/>
  <c r="AC141" i="2"/>
  <c r="AD141" i="2"/>
  <c r="AE141" i="2"/>
  <c r="AF141" i="2"/>
  <c r="AG141" i="2"/>
  <c r="AH141" i="2"/>
  <c r="AI141" i="2"/>
  <c r="AJ141" i="2"/>
  <c r="AK141" i="2"/>
  <c r="AL141" i="2"/>
  <c r="AM141" i="2"/>
  <c r="AN141" i="2"/>
  <c r="AO141" i="2"/>
  <c r="AP141" i="2"/>
  <c r="AQ141" i="2"/>
  <c r="AR141" i="2"/>
  <c r="AS141" i="2"/>
  <c r="AT141" i="2"/>
  <c r="AU141" i="2"/>
  <c r="AV141" i="2"/>
  <c r="AW141" i="2"/>
  <c r="AX141" i="2"/>
  <c r="AY141" i="2"/>
  <c r="AZ141" i="2"/>
  <c r="BA141" i="2"/>
  <c r="BB141" i="2"/>
  <c r="BC141" i="2"/>
  <c r="BD141" i="2"/>
  <c r="BE141" i="2"/>
  <c r="CO141" i="2"/>
  <c r="E142" i="2"/>
  <c r="CM142" i="2" s="1"/>
  <c r="F142" i="2"/>
  <c r="G142" i="2"/>
  <c r="H142" i="2"/>
  <c r="I142" i="2"/>
  <c r="J142" i="2"/>
  <c r="K142" i="2"/>
  <c r="L142" i="2"/>
  <c r="M142" i="2"/>
  <c r="N142" i="2"/>
  <c r="O142" i="2"/>
  <c r="P142" i="2"/>
  <c r="Q142" i="2"/>
  <c r="R142" i="2"/>
  <c r="S142" i="2"/>
  <c r="T142" i="2"/>
  <c r="U142" i="2"/>
  <c r="V142" i="2"/>
  <c r="W142" i="2"/>
  <c r="Y142" i="2"/>
  <c r="Z142" i="2"/>
  <c r="AA142" i="2"/>
  <c r="AB142" i="2"/>
  <c r="AC142" i="2"/>
  <c r="AD142" i="2"/>
  <c r="AE142" i="2"/>
  <c r="AF142" i="2"/>
  <c r="AG142" i="2"/>
  <c r="AH142" i="2"/>
  <c r="AI142" i="2"/>
  <c r="AJ142" i="2"/>
  <c r="AK142" i="2"/>
  <c r="AL142" i="2"/>
  <c r="AM142" i="2"/>
  <c r="AN142" i="2"/>
  <c r="AO142" i="2"/>
  <c r="AP142" i="2"/>
  <c r="AQ142" i="2"/>
  <c r="AR142" i="2"/>
  <c r="AS142" i="2"/>
  <c r="AT142" i="2"/>
  <c r="AU142" i="2"/>
  <c r="AV142" i="2"/>
  <c r="AW142" i="2"/>
  <c r="AX142" i="2"/>
  <c r="AY142" i="2"/>
  <c r="AZ142" i="2"/>
  <c r="BA142" i="2"/>
  <c r="BB142" i="2"/>
  <c r="BC142" i="2"/>
  <c r="BD142" i="2"/>
  <c r="BE142" i="2"/>
  <c r="CO142" i="2"/>
  <c r="E143" i="2"/>
  <c r="CM143" i="2" s="1"/>
  <c r="F143" i="2"/>
  <c r="G143" i="2"/>
  <c r="H143" i="2"/>
  <c r="I143" i="2"/>
  <c r="J143" i="2"/>
  <c r="K143" i="2"/>
  <c r="L143" i="2"/>
  <c r="M143" i="2"/>
  <c r="N143" i="2"/>
  <c r="O143" i="2"/>
  <c r="P143" i="2"/>
  <c r="Q143" i="2"/>
  <c r="R143" i="2"/>
  <c r="S143" i="2"/>
  <c r="T143" i="2"/>
  <c r="U143" i="2"/>
  <c r="V143" i="2"/>
  <c r="W143" i="2"/>
  <c r="Y143" i="2"/>
  <c r="Z143" i="2"/>
  <c r="AA143" i="2"/>
  <c r="AB143" i="2"/>
  <c r="AC143" i="2"/>
  <c r="AD143" i="2"/>
  <c r="AE143" i="2"/>
  <c r="AF143" i="2"/>
  <c r="AG143" i="2"/>
  <c r="AH143" i="2"/>
  <c r="AI143" i="2"/>
  <c r="AJ143" i="2"/>
  <c r="AK143" i="2"/>
  <c r="AL143" i="2"/>
  <c r="AM143" i="2"/>
  <c r="AN143" i="2"/>
  <c r="AO143" i="2"/>
  <c r="AP143" i="2"/>
  <c r="AQ143" i="2"/>
  <c r="AR143" i="2"/>
  <c r="AS143" i="2"/>
  <c r="AT143" i="2"/>
  <c r="AU143" i="2"/>
  <c r="AV143" i="2"/>
  <c r="AW143" i="2"/>
  <c r="AX143" i="2"/>
  <c r="AY143" i="2"/>
  <c r="AZ143" i="2"/>
  <c r="BA143" i="2"/>
  <c r="BB143" i="2"/>
  <c r="BC143" i="2"/>
  <c r="BD143" i="2"/>
  <c r="BE143" i="2"/>
  <c r="CO143" i="2"/>
  <c r="E144" i="2"/>
  <c r="CM144" i="2" s="1"/>
  <c r="F144" i="2"/>
  <c r="G144" i="2"/>
  <c r="H144" i="2"/>
  <c r="I144" i="2"/>
  <c r="J144" i="2"/>
  <c r="K144" i="2"/>
  <c r="L144" i="2"/>
  <c r="M144" i="2"/>
  <c r="N144" i="2"/>
  <c r="O144" i="2"/>
  <c r="P144" i="2"/>
  <c r="Q144" i="2"/>
  <c r="R144" i="2"/>
  <c r="S144" i="2"/>
  <c r="T144" i="2"/>
  <c r="U144" i="2"/>
  <c r="V144" i="2"/>
  <c r="W144" i="2"/>
  <c r="Y144" i="2"/>
  <c r="Z144" i="2"/>
  <c r="AA144" i="2"/>
  <c r="AB144" i="2"/>
  <c r="AC144" i="2"/>
  <c r="AD144" i="2"/>
  <c r="AE144" i="2"/>
  <c r="AF144" i="2"/>
  <c r="AG144" i="2"/>
  <c r="AH144" i="2"/>
  <c r="AI144" i="2"/>
  <c r="AJ144" i="2"/>
  <c r="AK144" i="2"/>
  <c r="AL144" i="2"/>
  <c r="AM144" i="2"/>
  <c r="AN144" i="2"/>
  <c r="AO144" i="2"/>
  <c r="AP144" i="2"/>
  <c r="AQ144" i="2"/>
  <c r="AR144" i="2"/>
  <c r="AS144" i="2"/>
  <c r="AT144" i="2"/>
  <c r="AU144" i="2"/>
  <c r="AV144" i="2"/>
  <c r="AW144" i="2"/>
  <c r="AX144" i="2"/>
  <c r="AY144" i="2"/>
  <c r="AZ144" i="2"/>
  <c r="BA144" i="2"/>
  <c r="BB144" i="2"/>
  <c r="BC144" i="2"/>
  <c r="BD144" i="2"/>
  <c r="BE144" i="2"/>
  <c r="CO144" i="2"/>
  <c r="E145" i="2"/>
  <c r="CM145" i="2" s="1"/>
  <c r="F145" i="2"/>
  <c r="G145" i="2"/>
  <c r="H145" i="2"/>
  <c r="I145" i="2"/>
  <c r="J145" i="2"/>
  <c r="K145" i="2"/>
  <c r="L145" i="2"/>
  <c r="M145" i="2"/>
  <c r="N145" i="2"/>
  <c r="O145" i="2"/>
  <c r="P145" i="2"/>
  <c r="Q145" i="2"/>
  <c r="R145" i="2"/>
  <c r="S145" i="2"/>
  <c r="T145" i="2"/>
  <c r="U145" i="2"/>
  <c r="V145" i="2"/>
  <c r="W145" i="2"/>
  <c r="Y145" i="2"/>
  <c r="Z145" i="2"/>
  <c r="AA145" i="2"/>
  <c r="AB145" i="2"/>
  <c r="AC145" i="2"/>
  <c r="AD145" i="2"/>
  <c r="AE145" i="2"/>
  <c r="AF145" i="2"/>
  <c r="AG145" i="2"/>
  <c r="AH145" i="2"/>
  <c r="AI145" i="2"/>
  <c r="AJ145" i="2"/>
  <c r="AK145" i="2"/>
  <c r="AL145" i="2"/>
  <c r="AM145" i="2"/>
  <c r="AN145" i="2"/>
  <c r="AO145" i="2"/>
  <c r="AP145" i="2"/>
  <c r="AQ145" i="2"/>
  <c r="AR145" i="2"/>
  <c r="AS145" i="2"/>
  <c r="AT145" i="2"/>
  <c r="AU145" i="2"/>
  <c r="AV145" i="2"/>
  <c r="AW145" i="2"/>
  <c r="AX145" i="2"/>
  <c r="AY145" i="2"/>
  <c r="AZ145" i="2"/>
  <c r="BA145" i="2"/>
  <c r="BB145" i="2"/>
  <c r="BC145" i="2"/>
  <c r="BD145" i="2"/>
  <c r="BE145" i="2"/>
  <c r="CO145" i="2"/>
  <c r="E146" i="2"/>
  <c r="CM146" i="2" s="1"/>
  <c r="F146" i="2"/>
  <c r="G146" i="2"/>
  <c r="H146" i="2"/>
  <c r="I146" i="2"/>
  <c r="J146" i="2"/>
  <c r="K146" i="2"/>
  <c r="L146" i="2"/>
  <c r="M146" i="2"/>
  <c r="N146" i="2"/>
  <c r="O146" i="2"/>
  <c r="P146" i="2"/>
  <c r="Q146" i="2"/>
  <c r="R146" i="2"/>
  <c r="S146" i="2"/>
  <c r="T146" i="2"/>
  <c r="U146" i="2"/>
  <c r="V146" i="2"/>
  <c r="W146" i="2"/>
  <c r="Y146" i="2"/>
  <c r="Z146" i="2"/>
  <c r="AA146" i="2"/>
  <c r="AB146" i="2"/>
  <c r="AC146" i="2"/>
  <c r="AD146" i="2"/>
  <c r="AE146" i="2"/>
  <c r="AF146" i="2"/>
  <c r="AG146" i="2"/>
  <c r="AH146" i="2"/>
  <c r="AI146" i="2"/>
  <c r="AJ146" i="2"/>
  <c r="AK146" i="2"/>
  <c r="AL146" i="2"/>
  <c r="AM146" i="2"/>
  <c r="AN146" i="2"/>
  <c r="AO146" i="2"/>
  <c r="AP146" i="2"/>
  <c r="AQ146" i="2"/>
  <c r="AR146" i="2"/>
  <c r="AS146" i="2"/>
  <c r="AT146" i="2"/>
  <c r="AU146" i="2"/>
  <c r="AV146" i="2"/>
  <c r="AW146" i="2"/>
  <c r="AX146" i="2"/>
  <c r="AY146" i="2"/>
  <c r="AZ146" i="2"/>
  <c r="BA146" i="2"/>
  <c r="BB146" i="2"/>
  <c r="BC146" i="2"/>
  <c r="BD146" i="2"/>
  <c r="BE146" i="2"/>
  <c r="CO146" i="2"/>
  <c r="E147" i="2"/>
  <c r="CM147" i="2" s="1"/>
  <c r="F147" i="2"/>
  <c r="G147" i="2"/>
  <c r="H147" i="2"/>
  <c r="I147" i="2"/>
  <c r="J147" i="2"/>
  <c r="K147" i="2"/>
  <c r="L147" i="2"/>
  <c r="M147" i="2"/>
  <c r="N147" i="2"/>
  <c r="O147" i="2"/>
  <c r="P147" i="2"/>
  <c r="Q147" i="2"/>
  <c r="R147" i="2"/>
  <c r="S147" i="2"/>
  <c r="T147" i="2"/>
  <c r="U147" i="2"/>
  <c r="V147" i="2"/>
  <c r="W147" i="2"/>
  <c r="Y147" i="2"/>
  <c r="Z147" i="2"/>
  <c r="AA147" i="2"/>
  <c r="AB147" i="2"/>
  <c r="AC147" i="2"/>
  <c r="AD147" i="2"/>
  <c r="AE147" i="2"/>
  <c r="AF147" i="2"/>
  <c r="AG147" i="2"/>
  <c r="AH147" i="2"/>
  <c r="AI147" i="2"/>
  <c r="AJ147" i="2"/>
  <c r="AK147" i="2"/>
  <c r="AL147" i="2"/>
  <c r="AM147" i="2"/>
  <c r="AN147" i="2"/>
  <c r="AO147" i="2"/>
  <c r="AP147" i="2"/>
  <c r="AQ147" i="2"/>
  <c r="AR147" i="2"/>
  <c r="AS147" i="2"/>
  <c r="AT147" i="2"/>
  <c r="AU147" i="2"/>
  <c r="AV147" i="2"/>
  <c r="AW147" i="2"/>
  <c r="AX147" i="2"/>
  <c r="AY147" i="2"/>
  <c r="AZ147" i="2"/>
  <c r="BA147" i="2"/>
  <c r="BB147" i="2"/>
  <c r="BC147" i="2"/>
  <c r="BD147" i="2"/>
  <c r="BE147" i="2"/>
  <c r="CO147" i="2"/>
  <c r="E148" i="2"/>
  <c r="CM148" i="2" s="1"/>
  <c r="F148" i="2"/>
  <c r="G148" i="2"/>
  <c r="H148" i="2"/>
  <c r="I148" i="2"/>
  <c r="J148" i="2"/>
  <c r="K148" i="2"/>
  <c r="L148" i="2"/>
  <c r="M148" i="2"/>
  <c r="N148" i="2"/>
  <c r="O148" i="2"/>
  <c r="P148" i="2"/>
  <c r="Q148" i="2"/>
  <c r="R148" i="2"/>
  <c r="S148" i="2"/>
  <c r="T148" i="2"/>
  <c r="U148" i="2"/>
  <c r="V148" i="2"/>
  <c r="W148" i="2"/>
  <c r="Y148" i="2"/>
  <c r="Z148" i="2"/>
  <c r="AA148" i="2"/>
  <c r="AB148" i="2"/>
  <c r="AC148" i="2"/>
  <c r="AD148" i="2"/>
  <c r="AE148" i="2"/>
  <c r="AF148" i="2"/>
  <c r="AG148" i="2"/>
  <c r="AH148" i="2"/>
  <c r="AI148" i="2"/>
  <c r="AJ148" i="2"/>
  <c r="AK148" i="2"/>
  <c r="AL148" i="2"/>
  <c r="AM148" i="2"/>
  <c r="AN148" i="2"/>
  <c r="AO148" i="2"/>
  <c r="AP148" i="2"/>
  <c r="AQ148" i="2"/>
  <c r="AR148" i="2"/>
  <c r="AS148" i="2"/>
  <c r="AT148" i="2"/>
  <c r="AU148" i="2"/>
  <c r="AV148" i="2"/>
  <c r="AW148" i="2"/>
  <c r="AX148" i="2"/>
  <c r="AY148" i="2"/>
  <c r="AZ148" i="2"/>
  <c r="BA148" i="2"/>
  <c r="BB148" i="2"/>
  <c r="BC148" i="2"/>
  <c r="BD148" i="2"/>
  <c r="BE148" i="2"/>
  <c r="CO148" i="2"/>
  <c r="E149" i="2"/>
  <c r="CM149" i="2" s="1"/>
  <c r="F149" i="2"/>
  <c r="G149" i="2"/>
  <c r="H149" i="2"/>
  <c r="I149" i="2"/>
  <c r="J149" i="2"/>
  <c r="K149" i="2"/>
  <c r="L149" i="2"/>
  <c r="M149" i="2"/>
  <c r="N149" i="2"/>
  <c r="O149" i="2"/>
  <c r="P149" i="2"/>
  <c r="Q149" i="2"/>
  <c r="R149" i="2"/>
  <c r="S149" i="2"/>
  <c r="T149" i="2"/>
  <c r="U149" i="2"/>
  <c r="V149" i="2"/>
  <c r="W149" i="2"/>
  <c r="Y149" i="2"/>
  <c r="Z149" i="2"/>
  <c r="AA149" i="2"/>
  <c r="AB149" i="2"/>
  <c r="AC149" i="2"/>
  <c r="AD149" i="2"/>
  <c r="AE149" i="2"/>
  <c r="AF149" i="2"/>
  <c r="AG149" i="2"/>
  <c r="AH149" i="2"/>
  <c r="AI149" i="2"/>
  <c r="AJ149" i="2"/>
  <c r="AK149" i="2"/>
  <c r="AL149" i="2"/>
  <c r="AM149" i="2"/>
  <c r="AN149" i="2"/>
  <c r="AO149" i="2"/>
  <c r="AP149" i="2"/>
  <c r="AQ149" i="2"/>
  <c r="AR149" i="2"/>
  <c r="AS149" i="2"/>
  <c r="AT149" i="2"/>
  <c r="AU149" i="2"/>
  <c r="AV149" i="2"/>
  <c r="AW149" i="2"/>
  <c r="AX149" i="2"/>
  <c r="AY149" i="2"/>
  <c r="AZ149" i="2"/>
  <c r="BA149" i="2"/>
  <c r="BB149" i="2"/>
  <c r="BC149" i="2"/>
  <c r="BD149" i="2"/>
  <c r="BE149" i="2"/>
  <c r="CO149" i="2"/>
  <c r="E150" i="2"/>
  <c r="CM150" i="2" s="1"/>
  <c r="F150" i="2"/>
  <c r="G150" i="2"/>
  <c r="H150" i="2"/>
  <c r="I150" i="2"/>
  <c r="J150" i="2"/>
  <c r="K150" i="2"/>
  <c r="L150" i="2"/>
  <c r="M150" i="2"/>
  <c r="N150" i="2"/>
  <c r="O150" i="2"/>
  <c r="P150" i="2"/>
  <c r="Q150" i="2"/>
  <c r="R150" i="2"/>
  <c r="S150" i="2"/>
  <c r="T150" i="2"/>
  <c r="U150" i="2"/>
  <c r="V150" i="2"/>
  <c r="W150" i="2"/>
  <c r="Y150" i="2"/>
  <c r="Z150" i="2"/>
  <c r="AA150" i="2"/>
  <c r="AB150" i="2"/>
  <c r="AC150" i="2"/>
  <c r="AD150" i="2"/>
  <c r="AE150" i="2"/>
  <c r="AF150" i="2"/>
  <c r="AG150" i="2"/>
  <c r="AH150" i="2"/>
  <c r="AI150" i="2"/>
  <c r="AJ150" i="2"/>
  <c r="AK150" i="2"/>
  <c r="AL150" i="2"/>
  <c r="AM150" i="2"/>
  <c r="AN150" i="2"/>
  <c r="AO150" i="2"/>
  <c r="AP150" i="2"/>
  <c r="AQ150" i="2"/>
  <c r="AR150" i="2"/>
  <c r="AS150" i="2"/>
  <c r="AT150" i="2"/>
  <c r="AU150" i="2"/>
  <c r="AV150" i="2"/>
  <c r="AW150" i="2"/>
  <c r="AX150" i="2"/>
  <c r="AY150" i="2"/>
  <c r="AZ150" i="2"/>
  <c r="BA150" i="2"/>
  <c r="BB150" i="2"/>
  <c r="BC150" i="2"/>
  <c r="BD150" i="2"/>
  <c r="BE150" i="2"/>
  <c r="CO150" i="2"/>
  <c r="E151" i="2"/>
  <c r="CM151" i="2" s="1"/>
  <c r="F151" i="2"/>
  <c r="G151" i="2"/>
  <c r="H151" i="2"/>
  <c r="I151" i="2"/>
  <c r="J151" i="2"/>
  <c r="K151" i="2"/>
  <c r="L151" i="2"/>
  <c r="M151" i="2"/>
  <c r="N151" i="2"/>
  <c r="O151" i="2"/>
  <c r="P151" i="2"/>
  <c r="Q151" i="2"/>
  <c r="R151" i="2"/>
  <c r="S151" i="2"/>
  <c r="T151" i="2"/>
  <c r="U151" i="2"/>
  <c r="V151" i="2"/>
  <c r="W151" i="2"/>
  <c r="Y151" i="2"/>
  <c r="Z151" i="2"/>
  <c r="AA151" i="2"/>
  <c r="AB151" i="2"/>
  <c r="AC151" i="2"/>
  <c r="AD151" i="2"/>
  <c r="AE151" i="2"/>
  <c r="AF151" i="2"/>
  <c r="AG151" i="2"/>
  <c r="AH151" i="2"/>
  <c r="AI151" i="2"/>
  <c r="AJ151" i="2"/>
  <c r="AK151" i="2"/>
  <c r="AL151" i="2"/>
  <c r="AM151" i="2"/>
  <c r="AN151" i="2"/>
  <c r="AO151" i="2"/>
  <c r="AP151" i="2"/>
  <c r="AQ151" i="2"/>
  <c r="AR151" i="2"/>
  <c r="AS151" i="2"/>
  <c r="AT151" i="2"/>
  <c r="AU151" i="2"/>
  <c r="AV151" i="2"/>
  <c r="AW151" i="2"/>
  <c r="AX151" i="2"/>
  <c r="AY151" i="2"/>
  <c r="AZ151" i="2"/>
  <c r="BA151" i="2"/>
  <c r="BB151" i="2"/>
  <c r="BC151" i="2"/>
  <c r="BD151" i="2"/>
  <c r="BE151" i="2"/>
  <c r="CO151" i="2"/>
  <c r="E152" i="2"/>
  <c r="CM152" i="2" s="1"/>
  <c r="F152" i="2"/>
  <c r="G152" i="2"/>
  <c r="H152" i="2"/>
  <c r="I152" i="2"/>
  <c r="J152" i="2"/>
  <c r="K152" i="2"/>
  <c r="L152" i="2"/>
  <c r="M152" i="2"/>
  <c r="N152" i="2"/>
  <c r="O152" i="2"/>
  <c r="P152" i="2"/>
  <c r="Q152" i="2"/>
  <c r="R152" i="2"/>
  <c r="S152" i="2"/>
  <c r="T152" i="2"/>
  <c r="U152" i="2"/>
  <c r="V152" i="2"/>
  <c r="W152" i="2"/>
  <c r="Y152" i="2"/>
  <c r="Z152" i="2"/>
  <c r="AA152" i="2"/>
  <c r="AB152" i="2"/>
  <c r="AC152" i="2"/>
  <c r="AD152" i="2"/>
  <c r="AE152" i="2"/>
  <c r="AF152" i="2"/>
  <c r="AG152" i="2"/>
  <c r="AH152" i="2"/>
  <c r="AI152" i="2"/>
  <c r="AJ152" i="2"/>
  <c r="AK152" i="2"/>
  <c r="AL152" i="2"/>
  <c r="AM152" i="2"/>
  <c r="AN152" i="2"/>
  <c r="AO152" i="2"/>
  <c r="AP152" i="2"/>
  <c r="AQ152" i="2"/>
  <c r="AR152" i="2"/>
  <c r="AS152" i="2"/>
  <c r="AT152" i="2"/>
  <c r="AU152" i="2"/>
  <c r="AV152" i="2"/>
  <c r="AW152" i="2"/>
  <c r="AX152" i="2"/>
  <c r="AY152" i="2"/>
  <c r="AZ152" i="2"/>
  <c r="BA152" i="2"/>
  <c r="BB152" i="2"/>
  <c r="BC152" i="2"/>
  <c r="BD152" i="2"/>
  <c r="BE152" i="2"/>
  <c r="CO152" i="2"/>
  <c r="E153" i="2"/>
  <c r="CM153" i="2" s="1"/>
  <c r="F153" i="2"/>
  <c r="G153" i="2"/>
  <c r="H153" i="2"/>
  <c r="I153" i="2"/>
  <c r="J153" i="2"/>
  <c r="K153" i="2"/>
  <c r="L153" i="2"/>
  <c r="M153" i="2"/>
  <c r="N153" i="2"/>
  <c r="O153" i="2"/>
  <c r="P153" i="2"/>
  <c r="Q153" i="2"/>
  <c r="R153" i="2"/>
  <c r="S153" i="2"/>
  <c r="T153" i="2"/>
  <c r="U153" i="2"/>
  <c r="V153" i="2"/>
  <c r="W153" i="2"/>
  <c r="Y153" i="2"/>
  <c r="Z153" i="2"/>
  <c r="AA153" i="2"/>
  <c r="AB153" i="2"/>
  <c r="AC153" i="2"/>
  <c r="AD153" i="2"/>
  <c r="AE153" i="2"/>
  <c r="AF153" i="2"/>
  <c r="AG153" i="2"/>
  <c r="AH153" i="2"/>
  <c r="AI153" i="2"/>
  <c r="AJ153" i="2"/>
  <c r="AK153" i="2"/>
  <c r="AL153" i="2"/>
  <c r="AM153" i="2"/>
  <c r="AN153" i="2"/>
  <c r="AO153" i="2"/>
  <c r="AP153" i="2"/>
  <c r="AQ153" i="2"/>
  <c r="AR153" i="2"/>
  <c r="AS153" i="2"/>
  <c r="AT153" i="2"/>
  <c r="AU153" i="2"/>
  <c r="AV153" i="2"/>
  <c r="AW153" i="2"/>
  <c r="AX153" i="2"/>
  <c r="AY153" i="2"/>
  <c r="AZ153" i="2"/>
  <c r="BA153" i="2"/>
  <c r="BB153" i="2"/>
  <c r="BC153" i="2"/>
  <c r="BD153" i="2"/>
  <c r="BE153" i="2"/>
  <c r="CO153" i="2"/>
  <c r="E154" i="2"/>
  <c r="CM154" i="2" s="1"/>
  <c r="F154" i="2"/>
  <c r="G154" i="2"/>
  <c r="H154" i="2"/>
  <c r="I154" i="2"/>
  <c r="J154" i="2"/>
  <c r="K154" i="2"/>
  <c r="L154" i="2"/>
  <c r="M154" i="2"/>
  <c r="N154" i="2"/>
  <c r="O154" i="2"/>
  <c r="P154" i="2"/>
  <c r="Q154" i="2"/>
  <c r="R154" i="2"/>
  <c r="S154" i="2"/>
  <c r="T154" i="2"/>
  <c r="U154" i="2"/>
  <c r="V154" i="2"/>
  <c r="W154" i="2"/>
  <c r="Y154" i="2"/>
  <c r="Z154" i="2"/>
  <c r="AA154" i="2"/>
  <c r="AB154" i="2"/>
  <c r="AC154" i="2"/>
  <c r="AD154" i="2"/>
  <c r="AE154" i="2"/>
  <c r="AF154" i="2"/>
  <c r="AG154" i="2"/>
  <c r="AH154" i="2"/>
  <c r="AI154" i="2"/>
  <c r="AJ154" i="2"/>
  <c r="AK154" i="2"/>
  <c r="AL154" i="2"/>
  <c r="AM154" i="2"/>
  <c r="AN154" i="2"/>
  <c r="AO154" i="2"/>
  <c r="AP154" i="2"/>
  <c r="AQ154" i="2"/>
  <c r="AR154" i="2"/>
  <c r="AS154" i="2"/>
  <c r="AT154" i="2"/>
  <c r="AU154" i="2"/>
  <c r="AV154" i="2"/>
  <c r="AW154" i="2"/>
  <c r="AX154" i="2"/>
  <c r="AY154" i="2"/>
  <c r="AZ154" i="2"/>
  <c r="BA154" i="2"/>
  <c r="BB154" i="2"/>
  <c r="BC154" i="2"/>
  <c r="BD154" i="2"/>
  <c r="BE154" i="2"/>
  <c r="CO154" i="2"/>
  <c r="E155" i="2"/>
  <c r="CM155" i="2" s="1"/>
  <c r="F155" i="2"/>
  <c r="G155" i="2"/>
  <c r="H155" i="2"/>
  <c r="I155" i="2"/>
  <c r="J155" i="2"/>
  <c r="K155" i="2"/>
  <c r="L155" i="2"/>
  <c r="M155" i="2"/>
  <c r="N155" i="2"/>
  <c r="O155" i="2"/>
  <c r="P155" i="2"/>
  <c r="Q155" i="2"/>
  <c r="R155" i="2"/>
  <c r="S155" i="2"/>
  <c r="T155" i="2"/>
  <c r="U155" i="2"/>
  <c r="V155" i="2"/>
  <c r="W155" i="2"/>
  <c r="Y155" i="2"/>
  <c r="Z155" i="2"/>
  <c r="AA155" i="2"/>
  <c r="AB155" i="2"/>
  <c r="AC155" i="2"/>
  <c r="AD155" i="2"/>
  <c r="AE155" i="2"/>
  <c r="AF155" i="2"/>
  <c r="AG155" i="2"/>
  <c r="AH155" i="2"/>
  <c r="AI155" i="2"/>
  <c r="AJ155" i="2"/>
  <c r="AK155" i="2"/>
  <c r="AL155" i="2"/>
  <c r="AM155" i="2"/>
  <c r="AN155" i="2"/>
  <c r="AO155" i="2"/>
  <c r="AP155" i="2"/>
  <c r="AQ155" i="2"/>
  <c r="AR155" i="2"/>
  <c r="AS155" i="2"/>
  <c r="AT155" i="2"/>
  <c r="AU155" i="2"/>
  <c r="AV155" i="2"/>
  <c r="AW155" i="2"/>
  <c r="AX155" i="2"/>
  <c r="AY155" i="2"/>
  <c r="AZ155" i="2"/>
  <c r="BA155" i="2"/>
  <c r="BB155" i="2"/>
  <c r="BC155" i="2"/>
  <c r="BD155" i="2"/>
  <c r="BE155" i="2"/>
  <c r="CO155" i="2"/>
  <c r="E156" i="2"/>
  <c r="CM156" i="2" s="1"/>
  <c r="F156" i="2"/>
  <c r="G156" i="2"/>
  <c r="H156" i="2"/>
  <c r="I156" i="2"/>
  <c r="J156" i="2"/>
  <c r="K156" i="2"/>
  <c r="L156" i="2"/>
  <c r="M156" i="2"/>
  <c r="N156" i="2"/>
  <c r="O156" i="2"/>
  <c r="P156" i="2"/>
  <c r="Q156" i="2"/>
  <c r="R156" i="2"/>
  <c r="S156" i="2"/>
  <c r="T156" i="2"/>
  <c r="U156" i="2"/>
  <c r="V156" i="2"/>
  <c r="W156" i="2"/>
  <c r="Y156" i="2"/>
  <c r="Z156" i="2"/>
  <c r="AA156" i="2"/>
  <c r="AB156" i="2"/>
  <c r="AC156" i="2"/>
  <c r="AD156" i="2"/>
  <c r="AE156" i="2"/>
  <c r="AF156" i="2"/>
  <c r="AG156" i="2"/>
  <c r="AH156" i="2"/>
  <c r="AI156" i="2"/>
  <c r="AJ156" i="2"/>
  <c r="AK156" i="2"/>
  <c r="AL156" i="2"/>
  <c r="AM156" i="2"/>
  <c r="AN156" i="2"/>
  <c r="AO156" i="2"/>
  <c r="AP156" i="2"/>
  <c r="AQ156" i="2"/>
  <c r="AR156" i="2"/>
  <c r="AS156" i="2"/>
  <c r="AT156" i="2"/>
  <c r="AU156" i="2"/>
  <c r="AV156" i="2"/>
  <c r="AW156" i="2"/>
  <c r="AX156" i="2"/>
  <c r="AY156" i="2"/>
  <c r="AZ156" i="2"/>
  <c r="BA156" i="2"/>
  <c r="BB156" i="2"/>
  <c r="BC156" i="2"/>
  <c r="BD156" i="2"/>
  <c r="BE156" i="2"/>
  <c r="CO156" i="2"/>
  <c r="E157" i="2"/>
  <c r="CM157" i="2" s="1"/>
  <c r="F157" i="2"/>
  <c r="G157" i="2"/>
  <c r="H157" i="2"/>
  <c r="I157" i="2"/>
  <c r="J157" i="2"/>
  <c r="K157" i="2"/>
  <c r="L157" i="2"/>
  <c r="M157" i="2"/>
  <c r="N157" i="2"/>
  <c r="O157" i="2"/>
  <c r="P157" i="2"/>
  <c r="Q157" i="2"/>
  <c r="R157" i="2"/>
  <c r="S157" i="2"/>
  <c r="T157" i="2"/>
  <c r="U157" i="2"/>
  <c r="V157" i="2"/>
  <c r="W157" i="2"/>
  <c r="Y157" i="2"/>
  <c r="Z157" i="2"/>
  <c r="AA157" i="2"/>
  <c r="AB157" i="2"/>
  <c r="AC157" i="2"/>
  <c r="AD157" i="2"/>
  <c r="AE157" i="2"/>
  <c r="AF157" i="2"/>
  <c r="AG157" i="2"/>
  <c r="AH157" i="2"/>
  <c r="AI157" i="2"/>
  <c r="AJ157" i="2"/>
  <c r="AK157" i="2"/>
  <c r="AL157" i="2"/>
  <c r="AM157" i="2"/>
  <c r="AN157" i="2"/>
  <c r="AO157" i="2"/>
  <c r="AP157" i="2"/>
  <c r="AQ157" i="2"/>
  <c r="AR157" i="2"/>
  <c r="AS157" i="2"/>
  <c r="AT157" i="2"/>
  <c r="AU157" i="2"/>
  <c r="AV157" i="2"/>
  <c r="AW157" i="2"/>
  <c r="AX157" i="2"/>
  <c r="AY157" i="2"/>
  <c r="AZ157" i="2"/>
  <c r="BA157" i="2"/>
  <c r="BB157" i="2"/>
  <c r="BC157" i="2"/>
  <c r="BD157" i="2"/>
  <c r="BE157" i="2"/>
  <c r="CO157" i="2"/>
  <c r="E158" i="2"/>
  <c r="F158" i="2"/>
  <c r="H158" i="2"/>
  <c r="I158" i="2"/>
  <c r="J158" i="2"/>
  <c r="K158" i="2"/>
  <c r="L158" i="2"/>
  <c r="M158" i="2"/>
  <c r="N158" i="2"/>
  <c r="O158" i="2"/>
  <c r="P158" i="2"/>
  <c r="Q158" i="2"/>
  <c r="R158" i="2"/>
  <c r="S158" i="2"/>
  <c r="T158" i="2"/>
  <c r="U158" i="2"/>
  <c r="V158" i="2"/>
  <c r="W158" i="2"/>
  <c r="Y158" i="2"/>
  <c r="Z158" i="2"/>
  <c r="AA158" i="2"/>
  <c r="AB158" i="2"/>
  <c r="AC158" i="2"/>
  <c r="AD158" i="2"/>
  <c r="AE158" i="2"/>
  <c r="AF158" i="2"/>
  <c r="AG158" i="2"/>
  <c r="AH158" i="2"/>
  <c r="AI158" i="2"/>
  <c r="AJ158" i="2"/>
  <c r="AK158" i="2"/>
  <c r="AL158" i="2"/>
  <c r="AM158" i="2"/>
  <c r="AN158" i="2"/>
  <c r="AO158" i="2"/>
  <c r="AP158" i="2"/>
  <c r="AQ158" i="2"/>
  <c r="AR158" i="2"/>
  <c r="AS158" i="2"/>
  <c r="AT158" i="2"/>
  <c r="AU158" i="2"/>
  <c r="AV158" i="2"/>
  <c r="AW158" i="2"/>
  <c r="AX158" i="2"/>
  <c r="AY158" i="2"/>
  <c r="AZ158" i="2"/>
  <c r="BA158" i="2"/>
  <c r="BB158" i="2"/>
  <c r="BC158" i="2"/>
  <c r="BD158" i="2"/>
  <c r="BE158" i="2"/>
  <c r="CO158" i="2"/>
  <c r="E159" i="2"/>
  <c r="F159" i="2"/>
  <c r="H159" i="2"/>
  <c r="I159" i="2"/>
  <c r="J159" i="2"/>
  <c r="K159" i="2"/>
  <c r="L159" i="2"/>
  <c r="M159" i="2"/>
  <c r="N159" i="2"/>
  <c r="O159" i="2"/>
  <c r="P159" i="2"/>
  <c r="Q159" i="2"/>
  <c r="R159" i="2"/>
  <c r="S159" i="2"/>
  <c r="T159" i="2"/>
  <c r="U159" i="2"/>
  <c r="V159" i="2"/>
  <c r="W159" i="2"/>
  <c r="Y159" i="2"/>
  <c r="Z159" i="2"/>
  <c r="AA159" i="2"/>
  <c r="AB159" i="2"/>
  <c r="AC159" i="2"/>
  <c r="AD159" i="2"/>
  <c r="AE159" i="2"/>
  <c r="AF159" i="2"/>
  <c r="AG159" i="2"/>
  <c r="AH159" i="2"/>
  <c r="AI159" i="2"/>
  <c r="AJ159" i="2"/>
  <c r="AK159" i="2"/>
  <c r="AL159" i="2"/>
  <c r="AM159" i="2"/>
  <c r="AN159" i="2"/>
  <c r="AO159" i="2"/>
  <c r="AP159" i="2"/>
  <c r="AQ159" i="2"/>
  <c r="AR159" i="2"/>
  <c r="AS159" i="2"/>
  <c r="AT159" i="2"/>
  <c r="AU159" i="2"/>
  <c r="AV159" i="2"/>
  <c r="AW159" i="2"/>
  <c r="AX159" i="2"/>
  <c r="AY159" i="2"/>
  <c r="AZ159" i="2"/>
  <c r="BA159" i="2"/>
  <c r="BB159" i="2"/>
  <c r="BC159" i="2"/>
  <c r="BD159" i="2"/>
  <c r="BE159" i="2"/>
  <c r="CO159" i="2"/>
  <c r="E160" i="2"/>
  <c r="F160" i="2"/>
  <c r="G160" i="2"/>
  <c r="H160" i="2"/>
  <c r="I160" i="2"/>
  <c r="J160" i="2"/>
  <c r="K160" i="2"/>
  <c r="L160" i="2"/>
  <c r="M160" i="2"/>
  <c r="N160" i="2"/>
  <c r="O160" i="2"/>
  <c r="P160" i="2"/>
  <c r="Q160" i="2"/>
  <c r="R160" i="2"/>
  <c r="S160" i="2"/>
  <c r="T160" i="2"/>
  <c r="U160" i="2"/>
  <c r="V160" i="2"/>
  <c r="W160" i="2"/>
  <c r="Y160" i="2"/>
  <c r="Z160" i="2"/>
  <c r="AA160" i="2"/>
  <c r="AB160" i="2"/>
  <c r="AC160" i="2"/>
  <c r="AD160" i="2"/>
  <c r="AE160" i="2"/>
  <c r="AF160" i="2"/>
  <c r="AG160" i="2"/>
  <c r="AH160" i="2"/>
  <c r="AI160" i="2"/>
  <c r="AJ160" i="2"/>
  <c r="AK160" i="2"/>
  <c r="AL160" i="2"/>
  <c r="AM160" i="2"/>
  <c r="AN160" i="2"/>
  <c r="AO160" i="2"/>
  <c r="AP160" i="2"/>
  <c r="AQ160" i="2"/>
  <c r="AR160" i="2"/>
  <c r="AS160" i="2"/>
  <c r="AT160" i="2"/>
  <c r="AU160" i="2"/>
  <c r="AV160" i="2"/>
  <c r="AW160" i="2"/>
  <c r="AX160" i="2"/>
  <c r="AY160" i="2"/>
  <c r="AZ160" i="2"/>
  <c r="BA160" i="2"/>
  <c r="BB160" i="2"/>
  <c r="BC160" i="2"/>
  <c r="BD160" i="2"/>
  <c r="BE160" i="2"/>
  <c r="CO160" i="2"/>
  <c r="E161" i="2"/>
  <c r="F161" i="2"/>
  <c r="G161" i="2"/>
  <c r="H161" i="2"/>
  <c r="I161" i="2"/>
  <c r="J161" i="2"/>
  <c r="K161" i="2"/>
  <c r="L161" i="2"/>
  <c r="M161" i="2"/>
  <c r="N161" i="2"/>
  <c r="O161" i="2"/>
  <c r="P161" i="2"/>
  <c r="Q161" i="2"/>
  <c r="R161" i="2"/>
  <c r="S161" i="2"/>
  <c r="T161" i="2"/>
  <c r="U161" i="2"/>
  <c r="V161" i="2"/>
  <c r="W161" i="2"/>
  <c r="Y161" i="2"/>
  <c r="Z161" i="2"/>
  <c r="AA161" i="2"/>
  <c r="AB161" i="2"/>
  <c r="AC161" i="2"/>
  <c r="AD161" i="2"/>
  <c r="AE161" i="2"/>
  <c r="AF161" i="2"/>
  <c r="AG161" i="2"/>
  <c r="AH161" i="2"/>
  <c r="AI161" i="2"/>
  <c r="AJ161" i="2"/>
  <c r="AK161" i="2"/>
  <c r="AL161" i="2"/>
  <c r="AM161" i="2"/>
  <c r="AN161" i="2"/>
  <c r="AO161" i="2"/>
  <c r="AP161" i="2"/>
  <c r="AQ161" i="2"/>
  <c r="AR161" i="2"/>
  <c r="AS161" i="2"/>
  <c r="AT161" i="2"/>
  <c r="AU161" i="2"/>
  <c r="AV161" i="2"/>
  <c r="AW161" i="2"/>
  <c r="AX161" i="2"/>
  <c r="AY161" i="2"/>
  <c r="AZ161" i="2"/>
  <c r="BA161" i="2"/>
  <c r="BB161" i="2"/>
  <c r="BC161" i="2"/>
  <c r="BD161" i="2"/>
  <c r="BE161" i="2"/>
  <c r="CO161" i="2"/>
  <c r="E162" i="2"/>
  <c r="F162" i="2"/>
  <c r="H162" i="2"/>
  <c r="I162" i="2"/>
  <c r="J162" i="2"/>
  <c r="K162" i="2"/>
  <c r="L162" i="2"/>
  <c r="M162" i="2"/>
  <c r="N162" i="2"/>
  <c r="O162" i="2"/>
  <c r="P162" i="2"/>
  <c r="Q162" i="2"/>
  <c r="R162" i="2"/>
  <c r="S162" i="2"/>
  <c r="T162" i="2"/>
  <c r="U162" i="2"/>
  <c r="V162" i="2"/>
  <c r="W162" i="2"/>
  <c r="Y162" i="2"/>
  <c r="Z162" i="2"/>
  <c r="AA162" i="2"/>
  <c r="AB162" i="2"/>
  <c r="AC162" i="2"/>
  <c r="AD162" i="2"/>
  <c r="AE162" i="2"/>
  <c r="AF162" i="2"/>
  <c r="AG162" i="2"/>
  <c r="AH162" i="2"/>
  <c r="AI162" i="2"/>
  <c r="AJ162" i="2"/>
  <c r="AK162" i="2"/>
  <c r="AL162" i="2"/>
  <c r="AM162" i="2"/>
  <c r="AN162" i="2"/>
  <c r="AO162" i="2"/>
  <c r="AP162" i="2"/>
  <c r="AQ162" i="2"/>
  <c r="AR162" i="2"/>
  <c r="AS162" i="2"/>
  <c r="AT162" i="2"/>
  <c r="AU162" i="2"/>
  <c r="AV162" i="2"/>
  <c r="AW162" i="2"/>
  <c r="AX162" i="2"/>
  <c r="AY162" i="2"/>
  <c r="AZ162" i="2"/>
  <c r="BA162" i="2"/>
  <c r="BB162" i="2"/>
  <c r="BC162" i="2"/>
  <c r="BD162" i="2"/>
  <c r="BE162" i="2"/>
  <c r="CO162" i="2"/>
  <c r="E163" i="2"/>
  <c r="F163" i="2"/>
  <c r="H163" i="2"/>
  <c r="I163" i="2"/>
  <c r="J163" i="2"/>
  <c r="K163" i="2"/>
  <c r="L163" i="2"/>
  <c r="M163" i="2"/>
  <c r="N163" i="2"/>
  <c r="O163" i="2"/>
  <c r="P163" i="2"/>
  <c r="Q163" i="2"/>
  <c r="R163" i="2"/>
  <c r="S163" i="2"/>
  <c r="T163" i="2"/>
  <c r="U163" i="2"/>
  <c r="V163" i="2"/>
  <c r="W163" i="2"/>
  <c r="Y163" i="2"/>
  <c r="Z163" i="2"/>
  <c r="AA163" i="2"/>
  <c r="AB163" i="2"/>
  <c r="AC163" i="2"/>
  <c r="AD163" i="2"/>
  <c r="AE163" i="2"/>
  <c r="AF163" i="2"/>
  <c r="AG163" i="2"/>
  <c r="AH163" i="2"/>
  <c r="AI163" i="2"/>
  <c r="AJ163" i="2"/>
  <c r="AK163" i="2"/>
  <c r="AL163" i="2"/>
  <c r="AM163" i="2"/>
  <c r="AN163" i="2"/>
  <c r="AO163" i="2"/>
  <c r="AP163" i="2"/>
  <c r="AQ163" i="2"/>
  <c r="AR163" i="2"/>
  <c r="AS163" i="2"/>
  <c r="AT163" i="2"/>
  <c r="AU163" i="2"/>
  <c r="AV163" i="2"/>
  <c r="AW163" i="2"/>
  <c r="AX163" i="2"/>
  <c r="AY163" i="2"/>
  <c r="AZ163" i="2"/>
  <c r="BA163" i="2"/>
  <c r="BB163" i="2"/>
  <c r="BC163" i="2"/>
  <c r="BD163" i="2"/>
  <c r="BE163" i="2"/>
  <c r="CO163" i="2"/>
  <c r="E164" i="2"/>
  <c r="F164" i="2"/>
  <c r="G164" i="2"/>
  <c r="H164" i="2"/>
  <c r="I164" i="2"/>
  <c r="J164" i="2"/>
  <c r="K164" i="2"/>
  <c r="L164" i="2"/>
  <c r="M164" i="2"/>
  <c r="N164" i="2"/>
  <c r="O164" i="2"/>
  <c r="P164" i="2"/>
  <c r="Q164" i="2"/>
  <c r="R164" i="2"/>
  <c r="S164" i="2"/>
  <c r="T164" i="2"/>
  <c r="U164" i="2"/>
  <c r="V164" i="2"/>
  <c r="W164" i="2"/>
  <c r="Y164" i="2"/>
  <c r="Z164" i="2"/>
  <c r="AA164" i="2"/>
  <c r="AB164" i="2"/>
  <c r="AC164" i="2"/>
  <c r="AD164" i="2"/>
  <c r="AE164" i="2"/>
  <c r="AF164" i="2"/>
  <c r="AG164" i="2"/>
  <c r="AH164" i="2"/>
  <c r="AI164" i="2"/>
  <c r="AJ164" i="2"/>
  <c r="AK164" i="2"/>
  <c r="AL164" i="2"/>
  <c r="AM164" i="2"/>
  <c r="AN164" i="2"/>
  <c r="AO164" i="2"/>
  <c r="AP164" i="2"/>
  <c r="AQ164" i="2"/>
  <c r="AR164" i="2"/>
  <c r="AS164" i="2"/>
  <c r="AT164" i="2"/>
  <c r="AU164" i="2"/>
  <c r="AV164" i="2"/>
  <c r="AW164" i="2"/>
  <c r="AX164" i="2"/>
  <c r="AY164" i="2"/>
  <c r="AZ164" i="2"/>
  <c r="BA164" i="2"/>
  <c r="BB164" i="2"/>
  <c r="BC164" i="2"/>
  <c r="BD164" i="2"/>
  <c r="BE164" i="2"/>
  <c r="CO164" i="2"/>
  <c r="E165" i="2"/>
  <c r="F165" i="2"/>
  <c r="H165" i="2"/>
  <c r="I165" i="2"/>
  <c r="J165" i="2"/>
  <c r="K165" i="2"/>
  <c r="L165" i="2"/>
  <c r="M165" i="2"/>
  <c r="N165" i="2"/>
  <c r="O165" i="2"/>
  <c r="P165" i="2"/>
  <c r="Q165" i="2"/>
  <c r="R165" i="2"/>
  <c r="S165" i="2"/>
  <c r="T165" i="2"/>
  <c r="U165" i="2"/>
  <c r="V165" i="2"/>
  <c r="W165" i="2"/>
  <c r="Y165" i="2"/>
  <c r="Z165" i="2"/>
  <c r="AA165" i="2"/>
  <c r="AB165" i="2"/>
  <c r="AC165" i="2"/>
  <c r="AD165" i="2"/>
  <c r="AE165" i="2"/>
  <c r="AF165" i="2"/>
  <c r="AG165" i="2"/>
  <c r="AH165" i="2"/>
  <c r="AI165" i="2"/>
  <c r="AJ165" i="2"/>
  <c r="AK165" i="2"/>
  <c r="AL165" i="2"/>
  <c r="AM165" i="2"/>
  <c r="AN165" i="2"/>
  <c r="AO165" i="2"/>
  <c r="AP165" i="2"/>
  <c r="AQ165" i="2"/>
  <c r="AR165" i="2"/>
  <c r="AS165" i="2"/>
  <c r="AT165" i="2"/>
  <c r="AU165" i="2"/>
  <c r="AV165" i="2"/>
  <c r="AW165" i="2"/>
  <c r="AX165" i="2"/>
  <c r="AY165" i="2"/>
  <c r="AZ165" i="2"/>
  <c r="BA165" i="2"/>
  <c r="BB165" i="2"/>
  <c r="BC165" i="2"/>
  <c r="BD165" i="2"/>
  <c r="BE165" i="2"/>
  <c r="CO165" i="2"/>
  <c r="E166" i="2"/>
  <c r="F166" i="2"/>
  <c r="H166" i="2"/>
  <c r="I166" i="2"/>
  <c r="J166" i="2"/>
  <c r="K166" i="2"/>
  <c r="L166" i="2"/>
  <c r="M166" i="2"/>
  <c r="N166" i="2"/>
  <c r="O166" i="2"/>
  <c r="P166" i="2"/>
  <c r="Q166" i="2"/>
  <c r="R166" i="2"/>
  <c r="S166" i="2"/>
  <c r="T166" i="2"/>
  <c r="U166" i="2"/>
  <c r="V166" i="2"/>
  <c r="W166" i="2"/>
  <c r="Y166" i="2"/>
  <c r="Z166" i="2"/>
  <c r="AA166" i="2"/>
  <c r="AB166" i="2"/>
  <c r="AC166" i="2"/>
  <c r="AD166" i="2"/>
  <c r="AE166" i="2"/>
  <c r="AF166" i="2"/>
  <c r="AG166" i="2"/>
  <c r="AH166" i="2"/>
  <c r="AI166" i="2"/>
  <c r="AJ166" i="2"/>
  <c r="AK166" i="2"/>
  <c r="AL166" i="2"/>
  <c r="AM166" i="2"/>
  <c r="AN166" i="2"/>
  <c r="AO166" i="2"/>
  <c r="AP166" i="2"/>
  <c r="AQ166" i="2"/>
  <c r="AR166" i="2"/>
  <c r="AS166" i="2"/>
  <c r="AT166" i="2"/>
  <c r="AU166" i="2"/>
  <c r="AV166" i="2"/>
  <c r="AW166" i="2"/>
  <c r="AX166" i="2"/>
  <c r="AY166" i="2"/>
  <c r="AZ166" i="2"/>
  <c r="BA166" i="2"/>
  <c r="BB166" i="2"/>
  <c r="BC166" i="2"/>
  <c r="BD166" i="2"/>
  <c r="BE166" i="2"/>
  <c r="CO166" i="2"/>
  <c r="E167" i="2"/>
  <c r="F167" i="2"/>
  <c r="H167" i="2"/>
  <c r="I167" i="2"/>
  <c r="J167" i="2"/>
  <c r="K167" i="2"/>
  <c r="L167" i="2"/>
  <c r="M167" i="2"/>
  <c r="N167" i="2"/>
  <c r="O167" i="2"/>
  <c r="P167" i="2"/>
  <c r="Q167" i="2"/>
  <c r="R167" i="2"/>
  <c r="S167" i="2"/>
  <c r="T167" i="2"/>
  <c r="U167" i="2"/>
  <c r="V167" i="2"/>
  <c r="W167" i="2"/>
  <c r="Y167" i="2"/>
  <c r="Z167" i="2"/>
  <c r="AA167" i="2"/>
  <c r="AB167" i="2"/>
  <c r="AC167" i="2"/>
  <c r="AD167" i="2"/>
  <c r="AE167" i="2"/>
  <c r="AF167" i="2"/>
  <c r="AG167" i="2"/>
  <c r="AH167" i="2"/>
  <c r="AI167" i="2"/>
  <c r="AJ167" i="2"/>
  <c r="AK167" i="2"/>
  <c r="AL167" i="2"/>
  <c r="AM167" i="2"/>
  <c r="AN167" i="2"/>
  <c r="AO167" i="2"/>
  <c r="AP167" i="2"/>
  <c r="AQ167" i="2"/>
  <c r="AR167" i="2"/>
  <c r="AS167" i="2"/>
  <c r="AT167" i="2"/>
  <c r="AU167" i="2"/>
  <c r="AV167" i="2"/>
  <c r="AW167" i="2"/>
  <c r="AX167" i="2"/>
  <c r="AY167" i="2"/>
  <c r="AZ167" i="2"/>
  <c r="BA167" i="2"/>
  <c r="BB167" i="2"/>
  <c r="BC167" i="2"/>
  <c r="BD167" i="2"/>
  <c r="BE167" i="2"/>
  <c r="CO167" i="2"/>
  <c r="E168" i="2"/>
  <c r="F168" i="2"/>
  <c r="H168" i="2"/>
  <c r="I168" i="2"/>
  <c r="J168" i="2"/>
  <c r="K168" i="2"/>
  <c r="L168" i="2"/>
  <c r="M168" i="2"/>
  <c r="N168" i="2"/>
  <c r="O168" i="2"/>
  <c r="P168" i="2"/>
  <c r="Q168" i="2"/>
  <c r="R168" i="2"/>
  <c r="S168" i="2"/>
  <c r="T168" i="2"/>
  <c r="U168" i="2"/>
  <c r="V168" i="2"/>
  <c r="W168" i="2"/>
  <c r="Y168" i="2"/>
  <c r="Z168" i="2"/>
  <c r="AA168" i="2"/>
  <c r="AB168" i="2"/>
  <c r="AC168" i="2"/>
  <c r="AD168" i="2"/>
  <c r="AE168" i="2"/>
  <c r="AF168" i="2"/>
  <c r="AG168" i="2"/>
  <c r="AH168" i="2"/>
  <c r="AI168" i="2"/>
  <c r="AJ168" i="2"/>
  <c r="AK168" i="2"/>
  <c r="AL168" i="2"/>
  <c r="AM168" i="2"/>
  <c r="AN168" i="2"/>
  <c r="AO168" i="2"/>
  <c r="AP168" i="2"/>
  <c r="AQ168" i="2"/>
  <c r="AR168" i="2"/>
  <c r="AS168" i="2"/>
  <c r="AT168" i="2"/>
  <c r="AU168" i="2"/>
  <c r="AV168" i="2"/>
  <c r="AW168" i="2"/>
  <c r="AX168" i="2"/>
  <c r="AY168" i="2"/>
  <c r="AZ168" i="2"/>
  <c r="BA168" i="2"/>
  <c r="BB168" i="2"/>
  <c r="BC168" i="2"/>
  <c r="BD168" i="2"/>
  <c r="BE168" i="2"/>
  <c r="CO168" i="2"/>
  <c r="E169" i="2"/>
  <c r="F169" i="2"/>
  <c r="H169" i="2"/>
  <c r="I169" i="2"/>
  <c r="J169" i="2"/>
  <c r="K169" i="2"/>
  <c r="L169" i="2"/>
  <c r="M169" i="2"/>
  <c r="N169" i="2"/>
  <c r="O169" i="2"/>
  <c r="P169" i="2"/>
  <c r="Q169" i="2"/>
  <c r="R169" i="2"/>
  <c r="S169" i="2"/>
  <c r="T169" i="2"/>
  <c r="U169" i="2"/>
  <c r="V169" i="2"/>
  <c r="W169" i="2"/>
  <c r="Y169" i="2"/>
  <c r="Z169" i="2"/>
  <c r="AA169" i="2"/>
  <c r="AB169" i="2"/>
  <c r="AC169" i="2"/>
  <c r="AD169" i="2"/>
  <c r="AE169" i="2"/>
  <c r="AF169" i="2"/>
  <c r="AG169" i="2"/>
  <c r="AH169" i="2"/>
  <c r="AI169" i="2"/>
  <c r="AJ169" i="2"/>
  <c r="AK169" i="2"/>
  <c r="AL169" i="2"/>
  <c r="AM169" i="2"/>
  <c r="AN169" i="2"/>
  <c r="AO169" i="2"/>
  <c r="AP169" i="2"/>
  <c r="AQ169" i="2"/>
  <c r="AR169" i="2"/>
  <c r="AS169" i="2"/>
  <c r="AT169" i="2"/>
  <c r="AU169" i="2"/>
  <c r="AV169" i="2"/>
  <c r="AW169" i="2"/>
  <c r="AX169" i="2"/>
  <c r="AY169" i="2"/>
  <c r="AZ169" i="2"/>
  <c r="BA169" i="2"/>
  <c r="BB169" i="2"/>
  <c r="BC169" i="2"/>
  <c r="BD169" i="2"/>
  <c r="BE169" i="2"/>
  <c r="CO169" i="2"/>
  <c r="E170" i="2"/>
  <c r="F170" i="2"/>
  <c r="H170" i="2"/>
  <c r="I170" i="2"/>
  <c r="J170" i="2"/>
  <c r="K170" i="2"/>
  <c r="L170" i="2"/>
  <c r="M170" i="2"/>
  <c r="N170" i="2"/>
  <c r="O170" i="2"/>
  <c r="P170" i="2"/>
  <c r="Q170" i="2"/>
  <c r="R170" i="2"/>
  <c r="S170" i="2"/>
  <c r="T170" i="2"/>
  <c r="U170" i="2"/>
  <c r="V170" i="2"/>
  <c r="W170" i="2"/>
  <c r="Y170" i="2"/>
  <c r="Z170" i="2"/>
  <c r="AA170" i="2"/>
  <c r="AB170" i="2"/>
  <c r="AC170" i="2"/>
  <c r="AD170" i="2"/>
  <c r="AE170" i="2"/>
  <c r="AF170" i="2"/>
  <c r="AG170" i="2"/>
  <c r="AH170" i="2"/>
  <c r="AI170" i="2"/>
  <c r="AJ170" i="2"/>
  <c r="AK170" i="2"/>
  <c r="AL170" i="2"/>
  <c r="AM170" i="2"/>
  <c r="AN170" i="2"/>
  <c r="AO170" i="2"/>
  <c r="AP170" i="2"/>
  <c r="AQ170" i="2"/>
  <c r="AR170" i="2"/>
  <c r="AS170" i="2"/>
  <c r="AT170" i="2"/>
  <c r="AU170" i="2"/>
  <c r="AV170" i="2"/>
  <c r="AW170" i="2"/>
  <c r="AX170" i="2"/>
  <c r="AY170" i="2"/>
  <c r="AZ170" i="2"/>
  <c r="BA170" i="2"/>
  <c r="BB170" i="2"/>
  <c r="BC170" i="2"/>
  <c r="BD170" i="2"/>
  <c r="BE170" i="2"/>
  <c r="CO170" i="2"/>
  <c r="E171" i="2"/>
  <c r="F171" i="2"/>
  <c r="H171" i="2"/>
  <c r="I171" i="2"/>
  <c r="J171" i="2"/>
  <c r="K171" i="2"/>
  <c r="L171" i="2"/>
  <c r="M171" i="2"/>
  <c r="N171" i="2"/>
  <c r="O171" i="2"/>
  <c r="P171" i="2"/>
  <c r="Q171" i="2"/>
  <c r="R171" i="2"/>
  <c r="S171" i="2"/>
  <c r="T171" i="2"/>
  <c r="U171" i="2"/>
  <c r="V171" i="2"/>
  <c r="W171" i="2"/>
  <c r="Y171" i="2"/>
  <c r="Z171" i="2"/>
  <c r="AA171" i="2"/>
  <c r="AB171" i="2"/>
  <c r="AC171" i="2"/>
  <c r="AD171" i="2"/>
  <c r="AE171" i="2"/>
  <c r="AF171" i="2"/>
  <c r="AG171" i="2"/>
  <c r="AH171" i="2"/>
  <c r="AI171" i="2"/>
  <c r="AJ171" i="2"/>
  <c r="AK171" i="2"/>
  <c r="AL171" i="2"/>
  <c r="AM171" i="2"/>
  <c r="AN171" i="2"/>
  <c r="AO171" i="2"/>
  <c r="AP171" i="2"/>
  <c r="AQ171" i="2"/>
  <c r="AR171" i="2"/>
  <c r="AS171" i="2"/>
  <c r="AT171" i="2"/>
  <c r="AU171" i="2"/>
  <c r="AV171" i="2"/>
  <c r="AW171" i="2"/>
  <c r="AX171" i="2"/>
  <c r="AY171" i="2"/>
  <c r="AZ171" i="2"/>
  <c r="BA171" i="2"/>
  <c r="BB171" i="2"/>
  <c r="BC171" i="2"/>
  <c r="BD171" i="2"/>
  <c r="BE171" i="2"/>
  <c r="CO171" i="2"/>
  <c r="E172" i="2"/>
  <c r="F172" i="2"/>
  <c r="H172" i="2"/>
  <c r="I172" i="2"/>
  <c r="J172" i="2"/>
  <c r="K172" i="2"/>
  <c r="L172" i="2"/>
  <c r="M172" i="2"/>
  <c r="N172" i="2"/>
  <c r="O172" i="2"/>
  <c r="P172" i="2"/>
  <c r="Q172" i="2"/>
  <c r="R172" i="2"/>
  <c r="S172" i="2"/>
  <c r="T172" i="2"/>
  <c r="U172" i="2"/>
  <c r="V172" i="2"/>
  <c r="W172" i="2"/>
  <c r="Y172" i="2"/>
  <c r="Z172" i="2"/>
  <c r="AA172" i="2"/>
  <c r="AB172" i="2"/>
  <c r="AC172" i="2"/>
  <c r="AD172" i="2"/>
  <c r="AE172" i="2"/>
  <c r="AF172" i="2"/>
  <c r="AG172" i="2"/>
  <c r="AH172" i="2"/>
  <c r="AI172" i="2"/>
  <c r="AJ172" i="2"/>
  <c r="AK172" i="2"/>
  <c r="AL172" i="2"/>
  <c r="AM172" i="2"/>
  <c r="AN172" i="2"/>
  <c r="AO172" i="2"/>
  <c r="AP172" i="2"/>
  <c r="AQ172" i="2"/>
  <c r="AR172" i="2"/>
  <c r="AS172" i="2"/>
  <c r="AT172" i="2"/>
  <c r="AU172" i="2"/>
  <c r="AV172" i="2"/>
  <c r="AW172" i="2"/>
  <c r="AX172" i="2"/>
  <c r="AY172" i="2"/>
  <c r="AZ172" i="2"/>
  <c r="BA172" i="2"/>
  <c r="BB172" i="2"/>
  <c r="BC172" i="2"/>
  <c r="BD172" i="2"/>
  <c r="BE172" i="2"/>
  <c r="CO172" i="2"/>
  <c r="E173" i="2"/>
  <c r="F173" i="2"/>
  <c r="H173" i="2"/>
  <c r="I173" i="2"/>
  <c r="J173" i="2"/>
  <c r="K173" i="2"/>
  <c r="L173" i="2"/>
  <c r="M173" i="2"/>
  <c r="N173" i="2"/>
  <c r="O173" i="2"/>
  <c r="P173" i="2"/>
  <c r="Q173" i="2"/>
  <c r="R173" i="2"/>
  <c r="S173" i="2"/>
  <c r="T173" i="2"/>
  <c r="U173" i="2"/>
  <c r="V173" i="2"/>
  <c r="W173" i="2"/>
  <c r="Y173" i="2"/>
  <c r="Z173" i="2"/>
  <c r="AA173" i="2"/>
  <c r="AB173" i="2"/>
  <c r="AC173" i="2"/>
  <c r="AD173" i="2"/>
  <c r="AE173" i="2"/>
  <c r="AF173" i="2"/>
  <c r="AG173" i="2"/>
  <c r="AH173" i="2"/>
  <c r="AI173" i="2"/>
  <c r="AJ173" i="2"/>
  <c r="AK173" i="2"/>
  <c r="AL173" i="2"/>
  <c r="AM173" i="2"/>
  <c r="AN173" i="2"/>
  <c r="AO173" i="2"/>
  <c r="AP173" i="2"/>
  <c r="AQ173" i="2"/>
  <c r="AR173" i="2"/>
  <c r="AS173" i="2"/>
  <c r="AT173" i="2"/>
  <c r="AU173" i="2"/>
  <c r="AV173" i="2"/>
  <c r="AW173" i="2"/>
  <c r="AX173" i="2"/>
  <c r="AY173" i="2"/>
  <c r="AZ173" i="2"/>
  <c r="BA173" i="2"/>
  <c r="BB173" i="2"/>
  <c r="BC173" i="2"/>
  <c r="BD173" i="2"/>
  <c r="BE173" i="2"/>
  <c r="CO173" i="2"/>
  <c r="E174" i="2"/>
  <c r="F174" i="2"/>
  <c r="H174" i="2"/>
  <c r="I174" i="2"/>
  <c r="J174" i="2"/>
  <c r="K174" i="2"/>
  <c r="L174" i="2"/>
  <c r="M174" i="2"/>
  <c r="N174" i="2"/>
  <c r="O174" i="2"/>
  <c r="P174" i="2"/>
  <c r="Q174" i="2"/>
  <c r="R174" i="2"/>
  <c r="S174" i="2"/>
  <c r="T174" i="2"/>
  <c r="U174" i="2"/>
  <c r="V174" i="2"/>
  <c r="W174" i="2"/>
  <c r="Y174" i="2"/>
  <c r="Z174" i="2"/>
  <c r="AA174" i="2"/>
  <c r="AB174" i="2"/>
  <c r="AC174" i="2"/>
  <c r="AD174" i="2"/>
  <c r="AE174" i="2"/>
  <c r="AF174" i="2"/>
  <c r="AG174" i="2"/>
  <c r="AH174" i="2"/>
  <c r="AI174" i="2"/>
  <c r="AJ174" i="2"/>
  <c r="AK174" i="2"/>
  <c r="AL174" i="2"/>
  <c r="AM174" i="2"/>
  <c r="AN174" i="2"/>
  <c r="AO174" i="2"/>
  <c r="AP174" i="2"/>
  <c r="AQ174" i="2"/>
  <c r="AR174" i="2"/>
  <c r="AS174" i="2"/>
  <c r="AT174" i="2"/>
  <c r="AU174" i="2"/>
  <c r="AV174" i="2"/>
  <c r="AW174" i="2"/>
  <c r="AX174" i="2"/>
  <c r="AY174" i="2"/>
  <c r="AZ174" i="2"/>
  <c r="BA174" i="2"/>
  <c r="BB174" i="2"/>
  <c r="BC174" i="2"/>
  <c r="BD174" i="2"/>
  <c r="BE174" i="2"/>
  <c r="CO174" i="2"/>
  <c r="E175" i="2"/>
  <c r="F175" i="2"/>
  <c r="H175" i="2"/>
  <c r="I175" i="2"/>
  <c r="J175" i="2"/>
  <c r="K175" i="2"/>
  <c r="L175" i="2"/>
  <c r="M175" i="2"/>
  <c r="N175" i="2"/>
  <c r="O175" i="2"/>
  <c r="P175" i="2"/>
  <c r="Q175" i="2"/>
  <c r="R175" i="2"/>
  <c r="S175" i="2"/>
  <c r="T175" i="2"/>
  <c r="U175" i="2"/>
  <c r="V175" i="2"/>
  <c r="W175" i="2"/>
  <c r="Y175" i="2"/>
  <c r="Z175" i="2"/>
  <c r="AA175" i="2"/>
  <c r="AB175" i="2"/>
  <c r="AC175" i="2"/>
  <c r="AD175" i="2"/>
  <c r="AE175" i="2"/>
  <c r="AF175" i="2"/>
  <c r="AG175" i="2"/>
  <c r="AH175" i="2"/>
  <c r="AI175" i="2"/>
  <c r="AJ175" i="2"/>
  <c r="AK175" i="2"/>
  <c r="AL175" i="2"/>
  <c r="AM175" i="2"/>
  <c r="AN175" i="2"/>
  <c r="AO175" i="2"/>
  <c r="AP175" i="2"/>
  <c r="AQ175" i="2"/>
  <c r="AR175" i="2"/>
  <c r="AS175" i="2"/>
  <c r="AT175" i="2"/>
  <c r="AU175" i="2"/>
  <c r="AV175" i="2"/>
  <c r="AW175" i="2"/>
  <c r="AX175" i="2"/>
  <c r="AY175" i="2"/>
  <c r="AZ175" i="2"/>
  <c r="BA175" i="2"/>
  <c r="BB175" i="2"/>
  <c r="BC175" i="2"/>
  <c r="BD175" i="2"/>
  <c r="BE175" i="2"/>
  <c r="CO175" i="2"/>
  <c r="E176" i="2"/>
  <c r="F176" i="2"/>
  <c r="H176" i="2"/>
  <c r="I176" i="2"/>
  <c r="J176" i="2"/>
  <c r="K176" i="2"/>
  <c r="L176" i="2"/>
  <c r="M176" i="2"/>
  <c r="N176" i="2"/>
  <c r="O176" i="2"/>
  <c r="P176" i="2"/>
  <c r="Q176" i="2"/>
  <c r="R176" i="2"/>
  <c r="S176" i="2"/>
  <c r="T176" i="2"/>
  <c r="U176" i="2"/>
  <c r="V176" i="2"/>
  <c r="W176" i="2"/>
  <c r="Y176" i="2"/>
  <c r="Z176" i="2"/>
  <c r="AA176" i="2"/>
  <c r="AB176" i="2"/>
  <c r="AC176" i="2"/>
  <c r="AD176" i="2"/>
  <c r="AE176" i="2"/>
  <c r="AF176" i="2"/>
  <c r="AG176" i="2"/>
  <c r="AH176" i="2"/>
  <c r="AI176" i="2"/>
  <c r="AJ176" i="2"/>
  <c r="AK176" i="2"/>
  <c r="AL176" i="2"/>
  <c r="AM176" i="2"/>
  <c r="AN176" i="2"/>
  <c r="AO176" i="2"/>
  <c r="AP176" i="2"/>
  <c r="AQ176" i="2"/>
  <c r="AR176" i="2"/>
  <c r="AS176" i="2"/>
  <c r="AT176" i="2"/>
  <c r="AU176" i="2"/>
  <c r="AV176" i="2"/>
  <c r="AW176" i="2"/>
  <c r="AX176" i="2"/>
  <c r="AY176" i="2"/>
  <c r="AZ176" i="2"/>
  <c r="BA176" i="2"/>
  <c r="BB176" i="2"/>
  <c r="BC176" i="2"/>
  <c r="BD176" i="2"/>
  <c r="BE176" i="2"/>
  <c r="CO176" i="2"/>
  <c r="E177" i="2"/>
  <c r="F177" i="2"/>
  <c r="H177" i="2"/>
  <c r="I177" i="2"/>
  <c r="J177" i="2"/>
  <c r="K177" i="2"/>
  <c r="L177" i="2"/>
  <c r="M177" i="2"/>
  <c r="N177" i="2"/>
  <c r="O177" i="2"/>
  <c r="P177" i="2"/>
  <c r="Q177" i="2"/>
  <c r="R177" i="2"/>
  <c r="S177" i="2"/>
  <c r="T177" i="2"/>
  <c r="U177" i="2"/>
  <c r="V177" i="2"/>
  <c r="W177" i="2"/>
  <c r="Y177" i="2"/>
  <c r="Z177" i="2"/>
  <c r="AA177" i="2"/>
  <c r="AB177" i="2"/>
  <c r="AC177" i="2"/>
  <c r="AD177" i="2"/>
  <c r="AE177" i="2"/>
  <c r="AF177" i="2"/>
  <c r="AG177" i="2"/>
  <c r="AH177" i="2"/>
  <c r="AI177" i="2"/>
  <c r="AJ177" i="2"/>
  <c r="AK177" i="2"/>
  <c r="AL177" i="2"/>
  <c r="AM177" i="2"/>
  <c r="AN177" i="2"/>
  <c r="AO177" i="2"/>
  <c r="AP177" i="2"/>
  <c r="AQ177" i="2"/>
  <c r="AR177" i="2"/>
  <c r="AS177" i="2"/>
  <c r="AT177" i="2"/>
  <c r="AU177" i="2"/>
  <c r="AV177" i="2"/>
  <c r="AW177" i="2"/>
  <c r="AX177" i="2"/>
  <c r="AY177" i="2"/>
  <c r="AZ177" i="2"/>
  <c r="BA177" i="2"/>
  <c r="BB177" i="2"/>
  <c r="BC177" i="2"/>
  <c r="BD177" i="2"/>
  <c r="BE177" i="2"/>
  <c r="CO177" i="2"/>
  <c r="E178" i="2"/>
  <c r="CM178" i="2" s="1"/>
  <c r="F178" i="2"/>
  <c r="H178" i="2"/>
  <c r="I178" i="2"/>
  <c r="J178" i="2"/>
  <c r="K178" i="2"/>
  <c r="L178" i="2"/>
  <c r="M178" i="2"/>
  <c r="N178" i="2"/>
  <c r="O178" i="2"/>
  <c r="P178" i="2"/>
  <c r="Q178" i="2"/>
  <c r="R178" i="2"/>
  <c r="S178" i="2"/>
  <c r="T178" i="2"/>
  <c r="U178" i="2"/>
  <c r="V178" i="2"/>
  <c r="W178" i="2"/>
  <c r="Y178" i="2"/>
  <c r="Z178" i="2"/>
  <c r="AA178" i="2"/>
  <c r="AB178" i="2"/>
  <c r="AC178" i="2"/>
  <c r="AD178" i="2"/>
  <c r="AE178" i="2"/>
  <c r="AF178" i="2"/>
  <c r="AG178" i="2"/>
  <c r="AH178" i="2"/>
  <c r="AI178" i="2"/>
  <c r="AJ178" i="2"/>
  <c r="AK178" i="2"/>
  <c r="AL178" i="2"/>
  <c r="AM178" i="2"/>
  <c r="AN178" i="2"/>
  <c r="AO178" i="2"/>
  <c r="AP178" i="2"/>
  <c r="AQ178" i="2"/>
  <c r="AR178" i="2"/>
  <c r="AS178" i="2"/>
  <c r="AT178" i="2"/>
  <c r="AU178" i="2"/>
  <c r="AV178" i="2"/>
  <c r="AW178" i="2"/>
  <c r="AX178" i="2"/>
  <c r="AY178" i="2"/>
  <c r="AZ178" i="2"/>
  <c r="BA178" i="2"/>
  <c r="BB178" i="2"/>
  <c r="BC178" i="2"/>
  <c r="BD178" i="2"/>
  <c r="BE178" i="2"/>
  <c r="CO178" i="2"/>
  <c r="E179" i="2"/>
  <c r="CM179" i="2" s="1"/>
  <c r="F179" i="2"/>
  <c r="H179" i="2"/>
  <c r="I179" i="2"/>
  <c r="J179" i="2"/>
  <c r="K179" i="2"/>
  <c r="L179" i="2"/>
  <c r="M179" i="2"/>
  <c r="N179" i="2"/>
  <c r="O179" i="2"/>
  <c r="P179" i="2"/>
  <c r="Q179" i="2"/>
  <c r="R179" i="2"/>
  <c r="S179" i="2"/>
  <c r="T179" i="2"/>
  <c r="U179" i="2"/>
  <c r="V179" i="2"/>
  <c r="W179" i="2"/>
  <c r="Y179" i="2"/>
  <c r="Z179" i="2"/>
  <c r="AA179" i="2"/>
  <c r="AB179" i="2"/>
  <c r="AC179" i="2"/>
  <c r="AD179" i="2"/>
  <c r="AE179" i="2"/>
  <c r="AF179" i="2"/>
  <c r="AG179" i="2"/>
  <c r="AH179" i="2"/>
  <c r="AI179" i="2"/>
  <c r="AJ179" i="2"/>
  <c r="AK179" i="2"/>
  <c r="AL179" i="2"/>
  <c r="AM179" i="2"/>
  <c r="AN179" i="2"/>
  <c r="AO179" i="2"/>
  <c r="AP179" i="2"/>
  <c r="AQ179" i="2"/>
  <c r="AR179" i="2"/>
  <c r="AS179" i="2"/>
  <c r="AT179" i="2"/>
  <c r="AU179" i="2"/>
  <c r="AV179" i="2"/>
  <c r="AW179" i="2"/>
  <c r="AX179" i="2"/>
  <c r="AY179" i="2"/>
  <c r="AZ179" i="2"/>
  <c r="BA179" i="2"/>
  <c r="BB179" i="2"/>
  <c r="BC179" i="2"/>
  <c r="BD179" i="2"/>
  <c r="BE179" i="2"/>
  <c r="CO179" i="2"/>
  <c r="E180" i="2"/>
  <c r="CM180" i="2" s="1"/>
  <c r="F180" i="2"/>
  <c r="H180" i="2"/>
  <c r="I180" i="2"/>
  <c r="J180" i="2"/>
  <c r="K180" i="2"/>
  <c r="L180" i="2"/>
  <c r="M180" i="2"/>
  <c r="N180" i="2"/>
  <c r="O180" i="2"/>
  <c r="P180" i="2"/>
  <c r="Q180" i="2"/>
  <c r="R180" i="2"/>
  <c r="S180" i="2"/>
  <c r="T180" i="2"/>
  <c r="U180" i="2"/>
  <c r="V180" i="2"/>
  <c r="W180" i="2"/>
  <c r="Y180" i="2"/>
  <c r="Z180" i="2"/>
  <c r="AA180" i="2"/>
  <c r="AB180" i="2"/>
  <c r="AC180" i="2"/>
  <c r="AD180" i="2"/>
  <c r="AE180" i="2"/>
  <c r="AF180" i="2"/>
  <c r="AG180" i="2"/>
  <c r="AH180" i="2"/>
  <c r="AI180" i="2"/>
  <c r="AJ180" i="2"/>
  <c r="AK180" i="2"/>
  <c r="AL180" i="2"/>
  <c r="AM180" i="2"/>
  <c r="AN180" i="2"/>
  <c r="AO180" i="2"/>
  <c r="AP180" i="2"/>
  <c r="AQ180" i="2"/>
  <c r="AR180" i="2"/>
  <c r="AS180" i="2"/>
  <c r="AT180" i="2"/>
  <c r="AU180" i="2"/>
  <c r="AV180" i="2"/>
  <c r="AW180" i="2"/>
  <c r="AX180" i="2"/>
  <c r="AY180" i="2"/>
  <c r="AZ180" i="2"/>
  <c r="BA180" i="2"/>
  <c r="BB180" i="2"/>
  <c r="BC180" i="2"/>
  <c r="BD180" i="2"/>
  <c r="BE180" i="2"/>
  <c r="CO180" i="2"/>
  <c r="E181" i="2"/>
  <c r="CM181" i="2" s="1"/>
  <c r="F181" i="2"/>
  <c r="H181" i="2"/>
  <c r="I181" i="2"/>
  <c r="J181" i="2"/>
  <c r="K181" i="2"/>
  <c r="L181" i="2"/>
  <c r="M181" i="2"/>
  <c r="N181" i="2"/>
  <c r="O181" i="2"/>
  <c r="P181" i="2"/>
  <c r="Q181" i="2"/>
  <c r="R181" i="2"/>
  <c r="S181" i="2"/>
  <c r="T181" i="2"/>
  <c r="U181" i="2"/>
  <c r="V181" i="2"/>
  <c r="W181" i="2"/>
  <c r="Y181" i="2"/>
  <c r="Z181" i="2"/>
  <c r="AA181" i="2"/>
  <c r="AB181" i="2"/>
  <c r="AC181" i="2"/>
  <c r="AD181" i="2"/>
  <c r="AE181" i="2"/>
  <c r="AF181" i="2"/>
  <c r="AG181" i="2"/>
  <c r="AH181" i="2"/>
  <c r="AI181" i="2"/>
  <c r="AJ181" i="2"/>
  <c r="AK181" i="2"/>
  <c r="AL181" i="2"/>
  <c r="AM181" i="2"/>
  <c r="AN181" i="2"/>
  <c r="AO181" i="2"/>
  <c r="AP181" i="2"/>
  <c r="AQ181" i="2"/>
  <c r="AR181" i="2"/>
  <c r="AS181" i="2"/>
  <c r="AT181" i="2"/>
  <c r="AU181" i="2"/>
  <c r="AV181" i="2"/>
  <c r="AW181" i="2"/>
  <c r="AX181" i="2"/>
  <c r="AY181" i="2"/>
  <c r="AZ181" i="2"/>
  <c r="BA181" i="2"/>
  <c r="BB181" i="2"/>
  <c r="BC181" i="2"/>
  <c r="BD181" i="2"/>
  <c r="BE181" i="2"/>
  <c r="CO181" i="2"/>
  <c r="E182" i="2"/>
  <c r="F182" i="2"/>
  <c r="G182" i="2"/>
  <c r="H182" i="2"/>
  <c r="I182" i="2"/>
  <c r="J182" i="2"/>
  <c r="K182" i="2"/>
  <c r="L182" i="2"/>
  <c r="M182" i="2"/>
  <c r="N182" i="2"/>
  <c r="O182" i="2"/>
  <c r="P182" i="2"/>
  <c r="Q182" i="2"/>
  <c r="R182" i="2"/>
  <c r="S182" i="2"/>
  <c r="T182" i="2"/>
  <c r="U182" i="2"/>
  <c r="V182" i="2"/>
  <c r="W182" i="2"/>
  <c r="Y182" i="2"/>
  <c r="Z182" i="2"/>
  <c r="AA182" i="2"/>
  <c r="AB182" i="2"/>
  <c r="AC182" i="2"/>
  <c r="AD182" i="2"/>
  <c r="AE182" i="2"/>
  <c r="AF182" i="2"/>
  <c r="AG182" i="2"/>
  <c r="AH182" i="2"/>
  <c r="AI182" i="2"/>
  <c r="AJ182" i="2"/>
  <c r="AK182" i="2"/>
  <c r="AL182" i="2"/>
  <c r="AM182" i="2"/>
  <c r="AN182" i="2"/>
  <c r="AO182" i="2"/>
  <c r="AP182" i="2"/>
  <c r="AQ182" i="2"/>
  <c r="AR182" i="2"/>
  <c r="AS182" i="2"/>
  <c r="AT182" i="2"/>
  <c r="AU182" i="2"/>
  <c r="AV182" i="2"/>
  <c r="AW182" i="2"/>
  <c r="AX182" i="2"/>
  <c r="AY182" i="2"/>
  <c r="AZ182" i="2"/>
  <c r="BA182" i="2"/>
  <c r="BB182" i="2"/>
  <c r="BC182" i="2"/>
  <c r="BD182" i="2"/>
  <c r="BE182" i="2"/>
  <c r="CO182" i="2"/>
  <c r="E183" i="2"/>
  <c r="F183" i="2"/>
  <c r="G183" i="2"/>
  <c r="H183" i="2"/>
  <c r="I183" i="2"/>
  <c r="J183" i="2"/>
  <c r="K183" i="2"/>
  <c r="L183" i="2"/>
  <c r="M183" i="2"/>
  <c r="N183" i="2"/>
  <c r="O183" i="2"/>
  <c r="P183" i="2"/>
  <c r="Q183" i="2"/>
  <c r="R183" i="2"/>
  <c r="S183" i="2"/>
  <c r="T183" i="2"/>
  <c r="U183" i="2"/>
  <c r="V183" i="2"/>
  <c r="W183" i="2"/>
  <c r="Y183" i="2"/>
  <c r="Z183" i="2"/>
  <c r="AA183" i="2"/>
  <c r="AB183" i="2"/>
  <c r="AC183" i="2"/>
  <c r="AD183" i="2"/>
  <c r="AE183" i="2"/>
  <c r="AF183" i="2"/>
  <c r="AG183" i="2"/>
  <c r="AH183" i="2"/>
  <c r="AI183" i="2"/>
  <c r="AJ183" i="2"/>
  <c r="AK183" i="2"/>
  <c r="AL183" i="2"/>
  <c r="AM183" i="2"/>
  <c r="AN183" i="2"/>
  <c r="AO183" i="2"/>
  <c r="AP183" i="2"/>
  <c r="AQ183" i="2"/>
  <c r="AR183" i="2"/>
  <c r="AS183" i="2"/>
  <c r="AT183" i="2"/>
  <c r="AU183" i="2"/>
  <c r="AV183" i="2"/>
  <c r="AW183" i="2"/>
  <c r="AX183" i="2"/>
  <c r="AY183" i="2"/>
  <c r="AZ183" i="2"/>
  <c r="BA183" i="2"/>
  <c r="BB183" i="2"/>
  <c r="BC183" i="2"/>
  <c r="BD183" i="2"/>
  <c r="BE183" i="2"/>
  <c r="CO183" i="2"/>
  <c r="E184" i="2"/>
  <c r="CM184" i="2" s="1"/>
  <c r="F184" i="2"/>
  <c r="G184" i="2"/>
  <c r="H184" i="2"/>
  <c r="I184" i="2"/>
  <c r="J184" i="2"/>
  <c r="K184" i="2"/>
  <c r="L184" i="2"/>
  <c r="M184" i="2"/>
  <c r="N184" i="2"/>
  <c r="O184" i="2"/>
  <c r="P184" i="2"/>
  <c r="Q184" i="2"/>
  <c r="R184" i="2"/>
  <c r="S184" i="2"/>
  <c r="T184" i="2"/>
  <c r="U184" i="2"/>
  <c r="V184" i="2"/>
  <c r="W184" i="2"/>
  <c r="Y184" i="2"/>
  <c r="Z184" i="2"/>
  <c r="AA184" i="2"/>
  <c r="AB184" i="2"/>
  <c r="AC184" i="2"/>
  <c r="AD184" i="2"/>
  <c r="AE184" i="2"/>
  <c r="AF184" i="2"/>
  <c r="AG184" i="2"/>
  <c r="AH184" i="2"/>
  <c r="AI184" i="2"/>
  <c r="AJ184" i="2"/>
  <c r="AK184" i="2"/>
  <c r="AL184" i="2"/>
  <c r="AM184" i="2"/>
  <c r="AN184" i="2"/>
  <c r="AO184" i="2"/>
  <c r="AP184" i="2"/>
  <c r="AQ184" i="2"/>
  <c r="AR184" i="2"/>
  <c r="AS184" i="2"/>
  <c r="AT184" i="2"/>
  <c r="AU184" i="2"/>
  <c r="AV184" i="2"/>
  <c r="AW184" i="2"/>
  <c r="AX184" i="2"/>
  <c r="AY184" i="2"/>
  <c r="AZ184" i="2"/>
  <c r="BA184" i="2"/>
  <c r="BB184" i="2"/>
  <c r="BC184" i="2"/>
  <c r="BD184" i="2"/>
  <c r="BE184" i="2"/>
  <c r="CO184" i="2"/>
  <c r="E185" i="2"/>
  <c r="CM185" i="2" s="1"/>
  <c r="F185" i="2"/>
  <c r="G185" i="2"/>
  <c r="H185" i="2"/>
  <c r="I185" i="2"/>
  <c r="J185" i="2"/>
  <c r="K185" i="2"/>
  <c r="L185" i="2"/>
  <c r="M185" i="2"/>
  <c r="N185" i="2"/>
  <c r="O185" i="2"/>
  <c r="P185" i="2"/>
  <c r="Q185" i="2"/>
  <c r="R185" i="2"/>
  <c r="S185" i="2"/>
  <c r="T185" i="2"/>
  <c r="U185" i="2"/>
  <c r="V185" i="2"/>
  <c r="W185" i="2"/>
  <c r="Y185" i="2"/>
  <c r="Z185" i="2"/>
  <c r="AA185" i="2"/>
  <c r="AB185" i="2"/>
  <c r="AC185" i="2"/>
  <c r="AD185" i="2"/>
  <c r="AE185" i="2"/>
  <c r="AF185" i="2"/>
  <c r="AG185" i="2"/>
  <c r="AH185" i="2"/>
  <c r="AI185" i="2"/>
  <c r="AJ185" i="2"/>
  <c r="AK185" i="2"/>
  <c r="AL185" i="2"/>
  <c r="AM185" i="2"/>
  <c r="AN185" i="2"/>
  <c r="AO185" i="2"/>
  <c r="AP185" i="2"/>
  <c r="AQ185" i="2"/>
  <c r="AR185" i="2"/>
  <c r="AS185" i="2"/>
  <c r="AT185" i="2"/>
  <c r="AU185" i="2"/>
  <c r="AV185" i="2"/>
  <c r="AW185" i="2"/>
  <c r="AX185" i="2"/>
  <c r="AY185" i="2"/>
  <c r="AZ185" i="2"/>
  <c r="BA185" i="2"/>
  <c r="BB185" i="2"/>
  <c r="BC185" i="2"/>
  <c r="BD185" i="2"/>
  <c r="BE185" i="2"/>
  <c r="CO185" i="2"/>
  <c r="E186" i="2"/>
  <c r="CM186" i="2" s="1"/>
  <c r="F186" i="2"/>
  <c r="G186" i="2"/>
  <c r="H186" i="2"/>
  <c r="I186" i="2"/>
  <c r="J186" i="2"/>
  <c r="K186" i="2"/>
  <c r="L186" i="2"/>
  <c r="N186" i="2"/>
  <c r="O186" i="2"/>
  <c r="P186" i="2"/>
  <c r="Q186" i="2"/>
  <c r="R186" i="2"/>
  <c r="S186" i="2"/>
  <c r="T186" i="2"/>
  <c r="U186" i="2"/>
  <c r="V186" i="2"/>
  <c r="W186" i="2"/>
  <c r="Y186" i="2"/>
  <c r="Z186" i="2"/>
  <c r="AA186" i="2"/>
  <c r="AB186" i="2"/>
  <c r="AC186" i="2"/>
  <c r="AD186" i="2"/>
  <c r="AE186" i="2"/>
  <c r="AF186" i="2"/>
  <c r="AG186" i="2"/>
  <c r="AH186" i="2"/>
  <c r="AI186" i="2"/>
  <c r="AJ186" i="2"/>
  <c r="AK186" i="2"/>
  <c r="AL186" i="2"/>
  <c r="AM186" i="2"/>
  <c r="AN186" i="2"/>
  <c r="AO186" i="2"/>
  <c r="AP186" i="2"/>
  <c r="AQ186" i="2"/>
  <c r="AR186" i="2"/>
  <c r="AS186" i="2"/>
  <c r="AT186" i="2"/>
  <c r="AU186" i="2"/>
  <c r="AV186" i="2"/>
  <c r="AW186" i="2"/>
  <c r="AX186" i="2"/>
  <c r="AY186" i="2"/>
  <c r="AZ186" i="2"/>
  <c r="BA186" i="2"/>
  <c r="BB186" i="2"/>
  <c r="BC186" i="2"/>
  <c r="BD186" i="2"/>
  <c r="BE186" i="2"/>
  <c r="CO186" i="2"/>
  <c r="E187" i="2"/>
  <c r="CM187" i="2" s="1"/>
  <c r="F187" i="2"/>
  <c r="G187" i="2"/>
  <c r="H187" i="2"/>
  <c r="I187" i="2"/>
  <c r="J187" i="2"/>
  <c r="K187" i="2"/>
  <c r="L187" i="2"/>
  <c r="M187" i="2"/>
  <c r="N187" i="2"/>
  <c r="O187" i="2"/>
  <c r="P187" i="2"/>
  <c r="Q187" i="2"/>
  <c r="R187" i="2"/>
  <c r="S187" i="2"/>
  <c r="T187" i="2"/>
  <c r="U187" i="2"/>
  <c r="V187" i="2"/>
  <c r="W187" i="2"/>
  <c r="Y187" i="2"/>
  <c r="Z187" i="2"/>
  <c r="AA187" i="2"/>
  <c r="AB187" i="2"/>
  <c r="AC187" i="2"/>
  <c r="AD187" i="2"/>
  <c r="AE187" i="2"/>
  <c r="AF187" i="2"/>
  <c r="AG187" i="2"/>
  <c r="AH187" i="2"/>
  <c r="AI187" i="2"/>
  <c r="AJ187" i="2"/>
  <c r="AK187" i="2"/>
  <c r="AL187" i="2"/>
  <c r="AM187" i="2"/>
  <c r="AN187" i="2"/>
  <c r="AO187" i="2"/>
  <c r="AP187" i="2"/>
  <c r="AQ187" i="2"/>
  <c r="AR187" i="2"/>
  <c r="AS187" i="2"/>
  <c r="AT187" i="2"/>
  <c r="AU187" i="2"/>
  <c r="AV187" i="2"/>
  <c r="AW187" i="2"/>
  <c r="AX187" i="2"/>
  <c r="AY187" i="2"/>
  <c r="AZ187" i="2"/>
  <c r="BA187" i="2"/>
  <c r="BB187" i="2"/>
  <c r="BC187" i="2"/>
  <c r="BD187" i="2"/>
  <c r="BE187" i="2"/>
  <c r="CO187" i="2"/>
  <c r="E188" i="2"/>
  <c r="CM188" i="2" s="1"/>
  <c r="F188" i="2"/>
  <c r="G188" i="2"/>
  <c r="H188" i="2"/>
  <c r="I188" i="2"/>
  <c r="J188" i="2"/>
  <c r="K188" i="2"/>
  <c r="L188" i="2"/>
  <c r="M188" i="2"/>
  <c r="N188" i="2"/>
  <c r="O188" i="2"/>
  <c r="P188" i="2"/>
  <c r="Q188" i="2"/>
  <c r="R188" i="2"/>
  <c r="S188" i="2"/>
  <c r="T188" i="2"/>
  <c r="U188" i="2"/>
  <c r="V188" i="2"/>
  <c r="W188" i="2"/>
  <c r="Y188" i="2"/>
  <c r="Z188" i="2"/>
  <c r="AA188" i="2"/>
  <c r="AB188" i="2"/>
  <c r="AC188" i="2"/>
  <c r="AD188" i="2"/>
  <c r="AE188" i="2"/>
  <c r="AF188" i="2"/>
  <c r="AG188" i="2"/>
  <c r="AH188" i="2"/>
  <c r="AI188" i="2"/>
  <c r="AJ188" i="2"/>
  <c r="AK188" i="2"/>
  <c r="AL188" i="2"/>
  <c r="AM188" i="2"/>
  <c r="AN188" i="2"/>
  <c r="AO188" i="2"/>
  <c r="AP188" i="2"/>
  <c r="AQ188" i="2"/>
  <c r="AR188" i="2"/>
  <c r="AS188" i="2"/>
  <c r="AT188" i="2"/>
  <c r="AU188" i="2"/>
  <c r="AV188" i="2"/>
  <c r="AW188" i="2"/>
  <c r="AX188" i="2"/>
  <c r="AY188" i="2"/>
  <c r="AZ188" i="2"/>
  <c r="BA188" i="2"/>
  <c r="BB188" i="2"/>
  <c r="BC188" i="2"/>
  <c r="BD188" i="2"/>
  <c r="BE188" i="2"/>
  <c r="CO188" i="2"/>
  <c r="E189" i="2"/>
  <c r="CM189" i="2" s="1"/>
  <c r="F189" i="2"/>
  <c r="G189" i="2"/>
  <c r="H189" i="2"/>
  <c r="I189" i="2"/>
  <c r="J189" i="2"/>
  <c r="K189" i="2"/>
  <c r="L189" i="2"/>
  <c r="M189" i="2"/>
  <c r="N189" i="2"/>
  <c r="O189" i="2"/>
  <c r="P189" i="2"/>
  <c r="Q189" i="2"/>
  <c r="R189" i="2"/>
  <c r="S189" i="2"/>
  <c r="T189" i="2"/>
  <c r="U189" i="2"/>
  <c r="V189" i="2"/>
  <c r="W189" i="2"/>
  <c r="Y189" i="2"/>
  <c r="Z189" i="2"/>
  <c r="AA189" i="2"/>
  <c r="AB189" i="2"/>
  <c r="AC189" i="2"/>
  <c r="AD189" i="2"/>
  <c r="AE189" i="2"/>
  <c r="AF189" i="2"/>
  <c r="AG189" i="2"/>
  <c r="AH189" i="2"/>
  <c r="AI189" i="2"/>
  <c r="AJ189" i="2"/>
  <c r="AK189" i="2"/>
  <c r="AL189" i="2"/>
  <c r="AM189" i="2"/>
  <c r="AN189" i="2"/>
  <c r="AO189" i="2"/>
  <c r="AP189" i="2"/>
  <c r="AQ189" i="2"/>
  <c r="AR189" i="2"/>
  <c r="AS189" i="2"/>
  <c r="AT189" i="2"/>
  <c r="AU189" i="2"/>
  <c r="AV189" i="2"/>
  <c r="AW189" i="2"/>
  <c r="AX189" i="2"/>
  <c r="AY189" i="2"/>
  <c r="AZ189" i="2"/>
  <c r="BA189" i="2"/>
  <c r="BB189" i="2"/>
  <c r="BC189" i="2"/>
  <c r="BD189" i="2"/>
  <c r="BE189" i="2"/>
  <c r="CO189" i="2"/>
  <c r="E190" i="2"/>
  <c r="CM190" i="2" s="1"/>
  <c r="F190" i="2"/>
  <c r="G190" i="2"/>
  <c r="H190" i="2"/>
  <c r="I190" i="2"/>
  <c r="J190" i="2"/>
  <c r="K190" i="2"/>
  <c r="L190" i="2"/>
  <c r="M190" i="2"/>
  <c r="N190" i="2"/>
  <c r="O190" i="2"/>
  <c r="P190" i="2"/>
  <c r="Q190" i="2"/>
  <c r="R190" i="2"/>
  <c r="S190" i="2"/>
  <c r="T190" i="2"/>
  <c r="U190" i="2"/>
  <c r="V190" i="2"/>
  <c r="W190" i="2"/>
  <c r="Y190" i="2"/>
  <c r="Z190" i="2"/>
  <c r="AA190" i="2"/>
  <c r="AB190" i="2"/>
  <c r="AC190" i="2"/>
  <c r="AD190" i="2"/>
  <c r="AE190" i="2"/>
  <c r="AF190" i="2"/>
  <c r="AG190" i="2"/>
  <c r="AH190" i="2"/>
  <c r="AI190" i="2"/>
  <c r="AJ190" i="2"/>
  <c r="AK190" i="2"/>
  <c r="AL190" i="2"/>
  <c r="AM190" i="2"/>
  <c r="AN190" i="2"/>
  <c r="AO190" i="2"/>
  <c r="AP190" i="2"/>
  <c r="AQ190" i="2"/>
  <c r="AR190" i="2"/>
  <c r="AS190" i="2"/>
  <c r="AT190" i="2"/>
  <c r="AU190" i="2"/>
  <c r="AV190" i="2"/>
  <c r="AW190" i="2"/>
  <c r="AX190" i="2"/>
  <c r="AY190" i="2"/>
  <c r="AZ190" i="2"/>
  <c r="BA190" i="2"/>
  <c r="BB190" i="2"/>
  <c r="BC190" i="2"/>
  <c r="BD190" i="2"/>
  <c r="BE190" i="2"/>
  <c r="CO190" i="2"/>
  <c r="E191" i="2"/>
  <c r="CM191" i="2" s="1"/>
  <c r="F191" i="2"/>
  <c r="G191" i="2"/>
  <c r="H191" i="2"/>
  <c r="I191" i="2"/>
  <c r="J191" i="2"/>
  <c r="K191" i="2"/>
  <c r="L191" i="2"/>
  <c r="M191" i="2"/>
  <c r="N191" i="2"/>
  <c r="O191" i="2"/>
  <c r="P191" i="2"/>
  <c r="Q191" i="2"/>
  <c r="R191" i="2"/>
  <c r="S191" i="2"/>
  <c r="T191" i="2"/>
  <c r="U191" i="2"/>
  <c r="V191" i="2"/>
  <c r="W191" i="2"/>
  <c r="Y191" i="2"/>
  <c r="Z191" i="2"/>
  <c r="AA191" i="2"/>
  <c r="AB191" i="2"/>
  <c r="AC191" i="2"/>
  <c r="AD191" i="2"/>
  <c r="AE191" i="2"/>
  <c r="AF191" i="2"/>
  <c r="AG191" i="2"/>
  <c r="AH191" i="2"/>
  <c r="AI191" i="2"/>
  <c r="AJ191" i="2"/>
  <c r="AK191" i="2"/>
  <c r="AL191" i="2"/>
  <c r="AM191" i="2"/>
  <c r="AN191" i="2"/>
  <c r="AO191" i="2"/>
  <c r="AP191" i="2"/>
  <c r="AQ191" i="2"/>
  <c r="AR191" i="2"/>
  <c r="AS191" i="2"/>
  <c r="AT191" i="2"/>
  <c r="AU191" i="2"/>
  <c r="AV191" i="2"/>
  <c r="AW191" i="2"/>
  <c r="AX191" i="2"/>
  <c r="AY191" i="2"/>
  <c r="AZ191" i="2"/>
  <c r="BA191" i="2"/>
  <c r="BB191" i="2"/>
  <c r="BC191" i="2"/>
  <c r="BD191" i="2"/>
  <c r="BE191" i="2"/>
  <c r="CO191" i="2"/>
  <c r="E192" i="2"/>
  <c r="CM192" i="2" s="1"/>
  <c r="F192" i="2"/>
  <c r="G192" i="2"/>
  <c r="H192" i="2"/>
  <c r="I192" i="2"/>
  <c r="J192" i="2"/>
  <c r="K192" i="2"/>
  <c r="L192" i="2"/>
  <c r="M192" i="2"/>
  <c r="N192" i="2"/>
  <c r="O192" i="2"/>
  <c r="P192" i="2"/>
  <c r="Q192" i="2"/>
  <c r="R192" i="2"/>
  <c r="S192" i="2"/>
  <c r="T192" i="2"/>
  <c r="U192" i="2"/>
  <c r="V192" i="2"/>
  <c r="W192" i="2"/>
  <c r="Y192" i="2"/>
  <c r="Z192" i="2"/>
  <c r="AA192" i="2"/>
  <c r="AB192" i="2"/>
  <c r="AC192" i="2"/>
  <c r="AD192" i="2"/>
  <c r="AE192" i="2"/>
  <c r="AF192" i="2"/>
  <c r="AG192" i="2"/>
  <c r="AH192" i="2"/>
  <c r="AI192" i="2"/>
  <c r="AJ192" i="2"/>
  <c r="AK192" i="2"/>
  <c r="AL192" i="2"/>
  <c r="AM192" i="2"/>
  <c r="AN192" i="2"/>
  <c r="AO192" i="2"/>
  <c r="AP192" i="2"/>
  <c r="AQ192" i="2"/>
  <c r="AR192" i="2"/>
  <c r="AS192" i="2"/>
  <c r="AT192" i="2"/>
  <c r="AU192" i="2"/>
  <c r="AV192" i="2"/>
  <c r="AW192" i="2"/>
  <c r="AX192" i="2"/>
  <c r="AY192" i="2"/>
  <c r="AZ192" i="2"/>
  <c r="BA192" i="2"/>
  <c r="BB192" i="2"/>
  <c r="BC192" i="2"/>
  <c r="BD192" i="2"/>
  <c r="BE192" i="2"/>
  <c r="CO192" i="2"/>
  <c r="E193" i="2"/>
  <c r="CM193" i="2" s="1"/>
  <c r="F193" i="2"/>
  <c r="G193" i="2"/>
  <c r="H193" i="2"/>
  <c r="I193" i="2"/>
  <c r="J193" i="2"/>
  <c r="K193" i="2"/>
  <c r="L193" i="2"/>
  <c r="M193" i="2"/>
  <c r="N193" i="2"/>
  <c r="O193" i="2"/>
  <c r="P193" i="2"/>
  <c r="Q193" i="2"/>
  <c r="R193" i="2"/>
  <c r="S193" i="2"/>
  <c r="T193" i="2"/>
  <c r="U193" i="2"/>
  <c r="V193" i="2"/>
  <c r="W193" i="2"/>
  <c r="Y193" i="2"/>
  <c r="Z193" i="2"/>
  <c r="AA193" i="2"/>
  <c r="AB193" i="2"/>
  <c r="AC193" i="2"/>
  <c r="AD193" i="2"/>
  <c r="AE193" i="2"/>
  <c r="AF193" i="2"/>
  <c r="AG193" i="2"/>
  <c r="AH193" i="2"/>
  <c r="AI193" i="2"/>
  <c r="AJ193" i="2"/>
  <c r="AK193" i="2"/>
  <c r="AL193" i="2"/>
  <c r="AM193" i="2"/>
  <c r="AN193" i="2"/>
  <c r="AO193" i="2"/>
  <c r="AP193" i="2"/>
  <c r="AQ193" i="2"/>
  <c r="AR193" i="2"/>
  <c r="AS193" i="2"/>
  <c r="AT193" i="2"/>
  <c r="AU193" i="2"/>
  <c r="AV193" i="2"/>
  <c r="AW193" i="2"/>
  <c r="AX193" i="2"/>
  <c r="AY193" i="2"/>
  <c r="AZ193" i="2"/>
  <c r="BA193" i="2"/>
  <c r="BB193" i="2"/>
  <c r="BC193" i="2"/>
  <c r="BD193" i="2"/>
  <c r="BE193" i="2"/>
  <c r="CO193" i="2"/>
  <c r="E194" i="2"/>
  <c r="CM194" i="2" s="1"/>
  <c r="F194" i="2"/>
  <c r="G194" i="2"/>
  <c r="H194" i="2"/>
  <c r="I194" i="2"/>
  <c r="J194" i="2"/>
  <c r="K194" i="2"/>
  <c r="L194" i="2"/>
  <c r="M194" i="2"/>
  <c r="N194" i="2"/>
  <c r="O194" i="2"/>
  <c r="P194" i="2"/>
  <c r="Q194" i="2"/>
  <c r="R194" i="2"/>
  <c r="S194" i="2"/>
  <c r="T194" i="2"/>
  <c r="U194" i="2"/>
  <c r="V194" i="2"/>
  <c r="W194" i="2"/>
  <c r="Y194" i="2"/>
  <c r="Z194" i="2"/>
  <c r="AA194" i="2"/>
  <c r="AB194" i="2"/>
  <c r="AC194" i="2"/>
  <c r="AD194" i="2"/>
  <c r="AE194" i="2"/>
  <c r="AF194" i="2"/>
  <c r="AG194" i="2"/>
  <c r="AH194" i="2"/>
  <c r="AI194" i="2"/>
  <c r="AJ194" i="2"/>
  <c r="AK194" i="2"/>
  <c r="AL194" i="2"/>
  <c r="AM194" i="2"/>
  <c r="AN194" i="2"/>
  <c r="AO194" i="2"/>
  <c r="AP194" i="2"/>
  <c r="AQ194" i="2"/>
  <c r="AR194" i="2"/>
  <c r="AS194" i="2"/>
  <c r="AT194" i="2"/>
  <c r="AU194" i="2"/>
  <c r="AV194" i="2"/>
  <c r="AW194" i="2"/>
  <c r="AX194" i="2"/>
  <c r="AY194" i="2"/>
  <c r="AZ194" i="2"/>
  <c r="BA194" i="2"/>
  <c r="BB194" i="2"/>
  <c r="BC194" i="2"/>
  <c r="BD194" i="2"/>
  <c r="BE194" i="2"/>
  <c r="CO194" i="2"/>
  <c r="E195" i="2"/>
  <c r="F195" i="2"/>
  <c r="H195" i="2"/>
  <c r="I195" i="2"/>
  <c r="J195" i="2"/>
  <c r="K195" i="2"/>
  <c r="L195" i="2"/>
  <c r="M195" i="2"/>
  <c r="N195" i="2"/>
  <c r="O195" i="2"/>
  <c r="P195" i="2"/>
  <c r="Q195" i="2"/>
  <c r="R195" i="2"/>
  <c r="S195" i="2"/>
  <c r="T195" i="2"/>
  <c r="U195" i="2"/>
  <c r="V195" i="2"/>
  <c r="W195" i="2"/>
  <c r="Y195" i="2"/>
  <c r="Z195" i="2"/>
  <c r="AA195" i="2"/>
  <c r="AB195" i="2"/>
  <c r="AC195" i="2"/>
  <c r="AD195" i="2"/>
  <c r="AE195" i="2"/>
  <c r="AF195" i="2"/>
  <c r="AG195" i="2"/>
  <c r="AH195" i="2"/>
  <c r="AI195" i="2"/>
  <c r="AJ195" i="2"/>
  <c r="AK195" i="2"/>
  <c r="AL195" i="2"/>
  <c r="AM195" i="2"/>
  <c r="AN195" i="2"/>
  <c r="AO195" i="2"/>
  <c r="AP195" i="2"/>
  <c r="AQ195" i="2"/>
  <c r="AR195" i="2"/>
  <c r="AS195" i="2"/>
  <c r="AT195" i="2"/>
  <c r="AU195" i="2"/>
  <c r="AV195" i="2"/>
  <c r="AW195" i="2"/>
  <c r="AX195" i="2"/>
  <c r="AY195" i="2"/>
  <c r="AZ195" i="2"/>
  <c r="BA195" i="2"/>
  <c r="BB195" i="2"/>
  <c r="BC195" i="2"/>
  <c r="BD195" i="2"/>
  <c r="BE195" i="2"/>
  <c r="CO195" i="2"/>
  <c r="E196" i="2"/>
  <c r="F196" i="2"/>
  <c r="H196" i="2"/>
  <c r="I196" i="2"/>
  <c r="J196" i="2"/>
  <c r="K196" i="2"/>
  <c r="L196" i="2"/>
  <c r="M196" i="2"/>
  <c r="N196" i="2"/>
  <c r="O196" i="2"/>
  <c r="P196" i="2"/>
  <c r="Q196" i="2"/>
  <c r="R196" i="2"/>
  <c r="S196" i="2"/>
  <c r="T196" i="2"/>
  <c r="U196" i="2"/>
  <c r="V196" i="2"/>
  <c r="W196" i="2"/>
  <c r="Y196" i="2"/>
  <c r="Z196" i="2"/>
  <c r="AA196" i="2"/>
  <c r="AB196" i="2"/>
  <c r="AC196" i="2"/>
  <c r="AD196" i="2"/>
  <c r="AE196" i="2"/>
  <c r="AF196" i="2"/>
  <c r="AG196" i="2"/>
  <c r="AH196" i="2"/>
  <c r="AI196" i="2"/>
  <c r="AJ196" i="2"/>
  <c r="AK196" i="2"/>
  <c r="AL196" i="2"/>
  <c r="AM196" i="2"/>
  <c r="AN196" i="2"/>
  <c r="AO196" i="2"/>
  <c r="AP196" i="2"/>
  <c r="AQ196" i="2"/>
  <c r="AR196" i="2"/>
  <c r="AS196" i="2"/>
  <c r="AT196" i="2"/>
  <c r="AU196" i="2"/>
  <c r="AV196" i="2"/>
  <c r="AW196" i="2"/>
  <c r="AX196" i="2"/>
  <c r="AY196" i="2"/>
  <c r="AZ196" i="2"/>
  <c r="BA196" i="2"/>
  <c r="BB196" i="2"/>
  <c r="BC196" i="2"/>
  <c r="BD196" i="2"/>
  <c r="BE196" i="2"/>
  <c r="CO196" i="2"/>
  <c r="E197" i="2"/>
  <c r="F197" i="2"/>
  <c r="G197" i="2"/>
  <c r="H197" i="2"/>
  <c r="I197" i="2"/>
  <c r="J197" i="2"/>
  <c r="K197" i="2"/>
  <c r="L197" i="2"/>
  <c r="M197" i="2"/>
  <c r="N197" i="2"/>
  <c r="O197" i="2"/>
  <c r="P197" i="2"/>
  <c r="Q197" i="2"/>
  <c r="R197" i="2"/>
  <c r="S197" i="2"/>
  <c r="T197" i="2"/>
  <c r="U197" i="2"/>
  <c r="V197" i="2"/>
  <c r="W197" i="2"/>
  <c r="Y197" i="2"/>
  <c r="Z197" i="2"/>
  <c r="AA197" i="2"/>
  <c r="AB197" i="2"/>
  <c r="AC197" i="2"/>
  <c r="AD197" i="2"/>
  <c r="AE197" i="2"/>
  <c r="AF197" i="2"/>
  <c r="AG197" i="2"/>
  <c r="AH197" i="2"/>
  <c r="AI197" i="2"/>
  <c r="AJ197" i="2"/>
  <c r="AK197" i="2"/>
  <c r="AL197" i="2"/>
  <c r="AM197" i="2"/>
  <c r="AN197" i="2"/>
  <c r="AO197" i="2"/>
  <c r="AP197" i="2"/>
  <c r="AQ197" i="2"/>
  <c r="AR197" i="2"/>
  <c r="AS197" i="2"/>
  <c r="AT197" i="2"/>
  <c r="AU197" i="2"/>
  <c r="AV197" i="2"/>
  <c r="AW197" i="2"/>
  <c r="AX197" i="2"/>
  <c r="AY197" i="2"/>
  <c r="AZ197" i="2"/>
  <c r="BA197" i="2"/>
  <c r="BB197" i="2"/>
  <c r="BC197" i="2"/>
  <c r="BD197" i="2"/>
  <c r="BE197" i="2"/>
  <c r="CO197" i="2"/>
  <c r="E198" i="2"/>
  <c r="F198" i="2"/>
  <c r="G198" i="2"/>
  <c r="H198" i="2"/>
  <c r="I198" i="2"/>
  <c r="J198" i="2"/>
  <c r="K198" i="2"/>
  <c r="L198" i="2"/>
  <c r="M198" i="2"/>
  <c r="N198" i="2"/>
  <c r="O198" i="2"/>
  <c r="P198" i="2"/>
  <c r="Q198" i="2"/>
  <c r="R198" i="2"/>
  <c r="S198" i="2"/>
  <c r="T198" i="2"/>
  <c r="U198" i="2"/>
  <c r="V198" i="2"/>
  <c r="W198" i="2"/>
  <c r="Y198" i="2"/>
  <c r="Z198" i="2"/>
  <c r="AA198" i="2"/>
  <c r="AB198" i="2"/>
  <c r="AC198" i="2"/>
  <c r="AD198" i="2"/>
  <c r="AE198" i="2"/>
  <c r="AF198" i="2"/>
  <c r="AG198" i="2"/>
  <c r="AH198" i="2"/>
  <c r="AI198" i="2"/>
  <c r="AJ198" i="2"/>
  <c r="AK198" i="2"/>
  <c r="AL198" i="2"/>
  <c r="AM198" i="2"/>
  <c r="AN198" i="2"/>
  <c r="AO198" i="2"/>
  <c r="AP198" i="2"/>
  <c r="AQ198" i="2"/>
  <c r="AR198" i="2"/>
  <c r="AS198" i="2"/>
  <c r="AT198" i="2"/>
  <c r="AU198" i="2"/>
  <c r="AV198" i="2"/>
  <c r="AW198" i="2"/>
  <c r="AX198" i="2"/>
  <c r="AY198" i="2"/>
  <c r="AZ198" i="2"/>
  <c r="BA198" i="2"/>
  <c r="BB198" i="2"/>
  <c r="BC198" i="2"/>
  <c r="BD198" i="2"/>
  <c r="BE198" i="2"/>
  <c r="CO198" i="2"/>
  <c r="E199" i="2"/>
  <c r="F199" i="2"/>
  <c r="H199" i="2"/>
  <c r="I199" i="2"/>
  <c r="J199" i="2"/>
  <c r="K199" i="2"/>
  <c r="L199" i="2"/>
  <c r="M199" i="2"/>
  <c r="N199" i="2"/>
  <c r="O199" i="2"/>
  <c r="P199" i="2"/>
  <c r="Q199" i="2"/>
  <c r="R199" i="2"/>
  <c r="S199" i="2"/>
  <c r="T199" i="2"/>
  <c r="U199" i="2"/>
  <c r="V199" i="2"/>
  <c r="W199" i="2"/>
  <c r="Y199" i="2"/>
  <c r="Z199" i="2"/>
  <c r="AA199" i="2"/>
  <c r="AB199" i="2"/>
  <c r="AC199" i="2"/>
  <c r="AD199" i="2"/>
  <c r="AE199" i="2"/>
  <c r="AF199" i="2"/>
  <c r="AG199" i="2"/>
  <c r="AH199" i="2"/>
  <c r="AI199" i="2"/>
  <c r="AJ199" i="2"/>
  <c r="AK199" i="2"/>
  <c r="AL199" i="2"/>
  <c r="AM199" i="2"/>
  <c r="AN199" i="2"/>
  <c r="AO199" i="2"/>
  <c r="AP199" i="2"/>
  <c r="AQ199" i="2"/>
  <c r="AR199" i="2"/>
  <c r="AS199" i="2"/>
  <c r="AT199" i="2"/>
  <c r="AU199" i="2"/>
  <c r="AV199" i="2"/>
  <c r="AW199" i="2"/>
  <c r="AX199" i="2"/>
  <c r="AY199" i="2"/>
  <c r="AZ199" i="2"/>
  <c r="BA199" i="2"/>
  <c r="BB199" i="2"/>
  <c r="BC199" i="2"/>
  <c r="BD199" i="2"/>
  <c r="BE199" i="2"/>
  <c r="CO199" i="2"/>
  <c r="E200" i="2"/>
  <c r="F200" i="2"/>
  <c r="H200" i="2"/>
  <c r="I200" i="2"/>
  <c r="J200" i="2"/>
  <c r="K200" i="2"/>
  <c r="L200" i="2"/>
  <c r="M200" i="2"/>
  <c r="N200" i="2"/>
  <c r="O200" i="2"/>
  <c r="P200" i="2"/>
  <c r="Q200" i="2"/>
  <c r="R200" i="2"/>
  <c r="S200" i="2"/>
  <c r="T200" i="2"/>
  <c r="U200" i="2"/>
  <c r="V200" i="2"/>
  <c r="W200" i="2"/>
  <c r="Y200" i="2"/>
  <c r="Z200" i="2"/>
  <c r="AA200" i="2"/>
  <c r="AB200" i="2"/>
  <c r="AC200" i="2"/>
  <c r="AD200" i="2"/>
  <c r="AE200" i="2"/>
  <c r="AF200" i="2"/>
  <c r="AG200" i="2"/>
  <c r="AH200" i="2"/>
  <c r="AI200" i="2"/>
  <c r="AJ200" i="2"/>
  <c r="AK200" i="2"/>
  <c r="AL200" i="2"/>
  <c r="AM200" i="2"/>
  <c r="AN200" i="2"/>
  <c r="AO200" i="2"/>
  <c r="AP200" i="2"/>
  <c r="AQ200" i="2"/>
  <c r="AR200" i="2"/>
  <c r="AS200" i="2"/>
  <c r="AT200" i="2"/>
  <c r="AU200" i="2"/>
  <c r="AV200" i="2"/>
  <c r="AW200" i="2"/>
  <c r="AX200" i="2"/>
  <c r="AY200" i="2"/>
  <c r="AZ200" i="2"/>
  <c r="BA200" i="2"/>
  <c r="BB200" i="2"/>
  <c r="BC200" i="2"/>
  <c r="BD200" i="2"/>
  <c r="BE200" i="2"/>
  <c r="CO200" i="2"/>
  <c r="E201" i="2"/>
  <c r="F201" i="2"/>
  <c r="G201" i="2"/>
  <c r="H201" i="2"/>
  <c r="I201" i="2"/>
  <c r="J201" i="2"/>
  <c r="K201" i="2"/>
  <c r="L201" i="2"/>
  <c r="M201" i="2"/>
  <c r="N201" i="2"/>
  <c r="O201" i="2"/>
  <c r="P201" i="2"/>
  <c r="Q201" i="2"/>
  <c r="R201" i="2"/>
  <c r="S201" i="2"/>
  <c r="T201" i="2"/>
  <c r="U201" i="2"/>
  <c r="V201" i="2"/>
  <c r="W201" i="2"/>
  <c r="Y201" i="2"/>
  <c r="Z201" i="2"/>
  <c r="AA201" i="2"/>
  <c r="AB201" i="2"/>
  <c r="AC201" i="2"/>
  <c r="AD201" i="2"/>
  <c r="AE201" i="2"/>
  <c r="AF201" i="2"/>
  <c r="AG201" i="2"/>
  <c r="AH201" i="2"/>
  <c r="AI201" i="2"/>
  <c r="AJ201" i="2"/>
  <c r="AK201" i="2"/>
  <c r="AL201" i="2"/>
  <c r="AM201" i="2"/>
  <c r="AN201" i="2"/>
  <c r="AO201" i="2"/>
  <c r="AP201" i="2"/>
  <c r="AQ201" i="2"/>
  <c r="AR201" i="2"/>
  <c r="AS201" i="2"/>
  <c r="AT201" i="2"/>
  <c r="AU201" i="2"/>
  <c r="AV201" i="2"/>
  <c r="AW201" i="2"/>
  <c r="AX201" i="2"/>
  <c r="AY201" i="2"/>
  <c r="AZ201" i="2"/>
  <c r="BA201" i="2"/>
  <c r="BB201" i="2"/>
  <c r="BC201" i="2"/>
  <c r="BD201" i="2"/>
  <c r="BE201" i="2"/>
  <c r="CO201" i="2"/>
  <c r="E202" i="2"/>
  <c r="F202" i="2"/>
  <c r="H202" i="2"/>
  <c r="I202" i="2"/>
  <c r="J202" i="2"/>
  <c r="K202" i="2"/>
  <c r="L202" i="2"/>
  <c r="M202" i="2"/>
  <c r="N202" i="2"/>
  <c r="O202" i="2"/>
  <c r="P202" i="2"/>
  <c r="Q202" i="2"/>
  <c r="R202" i="2"/>
  <c r="S202" i="2"/>
  <c r="T202" i="2"/>
  <c r="U202" i="2"/>
  <c r="V202" i="2"/>
  <c r="W202" i="2"/>
  <c r="Y202" i="2"/>
  <c r="Z202" i="2"/>
  <c r="AA202" i="2"/>
  <c r="AB202" i="2"/>
  <c r="AC202" i="2"/>
  <c r="AD202" i="2"/>
  <c r="AE202" i="2"/>
  <c r="AF202" i="2"/>
  <c r="AG202" i="2"/>
  <c r="AH202" i="2"/>
  <c r="AI202" i="2"/>
  <c r="AJ202" i="2"/>
  <c r="AK202" i="2"/>
  <c r="AL202" i="2"/>
  <c r="AM202" i="2"/>
  <c r="AN202" i="2"/>
  <c r="AO202" i="2"/>
  <c r="AP202" i="2"/>
  <c r="AQ202" i="2"/>
  <c r="AR202" i="2"/>
  <c r="AS202" i="2"/>
  <c r="AT202" i="2"/>
  <c r="AU202" i="2"/>
  <c r="AV202" i="2"/>
  <c r="AW202" i="2"/>
  <c r="AX202" i="2"/>
  <c r="AY202" i="2"/>
  <c r="AZ202" i="2"/>
  <c r="BA202" i="2"/>
  <c r="BB202" i="2"/>
  <c r="BC202" i="2"/>
  <c r="BD202" i="2"/>
  <c r="BE202" i="2"/>
  <c r="CO202" i="2"/>
  <c r="E203" i="2"/>
  <c r="F203" i="2"/>
  <c r="H203" i="2"/>
  <c r="I203" i="2"/>
  <c r="J203" i="2"/>
  <c r="K203" i="2"/>
  <c r="L203" i="2"/>
  <c r="M203" i="2"/>
  <c r="N203" i="2"/>
  <c r="O203" i="2"/>
  <c r="P203" i="2"/>
  <c r="Q203" i="2"/>
  <c r="R203" i="2"/>
  <c r="S203" i="2"/>
  <c r="T203" i="2"/>
  <c r="U203" i="2"/>
  <c r="V203" i="2"/>
  <c r="W203" i="2"/>
  <c r="Y203" i="2"/>
  <c r="Z203" i="2"/>
  <c r="AA203" i="2"/>
  <c r="AB203" i="2"/>
  <c r="AC203" i="2"/>
  <c r="AD203" i="2"/>
  <c r="AE203" i="2"/>
  <c r="AF203" i="2"/>
  <c r="AG203" i="2"/>
  <c r="AH203" i="2"/>
  <c r="AI203" i="2"/>
  <c r="AJ203" i="2"/>
  <c r="AK203" i="2"/>
  <c r="AL203" i="2"/>
  <c r="AM203" i="2"/>
  <c r="AN203" i="2"/>
  <c r="AO203" i="2"/>
  <c r="AP203" i="2"/>
  <c r="AQ203" i="2"/>
  <c r="AR203" i="2"/>
  <c r="AS203" i="2"/>
  <c r="AT203" i="2"/>
  <c r="AU203" i="2"/>
  <c r="AV203" i="2"/>
  <c r="AW203" i="2"/>
  <c r="AX203" i="2"/>
  <c r="AY203" i="2"/>
  <c r="AZ203" i="2"/>
  <c r="BA203" i="2"/>
  <c r="BB203" i="2"/>
  <c r="BC203" i="2"/>
  <c r="BD203" i="2"/>
  <c r="BE203" i="2"/>
  <c r="CO203" i="2"/>
  <c r="E204" i="2"/>
  <c r="F204" i="2"/>
  <c r="H204" i="2"/>
  <c r="I204" i="2"/>
  <c r="J204" i="2"/>
  <c r="K204" i="2"/>
  <c r="L204" i="2"/>
  <c r="M204" i="2"/>
  <c r="N204" i="2"/>
  <c r="O204" i="2"/>
  <c r="P204" i="2"/>
  <c r="Q204" i="2"/>
  <c r="R204" i="2"/>
  <c r="S204" i="2"/>
  <c r="T204" i="2"/>
  <c r="U204" i="2"/>
  <c r="V204" i="2"/>
  <c r="W204" i="2"/>
  <c r="Y204" i="2"/>
  <c r="Z204" i="2"/>
  <c r="AA204" i="2"/>
  <c r="AB204" i="2"/>
  <c r="AC204" i="2"/>
  <c r="AD204" i="2"/>
  <c r="AE204" i="2"/>
  <c r="AF204" i="2"/>
  <c r="AG204" i="2"/>
  <c r="AH204" i="2"/>
  <c r="AI204" i="2"/>
  <c r="AJ204" i="2"/>
  <c r="AK204" i="2"/>
  <c r="AL204" i="2"/>
  <c r="AM204" i="2"/>
  <c r="AN204" i="2"/>
  <c r="AO204" i="2"/>
  <c r="AP204" i="2"/>
  <c r="AQ204" i="2"/>
  <c r="AR204" i="2"/>
  <c r="AS204" i="2"/>
  <c r="AT204" i="2"/>
  <c r="AU204" i="2"/>
  <c r="AV204" i="2"/>
  <c r="AW204" i="2"/>
  <c r="AX204" i="2"/>
  <c r="AY204" i="2"/>
  <c r="AZ204" i="2"/>
  <c r="BA204" i="2"/>
  <c r="BB204" i="2"/>
  <c r="BC204" i="2"/>
  <c r="BD204" i="2"/>
  <c r="BE204" i="2"/>
  <c r="CO204" i="2"/>
  <c r="E205" i="2"/>
  <c r="F205" i="2"/>
  <c r="H205" i="2"/>
  <c r="I205" i="2"/>
  <c r="J205" i="2"/>
  <c r="K205" i="2"/>
  <c r="L205" i="2"/>
  <c r="M205" i="2"/>
  <c r="N205" i="2"/>
  <c r="O205" i="2"/>
  <c r="P205" i="2"/>
  <c r="Q205" i="2"/>
  <c r="R205" i="2"/>
  <c r="S205" i="2"/>
  <c r="T205" i="2"/>
  <c r="U205" i="2"/>
  <c r="V205" i="2"/>
  <c r="W205" i="2"/>
  <c r="Y205" i="2"/>
  <c r="Z205" i="2"/>
  <c r="AA205" i="2"/>
  <c r="AB205" i="2"/>
  <c r="AC205" i="2"/>
  <c r="AD205" i="2"/>
  <c r="AE205" i="2"/>
  <c r="AF205" i="2"/>
  <c r="AG205" i="2"/>
  <c r="AH205" i="2"/>
  <c r="AI205" i="2"/>
  <c r="AJ205" i="2"/>
  <c r="AK205" i="2"/>
  <c r="AL205" i="2"/>
  <c r="AM205" i="2"/>
  <c r="AN205" i="2"/>
  <c r="AO205" i="2"/>
  <c r="AP205" i="2"/>
  <c r="AQ205" i="2"/>
  <c r="AR205" i="2"/>
  <c r="AS205" i="2"/>
  <c r="AT205" i="2"/>
  <c r="AU205" i="2"/>
  <c r="AV205" i="2"/>
  <c r="AW205" i="2"/>
  <c r="AX205" i="2"/>
  <c r="AY205" i="2"/>
  <c r="AZ205" i="2"/>
  <c r="BA205" i="2"/>
  <c r="BB205" i="2"/>
  <c r="BC205" i="2"/>
  <c r="BD205" i="2"/>
  <c r="BE205" i="2"/>
  <c r="CO205" i="2"/>
  <c r="E206" i="2"/>
  <c r="F206" i="2"/>
  <c r="H206" i="2"/>
  <c r="I206" i="2"/>
  <c r="J206" i="2"/>
  <c r="K206" i="2"/>
  <c r="L206" i="2"/>
  <c r="M206" i="2"/>
  <c r="N206" i="2"/>
  <c r="O206" i="2"/>
  <c r="P206" i="2"/>
  <c r="Q206" i="2"/>
  <c r="R206" i="2"/>
  <c r="S206" i="2"/>
  <c r="T206" i="2"/>
  <c r="U206" i="2"/>
  <c r="V206" i="2"/>
  <c r="W206" i="2"/>
  <c r="Y206" i="2"/>
  <c r="Z206" i="2"/>
  <c r="AA206" i="2"/>
  <c r="AB206" i="2"/>
  <c r="AC206" i="2"/>
  <c r="AD206" i="2"/>
  <c r="AE206" i="2"/>
  <c r="AF206" i="2"/>
  <c r="AG206" i="2"/>
  <c r="AH206" i="2"/>
  <c r="AI206" i="2"/>
  <c r="AJ206" i="2"/>
  <c r="AK206" i="2"/>
  <c r="AL206" i="2"/>
  <c r="AM206" i="2"/>
  <c r="AN206" i="2"/>
  <c r="AO206" i="2"/>
  <c r="AP206" i="2"/>
  <c r="AQ206" i="2"/>
  <c r="AR206" i="2"/>
  <c r="AS206" i="2"/>
  <c r="AT206" i="2"/>
  <c r="AU206" i="2"/>
  <c r="AV206" i="2"/>
  <c r="AW206" i="2"/>
  <c r="AX206" i="2"/>
  <c r="AY206" i="2"/>
  <c r="AZ206" i="2"/>
  <c r="BA206" i="2"/>
  <c r="BB206" i="2"/>
  <c r="BC206" i="2"/>
  <c r="BD206" i="2"/>
  <c r="BE206" i="2"/>
  <c r="CO206" i="2"/>
  <c r="E207" i="2"/>
  <c r="F207" i="2"/>
  <c r="H207" i="2"/>
  <c r="I207" i="2"/>
  <c r="J207" i="2"/>
  <c r="K207" i="2"/>
  <c r="L207" i="2"/>
  <c r="M207" i="2"/>
  <c r="N207" i="2"/>
  <c r="O207" i="2"/>
  <c r="P207" i="2"/>
  <c r="Q207" i="2"/>
  <c r="R207" i="2"/>
  <c r="S207" i="2"/>
  <c r="T207" i="2"/>
  <c r="U207" i="2"/>
  <c r="V207" i="2"/>
  <c r="W207" i="2"/>
  <c r="Y207" i="2"/>
  <c r="Z207" i="2"/>
  <c r="AA207" i="2"/>
  <c r="AB207" i="2"/>
  <c r="AC207" i="2"/>
  <c r="AD207" i="2"/>
  <c r="AE207" i="2"/>
  <c r="AF207" i="2"/>
  <c r="AG207" i="2"/>
  <c r="AH207" i="2"/>
  <c r="AI207" i="2"/>
  <c r="AJ207" i="2"/>
  <c r="AK207" i="2"/>
  <c r="AL207" i="2"/>
  <c r="AM207" i="2"/>
  <c r="AN207" i="2"/>
  <c r="AO207" i="2"/>
  <c r="AP207" i="2"/>
  <c r="AQ207" i="2"/>
  <c r="AR207" i="2"/>
  <c r="AS207" i="2"/>
  <c r="AT207" i="2"/>
  <c r="AU207" i="2"/>
  <c r="AV207" i="2"/>
  <c r="AW207" i="2"/>
  <c r="AX207" i="2"/>
  <c r="AY207" i="2"/>
  <c r="AZ207" i="2"/>
  <c r="BA207" i="2"/>
  <c r="BB207" i="2"/>
  <c r="BC207" i="2"/>
  <c r="BD207" i="2"/>
  <c r="BE207" i="2"/>
  <c r="CO207" i="2"/>
  <c r="E208" i="2"/>
  <c r="F208" i="2"/>
  <c r="H208" i="2"/>
  <c r="I208" i="2"/>
  <c r="J208" i="2"/>
  <c r="K208" i="2"/>
  <c r="L208" i="2"/>
  <c r="M208" i="2"/>
  <c r="N208" i="2"/>
  <c r="O208" i="2"/>
  <c r="P208" i="2"/>
  <c r="Q208" i="2"/>
  <c r="R208" i="2"/>
  <c r="S208" i="2"/>
  <c r="T208" i="2"/>
  <c r="U208" i="2"/>
  <c r="V208" i="2"/>
  <c r="W208" i="2"/>
  <c r="Y208" i="2"/>
  <c r="Z208" i="2"/>
  <c r="AA208" i="2"/>
  <c r="AB208" i="2"/>
  <c r="AC208" i="2"/>
  <c r="AD208" i="2"/>
  <c r="AE208" i="2"/>
  <c r="AF208" i="2"/>
  <c r="AG208" i="2"/>
  <c r="AH208" i="2"/>
  <c r="AI208" i="2"/>
  <c r="AJ208" i="2"/>
  <c r="AK208" i="2"/>
  <c r="AL208" i="2"/>
  <c r="AM208" i="2"/>
  <c r="AN208" i="2"/>
  <c r="AO208" i="2"/>
  <c r="AP208" i="2"/>
  <c r="AQ208" i="2"/>
  <c r="AR208" i="2"/>
  <c r="AS208" i="2"/>
  <c r="AT208" i="2"/>
  <c r="AU208" i="2"/>
  <c r="AV208" i="2"/>
  <c r="AW208" i="2"/>
  <c r="AX208" i="2"/>
  <c r="AY208" i="2"/>
  <c r="AZ208" i="2"/>
  <c r="BA208" i="2"/>
  <c r="BB208" i="2"/>
  <c r="BC208" i="2"/>
  <c r="BD208" i="2"/>
  <c r="BE208" i="2"/>
  <c r="CO208" i="2"/>
  <c r="E209" i="2"/>
  <c r="F209" i="2"/>
  <c r="H209" i="2"/>
  <c r="I209" i="2"/>
  <c r="J209" i="2"/>
  <c r="K209" i="2"/>
  <c r="L209" i="2"/>
  <c r="M209" i="2"/>
  <c r="N209" i="2"/>
  <c r="O209" i="2"/>
  <c r="P209" i="2"/>
  <c r="Q209" i="2"/>
  <c r="R209" i="2"/>
  <c r="S209" i="2"/>
  <c r="T209" i="2"/>
  <c r="U209" i="2"/>
  <c r="V209" i="2"/>
  <c r="W209" i="2"/>
  <c r="Y209" i="2"/>
  <c r="Z209" i="2"/>
  <c r="AA209" i="2"/>
  <c r="AB209" i="2"/>
  <c r="AC209" i="2"/>
  <c r="AD209" i="2"/>
  <c r="AE209" i="2"/>
  <c r="AF209" i="2"/>
  <c r="AG209" i="2"/>
  <c r="AH209" i="2"/>
  <c r="AI209" i="2"/>
  <c r="AJ209" i="2"/>
  <c r="AK209" i="2"/>
  <c r="AL209" i="2"/>
  <c r="AM209" i="2"/>
  <c r="AN209" i="2"/>
  <c r="AO209" i="2"/>
  <c r="AP209" i="2"/>
  <c r="AQ209" i="2"/>
  <c r="AR209" i="2"/>
  <c r="AS209" i="2"/>
  <c r="AT209" i="2"/>
  <c r="AU209" i="2"/>
  <c r="AV209" i="2"/>
  <c r="AW209" i="2"/>
  <c r="AX209" i="2"/>
  <c r="AY209" i="2"/>
  <c r="AZ209" i="2"/>
  <c r="BA209" i="2"/>
  <c r="BB209" i="2"/>
  <c r="BC209" i="2"/>
  <c r="BD209" i="2"/>
  <c r="BE209" i="2"/>
  <c r="CO209" i="2"/>
  <c r="E210" i="2"/>
  <c r="F210" i="2"/>
  <c r="H210" i="2"/>
  <c r="I210" i="2"/>
  <c r="J210" i="2"/>
  <c r="K210" i="2"/>
  <c r="L210" i="2"/>
  <c r="M210" i="2"/>
  <c r="N210" i="2"/>
  <c r="O210" i="2"/>
  <c r="P210" i="2"/>
  <c r="Q210" i="2"/>
  <c r="R210" i="2"/>
  <c r="S210" i="2"/>
  <c r="T210" i="2"/>
  <c r="U210" i="2"/>
  <c r="V210" i="2"/>
  <c r="W210" i="2"/>
  <c r="Y210" i="2"/>
  <c r="Z210" i="2"/>
  <c r="AA210" i="2"/>
  <c r="AB210" i="2"/>
  <c r="AC210" i="2"/>
  <c r="AD210" i="2"/>
  <c r="AE210" i="2"/>
  <c r="AF210" i="2"/>
  <c r="AG210" i="2"/>
  <c r="AH210" i="2"/>
  <c r="AI210" i="2"/>
  <c r="AJ210" i="2"/>
  <c r="AK210" i="2"/>
  <c r="AL210" i="2"/>
  <c r="AM210" i="2"/>
  <c r="AN210" i="2"/>
  <c r="AO210" i="2"/>
  <c r="AP210" i="2"/>
  <c r="AQ210" i="2"/>
  <c r="AR210" i="2"/>
  <c r="AS210" i="2"/>
  <c r="AT210" i="2"/>
  <c r="AU210" i="2"/>
  <c r="AV210" i="2"/>
  <c r="AW210" i="2"/>
  <c r="AX210" i="2"/>
  <c r="AY210" i="2"/>
  <c r="AZ210" i="2"/>
  <c r="BA210" i="2"/>
  <c r="BB210" i="2"/>
  <c r="BC210" i="2"/>
  <c r="BD210" i="2"/>
  <c r="BE210" i="2"/>
  <c r="CO210" i="2"/>
  <c r="E211" i="2"/>
  <c r="F211" i="2"/>
  <c r="H211" i="2"/>
  <c r="I211" i="2"/>
  <c r="J211" i="2"/>
  <c r="K211" i="2"/>
  <c r="L211" i="2"/>
  <c r="M211" i="2"/>
  <c r="N211" i="2"/>
  <c r="O211" i="2"/>
  <c r="P211" i="2"/>
  <c r="Q211" i="2"/>
  <c r="R211" i="2"/>
  <c r="S211" i="2"/>
  <c r="T211" i="2"/>
  <c r="U211" i="2"/>
  <c r="V211" i="2"/>
  <c r="W211" i="2"/>
  <c r="Y211" i="2"/>
  <c r="Z211" i="2"/>
  <c r="AA211" i="2"/>
  <c r="AB211" i="2"/>
  <c r="AC211" i="2"/>
  <c r="AD211" i="2"/>
  <c r="AE211" i="2"/>
  <c r="AF211" i="2"/>
  <c r="AG211" i="2"/>
  <c r="AH211" i="2"/>
  <c r="AI211" i="2"/>
  <c r="AJ211" i="2"/>
  <c r="AK211" i="2"/>
  <c r="AL211" i="2"/>
  <c r="AM211" i="2"/>
  <c r="AN211" i="2"/>
  <c r="AO211" i="2"/>
  <c r="AP211" i="2"/>
  <c r="AQ211" i="2"/>
  <c r="AR211" i="2"/>
  <c r="AS211" i="2"/>
  <c r="AT211" i="2"/>
  <c r="AU211" i="2"/>
  <c r="AV211" i="2"/>
  <c r="AW211" i="2"/>
  <c r="AX211" i="2"/>
  <c r="AY211" i="2"/>
  <c r="AZ211" i="2"/>
  <c r="BA211" i="2"/>
  <c r="BB211" i="2"/>
  <c r="BC211" i="2"/>
  <c r="BD211" i="2"/>
  <c r="BE211" i="2"/>
  <c r="CO211" i="2"/>
  <c r="E212" i="2"/>
  <c r="F212" i="2"/>
  <c r="H212" i="2"/>
  <c r="I212" i="2"/>
  <c r="J212" i="2"/>
  <c r="K212" i="2"/>
  <c r="L212" i="2"/>
  <c r="M212" i="2"/>
  <c r="N212" i="2"/>
  <c r="O212" i="2"/>
  <c r="P212" i="2"/>
  <c r="Q212" i="2"/>
  <c r="R212" i="2"/>
  <c r="S212" i="2"/>
  <c r="T212" i="2"/>
  <c r="U212" i="2"/>
  <c r="V212" i="2"/>
  <c r="W212" i="2"/>
  <c r="Y212" i="2"/>
  <c r="Z212" i="2"/>
  <c r="AA212" i="2"/>
  <c r="AB212" i="2"/>
  <c r="AC212" i="2"/>
  <c r="AD212" i="2"/>
  <c r="AE212" i="2"/>
  <c r="AF212" i="2"/>
  <c r="AG212" i="2"/>
  <c r="AH212" i="2"/>
  <c r="AI212" i="2"/>
  <c r="AJ212" i="2"/>
  <c r="AK212" i="2"/>
  <c r="AL212" i="2"/>
  <c r="AM212" i="2"/>
  <c r="AN212" i="2"/>
  <c r="AO212" i="2"/>
  <c r="AP212" i="2"/>
  <c r="AQ212" i="2"/>
  <c r="AR212" i="2"/>
  <c r="AS212" i="2"/>
  <c r="AT212" i="2"/>
  <c r="AU212" i="2"/>
  <c r="AV212" i="2"/>
  <c r="AW212" i="2"/>
  <c r="AX212" i="2"/>
  <c r="AY212" i="2"/>
  <c r="AZ212" i="2"/>
  <c r="BA212" i="2"/>
  <c r="BB212" i="2"/>
  <c r="BC212" i="2"/>
  <c r="BD212" i="2"/>
  <c r="BE212" i="2"/>
  <c r="CO212" i="2"/>
  <c r="E213" i="2"/>
  <c r="F213" i="2"/>
  <c r="H213" i="2"/>
  <c r="I213" i="2"/>
  <c r="J213" i="2"/>
  <c r="K213" i="2"/>
  <c r="L213" i="2"/>
  <c r="M213" i="2"/>
  <c r="N213" i="2"/>
  <c r="O213" i="2"/>
  <c r="P213" i="2"/>
  <c r="Q213" i="2"/>
  <c r="R213" i="2"/>
  <c r="S213" i="2"/>
  <c r="T213" i="2"/>
  <c r="U213" i="2"/>
  <c r="V213" i="2"/>
  <c r="W213" i="2"/>
  <c r="Y213" i="2"/>
  <c r="Z213" i="2"/>
  <c r="AA213" i="2"/>
  <c r="AB213" i="2"/>
  <c r="AC213" i="2"/>
  <c r="AD213" i="2"/>
  <c r="AE213" i="2"/>
  <c r="AF213" i="2"/>
  <c r="AG213" i="2"/>
  <c r="AH213" i="2"/>
  <c r="AI213" i="2"/>
  <c r="AJ213" i="2"/>
  <c r="AK213" i="2"/>
  <c r="AL213" i="2"/>
  <c r="AM213" i="2"/>
  <c r="AN213" i="2"/>
  <c r="AO213" i="2"/>
  <c r="AP213" i="2"/>
  <c r="AQ213" i="2"/>
  <c r="AR213" i="2"/>
  <c r="AS213" i="2"/>
  <c r="AT213" i="2"/>
  <c r="AU213" i="2"/>
  <c r="AV213" i="2"/>
  <c r="AW213" i="2"/>
  <c r="AX213" i="2"/>
  <c r="AY213" i="2"/>
  <c r="AZ213" i="2"/>
  <c r="BA213" i="2"/>
  <c r="BB213" i="2"/>
  <c r="BC213" i="2"/>
  <c r="BD213" i="2"/>
  <c r="BE213" i="2"/>
  <c r="CO213" i="2"/>
  <c r="E214" i="2"/>
  <c r="F214" i="2"/>
  <c r="H214" i="2"/>
  <c r="I214" i="2"/>
  <c r="J214" i="2"/>
  <c r="K214" i="2"/>
  <c r="L214" i="2"/>
  <c r="M214" i="2"/>
  <c r="N214" i="2"/>
  <c r="O214" i="2"/>
  <c r="P214" i="2"/>
  <c r="Q214" i="2"/>
  <c r="R214" i="2"/>
  <c r="S214" i="2"/>
  <c r="T214" i="2"/>
  <c r="U214" i="2"/>
  <c r="V214" i="2"/>
  <c r="W214" i="2"/>
  <c r="Y214" i="2"/>
  <c r="Z214" i="2"/>
  <c r="AA214" i="2"/>
  <c r="AB214" i="2"/>
  <c r="AC214" i="2"/>
  <c r="AD214" i="2"/>
  <c r="AE214" i="2"/>
  <c r="AF214" i="2"/>
  <c r="AG214" i="2"/>
  <c r="AH214" i="2"/>
  <c r="AI214" i="2"/>
  <c r="AJ214" i="2"/>
  <c r="AK214" i="2"/>
  <c r="AL214" i="2"/>
  <c r="AM214" i="2"/>
  <c r="AN214" i="2"/>
  <c r="AO214" i="2"/>
  <c r="AP214" i="2"/>
  <c r="AQ214" i="2"/>
  <c r="AR214" i="2"/>
  <c r="AS214" i="2"/>
  <c r="AT214" i="2"/>
  <c r="AU214" i="2"/>
  <c r="AV214" i="2"/>
  <c r="AW214" i="2"/>
  <c r="AX214" i="2"/>
  <c r="AY214" i="2"/>
  <c r="AZ214" i="2"/>
  <c r="BA214" i="2"/>
  <c r="BB214" i="2"/>
  <c r="BC214" i="2"/>
  <c r="BD214" i="2"/>
  <c r="BE214" i="2"/>
  <c r="CO214" i="2"/>
  <c r="E215" i="2"/>
  <c r="CM215" i="2" s="1"/>
  <c r="F215" i="2"/>
  <c r="H215" i="2"/>
  <c r="I215" i="2"/>
  <c r="J215" i="2"/>
  <c r="K215" i="2"/>
  <c r="L215" i="2"/>
  <c r="M215" i="2"/>
  <c r="N215" i="2"/>
  <c r="O215" i="2"/>
  <c r="P215" i="2"/>
  <c r="Q215" i="2"/>
  <c r="R215" i="2"/>
  <c r="S215" i="2"/>
  <c r="T215" i="2"/>
  <c r="U215" i="2"/>
  <c r="V215" i="2"/>
  <c r="W215" i="2"/>
  <c r="Y215" i="2"/>
  <c r="Z215" i="2"/>
  <c r="AA215" i="2"/>
  <c r="AB215" i="2"/>
  <c r="AC215" i="2"/>
  <c r="AD215" i="2"/>
  <c r="AE215" i="2"/>
  <c r="AF215" i="2"/>
  <c r="AG215" i="2"/>
  <c r="AH215" i="2"/>
  <c r="AI215" i="2"/>
  <c r="AJ215" i="2"/>
  <c r="AK215" i="2"/>
  <c r="AL215" i="2"/>
  <c r="AM215" i="2"/>
  <c r="AN215" i="2"/>
  <c r="AO215" i="2"/>
  <c r="AP215" i="2"/>
  <c r="AQ215" i="2"/>
  <c r="AR215" i="2"/>
  <c r="AS215" i="2"/>
  <c r="AT215" i="2"/>
  <c r="AU215" i="2"/>
  <c r="AV215" i="2"/>
  <c r="AW215" i="2"/>
  <c r="AX215" i="2"/>
  <c r="AY215" i="2"/>
  <c r="AZ215" i="2"/>
  <c r="BA215" i="2"/>
  <c r="BB215" i="2"/>
  <c r="BC215" i="2"/>
  <c r="BD215" i="2"/>
  <c r="BE215" i="2"/>
  <c r="CO215" i="2"/>
  <c r="E216" i="2"/>
  <c r="CM216" i="2" s="1"/>
  <c r="F216" i="2"/>
  <c r="H216" i="2"/>
  <c r="I216" i="2"/>
  <c r="J216" i="2"/>
  <c r="K216" i="2"/>
  <c r="L216" i="2"/>
  <c r="M216" i="2"/>
  <c r="N216" i="2"/>
  <c r="O216" i="2"/>
  <c r="P216" i="2"/>
  <c r="Q216" i="2"/>
  <c r="R216" i="2"/>
  <c r="S216" i="2"/>
  <c r="T216" i="2"/>
  <c r="U216" i="2"/>
  <c r="V216" i="2"/>
  <c r="W216" i="2"/>
  <c r="Y216" i="2"/>
  <c r="Z216" i="2"/>
  <c r="AA216" i="2"/>
  <c r="AB216" i="2"/>
  <c r="AC216" i="2"/>
  <c r="AD216" i="2"/>
  <c r="AE216" i="2"/>
  <c r="AF216" i="2"/>
  <c r="AG216" i="2"/>
  <c r="AH216" i="2"/>
  <c r="AI216" i="2"/>
  <c r="AJ216" i="2"/>
  <c r="AK216" i="2"/>
  <c r="AL216" i="2"/>
  <c r="AM216" i="2"/>
  <c r="AN216" i="2"/>
  <c r="AO216" i="2"/>
  <c r="AP216" i="2"/>
  <c r="AQ216" i="2"/>
  <c r="AR216" i="2"/>
  <c r="AS216" i="2"/>
  <c r="AT216" i="2"/>
  <c r="AU216" i="2"/>
  <c r="AV216" i="2"/>
  <c r="AW216" i="2"/>
  <c r="AX216" i="2"/>
  <c r="AY216" i="2"/>
  <c r="AZ216" i="2"/>
  <c r="BA216" i="2"/>
  <c r="BB216" i="2"/>
  <c r="BC216" i="2"/>
  <c r="BD216" i="2"/>
  <c r="BE216" i="2"/>
  <c r="CO216" i="2"/>
  <c r="E217" i="2"/>
  <c r="CM217" i="2" s="1"/>
  <c r="F217" i="2"/>
  <c r="H217" i="2"/>
  <c r="I217" i="2"/>
  <c r="J217" i="2"/>
  <c r="K217" i="2"/>
  <c r="L217" i="2"/>
  <c r="M217" i="2"/>
  <c r="N217" i="2"/>
  <c r="O217" i="2"/>
  <c r="P217" i="2"/>
  <c r="Q217" i="2"/>
  <c r="R217" i="2"/>
  <c r="S217" i="2"/>
  <c r="T217" i="2"/>
  <c r="U217" i="2"/>
  <c r="V217" i="2"/>
  <c r="W217" i="2"/>
  <c r="Y217" i="2"/>
  <c r="Z217" i="2"/>
  <c r="AA217" i="2"/>
  <c r="AB217" i="2"/>
  <c r="AC217" i="2"/>
  <c r="AD217" i="2"/>
  <c r="AE217" i="2"/>
  <c r="AF217" i="2"/>
  <c r="AG217" i="2"/>
  <c r="AH217" i="2"/>
  <c r="AI217" i="2"/>
  <c r="AJ217" i="2"/>
  <c r="AK217" i="2"/>
  <c r="AL217" i="2"/>
  <c r="AM217" i="2"/>
  <c r="AN217" i="2"/>
  <c r="AO217" i="2"/>
  <c r="AP217" i="2"/>
  <c r="AQ217" i="2"/>
  <c r="AR217" i="2"/>
  <c r="AS217" i="2"/>
  <c r="AT217" i="2"/>
  <c r="AU217" i="2"/>
  <c r="AV217" i="2"/>
  <c r="AW217" i="2"/>
  <c r="AX217" i="2"/>
  <c r="AY217" i="2"/>
  <c r="AZ217" i="2"/>
  <c r="BA217" i="2"/>
  <c r="BB217" i="2"/>
  <c r="BC217" i="2"/>
  <c r="BD217" i="2"/>
  <c r="BE217" i="2"/>
  <c r="CO217" i="2"/>
  <c r="E218" i="2"/>
  <c r="CM218" i="2" s="1"/>
  <c r="F218" i="2"/>
  <c r="H218" i="2"/>
  <c r="I218" i="2"/>
  <c r="J218" i="2"/>
  <c r="K218" i="2"/>
  <c r="L218" i="2"/>
  <c r="M218" i="2"/>
  <c r="N218" i="2"/>
  <c r="O218" i="2"/>
  <c r="P218" i="2"/>
  <c r="Q218" i="2"/>
  <c r="R218" i="2"/>
  <c r="S218" i="2"/>
  <c r="T218" i="2"/>
  <c r="U218" i="2"/>
  <c r="V218" i="2"/>
  <c r="W218" i="2"/>
  <c r="Y218" i="2"/>
  <c r="Z218" i="2"/>
  <c r="AA218" i="2"/>
  <c r="AB218" i="2"/>
  <c r="AC218" i="2"/>
  <c r="AD218" i="2"/>
  <c r="AE218" i="2"/>
  <c r="AF218" i="2"/>
  <c r="AG218" i="2"/>
  <c r="AH218" i="2"/>
  <c r="AI218" i="2"/>
  <c r="AJ218" i="2"/>
  <c r="AK218" i="2"/>
  <c r="AL218" i="2"/>
  <c r="AM218" i="2"/>
  <c r="AN218" i="2"/>
  <c r="AO218" i="2"/>
  <c r="AP218" i="2"/>
  <c r="AQ218" i="2"/>
  <c r="AR218" i="2"/>
  <c r="AS218" i="2"/>
  <c r="AT218" i="2"/>
  <c r="AU218" i="2"/>
  <c r="AV218" i="2"/>
  <c r="AW218" i="2"/>
  <c r="AX218" i="2"/>
  <c r="AY218" i="2"/>
  <c r="AZ218" i="2"/>
  <c r="BA218" i="2"/>
  <c r="BB218" i="2"/>
  <c r="BC218" i="2"/>
  <c r="BD218" i="2"/>
  <c r="BE218" i="2"/>
  <c r="CO218" i="2"/>
  <c r="E219" i="2"/>
  <c r="F219" i="2"/>
  <c r="G219" i="2"/>
  <c r="H219" i="2"/>
  <c r="I219" i="2"/>
  <c r="J219" i="2"/>
  <c r="K219" i="2"/>
  <c r="L219" i="2"/>
  <c r="M219" i="2"/>
  <c r="N219" i="2"/>
  <c r="O219" i="2"/>
  <c r="P219" i="2"/>
  <c r="Q219" i="2"/>
  <c r="R219" i="2"/>
  <c r="S219" i="2"/>
  <c r="T219" i="2"/>
  <c r="U219" i="2"/>
  <c r="V219" i="2"/>
  <c r="W219" i="2"/>
  <c r="Y219" i="2"/>
  <c r="Z219" i="2"/>
  <c r="AA219" i="2"/>
  <c r="AB219" i="2"/>
  <c r="AC219" i="2"/>
  <c r="AD219" i="2"/>
  <c r="AE219" i="2"/>
  <c r="AF219" i="2"/>
  <c r="AG219" i="2"/>
  <c r="AH219" i="2"/>
  <c r="AI219" i="2"/>
  <c r="AJ219" i="2"/>
  <c r="AK219" i="2"/>
  <c r="AL219" i="2"/>
  <c r="AM219" i="2"/>
  <c r="AN219" i="2"/>
  <c r="AO219" i="2"/>
  <c r="AP219" i="2"/>
  <c r="AQ219" i="2"/>
  <c r="AR219" i="2"/>
  <c r="AS219" i="2"/>
  <c r="AT219" i="2"/>
  <c r="AU219" i="2"/>
  <c r="AV219" i="2"/>
  <c r="AW219" i="2"/>
  <c r="AX219" i="2"/>
  <c r="AY219" i="2"/>
  <c r="AZ219" i="2"/>
  <c r="BA219" i="2"/>
  <c r="BB219" i="2"/>
  <c r="BC219" i="2"/>
  <c r="BD219" i="2"/>
  <c r="BE219" i="2"/>
  <c r="CO219" i="2"/>
  <c r="E220" i="2"/>
  <c r="F220" i="2"/>
  <c r="G220" i="2"/>
  <c r="H220" i="2"/>
  <c r="I220" i="2"/>
  <c r="J220" i="2"/>
  <c r="K220" i="2"/>
  <c r="L220" i="2"/>
  <c r="M220" i="2"/>
  <c r="N220" i="2"/>
  <c r="O220" i="2"/>
  <c r="P220" i="2"/>
  <c r="Q220" i="2"/>
  <c r="R220" i="2"/>
  <c r="S220" i="2"/>
  <c r="T220" i="2"/>
  <c r="U220" i="2"/>
  <c r="V220" i="2"/>
  <c r="W220" i="2"/>
  <c r="Y220" i="2"/>
  <c r="Z220" i="2"/>
  <c r="AA220" i="2"/>
  <c r="AB220" i="2"/>
  <c r="AC220" i="2"/>
  <c r="AD220" i="2"/>
  <c r="AE220" i="2"/>
  <c r="AF220" i="2"/>
  <c r="AG220" i="2"/>
  <c r="AH220" i="2"/>
  <c r="AI220" i="2"/>
  <c r="AJ220" i="2"/>
  <c r="AK220" i="2"/>
  <c r="AL220" i="2"/>
  <c r="AM220" i="2"/>
  <c r="AN220" i="2"/>
  <c r="AO220" i="2"/>
  <c r="AP220" i="2"/>
  <c r="AQ220" i="2"/>
  <c r="AR220" i="2"/>
  <c r="AS220" i="2"/>
  <c r="AT220" i="2"/>
  <c r="AU220" i="2"/>
  <c r="AV220" i="2"/>
  <c r="AW220" i="2"/>
  <c r="AX220" i="2"/>
  <c r="AY220" i="2"/>
  <c r="AZ220" i="2"/>
  <c r="BA220" i="2"/>
  <c r="BB220" i="2"/>
  <c r="BC220" i="2"/>
  <c r="BD220" i="2"/>
  <c r="BE220" i="2"/>
  <c r="CO220" i="2"/>
  <c r="E221" i="2"/>
  <c r="CM221" i="2" s="1"/>
  <c r="F221" i="2"/>
  <c r="G221" i="2"/>
  <c r="H221" i="2"/>
  <c r="I221" i="2"/>
  <c r="J221" i="2"/>
  <c r="K221" i="2"/>
  <c r="L221" i="2"/>
  <c r="M221" i="2"/>
  <c r="N221" i="2"/>
  <c r="O221" i="2"/>
  <c r="P221" i="2"/>
  <c r="Q221" i="2"/>
  <c r="R221" i="2"/>
  <c r="S221" i="2"/>
  <c r="T221" i="2"/>
  <c r="U221" i="2"/>
  <c r="V221" i="2"/>
  <c r="W221" i="2"/>
  <c r="Y221" i="2"/>
  <c r="Z221" i="2"/>
  <c r="AA221" i="2"/>
  <c r="AB221" i="2"/>
  <c r="AC221" i="2"/>
  <c r="AD221" i="2"/>
  <c r="AE221" i="2"/>
  <c r="AF221" i="2"/>
  <c r="AG221" i="2"/>
  <c r="AH221" i="2"/>
  <c r="AI221" i="2"/>
  <c r="AJ221" i="2"/>
  <c r="AK221" i="2"/>
  <c r="AL221" i="2"/>
  <c r="AM221" i="2"/>
  <c r="AN221" i="2"/>
  <c r="AO221" i="2"/>
  <c r="AP221" i="2"/>
  <c r="AQ221" i="2"/>
  <c r="AR221" i="2"/>
  <c r="AS221" i="2"/>
  <c r="AT221" i="2"/>
  <c r="AU221" i="2"/>
  <c r="AV221" i="2"/>
  <c r="AW221" i="2"/>
  <c r="AX221" i="2"/>
  <c r="AY221" i="2"/>
  <c r="AZ221" i="2"/>
  <c r="BA221" i="2"/>
  <c r="BB221" i="2"/>
  <c r="BC221" i="2"/>
  <c r="BD221" i="2"/>
  <c r="BE221" i="2"/>
  <c r="CO221" i="2"/>
  <c r="E222" i="2"/>
  <c r="CM222" i="2" s="1"/>
  <c r="F222" i="2"/>
  <c r="G222" i="2"/>
  <c r="H222" i="2"/>
  <c r="I222" i="2"/>
  <c r="J222" i="2"/>
  <c r="K222" i="2"/>
  <c r="L222" i="2"/>
  <c r="M222" i="2"/>
  <c r="N222" i="2"/>
  <c r="O222" i="2"/>
  <c r="P222" i="2"/>
  <c r="Q222" i="2"/>
  <c r="R222" i="2"/>
  <c r="S222" i="2"/>
  <c r="T222" i="2"/>
  <c r="U222" i="2"/>
  <c r="V222" i="2"/>
  <c r="W222" i="2"/>
  <c r="Y222" i="2"/>
  <c r="Z222" i="2"/>
  <c r="AA222" i="2"/>
  <c r="AB222" i="2"/>
  <c r="AC222" i="2"/>
  <c r="AD222" i="2"/>
  <c r="AE222" i="2"/>
  <c r="AF222" i="2"/>
  <c r="AG222" i="2"/>
  <c r="AH222" i="2"/>
  <c r="AI222" i="2"/>
  <c r="AJ222" i="2"/>
  <c r="AK222" i="2"/>
  <c r="AL222" i="2"/>
  <c r="AM222" i="2"/>
  <c r="AN222" i="2"/>
  <c r="AO222" i="2"/>
  <c r="AP222" i="2"/>
  <c r="AQ222" i="2"/>
  <c r="AR222" i="2"/>
  <c r="AS222" i="2"/>
  <c r="AT222" i="2"/>
  <c r="AU222" i="2"/>
  <c r="AV222" i="2"/>
  <c r="AW222" i="2"/>
  <c r="AX222" i="2"/>
  <c r="AY222" i="2"/>
  <c r="AZ222" i="2"/>
  <c r="BA222" i="2"/>
  <c r="BB222" i="2"/>
  <c r="BC222" i="2"/>
  <c r="BD222" i="2"/>
  <c r="BE222" i="2"/>
  <c r="CO222" i="2"/>
  <c r="E223" i="2"/>
  <c r="CM223" i="2" s="1"/>
  <c r="F223" i="2"/>
  <c r="G223" i="2"/>
  <c r="H223" i="2"/>
  <c r="I223" i="2"/>
  <c r="J223" i="2"/>
  <c r="K223" i="2"/>
  <c r="L223" i="2"/>
  <c r="N223" i="2"/>
  <c r="O223" i="2"/>
  <c r="P223" i="2"/>
  <c r="Q223" i="2"/>
  <c r="R223" i="2"/>
  <c r="S223" i="2"/>
  <c r="T223" i="2"/>
  <c r="U223" i="2"/>
  <c r="V223" i="2"/>
  <c r="W223" i="2"/>
  <c r="Y223" i="2"/>
  <c r="Z223" i="2"/>
  <c r="AA223" i="2"/>
  <c r="AB223" i="2"/>
  <c r="AC223" i="2"/>
  <c r="AD223" i="2"/>
  <c r="AE223" i="2"/>
  <c r="AF223" i="2"/>
  <c r="AG223" i="2"/>
  <c r="AH223" i="2"/>
  <c r="AI223" i="2"/>
  <c r="AJ223" i="2"/>
  <c r="AK223" i="2"/>
  <c r="AL223" i="2"/>
  <c r="AM223" i="2"/>
  <c r="AN223" i="2"/>
  <c r="AO223" i="2"/>
  <c r="AP223" i="2"/>
  <c r="AQ223" i="2"/>
  <c r="AR223" i="2"/>
  <c r="AS223" i="2"/>
  <c r="AT223" i="2"/>
  <c r="AU223" i="2"/>
  <c r="AV223" i="2"/>
  <c r="AW223" i="2"/>
  <c r="AX223" i="2"/>
  <c r="AY223" i="2"/>
  <c r="AZ223" i="2"/>
  <c r="BA223" i="2"/>
  <c r="BB223" i="2"/>
  <c r="BC223" i="2"/>
  <c r="BD223" i="2"/>
  <c r="BE223" i="2"/>
  <c r="CO223" i="2"/>
  <c r="E224" i="2"/>
  <c r="CM224" i="2" s="1"/>
  <c r="F224" i="2"/>
  <c r="G224" i="2"/>
  <c r="H224" i="2"/>
  <c r="I224" i="2"/>
  <c r="J224" i="2"/>
  <c r="K224" i="2"/>
  <c r="L224" i="2"/>
  <c r="M224" i="2"/>
  <c r="N224" i="2"/>
  <c r="O224" i="2"/>
  <c r="P224" i="2"/>
  <c r="Q224" i="2"/>
  <c r="R224" i="2"/>
  <c r="S224" i="2"/>
  <c r="T224" i="2"/>
  <c r="U224" i="2"/>
  <c r="V224" i="2"/>
  <c r="W224" i="2"/>
  <c r="Y224" i="2"/>
  <c r="Z224" i="2"/>
  <c r="AA224" i="2"/>
  <c r="AB224" i="2"/>
  <c r="AC224" i="2"/>
  <c r="AD224" i="2"/>
  <c r="AE224" i="2"/>
  <c r="AF224" i="2"/>
  <c r="AG224" i="2"/>
  <c r="AH224" i="2"/>
  <c r="AI224" i="2"/>
  <c r="AJ224" i="2"/>
  <c r="AK224" i="2"/>
  <c r="AL224" i="2"/>
  <c r="AM224" i="2"/>
  <c r="AN224" i="2"/>
  <c r="AO224" i="2"/>
  <c r="AP224" i="2"/>
  <c r="AQ224" i="2"/>
  <c r="AR224" i="2"/>
  <c r="AS224" i="2"/>
  <c r="AT224" i="2"/>
  <c r="AU224" i="2"/>
  <c r="AV224" i="2"/>
  <c r="AW224" i="2"/>
  <c r="AX224" i="2"/>
  <c r="AY224" i="2"/>
  <c r="AZ224" i="2"/>
  <c r="BA224" i="2"/>
  <c r="BB224" i="2"/>
  <c r="BC224" i="2"/>
  <c r="BD224" i="2"/>
  <c r="BE224" i="2"/>
  <c r="CO224" i="2"/>
  <c r="E225" i="2"/>
  <c r="CM225" i="2" s="1"/>
  <c r="F225" i="2"/>
  <c r="G225" i="2"/>
  <c r="H225" i="2"/>
  <c r="I225" i="2"/>
  <c r="J225" i="2"/>
  <c r="K225" i="2"/>
  <c r="L225" i="2"/>
  <c r="M225" i="2"/>
  <c r="N225" i="2"/>
  <c r="O225" i="2"/>
  <c r="P225" i="2"/>
  <c r="Q225" i="2"/>
  <c r="R225" i="2"/>
  <c r="S225" i="2"/>
  <c r="T225" i="2"/>
  <c r="U225" i="2"/>
  <c r="V225" i="2"/>
  <c r="W225" i="2"/>
  <c r="Y225" i="2"/>
  <c r="Z225" i="2"/>
  <c r="AA225" i="2"/>
  <c r="AB225" i="2"/>
  <c r="AC225" i="2"/>
  <c r="AD225" i="2"/>
  <c r="AE225" i="2"/>
  <c r="AF225" i="2"/>
  <c r="AG225" i="2"/>
  <c r="AH225" i="2"/>
  <c r="AI225" i="2"/>
  <c r="AJ225" i="2"/>
  <c r="AK225" i="2"/>
  <c r="AL225" i="2"/>
  <c r="AM225" i="2"/>
  <c r="AN225" i="2"/>
  <c r="AO225" i="2"/>
  <c r="AP225" i="2"/>
  <c r="AQ225" i="2"/>
  <c r="AR225" i="2"/>
  <c r="AS225" i="2"/>
  <c r="AT225" i="2"/>
  <c r="AU225" i="2"/>
  <c r="AV225" i="2"/>
  <c r="AW225" i="2"/>
  <c r="AX225" i="2"/>
  <c r="AY225" i="2"/>
  <c r="AZ225" i="2"/>
  <c r="BA225" i="2"/>
  <c r="BB225" i="2"/>
  <c r="BC225" i="2"/>
  <c r="BD225" i="2"/>
  <c r="BE225" i="2"/>
  <c r="CO225" i="2"/>
  <c r="E226" i="2"/>
  <c r="CM226" i="2" s="1"/>
  <c r="F226" i="2"/>
  <c r="G226" i="2"/>
  <c r="H226" i="2"/>
  <c r="I226" i="2"/>
  <c r="J226" i="2"/>
  <c r="K226" i="2"/>
  <c r="L226" i="2"/>
  <c r="M226" i="2"/>
  <c r="N226" i="2"/>
  <c r="O226" i="2"/>
  <c r="P226" i="2"/>
  <c r="Q226" i="2"/>
  <c r="R226" i="2"/>
  <c r="S226" i="2"/>
  <c r="T226" i="2"/>
  <c r="U226" i="2"/>
  <c r="V226" i="2"/>
  <c r="W226" i="2"/>
  <c r="Y226" i="2"/>
  <c r="Z226" i="2"/>
  <c r="AA226" i="2"/>
  <c r="AB226" i="2"/>
  <c r="AC226" i="2"/>
  <c r="AD226" i="2"/>
  <c r="AE226" i="2"/>
  <c r="AF226" i="2"/>
  <c r="AG226" i="2"/>
  <c r="AH226" i="2"/>
  <c r="AI226" i="2"/>
  <c r="AJ226" i="2"/>
  <c r="AK226" i="2"/>
  <c r="AL226" i="2"/>
  <c r="AM226" i="2"/>
  <c r="AN226" i="2"/>
  <c r="AO226" i="2"/>
  <c r="AP226" i="2"/>
  <c r="AQ226" i="2"/>
  <c r="AR226" i="2"/>
  <c r="AS226" i="2"/>
  <c r="AT226" i="2"/>
  <c r="AU226" i="2"/>
  <c r="AV226" i="2"/>
  <c r="AW226" i="2"/>
  <c r="AX226" i="2"/>
  <c r="AY226" i="2"/>
  <c r="AZ226" i="2"/>
  <c r="BA226" i="2"/>
  <c r="BB226" i="2"/>
  <c r="BC226" i="2"/>
  <c r="BD226" i="2"/>
  <c r="BE226" i="2"/>
  <c r="CO226" i="2"/>
  <c r="E227" i="2"/>
  <c r="CM227" i="2" s="1"/>
  <c r="F227" i="2"/>
  <c r="G227" i="2"/>
  <c r="H227" i="2"/>
  <c r="I227" i="2"/>
  <c r="J227" i="2"/>
  <c r="K227" i="2"/>
  <c r="L227" i="2"/>
  <c r="M227" i="2"/>
  <c r="N227" i="2"/>
  <c r="O227" i="2"/>
  <c r="P227" i="2"/>
  <c r="Q227" i="2"/>
  <c r="R227" i="2"/>
  <c r="S227" i="2"/>
  <c r="T227" i="2"/>
  <c r="U227" i="2"/>
  <c r="V227" i="2"/>
  <c r="W227" i="2"/>
  <c r="Y227" i="2"/>
  <c r="Z227" i="2"/>
  <c r="AA227" i="2"/>
  <c r="AB227" i="2"/>
  <c r="AC227" i="2"/>
  <c r="AD227" i="2"/>
  <c r="AE227" i="2"/>
  <c r="AF227" i="2"/>
  <c r="AG227" i="2"/>
  <c r="AH227" i="2"/>
  <c r="AI227" i="2"/>
  <c r="AJ227" i="2"/>
  <c r="AK227" i="2"/>
  <c r="AL227" i="2"/>
  <c r="AM227" i="2"/>
  <c r="AN227" i="2"/>
  <c r="AO227" i="2"/>
  <c r="AP227" i="2"/>
  <c r="AQ227" i="2"/>
  <c r="AR227" i="2"/>
  <c r="AS227" i="2"/>
  <c r="AT227" i="2"/>
  <c r="AU227" i="2"/>
  <c r="AV227" i="2"/>
  <c r="AW227" i="2"/>
  <c r="AX227" i="2"/>
  <c r="AY227" i="2"/>
  <c r="AZ227" i="2"/>
  <c r="BA227" i="2"/>
  <c r="BB227" i="2"/>
  <c r="BC227" i="2"/>
  <c r="BD227" i="2"/>
  <c r="BE227" i="2"/>
  <c r="CO227" i="2"/>
  <c r="E228" i="2"/>
  <c r="CM228" i="2" s="1"/>
  <c r="F228" i="2"/>
  <c r="G228" i="2"/>
  <c r="H228" i="2"/>
  <c r="I228" i="2"/>
  <c r="J228" i="2"/>
  <c r="K228" i="2"/>
  <c r="L228" i="2"/>
  <c r="M228" i="2"/>
  <c r="N228" i="2"/>
  <c r="O228" i="2"/>
  <c r="P228" i="2"/>
  <c r="Q228" i="2"/>
  <c r="R228" i="2"/>
  <c r="S228" i="2"/>
  <c r="T228" i="2"/>
  <c r="U228" i="2"/>
  <c r="V228" i="2"/>
  <c r="W228" i="2"/>
  <c r="Y228" i="2"/>
  <c r="Z228" i="2"/>
  <c r="AA228" i="2"/>
  <c r="AB228" i="2"/>
  <c r="AC228" i="2"/>
  <c r="AD228" i="2"/>
  <c r="AE228" i="2"/>
  <c r="AF228" i="2"/>
  <c r="AG228" i="2"/>
  <c r="AH228" i="2"/>
  <c r="AI228" i="2"/>
  <c r="AJ228" i="2"/>
  <c r="AK228" i="2"/>
  <c r="AL228" i="2"/>
  <c r="AM228" i="2"/>
  <c r="AN228" i="2"/>
  <c r="AO228" i="2"/>
  <c r="AP228" i="2"/>
  <c r="AQ228" i="2"/>
  <c r="AR228" i="2"/>
  <c r="AS228" i="2"/>
  <c r="AT228" i="2"/>
  <c r="AU228" i="2"/>
  <c r="AV228" i="2"/>
  <c r="AW228" i="2"/>
  <c r="AX228" i="2"/>
  <c r="AY228" i="2"/>
  <c r="AZ228" i="2"/>
  <c r="BA228" i="2"/>
  <c r="BB228" i="2"/>
  <c r="BC228" i="2"/>
  <c r="BD228" i="2"/>
  <c r="BE228" i="2"/>
  <c r="CO228" i="2"/>
  <c r="E229" i="2"/>
  <c r="CM229" i="2" s="1"/>
  <c r="F229" i="2"/>
  <c r="G229" i="2"/>
  <c r="H229" i="2"/>
  <c r="I229" i="2"/>
  <c r="J229" i="2"/>
  <c r="K229" i="2"/>
  <c r="L229" i="2"/>
  <c r="M229" i="2"/>
  <c r="N229" i="2"/>
  <c r="O229" i="2"/>
  <c r="P229" i="2"/>
  <c r="Q229" i="2"/>
  <c r="R229" i="2"/>
  <c r="S229" i="2"/>
  <c r="T229" i="2"/>
  <c r="U229" i="2"/>
  <c r="V229" i="2"/>
  <c r="W229" i="2"/>
  <c r="Y229" i="2"/>
  <c r="Z229" i="2"/>
  <c r="AA229" i="2"/>
  <c r="AB229" i="2"/>
  <c r="AC229" i="2"/>
  <c r="AD229" i="2"/>
  <c r="AE229" i="2"/>
  <c r="AF229" i="2"/>
  <c r="AG229" i="2"/>
  <c r="AH229" i="2"/>
  <c r="AI229" i="2"/>
  <c r="AJ229" i="2"/>
  <c r="AK229" i="2"/>
  <c r="AL229" i="2"/>
  <c r="AM229" i="2"/>
  <c r="AN229" i="2"/>
  <c r="AO229" i="2"/>
  <c r="AP229" i="2"/>
  <c r="AQ229" i="2"/>
  <c r="AR229" i="2"/>
  <c r="AS229" i="2"/>
  <c r="AT229" i="2"/>
  <c r="AU229" i="2"/>
  <c r="AV229" i="2"/>
  <c r="AW229" i="2"/>
  <c r="AX229" i="2"/>
  <c r="AY229" i="2"/>
  <c r="AZ229" i="2"/>
  <c r="BA229" i="2"/>
  <c r="BB229" i="2"/>
  <c r="BC229" i="2"/>
  <c r="BD229" i="2"/>
  <c r="BE229" i="2"/>
  <c r="CO229" i="2"/>
  <c r="E230" i="2"/>
  <c r="CM230" i="2" s="1"/>
  <c r="F230" i="2"/>
  <c r="G230" i="2"/>
  <c r="H230" i="2"/>
  <c r="I230" i="2"/>
  <c r="J230" i="2"/>
  <c r="K230" i="2"/>
  <c r="L230" i="2"/>
  <c r="M230" i="2"/>
  <c r="N230" i="2"/>
  <c r="O230" i="2"/>
  <c r="P230" i="2"/>
  <c r="Q230" i="2"/>
  <c r="R230" i="2"/>
  <c r="S230" i="2"/>
  <c r="T230" i="2"/>
  <c r="U230" i="2"/>
  <c r="V230" i="2"/>
  <c r="W230" i="2"/>
  <c r="Y230" i="2"/>
  <c r="Z230" i="2"/>
  <c r="AA230" i="2"/>
  <c r="AB230" i="2"/>
  <c r="AC230" i="2"/>
  <c r="AD230" i="2"/>
  <c r="AE230" i="2"/>
  <c r="AF230" i="2"/>
  <c r="AG230" i="2"/>
  <c r="AH230" i="2"/>
  <c r="AI230" i="2"/>
  <c r="AJ230" i="2"/>
  <c r="AK230" i="2"/>
  <c r="AL230" i="2"/>
  <c r="AM230" i="2"/>
  <c r="AN230" i="2"/>
  <c r="AO230" i="2"/>
  <c r="AP230" i="2"/>
  <c r="AQ230" i="2"/>
  <c r="AR230" i="2"/>
  <c r="AS230" i="2"/>
  <c r="AT230" i="2"/>
  <c r="AU230" i="2"/>
  <c r="AV230" i="2"/>
  <c r="AW230" i="2"/>
  <c r="AX230" i="2"/>
  <c r="AY230" i="2"/>
  <c r="AZ230" i="2"/>
  <c r="BA230" i="2"/>
  <c r="BB230" i="2"/>
  <c r="BC230" i="2"/>
  <c r="BD230" i="2"/>
  <c r="BE230" i="2"/>
  <c r="CO230" i="2"/>
  <c r="E231" i="2"/>
  <c r="CM231" i="2" s="1"/>
  <c r="F231" i="2"/>
  <c r="G231" i="2"/>
  <c r="H231" i="2"/>
  <c r="I231" i="2"/>
  <c r="J231" i="2"/>
  <c r="K231" i="2"/>
  <c r="L231" i="2"/>
  <c r="M231" i="2"/>
  <c r="N231" i="2"/>
  <c r="O231" i="2"/>
  <c r="P231" i="2"/>
  <c r="Q231" i="2"/>
  <c r="R231" i="2"/>
  <c r="S231" i="2"/>
  <c r="T231" i="2"/>
  <c r="U231" i="2"/>
  <c r="V231" i="2"/>
  <c r="W231" i="2"/>
  <c r="Y231" i="2"/>
  <c r="Z231" i="2"/>
  <c r="AA231" i="2"/>
  <c r="AB231" i="2"/>
  <c r="AC231" i="2"/>
  <c r="AD231" i="2"/>
  <c r="AE231" i="2"/>
  <c r="AF231" i="2"/>
  <c r="AG231" i="2"/>
  <c r="AH231" i="2"/>
  <c r="AI231" i="2"/>
  <c r="AJ231" i="2"/>
  <c r="AK231" i="2"/>
  <c r="AL231" i="2"/>
  <c r="AM231" i="2"/>
  <c r="AN231" i="2"/>
  <c r="AO231" i="2"/>
  <c r="AP231" i="2"/>
  <c r="AQ231" i="2"/>
  <c r="AR231" i="2"/>
  <c r="AS231" i="2"/>
  <c r="AT231" i="2"/>
  <c r="AU231" i="2"/>
  <c r="AV231" i="2"/>
  <c r="AW231" i="2"/>
  <c r="AX231" i="2"/>
  <c r="AY231" i="2"/>
  <c r="AZ231" i="2"/>
  <c r="BA231" i="2"/>
  <c r="BB231" i="2"/>
  <c r="BC231" i="2"/>
  <c r="BD231" i="2"/>
  <c r="BE231" i="2"/>
  <c r="CO231" i="2"/>
  <c r="E232" i="2"/>
  <c r="F232" i="2"/>
  <c r="H232" i="2"/>
  <c r="I232" i="2"/>
  <c r="J232" i="2"/>
  <c r="K232" i="2"/>
  <c r="L232" i="2"/>
  <c r="M232" i="2"/>
  <c r="N232" i="2"/>
  <c r="O232" i="2"/>
  <c r="P232" i="2"/>
  <c r="Q232" i="2"/>
  <c r="R232" i="2"/>
  <c r="S232" i="2"/>
  <c r="T232" i="2"/>
  <c r="U232" i="2"/>
  <c r="V232" i="2"/>
  <c r="W232" i="2"/>
  <c r="Y232" i="2"/>
  <c r="Z232" i="2"/>
  <c r="AA232" i="2"/>
  <c r="AB232" i="2"/>
  <c r="AC232" i="2"/>
  <c r="AD232" i="2"/>
  <c r="AE232" i="2"/>
  <c r="AF232" i="2"/>
  <c r="AG232" i="2"/>
  <c r="AH232" i="2"/>
  <c r="AI232" i="2"/>
  <c r="AJ232" i="2"/>
  <c r="AK232" i="2"/>
  <c r="AL232" i="2"/>
  <c r="AM232" i="2"/>
  <c r="AN232" i="2"/>
  <c r="AO232" i="2"/>
  <c r="AP232" i="2"/>
  <c r="AQ232" i="2"/>
  <c r="AR232" i="2"/>
  <c r="AS232" i="2"/>
  <c r="AT232" i="2"/>
  <c r="AU232" i="2"/>
  <c r="AV232" i="2"/>
  <c r="AW232" i="2"/>
  <c r="AX232" i="2"/>
  <c r="AY232" i="2"/>
  <c r="AZ232" i="2"/>
  <c r="BA232" i="2"/>
  <c r="BB232" i="2"/>
  <c r="BC232" i="2"/>
  <c r="BD232" i="2"/>
  <c r="BE232" i="2"/>
  <c r="CO232" i="2"/>
  <c r="E233" i="2"/>
  <c r="F233" i="2"/>
  <c r="H233" i="2"/>
  <c r="I233" i="2"/>
  <c r="J233" i="2"/>
  <c r="K233" i="2"/>
  <c r="L233" i="2"/>
  <c r="M233" i="2"/>
  <c r="N233" i="2"/>
  <c r="O233" i="2"/>
  <c r="P233" i="2"/>
  <c r="Q233" i="2"/>
  <c r="R233" i="2"/>
  <c r="S233" i="2"/>
  <c r="T233" i="2"/>
  <c r="U233" i="2"/>
  <c r="V233" i="2"/>
  <c r="W233" i="2"/>
  <c r="Y233" i="2"/>
  <c r="Z233" i="2"/>
  <c r="AA233" i="2"/>
  <c r="AB233" i="2"/>
  <c r="AC233" i="2"/>
  <c r="AD233" i="2"/>
  <c r="AE233" i="2"/>
  <c r="AF233" i="2"/>
  <c r="AG233" i="2"/>
  <c r="AH233" i="2"/>
  <c r="AI233" i="2"/>
  <c r="AJ233" i="2"/>
  <c r="AK233" i="2"/>
  <c r="AL233" i="2"/>
  <c r="AM233" i="2"/>
  <c r="AN233" i="2"/>
  <c r="AO233" i="2"/>
  <c r="AP233" i="2"/>
  <c r="AQ233" i="2"/>
  <c r="AR233" i="2"/>
  <c r="AS233" i="2"/>
  <c r="AT233" i="2"/>
  <c r="AU233" i="2"/>
  <c r="AV233" i="2"/>
  <c r="AW233" i="2"/>
  <c r="AX233" i="2"/>
  <c r="AY233" i="2"/>
  <c r="AZ233" i="2"/>
  <c r="BA233" i="2"/>
  <c r="BB233" i="2"/>
  <c r="BC233" i="2"/>
  <c r="BD233" i="2"/>
  <c r="BE233" i="2"/>
  <c r="CO233" i="2"/>
  <c r="E234" i="2"/>
  <c r="F234" i="2"/>
  <c r="G234" i="2"/>
  <c r="H234" i="2"/>
  <c r="I234" i="2"/>
  <c r="J234" i="2"/>
  <c r="K234" i="2"/>
  <c r="L234" i="2"/>
  <c r="M234" i="2"/>
  <c r="N234" i="2"/>
  <c r="O234" i="2"/>
  <c r="P234" i="2"/>
  <c r="Q234" i="2"/>
  <c r="R234" i="2"/>
  <c r="S234" i="2"/>
  <c r="T234" i="2"/>
  <c r="U234" i="2"/>
  <c r="V234" i="2"/>
  <c r="W234" i="2"/>
  <c r="Y234" i="2"/>
  <c r="Z234" i="2"/>
  <c r="AA234" i="2"/>
  <c r="AB234" i="2"/>
  <c r="AC234" i="2"/>
  <c r="AD234" i="2"/>
  <c r="AE234" i="2"/>
  <c r="AF234" i="2"/>
  <c r="AG234" i="2"/>
  <c r="AH234" i="2"/>
  <c r="AI234" i="2"/>
  <c r="AJ234" i="2"/>
  <c r="AK234" i="2"/>
  <c r="AL234" i="2"/>
  <c r="AM234" i="2"/>
  <c r="AN234" i="2"/>
  <c r="AO234" i="2"/>
  <c r="AP234" i="2"/>
  <c r="AQ234" i="2"/>
  <c r="AR234" i="2"/>
  <c r="AS234" i="2"/>
  <c r="AT234" i="2"/>
  <c r="AU234" i="2"/>
  <c r="AV234" i="2"/>
  <c r="AW234" i="2"/>
  <c r="AX234" i="2"/>
  <c r="AY234" i="2"/>
  <c r="AZ234" i="2"/>
  <c r="BA234" i="2"/>
  <c r="BB234" i="2"/>
  <c r="BC234" i="2"/>
  <c r="BD234" i="2"/>
  <c r="BE234" i="2"/>
  <c r="CO234" i="2"/>
  <c r="E235" i="2"/>
  <c r="F235" i="2"/>
  <c r="G235" i="2"/>
  <c r="H235" i="2"/>
  <c r="I235" i="2"/>
  <c r="J235" i="2"/>
  <c r="K235" i="2"/>
  <c r="L235" i="2"/>
  <c r="M235" i="2"/>
  <c r="N235" i="2"/>
  <c r="O235" i="2"/>
  <c r="P235" i="2"/>
  <c r="Q235" i="2"/>
  <c r="R235" i="2"/>
  <c r="S235" i="2"/>
  <c r="T235" i="2"/>
  <c r="U235" i="2"/>
  <c r="V235" i="2"/>
  <c r="W235" i="2"/>
  <c r="Y235" i="2"/>
  <c r="Z235" i="2"/>
  <c r="AA235" i="2"/>
  <c r="AB235" i="2"/>
  <c r="AC235" i="2"/>
  <c r="AD235" i="2"/>
  <c r="AE235" i="2"/>
  <c r="AF235" i="2"/>
  <c r="AG235" i="2"/>
  <c r="AH235" i="2"/>
  <c r="AI235" i="2"/>
  <c r="AJ235" i="2"/>
  <c r="AK235" i="2"/>
  <c r="AL235" i="2"/>
  <c r="AM235" i="2"/>
  <c r="AN235" i="2"/>
  <c r="AO235" i="2"/>
  <c r="AP235" i="2"/>
  <c r="AQ235" i="2"/>
  <c r="AR235" i="2"/>
  <c r="AS235" i="2"/>
  <c r="AT235" i="2"/>
  <c r="AU235" i="2"/>
  <c r="AV235" i="2"/>
  <c r="AW235" i="2"/>
  <c r="AX235" i="2"/>
  <c r="AY235" i="2"/>
  <c r="AZ235" i="2"/>
  <c r="BA235" i="2"/>
  <c r="BB235" i="2"/>
  <c r="BC235" i="2"/>
  <c r="BD235" i="2"/>
  <c r="BE235" i="2"/>
  <c r="CO235" i="2"/>
  <c r="E236" i="2"/>
  <c r="F236" i="2"/>
  <c r="H236" i="2"/>
  <c r="I236" i="2"/>
  <c r="J236" i="2"/>
  <c r="K236" i="2"/>
  <c r="L236" i="2"/>
  <c r="M236" i="2"/>
  <c r="N236" i="2"/>
  <c r="O236" i="2"/>
  <c r="P236" i="2"/>
  <c r="Q236" i="2"/>
  <c r="R236" i="2"/>
  <c r="S236" i="2"/>
  <c r="T236" i="2"/>
  <c r="U236" i="2"/>
  <c r="V236" i="2"/>
  <c r="W236" i="2"/>
  <c r="Y236" i="2"/>
  <c r="Z236" i="2"/>
  <c r="AA236" i="2"/>
  <c r="AB236" i="2"/>
  <c r="AC236" i="2"/>
  <c r="AD236" i="2"/>
  <c r="AE236" i="2"/>
  <c r="AF236" i="2"/>
  <c r="AG236" i="2"/>
  <c r="AH236" i="2"/>
  <c r="AI236" i="2"/>
  <c r="AJ236" i="2"/>
  <c r="AK236" i="2"/>
  <c r="AL236" i="2"/>
  <c r="AM236" i="2"/>
  <c r="AN236" i="2"/>
  <c r="AO236" i="2"/>
  <c r="AP236" i="2"/>
  <c r="AQ236" i="2"/>
  <c r="AR236" i="2"/>
  <c r="AS236" i="2"/>
  <c r="AT236" i="2"/>
  <c r="AU236" i="2"/>
  <c r="AV236" i="2"/>
  <c r="AW236" i="2"/>
  <c r="AX236" i="2"/>
  <c r="AY236" i="2"/>
  <c r="AZ236" i="2"/>
  <c r="BA236" i="2"/>
  <c r="BB236" i="2"/>
  <c r="BC236" i="2"/>
  <c r="BD236" i="2"/>
  <c r="BE236" i="2"/>
  <c r="CO236" i="2"/>
  <c r="E237" i="2"/>
  <c r="F237" i="2"/>
  <c r="H237" i="2"/>
  <c r="I237" i="2"/>
  <c r="J237" i="2"/>
  <c r="K237" i="2"/>
  <c r="L237" i="2"/>
  <c r="M237" i="2"/>
  <c r="N237" i="2"/>
  <c r="O237" i="2"/>
  <c r="P237" i="2"/>
  <c r="Q237" i="2"/>
  <c r="R237" i="2"/>
  <c r="S237" i="2"/>
  <c r="T237" i="2"/>
  <c r="U237" i="2"/>
  <c r="V237" i="2"/>
  <c r="W237" i="2"/>
  <c r="Y237" i="2"/>
  <c r="Z237" i="2"/>
  <c r="AA237" i="2"/>
  <c r="AB237" i="2"/>
  <c r="AC237" i="2"/>
  <c r="AD237" i="2"/>
  <c r="AE237" i="2"/>
  <c r="AF237" i="2"/>
  <c r="AG237" i="2"/>
  <c r="AH237" i="2"/>
  <c r="AI237" i="2"/>
  <c r="AJ237" i="2"/>
  <c r="AK237" i="2"/>
  <c r="AL237" i="2"/>
  <c r="AM237" i="2"/>
  <c r="AN237" i="2"/>
  <c r="AO237" i="2"/>
  <c r="AP237" i="2"/>
  <c r="AQ237" i="2"/>
  <c r="AR237" i="2"/>
  <c r="AS237" i="2"/>
  <c r="AT237" i="2"/>
  <c r="AU237" i="2"/>
  <c r="AV237" i="2"/>
  <c r="AW237" i="2"/>
  <c r="AX237" i="2"/>
  <c r="AY237" i="2"/>
  <c r="AZ237" i="2"/>
  <c r="BA237" i="2"/>
  <c r="BB237" i="2"/>
  <c r="BC237" i="2"/>
  <c r="BD237" i="2"/>
  <c r="BE237" i="2"/>
  <c r="CO237" i="2"/>
  <c r="E238" i="2"/>
  <c r="F238" i="2"/>
  <c r="G238" i="2"/>
  <c r="H238" i="2"/>
  <c r="I238" i="2"/>
  <c r="J238" i="2"/>
  <c r="K238" i="2"/>
  <c r="L238" i="2"/>
  <c r="M238" i="2"/>
  <c r="N238" i="2"/>
  <c r="O238" i="2"/>
  <c r="P238" i="2"/>
  <c r="Q238" i="2"/>
  <c r="R238" i="2"/>
  <c r="S238" i="2"/>
  <c r="T238" i="2"/>
  <c r="U238" i="2"/>
  <c r="V238" i="2"/>
  <c r="W238" i="2"/>
  <c r="Y238" i="2"/>
  <c r="Z238" i="2"/>
  <c r="AA238" i="2"/>
  <c r="AB238" i="2"/>
  <c r="AC238" i="2"/>
  <c r="AD238" i="2"/>
  <c r="AE238" i="2"/>
  <c r="AF238" i="2"/>
  <c r="AG238" i="2"/>
  <c r="AH238" i="2"/>
  <c r="AI238" i="2"/>
  <c r="AJ238" i="2"/>
  <c r="AK238" i="2"/>
  <c r="AL238" i="2"/>
  <c r="AM238" i="2"/>
  <c r="AN238" i="2"/>
  <c r="AO238" i="2"/>
  <c r="AP238" i="2"/>
  <c r="AQ238" i="2"/>
  <c r="AR238" i="2"/>
  <c r="AS238" i="2"/>
  <c r="AT238" i="2"/>
  <c r="AU238" i="2"/>
  <c r="AV238" i="2"/>
  <c r="AW238" i="2"/>
  <c r="AX238" i="2"/>
  <c r="AY238" i="2"/>
  <c r="AZ238" i="2"/>
  <c r="BA238" i="2"/>
  <c r="BB238" i="2"/>
  <c r="BC238" i="2"/>
  <c r="BD238" i="2"/>
  <c r="BE238" i="2"/>
  <c r="CO238" i="2"/>
  <c r="E239" i="2"/>
  <c r="F239" i="2"/>
  <c r="H239" i="2"/>
  <c r="I239" i="2"/>
  <c r="J239" i="2"/>
  <c r="K239" i="2"/>
  <c r="L239" i="2"/>
  <c r="M239" i="2"/>
  <c r="N239" i="2"/>
  <c r="O239" i="2"/>
  <c r="P239" i="2"/>
  <c r="Q239" i="2"/>
  <c r="R239" i="2"/>
  <c r="S239" i="2"/>
  <c r="T239" i="2"/>
  <c r="U239" i="2"/>
  <c r="V239" i="2"/>
  <c r="W239" i="2"/>
  <c r="Y239" i="2"/>
  <c r="Z239" i="2"/>
  <c r="AA239" i="2"/>
  <c r="AB239" i="2"/>
  <c r="AC239" i="2"/>
  <c r="AD239" i="2"/>
  <c r="AE239" i="2"/>
  <c r="AF239" i="2"/>
  <c r="AG239" i="2"/>
  <c r="AH239" i="2"/>
  <c r="AI239" i="2"/>
  <c r="AJ239" i="2"/>
  <c r="AK239" i="2"/>
  <c r="AL239" i="2"/>
  <c r="AM239" i="2"/>
  <c r="AN239" i="2"/>
  <c r="AO239" i="2"/>
  <c r="AP239" i="2"/>
  <c r="AQ239" i="2"/>
  <c r="AR239" i="2"/>
  <c r="AS239" i="2"/>
  <c r="AT239" i="2"/>
  <c r="AU239" i="2"/>
  <c r="AV239" i="2"/>
  <c r="AW239" i="2"/>
  <c r="AX239" i="2"/>
  <c r="AY239" i="2"/>
  <c r="AZ239" i="2"/>
  <c r="BA239" i="2"/>
  <c r="BB239" i="2"/>
  <c r="BC239" i="2"/>
  <c r="BD239" i="2"/>
  <c r="BE239" i="2"/>
  <c r="CO239" i="2"/>
  <c r="E240" i="2"/>
  <c r="F240" i="2"/>
  <c r="H240" i="2"/>
  <c r="I240" i="2"/>
  <c r="J240" i="2"/>
  <c r="K240" i="2"/>
  <c r="L240" i="2"/>
  <c r="M240" i="2"/>
  <c r="N240" i="2"/>
  <c r="O240" i="2"/>
  <c r="P240" i="2"/>
  <c r="Q240" i="2"/>
  <c r="R240" i="2"/>
  <c r="S240" i="2"/>
  <c r="T240" i="2"/>
  <c r="U240" i="2"/>
  <c r="V240" i="2"/>
  <c r="W240" i="2"/>
  <c r="Y240" i="2"/>
  <c r="Z240" i="2"/>
  <c r="AA240" i="2"/>
  <c r="AB240" i="2"/>
  <c r="AC240" i="2"/>
  <c r="AD240" i="2"/>
  <c r="AE240" i="2"/>
  <c r="AF240" i="2"/>
  <c r="AG240" i="2"/>
  <c r="AH240" i="2"/>
  <c r="AI240" i="2"/>
  <c r="AJ240" i="2"/>
  <c r="AK240" i="2"/>
  <c r="AL240" i="2"/>
  <c r="AM240" i="2"/>
  <c r="AN240" i="2"/>
  <c r="AO240" i="2"/>
  <c r="AP240" i="2"/>
  <c r="AQ240" i="2"/>
  <c r="AR240" i="2"/>
  <c r="AS240" i="2"/>
  <c r="AT240" i="2"/>
  <c r="AU240" i="2"/>
  <c r="AV240" i="2"/>
  <c r="AW240" i="2"/>
  <c r="AX240" i="2"/>
  <c r="AY240" i="2"/>
  <c r="AZ240" i="2"/>
  <c r="BA240" i="2"/>
  <c r="BB240" i="2"/>
  <c r="BC240" i="2"/>
  <c r="BD240" i="2"/>
  <c r="BE240" i="2"/>
  <c r="CO240" i="2"/>
  <c r="E241" i="2"/>
  <c r="F241" i="2"/>
  <c r="H241" i="2"/>
  <c r="I241" i="2"/>
  <c r="J241" i="2"/>
  <c r="K241" i="2"/>
  <c r="L241" i="2"/>
  <c r="M241" i="2"/>
  <c r="N241" i="2"/>
  <c r="O241" i="2"/>
  <c r="P241" i="2"/>
  <c r="Q241" i="2"/>
  <c r="R241" i="2"/>
  <c r="S241" i="2"/>
  <c r="T241" i="2"/>
  <c r="U241" i="2"/>
  <c r="V241" i="2"/>
  <c r="W241" i="2"/>
  <c r="Y241" i="2"/>
  <c r="Z241" i="2"/>
  <c r="AA241" i="2"/>
  <c r="AB241" i="2"/>
  <c r="AC241" i="2"/>
  <c r="AD241" i="2"/>
  <c r="AE241" i="2"/>
  <c r="AF241" i="2"/>
  <c r="AG241" i="2"/>
  <c r="AH241" i="2"/>
  <c r="AI241" i="2"/>
  <c r="AJ241" i="2"/>
  <c r="AK241" i="2"/>
  <c r="AL241" i="2"/>
  <c r="AM241" i="2"/>
  <c r="AN241" i="2"/>
  <c r="AO241" i="2"/>
  <c r="AP241" i="2"/>
  <c r="AQ241" i="2"/>
  <c r="AR241" i="2"/>
  <c r="AS241" i="2"/>
  <c r="AT241" i="2"/>
  <c r="AU241" i="2"/>
  <c r="AV241" i="2"/>
  <c r="AW241" i="2"/>
  <c r="AX241" i="2"/>
  <c r="AY241" i="2"/>
  <c r="AZ241" i="2"/>
  <c r="BA241" i="2"/>
  <c r="BB241" i="2"/>
  <c r="BC241" i="2"/>
  <c r="BD241" i="2"/>
  <c r="BE241" i="2"/>
  <c r="CO241" i="2"/>
  <c r="E242" i="2"/>
  <c r="F242" i="2"/>
  <c r="H242" i="2"/>
  <c r="I242" i="2"/>
  <c r="J242" i="2"/>
  <c r="K242" i="2"/>
  <c r="L242" i="2"/>
  <c r="M242" i="2"/>
  <c r="N242" i="2"/>
  <c r="O242" i="2"/>
  <c r="P242" i="2"/>
  <c r="Q242" i="2"/>
  <c r="R242" i="2"/>
  <c r="S242" i="2"/>
  <c r="T242" i="2"/>
  <c r="U242" i="2"/>
  <c r="V242" i="2"/>
  <c r="W242" i="2"/>
  <c r="Y242" i="2"/>
  <c r="Z242" i="2"/>
  <c r="AA242" i="2"/>
  <c r="AB242" i="2"/>
  <c r="AC242" i="2"/>
  <c r="AD242" i="2"/>
  <c r="AE242" i="2"/>
  <c r="AF242" i="2"/>
  <c r="AG242" i="2"/>
  <c r="AH242" i="2"/>
  <c r="AI242" i="2"/>
  <c r="AJ242" i="2"/>
  <c r="AK242" i="2"/>
  <c r="AL242" i="2"/>
  <c r="AM242" i="2"/>
  <c r="AN242" i="2"/>
  <c r="AO242" i="2"/>
  <c r="AP242" i="2"/>
  <c r="AQ242" i="2"/>
  <c r="AR242" i="2"/>
  <c r="AS242" i="2"/>
  <c r="AT242" i="2"/>
  <c r="AU242" i="2"/>
  <c r="AV242" i="2"/>
  <c r="AW242" i="2"/>
  <c r="AX242" i="2"/>
  <c r="AY242" i="2"/>
  <c r="AZ242" i="2"/>
  <c r="BA242" i="2"/>
  <c r="BB242" i="2"/>
  <c r="BC242" i="2"/>
  <c r="BD242" i="2"/>
  <c r="BE242" i="2"/>
  <c r="CO242" i="2"/>
  <c r="E243" i="2"/>
  <c r="F243" i="2"/>
  <c r="H243" i="2"/>
  <c r="I243" i="2"/>
  <c r="J243" i="2"/>
  <c r="K243" i="2"/>
  <c r="L243" i="2"/>
  <c r="M243" i="2"/>
  <c r="N243" i="2"/>
  <c r="O243" i="2"/>
  <c r="P243" i="2"/>
  <c r="Q243" i="2"/>
  <c r="R243" i="2"/>
  <c r="S243" i="2"/>
  <c r="T243" i="2"/>
  <c r="U243" i="2"/>
  <c r="V243" i="2"/>
  <c r="W243" i="2"/>
  <c r="Y243" i="2"/>
  <c r="Z243" i="2"/>
  <c r="AA243" i="2"/>
  <c r="AB243" i="2"/>
  <c r="AC243" i="2"/>
  <c r="AD243" i="2"/>
  <c r="AE243" i="2"/>
  <c r="AF243" i="2"/>
  <c r="AG243" i="2"/>
  <c r="AH243" i="2"/>
  <c r="AI243" i="2"/>
  <c r="AJ243" i="2"/>
  <c r="AK243" i="2"/>
  <c r="AL243" i="2"/>
  <c r="AM243" i="2"/>
  <c r="AN243" i="2"/>
  <c r="AO243" i="2"/>
  <c r="AP243" i="2"/>
  <c r="AQ243" i="2"/>
  <c r="AR243" i="2"/>
  <c r="AS243" i="2"/>
  <c r="AT243" i="2"/>
  <c r="AU243" i="2"/>
  <c r="AV243" i="2"/>
  <c r="AW243" i="2"/>
  <c r="AX243" i="2"/>
  <c r="AY243" i="2"/>
  <c r="AZ243" i="2"/>
  <c r="BA243" i="2"/>
  <c r="BB243" i="2"/>
  <c r="BC243" i="2"/>
  <c r="BD243" i="2"/>
  <c r="BE243" i="2"/>
  <c r="CO243" i="2"/>
  <c r="E244" i="2"/>
  <c r="F244" i="2"/>
  <c r="H244" i="2"/>
  <c r="I244" i="2"/>
  <c r="J244" i="2"/>
  <c r="K244" i="2"/>
  <c r="L244" i="2"/>
  <c r="M244" i="2"/>
  <c r="N244" i="2"/>
  <c r="O244" i="2"/>
  <c r="P244" i="2"/>
  <c r="Q244" i="2"/>
  <c r="R244" i="2"/>
  <c r="S244" i="2"/>
  <c r="T244" i="2"/>
  <c r="U244" i="2"/>
  <c r="V244" i="2"/>
  <c r="W244" i="2"/>
  <c r="Y244" i="2"/>
  <c r="Z244" i="2"/>
  <c r="AA244" i="2"/>
  <c r="AB244" i="2"/>
  <c r="AC244" i="2"/>
  <c r="AD244" i="2"/>
  <c r="AE244" i="2"/>
  <c r="AF244" i="2"/>
  <c r="AG244" i="2"/>
  <c r="AH244" i="2"/>
  <c r="AI244" i="2"/>
  <c r="AJ244" i="2"/>
  <c r="AK244" i="2"/>
  <c r="AL244" i="2"/>
  <c r="AM244" i="2"/>
  <c r="AN244" i="2"/>
  <c r="AO244" i="2"/>
  <c r="AP244" i="2"/>
  <c r="AQ244" i="2"/>
  <c r="AR244" i="2"/>
  <c r="AS244" i="2"/>
  <c r="AT244" i="2"/>
  <c r="AU244" i="2"/>
  <c r="AV244" i="2"/>
  <c r="AW244" i="2"/>
  <c r="AX244" i="2"/>
  <c r="AY244" i="2"/>
  <c r="AZ244" i="2"/>
  <c r="BA244" i="2"/>
  <c r="BB244" i="2"/>
  <c r="BC244" i="2"/>
  <c r="BD244" i="2"/>
  <c r="BE244" i="2"/>
  <c r="CO244" i="2"/>
  <c r="E245" i="2"/>
  <c r="F245" i="2"/>
  <c r="H245" i="2"/>
  <c r="I245" i="2"/>
  <c r="J245" i="2"/>
  <c r="K245" i="2"/>
  <c r="L245" i="2"/>
  <c r="M245" i="2"/>
  <c r="N245" i="2"/>
  <c r="O245" i="2"/>
  <c r="P245" i="2"/>
  <c r="Q245" i="2"/>
  <c r="R245" i="2"/>
  <c r="S245" i="2"/>
  <c r="T245" i="2"/>
  <c r="U245" i="2"/>
  <c r="V245" i="2"/>
  <c r="W245" i="2"/>
  <c r="Y245" i="2"/>
  <c r="Z245" i="2"/>
  <c r="AA245" i="2"/>
  <c r="AB245" i="2"/>
  <c r="AC245" i="2"/>
  <c r="AD245" i="2"/>
  <c r="AE245" i="2"/>
  <c r="AF245" i="2"/>
  <c r="AG245" i="2"/>
  <c r="AH245" i="2"/>
  <c r="AI245" i="2"/>
  <c r="AJ245" i="2"/>
  <c r="AK245" i="2"/>
  <c r="AL245" i="2"/>
  <c r="AM245" i="2"/>
  <c r="AN245" i="2"/>
  <c r="AO245" i="2"/>
  <c r="AP245" i="2"/>
  <c r="AQ245" i="2"/>
  <c r="AR245" i="2"/>
  <c r="AS245" i="2"/>
  <c r="AT245" i="2"/>
  <c r="AU245" i="2"/>
  <c r="AV245" i="2"/>
  <c r="AW245" i="2"/>
  <c r="AX245" i="2"/>
  <c r="AY245" i="2"/>
  <c r="AZ245" i="2"/>
  <c r="BA245" i="2"/>
  <c r="BB245" i="2"/>
  <c r="BC245" i="2"/>
  <c r="BD245" i="2"/>
  <c r="BE245" i="2"/>
  <c r="CO245" i="2"/>
  <c r="E246" i="2"/>
  <c r="F246" i="2"/>
  <c r="H246" i="2"/>
  <c r="I246" i="2"/>
  <c r="J246" i="2"/>
  <c r="K246" i="2"/>
  <c r="L246" i="2"/>
  <c r="M246" i="2"/>
  <c r="N246" i="2"/>
  <c r="O246" i="2"/>
  <c r="P246" i="2"/>
  <c r="Q246" i="2"/>
  <c r="R246" i="2"/>
  <c r="S246" i="2"/>
  <c r="T246" i="2"/>
  <c r="U246" i="2"/>
  <c r="V246" i="2"/>
  <c r="W246" i="2"/>
  <c r="Y246" i="2"/>
  <c r="Z246" i="2"/>
  <c r="AA246" i="2"/>
  <c r="AB246" i="2"/>
  <c r="AC246" i="2"/>
  <c r="AD246" i="2"/>
  <c r="AE246" i="2"/>
  <c r="AF246" i="2"/>
  <c r="AG246" i="2"/>
  <c r="AH246" i="2"/>
  <c r="AI246" i="2"/>
  <c r="AJ246" i="2"/>
  <c r="AK246" i="2"/>
  <c r="AL246" i="2"/>
  <c r="AM246" i="2"/>
  <c r="AN246" i="2"/>
  <c r="AO246" i="2"/>
  <c r="AP246" i="2"/>
  <c r="AQ246" i="2"/>
  <c r="AR246" i="2"/>
  <c r="AS246" i="2"/>
  <c r="AT246" i="2"/>
  <c r="AU246" i="2"/>
  <c r="AV246" i="2"/>
  <c r="AW246" i="2"/>
  <c r="AX246" i="2"/>
  <c r="AY246" i="2"/>
  <c r="AZ246" i="2"/>
  <c r="BA246" i="2"/>
  <c r="BB246" i="2"/>
  <c r="BC246" i="2"/>
  <c r="BD246" i="2"/>
  <c r="BE246" i="2"/>
  <c r="CO246" i="2"/>
  <c r="E247" i="2"/>
  <c r="F247" i="2"/>
  <c r="H247" i="2"/>
  <c r="I247" i="2"/>
  <c r="J247" i="2"/>
  <c r="K247" i="2"/>
  <c r="L247" i="2"/>
  <c r="M247" i="2"/>
  <c r="N247" i="2"/>
  <c r="O247" i="2"/>
  <c r="P247" i="2"/>
  <c r="Q247" i="2"/>
  <c r="R247" i="2"/>
  <c r="S247" i="2"/>
  <c r="T247" i="2"/>
  <c r="U247" i="2"/>
  <c r="V247" i="2"/>
  <c r="W247" i="2"/>
  <c r="Y247" i="2"/>
  <c r="Z247" i="2"/>
  <c r="AA247" i="2"/>
  <c r="AB247" i="2"/>
  <c r="AC247" i="2"/>
  <c r="AD247" i="2"/>
  <c r="AE247" i="2"/>
  <c r="AF247" i="2"/>
  <c r="AG247" i="2"/>
  <c r="AH247" i="2"/>
  <c r="AI247" i="2"/>
  <c r="AJ247" i="2"/>
  <c r="AK247" i="2"/>
  <c r="AL247" i="2"/>
  <c r="AM247" i="2"/>
  <c r="AN247" i="2"/>
  <c r="AO247" i="2"/>
  <c r="AP247" i="2"/>
  <c r="AQ247" i="2"/>
  <c r="AR247" i="2"/>
  <c r="AS247" i="2"/>
  <c r="AT247" i="2"/>
  <c r="AU247" i="2"/>
  <c r="AV247" i="2"/>
  <c r="AW247" i="2"/>
  <c r="AX247" i="2"/>
  <c r="AY247" i="2"/>
  <c r="AZ247" i="2"/>
  <c r="BA247" i="2"/>
  <c r="BB247" i="2"/>
  <c r="BC247" i="2"/>
  <c r="BD247" i="2"/>
  <c r="BE247" i="2"/>
  <c r="CO247" i="2"/>
  <c r="E248" i="2"/>
  <c r="F248" i="2"/>
  <c r="H248" i="2"/>
  <c r="I248" i="2"/>
  <c r="J248" i="2"/>
  <c r="K248" i="2"/>
  <c r="L248" i="2"/>
  <c r="M248" i="2"/>
  <c r="N248" i="2"/>
  <c r="O248" i="2"/>
  <c r="P248" i="2"/>
  <c r="Q248" i="2"/>
  <c r="R248" i="2"/>
  <c r="S248" i="2"/>
  <c r="T248" i="2"/>
  <c r="U248" i="2"/>
  <c r="V248" i="2"/>
  <c r="W248" i="2"/>
  <c r="Y248" i="2"/>
  <c r="Z248" i="2"/>
  <c r="AA248" i="2"/>
  <c r="AB248" i="2"/>
  <c r="AC248" i="2"/>
  <c r="AD248" i="2"/>
  <c r="AE248" i="2"/>
  <c r="AF248" i="2"/>
  <c r="AG248" i="2"/>
  <c r="AH248" i="2"/>
  <c r="AI248" i="2"/>
  <c r="AJ248" i="2"/>
  <c r="AK248" i="2"/>
  <c r="AL248" i="2"/>
  <c r="AM248" i="2"/>
  <c r="AN248" i="2"/>
  <c r="AO248" i="2"/>
  <c r="AP248" i="2"/>
  <c r="AQ248" i="2"/>
  <c r="AR248" i="2"/>
  <c r="AS248" i="2"/>
  <c r="AT248" i="2"/>
  <c r="AU248" i="2"/>
  <c r="AV248" i="2"/>
  <c r="AW248" i="2"/>
  <c r="AX248" i="2"/>
  <c r="AY248" i="2"/>
  <c r="AZ248" i="2"/>
  <c r="BA248" i="2"/>
  <c r="BB248" i="2"/>
  <c r="BC248" i="2"/>
  <c r="BD248" i="2"/>
  <c r="BE248" i="2"/>
  <c r="CO248" i="2"/>
  <c r="E249" i="2"/>
  <c r="F249" i="2"/>
  <c r="H249" i="2"/>
  <c r="I249" i="2"/>
  <c r="J249" i="2"/>
  <c r="K249" i="2"/>
  <c r="L249" i="2"/>
  <c r="M249" i="2"/>
  <c r="N249" i="2"/>
  <c r="O249" i="2"/>
  <c r="P249" i="2"/>
  <c r="Q249" i="2"/>
  <c r="R249" i="2"/>
  <c r="S249" i="2"/>
  <c r="T249" i="2"/>
  <c r="U249" i="2"/>
  <c r="V249" i="2"/>
  <c r="W249" i="2"/>
  <c r="Y249" i="2"/>
  <c r="Z249" i="2"/>
  <c r="AA249" i="2"/>
  <c r="AB249" i="2"/>
  <c r="AC249" i="2"/>
  <c r="AD249" i="2"/>
  <c r="AE249" i="2"/>
  <c r="AF249" i="2"/>
  <c r="AG249" i="2"/>
  <c r="AH249" i="2"/>
  <c r="AI249" i="2"/>
  <c r="AJ249" i="2"/>
  <c r="AK249" i="2"/>
  <c r="AL249" i="2"/>
  <c r="AM249" i="2"/>
  <c r="AN249" i="2"/>
  <c r="AO249" i="2"/>
  <c r="AP249" i="2"/>
  <c r="AQ249" i="2"/>
  <c r="AR249" i="2"/>
  <c r="AS249" i="2"/>
  <c r="AT249" i="2"/>
  <c r="AU249" i="2"/>
  <c r="AV249" i="2"/>
  <c r="AW249" i="2"/>
  <c r="AX249" i="2"/>
  <c r="AY249" i="2"/>
  <c r="AZ249" i="2"/>
  <c r="BA249" i="2"/>
  <c r="BB249" i="2"/>
  <c r="BC249" i="2"/>
  <c r="BD249" i="2"/>
  <c r="BE249" i="2"/>
  <c r="CO249" i="2"/>
  <c r="E250" i="2"/>
  <c r="F250" i="2"/>
  <c r="H250" i="2"/>
  <c r="I250" i="2"/>
  <c r="J250" i="2"/>
  <c r="K250" i="2"/>
  <c r="L250" i="2"/>
  <c r="M250" i="2"/>
  <c r="N250" i="2"/>
  <c r="O250" i="2"/>
  <c r="P250" i="2"/>
  <c r="Q250" i="2"/>
  <c r="R250" i="2"/>
  <c r="S250" i="2"/>
  <c r="T250" i="2"/>
  <c r="U250" i="2"/>
  <c r="V250" i="2"/>
  <c r="W250" i="2"/>
  <c r="Y250" i="2"/>
  <c r="Z250" i="2"/>
  <c r="AA250" i="2"/>
  <c r="AB250" i="2"/>
  <c r="AC250" i="2"/>
  <c r="AD250" i="2"/>
  <c r="AE250" i="2"/>
  <c r="AF250" i="2"/>
  <c r="AG250" i="2"/>
  <c r="AH250" i="2"/>
  <c r="AI250" i="2"/>
  <c r="AJ250" i="2"/>
  <c r="AK250" i="2"/>
  <c r="AL250" i="2"/>
  <c r="AM250" i="2"/>
  <c r="AN250" i="2"/>
  <c r="AO250" i="2"/>
  <c r="AP250" i="2"/>
  <c r="AQ250" i="2"/>
  <c r="AR250" i="2"/>
  <c r="AS250" i="2"/>
  <c r="AT250" i="2"/>
  <c r="AU250" i="2"/>
  <c r="AV250" i="2"/>
  <c r="AW250" i="2"/>
  <c r="AX250" i="2"/>
  <c r="AY250" i="2"/>
  <c r="AZ250" i="2"/>
  <c r="BA250" i="2"/>
  <c r="BB250" i="2"/>
  <c r="BC250" i="2"/>
  <c r="BD250" i="2"/>
  <c r="BE250" i="2"/>
  <c r="CO250" i="2"/>
  <c r="E251" i="2"/>
  <c r="F251" i="2"/>
  <c r="H251" i="2"/>
  <c r="I251" i="2"/>
  <c r="J251" i="2"/>
  <c r="K251" i="2"/>
  <c r="L251" i="2"/>
  <c r="M251" i="2"/>
  <c r="N251" i="2"/>
  <c r="O251" i="2"/>
  <c r="P251" i="2"/>
  <c r="Q251" i="2"/>
  <c r="R251" i="2"/>
  <c r="S251" i="2"/>
  <c r="T251" i="2"/>
  <c r="U251" i="2"/>
  <c r="V251" i="2"/>
  <c r="W251" i="2"/>
  <c r="Y251" i="2"/>
  <c r="Z251" i="2"/>
  <c r="AA251" i="2"/>
  <c r="AB251" i="2"/>
  <c r="AC251" i="2"/>
  <c r="AD251" i="2"/>
  <c r="AE251" i="2"/>
  <c r="AF251" i="2"/>
  <c r="AG251" i="2"/>
  <c r="AH251" i="2"/>
  <c r="AI251" i="2"/>
  <c r="AJ251" i="2"/>
  <c r="AK251" i="2"/>
  <c r="AL251" i="2"/>
  <c r="AM251" i="2"/>
  <c r="AN251" i="2"/>
  <c r="AO251" i="2"/>
  <c r="AP251" i="2"/>
  <c r="AQ251" i="2"/>
  <c r="AR251" i="2"/>
  <c r="AS251" i="2"/>
  <c r="AT251" i="2"/>
  <c r="AU251" i="2"/>
  <c r="AV251" i="2"/>
  <c r="AW251" i="2"/>
  <c r="AX251" i="2"/>
  <c r="AY251" i="2"/>
  <c r="AZ251" i="2"/>
  <c r="BA251" i="2"/>
  <c r="BB251" i="2"/>
  <c r="BC251" i="2"/>
  <c r="BD251" i="2"/>
  <c r="BE251" i="2"/>
  <c r="CO251" i="2"/>
  <c r="E252" i="2"/>
  <c r="CM252" i="2" s="1"/>
  <c r="F252" i="2"/>
  <c r="H252" i="2"/>
  <c r="I252" i="2"/>
  <c r="J252" i="2"/>
  <c r="K252" i="2"/>
  <c r="L252" i="2"/>
  <c r="M252" i="2"/>
  <c r="N252" i="2"/>
  <c r="O252" i="2"/>
  <c r="P252" i="2"/>
  <c r="Q252" i="2"/>
  <c r="R252" i="2"/>
  <c r="S252" i="2"/>
  <c r="T252" i="2"/>
  <c r="U252" i="2"/>
  <c r="V252" i="2"/>
  <c r="W252" i="2"/>
  <c r="Y252" i="2"/>
  <c r="Z252" i="2"/>
  <c r="AA252" i="2"/>
  <c r="AB252" i="2"/>
  <c r="AC252" i="2"/>
  <c r="AD252" i="2"/>
  <c r="AE252" i="2"/>
  <c r="AF252" i="2"/>
  <c r="AG252" i="2"/>
  <c r="AH252" i="2"/>
  <c r="AI252" i="2"/>
  <c r="AJ252" i="2"/>
  <c r="AK252" i="2"/>
  <c r="AL252" i="2"/>
  <c r="AM252" i="2"/>
  <c r="AN252" i="2"/>
  <c r="AO252" i="2"/>
  <c r="AP252" i="2"/>
  <c r="AQ252" i="2"/>
  <c r="AR252" i="2"/>
  <c r="AS252" i="2"/>
  <c r="AT252" i="2"/>
  <c r="AU252" i="2"/>
  <c r="AV252" i="2"/>
  <c r="AW252" i="2"/>
  <c r="AX252" i="2"/>
  <c r="AY252" i="2"/>
  <c r="AZ252" i="2"/>
  <c r="BA252" i="2"/>
  <c r="BB252" i="2"/>
  <c r="BC252" i="2"/>
  <c r="BD252" i="2"/>
  <c r="BE252" i="2"/>
  <c r="CO252" i="2"/>
  <c r="E253" i="2"/>
  <c r="CM253" i="2" s="1"/>
  <c r="F253" i="2"/>
  <c r="H253" i="2"/>
  <c r="I253" i="2"/>
  <c r="J253" i="2"/>
  <c r="K253" i="2"/>
  <c r="L253" i="2"/>
  <c r="M253" i="2"/>
  <c r="N253" i="2"/>
  <c r="O253" i="2"/>
  <c r="P253" i="2"/>
  <c r="Q253" i="2"/>
  <c r="R253" i="2"/>
  <c r="S253" i="2"/>
  <c r="T253" i="2"/>
  <c r="U253" i="2"/>
  <c r="V253" i="2"/>
  <c r="W253" i="2"/>
  <c r="Y253" i="2"/>
  <c r="Z253" i="2"/>
  <c r="AA253" i="2"/>
  <c r="AB253" i="2"/>
  <c r="AC253" i="2"/>
  <c r="AD253" i="2"/>
  <c r="AE253" i="2"/>
  <c r="AF253" i="2"/>
  <c r="AG253" i="2"/>
  <c r="AH253" i="2"/>
  <c r="AI253" i="2"/>
  <c r="AJ253" i="2"/>
  <c r="AK253" i="2"/>
  <c r="AL253" i="2"/>
  <c r="AM253" i="2"/>
  <c r="AN253" i="2"/>
  <c r="AO253" i="2"/>
  <c r="AP253" i="2"/>
  <c r="AQ253" i="2"/>
  <c r="AR253" i="2"/>
  <c r="AS253" i="2"/>
  <c r="AT253" i="2"/>
  <c r="AU253" i="2"/>
  <c r="AV253" i="2"/>
  <c r="AW253" i="2"/>
  <c r="AX253" i="2"/>
  <c r="AY253" i="2"/>
  <c r="AZ253" i="2"/>
  <c r="BA253" i="2"/>
  <c r="BB253" i="2"/>
  <c r="BC253" i="2"/>
  <c r="BD253" i="2"/>
  <c r="BE253" i="2"/>
  <c r="CO253" i="2"/>
  <c r="E254" i="2"/>
  <c r="CM254" i="2" s="1"/>
  <c r="F254" i="2"/>
  <c r="H254" i="2"/>
  <c r="I254" i="2"/>
  <c r="J254" i="2"/>
  <c r="K254" i="2"/>
  <c r="L254" i="2"/>
  <c r="M254" i="2"/>
  <c r="N254" i="2"/>
  <c r="O254" i="2"/>
  <c r="P254" i="2"/>
  <c r="Q254" i="2"/>
  <c r="R254" i="2"/>
  <c r="S254" i="2"/>
  <c r="T254" i="2"/>
  <c r="U254" i="2"/>
  <c r="V254" i="2"/>
  <c r="W254" i="2"/>
  <c r="Y254" i="2"/>
  <c r="Z254" i="2"/>
  <c r="AA254" i="2"/>
  <c r="AB254" i="2"/>
  <c r="AC254" i="2"/>
  <c r="AD254" i="2"/>
  <c r="AE254" i="2"/>
  <c r="AF254" i="2"/>
  <c r="AG254" i="2"/>
  <c r="AH254" i="2"/>
  <c r="AI254" i="2"/>
  <c r="AJ254" i="2"/>
  <c r="AK254" i="2"/>
  <c r="AL254" i="2"/>
  <c r="AM254" i="2"/>
  <c r="AN254" i="2"/>
  <c r="AO254" i="2"/>
  <c r="AP254" i="2"/>
  <c r="AQ254" i="2"/>
  <c r="AR254" i="2"/>
  <c r="AS254" i="2"/>
  <c r="AT254" i="2"/>
  <c r="AU254" i="2"/>
  <c r="AV254" i="2"/>
  <c r="AW254" i="2"/>
  <c r="AX254" i="2"/>
  <c r="AY254" i="2"/>
  <c r="AZ254" i="2"/>
  <c r="BA254" i="2"/>
  <c r="BB254" i="2"/>
  <c r="BC254" i="2"/>
  <c r="BD254" i="2"/>
  <c r="BE254" i="2"/>
  <c r="CO254" i="2"/>
  <c r="E255" i="2"/>
  <c r="CM255" i="2" s="1"/>
  <c r="F255" i="2"/>
  <c r="H255" i="2"/>
  <c r="I255" i="2"/>
  <c r="J255" i="2"/>
  <c r="K255" i="2"/>
  <c r="L255" i="2"/>
  <c r="M255" i="2"/>
  <c r="N255" i="2"/>
  <c r="O255" i="2"/>
  <c r="P255" i="2"/>
  <c r="Q255" i="2"/>
  <c r="R255" i="2"/>
  <c r="S255" i="2"/>
  <c r="T255" i="2"/>
  <c r="U255" i="2"/>
  <c r="V255" i="2"/>
  <c r="W255" i="2"/>
  <c r="Y255" i="2"/>
  <c r="Z255" i="2"/>
  <c r="AA255" i="2"/>
  <c r="AB255" i="2"/>
  <c r="AC255" i="2"/>
  <c r="AD255" i="2"/>
  <c r="AE255" i="2"/>
  <c r="AF255" i="2"/>
  <c r="AG255" i="2"/>
  <c r="AH255" i="2"/>
  <c r="AI255" i="2"/>
  <c r="AJ255" i="2"/>
  <c r="AK255" i="2"/>
  <c r="AL255" i="2"/>
  <c r="AM255" i="2"/>
  <c r="AN255" i="2"/>
  <c r="AO255" i="2"/>
  <c r="AP255" i="2"/>
  <c r="AQ255" i="2"/>
  <c r="AR255" i="2"/>
  <c r="AS255" i="2"/>
  <c r="AT255" i="2"/>
  <c r="AU255" i="2"/>
  <c r="AV255" i="2"/>
  <c r="AW255" i="2"/>
  <c r="AX255" i="2"/>
  <c r="AY255" i="2"/>
  <c r="AZ255" i="2"/>
  <c r="BA255" i="2"/>
  <c r="BB255" i="2"/>
  <c r="BC255" i="2"/>
  <c r="BD255" i="2"/>
  <c r="BE255" i="2"/>
  <c r="CO255" i="2"/>
  <c r="E256" i="2"/>
  <c r="F256" i="2"/>
  <c r="G256" i="2"/>
  <c r="H256" i="2"/>
  <c r="I256" i="2"/>
  <c r="J256" i="2"/>
  <c r="K256" i="2"/>
  <c r="L256" i="2"/>
  <c r="M256" i="2"/>
  <c r="N256" i="2"/>
  <c r="O256" i="2"/>
  <c r="P256" i="2"/>
  <c r="Q256" i="2"/>
  <c r="R256" i="2"/>
  <c r="S256" i="2"/>
  <c r="T256" i="2"/>
  <c r="U256" i="2"/>
  <c r="V256" i="2"/>
  <c r="W256" i="2"/>
  <c r="Y256" i="2"/>
  <c r="Z256" i="2"/>
  <c r="AA256" i="2"/>
  <c r="AB256" i="2"/>
  <c r="AC256" i="2"/>
  <c r="AD256" i="2"/>
  <c r="AE256" i="2"/>
  <c r="AF256" i="2"/>
  <c r="AG256" i="2"/>
  <c r="AH256" i="2"/>
  <c r="AI256" i="2"/>
  <c r="AJ256" i="2"/>
  <c r="AK256" i="2"/>
  <c r="AL256" i="2"/>
  <c r="AM256" i="2"/>
  <c r="AN256" i="2"/>
  <c r="AO256" i="2"/>
  <c r="AP256" i="2"/>
  <c r="AQ256" i="2"/>
  <c r="AR256" i="2"/>
  <c r="AS256" i="2"/>
  <c r="AT256" i="2"/>
  <c r="AU256" i="2"/>
  <c r="AV256" i="2"/>
  <c r="AW256" i="2"/>
  <c r="AX256" i="2"/>
  <c r="AY256" i="2"/>
  <c r="AZ256" i="2"/>
  <c r="BA256" i="2"/>
  <c r="BB256" i="2"/>
  <c r="BC256" i="2"/>
  <c r="BD256" i="2"/>
  <c r="BE256" i="2"/>
  <c r="CO256" i="2"/>
  <c r="E257" i="2"/>
  <c r="F257" i="2"/>
  <c r="G257" i="2"/>
  <c r="H257" i="2"/>
  <c r="I257" i="2"/>
  <c r="J257" i="2"/>
  <c r="K257" i="2"/>
  <c r="L257" i="2"/>
  <c r="M257" i="2"/>
  <c r="N257" i="2"/>
  <c r="O257" i="2"/>
  <c r="P257" i="2"/>
  <c r="Q257" i="2"/>
  <c r="R257" i="2"/>
  <c r="S257" i="2"/>
  <c r="T257" i="2"/>
  <c r="U257" i="2"/>
  <c r="V257" i="2"/>
  <c r="W257" i="2"/>
  <c r="Y257" i="2"/>
  <c r="Z257" i="2"/>
  <c r="AA257" i="2"/>
  <c r="AB257" i="2"/>
  <c r="AC257" i="2"/>
  <c r="AD257" i="2"/>
  <c r="AE257" i="2"/>
  <c r="AF257" i="2"/>
  <c r="AG257" i="2"/>
  <c r="AH257" i="2"/>
  <c r="AI257" i="2"/>
  <c r="AJ257" i="2"/>
  <c r="AK257" i="2"/>
  <c r="AL257" i="2"/>
  <c r="AM257" i="2"/>
  <c r="AN257" i="2"/>
  <c r="AO257" i="2"/>
  <c r="AP257" i="2"/>
  <c r="AQ257" i="2"/>
  <c r="AR257" i="2"/>
  <c r="AS257" i="2"/>
  <c r="AT257" i="2"/>
  <c r="AU257" i="2"/>
  <c r="AV257" i="2"/>
  <c r="AW257" i="2"/>
  <c r="AX257" i="2"/>
  <c r="AY257" i="2"/>
  <c r="AZ257" i="2"/>
  <c r="BA257" i="2"/>
  <c r="BB257" i="2"/>
  <c r="BC257" i="2"/>
  <c r="BD257" i="2"/>
  <c r="BE257" i="2"/>
  <c r="CO257" i="2"/>
  <c r="E258" i="2"/>
  <c r="CM258" i="2" s="1"/>
  <c r="F258" i="2"/>
  <c r="G258" i="2"/>
  <c r="H258" i="2"/>
  <c r="I258" i="2"/>
  <c r="J258" i="2"/>
  <c r="K258" i="2"/>
  <c r="L258" i="2"/>
  <c r="M258" i="2"/>
  <c r="N258" i="2"/>
  <c r="O258" i="2"/>
  <c r="P258" i="2"/>
  <c r="Q258" i="2"/>
  <c r="R258" i="2"/>
  <c r="S258" i="2"/>
  <c r="T258" i="2"/>
  <c r="U258" i="2"/>
  <c r="V258" i="2"/>
  <c r="W258" i="2"/>
  <c r="Y258" i="2"/>
  <c r="Z258" i="2"/>
  <c r="AA258" i="2"/>
  <c r="AB258" i="2"/>
  <c r="AC258" i="2"/>
  <c r="AD258" i="2"/>
  <c r="AE258" i="2"/>
  <c r="AF258" i="2"/>
  <c r="AG258" i="2"/>
  <c r="AH258" i="2"/>
  <c r="AI258" i="2"/>
  <c r="AJ258" i="2"/>
  <c r="AK258" i="2"/>
  <c r="AL258" i="2"/>
  <c r="AM258" i="2"/>
  <c r="AN258" i="2"/>
  <c r="AO258" i="2"/>
  <c r="AP258" i="2"/>
  <c r="AQ258" i="2"/>
  <c r="AR258" i="2"/>
  <c r="AS258" i="2"/>
  <c r="AT258" i="2"/>
  <c r="AU258" i="2"/>
  <c r="AV258" i="2"/>
  <c r="AW258" i="2"/>
  <c r="AX258" i="2"/>
  <c r="AY258" i="2"/>
  <c r="AZ258" i="2"/>
  <c r="BA258" i="2"/>
  <c r="BB258" i="2"/>
  <c r="BC258" i="2"/>
  <c r="BD258" i="2"/>
  <c r="BE258" i="2"/>
  <c r="CO258" i="2"/>
  <c r="E259" i="2"/>
  <c r="CM259" i="2" s="1"/>
  <c r="F259" i="2"/>
  <c r="G259" i="2"/>
  <c r="H259" i="2"/>
  <c r="I259" i="2"/>
  <c r="J259" i="2"/>
  <c r="K259" i="2"/>
  <c r="L259" i="2"/>
  <c r="M259" i="2"/>
  <c r="N259" i="2"/>
  <c r="O259" i="2"/>
  <c r="P259" i="2"/>
  <c r="Q259" i="2"/>
  <c r="R259" i="2"/>
  <c r="S259" i="2"/>
  <c r="T259" i="2"/>
  <c r="U259" i="2"/>
  <c r="V259" i="2"/>
  <c r="W259" i="2"/>
  <c r="Y259" i="2"/>
  <c r="Z259" i="2"/>
  <c r="AA259" i="2"/>
  <c r="AB259" i="2"/>
  <c r="AC259" i="2"/>
  <c r="AD259" i="2"/>
  <c r="AE259" i="2"/>
  <c r="AF259" i="2"/>
  <c r="AG259" i="2"/>
  <c r="AH259" i="2"/>
  <c r="AI259" i="2"/>
  <c r="AJ259" i="2"/>
  <c r="AK259" i="2"/>
  <c r="AL259" i="2"/>
  <c r="AM259" i="2"/>
  <c r="AN259" i="2"/>
  <c r="AO259" i="2"/>
  <c r="AP259" i="2"/>
  <c r="AQ259" i="2"/>
  <c r="AR259" i="2"/>
  <c r="AS259" i="2"/>
  <c r="AT259" i="2"/>
  <c r="AU259" i="2"/>
  <c r="AV259" i="2"/>
  <c r="AW259" i="2"/>
  <c r="AX259" i="2"/>
  <c r="AY259" i="2"/>
  <c r="AZ259" i="2"/>
  <c r="BA259" i="2"/>
  <c r="BB259" i="2"/>
  <c r="BC259" i="2"/>
  <c r="BD259" i="2"/>
  <c r="BE259" i="2"/>
  <c r="CO259" i="2"/>
  <c r="E260" i="2"/>
  <c r="CM260" i="2" s="1"/>
  <c r="F260" i="2"/>
  <c r="G260" i="2"/>
  <c r="H260" i="2"/>
  <c r="I260" i="2"/>
  <c r="J260" i="2"/>
  <c r="K260" i="2"/>
  <c r="L260" i="2"/>
  <c r="N260" i="2"/>
  <c r="O260" i="2"/>
  <c r="P260" i="2"/>
  <c r="Q260" i="2"/>
  <c r="R260" i="2"/>
  <c r="S260" i="2"/>
  <c r="T260" i="2"/>
  <c r="U260" i="2"/>
  <c r="V260" i="2"/>
  <c r="W260" i="2"/>
  <c r="Y260" i="2"/>
  <c r="Z260" i="2"/>
  <c r="AA260" i="2"/>
  <c r="AB260" i="2"/>
  <c r="AC260" i="2"/>
  <c r="AD260" i="2"/>
  <c r="AE260" i="2"/>
  <c r="AF260" i="2"/>
  <c r="AG260" i="2"/>
  <c r="AH260" i="2"/>
  <c r="AI260" i="2"/>
  <c r="AJ260" i="2"/>
  <c r="AK260" i="2"/>
  <c r="AL260" i="2"/>
  <c r="AM260" i="2"/>
  <c r="AN260" i="2"/>
  <c r="AO260" i="2"/>
  <c r="AP260" i="2"/>
  <c r="AQ260" i="2"/>
  <c r="AR260" i="2"/>
  <c r="AS260" i="2"/>
  <c r="AT260" i="2"/>
  <c r="AU260" i="2"/>
  <c r="AV260" i="2"/>
  <c r="AW260" i="2"/>
  <c r="AX260" i="2"/>
  <c r="AY260" i="2"/>
  <c r="AZ260" i="2"/>
  <c r="BA260" i="2"/>
  <c r="BB260" i="2"/>
  <c r="BC260" i="2"/>
  <c r="BD260" i="2"/>
  <c r="BE260" i="2"/>
  <c r="CO260" i="2"/>
  <c r="E261" i="2"/>
  <c r="CM261" i="2" s="1"/>
  <c r="F261" i="2"/>
  <c r="G261" i="2"/>
  <c r="H261" i="2"/>
  <c r="I261" i="2"/>
  <c r="J261" i="2"/>
  <c r="K261" i="2"/>
  <c r="L261" i="2"/>
  <c r="M261" i="2"/>
  <c r="N261" i="2"/>
  <c r="O261" i="2"/>
  <c r="P261" i="2"/>
  <c r="Q261" i="2"/>
  <c r="R261" i="2"/>
  <c r="S261" i="2"/>
  <c r="T261" i="2"/>
  <c r="U261" i="2"/>
  <c r="V261" i="2"/>
  <c r="W261" i="2"/>
  <c r="Y261" i="2"/>
  <c r="Z261" i="2"/>
  <c r="AA261" i="2"/>
  <c r="AB261" i="2"/>
  <c r="AC261" i="2"/>
  <c r="AD261" i="2"/>
  <c r="AE261" i="2"/>
  <c r="AF261" i="2"/>
  <c r="AG261" i="2"/>
  <c r="AH261" i="2"/>
  <c r="AI261" i="2"/>
  <c r="AJ261" i="2"/>
  <c r="AK261" i="2"/>
  <c r="AL261" i="2"/>
  <c r="AM261" i="2"/>
  <c r="AN261" i="2"/>
  <c r="AO261" i="2"/>
  <c r="AP261" i="2"/>
  <c r="AQ261" i="2"/>
  <c r="AR261" i="2"/>
  <c r="AS261" i="2"/>
  <c r="AT261" i="2"/>
  <c r="AU261" i="2"/>
  <c r="AV261" i="2"/>
  <c r="AW261" i="2"/>
  <c r="AX261" i="2"/>
  <c r="AY261" i="2"/>
  <c r="AZ261" i="2"/>
  <c r="BA261" i="2"/>
  <c r="BB261" i="2"/>
  <c r="BC261" i="2"/>
  <c r="BD261" i="2"/>
  <c r="BE261" i="2"/>
  <c r="CO261" i="2"/>
  <c r="E262" i="2"/>
  <c r="CM262" i="2" s="1"/>
  <c r="F262" i="2"/>
  <c r="G262" i="2"/>
  <c r="H262" i="2"/>
  <c r="I262" i="2"/>
  <c r="J262" i="2"/>
  <c r="K262" i="2"/>
  <c r="L262" i="2"/>
  <c r="M262" i="2"/>
  <c r="N262" i="2"/>
  <c r="O262" i="2"/>
  <c r="P262" i="2"/>
  <c r="Q262" i="2"/>
  <c r="R262" i="2"/>
  <c r="S262" i="2"/>
  <c r="T262" i="2"/>
  <c r="U262" i="2"/>
  <c r="V262" i="2"/>
  <c r="W262" i="2"/>
  <c r="Y262" i="2"/>
  <c r="Z262" i="2"/>
  <c r="AA262" i="2"/>
  <c r="AB262" i="2"/>
  <c r="AC262" i="2"/>
  <c r="AD262" i="2"/>
  <c r="AE262" i="2"/>
  <c r="AF262" i="2"/>
  <c r="AG262" i="2"/>
  <c r="AH262" i="2"/>
  <c r="AI262" i="2"/>
  <c r="AJ262" i="2"/>
  <c r="AK262" i="2"/>
  <c r="AL262" i="2"/>
  <c r="AM262" i="2"/>
  <c r="AN262" i="2"/>
  <c r="AO262" i="2"/>
  <c r="AP262" i="2"/>
  <c r="AQ262" i="2"/>
  <c r="AR262" i="2"/>
  <c r="AS262" i="2"/>
  <c r="AT262" i="2"/>
  <c r="AU262" i="2"/>
  <c r="AV262" i="2"/>
  <c r="AW262" i="2"/>
  <c r="AX262" i="2"/>
  <c r="AY262" i="2"/>
  <c r="AZ262" i="2"/>
  <c r="BA262" i="2"/>
  <c r="BB262" i="2"/>
  <c r="BC262" i="2"/>
  <c r="BD262" i="2"/>
  <c r="BE262" i="2"/>
  <c r="CO262" i="2"/>
  <c r="E263" i="2"/>
  <c r="CM263" i="2" s="1"/>
  <c r="F263" i="2"/>
  <c r="G263" i="2"/>
  <c r="H263" i="2"/>
  <c r="I263" i="2"/>
  <c r="J263" i="2"/>
  <c r="K263" i="2"/>
  <c r="L263" i="2"/>
  <c r="M263" i="2"/>
  <c r="N263" i="2"/>
  <c r="O263" i="2"/>
  <c r="P263" i="2"/>
  <c r="Q263" i="2"/>
  <c r="R263" i="2"/>
  <c r="S263" i="2"/>
  <c r="T263" i="2"/>
  <c r="U263" i="2"/>
  <c r="V263" i="2"/>
  <c r="W263" i="2"/>
  <c r="Y263" i="2"/>
  <c r="Z263" i="2"/>
  <c r="AA263" i="2"/>
  <c r="AB263" i="2"/>
  <c r="AC263" i="2"/>
  <c r="AD263" i="2"/>
  <c r="AE263" i="2"/>
  <c r="AF263" i="2"/>
  <c r="AG263" i="2"/>
  <c r="AH263" i="2"/>
  <c r="AI263" i="2"/>
  <c r="AJ263" i="2"/>
  <c r="AK263" i="2"/>
  <c r="AL263" i="2"/>
  <c r="AM263" i="2"/>
  <c r="AN263" i="2"/>
  <c r="AO263" i="2"/>
  <c r="AP263" i="2"/>
  <c r="AQ263" i="2"/>
  <c r="AR263" i="2"/>
  <c r="AS263" i="2"/>
  <c r="AT263" i="2"/>
  <c r="AU263" i="2"/>
  <c r="AV263" i="2"/>
  <c r="AW263" i="2"/>
  <c r="AX263" i="2"/>
  <c r="AY263" i="2"/>
  <c r="AZ263" i="2"/>
  <c r="BA263" i="2"/>
  <c r="BB263" i="2"/>
  <c r="BC263" i="2"/>
  <c r="BD263" i="2"/>
  <c r="BE263" i="2"/>
  <c r="CO263" i="2"/>
  <c r="E264" i="2"/>
  <c r="CM264" i="2" s="1"/>
  <c r="F264" i="2"/>
  <c r="G264" i="2"/>
  <c r="H264" i="2"/>
  <c r="I264" i="2"/>
  <c r="J264" i="2"/>
  <c r="K264" i="2"/>
  <c r="L264" i="2"/>
  <c r="M264" i="2"/>
  <c r="N264" i="2"/>
  <c r="O264" i="2"/>
  <c r="P264" i="2"/>
  <c r="Q264" i="2"/>
  <c r="R264" i="2"/>
  <c r="S264" i="2"/>
  <c r="T264" i="2"/>
  <c r="U264" i="2"/>
  <c r="V264" i="2"/>
  <c r="W264" i="2"/>
  <c r="Y264" i="2"/>
  <c r="Z264" i="2"/>
  <c r="AA264" i="2"/>
  <c r="AB264" i="2"/>
  <c r="AC264" i="2"/>
  <c r="AD264" i="2"/>
  <c r="AE264" i="2"/>
  <c r="AF264" i="2"/>
  <c r="AG264" i="2"/>
  <c r="AH264" i="2"/>
  <c r="AI264" i="2"/>
  <c r="AJ264" i="2"/>
  <c r="AK264" i="2"/>
  <c r="AL264" i="2"/>
  <c r="AM264" i="2"/>
  <c r="AN264" i="2"/>
  <c r="AO264" i="2"/>
  <c r="AP264" i="2"/>
  <c r="AQ264" i="2"/>
  <c r="AR264" i="2"/>
  <c r="AS264" i="2"/>
  <c r="AT264" i="2"/>
  <c r="AU264" i="2"/>
  <c r="AV264" i="2"/>
  <c r="AW264" i="2"/>
  <c r="AX264" i="2"/>
  <c r="AY264" i="2"/>
  <c r="AZ264" i="2"/>
  <c r="BA264" i="2"/>
  <c r="BB264" i="2"/>
  <c r="BC264" i="2"/>
  <c r="BD264" i="2"/>
  <c r="BE264" i="2"/>
  <c r="CO264" i="2"/>
  <c r="E265" i="2"/>
  <c r="CM265" i="2" s="1"/>
  <c r="F265" i="2"/>
  <c r="G265" i="2"/>
  <c r="H265" i="2"/>
  <c r="I265" i="2"/>
  <c r="J265" i="2"/>
  <c r="K265" i="2"/>
  <c r="L265" i="2"/>
  <c r="M265" i="2"/>
  <c r="N265" i="2"/>
  <c r="O265" i="2"/>
  <c r="P265" i="2"/>
  <c r="Q265" i="2"/>
  <c r="R265" i="2"/>
  <c r="S265" i="2"/>
  <c r="T265" i="2"/>
  <c r="U265" i="2"/>
  <c r="V265" i="2"/>
  <c r="W265" i="2"/>
  <c r="Y265" i="2"/>
  <c r="Z265" i="2"/>
  <c r="AA265" i="2"/>
  <c r="AB265" i="2"/>
  <c r="AC265" i="2"/>
  <c r="AD265" i="2"/>
  <c r="AE265" i="2"/>
  <c r="AF265" i="2"/>
  <c r="AG265" i="2"/>
  <c r="AH265" i="2"/>
  <c r="AI265" i="2"/>
  <c r="AJ265" i="2"/>
  <c r="AK265" i="2"/>
  <c r="AL265" i="2"/>
  <c r="AM265" i="2"/>
  <c r="AN265" i="2"/>
  <c r="AO265" i="2"/>
  <c r="AP265" i="2"/>
  <c r="AQ265" i="2"/>
  <c r="AR265" i="2"/>
  <c r="AS265" i="2"/>
  <c r="AT265" i="2"/>
  <c r="AU265" i="2"/>
  <c r="AV265" i="2"/>
  <c r="AW265" i="2"/>
  <c r="AX265" i="2"/>
  <c r="AY265" i="2"/>
  <c r="AZ265" i="2"/>
  <c r="BA265" i="2"/>
  <c r="BB265" i="2"/>
  <c r="BC265" i="2"/>
  <c r="BD265" i="2"/>
  <c r="BE265" i="2"/>
  <c r="CO265" i="2"/>
  <c r="E266" i="2"/>
  <c r="CM266" i="2" s="1"/>
  <c r="F266" i="2"/>
  <c r="G266" i="2"/>
  <c r="H266" i="2"/>
  <c r="I266" i="2"/>
  <c r="J266" i="2"/>
  <c r="K266" i="2"/>
  <c r="L266" i="2"/>
  <c r="M266" i="2"/>
  <c r="N266" i="2"/>
  <c r="O266" i="2"/>
  <c r="P266" i="2"/>
  <c r="Q266" i="2"/>
  <c r="R266" i="2"/>
  <c r="S266" i="2"/>
  <c r="T266" i="2"/>
  <c r="U266" i="2"/>
  <c r="V266" i="2"/>
  <c r="W266" i="2"/>
  <c r="Y266" i="2"/>
  <c r="Z266" i="2"/>
  <c r="AA266" i="2"/>
  <c r="AB266" i="2"/>
  <c r="AC266" i="2"/>
  <c r="AD266" i="2"/>
  <c r="AF266" i="2"/>
  <c r="AG266" i="2"/>
  <c r="AH266" i="2"/>
  <c r="AI266" i="2"/>
  <c r="AJ266" i="2"/>
  <c r="AK266" i="2"/>
  <c r="AL266" i="2"/>
  <c r="AM266" i="2"/>
  <c r="AN266" i="2"/>
  <c r="AO266" i="2"/>
  <c r="AP266" i="2"/>
  <c r="AQ266" i="2"/>
  <c r="AR266" i="2"/>
  <c r="AS266" i="2"/>
  <c r="AT266" i="2"/>
  <c r="AU266" i="2"/>
  <c r="AV266" i="2"/>
  <c r="AW266" i="2"/>
  <c r="AX266" i="2"/>
  <c r="AY266" i="2"/>
  <c r="AZ266" i="2"/>
  <c r="BA266" i="2"/>
  <c r="BB266" i="2"/>
  <c r="BC266" i="2"/>
  <c r="BD266" i="2"/>
  <c r="BE266" i="2"/>
  <c r="CO266" i="2"/>
  <c r="E267" i="2"/>
  <c r="CM267" i="2" s="1"/>
  <c r="F267" i="2"/>
  <c r="G267" i="2"/>
  <c r="H267" i="2"/>
  <c r="I267" i="2"/>
  <c r="J267" i="2"/>
  <c r="K267" i="2"/>
  <c r="L267" i="2"/>
  <c r="M267" i="2"/>
  <c r="N267" i="2"/>
  <c r="O267" i="2"/>
  <c r="P267" i="2"/>
  <c r="Q267" i="2"/>
  <c r="R267" i="2"/>
  <c r="S267" i="2"/>
  <c r="T267" i="2"/>
  <c r="U267" i="2"/>
  <c r="V267" i="2"/>
  <c r="W267" i="2"/>
  <c r="Y267" i="2"/>
  <c r="Z267" i="2"/>
  <c r="AA267" i="2"/>
  <c r="AB267" i="2"/>
  <c r="AC267" i="2"/>
  <c r="AD267" i="2"/>
  <c r="AE267" i="2"/>
  <c r="AF267" i="2"/>
  <c r="AG267" i="2"/>
  <c r="AH267" i="2"/>
  <c r="AI267" i="2"/>
  <c r="AJ267" i="2"/>
  <c r="AK267" i="2"/>
  <c r="AL267" i="2"/>
  <c r="AM267" i="2"/>
  <c r="AN267" i="2"/>
  <c r="AO267" i="2"/>
  <c r="AP267" i="2"/>
  <c r="AQ267" i="2"/>
  <c r="AR267" i="2"/>
  <c r="AS267" i="2"/>
  <c r="AT267" i="2"/>
  <c r="AU267" i="2"/>
  <c r="AV267" i="2"/>
  <c r="AW267" i="2"/>
  <c r="AX267" i="2"/>
  <c r="AY267" i="2"/>
  <c r="AZ267" i="2"/>
  <c r="BA267" i="2"/>
  <c r="BB267" i="2"/>
  <c r="BC267" i="2"/>
  <c r="BD267" i="2"/>
  <c r="BE267" i="2"/>
  <c r="CO267" i="2"/>
  <c r="E268" i="2"/>
  <c r="CM268" i="2" s="1"/>
  <c r="F268" i="2"/>
  <c r="G268" i="2"/>
  <c r="H268" i="2"/>
  <c r="I268" i="2"/>
  <c r="J268" i="2"/>
  <c r="K268" i="2"/>
  <c r="L268" i="2"/>
  <c r="M268" i="2"/>
  <c r="N268" i="2"/>
  <c r="O268" i="2"/>
  <c r="P268" i="2"/>
  <c r="Q268" i="2"/>
  <c r="R268" i="2"/>
  <c r="S268" i="2"/>
  <c r="T268" i="2"/>
  <c r="U268" i="2"/>
  <c r="V268" i="2"/>
  <c r="W268" i="2"/>
  <c r="Y268" i="2"/>
  <c r="Z268" i="2"/>
  <c r="AA268" i="2"/>
  <c r="AB268" i="2"/>
  <c r="AC268" i="2"/>
  <c r="AD268" i="2"/>
  <c r="AF268" i="2"/>
  <c r="AG268" i="2"/>
  <c r="AH268" i="2"/>
  <c r="AI268" i="2"/>
  <c r="AJ268" i="2"/>
  <c r="AK268" i="2"/>
  <c r="AL268" i="2"/>
  <c r="AM268" i="2"/>
  <c r="AN268" i="2"/>
  <c r="AO268" i="2"/>
  <c r="AP268" i="2"/>
  <c r="AQ268" i="2"/>
  <c r="AR268" i="2"/>
  <c r="AS268" i="2"/>
  <c r="AT268" i="2"/>
  <c r="AU268" i="2"/>
  <c r="AV268" i="2"/>
  <c r="AW268" i="2"/>
  <c r="AX268" i="2"/>
  <c r="AY268" i="2"/>
  <c r="AZ268" i="2"/>
  <c r="BA268" i="2"/>
  <c r="BB268" i="2"/>
  <c r="BC268" i="2"/>
  <c r="BD268" i="2"/>
  <c r="BE268" i="2"/>
  <c r="CO268" i="2"/>
  <c r="E269" i="2"/>
  <c r="CM269" i="2" s="1"/>
  <c r="F269" i="2"/>
  <c r="G269" i="2"/>
  <c r="H269" i="2"/>
  <c r="I269" i="2"/>
  <c r="J269" i="2"/>
  <c r="K269" i="2"/>
  <c r="L269" i="2"/>
  <c r="M269" i="2"/>
  <c r="N269" i="2"/>
  <c r="O269" i="2"/>
  <c r="P269" i="2"/>
  <c r="Q269" i="2"/>
  <c r="R269" i="2"/>
  <c r="S269" i="2"/>
  <c r="T269" i="2"/>
  <c r="U269" i="2"/>
  <c r="V269" i="2"/>
  <c r="W269" i="2"/>
  <c r="Y269" i="2"/>
  <c r="Z269" i="2"/>
  <c r="AA269" i="2"/>
  <c r="AB269" i="2"/>
  <c r="AC269" i="2"/>
  <c r="AD269" i="2"/>
  <c r="AE269" i="2"/>
  <c r="AF269" i="2"/>
  <c r="AG269" i="2"/>
  <c r="AH269" i="2"/>
  <c r="AI269" i="2"/>
  <c r="AJ269" i="2"/>
  <c r="AK269" i="2"/>
  <c r="AL269" i="2"/>
  <c r="AM269" i="2"/>
  <c r="AN269" i="2"/>
  <c r="AO269" i="2"/>
  <c r="AP269" i="2"/>
  <c r="AQ269" i="2"/>
  <c r="AR269" i="2"/>
  <c r="AS269" i="2"/>
  <c r="AT269" i="2"/>
  <c r="AU269" i="2"/>
  <c r="AV269" i="2"/>
  <c r="AW269" i="2"/>
  <c r="AX269" i="2"/>
  <c r="AY269" i="2"/>
  <c r="AZ269" i="2"/>
  <c r="BA269" i="2"/>
  <c r="BB269" i="2"/>
  <c r="BC269" i="2"/>
  <c r="BD269" i="2"/>
  <c r="BE269" i="2"/>
  <c r="CO269" i="2"/>
  <c r="E270" i="2"/>
  <c r="CM270" i="2" s="1"/>
  <c r="F270" i="2"/>
  <c r="G270" i="2"/>
  <c r="H270" i="2"/>
  <c r="I270" i="2"/>
  <c r="J270" i="2"/>
  <c r="K270" i="2"/>
  <c r="L270" i="2"/>
  <c r="M270" i="2"/>
  <c r="N270" i="2"/>
  <c r="O270" i="2"/>
  <c r="P270" i="2"/>
  <c r="Q270" i="2"/>
  <c r="R270" i="2"/>
  <c r="S270" i="2"/>
  <c r="T270" i="2"/>
  <c r="U270" i="2"/>
  <c r="V270" i="2"/>
  <c r="W270" i="2"/>
  <c r="Y270" i="2"/>
  <c r="Z270" i="2"/>
  <c r="AA270" i="2"/>
  <c r="AB270" i="2"/>
  <c r="AC270" i="2"/>
  <c r="AD270" i="2"/>
  <c r="AE270" i="2"/>
  <c r="AF270" i="2"/>
  <c r="AG270" i="2"/>
  <c r="AH270" i="2"/>
  <c r="AI270" i="2"/>
  <c r="AJ270" i="2"/>
  <c r="AK270" i="2"/>
  <c r="AL270" i="2"/>
  <c r="AM270" i="2"/>
  <c r="AN270" i="2"/>
  <c r="AO270" i="2"/>
  <c r="AP270" i="2"/>
  <c r="AQ270" i="2"/>
  <c r="AR270" i="2"/>
  <c r="AS270" i="2"/>
  <c r="AT270" i="2"/>
  <c r="AU270" i="2"/>
  <c r="AV270" i="2"/>
  <c r="AW270" i="2"/>
  <c r="AX270" i="2"/>
  <c r="AY270" i="2"/>
  <c r="AZ270" i="2"/>
  <c r="BA270" i="2"/>
  <c r="BB270" i="2"/>
  <c r="BC270" i="2"/>
  <c r="BD270" i="2"/>
  <c r="BE270" i="2"/>
  <c r="CO270" i="2"/>
  <c r="E271" i="2"/>
  <c r="CM271" i="2" s="1"/>
  <c r="F271" i="2"/>
  <c r="G271" i="2"/>
  <c r="H271" i="2"/>
  <c r="I271" i="2"/>
  <c r="J271" i="2"/>
  <c r="K271" i="2"/>
  <c r="L271" i="2"/>
  <c r="M271" i="2"/>
  <c r="N271" i="2"/>
  <c r="O271" i="2"/>
  <c r="P271" i="2"/>
  <c r="Q271" i="2"/>
  <c r="R271" i="2"/>
  <c r="S271" i="2"/>
  <c r="T271" i="2"/>
  <c r="U271" i="2"/>
  <c r="V271" i="2"/>
  <c r="W271" i="2"/>
  <c r="Y271" i="2"/>
  <c r="Z271" i="2"/>
  <c r="AA271" i="2"/>
  <c r="AB271" i="2"/>
  <c r="AC271" i="2"/>
  <c r="AD271" i="2"/>
  <c r="AE271" i="2"/>
  <c r="AF271" i="2"/>
  <c r="AG271" i="2"/>
  <c r="AH271" i="2"/>
  <c r="AI271" i="2"/>
  <c r="AJ271" i="2"/>
  <c r="AK271" i="2"/>
  <c r="AL271" i="2"/>
  <c r="AM271" i="2"/>
  <c r="AN271" i="2"/>
  <c r="AO271" i="2"/>
  <c r="AP271" i="2"/>
  <c r="AQ271" i="2"/>
  <c r="AR271" i="2"/>
  <c r="AS271" i="2"/>
  <c r="AT271" i="2"/>
  <c r="AU271" i="2"/>
  <c r="AV271" i="2"/>
  <c r="AW271" i="2"/>
  <c r="AX271" i="2"/>
  <c r="AY271" i="2"/>
  <c r="AZ271" i="2"/>
  <c r="BA271" i="2"/>
  <c r="BB271" i="2"/>
  <c r="BC271" i="2"/>
  <c r="BD271" i="2"/>
  <c r="BE271" i="2"/>
  <c r="CO271" i="2"/>
  <c r="E272" i="2"/>
  <c r="CM272" i="2" s="1"/>
  <c r="F272" i="2"/>
  <c r="G272" i="2"/>
  <c r="H272" i="2"/>
  <c r="I272" i="2"/>
  <c r="J272" i="2"/>
  <c r="K272" i="2"/>
  <c r="L272" i="2"/>
  <c r="M272" i="2"/>
  <c r="N272" i="2"/>
  <c r="O272" i="2"/>
  <c r="P272" i="2"/>
  <c r="Q272" i="2"/>
  <c r="R272" i="2"/>
  <c r="S272" i="2"/>
  <c r="T272" i="2"/>
  <c r="U272" i="2"/>
  <c r="V272" i="2"/>
  <c r="W272" i="2"/>
  <c r="Y272" i="2"/>
  <c r="Z272" i="2"/>
  <c r="AA272" i="2"/>
  <c r="AB272" i="2"/>
  <c r="AC272" i="2"/>
  <c r="AD272" i="2"/>
  <c r="AE272" i="2"/>
  <c r="AF272" i="2"/>
  <c r="AG272" i="2"/>
  <c r="AH272" i="2"/>
  <c r="AI272" i="2"/>
  <c r="AJ272" i="2"/>
  <c r="AK272" i="2"/>
  <c r="AL272" i="2"/>
  <c r="AM272" i="2"/>
  <c r="AN272" i="2"/>
  <c r="AO272" i="2"/>
  <c r="AP272" i="2"/>
  <c r="AQ272" i="2"/>
  <c r="AR272" i="2"/>
  <c r="AS272" i="2"/>
  <c r="AT272" i="2"/>
  <c r="AU272" i="2"/>
  <c r="AV272" i="2"/>
  <c r="AW272" i="2"/>
  <c r="AX272" i="2"/>
  <c r="AY272" i="2"/>
  <c r="AZ272" i="2"/>
  <c r="BA272" i="2"/>
  <c r="BB272" i="2"/>
  <c r="BC272" i="2"/>
  <c r="BD272" i="2"/>
  <c r="BE272" i="2"/>
  <c r="CO272" i="2"/>
  <c r="E273" i="2"/>
  <c r="CM273" i="2" s="1"/>
  <c r="F273" i="2"/>
  <c r="G273" i="2"/>
  <c r="H273" i="2"/>
  <c r="I273" i="2"/>
  <c r="J273" i="2"/>
  <c r="K273" i="2"/>
  <c r="L273" i="2"/>
  <c r="M273" i="2"/>
  <c r="N273" i="2"/>
  <c r="O273" i="2"/>
  <c r="P273" i="2"/>
  <c r="Q273" i="2"/>
  <c r="R273" i="2"/>
  <c r="S273" i="2"/>
  <c r="T273" i="2"/>
  <c r="U273" i="2"/>
  <c r="V273" i="2"/>
  <c r="W273" i="2"/>
  <c r="Y273" i="2"/>
  <c r="Z273" i="2"/>
  <c r="AA273" i="2"/>
  <c r="AB273" i="2"/>
  <c r="AC273" i="2"/>
  <c r="AD273" i="2"/>
  <c r="AE273" i="2"/>
  <c r="AF273" i="2"/>
  <c r="AG273" i="2"/>
  <c r="AH273" i="2"/>
  <c r="AI273" i="2"/>
  <c r="AJ273" i="2"/>
  <c r="AK273" i="2"/>
  <c r="AL273" i="2"/>
  <c r="AM273" i="2"/>
  <c r="AN273" i="2"/>
  <c r="AO273" i="2"/>
  <c r="AP273" i="2"/>
  <c r="AQ273" i="2"/>
  <c r="AR273" i="2"/>
  <c r="AS273" i="2"/>
  <c r="AT273" i="2"/>
  <c r="AU273" i="2"/>
  <c r="AV273" i="2"/>
  <c r="AW273" i="2"/>
  <c r="AX273" i="2"/>
  <c r="AY273" i="2"/>
  <c r="AZ273" i="2"/>
  <c r="BA273" i="2"/>
  <c r="BB273" i="2"/>
  <c r="BC273" i="2"/>
  <c r="BD273" i="2"/>
  <c r="BE273" i="2"/>
  <c r="CO273" i="2"/>
  <c r="E274" i="2"/>
  <c r="CM274" i="2" s="1"/>
  <c r="F274" i="2"/>
  <c r="G274" i="2"/>
  <c r="H274" i="2"/>
  <c r="I274" i="2"/>
  <c r="J274" i="2"/>
  <c r="K274" i="2"/>
  <c r="L274" i="2"/>
  <c r="M274" i="2"/>
  <c r="N274" i="2"/>
  <c r="O274" i="2"/>
  <c r="P274" i="2"/>
  <c r="Q274" i="2"/>
  <c r="R274" i="2"/>
  <c r="S274" i="2"/>
  <c r="T274" i="2"/>
  <c r="U274" i="2"/>
  <c r="V274" i="2"/>
  <c r="W274" i="2"/>
  <c r="Y274" i="2"/>
  <c r="Z274" i="2"/>
  <c r="AA274" i="2"/>
  <c r="AB274" i="2"/>
  <c r="AC274" i="2"/>
  <c r="AD274" i="2"/>
  <c r="AE274" i="2"/>
  <c r="AF274" i="2"/>
  <c r="AG274" i="2"/>
  <c r="AH274" i="2"/>
  <c r="AI274" i="2"/>
  <c r="AJ274" i="2"/>
  <c r="AK274" i="2"/>
  <c r="AL274" i="2"/>
  <c r="AM274" i="2"/>
  <c r="AN274" i="2"/>
  <c r="AO274" i="2"/>
  <c r="AP274" i="2"/>
  <c r="AQ274" i="2"/>
  <c r="AR274" i="2"/>
  <c r="AS274" i="2"/>
  <c r="AT274" i="2"/>
  <c r="AU274" i="2"/>
  <c r="AV274" i="2"/>
  <c r="AW274" i="2"/>
  <c r="AX274" i="2"/>
  <c r="AY274" i="2"/>
  <c r="AZ274" i="2"/>
  <c r="BA274" i="2"/>
  <c r="BB274" i="2"/>
  <c r="BC274" i="2"/>
  <c r="BD274" i="2"/>
  <c r="BE274" i="2"/>
  <c r="CO274" i="2"/>
  <c r="E275" i="2"/>
  <c r="CM275" i="2" s="1"/>
  <c r="F275" i="2"/>
  <c r="G275" i="2"/>
  <c r="H275" i="2"/>
  <c r="I275" i="2"/>
  <c r="J275" i="2"/>
  <c r="K275" i="2"/>
  <c r="L275" i="2"/>
  <c r="M275" i="2"/>
  <c r="N275" i="2"/>
  <c r="O275" i="2"/>
  <c r="P275" i="2"/>
  <c r="Q275" i="2"/>
  <c r="R275" i="2"/>
  <c r="S275" i="2"/>
  <c r="T275" i="2"/>
  <c r="U275" i="2"/>
  <c r="V275" i="2"/>
  <c r="W275" i="2"/>
  <c r="Y275" i="2"/>
  <c r="Z275" i="2"/>
  <c r="AA275" i="2"/>
  <c r="AB275" i="2"/>
  <c r="AC275" i="2"/>
  <c r="AD275" i="2"/>
  <c r="AE275" i="2"/>
  <c r="AF275" i="2"/>
  <c r="AG275" i="2"/>
  <c r="AH275" i="2"/>
  <c r="AI275" i="2"/>
  <c r="AJ275" i="2"/>
  <c r="AK275" i="2"/>
  <c r="AL275" i="2"/>
  <c r="AM275" i="2"/>
  <c r="AN275" i="2"/>
  <c r="AO275" i="2"/>
  <c r="AP275" i="2"/>
  <c r="AQ275" i="2"/>
  <c r="AR275" i="2"/>
  <c r="AS275" i="2"/>
  <c r="AT275" i="2"/>
  <c r="AU275" i="2"/>
  <c r="AV275" i="2"/>
  <c r="AW275" i="2"/>
  <c r="AX275" i="2"/>
  <c r="AY275" i="2"/>
  <c r="AZ275" i="2"/>
  <c r="BA275" i="2"/>
  <c r="BB275" i="2"/>
  <c r="BC275" i="2"/>
  <c r="BD275" i="2"/>
  <c r="BE275" i="2"/>
  <c r="CO275" i="2"/>
  <c r="E276" i="2"/>
  <c r="CM276" i="2" s="1"/>
  <c r="F276" i="2"/>
  <c r="G276" i="2"/>
  <c r="H276" i="2"/>
  <c r="I276" i="2"/>
  <c r="J276" i="2"/>
  <c r="K276" i="2"/>
  <c r="L276" i="2"/>
  <c r="M276" i="2"/>
  <c r="N276" i="2"/>
  <c r="O276" i="2"/>
  <c r="P276" i="2"/>
  <c r="Q276" i="2"/>
  <c r="R276" i="2"/>
  <c r="S276" i="2"/>
  <c r="T276" i="2"/>
  <c r="U276" i="2"/>
  <c r="V276" i="2"/>
  <c r="W276" i="2"/>
  <c r="Y276" i="2"/>
  <c r="Z276" i="2"/>
  <c r="AA276" i="2"/>
  <c r="AB276" i="2"/>
  <c r="AC276" i="2"/>
  <c r="AD276" i="2"/>
  <c r="AE276" i="2"/>
  <c r="AF276" i="2"/>
  <c r="AG276" i="2"/>
  <c r="AH276" i="2"/>
  <c r="AI276" i="2"/>
  <c r="AJ276" i="2"/>
  <c r="AK276" i="2"/>
  <c r="AL276" i="2"/>
  <c r="AM276" i="2"/>
  <c r="AN276" i="2"/>
  <c r="AO276" i="2"/>
  <c r="AP276" i="2"/>
  <c r="AQ276" i="2"/>
  <c r="AR276" i="2"/>
  <c r="AS276" i="2"/>
  <c r="AT276" i="2"/>
  <c r="AU276" i="2"/>
  <c r="AV276" i="2"/>
  <c r="AW276" i="2"/>
  <c r="AX276" i="2"/>
  <c r="AY276" i="2"/>
  <c r="AZ276" i="2"/>
  <c r="BA276" i="2"/>
  <c r="BB276" i="2"/>
  <c r="BC276" i="2"/>
  <c r="BD276" i="2"/>
  <c r="BE276" i="2"/>
  <c r="CO276" i="2"/>
  <c r="E277" i="2"/>
  <c r="CM277" i="2" s="1"/>
  <c r="F277" i="2"/>
  <c r="G277" i="2"/>
  <c r="H277" i="2"/>
  <c r="I277" i="2"/>
  <c r="J277" i="2"/>
  <c r="K277" i="2"/>
  <c r="L277" i="2"/>
  <c r="M277" i="2"/>
  <c r="N277" i="2"/>
  <c r="O277" i="2"/>
  <c r="P277" i="2"/>
  <c r="Q277" i="2"/>
  <c r="R277" i="2"/>
  <c r="S277" i="2"/>
  <c r="T277" i="2"/>
  <c r="U277" i="2"/>
  <c r="V277" i="2"/>
  <c r="W277" i="2"/>
  <c r="Y277" i="2"/>
  <c r="Z277" i="2"/>
  <c r="AA277" i="2"/>
  <c r="AB277" i="2"/>
  <c r="AC277" i="2"/>
  <c r="AD277" i="2"/>
  <c r="AE277" i="2"/>
  <c r="AF277" i="2"/>
  <c r="AG277" i="2"/>
  <c r="AH277" i="2"/>
  <c r="AI277" i="2"/>
  <c r="AJ277" i="2"/>
  <c r="AK277" i="2"/>
  <c r="AL277" i="2"/>
  <c r="AM277" i="2"/>
  <c r="AN277" i="2"/>
  <c r="AO277" i="2"/>
  <c r="AP277" i="2"/>
  <c r="AQ277" i="2"/>
  <c r="AR277" i="2"/>
  <c r="AS277" i="2"/>
  <c r="AT277" i="2"/>
  <c r="AU277" i="2"/>
  <c r="AV277" i="2"/>
  <c r="AW277" i="2"/>
  <c r="AX277" i="2"/>
  <c r="AY277" i="2"/>
  <c r="AZ277" i="2"/>
  <c r="BA277" i="2"/>
  <c r="BB277" i="2"/>
  <c r="BC277" i="2"/>
  <c r="BD277" i="2"/>
  <c r="BE277" i="2"/>
  <c r="CO277" i="2"/>
  <c r="E278" i="2"/>
  <c r="CM278" i="2" s="1"/>
  <c r="F278" i="2"/>
  <c r="G278" i="2"/>
  <c r="H278" i="2"/>
  <c r="I278" i="2"/>
  <c r="J278" i="2"/>
  <c r="K278" i="2"/>
  <c r="L278" i="2"/>
  <c r="M278" i="2"/>
  <c r="N278" i="2"/>
  <c r="O278" i="2"/>
  <c r="P278" i="2"/>
  <c r="Q278" i="2"/>
  <c r="R278" i="2"/>
  <c r="S278" i="2"/>
  <c r="T278" i="2"/>
  <c r="U278" i="2"/>
  <c r="V278" i="2"/>
  <c r="W278" i="2"/>
  <c r="Y278" i="2"/>
  <c r="Z278" i="2"/>
  <c r="AA278" i="2"/>
  <c r="AB278" i="2"/>
  <c r="AC278" i="2"/>
  <c r="AD278" i="2"/>
  <c r="AE278" i="2"/>
  <c r="AF278" i="2"/>
  <c r="AG278" i="2"/>
  <c r="AH278" i="2"/>
  <c r="AI278" i="2"/>
  <c r="AJ278" i="2"/>
  <c r="AK278" i="2"/>
  <c r="AL278" i="2"/>
  <c r="AM278" i="2"/>
  <c r="AN278" i="2"/>
  <c r="AO278" i="2"/>
  <c r="AP278" i="2"/>
  <c r="AQ278" i="2"/>
  <c r="AR278" i="2"/>
  <c r="AS278" i="2"/>
  <c r="AT278" i="2"/>
  <c r="AU278" i="2"/>
  <c r="AV278" i="2"/>
  <c r="AW278" i="2"/>
  <c r="AX278" i="2"/>
  <c r="AY278" i="2"/>
  <c r="AZ278" i="2"/>
  <c r="BA278" i="2"/>
  <c r="BB278" i="2"/>
  <c r="BC278" i="2"/>
  <c r="BD278" i="2"/>
  <c r="BE278" i="2"/>
  <c r="CO278" i="2"/>
  <c r="E279" i="2"/>
  <c r="CM279" i="2" s="1"/>
  <c r="F279" i="2"/>
  <c r="G279" i="2"/>
  <c r="H279" i="2"/>
  <c r="I279" i="2"/>
  <c r="J279" i="2"/>
  <c r="K279" i="2"/>
  <c r="L279" i="2"/>
  <c r="M279" i="2"/>
  <c r="N279" i="2"/>
  <c r="O279" i="2"/>
  <c r="P279" i="2"/>
  <c r="Q279" i="2"/>
  <c r="R279" i="2"/>
  <c r="S279" i="2"/>
  <c r="T279" i="2"/>
  <c r="U279" i="2"/>
  <c r="V279" i="2"/>
  <c r="W279" i="2"/>
  <c r="Y279" i="2"/>
  <c r="Z279" i="2"/>
  <c r="AA279" i="2"/>
  <c r="AB279" i="2"/>
  <c r="AC279" i="2"/>
  <c r="AD279" i="2"/>
  <c r="AE279" i="2"/>
  <c r="AF279" i="2"/>
  <c r="AG279" i="2"/>
  <c r="AH279" i="2"/>
  <c r="AI279" i="2"/>
  <c r="AJ279" i="2"/>
  <c r="AK279" i="2"/>
  <c r="AL279" i="2"/>
  <c r="AM279" i="2"/>
  <c r="AN279" i="2"/>
  <c r="AO279" i="2"/>
  <c r="AP279" i="2"/>
  <c r="AQ279" i="2"/>
  <c r="AR279" i="2"/>
  <c r="AS279" i="2"/>
  <c r="AT279" i="2"/>
  <c r="AU279" i="2"/>
  <c r="AV279" i="2"/>
  <c r="AW279" i="2"/>
  <c r="AX279" i="2"/>
  <c r="AY279" i="2"/>
  <c r="AZ279" i="2"/>
  <c r="BA279" i="2"/>
  <c r="BB279" i="2"/>
  <c r="BC279" i="2"/>
  <c r="BD279" i="2"/>
  <c r="BE279" i="2"/>
  <c r="CO279" i="2"/>
  <c r="E280" i="2"/>
  <c r="CM280" i="2" s="1"/>
  <c r="F280" i="2"/>
  <c r="G280" i="2"/>
  <c r="H280" i="2"/>
  <c r="I280" i="2"/>
  <c r="J280" i="2"/>
  <c r="K280" i="2"/>
  <c r="L280" i="2"/>
  <c r="M280" i="2"/>
  <c r="N280" i="2"/>
  <c r="O280" i="2"/>
  <c r="P280" i="2"/>
  <c r="Q280" i="2"/>
  <c r="R280" i="2"/>
  <c r="S280" i="2"/>
  <c r="T280" i="2"/>
  <c r="U280" i="2"/>
  <c r="V280" i="2"/>
  <c r="W280" i="2"/>
  <c r="Y280" i="2"/>
  <c r="Z280" i="2"/>
  <c r="AA280" i="2"/>
  <c r="AB280" i="2"/>
  <c r="AC280" i="2"/>
  <c r="AD280" i="2"/>
  <c r="AE280" i="2"/>
  <c r="AF280" i="2"/>
  <c r="AG280" i="2"/>
  <c r="AH280" i="2"/>
  <c r="AI280" i="2"/>
  <c r="AJ280" i="2"/>
  <c r="AK280" i="2"/>
  <c r="AL280" i="2"/>
  <c r="AM280" i="2"/>
  <c r="AN280" i="2"/>
  <c r="AO280" i="2"/>
  <c r="AP280" i="2"/>
  <c r="AQ280" i="2"/>
  <c r="AR280" i="2"/>
  <c r="AS280" i="2"/>
  <c r="AT280" i="2"/>
  <c r="AU280" i="2"/>
  <c r="AV280" i="2"/>
  <c r="AW280" i="2"/>
  <c r="AX280" i="2"/>
  <c r="AY280" i="2"/>
  <c r="AZ280" i="2"/>
  <c r="BA280" i="2"/>
  <c r="BB280" i="2"/>
  <c r="BC280" i="2"/>
  <c r="BD280" i="2"/>
  <c r="BE280" i="2"/>
  <c r="CO280" i="2"/>
  <c r="E281" i="2"/>
  <c r="CM281" i="2" s="1"/>
  <c r="F281" i="2"/>
  <c r="G281" i="2"/>
  <c r="H281" i="2"/>
  <c r="I281" i="2"/>
  <c r="J281" i="2"/>
  <c r="K281" i="2"/>
  <c r="L281" i="2"/>
  <c r="M281" i="2"/>
  <c r="N281" i="2"/>
  <c r="O281" i="2"/>
  <c r="P281" i="2"/>
  <c r="Q281" i="2"/>
  <c r="R281" i="2"/>
  <c r="S281" i="2"/>
  <c r="T281" i="2"/>
  <c r="U281" i="2"/>
  <c r="V281" i="2"/>
  <c r="W281" i="2"/>
  <c r="Y281" i="2"/>
  <c r="Z281" i="2"/>
  <c r="AA281" i="2"/>
  <c r="AB281" i="2"/>
  <c r="AC281" i="2"/>
  <c r="AD281" i="2"/>
  <c r="AE281" i="2"/>
  <c r="AF281" i="2"/>
  <c r="AG281" i="2"/>
  <c r="AH281" i="2"/>
  <c r="AI281" i="2"/>
  <c r="AJ281" i="2"/>
  <c r="AK281" i="2"/>
  <c r="AL281" i="2"/>
  <c r="AM281" i="2"/>
  <c r="AN281" i="2"/>
  <c r="AO281" i="2"/>
  <c r="AP281" i="2"/>
  <c r="AQ281" i="2"/>
  <c r="AR281" i="2"/>
  <c r="AS281" i="2"/>
  <c r="AT281" i="2"/>
  <c r="AU281" i="2"/>
  <c r="AV281" i="2"/>
  <c r="AW281" i="2"/>
  <c r="AX281" i="2"/>
  <c r="AY281" i="2"/>
  <c r="AZ281" i="2"/>
  <c r="BA281" i="2"/>
  <c r="BB281" i="2"/>
  <c r="BC281" i="2"/>
  <c r="BD281" i="2"/>
  <c r="BE281" i="2"/>
  <c r="CO281" i="2"/>
  <c r="E282" i="2"/>
  <c r="CM282" i="2" s="1"/>
  <c r="F282" i="2"/>
  <c r="G282" i="2"/>
  <c r="H282" i="2"/>
  <c r="I282" i="2"/>
  <c r="J282" i="2"/>
  <c r="K282" i="2"/>
  <c r="L282" i="2"/>
  <c r="M282" i="2"/>
  <c r="N282" i="2"/>
  <c r="O282" i="2"/>
  <c r="P282" i="2"/>
  <c r="Q282" i="2"/>
  <c r="R282" i="2"/>
  <c r="S282" i="2"/>
  <c r="T282" i="2"/>
  <c r="U282" i="2"/>
  <c r="V282" i="2"/>
  <c r="W282" i="2"/>
  <c r="Y282" i="2"/>
  <c r="Z282" i="2"/>
  <c r="AA282" i="2"/>
  <c r="AB282" i="2"/>
  <c r="AC282" i="2"/>
  <c r="AD282" i="2"/>
  <c r="AE282" i="2"/>
  <c r="AF282" i="2"/>
  <c r="AG282" i="2"/>
  <c r="AH282" i="2"/>
  <c r="AI282" i="2"/>
  <c r="AJ282" i="2"/>
  <c r="AK282" i="2"/>
  <c r="AL282" i="2"/>
  <c r="AM282" i="2"/>
  <c r="AN282" i="2"/>
  <c r="AO282" i="2"/>
  <c r="AP282" i="2"/>
  <c r="AQ282" i="2"/>
  <c r="AR282" i="2"/>
  <c r="AS282" i="2"/>
  <c r="AT282" i="2"/>
  <c r="AU282" i="2"/>
  <c r="AV282" i="2"/>
  <c r="AW282" i="2"/>
  <c r="AX282" i="2"/>
  <c r="AY282" i="2"/>
  <c r="AZ282" i="2"/>
  <c r="BA282" i="2"/>
  <c r="BB282" i="2"/>
  <c r="BC282" i="2"/>
  <c r="BD282" i="2"/>
  <c r="BE282" i="2"/>
  <c r="CO282" i="2"/>
  <c r="E283" i="2"/>
  <c r="CM283" i="2" s="1"/>
  <c r="F283" i="2"/>
  <c r="G283" i="2"/>
  <c r="H283" i="2"/>
  <c r="I283" i="2"/>
  <c r="J283" i="2"/>
  <c r="K283" i="2"/>
  <c r="L283" i="2"/>
  <c r="M283" i="2"/>
  <c r="N283" i="2"/>
  <c r="O283" i="2"/>
  <c r="P283" i="2"/>
  <c r="Q283" i="2"/>
  <c r="R283" i="2"/>
  <c r="S283" i="2"/>
  <c r="T283" i="2"/>
  <c r="U283" i="2"/>
  <c r="V283" i="2"/>
  <c r="W283" i="2"/>
  <c r="Y283" i="2"/>
  <c r="Z283" i="2"/>
  <c r="AA283" i="2"/>
  <c r="AB283" i="2"/>
  <c r="AC283" i="2"/>
  <c r="AD283" i="2"/>
  <c r="AE283" i="2"/>
  <c r="AF283" i="2"/>
  <c r="AG283" i="2"/>
  <c r="AH283" i="2"/>
  <c r="AI283" i="2"/>
  <c r="AJ283" i="2"/>
  <c r="AK283" i="2"/>
  <c r="AL283" i="2"/>
  <c r="AM283" i="2"/>
  <c r="AN283" i="2"/>
  <c r="AO283" i="2"/>
  <c r="AP283" i="2"/>
  <c r="AQ283" i="2"/>
  <c r="AR283" i="2"/>
  <c r="AS283" i="2"/>
  <c r="AT283" i="2"/>
  <c r="AU283" i="2"/>
  <c r="AV283" i="2"/>
  <c r="AW283" i="2"/>
  <c r="AX283" i="2"/>
  <c r="AY283" i="2"/>
  <c r="AZ283" i="2"/>
  <c r="BA283" i="2"/>
  <c r="BB283" i="2"/>
  <c r="BC283" i="2"/>
  <c r="BD283" i="2"/>
  <c r="BE283" i="2"/>
  <c r="CO283" i="2"/>
  <c r="E284" i="2"/>
  <c r="CM284" i="2" s="1"/>
  <c r="F284" i="2"/>
  <c r="G284" i="2"/>
  <c r="H284" i="2"/>
  <c r="I284" i="2"/>
  <c r="J284" i="2"/>
  <c r="K284" i="2"/>
  <c r="L284" i="2"/>
  <c r="M284" i="2"/>
  <c r="N284" i="2"/>
  <c r="O284" i="2"/>
  <c r="P284" i="2"/>
  <c r="Q284" i="2"/>
  <c r="R284" i="2"/>
  <c r="S284" i="2"/>
  <c r="T284" i="2"/>
  <c r="U284" i="2"/>
  <c r="V284" i="2"/>
  <c r="W284" i="2"/>
  <c r="Y284" i="2"/>
  <c r="Z284" i="2"/>
  <c r="AA284" i="2"/>
  <c r="AB284" i="2"/>
  <c r="AC284" i="2"/>
  <c r="AD284" i="2"/>
  <c r="AE284" i="2"/>
  <c r="AF284" i="2"/>
  <c r="AG284" i="2"/>
  <c r="AH284" i="2"/>
  <c r="AI284" i="2"/>
  <c r="AJ284" i="2"/>
  <c r="AK284" i="2"/>
  <c r="AL284" i="2"/>
  <c r="AM284" i="2"/>
  <c r="AN284" i="2"/>
  <c r="AO284" i="2"/>
  <c r="AP284" i="2"/>
  <c r="AQ284" i="2"/>
  <c r="AR284" i="2"/>
  <c r="AS284" i="2"/>
  <c r="AT284" i="2"/>
  <c r="AU284" i="2"/>
  <c r="AV284" i="2"/>
  <c r="AW284" i="2"/>
  <c r="AX284" i="2"/>
  <c r="AY284" i="2"/>
  <c r="AZ284" i="2"/>
  <c r="BA284" i="2"/>
  <c r="BB284" i="2"/>
  <c r="BC284" i="2"/>
  <c r="BD284" i="2"/>
  <c r="BE284" i="2"/>
  <c r="CO284" i="2"/>
  <c r="E285" i="2"/>
  <c r="CM285" i="2" s="1"/>
  <c r="F285" i="2"/>
  <c r="G285" i="2"/>
  <c r="H285" i="2"/>
  <c r="I285" i="2"/>
  <c r="J285" i="2"/>
  <c r="K285" i="2"/>
  <c r="L285" i="2"/>
  <c r="M285" i="2"/>
  <c r="N285" i="2"/>
  <c r="O285" i="2"/>
  <c r="P285" i="2"/>
  <c r="Q285" i="2"/>
  <c r="R285" i="2"/>
  <c r="S285" i="2"/>
  <c r="T285" i="2"/>
  <c r="U285" i="2"/>
  <c r="V285" i="2"/>
  <c r="W285" i="2"/>
  <c r="Y285" i="2"/>
  <c r="Z285" i="2"/>
  <c r="AA285" i="2"/>
  <c r="AB285" i="2"/>
  <c r="AC285" i="2"/>
  <c r="AD285" i="2"/>
  <c r="AE285" i="2"/>
  <c r="AF285" i="2"/>
  <c r="AG285" i="2"/>
  <c r="AH285" i="2"/>
  <c r="AI285" i="2"/>
  <c r="AJ285" i="2"/>
  <c r="AK285" i="2"/>
  <c r="AL285" i="2"/>
  <c r="AM285" i="2"/>
  <c r="AN285" i="2"/>
  <c r="AO285" i="2"/>
  <c r="AP285" i="2"/>
  <c r="AQ285" i="2"/>
  <c r="AR285" i="2"/>
  <c r="AS285" i="2"/>
  <c r="AT285" i="2"/>
  <c r="AU285" i="2"/>
  <c r="AV285" i="2"/>
  <c r="AW285" i="2"/>
  <c r="AX285" i="2"/>
  <c r="AY285" i="2"/>
  <c r="AZ285" i="2"/>
  <c r="BA285" i="2"/>
  <c r="BB285" i="2"/>
  <c r="BC285" i="2"/>
  <c r="BD285" i="2"/>
  <c r="BE285" i="2"/>
  <c r="CO285" i="2"/>
  <c r="E286" i="2"/>
  <c r="CM286" i="2" s="1"/>
  <c r="F286" i="2"/>
  <c r="G286" i="2"/>
  <c r="H286" i="2"/>
  <c r="I286" i="2"/>
  <c r="J286" i="2"/>
  <c r="K286" i="2"/>
  <c r="L286" i="2"/>
  <c r="M286" i="2"/>
  <c r="N286" i="2"/>
  <c r="O286" i="2"/>
  <c r="P286" i="2"/>
  <c r="Q286" i="2"/>
  <c r="R286" i="2"/>
  <c r="S286" i="2"/>
  <c r="T286" i="2"/>
  <c r="U286" i="2"/>
  <c r="V286" i="2"/>
  <c r="W286" i="2"/>
  <c r="Y286" i="2"/>
  <c r="Z286" i="2"/>
  <c r="AA286" i="2"/>
  <c r="AB286" i="2"/>
  <c r="AC286" i="2"/>
  <c r="AD286" i="2"/>
  <c r="AE286" i="2"/>
  <c r="AF286" i="2"/>
  <c r="AG286" i="2"/>
  <c r="AH286" i="2"/>
  <c r="AI286" i="2"/>
  <c r="AJ286" i="2"/>
  <c r="AK286" i="2"/>
  <c r="AL286" i="2"/>
  <c r="AM286" i="2"/>
  <c r="AN286" i="2"/>
  <c r="AO286" i="2"/>
  <c r="AP286" i="2"/>
  <c r="AQ286" i="2"/>
  <c r="AR286" i="2"/>
  <c r="AS286" i="2"/>
  <c r="AT286" i="2"/>
  <c r="AU286" i="2"/>
  <c r="AV286" i="2"/>
  <c r="AW286" i="2"/>
  <c r="AX286" i="2"/>
  <c r="AY286" i="2"/>
  <c r="AZ286" i="2"/>
  <c r="BA286" i="2"/>
  <c r="BB286" i="2"/>
  <c r="BC286" i="2"/>
  <c r="BD286" i="2"/>
  <c r="BE286" i="2"/>
  <c r="CO286" i="2"/>
  <c r="E287" i="2"/>
  <c r="CM287" i="2" s="1"/>
  <c r="F287" i="2"/>
  <c r="G287" i="2"/>
  <c r="H287" i="2"/>
  <c r="I287" i="2"/>
  <c r="J287" i="2"/>
  <c r="K287" i="2"/>
  <c r="L287" i="2"/>
  <c r="M287" i="2"/>
  <c r="N287" i="2"/>
  <c r="O287" i="2"/>
  <c r="P287" i="2"/>
  <c r="Q287" i="2"/>
  <c r="R287" i="2"/>
  <c r="S287" i="2"/>
  <c r="T287" i="2"/>
  <c r="U287" i="2"/>
  <c r="V287" i="2"/>
  <c r="W287" i="2"/>
  <c r="Y287" i="2"/>
  <c r="Z287" i="2"/>
  <c r="AA287" i="2"/>
  <c r="AB287" i="2"/>
  <c r="AC287" i="2"/>
  <c r="AD287" i="2"/>
  <c r="AE287" i="2"/>
  <c r="AF287" i="2"/>
  <c r="AG287" i="2"/>
  <c r="AH287" i="2"/>
  <c r="AI287" i="2"/>
  <c r="AJ287" i="2"/>
  <c r="AK287" i="2"/>
  <c r="AL287" i="2"/>
  <c r="AM287" i="2"/>
  <c r="AN287" i="2"/>
  <c r="AO287" i="2"/>
  <c r="AP287" i="2"/>
  <c r="AQ287" i="2"/>
  <c r="AR287" i="2"/>
  <c r="AS287" i="2"/>
  <c r="AT287" i="2"/>
  <c r="AU287" i="2"/>
  <c r="AV287" i="2"/>
  <c r="AW287" i="2"/>
  <c r="AX287" i="2"/>
  <c r="AY287" i="2"/>
  <c r="AZ287" i="2"/>
  <c r="BA287" i="2"/>
  <c r="BB287" i="2"/>
  <c r="BC287" i="2"/>
  <c r="BD287" i="2"/>
  <c r="BE287" i="2"/>
  <c r="CO287" i="2"/>
  <c r="E288" i="2"/>
  <c r="CM288" i="2" s="1"/>
  <c r="F288" i="2"/>
  <c r="G288" i="2"/>
  <c r="H288" i="2"/>
  <c r="I288" i="2"/>
  <c r="J288" i="2"/>
  <c r="K288" i="2"/>
  <c r="L288" i="2"/>
  <c r="M288" i="2"/>
  <c r="N288" i="2"/>
  <c r="O288" i="2"/>
  <c r="P288" i="2"/>
  <c r="Q288" i="2"/>
  <c r="R288" i="2"/>
  <c r="S288" i="2"/>
  <c r="T288" i="2"/>
  <c r="U288" i="2"/>
  <c r="V288" i="2"/>
  <c r="W288" i="2"/>
  <c r="Y288" i="2"/>
  <c r="Z288" i="2"/>
  <c r="AA288" i="2"/>
  <c r="AB288" i="2"/>
  <c r="AC288" i="2"/>
  <c r="AD288" i="2"/>
  <c r="AE288" i="2"/>
  <c r="AF288" i="2"/>
  <c r="AG288" i="2"/>
  <c r="AH288" i="2"/>
  <c r="AI288" i="2"/>
  <c r="AJ288" i="2"/>
  <c r="AK288" i="2"/>
  <c r="AL288" i="2"/>
  <c r="AM288" i="2"/>
  <c r="AN288" i="2"/>
  <c r="AO288" i="2"/>
  <c r="AP288" i="2"/>
  <c r="AQ288" i="2"/>
  <c r="AR288" i="2"/>
  <c r="AS288" i="2"/>
  <c r="AT288" i="2"/>
  <c r="AU288" i="2"/>
  <c r="AV288" i="2"/>
  <c r="AW288" i="2"/>
  <c r="AX288" i="2"/>
  <c r="AY288" i="2"/>
  <c r="AZ288" i="2"/>
  <c r="BA288" i="2"/>
  <c r="BB288" i="2"/>
  <c r="BC288" i="2"/>
  <c r="BD288" i="2"/>
  <c r="BE288" i="2"/>
  <c r="CO288" i="2"/>
  <c r="E289" i="2"/>
  <c r="CM289" i="2" s="1"/>
  <c r="F289" i="2"/>
  <c r="G289" i="2"/>
  <c r="H289" i="2"/>
  <c r="I289" i="2"/>
  <c r="J289" i="2"/>
  <c r="K289" i="2"/>
  <c r="L289" i="2"/>
  <c r="M289" i="2"/>
  <c r="N289" i="2"/>
  <c r="O289" i="2"/>
  <c r="P289" i="2"/>
  <c r="Q289" i="2"/>
  <c r="R289" i="2"/>
  <c r="S289" i="2"/>
  <c r="T289" i="2"/>
  <c r="U289" i="2"/>
  <c r="V289" i="2"/>
  <c r="W289" i="2"/>
  <c r="Y289" i="2"/>
  <c r="Z289" i="2"/>
  <c r="AA289" i="2"/>
  <c r="AB289" i="2"/>
  <c r="AC289" i="2"/>
  <c r="AD289" i="2"/>
  <c r="AE289" i="2"/>
  <c r="AF289" i="2"/>
  <c r="AG289" i="2"/>
  <c r="AH289" i="2"/>
  <c r="AI289" i="2"/>
  <c r="AJ289" i="2"/>
  <c r="AK289" i="2"/>
  <c r="AL289" i="2"/>
  <c r="AM289" i="2"/>
  <c r="AN289" i="2"/>
  <c r="AO289" i="2"/>
  <c r="AP289" i="2"/>
  <c r="AQ289" i="2"/>
  <c r="AR289" i="2"/>
  <c r="AS289" i="2"/>
  <c r="AT289" i="2"/>
  <c r="AU289" i="2"/>
  <c r="AV289" i="2"/>
  <c r="AW289" i="2"/>
  <c r="AX289" i="2"/>
  <c r="AY289" i="2"/>
  <c r="AZ289" i="2"/>
  <c r="BA289" i="2"/>
  <c r="BB289" i="2"/>
  <c r="BC289" i="2"/>
  <c r="BD289" i="2"/>
  <c r="BE289" i="2"/>
  <c r="CO289" i="2"/>
  <c r="E290" i="2"/>
  <c r="CM290" i="2" s="1"/>
  <c r="F290" i="2"/>
  <c r="G290" i="2"/>
  <c r="H290" i="2"/>
  <c r="I290" i="2"/>
  <c r="J290" i="2"/>
  <c r="K290" i="2"/>
  <c r="L290" i="2"/>
  <c r="M290" i="2"/>
  <c r="N290" i="2"/>
  <c r="O290" i="2"/>
  <c r="P290" i="2"/>
  <c r="Q290" i="2"/>
  <c r="R290" i="2"/>
  <c r="S290" i="2"/>
  <c r="T290" i="2"/>
  <c r="U290" i="2"/>
  <c r="V290" i="2"/>
  <c r="W290" i="2"/>
  <c r="Y290" i="2"/>
  <c r="Z290" i="2"/>
  <c r="AA290" i="2"/>
  <c r="AB290" i="2"/>
  <c r="AC290" i="2"/>
  <c r="AD290" i="2"/>
  <c r="AE290" i="2"/>
  <c r="AF290" i="2"/>
  <c r="AG290" i="2"/>
  <c r="AH290" i="2"/>
  <c r="AI290" i="2"/>
  <c r="AJ290" i="2"/>
  <c r="AK290" i="2"/>
  <c r="AL290" i="2"/>
  <c r="AM290" i="2"/>
  <c r="AN290" i="2"/>
  <c r="AO290" i="2"/>
  <c r="AP290" i="2"/>
  <c r="AQ290" i="2"/>
  <c r="AR290" i="2"/>
  <c r="AS290" i="2"/>
  <c r="AT290" i="2"/>
  <c r="AU290" i="2"/>
  <c r="AV290" i="2"/>
  <c r="AW290" i="2"/>
  <c r="AX290" i="2"/>
  <c r="AY290" i="2"/>
  <c r="AZ290" i="2"/>
  <c r="BA290" i="2"/>
  <c r="BB290" i="2"/>
  <c r="BC290" i="2"/>
  <c r="BD290" i="2"/>
  <c r="BE290" i="2"/>
  <c r="CO290" i="2"/>
  <c r="E291" i="2"/>
  <c r="CM291" i="2" s="1"/>
  <c r="F291" i="2"/>
  <c r="G291" i="2"/>
  <c r="H291" i="2"/>
  <c r="I291" i="2"/>
  <c r="J291" i="2"/>
  <c r="K291" i="2"/>
  <c r="L291" i="2"/>
  <c r="M291" i="2"/>
  <c r="N291" i="2"/>
  <c r="O291" i="2"/>
  <c r="P291" i="2"/>
  <c r="Q291" i="2"/>
  <c r="R291" i="2"/>
  <c r="S291" i="2"/>
  <c r="T291" i="2"/>
  <c r="U291" i="2"/>
  <c r="V291" i="2"/>
  <c r="W291" i="2"/>
  <c r="Y291" i="2"/>
  <c r="Z291" i="2"/>
  <c r="AA291" i="2"/>
  <c r="AB291" i="2"/>
  <c r="AC291" i="2"/>
  <c r="AD291" i="2"/>
  <c r="AE291" i="2"/>
  <c r="AF291" i="2"/>
  <c r="AG291" i="2"/>
  <c r="AH291" i="2"/>
  <c r="AI291" i="2"/>
  <c r="AJ291" i="2"/>
  <c r="AK291" i="2"/>
  <c r="AL291" i="2"/>
  <c r="AM291" i="2"/>
  <c r="AN291" i="2"/>
  <c r="AO291" i="2"/>
  <c r="AP291" i="2"/>
  <c r="AQ291" i="2"/>
  <c r="AR291" i="2"/>
  <c r="AS291" i="2"/>
  <c r="AT291" i="2"/>
  <c r="AU291" i="2"/>
  <c r="AV291" i="2"/>
  <c r="AW291" i="2"/>
  <c r="AX291" i="2"/>
  <c r="AY291" i="2"/>
  <c r="AZ291" i="2"/>
  <c r="BA291" i="2"/>
  <c r="BB291" i="2"/>
  <c r="BC291" i="2"/>
  <c r="BD291" i="2"/>
  <c r="BE291" i="2"/>
  <c r="CO291" i="2"/>
  <c r="E292" i="2"/>
  <c r="CM292" i="2" s="1"/>
  <c r="F292" i="2"/>
  <c r="G292" i="2"/>
  <c r="H292" i="2"/>
  <c r="I292" i="2"/>
  <c r="J292" i="2"/>
  <c r="K292" i="2"/>
  <c r="L292" i="2"/>
  <c r="M292" i="2"/>
  <c r="N292" i="2"/>
  <c r="O292" i="2"/>
  <c r="P292" i="2"/>
  <c r="Q292" i="2"/>
  <c r="R292" i="2"/>
  <c r="S292" i="2"/>
  <c r="T292" i="2"/>
  <c r="U292" i="2"/>
  <c r="V292" i="2"/>
  <c r="W292" i="2"/>
  <c r="Y292" i="2"/>
  <c r="Z292" i="2"/>
  <c r="AA292" i="2"/>
  <c r="AB292" i="2"/>
  <c r="AC292" i="2"/>
  <c r="AD292" i="2"/>
  <c r="AE292" i="2"/>
  <c r="AF292" i="2"/>
  <c r="AG292" i="2"/>
  <c r="AH292" i="2"/>
  <c r="AI292" i="2"/>
  <c r="AJ292" i="2"/>
  <c r="AK292" i="2"/>
  <c r="AL292" i="2"/>
  <c r="AM292" i="2"/>
  <c r="AN292" i="2"/>
  <c r="AO292" i="2"/>
  <c r="AP292" i="2"/>
  <c r="AQ292" i="2"/>
  <c r="AR292" i="2"/>
  <c r="AS292" i="2"/>
  <c r="AT292" i="2"/>
  <c r="AU292" i="2"/>
  <c r="AV292" i="2"/>
  <c r="AW292" i="2"/>
  <c r="AX292" i="2"/>
  <c r="AY292" i="2"/>
  <c r="AZ292" i="2"/>
  <c r="BA292" i="2"/>
  <c r="BB292" i="2"/>
  <c r="BC292" i="2"/>
  <c r="BD292" i="2"/>
  <c r="BE292" i="2"/>
  <c r="CO292" i="2"/>
  <c r="E293" i="2"/>
  <c r="CM293" i="2" s="1"/>
  <c r="F293" i="2"/>
  <c r="G293" i="2"/>
  <c r="H293" i="2"/>
  <c r="I293" i="2"/>
  <c r="J293" i="2"/>
  <c r="K293" i="2"/>
  <c r="L293" i="2"/>
  <c r="M293" i="2"/>
  <c r="N293" i="2"/>
  <c r="O293" i="2"/>
  <c r="P293" i="2"/>
  <c r="Q293" i="2"/>
  <c r="R293" i="2"/>
  <c r="S293" i="2"/>
  <c r="T293" i="2"/>
  <c r="U293" i="2"/>
  <c r="V293" i="2"/>
  <c r="W293" i="2"/>
  <c r="Y293" i="2"/>
  <c r="Z293" i="2"/>
  <c r="AA293" i="2"/>
  <c r="AB293" i="2"/>
  <c r="AC293" i="2"/>
  <c r="AD293" i="2"/>
  <c r="AE293" i="2"/>
  <c r="AF293" i="2"/>
  <c r="AG293" i="2"/>
  <c r="AH293" i="2"/>
  <c r="AI293" i="2"/>
  <c r="AJ293" i="2"/>
  <c r="AK293" i="2"/>
  <c r="AL293" i="2"/>
  <c r="AM293" i="2"/>
  <c r="AN293" i="2"/>
  <c r="AO293" i="2"/>
  <c r="AP293" i="2"/>
  <c r="AQ293" i="2"/>
  <c r="AR293" i="2"/>
  <c r="AS293" i="2"/>
  <c r="AT293" i="2"/>
  <c r="AU293" i="2"/>
  <c r="AV293" i="2"/>
  <c r="AW293" i="2"/>
  <c r="AX293" i="2"/>
  <c r="AY293" i="2"/>
  <c r="AZ293" i="2"/>
  <c r="BA293" i="2"/>
  <c r="BB293" i="2"/>
  <c r="BC293" i="2"/>
  <c r="BD293" i="2"/>
  <c r="BE293" i="2"/>
  <c r="CO293" i="2"/>
  <c r="E294" i="2"/>
  <c r="CM294" i="2" s="1"/>
  <c r="F294" i="2"/>
  <c r="G294" i="2"/>
  <c r="H294" i="2"/>
  <c r="I294" i="2"/>
  <c r="J294" i="2"/>
  <c r="K294" i="2"/>
  <c r="L294" i="2"/>
  <c r="M294" i="2"/>
  <c r="N294" i="2"/>
  <c r="O294" i="2"/>
  <c r="P294" i="2"/>
  <c r="Q294" i="2"/>
  <c r="R294" i="2"/>
  <c r="S294" i="2"/>
  <c r="T294" i="2"/>
  <c r="U294" i="2"/>
  <c r="V294" i="2"/>
  <c r="W294" i="2"/>
  <c r="Y294" i="2"/>
  <c r="Z294" i="2"/>
  <c r="AA294" i="2"/>
  <c r="AB294" i="2"/>
  <c r="AC294" i="2"/>
  <c r="AD294" i="2"/>
  <c r="AE294" i="2"/>
  <c r="AF294" i="2"/>
  <c r="AG294" i="2"/>
  <c r="AH294" i="2"/>
  <c r="AI294" i="2"/>
  <c r="AJ294" i="2"/>
  <c r="AK294" i="2"/>
  <c r="AL294" i="2"/>
  <c r="AM294" i="2"/>
  <c r="AN294" i="2"/>
  <c r="AO294" i="2"/>
  <c r="AP294" i="2"/>
  <c r="AQ294" i="2"/>
  <c r="AR294" i="2"/>
  <c r="AS294" i="2"/>
  <c r="AT294" i="2"/>
  <c r="AU294" i="2"/>
  <c r="AV294" i="2"/>
  <c r="AW294" i="2"/>
  <c r="AX294" i="2"/>
  <c r="AY294" i="2"/>
  <c r="AZ294" i="2"/>
  <c r="BA294" i="2"/>
  <c r="BB294" i="2"/>
  <c r="BC294" i="2"/>
  <c r="BD294" i="2"/>
  <c r="BE294" i="2"/>
  <c r="CO294" i="2"/>
  <c r="E295" i="2"/>
  <c r="CM295" i="2" s="1"/>
  <c r="F295" i="2"/>
  <c r="G295" i="2"/>
  <c r="H295" i="2"/>
  <c r="I295" i="2"/>
  <c r="J295" i="2"/>
  <c r="K295" i="2"/>
  <c r="L295" i="2"/>
  <c r="M295" i="2"/>
  <c r="N295" i="2"/>
  <c r="O295" i="2"/>
  <c r="P295" i="2"/>
  <c r="Q295" i="2"/>
  <c r="R295" i="2"/>
  <c r="S295" i="2"/>
  <c r="T295" i="2"/>
  <c r="U295" i="2"/>
  <c r="V295" i="2"/>
  <c r="W295" i="2"/>
  <c r="Y295" i="2"/>
  <c r="Z295" i="2"/>
  <c r="AA295" i="2"/>
  <c r="AB295" i="2"/>
  <c r="AC295" i="2"/>
  <c r="AD295" i="2"/>
  <c r="AE295" i="2"/>
  <c r="AF295" i="2"/>
  <c r="AG295" i="2"/>
  <c r="AH295" i="2"/>
  <c r="AI295" i="2"/>
  <c r="AJ295" i="2"/>
  <c r="AK295" i="2"/>
  <c r="AL295" i="2"/>
  <c r="AM295" i="2"/>
  <c r="AN295" i="2"/>
  <c r="AO295" i="2"/>
  <c r="AP295" i="2"/>
  <c r="AQ295" i="2"/>
  <c r="AR295" i="2"/>
  <c r="AS295" i="2"/>
  <c r="AT295" i="2"/>
  <c r="AU295" i="2"/>
  <c r="AV295" i="2"/>
  <c r="AW295" i="2"/>
  <c r="AX295" i="2"/>
  <c r="AY295" i="2"/>
  <c r="AZ295" i="2"/>
  <c r="BA295" i="2"/>
  <c r="BB295" i="2"/>
  <c r="BC295" i="2"/>
  <c r="BD295" i="2"/>
  <c r="BE295" i="2"/>
  <c r="CO295" i="2"/>
  <c r="E296" i="2"/>
  <c r="CM296" i="2" s="1"/>
  <c r="F296" i="2"/>
  <c r="G296" i="2"/>
  <c r="H296" i="2"/>
  <c r="I296" i="2"/>
  <c r="J296" i="2"/>
  <c r="K296" i="2"/>
  <c r="L296" i="2"/>
  <c r="M296" i="2"/>
  <c r="N296" i="2"/>
  <c r="O296" i="2"/>
  <c r="P296" i="2"/>
  <c r="Q296" i="2"/>
  <c r="R296" i="2"/>
  <c r="S296" i="2"/>
  <c r="T296" i="2"/>
  <c r="U296" i="2"/>
  <c r="V296" i="2"/>
  <c r="W296" i="2"/>
  <c r="Y296" i="2"/>
  <c r="Z296" i="2"/>
  <c r="AA296" i="2"/>
  <c r="AB296" i="2"/>
  <c r="AC296" i="2"/>
  <c r="AD296" i="2"/>
  <c r="AE296" i="2"/>
  <c r="AF296" i="2"/>
  <c r="AG296" i="2"/>
  <c r="AH296" i="2"/>
  <c r="AI296" i="2"/>
  <c r="AJ296" i="2"/>
  <c r="AK296" i="2"/>
  <c r="AL296" i="2"/>
  <c r="AM296" i="2"/>
  <c r="AN296" i="2"/>
  <c r="AO296" i="2"/>
  <c r="AP296" i="2"/>
  <c r="AQ296" i="2"/>
  <c r="AR296" i="2"/>
  <c r="AS296" i="2"/>
  <c r="AT296" i="2"/>
  <c r="AU296" i="2"/>
  <c r="AV296" i="2"/>
  <c r="AW296" i="2"/>
  <c r="AX296" i="2"/>
  <c r="AY296" i="2"/>
  <c r="AZ296" i="2"/>
  <c r="BA296" i="2"/>
  <c r="BB296" i="2"/>
  <c r="BC296" i="2"/>
  <c r="BD296" i="2"/>
  <c r="BE296" i="2"/>
  <c r="CO296" i="2"/>
  <c r="E297" i="2"/>
  <c r="CM297" i="2" s="1"/>
  <c r="F297" i="2"/>
  <c r="G297" i="2"/>
  <c r="H297" i="2"/>
  <c r="I297" i="2"/>
  <c r="J297" i="2"/>
  <c r="K297" i="2"/>
  <c r="L297" i="2"/>
  <c r="M297" i="2"/>
  <c r="N297" i="2"/>
  <c r="O297" i="2"/>
  <c r="P297" i="2"/>
  <c r="Q297" i="2"/>
  <c r="R297" i="2"/>
  <c r="S297" i="2"/>
  <c r="T297" i="2"/>
  <c r="U297" i="2"/>
  <c r="V297" i="2"/>
  <c r="W297" i="2"/>
  <c r="Y297" i="2"/>
  <c r="Z297" i="2"/>
  <c r="AA297" i="2"/>
  <c r="AB297" i="2"/>
  <c r="AC297" i="2"/>
  <c r="AD297" i="2"/>
  <c r="AE297" i="2"/>
  <c r="AF297" i="2"/>
  <c r="AG297" i="2"/>
  <c r="AH297" i="2"/>
  <c r="AI297" i="2"/>
  <c r="AJ297" i="2"/>
  <c r="AK297" i="2"/>
  <c r="AL297" i="2"/>
  <c r="AM297" i="2"/>
  <c r="AN297" i="2"/>
  <c r="AO297" i="2"/>
  <c r="AP297" i="2"/>
  <c r="AQ297" i="2"/>
  <c r="AR297" i="2"/>
  <c r="AS297" i="2"/>
  <c r="AT297" i="2"/>
  <c r="AU297" i="2"/>
  <c r="AV297" i="2"/>
  <c r="AW297" i="2"/>
  <c r="AX297" i="2"/>
  <c r="AY297" i="2"/>
  <c r="AZ297" i="2"/>
  <c r="BA297" i="2"/>
  <c r="BB297" i="2"/>
  <c r="BC297" i="2"/>
  <c r="BD297" i="2"/>
  <c r="BE297" i="2"/>
  <c r="CO297" i="2"/>
  <c r="E298" i="2"/>
  <c r="CM298" i="2" s="1"/>
  <c r="F298" i="2"/>
  <c r="G298" i="2"/>
  <c r="H298" i="2"/>
  <c r="I298" i="2"/>
  <c r="J298" i="2"/>
  <c r="K298" i="2"/>
  <c r="L298" i="2"/>
  <c r="M298" i="2"/>
  <c r="N298" i="2"/>
  <c r="O298" i="2"/>
  <c r="P298" i="2"/>
  <c r="Q298" i="2"/>
  <c r="R298" i="2"/>
  <c r="S298" i="2"/>
  <c r="T298" i="2"/>
  <c r="U298" i="2"/>
  <c r="V298" i="2"/>
  <c r="W298" i="2"/>
  <c r="Y298" i="2"/>
  <c r="Z298" i="2"/>
  <c r="AA298" i="2"/>
  <c r="AB298" i="2"/>
  <c r="AC298" i="2"/>
  <c r="AD298" i="2"/>
  <c r="AE298" i="2"/>
  <c r="AF298" i="2"/>
  <c r="AG298" i="2"/>
  <c r="AH298" i="2"/>
  <c r="AI298" i="2"/>
  <c r="AJ298" i="2"/>
  <c r="AK298" i="2"/>
  <c r="AL298" i="2"/>
  <c r="AM298" i="2"/>
  <c r="AN298" i="2"/>
  <c r="AO298" i="2"/>
  <c r="AP298" i="2"/>
  <c r="AQ298" i="2"/>
  <c r="AR298" i="2"/>
  <c r="AS298" i="2"/>
  <c r="AT298" i="2"/>
  <c r="AU298" i="2"/>
  <c r="AV298" i="2"/>
  <c r="AW298" i="2"/>
  <c r="AX298" i="2"/>
  <c r="AY298" i="2"/>
  <c r="AZ298" i="2"/>
  <c r="BA298" i="2"/>
  <c r="BB298" i="2"/>
  <c r="BC298" i="2"/>
  <c r="BD298" i="2"/>
  <c r="BE298" i="2"/>
  <c r="CO298" i="2"/>
  <c r="E299" i="2"/>
  <c r="CM299" i="2" s="1"/>
  <c r="F299" i="2"/>
  <c r="G299" i="2"/>
  <c r="H299" i="2"/>
  <c r="I299" i="2"/>
  <c r="J299" i="2"/>
  <c r="K299" i="2"/>
  <c r="L299" i="2"/>
  <c r="M299" i="2"/>
  <c r="N299" i="2"/>
  <c r="O299" i="2"/>
  <c r="P299" i="2"/>
  <c r="Q299" i="2"/>
  <c r="R299" i="2"/>
  <c r="S299" i="2"/>
  <c r="T299" i="2"/>
  <c r="U299" i="2"/>
  <c r="V299" i="2"/>
  <c r="W299" i="2"/>
  <c r="Y299" i="2"/>
  <c r="Z299" i="2"/>
  <c r="AA299" i="2"/>
  <c r="AB299" i="2"/>
  <c r="AC299" i="2"/>
  <c r="AD299" i="2"/>
  <c r="AE299" i="2"/>
  <c r="AF299" i="2"/>
  <c r="AG299" i="2"/>
  <c r="AH299" i="2"/>
  <c r="AI299" i="2"/>
  <c r="AJ299" i="2"/>
  <c r="AK299" i="2"/>
  <c r="AL299" i="2"/>
  <c r="AM299" i="2"/>
  <c r="AN299" i="2"/>
  <c r="AO299" i="2"/>
  <c r="AP299" i="2"/>
  <c r="AQ299" i="2"/>
  <c r="AR299" i="2"/>
  <c r="AS299" i="2"/>
  <c r="AT299" i="2"/>
  <c r="AU299" i="2"/>
  <c r="AV299" i="2"/>
  <c r="AW299" i="2"/>
  <c r="AX299" i="2"/>
  <c r="AY299" i="2"/>
  <c r="AZ299" i="2"/>
  <c r="BA299" i="2"/>
  <c r="BB299" i="2"/>
  <c r="BC299" i="2"/>
  <c r="BD299" i="2"/>
  <c r="BE299" i="2"/>
  <c r="CO299" i="2"/>
  <c r="E300" i="2"/>
  <c r="CM300" i="2" s="1"/>
  <c r="F300" i="2"/>
  <c r="G300" i="2"/>
  <c r="H300" i="2"/>
  <c r="I300" i="2"/>
  <c r="J300" i="2"/>
  <c r="K300" i="2"/>
  <c r="L300" i="2"/>
  <c r="M300" i="2"/>
  <c r="N300" i="2"/>
  <c r="O300" i="2"/>
  <c r="P300" i="2"/>
  <c r="Q300" i="2"/>
  <c r="R300" i="2"/>
  <c r="S300" i="2"/>
  <c r="T300" i="2"/>
  <c r="U300" i="2"/>
  <c r="V300" i="2"/>
  <c r="W300" i="2"/>
  <c r="Y300" i="2"/>
  <c r="Z300" i="2"/>
  <c r="AA300" i="2"/>
  <c r="AB300" i="2"/>
  <c r="AC300" i="2"/>
  <c r="AD300" i="2"/>
  <c r="AE300" i="2"/>
  <c r="AF300" i="2"/>
  <c r="AG300" i="2"/>
  <c r="AH300" i="2"/>
  <c r="AI300" i="2"/>
  <c r="AJ300" i="2"/>
  <c r="AK300" i="2"/>
  <c r="AL300" i="2"/>
  <c r="AM300" i="2"/>
  <c r="AN300" i="2"/>
  <c r="AO300" i="2"/>
  <c r="AP300" i="2"/>
  <c r="AQ300" i="2"/>
  <c r="AR300" i="2"/>
  <c r="AS300" i="2"/>
  <c r="AT300" i="2"/>
  <c r="AU300" i="2"/>
  <c r="AV300" i="2"/>
  <c r="AW300" i="2"/>
  <c r="AX300" i="2"/>
  <c r="AY300" i="2"/>
  <c r="AZ300" i="2"/>
  <c r="BA300" i="2"/>
  <c r="BB300" i="2"/>
  <c r="BC300" i="2"/>
  <c r="BD300" i="2"/>
  <c r="BE300" i="2"/>
  <c r="CO300" i="2"/>
  <c r="E301" i="2"/>
  <c r="CM301" i="2" s="1"/>
  <c r="F301" i="2"/>
  <c r="G301" i="2"/>
  <c r="H301" i="2"/>
  <c r="I301" i="2"/>
  <c r="J301" i="2"/>
  <c r="K301" i="2"/>
  <c r="L301" i="2"/>
  <c r="M301" i="2"/>
  <c r="N301" i="2"/>
  <c r="O301" i="2"/>
  <c r="P301" i="2"/>
  <c r="Q301" i="2"/>
  <c r="R301" i="2"/>
  <c r="S301" i="2"/>
  <c r="T301" i="2"/>
  <c r="U301" i="2"/>
  <c r="V301" i="2"/>
  <c r="W301" i="2"/>
  <c r="Y301" i="2"/>
  <c r="Z301" i="2"/>
  <c r="AA301" i="2"/>
  <c r="AB301" i="2"/>
  <c r="AC301" i="2"/>
  <c r="AD301" i="2"/>
  <c r="AE301" i="2"/>
  <c r="AF301" i="2"/>
  <c r="AG301" i="2"/>
  <c r="AH301" i="2"/>
  <c r="AI301" i="2"/>
  <c r="AJ301" i="2"/>
  <c r="AK301" i="2"/>
  <c r="AL301" i="2"/>
  <c r="AM301" i="2"/>
  <c r="AN301" i="2"/>
  <c r="AO301" i="2"/>
  <c r="AP301" i="2"/>
  <c r="AQ301" i="2"/>
  <c r="AR301" i="2"/>
  <c r="AS301" i="2"/>
  <c r="AT301" i="2"/>
  <c r="AU301" i="2"/>
  <c r="AV301" i="2"/>
  <c r="AW301" i="2"/>
  <c r="AX301" i="2"/>
  <c r="AY301" i="2"/>
  <c r="AZ301" i="2"/>
  <c r="BA301" i="2"/>
  <c r="BB301" i="2"/>
  <c r="BC301" i="2"/>
  <c r="BD301" i="2"/>
  <c r="BE301" i="2"/>
  <c r="CO301" i="2"/>
  <c r="E302" i="2"/>
  <c r="CM302" i="2" s="1"/>
  <c r="F302" i="2"/>
  <c r="G302" i="2"/>
  <c r="H302" i="2"/>
  <c r="I302" i="2"/>
  <c r="J302" i="2"/>
  <c r="K302" i="2"/>
  <c r="L302" i="2"/>
  <c r="M302" i="2"/>
  <c r="N302" i="2"/>
  <c r="O302" i="2"/>
  <c r="P302" i="2"/>
  <c r="Q302" i="2"/>
  <c r="R302" i="2"/>
  <c r="S302" i="2"/>
  <c r="T302" i="2"/>
  <c r="U302" i="2"/>
  <c r="V302" i="2"/>
  <c r="W302" i="2"/>
  <c r="Y302" i="2"/>
  <c r="Z302" i="2"/>
  <c r="AA302" i="2"/>
  <c r="AB302" i="2"/>
  <c r="AC302" i="2"/>
  <c r="AD302" i="2"/>
  <c r="AE302" i="2"/>
  <c r="AF302" i="2"/>
  <c r="AG302" i="2"/>
  <c r="AH302" i="2"/>
  <c r="AI302" i="2"/>
  <c r="AJ302" i="2"/>
  <c r="AK302" i="2"/>
  <c r="AL302" i="2"/>
  <c r="AM302" i="2"/>
  <c r="AN302" i="2"/>
  <c r="AO302" i="2"/>
  <c r="AP302" i="2"/>
  <c r="AQ302" i="2"/>
  <c r="AR302" i="2"/>
  <c r="AS302" i="2"/>
  <c r="AT302" i="2"/>
  <c r="AU302" i="2"/>
  <c r="AV302" i="2"/>
  <c r="AW302" i="2"/>
  <c r="AX302" i="2"/>
  <c r="AY302" i="2"/>
  <c r="AZ302" i="2"/>
  <c r="BA302" i="2"/>
  <c r="BB302" i="2"/>
  <c r="BC302" i="2"/>
  <c r="BD302" i="2"/>
  <c r="BE302" i="2"/>
  <c r="CO302" i="2"/>
  <c r="E303" i="2"/>
  <c r="CM303" i="2" s="1"/>
  <c r="F303" i="2"/>
  <c r="G303" i="2"/>
  <c r="H303" i="2"/>
  <c r="I303" i="2"/>
  <c r="J303" i="2"/>
  <c r="K303" i="2"/>
  <c r="L303" i="2"/>
  <c r="M303" i="2"/>
  <c r="N303" i="2"/>
  <c r="O303" i="2"/>
  <c r="P303" i="2"/>
  <c r="Q303" i="2"/>
  <c r="R303" i="2"/>
  <c r="S303" i="2"/>
  <c r="T303" i="2"/>
  <c r="U303" i="2"/>
  <c r="V303" i="2"/>
  <c r="W303" i="2"/>
  <c r="Y303" i="2"/>
  <c r="Z303" i="2"/>
  <c r="AA303" i="2"/>
  <c r="AB303" i="2"/>
  <c r="AC303" i="2"/>
  <c r="AD303" i="2"/>
  <c r="AE303" i="2"/>
  <c r="AF303" i="2"/>
  <c r="AG303" i="2"/>
  <c r="AH303" i="2"/>
  <c r="AI303" i="2"/>
  <c r="AJ303" i="2"/>
  <c r="AK303" i="2"/>
  <c r="AL303" i="2"/>
  <c r="AM303" i="2"/>
  <c r="AN303" i="2"/>
  <c r="AO303" i="2"/>
  <c r="AP303" i="2"/>
  <c r="AQ303" i="2"/>
  <c r="AR303" i="2"/>
  <c r="AS303" i="2"/>
  <c r="AT303" i="2"/>
  <c r="AU303" i="2"/>
  <c r="AV303" i="2"/>
  <c r="AW303" i="2"/>
  <c r="AX303" i="2"/>
  <c r="AY303" i="2"/>
  <c r="AZ303" i="2"/>
  <c r="BA303" i="2"/>
  <c r="BB303" i="2"/>
  <c r="BC303" i="2"/>
  <c r="BD303" i="2"/>
  <c r="BE303" i="2"/>
  <c r="CO303" i="2"/>
  <c r="E304" i="2"/>
  <c r="CM304" i="2" s="1"/>
  <c r="F304" i="2"/>
  <c r="G304" i="2"/>
  <c r="H304" i="2"/>
  <c r="I304" i="2"/>
  <c r="J304" i="2"/>
  <c r="K304" i="2"/>
  <c r="L304" i="2"/>
  <c r="M304" i="2"/>
  <c r="N304" i="2"/>
  <c r="O304" i="2"/>
  <c r="P304" i="2"/>
  <c r="Q304" i="2"/>
  <c r="R304" i="2"/>
  <c r="S304" i="2"/>
  <c r="T304" i="2"/>
  <c r="U304" i="2"/>
  <c r="V304" i="2"/>
  <c r="W304" i="2"/>
  <c r="Y304" i="2"/>
  <c r="Z304" i="2"/>
  <c r="AA304" i="2"/>
  <c r="AB304" i="2"/>
  <c r="AC304" i="2"/>
  <c r="AD304" i="2"/>
  <c r="AE304" i="2"/>
  <c r="AF304" i="2"/>
  <c r="AG304" i="2"/>
  <c r="AH304" i="2"/>
  <c r="AI304" i="2"/>
  <c r="AJ304" i="2"/>
  <c r="AK304" i="2"/>
  <c r="AL304" i="2"/>
  <c r="AM304" i="2"/>
  <c r="AN304" i="2"/>
  <c r="AO304" i="2"/>
  <c r="AP304" i="2"/>
  <c r="AQ304" i="2"/>
  <c r="AR304" i="2"/>
  <c r="AS304" i="2"/>
  <c r="AT304" i="2"/>
  <c r="AU304" i="2"/>
  <c r="AV304" i="2"/>
  <c r="AW304" i="2"/>
  <c r="AX304" i="2"/>
  <c r="AY304" i="2"/>
  <c r="AZ304" i="2"/>
  <c r="BA304" i="2"/>
  <c r="BB304" i="2"/>
  <c r="BC304" i="2"/>
  <c r="BD304" i="2"/>
  <c r="BE304" i="2"/>
  <c r="CO304" i="2"/>
  <c r="E305" i="2"/>
  <c r="CM305" i="2" s="1"/>
  <c r="F305" i="2"/>
  <c r="G305" i="2"/>
  <c r="H305" i="2"/>
  <c r="I305" i="2"/>
  <c r="J305" i="2"/>
  <c r="K305" i="2"/>
  <c r="L305" i="2"/>
  <c r="M305" i="2"/>
  <c r="N305" i="2"/>
  <c r="O305" i="2"/>
  <c r="P305" i="2"/>
  <c r="Q305" i="2"/>
  <c r="R305" i="2"/>
  <c r="S305" i="2"/>
  <c r="T305" i="2"/>
  <c r="U305" i="2"/>
  <c r="V305" i="2"/>
  <c r="W305" i="2"/>
  <c r="Y305" i="2"/>
  <c r="Z305" i="2"/>
  <c r="AA305" i="2"/>
  <c r="AB305" i="2"/>
  <c r="AC305" i="2"/>
  <c r="AD305" i="2"/>
  <c r="AE305" i="2"/>
  <c r="AF305" i="2"/>
  <c r="AG305" i="2"/>
  <c r="AH305" i="2"/>
  <c r="AI305" i="2"/>
  <c r="AJ305" i="2"/>
  <c r="AK305" i="2"/>
  <c r="AL305" i="2"/>
  <c r="AM305" i="2"/>
  <c r="AN305" i="2"/>
  <c r="AO305" i="2"/>
  <c r="AP305" i="2"/>
  <c r="AQ305" i="2"/>
  <c r="AR305" i="2"/>
  <c r="AS305" i="2"/>
  <c r="AT305" i="2"/>
  <c r="AU305" i="2"/>
  <c r="AV305" i="2"/>
  <c r="AW305" i="2"/>
  <c r="AX305" i="2"/>
  <c r="AY305" i="2"/>
  <c r="AZ305" i="2"/>
  <c r="BA305" i="2"/>
  <c r="BB305" i="2"/>
  <c r="BC305" i="2"/>
  <c r="BD305" i="2"/>
  <c r="BE305" i="2"/>
  <c r="CO305" i="2"/>
  <c r="E306" i="2"/>
  <c r="CM306" i="2" s="1"/>
  <c r="F306" i="2"/>
  <c r="G306" i="2"/>
  <c r="H306" i="2"/>
  <c r="I306" i="2"/>
  <c r="J306" i="2"/>
  <c r="K306" i="2"/>
  <c r="L306" i="2"/>
  <c r="M306" i="2"/>
  <c r="N306" i="2"/>
  <c r="O306" i="2"/>
  <c r="P306" i="2"/>
  <c r="Q306" i="2"/>
  <c r="R306" i="2"/>
  <c r="S306" i="2"/>
  <c r="T306" i="2"/>
  <c r="U306" i="2"/>
  <c r="V306" i="2"/>
  <c r="W306" i="2"/>
  <c r="Y306" i="2"/>
  <c r="Z306" i="2"/>
  <c r="AA306" i="2"/>
  <c r="AB306" i="2"/>
  <c r="AC306" i="2"/>
  <c r="AD306" i="2"/>
  <c r="AE306" i="2"/>
  <c r="AF306" i="2"/>
  <c r="AG306" i="2"/>
  <c r="AH306" i="2"/>
  <c r="AI306" i="2"/>
  <c r="AJ306" i="2"/>
  <c r="AK306" i="2"/>
  <c r="AL306" i="2"/>
  <c r="AM306" i="2"/>
  <c r="AN306" i="2"/>
  <c r="AO306" i="2"/>
  <c r="AP306" i="2"/>
  <c r="AQ306" i="2"/>
  <c r="AR306" i="2"/>
  <c r="AS306" i="2"/>
  <c r="AT306" i="2"/>
  <c r="AU306" i="2"/>
  <c r="AV306" i="2"/>
  <c r="AW306" i="2"/>
  <c r="AX306" i="2"/>
  <c r="AY306" i="2"/>
  <c r="AZ306" i="2"/>
  <c r="BA306" i="2"/>
  <c r="BB306" i="2"/>
  <c r="BC306" i="2"/>
  <c r="BD306" i="2"/>
  <c r="BE306" i="2"/>
  <c r="CO306" i="2"/>
  <c r="E307" i="2"/>
  <c r="CM307" i="2" s="1"/>
  <c r="F307" i="2"/>
  <c r="G307" i="2"/>
  <c r="H307" i="2"/>
  <c r="I307" i="2"/>
  <c r="J307" i="2"/>
  <c r="K307" i="2"/>
  <c r="L307" i="2"/>
  <c r="M307" i="2"/>
  <c r="N307" i="2"/>
  <c r="O307" i="2"/>
  <c r="P307" i="2"/>
  <c r="Q307" i="2"/>
  <c r="R307" i="2"/>
  <c r="S307" i="2"/>
  <c r="T307" i="2"/>
  <c r="U307" i="2"/>
  <c r="V307" i="2"/>
  <c r="W307" i="2"/>
  <c r="Y307" i="2"/>
  <c r="Z307" i="2"/>
  <c r="AA307" i="2"/>
  <c r="AB307" i="2"/>
  <c r="AC307" i="2"/>
  <c r="AD307" i="2"/>
  <c r="AE307" i="2"/>
  <c r="AF307" i="2"/>
  <c r="AG307" i="2"/>
  <c r="AH307" i="2"/>
  <c r="AI307" i="2"/>
  <c r="AJ307" i="2"/>
  <c r="AK307" i="2"/>
  <c r="AL307" i="2"/>
  <c r="AM307" i="2"/>
  <c r="AN307" i="2"/>
  <c r="AO307" i="2"/>
  <c r="AP307" i="2"/>
  <c r="AQ307" i="2"/>
  <c r="AR307" i="2"/>
  <c r="AS307" i="2"/>
  <c r="AT307" i="2"/>
  <c r="AU307" i="2"/>
  <c r="AV307" i="2"/>
  <c r="AW307" i="2"/>
  <c r="AX307" i="2"/>
  <c r="AY307" i="2"/>
  <c r="AZ307" i="2"/>
  <c r="BA307" i="2"/>
  <c r="BB307" i="2"/>
  <c r="BC307" i="2"/>
  <c r="BD307" i="2"/>
  <c r="BE307" i="2"/>
  <c r="CO307" i="2"/>
  <c r="E308" i="2"/>
  <c r="CM308" i="2" s="1"/>
  <c r="F308" i="2"/>
  <c r="G308" i="2"/>
  <c r="H308" i="2"/>
  <c r="I308" i="2"/>
  <c r="J308" i="2"/>
  <c r="K308" i="2"/>
  <c r="L308" i="2"/>
  <c r="M308" i="2"/>
  <c r="N308" i="2"/>
  <c r="O308" i="2"/>
  <c r="P308" i="2"/>
  <c r="Q308" i="2"/>
  <c r="R308" i="2"/>
  <c r="S308" i="2"/>
  <c r="T308" i="2"/>
  <c r="U308" i="2"/>
  <c r="V308" i="2"/>
  <c r="W308" i="2"/>
  <c r="Y308" i="2"/>
  <c r="Z308" i="2"/>
  <c r="AA308" i="2"/>
  <c r="AB308" i="2"/>
  <c r="AC308" i="2"/>
  <c r="AD308" i="2"/>
  <c r="AE308" i="2"/>
  <c r="AF308" i="2"/>
  <c r="AG308" i="2"/>
  <c r="AH308" i="2"/>
  <c r="AI308" i="2"/>
  <c r="AJ308" i="2"/>
  <c r="AK308" i="2"/>
  <c r="AL308" i="2"/>
  <c r="AM308" i="2"/>
  <c r="AN308" i="2"/>
  <c r="AO308" i="2"/>
  <c r="AP308" i="2"/>
  <c r="AQ308" i="2"/>
  <c r="AR308" i="2"/>
  <c r="AS308" i="2"/>
  <c r="AT308" i="2"/>
  <c r="AU308" i="2"/>
  <c r="AV308" i="2"/>
  <c r="AW308" i="2"/>
  <c r="AX308" i="2"/>
  <c r="AY308" i="2"/>
  <c r="AZ308" i="2"/>
  <c r="BA308" i="2"/>
  <c r="BB308" i="2"/>
  <c r="BC308" i="2"/>
  <c r="BD308" i="2"/>
  <c r="BE308" i="2"/>
  <c r="CO308" i="2"/>
  <c r="E309" i="2"/>
  <c r="CM309" i="2" s="1"/>
  <c r="F309" i="2"/>
  <c r="G309" i="2"/>
  <c r="H309" i="2"/>
  <c r="I309" i="2"/>
  <c r="J309" i="2"/>
  <c r="K309" i="2"/>
  <c r="L309" i="2"/>
  <c r="M309" i="2"/>
  <c r="N309" i="2"/>
  <c r="O309" i="2"/>
  <c r="P309" i="2"/>
  <c r="Q309" i="2"/>
  <c r="R309" i="2"/>
  <c r="S309" i="2"/>
  <c r="T309" i="2"/>
  <c r="U309" i="2"/>
  <c r="V309" i="2"/>
  <c r="W309" i="2"/>
  <c r="Y309" i="2"/>
  <c r="Z309" i="2"/>
  <c r="AA309" i="2"/>
  <c r="AB309" i="2"/>
  <c r="AC309" i="2"/>
  <c r="AD309" i="2"/>
  <c r="AE309" i="2"/>
  <c r="AF309" i="2"/>
  <c r="AG309" i="2"/>
  <c r="AH309" i="2"/>
  <c r="AI309" i="2"/>
  <c r="AJ309" i="2"/>
  <c r="AK309" i="2"/>
  <c r="AL309" i="2"/>
  <c r="AM309" i="2"/>
  <c r="AN309" i="2"/>
  <c r="AO309" i="2"/>
  <c r="AP309" i="2"/>
  <c r="AQ309" i="2"/>
  <c r="AR309" i="2"/>
  <c r="AS309" i="2"/>
  <c r="AT309" i="2"/>
  <c r="AU309" i="2"/>
  <c r="AV309" i="2"/>
  <c r="AW309" i="2"/>
  <c r="AX309" i="2"/>
  <c r="AY309" i="2"/>
  <c r="AZ309" i="2"/>
  <c r="BA309" i="2"/>
  <c r="BB309" i="2"/>
  <c r="BC309" i="2"/>
  <c r="BD309" i="2"/>
  <c r="BE309" i="2"/>
  <c r="CO309" i="2"/>
  <c r="E310" i="2"/>
  <c r="CM310" i="2" s="1"/>
  <c r="F310" i="2"/>
  <c r="G310" i="2"/>
  <c r="H310" i="2"/>
  <c r="I310" i="2"/>
  <c r="J310" i="2"/>
  <c r="K310" i="2"/>
  <c r="L310" i="2"/>
  <c r="M310" i="2"/>
  <c r="N310" i="2"/>
  <c r="O310" i="2"/>
  <c r="P310" i="2"/>
  <c r="Q310" i="2"/>
  <c r="R310" i="2"/>
  <c r="S310" i="2"/>
  <c r="T310" i="2"/>
  <c r="U310" i="2"/>
  <c r="V310" i="2"/>
  <c r="W310" i="2"/>
  <c r="Y310" i="2"/>
  <c r="Z310" i="2"/>
  <c r="AA310" i="2"/>
  <c r="AB310" i="2"/>
  <c r="AC310" i="2"/>
  <c r="AD310" i="2"/>
  <c r="AE310" i="2"/>
  <c r="AF310" i="2"/>
  <c r="AG310" i="2"/>
  <c r="AH310" i="2"/>
  <c r="AI310" i="2"/>
  <c r="AJ310" i="2"/>
  <c r="AK310" i="2"/>
  <c r="AL310" i="2"/>
  <c r="AM310" i="2"/>
  <c r="AN310" i="2"/>
  <c r="AO310" i="2"/>
  <c r="AP310" i="2"/>
  <c r="AQ310" i="2"/>
  <c r="AR310" i="2"/>
  <c r="AS310" i="2"/>
  <c r="AT310" i="2"/>
  <c r="AU310" i="2"/>
  <c r="AV310" i="2"/>
  <c r="AW310" i="2"/>
  <c r="AX310" i="2"/>
  <c r="AY310" i="2"/>
  <c r="AZ310" i="2"/>
  <c r="BA310" i="2"/>
  <c r="BB310" i="2"/>
  <c r="BC310" i="2"/>
  <c r="BD310" i="2"/>
  <c r="BE310" i="2"/>
  <c r="CO310" i="2"/>
  <c r="E311" i="2"/>
  <c r="CM311" i="2" s="1"/>
  <c r="F311" i="2"/>
  <c r="G311" i="2"/>
  <c r="H311" i="2"/>
  <c r="I311" i="2"/>
  <c r="J311" i="2"/>
  <c r="K311" i="2"/>
  <c r="L311" i="2"/>
  <c r="M311" i="2"/>
  <c r="N311" i="2"/>
  <c r="O311" i="2"/>
  <c r="P311" i="2"/>
  <c r="Q311" i="2"/>
  <c r="R311" i="2"/>
  <c r="S311" i="2"/>
  <c r="T311" i="2"/>
  <c r="U311" i="2"/>
  <c r="V311" i="2"/>
  <c r="W311" i="2"/>
  <c r="Y311" i="2"/>
  <c r="Z311" i="2"/>
  <c r="AA311" i="2"/>
  <c r="AB311" i="2"/>
  <c r="AC311" i="2"/>
  <c r="AD311" i="2"/>
  <c r="AE311" i="2"/>
  <c r="AF311" i="2"/>
  <c r="AG311" i="2"/>
  <c r="AH311" i="2"/>
  <c r="AI311" i="2"/>
  <c r="AJ311" i="2"/>
  <c r="AK311" i="2"/>
  <c r="AL311" i="2"/>
  <c r="AM311" i="2"/>
  <c r="AN311" i="2"/>
  <c r="AO311" i="2"/>
  <c r="AP311" i="2"/>
  <c r="AQ311" i="2"/>
  <c r="AR311" i="2"/>
  <c r="AS311" i="2"/>
  <c r="AT311" i="2"/>
  <c r="AU311" i="2"/>
  <c r="AV311" i="2"/>
  <c r="AW311" i="2"/>
  <c r="AX311" i="2"/>
  <c r="AY311" i="2"/>
  <c r="AZ311" i="2"/>
  <c r="BA311" i="2"/>
  <c r="BB311" i="2"/>
  <c r="BC311" i="2"/>
  <c r="BD311" i="2"/>
  <c r="BE311" i="2"/>
  <c r="CO311" i="2"/>
  <c r="E312" i="2"/>
  <c r="CM312" i="2" s="1"/>
  <c r="F312" i="2"/>
  <c r="G312" i="2"/>
  <c r="H312" i="2"/>
  <c r="I312" i="2"/>
  <c r="J312" i="2"/>
  <c r="K312" i="2"/>
  <c r="L312" i="2"/>
  <c r="M312" i="2"/>
  <c r="N312" i="2"/>
  <c r="O312" i="2"/>
  <c r="P312" i="2"/>
  <c r="Q312" i="2"/>
  <c r="R312" i="2"/>
  <c r="S312" i="2"/>
  <c r="T312" i="2"/>
  <c r="U312" i="2"/>
  <c r="V312" i="2"/>
  <c r="W312" i="2"/>
  <c r="Y312" i="2"/>
  <c r="Z312" i="2"/>
  <c r="AA312" i="2"/>
  <c r="AB312" i="2"/>
  <c r="AC312" i="2"/>
  <c r="AD312" i="2"/>
  <c r="AE312" i="2"/>
  <c r="AF312" i="2"/>
  <c r="AG312" i="2"/>
  <c r="AH312" i="2"/>
  <c r="AI312" i="2"/>
  <c r="AJ312" i="2"/>
  <c r="AK312" i="2"/>
  <c r="AL312" i="2"/>
  <c r="AM312" i="2"/>
  <c r="AN312" i="2"/>
  <c r="AO312" i="2"/>
  <c r="AP312" i="2"/>
  <c r="AQ312" i="2"/>
  <c r="AR312" i="2"/>
  <c r="AS312" i="2"/>
  <c r="AT312" i="2"/>
  <c r="AU312" i="2"/>
  <c r="AV312" i="2"/>
  <c r="AW312" i="2"/>
  <c r="AX312" i="2"/>
  <c r="AY312" i="2"/>
  <c r="AZ312" i="2"/>
  <c r="BA312" i="2"/>
  <c r="BB312" i="2"/>
  <c r="BC312" i="2"/>
  <c r="BD312" i="2"/>
  <c r="BE312" i="2"/>
  <c r="CO312" i="2"/>
  <c r="E313" i="2"/>
  <c r="CM313" i="2" s="1"/>
  <c r="F313" i="2"/>
  <c r="G313" i="2"/>
  <c r="H313" i="2"/>
  <c r="I313" i="2"/>
  <c r="J313" i="2"/>
  <c r="K313" i="2"/>
  <c r="L313" i="2"/>
  <c r="M313" i="2"/>
  <c r="N313" i="2"/>
  <c r="O313" i="2"/>
  <c r="P313" i="2"/>
  <c r="Q313" i="2"/>
  <c r="R313" i="2"/>
  <c r="S313" i="2"/>
  <c r="T313" i="2"/>
  <c r="U313" i="2"/>
  <c r="V313" i="2"/>
  <c r="W313" i="2"/>
  <c r="Y313" i="2"/>
  <c r="Z313" i="2"/>
  <c r="AA313" i="2"/>
  <c r="AB313" i="2"/>
  <c r="AC313" i="2"/>
  <c r="AD313" i="2"/>
  <c r="AE313" i="2"/>
  <c r="AF313" i="2"/>
  <c r="AG313" i="2"/>
  <c r="AH313" i="2"/>
  <c r="AI313" i="2"/>
  <c r="AJ313" i="2"/>
  <c r="AK313" i="2"/>
  <c r="AL313" i="2"/>
  <c r="AM313" i="2"/>
  <c r="AN313" i="2"/>
  <c r="AO313" i="2"/>
  <c r="AP313" i="2"/>
  <c r="AQ313" i="2"/>
  <c r="AR313" i="2"/>
  <c r="AS313" i="2"/>
  <c r="AT313" i="2"/>
  <c r="AU313" i="2"/>
  <c r="AV313" i="2"/>
  <c r="AW313" i="2"/>
  <c r="AX313" i="2"/>
  <c r="AY313" i="2"/>
  <c r="AZ313" i="2"/>
  <c r="BA313" i="2"/>
  <c r="BB313" i="2"/>
  <c r="BC313" i="2"/>
  <c r="BD313" i="2"/>
  <c r="BE313" i="2"/>
  <c r="CO313" i="2"/>
  <c r="E314" i="2"/>
  <c r="CM314" i="2" s="1"/>
  <c r="F314" i="2"/>
  <c r="G314" i="2"/>
  <c r="H314" i="2"/>
  <c r="I314" i="2"/>
  <c r="J314" i="2"/>
  <c r="K314" i="2"/>
  <c r="L314" i="2"/>
  <c r="M314" i="2"/>
  <c r="N314" i="2"/>
  <c r="O314" i="2"/>
  <c r="P314" i="2"/>
  <c r="Q314" i="2"/>
  <c r="R314" i="2"/>
  <c r="S314" i="2"/>
  <c r="T314" i="2"/>
  <c r="U314" i="2"/>
  <c r="V314" i="2"/>
  <c r="W314" i="2"/>
  <c r="Y314" i="2"/>
  <c r="Z314" i="2"/>
  <c r="AA314" i="2"/>
  <c r="AB314" i="2"/>
  <c r="AC314" i="2"/>
  <c r="AD314" i="2"/>
  <c r="AE314" i="2"/>
  <c r="AF314" i="2"/>
  <c r="AG314" i="2"/>
  <c r="AH314" i="2"/>
  <c r="AI314" i="2"/>
  <c r="AJ314" i="2"/>
  <c r="AK314" i="2"/>
  <c r="AL314" i="2"/>
  <c r="AM314" i="2"/>
  <c r="AN314" i="2"/>
  <c r="AO314" i="2"/>
  <c r="AP314" i="2"/>
  <c r="AQ314" i="2"/>
  <c r="AR314" i="2"/>
  <c r="AS314" i="2"/>
  <c r="AT314" i="2"/>
  <c r="AU314" i="2"/>
  <c r="AV314" i="2"/>
  <c r="AW314" i="2"/>
  <c r="AX314" i="2"/>
  <c r="AY314" i="2"/>
  <c r="AZ314" i="2"/>
  <c r="BA314" i="2"/>
  <c r="BB314" i="2"/>
  <c r="BC314" i="2"/>
  <c r="BD314" i="2"/>
  <c r="BE314" i="2"/>
  <c r="CO314" i="2"/>
  <c r="E315" i="2"/>
  <c r="CM315" i="2" s="1"/>
  <c r="F315" i="2"/>
  <c r="G315" i="2"/>
  <c r="H315" i="2"/>
  <c r="I315" i="2"/>
  <c r="J315" i="2"/>
  <c r="K315" i="2"/>
  <c r="L315" i="2"/>
  <c r="M315" i="2"/>
  <c r="N315" i="2"/>
  <c r="O315" i="2"/>
  <c r="P315" i="2"/>
  <c r="Q315" i="2"/>
  <c r="R315" i="2"/>
  <c r="S315" i="2"/>
  <c r="T315" i="2"/>
  <c r="U315" i="2"/>
  <c r="V315" i="2"/>
  <c r="W315" i="2"/>
  <c r="Y315" i="2"/>
  <c r="Z315" i="2"/>
  <c r="AA315" i="2"/>
  <c r="AB315" i="2"/>
  <c r="AC315" i="2"/>
  <c r="AD315" i="2"/>
  <c r="AE315" i="2"/>
  <c r="AF315" i="2"/>
  <c r="AG315" i="2"/>
  <c r="AH315" i="2"/>
  <c r="AI315" i="2"/>
  <c r="AJ315" i="2"/>
  <c r="AK315" i="2"/>
  <c r="AL315" i="2"/>
  <c r="AM315" i="2"/>
  <c r="AN315" i="2"/>
  <c r="AO315" i="2"/>
  <c r="AP315" i="2"/>
  <c r="AQ315" i="2"/>
  <c r="AR315" i="2"/>
  <c r="AS315" i="2"/>
  <c r="AT315" i="2"/>
  <c r="AU315" i="2"/>
  <c r="AV315" i="2"/>
  <c r="AW315" i="2"/>
  <c r="AX315" i="2"/>
  <c r="AY315" i="2"/>
  <c r="AZ315" i="2"/>
  <c r="BA315" i="2"/>
  <c r="BB315" i="2"/>
  <c r="BC315" i="2"/>
  <c r="BD315" i="2"/>
  <c r="BE315" i="2"/>
  <c r="CO315" i="2"/>
  <c r="E316" i="2"/>
  <c r="CM316" i="2" s="1"/>
  <c r="F316" i="2"/>
  <c r="G316" i="2"/>
  <c r="H316" i="2"/>
  <c r="I316" i="2"/>
  <c r="J316" i="2"/>
  <c r="K316" i="2"/>
  <c r="L316" i="2"/>
  <c r="M316" i="2"/>
  <c r="N316" i="2"/>
  <c r="O316" i="2"/>
  <c r="P316" i="2"/>
  <c r="Q316" i="2"/>
  <c r="R316" i="2"/>
  <c r="S316" i="2"/>
  <c r="T316" i="2"/>
  <c r="U316" i="2"/>
  <c r="V316" i="2"/>
  <c r="W316" i="2"/>
  <c r="Y316" i="2"/>
  <c r="Z316" i="2"/>
  <c r="AA316" i="2"/>
  <c r="AB316" i="2"/>
  <c r="AC316" i="2"/>
  <c r="AD316" i="2"/>
  <c r="AE316" i="2"/>
  <c r="AF316" i="2"/>
  <c r="AG316" i="2"/>
  <c r="AH316" i="2"/>
  <c r="AI316" i="2"/>
  <c r="AJ316" i="2"/>
  <c r="AK316" i="2"/>
  <c r="AL316" i="2"/>
  <c r="AM316" i="2"/>
  <c r="AN316" i="2"/>
  <c r="AO316" i="2"/>
  <c r="AP316" i="2"/>
  <c r="AQ316" i="2"/>
  <c r="AR316" i="2"/>
  <c r="AS316" i="2"/>
  <c r="AT316" i="2"/>
  <c r="AU316" i="2"/>
  <c r="AV316" i="2"/>
  <c r="AW316" i="2"/>
  <c r="AX316" i="2"/>
  <c r="AY316" i="2"/>
  <c r="AZ316" i="2"/>
  <c r="BA316" i="2"/>
  <c r="BB316" i="2"/>
  <c r="BC316" i="2"/>
  <c r="BD316" i="2"/>
  <c r="BE316" i="2"/>
  <c r="CO316" i="2"/>
  <c r="E317" i="2"/>
  <c r="CM317" i="2" s="1"/>
  <c r="F317" i="2"/>
  <c r="G317" i="2"/>
  <c r="H317" i="2"/>
  <c r="I317" i="2"/>
  <c r="J317" i="2"/>
  <c r="K317" i="2"/>
  <c r="L317" i="2"/>
  <c r="M317" i="2"/>
  <c r="N317" i="2"/>
  <c r="O317" i="2"/>
  <c r="P317" i="2"/>
  <c r="Q317" i="2"/>
  <c r="R317" i="2"/>
  <c r="S317" i="2"/>
  <c r="T317" i="2"/>
  <c r="U317" i="2"/>
  <c r="V317" i="2"/>
  <c r="W317" i="2"/>
  <c r="Y317" i="2"/>
  <c r="Z317" i="2"/>
  <c r="AA317" i="2"/>
  <c r="AB317" i="2"/>
  <c r="AC317" i="2"/>
  <c r="AD317" i="2"/>
  <c r="AE317" i="2"/>
  <c r="AF317" i="2"/>
  <c r="AG317" i="2"/>
  <c r="AH317" i="2"/>
  <c r="AI317" i="2"/>
  <c r="AJ317" i="2"/>
  <c r="AK317" i="2"/>
  <c r="AL317" i="2"/>
  <c r="AM317" i="2"/>
  <c r="AN317" i="2"/>
  <c r="AO317" i="2"/>
  <c r="AP317" i="2"/>
  <c r="AQ317" i="2"/>
  <c r="AR317" i="2"/>
  <c r="AS317" i="2"/>
  <c r="AT317" i="2"/>
  <c r="AU317" i="2"/>
  <c r="AV317" i="2"/>
  <c r="AW317" i="2"/>
  <c r="AX317" i="2"/>
  <c r="AY317" i="2"/>
  <c r="AZ317" i="2"/>
  <c r="BA317" i="2"/>
  <c r="BB317" i="2"/>
  <c r="BC317" i="2"/>
  <c r="BD317" i="2"/>
  <c r="BE317" i="2"/>
  <c r="CO317" i="2"/>
  <c r="E318" i="2"/>
  <c r="CM318" i="2" s="1"/>
  <c r="F318" i="2"/>
  <c r="G318" i="2"/>
  <c r="H318" i="2"/>
  <c r="I318" i="2"/>
  <c r="J318" i="2"/>
  <c r="K318" i="2"/>
  <c r="L318" i="2"/>
  <c r="M318" i="2"/>
  <c r="N318" i="2"/>
  <c r="O318" i="2"/>
  <c r="P318" i="2"/>
  <c r="Q318" i="2"/>
  <c r="R318" i="2"/>
  <c r="S318" i="2"/>
  <c r="T318" i="2"/>
  <c r="U318" i="2"/>
  <c r="V318" i="2"/>
  <c r="W318" i="2"/>
  <c r="Y318" i="2"/>
  <c r="Z318" i="2"/>
  <c r="AA318" i="2"/>
  <c r="AB318" i="2"/>
  <c r="AC318" i="2"/>
  <c r="AD318" i="2"/>
  <c r="AE318" i="2"/>
  <c r="AF318" i="2"/>
  <c r="AG318" i="2"/>
  <c r="AH318" i="2"/>
  <c r="AI318" i="2"/>
  <c r="AJ318" i="2"/>
  <c r="AK318" i="2"/>
  <c r="AL318" i="2"/>
  <c r="AM318" i="2"/>
  <c r="AN318" i="2"/>
  <c r="AO318" i="2"/>
  <c r="AP318" i="2"/>
  <c r="AQ318" i="2"/>
  <c r="AR318" i="2"/>
  <c r="AS318" i="2"/>
  <c r="AT318" i="2"/>
  <c r="AU318" i="2"/>
  <c r="AV318" i="2"/>
  <c r="AW318" i="2"/>
  <c r="AX318" i="2"/>
  <c r="AY318" i="2"/>
  <c r="AZ318" i="2"/>
  <c r="BA318" i="2"/>
  <c r="BB318" i="2"/>
  <c r="BC318" i="2"/>
  <c r="BD318" i="2"/>
  <c r="BE318" i="2"/>
  <c r="CO318" i="2"/>
  <c r="E319" i="2"/>
  <c r="CM319" i="2" s="1"/>
  <c r="F319" i="2"/>
  <c r="G319" i="2"/>
  <c r="H319" i="2"/>
  <c r="I319" i="2"/>
  <c r="J319" i="2"/>
  <c r="K319" i="2"/>
  <c r="L319" i="2"/>
  <c r="M319" i="2"/>
  <c r="N319" i="2"/>
  <c r="O319" i="2"/>
  <c r="P319" i="2"/>
  <c r="Q319" i="2"/>
  <c r="R319" i="2"/>
  <c r="S319" i="2"/>
  <c r="T319" i="2"/>
  <c r="U319" i="2"/>
  <c r="V319" i="2"/>
  <c r="W319" i="2"/>
  <c r="Y319" i="2"/>
  <c r="Z319" i="2"/>
  <c r="AA319" i="2"/>
  <c r="AB319" i="2"/>
  <c r="AC319" i="2"/>
  <c r="AD319" i="2"/>
  <c r="AE319" i="2"/>
  <c r="AF319" i="2"/>
  <c r="AG319" i="2"/>
  <c r="AH319" i="2"/>
  <c r="AI319" i="2"/>
  <c r="AJ319" i="2"/>
  <c r="AK319" i="2"/>
  <c r="AL319" i="2"/>
  <c r="AM319" i="2"/>
  <c r="AN319" i="2"/>
  <c r="AO319" i="2"/>
  <c r="AP319" i="2"/>
  <c r="AQ319" i="2"/>
  <c r="AR319" i="2"/>
  <c r="AS319" i="2"/>
  <c r="AT319" i="2"/>
  <c r="AU319" i="2"/>
  <c r="AV319" i="2"/>
  <c r="AW319" i="2"/>
  <c r="AX319" i="2"/>
  <c r="AY319" i="2"/>
  <c r="AZ319" i="2"/>
  <c r="BA319" i="2"/>
  <c r="BB319" i="2"/>
  <c r="BC319" i="2"/>
  <c r="BD319" i="2"/>
  <c r="BE319" i="2"/>
  <c r="CO319" i="2"/>
  <c r="E320" i="2"/>
  <c r="CM320" i="2" s="1"/>
  <c r="F320" i="2"/>
  <c r="G320" i="2"/>
  <c r="H320" i="2"/>
  <c r="I320" i="2"/>
  <c r="J320" i="2"/>
  <c r="K320" i="2"/>
  <c r="L320" i="2"/>
  <c r="M320" i="2"/>
  <c r="N320" i="2"/>
  <c r="O320" i="2"/>
  <c r="P320" i="2"/>
  <c r="Q320" i="2"/>
  <c r="R320" i="2"/>
  <c r="S320" i="2"/>
  <c r="T320" i="2"/>
  <c r="U320" i="2"/>
  <c r="V320" i="2"/>
  <c r="W320" i="2"/>
  <c r="Y320" i="2"/>
  <c r="Z320" i="2"/>
  <c r="AA320" i="2"/>
  <c r="AB320" i="2"/>
  <c r="AC320" i="2"/>
  <c r="AD320" i="2"/>
  <c r="AE320" i="2"/>
  <c r="AF320" i="2"/>
  <c r="AG320" i="2"/>
  <c r="AH320" i="2"/>
  <c r="AI320" i="2"/>
  <c r="AJ320" i="2"/>
  <c r="AK320" i="2"/>
  <c r="AL320" i="2"/>
  <c r="AM320" i="2"/>
  <c r="AN320" i="2"/>
  <c r="AO320" i="2"/>
  <c r="AP320" i="2"/>
  <c r="AQ320" i="2"/>
  <c r="AR320" i="2"/>
  <c r="AS320" i="2"/>
  <c r="AT320" i="2"/>
  <c r="AU320" i="2"/>
  <c r="AV320" i="2"/>
  <c r="AW320" i="2"/>
  <c r="AX320" i="2"/>
  <c r="AY320" i="2"/>
  <c r="AZ320" i="2"/>
  <c r="BA320" i="2"/>
  <c r="BB320" i="2"/>
  <c r="BC320" i="2"/>
  <c r="BD320" i="2"/>
  <c r="BE320" i="2"/>
  <c r="CO320" i="2"/>
  <c r="E321" i="2"/>
  <c r="CM321" i="2" s="1"/>
  <c r="F321" i="2"/>
  <c r="G321" i="2"/>
  <c r="H321" i="2"/>
  <c r="I321" i="2"/>
  <c r="J321" i="2"/>
  <c r="K321" i="2"/>
  <c r="L321" i="2"/>
  <c r="M321" i="2"/>
  <c r="N321" i="2"/>
  <c r="O321" i="2"/>
  <c r="P321" i="2"/>
  <c r="Q321" i="2"/>
  <c r="R321" i="2"/>
  <c r="S321" i="2"/>
  <c r="T321" i="2"/>
  <c r="U321" i="2"/>
  <c r="V321" i="2"/>
  <c r="W321" i="2"/>
  <c r="Y321" i="2"/>
  <c r="Z321" i="2"/>
  <c r="AA321" i="2"/>
  <c r="AB321" i="2"/>
  <c r="AC321" i="2"/>
  <c r="AD321" i="2"/>
  <c r="AE321" i="2"/>
  <c r="AF321" i="2"/>
  <c r="AG321" i="2"/>
  <c r="AH321" i="2"/>
  <c r="AI321" i="2"/>
  <c r="AJ321" i="2"/>
  <c r="AK321" i="2"/>
  <c r="AL321" i="2"/>
  <c r="AM321" i="2"/>
  <c r="AN321" i="2"/>
  <c r="AO321" i="2"/>
  <c r="AP321" i="2"/>
  <c r="AQ321" i="2"/>
  <c r="AR321" i="2"/>
  <c r="AS321" i="2"/>
  <c r="AT321" i="2"/>
  <c r="AU321" i="2"/>
  <c r="AV321" i="2"/>
  <c r="AW321" i="2"/>
  <c r="AX321" i="2"/>
  <c r="AY321" i="2"/>
  <c r="AZ321" i="2"/>
  <c r="BA321" i="2"/>
  <c r="BB321" i="2"/>
  <c r="BC321" i="2"/>
  <c r="BD321" i="2"/>
  <c r="BE321" i="2"/>
  <c r="CO321" i="2"/>
  <c r="E322" i="2"/>
  <c r="CM322" i="2" s="1"/>
  <c r="F322" i="2"/>
  <c r="G322" i="2"/>
  <c r="H322" i="2"/>
  <c r="I322" i="2"/>
  <c r="J322" i="2"/>
  <c r="K322" i="2"/>
  <c r="L322" i="2"/>
  <c r="M322" i="2"/>
  <c r="N322" i="2"/>
  <c r="O322" i="2"/>
  <c r="P322" i="2"/>
  <c r="Q322" i="2"/>
  <c r="R322" i="2"/>
  <c r="S322" i="2"/>
  <c r="T322" i="2"/>
  <c r="U322" i="2"/>
  <c r="V322" i="2"/>
  <c r="W322" i="2"/>
  <c r="Y322" i="2"/>
  <c r="Z322" i="2"/>
  <c r="AA322" i="2"/>
  <c r="AB322" i="2"/>
  <c r="AC322" i="2"/>
  <c r="AD322" i="2"/>
  <c r="AE322" i="2"/>
  <c r="AF322" i="2"/>
  <c r="AG322" i="2"/>
  <c r="AH322" i="2"/>
  <c r="AI322" i="2"/>
  <c r="AJ322" i="2"/>
  <c r="AK322" i="2"/>
  <c r="AL322" i="2"/>
  <c r="AM322" i="2"/>
  <c r="AN322" i="2"/>
  <c r="AO322" i="2"/>
  <c r="AP322" i="2"/>
  <c r="AQ322" i="2"/>
  <c r="AR322" i="2"/>
  <c r="AS322" i="2"/>
  <c r="AT322" i="2"/>
  <c r="AU322" i="2"/>
  <c r="AV322" i="2"/>
  <c r="AW322" i="2"/>
  <c r="AX322" i="2"/>
  <c r="AY322" i="2"/>
  <c r="AZ322" i="2"/>
  <c r="BA322" i="2"/>
  <c r="BB322" i="2"/>
  <c r="BC322" i="2"/>
  <c r="BD322" i="2"/>
  <c r="BE322" i="2"/>
  <c r="CO322" i="2"/>
  <c r="E323" i="2"/>
  <c r="CM323" i="2" s="1"/>
  <c r="F323" i="2"/>
  <c r="G323" i="2"/>
  <c r="H323" i="2"/>
  <c r="I323" i="2"/>
  <c r="J323" i="2"/>
  <c r="K323" i="2"/>
  <c r="L323" i="2"/>
  <c r="M323" i="2"/>
  <c r="N323" i="2"/>
  <c r="O323" i="2"/>
  <c r="P323" i="2"/>
  <c r="Q323" i="2"/>
  <c r="R323" i="2"/>
  <c r="S323" i="2"/>
  <c r="T323" i="2"/>
  <c r="U323" i="2"/>
  <c r="V323" i="2"/>
  <c r="W323" i="2"/>
  <c r="Y323" i="2"/>
  <c r="Z323" i="2"/>
  <c r="AA323" i="2"/>
  <c r="AB323" i="2"/>
  <c r="AC323" i="2"/>
  <c r="AD323" i="2"/>
  <c r="AE323" i="2"/>
  <c r="AF323" i="2"/>
  <c r="AG323" i="2"/>
  <c r="AH323" i="2"/>
  <c r="AI323" i="2"/>
  <c r="AJ323" i="2"/>
  <c r="AK323" i="2"/>
  <c r="AL323" i="2"/>
  <c r="AM323" i="2"/>
  <c r="AN323" i="2"/>
  <c r="AO323" i="2"/>
  <c r="AP323" i="2"/>
  <c r="AQ323" i="2"/>
  <c r="AR323" i="2"/>
  <c r="AS323" i="2"/>
  <c r="AT323" i="2"/>
  <c r="AU323" i="2"/>
  <c r="AV323" i="2"/>
  <c r="AW323" i="2"/>
  <c r="AX323" i="2"/>
  <c r="AY323" i="2"/>
  <c r="AZ323" i="2"/>
  <c r="BA323" i="2"/>
  <c r="BB323" i="2"/>
  <c r="BC323" i="2"/>
  <c r="BD323" i="2"/>
  <c r="BE323" i="2"/>
  <c r="CO323" i="2"/>
  <c r="E324" i="2"/>
  <c r="CM324" i="2" s="1"/>
  <c r="F324" i="2"/>
  <c r="G324" i="2"/>
  <c r="H324" i="2"/>
  <c r="I324" i="2"/>
  <c r="J324" i="2"/>
  <c r="K324" i="2"/>
  <c r="L324" i="2"/>
  <c r="M324" i="2"/>
  <c r="N324" i="2"/>
  <c r="O324" i="2"/>
  <c r="P324" i="2"/>
  <c r="Q324" i="2"/>
  <c r="R324" i="2"/>
  <c r="S324" i="2"/>
  <c r="T324" i="2"/>
  <c r="U324" i="2"/>
  <c r="V324" i="2"/>
  <c r="W324" i="2"/>
  <c r="Y324" i="2"/>
  <c r="Z324" i="2"/>
  <c r="AA324" i="2"/>
  <c r="AB324" i="2"/>
  <c r="AC324" i="2"/>
  <c r="AD324" i="2"/>
  <c r="AE324" i="2"/>
  <c r="AF324" i="2"/>
  <c r="AG324" i="2"/>
  <c r="AH324" i="2"/>
  <c r="AI324" i="2"/>
  <c r="AJ324" i="2"/>
  <c r="AK324" i="2"/>
  <c r="AL324" i="2"/>
  <c r="AM324" i="2"/>
  <c r="AN324" i="2"/>
  <c r="AO324" i="2"/>
  <c r="AP324" i="2"/>
  <c r="AQ324" i="2"/>
  <c r="AR324" i="2"/>
  <c r="AS324" i="2"/>
  <c r="AT324" i="2"/>
  <c r="AU324" i="2"/>
  <c r="AV324" i="2"/>
  <c r="AW324" i="2"/>
  <c r="AX324" i="2"/>
  <c r="AY324" i="2"/>
  <c r="AZ324" i="2"/>
  <c r="BA324" i="2"/>
  <c r="BB324" i="2"/>
  <c r="BC324" i="2"/>
  <c r="BD324" i="2"/>
  <c r="BE324" i="2"/>
  <c r="CO324" i="2"/>
  <c r="E325" i="2"/>
  <c r="CM325" i="2" s="1"/>
  <c r="F325" i="2"/>
  <c r="G325" i="2"/>
  <c r="H325" i="2"/>
  <c r="I325" i="2"/>
  <c r="J325" i="2"/>
  <c r="K325" i="2"/>
  <c r="L325" i="2"/>
  <c r="M325" i="2"/>
  <c r="N325" i="2"/>
  <c r="O325" i="2"/>
  <c r="P325" i="2"/>
  <c r="Q325" i="2"/>
  <c r="R325" i="2"/>
  <c r="S325" i="2"/>
  <c r="T325" i="2"/>
  <c r="U325" i="2"/>
  <c r="V325" i="2"/>
  <c r="W325" i="2"/>
  <c r="Y325" i="2"/>
  <c r="Z325" i="2"/>
  <c r="AA325" i="2"/>
  <c r="AB325" i="2"/>
  <c r="AC325" i="2"/>
  <c r="AD325" i="2"/>
  <c r="AE325" i="2"/>
  <c r="AF325" i="2"/>
  <c r="AG325" i="2"/>
  <c r="AH325" i="2"/>
  <c r="AI325" i="2"/>
  <c r="AJ325" i="2"/>
  <c r="AK325" i="2"/>
  <c r="AL325" i="2"/>
  <c r="AM325" i="2"/>
  <c r="AN325" i="2"/>
  <c r="AO325" i="2"/>
  <c r="AP325" i="2"/>
  <c r="AQ325" i="2"/>
  <c r="AR325" i="2"/>
  <c r="AS325" i="2"/>
  <c r="AT325" i="2"/>
  <c r="AU325" i="2"/>
  <c r="AV325" i="2"/>
  <c r="AW325" i="2"/>
  <c r="AX325" i="2"/>
  <c r="AY325" i="2"/>
  <c r="AZ325" i="2"/>
  <c r="BA325" i="2"/>
  <c r="BB325" i="2"/>
  <c r="BC325" i="2"/>
  <c r="BD325" i="2"/>
  <c r="BE325" i="2"/>
  <c r="CO325" i="2"/>
  <c r="E326" i="2"/>
  <c r="CM326" i="2" s="1"/>
  <c r="F326" i="2"/>
  <c r="G326" i="2"/>
  <c r="H326" i="2"/>
  <c r="I326" i="2"/>
  <c r="J326" i="2"/>
  <c r="K326" i="2"/>
  <c r="L326" i="2"/>
  <c r="M326" i="2"/>
  <c r="N326" i="2"/>
  <c r="O326" i="2"/>
  <c r="P326" i="2"/>
  <c r="Q326" i="2"/>
  <c r="R326" i="2"/>
  <c r="S326" i="2"/>
  <c r="T326" i="2"/>
  <c r="U326" i="2"/>
  <c r="V326" i="2"/>
  <c r="W326" i="2"/>
  <c r="Y326" i="2"/>
  <c r="Z326" i="2"/>
  <c r="AA326" i="2"/>
  <c r="AB326" i="2"/>
  <c r="AC326" i="2"/>
  <c r="AD326" i="2"/>
  <c r="AE326" i="2"/>
  <c r="AF326" i="2"/>
  <c r="AG326" i="2"/>
  <c r="AH326" i="2"/>
  <c r="AI326" i="2"/>
  <c r="AJ326" i="2"/>
  <c r="AK326" i="2"/>
  <c r="AL326" i="2"/>
  <c r="AM326" i="2"/>
  <c r="AN326" i="2"/>
  <c r="AO326" i="2"/>
  <c r="AP326" i="2"/>
  <c r="AQ326" i="2"/>
  <c r="AR326" i="2"/>
  <c r="AS326" i="2"/>
  <c r="AT326" i="2"/>
  <c r="AU326" i="2"/>
  <c r="AV326" i="2"/>
  <c r="AW326" i="2"/>
  <c r="AX326" i="2"/>
  <c r="AY326" i="2"/>
  <c r="AZ326" i="2"/>
  <c r="BA326" i="2"/>
  <c r="BB326" i="2"/>
  <c r="BC326" i="2"/>
  <c r="BD326" i="2"/>
  <c r="BE326" i="2"/>
  <c r="CO326" i="2"/>
  <c r="E327" i="2"/>
  <c r="CM327" i="2" s="1"/>
  <c r="F327" i="2"/>
  <c r="G327" i="2"/>
  <c r="H327" i="2"/>
  <c r="I327" i="2"/>
  <c r="J327" i="2"/>
  <c r="K327" i="2"/>
  <c r="L327" i="2"/>
  <c r="M327" i="2"/>
  <c r="N327" i="2"/>
  <c r="O327" i="2"/>
  <c r="P327" i="2"/>
  <c r="Q327" i="2"/>
  <c r="R327" i="2"/>
  <c r="S327" i="2"/>
  <c r="T327" i="2"/>
  <c r="U327" i="2"/>
  <c r="V327" i="2"/>
  <c r="W327" i="2"/>
  <c r="Y327" i="2"/>
  <c r="Z327" i="2"/>
  <c r="AA327" i="2"/>
  <c r="AB327" i="2"/>
  <c r="AC327" i="2"/>
  <c r="AD327" i="2"/>
  <c r="AE327" i="2"/>
  <c r="AF327" i="2"/>
  <c r="AG327" i="2"/>
  <c r="AH327" i="2"/>
  <c r="AI327" i="2"/>
  <c r="AJ327" i="2"/>
  <c r="AK327" i="2"/>
  <c r="AL327" i="2"/>
  <c r="AM327" i="2"/>
  <c r="AN327" i="2"/>
  <c r="AO327" i="2"/>
  <c r="AP327" i="2"/>
  <c r="AQ327" i="2"/>
  <c r="AR327" i="2"/>
  <c r="AS327" i="2"/>
  <c r="AT327" i="2"/>
  <c r="AU327" i="2"/>
  <c r="AV327" i="2"/>
  <c r="AW327" i="2"/>
  <c r="AX327" i="2"/>
  <c r="AY327" i="2"/>
  <c r="AZ327" i="2"/>
  <c r="BA327" i="2"/>
  <c r="BB327" i="2"/>
  <c r="BC327" i="2"/>
  <c r="BD327" i="2"/>
  <c r="BE327" i="2"/>
  <c r="CO327" i="2"/>
  <c r="E328" i="2"/>
  <c r="CM328" i="2" s="1"/>
  <c r="F328" i="2"/>
  <c r="G328" i="2"/>
  <c r="H328" i="2"/>
  <c r="I328" i="2"/>
  <c r="J328" i="2"/>
  <c r="K328" i="2"/>
  <c r="L328" i="2"/>
  <c r="M328" i="2"/>
  <c r="N328" i="2"/>
  <c r="O328" i="2"/>
  <c r="P328" i="2"/>
  <c r="Q328" i="2"/>
  <c r="R328" i="2"/>
  <c r="S328" i="2"/>
  <c r="T328" i="2"/>
  <c r="U328" i="2"/>
  <c r="V328" i="2"/>
  <c r="W328" i="2"/>
  <c r="Y328" i="2"/>
  <c r="Z328" i="2"/>
  <c r="AA328" i="2"/>
  <c r="AB328" i="2"/>
  <c r="AC328" i="2"/>
  <c r="AD328" i="2"/>
  <c r="AE328" i="2"/>
  <c r="AF328" i="2"/>
  <c r="AG328" i="2"/>
  <c r="AH328" i="2"/>
  <c r="AI328" i="2"/>
  <c r="AJ328" i="2"/>
  <c r="AK328" i="2"/>
  <c r="AL328" i="2"/>
  <c r="AM328" i="2"/>
  <c r="AN328" i="2"/>
  <c r="AO328" i="2"/>
  <c r="AP328" i="2"/>
  <c r="AQ328" i="2"/>
  <c r="AR328" i="2"/>
  <c r="AS328" i="2"/>
  <c r="AT328" i="2"/>
  <c r="AU328" i="2"/>
  <c r="AV328" i="2"/>
  <c r="AW328" i="2"/>
  <c r="AX328" i="2"/>
  <c r="AY328" i="2"/>
  <c r="AZ328" i="2"/>
  <c r="BA328" i="2"/>
  <c r="BB328" i="2"/>
  <c r="BC328" i="2"/>
  <c r="BD328" i="2"/>
  <c r="BE328" i="2"/>
  <c r="CO328" i="2"/>
  <c r="E329" i="2"/>
  <c r="CM329" i="2" s="1"/>
  <c r="F329" i="2"/>
  <c r="G329" i="2"/>
  <c r="H329" i="2"/>
  <c r="I329" i="2"/>
  <c r="J329" i="2"/>
  <c r="K329" i="2"/>
  <c r="L329" i="2"/>
  <c r="M329" i="2"/>
  <c r="N329" i="2"/>
  <c r="O329" i="2"/>
  <c r="P329" i="2"/>
  <c r="Q329" i="2"/>
  <c r="R329" i="2"/>
  <c r="S329" i="2"/>
  <c r="T329" i="2"/>
  <c r="U329" i="2"/>
  <c r="V329" i="2"/>
  <c r="W329" i="2"/>
  <c r="Y329" i="2"/>
  <c r="Z329" i="2"/>
  <c r="AA329" i="2"/>
  <c r="AB329" i="2"/>
  <c r="AC329" i="2"/>
  <c r="AD329" i="2"/>
  <c r="AE329" i="2"/>
  <c r="AF329" i="2"/>
  <c r="AG329" i="2"/>
  <c r="AH329" i="2"/>
  <c r="AI329" i="2"/>
  <c r="AJ329" i="2"/>
  <c r="AK329" i="2"/>
  <c r="AL329" i="2"/>
  <c r="AM329" i="2"/>
  <c r="AN329" i="2"/>
  <c r="AO329" i="2"/>
  <c r="AP329" i="2"/>
  <c r="AQ329" i="2"/>
  <c r="AR329" i="2"/>
  <c r="AS329" i="2"/>
  <c r="AT329" i="2"/>
  <c r="AU329" i="2"/>
  <c r="AV329" i="2"/>
  <c r="AW329" i="2"/>
  <c r="AX329" i="2"/>
  <c r="AY329" i="2"/>
  <c r="AZ329" i="2"/>
  <c r="BA329" i="2"/>
  <c r="BB329" i="2"/>
  <c r="BC329" i="2"/>
  <c r="BD329" i="2"/>
  <c r="BE329" i="2"/>
  <c r="CO329" i="2"/>
  <c r="E330" i="2"/>
  <c r="CM330" i="2" s="1"/>
  <c r="F330" i="2"/>
  <c r="G330" i="2"/>
  <c r="H330" i="2"/>
  <c r="I330" i="2"/>
  <c r="J330" i="2"/>
  <c r="K330" i="2"/>
  <c r="L330" i="2"/>
  <c r="M330" i="2"/>
  <c r="N330" i="2"/>
  <c r="O330" i="2"/>
  <c r="P330" i="2"/>
  <c r="Q330" i="2"/>
  <c r="R330" i="2"/>
  <c r="S330" i="2"/>
  <c r="T330" i="2"/>
  <c r="U330" i="2"/>
  <c r="V330" i="2"/>
  <c r="W330" i="2"/>
  <c r="Y330" i="2"/>
  <c r="Z330" i="2"/>
  <c r="AA330" i="2"/>
  <c r="AB330" i="2"/>
  <c r="AC330" i="2"/>
  <c r="AD330" i="2"/>
  <c r="AE330" i="2"/>
  <c r="AF330" i="2"/>
  <c r="AG330" i="2"/>
  <c r="AH330" i="2"/>
  <c r="AI330" i="2"/>
  <c r="AJ330" i="2"/>
  <c r="AK330" i="2"/>
  <c r="AL330" i="2"/>
  <c r="AM330" i="2"/>
  <c r="AN330" i="2"/>
  <c r="AO330" i="2"/>
  <c r="AP330" i="2"/>
  <c r="AQ330" i="2"/>
  <c r="AR330" i="2"/>
  <c r="AS330" i="2"/>
  <c r="AT330" i="2"/>
  <c r="AU330" i="2"/>
  <c r="AV330" i="2"/>
  <c r="AW330" i="2"/>
  <c r="AX330" i="2"/>
  <c r="AY330" i="2"/>
  <c r="AZ330" i="2"/>
  <c r="BA330" i="2"/>
  <c r="BB330" i="2"/>
  <c r="BC330" i="2"/>
  <c r="BD330" i="2"/>
  <c r="BE330" i="2"/>
  <c r="CO330" i="2"/>
  <c r="E331" i="2"/>
  <c r="CM331" i="2" s="1"/>
  <c r="F331" i="2"/>
  <c r="G331" i="2"/>
  <c r="H331" i="2"/>
  <c r="I331" i="2"/>
  <c r="J331" i="2"/>
  <c r="K331" i="2"/>
  <c r="L331" i="2"/>
  <c r="M331" i="2"/>
  <c r="N331" i="2"/>
  <c r="O331" i="2"/>
  <c r="P331" i="2"/>
  <c r="Q331" i="2"/>
  <c r="R331" i="2"/>
  <c r="S331" i="2"/>
  <c r="T331" i="2"/>
  <c r="U331" i="2"/>
  <c r="V331" i="2"/>
  <c r="W331" i="2"/>
  <c r="Y331" i="2"/>
  <c r="Z331" i="2"/>
  <c r="AA331" i="2"/>
  <c r="AB331" i="2"/>
  <c r="AC331" i="2"/>
  <c r="AD331" i="2"/>
  <c r="AE331" i="2"/>
  <c r="AF331" i="2"/>
  <c r="AG331" i="2"/>
  <c r="AH331" i="2"/>
  <c r="AI331" i="2"/>
  <c r="AJ331" i="2"/>
  <c r="AK331" i="2"/>
  <c r="AL331" i="2"/>
  <c r="AM331" i="2"/>
  <c r="AN331" i="2"/>
  <c r="AO331" i="2"/>
  <c r="AP331" i="2"/>
  <c r="AQ331" i="2"/>
  <c r="AR331" i="2"/>
  <c r="AS331" i="2"/>
  <c r="AT331" i="2"/>
  <c r="AU331" i="2"/>
  <c r="AV331" i="2"/>
  <c r="AW331" i="2"/>
  <c r="AX331" i="2"/>
  <c r="AY331" i="2"/>
  <c r="AZ331" i="2"/>
  <c r="BA331" i="2"/>
  <c r="BB331" i="2"/>
  <c r="BC331" i="2"/>
  <c r="BD331" i="2"/>
  <c r="BE331" i="2"/>
  <c r="CO331" i="2"/>
  <c r="E332" i="2"/>
  <c r="CM332" i="2" s="1"/>
  <c r="F332" i="2"/>
  <c r="G332" i="2"/>
  <c r="H332" i="2"/>
  <c r="I332" i="2"/>
  <c r="J332" i="2"/>
  <c r="K332" i="2"/>
  <c r="L332" i="2"/>
  <c r="M332" i="2"/>
  <c r="N332" i="2"/>
  <c r="O332" i="2"/>
  <c r="P332" i="2"/>
  <c r="Q332" i="2"/>
  <c r="R332" i="2"/>
  <c r="S332" i="2"/>
  <c r="T332" i="2"/>
  <c r="U332" i="2"/>
  <c r="V332" i="2"/>
  <c r="W332" i="2"/>
  <c r="Y332" i="2"/>
  <c r="Z332" i="2"/>
  <c r="AA332" i="2"/>
  <c r="AB332" i="2"/>
  <c r="AC332" i="2"/>
  <c r="AD332" i="2"/>
  <c r="AE332" i="2"/>
  <c r="AF332" i="2"/>
  <c r="AG332" i="2"/>
  <c r="AH332" i="2"/>
  <c r="AI332" i="2"/>
  <c r="AJ332" i="2"/>
  <c r="AK332" i="2"/>
  <c r="AL332" i="2"/>
  <c r="AM332" i="2"/>
  <c r="AN332" i="2"/>
  <c r="AO332" i="2"/>
  <c r="AP332" i="2"/>
  <c r="AQ332" i="2"/>
  <c r="AR332" i="2"/>
  <c r="AS332" i="2"/>
  <c r="AT332" i="2"/>
  <c r="AU332" i="2"/>
  <c r="AV332" i="2"/>
  <c r="AW332" i="2"/>
  <c r="AX332" i="2"/>
  <c r="AY332" i="2"/>
  <c r="AZ332" i="2"/>
  <c r="BA332" i="2"/>
  <c r="BB332" i="2"/>
  <c r="BC332" i="2"/>
  <c r="BD332" i="2"/>
  <c r="BE332" i="2"/>
  <c r="CO332" i="2"/>
  <c r="E333" i="2"/>
  <c r="CM333" i="2" s="1"/>
  <c r="F333" i="2"/>
  <c r="G333" i="2"/>
  <c r="H333" i="2"/>
  <c r="I333" i="2"/>
  <c r="J333" i="2"/>
  <c r="K333" i="2"/>
  <c r="L333" i="2"/>
  <c r="M333" i="2"/>
  <c r="N333" i="2"/>
  <c r="O333" i="2"/>
  <c r="P333" i="2"/>
  <c r="Q333" i="2"/>
  <c r="R333" i="2"/>
  <c r="S333" i="2"/>
  <c r="T333" i="2"/>
  <c r="U333" i="2"/>
  <c r="V333" i="2"/>
  <c r="W333" i="2"/>
  <c r="Y333" i="2"/>
  <c r="Z333" i="2"/>
  <c r="AA333" i="2"/>
  <c r="AB333" i="2"/>
  <c r="AC333" i="2"/>
  <c r="AD333" i="2"/>
  <c r="AE333" i="2"/>
  <c r="AF333" i="2"/>
  <c r="AG333" i="2"/>
  <c r="AH333" i="2"/>
  <c r="AI333" i="2"/>
  <c r="AJ333" i="2"/>
  <c r="AK333" i="2"/>
  <c r="AL333" i="2"/>
  <c r="AM333" i="2"/>
  <c r="AN333" i="2"/>
  <c r="AO333" i="2"/>
  <c r="AP333" i="2"/>
  <c r="AQ333" i="2"/>
  <c r="AR333" i="2"/>
  <c r="AS333" i="2"/>
  <c r="AT333" i="2"/>
  <c r="AU333" i="2"/>
  <c r="AV333" i="2"/>
  <c r="AW333" i="2"/>
  <c r="AX333" i="2"/>
  <c r="AY333" i="2"/>
  <c r="AZ333" i="2"/>
  <c r="BA333" i="2"/>
  <c r="BB333" i="2"/>
  <c r="BC333" i="2"/>
  <c r="BD333" i="2"/>
  <c r="BE333" i="2"/>
  <c r="CO333" i="2"/>
  <c r="E334" i="2"/>
  <c r="CM334" i="2" s="1"/>
  <c r="F334" i="2"/>
  <c r="G334" i="2"/>
  <c r="H334" i="2"/>
  <c r="I334" i="2"/>
  <c r="J334" i="2"/>
  <c r="K334" i="2"/>
  <c r="L334" i="2"/>
  <c r="M334" i="2"/>
  <c r="N334" i="2"/>
  <c r="O334" i="2"/>
  <c r="P334" i="2"/>
  <c r="Q334" i="2"/>
  <c r="R334" i="2"/>
  <c r="S334" i="2"/>
  <c r="T334" i="2"/>
  <c r="U334" i="2"/>
  <c r="V334" i="2"/>
  <c r="W334" i="2"/>
  <c r="Y334" i="2"/>
  <c r="Z334" i="2"/>
  <c r="AA334" i="2"/>
  <c r="AB334" i="2"/>
  <c r="AC334" i="2"/>
  <c r="AD334" i="2"/>
  <c r="AE334" i="2"/>
  <c r="AF334" i="2"/>
  <c r="AG334" i="2"/>
  <c r="AH334" i="2"/>
  <c r="AI334" i="2"/>
  <c r="AJ334" i="2"/>
  <c r="AK334" i="2"/>
  <c r="AL334" i="2"/>
  <c r="AM334" i="2"/>
  <c r="AN334" i="2"/>
  <c r="AO334" i="2"/>
  <c r="AP334" i="2"/>
  <c r="AQ334" i="2"/>
  <c r="AR334" i="2"/>
  <c r="AS334" i="2"/>
  <c r="AT334" i="2"/>
  <c r="AU334" i="2"/>
  <c r="AV334" i="2"/>
  <c r="AW334" i="2"/>
  <c r="AX334" i="2"/>
  <c r="AY334" i="2"/>
  <c r="AZ334" i="2"/>
  <c r="BA334" i="2"/>
  <c r="BB334" i="2"/>
  <c r="BC334" i="2"/>
  <c r="BD334" i="2"/>
  <c r="BE334" i="2"/>
  <c r="CO334" i="2"/>
  <c r="E335" i="2"/>
  <c r="CM335" i="2" s="1"/>
  <c r="F335" i="2"/>
  <c r="G335" i="2"/>
  <c r="H335" i="2"/>
  <c r="I335" i="2"/>
  <c r="J335" i="2"/>
  <c r="K335" i="2"/>
  <c r="L335" i="2"/>
  <c r="M335" i="2"/>
  <c r="N335" i="2"/>
  <c r="O335" i="2"/>
  <c r="P335" i="2"/>
  <c r="Q335" i="2"/>
  <c r="R335" i="2"/>
  <c r="S335" i="2"/>
  <c r="T335" i="2"/>
  <c r="U335" i="2"/>
  <c r="V335" i="2"/>
  <c r="W335" i="2"/>
  <c r="Y335" i="2"/>
  <c r="Z335" i="2"/>
  <c r="AA335" i="2"/>
  <c r="AB335" i="2"/>
  <c r="AC335" i="2"/>
  <c r="AD335" i="2"/>
  <c r="AE335" i="2"/>
  <c r="AF335" i="2"/>
  <c r="AG335" i="2"/>
  <c r="AH335" i="2"/>
  <c r="AI335" i="2"/>
  <c r="AJ335" i="2"/>
  <c r="AK335" i="2"/>
  <c r="AL335" i="2"/>
  <c r="AM335" i="2"/>
  <c r="AN335" i="2"/>
  <c r="AO335" i="2"/>
  <c r="AP335" i="2"/>
  <c r="AQ335" i="2"/>
  <c r="AR335" i="2"/>
  <c r="AS335" i="2"/>
  <c r="AT335" i="2"/>
  <c r="AU335" i="2"/>
  <c r="AV335" i="2"/>
  <c r="AW335" i="2"/>
  <c r="AX335" i="2"/>
  <c r="AY335" i="2"/>
  <c r="AZ335" i="2"/>
  <c r="BA335" i="2"/>
  <c r="BB335" i="2"/>
  <c r="BC335" i="2"/>
  <c r="BD335" i="2"/>
  <c r="BE335" i="2"/>
  <c r="CO335" i="2"/>
  <c r="E336" i="2"/>
  <c r="CM336" i="2" s="1"/>
  <c r="F336" i="2"/>
  <c r="G336" i="2"/>
  <c r="H336" i="2"/>
  <c r="I336" i="2"/>
  <c r="J336" i="2"/>
  <c r="K336" i="2"/>
  <c r="L336" i="2"/>
  <c r="M336" i="2"/>
  <c r="N336" i="2"/>
  <c r="O336" i="2"/>
  <c r="P336" i="2"/>
  <c r="Q336" i="2"/>
  <c r="R336" i="2"/>
  <c r="S336" i="2"/>
  <c r="T336" i="2"/>
  <c r="U336" i="2"/>
  <c r="V336" i="2"/>
  <c r="W336" i="2"/>
  <c r="Y336" i="2"/>
  <c r="Z336" i="2"/>
  <c r="AA336" i="2"/>
  <c r="AB336" i="2"/>
  <c r="AC336" i="2"/>
  <c r="AD336" i="2"/>
  <c r="AE336" i="2"/>
  <c r="AF336" i="2"/>
  <c r="AG336" i="2"/>
  <c r="AH336" i="2"/>
  <c r="AI336" i="2"/>
  <c r="AJ336" i="2"/>
  <c r="AK336" i="2"/>
  <c r="AL336" i="2"/>
  <c r="AM336" i="2"/>
  <c r="AN336" i="2"/>
  <c r="AO336" i="2"/>
  <c r="AP336" i="2"/>
  <c r="AQ336" i="2"/>
  <c r="AR336" i="2"/>
  <c r="AS336" i="2"/>
  <c r="AT336" i="2"/>
  <c r="AU336" i="2"/>
  <c r="AV336" i="2"/>
  <c r="AW336" i="2"/>
  <c r="AX336" i="2"/>
  <c r="AY336" i="2"/>
  <c r="AZ336" i="2"/>
  <c r="BA336" i="2"/>
  <c r="BB336" i="2"/>
  <c r="BC336" i="2"/>
  <c r="BD336" i="2"/>
  <c r="BE336" i="2"/>
  <c r="CO336" i="2"/>
  <c r="E337" i="2"/>
  <c r="CM337" i="2" s="1"/>
  <c r="F337" i="2"/>
  <c r="G337" i="2"/>
  <c r="H337" i="2"/>
  <c r="I337" i="2"/>
  <c r="J337" i="2"/>
  <c r="K337" i="2"/>
  <c r="L337" i="2"/>
  <c r="M337" i="2"/>
  <c r="N337" i="2"/>
  <c r="O337" i="2"/>
  <c r="P337" i="2"/>
  <c r="Q337" i="2"/>
  <c r="R337" i="2"/>
  <c r="S337" i="2"/>
  <c r="T337" i="2"/>
  <c r="U337" i="2"/>
  <c r="V337" i="2"/>
  <c r="W337" i="2"/>
  <c r="Y337" i="2"/>
  <c r="Z337" i="2"/>
  <c r="AA337" i="2"/>
  <c r="AB337" i="2"/>
  <c r="AC337" i="2"/>
  <c r="AD337" i="2"/>
  <c r="AE337" i="2"/>
  <c r="AF337" i="2"/>
  <c r="AG337" i="2"/>
  <c r="AH337" i="2"/>
  <c r="AI337" i="2"/>
  <c r="AJ337" i="2"/>
  <c r="AK337" i="2"/>
  <c r="AL337" i="2"/>
  <c r="AM337" i="2"/>
  <c r="AN337" i="2"/>
  <c r="AO337" i="2"/>
  <c r="AP337" i="2"/>
  <c r="AQ337" i="2"/>
  <c r="AR337" i="2"/>
  <c r="AS337" i="2"/>
  <c r="AT337" i="2"/>
  <c r="AU337" i="2"/>
  <c r="AV337" i="2"/>
  <c r="AW337" i="2"/>
  <c r="AX337" i="2"/>
  <c r="AY337" i="2"/>
  <c r="AZ337" i="2"/>
  <c r="BA337" i="2"/>
  <c r="BB337" i="2"/>
  <c r="BC337" i="2"/>
  <c r="BD337" i="2"/>
  <c r="BE337" i="2"/>
  <c r="CO337" i="2"/>
  <c r="E338" i="2"/>
  <c r="CM338" i="2" s="1"/>
  <c r="F338" i="2"/>
  <c r="G338" i="2"/>
  <c r="H338" i="2"/>
  <c r="I338" i="2"/>
  <c r="J338" i="2"/>
  <c r="K338" i="2"/>
  <c r="L338" i="2"/>
  <c r="M338" i="2"/>
  <c r="N338" i="2"/>
  <c r="O338" i="2"/>
  <c r="P338" i="2"/>
  <c r="Q338" i="2"/>
  <c r="R338" i="2"/>
  <c r="S338" i="2"/>
  <c r="T338" i="2"/>
  <c r="U338" i="2"/>
  <c r="V338" i="2"/>
  <c r="W338" i="2"/>
  <c r="Y338" i="2"/>
  <c r="Z338" i="2"/>
  <c r="AA338" i="2"/>
  <c r="AB338" i="2"/>
  <c r="AC338" i="2"/>
  <c r="AD338" i="2"/>
  <c r="AE338" i="2"/>
  <c r="AF338" i="2"/>
  <c r="AG338" i="2"/>
  <c r="AH338" i="2"/>
  <c r="AI338" i="2"/>
  <c r="AJ338" i="2"/>
  <c r="AK338" i="2"/>
  <c r="AL338" i="2"/>
  <c r="AM338" i="2"/>
  <c r="AN338" i="2"/>
  <c r="AO338" i="2"/>
  <c r="AP338" i="2"/>
  <c r="AQ338" i="2"/>
  <c r="AR338" i="2"/>
  <c r="AS338" i="2"/>
  <c r="AT338" i="2"/>
  <c r="AU338" i="2"/>
  <c r="AV338" i="2"/>
  <c r="AW338" i="2"/>
  <c r="AX338" i="2"/>
  <c r="AY338" i="2"/>
  <c r="AZ338" i="2"/>
  <c r="BA338" i="2"/>
  <c r="BB338" i="2"/>
  <c r="BC338" i="2"/>
  <c r="BD338" i="2"/>
  <c r="BE338" i="2"/>
  <c r="CO338" i="2"/>
  <c r="E339" i="2"/>
  <c r="CM339" i="2" s="1"/>
  <c r="F339" i="2"/>
  <c r="G339" i="2"/>
  <c r="H339" i="2"/>
  <c r="I339" i="2"/>
  <c r="J339" i="2"/>
  <c r="K339" i="2"/>
  <c r="L339" i="2"/>
  <c r="M339" i="2"/>
  <c r="N339" i="2"/>
  <c r="O339" i="2"/>
  <c r="P339" i="2"/>
  <c r="Q339" i="2"/>
  <c r="R339" i="2"/>
  <c r="S339" i="2"/>
  <c r="T339" i="2"/>
  <c r="U339" i="2"/>
  <c r="V339" i="2"/>
  <c r="W339" i="2"/>
  <c r="Y339" i="2"/>
  <c r="Z339" i="2"/>
  <c r="AA339" i="2"/>
  <c r="AB339" i="2"/>
  <c r="AC339" i="2"/>
  <c r="AD339" i="2"/>
  <c r="AE339" i="2"/>
  <c r="AF339" i="2"/>
  <c r="AG339" i="2"/>
  <c r="AH339" i="2"/>
  <c r="AI339" i="2"/>
  <c r="AJ339" i="2"/>
  <c r="AK339" i="2"/>
  <c r="AL339" i="2"/>
  <c r="AM339" i="2"/>
  <c r="AN339" i="2"/>
  <c r="AO339" i="2"/>
  <c r="AP339" i="2"/>
  <c r="AQ339" i="2"/>
  <c r="AR339" i="2"/>
  <c r="AS339" i="2"/>
  <c r="AT339" i="2"/>
  <c r="AU339" i="2"/>
  <c r="AV339" i="2"/>
  <c r="AW339" i="2"/>
  <c r="AX339" i="2"/>
  <c r="AY339" i="2"/>
  <c r="AZ339" i="2"/>
  <c r="BA339" i="2"/>
  <c r="BB339" i="2"/>
  <c r="BC339" i="2"/>
  <c r="BD339" i="2"/>
  <c r="BE339" i="2"/>
  <c r="CO339" i="2"/>
  <c r="E340" i="2"/>
  <c r="CM340" i="2" s="1"/>
  <c r="F340" i="2"/>
  <c r="G340" i="2"/>
  <c r="H340" i="2"/>
  <c r="I340" i="2"/>
  <c r="J340" i="2"/>
  <c r="K340" i="2"/>
  <c r="L340" i="2"/>
  <c r="M340" i="2"/>
  <c r="N340" i="2"/>
  <c r="O340" i="2"/>
  <c r="P340" i="2"/>
  <c r="Q340" i="2"/>
  <c r="R340" i="2"/>
  <c r="S340" i="2"/>
  <c r="T340" i="2"/>
  <c r="U340" i="2"/>
  <c r="V340" i="2"/>
  <c r="W340" i="2"/>
  <c r="Y340" i="2"/>
  <c r="Z340" i="2"/>
  <c r="AA340" i="2"/>
  <c r="AB340" i="2"/>
  <c r="AC340" i="2"/>
  <c r="AD340" i="2"/>
  <c r="AE340" i="2"/>
  <c r="AF340" i="2"/>
  <c r="AG340" i="2"/>
  <c r="AH340" i="2"/>
  <c r="AI340" i="2"/>
  <c r="AJ340" i="2"/>
  <c r="AK340" i="2"/>
  <c r="AL340" i="2"/>
  <c r="AM340" i="2"/>
  <c r="AN340" i="2"/>
  <c r="AO340" i="2"/>
  <c r="AP340" i="2"/>
  <c r="AQ340" i="2"/>
  <c r="AR340" i="2"/>
  <c r="AS340" i="2"/>
  <c r="AT340" i="2"/>
  <c r="AU340" i="2"/>
  <c r="AV340" i="2"/>
  <c r="AW340" i="2"/>
  <c r="AX340" i="2"/>
  <c r="AY340" i="2"/>
  <c r="AZ340" i="2"/>
  <c r="BA340" i="2"/>
  <c r="BB340" i="2"/>
  <c r="BC340" i="2"/>
  <c r="BD340" i="2"/>
  <c r="BE340" i="2"/>
  <c r="CO340" i="2"/>
  <c r="E341" i="2"/>
  <c r="CM341" i="2" s="1"/>
  <c r="F341" i="2"/>
  <c r="G341" i="2"/>
  <c r="H341" i="2"/>
  <c r="I341" i="2"/>
  <c r="J341" i="2"/>
  <c r="K341" i="2"/>
  <c r="L341" i="2"/>
  <c r="M341" i="2"/>
  <c r="N341" i="2"/>
  <c r="O341" i="2"/>
  <c r="P341" i="2"/>
  <c r="Q341" i="2"/>
  <c r="R341" i="2"/>
  <c r="S341" i="2"/>
  <c r="T341" i="2"/>
  <c r="U341" i="2"/>
  <c r="V341" i="2"/>
  <c r="W341" i="2"/>
  <c r="Y341" i="2"/>
  <c r="Z341" i="2"/>
  <c r="AA341" i="2"/>
  <c r="AB341" i="2"/>
  <c r="AC341" i="2"/>
  <c r="AD341" i="2"/>
  <c r="AE341" i="2"/>
  <c r="AF341" i="2"/>
  <c r="AG341" i="2"/>
  <c r="AH341" i="2"/>
  <c r="AI341" i="2"/>
  <c r="AJ341" i="2"/>
  <c r="AK341" i="2"/>
  <c r="AL341" i="2"/>
  <c r="AM341" i="2"/>
  <c r="AN341" i="2"/>
  <c r="AO341" i="2"/>
  <c r="AP341" i="2"/>
  <c r="AQ341" i="2"/>
  <c r="AR341" i="2"/>
  <c r="AS341" i="2"/>
  <c r="AT341" i="2"/>
  <c r="AU341" i="2"/>
  <c r="AV341" i="2"/>
  <c r="AW341" i="2"/>
  <c r="AX341" i="2"/>
  <c r="AY341" i="2"/>
  <c r="AZ341" i="2"/>
  <c r="BA341" i="2"/>
  <c r="BB341" i="2"/>
  <c r="BC341" i="2"/>
  <c r="BD341" i="2"/>
  <c r="BE341" i="2"/>
  <c r="CO341" i="2"/>
  <c r="E342" i="2"/>
  <c r="CM342" i="2" s="1"/>
  <c r="F342" i="2"/>
  <c r="G342" i="2"/>
  <c r="H342" i="2"/>
  <c r="I342" i="2"/>
  <c r="J342" i="2"/>
  <c r="K342" i="2"/>
  <c r="L342" i="2"/>
  <c r="M342" i="2"/>
  <c r="N342" i="2"/>
  <c r="O342" i="2"/>
  <c r="P342" i="2"/>
  <c r="Q342" i="2"/>
  <c r="R342" i="2"/>
  <c r="S342" i="2"/>
  <c r="T342" i="2"/>
  <c r="U342" i="2"/>
  <c r="V342" i="2"/>
  <c r="W342" i="2"/>
  <c r="Y342" i="2"/>
  <c r="Z342" i="2"/>
  <c r="AA342" i="2"/>
  <c r="AB342" i="2"/>
  <c r="AC342" i="2"/>
  <c r="AD342" i="2"/>
  <c r="AE342" i="2"/>
  <c r="AF342" i="2"/>
  <c r="AG342" i="2"/>
  <c r="AH342" i="2"/>
  <c r="AI342" i="2"/>
  <c r="AJ342" i="2"/>
  <c r="AK342" i="2"/>
  <c r="AL342" i="2"/>
  <c r="AM342" i="2"/>
  <c r="AN342" i="2"/>
  <c r="AO342" i="2"/>
  <c r="AP342" i="2"/>
  <c r="AQ342" i="2"/>
  <c r="AR342" i="2"/>
  <c r="AS342" i="2"/>
  <c r="AT342" i="2"/>
  <c r="AU342" i="2"/>
  <c r="AV342" i="2"/>
  <c r="AW342" i="2"/>
  <c r="AX342" i="2"/>
  <c r="AY342" i="2"/>
  <c r="AZ342" i="2"/>
  <c r="BA342" i="2"/>
  <c r="BB342" i="2"/>
  <c r="BC342" i="2"/>
  <c r="BD342" i="2"/>
  <c r="BE342" i="2"/>
  <c r="CO342" i="2"/>
  <c r="E343" i="2"/>
  <c r="CM343" i="2" s="1"/>
  <c r="F343" i="2"/>
  <c r="G343" i="2"/>
  <c r="H343" i="2"/>
  <c r="I343" i="2"/>
  <c r="J343" i="2"/>
  <c r="K343" i="2"/>
  <c r="L343" i="2"/>
  <c r="M343" i="2"/>
  <c r="N343" i="2"/>
  <c r="O343" i="2"/>
  <c r="P343" i="2"/>
  <c r="Q343" i="2"/>
  <c r="R343" i="2"/>
  <c r="S343" i="2"/>
  <c r="T343" i="2"/>
  <c r="U343" i="2"/>
  <c r="V343" i="2"/>
  <c r="W343" i="2"/>
  <c r="Y343" i="2"/>
  <c r="Z343" i="2"/>
  <c r="AA343" i="2"/>
  <c r="AB343" i="2"/>
  <c r="AC343" i="2"/>
  <c r="AD343" i="2"/>
  <c r="AE343" i="2"/>
  <c r="AF343" i="2"/>
  <c r="AG343" i="2"/>
  <c r="AH343" i="2"/>
  <c r="AI343" i="2"/>
  <c r="AJ343" i="2"/>
  <c r="AK343" i="2"/>
  <c r="AL343" i="2"/>
  <c r="AM343" i="2"/>
  <c r="AN343" i="2"/>
  <c r="AO343" i="2"/>
  <c r="AP343" i="2"/>
  <c r="AQ343" i="2"/>
  <c r="AR343" i="2"/>
  <c r="AS343" i="2"/>
  <c r="AT343" i="2"/>
  <c r="AU343" i="2"/>
  <c r="AV343" i="2"/>
  <c r="AW343" i="2"/>
  <c r="AX343" i="2"/>
  <c r="AY343" i="2"/>
  <c r="AZ343" i="2"/>
  <c r="BA343" i="2"/>
  <c r="BB343" i="2"/>
  <c r="BC343" i="2"/>
  <c r="BD343" i="2"/>
  <c r="BE343" i="2"/>
  <c r="CO343" i="2"/>
  <c r="E344" i="2"/>
  <c r="CM344" i="2" s="1"/>
  <c r="F344" i="2"/>
  <c r="G344" i="2"/>
  <c r="H344" i="2"/>
  <c r="I344" i="2"/>
  <c r="J344" i="2"/>
  <c r="K344" i="2"/>
  <c r="L344" i="2"/>
  <c r="M344" i="2"/>
  <c r="N344" i="2"/>
  <c r="O344" i="2"/>
  <c r="P344" i="2"/>
  <c r="Q344" i="2"/>
  <c r="R344" i="2"/>
  <c r="S344" i="2"/>
  <c r="T344" i="2"/>
  <c r="U344" i="2"/>
  <c r="V344" i="2"/>
  <c r="W344" i="2"/>
  <c r="Y344" i="2"/>
  <c r="Z344" i="2"/>
  <c r="AA344" i="2"/>
  <c r="AB344" i="2"/>
  <c r="AC344" i="2"/>
  <c r="AD344" i="2"/>
  <c r="AE344" i="2"/>
  <c r="AF344" i="2"/>
  <c r="AG344" i="2"/>
  <c r="AH344" i="2"/>
  <c r="AI344" i="2"/>
  <c r="AJ344" i="2"/>
  <c r="AK344" i="2"/>
  <c r="AL344" i="2"/>
  <c r="AM344" i="2"/>
  <c r="AN344" i="2"/>
  <c r="AO344" i="2"/>
  <c r="AP344" i="2"/>
  <c r="AQ344" i="2"/>
  <c r="AR344" i="2"/>
  <c r="AS344" i="2"/>
  <c r="AT344" i="2"/>
  <c r="AU344" i="2"/>
  <c r="AV344" i="2"/>
  <c r="AW344" i="2"/>
  <c r="AX344" i="2"/>
  <c r="AY344" i="2"/>
  <c r="AZ344" i="2"/>
  <c r="BA344" i="2"/>
  <c r="BB344" i="2"/>
  <c r="BC344" i="2"/>
  <c r="BD344" i="2"/>
  <c r="BE344" i="2"/>
  <c r="CO344" i="2"/>
  <c r="E345" i="2"/>
  <c r="CM345" i="2" s="1"/>
  <c r="F345" i="2"/>
  <c r="G345" i="2"/>
  <c r="H345" i="2"/>
  <c r="I345" i="2"/>
  <c r="J345" i="2"/>
  <c r="K345" i="2"/>
  <c r="L345" i="2"/>
  <c r="M345" i="2"/>
  <c r="N345" i="2"/>
  <c r="O345" i="2"/>
  <c r="P345" i="2"/>
  <c r="Q345" i="2"/>
  <c r="R345" i="2"/>
  <c r="S345" i="2"/>
  <c r="T345" i="2"/>
  <c r="U345" i="2"/>
  <c r="V345" i="2"/>
  <c r="W345" i="2"/>
  <c r="Y345" i="2"/>
  <c r="Z345" i="2"/>
  <c r="AA345" i="2"/>
  <c r="AB345" i="2"/>
  <c r="AC345" i="2"/>
  <c r="AD345" i="2"/>
  <c r="AE345" i="2"/>
  <c r="AF345" i="2"/>
  <c r="AG345" i="2"/>
  <c r="AH345" i="2"/>
  <c r="AI345" i="2"/>
  <c r="AJ345" i="2"/>
  <c r="AK345" i="2"/>
  <c r="AL345" i="2"/>
  <c r="AM345" i="2"/>
  <c r="AN345" i="2"/>
  <c r="AO345" i="2"/>
  <c r="AP345" i="2"/>
  <c r="AQ345" i="2"/>
  <c r="AR345" i="2"/>
  <c r="AS345" i="2"/>
  <c r="AT345" i="2"/>
  <c r="AU345" i="2"/>
  <c r="AV345" i="2"/>
  <c r="AW345" i="2"/>
  <c r="AX345" i="2"/>
  <c r="AY345" i="2"/>
  <c r="AZ345" i="2"/>
  <c r="BA345" i="2"/>
  <c r="BB345" i="2"/>
  <c r="BC345" i="2"/>
  <c r="BD345" i="2"/>
  <c r="BE345" i="2"/>
  <c r="CO345" i="2"/>
  <c r="E346" i="2"/>
  <c r="CM346" i="2" s="1"/>
  <c r="F346" i="2"/>
  <c r="G346" i="2"/>
  <c r="H346" i="2"/>
  <c r="I346" i="2"/>
  <c r="J346" i="2"/>
  <c r="K346" i="2"/>
  <c r="L346" i="2"/>
  <c r="M346" i="2"/>
  <c r="N346" i="2"/>
  <c r="O346" i="2"/>
  <c r="P346" i="2"/>
  <c r="Q346" i="2"/>
  <c r="R346" i="2"/>
  <c r="S346" i="2"/>
  <c r="T346" i="2"/>
  <c r="U346" i="2"/>
  <c r="V346" i="2"/>
  <c r="W346" i="2"/>
  <c r="Y346" i="2"/>
  <c r="Z346" i="2"/>
  <c r="AA346" i="2"/>
  <c r="AB346" i="2"/>
  <c r="AC346" i="2"/>
  <c r="AD346" i="2"/>
  <c r="AE346" i="2"/>
  <c r="AF346" i="2"/>
  <c r="AG346" i="2"/>
  <c r="AH346" i="2"/>
  <c r="AI346" i="2"/>
  <c r="AJ346" i="2"/>
  <c r="AK346" i="2"/>
  <c r="AL346" i="2"/>
  <c r="AM346" i="2"/>
  <c r="AN346" i="2"/>
  <c r="AO346" i="2"/>
  <c r="AP346" i="2"/>
  <c r="AQ346" i="2"/>
  <c r="AR346" i="2"/>
  <c r="AS346" i="2"/>
  <c r="AT346" i="2"/>
  <c r="AU346" i="2"/>
  <c r="AV346" i="2"/>
  <c r="AW346" i="2"/>
  <c r="AX346" i="2"/>
  <c r="AY346" i="2"/>
  <c r="AZ346" i="2"/>
  <c r="BA346" i="2"/>
  <c r="BB346" i="2"/>
  <c r="BC346" i="2"/>
  <c r="BD346" i="2"/>
  <c r="BE346" i="2"/>
  <c r="CO346" i="2"/>
  <c r="E347" i="2"/>
  <c r="CM347" i="2" s="1"/>
  <c r="F347" i="2"/>
  <c r="G347" i="2"/>
  <c r="H347" i="2"/>
  <c r="I347" i="2"/>
  <c r="J347" i="2"/>
  <c r="K347" i="2"/>
  <c r="L347" i="2"/>
  <c r="M347" i="2"/>
  <c r="N347" i="2"/>
  <c r="O347" i="2"/>
  <c r="P347" i="2"/>
  <c r="Q347" i="2"/>
  <c r="R347" i="2"/>
  <c r="S347" i="2"/>
  <c r="T347" i="2"/>
  <c r="U347" i="2"/>
  <c r="V347" i="2"/>
  <c r="W347" i="2"/>
  <c r="Y347" i="2"/>
  <c r="Z347" i="2"/>
  <c r="AA347" i="2"/>
  <c r="AB347" i="2"/>
  <c r="AC347" i="2"/>
  <c r="AD347" i="2"/>
  <c r="AE347" i="2"/>
  <c r="AF347" i="2"/>
  <c r="AG347" i="2"/>
  <c r="AH347" i="2"/>
  <c r="AI347" i="2"/>
  <c r="AJ347" i="2"/>
  <c r="AK347" i="2"/>
  <c r="AL347" i="2"/>
  <c r="AM347" i="2"/>
  <c r="AN347" i="2"/>
  <c r="AO347" i="2"/>
  <c r="AP347" i="2"/>
  <c r="AQ347" i="2"/>
  <c r="AR347" i="2"/>
  <c r="AS347" i="2"/>
  <c r="AT347" i="2"/>
  <c r="AU347" i="2"/>
  <c r="AV347" i="2"/>
  <c r="AW347" i="2"/>
  <c r="AX347" i="2"/>
  <c r="AY347" i="2"/>
  <c r="AZ347" i="2"/>
  <c r="BA347" i="2"/>
  <c r="BB347" i="2"/>
  <c r="BC347" i="2"/>
  <c r="BD347" i="2"/>
  <c r="BE347" i="2"/>
  <c r="CO347" i="2"/>
  <c r="E348" i="2"/>
  <c r="CM348" i="2" s="1"/>
  <c r="F348" i="2"/>
  <c r="G348" i="2"/>
  <c r="H348" i="2"/>
  <c r="I348" i="2"/>
  <c r="J348" i="2"/>
  <c r="K348" i="2"/>
  <c r="L348" i="2"/>
  <c r="M348" i="2"/>
  <c r="N348" i="2"/>
  <c r="O348" i="2"/>
  <c r="P348" i="2"/>
  <c r="Q348" i="2"/>
  <c r="R348" i="2"/>
  <c r="S348" i="2"/>
  <c r="T348" i="2"/>
  <c r="U348" i="2"/>
  <c r="V348" i="2"/>
  <c r="W348" i="2"/>
  <c r="Y348" i="2"/>
  <c r="Z348" i="2"/>
  <c r="AA348" i="2"/>
  <c r="AB348" i="2"/>
  <c r="AC348" i="2"/>
  <c r="AD348" i="2"/>
  <c r="AE348" i="2"/>
  <c r="AF348" i="2"/>
  <c r="AG348" i="2"/>
  <c r="AH348" i="2"/>
  <c r="AI348" i="2"/>
  <c r="AJ348" i="2"/>
  <c r="AK348" i="2"/>
  <c r="AL348" i="2"/>
  <c r="AM348" i="2"/>
  <c r="AN348" i="2"/>
  <c r="AO348" i="2"/>
  <c r="AP348" i="2"/>
  <c r="AQ348" i="2"/>
  <c r="AR348" i="2"/>
  <c r="AS348" i="2"/>
  <c r="AT348" i="2"/>
  <c r="AU348" i="2"/>
  <c r="AV348" i="2"/>
  <c r="AW348" i="2"/>
  <c r="AX348" i="2"/>
  <c r="AY348" i="2"/>
  <c r="AZ348" i="2"/>
  <c r="BA348" i="2"/>
  <c r="BB348" i="2"/>
  <c r="BC348" i="2"/>
  <c r="BD348" i="2"/>
  <c r="BE348" i="2"/>
  <c r="CO348" i="2"/>
  <c r="E349" i="2"/>
  <c r="CM349" i="2" s="1"/>
  <c r="F349" i="2"/>
  <c r="G349" i="2"/>
  <c r="H349" i="2"/>
  <c r="I349" i="2"/>
  <c r="J349" i="2"/>
  <c r="K349" i="2"/>
  <c r="L349" i="2"/>
  <c r="M349" i="2"/>
  <c r="N349" i="2"/>
  <c r="O349" i="2"/>
  <c r="P349" i="2"/>
  <c r="Q349" i="2"/>
  <c r="R349" i="2"/>
  <c r="S349" i="2"/>
  <c r="T349" i="2"/>
  <c r="U349" i="2"/>
  <c r="V349" i="2"/>
  <c r="W349" i="2"/>
  <c r="Y349" i="2"/>
  <c r="Z349" i="2"/>
  <c r="AA349" i="2"/>
  <c r="AB349" i="2"/>
  <c r="AC349" i="2"/>
  <c r="AD349" i="2"/>
  <c r="AE349" i="2"/>
  <c r="AF349" i="2"/>
  <c r="AG349" i="2"/>
  <c r="AH349" i="2"/>
  <c r="AI349" i="2"/>
  <c r="AJ349" i="2"/>
  <c r="AK349" i="2"/>
  <c r="AL349" i="2"/>
  <c r="AM349" i="2"/>
  <c r="AN349" i="2"/>
  <c r="AO349" i="2"/>
  <c r="AP349" i="2"/>
  <c r="AQ349" i="2"/>
  <c r="AR349" i="2"/>
  <c r="AS349" i="2"/>
  <c r="AT349" i="2"/>
  <c r="AU349" i="2"/>
  <c r="AV349" i="2"/>
  <c r="AW349" i="2"/>
  <c r="AX349" i="2"/>
  <c r="AY349" i="2"/>
  <c r="AZ349" i="2"/>
  <c r="BA349" i="2"/>
  <c r="BB349" i="2"/>
  <c r="BC349" i="2"/>
  <c r="BD349" i="2"/>
  <c r="BE349" i="2"/>
  <c r="CO349" i="2"/>
  <c r="E350" i="2"/>
  <c r="CM350" i="2" s="1"/>
  <c r="F350" i="2"/>
  <c r="G350" i="2"/>
  <c r="H350" i="2"/>
  <c r="I350" i="2"/>
  <c r="J350" i="2"/>
  <c r="K350" i="2"/>
  <c r="L350" i="2"/>
  <c r="M350" i="2"/>
  <c r="N350" i="2"/>
  <c r="O350" i="2"/>
  <c r="P350" i="2"/>
  <c r="Q350" i="2"/>
  <c r="R350" i="2"/>
  <c r="S350" i="2"/>
  <c r="T350" i="2"/>
  <c r="U350" i="2"/>
  <c r="V350" i="2"/>
  <c r="W350" i="2"/>
  <c r="Y350" i="2"/>
  <c r="Z350" i="2"/>
  <c r="AA350" i="2"/>
  <c r="AB350" i="2"/>
  <c r="AC350" i="2"/>
  <c r="AD350" i="2"/>
  <c r="AE350" i="2"/>
  <c r="AF350" i="2"/>
  <c r="AG350" i="2"/>
  <c r="AH350" i="2"/>
  <c r="AI350" i="2"/>
  <c r="AJ350" i="2"/>
  <c r="AK350" i="2"/>
  <c r="AL350" i="2"/>
  <c r="AM350" i="2"/>
  <c r="AN350" i="2"/>
  <c r="AO350" i="2"/>
  <c r="AP350" i="2"/>
  <c r="AQ350" i="2"/>
  <c r="AR350" i="2"/>
  <c r="AS350" i="2"/>
  <c r="AT350" i="2"/>
  <c r="AU350" i="2"/>
  <c r="AV350" i="2"/>
  <c r="AW350" i="2"/>
  <c r="AX350" i="2"/>
  <c r="AY350" i="2"/>
  <c r="AZ350" i="2"/>
  <c r="BA350" i="2"/>
  <c r="BB350" i="2"/>
  <c r="BC350" i="2"/>
  <c r="BD350" i="2"/>
  <c r="BE350" i="2"/>
  <c r="CO350" i="2"/>
  <c r="E351" i="2"/>
  <c r="CM351" i="2" s="1"/>
  <c r="F351" i="2"/>
  <c r="G351" i="2"/>
  <c r="H351" i="2"/>
  <c r="I351" i="2"/>
  <c r="J351" i="2"/>
  <c r="K351" i="2"/>
  <c r="L351" i="2"/>
  <c r="M351" i="2"/>
  <c r="N351" i="2"/>
  <c r="O351" i="2"/>
  <c r="P351" i="2"/>
  <c r="Q351" i="2"/>
  <c r="R351" i="2"/>
  <c r="S351" i="2"/>
  <c r="T351" i="2"/>
  <c r="U351" i="2"/>
  <c r="V351" i="2"/>
  <c r="W351" i="2"/>
  <c r="Y351" i="2"/>
  <c r="Z351" i="2"/>
  <c r="AA351" i="2"/>
  <c r="AB351" i="2"/>
  <c r="AC351" i="2"/>
  <c r="AD351" i="2"/>
  <c r="AE351" i="2"/>
  <c r="AF351" i="2"/>
  <c r="AG351" i="2"/>
  <c r="AH351" i="2"/>
  <c r="AI351" i="2"/>
  <c r="AJ351" i="2"/>
  <c r="AK351" i="2"/>
  <c r="AL351" i="2"/>
  <c r="AM351" i="2"/>
  <c r="AN351" i="2"/>
  <c r="AO351" i="2"/>
  <c r="AP351" i="2"/>
  <c r="AQ351" i="2"/>
  <c r="AR351" i="2"/>
  <c r="AS351" i="2"/>
  <c r="AT351" i="2"/>
  <c r="AU351" i="2"/>
  <c r="AV351" i="2"/>
  <c r="AW351" i="2"/>
  <c r="AX351" i="2"/>
  <c r="AY351" i="2"/>
  <c r="AZ351" i="2"/>
  <c r="BA351" i="2"/>
  <c r="BB351" i="2"/>
  <c r="BC351" i="2"/>
  <c r="BD351" i="2"/>
  <c r="BE351" i="2"/>
  <c r="CO351" i="2"/>
  <c r="E352" i="2"/>
  <c r="CM352" i="2" s="1"/>
  <c r="F352" i="2"/>
  <c r="G352" i="2"/>
  <c r="H352" i="2"/>
  <c r="I352" i="2"/>
  <c r="J352" i="2"/>
  <c r="K352" i="2"/>
  <c r="L352" i="2"/>
  <c r="M352" i="2"/>
  <c r="N352" i="2"/>
  <c r="O352" i="2"/>
  <c r="P352" i="2"/>
  <c r="Q352" i="2"/>
  <c r="R352" i="2"/>
  <c r="S352" i="2"/>
  <c r="T352" i="2"/>
  <c r="U352" i="2"/>
  <c r="V352" i="2"/>
  <c r="W352" i="2"/>
  <c r="Y352" i="2"/>
  <c r="Z352" i="2"/>
  <c r="AA352" i="2"/>
  <c r="AB352" i="2"/>
  <c r="AC352" i="2"/>
  <c r="AD352" i="2"/>
  <c r="AE352" i="2"/>
  <c r="AF352" i="2"/>
  <c r="AG352" i="2"/>
  <c r="AH352" i="2"/>
  <c r="AI352" i="2"/>
  <c r="AJ352" i="2"/>
  <c r="AK352" i="2"/>
  <c r="AL352" i="2"/>
  <c r="AM352" i="2"/>
  <c r="AN352" i="2"/>
  <c r="AO352" i="2"/>
  <c r="AP352" i="2"/>
  <c r="AQ352" i="2"/>
  <c r="AR352" i="2"/>
  <c r="AS352" i="2"/>
  <c r="AT352" i="2"/>
  <c r="AU352" i="2"/>
  <c r="AV352" i="2"/>
  <c r="AW352" i="2"/>
  <c r="AX352" i="2"/>
  <c r="AY352" i="2"/>
  <c r="AZ352" i="2"/>
  <c r="BA352" i="2"/>
  <c r="BB352" i="2"/>
  <c r="BC352" i="2"/>
  <c r="BD352" i="2"/>
  <c r="BE352" i="2"/>
  <c r="CO352" i="2"/>
  <c r="E353" i="2"/>
  <c r="CM353" i="2" s="1"/>
  <c r="F353" i="2"/>
  <c r="G353" i="2"/>
  <c r="H353" i="2"/>
  <c r="I353" i="2"/>
  <c r="J353" i="2"/>
  <c r="K353" i="2"/>
  <c r="L353" i="2"/>
  <c r="M353" i="2"/>
  <c r="N353" i="2"/>
  <c r="O353" i="2"/>
  <c r="P353" i="2"/>
  <c r="Q353" i="2"/>
  <c r="R353" i="2"/>
  <c r="S353" i="2"/>
  <c r="T353" i="2"/>
  <c r="U353" i="2"/>
  <c r="V353" i="2"/>
  <c r="W353" i="2"/>
  <c r="Y353" i="2"/>
  <c r="Z353" i="2"/>
  <c r="AA353" i="2"/>
  <c r="AB353" i="2"/>
  <c r="AC353" i="2"/>
  <c r="AD353" i="2"/>
  <c r="AE353" i="2"/>
  <c r="AF353" i="2"/>
  <c r="AG353" i="2"/>
  <c r="AH353" i="2"/>
  <c r="AI353" i="2"/>
  <c r="AJ353" i="2"/>
  <c r="AK353" i="2"/>
  <c r="AL353" i="2"/>
  <c r="AM353" i="2"/>
  <c r="AN353" i="2"/>
  <c r="AO353" i="2"/>
  <c r="AP353" i="2"/>
  <c r="AQ353" i="2"/>
  <c r="AR353" i="2"/>
  <c r="AS353" i="2"/>
  <c r="AT353" i="2"/>
  <c r="AU353" i="2"/>
  <c r="AV353" i="2"/>
  <c r="AW353" i="2"/>
  <c r="AX353" i="2"/>
  <c r="AY353" i="2"/>
  <c r="AZ353" i="2"/>
  <c r="BA353" i="2"/>
  <c r="BB353" i="2"/>
  <c r="BC353" i="2"/>
  <c r="BD353" i="2"/>
  <c r="BE353" i="2"/>
  <c r="CO353" i="2"/>
  <c r="E354" i="2"/>
  <c r="F354" i="2"/>
  <c r="H354" i="2"/>
  <c r="I354" i="2"/>
  <c r="J354" i="2"/>
  <c r="K354" i="2"/>
  <c r="L354" i="2"/>
  <c r="M354" i="2"/>
  <c r="N354" i="2"/>
  <c r="O354" i="2"/>
  <c r="P354" i="2"/>
  <c r="Q354" i="2"/>
  <c r="R354" i="2"/>
  <c r="S354" i="2"/>
  <c r="T354" i="2"/>
  <c r="U354" i="2"/>
  <c r="V354" i="2"/>
  <c r="W354" i="2"/>
  <c r="Y354" i="2"/>
  <c r="Z354" i="2"/>
  <c r="AA354" i="2"/>
  <c r="AB354" i="2"/>
  <c r="AC354" i="2"/>
  <c r="AD354" i="2"/>
  <c r="AE354" i="2"/>
  <c r="AF354" i="2"/>
  <c r="AG354" i="2"/>
  <c r="AH354" i="2"/>
  <c r="AI354" i="2"/>
  <c r="AJ354" i="2"/>
  <c r="AK354" i="2"/>
  <c r="AL354" i="2"/>
  <c r="AM354" i="2"/>
  <c r="AN354" i="2"/>
  <c r="AO354" i="2"/>
  <c r="AP354" i="2"/>
  <c r="AQ354" i="2"/>
  <c r="AR354" i="2"/>
  <c r="AS354" i="2"/>
  <c r="AT354" i="2"/>
  <c r="AU354" i="2"/>
  <c r="AV354" i="2"/>
  <c r="AW354" i="2"/>
  <c r="AX354" i="2"/>
  <c r="AY354" i="2"/>
  <c r="AZ354" i="2"/>
  <c r="BA354" i="2"/>
  <c r="BB354" i="2"/>
  <c r="BC354" i="2"/>
  <c r="BD354" i="2"/>
  <c r="BE354" i="2"/>
  <c r="CO354" i="2"/>
  <c r="E355" i="2"/>
  <c r="F355" i="2"/>
  <c r="H355" i="2"/>
  <c r="I355" i="2"/>
  <c r="J355" i="2"/>
  <c r="K355" i="2"/>
  <c r="L355" i="2"/>
  <c r="M355" i="2"/>
  <c r="N355" i="2"/>
  <c r="O355" i="2"/>
  <c r="P355" i="2"/>
  <c r="Q355" i="2"/>
  <c r="R355" i="2"/>
  <c r="S355" i="2"/>
  <c r="T355" i="2"/>
  <c r="U355" i="2"/>
  <c r="V355" i="2"/>
  <c r="W355" i="2"/>
  <c r="Y355" i="2"/>
  <c r="Z355" i="2"/>
  <c r="AA355" i="2"/>
  <c r="AB355" i="2"/>
  <c r="AC355" i="2"/>
  <c r="AD355" i="2"/>
  <c r="AE355" i="2"/>
  <c r="AF355" i="2"/>
  <c r="AG355" i="2"/>
  <c r="AH355" i="2"/>
  <c r="AI355" i="2"/>
  <c r="AJ355" i="2"/>
  <c r="AK355" i="2"/>
  <c r="AL355" i="2"/>
  <c r="AM355" i="2"/>
  <c r="AN355" i="2"/>
  <c r="AO355" i="2"/>
  <c r="AP355" i="2"/>
  <c r="AQ355" i="2"/>
  <c r="AR355" i="2"/>
  <c r="AS355" i="2"/>
  <c r="AT355" i="2"/>
  <c r="AU355" i="2"/>
  <c r="AV355" i="2"/>
  <c r="AW355" i="2"/>
  <c r="AX355" i="2"/>
  <c r="AY355" i="2"/>
  <c r="AZ355" i="2"/>
  <c r="BA355" i="2"/>
  <c r="BB355" i="2"/>
  <c r="BC355" i="2"/>
  <c r="BD355" i="2"/>
  <c r="BE355" i="2"/>
  <c r="CO355" i="2"/>
  <c r="E356" i="2"/>
  <c r="F356" i="2"/>
  <c r="H356" i="2"/>
  <c r="I356" i="2"/>
  <c r="J356" i="2"/>
  <c r="K356" i="2"/>
  <c r="L356" i="2"/>
  <c r="M356" i="2"/>
  <c r="N356" i="2"/>
  <c r="O356" i="2"/>
  <c r="P356" i="2"/>
  <c r="Q356" i="2"/>
  <c r="R356" i="2"/>
  <c r="S356" i="2"/>
  <c r="T356" i="2"/>
  <c r="U356" i="2"/>
  <c r="V356" i="2"/>
  <c r="W356" i="2"/>
  <c r="Y356" i="2"/>
  <c r="Z356" i="2"/>
  <c r="AA356" i="2"/>
  <c r="AB356" i="2"/>
  <c r="AC356" i="2"/>
  <c r="AD356" i="2"/>
  <c r="AE356" i="2"/>
  <c r="AF356" i="2"/>
  <c r="AG356" i="2"/>
  <c r="AH356" i="2"/>
  <c r="AI356" i="2"/>
  <c r="AJ356" i="2"/>
  <c r="AK356" i="2"/>
  <c r="AL356" i="2"/>
  <c r="AM356" i="2"/>
  <c r="AN356" i="2"/>
  <c r="AO356" i="2"/>
  <c r="AP356" i="2"/>
  <c r="AQ356" i="2"/>
  <c r="AR356" i="2"/>
  <c r="AS356" i="2"/>
  <c r="AT356" i="2"/>
  <c r="AU356" i="2"/>
  <c r="AV356" i="2"/>
  <c r="AW356" i="2"/>
  <c r="AX356" i="2"/>
  <c r="AY356" i="2"/>
  <c r="AZ356" i="2"/>
  <c r="BA356" i="2"/>
  <c r="BB356" i="2"/>
  <c r="BC356" i="2"/>
  <c r="BD356" i="2"/>
  <c r="BE356" i="2"/>
  <c r="CO356" i="2"/>
  <c r="E357" i="2"/>
  <c r="CM357" i="2" s="1"/>
  <c r="F357" i="2"/>
  <c r="G357" i="2"/>
  <c r="H357" i="2"/>
  <c r="I357" i="2"/>
  <c r="J357" i="2"/>
  <c r="K357" i="2"/>
  <c r="L357" i="2"/>
  <c r="M357" i="2"/>
  <c r="N357" i="2"/>
  <c r="O357" i="2"/>
  <c r="P357" i="2"/>
  <c r="Q357" i="2"/>
  <c r="R357" i="2"/>
  <c r="S357" i="2"/>
  <c r="T357" i="2"/>
  <c r="U357" i="2"/>
  <c r="V357" i="2"/>
  <c r="W357" i="2"/>
  <c r="Y357" i="2"/>
  <c r="Z357" i="2"/>
  <c r="AA357" i="2"/>
  <c r="AB357" i="2"/>
  <c r="AC357" i="2"/>
  <c r="AD357" i="2"/>
  <c r="AE357" i="2"/>
  <c r="AF357" i="2"/>
  <c r="AG357" i="2"/>
  <c r="AH357" i="2"/>
  <c r="AI357" i="2"/>
  <c r="AJ357" i="2"/>
  <c r="AK357" i="2"/>
  <c r="AL357" i="2"/>
  <c r="AM357" i="2"/>
  <c r="AN357" i="2"/>
  <c r="AO357" i="2"/>
  <c r="AP357" i="2"/>
  <c r="AQ357" i="2"/>
  <c r="AR357" i="2"/>
  <c r="AS357" i="2"/>
  <c r="AT357" i="2"/>
  <c r="AU357" i="2"/>
  <c r="AV357" i="2"/>
  <c r="AW357" i="2"/>
  <c r="AX357" i="2"/>
  <c r="AY357" i="2"/>
  <c r="AZ357" i="2"/>
  <c r="BA357" i="2"/>
  <c r="BB357" i="2"/>
  <c r="BC357" i="2"/>
  <c r="BD357" i="2"/>
  <c r="BE357" i="2"/>
  <c r="CO357" i="2"/>
  <c r="E358" i="2"/>
  <c r="CM358" i="2" s="1"/>
  <c r="F358" i="2"/>
  <c r="G358" i="2"/>
  <c r="H358" i="2"/>
  <c r="I358" i="2"/>
  <c r="J358" i="2"/>
  <c r="K358" i="2"/>
  <c r="L358" i="2"/>
  <c r="M358" i="2"/>
  <c r="N358" i="2"/>
  <c r="O358" i="2"/>
  <c r="P358" i="2"/>
  <c r="Q358" i="2"/>
  <c r="R358" i="2"/>
  <c r="S358" i="2"/>
  <c r="T358" i="2"/>
  <c r="U358" i="2"/>
  <c r="V358" i="2"/>
  <c r="W358" i="2"/>
  <c r="Y358" i="2"/>
  <c r="Z358" i="2"/>
  <c r="AA358" i="2"/>
  <c r="AB358" i="2"/>
  <c r="AC358" i="2"/>
  <c r="AD358" i="2"/>
  <c r="AE358" i="2"/>
  <c r="AF358" i="2"/>
  <c r="AG358" i="2"/>
  <c r="AH358" i="2"/>
  <c r="AI358" i="2"/>
  <c r="AJ358" i="2"/>
  <c r="AK358" i="2"/>
  <c r="AL358" i="2"/>
  <c r="AM358" i="2"/>
  <c r="AN358" i="2"/>
  <c r="AO358" i="2"/>
  <c r="AP358" i="2"/>
  <c r="AQ358" i="2"/>
  <c r="AR358" i="2"/>
  <c r="AS358" i="2"/>
  <c r="AT358" i="2"/>
  <c r="AU358" i="2"/>
  <c r="AV358" i="2"/>
  <c r="AW358" i="2"/>
  <c r="AX358" i="2"/>
  <c r="AY358" i="2"/>
  <c r="AZ358" i="2"/>
  <c r="BA358" i="2"/>
  <c r="BB358" i="2"/>
  <c r="BC358" i="2"/>
  <c r="BD358" i="2"/>
  <c r="BE358" i="2"/>
  <c r="CO358" i="2"/>
  <c r="E359" i="2"/>
  <c r="CM359" i="2" s="1"/>
  <c r="F359" i="2"/>
  <c r="G359" i="2"/>
  <c r="H359" i="2"/>
  <c r="I359" i="2"/>
  <c r="J359" i="2"/>
  <c r="K359" i="2"/>
  <c r="L359" i="2"/>
  <c r="M359" i="2"/>
  <c r="N359" i="2"/>
  <c r="O359" i="2"/>
  <c r="P359" i="2"/>
  <c r="Q359" i="2"/>
  <c r="R359" i="2"/>
  <c r="S359" i="2"/>
  <c r="T359" i="2"/>
  <c r="U359" i="2"/>
  <c r="V359" i="2"/>
  <c r="W359" i="2"/>
  <c r="Y359" i="2"/>
  <c r="Z359" i="2"/>
  <c r="AA359" i="2"/>
  <c r="AB359" i="2"/>
  <c r="AC359" i="2"/>
  <c r="AD359" i="2"/>
  <c r="AE359" i="2"/>
  <c r="AF359" i="2"/>
  <c r="AG359" i="2"/>
  <c r="AH359" i="2"/>
  <c r="AI359" i="2"/>
  <c r="AJ359" i="2"/>
  <c r="AK359" i="2"/>
  <c r="AL359" i="2"/>
  <c r="AM359" i="2"/>
  <c r="AN359" i="2"/>
  <c r="AO359" i="2"/>
  <c r="AP359" i="2"/>
  <c r="AQ359" i="2"/>
  <c r="AR359" i="2"/>
  <c r="AS359" i="2"/>
  <c r="AT359" i="2"/>
  <c r="AU359" i="2"/>
  <c r="AV359" i="2"/>
  <c r="AW359" i="2"/>
  <c r="AX359" i="2"/>
  <c r="AY359" i="2"/>
  <c r="AZ359" i="2"/>
  <c r="BA359" i="2"/>
  <c r="BB359" i="2"/>
  <c r="BC359" i="2"/>
  <c r="BD359" i="2"/>
  <c r="BE359" i="2"/>
  <c r="CO359" i="2"/>
  <c r="E360" i="2"/>
  <c r="F360" i="2"/>
  <c r="H360" i="2"/>
  <c r="I360" i="2"/>
  <c r="J360" i="2"/>
  <c r="K360" i="2"/>
  <c r="L360" i="2"/>
  <c r="M360" i="2"/>
  <c r="N360" i="2"/>
  <c r="O360" i="2"/>
  <c r="P360" i="2"/>
  <c r="Q360" i="2"/>
  <c r="R360" i="2"/>
  <c r="S360" i="2"/>
  <c r="T360" i="2"/>
  <c r="U360" i="2"/>
  <c r="V360" i="2"/>
  <c r="W360" i="2"/>
  <c r="Y360" i="2"/>
  <c r="Z360" i="2"/>
  <c r="AA360" i="2"/>
  <c r="AB360" i="2"/>
  <c r="AC360" i="2"/>
  <c r="AD360" i="2"/>
  <c r="AE360" i="2"/>
  <c r="AF360" i="2"/>
  <c r="AG360" i="2"/>
  <c r="AH360" i="2"/>
  <c r="AI360" i="2"/>
  <c r="AJ360" i="2"/>
  <c r="AK360" i="2"/>
  <c r="AL360" i="2"/>
  <c r="AM360" i="2"/>
  <c r="AN360" i="2"/>
  <c r="AO360" i="2"/>
  <c r="AP360" i="2"/>
  <c r="AQ360" i="2"/>
  <c r="AR360" i="2"/>
  <c r="AS360" i="2"/>
  <c r="AT360" i="2"/>
  <c r="AU360" i="2"/>
  <c r="AV360" i="2"/>
  <c r="AW360" i="2"/>
  <c r="AX360" i="2"/>
  <c r="AY360" i="2"/>
  <c r="AZ360" i="2"/>
  <c r="BA360" i="2"/>
  <c r="BB360" i="2"/>
  <c r="BC360" i="2"/>
  <c r="BD360" i="2"/>
  <c r="BE360" i="2"/>
  <c r="CO360" i="2"/>
  <c r="E361" i="2"/>
  <c r="F361" i="2"/>
  <c r="H361" i="2"/>
  <c r="I361" i="2"/>
  <c r="J361" i="2"/>
  <c r="K361" i="2"/>
  <c r="L361" i="2"/>
  <c r="M361" i="2"/>
  <c r="N361" i="2"/>
  <c r="O361" i="2"/>
  <c r="P361" i="2"/>
  <c r="Q361" i="2"/>
  <c r="R361" i="2"/>
  <c r="S361" i="2"/>
  <c r="T361" i="2"/>
  <c r="U361" i="2"/>
  <c r="V361" i="2"/>
  <c r="W361" i="2"/>
  <c r="Y361" i="2"/>
  <c r="Z361" i="2"/>
  <c r="AA361" i="2"/>
  <c r="AB361" i="2"/>
  <c r="AC361" i="2"/>
  <c r="AD361" i="2"/>
  <c r="AE361" i="2"/>
  <c r="AF361" i="2"/>
  <c r="AG361" i="2"/>
  <c r="AH361" i="2"/>
  <c r="AI361" i="2"/>
  <c r="AJ361" i="2"/>
  <c r="AK361" i="2"/>
  <c r="AL361" i="2"/>
  <c r="AM361" i="2"/>
  <c r="AN361" i="2"/>
  <c r="AO361" i="2"/>
  <c r="AP361" i="2"/>
  <c r="AQ361" i="2"/>
  <c r="AR361" i="2"/>
  <c r="AS361" i="2"/>
  <c r="AT361" i="2"/>
  <c r="AU361" i="2"/>
  <c r="AV361" i="2"/>
  <c r="AW361" i="2"/>
  <c r="AX361" i="2"/>
  <c r="AY361" i="2"/>
  <c r="AZ361" i="2"/>
  <c r="BA361" i="2"/>
  <c r="BB361" i="2"/>
  <c r="BC361" i="2"/>
  <c r="BD361" i="2"/>
  <c r="BE361" i="2"/>
  <c r="CO361" i="2"/>
  <c r="E362" i="2"/>
  <c r="F362" i="2"/>
  <c r="H362" i="2"/>
  <c r="I362" i="2"/>
  <c r="J362" i="2"/>
  <c r="K362" i="2"/>
  <c r="L362" i="2"/>
  <c r="M362" i="2"/>
  <c r="N362" i="2"/>
  <c r="O362" i="2"/>
  <c r="P362" i="2"/>
  <c r="Q362" i="2"/>
  <c r="R362" i="2"/>
  <c r="S362" i="2"/>
  <c r="T362" i="2"/>
  <c r="U362" i="2"/>
  <c r="V362" i="2"/>
  <c r="W362" i="2"/>
  <c r="Y362" i="2"/>
  <c r="Z362" i="2"/>
  <c r="AA362" i="2"/>
  <c r="AB362" i="2"/>
  <c r="AC362" i="2"/>
  <c r="AD362" i="2"/>
  <c r="AE362" i="2"/>
  <c r="AF362" i="2"/>
  <c r="AG362" i="2"/>
  <c r="AH362" i="2"/>
  <c r="AI362" i="2"/>
  <c r="AJ362" i="2"/>
  <c r="AK362" i="2"/>
  <c r="AL362" i="2"/>
  <c r="AM362" i="2"/>
  <c r="AN362" i="2"/>
  <c r="AO362" i="2"/>
  <c r="AP362" i="2"/>
  <c r="AQ362" i="2"/>
  <c r="AR362" i="2"/>
  <c r="AS362" i="2"/>
  <c r="AT362" i="2"/>
  <c r="AU362" i="2"/>
  <c r="AV362" i="2"/>
  <c r="AW362" i="2"/>
  <c r="AX362" i="2"/>
  <c r="AY362" i="2"/>
  <c r="AZ362" i="2"/>
  <c r="BA362" i="2"/>
  <c r="BB362" i="2"/>
  <c r="BC362" i="2"/>
  <c r="BD362" i="2"/>
  <c r="BE362" i="2"/>
  <c r="CO362" i="2"/>
  <c r="E363" i="2"/>
  <c r="CM363" i="2" s="1"/>
  <c r="F363" i="2"/>
  <c r="G363" i="2"/>
  <c r="H363" i="2"/>
  <c r="I363" i="2"/>
  <c r="J363" i="2"/>
  <c r="K363" i="2"/>
  <c r="L363" i="2"/>
  <c r="M363" i="2"/>
  <c r="N363" i="2"/>
  <c r="O363" i="2"/>
  <c r="P363" i="2"/>
  <c r="Q363" i="2"/>
  <c r="R363" i="2"/>
  <c r="S363" i="2"/>
  <c r="T363" i="2"/>
  <c r="U363" i="2"/>
  <c r="V363" i="2"/>
  <c r="W363" i="2"/>
  <c r="Y363" i="2"/>
  <c r="Z363" i="2"/>
  <c r="AA363" i="2"/>
  <c r="AB363" i="2"/>
  <c r="AC363" i="2"/>
  <c r="AD363" i="2"/>
  <c r="AE363" i="2"/>
  <c r="AF363" i="2"/>
  <c r="AG363" i="2"/>
  <c r="AH363" i="2"/>
  <c r="AI363" i="2"/>
  <c r="AJ363" i="2"/>
  <c r="AK363" i="2"/>
  <c r="AL363" i="2"/>
  <c r="AM363" i="2"/>
  <c r="AN363" i="2"/>
  <c r="AO363" i="2"/>
  <c r="AP363" i="2"/>
  <c r="AQ363" i="2"/>
  <c r="AR363" i="2"/>
  <c r="AS363" i="2"/>
  <c r="AT363" i="2"/>
  <c r="AU363" i="2"/>
  <c r="AV363" i="2"/>
  <c r="AW363" i="2"/>
  <c r="AX363" i="2"/>
  <c r="AY363" i="2"/>
  <c r="AZ363" i="2"/>
  <c r="BA363" i="2"/>
  <c r="BB363" i="2"/>
  <c r="BC363" i="2"/>
  <c r="BD363" i="2"/>
  <c r="BE363" i="2"/>
  <c r="CO363" i="2"/>
  <c r="E364" i="2"/>
  <c r="F364" i="2"/>
  <c r="H364" i="2"/>
  <c r="I364" i="2"/>
  <c r="J364" i="2"/>
  <c r="K364" i="2"/>
  <c r="L364" i="2"/>
  <c r="M364" i="2"/>
  <c r="N364" i="2"/>
  <c r="O364" i="2"/>
  <c r="P364" i="2"/>
  <c r="Q364" i="2"/>
  <c r="R364" i="2"/>
  <c r="S364" i="2"/>
  <c r="T364" i="2"/>
  <c r="U364" i="2"/>
  <c r="V364" i="2"/>
  <c r="W364" i="2"/>
  <c r="Y364" i="2"/>
  <c r="Z364" i="2"/>
  <c r="AA364" i="2"/>
  <c r="AB364" i="2"/>
  <c r="AC364" i="2"/>
  <c r="AD364" i="2"/>
  <c r="AE364" i="2"/>
  <c r="AF364" i="2"/>
  <c r="AG364" i="2"/>
  <c r="AH364" i="2"/>
  <c r="AI364" i="2"/>
  <c r="AJ364" i="2"/>
  <c r="AK364" i="2"/>
  <c r="AL364" i="2"/>
  <c r="AM364" i="2"/>
  <c r="AN364" i="2"/>
  <c r="AO364" i="2"/>
  <c r="AP364" i="2"/>
  <c r="AQ364" i="2"/>
  <c r="AR364" i="2"/>
  <c r="AS364" i="2"/>
  <c r="AT364" i="2"/>
  <c r="AU364" i="2"/>
  <c r="AV364" i="2"/>
  <c r="AW364" i="2"/>
  <c r="AX364" i="2"/>
  <c r="AY364" i="2"/>
  <c r="AZ364" i="2"/>
  <c r="BA364" i="2"/>
  <c r="BB364" i="2"/>
  <c r="BC364" i="2"/>
  <c r="BD364" i="2"/>
  <c r="BE364" i="2"/>
  <c r="CO364" i="2"/>
  <c r="E365" i="2"/>
  <c r="F365" i="2"/>
  <c r="H365" i="2"/>
  <c r="I365" i="2"/>
  <c r="J365" i="2"/>
  <c r="K365" i="2"/>
  <c r="L365" i="2"/>
  <c r="M365" i="2"/>
  <c r="N365" i="2"/>
  <c r="O365" i="2"/>
  <c r="P365" i="2"/>
  <c r="Q365" i="2"/>
  <c r="R365" i="2"/>
  <c r="S365" i="2"/>
  <c r="T365" i="2"/>
  <c r="U365" i="2"/>
  <c r="V365" i="2"/>
  <c r="W365" i="2"/>
  <c r="Y365" i="2"/>
  <c r="Z365" i="2"/>
  <c r="AA365" i="2"/>
  <c r="AB365" i="2"/>
  <c r="AC365" i="2"/>
  <c r="AD365" i="2"/>
  <c r="AE365" i="2"/>
  <c r="AF365" i="2"/>
  <c r="AG365" i="2"/>
  <c r="AH365" i="2"/>
  <c r="AI365" i="2"/>
  <c r="AJ365" i="2"/>
  <c r="AK365" i="2"/>
  <c r="AL365" i="2"/>
  <c r="AM365" i="2"/>
  <c r="AN365" i="2"/>
  <c r="AO365" i="2"/>
  <c r="AP365" i="2"/>
  <c r="AQ365" i="2"/>
  <c r="AR365" i="2"/>
  <c r="AS365" i="2"/>
  <c r="AT365" i="2"/>
  <c r="AU365" i="2"/>
  <c r="AV365" i="2"/>
  <c r="AW365" i="2"/>
  <c r="AX365" i="2"/>
  <c r="AY365" i="2"/>
  <c r="AZ365" i="2"/>
  <c r="BA365" i="2"/>
  <c r="BB365" i="2"/>
  <c r="BC365" i="2"/>
  <c r="BD365" i="2"/>
  <c r="BE365" i="2"/>
  <c r="CO365" i="2"/>
  <c r="F366" i="2"/>
  <c r="G366" i="2"/>
  <c r="H366" i="2"/>
  <c r="I366" i="2"/>
  <c r="J366" i="2"/>
  <c r="K366" i="2"/>
  <c r="L366" i="2"/>
  <c r="M366" i="2"/>
  <c r="N366" i="2"/>
  <c r="O366" i="2"/>
  <c r="P366" i="2"/>
  <c r="Q366" i="2"/>
  <c r="R366" i="2"/>
  <c r="S366" i="2"/>
  <c r="T366" i="2"/>
  <c r="U366" i="2"/>
  <c r="V366" i="2"/>
  <c r="W366" i="2"/>
  <c r="Y366" i="2"/>
  <c r="Z366" i="2"/>
  <c r="AB366" i="2"/>
  <c r="AC366" i="2"/>
  <c r="AD366" i="2"/>
  <c r="BA366" i="2"/>
  <c r="BB366" i="2"/>
  <c r="BC366" i="2"/>
  <c r="BD366" i="2"/>
  <c r="BE366" i="2"/>
  <c r="CO366" i="2"/>
  <c r="AA74" i="4"/>
  <c r="AC74" i="4"/>
  <c r="AA75" i="4"/>
  <c r="M223" i="2" s="1"/>
  <c r="N58" i="5"/>
  <c r="N56" i="5"/>
  <c r="N55" i="5"/>
  <c r="N57" i="5"/>
  <c r="N54" i="5"/>
  <c r="CN374" i="2" s="1"/>
  <c r="CS374" i="2" s="1"/>
  <c r="N53" i="5"/>
  <c r="N50" i="5"/>
  <c r="N51" i="5"/>
  <c r="N52" i="5"/>
  <c r="CA50" i="1" l="1"/>
  <c r="CA51" i="1" s="1"/>
  <c r="BE374" i="2"/>
  <c r="CL133" i="2"/>
  <c r="CL121" i="2"/>
  <c r="CL139" i="2"/>
  <c r="CL127" i="2"/>
  <c r="BD374" i="2"/>
  <c r="BZ50" i="1"/>
  <c r="BZ51" i="1" s="1"/>
  <c r="M31" i="2"/>
  <c r="M260" i="2"/>
  <c r="M186" i="2"/>
  <c r="M106" i="2"/>
  <c r="M68" i="2"/>
  <c r="CL372" i="2"/>
  <c r="CL297" i="2"/>
  <c r="CL299" i="2"/>
  <c r="CL35" i="2"/>
  <c r="CL223" i="2"/>
  <c r="CL383" i="2"/>
  <c r="CL289" i="2"/>
  <c r="CL267" i="2"/>
  <c r="CL143" i="2"/>
  <c r="CL338" i="2"/>
  <c r="CL110" i="2"/>
  <c r="CL314" i="2"/>
  <c r="CL349" i="2"/>
  <c r="CL271" i="2"/>
  <c r="CL259" i="2"/>
  <c r="CL287" i="2"/>
  <c r="CL198" i="2"/>
  <c r="CL231" i="2"/>
  <c r="CL147" i="2"/>
  <c r="CL38" i="2"/>
  <c r="CL5" i="2"/>
  <c r="CL119" i="2"/>
  <c r="CL111" i="2"/>
  <c r="CL114" i="2"/>
  <c r="CL106" i="2"/>
  <c r="CL71" i="2"/>
  <c r="CL142" i="2"/>
  <c r="CL291" i="2"/>
  <c r="CL191" i="2"/>
  <c r="CL183" i="2"/>
  <c r="CL151" i="2"/>
  <c r="CL31" i="2"/>
  <c r="CL385" i="2"/>
  <c r="CL161" i="2"/>
  <c r="CL112" i="2"/>
  <c r="CL389" i="2"/>
  <c r="CL358" i="2"/>
  <c r="CL334" i="2"/>
  <c r="CL326" i="2"/>
  <c r="CL318" i="2"/>
  <c r="CL302" i="2"/>
  <c r="CL283" i="2"/>
  <c r="CL275" i="2"/>
  <c r="CL371" i="2"/>
  <c r="CL118" i="2"/>
  <c r="CL340" i="2"/>
  <c r="CL324" i="2"/>
  <c r="CL262" i="2"/>
  <c r="CL222" i="2"/>
  <c r="CL154" i="2"/>
  <c r="CL67" i="2"/>
  <c r="CL190" i="2"/>
  <c r="CS387" i="2"/>
  <c r="CL351" i="2"/>
  <c r="CL346" i="2"/>
  <c r="CL330" i="2"/>
  <c r="CL295" i="2"/>
  <c r="CL279" i="2"/>
  <c r="CL265" i="2"/>
  <c r="CL263" i="2"/>
  <c r="CM238" i="2"/>
  <c r="CL187" i="2"/>
  <c r="CL184" i="2"/>
  <c r="CL120" i="2"/>
  <c r="CL117" i="2"/>
  <c r="CL76" i="2"/>
  <c r="CL36" i="2"/>
  <c r="CL46" i="2"/>
  <c r="CL33" i="2"/>
  <c r="CM28" i="2"/>
  <c r="CM5" i="2"/>
  <c r="CL341" i="2"/>
  <c r="CL333" i="2"/>
  <c r="CL298" i="2"/>
  <c r="CL282" i="2"/>
  <c r="CL266" i="2"/>
  <c r="CM164" i="2"/>
  <c r="CL157" i="2"/>
  <c r="CL146" i="2"/>
  <c r="CL134" i="2"/>
  <c r="CL124" i="2"/>
  <c r="CL115" i="2"/>
  <c r="CL107" i="2"/>
  <c r="CL84" i="2"/>
  <c r="CL39" i="2"/>
  <c r="CL352" i="2"/>
  <c r="CL301" i="2"/>
  <c r="CL274" i="2"/>
  <c r="CL152" i="2"/>
  <c r="CL149" i="2"/>
  <c r="CL66" i="2"/>
  <c r="CL347" i="2"/>
  <c r="CL285" i="2"/>
  <c r="CL258" i="2"/>
  <c r="CL144" i="2"/>
  <c r="CL102" i="2"/>
  <c r="CL69" i="2"/>
  <c r="CM42" i="2"/>
  <c r="CL379" i="2"/>
  <c r="CL343" i="2"/>
  <c r="CL317" i="2"/>
  <c r="CL226" i="2"/>
  <c r="CL155" i="2"/>
  <c r="CL131" i="2"/>
  <c r="CL75" i="2"/>
  <c r="CL309" i="2"/>
  <c r="CL339" i="2"/>
  <c r="CL331" i="2"/>
  <c r="CL323" i="2"/>
  <c r="CL315" i="2"/>
  <c r="CL307" i="2"/>
  <c r="CL342" i="2"/>
  <c r="CL310" i="2"/>
  <c r="CL150" i="2"/>
  <c r="CL138" i="2"/>
  <c r="CL135" i="2"/>
  <c r="CL278" i="2"/>
  <c r="CM9" i="2"/>
  <c r="CL348" i="2"/>
  <c r="CL337" i="2"/>
  <c r="CL329" i="2"/>
  <c r="CL313" i="2"/>
  <c r="CL294" i="2"/>
  <c r="CL227" i="2"/>
  <c r="CL132" i="2"/>
  <c r="CL129" i="2"/>
  <c r="CL103" i="2"/>
  <c r="CM80" i="2"/>
  <c r="CL43" i="2"/>
  <c r="CL29" i="2"/>
  <c r="CM6" i="2"/>
  <c r="CL281" i="2"/>
  <c r="CL219" i="2"/>
  <c r="CL65" i="2"/>
  <c r="CL9" i="2"/>
  <c r="CL335" i="2"/>
  <c r="CL327" i="2"/>
  <c r="CL319" i="2"/>
  <c r="CL311" i="2"/>
  <c r="CL303" i="2"/>
  <c r="CL292" i="2"/>
  <c r="CL235" i="2"/>
  <c r="CL230" i="2"/>
  <c r="CL27" i="2"/>
  <c r="CL386" i="2"/>
  <c r="CL357" i="2"/>
  <c r="CL328" i="2"/>
  <c r="CL325" i="2"/>
  <c r="CL286" i="2"/>
  <c r="CL238" i="2"/>
  <c r="CL153" i="2"/>
  <c r="CL30" i="2"/>
  <c r="CL378" i="2"/>
  <c r="CL363" i="2"/>
  <c r="CL277" i="2"/>
  <c r="CL269" i="2"/>
  <c r="CL257" i="2"/>
  <c r="CM234" i="2"/>
  <c r="CM198" i="2"/>
  <c r="CL192" i="2"/>
  <c r="CM183" i="2"/>
  <c r="CL148" i="2"/>
  <c r="CL109" i="2"/>
  <c r="CL72" i="2"/>
  <c r="CL42" i="2"/>
  <c r="CM27" i="2"/>
  <c r="CL370" i="2"/>
  <c r="CL344" i="2"/>
  <c r="CL332" i="2"/>
  <c r="CL320" i="2"/>
  <c r="CL228" i="2"/>
  <c r="CM201" i="2"/>
  <c r="CL145" i="2"/>
  <c r="CL125" i="2"/>
  <c r="CL122" i="2"/>
  <c r="CL81" i="2"/>
  <c r="CL64" i="2"/>
  <c r="CL37" i="2"/>
  <c r="CL34" i="2"/>
  <c r="CL28" i="2"/>
  <c r="CM219" i="2"/>
  <c r="CL353" i="2"/>
  <c r="CL308" i="2"/>
  <c r="CL305" i="2"/>
  <c r="CL290" i="2"/>
  <c r="CL234" i="2"/>
  <c r="CL182" i="2"/>
  <c r="CL160" i="2"/>
  <c r="CL116" i="2"/>
  <c r="CL104" i="2"/>
  <c r="CM65" i="2"/>
  <c r="CM64" i="2"/>
  <c r="CM46" i="2"/>
  <c r="CL390" i="2"/>
  <c r="CL381" i="2"/>
  <c r="CL359" i="2"/>
  <c r="CL350" i="2"/>
  <c r="CL293" i="2"/>
  <c r="CL220" i="2"/>
  <c r="CL140" i="2"/>
  <c r="CL136" i="2"/>
  <c r="CL123" i="2"/>
  <c r="CL113" i="2"/>
  <c r="CM84" i="2"/>
  <c r="CM81" i="2"/>
  <c r="CL73" i="2"/>
  <c r="CL70" i="2"/>
  <c r="CL336" i="2"/>
  <c r="CM160" i="2"/>
  <c r="CM102" i="2"/>
  <c r="CL32" i="2"/>
  <c r="CL382" i="2"/>
  <c r="CL270" i="2"/>
  <c r="CL261" i="2"/>
  <c r="CL229" i="2"/>
  <c r="CM220" i="2"/>
  <c r="CL130" i="2"/>
  <c r="CL126" i="2"/>
  <c r="CM43" i="2"/>
  <c r="CL345" i="2"/>
  <c r="CL321" i="2"/>
  <c r="CL306" i="2"/>
  <c r="CL276" i="2"/>
  <c r="CL273" i="2"/>
  <c r="CL256" i="2"/>
  <c r="CL194" i="2"/>
  <c r="CL188" i="2"/>
  <c r="CL137" i="2"/>
  <c r="CL108" i="2"/>
  <c r="CL105" i="2"/>
  <c r="CL68" i="2"/>
  <c r="CM103" i="2"/>
  <c r="CL322" i="2"/>
  <c r="CL224" i="2"/>
  <c r="CL186" i="2"/>
  <c r="CL164" i="2"/>
  <c r="CL156" i="2"/>
  <c r="CL141" i="2"/>
  <c r="CL128" i="2"/>
  <c r="CL80" i="2"/>
  <c r="CL77" i="2"/>
  <c r="CL74" i="2"/>
  <c r="CL367" i="2"/>
  <c r="CL377" i="2"/>
  <c r="CL368" i="2"/>
  <c r="CL369" i="2"/>
  <c r="CL366" i="2"/>
  <c r="CL384" i="2"/>
  <c r="CL387" i="2"/>
  <c r="CL373" i="2"/>
  <c r="CL374" i="2"/>
  <c r="CL388" i="2"/>
  <c r="CL392" i="2"/>
  <c r="CL391" i="2"/>
  <c r="CL380" i="2"/>
  <c r="CL296" i="2"/>
  <c r="CL280" i="2"/>
  <c r="CL264" i="2"/>
  <c r="CL193" i="2"/>
  <c r="CM182" i="2"/>
  <c r="CM161" i="2"/>
  <c r="CL312" i="2"/>
  <c r="CL225" i="2"/>
  <c r="CM197" i="2"/>
  <c r="CL300" i="2"/>
  <c r="CL284" i="2"/>
  <c r="CL268" i="2"/>
  <c r="CL316" i="2"/>
  <c r="CL197" i="2"/>
  <c r="CL185" i="2"/>
  <c r="CL304" i="2"/>
  <c r="CL288" i="2"/>
  <c r="CL272" i="2"/>
  <c r="CM257" i="2"/>
  <c r="CM256" i="2"/>
  <c r="CM235" i="2"/>
  <c r="CL189" i="2"/>
  <c r="CL260" i="2"/>
  <c r="CL221" i="2"/>
  <c r="CL201" i="2"/>
  <c r="CL6" i="2"/>
  <c r="N28" i="5"/>
  <c r="CN365" i="2" s="1"/>
  <c r="N27" i="5"/>
  <c r="N20" i="5"/>
  <c r="CN376" i="2" s="1"/>
  <c r="CS376" i="2" s="1"/>
  <c r="N23" i="5"/>
  <c r="N24" i="5"/>
  <c r="N25" i="5"/>
  <c r="N26" i="5"/>
  <c r="CN375" i="2" s="1"/>
  <c r="CS375" i="2" s="1"/>
  <c r="N21" i="5"/>
  <c r="Z65" i="4"/>
  <c r="AB65" i="4" s="1"/>
  <c r="AC65" i="4"/>
  <c r="Z66" i="4"/>
  <c r="AB66" i="4"/>
  <c r="AC66" i="4"/>
  <c r="Z67" i="4"/>
  <c r="AC67" i="4" s="1"/>
  <c r="CR150" i="2"/>
  <c r="CP150" i="2"/>
  <c r="CS150" i="2"/>
  <c r="B150" i="2"/>
  <c r="A150" i="2"/>
  <c r="CR145" i="2"/>
  <c r="CP145" i="2"/>
  <c r="CS145" i="2"/>
  <c r="B145" i="2"/>
  <c r="A145" i="2"/>
  <c r="CR140" i="2"/>
  <c r="CP140" i="2"/>
  <c r="CS140" i="2"/>
  <c r="B140" i="2"/>
  <c r="A140" i="2"/>
  <c r="CR134" i="2"/>
  <c r="CP134" i="2"/>
  <c r="CS134" i="2"/>
  <c r="B134" i="2"/>
  <c r="A134" i="2"/>
  <c r="CR128" i="2"/>
  <c r="CP128" i="2"/>
  <c r="CS128" i="2"/>
  <c r="B128" i="2"/>
  <c r="A128" i="2"/>
  <c r="CR122" i="2"/>
  <c r="CP122" i="2"/>
  <c r="CS122" i="2"/>
  <c r="B122" i="2"/>
  <c r="A122" i="2"/>
  <c r="CR116" i="2"/>
  <c r="CP116" i="2"/>
  <c r="CS116" i="2"/>
  <c r="B116" i="2"/>
  <c r="A116" i="2"/>
  <c r="CN353" i="2" l="1"/>
  <c r="CN356" i="2"/>
  <c r="CN362" i="2"/>
  <c r="CN359" i="2"/>
  <c r="CN363" i="2"/>
  <c r="CN364" i="2"/>
  <c r="CN351" i="2"/>
  <c r="CN354" i="2"/>
  <c r="CN361" i="2"/>
  <c r="CN358" i="2"/>
  <c r="CN357" i="2"/>
  <c r="CN360" i="2"/>
  <c r="AB67" i="4"/>
  <c r="A117" i="3" l="1"/>
  <c r="B117" i="3" s="1"/>
  <c r="BP5" i="3"/>
  <c r="BM5" i="3"/>
  <c r="BP4" i="3"/>
  <c r="BM4" i="3"/>
  <c r="A363" i="2"/>
  <c r="B363" i="2"/>
  <c r="A365" i="2"/>
  <c r="B365" i="2"/>
  <c r="CR3" i="2"/>
  <c r="CR4" i="2"/>
  <c r="CR5" i="2"/>
  <c r="CR6" i="2"/>
  <c r="CR7" i="2"/>
  <c r="CR8" i="2"/>
  <c r="CR9" i="2"/>
  <c r="CR10" i="2"/>
  <c r="CR11" i="2"/>
  <c r="CR12" i="2"/>
  <c r="CR13" i="2"/>
  <c r="CR14" i="2"/>
  <c r="CR15" i="2"/>
  <c r="CR16" i="2"/>
  <c r="CR17" i="2"/>
  <c r="CR18" i="2"/>
  <c r="CR19" i="2"/>
  <c r="CR20" i="2"/>
  <c r="CR21" i="2"/>
  <c r="CR22" i="2"/>
  <c r="CR23" i="2"/>
  <c r="CR24" i="2"/>
  <c r="CR25" i="2"/>
  <c r="CR26" i="2"/>
  <c r="CR27" i="2"/>
  <c r="CR28" i="2"/>
  <c r="CR29" i="2"/>
  <c r="CR30" i="2"/>
  <c r="CR31" i="2"/>
  <c r="CR32" i="2"/>
  <c r="CR33" i="2"/>
  <c r="CR34" i="2"/>
  <c r="CR35" i="2"/>
  <c r="CR36" i="2"/>
  <c r="CR37" i="2"/>
  <c r="CR38" i="2"/>
  <c r="CR39" i="2"/>
  <c r="CR40" i="2"/>
  <c r="CR41" i="2"/>
  <c r="CR42" i="2"/>
  <c r="CR43" i="2"/>
  <c r="CR44" i="2"/>
  <c r="CR45" i="2"/>
  <c r="CR46" i="2"/>
  <c r="CR47" i="2"/>
  <c r="CR48" i="2"/>
  <c r="CR49" i="2"/>
  <c r="CR50" i="2"/>
  <c r="CR51" i="2"/>
  <c r="CR52" i="2"/>
  <c r="CR53" i="2"/>
  <c r="CR54" i="2"/>
  <c r="CR55" i="2"/>
  <c r="CR56" i="2"/>
  <c r="CR57" i="2"/>
  <c r="CR58" i="2"/>
  <c r="CR59" i="2"/>
  <c r="CR60" i="2"/>
  <c r="CR61" i="2"/>
  <c r="CR62" i="2"/>
  <c r="CR63" i="2"/>
  <c r="CR64" i="2"/>
  <c r="CR65" i="2"/>
  <c r="CR66" i="2"/>
  <c r="CR67" i="2"/>
  <c r="CR68" i="2"/>
  <c r="CR69" i="2"/>
  <c r="CR70" i="2"/>
  <c r="CR71" i="2"/>
  <c r="CR72" i="2"/>
  <c r="CR73" i="2"/>
  <c r="CR74" i="2"/>
  <c r="CR75" i="2"/>
  <c r="CR76" i="2"/>
  <c r="CR77" i="2"/>
  <c r="CR78" i="2"/>
  <c r="CR79" i="2"/>
  <c r="CR80" i="2"/>
  <c r="CR81" i="2"/>
  <c r="CR82" i="2"/>
  <c r="CR83" i="2"/>
  <c r="CR84" i="2"/>
  <c r="CR85" i="2"/>
  <c r="CR86" i="2"/>
  <c r="CR87" i="2"/>
  <c r="CR88" i="2"/>
  <c r="CR89" i="2"/>
  <c r="CR90" i="2"/>
  <c r="CR91" i="2"/>
  <c r="CR92" i="2"/>
  <c r="CR93" i="2"/>
  <c r="CR94" i="2"/>
  <c r="CR95" i="2"/>
  <c r="CR96" i="2"/>
  <c r="CR97" i="2"/>
  <c r="CR98" i="2"/>
  <c r="CR99" i="2"/>
  <c r="CR100" i="2"/>
  <c r="CR101" i="2"/>
  <c r="CR102" i="2"/>
  <c r="CR103" i="2"/>
  <c r="CR104" i="2"/>
  <c r="CR105" i="2"/>
  <c r="CR106" i="2"/>
  <c r="CR107" i="2"/>
  <c r="CR108" i="2"/>
  <c r="CR109" i="2"/>
  <c r="CR110" i="2"/>
  <c r="CR111" i="2"/>
  <c r="CR112" i="2"/>
  <c r="CR113" i="2"/>
  <c r="CR114" i="2"/>
  <c r="CR115" i="2"/>
  <c r="CR117" i="2"/>
  <c r="CR118" i="2"/>
  <c r="CR119" i="2"/>
  <c r="CR120" i="2"/>
  <c r="CR123" i="2"/>
  <c r="CR124" i="2"/>
  <c r="CR125" i="2"/>
  <c r="CR126" i="2"/>
  <c r="CR129" i="2"/>
  <c r="CR130" i="2"/>
  <c r="CR131" i="2"/>
  <c r="CR132" i="2"/>
  <c r="CR135" i="2"/>
  <c r="CR136" i="2"/>
  <c r="CR137" i="2"/>
  <c r="CR138" i="2"/>
  <c r="CR141" i="2"/>
  <c r="CR142" i="2"/>
  <c r="CR143" i="2"/>
  <c r="CR144" i="2"/>
  <c r="CR146" i="2"/>
  <c r="CR147" i="2"/>
  <c r="CR148" i="2"/>
  <c r="CR149" i="2"/>
  <c r="CR151" i="2"/>
  <c r="CR152" i="2"/>
  <c r="CR153" i="2"/>
  <c r="CR154" i="2"/>
  <c r="CR155" i="2"/>
  <c r="CR156" i="2"/>
  <c r="CR157" i="2"/>
  <c r="CR158" i="2"/>
  <c r="CR159" i="2"/>
  <c r="CR160" i="2"/>
  <c r="CR161" i="2"/>
  <c r="CR162" i="2"/>
  <c r="CR163" i="2"/>
  <c r="CR164" i="2"/>
  <c r="CR165" i="2"/>
  <c r="CR166" i="2"/>
  <c r="CR167" i="2"/>
  <c r="CR168" i="2"/>
  <c r="CR169" i="2"/>
  <c r="CR170" i="2"/>
  <c r="CR171" i="2"/>
  <c r="CR172" i="2"/>
  <c r="CR173" i="2"/>
  <c r="CR174" i="2"/>
  <c r="CR175" i="2"/>
  <c r="CR176" i="2"/>
  <c r="CR177" i="2"/>
  <c r="CR178" i="2"/>
  <c r="CR179" i="2"/>
  <c r="CR180" i="2"/>
  <c r="CR181" i="2"/>
  <c r="CR182" i="2"/>
  <c r="CR183" i="2"/>
  <c r="CR184" i="2"/>
  <c r="CR185" i="2"/>
  <c r="CR186" i="2"/>
  <c r="CR187" i="2"/>
  <c r="CR188" i="2"/>
  <c r="CR189" i="2"/>
  <c r="CR190" i="2"/>
  <c r="CR191" i="2"/>
  <c r="CR192" i="2"/>
  <c r="CR193" i="2"/>
  <c r="CR194" i="2"/>
  <c r="CR195" i="2"/>
  <c r="CR196" i="2"/>
  <c r="CR197" i="2"/>
  <c r="CR198" i="2"/>
  <c r="CR199" i="2"/>
  <c r="CR200" i="2"/>
  <c r="CR201" i="2"/>
  <c r="CR202" i="2"/>
  <c r="CR203" i="2"/>
  <c r="CR204" i="2"/>
  <c r="CR205" i="2"/>
  <c r="CR206" i="2"/>
  <c r="CR207" i="2"/>
  <c r="CR208" i="2"/>
  <c r="CR209" i="2"/>
  <c r="CR210" i="2"/>
  <c r="CR211" i="2"/>
  <c r="CR212" i="2"/>
  <c r="CR213" i="2"/>
  <c r="CR214" i="2"/>
  <c r="CR215" i="2"/>
  <c r="CR216" i="2"/>
  <c r="CR217" i="2"/>
  <c r="CR218" i="2"/>
  <c r="CR219" i="2"/>
  <c r="CR220" i="2"/>
  <c r="CR221" i="2"/>
  <c r="CR222" i="2"/>
  <c r="CR223" i="2"/>
  <c r="CR224" i="2"/>
  <c r="CR225" i="2"/>
  <c r="CR226" i="2"/>
  <c r="CR227" i="2"/>
  <c r="CR228" i="2"/>
  <c r="CR229" i="2"/>
  <c r="CR230" i="2"/>
  <c r="CR231" i="2"/>
  <c r="CR232" i="2"/>
  <c r="CR233" i="2"/>
  <c r="CR234" i="2"/>
  <c r="CR235" i="2"/>
  <c r="CR236" i="2"/>
  <c r="CR237" i="2"/>
  <c r="CR238" i="2"/>
  <c r="CR239" i="2"/>
  <c r="CR240" i="2"/>
  <c r="CR241" i="2"/>
  <c r="CR242" i="2"/>
  <c r="CR243" i="2"/>
  <c r="CR244" i="2"/>
  <c r="CR245" i="2"/>
  <c r="CR246" i="2"/>
  <c r="CR247" i="2"/>
  <c r="CR248" i="2"/>
  <c r="CR249" i="2"/>
  <c r="CR250" i="2"/>
  <c r="CR251" i="2"/>
  <c r="CR252" i="2"/>
  <c r="CR253" i="2"/>
  <c r="CR254" i="2"/>
  <c r="CR255" i="2"/>
  <c r="CR256" i="2"/>
  <c r="CR257" i="2"/>
  <c r="CR258" i="2"/>
  <c r="CR259" i="2"/>
  <c r="CR260" i="2"/>
  <c r="CR261" i="2"/>
  <c r="CR262" i="2"/>
  <c r="CR263" i="2"/>
  <c r="CR264" i="2"/>
  <c r="CR265" i="2"/>
  <c r="CR266" i="2"/>
  <c r="CR267" i="2"/>
  <c r="CR268" i="2"/>
  <c r="CR269" i="2"/>
  <c r="CR270" i="2"/>
  <c r="CR271" i="2"/>
  <c r="CR272" i="2"/>
  <c r="CR273" i="2"/>
  <c r="CR274" i="2"/>
  <c r="CR275" i="2"/>
  <c r="CR276" i="2"/>
  <c r="CR277" i="2"/>
  <c r="CR278" i="2"/>
  <c r="CR279" i="2"/>
  <c r="CR280" i="2"/>
  <c r="CR281" i="2"/>
  <c r="CR282" i="2"/>
  <c r="CR283" i="2"/>
  <c r="CR284" i="2"/>
  <c r="CR285" i="2"/>
  <c r="CR286" i="2"/>
  <c r="CR287" i="2"/>
  <c r="CR288" i="2"/>
  <c r="CR289" i="2"/>
  <c r="CR290" i="2"/>
  <c r="CR291" i="2"/>
  <c r="CR292" i="2"/>
  <c r="CR293" i="2"/>
  <c r="CR294" i="2"/>
  <c r="CR295" i="2"/>
  <c r="CR296" i="2"/>
  <c r="CR297" i="2"/>
  <c r="CR298" i="2"/>
  <c r="CR299" i="2"/>
  <c r="CR300" i="2"/>
  <c r="CR301" i="2"/>
  <c r="CR302" i="2"/>
  <c r="CR303" i="2"/>
  <c r="CR304" i="2"/>
  <c r="CR305" i="2"/>
  <c r="CR306" i="2"/>
  <c r="CR307" i="2"/>
  <c r="CR308" i="2"/>
  <c r="CR309" i="2"/>
  <c r="CR310" i="2"/>
  <c r="CR311" i="2"/>
  <c r="CR312" i="2"/>
  <c r="CR313" i="2"/>
  <c r="CR314" i="2"/>
  <c r="CR315" i="2"/>
  <c r="CR316" i="2"/>
  <c r="CR317" i="2"/>
  <c r="CR318" i="2"/>
  <c r="CR319" i="2"/>
  <c r="CR320" i="2"/>
  <c r="CR321" i="2"/>
  <c r="CR322" i="2"/>
  <c r="CR323" i="2"/>
  <c r="CR324" i="2"/>
  <c r="CR325" i="2"/>
  <c r="CR326" i="2"/>
  <c r="CR327" i="2"/>
  <c r="CR328" i="2"/>
  <c r="CR329" i="2"/>
  <c r="CR330" i="2"/>
  <c r="CR331" i="2"/>
  <c r="CR332" i="2"/>
  <c r="CR333" i="2"/>
  <c r="CR334" i="2"/>
  <c r="CR335" i="2"/>
  <c r="CR336" i="2"/>
  <c r="CR337" i="2"/>
  <c r="CR338" i="2"/>
  <c r="CR339" i="2"/>
  <c r="CR340" i="2"/>
  <c r="CR341" i="2"/>
  <c r="CR342" i="2"/>
  <c r="CR343" i="2"/>
  <c r="CR344" i="2"/>
  <c r="CR345" i="2"/>
  <c r="CR346" i="2"/>
  <c r="CR347" i="2"/>
  <c r="CR348" i="2"/>
  <c r="CR349" i="2"/>
  <c r="CR350" i="2"/>
  <c r="CR351" i="2"/>
  <c r="CR352" i="2"/>
  <c r="CR353" i="2"/>
  <c r="CR354" i="2"/>
  <c r="CR355" i="2"/>
  <c r="CR356" i="2"/>
  <c r="CR357" i="2"/>
  <c r="CR358" i="2"/>
  <c r="CR359" i="2"/>
  <c r="CR360" i="2"/>
  <c r="CR361" i="2"/>
  <c r="CR362" i="2"/>
  <c r="CR363" i="2"/>
  <c r="CR364" i="2"/>
  <c r="CR365" i="2"/>
  <c r="CR366" i="2"/>
  <c r="CR2" i="2"/>
  <c r="BP3" i="3"/>
  <c r="BP6" i="3"/>
  <c r="BP7" i="3"/>
  <c r="BP8" i="3"/>
  <c r="BP9" i="3"/>
  <c r="BP10" i="3"/>
  <c r="BP11" i="3"/>
  <c r="BP12" i="3"/>
  <c r="BP13" i="3"/>
  <c r="BP14" i="3"/>
  <c r="BP15" i="3"/>
  <c r="BP16" i="3"/>
  <c r="BP17" i="3"/>
  <c r="BP18" i="3"/>
  <c r="BP19" i="3"/>
  <c r="BP20" i="3"/>
  <c r="BP21" i="3"/>
  <c r="BP22" i="3"/>
  <c r="BP23" i="3"/>
  <c r="BP24" i="3"/>
  <c r="BP25" i="3"/>
  <c r="BP26" i="3"/>
  <c r="BP27" i="3"/>
  <c r="BP28" i="3"/>
  <c r="BP29" i="3"/>
  <c r="BP30" i="3"/>
  <c r="BP31" i="3"/>
  <c r="BP32" i="3"/>
  <c r="BP33" i="3"/>
  <c r="BP34" i="3"/>
  <c r="BP35" i="3"/>
  <c r="BP36" i="3"/>
  <c r="BP37" i="3"/>
  <c r="BP38" i="3"/>
  <c r="BP39" i="3"/>
  <c r="BP40" i="3"/>
  <c r="BP41" i="3"/>
  <c r="BP42" i="3"/>
  <c r="BP43" i="3"/>
  <c r="BP44" i="3"/>
  <c r="BP45" i="3"/>
  <c r="BP46" i="3"/>
  <c r="BP47" i="3"/>
  <c r="BP48" i="3"/>
  <c r="BP49" i="3"/>
  <c r="BP50" i="3"/>
  <c r="BP51" i="3"/>
  <c r="BP52" i="3"/>
  <c r="BP53" i="3"/>
  <c r="BP54" i="3"/>
  <c r="BP55" i="3"/>
  <c r="BP56" i="3"/>
  <c r="BP57" i="3"/>
  <c r="BP58" i="3"/>
  <c r="BP59" i="3"/>
  <c r="BP60" i="3"/>
  <c r="BP61" i="3"/>
  <c r="BP62" i="3"/>
  <c r="BP63" i="3"/>
  <c r="BP64" i="3"/>
  <c r="BP65" i="3"/>
  <c r="BP66" i="3"/>
  <c r="BP67" i="3"/>
  <c r="BP68" i="3"/>
  <c r="BP69" i="3"/>
  <c r="BP70" i="3"/>
  <c r="BP71" i="3"/>
  <c r="BP72" i="3"/>
  <c r="BP73" i="3"/>
  <c r="BP74" i="3"/>
  <c r="BP75" i="3"/>
  <c r="BP76" i="3"/>
  <c r="BP77" i="3"/>
  <c r="BP78" i="3"/>
  <c r="BP79" i="3"/>
  <c r="BP80" i="3"/>
  <c r="BP81" i="3"/>
  <c r="BP82" i="3"/>
  <c r="BP83" i="3"/>
  <c r="BP84" i="3"/>
  <c r="BP85" i="3"/>
  <c r="BP86" i="3"/>
  <c r="BP87" i="3"/>
  <c r="BP88" i="3"/>
  <c r="BP89" i="3"/>
  <c r="BP90" i="3"/>
  <c r="BP91" i="3"/>
  <c r="BP92" i="3"/>
  <c r="BP93" i="3"/>
  <c r="BP94" i="3"/>
  <c r="BP95" i="3"/>
  <c r="BP96" i="3"/>
  <c r="BP97" i="3"/>
  <c r="BP98" i="3"/>
  <c r="BP99" i="3"/>
  <c r="BP100" i="3"/>
  <c r="BP101" i="3"/>
  <c r="BP102" i="3"/>
  <c r="BP103" i="3"/>
  <c r="BP104" i="3"/>
  <c r="BP105" i="3"/>
  <c r="BP106" i="3"/>
  <c r="BP107" i="3"/>
  <c r="BP108" i="3"/>
  <c r="BP109" i="3"/>
  <c r="BP110" i="3"/>
  <c r="BP111" i="3"/>
  <c r="BP112" i="3"/>
  <c r="BP113" i="3"/>
  <c r="BP114" i="3"/>
  <c r="BP115" i="3"/>
  <c r="BP116" i="3"/>
  <c r="BP117" i="3"/>
  <c r="BP118" i="3"/>
  <c r="BP119" i="3"/>
  <c r="BP120" i="3"/>
  <c r="BP121" i="3"/>
  <c r="BP122" i="3"/>
  <c r="BP123" i="3"/>
  <c r="BP124" i="3"/>
  <c r="BP125" i="3"/>
  <c r="BP126" i="3"/>
  <c r="BP127" i="3"/>
  <c r="BP128" i="3"/>
  <c r="BP129" i="3"/>
  <c r="BP130" i="3"/>
  <c r="BP131" i="3"/>
  <c r="BP132" i="3"/>
  <c r="BP133" i="3"/>
  <c r="BP134" i="3"/>
  <c r="BP135" i="3"/>
  <c r="BP136" i="3"/>
  <c r="BP137" i="3"/>
  <c r="BP138" i="3"/>
  <c r="BP139" i="3"/>
  <c r="BP140" i="3"/>
  <c r="BP141" i="3"/>
  <c r="BP142" i="3"/>
  <c r="BP143" i="3"/>
  <c r="BP144" i="3"/>
  <c r="BP145" i="3"/>
  <c r="BP146" i="3"/>
  <c r="BP147" i="3"/>
  <c r="BP148" i="3"/>
  <c r="BP149" i="3"/>
  <c r="BP150" i="3"/>
  <c r="BP151" i="3"/>
  <c r="BP152" i="3"/>
  <c r="BP153" i="3"/>
  <c r="BP154" i="3"/>
  <c r="BP155" i="3"/>
  <c r="BP156" i="3"/>
  <c r="BP157" i="3"/>
  <c r="BP158" i="3"/>
  <c r="BP159" i="3"/>
  <c r="BP160" i="3"/>
  <c r="BP161" i="3"/>
  <c r="BP162" i="3"/>
  <c r="BP163" i="3"/>
  <c r="BP164" i="3"/>
  <c r="BP165" i="3"/>
  <c r="BP166" i="3"/>
  <c r="BP167" i="3"/>
  <c r="BP168" i="3"/>
  <c r="BP169" i="3"/>
  <c r="BP170" i="3"/>
  <c r="BP171" i="3"/>
  <c r="BP172" i="3"/>
  <c r="BP173" i="3"/>
  <c r="BP174" i="3"/>
  <c r="BP175" i="3"/>
  <c r="BP176" i="3"/>
  <c r="BP177" i="3"/>
  <c r="BP178" i="3"/>
  <c r="BP179" i="3"/>
  <c r="BP180" i="3"/>
  <c r="BP181" i="3"/>
  <c r="BP182" i="3"/>
  <c r="BP183" i="3"/>
  <c r="BP184" i="3"/>
  <c r="BP185" i="3"/>
  <c r="BP186" i="3"/>
  <c r="BP187" i="3"/>
  <c r="BP188" i="3"/>
  <c r="BP189" i="3"/>
  <c r="BP190" i="3"/>
  <c r="BP191" i="3"/>
  <c r="BP192" i="3"/>
  <c r="BP193" i="3"/>
  <c r="BP194" i="3"/>
  <c r="BP195" i="3"/>
  <c r="BP196" i="3"/>
  <c r="BP197" i="3"/>
  <c r="BP198" i="3"/>
  <c r="BP199" i="3"/>
  <c r="BP200" i="3"/>
  <c r="BP201" i="3"/>
  <c r="BP202" i="3"/>
  <c r="BP203" i="3"/>
  <c r="BP204" i="3"/>
  <c r="BP205" i="3"/>
  <c r="BP206" i="3"/>
  <c r="BP207" i="3"/>
  <c r="BP208" i="3"/>
  <c r="BP209" i="3"/>
  <c r="BP210" i="3"/>
  <c r="BP211" i="3"/>
  <c r="BP212" i="3"/>
  <c r="BP213" i="3"/>
  <c r="BP214" i="3"/>
  <c r="BP215" i="3"/>
  <c r="BP216" i="3"/>
  <c r="BP217" i="3"/>
  <c r="BP218" i="3"/>
  <c r="BP219" i="3"/>
  <c r="BP220" i="3"/>
  <c r="BP221" i="3"/>
  <c r="BP222" i="3"/>
  <c r="BP223" i="3"/>
  <c r="BP224" i="3"/>
  <c r="BP225" i="3"/>
  <c r="BP226" i="3"/>
  <c r="BP227" i="3"/>
  <c r="BP228" i="3"/>
  <c r="BP229" i="3"/>
  <c r="BP230" i="3"/>
  <c r="BP231" i="3"/>
  <c r="BP232" i="3"/>
  <c r="BP233" i="3"/>
  <c r="BP234" i="3"/>
  <c r="BP235" i="3"/>
  <c r="BP236" i="3"/>
  <c r="BP237" i="3"/>
  <c r="BP238" i="3"/>
  <c r="BP239" i="3"/>
  <c r="BP240" i="3"/>
  <c r="BP241" i="3"/>
  <c r="BP242" i="3"/>
  <c r="BP243" i="3"/>
  <c r="BP244" i="3"/>
  <c r="BP245" i="3"/>
  <c r="BP246" i="3"/>
  <c r="BP247" i="3"/>
  <c r="BP248" i="3"/>
  <c r="BP249" i="3"/>
  <c r="BP250" i="3"/>
  <c r="BP251" i="3"/>
  <c r="BP252" i="3"/>
  <c r="BP253" i="3"/>
  <c r="BP254" i="3"/>
  <c r="BP255" i="3"/>
  <c r="BP256" i="3"/>
  <c r="BP257" i="3"/>
  <c r="BP258" i="3"/>
  <c r="BP259" i="3"/>
  <c r="BP260" i="3"/>
  <c r="BP261" i="3"/>
  <c r="BP262" i="3"/>
  <c r="BP263" i="3"/>
  <c r="BP264" i="3"/>
  <c r="BP265" i="3"/>
  <c r="BP266" i="3"/>
  <c r="BP267" i="3"/>
  <c r="BP268" i="3"/>
  <c r="BP269" i="3"/>
  <c r="BP270" i="3"/>
  <c r="BP271" i="3"/>
  <c r="BP272" i="3"/>
  <c r="BP273" i="3"/>
  <c r="BP274" i="3"/>
  <c r="BP275" i="3"/>
  <c r="BP276" i="3"/>
  <c r="BP277" i="3"/>
  <c r="BP278" i="3"/>
  <c r="BP279" i="3"/>
  <c r="BP280" i="3"/>
  <c r="BP281" i="3"/>
  <c r="BP282" i="3"/>
  <c r="BP283" i="3"/>
  <c r="BP284" i="3"/>
  <c r="BP285" i="3"/>
  <c r="BP286" i="3"/>
  <c r="BP287" i="3"/>
  <c r="BP288" i="3"/>
  <c r="BP289" i="3"/>
  <c r="BP290" i="3"/>
  <c r="BP291" i="3"/>
  <c r="BP292" i="3"/>
  <c r="BP293" i="3"/>
  <c r="BP294" i="3"/>
  <c r="BP295" i="3"/>
  <c r="BP296" i="3"/>
  <c r="BP297" i="3"/>
  <c r="BP298" i="3"/>
  <c r="BP299" i="3"/>
  <c r="BP300" i="3"/>
  <c r="BP301" i="3"/>
  <c r="BP302" i="3"/>
  <c r="BP303" i="3"/>
  <c r="BP304" i="3"/>
  <c r="BP305" i="3"/>
  <c r="BP306" i="3"/>
  <c r="BP307" i="3"/>
  <c r="BP308" i="3"/>
  <c r="BP309" i="3"/>
  <c r="BP310" i="3"/>
  <c r="BP311" i="3"/>
  <c r="BP312" i="3"/>
  <c r="BP313" i="3"/>
  <c r="BP314" i="3"/>
  <c r="BP315" i="3"/>
  <c r="BP316" i="3"/>
  <c r="BP317" i="3"/>
  <c r="BP318" i="3"/>
  <c r="BP319" i="3"/>
  <c r="BP320" i="3"/>
  <c r="BP321" i="3"/>
  <c r="BP322" i="3"/>
  <c r="BP323" i="3"/>
  <c r="BP324" i="3"/>
  <c r="BP325" i="3"/>
  <c r="BP326" i="3"/>
  <c r="BP327" i="3"/>
  <c r="BP328" i="3"/>
  <c r="BP329" i="3"/>
  <c r="BP330" i="3"/>
  <c r="BP331" i="3"/>
  <c r="BP332" i="3"/>
  <c r="BP333" i="3"/>
  <c r="BP334" i="3"/>
  <c r="BP335" i="3"/>
  <c r="BP336" i="3"/>
  <c r="BP337" i="3"/>
  <c r="BP338" i="3"/>
  <c r="BP339" i="3"/>
  <c r="BP340" i="3"/>
  <c r="BP341" i="3"/>
  <c r="BP342" i="3"/>
  <c r="BP343" i="3"/>
  <c r="BP344" i="3"/>
  <c r="BP345" i="3"/>
  <c r="BP346" i="3"/>
  <c r="BP347" i="3"/>
  <c r="BP348" i="3"/>
  <c r="BP349" i="3"/>
  <c r="BP350" i="3"/>
  <c r="BP351" i="3"/>
  <c r="BP2" i="3"/>
  <c r="BM102" i="3"/>
  <c r="BM351" i="3"/>
  <c r="BM229" i="3"/>
  <c r="BM230" i="3"/>
  <c r="BM231" i="3"/>
  <c r="BM232" i="3"/>
  <c r="BM233" i="3"/>
  <c r="BM234" i="3"/>
  <c r="BM235" i="3"/>
  <c r="BM236" i="3"/>
  <c r="BM237" i="3"/>
  <c r="BM238" i="3"/>
  <c r="BM239" i="3"/>
  <c r="BM240" i="3"/>
  <c r="BM241" i="3"/>
  <c r="BM242" i="3"/>
  <c r="BM243" i="3"/>
  <c r="BM244" i="3"/>
  <c r="BM245" i="3"/>
  <c r="BM246" i="3"/>
  <c r="BM247" i="3"/>
  <c r="BM248" i="3"/>
  <c r="BM249" i="3"/>
  <c r="BM250" i="3"/>
  <c r="BM251" i="3"/>
  <c r="BM252" i="3"/>
  <c r="BM253" i="3"/>
  <c r="BM254" i="3"/>
  <c r="BM255" i="3"/>
  <c r="BM256" i="3"/>
  <c r="BM257" i="3"/>
  <c r="BM258" i="3"/>
  <c r="BM259" i="3"/>
  <c r="BM260" i="3"/>
  <c r="BM261" i="3"/>
  <c r="BM262" i="3"/>
  <c r="BM263" i="3"/>
  <c r="BM264" i="3"/>
  <c r="BM265" i="3"/>
  <c r="BM266" i="3"/>
  <c r="BM267" i="3"/>
  <c r="BM268" i="3"/>
  <c r="BM269" i="3"/>
  <c r="BM270" i="3"/>
  <c r="BM271" i="3"/>
  <c r="BM272" i="3"/>
  <c r="BM273" i="3"/>
  <c r="BM274" i="3"/>
  <c r="BM275" i="3"/>
  <c r="BM276" i="3"/>
  <c r="BM277" i="3"/>
  <c r="BM278" i="3"/>
  <c r="BM279" i="3"/>
  <c r="BM280" i="3"/>
  <c r="BM281" i="3"/>
  <c r="BM282" i="3"/>
  <c r="BM283" i="3"/>
  <c r="BM284" i="3"/>
  <c r="BM285" i="3"/>
  <c r="BM286" i="3"/>
  <c r="BM287" i="3"/>
  <c r="BM288" i="3"/>
  <c r="BM289" i="3"/>
  <c r="BM290" i="3"/>
  <c r="BM291" i="3"/>
  <c r="BM292" i="3"/>
  <c r="BM293" i="3"/>
  <c r="BM294" i="3"/>
  <c r="BM295" i="3"/>
  <c r="BM296" i="3"/>
  <c r="BM297" i="3"/>
  <c r="BM298" i="3"/>
  <c r="BM299" i="3"/>
  <c r="BM300" i="3"/>
  <c r="BM301" i="3"/>
  <c r="BM302" i="3"/>
  <c r="BM303" i="3"/>
  <c r="BM304" i="3"/>
  <c r="BM305" i="3"/>
  <c r="BM306" i="3"/>
  <c r="BM307" i="3"/>
  <c r="BM308" i="3"/>
  <c r="BM309" i="3"/>
  <c r="BM310" i="3"/>
  <c r="BM311" i="3"/>
  <c r="BM312" i="3"/>
  <c r="BM313" i="3"/>
  <c r="BM314" i="3"/>
  <c r="BM315" i="3"/>
  <c r="BM316" i="3"/>
  <c r="BM317" i="3"/>
  <c r="BM318" i="3"/>
  <c r="BM319" i="3"/>
  <c r="BM320" i="3"/>
  <c r="BM321" i="3"/>
  <c r="BM322" i="3"/>
  <c r="BM323" i="3"/>
  <c r="BM324" i="3"/>
  <c r="BM325" i="3"/>
  <c r="BM326" i="3"/>
  <c r="BM327" i="3"/>
  <c r="BM328" i="3"/>
  <c r="BM329" i="3"/>
  <c r="BM330" i="3"/>
  <c r="BM331" i="3"/>
  <c r="BM332" i="3"/>
  <c r="BM333" i="3"/>
  <c r="BM334" i="3"/>
  <c r="BM335" i="3"/>
  <c r="BM336" i="3"/>
  <c r="BM337" i="3"/>
  <c r="BM338" i="3"/>
  <c r="BM339" i="3"/>
  <c r="BM340" i="3"/>
  <c r="BM341" i="3"/>
  <c r="BM342" i="3"/>
  <c r="BM343" i="3"/>
  <c r="BM344" i="3"/>
  <c r="BM345" i="3"/>
  <c r="BM346" i="3"/>
  <c r="BM347" i="3"/>
  <c r="BM348" i="3"/>
  <c r="BM349" i="3"/>
  <c r="BM350" i="3"/>
  <c r="BM6" i="3"/>
  <c r="BM7" i="3"/>
  <c r="BM8" i="3"/>
  <c r="BM9" i="3"/>
  <c r="BM10" i="3"/>
  <c r="BM11" i="3"/>
  <c r="BM12" i="3"/>
  <c r="BM13" i="3"/>
  <c r="BM14" i="3"/>
  <c r="BM15" i="3"/>
  <c r="BM16" i="3"/>
  <c r="BM17" i="3"/>
  <c r="BM18" i="3"/>
  <c r="BM19" i="3"/>
  <c r="BM20" i="3"/>
  <c r="BM21" i="3"/>
  <c r="BM22" i="3"/>
  <c r="BM23" i="3"/>
  <c r="BM24" i="3"/>
  <c r="BM25" i="3"/>
  <c r="BM26" i="3"/>
  <c r="BM27" i="3"/>
  <c r="BM28" i="3"/>
  <c r="BM29" i="3"/>
  <c r="BM30" i="3"/>
  <c r="BM31" i="3"/>
  <c r="BM32" i="3"/>
  <c r="BM33" i="3"/>
  <c r="BM34" i="3"/>
  <c r="BM35" i="3"/>
  <c r="BM36" i="3"/>
  <c r="BM37" i="3"/>
  <c r="BM38" i="3"/>
  <c r="BM39" i="3"/>
  <c r="BM40" i="3"/>
  <c r="BM41" i="3"/>
  <c r="BM42" i="3"/>
  <c r="BM43" i="3"/>
  <c r="BM44" i="3"/>
  <c r="BM45" i="3"/>
  <c r="BM46" i="3"/>
  <c r="BM47" i="3"/>
  <c r="BM48" i="3"/>
  <c r="BM49" i="3"/>
  <c r="BM50" i="3"/>
  <c r="BM51" i="3"/>
  <c r="BM52" i="3"/>
  <c r="BM53" i="3"/>
  <c r="BM54" i="3"/>
  <c r="BM55" i="3"/>
  <c r="BM56" i="3"/>
  <c r="BM57" i="3"/>
  <c r="BM58" i="3"/>
  <c r="BM59" i="3"/>
  <c r="BM60" i="3"/>
  <c r="BM61" i="3"/>
  <c r="BM62" i="3"/>
  <c r="BM63" i="3"/>
  <c r="BM64" i="3"/>
  <c r="BM65" i="3"/>
  <c r="BM66" i="3"/>
  <c r="BM67" i="3"/>
  <c r="BM68" i="3"/>
  <c r="BM69" i="3"/>
  <c r="BM70" i="3"/>
  <c r="BM71" i="3"/>
  <c r="BM72" i="3"/>
  <c r="BM73" i="3"/>
  <c r="BM74" i="3"/>
  <c r="BM75" i="3"/>
  <c r="BM76" i="3"/>
  <c r="BM77" i="3"/>
  <c r="BM78" i="3"/>
  <c r="BM79" i="3"/>
  <c r="BM80" i="3"/>
  <c r="BM81" i="3"/>
  <c r="BM82" i="3"/>
  <c r="BM83" i="3"/>
  <c r="BM84" i="3"/>
  <c r="BM85" i="3"/>
  <c r="BM86" i="3"/>
  <c r="BM87" i="3"/>
  <c r="BM88" i="3"/>
  <c r="BM89" i="3"/>
  <c r="BM90" i="3"/>
  <c r="BM91" i="3"/>
  <c r="BM92" i="3"/>
  <c r="BM93" i="3"/>
  <c r="BM94" i="3"/>
  <c r="BM95" i="3"/>
  <c r="BM96" i="3"/>
  <c r="BM97" i="3"/>
  <c r="BM98" i="3"/>
  <c r="BM99" i="3"/>
  <c r="BM100" i="3"/>
  <c r="BM101" i="3"/>
  <c r="BM103" i="3"/>
  <c r="BM104" i="3"/>
  <c r="BM105" i="3"/>
  <c r="BM106" i="3"/>
  <c r="BM107" i="3"/>
  <c r="BM108" i="3"/>
  <c r="BM109" i="3"/>
  <c r="BM110" i="3"/>
  <c r="BM111" i="3"/>
  <c r="BM112" i="3"/>
  <c r="BM113" i="3"/>
  <c r="BM114" i="3"/>
  <c r="BM115" i="3"/>
  <c r="BM141" i="3"/>
  <c r="BM142" i="3"/>
  <c r="BM143" i="3"/>
  <c r="BM144" i="3"/>
  <c r="BM145" i="3"/>
  <c r="BM146" i="3"/>
  <c r="BM147" i="3"/>
  <c r="BM148" i="3"/>
  <c r="BM149" i="3"/>
  <c r="BM150" i="3"/>
  <c r="BM151" i="3"/>
  <c r="BM152" i="3"/>
  <c r="BM153" i="3"/>
  <c r="BM154" i="3"/>
  <c r="BM155" i="3"/>
  <c r="BM156" i="3"/>
  <c r="BM157" i="3"/>
  <c r="BM158" i="3"/>
  <c r="BM159" i="3"/>
  <c r="BM160" i="3"/>
  <c r="BM161" i="3"/>
  <c r="BM162" i="3"/>
  <c r="BM163" i="3"/>
  <c r="BM164" i="3"/>
  <c r="BM165" i="3"/>
  <c r="BM166" i="3"/>
  <c r="BM167" i="3"/>
  <c r="BM168" i="3"/>
  <c r="BM169" i="3"/>
  <c r="BM170" i="3"/>
  <c r="BM171" i="3"/>
  <c r="BM172" i="3"/>
  <c r="BM173" i="3"/>
  <c r="BM174" i="3"/>
  <c r="BM175" i="3"/>
  <c r="BM176" i="3"/>
  <c r="BM177" i="3"/>
  <c r="BM178" i="3"/>
  <c r="BM179" i="3"/>
  <c r="BM180" i="3"/>
  <c r="BM181" i="3"/>
  <c r="BM182" i="3"/>
  <c r="BM183" i="3"/>
  <c r="BM184" i="3"/>
  <c r="BM185" i="3"/>
  <c r="BM186" i="3"/>
  <c r="BM187" i="3"/>
  <c r="BM188" i="3"/>
  <c r="BM189" i="3"/>
  <c r="BM190" i="3"/>
  <c r="BM191" i="3"/>
  <c r="BM192" i="3"/>
  <c r="BM193" i="3"/>
  <c r="BM194" i="3"/>
  <c r="BM195" i="3"/>
  <c r="BM196" i="3"/>
  <c r="BM197" i="3"/>
  <c r="BM198" i="3"/>
  <c r="BM199" i="3"/>
  <c r="BM200" i="3"/>
  <c r="BM201" i="3"/>
  <c r="BM202" i="3"/>
  <c r="BM203" i="3"/>
  <c r="BM204" i="3"/>
  <c r="BM205" i="3"/>
  <c r="BM206" i="3"/>
  <c r="BM207" i="3"/>
  <c r="BM208" i="3"/>
  <c r="BM209" i="3"/>
  <c r="BM210" i="3"/>
  <c r="BM211" i="3"/>
  <c r="BM212" i="3"/>
  <c r="BM213" i="3"/>
  <c r="BM214" i="3"/>
  <c r="BM215" i="3"/>
  <c r="BM216" i="3"/>
  <c r="BM217" i="3"/>
  <c r="BM218" i="3"/>
  <c r="BM219" i="3"/>
  <c r="BM220" i="3"/>
  <c r="BM221" i="3"/>
  <c r="BM222" i="3"/>
  <c r="BM223" i="3"/>
  <c r="BM224" i="3"/>
  <c r="BM225" i="3"/>
  <c r="BM226" i="3"/>
  <c r="BM227" i="3"/>
  <c r="BM228" i="3"/>
  <c r="BM3" i="3"/>
  <c r="CS155" i="2"/>
  <c r="CS156" i="2"/>
  <c r="CS157" i="2"/>
  <c r="CS349" i="2"/>
  <c r="CS350" i="2"/>
  <c r="N3" i="5"/>
  <c r="N4" i="5"/>
  <c r="N5" i="5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N19" i="5"/>
  <c r="N22" i="5"/>
  <c r="N30" i="5"/>
  <c r="N42" i="5"/>
  <c r="N43" i="5"/>
  <c r="N44" i="5"/>
  <c r="N45" i="5"/>
  <c r="N59" i="5"/>
  <c r="N60" i="5"/>
  <c r="N61" i="5"/>
  <c r="N62" i="5"/>
  <c r="N67" i="5"/>
  <c r="N68" i="5"/>
  <c r="N69" i="5"/>
  <c r="N70" i="5"/>
  <c r="N71" i="5"/>
  <c r="N72" i="5"/>
  <c r="N73" i="5"/>
  <c r="E3" i="4"/>
  <c r="E4" i="4"/>
  <c r="Z4" i="4" s="1"/>
  <c r="E5" i="4"/>
  <c r="Z5" i="4" s="1"/>
  <c r="E6" i="4"/>
  <c r="Z6" i="4" s="1"/>
  <c r="AB6" i="4" s="1"/>
  <c r="E7" i="4"/>
  <c r="Z7" i="4" s="1"/>
  <c r="AB7" i="4" s="1"/>
  <c r="E8" i="4"/>
  <c r="E9" i="4"/>
  <c r="Z9" i="4" s="1"/>
  <c r="AB9" i="4" s="1"/>
  <c r="E10" i="4"/>
  <c r="Z10" i="4" s="1"/>
  <c r="Z11" i="4"/>
  <c r="AB11" i="4" s="1"/>
  <c r="Z12" i="4"/>
  <c r="AB12" i="4" s="1"/>
  <c r="Z13" i="4"/>
  <c r="AB13" i="4" s="1"/>
  <c r="Z14" i="4"/>
  <c r="E15" i="4"/>
  <c r="AB15" i="4"/>
  <c r="AC15" i="4"/>
  <c r="E16" i="4"/>
  <c r="AB16" i="4"/>
  <c r="AC16" i="4"/>
  <c r="Z17" i="4"/>
  <c r="AC17" i="4" s="1"/>
  <c r="E18" i="4"/>
  <c r="Z19" i="4"/>
  <c r="AC19" i="4" s="1"/>
  <c r="E20" i="4"/>
  <c r="Z20" i="4" s="1"/>
  <c r="E21" i="4"/>
  <c r="Z21" i="4" s="1"/>
  <c r="E22" i="4"/>
  <c r="Z22" i="4" s="1"/>
  <c r="AC22" i="4" s="1"/>
  <c r="E23" i="4"/>
  <c r="E24" i="4"/>
  <c r="E25" i="4"/>
  <c r="Z25" i="4" s="1"/>
  <c r="AC25" i="4" s="1"/>
  <c r="E26" i="4"/>
  <c r="E27" i="4"/>
  <c r="E28" i="4"/>
  <c r="Z28" i="4" s="1"/>
  <c r="AC28" i="4" s="1"/>
  <c r="E29" i="4"/>
  <c r="Z29" i="4" s="1"/>
  <c r="E30" i="4"/>
  <c r="Z30" i="4" s="1"/>
  <c r="E31" i="4"/>
  <c r="E32" i="4"/>
  <c r="E33" i="4"/>
  <c r="E34" i="4"/>
  <c r="E35" i="4"/>
  <c r="Z35" i="4" s="1"/>
  <c r="E36" i="4"/>
  <c r="Z36" i="4" s="1"/>
  <c r="E37" i="4"/>
  <c r="Z37" i="4" s="1"/>
  <c r="AC37" i="4" s="1"/>
  <c r="E38" i="4"/>
  <c r="Z38" i="4" s="1"/>
  <c r="Z39" i="4"/>
  <c r="AB39" i="4" s="1"/>
  <c r="E40" i="4"/>
  <c r="E41" i="4"/>
  <c r="Z42" i="4"/>
  <c r="AB42" i="4" s="1"/>
  <c r="E43" i="4"/>
  <c r="E44" i="4"/>
  <c r="Z44" i="4"/>
  <c r="AC44" i="4" s="1"/>
  <c r="Z45" i="4"/>
  <c r="AB45" i="4" s="1"/>
  <c r="E46" i="4"/>
  <c r="Z46" i="4" s="1"/>
  <c r="AB46" i="4" s="1"/>
  <c r="E47" i="4"/>
  <c r="E48" i="4"/>
  <c r="Z48" i="4" s="1"/>
  <c r="Z49" i="4"/>
  <c r="AC49" i="4" s="1"/>
  <c r="E50" i="4"/>
  <c r="E51" i="4"/>
  <c r="Z51" i="4" s="1"/>
  <c r="E52" i="4"/>
  <c r="Z52" i="4" s="1"/>
  <c r="Z53" i="4"/>
  <c r="AC53" i="4" s="1"/>
  <c r="Z54" i="4"/>
  <c r="AC54" i="4" s="1"/>
  <c r="Z55" i="4"/>
  <c r="AB55" i="4" s="1"/>
  <c r="Z56" i="4"/>
  <c r="AC56" i="4" s="1"/>
  <c r="AB57" i="4"/>
  <c r="AC57" i="4"/>
  <c r="Z58" i="4"/>
  <c r="AC58" i="4" s="1"/>
  <c r="AB58" i="4"/>
  <c r="E59" i="4"/>
  <c r="E60" i="4"/>
  <c r="E61" i="4"/>
  <c r="E62" i="4"/>
  <c r="E63" i="4"/>
  <c r="Z63" i="4" s="1"/>
  <c r="AB63" i="4" s="1"/>
  <c r="E64" i="4"/>
  <c r="Z64" i="4" s="1"/>
  <c r="Z68" i="4"/>
  <c r="AB68" i="4" s="1"/>
  <c r="Z69" i="4"/>
  <c r="AB69" i="4" s="1"/>
  <c r="Z70" i="4"/>
  <c r="AB70" i="4" s="1"/>
  <c r="Z71" i="4"/>
  <c r="AB71" i="4" s="1"/>
  <c r="Z72" i="4"/>
  <c r="AB72" i="4" s="1"/>
  <c r="AC73" i="4"/>
  <c r="AC75" i="4"/>
  <c r="BN6" i="3"/>
  <c r="BN7" i="3"/>
  <c r="BN8" i="3"/>
  <c r="BN9" i="3"/>
  <c r="BN10" i="3"/>
  <c r="A116" i="3"/>
  <c r="B116" i="3" s="1"/>
  <c r="BO116" i="3"/>
  <c r="BO117" i="3"/>
  <c r="A118" i="3"/>
  <c r="C118" i="3" s="1"/>
  <c r="BO118" i="3"/>
  <c r="A119" i="3"/>
  <c r="C119" i="3" s="1"/>
  <c r="BO119" i="3"/>
  <c r="A120" i="3"/>
  <c r="B120" i="3" s="1"/>
  <c r="BO120" i="3"/>
  <c r="A121" i="3"/>
  <c r="B121" i="3" s="1"/>
  <c r="BO121" i="3"/>
  <c r="A122" i="3"/>
  <c r="C122" i="3" s="1"/>
  <c r="BO122" i="3"/>
  <c r="A123" i="3"/>
  <c r="C123" i="3" s="1"/>
  <c r="BO123" i="3"/>
  <c r="A124" i="3"/>
  <c r="B124" i="3" s="1"/>
  <c r="BO124" i="3"/>
  <c r="A125" i="3"/>
  <c r="F125" i="3" s="1"/>
  <c r="BO125" i="3"/>
  <c r="A126" i="3"/>
  <c r="B126" i="3" s="1"/>
  <c r="BO126" i="3"/>
  <c r="A127" i="3"/>
  <c r="B127" i="3" s="1"/>
  <c r="BO127" i="3"/>
  <c r="A128" i="3"/>
  <c r="B128" i="3" s="1"/>
  <c r="BO128" i="3"/>
  <c r="A129" i="3"/>
  <c r="B129" i="3" s="1"/>
  <c r="BO129" i="3"/>
  <c r="A130" i="3"/>
  <c r="C130" i="3" s="1"/>
  <c r="BO130" i="3"/>
  <c r="A131" i="3"/>
  <c r="BO131" i="3"/>
  <c r="A132" i="3"/>
  <c r="B132" i="3" s="1"/>
  <c r="BO132" i="3"/>
  <c r="A133" i="3"/>
  <c r="C133" i="3" s="1"/>
  <c r="BO133" i="3"/>
  <c r="A134" i="3"/>
  <c r="C134" i="3" s="1"/>
  <c r="BO134" i="3"/>
  <c r="A135" i="3"/>
  <c r="C135" i="3" s="1"/>
  <c r="BO135" i="3"/>
  <c r="A136" i="3"/>
  <c r="B136" i="3" s="1"/>
  <c r="BO136" i="3"/>
  <c r="A137" i="3"/>
  <c r="F137" i="3" s="1"/>
  <c r="BO137" i="3"/>
  <c r="A138" i="3"/>
  <c r="B138" i="3" s="1"/>
  <c r="BO138" i="3"/>
  <c r="A139" i="3"/>
  <c r="B139" i="3" s="1"/>
  <c r="BO139" i="3"/>
  <c r="A140" i="3"/>
  <c r="B140" i="3" s="1"/>
  <c r="BO140" i="3"/>
  <c r="A141" i="3"/>
  <c r="B141" i="3" s="1"/>
  <c r="BO141" i="3"/>
  <c r="A142" i="3"/>
  <c r="C142" i="3" s="1"/>
  <c r="BO142" i="3"/>
  <c r="A143" i="3"/>
  <c r="B143" i="3" s="1"/>
  <c r="BO143" i="3"/>
  <c r="A144" i="3"/>
  <c r="C144" i="3" s="1"/>
  <c r="BO144" i="3"/>
  <c r="A145" i="3"/>
  <c r="B145" i="3" s="1"/>
  <c r="BO145" i="3"/>
  <c r="A146" i="3"/>
  <c r="C146" i="3" s="1"/>
  <c r="BO146" i="3"/>
  <c r="A147" i="3"/>
  <c r="B147" i="3" s="1"/>
  <c r="BO147" i="3"/>
  <c r="A148" i="3"/>
  <c r="C148" i="3" s="1"/>
  <c r="BO148" i="3"/>
  <c r="A149" i="3"/>
  <c r="B149" i="3" s="1"/>
  <c r="BO149" i="3"/>
  <c r="A150" i="3"/>
  <c r="C150" i="3" s="1"/>
  <c r="BO150" i="3"/>
  <c r="A151" i="3"/>
  <c r="B151" i="3" s="1"/>
  <c r="BO151" i="3"/>
  <c r="A152" i="3"/>
  <c r="C152" i="3" s="1"/>
  <c r="BO152" i="3"/>
  <c r="A153" i="3"/>
  <c r="B153" i="3" s="1"/>
  <c r="BO153" i="3"/>
  <c r="A154" i="3"/>
  <c r="C154" i="3" s="1"/>
  <c r="BO154" i="3"/>
  <c r="A155" i="3"/>
  <c r="B155" i="3" s="1"/>
  <c r="BO155" i="3"/>
  <c r="A156" i="3"/>
  <c r="C156" i="3" s="1"/>
  <c r="BO156" i="3"/>
  <c r="A157" i="3"/>
  <c r="B157" i="3" s="1"/>
  <c r="BO157" i="3"/>
  <c r="A158" i="3"/>
  <c r="C158" i="3" s="1"/>
  <c r="BO158" i="3"/>
  <c r="A159" i="3"/>
  <c r="B159" i="3" s="1"/>
  <c r="BO159" i="3"/>
  <c r="A160" i="3"/>
  <c r="C160" i="3" s="1"/>
  <c r="BO160" i="3"/>
  <c r="A161" i="3"/>
  <c r="B161" i="3" s="1"/>
  <c r="BO161" i="3"/>
  <c r="A162" i="3"/>
  <c r="C162" i="3" s="1"/>
  <c r="BO162" i="3"/>
  <c r="A163" i="3"/>
  <c r="B163" i="3" s="1"/>
  <c r="BO163" i="3"/>
  <c r="A164" i="3"/>
  <c r="C164" i="3" s="1"/>
  <c r="BO164" i="3"/>
  <c r="A165" i="3"/>
  <c r="B165" i="3" s="1"/>
  <c r="BO165" i="3"/>
  <c r="A166" i="3"/>
  <c r="C166" i="3" s="1"/>
  <c r="BO166" i="3"/>
  <c r="A167" i="3"/>
  <c r="B167" i="3" s="1"/>
  <c r="BO167" i="3"/>
  <c r="A168" i="3"/>
  <c r="C168" i="3" s="1"/>
  <c r="BO168" i="3"/>
  <c r="A169" i="3"/>
  <c r="B169" i="3" s="1"/>
  <c r="BO169" i="3"/>
  <c r="A170" i="3"/>
  <c r="C170" i="3" s="1"/>
  <c r="BO170" i="3"/>
  <c r="A171" i="3"/>
  <c r="B171" i="3" s="1"/>
  <c r="BO171" i="3"/>
  <c r="A172" i="3"/>
  <c r="C172" i="3" s="1"/>
  <c r="BO172" i="3"/>
  <c r="A173" i="3"/>
  <c r="B173" i="3" s="1"/>
  <c r="BO173" i="3"/>
  <c r="A174" i="3"/>
  <c r="C174" i="3" s="1"/>
  <c r="BO174" i="3"/>
  <c r="A175" i="3"/>
  <c r="B175" i="3" s="1"/>
  <c r="BO175" i="3"/>
  <c r="A176" i="3"/>
  <c r="C176" i="3" s="1"/>
  <c r="BO176" i="3"/>
  <c r="A177" i="3"/>
  <c r="B177" i="3" s="1"/>
  <c r="BO177" i="3"/>
  <c r="A178" i="3"/>
  <c r="C178" i="3" s="1"/>
  <c r="BO178" i="3"/>
  <c r="A179" i="3"/>
  <c r="B179" i="3" s="1"/>
  <c r="BO179" i="3"/>
  <c r="A180" i="3"/>
  <c r="C180" i="3" s="1"/>
  <c r="BO180" i="3"/>
  <c r="A181" i="3"/>
  <c r="B181" i="3" s="1"/>
  <c r="BO181" i="3"/>
  <c r="A182" i="3"/>
  <c r="C182" i="3" s="1"/>
  <c r="BO182" i="3"/>
  <c r="A183" i="3"/>
  <c r="B183" i="3" s="1"/>
  <c r="BO183" i="3"/>
  <c r="A184" i="3"/>
  <c r="C184" i="3" s="1"/>
  <c r="BO184" i="3"/>
  <c r="BO185" i="3"/>
  <c r="BO186" i="3"/>
  <c r="BO187" i="3"/>
  <c r="BO188" i="3"/>
  <c r="BO189" i="3"/>
  <c r="BO190" i="3"/>
  <c r="BO191" i="3"/>
  <c r="BO192" i="3"/>
  <c r="BO193" i="3"/>
  <c r="BO194" i="3"/>
  <c r="BO195" i="3"/>
  <c r="BO196" i="3"/>
  <c r="BO197" i="3"/>
  <c r="BO198" i="3"/>
  <c r="BO199" i="3"/>
  <c r="BO200" i="3"/>
  <c r="BO201" i="3"/>
  <c r="BO202" i="3"/>
  <c r="BO203" i="3"/>
  <c r="BO204" i="3"/>
  <c r="BO205" i="3"/>
  <c r="BO206" i="3"/>
  <c r="BO207" i="3"/>
  <c r="BO208" i="3"/>
  <c r="BO209" i="3"/>
  <c r="BO210" i="3"/>
  <c r="BO211" i="3"/>
  <c r="BO212" i="3"/>
  <c r="BO213" i="3"/>
  <c r="BO214" i="3"/>
  <c r="BO215" i="3"/>
  <c r="BO216" i="3"/>
  <c r="BO217" i="3"/>
  <c r="BO218" i="3"/>
  <c r="BO219" i="3"/>
  <c r="BO220" i="3"/>
  <c r="BO221" i="3"/>
  <c r="BO222" i="3"/>
  <c r="BO223" i="3"/>
  <c r="BO224" i="3"/>
  <c r="BO225" i="3"/>
  <c r="BO226" i="3"/>
  <c r="BO227" i="3"/>
  <c r="BO228" i="3"/>
  <c r="BO229" i="3"/>
  <c r="BO230" i="3"/>
  <c r="BO231" i="3"/>
  <c r="BO232" i="3"/>
  <c r="BO233" i="3"/>
  <c r="BO234" i="3"/>
  <c r="BO235" i="3"/>
  <c r="BO236" i="3"/>
  <c r="BO237" i="3"/>
  <c r="BO238" i="3"/>
  <c r="BO239" i="3"/>
  <c r="BO240" i="3"/>
  <c r="BO241" i="3"/>
  <c r="BO242" i="3"/>
  <c r="BO243" i="3"/>
  <c r="BO244" i="3"/>
  <c r="BO245" i="3"/>
  <c r="BO246" i="3"/>
  <c r="BO247" i="3"/>
  <c r="BO248" i="3"/>
  <c r="BO249" i="3"/>
  <c r="BO250" i="3"/>
  <c r="BO251" i="3"/>
  <c r="BO252" i="3"/>
  <c r="BO253" i="3"/>
  <c r="BO254" i="3"/>
  <c r="BO255" i="3"/>
  <c r="BO256" i="3"/>
  <c r="BO257" i="3"/>
  <c r="BO258" i="3"/>
  <c r="BO259" i="3"/>
  <c r="BO260" i="3"/>
  <c r="BO261" i="3"/>
  <c r="BO262" i="3"/>
  <c r="BO263" i="3"/>
  <c r="BO264" i="3"/>
  <c r="BO265" i="3"/>
  <c r="BO266" i="3"/>
  <c r="BO267" i="3"/>
  <c r="BO268" i="3"/>
  <c r="BO269" i="3"/>
  <c r="BO270" i="3"/>
  <c r="BO271" i="3"/>
  <c r="BO272" i="3"/>
  <c r="BO273" i="3"/>
  <c r="BO274" i="3"/>
  <c r="BO275" i="3"/>
  <c r="BO276" i="3"/>
  <c r="BO277" i="3"/>
  <c r="BO278" i="3"/>
  <c r="BO279" i="3"/>
  <c r="BO280" i="3"/>
  <c r="BO281" i="3"/>
  <c r="BO282" i="3"/>
  <c r="BO283" i="3"/>
  <c r="BO284" i="3"/>
  <c r="BO285" i="3"/>
  <c r="BO286" i="3"/>
  <c r="BO287" i="3"/>
  <c r="BO288" i="3"/>
  <c r="BO289" i="3"/>
  <c r="BO290" i="3"/>
  <c r="BO291" i="3"/>
  <c r="BO292" i="3"/>
  <c r="BO293" i="3"/>
  <c r="BO294" i="3"/>
  <c r="BO295" i="3"/>
  <c r="BO296" i="3"/>
  <c r="BO297" i="3"/>
  <c r="BO298" i="3"/>
  <c r="BO299" i="3"/>
  <c r="BO300" i="3"/>
  <c r="BO301" i="3"/>
  <c r="BO302" i="3"/>
  <c r="BO303" i="3"/>
  <c r="BO304" i="3"/>
  <c r="BO305" i="3"/>
  <c r="BO306" i="3"/>
  <c r="BO307" i="3"/>
  <c r="BO308" i="3"/>
  <c r="BO309" i="3"/>
  <c r="BO310" i="3"/>
  <c r="BO311" i="3"/>
  <c r="BO312" i="3"/>
  <c r="BO313" i="3"/>
  <c r="BO314" i="3"/>
  <c r="BO315" i="3"/>
  <c r="BO316" i="3"/>
  <c r="BO317" i="3"/>
  <c r="BO318" i="3"/>
  <c r="BO319" i="3"/>
  <c r="BO320" i="3"/>
  <c r="BO321" i="3"/>
  <c r="BO322" i="3"/>
  <c r="BO323" i="3"/>
  <c r="BO324" i="3"/>
  <c r="BO325" i="3"/>
  <c r="BO326" i="3"/>
  <c r="BO327" i="3"/>
  <c r="BO328" i="3"/>
  <c r="BO329" i="3"/>
  <c r="BO330" i="3"/>
  <c r="BO331" i="3"/>
  <c r="BO332" i="3"/>
  <c r="BO333" i="3"/>
  <c r="BO334" i="3"/>
  <c r="BO335" i="3"/>
  <c r="BO336" i="3"/>
  <c r="BO337" i="3"/>
  <c r="BO338" i="3"/>
  <c r="BO339" i="3"/>
  <c r="BO340" i="3"/>
  <c r="BO341" i="3"/>
  <c r="BO342" i="3"/>
  <c r="BO343" i="3"/>
  <c r="BO344" i="3"/>
  <c r="BO345" i="3"/>
  <c r="BO346" i="3"/>
  <c r="BO347" i="3"/>
  <c r="BO348" i="3"/>
  <c r="BO349" i="3"/>
  <c r="BO350" i="3"/>
  <c r="BO351" i="3"/>
  <c r="A3" i="2"/>
  <c r="B3" i="2"/>
  <c r="E3" i="2"/>
  <c r="F3" i="2"/>
  <c r="H3" i="2"/>
  <c r="I3" i="2"/>
  <c r="J3" i="2"/>
  <c r="K3" i="2"/>
  <c r="L3" i="2"/>
  <c r="N3" i="2"/>
  <c r="O3" i="2"/>
  <c r="P3" i="2"/>
  <c r="Q3" i="2"/>
  <c r="R3" i="2"/>
  <c r="S3" i="2"/>
  <c r="T3" i="2"/>
  <c r="U3" i="2"/>
  <c r="V3" i="2"/>
  <c r="W3" i="2"/>
  <c r="Y3" i="2"/>
  <c r="Z3" i="2"/>
  <c r="AA3" i="2"/>
  <c r="AB3" i="2"/>
  <c r="AC3" i="2"/>
  <c r="AD3" i="2"/>
  <c r="AE3" i="2"/>
  <c r="AF3" i="2"/>
  <c r="AG3" i="2"/>
  <c r="AH3" i="2"/>
  <c r="AI3" i="2"/>
  <c r="AJ3" i="2"/>
  <c r="AK3" i="2"/>
  <c r="AL3" i="2"/>
  <c r="AM3" i="2"/>
  <c r="AN3" i="2"/>
  <c r="AO3" i="2"/>
  <c r="AP3" i="2"/>
  <c r="AQ3" i="2"/>
  <c r="AR3" i="2"/>
  <c r="AS3" i="2"/>
  <c r="AT3" i="2"/>
  <c r="AU3" i="2"/>
  <c r="AV3" i="2"/>
  <c r="AW3" i="2"/>
  <c r="AX3" i="2"/>
  <c r="AY3" i="2"/>
  <c r="AZ3" i="2"/>
  <c r="BA3" i="2"/>
  <c r="BB3" i="2"/>
  <c r="BC3" i="2"/>
  <c r="BD3" i="2"/>
  <c r="BE3" i="2"/>
  <c r="CO3" i="2"/>
  <c r="CP3" i="2"/>
  <c r="A4" i="2"/>
  <c r="CP4" i="2"/>
  <c r="A5" i="2"/>
  <c r="B5" i="2"/>
  <c r="CP5" i="2"/>
  <c r="A6" i="2"/>
  <c r="B6" i="2"/>
  <c r="CP6" i="2"/>
  <c r="A7" i="2"/>
  <c r="B7" i="2"/>
  <c r="CP7" i="2"/>
  <c r="A8" i="2"/>
  <c r="B8" i="2"/>
  <c r="CP8" i="2"/>
  <c r="A9" i="2"/>
  <c r="B9" i="2"/>
  <c r="CP9" i="2"/>
  <c r="A10" i="2"/>
  <c r="B10" i="2"/>
  <c r="CP10" i="2"/>
  <c r="A11" i="2"/>
  <c r="B11" i="2"/>
  <c r="CP11" i="2"/>
  <c r="A12" i="2"/>
  <c r="B12" i="2"/>
  <c r="CP12" i="2"/>
  <c r="A13" i="2"/>
  <c r="B13" i="2"/>
  <c r="CP13" i="2"/>
  <c r="A14" i="2"/>
  <c r="B14" i="2"/>
  <c r="CP14" i="2"/>
  <c r="A15" i="2"/>
  <c r="B15" i="2"/>
  <c r="CP15" i="2"/>
  <c r="A16" i="2"/>
  <c r="B16" i="2"/>
  <c r="CP16" i="2"/>
  <c r="A17" i="2"/>
  <c r="B17" i="2"/>
  <c r="CP17" i="2"/>
  <c r="A18" i="2"/>
  <c r="B18" i="2"/>
  <c r="CP18" i="2"/>
  <c r="A19" i="2"/>
  <c r="B19" i="2"/>
  <c r="CP19" i="2"/>
  <c r="A20" i="2"/>
  <c r="B20" i="2"/>
  <c r="CP20" i="2"/>
  <c r="A21" i="2"/>
  <c r="B21" i="2"/>
  <c r="CP21" i="2"/>
  <c r="A22" i="2"/>
  <c r="B22" i="2"/>
  <c r="CP22" i="2"/>
  <c r="A23" i="2"/>
  <c r="B23" i="2"/>
  <c r="CP23" i="2"/>
  <c r="A24" i="2"/>
  <c r="B24" i="2"/>
  <c r="CP24" i="2"/>
  <c r="A25" i="2"/>
  <c r="B25" i="2"/>
  <c r="CP25" i="2"/>
  <c r="A26" i="2"/>
  <c r="B26" i="2"/>
  <c r="CP26" i="2"/>
  <c r="A27" i="2"/>
  <c r="B27" i="2"/>
  <c r="CP27" i="2"/>
  <c r="A28" i="2"/>
  <c r="B28" i="2"/>
  <c r="CP28" i="2"/>
  <c r="A29" i="2"/>
  <c r="B29" i="2"/>
  <c r="CP29" i="2"/>
  <c r="A30" i="2"/>
  <c r="B30" i="2"/>
  <c r="CP30" i="2"/>
  <c r="A31" i="2"/>
  <c r="B31" i="2"/>
  <c r="CP31" i="2"/>
  <c r="A32" i="2"/>
  <c r="B32" i="2"/>
  <c r="CP32" i="2"/>
  <c r="A33" i="2"/>
  <c r="B33" i="2"/>
  <c r="CP33" i="2"/>
  <c r="A34" i="2"/>
  <c r="B34" i="2"/>
  <c r="CP34" i="2"/>
  <c r="A35" i="2"/>
  <c r="B35" i="2"/>
  <c r="CP35" i="2"/>
  <c r="A36" i="2"/>
  <c r="B36" i="2"/>
  <c r="CP36" i="2"/>
  <c r="A37" i="2"/>
  <c r="B37" i="2"/>
  <c r="CP37" i="2"/>
  <c r="A38" i="2"/>
  <c r="B38" i="2"/>
  <c r="CP38" i="2"/>
  <c r="A39" i="2"/>
  <c r="B39" i="2"/>
  <c r="CP39" i="2"/>
  <c r="A40" i="2"/>
  <c r="B40" i="2"/>
  <c r="CS40" i="2"/>
  <c r="CP40" i="2"/>
  <c r="A41" i="2"/>
  <c r="B41" i="2"/>
  <c r="CS41" i="2"/>
  <c r="CP41" i="2"/>
  <c r="A42" i="2"/>
  <c r="B42" i="2"/>
  <c r="CS42" i="2"/>
  <c r="CP42" i="2"/>
  <c r="A43" i="2"/>
  <c r="B43" i="2"/>
  <c r="CS43" i="2"/>
  <c r="CP43" i="2"/>
  <c r="A44" i="2"/>
  <c r="B44" i="2"/>
  <c r="CS44" i="2"/>
  <c r="CP44" i="2"/>
  <c r="A45" i="2"/>
  <c r="B45" i="2"/>
  <c r="CS45" i="2"/>
  <c r="CP45" i="2"/>
  <c r="A46" i="2"/>
  <c r="B46" i="2"/>
  <c r="CS46" i="2"/>
  <c r="CP46" i="2"/>
  <c r="A47" i="2"/>
  <c r="B47" i="2"/>
  <c r="CS47" i="2"/>
  <c r="CP47" i="2"/>
  <c r="A48" i="2"/>
  <c r="B48" i="2"/>
  <c r="CS48" i="2"/>
  <c r="CP48" i="2"/>
  <c r="A49" i="2"/>
  <c r="B49" i="2"/>
  <c r="CS49" i="2"/>
  <c r="CP49" i="2"/>
  <c r="A50" i="2"/>
  <c r="B50" i="2"/>
  <c r="CS50" i="2"/>
  <c r="CP50" i="2"/>
  <c r="A51" i="2"/>
  <c r="B51" i="2"/>
  <c r="CS51" i="2"/>
  <c r="CP51" i="2"/>
  <c r="A52" i="2"/>
  <c r="B52" i="2"/>
  <c r="CS52" i="2"/>
  <c r="CP52" i="2"/>
  <c r="A53" i="2"/>
  <c r="B53" i="2"/>
  <c r="CS53" i="2"/>
  <c r="CP53" i="2"/>
  <c r="A54" i="2"/>
  <c r="B54" i="2"/>
  <c r="CS54" i="2"/>
  <c r="CP54" i="2"/>
  <c r="A55" i="2"/>
  <c r="B55" i="2"/>
  <c r="CS55" i="2"/>
  <c r="CP55" i="2"/>
  <c r="A56" i="2"/>
  <c r="B56" i="2"/>
  <c r="CS56" i="2"/>
  <c r="CP56" i="2"/>
  <c r="A57" i="2"/>
  <c r="B57" i="2"/>
  <c r="CS57" i="2"/>
  <c r="CP57" i="2"/>
  <c r="A58" i="2"/>
  <c r="B58" i="2"/>
  <c r="CS58" i="2"/>
  <c r="CP58" i="2"/>
  <c r="A59" i="2"/>
  <c r="B59" i="2"/>
  <c r="CS59" i="2"/>
  <c r="CP59" i="2"/>
  <c r="A60" i="2"/>
  <c r="B60" i="2"/>
  <c r="CS60" i="2"/>
  <c r="CP60" i="2"/>
  <c r="A61" i="2"/>
  <c r="B61" i="2"/>
  <c r="CS61" i="2"/>
  <c r="CP61" i="2"/>
  <c r="A62" i="2"/>
  <c r="B62" i="2"/>
  <c r="CS62" i="2"/>
  <c r="CP62" i="2"/>
  <c r="A63" i="2"/>
  <c r="B63" i="2"/>
  <c r="CS63" i="2"/>
  <c r="CP63" i="2"/>
  <c r="A64" i="2"/>
  <c r="B64" i="2"/>
  <c r="CS64" i="2"/>
  <c r="CP64" i="2"/>
  <c r="A65" i="2"/>
  <c r="B65" i="2"/>
  <c r="CS65" i="2"/>
  <c r="CP65" i="2"/>
  <c r="A66" i="2"/>
  <c r="B66" i="2"/>
  <c r="CS66" i="2"/>
  <c r="CP66" i="2"/>
  <c r="A67" i="2"/>
  <c r="B67" i="2"/>
  <c r="CS67" i="2"/>
  <c r="CP67" i="2"/>
  <c r="A68" i="2"/>
  <c r="B68" i="2"/>
  <c r="CS68" i="2"/>
  <c r="CP68" i="2"/>
  <c r="A69" i="2"/>
  <c r="B69" i="2"/>
  <c r="CS69" i="2"/>
  <c r="CP69" i="2"/>
  <c r="A70" i="2"/>
  <c r="B70" i="2"/>
  <c r="CS70" i="2"/>
  <c r="CP70" i="2"/>
  <c r="A71" i="2"/>
  <c r="B71" i="2"/>
  <c r="CS71" i="2"/>
  <c r="CP71" i="2"/>
  <c r="A72" i="2"/>
  <c r="B72" i="2"/>
  <c r="CS72" i="2"/>
  <c r="CP72" i="2"/>
  <c r="A73" i="2"/>
  <c r="B73" i="2"/>
  <c r="CS73" i="2"/>
  <c r="CP73" i="2"/>
  <c r="A74" i="2"/>
  <c r="B74" i="2"/>
  <c r="CS74" i="2"/>
  <c r="CP74" i="2"/>
  <c r="A75" i="2"/>
  <c r="B75" i="2"/>
  <c r="CS75" i="2"/>
  <c r="CP75" i="2"/>
  <c r="A76" i="2"/>
  <c r="B76" i="2"/>
  <c r="CS76" i="2"/>
  <c r="CP76" i="2"/>
  <c r="A77" i="2"/>
  <c r="B77" i="2"/>
  <c r="CS77" i="2"/>
  <c r="CP77" i="2"/>
  <c r="A78" i="2"/>
  <c r="B78" i="2"/>
  <c r="CP78" i="2"/>
  <c r="A79" i="2"/>
  <c r="B79" i="2"/>
  <c r="CP79" i="2"/>
  <c r="A80" i="2"/>
  <c r="B80" i="2"/>
  <c r="CP80" i="2"/>
  <c r="A81" i="2"/>
  <c r="B81" i="2"/>
  <c r="CP81" i="2"/>
  <c r="A82" i="2"/>
  <c r="B82" i="2"/>
  <c r="CP82" i="2"/>
  <c r="A83" i="2"/>
  <c r="B83" i="2"/>
  <c r="CP83" i="2"/>
  <c r="A84" i="2"/>
  <c r="B84" i="2"/>
  <c r="CP84" i="2"/>
  <c r="A85" i="2"/>
  <c r="B85" i="2"/>
  <c r="CP85" i="2"/>
  <c r="A86" i="2"/>
  <c r="B86" i="2"/>
  <c r="CP86" i="2"/>
  <c r="A87" i="2"/>
  <c r="B87" i="2"/>
  <c r="CP87" i="2"/>
  <c r="A88" i="2"/>
  <c r="B88" i="2"/>
  <c r="CP88" i="2"/>
  <c r="A89" i="2"/>
  <c r="B89" i="2"/>
  <c r="CP89" i="2"/>
  <c r="A90" i="2"/>
  <c r="B90" i="2"/>
  <c r="CP90" i="2"/>
  <c r="A91" i="2"/>
  <c r="B91" i="2"/>
  <c r="CP91" i="2"/>
  <c r="A92" i="2"/>
  <c r="B92" i="2"/>
  <c r="CP92" i="2"/>
  <c r="A93" i="2"/>
  <c r="B93" i="2"/>
  <c r="CP93" i="2"/>
  <c r="A94" i="2"/>
  <c r="B94" i="2"/>
  <c r="CP94" i="2"/>
  <c r="A95" i="2"/>
  <c r="B95" i="2"/>
  <c r="CP95" i="2"/>
  <c r="A96" i="2"/>
  <c r="B96" i="2"/>
  <c r="CP96" i="2"/>
  <c r="A97" i="2"/>
  <c r="B97" i="2"/>
  <c r="CP97" i="2"/>
  <c r="A98" i="2"/>
  <c r="B98" i="2"/>
  <c r="CP98" i="2"/>
  <c r="A99" i="2"/>
  <c r="B99" i="2"/>
  <c r="CP99" i="2"/>
  <c r="A100" i="2"/>
  <c r="B100" i="2"/>
  <c r="CP100" i="2"/>
  <c r="A101" i="2"/>
  <c r="B101" i="2"/>
  <c r="CP101" i="2"/>
  <c r="A102" i="2"/>
  <c r="B102" i="2"/>
  <c r="CP102" i="2"/>
  <c r="A103" i="2"/>
  <c r="B103" i="2"/>
  <c r="CP103" i="2"/>
  <c r="A104" i="2"/>
  <c r="B104" i="2"/>
  <c r="CP104" i="2"/>
  <c r="A105" i="2"/>
  <c r="B105" i="2"/>
  <c r="CP105" i="2"/>
  <c r="A106" i="2"/>
  <c r="B106" i="2"/>
  <c r="CP106" i="2"/>
  <c r="A107" i="2"/>
  <c r="B107" i="2"/>
  <c r="CP107" i="2"/>
  <c r="A108" i="2"/>
  <c r="B108" i="2"/>
  <c r="CP108" i="2"/>
  <c r="A109" i="2"/>
  <c r="B109" i="2"/>
  <c r="CP109" i="2"/>
  <c r="A110" i="2"/>
  <c r="B110" i="2"/>
  <c r="CP110" i="2"/>
  <c r="A111" i="2"/>
  <c r="B111" i="2"/>
  <c r="CP111" i="2"/>
  <c r="A112" i="2"/>
  <c r="B112" i="2"/>
  <c r="CP112" i="2"/>
  <c r="A113" i="2"/>
  <c r="B113" i="2"/>
  <c r="CP113" i="2"/>
  <c r="A114" i="2"/>
  <c r="B114" i="2"/>
  <c r="CP114" i="2"/>
  <c r="A115" i="2"/>
  <c r="B115" i="2"/>
  <c r="CS115" i="2"/>
  <c r="CP115" i="2"/>
  <c r="A117" i="2"/>
  <c r="B117" i="2"/>
  <c r="CS117" i="2"/>
  <c r="CP117" i="2"/>
  <c r="A118" i="2"/>
  <c r="B118" i="2"/>
  <c r="CS118" i="2"/>
  <c r="CP118" i="2"/>
  <c r="A119" i="2"/>
  <c r="B119" i="2"/>
  <c r="CS119" i="2"/>
  <c r="CP119" i="2"/>
  <c r="A120" i="2"/>
  <c r="B120" i="2"/>
  <c r="CS120" i="2"/>
  <c r="CP120" i="2"/>
  <c r="A123" i="2"/>
  <c r="B123" i="2"/>
  <c r="CS123" i="2"/>
  <c r="CP123" i="2"/>
  <c r="A124" i="2"/>
  <c r="B124" i="2"/>
  <c r="CS124" i="2"/>
  <c r="CP124" i="2"/>
  <c r="A125" i="2"/>
  <c r="B125" i="2"/>
  <c r="CS125" i="2"/>
  <c r="CP125" i="2"/>
  <c r="A126" i="2"/>
  <c r="B126" i="2"/>
  <c r="CS126" i="2"/>
  <c r="CP126" i="2"/>
  <c r="A129" i="2"/>
  <c r="B129" i="2"/>
  <c r="CS129" i="2"/>
  <c r="CP129" i="2"/>
  <c r="A130" i="2"/>
  <c r="B130" i="2"/>
  <c r="CS130" i="2"/>
  <c r="CP130" i="2"/>
  <c r="A131" i="2"/>
  <c r="B131" i="2"/>
  <c r="CS131" i="2"/>
  <c r="CP131" i="2"/>
  <c r="A132" i="2"/>
  <c r="B132" i="2"/>
  <c r="CS132" i="2"/>
  <c r="CP132" i="2"/>
  <c r="A135" i="2"/>
  <c r="B135" i="2"/>
  <c r="CS135" i="2"/>
  <c r="CP135" i="2"/>
  <c r="A136" i="2"/>
  <c r="B136" i="2"/>
  <c r="CS136" i="2"/>
  <c r="CP136" i="2"/>
  <c r="A137" i="2"/>
  <c r="B137" i="2"/>
  <c r="CS137" i="2"/>
  <c r="CP137" i="2"/>
  <c r="A138" i="2"/>
  <c r="B138" i="2"/>
  <c r="CS138" i="2"/>
  <c r="CP138" i="2"/>
  <c r="A141" i="2"/>
  <c r="B141" i="2"/>
  <c r="CS141" i="2"/>
  <c r="CP141" i="2"/>
  <c r="A142" i="2"/>
  <c r="B142" i="2"/>
  <c r="CS142" i="2"/>
  <c r="CP142" i="2"/>
  <c r="A143" i="2"/>
  <c r="B143" i="2"/>
  <c r="CS143" i="2"/>
  <c r="CP143" i="2"/>
  <c r="A144" i="2"/>
  <c r="B144" i="2"/>
  <c r="CS144" i="2"/>
  <c r="CP144" i="2"/>
  <c r="A146" i="2"/>
  <c r="B146" i="2"/>
  <c r="CS146" i="2"/>
  <c r="CP146" i="2"/>
  <c r="A147" i="2"/>
  <c r="B147" i="2"/>
  <c r="CS147" i="2"/>
  <c r="CP147" i="2"/>
  <c r="A148" i="2"/>
  <c r="B148" i="2"/>
  <c r="CS148" i="2"/>
  <c r="CP148" i="2"/>
  <c r="A149" i="2"/>
  <c r="B149" i="2"/>
  <c r="CS149" i="2"/>
  <c r="CP149" i="2"/>
  <c r="A151" i="2"/>
  <c r="B151" i="2"/>
  <c r="CS151" i="2"/>
  <c r="CP151" i="2"/>
  <c r="A152" i="2"/>
  <c r="B152" i="2"/>
  <c r="CS152" i="2"/>
  <c r="CP152" i="2"/>
  <c r="A153" i="2"/>
  <c r="B153" i="2"/>
  <c r="CS153" i="2"/>
  <c r="CP153" i="2"/>
  <c r="A154" i="2"/>
  <c r="B154" i="2"/>
  <c r="CS154" i="2"/>
  <c r="CP154" i="2"/>
  <c r="A158" i="2"/>
  <c r="B158" i="2"/>
  <c r="CP158" i="2"/>
  <c r="A159" i="2"/>
  <c r="B159" i="2"/>
  <c r="CP159" i="2"/>
  <c r="A160" i="2"/>
  <c r="B160" i="2"/>
  <c r="CP160" i="2"/>
  <c r="A161" i="2"/>
  <c r="B161" i="2"/>
  <c r="CP161" i="2"/>
  <c r="A162" i="2"/>
  <c r="B162" i="2"/>
  <c r="CP162" i="2"/>
  <c r="A163" i="2"/>
  <c r="B163" i="2"/>
  <c r="CP163" i="2"/>
  <c r="A164" i="2"/>
  <c r="B164" i="2"/>
  <c r="CP164" i="2"/>
  <c r="A165" i="2"/>
  <c r="B165" i="2"/>
  <c r="CP165" i="2"/>
  <c r="A166" i="2"/>
  <c r="B166" i="2"/>
  <c r="CP166" i="2"/>
  <c r="A167" i="2"/>
  <c r="B167" i="2"/>
  <c r="CP167" i="2"/>
  <c r="A168" i="2"/>
  <c r="B168" i="2"/>
  <c r="CP168" i="2"/>
  <c r="A169" i="2"/>
  <c r="B169" i="2"/>
  <c r="CP169" i="2"/>
  <c r="A170" i="2"/>
  <c r="B170" i="2"/>
  <c r="CP170" i="2"/>
  <c r="A171" i="2"/>
  <c r="B171" i="2"/>
  <c r="CP171" i="2"/>
  <c r="A172" i="2"/>
  <c r="B172" i="2"/>
  <c r="CP172" i="2"/>
  <c r="A173" i="2"/>
  <c r="B173" i="2"/>
  <c r="CP173" i="2"/>
  <c r="A174" i="2"/>
  <c r="B174" i="2"/>
  <c r="CP174" i="2"/>
  <c r="A175" i="2"/>
  <c r="B175" i="2"/>
  <c r="CP175" i="2"/>
  <c r="A176" i="2"/>
  <c r="B176" i="2"/>
  <c r="CP176" i="2"/>
  <c r="A177" i="2"/>
  <c r="B177" i="2"/>
  <c r="CP177" i="2"/>
  <c r="A178" i="2"/>
  <c r="B178" i="2"/>
  <c r="CP178" i="2"/>
  <c r="A179" i="2"/>
  <c r="B179" i="2"/>
  <c r="CP179" i="2"/>
  <c r="A180" i="2"/>
  <c r="B180" i="2"/>
  <c r="CP180" i="2"/>
  <c r="A181" i="2"/>
  <c r="B181" i="2"/>
  <c r="CP181" i="2"/>
  <c r="A182" i="2"/>
  <c r="B182" i="2"/>
  <c r="CP182" i="2"/>
  <c r="A183" i="2"/>
  <c r="B183" i="2"/>
  <c r="CP183" i="2"/>
  <c r="A184" i="2"/>
  <c r="B184" i="2"/>
  <c r="CP184" i="2"/>
  <c r="A185" i="2"/>
  <c r="B185" i="2"/>
  <c r="CP185" i="2"/>
  <c r="A186" i="2"/>
  <c r="B186" i="2"/>
  <c r="CP186" i="2"/>
  <c r="A187" i="2"/>
  <c r="B187" i="2"/>
  <c r="CP187" i="2"/>
  <c r="A188" i="2"/>
  <c r="B188" i="2"/>
  <c r="CP188" i="2"/>
  <c r="A189" i="2"/>
  <c r="B189" i="2"/>
  <c r="CP189" i="2"/>
  <c r="A190" i="2"/>
  <c r="B190" i="2"/>
  <c r="CP190" i="2"/>
  <c r="A191" i="2"/>
  <c r="B191" i="2"/>
  <c r="CP191" i="2"/>
  <c r="A192" i="2"/>
  <c r="B192" i="2"/>
  <c r="CP192" i="2"/>
  <c r="A193" i="2"/>
  <c r="B193" i="2"/>
  <c r="CP193" i="2"/>
  <c r="A194" i="2"/>
  <c r="B194" i="2"/>
  <c r="CP194" i="2"/>
  <c r="A195" i="2"/>
  <c r="B195" i="2"/>
  <c r="CP195" i="2"/>
  <c r="A196" i="2"/>
  <c r="B196" i="2"/>
  <c r="CP196" i="2"/>
  <c r="A197" i="2"/>
  <c r="B197" i="2"/>
  <c r="CP197" i="2"/>
  <c r="A198" i="2"/>
  <c r="B198" i="2"/>
  <c r="CP198" i="2"/>
  <c r="A199" i="2"/>
  <c r="B199" i="2"/>
  <c r="CP199" i="2"/>
  <c r="A200" i="2"/>
  <c r="B200" i="2"/>
  <c r="CP200" i="2"/>
  <c r="A201" i="2"/>
  <c r="B201" i="2"/>
  <c r="CP201" i="2"/>
  <c r="A202" i="2"/>
  <c r="B202" i="2"/>
  <c r="CP202" i="2"/>
  <c r="A203" i="2"/>
  <c r="B203" i="2"/>
  <c r="CP203" i="2"/>
  <c r="A204" i="2"/>
  <c r="B204" i="2"/>
  <c r="CP204" i="2"/>
  <c r="A205" i="2"/>
  <c r="B205" i="2"/>
  <c r="CP205" i="2"/>
  <c r="A206" i="2"/>
  <c r="B206" i="2"/>
  <c r="CP206" i="2"/>
  <c r="A207" i="2"/>
  <c r="B207" i="2"/>
  <c r="CP207" i="2"/>
  <c r="A208" i="2"/>
  <c r="B208" i="2"/>
  <c r="CP208" i="2"/>
  <c r="A209" i="2"/>
  <c r="B209" i="2"/>
  <c r="CP209" i="2"/>
  <c r="A210" i="2"/>
  <c r="B210" i="2"/>
  <c r="CP210" i="2"/>
  <c r="A211" i="2"/>
  <c r="B211" i="2"/>
  <c r="CP211" i="2"/>
  <c r="A212" i="2"/>
  <c r="B212" i="2"/>
  <c r="CP212" i="2"/>
  <c r="A213" i="2"/>
  <c r="B213" i="2"/>
  <c r="CP213" i="2"/>
  <c r="A214" i="2"/>
  <c r="B214" i="2"/>
  <c r="CP214" i="2"/>
  <c r="A215" i="2"/>
  <c r="B215" i="2"/>
  <c r="CP215" i="2"/>
  <c r="A216" i="2"/>
  <c r="B216" i="2"/>
  <c r="CP216" i="2"/>
  <c r="A217" i="2"/>
  <c r="B217" i="2"/>
  <c r="CP217" i="2"/>
  <c r="A218" i="2"/>
  <c r="B218" i="2"/>
  <c r="CP218" i="2"/>
  <c r="A219" i="2"/>
  <c r="B219" i="2"/>
  <c r="CP219" i="2"/>
  <c r="A220" i="2"/>
  <c r="B220" i="2"/>
  <c r="CP220" i="2"/>
  <c r="A221" i="2"/>
  <c r="B221" i="2"/>
  <c r="CP221" i="2"/>
  <c r="A222" i="2"/>
  <c r="B222" i="2"/>
  <c r="CP222" i="2"/>
  <c r="A223" i="2"/>
  <c r="B223" i="2"/>
  <c r="CP223" i="2"/>
  <c r="A224" i="2"/>
  <c r="B224" i="2"/>
  <c r="CP224" i="2"/>
  <c r="A225" i="2"/>
  <c r="B225" i="2"/>
  <c r="CP225" i="2"/>
  <c r="A226" i="2"/>
  <c r="B226" i="2"/>
  <c r="CP226" i="2"/>
  <c r="A227" i="2"/>
  <c r="B227" i="2"/>
  <c r="CP227" i="2"/>
  <c r="A228" i="2"/>
  <c r="B228" i="2"/>
  <c r="CP228" i="2"/>
  <c r="A229" i="2"/>
  <c r="B229" i="2"/>
  <c r="CP229" i="2"/>
  <c r="A230" i="2"/>
  <c r="B230" i="2"/>
  <c r="CP230" i="2"/>
  <c r="A231" i="2"/>
  <c r="B231" i="2"/>
  <c r="CP231" i="2"/>
  <c r="A232" i="2"/>
  <c r="B232" i="2"/>
  <c r="CP232" i="2"/>
  <c r="A233" i="2"/>
  <c r="B233" i="2"/>
  <c r="CP233" i="2"/>
  <c r="A234" i="2"/>
  <c r="B234" i="2"/>
  <c r="CP234" i="2"/>
  <c r="A235" i="2"/>
  <c r="B235" i="2"/>
  <c r="CP235" i="2"/>
  <c r="A236" i="2"/>
  <c r="B236" i="2"/>
  <c r="CP236" i="2"/>
  <c r="A237" i="2"/>
  <c r="B237" i="2"/>
  <c r="CP237" i="2"/>
  <c r="A238" i="2"/>
  <c r="B238" i="2"/>
  <c r="CP238" i="2"/>
  <c r="A239" i="2"/>
  <c r="B239" i="2"/>
  <c r="CP239" i="2"/>
  <c r="A240" i="2"/>
  <c r="B240" i="2"/>
  <c r="CP240" i="2"/>
  <c r="A241" i="2"/>
  <c r="B241" i="2"/>
  <c r="CP241" i="2"/>
  <c r="A242" i="2"/>
  <c r="B242" i="2"/>
  <c r="CP242" i="2"/>
  <c r="A243" i="2"/>
  <c r="B243" i="2"/>
  <c r="CP243" i="2"/>
  <c r="A244" i="2"/>
  <c r="B244" i="2"/>
  <c r="CP244" i="2"/>
  <c r="A245" i="2"/>
  <c r="B245" i="2"/>
  <c r="CP245" i="2"/>
  <c r="A246" i="2"/>
  <c r="B246" i="2"/>
  <c r="CP246" i="2"/>
  <c r="A247" i="2"/>
  <c r="B247" i="2"/>
  <c r="CP247" i="2"/>
  <c r="A248" i="2"/>
  <c r="B248" i="2"/>
  <c r="CP248" i="2"/>
  <c r="A249" i="2"/>
  <c r="B249" i="2"/>
  <c r="CP249" i="2"/>
  <c r="A250" i="2"/>
  <c r="B250" i="2"/>
  <c r="CP250" i="2"/>
  <c r="A251" i="2"/>
  <c r="B251" i="2"/>
  <c r="CP251" i="2"/>
  <c r="A252" i="2"/>
  <c r="B252" i="2"/>
  <c r="CP252" i="2"/>
  <c r="A253" i="2"/>
  <c r="B253" i="2"/>
  <c r="CP253" i="2"/>
  <c r="A254" i="2"/>
  <c r="B254" i="2"/>
  <c r="CP254" i="2"/>
  <c r="A255" i="2"/>
  <c r="B255" i="2"/>
  <c r="CP255" i="2"/>
  <c r="A256" i="2"/>
  <c r="B256" i="2"/>
  <c r="CP256" i="2"/>
  <c r="A257" i="2"/>
  <c r="B257" i="2"/>
  <c r="CP257" i="2"/>
  <c r="A258" i="2"/>
  <c r="B258" i="2"/>
  <c r="CP258" i="2"/>
  <c r="A259" i="2"/>
  <c r="B259" i="2"/>
  <c r="CP259" i="2"/>
  <c r="A260" i="2"/>
  <c r="B260" i="2"/>
  <c r="CP260" i="2"/>
  <c r="A261" i="2"/>
  <c r="B261" i="2"/>
  <c r="CP261" i="2"/>
  <c r="A262" i="2"/>
  <c r="B262" i="2"/>
  <c r="CP262" i="2"/>
  <c r="A263" i="2"/>
  <c r="B263" i="2"/>
  <c r="CP263" i="2"/>
  <c r="A264" i="2"/>
  <c r="B264" i="2"/>
  <c r="CP264" i="2"/>
  <c r="A265" i="2"/>
  <c r="B265" i="2"/>
  <c r="CP265" i="2"/>
  <c r="A266" i="2"/>
  <c r="B266" i="2"/>
  <c r="CP266" i="2"/>
  <c r="A267" i="2"/>
  <c r="B267" i="2"/>
  <c r="CP267" i="2"/>
  <c r="A268" i="2"/>
  <c r="B268" i="2"/>
  <c r="CP268" i="2"/>
  <c r="B269" i="2"/>
  <c r="CS269" i="2"/>
  <c r="CP269" i="2"/>
  <c r="B270" i="2"/>
  <c r="CS270" i="2"/>
  <c r="CP270" i="2"/>
  <c r="B271" i="2"/>
  <c r="CS271" i="2"/>
  <c r="CP271" i="2"/>
  <c r="B272" i="2"/>
  <c r="CS272" i="2"/>
  <c r="CP272" i="2"/>
  <c r="A273" i="2"/>
  <c r="B273" i="2"/>
  <c r="CS273" i="2"/>
  <c r="CP273" i="2"/>
  <c r="A274" i="2"/>
  <c r="B274" i="2"/>
  <c r="CS274" i="2"/>
  <c r="CP274" i="2"/>
  <c r="A275" i="2"/>
  <c r="B275" i="2"/>
  <c r="CS275" i="2"/>
  <c r="CP275" i="2"/>
  <c r="A276" i="2"/>
  <c r="B276" i="2"/>
  <c r="CS276" i="2"/>
  <c r="CP276" i="2"/>
  <c r="A277" i="2"/>
  <c r="B277" i="2"/>
  <c r="CS277" i="2"/>
  <c r="CP277" i="2"/>
  <c r="A278" i="2"/>
  <c r="B278" i="2"/>
  <c r="CS278" i="2"/>
  <c r="CP278" i="2"/>
  <c r="A279" i="2"/>
  <c r="B279" i="2"/>
  <c r="CS279" i="2"/>
  <c r="CP279" i="2"/>
  <c r="A280" i="2"/>
  <c r="B280" i="2"/>
  <c r="CS280" i="2"/>
  <c r="CP280" i="2"/>
  <c r="A281" i="2"/>
  <c r="B281" i="2"/>
  <c r="CS281" i="2"/>
  <c r="CP281" i="2"/>
  <c r="A282" i="2"/>
  <c r="B282" i="2"/>
  <c r="CS282" i="2"/>
  <c r="CP282" i="2"/>
  <c r="A283" i="2"/>
  <c r="B283" i="2"/>
  <c r="CS283" i="2"/>
  <c r="CP283" i="2"/>
  <c r="A284" i="2"/>
  <c r="B284" i="2"/>
  <c r="CS284" i="2"/>
  <c r="CP284" i="2"/>
  <c r="A285" i="2"/>
  <c r="B285" i="2"/>
  <c r="CS285" i="2"/>
  <c r="CP285" i="2"/>
  <c r="A286" i="2"/>
  <c r="B286" i="2"/>
  <c r="CS286" i="2"/>
  <c r="CP286" i="2"/>
  <c r="A287" i="2"/>
  <c r="B287" i="2"/>
  <c r="CS287" i="2"/>
  <c r="CP287" i="2"/>
  <c r="A288" i="2"/>
  <c r="B288" i="2"/>
  <c r="CS288" i="2"/>
  <c r="CP288" i="2"/>
  <c r="A289" i="2"/>
  <c r="B289" i="2"/>
  <c r="CS289" i="2"/>
  <c r="CP289" i="2"/>
  <c r="A290" i="2"/>
  <c r="B290" i="2"/>
  <c r="CS290" i="2"/>
  <c r="CP290" i="2"/>
  <c r="A291" i="2"/>
  <c r="B291" i="2"/>
  <c r="CS291" i="2"/>
  <c r="CP291" i="2"/>
  <c r="A292" i="2"/>
  <c r="B292" i="2"/>
  <c r="CS292" i="2"/>
  <c r="CP292" i="2"/>
  <c r="A293" i="2"/>
  <c r="B293" i="2"/>
  <c r="CS293" i="2"/>
  <c r="CP293" i="2"/>
  <c r="A294" i="2"/>
  <c r="B294" i="2"/>
  <c r="CS294" i="2"/>
  <c r="CP294" i="2"/>
  <c r="A295" i="2"/>
  <c r="B295" i="2"/>
  <c r="CS295" i="2"/>
  <c r="CP295" i="2"/>
  <c r="A296" i="2"/>
  <c r="B296" i="2"/>
  <c r="CS296" i="2"/>
  <c r="CP296" i="2"/>
  <c r="A297" i="2"/>
  <c r="B297" i="2"/>
  <c r="CS297" i="2"/>
  <c r="CP297" i="2"/>
  <c r="A298" i="2"/>
  <c r="B298" i="2"/>
  <c r="CS298" i="2"/>
  <c r="CP298" i="2"/>
  <c r="A299" i="2"/>
  <c r="B299" i="2"/>
  <c r="CS299" i="2"/>
  <c r="CP299" i="2"/>
  <c r="A300" i="2"/>
  <c r="B300" i="2"/>
  <c r="CS300" i="2"/>
  <c r="CP300" i="2"/>
  <c r="A301" i="2"/>
  <c r="B301" i="2"/>
  <c r="CS301" i="2"/>
  <c r="CP301" i="2"/>
  <c r="A302" i="2"/>
  <c r="B302" i="2"/>
  <c r="CS302" i="2"/>
  <c r="CP302" i="2"/>
  <c r="A303" i="2"/>
  <c r="B303" i="2"/>
  <c r="CS303" i="2"/>
  <c r="CP303" i="2"/>
  <c r="A304" i="2"/>
  <c r="B304" i="2"/>
  <c r="CS304" i="2"/>
  <c r="CP304" i="2"/>
  <c r="A305" i="2"/>
  <c r="B305" i="2"/>
  <c r="CS305" i="2"/>
  <c r="CP305" i="2"/>
  <c r="A306" i="2"/>
  <c r="B306" i="2"/>
  <c r="CS306" i="2"/>
  <c r="CP306" i="2"/>
  <c r="A307" i="2"/>
  <c r="B307" i="2"/>
  <c r="CS307" i="2"/>
  <c r="CP307" i="2"/>
  <c r="A308" i="2"/>
  <c r="B308" i="2"/>
  <c r="CS308" i="2"/>
  <c r="CP308" i="2"/>
  <c r="A309" i="2"/>
  <c r="B309" i="2"/>
  <c r="CS309" i="2"/>
  <c r="CP309" i="2"/>
  <c r="A310" i="2"/>
  <c r="B310" i="2"/>
  <c r="CS310" i="2"/>
  <c r="CP310" i="2"/>
  <c r="A311" i="2"/>
  <c r="B311" i="2"/>
  <c r="CS311" i="2"/>
  <c r="CP311" i="2"/>
  <c r="A312" i="2"/>
  <c r="B312" i="2"/>
  <c r="CS312" i="2"/>
  <c r="CP312" i="2"/>
  <c r="A313" i="2"/>
  <c r="B313" i="2"/>
  <c r="CS313" i="2"/>
  <c r="CP313" i="2"/>
  <c r="A314" i="2"/>
  <c r="B314" i="2"/>
  <c r="CS314" i="2"/>
  <c r="CP314" i="2"/>
  <c r="A315" i="2"/>
  <c r="B315" i="2"/>
  <c r="CS315" i="2"/>
  <c r="CP315" i="2"/>
  <c r="A316" i="2"/>
  <c r="B316" i="2"/>
  <c r="CS316" i="2"/>
  <c r="CP316" i="2"/>
  <c r="A317" i="2"/>
  <c r="B317" i="2"/>
  <c r="CS317" i="2"/>
  <c r="CP317" i="2"/>
  <c r="A318" i="2"/>
  <c r="B318" i="2"/>
  <c r="CS318" i="2"/>
  <c r="CP318" i="2"/>
  <c r="A319" i="2"/>
  <c r="B319" i="2"/>
  <c r="CS319" i="2"/>
  <c r="CP319" i="2"/>
  <c r="A320" i="2"/>
  <c r="B320" i="2"/>
  <c r="CS320" i="2"/>
  <c r="CP320" i="2"/>
  <c r="A321" i="2"/>
  <c r="B321" i="2"/>
  <c r="CS321" i="2"/>
  <c r="CP321" i="2"/>
  <c r="A322" i="2"/>
  <c r="B322" i="2"/>
  <c r="CS322" i="2"/>
  <c r="CP322" i="2"/>
  <c r="A323" i="2"/>
  <c r="B323" i="2"/>
  <c r="CS323" i="2"/>
  <c r="CP323" i="2"/>
  <c r="A324" i="2"/>
  <c r="B324" i="2"/>
  <c r="CS324" i="2"/>
  <c r="CP324" i="2"/>
  <c r="A325" i="2"/>
  <c r="B325" i="2"/>
  <c r="CS325" i="2"/>
  <c r="CP325" i="2"/>
  <c r="A326" i="2"/>
  <c r="B326" i="2"/>
  <c r="CS326" i="2"/>
  <c r="CP326" i="2"/>
  <c r="A327" i="2"/>
  <c r="B327" i="2"/>
  <c r="CS327" i="2"/>
  <c r="CP327" i="2"/>
  <c r="A328" i="2"/>
  <c r="B328" i="2"/>
  <c r="CS328" i="2"/>
  <c r="CP328" i="2"/>
  <c r="A329" i="2"/>
  <c r="B329" i="2"/>
  <c r="CS329" i="2"/>
  <c r="CP329" i="2"/>
  <c r="A330" i="2"/>
  <c r="B330" i="2"/>
  <c r="CS330" i="2"/>
  <c r="CP330" i="2"/>
  <c r="A331" i="2"/>
  <c r="B331" i="2"/>
  <c r="CS331" i="2"/>
  <c r="CP331" i="2"/>
  <c r="A332" i="2"/>
  <c r="B332" i="2"/>
  <c r="CS332" i="2"/>
  <c r="CP332" i="2"/>
  <c r="A333" i="2"/>
  <c r="B333" i="2"/>
  <c r="CS333" i="2"/>
  <c r="CP333" i="2"/>
  <c r="A334" i="2"/>
  <c r="B334" i="2"/>
  <c r="CS334" i="2"/>
  <c r="CP334" i="2"/>
  <c r="A335" i="2"/>
  <c r="B335" i="2"/>
  <c r="CS335" i="2"/>
  <c r="CP335" i="2"/>
  <c r="A336" i="2"/>
  <c r="B336" i="2"/>
  <c r="CS336" i="2"/>
  <c r="CP336" i="2"/>
  <c r="A337" i="2"/>
  <c r="B337" i="2"/>
  <c r="CS337" i="2"/>
  <c r="CP337" i="2"/>
  <c r="A338" i="2"/>
  <c r="B338" i="2"/>
  <c r="CS338" i="2"/>
  <c r="CP338" i="2"/>
  <c r="A339" i="2"/>
  <c r="B339" i="2"/>
  <c r="CS339" i="2"/>
  <c r="CP339" i="2"/>
  <c r="A340" i="2"/>
  <c r="B340" i="2"/>
  <c r="CS340" i="2"/>
  <c r="CP340" i="2"/>
  <c r="A341" i="2"/>
  <c r="B341" i="2"/>
  <c r="CS341" i="2"/>
  <c r="CP341" i="2"/>
  <c r="A342" i="2"/>
  <c r="B342" i="2"/>
  <c r="CS342" i="2"/>
  <c r="CP342" i="2"/>
  <c r="A343" i="2"/>
  <c r="B343" i="2"/>
  <c r="CS343" i="2"/>
  <c r="CP343" i="2"/>
  <c r="A344" i="2"/>
  <c r="B344" i="2"/>
  <c r="CS344" i="2"/>
  <c r="CP344" i="2"/>
  <c r="A345" i="2"/>
  <c r="B345" i="2"/>
  <c r="CS345" i="2"/>
  <c r="CP345" i="2"/>
  <c r="A346" i="2"/>
  <c r="B346" i="2"/>
  <c r="CS346" i="2"/>
  <c r="CP346" i="2"/>
  <c r="A347" i="2"/>
  <c r="B347" i="2"/>
  <c r="CS347" i="2"/>
  <c r="CP347" i="2"/>
  <c r="A348" i="2"/>
  <c r="B348" i="2"/>
  <c r="CS348" i="2"/>
  <c r="CP348" i="2"/>
  <c r="A351" i="2"/>
  <c r="B351" i="2"/>
  <c r="CS351" i="2"/>
  <c r="CP351" i="2"/>
  <c r="A352" i="2"/>
  <c r="B352" i="2"/>
  <c r="CP352" i="2"/>
  <c r="A353" i="2"/>
  <c r="B353" i="2"/>
  <c r="CS353" i="2"/>
  <c r="CP353" i="2"/>
  <c r="A354" i="2"/>
  <c r="B354" i="2"/>
  <c r="CS354" i="2"/>
  <c r="CP354" i="2"/>
  <c r="A355" i="2"/>
  <c r="B355" i="2"/>
  <c r="CP355" i="2"/>
  <c r="A356" i="2"/>
  <c r="B356" i="2"/>
  <c r="CS356" i="2"/>
  <c r="CP356" i="2"/>
  <c r="A357" i="2"/>
  <c r="B357" i="2"/>
  <c r="CS357" i="2"/>
  <c r="CP357" i="2"/>
  <c r="A358" i="2"/>
  <c r="B358" i="2"/>
  <c r="CS358" i="2"/>
  <c r="CP358" i="2"/>
  <c r="A359" i="2"/>
  <c r="B359" i="2"/>
  <c r="CS359" i="2"/>
  <c r="CP359" i="2"/>
  <c r="A360" i="2"/>
  <c r="B360" i="2"/>
  <c r="CS360" i="2"/>
  <c r="CP360" i="2"/>
  <c r="A361" i="2"/>
  <c r="B361" i="2"/>
  <c r="CS361" i="2"/>
  <c r="CP361" i="2"/>
  <c r="A362" i="2"/>
  <c r="B362" i="2"/>
  <c r="CS362" i="2"/>
  <c r="CP362" i="2"/>
  <c r="CS363" i="2"/>
  <c r="CP363" i="2"/>
  <c r="CS364" i="2"/>
  <c r="CP364" i="2"/>
  <c r="CS365" i="2"/>
  <c r="CP365" i="2"/>
  <c r="CP366" i="2"/>
  <c r="C2" i="1"/>
  <c r="C3" i="1"/>
  <c r="C4" i="1"/>
  <c r="C5" i="1"/>
  <c r="C6" i="1"/>
  <c r="C7" i="1"/>
  <c r="C8" i="1"/>
  <c r="DG11" i="1"/>
  <c r="DG12" i="1"/>
  <c r="DG13" i="1"/>
  <c r="DG14" i="1"/>
  <c r="DG15" i="1"/>
  <c r="DG16" i="1"/>
  <c r="DG17" i="1"/>
  <c r="CC18" i="1"/>
  <c r="CC25" i="1" s="1"/>
  <c r="CC32" i="1" s="1"/>
  <c r="CF19" i="1"/>
  <c r="CF26" i="1" s="1"/>
  <c r="CG20" i="1"/>
  <c r="CG27" i="1" s="1"/>
  <c r="CH21" i="1"/>
  <c r="DG21" i="1" s="1"/>
  <c r="CI22" i="1"/>
  <c r="DG22" i="1" s="1"/>
  <c r="CJ23" i="1"/>
  <c r="CJ30" i="1" s="1"/>
  <c r="CK24" i="1"/>
  <c r="DG24" i="1" s="1"/>
  <c r="CK31" i="1"/>
  <c r="CK38" i="1" s="1"/>
  <c r="DG51" i="1"/>
  <c r="DG52" i="1"/>
  <c r="DG53" i="1"/>
  <c r="DG54" i="1"/>
  <c r="CN367" i="2" s="1"/>
  <c r="DG55" i="1"/>
  <c r="CN368" i="2" s="1"/>
  <c r="DG56" i="1"/>
  <c r="CN369" i="2" s="1"/>
  <c r="DG57" i="1"/>
  <c r="CN370" i="2" s="1"/>
  <c r="DG58" i="1"/>
  <c r="DG59" i="1"/>
  <c r="DG60" i="1"/>
  <c r="DG31" i="1" l="1"/>
  <c r="DG18" i="1"/>
  <c r="CN366" i="2"/>
  <c r="CS366" i="2" s="1"/>
  <c r="Z60" i="4"/>
  <c r="AB60" i="4" s="1"/>
  <c r="G61" i="2"/>
  <c r="CL61" i="2" s="1"/>
  <c r="G99" i="2"/>
  <c r="CL99" i="2" s="1"/>
  <c r="G179" i="2"/>
  <c r="CL179" i="2" s="1"/>
  <c r="G253" i="2"/>
  <c r="CL253" i="2" s="1"/>
  <c r="G24" i="2"/>
  <c r="CL24" i="2" s="1"/>
  <c r="G216" i="2"/>
  <c r="CL216" i="2" s="1"/>
  <c r="Z40" i="4"/>
  <c r="AB40" i="4" s="1"/>
  <c r="G55" i="2"/>
  <c r="G93" i="2"/>
  <c r="G173" i="2"/>
  <c r="G247" i="2"/>
  <c r="G18" i="2"/>
  <c r="G210" i="2"/>
  <c r="Z18" i="4"/>
  <c r="AB18" i="4" s="1"/>
  <c r="G47" i="2"/>
  <c r="G85" i="2"/>
  <c r="G165" i="2"/>
  <c r="G239" i="2"/>
  <c r="G10" i="2"/>
  <c r="G202" i="2"/>
  <c r="AC71" i="4"/>
  <c r="Z59" i="4"/>
  <c r="G252" i="2"/>
  <c r="CL252" i="2" s="1"/>
  <c r="G23" i="2"/>
  <c r="CL23" i="2" s="1"/>
  <c r="G215" i="2"/>
  <c r="CL215" i="2" s="1"/>
  <c r="G60" i="2"/>
  <c r="CL60" i="2" s="1"/>
  <c r="G98" i="2"/>
  <c r="CL98" i="2" s="1"/>
  <c r="G178" i="2"/>
  <c r="CL178" i="2" s="1"/>
  <c r="Z50" i="4"/>
  <c r="AC50" i="4" s="1"/>
  <c r="G59" i="2"/>
  <c r="G97" i="2"/>
  <c r="G177" i="2"/>
  <c r="G251" i="2"/>
  <c r="G22" i="2"/>
  <c r="G214" i="2"/>
  <c r="Z27" i="4"/>
  <c r="G89" i="2"/>
  <c r="G169" i="2"/>
  <c r="G243" i="2"/>
  <c r="G14" i="2"/>
  <c r="G206" i="2"/>
  <c r="G364" i="2"/>
  <c r="G41" i="2"/>
  <c r="G79" i="2"/>
  <c r="G159" i="2"/>
  <c r="G375" i="2"/>
  <c r="G376" i="2"/>
  <c r="G233" i="2"/>
  <c r="G365" i="2"/>
  <c r="G196" i="2"/>
  <c r="AC70" i="4"/>
  <c r="Z26" i="4"/>
  <c r="G242" i="2"/>
  <c r="G13" i="2"/>
  <c r="G205" i="2"/>
  <c r="G50" i="2"/>
  <c r="G88" i="2"/>
  <c r="G168" i="2"/>
  <c r="G250" i="2"/>
  <c r="G21" i="2"/>
  <c r="G213" i="2"/>
  <c r="G58" i="2"/>
  <c r="G96" i="2"/>
  <c r="G176" i="2"/>
  <c r="G45" i="2"/>
  <c r="G83" i="2"/>
  <c r="G163" i="2"/>
  <c r="G237" i="2"/>
  <c r="G8" i="2"/>
  <c r="G200" i="2"/>
  <c r="Z24" i="4"/>
  <c r="G49" i="2"/>
  <c r="G87" i="2"/>
  <c r="G167" i="2"/>
  <c r="G241" i="2"/>
  <c r="G12" i="2"/>
  <c r="G204" i="2"/>
  <c r="Z34" i="4"/>
  <c r="AC34" i="4" s="1"/>
  <c r="G246" i="2"/>
  <c r="G17" i="2"/>
  <c r="G209" i="2"/>
  <c r="G54" i="2"/>
  <c r="G92" i="2"/>
  <c r="G172" i="2"/>
  <c r="Z23" i="4"/>
  <c r="G240" i="2"/>
  <c r="G11" i="2"/>
  <c r="G203" i="2"/>
  <c r="G48" i="2"/>
  <c r="G86" i="2"/>
  <c r="G166" i="2"/>
  <c r="G236" i="2"/>
  <c r="G356" i="2"/>
  <c r="G360" i="2"/>
  <c r="G362" i="2"/>
  <c r="G7" i="2"/>
  <c r="G354" i="2"/>
  <c r="G199" i="2"/>
  <c r="G44" i="2"/>
  <c r="G82" i="2"/>
  <c r="G162" i="2"/>
  <c r="G355" i="2"/>
  <c r="G361" i="2"/>
  <c r="Z3" i="4"/>
  <c r="AB3" i="4" s="1"/>
  <c r="G232" i="2"/>
  <c r="G195" i="2"/>
  <c r="G40" i="2"/>
  <c r="G78" i="2"/>
  <c r="G158" i="2"/>
  <c r="Z33" i="4"/>
  <c r="G51" i="2"/>
  <c r="Z43" i="4"/>
  <c r="G57" i="2"/>
  <c r="G95" i="2"/>
  <c r="G175" i="2"/>
  <c r="G249" i="2"/>
  <c r="G20" i="2"/>
  <c r="G212" i="2"/>
  <c r="Z32" i="4"/>
  <c r="G53" i="2"/>
  <c r="G91" i="2"/>
  <c r="G171" i="2"/>
  <c r="G245" i="2"/>
  <c r="G16" i="2"/>
  <c r="G208" i="2"/>
  <c r="DG19" i="1"/>
  <c r="Z62" i="4"/>
  <c r="G63" i="2"/>
  <c r="CL63" i="2" s="1"/>
  <c r="G101" i="2"/>
  <c r="CL101" i="2" s="1"/>
  <c r="G181" i="2"/>
  <c r="CL181" i="2" s="1"/>
  <c r="G255" i="2"/>
  <c r="CL255" i="2" s="1"/>
  <c r="G26" i="2"/>
  <c r="CL26" i="2" s="1"/>
  <c r="G218" i="2"/>
  <c r="CL218" i="2" s="1"/>
  <c r="Z31" i="4"/>
  <c r="AC31" i="4" s="1"/>
  <c r="G244" i="2"/>
  <c r="G15" i="2"/>
  <c r="G207" i="2"/>
  <c r="G52" i="2"/>
  <c r="G90" i="2"/>
  <c r="G170" i="2"/>
  <c r="AC72" i="4"/>
  <c r="G254" i="2"/>
  <c r="CL254" i="2" s="1"/>
  <c r="G25" i="2"/>
  <c r="CL25" i="2" s="1"/>
  <c r="G217" i="2"/>
  <c r="CL217" i="2" s="1"/>
  <c r="G62" i="2"/>
  <c r="CL62" i="2" s="1"/>
  <c r="G100" i="2"/>
  <c r="CL100" i="2" s="1"/>
  <c r="G180" i="2"/>
  <c r="CL180" i="2" s="1"/>
  <c r="Z41" i="4"/>
  <c r="AB41" i="4" s="1"/>
  <c r="G248" i="2"/>
  <c r="G19" i="2"/>
  <c r="G211" i="2"/>
  <c r="G56" i="2"/>
  <c r="G94" i="2"/>
  <c r="G174" i="2"/>
  <c r="CN352" i="2"/>
  <c r="CS352" i="2" s="1"/>
  <c r="CN355" i="2"/>
  <c r="CS355" i="2" s="1"/>
  <c r="CN81" i="2"/>
  <c r="CS81" i="2" s="1"/>
  <c r="CN93" i="2"/>
  <c r="CS93" i="2" s="1"/>
  <c r="CN105" i="2"/>
  <c r="CS105" i="2" s="1"/>
  <c r="CN82" i="2"/>
  <c r="CS82" i="2" s="1"/>
  <c r="CN94" i="2"/>
  <c r="CS94" i="2" s="1"/>
  <c r="CN106" i="2"/>
  <c r="CS106" i="2" s="1"/>
  <c r="CN83" i="2"/>
  <c r="CS83" i="2" s="1"/>
  <c r="CN95" i="2"/>
  <c r="CS95" i="2" s="1"/>
  <c r="CN107" i="2"/>
  <c r="CS107" i="2" s="1"/>
  <c r="CN84" i="2"/>
  <c r="CS84" i="2" s="1"/>
  <c r="CN96" i="2"/>
  <c r="CS96" i="2" s="1"/>
  <c r="CN108" i="2"/>
  <c r="CS108" i="2" s="1"/>
  <c r="CN85" i="2"/>
  <c r="CS85" i="2" s="1"/>
  <c r="CN97" i="2"/>
  <c r="CS97" i="2" s="1"/>
  <c r="CN109" i="2"/>
  <c r="CS109" i="2" s="1"/>
  <c r="CN86" i="2"/>
  <c r="CS86" i="2" s="1"/>
  <c r="CN98" i="2"/>
  <c r="CS98" i="2" s="1"/>
  <c r="CN110" i="2"/>
  <c r="CS110" i="2" s="1"/>
  <c r="CN87" i="2"/>
  <c r="CS87" i="2" s="1"/>
  <c r="CN99" i="2"/>
  <c r="CS99" i="2" s="1"/>
  <c r="CN111" i="2"/>
  <c r="CS111" i="2" s="1"/>
  <c r="CN88" i="2"/>
  <c r="CS88" i="2" s="1"/>
  <c r="CN100" i="2"/>
  <c r="CS100" i="2" s="1"/>
  <c r="CN112" i="2"/>
  <c r="CS112" i="2" s="1"/>
  <c r="CN89" i="2"/>
  <c r="CS89" i="2" s="1"/>
  <c r="CN101" i="2"/>
  <c r="CS101" i="2" s="1"/>
  <c r="CN113" i="2"/>
  <c r="CS113" i="2" s="1"/>
  <c r="CN78" i="2"/>
  <c r="CS78" i="2" s="1"/>
  <c r="CN90" i="2"/>
  <c r="CS90" i="2" s="1"/>
  <c r="CN102" i="2"/>
  <c r="CS102" i="2" s="1"/>
  <c r="CN114" i="2"/>
  <c r="CS114" i="2" s="1"/>
  <c r="CN79" i="2"/>
  <c r="CS79" i="2" s="1"/>
  <c r="CN91" i="2"/>
  <c r="CS91" i="2" s="1"/>
  <c r="CN103" i="2"/>
  <c r="CS103" i="2" s="1"/>
  <c r="CN80" i="2"/>
  <c r="CS80" i="2" s="1"/>
  <c r="CN92" i="2"/>
  <c r="CS92" i="2" s="1"/>
  <c r="CN104" i="2"/>
  <c r="CS104" i="2" s="1"/>
  <c r="CN9" i="2"/>
  <c r="CS9" i="2" s="1"/>
  <c r="CN21" i="2"/>
  <c r="CS21" i="2" s="1"/>
  <c r="CN33" i="2"/>
  <c r="CS33" i="2" s="1"/>
  <c r="CN10" i="2"/>
  <c r="CS10" i="2" s="1"/>
  <c r="CN22" i="2"/>
  <c r="CS22" i="2" s="1"/>
  <c r="CN34" i="2"/>
  <c r="CS34" i="2" s="1"/>
  <c r="CN11" i="2"/>
  <c r="CS11" i="2" s="1"/>
  <c r="CN23" i="2"/>
  <c r="CS23" i="2" s="1"/>
  <c r="CN35" i="2"/>
  <c r="CS35" i="2" s="1"/>
  <c r="CN12" i="2"/>
  <c r="CS12" i="2" s="1"/>
  <c r="CN24" i="2"/>
  <c r="CS24" i="2" s="1"/>
  <c r="CN36" i="2"/>
  <c r="CS36" i="2" s="1"/>
  <c r="CN13" i="2"/>
  <c r="CS13" i="2" s="1"/>
  <c r="CN25" i="2"/>
  <c r="CS25" i="2" s="1"/>
  <c r="CN37" i="2"/>
  <c r="CS37" i="2" s="1"/>
  <c r="CN14" i="2"/>
  <c r="CS14" i="2" s="1"/>
  <c r="CN26" i="2"/>
  <c r="CS26" i="2" s="1"/>
  <c r="CN38" i="2"/>
  <c r="CS38" i="2" s="1"/>
  <c r="CN3" i="2"/>
  <c r="CS3" i="2" s="1"/>
  <c r="CN15" i="2"/>
  <c r="CS15" i="2" s="1"/>
  <c r="CN27" i="2"/>
  <c r="CS27" i="2" s="1"/>
  <c r="CN39" i="2"/>
  <c r="CS39" i="2" s="1"/>
  <c r="CN4" i="2"/>
  <c r="CN16" i="2"/>
  <c r="CS16" i="2" s="1"/>
  <c r="CN28" i="2"/>
  <c r="CS28" i="2" s="1"/>
  <c r="CN5" i="2"/>
  <c r="CN17" i="2"/>
  <c r="CS17" i="2" s="1"/>
  <c r="CN29" i="2"/>
  <c r="CS29" i="2" s="1"/>
  <c r="CN6" i="2"/>
  <c r="CS6" i="2" s="1"/>
  <c r="CN18" i="2"/>
  <c r="CS18" i="2" s="1"/>
  <c r="CN30" i="2"/>
  <c r="CS30" i="2" s="1"/>
  <c r="CN7" i="2"/>
  <c r="CS7" i="2" s="1"/>
  <c r="CN19" i="2"/>
  <c r="CS19" i="2" s="1"/>
  <c r="CN31" i="2"/>
  <c r="CS31" i="2" s="1"/>
  <c r="CN32" i="2"/>
  <c r="CS32" i="2" s="1"/>
  <c r="CN8" i="2"/>
  <c r="CS8" i="2" s="1"/>
  <c r="CN20" i="2"/>
  <c r="CS20" i="2" s="1"/>
  <c r="CN241" i="2"/>
  <c r="CS241" i="2" s="1"/>
  <c r="CN253" i="2"/>
  <c r="CS253" i="2" s="1"/>
  <c r="CN265" i="2"/>
  <c r="CS265" i="2" s="1"/>
  <c r="CN242" i="2"/>
  <c r="CS242" i="2" s="1"/>
  <c r="CN254" i="2"/>
  <c r="CS254" i="2" s="1"/>
  <c r="CN266" i="2"/>
  <c r="CS266" i="2" s="1"/>
  <c r="CN243" i="2"/>
  <c r="CS243" i="2" s="1"/>
  <c r="CN255" i="2"/>
  <c r="CS255" i="2" s="1"/>
  <c r="CN267" i="2"/>
  <c r="CS267" i="2" s="1"/>
  <c r="CN232" i="2"/>
  <c r="CS232" i="2" s="1"/>
  <c r="CN244" i="2"/>
  <c r="CS244" i="2" s="1"/>
  <c r="CN256" i="2"/>
  <c r="CS256" i="2" s="1"/>
  <c r="CN268" i="2"/>
  <c r="CS268" i="2" s="1"/>
  <c r="CN233" i="2"/>
  <c r="CS233" i="2" s="1"/>
  <c r="CN245" i="2"/>
  <c r="CS245" i="2" s="1"/>
  <c r="CN257" i="2"/>
  <c r="CS257" i="2" s="1"/>
  <c r="CN234" i="2"/>
  <c r="CS234" i="2" s="1"/>
  <c r="CN246" i="2"/>
  <c r="CS246" i="2" s="1"/>
  <c r="CN258" i="2"/>
  <c r="CS258" i="2" s="1"/>
  <c r="CN235" i="2"/>
  <c r="CS235" i="2" s="1"/>
  <c r="CN247" i="2"/>
  <c r="CS247" i="2" s="1"/>
  <c r="CN259" i="2"/>
  <c r="CS259" i="2" s="1"/>
  <c r="CN236" i="2"/>
  <c r="CS236" i="2" s="1"/>
  <c r="CN248" i="2"/>
  <c r="CS248" i="2" s="1"/>
  <c r="CN260" i="2"/>
  <c r="CS260" i="2" s="1"/>
  <c r="CN237" i="2"/>
  <c r="CS237" i="2" s="1"/>
  <c r="CN249" i="2"/>
  <c r="CS249" i="2" s="1"/>
  <c r="CN261" i="2"/>
  <c r="CS261" i="2" s="1"/>
  <c r="CN238" i="2"/>
  <c r="CS238" i="2" s="1"/>
  <c r="CN250" i="2"/>
  <c r="CS250" i="2" s="1"/>
  <c r="CN262" i="2"/>
  <c r="CS262" i="2" s="1"/>
  <c r="CN239" i="2"/>
  <c r="CS239" i="2" s="1"/>
  <c r="CN251" i="2"/>
  <c r="CS251" i="2" s="1"/>
  <c r="CN263" i="2"/>
  <c r="CS263" i="2" s="1"/>
  <c r="CN240" i="2"/>
  <c r="CS240" i="2" s="1"/>
  <c r="CN252" i="2"/>
  <c r="CS252" i="2" s="1"/>
  <c r="CN264" i="2"/>
  <c r="CS264" i="2" s="1"/>
  <c r="CN205" i="2"/>
  <c r="CS205" i="2" s="1"/>
  <c r="CN217" i="2"/>
  <c r="CS217" i="2" s="1"/>
  <c r="CN229" i="2"/>
  <c r="CS229" i="2" s="1"/>
  <c r="CN206" i="2"/>
  <c r="CS206" i="2" s="1"/>
  <c r="CN218" i="2"/>
  <c r="CS218" i="2" s="1"/>
  <c r="CN230" i="2"/>
  <c r="CS230" i="2" s="1"/>
  <c r="CN195" i="2"/>
  <c r="CS195" i="2" s="1"/>
  <c r="CN207" i="2"/>
  <c r="CS207" i="2" s="1"/>
  <c r="CN219" i="2"/>
  <c r="CS219" i="2" s="1"/>
  <c r="CN231" i="2"/>
  <c r="CS231" i="2" s="1"/>
  <c r="CN196" i="2"/>
  <c r="CS196" i="2" s="1"/>
  <c r="CN208" i="2"/>
  <c r="CS208" i="2" s="1"/>
  <c r="CN220" i="2"/>
  <c r="CS220" i="2" s="1"/>
  <c r="CN197" i="2"/>
  <c r="CS197" i="2" s="1"/>
  <c r="CN209" i="2"/>
  <c r="CS209" i="2" s="1"/>
  <c r="CN221" i="2"/>
  <c r="CS221" i="2" s="1"/>
  <c r="CN198" i="2"/>
  <c r="CS198" i="2" s="1"/>
  <c r="CN210" i="2"/>
  <c r="CS210" i="2" s="1"/>
  <c r="CN222" i="2"/>
  <c r="CS222" i="2" s="1"/>
  <c r="CN199" i="2"/>
  <c r="CS199" i="2" s="1"/>
  <c r="CN211" i="2"/>
  <c r="CS211" i="2" s="1"/>
  <c r="CN223" i="2"/>
  <c r="CS223" i="2" s="1"/>
  <c r="CN200" i="2"/>
  <c r="CS200" i="2" s="1"/>
  <c r="CN212" i="2"/>
  <c r="CS212" i="2" s="1"/>
  <c r="CN224" i="2"/>
  <c r="CS224" i="2" s="1"/>
  <c r="CN201" i="2"/>
  <c r="CS201" i="2" s="1"/>
  <c r="CN213" i="2"/>
  <c r="CS213" i="2" s="1"/>
  <c r="CN225" i="2"/>
  <c r="CS225" i="2" s="1"/>
  <c r="CN202" i="2"/>
  <c r="CS202" i="2" s="1"/>
  <c r="CN214" i="2"/>
  <c r="CS214" i="2" s="1"/>
  <c r="CN226" i="2"/>
  <c r="CS226" i="2" s="1"/>
  <c r="CN203" i="2"/>
  <c r="CS203" i="2" s="1"/>
  <c r="CN215" i="2"/>
  <c r="CS215" i="2" s="1"/>
  <c r="CN227" i="2"/>
  <c r="CS227" i="2" s="1"/>
  <c r="CN204" i="2"/>
  <c r="CS204" i="2" s="1"/>
  <c r="CN216" i="2"/>
  <c r="CS216" i="2" s="1"/>
  <c r="CN228" i="2"/>
  <c r="CS228" i="2" s="1"/>
  <c r="CN169" i="2"/>
  <c r="CS169" i="2" s="1"/>
  <c r="CN181" i="2"/>
  <c r="CS181" i="2" s="1"/>
  <c r="CN193" i="2"/>
  <c r="CS193" i="2" s="1"/>
  <c r="CN158" i="2"/>
  <c r="CS158" i="2" s="1"/>
  <c r="CN170" i="2"/>
  <c r="CS170" i="2" s="1"/>
  <c r="CN182" i="2"/>
  <c r="CS182" i="2" s="1"/>
  <c r="CN194" i="2"/>
  <c r="CS194" i="2" s="1"/>
  <c r="CN159" i="2"/>
  <c r="CS159" i="2" s="1"/>
  <c r="CN171" i="2"/>
  <c r="CS171" i="2" s="1"/>
  <c r="CN183" i="2"/>
  <c r="CS183" i="2" s="1"/>
  <c r="CN160" i="2"/>
  <c r="CS160" i="2" s="1"/>
  <c r="CN172" i="2"/>
  <c r="CS172" i="2" s="1"/>
  <c r="CN184" i="2"/>
  <c r="CS184" i="2" s="1"/>
  <c r="CN161" i="2"/>
  <c r="CS161" i="2" s="1"/>
  <c r="CN173" i="2"/>
  <c r="CS173" i="2" s="1"/>
  <c r="CN185" i="2"/>
  <c r="CS185" i="2" s="1"/>
  <c r="CN162" i="2"/>
  <c r="CS162" i="2" s="1"/>
  <c r="CN174" i="2"/>
  <c r="CS174" i="2" s="1"/>
  <c r="CN186" i="2"/>
  <c r="CS186" i="2" s="1"/>
  <c r="CN163" i="2"/>
  <c r="CS163" i="2" s="1"/>
  <c r="CN175" i="2"/>
  <c r="CS175" i="2" s="1"/>
  <c r="CN187" i="2"/>
  <c r="CS187" i="2" s="1"/>
  <c r="CN164" i="2"/>
  <c r="CS164" i="2" s="1"/>
  <c r="CN176" i="2"/>
  <c r="CS176" i="2" s="1"/>
  <c r="CN188" i="2"/>
  <c r="CS188" i="2" s="1"/>
  <c r="CN165" i="2"/>
  <c r="CS165" i="2" s="1"/>
  <c r="CN177" i="2"/>
  <c r="CS177" i="2" s="1"/>
  <c r="CN189" i="2"/>
  <c r="CS189" i="2" s="1"/>
  <c r="CN166" i="2"/>
  <c r="CS166" i="2" s="1"/>
  <c r="CN178" i="2"/>
  <c r="CS178" i="2" s="1"/>
  <c r="CN190" i="2"/>
  <c r="CS190" i="2" s="1"/>
  <c r="CN167" i="2"/>
  <c r="CS167" i="2" s="1"/>
  <c r="CN179" i="2"/>
  <c r="CS179" i="2" s="1"/>
  <c r="CN191" i="2"/>
  <c r="CS191" i="2" s="1"/>
  <c r="CN168" i="2"/>
  <c r="CS168" i="2" s="1"/>
  <c r="CN180" i="2"/>
  <c r="CS180" i="2" s="1"/>
  <c r="CN192" i="2"/>
  <c r="CS192" i="2" s="1"/>
  <c r="CS370" i="2"/>
  <c r="CS369" i="2"/>
  <c r="CS368" i="2"/>
  <c r="CS367" i="2"/>
  <c r="CJ37" i="1"/>
  <c r="DG30" i="1"/>
  <c r="DG23" i="1"/>
  <c r="DG20" i="1"/>
  <c r="CI29" i="1"/>
  <c r="DG25" i="1"/>
  <c r="CS4" i="2"/>
  <c r="CS5" i="2"/>
  <c r="F167" i="3"/>
  <c r="BL131" i="3"/>
  <c r="BM131" i="3" s="1"/>
  <c r="F155" i="3"/>
  <c r="B144" i="3"/>
  <c r="AB53" i="4"/>
  <c r="AC42" i="4"/>
  <c r="G3" i="2"/>
  <c r="CL3" i="2" s="1"/>
  <c r="AC12" i="4"/>
  <c r="AB54" i="4"/>
  <c r="Z8" i="4"/>
  <c r="AB44" i="4"/>
  <c r="AB17" i="4"/>
  <c r="AB56" i="4"/>
  <c r="AC36" i="4"/>
  <c r="AB36" i="4"/>
  <c r="AC27" i="4"/>
  <c r="AB27" i="4"/>
  <c r="AB10" i="4"/>
  <c r="AC10" i="4"/>
  <c r="AC33" i="4"/>
  <c r="AB33" i="4"/>
  <c r="AC24" i="4"/>
  <c r="AB24" i="4"/>
  <c r="AC52" i="4"/>
  <c r="AB52" i="4"/>
  <c r="AB5" i="4"/>
  <c r="AC5" i="4"/>
  <c r="AC30" i="4"/>
  <c r="AB30" i="4"/>
  <c r="AC21" i="4"/>
  <c r="AB21" i="4"/>
  <c r="AC14" i="4"/>
  <c r="AB14" i="4"/>
  <c r="AC55" i="4"/>
  <c r="AC39" i="4"/>
  <c r="AC11" i="4"/>
  <c r="AC69" i="4"/>
  <c r="AC7" i="4"/>
  <c r="AB49" i="4"/>
  <c r="AC68" i="4"/>
  <c r="AC13" i="4"/>
  <c r="AC45" i="4"/>
  <c r="AC40" i="4"/>
  <c r="F175" i="3"/>
  <c r="F159" i="3"/>
  <c r="C137" i="3"/>
  <c r="B125" i="3"/>
  <c r="F152" i="3"/>
  <c r="F171" i="3"/>
  <c r="B156" i="3"/>
  <c r="C140" i="3"/>
  <c r="F119" i="3"/>
  <c r="F180" i="3"/>
  <c r="B160" i="3"/>
  <c r="F184" i="3"/>
  <c r="F174" i="3"/>
  <c r="BL133" i="3"/>
  <c r="BM133" i="3" s="1"/>
  <c r="B122" i="3"/>
  <c r="F168" i="3"/>
  <c r="F182" i="3"/>
  <c r="F172" i="3"/>
  <c r="F162" i="3"/>
  <c r="BL125" i="3"/>
  <c r="BM125" i="3" s="1"/>
  <c r="F133" i="3"/>
  <c r="B133" i="3"/>
  <c r="F179" i="3"/>
  <c r="F166" i="3"/>
  <c r="B162" i="3"/>
  <c r="F158" i="3"/>
  <c r="C136" i="3"/>
  <c r="F183" i="3"/>
  <c r="B170" i="3"/>
  <c r="F144" i="3"/>
  <c r="BL140" i="3"/>
  <c r="BM140" i="3" s="1"/>
  <c r="F148" i="3"/>
  <c r="B178" i="3"/>
  <c r="B148" i="3"/>
  <c r="B131" i="3"/>
  <c r="F164" i="3"/>
  <c r="F160" i="3"/>
  <c r="F156" i="3"/>
  <c r="B152" i="3"/>
  <c r="F143" i="3"/>
  <c r="B134" i="3"/>
  <c r="C125" i="3"/>
  <c r="F176" i="3"/>
  <c r="F163" i="3"/>
  <c r="B146" i="3"/>
  <c r="F142" i="3"/>
  <c r="F178" i="3"/>
  <c r="F170" i="3"/>
  <c r="F151" i="3"/>
  <c r="F147" i="3"/>
  <c r="C124" i="3"/>
  <c r="F154" i="3"/>
  <c r="F131" i="3"/>
  <c r="B154" i="3"/>
  <c r="F150" i="3"/>
  <c r="F146" i="3"/>
  <c r="BL138" i="3"/>
  <c r="BM138" i="3" s="1"/>
  <c r="BL134" i="3"/>
  <c r="BM134" i="3" s="1"/>
  <c r="C131" i="3"/>
  <c r="BL122" i="3"/>
  <c r="BM122" i="3" s="1"/>
  <c r="B184" i="3"/>
  <c r="B176" i="3"/>
  <c r="B168" i="3"/>
  <c r="B164" i="3"/>
  <c r="B137" i="3"/>
  <c r="BL128" i="3"/>
  <c r="BM128" i="3" s="1"/>
  <c r="BL124" i="3"/>
  <c r="BM124" i="3" s="1"/>
  <c r="F129" i="3"/>
  <c r="B123" i="3"/>
  <c r="F117" i="3"/>
  <c r="BL116" i="3"/>
  <c r="BM116" i="3" s="1"/>
  <c r="B180" i="3"/>
  <c r="B172" i="3"/>
  <c r="BL136" i="3"/>
  <c r="BM136" i="3" s="1"/>
  <c r="C128" i="3"/>
  <c r="F116" i="3"/>
  <c r="F177" i="3"/>
  <c r="F169" i="3"/>
  <c r="F161" i="3"/>
  <c r="F153" i="3"/>
  <c r="F145" i="3"/>
  <c r="F136" i="3"/>
  <c r="BL119" i="3"/>
  <c r="BM119" i="3" s="1"/>
  <c r="C116" i="3"/>
  <c r="B182" i="3"/>
  <c r="B174" i="3"/>
  <c r="B166" i="3"/>
  <c r="B158" i="3"/>
  <c r="B150" i="3"/>
  <c r="B142" i="3"/>
  <c r="B119" i="3"/>
  <c r="BL121" i="3"/>
  <c r="BM121" i="3" s="1"/>
  <c r="BL135" i="3"/>
  <c r="BM135" i="3" s="1"/>
  <c r="BL126" i="3"/>
  <c r="BM126" i="3" s="1"/>
  <c r="BL123" i="3"/>
  <c r="BM123" i="3" s="1"/>
  <c r="F121" i="3"/>
  <c r="F135" i="3"/>
  <c r="F123" i="3"/>
  <c r="C121" i="3"/>
  <c r="F181" i="3"/>
  <c r="F173" i="3"/>
  <c r="F165" i="3"/>
  <c r="F157" i="3"/>
  <c r="F149" i="3"/>
  <c r="F141" i="3"/>
  <c r="BL137" i="3"/>
  <c r="BM137" i="3" s="1"/>
  <c r="B135" i="3"/>
  <c r="AB43" i="4"/>
  <c r="AC43" i="4"/>
  <c r="AB38" i="4"/>
  <c r="AC38" i="4"/>
  <c r="AB32" i="4"/>
  <c r="AC32" i="4"/>
  <c r="AB26" i="4"/>
  <c r="AC26" i="4"/>
  <c r="AB20" i="4"/>
  <c r="AC20" i="4"/>
  <c r="AB59" i="4"/>
  <c r="AC59" i="4"/>
  <c r="AB48" i="4"/>
  <c r="AC48" i="4"/>
  <c r="AB64" i="4"/>
  <c r="AC64" i="4"/>
  <c r="AB35" i="4"/>
  <c r="AC35" i="4"/>
  <c r="AB29" i="4"/>
  <c r="AC29" i="4"/>
  <c r="AB23" i="4"/>
  <c r="AC23" i="4"/>
  <c r="AB51" i="4"/>
  <c r="AC51" i="4"/>
  <c r="AB4" i="4"/>
  <c r="AC4" i="4"/>
  <c r="AB62" i="4"/>
  <c r="AC62" i="4"/>
  <c r="Z61" i="4"/>
  <c r="AB50" i="4"/>
  <c r="Z47" i="4"/>
  <c r="AB37" i="4"/>
  <c r="AB34" i="4"/>
  <c r="AB31" i="4"/>
  <c r="AB28" i="4"/>
  <c r="AB25" i="4"/>
  <c r="AB22" i="4"/>
  <c r="AB19" i="4"/>
  <c r="AC63" i="4"/>
  <c r="AC60" i="4"/>
  <c r="AC46" i="4"/>
  <c r="AC18" i="4"/>
  <c r="AC41" i="4"/>
  <c r="AC9" i="4"/>
  <c r="AC6" i="4"/>
  <c r="F140" i="3"/>
  <c r="B130" i="3"/>
  <c r="F128" i="3"/>
  <c r="B118" i="3"/>
  <c r="F138" i="3"/>
  <c r="F126" i="3"/>
  <c r="C138" i="3"/>
  <c r="C126" i="3"/>
  <c r="BL129" i="3"/>
  <c r="BM129" i="3" s="1"/>
  <c r="F124" i="3"/>
  <c r="BL117" i="3"/>
  <c r="BM117" i="3" s="1"/>
  <c r="C183" i="3"/>
  <c r="C181" i="3"/>
  <c r="C179" i="3"/>
  <c r="C177" i="3"/>
  <c r="C175" i="3"/>
  <c r="C173" i="3"/>
  <c r="C171" i="3"/>
  <c r="C169" i="3"/>
  <c r="C167" i="3"/>
  <c r="C165" i="3"/>
  <c r="C163" i="3"/>
  <c r="C161" i="3"/>
  <c r="C159" i="3"/>
  <c r="C157" i="3"/>
  <c r="C155" i="3"/>
  <c r="C153" i="3"/>
  <c r="C151" i="3"/>
  <c r="C149" i="3"/>
  <c r="C147" i="3"/>
  <c r="C145" i="3"/>
  <c r="C143" i="3"/>
  <c r="C141" i="3"/>
  <c r="BL139" i="3"/>
  <c r="BM139" i="3" s="1"/>
  <c r="F134" i="3"/>
  <c r="C129" i="3"/>
  <c r="BL127" i="3"/>
  <c r="BM127" i="3" s="1"/>
  <c r="F122" i="3"/>
  <c r="C117" i="3"/>
  <c r="F139" i="3"/>
  <c r="BL132" i="3"/>
  <c r="BM132" i="3" s="1"/>
  <c r="F127" i="3"/>
  <c r="BL120" i="3"/>
  <c r="BM120" i="3" s="1"/>
  <c r="C139" i="3"/>
  <c r="F132" i="3"/>
  <c r="C127" i="3"/>
  <c r="F120" i="3"/>
  <c r="C132" i="3"/>
  <c r="BL130" i="3"/>
  <c r="BM130" i="3" s="1"/>
  <c r="C120" i="3"/>
  <c r="BL118" i="3"/>
  <c r="BM118" i="3" s="1"/>
  <c r="F130" i="3"/>
  <c r="F118" i="3"/>
  <c r="DG38" i="1"/>
  <c r="CK45" i="1"/>
  <c r="DG45" i="1" s="1"/>
  <c r="DG27" i="1"/>
  <c r="CG34" i="1"/>
  <c r="DG26" i="1"/>
  <c r="CF33" i="1"/>
  <c r="DG32" i="1"/>
  <c r="CC39" i="1"/>
  <c r="DG39" i="1" s="1"/>
  <c r="CH28" i="1"/>
  <c r="CM211" i="2" l="1"/>
  <c r="CL211" i="2"/>
  <c r="CL90" i="2"/>
  <c r="CM90" i="2"/>
  <c r="CL175" i="2"/>
  <c r="CM175" i="2"/>
  <c r="CM361" i="2"/>
  <c r="CL361" i="2"/>
  <c r="CL166" i="2"/>
  <c r="CM166" i="2"/>
  <c r="CL246" i="2"/>
  <c r="CM246" i="2"/>
  <c r="CM163" i="2"/>
  <c r="CL163" i="2"/>
  <c r="CL205" i="2"/>
  <c r="CM205" i="2"/>
  <c r="CL79" i="2"/>
  <c r="CM79" i="2"/>
  <c r="CL177" i="2"/>
  <c r="CM177" i="2"/>
  <c r="CM202" i="2"/>
  <c r="CL202" i="2"/>
  <c r="CL55" i="2"/>
  <c r="CM55" i="2"/>
  <c r="CL93" i="2"/>
  <c r="CM93" i="2"/>
  <c r="CL19" i="2"/>
  <c r="CM19" i="2"/>
  <c r="CL52" i="2"/>
  <c r="CM52" i="2"/>
  <c r="CL95" i="2"/>
  <c r="CM95" i="2"/>
  <c r="CM355" i="2"/>
  <c r="CL355" i="2"/>
  <c r="CL86" i="2"/>
  <c r="CM86" i="2"/>
  <c r="CL83" i="2"/>
  <c r="CM83" i="2"/>
  <c r="CL13" i="2"/>
  <c r="CM13" i="2"/>
  <c r="CL41" i="2"/>
  <c r="CM41" i="2"/>
  <c r="CL97" i="2"/>
  <c r="CM97" i="2"/>
  <c r="CL10" i="2"/>
  <c r="CM10" i="2"/>
  <c r="CM237" i="2"/>
  <c r="CL237" i="2"/>
  <c r="CM248" i="2"/>
  <c r="CL248" i="2"/>
  <c r="CL207" i="2"/>
  <c r="CM207" i="2"/>
  <c r="CM208" i="2"/>
  <c r="CL208" i="2"/>
  <c r="CM57" i="2"/>
  <c r="CL57" i="2"/>
  <c r="CM162" i="2"/>
  <c r="CL162" i="2"/>
  <c r="CL48" i="2"/>
  <c r="CM48" i="2"/>
  <c r="CL204" i="2"/>
  <c r="CM204" i="2"/>
  <c r="CL45" i="2"/>
  <c r="CM45" i="2"/>
  <c r="CL242" i="2"/>
  <c r="CM242" i="2"/>
  <c r="CM364" i="2"/>
  <c r="CL364" i="2"/>
  <c r="CL59" i="2"/>
  <c r="CM59" i="2"/>
  <c r="CM239" i="2"/>
  <c r="CL239" i="2"/>
  <c r="CM249" i="2"/>
  <c r="CL249" i="2"/>
  <c r="CL15" i="2"/>
  <c r="CM15" i="2"/>
  <c r="CL16" i="2"/>
  <c r="CM16" i="2"/>
  <c r="CM82" i="2"/>
  <c r="CL82" i="2"/>
  <c r="CM203" i="2"/>
  <c r="CL203" i="2"/>
  <c r="CM12" i="2"/>
  <c r="CL12" i="2"/>
  <c r="CM176" i="2"/>
  <c r="CL176" i="2"/>
  <c r="CL206" i="2"/>
  <c r="CM206" i="2"/>
  <c r="CL165" i="2"/>
  <c r="CM165" i="2"/>
  <c r="CL17" i="2"/>
  <c r="CM17" i="2"/>
  <c r="CM244" i="2"/>
  <c r="CL244" i="2"/>
  <c r="CM245" i="2"/>
  <c r="CL245" i="2"/>
  <c r="CL51" i="2"/>
  <c r="CM51" i="2"/>
  <c r="CL44" i="2"/>
  <c r="CM44" i="2"/>
  <c r="CL11" i="2"/>
  <c r="CM11" i="2"/>
  <c r="CL241" i="2"/>
  <c r="CM241" i="2"/>
  <c r="CM96" i="2"/>
  <c r="CL96" i="2"/>
  <c r="CL14" i="2"/>
  <c r="CM14" i="2"/>
  <c r="CM85" i="2"/>
  <c r="CL85" i="2"/>
  <c r="CM251" i="2"/>
  <c r="CL251" i="2"/>
  <c r="CL171" i="2"/>
  <c r="CM171" i="2"/>
  <c r="CL199" i="2"/>
  <c r="CM199" i="2"/>
  <c r="CL240" i="2"/>
  <c r="CM240" i="2"/>
  <c r="CL167" i="2"/>
  <c r="CM167" i="2"/>
  <c r="CL58" i="2"/>
  <c r="CM58" i="2"/>
  <c r="CL196" i="2"/>
  <c r="CM196" i="2"/>
  <c r="CM243" i="2"/>
  <c r="CL243" i="2"/>
  <c r="CL47" i="2"/>
  <c r="CM47" i="2"/>
  <c r="CM159" i="2"/>
  <c r="CL159" i="2"/>
  <c r="CM91" i="2"/>
  <c r="CL91" i="2"/>
  <c r="CL158" i="2"/>
  <c r="CM158" i="2"/>
  <c r="CM354" i="2"/>
  <c r="CL354" i="2"/>
  <c r="CL87" i="2"/>
  <c r="CM87" i="2"/>
  <c r="CL213" i="2"/>
  <c r="CM213" i="2"/>
  <c r="CM365" i="2"/>
  <c r="CL365" i="2"/>
  <c r="CL169" i="2"/>
  <c r="CM169" i="2"/>
  <c r="CM56" i="2"/>
  <c r="CL56" i="2"/>
  <c r="CM50" i="2"/>
  <c r="CL50" i="2"/>
  <c r="CM53" i="2"/>
  <c r="CL53" i="2"/>
  <c r="CL78" i="2"/>
  <c r="CM78" i="2"/>
  <c r="CL7" i="2"/>
  <c r="CM7" i="2"/>
  <c r="CM172" i="2"/>
  <c r="CL172" i="2"/>
  <c r="CL49" i="2"/>
  <c r="CM49" i="2"/>
  <c r="CM21" i="2"/>
  <c r="CL21" i="2"/>
  <c r="CL4" i="2"/>
  <c r="CM4" i="2"/>
  <c r="CL89" i="2"/>
  <c r="CM89" i="2"/>
  <c r="CL210" i="2"/>
  <c r="CM210" i="2"/>
  <c r="CM236" i="2"/>
  <c r="CL236" i="2"/>
  <c r="CL40" i="2"/>
  <c r="CM40" i="2"/>
  <c r="CL362" i="2"/>
  <c r="CM362" i="2"/>
  <c r="CL92" i="2"/>
  <c r="CM92" i="2"/>
  <c r="CL250" i="2"/>
  <c r="CM250" i="2"/>
  <c r="CM233" i="2"/>
  <c r="CL233" i="2"/>
  <c r="CL18" i="2"/>
  <c r="CM18" i="2"/>
  <c r="CL170" i="2"/>
  <c r="CM170" i="2"/>
  <c r="CL174" i="2"/>
  <c r="CM174" i="2"/>
  <c r="CL212" i="2"/>
  <c r="CM212" i="2"/>
  <c r="CM195" i="2"/>
  <c r="CL195" i="2"/>
  <c r="CM360" i="2"/>
  <c r="CL360" i="2"/>
  <c r="CL54" i="2"/>
  <c r="CM54" i="2"/>
  <c r="CL200" i="2"/>
  <c r="CM200" i="2"/>
  <c r="CM168" i="2"/>
  <c r="CL168" i="2"/>
  <c r="CL376" i="2"/>
  <c r="CM376" i="2"/>
  <c r="CM214" i="2"/>
  <c r="CL214" i="2"/>
  <c r="CM247" i="2"/>
  <c r="CL247" i="2"/>
  <c r="AC3" i="4"/>
  <c r="CM94" i="2"/>
  <c r="CL94" i="2"/>
  <c r="CL20" i="2"/>
  <c r="CM20" i="2"/>
  <c r="CM232" i="2"/>
  <c r="CL232" i="2"/>
  <c r="CL356" i="2"/>
  <c r="CM356" i="2"/>
  <c r="CM209" i="2"/>
  <c r="CL209" i="2"/>
  <c r="CL8" i="2"/>
  <c r="CM8" i="2"/>
  <c r="CM88" i="2"/>
  <c r="CL88" i="2"/>
  <c r="CL375" i="2"/>
  <c r="CM375" i="2"/>
  <c r="CM22" i="2"/>
  <c r="CL22" i="2"/>
  <c r="CL173" i="2"/>
  <c r="CM173" i="2"/>
  <c r="CJ44" i="1"/>
  <c r="DG44" i="1" s="1"/>
  <c r="CN373" i="2" s="1"/>
  <c r="CS373" i="2" s="1"/>
  <c r="DG37" i="1"/>
  <c r="DG29" i="1"/>
  <c r="CI36" i="1"/>
  <c r="CM3" i="2"/>
  <c r="AC8" i="4"/>
  <c r="AB8" i="4"/>
  <c r="AB47" i="4"/>
  <c r="AC47" i="4"/>
  <c r="AB61" i="4"/>
  <c r="AC61" i="4"/>
  <c r="CH35" i="1"/>
  <c r="DG28" i="1"/>
  <c r="DG33" i="1"/>
  <c r="CN371" i="2" s="1"/>
  <c r="CS371" i="2" s="1"/>
  <c r="CF40" i="1"/>
  <c r="DG40" i="1" s="1"/>
  <c r="CG41" i="1"/>
  <c r="DG41" i="1" s="1"/>
  <c r="DG34" i="1"/>
  <c r="CN372" i="2" s="1"/>
  <c r="CS372" i="2" s="1"/>
  <c r="CI43" i="1" l="1"/>
  <c r="DG43" i="1" s="1"/>
  <c r="DG36" i="1"/>
  <c r="DG35" i="1"/>
  <c r="CH42" i="1"/>
  <c r="DG42" i="1" s="1"/>
</calcChain>
</file>

<file path=xl/sharedStrings.xml><?xml version="1.0" encoding="utf-8"?>
<sst xmlns="http://schemas.openxmlformats.org/spreadsheetml/2006/main" count="3223" uniqueCount="1301">
  <si>
    <t>外套</t>
  </si>
  <si>
    <t>ライトガード</t>
    <phoneticPr fontId="2"/>
  </si>
  <si>
    <t>耐光</t>
  </si>
  <si>
    <t>ダークガード</t>
    <phoneticPr fontId="2"/>
  </si>
  <si>
    <t>耐闇</t>
  </si>
  <si>
    <t>サウンドガード</t>
    <phoneticPr fontId="2"/>
  </si>
  <si>
    <t>耐音</t>
  </si>
  <si>
    <t>アシッドガード</t>
    <phoneticPr fontId="2"/>
  </si>
  <si>
    <t>耐酸</t>
  </si>
  <si>
    <t>エレクトロガード</t>
    <phoneticPr fontId="2"/>
  </si>
  <si>
    <t>耐雷</t>
  </si>
  <si>
    <t>フロストガード</t>
    <phoneticPr fontId="2"/>
  </si>
  <si>
    <t>耐氷</t>
  </si>
  <si>
    <t>フレイムガード</t>
    <phoneticPr fontId="2"/>
  </si>
  <si>
    <t>耐炎</t>
  </si>
  <si>
    <t>シャドー</t>
    <phoneticPr fontId="2"/>
  </si>
  <si>
    <t>影</t>
    <rPh sb="0" eb="1">
      <t>カゲ</t>
    </rPh>
    <phoneticPr fontId="2"/>
  </si>
  <si>
    <t>パーソン</t>
  </si>
  <si>
    <t>只人</t>
  </si>
  <si>
    <t>ビースト</t>
  </si>
  <si>
    <t>獣人</t>
  </si>
  <si>
    <t>エンジェル</t>
  </si>
  <si>
    <t>天使</t>
  </si>
  <si>
    <t>デヴィル</t>
  </si>
  <si>
    <t>悪魔</t>
  </si>
  <si>
    <t>ギガント</t>
  </si>
  <si>
    <t>妖巨人</t>
  </si>
  <si>
    <t>デーモン</t>
  </si>
  <si>
    <t>鬼</t>
  </si>
  <si>
    <t>ライフツリー</t>
  </si>
  <si>
    <t>生命樹</t>
  </si>
  <si>
    <t>ラージイーグル</t>
  </si>
  <si>
    <t>大鷲</t>
  </si>
  <si>
    <t>シルバーウルフ</t>
  </si>
  <si>
    <t>銀狼</t>
  </si>
  <si>
    <t>アークスピリット</t>
  </si>
  <si>
    <t>大精霊</t>
  </si>
  <si>
    <t>ギガーン</t>
  </si>
  <si>
    <t>大魔</t>
  </si>
  <si>
    <t>ラージベア</t>
  </si>
  <si>
    <t>大熊</t>
  </si>
  <si>
    <t>ゴールドレオ</t>
  </si>
  <si>
    <t>金獅子</t>
  </si>
  <si>
    <t>トライワイト</t>
  </si>
  <si>
    <t>黄昏</t>
  </si>
  <si>
    <t>ファルコン</t>
  </si>
  <si>
    <t>鷹</t>
  </si>
  <si>
    <t>ウルフ</t>
  </si>
  <si>
    <t>狼</t>
  </si>
  <si>
    <t>ピーカク</t>
  </si>
  <si>
    <t>孔雀</t>
  </si>
  <si>
    <t>ジーニ</t>
  </si>
  <si>
    <t>魔人</t>
  </si>
  <si>
    <t>エレファント</t>
  </si>
  <si>
    <t>象</t>
  </si>
  <si>
    <t>レオ</t>
  </si>
  <si>
    <t>大獅子</t>
  </si>
  <si>
    <t>フラワーツリー</t>
  </si>
  <si>
    <t>花樹</t>
  </si>
  <si>
    <t>イーグル</t>
  </si>
  <si>
    <t>鷲</t>
  </si>
  <si>
    <t>キャット</t>
  </si>
  <si>
    <t>猫</t>
  </si>
  <si>
    <t>フィン</t>
  </si>
  <si>
    <t>妖魔</t>
  </si>
  <si>
    <t>マジック</t>
  </si>
  <si>
    <t>魔力</t>
  </si>
  <si>
    <t>ベア</t>
  </si>
  <si>
    <t>熊</t>
  </si>
  <si>
    <t>ライオン</t>
  </si>
  <si>
    <t>獅子</t>
  </si>
  <si>
    <t>ラージツリー</t>
  </si>
  <si>
    <t>大樹</t>
  </si>
  <si>
    <t>スパロウ</t>
  </si>
  <si>
    <t>雀</t>
  </si>
  <si>
    <t>ラット</t>
  </si>
  <si>
    <t>鼠</t>
  </si>
  <si>
    <t>フェアリー</t>
  </si>
  <si>
    <t>妖精</t>
  </si>
  <si>
    <t>スピリット</t>
  </si>
  <si>
    <t>精霊</t>
  </si>
  <si>
    <t>ボア</t>
  </si>
  <si>
    <t>猪</t>
  </si>
  <si>
    <t>アント</t>
  </si>
  <si>
    <t>蟻</t>
  </si>
  <si>
    <t>ツリー</t>
  </si>
  <si>
    <t>樹</t>
  </si>
  <si>
    <t>英名</t>
  </si>
  <si>
    <t>和名</t>
  </si>
  <si>
    <t>リング</t>
  </si>
  <si>
    <t>指輪</t>
  </si>
  <si>
    <t>ネックレス</t>
  </si>
  <si>
    <t>首飾り</t>
    <phoneticPr fontId="2"/>
  </si>
  <si>
    <t>アームリング</t>
  </si>
  <si>
    <t>輪</t>
    <phoneticPr fontId="2"/>
  </si>
  <si>
    <t>ベルト</t>
  </si>
  <si>
    <t>帯</t>
  </si>
  <si>
    <t>ガントレット</t>
  </si>
  <si>
    <t>篭手</t>
  </si>
  <si>
    <t>マント</t>
  </si>
  <si>
    <t>モノクル</t>
  </si>
  <si>
    <t>単眼鏡</t>
  </si>
  <si>
    <t>説明</t>
    <rPh sb="0" eb="2">
      <t>セツメイ</t>
    </rPh>
    <phoneticPr fontId="2"/>
  </si>
  <si>
    <t>武器の説明</t>
    <rPh sb="0" eb="2">
      <t>ブキ</t>
    </rPh>
    <rPh sb="3" eb="5">
      <t>セツメイ</t>
    </rPh>
    <phoneticPr fontId="2"/>
  </si>
  <si>
    <t>素材の説明</t>
    <rPh sb="0" eb="2">
      <t>ソザイ</t>
    </rPh>
    <rPh sb="3" eb="5">
      <t>セツメイ</t>
    </rPh>
    <phoneticPr fontId="2"/>
  </si>
  <si>
    <t>金額</t>
    <rPh sb="0" eb="2">
      <t>キンガク</t>
    </rPh>
    <phoneticPr fontId="2"/>
  </si>
  <si>
    <t>武器フィルター用</t>
    <rPh sb="0" eb="2">
      <t>ブキ</t>
    </rPh>
    <rPh sb="7" eb="8">
      <t>ヨウ</t>
    </rPh>
    <phoneticPr fontId="2"/>
  </si>
  <si>
    <t>威力</t>
    <rPh sb="0" eb="2">
      <t>イリョク</t>
    </rPh>
    <phoneticPr fontId="2"/>
  </si>
  <si>
    <t>重量</t>
    <rPh sb="0" eb="2">
      <t>ジュウリョウ</t>
    </rPh>
    <phoneticPr fontId="2"/>
  </si>
  <si>
    <t>指揮</t>
  </si>
  <si>
    <t>魔法技術</t>
  </si>
  <si>
    <t>精神接続</t>
  </si>
  <si>
    <t>制作</t>
  </si>
  <si>
    <t>変装</t>
  </si>
  <si>
    <t>装置</t>
  </si>
  <si>
    <t>鑑定</t>
  </si>
  <si>
    <t>知識</t>
  </si>
  <si>
    <t>騙す</t>
  </si>
  <si>
    <t>看破</t>
    <rPh sb="0" eb="2">
      <t>カンパ</t>
    </rPh>
    <phoneticPr fontId="2"/>
  </si>
  <si>
    <t>早業</t>
  </si>
  <si>
    <t>技術</t>
  </si>
  <si>
    <t>軽業</t>
  </si>
  <si>
    <t>威圧</t>
  </si>
  <si>
    <t>感知</t>
  </si>
  <si>
    <t>隠密</t>
  </si>
  <si>
    <t>APP</t>
  </si>
  <si>
    <t>SIZ</t>
  </si>
  <si>
    <t>命中</t>
  </si>
  <si>
    <t>速度</t>
  </si>
  <si>
    <t>精神</t>
    <phoneticPr fontId="2"/>
  </si>
  <si>
    <t>防御</t>
  </si>
  <si>
    <t>攻撃</t>
  </si>
  <si>
    <t>ST</t>
  </si>
  <si>
    <t>MP</t>
  </si>
  <si>
    <t>HP</t>
  </si>
  <si>
    <t>Lv</t>
    <phoneticPr fontId="2"/>
  </si>
  <si>
    <t>Cr威力耐性</t>
  </si>
  <si>
    <t>Cr率耐性</t>
  </si>
  <si>
    <t>魔法耐性</t>
  </si>
  <si>
    <t>物理耐性</t>
  </si>
  <si>
    <t>体幹耐性</t>
    <rPh sb="0" eb="2">
      <t>タイカン</t>
    </rPh>
    <rPh sb="2" eb="4">
      <t>タイセイ</t>
    </rPh>
    <phoneticPr fontId="2"/>
  </si>
  <si>
    <t>疲労耐性</t>
  </si>
  <si>
    <t>出血耐性</t>
  </si>
  <si>
    <t>時間耐性</t>
  </si>
  <si>
    <t>即死耐性</t>
  </si>
  <si>
    <t>呪い耐性</t>
  </si>
  <si>
    <t>拘束耐性</t>
  </si>
  <si>
    <t>怯み耐性</t>
  </si>
  <si>
    <t>石化耐性</t>
  </si>
  <si>
    <t>幻覚耐性</t>
  </si>
  <si>
    <t>盲目耐性</t>
  </si>
  <si>
    <t>毒耐性</t>
  </si>
  <si>
    <t>精神耐性</t>
  </si>
  <si>
    <t>負耐性</t>
  </si>
  <si>
    <t>正耐性</t>
  </si>
  <si>
    <t>悪耐性</t>
    <phoneticPr fontId="2"/>
  </si>
  <si>
    <t>善耐性</t>
  </si>
  <si>
    <t>光耐性</t>
  </si>
  <si>
    <t>闇耐性</t>
  </si>
  <si>
    <t>音耐性</t>
  </si>
  <si>
    <t>酸耐性</t>
  </si>
  <si>
    <t>雷耐性</t>
  </si>
  <si>
    <t>氷耐性</t>
  </si>
  <si>
    <t>炎耐性</t>
  </si>
  <si>
    <t>打撃耐性</t>
  </si>
  <si>
    <t>貫通耐性</t>
  </si>
  <si>
    <t>切断耐性</t>
  </si>
  <si>
    <t>魔法軽減</t>
  </si>
  <si>
    <t>物理軽減</t>
    <rPh sb="0" eb="2">
      <t>ブツリ</t>
    </rPh>
    <rPh sb="2" eb="4">
      <t>ケイゲン</t>
    </rPh>
    <phoneticPr fontId="2"/>
  </si>
  <si>
    <t>付与能力</t>
    <rPh sb="0" eb="2">
      <t>フヨ</t>
    </rPh>
    <rPh sb="2" eb="4">
      <t>ノウリョク</t>
    </rPh>
    <phoneticPr fontId="2"/>
  </si>
  <si>
    <t>能力</t>
    <rPh sb="0" eb="2">
      <t>ノウリョク</t>
    </rPh>
    <phoneticPr fontId="2"/>
  </si>
  <si>
    <t>攻撃タイプ</t>
  </si>
  <si>
    <t>攻撃回数</t>
  </si>
  <si>
    <t>リロード時間</t>
  </si>
  <si>
    <t>弾倉</t>
  </si>
  <si>
    <t>射程</t>
    <phoneticPr fontId="2"/>
  </si>
  <si>
    <t>命中率</t>
    <rPh sb="0" eb="3">
      <t>メイチュウリツ</t>
    </rPh>
    <phoneticPr fontId="2"/>
  </si>
  <si>
    <t>回避率</t>
    <rPh sb="0" eb="3">
      <t>カイヒリツ</t>
    </rPh>
    <phoneticPr fontId="2"/>
  </si>
  <si>
    <t>Cr威力</t>
  </si>
  <si>
    <t>Cr率</t>
  </si>
  <si>
    <t>変動</t>
    <rPh sb="0" eb="2">
      <t>ヘンドウ</t>
    </rPh>
    <phoneticPr fontId="2"/>
  </si>
  <si>
    <t>属性値</t>
    <rPh sb="0" eb="3">
      <t>ゾクセイチ</t>
    </rPh>
    <phoneticPr fontId="2"/>
  </si>
  <si>
    <t>属性</t>
    <rPh sb="0" eb="2">
      <t>ゾクセイ</t>
    </rPh>
    <phoneticPr fontId="2"/>
  </si>
  <si>
    <t>射撃</t>
    <rPh sb="0" eb="2">
      <t>シャゲキ</t>
    </rPh>
    <phoneticPr fontId="2"/>
  </si>
  <si>
    <t>ガード</t>
    <phoneticPr fontId="7"/>
  </si>
  <si>
    <t>打撃</t>
  </si>
  <si>
    <t>貫通</t>
  </si>
  <si>
    <t>切断</t>
  </si>
  <si>
    <t>全力</t>
    <rPh sb="0" eb="2">
      <t>ゼンリョク</t>
    </rPh>
    <phoneticPr fontId="7"/>
  </si>
  <si>
    <t>種別</t>
    <rPh sb="0" eb="2">
      <t>シュベツ</t>
    </rPh>
    <phoneticPr fontId="2"/>
  </si>
  <si>
    <t>素材</t>
    <rPh sb="0" eb="2">
      <t>ソザイ</t>
    </rPh>
    <phoneticPr fontId="2"/>
  </si>
  <si>
    <t>分類</t>
    <rPh sb="0" eb="2">
      <t>ブンルイ</t>
    </rPh>
    <phoneticPr fontId="2"/>
  </si>
  <si>
    <t>ルビ</t>
  </si>
  <si>
    <t>名前</t>
  </si>
  <si>
    <t>黒鋼</t>
  </si>
  <si>
    <t>長剣</t>
    <rPh sb="0" eb="2">
      <t>チョウケン</t>
    </rPh>
    <phoneticPr fontId="2"/>
  </si>
  <si>
    <t>金鋼</t>
    <rPh sb="0" eb="1">
      <t>キン</t>
    </rPh>
    <rPh sb="1" eb="2">
      <t>ハガネ</t>
    </rPh>
    <phoneticPr fontId="2"/>
  </si>
  <si>
    <t>銀鋼</t>
    <rPh sb="0" eb="1">
      <t>ギン</t>
    </rPh>
    <rPh sb="1" eb="2">
      <t>ハガネ</t>
    </rPh>
    <phoneticPr fontId="2"/>
  </si>
  <si>
    <t>鎧</t>
    <rPh sb="0" eb="1">
      <t>ヨロイ</t>
    </rPh>
    <phoneticPr fontId="2"/>
  </si>
  <si>
    <t>黒鉄</t>
    <rPh sb="0" eb="2">
      <t>クロテツ</t>
    </rPh>
    <phoneticPr fontId="2"/>
  </si>
  <si>
    <t>金鉄</t>
    <rPh sb="0" eb="2">
      <t>キンテツ</t>
    </rPh>
    <phoneticPr fontId="2"/>
  </si>
  <si>
    <t>銀鉄</t>
  </si>
  <si>
    <t>魔獣皮</t>
  </si>
  <si>
    <t>外套</t>
    <rPh sb="0" eb="2">
      <t>ガイトウ</t>
    </rPh>
    <phoneticPr fontId="2"/>
  </si>
  <si>
    <t>帯</t>
    <rPh sb="0" eb="1">
      <t>オビ</t>
    </rPh>
    <phoneticPr fontId="2"/>
  </si>
  <si>
    <t>熱鉄</t>
  </si>
  <si>
    <t>靴</t>
  </si>
  <si>
    <t>胴衣</t>
  </si>
  <si>
    <t>鎧</t>
  </si>
  <si>
    <t>兜</t>
  </si>
  <si>
    <t>面兜</t>
  </si>
  <si>
    <t>拳銃</t>
  </si>
  <si>
    <t>回転式拳銃</t>
    <rPh sb="0" eb="2">
      <t>カイテン</t>
    </rPh>
    <rPh sb="2" eb="3">
      <t>シキ</t>
    </rPh>
    <rPh sb="3" eb="5">
      <t>ケンジュウ</t>
    </rPh>
    <phoneticPr fontId="7"/>
  </si>
  <si>
    <t>射出弓</t>
  </si>
  <si>
    <t>軽射出弓</t>
  </si>
  <si>
    <t>長杖</t>
  </si>
  <si>
    <t>杖</t>
  </si>
  <si>
    <t>長弓</t>
  </si>
  <si>
    <t>短弓</t>
  </si>
  <si>
    <t>大盾</t>
  </si>
  <si>
    <t>丸大盾</t>
    <rPh sb="1" eb="2">
      <t>オオ</t>
    </rPh>
    <phoneticPr fontId="7"/>
  </si>
  <si>
    <t>盾</t>
  </si>
  <si>
    <t>丸盾</t>
  </si>
  <si>
    <t>鞭</t>
  </si>
  <si>
    <t>戦斧</t>
  </si>
  <si>
    <t>鎌</t>
  </si>
  <si>
    <t>戦鎚</t>
  </si>
  <si>
    <t>鎚</t>
  </si>
  <si>
    <t>棘棍</t>
    <rPh sb="0" eb="1">
      <t>トゲ</t>
    </rPh>
    <rPh sb="1" eb="2">
      <t>ツエ</t>
    </rPh>
    <phoneticPr fontId="2"/>
  </si>
  <si>
    <t>戦棍</t>
  </si>
  <si>
    <t>棍棒</t>
  </si>
  <si>
    <t>斧槍</t>
    <rPh sb="0" eb="1">
      <t>オノ</t>
    </rPh>
    <rPh sb="1" eb="2">
      <t>ヤリ</t>
    </rPh>
    <phoneticPr fontId="7"/>
  </si>
  <si>
    <t>騎士槍</t>
  </si>
  <si>
    <t>槍</t>
  </si>
  <si>
    <t>短槍</t>
  </si>
  <si>
    <t>刺剣</t>
  </si>
  <si>
    <t>細剣</t>
  </si>
  <si>
    <t>大剣</t>
  </si>
  <si>
    <t>長剣</t>
  </si>
  <si>
    <t>広剣</t>
  </si>
  <si>
    <t>剣</t>
  </si>
  <si>
    <t>刀</t>
  </si>
  <si>
    <t>短刀</t>
  </si>
  <si>
    <t>冷気鉄</t>
  </si>
  <si>
    <t>黒鋼鉄</t>
  </si>
  <si>
    <t>炎蜥蜴の鱗</t>
  </si>
  <si>
    <t>法衣</t>
  </si>
  <si>
    <t>衣布</t>
  </si>
  <si>
    <t>氷蜥蜴の鱗</t>
  </si>
  <si>
    <t>雷蜥蜴の鱗</t>
  </si>
  <si>
    <t>軽皮</t>
  </si>
  <si>
    <t>獣皮</t>
    <phoneticPr fontId="2"/>
  </si>
  <si>
    <t>皮</t>
    <phoneticPr fontId="2"/>
  </si>
  <si>
    <t>鋼</t>
    <rPh sb="0" eb="1">
      <t>ハガネ</t>
    </rPh>
    <phoneticPr fontId="2"/>
  </si>
  <si>
    <t>胴衣</t>
    <phoneticPr fontId="2"/>
  </si>
  <si>
    <t>木</t>
    <rPh sb="0" eb="1">
      <t>キ</t>
    </rPh>
    <phoneticPr fontId="2"/>
  </si>
  <si>
    <t>大戦棍</t>
    <rPh sb="0" eb="1">
      <t>ダイ</t>
    </rPh>
    <phoneticPr fontId="2"/>
  </si>
  <si>
    <t>鉄</t>
    <rPh sb="0" eb="1">
      <t>テツ</t>
    </rPh>
    <phoneticPr fontId="2"/>
  </si>
  <si>
    <t>-</t>
  </si>
  <si>
    <t>ダメージの振れ幅</t>
    <rPh sb="5" eb="6">
      <t>フ</t>
    </rPh>
    <rPh sb="7" eb="8">
      <t>ハバ</t>
    </rPh>
    <phoneticPr fontId="2"/>
  </si>
  <si>
    <t>id</t>
    <phoneticPr fontId="2"/>
  </si>
  <si>
    <t>画像url</t>
    <rPh sb="0" eb="2">
      <t>ガゾウ</t>
    </rPh>
    <phoneticPr fontId="2"/>
  </si>
  <si>
    <t>能力2</t>
    <rPh sb="0" eb="2">
      <t>ノウリョク</t>
    </rPh>
    <phoneticPr fontId="2"/>
  </si>
  <si>
    <t>付与</t>
    <rPh sb="0" eb="2">
      <t>フヨ</t>
    </rPh>
    <phoneticPr fontId="2"/>
  </si>
  <si>
    <t>武器特性</t>
    <rPh sb="0" eb="2">
      <t>ブキ</t>
    </rPh>
    <rPh sb="2" eb="4">
      <t>トクセイ</t>
    </rPh>
    <phoneticPr fontId="2"/>
  </si>
  <si>
    <t>究極の回復効果を持つ薬品。飲むだけでほぼすべてのダメージを回復するが、極めて高価。</t>
  </si>
  <si>
    <t>ハイエリクサー</t>
  </si>
  <si>
    <t>上位霊薬</t>
  </si>
  <si>
    <t>魔法の力で作られた伝説的な回復薬。飲むだけで大幅な体力回復が可能。</t>
  </si>
  <si>
    <t>エリクサー</t>
  </si>
  <si>
    <t>霊薬</t>
  </si>
  <si>
    <t>高性能な回復ポーション。短時間で大きな回復が可能で、強敵との戦闘に最適。</t>
  </si>
  <si>
    <t>ハイポーション</t>
  </si>
  <si>
    <t>上位水薬</t>
  </si>
  <si>
    <t>冒険者の定番回復薬。即時回復と再生効果を持ち、戦闘中や緊急時に効果的。</t>
  </si>
  <si>
    <t>ポーション</t>
  </si>
  <si>
    <t>水薬</t>
  </si>
  <si>
    <t>_---------- 素材 ---------</t>
    <rPh sb="12" eb="14">
      <t>ソザイ</t>
    </rPh>
    <phoneticPr fontId="2"/>
  </si>
  <si>
    <t>希少な花々から採取された極上の蜂蜜。料理に使うと味わいだけでなく、食事効果が劇的に向上する。特に、攻撃力や防御力、行動速度といった重要なステータスを大幅に向上させる一時的なバフ効果を得られる。高級レストランや冒険者の間で重宝される一品。</t>
    <phoneticPr fontId="2"/>
  </si>
  <si>
    <t>消費</t>
    <rPh sb="0" eb="2">
      <t>ショウヒ</t>
    </rPh>
    <phoneticPr fontId="2"/>
  </si>
  <si>
    <t>プレミアムハニー</t>
    <phoneticPr fontId="2"/>
  </si>
  <si>
    <t>高級蜂蜜</t>
    <rPh sb="0" eb="2">
      <t>コウキュウ</t>
    </rPh>
    <rPh sb="2" eb="4">
      <t>ハチミツ</t>
    </rPh>
    <phoneticPr fontId="2"/>
  </si>
  <si>
    <t>自然が生み出した甘く濃厚な万能素材。料理に加えることで風味を引き立て、食事全体の効果を高めることができる。使用することで疲労耐性とSTの回復が期待できる。</t>
  </si>
  <si>
    <t>ハニー</t>
    <phoneticPr fontId="2"/>
  </si>
  <si>
    <t>蜂蜜</t>
    <rPh sb="0" eb="2">
      <t>ハチミツ</t>
    </rPh>
    <phoneticPr fontId="2"/>
  </si>
  <si>
    <t>_---------- ドロップアイテム ---------</t>
    <phoneticPr fontId="2"/>
  </si>
  <si>
    <t>青緑色の輝きが特徴。航海の守護石として古代より重宝されてきた。</t>
  </si>
  <si>
    <t>宝石</t>
  </si>
  <si>
    <t>アクアマリンⅤ</t>
  </si>
  <si>
    <t>緑柱石Ⅴ</t>
  </si>
  <si>
    <t>多彩な色を持つ宝石で、調和と癒しのエネルギーをもたらすと言われている。</t>
  </si>
  <si>
    <t>トルマリンⅤ</t>
  </si>
  <si>
    <t>電気石Ⅴ</t>
  </si>
  <si>
    <t>明るい緑色が特徴で、友情や繁栄を呼ぶとされる宝石。</t>
  </si>
  <si>
    <t>ペリドットⅤ</t>
  </si>
  <si>
    <t>橄欖石Ⅴ</t>
  </si>
  <si>
    <t>虹色の輝きを持ち、創造力と変化を象徴する神秘的な石。</t>
  </si>
  <si>
    <t>オパールⅤ</t>
  </si>
  <si>
    <t>欧泊Ⅴ</t>
  </si>
  <si>
    <t>深い赤色で情熱や絆を象徴する。戦士に愛される宝石。</t>
  </si>
  <si>
    <t>ガーネットⅤ</t>
  </si>
  <si>
    <t>柘榴石Ⅴ</t>
  </si>
  <si>
    <t>太陽のような温かい光を放つ。希望と活力を象徴する宝石。</t>
  </si>
  <si>
    <t>サンストーンⅤ</t>
  </si>
  <si>
    <t>陽長石Ⅴ</t>
  </si>
  <si>
    <t>月の光を閉じ込めたような美しい輝きで、女性の守護石とも言われる。</t>
  </si>
  <si>
    <t>ムーンストーンⅤ</t>
  </si>
  <si>
    <t>月長石Ⅴ</t>
  </si>
  <si>
    <t>無色透明な輝きと硬度を持ち、純粋さと不滅を象徴する最高級の宝石。</t>
  </si>
  <si>
    <t>ダイヤモンドⅤ</t>
  </si>
  <si>
    <t>金剛石Ⅴ</t>
  </si>
  <si>
    <t>黄金色の輝きが財運を呼ぶとされる。</t>
  </si>
  <si>
    <t>シトリンⅤ</t>
  </si>
  <si>
    <t>黄水晶Ⅴ</t>
  </si>
  <si>
    <t>紫色の輝きが魔除けや精神集中に適していると言われる宝石。</t>
  </si>
  <si>
    <t>アメジストⅤ</t>
  </si>
  <si>
    <t>紫水晶Ⅴ</t>
  </si>
  <si>
    <t>深い緑色が特徴。自然や癒しを象徴し、魔法の触媒としても利用される。</t>
  </si>
  <si>
    <t>エメラルドⅤ</t>
  </si>
  <si>
    <t>翠玉Ⅴ</t>
  </si>
  <si>
    <t>青い星空のような美しさを持つ。知恵と忠誠を表すと言われている。</t>
  </si>
  <si>
    <t>サファイアⅤ</t>
  </si>
  <si>
    <t>青玉Ⅴ</t>
  </si>
  <si>
    <t>深紅の輝きを持つ希少な宝石。愛や情熱を象徴する。</t>
  </si>
  <si>
    <t>ルビーⅤ</t>
  </si>
  <si>
    <t>紅玉Ⅴ</t>
  </si>
  <si>
    <t>アクアマリンⅣ</t>
  </si>
  <si>
    <t>緑柱石Ⅳ</t>
  </si>
  <si>
    <t>トルマリンⅣ</t>
  </si>
  <si>
    <t>電気石Ⅳ</t>
  </si>
  <si>
    <t>ペリドットⅣ</t>
  </si>
  <si>
    <t>橄欖石Ⅳ</t>
  </si>
  <si>
    <t>オパールⅣ</t>
  </si>
  <si>
    <t>欧泊Ⅳ</t>
  </si>
  <si>
    <t>ガーネットⅣ</t>
  </si>
  <si>
    <t>柘榴石Ⅳ</t>
  </si>
  <si>
    <t>サンストーンⅣ</t>
  </si>
  <si>
    <t>陽長石Ⅳ</t>
  </si>
  <si>
    <t>ムーンストーンⅣ</t>
  </si>
  <si>
    <t>月長石Ⅳ</t>
  </si>
  <si>
    <t>ダイヤモンドⅣ</t>
  </si>
  <si>
    <t>金剛石Ⅳ</t>
  </si>
  <si>
    <t>シトリンⅣ</t>
  </si>
  <si>
    <t>黄水晶Ⅳ</t>
  </si>
  <si>
    <t>アメジストⅣ</t>
  </si>
  <si>
    <t>紫水晶Ⅳ</t>
  </si>
  <si>
    <t>エメラルドⅣ</t>
  </si>
  <si>
    <t>翠玉Ⅳ</t>
  </si>
  <si>
    <t>サファイアⅣ</t>
  </si>
  <si>
    <t>青玉Ⅳ</t>
  </si>
  <si>
    <t>ルビーⅣ</t>
  </si>
  <si>
    <t>紅玉Ⅳ</t>
  </si>
  <si>
    <t>アクアマリンⅢ</t>
  </si>
  <si>
    <t>緑柱石Ⅲ</t>
  </si>
  <si>
    <t>トルマリンⅢ</t>
  </si>
  <si>
    <t>電気石Ⅲ</t>
  </si>
  <si>
    <t>ペリドットⅢ</t>
  </si>
  <si>
    <t>橄欖石Ⅲ</t>
  </si>
  <si>
    <t>オパールⅢ</t>
  </si>
  <si>
    <t>欧泊Ⅲ</t>
  </si>
  <si>
    <t>ガーネットⅢ</t>
  </si>
  <si>
    <t>柘榴石Ⅲ</t>
  </si>
  <si>
    <t>サンストーンⅢ</t>
  </si>
  <si>
    <t>陽長石Ⅲ</t>
  </si>
  <si>
    <t>ムーンストーンⅢ</t>
  </si>
  <si>
    <t>月長石Ⅲ</t>
  </si>
  <si>
    <t>ダイヤモンドⅢ</t>
  </si>
  <si>
    <t>金剛石Ⅲ</t>
  </si>
  <si>
    <t>シトリンⅢ</t>
  </si>
  <si>
    <t>黄水晶Ⅲ</t>
  </si>
  <si>
    <t>アメジストⅢ</t>
  </si>
  <si>
    <t>紫水晶Ⅲ</t>
  </si>
  <si>
    <t>エメラルドⅢ</t>
  </si>
  <si>
    <t>翠玉Ⅲ</t>
  </si>
  <si>
    <t>サファイアⅢ</t>
  </si>
  <si>
    <t>青玉Ⅲ</t>
  </si>
  <si>
    <t>ルビーⅢ</t>
  </si>
  <si>
    <t>紅玉Ⅲ</t>
  </si>
  <si>
    <t>アクアマリンⅡ</t>
  </si>
  <si>
    <t>緑柱石Ⅱ</t>
  </si>
  <si>
    <t>トルマリンⅡ</t>
  </si>
  <si>
    <t>電気石Ⅱ</t>
  </si>
  <si>
    <t>ペリドットⅡ</t>
  </si>
  <si>
    <t>橄欖石Ⅱ</t>
  </si>
  <si>
    <t>オパールⅡ</t>
  </si>
  <si>
    <t>欧泊Ⅱ</t>
  </si>
  <si>
    <t>ガーネットⅡ</t>
  </si>
  <si>
    <t>柘榴石Ⅱ</t>
  </si>
  <si>
    <t>サンストーンⅡ</t>
  </si>
  <si>
    <t>陽長石Ⅱ</t>
  </si>
  <si>
    <t>ムーンストーンⅡ</t>
  </si>
  <si>
    <t>月長石Ⅱ</t>
  </si>
  <si>
    <t>ダイヤモンドⅡ</t>
  </si>
  <si>
    <t>金剛石Ⅱ</t>
  </si>
  <si>
    <t>シトリンⅡ</t>
  </si>
  <si>
    <t>黄水晶Ⅱ</t>
  </si>
  <si>
    <t>アメジストⅡ</t>
  </si>
  <si>
    <t>紫水晶Ⅱ</t>
  </si>
  <si>
    <t>エメラルドⅡ</t>
  </si>
  <si>
    <t>翠玉Ⅱ</t>
  </si>
  <si>
    <t>サファイアⅡ</t>
  </si>
  <si>
    <t>青玉Ⅱ</t>
  </si>
  <si>
    <t>ルビーⅡ</t>
  </si>
  <si>
    <t>紅玉Ⅱ</t>
  </si>
  <si>
    <t>アクアマリンⅠ</t>
  </si>
  <si>
    <t>緑柱石Ⅰ</t>
  </si>
  <si>
    <t>トルマリンⅠ</t>
  </si>
  <si>
    <t>電気石Ⅰ</t>
  </si>
  <si>
    <t>ペリドットⅠ</t>
  </si>
  <si>
    <t>橄欖石Ⅰ</t>
  </si>
  <si>
    <t>オパールⅠ</t>
  </si>
  <si>
    <t>欧泊Ⅰ</t>
  </si>
  <si>
    <t>ガーネットⅠ</t>
  </si>
  <si>
    <t>柘榴石Ⅰ</t>
  </si>
  <si>
    <t>サンストーンⅠ</t>
  </si>
  <si>
    <t>陽長石Ⅰ</t>
  </si>
  <si>
    <t>ムーンストーンⅠ</t>
  </si>
  <si>
    <t>月長石Ⅰ</t>
  </si>
  <si>
    <t>ダイヤモンドⅠ</t>
  </si>
  <si>
    <t>金剛石Ⅰ</t>
  </si>
  <si>
    <t>シトリンⅠ</t>
  </si>
  <si>
    <t>黄水晶Ⅰ</t>
  </si>
  <si>
    <t>アメジストⅠ</t>
  </si>
  <si>
    <t>紫水晶Ⅰ</t>
  </si>
  <si>
    <t>エメラルドⅠ</t>
  </si>
  <si>
    <t>翠玉Ⅰ</t>
  </si>
  <si>
    <t>サファイアⅠ</t>
  </si>
  <si>
    <t>青玉Ⅰ</t>
  </si>
  <si>
    <t>ルビーⅠ</t>
  </si>
  <si>
    <t>紅玉Ⅰ</t>
  </si>
  <si>
    <t>アクアマリン</t>
  </si>
  <si>
    <t>緑柱石</t>
  </si>
  <si>
    <t>トルマリン</t>
  </si>
  <si>
    <t>電気石</t>
  </si>
  <si>
    <t>ペリドット</t>
  </si>
  <si>
    <t>橄欖石</t>
  </si>
  <si>
    <t>オパール</t>
  </si>
  <si>
    <t>欧泊</t>
  </si>
  <si>
    <t>ガーネット</t>
  </si>
  <si>
    <t>柘榴石</t>
  </si>
  <si>
    <t>サンストーン</t>
  </si>
  <si>
    <t>陽長石</t>
  </si>
  <si>
    <t>ムーンストーン</t>
  </si>
  <si>
    <t>月長石</t>
  </si>
  <si>
    <t>ダイヤモンド</t>
  </si>
  <si>
    <t>金剛石</t>
  </si>
  <si>
    <t>シトリン</t>
  </si>
  <si>
    <t>黄水晶</t>
  </si>
  <si>
    <t>アメジスト</t>
  </si>
  <si>
    <t>紫水晶</t>
  </si>
  <si>
    <t>エメラルド</t>
  </si>
  <si>
    <t>翠玉</t>
  </si>
  <si>
    <t>サファイア</t>
  </si>
  <si>
    <t>青玉</t>
  </si>
  <si>
    <t>ルビー</t>
  </si>
  <si>
    <t>紅玉</t>
  </si>
  <si>
    <t>説明</t>
    <phoneticPr fontId="2"/>
  </si>
  <si>
    <t>種別</t>
  </si>
  <si>
    <t>素材</t>
  </si>
  <si>
    <t>分類</t>
  </si>
  <si>
    <t>_---------- 宝石 ---------</t>
    <rPh sb="12" eb="14">
      <t>ホウセキ</t>
    </rPh>
    <phoneticPr fontId="2"/>
  </si>
  <si>
    <t>基本的な回復ポーション。軽傷を治すための初心者冒険者向けの便利な薬品。</t>
  </si>
  <si>
    <t>簡単に設置可能な携帯型の拠点。短期間の休息や補給が可能で、探索中に安全を確保する必需品。</t>
  </si>
  <si>
    <t>杖.webp</t>
    <rPh sb="0" eb="1">
      <t>ツエ</t>
    </rPh>
    <phoneticPr fontId="2"/>
  </si>
  <si>
    <t>S</t>
    <phoneticPr fontId="2"/>
  </si>
  <si>
    <t>光・盲目</t>
    <rPh sb="0" eb="1">
      <t>ヒカリ</t>
    </rPh>
    <rPh sb="2" eb="4">
      <t>モウモク</t>
    </rPh>
    <phoneticPr fontId="2"/>
  </si>
  <si>
    <t>強い光を放つ棒</t>
    <rPh sb="0" eb="1">
      <t>ツヨ</t>
    </rPh>
    <rPh sb="2" eb="3">
      <t>ヒカリ</t>
    </rPh>
    <rPh sb="4" eb="5">
      <t>ハナ</t>
    </rPh>
    <rPh sb="6" eb="7">
      <t>ボウ</t>
    </rPh>
    <phoneticPr fontId="2"/>
  </si>
  <si>
    <t>道具</t>
    <rPh sb="0" eb="2">
      <t>ドウグ</t>
    </rPh>
    <phoneticPr fontId="2"/>
  </si>
  <si>
    <t>ライト・ロッド</t>
    <phoneticPr fontId="2"/>
  </si>
  <si>
    <t>閃光の棒</t>
    <rPh sb="0" eb="2">
      <t>センコウ</t>
    </rPh>
    <rPh sb="3" eb="4">
      <t>ボウ</t>
    </rPh>
    <phoneticPr fontId="2"/>
  </si>
  <si>
    <t>上位霊薬</t>
    <rPh sb="0" eb="2">
      <t>ジョウイ</t>
    </rPh>
    <rPh sb="2" eb="4">
      <t>レイヤク</t>
    </rPh>
    <phoneticPr fontId="2"/>
  </si>
  <si>
    <t>水薬.webp</t>
    <phoneticPr fontId="2"/>
  </si>
  <si>
    <t>ハイエリクサー</t>
    <phoneticPr fontId="2"/>
  </si>
  <si>
    <t>霊薬</t>
    <rPh sb="0" eb="2">
      <t>レイヤク</t>
    </rPh>
    <phoneticPr fontId="2"/>
  </si>
  <si>
    <t>エリクサー</t>
    <phoneticPr fontId="2"/>
  </si>
  <si>
    <t>上位水薬</t>
    <rPh sb="0" eb="2">
      <t>ジョウイ</t>
    </rPh>
    <rPh sb="2" eb="3">
      <t>ミズ</t>
    </rPh>
    <rPh sb="3" eb="4">
      <t>クスリ</t>
    </rPh>
    <phoneticPr fontId="2"/>
  </si>
  <si>
    <t>ハイポーション</t>
    <phoneticPr fontId="2"/>
  </si>
  <si>
    <t>水薬</t>
    <rPh sb="0" eb="1">
      <t>ミズ</t>
    </rPh>
    <rPh sb="1" eb="2">
      <t>クスリ</t>
    </rPh>
    <phoneticPr fontId="2"/>
  </si>
  <si>
    <t>ポーション</t>
    <phoneticPr fontId="2"/>
  </si>
  <si>
    <t>下位水薬</t>
    <rPh sb="0" eb="2">
      <t>カイ</t>
    </rPh>
    <rPh sb="2" eb="3">
      <t>ミズ</t>
    </rPh>
    <rPh sb="3" eb="4">
      <t>クスリ</t>
    </rPh>
    <phoneticPr fontId="2"/>
  </si>
  <si>
    <t>レッサーポーション</t>
    <phoneticPr fontId="2"/>
  </si>
  <si>
    <t>簡易拠点</t>
    <rPh sb="0" eb="2">
      <t>カンイ</t>
    </rPh>
    <rPh sb="2" eb="4">
      <t>キョテン</t>
    </rPh>
    <phoneticPr fontId="2"/>
  </si>
  <si>
    <t>テント.webp</t>
    <phoneticPr fontId="2"/>
  </si>
  <si>
    <t>インスタント・ベース</t>
    <phoneticPr fontId="2"/>
  </si>
  <si>
    <t>効果時間</t>
    <rPh sb="0" eb="2">
      <t>コウカ</t>
    </rPh>
    <rPh sb="2" eb="4">
      <t>ジカン</t>
    </rPh>
    <phoneticPr fontId="2"/>
  </si>
  <si>
    <t>再生</t>
    <rPh sb="0" eb="2">
      <t>サイセイ</t>
    </rPh>
    <phoneticPr fontId="2"/>
  </si>
  <si>
    <t>回復</t>
    <rPh sb="0" eb="2">
      <t>カイフク</t>
    </rPh>
    <phoneticPr fontId="2"/>
  </si>
  <si>
    <t>元の金額</t>
    <rPh sb="0" eb="1">
      <t>モト</t>
    </rPh>
    <rPh sb="2" eb="4">
      <t>キンガク</t>
    </rPh>
    <phoneticPr fontId="2"/>
  </si>
  <si>
    <t>クールタイム</t>
    <phoneticPr fontId="2"/>
  </si>
  <si>
    <t>悪耐性</t>
  </si>
  <si>
    <t>命中倍率</t>
    <rPh sb="0" eb="2">
      <t>メイチュウ</t>
    </rPh>
    <rPh sb="2" eb="4">
      <t>バイリツ</t>
    </rPh>
    <phoneticPr fontId="2"/>
  </si>
  <si>
    <t>速度倍率</t>
    <rPh sb="0" eb="2">
      <t>ソクド</t>
    </rPh>
    <rPh sb="2" eb="4">
      <t>バイリツ</t>
    </rPh>
    <phoneticPr fontId="2"/>
  </si>
  <si>
    <t>知覚</t>
  </si>
  <si>
    <t>看破</t>
  </si>
  <si>
    <t>消音</t>
  </si>
  <si>
    <t>全身</t>
    <rPh sb="0" eb="2">
      <t>ゼンシン</t>
    </rPh>
    <phoneticPr fontId="7"/>
  </si>
  <si>
    <t>盾</t>
    <rPh sb="0" eb="1">
      <t>タテ</t>
    </rPh>
    <phoneticPr fontId="7"/>
  </si>
  <si>
    <t>眼</t>
    <rPh sb="0" eb="1">
      <t>メ</t>
    </rPh>
    <phoneticPr fontId="7"/>
  </si>
  <si>
    <t>その他</t>
    <rPh sb="2" eb="3">
      <t>タ</t>
    </rPh>
    <phoneticPr fontId="2"/>
  </si>
  <si>
    <t>感覚</t>
    <rPh sb="0" eb="2">
      <t>カンカク</t>
    </rPh>
    <phoneticPr fontId="7"/>
  </si>
  <si>
    <t/>
  </si>
  <si>
    <t>鉱石×2、宝石×1</t>
  </si>
  <si>
    <t>装飾</t>
    <rPh sb="0" eb="2">
      <t>ソウショク</t>
    </rPh>
    <phoneticPr fontId="2"/>
  </si>
  <si>
    <t>鉱石×3、糸×2</t>
  </si>
  <si>
    <t xml:space="preserve">魔防 精神 幻覚 石化 呪い 即死 </t>
    <rPh sb="0" eb="2">
      <t>マボウ</t>
    </rPh>
    <rPh sb="3" eb="5">
      <t>セイシン</t>
    </rPh>
    <rPh sb="6" eb="8">
      <t>ゲンカク</t>
    </rPh>
    <rPh sb="9" eb="11">
      <t>セキカ</t>
    </rPh>
    <rPh sb="12" eb="13">
      <t>ノロイ</t>
    </rPh>
    <rPh sb="15" eb="17">
      <t>ソクシ</t>
    </rPh>
    <phoneticPr fontId="2"/>
  </si>
  <si>
    <t>鉱石×2、糸×2</t>
  </si>
  <si>
    <t xml:space="preserve">攻撃 魔力 速度 命中 </t>
    <rPh sb="0" eb="2">
      <t>コウゲキ</t>
    </rPh>
    <rPh sb="3" eb="5">
      <t>マリョク</t>
    </rPh>
    <rPh sb="6" eb="8">
      <t>ソクド</t>
    </rPh>
    <rPh sb="9" eb="11">
      <t>メイチュウ</t>
    </rPh>
    <phoneticPr fontId="2"/>
  </si>
  <si>
    <t>皮×3、布×2</t>
  </si>
  <si>
    <t xml:space="preserve">HP ST 攻撃 防御 体幹 怯み 疲労 </t>
    <rPh sb="6" eb="8">
      <t>コウゲキ</t>
    </rPh>
    <rPh sb="9" eb="11">
      <t>ボウギョ</t>
    </rPh>
    <rPh sb="12" eb="14">
      <t>タイカン</t>
    </rPh>
    <rPh sb="15" eb="16">
      <t>ヒル</t>
    </rPh>
    <rPh sb="18" eb="20">
      <t>ヒロウ</t>
    </rPh>
    <phoneticPr fontId="2"/>
  </si>
  <si>
    <t>鉱石×4、皮×2</t>
  </si>
  <si>
    <t>素手</t>
    <rPh sb="0" eb="2">
      <t>スデ</t>
    </rPh>
    <phoneticPr fontId="2"/>
  </si>
  <si>
    <t>布×4、糸×3</t>
  </si>
  <si>
    <t xml:space="preserve">防御 隠密 </t>
    <rPh sb="0" eb="2">
      <t>ボウギョ</t>
    </rPh>
    <rPh sb="3" eb="5">
      <t>オンミツ</t>
    </rPh>
    <phoneticPr fontId="2"/>
  </si>
  <si>
    <t>鉱石×2、ガラス×2</t>
  </si>
  <si>
    <t>命中,速度,盲目,幻覚,感知,鑑定</t>
    <rPh sb="0" eb="2">
      <t>メイチュウ</t>
    </rPh>
    <rPh sb="3" eb="5">
      <t>ソクド</t>
    </rPh>
    <rPh sb="6" eb="8">
      <t>モウモク</t>
    </rPh>
    <rPh sb="9" eb="11">
      <t>ゲンカク</t>
    </rPh>
    <rPh sb="12" eb="14">
      <t>カンチ</t>
    </rPh>
    <rPh sb="15" eb="17">
      <t>カンテイ</t>
    </rPh>
    <phoneticPr fontId="2"/>
  </si>
  <si>
    <t>鉱石×4、皮×2、魔石×1</t>
  </si>
  <si>
    <t>肉体</t>
    <rPh sb="0" eb="2">
      <t>ニクタイ</t>
    </rPh>
    <phoneticPr fontId="2"/>
  </si>
  <si>
    <t>腕</t>
    <rPh sb="0" eb="1">
      <t>ウデ</t>
    </rPh>
    <phoneticPr fontId="2"/>
  </si>
  <si>
    <t>アームコア</t>
  </si>
  <si>
    <t>腕核</t>
    <rPh sb="0" eb="1">
      <t>ウデ</t>
    </rPh>
    <rPh sb="1" eb="2">
      <t>カク</t>
    </rPh>
    <phoneticPr fontId="7"/>
  </si>
  <si>
    <t>鉱石×5、鱗×3、魔石×2</t>
  </si>
  <si>
    <t>体</t>
    <rPh sb="0" eb="1">
      <t>カラダ</t>
    </rPh>
    <phoneticPr fontId="2"/>
  </si>
  <si>
    <t>メインコア</t>
  </si>
  <si>
    <t>核</t>
    <rPh sb="0" eb="1">
      <t>カク</t>
    </rPh>
    <phoneticPr fontId="7"/>
  </si>
  <si>
    <t>鉱石×3、糸×2、魔石×2</t>
  </si>
  <si>
    <t>頭</t>
    <rPh sb="0" eb="1">
      <t>アタマ</t>
    </rPh>
    <phoneticPr fontId="2"/>
  </si>
  <si>
    <t>スタートコア</t>
  </si>
  <si>
    <t>起動核</t>
    <rPh sb="0" eb="2">
      <t>キドウ</t>
    </rPh>
    <rPh sb="2" eb="3">
      <t>カク</t>
    </rPh>
    <phoneticPr fontId="7"/>
  </si>
  <si>
    <t>皮×4、布×3</t>
  </si>
  <si>
    <t>速度 隠密 軽業 体幹</t>
    <rPh sb="0" eb="2">
      <t>ソクド</t>
    </rPh>
    <rPh sb="3" eb="5">
      <t>オンミツ</t>
    </rPh>
    <rPh sb="6" eb="8">
      <t>カルワザ</t>
    </rPh>
    <rPh sb="9" eb="11">
      <t>タイカン</t>
    </rPh>
    <phoneticPr fontId="2"/>
  </si>
  <si>
    <t>足</t>
    <rPh sb="0" eb="1">
      <t>アシ</t>
    </rPh>
    <phoneticPr fontId="2"/>
  </si>
  <si>
    <t>ブーツ</t>
  </si>
  <si>
    <t>布×5、糸×4</t>
  </si>
  <si>
    <t>HP 物理 魔法 体幹 出血 疲労 Cr</t>
    <rPh sb="3" eb="5">
      <t>ブツリ</t>
    </rPh>
    <rPh sb="6" eb="8">
      <t>マホウ</t>
    </rPh>
    <rPh sb="12" eb="14">
      <t>シュッケツ</t>
    </rPh>
    <rPh sb="15" eb="17">
      <t>ヒロウ</t>
    </rPh>
    <phoneticPr fontId="2"/>
  </si>
  <si>
    <t>ローブ</t>
  </si>
  <si>
    <t>クロース</t>
  </si>
  <si>
    <t>布×4、皮×3</t>
  </si>
  <si>
    <t>ベスト</t>
  </si>
  <si>
    <t>鉱石×6、鱗×4</t>
  </si>
  <si>
    <t>アーマー</t>
  </si>
  <si>
    <t>マスク</t>
  </si>
  <si>
    <t>仮面</t>
  </si>
  <si>
    <t>鉱石×3、皮×2</t>
  </si>
  <si>
    <t>バイザー</t>
  </si>
  <si>
    <t>面頬</t>
    <phoneticPr fontId="2"/>
  </si>
  <si>
    <t>サークレット</t>
  </si>
  <si>
    <t>冠</t>
  </si>
  <si>
    <t>起動核</t>
  </si>
  <si>
    <t>鉱石×4、皮×3</t>
  </si>
  <si>
    <t>ヘルム</t>
  </si>
  <si>
    <t>兜</t>
    <phoneticPr fontId="2"/>
  </si>
  <si>
    <t>腕核</t>
  </si>
  <si>
    <t>バイザーヘルム</t>
    <phoneticPr fontId="2"/>
  </si>
  <si>
    <t>面兜</t>
    <phoneticPr fontId="2"/>
  </si>
  <si>
    <t>核</t>
  </si>
  <si>
    <t>脚輪</t>
  </si>
  <si>
    <t>脚鎧</t>
  </si>
  <si>
    <t>木材×3、鉱石×2</t>
  </si>
  <si>
    <t>楽器</t>
    <rPh sb="0" eb="2">
      <t>ガッキ</t>
    </rPh>
    <phoneticPr fontId="2"/>
  </si>
  <si>
    <t>フルート</t>
  </si>
  <si>
    <t>笛</t>
    <rPh sb="0" eb="1">
      <t>フエ</t>
    </rPh>
    <phoneticPr fontId="2"/>
  </si>
  <si>
    <t>腰鎧</t>
  </si>
  <si>
    <t>木材×4、糸×3</t>
  </si>
  <si>
    <t>ハープ</t>
  </si>
  <si>
    <t>竪琴</t>
    <rPh sb="0" eb="2">
      <t>タテゴト</t>
    </rPh>
    <phoneticPr fontId="2"/>
  </si>
  <si>
    <t>馬乗袴</t>
  </si>
  <si>
    <t>武器</t>
    <rPh sb="0" eb="2">
      <t>ブキ</t>
    </rPh>
    <phoneticPr fontId="2"/>
  </si>
  <si>
    <t>サウンドスティック</t>
  </si>
  <si>
    <t>鳴り鉢</t>
    <rPh sb="0" eb="1">
      <t>ナ</t>
    </rPh>
    <rPh sb="2" eb="3">
      <t>バチ</t>
    </rPh>
    <phoneticPr fontId="2"/>
  </si>
  <si>
    <t>鉱石×3、木材×3、糸×2</t>
  </si>
  <si>
    <t>フルートブレード</t>
  </si>
  <si>
    <t>笛剣</t>
    <rPh sb="0" eb="1">
      <t>フエ</t>
    </rPh>
    <rPh sb="1" eb="2">
      <t>ケン</t>
    </rPh>
    <phoneticPr fontId="2"/>
  </si>
  <si>
    <t>腕輪</t>
  </si>
  <si>
    <t>木材×3、糸×4</t>
  </si>
  <si>
    <t>弦鳴弓。音を利用した特殊な弓で、遠距離攻撃に特化。</t>
  </si>
  <si>
    <t>弓</t>
    <rPh sb="0" eb="1">
      <t>ユミ</t>
    </rPh>
    <phoneticPr fontId="2"/>
  </si>
  <si>
    <t>ハープボウ</t>
  </si>
  <si>
    <t>弦鳴弓</t>
    <rPh sb="2" eb="3">
      <t>ユミ</t>
    </rPh>
    <phoneticPr fontId="2"/>
  </si>
  <si>
    <t>手鎧</t>
  </si>
  <si>
    <t>腕鎧</t>
  </si>
  <si>
    <t>鉱石×5、木材×4</t>
  </si>
  <si>
    <t>銃</t>
    <rPh sb="0" eb="1">
      <t>ジュウ</t>
    </rPh>
    <phoneticPr fontId="2"/>
  </si>
  <si>
    <t>マスケットロングガン</t>
  </si>
  <si>
    <t>滑腔式長銃</t>
  </si>
  <si>
    <t>肌着</t>
  </si>
  <si>
    <t>鉱石×4、木材×3</t>
  </si>
  <si>
    <t>マスケットガン</t>
  </si>
  <si>
    <t>滑腔式銃</t>
  </si>
  <si>
    <t>羽織</t>
  </si>
  <si>
    <t>鉱石×6、糸×5</t>
  </si>
  <si>
    <t>ガトリング</t>
  </si>
  <si>
    <t>機関銃</t>
    <rPh sb="0" eb="3">
      <t>キカンジュウ</t>
    </rPh>
    <phoneticPr fontId="7"/>
  </si>
  <si>
    <t>ショットガン</t>
  </si>
  <si>
    <t>散弾銃</t>
  </si>
  <si>
    <t>胴着</t>
  </si>
  <si>
    <t>鉱石×5、糸×4</t>
  </si>
  <si>
    <t>スナイパー</t>
  </si>
  <si>
    <t>狙撃銃</t>
  </si>
  <si>
    <t>マシンガン</t>
  </si>
  <si>
    <t>軽機関銃</t>
    <rPh sb="0" eb="1">
      <t>カル</t>
    </rPh>
    <phoneticPr fontId="7"/>
  </si>
  <si>
    <t>首飾り</t>
  </si>
  <si>
    <t>アサルトライフル</t>
  </si>
  <si>
    <t>突撃銃</t>
  </si>
  <si>
    <t>鉱石×4、糸×3</t>
  </si>
  <si>
    <t>サブマシンガン</t>
  </si>
  <si>
    <t>短機関銃</t>
  </si>
  <si>
    <t>覆面</t>
  </si>
  <si>
    <t>ロングガン</t>
  </si>
  <si>
    <t>長銃</t>
  </si>
  <si>
    <t>頭飾り</t>
  </si>
  <si>
    <t>ハンドガン</t>
  </si>
  <si>
    <t>頭</t>
  </si>
  <si>
    <t>鉱石×4、糸×2</t>
  </si>
  <si>
    <t>リボルバー</t>
  </si>
  <si>
    <t>鉱石×6、木材×4</t>
  </si>
  <si>
    <t>A</t>
    <phoneticPr fontId="2"/>
  </si>
  <si>
    <t>キャノン</t>
  </si>
  <si>
    <t>大砲</t>
    <rPh sb="0" eb="2">
      <t>タイホウ</t>
    </rPh>
    <phoneticPr fontId="2"/>
  </si>
  <si>
    <t>木材×4、糸×4</t>
  </si>
  <si>
    <t>ヘビィクロスボウ</t>
  </si>
  <si>
    <t>重射出弓</t>
  </si>
  <si>
    <t>雷棒</t>
  </si>
  <si>
    <t>クロスボウ</t>
  </si>
  <si>
    <t>電動鋸刃</t>
  </si>
  <si>
    <t>木材×3、糸×3</t>
  </si>
  <si>
    <t>Q</t>
    <phoneticPr fontId="2"/>
  </si>
  <si>
    <t>ライトクロスボウ</t>
  </si>
  <si>
    <t>ハンドクロスボウ</t>
    <phoneticPr fontId="2"/>
  </si>
  <si>
    <t>手射出弓</t>
  </si>
  <si>
    <t>糸×3、布×3</t>
  </si>
  <si>
    <t>本。魔法を強化する特殊な武器。</t>
  </si>
  <si>
    <t>魔法強化</t>
    <rPh sb="0" eb="2">
      <t>マホウ</t>
    </rPh>
    <rPh sb="2" eb="4">
      <t>キョウカ</t>
    </rPh>
    <phoneticPr fontId="2"/>
  </si>
  <si>
    <t>本</t>
    <rPh sb="0" eb="1">
      <t>ホン</t>
    </rPh>
    <phoneticPr fontId="2"/>
  </si>
  <si>
    <t>ブック</t>
  </si>
  <si>
    <t>機関銃</t>
  </si>
  <si>
    <t>長杖。強力な魔法を扱える杖だが、重い。</t>
  </si>
  <si>
    <t>魔法無詠唱Ⅲ</t>
    <rPh sb="0" eb="2">
      <t>マホウ</t>
    </rPh>
    <rPh sb="2" eb="5">
      <t>ムエイショウ</t>
    </rPh>
    <phoneticPr fontId="2"/>
  </si>
  <si>
    <t>杖</t>
    <rPh sb="0" eb="1">
      <t>ツエ</t>
    </rPh>
    <phoneticPr fontId="2"/>
  </si>
  <si>
    <t>スタッフ</t>
  </si>
  <si>
    <t>杖。バランスの取れた魔法武器。</t>
  </si>
  <si>
    <t>魔法無詠唱Ⅱ</t>
    <rPh sb="0" eb="2">
      <t>マホウ</t>
    </rPh>
    <rPh sb="2" eb="5">
      <t>ムエイショウ</t>
    </rPh>
    <phoneticPr fontId="2"/>
  </si>
  <si>
    <t>ロッド</t>
  </si>
  <si>
    <t>木材×2、糸×2</t>
  </si>
  <si>
    <t>短杖。魔法を使うのに適した軽量な杖。</t>
  </si>
  <si>
    <t>魔法無詠唱Ⅰ</t>
    <rPh sb="0" eb="2">
      <t>マホウ</t>
    </rPh>
    <rPh sb="2" eb="5">
      <t>ムエイショウ</t>
    </rPh>
    <phoneticPr fontId="2"/>
  </si>
  <si>
    <t>ワンド</t>
  </si>
  <si>
    <t>短杖</t>
  </si>
  <si>
    <t>軽機関銃</t>
  </si>
  <si>
    <t>回転式拳銃</t>
  </si>
  <si>
    <t>鉱石×5、鱗×4</t>
  </si>
  <si>
    <t>塔盾。最大の防御範囲を持つが、重さが欠点。</t>
  </si>
  <si>
    <t>片手適正Ⅰ</t>
    <rPh sb="0" eb="2">
      <t>カタテ</t>
    </rPh>
    <rPh sb="2" eb="4">
      <t>テキセイ</t>
    </rPh>
    <phoneticPr fontId="2"/>
  </si>
  <si>
    <t>盾</t>
    <rPh sb="0" eb="1">
      <t>タテ</t>
    </rPh>
    <phoneticPr fontId="2"/>
  </si>
  <si>
    <t>タワーシールド</t>
  </si>
  <si>
    <t>塔盾</t>
  </si>
  <si>
    <t>棘盾。防御と攻撃を兼ね備えた特殊な盾。</t>
  </si>
  <si>
    <t>スパイクシールド</t>
  </si>
  <si>
    <t>棘盾</t>
    <rPh sb="0" eb="1">
      <t>トゲ</t>
    </rPh>
    <phoneticPr fontId="2"/>
  </si>
  <si>
    <t>大盾。さらに大きな盾で、高い防御力を持つ。</t>
  </si>
  <si>
    <t>ラージシールド</t>
  </si>
  <si>
    <t>投擲石</t>
  </si>
  <si>
    <t>木材×4、鱗×3</t>
  </si>
  <si>
    <t>丸大盾。防御範囲が広く、投擲も可能。</t>
  </si>
  <si>
    <t>投擲強化,片手適正Ⅰ</t>
    <phoneticPr fontId="2"/>
  </si>
  <si>
    <t>ラウンドシールド</t>
  </si>
  <si>
    <t>木材×4、鉱石×3</t>
  </si>
  <si>
    <t>盾。防御力が高く、汎用性がある防具。</t>
  </si>
  <si>
    <t>片手適性Ⅱ</t>
    <rPh sb="0" eb="4">
      <t>カタテテキ</t>
    </rPh>
    <phoneticPr fontId="2"/>
  </si>
  <si>
    <t>シールド</t>
  </si>
  <si>
    <t>木材×4、鉱石×3</t>
    <phoneticPr fontId="2"/>
  </si>
  <si>
    <t>丸盾。軽量で投擲にも使える盾。</t>
  </si>
  <si>
    <t>投擲強化,片手適性Ⅱ</t>
    <rPh sb="5" eb="9">
      <t>カタテテキ</t>
    </rPh>
    <phoneticPr fontId="2"/>
  </si>
  <si>
    <t>バックラー</t>
  </si>
  <si>
    <t>長弓。射程が長く、高い威力を持つ。</t>
    <phoneticPr fontId="2"/>
  </si>
  <si>
    <t>ロングボウ</t>
  </si>
  <si>
    <t>短弓。軽量で扱いやすい遠距離武器。</t>
    <rPh sb="11" eb="16">
      <t>エンキョリブキ</t>
    </rPh>
    <phoneticPr fontId="2"/>
  </si>
  <si>
    <t>ボウ</t>
    <phoneticPr fontId="2"/>
  </si>
  <si>
    <t>長弓。射程が長く、高い威力を持つ。</t>
  </si>
  <si>
    <t>短弓。軽量で扱いやすく、近距離戦に適する。</t>
  </si>
  <si>
    <t>ショートボウ</t>
  </si>
  <si>
    <t>投矢</t>
  </si>
  <si>
    <t>糸×4、皮×3</t>
  </si>
  <si>
    <t>超長鞭。非常に長いリーチを持ち、扱いが難しい。</t>
  </si>
  <si>
    <t>ハードロングウィップ</t>
  </si>
  <si>
    <t>超長鞭</t>
  </si>
  <si>
    <t>糸×3、皮×3</t>
  </si>
  <si>
    <t>長鞭。さらにリーチが長く、多様な戦闘スタイルに対応。</t>
  </si>
  <si>
    <t>ロングウィップ</t>
  </si>
  <si>
    <t>長鞭</t>
  </si>
  <si>
    <t>糸×3、皮×2</t>
  </si>
  <si>
    <t>鞭。リーチが長く、敵を絡め取る戦闘に適する。</t>
  </si>
  <si>
    <t>ウィップ</t>
  </si>
  <si>
    <t>大斧。巨大な斧で、高威力だが扱いが難しい。</t>
  </si>
  <si>
    <t>グレートアックス</t>
  </si>
  <si>
    <t>大斧</t>
  </si>
  <si>
    <t>丸大盾</t>
  </si>
  <si>
    <t>鉱石×4、鱗×3</t>
  </si>
  <si>
    <t>戦斧。攻撃力が高く、重いが信頼性がある武器。</t>
  </si>
  <si>
    <t>バトルアックス</t>
  </si>
  <si>
    <t>斧。斬撃に特化した攻撃的な武器。</t>
  </si>
  <si>
    <t>投擲強化、片手適性Ⅰ</t>
    <phoneticPr fontId="2"/>
  </si>
  <si>
    <t>アックス</t>
  </si>
  <si>
    <t>斧</t>
  </si>
  <si>
    <t>破壊籠手</t>
  </si>
  <si>
    <t>大鎌。大きなリーチを持ち、高威力の斬撃が可能。</t>
  </si>
  <si>
    <t>サイズ</t>
  </si>
  <si>
    <t>大鎌</t>
  </si>
  <si>
    <t>木材×3、鉱石×3</t>
  </si>
  <si>
    <t>鎌。農具を転用した武器で、鋭い斬撃を与える。</t>
  </si>
  <si>
    <t>シックル</t>
  </si>
  <si>
    <t>鉱石×5、鱗×3</t>
  </si>
  <si>
    <t>戦鎚。重い打撃を与える強力な武器。</t>
  </si>
  <si>
    <t>ウォーハンマー</t>
  </si>
  <si>
    <t>鎚。打撃力に優れ、投擲にも対応。</t>
  </si>
  <si>
    <t>投擲強化</t>
    <phoneticPr fontId="2"/>
  </si>
  <si>
    <t>ハンマー</t>
  </si>
  <si>
    <t>刺突戦鎚。刺突と打撃を兼ね備えた武器。</t>
  </si>
  <si>
    <t>ウォーピック</t>
  </si>
  <si>
    <t>刺突戦鎚</t>
  </si>
  <si>
    <t>鉱石×3、木材×3</t>
  </si>
  <si>
    <t>鶴嘴。登山用具だが、刺突武器としても有効。</t>
  </si>
  <si>
    <t>ピッケル</t>
  </si>
  <si>
    <t>鶴嘴</t>
  </si>
  <si>
    <t>戦棍棒。重い打撃力を持つ戦闘用武器。</t>
  </si>
  <si>
    <t>ポールメイス</t>
  </si>
  <si>
    <t>戦棍棒</t>
    <rPh sb="2" eb="3">
      <t>ボウ</t>
    </rPh>
    <phoneticPr fontId="2"/>
  </si>
  <si>
    <t>全力時の威力が高い。 クリティカル率が低い。 クリティカル威力が高い。 回避性能にペナルティがある。 命中性能にペナルティがある。 貫通に優れる。</t>
  </si>
  <si>
    <t>戦棒。長いリーチを持つ打撃武器。</t>
  </si>
  <si>
    <t>バトルポール</t>
  </si>
  <si>
    <t>戦棒</t>
    <rPh sb="0" eb="1">
      <t>セン</t>
    </rPh>
    <phoneticPr fontId="2"/>
  </si>
  <si>
    <t>全力時の威力が高い。 クリティカル率が低い。 クリティカル威力が高い。 貫通に優れる。</t>
  </si>
  <si>
    <t>棘棍。打撃と刺突を兼ね備えた武器。</t>
  </si>
  <si>
    <t>モーニングスター</t>
  </si>
  <si>
    <t>全力時の威力が高い。 クリティカル率が低い。 回避性能にペナルティがある。 命中性能にペナルティがある。 打撃に優れる。</t>
  </si>
  <si>
    <t>戦棍。打撃に優れた武器。Cr率が高い</t>
    <rPh sb="14" eb="15">
      <t>リツ</t>
    </rPh>
    <rPh sb="16" eb="17">
      <t>タカ</t>
    </rPh>
    <phoneticPr fontId="2"/>
  </si>
  <si>
    <t>ビックメイス</t>
    <phoneticPr fontId="2"/>
  </si>
  <si>
    <t>メイス</t>
  </si>
  <si>
    <t>全力時の威力が高い。 クリティカル威力が低い。 回避性能にペナルティがある。 命中性能にペナルティがある。 貫通と打撃に優れている。</t>
  </si>
  <si>
    <t>戦棒</t>
  </si>
  <si>
    <t>木材×3、皮×2</t>
  </si>
  <si>
    <t>棍棒。打撃に特化したシンプルな武器。</t>
  </si>
  <si>
    <t>片手適性Ⅰ</t>
    <rPh sb="0" eb="2">
      <t>カタテ</t>
    </rPh>
    <rPh sb="2" eb="4">
      <t>テキセイ</t>
    </rPh>
    <phoneticPr fontId="2"/>
  </si>
  <si>
    <t>クラブ</t>
  </si>
  <si>
    <t>全力時の威力が高い。 クリティカル率が高い。 クリティカル威力が低い。 打撃に優れる。</t>
  </si>
  <si>
    <t>戦棍。甲冑を貫通する打撃に優れた武器。</t>
  </si>
  <si>
    <t>三叉槍。三本の刃を持つ特殊な槍。</t>
  </si>
  <si>
    <t>投擲強化</t>
  </si>
  <si>
    <t>トライデント</t>
  </si>
  <si>
    <t>三叉槍</t>
  </si>
  <si>
    <t>グレートクラブ</t>
  </si>
  <si>
    <t>大棍棒。重く破壊力があるが、扱いが難しい。</t>
  </si>
  <si>
    <t>大棍棒</t>
  </si>
  <si>
    <t>剣槍。剣のように扱える槍で、近接戦闘にも対応。</t>
  </si>
  <si>
    <t>ソードスピア</t>
  </si>
  <si>
    <t>剣槍</t>
  </si>
  <si>
    <t>全力時の威力が高い。 クリティカル率が低い。 打撃に優れる。</t>
  </si>
  <si>
    <t>木材×4、鉱石×4</t>
  </si>
  <si>
    <t>薙刀。リーチが長く、斬撃と刺突のバランスが取れた武器。</t>
  </si>
  <si>
    <t>グレイブ</t>
  </si>
  <si>
    <t>薙刀</t>
    <rPh sb="0" eb="2">
      <t>ナギナタ</t>
    </rPh>
    <phoneticPr fontId="7"/>
  </si>
  <si>
    <t>クリティカル率が高い。 回避性能にペナルティがある。 命中性能にペナルティがある。 貫通に優れる。</t>
  </si>
  <si>
    <t>斧槍。全力時に威力が高く斬撃と突撃の両方に対応できる武器。</t>
    <rPh sb="3" eb="5">
      <t>ゼンリョク</t>
    </rPh>
    <rPh sb="5" eb="6">
      <t>ジ</t>
    </rPh>
    <rPh sb="7" eb="9">
      <t>イリョク</t>
    </rPh>
    <rPh sb="10" eb="11">
      <t>タカ</t>
    </rPh>
    <phoneticPr fontId="2"/>
  </si>
  <si>
    <t>ハルバート</t>
  </si>
  <si>
    <t>全力時の威力が高い。 回避性能にペナルティがある。 命中性能にペナルティがある。 切断と貫通に優れている。</t>
  </si>
  <si>
    <t>薙刀</t>
  </si>
  <si>
    <t>騎士槍。突撃に特化した武器で、高い攻撃力を誇る。</t>
  </si>
  <si>
    <t>突撃強化</t>
    <rPh sb="0" eb="2">
      <t>トツゲキ</t>
    </rPh>
    <rPh sb="2" eb="4">
      <t>キョウカ</t>
    </rPh>
    <phoneticPr fontId="2"/>
  </si>
  <si>
    <t>ランス</t>
  </si>
  <si>
    <t>全力時の威力が高い。 クリティカル威力が高い。 回避性能にペナルティがある。 命中性能にペナルティがある。 切断に優れる。</t>
  </si>
  <si>
    <t>長槍。さらにリーチが長い槍で、攻撃範囲が広い。</t>
  </si>
  <si>
    <t>ロングスピア</t>
  </si>
  <si>
    <t>長槍</t>
  </si>
  <si>
    <t>全力時の威力が高い。 バランスが良い性能を持つ。</t>
  </si>
  <si>
    <t>斧槍。斬撃と突撃の両方に対応できる武器。</t>
  </si>
  <si>
    <t>木材×3、鉱石×4</t>
  </si>
  <si>
    <t>槍。リーチが長く、刺突に優れる武器。</t>
  </si>
  <si>
    <t>スピア</t>
  </si>
  <si>
    <t>木材×2、鉱石×3</t>
  </si>
  <si>
    <t>短槍。短く扱いやすい槍で、投擲にも対応。</t>
  </si>
  <si>
    <t>ショートスピア</t>
  </si>
  <si>
    <t>全力時の威力が高い。 回避性能にペナルティがある。 命中性能にペナルティがある。 貫通に優れる。</t>
  </si>
  <si>
    <t>医療刃。医師が用いる刃物だが、戦闘にも使用可能。</t>
  </si>
  <si>
    <t>片手適正Ⅱ</t>
    <phoneticPr fontId="2"/>
  </si>
  <si>
    <t>メス</t>
  </si>
  <si>
    <t>医療刃</t>
  </si>
  <si>
    <t>全力時の威力が高い。 回避性能にペナルティがある。 貫通に優れる。</t>
  </si>
  <si>
    <t>鉈。片手で使うことができ、全力時の威力とCr率が高い。</t>
    <rPh sb="22" eb="23">
      <t>リツ</t>
    </rPh>
    <phoneticPr fontId="2"/>
  </si>
  <si>
    <t>ククリ</t>
  </si>
  <si>
    <t>鉈</t>
  </si>
  <si>
    <t>貫通に優れる。</t>
  </si>
  <si>
    <t>山刀。片手で使うことができ、全力時の威力とCr威力が高い。</t>
    <rPh sb="3" eb="5">
      <t>カタテ</t>
    </rPh>
    <rPh sb="6" eb="7">
      <t>ツカ</t>
    </rPh>
    <rPh sb="14" eb="16">
      <t>ゼンリョク</t>
    </rPh>
    <rPh sb="16" eb="17">
      <t>ジ</t>
    </rPh>
    <rPh sb="18" eb="20">
      <t>イリョク</t>
    </rPh>
    <rPh sb="23" eb="25">
      <t>イリョク</t>
    </rPh>
    <rPh sb="26" eb="27">
      <t>タカ</t>
    </rPh>
    <phoneticPr fontId="2"/>
  </si>
  <si>
    <t>マチェット</t>
  </si>
  <si>
    <t>山刀</t>
  </si>
  <si>
    <t>クリティカル率が高い。 クリティカル威力が低い。 切断と貫通に優れている。</t>
  </si>
  <si>
    <t>全力時の威力が高い。 クリティカル率が高い。 回避性能にペナルティがある。 切断に優れる。</t>
  </si>
  <si>
    <t>鉈。中型の刀で、斬撃に優れる。</t>
  </si>
  <si>
    <t>刺剣。小型で精密な攻撃が可能な武器。</t>
    <phoneticPr fontId="2"/>
  </si>
  <si>
    <t>スティレット</t>
  </si>
  <si>
    <t>全力時の威力が高い。 クリティカル威力が高い。 切断に優れる。</t>
  </si>
  <si>
    <t>山刀。軽量で扱いやすく、斬撃力が高い。</t>
  </si>
  <si>
    <t>細剣。刺突に優れた武器でCr率が高い</t>
    <rPh sb="14" eb="15">
      <t>リツ</t>
    </rPh>
    <rPh sb="16" eb="17">
      <t>タカ</t>
    </rPh>
    <phoneticPr fontId="2"/>
  </si>
  <si>
    <t>レイピア</t>
  </si>
  <si>
    <t>全力時の威力が高い。 貫通に優れる。</t>
  </si>
  <si>
    <t>刺剣。小型で精密な攻撃が可能な武器。</t>
  </si>
  <si>
    <t>大剣。非常に重いが威力が突出して高い武器。大きい分ガードにも向いている</t>
    <rPh sb="9" eb="11">
      <t>イリョク</t>
    </rPh>
    <rPh sb="12" eb="14">
      <t>トッシュツ</t>
    </rPh>
    <rPh sb="21" eb="22">
      <t>オオ</t>
    </rPh>
    <rPh sb="24" eb="25">
      <t>ブン</t>
    </rPh>
    <rPh sb="30" eb="31">
      <t>ム</t>
    </rPh>
    <phoneticPr fontId="2"/>
  </si>
  <si>
    <t>バスターソード</t>
  </si>
  <si>
    <t>クリティカル率が高い。 クリティカル威力が低い。 切断に優れる。</t>
  </si>
  <si>
    <t>細剣。刺突に優れた軽量な武器で、俊敏な戦闘スタイルに適する。</t>
  </si>
  <si>
    <t>長剣。長く重い分扱いにくいが威力が高い。</t>
    <rPh sb="3" eb="4">
      <t>ナガ</t>
    </rPh>
    <rPh sb="5" eb="6">
      <t>オモ</t>
    </rPh>
    <rPh sb="7" eb="8">
      <t>ブン</t>
    </rPh>
    <rPh sb="8" eb="9">
      <t>アツカ</t>
    </rPh>
    <rPh sb="14" eb="16">
      <t>イリョク</t>
    </rPh>
    <rPh sb="17" eb="18">
      <t>タカ</t>
    </rPh>
    <phoneticPr fontId="2"/>
  </si>
  <si>
    <t>ロングソード</t>
  </si>
  <si>
    <t>全力時の威力が高い。 回避性能にペナルティがある。 命中性能にペナルティがある。 切断に優れる。</t>
  </si>
  <si>
    <t>大剣。非常に重いが攻撃力が高い武器。</t>
  </si>
  <si>
    <t>幅の広い剣。扱いにくいが攻撃と防御にも優れている。状況に合わせて立ち回ろう。</t>
    <rPh sb="0" eb="1">
      <t>ハバ</t>
    </rPh>
    <rPh sb="2" eb="3">
      <t>ヒロ</t>
    </rPh>
    <rPh sb="4" eb="5">
      <t>ケン</t>
    </rPh>
    <rPh sb="6" eb="7">
      <t>アツカ</t>
    </rPh>
    <rPh sb="19" eb="20">
      <t>スグ</t>
    </rPh>
    <rPh sb="25" eb="27">
      <t>ジョウキョウ</t>
    </rPh>
    <rPh sb="28" eb="29">
      <t>ア</t>
    </rPh>
    <rPh sb="32" eb="33">
      <t>タ</t>
    </rPh>
    <rPh sb="34" eb="35">
      <t>マワ</t>
    </rPh>
    <phoneticPr fontId="2"/>
  </si>
  <si>
    <t>ブロードソード</t>
  </si>
  <si>
    <t>長剣。広剣よりリーチが長く、扱いに熟練が必要。</t>
  </si>
  <si>
    <t>剣。短い剣で片手で扱いやすく、初心者向けの武器。</t>
    <phoneticPr fontId="2"/>
  </si>
  <si>
    <t>ソード</t>
    <phoneticPr fontId="2"/>
  </si>
  <si>
    <t>広剣。標準的な剣で、攻撃と防御のバランスが良い。</t>
  </si>
  <si>
    <t>皮×2、鉱石×3</t>
  </si>
  <si>
    <t>短剣。軽量で扱いやすい暗殺用の武器。</t>
  </si>
  <si>
    <t>暗殺強化,片手適正Ⅱ</t>
    <rPh sb="0" eb="2">
      <t>アンサツ</t>
    </rPh>
    <rPh sb="2" eb="4">
      <t>キョウカ</t>
    </rPh>
    <phoneticPr fontId="2"/>
  </si>
  <si>
    <t>ダガー</t>
  </si>
  <si>
    <t>短剣</t>
  </si>
  <si>
    <t>切断に優れる。</t>
  </si>
  <si>
    <t>ショートソード</t>
  </si>
  <si>
    <t>剣。短い剣で片手で扱いやすく、初心者向けの武器。</t>
  </si>
  <si>
    <t>切断と貫通に優れている。</t>
  </si>
  <si>
    <t>斬馬刀</t>
  </si>
  <si>
    <t>木材×4、鉱石×5</t>
  </si>
  <si>
    <t>斬馬刀。重く巨大な刀で、攻撃力は高いが動きが鈍くなる。</t>
    <rPh sb="9" eb="10">
      <t>カタナ</t>
    </rPh>
    <phoneticPr fontId="2"/>
  </si>
  <si>
    <t>ザンバトウ</t>
  </si>
  <si>
    <t>斬馬刀。重く巨大な武器で、攻撃力は高いが動きが鈍くなる。</t>
  </si>
  <si>
    <t>太刀</t>
  </si>
  <si>
    <t>太刀。刀より長く、威力とCr威力が高いが重く使いにくい。</t>
    <rPh sb="9" eb="11">
      <t>イリョク</t>
    </rPh>
    <rPh sb="17" eb="18">
      <t>タカ</t>
    </rPh>
    <rPh sb="20" eb="21">
      <t>オモ</t>
    </rPh>
    <rPh sb="22" eb="23">
      <t>ツカ</t>
    </rPh>
    <phoneticPr fontId="2"/>
  </si>
  <si>
    <t>タチ</t>
  </si>
  <si>
    <t>太刀。刀より長く、大きな攻撃力を誇るが操作がやや難しい。</t>
  </si>
  <si>
    <t>刀。切断力に優れた武器で、Cr威力が高い</t>
    <phoneticPr fontId="2"/>
  </si>
  <si>
    <t>カタナ</t>
  </si>
  <si>
    <t>刀。切断力に優れた武器で、使い手次第で強力なダメージを与えられる。</t>
  </si>
  <si>
    <t>小太刀</t>
  </si>
  <si>
    <t>皮×2、木材×3</t>
  </si>
  <si>
    <t>小太刀。片手で扱いやすいバランスの取れた剣。切断とCr威力が高い</t>
    <rPh sb="22" eb="24">
      <t>セツダン</t>
    </rPh>
    <phoneticPr fontId="2"/>
  </si>
  <si>
    <t>コダチ</t>
  </si>
  <si>
    <t>クリティカル威力が高い。 切断に優れる。</t>
  </si>
  <si>
    <t>小太刀。片手で扱いやすいバランスの取れた剣。</t>
  </si>
  <si>
    <t>忍者刀</t>
  </si>
  <si>
    <t>皮×3、糸×3</t>
  </si>
  <si>
    <t>忍者刀。忍者が用いる軽量な剣で、貫通とCr威力が高い。</t>
    <phoneticPr fontId="2"/>
  </si>
  <si>
    <t>ニンジャソード</t>
  </si>
  <si>
    <t>クリティカル威力が高い。 貫通に優れる。</t>
  </si>
  <si>
    <t>忍者刀。忍者が用いる軽量な剣で、高い回避性能を持つ。</t>
  </si>
  <si>
    <t>苦無</t>
  </si>
  <si>
    <t>皮×2、糸×2</t>
  </si>
  <si>
    <t>苦無。投擲向きの武器で、暗殺や遠距離攻撃に有効。Cr威力が高い</t>
    <rPh sb="5" eb="6">
      <t>ム</t>
    </rPh>
    <phoneticPr fontId="2"/>
  </si>
  <si>
    <t>暗殺強化,投擲強化,片手適正Ⅱ</t>
    <rPh sb="5" eb="7">
      <t>トウテキ</t>
    </rPh>
    <rPh sb="7" eb="9">
      <t>キョウカ</t>
    </rPh>
    <phoneticPr fontId="2"/>
  </si>
  <si>
    <t>クナイ</t>
  </si>
  <si>
    <t>苦無。投擲可能な武器で、暗殺や遠距離攻撃に有効。</t>
  </si>
  <si>
    <t>脇差</t>
  </si>
  <si>
    <t>皮×2、鉱石×4</t>
  </si>
  <si>
    <t>脇差。軽く扱いやすい片手用の武器。Cr威力が高い</t>
    <phoneticPr fontId="2"/>
  </si>
  <si>
    <t>片手適正Ⅱ</t>
    <rPh sb="0" eb="2">
      <t>カタテ</t>
    </rPh>
    <rPh sb="2" eb="4">
      <t>テキセイ</t>
    </rPh>
    <phoneticPr fontId="2"/>
  </si>
  <si>
    <t>ワキザシ</t>
  </si>
  <si>
    <t>脇差。軽く扱いやすい片手用の武器。</t>
  </si>
  <si>
    <t>ワキザシ</t>
    <phoneticPr fontId="2"/>
  </si>
  <si>
    <t>短刀。暗殺向けの武器で、軽量かつ片手操作に適する。Cr威力が高い</t>
    <rPh sb="27" eb="29">
      <t>イリョク</t>
    </rPh>
    <rPh sb="30" eb="31">
      <t>タカ</t>
    </rPh>
    <phoneticPr fontId="2"/>
  </si>
  <si>
    <t>ナイフ</t>
  </si>
  <si>
    <t>短刀。暗殺向けの武器で、軽量かつ片手操作に適する。</t>
  </si>
  <si>
    <t>特徴</t>
  </si>
  <si>
    <t>武器名</t>
  </si>
  <si>
    <t>説明</t>
  </si>
  <si>
    <t>軽装*1,中装*3,重装*5</t>
  </si>
  <si>
    <t>鉱石</t>
  </si>
  <si>
    <t>合計</t>
    <rPh sb="0" eb="2">
      <t>ゴウケイ</t>
    </rPh>
    <phoneticPr fontId="2"/>
  </si>
  <si>
    <t>全力</t>
    <rPh sb="0" eb="2">
      <t>ゼンリョク</t>
    </rPh>
    <phoneticPr fontId="2"/>
  </si>
  <si>
    <t>基礎値</t>
    <rPh sb="0" eb="3">
      <t>キソチ</t>
    </rPh>
    <phoneticPr fontId="2"/>
  </si>
  <si>
    <t>計算</t>
    <rPh sb="0" eb="2">
      <t>ケイサン</t>
    </rPh>
    <phoneticPr fontId="2"/>
  </si>
  <si>
    <t>サブ素材</t>
    <rPh sb="2" eb="4">
      <t>ソザイ</t>
    </rPh>
    <phoneticPr fontId="2"/>
  </si>
  <si>
    <t>効果</t>
    <rPh sb="0" eb="2">
      <t>コウカ</t>
    </rPh>
    <phoneticPr fontId="2"/>
  </si>
  <si>
    <t>最低ダメージ</t>
  </si>
  <si>
    <t>呪いを帯びた骨。武器に使用すると攻撃に呪い効果が追加され、防具に使用すると呪い耐性が強化される。</t>
  </si>
  <si>
    <t>骨</t>
  </si>
  <si>
    <t>呪い耐性強化</t>
  </si>
  <si>
    <t>呪い強化</t>
  </si>
  <si>
    <t>呪い</t>
  </si>
  <si>
    <t>カースドボーン</t>
  </si>
  <si>
    <t>呪骨</t>
  </si>
  <si>
    <t>幻覚の力を持つ素材。武器に使用すると攻撃に幻覚を誘発し、防具に使用すると幻覚耐性が強化される。</t>
  </si>
  <si>
    <t>幻覚付加</t>
  </si>
  <si>
    <t>幻覚</t>
  </si>
  <si>
    <t>ミラージュボーン</t>
  </si>
  <si>
    <t>幻骨</t>
  </si>
  <si>
    <t>特殊な暗闇効果を持つ骨。武器に使用すると攻撃に暗闇効果が追加され、防具に使用すると盲目耐性が付加される。</t>
  </si>
  <si>
    <t>暗闇付加</t>
  </si>
  <si>
    <t>盲目</t>
  </si>
  <si>
    <t>ブラインドボーン</t>
  </si>
  <si>
    <t>盲目の骨</t>
  </si>
  <si>
    <t>不死者の骨。武器に使用すると不死者への打撃が強化され、防具に使用すると悪への耐性が付加される。</t>
  </si>
  <si>
    <t>悪耐性強化</t>
  </si>
  <si>
    <t>不死打撃</t>
  </si>
  <si>
    <t>悪</t>
  </si>
  <si>
    <t>ゴーストボーン</t>
  </si>
  <si>
    <t>亡者骨</t>
  </si>
  <si>
    <t>竜の骨から作られた素材。竜に対する攻撃力が高まり、竜からの攻撃を軽減する効果を持つ。</t>
  </si>
  <si>
    <t>竜耐性強化</t>
  </si>
  <si>
    <t>竜撃強化</t>
  </si>
  <si>
    <t>古の力</t>
  </si>
  <si>
    <t>龍骨</t>
  </si>
  <si>
    <t>金額</t>
  </si>
  <si>
    <t>防具能力</t>
  </si>
  <si>
    <t>武器能力</t>
  </si>
  <si>
    <t>属性値</t>
  </si>
  <si>
    <t>属性</t>
  </si>
  <si>
    <t>重さ</t>
  </si>
  <si>
    <t>Lv</t>
  </si>
  <si>
    <t>3. 骨（ボーン）素材例</t>
  </si>
  <si>
    <t>月光を浴びて育った木材で、闇の力に影響されやすい。武器に使用すると攻撃に闇属性が付加され、防具に使用すると闇耐性が強化される。</t>
  </si>
  <si>
    <t>木材</t>
  </si>
  <si>
    <t>闇耐性強化</t>
  </si>
  <si>
    <t>闇の刃</t>
  </si>
  <si>
    <t>闇</t>
  </si>
  <si>
    <t>ムーンシャドーウッド</t>
  </si>
  <si>
    <t>月影木</t>
  </si>
  <si>
    <t>精神的なエネルギーを吸収する木材。武器に使用すると精神的耐性が上昇、防具に使用すると精神耐性がさらに強化される。</t>
  </si>
  <si>
    <t>精神耐性強化</t>
  </si>
  <si>
    <t>スピリットウッド</t>
  </si>
  <si>
    <t>亡霊樹</t>
  </si>
  <si>
    <t>神聖な力を持つ木材。武器として使用すると善属性が付加され、防具に使用すると呪いへの耐性が強化される。</t>
  </si>
  <si>
    <t>正の加護</t>
  </si>
  <si>
    <t>善</t>
  </si>
  <si>
    <t>セイクリッドウッド</t>
  </si>
  <si>
    <t>聖木</t>
  </si>
  <si>
    <t>雷を引き寄せる性質がある木材。武器に使用すると電撃属性を付加し、防具に使用すると雷耐性が強化される。</t>
  </si>
  <si>
    <t>電撃耐性</t>
  </si>
  <si>
    <t>電撃効果</t>
  </si>
  <si>
    <t>雷</t>
  </si>
  <si>
    <t>サンダーウッド</t>
  </si>
  <si>
    <t>雷樹</t>
  </si>
  <si>
    <t>音を増幅させる性質を持つ木材。武器に使用すると音波効果を付加し、防具に使用すると音耐性が強化される。</t>
  </si>
  <si>
    <t>音波増幅</t>
  </si>
  <si>
    <t>音</t>
  </si>
  <si>
    <t>ソニックウッド</t>
  </si>
  <si>
    <t>音響樹</t>
  </si>
  <si>
    <t>ブラックウッドコア</t>
    <phoneticPr fontId="2"/>
  </si>
  <si>
    <t>黒の芯木</t>
    <rPh sb="0" eb="1">
      <t>クロ</t>
    </rPh>
    <rPh sb="2" eb="3">
      <t>シン</t>
    </rPh>
    <rPh sb="3" eb="4">
      <t>キ</t>
    </rPh>
    <phoneticPr fontId="2"/>
  </si>
  <si>
    <t>ブラックウッド</t>
    <phoneticPr fontId="2"/>
  </si>
  <si>
    <t>黒の木</t>
    <rPh sb="0" eb="1">
      <t>クロ</t>
    </rPh>
    <rPh sb="2" eb="3">
      <t>キ</t>
    </rPh>
    <phoneticPr fontId="2"/>
  </si>
  <si>
    <t>一般的な木材。金属より軽いが少し脆い</t>
    <rPh sb="0" eb="3">
      <t>イッパンテキ</t>
    </rPh>
    <rPh sb="7" eb="9">
      <t>キンゾク</t>
    </rPh>
    <rPh sb="11" eb="12">
      <t>カル</t>
    </rPh>
    <rPh sb="14" eb="15">
      <t>スコ</t>
    </rPh>
    <rPh sb="16" eb="17">
      <t>モロ</t>
    </rPh>
    <phoneticPr fontId="2"/>
  </si>
  <si>
    <t>ウッド</t>
    <phoneticPr fontId="2"/>
  </si>
  <si>
    <t>物理</t>
    <rPh sb="0" eb="2">
      <t>ブツリ</t>
    </rPh>
    <phoneticPr fontId="2"/>
  </si>
  <si>
    <t>2. 木材（ウッド）素材例</t>
  </si>
  <si>
    <t>酸性の体液を持つドラゴン型生物から採取される鱗素材。特殊な酸属性耐性を提供し、毒性や腐食性のある環境に適した防具の製作に適しています。</t>
  </si>
  <si>
    <t>鱗</t>
  </si>
  <si>
    <t>アシッドドレイクスケール</t>
  </si>
  <si>
    <t>酸蜥蜴の鱗</t>
  </si>
  <si>
    <t>雷属性を持つドラゴン型生物から採取される鱗素材。雷属性攻撃への耐性を強化し、武器の電撃効果を高めることも可能です。</t>
  </si>
  <si>
    <t>サンダードレイクスケール</t>
  </si>
  <si>
    <t>氷属性を持つドラゴン型生物から採取される鱗素材。極寒の環境や冷気攻撃への対策として優れた性能を発揮します。</t>
  </si>
  <si>
    <t>氷</t>
  </si>
  <si>
    <t>アイスドレイクスケール</t>
  </si>
  <si>
    <t>炎属性を持つドラゴン型生物から採取される鱗素材。強力な炎属性防御を備えており、耐熱性が求められる場面で特に有用です。</t>
  </si>
  <si>
    <t>炎</t>
  </si>
  <si>
    <t>ファイアドレイクスケール</t>
  </si>
  <si>
    <t>魔力を帯びた特殊な皮素材。魔法防御や属性耐性を強化する効果があり、高レベルの冒険者に重宝されます。</t>
  </si>
  <si>
    <t>皮</t>
  </si>
  <si>
    <t>魔法</t>
  </si>
  <si>
    <t>マジックレザー</t>
  </si>
  <si>
    <t>高品質な加工を施した軽量の皮素材。軽量化により動きやすさを確保しつつ、適度な防御力を提供します。</t>
  </si>
  <si>
    <t>ライトレザー</t>
  </si>
  <si>
    <t>野生動物から得られる丈夫な皮素材。皮装備の性能を向上させ、基本的な防護性能を備えています。</t>
  </si>
  <si>
    <t>ビーストレザー</t>
  </si>
  <si>
    <t>獣皮</t>
  </si>
  <si>
    <t>一般的な皮素材で、防具や軽量装備の材料として最適です。耐久性は高くありませんが、軽量で扱いやすい点が特徴です。</t>
  </si>
  <si>
    <t>レザー</t>
  </si>
  <si>
    <t>物理</t>
  </si>
  <si>
    <t>重さ/全力</t>
  </si>
  <si>
    <t>ブラックメタル</t>
    <phoneticPr fontId="2"/>
  </si>
  <si>
    <t>黒鋼</t>
    <phoneticPr fontId="2"/>
  </si>
  <si>
    <t>魔法</t>
    <rPh sb="0" eb="2">
      <t>マホウ</t>
    </rPh>
    <phoneticPr fontId="2"/>
  </si>
  <si>
    <t>ゴールドメタル</t>
    <phoneticPr fontId="2"/>
  </si>
  <si>
    <t>シルバーメタル</t>
    <phoneticPr fontId="2"/>
  </si>
  <si>
    <t>アダマンタイト</t>
    <phoneticPr fontId="2"/>
  </si>
  <si>
    <t>オリハルコン</t>
    <phoneticPr fontId="2"/>
  </si>
  <si>
    <t>ミスリル</t>
    <phoneticPr fontId="2"/>
  </si>
  <si>
    <t>銀鉄</t>
    <phoneticPr fontId="2"/>
  </si>
  <si>
    <t>水晶</t>
    <rPh sb="0" eb="2">
      <t>スイショウ</t>
    </rPh>
    <phoneticPr fontId="2"/>
  </si>
  <si>
    <t>武器透明化</t>
    <rPh sb="0" eb="2">
      <t>ブキ</t>
    </rPh>
    <rPh sb="2" eb="5">
      <t>トウメイカ</t>
    </rPh>
    <phoneticPr fontId="2"/>
  </si>
  <si>
    <t>光</t>
    <phoneticPr fontId="2"/>
  </si>
  <si>
    <t>クリスタル</t>
    <phoneticPr fontId="2"/>
  </si>
  <si>
    <t>明細水晶</t>
    <rPh sb="0" eb="2">
      <t>メイサイ</t>
    </rPh>
    <rPh sb="2" eb="4">
      <t>スイショウ</t>
    </rPh>
    <phoneticPr fontId="2"/>
  </si>
  <si>
    <t>悪</t>
    <phoneticPr fontId="2"/>
  </si>
  <si>
    <t>エルスタリン</t>
  </si>
  <si>
    <t>悪の鉄</t>
  </si>
  <si>
    <t>善</t>
    <phoneticPr fontId="2"/>
  </si>
  <si>
    <t>フリスタリン</t>
  </si>
  <si>
    <t>善の鉄</t>
  </si>
  <si>
    <t>セレン</t>
  </si>
  <si>
    <t>幽鉄</t>
  </si>
  <si>
    <t>水晶と鉄が融合した素材。武器に使用すると魔法効果が高まり、防具に使用すると魔法防御力が強化される。</t>
  </si>
  <si>
    <t>魔法防御強化</t>
  </si>
  <si>
    <t>魔力伝導性向上</t>
  </si>
  <si>
    <t>クリスタルスティール</t>
  </si>
  <si>
    <t>水晶鉄</t>
  </si>
  <si>
    <t>ネロスティール</t>
  </si>
  <si>
    <t>滅鉄柱</t>
  </si>
  <si>
    <t>炎</t>
    <rPh sb="0" eb="1">
      <t>ホノオ</t>
    </rPh>
    <phoneticPr fontId="2"/>
  </si>
  <si>
    <t>ヒートスティール</t>
  </si>
  <si>
    <t>氷</t>
    <rPh sb="0" eb="1">
      <t>コオリ</t>
    </rPh>
    <phoneticPr fontId="2"/>
  </si>
  <si>
    <t>ドゥララン</t>
  </si>
  <si>
    <t>雷</t>
    <rPh sb="0" eb="1">
      <t>イカズチ</t>
    </rPh>
    <phoneticPr fontId="2"/>
  </si>
  <si>
    <t>ブラックスティール</t>
  </si>
  <si>
    <t>能力:深い水晶開放[HPを20消費して武器の威力+25]、深い水晶内包[HPを20消費して物理軽減+25上昇]</t>
    <rPh sb="0" eb="2">
      <t>ノウリョク</t>
    </rPh>
    <rPh sb="3" eb="4">
      <t>フカ</t>
    </rPh>
    <rPh sb="5" eb="7">
      <t>スイショウ</t>
    </rPh>
    <rPh sb="7" eb="9">
      <t>カイホウ</t>
    </rPh>
    <rPh sb="15" eb="17">
      <t>ショウヒ</t>
    </rPh>
    <rPh sb="19" eb="21">
      <t>ブキ</t>
    </rPh>
    <rPh sb="22" eb="24">
      <t>イリョク</t>
    </rPh>
    <rPh sb="41" eb="43">
      <t>ショウヒ</t>
    </rPh>
    <rPh sb="45" eb="47">
      <t>ブツリ</t>
    </rPh>
    <rPh sb="47" eb="49">
      <t>ケイゲン</t>
    </rPh>
    <rPh sb="52" eb="54">
      <t>ジョウショウ</t>
    </rPh>
    <phoneticPr fontId="2"/>
  </si>
  <si>
    <t>深い水晶内包</t>
    <rPh sb="4" eb="6">
      <t>ナイホウ</t>
    </rPh>
    <phoneticPr fontId="2"/>
  </si>
  <si>
    <t>深い水晶開放</t>
  </si>
  <si>
    <t>ディープクリスタル</t>
  </si>
  <si>
    <t>深い水晶</t>
  </si>
  <si>
    <t>鍛えられた鉄。硬度が高く安価なためよく使用される。</t>
    <rPh sb="0" eb="1">
      <t>キタ</t>
    </rPh>
    <rPh sb="5" eb="6">
      <t>テツ</t>
    </rPh>
    <rPh sb="7" eb="9">
      <t>コウド</t>
    </rPh>
    <rPh sb="10" eb="11">
      <t>タカ</t>
    </rPh>
    <rPh sb="12" eb="14">
      <t>アンカ</t>
    </rPh>
    <rPh sb="19" eb="21">
      <t>シヨウ</t>
    </rPh>
    <phoneticPr fontId="2"/>
  </si>
  <si>
    <t>スチール</t>
  </si>
  <si>
    <t>鋼</t>
  </si>
  <si>
    <t>一般的な鉄。量産品を作るのに使用されることが多い</t>
    <rPh sb="0" eb="3">
      <t>イッパンテキ</t>
    </rPh>
    <rPh sb="4" eb="5">
      <t>テツ</t>
    </rPh>
    <rPh sb="6" eb="9">
      <t>リョウサンヒン</t>
    </rPh>
    <rPh sb="10" eb="11">
      <t>ツク</t>
    </rPh>
    <rPh sb="14" eb="16">
      <t>シヨウ</t>
    </rPh>
    <rPh sb="22" eb="23">
      <t>オオ</t>
    </rPh>
    <phoneticPr fontId="2"/>
  </si>
  <si>
    <t>鉱石</t>
    <rPh sb="0" eb="2">
      <t>コウセキ</t>
    </rPh>
    <phoneticPr fontId="2"/>
  </si>
  <si>
    <t>アイアン</t>
    <phoneticPr fontId="2"/>
  </si>
  <si>
    <t>最高位の魔法文字を書くのに使用される。貴金属では最も高価値</t>
    <rPh sb="0" eb="3">
      <t>サイコウイ</t>
    </rPh>
    <rPh sb="4" eb="8">
      <t>マホウモジ</t>
    </rPh>
    <rPh sb="9" eb="10">
      <t>カ</t>
    </rPh>
    <rPh sb="13" eb="15">
      <t>シヨウ</t>
    </rPh>
    <rPh sb="19" eb="22">
      <t>キキンゾク</t>
    </rPh>
    <rPh sb="24" eb="25">
      <t>モット</t>
    </rPh>
    <rPh sb="26" eb="29">
      <t>コウカチ</t>
    </rPh>
    <phoneticPr fontId="2"/>
  </si>
  <si>
    <t>プラチナ</t>
  </si>
  <si>
    <t>白金</t>
  </si>
  <si>
    <t>魔法文字を書くのに使用させる。金銭的価値が非常に高い</t>
    <rPh sb="0" eb="2">
      <t>マホウ</t>
    </rPh>
    <rPh sb="2" eb="4">
      <t>モジ</t>
    </rPh>
    <rPh sb="5" eb="6">
      <t>カ</t>
    </rPh>
    <rPh sb="9" eb="11">
      <t>シヨウ</t>
    </rPh>
    <rPh sb="15" eb="18">
      <t>キンセンテキ</t>
    </rPh>
    <rPh sb="18" eb="20">
      <t>カチ</t>
    </rPh>
    <rPh sb="21" eb="23">
      <t>ヒジョウ</t>
    </rPh>
    <rPh sb="24" eb="25">
      <t>タカ</t>
    </rPh>
    <phoneticPr fontId="2"/>
  </si>
  <si>
    <t>ゴールド</t>
  </si>
  <si>
    <t>金</t>
  </si>
  <si>
    <t>魔道具を作るのに使用される。価値はそれなり</t>
    <rPh sb="0" eb="3">
      <t>マドウグ</t>
    </rPh>
    <rPh sb="4" eb="5">
      <t>ツク</t>
    </rPh>
    <rPh sb="8" eb="10">
      <t>シヨウ</t>
    </rPh>
    <rPh sb="14" eb="16">
      <t>カチ</t>
    </rPh>
    <phoneticPr fontId="2"/>
  </si>
  <si>
    <t>シルバー</t>
  </si>
  <si>
    <t>銀</t>
  </si>
  <si>
    <t>低価値、利用頻度は高くよく取れる</t>
    <rPh sb="0" eb="3">
      <t>テイカチ</t>
    </rPh>
    <rPh sb="4" eb="8">
      <t>リヨウヒンド</t>
    </rPh>
    <rPh sb="9" eb="10">
      <t>タカ</t>
    </rPh>
    <rPh sb="13" eb="14">
      <t>ト</t>
    </rPh>
    <phoneticPr fontId="2"/>
  </si>
  <si>
    <t>カッパー</t>
  </si>
  <si>
    <t>銅</t>
  </si>
  <si>
    <t>鉱石鱗木材骨皮布糸
宝石液体</t>
    <phoneticPr fontId="2"/>
  </si>
  <si>
    <t>体装備のときだけ付与</t>
    <rPh sb="0" eb="1">
      <t>カラダ</t>
    </rPh>
    <rPh sb="1" eb="3">
      <t>ソウビ</t>
    </rPh>
    <rPh sb="8" eb="10">
      <t>フヨ</t>
    </rPh>
    <phoneticPr fontId="2"/>
  </si>
  <si>
    <t>一定より大きい武器にしたときのみ付与</t>
    <rPh sb="0" eb="2">
      <t>イッテイ</t>
    </rPh>
    <rPh sb="4" eb="5">
      <t>オオ</t>
    </rPh>
    <rPh sb="7" eb="9">
      <t>ブキ</t>
    </rPh>
    <rPh sb="16" eb="18">
      <t>フヨ</t>
    </rPh>
    <phoneticPr fontId="2"/>
  </si>
  <si>
    <t>元金額</t>
    <rPh sb="0" eb="1">
      <t>モト</t>
    </rPh>
    <rPh sb="1" eb="3">
      <t>キンガク</t>
    </rPh>
    <phoneticPr fontId="2"/>
  </si>
  <si>
    <t>防具能力</t>
    <rPh sb="0" eb="2">
      <t>ボウグ</t>
    </rPh>
    <rPh sb="2" eb="4">
      <t>ノウリョク</t>
    </rPh>
    <phoneticPr fontId="2"/>
  </si>
  <si>
    <t>武器能力</t>
    <rPh sb="0" eb="2">
      <t>ブキ</t>
    </rPh>
    <rPh sb="2" eb="4">
      <t>ノウリョク</t>
    </rPh>
    <phoneticPr fontId="2"/>
  </si>
  <si>
    <t>Cr威力</t>
    <rPh sb="2" eb="4">
      <t>イリョク</t>
    </rPh>
    <phoneticPr fontId="2"/>
  </si>
  <si>
    <t>Cr率</t>
    <rPh sb="2" eb="3">
      <t>リツ</t>
    </rPh>
    <phoneticPr fontId="2"/>
  </si>
  <si>
    <t>重さ/全力</t>
    <rPh sb="0" eb="1">
      <t>オモ</t>
    </rPh>
    <rPh sb="3" eb="5">
      <t>ゼンリョク</t>
    </rPh>
    <phoneticPr fontId="2"/>
  </si>
  <si>
    <t>英名</t>
    <rPh sb="0" eb="2">
      <t>エイメイ</t>
    </rPh>
    <phoneticPr fontId="2"/>
  </si>
  <si>
    <t>名前</t>
    <rPh sb="0" eb="2">
      <t>ナマエ</t>
    </rPh>
    <phoneticPr fontId="2"/>
  </si>
  <si>
    <t>耐酸の外套</t>
  </si>
  <si>
    <t>耐雷の外套</t>
  </si>
  <si>
    <t>耐氷の外套</t>
  </si>
  <si>
    <t>耐炎の外套</t>
  </si>
  <si>
    <t>影の外套</t>
  </si>
  <si>
    <t>熱鉄の靴</t>
  </si>
  <si>
    <t>魔獣皮の胴衣</t>
  </si>
  <si>
    <t>魔獣皮の鎧</t>
  </si>
  <si>
    <t>魔獣皮の法衣</t>
  </si>
  <si>
    <t>魔獣皮の衣布</t>
  </si>
  <si>
    <t>熱鉄の胴衣</t>
  </si>
  <si>
    <t>熱鉄の鎧</t>
  </si>
  <si>
    <t>熱鉄の兜</t>
  </si>
  <si>
    <t>熱鉄の盾</t>
  </si>
  <si>
    <t>熱鉄の短弓</t>
    <rPh sb="3" eb="4">
      <t>タン</t>
    </rPh>
    <rPh sb="4" eb="5">
      <t>ユミ</t>
    </rPh>
    <phoneticPr fontId="2"/>
  </si>
  <si>
    <t>熱鉄の棍棒</t>
  </si>
  <si>
    <t>熱鉄の槍</t>
  </si>
  <si>
    <t>熱鉄の剣</t>
  </si>
  <si>
    <t>熱鉄の短刀</t>
  </si>
  <si>
    <t>鋼の靴</t>
  </si>
  <si>
    <t>鋼の胴衣</t>
  </si>
  <si>
    <t>鋼の鎧</t>
  </si>
  <si>
    <t>鋼の兜</t>
  </si>
  <si>
    <t>鋼の面兜</t>
    <phoneticPr fontId="2"/>
  </si>
  <si>
    <t>鋼の棘棍</t>
  </si>
  <si>
    <t>鋼の戦棍</t>
  </si>
  <si>
    <t>鋼の槍</t>
  </si>
  <si>
    <t>鋼の細剣</t>
  </si>
  <si>
    <t>鋼の長剣</t>
  </si>
  <si>
    <t>鋼の広剣</t>
  </si>
  <si>
    <t>鋼の剣</t>
  </si>
  <si>
    <t>鋼の短刀</t>
  </si>
  <si>
    <t>熊の帯</t>
  </si>
  <si>
    <t>獅子の帯</t>
  </si>
  <si>
    <t>大樹の帯</t>
  </si>
  <si>
    <t>猪の帯</t>
  </si>
  <si>
    <t>蟻の帯</t>
  </si>
  <si>
    <t>樹の帯</t>
    <phoneticPr fontId="2"/>
  </si>
  <si>
    <t>鉄の靴</t>
  </si>
  <si>
    <t>獣皮の胴衣</t>
  </si>
  <si>
    <t>獣皮の鎧</t>
  </si>
  <si>
    <t>獣皮の法衣</t>
  </si>
  <si>
    <t>獣皮の衣布</t>
  </si>
  <si>
    <t>皮の胴衣</t>
  </si>
  <si>
    <t>皮の鎧</t>
  </si>
  <si>
    <t>皮の法衣</t>
  </si>
  <si>
    <t>皮の衣布</t>
  </si>
  <si>
    <t>鉄の胴衣</t>
  </si>
  <si>
    <t>鉄の鎧</t>
  </si>
  <si>
    <t>鉄の兜</t>
  </si>
  <si>
    <t>鉄の盾</t>
  </si>
  <si>
    <t>鉄の短弓</t>
    <rPh sb="2" eb="3">
      <t>タン</t>
    </rPh>
    <rPh sb="3" eb="4">
      <t>ユミ</t>
    </rPh>
    <phoneticPr fontId="2"/>
  </si>
  <si>
    <t>鉄の棍棒</t>
  </si>
  <si>
    <t>鉄の槍</t>
  </si>
  <si>
    <t>鉄の剣</t>
  </si>
  <si>
    <t>鉄の短刀</t>
  </si>
  <si>
    <t>商品46</t>
    <rPh sb="0" eb="2">
      <t>ショウヒン</t>
    </rPh>
    <phoneticPr fontId="2"/>
  </si>
  <si>
    <t>商品45</t>
    <rPh sb="0" eb="2">
      <t>ショウヒン</t>
    </rPh>
    <phoneticPr fontId="2"/>
  </si>
  <si>
    <t>商品44</t>
    <rPh sb="0" eb="2">
      <t>ショウヒン</t>
    </rPh>
    <phoneticPr fontId="2"/>
  </si>
  <si>
    <t>商品43</t>
    <rPh sb="0" eb="2">
      <t>ショウヒン</t>
    </rPh>
    <phoneticPr fontId="2"/>
  </si>
  <si>
    <t>商品42</t>
    <rPh sb="0" eb="2">
      <t>ショウヒン</t>
    </rPh>
    <phoneticPr fontId="2"/>
  </si>
  <si>
    <t>商品41</t>
    <rPh sb="0" eb="2">
      <t>ショウヒン</t>
    </rPh>
    <phoneticPr fontId="2"/>
  </si>
  <si>
    <t>商品40</t>
    <rPh sb="0" eb="2">
      <t>ショウヒン</t>
    </rPh>
    <phoneticPr fontId="2"/>
  </si>
  <si>
    <t>商品39</t>
    <rPh sb="0" eb="2">
      <t>ショウヒン</t>
    </rPh>
    <phoneticPr fontId="2"/>
  </si>
  <si>
    <t>商品38</t>
    <rPh sb="0" eb="2">
      <t>ショウヒン</t>
    </rPh>
    <phoneticPr fontId="2"/>
  </si>
  <si>
    <t>商品37</t>
    <rPh sb="0" eb="2">
      <t>ショウヒン</t>
    </rPh>
    <phoneticPr fontId="2"/>
  </si>
  <si>
    <t>商品36</t>
    <rPh sb="0" eb="2">
      <t>ショウヒン</t>
    </rPh>
    <phoneticPr fontId="2"/>
  </si>
  <si>
    <t>商品35</t>
    <rPh sb="0" eb="2">
      <t>ショウヒン</t>
    </rPh>
    <phoneticPr fontId="2"/>
  </si>
  <si>
    <t>商品34</t>
    <rPh sb="0" eb="2">
      <t>ショウヒン</t>
    </rPh>
    <phoneticPr fontId="2"/>
  </si>
  <si>
    <t>商品33</t>
    <rPh sb="0" eb="2">
      <t>ショウヒン</t>
    </rPh>
    <phoneticPr fontId="2"/>
  </si>
  <si>
    <t>商品32</t>
    <rPh sb="0" eb="2">
      <t>ショウヒン</t>
    </rPh>
    <phoneticPr fontId="2"/>
  </si>
  <si>
    <t>商品31</t>
    <rPh sb="0" eb="2">
      <t>ショウヒン</t>
    </rPh>
    <phoneticPr fontId="2"/>
  </si>
  <si>
    <t>商品30</t>
    <rPh sb="0" eb="2">
      <t>ショウヒン</t>
    </rPh>
    <phoneticPr fontId="2"/>
  </si>
  <si>
    <t>商品29</t>
    <rPh sb="0" eb="2">
      <t>ショウヒン</t>
    </rPh>
    <phoneticPr fontId="2"/>
  </si>
  <si>
    <t>商品28</t>
    <rPh sb="0" eb="2">
      <t>ショウヒン</t>
    </rPh>
    <phoneticPr fontId="2"/>
  </si>
  <si>
    <t>商品27</t>
    <rPh sb="0" eb="2">
      <t>ショウヒン</t>
    </rPh>
    <phoneticPr fontId="2"/>
  </si>
  <si>
    <t>商品26</t>
    <rPh sb="0" eb="2">
      <t>ショウヒン</t>
    </rPh>
    <phoneticPr fontId="2"/>
  </si>
  <si>
    <t>商品25</t>
    <rPh sb="0" eb="2">
      <t>ショウヒン</t>
    </rPh>
    <phoneticPr fontId="2"/>
  </si>
  <si>
    <t>商品24</t>
    <rPh sb="0" eb="2">
      <t>ショウヒン</t>
    </rPh>
    <phoneticPr fontId="2"/>
  </si>
  <si>
    <t>商品23</t>
    <rPh sb="0" eb="2">
      <t>ショウヒン</t>
    </rPh>
    <phoneticPr fontId="2"/>
  </si>
  <si>
    <t>商品22</t>
    <rPh sb="0" eb="2">
      <t>ショウヒン</t>
    </rPh>
    <phoneticPr fontId="2"/>
  </si>
  <si>
    <t>商品21</t>
    <rPh sb="0" eb="2">
      <t>ショウヒン</t>
    </rPh>
    <phoneticPr fontId="2"/>
  </si>
  <si>
    <t>商品20</t>
    <rPh sb="0" eb="2">
      <t>ショウヒン</t>
    </rPh>
    <phoneticPr fontId="2"/>
  </si>
  <si>
    <t>商品19</t>
    <rPh sb="0" eb="2">
      <t>ショウヒン</t>
    </rPh>
    <phoneticPr fontId="2"/>
  </si>
  <si>
    <t>商品18</t>
    <rPh sb="0" eb="2">
      <t>ショウヒン</t>
    </rPh>
    <phoneticPr fontId="2"/>
  </si>
  <si>
    <t>商品17</t>
    <rPh sb="0" eb="2">
      <t>ショウヒン</t>
    </rPh>
    <phoneticPr fontId="2"/>
  </si>
  <si>
    <t>商品16</t>
    <rPh sb="0" eb="2">
      <t>ショウヒン</t>
    </rPh>
    <phoneticPr fontId="2"/>
  </si>
  <si>
    <t>商品15</t>
    <rPh sb="0" eb="2">
      <t>ショウヒン</t>
    </rPh>
    <phoneticPr fontId="2"/>
  </si>
  <si>
    <t>商品14</t>
    <rPh sb="0" eb="2">
      <t>ショウヒン</t>
    </rPh>
    <phoneticPr fontId="2"/>
  </si>
  <si>
    <t>商品13</t>
    <rPh sb="0" eb="2">
      <t>ショウヒン</t>
    </rPh>
    <phoneticPr fontId="2"/>
  </si>
  <si>
    <t>商品12</t>
    <rPh sb="0" eb="2">
      <t>ショウヒン</t>
    </rPh>
    <phoneticPr fontId="2"/>
  </si>
  <si>
    <t>商品11</t>
    <rPh sb="0" eb="2">
      <t>ショウヒン</t>
    </rPh>
    <phoneticPr fontId="2"/>
  </si>
  <si>
    <t>商品10</t>
    <rPh sb="0" eb="2">
      <t>ショウヒン</t>
    </rPh>
    <phoneticPr fontId="2"/>
  </si>
  <si>
    <t>商品9</t>
    <rPh sb="0" eb="2">
      <t>ショウヒン</t>
    </rPh>
    <phoneticPr fontId="2"/>
  </si>
  <si>
    <t>商品8</t>
    <rPh sb="0" eb="2">
      <t>ショウヒン</t>
    </rPh>
    <phoneticPr fontId="2"/>
  </si>
  <si>
    <t>商品7</t>
    <rPh sb="0" eb="2">
      <t>ショウヒン</t>
    </rPh>
    <phoneticPr fontId="2"/>
  </si>
  <si>
    <t>商品6</t>
    <rPh sb="0" eb="2">
      <t>ショウヒン</t>
    </rPh>
    <phoneticPr fontId="2"/>
  </si>
  <si>
    <t>商品5</t>
    <rPh sb="0" eb="2">
      <t>ショウヒン</t>
    </rPh>
    <phoneticPr fontId="2"/>
  </si>
  <si>
    <t>商品4</t>
    <rPh sb="0" eb="2">
      <t>ショウヒン</t>
    </rPh>
    <phoneticPr fontId="2"/>
  </si>
  <si>
    <t>商品3</t>
    <rPh sb="0" eb="2">
      <t>ショウヒン</t>
    </rPh>
    <phoneticPr fontId="2"/>
  </si>
  <si>
    <t>商品2</t>
    <rPh sb="0" eb="2">
      <t>ショウヒン</t>
    </rPh>
    <phoneticPr fontId="2"/>
  </si>
  <si>
    <t>商品1</t>
    <rPh sb="0" eb="2">
      <t>ショウヒン</t>
    </rPh>
    <phoneticPr fontId="2"/>
  </si>
  <si>
    <t>ルビ</t>
    <phoneticPr fontId="2"/>
  </si>
  <si>
    <t>店名</t>
    <rPh sb="0" eb="2">
      <t>テンメイ</t>
    </rPh>
    <phoneticPr fontId="2"/>
  </si>
  <si>
    <t>レア武器や防具、特別な効果の付与。</t>
  </si>
  <si>
    <t>星鉄、隕石の欠片</t>
  </si>
  <si>
    <t>特殊</t>
  </si>
  <si>
    <t>ポーション、魔法武器、属性強化。</t>
  </si>
  <si>
    <t>魔獣の血、特殊な溶液</t>
  </si>
  <si>
    <t>液体</t>
  </si>
  <si>
    <t>属性付与、魔法強化、特殊装備。</t>
  </si>
  <si>
    <t>魔石、エメラルド</t>
  </si>
  <si>
    <t>弦、軽装防具、魔法アイテム。</t>
  </si>
  <si>
    <t>魔力繊維、蜘蛛の糸</t>
  </si>
  <si>
    <t>糸</t>
  </si>
  <si>
    <t>軽装防具、バッグ、補助アイテム。</t>
  </si>
  <si>
    <t>普通の布、魔法織布</t>
  </si>
  <si>
    <t>布</t>
  </si>
  <si>
    <t>軽装防具、グリップ、補強材。</t>
  </si>
  <si>
    <t>普通の皮、硬革、魔獣の皮</t>
  </si>
  <si>
    <t>軽量武器、特殊防具、装飾品。</t>
  </si>
  <si>
    <t>魔獣の骨、大型獣の牙</t>
  </si>
  <si>
    <t>棒系武器、弓、軽量武器の素材。</t>
  </si>
  <si>
    <t>アイアンウッド、フレイムウッド</t>
    <phoneticPr fontId="2"/>
  </si>
  <si>
    <t>重装防具、耐久性の高い防具。</t>
  </si>
  <si>
    <t>ドラゴンの鱗、水生生物の鱗</t>
  </si>
  <si>
    <t>武器や防具の基本素材。</t>
  </si>
  <si>
    <t>鉄鉱石、銀鉱石、魔石</t>
  </si>
  <si>
    <t>使用例</t>
    <rPh sb="0" eb="2">
      <t>シヨウ</t>
    </rPh>
    <rPh sb="2" eb="3">
      <t>レイ</t>
    </rPh>
    <phoneticPr fontId="2"/>
  </si>
  <si>
    <t>速度ペナルティ</t>
    <rPh sb="0" eb="2">
      <t>ソクド</t>
    </rPh>
    <phoneticPr fontId="2"/>
  </si>
  <si>
    <t>打撃補正</t>
    <rPh sb="0" eb="2">
      <t>ダゲキ</t>
    </rPh>
    <rPh sb="2" eb="4">
      <t>ホセイ</t>
    </rPh>
    <phoneticPr fontId="2"/>
  </si>
  <si>
    <t>貫通補正</t>
    <rPh sb="0" eb="2">
      <t>カンツウ</t>
    </rPh>
    <rPh sb="2" eb="4">
      <t>ホセイ</t>
    </rPh>
    <phoneticPr fontId="2"/>
  </si>
  <si>
    <t>切断補正</t>
    <rPh sb="0" eb="2">
      <t>セツダン</t>
    </rPh>
    <rPh sb="2" eb="4">
      <t>ホセイ</t>
    </rPh>
    <phoneticPr fontId="2"/>
  </si>
  <si>
    <t>力核</t>
    <rPh sb="0" eb="1">
      <t>リキ</t>
    </rPh>
    <rPh sb="1" eb="2">
      <t>カク</t>
    </rPh>
    <phoneticPr fontId="2"/>
  </si>
  <si>
    <t>パワーコア</t>
    <phoneticPr fontId="2"/>
  </si>
  <si>
    <t>一部の生物が持つ、肉体の核となる部分</t>
    <rPh sb="0" eb="2">
      <t>イチブ</t>
    </rPh>
    <rPh sb="3" eb="5">
      <t>セイブツ</t>
    </rPh>
    <rPh sb="6" eb="7">
      <t>モ</t>
    </rPh>
    <rPh sb="9" eb="11">
      <t>ニクタイ</t>
    </rPh>
    <rPh sb="12" eb="13">
      <t>カク</t>
    </rPh>
    <rPh sb="16" eb="18">
      <t>ブブン</t>
    </rPh>
    <phoneticPr fontId="2"/>
  </si>
  <si>
    <t>真柱核</t>
    <rPh sb="0" eb="2">
      <t>シンチュウ</t>
    </rPh>
    <rPh sb="2" eb="3">
      <t>カク</t>
    </rPh>
    <phoneticPr fontId="2"/>
  </si>
  <si>
    <t>休憩</t>
    <rPh sb="0" eb="2">
      <t>キュウケイ</t>
    </rPh>
    <phoneticPr fontId="2"/>
  </si>
  <si>
    <t>簡易拠点Ⅱ</t>
    <rPh sb="0" eb="2">
      <t>カンイ</t>
    </rPh>
    <rPh sb="2" eb="4">
      <t>キョテン</t>
    </rPh>
    <phoneticPr fontId="2"/>
  </si>
  <si>
    <t>簡易拠点Ⅲ</t>
    <rPh sb="0" eb="2">
      <t>カンイ</t>
    </rPh>
    <rPh sb="2" eb="4">
      <t>キョテン</t>
    </rPh>
    <phoneticPr fontId="2"/>
  </si>
  <si>
    <t>インスタント・ベースⅡ</t>
    <phoneticPr fontId="2"/>
  </si>
  <si>
    <t>インスタント・ベースⅢ</t>
    <phoneticPr fontId="2"/>
  </si>
  <si>
    <t>死霊の骨</t>
    <rPh sb="0" eb="2">
      <t>シリョウ</t>
    </rPh>
    <phoneticPr fontId="8"/>
  </si>
  <si>
    <t>毒の牙</t>
  </si>
  <si>
    <t>鋭利な爪</t>
  </si>
  <si>
    <t>ボーン</t>
    <phoneticPr fontId="2"/>
  </si>
  <si>
    <t>負</t>
    <rPh sb="0" eb="1">
      <t>フ</t>
    </rPh>
    <phoneticPr fontId="2"/>
  </si>
  <si>
    <t>毒</t>
    <rPh sb="0" eb="1">
      <t>ドク</t>
    </rPh>
    <phoneticPr fontId="2"/>
  </si>
  <si>
    <t>スケルトンの骨、負のエネルギーが宿っている</t>
    <rPh sb="6" eb="7">
      <t>ホネ</t>
    </rPh>
    <rPh sb="8" eb="9">
      <t>フ</t>
    </rPh>
    <rPh sb="16" eb="17">
      <t>ヤド</t>
    </rPh>
    <phoneticPr fontId="2"/>
  </si>
  <si>
    <t>ゾンビの牙、毒々しい液が先端からこぼれている</t>
    <rPh sb="4" eb="5">
      <t>キバ</t>
    </rPh>
    <rPh sb="6" eb="8">
      <t>ドクドク</t>
    </rPh>
    <rPh sb="10" eb="11">
      <t>エキ</t>
    </rPh>
    <rPh sb="12" eb="14">
      <t>センタン</t>
    </rPh>
    <phoneticPr fontId="2"/>
  </si>
  <si>
    <t>動物や、モンスターがもつ鋭い爪</t>
    <rPh sb="0" eb="2">
      <t>ドウブツ</t>
    </rPh>
    <rPh sb="12" eb="13">
      <t>スルド</t>
    </rPh>
    <rPh sb="14" eb="15">
      <t>ツメ</t>
    </rPh>
    <phoneticPr fontId="2"/>
  </si>
  <si>
    <t>帽子</t>
    <rPh sb="0" eb="2">
      <t>ボウシ</t>
    </rPh>
    <phoneticPr fontId="2"/>
  </si>
  <si>
    <t>ハット</t>
    <phoneticPr fontId="2"/>
  </si>
  <si>
    <t>カタール</t>
    <phoneticPr fontId="2"/>
  </si>
  <si>
    <t>拳刃</t>
  </si>
  <si>
    <t>酸</t>
  </si>
  <si>
    <t>毒</t>
  </si>
  <si>
    <t>石化</t>
  </si>
  <si>
    <t>拘束</t>
  </si>
  <si>
    <t>即死</t>
  </si>
  <si>
    <t>時間</t>
  </si>
  <si>
    <t>出血</t>
  </si>
  <si>
    <t>疲労</t>
  </si>
  <si>
    <t>闇</t>
    <phoneticPr fontId="2"/>
  </si>
  <si>
    <t>精神攻撃</t>
    <rPh sb="2" eb="4">
      <t>コウゲキ</t>
    </rPh>
    <phoneticPr fontId="2"/>
  </si>
  <si>
    <t>体幹</t>
    <rPh sb="0" eb="2">
      <t>タイカン</t>
    </rPh>
    <phoneticPr fontId="2"/>
  </si>
  <si>
    <t>物理ガード</t>
    <phoneticPr fontId="2"/>
  </si>
  <si>
    <t>魔法ガード</t>
    <phoneticPr fontId="2"/>
  </si>
  <si>
    <t>溶鉄</t>
    <rPh sb="0" eb="1">
      <t>ヨウ</t>
    </rPh>
    <rPh sb="1" eb="2">
      <t>テツ</t>
    </rPh>
    <phoneticPr fontId="2"/>
  </si>
  <si>
    <t>マグマログ</t>
    <phoneticPr fontId="2"/>
  </si>
  <si>
    <t>虚無鉱</t>
    <phoneticPr fontId="2"/>
  </si>
  <si>
    <t>闇</t>
    <rPh sb="0" eb="1">
      <t>ヤミ</t>
    </rPh>
    <phoneticPr fontId="2"/>
  </si>
  <si>
    <t>オルダーク</t>
    <phoneticPr fontId="2"/>
  </si>
  <si>
    <t>レインボーメタル</t>
    <phoneticPr fontId="2"/>
  </si>
  <si>
    <t>炎・氷・雷・酸・光・闇</t>
    <rPh sb="0" eb="1">
      <t>ホノオ</t>
    </rPh>
    <rPh sb="2" eb="3">
      <t>コオリ</t>
    </rPh>
    <rPh sb="4" eb="5">
      <t>イカズチ</t>
    </rPh>
    <rPh sb="6" eb="7">
      <t>サン</t>
    </rPh>
    <rPh sb="8" eb="9">
      <t>ヒカリ</t>
    </rPh>
    <rPh sb="10" eb="11">
      <t>ヤミ</t>
    </rPh>
    <phoneticPr fontId="2"/>
  </si>
  <si>
    <t>神玉鋼</t>
  </si>
  <si>
    <t>ヘブンズジェルタイト</t>
  </si>
  <si>
    <t>虹宝鋼</t>
    <rPh sb="0" eb="1">
      <t>ニジ</t>
    </rPh>
    <rPh sb="1" eb="3">
      <t>ホウコウ</t>
    </rPh>
    <rPh sb="2" eb="3">
      <t>ハガネ</t>
    </rPh>
    <phoneticPr fontId="2"/>
  </si>
  <si>
    <t>オルタイト</t>
    <phoneticPr fontId="2"/>
  </si>
  <si>
    <t>アルタイト</t>
    <phoneticPr fontId="2"/>
  </si>
  <si>
    <t>ヘマタイト</t>
    <phoneticPr fontId="2"/>
  </si>
  <si>
    <t>武器暗闇化</t>
    <rPh sb="0" eb="2">
      <t>ブキ</t>
    </rPh>
    <rPh sb="2" eb="4">
      <t>クラヤミ</t>
    </rPh>
    <rPh sb="4" eb="5">
      <t>カ</t>
    </rPh>
    <phoneticPr fontId="2"/>
  </si>
  <si>
    <t>黄昏樹</t>
    <rPh sb="0" eb="2">
      <t>タソガレ</t>
    </rPh>
    <rPh sb="2" eb="3">
      <t>キ</t>
    </rPh>
    <phoneticPr fontId="2"/>
  </si>
  <si>
    <t>紫昏樹</t>
    <rPh sb="0" eb="1">
      <t>ムラサキ</t>
    </rPh>
    <rPh sb="1" eb="2">
      <t>コン</t>
    </rPh>
    <rPh sb="2" eb="3">
      <t>キ</t>
    </rPh>
    <phoneticPr fontId="2"/>
  </si>
  <si>
    <t>トライワイトウッド</t>
    <phoneticPr fontId="2"/>
  </si>
  <si>
    <t>ホロウウッド</t>
    <phoneticPr fontId="2"/>
  </si>
  <si>
    <t>悪</t>
    <rPh sb="0" eb="1">
      <t>アク</t>
    </rPh>
    <phoneticPr fontId="2"/>
  </si>
  <si>
    <t>黄昏の生命</t>
    <rPh sb="0" eb="2">
      <t>タソガレ</t>
    </rPh>
    <rPh sb="3" eb="5">
      <t>セイメイ</t>
    </rPh>
    <phoneticPr fontId="2"/>
  </si>
  <si>
    <t>紫昏の魂</t>
    <rPh sb="1" eb="2">
      <t>コン</t>
    </rPh>
    <rPh sb="3" eb="4">
      <t>タマシイ</t>
    </rPh>
    <phoneticPr fontId="2"/>
  </si>
  <si>
    <t>黄昏芯樹</t>
    <rPh sb="0" eb="2">
      <t>タソガレ</t>
    </rPh>
    <rPh sb="2" eb="3">
      <t>シン</t>
    </rPh>
    <rPh sb="3" eb="4">
      <t>キ</t>
    </rPh>
    <phoneticPr fontId="2"/>
  </si>
  <si>
    <t>紫昏芯樹</t>
    <rPh sb="0" eb="1">
      <t>ムラサキ</t>
    </rPh>
    <rPh sb="1" eb="2">
      <t>コン</t>
    </rPh>
    <rPh sb="3" eb="4">
      <t>キ</t>
    </rPh>
    <phoneticPr fontId="2"/>
  </si>
  <si>
    <t>トライウッドコア</t>
    <phoneticPr fontId="2"/>
  </si>
  <si>
    <t>ホロウウッドコア</t>
    <phoneticPr fontId="2"/>
  </si>
  <si>
    <t>ドラゴンボーン</t>
    <phoneticPr fontId="2"/>
  </si>
  <si>
    <t>ル・エストロ</t>
    <phoneticPr fontId="2"/>
  </si>
  <si>
    <t>アルジビア王国</t>
    <rPh sb="5" eb="7">
      <t>オウコク</t>
    </rPh>
    <phoneticPr fontId="2"/>
  </si>
  <si>
    <t>攻撃タイプ</t>
    <phoneticPr fontId="2"/>
  </si>
  <si>
    <t>素手</t>
  </si>
  <si>
    <t>A</t>
  </si>
  <si>
    <t>角</t>
  </si>
  <si>
    <t>S</t>
  </si>
  <si>
    <t>牙</t>
  </si>
  <si>
    <t>爪</t>
  </si>
  <si>
    <t>羽</t>
  </si>
  <si>
    <t>Q</t>
  </si>
  <si>
    <t>尾</t>
  </si>
  <si>
    <t>フィスト</t>
    <phoneticPr fontId="2"/>
  </si>
  <si>
    <t>ホーン</t>
    <phoneticPr fontId="2"/>
  </si>
  <si>
    <t>ファング</t>
    <phoneticPr fontId="2"/>
  </si>
  <si>
    <t>クロー</t>
    <phoneticPr fontId="2"/>
  </si>
  <si>
    <t>ウィング</t>
    <phoneticPr fontId="2"/>
  </si>
  <si>
    <t>テイル</t>
    <phoneticPr fontId="2"/>
  </si>
  <si>
    <t>-</t>
    <phoneticPr fontId="2"/>
  </si>
  <si>
    <t>戦篭手</t>
    <rPh sb="0" eb="1">
      <t>セン</t>
    </rPh>
    <phoneticPr fontId="2"/>
  </si>
  <si>
    <t>ガントレット</t>
    <phoneticPr fontId="2"/>
  </si>
  <si>
    <t>ブレスレット</t>
    <phoneticPr fontId="2"/>
  </si>
  <si>
    <t>熱鉄</t>
    <phoneticPr fontId="2"/>
  </si>
  <si>
    <t>刀</t>
    <phoneticPr fontId="2"/>
  </si>
  <si>
    <t>全灯・極彩</t>
    <rPh sb="0" eb="2">
      <t>ゼントウ</t>
    </rPh>
    <rPh sb="3" eb="5">
      <t>ゴクサイ</t>
    </rPh>
    <phoneticPr fontId="2"/>
  </si>
  <si>
    <t>ゼントウ・ゴクサイ</t>
    <phoneticPr fontId="2"/>
  </si>
  <si>
    <t>外套</t>
    <phoneticPr fontId="2"/>
  </si>
  <si>
    <t>耐炎の外套</t>
    <phoneticPr fontId="2"/>
  </si>
  <si>
    <t>耐氷の外套</t>
    <phoneticPr fontId="2"/>
  </si>
  <si>
    <t>黒竜の加護</t>
    <phoneticPr fontId="2"/>
  </si>
  <si>
    <t>法衣</t>
    <phoneticPr fontId="2"/>
  </si>
  <si>
    <t>影蜥蜴の鱗</t>
    <rPh sb="0" eb="1">
      <t>カゲ</t>
    </rPh>
    <phoneticPr fontId="2"/>
  </si>
  <si>
    <t>シャドウスケール</t>
    <phoneticPr fontId="2"/>
  </si>
  <si>
    <t>靴</t>
    <rPh sb="0" eb="1">
      <t>クツ</t>
    </rPh>
    <phoneticPr fontId="2"/>
  </si>
  <si>
    <t>冠</t>
    <rPh sb="0" eb="1">
      <t>カンムリ</t>
    </rPh>
    <phoneticPr fontId="2"/>
  </si>
  <si>
    <t>耐性</t>
    <rPh sb="0" eb="2">
      <t>タイセイ</t>
    </rPh>
    <phoneticPr fontId="2"/>
  </si>
  <si>
    <t>対属性</t>
    <rPh sb="0" eb="1">
      <t>タイ</t>
    </rPh>
    <rPh sb="1" eb="3">
      <t>ゾクセイ</t>
    </rPh>
    <phoneticPr fontId="2"/>
  </si>
  <si>
    <t>Cr耐性Lv1</t>
    <rPh sb="2" eb="4">
      <t>タイセイ</t>
    </rPh>
    <phoneticPr fontId="2"/>
  </si>
  <si>
    <t>Cr耐性Lv2</t>
    <rPh sb="2" eb="4">
      <t>タイセイ</t>
    </rPh>
    <phoneticPr fontId="2"/>
  </si>
  <si>
    <t>Cr耐性Lv3</t>
    <rPh sb="2" eb="4">
      <t>タイセイ</t>
    </rPh>
    <phoneticPr fontId="2"/>
  </si>
  <si>
    <t>Cr耐性Lv4</t>
    <rPh sb="2" eb="4">
      <t>タイセイ</t>
    </rPh>
    <phoneticPr fontId="2"/>
  </si>
  <si>
    <t>Cr耐性Lv5</t>
    <rPh sb="2" eb="4">
      <t>タイセイ</t>
    </rPh>
    <phoneticPr fontId="2"/>
  </si>
  <si>
    <t>玉虫色の靴</t>
    <rPh sb="0" eb="2">
      <t>タマムシ</t>
    </rPh>
    <rPh sb="2" eb="3">
      <t>イロ</t>
    </rPh>
    <rPh sb="4" eb="5">
      <t>クツ</t>
    </rPh>
    <phoneticPr fontId="2"/>
  </si>
  <si>
    <t>イリデセント・ブーツ</t>
    <phoneticPr fontId="2"/>
  </si>
  <si>
    <t>命中 魔防 Cr</t>
    <rPh sb="0" eb="2">
      <t>メイチュウ</t>
    </rPh>
    <rPh sb="3" eb="5">
      <t>マボウ</t>
    </rPh>
    <phoneticPr fontId="2"/>
  </si>
  <si>
    <t>速度 命中 魔防 Cr</t>
    <rPh sb="0" eb="2">
      <t>ソクド</t>
    </rPh>
    <rPh sb="3" eb="5">
      <t>メイチュウ</t>
    </rPh>
    <rPh sb="6" eb="8">
      <t>マボウ</t>
    </rPh>
    <phoneticPr fontId="2"/>
  </si>
  <si>
    <t>命中 魔力 魔防 Cr</t>
    <rPh sb="0" eb="2">
      <t>メイチュウ</t>
    </rPh>
    <rPh sb="3" eb="5">
      <t>マリョク</t>
    </rPh>
    <rPh sb="6" eb="8">
      <t>マボウ</t>
    </rPh>
    <phoneticPr fontId="2"/>
  </si>
  <si>
    <t>紫の冠</t>
    <rPh sb="0" eb="1">
      <t>ムラサキ</t>
    </rPh>
    <rPh sb="2" eb="3">
      <t>カンムリ</t>
    </rPh>
    <phoneticPr fontId="2"/>
  </si>
  <si>
    <t>金獅子の帯</t>
    <rPh sb="0" eb="3">
      <t>キンジシ</t>
    </rPh>
    <phoneticPr fontId="2"/>
  </si>
  <si>
    <t>ゴールドレオ・ベルト</t>
    <phoneticPr fontId="2"/>
  </si>
  <si>
    <t>朱刀・断絶</t>
    <rPh sb="0" eb="1">
      <t>アカ</t>
    </rPh>
    <rPh sb="1" eb="2">
      <t>カタナ</t>
    </rPh>
    <rPh sb="3" eb="5">
      <t>ダンゼツ</t>
    </rPh>
    <phoneticPr fontId="2"/>
  </si>
  <si>
    <t>シュトウ・ダンゼツ</t>
    <phoneticPr fontId="2"/>
  </si>
  <si>
    <t>虚無鉱</t>
  </si>
  <si>
    <t>黒竜刀</t>
    <phoneticPr fontId="2"/>
  </si>
  <si>
    <t>ブレード・ダークドラゴン</t>
    <phoneticPr fontId="2"/>
  </si>
  <si>
    <t>靴</t>
    <phoneticPr fontId="2"/>
  </si>
  <si>
    <t>棍棒。打撃に特化したシンプルな武器。威力は低いがダメージ振れが少ない。</t>
    <rPh sb="18" eb="20">
      <t>イリョク</t>
    </rPh>
    <rPh sb="21" eb="22">
      <t>ヒク</t>
    </rPh>
    <rPh sb="28" eb="29">
      <t>ブ</t>
    </rPh>
    <rPh sb="31" eb="32">
      <t>スク</t>
    </rPh>
    <phoneticPr fontId="2"/>
  </si>
  <si>
    <t>精神攻撃耐性</t>
  </si>
  <si>
    <t>体幹耐性</t>
  </si>
  <si>
    <t>物理耐性</t>
    <phoneticPr fontId="2"/>
  </si>
  <si>
    <t>魔法耐性</t>
    <phoneticPr fontId="2"/>
  </si>
  <si>
    <t>ダメージ幅</t>
    <rPh sb="4" eb="5">
      <t>ハバ</t>
    </rPh>
    <phoneticPr fontId="2"/>
  </si>
  <si>
    <t>怯み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</si>
</sst>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0"/>
      <color theme="1"/>
      <name val="Arial"/>
      <family val="2"/>
    </font>
    <font>
      <b/>
      <sz val="10"/>
      <color theme="1"/>
      <name val="ＭＳ Ｐゴシック"/>
      <family val="3"/>
      <charset val="128"/>
    </font>
    <font>
      <b/>
      <sz val="11"/>
      <color rgb="FFFF0000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ＭＳ Ｐゴシック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b/>
      <sz val="11"/>
      <color rgb="FF9900FF"/>
      <name val="游ゴシック"/>
      <family val="3"/>
      <charset val="128"/>
      <scheme val="minor"/>
    </font>
    <font>
      <sz val="10"/>
      <color theme="1"/>
      <name val="Arial"/>
      <family val="2"/>
    </font>
    <font>
      <b/>
      <sz val="9"/>
      <color theme="1"/>
      <name val="游ゴシック"/>
      <family val="3"/>
      <charset val="128"/>
      <scheme val="minor"/>
    </font>
    <font>
      <b/>
      <sz val="11"/>
      <color theme="1" tint="4.9989318521683403E-2"/>
      <name val="游ゴシック"/>
      <family val="3"/>
      <charset val="128"/>
      <scheme val="minor"/>
    </font>
    <font>
      <sz val="9"/>
      <color rgb="FF000000"/>
      <name val="HGPｺﾞｼｯｸE"/>
      <family val="3"/>
      <charset val="128"/>
    </font>
    <font>
      <sz val="9"/>
      <name val="HGPｺﾞｼｯｸE"/>
      <family val="3"/>
      <charset val="128"/>
    </font>
    <font>
      <sz val="10"/>
      <color theme="1"/>
      <name val="ＭＳ Ｐゴシック"/>
      <family val="3"/>
      <charset val="128"/>
    </font>
    <font>
      <sz val="11"/>
      <color rgb="FF000000"/>
      <name val="HGPｺﾞｼｯｸE"/>
      <family val="3"/>
      <charset val="128"/>
    </font>
    <font>
      <b/>
      <sz val="10"/>
      <color theme="1"/>
      <name val="ＭＳ ゴシック"/>
      <family val="3"/>
      <charset val="128"/>
    </font>
  </fonts>
  <fills count="1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A8D08D"/>
        <bgColor indexed="64"/>
      </patternFill>
    </fill>
    <fill>
      <patternFill patternType="solid">
        <fgColor rgb="FFFFE598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F7CAAC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64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6" fillId="2" borderId="1" xfId="0" applyFont="1" applyFill="1" applyBorder="1" applyAlignment="1">
      <alignment wrapText="1"/>
    </xf>
    <xf numFmtId="0" fontId="7" fillId="3" borderId="1" xfId="0" applyFont="1" applyFill="1" applyBorder="1" applyAlignment="1">
      <alignment wrapText="1"/>
    </xf>
    <xf numFmtId="0" fontId="8" fillId="3" borderId="1" xfId="0" applyFont="1" applyFill="1" applyBorder="1" applyAlignment="1">
      <alignment wrapText="1"/>
    </xf>
    <xf numFmtId="0" fontId="9" fillId="0" borderId="1" xfId="0" applyFont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9" fillId="10" borderId="0" xfId="0" applyFont="1" applyFill="1" applyAlignment="1">
      <alignment horizontal="center" vertical="center" wrapText="1"/>
    </xf>
    <xf numFmtId="0" fontId="9" fillId="11" borderId="0" xfId="0" applyFont="1" applyFill="1" applyAlignment="1">
      <alignment horizontal="center" vertical="center" wrapText="1"/>
    </xf>
    <xf numFmtId="0" fontId="9" fillId="3" borderId="0" xfId="0" applyFont="1" applyFill="1" applyAlignment="1">
      <alignment horizontal="center" vertical="center" wrapText="1"/>
    </xf>
    <xf numFmtId="0" fontId="9" fillId="12" borderId="0" xfId="1" applyNumberFormat="1" applyFont="1" applyFill="1" applyAlignment="1">
      <alignment horizontal="center" vertical="center" wrapText="1"/>
    </xf>
    <xf numFmtId="0" fontId="9" fillId="12" borderId="0" xfId="0" applyFont="1" applyFill="1" applyAlignment="1">
      <alignment horizontal="center" vertical="center" wrapText="1"/>
    </xf>
    <xf numFmtId="0" fontId="9" fillId="13" borderId="0" xfId="0" applyFont="1" applyFill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0" xfId="1" applyNumberFormat="1" applyFont="1">
      <alignment vertical="center"/>
    </xf>
    <xf numFmtId="0" fontId="0" fillId="11" borderId="0" xfId="0" applyFill="1">
      <alignment vertical="center"/>
    </xf>
    <xf numFmtId="0" fontId="11" fillId="0" borderId="1" xfId="0" applyFont="1" applyBorder="1" applyAlignment="1">
      <alignment wrapText="1"/>
    </xf>
    <xf numFmtId="0" fontId="0" fillId="0" borderId="0" xfId="1" applyNumberFormat="1" applyFont="1" applyAlignment="1">
      <alignment vertical="center" wrapText="1"/>
    </xf>
    <xf numFmtId="0" fontId="3" fillId="0" borderId="0" xfId="0" applyFont="1" applyAlignment="1">
      <alignment horizontal="left" vertical="center"/>
    </xf>
    <xf numFmtId="0" fontId="12" fillId="12" borderId="0" xfId="1" applyNumberFormat="1" applyFont="1" applyFill="1" applyAlignment="1">
      <alignment horizontal="center" vertical="center" wrapText="1"/>
    </xf>
    <xf numFmtId="9" fontId="0" fillId="0" borderId="0" xfId="1" applyFont="1">
      <alignment vertical="center"/>
    </xf>
    <xf numFmtId="9" fontId="0" fillId="0" borderId="0" xfId="1" applyFont="1" applyAlignment="1">
      <alignment vertical="center" wrapText="1"/>
    </xf>
    <xf numFmtId="9" fontId="9" fillId="12" borderId="0" xfId="1" applyFont="1" applyFill="1" applyAlignment="1">
      <alignment horizontal="center" vertical="center" wrapText="1"/>
    </xf>
    <xf numFmtId="0" fontId="13" fillId="0" borderId="0" xfId="0" applyFont="1">
      <alignment vertical="center"/>
    </xf>
    <xf numFmtId="0" fontId="0" fillId="0" borderId="0" xfId="0" applyAlignment="1">
      <alignment horizontal="center" vertical="center"/>
    </xf>
    <xf numFmtId="0" fontId="14" fillId="0" borderId="0" xfId="0" applyFont="1" applyAlignment="1">
      <alignment wrapText="1"/>
    </xf>
    <xf numFmtId="0" fontId="14" fillId="0" borderId="0" xfId="0" applyFont="1" applyAlignment="1">
      <alignment horizontal="left" vertical="center" wrapText="1"/>
    </xf>
    <xf numFmtId="9" fontId="0" fillId="0" borderId="0" xfId="0" applyNumberFormat="1" applyAlignment="1">
      <alignment vertical="center" wrapText="1"/>
    </xf>
    <xf numFmtId="0" fontId="14" fillId="0" borderId="0" xfId="0" applyFont="1" applyAlignment="1">
      <alignment horizontal="left" wrapText="1"/>
    </xf>
    <xf numFmtId="0" fontId="15" fillId="0" borderId="0" xfId="0" applyFont="1" applyAlignment="1">
      <alignment wrapText="1"/>
    </xf>
    <xf numFmtId="0" fontId="9" fillId="0" borderId="0" xfId="0" applyFont="1" applyAlignment="1">
      <alignment horizontal="center" vertical="center" wrapText="1"/>
    </xf>
    <xf numFmtId="0" fontId="14" fillId="0" borderId="0" xfId="0" applyFont="1" applyAlignment="1"/>
    <xf numFmtId="9" fontId="0" fillId="0" borderId="0" xfId="1" applyFont="1" applyAlignment="1">
      <alignment vertical="center"/>
    </xf>
    <xf numFmtId="9" fontId="0" fillId="0" borderId="0" xfId="0" applyNumberFormat="1">
      <alignment vertical="center"/>
    </xf>
    <xf numFmtId="9" fontId="13" fillId="0" borderId="0" xfId="0" applyNumberFormat="1" applyFont="1">
      <alignment vertical="center"/>
    </xf>
    <xf numFmtId="0" fontId="11" fillId="0" borderId="1" xfId="0" applyFont="1" applyBorder="1">
      <alignment vertical="center"/>
    </xf>
    <xf numFmtId="0" fontId="16" fillId="0" borderId="1" xfId="0" applyFont="1" applyBorder="1" applyAlignment="1">
      <alignment wrapText="1"/>
    </xf>
    <xf numFmtId="0" fontId="13" fillId="0" borderId="0" xfId="0" applyFont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>
      <alignment vertical="center"/>
    </xf>
    <xf numFmtId="9" fontId="9" fillId="0" borderId="0" xfId="1" applyFont="1" applyAlignment="1">
      <alignment horizontal="center" vertical="center" wrapText="1"/>
    </xf>
    <xf numFmtId="0" fontId="17" fillId="0" borderId="0" xfId="0" applyFont="1" applyAlignment="1">
      <alignment horizontal="left" vertical="center" wrapText="1"/>
    </xf>
    <xf numFmtId="9" fontId="9" fillId="0" borderId="0" xfId="1" applyFont="1">
      <alignment vertical="center"/>
    </xf>
    <xf numFmtId="0" fontId="9" fillId="3" borderId="0" xfId="0" applyFont="1" applyFill="1">
      <alignment vertical="center"/>
    </xf>
    <xf numFmtId="0" fontId="4" fillId="8" borderId="1" xfId="0" applyFont="1" applyFill="1" applyBorder="1" applyAlignment="1">
      <alignment horizontal="center" vertical="top" wrapText="1"/>
    </xf>
    <xf numFmtId="0" fontId="5" fillId="8" borderId="1" xfId="0" applyFont="1" applyFill="1" applyBorder="1" applyAlignment="1">
      <alignment horizontal="center" vertical="top" wrapText="1"/>
    </xf>
    <xf numFmtId="0" fontId="4" fillId="3" borderId="1" xfId="0" applyFont="1" applyFill="1" applyBorder="1" applyAlignment="1">
      <alignment horizontal="center" vertical="top" wrapText="1"/>
    </xf>
    <xf numFmtId="0" fontId="4" fillId="7" borderId="1" xfId="0" applyFont="1" applyFill="1" applyBorder="1" applyAlignment="1">
      <alignment horizontal="center" vertical="top" wrapText="1"/>
    </xf>
    <xf numFmtId="0" fontId="5" fillId="6" borderId="1" xfId="0" applyFont="1" applyFill="1" applyBorder="1" applyAlignment="1">
      <alignment horizontal="center" vertical="top" wrapText="1"/>
    </xf>
    <xf numFmtId="0" fontId="4" fillId="6" borderId="1" xfId="0" applyFont="1" applyFill="1" applyBorder="1" applyAlignment="1">
      <alignment horizontal="center" vertical="top" wrapText="1"/>
    </xf>
    <xf numFmtId="0" fontId="7" fillId="6" borderId="1" xfId="0" applyFont="1" applyFill="1" applyBorder="1" applyAlignment="1">
      <alignment horizontal="center" vertical="top" wrapText="1"/>
    </xf>
    <xf numFmtId="0" fontId="4" fillId="5" borderId="1" xfId="0" applyFont="1" applyFill="1" applyBorder="1" applyAlignment="1">
      <alignment horizontal="center" vertical="top" wrapText="1"/>
    </xf>
    <xf numFmtId="0" fontId="5" fillId="5" borderId="1" xfId="0" applyFont="1" applyFill="1" applyBorder="1" applyAlignment="1">
      <alignment horizontal="center" vertical="top" wrapText="1"/>
    </xf>
    <xf numFmtId="0" fontId="5" fillId="4" borderId="1" xfId="0" applyFont="1" applyFill="1" applyBorder="1" applyAlignment="1">
      <alignment horizontal="center" vertical="top" wrapText="1"/>
    </xf>
    <xf numFmtId="0" fontId="18" fillId="7" borderId="1" xfId="0" applyFont="1" applyFill="1" applyBorder="1" applyAlignment="1">
      <alignment horizontal="center" vertical="top" wrapText="1"/>
    </xf>
  </cellXfs>
  <cellStyles count="2">
    <cellStyle name="パーセント" xfId="1" builtinId="5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DDC0C-0726-435C-945B-DEBA654A99B8}">
  <sheetPr codeName="Sheet1"/>
  <dimension ref="A1:G11"/>
  <sheetViews>
    <sheetView zoomScaleNormal="100" workbookViewId="0">
      <selection sqref="A1:F11"/>
    </sheetView>
  </sheetViews>
  <sheetFormatPr defaultRowHeight="18.75" x14ac:dyDescent="0.4"/>
  <cols>
    <col min="6" max="7" width="22.5" style="1" customWidth="1"/>
    <col min="9" max="9" width="7.125" bestFit="1" customWidth="1"/>
    <col min="10" max="11" width="28.875" customWidth="1"/>
  </cols>
  <sheetData>
    <row r="1" spans="1:7" x14ac:dyDescent="0.4">
      <c r="A1" t="s">
        <v>1043</v>
      </c>
      <c r="B1" t="s">
        <v>1176</v>
      </c>
      <c r="C1" t="s">
        <v>1175</v>
      </c>
      <c r="D1" t="s">
        <v>1174</v>
      </c>
      <c r="E1" t="s">
        <v>1173</v>
      </c>
      <c r="F1" s="1" t="s">
        <v>189</v>
      </c>
      <c r="G1" s="1" t="s">
        <v>1172</v>
      </c>
    </row>
    <row r="2" spans="1:7" x14ac:dyDescent="0.4">
      <c r="A2" t="s">
        <v>871</v>
      </c>
      <c r="B2">
        <v>25</v>
      </c>
      <c r="C2">
        <v>25</v>
      </c>
      <c r="D2">
        <v>15</v>
      </c>
      <c r="E2">
        <v>-20</v>
      </c>
      <c r="F2" s="1" t="s">
        <v>1171</v>
      </c>
      <c r="G2" s="1" t="s">
        <v>1170</v>
      </c>
    </row>
    <row r="3" spans="1:7" ht="37.5" x14ac:dyDescent="0.4">
      <c r="A3" t="s">
        <v>951</v>
      </c>
      <c r="B3">
        <v>15</v>
      </c>
      <c r="C3">
        <v>15</v>
      </c>
      <c r="D3">
        <v>15</v>
      </c>
      <c r="E3">
        <v>-15</v>
      </c>
      <c r="F3" s="1" t="s">
        <v>1169</v>
      </c>
      <c r="G3" s="1" t="s">
        <v>1168</v>
      </c>
    </row>
    <row r="4" spans="1:7" ht="37.5" x14ac:dyDescent="0.4">
      <c r="A4" t="s">
        <v>916</v>
      </c>
      <c r="B4">
        <v>5</v>
      </c>
      <c r="C4">
        <v>15</v>
      </c>
      <c r="D4">
        <v>10</v>
      </c>
      <c r="E4">
        <v>-10</v>
      </c>
      <c r="F4" s="1" t="s">
        <v>1167</v>
      </c>
      <c r="G4" s="1" t="s">
        <v>1166</v>
      </c>
    </row>
    <row r="5" spans="1:7" ht="37.5" x14ac:dyDescent="0.4">
      <c r="A5" t="s">
        <v>880</v>
      </c>
      <c r="B5">
        <v>10</v>
      </c>
      <c r="C5">
        <v>0</v>
      </c>
      <c r="D5">
        <v>5</v>
      </c>
      <c r="E5">
        <v>-5</v>
      </c>
      <c r="F5" s="1" t="s">
        <v>1165</v>
      </c>
      <c r="G5" s="1" t="s">
        <v>1164</v>
      </c>
    </row>
    <row r="6" spans="1:7" ht="37.5" x14ac:dyDescent="0.4">
      <c r="A6" t="s">
        <v>963</v>
      </c>
      <c r="B6">
        <v>5</v>
      </c>
      <c r="C6">
        <v>5</v>
      </c>
      <c r="D6">
        <v>5</v>
      </c>
      <c r="E6">
        <v>-5</v>
      </c>
      <c r="F6" s="1" t="s">
        <v>1163</v>
      </c>
      <c r="G6" s="1" t="s">
        <v>1162</v>
      </c>
    </row>
    <row r="7" spans="1:7" ht="37.5" x14ac:dyDescent="0.4">
      <c r="A7" t="s">
        <v>1161</v>
      </c>
      <c r="B7">
        <v>0</v>
      </c>
      <c r="C7">
        <v>0</v>
      </c>
      <c r="D7">
        <v>0</v>
      </c>
      <c r="E7">
        <v>0</v>
      </c>
      <c r="F7" s="1" t="s">
        <v>1160</v>
      </c>
      <c r="G7" s="1" t="s">
        <v>1159</v>
      </c>
    </row>
    <row r="8" spans="1:7" ht="37.5" x14ac:dyDescent="0.4">
      <c r="A8" t="s">
        <v>1158</v>
      </c>
      <c r="F8" s="1" t="s">
        <v>1157</v>
      </c>
      <c r="G8" s="1" t="s">
        <v>1156</v>
      </c>
    </row>
    <row r="9" spans="1:7" ht="37.5" x14ac:dyDescent="0.4">
      <c r="A9" t="s">
        <v>287</v>
      </c>
      <c r="F9" s="1" t="s">
        <v>1155</v>
      </c>
      <c r="G9" s="1" t="s">
        <v>1154</v>
      </c>
    </row>
    <row r="10" spans="1:7" ht="37.5" x14ac:dyDescent="0.4">
      <c r="A10" t="s">
        <v>1153</v>
      </c>
      <c r="F10" s="1" t="s">
        <v>1152</v>
      </c>
      <c r="G10" s="1" t="s">
        <v>1151</v>
      </c>
    </row>
    <row r="11" spans="1:7" ht="37.5" x14ac:dyDescent="0.4">
      <c r="A11" t="s">
        <v>1150</v>
      </c>
      <c r="F11" s="1" t="s">
        <v>1149</v>
      </c>
      <c r="G11" s="1" t="s">
        <v>1148</v>
      </c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BDCF5-195D-49FB-8114-0888B149F139}">
  <sheetPr codeName="Sheet2">
    <tabColor theme="8" tint="0.79998168889431442"/>
  </sheetPr>
  <dimension ref="A1:CS392"/>
  <sheetViews>
    <sheetView zoomScaleNormal="100" workbookViewId="0">
      <pane xSplit="6" ySplit="3" topLeftCell="G4" activePane="bottomRight" state="frozen"/>
      <selection pane="topRight" activeCell="G1" sqref="G1"/>
      <selection pane="bottomLeft" activeCell="A4" sqref="A4"/>
      <selection pane="bottomRight" activeCell="M1" sqref="M1"/>
    </sheetView>
  </sheetViews>
  <sheetFormatPr defaultRowHeight="18.75" outlineLevelRow="1" outlineLevelCol="1" x14ac:dyDescent="0.4"/>
  <cols>
    <col min="1" max="1" width="9" bestFit="1" customWidth="1"/>
    <col min="2" max="2" width="21.375" bestFit="1" customWidth="1"/>
    <col min="3" max="3" width="4.625" customWidth="1"/>
    <col min="4" max="4" width="6.375" customWidth="1"/>
    <col min="5" max="5" width="6" customWidth="1"/>
    <col min="6" max="6" width="4.875" customWidth="1"/>
    <col min="7" max="9" width="5.75" customWidth="1" outlineLevel="1"/>
    <col min="10" max="10" width="6.5" customWidth="1" outlineLevel="1"/>
    <col min="11" max="11" width="5.125" customWidth="1" outlineLevel="1"/>
    <col min="12" max="12" width="4.5" customWidth="1" outlineLevel="1"/>
    <col min="13" max="13" width="3.625" customWidth="1" outlineLevel="1"/>
    <col min="14" max="14" width="5.25" customWidth="1" outlineLevel="1"/>
    <col min="15" max="15" width="6.5" style="23" customWidth="1" outlineLevel="1"/>
    <col min="16" max="16" width="7" style="23" customWidth="1" outlineLevel="1"/>
    <col min="17" max="18" width="6.25" customWidth="1" outlineLevel="1"/>
    <col min="19" max="19" width="6.25" customWidth="1"/>
    <col min="20" max="20" width="6.25" customWidth="1" outlineLevel="1"/>
    <col min="21" max="21" width="8.375" customWidth="1" outlineLevel="1"/>
    <col min="22" max="22" width="6.25" customWidth="1" outlineLevel="1"/>
    <col min="23" max="23" width="5.5" customWidth="1" outlineLevel="1"/>
    <col min="24" max="24" width="6.25" customWidth="1" outlineLevel="1"/>
    <col min="25" max="25" width="17.875" customWidth="1" outlineLevel="1"/>
    <col min="26" max="26" width="4.875" customWidth="1"/>
    <col min="27" max="50" width="4.875" customWidth="1" outlineLevel="1"/>
    <col min="51" max="51" width="4.875" customWidth="1"/>
    <col min="52" max="52" width="3.5" customWidth="1"/>
    <col min="53" max="57" width="4.875" customWidth="1" outlineLevel="1"/>
    <col min="58" max="58" width="6.125" bestFit="1" customWidth="1"/>
    <col min="59" max="59" width="4.125" customWidth="1" outlineLevel="1"/>
    <col min="60" max="60" width="4.375" customWidth="1" outlineLevel="1"/>
    <col min="61" max="61" width="4" customWidth="1" outlineLevel="1"/>
    <col min="62" max="67" width="5.75" customWidth="1" outlineLevel="1"/>
    <col min="68" max="68" width="4.25" customWidth="1" outlineLevel="1"/>
    <col min="69" max="69" width="5.125" customWidth="1" outlineLevel="1"/>
    <col min="70" max="70" width="5.25" bestFit="1" customWidth="1"/>
    <col min="71" max="75" width="5.25" customWidth="1" outlineLevel="1"/>
    <col min="76" max="76" width="5" customWidth="1" outlineLevel="1"/>
    <col min="77" max="82" width="5.25" customWidth="1" outlineLevel="1"/>
    <col min="83" max="84" width="9" customWidth="1" outlineLevel="1"/>
    <col min="85" max="85" width="5.25" customWidth="1" outlineLevel="1"/>
    <col min="88" max="89" width="9" customWidth="1" outlineLevel="1"/>
    <col min="90" max="90" width="6.5" customWidth="1" outlineLevel="1"/>
    <col min="91" max="91" width="9" style="22" customWidth="1" outlineLevel="1"/>
    <col min="92" max="92" width="9" customWidth="1" outlineLevel="1"/>
    <col min="93" max="94" width="10" customWidth="1" outlineLevel="1"/>
    <col min="95" max="95" width="31.125" customWidth="1" outlineLevel="1"/>
  </cols>
  <sheetData>
    <row r="1" spans="1:97" s="2" customFormat="1" ht="36" customHeight="1" thickBot="1" x14ac:dyDescent="0.3">
      <c r="A1" s="18" t="s">
        <v>193</v>
      </c>
      <c r="B1" s="18" t="s">
        <v>192</v>
      </c>
      <c r="C1" s="21" t="s">
        <v>191</v>
      </c>
      <c r="D1" s="21" t="s">
        <v>190</v>
      </c>
      <c r="E1" s="21" t="s">
        <v>189</v>
      </c>
      <c r="F1" s="20" t="s">
        <v>188</v>
      </c>
      <c r="G1" s="20" t="s">
        <v>187</v>
      </c>
      <c r="H1" s="20" t="s">
        <v>186</v>
      </c>
      <c r="I1" s="20" t="s">
        <v>185</v>
      </c>
      <c r="J1" s="19" t="s">
        <v>184</v>
      </c>
      <c r="K1" s="19" t="s">
        <v>183</v>
      </c>
      <c r="L1" s="19" t="s">
        <v>182</v>
      </c>
      <c r="M1" s="28" t="s">
        <v>181</v>
      </c>
      <c r="N1" s="20" t="s">
        <v>180</v>
      </c>
      <c r="O1" s="19" t="s">
        <v>179</v>
      </c>
      <c r="P1" s="19" t="s">
        <v>178</v>
      </c>
      <c r="Q1" s="18" t="s">
        <v>177</v>
      </c>
      <c r="R1" s="18" t="s">
        <v>176</v>
      </c>
      <c r="S1" s="16" t="s">
        <v>175</v>
      </c>
      <c r="T1" s="16" t="s">
        <v>174</v>
      </c>
      <c r="U1" s="16" t="s">
        <v>173</v>
      </c>
      <c r="V1" s="17" t="s">
        <v>172</v>
      </c>
      <c r="W1" s="16" t="s">
        <v>1240</v>
      </c>
      <c r="X1" s="16" t="s">
        <v>170</v>
      </c>
      <c r="Y1" s="16" t="s">
        <v>264</v>
      </c>
      <c r="Z1" s="15" t="s">
        <v>168</v>
      </c>
      <c r="AA1" s="15" t="s">
        <v>167</v>
      </c>
      <c r="AB1" s="11" t="s">
        <v>166</v>
      </c>
      <c r="AC1" s="11" t="s">
        <v>165</v>
      </c>
      <c r="AD1" s="11" t="s">
        <v>164</v>
      </c>
      <c r="AE1" s="14" t="s">
        <v>163</v>
      </c>
      <c r="AF1" s="14" t="s">
        <v>162</v>
      </c>
      <c r="AG1" s="14" t="s">
        <v>161</v>
      </c>
      <c r="AH1" s="14" t="s">
        <v>160</v>
      </c>
      <c r="AI1" s="14" t="s">
        <v>159</v>
      </c>
      <c r="AJ1" s="14" t="s">
        <v>158</v>
      </c>
      <c r="AK1" s="14" t="s">
        <v>157</v>
      </c>
      <c r="AL1" s="13" t="s">
        <v>156</v>
      </c>
      <c r="AM1" s="13" t="s">
        <v>155</v>
      </c>
      <c r="AN1" s="12" t="s">
        <v>154</v>
      </c>
      <c r="AO1" s="11" t="s">
        <v>152</v>
      </c>
      <c r="AP1" s="11" t="s">
        <v>151</v>
      </c>
      <c r="AQ1" s="11" t="s">
        <v>150</v>
      </c>
      <c r="AR1" s="11" t="s">
        <v>149</v>
      </c>
      <c r="AS1" s="11" t="s">
        <v>148</v>
      </c>
      <c r="AT1" s="11" t="s">
        <v>147</v>
      </c>
      <c r="AU1" s="11" t="s">
        <v>146</v>
      </c>
      <c r="AV1" s="11" t="s">
        <v>145</v>
      </c>
      <c r="AW1" s="11" t="s">
        <v>144</v>
      </c>
      <c r="AX1" s="11" t="s">
        <v>143</v>
      </c>
      <c r="AY1" s="10" t="s">
        <v>142</v>
      </c>
      <c r="AZ1" s="10" t="s">
        <v>141</v>
      </c>
      <c r="BA1" s="8" t="s">
        <v>140</v>
      </c>
      <c r="BB1" s="10" t="s">
        <v>139</v>
      </c>
      <c r="BC1" s="9" t="s">
        <v>138</v>
      </c>
      <c r="BD1" s="8" t="s">
        <v>137</v>
      </c>
      <c r="BE1" s="8" t="s">
        <v>136</v>
      </c>
      <c r="BF1" s="6" t="s">
        <v>135</v>
      </c>
      <c r="BG1" s="6" t="s">
        <v>134</v>
      </c>
      <c r="BH1" s="6" t="s">
        <v>133</v>
      </c>
      <c r="BI1" s="6" t="s">
        <v>132</v>
      </c>
      <c r="BJ1" s="6" t="s">
        <v>131</v>
      </c>
      <c r="BK1" s="6" t="s">
        <v>130</v>
      </c>
      <c r="BL1" s="6" t="s">
        <v>66</v>
      </c>
      <c r="BM1" s="7" t="s">
        <v>129</v>
      </c>
      <c r="BN1" s="6" t="s">
        <v>128</v>
      </c>
      <c r="BO1" s="6" t="s">
        <v>127</v>
      </c>
      <c r="BP1" s="5" t="s">
        <v>126</v>
      </c>
      <c r="BQ1" s="5" t="s">
        <v>125</v>
      </c>
      <c r="BR1" s="3" t="s">
        <v>124</v>
      </c>
      <c r="BS1" s="3" t="s">
        <v>123</v>
      </c>
      <c r="BT1" s="3" t="s">
        <v>122</v>
      </c>
      <c r="BU1" s="3" t="s">
        <v>121</v>
      </c>
      <c r="BV1" s="3" t="s">
        <v>120</v>
      </c>
      <c r="BW1" s="3" t="s">
        <v>119</v>
      </c>
      <c r="BX1" s="4" t="s">
        <v>118</v>
      </c>
      <c r="BY1" s="3" t="s">
        <v>117</v>
      </c>
      <c r="BZ1" s="3" t="s">
        <v>116</v>
      </c>
      <c r="CA1" s="3" t="s">
        <v>115</v>
      </c>
      <c r="CB1" s="3" t="s">
        <v>114</v>
      </c>
      <c r="CC1" s="3" t="s">
        <v>113</v>
      </c>
      <c r="CD1" s="3" t="s">
        <v>112</v>
      </c>
      <c r="CE1" s="3" t="s">
        <v>111</v>
      </c>
      <c r="CF1" s="3" t="s">
        <v>110</v>
      </c>
      <c r="CG1" s="3" t="s">
        <v>109</v>
      </c>
      <c r="CH1" s="2" t="s">
        <v>108</v>
      </c>
      <c r="CI1" s="2" t="s">
        <v>263</v>
      </c>
      <c r="CJ1" s="2" t="s">
        <v>170</v>
      </c>
      <c r="CK1" s="2" t="s">
        <v>262</v>
      </c>
      <c r="CL1" s="2" t="s">
        <v>107</v>
      </c>
      <c r="CM1" s="27" t="s">
        <v>261</v>
      </c>
      <c r="CN1" s="2" t="s">
        <v>105</v>
      </c>
      <c r="CO1" s="2" t="s">
        <v>104</v>
      </c>
      <c r="CP1" s="2" t="s">
        <v>103</v>
      </c>
      <c r="CQ1" s="2" t="s">
        <v>102</v>
      </c>
      <c r="CR1" s="2" t="s">
        <v>260</v>
      </c>
      <c r="CS1" s="2" t="s">
        <v>1036</v>
      </c>
    </row>
    <row r="2" spans="1:97" x14ac:dyDescent="0.4">
      <c r="A2" s="1" t="s">
        <v>258</v>
      </c>
      <c r="B2" s="1" t="s">
        <v>258</v>
      </c>
      <c r="C2" s="1" t="s">
        <v>258</v>
      </c>
      <c r="D2" s="1" t="s">
        <v>258</v>
      </c>
      <c r="E2" s="1" t="s">
        <v>258</v>
      </c>
      <c r="F2" s="1" t="s">
        <v>258</v>
      </c>
      <c r="G2" s="1" t="s">
        <v>258</v>
      </c>
      <c r="H2" s="1" t="s">
        <v>258</v>
      </c>
      <c r="I2" s="1" t="s">
        <v>258</v>
      </c>
      <c r="J2" s="1" t="s">
        <v>258</v>
      </c>
      <c r="K2" s="1" t="s">
        <v>258</v>
      </c>
      <c r="L2" s="1" t="s">
        <v>258</v>
      </c>
      <c r="M2" s="1" t="s">
        <v>258</v>
      </c>
      <c r="N2" t="s">
        <v>259</v>
      </c>
      <c r="O2" s="26" t="s">
        <v>258</v>
      </c>
      <c r="P2" s="26" t="s">
        <v>258</v>
      </c>
      <c r="Q2" s="1" t="s">
        <v>258</v>
      </c>
      <c r="R2" s="1" t="s">
        <v>258</v>
      </c>
      <c r="S2" s="1" t="s">
        <v>258</v>
      </c>
      <c r="T2" s="1" t="s">
        <v>258</v>
      </c>
      <c r="U2" s="1" t="s">
        <v>258</v>
      </c>
      <c r="V2" s="1" t="s">
        <v>258</v>
      </c>
      <c r="W2" s="1" t="s">
        <v>258</v>
      </c>
      <c r="X2" s="1" t="s">
        <v>258</v>
      </c>
      <c r="Y2" s="1" t="s">
        <v>258</v>
      </c>
      <c r="Z2" s="1" t="s">
        <v>258</v>
      </c>
      <c r="CR2" t="str">
        <f>"e_"&amp;ROW(CR2)</f>
        <v>e_2</v>
      </c>
    </row>
    <row r="3" spans="1:97" x14ac:dyDescent="0.4">
      <c r="A3" t="str">
        <f t="shared" ref="A3:A34" si="0">D3&amp;"の"&amp;C3</f>
        <v>鉄の短刀</v>
      </c>
      <c r="B3" t="str">
        <f>IFERROR(VLOOKUP($D3,素材!$1:$1016,COLUMN($B$1),FALSE)&amp;"・"&amp;VLOOKUP($C3,武器!$1:$998,COLUMN(B$1),FALSE),"")</f>
        <v>アイアン・ナイフ</v>
      </c>
      <c r="C3" s="24" t="s">
        <v>242</v>
      </c>
      <c r="D3" s="24" t="s">
        <v>257</v>
      </c>
      <c r="E3" t="str">
        <f>IFERROR(VLOOKUP(C3,武器!$1:$998,COLUMN(C$1),FALSE),"")</f>
        <v>武器</v>
      </c>
      <c r="F3">
        <f>IFERROR(ROUNDDOWN((VLOOKUP($C3,武器!$1:$998,COLUMN(D$1),FALSE)+IFERROR(VLOOKUP($CI3,装強!$1:$999,COLUMN(F$1),FALSE),0))*VLOOKUP($D3,素材!$1:$1016,COLUMN(D$1),FALSE),0),"")</f>
        <v>100</v>
      </c>
      <c r="G3">
        <f>IFERROR(ROUNDDOWN((VLOOKUP($C3,武器!$1:$998,COLUMN(E$1),FALSE)+IFERROR(VLOOKUP($CI3,装強!$1:$999,COLUMN(G$1),FALSE),0))*VLOOKUP($D3,素材!$1:$1016,COLUMN($E$1),FALSE),0),"")</f>
        <v>10</v>
      </c>
      <c r="H3">
        <f>IFERROR(ROUNDDOWN((VLOOKUP($C3,武器!$1:$998,COLUMN(F$1),FALSE)+IFERROR(VLOOKUP($CI3,装強!$1:$999,COLUMN(H$1),FALSE),0))*VLOOKUP($D3,素材!$1:$1016,COLUMN($E$1),FALSE),0),"")</f>
        <v>8</v>
      </c>
      <c r="I3">
        <f>IFERROR(ROUNDDOWN((VLOOKUP($C3,武器!$1:$998,COLUMN(G$1),FALSE)+IFERROR(VLOOKUP($CI3,装強!$1:$999,COLUMN(I$1),FALSE),0))*VLOOKUP($D3,素材!$1:$1016,COLUMN($E$1),FALSE),0),"")</f>
        <v>2</v>
      </c>
      <c r="J3">
        <f>IFERROR(ROUNDDOWN((VLOOKUP($C3,武器!$1:$998,COLUMN(H$1),FALSE)+IFERROR(VLOOKUP($CI3,装強!$1:$999,COLUMN(J$1),FALSE),0))*VLOOKUP($D3,素材!$1:$1016,COLUMN($E$1),FALSE),0),"")</f>
        <v>13</v>
      </c>
      <c r="K3">
        <f>IFERROR(ROUNDDOWN((VLOOKUP($C3,武器!$1:$998,COLUMN(I$1),FALSE)+IFERROR(VLOOKUP($CI3,装強!$1:$999,COLUMN(K$1),FALSE),0))*VLOOKUP($D3,素材!$1:$1016,COLUMN($E$1),FALSE),0),"")</f>
        <v>0</v>
      </c>
      <c r="L3">
        <f>IFERROR(VLOOKUP($D3,素材!$1:$1016,COLUMN($F$1),FALSE),"")</f>
        <v>0</v>
      </c>
      <c r="M3">
        <f>IFERROR(VLOOKUP($C3,武器!$1:$998,COLUMN(AA$1),FALSE)*VLOOKUP($D3,素材!$1:$1016,COLUMN($G$1),FALSE),"")</f>
        <v>0</v>
      </c>
      <c r="N3">
        <f>IFERROR(VLOOKUP($C3,武器!$1:$998,COLUMN(I$1),FALSE),"")</f>
        <v>0</v>
      </c>
      <c r="O3" s="23">
        <f>IFERROR((VLOOKUP($C3,武器!$1:$998,COLUMN(K$1),FALSE)+VLOOKUP($D3,素材!$1:$1016,COLUMN(H$1),FALSE))*100+IFERROR(VLOOKUP($CI3,装強!$1:$999,COLUMN(O$1),FALSE),0),"")</f>
        <v>10</v>
      </c>
      <c r="P3" s="23">
        <f>IFERROR((VLOOKUP($C3,武器!$1:$998,COLUMN(L$1),FALSE)+VLOOKUP($D3,素材!$1:$1016,COLUMN(I$1),FALSE))*100+IFERROR(VLOOKUP($CI3,装強!$1:$999,COLUMN(P$1),FALSE),0),"")</f>
        <v>175</v>
      </c>
      <c r="Q3">
        <f>IFERROR(ROUNDUP(VLOOKUP($C3,武器!$1:$998,COLUMN(M$1),FALSE)*(VLOOKUP($D3,素材!$1:$1002,COLUMN(D$1),FALSE)/100),1),"")</f>
        <v>0</v>
      </c>
      <c r="R3">
        <f>IFERROR(ROUNDUP(VLOOKUP($C3,武器!$1:$998,COLUMN(N$1),FALSE)*(VLOOKUP($D3,素材!$1:$1002,COLUMN(D$1),FALSE)/100),1),"")</f>
        <v>0</v>
      </c>
      <c r="S3">
        <f>IFERROR(VLOOKUP($C3,武器!$1:$998,COLUMN(P$1),FALSE),"")</f>
        <v>0</v>
      </c>
      <c r="T3">
        <f>IFERROR(VLOOKUP($C3,武器!$1:$998,COLUMN(Q$1),FALSE),"")</f>
        <v>0</v>
      </c>
      <c r="U3">
        <f>IFERROR(VLOOKUP($C3,武器!$1:$998,COLUMN(R$1),FALSE),"")</f>
        <v>0</v>
      </c>
      <c r="V3">
        <f>IFERROR(VLOOKUP($C3,武器!$1:$998,COLUMN(Q$1),FALSE),"")</f>
        <v>0</v>
      </c>
      <c r="W3" t="str">
        <f>IFERROR(VLOOKUP($C3,武器!$1:$998,COLUMN(T$1),FALSE),"")</f>
        <v>A</v>
      </c>
      <c r="Y3" t="str">
        <f>IFERROR(VLOOKUP($C3,武器!$1:$998,COLUMN(U$1),FALSE),"")</f>
        <v>暗殺強化,片手適正Ⅱ</v>
      </c>
      <c r="Z3">
        <f>IFERROR(ROUNDUP(VLOOKUP($C3,武器!$1:$998,COLUMN(O$1),FALSE)*VLOOKUP($D3,素材!$1:$1016,COLUMN(E$1),FALSE),1),"")</f>
        <v>0</v>
      </c>
      <c r="AA3">
        <f>IF(ISNUMBER(SEARCH(SUBSTITUTE(AA$1,RIGHT(AA$1,2),""),VLOOKUP($D3,素材!$1:$1016,COLUMN($F$1),FALSE))),VLOOKUP($C3,武器!$1:$998,COLUMN($O$1),FALSE)*VLOOKUP($D3,素材!$1:$1016,COLUMN($E$1),FALSE)/(LEN(VLOOKUP($D3,素材!$1:$1016,COLUMN($F$1),FALSE)) - LEN(SUBSTITUTE(VLOOKUP($D3,素材!$1:$1016,COLUMN($F$1),FALSE), "・", 0)) + 1), 0)</f>
        <v>0</v>
      </c>
      <c r="AB3">
        <f>IF(ISNUMBER(SEARCH(SUBSTITUTE(AB$1,RIGHT(AB$1,2),""),VLOOKUP($D3,素材!$1:$1016,COLUMN($F$1),FALSE))),VLOOKUP($C3,武器!$1:$998,COLUMN($O$1),FALSE)*VLOOKUP($D3,素材!$1:$1016,COLUMN($E$1),FALSE)/(LEN(VLOOKUP($D3,素材!$1:$1016,COLUMN($F$1),FALSE)) - LEN(SUBSTITUTE(VLOOKUP($D3,素材!$1:$1016,COLUMN($F$1),FALSE), "・", 0)) + 1), 0)</f>
        <v>0</v>
      </c>
      <c r="AC3">
        <f>IF(ISNUMBER(SEARCH(SUBSTITUTE(AC$1,RIGHT(AC$1,2),""),VLOOKUP($D3,素材!$1:$1016,COLUMN($F$1),FALSE))),VLOOKUP($C3,武器!$1:$998,COLUMN($O$1),FALSE)*VLOOKUP($D3,素材!$1:$1016,COLUMN($E$1),FALSE)/(LEN(VLOOKUP($D3,素材!$1:$1016,COLUMN($F$1),FALSE)) - LEN(SUBSTITUTE(VLOOKUP($D3,素材!$1:$1016,COLUMN($F$1),FALSE), "・", 0)) + 1), 0)</f>
        <v>0</v>
      </c>
      <c r="AD3">
        <f>IF(ISNUMBER(SEARCH(SUBSTITUTE(AD$1,RIGHT(AD$1,2),""),VLOOKUP($D3,素材!$1:$1016,COLUMN($F$1),FALSE))),VLOOKUP($C3,武器!$1:$998,COLUMN($O$1),FALSE)*VLOOKUP($D3,素材!$1:$1016,COLUMN($E$1),FALSE)/(LEN(VLOOKUP($D3,素材!$1:$1016,COLUMN($F$1),FALSE)) - LEN(SUBSTITUTE(VLOOKUP($D3,素材!$1:$1016,COLUMN($F$1),FALSE), "・", 0)) + 1), 0)</f>
        <v>0</v>
      </c>
      <c r="AE3">
        <f>IF(ISNUMBER(SEARCH(SUBSTITUTE(AE$1,RIGHT(AE$1,2),""),VLOOKUP($D3,素材!$1:$1016,COLUMN($F$1),FALSE))),VLOOKUP($C3,武器!$1:$998,COLUMN($O$1),FALSE)*VLOOKUP($D3,素材!$1:$1016,COLUMN($E$1),FALSE)/(LEN(VLOOKUP($D3,素材!$1:$1016,COLUMN($F$1),FALSE)) - LEN(SUBSTITUTE(VLOOKUP($D3,素材!$1:$1016,COLUMN($F$1),FALSE), "・", 0)) + 1), 0)</f>
        <v>0</v>
      </c>
      <c r="AF3">
        <f>IF(ISNUMBER(SEARCH(SUBSTITUTE(AF$1,RIGHT(AF$1,2),""),VLOOKUP($D3,素材!$1:$1016,COLUMN($F$1),FALSE))),VLOOKUP($C3,武器!$1:$998,COLUMN($O$1),FALSE)*VLOOKUP($D3,素材!$1:$1016,COLUMN($E$1),FALSE)/(LEN(VLOOKUP($D3,素材!$1:$1016,COLUMN($F$1),FALSE)) - LEN(SUBSTITUTE(VLOOKUP($D3,素材!$1:$1016,COLUMN($F$1),FALSE), "・", 0)) + 1), 0)</f>
        <v>0</v>
      </c>
      <c r="AG3">
        <f>IF(ISNUMBER(SEARCH(SUBSTITUTE(AG$1,RIGHT(AG$1,2),""),VLOOKUP($D3,素材!$1:$1016,COLUMN($F$1),FALSE))),VLOOKUP($C3,武器!$1:$998,COLUMN($O$1),FALSE)*VLOOKUP($D3,素材!$1:$1016,COLUMN($E$1),FALSE)/(LEN(VLOOKUP($D3,素材!$1:$1016,COLUMN($F$1),FALSE)) - LEN(SUBSTITUTE(VLOOKUP($D3,素材!$1:$1016,COLUMN($F$1),FALSE), "・", 0)) + 1), 0)</f>
        <v>0</v>
      </c>
      <c r="AH3">
        <f>IF(ISNUMBER(SEARCH(SUBSTITUTE(AH$1,RIGHT(AH$1,2),""),VLOOKUP($D3,素材!$1:$1016,COLUMN($F$1),FALSE))),VLOOKUP($C3,武器!$1:$998,COLUMN($O$1),FALSE)*VLOOKUP($D3,素材!$1:$1016,COLUMN($E$1),FALSE)/(LEN(VLOOKUP($D3,素材!$1:$1016,COLUMN($F$1),FALSE)) - LEN(SUBSTITUTE(VLOOKUP($D3,素材!$1:$1016,COLUMN($F$1),FALSE), "・", 0)) + 1), 0)</f>
        <v>0</v>
      </c>
      <c r="AI3">
        <f>IF(ISNUMBER(SEARCH(SUBSTITUTE(AI$1,RIGHT(AI$1,2),""),VLOOKUP($D3,素材!$1:$1016,COLUMN($F$1),FALSE))),VLOOKUP($C3,武器!$1:$998,COLUMN($O$1),FALSE)*VLOOKUP($D3,素材!$1:$1016,COLUMN($E$1),FALSE)/(LEN(VLOOKUP($D3,素材!$1:$1016,COLUMN($F$1),FALSE)) - LEN(SUBSTITUTE(VLOOKUP($D3,素材!$1:$1016,COLUMN($F$1),FALSE), "・", 0)) + 1), 0)</f>
        <v>0</v>
      </c>
      <c r="AJ3">
        <f>IF(ISNUMBER(SEARCH(SUBSTITUTE(AJ$1,RIGHT(AJ$1,2),""),VLOOKUP($D3,素材!$1:$1016,COLUMN($F$1),FALSE))),VLOOKUP($C3,武器!$1:$998,COLUMN($O$1),FALSE)*VLOOKUP($D3,素材!$1:$1016,COLUMN($E$1),FALSE)/(LEN(VLOOKUP($D3,素材!$1:$1016,COLUMN($F$1),FALSE)) - LEN(SUBSTITUTE(VLOOKUP($D3,素材!$1:$1016,COLUMN($F$1),FALSE), "・", 0)) + 1), 0)</f>
        <v>0</v>
      </c>
      <c r="AK3">
        <f>IF(ISNUMBER(SEARCH(SUBSTITUTE(AK$1,RIGHT(AK$1,2),""),VLOOKUP($D3,素材!$1:$1016,COLUMN($F$1),FALSE))),VLOOKUP($C3,武器!$1:$998,COLUMN($O$1),FALSE)*VLOOKUP($D3,素材!$1:$1016,COLUMN($E$1),FALSE)/(LEN(VLOOKUP($D3,素材!$1:$1016,COLUMN($F$1),FALSE)) - LEN(SUBSTITUTE(VLOOKUP($D3,素材!$1:$1016,COLUMN($F$1),FALSE), "・", 0)) + 1), 0)</f>
        <v>0</v>
      </c>
      <c r="AL3">
        <f>IF(ISNUMBER(SEARCH(SUBSTITUTE(AL$1,RIGHT(AL$1,2),""),VLOOKUP($D3,素材!$1:$1016,COLUMN($F$1),FALSE))),VLOOKUP($C3,武器!$1:$998,COLUMN($O$1),FALSE)*VLOOKUP($D3,素材!$1:$1016,COLUMN($E$1),FALSE)/(LEN(VLOOKUP($D3,素材!$1:$1016,COLUMN($F$1),FALSE)) - LEN(SUBSTITUTE(VLOOKUP($D3,素材!$1:$1016,COLUMN($F$1),FALSE), "・", 0)) + 1), 0)</f>
        <v>0</v>
      </c>
      <c r="AM3">
        <f>IF(ISNUMBER(SEARCH(SUBSTITUTE(AM$1,RIGHT(AM$1,2),""),VLOOKUP($D3,素材!$1:$1016,COLUMN($F$1),FALSE))),VLOOKUP($C3,武器!$1:$998,COLUMN($O$1),FALSE)*VLOOKUP($D3,素材!$1:$1016,COLUMN($E$1),FALSE)/(LEN(VLOOKUP($D3,素材!$1:$1016,COLUMN($F$1),FALSE)) - LEN(SUBSTITUTE(VLOOKUP($D3,素材!$1:$1016,COLUMN($F$1),FALSE), "・", 0)) + 1), 0)</f>
        <v>0</v>
      </c>
      <c r="AN3">
        <f>IF(ISNUMBER(SEARCH(SUBSTITUTE(AN$1,RIGHT(AN$1,2),""),VLOOKUP($D3,素材!$1:$1016,COLUMN($F$1),FALSE))),VLOOKUP($C3,武器!$1:$998,COLUMN($O$1),FALSE)*VLOOKUP($D3,素材!$1:$1016,COLUMN($E$1),FALSE)/(LEN(VLOOKUP($D3,素材!$1:$1016,COLUMN($F$1),FALSE)) - LEN(SUBSTITUTE(VLOOKUP($D3,素材!$1:$1016,COLUMN($F$1),FALSE), "・", 0)) + 1), 0)</f>
        <v>0</v>
      </c>
      <c r="AO3">
        <f>IF(ISNUMBER(SEARCH(SUBSTITUTE(AO$1,RIGHT(AO$1,2),""),VLOOKUP($D3,素材!$1:$1016,COLUMN($F$1),FALSE))),VLOOKUP($C3,武器!$1:$998,COLUMN($O$1),FALSE)*VLOOKUP($D3,素材!$1:$1016,COLUMN($E$1),FALSE)/(LEN(VLOOKUP($D3,素材!$1:$1016,COLUMN($F$1),FALSE)) - LEN(SUBSTITUTE(VLOOKUP($D3,素材!$1:$1016,COLUMN($F$1),FALSE), "・", 0)) + 1), 0)</f>
        <v>0</v>
      </c>
      <c r="AP3">
        <f>IF(ISNUMBER(SEARCH(SUBSTITUTE(AP$1,RIGHT(AP$1,2),""),VLOOKUP($D3,素材!$1:$1016,COLUMN($F$1),FALSE))),VLOOKUP($C3,武器!$1:$998,COLUMN($O$1),FALSE)*VLOOKUP($D3,素材!$1:$1016,COLUMN($E$1),FALSE)/(LEN(VLOOKUP($D3,素材!$1:$1016,COLUMN($F$1),FALSE)) - LEN(SUBSTITUTE(VLOOKUP($D3,素材!$1:$1016,COLUMN($F$1),FALSE), "・", 0)) + 1), 0)</f>
        <v>0</v>
      </c>
      <c r="AQ3">
        <f>IF(ISNUMBER(SEARCH(SUBSTITUTE(AQ$1,RIGHT(AQ$1,2),""),VLOOKUP($D3,素材!$1:$1016,COLUMN($F$1),FALSE))),VLOOKUP($C3,武器!$1:$998,COLUMN($O$1),FALSE)*VLOOKUP($D3,素材!$1:$1016,COLUMN($E$1),FALSE)/(LEN(VLOOKUP($D3,素材!$1:$1016,COLUMN($F$1),FALSE)) - LEN(SUBSTITUTE(VLOOKUP($D3,素材!$1:$1016,COLUMN($F$1),FALSE), "・", 0)) + 1), 0)</f>
        <v>0</v>
      </c>
      <c r="AR3">
        <f>IF(ISNUMBER(SEARCH(SUBSTITUTE(AR$1,RIGHT(AR$1,2),""),VLOOKUP($D3,素材!$1:$1016,COLUMN($F$1),FALSE))),VLOOKUP($C3,武器!$1:$998,COLUMN($O$1),FALSE)*VLOOKUP($D3,素材!$1:$1016,COLUMN($E$1),FALSE)/(LEN(VLOOKUP($D3,素材!$1:$1016,COLUMN($F$1),FALSE)) - LEN(SUBSTITUTE(VLOOKUP($D3,素材!$1:$1016,COLUMN($F$1),FALSE), "・", 0)) + 1), 0)</f>
        <v>0</v>
      </c>
      <c r="AS3">
        <f>IF(ISNUMBER(SEARCH(SUBSTITUTE(AS$1,RIGHT(AS$1,2),""),VLOOKUP($D3,素材!$1:$1016,COLUMN($F$1),FALSE))),VLOOKUP($C3,武器!$1:$998,COLUMN($O$1),FALSE)*VLOOKUP($D3,素材!$1:$1016,COLUMN($E$1),FALSE)/(LEN(VLOOKUP($D3,素材!$1:$1016,COLUMN($F$1),FALSE)) - LEN(SUBSTITUTE(VLOOKUP($D3,素材!$1:$1016,COLUMN($F$1),FALSE), "・", 0)) + 1), 0)</f>
        <v>0</v>
      </c>
      <c r="AT3">
        <f>IF(ISNUMBER(SEARCH(SUBSTITUTE(AT$1,RIGHT(AT$1,2),""),VLOOKUP($D3,素材!$1:$1016,COLUMN($F$1),FALSE))),VLOOKUP($C3,武器!$1:$998,COLUMN($O$1),FALSE)*VLOOKUP($D3,素材!$1:$1016,COLUMN($E$1),FALSE)/(LEN(VLOOKUP($D3,素材!$1:$1016,COLUMN($F$1),FALSE)) - LEN(SUBSTITUTE(VLOOKUP($D3,素材!$1:$1016,COLUMN($F$1),FALSE), "・", 0)) + 1), 0)</f>
        <v>0</v>
      </c>
      <c r="AU3">
        <f>IF(ISNUMBER(SEARCH(SUBSTITUTE(AU$1,RIGHT(AU$1,2),""),VLOOKUP($D3,素材!$1:$1016,COLUMN($F$1),FALSE))),VLOOKUP($C3,武器!$1:$998,COLUMN($O$1),FALSE)*VLOOKUP($D3,素材!$1:$1016,COLUMN($E$1),FALSE)/(LEN(VLOOKUP($D3,素材!$1:$1016,COLUMN($F$1),FALSE)) - LEN(SUBSTITUTE(VLOOKUP($D3,素材!$1:$1016,COLUMN($F$1),FALSE), "・", 0)) + 1), 0)</f>
        <v>0</v>
      </c>
      <c r="AV3">
        <f>IF(ISNUMBER(SEARCH(SUBSTITUTE(AV$1,RIGHT(AV$1,2),""),VLOOKUP($D3,素材!$1:$1016,COLUMN($F$1),FALSE))),VLOOKUP($C3,武器!$1:$998,COLUMN($O$1),FALSE)*VLOOKUP($D3,素材!$1:$1016,COLUMN($E$1),FALSE)/(LEN(VLOOKUP($D3,素材!$1:$1016,COLUMN($F$1),FALSE)) - LEN(SUBSTITUTE(VLOOKUP($D3,素材!$1:$1016,COLUMN($F$1),FALSE), "・", 0)) + 1), 0)</f>
        <v>0</v>
      </c>
      <c r="AW3">
        <f>IF(ISNUMBER(SEARCH(SUBSTITUTE(AW$1,RIGHT(AW$1,2),""),VLOOKUP($D3,素材!$1:$1016,COLUMN($F$1),FALSE))),VLOOKUP($C3,武器!$1:$998,COLUMN($O$1),FALSE)*VLOOKUP($D3,素材!$1:$1016,COLUMN($E$1),FALSE)/(LEN(VLOOKUP($D3,素材!$1:$1016,COLUMN($F$1),FALSE)) - LEN(SUBSTITUTE(VLOOKUP($D3,素材!$1:$1016,COLUMN($F$1),FALSE), "・", 0)) + 1), 0)</f>
        <v>0</v>
      </c>
      <c r="AX3">
        <f>IF(ISNUMBER(SEARCH(SUBSTITUTE(AX$1,RIGHT(AX$1,2),""),VLOOKUP($D3,素材!$1:$1016,COLUMN($F$1),FALSE))),VLOOKUP($C3,武器!$1:$998,COLUMN($O$1),FALSE)*VLOOKUP($D3,素材!$1:$1016,COLUMN($E$1),FALSE)/(LEN(VLOOKUP($D3,素材!$1:$1016,COLUMN($F$1),FALSE)) - LEN(SUBSTITUTE(VLOOKUP($D3,素材!$1:$1016,COLUMN($F$1),FALSE), "・", 0)) + 1), 0)</f>
        <v>0</v>
      </c>
      <c r="AY3">
        <f>IF(ISNUMBER(SEARCH(SUBSTITUTE(AY$1,RIGHT(AY$1,2),""),VLOOKUP($D3,素材!$1:$1016,COLUMN($F$1),FALSE))),VLOOKUP($C3,武器!$1:$998,COLUMN($O$1),FALSE)*VLOOKUP($D3,素材!$1:$1016,COLUMN($E$1),FALSE)/(LEN(VLOOKUP($D3,素材!$1:$1016,COLUMN($F$1),FALSE)) - LEN(SUBSTITUTE(VLOOKUP($D3,素材!$1:$1016,COLUMN($F$1),FALSE), "・", 0)) + 1), 0)</f>
        <v>0</v>
      </c>
      <c r="AZ3">
        <f>IF(ISNUMBER(SEARCH(SUBSTITUTE(AZ$1,RIGHT(AZ$1,2),""),VLOOKUP($D3,素材!$1:$1016,COLUMN($F$1),FALSE))),VLOOKUP($C3,武器!$1:$998,COLUMN($O$1),FALSE)*VLOOKUP($D3,素材!$1:$1016,COLUMN($E$1),FALSE)/(LEN(VLOOKUP($D3,素材!$1:$1016,COLUMN($F$1),FALSE)) - LEN(SUBSTITUTE(VLOOKUP($D3,素材!$1:$1016,COLUMN($F$1),FALSE), "・", 0)) + 1), 0)</f>
        <v>0</v>
      </c>
      <c r="BA3">
        <f>IF(ISNUMBER(SEARCH(SUBSTITUTE(BA$1,RIGHT(BA$1,2),""),VLOOKUP($D3,素材!$1:$1016,COLUMN($F$1),FALSE))),VLOOKUP($C3,武器!$1:$998,COLUMN($O$1),FALSE)*VLOOKUP($D3,素材!$1:$1016,COLUMN($E$1),FALSE)/(LEN(VLOOKUP($D3,素材!$1:$1016,COLUMN($F$1),FALSE)) - LEN(SUBSTITUTE(VLOOKUP($D3,素材!$1:$1016,COLUMN($F$1),FALSE), "・", 0)) + 1), 0)</f>
        <v>0</v>
      </c>
      <c r="BB3">
        <f>IF(ISNUMBER(SEARCH(SUBSTITUTE(BB$1,RIGHT(BB$1,2),""),VLOOKUP($D3,素材!$1:$1016,COLUMN($F$1),FALSE))),VLOOKUP($C3,武器!$1:$998,COLUMN($O$1),FALSE)*VLOOKUP($D3,素材!$1:$1016,COLUMN($E$1),FALSE)/(LEN(VLOOKUP($D3,素材!$1:$1016,COLUMN($F$1),FALSE)) - LEN(SUBSTITUTE(VLOOKUP($D3,素材!$1:$1016,COLUMN($F$1),FALSE), "・", 0)) + 1), 0)</f>
        <v>0</v>
      </c>
      <c r="BC3">
        <f>IF(ISNUMBER(SEARCH(SUBSTITUTE(BC$1,RIGHT(BC$1,2),""),VLOOKUP($D3,素材!$1:$1016,COLUMN($F$1),FALSE))),VLOOKUP($C3,武器!$1:$998,COLUMN($O$1),FALSE)*VLOOKUP($D3,素材!$1:$1016,COLUMN($E$1),FALSE)/(LEN(VLOOKUP($D3,素材!$1:$1016,COLUMN($F$1),FALSE)) - LEN(SUBSTITUTE(VLOOKUP($D3,素材!$1:$1016,COLUMN($F$1),FALSE), "・", 0)) + 1), 0)</f>
        <v>0</v>
      </c>
      <c r="BD3">
        <f>IF(ISNUMBER(SEARCH(SUBSTITUTE(BD$1,RIGHT(BD$1,2),""),VLOOKUP($D3,素材!$1:$1016,COLUMN($F$1),FALSE))),VLOOKUP($C3,武器!$1:$998,COLUMN($O$1),FALSE)*VLOOKUP($D3,素材!$1:$1016,COLUMN($E$1),FALSE)/(LEN(VLOOKUP($D3,素材!$1:$1016,COLUMN($F$1),FALSE)) - LEN(SUBSTITUTE(VLOOKUP($D3,素材!$1:$1016,COLUMN($F$1),FALSE), "・", 0)) + 1), 0)</f>
        <v>0</v>
      </c>
      <c r="BE3">
        <f>IF(ISNUMBER(SEARCH(SUBSTITUTE(BE$1,RIGHT(BE$1,2),""),VLOOKUP($D3,素材!$1:$1016,COLUMN($F$1),FALSE))),VLOOKUP($C3,武器!$1:$998,COLUMN($O$1),FALSE)*VLOOKUP($D3,素材!$1:$1016,COLUMN($E$1),FALSE)/(LEN(VLOOKUP($D3,素材!$1:$1016,COLUMN($F$1),FALSE)) - LEN(SUBSTITUTE(VLOOKUP($D3,素材!$1:$1016,COLUMN($F$1),FALSE), "・", 0)) + 1), 0)</f>
        <v>0</v>
      </c>
      <c r="CL3">
        <f>SUM(G3:I3)</f>
        <v>20</v>
      </c>
      <c r="CM3" s="22" t="str">
        <f>IF(E3="武器",IF(J3-1&gt;SUM(G3:I3),"盾",IF(MAX(G3:I3)=G3,"切断",IF(MAX(G3:I3)=H3,"貫通",IF(MAX(G3:I3)=I3,"打撃","射撃")))),E3)&amp;".webp"</f>
        <v>切断.webp</v>
      </c>
      <c r="CN3">
        <f>IFERROR(VLOOKUP($C3,武器!$1:$998,COLUMN(V$1),FALSE)*VLOOKUP($D3,素材!$1:$1016,COLUMN(N$1),FALSE)+IF(CI3="",0,VLOOKUP($CI3,装強!$1:$1008,COLUMN($CK$1),FALSE)),"")</f>
        <v>200</v>
      </c>
      <c r="CO3" t="str">
        <f>VLOOKUP(D3,素材!$A:$O,COLUMN(素材!O$1),FALSE)</f>
        <v>一般的な鉄。量産品を作るのに使用されることが多い</v>
      </c>
      <c r="CP3" t="str">
        <f>VLOOKUP(C3,武器!$A:$W,COLUMN(武器!W$1),FALSE)</f>
        <v>短刀。暗殺向けの武器で、軽量かつ片手操作に適する。Cr威力が高い</v>
      </c>
      <c r="CR3" t="str">
        <f t="shared" ref="CR3:CR66" si="1">"e_"&amp;ROW(CR3)</f>
        <v>e_3</v>
      </c>
      <c r="CS3">
        <f>CN3*100</f>
        <v>20000</v>
      </c>
    </row>
    <row r="4" spans="1:97" outlineLevel="1" x14ac:dyDescent="0.4">
      <c r="A4" t="str">
        <f t="shared" si="0"/>
        <v>鉄の刀</v>
      </c>
      <c r="B4" t="str">
        <f>IFERROR(VLOOKUP($D4,素材!$1:$1016,COLUMN($B$1),FALSE)&amp;"・"&amp;VLOOKUP($C4,武器!$1:$998,COLUMN(B$1),FALSE),"")</f>
        <v>アイアン・カタナ</v>
      </c>
      <c r="C4" s="24" t="s">
        <v>241</v>
      </c>
      <c r="D4" s="24" t="s">
        <v>257</v>
      </c>
      <c r="E4" t="str">
        <f>IFERROR(VLOOKUP(C4,武器!$1:$998,COLUMN(C$1),FALSE),"")</f>
        <v>武器</v>
      </c>
      <c r="F4">
        <f>IFERROR(ROUNDDOWN((VLOOKUP($C4,武器!$1:$998,COLUMN(D$1),FALSE)+IFERROR(VLOOKUP($CI4,装強!$1:$999,COLUMN(F$1),FALSE),0))*VLOOKUP($D4,素材!$1:$1016,COLUMN(D$1),FALSE),0),"")</f>
        <v>105</v>
      </c>
      <c r="G4">
        <f>IFERROR(ROUNDDOWN((VLOOKUP($C4,武器!$1:$998,COLUMN(E$1),FALSE)+IFERROR(VLOOKUP($CI4,装強!$1:$999,COLUMN(G$1),FALSE),0))*VLOOKUP($D4,素材!$1:$1016,COLUMN($E$1),FALSE),0),"")</f>
        <v>14</v>
      </c>
      <c r="H4">
        <f>IFERROR(ROUNDDOWN((VLOOKUP($C4,武器!$1:$998,COLUMN(F$1),FALSE)+IFERROR(VLOOKUP($CI4,装強!$1:$999,COLUMN(H$1),FALSE),0))*VLOOKUP($D4,素材!$1:$1016,COLUMN($E$1),FALSE),0),"")</f>
        <v>8</v>
      </c>
      <c r="I4">
        <f>IFERROR(ROUNDDOWN((VLOOKUP($C4,武器!$1:$998,COLUMN(G$1),FALSE)+IFERROR(VLOOKUP($CI4,装強!$1:$999,COLUMN(I$1),FALSE),0))*VLOOKUP($D4,素材!$1:$1016,COLUMN($E$1),FALSE),0),"")</f>
        <v>2</v>
      </c>
      <c r="J4">
        <f>IFERROR(ROUNDDOWN((VLOOKUP($C4,武器!$1:$998,COLUMN(H$1),FALSE)+IFERROR(VLOOKUP($CI4,装強!$1:$999,COLUMN(J$1),FALSE),0))*VLOOKUP($D4,素材!$1:$1016,COLUMN($E$1),FALSE),0),"")</f>
        <v>17</v>
      </c>
      <c r="K4">
        <f>IFERROR(ROUNDDOWN((VLOOKUP($C4,武器!$1:$998,COLUMN(I$1),FALSE)+IFERROR(VLOOKUP($CI4,装強!$1:$999,COLUMN(K$1),FALSE),0))*VLOOKUP($D4,素材!$1:$1016,COLUMN($E$1),FALSE),0),"")</f>
        <v>0</v>
      </c>
      <c r="L4">
        <f>IFERROR(VLOOKUP($D4,素材!$1:$1016,COLUMN($F$1),FALSE),"")</f>
        <v>0</v>
      </c>
      <c r="M4">
        <f>IFERROR(VLOOKUP($C4,武器!$1:$998,COLUMN(AA$1),FALSE)*VLOOKUP($D4,素材!$1:$1016,COLUMN($G$1),FALSE),"")</f>
        <v>0</v>
      </c>
      <c r="N4">
        <f>IFERROR(VLOOKUP($C4,武器!$1:$998,COLUMN(I$1),FALSE),"")</f>
        <v>0</v>
      </c>
      <c r="O4" s="23">
        <f>IFERROR((VLOOKUP($C4,武器!$1:$998,COLUMN(K$1),FALSE)+VLOOKUP($D4,素材!$1:$1016,COLUMN(H$1),FALSE))*100+IFERROR(VLOOKUP($CI4,装強!$1:$999,COLUMN(O$1),FALSE),0),"")</f>
        <v>10</v>
      </c>
      <c r="P4" s="23">
        <f>IFERROR((VLOOKUP($C4,武器!$1:$998,COLUMN(L$1),FALSE)+VLOOKUP($D4,素材!$1:$1016,COLUMN(I$1),FALSE))*100+IFERROR(VLOOKUP($CI4,装強!$1:$999,COLUMN(P$1),FALSE),0),"")</f>
        <v>175</v>
      </c>
      <c r="Q4">
        <f>IFERROR(ROUNDUP(VLOOKUP($C4,武器!$1:$998,COLUMN(M$1),FALSE)*(VLOOKUP($D4,素材!$1:$1002,COLUMN(D$1),FALSE)/100),1),"")</f>
        <v>0</v>
      </c>
      <c r="R4">
        <f>IFERROR(ROUNDUP(VLOOKUP($C4,武器!$1:$998,COLUMN(N$1),FALSE)*(VLOOKUP($D4,素材!$1:$1002,COLUMN(D$1),FALSE)/100),1),"")</f>
        <v>0</v>
      </c>
      <c r="S4">
        <f>IFERROR(VLOOKUP($C4,武器!$1:$998,COLUMN(P$1),FALSE),"")</f>
        <v>0</v>
      </c>
      <c r="T4">
        <f>IFERROR(VLOOKUP($C4,武器!$1:$998,COLUMN(Q$1),FALSE),"")</f>
        <v>0</v>
      </c>
      <c r="U4">
        <f>IFERROR(VLOOKUP($C4,武器!$1:$998,COLUMN(R$1),FALSE),"")</f>
        <v>0</v>
      </c>
      <c r="V4">
        <f>IFERROR(VLOOKUP($C4,武器!$1:$998,COLUMN(Q$1),FALSE),"")</f>
        <v>0</v>
      </c>
      <c r="W4" t="str">
        <f>IFERROR(VLOOKUP($C4,武器!$1:$998,COLUMN(T$1),FALSE),"")</f>
        <v>A</v>
      </c>
      <c r="Y4">
        <f>IFERROR(VLOOKUP($C4,武器!$1:$998,COLUMN(U$1),FALSE),"")</f>
        <v>0</v>
      </c>
      <c r="Z4">
        <f>IFERROR(ROUNDUP(VLOOKUP($C4,武器!$1:$998,COLUMN(O$1),FALSE)*VLOOKUP($D4,素材!$1:$1016,COLUMN(E$1),FALSE),1),"")</f>
        <v>0</v>
      </c>
      <c r="AA4">
        <f>IF(ISNUMBER(SEARCH(SUBSTITUTE(AA$1,RIGHT(AA$1,2),""),VLOOKUP($D4,素材!$1:$1016,COLUMN($F$1),FALSE))),VLOOKUP($C4,武器!$1:$998,COLUMN($O$1),FALSE)*VLOOKUP($D4,素材!$1:$1016,COLUMN($E$1),FALSE)/(LEN(VLOOKUP($D4,素材!$1:$1016,COLUMN($F$1),FALSE)) - LEN(SUBSTITUTE(VLOOKUP($D4,素材!$1:$1016,COLUMN($F$1),FALSE), "・", 0)) + 1), 0)</f>
        <v>0</v>
      </c>
      <c r="AB4">
        <f>IF(ISNUMBER(SEARCH(SUBSTITUTE(AB$1,RIGHT(AB$1,2),""),VLOOKUP($D4,素材!$1:$1016,COLUMN($F$1),FALSE))),VLOOKUP($C4,武器!$1:$998,COLUMN($O$1),FALSE)*VLOOKUP($D4,素材!$1:$1016,COLUMN($E$1),FALSE)/(LEN(VLOOKUP($D4,素材!$1:$1016,COLUMN($F$1),FALSE)) - LEN(SUBSTITUTE(VLOOKUP($D4,素材!$1:$1016,COLUMN($F$1),FALSE), "・", 0)) + 1), 0)</f>
        <v>0</v>
      </c>
      <c r="AC4">
        <f>IF(ISNUMBER(SEARCH(SUBSTITUTE(AC$1,RIGHT(AC$1,2),""),VLOOKUP($D4,素材!$1:$1016,COLUMN($F$1),FALSE))),VLOOKUP($C4,武器!$1:$998,COLUMN($O$1),FALSE)*VLOOKUP($D4,素材!$1:$1016,COLUMN($E$1),FALSE)/(LEN(VLOOKUP($D4,素材!$1:$1016,COLUMN($F$1),FALSE)) - LEN(SUBSTITUTE(VLOOKUP($D4,素材!$1:$1016,COLUMN($F$1),FALSE), "・", 0)) + 1), 0)</f>
        <v>0</v>
      </c>
      <c r="AD4">
        <f>IF(ISNUMBER(SEARCH(SUBSTITUTE(AD$1,RIGHT(AD$1,2),""),VLOOKUP($D4,素材!$1:$1016,COLUMN($F$1),FALSE))),VLOOKUP($C4,武器!$1:$998,COLUMN($O$1),FALSE)*VLOOKUP($D4,素材!$1:$1016,COLUMN($E$1),FALSE)/(LEN(VLOOKUP($D4,素材!$1:$1016,COLUMN($F$1),FALSE)) - LEN(SUBSTITUTE(VLOOKUP($D4,素材!$1:$1016,COLUMN($F$1),FALSE), "・", 0)) + 1), 0)</f>
        <v>0</v>
      </c>
      <c r="AE4">
        <f>IF(ISNUMBER(SEARCH(SUBSTITUTE(AE$1,RIGHT(AE$1,2),""),VLOOKUP($D4,素材!$1:$1016,COLUMN($F$1),FALSE))),VLOOKUP($C4,武器!$1:$998,COLUMN($O$1),FALSE)*VLOOKUP($D4,素材!$1:$1016,COLUMN($E$1),FALSE)/(LEN(VLOOKUP($D4,素材!$1:$1016,COLUMN($F$1),FALSE)) - LEN(SUBSTITUTE(VLOOKUP($D4,素材!$1:$1016,COLUMN($F$1),FALSE), "・", 0)) + 1), 0)</f>
        <v>0</v>
      </c>
      <c r="AF4">
        <f>IF(ISNUMBER(SEARCH(SUBSTITUTE(AF$1,RIGHT(AF$1,2),""),VLOOKUP($D4,素材!$1:$1016,COLUMN($F$1),FALSE))),VLOOKUP($C4,武器!$1:$998,COLUMN($O$1),FALSE)*VLOOKUP($D4,素材!$1:$1016,COLUMN($E$1),FALSE)/(LEN(VLOOKUP($D4,素材!$1:$1016,COLUMN($F$1),FALSE)) - LEN(SUBSTITUTE(VLOOKUP($D4,素材!$1:$1016,COLUMN($F$1),FALSE), "・", 0)) + 1), 0)</f>
        <v>0</v>
      </c>
      <c r="AG4">
        <f>IF(ISNUMBER(SEARCH(SUBSTITUTE(AG$1,RIGHT(AG$1,2),""),VLOOKUP($D4,素材!$1:$1016,COLUMN($F$1),FALSE))),VLOOKUP($C4,武器!$1:$998,COLUMN($O$1),FALSE)*VLOOKUP($D4,素材!$1:$1016,COLUMN($E$1),FALSE)/(LEN(VLOOKUP($D4,素材!$1:$1016,COLUMN($F$1),FALSE)) - LEN(SUBSTITUTE(VLOOKUP($D4,素材!$1:$1016,COLUMN($F$1),FALSE), "・", 0)) + 1), 0)</f>
        <v>0</v>
      </c>
      <c r="AH4">
        <f>IF(ISNUMBER(SEARCH(SUBSTITUTE(AH$1,RIGHT(AH$1,2),""),VLOOKUP($D4,素材!$1:$1016,COLUMN($F$1),FALSE))),VLOOKUP($C4,武器!$1:$998,COLUMN($O$1),FALSE)*VLOOKUP($D4,素材!$1:$1016,COLUMN($E$1),FALSE)/(LEN(VLOOKUP($D4,素材!$1:$1016,COLUMN($F$1),FALSE)) - LEN(SUBSTITUTE(VLOOKUP($D4,素材!$1:$1016,COLUMN($F$1),FALSE), "・", 0)) + 1), 0)</f>
        <v>0</v>
      </c>
      <c r="AI4">
        <f>IF(ISNUMBER(SEARCH(SUBSTITUTE(AI$1,RIGHT(AI$1,2),""),VLOOKUP($D4,素材!$1:$1016,COLUMN($F$1),FALSE))),VLOOKUP($C4,武器!$1:$998,COLUMN($O$1),FALSE)*VLOOKUP($D4,素材!$1:$1016,COLUMN($E$1),FALSE)/(LEN(VLOOKUP($D4,素材!$1:$1016,COLUMN($F$1),FALSE)) - LEN(SUBSTITUTE(VLOOKUP($D4,素材!$1:$1016,COLUMN($F$1),FALSE), "・", 0)) + 1), 0)</f>
        <v>0</v>
      </c>
      <c r="AJ4">
        <f>IF(ISNUMBER(SEARCH(SUBSTITUTE(AJ$1,RIGHT(AJ$1,2),""),VLOOKUP($D4,素材!$1:$1016,COLUMN($F$1),FALSE))),VLOOKUP($C4,武器!$1:$998,COLUMN($O$1),FALSE)*VLOOKUP($D4,素材!$1:$1016,COLUMN($E$1),FALSE)/(LEN(VLOOKUP($D4,素材!$1:$1016,COLUMN($F$1),FALSE)) - LEN(SUBSTITUTE(VLOOKUP($D4,素材!$1:$1016,COLUMN($F$1),FALSE), "・", 0)) + 1), 0)</f>
        <v>0</v>
      </c>
      <c r="AK4">
        <f>IF(ISNUMBER(SEARCH(SUBSTITUTE(AK$1,RIGHT(AK$1,2),""),VLOOKUP($D4,素材!$1:$1016,COLUMN($F$1),FALSE))),VLOOKUP($C4,武器!$1:$998,COLUMN($O$1),FALSE)*VLOOKUP($D4,素材!$1:$1016,COLUMN($E$1),FALSE)/(LEN(VLOOKUP($D4,素材!$1:$1016,COLUMN($F$1),FALSE)) - LEN(SUBSTITUTE(VLOOKUP($D4,素材!$1:$1016,COLUMN($F$1),FALSE), "・", 0)) + 1), 0)</f>
        <v>0</v>
      </c>
      <c r="AL4">
        <f>IF(ISNUMBER(SEARCH(SUBSTITUTE(AL$1,RIGHT(AL$1,2),""),VLOOKUP($D4,素材!$1:$1016,COLUMN($F$1),FALSE))),VLOOKUP($C4,武器!$1:$998,COLUMN($O$1),FALSE)*VLOOKUP($D4,素材!$1:$1016,COLUMN($E$1),FALSE)/(LEN(VLOOKUP($D4,素材!$1:$1016,COLUMN($F$1),FALSE)) - LEN(SUBSTITUTE(VLOOKUP($D4,素材!$1:$1016,COLUMN($F$1),FALSE), "・", 0)) + 1), 0)</f>
        <v>0</v>
      </c>
      <c r="AM4">
        <f>IF(ISNUMBER(SEARCH(SUBSTITUTE(AM$1,RIGHT(AM$1,2),""),VLOOKUP($D4,素材!$1:$1016,COLUMN($F$1),FALSE))),VLOOKUP($C4,武器!$1:$998,COLUMN($O$1),FALSE)*VLOOKUP($D4,素材!$1:$1016,COLUMN($E$1),FALSE)/(LEN(VLOOKUP($D4,素材!$1:$1016,COLUMN($F$1),FALSE)) - LEN(SUBSTITUTE(VLOOKUP($D4,素材!$1:$1016,COLUMN($F$1),FALSE), "・", 0)) + 1), 0)</f>
        <v>0</v>
      </c>
      <c r="AN4">
        <f>IF(ISNUMBER(SEARCH(SUBSTITUTE(AN$1,RIGHT(AN$1,2),""),VLOOKUP($D4,素材!$1:$1016,COLUMN($F$1),FALSE))),VLOOKUP($C4,武器!$1:$998,COLUMN($O$1),FALSE)*VLOOKUP($D4,素材!$1:$1016,COLUMN($E$1),FALSE)/(LEN(VLOOKUP($D4,素材!$1:$1016,COLUMN($F$1),FALSE)) - LEN(SUBSTITUTE(VLOOKUP($D4,素材!$1:$1016,COLUMN($F$1),FALSE), "・", 0)) + 1), 0)</f>
        <v>0</v>
      </c>
      <c r="AO4">
        <f>IF(ISNUMBER(SEARCH(SUBSTITUTE(AO$1,RIGHT(AO$1,2),""),VLOOKUP($D4,素材!$1:$1016,COLUMN($F$1),FALSE))),VLOOKUP($C4,武器!$1:$998,COLUMN($O$1),FALSE)*VLOOKUP($D4,素材!$1:$1016,COLUMN($E$1),FALSE)/(LEN(VLOOKUP($D4,素材!$1:$1016,COLUMN($F$1),FALSE)) - LEN(SUBSTITUTE(VLOOKUP($D4,素材!$1:$1016,COLUMN($F$1),FALSE), "・", 0)) + 1), 0)</f>
        <v>0</v>
      </c>
      <c r="AP4">
        <f>IF(ISNUMBER(SEARCH(SUBSTITUTE(AP$1,RIGHT(AP$1,2),""),VLOOKUP($D4,素材!$1:$1016,COLUMN($F$1),FALSE))),VLOOKUP($C4,武器!$1:$998,COLUMN($O$1),FALSE)*VLOOKUP($D4,素材!$1:$1016,COLUMN($E$1),FALSE)/(LEN(VLOOKUP($D4,素材!$1:$1016,COLUMN($F$1),FALSE)) - LEN(SUBSTITUTE(VLOOKUP($D4,素材!$1:$1016,COLUMN($F$1),FALSE), "・", 0)) + 1), 0)</f>
        <v>0</v>
      </c>
      <c r="AQ4">
        <f>IF(ISNUMBER(SEARCH(SUBSTITUTE(AQ$1,RIGHT(AQ$1,2),""),VLOOKUP($D4,素材!$1:$1016,COLUMN($F$1),FALSE))),VLOOKUP($C4,武器!$1:$998,COLUMN($O$1),FALSE)*VLOOKUP($D4,素材!$1:$1016,COLUMN($E$1),FALSE)/(LEN(VLOOKUP($D4,素材!$1:$1016,COLUMN($F$1),FALSE)) - LEN(SUBSTITUTE(VLOOKUP($D4,素材!$1:$1016,COLUMN($F$1),FALSE), "・", 0)) + 1), 0)</f>
        <v>0</v>
      </c>
      <c r="AR4">
        <f>IF(ISNUMBER(SEARCH(SUBSTITUTE(AR$1,RIGHT(AR$1,2),""),VLOOKUP($D4,素材!$1:$1016,COLUMN($F$1),FALSE))),VLOOKUP($C4,武器!$1:$998,COLUMN($O$1),FALSE)*VLOOKUP($D4,素材!$1:$1016,COLUMN($E$1),FALSE)/(LEN(VLOOKUP($D4,素材!$1:$1016,COLUMN($F$1),FALSE)) - LEN(SUBSTITUTE(VLOOKUP($D4,素材!$1:$1016,COLUMN($F$1),FALSE), "・", 0)) + 1), 0)</f>
        <v>0</v>
      </c>
      <c r="AS4">
        <f>IF(ISNUMBER(SEARCH(SUBSTITUTE(AS$1,RIGHT(AS$1,2),""),VLOOKUP($D4,素材!$1:$1016,COLUMN($F$1),FALSE))),VLOOKUP($C4,武器!$1:$998,COLUMN($O$1),FALSE)*VLOOKUP($D4,素材!$1:$1016,COLUMN($E$1),FALSE)/(LEN(VLOOKUP($D4,素材!$1:$1016,COLUMN($F$1),FALSE)) - LEN(SUBSTITUTE(VLOOKUP($D4,素材!$1:$1016,COLUMN($F$1),FALSE), "・", 0)) + 1), 0)</f>
        <v>0</v>
      </c>
      <c r="AT4">
        <f>IF(ISNUMBER(SEARCH(SUBSTITUTE(AT$1,RIGHT(AT$1,2),""),VLOOKUP($D4,素材!$1:$1016,COLUMN($F$1),FALSE))),VLOOKUP($C4,武器!$1:$998,COLUMN($O$1),FALSE)*VLOOKUP($D4,素材!$1:$1016,COLUMN($E$1),FALSE)/(LEN(VLOOKUP($D4,素材!$1:$1016,COLUMN($F$1),FALSE)) - LEN(SUBSTITUTE(VLOOKUP($D4,素材!$1:$1016,COLUMN($F$1),FALSE), "・", 0)) + 1), 0)</f>
        <v>0</v>
      </c>
      <c r="AU4">
        <f>IF(ISNUMBER(SEARCH(SUBSTITUTE(AU$1,RIGHT(AU$1,2),""),VLOOKUP($D4,素材!$1:$1016,COLUMN($F$1),FALSE))),VLOOKUP($C4,武器!$1:$998,COLUMN($O$1),FALSE)*VLOOKUP($D4,素材!$1:$1016,COLUMN($E$1),FALSE)/(LEN(VLOOKUP($D4,素材!$1:$1016,COLUMN($F$1),FALSE)) - LEN(SUBSTITUTE(VLOOKUP($D4,素材!$1:$1016,COLUMN($F$1),FALSE), "・", 0)) + 1), 0)</f>
        <v>0</v>
      </c>
      <c r="AV4">
        <f>IF(ISNUMBER(SEARCH(SUBSTITUTE(AV$1,RIGHT(AV$1,2),""),VLOOKUP($D4,素材!$1:$1016,COLUMN($F$1),FALSE))),VLOOKUP($C4,武器!$1:$998,COLUMN($O$1),FALSE)*VLOOKUP($D4,素材!$1:$1016,COLUMN($E$1),FALSE)/(LEN(VLOOKUP($D4,素材!$1:$1016,COLUMN($F$1),FALSE)) - LEN(SUBSTITUTE(VLOOKUP($D4,素材!$1:$1016,COLUMN($F$1),FALSE), "・", 0)) + 1), 0)</f>
        <v>0</v>
      </c>
      <c r="AW4">
        <f>IF(ISNUMBER(SEARCH(SUBSTITUTE(AW$1,RIGHT(AW$1,2),""),VLOOKUP($D4,素材!$1:$1016,COLUMN($F$1),FALSE))),VLOOKUP($C4,武器!$1:$998,COLUMN($O$1),FALSE)*VLOOKUP($D4,素材!$1:$1016,COLUMN($E$1),FALSE)/(LEN(VLOOKUP($D4,素材!$1:$1016,COLUMN($F$1),FALSE)) - LEN(SUBSTITUTE(VLOOKUP($D4,素材!$1:$1016,COLUMN($F$1),FALSE), "・", 0)) + 1), 0)</f>
        <v>0</v>
      </c>
      <c r="AX4">
        <f>IF(ISNUMBER(SEARCH(SUBSTITUTE(AX$1,RIGHT(AX$1,2),""),VLOOKUP($D4,素材!$1:$1016,COLUMN($F$1),FALSE))),VLOOKUP($C4,武器!$1:$998,COLUMN($O$1),FALSE)*VLOOKUP($D4,素材!$1:$1016,COLUMN($E$1),FALSE)/(LEN(VLOOKUP($D4,素材!$1:$1016,COLUMN($F$1),FALSE)) - LEN(SUBSTITUTE(VLOOKUP($D4,素材!$1:$1016,COLUMN($F$1),FALSE), "・", 0)) + 1), 0)</f>
        <v>0</v>
      </c>
      <c r="AY4">
        <f>IF(ISNUMBER(SEARCH(SUBSTITUTE(AY$1,RIGHT(AY$1,2),""),VLOOKUP($D4,素材!$1:$1016,COLUMN($F$1),FALSE))),VLOOKUP($C4,武器!$1:$998,COLUMN($O$1),FALSE)*VLOOKUP($D4,素材!$1:$1016,COLUMN($E$1),FALSE)/(LEN(VLOOKUP($D4,素材!$1:$1016,COLUMN($F$1),FALSE)) - LEN(SUBSTITUTE(VLOOKUP($D4,素材!$1:$1016,COLUMN($F$1),FALSE), "・", 0)) + 1), 0)</f>
        <v>0</v>
      </c>
      <c r="AZ4">
        <f>IF(ISNUMBER(SEARCH(SUBSTITUTE(AZ$1,RIGHT(AZ$1,2),""),VLOOKUP($D4,素材!$1:$1016,COLUMN($F$1),FALSE))),VLOOKUP($C4,武器!$1:$998,COLUMN($O$1),FALSE)*VLOOKUP($D4,素材!$1:$1016,COLUMN($E$1),FALSE)/(LEN(VLOOKUP($D4,素材!$1:$1016,COLUMN($F$1),FALSE)) - LEN(SUBSTITUTE(VLOOKUP($D4,素材!$1:$1016,COLUMN($F$1),FALSE), "・", 0)) + 1), 0)</f>
        <v>0</v>
      </c>
      <c r="BA4">
        <f>IF(ISNUMBER(SEARCH(SUBSTITUTE(BA$1,RIGHT(BA$1,2),""),VLOOKUP($D4,素材!$1:$1016,COLUMN($F$1),FALSE))),VLOOKUP($C4,武器!$1:$998,COLUMN($O$1),FALSE)*VLOOKUP($D4,素材!$1:$1016,COLUMN($E$1),FALSE)/(LEN(VLOOKUP($D4,素材!$1:$1016,COLUMN($F$1),FALSE)) - LEN(SUBSTITUTE(VLOOKUP($D4,素材!$1:$1016,COLUMN($F$1),FALSE), "・", 0)) + 1), 0)</f>
        <v>0</v>
      </c>
      <c r="BB4">
        <f>IF(ISNUMBER(SEARCH(SUBSTITUTE(BB$1,RIGHT(BB$1,2),""),VLOOKUP($D4,素材!$1:$1016,COLUMN($F$1),FALSE))),VLOOKUP($C4,武器!$1:$998,COLUMN($O$1),FALSE)*VLOOKUP($D4,素材!$1:$1016,COLUMN($E$1),FALSE)/(LEN(VLOOKUP($D4,素材!$1:$1016,COLUMN($F$1),FALSE)) - LEN(SUBSTITUTE(VLOOKUP($D4,素材!$1:$1016,COLUMN($F$1),FALSE), "・", 0)) + 1), 0)</f>
        <v>0</v>
      </c>
      <c r="BC4">
        <f>IF(ISNUMBER(SEARCH(SUBSTITUTE(BC$1,RIGHT(BC$1,2),""),VLOOKUP($D4,素材!$1:$1016,COLUMN($F$1),FALSE))),VLOOKUP($C4,武器!$1:$998,COLUMN($O$1),FALSE)*VLOOKUP($D4,素材!$1:$1016,COLUMN($E$1),FALSE)/(LEN(VLOOKUP($D4,素材!$1:$1016,COLUMN($F$1),FALSE)) - LEN(SUBSTITUTE(VLOOKUP($D4,素材!$1:$1016,COLUMN($F$1),FALSE), "・", 0)) + 1), 0)</f>
        <v>0</v>
      </c>
      <c r="BD4">
        <f>IF(ISNUMBER(SEARCH(SUBSTITUTE(BD$1,RIGHT(BD$1,2),""),VLOOKUP($D4,素材!$1:$1016,COLUMN($F$1),FALSE))),VLOOKUP($C4,武器!$1:$998,COLUMN($O$1),FALSE)*VLOOKUP($D4,素材!$1:$1016,COLUMN($E$1),FALSE)/(LEN(VLOOKUP($D4,素材!$1:$1016,COLUMN($F$1),FALSE)) - LEN(SUBSTITUTE(VLOOKUP($D4,素材!$1:$1016,COLUMN($F$1),FALSE), "・", 0)) + 1), 0)</f>
        <v>0</v>
      </c>
      <c r="BE4">
        <f>IF(ISNUMBER(SEARCH(SUBSTITUTE(BE$1,RIGHT(BE$1,2),""),VLOOKUP($D4,素材!$1:$1016,COLUMN($F$1),FALSE))),VLOOKUP($C4,武器!$1:$998,COLUMN($O$1),FALSE)*VLOOKUP($D4,素材!$1:$1016,COLUMN($E$1),FALSE)/(LEN(VLOOKUP($D4,素材!$1:$1016,COLUMN($F$1),FALSE)) - LEN(SUBSTITUTE(VLOOKUP($D4,素材!$1:$1016,COLUMN($F$1),FALSE), "・", 0)) + 1), 0)</f>
        <v>0</v>
      </c>
      <c r="CL4">
        <f>SUM(G4:I4)</f>
        <v>24</v>
      </c>
      <c r="CM4" s="22" t="str">
        <f>IF(E4="武器",IF(J4-1&gt;SUM(G4:I4),"盾",IF(MAX(G4:I4)=G4,"切断",IF(MAX(G4:I4)=H4,"貫通",IF(MAX(G4:I4)=I4,"打撃","射撃")))),E4)&amp;".webp"</f>
        <v>切断.webp</v>
      </c>
      <c r="CN4">
        <f>IFERROR(VLOOKUP($C4,武器!$1:$998,COLUMN(V$1),FALSE)*VLOOKUP($D4,素材!$1:$1016,COLUMN(N$1),FALSE)+IF(CI4="",0,VLOOKUP($CI4,装強!$1:$1008,COLUMN($CK$1),FALSE)),"")</f>
        <v>400</v>
      </c>
      <c r="CO4" t="str">
        <f>VLOOKUP(D4,素材!$A:$O,COLUMN(素材!O$1),FALSE)</f>
        <v>一般的な鉄。量産品を作るのに使用されることが多い</v>
      </c>
      <c r="CP4" t="str">
        <f>VLOOKUP(C4,武器!$A:$W,COLUMN(武器!W$1),FALSE)</f>
        <v>刀。切断力に優れた武器で、Cr威力が高い</v>
      </c>
      <c r="CR4" t="str">
        <f t="shared" si="1"/>
        <v>e_4</v>
      </c>
      <c r="CS4">
        <f t="shared" ref="CS4:CS67" si="2">CN4*100</f>
        <v>40000</v>
      </c>
    </row>
    <row r="5" spans="1:97" outlineLevel="1" x14ac:dyDescent="0.4">
      <c r="A5" t="str">
        <f t="shared" si="0"/>
        <v>鉄の剣</v>
      </c>
      <c r="B5" t="str">
        <f>IFERROR(VLOOKUP($D5,素材!$1:$1016,COLUMN($B$1),FALSE)&amp;"・"&amp;VLOOKUP($C5,武器!$1:$998,COLUMN(B$1),FALSE),"")</f>
        <v>アイアン・ソード</v>
      </c>
      <c r="C5" s="24" t="s">
        <v>240</v>
      </c>
      <c r="D5" s="24" t="s">
        <v>257</v>
      </c>
      <c r="E5" t="str">
        <f>IFERROR(VLOOKUP(C5,武器!$1:$998,COLUMN(C$1),FALSE),"")</f>
        <v>武器</v>
      </c>
      <c r="F5">
        <f>IFERROR(ROUNDDOWN((VLOOKUP($C5,武器!$1:$998,COLUMN(D$1),FALSE)+IFERROR(VLOOKUP($CI5,装強!$1:$999,COLUMN(F$1),FALSE),0))*VLOOKUP($D5,素材!$1:$1016,COLUMN(D$1),FALSE),0),"")</f>
        <v>100</v>
      </c>
      <c r="G5">
        <f>IFERROR(ROUNDDOWN((VLOOKUP($C5,武器!$1:$998,COLUMN(E$1),FALSE)+IFERROR(VLOOKUP($CI5,装強!$1:$999,COLUMN(G$1),FALSE),0))*VLOOKUP($D5,素材!$1:$1016,COLUMN($E$1),FALSE),0),"")</f>
        <v>12</v>
      </c>
      <c r="H5">
        <f>IFERROR(ROUNDDOWN((VLOOKUP($C5,武器!$1:$998,COLUMN(F$1),FALSE)+IFERROR(VLOOKUP($CI5,装強!$1:$999,COLUMN(H$1),FALSE),0))*VLOOKUP($D5,素材!$1:$1016,COLUMN($E$1),FALSE),0),"")</f>
        <v>9</v>
      </c>
      <c r="I5">
        <f>IFERROR(ROUNDDOWN((VLOOKUP($C5,武器!$1:$998,COLUMN(G$1),FALSE)+IFERROR(VLOOKUP($CI5,装強!$1:$999,COLUMN(I$1),FALSE),0))*VLOOKUP($D5,素材!$1:$1016,COLUMN($E$1),FALSE),0),"")</f>
        <v>3</v>
      </c>
      <c r="J5">
        <f>IFERROR(ROUNDDOWN((VLOOKUP($C5,武器!$1:$998,COLUMN(H$1),FALSE)+IFERROR(VLOOKUP($CI5,装強!$1:$999,COLUMN(J$1),FALSE),0))*VLOOKUP($D5,素材!$1:$1016,COLUMN($E$1),FALSE),0),"")</f>
        <v>19</v>
      </c>
      <c r="K5">
        <f>IFERROR(ROUNDDOWN((VLOOKUP($C5,武器!$1:$998,COLUMN(I$1),FALSE)+IFERROR(VLOOKUP($CI5,装強!$1:$999,COLUMN(K$1),FALSE),0))*VLOOKUP($D5,素材!$1:$1016,COLUMN($E$1),FALSE),0),"")</f>
        <v>0</v>
      </c>
      <c r="L5">
        <f>IFERROR(VLOOKUP($D5,素材!$1:$1016,COLUMN($F$1),FALSE),"")</f>
        <v>0</v>
      </c>
      <c r="M5">
        <f>IFERROR(VLOOKUP($C5,武器!$1:$998,COLUMN(AA$1),FALSE)*VLOOKUP($D5,素材!$1:$1016,COLUMN($G$1),FALSE),"")</f>
        <v>0</v>
      </c>
      <c r="N5">
        <f>IFERROR(VLOOKUP($C5,武器!$1:$998,COLUMN(I$1),FALSE),"")</f>
        <v>0</v>
      </c>
      <c r="O5" s="23">
        <f>IFERROR((VLOOKUP($C5,武器!$1:$998,COLUMN(K$1),FALSE)+VLOOKUP($D5,素材!$1:$1016,COLUMN(H$1),FALSE))*100+IFERROR(VLOOKUP($CI5,装強!$1:$999,COLUMN(O$1),FALSE),0),"")</f>
        <v>10</v>
      </c>
      <c r="P5" s="23">
        <f>IFERROR((VLOOKUP($C5,武器!$1:$998,COLUMN(L$1),FALSE)+VLOOKUP($D5,素材!$1:$1016,COLUMN(I$1),FALSE))*100+IFERROR(VLOOKUP($CI5,装強!$1:$999,COLUMN(P$1),FALSE),0),"")</f>
        <v>150</v>
      </c>
      <c r="Q5">
        <f>IFERROR(ROUNDUP(VLOOKUP($C5,武器!$1:$998,COLUMN(M$1),FALSE)*(VLOOKUP($D5,素材!$1:$1002,COLUMN(D$1),FALSE)/100),1),"")</f>
        <v>0</v>
      </c>
      <c r="R5">
        <f>IFERROR(ROUNDUP(VLOOKUP($C5,武器!$1:$998,COLUMN(N$1),FALSE)*(VLOOKUP($D5,素材!$1:$1002,COLUMN(D$1),FALSE)/100),1),"")</f>
        <v>0</v>
      </c>
      <c r="S5">
        <f>IFERROR(VLOOKUP($C5,武器!$1:$998,COLUMN(P$1),FALSE),"")</f>
        <v>0</v>
      </c>
      <c r="T5">
        <f>IFERROR(VLOOKUP($C5,武器!$1:$998,COLUMN(Q$1),FALSE),"")</f>
        <v>0</v>
      </c>
      <c r="U5">
        <f>IFERROR(VLOOKUP($C5,武器!$1:$998,COLUMN(R$1),FALSE),"")</f>
        <v>0</v>
      </c>
      <c r="V5">
        <f>IFERROR(VLOOKUP($C5,武器!$1:$998,COLUMN(Q$1),FALSE),"")</f>
        <v>0</v>
      </c>
      <c r="W5" t="str">
        <f>IFERROR(VLOOKUP($C5,武器!$1:$998,COLUMN(T$1),FALSE),"")</f>
        <v>A</v>
      </c>
      <c r="Y5" t="str">
        <f>IFERROR(VLOOKUP($C5,武器!$1:$998,COLUMN(U$1),FALSE),"")</f>
        <v>片手適正Ⅰ</v>
      </c>
      <c r="Z5">
        <f>IFERROR(ROUNDUP(VLOOKUP($C5,武器!$1:$998,COLUMN(O$1),FALSE)*VLOOKUP($D5,素材!$1:$1016,COLUMN(E$1),FALSE),1),"")</f>
        <v>0</v>
      </c>
      <c r="AA5">
        <f>IF(ISNUMBER(SEARCH(SUBSTITUTE(AA$1,RIGHT(AA$1,2),""),VLOOKUP($D5,素材!$1:$1016,COLUMN($F$1),FALSE))),VLOOKUP($C5,武器!$1:$998,COLUMN($O$1),FALSE)*VLOOKUP($D5,素材!$1:$1016,COLUMN($E$1),FALSE)/(LEN(VLOOKUP($D5,素材!$1:$1016,COLUMN($F$1),FALSE)) - LEN(SUBSTITUTE(VLOOKUP($D5,素材!$1:$1016,COLUMN($F$1),FALSE), "・", 0)) + 1), 0)</f>
        <v>0</v>
      </c>
      <c r="AB5">
        <f>IF(ISNUMBER(SEARCH(SUBSTITUTE(AB$1,RIGHT(AB$1,2),""),VLOOKUP($D5,素材!$1:$1016,COLUMN($F$1),FALSE))),VLOOKUP($C5,武器!$1:$998,COLUMN($O$1),FALSE)*VLOOKUP($D5,素材!$1:$1016,COLUMN($E$1),FALSE)/(LEN(VLOOKUP($D5,素材!$1:$1016,COLUMN($F$1),FALSE)) - LEN(SUBSTITUTE(VLOOKUP($D5,素材!$1:$1016,COLUMN($F$1),FALSE), "・", 0)) + 1), 0)</f>
        <v>0</v>
      </c>
      <c r="AC5">
        <f>IF(ISNUMBER(SEARCH(SUBSTITUTE(AC$1,RIGHT(AC$1,2),""),VLOOKUP($D5,素材!$1:$1016,COLUMN($F$1),FALSE))),VLOOKUP($C5,武器!$1:$998,COLUMN($O$1),FALSE)*VLOOKUP($D5,素材!$1:$1016,COLUMN($E$1),FALSE)/(LEN(VLOOKUP($D5,素材!$1:$1016,COLUMN($F$1),FALSE)) - LEN(SUBSTITUTE(VLOOKUP($D5,素材!$1:$1016,COLUMN($F$1),FALSE), "・", 0)) + 1), 0)</f>
        <v>0</v>
      </c>
      <c r="AD5">
        <f>IF(ISNUMBER(SEARCH(SUBSTITUTE(AD$1,RIGHT(AD$1,2),""),VLOOKUP($D5,素材!$1:$1016,COLUMN($F$1),FALSE))),VLOOKUP($C5,武器!$1:$998,COLUMN($O$1),FALSE)*VLOOKUP($D5,素材!$1:$1016,COLUMN($E$1),FALSE)/(LEN(VLOOKUP($D5,素材!$1:$1016,COLUMN($F$1),FALSE)) - LEN(SUBSTITUTE(VLOOKUP($D5,素材!$1:$1016,COLUMN($F$1),FALSE), "・", 0)) + 1), 0)</f>
        <v>0</v>
      </c>
      <c r="AE5">
        <f>IF(ISNUMBER(SEARCH(SUBSTITUTE(AE$1,RIGHT(AE$1,2),""),VLOOKUP($D5,素材!$1:$1016,COLUMN($F$1),FALSE))),VLOOKUP($C5,武器!$1:$998,COLUMN($O$1),FALSE)*VLOOKUP($D5,素材!$1:$1016,COLUMN($E$1),FALSE)/(LEN(VLOOKUP($D5,素材!$1:$1016,COLUMN($F$1),FALSE)) - LEN(SUBSTITUTE(VLOOKUP($D5,素材!$1:$1016,COLUMN($F$1),FALSE), "・", 0)) + 1), 0)</f>
        <v>0</v>
      </c>
      <c r="AF5">
        <f>IF(ISNUMBER(SEARCH(SUBSTITUTE(AF$1,RIGHT(AF$1,2),""),VLOOKUP($D5,素材!$1:$1016,COLUMN($F$1),FALSE))),VLOOKUP($C5,武器!$1:$998,COLUMN($O$1),FALSE)*VLOOKUP($D5,素材!$1:$1016,COLUMN($E$1),FALSE)/(LEN(VLOOKUP($D5,素材!$1:$1016,COLUMN($F$1),FALSE)) - LEN(SUBSTITUTE(VLOOKUP($D5,素材!$1:$1016,COLUMN($F$1),FALSE), "・", 0)) + 1), 0)</f>
        <v>0</v>
      </c>
      <c r="AG5">
        <f>IF(ISNUMBER(SEARCH(SUBSTITUTE(AG$1,RIGHT(AG$1,2),""),VLOOKUP($D5,素材!$1:$1016,COLUMN($F$1),FALSE))),VLOOKUP($C5,武器!$1:$998,COLUMN($O$1),FALSE)*VLOOKUP($D5,素材!$1:$1016,COLUMN($E$1),FALSE)/(LEN(VLOOKUP($D5,素材!$1:$1016,COLUMN($F$1),FALSE)) - LEN(SUBSTITUTE(VLOOKUP($D5,素材!$1:$1016,COLUMN($F$1),FALSE), "・", 0)) + 1), 0)</f>
        <v>0</v>
      </c>
      <c r="AH5">
        <f>IF(ISNUMBER(SEARCH(SUBSTITUTE(AH$1,RIGHT(AH$1,2),""),VLOOKUP($D5,素材!$1:$1016,COLUMN($F$1),FALSE))),VLOOKUP($C5,武器!$1:$998,COLUMN($O$1),FALSE)*VLOOKUP($D5,素材!$1:$1016,COLUMN($E$1),FALSE)/(LEN(VLOOKUP($D5,素材!$1:$1016,COLUMN($F$1),FALSE)) - LEN(SUBSTITUTE(VLOOKUP($D5,素材!$1:$1016,COLUMN($F$1),FALSE), "・", 0)) + 1), 0)</f>
        <v>0</v>
      </c>
      <c r="AI5">
        <f>IF(ISNUMBER(SEARCH(SUBSTITUTE(AI$1,RIGHT(AI$1,2),""),VLOOKUP($D5,素材!$1:$1016,COLUMN($F$1),FALSE))),VLOOKUP($C5,武器!$1:$998,COLUMN($O$1),FALSE)*VLOOKUP($D5,素材!$1:$1016,COLUMN($E$1),FALSE)/(LEN(VLOOKUP($D5,素材!$1:$1016,COLUMN($F$1),FALSE)) - LEN(SUBSTITUTE(VLOOKUP($D5,素材!$1:$1016,COLUMN($F$1),FALSE), "・", 0)) + 1), 0)</f>
        <v>0</v>
      </c>
      <c r="AJ5">
        <f>IF(ISNUMBER(SEARCH(SUBSTITUTE(AJ$1,RIGHT(AJ$1,2),""),VLOOKUP($D5,素材!$1:$1016,COLUMN($F$1),FALSE))),VLOOKUP($C5,武器!$1:$998,COLUMN($O$1),FALSE)*VLOOKUP($D5,素材!$1:$1016,COLUMN($E$1),FALSE)/(LEN(VLOOKUP($D5,素材!$1:$1016,COLUMN($F$1),FALSE)) - LEN(SUBSTITUTE(VLOOKUP($D5,素材!$1:$1016,COLUMN($F$1),FALSE), "・", 0)) + 1), 0)</f>
        <v>0</v>
      </c>
      <c r="AK5">
        <f>IF(ISNUMBER(SEARCH(SUBSTITUTE(AK$1,RIGHT(AK$1,2),""),VLOOKUP($D5,素材!$1:$1016,COLUMN($F$1),FALSE))),VLOOKUP($C5,武器!$1:$998,COLUMN($O$1),FALSE)*VLOOKUP($D5,素材!$1:$1016,COLUMN($E$1),FALSE)/(LEN(VLOOKUP($D5,素材!$1:$1016,COLUMN($F$1),FALSE)) - LEN(SUBSTITUTE(VLOOKUP($D5,素材!$1:$1016,COLUMN($F$1),FALSE), "・", 0)) + 1), 0)</f>
        <v>0</v>
      </c>
      <c r="AL5">
        <f>IF(ISNUMBER(SEARCH(SUBSTITUTE(AL$1,RIGHT(AL$1,2),""),VLOOKUP($D5,素材!$1:$1016,COLUMN($F$1),FALSE))),VLOOKUP($C5,武器!$1:$998,COLUMN($O$1),FALSE)*VLOOKUP($D5,素材!$1:$1016,COLUMN($E$1),FALSE)/(LEN(VLOOKUP($D5,素材!$1:$1016,COLUMN($F$1),FALSE)) - LEN(SUBSTITUTE(VLOOKUP($D5,素材!$1:$1016,COLUMN($F$1),FALSE), "・", 0)) + 1), 0)</f>
        <v>0</v>
      </c>
      <c r="AM5">
        <f>IF(ISNUMBER(SEARCH(SUBSTITUTE(AM$1,RIGHT(AM$1,2),""),VLOOKUP($D5,素材!$1:$1016,COLUMN($F$1),FALSE))),VLOOKUP($C5,武器!$1:$998,COLUMN($O$1),FALSE)*VLOOKUP($D5,素材!$1:$1016,COLUMN($E$1),FALSE)/(LEN(VLOOKUP($D5,素材!$1:$1016,COLUMN($F$1),FALSE)) - LEN(SUBSTITUTE(VLOOKUP($D5,素材!$1:$1016,COLUMN($F$1),FALSE), "・", 0)) + 1), 0)</f>
        <v>0</v>
      </c>
      <c r="AN5">
        <f>IF(ISNUMBER(SEARCH(SUBSTITUTE(AN$1,RIGHT(AN$1,2),""),VLOOKUP($D5,素材!$1:$1016,COLUMN($F$1),FALSE))),VLOOKUP($C5,武器!$1:$998,COLUMN($O$1),FALSE)*VLOOKUP($D5,素材!$1:$1016,COLUMN($E$1),FALSE)/(LEN(VLOOKUP($D5,素材!$1:$1016,COLUMN($F$1),FALSE)) - LEN(SUBSTITUTE(VLOOKUP($D5,素材!$1:$1016,COLUMN($F$1),FALSE), "・", 0)) + 1), 0)</f>
        <v>0</v>
      </c>
      <c r="AO5">
        <f>IF(ISNUMBER(SEARCH(SUBSTITUTE(AO$1,RIGHT(AO$1,2),""),VLOOKUP($D5,素材!$1:$1016,COLUMN($F$1),FALSE))),VLOOKUP($C5,武器!$1:$998,COLUMN($O$1),FALSE)*VLOOKUP($D5,素材!$1:$1016,COLUMN($E$1),FALSE)/(LEN(VLOOKUP($D5,素材!$1:$1016,COLUMN($F$1),FALSE)) - LEN(SUBSTITUTE(VLOOKUP($D5,素材!$1:$1016,COLUMN($F$1),FALSE), "・", 0)) + 1), 0)</f>
        <v>0</v>
      </c>
      <c r="AP5">
        <f>IF(ISNUMBER(SEARCH(SUBSTITUTE(AP$1,RIGHT(AP$1,2),""),VLOOKUP($D5,素材!$1:$1016,COLUMN($F$1),FALSE))),VLOOKUP($C5,武器!$1:$998,COLUMN($O$1),FALSE)*VLOOKUP($D5,素材!$1:$1016,COLUMN($E$1),FALSE)/(LEN(VLOOKUP($D5,素材!$1:$1016,COLUMN($F$1),FALSE)) - LEN(SUBSTITUTE(VLOOKUP($D5,素材!$1:$1016,COLUMN($F$1),FALSE), "・", 0)) + 1), 0)</f>
        <v>0</v>
      </c>
      <c r="AQ5">
        <f>IF(ISNUMBER(SEARCH(SUBSTITUTE(AQ$1,RIGHT(AQ$1,2),""),VLOOKUP($D5,素材!$1:$1016,COLUMN($F$1),FALSE))),VLOOKUP($C5,武器!$1:$998,COLUMN($O$1),FALSE)*VLOOKUP($D5,素材!$1:$1016,COLUMN($E$1),FALSE)/(LEN(VLOOKUP($D5,素材!$1:$1016,COLUMN($F$1),FALSE)) - LEN(SUBSTITUTE(VLOOKUP($D5,素材!$1:$1016,COLUMN($F$1),FALSE), "・", 0)) + 1), 0)</f>
        <v>0</v>
      </c>
      <c r="AR5">
        <f>IF(ISNUMBER(SEARCH(SUBSTITUTE(AR$1,RIGHT(AR$1,2),""),VLOOKUP($D5,素材!$1:$1016,COLUMN($F$1),FALSE))),VLOOKUP($C5,武器!$1:$998,COLUMN($O$1),FALSE)*VLOOKUP($D5,素材!$1:$1016,COLUMN($E$1),FALSE)/(LEN(VLOOKUP($D5,素材!$1:$1016,COLUMN($F$1),FALSE)) - LEN(SUBSTITUTE(VLOOKUP($D5,素材!$1:$1016,COLUMN($F$1),FALSE), "・", 0)) + 1), 0)</f>
        <v>0</v>
      </c>
      <c r="AS5">
        <f>IF(ISNUMBER(SEARCH(SUBSTITUTE(AS$1,RIGHT(AS$1,2),""),VLOOKUP($D5,素材!$1:$1016,COLUMN($F$1),FALSE))),VLOOKUP($C5,武器!$1:$998,COLUMN($O$1),FALSE)*VLOOKUP($D5,素材!$1:$1016,COLUMN($E$1),FALSE)/(LEN(VLOOKUP($D5,素材!$1:$1016,COLUMN($F$1),FALSE)) - LEN(SUBSTITUTE(VLOOKUP($D5,素材!$1:$1016,COLUMN($F$1),FALSE), "・", 0)) + 1), 0)</f>
        <v>0</v>
      </c>
      <c r="AT5">
        <f>IF(ISNUMBER(SEARCH(SUBSTITUTE(AT$1,RIGHT(AT$1,2),""),VLOOKUP($D5,素材!$1:$1016,COLUMN($F$1),FALSE))),VLOOKUP($C5,武器!$1:$998,COLUMN($O$1),FALSE)*VLOOKUP($D5,素材!$1:$1016,COLUMN($E$1),FALSE)/(LEN(VLOOKUP($D5,素材!$1:$1016,COLUMN($F$1),FALSE)) - LEN(SUBSTITUTE(VLOOKUP($D5,素材!$1:$1016,COLUMN($F$1),FALSE), "・", 0)) + 1), 0)</f>
        <v>0</v>
      </c>
      <c r="AU5">
        <f>IF(ISNUMBER(SEARCH(SUBSTITUTE(AU$1,RIGHT(AU$1,2),""),VLOOKUP($D5,素材!$1:$1016,COLUMN($F$1),FALSE))),VLOOKUP($C5,武器!$1:$998,COLUMN($O$1),FALSE)*VLOOKUP($D5,素材!$1:$1016,COLUMN($E$1),FALSE)/(LEN(VLOOKUP($D5,素材!$1:$1016,COLUMN($F$1),FALSE)) - LEN(SUBSTITUTE(VLOOKUP($D5,素材!$1:$1016,COLUMN($F$1),FALSE), "・", 0)) + 1), 0)</f>
        <v>0</v>
      </c>
      <c r="AV5">
        <f>IF(ISNUMBER(SEARCH(SUBSTITUTE(AV$1,RIGHT(AV$1,2),""),VLOOKUP($D5,素材!$1:$1016,COLUMN($F$1),FALSE))),VLOOKUP($C5,武器!$1:$998,COLUMN($O$1),FALSE)*VLOOKUP($D5,素材!$1:$1016,COLUMN($E$1),FALSE)/(LEN(VLOOKUP($D5,素材!$1:$1016,COLUMN($F$1),FALSE)) - LEN(SUBSTITUTE(VLOOKUP($D5,素材!$1:$1016,COLUMN($F$1),FALSE), "・", 0)) + 1), 0)</f>
        <v>0</v>
      </c>
      <c r="AW5">
        <f>IF(ISNUMBER(SEARCH(SUBSTITUTE(AW$1,RIGHT(AW$1,2),""),VLOOKUP($D5,素材!$1:$1016,COLUMN($F$1),FALSE))),VLOOKUP($C5,武器!$1:$998,COLUMN($O$1),FALSE)*VLOOKUP($D5,素材!$1:$1016,COLUMN($E$1),FALSE)/(LEN(VLOOKUP($D5,素材!$1:$1016,COLUMN($F$1),FALSE)) - LEN(SUBSTITUTE(VLOOKUP($D5,素材!$1:$1016,COLUMN($F$1),FALSE), "・", 0)) + 1), 0)</f>
        <v>0</v>
      </c>
      <c r="AX5">
        <f>IF(ISNUMBER(SEARCH(SUBSTITUTE(AX$1,RIGHT(AX$1,2),""),VLOOKUP($D5,素材!$1:$1016,COLUMN($F$1),FALSE))),VLOOKUP($C5,武器!$1:$998,COLUMN($O$1),FALSE)*VLOOKUP($D5,素材!$1:$1016,COLUMN($E$1),FALSE)/(LEN(VLOOKUP($D5,素材!$1:$1016,COLUMN($F$1),FALSE)) - LEN(SUBSTITUTE(VLOOKUP($D5,素材!$1:$1016,COLUMN($F$1),FALSE), "・", 0)) + 1), 0)</f>
        <v>0</v>
      </c>
      <c r="AY5">
        <f>IF(ISNUMBER(SEARCH(SUBSTITUTE(AY$1,RIGHT(AY$1,2),""),VLOOKUP($D5,素材!$1:$1016,COLUMN($F$1),FALSE))),VLOOKUP($C5,武器!$1:$998,COLUMN($O$1),FALSE)*VLOOKUP($D5,素材!$1:$1016,COLUMN($E$1),FALSE)/(LEN(VLOOKUP($D5,素材!$1:$1016,COLUMN($F$1),FALSE)) - LEN(SUBSTITUTE(VLOOKUP($D5,素材!$1:$1016,COLUMN($F$1),FALSE), "・", 0)) + 1), 0)</f>
        <v>0</v>
      </c>
      <c r="AZ5">
        <f>IF(ISNUMBER(SEARCH(SUBSTITUTE(AZ$1,RIGHT(AZ$1,2),""),VLOOKUP($D5,素材!$1:$1016,COLUMN($F$1),FALSE))),VLOOKUP($C5,武器!$1:$998,COLUMN($O$1),FALSE)*VLOOKUP($D5,素材!$1:$1016,COLUMN($E$1),FALSE)/(LEN(VLOOKUP($D5,素材!$1:$1016,COLUMN($F$1),FALSE)) - LEN(SUBSTITUTE(VLOOKUP($D5,素材!$1:$1016,COLUMN($F$1),FALSE), "・", 0)) + 1), 0)</f>
        <v>0</v>
      </c>
      <c r="BA5">
        <f>IF(ISNUMBER(SEARCH(SUBSTITUTE(BA$1,RIGHT(BA$1,2),""),VLOOKUP($D5,素材!$1:$1016,COLUMN($F$1),FALSE))),VLOOKUP($C5,武器!$1:$998,COLUMN($O$1),FALSE)*VLOOKUP($D5,素材!$1:$1016,COLUMN($E$1),FALSE)/(LEN(VLOOKUP($D5,素材!$1:$1016,COLUMN($F$1),FALSE)) - LEN(SUBSTITUTE(VLOOKUP($D5,素材!$1:$1016,COLUMN($F$1),FALSE), "・", 0)) + 1), 0)</f>
        <v>0</v>
      </c>
      <c r="BB5">
        <f>IF(ISNUMBER(SEARCH(SUBSTITUTE(BB$1,RIGHT(BB$1,2),""),VLOOKUP($D5,素材!$1:$1016,COLUMN($F$1),FALSE))),VLOOKUP($C5,武器!$1:$998,COLUMN($O$1),FALSE)*VLOOKUP($D5,素材!$1:$1016,COLUMN($E$1),FALSE)/(LEN(VLOOKUP($D5,素材!$1:$1016,COLUMN($F$1),FALSE)) - LEN(SUBSTITUTE(VLOOKUP($D5,素材!$1:$1016,COLUMN($F$1),FALSE), "・", 0)) + 1), 0)</f>
        <v>0</v>
      </c>
      <c r="BC5">
        <f>IF(ISNUMBER(SEARCH(SUBSTITUTE(BC$1,RIGHT(BC$1,2),""),VLOOKUP($D5,素材!$1:$1016,COLUMN($F$1),FALSE))),VLOOKUP($C5,武器!$1:$998,COLUMN($O$1),FALSE)*VLOOKUP($D5,素材!$1:$1016,COLUMN($E$1),FALSE)/(LEN(VLOOKUP($D5,素材!$1:$1016,COLUMN($F$1),FALSE)) - LEN(SUBSTITUTE(VLOOKUP($D5,素材!$1:$1016,COLUMN($F$1),FALSE), "・", 0)) + 1), 0)</f>
        <v>0</v>
      </c>
      <c r="BD5">
        <f>IF(ISNUMBER(SEARCH(SUBSTITUTE(BD$1,RIGHT(BD$1,2),""),VLOOKUP($D5,素材!$1:$1016,COLUMN($F$1),FALSE))),VLOOKUP($C5,武器!$1:$998,COLUMN($O$1),FALSE)*VLOOKUP($D5,素材!$1:$1016,COLUMN($E$1),FALSE)/(LEN(VLOOKUP($D5,素材!$1:$1016,COLUMN($F$1),FALSE)) - LEN(SUBSTITUTE(VLOOKUP($D5,素材!$1:$1016,COLUMN($F$1),FALSE), "・", 0)) + 1), 0)</f>
        <v>0</v>
      </c>
      <c r="BE5">
        <f>IF(ISNUMBER(SEARCH(SUBSTITUTE(BE$1,RIGHT(BE$1,2),""),VLOOKUP($D5,素材!$1:$1016,COLUMN($F$1),FALSE))),VLOOKUP($C5,武器!$1:$998,COLUMN($O$1),FALSE)*VLOOKUP($D5,素材!$1:$1016,COLUMN($E$1),FALSE)/(LEN(VLOOKUP($D5,素材!$1:$1016,COLUMN($F$1),FALSE)) - LEN(SUBSTITUTE(VLOOKUP($D5,素材!$1:$1016,COLUMN($F$1),FALSE), "・", 0)) + 1), 0)</f>
        <v>0</v>
      </c>
      <c r="CL5">
        <f>SUM(G5:I5)</f>
        <v>24</v>
      </c>
      <c r="CM5" s="22" t="str">
        <f>IF(E5="武器",IF(J5-1&gt;SUM(G5:I5),"盾",IF(MAX(G5:I5)=G5,"切断",IF(MAX(G5:I5)=H5,"貫通",IF(MAX(G5:I5)=I5,"打撃","射撃")))),E5)&amp;".webp"</f>
        <v>切断.webp</v>
      </c>
      <c r="CN5">
        <f>IFERROR(VLOOKUP($C5,武器!$1:$998,COLUMN(V$1),FALSE)*VLOOKUP($D5,素材!$1:$1016,COLUMN(N$1),FALSE)+IF(CI5="",0,VLOOKUP($CI5,装強!$1:$1008,COLUMN($CK$1),FALSE)),"")</f>
        <v>300</v>
      </c>
      <c r="CO5" t="str">
        <f>VLOOKUP(D5,素材!$A:$O,COLUMN(素材!O$1),FALSE)</f>
        <v>一般的な鉄。量産品を作るのに使用されることが多い</v>
      </c>
      <c r="CP5" t="str">
        <f>VLOOKUP(C5,武器!$A:$W,COLUMN(武器!W$1),FALSE)</f>
        <v>剣。短い剣で片手で扱いやすく、初心者向けの武器。</v>
      </c>
      <c r="CR5" t="str">
        <f t="shared" si="1"/>
        <v>e_5</v>
      </c>
      <c r="CS5">
        <f t="shared" si="2"/>
        <v>30000</v>
      </c>
    </row>
    <row r="6" spans="1:97" outlineLevel="1" x14ac:dyDescent="0.4">
      <c r="A6" t="str">
        <f t="shared" si="0"/>
        <v>鉄の広剣</v>
      </c>
      <c r="B6" t="str">
        <f>IFERROR(VLOOKUP($D6,素材!$1:$1016,COLUMN($B$1),FALSE)&amp;"・"&amp;VLOOKUP($C6,武器!$1:$998,COLUMN(B$1),FALSE),"")</f>
        <v>アイアン・ブロードソード</v>
      </c>
      <c r="C6" s="24" t="s">
        <v>239</v>
      </c>
      <c r="D6" s="24" t="s">
        <v>257</v>
      </c>
      <c r="E6" t="str">
        <f>IFERROR(VLOOKUP(C6,武器!$1:$998,COLUMN(C$1),FALSE),"")</f>
        <v>武器</v>
      </c>
      <c r="F6">
        <f>IFERROR(ROUNDDOWN((VLOOKUP($C6,武器!$1:$998,COLUMN(D$1),FALSE)+IFERROR(VLOOKUP($CI6,装強!$1:$999,COLUMN(F$1),FALSE),0))*VLOOKUP($D6,素材!$1:$1016,COLUMN(D$1),FALSE),0),"")</f>
        <v>110</v>
      </c>
      <c r="G6">
        <f>IFERROR(ROUNDDOWN((VLOOKUP($C6,武器!$1:$998,COLUMN(E$1),FALSE)+IFERROR(VLOOKUP($CI6,装強!$1:$999,COLUMN(G$1),FALSE),0))*VLOOKUP($D6,素材!$1:$1016,COLUMN($E$1),FALSE),0),"")</f>
        <v>12</v>
      </c>
      <c r="H6">
        <f>IFERROR(ROUNDDOWN((VLOOKUP($C6,武器!$1:$998,COLUMN(F$1),FALSE)+IFERROR(VLOOKUP($CI6,装強!$1:$999,COLUMN(H$1),FALSE),0))*VLOOKUP($D6,素材!$1:$1016,COLUMN($E$1),FALSE),0),"")</f>
        <v>8</v>
      </c>
      <c r="I6">
        <f>IFERROR(ROUNDDOWN((VLOOKUP($C6,武器!$1:$998,COLUMN(G$1),FALSE)+IFERROR(VLOOKUP($CI6,装強!$1:$999,COLUMN(I$1),FALSE),0))*VLOOKUP($D6,素材!$1:$1016,COLUMN($E$1),FALSE),0),"")</f>
        <v>3</v>
      </c>
      <c r="J6">
        <f>IFERROR(ROUNDDOWN((VLOOKUP($C6,武器!$1:$998,COLUMN(H$1),FALSE)+IFERROR(VLOOKUP($CI6,装強!$1:$999,COLUMN(J$1),FALSE),0))*VLOOKUP($D6,素材!$1:$1016,COLUMN($E$1),FALSE),0),"")</f>
        <v>23</v>
      </c>
      <c r="K6">
        <f>IFERROR(ROUNDDOWN((VLOOKUP($C6,武器!$1:$998,COLUMN(I$1),FALSE)+IFERROR(VLOOKUP($CI6,装強!$1:$999,COLUMN(K$1),FALSE),0))*VLOOKUP($D6,素材!$1:$1016,COLUMN($E$1),FALSE),0),"")</f>
        <v>0</v>
      </c>
      <c r="L6">
        <f>IFERROR(VLOOKUP($D6,素材!$1:$1016,COLUMN($F$1),FALSE),"")</f>
        <v>0</v>
      </c>
      <c r="M6">
        <f>IFERROR(VLOOKUP($C6,武器!$1:$998,COLUMN(AA$1),FALSE)*VLOOKUP($D6,素材!$1:$1016,COLUMN($G$1),FALSE),"")</f>
        <v>0</v>
      </c>
      <c r="N6">
        <f>IFERROR(VLOOKUP($C6,武器!$1:$998,COLUMN(I$1),FALSE),"")</f>
        <v>0</v>
      </c>
      <c r="O6" s="23">
        <f>IFERROR((VLOOKUP($C6,武器!$1:$998,COLUMN(K$1),FALSE)+VLOOKUP($D6,素材!$1:$1016,COLUMN(H$1),FALSE))*100+IFERROR(VLOOKUP($CI6,装強!$1:$999,COLUMN(O$1),FALSE),0),"")</f>
        <v>10</v>
      </c>
      <c r="P6" s="23">
        <f>IFERROR((VLOOKUP($C6,武器!$1:$998,COLUMN(L$1),FALSE)+VLOOKUP($D6,素材!$1:$1016,COLUMN(I$1),FALSE))*100+IFERROR(VLOOKUP($CI6,装強!$1:$999,COLUMN(P$1),FALSE),0),"")</f>
        <v>150</v>
      </c>
      <c r="Q6">
        <f>IFERROR(ROUNDUP(VLOOKUP($C6,武器!$1:$998,COLUMN(M$1),FALSE)*(VLOOKUP($D6,素材!$1:$1002,COLUMN(D$1),FALSE)/100),1),"")</f>
        <v>-2.5</v>
      </c>
      <c r="R6">
        <f>IFERROR(ROUNDUP(VLOOKUP($C6,武器!$1:$998,COLUMN(N$1),FALSE)*(VLOOKUP($D6,素材!$1:$1002,COLUMN(D$1),FALSE)/100),1),"")</f>
        <v>-2.5</v>
      </c>
      <c r="S6">
        <f>IFERROR(VLOOKUP($C6,武器!$1:$998,COLUMN(P$1),FALSE),"")</f>
        <v>0</v>
      </c>
      <c r="T6">
        <f>IFERROR(VLOOKUP($C6,武器!$1:$998,COLUMN(Q$1),FALSE),"")</f>
        <v>0</v>
      </c>
      <c r="U6">
        <f>IFERROR(VLOOKUP($C6,武器!$1:$998,COLUMN(R$1),FALSE),"")</f>
        <v>0</v>
      </c>
      <c r="V6">
        <f>IFERROR(VLOOKUP($C6,武器!$1:$998,COLUMN(Q$1),FALSE),"")</f>
        <v>0</v>
      </c>
      <c r="W6" t="str">
        <f>IFERROR(VLOOKUP($C6,武器!$1:$998,COLUMN(T$1),FALSE),"")</f>
        <v>A</v>
      </c>
      <c r="Y6">
        <f>IFERROR(VLOOKUP($C6,武器!$1:$998,COLUMN(U$1),FALSE),"")</f>
        <v>0</v>
      </c>
      <c r="Z6">
        <f>IFERROR(ROUNDUP(VLOOKUP($C6,武器!$1:$998,COLUMN(O$1),FALSE)*VLOOKUP($D6,素材!$1:$1016,COLUMN(E$1),FALSE),1),"")</f>
        <v>0</v>
      </c>
      <c r="AA6">
        <f>IF(ISNUMBER(SEARCH(SUBSTITUTE(AA$1,RIGHT(AA$1,2),""),VLOOKUP($D6,素材!$1:$1016,COLUMN($F$1),FALSE))),VLOOKUP($C6,武器!$1:$998,COLUMN($O$1),FALSE)*VLOOKUP($D6,素材!$1:$1016,COLUMN($E$1),FALSE)/(LEN(VLOOKUP($D6,素材!$1:$1016,COLUMN($F$1),FALSE)) - LEN(SUBSTITUTE(VLOOKUP($D6,素材!$1:$1016,COLUMN($F$1),FALSE), "・", 0)) + 1), 0)</f>
        <v>0</v>
      </c>
      <c r="AB6">
        <f>IF(ISNUMBER(SEARCH(SUBSTITUTE(AB$1,RIGHT(AB$1,2),""),VLOOKUP($D6,素材!$1:$1016,COLUMN($F$1),FALSE))),VLOOKUP($C6,武器!$1:$998,COLUMN($O$1),FALSE)*VLOOKUP($D6,素材!$1:$1016,COLUMN($E$1),FALSE)/(LEN(VLOOKUP($D6,素材!$1:$1016,COLUMN($F$1),FALSE)) - LEN(SUBSTITUTE(VLOOKUP($D6,素材!$1:$1016,COLUMN($F$1),FALSE), "・", 0)) + 1), 0)</f>
        <v>0</v>
      </c>
      <c r="AC6">
        <f>IF(ISNUMBER(SEARCH(SUBSTITUTE(AC$1,RIGHT(AC$1,2),""),VLOOKUP($D6,素材!$1:$1016,COLUMN($F$1),FALSE))),VLOOKUP($C6,武器!$1:$998,COLUMN($O$1),FALSE)*VLOOKUP($D6,素材!$1:$1016,COLUMN($E$1),FALSE)/(LEN(VLOOKUP($D6,素材!$1:$1016,COLUMN($F$1),FALSE)) - LEN(SUBSTITUTE(VLOOKUP($D6,素材!$1:$1016,COLUMN($F$1),FALSE), "・", 0)) + 1), 0)</f>
        <v>0</v>
      </c>
      <c r="AD6">
        <f>IF(ISNUMBER(SEARCH(SUBSTITUTE(AD$1,RIGHT(AD$1,2),""),VLOOKUP($D6,素材!$1:$1016,COLUMN($F$1),FALSE))),VLOOKUP($C6,武器!$1:$998,COLUMN($O$1),FALSE)*VLOOKUP($D6,素材!$1:$1016,COLUMN($E$1),FALSE)/(LEN(VLOOKUP($D6,素材!$1:$1016,COLUMN($F$1),FALSE)) - LEN(SUBSTITUTE(VLOOKUP($D6,素材!$1:$1016,COLUMN($F$1),FALSE), "・", 0)) + 1), 0)</f>
        <v>0</v>
      </c>
      <c r="AE6">
        <f>IF(ISNUMBER(SEARCH(SUBSTITUTE(AE$1,RIGHT(AE$1,2),""),VLOOKUP($D6,素材!$1:$1016,COLUMN($F$1),FALSE))),VLOOKUP($C6,武器!$1:$998,COLUMN($O$1),FALSE)*VLOOKUP($D6,素材!$1:$1016,COLUMN($E$1),FALSE)/(LEN(VLOOKUP($D6,素材!$1:$1016,COLUMN($F$1),FALSE)) - LEN(SUBSTITUTE(VLOOKUP($D6,素材!$1:$1016,COLUMN($F$1),FALSE), "・", 0)) + 1), 0)</f>
        <v>0</v>
      </c>
      <c r="AF6">
        <f>IF(ISNUMBER(SEARCH(SUBSTITUTE(AF$1,RIGHT(AF$1,2),""),VLOOKUP($D6,素材!$1:$1016,COLUMN($F$1),FALSE))),VLOOKUP($C6,武器!$1:$998,COLUMN($O$1),FALSE)*VLOOKUP($D6,素材!$1:$1016,COLUMN($E$1),FALSE)/(LEN(VLOOKUP($D6,素材!$1:$1016,COLUMN($F$1),FALSE)) - LEN(SUBSTITUTE(VLOOKUP($D6,素材!$1:$1016,COLUMN($F$1),FALSE), "・", 0)) + 1), 0)</f>
        <v>0</v>
      </c>
      <c r="AG6">
        <f>IF(ISNUMBER(SEARCH(SUBSTITUTE(AG$1,RIGHT(AG$1,2),""),VLOOKUP($D6,素材!$1:$1016,COLUMN($F$1),FALSE))),VLOOKUP($C6,武器!$1:$998,COLUMN($O$1),FALSE)*VLOOKUP($D6,素材!$1:$1016,COLUMN($E$1),FALSE)/(LEN(VLOOKUP($D6,素材!$1:$1016,COLUMN($F$1),FALSE)) - LEN(SUBSTITUTE(VLOOKUP($D6,素材!$1:$1016,COLUMN($F$1),FALSE), "・", 0)) + 1), 0)</f>
        <v>0</v>
      </c>
      <c r="AH6">
        <f>IF(ISNUMBER(SEARCH(SUBSTITUTE(AH$1,RIGHT(AH$1,2),""),VLOOKUP($D6,素材!$1:$1016,COLUMN($F$1),FALSE))),VLOOKUP($C6,武器!$1:$998,COLUMN($O$1),FALSE)*VLOOKUP($D6,素材!$1:$1016,COLUMN($E$1),FALSE)/(LEN(VLOOKUP($D6,素材!$1:$1016,COLUMN($F$1),FALSE)) - LEN(SUBSTITUTE(VLOOKUP($D6,素材!$1:$1016,COLUMN($F$1),FALSE), "・", 0)) + 1), 0)</f>
        <v>0</v>
      </c>
      <c r="AI6">
        <f>IF(ISNUMBER(SEARCH(SUBSTITUTE(AI$1,RIGHT(AI$1,2),""),VLOOKUP($D6,素材!$1:$1016,COLUMN($F$1),FALSE))),VLOOKUP($C6,武器!$1:$998,COLUMN($O$1),FALSE)*VLOOKUP($D6,素材!$1:$1016,COLUMN($E$1),FALSE)/(LEN(VLOOKUP($D6,素材!$1:$1016,COLUMN($F$1),FALSE)) - LEN(SUBSTITUTE(VLOOKUP($D6,素材!$1:$1016,COLUMN($F$1),FALSE), "・", 0)) + 1), 0)</f>
        <v>0</v>
      </c>
      <c r="AJ6">
        <f>IF(ISNUMBER(SEARCH(SUBSTITUTE(AJ$1,RIGHT(AJ$1,2),""),VLOOKUP($D6,素材!$1:$1016,COLUMN($F$1),FALSE))),VLOOKUP($C6,武器!$1:$998,COLUMN($O$1),FALSE)*VLOOKUP($D6,素材!$1:$1016,COLUMN($E$1),FALSE)/(LEN(VLOOKUP($D6,素材!$1:$1016,COLUMN($F$1),FALSE)) - LEN(SUBSTITUTE(VLOOKUP($D6,素材!$1:$1016,COLUMN($F$1),FALSE), "・", 0)) + 1), 0)</f>
        <v>0</v>
      </c>
      <c r="AK6">
        <f>IF(ISNUMBER(SEARCH(SUBSTITUTE(AK$1,RIGHT(AK$1,2),""),VLOOKUP($D6,素材!$1:$1016,COLUMN($F$1),FALSE))),VLOOKUP($C6,武器!$1:$998,COLUMN($O$1),FALSE)*VLOOKUP($D6,素材!$1:$1016,COLUMN($E$1),FALSE)/(LEN(VLOOKUP($D6,素材!$1:$1016,COLUMN($F$1),FALSE)) - LEN(SUBSTITUTE(VLOOKUP($D6,素材!$1:$1016,COLUMN($F$1),FALSE), "・", 0)) + 1), 0)</f>
        <v>0</v>
      </c>
      <c r="AL6">
        <f>IF(ISNUMBER(SEARCH(SUBSTITUTE(AL$1,RIGHT(AL$1,2),""),VLOOKUP($D6,素材!$1:$1016,COLUMN($F$1),FALSE))),VLOOKUP($C6,武器!$1:$998,COLUMN($O$1),FALSE)*VLOOKUP($D6,素材!$1:$1016,COLUMN($E$1),FALSE)/(LEN(VLOOKUP($D6,素材!$1:$1016,COLUMN($F$1),FALSE)) - LEN(SUBSTITUTE(VLOOKUP($D6,素材!$1:$1016,COLUMN($F$1),FALSE), "・", 0)) + 1), 0)</f>
        <v>0</v>
      </c>
      <c r="AM6">
        <f>IF(ISNUMBER(SEARCH(SUBSTITUTE(AM$1,RIGHT(AM$1,2),""),VLOOKUP($D6,素材!$1:$1016,COLUMN($F$1),FALSE))),VLOOKUP($C6,武器!$1:$998,COLUMN($O$1),FALSE)*VLOOKUP($D6,素材!$1:$1016,COLUMN($E$1),FALSE)/(LEN(VLOOKUP($D6,素材!$1:$1016,COLUMN($F$1),FALSE)) - LEN(SUBSTITUTE(VLOOKUP($D6,素材!$1:$1016,COLUMN($F$1),FALSE), "・", 0)) + 1), 0)</f>
        <v>0</v>
      </c>
      <c r="AN6">
        <f>IF(ISNUMBER(SEARCH(SUBSTITUTE(AN$1,RIGHT(AN$1,2),""),VLOOKUP($D6,素材!$1:$1016,COLUMN($F$1),FALSE))),VLOOKUP($C6,武器!$1:$998,COLUMN($O$1),FALSE)*VLOOKUP($D6,素材!$1:$1016,COLUMN($E$1),FALSE)/(LEN(VLOOKUP($D6,素材!$1:$1016,COLUMN($F$1),FALSE)) - LEN(SUBSTITUTE(VLOOKUP($D6,素材!$1:$1016,COLUMN($F$1),FALSE), "・", 0)) + 1), 0)</f>
        <v>0</v>
      </c>
      <c r="AO6">
        <f>IF(ISNUMBER(SEARCH(SUBSTITUTE(AO$1,RIGHT(AO$1,2),""),VLOOKUP($D6,素材!$1:$1016,COLUMN($F$1),FALSE))),VLOOKUP($C6,武器!$1:$998,COLUMN($O$1),FALSE)*VLOOKUP($D6,素材!$1:$1016,COLUMN($E$1),FALSE)/(LEN(VLOOKUP($D6,素材!$1:$1016,COLUMN($F$1),FALSE)) - LEN(SUBSTITUTE(VLOOKUP($D6,素材!$1:$1016,COLUMN($F$1),FALSE), "・", 0)) + 1), 0)</f>
        <v>0</v>
      </c>
      <c r="AP6">
        <f>IF(ISNUMBER(SEARCH(SUBSTITUTE(AP$1,RIGHT(AP$1,2),""),VLOOKUP($D6,素材!$1:$1016,COLUMN($F$1),FALSE))),VLOOKUP($C6,武器!$1:$998,COLUMN($O$1),FALSE)*VLOOKUP($D6,素材!$1:$1016,COLUMN($E$1),FALSE)/(LEN(VLOOKUP($D6,素材!$1:$1016,COLUMN($F$1),FALSE)) - LEN(SUBSTITUTE(VLOOKUP($D6,素材!$1:$1016,COLUMN($F$1),FALSE), "・", 0)) + 1), 0)</f>
        <v>0</v>
      </c>
      <c r="AQ6">
        <f>IF(ISNUMBER(SEARCH(SUBSTITUTE(AQ$1,RIGHT(AQ$1,2),""),VLOOKUP($D6,素材!$1:$1016,COLUMN($F$1),FALSE))),VLOOKUP($C6,武器!$1:$998,COLUMN($O$1),FALSE)*VLOOKUP($D6,素材!$1:$1016,COLUMN($E$1),FALSE)/(LEN(VLOOKUP($D6,素材!$1:$1016,COLUMN($F$1),FALSE)) - LEN(SUBSTITUTE(VLOOKUP($D6,素材!$1:$1016,COLUMN($F$1),FALSE), "・", 0)) + 1), 0)</f>
        <v>0</v>
      </c>
      <c r="AR6">
        <f>IF(ISNUMBER(SEARCH(SUBSTITUTE(AR$1,RIGHT(AR$1,2),""),VLOOKUP($D6,素材!$1:$1016,COLUMN($F$1),FALSE))),VLOOKUP($C6,武器!$1:$998,COLUMN($O$1),FALSE)*VLOOKUP($D6,素材!$1:$1016,COLUMN($E$1),FALSE)/(LEN(VLOOKUP($D6,素材!$1:$1016,COLUMN($F$1),FALSE)) - LEN(SUBSTITUTE(VLOOKUP($D6,素材!$1:$1016,COLUMN($F$1),FALSE), "・", 0)) + 1), 0)</f>
        <v>0</v>
      </c>
      <c r="AS6">
        <f>IF(ISNUMBER(SEARCH(SUBSTITUTE(AS$1,RIGHT(AS$1,2),""),VLOOKUP($D6,素材!$1:$1016,COLUMN($F$1),FALSE))),VLOOKUP($C6,武器!$1:$998,COLUMN($O$1),FALSE)*VLOOKUP($D6,素材!$1:$1016,COLUMN($E$1),FALSE)/(LEN(VLOOKUP($D6,素材!$1:$1016,COLUMN($F$1),FALSE)) - LEN(SUBSTITUTE(VLOOKUP($D6,素材!$1:$1016,COLUMN($F$1),FALSE), "・", 0)) + 1), 0)</f>
        <v>0</v>
      </c>
      <c r="AT6">
        <f>IF(ISNUMBER(SEARCH(SUBSTITUTE(AT$1,RIGHT(AT$1,2),""),VLOOKUP($D6,素材!$1:$1016,COLUMN($F$1),FALSE))),VLOOKUP($C6,武器!$1:$998,COLUMN($O$1),FALSE)*VLOOKUP($D6,素材!$1:$1016,COLUMN($E$1),FALSE)/(LEN(VLOOKUP($D6,素材!$1:$1016,COLUMN($F$1),FALSE)) - LEN(SUBSTITUTE(VLOOKUP($D6,素材!$1:$1016,COLUMN($F$1),FALSE), "・", 0)) + 1), 0)</f>
        <v>0</v>
      </c>
      <c r="AU6">
        <f>IF(ISNUMBER(SEARCH(SUBSTITUTE(AU$1,RIGHT(AU$1,2),""),VLOOKUP($D6,素材!$1:$1016,COLUMN($F$1),FALSE))),VLOOKUP($C6,武器!$1:$998,COLUMN($O$1),FALSE)*VLOOKUP($D6,素材!$1:$1016,COLUMN($E$1),FALSE)/(LEN(VLOOKUP($D6,素材!$1:$1016,COLUMN($F$1),FALSE)) - LEN(SUBSTITUTE(VLOOKUP($D6,素材!$1:$1016,COLUMN($F$1),FALSE), "・", 0)) + 1), 0)</f>
        <v>0</v>
      </c>
      <c r="AV6">
        <f>IF(ISNUMBER(SEARCH(SUBSTITUTE(AV$1,RIGHT(AV$1,2),""),VLOOKUP($D6,素材!$1:$1016,COLUMN($F$1),FALSE))),VLOOKUP($C6,武器!$1:$998,COLUMN($O$1),FALSE)*VLOOKUP($D6,素材!$1:$1016,COLUMN($E$1),FALSE)/(LEN(VLOOKUP($D6,素材!$1:$1016,COLUMN($F$1),FALSE)) - LEN(SUBSTITUTE(VLOOKUP($D6,素材!$1:$1016,COLUMN($F$1),FALSE), "・", 0)) + 1), 0)</f>
        <v>0</v>
      </c>
      <c r="AW6">
        <f>IF(ISNUMBER(SEARCH(SUBSTITUTE(AW$1,RIGHT(AW$1,2),""),VLOOKUP($D6,素材!$1:$1016,COLUMN($F$1),FALSE))),VLOOKUP($C6,武器!$1:$998,COLUMN($O$1),FALSE)*VLOOKUP($D6,素材!$1:$1016,COLUMN($E$1),FALSE)/(LEN(VLOOKUP($D6,素材!$1:$1016,COLUMN($F$1),FALSE)) - LEN(SUBSTITUTE(VLOOKUP($D6,素材!$1:$1016,COLUMN($F$1),FALSE), "・", 0)) + 1), 0)</f>
        <v>0</v>
      </c>
      <c r="AX6">
        <f>IF(ISNUMBER(SEARCH(SUBSTITUTE(AX$1,RIGHT(AX$1,2),""),VLOOKUP($D6,素材!$1:$1016,COLUMN($F$1),FALSE))),VLOOKUP($C6,武器!$1:$998,COLUMN($O$1),FALSE)*VLOOKUP($D6,素材!$1:$1016,COLUMN($E$1),FALSE)/(LEN(VLOOKUP($D6,素材!$1:$1016,COLUMN($F$1),FALSE)) - LEN(SUBSTITUTE(VLOOKUP($D6,素材!$1:$1016,COLUMN($F$1),FALSE), "・", 0)) + 1), 0)</f>
        <v>0</v>
      </c>
      <c r="AY6">
        <f>IF(ISNUMBER(SEARCH(SUBSTITUTE(AY$1,RIGHT(AY$1,2),""),VLOOKUP($D6,素材!$1:$1016,COLUMN($F$1),FALSE))),VLOOKUP($C6,武器!$1:$998,COLUMN($O$1),FALSE)*VLOOKUP($D6,素材!$1:$1016,COLUMN($E$1),FALSE)/(LEN(VLOOKUP($D6,素材!$1:$1016,COLUMN($F$1),FALSE)) - LEN(SUBSTITUTE(VLOOKUP($D6,素材!$1:$1016,COLUMN($F$1),FALSE), "・", 0)) + 1), 0)</f>
        <v>0</v>
      </c>
      <c r="AZ6">
        <f>IF(ISNUMBER(SEARCH(SUBSTITUTE(AZ$1,RIGHT(AZ$1,2),""),VLOOKUP($D6,素材!$1:$1016,COLUMN($F$1),FALSE))),VLOOKUP($C6,武器!$1:$998,COLUMN($O$1),FALSE)*VLOOKUP($D6,素材!$1:$1016,COLUMN($E$1),FALSE)/(LEN(VLOOKUP($D6,素材!$1:$1016,COLUMN($F$1),FALSE)) - LEN(SUBSTITUTE(VLOOKUP($D6,素材!$1:$1016,COLUMN($F$1),FALSE), "・", 0)) + 1), 0)</f>
        <v>0</v>
      </c>
      <c r="BA6">
        <f>IF(ISNUMBER(SEARCH(SUBSTITUTE(BA$1,RIGHT(BA$1,2),""),VLOOKUP($D6,素材!$1:$1016,COLUMN($F$1),FALSE))),VLOOKUP($C6,武器!$1:$998,COLUMN($O$1),FALSE)*VLOOKUP($D6,素材!$1:$1016,COLUMN($E$1),FALSE)/(LEN(VLOOKUP($D6,素材!$1:$1016,COLUMN($F$1),FALSE)) - LEN(SUBSTITUTE(VLOOKUP($D6,素材!$1:$1016,COLUMN($F$1),FALSE), "・", 0)) + 1), 0)</f>
        <v>0</v>
      </c>
      <c r="BB6">
        <f>IF(ISNUMBER(SEARCH(SUBSTITUTE(BB$1,RIGHT(BB$1,2),""),VLOOKUP($D6,素材!$1:$1016,COLUMN($F$1),FALSE))),VLOOKUP($C6,武器!$1:$998,COLUMN($O$1),FALSE)*VLOOKUP($D6,素材!$1:$1016,COLUMN($E$1),FALSE)/(LEN(VLOOKUP($D6,素材!$1:$1016,COLUMN($F$1),FALSE)) - LEN(SUBSTITUTE(VLOOKUP($D6,素材!$1:$1016,COLUMN($F$1),FALSE), "・", 0)) + 1), 0)</f>
        <v>0</v>
      </c>
      <c r="BC6">
        <f>IF(ISNUMBER(SEARCH(SUBSTITUTE(BC$1,RIGHT(BC$1,2),""),VLOOKUP($D6,素材!$1:$1016,COLUMN($F$1),FALSE))),VLOOKUP($C6,武器!$1:$998,COLUMN($O$1),FALSE)*VLOOKUP($D6,素材!$1:$1016,COLUMN($E$1),FALSE)/(LEN(VLOOKUP($D6,素材!$1:$1016,COLUMN($F$1),FALSE)) - LEN(SUBSTITUTE(VLOOKUP($D6,素材!$1:$1016,COLUMN($F$1),FALSE), "・", 0)) + 1), 0)</f>
        <v>0</v>
      </c>
      <c r="BD6">
        <f>IF(ISNUMBER(SEARCH(SUBSTITUTE(BD$1,RIGHT(BD$1,2),""),VLOOKUP($D6,素材!$1:$1016,COLUMN($F$1),FALSE))),VLOOKUP($C6,武器!$1:$998,COLUMN($O$1),FALSE)*VLOOKUP($D6,素材!$1:$1016,COLUMN($E$1),FALSE)/(LEN(VLOOKUP($D6,素材!$1:$1016,COLUMN($F$1),FALSE)) - LEN(SUBSTITUTE(VLOOKUP($D6,素材!$1:$1016,COLUMN($F$1),FALSE), "・", 0)) + 1), 0)</f>
        <v>0</v>
      </c>
      <c r="BE6">
        <f>IF(ISNUMBER(SEARCH(SUBSTITUTE(BE$1,RIGHT(BE$1,2),""),VLOOKUP($D6,素材!$1:$1016,COLUMN($F$1),FALSE))),VLOOKUP($C6,武器!$1:$998,COLUMN($O$1),FALSE)*VLOOKUP($D6,素材!$1:$1016,COLUMN($E$1),FALSE)/(LEN(VLOOKUP($D6,素材!$1:$1016,COLUMN($F$1),FALSE)) - LEN(SUBSTITUTE(VLOOKUP($D6,素材!$1:$1016,COLUMN($F$1),FALSE), "・", 0)) + 1), 0)</f>
        <v>0</v>
      </c>
      <c r="CL6">
        <f>SUM(G6:I6)</f>
        <v>23</v>
      </c>
      <c r="CM6" s="22" t="str">
        <f>IF(E6="武器",IF(J6-1&gt;SUM(G6:I6),"盾",IF(MAX(G6:I6)=G6,"切断",IF(MAX(G6:I6)=H6,"貫通",IF(MAX(G6:I6)=I6,"打撃","射撃")))),E6)&amp;".webp"</f>
        <v>切断.webp</v>
      </c>
      <c r="CN6">
        <f>IFERROR(VLOOKUP($C6,武器!$1:$998,COLUMN(V$1),FALSE)*VLOOKUP($D6,素材!$1:$1016,COLUMN(N$1),FALSE)+IF(CI6="",0,VLOOKUP($CI6,装強!$1:$1008,COLUMN($CK$1),FALSE)),"")</f>
        <v>400</v>
      </c>
      <c r="CO6" t="str">
        <f>VLOOKUP(D6,素材!$A:$O,COLUMN(素材!O$1),FALSE)</f>
        <v>一般的な鉄。量産品を作るのに使用されることが多い</v>
      </c>
      <c r="CP6" t="str">
        <f>VLOOKUP(C6,武器!$A:$W,COLUMN(武器!W$1),FALSE)</f>
        <v>幅の広い剣。扱いにくいが攻撃と防御にも優れている。状況に合わせて立ち回ろう。</v>
      </c>
      <c r="CR6" t="str">
        <f t="shared" si="1"/>
        <v>e_6</v>
      </c>
      <c r="CS6">
        <f t="shared" si="2"/>
        <v>40000</v>
      </c>
    </row>
    <row r="7" spans="1:97" outlineLevel="1" x14ac:dyDescent="0.4">
      <c r="A7" t="str">
        <f t="shared" si="0"/>
        <v>鉄の長剣</v>
      </c>
      <c r="B7" t="str">
        <f>IFERROR(VLOOKUP($D7,素材!$1:$1016,COLUMN($B$1),FALSE)&amp;"・"&amp;VLOOKUP($C7,武器!$1:$998,COLUMN(B$1),FALSE),"")</f>
        <v>アイアン・ロングソード</v>
      </c>
      <c r="C7" s="24" t="s">
        <v>238</v>
      </c>
      <c r="D7" s="24" t="s">
        <v>257</v>
      </c>
      <c r="E7" t="str">
        <f>IFERROR(VLOOKUP(C7,武器!$1:$998,COLUMN(C$1),FALSE),"")</f>
        <v>武器</v>
      </c>
      <c r="F7">
        <f>IFERROR(ROUNDDOWN((VLOOKUP($C7,武器!$1:$998,COLUMN(D$1),FALSE)+IFERROR(VLOOKUP($CI7,装強!$1:$999,COLUMN(F$1),FALSE),0))*VLOOKUP($D7,素材!$1:$1016,COLUMN(D$1),FALSE),0),"")</f>
        <v>115</v>
      </c>
      <c r="G7">
        <f>IFERROR(ROUNDDOWN((VLOOKUP($C7,武器!$1:$998,COLUMN(E$1),FALSE)+IFERROR(VLOOKUP($CI7,装強!$1:$999,COLUMN(G$1),FALSE),0))*VLOOKUP($D7,素材!$1:$1016,COLUMN($E$1),FALSE),0),"")</f>
        <v>15</v>
      </c>
      <c r="H7">
        <f>IFERROR(ROUNDDOWN((VLOOKUP($C7,武器!$1:$998,COLUMN(F$1),FALSE)+IFERROR(VLOOKUP($CI7,装強!$1:$999,COLUMN(H$1),FALSE),0))*VLOOKUP($D7,素材!$1:$1016,COLUMN($E$1),FALSE),0),"")</f>
        <v>9</v>
      </c>
      <c r="I7">
        <f>IFERROR(ROUNDDOWN((VLOOKUP($C7,武器!$1:$998,COLUMN(G$1),FALSE)+IFERROR(VLOOKUP($CI7,装強!$1:$999,COLUMN(I$1),FALSE),0))*VLOOKUP($D7,素材!$1:$1016,COLUMN($E$1),FALSE),0),"")</f>
        <v>3</v>
      </c>
      <c r="J7">
        <f>IFERROR(ROUNDDOWN((VLOOKUP($C7,武器!$1:$998,COLUMN(H$1),FALSE)+IFERROR(VLOOKUP($CI7,装強!$1:$999,COLUMN(J$1),FALSE),0))*VLOOKUP($D7,素材!$1:$1016,COLUMN($E$1),FALSE),0),"")</f>
        <v>20</v>
      </c>
      <c r="K7">
        <f>IFERROR(ROUNDDOWN((VLOOKUP($C7,武器!$1:$998,COLUMN(I$1),FALSE)+IFERROR(VLOOKUP($CI7,装強!$1:$999,COLUMN(K$1),FALSE),0))*VLOOKUP($D7,素材!$1:$1016,COLUMN($E$1),FALSE),0),"")</f>
        <v>0</v>
      </c>
      <c r="L7">
        <f>IFERROR(VLOOKUP($D7,素材!$1:$1016,COLUMN($F$1),FALSE),"")</f>
        <v>0</v>
      </c>
      <c r="M7">
        <f>IFERROR(VLOOKUP($C7,武器!$1:$998,COLUMN(AA$1),FALSE)*VLOOKUP($D7,素材!$1:$1016,COLUMN($G$1),FALSE),"")</f>
        <v>0</v>
      </c>
      <c r="N7">
        <f>IFERROR(VLOOKUP($C7,武器!$1:$998,COLUMN(I$1),FALSE),"")</f>
        <v>0</v>
      </c>
      <c r="O7" s="23">
        <f>IFERROR((VLOOKUP($C7,武器!$1:$998,COLUMN(K$1),FALSE)+VLOOKUP($D7,素材!$1:$1016,COLUMN(H$1),FALSE))*100+IFERROR(VLOOKUP($CI7,装強!$1:$999,COLUMN(O$1),FALSE),0),"")</f>
        <v>10</v>
      </c>
      <c r="P7" s="23">
        <f>IFERROR((VLOOKUP($C7,武器!$1:$998,COLUMN(L$1),FALSE)+VLOOKUP($D7,素材!$1:$1016,COLUMN(I$1),FALSE))*100+IFERROR(VLOOKUP($CI7,装強!$1:$999,COLUMN(P$1),FALSE),0),"")</f>
        <v>150</v>
      </c>
      <c r="Q7">
        <f>IFERROR(ROUNDUP(VLOOKUP($C7,武器!$1:$998,COLUMN(M$1),FALSE)*(VLOOKUP($D7,素材!$1:$1002,COLUMN(D$1),FALSE)/100),1),"")</f>
        <v>-2.5</v>
      </c>
      <c r="R7">
        <f>IFERROR(ROUNDUP(VLOOKUP($C7,武器!$1:$998,COLUMN(N$1),FALSE)*(VLOOKUP($D7,素材!$1:$1002,COLUMN(D$1),FALSE)/100),1),"")</f>
        <v>-2.5</v>
      </c>
      <c r="S7">
        <f>IFERROR(VLOOKUP($C7,武器!$1:$998,COLUMN(P$1),FALSE),"")</f>
        <v>0</v>
      </c>
      <c r="T7">
        <f>IFERROR(VLOOKUP($C7,武器!$1:$998,COLUMN(Q$1),FALSE),"")</f>
        <v>0</v>
      </c>
      <c r="U7">
        <f>IFERROR(VLOOKUP($C7,武器!$1:$998,COLUMN(R$1),FALSE),"")</f>
        <v>0</v>
      </c>
      <c r="V7">
        <f>IFERROR(VLOOKUP($C7,武器!$1:$998,COLUMN(Q$1),FALSE),"")</f>
        <v>0</v>
      </c>
      <c r="W7" t="str">
        <f>IFERROR(VLOOKUP($C7,武器!$1:$998,COLUMN(T$1),FALSE),"")</f>
        <v>A</v>
      </c>
      <c r="Y7">
        <f>IFERROR(VLOOKUP($C7,武器!$1:$998,COLUMN(U$1),FALSE),"")</f>
        <v>0</v>
      </c>
      <c r="Z7">
        <f>IFERROR(ROUNDUP(VLOOKUP($C7,武器!$1:$998,COLUMN(O$1),FALSE)*VLOOKUP($D7,素材!$1:$1016,COLUMN(E$1),FALSE),1),"")</f>
        <v>0</v>
      </c>
      <c r="AA7">
        <f>IF(ISNUMBER(SEARCH(SUBSTITUTE(AA$1,RIGHT(AA$1,2),""),VLOOKUP($D7,素材!$1:$1016,COLUMN($F$1),FALSE))),VLOOKUP($C7,武器!$1:$998,COLUMN($O$1),FALSE)*VLOOKUP($D7,素材!$1:$1016,COLUMN($E$1),FALSE)/(LEN(VLOOKUP($D7,素材!$1:$1016,COLUMN($F$1),FALSE)) - LEN(SUBSTITUTE(VLOOKUP($D7,素材!$1:$1016,COLUMN($F$1),FALSE), "・", 0)) + 1), 0)</f>
        <v>0</v>
      </c>
      <c r="AB7">
        <f>IF(ISNUMBER(SEARCH(SUBSTITUTE(AB$1,RIGHT(AB$1,2),""),VLOOKUP($D7,素材!$1:$1016,COLUMN($F$1),FALSE))),VLOOKUP($C7,武器!$1:$998,COLUMN($O$1),FALSE)*VLOOKUP($D7,素材!$1:$1016,COLUMN($E$1),FALSE)/(LEN(VLOOKUP($D7,素材!$1:$1016,COLUMN($F$1),FALSE)) - LEN(SUBSTITUTE(VLOOKUP($D7,素材!$1:$1016,COLUMN($F$1),FALSE), "・", 0)) + 1), 0)</f>
        <v>0</v>
      </c>
      <c r="AC7">
        <f>IF(ISNUMBER(SEARCH(SUBSTITUTE(AC$1,RIGHT(AC$1,2),""),VLOOKUP($D7,素材!$1:$1016,COLUMN($F$1),FALSE))),VLOOKUP($C7,武器!$1:$998,COLUMN($O$1),FALSE)*VLOOKUP($D7,素材!$1:$1016,COLUMN($E$1),FALSE)/(LEN(VLOOKUP($D7,素材!$1:$1016,COLUMN($F$1),FALSE)) - LEN(SUBSTITUTE(VLOOKUP($D7,素材!$1:$1016,COLUMN($F$1),FALSE), "・", 0)) + 1), 0)</f>
        <v>0</v>
      </c>
      <c r="AD7">
        <f>IF(ISNUMBER(SEARCH(SUBSTITUTE(AD$1,RIGHT(AD$1,2),""),VLOOKUP($D7,素材!$1:$1016,COLUMN($F$1),FALSE))),VLOOKUP($C7,武器!$1:$998,COLUMN($O$1),FALSE)*VLOOKUP($D7,素材!$1:$1016,COLUMN($E$1),FALSE)/(LEN(VLOOKUP($D7,素材!$1:$1016,COLUMN($F$1),FALSE)) - LEN(SUBSTITUTE(VLOOKUP($D7,素材!$1:$1016,COLUMN($F$1),FALSE), "・", 0)) + 1), 0)</f>
        <v>0</v>
      </c>
      <c r="AE7">
        <f>IF(ISNUMBER(SEARCH(SUBSTITUTE(AE$1,RIGHT(AE$1,2),""),VLOOKUP($D7,素材!$1:$1016,COLUMN($F$1),FALSE))),VLOOKUP($C7,武器!$1:$998,COLUMN($O$1),FALSE)*VLOOKUP($D7,素材!$1:$1016,COLUMN($E$1),FALSE)/(LEN(VLOOKUP($D7,素材!$1:$1016,COLUMN($F$1),FALSE)) - LEN(SUBSTITUTE(VLOOKUP($D7,素材!$1:$1016,COLUMN($F$1),FALSE), "・", 0)) + 1), 0)</f>
        <v>0</v>
      </c>
      <c r="AF7">
        <f>IF(ISNUMBER(SEARCH(SUBSTITUTE(AF$1,RIGHT(AF$1,2),""),VLOOKUP($D7,素材!$1:$1016,COLUMN($F$1),FALSE))),VLOOKUP($C7,武器!$1:$998,COLUMN($O$1),FALSE)*VLOOKUP($D7,素材!$1:$1016,COLUMN($E$1),FALSE)/(LEN(VLOOKUP($D7,素材!$1:$1016,COLUMN($F$1),FALSE)) - LEN(SUBSTITUTE(VLOOKUP($D7,素材!$1:$1016,COLUMN($F$1),FALSE), "・", 0)) + 1), 0)</f>
        <v>0</v>
      </c>
      <c r="AG7">
        <f>IF(ISNUMBER(SEARCH(SUBSTITUTE(AG$1,RIGHT(AG$1,2),""),VLOOKUP($D7,素材!$1:$1016,COLUMN($F$1),FALSE))),VLOOKUP($C7,武器!$1:$998,COLUMN($O$1),FALSE)*VLOOKUP($D7,素材!$1:$1016,COLUMN($E$1),FALSE)/(LEN(VLOOKUP($D7,素材!$1:$1016,COLUMN($F$1),FALSE)) - LEN(SUBSTITUTE(VLOOKUP($D7,素材!$1:$1016,COLUMN($F$1),FALSE), "・", 0)) + 1), 0)</f>
        <v>0</v>
      </c>
      <c r="AH7">
        <f>IF(ISNUMBER(SEARCH(SUBSTITUTE(AH$1,RIGHT(AH$1,2),""),VLOOKUP($D7,素材!$1:$1016,COLUMN($F$1),FALSE))),VLOOKUP($C7,武器!$1:$998,COLUMN($O$1),FALSE)*VLOOKUP($D7,素材!$1:$1016,COLUMN($E$1),FALSE)/(LEN(VLOOKUP($D7,素材!$1:$1016,COLUMN($F$1),FALSE)) - LEN(SUBSTITUTE(VLOOKUP($D7,素材!$1:$1016,COLUMN($F$1),FALSE), "・", 0)) + 1), 0)</f>
        <v>0</v>
      </c>
      <c r="AI7">
        <f>IF(ISNUMBER(SEARCH(SUBSTITUTE(AI$1,RIGHT(AI$1,2),""),VLOOKUP($D7,素材!$1:$1016,COLUMN($F$1),FALSE))),VLOOKUP($C7,武器!$1:$998,COLUMN($O$1),FALSE)*VLOOKUP($D7,素材!$1:$1016,COLUMN($E$1),FALSE)/(LEN(VLOOKUP($D7,素材!$1:$1016,COLUMN($F$1),FALSE)) - LEN(SUBSTITUTE(VLOOKUP($D7,素材!$1:$1016,COLUMN($F$1),FALSE), "・", 0)) + 1), 0)</f>
        <v>0</v>
      </c>
      <c r="AJ7">
        <f>IF(ISNUMBER(SEARCH(SUBSTITUTE(AJ$1,RIGHT(AJ$1,2),""),VLOOKUP($D7,素材!$1:$1016,COLUMN($F$1),FALSE))),VLOOKUP($C7,武器!$1:$998,COLUMN($O$1),FALSE)*VLOOKUP($D7,素材!$1:$1016,COLUMN($E$1),FALSE)/(LEN(VLOOKUP($D7,素材!$1:$1016,COLUMN($F$1),FALSE)) - LEN(SUBSTITUTE(VLOOKUP($D7,素材!$1:$1016,COLUMN($F$1),FALSE), "・", 0)) + 1), 0)</f>
        <v>0</v>
      </c>
      <c r="AK7">
        <f>IF(ISNUMBER(SEARCH(SUBSTITUTE(AK$1,RIGHT(AK$1,2),""),VLOOKUP($D7,素材!$1:$1016,COLUMN($F$1),FALSE))),VLOOKUP($C7,武器!$1:$998,COLUMN($O$1),FALSE)*VLOOKUP($D7,素材!$1:$1016,COLUMN($E$1),FALSE)/(LEN(VLOOKUP($D7,素材!$1:$1016,COLUMN($F$1),FALSE)) - LEN(SUBSTITUTE(VLOOKUP($D7,素材!$1:$1016,COLUMN($F$1),FALSE), "・", 0)) + 1), 0)</f>
        <v>0</v>
      </c>
      <c r="AL7">
        <f>IF(ISNUMBER(SEARCH(SUBSTITUTE(AL$1,RIGHT(AL$1,2),""),VLOOKUP($D7,素材!$1:$1016,COLUMN($F$1),FALSE))),VLOOKUP($C7,武器!$1:$998,COLUMN($O$1),FALSE)*VLOOKUP($D7,素材!$1:$1016,COLUMN($E$1),FALSE)/(LEN(VLOOKUP($D7,素材!$1:$1016,COLUMN($F$1),FALSE)) - LEN(SUBSTITUTE(VLOOKUP($D7,素材!$1:$1016,COLUMN($F$1),FALSE), "・", 0)) + 1), 0)</f>
        <v>0</v>
      </c>
      <c r="AM7">
        <f>IF(ISNUMBER(SEARCH(SUBSTITUTE(AM$1,RIGHT(AM$1,2),""),VLOOKUP($D7,素材!$1:$1016,COLUMN($F$1),FALSE))),VLOOKUP($C7,武器!$1:$998,COLUMN($O$1),FALSE)*VLOOKUP($D7,素材!$1:$1016,COLUMN($E$1),FALSE)/(LEN(VLOOKUP($D7,素材!$1:$1016,COLUMN($F$1),FALSE)) - LEN(SUBSTITUTE(VLOOKUP($D7,素材!$1:$1016,COLUMN($F$1),FALSE), "・", 0)) + 1), 0)</f>
        <v>0</v>
      </c>
      <c r="AN7">
        <f>IF(ISNUMBER(SEARCH(SUBSTITUTE(AN$1,RIGHT(AN$1,2),""),VLOOKUP($D7,素材!$1:$1016,COLUMN($F$1),FALSE))),VLOOKUP($C7,武器!$1:$998,COLUMN($O$1),FALSE)*VLOOKUP($D7,素材!$1:$1016,COLUMN($E$1),FALSE)/(LEN(VLOOKUP($D7,素材!$1:$1016,COLUMN($F$1),FALSE)) - LEN(SUBSTITUTE(VLOOKUP($D7,素材!$1:$1016,COLUMN($F$1),FALSE), "・", 0)) + 1), 0)</f>
        <v>0</v>
      </c>
      <c r="AO7">
        <f>IF(ISNUMBER(SEARCH(SUBSTITUTE(AO$1,RIGHT(AO$1,2),""),VLOOKUP($D7,素材!$1:$1016,COLUMN($F$1),FALSE))),VLOOKUP($C7,武器!$1:$998,COLUMN($O$1),FALSE)*VLOOKUP($D7,素材!$1:$1016,COLUMN($E$1),FALSE)/(LEN(VLOOKUP($D7,素材!$1:$1016,COLUMN($F$1),FALSE)) - LEN(SUBSTITUTE(VLOOKUP($D7,素材!$1:$1016,COLUMN($F$1),FALSE), "・", 0)) + 1), 0)</f>
        <v>0</v>
      </c>
      <c r="AP7">
        <f>IF(ISNUMBER(SEARCH(SUBSTITUTE(AP$1,RIGHT(AP$1,2),""),VLOOKUP($D7,素材!$1:$1016,COLUMN($F$1),FALSE))),VLOOKUP($C7,武器!$1:$998,COLUMN($O$1),FALSE)*VLOOKUP($D7,素材!$1:$1016,COLUMN($E$1),FALSE)/(LEN(VLOOKUP($D7,素材!$1:$1016,COLUMN($F$1),FALSE)) - LEN(SUBSTITUTE(VLOOKUP($D7,素材!$1:$1016,COLUMN($F$1),FALSE), "・", 0)) + 1), 0)</f>
        <v>0</v>
      </c>
      <c r="AQ7">
        <f>IF(ISNUMBER(SEARCH(SUBSTITUTE(AQ$1,RIGHT(AQ$1,2),""),VLOOKUP($D7,素材!$1:$1016,COLUMN($F$1),FALSE))),VLOOKUP($C7,武器!$1:$998,COLUMN($O$1),FALSE)*VLOOKUP($D7,素材!$1:$1016,COLUMN($E$1),FALSE)/(LEN(VLOOKUP($D7,素材!$1:$1016,COLUMN($F$1),FALSE)) - LEN(SUBSTITUTE(VLOOKUP($D7,素材!$1:$1016,COLUMN($F$1),FALSE), "・", 0)) + 1), 0)</f>
        <v>0</v>
      </c>
      <c r="AR7">
        <f>IF(ISNUMBER(SEARCH(SUBSTITUTE(AR$1,RIGHT(AR$1,2),""),VLOOKUP($D7,素材!$1:$1016,COLUMN($F$1),FALSE))),VLOOKUP($C7,武器!$1:$998,COLUMN($O$1),FALSE)*VLOOKUP($D7,素材!$1:$1016,COLUMN($E$1),FALSE)/(LEN(VLOOKUP($D7,素材!$1:$1016,COLUMN($F$1),FALSE)) - LEN(SUBSTITUTE(VLOOKUP($D7,素材!$1:$1016,COLUMN($F$1),FALSE), "・", 0)) + 1), 0)</f>
        <v>0</v>
      </c>
      <c r="AS7">
        <f>IF(ISNUMBER(SEARCH(SUBSTITUTE(AS$1,RIGHT(AS$1,2),""),VLOOKUP($D7,素材!$1:$1016,COLUMN($F$1),FALSE))),VLOOKUP($C7,武器!$1:$998,COLUMN($O$1),FALSE)*VLOOKUP($D7,素材!$1:$1016,COLUMN($E$1),FALSE)/(LEN(VLOOKUP($D7,素材!$1:$1016,COLUMN($F$1),FALSE)) - LEN(SUBSTITUTE(VLOOKUP($D7,素材!$1:$1016,COLUMN($F$1),FALSE), "・", 0)) + 1), 0)</f>
        <v>0</v>
      </c>
      <c r="AT7">
        <f>IF(ISNUMBER(SEARCH(SUBSTITUTE(AT$1,RIGHT(AT$1,2),""),VLOOKUP($D7,素材!$1:$1016,COLUMN($F$1),FALSE))),VLOOKUP($C7,武器!$1:$998,COLUMN($O$1),FALSE)*VLOOKUP($D7,素材!$1:$1016,COLUMN($E$1),FALSE)/(LEN(VLOOKUP($D7,素材!$1:$1016,COLUMN($F$1),FALSE)) - LEN(SUBSTITUTE(VLOOKUP($D7,素材!$1:$1016,COLUMN($F$1),FALSE), "・", 0)) + 1), 0)</f>
        <v>0</v>
      </c>
      <c r="AU7">
        <f>IF(ISNUMBER(SEARCH(SUBSTITUTE(AU$1,RIGHT(AU$1,2),""),VLOOKUP($D7,素材!$1:$1016,COLUMN($F$1),FALSE))),VLOOKUP($C7,武器!$1:$998,COLUMN($O$1),FALSE)*VLOOKUP($D7,素材!$1:$1016,COLUMN($E$1),FALSE)/(LEN(VLOOKUP($D7,素材!$1:$1016,COLUMN($F$1),FALSE)) - LEN(SUBSTITUTE(VLOOKUP($D7,素材!$1:$1016,COLUMN($F$1),FALSE), "・", 0)) + 1), 0)</f>
        <v>0</v>
      </c>
      <c r="AV7">
        <f>IF(ISNUMBER(SEARCH(SUBSTITUTE(AV$1,RIGHT(AV$1,2),""),VLOOKUP($D7,素材!$1:$1016,COLUMN($F$1),FALSE))),VLOOKUP($C7,武器!$1:$998,COLUMN($O$1),FALSE)*VLOOKUP($D7,素材!$1:$1016,COLUMN($E$1),FALSE)/(LEN(VLOOKUP($D7,素材!$1:$1016,COLUMN($F$1),FALSE)) - LEN(SUBSTITUTE(VLOOKUP($D7,素材!$1:$1016,COLUMN($F$1),FALSE), "・", 0)) + 1), 0)</f>
        <v>0</v>
      </c>
      <c r="AW7">
        <f>IF(ISNUMBER(SEARCH(SUBSTITUTE(AW$1,RIGHT(AW$1,2),""),VLOOKUP($D7,素材!$1:$1016,COLUMN($F$1),FALSE))),VLOOKUP($C7,武器!$1:$998,COLUMN($O$1),FALSE)*VLOOKUP($D7,素材!$1:$1016,COLUMN($E$1),FALSE)/(LEN(VLOOKUP($D7,素材!$1:$1016,COLUMN($F$1),FALSE)) - LEN(SUBSTITUTE(VLOOKUP($D7,素材!$1:$1016,COLUMN($F$1),FALSE), "・", 0)) + 1), 0)</f>
        <v>0</v>
      </c>
      <c r="AX7">
        <f>IF(ISNUMBER(SEARCH(SUBSTITUTE(AX$1,RIGHT(AX$1,2),""),VLOOKUP($D7,素材!$1:$1016,COLUMN($F$1),FALSE))),VLOOKUP($C7,武器!$1:$998,COLUMN($O$1),FALSE)*VLOOKUP($D7,素材!$1:$1016,COLUMN($E$1),FALSE)/(LEN(VLOOKUP($D7,素材!$1:$1016,COLUMN($F$1),FALSE)) - LEN(SUBSTITUTE(VLOOKUP($D7,素材!$1:$1016,COLUMN($F$1),FALSE), "・", 0)) + 1), 0)</f>
        <v>0</v>
      </c>
      <c r="AY7">
        <f>IF(ISNUMBER(SEARCH(SUBSTITUTE(AY$1,RIGHT(AY$1,2),""),VLOOKUP($D7,素材!$1:$1016,COLUMN($F$1),FALSE))),VLOOKUP($C7,武器!$1:$998,COLUMN($O$1),FALSE)*VLOOKUP($D7,素材!$1:$1016,COLUMN($E$1),FALSE)/(LEN(VLOOKUP($D7,素材!$1:$1016,COLUMN($F$1),FALSE)) - LEN(SUBSTITUTE(VLOOKUP($D7,素材!$1:$1016,COLUMN($F$1),FALSE), "・", 0)) + 1), 0)</f>
        <v>0</v>
      </c>
      <c r="AZ7">
        <f>IF(ISNUMBER(SEARCH(SUBSTITUTE(AZ$1,RIGHT(AZ$1,2),""),VLOOKUP($D7,素材!$1:$1016,COLUMN($F$1),FALSE))),VLOOKUP($C7,武器!$1:$998,COLUMN($O$1),FALSE)*VLOOKUP($D7,素材!$1:$1016,COLUMN($E$1),FALSE)/(LEN(VLOOKUP($D7,素材!$1:$1016,COLUMN($F$1),FALSE)) - LEN(SUBSTITUTE(VLOOKUP($D7,素材!$1:$1016,COLUMN($F$1),FALSE), "・", 0)) + 1), 0)</f>
        <v>0</v>
      </c>
      <c r="BA7">
        <f>IF(ISNUMBER(SEARCH(SUBSTITUTE(BA$1,RIGHT(BA$1,2),""),VLOOKUP($D7,素材!$1:$1016,COLUMN($F$1),FALSE))),VLOOKUP($C7,武器!$1:$998,COLUMN($O$1),FALSE)*VLOOKUP($D7,素材!$1:$1016,COLUMN($E$1),FALSE)/(LEN(VLOOKUP($D7,素材!$1:$1016,COLUMN($F$1),FALSE)) - LEN(SUBSTITUTE(VLOOKUP($D7,素材!$1:$1016,COLUMN($F$1),FALSE), "・", 0)) + 1), 0)</f>
        <v>0</v>
      </c>
      <c r="BB7">
        <f>IF(ISNUMBER(SEARCH(SUBSTITUTE(BB$1,RIGHT(BB$1,2),""),VLOOKUP($D7,素材!$1:$1016,COLUMN($F$1),FALSE))),VLOOKUP($C7,武器!$1:$998,COLUMN($O$1),FALSE)*VLOOKUP($D7,素材!$1:$1016,COLUMN($E$1),FALSE)/(LEN(VLOOKUP($D7,素材!$1:$1016,COLUMN($F$1),FALSE)) - LEN(SUBSTITUTE(VLOOKUP($D7,素材!$1:$1016,COLUMN($F$1),FALSE), "・", 0)) + 1), 0)</f>
        <v>0</v>
      </c>
      <c r="BC7">
        <f>IF(ISNUMBER(SEARCH(SUBSTITUTE(BC$1,RIGHT(BC$1,2),""),VLOOKUP($D7,素材!$1:$1016,COLUMN($F$1),FALSE))),VLOOKUP($C7,武器!$1:$998,COLUMN($O$1),FALSE)*VLOOKUP($D7,素材!$1:$1016,COLUMN($E$1),FALSE)/(LEN(VLOOKUP($D7,素材!$1:$1016,COLUMN($F$1),FALSE)) - LEN(SUBSTITUTE(VLOOKUP($D7,素材!$1:$1016,COLUMN($F$1),FALSE), "・", 0)) + 1), 0)</f>
        <v>0</v>
      </c>
      <c r="BD7">
        <f>IF(ISNUMBER(SEARCH(SUBSTITUTE(BD$1,RIGHT(BD$1,2),""),VLOOKUP($D7,素材!$1:$1016,COLUMN($F$1),FALSE))),VLOOKUP($C7,武器!$1:$998,COLUMN($O$1),FALSE)*VLOOKUP($D7,素材!$1:$1016,COLUMN($E$1),FALSE)/(LEN(VLOOKUP($D7,素材!$1:$1016,COLUMN($F$1),FALSE)) - LEN(SUBSTITUTE(VLOOKUP($D7,素材!$1:$1016,COLUMN($F$1),FALSE), "・", 0)) + 1), 0)</f>
        <v>0</v>
      </c>
      <c r="BE7">
        <f>IF(ISNUMBER(SEARCH(SUBSTITUTE(BE$1,RIGHT(BE$1,2),""),VLOOKUP($D7,素材!$1:$1016,COLUMN($F$1),FALSE))),VLOOKUP($C7,武器!$1:$998,COLUMN($O$1),FALSE)*VLOOKUP($D7,素材!$1:$1016,COLUMN($E$1),FALSE)/(LEN(VLOOKUP($D7,素材!$1:$1016,COLUMN($F$1),FALSE)) - LEN(SUBSTITUTE(VLOOKUP($D7,素材!$1:$1016,COLUMN($F$1),FALSE), "・", 0)) + 1), 0)</f>
        <v>0</v>
      </c>
      <c r="CL7">
        <f>SUM(G7:I7)</f>
        <v>27</v>
      </c>
      <c r="CM7" s="22" t="str">
        <f>IF(E7="武器",IF(J7-1&gt;SUM(G7:I7),"盾",IF(MAX(G7:I7)=G7,"切断",IF(MAX(G7:I7)=H7,"貫通",IF(MAX(G7:I7)=I7,"打撃","射撃")))),E7)&amp;".webp"</f>
        <v>切断.webp</v>
      </c>
      <c r="CN7">
        <f>IFERROR(VLOOKUP($C7,武器!$1:$998,COLUMN(V$1),FALSE)*VLOOKUP($D7,素材!$1:$1016,COLUMN(N$1),FALSE)+IF(CI7="",0,VLOOKUP($CI7,装強!$1:$1008,COLUMN($CK$1),FALSE)),"")</f>
        <v>400</v>
      </c>
      <c r="CO7" t="str">
        <f>VLOOKUP(D7,素材!$A:$O,COLUMN(素材!O$1),FALSE)</f>
        <v>一般的な鉄。量産品を作るのに使用されることが多い</v>
      </c>
      <c r="CP7" t="str">
        <f>VLOOKUP(C7,武器!$A:$W,COLUMN(武器!W$1),FALSE)</f>
        <v>長剣。長く重い分扱いにくいが威力が高い。</v>
      </c>
      <c r="CR7" t="str">
        <f t="shared" si="1"/>
        <v>e_7</v>
      </c>
      <c r="CS7">
        <f t="shared" si="2"/>
        <v>40000</v>
      </c>
    </row>
    <row r="8" spans="1:97" outlineLevel="1" x14ac:dyDescent="0.4">
      <c r="A8" t="str">
        <f t="shared" si="0"/>
        <v>鉄の大剣</v>
      </c>
      <c r="B8" t="str">
        <f>IFERROR(VLOOKUP($D8,素材!$1:$1016,COLUMN($B$1),FALSE)&amp;"・"&amp;VLOOKUP($C8,武器!$1:$998,COLUMN(B$1),FALSE),"")</f>
        <v>アイアン・バスターソード</v>
      </c>
      <c r="C8" s="24" t="s">
        <v>237</v>
      </c>
      <c r="D8" s="24" t="s">
        <v>257</v>
      </c>
      <c r="E8" t="str">
        <f>IFERROR(VLOOKUP(C8,武器!$1:$998,COLUMN(C$1),FALSE),"")</f>
        <v>武器</v>
      </c>
      <c r="F8">
        <f>IFERROR(ROUNDDOWN((VLOOKUP($C8,武器!$1:$998,COLUMN(D$1),FALSE)+IFERROR(VLOOKUP($CI8,装強!$1:$999,COLUMN(F$1),FALSE),0))*VLOOKUP($D8,素材!$1:$1016,COLUMN(D$1),FALSE),0),"")</f>
        <v>125</v>
      </c>
      <c r="G8">
        <f>IFERROR(ROUNDDOWN((VLOOKUP($C8,武器!$1:$998,COLUMN(E$1),FALSE)+IFERROR(VLOOKUP($CI8,装強!$1:$999,COLUMN(G$1),FALSE),0))*VLOOKUP($D8,素材!$1:$1016,COLUMN($E$1),FALSE),0),"")</f>
        <v>18</v>
      </c>
      <c r="H8">
        <f>IFERROR(ROUNDDOWN((VLOOKUP($C8,武器!$1:$998,COLUMN(F$1),FALSE)+IFERROR(VLOOKUP($CI8,装強!$1:$999,COLUMN(H$1),FALSE),0))*VLOOKUP($D8,素材!$1:$1016,COLUMN($E$1),FALSE),0),"")</f>
        <v>9</v>
      </c>
      <c r="I8">
        <f>IFERROR(ROUNDDOWN((VLOOKUP($C8,武器!$1:$998,COLUMN(G$1),FALSE)+IFERROR(VLOOKUP($CI8,装強!$1:$999,COLUMN(I$1),FALSE),0))*VLOOKUP($D8,素材!$1:$1016,COLUMN($E$1),FALSE),0),"")</f>
        <v>4</v>
      </c>
      <c r="J8">
        <f>IFERROR(ROUNDDOWN((VLOOKUP($C8,武器!$1:$998,COLUMN(H$1),FALSE)+IFERROR(VLOOKUP($CI8,装強!$1:$999,COLUMN(J$1),FALSE),0))*VLOOKUP($D8,素材!$1:$1016,COLUMN($E$1),FALSE),0),"")</f>
        <v>22</v>
      </c>
      <c r="K8">
        <f>IFERROR(ROUNDDOWN((VLOOKUP($C8,武器!$1:$998,COLUMN(I$1),FALSE)+IFERROR(VLOOKUP($CI8,装強!$1:$999,COLUMN(K$1),FALSE),0))*VLOOKUP($D8,素材!$1:$1016,COLUMN($E$1),FALSE),0),"")</f>
        <v>0</v>
      </c>
      <c r="L8">
        <f>IFERROR(VLOOKUP($D8,素材!$1:$1016,COLUMN($F$1),FALSE),"")</f>
        <v>0</v>
      </c>
      <c r="M8">
        <f>IFERROR(VLOOKUP($C8,武器!$1:$998,COLUMN(AA$1),FALSE)*VLOOKUP($D8,素材!$1:$1016,COLUMN($G$1),FALSE),"")</f>
        <v>0</v>
      </c>
      <c r="N8">
        <f>IFERROR(VLOOKUP($C8,武器!$1:$998,COLUMN(I$1),FALSE),"")</f>
        <v>0</v>
      </c>
      <c r="O8" s="23">
        <f>IFERROR((VLOOKUP($C8,武器!$1:$998,COLUMN(K$1),FALSE)+VLOOKUP($D8,素材!$1:$1016,COLUMN(H$1),FALSE))*100+IFERROR(VLOOKUP($CI8,装強!$1:$999,COLUMN(O$1),FALSE),0),"")</f>
        <v>10</v>
      </c>
      <c r="P8" s="23">
        <f>IFERROR((VLOOKUP($C8,武器!$1:$998,COLUMN(L$1),FALSE)+VLOOKUP($D8,素材!$1:$1016,COLUMN(I$1),FALSE))*100+IFERROR(VLOOKUP($CI8,装強!$1:$999,COLUMN(P$1),FALSE),0),"")</f>
        <v>150</v>
      </c>
      <c r="Q8">
        <f>IFERROR(ROUNDUP(VLOOKUP($C8,武器!$1:$998,COLUMN(M$1),FALSE)*(VLOOKUP($D8,素材!$1:$1002,COLUMN(D$1),FALSE)/100),1),"")</f>
        <v>-7.5</v>
      </c>
      <c r="R8">
        <f>IFERROR(ROUNDUP(VLOOKUP($C8,武器!$1:$998,COLUMN(N$1),FALSE)*(VLOOKUP($D8,素材!$1:$1002,COLUMN(D$1),FALSE)/100),1),"")</f>
        <v>-7.5</v>
      </c>
      <c r="S8">
        <f>IFERROR(VLOOKUP($C8,武器!$1:$998,COLUMN(P$1),FALSE),"")</f>
        <v>0</v>
      </c>
      <c r="T8">
        <f>IFERROR(VLOOKUP($C8,武器!$1:$998,COLUMN(Q$1),FALSE),"")</f>
        <v>0</v>
      </c>
      <c r="U8">
        <f>IFERROR(VLOOKUP($C8,武器!$1:$998,COLUMN(R$1),FALSE),"")</f>
        <v>0</v>
      </c>
      <c r="V8">
        <f>IFERROR(VLOOKUP($C8,武器!$1:$998,COLUMN(Q$1),FALSE),"")</f>
        <v>0</v>
      </c>
      <c r="W8" t="str">
        <f>IFERROR(VLOOKUP($C8,武器!$1:$998,COLUMN(T$1),FALSE),"")</f>
        <v>A</v>
      </c>
      <c r="Y8">
        <f>IFERROR(VLOOKUP($C8,武器!$1:$998,COLUMN(U$1),FALSE),"")</f>
        <v>0</v>
      </c>
      <c r="Z8">
        <f>IFERROR(ROUNDUP(VLOOKUP($C8,武器!$1:$998,COLUMN(O$1),FALSE)*VLOOKUP($D8,素材!$1:$1016,COLUMN(E$1),FALSE),1),"")</f>
        <v>0</v>
      </c>
      <c r="AA8">
        <f>IF(ISNUMBER(SEARCH(SUBSTITUTE(AA$1,RIGHT(AA$1,2),""),VLOOKUP($D8,素材!$1:$1016,COLUMN($F$1),FALSE))),VLOOKUP($C8,武器!$1:$998,COLUMN($O$1),FALSE)*VLOOKUP($D8,素材!$1:$1016,COLUMN($E$1),FALSE)/(LEN(VLOOKUP($D8,素材!$1:$1016,COLUMN($F$1),FALSE)) - LEN(SUBSTITUTE(VLOOKUP($D8,素材!$1:$1016,COLUMN($F$1),FALSE), "・", 0)) + 1), 0)</f>
        <v>0</v>
      </c>
      <c r="AB8">
        <f>IF(ISNUMBER(SEARCH(SUBSTITUTE(AB$1,RIGHT(AB$1,2),""),VLOOKUP($D8,素材!$1:$1016,COLUMN($F$1),FALSE))),VLOOKUP($C8,武器!$1:$998,COLUMN($O$1),FALSE)*VLOOKUP($D8,素材!$1:$1016,COLUMN($E$1),FALSE)/(LEN(VLOOKUP($D8,素材!$1:$1016,COLUMN($F$1),FALSE)) - LEN(SUBSTITUTE(VLOOKUP($D8,素材!$1:$1016,COLUMN($F$1),FALSE), "・", 0)) + 1), 0)</f>
        <v>0</v>
      </c>
      <c r="AC8">
        <f>IF(ISNUMBER(SEARCH(SUBSTITUTE(AC$1,RIGHT(AC$1,2),""),VLOOKUP($D8,素材!$1:$1016,COLUMN($F$1),FALSE))),VLOOKUP($C8,武器!$1:$998,COLUMN($O$1),FALSE)*VLOOKUP($D8,素材!$1:$1016,COLUMN($E$1),FALSE)/(LEN(VLOOKUP($D8,素材!$1:$1016,COLUMN($F$1),FALSE)) - LEN(SUBSTITUTE(VLOOKUP($D8,素材!$1:$1016,COLUMN($F$1),FALSE), "・", 0)) + 1), 0)</f>
        <v>0</v>
      </c>
      <c r="AD8">
        <f>IF(ISNUMBER(SEARCH(SUBSTITUTE(AD$1,RIGHT(AD$1,2),""),VLOOKUP($D8,素材!$1:$1016,COLUMN($F$1),FALSE))),VLOOKUP($C8,武器!$1:$998,COLUMN($O$1),FALSE)*VLOOKUP($D8,素材!$1:$1016,COLUMN($E$1),FALSE)/(LEN(VLOOKUP($D8,素材!$1:$1016,COLUMN($F$1),FALSE)) - LEN(SUBSTITUTE(VLOOKUP($D8,素材!$1:$1016,COLUMN($F$1),FALSE), "・", 0)) + 1), 0)</f>
        <v>0</v>
      </c>
      <c r="AE8">
        <f>IF(ISNUMBER(SEARCH(SUBSTITUTE(AE$1,RIGHT(AE$1,2),""),VLOOKUP($D8,素材!$1:$1016,COLUMN($F$1),FALSE))),VLOOKUP($C8,武器!$1:$998,COLUMN($O$1),FALSE)*VLOOKUP($D8,素材!$1:$1016,COLUMN($E$1),FALSE)/(LEN(VLOOKUP($D8,素材!$1:$1016,COLUMN($F$1),FALSE)) - LEN(SUBSTITUTE(VLOOKUP($D8,素材!$1:$1016,COLUMN($F$1),FALSE), "・", 0)) + 1), 0)</f>
        <v>0</v>
      </c>
      <c r="AF8">
        <f>IF(ISNUMBER(SEARCH(SUBSTITUTE(AF$1,RIGHT(AF$1,2),""),VLOOKUP($D8,素材!$1:$1016,COLUMN($F$1),FALSE))),VLOOKUP($C8,武器!$1:$998,COLUMN($O$1),FALSE)*VLOOKUP($D8,素材!$1:$1016,COLUMN($E$1),FALSE)/(LEN(VLOOKUP($D8,素材!$1:$1016,COLUMN($F$1),FALSE)) - LEN(SUBSTITUTE(VLOOKUP($D8,素材!$1:$1016,COLUMN($F$1),FALSE), "・", 0)) + 1), 0)</f>
        <v>0</v>
      </c>
      <c r="AG8">
        <f>IF(ISNUMBER(SEARCH(SUBSTITUTE(AG$1,RIGHT(AG$1,2),""),VLOOKUP($D8,素材!$1:$1016,COLUMN($F$1),FALSE))),VLOOKUP($C8,武器!$1:$998,COLUMN($O$1),FALSE)*VLOOKUP($D8,素材!$1:$1016,COLUMN($E$1),FALSE)/(LEN(VLOOKUP($D8,素材!$1:$1016,COLUMN($F$1),FALSE)) - LEN(SUBSTITUTE(VLOOKUP($D8,素材!$1:$1016,COLUMN($F$1),FALSE), "・", 0)) + 1), 0)</f>
        <v>0</v>
      </c>
      <c r="AH8">
        <f>IF(ISNUMBER(SEARCH(SUBSTITUTE(AH$1,RIGHT(AH$1,2),""),VLOOKUP($D8,素材!$1:$1016,COLUMN($F$1),FALSE))),VLOOKUP($C8,武器!$1:$998,COLUMN($O$1),FALSE)*VLOOKUP($D8,素材!$1:$1016,COLUMN($E$1),FALSE)/(LEN(VLOOKUP($D8,素材!$1:$1016,COLUMN($F$1),FALSE)) - LEN(SUBSTITUTE(VLOOKUP($D8,素材!$1:$1016,COLUMN($F$1),FALSE), "・", 0)) + 1), 0)</f>
        <v>0</v>
      </c>
      <c r="AI8">
        <f>IF(ISNUMBER(SEARCH(SUBSTITUTE(AI$1,RIGHT(AI$1,2),""),VLOOKUP($D8,素材!$1:$1016,COLUMN($F$1),FALSE))),VLOOKUP($C8,武器!$1:$998,COLUMN($O$1),FALSE)*VLOOKUP($D8,素材!$1:$1016,COLUMN($E$1),FALSE)/(LEN(VLOOKUP($D8,素材!$1:$1016,COLUMN($F$1),FALSE)) - LEN(SUBSTITUTE(VLOOKUP($D8,素材!$1:$1016,COLUMN($F$1),FALSE), "・", 0)) + 1), 0)</f>
        <v>0</v>
      </c>
      <c r="AJ8">
        <f>IF(ISNUMBER(SEARCH(SUBSTITUTE(AJ$1,RIGHT(AJ$1,2),""),VLOOKUP($D8,素材!$1:$1016,COLUMN($F$1),FALSE))),VLOOKUP($C8,武器!$1:$998,COLUMN($O$1),FALSE)*VLOOKUP($D8,素材!$1:$1016,COLUMN($E$1),FALSE)/(LEN(VLOOKUP($D8,素材!$1:$1016,COLUMN($F$1),FALSE)) - LEN(SUBSTITUTE(VLOOKUP($D8,素材!$1:$1016,COLUMN($F$1),FALSE), "・", 0)) + 1), 0)</f>
        <v>0</v>
      </c>
      <c r="AK8">
        <f>IF(ISNUMBER(SEARCH(SUBSTITUTE(AK$1,RIGHT(AK$1,2),""),VLOOKUP($D8,素材!$1:$1016,COLUMN($F$1),FALSE))),VLOOKUP($C8,武器!$1:$998,COLUMN($O$1),FALSE)*VLOOKUP($D8,素材!$1:$1016,COLUMN($E$1),FALSE)/(LEN(VLOOKUP($D8,素材!$1:$1016,COLUMN($F$1),FALSE)) - LEN(SUBSTITUTE(VLOOKUP($D8,素材!$1:$1016,COLUMN($F$1),FALSE), "・", 0)) + 1), 0)</f>
        <v>0</v>
      </c>
      <c r="AL8">
        <f>IF(ISNUMBER(SEARCH(SUBSTITUTE(AL$1,RIGHT(AL$1,2),""),VLOOKUP($D8,素材!$1:$1016,COLUMN($F$1),FALSE))),VLOOKUP($C8,武器!$1:$998,COLUMN($O$1),FALSE)*VLOOKUP($D8,素材!$1:$1016,COLUMN($E$1),FALSE)/(LEN(VLOOKUP($D8,素材!$1:$1016,COLUMN($F$1),FALSE)) - LEN(SUBSTITUTE(VLOOKUP($D8,素材!$1:$1016,COLUMN($F$1),FALSE), "・", 0)) + 1), 0)</f>
        <v>0</v>
      </c>
      <c r="AM8">
        <f>IF(ISNUMBER(SEARCH(SUBSTITUTE(AM$1,RIGHT(AM$1,2),""),VLOOKUP($D8,素材!$1:$1016,COLUMN($F$1),FALSE))),VLOOKUP($C8,武器!$1:$998,COLUMN($O$1),FALSE)*VLOOKUP($D8,素材!$1:$1016,COLUMN($E$1),FALSE)/(LEN(VLOOKUP($D8,素材!$1:$1016,COLUMN($F$1),FALSE)) - LEN(SUBSTITUTE(VLOOKUP($D8,素材!$1:$1016,COLUMN($F$1),FALSE), "・", 0)) + 1), 0)</f>
        <v>0</v>
      </c>
      <c r="AN8">
        <f>IF(ISNUMBER(SEARCH(SUBSTITUTE(AN$1,RIGHT(AN$1,2),""),VLOOKUP($D8,素材!$1:$1016,COLUMN($F$1),FALSE))),VLOOKUP($C8,武器!$1:$998,COLUMN($O$1),FALSE)*VLOOKUP($D8,素材!$1:$1016,COLUMN($E$1),FALSE)/(LEN(VLOOKUP($D8,素材!$1:$1016,COLUMN($F$1),FALSE)) - LEN(SUBSTITUTE(VLOOKUP($D8,素材!$1:$1016,COLUMN($F$1),FALSE), "・", 0)) + 1), 0)</f>
        <v>0</v>
      </c>
      <c r="AO8">
        <f>IF(ISNUMBER(SEARCH(SUBSTITUTE(AO$1,RIGHT(AO$1,2),""),VLOOKUP($D8,素材!$1:$1016,COLUMN($F$1),FALSE))),VLOOKUP($C8,武器!$1:$998,COLUMN($O$1),FALSE)*VLOOKUP($D8,素材!$1:$1016,COLUMN($E$1),FALSE)/(LEN(VLOOKUP($D8,素材!$1:$1016,COLUMN($F$1),FALSE)) - LEN(SUBSTITUTE(VLOOKUP($D8,素材!$1:$1016,COLUMN($F$1),FALSE), "・", 0)) + 1), 0)</f>
        <v>0</v>
      </c>
      <c r="AP8">
        <f>IF(ISNUMBER(SEARCH(SUBSTITUTE(AP$1,RIGHT(AP$1,2),""),VLOOKUP($D8,素材!$1:$1016,COLUMN($F$1),FALSE))),VLOOKUP($C8,武器!$1:$998,COLUMN($O$1),FALSE)*VLOOKUP($D8,素材!$1:$1016,COLUMN($E$1),FALSE)/(LEN(VLOOKUP($D8,素材!$1:$1016,COLUMN($F$1),FALSE)) - LEN(SUBSTITUTE(VLOOKUP($D8,素材!$1:$1016,COLUMN($F$1),FALSE), "・", 0)) + 1), 0)</f>
        <v>0</v>
      </c>
      <c r="AQ8">
        <f>IF(ISNUMBER(SEARCH(SUBSTITUTE(AQ$1,RIGHT(AQ$1,2),""),VLOOKUP($D8,素材!$1:$1016,COLUMN($F$1),FALSE))),VLOOKUP($C8,武器!$1:$998,COLUMN($O$1),FALSE)*VLOOKUP($D8,素材!$1:$1016,COLUMN($E$1),FALSE)/(LEN(VLOOKUP($D8,素材!$1:$1016,COLUMN($F$1),FALSE)) - LEN(SUBSTITUTE(VLOOKUP($D8,素材!$1:$1016,COLUMN($F$1),FALSE), "・", 0)) + 1), 0)</f>
        <v>0</v>
      </c>
      <c r="AR8">
        <f>IF(ISNUMBER(SEARCH(SUBSTITUTE(AR$1,RIGHT(AR$1,2),""),VLOOKUP($D8,素材!$1:$1016,COLUMN($F$1),FALSE))),VLOOKUP($C8,武器!$1:$998,COLUMN($O$1),FALSE)*VLOOKUP($D8,素材!$1:$1016,COLUMN($E$1),FALSE)/(LEN(VLOOKUP($D8,素材!$1:$1016,COLUMN($F$1),FALSE)) - LEN(SUBSTITUTE(VLOOKUP($D8,素材!$1:$1016,COLUMN($F$1),FALSE), "・", 0)) + 1), 0)</f>
        <v>0</v>
      </c>
      <c r="AS8">
        <f>IF(ISNUMBER(SEARCH(SUBSTITUTE(AS$1,RIGHT(AS$1,2),""),VLOOKUP($D8,素材!$1:$1016,COLUMN($F$1),FALSE))),VLOOKUP($C8,武器!$1:$998,COLUMN($O$1),FALSE)*VLOOKUP($D8,素材!$1:$1016,COLUMN($E$1),FALSE)/(LEN(VLOOKUP($D8,素材!$1:$1016,COLUMN($F$1),FALSE)) - LEN(SUBSTITUTE(VLOOKUP($D8,素材!$1:$1016,COLUMN($F$1),FALSE), "・", 0)) + 1), 0)</f>
        <v>0</v>
      </c>
      <c r="AT8">
        <f>IF(ISNUMBER(SEARCH(SUBSTITUTE(AT$1,RIGHT(AT$1,2),""),VLOOKUP($D8,素材!$1:$1016,COLUMN($F$1),FALSE))),VLOOKUP($C8,武器!$1:$998,COLUMN($O$1),FALSE)*VLOOKUP($D8,素材!$1:$1016,COLUMN($E$1),FALSE)/(LEN(VLOOKUP($D8,素材!$1:$1016,COLUMN($F$1),FALSE)) - LEN(SUBSTITUTE(VLOOKUP($D8,素材!$1:$1016,COLUMN($F$1),FALSE), "・", 0)) + 1), 0)</f>
        <v>0</v>
      </c>
      <c r="AU8">
        <f>IF(ISNUMBER(SEARCH(SUBSTITUTE(AU$1,RIGHT(AU$1,2),""),VLOOKUP($D8,素材!$1:$1016,COLUMN($F$1),FALSE))),VLOOKUP($C8,武器!$1:$998,COLUMN($O$1),FALSE)*VLOOKUP($D8,素材!$1:$1016,COLUMN($E$1),FALSE)/(LEN(VLOOKUP($D8,素材!$1:$1016,COLUMN($F$1),FALSE)) - LEN(SUBSTITUTE(VLOOKUP($D8,素材!$1:$1016,COLUMN($F$1),FALSE), "・", 0)) + 1), 0)</f>
        <v>0</v>
      </c>
      <c r="AV8">
        <f>IF(ISNUMBER(SEARCH(SUBSTITUTE(AV$1,RIGHT(AV$1,2),""),VLOOKUP($D8,素材!$1:$1016,COLUMN($F$1),FALSE))),VLOOKUP($C8,武器!$1:$998,COLUMN($O$1),FALSE)*VLOOKUP($D8,素材!$1:$1016,COLUMN($E$1),FALSE)/(LEN(VLOOKUP($D8,素材!$1:$1016,COLUMN($F$1),FALSE)) - LEN(SUBSTITUTE(VLOOKUP($D8,素材!$1:$1016,COLUMN($F$1),FALSE), "・", 0)) + 1), 0)</f>
        <v>0</v>
      </c>
      <c r="AW8">
        <f>IF(ISNUMBER(SEARCH(SUBSTITUTE(AW$1,RIGHT(AW$1,2),""),VLOOKUP($D8,素材!$1:$1016,COLUMN($F$1),FALSE))),VLOOKUP($C8,武器!$1:$998,COLUMN($O$1),FALSE)*VLOOKUP($D8,素材!$1:$1016,COLUMN($E$1),FALSE)/(LEN(VLOOKUP($D8,素材!$1:$1016,COLUMN($F$1),FALSE)) - LEN(SUBSTITUTE(VLOOKUP($D8,素材!$1:$1016,COLUMN($F$1),FALSE), "・", 0)) + 1), 0)</f>
        <v>0</v>
      </c>
      <c r="AX8">
        <f>IF(ISNUMBER(SEARCH(SUBSTITUTE(AX$1,RIGHT(AX$1,2),""),VLOOKUP($D8,素材!$1:$1016,COLUMN($F$1),FALSE))),VLOOKUP($C8,武器!$1:$998,COLUMN($O$1),FALSE)*VLOOKUP($D8,素材!$1:$1016,COLUMN($E$1),FALSE)/(LEN(VLOOKUP($D8,素材!$1:$1016,COLUMN($F$1),FALSE)) - LEN(SUBSTITUTE(VLOOKUP($D8,素材!$1:$1016,COLUMN($F$1),FALSE), "・", 0)) + 1), 0)</f>
        <v>0</v>
      </c>
      <c r="AY8">
        <f>IF(ISNUMBER(SEARCH(SUBSTITUTE(AY$1,RIGHT(AY$1,2),""),VLOOKUP($D8,素材!$1:$1016,COLUMN($F$1),FALSE))),VLOOKUP($C8,武器!$1:$998,COLUMN($O$1),FALSE)*VLOOKUP($D8,素材!$1:$1016,COLUMN($E$1),FALSE)/(LEN(VLOOKUP($D8,素材!$1:$1016,COLUMN($F$1),FALSE)) - LEN(SUBSTITUTE(VLOOKUP($D8,素材!$1:$1016,COLUMN($F$1),FALSE), "・", 0)) + 1), 0)</f>
        <v>0</v>
      </c>
      <c r="AZ8">
        <f>IF(ISNUMBER(SEARCH(SUBSTITUTE(AZ$1,RIGHT(AZ$1,2),""),VLOOKUP($D8,素材!$1:$1016,COLUMN($F$1),FALSE))),VLOOKUP($C8,武器!$1:$998,COLUMN($O$1),FALSE)*VLOOKUP($D8,素材!$1:$1016,COLUMN($E$1),FALSE)/(LEN(VLOOKUP($D8,素材!$1:$1016,COLUMN($F$1),FALSE)) - LEN(SUBSTITUTE(VLOOKUP($D8,素材!$1:$1016,COLUMN($F$1),FALSE), "・", 0)) + 1), 0)</f>
        <v>0</v>
      </c>
      <c r="BA8">
        <f>IF(ISNUMBER(SEARCH(SUBSTITUTE(BA$1,RIGHT(BA$1,2),""),VLOOKUP($D8,素材!$1:$1016,COLUMN($F$1),FALSE))),VLOOKUP($C8,武器!$1:$998,COLUMN($O$1),FALSE)*VLOOKUP($D8,素材!$1:$1016,COLUMN($E$1),FALSE)/(LEN(VLOOKUP($D8,素材!$1:$1016,COLUMN($F$1),FALSE)) - LEN(SUBSTITUTE(VLOOKUP($D8,素材!$1:$1016,COLUMN($F$1),FALSE), "・", 0)) + 1), 0)</f>
        <v>0</v>
      </c>
      <c r="BB8">
        <f>IF(ISNUMBER(SEARCH(SUBSTITUTE(BB$1,RIGHT(BB$1,2),""),VLOOKUP($D8,素材!$1:$1016,COLUMN($F$1),FALSE))),VLOOKUP($C8,武器!$1:$998,COLUMN($O$1),FALSE)*VLOOKUP($D8,素材!$1:$1016,COLUMN($E$1),FALSE)/(LEN(VLOOKUP($D8,素材!$1:$1016,COLUMN($F$1),FALSE)) - LEN(SUBSTITUTE(VLOOKUP($D8,素材!$1:$1016,COLUMN($F$1),FALSE), "・", 0)) + 1), 0)</f>
        <v>0</v>
      </c>
      <c r="BC8">
        <f>IF(ISNUMBER(SEARCH(SUBSTITUTE(BC$1,RIGHT(BC$1,2),""),VLOOKUP($D8,素材!$1:$1016,COLUMN($F$1),FALSE))),VLOOKUP($C8,武器!$1:$998,COLUMN($O$1),FALSE)*VLOOKUP($D8,素材!$1:$1016,COLUMN($E$1),FALSE)/(LEN(VLOOKUP($D8,素材!$1:$1016,COLUMN($F$1),FALSE)) - LEN(SUBSTITUTE(VLOOKUP($D8,素材!$1:$1016,COLUMN($F$1),FALSE), "・", 0)) + 1), 0)</f>
        <v>0</v>
      </c>
      <c r="BD8">
        <f>IF(ISNUMBER(SEARCH(SUBSTITUTE(BD$1,RIGHT(BD$1,2),""),VLOOKUP($D8,素材!$1:$1016,COLUMN($F$1),FALSE))),VLOOKUP($C8,武器!$1:$998,COLUMN($O$1),FALSE)*VLOOKUP($D8,素材!$1:$1016,COLUMN($E$1),FALSE)/(LEN(VLOOKUP($D8,素材!$1:$1016,COLUMN($F$1),FALSE)) - LEN(SUBSTITUTE(VLOOKUP($D8,素材!$1:$1016,COLUMN($F$1),FALSE), "・", 0)) + 1), 0)</f>
        <v>0</v>
      </c>
      <c r="BE8">
        <f>IF(ISNUMBER(SEARCH(SUBSTITUTE(BE$1,RIGHT(BE$1,2),""),VLOOKUP($D8,素材!$1:$1016,COLUMN($F$1),FALSE))),VLOOKUP($C8,武器!$1:$998,COLUMN($O$1),FALSE)*VLOOKUP($D8,素材!$1:$1016,COLUMN($E$1),FALSE)/(LEN(VLOOKUP($D8,素材!$1:$1016,COLUMN($F$1),FALSE)) - LEN(SUBSTITUTE(VLOOKUP($D8,素材!$1:$1016,COLUMN($F$1),FALSE), "・", 0)) + 1), 0)</f>
        <v>0</v>
      </c>
      <c r="CL8">
        <f>SUM(G8:I8)</f>
        <v>31</v>
      </c>
      <c r="CM8" s="22" t="str">
        <f>IF(E8="武器",IF(J8-1&gt;SUM(G8:I8),"盾",IF(MAX(G8:I8)=G8,"切断",IF(MAX(G8:I8)=H8,"貫通",IF(MAX(G8:I8)=I8,"打撃","射撃")))),E8)&amp;".webp"</f>
        <v>切断.webp</v>
      </c>
      <c r="CN8">
        <f>IFERROR(VLOOKUP($C8,武器!$1:$998,COLUMN(V$1),FALSE)*VLOOKUP($D8,素材!$1:$1016,COLUMN(N$1),FALSE)+IF(CI8="",0,VLOOKUP($CI8,装強!$1:$1008,COLUMN($CK$1),FALSE)),"")</f>
        <v>600</v>
      </c>
      <c r="CO8" t="str">
        <f>VLOOKUP(D8,素材!$A:$O,COLUMN(素材!O$1),FALSE)</f>
        <v>一般的な鉄。量産品を作るのに使用されることが多い</v>
      </c>
      <c r="CP8" t="str">
        <f>VLOOKUP(C8,武器!$A:$W,COLUMN(武器!W$1),FALSE)</f>
        <v>大剣。非常に重いが威力が突出して高い武器。大きい分ガードにも向いている</v>
      </c>
      <c r="CR8" t="str">
        <f t="shared" si="1"/>
        <v>e_8</v>
      </c>
      <c r="CS8">
        <f t="shared" si="2"/>
        <v>60000</v>
      </c>
    </row>
    <row r="9" spans="1:97" outlineLevel="1" x14ac:dyDescent="0.4">
      <c r="A9" t="str">
        <f t="shared" si="0"/>
        <v>鉄の細剣</v>
      </c>
      <c r="B9" t="str">
        <f>IFERROR(VLOOKUP($D9,素材!$1:$1016,COLUMN($B$1),FALSE)&amp;"・"&amp;VLOOKUP($C9,武器!$1:$998,COLUMN(B$1),FALSE),"")</f>
        <v>アイアン・レイピア</v>
      </c>
      <c r="C9" s="24" t="s">
        <v>236</v>
      </c>
      <c r="D9" s="24" t="s">
        <v>257</v>
      </c>
      <c r="E9" t="str">
        <f>IFERROR(VLOOKUP(C9,武器!$1:$998,COLUMN(C$1),FALSE),"")</f>
        <v>武器</v>
      </c>
      <c r="F9">
        <f>IFERROR(ROUNDDOWN((VLOOKUP($C9,武器!$1:$998,COLUMN(D$1),FALSE)+IFERROR(VLOOKUP($CI9,装強!$1:$999,COLUMN(F$1),FALSE),0))*VLOOKUP($D9,素材!$1:$1016,COLUMN(D$1),FALSE),0),"")</f>
        <v>100</v>
      </c>
      <c r="G9">
        <f>IFERROR(ROUNDDOWN((VLOOKUP($C9,武器!$1:$998,COLUMN(E$1),FALSE)+IFERROR(VLOOKUP($CI9,装強!$1:$999,COLUMN(G$1),FALSE),0))*VLOOKUP($D9,素材!$1:$1016,COLUMN($E$1),FALSE),0),"")</f>
        <v>9</v>
      </c>
      <c r="H9">
        <f>IFERROR(ROUNDDOWN((VLOOKUP($C9,武器!$1:$998,COLUMN(F$1),FALSE)+IFERROR(VLOOKUP($CI9,装強!$1:$999,COLUMN(H$1),FALSE),0))*VLOOKUP($D9,素材!$1:$1016,COLUMN($E$1),FALSE),0),"")</f>
        <v>13</v>
      </c>
      <c r="I9">
        <f>IFERROR(ROUNDDOWN((VLOOKUP($C9,武器!$1:$998,COLUMN(G$1),FALSE)+IFERROR(VLOOKUP($CI9,装強!$1:$999,COLUMN(I$1),FALSE),0))*VLOOKUP($D9,素材!$1:$1016,COLUMN($E$1),FALSE),0),"")</f>
        <v>0</v>
      </c>
      <c r="J9">
        <f>IFERROR(ROUNDDOWN((VLOOKUP($C9,武器!$1:$998,COLUMN(H$1),FALSE)+IFERROR(VLOOKUP($CI9,装強!$1:$999,COLUMN(J$1),FALSE),0))*VLOOKUP($D9,素材!$1:$1016,COLUMN($E$1),FALSE),0),"")</f>
        <v>16</v>
      </c>
      <c r="K9">
        <f>IFERROR(ROUNDDOWN((VLOOKUP($C9,武器!$1:$998,COLUMN(I$1),FALSE)+IFERROR(VLOOKUP($CI9,装強!$1:$999,COLUMN(K$1),FALSE),0))*VLOOKUP($D9,素材!$1:$1016,COLUMN($E$1),FALSE),0),"")</f>
        <v>0</v>
      </c>
      <c r="L9">
        <f>IFERROR(VLOOKUP($D9,素材!$1:$1016,COLUMN($F$1),FALSE),"")</f>
        <v>0</v>
      </c>
      <c r="M9">
        <f>IFERROR(VLOOKUP($C9,武器!$1:$998,COLUMN(AA$1),FALSE)*VLOOKUP($D9,素材!$1:$1016,COLUMN($G$1),FALSE),"")</f>
        <v>0</v>
      </c>
      <c r="N9">
        <f>IFERROR(VLOOKUP($C9,武器!$1:$998,COLUMN(I$1),FALSE),"")</f>
        <v>0</v>
      </c>
      <c r="O9" s="23">
        <f>IFERROR((VLOOKUP($C9,武器!$1:$998,COLUMN(K$1),FALSE)+VLOOKUP($D9,素材!$1:$1016,COLUMN(H$1),FALSE))*100+IFERROR(VLOOKUP($CI9,装強!$1:$999,COLUMN(O$1),FALSE),0),"")</f>
        <v>15</v>
      </c>
      <c r="P9" s="23">
        <f>IFERROR((VLOOKUP($C9,武器!$1:$998,COLUMN(L$1),FALSE)+VLOOKUP($D9,素材!$1:$1016,COLUMN(I$1),FALSE))*100+IFERROR(VLOOKUP($CI9,装強!$1:$999,COLUMN(P$1),FALSE),0),"")</f>
        <v>125</v>
      </c>
      <c r="Q9">
        <f>IFERROR(ROUNDUP(VLOOKUP($C9,武器!$1:$998,COLUMN(M$1),FALSE)*(VLOOKUP($D9,素材!$1:$1002,COLUMN(D$1),FALSE)/100),1),"")</f>
        <v>0</v>
      </c>
      <c r="R9">
        <f>IFERROR(ROUNDUP(VLOOKUP($C9,武器!$1:$998,COLUMN(N$1),FALSE)*(VLOOKUP($D9,素材!$1:$1002,COLUMN(D$1),FALSE)/100),1),"")</f>
        <v>0</v>
      </c>
      <c r="S9">
        <f>IFERROR(VLOOKUP($C9,武器!$1:$998,COLUMN(P$1),FALSE),"")</f>
        <v>0</v>
      </c>
      <c r="T9">
        <f>IFERROR(VLOOKUP($C9,武器!$1:$998,COLUMN(Q$1),FALSE),"")</f>
        <v>0</v>
      </c>
      <c r="U9">
        <f>IFERROR(VLOOKUP($C9,武器!$1:$998,COLUMN(R$1),FALSE),"")</f>
        <v>0</v>
      </c>
      <c r="V9">
        <f>IFERROR(VLOOKUP($C9,武器!$1:$998,COLUMN(Q$1),FALSE),"")</f>
        <v>0</v>
      </c>
      <c r="W9" t="str">
        <f>IFERROR(VLOOKUP($C9,武器!$1:$998,COLUMN(T$1),FALSE),"")</f>
        <v>A</v>
      </c>
      <c r="Y9" t="str">
        <f>IFERROR(VLOOKUP($C9,武器!$1:$998,COLUMN(U$1),FALSE),"")</f>
        <v>片手適正Ⅰ</v>
      </c>
      <c r="Z9">
        <f>IFERROR(ROUNDUP(VLOOKUP($C9,武器!$1:$998,COLUMN(O$1),FALSE)*VLOOKUP($D9,素材!$1:$1016,COLUMN(E$1),FALSE),1),"")</f>
        <v>0</v>
      </c>
      <c r="AA9">
        <f>IF(ISNUMBER(SEARCH(SUBSTITUTE(AA$1,RIGHT(AA$1,2),""),VLOOKUP($D9,素材!$1:$1016,COLUMN($F$1),FALSE))),VLOOKUP($C9,武器!$1:$998,COLUMN($O$1),FALSE)*VLOOKUP($D9,素材!$1:$1016,COLUMN($E$1),FALSE)/(LEN(VLOOKUP($D9,素材!$1:$1016,COLUMN($F$1),FALSE)) - LEN(SUBSTITUTE(VLOOKUP($D9,素材!$1:$1016,COLUMN($F$1),FALSE), "・", 0)) + 1), 0)</f>
        <v>0</v>
      </c>
      <c r="AB9">
        <f>IF(ISNUMBER(SEARCH(SUBSTITUTE(AB$1,RIGHT(AB$1,2),""),VLOOKUP($D9,素材!$1:$1016,COLUMN($F$1),FALSE))),VLOOKUP($C9,武器!$1:$998,COLUMN($O$1),FALSE)*VLOOKUP($D9,素材!$1:$1016,COLUMN($E$1),FALSE)/(LEN(VLOOKUP($D9,素材!$1:$1016,COLUMN($F$1),FALSE)) - LEN(SUBSTITUTE(VLOOKUP($D9,素材!$1:$1016,COLUMN($F$1),FALSE), "・", 0)) + 1), 0)</f>
        <v>0</v>
      </c>
      <c r="AC9">
        <f>IF(ISNUMBER(SEARCH(SUBSTITUTE(AC$1,RIGHT(AC$1,2),""),VLOOKUP($D9,素材!$1:$1016,COLUMN($F$1),FALSE))),VLOOKUP($C9,武器!$1:$998,COLUMN($O$1),FALSE)*VLOOKUP($D9,素材!$1:$1016,COLUMN($E$1),FALSE)/(LEN(VLOOKUP($D9,素材!$1:$1016,COLUMN($F$1),FALSE)) - LEN(SUBSTITUTE(VLOOKUP($D9,素材!$1:$1016,COLUMN($F$1),FALSE), "・", 0)) + 1), 0)</f>
        <v>0</v>
      </c>
      <c r="AD9">
        <f>IF(ISNUMBER(SEARCH(SUBSTITUTE(AD$1,RIGHT(AD$1,2),""),VLOOKUP($D9,素材!$1:$1016,COLUMN($F$1),FALSE))),VLOOKUP($C9,武器!$1:$998,COLUMN($O$1),FALSE)*VLOOKUP($D9,素材!$1:$1016,COLUMN($E$1),FALSE)/(LEN(VLOOKUP($D9,素材!$1:$1016,COLUMN($F$1),FALSE)) - LEN(SUBSTITUTE(VLOOKUP($D9,素材!$1:$1016,COLUMN($F$1),FALSE), "・", 0)) + 1), 0)</f>
        <v>0</v>
      </c>
      <c r="AE9">
        <f>IF(ISNUMBER(SEARCH(SUBSTITUTE(AE$1,RIGHT(AE$1,2),""),VLOOKUP($D9,素材!$1:$1016,COLUMN($F$1),FALSE))),VLOOKUP($C9,武器!$1:$998,COLUMN($O$1),FALSE)*VLOOKUP($D9,素材!$1:$1016,COLUMN($E$1),FALSE)/(LEN(VLOOKUP($D9,素材!$1:$1016,COLUMN($F$1),FALSE)) - LEN(SUBSTITUTE(VLOOKUP($D9,素材!$1:$1016,COLUMN($F$1),FALSE), "・", 0)) + 1), 0)</f>
        <v>0</v>
      </c>
      <c r="AF9">
        <f>IF(ISNUMBER(SEARCH(SUBSTITUTE(AF$1,RIGHT(AF$1,2),""),VLOOKUP($D9,素材!$1:$1016,COLUMN($F$1),FALSE))),VLOOKUP($C9,武器!$1:$998,COLUMN($O$1),FALSE)*VLOOKUP($D9,素材!$1:$1016,COLUMN($E$1),FALSE)/(LEN(VLOOKUP($D9,素材!$1:$1016,COLUMN($F$1),FALSE)) - LEN(SUBSTITUTE(VLOOKUP($D9,素材!$1:$1016,COLUMN($F$1),FALSE), "・", 0)) + 1), 0)</f>
        <v>0</v>
      </c>
      <c r="AG9">
        <f>IF(ISNUMBER(SEARCH(SUBSTITUTE(AG$1,RIGHT(AG$1,2),""),VLOOKUP($D9,素材!$1:$1016,COLUMN($F$1),FALSE))),VLOOKUP($C9,武器!$1:$998,COLUMN($O$1),FALSE)*VLOOKUP($D9,素材!$1:$1016,COLUMN($E$1),FALSE)/(LEN(VLOOKUP($D9,素材!$1:$1016,COLUMN($F$1),FALSE)) - LEN(SUBSTITUTE(VLOOKUP($D9,素材!$1:$1016,COLUMN($F$1),FALSE), "・", 0)) + 1), 0)</f>
        <v>0</v>
      </c>
      <c r="AH9">
        <f>IF(ISNUMBER(SEARCH(SUBSTITUTE(AH$1,RIGHT(AH$1,2),""),VLOOKUP($D9,素材!$1:$1016,COLUMN($F$1),FALSE))),VLOOKUP($C9,武器!$1:$998,COLUMN($O$1),FALSE)*VLOOKUP($D9,素材!$1:$1016,COLUMN($E$1),FALSE)/(LEN(VLOOKUP($D9,素材!$1:$1016,COLUMN($F$1),FALSE)) - LEN(SUBSTITUTE(VLOOKUP($D9,素材!$1:$1016,COLUMN($F$1),FALSE), "・", 0)) + 1), 0)</f>
        <v>0</v>
      </c>
      <c r="AI9">
        <f>IF(ISNUMBER(SEARCH(SUBSTITUTE(AI$1,RIGHT(AI$1,2),""),VLOOKUP($D9,素材!$1:$1016,COLUMN($F$1),FALSE))),VLOOKUP($C9,武器!$1:$998,COLUMN($O$1),FALSE)*VLOOKUP($D9,素材!$1:$1016,COLUMN($E$1),FALSE)/(LEN(VLOOKUP($D9,素材!$1:$1016,COLUMN($F$1),FALSE)) - LEN(SUBSTITUTE(VLOOKUP($D9,素材!$1:$1016,COLUMN($F$1),FALSE), "・", 0)) + 1), 0)</f>
        <v>0</v>
      </c>
      <c r="AJ9">
        <f>IF(ISNUMBER(SEARCH(SUBSTITUTE(AJ$1,RIGHT(AJ$1,2),""),VLOOKUP($D9,素材!$1:$1016,COLUMN($F$1),FALSE))),VLOOKUP($C9,武器!$1:$998,COLUMN($O$1),FALSE)*VLOOKUP($D9,素材!$1:$1016,COLUMN($E$1),FALSE)/(LEN(VLOOKUP($D9,素材!$1:$1016,COLUMN($F$1),FALSE)) - LEN(SUBSTITUTE(VLOOKUP($D9,素材!$1:$1016,COLUMN($F$1),FALSE), "・", 0)) + 1), 0)</f>
        <v>0</v>
      </c>
      <c r="AK9">
        <f>IF(ISNUMBER(SEARCH(SUBSTITUTE(AK$1,RIGHT(AK$1,2),""),VLOOKUP($D9,素材!$1:$1016,COLUMN($F$1),FALSE))),VLOOKUP($C9,武器!$1:$998,COLUMN($O$1),FALSE)*VLOOKUP($D9,素材!$1:$1016,COLUMN($E$1),FALSE)/(LEN(VLOOKUP($D9,素材!$1:$1016,COLUMN($F$1),FALSE)) - LEN(SUBSTITUTE(VLOOKUP($D9,素材!$1:$1016,COLUMN($F$1),FALSE), "・", 0)) + 1), 0)</f>
        <v>0</v>
      </c>
      <c r="AL9">
        <f>IF(ISNUMBER(SEARCH(SUBSTITUTE(AL$1,RIGHT(AL$1,2),""),VLOOKUP($D9,素材!$1:$1016,COLUMN($F$1),FALSE))),VLOOKUP($C9,武器!$1:$998,COLUMN($O$1),FALSE)*VLOOKUP($D9,素材!$1:$1016,COLUMN($E$1),FALSE)/(LEN(VLOOKUP($D9,素材!$1:$1016,COLUMN($F$1),FALSE)) - LEN(SUBSTITUTE(VLOOKUP($D9,素材!$1:$1016,COLUMN($F$1),FALSE), "・", 0)) + 1), 0)</f>
        <v>0</v>
      </c>
      <c r="AM9">
        <f>IF(ISNUMBER(SEARCH(SUBSTITUTE(AM$1,RIGHT(AM$1,2),""),VLOOKUP($D9,素材!$1:$1016,COLUMN($F$1),FALSE))),VLOOKUP($C9,武器!$1:$998,COLUMN($O$1),FALSE)*VLOOKUP($D9,素材!$1:$1016,COLUMN($E$1),FALSE)/(LEN(VLOOKUP($D9,素材!$1:$1016,COLUMN($F$1),FALSE)) - LEN(SUBSTITUTE(VLOOKUP($D9,素材!$1:$1016,COLUMN($F$1),FALSE), "・", 0)) + 1), 0)</f>
        <v>0</v>
      </c>
      <c r="AN9">
        <f>IF(ISNUMBER(SEARCH(SUBSTITUTE(AN$1,RIGHT(AN$1,2),""),VLOOKUP($D9,素材!$1:$1016,COLUMN($F$1),FALSE))),VLOOKUP($C9,武器!$1:$998,COLUMN($O$1),FALSE)*VLOOKUP($D9,素材!$1:$1016,COLUMN($E$1),FALSE)/(LEN(VLOOKUP($D9,素材!$1:$1016,COLUMN($F$1),FALSE)) - LEN(SUBSTITUTE(VLOOKUP($D9,素材!$1:$1016,COLUMN($F$1),FALSE), "・", 0)) + 1), 0)</f>
        <v>0</v>
      </c>
      <c r="AO9">
        <f>IF(ISNUMBER(SEARCH(SUBSTITUTE(AO$1,RIGHT(AO$1,2),""),VLOOKUP($D9,素材!$1:$1016,COLUMN($F$1),FALSE))),VLOOKUP($C9,武器!$1:$998,COLUMN($O$1),FALSE)*VLOOKUP($D9,素材!$1:$1016,COLUMN($E$1),FALSE)/(LEN(VLOOKUP($D9,素材!$1:$1016,COLUMN($F$1),FALSE)) - LEN(SUBSTITUTE(VLOOKUP($D9,素材!$1:$1016,COLUMN($F$1),FALSE), "・", 0)) + 1), 0)</f>
        <v>0</v>
      </c>
      <c r="AP9">
        <f>IF(ISNUMBER(SEARCH(SUBSTITUTE(AP$1,RIGHT(AP$1,2),""),VLOOKUP($D9,素材!$1:$1016,COLUMN($F$1),FALSE))),VLOOKUP($C9,武器!$1:$998,COLUMN($O$1),FALSE)*VLOOKUP($D9,素材!$1:$1016,COLUMN($E$1),FALSE)/(LEN(VLOOKUP($D9,素材!$1:$1016,COLUMN($F$1),FALSE)) - LEN(SUBSTITUTE(VLOOKUP($D9,素材!$1:$1016,COLUMN($F$1),FALSE), "・", 0)) + 1), 0)</f>
        <v>0</v>
      </c>
      <c r="AQ9">
        <f>IF(ISNUMBER(SEARCH(SUBSTITUTE(AQ$1,RIGHT(AQ$1,2),""),VLOOKUP($D9,素材!$1:$1016,COLUMN($F$1),FALSE))),VLOOKUP($C9,武器!$1:$998,COLUMN($O$1),FALSE)*VLOOKUP($D9,素材!$1:$1016,COLUMN($E$1),FALSE)/(LEN(VLOOKUP($D9,素材!$1:$1016,COLUMN($F$1),FALSE)) - LEN(SUBSTITUTE(VLOOKUP($D9,素材!$1:$1016,COLUMN($F$1),FALSE), "・", 0)) + 1), 0)</f>
        <v>0</v>
      </c>
      <c r="AR9">
        <f>IF(ISNUMBER(SEARCH(SUBSTITUTE(AR$1,RIGHT(AR$1,2),""),VLOOKUP($D9,素材!$1:$1016,COLUMN($F$1),FALSE))),VLOOKUP($C9,武器!$1:$998,COLUMN($O$1),FALSE)*VLOOKUP($D9,素材!$1:$1016,COLUMN($E$1),FALSE)/(LEN(VLOOKUP($D9,素材!$1:$1016,COLUMN($F$1),FALSE)) - LEN(SUBSTITUTE(VLOOKUP($D9,素材!$1:$1016,COLUMN($F$1),FALSE), "・", 0)) + 1), 0)</f>
        <v>0</v>
      </c>
      <c r="AS9">
        <f>IF(ISNUMBER(SEARCH(SUBSTITUTE(AS$1,RIGHT(AS$1,2),""),VLOOKUP($D9,素材!$1:$1016,COLUMN($F$1),FALSE))),VLOOKUP($C9,武器!$1:$998,COLUMN($O$1),FALSE)*VLOOKUP($D9,素材!$1:$1016,COLUMN($E$1),FALSE)/(LEN(VLOOKUP($D9,素材!$1:$1016,COLUMN($F$1),FALSE)) - LEN(SUBSTITUTE(VLOOKUP($D9,素材!$1:$1016,COLUMN($F$1),FALSE), "・", 0)) + 1), 0)</f>
        <v>0</v>
      </c>
      <c r="AT9">
        <f>IF(ISNUMBER(SEARCH(SUBSTITUTE(AT$1,RIGHT(AT$1,2),""),VLOOKUP($D9,素材!$1:$1016,COLUMN($F$1),FALSE))),VLOOKUP($C9,武器!$1:$998,COLUMN($O$1),FALSE)*VLOOKUP($D9,素材!$1:$1016,COLUMN($E$1),FALSE)/(LEN(VLOOKUP($D9,素材!$1:$1016,COLUMN($F$1),FALSE)) - LEN(SUBSTITUTE(VLOOKUP($D9,素材!$1:$1016,COLUMN($F$1),FALSE), "・", 0)) + 1), 0)</f>
        <v>0</v>
      </c>
      <c r="AU9">
        <f>IF(ISNUMBER(SEARCH(SUBSTITUTE(AU$1,RIGHT(AU$1,2),""),VLOOKUP($D9,素材!$1:$1016,COLUMN($F$1),FALSE))),VLOOKUP($C9,武器!$1:$998,COLUMN($O$1),FALSE)*VLOOKUP($D9,素材!$1:$1016,COLUMN($E$1),FALSE)/(LEN(VLOOKUP($D9,素材!$1:$1016,COLUMN($F$1),FALSE)) - LEN(SUBSTITUTE(VLOOKUP($D9,素材!$1:$1016,COLUMN($F$1),FALSE), "・", 0)) + 1), 0)</f>
        <v>0</v>
      </c>
      <c r="AV9">
        <f>IF(ISNUMBER(SEARCH(SUBSTITUTE(AV$1,RIGHT(AV$1,2),""),VLOOKUP($D9,素材!$1:$1016,COLUMN($F$1),FALSE))),VLOOKUP($C9,武器!$1:$998,COLUMN($O$1),FALSE)*VLOOKUP($D9,素材!$1:$1016,COLUMN($E$1),FALSE)/(LEN(VLOOKUP($D9,素材!$1:$1016,COLUMN($F$1),FALSE)) - LEN(SUBSTITUTE(VLOOKUP($D9,素材!$1:$1016,COLUMN($F$1),FALSE), "・", 0)) + 1), 0)</f>
        <v>0</v>
      </c>
      <c r="AW9">
        <f>IF(ISNUMBER(SEARCH(SUBSTITUTE(AW$1,RIGHT(AW$1,2),""),VLOOKUP($D9,素材!$1:$1016,COLUMN($F$1),FALSE))),VLOOKUP($C9,武器!$1:$998,COLUMN($O$1),FALSE)*VLOOKUP($D9,素材!$1:$1016,COLUMN($E$1),FALSE)/(LEN(VLOOKUP($D9,素材!$1:$1016,COLUMN($F$1),FALSE)) - LEN(SUBSTITUTE(VLOOKUP($D9,素材!$1:$1016,COLUMN($F$1),FALSE), "・", 0)) + 1), 0)</f>
        <v>0</v>
      </c>
      <c r="AX9">
        <f>IF(ISNUMBER(SEARCH(SUBSTITUTE(AX$1,RIGHT(AX$1,2),""),VLOOKUP($D9,素材!$1:$1016,COLUMN($F$1),FALSE))),VLOOKUP($C9,武器!$1:$998,COLUMN($O$1),FALSE)*VLOOKUP($D9,素材!$1:$1016,COLUMN($E$1),FALSE)/(LEN(VLOOKUP($D9,素材!$1:$1016,COLUMN($F$1),FALSE)) - LEN(SUBSTITUTE(VLOOKUP($D9,素材!$1:$1016,COLUMN($F$1),FALSE), "・", 0)) + 1), 0)</f>
        <v>0</v>
      </c>
      <c r="AY9">
        <f>IF(ISNUMBER(SEARCH(SUBSTITUTE(AY$1,RIGHT(AY$1,2),""),VLOOKUP($D9,素材!$1:$1016,COLUMN($F$1),FALSE))),VLOOKUP($C9,武器!$1:$998,COLUMN($O$1),FALSE)*VLOOKUP($D9,素材!$1:$1016,COLUMN($E$1),FALSE)/(LEN(VLOOKUP($D9,素材!$1:$1016,COLUMN($F$1),FALSE)) - LEN(SUBSTITUTE(VLOOKUP($D9,素材!$1:$1016,COLUMN($F$1),FALSE), "・", 0)) + 1), 0)</f>
        <v>0</v>
      </c>
      <c r="AZ9">
        <f>IF(ISNUMBER(SEARCH(SUBSTITUTE(AZ$1,RIGHT(AZ$1,2),""),VLOOKUP($D9,素材!$1:$1016,COLUMN($F$1),FALSE))),VLOOKUP($C9,武器!$1:$998,COLUMN($O$1),FALSE)*VLOOKUP($D9,素材!$1:$1016,COLUMN($E$1),FALSE)/(LEN(VLOOKUP($D9,素材!$1:$1016,COLUMN($F$1),FALSE)) - LEN(SUBSTITUTE(VLOOKUP($D9,素材!$1:$1016,COLUMN($F$1),FALSE), "・", 0)) + 1), 0)</f>
        <v>0</v>
      </c>
      <c r="BA9">
        <f>IF(ISNUMBER(SEARCH(SUBSTITUTE(BA$1,RIGHT(BA$1,2),""),VLOOKUP($D9,素材!$1:$1016,COLUMN($F$1),FALSE))),VLOOKUP($C9,武器!$1:$998,COLUMN($O$1),FALSE)*VLOOKUP($D9,素材!$1:$1016,COLUMN($E$1),FALSE)/(LEN(VLOOKUP($D9,素材!$1:$1016,COLUMN($F$1),FALSE)) - LEN(SUBSTITUTE(VLOOKUP($D9,素材!$1:$1016,COLUMN($F$1),FALSE), "・", 0)) + 1), 0)</f>
        <v>0</v>
      </c>
      <c r="BB9">
        <f>IF(ISNUMBER(SEARCH(SUBSTITUTE(BB$1,RIGHT(BB$1,2),""),VLOOKUP($D9,素材!$1:$1016,COLUMN($F$1),FALSE))),VLOOKUP($C9,武器!$1:$998,COLUMN($O$1),FALSE)*VLOOKUP($D9,素材!$1:$1016,COLUMN($E$1),FALSE)/(LEN(VLOOKUP($D9,素材!$1:$1016,COLUMN($F$1),FALSE)) - LEN(SUBSTITUTE(VLOOKUP($D9,素材!$1:$1016,COLUMN($F$1),FALSE), "・", 0)) + 1), 0)</f>
        <v>0</v>
      </c>
      <c r="BC9">
        <f>IF(ISNUMBER(SEARCH(SUBSTITUTE(BC$1,RIGHT(BC$1,2),""),VLOOKUP($D9,素材!$1:$1016,COLUMN($F$1),FALSE))),VLOOKUP($C9,武器!$1:$998,COLUMN($O$1),FALSE)*VLOOKUP($D9,素材!$1:$1016,COLUMN($E$1),FALSE)/(LEN(VLOOKUP($D9,素材!$1:$1016,COLUMN($F$1),FALSE)) - LEN(SUBSTITUTE(VLOOKUP($D9,素材!$1:$1016,COLUMN($F$1),FALSE), "・", 0)) + 1), 0)</f>
        <v>0</v>
      </c>
      <c r="BD9">
        <f>IF(ISNUMBER(SEARCH(SUBSTITUTE(BD$1,RIGHT(BD$1,2),""),VLOOKUP($D9,素材!$1:$1016,COLUMN($F$1),FALSE))),VLOOKUP($C9,武器!$1:$998,COLUMN($O$1),FALSE)*VLOOKUP($D9,素材!$1:$1016,COLUMN($E$1),FALSE)/(LEN(VLOOKUP($D9,素材!$1:$1016,COLUMN($F$1),FALSE)) - LEN(SUBSTITUTE(VLOOKUP($D9,素材!$1:$1016,COLUMN($F$1),FALSE), "・", 0)) + 1), 0)</f>
        <v>0</v>
      </c>
      <c r="BE9">
        <f>IF(ISNUMBER(SEARCH(SUBSTITUTE(BE$1,RIGHT(BE$1,2),""),VLOOKUP($D9,素材!$1:$1016,COLUMN($F$1),FALSE))),VLOOKUP($C9,武器!$1:$998,COLUMN($O$1),FALSE)*VLOOKUP($D9,素材!$1:$1016,COLUMN($E$1),FALSE)/(LEN(VLOOKUP($D9,素材!$1:$1016,COLUMN($F$1),FALSE)) - LEN(SUBSTITUTE(VLOOKUP($D9,素材!$1:$1016,COLUMN($F$1),FALSE), "・", 0)) + 1), 0)</f>
        <v>0</v>
      </c>
      <c r="CL9">
        <f>SUM(G9:I9)</f>
        <v>22</v>
      </c>
      <c r="CM9" s="22" t="str">
        <f>IF(E9="武器",IF(J9-1&gt;SUM(G9:I9),"盾",IF(MAX(G9:I9)=G9,"切断",IF(MAX(G9:I9)=H9,"貫通",IF(MAX(G9:I9)=I9,"打撃","射撃")))),E9)&amp;".webp"</f>
        <v>貫通.webp</v>
      </c>
      <c r="CN9">
        <f>IFERROR(VLOOKUP($C9,武器!$1:$998,COLUMN(V$1),FALSE)*VLOOKUP($D9,素材!$1:$1016,COLUMN(N$1),FALSE)+IF(CI9="",0,VLOOKUP($CI9,装強!$1:$1008,COLUMN($CK$1),FALSE)),"")</f>
        <v>400</v>
      </c>
      <c r="CO9" t="str">
        <f>VLOOKUP(D9,素材!$A:$O,COLUMN(素材!O$1),FALSE)</f>
        <v>一般的な鉄。量産品を作るのに使用されることが多い</v>
      </c>
      <c r="CP9" t="str">
        <f>VLOOKUP(C9,武器!$A:$W,COLUMN(武器!W$1),FALSE)</f>
        <v>細剣。刺突に優れた武器でCr率が高い</v>
      </c>
      <c r="CR9" t="str">
        <f t="shared" si="1"/>
        <v>e_9</v>
      </c>
      <c r="CS9">
        <f t="shared" si="2"/>
        <v>40000</v>
      </c>
    </row>
    <row r="10" spans="1:97" outlineLevel="1" x14ac:dyDescent="0.4">
      <c r="A10" t="str">
        <f t="shared" si="0"/>
        <v>鉄の刺剣</v>
      </c>
      <c r="B10" t="str">
        <f>IFERROR(VLOOKUP($D10,素材!$1:$1016,COLUMN($B$1),FALSE)&amp;"・"&amp;VLOOKUP($C10,武器!$1:$998,COLUMN(B$1),FALSE),"")</f>
        <v>アイアン・スティレット</v>
      </c>
      <c r="C10" s="24" t="s">
        <v>235</v>
      </c>
      <c r="D10" s="24" t="s">
        <v>257</v>
      </c>
      <c r="E10" t="str">
        <f>IFERROR(VLOOKUP(C10,武器!$1:$998,COLUMN(C$1),FALSE),"")</f>
        <v>武器</v>
      </c>
      <c r="F10">
        <f>IFERROR(ROUNDDOWN((VLOOKUP($C10,武器!$1:$998,COLUMN(D$1),FALSE)+IFERROR(VLOOKUP($CI10,装強!$1:$999,COLUMN(F$1),FALSE),0))*VLOOKUP($D10,素材!$1:$1016,COLUMN(D$1),FALSE),0),"")</f>
        <v>110</v>
      </c>
      <c r="G10">
        <f>IFERROR(ROUNDDOWN((VLOOKUP($C10,武器!$1:$998,COLUMN(E$1),FALSE)+IFERROR(VLOOKUP($CI10,装強!$1:$999,COLUMN(G$1),FALSE),0))*VLOOKUP($D10,素材!$1:$1016,COLUMN($E$1),FALSE),0),"")</f>
        <v>4</v>
      </c>
      <c r="H10">
        <f>IFERROR(ROUNDDOWN((VLOOKUP($C10,武器!$1:$998,COLUMN(F$1),FALSE)+IFERROR(VLOOKUP($CI10,装強!$1:$999,COLUMN(H$1),FALSE),0))*VLOOKUP($D10,素材!$1:$1016,COLUMN($E$1),FALSE),0),"")</f>
        <v>18</v>
      </c>
      <c r="I10">
        <f>IFERROR(ROUNDDOWN((VLOOKUP($C10,武器!$1:$998,COLUMN(G$1),FALSE)+IFERROR(VLOOKUP($CI10,装強!$1:$999,COLUMN(I$1),FALSE),0))*VLOOKUP($D10,素材!$1:$1016,COLUMN($E$1),FALSE),0),"")</f>
        <v>0</v>
      </c>
      <c r="J10">
        <f>IFERROR(ROUNDDOWN((VLOOKUP($C10,武器!$1:$998,COLUMN(H$1),FALSE)+IFERROR(VLOOKUP($CI10,装強!$1:$999,COLUMN(J$1),FALSE),0))*VLOOKUP($D10,素材!$1:$1016,COLUMN($E$1),FALSE),0),"")</f>
        <v>17</v>
      </c>
      <c r="K10">
        <f>IFERROR(ROUNDDOWN((VLOOKUP($C10,武器!$1:$998,COLUMN(I$1),FALSE)+IFERROR(VLOOKUP($CI10,装強!$1:$999,COLUMN(K$1),FALSE),0))*VLOOKUP($D10,素材!$1:$1016,COLUMN($E$1),FALSE),0),"")</f>
        <v>0</v>
      </c>
      <c r="L10">
        <f>IFERROR(VLOOKUP($D10,素材!$1:$1016,COLUMN($F$1),FALSE),"")</f>
        <v>0</v>
      </c>
      <c r="M10">
        <f>IFERROR(VLOOKUP($C10,武器!$1:$998,COLUMN(AA$1),FALSE)*VLOOKUP($D10,素材!$1:$1016,COLUMN($G$1),FALSE),"")</f>
        <v>0</v>
      </c>
      <c r="N10">
        <f>IFERROR(VLOOKUP($C10,武器!$1:$998,COLUMN(I$1),FALSE),"")</f>
        <v>0</v>
      </c>
      <c r="O10" s="23">
        <f>IFERROR((VLOOKUP($C10,武器!$1:$998,COLUMN(K$1),FALSE)+VLOOKUP($D10,素材!$1:$1016,COLUMN(H$1),FALSE))*100+IFERROR(VLOOKUP($CI10,装強!$1:$999,COLUMN(O$1),FALSE),0),"")</f>
        <v>10</v>
      </c>
      <c r="P10" s="23">
        <f>IFERROR((VLOOKUP($C10,武器!$1:$998,COLUMN(L$1),FALSE)+VLOOKUP($D10,素材!$1:$1016,COLUMN(I$1),FALSE))*100+IFERROR(VLOOKUP($CI10,装強!$1:$999,COLUMN(P$1),FALSE),0),"")</f>
        <v>150</v>
      </c>
      <c r="Q10">
        <f>IFERROR(ROUNDUP(VLOOKUP($C10,武器!$1:$998,COLUMN(M$1),FALSE)*(VLOOKUP($D10,素材!$1:$1002,COLUMN(D$1),FALSE)/100),1),"")</f>
        <v>0</v>
      </c>
      <c r="R10">
        <f>IFERROR(ROUNDUP(VLOOKUP($C10,武器!$1:$998,COLUMN(N$1),FALSE)*(VLOOKUP($D10,素材!$1:$1002,COLUMN(D$1),FALSE)/100),1),"")</f>
        <v>0</v>
      </c>
      <c r="S10">
        <f>IFERROR(VLOOKUP($C10,武器!$1:$998,COLUMN(P$1),FALSE),"")</f>
        <v>0</v>
      </c>
      <c r="T10">
        <f>IFERROR(VLOOKUP($C10,武器!$1:$998,COLUMN(Q$1),FALSE),"")</f>
        <v>0</v>
      </c>
      <c r="U10">
        <f>IFERROR(VLOOKUP($C10,武器!$1:$998,COLUMN(R$1),FALSE),"")</f>
        <v>0</v>
      </c>
      <c r="V10">
        <f>IFERROR(VLOOKUP($C10,武器!$1:$998,COLUMN(Q$1),FALSE),"")</f>
        <v>0</v>
      </c>
      <c r="W10" t="str">
        <f>IFERROR(VLOOKUP($C10,武器!$1:$998,COLUMN(T$1),FALSE),"")</f>
        <v>A</v>
      </c>
      <c r="Y10" t="str">
        <f>IFERROR(VLOOKUP($C10,武器!$1:$998,COLUMN(U$1),FALSE),"")</f>
        <v>片手適正Ⅰ</v>
      </c>
      <c r="Z10">
        <f>IFERROR(ROUNDUP(VLOOKUP($C10,武器!$1:$998,COLUMN(O$1),FALSE)*VLOOKUP($D10,素材!$1:$1016,COLUMN(E$1),FALSE),1),"")</f>
        <v>0</v>
      </c>
      <c r="AA10">
        <f>IF(ISNUMBER(SEARCH(SUBSTITUTE(AA$1,RIGHT(AA$1,2),""),VLOOKUP($D10,素材!$1:$1016,COLUMN($F$1),FALSE))),VLOOKUP($C10,武器!$1:$998,COLUMN($O$1),FALSE)*VLOOKUP($D10,素材!$1:$1016,COLUMN($E$1),FALSE)/(LEN(VLOOKUP($D10,素材!$1:$1016,COLUMN($F$1),FALSE)) - LEN(SUBSTITUTE(VLOOKUP($D10,素材!$1:$1016,COLUMN($F$1),FALSE), "・", 0)) + 1), 0)</f>
        <v>0</v>
      </c>
      <c r="AB10">
        <f>IF(ISNUMBER(SEARCH(SUBSTITUTE(AB$1,RIGHT(AB$1,2),""),VLOOKUP($D10,素材!$1:$1016,COLUMN($F$1),FALSE))),VLOOKUP($C10,武器!$1:$998,COLUMN($O$1),FALSE)*VLOOKUP($D10,素材!$1:$1016,COLUMN($E$1),FALSE)/(LEN(VLOOKUP($D10,素材!$1:$1016,COLUMN($F$1),FALSE)) - LEN(SUBSTITUTE(VLOOKUP($D10,素材!$1:$1016,COLUMN($F$1),FALSE), "・", 0)) + 1), 0)</f>
        <v>0</v>
      </c>
      <c r="AC10">
        <f>IF(ISNUMBER(SEARCH(SUBSTITUTE(AC$1,RIGHT(AC$1,2),""),VLOOKUP($D10,素材!$1:$1016,COLUMN($F$1),FALSE))),VLOOKUP($C10,武器!$1:$998,COLUMN($O$1),FALSE)*VLOOKUP($D10,素材!$1:$1016,COLUMN($E$1),FALSE)/(LEN(VLOOKUP($D10,素材!$1:$1016,COLUMN($F$1),FALSE)) - LEN(SUBSTITUTE(VLOOKUP($D10,素材!$1:$1016,COLUMN($F$1),FALSE), "・", 0)) + 1), 0)</f>
        <v>0</v>
      </c>
      <c r="AD10">
        <f>IF(ISNUMBER(SEARCH(SUBSTITUTE(AD$1,RIGHT(AD$1,2),""),VLOOKUP($D10,素材!$1:$1016,COLUMN($F$1),FALSE))),VLOOKUP($C10,武器!$1:$998,COLUMN($O$1),FALSE)*VLOOKUP($D10,素材!$1:$1016,COLUMN($E$1),FALSE)/(LEN(VLOOKUP($D10,素材!$1:$1016,COLUMN($F$1),FALSE)) - LEN(SUBSTITUTE(VLOOKUP($D10,素材!$1:$1016,COLUMN($F$1),FALSE), "・", 0)) + 1), 0)</f>
        <v>0</v>
      </c>
      <c r="AE10">
        <f>IF(ISNUMBER(SEARCH(SUBSTITUTE(AE$1,RIGHT(AE$1,2),""),VLOOKUP($D10,素材!$1:$1016,COLUMN($F$1),FALSE))),VLOOKUP($C10,武器!$1:$998,COLUMN($O$1),FALSE)*VLOOKUP($D10,素材!$1:$1016,COLUMN($E$1),FALSE)/(LEN(VLOOKUP($D10,素材!$1:$1016,COLUMN($F$1),FALSE)) - LEN(SUBSTITUTE(VLOOKUP($D10,素材!$1:$1016,COLUMN($F$1),FALSE), "・", 0)) + 1), 0)</f>
        <v>0</v>
      </c>
      <c r="AF10">
        <f>IF(ISNUMBER(SEARCH(SUBSTITUTE(AF$1,RIGHT(AF$1,2),""),VLOOKUP($D10,素材!$1:$1016,COLUMN($F$1),FALSE))),VLOOKUP($C10,武器!$1:$998,COLUMN($O$1),FALSE)*VLOOKUP($D10,素材!$1:$1016,COLUMN($E$1),FALSE)/(LEN(VLOOKUP($D10,素材!$1:$1016,COLUMN($F$1),FALSE)) - LEN(SUBSTITUTE(VLOOKUP($D10,素材!$1:$1016,COLUMN($F$1),FALSE), "・", 0)) + 1), 0)</f>
        <v>0</v>
      </c>
      <c r="AG10">
        <f>IF(ISNUMBER(SEARCH(SUBSTITUTE(AG$1,RIGHT(AG$1,2),""),VLOOKUP($D10,素材!$1:$1016,COLUMN($F$1),FALSE))),VLOOKUP($C10,武器!$1:$998,COLUMN($O$1),FALSE)*VLOOKUP($D10,素材!$1:$1016,COLUMN($E$1),FALSE)/(LEN(VLOOKUP($D10,素材!$1:$1016,COLUMN($F$1),FALSE)) - LEN(SUBSTITUTE(VLOOKUP($D10,素材!$1:$1016,COLUMN($F$1),FALSE), "・", 0)) + 1), 0)</f>
        <v>0</v>
      </c>
      <c r="AH10">
        <f>IF(ISNUMBER(SEARCH(SUBSTITUTE(AH$1,RIGHT(AH$1,2),""),VLOOKUP($D10,素材!$1:$1016,COLUMN($F$1),FALSE))),VLOOKUP($C10,武器!$1:$998,COLUMN($O$1),FALSE)*VLOOKUP($D10,素材!$1:$1016,COLUMN($E$1),FALSE)/(LEN(VLOOKUP($D10,素材!$1:$1016,COLUMN($F$1),FALSE)) - LEN(SUBSTITUTE(VLOOKUP($D10,素材!$1:$1016,COLUMN($F$1),FALSE), "・", 0)) + 1), 0)</f>
        <v>0</v>
      </c>
      <c r="AI10">
        <f>IF(ISNUMBER(SEARCH(SUBSTITUTE(AI$1,RIGHT(AI$1,2),""),VLOOKUP($D10,素材!$1:$1016,COLUMN($F$1),FALSE))),VLOOKUP($C10,武器!$1:$998,COLUMN($O$1),FALSE)*VLOOKUP($D10,素材!$1:$1016,COLUMN($E$1),FALSE)/(LEN(VLOOKUP($D10,素材!$1:$1016,COLUMN($F$1),FALSE)) - LEN(SUBSTITUTE(VLOOKUP($D10,素材!$1:$1016,COLUMN($F$1),FALSE), "・", 0)) + 1), 0)</f>
        <v>0</v>
      </c>
      <c r="AJ10">
        <f>IF(ISNUMBER(SEARCH(SUBSTITUTE(AJ$1,RIGHT(AJ$1,2),""),VLOOKUP($D10,素材!$1:$1016,COLUMN($F$1),FALSE))),VLOOKUP($C10,武器!$1:$998,COLUMN($O$1),FALSE)*VLOOKUP($D10,素材!$1:$1016,COLUMN($E$1),FALSE)/(LEN(VLOOKUP($D10,素材!$1:$1016,COLUMN($F$1),FALSE)) - LEN(SUBSTITUTE(VLOOKUP($D10,素材!$1:$1016,COLUMN($F$1),FALSE), "・", 0)) + 1), 0)</f>
        <v>0</v>
      </c>
      <c r="AK10">
        <f>IF(ISNUMBER(SEARCH(SUBSTITUTE(AK$1,RIGHT(AK$1,2),""),VLOOKUP($D10,素材!$1:$1016,COLUMN($F$1),FALSE))),VLOOKUP($C10,武器!$1:$998,COLUMN($O$1),FALSE)*VLOOKUP($D10,素材!$1:$1016,COLUMN($E$1),FALSE)/(LEN(VLOOKUP($D10,素材!$1:$1016,COLUMN($F$1),FALSE)) - LEN(SUBSTITUTE(VLOOKUP($D10,素材!$1:$1016,COLUMN($F$1),FALSE), "・", 0)) + 1), 0)</f>
        <v>0</v>
      </c>
      <c r="AL10">
        <f>IF(ISNUMBER(SEARCH(SUBSTITUTE(AL$1,RIGHT(AL$1,2),""),VLOOKUP($D10,素材!$1:$1016,COLUMN($F$1),FALSE))),VLOOKUP($C10,武器!$1:$998,COLUMN($O$1),FALSE)*VLOOKUP($D10,素材!$1:$1016,COLUMN($E$1),FALSE)/(LEN(VLOOKUP($D10,素材!$1:$1016,COLUMN($F$1),FALSE)) - LEN(SUBSTITUTE(VLOOKUP($D10,素材!$1:$1016,COLUMN($F$1),FALSE), "・", 0)) + 1), 0)</f>
        <v>0</v>
      </c>
      <c r="AM10">
        <f>IF(ISNUMBER(SEARCH(SUBSTITUTE(AM$1,RIGHT(AM$1,2),""),VLOOKUP($D10,素材!$1:$1016,COLUMN($F$1),FALSE))),VLOOKUP($C10,武器!$1:$998,COLUMN($O$1),FALSE)*VLOOKUP($D10,素材!$1:$1016,COLUMN($E$1),FALSE)/(LEN(VLOOKUP($D10,素材!$1:$1016,COLUMN($F$1),FALSE)) - LEN(SUBSTITUTE(VLOOKUP($D10,素材!$1:$1016,COLUMN($F$1),FALSE), "・", 0)) + 1), 0)</f>
        <v>0</v>
      </c>
      <c r="AN10">
        <f>IF(ISNUMBER(SEARCH(SUBSTITUTE(AN$1,RIGHT(AN$1,2),""),VLOOKUP($D10,素材!$1:$1016,COLUMN($F$1),FALSE))),VLOOKUP($C10,武器!$1:$998,COLUMN($O$1),FALSE)*VLOOKUP($D10,素材!$1:$1016,COLUMN($E$1),FALSE)/(LEN(VLOOKUP($D10,素材!$1:$1016,COLUMN($F$1),FALSE)) - LEN(SUBSTITUTE(VLOOKUP($D10,素材!$1:$1016,COLUMN($F$1),FALSE), "・", 0)) + 1), 0)</f>
        <v>0</v>
      </c>
      <c r="AO10">
        <f>IF(ISNUMBER(SEARCH(SUBSTITUTE(AO$1,RIGHT(AO$1,2),""),VLOOKUP($D10,素材!$1:$1016,COLUMN($F$1),FALSE))),VLOOKUP($C10,武器!$1:$998,COLUMN($O$1),FALSE)*VLOOKUP($D10,素材!$1:$1016,COLUMN($E$1),FALSE)/(LEN(VLOOKUP($D10,素材!$1:$1016,COLUMN($F$1),FALSE)) - LEN(SUBSTITUTE(VLOOKUP($D10,素材!$1:$1016,COLUMN($F$1),FALSE), "・", 0)) + 1), 0)</f>
        <v>0</v>
      </c>
      <c r="AP10">
        <f>IF(ISNUMBER(SEARCH(SUBSTITUTE(AP$1,RIGHT(AP$1,2),""),VLOOKUP($D10,素材!$1:$1016,COLUMN($F$1),FALSE))),VLOOKUP($C10,武器!$1:$998,COLUMN($O$1),FALSE)*VLOOKUP($D10,素材!$1:$1016,COLUMN($E$1),FALSE)/(LEN(VLOOKUP($D10,素材!$1:$1016,COLUMN($F$1),FALSE)) - LEN(SUBSTITUTE(VLOOKUP($D10,素材!$1:$1016,COLUMN($F$1),FALSE), "・", 0)) + 1), 0)</f>
        <v>0</v>
      </c>
      <c r="AQ10">
        <f>IF(ISNUMBER(SEARCH(SUBSTITUTE(AQ$1,RIGHT(AQ$1,2),""),VLOOKUP($D10,素材!$1:$1016,COLUMN($F$1),FALSE))),VLOOKUP($C10,武器!$1:$998,COLUMN($O$1),FALSE)*VLOOKUP($D10,素材!$1:$1016,COLUMN($E$1),FALSE)/(LEN(VLOOKUP($D10,素材!$1:$1016,COLUMN($F$1),FALSE)) - LEN(SUBSTITUTE(VLOOKUP($D10,素材!$1:$1016,COLUMN($F$1),FALSE), "・", 0)) + 1), 0)</f>
        <v>0</v>
      </c>
      <c r="AR10">
        <f>IF(ISNUMBER(SEARCH(SUBSTITUTE(AR$1,RIGHT(AR$1,2),""),VLOOKUP($D10,素材!$1:$1016,COLUMN($F$1),FALSE))),VLOOKUP($C10,武器!$1:$998,COLUMN($O$1),FALSE)*VLOOKUP($D10,素材!$1:$1016,COLUMN($E$1),FALSE)/(LEN(VLOOKUP($D10,素材!$1:$1016,COLUMN($F$1),FALSE)) - LEN(SUBSTITUTE(VLOOKUP($D10,素材!$1:$1016,COLUMN($F$1),FALSE), "・", 0)) + 1), 0)</f>
        <v>0</v>
      </c>
      <c r="AS10">
        <f>IF(ISNUMBER(SEARCH(SUBSTITUTE(AS$1,RIGHT(AS$1,2),""),VLOOKUP($D10,素材!$1:$1016,COLUMN($F$1),FALSE))),VLOOKUP($C10,武器!$1:$998,COLUMN($O$1),FALSE)*VLOOKUP($D10,素材!$1:$1016,COLUMN($E$1),FALSE)/(LEN(VLOOKUP($D10,素材!$1:$1016,COLUMN($F$1),FALSE)) - LEN(SUBSTITUTE(VLOOKUP($D10,素材!$1:$1016,COLUMN($F$1),FALSE), "・", 0)) + 1), 0)</f>
        <v>0</v>
      </c>
      <c r="AT10">
        <f>IF(ISNUMBER(SEARCH(SUBSTITUTE(AT$1,RIGHT(AT$1,2),""),VLOOKUP($D10,素材!$1:$1016,COLUMN($F$1),FALSE))),VLOOKUP($C10,武器!$1:$998,COLUMN($O$1),FALSE)*VLOOKUP($D10,素材!$1:$1016,COLUMN($E$1),FALSE)/(LEN(VLOOKUP($D10,素材!$1:$1016,COLUMN($F$1),FALSE)) - LEN(SUBSTITUTE(VLOOKUP($D10,素材!$1:$1016,COLUMN($F$1),FALSE), "・", 0)) + 1), 0)</f>
        <v>0</v>
      </c>
      <c r="AU10">
        <f>IF(ISNUMBER(SEARCH(SUBSTITUTE(AU$1,RIGHT(AU$1,2),""),VLOOKUP($D10,素材!$1:$1016,COLUMN($F$1),FALSE))),VLOOKUP($C10,武器!$1:$998,COLUMN($O$1),FALSE)*VLOOKUP($D10,素材!$1:$1016,COLUMN($E$1),FALSE)/(LEN(VLOOKUP($D10,素材!$1:$1016,COLUMN($F$1),FALSE)) - LEN(SUBSTITUTE(VLOOKUP($D10,素材!$1:$1016,COLUMN($F$1),FALSE), "・", 0)) + 1), 0)</f>
        <v>0</v>
      </c>
      <c r="AV10">
        <f>IF(ISNUMBER(SEARCH(SUBSTITUTE(AV$1,RIGHT(AV$1,2),""),VLOOKUP($D10,素材!$1:$1016,COLUMN($F$1),FALSE))),VLOOKUP($C10,武器!$1:$998,COLUMN($O$1),FALSE)*VLOOKUP($D10,素材!$1:$1016,COLUMN($E$1),FALSE)/(LEN(VLOOKUP($D10,素材!$1:$1016,COLUMN($F$1),FALSE)) - LEN(SUBSTITUTE(VLOOKUP($D10,素材!$1:$1016,COLUMN($F$1),FALSE), "・", 0)) + 1), 0)</f>
        <v>0</v>
      </c>
      <c r="AW10">
        <f>IF(ISNUMBER(SEARCH(SUBSTITUTE(AW$1,RIGHT(AW$1,2),""),VLOOKUP($D10,素材!$1:$1016,COLUMN($F$1),FALSE))),VLOOKUP($C10,武器!$1:$998,COLUMN($O$1),FALSE)*VLOOKUP($D10,素材!$1:$1016,COLUMN($E$1),FALSE)/(LEN(VLOOKUP($D10,素材!$1:$1016,COLUMN($F$1),FALSE)) - LEN(SUBSTITUTE(VLOOKUP($D10,素材!$1:$1016,COLUMN($F$1),FALSE), "・", 0)) + 1), 0)</f>
        <v>0</v>
      </c>
      <c r="AX10">
        <f>IF(ISNUMBER(SEARCH(SUBSTITUTE(AX$1,RIGHT(AX$1,2),""),VLOOKUP($D10,素材!$1:$1016,COLUMN($F$1),FALSE))),VLOOKUP($C10,武器!$1:$998,COLUMN($O$1),FALSE)*VLOOKUP($D10,素材!$1:$1016,COLUMN($E$1),FALSE)/(LEN(VLOOKUP($D10,素材!$1:$1016,COLUMN($F$1),FALSE)) - LEN(SUBSTITUTE(VLOOKUP($D10,素材!$1:$1016,COLUMN($F$1),FALSE), "・", 0)) + 1), 0)</f>
        <v>0</v>
      </c>
      <c r="AY10">
        <f>IF(ISNUMBER(SEARCH(SUBSTITUTE(AY$1,RIGHT(AY$1,2),""),VLOOKUP($D10,素材!$1:$1016,COLUMN($F$1),FALSE))),VLOOKUP($C10,武器!$1:$998,COLUMN($O$1),FALSE)*VLOOKUP($D10,素材!$1:$1016,COLUMN($E$1),FALSE)/(LEN(VLOOKUP($D10,素材!$1:$1016,COLUMN($F$1),FALSE)) - LEN(SUBSTITUTE(VLOOKUP($D10,素材!$1:$1016,COLUMN($F$1),FALSE), "・", 0)) + 1), 0)</f>
        <v>0</v>
      </c>
      <c r="AZ10">
        <f>IF(ISNUMBER(SEARCH(SUBSTITUTE(AZ$1,RIGHT(AZ$1,2),""),VLOOKUP($D10,素材!$1:$1016,COLUMN($F$1),FALSE))),VLOOKUP($C10,武器!$1:$998,COLUMN($O$1),FALSE)*VLOOKUP($D10,素材!$1:$1016,COLUMN($E$1),FALSE)/(LEN(VLOOKUP($D10,素材!$1:$1016,COLUMN($F$1),FALSE)) - LEN(SUBSTITUTE(VLOOKUP($D10,素材!$1:$1016,COLUMN($F$1),FALSE), "・", 0)) + 1), 0)</f>
        <v>0</v>
      </c>
      <c r="BA10">
        <f>IF(ISNUMBER(SEARCH(SUBSTITUTE(BA$1,RIGHT(BA$1,2),""),VLOOKUP($D10,素材!$1:$1016,COLUMN($F$1),FALSE))),VLOOKUP($C10,武器!$1:$998,COLUMN($O$1),FALSE)*VLOOKUP($D10,素材!$1:$1016,COLUMN($E$1),FALSE)/(LEN(VLOOKUP($D10,素材!$1:$1016,COLUMN($F$1),FALSE)) - LEN(SUBSTITUTE(VLOOKUP($D10,素材!$1:$1016,COLUMN($F$1),FALSE), "・", 0)) + 1), 0)</f>
        <v>0</v>
      </c>
      <c r="BB10">
        <f>IF(ISNUMBER(SEARCH(SUBSTITUTE(BB$1,RIGHT(BB$1,2),""),VLOOKUP($D10,素材!$1:$1016,COLUMN($F$1),FALSE))),VLOOKUP($C10,武器!$1:$998,COLUMN($O$1),FALSE)*VLOOKUP($D10,素材!$1:$1016,COLUMN($E$1),FALSE)/(LEN(VLOOKUP($D10,素材!$1:$1016,COLUMN($F$1),FALSE)) - LEN(SUBSTITUTE(VLOOKUP($D10,素材!$1:$1016,COLUMN($F$1),FALSE), "・", 0)) + 1), 0)</f>
        <v>0</v>
      </c>
      <c r="BC10">
        <f>IF(ISNUMBER(SEARCH(SUBSTITUTE(BC$1,RIGHT(BC$1,2),""),VLOOKUP($D10,素材!$1:$1016,COLUMN($F$1),FALSE))),VLOOKUP($C10,武器!$1:$998,COLUMN($O$1),FALSE)*VLOOKUP($D10,素材!$1:$1016,COLUMN($E$1),FALSE)/(LEN(VLOOKUP($D10,素材!$1:$1016,COLUMN($F$1),FALSE)) - LEN(SUBSTITUTE(VLOOKUP($D10,素材!$1:$1016,COLUMN($F$1),FALSE), "・", 0)) + 1), 0)</f>
        <v>0</v>
      </c>
      <c r="BD10">
        <f>IF(ISNUMBER(SEARCH(SUBSTITUTE(BD$1,RIGHT(BD$1,2),""),VLOOKUP($D10,素材!$1:$1016,COLUMN($F$1),FALSE))),VLOOKUP($C10,武器!$1:$998,COLUMN($O$1),FALSE)*VLOOKUP($D10,素材!$1:$1016,COLUMN($E$1),FALSE)/(LEN(VLOOKUP($D10,素材!$1:$1016,COLUMN($F$1),FALSE)) - LEN(SUBSTITUTE(VLOOKUP($D10,素材!$1:$1016,COLUMN($F$1),FALSE), "・", 0)) + 1), 0)</f>
        <v>0</v>
      </c>
      <c r="BE10">
        <f>IF(ISNUMBER(SEARCH(SUBSTITUTE(BE$1,RIGHT(BE$1,2),""),VLOOKUP($D10,素材!$1:$1016,COLUMN($F$1),FALSE))),VLOOKUP($C10,武器!$1:$998,COLUMN($O$1),FALSE)*VLOOKUP($D10,素材!$1:$1016,COLUMN($E$1),FALSE)/(LEN(VLOOKUP($D10,素材!$1:$1016,COLUMN($F$1),FALSE)) - LEN(SUBSTITUTE(VLOOKUP($D10,素材!$1:$1016,COLUMN($F$1),FALSE), "・", 0)) + 1), 0)</f>
        <v>0</v>
      </c>
      <c r="CL10">
        <f>SUM(G10:I10)</f>
        <v>22</v>
      </c>
      <c r="CM10" s="22" t="str">
        <f>IF(E10="武器",IF(J10-1&gt;SUM(G10:I10),"盾",IF(MAX(G10:I10)=G10,"切断",IF(MAX(G10:I10)=H10,"貫通",IF(MAX(G10:I10)=I10,"打撃","射撃")))),E10)&amp;".webp"</f>
        <v>貫通.webp</v>
      </c>
      <c r="CN10">
        <f>IFERROR(VLOOKUP($C10,武器!$1:$998,COLUMN(V$1),FALSE)*VLOOKUP($D10,素材!$1:$1016,COLUMN(N$1),FALSE)+IF(CI10="",0,VLOOKUP($CI10,装強!$1:$1008,COLUMN($CK$1),FALSE)),"")</f>
        <v>300</v>
      </c>
      <c r="CO10" t="str">
        <f>VLOOKUP(D10,素材!$A:$O,COLUMN(素材!O$1),FALSE)</f>
        <v>一般的な鉄。量産品を作るのに使用されることが多い</v>
      </c>
      <c r="CP10" t="str">
        <f>VLOOKUP(C10,武器!$A:$W,COLUMN(武器!W$1),FALSE)</f>
        <v>刺剣。小型で精密な攻撃が可能な武器。</v>
      </c>
      <c r="CR10" t="str">
        <f t="shared" si="1"/>
        <v>e_10</v>
      </c>
      <c r="CS10">
        <f t="shared" si="2"/>
        <v>30000</v>
      </c>
    </row>
    <row r="11" spans="1:97" outlineLevel="1" x14ac:dyDescent="0.4">
      <c r="A11" t="str">
        <f t="shared" si="0"/>
        <v>鉄の短槍</v>
      </c>
      <c r="B11" t="str">
        <f>IFERROR(VLOOKUP($D11,素材!$1:$1016,COLUMN($B$1),FALSE)&amp;"・"&amp;VLOOKUP($C11,武器!$1:$998,COLUMN(B$1),FALSE),"")</f>
        <v>アイアン・ショートスピア</v>
      </c>
      <c r="C11" s="24" t="s">
        <v>234</v>
      </c>
      <c r="D11" s="24" t="s">
        <v>257</v>
      </c>
      <c r="E11" t="str">
        <f>IFERROR(VLOOKUP(C11,武器!$1:$998,COLUMN(C$1),FALSE),"")</f>
        <v>武器</v>
      </c>
      <c r="F11">
        <f>IFERROR(ROUNDDOWN((VLOOKUP($C11,武器!$1:$998,COLUMN(D$1),FALSE)+IFERROR(VLOOKUP($CI11,装強!$1:$999,COLUMN(F$1),FALSE),0))*VLOOKUP($D11,素材!$1:$1016,COLUMN(D$1),FALSE),0),"")</f>
        <v>105</v>
      </c>
      <c r="G11">
        <f>IFERROR(ROUNDDOWN((VLOOKUP($C11,武器!$1:$998,COLUMN(E$1),FALSE)+IFERROR(VLOOKUP($CI11,装強!$1:$999,COLUMN(G$1),FALSE),0))*VLOOKUP($D11,素材!$1:$1016,COLUMN($E$1),FALSE),0),"")</f>
        <v>8</v>
      </c>
      <c r="H11">
        <f>IFERROR(ROUNDDOWN((VLOOKUP($C11,武器!$1:$998,COLUMN(F$1),FALSE)+IFERROR(VLOOKUP($CI11,装強!$1:$999,COLUMN(H$1),FALSE),0))*VLOOKUP($D11,素材!$1:$1016,COLUMN($E$1),FALSE),0),"")</f>
        <v>14</v>
      </c>
      <c r="I11">
        <f>IFERROR(ROUNDDOWN((VLOOKUP($C11,武器!$1:$998,COLUMN(G$1),FALSE)+IFERROR(VLOOKUP($CI11,装強!$1:$999,COLUMN(I$1),FALSE),0))*VLOOKUP($D11,素材!$1:$1016,COLUMN($E$1),FALSE),0),"")</f>
        <v>3</v>
      </c>
      <c r="J11">
        <f>IFERROR(ROUNDDOWN((VLOOKUP($C11,武器!$1:$998,COLUMN(H$1),FALSE)+IFERROR(VLOOKUP($CI11,装強!$1:$999,COLUMN(J$1),FALSE),0))*VLOOKUP($D11,素材!$1:$1016,COLUMN($E$1),FALSE),0),"")</f>
        <v>17</v>
      </c>
      <c r="K11">
        <f>IFERROR(ROUNDDOWN((VLOOKUP($C11,武器!$1:$998,COLUMN(I$1),FALSE)+IFERROR(VLOOKUP($CI11,装強!$1:$999,COLUMN(K$1),FALSE),0))*VLOOKUP($D11,素材!$1:$1016,COLUMN($E$1),FALSE),0),"")</f>
        <v>0</v>
      </c>
      <c r="L11">
        <f>IFERROR(VLOOKUP($D11,素材!$1:$1016,COLUMN($F$1),FALSE),"")</f>
        <v>0</v>
      </c>
      <c r="M11">
        <f>IFERROR(VLOOKUP($C11,武器!$1:$998,COLUMN(AA$1),FALSE)*VLOOKUP($D11,素材!$1:$1016,COLUMN($G$1),FALSE),"")</f>
        <v>0</v>
      </c>
      <c r="N11">
        <f>IFERROR(VLOOKUP($C11,武器!$1:$998,COLUMN(I$1),FALSE),"")</f>
        <v>0</v>
      </c>
      <c r="O11" s="23">
        <f>IFERROR((VLOOKUP($C11,武器!$1:$998,COLUMN(K$1),FALSE)+VLOOKUP($D11,素材!$1:$1016,COLUMN(H$1),FALSE))*100+IFERROR(VLOOKUP($CI11,装強!$1:$999,COLUMN(O$1),FALSE),0),"")</f>
        <v>10</v>
      </c>
      <c r="P11" s="23">
        <f>IFERROR((VLOOKUP($C11,武器!$1:$998,COLUMN(L$1),FALSE)+VLOOKUP($D11,素材!$1:$1016,COLUMN(I$1),FALSE))*100+IFERROR(VLOOKUP($CI11,装強!$1:$999,COLUMN(P$1),FALSE),0),"")</f>
        <v>150</v>
      </c>
      <c r="Q11">
        <f>IFERROR(ROUNDUP(VLOOKUP($C11,武器!$1:$998,COLUMN(M$1),FALSE)*(VLOOKUP($D11,素材!$1:$1002,COLUMN(D$1),FALSE)/100),1),"")</f>
        <v>0</v>
      </c>
      <c r="R11">
        <f>IFERROR(ROUNDUP(VLOOKUP($C11,武器!$1:$998,COLUMN(N$1),FALSE)*(VLOOKUP($D11,素材!$1:$1002,COLUMN(D$1),FALSE)/100),1),"")</f>
        <v>0</v>
      </c>
      <c r="S11">
        <f>IFERROR(VLOOKUP($C11,武器!$1:$998,COLUMN(P$1),FALSE),"")</f>
        <v>0</v>
      </c>
      <c r="T11">
        <f>IFERROR(VLOOKUP($C11,武器!$1:$998,COLUMN(Q$1),FALSE),"")</f>
        <v>0</v>
      </c>
      <c r="U11">
        <f>IFERROR(VLOOKUP($C11,武器!$1:$998,COLUMN(R$1),FALSE),"")</f>
        <v>0</v>
      </c>
      <c r="V11">
        <f>IFERROR(VLOOKUP($C11,武器!$1:$998,COLUMN(Q$1),FALSE),"")</f>
        <v>0</v>
      </c>
      <c r="W11" t="str">
        <f>IFERROR(VLOOKUP($C11,武器!$1:$998,COLUMN(T$1),FALSE),"")</f>
        <v>A</v>
      </c>
      <c r="Y11" t="str">
        <f>IFERROR(VLOOKUP($C11,武器!$1:$998,COLUMN(U$1),FALSE),"")</f>
        <v>投擲強化</v>
      </c>
      <c r="Z11">
        <f>IFERROR(ROUNDUP(VLOOKUP($C11,武器!$1:$998,COLUMN(O$1),FALSE)*VLOOKUP($D11,素材!$1:$1016,COLUMN(E$1),FALSE),1),"")</f>
        <v>0</v>
      </c>
      <c r="AA11">
        <f>IF(ISNUMBER(SEARCH(SUBSTITUTE(AA$1,RIGHT(AA$1,2),""),VLOOKUP($D11,素材!$1:$1016,COLUMN($F$1),FALSE))),VLOOKUP($C11,武器!$1:$998,COLUMN($O$1),FALSE)*VLOOKUP($D11,素材!$1:$1016,COLUMN($E$1),FALSE)/(LEN(VLOOKUP($D11,素材!$1:$1016,COLUMN($F$1),FALSE)) - LEN(SUBSTITUTE(VLOOKUP($D11,素材!$1:$1016,COLUMN($F$1),FALSE), "・", 0)) + 1), 0)</f>
        <v>0</v>
      </c>
      <c r="AB11">
        <f>IF(ISNUMBER(SEARCH(SUBSTITUTE(AB$1,RIGHT(AB$1,2),""),VLOOKUP($D11,素材!$1:$1016,COLUMN($F$1),FALSE))),VLOOKUP($C11,武器!$1:$998,COLUMN($O$1),FALSE)*VLOOKUP($D11,素材!$1:$1016,COLUMN($E$1),FALSE)/(LEN(VLOOKUP($D11,素材!$1:$1016,COLUMN($F$1),FALSE)) - LEN(SUBSTITUTE(VLOOKUP($D11,素材!$1:$1016,COLUMN($F$1),FALSE), "・", 0)) + 1), 0)</f>
        <v>0</v>
      </c>
      <c r="AC11">
        <f>IF(ISNUMBER(SEARCH(SUBSTITUTE(AC$1,RIGHT(AC$1,2),""),VLOOKUP($D11,素材!$1:$1016,COLUMN($F$1),FALSE))),VLOOKUP($C11,武器!$1:$998,COLUMN($O$1),FALSE)*VLOOKUP($D11,素材!$1:$1016,COLUMN($E$1),FALSE)/(LEN(VLOOKUP($D11,素材!$1:$1016,COLUMN($F$1),FALSE)) - LEN(SUBSTITUTE(VLOOKUP($D11,素材!$1:$1016,COLUMN($F$1),FALSE), "・", 0)) + 1), 0)</f>
        <v>0</v>
      </c>
      <c r="AD11">
        <f>IF(ISNUMBER(SEARCH(SUBSTITUTE(AD$1,RIGHT(AD$1,2),""),VLOOKUP($D11,素材!$1:$1016,COLUMN($F$1),FALSE))),VLOOKUP($C11,武器!$1:$998,COLUMN($O$1),FALSE)*VLOOKUP($D11,素材!$1:$1016,COLUMN($E$1),FALSE)/(LEN(VLOOKUP($D11,素材!$1:$1016,COLUMN($F$1),FALSE)) - LEN(SUBSTITUTE(VLOOKUP($D11,素材!$1:$1016,COLUMN($F$1),FALSE), "・", 0)) + 1), 0)</f>
        <v>0</v>
      </c>
      <c r="AE11">
        <f>IF(ISNUMBER(SEARCH(SUBSTITUTE(AE$1,RIGHT(AE$1,2),""),VLOOKUP($D11,素材!$1:$1016,COLUMN($F$1),FALSE))),VLOOKUP($C11,武器!$1:$998,COLUMN($O$1),FALSE)*VLOOKUP($D11,素材!$1:$1016,COLUMN($E$1),FALSE)/(LEN(VLOOKUP($D11,素材!$1:$1016,COLUMN($F$1),FALSE)) - LEN(SUBSTITUTE(VLOOKUP($D11,素材!$1:$1016,COLUMN($F$1),FALSE), "・", 0)) + 1), 0)</f>
        <v>0</v>
      </c>
      <c r="AF11">
        <f>IF(ISNUMBER(SEARCH(SUBSTITUTE(AF$1,RIGHT(AF$1,2),""),VLOOKUP($D11,素材!$1:$1016,COLUMN($F$1),FALSE))),VLOOKUP($C11,武器!$1:$998,COLUMN($O$1),FALSE)*VLOOKUP($D11,素材!$1:$1016,COLUMN($E$1),FALSE)/(LEN(VLOOKUP($D11,素材!$1:$1016,COLUMN($F$1),FALSE)) - LEN(SUBSTITUTE(VLOOKUP($D11,素材!$1:$1016,COLUMN($F$1),FALSE), "・", 0)) + 1), 0)</f>
        <v>0</v>
      </c>
      <c r="AG11">
        <f>IF(ISNUMBER(SEARCH(SUBSTITUTE(AG$1,RIGHT(AG$1,2),""),VLOOKUP($D11,素材!$1:$1016,COLUMN($F$1),FALSE))),VLOOKUP($C11,武器!$1:$998,COLUMN($O$1),FALSE)*VLOOKUP($D11,素材!$1:$1016,COLUMN($E$1),FALSE)/(LEN(VLOOKUP($D11,素材!$1:$1016,COLUMN($F$1),FALSE)) - LEN(SUBSTITUTE(VLOOKUP($D11,素材!$1:$1016,COLUMN($F$1),FALSE), "・", 0)) + 1), 0)</f>
        <v>0</v>
      </c>
      <c r="AH11">
        <f>IF(ISNUMBER(SEARCH(SUBSTITUTE(AH$1,RIGHT(AH$1,2),""),VLOOKUP($D11,素材!$1:$1016,COLUMN($F$1),FALSE))),VLOOKUP($C11,武器!$1:$998,COLUMN($O$1),FALSE)*VLOOKUP($D11,素材!$1:$1016,COLUMN($E$1),FALSE)/(LEN(VLOOKUP($D11,素材!$1:$1016,COLUMN($F$1),FALSE)) - LEN(SUBSTITUTE(VLOOKUP($D11,素材!$1:$1016,COLUMN($F$1),FALSE), "・", 0)) + 1), 0)</f>
        <v>0</v>
      </c>
      <c r="AI11">
        <f>IF(ISNUMBER(SEARCH(SUBSTITUTE(AI$1,RIGHT(AI$1,2),""),VLOOKUP($D11,素材!$1:$1016,COLUMN($F$1),FALSE))),VLOOKUP($C11,武器!$1:$998,COLUMN($O$1),FALSE)*VLOOKUP($D11,素材!$1:$1016,COLUMN($E$1),FALSE)/(LEN(VLOOKUP($D11,素材!$1:$1016,COLUMN($F$1),FALSE)) - LEN(SUBSTITUTE(VLOOKUP($D11,素材!$1:$1016,COLUMN($F$1),FALSE), "・", 0)) + 1), 0)</f>
        <v>0</v>
      </c>
      <c r="AJ11">
        <f>IF(ISNUMBER(SEARCH(SUBSTITUTE(AJ$1,RIGHT(AJ$1,2),""),VLOOKUP($D11,素材!$1:$1016,COLUMN($F$1),FALSE))),VLOOKUP($C11,武器!$1:$998,COLUMN($O$1),FALSE)*VLOOKUP($D11,素材!$1:$1016,COLUMN($E$1),FALSE)/(LEN(VLOOKUP($D11,素材!$1:$1016,COLUMN($F$1),FALSE)) - LEN(SUBSTITUTE(VLOOKUP($D11,素材!$1:$1016,COLUMN($F$1),FALSE), "・", 0)) + 1), 0)</f>
        <v>0</v>
      </c>
      <c r="AK11">
        <f>IF(ISNUMBER(SEARCH(SUBSTITUTE(AK$1,RIGHT(AK$1,2),""),VLOOKUP($D11,素材!$1:$1016,COLUMN($F$1),FALSE))),VLOOKUP($C11,武器!$1:$998,COLUMN($O$1),FALSE)*VLOOKUP($D11,素材!$1:$1016,COLUMN($E$1),FALSE)/(LEN(VLOOKUP($D11,素材!$1:$1016,COLUMN($F$1),FALSE)) - LEN(SUBSTITUTE(VLOOKUP($D11,素材!$1:$1016,COLUMN($F$1),FALSE), "・", 0)) + 1), 0)</f>
        <v>0</v>
      </c>
      <c r="AL11">
        <f>IF(ISNUMBER(SEARCH(SUBSTITUTE(AL$1,RIGHT(AL$1,2),""),VLOOKUP($D11,素材!$1:$1016,COLUMN($F$1),FALSE))),VLOOKUP($C11,武器!$1:$998,COLUMN($O$1),FALSE)*VLOOKUP($D11,素材!$1:$1016,COLUMN($E$1),FALSE)/(LEN(VLOOKUP($D11,素材!$1:$1016,COLUMN($F$1),FALSE)) - LEN(SUBSTITUTE(VLOOKUP($D11,素材!$1:$1016,COLUMN($F$1),FALSE), "・", 0)) + 1), 0)</f>
        <v>0</v>
      </c>
      <c r="AM11">
        <f>IF(ISNUMBER(SEARCH(SUBSTITUTE(AM$1,RIGHT(AM$1,2),""),VLOOKUP($D11,素材!$1:$1016,COLUMN($F$1),FALSE))),VLOOKUP($C11,武器!$1:$998,COLUMN($O$1),FALSE)*VLOOKUP($D11,素材!$1:$1016,COLUMN($E$1),FALSE)/(LEN(VLOOKUP($D11,素材!$1:$1016,COLUMN($F$1),FALSE)) - LEN(SUBSTITUTE(VLOOKUP($D11,素材!$1:$1016,COLUMN($F$1),FALSE), "・", 0)) + 1), 0)</f>
        <v>0</v>
      </c>
      <c r="AN11">
        <f>IF(ISNUMBER(SEARCH(SUBSTITUTE(AN$1,RIGHT(AN$1,2),""),VLOOKUP($D11,素材!$1:$1016,COLUMN($F$1),FALSE))),VLOOKUP($C11,武器!$1:$998,COLUMN($O$1),FALSE)*VLOOKUP($D11,素材!$1:$1016,COLUMN($E$1),FALSE)/(LEN(VLOOKUP($D11,素材!$1:$1016,COLUMN($F$1),FALSE)) - LEN(SUBSTITUTE(VLOOKUP($D11,素材!$1:$1016,COLUMN($F$1),FALSE), "・", 0)) + 1), 0)</f>
        <v>0</v>
      </c>
      <c r="AO11">
        <f>IF(ISNUMBER(SEARCH(SUBSTITUTE(AO$1,RIGHT(AO$1,2),""),VLOOKUP($D11,素材!$1:$1016,COLUMN($F$1),FALSE))),VLOOKUP($C11,武器!$1:$998,COLUMN($O$1),FALSE)*VLOOKUP($D11,素材!$1:$1016,COLUMN($E$1),FALSE)/(LEN(VLOOKUP($D11,素材!$1:$1016,COLUMN($F$1),FALSE)) - LEN(SUBSTITUTE(VLOOKUP($D11,素材!$1:$1016,COLUMN($F$1),FALSE), "・", 0)) + 1), 0)</f>
        <v>0</v>
      </c>
      <c r="AP11">
        <f>IF(ISNUMBER(SEARCH(SUBSTITUTE(AP$1,RIGHT(AP$1,2),""),VLOOKUP($D11,素材!$1:$1016,COLUMN($F$1),FALSE))),VLOOKUP($C11,武器!$1:$998,COLUMN($O$1),FALSE)*VLOOKUP($D11,素材!$1:$1016,COLUMN($E$1),FALSE)/(LEN(VLOOKUP($D11,素材!$1:$1016,COLUMN($F$1),FALSE)) - LEN(SUBSTITUTE(VLOOKUP($D11,素材!$1:$1016,COLUMN($F$1),FALSE), "・", 0)) + 1), 0)</f>
        <v>0</v>
      </c>
      <c r="AQ11">
        <f>IF(ISNUMBER(SEARCH(SUBSTITUTE(AQ$1,RIGHT(AQ$1,2),""),VLOOKUP($D11,素材!$1:$1016,COLUMN($F$1),FALSE))),VLOOKUP($C11,武器!$1:$998,COLUMN($O$1),FALSE)*VLOOKUP($D11,素材!$1:$1016,COLUMN($E$1),FALSE)/(LEN(VLOOKUP($D11,素材!$1:$1016,COLUMN($F$1),FALSE)) - LEN(SUBSTITUTE(VLOOKUP($D11,素材!$1:$1016,COLUMN($F$1),FALSE), "・", 0)) + 1), 0)</f>
        <v>0</v>
      </c>
      <c r="AR11">
        <f>IF(ISNUMBER(SEARCH(SUBSTITUTE(AR$1,RIGHT(AR$1,2),""),VLOOKUP($D11,素材!$1:$1016,COLUMN($F$1),FALSE))),VLOOKUP($C11,武器!$1:$998,COLUMN($O$1),FALSE)*VLOOKUP($D11,素材!$1:$1016,COLUMN($E$1),FALSE)/(LEN(VLOOKUP($D11,素材!$1:$1016,COLUMN($F$1),FALSE)) - LEN(SUBSTITUTE(VLOOKUP($D11,素材!$1:$1016,COLUMN($F$1),FALSE), "・", 0)) + 1), 0)</f>
        <v>0</v>
      </c>
      <c r="AS11">
        <f>IF(ISNUMBER(SEARCH(SUBSTITUTE(AS$1,RIGHT(AS$1,2),""),VLOOKUP($D11,素材!$1:$1016,COLUMN($F$1),FALSE))),VLOOKUP($C11,武器!$1:$998,COLUMN($O$1),FALSE)*VLOOKUP($D11,素材!$1:$1016,COLUMN($E$1),FALSE)/(LEN(VLOOKUP($D11,素材!$1:$1016,COLUMN($F$1),FALSE)) - LEN(SUBSTITUTE(VLOOKUP($D11,素材!$1:$1016,COLUMN($F$1),FALSE), "・", 0)) + 1), 0)</f>
        <v>0</v>
      </c>
      <c r="AT11">
        <f>IF(ISNUMBER(SEARCH(SUBSTITUTE(AT$1,RIGHT(AT$1,2),""),VLOOKUP($D11,素材!$1:$1016,COLUMN($F$1),FALSE))),VLOOKUP($C11,武器!$1:$998,COLUMN($O$1),FALSE)*VLOOKUP($D11,素材!$1:$1016,COLUMN($E$1),FALSE)/(LEN(VLOOKUP($D11,素材!$1:$1016,COLUMN($F$1),FALSE)) - LEN(SUBSTITUTE(VLOOKUP($D11,素材!$1:$1016,COLUMN($F$1),FALSE), "・", 0)) + 1), 0)</f>
        <v>0</v>
      </c>
      <c r="AU11">
        <f>IF(ISNUMBER(SEARCH(SUBSTITUTE(AU$1,RIGHT(AU$1,2),""),VLOOKUP($D11,素材!$1:$1016,COLUMN($F$1),FALSE))),VLOOKUP($C11,武器!$1:$998,COLUMN($O$1),FALSE)*VLOOKUP($D11,素材!$1:$1016,COLUMN($E$1),FALSE)/(LEN(VLOOKUP($D11,素材!$1:$1016,COLUMN($F$1),FALSE)) - LEN(SUBSTITUTE(VLOOKUP($D11,素材!$1:$1016,COLUMN($F$1),FALSE), "・", 0)) + 1), 0)</f>
        <v>0</v>
      </c>
      <c r="AV11">
        <f>IF(ISNUMBER(SEARCH(SUBSTITUTE(AV$1,RIGHT(AV$1,2),""),VLOOKUP($D11,素材!$1:$1016,COLUMN($F$1),FALSE))),VLOOKUP($C11,武器!$1:$998,COLUMN($O$1),FALSE)*VLOOKUP($D11,素材!$1:$1016,COLUMN($E$1),FALSE)/(LEN(VLOOKUP($D11,素材!$1:$1016,COLUMN($F$1),FALSE)) - LEN(SUBSTITUTE(VLOOKUP($D11,素材!$1:$1016,COLUMN($F$1),FALSE), "・", 0)) + 1), 0)</f>
        <v>0</v>
      </c>
      <c r="AW11">
        <f>IF(ISNUMBER(SEARCH(SUBSTITUTE(AW$1,RIGHT(AW$1,2),""),VLOOKUP($D11,素材!$1:$1016,COLUMN($F$1),FALSE))),VLOOKUP($C11,武器!$1:$998,COLUMN($O$1),FALSE)*VLOOKUP($D11,素材!$1:$1016,COLUMN($E$1),FALSE)/(LEN(VLOOKUP($D11,素材!$1:$1016,COLUMN($F$1),FALSE)) - LEN(SUBSTITUTE(VLOOKUP($D11,素材!$1:$1016,COLUMN($F$1),FALSE), "・", 0)) + 1), 0)</f>
        <v>0</v>
      </c>
      <c r="AX11">
        <f>IF(ISNUMBER(SEARCH(SUBSTITUTE(AX$1,RIGHT(AX$1,2),""),VLOOKUP($D11,素材!$1:$1016,COLUMN($F$1),FALSE))),VLOOKUP($C11,武器!$1:$998,COLUMN($O$1),FALSE)*VLOOKUP($D11,素材!$1:$1016,COLUMN($E$1),FALSE)/(LEN(VLOOKUP($D11,素材!$1:$1016,COLUMN($F$1),FALSE)) - LEN(SUBSTITUTE(VLOOKUP($D11,素材!$1:$1016,COLUMN($F$1),FALSE), "・", 0)) + 1), 0)</f>
        <v>0</v>
      </c>
      <c r="AY11">
        <f>IF(ISNUMBER(SEARCH(SUBSTITUTE(AY$1,RIGHT(AY$1,2),""),VLOOKUP($D11,素材!$1:$1016,COLUMN($F$1),FALSE))),VLOOKUP($C11,武器!$1:$998,COLUMN($O$1),FALSE)*VLOOKUP($D11,素材!$1:$1016,COLUMN($E$1),FALSE)/(LEN(VLOOKUP($D11,素材!$1:$1016,COLUMN($F$1),FALSE)) - LEN(SUBSTITUTE(VLOOKUP($D11,素材!$1:$1016,COLUMN($F$1),FALSE), "・", 0)) + 1), 0)</f>
        <v>0</v>
      </c>
      <c r="AZ11">
        <f>IF(ISNUMBER(SEARCH(SUBSTITUTE(AZ$1,RIGHT(AZ$1,2),""),VLOOKUP($D11,素材!$1:$1016,COLUMN($F$1),FALSE))),VLOOKUP($C11,武器!$1:$998,COLUMN($O$1),FALSE)*VLOOKUP($D11,素材!$1:$1016,COLUMN($E$1),FALSE)/(LEN(VLOOKUP($D11,素材!$1:$1016,COLUMN($F$1),FALSE)) - LEN(SUBSTITUTE(VLOOKUP($D11,素材!$1:$1016,COLUMN($F$1),FALSE), "・", 0)) + 1), 0)</f>
        <v>0</v>
      </c>
      <c r="BA11">
        <f>IF(ISNUMBER(SEARCH(SUBSTITUTE(BA$1,RIGHT(BA$1,2),""),VLOOKUP($D11,素材!$1:$1016,COLUMN($F$1),FALSE))),VLOOKUP($C11,武器!$1:$998,COLUMN($O$1),FALSE)*VLOOKUP($D11,素材!$1:$1016,COLUMN($E$1),FALSE)/(LEN(VLOOKUP($D11,素材!$1:$1016,COLUMN($F$1),FALSE)) - LEN(SUBSTITUTE(VLOOKUP($D11,素材!$1:$1016,COLUMN($F$1),FALSE), "・", 0)) + 1), 0)</f>
        <v>0</v>
      </c>
      <c r="BB11">
        <f>IF(ISNUMBER(SEARCH(SUBSTITUTE(BB$1,RIGHT(BB$1,2),""),VLOOKUP($D11,素材!$1:$1016,COLUMN($F$1),FALSE))),VLOOKUP($C11,武器!$1:$998,COLUMN($O$1),FALSE)*VLOOKUP($D11,素材!$1:$1016,COLUMN($E$1),FALSE)/(LEN(VLOOKUP($D11,素材!$1:$1016,COLUMN($F$1),FALSE)) - LEN(SUBSTITUTE(VLOOKUP($D11,素材!$1:$1016,COLUMN($F$1),FALSE), "・", 0)) + 1), 0)</f>
        <v>0</v>
      </c>
      <c r="BC11">
        <f>IF(ISNUMBER(SEARCH(SUBSTITUTE(BC$1,RIGHT(BC$1,2),""),VLOOKUP($D11,素材!$1:$1016,COLUMN($F$1),FALSE))),VLOOKUP($C11,武器!$1:$998,COLUMN($O$1),FALSE)*VLOOKUP($D11,素材!$1:$1016,COLUMN($E$1),FALSE)/(LEN(VLOOKUP($D11,素材!$1:$1016,COLUMN($F$1),FALSE)) - LEN(SUBSTITUTE(VLOOKUP($D11,素材!$1:$1016,COLUMN($F$1),FALSE), "・", 0)) + 1), 0)</f>
        <v>0</v>
      </c>
      <c r="BD11">
        <f>IF(ISNUMBER(SEARCH(SUBSTITUTE(BD$1,RIGHT(BD$1,2),""),VLOOKUP($D11,素材!$1:$1016,COLUMN($F$1),FALSE))),VLOOKUP($C11,武器!$1:$998,COLUMN($O$1),FALSE)*VLOOKUP($D11,素材!$1:$1016,COLUMN($E$1),FALSE)/(LEN(VLOOKUP($D11,素材!$1:$1016,COLUMN($F$1),FALSE)) - LEN(SUBSTITUTE(VLOOKUP($D11,素材!$1:$1016,COLUMN($F$1),FALSE), "・", 0)) + 1), 0)</f>
        <v>0</v>
      </c>
      <c r="BE11">
        <f>IF(ISNUMBER(SEARCH(SUBSTITUTE(BE$1,RIGHT(BE$1,2),""),VLOOKUP($D11,素材!$1:$1016,COLUMN($F$1),FALSE))),VLOOKUP($C11,武器!$1:$998,COLUMN($O$1),FALSE)*VLOOKUP($D11,素材!$1:$1016,COLUMN($E$1),FALSE)/(LEN(VLOOKUP($D11,素材!$1:$1016,COLUMN($F$1),FALSE)) - LEN(SUBSTITUTE(VLOOKUP($D11,素材!$1:$1016,COLUMN($F$1),FALSE), "・", 0)) + 1), 0)</f>
        <v>0</v>
      </c>
      <c r="CL11">
        <f>SUM(G11:I11)</f>
        <v>25</v>
      </c>
      <c r="CM11" s="22" t="str">
        <f>IF(E11="武器",IF(J11-1&gt;SUM(G11:I11),"盾",IF(MAX(G11:I11)=G11,"切断",IF(MAX(G11:I11)=H11,"貫通",IF(MAX(G11:I11)=I11,"打撃","射撃")))),E11)&amp;".webp"</f>
        <v>貫通.webp</v>
      </c>
      <c r="CN11">
        <f>IFERROR(VLOOKUP($C11,武器!$1:$998,COLUMN(V$1),FALSE)*VLOOKUP($D11,素材!$1:$1016,COLUMN(N$1),FALSE)+IF(CI11="",0,VLOOKUP($CI11,装強!$1:$1008,COLUMN($CK$1),FALSE)),"")</f>
        <v>300</v>
      </c>
      <c r="CO11" t="str">
        <f>VLOOKUP(D11,素材!$A:$O,COLUMN(素材!O$1),FALSE)</f>
        <v>一般的な鉄。量産品を作るのに使用されることが多い</v>
      </c>
      <c r="CP11" t="str">
        <f>VLOOKUP(C11,武器!$A:$W,COLUMN(武器!W$1),FALSE)</f>
        <v>短槍。短く扱いやすい槍で、投擲にも対応。</v>
      </c>
      <c r="CR11" t="str">
        <f t="shared" si="1"/>
        <v>e_11</v>
      </c>
      <c r="CS11">
        <f t="shared" si="2"/>
        <v>30000</v>
      </c>
    </row>
    <row r="12" spans="1:97" outlineLevel="1" x14ac:dyDescent="0.4">
      <c r="A12" t="str">
        <f t="shared" si="0"/>
        <v>鉄の槍</v>
      </c>
      <c r="B12" t="str">
        <f>IFERROR(VLOOKUP($D12,素材!$1:$1016,COLUMN($B$1),FALSE)&amp;"・"&amp;VLOOKUP($C12,武器!$1:$998,COLUMN(B$1),FALSE),"")</f>
        <v>アイアン・スピア</v>
      </c>
      <c r="C12" s="24" t="s">
        <v>233</v>
      </c>
      <c r="D12" s="24" t="s">
        <v>257</v>
      </c>
      <c r="E12" t="str">
        <f>IFERROR(VLOOKUP(C12,武器!$1:$998,COLUMN(C$1),FALSE),"")</f>
        <v>武器</v>
      </c>
      <c r="F12">
        <f>IFERROR(ROUNDDOWN((VLOOKUP($C12,武器!$1:$998,COLUMN(D$1),FALSE)+IFERROR(VLOOKUP($CI12,装強!$1:$999,COLUMN(F$1),FALSE),0))*VLOOKUP($D12,素材!$1:$1016,COLUMN(D$1),FALSE),0),"")</f>
        <v>115</v>
      </c>
      <c r="G12">
        <f>IFERROR(ROUNDDOWN((VLOOKUP($C12,武器!$1:$998,COLUMN(E$1),FALSE)+IFERROR(VLOOKUP($CI12,装強!$1:$999,COLUMN(G$1),FALSE),0))*VLOOKUP($D12,素材!$1:$1016,COLUMN($E$1),FALSE),0),"")</f>
        <v>8</v>
      </c>
      <c r="H12">
        <f>IFERROR(ROUNDDOWN((VLOOKUP($C12,武器!$1:$998,COLUMN(F$1),FALSE)+IFERROR(VLOOKUP($CI12,装強!$1:$999,COLUMN(H$1),FALSE),0))*VLOOKUP($D12,素材!$1:$1016,COLUMN($E$1),FALSE),0),"")</f>
        <v>16</v>
      </c>
      <c r="I12">
        <f>IFERROR(ROUNDDOWN((VLOOKUP($C12,武器!$1:$998,COLUMN(G$1),FALSE)+IFERROR(VLOOKUP($CI12,装強!$1:$999,COLUMN(I$1),FALSE),0))*VLOOKUP($D12,素材!$1:$1016,COLUMN($E$1),FALSE),0),"")</f>
        <v>3</v>
      </c>
      <c r="J12">
        <f>IFERROR(ROUNDDOWN((VLOOKUP($C12,武器!$1:$998,COLUMN(H$1),FALSE)+IFERROR(VLOOKUP($CI12,装強!$1:$999,COLUMN(J$1),FALSE),0))*VLOOKUP($D12,素材!$1:$1016,COLUMN($E$1),FALSE),0),"")</f>
        <v>17</v>
      </c>
      <c r="K12">
        <f>IFERROR(ROUNDDOWN((VLOOKUP($C12,武器!$1:$998,COLUMN(I$1),FALSE)+IFERROR(VLOOKUP($CI12,装強!$1:$999,COLUMN(K$1),FALSE),0))*VLOOKUP($D12,素材!$1:$1016,COLUMN($E$1),FALSE),0),"")</f>
        <v>0</v>
      </c>
      <c r="L12">
        <f>IFERROR(VLOOKUP($D12,素材!$1:$1016,COLUMN($F$1),FALSE),"")</f>
        <v>0</v>
      </c>
      <c r="M12">
        <f>IFERROR(VLOOKUP($C12,武器!$1:$998,COLUMN(AA$1),FALSE)*VLOOKUP($D12,素材!$1:$1016,COLUMN($G$1),FALSE),"")</f>
        <v>0</v>
      </c>
      <c r="N12">
        <f>IFERROR(VLOOKUP($C12,武器!$1:$998,COLUMN(I$1),FALSE),"")</f>
        <v>0</v>
      </c>
      <c r="O12" s="23">
        <f>IFERROR((VLOOKUP($C12,武器!$1:$998,COLUMN(K$1),FALSE)+VLOOKUP($D12,素材!$1:$1016,COLUMN(H$1),FALSE))*100+IFERROR(VLOOKUP($CI12,装強!$1:$999,COLUMN(O$1),FALSE),0),"")</f>
        <v>10</v>
      </c>
      <c r="P12" s="23">
        <f>IFERROR((VLOOKUP($C12,武器!$1:$998,COLUMN(L$1),FALSE)+VLOOKUP($D12,素材!$1:$1016,COLUMN(I$1),FALSE))*100+IFERROR(VLOOKUP($CI12,装強!$1:$999,COLUMN(P$1),FALSE),0),"")</f>
        <v>150</v>
      </c>
      <c r="Q12">
        <f>IFERROR(ROUNDUP(VLOOKUP($C12,武器!$1:$998,COLUMN(M$1),FALSE)*(VLOOKUP($D12,素材!$1:$1002,COLUMN(D$1),FALSE)/100),1),"")</f>
        <v>0</v>
      </c>
      <c r="R12">
        <f>IFERROR(ROUNDUP(VLOOKUP($C12,武器!$1:$998,COLUMN(N$1),FALSE)*(VLOOKUP($D12,素材!$1:$1002,COLUMN(D$1),FALSE)/100),1),"")</f>
        <v>-5</v>
      </c>
      <c r="S12">
        <f>IFERROR(VLOOKUP($C12,武器!$1:$998,COLUMN(P$1),FALSE),"")</f>
        <v>0</v>
      </c>
      <c r="T12">
        <f>IFERROR(VLOOKUP($C12,武器!$1:$998,COLUMN(Q$1),FALSE),"")</f>
        <v>0</v>
      </c>
      <c r="U12">
        <f>IFERROR(VLOOKUP($C12,武器!$1:$998,COLUMN(R$1),FALSE),"")</f>
        <v>0</v>
      </c>
      <c r="V12">
        <f>IFERROR(VLOOKUP($C12,武器!$1:$998,COLUMN(Q$1),FALSE),"")</f>
        <v>0</v>
      </c>
      <c r="W12" t="str">
        <f>IFERROR(VLOOKUP($C12,武器!$1:$998,COLUMN(T$1),FALSE),"")</f>
        <v>A</v>
      </c>
      <c r="Y12" t="str">
        <f>IFERROR(VLOOKUP($C12,武器!$1:$998,COLUMN(U$1),FALSE),"")</f>
        <v>投擲強化</v>
      </c>
      <c r="Z12">
        <f>IFERROR(ROUNDUP(VLOOKUP($C12,武器!$1:$998,COLUMN(O$1),FALSE)*VLOOKUP($D12,素材!$1:$1016,COLUMN(E$1),FALSE),1),"")</f>
        <v>0</v>
      </c>
      <c r="AA12">
        <f>IF(ISNUMBER(SEARCH(SUBSTITUTE(AA$1,RIGHT(AA$1,2),""),VLOOKUP($D12,素材!$1:$1016,COLUMN($F$1),FALSE))),VLOOKUP($C12,武器!$1:$998,COLUMN($O$1),FALSE)*VLOOKUP($D12,素材!$1:$1016,COLUMN($E$1),FALSE)/(LEN(VLOOKUP($D12,素材!$1:$1016,COLUMN($F$1),FALSE)) - LEN(SUBSTITUTE(VLOOKUP($D12,素材!$1:$1016,COLUMN($F$1),FALSE), "・", 0)) + 1), 0)</f>
        <v>0</v>
      </c>
      <c r="AB12">
        <f>IF(ISNUMBER(SEARCH(SUBSTITUTE(AB$1,RIGHT(AB$1,2),""),VLOOKUP($D12,素材!$1:$1016,COLUMN($F$1),FALSE))),VLOOKUP($C12,武器!$1:$998,COLUMN($O$1),FALSE)*VLOOKUP($D12,素材!$1:$1016,COLUMN($E$1),FALSE)/(LEN(VLOOKUP($D12,素材!$1:$1016,COLUMN($F$1),FALSE)) - LEN(SUBSTITUTE(VLOOKUP($D12,素材!$1:$1016,COLUMN($F$1),FALSE), "・", 0)) + 1), 0)</f>
        <v>0</v>
      </c>
      <c r="AC12">
        <f>IF(ISNUMBER(SEARCH(SUBSTITUTE(AC$1,RIGHT(AC$1,2),""),VLOOKUP($D12,素材!$1:$1016,COLUMN($F$1),FALSE))),VLOOKUP($C12,武器!$1:$998,COLUMN($O$1),FALSE)*VLOOKUP($D12,素材!$1:$1016,COLUMN($E$1),FALSE)/(LEN(VLOOKUP($D12,素材!$1:$1016,COLUMN($F$1),FALSE)) - LEN(SUBSTITUTE(VLOOKUP($D12,素材!$1:$1016,COLUMN($F$1),FALSE), "・", 0)) + 1), 0)</f>
        <v>0</v>
      </c>
      <c r="AD12">
        <f>IF(ISNUMBER(SEARCH(SUBSTITUTE(AD$1,RIGHT(AD$1,2),""),VLOOKUP($D12,素材!$1:$1016,COLUMN($F$1),FALSE))),VLOOKUP($C12,武器!$1:$998,COLUMN($O$1),FALSE)*VLOOKUP($D12,素材!$1:$1016,COLUMN($E$1),FALSE)/(LEN(VLOOKUP($D12,素材!$1:$1016,COLUMN($F$1),FALSE)) - LEN(SUBSTITUTE(VLOOKUP($D12,素材!$1:$1016,COLUMN($F$1),FALSE), "・", 0)) + 1), 0)</f>
        <v>0</v>
      </c>
      <c r="AE12">
        <f>IF(ISNUMBER(SEARCH(SUBSTITUTE(AE$1,RIGHT(AE$1,2),""),VLOOKUP($D12,素材!$1:$1016,COLUMN($F$1),FALSE))),VLOOKUP($C12,武器!$1:$998,COLUMN($O$1),FALSE)*VLOOKUP($D12,素材!$1:$1016,COLUMN($E$1),FALSE)/(LEN(VLOOKUP($D12,素材!$1:$1016,COLUMN($F$1),FALSE)) - LEN(SUBSTITUTE(VLOOKUP($D12,素材!$1:$1016,COLUMN($F$1),FALSE), "・", 0)) + 1), 0)</f>
        <v>0</v>
      </c>
      <c r="AF12">
        <f>IF(ISNUMBER(SEARCH(SUBSTITUTE(AF$1,RIGHT(AF$1,2),""),VLOOKUP($D12,素材!$1:$1016,COLUMN($F$1),FALSE))),VLOOKUP($C12,武器!$1:$998,COLUMN($O$1),FALSE)*VLOOKUP($D12,素材!$1:$1016,COLUMN($E$1),FALSE)/(LEN(VLOOKUP($D12,素材!$1:$1016,COLUMN($F$1),FALSE)) - LEN(SUBSTITUTE(VLOOKUP($D12,素材!$1:$1016,COLUMN($F$1),FALSE), "・", 0)) + 1), 0)</f>
        <v>0</v>
      </c>
      <c r="AG12">
        <f>IF(ISNUMBER(SEARCH(SUBSTITUTE(AG$1,RIGHT(AG$1,2),""),VLOOKUP($D12,素材!$1:$1016,COLUMN($F$1),FALSE))),VLOOKUP($C12,武器!$1:$998,COLUMN($O$1),FALSE)*VLOOKUP($D12,素材!$1:$1016,COLUMN($E$1),FALSE)/(LEN(VLOOKUP($D12,素材!$1:$1016,COLUMN($F$1),FALSE)) - LEN(SUBSTITUTE(VLOOKUP($D12,素材!$1:$1016,COLUMN($F$1),FALSE), "・", 0)) + 1), 0)</f>
        <v>0</v>
      </c>
      <c r="AH12">
        <f>IF(ISNUMBER(SEARCH(SUBSTITUTE(AH$1,RIGHT(AH$1,2),""),VLOOKUP($D12,素材!$1:$1016,COLUMN($F$1),FALSE))),VLOOKUP($C12,武器!$1:$998,COLUMN($O$1),FALSE)*VLOOKUP($D12,素材!$1:$1016,COLUMN($E$1),FALSE)/(LEN(VLOOKUP($D12,素材!$1:$1016,COLUMN($F$1),FALSE)) - LEN(SUBSTITUTE(VLOOKUP($D12,素材!$1:$1016,COLUMN($F$1),FALSE), "・", 0)) + 1), 0)</f>
        <v>0</v>
      </c>
      <c r="AI12">
        <f>IF(ISNUMBER(SEARCH(SUBSTITUTE(AI$1,RIGHT(AI$1,2),""),VLOOKUP($D12,素材!$1:$1016,COLUMN($F$1),FALSE))),VLOOKUP($C12,武器!$1:$998,COLUMN($O$1),FALSE)*VLOOKUP($D12,素材!$1:$1016,COLUMN($E$1),FALSE)/(LEN(VLOOKUP($D12,素材!$1:$1016,COLUMN($F$1),FALSE)) - LEN(SUBSTITUTE(VLOOKUP($D12,素材!$1:$1016,COLUMN($F$1),FALSE), "・", 0)) + 1), 0)</f>
        <v>0</v>
      </c>
      <c r="AJ12">
        <f>IF(ISNUMBER(SEARCH(SUBSTITUTE(AJ$1,RIGHT(AJ$1,2),""),VLOOKUP($D12,素材!$1:$1016,COLUMN($F$1),FALSE))),VLOOKUP($C12,武器!$1:$998,COLUMN($O$1),FALSE)*VLOOKUP($D12,素材!$1:$1016,COLUMN($E$1),FALSE)/(LEN(VLOOKUP($D12,素材!$1:$1016,COLUMN($F$1),FALSE)) - LEN(SUBSTITUTE(VLOOKUP($D12,素材!$1:$1016,COLUMN($F$1),FALSE), "・", 0)) + 1), 0)</f>
        <v>0</v>
      </c>
      <c r="AK12">
        <f>IF(ISNUMBER(SEARCH(SUBSTITUTE(AK$1,RIGHT(AK$1,2),""),VLOOKUP($D12,素材!$1:$1016,COLUMN($F$1),FALSE))),VLOOKUP($C12,武器!$1:$998,COLUMN($O$1),FALSE)*VLOOKUP($D12,素材!$1:$1016,COLUMN($E$1),FALSE)/(LEN(VLOOKUP($D12,素材!$1:$1016,COLUMN($F$1),FALSE)) - LEN(SUBSTITUTE(VLOOKUP($D12,素材!$1:$1016,COLUMN($F$1),FALSE), "・", 0)) + 1), 0)</f>
        <v>0</v>
      </c>
      <c r="AL12">
        <f>IF(ISNUMBER(SEARCH(SUBSTITUTE(AL$1,RIGHT(AL$1,2),""),VLOOKUP($D12,素材!$1:$1016,COLUMN($F$1),FALSE))),VLOOKUP($C12,武器!$1:$998,COLUMN($O$1),FALSE)*VLOOKUP($D12,素材!$1:$1016,COLUMN($E$1),FALSE)/(LEN(VLOOKUP($D12,素材!$1:$1016,COLUMN($F$1),FALSE)) - LEN(SUBSTITUTE(VLOOKUP($D12,素材!$1:$1016,COLUMN($F$1),FALSE), "・", 0)) + 1), 0)</f>
        <v>0</v>
      </c>
      <c r="AM12">
        <f>IF(ISNUMBER(SEARCH(SUBSTITUTE(AM$1,RIGHT(AM$1,2),""),VLOOKUP($D12,素材!$1:$1016,COLUMN($F$1),FALSE))),VLOOKUP($C12,武器!$1:$998,COLUMN($O$1),FALSE)*VLOOKUP($D12,素材!$1:$1016,COLUMN($E$1),FALSE)/(LEN(VLOOKUP($D12,素材!$1:$1016,COLUMN($F$1),FALSE)) - LEN(SUBSTITUTE(VLOOKUP($D12,素材!$1:$1016,COLUMN($F$1),FALSE), "・", 0)) + 1), 0)</f>
        <v>0</v>
      </c>
      <c r="AN12">
        <f>IF(ISNUMBER(SEARCH(SUBSTITUTE(AN$1,RIGHT(AN$1,2),""),VLOOKUP($D12,素材!$1:$1016,COLUMN($F$1),FALSE))),VLOOKUP($C12,武器!$1:$998,COLUMN($O$1),FALSE)*VLOOKUP($D12,素材!$1:$1016,COLUMN($E$1),FALSE)/(LEN(VLOOKUP($D12,素材!$1:$1016,COLUMN($F$1),FALSE)) - LEN(SUBSTITUTE(VLOOKUP($D12,素材!$1:$1016,COLUMN($F$1),FALSE), "・", 0)) + 1), 0)</f>
        <v>0</v>
      </c>
      <c r="AO12">
        <f>IF(ISNUMBER(SEARCH(SUBSTITUTE(AO$1,RIGHT(AO$1,2),""),VLOOKUP($D12,素材!$1:$1016,COLUMN($F$1),FALSE))),VLOOKUP($C12,武器!$1:$998,COLUMN($O$1),FALSE)*VLOOKUP($D12,素材!$1:$1016,COLUMN($E$1),FALSE)/(LEN(VLOOKUP($D12,素材!$1:$1016,COLUMN($F$1),FALSE)) - LEN(SUBSTITUTE(VLOOKUP($D12,素材!$1:$1016,COLUMN($F$1),FALSE), "・", 0)) + 1), 0)</f>
        <v>0</v>
      </c>
      <c r="AP12">
        <f>IF(ISNUMBER(SEARCH(SUBSTITUTE(AP$1,RIGHT(AP$1,2),""),VLOOKUP($D12,素材!$1:$1016,COLUMN($F$1),FALSE))),VLOOKUP($C12,武器!$1:$998,COLUMN($O$1),FALSE)*VLOOKUP($D12,素材!$1:$1016,COLUMN($E$1),FALSE)/(LEN(VLOOKUP($D12,素材!$1:$1016,COLUMN($F$1),FALSE)) - LEN(SUBSTITUTE(VLOOKUP($D12,素材!$1:$1016,COLUMN($F$1),FALSE), "・", 0)) + 1), 0)</f>
        <v>0</v>
      </c>
      <c r="AQ12">
        <f>IF(ISNUMBER(SEARCH(SUBSTITUTE(AQ$1,RIGHT(AQ$1,2),""),VLOOKUP($D12,素材!$1:$1016,COLUMN($F$1),FALSE))),VLOOKUP($C12,武器!$1:$998,COLUMN($O$1),FALSE)*VLOOKUP($D12,素材!$1:$1016,COLUMN($E$1),FALSE)/(LEN(VLOOKUP($D12,素材!$1:$1016,COLUMN($F$1),FALSE)) - LEN(SUBSTITUTE(VLOOKUP($D12,素材!$1:$1016,COLUMN($F$1),FALSE), "・", 0)) + 1), 0)</f>
        <v>0</v>
      </c>
      <c r="AR12">
        <f>IF(ISNUMBER(SEARCH(SUBSTITUTE(AR$1,RIGHT(AR$1,2),""),VLOOKUP($D12,素材!$1:$1016,COLUMN($F$1),FALSE))),VLOOKUP($C12,武器!$1:$998,COLUMN($O$1),FALSE)*VLOOKUP($D12,素材!$1:$1016,COLUMN($E$1),FALSE)/(LEN(VLOOKUP($D12,素材!$1:$1016,COLUMN($F$1),FALSE)) - LEN(SUBSTITUTE(VLOOKUP($D12,素材!$1:$1016,COLUMN($F$1),FALSE), "・", 0)) + 1), 0)</f>
        <v>0</v>
      </c>
      <c r="AS12">
        <f>IF(ISNUMBER(SEARCH(SUBSTITUTE(AS$1,RIGHT(AS$1,2),""),VLOOKUP($D12,素材!$1:$1016,COLUMN($F$1),FALSE))),VLOOKUP($C12,武器!$1:$998,COLUMN($O$1),FALSE)*VLOOKUP($D12,素材!$1:$1016,COLUMN($E$1),FALSE)/(LEN(VLOOKUP($D12,素材!$1:$1016,COLUMN($F$1),FALSE)) - LEN(SUBSTITUTE(VLOOKUP($D12,素材!$1:$1016,COLUMN($F$1),FALSE), "・", 0)) + 1), 0)</f>
        <v>0</v>
      </c>
      <c r="AT12">
        <f>IF(ISNUMBER(SEARCH(SUBSTITUTE(AT$1,RIGHT(AT$1,2),""),VLOOKUP($D12,素材!$1:$1016,COLUMN($F$1),FALSE))),VLOOKUP($C12,武器!$1:$998,COLUMN($O$1),FALSE)*VLOOKUP($D12,素材!$1:$1016,COLUMN($E$1),FALSE)/(LEN(VLOOKUP($D12,素材!$1:$1016,COLUMN($F$1),FALSE)) - LEN(SUBSTITUTE(VLOOKUP($D12,素材!$1:$1016,COLUMN($F$1),FALSE), "・", 0)) + 1), 0)</f>
        <v>0</v>
      </c>
      <c r="AU12">
        <f>IF(ISNUMBER(SEARCH(SUBSTITUTE(AU$1,RIGHT(AU$1,2),""),VLOOKUP($D12,素材!$1:$1016,COLUMN($F$1),FALSE))),VLOOKUP($C12,武器!$1:$998,COLUMN($O$1),FALSE)*VLOOKUP($D12,素材!$1:$1016,COLUMN($E$1),FALSE)/(LEN(VLOOKUP($D12,素材!$1:$1016,COLUMN($F$1),FALSE)) - LEN(SUBSTITUTE(VLOOKUP($D12,素材!$1:$1016,COLUMN($F$1),FALSE), "・", 0)) + 1), 0)</f>
        <v>0</v>
      </c>
      <c r="AV12">
        <f>IF(ISNUMBER(SEARCH(SUBSTITUTE(AV$1,RIGHT(AV$1,2),""),VLOOKUP($D12,素材!$1:$1016,COLUMN($F$1),FALSE))),VLOOKUP($C12,武器!$1:$998,COLUMN($O$1),FALSE)*VLOOKUP($D12,素材!$1:$1016,COLUMN($E$1),FALSE)/(LEN(VLOOKUP($D12,素材!$1:$1016,COLUMN($F$1),FALSE)) - LEN(SUBSTITUTE(VLOOKUP($D12,素材!$1:$1016,COLUMN($F$1),FALSE), "・", 0)) + 1), 0)</f>
        <v>0</v>
      </c>
      <c r="AW12">
        <f>IF(ISNUMBER(SEARCH(SUBSTITUTE(AW$1,RIGHT(AW$1,2),""),VLOOKUP($D12,素材!$1:$1016,COLUMN($F$1),FALSE))),VLOOKUP($C12,武器!$1:$998,COLUMN($O$1),FALSE)*VLOOKUP($D12,素材!$1:$1016,COLUMN($E$1),FALSE)/(LEN(VLOOKUP($D12,素材!$1:$1016,COLUMN($F$1),FALSE)) - LEN(SUBSTITUTE(VLOOKUP($D12,素材!$1:$1016,COLUMN($F$1),FALSE), "・", 0)) + 1), 0)</f>
        <v>0</v>
      </c>
      <c r="AX12">
        <f>IF(ISNUMBER(SEARCH(SUBSTITUTE(AX$1,RIGHT(AX$1,2),""),VLOOKUP($D12,素材!$1:$1016,COLUMN($F$1),FALSE))),VLOOKUP($C12,武器!$1:$998,COLUMN($O$1),FALSE)*VLOOKUP($D12,素材!$1:$1016,COLUMN($E$1),FALSE)/(LEN(VLOOKUP($D12,素材!$1:$1016,COLUMN($F$1),FALSE)) - LEN(SUBSTITUTE(VLOOKUP($D12,素材!$1:$1016,COLUMN($F$1),FALSE), "・", 0)) + 1), 0)</f>
        <v>0</v>
      </c>
      <c r="AY12">
        <f>IF(ISNUMBER(SEARCH(SUBSTITUTE(AY$1,RIGHT(AY$1,2),""),VLOOKUP($D12,素材!$1:$1016,COLUMN($F$1),FALSE))),VLOOKUP($C12,武器!$1:$998,COLUMN($O$1),FALSE)*VLOOKUP($D12,素材!$1:$1016,COLUMN($E$1),FALSE)/(LEN(VLOOKUP($D12,素材!$1:$1016,COLUMN($F$1),FALSE)) - LEN(SUBSTITUTE(VLOOKUP($D12,素材!$1:$1016,COLUMN($F$1),FALSE), "・", 0)) + 1), 0)</f>
        <v>0</v>
      </c>
      <c r="AZ12">
        <f>IF(ISNUMBER(SEARCH(SUBSTITUTE(AZ$1,RIGHT(AZ$1,2),""),VLOOKUP($D12,素材!$1:$1016,COLUMN($F$1),FALSE))),VLOOKUP($C12,武器!$1:$998,COLUMN($O$1),FALSE)*VLOOKUP($D12,素材!$1:$1016,COLUMN($E$1),FALSE)/(LEN(VLOOKUP($D12,素材!$1:$1016,COLUMN($F$1),FALSE)) - LEN(SUBSTITUTE(VLOOKUP($D12,素材!$1:$1016,COLUMN($F$1),FALSE), "・", 0)) + 1), 0)</f>
        <v>0</v>
      </c>
      <c r="BA12">
        <f>IF(ISNUMBER(SEARCH(SUBSTITUTE(BA$1,RIGHT(BA$1,2),""),VLOOKUP($D12,素材!$1:$1016,COLUMN($F$1),FALSE))),VLOOKUP($C12,武器!$1:$998,COLUMN($O$1),FALSE)*VLOOKUP($D12,素材!$1:$1016,COLUMN($E$1),FALSE)/(LEN(VLOOKUP($D12,素材!$1:$1016,COLUMN($F$1),FALSE)) - LEN(SUBSTITUTE(VLOOKUP($D12,素材!$1:$1016,COLUMN($F$1),FALSE), "・", 0)) + 1), 0)</f>
        <v>0</v>
      </c>
      <c r="BB12">
        <f>IF(ISNUMBER(SEARCH(SUBSTITUTE(BB$1,RIGHT(BB$1,2),""),VLOOKUP($D12,素材!$1:$1016,COLUMN($F$1),FALSE))),VLOOKUP($C12,武器!$1:$998,COLUMN($O$1),FALSE)*VLOOKUP($D12,素材!$1:$1016,COLUMN($E$1),FALSE)/(LEN(VLOOKUP($D12,素材!$1:$1016,COLUMN($F$1),FALSE)) - LEN(SUBSTITUTE(VLOOKUP($D12,素材!$1:$1016,COLUMN($F$1),FALSE), "・", 0)) + 1), 0)</f>
        <v>0</v>
      </c>
      <c r="BC12">
        <f>IF(ISNUMBER(SEARCH(SUBSTITUTE(BC$1,RIGHT(BC$1,2),""),VLOOKUP($D12,素材!$1:$1016,COLUMN($F$1),FALSE))),VLOOKUP($C12,武器!$1:$998,COLUMN($O$1),FALSE)*VLOOKUP($D12,素材!$1:$1016,COLUMN($E$1),FALSE)/(LEN(VLOOKUP($D12,素材!$1:$1016,COLUMN($F$1),FALSE)) - LEN(SUBSTITUTE(VLOOKUP($D12,素材!$1:$1016,COLUMN($F$1),FALSE), "・", 0)) + 1), 0)</f>
        <v>0</v>
      </c>
      <c r="BD12">
        <f>IF(ISNUMBER(SEARCH(SUBSTITUTE(BD$1,RIGHT(BD$1,2),""),VLOOKUP($D12,素材!$1:$1016,COLUMN($F$1),FALSE))),VLOOKUP($C12,武器!$1:$998,COLUMN($O$1),FALSE)*VLOOKUP($D12,素材!$1:$1016,COLUMN($E$1),FALSE)/(LEN(VLOOKUP($D12,素材!$1:$1016,COLUMN($F$1),FALSE)) - LEN(SUBSTITUTE(VLOOKUP($D12,素材!$1:$1016,COLUMN($F$1),FALSE), "・", 0)) + 1), 0)</f>
        <v>0</v>
      </c>
      <c r="BE12">
        <f>IF(ISNUMBER(SEARCH(SUBSTITUTE(BE$1,RIGHT(BE$1,2),""),VLOOKUP($D12,素材!$1:$1016,COLUMN($F$1),FALSE))),VLOOKUP($C12,武器!$1:$998,COLUMN($O$1),FALSE)*VLOOKUP($D12,素材!$1:$1016,COLUMN($E$1),FALSE)/(LEN(VLOOKUP($D12,素材!$1:$1016,COLUMN($F$1),FALSE)) - LEN(SUBSTITUTE(VLOOKUP($D12,素材!$1:$1016,COLUMN($F$1),FALSE), "・", 0)) + 1), 0)</f>
        <v>0</v>
      </c>
      <c r="CL12">
        <f>SUM(G12:I12)</f>
        <v>27</v>
      </c>
      <c r="CM12" s="22" t="str">
        <f>IF(E12="武器",IF(J12-1&gt;SUM(G12:I12),"盾",IF(MAX(G12:I12)=G12,"切断",IF(MAX(G12:I12)=H12,"貫通",IF(MAX(G12:I12)=I12,"打撃","射撃")))),E12)&amp;".webp"</f>
        <v>貫通.webp</v>
      </c>
      <c r="CN12">
        <f>IFERROR(VLOOKUP($C12,武器!$1:$998,COLUMN(V$1),FALSE)*VLOOKUP($D12,素材!$1:$1016,COLUMN(N$1),FALSE)+IF(CI12="",0,VLOOKUP($CI12,装強!$1:$1008,COLUMN($CK$1),FALSE)),"")</f>
        <v>400</v>
      </c>
      <c r="CO12" t="str">
        <f>VLOOKUP(D12,素材!$A:$O,COLUMN(素材!O$1),FALSE)</f>
        <v>一般的な鉄。量産品を作るのに使用されることが多い</v>
      </c>
      <c r="CP12" t="str">
        <f>VLOOKUP(C12,武器!$A:$W,COLUMN(武器!W$1),FALSE)</f>
        <v>槍。リーチが長く、刺突に優れる武器。</v>
      </c>
      <c r="CR12" t="str">
        <f t="shared" si="1"/>
        <v>e_12</v>
      </c>
      <c r="CS12">
        <f t="shared" si="2"/>
        <v>40000</v>
      </c>
    </row>
    <row r="13" spans="1:97" outlineLevel="1" x14ac:dyDescent="0.4">
      <c r="A13" t="str">
        <f t="shared" si="0"/>
        <v>鉄の騎士槍</v>
      </c>
      <c r="B13" t="str">
        <f>IFERROR(VLOOKUP($D13,素材!$1:$1016,COLUMN($B$1),FALSE)&amp;"・"&amp;VLOOKUP($C13,武器!$1:$998,COLUMN(B$1),FALSE),"")</f>
        <v>アイアン・ランス</v>
      </c>
      <c r="C13" s="24" t="s">
        <v>232</v>
      </c>
      <c r="D13" s="24" t="s">
        <v>257</v>
      </c>
      <c r="E13" t="str">
        <f>IFERROR(VLOOKUP(C13,武器!$1:$998,COLUMN(C$1),FALSE),"")</f>
        <v>武器</v>
      </c>
      <c r="F13">
        <f>IFERROR(ROUNDDOWN((VLOOKUP($C13,武器!$1:$998,COLUMN(D$1),FALSE)+IFERROR(VLOOKUP($CI13,装強!$1:$999,COLUMN(F$1),FALSE),0))*VLOOKUP($D13,素材!$1:$1016,COLUMN(D$1),FALSE),0),"")</f>
        <v>115</v>
      </c>
      <c r="G13">
        <f>IFERROR(ROUNDDOWN((VLOOKUP($C13,武器!$1:$998,COLUMN(E$1),FALSE)+IFERROR(VLOOKUP($CI13,装強!$1:$999,COLUMN(G$1),FALSE),0))*VLOOKUP($D13,素材!$1:$1016,COLUMN($E$1),FALSE),0),"")</f>
        <v>0</v>
      </c>
      <c r="H13">
        <f>IFERROR(ROUNDDOWN((VLOOKUP($C13,武器!$1:$998,COLUMN(F$1),FALSE)+IFERROR(VLOOKUP($CI13,装強!$1:$999,COLUMN(H$1),FALSE),0))*VLOOKUP($D13,素材!$1:$1016,COLUMN($E$1),FALSE),0),"")</f>
        <v>19</v>
      </c>
      <c r="I13">
        <f>IFERROR(ROUNDDOWN((VLOOKUP($C13,武器!$1:$998,COLUMN(G$1),FALSE)+IFERROR(VLOOKUP($CI13,装強!$1:$999,COLUMN(I$1),FALSE),0))*VLOOKUP($D13,素材!$1:$1016,COLUMN($E$1),FALSE),0),"")</f>
        <v>9</v>
      </c>
      <c r="J13">
        <f>IFERROR(ROUNDDOWN((VLOOKUP($C13,武器!$1:$998,COLUMN(H$1),FALSE)+IFERROR(VLOOKUP($CI13,装強!$1:$999,COLUMN(J$1),FALSE),0))*VLOOKUP($D13,素材!$1:$1016,COLUMN($E$1),FALSE),0),"")</f>
        <v>20</v>
      </c>
      <c r="K13">
        <f>IFERROR(ROUNDDOWN((VLOOKUP($C13,武器!$1:$998,COLUMN(I$1),FALSE)+IFERROR(VLOOKUP($CI13,装強!$1:$999,COLUMN(K$1),FALSE),0))*VLOOKUP($D13,素材!$1:$1016,COLUMN($E$1),FALSE),0),"")</f>
        <v>0</v>
      </c>
      <c r="L13">
        <f>IFERROR(VLOOKUP($D13,素材!$1:$1016,COLUMN($F$1),FALSE),"")</f>
        <v>0</v>
      </c>
      <c r="M13">
        <f>IFERROR(VLOOKUP($C13,武器!$1:$998,COLUMN(AA$1),FALSE)*VLOOKUP($D13,素材!$1:$1016,COLUMN($G$1),FALSE),"")</f>
        <v>0</v>
      </c>
      <c r="N13">
        <f>IFERROR(VLOOKUP($C13,武器!$1:$998,COLUMN(I$1),FALSE),"")</f>
        <v>0</v>
      </c>
      <c r="O13" s="23">
        <f>IFERROR((VLOOKUP($C13,武器!$1:$998,COLUMN(K$1),FALSE)+VLOOKUP($D13,素材!$1:$1016,COLUMN(H$1),FALSE))*100+IFERROR(VLOOKUP($CI13,装強!$1:$999,COLUMN(O$1),FALSE),0),"")</f>
        <v>5</v>
      </c>
      <c r="P13" s="23">
        <f>IFERROR((VLOOKUP($C13,武器!$1:$998,COLUMN(L$1),FALSE)+VLOOKUP($D13,素材!$1:$1016,COLUMN(I$1),FALSE))*100+IFERROR(VLOOKUP($CI13,装強!$1:$999,COLUMN(P$1),FALSE),0),"")</f>
        <v>175</v>
      </c>
      <c r="Q13">
        <f>IFERROR(ROUNDUP(VLOOKUP($C13,武器!$1:$998,COLUMN(M$1),FALSE)*(VLOOKUP($D13,素材!$1:$1002,COLUMN(D$1),FALSE)/100),1),"")</f>
        <v>-5</v>
      </c>
      <c r="R13">
        <f>IFERROR(ROUNDUP(VLOOKUP($C13,武器!$1:$998,COLUMN(N$1),FALSE)*(VLOOKUP($D13,素材!$1:$1002,COLUMN(D$1),FALSE)/100),1),"")</f>
        <v>-5</v>
      </c>
      <c r="S13">
        <f>IFERROR(VLOOKUP($C13,武器!$1:$998,COLUMN(P$1),FALSE),"")</f>
        <v>0</v>
      </c>
      <c r="T13">
        <f>IFERROR(VLOOKUP($C13,武器!$1:$998,COLUMN(Q$1),FALSE),"")</f>
        <v>0</v>
      </c>
      <c r="U13">
        <f>IFERROR(VLOOKUP($C13,武器!$1:$998,COLUMN(R$1),FALSE),"")</f>
        <v>0</v>
      </c>
      <c r="V13">
        <f>IFERROR(VLOOKUP($C13,武器!$1:$998,COLUMN(Q$1),FALSE),"")</f>
        <v>0</v>
      </c>
      <c r="W13" t="str">
        <f>IFERROR(VLOOKUP($C13,武器!$1:$998,COLUMN(T$1),FALSE),"")</f>
        <v>A</v>
      </c>
      <c r="Y13" t="str">
        <f>IFERROR(VLOOKUP($C13,武器!$1:$998,COLUMN(U$1),FALSE),"")</f>
        <v>突撃強化</v>
      </c>
      <c r="Z13">
        <f>IFERROR(ROUNDUP(VLOOKUP($C13,武器!$1:$998,COLUMN(O$1),FALSE)*VLOOKUP($D13,素材!$1:$1016,COLUMN(E$1),FALSE),1),"")</f>
        <v>0</v>
      </c>
      <c r="AA13">
        <f>IF(ISNUMBER(SEARCH(SUBSTITUTE(AA$1,RIGHT(AA$1,2),""),VLOOKUP($D13,素材!$1:$1016,COLUMN($F$1),FALSE))),VLOOKUP($C13,武器!$1:$998,COLUMN($O$1),FALSE)*VLOOKUP($D13,素材!$1:$1016,COLUMN($E$1),FALSE)/(LEN(VLOOKUP($D13,素材!$1:$1016,COLUMN($F$1),FALSE)) - LEN(SUBSTITUTE(VLOOKUP($D13,素材!$1:$1016,COLUMN($F$1),FALSE), "・", 0)) + 1), 0)</f>
        <v>0</v>
      </c>
      <c r="AB13">
        <f>IF(ISNUMBER(SEARCH(SUBSTITUTE(AB$1,RIGHT(AB$1,2),""),VLOOKUP($D13,素材!$1:$1016,COLUMN($F$1),FALSE))),VLOOKUP($C13,武器!$1:$998,COLUMN($O$1),FALSE)*VLOOKUP($D13,素材!$1:$1016,COLUMN($E$1),FALSE)/(LEN(VLOOKUP($D13,素材!$1:$1016,COLUMN($F$1),FALSE)) - LEN(SUBSTITUTE(VLOOKUP($D13,素材!$1:$1016,COLUMN($F$1),FALSE), "・", 0)) + 1), 0)</f>
        <v>0</v>
      </c>
      <c r="AC13">
        <f>IF(ISNUMBER(SEARCH(SUBSTITUTE(AC$1,RIGHT(AC$1,2),""),VLOOKUP($D13,素材!$1:$1016,COLUMN($F$1),FALSE))),VLOOKUP($C13,武器!$1:$998,COLUMN($O$1),FALSE)*VLOOKUP($D13,素材!$1:$1016,COLUMN($E$1),FALSE)/(LEN(VLOOKUP($D13,素材!$1:$1016,COLUMN($F$1),FALSE)) - LEN(SUBSTITUTE(VLOOKUP($D13,素材!$1:$1016,COLUMN($F$1),FALSE), "・", 0)) + 1), 0)</f>
        <v>0</v>
      </c>
      <c r="AD13">
        <f>IF(ISNUMBER(SEARCH(SUBSTITUTE(AD$1,RIGHT(AD$1,2),""),VLOOKUP($D13,素材!$1:$1016,COLUMN($F$1),FALSE))),VLOOKUP($C13,武器!$1:$998,COLUMN($O$1),FALSE)*VLOOKUP($D13,素材!$1:$1016,COLUMN($E$1),FALSE)/(LEN(VLOOKUP($D13,素材!$1:$1016,COLUMN($F$1),FALSE)) - LEN(SUBSTITUTE(VLOOKUP($D13,素材!$1:$1016,COLUMN($F$1),FALSE), "・", 0)) + 1), 0)</f>
        <v>0</v>
      </c>
      <c r="AE13">
        <f>IF(ISNUMBER(SEARCH(SUBSTITUTE(AE$1,RIGHT(AE$1,2),""),VLOOKUP($D13,素材!$1:$1016,COLUMN($F$1),FALSE))),VLOOKUP($C13,武器!$1:$998,COLUMN($O$1),FALSE)*VLOOKUP($D13,素材!$1:$1016,COLUMN($E$1),FALSE)/(LEN(VLOOKUP($D13,素材!$1:$1016,COLUMN($F$1),FALSE)) - LEN(SUBSTITUTE(VLOOKUP($D13,素材!$1:$1016,COLUMN($F$1),FALSE), "・", 0)) + 1), 0)</f>
        <v>0</v>
      </c>
      <c r="AF13">
        <f>IF(ISNUMBER(SEARCH(SUBSTITUTE(AF$1,RIGHT(AF$1,2),""),VLOOKUP($D13,素材!$1:$1016,COLUMN($F$1),FALSE))),VLOOKUP($C13,武器!$1:$998,COLUMN($O$1),FALSE)*VLOOKUP($D13,素材!$1:$1016,COLUMN($E$1),FALSE)/(LEN(VLOOKUP($D13,素材!$1:$1016,COLUMN($F$1),FALSE)) - LEN(SUBSTITUTE(VLOOKUP($D13,素材!$1:$1016,COLUMN($F$1),FALSE), "・", 0)) + 1), 0)</f>
        <v>0</v>
      </c>
      <c r="AG13">
        <f>IF(ISNUMBER(SEARCH(SUBSTITUTE(AG$1,RIGHT(AG$1,2),""),VLOOKUP($D13,素材!$1:$1016,COLUMN($F$1),FALSE))),VLOOKUP($C13,武器!$1:$998,COLUMN($O$1),FALSE)*VLOOKUP($D13,素材!$1:$1016,COLUMN($E$1),FALSE)/(LEN(VLOOKUP($D13,素材!$1:$1016,COLUMN($F$1),FALSE)) - LEN(SUBSTITUTE(VLOOKUP($D13,素材!$1:$1016,COLUMN($F$1),FALSE), "・", 0)) + 1), 0)</f>
        <v>0</v>
      </c>
      <c r="AH13">
        <f>IF(ISNUMBER(SEARCH(SUBSTITUTE(AH$1,RIGHT(AH$1,2),""),VLOOKUP($D13,素材!$1:$1016,COLUMN($F$1),FALSE))),VLOOKUP($C13,武器!$1:$998,COLUMN($O$1),FALSE)*VLOOKUP($D13,素材!$1:$1016,COLUMN($E$1),FALSE)/(LEN(VLOOKUP($D13,素材!$1:$1016,COLUMN($F$1),FALSE)) - LEN(SUBSTITUTE(VLOOKUP($D13,素材!$1:$1016,COLUMN($F$1),FALSE), "・", 0)) + 1), 0)</f>
        <v>0</v>
      </c>
      <c r="AI13">
        <f>IF(ISNUMBER(SEARCH(SUBSTITUTE(AI$1,RIGHT(AI$1,2),""),VLOOKUP($D13,素材!$1:$1016,COLUMN($F$1),FALSE))),VLOOKUP($C13,武器!$1:$998,COLUMN($O$1),FALSE)*VLOOKUP($D13,素材!$1:$1016,COLUMN($E$1),FALSE)/(LEN(VLOOKUP($D13,素材!$1:$1016,COLUMN($F$1),FALSE)) - LEN(SUBSTITUTE(VLOOKUP($D13,素材!$1:$1016,COLUMN($F$1),FALSE), "・", 0)) + 1), 0)</f>
        <v>0</v>
      </c>
      <c r="AJ13">
        <f>IF(ISNUMBER(SEARCH(SUBSTITUTE(AJ$1,RIGHT(AJ$1,2),""),VLOOKUP($D13,素材!$1:$1016,COLUMN($F$1),FALSE))),VLOOKUP($C13,武器!$1:$998,COLUMN($O$1),FALSE)*VLOOKUP($D13,素材!$1:$1016,COLUMN($E$1),FALSE)/(LEN(VLOOKUP($D13,素材!$1:$1016,COLUMN($F$1),FALSE)) - LEN(SUBSTITUTE(VLOOKUP($D13,素材!$1:$1016,COLUMN($F$1),FALSE), "・", 0)) + 1), 0)</f>
        <v>0</v>
      </c>
      <c r="AK13">
        <f>IF(ISNUMBER(SEARCH(SUBSTITUTE(AK$1,RIGHT(AK$1,2),""),VLOOKUP($D13,素材!$1:$1016,COLUMN($F$1),FALSE))),VLOOKUP($C13,武器!$1:$998,COLUMN($O$1),FALSE)*VLOOKUP($D13,素材!$1:$1016,COLUMN($E$1),FALSE)/(LEN(VLOOKUP($D13,素材!$1:$1016,COLUMN($F$1),FALSE)) - LEN(SUBSTITUTE(VLOOKUP($D13,素材!$1:$1016,COLUMN($F$1),FALSE), "・", 0)) + 1), 0)</f>
        <v>0</v>
      </c>
      <c r="AL13">
        <f>IF(ISNUMBER(SEARCH(SUBSTITUTE(AL$1,RIGHT(AL$1,2),""),VLOOKUP($D13,素材!$1:$1016,COLUMN($F$1),FALSE))),VLOOKUP($C13,武器!$1:$998,COLUMN($O$1),FALSE)*VLOOKUP($D13,素材!$1:$1016,COLUMN($E$1),FALSE)/(LEN(VLOOKUP($D13,素材!$1:$1016,COLUMN($F$1),FALSE)) - LEN(SUBSTITUTE(VLOOKUP($D13,素材!$1:$1016,COLUMN($F$1),FALSE), "・", 0)) + 1), 0)</f>
        <v>0</v>
      </c>
      <c r="AM13">
        <f>IF(ISNUMBER(SEARCH(SUBSTITUTE(AM$1,RIGHT(AM$1,2),""),VLOOKUP($D13,素材!$1:$1016,COLUMN($F$1),FALSE))),VLOOKUP($C13,武器!$1:$998,COLUMN($O$1),FALSE)*VLOOKUP($D13,素材!$1:$1016,COLUMN($E$1),FALSE)/(LEN(VLOOKUP($D13,素材!$1:$1016,COLUMN($F$1),FALSE)) - LEN(SUBSTITUTE(VLOOKUP($D13,素材!$1:$1016,COLUMN($F$1),FALSE), "・", 0)) + 1), 0)</f>
        <v>0</v>
      </c>
      <c r="AN13">
        <f>IF(ISNUMBER(SEARCH(SUBSTITUTE(AN$1,RIGHT(AN$1,2),""),VLOOKUP($D13,素材!$1:$1016,COLUMN($F$1),FALSE))),VLOOKUP($C13,武器!$1:$998,COLUMN($O$1),FALSE)*VLOOKUP($D13,素材!$1:$1016,COLUMN($E$1),FALSE)/(LEN(VLOOKUP($D13,素材!$1:$1016,COLUMN($F$1),FALSE)) - LEN(SUBSTITUTE(VLOOKUP($D13,素材!$1:$1016,COLUMN($F$1),FALSE), "・", 0)) + 1), 0)</f>
        <v>0</v>
      </c>
      <c r="AO13">
        <f>IF(ISNUMBER(SEARCH(SUBSTITUTE(AO$1,RIGHT(AO$1,2),""),VLOOKUP($D13,素材!$1:$1016,COLUMN($F$1),FALSE))),VLOOKUP($C13,武器!$1:$998,COLUMN($O$1),FALSE)*VLOOKUP($D13,素材!$1:$1016,COLUMN($E$1),FALSE)/(LEN(VLOOKUP($D13,素材!$1:$1016,COLUMN($F$1),FALSE)) - LEN(SUBSTITUTE(VLOOKUP($D13,素材!$1:$1016,COLUMN($F$1),FALSE), "・", 0)) + 1), 0)</f>
        <v>0</v>
      </c>
      <c r="AP13">
        <f>IF(ISNUMBER(SEARCH(SUBSTITUTE(AP$1,RIGHT(AP$1,2),""),VLOOKUP($D13,素材!$1:$1016,COLUMN($F$1),FALSE))),VLOOKUP($C13,武器!$1:$998,COLUMN($O$1),FALSE)*VLOOKUP($D13,素材!$1:$1016,COLUMN($E$1),FALSE)/(LEN(VLOOKUP($D13,素材!$1:$1016,COLUMN($F$1),FALSE)) - LEN(SUBSTITUTE(VLOOKUP($D13,素材!$1:$1016,COLUMN($F$1),FALSE), "・", 0)) + 1), 0)</f>
        <v>0</v>
      </c>
      <c r="AQ13">
        <f>IF(ISNUMBER(SEARCH(SUBSTITUTE(AQ$1,RIGHT(AQ$1,2),""),VLOOKUP($D13,素材!$1:$1016,COLUMN($F$1),FALSE))),VLOOKUP($C13,武器!$1:$998,COLUMN($O$1),FALSE)*VLOOKUP($D13,素材!$1:$1016,COLUMN($E$1),FALSE)/(LEN(VLOOKUP($D13,素材!$1:$1016,COLUMN($F$1),FALSE)) - LEN(SUBSTITUTE(VLOOKUP($D13,素材!$1:$1016,COLUMN($F$1),FALSE), "・", 0)) + 1), 0)</f>
        <v>0</v>
      </c>
      <c r="AR13">
        <f>IF(ISNUMBER(SEARCH(SUBSTITUTE(AR$1,RIGHT(AR$1,2),""),VLOOKUP($D13,素材!$1:$1016,COLUMN($F$1),FALSE))),VLOOKUP($C13,武器!$1:$998,COLUMN($O$1),FALSE)*VLOOKUP($D13,素材!$1:$1016,COLUMN($E$1),FALSE)/(LEN(VLOOKUP($D13,素材!$1:$1016,COLUMN($F$1),FALSE)) - LEN(SUBSTITUTE(VLOOKUP($D13,素材!$1:$1016,COLUMN($F$1),FALSE), "・", 0)) + 1), 0)</f>
        <v>0</v>
      </c>
      <c r="AS13">
        <f>IF(ISNUMBER(SEARCH(SUBSTITUTE(AS$1,RIGHT(AS$1,2),""),VLOOKUP($D13,素材!$1:$1016,COLUMN($F$1),FALSE))),VLOOKUP($C13,武器!$1:$998,COLUMN($O$1),FALSE)*VLOOKUP($D13,素材!$1:$1016,COLUMN($E$1),FALSE)/(LEN(VLOOKUP($D13,素材!$1:$1016,COLUMN($F$1),FALSE)) - LEN(SUBSTITUTE(VLOOKUP($D13,素材!$1:$1016,COLUMN($F$1),FALSE), "・", 0)) + 1), 0)</f>
        <v>0</v>
      </c>
      <c r="AT13">
        <f>IF(ISNUMBER(SEARCH(SUBSTITUTE(AT$1,RIGHT(AT$1,2),""),VLOOKUP($D13,素材!$1:$1016,COLUMN($F$1),FALSE))),VLOOKUP($C13,武器!$1:$998,COLUMN($O$1),FALSE)*VLOOKUP($D13,素材!$1:$1016,COLUMN($E$1),FALSE)/(LEN(VLOOKUP($D13,素材!$1:$1016,COLUMN($F$1),FALSE)) - LEN(SUBSTITUTE(VLOOKUP($D13,素材!$1:$1016,COLUMN($F$1),FALSE), "・", 0)) + 1), 0)</f>
        <v>0</v>
      </c>
      <c r="AU13">
        <f>IF(ISNUMBER(SEARCH(SUBSTITUTE(AU$1,RIGHT(AU$1,2),""),VLOOKUP($D13,素材!$1:$1016,COLUMN($F$1),FALSE))),VLOOKUP($C13,武器!$1:$998,COLUMN($O$1),FALSE)*VLOOKUP($D13,素材!$1:$1016,COLUMN($E$1),FALSE)/(LEN(VLOOKUP($D13,素材!$1:$1016,COLUMN($F$1),FALSE)) - LEN(SUBSTITUTE(VLOOKUP($D13,素材!$1:$1016,COLUMN($F$1),FALSE), "・", 0)) + 1), 0)</f>
        <v>0</v>
      </c>
      <c r="AV13">
        <f>IF(ISNUMBER(SEARCH(SUBSTITUTE(AV$1,RIGHT(AV$1,2),""),VLOOKUP($D13,素材!$1:$1016,COLUMN($F$1),FALSE))),VLOOKUP($C13,武器!$1:$998,COLUMN($O$1),FALSE)*VLOOKUP($D13,素材!$1:$1016,COLUMN($E$1),FALSE)/(LEN(VLOOKUP($D13,素材!$1:$1016,COLUMN($F$1),FALSE)) - LEN(SUBSTITUTE(VLOOKUP($D13,素材!$1:$1016,COLUMN($F$1),FALSE), "・", 0)) + 1), 0)</f>
        <v>0</v>
      </c>
      <c r="AW13">
        <f>IF(ISNUMBER(SEARCH(SUBSTITUTE(AW$1,RIGHT(AW$1,2),""),VLOOKUP($D13,素材!$1:$1016,COLUMN($F$1),FALSE))),VLOOKUP($C13,武器!$1:$998,COLUMN($O$1),FALSE)*VLOOKUP($D13,素材!$1:$1016,COLUMN($E$1),FALSE)/(LEN(VLOOKUP($D13,素材!$1:$1016,COLUMN($F$1),FALSE)) - LEN(SUBSTITUTE(VLOOKUP($D13,素材!$1:$1016,COLUMN($F$1),FALSE), "・", 0)) + 1), 0)</f>
        <v>0</v>
      </c>
      <c r="AX13">
        <f>IF(ISNUMBER(SEARCH(SUBSTITUTE(AX$1,RIGHT(AX$1,2),""),VLOOKUP($D13,素材!$1:$1016,COLUMN($F$1),FALSE))),VLOOKUP($C13,武器!$1:$998,COLUMN($O$1),FALSE)*VLOOKUP($D13,素材!$1:$1016,COLUMN($E$1),FALSE)/(LEN(VLOOKUP($D13,素材!$1:$1016,COLUMN($F$1),FALSE)) - LEN(SUBSTITUTE(VLOOKUP($D13,素材!$1:$1016,COLUMN($F$1),FALSE), "・", 0)) + 1), 0)</f>
        <v>0</v>
      </c>
      <c r="AY13">
        <f>IF(ISNUMBER(SEARCH(SUBSTITUTE(AY$1,RIGHT(AY$1,2),""),VLOOKUP($D13,素材!$1:$1016,COLUMN($F$1),FALSE))),VLOOKUP($C13,武器!$1:$998,COLUMN($O$1),FALSE)*VLOOKUP($D13,素材!$1:$1016,COLUMN($E$1),FALSE)/(LEN(VLOOKUP($D13,素材!$1:$1016,COLUMN($F$1),FALSE)) - LEN(SUBSTITUTE(VLOOKUP($D13,素材!$1:$1016,COLUMN($F$1),FALSE), "・", 0)) + 1), 0)</f>
        <v>0</v>
      </c>
      <c r="AZ13">
        <f>IF(ISNUMBER(SEARCH(SUBSTITUTE(AZ$1,RIGHT(AZ$1,2),""),VLOOKUP($D13,素材!$1:$1016,COLUMN($F$1),FALSE))),VLOOKUP($C13,武器!$1:$998,COLUMN($O$1),FALSE)*VLOOKUP($D13,素材!$1:$1016,COLUMN($E$1),FALSE)/(LEN(VLOOKUP($D13,素材!$1:$1016,COLUMN($F$1),FALSE)) - LEN(SUBSTITUTE(VLOOKUP($D13,素材!$1:$1016,COLUMN($F$1),FALSE), "・", 0)) + 1), 0)</f>
        <v>0</v>
      </c>
      <c r="BA13">
        <f>IF(ISNUMBER(SEARCH(SUBSTITUTE(BA$1,RIGHT(BA$1,2),""),VLOOKUP($D13,素材!$1:$1016,COLUMN($F$1),FALSE))),VLOOKUP($C13,武器!$1:$998,COLUMN($O$1),FALSE)*VLOOKUP($D13,素材!$1:$1016,COLUMN($E$1),FALSE)/(LEN(VLOOKUP($D13,素材!$1:$1016,COLUMN($F$1),FALSE)) - LEN(SUBSTITUTE(VLOOKUP($D13,素材!$1:$1016,COLUMN($F$1),FALSE), "・", 0)) + 1), 0)</f>
        <v>0</v>
      </c>
      <c r="BB13">
        <f>IF(ISNUMBER(SEARCH(SUBSTITUTE(BB$1,RIGHT(BB$1,2),""),VLOOKUP($D13,素材!$1:$1016,COLUMN($F$1),FALSE))),VLOOKUP($C13,武器!$1:$998,COLUMN($O$1),FALSE)*VLOOKUP($D13,素材!$1:$1016,COLUMN($E$1),FALSE)/(LEN(VLOOKUP($D13,素材!$1:$1016,COLUMN($F$1),FALSE)) - LEN(SUBSTITUTE(VLOOKUP($D13,素材!$1:$1016,COLUMN($F$1),FALSE), "・", 0)) + 1), 0)</f>
        <v>0</v>
      </c>
      <c r="BC13">
        <f>IF(ISNUMBER(SEARCH(SUBSTITUTE(BC$1,RIGHT(BC$1,2),""),VLOOKUP($D13,素材!$1:$1016,COLUMN($F$1),FALSE))),VLOOKUP($C13,武器!$1:$998,COLUMN($O$1),FALSE)*VLOOKUP($D13,素材!$1:$1016,COLUMN($E$1),FALSE)/(LEN(VLOOKUP($D13,素材!$1:$1016,COLUMN($F$1),FALSE)) - LEN(SUBSTITUTE(VLOOKUP($D13,素材!$1:$1016,COLUMN($F$1),FALSE), "・", 0)) + 1), 0)</f>
        <v>0</v>
      </c>
      <c r="BD13">
        <f>IF(ISNUMBER(SEARCH(SUBSTITUTE(BD$1,RIGHT(BD$1,2),""),VLOOKUP($D13,素材!$1:$1016,COLUMN($F$1),FALSE))),VLOOKUP($C13,武器!$1:$998,COLUMN($O$1),FALSE)*VLOOKUP($D13,素材!$1:$1016,COLUMN($E$1),FALSE)/(LEN(VLOOKUP($D13,素材!$1:$1016,COLUMN($F$1),FALSE)) - LEN(SUBSTITUTE(VLOOKUP($D13,素材!$1:$1016,COLUMN($F$1),FALSE), "・", 0)) + 1), 0)</f>
        <v>0</v>
      </c>
      <c r="BE13">
        <f>IF(ISNUMBER(SEARCH(SUBSTITUTE(BE$1,RIGHT(BE$1,2),""),VLOOKUP($D13,素材!$1:$1016,COLUMN($F$1),FALSE))),VLOOKUP($C13,武器!$1:$998,COLUMN($O$1),FALSE)*VLOOKUP($D13,素材!$1:$1016,COLUMN($E$1),FALSE)/(LEN(VLOOKUP($D13,素材!$1:$1016,COLUMN($F$1),FALSE)) - LEN(SUBSTITUTE(VLOOKUP($D13,素材!$1:$1016,COLUMN($F$1),FALSE), "・", 0)) + 1), 0)</f>
        <v>0</v>
      </c>
      <c r="CL13">
        <f>SUM(G13:I13)</f>
        <v>28</v>
      </c>
      <c r="CM13" s="22" t="str">
        <f>IF(E13="武器",IF(J13-1&gt;SUM(G13:I13),"盾",IF(MAX(G13:I13)=G13,"切断",IF(MAX(G13:I13)=H13,"貫通",IF(MAX(G13:I13)=I13,"打撃","射撃")))),E13)&amp;".webp"</f>
        <v>貫通.webp</v>
      </c>
      <c r="CN13">
        <f>IFERROR(VLOOKUP($C13,武器!$1:$998,COLUMN(V$1),FALSE)*VLOOKUP($D13,素材!$1:$1016,COLUMN(N$1),FALSE)+IF(CI13="",0,VLOOKUP($CI13,装強!$1:$1008,COLUMN($CK$1),FALSE)),"")</f>
        <v>600</v>
      </c>
      <c r="CO13" t="str">
        <f>VLOOKUP(D13,素材!$A:$O,COLUMN(素材!O$1),FALSE)</f>
        <v>一般的な鉄。量産品を作るのに使用されることが多い</v>
      </c>
      <c r="CP13" t="str">
        <f>VLOOKUP(C13,武器!$A:$W,COLUMN(武器!W$1),FALSE)</f>
        <v>騎士槍。突撃に特化した武器で、高い攻撃力を誇る。</v>
      </c>
      <c r="CR13" t="str">
        <f t="shared" si="1"/>
        <v>e_13</v>
      </c>
      <c r="CS13">
        <f t="shared" si="2"/>
        <v>60000</v>
      </c>
    </row>
    <row r="14" spans="1:97" outlineLevel="1" x14ac:dyDescent="0.4">
      <c r="A14" t="str">
        <f t="shared" si="0"/>
        <v>鉄の斧槍</v>
      </c>
      <c r="B14" t="str">
        <f>IFERROR(VLOOKUP($D14,素材!$1:$1016,COLUMN($B$1),FALSE)&amp;"・"&amp;VLOOKUP($C14,武器!$1:$998,COLUMN(B$1),FALSE),"")</f>
        <v>アイアン・ハルバート</v>
      </c>
      <c r="C14" s="24" t="s">
        <v>231</v>
      </c>
      <c r="D14" s="24" t="s">
        <v>257</v>
      </c>
      <c r="E14" t="str">
        <f>IFERROR(VLOOKUP(C14,武器!$1:$998,COLUMN(C$1),FALSE),"")</f>
        <v>武器</v>
      </c>
      <c r="F14">
        <f>IFERROR(ROUNDDOWN((VLOOKUP($C14,武器!$1:$998,COLUMN(D$1),FALSE)+IFERROR(VLOOKUP($CI14,装強!$1:$999,COLUMN(F$1),FALSE),0))*VLOOKUP($D14,素材!$1:$1016,COLUMN(D$1),FALSE),0),"")</f>
        <v>110</v>
      </c>
      <c r="G14">
        <f>IFERROR(ROUNDDOWN((VLOOKUP($C14,武器!$1:$998,COLUMN(E$1),FALSE)+IFERROR(VLOOKUP($CI14,装強!$1:$999,COLUMN(G$1),FALSE),0))*VLOOKUP($D14,素材!$1:$1016,COLUMN($E$1),FALSE),0),"")</f>
        <v>8</v>
      </c>
      <c r="H14">
        <f>IFERROR(ROUNDDOWN((VLOOKUP($C14,武器!$1:$998,COLUMN(F$1),FALSE)+IFERROR(VLOOKUP($CI14,装強!$1:$999,COLUMN(H$1),FALSE),0))*VLOOKUP($D14,素材!$1:$1016,COLUMN($E$1),FALSE),0),"")</f>
        <v>10</v>
      </c>
      <c r="I14">
        <f>IFERROR(ROUNDDOWN((VLOOKUP($C14,武器!$1:$998,COLUMN(G$1),FALSE)+IFERROR(VLOOKUP($CI14,装強!$1:$999,COLUMN(I$1),FALSE),0))*VLOOKUP($D14,素材!$1:$1016,COLUMN($E$1),FALSE),0),"")</f>
        <v>6</v>
      </c>
      <c r="J14">
        <f>IFERROR(ROUNDDOWN((VLOOKUP($C14,武器!$1:$998,COLUMN(H$1),FALSE)+IFERROR(VLOOKUP($CI14,装強!$1:$999,COLUMN(J$1),FALSE),0))*VLOOKUP($D14,素材!$1:$1016,COLUMN($E$1),FALSE),0),"")</f>
        <v>19</v>
      </c>
      <c r="K14">
        <f>IFERROR(ROUNDDOWN((VLOOKUP($C14,武器!$1:$998,COLUMN(I$1),FALSE)+IFERROR(VLOOKUP($CI14,装強!$1:$999,COLUMN(K$1),FALSE),0))*VLOOKUP($D14,素材!$1:$1016,COLUMN($E$1),FALSE),0),"")</f>
        <v>0</v>
      </c>
      <c r="L14">
        <f>IFERROR(VLOOKUP($D14,素材!$1:$1016,COLUMN($F$1),FALSE),"")</f>
        <v>0</v>
      </c>
      <c r="M14">
        <f>IFERROR(VLOOKUP($C14,武器!$1:$998,COLUMN(AA$1),FALSE)*VLOOKUP($D14,素材!$1:$1016,COLUMN($G$1),FALSE),"")</f>
        <v>0</v>
      </c>
      <c r="N14">
        <f>IFERROR(VLOOKUP($C14,武器!$1:$998,COLUMN(I$1),FALSE),"")</f>
        <v>0</v>
      </c>
      <c r="O14" s="23">
        <f>IFERROR((VLOOKUP($C14,武器!$1:$998,COLUMN(K$1),FALSE)+VLOOKUP($D14,素材!$1:$1016,COLUMN(H$1),FALSE))*100+IFERROR(VLOOKUP($CI14,装強!$1:$999,COLUMN(O$1),FALSE),0),"")</f>
        <v>10</v>
      </c>
      <c r="P14" s="23">
        <f>IFERROR((VLOOKUP($C14,武器!$1:$998,COLUMN(L$1),FALSE)+VLOOKUP($D14,素材!$1:$1016,COLUMN(I$1),FALSE))*100+IFERROR(VLOOKUP($CI14,装強!$1:$999,COLUMN(P$1),FALSE),0),"")</f>
        <v>150</v>
      </c>
      <c r="Q14">
        <f>IFERROR(ROUNDUP(VLOOKUP($C14,武器!$1:$998,COLUMN(M$1),FALSE)*(VLOOKUP($D14,素材!$1:$1002,COLUMN(D$1),FALSE)/100),1),"")</f>
        <v>-5</v>
      </c>
      <c r="R14">
        <f>IFERROR(ROUNDUP(VLOOKUP($C14,武器!$1:$998,COLUMN(N$1),FALSE)*(VLOOKUP($D14,素材!$1:$1002,COLUMN(D$1),FALSE)/100),1),"")</f>
        <v>-5</v>
      </c>
      <c r="S14">
        <f>IFERROR(VLOOKUP($C14,武器!$1:$998,COLUMN(P$1),FALSE),"")</f>
        <v>0</v>
      </c>
      <c r="T14">
        <f>IFERROR(VLOOKUP($C14,武器!$1:$998,COLUMN(Q$1),FALSE),"")</f>
        <v>0</v>
      </c>
      <c r="U14">
        <f>IFERROR(VLOOKUP($C14,武器!$1:$998,COLUMN(R$1),FALSE),"")</f>
        <v>0</v>
      </c>
      <c r="V14">
        <f>IFERROR(VLOOKUP($C14,武器!$1:$998,COLUMN(Q$1),FALSE),"")</f>
        <v>0</v>
      </c>
      <c r="W14" t="str">
        <f>IFERROR(VLOOKUP($C14,武器!$1:$998,COLUMN(T$1),FALSE),"")</f>
        <v>A</v>
      </c>
      <c r="Y14">
        <f>IFERROR(VLOOKUP($C14,武器!$1:$998,COLUMN(U$1),FALSE),"")</f>
        <v>0</v>
      </c>
      <c r="Z14">
        <f>IFERROR(ROUNDUP(VLOOKUP($C14,武器!$1:$998,COLUMN(O$1),FALSE)*VLOOKUP($D14,素材!$1:$1016,COLUMN(E$1),FALSE),1),"")</f>
        <v>0</v>
      </c>
      <c r="AA14">
        <f>IF(ISNUMBER(SEARCH(SUBSTITUTE(AA$1,RIGHT(AA$1,2),""),VLOOKUP($D14,素材!$1:$1016,COLUMN($F$1),FALSE))),VLOOKUP($C14,武器!$1:$998,COLUMN($O$1),FALSE)*VLOOKUP($D14,素材!$1:$1016,COLUMN($E$1),FALSE)/(LEN(VLOOKUP($D14,素材!$1:$1016,COLUMN($F$1),FALSE)) - LEN(SUBSTITUTE(VLOOKUP($D14,素材!$1:$1016,COLUMN($F$1),FALSE), "・", 0)) + 1), 0)</f>
        <v>0</v>
      </c>
      <c r="AB14">
        <f>IF(ISNUMBER(SEARCH(SUBSTITUTE(AB$1,RIGHT(AB$1,2),""),VLOOKUP($D14,素材!$1:$1016,COLUMN($F$1),FALSE))),VLOOKUP($C14,武器!$1:$998,COLUMN($O$1),FALSE)*VLOOKUP($D14,素材!$1:$1016,COLUMN($E$1),FALSE)/(LEN(VLOOKUP($D14,素材!$1:$1016,COLUMN($F$1),FALSE)) - LEN(SUBSTITUTE(VLOOKUP($D14,素材!$1:$1016,COLUMN($F$1),FALSE), "・", 0)) + 1), 0)</f>
        <v>0</v>
      </c>
      <c r="AC14">
        <f>IF(ISNUMBER(SEARCH(SUBSTITUTE(AC$1,RIGHT(AC$1,2),""),VLOOKUP($D14,素材!$1:$1016,COLUMN($F$1),FALSE))),VLOOKUP($C14,武器!$1:$998,COLUMN($O$1),FALSE)*VLOOKUP($D14,素材!$1:$1016,COLUMN($E$1),FALSE)/(LEN(VLOOKUP($D14,素材!$1:$1016,COLUMN($F$1),FALSE)) - LEN(SUBSTITUTE(VLOOKUP($D14,素材!$1:$1016,COLUMN($F$1),FALSE), "・", 0)) + 1), 0)</f>
        <v>0</v>
      </c>
      <c r="AD14">
        <f>IF(ISNUMBER(SEARCH(SUBSTITUTE(AD$1,RIGHT(AD$1,2),""),VLOOKUP($D14,素材!$1:$1016,COLUMN($F$1),FALSE))),VLOOKUP($C14,武器!$1:$998,COLUMN($O$1),FALSE)*VLOOKUP($D14,素材!$1:$1016,COLUMN($E$1),FALSE)/(LEN(VLOOKUP($D14,素材!$1:$1016,COLUMN($F$1),FALSE)) - LEN(SUBSTITUTE(VLOOKUP($D14,素材!$1:$1016,COLUMN($F$1),FALSE), "・", 0)) + 1), 0)</f>
        <v>0</v>
      </c>
      <c r="AE14">
        <f>IF(ISNUMBER(SEARCH(SUBSTITUTE(AE$1,RIGHT(AE$1,2),""),VLOOKUP($D14,素材!$1:$1016,COLUMN($F$1),FALSE))),VLOOKUP($C14,武器!$1:$998,COLUMN($O$1),FALSE)*VLOOKUP($D14,素材!$1:$1016,COLUMN($E$1),FALSE)/(LEN(VLOOKUP($D14,素材!$1:$1016,COLUMN($F$1),FALSE)) - LEN(SUBSTITUTE(VLOOKUP($D14,素材!$1:$1016,COLUMN($F$1),FALSE), "・", 0)) + 1), 0)</f>
        <v>0</v>
      </c>
      <c r="AF14">
        <f>IF(ISNUMBER(SEARCH(SUBSTITUTE(AF$1,RIGHT(AF$1,2),""),VLOOKUP($D14,素材!$1:$1016,COLUMN($F$1),FALSE))),VLOOKUP($C14,武器!$1:$998,COLUMN($O$1),FALSE)*VLOOKUP($D14,素材!$1:$1016,COLUMN($E$1),FALSE)/(LEN(VLOOKUP($D14,素材!$1:$1016,COLUMN($F$1),FALSE)) - LEN(SUBSTITUTE(VLOOKUP($D14,素材!$1:$1016,COLUMN($F$1),FALSE), "・", 0)) + 1), 0)</f>
        <v>0</v>
      </c>
      <c r="AG14">
        <f>IF(ISNUMBER(SEARCH(SUBSTITUTE(AG$1,RIGHT(AG$1,2),""),VLOOKUP($D14,素材!$1:$1016,COLUMN($F$1),FALSE))),VLOOKUP($C14,武器!$1:$998,COLUMN($O$1),FALSE)*VLOOKUP($D14,素材!$1:$1016,COLUMN($E$1),FALSE)/(LEN(VLOOKUP($D14,素材!$1:$1016,COLUMN($F$1),FALSE)) - LEN(SUBSTITUTE(VLOOKUP($D14,素材!$1:$1016,COLUMN($F$1),FALSE), "・", 0)) + 1), 0)</f>
        <v>0</v>
      </c>
      <c r="AH14">
        <f>IF(ISNUMBER(SEARCH(SUBSTITUTE(AH$1,RIGHT(AH$1,2),""),VLOOKUP($D14,素材!$1:$1016,COLUMN($F$1),FALSE))),VLOOKUP($C14,武器!$1:$998,COLUMN($O$1),FALSE)*VLOOKUP($D14,素材!$1:$1016,COLUMN($E$1),FALSE)/(LEN(VLOOKUP($D14,素材!$1:$1016,COLUMN($F$1),FALSE)) - LEN(SUBSTITUTE(VLOOKUP($D14,素材!$1:$1016,COLUMN($F$1),FALSE), "・", 0)) + 1), 0)</f>
        <v>0</v>
      </c>
      <c r="AI14">
        <f>IF(ISNUMBER(SEARCH(SUBSTITUTE(AI$1,RIGHT(AI$1,2),""),VLOOKUP($D14,素材!$1:$1016,COLUMN($F$1),FALSE))),VLOOKUP($C14,武器!$1:$998,COLUMN($O$1),FALSE)*VLOOKUP($D14,素材!$1:$1016,COLUMN($E$1),FALSE)/(LEN(VLOOKUP($D14,素材!$1:$1016,COLUMN($F$1),FALSE)) - LEN(SUBSTITUTE(VLOOKUP($D14,素材!$1:$1016,COLUMN($F$1),FALSE), "・", 0)) + 1), 0)</f>
        <v>0</v>
      </c>
      <c r="AJ14">
        <f>IF(ISNUMBER(SEARCH(SUBSTITUTE(AJ$1,RIGHT(AJ$1,2),""),VLOOKUP($D14,素材!$1:$1016,COLUMN($F$1),FALSE))),VLOOKUP($C14,武器!$1:$998,COLUMN($O$1),FALSE)*VLOOKUP($D14,素材!$1:$1016,COLUMN($E$1),FALSE)/(LEN(VLOOKUP($D14,素材!$1:$1016,COLUMN($F$1),FALSE)) - LEN(SUBSTITUTE(VLOOKUP($D14,素材!$1:$1016,COLUMN($F$1),FALSE), "・", 0)) + 1), 0)</f>
        <v>0</v>
      </c>
      <c r="AK14">
        <f>IF(ISNUMBER(SEARCH(SUBSTITUTE(AK$1,RIGHT(AK$1,2),""),VLOOKUP($D14,素材!$1:$1016,COLUMN($F$1),FALSE))),VLOOKUP($C14,武器!$1:$998,COLUMN($O$1),FALSE)*VLOOKUP($D14,素材!$1:$1016,COLUMN($E$1),FALSE)/(LEN(VLOOKUP($D14,素材!$1:$1016,COLUMN($F$1),FALSE)) - LEN(SUBSTITUTE(VLOOKUP($D14,素材!$1:$1016,COLUMN($F$1),FALSE), "・", 0)) + 1), 0)</f>
        <v>0</v>
      </c>
      <c r="AL14">
        <f>IF(ISNUMBER(SEARCH(SUBSTITUTE(AL$1,RIGHT(AL$1,2),""),VLOOKUP($D14,素材!$1:$1016,COLUMN($F$1),FALSE))),VLOOKUP($C14,武器!$1:$998,COLUMN($O$1),FALSE)*VLOOKUP($D14,素材!$1:$1016,COLUMN($E$1),FALSE)/(LEN(VLOOKUP($D14,素材!$1:$1016,COLUMN($F$1),FALSE)) - LEN(SUBSTITUTE(VLOOKUP($D14,素材!$1:$1016,COLUMN($F$1),FALSE), "・", 0)) + 1), 0)</f>
        <v>0</v>
      </c>
      <c r="AM14">
        <f>IF(ISNUMBER(SEARCH(SUBSTITUTE(AM$1,RIGHT(AM$1,2),""),VLOOKUP($D14,素材!$1:$1016,COLUMN($F$1),FALSE))),VLOOKUP($C14,武器!$1:$998,COLUMN($O$1),FALSE)*VLOOKUP($D14,素材!$1:$1016,COLUMN($E$1),FALSE)/(LEN(VLOOKUP($D14,素材!$1:$1016,COLUMN($F$1),FALSE)) - LEN(SUBSTITUTE(VLOOKUP($D14,素材!$1:$1016,COLUMN($F$1),FALSE), "・", 0)) + 1), 0)</f>
        <v>0</v>
      </c>
      <c r="AN14">
        <f>IF(ISNUMBER(SEARCH(SUBSTITUTE(AN$1,RIGHT(AN$1,2),""),VLOOKUP($D14,素材!$1:$1016,COLUMN($F$1),FALSE))),VLOOKUP($C14,武器!$1:$998,COLUMN($O$1),FALSE)*VLOOKUP($D14,素材!$1:$1016,COLUMN($E$1),FALSE)/(LEN(VLOOKUP($D14,素材!$1:$1016,COLUMN($F$1),FALSE)) - LEN(SUBSTITUTE(VLOOKUP($D14,素材!$1:$1016,COLUMN($F$1),FALSE), "・", 0)) + 1), 0)</f>
        <v>0</v>
      </c>
      <c r="AO14">
        <f>IF(ISNUMBER(SEARCH(SUBSTITUTE(AO$1,RIGHT(AO$1,2),""),VLOOKUP($D14,素材!$1:$1016,COLUMN($F$1),FALSE))),VLOOKUP($C14,武器!$1:$998,COLUMN($O$1),FALSE)*VLOOKUP($D14,素材!$1:$1016,COLUMN($E$1),FALSE)/(LEN(VLOOKUP($D14,素材!$1:$1016,COLUMN($F$1),FALSE)) - LEN(SUBSTITUTE(VLOOKUP($D14,素材!$1:$1016,COLUMN($F$1),FALSE), "・", 0)) + 1), 0)</f>
        <v>0</v>
      </c>
      <c r="AP14">
        <f>IF(ISNUMBER(SEARCH(SUBSTITUTE(AP$1,RIGHT(AP$1,2),""),VLOOKUP($D14,素材!$1:$1016,COLUMN($F$1),FALSE))),VLOOKUP($C14,武器!$1:$998,COLUMN($O$1),FALSE)*VLOOKUP($D14,素材!$1:$1016,COLUMN($E$1),FALSE)/(LEN(VLOOKUP($D14,素材!$1:$1016,COLUMN($F$1),FALSE)) - LEN(SUBSTITUTE(VLOOKUP($D14,素材!$1:$1016,COLUMN($F$1),FALSE), "・", 0)) + 1), 0)</f>
        <v>0</v>
      </c>
      <c r="AQ14">
        <f>IF(ISNUMBER(SEARCH(SUBSTITUTE(AQ$1,RIGHT(AQ$1,2),""),VLOOKUP($D14,素材!$1:$1016,COLUMN($F$1),FALSE))),VLOOKUP($C14,武器!$1:$998,COLUMN($O$1),FALSE)*VLOOKUP($D14,素材!$1:$1016,COLUMN($E$1),FALSE)/(LEN(VLOOKUP($D14,素材!$1:$1016,COLUMN($F$1),FALSE)) - LEN(SUBSTITUTE(VLOOKUP($D14,素材!$1:$1016,COLUMN($F$1),FALSE), "・", 0)) + 1), 0)</f>
        <v>0</v>
      </c>
      <c r="AR14">
        <f>IF(ISNUMBER(SEARCH(SUBSTITUTE(AR$1,RIGHT(AR$1,2),""),VLOOKUP($D14,素材!$1:$1016,COLUMN($F$1),FALSE))),VLOOKUP($C14,武器!$1:$998,COLUMN($O$1),FALSE)*VLOOKUP($D14,素材!$1:$1016,COLUMN($E$1),FALSE)/(LEN(VLOOKUP($D14,素材!$1:$1016,COLUMN($F$1),FALSE)) - LEN(SUBSTITUTE(VLOOKUP($D14,素材!$1:$1016,COLUMN($F$1),FALSE), "・", 0)) + 1), 0)</f>
        <v>0</v>
      </c>
      <c r="AS14">
        <f>IF(ISNUMBER(SEARCH(SUBSTITUTE(AS$1,RIGHT(AS$1,2),""),VLOOKUP($D14,素材!$1:$1016,COLUMN($F$1),FALSE))),VLOOKUP($C14,武器!$1:$998,COLUMN($O$1),FALSE)*VLOOKUP($D14,素材!$1:$1016,COLUMN($E$1),FALSE)/(LEN(VLOOKUP($D14,素材!$1:$1016,COLUMN($F$1),FALSE)) - LEN(SUBSTITUTE(VLOOKUP($D14,素材!$1:$1016,COLUMN($F$1),FALSE), "・", 0)) + 1), 0)</f>
        <v>0</v>
      </c>
      <c r="AT14">
        <f>IF(ISNUMBER(SEARCH(SUBSTITUTE(AT$1,RIGHT(AT$1,2),""),VLOOKUP($D14,素材!$1:$1016,COLUMN($F$1),FALSE))),VLOOKUP($C14,武器!$1:$998,COLUMN($O$1),FALSE)*VLOOKUP($D14,素材!$1:$1016,COLUMN($E$1),FALSE)/(LEN(VLOOKUP($D14,素材!$1:$1016,COLUMN($F$1),FALSE)) - LEN(SUBSTITUTE(VLOOKUP($D14,素材!$1:$1016,COLUMN($F$1),FALSE), "・", 0)) + 1), 0)</f>
        <v>0</v>
      </c>
      <c r="AU14">
        <f>IF(ISNUMBER(SEARCH(SUBSTITUTE(AU$1,RIGHT(AU$1,2),""),VLOOKUP($D14,素材!$1:$1016,COLUMN($F$1),FALSE))),VLOOKUP($C14,武器!$1:$998,COLUMN($O$1),FALSE)*VLOOKUP($D14,素材!$1:$1016,COLUMN($E$1),FALSE)/(LEN(VLOOKUP($D14,素材!$1:$1016,COLUMN($F$1),FALSE)) - LEN(SUBSTITUTE(VLOOKUP($D14,素材!$1:$1016,COLUMN($F$1),FALSE), "・", 0)) + 1), 0)</f>
        <v>0</v>
      </c>
      <c r="AV14">
        <f>IF(ISNUMBER(SEARCH(SUBSTITUTE(AV$1,RIGHT(AV$1,2),""),VLOOKUP($D14,素材!$1:$1016,COLUMN($F$1),FALSE))),VLOOKUP($C14,武器!$1:$998,COLUMN($O$1),FALSE)*VLOOKUP($D14,素材!$1:$1016,COLUMN($E$1),FALSE)/(LEN(VLOOKUP($D14,素材!$1:$1016,COLUMN($F$1),FALSE)) - LEN(SUBSTITUTE(VLOOKUP($D14,素材!$1:$1016,COLUMN($F$1),FALSE), "・", 0)) + 1), 0)</f>
        <v>0</v>
      </c>
      <c r="AW14">
        <f>IF(ISNUMBER(SEARCH(SUBSTITUTE(AW$1,RIGHT(AW$1,2),""),VLOOKUP($D14,素材!$1:$1016,COLUMN($F$1),FALSE))),VLOOKUP($C14,武器!$1:$998,COLUMN($O$1),FALSE)*VLOOKUP($D14,素材!$1:$1016,COLUMN($E$1),FALSE)/(LEN(VLOOKUP($D14,素材!$1:$1016,COLUMN($F$1),FALSE)) - LEN(SUBSTITUTE(VLOOKUP($D14,素材!$1:$1016,COLUMN($F$1),FALSE), "・", 0)) + 1), 0)</f>
        <v>0</v>
      </c>
      <c r="AX14">
        <f>IF(ISNUMBER(SEARCH(SUBSTITUTE(AX$1,RIGHT(AX$1,2),""),VLOOKUP($D14,素材!$1:$1016,COLUMN($F$1),FALSE))),VLOOKUP($C14,武器!$1:$998,COLUMN($O$1),FALSE)*VLOOKUP($D14,素材!$1:$1016,COLUMN($E$1),FALSE)/(LEN(VLOOKUP($D14,素材!$1:$1016,COLUMN($F$1),FALSE)) - LEN(SUBSTITUTE(VLOOKUP($D14,素材!$1:$1016,COLUMN($F$1),FALSE), "・", 0)) + 1), 0)</f>
        <v>0</v>
      </c>
      <c r="AY14">
        <f>IF(ISNUMBER(SEARCH(SUBSTITUTE(AY$1,RIGHT(AY$1,2),""),VLOOKUP($D14,素材!$1:$1016,COLUMN($F$1),FALSE))),VLOOKUP($C14,武器!$1:$998,COLUMN($O$1),FALSE)*VLOOKUP($D14,素材!$1:$1016,COLUMN($E$1),FALSE)/(LEN(VLOOKUP($D14,素材!$1:$1016,COLUMN($F$1),FALSE)) - LEN(SUBSTITUTE(VLOOKUP($D14,素材!$1:$1016,COLUMN($F$1),FALSE), "・", 0)) + 1), 0)</f>
        <v>0</v>
      </c>
      <c r="AZ14">
        <f>IF(ISNUMBER(SEARCH(SUBSTITUTE(AZ$1,RIGHT(AZ$1,2),""),VLOOKUP($D14,素材!$1:$1016,COLUMN($F$1),FALSE))),VLOOKUP($C14,武器!$1:$998,COLUMN($O$1),FALSE)*VLOOKUP($D14,素材!$1:$1016,COLUMN($E$1),FALSE)/(LEN(VLOOKUP($D14,素材!$1:$1016,COLUMN($F$1),FALSE)) - LEN(SUBSTITUTE(VLOOKUP($D14,素材!$1:$1016,COLUMN($F$1),FALSE), "・", 0)) + 1), 0)</f>
        <v>0</v>
      </c>
      <c r="BA14">
        <f>IF(ISNUMBER(SEARCH(SUBSTITUTE(BA$1,RIGHT(BA$1,2),""),VLOOKUP($D14,素材!$1:$1016,COLUMN($F$1),FALSE))),VLOOKUP($C14,武器!$1:$998,COLUMN($O$1),FALSE)*VLOOKUP($D14,素材!$1:$1016,COLUMN($E$1),FALSE)/(LEN(VLOOKUP($D14,素材!$1:$1016,COLUMN($F$1),FALSE)) - LEN(SUBSTITUTE(VLOOKUP($D14,素材!$1:$1016,COLUMN($F$1),FALSE), "・", 0)) + 1), 0)</f>
        <v>0</v>
      </c>
      <c r="BB14">
        <f>IF(ISNUMBER(SEARCH(SUBSTITUTE(BB$1,RIGHT(BB$1,2),""),VLOOKUP($D14,素材!$1:$1016,COLUMN($F$1),FALSE))),VLOOKUP($C14,武器!$1:$998,COLUMN($O$1),FALSE)*VLOOKUP($D14,素材!$1:$1016,COLUMN($E$1),FALSE)/(LEN(VLOOKUP($D14,素材!$1:$1016,COLUMN($F$1),FALSE)) - LEN(SUBSTITUTE(VLOOKUP($D14,素材!$1:$1016,COLUMN($F$1),FALSE), "・", 0)) + 1), 0)</f>
        <v>0</v>
      </c>
      <c r="BC14">
        <f>IF(ISNUMBER(SEARCH(SUBSTITUTE(BC$1,RIGHT(BC$1,2),""),VLOOKUP($D14,素材!$1:$1016,COLUMN($F$1),FALSE))),VLOOKUP($C14,武器!$1:$998,COLUMN($O$1),FALSE)*VLOOKUP($D14,素材!$1:$1016,COLUMN($E$1),FALSE)/(LEN(VLOOKUP($D14,素材!$1:$1016,COLUMN($F$1),FALSE)) - LEN(SUBSTITUTE(VLOOKUP($D14,素材!$1:$1016,COLUMN($F$1),FALSE), "・", 0)) + 1), 0)</f>
        <v>0</v>
      </c>
      <c r="BD14">
        <f>IF(ISNUMBER(SEARCH(SUBSTITUTE(BD$1,RIGHT(BD$1,2),""),VLOOKUP($D14,素材!$1:$1016,COLUMN($F$1),FALSE))),VLOOKUP($C14,武器!$1:$998,COLUMN($O$1),FALSE)*VLOOKUP($D14,素材!$1:$1016,COLUMN($E$1),FALSE)/(LEN(VLOOKUP($D14,素材!$1:$1016,COLUMN($F$1),FALSE)) - LEN(SUBSTITUTE(VLOOKUP($D14,素材!$1:$1016,COLUMN($F$1),FALSE), "・", 0)) + 1), 0)</f>
        <v>0</v>
      </c>
      <c r="BE14">
        <f>IF(ISNUMBER(SEARCH(SUBSTITUTE(BE$1,RIGHT(BE$1,2),""),VLOOKUP($D14,素材!$1:$1016,COLUMN($F$1),FALSE))),VLOOKUP($C14,武器!$1:$998,COLUMN($O$1),FALSE)*VLOOKUP($D14,素材!$1:$1016,COLUMN($E$1),FALSE)/(LEN(VLOOKUP($D14,素材!$1:$1016,COLUMN($F$1),FALSE)) - LEN(SUBSTITUTE(VLOOKUP($D14,素材!$1:$1016,COLUMN($F$1),FALSE), "・", 0)) + 1), 0)</f>
        <v>0</v>
      </c>
      <c r="CL14">
        <f>SUM(G14:I14)</f>
        <v>24</v>
      </c>
      <c r="CM14" s="22" t="str">
        <f>IF(E14="武器",IF(J14-1&gt;SUM(G14:I14),"盾",IF(MAX(G14:I14)=G14,"切断",IF(MAX(G14:I14)=H14,"貫通",IF(MAX(G14:I14)=I14,"打撃","射撃")))),E14)&amp;".webp"</f>
        <v>貫通.webp</v>
      </c>
      <c r="CN14">
        <f>IFERROR(VLOOKUP($C14,武器!$1:$998,COLUMN(V$1),FALSE)*VLOOKUP($D14,素材!$1:$1016,COLUMN(N$1),FALSE)+IF(CI14="",0,VLOOKUP($CI14,装強!$1:$1008,COLUMN($CK$1),FALSE)),"")</f>
        <v>500</v>
      </c>
      <c r="CO14" t="str">
        <f>VLOOKUP(D14,素材!$A:$O,COLUMN(素材!O$1),FALSE)</f>
        <v>一般的な鉄。量産品を作るのに使用されることが多い</v>
      </c>
      <c r="CP14" t="str">
        <f>VLOOKUP(C14,武器!$A:$W,COLUMN(武器!W$1),FALSE)</f>
        <v>斧槍。全力時に威力が高く斬撃と突撃の両方に対応できる武器。</v>
      </c>
      <c r="CR14" t="str">
        <f t="shared" si="1"/>
        <v>e_14</v>
      </c>
      <c r="CS14">
        <f t="shared" si="2"/>
        <v>50000</v>
      </c>
    </row>
    <row r="15" spans="1:97" outlineLevel="1" x14ac:dyDescent="0.4">
      <c r="A15" t="str">
        <f t="shared" si="0"/>
        <v>鉄の棍棒</v>
      </c>
      <c r="B15" t="str">
        <f>IFERROR(VLOOKUP($D15,素材!$1:$1016,COLUMN($B$1),FALSE)&amp;"・"&amp;VLOOKUP($C15,武器!$1:$998,COLUMN(B$1),FALSE),"")</f>
        <v>アイアン・クラブ</v>
      </c>
      <c r="C15" s="24" t="s">
        <v>230</v>
      </c>
      <c r="D15" s="24" t="s">
        <v>257</v>
      </c>
      <c r="E15" t="str">
        <f>IFERROR(VLOOKUP(C15,武器!$1:$998,COLUMN(C$1),FALSE),"")</f>
        <v>武器</v>
      </c>
      <c r="F15">
        <f>IFERROR(ROUNDDOWN((VLOOKUP($C15,武器!$1:$998,COLUMN(D$1),FALSE)+IFERROR(VLOOKUP($CI15,装強!$1:$999,COLUMN(F$1),FALSE),0))*VLOOKUP($D15,素材!$1:$1016,COLUMN(D$1),FALSE),0),"")</f>
        <v>105</v>
      </c>
      <c r="G15">
        <f>IFERROR(ROUNDDOWN((VLOOKUP($C15,武器!$1:$998,COLUMN(E$1),FALSE)+IFERROR(VLOOKUP($CI15,装強!$1:$999,COLUMN(G$1),FALSE),0))*VLOOKUP($D15,素材!$1:$1016,COLUMN($E$1),FALSE),0),"")</f>
        <v>2</v>
      </c>
      <c r="H15">
        <f>IFERROR(ROUNDDOWN((VLOOKUP($C15,武器!$1:$998,COLUMN(F$1),FALSE)+IFERROR(VLOOKUP($CI15,装強!$1:$999,COLUMN(H$1),FALSE),0))*VLOOKUP($D15,素材!$1:$1016,COLUMN($E$1),FALSE),0),"")</f>
        <v>0</v>
      </c>
      <c r="I15">
        <f>IFERROR(ROUNDDOWN((VLOOKUP($C15,武器!$1:$998,COLUMN(G$1),FALSE)+IFERROR(VLOOKUP($CI15,装強!$1:$999,COLUMN(I$1),FALSE),0))*VLOOKUP($D15,素材!$1:$1016,COLUMN($E$1),FALSE),0),"")</f>
        <v>20</v>
      </c>
      <c r="J15">
        <f>IFERROR(ROUNDDOWN((VLOOKUP($C15,武器!$1:$998,COLUMN(H$1),FALSE)+IFERROR(VLOOKUP($CI15,装強!$1:$999,COLUMN(J$1),FALSE),0))*VLOOKUP($D15,素材!$1:$1016,COLUMN($E$1),FALSE),0),"")</f>
        <v>19</v>
      </c>
      <c r="K15">
        <f>IFERROR(ROUNDDOWN((VLOOKUP($C15,武器!$1:$998,COLUMN(I$1),FALSE)+IFERROR(VLOOKUP($CI15,装強!$1:$999,COLUMN(K$1),FALSE),0))*VLOOKUP($D15,素材!$1:$1016,COLUMN($E$1),FALSE),0),"")</f>
        <v>0</v>
      </c>
      <c r="L15">
        <f>IFERROR(VLOOKUP($D15,素材!$1:$1016,COLUMN($F$1),FALSE),"")</f>
        <v>0</v>
      </c>
      <c r="M15">
        <f>IFERROR(VLOOKUP($C15,武器!$1:$998,COLUMN(AA$1),FALSE)*VLOOKUP($D15,素材!$1:$1016,COLUMN($G$1),FALSE),"")</f>
        <v>0</v>
      </c>
      <c r="N15">
        <f>IFERROR(VLOOKUP($C15,武器!$1:$998,COLUMN(I$1),FALSE),"")</f>
        <v>0</v>
      </c>
      <c r="O15" s="23">
        <f>IFERROR((VLOOKUP($C15,武器!$1:$998,COLUMN(K$1),FALSE)+VLOOKUP($D15,素材!$1:$1016,COLUMN(H$1),FALSE))*100+IFERROR(VLOOKUP($CI15,装強!$1:$999,COLUMN(O$1),FALSE),0),"")</f>
        <v>5</v>
      </c>
      <c r="P15" s="23">
        <f>IFERROR((VLOOKUP($C15,武器!$1:$998,COLUMN(L$1),FALSE)+VLOOKUP($D15,素材!$1:$1016,COLUMN(I$1),FALSE))*100+IFERROR(VLOOKUP($CI15,装強!$1:$999,COLUMN(P$1),FALSE),0),"")</f>
        <v>150</v>
      </c>
      <c r="Q15">
        <f>IFERROR(ROUNDUP(VLOOKUP($C15,武器!$1:$998,COLUMN(M$1),FALSE)*(VLOOKUP($D15,素材!$1:$1002,COLUMN(D$1),FALSE)/100),1),"")</f>
        <v>0</v>
      </c>
      <c r="R15">
        <f>IFERROR(ROUNDUP(VLOOKUP($C15,武器!$1:$998,COLUMN(N$1),FALSE)*(VLOOKUP($D15,素材!$1:$1002,COLUMN(D$1),FALSE)/100),1),"")</f>
        <v>0</v>
      </c>
      <c r="S15">
        <f>IFERROR(VLOOKUP($C15,武器!$1:$998,COLUMN(P$1),FALSE),"")</f>
        <v>0</v>
      </c>
      <c r="T15">
        <f>IFERROR(VLOOKUP($C15,武器!$1:$998,COLUMN(Q$1),FALSE),"")</f>
        <v>0</v>
      </c>
      <c r="U15">
        <f>IFERROR(VLOOKUP($C15,武器!$1:$998,COLUMN(R$1),FALSE),"")</f>
        <v>0</v>
      </c>
      <c r="V15">
        <f>IFERROR(VLOOKUP($C15,武器!$1:$998,COLUMN(Q$1),FALSE),"")</f>
        <v>0</v>
      </c>
      <c r="W15" t="str">
        <f>IFERROR(VLOOKUP($C15,武器!$1:$998,COLUMN(T$1),FALSE),"")</f>
        <v>A</v>
      </c>
      <c r="Y15" t="str">
        <f>IFERROR(VLOOKUP($C15,武器!$1:$998,COLUMN(U$1),FALSE),"")</f>
        <v>片手適性Ⅰ</v>
      </c>
      <c r="Z15">
        <f>IFERROR(ROUNDUP(VLOOKUP($C15,武器!$1:$998,COLUMN(O$1),FALSE)*VLOOKUP($D15,素材!$1:$1016,COLUMN(E$1),FALSE),1),"")</f>
        <v>0</v>
      </c>
      <c r="AA15">
        <f>IF(ISNUMBER(SEARCH(SUBSTITUTE(AA$1,RIGHT(AA$1,2),""),VLOOKUP($D15,素材!$1:$1016,COLUMN($F$1),FALSE))),VLOOKUP($C15,武器!$1:$998,COLUMN($O$1),FALSE)*VLOOKUP($D15,素材!$1:$1016,COLUMN($E$1),FALSE)/(LEN(VLOOKUP($D15,素材!$1:$1016,COLUMN($F$1),FALSE)) - LEN(SUBSTITUTE(VLOOKUP($D15,素材!$1:$1016,COLUMN($F$1),FALSE), "・", 0)) + 1), 0)</f>
        <v>0</v>
      </c>
      <c r="AB15">
        <f>IF(ISNUMBER(SEARCH(SUBSTITUTE(AB$1,RIGHT(AB$1,2),""),VLOOKUP($D15,素材!$1:$1016,COLUMN($F$1),FALSE))),VLOOKUP($C15,武器!$1:$998,COLUMN($O$1),FALSE)*VLOOKUP($D15,素材!$1:$1016,COLUMN($E$1),FALSE)/(LEN(VLOOKUP($D15,素材!$1:$1016,COLUMN($F$1),FALSE)) - LEN(SUBSTITUTE(VLOOKUP($D15,素材!$1:$1016,COLUMN($F$1),FALSE), "・", 0)) + 1), 0)</f>
        <v>0</v>
      </c>
      <c r="AC15">
        <f>IF(ISNUMBER(SEARCH(SUBSTITUTE(AC$1,RIGHT(AC$1,2),""),VLOOKUP($D15,素材!$1:$1016,COLUMN($F$1),FALSE))),VLOOKUP($C15,武器!$1:$998,COLUMN($O$1),FALSE)*VLOOKUP($D15,素材!$1:$1016,COLUMN($E$1),FALSE)/(LEN(VLOOKUP($D15,素材!$1:$1016,COLUMN($F$1),FALSE)) - LEN(SUBSTITUTE(VLOOKUP($D15,素材!$1:$1016,COLUMN($F$1),FALSE), "・", 0)) + 1), 0)</f>
        <v>0</v>
      </c>
      <c r="AD15">
        <f>IF(ISNUMBER(SEARCH(SUBSTITUTE(AD$1,RIGHT(AD$1,2),""),VLOOKUP($D15,素材!$1:$1016,COLUMN($F$1),FALSE))),VLOOKUP($C15,武器!$1:$998,COLUMN($O$1),FALSE)*VLOOKUP($D15,素材!$1:$1016,COLUMN($E$1),FALSE)/(LEN(VLOOKUP($D15,素材!$1:$1016,COLUMN($F$1),FALSE)) - LEN(SUBSTITUTE(VLOOKUP($D15,素材!$1:$1016,COLUMN($F$1),FALSE), "・", 0)) + 1), 0)</f>
        <v>0</v>
      </c>
      <c r="AE15">
        <f>IF(ISNUMBER(SEARCH(SUBSTITUTE(AE$1,RIGHT(AE$1,2),""),VLOOKUP($D15,素材!$1:$1016,COLUMN($F$1),FALSE))),VLOOKUP($C15,武器!$1:$998,COLUMN($O$1),FALSE)*VLOOKUP($D15,素材!$1:$1016,COLUMN($E$1),FALSE)/(LEN(VLOOKUP($D15,素材!$1:$1016,COLUMN($F$1),FALSE)) - LEN(SUBSTITUTE(VLOOKUP($D15,素材!$1:$1016,COLUMN($F$1),FALSE), "・", 0)) + 1), 0)</f>
        <v>0</v>
      </c>
      <c r="AF15">
        <f>IF(ISNUMBER(SEARCH(SUBSTITUTE(AF$1,RIGHT(AF$1,2),""),VLOOKUP($D15,素材!$1:$1016,COLUMN($F$1),FALSE))),VLOOKUP($C15,武器!$1:$998,COLUMN($O$1),FALSE)*VLOOKUP($D15,素材!$1:$1016,COLUMN($E$1),FALSE)/(LEN(VLOOKUP($D15,素材!$1:$1016,COLUMN($F$1),FALSE)) - LEN(SUBSTITUTE(VLOOKUP($D15,素材!$1:$1016,COLUMN($F$1),FALSE), "・", 0)) + 1), 0)</f>
        <v>0</v>
      </c>
      <c r="AG15">
        <f>IF(ISNUMBER(SEARCH(SUBSTITUTE(AG$1,RIGHT(AG$1,2),""),VLOOKUP($D15,素材!$1:$1016,COLUMN($F$1),FALSE))),VLOOKUP($C15,武器!$1:$998,COLUMN($O$1),FALSE)*VLOOKUP($D15,素材!$1:$1016,COLUMN($E$1),FALSE)/(LEN(VLOOKUP($D15,素材!$1:$1016,COLUMN($F$1),FALSE)) - LEN(SUBSTITUTE(VLOOKUP($D15,素材!$1:$1016,COLUMN($F$1),FALSE), "・", 0)) + 1), 0)</f>
        <v>0</v>
      </c>
      <c r="AH15">
        <f>IF(ISNUMBER(SEARCH(SUBSTITUTE(AH$1,RIGHT(AH$1,2),""),VLOOKUP($D15,素材!$1:$1016,COLUMN($F$1),FALSE))),VLOOKUP($C15,武器!$1:$998,COLUMN($O$1),FALSE)*VLOOKUP($D15,素材!$1:$1016,COLUMN($E$1),FALSE)/(LEN(VLOOKUP($D15,素材!$1:$1016,COLUMN($F$1),FALSE)) - LEN(SUBSTITUTE(VLOOKUP($D15,素材!$1:$1016,COLUMN($F$1),FALSE), "・", 0)) + 1), 0)</f>
        <v>0</v>
      </c>
      <c r="AI15">
        <f>IF(ISNUMBER(SEARCH(SUBSTITUTE(AI$1,RIGHT(AI$1,2),""),VLOOKUP($D15,素材!$1:$1016,COLUMN($F$1),FALSE))),VLOOKUP($C15,武器!$1:$998,COLUMN($O$1),FALSE)*VLOOKUP($D15,素材!$1:$1016,COLUMN($E$1),FALSE)/(LEN(VLOOKUP($D15,素材!$1:$1016,COLUMN($F$1),FALSE)) - LEN(SUBSTITUTE(VLOOKUP($D15,素材!$1:$1016,COLUMN($F$1),FALSE), "・", 0)) + 1), 0)</f>
        <v>0</v>
      </c>
      <c r="AJ15">
        <f>IF(ISNUMBER(SEARCH(SUBSTITUTE(AJ$1,RIGHT(AJ$1,2),""),VLOOKUP($D15,素材!$1:$1016,COLUMN($F$1),FALSE))),VLOOKUP($C15,武器!$1:$998,COLUMN($O$1),FALSE)*VLOOKUP($D15,素材!$1:$1016,COLUMN($E$1),FALSE)/(LEN(VLOOKUP($D15,素材!$1:$1016,COLUMN($F$1),FALSE)) - LEN(SUBSTITUTE(VLOOKUP($D15,素材!$1:$1016,COLUMN($F$1),FALSE), "・", 0)) + 1), 0)</f>
        <v>0</v>
      </c>
      <c r="AK15">
        <f>IF(ISNUMBER(SEARCH(SUBSTITUTE(AK$1,RIGHT(AK$1,2),""),VLOOKUP($D15,素材!$1:$1016,COLUMN($F$1),FALSE))),VLOOKUP($C15,武器!$1:$998,COLUMN($O$1),FALSE)*VLOOKUP($D15,素材!$1:$1016,COLUMN($E$1),FALSE)/(LEN(VLOOKUP($D15,素材!$1:$1016,COLUMN($F$1),FALSE)) - LEN(SUBSTITUTE(VLOOKUP($D15,素材!$1:$1016,COLUMN($F$1),FALSE), "・", 0)) + 1), 0)</f>
        <v>0</v>
      </c>
      <c r="AL15">
        <f>IF(ISNUMBER(SEARCH(SUBSTITUTE(AL$1,RIGHT(AL$1,2),""),VLOOKUP($D15,素材!$1:$1016,COLUMN($F$1),FALSE))),VLOOKUP($C15,武器!$1:$998,COLUMN($O$1),FALSE)*VLOOKUP($D15,素材!$1:$1016,COLUMN($E$1),FALSE)/(LEN(VLOOKUP($D15,素材!$1:$1016,COLUMN($F$1),FALSE)) - LEN(SUBSTITUTE(VLOOKUP($D15,素材!$1:$1016,COLUMN($F$1),FALSE), "・", 0)) + 1), 0)</f>
        <v>0</v>
      </c>
      <c r="AM15">
        <f>IF(ISNUMBER(SEARCH(SUBSTITUTE(AM$1,RIGHT(AM$1,2),""),VLOOKUP($D15,素材!$1:$1016,COLUMN($F$1),FALSE))),VLOOKUP($C15,武器!$1:$998,COLUMN($O$1),FALSE)*VLOOKUP($D15,素材!$1:$1016,COLUMN($E$1),FALSE)/(LEN(VLOOKUP($D15,素材!$1:$1016,COLUMN($F$1),FALSE)) - LEN(SUBSTITUTE(VLOOKUP($D15,素材!$1:$1016,COLUMN($F$1),FALSE), "・", 0)) + 1), 0)</f>
        <v>0</v>
      </c>
      <c r="AN15">
        <f>IF(ISNUMBER(SEARCH(SUBSTITUTE(AN$1,RIGHT(AN$1,2),""),VLOOKUP($D15,素材!$1:$1016,COLUMN($F$1),FALSE))),VLOOKUP($C15,武器!$1:$998,COLUMN($O$1),FALSE)*VLOOKUP($D15,素材!$1:$1016,COLUMN($E$1),FALSE)/(LEN(VLOOKUP($D15,素材!$1:$1016,COLUMN($F$1),FALSE)) - LEN(SUBSTITUTE(VLOOKUP($D15,素材!$1:$1016,COLUMN($F$1),FALSE), "・", 0)) + 1), 0)</f>
        <v>0</v>
      </c>
      <c r="AO15">
        <f>IF(ISNUMBER(SEARCH(SUBSTITUTE(AO$1,RIGHT(AO$1,2),""),VLOOKUP($D15,素材!$1:$1016,COLUMN($F$1),FALSE))),VLOOKUP($C15,武器!$1:$998,COLUMN($O$1),FALSE)*VLOOKUP($D15,素材!$1:$1016,COLUMN($E$1),FALSE)/(LEN(VLOOKUP($D15,素材!$1:$1016,COLUMN($F$1),FALSE)) - LEN(SUBSTITUTE(VLOOKUP($D15,素材!$1:$1016,COLUMN($F$1),FALSE), "・", 0)) + 1), 0)</f>
        <v>0</v>
      </c>
      <c r="AP15">
        <f>IF(ISNUMBER(SEARCH(SUBSTITUTE(AP$1,RIGHT(AP$1,2),""),VLOOKUP($D15,素材!$1:$1016,COLUMN($F$1),FALSE))),VLOOKUP($C15,武器!$1:$998,COLUMN($O$1),FALSE)*VLOOKUP($D15,素材!$1:$1016,COLUMN($E$1),FALSE)/(LEN(VLOOKUP($D15,素材!$1:$1016,COLUMN($F$1),FALSE)) - LEN(SUBSTITUTE(VLOOKUP($D15,素材!$1:$1016,COLUMN($F$1),FALSE), "・", 0)) + 1), 0)</f>
        <v>0</v>
      </c>
      <c r="AQ15">
        <f>IF(ISNUMBER(SEARCH(SUBSTITUTE(AQ$1,RIGHT(AQ$1,2),""),VLOOKUP($D15,素材!$1:$1016,COLUMN($F$1),FALSE))),VLOOKUP($C15,武器!$1:$998,COLUMN($O$1),FALSE)*VLOOKUP($D15,素材!$1:$1016,COLUMN($E$1),FALSE)/(LEN(VLOOKUP($D15,素材!$1:$1016,COLUMN($F$1),FALSE)) - LEN(SUBSTITUTE(VLOOKUP($D15,素材!$1:$1016,COLUMN($F$1),FALSE), "・", 0)) + 1), 0)</f>
        <v>0</v>
      </c>
      <c r="AR15">
        <f>IF(ISNUMBER(SEARCH(SUBSTITUTE(AR$1,RIGHT(AR$1,2),""),VLOOKUP($D15,素材!$1:$1016,COLUMN($F$1),FALSE))),VLOOKUP($C15,武器!$1:$998,COLUMN($O$1),FALSE)*VLOOKUP($D15,素材!$1:$1016,COLUMN($E$1),FALSE)/(LEN(VLOOKUP($D15,素材!$1:$1016,COLUMN($F$1),FALSE)) - LEN(SUBSTITUTE(VLOOKUP($D15,素材!$1:$1016,COLUMN($F$1),FALSE), "・", 0)) + 1), 0)</f>
        <v>0</v>
      </c>
      <c r="AS15">
        <f>IF(ISNUMBER(SEARCH(SUBSTITUTE(AS$1,RIGHT(AS$1,2),""),VLOOKUP($D15,素材!$1:$1016,COLUMN($F$1),FALSE))),VLOOKUP($C15,武器!$1:$998,COLUMN($O$1),FALSE)*VLOOKUP($D15,素材!$1:$1016,COLUMN($E$1),FALSE)/(LEN(VLOOKUP($D15,素材!$1:$1016,COLUMN($F$1),FALSE)) - LEN(SUBSTITUTE(VLOOKUP($D15,素材!$1:$1016,COLUMN($F$1),FALSE), "・", 0)) + 1), 0)</f>
        <v>0</v>
      </c>
      <c r="AT15">
        <f>IF(ISNUMBER(SEARCH(SUBSTITUTE(AT$1,RIGHT(AT$1,2),""),VLOOKUP($D15,素材!$1:$1016,COLUMN($F$1),FALSE))),VLOOKUP($C15,武器!$1:$998,COLUMN($O$1),FALSE)*VLOOKUP($D15,素材!$1:$1016,COLUMN($E$1),FALSE)/(LEN(VLOOKUP($D15,素材!$1:$1016,COLUMN($F$1),FALSE)) - LEN(SUBSTITUTE(VLOOKUP($D15,素材!$1:$1016,COLUMN($F$1),FALSE), "・", 0)) + 1), 0)</f>
        <v>0</v>
      </c>
      <c r="AU15">
        <f>IF(ISNUMBER(SEARCH(SUBSTITUTE(AU$1,RIGHT(AU$1,2),""),VLOOKUP($D15,素材!$1:$1016,COLUMN($F$1),FALSE))),VLOOKUP($C15,武器!$1:$998,COLUMN($O$1),FALSE)*VLOOKUP($D15,素材!$1:$1016,COLUMN($E$1),FALSE)/(LEN(VLOOKUP($D15,素材!$1:$1016,COLUMN($F$1),FALSE)) - LEN(SUBSTITUTE(VLOOKUP($D15,素材!$1:$1016,COLUMN($F$1),FALSE), "・", 0)) + 1), 0)</f>
        <v>0</v>
      </c>
      <c r="AV15">
        <f>IF(ISNUMBER(SEARCH(SUBSTITUTE(AV$1,RIGHT(AV$1,2),""),VLOOKUP($D15,素材!$1:$1016,COLUMN($F$1),FALSE))),VLOOKUP($C15,武器!$1:$998,COLUMN($O$1),FALSE)*VLOOKUP($D15,素材!$1:$1016,COLUMN($E$1),FALSE)/(LEN(VLOOKUP($D15,素材!$1:$1016,COLUMN($F$1),FALSE)) - LEN(SUBSTITUTE(VLOOKUP($D15,素材!$1:$1016,COLUMN($F$1),FALSE), "・", 0)) + 1), 0)</f>
        <v>0</v>
      </c>
      <c r="AW15">
        <f>IF(ISNUMBER(SEARCH(SUBSTITUTE(AW$1,RIGHT(AW$1,2),""),VLOOKUP($D15,素材!$1:$1016,COLUMN($F$1),FALSE))),VLOOKUP($C15,武器!$1:$998,COLUMN($O$1),FALSE)*VLOOKUP($D15,素材!$1:$1016,COLUMN($E$1),FALSE)/(LEN(VLOOKUP($D15,素材!$1:$1016,COLUMN($F$1),FALSE)) - LEN(SUBSTITUTE(VLOOKUP($D15,素材!$1:$1016,COLUMN($F$1),FALSE), "・", 0)) + 1), 0)</f>
        <v>0</v>
      </c>
      <c r="AX15">
        <f>IF(ISNUMBER(SEARCH(SUBSTITUTE(AX$1,RIGHT(AX$1,2),""),VLOOKUP($D15,素材!$1:$1016,COLUMN($F$1),FALSE))),VLOOKUP($C15,武器!$1:$998,COLUMN($O$1),FALSE)*VLOOKUP($D15,素材!$1:$1016,COLUMN($E$1),FALSE)/(LEN(VLOOKUP($D15,素材!$1:$1016,COLUMN($F$1),FALSE)) - LEN(SUBSTITUTE(VLOOKUP($D15,素材!$1:$1016,COLUMN($F$1),FALSE), "・", 0)) + 1), 0)</f>
        <v>0</v>
      </c>
      <c r="AY15">
        <f>IF(ISNUMBER(SEARCH(SUBSTITUTE(AY$1,RIGHT(AY$1,2),""),VLOOKUP($D15,素材!$1:$1016,COLUMN($F$1),FALSE))),VLOOKUP($C15,武器!$1:$998,COLUMN($O$1),FALSE)*VLOOKUP($D15,素材!$1:$1016,COLUMN($E$1),FALSE)/(LEN(VLOOKUP($D15,素材!$1:$1016,COLUMN($F$1),FALSE)) - LEN(SUBSTITUTE(VLOOKUP($D15,素材!$1:$1016,COLUMN($F$1),FALSE), "・", 0)) + 1), 0)</f>
        <v>0</v>
      </c>
      <c r="AZ15">
        <f>IF(ISNUMBER(SEARCH(SUBSTITUTE(AZ$1,RIGHT(AZ$1,2),""),VLOOKUP($D15,素材!$1:$1016,COLUMN($F$1),FALSE))),VLOOKUP($C15,武器!$1:$998,COLUMN($O$1),FALSE)*VLOOKUP($D15,素材!$1:$1016,COLUMN($E$1),FALSE)/(LEN(VLOOKUP($D15,素材!$1:$1016,COLUMN($F$1),FALSE)) - LEN(SUBSTITUTE(VLOOKUP($D15,素材!$1:$1016,COLUMN($F$1),FALSE), "・", 0)) + 1), 0)</f>
        <v>0</v>
      </c>
      <c r="BA15">
        <f>IF(ISNUMBER(SEARCH(SUBSTITUTE(BA$1,RIGHT(BA$1,2),""),VLOOKUP($D15,素材!$1:$1016,COLUMN($F$1),FALSE))),VLOOKUP($C15,武器!$1:$998,COLUMN($O$1),FALSE)*VLOOKUP($D15,素材!$1:$1016,COLUMN($E$1),FALSE)/(LEN(VLOOKUP($D15,素材!$1:$1016,COLUMN($F$1),FALSE)) - LEN(SUBSTITUTE(VLOOKUP($D15,素材!$1:$1016,COLUMN($F$1),FALSE), "・", 0)) + 1), 0)</f>
        <v>0</v>
      </c>
      <c r="BB15">
        <f>IF(ISNUMBER(SEARCH(SUBSTITUTE(BB$1,RIGHT(BB$1,2),""),VLOOKUP($D15,素材!$1:$1016,COLUMN($F$1),FALSE))),VLOOKUP($C15,武器!$1:$998,COLUMN($O$1),FALSE)*VLOOKUP($D15,素材!$1:$1016,COLUMN($E$1),FALSE)/(LEN(VLOOKUP($D15,素材!$1:$1016,COLUMN($F$1),FALSE)) - LEN(SUBSTITUTE(VLOOKUP($D15,素材!$1:$1016,COLUMN($F$1),FALSE), "・", 0)) + 1), 0)</f>
        <v>0</v>
      </c>
      <c r="BC15">
        <f>IF(ISNUMBER(SEARCH(SUBSTITUTE(BC$1,RIGHT(BC$1,2),""),VLOOKUP($D15,素材!$1:$1016,COLUMN($F$1),FALSE))),VLOOKUP($C15,武器!$1:$998,COLUMN($O$1),FALSE)*VLOOKUP($D15,素材!$1:$1016,COLUMN($E$1),FALSE)/(LEN(VLOOKUP($D15,素材!$1:$1016,COLUMN($F$1),FALSE)) - LEN(SUBSTITUTE(VLOOKUP($D15,素材!$1:$1016,COLUMN($F$1),FALSE), "・", 0)) + 1), 0)</f>
        <v>0</v>
      </c>
      <c r="BD15">
        <f>IF(ISNUMBER(SEARCH(SUBSTITUTE(BD$1,RIGHT(BD$1,2),""),VLOOKUP($D15,素材!$1:$1016,COLUMN($F$1),FALSE))),VLOOKUP($C15,武器!$1:$998,COLUMN($O$1),FALSE)*VLOOKUP($D15,素材!$1:$1016,COLUMN($E$1),FALSE)/(LEN(VLOOKUP($D15,素材!$1:$1016,COLUMN($F$1),FALSE)) - LEN(SUBSTITUTE(VLOOKUP($D15,素材!$1:$1016,COLUMN($F$1),FALSE), "・", 0)) + 1), 0)</f>
        <v>0</v>
      </c>
      <c r="BE15">
        <f>IF(ISNUMBER(SEARCH(SUBSTITUTE(BE$1,RIGHT(BE$1,2),""),VLOOKUP($D15,素材!$1:$1016,COLUMN($F$1),FALSE))),VLOOKUP($C15,武器!$1:$998,COLUMN($O$1),FALSE)*VLOOKUP($D15,素材!$1:$1016,COLUMN($E$1),FALSE)/(LEN(VLOOKUP($D15,素材!$1:$1016,COLUMN($F$1),FALSE)) - LEN(SUBSTITUTE(VLOOKUP($D15,素材!$1:$1016,COLUMN($F$1),FALSE), "・", 0)) + 1), 0)</f>
        <v>0</v>
      </c>
      <c r="CL15">
        <f>SUM(G15:I15)</f>
        <v>22</v>
      </c>
      <c r="CM15" s="22" t="str">
        <f>IF(E15="武器",IF(J15-1&gt;SUM(G15:I15),"盾",IF(MAX(G15:I15)=G15,"切断",IF(MAX(G15:I15)=H15,"貫通",IF(MAX(G15:I15)=I15,"打撃","射撃")))),E15)&amp;".webp"</f>
        <v>打撃.webp</v>
      </c>
      <c r="CN15">
        <f>IFERROR(VLOOKUP($C15,武器!$1:$998,COLUMN(V$1),FALSE)*VLOOKUP($D15,素材!$1:$1016,COLUMN(N$1),FALSE)+IF(CI15="",0,VLOOKUP($CI15,装強!$1:$1008,COLUMN($CK$1),FALSE)),"")</f>
        <v>300</v>
      </c>
      <c r="CO15" t="str">
        <f>VLOOKUP(D15,素材!$A:$O,COLUMN(素材!O$1),FALSE)</f>
        <v>一般的な鉄。量産品を作るのに使用されることが多い</v>
      </c>
      <c r="CP15" t="str">
        <f>VLOOKUP(C15,武器!$A:$W,COLUMN(武器!W$1),FALSE)</f>
        <v>棍棒。打撃に特化したシンプルな武器。威力は低いがダメージ振れが少ない。</v>
      </c>
      <c r="CR15" t="str">
        <f t="shared" si="1"/>
        <v>e_15</v>
      </c>
      <c r="CS15">
        <f t="shared" si="2"/>
        <v>30000</v>
      </c>
    </row>
    <row r="16" spans="1:97" outlineLevel="1" x14ac:dyDescent="0.4">
      <c r="A16" t="str">
        <f t="shared" si="0"/>
        <v>鉄の戦棍</v>
      </c>
      <c r="B16" t="str">
        <f>IFERROR(VLOOKUP($D16,素材!$1:$1016,COLUMN($B$1),FALSE)&amp;"・"&amp;VLOOKUP($C16,武器!$1:$998,COLUMN(B$1),FALSE),"")</f>
        <v>アイアン・メイス</v>
      </c>
      <c r="C16" s="24" t="s">
        <v>229</v>
      </c>
      <c r="D16" s="24" t="s">
        <v>257</v>
      </c>
      <c r="E16" t="str">
        <f>IFERROR(VLOOKUP(C16,武器!$1:$998,COLUMN(C$1),FALSE),"")</f>
        <v>武器</v>
      </c>
      <c r="F16">
        <f>IFERROR(ROUNDDOWN((VLOOKUP($C16,武器!$1:$998,COLUMN(D$1),FALSE)+IFERROR(VLOOKUP($CI16,装強!$1:$999,COLUMN(F$1),FALSE),0))*VLOOKUP($D16,素材!$1:$1016,COLUMN(D$1),FALSE),0),"")</f>
        <v>110</v>
      </c>
      <c r="G16">
        <f>IFERROR(ROUNDDOWN((VLOOKUP($C16,武器!$1:$998,COLUMN(E$1),FALSE)+IFERROR(VLOOKUP($CI16,装強!$1:$999,COLUMN(G$1),FALSE),0))*VLOOKUP($D16,素材!$1:$1016,COLUMN($E$1),FALSE),0),"")</f>
        <v>0</v>
      </c>
      <c r="H16">
        <f>IFERROR(ROUNDDOWN((VLOOKUP($C16,武器!$1:$998,COLUMN(F$1),FALSE)+IFERROR(VLOOKUP($CI16,装強!$1:$999,COLUMN(H$1),FALSE),0))*VLOOKUP($D16,素材!$1:$1016,COLUMN($E$1),FALSE),0),"")</f>
        <v>0</v>
      </c>
      <c r="I16">
        <f>IFERROR(ROUNDDOWN((VLOOKUP($C16,武器!$1:$998,COLUMN(G$1),FALSE)+IFERROR(VLOOKUP($CI16,装強!$1:$999,COLUMN(I$1),FALSE),0))*VLOOKUP($D16,素材!$1:$1016,COLUMN($E$1),FALSE),0),"")</f>
        <v>23</v>
      </c>
      <c r="J16">
        <f>IFERROR(ROUNDDOWN((VLOOKUP($C16,武器!$1:$998,COLUMN(H$1),FALSE)+IFERROR(VLOOKUP($CI16,装強!$1:$999,COLUMN(J$1),FALSE),0))*VLOOKUP($D16,素材!$1:$1016,COLUMN($E$1),FALSE),0),"")</f>
        <v>19</v>
      </c>
      <c r="K16">
        <f>IFERROR(ROUNDDOWN((VLOOKUP($C16,武器!$1:$998,COLUMN(I$1),FALSE)+IFERROR(VLOOKUP($CI16,装強!$1:$999,COLUMN(K$1),FALSE),0))*VLOOKUP($D16,素材!$1:$1016,COLUMN($E$1),FALSE),0),"")</f>
        <v>0</v>
      </c>
      <c r="L16">
        <f>IFERROR(VLOOKUP($D16,素材!$1:$1016,COLUMN($F$1),FALSE),"")</f>
        <v>0</v>
      </c>
      <c r="M16">
        <f>IFERROR(VLOOKUP($C16,武器!$1:$998,COLUMN(AA$1),FALSE)*VLOOKUP($D16,素材!$1:$1016,COLUMN($G$1),FALSE),"")</f>
        <v>0</v>
      </c>
      <c r="N16">
        <f>IFERROR(VLOOKUP($C16,武器!$1:$998,COLUMN(I$1),FALSE),"")</f>
        <v>0</v>
      </c>
      <c r="O16" s="23">
        <f>IFERROR((VLOOKUP($C16,武器!$1:$998,COLUMN(K$1),FALSE)+VLOOKUP($D16,素材!$1:$1016,COLUMN(H$1),FALSE))*100+IFERROR(VLOOKUP($CI16,装強!$1:$999,COLUMN(O$1),FALSE),0),"")</f>
        <v>15</v>
      </c>
      <c r="P16" s="23">
        <f>IFERROR((VLOOKUP($C16,武器!$1:$998,COLUMN(L$1),FALSE)+VLOOKUP($D16,素材!$1:$1016,COLUMN(I$1),FALSE))*100+IFERROR(VLOOKUP($CI16,装強!$1:$999,COLUMN(P$1),FALSE),0),"")</f>
        <v>125</v>
      </c>
      <c r="Q16">
        <f>IFERROR(ROUNDUP(VLOOKUP($C16,武器!$1:$998,COLUMN(M$1),FALSE)*(VLOOKUP($D16,素材!$1:$1002,COLUMN(D$1),FALSE)/100),1),"")</f>
        <v>0</v>
      </c>
      <c r="R16">
        <f>IFERROR(ROUNDUP(VLOOKUP($C16,武器!$1:$998,COLUMN(N$1),FALSE)*(VLOOKUP($D16,素材!$1:$1002,COLUMN(D$1),FALSE)/100),1),"")</f>
        <v>-2</v>
      </c>
      <c r="S16">
        <f>IFERROR(VLOOKUP($C16,武器!$1:$998,COLUMN(P$1),FALSE),"")</f>
        <v>0</v>
      </c>
      <c r="T16">
        <f>IFERROR(VLOOKUP($C16,武器!$1:$998,COLUMN(Q$1),FALSE),"")</f>
        <v>0</v>
      </c>
      <c r="U16">
        <f>IFERROR(VLOOKUP($C16,武器!$1:$998,COLUMN(R$1),FALSE),"")</f>
        <v>0</v>
      </c>
      <c r="V16">
        <f>IFERROR(VLOOKUP($C16,武器!$1:$998,COLUMN(Q$1),FALSE),"")</f>
        <v>0</v>
      </c>
      <c r="W16" t="str">
        <f>IFERROR(VLOOKUP($C16,武器!$1:$998,COLUMN(T$1),FALSE),"")</f>
        <v>A</v>
      </c>
      <c r="Y16">
        <f>IFERROR(VLOOKUP($C16,武器!$1:$998,COLUMN(U$1),FALSE),"")</f>
        <v>0</v>
      </c>
      <c r="Z16">
        <f>IFERROR(ROUNDUP(VLOOKUP($C16,武器!$1:$998,COLUMN(O$1),FALSE)*VLOOKUP($D16,素材!$1:$1016,COLUMN(E$1),FALSE),1),"")</f>
        <v>0</v>
      </c>
      <c r="AA16">
        <f>IF(ISNUMBER(SEARCH(SUBSTITUTE(AA$1,RIGHT(AA$1,2),""),VLOOKUP($D16,素材!$1:$1016,COLUMN($F$1),FALSE))),VLOOKUP($C16,武器!$1:$998,COLUMN($O$1),FALSE)*VLOOKUP($D16,素材!$1:$1016,COLUMN($E$1),FALSE)/(LEN(VLOOKUP($D16,素材!$1:$1016,COLUMN($F$1),FALSE)) - LEN(SUBSTITUTE(VLOOKUP($D16,素材!$1:$1016,COLUMN($F$1),FALSE), "・", 0)) + 1), 0)</f>
        <v>0</v>
      </c>
      <c r="AB16">
        <f>IF(ISNUMBER(SEARCH(SUBSTITUTE(AB$1,RIGHT(AB$1,2),""),VLOOKUP($D16,素材!$1:$1016,COLUMN($F$1),FALSE))),VLOOKUP($C16,武器!$1:$998,COLUMN($O$1),FALSE)*VLOOKUP($D16,素材!$1:$1016,COLUMN($E$1),FALSE)/(LEN(VLOOKUP($D16,素材!$1:$1016,COLUMN($F$1),FALSE)) - LEN(SUBSTITUTE(VLOOKUP($D16,素材!$1:$1016,COLUMN($F$1),FALSE), "・", 0)) + 1), 0)</f>
        <v>0</v>
      </c>
      <c r="AC16">
        <f>IF(ISNUMBER(SEARCH(SUBSTITUTE(AC$1,RIGHT(AC$1,2),""),VLOOKUP($D16,素材!$1:$1016,COLUMN($F$1),FALSE))),VLOOKUP($C16,武器!$1:$998,COLUMN($O$1),FALSE)*VLOOKUP($D16,素材!$1:$1016,COLUMN($E$1),FALSE)/(LEN(VLOOKUP($D16,素材!$1:$1016,COLUMN($F$1),FALSE)) - LEN(SUBSTITUTE(VLOOKUP($D16,素材!$1:$1016,COLUMN($F$1),FALSE), "・", 0)) + 1), 0)</f>
        <v>0</v>
      </c>
      <c r="AD16">
        <f>IF(ISNUMBER(SEARCH(SUBSTITUTE(AD$1,RIGHT(AD$1,2),""),VLOOKUP($D16,素材!$1:$1016,COLUMN($F$1),FALSE))),VLOOKUP($C16,武器!$1:$998,COLUMN($O$1),FALSE)*VLOOKUP($D16,素材!$1:$1016,COLUMN($E$1),FALSE)/(LEN(VLOOKUP($D16,素材!$1:$1016,COLUMN($F$1),FALSE)) - LEN(SUBSTITUTE(VLOOKUP($D16,素材!$1:$1016,COLUMN($F$1),FALSE), "・", 0)) + 1), 0)</f>
        <v>0</v>
      </c>
      <c r="AE16">
        <f>IF(ISNUMBER(SEARCH(SUBSTITUTE(AE$1,RIGHT(AE$1,2),""),VLOOKUP($D16,素材!$1:$1016,COLUMN($F$1),FALSE))),VLOOKUP($C16,武器!$1:$998,COLUMN($O$1),FALSE)*VLOOKUP($D16,素材!$1:$1016,COLUMN($E$1),FALSE)/(LEN(VLOOKUP($D16,素材!$1:$1016,COLUMN($F$1),FALSE)) - LEN(SUBSTITUTE(VLOOKUP($D16,素材!$1:$1016,COLUMN($F$1),FALSE), "・", 0)) + 1), 0)</f>
        <v>0</v>
      </c>
      <c r="AF16">
        <f>IF(ISNUMBER(SEARCH(SUBSTITUTE(AF$1,RIGHT(AF$1,2),""),VLOOKUP($D16,素材!$1:$1016,COLUMN($F$1),FALSE))),VLOOKUP($C16,武器!$1:$998,COLUMN($O$1),FALSE)*VLOOKUP($D16,素材!$1:$1016,COLUMN($E$1),FALSE)/(LEN(VLOOKUP($D16,素材!$1:$1016,COLUMN($F$1),FALSE)) - LEN(SUBSTITUTE(VLOOKUP($D16,素材!$1:$1016,COLUMN($F$1),FALSE), "・", 0)) + 1), 0)</f>
        <v>0</v>
      </c>
      <c r="AG16">
        <f>IF(ISNUMBER(SEARCH(SUBSTITUTE(AG$1,RIGHT(AG$1,2),""),VLOOKUP($D16,素材!$1:$1016,COLUMN($F$1),FALSE))),VLOOKUP($C16,武器!$1:$998,COLUMN($O$1),FALSE)*VLOOKUP($D16,素材!$1:$1016,COLUMN($E$1),FALSE)/(LEN(VLOOKUP($D16,素材!$1:$1016,COLUMN($F$1),FALSE)) - LEN(SUBSTITUTE(VLOOKUP($D16,素材!$1:$1016,COLUMN($F$1),FALSE), "・", 0)) + 1), 0)</f>
        <v>0</v>
      </c>
      <c r="AH16">
        <f>IF(ISNUMBER(SEARCH(SUBSTITUTE(AH$1,RIGHT(AH$1,2),""),VLOOKUP($D16,素材!$1:$1016,COLUMN($F$1),FALSE))),VLOOKUP($C16,武器!$1:$998,COLUMN($O$1),FALSE)*VLOOKUP($D16,素材!$1:$1016,COLUMN($E$1),FALSE)/(LEN(VLOOKUP($D16,素材!$1:$1016,COLUMN($F$1),FALSE)) - LEN(SUBSTITUTE(VLOOKUP($D16,素材!$1:$1016,COLUMN($F$1),FALSE), "・", 0)) + 1), 0)</f>
        <v>0</v>
      </c>
      <c r="AI16">
        <f>IF(ISNUMBER(SEARCH(SUBSTITUTE(AI$1,RIGHT(AI$1,2),""),VLOOKUP($D16,素材!$1:$1016,COLUMN($F$1),FALSE))),VLOOKUP($C16,武器!$1:$998,COLUMN($O$1),FALSE)*VLOOKUP($D16,素材!$1:$1016,COLUMN($E$1),FALSE)/(LEN(VLOOKUP($D16,素材!$1:$1016,COLUMN($F$1),FALSE)) - LEN(SUBSTITUTE(VLOOKUP($D16,素材!$1:$1016,COLUMN($F$1),FALSE), "・", 0)) + 1), 0)</f>
        <v>0</v>
      </c>
      <c r="AJ16">
        <f>IF(ISNUMBER(SEARCH(SUBSTITUTE(AJ$1,RIGHT(AJ$1,2),""),VLOOKUP($D16,素材!$1:$1016,COLUMN($F$1),FALSE))),VLOOKUP($C16,武器!$1:$998,COLUMN($O$1),FALSE)*VLOOKUP($D16,素材!$1:$1016,COLUMN($E$1),FALSE)/(LEN(VLOOKUP($D16,素材!$1:$1016,COLUMN($F$1),FALSE)) - LEN(SUBSTITUTE(VLOOKUP($D16,素材!$1:$1016,COLUMN($F$1),FALSE), "・", 0)) + 1), 0)</f>
        <v>0</v>
      </c>
      <c r="AK16">
        <f>IF(ISNUMBER(SEARCH(SUBSTITUTE(AK$1,RIGHT(AK$1,2),""),VLOOKUP($D16,素材!$1:$1016,COLUMN($F$1),FALSE))),VLOOKUP($C16,武器!$1:$998,COLUMN($O$1),FALSE)*VLOOKUP($D16,素材!$1:$1016,COLUMN($E$1),FALSE)/(LEN(VLOOKUP($D16,素材!$1:$1016,COLUMN($F$1),FALSE)) - LEN(SUBSTITUTE(VLOOKUP($D16,素材!$1:$1016,COLUMN($F$1),FALSE), "・", 0)) + 1), 0)</f>
        <v>0</v>
      </c>
      <c r="AL16">
        <f>IF(ISNUMBER(SEARCH(SUBSTITUTE(AL$1,RIGHT(AL$1,2),""),VLOOKUP($D16,素材!$1:$1016,COLUMN($F$1),FALSE))),VLOOKUP($C16,武器!$1:$998,COLUMN($O$1),FALSE)*VLOOKUP($D16,素材!$1:$1016,COLUMN($E$1),FALSE)/(LEN(VLOOKUP($D16,素材!$1:$1016,COLUMN($F$1),FALSE)) - LEN(SUBSTITUTE(VLOOKUP($D16,素材!$1:$1016,COLUMN($F$1),FALSE), "・", 0)) + 1), 0)</f>
        <v>0</v>
      </c>
      <c r="AM16">
        <f>IF(ISNUMBER(SEARCH(SUBSTITUTE(AM$1,RIGHT(AM$1,2),""),VLOOKUP($D16,素材!$1:$1016,COLUMN($F$1),FALSE))),VLOOKUP($C16,武器!$1:$998,COLUMN($O$1),FALSE)*VLOOKUP($D16,素材!$1:$1016,COLUMN($E$1),FALSE)/(LEN(VLOOKUP($D16,素材!$1:$1016,COLUMN($F$1),FALSE)) - LEN(SUBSTITUTE(VLOOKUP($D16,素材!$1:$1016,COLUMN($F$1),FALSE), "・", 0)) + 1), 0)</f>
        <v>0</v>
      </c>
      <c r="AN16">
        <f>IF(ISNUMBER(SEARCH(SUBSTITUTE(AN$1,RIGHT(AN$1,2),""),VLOOKUP($D16,素材!$1:$1016,COLUMN($F$1),FALSE))),VLOOKUP($C16,武器!$1:$998,COLUMN($O$1),FALSE)*VLOOKUP($D16,素材!$1:$1016,COLUMN($E$1),FALSE)/(LEN(VLOOKUP($D16,素材!$1:$1016,COLUMN($F$1),FALSE)) - LEN(SUBSTITUTE(VLOOKUP($D16,素材!$1:$1016,COLUMN($F$1),FALSE), "・", 0)) + 1), 0)</f>
        <v>0</v>
      </c>
      <c r="AO16">
        <f>IF(ISNUMBER(SEARCH(SUBSTITUTE(AO$1,RIGHT(AO$1,2),""),VLOOKUP($D16,素材!$1:$1016,COLUMN($F$1),FALSE))),VLOOKUP($C16,武器!$1:$998,COLUMN($O$1),FALSE)*VLOOKUP($D16,素材!$1:$1016,COLUMN($E$1),FALSE)/(LEN(VLOOKUP($D16,素材!$1:$1016,COLUMN($F$1),FALSE)) - LEN(SUBSTITUTE(VLOOKUP($D16,素材!$1:$1016,COLUMN($F$1),FALSE), "・", 0)) + 1), 0)</f>
        <v>0</v>
      </c>
      <c r="AP16">
        <f>IF(ISNUMBER(SEARCH(SUBSTITUTE(AP$1,RIGHT(AP$1,2),""),VLOOKUP($D16,素材!$1:$1016,COLUMN($F$1),FALSE))),VLOOKUP($C16,武器!$1:$998,COLUMN($O$1),FALSE)*VLOOKUP($D16,素材!$1:$1016,COLUMN($E$1),FALSE)/(LEN(VLOOKUP($D16,素材!$1:$1016,COLUMN($F$1),FALSE)) - LEN(SUBSTITUTE(VLOOKUP($D16,素材!$1:$1016,COLUMN($F$1),FALSE), "・", 0)) + 1), 0)</f>
        <v>0</v>
      </c>
      <c r="AQ16">
        <f>IF(ISNUMBER(SEARCH(SUBSTITUTE(AQ$1,RIGHT(AQ$1,2),""),VLOOKUP($D16,素材!$1:$1016,COLUMN($F$1),FALSE))),VLOOKUP($C16,武器!$1:$998,COLUMN($O$1),FALSE)*VLOOKUP($D16,素材!$1:$1016,COLUMN($E$1),FALSE)/(LEN(VLOOKUP($D16,素材!$1:$1016,COLUMN($F$1),FALSE)) - LEN(SUBSTITUTE(VLOOKUP($D16,素材!$1:$1016,COLUMN($F$1),FALSE), "・", 0)) + 1), 0)</f>
        <v>0</v>
      </c>
      <c r="AR16">
        <f>IF(ISNUMBER(SEARCH(SUBSTITUTE(AR$1,RIGHT(AR$1,2),""),VLOOKUP($D16,素材!$1:$1016,COLUMN($F$1),FALSE))),VLOOKUP($C16,武器!$1:$998,COLUMN($O$1),FALSE)*VLOOKUP($D16,素材!$1:$1016,COLUMN($E$1),FALSE)/(LEN(VLOOKUP($D16,素材!$1:$1016,COLUMN($F$1),FALSE)) - LEN(SUBSTITUTE(VLOOKUP($D16,素材!$1:$1016,COLUMN($F$1),FALSE), "・", 0)) + 1), 0)</f>
        <v>0</v>
      </c>
      <c r="AS16">
        <f>IF(ISNUMBER(SEARCH(SUBSTITUTE(AS$1,RIGHT(AS$1,2),""),VLOOKUP($D16,素材!$1:$1016,COLUMN($F$1),FALSE))),VLOOKUP($C16,武器!$1:$998,COLUMN($O$1),FALSE)*VLOOKUP($D16,素材!$1:$1016,COLUMN($E$1),FALSE)/(LEN(VLOOKUP($D16,素材!$1:$1016,COLUMN($F$1),FALSE)) - LEN(SUBSTITUTE(VLOOKUP($D16,素材!$1:$1016,COLUMN($F$1),FALSE), "・", 0)) + 1), 0)</f>
        <v>0</v>
      </c>
      <c r="AT16">
        <f>IF(ISNUMBER(SEARCH(SUBSTITUTE(AT$1,RIGHT(AT$1,2),""),VLOOKUP($D16,素材!$1:$1016,COLUMN($F$1),FALSE))),VLOOKUP($C16,武器!$1:$998,COLUMN($O$1),FALSE)*VLOOKUP($D16,素材!$1:$1016,COLUMN($E$1),FALSE)/(LEN(VLOOKUP($D16,素材!$1:$1016,COLUMN($F$1),FALSE)) - LEN(SUBSTITUTE(VLOOKUP($D16,素材!$1:$1016,COLUMN($F$1),FALSE), "・", 0)) + 1), 0)</f>
        <v>0</v>
      </c>
      <c r="AU16">
        <f>IF(ISNUMBER(SEARCH(SUBSTITUTE(AU$1,RIGHT(AU$1,2),""),VLOOKUP($D16,素材!$1:$1016,COLUMN($F$1),FALSE))),VLOOKUP($C16,武器!$1:$998,COLUMN($O$1),FALSE)*VLOOKUP($D16,素材!$1:$1016,COLUMN($E$1),FALSE)/(LEN(VLOOKUP($D16,素材!$1:$1016,COLUMN($F$1),FALSE)) - LEN(SUBSTITUTE(VLOOKUP($D16,素材!$1:$1016,COLUMN($F$1),FALSE), "・", 0)) + 1), 0)</f>
        <v>0</v>
      </c>
      <c r="AV16">
        <f>IF(ISNUMBER(SEARCH(SUBSTITUTE(AV$1,RIGHT(AV$1,2),""),VLOOKUP($D16,素材!$1:$1016,COLUMN($F$1),FALSE))),VLOOKUP($C16,武器!$1:$998,COLUMN($O$1),FALSE)*VLOOKUP($D16,素材!$1:$1016,COLUMN($E$1),FALSE)/(LEN(VLOOKUP($D16,素材!$1:$1016,COLUMN($F$1),FALSE)) - LEN(SUBSTITUTE(VLOOKUP($D16,素材!$1:$1016,COLUMN($F$1),FALSE), "・", 0)) + 1), 0)</f>
        <v>0</v>
      </c>
      <c r="AW16">
        <f>IF(ISNUMBER(SEARCH(SUBSTITUTE(AW$1,RIGHT(AW$1,2),""),VLOOKUP($D16,素材!$1:$1016,COLUMN($F$1),FALSE))),VLOOKUP($C16,武器!$1:$998,COLUMN($O$1),FALSE)*VLOOKUP($D16,素材!$1:$1016,COLUMN($E$1),FALSE)/(LEN(VLOOKUP($D16,素材!$1:$1016,COLUMN($F$1),FALSE)) - LEN(SUBSTITUTE(VLOOKUP($D16,素材!$1:$1016,COLUMN($F$1),FALSE), "・", 0)) + 1), 0)</f>
        <v>0</v>
      </c>
      <c r="AX16">
        <f>IF(ISNUMBER(SEARCH(SUBSTITUTE(AX$1,RIGHT(AX$1,2),""),VLOOKUP($D16,素材!$1:$1016,COLUMN($F$1),FALSE))),VLOOKUP($C16,武器!$1:$998,COLUMN($O$1),FALSE)*VLOOKUP($D16,素材!$1:$1016,COLUMN($E$1),FALSE)/(LEN(VLOOKUP($D16,素材!$1:$1016,COLUMN($F$1),FALSE)) - LEN(SUBSTITUTE(VLOOKUP($D16,素材!$1:$1016,COLUMN($F$1),FALSE), "・", 0)) + 1), 0)</f>
        <v>0</v>
      </c>
      <c r="AY16">
        <f>IF(ISNUMBER(SEARCH(SUBSTITUTE(AY$1,RIGHT(AY$1,2),""),VLOOKUP($D16,素材!$1:$1016,COLUMN($F$1),FALSE))),VLOOKUP($C16,武器!$1:$998,COLUMN($O$1),FALSE)*VLOOKUP($D16,素材!$1:$1016,COLUMN($E$1),FALSE)/(LEN(VLOOKUP($D16,素材!$1:$1016,COLUMN($F$1),FALSE)) - LEN(SUBSTITUTE(VLOOKUP($D16,素材!$1:$1016,COLUMN($F$1),FALSE), "・", 0)) + 1), 0)</f>
        <v>0</v>
      </c>
      <c r="AZ16">
        <f>IF(ISNUMBER(SEARCH(SUBSTITUTE(AZ$1,RIGHT(AZ$1,2),""),VLOOKUP($D16,素材!$1:$1016,COLUMN($F$1),FALSE))),VLOOKUP($C16,武器!$1:$998,COLUMN($O$1),FALSE)*VLOOKUP($D16,素材!$1:$1016,COLUMN($E$1),FALSE)/(LEN(VLOOKUP($D16,素材!$1:$1016,COLUMN($F$1),FALSE)) - LEN(SUBSTITUTE(VLOOKUP($D16,素材!$1:$1016,COLUMN($F$1),FALSE), "・", 0)) + 1), 0)</f>
        <v>0</v>
      </c>
      <c r="BA16">
        <f>IF(ISNUMBER(SEARCH(SUBSTITUTE(BA$1,RIGHT(BA$1,2),""),VLOOKUP($D16,素材!$1:$1016,COLUMN($F$1),FALSE))),VLOOKUP($C16,武器!$1:$998,COLUMN($O$1),FALSE)*VLOOKUP($D16,素材!$1:$1016,COLUMN($E$1),FALSE)/(LEN(VLOOKUP($D16,素材!$1:$1016,COLUMN($F$1),FALSE)) - LEN(SUBSTITUTE(VLOOKUP($D16,素材!$1:$1016,COLUMN($F$1),FALSE), "・", 0)) + 1), 0)</f>
        <v>0</v>
      </c>
      <c r="BB16">
        <f>IF(ISNUMBER(SEARCH(SUBSTITUTE(BB$1,RIGHT(BB$1,2),""),VLOOKUP($D16,素材!$1:$1016,COLUMN($F$1),FALSE))),VLOOKUP($C16,武器!$1:$998,COLUMN($O$1),FALSE)*VLOOKUP($D16,素材!$1:$1016,COLUMN($E$1),FALSE)/(LEN(VLOOKUP($D16,素材!$1:$1016,COLUMN($F$1),FALSE)) - LEN(SUBSTITUTE(VLOOKUP($D16,素材!$1:$1016,COLUMN($F$1),FALSE), "・", 0)) + 1), 0)</f>
        <v>0</v>
      </c>
      <c r="BC16">
        <f>IF(ISNUMBER(SEARCH(SUBSTITUTE(BC$1,RIGHT(BC$1,2),""),VLOOKUP($D16,素材!$1:$1016,COLUMN($F$1),FALSE))),VLOOKUP($C16,武器!$1:$998,COLUMN($O$1),FALSE)*VLOOKUP($D16,素材!$1:$1016,COLUMN($E$1),FALSE)/(LEN(VLOOKUP($D16,素材!$1:$1016,COLUMN($F$1),FALSE)) - LEN(SUBSTITUTE(VLOOKUP($D16,素材!$1:$1016,COLUMN($F$1),FALSE), "・", 0)) + 1), 0)</f>
        <v>0</v>
      </c>
      <c r="BD16">
        <f>IF(ISNUMBER(SEARCH(SUBSTITUTE(BD$1,RIGHT(BD$1,2),""),VLOOKUP($D16,素材!$1:$1016,COLUMN($F$1),FALSE))),VLOOKUP($C16,武器!$1:$998,COLUMN($O$1),FALSE)*VLOOKUP($D16,素材!$1:$1016,COLUMN($E$1),FALSE)/(LEN(VLOOKUP($D16,素材!$1:$1016,COLUMN($F$1),FALSE)) - LEN(SUBSTITUTE(VLOOKUP($D16,素材!$1:$1016,COLUMN($F$1),FALSE), "・", 0)) + 1), 0)</f>
        <v>0</v>
      </c>
      <c r="BE16">
        <f>IF(ISNUMBER(SEARCH(SUBSTITUTE(BE$1,RIGHT(BE$1,2),""),VLOOKUP($D16,素材!$1:$1016,COLUMN($F$1),FALSE))),VLOOKUP($C16,武器!$1:$998,COLUMN($O$1),FALSE)*VLOOKUP($D16,素材!$1:$1016,COLUMN($E$1),FALSE)/(LEN(VLOOKUP($D16,素材!$1:$1016,COLUMN($F$1),FALSE)) - LEN(SUBSTITUTE(VLOOKUP($D16,素材!$1:$1016,COLUMN($F$1),FALSE), "・", 0)) + 1), 0)</f>
        <v>0</v>
      </c>
      <c r="CL16">
        <f>SUM(G16:I16)</f>
        <v>23</v>
      </c>
      <c r="CM16" s="22" t="str">
        <f>IF(E16="武器",IF(J16-1&gt;SUM(G16:I16),"盾",IF(MAX(G16:I16)=G16,"切断",IF(MAX(G16:I16)=H16,"貫通",IF(MAX(G16:I16)=I16,"打撃","射撃")))),E16)&amp;".webp"</f>
        <v>打撃.webp</v>
      </c>
      <c r="CN16">
        <f>IFERROR(VLOOKUP($C16,武器!$1:$998,COLUMN(V$1),FALSE)*VLOOKUP($D16,素材!$1:$1016,COLUMN(N$1),FALSE)+IF(CI16="",0,VLOOKUP($CI16,装強!$1:$1008,COLUMN($CK$1),FALSE)),"")</f>
        <v>400</v>
      </c>
      <c r="CO16" t="str">
        <f>VLOOKUP(D16,素材!$A:$O,COLUMN(素材!O$1),FALSE)</f>
        <v>一般的な鉄。量産品を作るのに使用されることが多い</v>
      </c>
      <c r="CP16" t="str">
        <f>VLOOKUP(C16,武器!$A:$W,COLUMN(武器!W$1),FALSE)</f>
        <v>戦棍。打撃に優れた武器。Cr率が高い</v>
      </c>
      <c r="CR16" t="str">
        <f t="shared" si="1"/>
        <v>e_16</v>
      </c>
      <c r="CS16">
        <f t="shared" si="2"/>
        <v>40000</v>
      </c>
    </row>
    <row r="17" spans="1:97" outlineLevel="1" x14ac:dyDescent="0.4">
      <c r="A17" t="str">
        <f t="shared" si="0"/>
        <v>鉄の棘棍</v>
      </c>
      <c r="B17" t="str">
        <f>IFERROR(VLOOKUP($D17,素材!$1:$1016,COLUMN($B$1),FALSE)&amp;"・"&amp;VLOOKUP($C17,武器!$1:$998,COLUMN(B$1),FALSE),"")</f>
        <v>アイアン・モーニングスター</v>
      </c>
      <c r="C17" t="s">
        <v>228</v>
      </c>
      <c r="D17" s="24" t="s">
        <v>257</v>
      </c>
      <c r="E17" t="str">
        <f>IFERROR(VLOOKUP(C17,武器!$1:$998,COLUMN(C$1),FALSE),"")</f>
        <v>武器</v>
      </c>
      <c r="F17">
        <f>IFERROR(ROUNDDOWN((VLOOKUP($C17,武器!$1:$998,COLUMN(D$1),FALSE)+IFERROR(VLOOKUP($CI17,装強!$1:$999,COLUMN(F$1),FALSE),0))*VLOOKUP($D17,素材!$1:$1016,COLUMN(D$1),FALSE),0),"")</f>
        <v>105</v>
      </c>
      <c r="G17">
        <f>IFERROR(ROUNDDOWN((VLOOKUP($C17,武器!$1:$998,COLUMN(E$1),FALSE)+IFERROR(VLOOKUP($CI17,装強!$1:$999,COLUMN(G$1),FALSE),0))*VLOOKUP($D17,素材!$1:$1016,COLUMN($E$1),FALSE),0),"")</f>
        <v>0</v>
      </c>
      <c r="H17">
        <f>IFERROR(ROUNDDOWN((VLOOKUP($C17,武器!$1:$998,COLUMN(F$1),FALSE)+IFERROR(VLOOKUP($CI17,装強!$1:$999,COLUMN(H$1),FALSE),0))*VLOOKUP($D17,素材!$1:$1016,COLUMN($E$1),FALSE),0),"")</f>
        <v>12</v>
      </c>
      <c r="I17">
        <f>IFERROR(ROUNDDOWN((VLOOKUP($C17,武器!$1:$998,COLUMN(G$1),FALSE)+IFERROR(VLOOKUP($CI17,装強!$1:$999,COLUMN(I$1),FALSE),0))*VLOOKUP($D17,素材!$1:$1016,COLUMN($E$1),FALSE),0),"")</f>
        <v>12</v>
      </c>
      <c r="J17">
        <f>IFERROR(ROUNDDOWN((VLOOKUP($C17,武器!$1:$998,COLUMN(H$1),FALSE)+IFERROR(VLOOKUP($CI17,装強!$1:$999,COLUMN(J$1),FALSE),0))*VLOOKUP($D17,素材!$1:$1016,COLUMN($E$1),FALSE),0),"")</f>
        <v>19</v>
      </c>
      <c r="K17">
        <f>IFERROR(ROUNDDOWN((VLOOKUP($C17,武器!$1:$998,COLUMN(I$1),FALSE)+IFERROR(VLOOKUP($CI17,装強!$1:$999,COLUMN(K$1),FALSE),0))*VLOOKUP($D17,素材!$1:$1016,COLUMN($E$1),FALSE),0),"")</f>
        <v>0</v>
      </c>
      <c r="L17">
        <f>IFERROR(VLOOKUP($D17,素材!$1:$1016,COLUMN($F$1),FALSE),"")</f>
        <v>0</v>
      </c>
      <c r="M17">
        <f>IFERROR(VLOOKUP($C17,武器!$1:$998,COLUMN(AA$1),FALSE)*VLOOKUP($D17,素材!$1:$1016,COLUMN($G$1),FALSE),"")</f>
        <v>0</v>
      </c>
      <c r="N17">
        <f>IFERROR(VLOOKUP($C17,武器!$1:$998,COLUMN(I$1),FALSE),"")</f>
        <v>0</v>
      </c>
      <c r="O17" s="23">
        <f>IFERROR((VLOOKUP($C17,武器!$1:$998,COLUMN(K$1),FALSE)+VLOOKUP($D17,素材!$1:$1016,COLUMN(H$1),FALSE))*100+IFERROR(VLOOKUP($CI17,装強!$1:$999,COLUMN(O$1),FALSE),0),"")</f>
        <v>10</v>
      </c>
      <c r="P17" s="23">
        <f>IFERROR((VLOOKUP($C17,武器!$1:$998,COLUMN(L$1),FALSE)+VLOOKUP($D17,素材!$1:$1016,COLUMN(I$1),FALSE))*100+IFERROR(VLOOKUP($CI17,装強!$1:$999,COLUMN(P$1),FALSE),0),"")</f>
        <v>125</v>
      </c>
      <c r="Q17">
        <f>IFERROR(ROUNDUP(VLOOKUP($C17,武器!$1:$998,COLUMN(M$1),FALSE)*(VLOOKUP($D17,素材!$1:$1002,COLUMN(D$1),FALSE)/100),1),"")</f>
        <v>-2.5</v>
      </c>
      <c r="R17">
        <f>IFERROR(ROUNDUP(VLOOKUP($C17,武器!$1:$998,COLUMN(N$1),FALSE)*(VLOOKUP($D17,素材!$1:$1002,COLUMN(D$1),FALSE)/100),1),"")</f>
        <v>-2.5</v>
      </c>
      <c r="S17">
        <f>IFERROR(VLOOKUP($C17,武器!$1:$998,COLUMN(P$1),FALSE),"")</f>
        <v>0</v>
      </c>
      <c r="T17">
        <f>IFERROR(VLOOKUP($C17,武器!$1:$998,COLUMN(Q$1),FALSE),"")</f>
        <v>0</v>
      </c>
      <c r="U17">
        <f>IFERROR(VLOOKUP($C17,武器!$1:$998,COLUMN(R$1),FALSE),"")</f>
        <v>0</v>
      </c>
      <c r="V17">
        <f>IFERROR(VLOOKUP($C17,武器!$1:$998,COLUMN(Q$1),FALSE),"")</f>
        <v>0</v>
      </c>
      <c r="W17" t="str">
        <f>IFERROR(VLOOKUP($C17,武器!$1:$998,COLUMN(T$1),FALSE),"")</f>
        <v>A</v>
      </c>
      <c r="Y17">
        <f>IFERROR(VLOOKUP($C17,武器!$1:$998,COLUMN(U$1),FALSE),"")</f>
        <v>0</v>
      </c>
      <c r="Z17">
        <f>IFERROR(ROUNDUP(VLOOKUP($C17,武器!$1:$998,COLUMN(O$1),FALSE)*VLOOKUP($D17,素材!$1:$1016,COLUMN(E$1),FALSE),1),"")</f>
        <v>0</v>
      </c>
      <c r="AA17">
        <f>IF(ISNUMBER(SEARCH(SUBSTITUTE(AA$1,RIGHT(AA$1,2),""),VLOOKUP($D17,素材!$1:$1016,COLUMN($F$1),FALSE))),VLOOKUP($C17,武器!$1:$998,COLUMN($O$1),FALSE)*VLOOKUP($D17,素材!$1:$1016,COLUMN($E$1),FALSE)/(LEN(VLOOKUP($D17,素材!$1:$1016,COLUMN($F$1),FALSE)) - LEN(SUBSTITUTE(VLOOKUP($D17,素材!$1:$1016,COLUMN($F$1),FALSE), "・", 0)) + 1), 0)</f>
        <v>0</v>
      </c>
      <c r="AB17">
        <f>IF(ISNUMBER(SEARCH(SUBSTITUTE(AB$1,RIGHT(AB$1,2),""),VLOOKUP($D17,素材!$1:$1016,COLUMN($F$1),FALSE))),VLOOKUP($C17,武器!$1:$998,COLUMN($O$1),FALSE)*VLOOKUP($D17,素材!$1:$1016,COLUMN($E$1),FALSE)/(LEN(VLOOKUP($D17,素材!$1:$1016,COLUMN($F$1),FALSE)) - LEN(SUBSTITUTE(VLOOKUP($D17,素材!$1:$1016,COLUMN($F$1),FALSE), "・", 0)) + 1), 0)</f>
        <v>0</v>
      </c>
      <c r="AC17">
        <f>IF(ISNUMBER(SEARCH(SUBSTITUTE(AC$1,RIGHT(AC$1,2),""),VLOOKUP($D17,素材!$1:$1016,COLUMN($F$1),FALSE))),VLOOKUP($C17,武器!$1:$998,COLUMN($O$1),FALSE)*VLOOKUP($D17,素材!$1:$1016,COLUMN($E$1),FALSE)/(LEN(VLOOKUP($D17,素材!$1:$1016,COLUMN($F$1),FALSE)) - LEN(SUBSTITUTE(VLOOKUP($D17,素材!$1:$1016,COLUMN($F$1),FALSE), "・", 0)) + 1), 0)</f>
        <v>0</v>
      </c>
      <c r="AD17">
        <f>IF(ISNUMBER(SEARCH(SUBSTITUTE(AD$1,RIGHT(AD$1,2),""),VLOOKUP($D17,素材!$1:$1016,COLUMN($F$1),FALSE))),VLOOKUP($C17,武器!$1:$998,COLUMN($O$1),FALSE)*VLOOKUP($D17,素材!$1:$1016,COLUMN($E$1),FALSE)/(LEN(VLOOKUP($D17,素材!$1:$1016,COLUMN($F$1),FALSE)) - LEN(SUBSTITUTE(VLOOKUP($D17,素材!$1:$1016,COLUMN($F$1),FALSE), "・", 0)) + 1), 0)</f>
        <v>0</v>
      </c>
      <c r="AE17">
        <f>IF(ISNUMBER(SEARCH(SUBSTITUTE(AE$1,RIGHT(AE$1,2),""),VLOOKUP($D17,素材!$1:$1016,COLUMN($F$1),FALSE))),VLOOKUP($C17,武器!$1:$998,COLUMN($O$1),FALSE)*VLOOKUP($D17,素材!$1:$1016,COLUMN($E$1),FALSE)/(LEN(VLOOKUP($D17,素材!$1:$1016,COLUMN($F$1),FALSE)) - LEN(SUBSTITUTE(VLOOKUP($D17,素材!$1:$1016,COLUMN($F$1),FALSE), "・", 0)) + 1), 0)</f>
        <v>0</v>
      </c>
      <c r="AF17">
        <f>IF(ISNUMBER(SEARCH(SUBSTITUTE(AF$1,RIGHT(AF$1,2),""),VLOOKUP($D17,素材!$1:$1016,COLUMN($F$1),FALSE))),VLOOKUP($C17,武器!$1:$998,COLUMN($O$1),FALSE)*VLOOKUP($D17,素材!$1:$1016,COLUMN($E$1),FALSE)/(LEN(VLOOKUP($D17,素材!$1:$1016,COLUMN($F$1),FALSE)) - LEN(SUBSTITUTE(VLOOKUP($D17,素材!$1:$1016,COLUMN($F$1),FALSE), "・", 0)) + 1), 0)</f>
        <v>0</v>
      </c>
      <c r="AG17">
        <f>IF(ISNUMBER(SEARCH(SUBSTITUTE(AG$1,RIGHT(AG$1,2),""),VLOOKUP($D17,素材!$1:$1016,COLUMN($F$1),FALSE))),VLOOKUP($C17,武器!$1:$998,COLUMN($O$1),FALSE)*VLOOKUP($D17,素材!$1:$1016,COLUMN($E$1),FALSE)/(LEN(VLOOKUP($D17,素材!$1:$1016,COLUMN($F$1),FALSE)) - LEN(SUBSTITUTE(VLOOKUP($D17,素材!$1:$1016,COLUMN($F$1),FALSE), "・", 0)) + 1), 0)</f>
        <v>0</v>
      </c>
      <c r="AH17">
        <f>IF(ISNUMBER(SEARCH(SUBSTITUTE(AH$1,RIGHT(AH$1,2),""),VLOOKUP($D17,素材!$1:$1016,COLUMN($F$1),FALSE))),VLOOKUP($C17,武器!$1:$998,COLUMN($O$1),FALSE)*VLOOKUP($D17,素材!$1:$1016,COLUMN($E$1),FALSE)/(LEN(VLOOKUP($D17,素材!$1:$1016,COLUMN($F$1),FALSE)) - LEN(SUBSTITUTE(VLOOKUP($D17,素材!$1:$1016,COLUMN($F$1),FALSE), "・", 0)) + 1), 0)</f>
        <v>0</v>
      </c>
      <c r="AI17">
        <f>IF(ISNUMBER(SEARCH(SUBSTITUTE(AI$1,RIGHT(AI$1,2),""),VLOOKUP($D17,素材!$1:$1016,COLUMN($F$1),FALSE))),VLOOKUP($C17,武器!$1:$998,COLUMN($O$1),FALSE)*VLOOKUP($D17,素材!$1:$1016,COLUMN($E$1),FALSE)/(LEN(VLOOKUP($D17,素材!$1:$1016,COLUMN($F$1),FALSE)) - LEN(SUBSTITUTE(VLOOKUP($D17,素材!$1:$1016,COLUMN($F$1),FALSE), "・", 0)) + 1), 0)</f>
        <v>0</v>
      </c>
      <c r="AJ17">
        <f>IF(ISNUMBER(SEARCH(SUBSTITUTE(AJ$1,RIGHT(AJ$1,2),""),VLOOKUP($D17,素材!$1:$1016,COLUMN($F$1),FALSE))),VLOOKUP($C17,武器!$1:$998,COLUMN($O$1),FALSE)*VLOOKUP($D17,素材!$1:$1016,COLUMN($E$1),FALSE)/(LEN(VLOOKUP($D17,素材!$1:$1016,COLUMN($F$1),FALSE)) - LEN(SUBSTITUTE(VLOOKUP($D17,素材!$1:$1016,COLUMN($F$1),FALSE), "・", 0)) + 1), 0)</f>
        <v>0</v>
      </c>
      <c r="AK17">
        <f>IF(ISNUMBER(SEARCH(SUBSTITUTE(AK$1,RIGHT(AK$1,2),""),VLOOKUP($D17,素材!$1:$1016,COLUMN($F$1),FALSE))),VLOOKUP($C17,武器!$1:$998,COLUMN($O$1),FALSE)*VLOOKUP($D17,素材!$1:$1016,COLUMN($E$1),FALSE)/(LEN(VLOOKUP($D17,素材!$1:$1016,COLUMN($F$1),FALSE)) - LEN(SUBSTITUTE(VLOOKUP($D17,素材!$1:$1016,COLUMN($F$1),FALSE), "・", 0)) + 1), 0)</f>
        <v>0</v>
      </c>
      <c r="AL17">
        <f>IF(ISNUMBER(SEARCH(SUBSTITUTE(AL$1,RIGHT(AL$1,2),""),VLOOKUP($D17,素材!$1:$1016,COLUMN($F$1),FALSE))),VLOOKUP($C17,武器!$1:$998,COLUMN($O$1),FALSE)*VLOOKUP($D17,素材!$1:$1016,COLUMN($E$1),FALSE)/(LEN(VLOOKUP($D17,素材!$1:$1016,COLUMN($F$1),FALSE)) - LEN(SUBSTITUTE(VLOOKUP($D17,素材!$1:$1016,COLUMN($F$1),FALSE), "・", 0)) + 1), 0)</f>
        <v>0</v>
      </c>
      <c r="AM17">
        <f>IF(ISNUMBER(SEARCH(SUBSTITUTE(AM$1,RIGHT(AM$1,2),""),VLOOKUP($D17,素材!$1:$1016,COLUMN($F$1),FALSE))),VLOOKUP($C17,武器!$1:$998,COLUMN($O$1),FALSE)*VLOOKUP($D17,素材!$1:$1016,COLUMN($E$1),FALSE)/(LEN(VLOOKUP($D17,素材!$1:$1016,COLUMN($F$1),FALSE)) - LEN(SUBSTITUTE(VLOOKUP($D17,素材!$1:$1016,COLUMN($F$1),FALSE), "・", 0)) + 1), 0)</f>
        <v>0</v>
      </c>
      <c r="AN17">
        <f>IF(ISNUMBER(SEARCH(SUBSTITUTE(AN$1,RIGHT(AN$1,2),""),VLOOKUP($D17,素材!$1:$1016,COLUMN($F$1),FALSE))),VLOOKUP($C17,武器!$1:$998,COLUMN($O$1),FALSE)*VLOOKUP($D17,素材!$1:$1016,COLUMN($E$1),FALSE)/(LEN(VLOOKUP($D17,素材!$1:$1016,COLUMN($F$1),FALSE)) - LEN(SUBSTITUTE(VLOOKUP($D17,素材!$1:$1016,COLUMN($F$1),FALSE), "・", 0)) + 1), 0)</f>
        <v>0</v>
      </c>
      <c r="AO17">
        <f>IF(ISNUMBER(SEARCH(SUBSTITUTE(AO$1,RIGHT(AO$1,2),""),VLOOKUP($D17,素材!$1:$1016,COLUMN($F$1),FALSE))),VLOOKUP($C17,武器!$1:$998,COLUMN($O$1),FALSE)*VLOOKUP($D17,素材!$1:$1016,COLUMN($E$1),FALSE)/(LEN(VLOOKUP($D17,素材!$1:$1016,COLUMN($F$1),FALSE)) - LEN(SUBSTITUTE(VLOOKUP($D17,素材!$1:$1016,COLUMN($F$1),FALSE), "・", 0)) + 1), 0)</f>
        <v>0</v>
      </c>
      <c r="AP17">
        <f>IF(ISNUMBER(SEARCH(SUBSTITUTE(AP$1,RIGHT(AP$1,2),""),VLOOKUP($D17,素材!$1:$1016,COLUMN($F$1),FALSE))),VLOOKUP($C17,武器!$1:$998,COLUMN($O$1),FALSE)*VLOOKUP($D17,素材!$1:$1016,COLUMN($E$1),FALSE)/(LEN(VLOOKUP($D17,素材!$1:$1016,COLUMN($F$1),FALSE)) - LEN(SUBSTITUTE(VLOOKUP($D17,素材!$1:$1016,COLUMN($F$1),FALSE), "・", 0)) + 1), 0)</f>
        <v>0</v>
      </c>
      <c r="AQ17">
        <f>IF(ISNUMBER(SEARCH(SUBSTITUTE(AQ$1,RIGHT(AQ$1,2),""),VLOOKUP($D17,素材!$1:$1016,COLUMN($F$1),FALSE))),VLOOKUP($C17,武器!$1:$998,COLUMN($O$1),FALSE)*VLOOKUP($D17,素材!$1:$1016,COLUMN($E$1),FALSE)/(LEN(VLOOKUP($D17,素材!$1:$1016,COLUMN($F$1),FALSE)) - LEN(SUBSTITUTE(VLOOKUP($D17,素材!$1:$1016,COLUMN($F$1),FALSE), "・", 0)) + 1), 0)</f>
        <v>0</v>
      </c>
      <c r="AR17">
        <f>IF(ISNUMBER(SEARCH(SUBSTITUTE(AR$1,RIGHT(AR$1,2),""),VLOOKUP($D17,素材!$1:$1016,COLUMN($F$1),FALSE))),VLOOKUP($C17,武器!$1:$998,COLUMN($O$1),FALSE)*VLOOKUP($D17,素材!$1:$1016,COLUMN($E$1),FALSE)/(LEN(VLOOKUP($D17,素材!$1:$1016,COLUMN($F$1),FALSE)) - LEN(SUBSTITUTE(VLOOKUP($D17,素材!$1:$1016,COLUMN($F$1),FALSE), "・", 0)) + 1), 0)</f>
        <v>0</v>
      </c>
      <c r="AS17">
        <f>IF(ISNUMBER(SEARCH(SUBSTITUTE(AS$1,RIGHT(AS$1,2),""),VLOOKUP($D17,素材!$1:$1016,COLUMN($F$1),FALSE))),VLOOKUP($C17,武器!$1:$998,COLUMN($O$1),FALSE)*VLOOKUP($D17,素材!$1:$1016,COLUMN($E$1),FALSE)/(LEN(VLOOKUP($D17,素材!$1:$1016,COLUMN($F$1),FALSE)) - LEN(SUBSTITUTE(VLOOKUP($D17,素材!$1:$1016,COLUMN($F$1),FALSE), "・", 0)) + 1), 0)</f>
        <v>0</v>
      </c>
      <c r="AT17">
        <f>IF(ISNUMBER(SEARCH(SUBSTITUTE(AT$1,RIGHT(AT$1,2),""),VLOOKUP($D17,素材!$1:$1016,COLUMN($F$1),FALSE))),VLOOKUP($C17,武器!$1:$998,COLUMN($O$1),FALSE)*VLOOKUP($D17,素材!$1:$1016,COLUMN($E$1),FALSE)/(LEN(VLOOKUP($D17,素材!$1:$1016,COLUMN($F$1),FALSE)) - LEN(SUBSTITUTE(VLOOKUP($D17,素材!$1:$1016,COLUMN($F$1),FALSE), "・", 0)) + 1), 0)</f>
        <v>0</v>
      </c>
      <c r="AU17">
        <f>IF(ISNUMBER(SEARCH(SUBSTITUTE(AU$1,RIGHT(AU$1,2),""),VLOOKUP($D17,素材!$1:$1016,COLUMN($F$1),FALSE))),VLOOKUP($C17,武器!$1:$998,COLUMN($O$1),FALSE)*VLOOKUP($D17,素材!$1:$1016,COLUMN($E$1),FALSE)/(LEN(VLOOKUP($D17,素材!$1:$1016,COLUMN($F$1),FALSE)) - LEN(SUBSTITUTE(VLOOKUP($D17,素材!$1:$1016,COLUMN($F$1),FALSE), "・", 0)) + 1), 0)</f>
        <v>0</v>
      </c>
      <c r="AV17">
        <f>IF(ISNUMBER(SEARCH(SUBSTITUTE(AV$1,RIGHT(AV$1,2),""),VLOOKUP($D17,素材!$1:$1016,COLUMN($F$1),FALSE))),VLOOKUP($C17,武器!$1:$998,COLUMN($O$1),FALSE)*VLOOKUP($D17,素材!$1:$1016,COLUMN($E$1),FALSE)/(LEN(VLOOKUP($D17,素材!$1:$1016,COLUMN($F$1),FALSE)) - LEN(SUBSTITUTE(VLOOKUP($D17,素材!$1:$1016,COLUMN($F$1),FALSE), "・", 0)) + 1), 0)</f>
        <v>0</v>
      </c>
      <c r="AW17">
        <f>IF(ISNUMBER(SEARCH(SUBSTITUTE(AW$1,RIGHT(AW$1,2),""),VLOOKUP($D17,素材!$1:$1016,COLUMN($F$1),FALSE))),VLOOKUP($C17,武器!$1:$998,COLUMN($O$1),FALSE)*VLOOKUP($D17,素材!$1:$1016,COLUMN($E$1),FALSE)/(LEN(VLOOKUP($D17,素材!$1:$1016,COLUMN($F$1),FALSE)) - LEN(SUBSTITUTE(VLOOKUP($D17,素材!$1:$1016,COLUMN($F$1),FALSE), "・", 0)) + 1), 0)</f>
        <v>0</v>
      </c>
      <c r="AX17">
        <f>IF(ISNUMBER(SEARCH(SUBSTITUTE(AX$1,RIGHT(AX$1,2),""),VLOOKUP($D17,素材!$1:$1016,COLUMN($F$1),FALSE))),VLOOKUP($C17,武器!$1:$998,COLUMN($O$1),FALSE)*VLOOKUP($D17,素材!$1:$1016,COLUMN($E$1),FALSE)/(LEN(VLOOKUP($D17,素材!$1:$1016,COLUMN($F$1),FALSE)) - LEN(SUBSTITUTE(VLOOKUP($D17,素材!$1:$1016,COLUMN($F$1),FALSE), "・", 0)) + 1), 0)</f>
        <v>0</v>
      </c>
      <c r="AY17">
        <f>IF(ISNUMBER(SEARCH(SUBSTITUTE(AY$1,RIGHT(AY$1,2),""),VLOOKUP($D17,素材!$1:$1016,COLUMN($F$1),FALSE))),VLOOKUP($C17,武器!$1:$998,COLUMN($O$1),FALSE)*VLOOKUP($D17,素材!$1:$1016,COLUMN($E$1),FALSE)/(LEN(VLOOKUP($D17,素材!$1:$1016,COLUMN($F$1),FALSE)) - LEN(SUBSTITUTE(VLOOKUP($D17,素材!$1:$1016,COLUMN($F$1),FALSE), "・", 0)) + 1), 0)</f>
        <v>0</v>
      </c>
      <c r="AZ17">
        <f>IF(ISNUMBER(SEARCH(SUBSTITUTE(AZ$1,RIGHT(AZ$1,2),""),VLOOKUP($D17,素材!$1:$1016,COLUMN($F$1),FALSE))),VLOOKUP($C17,武器!$1:$998,COLUMN($O$1),FALSE)*VLOOKUP($D17,素材!$1:$1016,COLUMN($E$1),FALSE)/(LEN(VLOOKUP($D17,素材!$1:$1016,COLUMN($F$1),FALSE)) - LEN(SUBSTITUTE(VLOOKUP($D17,素材!$1:$1016,COLUMN($F$1),FALSE), "・", 0)) + 1), 0)</f>
        <v>0</v>
      </c>
      <c r="BA17">
        <f>IF(ISNUMBER(SEARCH(SUBSTITUTE(BA$1,RIGHT(BA$1,2),""),VLOOKUP($D17,素材!$1:$1016,COLUMN($F$1),FALSE))),VLOOKUP($C17,武器!$1:$998,COLUMN($O$1),FALSE)*VLOOKUP($D17,素材!$1:$1016,COLUMN($E$1),FALSE)/(LEN(VLOOKUP($D17,素材!$1:$1016,COLUMN($F$1),FALSE)) - LEN(SUBSTITUTE(VLOOKUP($D17,素材!$1:$1016,COLUMN($F$1),FALSE), "・", 0)) + 1), 0)</f>
        <v>0</v>
      </c>
      <c r="BB17">
        <f>IF(ISNUMBER(SEARCH(SUBSTITUTE(BB$1,RIGHT(BB$1,2),""),VLOOKUP($D17,素材!$1:$1016,COLUMN($F$1),FALSE))),VLOOKUP($C17,武器!$1:$998,COLUMN($O$1),FALSE)*VLOOKUP($D17,素材!$1:$1016,COLUMN($E$1),FALSE)/(LEN(VLOOKUP($D17,素材!$1:$1016,COLUMN($F$1),FALSE)) - LEN(SUBSTITUTE(VLOOKUP($D17,素材!$1:$1016,COLUMN($F$1),FALSE), "・", 0)) + 1), 0)</f>
        <v>0</v>
      </c>
      <c r="BC17">
        <f>IF(ISNUMBER(SEARCH(SUBSTITUTE(BC$1,RIGHT(BC$1,2),""),VLOOKUP($D17,素材!$1:$1016,COLUMN($F$1),FALSE))),VLOOKUP($C17,武器!$1:$998,COLUMN($O$1),FALSE)*VLOOKUP($D17,素材!$1:$1016,COLUMN($E$1),FALSE)/(LEN(VLOOKUP($D17,素材!$1:$1016,COLUMN($F$1),FALSE)) - LEN(SUBSTITUTE(VLOOKUP($D17,素材!$1:$1016,COLUMN($F$1),FALSE), "・", 0)) + 1), 0)</f>
        <v>0</v>
      </c>
      <c r="BD17">
        <f>IF(ISNUMBER(SEARCH(SUBSTITUTE(BD$1,RIGHT(BD$1,2),""),VLOOKUP($D17,素材!$1:$1016,COLUMN($F$1),FALSE))),VLOOKUP($C17,武器!$1:$998,COLUMN($O$1),FALSE)*VLOOKUP($D17,素材!$1:$1016,COLUMN($E$1),FALSE)/(LEN(VLOOKUP($D17,素材!$1:$1016,COLUMN($F$1),FALSE)) - LEN(SUBSTITUTE(VLOOKUP($D17,素材!$1:$1016,COLUMN($F$1),FALSE), "・", 0)) + 1), 0)</f>
        <v>0</v>
      </c>
      <c r="BE17">
        <f>IF(ISNUMBER(SEARCH(SUBSTITUTE(BE$1,RIGHT(BE$1,2),""),VLOOKUP($D17,素材!$1:$1016,COLUMN($F$1),FALSE))),VLOOKUP($C17,武器!$1:$998,COLUMN($O$1),FALSE)*VLOOKUP($D17,素材!$1:$1016,COLUMN($E$1),FALSE)/(LEN(VLOOKUP($D17,素材!$1:$1016,COLUMN($F$1),FALSE)) - LEN(SUBSTITUTE(VLOOKUP($D17,素材!$1:$1016,COLUMN($F$1),FALSE), "・", 0)) + 1), 0)</f>
        <v>0</v>
      </c>
      <c r="CL17">
        <f>SUM(G17:I17)</f>
        <v>24</v>
      </c>
      <c r="CM17" s="22" t="str">
        <f>IF(E17="武器",IF(J17-1&gt;SUM(G17:I17),"盾",IF(MAX(G17:I17)=G17,"切断",IF(MAX(G17:I17)=H17,"貫通",IF(MAX(G17:I17)=I17,"打撃","射撃")))),E17)&amp;".webp"</f>
        <v>貫通.webp</v>
      </c>
      <c r="CN17">
        <f>IFERROR(VLOOKUP($C17,武器!$1:$998,COLUMN(V$1),FALSE)*VLOOKUP($D17,素材!$1:$1016,COLUMN(N$1),FALSE)+IF(CI17="",0,VLOOKUP($CI17,装強!$1:$1008,COLUMN($CK$1),FALSE)),"")</f>
        <v>400</v>
      </c>
      <c r="CO17" t="str">
        <f>VLOOKUP(D17,素材!$A:$O,COLUMN(素材!O$1),FALSE)</f>
        <v>一般的な鉄。量産品を作るのに使用されることが多い</v>
      </c>
      <c r="CP17" t="str">
        <f>VLOOKUP(C17,武器!$A:$W,COLUMN(武器!W$1),FALSE)</f>
        <v>棘棍。打撃と刺突を兼ね備えた武器。</v>
      </c>
      <c r="CR17" t="str">
        <f t="shared" si="1"/>
        <v>e_17</v>
      </c>
      <c r="CS17">
        <f t="shared" si="2"/>
        <v>40000</v>
      </c>
    </row>
    <row r="18" spans="1:97" outlineLevel="1" x14ac:dyDescent="0.4">
      <c r="A18" t="str">
        <f t="shared" si="0"/>
        <v>鉄の鎚</v>
      </c>
      <c r="B18" t="str">
        <f>IFERROR(VLOOKUP($D18,素材!$1:$1016,COLUMN($B$1),FALSE)&amp;"・"&amp;VLOOKUP($C18,武器!$1:$998,COLUMN(B$1),FALSE),"")</f>
        <v>アイアン・ハンマー</v>
      </c>
      <c r="C18" t="s">
        <v>227</v>
      </c>
      <c r="D18" s="24" t="s">
        <v>257</v>
      </c>
      <c r="E18" t="str">
        <f>IFERROR(VLOOKUP(C18,武器!$1:$998,COLUMN(C$1),FALSE),"")</f>
        <v>武器</v>
      </c>
      <c r="F18">
        <f>IFERROR(ROUNDDOWN((VLOOKUP($C18,武器!$1:$998,COLUMN(D$1),FALSE)+IFERROR(VLOOKUP($CI18,装強!$1:$999,COLUMN(F$1),FALSE),0))*VLOOKUP($D18,素材!$1:$1016,COLUMN(D$1),FALSE),0),"")</f>
        <v>110</v>
      </c>
      <c r="G18">
        <f>IFERROR(ROUNDDOWN((VLOOKUP($C18,武器!$1:$998,COLUMN(E$1),FALSE)+IFERROR(VLOOKUP($CI18,装強!$1:$999,COLUMN(G$1),FALSE),0))*VLOOKUP($D18,素材!$1:$1016,COLUMN($E$1),FALSE),0),"")</f>
        <v>0</v>
      </c>
      <c r="H18">
        <f>IFERROR(ROUNDDOWN((VLOOKUP($C18,武器!$1:$998,COLUMN(F$1),FALSE)+IFERROR(VLOOKUP($CI18,装強!$1:$999,COLUMN(H$1),FALSE),0))*VLOOKUP($D18,素材!$1:$1016,COLUMN($E$1),FALSE),0),"")</f>
        <v>0</v>
      </c>
      <c r="I18">
        <f>IFERROR(ROUNDDOWN((VLOOKUP($C18,武器!$1:$998,COLUMN(G$1),FALSE)+IFERROR(VLOOKUP($CI18,装強!$1:$999,COLUMN(I$1),FALSE),0))*VLOOKUP($D18,素材!$1:$1016,COLUMN($E$1),FALSE),0),"")</f>
        <v>22</v>
      </c>
      <c r="J18">
        <f>IFERROR(ROUNDDOWN((VLOOKUP($C18,武器!$1:$998,COLUMN(H$1),FALSE)+IFERROR(VLOOKUP($CI18,装強!$1:$999,COLUMN(J$1),FALSE),0))*VLOOKUP($D18,素材!$1:$1016,COLUMN($E$1),FALSE),0),"")</f>
        <v>19</v>
      </c>
      <c r="K18">
        <f>IFERROR(ROUNDDOWN((VLOOKUP($C18,武器!$1:$998,COLUMN(I$1),FALSE)+IFERROR(VLOOKUP($CI18,装強!$1:$999,COLUMN(K$1),FALSE),0))*VLOOKUP($D18,素材!$1:$1016,COLUMN($E$1),FALSE),0),"")</f>
        <v>0</v>
      </c>
      <c r="L18">
        <f>IFERROR(VLOOKUP($D18,素材!$1:$1016,COLUMN($F$1),FALSE),"")</f>
        <v>0</v>
      </c>
      <c r="M18">
        <f>IFERROR(VLOOKUP($C18,武器!$1:$998,COLUMN(AA$1),FALSE)*VLOOKUP($D18,素材!$1:$1016,COLUMN($G$1),FALSE),"")</f>
        <v>0</v>
      </c>
      <c r="N18">
        <f>IFERROR(VLOOKUP($C18,武器!$1:$998,COLUMN(I$1),FALSE),"")</f>
        <v>0</v>
      </c>
      <c r="O18" s="23">
        <f>IFERROR((VLOOKUP($C18,武器!$1:$998,COLUMN(K$1),FALSE)+VLOOKUP($D18,素材!$1:$1016,COLUMN(H$1),FALSE))*100+IFERROR(VLOOKUP($CI18,装強!$1:$999,COLUMN(O$1),FALSE),0),"")</f>
        <v>10</v>
      </c>
      <c r="P18" s="23">
        <f>IFERROR((VLOOKUP($C18,武器!$1:$998,COLUMN(L$1),FALSE)+VLOOKUP($D18,素材!$1:$1016,COLUMN(I$1),FALSE))*100+IFERROR(VLOOKUP($CI18,装強!$1:$999,COLUMN(P$1),FALSE),0),"")</f>
        <v>150</v>
      </c>
      <c r="Q18">
        <f>IFERROR(ROUNDUP(VLOOKUP($C18,武器!$1:$998,COLUMN(M$1),FALSE)*(VLOOKUP($D18,素材!$1:$1002,COLUMN(D$1),FALSE)/100),1),"")</f>
        <v>-2.5</v>
      </c>
      <c r="R18">
        <f>IFERROR(ROUNDUP(VLOOKUP($C18,武器!$1:$998,COLUMN(N$1),FALSE)*(VLOOKUP($D18,素材!$1:$1002,COLUMN(D$1),FALSE)/100),1),"")</f>
        <v>0</v>
      </c>
      <c r="S18">
        <f>IFERROR(VLOOKUP($C18,武器!$1:$998,COLUMN(P$1),FALSE),"")</f>
        <v>0</v>
      </c>
      <c r="T18">
        <f>IFERROR(VLOOKUP($C18,武器!$1:$998,COLUMN(Q$1),FALSE),"")</f>
        <v>0</v>
      </c>
      <c r="U18">
        <f>IFERROR(VLOOKUP($C18,武器!$1:$998,COLUMN(R$1),FALSE),"")</f>
        <v>0</v>
      </c>
      <c r="V18">
        <f>IFERROR(VLOOKUP($C18,武器!$1:$998,COLUMN(Q$1),FALSE),"")</f>
        <v>0</v>
      </c>
      <c r="W18" t="str">
        <f>IFERROR(VLOOKUP($C18,武器!$1:$998,COLUMN(T$1),FALSE),"")</f>
        <v>A</v>
      </c>
      <c r="Y18" t="str">
        <f>IFERROR(VLOOKUP($C18,武器!$1:$998,COLUMN(U$1),FALSE),"")</f>
        <v>投擲強化</v>
      </c>
      <c r="Z18">
        <f>IFERROR(ROUNDUP(VLOOKUP($C18,武器!$1:$998,COLUMN(O$1),FALSE)*VLOOKUP($D18,素材!$1:$1016,COLUMN(E$1),FALSE),1),"")</f>
        <v>0</v>
      </c>
      <c r="AA18">
        <f>IF(ISNUMBER(SEARCH(SUBSTITUTE(AA$1,RIGHT(AA$1,2),""),VLOOKUP($D18,素材!$1:$1016,COLUMN($F$1),FALSE))),VLOOKUP($C18,武器!$1:$998,COLUMN($O$1),FALSE)*VLOOKUP($D18,素材!$1:$1016,COLUMN($E$1),FALSE)/(LEN(VLOOKUP($D18,素材!$1:$1016,COLUMN($F$1),FALSE)) - LEN(SUBSTITUTE(VLOOKUP($D18,素材!$1:$1016,COLUMN($F$1),FALSE), "・", 0)) + 1), 0)</f>
        <v>0</v>
      </c>
      <c r="AB18">
        <f>IF(ISNUMBER(SEARCH(SUBSTITUTE(AB$1,RIGHT(AB$1,2),""),VLOOKUP($D18,素材!$1:$1016,COLUMN($F$1),FALSE))),VLOOKUP($C18,武器!$1:$998,COLUMN($O$1),FALSE)*VLOOKUP($D18,素材!$1:$1016,COLUMN($E$1),FALSE)/(LEN(VLOOKUP($D18,素材!$1:$1016,COLUMN($F$1),FALSE)) - LEN(SUBSTITUTE(VLOOKUP($D18,素材!$1:$1016,COLUMN($F$1),FALSE), "・", 0)) + 1), 0)</f>
        <v>0</v>
      </c>
      <c r="AC18">
        <f>IF(ISNUMBER(SEARCH(SUBSTITUTE(AC$1,RIGHT(AC$1,2),""),VLOOKUP($D18,素材!$1:$1016,COLUMN($F$1),FALSE))),VLOOKUP($C18,武器!$1:$998,COLUMN($O$1),FALSE)*VLOOKUP($D18,素材!$1:$1016,COLUMN($E$1),FALSE)/(LEN(VLOOKUP($D18,素材!$1:$1016,COLUMN($F$1),FALSE)) - LEN(SUBSTITUTE(VLOOKUP($D18,素材!$1:$1016,COLUMN($F$1),FALSE), "・", 0)) + 1), 0)</f>
        <v>0</v>
      </c>
      <c r="AD18">
        <f>IF(ISNUMBER(SEARCH(SUBSTITUTE(AD$1,RIGHT(AD$1,2),""),VLOOKUP($D18,素材!$1:$1016,COLUMN($F$1),FALSE))),VLOOKUP($C18,武器!$1:$998,COLUMN($O$1),FALSE)*VLOOKUP($D18,素材!$1:$1016,COLUMN($E$1),FALSE)/(LEN(VLOOKUP($D18,素材!$1:$1016,COLUMN($F$1),FALSE)) - LEN(SUBSTITUTE(VLOOKUP($D18,素材!$1:$1016,COLUMN($F$1),FALSE), "・", 0)) + 1), 0)</f>
        <v>0</v>
      </c>
      <c r="AE18">
        <f>IF(ISNUMBER(SEARCH(SUBSTITUTE(AE$1,RIGHT(AE$1,2),""),VLOOKUP($D18,素材!$1:$1016,COLUMN($F$1),FALSE))),VLOOKUP($C18,武器!$1:$998,COLUMN($O$1),FALSE)*VLOOKUP($D18,素材!$1:$1016,COLUMN($E$1),FALSE)/(LEN(VLOOKUP($D18,素材!$1:$1016,COLUMN($F$1),FALSE)) - LEN(SUBSTITUTE(VLOOKUP($D18,素材!$1:$1016,COLUMN($F$1),FALSE), "・", 0)) + 1), 0)</f>
        <v>0</v>
      </c>
      <c r="AF18">
        <f>IF(ISNUMBER(SEARCH(SUBSTITUTE(AF$1,RIGHT(AF$1,2),""),VLOOKUP($D18,素材!$1:$1016,COLUMN($F$1),FALSE))),VLOOKUP($C18,武器!$1:$998,COLUMN($O$1),FALSE)*VLOOKUP($D18,素材!$1:$1016,COLUMN($E$1),FALSE)/(LEN(VLOOKUP($D18,素材!$1:$1016,COLUMN($F$1),FALSE)) - LEN(SUBSTITUTE(VLOOKUP($D18,素材!$1:$1016,COLUMN($F$1),FALSE), "・", 0)) + 1), 0)</f>
        <v>0</v>
      </c>
      <c r="AG18">
        <f>IF(ISNUMBER(SEARCH(SUBSTITUTE(AG$1,RIGHT(AG$1,2),""),VLOOKUP($D18,素材!$1:$1016,COLUMN($F$1),FALSE))),VLOOKUP($C18,武器!$1:$998,COLUMN($O$1),FALSE)*VLOOKUP($D18,素材!$1:$1016,COLUMN($E$1),FALSE)/(LEN(VLOOKUP($D18,素材!$1:$1016,COLUMN($F$1),FALSE)) - LEN(SUBSTITUTE(VLOOKUP($D18,素材!$1:$1016,COLUMN($F$1),FALSE), "・", 0)) + 1), 0)</f>
        <v>0</v>
      </c>
      <c r="AH18">
        <f>IF(ISNUMBER(SEARCH(SUBSTITUTE(AH$1,RIGHT(AH$1,2),""),VLOOKUP($D18,素材!$1:$1016,COLUMN($F$1),FALSE))),VLOOKUP($C18,武器!$1:$998,COLUMN($O$1),FALSE)*VLOOKUP($D18,素材!$1:$1016,COLUMN($E$1),FALSE)/(LEN(VLOOKUP($D18,素材!$1:$1016,COLUMN($F$1),FALSE)) - LEN(SUBSTITUTE(VLOOKUP($D18,素材!$1:$1016,COLUMN($F$1),FALSE), "・", 0)) + 1), 0)</f>
        <v>0</v>
      </c>
      <c r="AI18">
        <f>IF(ISNUMBER(SEARCH(SUBSTITUTE(AI$1,RIGHT(AI$1,2),""),VLOOKUP($D18,素材!$1:$1016,COLUMN($F$1),FALSE))),VLOOKUP($C18,武器!$1:$998,COLUMN($O$1),FALSE)*VLOOKUP($D18,素材!$1:$1016,COLUMN($E$1),FALSE)/(LEN(VLOOKUP($D18,素材!$1:$1016,COLUMN($F$1),FALSE)) - LEN(SUBSTITUTE(VLOOKUP($D18,素材!$1:$1016,COLUMN($F$1),FALSE), "・", 0)) + 1), 0)</f>
        <v>0</v>
      </c>
      <c r="AJ18">
        <f>IF(ISNUMBER(SEARCH(SUBSTITUTE(AJ$1,RIGHT(AJ$1,2),""),VLOOKUP($D18,素材!$1:$1016,COLUMN($F$1),FALSE))),VLOOKUP($C18,武器!$1:$998,COLUMN($O$1),FALSE)*VLOOKUP($D18,素材!$1:$1016,COLUMN($E$1),FALSE)/(LEN(VLOOKUP($D18,素材!$1:$1016,COLUMN($F$1),FALSE)) - LEN(SUBSTITUTE(VLOOKUP($D18,素材!$1:$1016,COLUMN($F$1),FALSE), "・", 0)) + 1), 0)</f>
        <v>0</v>
      </c>
      <c r="AK18">
        <f>IF(ISNUMBER(SEARCH(SUBSTITUTE(AK$1,RIGHT(AK$1,2),""),VLOOKUP($D18,素材!$1:$1016,COLUMN($F$1),FALSE))),VLOOKUP($C18,武器!$1:$998,COLUMN($O$1),FALSE)*VLOOKUP($D18,素材!$1:$1016,COLUMN($E$1),FALSE)/(LEN(VLOOKUP($D18,素材!$1:$1016,COLUMN($F$1),FALSE)) - LEN(SUBSTITUTE(VLOOKUP($D18,素材!$1:$1016,COLUMN($F$1),FALSE), "・", 0)) + 1), 0)</f>
        <v>0</v>
      </c>
      <c r="AL18">
        <f>IF(ISNUMBER(SEARCH(SUBSTITUTE(AL$1,RIGHT(AL$1,2),""),VLOOKUP($D18,素材!$1:$1016,COLUMN($F$1),FALSE))),VLOOKUP($C18,武器!$1:$998,COLUMN($O$1),FALSE)*VLOOKUP($D18,素材!$1:$1016,COLUMN($E$1),FALSE)/(LEN(VLOOKUP($D18,素材!$1:$1016,COLUMN($F$1),FALSE)) - LEN(SUBSTITUTE(VLOOKUP($D18,素材!$1:$1016,COLUMN($F$1),FALSE), "・", 0)) + 1), 0)</f>
        <v>0</v>
      </c>
      <c r="AM18">
        <f>IF(ISNUMBER(SEARCH(SUBSTITUTE(AM$1,RIGHT(AM$1,2),""),VLOOKUP($D18,素材!$1:$1016,COLUMN($F$1),FALSE))),VLOOKUP($C18,武器!$1:$998,COLUMN($O$1),FALSE)*VLOOKUP($D18,素材!$1:$1016,COLUMN($E$1),FALSE)/(LEN(VLOOKUP($D18,素材!$1:$1016,COLUMN($F$1),FALSE)) - LEN(SUBSTITUTE(VLOOKUP($D18,素材!$1:$1016,COLUMN($F$1),FALSE), "・", 0)) + 1), 0)</f>
        <v>0</v>
      </c>
      <c r="AN18">
        <f>IF(ISNUMBER(SEARCH(SUBSTITUTE(AN$1,RIGHT(AN$1,2),""),VLOOKUP($D18,素材!$1:$1016,COLUMN($F$1),FALSE))),VLOOKUP($C18,武器!$1:$998,COLUMN($O$1),FALSE)*VLOOKUP($D18,素材!$1:$1016,COLUMN($E$1),FALSE)/(LEN(VLOOKUP($D18,素材!$1:$1016,COLUMN($F$1),FALSE)) - LEN(SUBSTITUTE(VLOOKUP($D18,素材!$1:$1016,COLUMN($F$1),FALSE), "・", 0)) + 1), 0)</f>
        <v>0</v>
      </c>
      <c r="AO18">
        <f>IF(ISNUMBER(SEARCH(SUBSTITUTE(AO$1,RIGHT(AO$1,2),""),VLOOKUP($D18,素材!$1:$1016,COLUMN($F$1),FALSE))),VLOOKUP($C18,武器!$1:$998,COLUMN($O$1),FALSE)*VLOOKUP($D18,素材!$1:$1016,COLUMN($E$1),FALSE)/(LEN(VLOOKUP($D18,素材!$1:$1016,COLUMN($F$1),FALSE)) - LEN(SUBSTITUTE(VLOOKUP($D18,素材!$1:$1016,COLUMN($F$1),FALSE), "・", 0)) + 1), 0)</f>
        <v>0</v>
      </c>
      <c r="AP18">
        <f>IF(ISNUMBER(SEARCH(SUBSTITUTE(AP$1,RIGHT(AP$1,2),""),VLOOKUP($D18,素材!$1:$1016,COLUMN($F$1),FALSE))),VLOOKUP($C18,武器!$1:$998,COLUMN($O$1),FALSE)*VLOOKUP($D18,素材!$1:$1016,COLUMN($E$1),FALSE)/(LEN(VLOOKUP($D18,素材!$1:$1016,COLUMN($F$1),FALSE)) - LEN(SUBSTITUTE(VLOOKUP($D18,素材!$1:$1016,COLUMN($F$1),FALSE), "・", 0)) + 1), 0)</f>
        <v>0</v>
      </c>
      <c r="AQ18">
        <f>IF(ISNUMBER(SEARCH(SUBSTITUTE(AQ$1,RIGHT(AQ$1,2),""),VLOOKUP($D18,素材!$1:$1016,COLUMN($F$1),FALSE))),VLOOKUP($C18,武器!$1:$998,COLUMN($O$1),FALSE)*VLOOKUP($D18,素材!$1:$1016,COLUMN($E$1),FALSE)/(LEN(VLOOKUP($D18,素材!$1:$1016,COLUMN($F$1),FALSE)) - LEN(SUBSTITUTE(VLOOKUP($D18,素材!$1:$1016,COLUMN($F$1),FALSE), "・", 0)) + 1), 0)</f>
        <v>0</v>
      </c>
      <c r="AR18">
        <f>IF(ISNUMBER(SEARCH(SUBSTITUTE(AR$1,RIGHT(AR$1,2),""),VLOOKUP($D18,素材!$1:$1016,COLUMN($F$1),FALSE))),VLOOKUP($C18,武器!$1:$998,COLUMN($O$1),FALSE)*VLOOKUP($D18,素材!$1:$1016,COLUMN($E$1),FALSE)/(LEN(VLOOKUP($D18,素材!$1:$1016,COLUMN($F$1),FALSE)) - LEN(SUBSTITUTE(VLOOKUP($D18,素材!$1:$1016,COLUMN($F$1),FALSE), "・", 0)) + 1), 0)</f>
        <v>0</v>
      </c>
      <c r="AS18">
        <f>IF(ISNUMBER(SEARCH(SUBSTITUTE(AS$1,RIGHT(AS$1,2),""),VLOOKUP($D18,素材!$1:$1016,COLUMN($F$1),FALSE))),VLOOKUP($C18,武器!$1:$998,COLUMN($O$1),FALSE)*VLOOKUP($D18,素材!$1:$1016,COLUMN($E$1),FALSE)/(LEN(VLOOKUP($D18,素材!$1:$1016,COLUMN($F$1),FALSE)) - LEN(SUBSTITUTE(VLOOKUP($D18,素材!$1:$1016,COLUMN($F$1),FALSE), "・", 0)) + 1), 0)</f>
        <v>0</v>
      </c>
      <c r="AT18">
        <f>IF(ISNUMBER(SEARCH(SUBSTITUTE(AT$1,RIGHT(AT$1,2),""),VLOOKUP($D18,素材!$1:$1016,COLUMN($F$1),FALSE))),VLOOKUP($C18,武器!$1:$998,COLUMN($O$1),FALSE)*VLOOKUP($D18,素材!$1:$1016,COLUMN($E$1),FALSE)/(LEN(VLOOKUP($D18,素材!$1:$1016,COLUMN($F$1),FALSE)) - LEN(SUBSTITUTE(VLOOKUP($D18,素材!$1:$1016,COLUMN($F$1),FALSE), "・", 0)) + 1), 0)</f>
        <v>0</v>
      </c>
      <c r="AU18">
        <f>IF(ISNUMBER(SEARCH(SUBSTITUTE(AU$1,RIGHT(AU$1,2),""),VLOOKUP($D18,素材!$1:$1016,COLUMN($F$1),FALSE))),VLOOKUP($C18,武器!$1:$998,COLUMN($O$1),FALSE)*VLOOKUP($D18,素材!$1:$1016,COLUMN($E$1),FALSE)/(LEN(VLOOKUP($D18,素材!$1:$1016,COLUMN($F$1),FALSE)) - LEN(SUBSTITUTE(VLOOKUP($D18,素材!$1:$1016,COLUMN($F$1),FALSE), "・", 0)) + 1), 0)</f>
        <v>0</v>
      </c>
      <c r="AV18">
        <f>IF(ISNUMBER(SEARCH(SUBSTITUTE(AV$1,RIGHT(AV$1,2),""),VLOOKUP($D18,素材!$1:$1016,COLUMN($F$1),FALSE))),VLOOKUP($C18,武器!$1:$998,COLUMN($O$1),FALSE)*VLOOKUP($D18,素材!$1:$1016,COLUMN($E$1),FALSE)/(LEN(VLOOKUP($D18,素材!$1:$1016,COLUMN($F$1),FALSE)) - LEN(SUBSTITUTE(VLOOKUP($D18,素材!$1:$1016,COLUMN($F$1),FALSE), "・", 0)) + 1), 0)</f>
        <v>0</v>
      </c>
      <c r="AW18">
        <f>IF(ISNUMBER(SEARCH(SUBSTITUTE(AW$1,RIGHT(AW$1,2),""),VLOOKUP($D18,素材!$1:$1016,COLUMN($F$1),FALSE))),VLOOKUP($C18,武器!$1:$998,COLUMN($O$1),FALSE)*VLOOKUP($D18,素材!$1:$1016,COLUMN($E$1),FALSE)/(LEN(VLOOKUP($D18,素材!$1:$1016,COLUMN($F$1),FALSE)) - LEN(SUBSTITUTE(VLOOKUP($D18,素材!$1:$1016,COLUMN($F$1),FALSE), "・", 0)) + 1), 0)</f>
        <v>0</v>
      </c>
      <c r="AX18">
        <f>IF(ISNUMBER(SEARCH(SUBSTITUTE(AX$1,RIGHT(AX$1,2),""),VLOOKUP($D18,素材!$1:$1016,COLUMN($F$1),FALSE))),VLOOKUP($C18,武器!$1:$998,COLUMN($O$1),FALSE)*VLOOKUP($D18,素材!$1:$1016,COLUMN($E$1),FALSE)/(LEN(VLOOKUP($D18,素材!$1:$1016,COLUMN($F$1),FALSE)) - LEN(SUBSTITUTE(VLOOKUP($D18,素材!$1:$1016,COLUMN($F$1),FALSE), "・", 0)) + 1), 0)</f>
        <v>0</v>
      </c>
      <c r="AY18">
        <f>IF(ISNUMBER(SEARCH(SUBSTITUTE(AY$1,RIGHT(AY$1,2),""),VLOOKUP($D18,素材!$1:$1016,COLUMN($F$1),FALSE))),VLOOKUP($C18,武器!$1:$998,COLUMN($O$1),FALSE)*VLOOKUP($D18,素材!$1:$1016,COLUMN($E$1),FALSE)/(LEN(VLOOKUP($D18,素材!$1:$1016,COLUMN($F$1),FALSE)) - LEN(SUBSTITUTE(VLOOKUP($D18,素材!$1:$1016,COLUMN($F$1),FALSE), "・", 0)) + 1), 0)</f>
        <v>0</v>
      </c>
      <c r="AZ18">
        <f>IF(ISNUMBER(SEARCH(SUBSTITUTE(AZ$1,RIGHT(AZ$1,2),""),VLOOKUP($D18,素材!$1:$1016,COLUMN($F$1),FALSE))),VLOOKUP($C18,武器!$1:$998,COLUMN($O$1),FALSE)*VLOOKUP($D18,素材!$1:$1016,COLUMN($E$1),FALSE)/(LEN(VLOOKUP($D18,素材!$1:$1016,COLUMN($F$1),FALSE)) - LEN(SUBSTITUTE(VLOOKUP($D18,素材!$1:$1016,COLUMN($F$1),FALSE), "・", 0)) + 1), 0)</f>
        <v>0</v>
      </c>
      <c r="BA18">
        <f>IF(ISNUMBER(SEARCH(SUBSTITUTE(BA$1,RIGHT(BA$1,2),""),VLOOKUP($D18,素材!$1:$1016,COLUMN($F$1),FALSE))),VLOOKUP($C18,武器!$1:$998,COLUMN($O$1),FALSE)*VLOOKUP($D18,素材!$1:$1016,COLUMN($E$1),FALSE)/(LEN(VLOOKUP($D18,素材!$1:$1016,COLUMN($F$1),FALSE)) - LEN(SUBSTITUTE(VLOOKUP($D18,素材!$1:$1016,COLUMN($F$1),FALSE), "・", 0)) + 1), 0)</f>
        <v>0</v>
      </c>
      <c r="BB18">
        <f>IF(ISNUMBER(SEARCH(SUBSTITUTE(BB$1,RIGHT(BB$1,2),""),VLOOKUP($D18,素材!$1:$1016,COLUMN($F$1),FALSE))),VLOOKUP($C18,武器!$1:$998,COLUMN($O$1),FALSE)*VLOOKUP($D18,素材!$1:$1016,COLUMN($E$1),FALSE)/(LEN(VLOOKUP($D18,素材!$1:$1016,COLUMN($F$1),FALSE)) - LEN(SUBSTITUTE(VLOOKUP($D18,素材!$1:$1016,COLUMN($F$1),FALSE), "・", 0)) + 1), 0)</f>
        <v>0</v>
      </c>
      <c r="BC18">
        <f>IF(ISNUMBER(SEARCH(SUBSTITUTE(BC$1,RIGHT(BC$1,2),""),VLOOKUP($D18,素材!$1:$1016,COLUMN($F$1),FALSE))),VLOOKUP($C18,武器!$1:$998,COLUMN($O$1),FALSE)*VLOOKUP($D18,素材!$1:$1016,COLUMN($E$1),FALSE)/(LEN(VLOOKUP($D18,素材!$1:$1016,COLUMN($F$1),FALSE)) - LEN(SUBSTITUTE(VLOOKUP($D18,素材!$1:$1016,COLUMN($F$1),FALSE), "・", 0)) + 1), 0)</f>
        <v>0</v>
      </c>
      <c r="BD18">
        <f>IF(ISNUMBER(SEARCH(SUBSTITUTE(BD$1,RIGHT(BD$1,2),""),VLOOKUP($D18,素材!$1:$1016,COLUMN($F$1),FALSE))),VLOOKUP($C18,武器!$1:$998,COLUMN($O$1),FALSE)*VLOOKUP($D18,素材!$1:$1016,COLUMN($E$1),FALSE)/(LEN(VLOOKUP($D18,素材!$1:$1016,COLUMN($F$1),FALSE)) - LEN(SUBSTITUTE(VLOOKUP($D18,素材!$1:$1016,COLUMN($F$1),FALSE), "・", 0)) + 1), 0)</f>
        <v>0</v>
      </c>
      <c r="BE18">
        <f>IF(ISNUMBER(SEARCH(SUBSTITUTE(BE$1,RIGHT(BE$1,2),""),VLOOKUP($D18,素材!$1:$1016,COLUMN($F$1),FALSE))),VLOOKUP($C18,武器!$1:$998,COLUMN($O$1),FALSE)*VLOOKUP($D18,素材!$1:$1016,COLUMN($E$1),FALSE)/(LEN(VLOOKUP($D18,素材!$1:$1016,COLUMN($F$1),FALSE)) - LEN(SUBSTITUTE(VLOOKUP($D18,素材!$1:$1016,COLUMN($F$1),FALSE), "・", 0)) + 1), 0)</f>
        <v>0</v>
      </c>
      <c r="CL18">
        <f>SUM(G18:I18)</f>
        <v>22</v>
      </c>
      <c r="CM18" s="22" t="str">
        <f>IF(E18="武器",IF(J18-1&gt;SUM(G18:I18),"盾",IF(MAX(G18:I18)=G18,"切断",IF(MAX(G18:I18)=H18,"貫通",IF(MAX(G18:I18)=I18,"打撃","射撃")))),E18)&amp;".webp"</f>
        <v>打撃.webp</v>
      </c>
      <c r="CN18">
        <f>IFERROR(VLOOKUP($C18,武器!$1:$998,COLUMN(V$1),FALSE)*VLOOKUP($D18,素材!$1:$1016,COLUMN(N$1),FALSE)+IF(CI18="",0,VLOOKUP($CI18,装強!$1:$1008,COLUMN($CK$1),FALSE)),"")</f>
        <v>400</v>
      </c>
      <c r="CO18" t="str">
        <f>VLOOKUP(D18,素材!$A:$O,COLUMN(素材!O$1),FALSE)</f>
        <v>一般的な鉄。量産品を作るのに使用されることが多い</v>
      </c>
      <c r="CP18" t="str">
        <f>VLOOKUP(C18,武器!$A:$W,COLUMN(武器!W$1),FALSE)</f>
        <v>鎚。打撃力に優れ、投擲にも対応。</v>
      </c>
      <c r="CR18" t="str">
        <f t="shared" si="1"/>
        <v>e_18</v>
      </c>
      <c r="CS18">
        <f t="shared" si="2"/>
        <v>40000</v>
      </c>
    </row>
    <row r="19" spans="1:97" outlineLevel="1" x14ac:dyDescent="0.4">
      <c r="A19" t="str">
        <f t="shared" si="0"/>
        <v>鉄の戦鎚</v>
      </c>
      <c r="B19" t="str">
        <f>IFERROR(VLOOKUP($D19,素材!$1:$1016,COLUMN($B$1),FALSE)&amp;"・"&amp;VLOOKUP($C19,武器!$1:$998,COLUMN(B$1),FALSE),"")</f>
        <v>アイアン・ウォーハンマー</v>
      </c>
      <c r="C19" t="s">
        <v>226</v>
      </c>
      <c r="D19" s="24" t="s">
        <v>257</v>
      </c>
      <c r="E19" t="str">
        <f>IFERROR(VLOOKUP(C19,武器!$1:$998,COLUMN(C$1),FALSE),"")</f>
        <v>武器</v>
      </c>
      <c r="F19">
        <f>IFERROR(ROUNDDOWN((VLOOKUP($C19,武器!$1:$998,COLUMN(D$1),FALSE)+IFERROR(VLOOKUP($CI19,装強!$1:$999,COLUMN(F$1),FALSE),0))*VLOOKUP($D19,素材!$1:$1016,COLUMN(D$1),FALSE),0),"")</f>
        <v>125</v>
      </c>
      <c r="G19">
        <f>IFERROR(ROUNDDOWN((VLOOKUP($C19,武器!$1:$998,COLUMN(E$1),FALSE)+IFERROR(VLOOKUP($CI19,装強!$1:$999,COLUMN(G$1),FALSE),0))*VLOOKUP($D19,素材!$1:$1016,COLUMN($E$1),FALSE),0),"")</f>
        <v>0</v>
      </c>
      <c r="H19">
        <f>IFERROR(ROUNDDOWN((VLOOKUP($C19,武器!$1:$998,COLUMN(F$1),FALSE)+IFERROR(VLOOKUP($CI19,装強!$1:$999,COLUMN(H$1),FALSE),0))*VLOOKUP($D19,素材!$1:$1016,COLUMN($E$1),FALSE),0),"")</f>
        <v>0</v>
      </c>
      <c r="I19">
        <f>IFERROR(ROUNDDOWN((VLOOKUP($C19,武器!$1:$998,COLUMN(G$1),FALSE)+IFERROR(VLOOKUP($CI19,装強!$1:$999,COLUMN(I$1),FALSE),0))*VLOOKUP($D19,素材!$1:$1016,COLUMN($E$1),FALSE),0),"")</f>
        <v>24</v>
      </c>
      <c r="J19">
        <f>IFERROR(ROUNDDOWN((VLOOKUP($C19,武器!$1:$998,COLUMN(H$1),FALSE)+IFERROR(VLOOKUP($CI19,装強!$1:$999,COLUMN(J$1),FALSE),0))*VLOOKUP($D19,素材!$1:$1016,COLUMN($E$1),FALSE),0),"")</f>
        <v>21</v>
      </c>
      <c r="K19">
        <f>IFERROR(ROUNDDOWN((VLOOKUP($C19,武器!$1:$998,COLUMN(I$1),FALSE)+IFERROR(VLOOKUP($CI19,装強!$1:$999,COLUMN(K$1),FALSE),0))*VLOOKUP($D19,素材!$1:$1016,COLUMN($E$1),FALSE),0),"")</f>
        <v>0</v>
      </c>
      <c r="L19">
        <f>IFERROR(VLOOKUP($D19,素材!$1:$1016,COLUMN($F$1),FALSE),"")</f>
        <v>0</v>
      </c>
      <c r="M19">
        <f>IFERROR(VLOOKUP($C19,武器!$1:$998,COLUMN(AA$1),FALSE)*VLOOKUP($D19,素材!$1:$1016,COLUMN($G$1),FALSE),"")</f>
        <v>0</v>
      </c>
      <c r="N19">
        <f>IFERROR(VLOOKUP($C19,武器!$1:$998,COLUMN(I$1),FALSE),"")</f>
        <v>0</v>
      </c>
      <c r="O19" s="23">
        <f>IFERROR((VLOOKUP($C19,武器!$1:$998,COLUMN(K$1),FALSE)+VLOOKUP($D19,素材!$1:$1016,COLUMN(H$1),FALSE))*100+IFERROR(VLOOKUP($CI19,装強!$1:$999,COLUMN(O$1),FALSE),0),"")</f>
        <v>10</v>
      </c>
      <c r="P19" s="23">
        <f>IFERROR((VLOOKUP($C19,武器!$1:$998,COLUMN(L$1),FALSE)+VLOOKUP($D19,素材!$1:$1016,COLUMN(I$1),FALSE))*100+IFERROR(VLOOKUP($CI19,装強!$1:$999,COLUMN(P$1),FALSE),0),"")</f>
        <v>150</v>
      </c>
      <c r="Q19">
        <f>IFERROR(ROUNDUP(VLOOKUP($C19,武器!$1:$998,COLUMN(M$1),FALSE)*(VLOOKUP($D19,素材!$1:$1002,COLUMN(D$1),FALSE)/100),1),"")</f>
        <v>-5</v>
      </c>
      <c r="R19">
        <f>IFERROR(ROUNDUP(VLOOKUP($C19,武器!$1:$998,COLUMN(N$1),FALSE)*(VLOOKUP($D19,素材!$1:$1002,COLUMN(D$1),FALSE)/100),1),"")</f>
        <v>-5</v>
      </c>
      <c r="S19">
        <f>IFERROR(VLOOKUP($C19,武器!$1:$998,COLUMN(P$1),FALSE),"")</f>
        <v>0</v>
      </c>
      <c r="T19">
        <f>IFERROR(VLOOKUP($C19,武器!$1:$998,COLUMN(Q$1),FALSE),"")</f>
        <v>0</v>
      </c>
      <c r="U19">
        <f>IFERROR(VLOOKUP($C19,武器!$1:$998,COLUMN(R$1),FALSE),"")</f>
        <v>0</v>
      </c>
      <c r="V19">
        <f>IFERROR(VLOOKUP($C19,武器!$1:$998,COLUMN(Q$1),FALSE),"")</f>
        <v>0</v>
      </c>
      <c r="W19" t="str">
        <f>IFERROR(VLOOKUP($C19,武器!$1:$998,COLUMN(T$1),FALSE),"")</f>
        <v>A</v>
      </c>
      <c r="Y19">
        <f>IFERROR(VLOOKUP($C19,武器!$1:$998,COLUMN(U$1),FALSE),"")</f>
        <v>0</v>
      </c>
      <c r="Z19">
        <f>IFERROR(ROUNDUP(VLOOKUP($C19,武器!$1:$998,COLUMN(O$1),FALSE)*VLOOKUP($D19,素材!$1:$1016,COLUMN(E$1),FALSE),1),"")</f>
        <v>0</v>
      </c>
      <c r="AA19">
        <f>IF(ISNUMBER(SEARCH(SUBSTITUTE(AA$1,RIGHT(AA$1,2),""),VLOOKUP($D19,素材!$1:$1016,COLUMN($F$1),FALSE))),VLOOKUP($C19,武器!$1:$998,COLUMN($O$1),FALSE)*VLOOKUP($D19,素材!$1:$1016,COLUMN($E$1),FALSE)/(LEN(VLOOKUP($D19,素材!$1:$1016,COLUMN($F$1),FALSE)) - LEN(SUBSTITUTE(VLOOKUP($D19,素材!$1:$1016,COLUMN($F$1),FALSE), "・", 0)) + 1), 0)</f>
        <v>0</v>
      </c>
      <c r="AB19">
        <f>IF(ISNUMBER(SEARCH(SUBSTITUTE(AB$1,RIGHT(AB$1,2),""),VLOOKUP($D19,素材!$1:$1016,COLUMN($F$1),FALSE))),VLOOKUP($C19,武器!$1:$998,COLUMN($O$1),FALSE)*VLOOKUP($D19,素材!$1:$1016,COLUMN($E$1),FALSE)/(LEN(VLOOKUP($D19,素材!$1:$1016,COLUMN($F$1),FALSE)) - LEN(SUBSTITUTE(VLOOKUP($D19,素材!$1:$1016,COLUMN($F$1),FALSE), "・", 0)) + 1), 0)</f>
        <v>0</v>
      </c>
      <c r="AC19">
        <f>IF(ISNUMBER(SEARCH(SUBSTITUTE(AC$1,RIGHT(AC$1,2),""),VLOOKUP($D19,素材!$1:$1016,COLUMN($F$1),FALSE))),VLOOKUP($C19,武器!$1:$998,COLUMN($O$1),FALSE)*VLOOKUP($D19,素材!$1:$1016,COLUMN($E$1),FALSE)/(LEN(VLOOKUP($D19,素材!$1:$1016,COLUMN($F$1),FALSE)) - LEN(SUBSTITUTE(VLOOKUP($D19,素材!$1:$1016,COLUMN($F$1),FALSE), "・", 0)) + 1), 0)</f>
        <v>0</v>
      </c>
      <c r="AD19">
        <f>IF(ISNUMBER(SEARCH(SUBSTITUTE(AD$1,RIGHT(AD$1,2),""),VLOOKUP($D19,素材!$1:$1016,COLUMN($F$1),FALSE))),VLOOKUP($C19,武器!$1:$998,COLUMN($O$1),FALSE)*VLOOKUP($D19,素材!$1:$1016,COLUMN($E$1),FALSE)/(LEN(VLOOKUP($D19,素材!$1:$1016,COLUMN($F$1),FALSE)) - LEN(SUBSTITUTE(VLOOKUP($D19,素材!$1:$1016,COLUMN($F$1),FALSE), "・", 0)) + 1), 0)</f>
        <v>0</v>
      </c>
      <c r="AE19">
        <f>IF(ISNUMBER(SEARCH(SUBSTITUTE(AE$1,RIGHT(AE$1,2),""),VLOOKUP($D19,素材!$1:$1016,COLUMN($F$1),FALSE))),VLOOKUP($C19,武器!$1:$998,COLUMN($O$1),FALSE)*VLOOKUP($D19,素材!$1:$1016,COLUMN($E$1),FALSE)/(LEN(VLOOKUP($D19,素材!$1:$1016,COLUMN($F$1),FALSE)) - LEN(SUBSTITUTE(VLOOKUP($D19,素材!$1:$1016,COLUMN($F$1),FALSE), "・", 0)) + 1), 0)</f>
        <v>0</v>
      </c>
      <c r="AF19">
        <f>IF(ISNUMBER(SEARCH(SUBSTITUTE(AF$1,RIGHT(AF$1,2),""),VLOOKUP($D19,素材!$1:$1016,COLUMN($F$1),FALSE))),VLOOKUP($C19,武器!$1:$998,COLUMN($O$1),FALSE)*VLOOKUP($D19,素材!$1:$1016,COLUMN($E$1),FALSE)/(LEN(VLOOKUP($D19,素材!$1:$1016,COLUMN($F$1),FALSE)) - LEN(SUBSTITUTE(VLOOKUP($D19,素材!$1:$1016,COLUMN($F$1),FALSE), "・", 0)) + 1), 0)</f>
        <v>0</v>
      </c>
      <c r="AG19">
        <f>IF(ISNUMBER(SEARCH(SUBSTITUTE(AG$1,RIGHT(AG$1,2),""),VLOOKUP($D19,素材!$1:$1016,COLUMN($F$1),FALSE))),VLOOKUP($C19,武器!$1:$998,COLUMN($O$1),FALSE)*VLOOKUP($D19,素材!$1:$1016,COLUMN($E$1),FALSE)/(LEN(VLOOKUP($D19,素材!$1:$1016,COLUMN($F$1),FALSE)) - LEN(SUBSTITUTE(VLOOKUP($D19,素材!$1:$1016,COLUMN($F$1),FALSE), "・", 0)) + 1), 0)</f>
        <v>0</v>
      </c>
      <c r="AH19">
        <f>IF(ISNUMBER(SEARCH(SUBSTITUTE(AH$1,RIGHT(AH$1,2),""),VLOOKUP($D19,素材!$1:$1016,COLUMN($F$1),FALSE))),VLOOKUP($C19,武器!$1:$998,COLUMN($O$1),FALSE)*VLOOKUP($D19,素材!$1:$1016,COLUMN($E$1),FALSE)/(LEN(VLOOKUP($D19,素材!$1:$1016,COLUMN($F$1),FALSE)) - LEN(SUBSTITUTE(VLOOKUP($D19,素材!$1:$1016,COLUMN($F$1),FALSE), "・", 0)) + 1), 0)</f>
        <v>0</v>
      </c>
      <c r="AI19">
        <f>IF(ISNUMBER(SEARCH(SUBSTITUTE(AI$1,RIGHT(AI$1,2),""),VLOOKUP($D19,素材!$1:$1016,COLUMN($F$1),FALSE))),VLOOKUP($C19,武器!$1:$998,COLUMN($O$1),FALSE)*VLOOKUP($D19,素材!$1:$1016,COLUMN($E$1),FALSE)/(LEN(VLOOKUP($D19,素材!$1:$1016,COLUMN($F$1),FALSE)) - LEN(SUBSTITUTE(VLOOKUP($D19,素材!$1:$1016,COLUMN($F$1),FALSE), "・", 0)) + 1), 0)</f>
        <v>0</v>
      </c>
      <c r="AJ19">
        <f>IF(ISNUMBER(SEARCH(SUBSTITUTE(AJ$1,RIGHT(AJ$1,2),""),VLOOKUP($D19,素材!$1:$1016,COLUMN($F$1),FALSE))),VLOOKUP($C19,武器!$1:$998,COLUMN($O$1),FALSE)*VLOOKUP($D19,素材!$1:$1016,COLUMN($E$1),FALSE)/(LEN(VLOOKUP($D19,素材!$1:$1016,COLUMN($F$1),FALSE)) - LEN(SUBSTITUTE(VLOOKUP($D19,素材!$1:$1016,COLUMN($F$1),FALSE), "・", 0)) + 1), 0)</f>
        <v>0</v>
      </c>
      <c r="AK19">
        <f>IF(ISNUMBER(SEARCH(SUBSTITUTE(AK$1,RIGHT(AK$1,2),""),VLOOKUP($D19,素材!$1:$1016,COLUMN($F$1),FALSE))),VLOOKUP($C19,武器!$1:$998,COLUMN($O$1),FALSE)*VLOOKUP($D19,素材!$1:$1016,COLUMN($E$1),FALSE)/(LEN(VLOOKUP($D19,素材!$1:$1016,COLUMN($F$1),FALSE)) - LEN(SUBSTITUTE(VLOOKUP($D19,素材!$1:$1016,COLUMN($F$1),FALSE), "・", 0)) + 1), 0)</f>
        <v>0</v>
      </c>
      <c r="AL19">
        <f>IF(ISNUMBER(SEARCH(SUBSTITUTE(AL$1,RIGHT(AL$1,2),""),VLOOKUP($D19,素材!$1:$1016,COLUMN($F$1),FALSE))),VLOOKUP($C19,武器!$1:$998,COLUMN($O$1),FALSE)*VLOOKUP($D19,素材!$1:$1016,COLUMN($E$1),FALSE)/(LEN(VLOOKUP($D19,素材!$1:$1016,COLUMN($F$1),FALSE)) - LEN(SUBSTITUTE(VLOOKUP($D19,素材!$1:$1016,COLUMN($F$1),FALSE), "・", 0)) + 1), 0)</f>
        <v>0</v>
      </c>
      <c r="AM19">
        <f>IF(ISNUMBER(SEARCH(SUBSTITUTE(AM$1,RIGHT(AM$1,2),""),VLOOKUP($D19,素材!$1:$1016,COLUMN($F$1),FALSE))),VLOOKUP($C19,武器!$1:$998,COLUMN($O$1),FALSE)*VLOOKUP($D19,素材!$1:$1016,COLUMN($E$1),FALSE)/(LEN(VLOOKUP($D19,素材!$1:$1016,COLUMN($F$1),FALSE)) - LEN(SUBSTITUTE(VLOOKUP($D19,素材!$1:$1016,COLUMN($F$1),FALSE), "・", 0)) + 1), 0)</f>
        <v>0</v>
      </c>
      <c r="AN19">
        <f>IF(ISNUMBER(SEARCH(SUBSTITUTE(AN$1,RIGHT(AN$1,2),""),VLOOKUP($D19,素材!$1:$1016,COLUMN($F$1),FALSE))),VLOOKUP($C19,武器!$1:$998,COLUMN($O$1),FALSE)*VLOOKUP($D19,素材!$1:$1016,COLUMN($E$1),FALSE)/(LEN(VLOOKUP($D19,素材!$1:$1016,COLUMN($F$1),FALSE)) - LEN(SUBSTITUTE(VLOOKUP($D19,素材!$1:$1016,COLUMN($F$1),FALSE), "・", 0)) + 1), 0)</f>
        <v>0</v>
      </c>
      <c r="AO19">
        <f>IF(ISNUMBER(SEARCH(SUBSTITUTE(AO$1,RIGHT(AO$1,2),""),VLOOKUP($D19,素材!$1:$1016,COLUMN($F$1),FALSE))),VLOOKUP($C19,武器!$1:$998,COLUMN($O$1),FALSE)*VLOOKUP($D19,素材!$1:$1016,COLUMN($E$1),FALSE)/(LEN(VLOOKUP($D19,素材!$1:$1016,COLUMN($F$1),FALSE)) - LEN(SUBSTITUTE(VLOOKUP($D19,素材!$1:$1016,COLUMN($F$1),FALSE), "・", 0)) + 1), 0)</f>
        <v>0</v>
      </c>
      <c r="AP19">
        <f>IF(ISNUMBER(SEARCH(SUBSTITUTE(AP$1,RIGHT(AP$1,2),""),VLOOKUP($D19,素材!$1:$1016,COLUMN($F$1),FALSE))),VLOOKUP($C19,武器!$1:$998,COLUMN($O$1),FALSE)*VLOOKUP($D19,素材!$1:$1016,COLUMN($E$1),FALSE)/(LEN(VLOOKUP($D19,素材!$1:$1016,COLUMN($F$1),FALSE)) - LEN(SUBSTITUTE(VLOOKUP($D19,素材!$1:$1016,COLUMN($F$1),FALSE), "・", 0)) + 1), 0)</f>
        <v>0</v>
      </c>
      <c r="AQ19">
        <f>IF(ISNUMBER(SEARCH(SUBSTITUTE(AQ$1,RIGHT(AQ$1,2),""),VLOOKUP($D19,素材!$1:$1016,COLUMN($F$1),FALSE))),VLOOKUP($C19,武器!$1:$998,COLUMN($O$1),FALSE)*VLOOKUP($D19,素材!$1:$1016,COLUMN($E$1),FALSE)/(LEN(VLOOKUP($D19,素材!$1:$1016,COLUMN($F$1),FALSE)) - LEN(SUBSTITUTE(VLOOKUP($D19,素材!$1:$1016,COLUMN($F$1),FALSE), "・", 0)) + 1), 0)</f>
        <v>0</v>
      </c>
      <c r="AR19">
        <f>IF(ISNUMBER(SEARCH(SUBSTITUTE(AR$1,RIGHT(AR$1,2),""),VLOOKUP($D19,素材!$1:$1016,COLUMN($F$1),FALSE))),VLOOKUP($C19,武器!$1:$998,COLUMN($O$1),FALSE)*VLOOKUP($D19,素材!$1:$1016,COLUMN($E$1),FALSE)/(LEN(VLOOKUP($D19,素材!$1:$1016,COLUMN($F$1),FALSE)) - LEN(SUBSTITUTE(VLOOKUP($D19,素材!$1:$1016,COLUMN($F$1),FALSE), "・", 0)) + 1), 0)</f>
        <v>0</v>
      </c>
      <c r="AS19">
        <f>IF(ISNUMBER(SEARCH(SUBSTITUTE(AS$1,RIGHT(AS$1,2),""),VLOOKUP($D19,素材!$1:$1016,COLUMN($F$1),FALSE))),VLOOKUP($C19,武器!$1:$998,COLUMN($O$1),FALSE)*VLOOKUP($D19,素材!$1:$1016,COLUMN($E$1),FALSE)/(LEN(VLOOKUP($D19,素材!$1:$1016,COLUMN($F$1),FALSE)) - LEN(SUBSTITUTE(VLOOKUP($D19,素材!$1:$1016,COLUMN($F$1),FALSE), "・", 0)) + 1), 0)</f>
        <v>0</v>
      </c>
      <c r="AT19">
        <f>IF(ISNUMBER(SEARCH(SUBSTITUTE(AT$1,RIGHT(AT$1,2),""),VLOOKUP($D19,素材!$1:$1016,COLUMN($F$1),FALSE))),VLOOKUP($C19,武器!$1:$998,COLUMN($O$1),FALSE)*VLOOKUP($D19,素材!$1:$1016,COLUMN($E$1),FALSE)/(LEN(VLOOKUP($D19,素材!$1:$1016,COLUMN($F$1),FALSE)) - LEN(SUBSTITUTE(VLOOKUP($D19,素材!$1:$1016,COLUMN($F$1),FALSE), "・", 0)) + 1), 0)</f>
        <v>0</v>
      </c>
      <c r="AU19">
        <f>IF(ISNUMBER(SEARCH(SUBSTITUTE(AU$1,RIGHT(AU$1,2),""),VLOOKUP($D19,素材!$1:$1016,COLUMN($F$1),FALSE))),VLOOKUP($C19,武器!$1:$998,COLUMN($O$1),FALSE)*VLOOKUP($D19,素材!$1:$1016,COLUMN($E$1),FALSE)/(LEN(VLOOKUP($D19,素材!$1:$1016,COLUMN($F$1),FALSE)) - LEN(SUBSTITUTE(VLOOKUP($D19,素材!$1:$1016,COLUMN($F$1),FALSE), "・", 0)) + 1), 0)</f>
        <v>0</v>
      </c>
      <c r="AV19">
        <f>IF(ISNUMBER(SEARCH(SUBSTITUTE(AV$1,RIGHT(AV$1,2),""),VLOOKUP($D19,素材!$1:$1016,COLUMN($F$1),FALSE))),VLOOKUP($C19,武器!$1:$998,COLUMN($O$1),FALSE)*VLOOKUP($D19,素材!$1:$1016,COLUMN($E$1),FALSE)/(LEN(VLOOKUP($D19,素材!$1:$1016,COLUMN($F$1),FALSE)) - LEN(SUBSTITUTE(VLOOKUP($D19,素材!$1:$1016,COLUMN($F$1),FALSE), "・", 0)) + 1), 0)</f>
        <v>0</v>
      </c>
      <c r="AW19">
        <f>IF(ISNUMBER(SEARCH(SUBSTITUTE(AW$1,RIGHT(AW$1,2),""),VLOOKUP($D19,素材!$1:$1016,COLUMN($F$1),FALSE))),VLOOKUP($C19,武器!$1:$998,COLUMN($O$1),FALSE)*VLOOKUP($D19,素材!$1:$1016,COLUMN($E$1),FALSE)/(LEN(VLOOKUP($D19,素材!$1:$1016,COLUMN($F$1),FALSE)) - LEN(SUBSTITUTE(VLOOKUP($D19,素材!$1:$1016,COLUMN($F$1),FALSE), "・", 0)) + 1), 0)</f>
        <v>0</v>
      </c>
      <c r="AX19">
        <f>IF(ISNUMBER(SEARCH(SUBSTITUTE(AX$1,RIGHT(AX$1,2),""),VLOOKUP($D19,素材!$1:$1016,COLUMN($F$1),FALSE))),VLOOKUP($C19,武器!$1:$998,COLUMN($O$1),FALSE)*VLOOKUP($D19,素材!$1:$1016,COLUMN($E$1),FALSE)/(LEN(VLOOKUP($D19,素材!$1:$1016,COLUMN($F$1),FALSE)) - LEN(SUBSTITUTE(VLOOKUP($D19,素材!$1:$1016,COLUMN($F$1),FALSE), "・", 0)) + 1), 0)</f>
        <v>0</v>
      </c>
      <c r="AY19">
        <f>IF(ISNUMBER(SEARCH(SUBSTITUTE(AY$1,RIGHT(AY$1,2),""),VLOOKUP($D19,素材!$1:$1016,COLUMN($F$1),FALSE))),VLOOKUP($C19,武器!$1:$998,COLUMN($O$1),FALSE)*VLOOKUP($D19,素材!$1:$1016,COLUMN($E$1),FALSE)/(LEN(VLOOKUP($D19,素材!$1:$1016,COLUMN($F$1),FALSE)) - LEN(SUBSTITUTE(VLOOKUP($D19,素材!$1:$1016,COLUMN($F$1),FALSE), "・", 0)) + 1), 0)</f>
        <v>0</v>
      </c>
      <c r="AZ19">
        <f>IF(ISNUMBER(SEARCH(SUBSTITUTE(AZ$1,RIGHT(AZ$1,2),""),VLOOKUP($D19,素材!$1:$1016,COLUMN($F$1),FALSE))),VLOOKUP($C19,武器!$1:$998,COLUMN($O$1),FALSE)*VLOOKUP($D19,素材!$1:$1016,COLUMN($E$1),FALSE)/(LEN(VLOOKUP($D19,素材!$1:$1016,COLUMN($F$1),FALSE)) - LEN(SUBSTITUTE(VLOOKUP($D19,素材!$1:$1016,COLUMN($F$1),FALSE), "・", 0)) + 1), 0)</f>
        <v>0</v>
      </c>
      <c r="BA19">
        <f>IF(ISNUMBER(SEARCH(SUBSTITUTE(BA$1,RIGHT(BA$1,2),""),VLOOKUP($D19,素材!$1:$1016,COLUMN($F$1),FALSE))),VLOOKUP($C19,武器!$1:$998,COLUMN($O$1),FALSE)*VLOOKUP($D19,素材!$1:$1016,COLUMN($E$1),FALSE)/(LEN(VLOOKUP($D19,素材!$1:$1016,COLUMN($F$1),FALSE)) - LEN(SUBSTITUTE(VLOOKUP($D19,素材!$1:$1016,COLUMN($F$1),FALSE), "・", 0)) + 1), 0)</f>
        <v>0</v>
      </c>
      <c r="BB19">
        <f>IF(ISNUMBER(SEARCH(SUBSTITUTE(BB$1,RIGHT(BB$1,2),""),VLOOKUP($D19,素材!$1:$1016,COLUMN($F$1),FALSE))),VLOOKUP($C19,武器!$1:$998,COLUMN($O$1),FALSE)*VLOOKUP($D19,素材!$1:$1016,COLUMN($E$1),FALSE)/(LEN(VLOOKUP($D19,素材!$1:$1016,COLUMN($F$1),FALSE)) - LEN(SUBSTITUTE(VLOOKUP($D19,素材!$1:$1016,COLUMN($F$1),FALSE), "・", 0)) + 1), 0)</f>
        <v>0</v>
      </c>
      <c r="BC19">
        <f>IF(ISNUMBER(SEARCH(SUBSTITUTE(BC$1,RIGHT(BC$1,2),""),VLOOKUP($D19,素材!$1:$1016,COLUMN($F$1),FALSE))),VLOOKUP($C19,武器!$1:$998,COLUMN($O$1),FALSE)*VLOOKUP($D19,素材!$1:$1016,COLUMN($E$1),FALSE)/(LEN(VLOOKUP($D19,素材!$1:$1016,COLUMN($F$1),FALSE)) - LEN(SUBSTITUTE(VLOOKUP($D19,素材!$1:$1016,COLUMN($F$1),FALSE), "・", 0)) + 1), 0)</f>
        <v>0</v>
      </c>
      <c r="BD19">
        <f>IF(ISNUMBER(SEARCH(SUBSTITUTE(BD$1,RIGHT(BD$1,2),""),VLOOKUP($D19,素材!$1:$1016,COLUMN($F$1),FALSE))),VLOOKUP($C19,武器!$1:$998,COLUMN($O$1),FALSE)*VLOOKUP($D19,素材!$1:$1016,COLUMN($E$1),FALSE)/(LEN(VLOOKUP($D19,素材!$1:$1016,COLUMN($F$1),FALSE)) - LEN(SUBSTITUTE(VLOOKUP($D19,素材!$1:$1016,COLUMN($F$1),FALSE), "・", 0)) + 1), 0)</f>
        <v>0</v>
      </c>
      <c r="BE19">
        <f>IF(ISNUMBER(SEARCH(SUBSTITUTE(BE$1,RIGHT(BE$1,2),""),VLOOKUP($D19,素材!$1:$1016,COLUMN($F$1),FALSE))),VLOOKUP($C19,武器!$1:$998,COLUMN($O$1),FALSE)*VLOOKUP($D19,素材!$1:$1016,COLUMN($E$1),FALSE)/(LEN(VLOOKUP($D19,素材!$1:$1016,COLUMN($F$1),FALSE)) - LEN(SUBSTITUTE(VLOOKUP($D19,素材!$1:$1016,COLUMN($F$1),FALSE), "・", 0)) + 1), 0)</f>
        <v>0</v>
      </c>
      <c r="CL19">
        <f>SUM(G19:I19)</f>
        <v>24</v>
      </c>
      <c r="CM19" s="22" t="str">
        <f>IF(E19="武器",IF(J19-1&gt;SUM(G19:I19),"盾",IF(MAX(G19:I19)=G19,"切断",IF(MAX(G19:I19)=H19,"貫通",IF(MAX(G19:I19)=I19,"打撃","射撃")))),E19)&amp;".webp"</f>
        <v>打撃.webp</v>
      </c>
      <c r="CN19">
        <f>IFERROR(VLOOKUP($C19,武器!$1:$998,COLUMN(V$1),FALSE)*VLOOKUP($D19,素材!$1:$1016,COLUMN(N$1),FALSE)+IF(CI19="",0,VLOOKUP($CI19,装強!$1:$1008,COLUMN($CK$1),FALSE)),"")</f>
        <v>500</v>
      </c>
      <c r="CO19" t="str">
        <f>VLOOKUP(D19,素材!$A:$O,COLUMN(素材!O$1),FALSE)</f>
        <v>一般的な鉄。量産品を作るのに使用されることが多い</v>
      </c>
      <c r="CP19" t="str">
        <f>VLOOKUP(C19,武器!$A:$W,COLUMN(武器!W$1),FALSE)</f>
        <v>戦鎚。重い打撃を与える強力な武器。</v>
      </c>
      <c r="CR19" t="str">
        <f t="shared" si="1"/>
        <v>e_19</v>
      </c>
      <c r="CS19">
        <f t="shared" si="2"/>
        <v>50000</v>
      </c>
    </row>
    <row r="20" spans="1:97" outlineLevel="1" x14ac:dyDescent="0.4">
      <c r="A20" t="str">
        <f t="shared" si="0"/>
        <v>鉄の鎌</v>
      </c>
      <c r="B20" t="str">
        <f>IFERROR(VLOOKUP($D20,素材!$1:$1016,COLUMN($B$1),FALSE)&amp;"・"&amp;VLOOKUP($C20,武器!$1:$998,COLUMN(B$1),FALSE),"")</f>
        <v>アイアン・シックル</v>
      </c>
      <c r="C20" t="s">
        <v>225</v>
      </c>
      <c r="D20" s="24" t="s">
        <v>257</v>
      </c>
      <c r="E20" t="str">
        <f>IFERROR(VLOOKUP(C20,武器!$1:$998,COLUMN(C$1),FALSE),"")</f>
        <v>武器</v>
      </c>
      <c r="F20">
        <f>IFERROR(ROUNDDOWN((VLOOKUP($C20,武器!$1:$998,COLUMN(D$1),FALSE)+IFERROR(VLOOKUP($CI20,装強!$1:$999,COLUMN(F$1),FALSE),0))*VLOOKUP($D20,素材!$1:$1016,COLUMN(D$1),FALSE),0),"")</f>
        <v>125</v>
      </c>
      <c r="G20">
        <f>IFERROR(ROUNDDOWN((VLOOKUP($C20,武器!$1:$998,COLUMN(E$1),FALSE)+IFERROR(VLOOKUP($CI20,装強!$1:$999,COLUMN(G$1),FALSE),0))*VLOOKUP($D20,素材!$1:$1016,COLUMN($E$1),FALSE),0),"")</f>
        <v>9</v>
      </c>
      <c r="H20">
        <f>IFERROR(ROUNDDOWN((VLOOKUP($C20,武器!$1:$998,COLUMN(F$1),FALSE)+IFERROR(VLOOKUP($CI20,装強!$1:$999,COLUMN(H$1),FALSE),0))*VLOOKUP($D20,素材!$1:$1016,COLUMN($E$1),FALSE),0),"")</f>
        <v>11</v>
      </c>
      <c r="I20">
        <f>IFERROR(ROUNDDOWN((VLOOKUP($C20,武器!$1:$998,COLUMN(G$1),FALSE)+IFERROR(VLOOKUP($CI20,装強!$1:$999,COLUMN(I$1),FALSE),0))*VLOOKUP($D20,素材!$1:$1016,COLUMN($E$1),FALSE),0),"")</f>
        <v>1</v>
      </c>
      <c r="J20">
        <f>IFERROR(ROUNDDOWN((VLOOKUP($C20,武器!$1:$998,COLUMN(H$1),FALSE)+IFERROR(VLOOKUP($CI20,装強!$1:$999,COLUMN(J$1),FALSE),0))*VLOOKUP($D20,素材!$1:$1016,COLUMN($E$1),FALSE),0),"")</f>
        <v>17</v>
      </c>
      <c r="K20">
        <f>IFERROR(ROUNDDOWN((VLOOKUP($C20,武器!$1:$998,COLUMN(I$1),FALSE)+IFERROR(VLOOKUP($CI20,装強!$1:$999,COLUMN(K$1),FALSE),0))*VLOOKUP($D20,素材!$1:$1016,COLUMN($E$1),FALSE),0),"")</f>
        <v>0</v>
      </c>
      <c r="L20">
        <f>IFERROR(VLOOKUP($D20,素材!$1:$1016,COLUMN($F$1),FALSE),"")</f>
        <v>0</v>
      </c>
      <c r="M20">
        <f>IFERROR(VLOOKUP($C20,武器!$1:$998,COLUMN(AA$1),FALSE)*VLOOKUP($D20,素材!$1:$1016,COLUMN($G$1),FALSE),"")</f>
        <v>0</v>
      </c>
      <c r="N20">
        <f>IFERROR(VLOOKUP($C20,武器!$1:$998,COLUMN(I$1),FALSE),"")</f>
        <v>0</v>
      </c>
      <c r="O20" s="23">
        <f>IFERROR((VLOOKUP($C20,武器!$1:$998,COLUMN(K$1),FALSE)+VLOOKUP($D20,素材!$1:$1016,COLUMN(H$1),FALSE))*100+IFERROR(VLOOKUP($CI20,装強!$1:$999,COLUMN(O$1),FALSE),0),"")</f>
        <v>5</v>
      </c>
      <c r="P20" s="23">
        <f>IFERROR((VLOOKUP($C20,武器!$1:$998,COLUMN(L$1),FALSE)+VLOOKUP($D20,素材!$1:$1016,COLUMN(I$1),FALSE))*100+IFERROR(VLOOKUP($CI20,装強!$1:$999,COLUMN(P$1),FALSE),0),"")</f>
        <v>200</v>
      </c>
      <c r="Q20">
        <f>IFERROR(ROUNDUP(VLOOKUP($C20,武器!$1:$998,COLUMN(M$1),FALSE)*(VLOOKUP($D20,素材!$1:$1002,COLUMN(D$1),FALSE)/100),1),"")</f>
        <v>0</v>
      </c>
      <c r="R20">
        <f>IFERROR(ROUNDUP(VLOOKUP($C20,武器!$1:$998,COLUMN(N$1),FALSE)*(VLOOKUP($D20,素材!$1:$1002,COLUMN(D$1),FALSE)/100),1),"")</f>
        <v>0</v>
      </c>
      <c r="S20">
        <f>IFERROR(VLOOKUP($C20,武器!$1:$998,COLUMN(P$1),FALSE),"")</f>
        <v>0</v>
      </c>
      <c r="T20">
        <f>IFERROR(VLOOKUP($C20,武器!$1:$998,COLUMN(Q$1),FALSE),"")</f>
        <v>0</v>
      </c>
      <c r="U20">
        <f>IFERROR(VLOOKUP($C20,武器!$1:$998,COLUMN(R$1),FALSE),"")</f>
        <v>0</v>
      </c>
      <c r="V20">
        <f>IFERROR(VLOOKUP($C20,武器!$1:$998,COLUMN(Q$1),FALSE),"")</f>
        <v>0</v>
      </c>
      <c r="W20" t="str">
        <f>IFERROR(VLOOKUP($C20,武器!$1:$998,COLUMN(T$1),FALSE),"")</f>
        <v>A</v>
      </c>
      <c r="Y20" t="str">
        <f>IFERROR(VLOOKUP($C20,武器!$1:$998,COLUMN(U$1),FALSE),"")</f>
        <v>投擲強化、片手適性Ⅰ</v>
      </c>
      <c r="Z20">
        <f>IFERROR(ROUNDUP(VLOOKUP($C20,武器!$1:$998,COLUMN(O$1),FALSE)*VLOOKUP($D20,素材!$1:$1016,COLUMN(E$1),FALSE),1),"")</f>
        <v>0</v>
      </c>
      <c r="AA20">
        <f>IF(ISNUMBER(SEARCH(SUBSTITUTE(AA$1,RIGHT(AA$1,2),""),VLOOKUP($D20,素材!$1:$1016,COLUMN($F$1),FALSE))),VLOOKUP($C20,武器!$1:$998,COLUMN($O$1),FALSE)*VLOOKUP($D20,素材!$1:$1016,COLUMN($E$1),FALSE)/(LEN(VLOOKUP($D20,素材!$1:$1016,COLUMN($F$1),FALSE)) - LEN(SUBSTITUTE(VLOOKUP($D20,素材!$1:$1016,COLUMN($F$1),FALSE), "・", 0)) + 1), 0)</f>
        <v>0</v>
      </c>
      <c r="AB20">
        <f>IF(ISNUMBER(SEARCH(SUBSTITUTE(AB$1,RIGHT(AB$1,2),""),VLOOKUP($D20,素材!$1:$1016,COLUMN($F$1),FALSE))),VLOOKUP($C20,武器!$1:$998,COLUMN($O$1),FALSE)*VLOOKUP($D20,素材!$1:$1016,COLUMN($E$1),FALSE)/(LEN(VLOOKUP($D20,素材!$1:$1016,COLUMN($F$1),FALSE)) - LEN(SUBSTITUTE(VLOOKUP($D20,素材!$1:$1016,COLUMN($F$1),FALSE), "・", 0)) + 1), 0)</f>
        <v>0</v>
      </c>
      <c r="AC20">
        <f>IF(ISNUMBER(SEARCH(SUBSTITUTE(AC$1,RIGHT(AC$1,2),""),VLOOKUP($D20,素材!$1:$1016,COLUMN($F$1),FALSE))),VLOOKUP($C20,武器!$1:$998,COLUMN($O$1),FALSE)*VLOOKUP($D20,素材!$1:$1016,COLUMN($E$1),FALSE)/(LEN(VLOOKUP($D20,素材!$1:$1016,COLUMN($F$1),FALSE)) - LEN(SUBSTITUTE(VLOOKUP($D20,素材!$1:$1016,COLUMN($F$1),FALSE), "・", 0)) + 1), 0)</f>
        <v>0</v>
      </c>
      <c r="AD20">
        <f>IF(ISNUMBER(SEARCH(SUBSTITUTE(AD$1,RIGHT(AD$1,2),""),VLOOKUP($D20,素材!$1:$1016,COLUMN($F$1),FALSE))),VLOOKUP($C20,武器!$1:$998,COLUMN($O$1),FALSE)*VLOOKUP($D20,素材!$1:$1016,COLUMN($E$1),FALSE)/(LEN(VLOOKUP($D20,素材!$1:$1016,COLUMN($F$1),FALSE)) - LEN(SUBSTITUTE(VLOOKUP($D20,素材!$1:$1016,COLUMN($F$1),FALSE), "・", 0)) + 1), 0)</f>
        <v>0</v>
      </c>
      <c r="AE20">
        <f>IF(ISNUMBER(SEARCH(SUBSTITUTE(AE$1,RIGHT(AE$1,2),""),VLOOKUP($D20,素材!$1:$1016,COLUMN($F$1),FALSE))),VLOOKUP($C20,武器!$1:$998,COLUMN($O$1),FALSE)*VLOOKUP($D20,素材!$1:$1016,COLUMN($E$1),FALSE)/(LEN(VLOOKUP($D20,素材!$1:$1016,COLUMN($F$1),FALSE)) - LEN(SUBSTITUTE(VLOOKUP($D20,素材!$1:$1016,COLUMN($F$1),FALSE), "・", 0)) + 1), 0)</f>
        <v>0</v>
      </c>
      <c r="AF20">
        <f>IF(ISNUMBER(SEARCH(SUBSTITUTE(AF$1,RIGHT(AF$1,2),""),VLOOKUP($D20,素材!$1:$1016,COLUMN($F$1),FALSE))),VLOOKUP($C20,武器!$1:$998,COLUMN($O$1),FALSE)*VLOOKUP($D20,素材!$1:$1016,COLUMN($E$1),FALSE)/(LEN(VLOOKUP($D20,素材!$1:$1016,COLUMN($F$1),FALSE)) - LEN(SUBSTITUTE(VLOOKUP($D20,素材!$1:$1016,COLUMN($F$1),FALSE), "・", 0)) + 1), 0)</f>
        <v>0</v>
      </c>
      <c r="AG20">
        <f>IF(ISNUMBER(SEARCH(SUBSTITUTE(AG$1,RIGHT(AG$1,2),""),VLOOKUP($D20,素材!$1:$1016,COLUMN($F$1),FALSE))),VLOOKUP($C20,武器!$1:$998,COLUMN($O$1),FALSE)*VLOOKUP($D20,素材!$1:$1016,COLUMN($E$1),FALSE)/(LEN(VLOOKUP($D20,素材!$1:$1016,COLUMN($F$1),FALSE)) - LEN(SUBSTITUTE(VLOOKUP($D20,素材!$1:$1016,COLUMN($F$1),FALSE), "・", 0)) + 1), 0)</f>
        <v>0</v>
      </c>
      <c r="AH20">
        <f>IF(ISNUMBER(SEARCH(SUBSTITUTE(AH$1,RIGHT(AH$1,2),""),VLOOKUP($D20,素材!$1:$1016,COLUMN($F$1),FALSE))),VLOOKUP($C20,武器!$1:$998,COLUMN($O$1),FALSE)*VLOOKUP($D20,素材!$1:$1016,COLUMN($E$1),FALSE)/(LEN(VLOOKUP($D20,素材!$1:$1016,COLUMN($F$1),FALSE)) - LEN(SUBSTITUTE(VLOOKUP($D20,素材!$1:$1016,COLUMN($F$1),FALSE), "・", 0)) + 1), 0)</f>
        <v>0</v>
      </c>
      <c r="AI20">
        <f>IF(ISNUMBER(SEARCH(SUBSTITUTE(AI$1,RIGHT(AI$1,2),""),VLOOKUP($D20,素材!$1:$1016,COLUMN($F$1),FALSE))),VLOOKUP($C20,武器!$1:$998,COLUMN($O$1),FALSE)*VLOOKUP($D20,素材!$1:$1016,COLUMN($E$1),FALSE)/(LEN(VLOOKUP($D20,素材!$1:$1016,COLUMN($F$1),FALSE)) - LEN(SUBSTITUTE(VLOOKUP($D20,素材!$1:$1016,COLUMN($F$1),FALSE), "・", 0)) + 1), 0)</f>
        <v>0</v>
      </c>
      <c r="AJ20">
        <f>IF(ISNUMBER(SEARCH(SUBSTITUTE(AJ$1,RIGHT(AJ$1,2),""),VLOOKUP($D20,素材!$1:$1016,COLUMN($F$1),FALSE))),VLOOKUP($C20,武器!$1:$998,COLUMN($O$1),FALSE)*VLOOKUP($D20,素材!$1:$1016,COLUMN($E$1),FALSE)/(LEN(VLOOKUP($D20,素材!$1:$1016,COLUMN($F$1),FALSE)) - LEN(SUBSTITUTE(VLOOKUP($D20,素材!$1:$1016,COLUMN($F$1),FALSE), "・", 0)) + 1), 0)</f>
        <v>0</v>
      </c>
      <c r="AK20">
        <f>IF(ISNUMBER(SEARCH(SUBSTITUTE(AK$1,RIGHT(AK$1,2),""),VLOOKUP($D20,素材!$1:$1016,COLUMN($F$1),FALSE))),VLOOKUP($C20,武器!$1:$998,COLUMN($O$1),FALSE)*VLOOKUP($D20,素材!$1:$1016,COLUMN($E$1),FALSE)/(LEN(VLOOKUP($D20,素材!$1:$1016,COLUMN($F$1),FALSE)) - LEN(SUBSTITUTE(VLOOKUP($D20,素材!$1:$1016,COLUMN($F$1),FALSE), "・", 0)) + 1), 0)</f>
        <v>0</v>
      </c>
      <c r="AL20">
        <f>IF(ISNUMBER(SEARCH(SUBSTITUTE(AL$1,RIGHT(AL$1,2),""),VLOOKUP($D20,素材!$1:$1016,COLUMN($F$1),FALSE))),VLOOKUP($C20,武器!$1:$998,COLUMN($O$1),FALSE)*VLOOKUP($D20,素材!$1:$1016,COLUMN($E$1),FALSE)/(LEN(VLOOKUP($D20,素材!$1:$1016,COLUMN($F$1),FALSE)) - LEN(SUBSTITUTE(VLOOKUP($D20,素材!$1:$1016,COLUMN($F$1),FALSE), "・", 0)) + 1), 0)</f>
        <v>0</v>
      </c>
      <c r="AM20">
        <f>IF(ISNUMBER(SEARCH(SUBSTITUTE(AM$1,RIGHT(AM$1,2),""),VLOOKUP($D20,素材!$1:$1016,COLUMN($F$1),FALSE))),VLOOKUP($C20,武器!$1:$998,COLUMN($O$1),FALSE)*VLOOKUP($D20,素材!$1:$1016,COLUMN($E$1),FALSE)/(LEN(VLOOKUP($D20,素材!$1:$1016,COLUMN($F$1),FALSE)) - LEN(SUBSTITUTE(VLOOKUP($D20,素材!$1:$1016,COLUMN($F$1),FALSE), "・", 0)) + 1), 0)</f>
        <v>0</v>
      </c>
      <c r="AN20">
        <f>IF(ISNUMBER(SEARCH(SUBSTITUTE(AN$1,RIGHT(AN$1,2),""),VLOOKUP($D20,素材!$1:$1016,COLUMN($F$1),FALSE))),VLOOKUP($C20,武器!$1:$998,COLUMN($O$1),FALSE)*VLOOKUP($D20,素材!$1:$1016,COLUMN($E$1),FALSE)/(LEN(VLOOKUP($D20,素材!$1:$1016,COLUMN($F$1),FALSE)) - LEN(SUBSTITUTE(VLOOKUP($D20,素材!$1:$1016,COLUMN($F$1),FALSE), "・", 0)) + 1), 0)</f>
        <v>0</v>
      </c>
      <c r="AO20">
        <f>IF(ISNUMBER(SEARCH(SUBSTITUTE(AO$1,RIGHT(AO$1,2),""),VLOOKUP($D20,素材!$1:$1016,COLUMN($F$1),FALSE))),VLOOKUP($C20,武器!$1:$998,COLUMN($O$1),FALSE)*VLOOKUP($D20,素材!$1:$1016,COLUMN($E$1),FALSE)/(LEN(VLOOKUP($D20,素材!$1:$1016,COLUMN($F$1),FALSE)) - LEN(SUBSTITUTE(VLOOKUP($D20,素材!$1:$1016,COLUMN($F$1),FALSE), "・", 0)) + 1), 0)</f>
        <v>0</v>
      </c>
      <c r="AP20">
        <f>IF(ISNUMBER(SEARCH(SUBSTITUTE(AP$1,RIGHT(AP$1,2),""),VLOOKUP($D20,素材!$1:$1016,COLUMN($F$1),FALSE))),VLOOKUP($C20,武器!$1:$998,COLUMN($O$1),FALSE)*VLOOKUP($D20,素材!$1:$1016,COLUMN($E$1),FALSE)/(LEN(VLOOKUP($D20,素材!$1:$1016,COLUMN($F$1),FALSE)) - LEN(SUBSTITUTE(VLOOKUP($D20,素材!$1:$1016,COLUMN($F$1),FALSE), "・", 0)) + 1), 0)</f>
        <v>0</v>
      </c>
      <c r="AQ20">
        <f>IF(ISNUMBER(SEARCH(SUBSTITUTE(AQ$1,RIGHT(AQ$1,2),""),VLOOKUP($D20,素材!$1:$1016,COLUMN($F$1),FALSE))),VLOOKUP($C20,武器!$1:$998,COLUMN($O$1),FALSE)*VLOOKUP($D20,素材!$1:$1016,COLUMN($E$1),FALSE)/(LEN(VLOOKUP($D20,素材!$1:$1016,COLUMN($F$1),FALSE)) - LEN(SUBSTITUTE(VLOOKUP($D20,素材!$1:$1016,COLUMN($F$1),FALSE), "・", 0)) + 1), 0)</f>
        <v>0</v>
      </c>
      <c r="AR20">
        <f>IF(ISNUMBER(SEARCH(SUBSTITUTE(AR$1,RIGHT(AR$1,2),""),VLOOKUP($D20,素材!$1:$1016,COLUMN($F$1),FALSE))),VLOOKUP($C20,武器!$1:$998,COLUMN($O$1),FALSE)*VLOOKUP($D20,素材!$1:$1016,COLUMN($E$1),FALSE)/(LEN(VLOOKUP($D20,素材!$1:$1016,COLUMN($F$1),FALSE)) - LEN(SUBSTITUTE(VLOOKUP($D20,素材!$1:$1016,COLUMN($F$1),FALSE), "・", 0)) + 1), 0)</f>
        <v>0</v>
      </c>
      <c r="AS20">
        <f>IF(ISNUMBER(SEARCH(SUBSTITUTE(AS$1,RIGHT(AS$1,2),""),VLOOKUP($D20,素材!$1:$1016,COLUMN($F$1),FALSE))),VLOOKUP($C20,武器!$1:$998,COLUMN($O$1),FALSE)*VLOOKUP($D20,素材!$1:$1016,COLUMN($E$1),FALSE)/(LEN(VLOOKUP($D20,素材!$1:$1016,COLUMN($F$1),FALSE)) - LEN(SUBSTITUTE(VLOOKUP($D20,素材!$1:$1016,COLUMN($F$1),FALSE), "・", 0)) + 1), 0)</f>
        <v>0</v>
      </c>
      <c r="AT20">
        <f>IF(ISNUMBER(SEARCH(SUBSTITUTE(AT$1,RIGHT(AT$1,2),""),VLOOKUP($D20,素材!$1:$1016,COLUMN($F$1),FALSE))),VLOOKUP($C20,武器!$1:$998,COLUMN($O$1),FALSE)*VLOOKUP($D20,素材!$1:$1016,COLUMN($E$1),FALSE)/(LEN(VLOOKUP($D20,素材!$1:$1016,COLUMN($F$1),FALSE)) - LEN(SUBSTITUTE(VLOOKUP($D20,素材!$1:$1016,COLUMN($F$1),FALSE), "・", 0)) + 1), 0)</f>
        <v>0</v>
      </c>
      <c r="AU20">
        <f>IF(ISNUMBER(SEARCH(SUBSTITUTE(AU$1,RIGHT(AU$1,2),""),VLOOKUP($D20,素材!$1:$1016,COLUMN($F$1),FALSE))),VLOOKUP($C20,武器!$1:$998,COLUMN($O$1),FALSE)*VLOOKUP($D20,素材!$1:$1016,COLUMN($E$1),FALSE)/(LEN(VLOOKUP($D20,素材!$1:$1016,COLUMN($F$1),FALSE)) - LEN(SUBSTITUTE(VLOOKUP($D20,素材!$1:$1016,COLUMN($F$1),FALSE), "・", 0)) + 1), 0)</f>
        <v>0</v>
      </c>
      <c r="AV20">
        <f>IF(ISNUMBER(SEARCH(SUBSTITUTE(AV$1,RIGHT(AV$1,2),""),VLOOKUP($D20,素材!$1:$1016,COLUMN($F$1),FALSE))),VLOOKUP($C20,武器!$1:$998,COLUMN($O$1),FALSE)*VLOOKUP($D20,素材!$1:$1016,COLUMN($E$1),FALSE)/(LEN(VLOOKUP($D20,素材!$1:$1016,COLUMN($F$1),FALSE)) - LEN(SUBSTITUTE(VLOOKUP($D20,素材!$1:$1016,COLUMN($F$1),FALSE), "・", 0)) + 1), 0)</f>
        <v>0</v>
      </c>
      <c r="AW20">
        <f>IF(ISNUMBER(SEARCH(SUBSTITUTE(AW$1,RIGHT(AW$1,2),""),VLOOKUP($D20,素材!$1:$1016,COLUMN($F$1),FALSE))),VLOOKUP($C20,武器!$1:$998,COLUMN($O$1),FALSE)*VLOOKUP($D20,素材!$1:$1016,COLUMN($E$1),FALSE)/(LEN(VLOOKUP($D20,素材!$1:$1016,COLUMN($F$1),FALSE)) - LEN(SUBSTITUTE(VLOOKUP($D20,素材!$1:$1016,COLUMN($F$1),FALSE), "・", 0)) + 1), 0)</f>
        <v>0</v>
      </c>
      <c r="AX20">
        <f>IF(ISNUMBER(SEARCH(SUBSTITUTE(AX$1,RIGHT(AX$1,2),""),VLOOKUP($D20,素材!$1:$1016,COLUMN($F$1),FALSE))),VLOOKUP($C20,武器!$1:$998,COLUMN($O$1),FALSE)*VLOOKUP($D20,素材!$1:$1016,COLUMN($E$1),FALSE)/(LEN(VLOOKUP($D20,素材!$1:$1016,COLUMN($F$1),FALSE)) - LEN(SUBSTITUTE(VLOOKUP($D20,素材!$1:$1016,COLUMN($F$1),FALSE), "・", 0)) + 1), 0)</f>
        <v>0</v>
      </c>
      <c r="AY20">
        <f>IF(ISNUMBER(SEARCH(SUBSTITUTE(AY$1,RIGHT(AY$1,2),""),VLOOKUP($D20,素材!$1:$1016,COLUMN($F$1),FALSE))),VLOOKUP($C20,武器!$1:$998,COLUMN($O$1),FALSE)*VLOOKUP($D20,素材!$1:$1016,COLUMN($E$1),FALSE)/(LEN(VLOOKUP($D20,素材!$1:$1016,COLUMN($F$1),FALSE)) - LEN(SUBSTITUTE(VLOOKUP($D20,素材!$1:$1016,COLUMN($F$1),FALSE), "・", 0)) + 1), 0)</f>
        <v>0</v>
      </c>
      <c r="AZ20">
        <f>IF(ISNUMBER(SEARCH(SUBSTITUTE(AZ$1,RIGHT(AZ$1,2),""),VLOOKUP($D20,素材!$1:$1016,COLUMN($F$1),FALSE))),VLOOKUP($C20,武器!$1:$998,COLUMN($O$1),FALSE)*VLOOKUP($D20,素材!$1:$1016,COLUMN($E$1),FALSE)/(LEN(VLOOKUP($D20,素材!$1:$1016,COLUMN($F$1),FALSE)) - LEN(SUBSTITUTE(VLOOKUP($D20,素材!$1:$1016,COLUMN($F$1),FALSE), "・", 0)) + 1), 0)</f>
        <v>0</v>
      </c>
      <c r="BA20">
        <f>IF(ISNUMBER(SEARCH(SUBSTITUTE(BA$1,RIGHT(BA$1,2),""),VLOOKUP($D20,素材!$1:$1016,COLUMN($F$1),FALSE))),VLOOKUP($C20,武器!$1:$998,COLUMN($O$1),FALSE)*VLOOKUP($D20,素材!$1:$1016,COLUMN($E$1),FALSE)/(LEN(VLOOKUP($D20,素材!$1:$1016,COLUMN($F$1),FALSE)) - LEN(SUBSTITUTE(VLOOKUP($D20,素材!$1:$1016,COLUMN($F$1),FALSE), "・", 0)) + 1), 0)</f>
        <v>0</v>
      </c>
      <c r="BB20">
        <f>IF(ISNUMBER(SEARCH(SUBSTITUTE(BB$1,RIGHT(BB$1,2),""),VLOOKUP($D20,素材!$1:$1016,COLUMN($F$1),FALSE))),VLOOKUP($C20,武器!$1:$998,COLUMN($O$1),FALSE)*VLOOKUP($D20,素材!$1:$1016,COLUMN($E$1),FALSE)/(LEN(VLOOKUP($D20,素材!$1:$1016,COLUMN($F$1),FALSE)) - LEN(SUBSTITUTE(VLOOKUP($D20,素材!$1:$1016,COLUMN($F$1),FALSE), "・", 0)) + 1), 0)</f>
        <v>0</v>
      </c>
      <c r="BC20">
        <f>IF(ISNUMBER(SEARCH(SUBSTITUTE(BC$1,RIGHT(BC$1,2),""),VLOOKUP($D20,素材!$1:$1016,COLUMN($F$1),FALSE))),VLOOKUP($C20,武器!$1:$998,COLUMN($O$1),FALSE)*VLOOKUP($D20,素材!$1:$1016,COLUMN($E$1),FALSE)/(LEN(VLOOKUP($D20,素材!$1:$1016,COLUMN($F$1),FALSE)) - LEN(SUBSTITUTE(VLOOKUP($D20,素材!$1:$1016,COLUMN($F$1),FALSE), "・", 0)) + 1), 0)</f>
        <v>0</v>
      </c>
      <c r="BD20">
        <f>IF(ISNUMBER(SEARCH(SUBSTITUTE(BD$1,RIGHT(BD$1,2),""),VLOOKUP($D20,素材!$1:$1016,COLUMN($F$1),FALSE))),VLOOKUP($C20,武器!$1:$998,COLUMN($O$1),FALSE)*VLOOKUP($D20,素材!$1:$1016,COLUMN($E$1),FALSE)/(LEN(VLOOKUP($D20,素材!$1:$1016,COLUMN($F$1),FALSE)) - LEN(SUBSTITUTE(VLOOKUP($D20,素材!$1:$1016,COLUMN($F$1),FALSE), "・", 0)) + 1), 0)</f>
        <v>0</v>
      </c>
      <c r="BE20">
        <f>IF(ISNUMBER(SEARCH(SUBSTITUTE(BE$1,RIGHT(BE$1,2),""),VLOOKUP($D20,素材!$1:$1016,COLUMN($F$1),FALSE))),VLOOKUP($C20,武器!$1:$998,COLUMN($O$1),FALSE)*VLOOKUP($D20,素材!$1:$1016,COLUMN($E$1),FALSE)/(LEN(VLOOKUP($D20,素材!$1:$1016,COLUMN($F$1),FALSE)) - LEN(SUBSTITUTE(VLOOKUP($D20,素材!$1:$1016,COLUMN($F$1),FALSE), "・", 0)) + 1), 0)</f>
        <v>0</v>
      </c>
      <c r="CL20">
        <f>SUM(G20:I20)</f>
        <v>21</v>
      </c>
      <c r="CM20" s="22" t="str">
        <f>IF(E20="武器",IF(J20-1&gt;SUM(G20:I20),"盾",IF(MAX(G20:I20)=G20,"切断",IF(MAX(G20:I20)=H20,"貫通",IF(MAX(G20:I20)=I20,"打撃","射撃")))),E20)&amp;".webp"</f>
        <v>貫通.webp</v>
      </c>
      <c r="CN20">
        <f>IFERROR(VLOOKUP($C20,武器!$1:$998,COLUMN(V$1),FALSE)*VLOOKUP($D20,素材!$1:$1016,COLUMN(N$1),FALSE)+IF(CI20="",0,VLOOKUP($CI20,装強!$1:$1008,COLUMN($CK$1),FALSE)),"")</f>
        <v>400</v>
      </c>
      <c r="CO20" t="str">
        <f>VLOOKUP(D20,素材!$A:$O,COLUMN(素材!O$1),FALSE)</f>
        <v>一般的な鉄。量産品を作るのに使用されることが多い</v>
      </c>
      <c r="CP20" t="str">
        <f>VLOOKUP(C20,武器!$A:$W,COLUMN(武器!W$1),FALSE)</f>
        <v>鎌。農具を転用した武器で、鋭い斬撃を与える。</v>
      </c>
      <c r="CR20" t="str">
        <f t="shared" si="1"/>
        <v>e_20</v>
      </c>
      <c r="CS20">
        <f t="shared" si="2"/>
        <v>40000</v>
      </c>
    </row>
    <row r="21" spans="1:97" outlineLevel="1" x14ac:dyDescent="0.4">
      <c r="A21" t="str">
        <f t="shared" si="0"/>
        <v>鉄の戦斧</v>
      </c>
      <c r="B21" t="str">
        <f>IFERROR(VLOOKUP($D21,素材!$1:$1016,COLUMN($B$1),FALSE)&amp;"・"&amp;VLOOKUP($C21,武器!$1:$998,COLUMN(B$1),FALSE),"")</f>
        <v>アイアン・バトルアックス</v>
      </c>
      <c r="C21" t="s">
        <v>224</v>
      </c>
      <c r="D21" s="24" t="s">
        <v>257</v>
      </c>
      <c r="E21" t="str">
        <f>IFERROR(VLOOKUP(C21,武器!$1:$998,COLUMN(C$1),FALSE),"")</f>
        <v>武器</v>
      </c>
      <c r="F21">
        <f>IFERROR(ROUNDDOWN((VLOOKUP($C21,武器!$1:$998,COLUMN(D$1),FALSE)+IFERROR(VLOOKUP($CI21,装強!$1:$999,COLUMN(F$1),FALSE),0))*VLOOKUP($D21,素材!$1:$1016,COLUMN(D$1),FALSE),0),"")</f>
        <v>115</v>
      </c>
      <c r="G21">
        <f>IFERROR(ROUNDDOWN((VLOOKUP($C21,武器!$1:$998,COLUMN(E$1),FALSE)+IFERROR(VLOOKUP($CI21,装強!$1:$999,COLUMN(G$1),FALSE),0))*VLOOKUP($D21,素材!$1:$1016,COLUMN($E$1),FALSE),0),"")</f>
        <v>19</v>
      </c>
      <c r="H21">
        <f>IFERROR(ROUNDDOWN((VLOOKUP($C21,武器!$1:$998,COLUMN(F$1),FALSE)+IFERROR(VLOOKUP($CI21,装強!$1:$999,COLUMN(H$1),FALSE),0))*VLOOKUP($D21,素材!$1:$1016,COLUMN($E$1),FALSE),0),"")</f>
        <v>0</v>
      </c>
      <c r="I21">
        <f>IFERROR(ROUNDDOWN((VLOOKUP($C21,武器!$1:$998,COLUMN(G$1),FALSE)+IFERROR(VLOOKUP($CI21,装強!$1:$999,COLUMN(I$1),FALSE),0))*VLOOKUP($D21,素材!$1:$1016,COLUMN($E$1),FALSE),0),"")</f>
        <v>6</v>
      </c>
      <c r="J21">
        <f>IFERROR(ROUNDDOWN((VLOOKUP($C21,武器!$1:$998,COLUMN(H$1),FALSE)+IFERROR(VLOOKUP($CI21,装強!$1:$999,COLUMN(J$1),FALSE),0))*VLOOKUP($D21,素材!$1:$1016,COLUMN($E$1),FALSE),0),"")</f>
        <v>20</v>
      </c>
      <c r="K21">
        <f>IFERROR(ROUNDDOWN((VLOOKUP($C21,武器!$1:$998,COLUMN(I$1),FALSE)+IFERROR(VLOOKUP($CI21,装強!$1:$999,COLUMN(K$1),FALSE),0))*VLOOKUP($D21,素材!$1:$1016,COLUMN($E$1),FALSE),0),"")</f>
        <v>0</v>
      </c>
      <c r="L21">
        <f>IFERROR(VLOOKUP($D21,素材!$1:$1016,COLUMN($F$1),FALSE),"")</f>
        <v>0</v>
      </c>
      <c r="M21">
        <f>IFERROR(VLOOKUP($C21,武器!$1:$998,COLUMN(AA$1),FALSE)*VLOOKUP($D21,素材!$1:$1016,COLUMN($G$1),FALSE),"")</f>
        <v>0</v>
      </c>
      <c r="N21">
        <f>IFERROR(VLOOKUP($C21,武器!$1:$998,COLUMN(I$1),FALSE),"")</f>
        <v>0</v>
      </c>
      <c r="O21" s="23">
        <f>IFERROR((VLOOKUP($C21,武器!$1:$998,COLUMN(K$1),FALSE)+VLOOKUP($D21,素材!$1:$1016,COLUMN(H$1),FALSE))*100+IFERROR(VLOOKUP($CI21,装強!$1:$999,COLUMN(O$1),FALSE),0),"")</f>
        <v>5</v>
      </c>
      <c r="P21" s="23">
        <f>IFERROR((VLOOKUP($C21,武器!$1:$998,COLUMN(L$1),FALSE)+VLOOKUP($D21,素材!$1:$1016,COLUMN(I$1),FALSE))*100+IFERROR(VLOOKUP($CI21,装強!$1:$999,COLUMN(P$1),FALSE),0),"")</f>
        <v>175</v>
      </c>
      <c r="Q21">
        <f>IFERROR(ROUNDUP(VLOOKUP($C21,武器!$1:$998,COLUMN(M$1),FALSE)*(VLOOKUP($D21,素材!$1:$1002,COLUMN(D$1),FALSE)/100),1),"")</f>
        <v>-2.5</v>
      </c>
      <c r="R21">
        <f>IFERROR(ROUNDUP(VLOOKUP($C21,武器!$1:$998,COLUMN(N$1),FALSE)*(VLOOKUP($D21,素材!$1:$1002,COLUMN(D$1),FALSE)/100),1),"")</f>
        <v>0</v>
      </c>
      <c r="S21">
        <f>IFERROR(VLOOKUP($C21,武器!$1:$998,COLUMN(P$1),FALSE),"")</f>
        <v>0</v>
      </c>
      <c r="T21">
        <f>IFERROR(VLOOKUP($C21,武器!$1:$998,COLUMN(Q$1),FALSE),"")</f>
        <v>0</v>
      </c>
      <c r="U21">
        <f>IFERROR(VLOOKUP($C21,武器!$1:$998,COLUMN(R$1),FALSE),"")</f>
        <v>0</v>
      </c>
      <c r="V21">
        <f>IFERROR(VLOOKUP($C21,武器!$1:$998,COLUMN(Q$1),FALSE),"")</f>
        <v>0</v>
      </c>
      <c r="W21" t="str">
        <f>IFERROR(VLOOKUP($C21,武器!$1:$998,COLUMN(T$1),FALSE),"")</f>
        <v>A</v>
      </c>
      <c r="Y21">
        <f>IFERROR(VLOOKUP($C21,武器!$1:$998,COLUMN(U$1),FALSE),"")</f>
        <v>0</v>
      </c>
      <c r="Z21">
        <f>IFERROR(ROUNDUP(VLOOKUP($C21,武器!$1:$998,COLUMN(O$1),FALSE)*VLOOKUP($D21,素材!$1:$1016,COLUMN(E$1),FALSE),1),"")</f>
        <v>0</v>
      </c>
      <c r="AA21">
        <f>IF(ISNUMBER(SEARCH(SUBSTITUTE(AA$1,RIGHT(AA$1,2),""),VLOOKUP($D21,素材!$1:$1016,COLUMN($F$1),FALSE))),VLOOKUP($C21,武器!$1:$998,COLUMN($O$1),FALSE)*VLOOKUP($D21,素材!$1:$1016,COLUMN($E$1),FALSE)/(LEN(VLOOKUP($D21,素材!$1:$1016,COLUMN($F$1),FALSE)) - LEN(SUBSTITUTE(VLOOKUP($D21,素材!$1:$1016,COLUMN($F$1),FALSE), "・", 0)) + 1), 0)</f>
        <v>0</v>
      </c>
      <c r="AB21">
        <f>IF(ISNUMBER(SEARCH(SUBSTITUTE(AB$1,RIGHT(AB$1,2),""),VLOOKUP($D21,素材!$1:$1016,COLUMN($F$1),FALSE))),VLOOKUP($C21,武器!$1:$998,COLUMN($O$1),FALSE)*VLOOKUP($D21,素材!$1:$1016,COLUMN($E$1),FALSE)/(LEN(VLOOKUP($D21,素材!$1:$1016,COLUMN($F$1),FALSE)) - LEN(SUBSTITUTE(VLOOKUP($D21,素材!$1:$1016,COLUMN($F$1),FALSE), "・", 0)) + 1), 0)</f>
        <v>0</v>
      </c>
      <c r="AC21">
        <f>IF(ISNUMBER(SEARCH(SUBSTITUTE(AC$1,RIGHT(AC$1,2),""),VLOOKUP($D21,素材!$1:$1016,COLUMN($F$1),FALSE))),VLOOKUP($C21,武器!$1:$998,COLUMN($O$1),FALSE)*VLOOKUP($D21,素材!$1:$1016,COLUMN($E$1),FALSE)/(LEN(VLOOKUP($D21,素材!$1:$1016,COLUMN($F$1),FALSE)) - LEN(SUBSTITUTE(VLOOKUP($D21,素材!$1:$1016,COLUMN($F$1),FALSE), "・", 0)) + 1), 0)</f>
        <v>0</v>
      </c>
      <c r="AD21">
        <f>IF(ISNUMBER(SEARCH(SUBSTITUTE(AD$1,RIGHT(AD$1,2),""),VLOOKUP($D21,素材!$1:$1016,COLUMN($F$1),FALSE))),VLOOKUP($C21,武器!$1:$998,COLUMN($O$1),FALSE)*VLOOKUP($D21,素材!$1:$1016,COLUMN($E$1),FALSE)/(LEN(VLOOKUP($D21,素材!$1:$1016,COLUMN($F$1),FALSE)) - LEN(SUBSTITUTE(VLOOKUP($D21,素材!$1:$1016,COLUMN($F$1),FALSE), "・", 0)) + 1), 0)</f>
        <v>0</v>
      </c>
      <c r="AE21">
        <f>IF(ISNUMBER(SEARCH(SUBSTITUTE(AE$1,RIGHT(AE$1,2),""),VLOOKUP($D21,素材!$1:$1016,COLUMN($F$1),FALSE))),VLOOKUP($C21,武器!$1:$998,COLUMN($O$1),FALSE)*VLOOKUP($D21,素材!$1:$1016,COLUMN($E$1),FALSE)/(LEN(VLOOKUP($D21,素材!$1:$1016,COLUMN($F$1),FALSE)) - LEN(SUBSTITUTE(VLOOKUP($D21,素材!$1:$1016,COLUMN($F$1),FALSE), "・", 0)) + 1), 0)</f>
        <v>0</v>
      </c>
      <c r="AF21">
        <f>IF(ISNUMBER(SEARCH(SUBSTITUTE(AF$1,RIGHT(AF$1,2),""),VLOOKUP($D21,素材!$1:$1016,COLUMN($F$1),FALSE))),VLOOKUP($C21,武器!$1:$998,COLUMN($O$1),FALSE)*VLOOKUP($D21,素材!$1:$1016,COLUMN($E$1),FALSE)/(LEN(VLOOKUP($D21,素材!$1:$1016,COLUMN($F$1),FALSE)) - LEN(SUBSTITUTE(VLOOKUP($D21,素材!$1:$1016,COLUMN($F$1),FALSE), "・", 0)) + 1), 0)</f>
        <v>0</v>
      </c>
      <c r="AG21">
        <f>IF(ISNUMBER(SEARCH(SUBSTITUTE(AG$1,RIGHT(AG$1,2),""),VLOOKUP($D21,素材!$1:$1016,COLUMN($F$1),FALSE))),VLOOKUP($C21,武器!$1:$998,COLUMN($O$1),FALSE)*VLOOKUP($D21,素材!$1:$1016,COLUMN($E$1),FALSE)/(LEN(VLOOKUP($D21,素材!$1:$1016,COLUMN($F$1),FALSE)) - LEN(SUBSTITUTE(VLOOKUP($D21,素材!$1:$1016,COLUMN($F$1),FALSE), "・", 0)) + 1), 0)</f>
        <v>0</v>
      </c>
      <c r="AH21">
        <f>IF(ISNUMBER(SEARCH(SUBSTITUTE(AH$1,RIGHT(AH$1,2),""),VLOOKUP($D21,素材!$1:$1016,COLUMN($F$1),FALSE))),VLOOKUP($C21,武器!$1:$998,COLUMN($O$1),FALSE)*VLOOKUP($D21,素材!$1:$1016,COLUMN($E$1),FALSE)/(LEN(VLOOKUP($D21,素材!$1:$1016,COLUMN($F$1),FALSE)) - LEN(SUBSTITUTE(VLOOKUP($D21,素材!$1:$1016,COLUMN($F$1),FALSE), "・", 0)) + 1), 0)</f>
        <v>0</v>
      </c>
      <c r="AI21">
        <f>IF(ISNUMBER(SEARCH(SUBSTITUTE(AI$1,RIGHT(AI$1,2),""),VLOOKUP($D21,素材!$1:$1016,COLUMN($F$1),FALSE))),VLOOKUP($C21,武器!$1:$998,COLUMN($O$1),FALSE)*VLOOKUP($D21,素材!$1:$1016,COLUMN($E$1),FALSE)/(LEN(VLOOKUP($D21,素材!$1:$1016,COLUMN($F$1),FALSE)) - LEN(SUBSTITUTE(VLOOKUP($D21,素材!$1:$1016,COLUMN($F$1),FALSE), "・", 0)) + 1), 0)</f>
        <v>0</v>
      </c>
      <c r="AJ21">
        <f>IF(ISNUMBER(SEARCH(SUBSTITUTE(AJ$1,RIGHT(AJ$1,2),""),VLOOKUP($D21,素材!$1:$1016,COLUMN($F$1),FALSE))),VLOOKUP($C21,武器!$1:$998,COLUMN($O$1),FALSE)*VLOOKUP($D21,素材!$1:$1016,COLUMN($E$1),FALSE)/(LEN(VLOOKUP($D21,素材!$1:$1016,COLUMN($F$1),FALSE)) - LEN(SUBSTITUTE(VLOOKUP($D21,素材!$1:$1016,COLUMN($F$1),FALSE), "・", 0)) + 1), 0)</f>
        <v>0</v>
      </c>
      <c r="AK21">
        <f>IF(ISNUMBER(SEARCH(SUBSTITUTE(AK$1,RIGHT(AK$1,2),""),VLOOKUP($D21,素材!$1:$1016,COLUMN($F$1),FALSE))),VLOOKUP($C21,武器!$1:$998,COLUMN($O$1),FALSE)*VLOOKUP($D21,素材!$1:$1016,COLUMN($E$1),FALSE)/(LEN(VLOOKUP($D21,素材!$1:$1016,COLUMN($F$1),FALSE)) - LEN(SUBSTITUTE(VLOOKUP($D21,素材!$1:$1016,COLUMN($F$1),FALSE), "・", 0)) + 1), 0)</f>
        <v>0</v>
      </c>
      <c r="AL21">
        <f>IF(ISNUMBER(SEARCH(SUBSTITUTE(AL$1,RIGHT(AL$1,2),""),VLOOKUP($D21,素材!$1:$1016,COLUMN($F$1),FALSE))),VLOOKUP($C21,武器!$1:$998,COLUMN($O$1),FALSE)*VLOOKUP($D21,素材!$1:$1016,COLUMN($E$1),FALSE)/(LEN(VLOOKUP($D21,素材!$1:$1016,COLUMN($F$1),FALSE)) - LEN(SUBSTITUTE(VLOOKUP($D21,素材!$1:$1016,COLUMN($F$1),FALSE), "・", 0)) + 1), 0)</f>
        <v>0</v>
      </c>
      <c r="AM21">
        <f>IF(ISNUMBER(SEARCH(SUBSTITUTE(AM$1,RIGHT(AM$1,2),""),VLOOKUP($D21,素材!$1:$1016,COLUMN($F$1),FALSE))),VLOOKUP($C21,武器!$1:$998,COLUMN($O$1),FALSE)*VLOOKUP($D21,素材!$1:$1016,COLUMN($E$1),FALSE)/(LEN(VLOOKUP($D21,素材!$1:$1016,COLUMN($F$1),FALSE)) - LEN(SUBSTITUTE(VLOOKUP($D21,素材!$1:$1016,COLUMN($F$1),FALSE), "・", 0)) + 1), 0)</f>
        <v>0</v>
      </c>
      <c r="AN21">
        <f>IF(ISNUMBER(SEARCH(SUBSTITUTE(AN$1,RIGHT(AN$1,2),""),VLOOKUP($D21,素材!$1:$1016,COLUMN($F$1),FALSE))),VLOOKUP($C21,武器!$1:$998,COLUMN($O$1),FALSE)*VLOOKUP($D21,素材!$1:$1016,COLUMN($E$1),FALSE)/(LEN(VLOOKUP($D21,素材!$1:$1016,COLUMN($F$1),FALSE)) - LEN(SUBSTITUTE(VLOOKUP($D21,素材!$1:$1016,COLUMN($F$1),FALSE), "・", 0)) + 1), 0)</f>
        <v>0</v>
      </c>
      <c r="AO21">
        <f>IF(ISNUMBER(SEARCH(SUBSTITUTE(AO$1,RIGHT(AO$1,2),""),VLOOKUP($D21,素材!$1:$1016,COLUMN($F$1),FALSE))),VLOOKUP($C21,武器!$1:$998,COLUMN($O$1),FALSE)*VLOOKUP($D21,素材!$1:$1016,COLUMN($E$1),FALSE)/(LEN(VLOOKUP($D21,素材!$1:$1016,COLUMN($F$1),FALSE)) - LEN(SUBSTITUTE(VLOOKUP($D21,素材!$1:$1016,COLUMN($F$1),FALSE), "・", 0)) + 1), 0)</f>
        <v>0</v>
      </c>
      <c r="AP21">
        <f>IF(ISNUMBER(SEARCH(SUBSTITUTE(AP$1,RIGHT(AP$1,2),""),VLOOKUP($D21,素材!$1:$1016,COLUMN($F$1),FALSE))),VLOOKUP($C21,武器!$1:$998,COLUMN($O$1),FALSE)*VLOOKUP($D21,素材!$1:$1016,COLUMN($E$1),FALSE)/(LEN(VLOOKUP($D21,素材!$1:$1016,COLUMN($F$1),FALSE)) - LEN(SUBSTITUTE(VLOOKUP($D21,素材!$1:$1016,COLUMN($F$1),FALSE), "・", 0)) + 1), 0)</f>
        <v>0</v>
      </c>
      <c r="AQ21">
        <f>IF(ISNUMBER(SEARCH(SUBSTITUTE(AQ$1,RIGHT(AQ$1,2),""),VLOOKUP($D21,素材!$1:$1016,COLUMN($F$1),FALSE))),VLOOKUP($C21,武器!$1:$998,COLUMN($O$1),FALSE)*VLOOKUP($D21,素材!$1:$1016,COLUMN($E$1),FALSE)/(LEN(VLOOKUP($D21,素材!$1:$1016,COLUMN($F$1),FALSE)) - LEN(SUBSTITUTE(VLOOKUP($D21,素材!$1:$1016,COLUMN($F$1),FALSE), "・", 0)) + 1), 0)</f>
        <v>0</v>
      </c>
      <c r="AR21">
        <f>IF(ISNUMBER(SEARCH(SUBSTITUTE(AR$1,RIGHT(AR$1,2),""),VLOOKUP($D21,素材!$1:$1016,COLUMN($F$1),FALSE))),VLOOKUP($C21,武器!$1:$998,COLUMN($O$1),FALSE)*VLOOKUP($D21,素材!$1:$1016,COLUMN($E$1),FALSE)/(LEN(VLOOKUP($D21,素材!$1:$1016,COLUMN($F$1),FALSE)) - LEN(SUBSTITUTE(VLOOKUP($D21,素材!$1:$1016,COLUMN($F$1),FALSE), "・", 0)) + 1), 0)</f>
        <v>0</v>
      </c>
      <c r="AS21">
        <f>IF(ISNUMBER(SEARCH(SUBSTITUTE(AS$1,RIGHT(AS$1,2),""),VLOOKUP($D21,素材!$1:$1016,COLUMN($F$1),FALSE))),VLOOKUP($C21,武器!$1:$998,COLUMN($O$1),FALSE)*VLOOKUP($D21,素材!$1:$1016,COLUMN($E$1),FALSE)/(LEN(VLOOKUP($D21,素材!$1:$1016,COLUMN($F$1),FALSE)) - LEN(SUBSTITUTE(VLOOKUP($D21,素材!$1:$1016,COLUMN($F$1),FALSE), "・", 0)) + 1), 0)</f>
        <v>0</v>
      </c>
      <c r="AT21">
        <f>IF(ISNUMBER(SEARCH(SUBSTITUTE(AT$1,RIGHT(AT$1,2),""),VLOOKUP($D21,素材!$1:$1016,COLUMN($F$1),FALSE))),VLOOKUP($C21,武器!$1:$998,COLUMN($O$1),FALSE)*VLOOKUP($D21,素材!$1:$1016,COLUMN($E$1),FALSE)/(LEN(VLOOKUP($D21,素材!$1:$1016,COLUMN($F$1),FALSE)) - LEN(SUBSTITUTE(VLOOKUP($D21,素材!$1:$1016,COLUMN($F$1),FALSE), "・", 0)) + 1), 0)</f>
        <v>0</v>
      </c>
      <c r="AU21">
        <f>IF(ISNUMBER(SEARCH(SUBSTITUTE(AU$1,RIGHT(AU$1,2),""),VLOOKUP($D21,素材!$1:$1016,COLUMN($F$1),FALSE))),VLOOKUP($C21,武器!$1:$998,COLUMN($O$1),FALSE)*VLOOKUP($D21,素材!$1:$1016,COLUMN($E$1),FALSE)/(LEN(VLOOKUP($D21,素材!$1:$1016,COLUMN($F$1),FALSE)) - LEN(SUBSTITUTE(VLOOKUP($D21,素材!$1:$1016,COLUMN($F$1),FALSE), "・", 0)) + 1), 0)</f>
        <v>0</v>
      </c>
      <c r="AV21">
        <f>IF(ISNUMBER(SEARCH(SUBSTITUTE(AV$1,RIGHT(AV$1,2),""),VLOOKUP($D21,素材!$1:$1016,COLUMN($F$1),FALSE))),VLOOKUP($C21,武器!$1:$998,COLUMN($O$1),FALSE)*VLOOKUP($D21,素材!$1:$1016,COLUMN($E$1),FALSE)/(LEN(VLOOKUP($D21,素材!$1:$1016,COLUMN($F$1),FALSE)) - LEN(SUBSTITUTE(VLOOKUP($D21,素材!$1:$1016,COLUMN($F$1),FALSE), "・", 0)) + 1), 0)</f>
        <v>0</v>
      </c>
      <c r="AW21">
        <f>IF(ISNUMBER(SEARCH(SUBSTITUTE(AW$1,RIGHT(AW$1,2),""),VLOOKUP($D21,素材!$1:$1016,COLUMN($F$1),FALSE))),VLOOKUP($C21,武器!$1:$998,COLUMN($O$1),FALSE)*VLOOKUP($D21,素材!$1:$1016,COLUMN($E$1),FALSE)/(LEN(VLOOKUP($D21,素材!$1:$1016,COLUMN($F$1),FALSE)) - LEN(SUBSTITUTE(VLOOKUP($D21,素材!$1:$1016,COLUMN($F$1),FALSE), "・", 0)) + 1), 0)</f>
        <v>0</v>
      </c>
      <c r="AX21">
        <f>IF(ISNUMBER(SEARCH(SUBSTITUTE(AX$1,RIGHT(AX$1,2),""),VLOOKUP($D21,素材!$1:$1016,COLUMN($F$1),FALSE))),VLOOKUP($C21,武器!$1:$998,COLUMN($O$1),FALSE)*VLOOKUP($D21,素材!$1:$1016,COLUMN($E$1),FALSE)/(LEN(VLOOKUP($D21,素材!$1:$1016,COLUMN($F$1),FALSE)) - LEN(SUBSTITUTE(VLOOKUP($D21,素材!$1:$1016,COLUMN($F$1),FALSE), "・", 0)) + 1), 0)</f>
        <v>0</v>
      </c>
      <c r="AY21">
        <f>IF(ISNUMBER(SEARCH(SUBSTITUTE(AY$1,RIGHT(AY$1,2),""),VLOOKUP($D21,素材!$1:$1016,COLUMN($F$1),FALSE))),VLOOKUP($C21,武器!$1:$998,COLUMN($O$1),FALSE)*VLOOKUP($D21,素材!$1:$1016,COLUMN($E$1),FALSE)/(LEN(VLOOKUP($D21,素材!$1:$1016,COLUMN($F$1),FALSE)) - LEN(SUBSTITUTE(VLOOKUP($D21,素材!$1:$1016,COLUMN($F$1),FALSE), "・", 0)) + 1), 0)</f>
        <v>0</v>
      </c>
      <c r="AZ21">
        <f>IF(ISNUMBER(SEARCH(SUBSTITUTE(AZ$1,RIGHT(AZ$1,2),""),VLOOKUP($D21,素材!$1:$1016,COLUMN($F$1),FALSE))),VLOOKUP($C21,武器!$1:$998,COLUMN($O$1),FALSE)*VLOOKUP($D21,素材!$1:$1016,COLUMN($E$1),FALSE)/(LEN(VLOOKUP($D21,素材!$1:$1016,COLUMN($F$1),FALSE)) - LEN(SUBSTITUTE(VLOOKUP($D21,素材!$1:$1016,COLUMN($F$1),FALSE), "・", 0)) + 1), 0)</f>
        <v>0</v>
      </c>
      <c r="BA21">
        <f>IF(ISNUMBER(SEARCH(SUBSTITUTE(BA$1,RIGHT(BA$1,2),""),VLOOKUP($D21,素材!$1:$1016,COLUMN($F$1),FALSE))),VLOOKUP($C21,武器!$1:$998,COLUMN($O$1),FALSE)*VLOOKUP($D21,素材!$1:$1016,COLUMN($E$1),FALSE)/(LEN(VLOOKUP($D21,素材!$1:$1016,COLUMN($F$1),FALSE)) - LEN(SUBSTITUTE(VLOOKUP($D21,素材!$1:$1016,COLUMN($F$1),FALSE), "・", 0)) + 1), 0)</f>
        <v>0</v>
      </c>
      <c r="BB21">
        <f>IF(ISNUMBER(SEARCH(SUBSTITUTE(BB$1,RIGHT(BB$1,2),""),VLOOKUP($D21,素材!$1:$1016,COLUMN($F$1),FALSE))),VLOOKUP($C21,武器!$1:$998,COLUMN($O$1),FALSE)*VLOOKUP($D21,素材!$1:$1016,COLUMN($E$1),FALSE)/(LEN(VLOOKUP($D21,素材!$1:$1016,COLUMN($F$1),FALSE)) - LEN(SUBSTITUTE(VLOOKUP($D21,素材!$1:$1016,COLUMN($F$1),FALSE), "・", 0)) + 1), 0)</f>
        <v>0</v>
      </c>
      <c r="BC21">
        <f>IF(ISNUMBER(SEARCH(SUBSTITUTE(BC$1,RIGHT(BC$1,2),""),VLOOKUP($D21,素材!$1:$1016,COLUMN($F$1),FALSE))),VLOOKUP($C21,武器!$1:$998,COLUMN($O$1),FALSE)*VLOOKUP($D21,素材!$1:$1016,COLUMN($E$1),FALSE)/(LEN(VLOOKUP($D21,素材!$1:$1016,COLUMN($F$1),FALSE)) - LEN(SUBSTITUTE(VLOOKUP($D21,素材!$1:$1016,COLUMN($F$1),FALSE), "・", 0)) + 1), 0)</f>
        <v>0</v>
      </c>
      <c r="BD21">
        <f>IF(ISNUMBER(SEARCH(SUBSTITUTE(BD$1,RIGHT(BD$1,2),""),VLOOKUP($D21,素材!$1:$1016,COLUMN($F$1),FALSE))),VLOOKUP($C21,武器!$1:$998,COLUMN($O$1),FALSE)*VLOOKUP($D21,素材!$1:$1016,COLUMN($E$1),FALSE)/(LEN(VLOOKUP($D21,素材!$1:$1016,COLUMN($F$1),FALSE)) - LEN(SUBSTITUTE(VLOOKUP($D21,素材!$1:$1016,COLUMN($F$1),FALSE), "・", 0)) + 1), 0)</f>
        <v>0</v>
      </c>
      <c r="BE21">
        <f>IF(ISNUMBER(SEARCH(SUBSTITUTE(BE$1,RIGHT(BE$1,2),""),VLOOKUP($D21,素材!$1:$1016,COLUMN($F$1),FALSE))),VLOOKUP($C21,武器!$1:$998,COLUMN($O$1),FALSE)*VLOOKUP($D21,素材!$1:$1016,COLUMN($E$1),FALSE)/(LEN(VLOOKUP($D21,素材!$1:$1016,COLUMN($F$1),FALSE)) - LEN(SUBSTITUTE(VLOOKUP($D21,素材!$1:$1016,COLUMN($F$1),FALSE), "・", 0)) + 1), 0)</f>
        <v>0</v>
      </c>
      <c r="CL21">
        <f>SUM(G21:I21)</f>
        <v>25</v>
      </c>
      <c r="CM21" s="22" t="str">
        <f>IF(E21="武器",IF(J21-1&gt;SUM(G21:I21),"盾",IF(MAX(G21:I21)=G21,"切断",IF(MAX(G21:I21)=H21,"貫通",IF(MAX(G21:I21)=I21,"打撃","射撃")))),E21)&amp;".webp"</f>
        <v>切断.webp</v>
      </c>
      <c r="CN21">
        <f>IFERROR(VLOOKUP($C21,武器!$1:$998,COLUMN(V$1),FALSE)*VLOOKUP($D21,素材!$1:$1016,COLUMN(N$1),FALSE)+IF(CI21="",0,VLOOKUP($CI21,装強!$1:$1008,COLUMN($CK$1),FALSE)),"")</f>
        <v>400</v>
      </c>
      <c r="CO21" t="str">
        <f>VLOOKUP(D21,素材!$A:$O,COLUMN(素材!O$1),FALSE)</f>
        <v>一般的な鉄。量産品を作るのに使用されることが多い</v>
      </c>
      <c r="CP21" t="str">
        <f>VLOOKUP(C21,武器!$A:$W,COLUMN(武器!W$1),FALSE)</f>
        <v>戦斧。攻撃力が高く、重いが信頼性がある武器。</v>
      </c>
      <c r="CR21" t="str">
        <f t="shared" si="1"/>
        <v>e_21</v>
      </c>
      <c r="CS21">
        <f t="shared" si="2"/>
        <v>40000</v>
      </c>
    </row>
    <row r="22" spans="1:97" outlineLevel="1" x14ac:dyDescent="0.4">
      <c r="A22" t="str">
        <f t="shared" si="0"/>
        <v>鉄の鞭</v>
      </c>
      <c r="B22" t="str">
        <f>IFERROR(VLOOKUP($D22,素材!$1:$1016,COLUMN($B$1),FALSE)&amp;"・"&amp;VLOOKUP($C22,武器!$1:$998,COLUMN(B$1),FALSE),"")</f>
        <v>アイアン・ウィップ</v>
      </c>
      <c r="C22" t="s">
        <v>223</v>
      </c>
      <c r="D22" s="24" t="s">
        <v>257</v>
      </c>
      <c r="E22" t="str">
        <f>IFERROR(VLOOKUP(C22,武器!$1:$998,COLUMN(C$1),FALSE),"")</f>
        <v>武器</v>
      </c>
      <c r="F22">
        <f>IFERROR(ROUNDDOWN((VLOOKUP($C22,武器!$1:$998,COLUMN(D$1),FALSE)+IFERROR(VLOOKUP($CI22,装強!$1:$999,COLUMN(F$1),FALSE),0))*VLOOKUP($D22,素材!$1:$1016,COLUMN(D$1),FALSE),0),"")</f>
        <v>105</v>
      </c>
      <c r="G22">
        <f>IFERROR(ROUNDDOWN((VLOOKUP($C22,武器!$1:$998,COLUMN(E$1),FALSE)+IFERROR(VLOOKUP($CI22,装強!$1:$999,COLUMN(G$1),FALSE),0))*VLOOKUP($D22,素材!$1:$1016,COLUMN($E$1),FALSE),0),"")</f>
        <v>18</v>
      </c>
      <c r="H22">
        <f>IFERROR(ROUNDDOWN((VLOOKUP($C22,武器!$1:$998,COLUMN(F$1),FALSE)+IFERROR(VLOOKUP($CI22,装強!$1:$999,COLUMN(H$1),FALSE),0))*VLOOKUP($D22,素材!$1:$1016,COLUMN($E$1),FALSE),0),"")</f>
        <v>0</v>
      </c>
      <c r="I22">
        <f>IFERROR(ROUNDDOWN((VLOOKUP($C22,武器!$1:$998,COLUMN(G$1),FALSE)+IFERROR(VLOOKUP($CI22,装強!$1:$999,COLUMN(I$1),FALSE),0))*VLOOKUP($D22,素材!$1:$1016,COLUMN($E$1),FALSE),0),"")</f>
        <v>4</v>
      </c>
      <c r="J22">
        <f>IFERROR(ROUNDDOWN((VLOOKUP($C22,武器!$1:$998,COLUMN(H$1),FALSE)+IFERROR(VLOOKUP($CI22,装強!$1:$999,COLUMN(J$1),FALSE),0))*VLOOKUP($D22,素材!$1:$1016,COLUMN($E$1),FALSE),0),"")</f>
        <v>11</v>
      </c>
      <c r="K22">
        <f>IFERROR(ROUNDDOWN((VLOOKUP($C22,武器!$1:$998,COLUMN(I$1),FALSE)+IFERROR(VLOOKUP($CI22,装強!$1:$999,COLUMN(K$1),FALSE),0))*VLOOKUP($D22,素材!$1:$1016,COLUMN($E$1),FALSE),0),"")</f>
        <v>0</v>
      </c>
      <c r="L22">
        <f>IFERROR(VLOOKUP($D22,素材!$1:$1016,COLUMN($F$1),FALSE),"")</f>
        <v>0</v>
      </c>
      <c r="M22">
        <f>IFERROR(VLOOKUP($C22,武器!$1:$998,COLUMN(AA$1),FALSE)*VLOOKUP($D22,素材!$1:$1016,COLUMN($G$1),FALSE),"")</f>
        <v>0</v>
      </c>
      <c r="N22">
        <f>IFERROR(VLOOKUP($C22,武器!$1:$998,COLUMN(I$1),FALSE),"")</f>
        <v>0</v>
      </c>
      <c r="O22" s="23">
        <f>IFERROR((VLOOKUP($C22,武器!$1:$998,COLUMN(K$1),FALSE)+VLOOKUP($D22,素材!$1:$1016,COLUMN(H$1),FALSE))*100+IFERROR(VLOOKUP($CI22,装強!$1:$999,COLUMN(O$1),FALSE),0),"")</f>
        <v>10</v>
      </c>
      <c r="P22" s="23">
        <f>IFERROR((VLOOKUP($C22,武器!$1:$998,COLUMN(L$1),FALSE)+VLOOKUP($D22,素材!$1:$1016,COLUMN(I$1),FALSE))*100+IFERROR(VLOOKUP($CI22,装強!$1:$999,COLUMN(P$1),FALSE),0),"")</f>
        <v>150</v>
      </c>
      <c r="Q22">
        <f>IFERROR(ROUNDUP(VLOOKUP($C22,武器!$1:$998,COLUMN(M$1),FALSE)*(VLOOKUP($D22,素材!$1:$1002,COLUMN(D$1),FALSE)/100),1),"")</f>
        <v>0</v>
      </c>
      <c r="R22">
        <f>IFERROR(ROUNDUP(VLOOKUP($C22,武器!$1:$998,COLUMN(N$1),FALSE)*(VLOOKUP($D22,素材!$1:$1002,COLUMN(D$1),FALSE)/100),1),"")</f>
        <v>0</v>
      </c>
      <c r="S22">
        <f>IFERROR(VLOOKUP($C22,武器!$1:$998,COLUMN(P$1),FALSE),"")</f>
        <v>1</v>
      </c>
      <c r="T22">
        <f>IFERROR(VLOOKUP($C22,武器!$1:$998,COLUMN(Q$1),FALSE),"")</f>
        <v>0</v>
      </c>
      <c r="U22">
        <f>IFERROR(VLOOKUP($C22,武器!$1:$998,COLUMN(R$1),FALSE),"")</f>
        <v>0</v>
      </c>
      <c r="V22">
        <f>IFERROR(VLOOKUP($C22,武器!$1:$998,COLUMN(Q$1),FALSE),"")</f>
        <v>0</v>
      </c>
      <c r="W22" t="str">
        <f>IFERROR(VLOOKUP($C22,武器!$1:$998,COLUMN(T$1),FALSE),"")</f>
        <v>A</v>
      </c>
      <c r="Y22">
        <f>IFERROR(VLOOKUP($C22,武器!$1:$998,COLUMN(U$1),FALSE),"")</f>
        <v>0</v>
      </c>
      <c r="Z22">
        <f>IFERROR(ROUNDUP(VLOOKUP($C22,武器!$1:$998,COLUMN(O$1),FALSE)*VLOOKUP($D22,素材!$1:$1016,COLUMN(E$1),FALSE),1),"")</f>
        <v>0</v>
      </c>
      <c r="AA22">
        <f>IF(ISNUMBER(SEARCH(SUBSTITUTE(AA$1,RIGHT(AA$1,2),""),VLOOKUP($D22,素材!$1:$1016,COLUMN($F$1),FALSE))),VLOOKUP($C22,武器!$1:$998,COLUMN($O$1),FALSE)*VLOOKUP($D22,素材!$1:$1016,COLUMN($E$1),FALSE)/(LEN(VLOOKUP($D22,素材!$1:$1016,COLUMN($F$1),FALSE)) - LEN(SUBSTITUTE(VLOOKUP($D22,素材!$1:$1016,COLUMN($F$1),FALSE), "・", 0)) + 1), 0)</f>
        <v>0</v>
      </c>
      <c r="AB22">
        <f>IF(ISNUMBER(SEARCH(SUBSTITUTE(AB$1,RIGHT(AB$1,2),""),VLOOKUP($D22,素材!$1:$1016,COLUMN($F$1),FALSE))),VLOOKUP($C22,武器!$1:$998,COLUMN($O$1),FALSE)*VLOOKUP($D22,素材!$1:$1016,COLUMN($E$1),FALSE)/(LEN(VLOOKUP($D22,素材!$1:$1016,COLUMN($F$1),FALSE)) - LEN(SUBSTITUTE(VLOOKUP($D22,素材!$1:$1016,COLUMN($F$1),FALSE), "・", 0)) + 1), 0)</f>
        <v>0</v>
      </c>
      <c r="AC22">
        <f>IF(ISNUMBER(SEARCH(SUBSTITUTE(AC$1,RIGHT(AC$1,2),""),VLOOKUP($D22,素材!$1:$1016,COLUMN($F$1),FALSE))),VLOOKUP($C22,武器!$1:$998,COLUMN($O$1),FALSE)*VLOOKUP($D22,素材!$1:$1016,COLUMN($E$1),FALSE)/(LEN(VLOOKUP($D22,素材!$1:$1016,COLUMN($F$1),FALSE)) - LEN(SUBSTITUTE(VLOOKUP($D22,素材!$1:$1016,COLUMN($F$1),FALSE), "・", 0)) + 1), 0)</f>
        <v>0</v>
      </c>
      <c r="AD22">
        <f>IF(ISNUMBER(SEARCH(SUBSTITUTE(AD$1,RIGHT(AD$1,2),""),VLOOKUP($D22,素材!$1:$1016,COLUMN($F$1),FALSE))),VLOOKUP($C22,武器!$1:$998,COLUMN($O$1),FALSE)*VLOOKUP($D22,素材!$1:$1016,COLUMN($E$1),FALSE)/(LEN(VLOOKUP($D22,素材!$1:$1016,COLUMN($F$1),FALSE)) - LEN(SUBSTITUTE(VLOOKUP($D22,素材!$1:$1016,COLUMN($F$1),FALSE), "・", 0)) + 1), 0)</f>
        <v>0</v>
      </c>
      <c r="AE22">
        <f>IF(ISNUMBER(SEARCH(SUBSTITUTE(AE$1,RIGHT(AE$1,2),""),VLOOKUP($D22,素材!$1:$1016,COLUMN($F$1),FALSE))),VLOOKUP($C22,武器!$1:$998,COLUMN($O$1),FALSE)*VLOOKUP($D22,素材!$1:$1016,COLUMN($E$1),FALSE)/(LEN(VLOOKUP($D22,素材!$1:$1016,COLUMN($F$1),FALSE)) - LEN(SUBSTITUTE(VLOOKUP($D22,素材!$1:$1016,COLUMN($F$1),FALSE), "・", 0)) + 1), 0)</f>
        <v>0</v>
      </c>
      <c r="AF22">
        <f>IF(ISNUMBER(SEARCH(SUBSTITUTE(AF$1,RIGHT(AF$1,2),""),VLOOKUP($D22,素材!$1:$1016,COLUMN($F$1),FALSE))),VLOOKUP($C22,武器!$1:$998,COLUMN($O$1),FALSE)*VLOOKUP($D22,素材!$1:$1016,COLUMN($E$1),FALSE)/(LEN(VLOOKUP($D22,素材!$1:$1016,COLUMN($F$1),FALSE)) - LEN(SUBSTITUTE(VLOOKUP($D22,素材!$1:$1016,COLUMN($F$1),FALSE), "・", 0)) + 1), 0)</f>
        <v>0</v>
      </c>
      <c r="AG22">
        <f>IF(ISNUMBER(SEARCH(SUBSTITUTE(AG$1,RIGHT(AG$1,2),""),VLOOKUP($D22,素材!$1:$1016,COLUMN($F$1),FALSE))),VLOOKUP($C22,武器!$1:$998,COLUMN($O$1),FALSE)*VLOOKUP($D22,素材!$1:$1016,COLUMN($E$1),FALSE)/(LEN(VLOOKUP($D22,素材!$1:$1016,COLUMN($F$1),FALSE)) - LEN(SUBSTITUTE(VLOOKUP($D22,素材!$1:$1016,COLUMN($F$1),FALSE), "・", 0)) + 1), 0)</f>
        <v>0</v>
      </c>
      <c r="AH22">
        <f>IF(ISNUMBER(SEARCH(SUBSTITUTE(AH$1,RIGHT(AH$1,2),""),VLOOKUP($D22,素材!$1:$1016,COLUMN($F$1),FALSE))),VLOOKUP($C22,武器!$1:$998,COLUMN($O$1),FALSE)*VLOOKUP($D22,素材!$1:$1016,COLUMN($E$1),FALSE)/(LEN(VLOOKUP($D22,素材!$1:$1016,COLUMN($F$1),FALSE)) - LEN(SUBSTITUTE(VLOOKUP($D22,素材!$1:$1016,COLUMN($F$1),FALSE), "・", 0)) + 1), 0)</f>
        <v>0</v>
      </c>
      <c r="AI22">
        <f>IF(ISNUMBER(SEARCH(SUBSTITUTE(AI$1,RIGHT(AI$1,2),""),VLOOKUP($D22,素材!$1:$1016,COLUMN($F$1),FALSE))),VLOOKUP($C22,武器!$1:$998,COLUMN($O$1),FALSE)*VLOOKUP($D22,素材!$1:$1016,COLUMN($E$1),FALSE)/(LEN(VLOOKUP($D22,素材!$1:$1016,COLUMN($F$1),FALSE)) - LEN(SUBSTITUTE(VLOOKUP($D22,素材!$1:$1016,COLUMN($F$1),FALSE), "・", 0)) + 1), 0)</f>
        <v>0</v>
      </c>
      <c r="AJ22">
        <f>IF(ISNUMBER(SEARCH(SUBSTITUTE(AJ$1,RIGHT(AJ$1,2),""),VLOOKUP($D22,素材!$1:$1016,COLUMN($F$1),FALSE))),VLOOKUP($C22,武器!$1:$998,COLUMN($O$1),FALSE)*VLOOKUP($D22,素材!$1:$1016,COLUMN($E$1),FALSE)/(LEN(VLOOKUP($D22,素材!$1:$1016,COLUMN($F$1),FALSE)) - LEN(SUBSTITUTE(VLOOKUP($D22,素材!$1:$1016,COLUMN($F$1),FALSE), "・", 0)) + 1), 0)</f>
        <v>0</v>
      </c>
      <c r="AK22">
        <f>IF(ISNUMBER(SEARCH(SUBSTITUTE(AK$1,RIGHT(AK$1,2),""),VLOOKUP($D22,素材!$1:$1016,COLUMN($F$1),FALSE))),VLOOKUP($C22,武器!$1:$998,COLUMN($O$1),FALSE)*VLOOKUP($D22,素材!$1:$1016,COLUMN($E$1),FALSE)/(LEN(VLOOKUP($D22,素材!$1:$1016,COLUMN($F$1),FALSE)) - LEN(SUBSTITUTE(VLOOKUP($D22,素材!$1:$1016,COLUMN($F$1),FALSE), "・", 0)) + 1), 0)</f>
        <v>0</v>
      </c>
      <c r="AL22">
        <f>IF(ISNUMBER(SEARCH(SUBSTITUTE(AL$1,RIGHT(AL$1,2),""),VLOOKUP($D22,素材!$1:$1016,COLUMN($F$1),FALSE))),VLOOKUP($C22,武器!$1:$998,COLUMN($O$1),FALSE)*VLOOKUP($D22,素材!$1:$1016,COLUMN($E$1),FALSE)/(LEN(VLOOKUP($D22,素材!$1:$1016,COLUMN($F$1),FALSE)) - LEN(SUBSTITUTE(VLOOKUP($D22,素材!$1:$1016,COLUMN($F$1),FALSE), "・", 0)) + 1), 0)</f>
        <v>0</v>
      </c>
      <c r="AM22">
        <f>IF(ISNUMBER(SEARCH(SUBSTITUTE(AM$1,RIGHT(AM$1,2),""),VLOOKUP($D22,素材!$1:$1016,COLUMN($F$1),FALSE))),VLOOKUP($C22,武器!$1:$998,COLUMN($O$1),FALSE)*VLOOKUP($D22,素材!$1:$1016,COLUMN($E$1),FALSE)/(LEN(VLOOKUP($D22,素材!$1:$1016,COLUMN($F$1),FALSE)) - LEN(SUBSTITUTE(VLOOKUP($D22,素材!$1:$1016,COLUMN($F$1),FALSE), "・", 0)) + 1), 0)</f>
        <v>0</v>
      </c>
      <c r="AN22">
        <f>IF(ISNUMBER(SEARCH(SUBSTITUTE(AN$1,RIGHT(AN$1,2),""),VLOOKUP($D22,素材!$1:$1016,COLUMN($F$1),FALSE))),VLOOKUP($C22,武器!$1:$998,COLUMN($O$1),FALSE)*VLOOKUP($D22,素材!$1:$1016,COLUMN($E$1),FALSE)/(LEN(VLOOKUP($D22,素材!$1:$1016,COLUMN($F$1),FALSE)) - LEN(SUBSTITUTE(VLOOKUP($D22,素材!$1:$1016,COLUMN($F$1),FALSE), "・", 0)) + 1), 0)</f>
        <v>0</v>
      </c>
      <c r="AO22">
        <f>IF(ISNUMBER(SEARCH(SUBSTITUTE(AO$1,RIGHT(AO$1,2),""),VLOOKUP($D22,素材!$1:$1016,COLUMN($F$1),FALSE))),VLOOKUP($C22,武器!$1:$998,COLUMN($O$1),FALSE)*VLOOKUP($D22,素材!$1:$1016,COLUMN($E$1),FALSE)/(LEN(VLOOKUP($D22,素材!$1:$1016,COLUMN($F$1),FALSE)) - LEN(SUBSTITUTE(VLOOKUP($D22,素材!$1:$1016,COLUMN($F$1),FALSE), "・", 0)) + 1), 0)</f>
        <v>0</v>
      </c>
      <c r="AP22">
        <f>IF(ISNUMBER(SEARCH(SUBSTITUTE(AP$1,RIGHT(AP$1,2),""),VLOOKUP($D22,素材!$1:$1016,COLUMN($F$1),FALSE))),VLOOKUP($C22,武器!$1:$998,COLUMN($O$1),FALSE)*VLOOKUP($D22,素材!$1:$1016,COLUMN($E$1),FALSE)/(LEN(VLOOKUP($D22,素材!$1:$1016,COLUMN($F$1),FALSE)) - LEN(SUBSTITUTE(VLOOKUP($D22,素材!$1:$1016,COLUMN($F$1),FALSE), "・", 0)) + 1), 0)</f>
        <v>0</v>
      </c>
      <c r="AQ22">
        <f>IF(ISNUMBER(SEARCH(SUBSTITUTE(AQ$1,RIGHT(AQ$1,2),""),VLOOKUP($D22,素材!$1:$1016,COLUMN($F$1),FALSE))),VLOOKUP($C22,武器!$1:$998,COLUMN($O$1),FALSE)*VLOOKUP($D22,素材!$1:$1016,COLUMN($E$1),FALSE)/(LEN(VLOOKUP($D22,素材!$1:$1016,COLUMN($F$1),FALSE)) - LEN(SUBSTITUTE(VLOOKUP($D22,素材!$1:$1016,COLUMN($F$1),FALSE), "・", 0)) + 1), 0)</f>
        <v>0</v>
      </c>
      <c r="AR22">
        <f>IF(ISNUMBER(SEARCH(SUBSTITUTE(AR$1,RIGHT(AR$1,2),""),VLOOKUP($D22,素材!$1:$1016,COLUMN($F$1),FALSE))),VLOOKUP($C22,武器!$1:$998,COLUMN($O$1),FALSE)*VLOOKUP($D22,素材!$1:$1016,COLUMN($E$1),FALSE)/(LEN(VLOOKUP($D22,素材!$1:$1016,COLUMN($F$1),FALSE)) - LEN(SUBSTITUTE(VLOOKUP($D22,素材!$1:$1016,COLUMN($F$1),FALSE), "・", 0)) + 1), 0)</f>
        <v>0</v>
      </c>
      <c r="AS22">
        <f>IF(ISNUMBER(SEARCH(SUBSTITUTE(AS$1,RIGHT(AS$1,2),""),VLOOKUP($D22,素材!$1:$1016,COLUMN($F$1),FALSE))),VLOOKUP($C22,武器!$1:$998,COLUMN($O$1),FALSE)*VLOOKUP($D22,素材!$1:$1016,COLUMN($E$1),FALSE)/(LEN(VLOOKUP($D22,素材!$1:$1016,COLUMN($F$1),FALSE)) - LEN(SUBSTITUTE(VLOOKUP($D22,素材!$1:$1016,COLUMN($F$1),FALSE), "・", 0)) + 1), 0)</f>
        <v>0</v>
      </c>
      <c r="AT22">
        <f>IF(ISNUMBER(SEARCH(SUBSTITUTE(AT$1,RIGHT(AT$1,2),""),VLOOKUP($D22,素材!$1:$1016,COLUMN($F$1),FALSE))),VLOOKUP($C22,武器!$1:$998,COLUMN($O$1),FALSE)*VLOOKUP($D22,素材!$1:$1016,COLUMN($E$1),FALSE)/(LEN(VLOOKUP($D22,素材!$1:$1016,COLUMN($F$1),FALSE)) - LEN(SUBSTITUTE(VLOOKUP($D22,素材!$1:$1016,COLUMN($F$1),FALSE), "・", 0)) + 1), 0)</f>
        <v>0</v>
      </c>
      <c r="AU22">
        <f>IF(ISNUMBER(SEARCH(SUBSTITUTE(AU$1,RIGHT(AU$1,2),""),VLOOKUP($D22,素材!$1:$1016,COLUMN($F$1),FALSE))),VLOOKUP($C22,武器!$1:$998,COLUMN($O$1),FALSE)*VLOOKUP($D22,素材!$1:$1016,COLUMN($E$1),FALSE)/(LEN(VLOOKUP($D22,素材!$1:$1016,COLUMN($F$1),FALSE)) - LEN(SUBSTITUTE(VLOOKUP($D22,素材!$1:$1016,COLUMN($F$1),FALSE), "・", 0)) + 1), 0)</f>
        <v>0</v>
      </c>
      <c r="AV22">
        <f>IF(ISNUMBER(SEARCH(SUBSTITUTE(AV$1,RIGHT(AV$1,2),""),VLOOKUP($D22,素材!$1:$1016,COLUMN($F$1),FALSE))),VLOOKUP($C22,武器!$1:$998,COLUMN($O$1),FALSE)*VLOOKUP($D22,素材!$1:$1016,COLUMN($E$1),FALSE)/(LEN(VLOOKUP($D22,素材!$1:$1016,COLUMN($F$1),FALSE)) - LEN(SUBSTITUTE(VLOOKUP($D22,素材!$1:$1016,COLUMN($F$1),FALSE), "・", 0)) + 1), 0)</f>
        <v>0</v>
      </c>
      <c r="AW22">
        <f>IF(ISNUMBER(SEARCH(SUBSTITUTE(AW$1,RIGHT(AW$1,2),""),VLOOKUP($D22,素材!$1:$1016,COLUMN($F$1),FALSE))),VLOOKUP($C22,武器!$1:$998,COLUMN($O$1),FALSE)*VLOOKUP($D22,素材!$1:$1016,COLUMN($E$1),FALSE)/(LEN(VLOOKUP($D22,素材!$1:$1016,COLUMN($F$1),FALSE)) - LEN(SUBSTITUTE(VLOOKUP($D22,素材!$1:$1016,COLUMN($F$1),FALSE), "・", 0)) + 1), 0)</f>
        <v>0</v>
      </c>
      <c r="AX22">
        <f>IF(ISNUMBER(SEARCH(SUBSTITUTE(AX$1,RIGHT(AX$1,2),""),VLOOKUP($D22,素材!$1:$1016,COLUMN($F$1),FALSE))),VLOOKUP($C22,武器!$1:$998,COLUMN($O$1),FALSE)*VLOOKUP($D22,素材!$1:$1016,COLUMN($E$1),FALSE)/(LEN(VLOOKUP($D22,素材!$1:$1016,COLUMN($F$1),FALSE)) - LEN(SUBSTITUTE(VLOOKUP($D22,素材!$1:$1016,COLUMN($F$1),FALSE), "・", 0)) + 1), 0)</f>
        <v>0</v>
      </c>
      <c r="AY22">
        <f>IF(ISNUMBER(SEARCH(SUBSTITUTE(AY$1,RIGHT(AY$1,2),""),VLOOKUP($D22,素材!$1:$1016,COLUMN($F$1),FALSE))),VLOOKUP($C22,武器!$1:$998,COLUMN($O$1),FALSE)*VLOOKUP($D22,素材!$1:$1016,COLUMN($E$1),FALSE)/(LEN(VLOOKUP($D22,素材!$1:$1016,COLUMN($F$1),FALSE)) - LEN(SUBSTITUTE(VLOOKUP($D22,素材!$1:$1016,COLUMN($F$1),FALSE), "・", 0)) + 1), 0)</f>
        <v>0</v>
      </c>
      <c r="AZ22">
        <f>IF(ISNUMBER(SEARCH(SUBSTITUTE(AZ$1,RIGHT(AZ$1,2),""),VLOOKUP($D22,素材!$1:$1016,COLUMN($F$1),FALSE))),VLOOKUP($C22,武器!$1:$998,COLUMN($O$1),FALSE)*VLOOKUP($D22,素材!$1:$1016,COLUMN($E$1),FALSE)/(LEN(VLOOKUP($D22,素材!$1:$1016,COLUMN($F$1),FALSE)) - LEN(SUBSTITUTE(VLOOKUP($D22,素材!$1:$1016,COLUMN($F$1),FALSE), "・", 0)) + 1), 0)</f>
        <v>0</v>
      </c>
      <c r="BA22">
        <f>IF(ISNUMBER(SEARCH(SUBSTITUTE(BA$1,RIGHT(BA$1,2),""),VLOOKUP($D22,素材!$1:$1016,COLUMN($F$1),FALSE))),VLOOKUP($C22,武器!$1:$998,COLUMN($O$1),FALSE)*VLOOKUP($D22,素材!$1:$1016,COLUMN($E$1),FALSE)/(LEN(VLOOKUP($D22,素材!$1:$1016,COLUMN($F$1),FALSE)) - LEN(SUBSTITUTE(VLOOKUP($D22,素材!$1:$1016,COLUMN($F$1),FALSE), "・", 0)) + 1), 0)</f>
        <v>0</v>
      </c>
      <c r="BB22">
        <f>IF(ISNUMBER(SEARCH(SUBSTITUTE(BB$1,RIGHT(BB$1,2),""),VLOOKUP($D22,素材!$1:$1016,COLUMN($F$1),FALSE))),VLOOKUP($C22,武器!$1:$998,COLUMN($O$1),FALSE)*VLOOKUP($D22,素材!$1:$1016,COLUMN($E$1),FALSE)/(LEN(VLOOKUP($D22,素材!$1:$1016,COLUMN($F$1),FALSE)) - LEN(SUBSTITUTE(VLOOKUP($D22,素材!$1:$1016,COLUMN($F$1),FALSE), "・", 0)) + 1), 0)</f>
        <v>0</v>
      </c>
      <c r="BC22">
        <f>IF(ISNUMBER(SEARCH(SUBSTITUTE(BC$1,RIGHT(BC$1,2),""),VLOOKUP($D22,素材!$1:$1016,COLUMN($F$1),FALSE))),VLOOKUP($C22,武器!$1:$998,COLUMN($O$1),FALSE)*VLOOKUP($D22,素材!$1:$1016,COLUMN($E$1),FALSE)/(LEN(VLOOKUP($D22,素材!$1:$1016,COLUMN($F$1),FALSE)) - LEN(SUBSTITUTE(VLOOKUP($D22,素材!$1:$1016,COLUMN($F$1),FALSE), "・", 0)) + 1), 0)</f>
        <v>0</v>
      </c>
      <c r="BD22">
        <f>IF(ISNUMBER(SEARCH(SUBSTITUTE(BD$1,RIGHT(BD$1,2),""),VLOOKUP($D22,素材!$1:$1016,COLUMN($F$1),FALSE))),VLOOKUP($C22,武器!$1:$998,COLUMN($O$1),FALSE)*VLOOKUP($D22,素材!$1:$1016,COLUMN($E$1),FALSE)/(LEN(VLOOKUP($D22,素材!$1:$1016,COLUMN($F$1),FALSE)) - LEN(SUBSTITUTE(VLOOKUP($D22,素材!$1:$1016,COLUMN($F$1),FALSE), "・", 0)) + 1), 0)</f>
        <v>0</v>
      </c>
      <c r="BE22">
        <f>IF(ISNUMBER(SEARCH(SUBSTITUTE(BE$1,RIGHT(BE$1,2),""),VLOOKUP($D22,素材!$1:$1016,COLUMN($F$1),FALSE))),VLOOKUP($C22,武器!$1:$998,COLUMN($O$1),FALSE)*VLOOKUP($D22,素材!$1:$1016,COLUMN($E$1),FALSE)/(LEN(VLOOKUP($D22,素材!$1:$1016,COLUMN($F$1),FALSE)) - LEN(SUBSTITUTE(VLOOKUP($D22,素材!$1:$1016,COLUMN($F$1),FALSE), "・", 0)) + 1), 0)</f>
        <v>0</v>
      </c>
      <c r="CL22">
        <f>SUM(G22:I22)</f>
        <v>22</v>
      </c>
      <c r="CM22" s="22" t="str">
        <f>IF(E22="武器",IF(J22-1&gt;SUM(G22:I22),"盾",IF(MAX(G22:I22)=G22,"切断",IF(MAX(G22:I22)=H22,"貫通",IF(MAX(G22:I22)=I22,"打撃","射撃")))),E22)&amp;".webp"</f>
        <v>切断.webp</v>
      </c>
      <c r="CN22">
        <f>IFERROR(VLOOKUP($C22,武器!$1:$998,COLUMN(V$1),FALSE)*VLOOKUP($D22,素材!$1:$1016,COLUMN(N$1),FALSE)+IF(CI22="",0,VLOOKUP($CI22,装強!$1:$1008,COLUMN($CK$1),FALSE)),"")</f>
        <v>500</v>
      </c>
      <c r="CO22" t="str">
        <f>VLOOKUP(D22,素材!$A:$O,COLUMN(素材!O$1),FALSE)</f>
        <v>一般的な鉄。量産品を作るのに使用されることが多い</v>
      </c>
      <c r="CP22" t="str">
        <f>VLOOKUP(C22,武器!$A:$W,COLUMN(武器!W$1),FALSE)</f>
        <v>鞭。リーチが長く、敵を絡め取る戦闘に適する。</v>
      </c>
      <c r="CR22" t="str">
        <f t="shared" si="1"/>
        <v>e_22</v>
      </c>
      <c r="CS22">
        <f t="shared" si="2"/>
        <v>50000</v>
      </c>
    </row>
    <row r="23" spans="1:97" outlineLevel="1" x14ac:dyDescent="0.4">
      <c r="A23" t="str">
        <f t="shared" si="0"/>
        <v>鉄の丸盾</v>
      </c>
      <c r="B23" t="str">
        <f>IFERROR(VLOOKUP($D23,素材!$1:$1016,COLUMN($B$1),FALSE)&amp;"・"&amp;VLOOKUP($C23,武器!$1:$998,COLUMN(B$1),FALSE),"")</f>
        <v>アイアン・バックラー</v>
      </c>
      <c r="C23" t="s">
        <v>222</v>
      </c>
      <c r="D23" s="24" t="s">
        <v>257</v>
      </c>
      <c r="E23" t="str">
        <f>IFERROR(VLOOKUP(C23,武器!$1:$998,COLUMN(C$1),FALSE),"")</f>
        <v>盾</v>
      </c>
      <c r="F23">
        <f>IFERROR(ROUNDDOWN((VLOOKUP($C23,武器!$1:$998,COLUMN(D$1),FALSE)+IFERROR(VLOOKUP($CI23,装強!$1:$999,COLUMN(F$1),FALSE),0))*VLOOKUP($D23,素材!$1:$1016,COLUMN(D$1),FALSE),0),"")</f>
        <v>100</v>
      </c>
      <c r="G23">
        <f>IFERROR(ROUNDDOWN((VLOOKUP($C23,武器!$1:$998,COLUMN(E$1),FALSE)+IFERROR(VLOOKUP($CI23,装強!$1:$999,COLUMN(G$1),FALSE),0))*VLOOKUP($D23,素材!$1:$1016,COLUMN($E$1),FALSE),0),"")</f>
        <v>8</v>
      </c>
      <c r="H23">
        <f>IFERROR(ROUNDDOWN((VLOOKUP($C23,武器!$1:$998,COLUMN(F$1),FALSE)+IFERROR(VLOOKUP($CI23,装強!$1:$999,COLUMN(H$1),FALSE),0))*VLOOKUP($D23,素材!$1:$1016,COLUMN($E$1),FALSE),0),"")</f>
        <v>0</v>
      </c>
      <c r="I23">
        <f>IFERROR(ROUNDDOWN((VLOOKUP($C23,武器!$1:$998,COLUMN(G$1),FALSE)+IFERROR(VLOOKUP($CI23,装強!$1:$999,COLUMN(I$1),FALSE),0))*VLOOKUP($D23,素材!$1:$1016,COLUMN($E$1),FALSE),0),"")</f>
        <v>8</v>
      </c>
      <c r="J23">
        <f>IFERROR(ROUNDDOWN((VLOOKUP($C23,武器!$1:$998,COLUMN(H$1),FALSE)+IFERROR(VLOOKUP($CI23,装強!$1:$999,COLUMN(J$1),FALSE),0))*VLOOKUP($D23,素材!$1:$1016,COLUMN($E$1),FALSE),0),"")</f>
        <v>23</v>
      </c>
      <c r="K23">
        <f>IFERROR(ROUNDDOWN((VLOOKUP($C23,武器!$1:$998,COLUMN(I$1),FALSE)+IFERROR(VLOOKUP($CI23,装強!$1:$999,COLUMN(K$1),FALSE),0))*VLOOKUP($D23,素材!$1:$1016,COLUMN($E$1),FALSE),0),"")</f>
        <v>0</v>
      </c>
      <c r="L23">
        <f>IFERROR(VLOOKUP($D23,素材!$1:$1016,COLUMN($F$1),FALSE),"")</f>
        <v>0</v>
      </c>
      <c r="M23">
        <f>IFERROR(VLOOKUP($C23,武器!$1:$998,COLUMN(AA$1),FALSE)*VLOOKUP($D23,素材!$1:$1016,COLUMN($G$1),FALSE),"")</f>
        <v>0</v>
      </c>
      <c r="N23">
        <f>IFERROR(VLOOKUP($C23,武器!$1:$998,COLUMN(I$1),FALSE),"")</f>
        <v>0</v>
      </c>
      <c r="O23" s="23">
        <f>IFERROR((VLOOKUP($C23,武器!$1:$998,COLUMN(K$1),FALSE)+VLOOKUP($D23,素材!$1:$1016,COLUMN(H$1),FALSE))*100+IFERROR(VLOOKUP($CI23,装強!$1:$999,COLUMN(O$1),FALSE),0),"")</f>
        <v>5</v>
      </c>
      <c r="P23" s="23">
        <f>IFERROR((VLOOKUP($C23,武器!$1:$998,COLUMN(L$1),FALSE)+VLOOKUP($D23,素材!$1:$1016,COLUMN(I$1),FALSE))*100+IFERROR(VLOOKUP($CI23,装強!$1:$999,COLUMN(P$1),FALSE),0),"")</f>
        <v>125</v>
      </c>
      <c r="Q23">
        <f>IFERROR(ROUNDUP(VLOOKUP($C23,武器!$1:$998,COLUMN(M$1),FALSE)*(VLOOKUP($D23,素材!$1:$1002,COLUMN(D$1),FALSE)/100),1),"")</f>
        <v>0</v>
      </c>
      <c r="R23">
        <f>IFERROR(ROUNDUP(VLOOKUP($C23,武器!$1:$998,COLUMN(N$1),FALSE)*(VLOOKUP($D23,素材!$1:$1002,COLUMN(D$1),FALSE)/100),1),"")</f>
        <v>0</v>
      </c>
      <c r="S23">
        <f>IFERROR(VLOOKUP($C23,武器!$1:$998,COLUMN(P$1),FALSE),"")</f>
        <v>0</v>
      </c>
      <c r="T23">
        <f>IFERROR(VLOOKUP($C23,武器!$1:$998,COLUMN(Q$1),FALSE),"")</f>
        <v>0</v>
      </c>
      <c r="U23">
        <f>IFERROR(VLOOKUP($C23,武器!$1:$998,COLUMN(R$1),FALSE),"")</f>
        <v>0</v>
      </c>
      <c r="V23">
        <f>IFERROR(VLOOKUP($C23,武器!$1:$998,COLUMN(Q$1),FALSE),"")</f>
        <v>0</v>
      </c>
      <c r="W23" t="str">
        <f>IFERROR(VLOOKUP($C23,武器!$1:$998,COLUMN(T$1),FALSE),"")</f>
        <v>A</v>
      </c>
      <c r="Y23" t="str">
        <f>IFERROR(VLOOKUP($C23,武器!$1:$998,COLUMN(U$1),FALSE),"")</f>
        <v>投擲強化,片手適性Ⅱ</v>
      </c>
      <c r="Z23">
        <f>IFERROR(ROUNDUP(VLOOKUP($C23,武器!$1:$998,COLUMN(O$1),FALSE)*VLOOKUP($D23,素材!$1:$1016,COLUMN(E$1),FALSE),1),"")</f>
        <v>0</v>
      </c>
      <c r="AA23">
        <f>IF(ISNUMBER(SEARCH(SUBSTITUTE(AA$1,RIGHT(AA$1,2),""),VLOOKUP($D23,素材!$1:$1016,COLUMN($F$1),FALSE))),VLOOKUP($C23,武器!$1:$998,COLUMN($O$1),FALSE)*VLOOKUP($D23,素材!$1:$1016,COLUMN($E$1),FALSE)/(LEN(VLOOKUP($D23,素材!$1:$1016,COLUMN($F$1),FALSE)) - LEN(SUBSTITUTE(VLOOKUP($D23,素材!$1:$1016,COLUMN($F$1),FALSE), "・", 0)) + 1), 0)</f>
        <v>0</v>
      </c>
      <c r="AB23">
        <f>IF(ISNUMBER(SEARCH(SUBSTITUTE(AB$1,RIGHT(AB$1,2),""),VLOOKUP($D23,素材!$1:$1016,COLUMN($F$1),FALSE))),VLOOKUP($C23,武器!$1:$998,COLUMN($O$1),FALSE)*VLOOKUP($D23,素材!$1:$1016,COLUMN($E$1),FALSE)/(LEN(VLOOKUP($D23,素材!$1:$1016,COLUMN($F$1),FALSE)) - LEN(SUBSTITUTE(VLOOKUP($D23,素材!$1:$1016,COLUMN($F$1),FALSE), "・", 0)) + 1), 0)</f>
        <v>0</v>
      </c>
      <c r="AC23">
        <f>IF(ISNUMBER(SEARCH(SUBSTITUTE(AC$1,RIGHT(AC$1,2),""),VLOOKUP($D23,素材!$1:$1016,COLUMN($F$1),FALSE))),VLOOKUP($C23,武器!$1:$998,COLUMN($O$1),FALSE)*VLOOKUP($D23,素材!$1:$1016,COLUMN($E$1),FALSE)/(LEN(VLOOKUP($D23,素材!$1:$1016,COLUMN($F$1),FALSE)) - LEN(SUBSTITUTE(VLOOKUP($D23,素材!$1:$1016,COLUMN($F$1),FALSE), "・", 0)) + 1), 0)</f>
        <v>0</v>
      </c>
      <c r="AD23">
        <f>IF(ISNUMBER(SEARCH(SUBSTITUTE(AD$1,RIGHT(AD$1,2),""),VLOOKUP($D23,素材!$1:$1016,COLUMN($F$1),FALSE))),VLOOKUP($C23,武器!$1:$998,COLUMN($O$1),FALSE)*VLOOKUP($D23,素材!$1:$1016,COLUMN($E$1),FALSE)/(LEN(VLOOKUP($D23,素材!$1:$1016,COLUMN($F$1),FALSE)) - LEN(SUBSTITUTE(VLOOKUP($D23,素材!$1:$1016,COLUMN($F$1),FALSE), "・", 0)) + 1), 0)</f>
        <v>0</v>
      </c>
      <c r="AE23">
        <f>IF(ISNUMBER(SEARCH(SUBSTITUTE(AE$1,RIGHT(AE$1,2),""),VLOOKUP($D23,素材!$1:$1016,COLUMN($F$1),FALSE))),VLOOKUP($C23,武器!$1:$998,COLUMN($O$1),FALSE)*VLOOKUP($D23,素材!$1:$1016,COLUMN($E$1),FALSE)/(LEN(VLOOKUP($D23,素材!$1:$1016,COLUMN($F$1),FALSE)) - LEN(SUBSTITUTE(VLOOKUP($D23,素材!$1:$1016,COLUMN($F$1),FALSE), "・", 0)) + 1), 0)</f>
        <v>0</v>
      </c>
      <c r="AF23">
        <f>IF(ISNUMBER(SEARCH(SUBSTITUTE(AF$1,RIGHT(AF$1,2),""),VLOOKUP($D23,素材!$1:$1016,COLUMN($F$1),FALSE))),VLOOKUP($C23,武器!$1:$998,COLUMN($O$1),FALSE)*VLOOKUP($D23,素材!$1:$1016,COLUMN($E$1),FALSE)/(LEN(VLOOKUP($D23,素材!$1:$1016,COLUMN($F$1),FALSE)) - LEN(SUBSTITUTE(VLOOKUP($D23,素材!$1:$1016,COLUMN($F$1),FALSE), "・", 0)) + 1), 0)</f>
        <v>0</v>
      </c>
      <c r="AG23">
        <f>IF(ISNUMBER(SEARCH(SUBSTITUTE(AG$1,RIGHT(AG$1,2),""),VLOOKUP($D23,素材!$1:$1016,COLUMN($F$1),FALSE))),VLOOKUP($C23,武器!$1:$998,COLUMN($O$1),FALSE)*VLOOKUP($D23,素材!$1:$1016,COLUMN($E$1),FALSE)/(LEN(VLOOKUP($D23,素材!$1:$1016,COLUMN($F$1),FALSE)) - LEN(SUBSTITUTE(VLOOKUP($D23,素材!$1:$1016,COLUMN($F$1),FALSE), "・", 0)) + 1), 0)</f>
        <v>0</v>
      </c>
      <c r="AH23">
        <f>IF(ISNUMBER(SEARCH(SUBSTITUTE(AH$1,RIGHT(AH$1,2),""),VLOOKUP($D23,素材!$1:$1016,COLUMN($F$1),FALSE))),VLOOKUP($C23,武器!$1:$998,COLUMN($O$1),FALSE)*VLOOKUP($D23,素材!$1:$1016,COLUMN($E$1),FALSE)/(LEN(VLOOKUP($D23,素材!$1:$1016,COLUMN($F$1),FALSE)) - LEN(SUBSTITUTE(VLOOKUP($D23,素材!$1:$1016,COLUMN($F$1),FALSE), "・", 0)) + 1), 0)</f>
        <v>0</v>
      </c>
      <c r="AI23">
        <f>IF(ISNUMBER(SEARCH(SUBSTITUTE(AI$1,RIGHT(AI$1,2),""),VLOOKUP($D23,素材!$1:$1016,COLUMN($F$1),FALSE))),VLOOKUP($C23,武器!$1:$998,COLUMN($O$1),FALSE)*VLOOKUP($D23,素材!$1:$1016,COLUMN($E$1),FALSE)/(LEN(VLOOKUP($D23,素材!$1:$1016,COLUMN($F$1),FALSE)) - LEN(SUBSTITUTE(VLOOKUP($D23,素材!$1:$1016,COLUMN($F$1),FALSE), "・", 0)) + 1), 0)</f>
        <v>0</v>
      </c>
      <c r="AJ23">
        <f>IF(ISNUMBER(SEARCH(SUBSTITUTE(AJ$1,RIGHT(AJ$1,2),""),VLOOKUP($D23,素材!$1:$1016,COLUMN($F$1),FALSE))),VLOOKUP($C23,武器!$1:$998,COLUMN($O$1),FALSE)*VLOOKUP($D23,素材!$1:$1016,COLUMN($E$1),FALSE)/(LEN(VLOOKUP($D23,素材!$1:$1016,COLUMN($F$1),FALSE)) - LEN(SUBSTITUTE(VLOOKUP($D23,素材!$1:$1016,COLUMN($F$1),FALSE), "・", 0)) + 1), 0)</f>
        <v>0</v>
      </c>
      <c r="AK23">
        <f>IF(ISNUMBER(SEARCH(SUBSTITUTE(AK$1,RIGHT(AK$1,2),""),VLOOKUP($D23,素材!$1:$1016,COLUMN($F$1),FALSE))),VLOOKUP($C23,武器!$1:$998,COLUMN($O$1),FALSE)*VLOOKUP($D23,素材!$1:$1016,COLUMN($E$1),FALSE)/(LEN(VLOOKUP($D23,素材!$1:$1016,COLUMN($F$1),FALSE)) - LEN(SUBSTITUTE(VLOOKUP($D23,素材!$1:$1016,COLUMN($F$1),FALSE), "・", 0)) + 1), 0)</f>
        <v>0</v>
      </c>
      <c r="AL23">
        <f>IF(ISNUMBER(SEARCH(SUBSTITUTE(AL$1,RIGHT(AL$1,2),""),VLOOKUP($D23,素材!$1:$1016,COLUMN($F$1),FALSE))),VLOOKUP($C23,武器!$1:$998,COLUMN($O$1),FALSE)*VLOOKUP($D23,素材!$1:$1016,COLUMN($E$1),FALSE)/(LEN(VLOOKUP($D23,素材!$1:$1016,COLUMN($F$1),FALSE)) - LEN(SUBSTITUTE(VLOOKUP($D23,素材!$1:$1016,COLUMN($F$1),FALSE), "・", 0)) + 1), 0)</f>
        <v>0</v>
      </c>
      <c r="AM23">
        <f>IF(ISNUMBER(SEARCH(SUBSTITUTE(AM$1,RIGHT(AM$1,2),""),VLOOKUP($D23,素材!$1:$1016,COLUMN($F$1),FALSE))),VLOOKUP($C23,武器!$1:$998,COLUMN($O$1),FALSE)*VLOOKUP($D23,素材!$1:$1016,COLUMN($E$1),FALSE)/(LEN(VLOOKUP($D23,素材!$1:$1016,COLUMN($F$1),FALSE)) - LEN(SUBSTITUTE(VLOOKUP($D23,素材!$1:$1016,COLUMN($F$1),FALSE), "・", 0)) + 1), 0)</f>
        <v>0</v>
      </c>
      <c r="AN23">
        <f>IF(ISNUMBER(SEARCH(SUBSTITUTE(AN$1,RIGHT(AN$1,2),""),VLOOKUP($D23,素材!$1:$1016,COLUMN($F$1),FALSE))),VLOOKUP($C23,武器!$1:$998,COLUMN($O$1),FALSE)*VLOOKUP($D23,素材!$1:$1016,COLUMN($E$1),FALSE)/(LEN(VLOOKUP($D23,素材!$1:$1016,COLUMN($F$1),FALSE)) - LEN(SUBSTITUTE(VLOOKUP($D23,素材!$1:$1016,COLUMN($F$1),FALSE), "・", 0)) + 1), 0)</f>
        <v>0</v>
      </c>
      <c r="AO23">
        <f>IF(ISNUMBER(SEARCH(SUBSTITUTE(AO$1,RIGHT(AO$1,2),""),VLOOKUP($D23,素材!$1:$1016,COLUMN($F$1),FALSE))),VLOOKUP($C23,武器!$1:$998,COLUMN($O$1),FALSE)*VLOOKUP($D23,素材!$1:$1016,COLUMN($E$1),FALSE)/(LEN(VLOOKUP($D23,素材!$1:$1016,COLUMN($F$1),FALSE)) - LEN(SUBSTITUTE(VLOOKUP($D23,素材!$1:$1016,COLUMN($F$1),FALSE), "・", 0)) + 1), 0)</f>
        <v>0</v>
      </c>
      <c r="AP23">
        <f>IF(ISNUMBER(SEARCH(SUBSTITUTE(AP$1,RIGHT(AP$1,2),""),VLOOKUP($D23,素材!$1:$1016,COLUMN($F$1),FALSE))),VLOOKUP($C23,武器!$1:$998,COLUMN($O$1),FALSE)*VLOOKUP($D23,素材!$1:$1016,COLUMN($E$1),FALSE)/(LEN(VLOOKUP($D23,素材!$1:$1016,COLUMN($F$1),FALSE)) - LEN(SUBSTITUTE(VLOOKUP($D23,素材!$1:$1016,COLUMN($F$1),FALSE), "・", 0)) + 1), 0)</f>
        <v>0</v>
      </c>
      <c r="AQ23">
        <f>IF(ISNUMBER(SEARCH(SUBSTITUTE(AQ$1,RIGHT(AQ$1,2),""),VLOOKUP($D23,素材!$1:$1016,COLUMN($F$1),FALSE))),VLOOKUP($C23,武器!$1:$998,COLUMN($O$1),FALSE)*VLOOKUP($D23,素材!$1:$1016,COLUMN($E$1),FALSE)/(LEN(VLOOKUP($D23,素材!$1:$1016,COLUMN($F$1),FALSE)) - LEN(SUBSTITUTE(VLOOKUP($D23,素材!$1:$1016,COLUMN($F$1),FALSE), "・", 0)) + 1), 0)</f>
        <v>0</v>
      </c>
      <c r="AR23">
        <f>IF(ISNUMBER(SEARCH(SUBSTITUTE(AR$1,RIGHT(AR$1,2),""),VLOOKUP($D23,素材!$1:$1016,COLUMN($F$1),FALSE))),VLOOKUP($C23,武器!$1:$998,COLUMN($O$1),FALSE)*VLOOKUP($D23,素材!$1:$1016,COLUMN($E$1),FALSE)/(LEN(VLOOKUP($D23,素材!$1:$1016,COLUMN($F$1),FALSE)) - LEN(SUBSTITUTE(VLOOKUP($D23,素材!$1:$1016,COLUMN($F$1),FALSE), "・", 0)) + 1), 0)</f>
        <v>0</v>
      </c>
      <c r="AS23">
        <f>IF(ISNUMBER(SEARCH(SUBSTITUTE(AS$1,RIGHT(AS$1,2),""),VLOOKUP($D23,素材!$1:$1016,COLUMN($F$1),FALSE))),VLOOKUP($C23,武器!$1:$998,COLUMN($O$1),FALSE)*VLOOKUP($D23,素材!$1:$1016,COLUMN($E$1),FALSE)/(LEN(VLOOKUP($D23,素材!$1:$1016,COLUMN($F$1),FALSE)) - LEN(SUBSTITUTE(VLOOKUP($D23,素材!$1:$1016,COLUMN($F$1),FALSE), "・", 0)) + 1), 0)</f>
        <v>0</v>
      </c>
      <c r="AT23">
        <f>IF(ISNUMBER(SEARCH(SUBSTITUTE(AT$1,RIGHT(AT$1,2),""),VLOOKUP($D23,素材!$1:$1016,COLUMN($F$1),FALSE))),VLOOKUP($C23,武器!$1:$998,COLUMN($O$1),FALSE)*VLOOKUP($D23,素材!$1:$1016,COLUMN($E$1),FALSE)/(LEN(VLOOKUP($D23,素材!$1:$1016,COLUMN($F$1),FALSE)) - LEN(SUBSTITUTE(VLOOKUP($D23,素材!$1:$1016,COLUMN($F$1),FALSE), "・", 0)) + 1), 0)</f>
        <v>0</v>
      </c>
      <c r="AU23">
        <f>IF(ISNUMBER(SEARCH(SUBSTITUTE(AU$1,RIGHT(AU$1,2),""),VLOOKUP($D23,素材!$1:$1016,COLUMN($F$1),FALSE))),VLOOKUP($C23,武器!$1:$998,COLUMN($O$1),FALSE)*VLOOKUP($D23,素材!$1:$1016,COLUMN($E$1),FALSE)/(LEN(VLOOKUP($D23,素材!$1:$1016,COLUMN($F$1),FALSE)) - LEN(SUBSTITUTE(VLOOKUP($D23,素材!$1:$1016,COLUMN($F$1),FALSE), "・", 0)) + 1), 0)</f>
        <v>0</v>
      </c>
      <c r="AV23">
        <f>IF(ISNUMBER(SEARCH(SUBSTITUTE(AV$1,RIGHT(AV$1,2),""),VLOOKUP($D23,素材!$1:$1016,COLUMN($F$1),FALSE))),VLOOKUP($C23,武器!$1:$998,COLUMN($O$1),FALSE)*VLOOKUP($D23,素材!$1:$1016,COLUMN($E$1),FALSE)/(LEN(VLOOKUP($D23,素材!$1:$1016,COLUMN($F$1),FALSE)) - LEN(SUBSTITUTE(VLOOKUP($D23,素材!$1:$1016,COLUMN($F$1),FALSE), "・", 0)) + 1), 0)</f>
        <v>0</v>
      </c>
      <c r="AW23">
        <f>IF(ISNUMBER(SEARCH(SUBSTITUTE(AW$1,RIGHT(AW$1,2),""),VLOOKUP($D23,素材!$1:$1016,COLUMN($F$1),FALSE))),VLOOKUP($C23,武器!$1:$998,COLUMN($O$1),FALSE)*VLOOKUP($D23,素材!$1:$1016,COLUMN($E$1),FALSE)/(LEN(VLOOKUP($D23,素材!$1:$1016,COLUMN($F$1),FALSE)) - LEN(SUBSTITUTE(VLOOKUP($D23,素材!$1:$1016,COLUMN($F$1),FALSE), "・", 0)) + 1), 0)</f>
        <v>0</v>
      </c>
      <c r="AX23">
        <f>IF(ISNUMBER(SEARCH(SUBSTITUTE(AX$1,RIGHT(AX$1,2),""),VLOOKUP($D23,素材!$1:$1016,COLUMN($F$1),FALSE))),VLOOKUP($C23,武器!$1:$998,COLUMN($O$1),FALSE)*VLOOKUP($D23,素材!$1:$1016,COLUMN($E$1),FALSE)/(LEN(VLOOKUP($D23,素材!$1:$1016,COLUMN($F$1),FALSE)) - LEN(SUBSTITUTE(VLOOKUP($D23,素材!$1:$1016,COLUMN($F$1),FALSE), "・", 0)) + 1), 0)</f>
        <v>0</v>
      </c>
      <c r="AY23">
        <f>IF(ISNUMBER(SEARCH(SUBSTITUTE(AY$1,RIGHT(AY$1,2),""),VLOOKUP($D23,素材!$1:$1016,COLUMN($F$1),FALSE))),VLOOKUP($C23,武器!$1:$998,COLUMN($O$1),FALSE)*VLOOKUP($D23,素材!$1:$1016,COLUMN($E$1),FALSE)/(LEN(VLOOKUP($D23,素材!$1:$1016,COLUMN($F$1),FALSE)) - LEN(SUBSTITUTE(VLOOKUP($D23,素材!$1:$1016,COLUMN($F$1),FALSE), "・", 0)) + 1), 0)</f>
        <v>0</v>
      </c>
      <c r="AZ23">
        <f>IF(ISNUMBER(SEARCH(SUBSTITUTE(AZ$1,RIGHT(AZ$1,2),""),VLOOKUP($D23,素材!$1:$1016,COLUMN($F$1),FALSE))),VLOOKUP($C23,武器!$1:$998,COLUMN($O$1),FALSE)*VLOOKUP($D23,素材!$1:$1016,COLUMN($E$1),FALSE)/(LEN(VLOOKUP($D23,素材!$1:$1016,COLUMN($F$1),FALSE)) - LEN(SUBSTITUTE(VLOOKUP($D23,素材!$1:$1016,COLUMN($F$1),FALSE), "・", 0)) + 1), 0)</f>
        <v>0</v>
      </c>
      <c r="BA23">
        <f>IF(ISNUMBER(SEARCH(SUBSTITUTE(BA$1,RIGHT(BA$1,2),""),VLOOKUP($D23,素材!$1:$1016,COLUMN($F$1),FALSE))),VLOOKUP($C23,武器!$1:$998,COLUMN($O$1),FALSE)*VLOOKUP($D23,素材!$1:$1016,COLUMN($E$1),FALSE)/(LEN(VLOOKUP($D23,素材!$1:$1016,COLUMN($F$1),FALSE)) - LEN(SUBSTITUTE(VLOOKUP($D23,素材!$1:$1016,COLUMN($F$1),FALSE), "・", 0)) + 1), 0)</f>
        <v>0</v>
      </c>
      <c r="BB23">
        <f>IF(ISNUMBER(SEARCH(SUBSTITUTE(BB$1,RIGHT(BB$1,2),""),VLOOKUP($D23,素材!$1:$1016,COLUMN($F$1),FALSE))),VLOOKUP($C23,武器!$1:$998,COLUMN($O$1),FALSE)*VLOOKUP($D23,素材!$1:$1016,COLUMN($E$1),FALSE)/(LEN(VLOOKUP($D23,素材!$1:$1016,COLUMN($F$1),FALSE)) - LEN(SUBSTITUTE(VLOOKUP($D23,素材!$1:$1016,COLUMN($F$1),FALSE), "・", 0)) + 1), 0)</f>
        <v>0</v>
      </c>
      <c r="BC23">
        <f>IF(ISNUMBER(SEARCH(SUBSTITUTE(BC$1,RIGHT(BC$1,2),""),VLOOKUP($D23,素材!$1:$1016,COLUMN($F$1),FALSE))),VLOOKUP($C23,武器!$1:$998,COLUMN($O$1),FALSE)*VLOOKUP($D23,素材!$1:$1016,COLUMN($E$1),FALSE)/(LEN(VLOOKUP($D23,素材!$1:$1016,COLUMN($F$1),FALSE)) - LEN(SUBSTITUTE(VLOOKUP($D23,素材!$1:$1016,COLUMN($F$1),FALSE), "・", 0)) + 1), 0)</f>
        <v>0</v>
      </c>
      <c r="BD23">
        <f>IF(ISNUMBER(SEARCH(SUBSTITUTE(BD$1,RIGHT(BD$1,2),""),VLOOKUP($D23,素材!$1:$1016,COLUMN($F$1),FALSE))),VLOOKUP($C23,武器!$1:$998,COLUMN($O$1),FALSE)*VLOOKUP($D23,素材!$1:$1016,COLUMN($E$1),FALSE)/(LEN(VLOOKUP($D23,素材!$1:$1016,COLUMN($F$1),FALSE)) - LEN(SUBSTITUTE(VLOOKUP($D23,素材!$1:$1016,COLUMN($F$1),FALSE), "・", 0)) + 1), 0)</f>
        <v>0</v>
      </c>
      <c r="BE23">
        <f>IF(ISNUMBER(SEARCH(SUBSTITUTE(BE$1,RIGHT(BE$1,2),""),VLOOKUP($D23,素材!$1:$1016,COLUMN($F$1),FALSE))),VLOOKUP($C23,武器!$1:$998,COLUMN($O$1),FALSE)*VLOOKUP($D23,素材!$1:$1016,COLUMN($E$1),FALSE)/(LEN(VLOOKUP($D23,素材!$1:$1016,COLUMN($F$1),FALSE)) - LEN(SUBSTITUTE(VLOOKUP($D23,素材!$1:$1016,COLUMN($F$1),FALSE), "・", 0)) + 1), 0)</f>
        <v>0</v>
      </c>
      <c r="CL23">
        <f>SUM(G23:I23)</f>
        <v>16</v>
      </c>
      <c r="CM23" s="22" t="str">
        <f>IF(E23="武器",IF(J23-1&gt;SUM(G23:I23),"盾",IF(MAX(G23:I23)=G23,"切断",IF(MAX(G23:I23)=H23,"貫通",IF(MAX(G23:I23)=I23,"打撃","射撃")))),E23)&amp;".webp"</f>
        <v>盾.webp</v>
      </c>
      <c r="CN23">
        <f>IFERROR(VLOOKUP($C23,武器!$1:$998,COLUMN(V$1),FALSE)*VLOOKUP($D23,素材!$1:$1016,COLUMN(N$1),FALSE)+IF(CI23="",0,VLOOKUP($CI23,装強!$1:$1008,COLUMN($CK$1),FALSE)),"")</f>
        <v>300</v>
      </c>
      <c r="CO23" t="str">
        <f>VLOOKUP(D23,素材!$A:$O,COLUMN(素材!O$1),FALSE)</f>
        <v>一般的な鉄。量産品を作るのに使用されることが多い</v>
      </c>
      <c r="CP23" t="str">
        <f>VLOOKUP(C23,武器!$A:$W,COLUMN(武器!W$1),FALSE)</f>
        <v>丸盾。軽量で投擲にも使える盾。</v>
      </c>
      <c r="CR23" t="str">
        <f t="shared" si="1"/>
        <v>e_23</v>
      </c>
      <c r="CS23">
        <f t="shared" si="2"/>
        <v>30000</v>
      </c>
    </row>
    <row r="24" spans="1:97" outlineLevel="1" x14ac:dyDescent="0.4">
      <c r="A24" t="str">
        <f t="shared" si="0"/>
        <v>鉄の盾</v>
      </c>
      <c r="B24" t="str">
        <f>IFERROR(VLOOKUP($D24,素材!$1:$1016,COLUMN($B$1),FALSE)&amp;"・"&amp;VLOOKUP($C24,武器!$1:$998,COLUMN(B$1),FALSE),"")</f>
        <v>アイアン・シールド</v>
      </c>
      <c r="C24" t="s">
        <v>221</v>
      </c>
      <c r="D24" s="24" t="s">
        <v>257</v>
      </c>
      <c r="E24" t="str">
        <f>IFERROR(VLOOKUP(C24,武器!$1:$998,COLUMN(C$1),FALSE),"")</f>
        <v>盾</v>
      </c>
      <c r="F24">
        <f>IFERROR(ROUNDDOWN((VLOOKUP($C24,武器!$1:$998,COLUMN(D$1),FALSE)+IFERROR(VLOOKUP($CI24,装強!$1:$999,COLUMN(F$1),FALSE),0))*VLOOKUP($D24,素材!$1:$1016,COLUMN(D$1),FALSE),0),"")</f>
        <v>100</v>
      </c>
      <c r="G24">
        <f>IFERROR(ROUNDDOWN((VLOOKUP($C24,武器!$1:$998,COLUMN(E$1),FALSE)+IFERROR(VLOOKUP($CI24,装強!$1:$999,COLUMN(G$1),FALSE),0))*VLOOKUP($D24,素材!$1:$1016,COLUMN($E$1),FALSE),0),"")</f>
        <v>0</v>
      </c>
      <c r="H24">
        <f>IFERROR(ROUNDDOWN((VLOOKUP($C24,武器!$1:$998,COLUMN(F$1),FALSE)+IFERROR(VLOOKUP($CI24,装強!$1:$999,COLUMN(H$1),FALSE),0))*VLOOKUP($D24,素材!$1:$1016,COLUMN($E$1),FALSE),0),"")</f>
        <v>0</v>
      </c>
      <c r="I24">
        <f>IFERROR(ROUNDDOWN((VLOOKUP($C24,武器!$1:$998,COLUMN(G$1),FALSE)+IFERROR(VLOOKUP($CI24,装強!$1:$999,COLUMN(I$1),FALSE),0))*VLOOKUP($D24,素材!$1:$1016,COLUMN($E$1),FALSE),0),"")</f>
        <v>16</v>
      </c>
      <c r="J24">
        <f>IFERROR(ROUNDDOWN((VLOOKUP($C24,武器!$1:$998,COLUMN(H$1),FALSE)+IFERROR(VLOOKUP($CI24,装強!$1:$999,COLUMN(J$1),FALSE),0))*VLOOKUP($D24,素材!$1:$1016,COLUMN($E$1),FALSE),0),"")</f>
        <v>25</v>
      </c>
      <c r="K24">
        <f>IFERROR(ROUNDDOWN((VLOOKUP($C24,武器!$1:$998,COLUMN(I$1),FALSE)+IFERROR(VLOOKUP($CI24,装強!$1:$999,COLUMN(K$1),FALSE),0))*VLOOKUP($D24,素材!$1:$1016,COLUMN($E$1),FALSE),0),"")</f>
        <v>0</v>
      </c>
      <c r="L24">
        <f>IFERROR(VLOOKUP($D24,素材!$1:$1016,COLUMN($F$1),FALSE),"")</f>
        <v>0</v>
      </c>
      <c r="M24">
        <f>IFERROR(VLOOKUP($C24,武器!$1:$998,COLUMN(AA$1),FALSE)*VLOOKUP($D24,素材!$1:$1016,COLUMN($G$1),FALSE),"")</f>
        <v>0</v>
      </c>
      <c r="N24">
        <f>IFERROR(VLOOKUP($C24,武器!$1:$998,COLUMN(I$1),FALSE),"")</f>
        <v>0</v>
      </c>
      <c r="O24" s="23">
        <f>IFERROR((VLOOKUP($C24,武器!$1:$998,COLUMN(K$1),FALSE)+VLOOKUP($D24,素材!$1:$1016,COLUMN(H$1),FALSE))*100+IFERROR(VLOOKUP($CI24,装強!$1:$999,COLUMN(O$1),FALSE),0),"")</f>
        <v>5</v>
      </c>
      <c r="P24" s="23">
        <f>IFERROR((VLOOKUP($C24,武器!$1:$998,COLUMN(L$1),FALSE)+VLOOKUP($D24,素材!$1:$1016,COLUMN(I$1),FALSE))*100+IFERROR(VLOOKUP($CI24,装強!$1:$999,COLUMN(P$1),FALSE),0),"")</f>
        <v>125</v>
      </c>
      <c r="Q24">
        <f>IFERROR(ROUNDUP(VLOOKUP($C24,武器!$1:$998,COLUMN(M$1),FALSE)*(VLOOKUP($D24,素材!$1:$1002,COLUMN(D$1),FALSE)/100),1),"")</f>
        <v>0</v>
      </c>
      <c r="R24">
        <f>IFERROR(ROUNDUP(VLOOKUP($C24,武器!$1:$998,COLUMN(N$1),FALSE)*(VLOOKUP($D24,素材!$1:$1002,COLUMN(D$1),FALSE)/100),1),"")</f>
        <v>0</v>
      </c>
      <c r="S24">
        <f>IFERROR(VLOOKUP($C24,武器!$1:$998,COLUMN(P$1),FALSE),"")</f>
        <v>0</v>
      </c>
      <c r="T24">
        <f>IFERROR(VLOOKUP($C24,武器!$1:$998,COLUMN(Q$1),FALSE),"")</f>
        <v>0</v>
      </c>
      <c r="U24">
        <f>IFERROR(VLOOKUP($C24,武器!$1:$998,COLUMN(R$1),FALSE),"")</f>
        <v>0</v>
      </c>
      <c r="V24">
        <f>IFERROR(VLOOKUP($C24,武器!$1:$998,COLUMN(Q$1),FALSE),"")</f>
        <v>0</v>
      </c>
      <c r="W24" t="str">
        <f>IFERROR(VLOOKUP($C24,武器!$1:$998,COLUMN(T$1),FALSE),"")</f>
        <v>A</v>
      </c>
      <c r="Y24" t="str">
        <f>IFERROR(VLOOKUP($C24,武器!$1:$998,COLUMN(U$1),FALSE),"")</f>
        <v>片手適性Ⅱ</v>
      </c>
      <c r="Z24">
        <f>IFERROR(ROUNDUP(VLOOKUP($C24,武器!$1:$998,COLUMN(O$1),FALSE)*VLOOKUP($D24,素材!$1:$1016,COLUMN(E$1),FALSE),1),"")</f>
        <v>0</v>
      </c>
      <c r="AA24">
        <f>IF(ISNUMBER(SEARCH(SUBSTITUTE(AA$1,RIGHT(AA$1,2),""),VLOOKUP($D24,素材!$1:$1016,COLUMN($F$1),FALSE))),VLOOKUP($C24,武器!$1:$998,COLUMN($O$1),FALSE)*VLOOKUP($D24,素材!$1:$1016,COLUMN($E$1),FALSE)/(LEN(VLOOKUP($D24,素材!$1:$1016,COLUMN($F$1),FALSE)) - LEN(SUBSTITUTE(VLOOKUP($D24,素材!$1:$1016,COLUMN($F$1),FALSE), "・", 0)) + 1), 0)</f>
        <v>0</v>
      </c>
      <c r="AB24">
        <f>IF(ISNUMBER(SEARCH(SUBSTITUTE(AB$1,RIGHT(AB$1,2),""),VLOOKUP($D24,素材!$1:$1016,COLUMN($F$1),FALSE))),VLOOKUP($C24,武器!$1:$998,COLUMN($O$1),FALSE)*VLOOKUP($D24,素材!$1:$1016,COLUMN($E$1),FALSE)/(LEN(VLOOKUP($D24,素材!$1:$1016,COLUMN($F$1),FALSE)) - LEN(SUBSTITUTE(VLOOKUP($D24,素材!$1:$1016,COLUMN($F$1),FALSE), "・", 0)) + 1), 0)</f>
        <v>0</v>
      </c>
      <c r="AC24">
        <f>IF(ISNUMBER(SEARCH(SUBSTITUTE(AC$1,RIGHT(AC$1,2),""),VLOOKUP($D24,素材!$1:$1016,COLUMN($F$1),FALSE))),VLOOKUP($C24,武器!$1:$998,COLUMN($O$1),FALSE)*VLOOKUP($D24,素材!$1:$1016,COLUMN($E$1),FALSE)/(LEN(VLOOKUP($D24,素材!$1:$1016,COLUMN($F$1),FALSE)) - LEN(SUBSTITUTE(VLOOKUP($D24,素材!$1:$1016,COLUMN($F$1),FALSE), "・", 0)) + 1), 0)</f>
        <v>0</v>
      </c>
      <c r="AD24">
        <f>IF(ISNUMBER(SEARCH(SUBSTITUTE(AD$1,RIGHT(AD$1,2),""),VLOOKUP($D24,素材!$1:$1016,COLUMN($F$1),FALSE))),VLOOKUP($C24,武器!$1:$998,COLUMN($O$1),FALSE)*VLOOKUP($D24,素材!$1:$1016,COLUMN($E$1),FALSE)/(LEN(VLOOKUP($D24,素材!$1:$1016,COLUMN($F$1),FALSE)) - LEN(SUBSTITUTE(VLOOKUP($D24,素材!$1:$1016,COLUMN($F$1),FALSE), "・", 0)) + 1), 0)</f>
        <v>0</v>
      </c>
      <c r="AE24">
        <f>IF(ISNUMBER(SEARCH(SUBSTITUTE(AE$1,RIGHT(AE$1,2),""),VLOOKUP($D24,素材!$1:$1016,COLUMN($F$1),FALSE))),VLOOKUP($C24,武器!$1:$998,COLUMN($O$1),FALSE)*VLOOKUP($D24,素材!$1:$1016,COLUMN($E$1),FALSE)/(LEN(VLOOKUP($D24,素材!$1:$1016,COLUMN($F$1),FALSE)) - LEN(SUBSTITUTE(VLOOKUP($D24,素材!$1:$1016,COLUMN($F$1),FALSE), "・", 0)) + 1), 0)</f>
        <v>0</v>
      </c>
      <c r="AF24">
        <f>IF(ISNUMBER(SEARCH(SUBSTITUTE(AF$1,RIGHT(AF$1,2),""),VLOOKUP($D24,素材!$1:$1016,COLUMN($F$1),FALSE))),VLOOKUP($C24,武器!$1:$998,COLUMN($O$1),FALSE)*VLOOKUP($D24,素材!$1:$1016,COLUMN($E$1),FALSE)/(LEN(VLOOKUP($D24,素材!$1:$1016,COLUMN($F$1),FALSE)) - LEN(SUBSTITUTE(VLOOKUP($D24,素材!$1:$1016,COLUMN($F$1),FALSE), "・", 0)) + 1), 0)</f>
        <v>0</v>
      </c>
      <c r="AG24">
        <f>IF(ISNUMBER(SEARCH(SUBSTITUTE(AG$1,RIGHT(AG$1,2),""),VLOOKUP($D24,素材!$1:$1016,COLUMN($F$1),FALSE))),VLOOKUP($C24,武器!$1:$998,COLUMN($O$1),FALSE)*VLOOKUP($D24,素材!$1:$1016,COLUMN($E$1),FALSE)/(LEN(VLOOKUP($D24,素材!$1:$1016,COLUMN($F$1),FALSE)) - LEN(SUBSTITUTE(VLOOKUP($D24,素材!$1:$1016,COLUMN($F$1),FALSE), "・", 0)) + 1), 0)</f>
        <v>0</v>
      </c>
      <c r="AH24">
        <f>IF(ISNUMBER(SEARCH(SUBSTITUTE(AH$1,RIGHT(AH$1,2),""),VLOOKUP($D24,素材!$1:$1016,COLUMN($F$1),FALSE))),VLOOKUP($C24,武器!$1:$998,COLUMN($O$1),FALSE)*VLOOKUP($D24,素材!$1:$1016,COLUMN($E$1),FALSE)/(LEN(VLOOKUP($D24,素材!$1:$1016,COLUMN($F$1),FALSE)) - LEN(SUBSTITUTE(VLOOKUP($D24,素材!$1:$1016,COLUMN($F$1),FALSE), "・", 0)) + 1), 0)</f>
        <v>0</v>
      </c>
      <c r="AI24">
        <f>IF(ISNUMBER(SEARCH(SUBSTITUTE(AI$1,RIGHT(AI$1,2),""),VLOOKUP($D24,素材!$1:$1016,COLUMN($F$1),FALSE))),VLOOKUP($C24,武器!$1:$998,COLUMN($O$1),FALSE)*VLOOKUP($D24,素材!$1:$1016,COLUMN($E$1),FALSE)/(LEN(VLOOKUP($D24,素材!$1:$1016,COLUMN($F$1),FALSE)) - LEN(SUBSTITUTE(VLOOKUP($D24,素材!$1:$1016,COLUMN($F$1),FALSE), "・", 0)) + 1), 0)</f>
        <v>0</v>
      </c>
      <c r="AJ24">
        <f>IF(ISNUMBER(SEARCH(SUBSTITUTE(AJ$1,RIGHT(AJ$1,2),""),VLOOKUP($D24,素材!$1:$1016,COLUMN($F$1),FALSE))),VLOOKUP($C24,武器!$1:$998,COLUMN($O$1),FALSE)*VLOOKUP($D24,素材!$1:$1016,COLUMN($E$1),FALSE)/(LEN(VLOOKUP($D24,素材!$1:$1016,COLUMN($F$1),FALSE)) - LEN(SUBSTITUTE(VLOOKUP($D24,素材!$1:$1016,COLUMN($F$1),FALSE), "・", 0)) + 1), 0)</f>
        <v>0</v>
      </c>
      <c r="AK24">
        <f>IF(ISNUMBER(SEARCH(SUBSTITUTE(AK$1,RIGHT(AK$1,2),""),VLOOKUP($D24,素材!$1:$1016,COLUMN($F$1),FALSE))),VLOOKUP($C24,武器!$1:$998,COLUMN($O$1),FALSE)*VLOOKUP($D24,素材!$1:$1016,COLUMN($E$1),FALSE)/(LEN(VLOOKUP($D24,素材!$1:$1016,COLUMN($F$1),FALSE)) - LEN(SUBSTITUTE(VLOOKUP($D24,素材!$1:$1016,COLUMN($F$1),FALSE), "・", 0)) + 1), 0)</f>
        <v>0</v>
      </c>
      <c r="AL24">
        <f>IF(ISNUMBER(SEARCH(SUBSTITUTE(AL$1,RIGHT(AL$1,2),""),VLOOKUP($D24,素材!$1:$1016,COLUMN($F$1),FALSE))),VLOOKUP($C24,武器!$1:$998,COLUMN($O$1),FALSE)*VLOOKUP($D24,素材!$1:$1016,COLUMN($E$1),FALSE)/(LEN(VLOOKUP($D24,素材!$1:$1016,COLUMN($F$1),FALSE)) - LEN(SUBSTITUTE(VLOOKUP($D24,素材!$1:$1016,COLUMN($F$1),FALSE), "・", 0)) + 1), 0)</f>
        <v>0</v>
      </c>
      <c r="AM24">
        <f>IF(ISNUMBER(SEARCH(SUBSTITUTE(AM$1,RIGHT(AM$1,2),""),VLOOKUP($D24,素材!$1:$1016,COLUMN($F$1),FALSE))),VLOOKUP($C24,武器!$1:$998,COLUMN($O$1),FALSE)*VLOOKUP($D24,素材!$1:$1016,COLUMN($E$1),FALSE)/(LEN(VLOOKUP($D24,素材!$1:$1016,COLUMN($F$1),FALSE)) - LEN(SUBSTITUTE(VLOOKUP($D24,素材!$1:$1016,COLUMN($F$1),FALSE), "・", 0)) + 1), 0)</f>
        <v>0</v>
      </c>
      <c r="AN24">
        <f>IF(ISNUMBER(SEARCH(SUBSTITUTE(AN$1,RIGHT(AN$1,2),""),VLOOKUP($D24,素材!$1:$1016,COLUMN($F$1),FALSE))),VLOOKUP($C24,武器!$1:$998,COLUMN($O$1),FALSE)*VLOOKUP($D24,素材!$1:$1016,COLUMN($E$1),FALSE)/(LEN(VLOOKUP($D24,素材!$1:$1016,COLUMN($F$1),FALSE)) - LEN(SUBSTITUTE(VLOOKUP($D24,素材!$1:$1016,COLUMN($F$1),FALSE), "・", 0)) + 1), 0)</f>
        <v>0</v>
      </c>
      <c r="AO24">
        <f>IF(ISNUMBER(SEARCH(SUBSTITUTE(AO$1,RIGHT(AO$1,2),""),VLOOKUP($D24,素材!$1:$1016,COLUMN($F$1),FALSE))),VLOOKUP($C24,武器!$1:$998,COLUMN($O$1),FALSE)*VLOOKUP($D24,素材!$1:$1016,COLUMN($E$1),FALSE)/(LEN(VLOOKUP($D24,素材!$1:$1016,COLUMN($F$1),FALSE)) - LEN(SUBSTITUTE(VLOOKUP($D24,素材!$1:$1016,COLUMN($F$1),FALSE), "・", 0)) + 1), 0)</f>
        <v>0</v>
      </c>
      <c r="AP24">
        <f>IF(ISNUMBER(SEARCH(SUBSTITUTE(AP$1,RIGHT(AP$1,2),""),VLOOKUP($D24,素材!$1:$1016,COLUMN($F$1),FALSE))),VLOOKUP($C24,武器!$1:$998,COLUMN($O$1),FALSE)*VLOOKUP($D24,素材!$1:$1016,COLUMN($E$1),FALSE)/(LEN(VLOOKUP($D24,素材!$1:$1016,COLUMN($F$1),FALSE)) - LEN(SUBSTITUTE(VLOOKUP($D24,素材!$1:$1016,COLUMN($F$1),FALSE), "・", 0)) + 1), 0)</f>
        <v>0</v>
      </c>
      <c r="AQ24">
        <f>IF(ISNUMBER(SEARCH(SUBSTITUTE(AQ$1,RIGHT(AQ$1,2),""),VLOOKUP($D24,素材!$1:$1016,COLUMN($F$1),FALSE))),VLOOKUP($C24,武器!$1:$998,COLUMN($O$1),FALSE)*VLOOKUP($D24,素材!$1:$1016,COLUMN($E$1),FALSE)/(LEN(VLOOKUP($D24,素材!$1:$1016,COLUMN($F$1),FALSE)) - LEN(SUBSTITUTE(VLOOKUP($D24,素材!$1:$1016,COLUMN($F$1),FALSE), "・", 0)) + 1), 0)</f>
        <v>0</v>
      </c>
      <c r="AR24">
        <f>IF(ISNUMBER(SEARCH(SUBSTITUTE(AR$1,RIGHT(AR$1,2),""),VLOOKUP($D24,素材!$1:$1016,COLUMN($F$1),FALSE))),VLOOKUP($C24,武器!$1:$998,COLUMN($O$1),FALSE)*VLOOKUP($D24,素材!$1:$1016,COLUMN($E$1),FALSE)/(LEN(VLOOKUP($D24,素材!$1:$1016,COLUMN($F$1),FALSE)) - LEN(SUBSTITUTE(VLOOKUP($D24,素材!$1:$1016,COLUMN($F$1),FALSE), "・", 0)) + 1), 0)</f>
        <v>0</v>
      </c>
      <c r="AS24">
        <f>IF(ISNUMBER(SEARCH(SUBSTITUTE(AS$1,RIGHT(AS$1,2),""),VLOOKUP($D24,素材!$1:$1016,COLUMN($F$1),FALSE))),VLOOKUP($C24,武器!$1:$998,COLUMN($O$1),FALSE)*VLOOKUP($D24,素材!$1:$1016,COLUMN($E$1),FALSE)/(LEN(VLOOKUP($D24,素材!$1:$1016,COLUMN($F$1),FALSE)) - LEN(SUBSTITUTE(VLOOKUP($D24,素材!$1:$1016,COLUMN($F$1),FALSE), "・", 0)) + 1), 0)</f>
        <v>0</v>
      </c>
      <c r="AT24">
        <f>IF(ISNUMBER(SEARCH(SUBSTITUTE(AT$1,RIGHT(AT$1,2),""),VLOOKUP($D24,素材!$1:$1016,COLUMN($F$1),FALSE))),VLOOKUP($C24,武器!$1:$998,COLUMN($O$1),FALSE)*VLOOKUP($D24,素材!$1:$1016,COLUMN($E$1),FALSE)/(LEN(VLOOKUP($D24,素材!$1:$1016,COLUMN($F$1),FALSE)) - LEN(SUBSTITUTE(VLOOKUP($D24,素材!$1:$1016,COLUMN($F$1),FALSE), "・", 0)) + 1), 0)</f>
        <v>0</v>
      </c>
      <c r="AU24">
        <f>IF(ISNUMBER(SEARCH(SUBSTITUTE(AU$1,RIGHT(AU$1,2),""),VLOOKUP($D24,素材!$1:$1016,COLUMN($F$1),FALSE))),VLOOKUP($C24,武器!$1:$998,COLUMN($O$1),FALSE)*VLOOKUP($D24,素材!$1:$1016,COLUMN($E$1),FALSE)/(LEN(VLOOKUP($D24,素材!$1:$1016,COLUMN($F$1),FALSE)) - LEN(SUBSTITUTE(VLOOKUP($D24,素材!$1:$1016,COLUMN($F$1),FALSE), "・", 0)) + 1), 0)</f>
        <v>0</v>
      </c>
      <c r="AV24">
        <f>IF(ISNUMBER(SEARCH(SUBSTITUTE(AV$1,RIGHT(AV$1,2),""),VLOOKUP($D24,素材!$1:$1016,COLUMN($F$1),FALSE))),VLOOKUP($C24,武器!$1:$998,COLUMN($O$1),FALSE)*VLOOKUP($D24,素材!$1:$1016,COLUMN($E$1),FALSE)/(LEN(VLOOKUP($D24,素材!$1:$1016,COLUMN($F$1),FALSE)) - LEN(SUBSTITUTE(VLOOKUP($D24,素材!$1:$1016,COLUMN($F$1),FALSE), "・", 0)) + 1), 0)</f>
        <v>0</v>
      </c>
      <c r="AW24">
        <f>IF(ISNUMBER(SEARCH(SUBSTITUTE(AW$1,RIGHT(AW$1,2),""),VLOOKUP($D24,素材!$1:$1016,COLUMN($F$1),FALSE))),VLOOKUP($C24,武器!$1:$998,COLUMN($O$1),FALSE)*VLOOKUP($D24,素材!$1:$1016,COLUMN($E$1),FALSE)/(LEN(VLOOKUP($D24,素材!$1:$1016,COLUMN($F$1),FALSE)) - LEN(SUBSTITUTE(VLOOKUP($D24,素材!$1:$1016,COLUMN($F$1),FALSE), "・", 0)) + 1), 0)</f>
        <v>0</v>
      </c>
      <c r="AX24">
        <f>IF(ISNUMBER(SEARCH(SUBSTITUTE(AX$1,RIGHT(AX$1,2),""),VLOOKUP($D24,素材!$1:$1016,COLUMN($F$1),FALSE))),VLOOKUP($C24,武器!$1:$998,COLUMN($O$1),FALSE)*VLOOKUP($D24,素材!$1:$1016,COLUMN($E$1),FALSE)/(LEN(VLOOKUP($D24,素材!$1:$1016,COLUMN($F$1),FALSE)) - LEN(SUBSTITUTE(VLOOKUP($D24,素材!$1:$1016,COLUMN($F$1),FALSE), "・", 0)) + 1), 0)</f>
        <v>0</v>
      </c>
      <c r="AY24">
        <f>IF(ISNUMBER(SEARCH(SUBSTITUTE(AY$1,RIGHT(AY$1,2),""),VLOOKUP($D24,素材!$1:$1016,COLUMN($F$1),FALSE))),VLOOKUP($C24,武器!$1:$998,COLUMN($O$1),FALSE)*VLOOKUP($D24,素材!$1:$1016,COLUMN($E$1),FALSE)/(LEN(VLOOKUP($D24,素材!$1:$1016,COLUMN($F$1),FALSE)) - LEN(SUBSTITUTE(VLOOKUP($D24,素材!$1:$1016,COLUMN($F$1),FALSE), "・", 0)) + 1), 0)</f>
        <v>0</v>
      </c>
      <c r="AZ24">
        <f>IF(ISNUMBER(SEARCH(SUBSTITUTE(AZ$1,RIGHT(AZ$1,2),""),VLOOKUP($D24,素材!$1:$1016,COLUMN($F$1),FALSE))),VLOOKUP($C24,武器!$1:$998,COLUMN($O$1),FALSE)*VLOOKUP($D24,素材!$1:$1016,COLUMN($E$1),FALSE)/(LEN(VLOOKUP($D24,素材!$1:$1016,COLUMN($F$1),FALSE)) - LEN(SUBSTITUTE(VLOOKUP($D24,素材!$1:$1016,COLUMN($F$1),FALSE), "・", 0)) + 1), 0)</f>
        <v>0</v>
      </c>
      <c r="BA24">
        <f>IF(ISNUMBER(SEARCH(SUBSTITUTE(BA$1,RIGHT(BA$1,2),""),VLOOKUP($D24,素材!$1:$1016,COLUMN($F$1),FALSE))),VLOOKUP($C24,武器!$1:$998,COLUMN($O$1),FALSE)*VLOOKUP($D24,素材!$1:$1016,COLUMN($E$1),FALSE)/(LEN(VLOOKUP($D24,素材!$1:$1016,COLUMN($F$1),FALSE)) - LEN(SUBSTITUTE(VLOOKUP($D24,素材!$1:$1016,COLUMN($F$1),FALSE), "・", 0)) + 1), 0)</f>
        <v>0</v>
      </c>
      <c r="BB24">
        <f>IF(ISNUMBER(SEARCH(SUBSTITUTE(BB$1,RIGHT(BB$1,2),""),VLOOKUP($D24,素材!$1:$1016,COLUMN($F$1),FALSE))),VLOOKUP($C24,武器!$1:$998,COLUMN($O$1),FALSE)*VLOOKUP($D24,素材!$1:$1016,COLUMN($E$1),FALSE)/(LEN(VLOOKUP($D24,素材!$1:$1016,COLUMN($F$1),FALSE)) - LEN(SUBSTITUTE(VLOOKUP($D24,素材!$1:$1016,COLUMN($F$1),FALSE), "・", 0)) + 1), 0)</f>
        <v>0</v>
      </c>
      <c r="BC24">
        <f>IF(ISNUMBER(SEARCH(SUBSTITUTE(BC$1,RIGHT(BC$1,2),""),VLOOKUP($D24,素材!$1:$1016,COLUMN($F$1),FALSE))),VLOOKUP($C24,武器!$1:$998,COLUMN($O$1),FALSE)*VLOOKUP($D24,素材!$1:$1016,COLUMN($E$1),FALSE)/(LEN(VLOOKUP($D24,素材!$1:$1016,COLUMN($F$1),FALSE)) - LEN(SUBSTITUTE(VLOOKUP($D24,素材!$1:$1016,COLUMN($F$1),FALSE), "・", 0)) + 1), 0)</f>
        <v>0</v>
      </c>
      <c r="BD24">
        <f>IF(ISNUMBER(SEARCH(SUBSTITUTE(BD$1,RIGHT(BD$1,2),""),VLOOKUP($D24,素材!$1:$1016,COLUMN($F$1),FALSE))),VLOOKUP($C24,武器!$1:$998,COLUMN($O$1),FALSE)*VLOOKUP($D24,素材!$1:$1016,COLUMN($E$1),FALSE)/(LEN(VLOOKUP($D24,素材!$1:$1016,COLUMN($F$1),FALSE)) - LEN(SUBSTITUTE(VLOOKUP($D24,素材!$1:$1016,COLUMN($F$1),FALSE), "・", 0)) + 1), 0)</f>
        <v>0</v>
      </c>
      <c r="BE24">
        <f>IF(ISNUMBER(SEARCH(SUBSTITUTE(BE$1,RIGHT(BE$1,2),""),VLOOKUP($D24,素材!$1:$1016,COLUMN($F$1),FALSE))),VLOOKUP($C24,武器!$1:$998,COLUMN($O$1),FALSE)*VLOOKUP($D24,素材!$1:$1016,COLUMN($E$1),FALSE)/(LEN(VLOOKUP($D24,素材!$1:$1016,COLUMN($F$1),FALSE)) - LEN(SUBSTITUTE(VLOOKUP($D24,素材!$1:$1016,COLUMN($F$1),FALSE), "・", 0)) + 1), 0)</f>
        <v>0</v>
      </c>
      <c r="CL24">
        <f>SUM(G24:I24)</f>
        <v>16</v>
      </c>
      <c r="CM24" s="22" t="str">
        <f>IF(E24="武器",IF(J24-1&gt;SUM(G24:I24),"盾",IF(MAX(G24:I24)=G24,"切断",IF(MAX(G24:I24)=H24,"貫通",IF(MAX(G24:I24)=I24,"打撃","射撃")))),E24)&amp;".webp"</f>
        <v>盾.webp</v>
      </c>
      <c r="CN24">
        <f>IFERROR(VLOOKUP($C24,武器!$1:$998,COLUMN(V$1),FALSE)*VLOOKUP($D24,素材!$1:$1016,COLUMN(N$1),FALSE)+IF(CI24="",0,VLOOKUP($CI24,装強!$1:$1008,COLUMN($CK$1),FALSE)),"")</f>
        <v>300</v>
      </c>
      <c r="CO24" t="str">
        <f>VLOOKUP(D24,素材!$A:$O,COLUMN(素材!O$1),FALSE)</f>
        <v>一般的な鉄。量産品を作るのに使用されることが多い</v>
      </c>
      <c r="CP24" t="str">
        <f>VLOOKUP(C24,武器!$A:$W,COLUMN(武器!W$1),FALSE)</f>
        <v>盾。防御力が高く、汎用性がある防具。</v>
      </c>
      <c r="CR24" t="str">
        <f t="shared" si="1"/>
        <v>e_24</v>
      </c>
      <c r="CS24">
        <f t="shared" si="2"/>
        <v>30000</v>
      </c>
    </row>
    <row r="25" spans="1:97" outlineLevel="1" x14ac:dyDescent="0.4">
      <c r="A25" t="str">
        <f t="shared" si="0"/>
        <v>鉄の丸大盾</v>
      </c>
      <c r="B25" t="str">
        <f>IFERROR(VLOOKUP($D25,素材!$1:$1016,COLUMN($B$1),FALSE)&amp;"・"&amp;VLOOKUP($C25,武器!$1:$998,COLUMN(B$1),FALSE),"")</f>
        <v>アイアン・ラウンドシールド</v>
      </c>
      <c r="C25" t="s">
        <v>220</v>
      </c>
      <c r="D25" s="24" t="s">
        <v>257</v>
      </c>
      <c r="E25" t="str">
        <f>IFERROR(VLOOKUP(C25,武器!$1:$998,COLUMN(C$1),FALSE),"")</f>
        <v>盾</v>
      </c>
      <c r="F25">
        <f>IFERROR(ROUNDDOWN((VLOOKUP($C25,武器!$1:$998,COLUMN(D$1),FALSE)+IFERROR(VLOOKUP($CI25,装強!$1:$999,COLUMN(F$1),FALSE),0))*VLOOKUP($D25,素材!$1:$1016,COLUMN(D$1),FALSE),0),"")</f>
        <v>110</v>
      </c>
      <c r="G25">
        <f>IFERROR(ROUNDDOWN((VLOOKUP($C25,武器!$1:$998,COLUMN(E$1),FALSE)+IFERROR(VLOOKUP($CI25,装強!$1:$999,COLUMN(G$1),FALSE),0))*VLOOKUP($D25,素材!$1:$1016,COLUMN($E$1),FALSE),0),"")</f>
        <v>9</v>
      </c>
      <c r="H25">
        <f>IFERROR(ROUNDDOWN((VLOOKUP($C25,武器!$1:$998,COLUMN(F$1),FALSE)+IFERROR(VLOOKUP($CI25,装強!$1:$999,COLUMN(H$1),FALSE),0))*VLOOKUP($D25,素材!$1:$1016,COLUMN($E$1),FALSE),0),"")</f>
        <v>0</v>
      </c>
      <c r="I25">
        <f>IFERROR(ROUNDDOWN((VLOOKUP($C25,武器!$1:$998,COLUMN(G$1),FALSE)+IFERROR(VLOOKUP($CI25,装強!$1:$999,COLUMN(I$1),FALSE),0))*VLOOKUP($D25,素材!$1:$1016,COLUMN($E$1),FALSE),0),"")</f>
        <v>9</v>
      </c>
      <c r="J25">
        <f>IFERROR(ROUNDDOWN((VLOOKUP($C25,武器!$1:$998,COLUMN(H$1),FALSE)+IFERROR(VLOOKUP($CI25,装強!$1:$999,COLUMN(J$1),FALSE),0))*VLOOKUP($D25,素材!$1:$1016,COLUMN($E$1),FALSE),0),"")</f>
        <v>25</v>
      </c>
      <c r="K25">
        <f>IFERROR(ROUNDDOWN((VLOOKUP($C25,武器!$1:$998,COLUMN(I$1),FALSE)+IFERROR(VLOOKUP($CI25,装強!$1:$999,COLUMN(K$1),FALSE),0))*VLOOKUP($D25,素材!$1:$1016,COLUMN($E$1),FALSE),0),"")</f>
        <v>0</v>
      </c>
      <c r="L25">
        <f>IFERROR(VLOOKUP($D25,素材!$1:$1016,COLUMN($F$1),FALSE),"")</f>
        <v>0</v>
      </c>
      <c r="M25">
        <f>IFERROR(VLOOKUP($C25,武器!$1:$998,COLUMN(AA$1),FALSE)*VLOOKUP($D25,素材!$1:$1016,COLUMN($G$1),FALSE),"")</f>
        <v>0</v>
      </c>
      <c r="N25">
        <f>IFERROR(VLOOKUP($C25,武器!$1:$998,COLUMN(I$1),FALSE),"")</f>
        <v>0</v>
      </c>
      <c r="O25" s="23">
        <f>IFERROR((VLOOKUP($C25,武器!$1:$998,COLUMN(K$1),FALSE)+VLOOKUP($D25,素材!$1:$1016,COLUMN(H$1),FALSE))*100+IFERROR(VLOOKUP($CI25,装強!$1:$999,COLUMN(O$1),FALSE),0),"")</f>
        <v>5</v>
      </c>
      <c r="P25" s="23">
        <f>IFERROR((VLOOKUP($C25,武器!$1:$998,COLUMN(L$1),FALSE)+VLOOKUP($D25,素材!$1:$1016,COLUMN(I$1),FALSE))*100+IFERROR(VLOOKUP($CI25,装強!$1:$999,COLUMN(P$1),FALSE),0),"")</f>
        <v>125</v>
      </c>
      <c r="Q25">
        <f>IFERROR(ROUNDUP(VLOOKUP($C25,武器!$1:$998,COLUMN(M$1),FALSE)*(VLOOKUP($D25,素材!$1:$1002,COLUMN(D$1),FALSE)/100),1),"")</f>
        <v>-5</v>
      </c>
      <c r="R25">
        <f>IFERROR(ROUNDUP(VLOOKUP($C25,武器!$1:$998,COLUMN(N$1),FALSE)*(VLOOKUP($D25,素材!$1:$1002,COLUMN(D$1),FALSE)/100),1),"")</f>
        <v>0</v>
      </c>
      <c r="S25">
        <f>IFERROR(VLOOKUP($C25,武器!$1:$998,COLUMN(P$1),FALSE),"")</f>
        <v>0</v>
      </c>
      <c r="T25">
        <f>IFERROR(VLOOKUP($C25,武器!$1:$998,COLUMN(Q$1),FALSE),"")</f>
        <v>0</v>
      </c>
      <c r="U25">
        <f>IFERROR(VLOOKUP($C25,武器!$1:$998,COLUMN(R$1),FALSE),"")</f>
        <v>0</v>
      </c>
      <c r="V25">
        <f>IFERROR(VLOOKUP($C25,武器!$1:$998,COLUMN(Q$1),FALSE),"")</f>
        <v>0</v>
      </c>
      <c r="W25" t="str">
        <f>IFERROR(VLOOKUP($C25,武器!$1:$998,COLUMN(T$1),FALSE),"")</f>
        <v>A</v>
      </c>
      <c r="Y25" t="str">
        <f>IFERROR(VLOOKUP($C25,武器!$1:$998,COLUMN(U$1),FALSE),"")</f>
        <v>投擲強化,片手適正Ⅰ</v>
      </c>
      <c r="Z25">
        <f>IFERROR(ROUNDUP(VLOOKUP($C25,武器!$1:$998,COLUMN(O$1),FALSE)*VLOOKUP($D25,素材!$1:$1016,COLUMN(E$1),FALSE),1),"")</f>
        <v>0</v>
      </c>
      <c r="AA25">
        <f>IF(ISNUMBER(SEARCH(SUBSTITUTE(AA$1,RIGHT(AA$1,2),""),VLOOKUP($D25,素材!$1:$1016,COLUMN($F$1),FALSE))),VLOOKUP($C25,武器!$1:$998,COLUMN($O$1),FALSE)*VLOOKUP($D25,素材!$1:$1016,COLUMN($E$1),FALSE)/(LEN(VLOOKUP($D25,素材!$1:$1016,COLUMN($F$1),FALSE)) - LEN(SUBSTITUTE(VLOOKUP($D25,素材!$1:$1016,COLUMN($F$1),FALSE), "・", 0)) + 1), 0)</f>
        <v>0</v>
      </c>
      <c r="AB25">
        <f>IF(ISNUMBER(SEARCH(SUBSTITUTE(AB$1,RIGHT(AB$1,2),""),VLOOKUP($D25,素材!$1:$1016,COLUMN($F$1),FALSE))),VLOOKUP($C25,武器!$1:$998,COLUMN($O$1),FALSE)*VLOOKUP($D25,素材!$1:$1016,COLUMN($E$1),FALSE)/(LEN(VLOOKUP($D25,素材!$1:$1016,COLUMN($F$1),FALSE)) - LEN(SUBSTITUTE(VLOOKUP($D25,素材!$1:$1016,COLUMN($F$1),FALSE), "・", 0)) + 1), 0)</f>
        <v>0</v>
      </c>
      <c r="AC25">
        <f>IF(ISNUMBER(SEARCH(SUBSTITUTE(AC$1,RIGHT(AC$1,2),""),VLOOKUP($D25,素材!$1:$1016,COLUMN($F$1),FALSE))),VLOOKUP($C25,武器!$1:$998,COLUMN($O$1),FALSE)*VLOOKUP($D25,素材!$1:$1016,COLUMN($E$1),FALSE)/(LEN(VLOOKUP($D25,素材!$1:$1016,COLUMN($F$1),FALSE)) - LEN(SUBSTITUTE(VLOOKUP($D25,素材!$1:$1016,COLUMN($F$1),FALSE), "・", 0)) + 1), 0)</f>
        <v>0</v>
      </c>
      <c r="AD25">
        <f>IF(ISNUMBER(SEARCH(SUBSTITUTE(AD$1,RIGHT(AD$1,2),""),VLOOKUP($D25,素材!$1:$1016,COLUMN($F$1),FALSE))),VLOOKUP($C25,武器!$1:$998,COLUMN($O$1),FALSE)*VLOOKUP($D25,素材!$1:$1016,COLUMN($E$1),FALSE)/(LEN(VLOOKUP($D25,素材!$1:$1016,COLUMN($F$1),FALSE)) - LEN(SUBSTITUTE(VLOOKUP($D25,素材!$1:$1016,COLUMN($F$1),FALSE), "・", 0)) + 1), 0)</f>
        <v>0</v>
      </c>
      <c r="AE25">
        <f>IF(ISNUMBER(SEARCH(SUBSTITUTE(AE$1,RIGHT(AE$1,2),""),VLOOKUP($D25,素材!$1:$1016,COLUMN($F$1),FALSE))),VLOOKUP($C25,武器!$1:$998,COLUMN($O$1),FALSE)*VLOOKUP($D25,素材!$1:$1016,COLUMN($E$1),FALSE)/(LEN(VLOOKUP($D25,素材!$1:$1016,COLUMN($F$1),FALSE)) - LEN(SUBSTITUTE(VLOOKUP($D25,素材!$1:$1016,COLUMN($F$1),FALSE), "・", 0)) + 1), 0)</f>
        <v>0</v>
      </c>
      <c r="AF25">
        <f>IF(ISNUMBER(SEARCH(SUBSTITUTE(AF$1,RIGHT(AF$1,2),""),VLOOKUP($D25,素材!$1:$1016,COLUMN($F$1),FALSE))),VLOOKUP($C25,武器!$1:$998,COLUMN($O$1),FALSE)*VLOOKUP($D25,素材!$1:$1016,COLUMN($E$1),FALSE)/(LEN(VLOOKUP($D25,素材!$1:$1016,COLUMN($F$1),FALSE)) - LEN(SUBSTITUTE(VLOOKUP($D25,素材!$1:$1016,COLUMN($F$1),FALSE), "・", 0)) + 1), 0)</f>
        <v>0</v>
      </c>
      <c r="AG25">
        <f>IF(ISNUMBER(SEARCH(SUBSTITUTE(AG$1,RIGHT(AG$1,2),""),VLOOKUP($D25,素材!$1:$1016,COLUMN($F$1),FALSE))),VLOOKUP($C25,武器!$1:$998,COLUMN($O$1),FALSE)*VLOOKUP($D25,素材!$1:$1016,COLUMN($E$1),FALSE)/(LEN(VLOOKUP($D25,素材!$1:$1016,COLUMN($F$1),FALSE)) - LEN(SUBSTITUTE(VLOOKUP($D25,素材!$1:$1016,COLUMN($F$1),FALSE), "・", 0)) + 1), 0)</f>
        <v>0</v>
      </c>
      <c r="AH25">
        <f>IF(ISNUMBER(SEARCH(SUBSTITUTE(AH$1,RIGHT(AH$1,2),""),VLOOKUP($D25,素材!$1:$1016,COLUMN($F$1),FALSE))),VLOOKUP($C25,武器!$1:$998,COLUMN($O$1),FALSE)*VLOOKUP($D25,素材!$1:$1016,COLUMN($E$1),FALSE)/(LEN(VLOOKUP($D25,素材!$1:$1016,COLUMN($F$1),FALSE)) - LEN(SUBSTITUTE(VLOOKUP($D25,素材!$1:$1016,COLUMN($F$1),FALSE), "・", 0)) + 1), 0)</f>
        <v>0</v>
      </c>
      <c r="AI25">
        <f>IF(ISNUMBER(SEARCH(SUBSTITUTE(AI$1,RIGHT(AI$1,2),""),VLOOKUP($D25,素材!$1:$1016,COLUMN($F$1),FALSE))),VLOOKUP($C25,武器!$1:$998,COLUMN($O$1),FALSE)*VLOOKUP($D25,素材!$1:$1016,COLUMN($E$1),FALSE)/(LEN(VLOOKUP($D25,素材!$1:$1016,COLUMN($F$1),FALSE)) - LEN(SUBSTITUTE(VLOOKUP($D25,素材!$1:$1016,COLUMN($F$1),FALSE), "・", 0)) + 1), 0)</f>
        <v>0</v>
      </c>
      <c r="AJ25">
        <f>IF(ISNUMBER(SEARCH(SUBSTITUTE(AJ$1,RIGHT(AJ$1,2),""),VLOOKUP($D25,素材!$1:$1016,COLUMN($F$1),FALSE))),VLOOKUP($C25,武器!$1:$998,COLUMN($O$1),FALSE)*VLOOKUP($D25,素材!$1:$1016,COLUMN($E$1),FALSE)/(LEN(VLOOKUP($D25,素材!$1:$1016,COLUMN($F$1),FALSE)) - LEN(SUBSTITUTE(VLOOKUP($D25,素材!$1:$1016,COLUMN($F$1),FALSE), "・", 0)) + 1), 0)</f>
        <v>0</v>
      </c>
      <c r="AK25">
        <f>IF(ISNUMBER(SEARCH(SUBSTITUTE(AK$1,RIGHT(AK$1,2),""),VLOOKUP($D25,素材!$1:$1016,COLUMN($F$1),FALSE))),VLOOKUP($C25,武器!$1:$998,COLUMN($O$1),FALSE)*VLOOKUP($D25,素材!$1:$1016,COLUMN($E$1),FALSE)/(LEN(VLOOKUP($D25,素材!$1:$1016,COLUMN($F$1),FALSE)) - LEN(SUBSTITUTE(VLOOKUP($D25,素材!$1:$1016,COLUMN($F$1),FALSE), "・", 0)) + 1), 0)</f>
        <v>0</v>
      </c>
      <c r="AL25">
        <f>IF(ISNUMBER(SEARCH(SUBSTITUTE(AL$1,RIGHT(AL$1,2),""),VLOOKUP($D25,素材!$1:$1016,COLUMN($F$1),FALSE))),VLOOKUP($C25,武器!$1:$998,COLUMN($O$1),FALSE)*VLOOKUP($D25,素材!$1:$1016,COLUMN($E$1),FALSE)/(LEN(VLOOKUP($D25,素材!$1:$1016,COLUMN($F$1),FALSE)) - LEN(SUBSTITUTE(VLOOKUP($D25,素材!$1:$1016,COLUMN($F$1),FALSE), "・", 0)) + 1), 0)</f>
        <v>0</v>
      </c>
      <c r="AM25">
        <f>IF(ISNUMBER(SEARCH(SUBSTITUTE(AM$1,RIGHT(AM$1,2),""),VLOOKUP($D25,素材!$1:$1016,COLUMN($F$1),FALSE))),VLOOKUP($C25,武器!$1:$998,COLUMN($O$1),FALSE)*VLOOKUP($D25,素材!$1:$1016,COLUMN($E$1),FALSE)/(LEN(VLOOKUP($D25,素材!$1:$1016,COLUMN($F$1),FALSE)) - LEN(SUBSTITUTE(VLOOKUP($D25,素材!$1:$1016,COLUMN($F$1),FALSE), "・", 0)) + 1), 0)</f>
        <v>0</v>
      </c>
      <c r="AN25">
        <f>IF(ISNUMBER(SEARCH(SUBSTITUTE(AN$1,RIGHT(AN$1,2),""),VLOOKUP($D25,素材!$1:$1016,COLUMN($F$1),FALSE))),VLOOKUP($C25,武器!$1:$998,COLUMN($O$1),FALSE)*VLOOKUP($D25,素材!$1:$1016,COLUMN($E$1),FALSE)/(LEN(VLOOKUP($D25,素材!$1:$1016,COLUMN($F$1),FALSE)) - LEN(SUBSTITUTE(VLOOKUP($D25,素材!$1:$1016,COLUMN($F$1),FALSE), "・", 0)) + 1), 0)</f>
        <v>0</v>
      </c>
      <c r="AO25">
        <f>IF(ISNUMBER(SEARCH(SUBSTITUTE(AO$1,RIGHT(AO$1,2),""),VLOOKUP($D25,素材!$1:$1016,COLUMN($F$1),FALSE))),VLOOKUP($C25,武器!$1:$998,COLUMN($O$1),FALSE)*VLOOKUP($D25,素材!$1:$1016,COLUMN($E$1),FALSE)/(LEN(VLOOKUP($D25,素材!$1:$1016,COLUMN($F$1),FALSE)) - LEN(SUBSTITUTE(VLOOKUP($D25,素材!$1:$1016,COLUMN($F$1),FALSE), "・", 0)) + 1), 0)</f>
        <v>0</v>
      </c>
      <c r="AP25">
        <f>IF(ISNUMBER(SEARCH(SUBSTITUTE(AP$1,RIGHT(AP$1,2),""),VLOOKUP($D25,素材!$1:$1016,COLUMN($F$1),FALSE))),VLOOKUP($C25,武器!$1:$998,COLUMN($O$1),FALSE)*VLOOKUP($D25,素材!$1:$1016,COLUMN($E$1),FALSE)/(LEN(VLOOKUP($D25,素材!$1:$1016,COLUMN($F$1),FALSE)) - LEN(SUBSTITUTE(VLOOKUP($D25,素材!$1:$1016,COLUMN($F$1),FALSE), "・", 0)) + 1), 0)</f>
        <v>0</v>
      </c>
      <c r="AQ25">
        <f>IF(ISNUMBER(SEARCH(SUBSTITUTE(AQ$1,RIGHT(AQ$1,2),""),VLOOKUP($D25,素材!$1:$1016,COLUMN($F$1),FALSE))),VLOOKUP($C25,武器!$1:$998,COLUMN($O$1),FALSE)*VLOOKUP($D25,素材!$1:$1016,COLUMN($E$1),FALSE)/(LEN(VLOOKUP($D25,素材!$1:$1016,COLUMN($F$1),FALSE)) - LEN(SUBSTITUTE(VLOOKUP($D25,素材!$1:$1016,COLUMN($F$1),FALSE), "・", 0)) + 1), 0)</f>
        <v>0</v>
      </c>
      <c r="AR25">
        <f>IF(ISNUMBER(SEARCH(SUBSTITUTE(AR$1,RIGHT(AR$1,2),""),VLOOKUP($D25,素材!$1:$1016,COLUMN($F$1),FALSE))),VLOOKUP($C25,武器!$1:$998,COLUMN($O$1),FALSE)*VLOOKUP($D25,素材!$1:$1016,COLUMN($E$1),FALSE)/(LEN(VLOOKUP($D25,素材!$1:$1016,COLUMN($F$1),FALSE)) - LEN(SUBSTITUTE(VLOOKUP($D25,素材!$1:$1016,COLUMN($F$1),FALSE), "・", 0)) + 1), 0)</f>
        <v>0</v>
      </c>
      <c r="AS25">
        <f>IF(ISNUMBER(SEARCH(SUBSTITUTE(AS$1,RIGHT(AS$1,2),""),VLOOKUP($D25,素材!$1:$1016,COLUMN($F$1),FALSE))),VLOOKUP($C25,武器!$1:$998,COLUMN($O$1),FALSE)*VLOOKUP($D25,素材!$1:$1016,COLUMN($E$1),FALSE)/(LEN(VLOOKUP($D25,素材!$1:$1016,COLUMN($F$1),FALSE)) - LEN(SUBSTITUTE(VLOOKUP($D25,素材!$1:$1016,COLUMN($F$1),FALSE), "・", 0)) + 1), 0)</f>
        <v>0</v>
      </c>
      <c r="AT25">
        <f>IF(ISNUMBER(SEARCH(SUBSTITUTE(AT$1,RIGHT(AT$1,2),""),VLOOKUP($D25,素材!$1:$1016,COLUMN($F$1),FALSE))),VLOOKUP($C25,武器!$1:$998,COLUMN($O$1),FALSE)*VLOOKUP($D25,素材!$1:$1016,COLUMN($E$1),FALSE)/(LEN(VLOOKUP($D25,素材!$1:$1016,COLUMN($F$1),FALSE)) - LEN(SUBSTITUTE(VLOOKUP($D25,素材!$1:$1016,COLUMN($F$1),FALSE), "・", 0)) + 1), 0)</f>
        <v>0</v>
      </c>
      <c r="AU25">
        <f>IF(ISNUMBER(SEARCH(SUBSTITUTE(AU$1,RIGHT(AU$1,2),""),VLOOKUP($D25,素材!$1:$1016,COLUMN($F$1),FALSE))),VLOOKUP($C25,武器!$1:$998,COLUMN($O$1),FALSE)*VLOOKUP($D25,素材!$1:$1016,COLUMN($E$1),FALSE)/(LEN(VLOOKUP($D25,素材!$1:$1016,COLUMN($F$1),FALSE)) - LEN(SUBSTITUTE(VLOOKUP($D25,素材!$1:$1016,COLUMN($F$1),FALSE), "・", 0)) + 1), 0)</f>
        <v>0</v>
      </c>
      <c r="AV25">
        <f>IF(ISNUMBER(SEARCH(SUBSTITUTE(AV$1,RIGHT(AV$1,2),""),VLOOKUP($D25,素材!$1:$1016,COLUMN($F$1),FALSE))),VLOOKUP($C25,武器!$1:$998,COLUMN($O$1),FALSE)*VLOOKUP($D25,素材!$1:$1016,COLUMN($E$1),FALSE)/(LEN(VLOOKUP($D25,素材!$1:$1016,COLUMN($F$1),FALSE)) - LEN(SUBSTITUTE(VLOOKUP($D25,素材!$1:$1016,COLUMN($F$1),FALSE), "・", 0)) + 1), 0)</f>
        <v>0</v>
      </c>
      <c r="AW25">
        <f>IF(ISNUMBER(SEARCH(SUBSTITUTE(AW$1,RIGHT(AW$1,2),""),VLOOKUP($D25,素材!$1:$1016,COLUMN($F$1),FALSE))),VLOOKUP($C25,武器!$1:$998,COLUMN($O$1),FALSE)*VLOOKUP($D25,素材!$1:$1016,COLUMN($E$1),FALSE)/(LEN(VLOOKUP($D25,素材!$1:$1016,COLUMN($F$1),FALSE)) - LEN(SUBSTITUTE(VLOOKUP($D25,素材!$1:$1016,COLUMN($F$1),FALSE), "・", 0)) + 1), 0)</f>
        <v>0</v>
      </c>
      <c r="AX25">
        <f>IF(ISNUMBER(SEARCH(SUBSTITUTE(AX$1,RIGHT(AX$1,2),""),VLOOKUP($D25,素材!$1:$1016,COLUMN($F$1),FALSE))),VLOOKUP($C25,武器!$1:$998,COLUMN($O$1),FALSE)*VLOOKUP($D25,素材!$1:$1016,COLUMN($E$1),FALSE)/(LEN(VLOOKUP($D25,素材!$1:$1016,COLUMN($F$1),FALSE)) - LEN(SUBSTITUTE(VLOOKUP($D25,素材!$1:$1016,COLUMN($F$1),FALSE), "・", 0)) + 1), 0)</f>
        <v>0</v>
      </c>
      <c r="AY25">
        <f>IF(ISNUMBER(SEARCH(SUBSTITUTE(AY$1,RIGHT(AY$1,2),""),VLOOKUP($D25,素材!$1:$1016,COLUMN($F$1),FALSE))),VLOOKUP($C25,武器!$1:$998,COLUMN($O$1),FALSE)*VLOOKUP($D25,素材!$1:$1016,COLUMN($E$1),FALSE)/(LEN(VLOOKUP($D25,素材!$1:$1016,COLUMN($F$1),FALSE)) - LEN(SUBSTITUTE(VLOOKUP($D25,素材!$1:$1016,COLUMN($F$1),FALSE), "・", 0)) + 1), 0)</f>
        <v>0</v>
      </c>
      <c r="AZ25">
        <f>IF(ISNUMBER(SEARCH(SUBSTITUTE(AZ$1,RIGHT(AZ$1,2),""),VLOOKUP($D25,素材!$1:$1016,COLUMN($F$1),FALSE))),VLOOKUP($C25,武器!$1:$998,COLUMN($O$1),FALSE)*VLOOKUP($D25,素材!$1:$1016,COLUMN($E$1),FALSE)/(LEN(VLOOKUP($D25,素材!$1:$1016,COLUMN($F$1),FALSE)) - LEN(SUBSTITUTE(VLOOKUP($D25,素材!$1:$1016,COLUMN($F$1),FALSE), "・", 0)) + 1), 0)</f>
        <v>0</v>
      </c>
      <c r="BA25">
        <f>IF(ISNUMBER(SEARCH(SUBSTITUTE(BA$1,RIGHT(BA$1,2),""),VLOOKUP($D25,素材!$1:$1016,COLUMN($F$1),FALSE))),VLOOKUP($C25,武器!$1:$998,COLUMN($O$1),FALSE)*VLOOKUP($D25,素材!$1:$1016,COLUMN($E$1),FALSE)/(LEN(VLOOKUP($D25,素材!$1:$1016,COLUMN($F$1),FALSE)) - LEN(SUBSTITUTE(VLOOKUP($D25,素材!$1:$1016,COLUMN($F$1),FALSE), "・", 0)) + 1), 0)</f>
        <v>0</v>
      </c>
      <c r="BB25">
        <f>IF(ISNUMBER(SEARCH(SUBSTITUTE(BB$1,RIGHT(BB$1,2),""),VLOOKUP($D25,素材!$1:$1016,COLUMN($F$1),FALSE))),VLOOKUP($C25,武器!$1:$998,COLUMN($O$1),FALSE)*VLOOKUP($D25,素材!$1:$1016,COLUMN($E$1),FALSE)/(LEN(VLOOKUP($D25,素材!$1:$1016,COLUMN($F$1),FALSE)) - LEN(SUBSTITUTE(VLOOKUP($D25,素材!$1:$1016,COLUMN($F$1),FALSE), "・", 0)) + 1), 0)</f>
        <v>0</v>
      </c>
      <c r="BC25">
        <f>IF(ISNUMBER(SEARCH(SUBSTITUTE(BC$1,RIGHT(BC$1,2),""),VLOOKUP($D25,素材!$1:$1016,COLUMN($F$1),FALSE))),VLOOKUP($C25,武器!$1:$998,COLUMN($O$1),FALSE)*VLOOKUP($D25,素材!$1:$1016,COLUMN($E$1),FALSE)/(LEN(VLOOKUP($D25,素材!$1:$1016,COLUMN($F$1),FALSE)) - LEN(SUBSTITUTE(VLOOKUP($D25,素材!$1:$1016,COLUMN($F$1),FALSE), "・", 0)) + 1), 0)</f>
        <v>0</v>
      </c>
      <c r="BD25">
        <f>IF(ISNUMBER(SEARCH(SUBSTITUTE(BD$1,RIGHT(BD$1,2),""),VLOOKUP($D25,素材!$1:$1016,COLUMN($F$1),FALSE))),VLOOKUP($C25,武器!$1:$998,COLUMN($O$1),FALSE)*VLOOKUP($D25,素材!$1:$1016,COLUMN($E$1),FALSE)/(LEN(VLOOKUP($D25,素材!$1:$1016,COLUMN($F$1),FALSE)) - LEN(SUBSTITUTE(VLOOKUP($D25,素材!$1:$1016,COLUMN($F$1),FALSE), "・", 0)) + 1), 0)</f>
        <v>0</v>
      </c>
      <c r="BE25">
        <f>IF(ISNUMBER(SEARCH(SUBSTITUTE(BE$1,RIGHT(BE$1,2),""),VLOOKUP($D25,素材!$1:$1016,COLUMN($F$1),FALSE))),VLOOKUP($C25,武器!$1:$998,COLUMN($O$1),FALSE)*VLOOKUP($D25,素材!$1:$1016,COLUMN($E$1),FALSE)/(LEN(VLOOKUP($D25,素材!$1:$1016,COLUMN($F$1),FALSE)) - LEN(SUBSTITUTE(VLOOKUP($D25,素材!$1:$1016,COLUMN($F$1),FALSE), "・", 0)) + 1), 0)</f>
        <v>0</v>
      </c>
      <c r="CL25">
        <f>SUM(G25:I25)</f>
        <v>18</v>
      </c>
      <c r="CM25" s="22" t="str">
        <f>IF(E25="武器",IF(J25-1&gt;SUM(G25:I25),"盾",IF(MAX(G25:I25)=G25,"切断",IF(MAX(G25:I25)=H25,"貫通",IF(MAX(G25:I25)=I25,"打撃","射撃")))),E25)&amp;".webp"</f>
        <v>盾.webp</v>
      </c>
      <c r="CN25">
        <f>IFERROR(VLOOKUP($C25,武器!$1:$998,COLUMN(V$1),FALSE)*VLOOKUP($D25,素材!$1:$1016,COLUMN(N$1),FALSE)+IF(CI25="",0,VLOOKUP($CI25,装強!$1:$1008,COLUMN($CK$1),FALSE)),"")</f>
        <v>400</v>
      </c>
      <c r="CO25" t="str">
        <f>VLOOKUP(D25,素材!$A:$O,COLUMN(素材!O$1),FALSE)</f>
        <v>一般的な鉄。量産品を作るのに使用されることが多い</v>
      </c>
      <c r="CP25" t="str">
        <f>VLOOKUP(C25,武器!$A:$W,COLUMN(武器!W$1),FALSE)</f>
        <v>丸大盾。防御範囲が広く、投擲も可能。</v>
      </c>
      <c r="CR25" t="str">
        <f t="shared" si="1"/>
        <v>e_25</v>
      </c>
      <c r="CS25">
        <f t="shared" si="2"/>
        <v>40000</v>
      </c>
    </row>
    <row r="26" spans="1:97" outlineLevel="1" x14ac:dyDescent="0.4">
      <c r="A26" t="str">
        <f t="shared" si="0"/>
        <v>鉄の大盾</v>
      </c>
      <c r="B26" t="str">
        <f>IFERROR(VLOOKUP($D26,素材!$1:$1016,COLUMN($B$1),FALSE)&amp;"・"&amp;VLOOKUP($C26,武器!$1:$998,COLUMN(B$1),FALSE),"")</f>
        <v>アイアン・ラージシールド</v>
      </c>
      <c r="C26" t="s">
        <v>219</v>
      </c>
      <c r="D26" s="24" t="s">
        <v>257</v>
      </c>
      <c r="E26" t="str">
        <f>IFERROR(VLOOKUP(C26,武器!$1:$998,COLUMN(C$1),FALSE),"")</f>
        <v>盾</v>
      </c>
      <c r="F26">
        <f>IFERROR(ROUNDDOWN((VLOOKUP($C26,武器!$1:$998,COLUMN(D$1),FALSE)+IFERROR(VLOOKUP($CI26,装強!$1:$999,COLUMN(F$1),FALSE),0))*VLOOKUP($D26,素材!$1:$1016,COLUMN(D$1),FALSE),0),"")</f>
        <v>115</v>
      </c>
      <c r="G26">
        <f>IFERROR(ROUNDDOWN((VLOOKUP($C26,武器!$1:$998,COLUMN(E$1),FALSE)+IFERROR(VLOOKUP($CI26,装強!$1:$999,COLUMN(G$1),FALSE),0))*VLOOKUP($D26,素材!$1:$1016,COLUMN($E$1),FALSE),0),"")</f>
        <v>0</v>
      </c>
      <c r="H26">
        <f>IFERROR(ROUNDDOWN((VLOOKUP($C26,武器!$1:$998,COLUMN(F$1),FALSE)+IFERROR(VLOOKUP($CI26,装強!$1:$999,COLUMN(H$1),FALSE),0))*VLOOKUP($D26,素材!$1:$1016,COLUMN($E$1),FALSE),0),"")</f>
        <v>0</v>
      </c>
      <c r="I26">
        <f>IFERROR(ROUNDDOWN((VLOOKUP($C26,武器!$1:$998,COLUMN(G$1),FALSE)+IFERROR(VLOOKUP($CI26,装強!$1:$999,COLUMN(I$1),FALSE),0))*VLOOKUP($D26,素材!$1:$1016,COLUMN($E$1),FALSE),0),"")</f>
        <v>17</v>
      </c>
      <c r="J26">
        <f>IFERROR(ROUNDDOWN((VLOOKUP($C26,武器!$1:$998,COLUMN(H$1),FALSE)+IFERROR(VLOOKUP($CI26,装強!$1:$999,COLUMN(J$1),FALSE),0))*VLOOKUP($D26,素材!$1:$1016,COLUMN($E$1),FALSE),0),"")</f>
        <v>27</v>
      </c>
      <c r="K26">
        <f>IFERROR(ROUNDDOWN((VLOOKUP($C26,武器!$1:$998,COLUMN(I$1),FALSE)+IFERROR(VLOOKUP($CI26,装強!$1:$999,COLUMN(K$1),FALSE),0))*VLOOKUP($D26,素材!$1:$1016,COLUMN($E$1),FALSE),0),"")</f>
        <v>0</v>
      </c>
      <c r="L26">
        <f>IFERROR(VLOOKUP($D26,素材!$1:$1016,COLUMN($F$1),FALSE),"")</f>
        <v>0</v>
      </c>
      <c r="M26">
        <f>IFERROR(VLOOKUP($C26,武器!$1:$998,COLUMN(AA$1),FALSE)*VLOOKUP($D26,素材!$1:$1016,COLUMN($G$1),FALSE),"")</f>
        <v>0</v>
      </c>
      <c r="N26">
        <f>IFERROR(VLOOKUP($C26,武器!$1:$998,COLUMN(I$1),FALSE),"")</f>
        <v>0</v>
      </c>
      <c r="O26" s="23">
        <f>IFERROR((VLOOKUP($C26,武器!$1:$998,COLUMN(K$1),FALSE)+VLOOKUP($D26,素材!$1:$1016,COLUMN(H$1),FALSE))*100+IFERROR(VLOOKUP($CI26,装強!$1:$999,COLUMN(O$1),FALSE),0),"")</f>
        <v>5</v>
      </c>
      <c r="P26" s="23">
        <f>IFERROR((VLOOKUP($C26,武器!$1:$998,COLUMN(L$1),FALSE)+VLOOKUP($D26,素材!$1:$1016,COLUMN(I$1),FALSE))*100+IFERROR(VLOOKUP($CI26,装強!$1:$999,COLUMN(P$1),FALSE),0),"")</f>
        <v>125</v>
      </c>
      <c r="Q26">
        <f>IFERROR(ROUNDUP(VLOOKUP($C26,武器!$1:$998,COLUMN(M$1),FALSE)*(VLOOKUP($D26,素材!$1:$1002,COLUMN(D$1),FALSE)/100),1),"")</f>
        <v>-5</v>
      </c>
      <c r="R26">
        <f>IFERROR(ROUNDUP(VLOOKUP($C26,武器!$1:$998,COLUMN(N$1),FALSE)*(VLOOKUP($D26,素材!$1:$1002,COLUMN(D$1),FALSE)/100),1),"")</f>
        <v>0</v>
      </c>
      <c r="S26">
        <f>IFERROR(VLOOKUP($C26,武器!$1:$998,COLUMN(P$1),FALSE),"")</f>
        <v>0</v>
      </c>
      <c r="T26">
        <f>IFERROR(VLOOKUP($C26,武器!$1:$998,COLUMN(Q$1),FALSE),"")</f>
        <v>0</v>
      </c>
      <c r="U26">
        <f>IFERROR(VLOOKUP($C26,武器!$1:$998,COLUMN(R$1),FALSE),"")</f>
        <v>0</v>
      </c>
      <c r="V26">
        <f>IFERROR(VLOOKUP($C26,武器!$1:$998,COLUMN(Q$1),FALSE),"")</f>
        <v>0</v>
      </c>
      <c r="W26" t="str">
        <f>IFERROR(VLOOKUP($C26,武器!$1:$998,COLUMN(T$1),FALSE),"")</f>
        <v>A</v>
      </c>
      <c r="Y26" t="str">
        <f>IFERROR(VLOOKUP($C26,武器!$1:$998,COLUMN(U$1),FALSE),"")</f>
        <v>片手適正Ⅰ</v>
      </c>
      <c r="Z26">
        <f>IFERROR(ROUNDUP(VLOOKUP($C26,武器!$1:$998,COLUMN(O$1),FALSE)*VLOOKUP($D26,素材!$1:$1016,COLUMN(E$1),FALSE),1),"")</f>
        <v>0</v>
      </c>
      <c r="AA26">
        <f>IF(ISNUMBER(SEARCH(SUBSTITUTE(AA$1,RIGHT(AA$1,2),""),VLOOKUP($D26,素材!$1:$1016,COLUMN($F$1),FALSE))),VLOOKUP($C26,武器!$1:$998,COLUMN($O$1),FALSE)*VLOOKUP($D26,素材!$1:$1016,COLUMN($E$1),FALSE)/(LEN(VLOOKUP($D26,素材!$1:$1016,COLUMN($F$1),FALSE)) - LEN(SUBSTITUTE(VLOOKUP($D26,素材!$1:$1016,COLUMN($F$1),FALSE), "・", 0)) + 1), 0)</f>
        <v>0</v>
      </c>
      <c r="AB26">
        <f>IF(ISNUMBER(SEARCH(SUBSTITUTE(AB$1,RIGHT(AB$1,2),""),VLOOKUP($D26,素材!$1:$1016,COLUMN($F$1),FALSE))),VLOOKUP($C26,武器!$1:$998,COLUMN($O$1),FALSE)*VLOOKUP($D26,素材!$1:$1016,COLUMN($E$1),FALSE)/(LEN(VLOOKUP($D26,素材!$1:$1016,COLUMN($F$1),FALSE)) - LEN(SUBSTITUTE(VLOOKUP($D26,素材!$1:$1016,COLUMN($F$1),FALSE), "・", 0)) + 1), 0)</f>
        <v>0</v>
      </c>
      <c r="AC26">
        <f>IF(ISNUMBER(SEARCH(SUBSTITUTE(AC$1,RIGHT(AC$1,2),""),VLOOKUP($D26,素材!$1:$1016,COLUMN($F$1),FALSE))),VLOOKUP($C26,武器!$1:$998,COLUMN($O$1),FALSE)*VLOOKUP($D26,素材!$1:$1016,COLUMN($E$1),FALSE)/(LEN(VLOOKUP($D26,素材!$1:$1016,COLUMN($F$1),FALSE)) - LEN(SUBSTITUTE(VLOOKUP($D26,素材!$1:$1016,COLUMN($F$1),FALSE), "・", 0)) + 1), 0)</f>
        <v>0</v>
      </c>
      <c r="AD26">
        <f>IF(ISNUMBER(SEARCH(SUBSTITUTE(AD$1,RIGHT(AD$1,2),""),VLOOKUP($D26,素材!$1:$1016,COLUMN($F$1),FALSE))),VLOOKUP($C26,武器!$1:$998,COLUMN($O$1),FALSE)*VLOOKUP($D26,素材!$1:$1016,COLUMN($E$1),FALSE)/(LEN(VLOOKUP($D26,素材!$1:$1016,COLUMN($F$1),FALSE)) - LEN(SUBSTITUTE(VLOOKUP($D26,素材!$1:$1016,COLUMN($F$1),FALSE), "・", 0)) + 1), 0)</f>
        <v>0</v>
      </c>
      <c r="AE26">
        <f>IF(ISNUMBER(SEARCH(SUBSTITUTE(AE$1,RIGHT(AE$1,2),""),VLOOKUP($D26,素材!$1:$1016,COLUMN($F$1),FALSE))),VLOOKUP($C26,武器!$1:$998,COLUMN($O$1),FALSE)*VLOOKUP($D26,素材!$1:$1016,COLUMN($E$1),FALSE)/(LEN(VLOOKUP($D26,素材!$1:$1016,COLUMN($F$1),FALSE)) - LEN(SUBSTITUTE(VLOOKUP($D26,素材!$1:$1016,COLUMN($F$1),FALSE), "・", 0)) + 1), 0)</f>
        <v>0</v>
      </c>
      <c r="AF26">
        <f>IF(ISNUMBER(SEARCH(SUBSTITUTE(AF$1,RIGHT(AF$1,2),""),VLOOKUP($D26,素材!$1:$1016,COLUMN($F$1),FALSE))),VLOOKUP($C26,武器!$1:$998,COLUMN($O$1),FALSE)*VLOOKUP($D26,素材!$1:$1016,COLUMN($E$1),FALSE)/(LEN(VLOOKUP($D26,素材!$1:$1016,COLUMN($F$1),FALSE)) - LEN(SUBSTITUTE(VLOOKUP($D26,素材!$1:$1016,COLUMN($F$1),FALSE), "・", 0)) + 1), 0)</f>
        <v>0</v>
      </c>
      <c r="AG26">
        <f>IF(ISNUMBER(SEARCH(SUBSTITUTE(AG$1,RIGHT(AG$1,2),""),VLOOKUP($D26,素材!$1:$1016,COLUMN($F$1),FALSE))),VLOOKUP($C26,武器!$1:$998,COLUMN($O$1),FALSE)*VLOOKUP($D26,素材!$1:$1016,COLUMN($E$1),FALSE)/(LEN(VLOOKUP($D26,素材!$1:$1016,COLUMN($F$1),FALSE)) - LEN(SUBSTITUTE(VLOOKUP($D26,素材!$1:$1016,COLUMN($F$1),FALSE), "・", 0)) + 1), 0)</f>
        <v>0</v>
      </c>
      <c r="AH26">
        <f>IF(ISNUMBER(SEARCH(SUBSTITUTE(AH$1,RIGHT(AH$1,2),""),VLOOKUP($D26,素材!$1:$1016,COLUMN($F$1),FALSE))),VLOOKUP($C26,武器!$1:$998,COLUMN($O$1),FALSE)*VLOOKUP($D26,素材!$1:$1016,COLUMN($E$1),FALSE)/(LEN(VLOOKUP($D26,素材!$1:$1016,COLUMN($F$1),FALSE)) - LEN(SUBSTITUTE(VLOOKUP($D26,素材!$1:$1016,COLUMN($F$1),FALSE), "・", 0)) + 1), 0)</f>
        <v>0</v>
      </c>
      <c r="AI26">
        <f>IF(ISNUMBER(SEARCH(SUBSTITUTE(AI$1,RIGHT(AI$1,2),""),VLOOKUP($D26,素材!$1:$1016,COLUMN($F$1),FALSE))),VLOOKUP($C26,武器!$1:$998,COLUMN($O$1),FALSE)*VLOOKUP($D26,素材!$1:$1016,COLUMN($E$1),FALSE)/(LEN(VLOOKUP($D26,素材!$1:$1016,COLUMN($F$1),FALSE)) - LEN(SUBSTITUTE(VLOOKUP($D26,素材!$1:$1016,COLUMN($F$1),FALSE), "・", 0)) + 1), 0)</f>
        <v>0</v>
      </c>
      <c r="AJ26">
        <f>IF(ISNUMBER(SEARCH(SUBSTITUTE(AJ$1,RIGHT(AJ$1,2),""),VLOOKUP($D26,素材!$1:$1016,COLUMN($F$1),FALSE))),VLOOKUP($C26,武器!$1:$998,COLUMN($O$1),FALSE)*VLOOKUP($D26,素材!$1:$1016,COLUMN($E$1),FALSE)/(LEN(VLOOKUP($D26,素材!$1:$1016,COLUMN($F$1),FALSE)) - LEN(SUBSTITUTE(VLOOKUP($D26,素材!$1:$1016,COLUMN($F$1),FALSE), "・", 0)) + 1), 0)</f>
        <v>0</v>
      </c>
      <c r="AK26">
        <f>IF(ISNUMBER(SEARCH(SUBSTITUTE(AK$1,RIGHT(AK$1,2),""),VLOOKUP($D26,素材!$1:$1016,COLUMN($F$1),FALSE))),VLOOKUP($C26,武器!$1:$998,COLUMN($O$1),FALSE)*VLOOKUP($D26,素材!$1:$1016,COLUMN($E$1),FALSE)/(LEN(VLOOKUP($D26,素材!$1:$1016,COLUMN($F$1),FALSE)) - LEN(SUBSTITUTE(VLOOKUP($D26,素材!$1:$1016,COLUMN($F$1),FALSE), "・", 0)) + 1), 0)</f>
        <v>0</v>
      </c>
      <c r="AL26">
        <f>IF(ISNUMBER(SEARCH(SUBSTITUTE(AL$1,RIGHT(AL$1,2),""),VLOOKUP($D26,素材!$1:$1016,COLUMN($F$1),FALSE))),VLOOKUP($C26,武器!$1:$998,COLUMN($O$1),FALSE)*VLOOKUP($D26,素材!$1:$1016,COLUMN($E$1),FALSE)/(LEN(VLOOKUP($D26,素材!$1:$1016,COLUMN($F$1),FALSE)) - LEN(SUBSTITUTE(VLOOKUP($D26,素材!$1:$1016,COLUMN($F$1),FALSE), "・", 0)) + 1), 0)</f>
        <v>0</v>
      </c>
      <c r="AM26">
        <f>IF(ISNUMBER(SEARCH(SUBSTITUTE(AM$1,RIGHT(AM$1,2),""),VLOOKUP($D26,素材!$1:$1016,COLUMN($F$1),FALSE))),VLOOKUP($C26,武器!$1:$998,COLUMN($O$1),FALSE)*VLOOKUP($D26,素材!$1:$1016,COLUMN($E$1),FALSE)/(LEN(VLOOKUP($D26,素材!$1:$1016,COLUMN($F$1),FALSE)) - LEN(SUBSTITUTE(VLOOKUP($D26,素材!$1:$1016,COLUMN($F$1),FALSE), "・", 0)) + 1), 0)</f>
        <v>0</v>
      </c>
      <c r="AN26">
        <f>IF(ISNUMBER(SEARCH(SUBSTITUTE(AN$1,RIGHT(AN$1,2),""),VLOOKUP($D26,素材!$1:$1016,COLUMN($F$1),FALSE))),VLOOKUP($C26,武器!$1:$998,COLUMN($O$1),FALSE)*VLOOKUP($D26,素材!$1:$1016,COLUMN($E$1),FALSE)/(LEN(VLOOKUP($D26,素材!$1:$1016,COLUMN($F$1),FALSE)) - LEN(SUBSTITUTE(VLOOKUP($D26,素材!$1:$1016,COLUMN($F$1),FALSE), "・", 0)) + 1), 0)</f>
        <v>0</v>
      </c>
      <c r="AO26">
        <f>IF(ISNUMBER(SEARCH(SUBSTITUTE(AO$1,RIGHT(AO$1,2),""),VLOOKUP($D26,素材!$1:$1016,COLUMN($F$1),FALSE))),VLOOKUP($C26,武器!$1:$998,COLUMN($O$1),FALSE)*VLOOKUP($D26,素材!$1:$1016,COLUMN($E$1),FALSE)/(LEN(VLOOKUP($D26,素材!$1:$1016,COLUMN($F$1),FALSE)) - LEN(SUBSTITUTE(VLOOKUP($D26,素材!$1:$1016,COLUMN($F$1),FALSE), "・", 0)) + 1), 0)</f>
        <v>0</v>
      </c>
      <c r="AP26">
        <f>IF(ISNUMBER(SEARCH(SUBSTITUTE(AP$1,RIGHT(AP$1,2),""),VLOOKUP($D26,素材!$1:$1016,COLUMN($F$1),FALSE))),VLOOKUP($C26,武器!$1:$998,COLUMN($O$1),FALSE)*VLOOKUP($D26,素材!$1:$1016,COLUMN($E$1),FALSE)/(LEN(VLOOKUP($D26,素材!$1:$1016,COLUMN($F$1),FALSE)) - LEN(SUBSTITUTE(VLOOKUP($D26,素材!$1:$1016,COLUMN($F$1),FALSE), "・", 0)) + 1), 0)</f>
        <v>0</v>
      </c>
      <c r="AQ26">
        <f>IF(ISNUMBER(SEARCH(SUBSTITUTE(AQ$1,RIGHT(AQ$1,2),""),VLOOKUP($D26,素材!$1:$1016,COLUMN($F$1),FALSE))),VLOOKUP($C26,武器!$1:$998,COLUMN($O$1),FALSE)*VLOOKUP($D26,素材!$1:$1016,COLUMN($E$1),FALSE)/(LEN(VLOOKUP($D26,素材!$1:$1016,COLUMN($F$1),FALSE)) - LEN(SUBSTITUTE(VLOOKUP($D26,素材!$1:$1016,COLUMN($F$1),FALSE), "・", 0)) + 1), 0)</f>
        <v>0</v>
      </c>
      <c r="AR26">
        <f>IF(ISNUMBER(SEARCH(SUBSTITUTE(AR$1,RIGHT(AR$1,2),""),VLOOKUP($D26,素材!$1:$1016,COLUMN($F$1),FALSE))),VLOOKUP($C26,武器!$1:$998,COLUMN($O$1),FALSE)*VLOOKUP($D26,素材!$1:$1016,COLUMN($E$1),FALSE)/(LEN(VLOOKUP($D26,素材!$1:$1016,COLUMN($F$1),FALSE)) - LEN(SUBSTITUTE(VLOOKUP($D26,素材!$1:$1016,COLUMN($F$1),FALSE), "・", 0)) + 1), 0)</f>
        <v>0</v>
      </c>
      <c r="AS26">
        <f>IF(ISNUMBER(SEARCH(SUBSTITUTE(AS$1,RIGHT(AS$1,2),""),VLOOKUP($D26,素材!$1:$1016,COLUMN($F$1),FALSE))),VLOOKUP($C26,武器!$1:$998,COLUMN($O$1),FALSE)*VLOOKUP($D26,素材!$1:$1016,COLUMN($E$1),FALSE)/(LEN(VLOOKUP($D26,素材!$1:$1016,COLUMN($F$1),FALSE)) - LEN(SUBSTITUTE(VLOOKUP($D26,素材!$1:$1016,COLUMN($F$1),FALSE), "・", 0)) + 1), 0)</f>
        <v>0</v>
      </c>
      <c r="AT26">
        <f>IF(ISNUMBER(SEARCH(SUBSTITUTE(AT$1,RIGHT(AT$1,2),""),VLOOKUP($D26,素材!$1:$1016,COLUMN($F$1),FALSE))),VLOOKUP($C26,武器!$1:$998,COLUMN($O$1),FALSE)*VLOOKUP($D26,素材!$1:$1016,COLUMN($E$1),FALSE)/(LEN(VLOOKUP($D26,素材!$1:$1016,COLUMN($F$1),FALSE)) - LEN(SUBSTITUTE(VLOOKUP($D26,素材!$1:$1016,COLUMN($F$1),FALSE), "・", 0)) + 1), 0)</f>
        <v>0</v>
      </c>
      <c r="AU26">
        <f>IF(ISNUMBER(SEARCH(SUBSTITUTE(AU$1,RIGHT(AU$1,2),""),VLOOKUP($D26,素材!$1:$1016,COLUMN($F$1),FALSE))),VLOOKUP($C26,武器!$1:$998,COLUMN($O$1),FALSE)*VLOOKUP($D26,素材!$1:$1016,COLUMN($E$1),FALSE)/(LEN(VLOOKUP($D26,素材!$1:$1016,COLUMN($F$1),FALSE)) - LEN(SUBSTITUTE(VLOOKUP($D26,素材!$1:$1016,COLUMN($F$1),FALSE), "・", 0)) + 1), 0)</f>
        <v>0</v>
      </c>
      <c r="AV26">
        <f>IF(ISNUMBER(SEARCH(SUBSTITUTE(AV$1,RIGHT(AV$1,2),""),VLOOKUP($D26,素材!$1:$1016,COLUMN($F$1),FALSE))),VLOOKUP($C26,武器!$1:$998,COLUMN($O$1),FALSE)*VLOOKUP($D26,素材!$1:$1016,COLUMN($E$1),FALSE)/(LEN(VLOOKUP($D26,素材!$1:$1016,COLUMN($F$1),FALSE)) - LEN(SUBSTITUTE(VLOOKUP($D26,素材!$1:$1016,COLUMN($F$1),FALSE), "・", 0)) + 1), 0)</f>
        <v>0</v>
      </c>
      <c r="AW26">
        <f>IF(ISNUMBER(SEARCH(SUBSTITUTE(AW$1,RIGHT(AW$1,2),""),VLOOKUP($D26,素材!$1:$1016,COLUMN($F$1),FALSE))),VLOOKUP($C26,武器!$1:$998,COLUMN($O$1),FALSE)*VLOOKUP($D26,素材!$1:$1016,COLUMN($E$1),FALSE)/(LEN(VLOOKUP($D26,素材!$1:$1016,COLUMN($F$1),FALSE)) - LEN(SUBSTITUTE(VLOOKUP($D26,素材!$1:$1016,COLUMN($F$1),FALSE), "・", 0)) + 1), 0)</f>
        <v>0</v>
      </c>
      <c r="AX26">
        <f>IF(ISNUMBER(SEARCH(SUBSTITUTE(AX$1,RIGHT(AX$1,2),""),VLOOKUP($D26,素材!$1:$1016,COLUMN($F$1),FALSE))),VLOOKUP($C26,武器!$1:$998,COLUMN($O$1),FALSE)*VLOOKUP($D26,素材!$1:$1016,COLUMN($E$1),FALSE)/(LEN(VLOOKUP($D26,素材!$1:$1016,COLUMN($F$1),FALSE)) - LEN(SUBSTITUTE(VLOOKUP($D26,素材!$1:$1016,COLUMN($F$1),FALSE), "・", 0)) + 1), 0)</f>
        <v>0</v>
      </c>
      <c r="AY26">
        <f>IF(ISNUMBER(SEARCH(SUBSTITUTE(AY$1,RIGHT(AY$1,2),""),VLOOKUP($D26,素材!$1:$1016,COLUMN($F$1),FALSE))),VLOOKUP($C26,武器!$1:$998,COLUMN($O$1),FALSE)*VLOOKUP($D26,素材!$1:$1016,COLUMN($E$1),FALSE)/(LEN(VLOOKUP($D26,素材!$1:$1016,COLUMN($F$1),FALSE)) - LEN(SUBSTITUTE(VLOOKUP($D26,素材!$1:$1016,COLUMN($F$1),FALSE), "・", 0)) + 1), 0)</f>
        <v>0</v>
      </c>
      <c r="AZ26">
        <f>IF(ISNUMBER(SEARCH(SUBSTITUTE(AZ$1,RIGHT(AZ$1,2),""),VLOOKUP($D26,素材!$1:$1016,COLUMN($F$1),FALSE))),VLOOKUP($C26,武器!$1:$998,COLUMN($O$1),FALSE)*VLOOKUP($D26,素材!$1:$1016,COLUMN($E$1),FALSE)/(LEN(VLOOKUP($D26,素材!$1:$1016,COLUMN($F$1),FALSE)) - LEN(SUBSTITUTE(VLOOKUP($D26,素材!$1:$1016,COLUMN($F$1),FALSE), "・", 0)) + 1), 0)</f>
        <v>0</v>
      </c>
      <c r="BA26">
        <f>IF(ISNUMBER(SEARCH(SUBSTITUTE(BA$1,RIGHT(BA$1,2),""),VLOOKUP($D26,素材!$1:$1016,COLUMN($F$1),FALSE))),VLOOKUP($C26,武器!$1:$998,COLUMN($O$1),FALSE)*VLOOKUP($D26,素材!$1:$1016,COLUMN($E$1),FALSE)/(LEN(VLOOKUP($D26,素材!$1:$1016,COLUMN($F$1),FALSE)) - LEN(SUBSTITUTE(VLOOKUP($D26,素材!$1:$1016,COLUMN($F$1),FALSE), "・", 0)) + 1), 0)</f>
        <v>0</v>
      </c>
      <c r="BB26">
        <f>IF(ISNUMBER(SEARCH(SUBSTITUTE(BB$1,RIGHT(BB$1,2),""),VLOOKUP($D26,素材!$1:$1016,COLUMN($F$1),FALSE))),VLOOKUP($C26,武器!$1:$998,COLUMN($O$1),FALSE)*VLOOKUP($D26,素材!$1:$1016,COLUMN($E$1),FALSE)/(LEN(VLOOKUP($D26,素材!$1:$1016,COLUMN($F$1),FALSE)) - LEN(SUBSTITUTE(VLOOKUP($D26,素材!$1:$1016,COLUMN($F$1),FALSE), "・", 0)) + 1), 0)</f>
        <v>0</v>
      </c>
      <c r="BC26">
        <f>IF(ISNUMBER(SEARCH(SUBSTITUTE(BC$1,RIGHT(BC$1,2),""),VLOOKUP($D26,素材!$1:$1016,COLUMN($F$1),FALSE))),VLOOKUP($C26,武器!$1:$998,COLUMN($O$1),FALSE)*VLOOKUP($D26,素材!$1:$1016,COLUMN($E$1),FALSE)/(LEN(VLOOKUP($D26,素材!$1:$1016,COLUMN($F$1),FALSE)) - LEN(SUBSTITUTE(VLOOKUP($D26,素材!$1:$1016,COLUMN($F$1),FALSE), "・", 0)) + 1), 0)</f>
        <v>0</v>
      </c>
      <c r="BD26">
        <f>IF(ISNUMBER(SEARCH(SUBSTITUTE(BD$1,RIGHT(BD$1,2),""),VLOOKUP($D26,素材!$1:$1016,COLUMN($F$1),FALSE))),VLOOKUP($C26,武器!$1:$998,COLUMN($O$1),FALSE)*VLOOKUP($D26,素材!$1:$1016,COLUMN($E$1),FALSE)/(LEN(VLOOKUP($D26,素材!$1:$1016,COLUMN($F$1),FALSE)) - LEN(SUBSTITUTE(VLOOKUP($D26,素材!$1:$1016,COLUMN($F$1),FALSE), "・", 0)) + 1), 0)</f>
        <v>0</v>
      </c>
      <c r="BE26">
        <f>IF(ISNUMBER(SEARCH(SUBSTITUTE(BE$1,RIGHT(BE$1,2),""),VLOOKUP($D26,素材!$1:$1016,COLUMN($F$1),FALSE))),VLOOKUP($C26,武器!$1:$998,COLUMN($O$1),FALSE)*VLOOKUP($D26,素材!$1:$1016,COLUMN($E$1),FALSE)/(LEN(VLOOKUP($D26,素材!$1:$1016,COLUMN($F$1),FALSE)) - LEN(SUBSTITUTE(VLOOKUP($D26,素材!$1:$1016,COLUMN($F$1),FALSE), "・", 0)) + 1), 0)</f>
        <v>0</v>
      </c>
      <c r="CL26">
        <f>SUM(G26:I26)</f>
        <v>17</v>
      </c>
      <c r="CM26" s="22" t="str">
        <f>IF(E26="武器",IF(J26-1&gt;SUM(G26:I26),"盾",IF(MAX(G26:I26)=G26,"切断",IF(MAX(G26:I26)=H26,"貫通",IF(MAX(G26:I26)=I26,"打撃","射撃")))),E26)&amp;".webp"</f>
        <v>盾.webp</v>
      </c>
      <c r="CN26">
        <f>IFERROR(VLOOKUP($C26,武器!$1:$998,COLUMN(V$1),FALSE)*VLOOKUP($D26,素材!$1:$1016,COLUMN(N$1),FALSE)+IF(CI26="",0,VLOOKUP($CI26,装強!$1:$1008,COLUMN($CK$1),FALSE)),"")</f>
        <v>400</v>
      </c>
      <c r="CO26" t="str">
        <f>VLOOKUP(D26,素材!$A:$O,COLUMN(素材!O$1),FALSE)</f>
        <v>一般的な鉄。量産品を作るのに使用されることが多い</v>
      </c>
      <c r="CP26" t="str">
        <f>VLOOKUP(C26,武器!$A:$W,COLUMN(武器!W$1),FALSE)</f>
        <v>大盾。さらに大きな盾で、高い防御力を持つ。</v>
      </c>
      <c r="CR26" t="str">
        <f t="shared" si="1"/>
        <v>e_26</v>
      </c>
      <c r="CS26">
        <f t="shared" si="2"/>
        <v>40000</v>
      </c>
    </row>
    <row r="27" spans="1:97" outlineLevel="1" x14ac:dyDescent="0.4">
      <c r="A27" t="str">
        <f t="shared" si="0"/>
        <v>鉄の短弓</v>
      </c>
      <c r="B27" t="str">
        <f>IFERROR(VLOOKUP($D27,素材!$1:$1016,COLUMN($B$1),FALSE)&amp;"・"&amp;VLOOKUP($C27,武器!$1:$998,COLUMN(B$1),FALSE),"")</f>
        <v>アイアン・ボウ</v>
      </c>
      <c r="C27" t="s">
        <v>218</v>
      </c>
      <c r="D27" s="24" t="s">
        <v>257</v>
      </c>
      <c r="E27" t="str">
        <f>IFERROR(VLOOKUP(C27,武器!$1:$998,COLUMN(C$1),FALSE),"")</f>
        <v>武器</v>
      </c>
      <c r="F27">
        <f>IFERROR(ROUNDDOWN((VLOOKUP($C27,武器!$1:$998,COLUMN(D$1),FALSE)+IFERROR(VLOOKUP($CI27,装強!$1:$999,COLUMN(F$1),FALSE),0))*VLOOKUP($D27,素材!$1:$1016,COLUMN(D$1),FALSE),0),"")</f>
        <v>110</v>
      </c>
      <c r="G27">
        <f>IFERROR(ROUNDDOWN((VLOOKUP($C27,武器!$1:$998,COLUMN(E$1),FALSE)+IFERROR(VLOOKUP($CI27,装強!$1:$999,COLUMN(G$1),FALSE),0))*VLOOKUP($D27,素材!$1:$1016,COLUMN($E$1),FALSE),0),"")</f>
        <v>5</v>
      </c>
      <c r="H27">
        <f>IFERROR(ROUNDDOWN((VLOOKUP($C27,武器!$1:$998,COLUMN(F$1),FALSE)+IFERROR(VLOOKUP($CI27,装強!$1:$999,COLUMN(H$1),FALSE),0))*VLOOKUP($D27,素材!$1:$1016,COLUMN($E$1),FALSE),0),"")</f>
        <v>5</v>
      </c>
      <c r="I27">
        <f>IFERROR(ROUNDDOWN((VLOOKUP($C27,武器!$1:$998,COLUMN(G$1),FALSE)+IFERROR(VLOOKUP($CI27,装強!$1:$999,COLUMN(I$1),FALSE),0))*VLOOKUP($D27,素材!$1:$1016,COLUMN($E$1),FALSE),0),"")</f>
        <v>0</v>
      </c>
      <c r="J27">
        <f>IFERROR(ROUNDDOWN((VLOOKUP($C27,武器!$1:$998,COLUMN(H$1),FALSE)+IFERROR(VLOOKUP($CI27,装強!$1:$999,COLUMN(J$1),FALSE),0))*VLOOKUP($D27,素材!$1:$1016,COLUMN($E$1),FALSE),0),"")</f>
        <v>0</v>
      </c>
      <c r="K27">
        <f>IFERROR(ROUNDDOWN((VLOOKUP($C27,武器!$1:$998,COLUMN(I$1),FALSE)+IFERROR(VLOOKUP($CI27,装強!$1:$999,COLUMN(K$1),FALSE),0))*VLOOKUP($D27,素材!$1:$1016,COLUMN($E$1),FALSE),0),"")</f>
        <v>20</v>
      </c>
      <c r="L27">
        <f>IFERROR(VLOOKUP($D27,素材!$1:$1016,COLUMN($F$1),FALSE),"")</f>
        <v>0</v>
      </c>
      <c r="M27">
        <f>IFERROR(VLOOKUP($C27,武器!$1:$998,COLUMN(AA$1),FALSE)*VLOOKUP($D27,素材!$1:$1016,COLUMN($G$1),FALSE),"")</f>
        <v>0</v>
      </c>
      <c r="N27">
        <f>IFERROR(VLOOKUP($C27,武器!$1:$998,COLUMN(I$1),FALSE),"")</f>
        <v>1</v>
      </c>
      <c r="O27" s="23">
        <f>IFERROR((VLOOKUP($C27,武器!$1:$998,COLUMN(K$1),FALSE)+VLOOKUP($D27,素材!$1:$1016,COLUMN(H$1),FALSE))*100+IFERROR(VLOOKUP($CI27,装強!$1:$999,COLUMN(O$1),FALSE),0),"")</f>
        <v>10</v>
      </c>
      <c r="P27" s="23">
        <f>IFERROR((VLOOKUP($C27,武器!$1:$998,COLUMN(L$1),FALSE)+VLOOKUP($D27,素材!$1:$1016,COLUMN(I$1),FALSE))*100+IFERROR(VLOOKUP($CI27,装強!$1:$999,COLUMN(P$1),FALSE),0),"")</f>
        <v>130</v>
      </c>
      <c r="Q27">
        <f>IFERROR(ROUNDUP(VLOOKUP($C27,武器!$1:$998,COLUMN(M$1),FALSE)*(VLOOKUP($D27,素材!$1:$1002,COLUMN(D$1),FALSE)/100),1),"")</f>
        <v>-2.5</v>
      </c>
      <c r="R27">
        <f>IFERROR(ROUNDUP(VLOOKUP($C27,武器!$1:$998,COLUMN(N$1),FALSE)*(VLOOKUP($D27,素材!$1:$1002,COLUMN(D$1),FALSE)/100),1),"")</f>
        <v>0</v>
      </c>
      <c r="S27">
        <f>IFERROR(VLOOKUP($C27,武器!$1:$998,COLUMN(P$1),FALSE),"")</f>
        <v>2</v>
      </c>
      <c r="T27">
        <f>IFERROR(VLOOKUP($C27,武器!$1:$998,COLUMN(Q$1),FALSE),"")</f>
        <v>0</v>
      </c>
      <c r="U27">
        <f>IFERROR(VLOOKUP($C27,武器!$1:$998,COLUMN(R$1),FALSE),"")</f>
        <v>0</v>
      </c>
      <c r="V27">
        <f>IFERROR(VLOOKUP($C27,武器!$1:$998,COLUMN(Q$1),FALSE),"")</f>
        <v>0</v>
      </c>
      <c r="W27" t="str">
        <f>IFERROR(VLOOKUP($C27,武器!$1:$998,COLUMN(T$1),FALSE),"")</f>
        <v>A</v>
      </c>
      <c r="Y27">
        <f>IFERROR(VLOOKUP($C27,武器!$1:$998,COLUMN(U$1),FALSE),"")</f>
        <v>0</v>
      </c>
      <c r="Z27">
        <f>IFERROR(ROUNDUP(VLOOKUP($C27,武器!$1:$998,COLUMN(O$1),FALSE)*VLOOKUP($D27,素材!$1:$1016,COLUMN(E$1),FALSE),1),"")</f>
        <v>0</v>
      </c>
      <c r="AA27">
        <f>IF(ISNUMBER(SEARCH(SUBSTITUTE(AA$1,RIGHT(AA$1,2),""),VLOOKUP($D27,素材!$1:$1016,COLUMN($F$1),FALSE))),VLOOKUP($C27,武器!$1:$998,COLUMN($O$1),FALSE)*VLOOKUP($D27,素材!$1:$1016,COLUMN($E$1),FALSE)/(LEN(VLOOKUP($D27,素材!$1:$1016,COLUMN($F$1),FALSE)) - LEN(SUBSTITUTE(VLOOKUP($D27,素材!$1:$1016,COLUMN($F$1),FALSE), "・", 0)) + 1), 0)</f>
        <v>0</v>
      </c>
      <c r="AB27">
        <f>IF(ISNUMBER(SEARCH(SUBSTITUTE(AB$1,RIGHT(AB$1,2),""),VLOOKUP($D27,素材!$1:$1016,COLUMN($F$1),FALSE))),VLOOKUP($C27,武器!$1:$998,COLUMN($O$1),FALSE)*VLOOKUP($D27,素材!$1:$1016,COLUMN($E$1),FALSE)/(LEN(VLOOKUP($D27,素材!$1:$1016,COLUMN($F$1),FALSE)) - LEN(SUBSTITUTE(VLOOKUP($D27,素材!$1:$1016,COLUMN($F$1),FALSE), "・", 0)) + 1), 0)</f>
        <v>0</v>
      </c>
      <c r="AC27">
        <f>IF(ISNUMBER(SEARCH(SUBSTITUTE(AC$1,RIGHT(AC$1,2),""),VLOOKUP($D27,素材!$1:$1016,COLUMN($F$1),FALSE))),VLOOKUP($C27,武器!$1:$998,COLUMN($O$1),FALSE)*VLOOKUP($D27,素材!$1:$1016,COLUMN($E$1),FALSE)/(LEN(VLOOKUP($D27,素材!$1:$1016,COLUMN($F$1),FALSE)) - LEN(SUBSTITUTE(VLOOKUP($D27,素材!$1:$1016,COLUMN($F$1),FALSE), "・", 0)) + 1), 0)</f>
        <v>0</v>
      </c>
      <c r="AD27">
        <f>IF(ISNUMBER(SEARCH(SUBSTITUTE(AD$1,RIGHT(AD$1,2),""),VLOOKUP($D27,素材!$1:$1016,COLUMN($F$1),FALSE))),VLOOKUP($C27,武器!$1:$998,COLUMN($O$1),FALSE)*VLOOKUP($D27,素材!$1:$1016,COLUMN($E$1),FALSE)/(LEN(VLOOKUP($D27,素材!$1:$1016,COLUMN($F$1),FALSE)) - LEN(SUBSTITUTE(VLOOKUP($D27,素材!$1:$1016,COLUMN($F$1),FALSE), "・", 0)) + 1), 0)</f>
        <v>0</v>
      </c>
      <c r="AE27">
        <f>IF(ISNUMBER(SEARCH(SUBSTITUTE(AE$1,RIGHT(AE$1,2),""),VLOOKUP($D27,素材!$1:$1016,COLUMN($F$1),FALSE))),VLOOKUP($C27,武器!$1:$998,COLUMN($O$1),FALSE)*VLOOKUP($D27,素材!$1:$1016,COLUMN($E$1),FALSE)/(LEN(VLOOKUP($D27,素材!$1:$1016,COLUMN($F$1),FALSE)) - LEN(SUBSTITUTE(VLOOKUP($D27,素材!$1:$1016,COLUMN($F$1),FALSE), "・", 0)) + 1), 0)</f>
        <v>0</v>
      </c>
      <c r="AF27">
        <f>IF(ISNUMBER(SEARCH(SUBSTITUTE(AF$1,RIGHT(AF$1,2),""),VLOOKUP($D27,素材!$1:$1016,COLUMN($F$1),FALSE))),VLOOKUP($C27,武器!$1:$998,COLUMN($O$1),FALSE)*VLOOKUP($D27,素材!$1:$1016,COLUMN($E$1),FALSE)/(LEN(VLOOKUP($D27,素材!$1:$1016,COLUMN($F$1),FALSE)) - LEN(SUBSTITUTE(VLOOKUP($D27,素材!$1:$1016,COLUMN($F$1),FALSE), "・", 0)) + 1), 0)</f>
        <v>0</v>
      </c>
      <c r="AG27">
        <f>IF(ISNUMBER(SEARCH(SUBSTITUTE(AG$1,RIGHT(AG$1,2),""),VLOOKUP($D27,素材!$1:$1016,COLUMN($F$1),FALSE))),VLOOKUP($C27,武器!$1:$998,COLUMN($O$1),FALSE)*VLOOKUP($D27,素材!$1:$1016,COLUMN($E$1),FALSE)/(LEN(VLOOKUP($D27,素材!$1:$1016,COLUMN($F$1),FALSE)) - LEN(SUBSTITUTE(VLOOKUP($D27,素材!$1:$1016,COLUMN($F$1),FALSE), "・", 0)) + 1), 0)</f>
        <v>0</v>
      </c>
      <c r="AH27">
        <f>IF(ISNUMBER(SEARCH(SUBSTITUTE(AH$1,RIGHT(AH$1,2),""),VLOOKUP($D27,素材!$1:$1016,COLUMN($F$1),FALSE))),VLOOKUP($C27,武器!$1:$998,COLUMN($O$1),FALSE)*VLOOKUP($D27,素材!$1:$1016,COLUMN($E$1),FALSE)/(LEN(VLOOKUP($D27,素材!$1:$1016,COLUMN($F$1),FALSE)) - LEN(SUBSTITUTE(VLOOKUP($D27,素材!$1:$1016,COLUMN($F$1),FALSE), "・", 0)) + 1), 0)</f>
        <v>0</v>
      </c>
      <c r="AI27">
        <f>IF(ISNUMBER(SEARCH(SUBSTITUTE(AI$1,RIGHT(AI$1,2),""),VLOOKUP($D27,素材!$1:$1016,COLUMN($F$1),FALSE))),VLOOKUP($C27,武器!$1:$998,COLUMN($O$1),FALSE)*VLOOKUP($D27,素材!$1:$1016,COLUMN($E$1),FALSE)/(LEN(VLOOKUP($D27,素材!$1:$1016,COLUMN($F$1),FALSE)) - LEN(SUBSTITUTE(VLOOKUP($D27,素材!$1:$1016,COLUMN($F$1),FALSE), "・", 0)) + 1), 0)</f>
        <v>0</v>
      </c>
      <c r="AJ27">
        <f>IF(ISNUMBER(SEARCH(SUBSTITUTE(AJ$1,RIGHT(AJ$1,2),""),VLOOKUP($D27,素材!$1:$1016,COLUMN($F$1),FALSE))),VLOOKUP($C27,武器!$1:$998,COLUMN($O$1),FALSE)*VLOOKUP($D27,素材!$1:$1016,COLUMN($E$1),FALSE)/(LEN(VLOOKUP($D27,素材!$1:$1016,COLUMN($F$1),FALSE)) - LEN(SUBSTITUTE(VLOOKUP($D27,素材!$1:$1016,COLUMN($F$1),FALSE), "・", 0)) + 1), 0)</f>
        <v>0</v>
      </c>
      <c r="AK27">
        <f>IF(ISNUMBER(SEARCH(SUBSTITUTE(AK$1,RIGHT(AK$1,2),""),VLOOKUP($D27,素材!$1:$1016,COLUMN($F$1),FALSE))),VLOOKUP($C27,武器!$1:$998,COLUMN($O$1),FALSE)*VLOOKUP($D27,素材!$1:$1016,COLUMN($E$1),FALSE)/(LEN(VLOOKUP($D27,素材!$1:$1016,COLUMN($F$1),FALSE)) - LEN(SUBSTITUTE(VLOOKUP($D27,素材!$1:$1016,COLUMN($F$1),FALSE), "・", 0)) + 1), 0)</f>
        <v>0</v>
      </c>
      <c r="AL27">
        <f>IF(ISNUMBER(SEARCH(SUBSTITUTE(AL$1,RIGHT(AL$1,2),""),VLOOKUP($D27,素材!$1:$1016,COLUMN($F$1),FALSE))),VLOOKUP($C27,武器!$1:$998,COLUMN($O$1),FALSE)*VLOOKUP($D27,素材!$1:$1016,COLUMN($E$1),FALSE)/(LEN(VLOOKUP($D27,素材!$1:$1016,COLUMN($F$1),FALSE)) - LEN(SUBSTITUTE(VLOOKUP($D27,素材!$1:$1016,COLUMN($F$1),FALSE), "・", 0)) + 1), 0)</f>
        <v>0</v>
      </c>
      <c r="AM27">
        <f>IF(ISNUMBER(SEARCH(SUBSTITUTE(AM$1,RIGHT(AM$1,2),""),VLOOKUP($D27,素材!$1:$1016,COLUMN($F$1),FALSE))),VLOOKUP($C27,武器!$1:$998,COLUMN($O$1),FALSE)*VLOOKUP($D27,素材!$1:$1016,COLUMN($E$1),FALSE)/(LEN(VLOOKUP($D27,素材!$1:$1016,COLUMN($F$1),FALSE)) - LEN(SUBSTITUTE(VLOOKUP($D27,素材!$1:$1016,COLUMN($F$1),FALSE), "・", 0)) + 1), 0)</f>
        <v>0</v>
      </c>
      <c r="AN27">
        <f>IF(ISNUMBER(SEARCH(SUBSTITUTE(AN$1,RIGHT(AN$1,2),""),VLOOKUP($D27,素材!$1:$1016,COLUMN($F$1),FALSE))),VLOOKUP($C27,武器!$1:$998,COLUMN($O$1),FALSE)*VLOOKUP($D27,素材!$1:$1016,COLUMN($E$1),FALSE)/(LEN(VLOOKUP($D27,素材!$1:$1016,COLUMN($F$1),FALSE)) - LEN(SUBSTITUTE(VLOOKUP($D27,素材!$1:$1016,COLUMN($F$1),FALSE), "・", 0)) + 1), 0)</f>
        <v>0</v>
      </c>
      <c r="AO27">
        <f>IF(ISNUMBER(SEARCH(SUBSTITUTE(AO$1,RIGHT(AO$1,2),""),VLOOKUP($D27,素材!$1:$1016,COLUMN($F$1),FALSE))),VLOOKUP($C27,武器!$1:$998,COLUMN($O$1),FALSE)*VLOOKUP($D27,素材!$1:$1016,COLUMN($E$1),FALSE)/(LEN(VLOOKUP($D27,素材!$1:$1016,COLUMN($F$1),FALSE)) - LEN(SUBSTITUTE(VLOOKUP($D27,素材!$1:$1016,COLUMN($F$1),FALSE), "・", 0)) + 1), 0)</f>
        <v>0</v>
      </c>
      <c r="AP27">
        <f>IF(ISNUMBER(SEARCH(SUBSTITUTE(AP$1,RIGHT(AP$1,2),""),VLOOKUP($D27,素材!$1:$1016,COLUMN($F$1),FALSE))),VLOOKUP($C27,武器!$1:$998,COLUMN($O$1),FALSE)*VLOOKUP($D27,素材!$1:$1016,COLUMN($E$1),FALSE)/(LEN(VLOOKUP($D27,素材!$1:$1016,COLUMN($F$1),FALSE)) - LEN(SUBSTITUTE(VLOOKUP($D27,素材!$1:$1016,COLUMN($F$1),FALSE), "・", 0)) + 1), 0)</f>
        <v>0</v>
      </c>
      <c r="AQ27">
        <f>IF(ISNUMBER(SEARCH(SUBSTITUTE(AQ$1,RIGHT(AQ$1,2),""),VLOOKUP($D27,素材!$1:$1016,COLUMN($F$1),FALSE))),VLOOKUP($C27,武器!$1:$998,COLUMN($O$1),FALSE)*VLOOKUP($D27,素材!$1:$1016,COLUMN($E$1),FALSE)/(LEN(VLOOKUP($D27,素材!$1:$1016,COLUMN($F$1),FALSE)) - LEN(SUBSTITUTE(VLOOKUP($D27,素材!$1:$1016,COLUMN($F$1),FALSE), "・", 0)) + 1), 0)</f>
        <v>0</v>
      </c>
      <c r="AR27">
        <f>IF(ISNUMBER(SEARCH(SUBSTITUTE(AR$1,RIGHT(AR$1,2),""),VLOOKUP($D27,素材!$1:$1016,COLUMN($F$1),FALSE))),VLOOKUP($C27,武器!$1:$998,COLUMN($O$1),FALSE)*VLOOKUP($D27,素材!$1:$1016,COLUMN($E$1),FALSE)/(LEN(VLOOKUP($D27,素材!$1:$1016,COLUMN($F$1),FALSE)) - LEN(SUBSTITUTE(VLOOKUP($D27,素材!$1:$1016,COLUMN($F$1),FALSE), "・", 0)) + 1), 0)</f>
        <v>0</v>
      </c>
      <c r="AS27">
        <f>IF(ISNUMBER(SEARCH(SUBSTITUTE(AS$1,RIGHT(AS$1,2),""),VLOOKUP($D27,素材!$1:$1016,COLUMN($F$1),FALSE))),VLOOKUP($C27,武器!$1:$998,COLUMN($O$1),FALSE)*VLOOKUP($D27,素材!$1:$1016,COLUMN($E$1),FALSE)/(LEN(VLOOKUP($D27,素材!$1:$1016,COLUMN($F$1),FALSE)) - LEN(SUBSTITUTE(VLOOKUP($D27,素材!$1:$1016,COLUMN($F$1),FALSE), "・", 0)) + 1), 0)</f>
        <v>0</v>
      </c>
      <c r="AT27">
        <f>IF(ISNUMBER(SEARCH(SUBSTITUTE(AT$1,RIGHT(AT$1,2),""),VLOOKUP($D27,素材!$1:$1016,COLUMN($F$1),FALSE))),VLOOKUP($C27,武器!$1:$998,COLUMN($O$1),FALSE)*VLOOKUP($D27,素材!$1:$1016,COLUMN($E$1),FALSE)/(LEN(VLOOKUP($D27,素材!$1:$1016,COLUMN($F$1),FALSE)) - LEN(SUBSTITUTE(VLOOKUP($D27,素材!$1:$1016,COLUMN($F$1),FALSE), "・", 0)) + 1), 0)</f>
        <v>0</v>
      </c>
      <c r="AU27">
        <f>IF(ISNUMBER(SEARCH(SUBSTITUTE(AU$1,RIGHT(AU$1,2),""),VLOOKUP($D27,素材!$1:$1016,COLUMN($F$1),FALSE))),VLOOKUP($C27,武器!$1:$998,COLUMN($O$1),FALSE)*VLOOKUP($D27,素材!$1:$1016,COLUMN($E$1),FALSE)/(LEN(VLOOKUP($D27,素材!$1:$1016,COLUMN($F$1),FALSE)) - LEN(SUBSTITUTE(VLOOKUP($D27,素材!$1:$1016,COLUMN($F$1),FALSE), "・", 0)) + 1), 0)</f>
        <v>0</v>
      </c>
      <c r="AV27">
        <f>IF(ISNUMBER(SEARCH(SUBSTITUTE(AV$1,RIGHT(AV$1,2),""),VLOOKUP($D27,素材!$1:$1016,COLUMN($F$1),FALSE))),VLOOKUP($C27,武器!$1:$998,COLUMN($O$1),FALSE)*VLOOKUP($D27,素材!$1:$1016,COLUMN($E$1),FALSE)/(LEN(VLOOKUP($D27,素材!$1:$1016,COLUMN($F$1),FALSE)) - LEN(SUBSTITUTE(VLOOKUP($D27,素材!$1:$1016,COLUMN($F$1),FALSE), "・", 0)) + 1), 0)</f>
        <v>0</v>
      </c>
      <c r="AW27">
        <f>IF(ISNUMBER(SEARCH(SUBSTITUTE(AW$1,RIGHT(AW$1,2),""),VLOOKUP($D27,素材!$1:$1016,COLUMN($F$1),FALSE))),VLOOKUP($C27,武器!$1:$998,COLUMN($O$1),FALSE)*VLOOKUP($D27,素材!$1:$1016,COLUMN($E$1),FALSE)/(LEN(VLOOKUP($D27,素材!$1:$1016,COLUMN($F$1),FALSE)) - LEN(SUBSTITUTE(VLOOKUP($D27,素材!$1:$1016,COLUMN($F$1),FALSE), "・", 0)) + 1), 0)</f>
        <v>0</v>
      </c>
      <c r="AX27">
        <f>IF(ISNUMBER(SEARCH(SUBSTITUTE(AX$1,RIGHT(AX$1,2),""),VLOOKUP($D27,素材!$1:$1016,COLUMN($F$1),FALSE))),VLOOKUP($C27,武器!$1:$998,COLUMN($O$1),FALSE)*VLOOKUP($D27,素材!$1:$1016,COLUMN($E$1),FALSE)/(LEN(VLOOKUP($D27,素材!$1:$1016,COLUMN($F$1),FALSE)) - LEN(SUBSTITUTE(VLOOKUP($D27,素材!$1:$1016,COLUMN($F$1),FALSE), "・", 0)) + 1), 0)</f>
        <v>0</v>
      </c>
      <c r="AY27">
        <f>IF(ISNUMBER(SEARCH(SUBSTITUTE(AY$1,RIGHT(AY$1,2),""),VLOOKUP($D27,素材!$1:$1016,COLUMN($F$1),FALSE))),VLOOKUP($C27,武器!$1:$998,COLUMN($O$1),FALSE)*VLOOKUP($D27,素材!$1:$1016,COLUMN($E$1),FALSE)/(LEN(VLOOKUP($D27,素材!$1:$1016,COLUMN($F$1),FALSE)) - LEN(SUBSTITUTE(VLOOKUP($D27,素材!$1:$1016,COLUMN($F$1),FALSE), "・", 0)) + 1), 0)</f>
        <v>0</v>
      </c>
      <c r="AZ27">
        <f>IF(ISNUMBER(SEARCH(SUBSTITUTE(AZ$1,RIGHT(AZ$1,2),""),VLOOKUP($D27,素材!$1:$1016,COLUMN($F$1),FALSE))),VLOOKUP($C27,武器!$1:$998,COLUMN($O$1),FALSE)*VLOOKUP($D27,素材!$1:$1016,COLUMN($E$1),FALSE)/(LEN(VLOOKUP($D27,素材!$1:$1016,COLUMN($F$1),FALSE)) - LEN(SUBSTITUTE(VLOOKUP($D27,素材!$1:$1016,COLUMN($F$1),FALSE), "・", 0)) + 1), 0)</f>
        <v>0</v>
      </c>
      <c r="BA27">
        <f>IF(ISNUMBER(SEARCH(SUBSTITUTE(BA$1,RIGHT(BA$1,2),""),VLOOKUP($D27,素材!$1:$1016,COLUMN($F$1),FALSE))),VLOOKUP($C27,武器!$1:$998,COLUMN($O$1),FALSE)*VLOOKUP($D27,素材!$1:$1016,COLUMN($E$1),FALSE)/(LEN(VLOOKUP($D27,素材!$1:$1016,COLUMN($F$1),FALSE)) - LEN(SUBSTITUTE(VLOOKUP($D27,素材!$1:$1016,COLUMN($F$1),FALSE), "・", 0)) + 1), 0)</f>
        <v>0</v>
      </c>
      <c r="BB27">
        <f>IF(ISNUMBER(SEARCH(SUBSTITUTE(BB$1,RIGHT(BB$1,2),""),VLOOKUP($D27,素材!$1:$1016,COLUMN($F$1),FALSE))),VLOOKUP($C27,武器!$1:$998,COLUMN($O$1),FALSE)*VLOOKUP($D27,素材!$1:$1016,COLUMN($E$1),FALSE)/(LEN(VLOOKUP($D27,素材!$1:$1016,COLUMN($F$1),FALSE)) - LEN(SUBSTITUTE(VLOOKUP($D27,素材!$1:$1016,COLUMN($F$1),FALSE), "・", 0)) + 1), 0)</f>
        <v>0</v>
      </c>
      <c r="BC27">
        <f>IF(ISNUMBER(SEARCH(SUBSTITUTE(BC$1,RIGHT(BC$1,2),""),VLOOKUP($D27,素材!$1:$1016,COLUMN($F$1),FALSE))),VLOOKUP($C27,武器!$1:$998,COLUMN($O$1),FALSE)*VLOOKUP($D27,素材!$1:$1016,COLUMN($E$1),FALSE)/(LEN(VLOOKUP($D27,素材!$1:$1016,COLUMN($F$1),FALSE)) - LEN(SUBSTITUTE(VLOOKUP($D27,素材!$1:$1016,COLUMN($F$1),FALSE), "・", 0)) + 1), 0)</f>
        <v>0</v>
      </c>
      <c r="BD27">
        <f>IF(ISNUMBER(SEARCH(SUBSTITUTE(BD$1,RIGHT(BD$1,2),""),VLOOKUP($D27,素材!$1:$1016,COLUMN($F$1),FALSE))),VLOOKUP($C27,武器!$1:$998,COLUMN($O$1),FALSE)*VLOOKUP($D27,素材!$1:$1016,COLUMN($E$1),FALSE)/(LEN(VLOOKUP($D27,素材!$1:$1016,COLUMN($F$1),FALSE)) - LEN(SUBSTITUTE(VLOOKUP($D27,素材!$1:$1016,COLUMN($F$1),FALSE), "・", 0)) + 1), 0)</f>
        <v>0</v>
      </c>
      <c r="BE27">
        <f>IF(ISNUMBER(SEARCH(SUBSTITUTE(BE$1,RIGHT(BE$1,2),""),VLOOKUP($D27,素材!$1:$1016,COLUMN($F$1),FALSE))),VLOOKUP($C27,武器!$1:$998,COLUMN($O$1),FALSE)*VLOOKUP($D27,素材!$1:$1016,COLUMN($E$1),FALSE)/(LEN(VLOOKUP($D27,素材!$1:$1016,COLUMN($F$1),FALSE)) - LEN(SUBSTITUTE(VLOOKUP($D27,素材!$1:$1016,COLUMN($F$1),FALSE), "・", 0)) + 1), 0)</f>
        <v>0</v>
      </c>
      <c r="CL27">
        <f>SUM(G27:I27)</f>
        <v>10</v>
      </c>
      <c r="CM27" s="22" t="str">
        <f>IF(E27="武器",IF(J27-1&gt;SUM(G27:I27),"盾",IF(MAX(G27:I27)=G27,"切断",IF(MAX(G27:I27)=H27,"貫通",IF(MAX(G27:I27)=I27,"打撃","射撃")))),E27)&amp;".webp"</f>
        <v>切断.webp</v>
      </c>
      <c r="CN27">
        <f>IFERROR(VLOOKUP($C27,武器!$1:$998,COLUMN(V$1),FALSE)*VLOOKUP($D27,素材!$1:$1016,COLUMN(N$1),FALSE)+IF(CI27="",0,VLOOKUP($CI27,装強!$1:$1008,COLUMN($CK$1),FALSE)),"")</f>
        <v>300</v>
      </c>
      <c r="CO27" t="str">
        <f>VLOOKUP(D27,素材!$A:$O,COLUMN(素材!O$1),FALSE)</f>
        <v>一般的な鉄。量産品を作るのに使用されることが多い</v>
      </c>
      <c r="CP27" t="str">
        <f>VLOOKUP(C27,武器!$A:$W,COLUMN(武器!W$1),FALSE)</f>
        <v>短弓。軽量で扱いやすい遠距離武器。</v>
      </c>
      <c r="CR27" t="str">
        <f t="shared" si="1"/>
        <v>e_27</v>
      </c>
      <c r="CS27">
        <f t="shared" si="2"/>
        <v>30000</v>
      </c>
    </row>
    <row r="28" spans="1:97" outlineLevel="1" x14ac:dyDescent="0.4">
      <c r="A28" t="str">
        <f t="shared" si="0"/>
        <v>鉄の長弓</v>
      </c>
      <c r="B28" t="str">
        <f>IFERROR(VLOOKUP($D28,素材!$1:$1016,COLUMN($B$1),FALSE)&amp;"・"&amp;VLOOKUP($C28,武器!$1:$998,COLUMN(B$1),FALSE),"")</f>
        <v>アイアン・ロングボウ</v>
      </c>
      <c r="C28" t="s">
        <v>217</v>
      </c>
      <c r="D28" s="24" t="s">
        <v>257</v>
      </c>
      <c r="E28" t="str">
        <f>IFERROR(VLOOKUP(C28,武器!$1:$998,COLUMN(C$1),FALSE),"")</f>
        <v>武器</v>
      </c>
      <c r="F28">
        <f>IFERROR(ROUNDDOWN((VLOOKUP($C28,武器!$1:$998,COLUMN(D$1),FALSE)+IFERROR(VLOOKUP($CI28,装強!$1:$999,COLUMN(F$1),FALSE),0))*VLOOKUP($D28,素材!$1:$1016,COLUMN(D$1),FALSE),0),"")</f>
        <v>120</v>
      </c>
      <c r="G28">
        <f>IFERROR(ROUNDDOWN((VLOOKUP($C28,武器!$1:$998,COLUMN(E$1),FALSE)+IFERROR(VLOOKUP($CI28,装強!$1:$999,COLUMN(G$1),FALSE),0))*VLOOKUP($D28,素材!$1:$1016,COLUMN($E$1),FALSE),0),"")</f>
        <v>5</v>
      </c>
      <c r="H28">
        <f>IFERROR(ROUNDDOWN((VLOOKUP($C28,武器!$1:$998,COLUMN(F$1),FALSE)+IFERROR(VLOOKUP($CI28,装強!$1:$999,COLUMN(H$1),FALSE),0))*VLOOKUP($D28,素材!$1:$1016,COLUMN($E$1),FALSE),0),"")</f>
        <v>5</v>
      </c>
      <c r="I28">
        <f>IFERROR(ROUNDDOWN((VLOOKUP($C28,武器!$1:$998,COLUMN(G$1),FALSE)+IFERROR(VLOOKUP($CI28,装強!$1:$999,COLUMN(I$1),FALSE),0))*VLOOKUP($D28,素材!$1:$1016,COLUMN($E$1),FALSE),0),"")</f>
        <v>0</v>
      </c>
      <c r="J28">
        <f>IFERROR(ROUNDDOWN((VLOOKUP($C28,武器!$1:$998,COLUMN(H$1),FALSE)+IFERROR(VLOOKUP($CI28,装強!$1:$999,COLUMN(J$1),FALSE),0))*VLOOKUP($D28,素材!$1:$1016,COLUMN($E$1),FALSE),0),"")</f>
        <v>0</v>
      </c>
      <c r="K28">
        <f>IFERROR(ROUNDDOWN((VLOOKUP($C28,武器!$1:$998,COLUMN(I$1),FALSE)+IFERROR(VLOOKUP($CI28,装強!$1:$999,COLUMN(K$1),FALSE),0))*VLOOKUP($D28,素材!$1:$1016,COLUMN($E$1),FALSE),0),"")</f>
        <v>23</v>
      </c>
      <c r="L28">
        <f>IFERROR(VLOOKUP($D28,素材!$1:$1016,COLUMN($F$1),FALSE),"")</f>
        <v>0</v>
      </c>
      <c r="M28">
        <f>IFERROR(VLOOKUP($C28,武器!$1:$998,COLUMN(AA$1),FALSE)*VLOOKUP($D28,素材!$1:$1016,COLUMN($G$1),FALSE),"")</f>
        <v>0</v>
      </c>
      <c r="N28">
        <f>IFERROR(VLOOKUP($C28,武器!$1:$998,COLUMN(I$1),FALSE),"")</f>
        <v>1.1499999999999999</v>
      </c>
      <c r="O28" s="23">
        <f>IFERROR((VLOOKUP($C28,武器!$1:$998,COLUMN(K$1),FALSE)+VLOOKUP($D28,素材!$1:$1016,COLUMN(H$1),FALSE))*100+IFERROR(VLOOKUP($CI28,装強!$1:$999,COLUMN(O$1),FALSE),0),"")</f>
        <v>10</v>
      </c>
      <c r="P28" s="23">
        <f>IFERROR((VLOOKUP($C28,武器!$1:$998,COLUMN(L$1),FALSE)+VLOOKUP($D28,素材!$1:$1016,COLUMN(I$1),FALSE))*100+IFERROR(VLOOKUP($CI28,装強!$1:$999,COLUMN(P$1),FALSE),0),"")</f>
        <v>130</v>
      </c>
      <c r="Q28">
        <f>IFERROR(ROUNDUP(VLOOKUP($C28,武器!$1:$998,COLUMN(M$1),FALSE)*(VLOOKUP($D28,素材!$1:$1002,COLUMN(D$1),FALSE)/100),1),"")</f>
        <v>-5</v>
      </c>
      <c r="R28">
        <f>IFERROR(ROUNDUP(VLOOKUP($C28,武器!$1:$998,COLUMN(N$1),FALSE)*(VLOOKUP($D28,素材!$1:$1002,COLUMN(D$1),FALSE)/100),1),"")</f>
        <v>-2.5</v>
      </c>
      <c r="S28">
        <f>IFERROR(VLOOKUP($C28,武器!$1:$998,COLUMN(P$1),FALSE),"")</f>
        <v>2</v>
      </c>
      <c r="T28">
        <f>IFERROR(VLOOKUP($C28,武器!$1:$998,COLUMN(Q$1),FALSE),"")</f>
        <v>0</v>
      </c>
      <c r="U28">
        <f>IFERROR(VLOOKUP($C28,武器!$1:$998,COLUMN(R$1),FALSE),"")</f>
        <v>0</v>
      </c>
      <c r="V28">
        <f>IFERROR(VLOOKUP($C28,武器!$1:$998,COLUMN(Q$1),FALSE),"")</f>
        <v>0</v>
      </c>
      <c r="W28" t="str">
        <f>IFERROR(VLOOKUP($C28,武器!$1:$998,COLUMN(T$1),FALSE),"")</f>
        <v>A</v>
      </c>
      <c r="Y28">
        <f>IFERROR(VLOOKUP($C28,武器!$1:$998,COLUMN(U$1),FALSE),"")</f>
        <v>0</v>
      </c>
      <c r="Z28">
        <f>IFERROR(ROUNDUP(VLOOKUP($C28,武器!$1:$998,COLUMN(O$1),FALSE)*VLOOKUP($D28,素材!$1:$1016,COLUMN(E$1),FALSE),1),"")</f>
        <v>0</v>
      </c>
      <c r="AA28">
        <f>IF(ISNUMBER(SEARCH(SUBSTITUTE(AA$1,RIGHT(AA$1,2),""),VLOOKUP($D28,素材!$1:$1016,COLUMN($F$1),FALSE))),VLOOKUP($C28,武器!$1:$998,COLUMN($O$1),FALSE)*VLOOKUP($D28,素材!$1:$1016,COLUMN($E$1),FALSE)/(LEN(VLOOKUP($D28,素材!$1:$1016,COLUMN($F$1),FALSE)) - LEN(SUBSTITUTE(VLOOKUP($D28,素材!$1:$1016,COLUMN($F$1),FALSE), "・", 0)) + 1), 0)</f>
        <v>0</v>
      </c>
      <c r="AB28">
        <f>IF(ISNUMBER(SEARCH(SUBSTITUTE(AB$1,RIGHT(AB$1,2),""),VLOOKUP($D28,素材!$1:$1016,COLUMN($F$1),FALSE))),VLOOKUP($C28,武器!$1:$998,COLUMN($O$1),FALSE)*VLOOKUP($D28,素材!$1:$1016,COLUMN($E$1),FALSE)/(LEN(VLOOKUP($D28,素材!$1:$1016,COLUMN($F$1),FALSE)) - LEN(SUBSTITUTE(VLOOKUP($D28,素材!$1:$1016,COLUMN($F$1),FALSE), "・", 0)) + 1), 0)</f>
        <v>0</v>
      </c>
      <c r="AC28">
        <f>IF(ISNUMBER(SEARCH(SUBSTITUTE(AC$1,RIGHT(AC$1,2),""),VLOOKUP($D28,素材!$1:$1016,COLUMN($F$1),FALSE))),VLOOKUP($C28,武器!$1:$998,COLUMN($O$1),FALSE)*VLOOKUP($D28,素材!$1:$1016,COLUMN($E$1),FALSE)/(LEN(VLOOKUP($D28,素材!$1:$1016,COLUMN($F$1),FALSE)) - LEN(SUBSTITUTE(VLOOKUP($D28,素材!$1:$1016,COLUMN($F$1),FALSE), "・", 0)) + 1), 0)</f>
        <v>0</v>
      </c>
      <c r="AD28">
        <f>IF(ISNUMBER(SEARCH(SUBSTITUTE(AD$1,RIGHT(AD$1,2),""),VLOOKUP($D28,素材!$1:$1016,COLUMN($F$1),FALSE))),VLOOKUP($C28,武器!$1:$998,COLUMN($O$1),FALSE)*VLOOKUP($D28,素材!$1:$1016,COLUMN($E$1),FALSE)/(LEN(VLOOKUP($D28,素材!$1:$1016,COLUMN($F$1),FALSE)) - LEN(SUBSTITUTE(VLOOKUP($D28,素材!$1:$1016,COLUMN($F$1),FALSE), "・", 0)) + 1), 0)</f>
        <v>0</v>
      </c>
      <c r="AE28">
        <f>IF(ISNUMBER(SEARCH(SUBSTITUTE(AE$1,RIGHT(AE$1,2),""),VLOOKUP($D28,素材!$1:$1016,COLUMN($F$1),FALSE))),VLOOKUP($C28,武器!$1:$998,COLUMN($O$1),FALSE)*VLOOKUP($D28,素材!$1:$1016,COLUMN($E$1),FALSE)/(LEN(VLOOKUP($D28,素材!$1:$1016,COLUMN($F$1),FALSE)) - LEN(SUBSTITUTE(VLOOKUP($D28,素材!$1:$1016,COLUMN($F$1),FALSE), "・", 0)) + 1), 0)</f>
        <v>0</v>
      </c>
      <c r="AF28">
        <f>IF(ISNUMBER(SEARCH(SUBSTITUTE(AF$1,RIGHT(AF$1,2),""),VLOOKUP($D28,素材!$1:$1016,COLUMN($F$1),FALSE))),VLOOKUP($C28,武器!$1:$998,COLUMN($O$1),FALSE)*VLOOKUP($D28,素材!$1:$1016,COLUMN($E$1),FALSE)/(LEN(VLOOKUP($D28,素材!$1:$1016,COLUMN($F$1),FALSE)) - LEN(SUBSTITUTE(VLOOKUP($D28,素材!$1:$1016,COLUMN($F$1),FALSE), "・", 0)) + 1), 0)</f>
        <v>0</v>
      </c>
      <c r="AG28">
        <f>IF(ISNUMBER(SEARCH(SUBSTITUTE(AG$1,RIGHT(AG$1,2),""),VLOOKUP($D28,素材!$1:$1016,COLUMN($F$1),FALSE))),VLOOKUP($C28,武器!$1:$998,COLUMN($O$1),FALSE)*VLOOKUP($D28,素材!$1:$1016,COLUMN($E$1),FALSE)/(LEN(VLOOKUP($D28,素材!$1:$1016,COLUMN($F$1),FALSE)) - LEN(SUBSTITUTE(VLOOKUP($D28,素材!$1:$1016,COLUMN($F$1),FALSE), "・", 0)) + 1), 0)</f>
        <v>0</v>
      </c>
      <c r="AH28">
        <f>IF(ISNUMBER(SEARCH(SUBSTITUTE(AH$1,RIGHT(AH$1,2),""),VLOOKUP($D28,素材!$1:$1016,COLUMN($F$1),FALSE))),VLOOKUP($C28,武器!$1:$998,COLUMN($O$1),FALSE)*VLOOKUP($D28,素材!$1:$1016,COLUMN($E$1),FALSE)/(LEN(VLOOKUP($D28,素材!$1:$1016,COLUMN($F$1),FALSE)) - LEN(SUBSTITUTE(VLOOKUP($D28,素材!$1:$1016,COLUMN($F$1),FALSE), "・", 0)) + 1), 0)</f>
        <v>0</v>
      </c>
      <c r="AI28">
        <f>IF(ISNUMBER(SEARCH(SUBSTITUTE(AI$1,RIGHT(AI$1,2),""),VLOOKUP($D28,素材!$1:$1016,COLUMN($F$1),FALSE))),VLOOKUP($C28,武器!$1:$998,COLUMN($O$1),FALSE)*VLOOKUP($D28,素材!$1:$1016,COLUMN($E$1),FALSE)/(LEN(VLOOKUP($D28,素材!$1:$1016,COLUMN($F$1),FALSE)) - LEN(SUBSTITUTE(VLOOKUP($D28,素材!$1:$1016,COLUMN($F$1),FALSE), "・", 0)) + 1), 0)</f>
        <v>0</v>
      </c>
      <c r="AJ28">
        <f>IF(ISNUMBER(SEARCH(SUBSTITUTE(AJ$1,RIGHT(AJ$1,2),""),VLOOKUP($D28,素材!$1:$1016,COLUMN($F$1),FALSE))),VLOOKUP($C28,武器!$1:$998,COLUMN($O$1),FALSE)*VLOOKUP($D28,素材!$1:$1016,COLUMN($E$1),FALSE)/(LEN(VLOOKUP($D28,素材!$1:$1016,COLUMN($F$1),FALSE)) - LEN(SUBSTITUTE(VLOOKUP($D28,素材!$1:$1016,COLUMN($F$1),FALSE), "・", 0)) + 1), 0)</f>
        <v>0</v>
      </c>
      <c r="AK28">
        <f>IF(ISNUMBER(SEARCH(SUBSTITUTE(AK$1,RIGHT(AK$1,2),""),VLOOKUP($D28,素材!$1:$1016,COLUMN($F$1),FALSE))),VLOOKUP($C28,武器!$1:$998,COLUMN($O$1),FALSE)*VLOOKUP($D28,素材!$1:$1016,COLUMN($E$1),FALSE)/(LEN(VLOOKUP($D28,素材!$1:$1016,COLUMN($F$1),FALSE)) - LEN(SUBSTITUTE(VLOOKUP($D28,素材!$1:$1016,COLUMN($F$1),FALSE), "・", 0)) + 1), 0)</f>
        <v>0</v>
      </c>
      <c r="AL28">
        <f>IF(ISNUMBER(SEARCH(SUBSTITUTE(AL$1,RIGHT(AL$1,2),""),VLOOKUP($D28,素材!$1:$1016,COLUMN($F$1),FALSE))),VLOOKUP($C28,武器!$1:$998,COLUMN($O$1),FALSE)*VLOOKUP($D28,素材!$1:$1016,COLUMN($E$1),FALSE)/(LEN(VLOOKUP($D28,素材!$1:$1016,COLUMN($F$1),FALSE)) - LEN(SUBSTITUTE(VLOOKUP($D28,素材!$1:$1016,COLUMN($F$1),FALSE), "・", 0)) + 1), 0)</f>
        <v>0</v>
      </c>
      <c r="AM28">
        <f>IF(ISNUMBER(SEARCH(SUBSTITUTE(AM$1,RIGHT(AM$1,2),""),VLOOKUP($D28,素材!$1:$1016,COLUMN($F$1),FALSE))),VLOOKUP($C28,武器!$1:$998,COLUMN($O$1),FALSE)*VLOOKUP($D28,素材!$1:$1016,COLUMN($E$1),FALSE)/(LEN(VLOOKUP($D28,素材!$1:$1016,COLUMN($F$1),FALSE)) - LEN(SUBSTITUTE(VLOOKUP($D28,素材!$1:$1016,COLUMN($F$1),FALSE), "・", 0)) + 1), 0)</f>
        <v>0</v>
      </c>
      <c r="AN28">
        <f>IF(ISNUMBER(SEARCH(SUBSTITUTE(AN$1,RIGHT(AN$1,2),""),VLOOKUP($D28,素材!$1:$1016,COLUMN($F$1),FALSE))),VLOOKUP($C28,武器!$1:$998,COLUMN($O$1),FALSE)*VLOOKUP($D28,素材!$1:$1016,COLUMN($E$1),FALSE)/(LEN(VLOOKUP($D28,素材!$1:$1016,COLUMN($F$1),FALSE)) - LEN(SUBSTITUTE(VLOOKUP($D28,素材!$1:$1016,COLUMN($F$1),FALSE), "・", 0)) + 1), 0)</f>
        <v>0</v>
      </c>
      <c r="AO28">
        <f>IF(ISNUMBER(SEARCH(SUBSTITUTE(AO$1,RIGHT(AO$1,2),""),VLOOKUP($D28,素材!$1:$1016,COLUMN($F$1),FALSE))),VLOOKUP($C28,武器!$1:$998,COLUMN($O$1),FALSE)*VLOOKUP($D28,素材!$1:$1016,COLUMN($E$1),FALSE)/(LEN(VLOOKUP($D28,素材!$1:$1016,COLUMN($F$1),FALSE)) - LEN(SUBSTITUTE(VLOOKUP($D28,素材!$1:$1016,COLUMN($F$1),FALSE), "・", 0)) + 1), 0)</f>
        <v>0</v>
      </c>
      <c r="AP28">
        <f>IF(ISNUMBER(SEARCH(SUBSTITUTE(AP$1,RIGHT(AP$1,2),""),VLOOKUP($D28,素材!$1:$1016,COLUMN($F$1),FALSE))),VLOOKUP($C28,武器!$1:$998,COLUMN($O$1),FALSE)*VLOOKUP($D28,素材!$1:$1016,COLUMN($E$1),FALSE)/(LEN(VLOOKUP($D28,素材!$1:$1016,COLUMN($F$1),FALSE)) - LEN(SUBSTITUTE(VLOOKUP($D28,素材!$1:$1016,COLUMN($F$1),FALSE), "・", 0)) + 1), 0)</f>
        <v>0</v>
      </c>
      <c r="AQ28">
        <f>IF(ISNUMBER(SEARCH(SUBSTITUTE(AQ$1,RIGHT(AQ$1,2),""),VLOOKUP($D28,素材!$1:$1016,COLUMN($F$1),FALSE))),VLOOKUP($C28,武器!$1:$998,COLUMN($O$1),FALSE)*VLOOKUP($D28,素材!$1:$1016,COLUMN($E$1),FALSE)/(LEN(VLOOKUP($D28,素材!$1:$1016,COLUMN($F$1),FALSE)) - LEN(SUBSTITUTE(VLOOKUP($D28,素材!$1:$1016,COLUMN($F$1),FALSE), "・", 0)) + 1), 0)</f>
        <v>0</v>
      </c>
      <c r="AR28">
        <f>IF(ISNUMBER(SEARCH(SUBSTITUTE(AR$1,RIGHT(AR$1,2),""),VLOOKUP($D28,素材!$1:$1016,COLUMN($F$1),FALSE))),VLOOKUP($C28,武器!$1:$998,COLUMN($O$1),FALSE)*VLOOKUP($D28,素材!$1:$1016,COLUMN($E$1),FALSE)/(LEN(VLOOKUP($D28,素材!$1:$1016,COLUMN($F$1),FALSE)) - LEN(SUBSTITUTE(VLOOKUP($D28,素材!$1:$1016,COLUMN($F$1),FALSE), "・", 0)) + 1), 0)</f>
        <v>0</v>
      </c>
      <c r="AS28">
        <f>IF(ISNUMBER(SEARCH(SUBSTITUTE(AS$1,RIGHT(AS$1,2),""),VLOOKUP($D28,素材!$1:$1016,COLUMN($F$1),FALSE))),VLOOKUP($C28,武器!$1:$998,COLUMN($O$1),FALSE)*VLOOKUP($D28,素材!$1:$1016,COLUMN($E$1),FALSE)/(LEN(VLOOKUP($D28,素材!$1:$1016,COLUMN($F$1),FALSE)) - LEN(SUBSTITUTE(VLOOKUP($D28,素材!$1:$1016,COLUMN($F$1),FALSE), "・", 0)) + 1), 0)</f>
        <v>0</v>
      </c>
      <c r="AT28">
        <f>IF(ISNUMBER(SEARCH(SUBSTITUTE(AT$1,RIGHT(AT$1,2),""),VLOOKUP($D28,素材!$1:$1016,COLUMN($F$1),FALSE))),VLOOKUP($C28,武器!$1:$998,COLUMN($O$1),FALSE)*VLOOKUP($D28,素材!$1:$1016,COLUMN($E$1),FALSE)/(LEN(VLOOKUP($D28,素材!$1:$1016,COLUMN($F$1),FALSE)) - LEN(SUBSTITUTE(VLOOKUP($D28,素材!$1:$1016,COLUMN($F$1),FALSE), "・", 0)) + 1), 0)</f>
        <v>0</v>
      </c>
      <c r="AU28">
        <f>IF(ISNUMBER(SEARCH(SUBSTITUTE(AU$1,RIGHT(AU$1,2),""),VLOOKUP($D28,素材!$1:$1016,COLUMN($F$1),FALSE))),VLOOKUP($C28,武器!$1:$998,COLUMN($O$1),FALSE)*VLOOKUP($D28,素材!$1:$1016,COLUMN($E$1),FALSE)/(LEN(VLOOKUP($D28,素材!$1:$1016,COLUMN($F$1),FALSE)) - LEN(SUBSTITUTE(VLOOKUP($D28,素材!$1:$1016,COLUMN($F$1),FALSE), "・", 0)) + 1), 0)</f>
        <v>0</v>
      </c>
      <c r="AV28">
        <f>IF(ISNUMBER(SEARCH(SUBSTITUTE(AV$1,RIGHT(AV$1,2),""),VLOOKUP($D28,素材!$1:$1016,COLUMN($F$1),FALSE))),VLOOKUP($C28,武器!$1:$998,COLUMN($O$1),FALSE)*VLOOKUP($D28,素材!$1:$1016,COLUMN($E$1),FALSE)/(LEN(VLOOKUP($D28,素材!$1:$1016,COLUMN($F$1),FALSE)) - LEN(SUBSTITUTE(VLOOKUP($D28,素材!$1:$1016,COLUMN($F$1),FALSE), "・", 0)) + 1), 0)</f>
        <v>0</v>
      </c>
      <c r="AW28">
        <f>IF(ISNUMBER(SEARCH(SUBSTITUTE(AW$1,RIGHT(AW$1,2),""),VLOOKUP($D28,素材!$1:$1016,COLUMN($F$1),FALSE))),VLOOKUP($C28,武器!$1:$998,COLUMN($O$1),FALSE)*VLOOKUP($D28,素材!$1:$1016,COLUMN($E$1),FALSE)/(LEN(VLOOKUP($D28,素材!$1:$1016,COLUMN($F$1),FALSE)) - LEN(SUBSTITUTE(VLOOKUP($D28,素材!$1:$1016,COLUMN($F$1),FALSE), "・", 0)) + 1), 0)</f>
        <v>0</v>
      </c>
      <c r="AX28">
        <f>IF(ISNUMBER(SEARCH(SUBSTITUTE(AX$1,RIGHT(AX$1,2),""),VLOOKUP($D28,素材!$1:$1016,COLUMN($F$1),FALSE))),VLOOKUP($C28,武器!$1:$998,COLUMN($O$1),FALSE)*VLOOKUP($D28,素材!$1:$1016,COLUMN($E$1),FALSE)/(LEN(VLOOKUP($D28,素材!$1:$1016,COLUMN($F$1),FALSE)) - LEN(SUBSTITUTE(VLOOKUP($D28,素材!$1:$1016,COLUMN($F$1),FALSE), "・", 0)) + 1), 0)</f>
        <v>0</v>
      </c>
      <c r="AY28">
        <f>IF(ISNUMBER(SEARCH(SUBSTITUTE(AY$1,RIGHT(AY$1,2),""),VLOOKUP($D28,素材!$1:$1016,COLUMN($F$1),FALSE))),VLOOKUP($C28,武器!$1:$998,COLUMN($O$1),FALSE)*VLOOKUP($D28,素材!$1:$1016,COLUMN($E$1),FALSE)/(LEN(VLOOKUP($D28,素材!$1:$1016,COLUMN($F$1),FALSE)) - LEN(SUBSTITUTE(VLOOKUP($D28,素材!$1:$1016,COLUMN($F$1),FALSE), "・", 0)) + 1), 0)</f>
        <v>0</v>
      </c>
      <c r="AZ28">
        <f>IF(ISNUMBER(SEARCH(SUBSTITUTE(AZ$1,RIGHT(AZ$1,2),""),VLOOKUP($D28,素材!$1:$1016,COLUMN($F$1),FALSE))),VLOOKUP($C28,武器!$1:$998,COLUMN($O$1),FALSE)*VLOOKUP($D28,素材!$1:$1016,COLUMN($E$1),FALSE)/(LEN(VLOOKUP($D28,素材!$1:$1016,COLUMN($F$1),FALSE)) - LEN(SUBSTITUTE(VLOOKUP($D28,素材!$1:$1016,COLUMN($F$1),FALSE), "・", 0)) + 1), 0)</f>
        <v>0</v>
      </c>
      <c r="BA28">
        <f>IF(ISNUMBER(SEARCH(SUBSTITUTE(BA$1,RIGHT(BA$1,2),""),VLOOKUP($D28,素材!$1:$1016,COLUMN($F$1),FALSE))),VLOOKUP($C28,武器!$1:$998,COLUMN($O$1),FALSE)*VLOOKUP($D28,素材!$1:$1016,COLUMN($E$1),FALSE)/(LEN(VLOOKUP($D28,素材!$1:$1016,COLUMN($F$1),FALSE)) - LEN(SUBSTITUTE(VLOOKUP($D28,素材!$1:$1016,COLUMN($F$1),FALSE), "・", 0)) + 1), 0)</f>
        <v>0</v>
      </c>
      <c r="BB28">
        <f>IF(ISNUMBER(SEARCH(SUBSTITUTE(BB$1,RIGHT(BB$1,2),""),VLOOKUP($D28,素材!$1:$1016,COLUMN($F$1),FALSE))),VLOOKUP($C28,武器!$1:$998,COLUMN($O$1),FALSE)*VLOOKUP($D28,素材!$1:$1016,COLUMN($E$1),FALSE)/(LEN(VLOOKUP($D28,素材!$1:$1016,COLUMN($F$1),FALSE)) - LEN(SUBSTITUTE(VLOOKUP($D28,素材!$1:$1016,COLUMN($F$1),FALSE), "・", 0)) + 1), 0)</f>
        <v>0</v>
      </c>
      <c r="BC28">
        <f>IF(ISNUMBER(SEARCH(SUBSTITUTE(BC$1,RIGHT(BC$1,2),""),VLOOKUP($D28,素材!$1:$1016,COLUMN($F$1),FALSE))),VLOOKUP($C28,武器!$1:$998,COLUMN($O$1),FALSE)*VLOOKUP($D28,素材!$1:$1016,COLUMN($E$1),FALSE)/(LEN(VLOOKUP($D28,素材!$1:$1016,COLUMN($F$1),FALSE)) - LEN(SUBSTITUTE(VLOOKUP($D28,素材!$1:$1016,COLUMN($F$1),FALSE), "・", 0)) + 1), 0)</f>
        <v>0</v>
      </c>
      <c r="BD28">
        <f>IF(ISNUMBER(SEARCH(SUBSTITUTE(BD$1,RIGHT(BD$1,2),""),VLOOKUP($D28,素材!$1:$1016,COLUMN($F$1),FALSE))),VLOOKUP($C28,武器!$1:$998,COLUMN($O$1),FALSE)*VLOOKUP($D28,素材!$1:$1016,COLUMN($E$1),FALSE)/(LEN(VLOOKUP($D28,素材!$1:$1016,COLUMN($F$1),FALSE)) - LEN(SUBSTITUTE(VLOOKUP($D28,素材!$1:$1016,COLUMN($F$1),FALSE), "・", 0)) + 1), 0)</f>
        <v>0</v>
      </c>
      <c r="BE28">
        <f>IF(ISNUMBER(SEARCH(SUBSTITUTE(BE$1,RIGHT(BE$1,2),""),VLOOKUP($D28,素材!$1:$1016,COLUMN($F$1),FALSE))),VLOOKUP($C28,武器!$1:$998,COLUMN($O$1),FALSE)*VLOOKUP($D28,素材!$1:$1016,COLUMN($E$1),FALSE)/(LEN(VLOOKUP($D28,素材!$1:$1016,COLUMN($F$1),FALSE)) - LEN(SUBSTITUTE(VLOOKUP($D28,素材!$1:$1016,COLUMN($F$1),FALSE), "・", 0)) + 1), 0)</f>
        <v>0</v>
      </c>
      <c r="CL28">
        <f>SUM(G28:I28)</f>
        <v>10</v>
      </c>
      <c r="CM28" s="22" t="str">
        <f>IF(E28="武器",IF(J28-1&gt;SUM(G28:I28),"盾",IF(MAX(G28:I28)=G28,"切断",IF(MAX(G28:I28)=H28,"貫通",IF(MAX(G28:I28)=I28,"打撃","射撃")))),E28)&amp;".webp"</f>
        <v>切断.webp</v>
      </c>
      <c r="CN28">
        <f>IFERROR(VLOOKUP($C28,武器!$1:$998,COLUMN(V$1),FALSE)*VLOOKUP($D28,素材!$1:$1016,COLUMN(N$1),FALSE)+IF(CI28="",0,VLOOKUP($CI28,装強!$1:$1008,COLUMN($CK$1),FALSE)),"")</f>
        <v>400</v>
      </c>
      <c r="CO28" t="str">
        <f>VLOOKUP(D28,素材!$A:$O,COLUMN(素材!O$1),FALSE)</f>
        <v>一般的な鉄。量産品を作るのに使用されることが多い</v>
      </c>
      <c r="CP28" t="str">
        <f>VLOOKUP(C28,武器!$A:$W,COLUMN(武器!W$1),FALSE)</f>
        <v>長弓。射程が長く、高い威力を持つ。</v>
      </c>
      <c r="CR28" t="str">
        <f t="shared" si="1"/>
        <v>e_28</v>
      </c>
      <c r="CS28">
        <f t="shared" si="2"/>
        <v>40000</v>
      </c>
    </row>
    <row r="29" spans="1:97" outlineLevel="1" x14ac:dyDescent="0.4">
      <c r="A29" t="str">
        <f t="shared" si="0"/>
        <v>鉄の杖</v>
      </c>
      <c r="B29" t="str">
        <f>IFERROR(VLOOKUP($D29,素材!$1:$1016,COLUMN($B$1),FALSE)&amp;"・"&amp;VLOOKUP($C29,武器!$1:$998,COLUMN(B$1),FALSE),"")</f>
        <v>アイアン・ロッド</v>
      </c>
      <c r="C29" t="s">
        <v>216</v>
      </c>
      <c r="D29" s="24" t="s">
        <v>257</v>
      </c>
      <c r="E29" t="str">
        <f>IFERROR(VLOOKUP(C29,武器!$1:$998,COLUMN(C$1),FALSE),"")</f>
        <v>杖</v>
      </c>
      <c r="F29">
        <f>IFERROR(ROUNDDOWN((VLOOKUP($C29,武器!$1:$998,COLUMN(D$1),FALSE)+IFERROR(VLOOKUP($CI29,装強!$1:$999,COLUMN(F$1),FALSE),0))*VLOOKUP($D29,素材!$1:$1016,COLUMN(D$1),FALSE),0),"")</f>
        <v>110</v>
      </c>
      <c r="G29">
        <f>IFERROR(ROUNDDOWN((VLOOKUP($C29,武器!$1:$998,COLUMN(E$1),FALSE)+IFERROR(VLOOKUP($CI29,装強!$1:$999,COLUMN(G$1),FALSE),0))*VLOOKUP($D29,素材!$1:$1016,COLUMN($E$1),FALSE),0),"")</f>
        <v>0</v>
      </c>
      <c r="H29">
        <f>IFERROR(ROUNDDOWN((VLOOKUP($C29,武器!$1:$998,COLUMN(F$1),FALSE)+IFERROR(VLOOKUP($CI29,装強!$1:$999,COLUMN(H$1),FALSE),0))*VLOOKUP($D29,素材!$1:$1016,COLUMN($E$1),FALSE),0),"")</f>
        <v>5</v>
      </c>
      <c r="I29">
        <f>IFERROR(ROUNDDOWN((VLOOKUP($C29,武器!$1:$998,COLUMN(G$1),FALSE)+IFERROR(VLOOKUP($CI29,装強!$1:$999,COLUMN(I$1),FALSE),0))*VLOOKUP($D29,素材!$1:$1016,COLUMN($E$1),FALSE),0),"")</f>
        <v>14</v>
      </c>
      <c r="J29">
        <f>IFERROR(ROUNDDOWN((VLOOKUP($C29,武器!$1:$998,COLUMN(H$1),FALSE)+IFERROR(VLOOKUP($CI29,装強!$1:$999,COLUMN(J$1),FALSE),0))*VLOOKUP($D29,素材!$1:$1016,COLUMN($E$1),FALSE),0),"")</f>
        <v>18</v>
      </c>
      <c r="K29">
        <f>IFERROR(ROUNDDOWN((VLOOKUP($C29,武器!$1:$998,COLUMN(I$1),FALSE)+IFERROR(VLOOKUP($CI29,装強!$1:$999,COLUMN(K$1),FALSE),0))*VLOOKUP($D29,素材!$1:$1016,COLUMN($E$1),FALSE),0),"")</f>
        <v>0</v>
      </c>
      <c r="L29">
        <f>IFERROR(VLOOKUP($D29,素材!$1:$1016,COLUMN($F$1),FALSE),"")</f>
        <v>0</v>
      </c>
      <c r="M29">
        <f>IFERROR(VLOOKUP($C29,武器!$1:$998,COLUMN(AA$1),FALSE)*VLOOKUP($D29,素材!$1:$1016,COLUMN($G$1),FALSE),"")</f>
        <v>0</v>
      </c>
      <c r="N29">
        <f>IFERROR(VLOOKUP($C29,武器!$1:$998,COLUMN(I$1),FALSE),"")</f>
        <v>0</v>
      </c>
      <c r="O29" s="23">
        <f>IFERROR((VLOOKUP($C29,武器!$1:$998,COLUMN(K$1),FALSE)+VLOOKUP($D29,素材!$1:$1016,COLUMN(H$1),FALSE))*100+IFERROR(VLOOKUP($CI29,装強!$1:$999,COLUMN(O$1),FALSE),0),"")</f>
        <v>5</v>
      </c>
      <c r="P29" s="23">
        <f>IFERROR((VLOOKUP($C29,武器!$1:$998,COLUMN(L$1),FALSE)+VLOOKUP($D29,素材!$1:$1016,COLUMN(I$1),FALSE))*100+IFERROR(VLOOKUP($CI29,装強!$1:$999,COLUMN(P$1),FALSE),0),"")</f>
        <v>150</v>
      </c>
      <c r="Q29">
        <f>IFERROR(ROUNDUP(VLOOKUP($C29,武器!$1:$998,COLUMN(M$1),FALSE)*(VLOOKUP($D29,素材!$1:$1002,COLUMN(D$1),FALSE)/100),1),"")</f>
        <v>0</v>
      </c>
      <c r="R29">
        <f>IFERROR(ROUNDUP(VLOOKUP($C29,武器!$1:$998,COLUMN(N$1),FALSE)*(VLOOKUP($D29,素材!$1:$1002,COLUMN(D$1),FALSE)/100),1),"")</f>
        <v>0</v>
      </c>
      <c r="S29">
        <f>IFERROR(VLOOKUP($C29,武器!$1:$998,COLUMN(P$1),FALSE),"")</f>
        <v>0</v>
      </c>
      <c r="T29">
        <f>IFERROR(VLOOKUP($C29,武器!$1:$998,COLUMN(Q$1),FALSE),"")</f>
        <v>0</v>
      </c>
      <c r="U29">
        <f>IFERROR(VLOOKUP($C29,武器!$1:$998,COLUMN(R$1),FALSE),"")</f>
        <v>0</v>
      </c>
      <c r="V29">
        <f>IFERROR(VLOOKUP($C29,武器!$1:$998,COLUMN(Q$1),FALSE),"")</f>
        <v>0</v>
      </c>
      <c r="W29" t="str">
        <f>IFERROR(VLOOKUP($C29,武器!$1:$998,COLUMN(T$1),FALSE),"")</f>
        <v>A</v>
      </c>
      <c r="Y29" t="str">
        <f>IFERROR(VLOOKUP($C29,武器!$1:$998,COLUMN(U$1),FALSE),"")</f>
        <v>魔法無詠唱Ⅱ</v>
      </c>
      <c r="Z29">
        <f>IFERROR(ROUNDUP(VLOOKUP($C29,武器!$1:$998,COLUMN(O$1),FALSE)*VLOOKUP($D29,素材!$1:$1016,COLUMN(E$1),FALSE),1),"")</f>
        <v>0</v>
      </c>
      <c r="AA29">
        <f>IF(ISNUMBER(SEARCH(SUBSTITUTE(AA$1,RIGHT(AA$1,2),""),VLOOKUP($D29,素材!$1:$1016,COLUMN($F$1),FALSE))),VLOOKUP($C29,武器!$1:$998,COLUMN($O$1),FALSE)*VLOOKUP($D29,素材!$1:$1016,COLUMN($E$1),FALSE)/(LEN(VLOOKUP($D29,素材!$1:$1016,COLUMN($F$1),FALSE)) - LEN(SUBSTITUTE(VLOOKUP($D29,素材!$1:$1016,COLUMN($F$1),FALSE), "・", 0)) + 1), 0)</f>
        <v>0</v>
      </c>
      <c r="AB29">
        <f>IF(ISNUMBER(SEARCH(SUBSTITUTE(AB$1,RIGHT(AB$1,2),""),VLOOKUP($D29,素材!$1:$1016,COLUMN($F$1),FALSE))),VLOOKUP($C29,武器!$1:$998,COLUMN($O$1),FALSE)*VLOOKUP($D29,素材!$1:$1016,COLUMN($E$1),FALSE)/(LEN(VLOOKUP($D29,素材!$1:$1016,COLUMN($F$1),FALSE)) - LEN(SUBSTITUTE(VLOOKUP($D29,素材!$1:$1016,COLUMN($F$1),FALSE), "・", 0)) + 1), 0)</f>
        <v>0</v>
      </c>
      <c r="AC29">
        <f>IF(ISNUMBER(SEARCH(SUBSTITUTE(AC$1,RIGHT(AC$1,2),""),VLOOKUP($D29,素材!$1:$1016,COLUMN($F$1),FALSE))),VLOOKUP($C29,武器!$1:$998,COLUMN($O$1),FALSE)*VLOOKUP($D29,素材!$1:$1016,COLUMN($E$1),FALSE)/(LEN(VLOOKUP($D29,素材!$1:$1016,COLUMN($F$1),FALSE)) - LEN(SUBSTITUTE(VLOOKUP($D29,素材!$1:$1016,COLUMN($F$1),FALSE), "・", 0)) + 1), 0)</f>
        <v>0</v>
      </c>
      <c r="AD29">
        <f>IF(ISNUMBER(SEARCH(SUBSTITUTE(AD$1,RIGHT(AD$1,2),""),VLOOKUP($D29,素材!$1:$1016,COLUMN($F$1),FALSE))),VLOOKUP($C29,武器!$1:$998,COLUMN($O$1),FALSE)*VLOOKUP($D29,素材!$1:$1016,COLUMN($E$1),FALSE)/(LEN(VLOOKUP($D29,素材!$1:$1016,COLUMN($F$1),FALSE)) - LEN(SUBSTITUTE(VLOOKUP($D29,素材!$1:$1016,COLUMN($F$1),FALSE), "・", 0)) + 1), 0)</f>
        <v>0</v>
      </c>
      <c r="AE29">
        <f>IF(ISNUMBER(SEARCH(SUBSTITUTE(AE$1,RIGHT(AE$1,2),""),VLOOKUP($D29,素材!$1:$1016,COLUMN($F$1),FALSE))),VLOOKUP($C29,武器!$1:$998,COLUMN($O$1),FALSE)*VLOOKUP($D29,素材!$1:$1016,COLUMN($E$1),FALSE)/(LEN(VLOOKUP($D29,素材!$1:$1016,COLUMN($F$1),FALSE)) - LEN(SUBSTITUTE(VLOOKUP($D29,素材!$1:$1016,COLUMN($F$1),FALSE), "・", 0)) + 1), 0)</f>
        <v>0</v>
      </c>
      <c r="AF29">
        <f>IF(ISNUMBER(SEARCH(SUBSTITUTE(AF$1,RIGHT(AF$1,2),""),VLOOKUP($D29,素材!$1:$1016,COLUMN($F$1),FALSE))),VLOOKUP($C29,武器!$1:$998,COLUMN($O$1),FALSE)*VLOOKUP($D29,素材!$1:$1016,COLUMN($E$1),FALSE)/(LEN(VLOOKUP($D29,素材!$1:$1016,COLUMN($F$1),FALSE)) - LEN(SUBSTITUTE(VLOOKUP($D29,素材!$1:$1016,COLUMN($F$1),FALSE), "・", 0)) + 1), 0)</f>
        <v>0</v>
      </c>
      <c r="AG29">
        <f>IF(ISNUMBER(SEARCH(SUBSTITUTE(AG$1,RIGHT(AG$1,2),""),VLOOKUP($D29,素材!$1:$1016,COLUMN($F$1),FALSE))),VLOOKUP($C29,武器!$1:$998,COLUMN($O$1),FALSE)*VLOOKUP($D29,素材!$1:$1016,COLUMN($E$1),FALSE)/(LEN(VLOOKUP($D29,素材!$1:$1016,COLUMN($F$1),FALSE)) - LEN(SUBSTITUTE(VLOOKUP($D29,素材!$1:$1016,COLUMN($F$1),FALSE), "・", 0)) + 1), 0)</f>
        <v>0</v>
      </c>
      <c r="AH29">
        <f>IF(ISNUMBER(SEARCH(SUBSTITUTE(AH$1,RIGHT(AH$1,2),""),VLOOKUP($D29,素材!$1:$1016,COLUMN($F$1),FALSE))),VLOOKUP($C29,武器!$1:$998,COLUMN($O$1),FALSE)*VLOOKUP($D29,素材!$1:$1016,COLUMN($E$1),FALSE)/(LEN(VLOOKUP($D29,素材!$1:$1016,COLUMN($F$1),FALSE)) - LEN(SUBSTITUTE(VLOOKUP($D29,素材!$1:$1016,COLUMN($F$1),FALSE), "・", 0)) + 1), 0)</f>
        <v>0</v>
      </c>
      <c r="AI29">
        <f>IF(ISNUMBER(SEARCH(SUBSTITUTE(AI$1,RIGHT(AI$1,2),""),VLOOKUP($D29,素材!$1:$1016,COLUMN($F$1),FALSE))),VLOOKUP($C29,武器!$1:$998,COLUMN($O$1),FALSE)*VLOOKUP($D29,素材!$1:$1016,COLUMN($E$1),FALSE)/(LEN(VLOOKUP($D29,素材!$1:$1016,COLUMN($F$1),FALSE)) - LEN(SUBSTITUTE(VLOOKUP($D29,素材!$1:$1016,COLUMN($F$1),FALSE), "・", 0)) + 1), 0)</f>
        <v>0</v>
      </c>
      <c r="AJ29">
        <f>IF(ISNUMBER(SEARCH(SUBSTITUTE(AJ$1,RIGHT(AJ$1,2),""),VLOOKUP($D29,素材!$1:$1016,COLUMN($F$1),FALSE))),VLOOKUP($C29,武器!$1:$998,COLUMN($O$1),FALSE)*VLOOKUP($D29,素材!$1:$1016,COLUMN($E$1),FALSE)/(LEN(VLOOKUP($D29,素材!$1:$1016,COLUMN($F$1),FALSE)) - LEN(SUBSTITUTE(VLOOKUP($D29,素材!$1:$1016,COLUMN($F$1),FALSE), "・", 0)) + 1), 0)</f>
        <v>0</v>
      </c>
      <c r="AK29">
        <f>IF(ISNUMBER(SEARCH(SUBSTITUTE(AK$1,RIGHT(AK$1,2),""),VLOOKUP($D29,素材!$1:$1016,COLUMN($F$1),FALSE))),VLOOKUP($C29,武器!$1:$998,COLUMN($O$1),FALSE)*VLOOKUP($D29,素材!$1:$1016,COLUMN($E$1),FALSE)/(LEN(VLOOKUP($D29,素材!$1:$1016,COLUMN($F$1),FALSE)) - LEN(SUBSTITUTE(VLOOKUP($D29,素材!$1:$1016,COLUMN($F$1),FALSE), "・", 0)) + 1), 0)</f>
        <v>0</v>
      </c>
      <c r="AL29">
        <f>IF(ISNUMBER(SEARCH(SUBSTITUTE(AL$1,RIGHT(AL$1,2),""),VLOOKUP($D29,素材!$1:$1016,COLUMN($F$1),FALSE))),VLOOKUP($C29,武器!$1:$998,COLUMN($O$1),FALSE)*VLOOKUP($D29,素材!$1:$1016,COLUMN($E$1),FALSE)/(LEN(VLOOKUP($D29,素材!$1:$1016,COLUMN($F$1),FALSE)) - LEN(SUBSTITUTE(VLOOKUP($D29,素材!$1:$1016,COLUMN($F$1),FALSE), "・", 0)) + 1), 0)</f>
        <v>0</v>
      </c>
      <c r="AM29">
        <f>IF(ISNUMBER(SEARCH(SUBSTITUTE(AM$1,RIGHT(AM$1,2),""),VLOOKUP($D29,素材!$1:$1016,COLUMN($F$1),FALSE))),VLOOKUP($C29,武器!$1:$998,COLUMN($O$1),FALSE)*VLOOKUP($D29,素材!$1:$1016,COLUMN($E$1),FALSE)/(LEN(VLOOKUP($D29,素材!$1:$1016,COLUMN($F$1),FALSE)) - LEN(SUBSTITUTE(VLOOKUP($D29,素材!$1:$1016,COLUMN($F$1),FALSE), "・", 0)) + 1), 0)</f>
        <v>0</v>
      </c>
      <c r="AN29">
        <f>IF(ISNUMBER(SEARCH(SUBSTITUTE(AN$1,RIGHT(AN$1,2),""),VLOOKUP($D29,素材!$1:$1016,COLUMN($F$1),FALSE))),VLOOKUP($C29,武器!$1:$998,COLUMN($O$1),FALSE)*VLOOKUP($D29,素材!$1:$1016,COLUMN($E$1),FALSE)/(LEN(VLOOKUP($D29,素材!$1:$1016,COLUMN($F$1),FALSE)) - LEN(SUBSTITUTE(VLOOKUP($D29,素材!$1:$1016,COLUMN($F$1),FALSE), "・", 0)) + 1), 0)</f>
        <v>0</v>
      </c>
      <c r="AO29">
        <f>IF(ISNUMBER(SEARCH(SUBSTITUTE(AO$1,RIGHT(AO$1,2),""),VLOOKUP($D29,素材!$1:$1016,COLUMN($F$1),FALSE))),VLOOKUP($C29,武器!$1:$998,COLUMN($O$1),FALSE)*VLOOKUP($D29,素材!$1:$1016,COLUMN($E$1),FALSE)/(LEN(VLOOKUP($D29,素材!$1:$1016,COLUMN($F$1),FALSE)) - LEN(SUBSTITUTE(VLOOKUP($D29,素材!$1:$1016,COLUMN($F$1),FALSE), "・", 0)) + 1), 0)</f>
        <v>0</v>
      </c>
      <c r="AP29">
        <f>IF(ISNUMBER(SEARCH(SUBSTITUTE(AP$1,RIGHT(AP$1,2),""),VLOOKUP($D29,素材!$1:$1016,COLUMN($F$1),FALSE))),VLOOKUP($C29,武器!$1:$998,COLUMN($O$1),FALSE)*VLOOKUP($D29,素材!$1:$1016,COLUMN($E$1),FALSE)/(LEN(VLOOKUP($D29,素材!$1:$1016,COLUMN($F$1),FALSE)) - LEN(SUBSTITUTE(VLOOKUP($D29,素材!$1:$1016,COLUMN($F$1),FALSE), "・", 0)) + 1), 0)</f>
        <v>0</v>
      </c>
      <c r="AQ29">
        <f>IF(ISNUMBER(SEARCH(SUBSTITUTE(AQ$1,RIGHT(AQ$1,2),""),VLOOKUP($D29,素材!$1:$1016,COLUMN($F$1),FALSE))),VLOOKUP($C29,武器!$1:$998,COLUMN($O$1),FALSE)*VLOOKUP($D29,素材!$1:$1016,COLUMN($E$1),FALSE)/(LEN(VLOOKUP($D29,素材!$1:$1016,COLUMN($F$1),FALSE)) - LEN(SUBSTITUTE(VLOOKUP($D29,素材!$1:$1016,COLUMN($F$1),FALSE), "・", 0)) + 1), 0)</f>
        <v>0</v>
      </c>
      <c r="AR29">
        <f>IF(ISNUMBER(SEARCH(SUBSTITUTE(AR$1,RIGHT(AR$1,2),""),VLOOKUP($D29,素材!$1:$1016,COLUMN($F$1),FALSE))),VLOOKUP($C29,武器!$1:$998,COLUMN($O$1),FALSE)*VLOOKUP($D29,素材!$1:$1016,COLUMN($E$1),FALSE)/(LEN(VLOOKUP($D29,素材!$1:$1016,COLUMN($F$1),FALSE)) - LEN(SUBSTITUTE(VLOOKUP($D29,素材!$1:$1016,COLUMN($F$1),FALSE), "・", 0)) + 1), 0)</f>
        <v>0</v>
      </c>
      <c r="AS29">
        <f>IF(ISNUMBER(SEARCH(SUBSTITUTE(AS$1,RIGHT(AS$1,2),""),VLOOKUP($D29,素材!$1:$1016,COLUMN($F$1),FALSE))),VLOOKUP($C29,武器!$1:$998,COLUMN($O$1),FALSE)*VLOOKUP($D29,素材!$1:$1016,COLUMN($E$1),FALSE)/(LEN(VLOOKUP($D29,素材!$1:$1016,COLUMN($F$1),FALSE)) - LEN(SUBSTITUTE(VLOOKUP($D29,素材!$1:$1016,COLUMN($F$1),FALSE), "・", 0)) + 1), 0)</f>
        <v>0</v>
      </c>
      <c r="AT29">
        <f>IF(ISNUMBER(SEARCH(SUBSTITUTE(AT$1,RIGHT(AT$1,2),""),VLOOKUP($D29,素材!$1:$1016,COLUMN($F$1),FALSE))),VLOOKUP($C29,武器!$1:$998,COLUMN($O$1),FALSE)*VLOOKUP($D29,素材!$1:$1016,COLUMN($E$1),FALSE)/(LEN(VLOOKUP($D29,素材!$1:$1016,COLUMN($F$1),FALSE)) - LEN(SUBSTITUTE(VLOOKUP($D29,素材!$1:$1016,COLUMN($F$1),FALSE), "・", 0)) + 1), 0)</f>
        <v>0</v>
      </c>
      <c r="AU29">
        <f>IF(ISNUMBER(SEARCH(SUBSTITUTE(AU$1,RIGHT(AU$1,2),""),VLOOKUP($D29,素材!$1:$1016,COLUMN($F$1),FALSE))),VLOOKUP($C29,武器!$1:$998,COLUMN($O$1),FALSE)*VLOOKUP($D29,素材!$1:$1016,COLUMN($E$1),FALSE)/(LEN(VLOOKUP($D29,素材!$1:$1016,COLUMN($F$1),FALSE)) - LEN(SUBSTITUTE(VLOOKUP($D29,素材!$1:$1016,COLUMN($F$1),FALSE), "・", 0)) + 1), 0)</f>
        <v>0</v>
      </c>
      <c r="AV29">
        <f>IF(ISNUMBER(SEARCH(SUBSTITUTE(AV$1,RIGHT(AV$1,2),""),VLOOKUP($D29,素材!$1:$1016,COLUMN($F$1),FALSE))),VLOOKUP($C29,武器!$1:$998,COLUMN($O$1),FALSE)*VLOOKUP($D29,素材!$1:$1016,COLUMN($E$1),FALSE)/(LEN(VLOOKUP($D29,素材!$1:$1016,COLUMN($F$1),FALSE)) - LEN(SUBSTITUTE(VLOOKUP($D29,素材!$1:$1016,COLUMN($F$1),FALSE), "・", 0)) + 1), 0)</f>
        <v>0</v>
      </c>
      <c r="AW29">
        <f>IF(ISNUMBER(SEARCH(SUBSTITUTE(AW$1,RIGHT(AW$1,2),""),VLOOKUP($D29,素材!$1:$1016,COLUMN($F$1),FALSE))),VLOOKUP($C29,武器!$1:$998,COLUMN($O$1),FALSE)*VLOOKUP($D29,素材!$1:$1016,COLUMN($E$1),FALSE)/(LEN(VLOOKUP($D29,素材!$1:$1016,COLUMN($F$1),FALSE)) - LEN(SUBSTITUTE(VLOOKUP($D29,素材!$1:$1016,COLUMN($F$1),FALSE), "・", 0)) + 1), 0)</f>
        <v>0</v>
      </c>
      <c r="AX29">
        <f>IF(ISNUMBER(SEARCH(SUBSTITUTE(AX$1,RIGHT(AX$1,2),""),VLOOKUP($D29,素材!$1:$1016,COLUMN($F$1),FALSE))),VLOOKUP($C29,武器!$1:$998,COLUMN($O$1),FALSE)*VLOOKUP($D29,素材!$1:$1016,COLUMN($E$1),FALSE)/(LEN(VLOOKUP($D29,素材!$1:$1016,COLUMN($F$1),FALSE)) - LEN(SUBSTITUTE(VLOOKUP($D29,素材!$1:$1016,COLUMN($F$1),FALSE), "・", 0)) + 1), 0)</f>
        <v>0</v>
      </c>
      <c r="AY29">
        <f>IF(ISNUMBER(SEARCH(SUBSTITUTE(AY$1,RIGHT(AY$1,2),""),VLOOKUP($D29,素材!$1:$1016,COLUMN($F$1),FALSE))),VLOOKUP($C29,武器!$1:$998,COLUMN($O$1),FALSE)*VLOOKUP($D29,素材!$1:$1016,COLUMN($E$1),FALSE)/(LEN(VLOOKUP($D29,素材!$1:$1016,COLUMN($F$1),FALSE)) - LEN(SUBSTITUTE(VLOOKUP($D29,素材!$1:$1016,COLUMN($F$1),FALSE), "・", 0)) + 1), 0)</f>
        <v>0</v>
      </c>
      <c r="AZ29">
        <f>IF(ISNUMBER(SEARCH(SUBSTITUTE(AZ$1,RIGHT(AZ$1,2),""),VLOOKUP($D29,素材!$1:$1016,COLUMN($F$1),FALSE))),VLOOKUP($C29,武器!$1:$998,COLUMN($O$1),FALSE)*VLOOKUP($D29,素材!$1:$1016,COLUMN($E$1),FALSE)/(LEN(VLOOKUP($D29,素材!$1:$1016,COLUMN($F$1),FALSE)) - LEN(SUBSTITUTE(VLOOKUP($D29,素材!$1:$1016,COLUMN($F$1),FALSE), "・", 0)) + 1), 0)</f>
        <v>0</v>
      </c>
      <c r="BA29">
        <f>IF(ISNUMBER(SEARCH(SUBSTITUTE(BA$1,RIGHT(BA$1,2),""),VLOOKUP($D29,素材!$1:$1016,COLUMN($F$1),FALSE))),VLOOKUP($C29,武器!$1:$998,COLUMN($O$1),FALSE)*VLOOKUP($D29,素材!$1:$1016,COLUMN($E$1),FALSE)/(LEN(VLOOKUP($D29,素材!$1:$1016,COLUMN($F$1),FALSE)) - LEN(SUBSTITUTE(VLOOKUP($D29,素材!$1:$1016,COLUMN($F$1),FALSE), "・", 0)) + 1), 0)</f>
        <v>0</v>
      </c>
      <c r="BB29">
        <f>IF(ISNUMBER(SEARCH(SUBSTITUTE(BB$1,RIGHT(BB$1,2),""),VLOOKUP($D29,素材!$1:$1016,COLUMN($F$1),FALSE))),VLOOKUP($C29,武器!$1:$998,COLUMN($O$1),FALSE)*VLOOKUP($D29,素材!$1:$1016,COLUMN($E$1),FALSE)/(LEN(VLOOKUP($D29,素材!$1:$1016,COLUMN($F$1),FALSE)) - LEN(SUBSTITUTE(VLOOKUP($D29,素材!$1:$1016,COLUMN($F$1),FALSE), "・", 0)) + 1), 0)</f>
        <v>0</v>
      </c>
      <c r="BC29">
        <f>IF(ISNUMBER(SEARCH(SUBSTITUTE(BC$1,RIGHT(BC$1,2),""),VLOOKUP($D29,素材!$1:$1016,COLUMN($F$1),FALSE))),VLOOKUP($C29,武器!$1:$998,COLUMN($O$1),FALSE)*VLOOKUP($D29,素材!$1:$1016,COLUMN($E$1),FALSE)/(LEN(VLOOKUP($D29,素材!$1:$1016,COLUMN($F$1),FALSE)) - LEN(SUBSTITUTE(VLOOKUP($D29,素材!$1:$1016,COLUMN($F$1),FALSE), "・", 0)) + 1), 0)</f>
        <v>0</v>
      </c>
      <c r="BD29">
        <f>IF(ISNUMBER(SEARCH(SUBSTITUTE(BD$1,RIGHT(BD$1,2),""),VLOOKUP($D29,素材!$1:$1016,COLUMN($F$1),FALSE))),VLOOKUP($C29,武器!$1:$998,COLUMN($O$1),FALSE)*VLOOKUP($D29,素材!$1:$1016,COLUMN($E$1),FALSE)/(LEN(VLOOKUP($D29,素材!$1:$1016,COLUMN($F$1),FALSE)) - LEN(SUBSTITUTE(VLOOKUP($D29,素材!$1:$1016,COLUMN($F$1),FALSE), "・", 0)) + 1), 0)</f>
        <v>0</v>
      </c>
      <c r="BE29">
        <f>IF(ISNUMBER(SEARCH(SUBSTITUTE(BE$1,RIGHT(BE$1,2),""),VLOOKUP($D29,素材!$1:$1016,COLUMN($F$1),FALSE))),VLOOKUP($C29,武器!$1:$998,COLUMN($O$1),FALSE)*VLOOKUP($D29,素材!$1:$1016,COLUMN($E$1),FALSE)/(LEN(VLOOKUP($D29,素材!$1:$1016,COLUMN($F$1),FALSE)) - LEN(SUBSTITUTE(VLOOKUP($D29,素材!$1:$1016,COLUMN($F$1),FALSE), "・", 0)) + 1), 0)</f>
        <v>0</v>
      </c>
      <c r="CL29">
        <f>SUM(G29:I29)</f>
        <v>19</v>
      </c>
      <c r="CM29" s="22" t="str">
        <f>IF(E29="武器",IF(J29-1&gt;SUM(G29:I29),"盾",IF(MAX(G29:I29)=G29,"切断",IF(MAX(G29:I29)=H29,"貫通",IF(MAX(G29:I29)=I29,"打撃","射撃")))),E29)&amp;".webp"</f>
        <v>杖.webp</v>
      </c>
      <c r="CN29">
        <f>IFERROR(VLOOKUP($C29,武器!$1:$998,COLUMN(V$1),FALSE)*VLOOKUP($D29,素材!$1:$1016,COLUMN(N$1),FALSE)+IF(CI29="",0,VLOOKUP($CI29,装強!$1:$1008,COLUMN($CK$1),FALSE)),"")</f>
        <v>400</v>
      </c>
      <c r="CO29" t="str">
        <f>VLOOKUP(D29,素材!$A:$O,COLUMN(素材!O$1),FALSE)</f>
        <v>一般的な鉄。量産品を作るのに使用されることが多い</v>
      </c>
      <c r="CP29" t="str">
        <f>VLOOKUP(C29,武器!$A:$W,COLUMN(武器!W$1),FALSE)</f>
        <v>杖。バランスの取れた魔法武器。</v>
      </c>
      <c r="CR29" t="str">
        <f t="shared" si="1"/>
        <v>e_29</v>
      </c>
      <c r="CS29">
        <f t="shared" si="2"/>
        <v>40000</v>
      </c>
    </row>
    <row r="30" spans="1:97" outlineLevel="1" x14ac:dyDescent="0.4">
      <c r="A30" t="str">
        <f t="shared" si="0"/>
        <v>鉄の長杖</v>
      </c>
      <c r="B30" t="str">
        <f>IFERROR(VLOOKUP($D30,素材!$1:$1016,COLUMN($B$1),FALSE)&amp;"・"&amp;VLOOKUP($C30,武器!$1:$998,COLUMN(B$1),FALSE),"")</f>
        <v>アイアン・スタッフ</v>
      </c>
      <c r="C30" t="s">
        <v>215</v>
      </c>
      <c r="D30" s="24" t="s">
        <v>257</v>
      </c>
      <c r="E30" t="str">
        <f>IFERROR(VLOOKUP(C30,武器!$1:$998,COLUMN(C$1),FALSE),"")</f>
        <v>杖</v>
      </c>
      <c r="F30">
        <f>IFERROR(ROUNDDOWN((VLOOKUP($C30,武器!$1:$998,COLUMN(D$1),FALSE)+IFERROR(VLOOKUP($CI30,装強!$1:$999,COLUMN(F$1),FALSE),0))*VLOOKUP($D30,素材!$1:$1016,COLUMN(D$1),FALSE),0),"")</f>
        <v>115</v>
      </c>
      <c r="G30">
        <f>IFERROR(ROUNDDOWN((VLOOKUP($C30,武器!$1:$998,COLUMN(E$1),FALSE)+IFERROR(VLOOKUP($CI30,装強!$1:$999,COLUMN(G$1),FALSE),0))*VLOOKUP($D30,素材!$1:$1016,COLUMN($E$1),FALSE),0),"")</f>
        <v>0</v>
      </c>
      <c r="H30">
        <f>IFERROR(ROUNDDOWN((VLOOKUP($C30,武器!$1:$998,COLUMN(F$1),FALSE)+IFERROR(VLOOKUP($CI30,装強!$1:$999,COLUMN(H$1),FALSE),0))*VLOOKUP($D30,素材!$1:$1016,COLUMN($E$1),FALSE),0),"")</f>
        <v>6</v>
      </c>
      <c r="I30">
        <f>IFERROR(ROUNDDOWN((VLOOKUP($C30,武器!$1:$998,COLUMN(G$1),FALSE)+IFERROR(VLOOKUP($CI30,装強!$1:$999,COLUMN(I$1),FALSE),0))*VLOOKUP($D30,素材!$1:$1016,COLUMN($E$1),FALSE),0),"")</f>
        <v>16</v>
      </c>
      <c r="J30">
        <f>IFERROR(ROUNDDOWN((VLOOKUP($C30,武器!$1:$998,COLUMN(H$1),FALSE)+IFERROR(VLOOKUP($CI30,装強!$1:$999,COLUMN(J$1),FALSE),0))*VLOOKUP($D30,素材!$1:$1016,COLUMN($E$1),FALSE),0),"")</f>
        <v>19</v>
      </c>
      <c r="K30">
        <f>IFERROR(ROUNDDOWN((VLOOKUP($C30,武器!$1:$998,COLUMN(I$1),FALSE)+IFERROR(VLOOKUP($CI30,装強!$1:$999,COLUMN(K$1),FALSE),0))*VLOOKUP($D30,素材!$1:$1016,COLUMN($E$1),FALSE),0),"")</f>
        <v>0</v>
      </c>
      <c r="L30">
        <f>IFERROR(VLOOKUP($D30,素材!$1:$1016,COLUMN($F$1),FALSE),"")</f>
        <v>0</v>
      </c>
      <c r="M30">
        <f>IFERROR(VLOOKUP($C30,武器!$1:$998,COLUMN(AA$1),FALSE)*VLOOKUP($D30,素材!$1:$1016,COLUMN($G$1),FALSE),"")</f>
        <v>0</v>
      </c>
      <c r="N30">
        <f>IFERROR(VLOOKUP($C30,武器!$1:$998,COLUMN(I$1),FALSE),"")</f>
        <v>0</v>
      </c>
      <c r="O30" s="23">
        <f>IFERROR((VLOOKUP($C30,武器!$1:$998,COLUMN(K$1),FALSE)+VLOOKUP($D30,素材!$1:$1016,COLUMN(H$1),FALSE))*100+IFERROR(VLOOKUP($CI30,装強!$1:$999,COLUMN(O$1),FALSE),0),"")</f>
        <v>5</v>
      </c>
      <c r="P30" s="23">
        <f>IFERROR((VLOOKUP($C30,武器!$1:$998,COLUMN(L$1),FALSE)+VLOOKUP($D30,素材!$1:$1016,COLUMN(I$1),FALSE))*100+IFERROR(VLOOKUP($CI30,装強!$1:$999,COLUMN(P$1),FALSE),0),"")</f>
        <v>150</v>
      </c>
      <c r="Q30">
        <f>IFERROR(ROUNDUP(VLOOKUP($C30,武器!$1:$998,COLUMN(M$1),FALSE)*(VLOOKUP($D30,素材!$1:$1002,COLUMN(D$1),FALSE)/100),1),"")</f>
        <v>-4</v>
      </c>
      <c r="R30">
        <f>IFERROR(ROUNDUP(VLOOKUP($C30,武器!$1:$998,COLUMN(N$1),FALSE)*(VLOOKUP($D30,素材!$1:$1002,COLUMN(D$1),FALSE)/100),1),"")</f>
        <v>-4</v>
      </c>
      <c r="S30">
        <f>IFERROR(VLOOKUP($C30,武器!$1:$998,COLUMN(P$1),FALSE),"")</f>
        <v>0</v>
      </c>
      <c r="T30">
        <f>IFERROR(VLOOKUP($C30,武器!$1:$998,COLUMN(Q$1),FALSE),"")</f>
        <v>0</v>
      </c>
      <c r="U30">
        <f>IFERROR(VLOOKUP($C30,武器!$1:$998,COLUMN(R$1),FALSE),"")</f>
        <v>0</v>
      </c>
      <c r="V30">
        <f>IFERROR(VLOOKUP($C30,武器!$1:$998,COLUMN(Q$1),FALSE),"")</f>
        <v>0</v>
      </c>
      <c r="W30" t="str">
        <f>IFERROR(VLOOKUP($C30,武器!$1:$998,COLUMN(T$1),FALSE),"")</f>
        <v>A</v>
      </c>
      <c r="Y30" t="str">
        <f>IFERROR(VLOOKUP($C30,武器!$1:$998,COLUMN(U$1),FALSE),"")</f>
        <v>魔法無詠唱Ⅲ</v>
      </c>
      <c r="Z30">
        <f>IFERROR(ROUNDUP(VLOOKUP($C30,武器!$1:$998,COLUMN(O$1),FALSE)*VLOOKUP($D30,素材!$1:$1016,COLUMN(E$1),FALSE),1),"")</f>
        <v>0</v>
      </c>
      <c r="AA30">
        <f>IF(ISNUMBER(SEARCH(SUBSTITUTE(AA$1,RIGHT(AA$1,2),""),VLOOKUP($D30,素材!$1:$1016,COLUMN($F$1),FALSE))),VLOOKUP($C30,武器!$1:$998,COLUMN($O$1),FALSE)*VLOOKUP($D30,素材!$1:$1016,COLUMN($E$1),FALSE)/(LEN(VLOOKUP($D30,素材!$1:$1016,COLUMN($F$1),FALSE)) - LEN(SUBSTITUTE(VLOOKUP($D30,素材!$1:$1016,COLUMN($F$1),FALSE), "・", 0)) + 1), 0)</f>
        <v>0</v>
      </c>
      <c r="AB30">
        <f>IF(ISNUMBER(SEARCH(SUBSTITUTE(AB$1,RIGHT(AB$1,2),""),VLOOKUP($D30,素材!$1:$1016,COLUMN($F$1),FALSE))),VLOOKUP($C30,武器!$1:$998,COLUMN($O$1),FALSE)*VLOOKUP($D30,素材!$1:$1016,COLUMN($E$1),FALSE)/(LEN(VLOOKUP($D30,素材!$1:$1016,COLUMN($F$1),FALSE)) - LEN(SUBSTITUTE(VLOOKUP($D30,素材!$1:$1016,COLUMN($F$1),FALSE), "・", 0)) + 1), 0)</f>
        <v>0</v>
      </c>
      <c r="AC30">
        <f>IF(ISNUMBER(SEARCH(SUBSTITUTE(AC$1,RIGHT(AC$1,2),""),VLOOKUP($D30,素材!$1:$1016,COLUMN($F$1),FALSE))),VLOOKUP($C30,武器!$1:$998,COLUMN($O$1),FALSE)*VLOOKUP($D30,素材!$1:$1016,COLUMN($E$1),FALSE)/(LEN(VLOOKUP($D30,素材!$1:$1016,COLUMN($F$1),FALSE)) - LEN(SUBSTITUTE(VLOOKUP($D30,素材!$1:$1016,COLUMN($F$1),FALSE), "・", 0)) + 1), 0)</f>
        <v>0</v>
      </c>
      <c r="AD30">
        <f>IF(ISNUMBER(SEARCH(SUBSTITUTE(AD$1,RIGHT(AD$1,2),""),VLOOKUP($D30,素材!$1:$1016,COLUMN($F$1),FALSE))),VLOOKUP($C30,武器!$1:$998,COLUMN($O$1),FALSE)*VLOOKUP($D30,素材!$1:$1016,COLUMN($E$1),FALSE)/(LEN(VLOOKUP($D30,素材!$1:$1016,COLUMN($F$1),FALSE)) - LEN(SUBSTITUTE(VLOOKUP($D30,素材!$1:$1016,COLUMN($F$1),FALSE), "・", 0)) + 1), 0)</f>
        <v>0</v>
      </c>
      <c r="AE30">
        <f>IF(ISNUMBER(SEARCH(SUBSTITUTE(AE$1,RIGHT(AE$1,2),""),VLOOKUP($D30,素材!$1:$1016,COLUMN($F$1),FALSE))),VLOOKUP($C30,武器!$1:$998,COLUMN($O$1),FALSE)*VLOOKUP($D30,素材!$1:$1016,COLUMN($E$1),FALSE)/(LEN(VLOOKUP($D30,素材!$1:$1016,COLUMN($F$1),FALSE)) - LEN(SUBSTITUTE(VLOOKUP($D30,素材!$1:$1016,COLUMN($F$1),FALSE), "・", 0)) + 1), 0)</f>
        <v>0</v>
      </c>
      <c r="AF30">
        <f>IF(ISNUMBER(SEARCH(SUBSTITUTE(AF$1,RIGHT(AF$1,2),""),VLOOKUP($D30,素材!$1:$1016,COLUMN($F$1),FALSE))),VLOOKUP($C30,武器!$1:$998,COLUMN($O$1),FALSE)*VLOOKUP($D30,素材!$1:$1016,COLUMN($E$1),FALSE)/(LEN(VLOOKUP($D30,素材!$1:$1016,COLUMN($F$1),FALSE)) - LEN(SUBSTITUTE(VLOOKUP($D30,素材!$1:$1016,COLUMN($F$1),FALSE), "・", 0)) + 1), 0)</f>
        <v>0</v>
      </c>
      <c r="AG30">
        <f>IF(ISNUMBER(SEARCH(SUBSTITUTE(AG$1,RIGHT(AG$1,2),""),VLOOKUP($D30,素材!$1:$1016,COLUMN($F$1),FALSE))),VLOOKUP($C30,武器!$1:$998,COLUMN($O$1),FALSE)*VLOOKUP($D30,素材!$1:$1016,COLUMN($E$1),FALSE)/(LEN(VLOOKUP($D30,素材!$1:$1016,COLUMN($F$1),FALSE)) - LEN(SUBSTITUTE(VLOOKUP($D30,素材!$1:$1016,COLUMN($F$1),FALSE), "・", 0)) + 1), 0)</f>
        <v>0</v>
      </c>
      <c r="AH30">
        <f>IF(ISNUMBER(SEARCH(SUBSTITUTE(AH$1,RIGHT(AH$1,2),""),VLOOKUP($D30,素材!$1:$1016,COLUMN($F$1),FALSE))),VLOOKUP($C30,武器!$1:$998,COLUMN($O$1),FALSE)*VLOOKUP($D30,素材!$1:$1016,COLUMN($E$1),FALSE)/(LEN(VLOOKUP($D30,素材!$1:$1016,COLUMN($F$1),FALSE)) - LEN(SUBSTITUTE(VLOOKUP($D30,素材!$1:$1016,COLUMN($F$1),FALSE), "・", 0)) + 1), 0)</f>
        <v>0</v>
      </c>
      <c r="AI30">
        <f>IF(ISNUMBER(SEARCH(SUBSTITUTE(AI$1,RIGHT(AI$1,2),""),VLOOKUP($D30,素材!$1:$1016,COLUMN($F$1),FALSE))),VLOOKUP($C30,武器!$1:$998,COLUMN($O$1),FALSE)*VLOOKUP($D30,素材!$1:$1016,COLUMN($E$1),FALSE)/(LEN(VLOOKUP($D30,素材!$1:$1016,COLUMN($F$1),FALSE)) - LEN(SUBSTITUTE(VLOOKUP($D30,素材!$1:$1016,COLUMN($F$1),FALSE), "・", 0)) + 1), 0)</f>
        <v>0</v>
      </c>
      <c r="AJ30">
        <f>IF(ISNUMBER(SEARCH(SUBSTITUTE(AJ$1,RIGHT(AJ$1,2),""),VLOOKUP($D30,素材!$1:$1016,COLUMN($F$1),FALSE))),VLOOKUP($C30,武器!$1:$998,COLUMN($O$1),FALSE)*VLOOKUP($D30,素材!$1:$1016,COLUMN($E$1),FALSE)/(LEN(VLOOKUP($D30,素材!$1:$1016,COLUMN($F$1),FALSE)) - LEN(SUBSTITUTE(VLOOKUP($D30,素材!$1:$1016,COLUMN($F$1),FALSE), "・", 0)) + 1), 0)</f>
        <v>0</v>
      </c>
      <c r="AK30">
        <f>IF(ISNUMBER(SEARCH(SUBSTITUTE(AK$1,RIGHT(AK$1,2),""),VLOOKUP($D30,素材!$1:$1016,COLUMN($F$1),FALSE))),VLOOKUP($C30,武器!$1:$998,COLUMN($O$1),FALSE)*VLOOKUP($D30,素材!$1:$1016,COLUMN($E$1),FALSE)/(LEN(VLOOKUP($D30,素材!$1:$1016,COLUMN($F$1),FALSE)) - LEN(SUBSTITUTE(VLOOKUP($D30,素材!$1:$1016,COLUMN($F$1),FALSE), "・", 0)) + 1), 0)</f>
        <v>0</v>
      </c>
      <c r="AL30">
        <f>IF(ISNUMBER(SEARCH(SUBSTITUTE(AL$1,RIGHT(AL$1,2),""),VLOOKUP($D30,素材!$1:$1016,COLUMN($F$1),FALSE))),VLOOKUP($C30,武器!$1:$998,COLUMN($O$1),FALSE)*VLOOKUP($D30,素材!$1:$1016,COLUMN($E$1),FALSE)/(LEN(VLOOKUP($D30,素材!$1:$1016,COLUMN($F$1),FALSE)) - LEN(SUBSTITUTE(VLOOKUP($D30,素材!$1:$1016,COLUMN($F$1),FALSE), "・", 0)) + 1), 0)</f>
        <v>0</v>
      </c>
      <c r="AM30">
        <f>IF(ISNUMBER(SEARCH(SUBSTITUTE(AM$1,RIGHT(AM$1,2),""),VLOOKUP($D30,素材!$1:$1016,COLUMN($F$1),FALSE))),VLOOKUP($C30,武器!$1:$998,COLUMN($O$1),FALSE)*VLOOKUP($D30,素材!$1:$1016,COLUMN($E$1),FALSE)/(LEN(VLOOKUP($D30,素材!$1:$1016,COLUMN($F$1),FALSE)) - LEN(SUBSTITUTE(VLOOKUP($D30,素材!$1:$1016,COLUMN($F$1),FALSE), "・", 0)) + 1), 0)</f>
        <v>0</v>
      </c>
      <c r="AN30">
        <f>IF(ISNUMBER(SEARCH(SUBSTITUTE(AN$1,RIGHT(AN$1,2),""),VLOOKUP($D30,素材!$1:$1016,COLUMN($F$1),FALSE))),VLOOKUP($C30,武器!$1:$998,COLUMN($O$1),FALSE)*VLOOKUP($D30,素材!$1:$1016,COLUMN($E$1),FALSE)/(LEN(VLOOKUP($D30,素材!$1:$1016,COLUMN($F$1),FALSE)) - LEN(SUBSTITUTE(VLOOKUP($D30,素材!$1:$1016,COLUMN($F$1),FALSE), "・", 0)) + 1), 0)</f>
        <v>0</v>
      </c>
      <c r="AO30">
        <f>IF(ISNUMBER(SEARCH(SUBSTITUTE(AO$1,RIGHT(AO$1,2),""),VLOOKUP($D30,素材!$1:$1016,COLUMN($F$1),FALSE))),VLOOKUP($C30,武器!$1:$998,COLUMN($O$1),FALSE)*VLOOKUP($D30,素材!$1:$1016,COLUMN($E$1),FALSE)/(LEN(VLOOKUP($D30,素材!$1:$1016,COLUMN($F$1),FALSE)) - LEN(SUBSTITUTE(VLOOKUP($D30,素材!$1:$1016,COLUMN($F$1),FALSE), "・", 0)) + 1), 0)</f>
        <v>0</v>
      </c>
      <c r="AP30">
        <f>IF(ISNUMBER(SEARCH(SUBSTITUTE(AP$1,RIGHT(AP$1,2),""),VLOOKUP($D30,素材!$1:$1016,COLUMN($F$1),FALSE))),VLOOKUP($C30,武器!$1:$998,COLUMN($O$1),FALSE)*VLOOKUP($D30,素材!$1:$1016,COLUMN($E$1),FALSE)/(LEN(VLOOKUP($D30,素材!$1:$1016,COLUMN($F$1),FALSE)) - LEN(SUBSTITUTE(VLOOKUP($D30,素材!$1:$1016,COLUMN($F$1),FALSE), "・", 0)) + 1), 0)</f>
        <v>0</v>
      </c>
      <c r="AQ30">
        <f>IF(ISNUMBER(SEARCH(SUBSTITUTE(AQ$1,RIGHT(AQ$1,2),""),VLOOKUP($D30,素材!$1:$1016,COLUMN($F$1),FALSE))),VLOOKUP($C30,武器!$1:$998,COLUMN($O$1),FALSE)*VLOOKUP($D30,素材!$1:$1016,COLUMN($E$1),FALSE)/(LEN(VLOOKUP($D30,素材!$1:$1016,COLUMN($F$1),FALSE)) - LEN(SUBSTITUTE(VLOOKUP($D30,素材!$1:$1016,COLUMN($F$1),FALSE), "・", 0)) + 1), 0)</f>
        <v>0</v>
      </c>
      <c r="AR30">
        <f>IF(ISNUMBER(SEARCH(SUBSTITUTE(AR$1,RIGHT(AR$1,2),""),VLOOKUP($D30,素材!$1:$1016,COLUMN($F$1),FALSE))),VLOOKUP($C30,武器!$1:$998,COLUMN($O$1),FALSE)*VLOOKUP($D30,素材!$1:$1016,COLUMN($E$1),FALSE)/(LEN(VLOOKUP($D30,素材!$1:$1016,COLUMN($F$1),FALSE)) - LEN(SUBSTITUTE(VLOOKUP($D30,素材!$1:$1016,COLUMN($F$1),FALSE), "・", 0)) + 1), 0)</f>
        <v>0</v>
      </c>
      <c r="AS30">
        <f>IF(ISNUMBER(SEARCH(SUBSTITUTE(AS$1,RIGHT(AS$1,2),""),VLOOKUP($D30,素材!$1:$1016,COLUMN($F$1),FALSE))),VLOOKUP($C30,武器!$1:$998,COLUMN($O$1),FALSE)*VLOOKUP($D30,素材!$1:$1016,COLUMN($E$1),FALSE)/(LEN(VLOOKUP($D30,素材!$1:$1016,COLUMN($F$1),FALSE)) - LEN(SUBSTITUTE(VLOOKUP($D30,素材!$1:$1016,COLUMN($F$1),FALSE), "・", 0)) + 1), 0)</f>
        <v>0</v>
      </c>
      <c r="AT30">
        <f>IF(ISNUMBER(SEARCH(SUBSTITUTE(AT$1,RIGHT(AT$1,2),""),VLOOKUP($D30,素材!$1:$1016,COLUMN($F$1),FALSE))),VLOOKUP($C30,武器!$1:$998,COLUMN($O$1),FALSE)*VLOOKUP($D30,素材!$1:$1016,COLUMN($E$1),FALSE)/(LEN(VLOOKUP($D30,素材!$1:$1016,COLUMN($F$1),FALSE)) - LEN(SUBSTITUTE(VLOOKUP($D30,素材!$1:$1016,COLUMN($F$1),FALSE), "・", 0)) + 1), 0)</f>
        <v>0</v>
      </c>
      <c r="AU30">
        <f>IF(ISNUMBER(SEARCH(SUBSTITUTE(AU$1,RIGHT(AU$1,2),""),VLOOKUP($D30,素材!$1:$1016,COLUMN($F$1),FALSE))),VLOOKUP($C30,武器!$1:$998,COLUMN($O$1),FALSE)*VLOOKUP($D30,素材!$1:$1016,COLUMN($E$1),FALSE)/(LEN(VLOOKUP($D30,素材!$1:$1016,COLUMN($F$1),FALSE)) - LEN(SUBSTITUTE(VLOOKUP($D30,素材!$1:$1016,COLUMN($F$1),FALSE), "・", 0)) + 1), 0)</f>
        <v>0</v>
      </c>
      <c r="AV30">
        <f>IF(ISNUMBER(SEARCH(SUBSTITUTE(AV$1,RIGHT(AV$1,2),""),VLOOKUP($D30,素材!$1:$1016,COLUMN($F$1),FALSE))),VLOOKUP($C30,武器!$1:$998,COLUMN($O$1),FALSE)*VLOOKUP($D30,素材!$1:$1016,COLUMN($E$1),FALSE)/(LEN(VLOOKUP($D30,素材!$1:$1016,COLUMN($F$1),FALSE)) - LEN(SUBSTITUTE(VLOOKUP($D30,素材!$1:$1016,COLUMN($F$1),FALSE), "・", 0)) + 1), 0)</f>
        <v>0</v>
      </c>
      <c r="AW30">
        <f>IF(ISNUMBER(SEARCH(SUBSTITUTE(AW$1,RIGHT(AW$1,2),""),VLOOKUP($D30,素材!$1:$1016,COLUMN($F$1),FALSE))),VLOOKUP($C30,武器!$1:$998,COLUMN($O$1),FALSE)*VLOOKUP($D30,素材!$1:$1016,COLUMN($E$1),FALSE)/(LEN(VLOOKUP($D30,素材!$1:$1016,COLUMN($F$1),FALSE)) - LEN(SUBSTITUTE(VLOOKUP($D30,素材!$1:$1016,COLUMN($F$1),FALSE), "・", 0)) + 1), 0)</f>
        <v>0</v>
      </c>
      <c r="AX30">
        <f>IF(ISNUMBER(SEARCH(SUBSTITUTE(AX$1,RIGHT(AX$1,2),""),VLOOKUP($D30,素材!$1:$1016,COLUMN($F$1),FALSE))),VLOOKUP($C30,武器!$1:$998,COLUMN($O$1),FALSE)*VLOOKUP($D30,素材!$1:$1016,COLUMN($E$1),FALSE)/(LEN(VLOOKUP($D30,素材!$1:$1016,COLUMN($F$1),FALSE)) - LEN(SUBSTITUTE(VLOOKUP($D30,素材!$1:$1016,COLUMN($F$1),FALSE), "・", 0)) + 1), 0)</f>
        <v>0</v>
      </c>
      <c r="AY30">
        <f>IF(ISNUMBER(SEARCH(SUBSTITUTE(AY$1,RIGHT(AY$1,2),""),VLOOKUP($D30,素材!$1:$1016,COLUMN($F$1),FALSE))),VLOOKUP($C30,武器!$1:$998,COLUMN($O$1),FALSE)*VLOOKUP($D30,素材!$1:$1016,COLUMN($E$1),FALSE)/(LEN(VLOOKUP($D30,素材!$1:$1016,COLUMN($F$1),FALSE)) - LEN(SUBSTITUTE(VLOOKUP($D30,素材!$1:$1016,COLUMN($F$1),FALSE), "・", 0)) + 1), 0)</f>
        <v>0</v>
      </c>
      <c r="AZ30">
        <f>IF(ISNUMBER(SEARCH(SUBSTITUTE(AZ$1,RIGHT(AZ$1,2),""),VLOOKUP($D30,素材!$1:$1016,COLUMN($F$1),FALSE))),VLOOKUP($C30,武器!$1:$998,COLUMN($O$1),FALSE)*VLOOKUP($D30,素材!$1:$1016,COLUMN($E$1),FALSE)/(LEN(VLOOKUP($D30,素材!$1:$1016,COLUMN($F$1),FALSE)) - LEN(SUBSTITUTE(VLOOKUP($D30,素材!$1:$1016,COLUMN($F$1),FALSE), "・", 0)) + 1), 0)</f>
        <v>0</v>
      </c>
      <c r="BA30">
        <f>IF(ISNUMBER(SEARCH(SUBSTITUTE(BA$1,RIGHT(BA$1,2),""),VLOOKUP($D30,素材!$1:$1016,COLUMN($F$1),FALSE))),VLOOKUP($C30,武器!$1:$998,COLUMN($O$1),FALSE)*VLOOKUP($D30,素材!$1:$1016,COLUMN($E$1),FALSE)/(LEN(VLOOKUP($D30,素材!$1:$1016,COLUMN($F$1),FALSE)) - LEN(SUBSTITUTE(VLOOKUP($D30,素材!$1:$1016,COLUMN($F$1),FALSE), "・", 0)) + 1), 0)</f>
        <v>0</v>
      </c>
      <c r="BB30">
        <f>IF(ISNUMBER(SEARCH(SUBSTITUTE(BB$1,RIGHT(BB$1,2),""),VLOOKUP($D30,素材!$1:$1016,COLUMN($F$1),FALSE))),VLOOKUP($C30,武器!$1:$998,COLUMN($O$1),FALSE)*VLOOKUP($D30,素材!$1:$1016,COLUMN($E$1),FALSE)/(LEN(VLOOKUP($D30,素材!$1:$1016,COLUMN($F$1),FALSE)) - LEN(SUBSTITUTE(VLOOKUP($D30,素材!$1:$1016,COLUMN($F$1),FALSE), "・", 0)) + 1), 0)</f>
        <v>0</v>
      </c>
      <c r="BC30">
        <f>IF(ISNUMBER(SEARCH(SUBSTITUTE(BC$1,RIGHT(BC$1,2),""),VLOOKUP($D30,素材!$1:$1016,COLUMN($F$1),FALSE))),VLOOKUP($C30,武器!$1:$998,COLUMN($O$1),FALSE)*VLOOKUP($D30,素材!$1:$1016,COLUMN($E$1),FALSE)/(LEN(VLOOKUP($D30,素材!$1:$1016,COLUMN($F$1),FALSE)) - LEN(SUBSTITUTE(VLOOKUP($D30,素材!$1:$1016,COLUMN($F$1),FALSE), "・", 0)) + 1), 0)</f>
        <v>0</v>
      </c>
      <c r="BD30">
        <f>IF(ISNUMBER(SEARCH(SUBSTITUTE(BD$1,RIGHT(BD$1,2),""),VLOOKUP($D30,素材!$1:$1016,COLUMN($F$1),FALSE))),VLOOKUP($C30,武器!$1:$998,COLUMN($O$1),FALSE)*VLOOKUP($D30,素材!$1:$1016,COLUMN($E$1),FALSE)/(LEN(VLOOKUP($D30,素材!$1:$1016,COLUMN($F$1),FALSE)) - LEN(SUBSTITUTE(VLOOKUP($D30,素材!$1:$1016,COLUMN($F$1),FALSE), "・", 0)) + 1), 0)</f>
        <v>0</v>
      </c>
      <c r="BE30">
        <f>IF(ISNUMBER(SEARCH(SUBSTITUTE(BE$1,RIGHT(BE$1,2),""),VLOOKUP($D30,素材!$1:$1016,COLUMN($F$1),FALSE))),VLOOKUP($C30,武器!$1:$998,COLUMN($O$1),FALSE)*VLOOKUP($D30,素材!$1:$1016,COLUMN($E$1),FALSE)/(LEN(VLOOKUP($D30,素材!$1:$1016,COLUMN($F$1),FALSE)) - LEN(SUBSTITUTE(VLOOKUP($D30,素材!$1:$1016,COLUMN($F$1),FALSE), "・", 0)) + 1), 0)</f>
        <v>0</v>
      </c>
      <c r="CL30">
        <f>SUM(G30:I30)</f>
        <v>22</v>
      </c>
      <c r="CM30" s="22" t="str">
        <f>IF(E30="武器",IF(J30-1&gt;SUM(G30:I30),"盾",IF(MAX(G30:I30)=G30,"切断",IF(MAX(G30:I30)=H30,"貫通",IF(MAX(G30:I30)=I30,"打撃","射撃")))),E30)&amp;".webp"</f>
        <v>杖.webp</v>
      </c>
      <c r="CN30">
        <f>IFERROR(VLOOKUP($C30,武器!$1:$998,COLUMN(V$1),FALSE)*VLOOKUP($D30,素材!$1:$1016,COLUMN(N$1),FALSE)+IF(CI30="",0,VLOOKUP($CI30,装強!$1:$1008,COLUMN($CK$1),FALSE)),"")</f>
        <v>600</v>
      </c>
      <c r="CO30" t="str">
        <f>VLOOKUP(D30,素材!$A:$O,COLUMN(素材!O$1),FALSE)</f>
        <v>一般的な鉄。量産品を作るのに使用されることが多い</v>
      </c>
      <c r="CP30" t="str">
        <f>VLOOKUP(C30,武器!$A:$W,COLUMN(武器!W$1),FALSE)</f>
        <v>長杖。強力な魔法を扱える杖だが、重い。</v>
      </c>
      <c r="CR30" t="str">
        <f t="shared" si="1"/>
        <v>e_30</v>
      </c>
      <c r="CS30">
        <f t="shared" si="2"/>
        <v>60000</v>
      </c>
    </row>
    <row r="31" spans="1:97" outlineLevel="1" x14ac:dyDescent="0.4">
      <c r="A31" t="str">
        <f t="shared" si="0"/>
        <v>鉄の軽射出弓</v>
      </c>
      <c r="B31" t="str">
        <f>IFERROR(VLOOKUP($D31,素材!$1:$1016,COLUMN($B$1),FALSE)&amp;"・"&amp;VLOOKUP($C31,武器!$1:$998,COLUMN(B$1),FALSE),"")</f>
        <v>アイアン・ライトクロスボウ</v>
      </c>
      <c r="C31" t="s">
        <v>214</v>
      </c>
      <c r="D31" s="24" t="s">
        <v>257</v>
      </c>
      <c r="E31" t="str">
        <f>IFERROR(VLOOKUP(C31,武器!$1:$998,COLUMN(C$1),FALSE),"")</f>
        <v>銃</v>
      </c>
      <c r="F31">
        <f>IFERROR(ROUNDDOWN((VLOOKUP($C31,武器!$1:$998,COLUMN(D$1),FALSE)+IFERROR(VLOOKUP($CI31,装強!$1:$999,COLUMN(F$1),FALSE),0))*VLOOKUP($D31,素材!$1:$1016,COLUMN(D$1),FALSE),0),"")</f>
        <v>0</v>
      </c>
      <c r="G31">
        <f>IFERROR(ROUNDDOWN((VLOOKUP($C31,武器!$1:$998,COLUMN(E$1),FALSE)+IFERROR(VLOOKUP($CI31,装強!$1:$999,COLUMN(G$1),FALSE),0))*VLOOKUP($D31,素材!$1:$1016,COLUMN($E$1),FALSE),0),"")</f>
        <v>0</v>
      </c>
      <c r="H31">
        <f>IFERROR(ROUNDDOWN((VLOOKUP($C31,武器!$1:$998,COLUMN(F$1),FALSE)+IFERROR(VLOOKUP($CI31,装強!$1:$999,COLUMN(H$1),FALSE),0))*VLOOKUP($D31,素材!$1:$1016,COLUMN($E$1),FALSE),0),"")</f>
        <v>0</v>
      </c>
      <c r="I31">
        <f>IFERROR(ROUNDDOWN((VLOOKUP($C31,武器!$1:$998,COLUMN(G$1),FALSE)+IFERROR(VLOOKUP($CI31,装強!$1:$999,COLUMN(I$1),FALSE),0))*VLOOKUP($D31,素材!$1:$1016,COLUMN($E$1),FALSE),0),"")</f>
        <v>0</v>
      </c>
      <c r="J31">
        <f>IFERROR(ROUNDDOWN((VLOOKUP($C31,武器!$1:$998,COLUMN(H$1),FALSE)+IFERROR(VLOOKUP($CI31,装強!$1:$999,COLUMN(J$1),FALSE),0))*VLOOKUP($D31,素材!$1:$1016,COLUMN($E$1),FALSE),0),"")</f>
        <v>0</v>
      </c>
      <c r="K31">
        <f>IFERROR(ROUNDDOWN((VLOOKUP($C31,武器!$1:$998,COLUMN(I$1),FALSE)+IFERROR(VLOOKUP($CI31,装強!$1:$999,COLUMN(K$1),FALSE),0))*VLOOKUP($D31,素材!$1:$1016,COLUMN($E$1),FALSE),0),"")</f>
        <v>54</v>
      </c>
      <c r="L31">
        <f>IFERROR(VLOOKUP($D31,素材!$1:$1016,COLUMN($F$1),FALSE),"")</f>
        <v>0</v>
      </c>
      <c r="M31">
        <f>IFERROR(VLOOKUP($C31,武器!$1:$998,COLUMN(AA$1),FALSE)*VLOOKUP($D31,素材!$1:$1016,COLUMN($G$1),FALSE),"")</f>
        <v>0</v>
      </c>
      <c r="N31">
        <f>IFERROR(VLOOKUP($C31,武器!$1:$998,COLUMN(I$1),FALSE),"")</f>
        <v>2.7</v>
      </c>
      <c r="O31" s="23">
        <f>IFERROR((VLOOKUP($C31,武器!$1:$998,COLUMN(K$1),FALSE)+VLOOKUP($D31,素材!$1:$1016,COLUMN(H$1),FALSE))*100+IFERROR(VLOOKUP($CI31,装強!$1:$999,COLUMN(O$1),FALSE),0),"")</f>
        <v>10</v>
      </c>
      <c r="P31" s="23">
        <f>IFERROR((VLOOKUP($C31,武器!$1:$998,COLUMN(L$1),FALSE)+VLOOKUP($D31,素材!$1:$1016,COLUMN(I$1),FALSE))*100+IFERROR(VLOOKUP($CI31,装強!$1:$999,COLUMN(P$1),FALSE),0),"")</f>
        <v>150</v>
      </c>
      <c r="Q31">
        <f>IFERROR(ROUNDUP(VLOOKUP($C31,武器!$1:$998,COLUMN(M$1),FALSE)*(VLOOKUP($D31,素材!$1:$1002,COLUMN(D$1),FALSE)/100),1),"")</f>
        <v>0</v>
      </c>
      <c r="R31">
        <f>IFERROR(ROUNDUP(VLOOKUP($C31,武器!$1:$998,COLUMN(N$1),FALSE)*(VLOOKUP($D31,素材!$1:$1002,COLUMN(D$1),FALSE)/100),1),"")</f>
        <v>0</v>
      </c>
      <c r="S31">
        <f>IFERROR(VLOOKUP($C31,武器!$1:$998,COLUMN(P$1),FALSE),"")</f>
        <v>0</v>
      </c>
      <c r="T31">
        <f>IFERROR(VLOOKUP($C31,武器!$1:$998,COLUMN(Q$1),FALSE),"")</f>
        <v>1</v>
      </c>
      <c r="U31">
        <f>IFERROR(VLOOKUP($C31,武器!$1:$998,COLUMN(R$1),FALSE),"")</f>
        <v>1</v>
      </c>
      <c r="V31">
        <f>IFERROR(VLOOKUP($C31,武器!$1:$998,COLUMN(Q$1),FALSE),"")</f>
        <v>1</v>
      </c>
      <c r="W31" t="str">
        <f>IFERROR(VLOOKUP($C31,武器!$1:$998,COLUMN(T$1),FALSE),"")</f>
        <v>Q</v>
      </c>
      <c r="Y31">
        <f>IFERROR(VLOOKUP($C31,武器!$1:$998,COLUMN(U$1),FALSE),"")</f>
        <v>0</v>
      </c>
      <c r="Z31">
        <f>IFERROR(ROUNDUP(VLOOKUP($C31,武器!$1:$998,COLUMN(O$1),FALSE)*VLOOKUP($D31,素材!$1:$1016,COLUMN(E$1),FALSE),1),"")</f>
        <v>0</v>
      </c>
      <c r="AA31">
        <f>IF(ISNUMBER(SEARCH(SUBSTITUTE(AA$1,RIGHT(AA$1,2),""),VLOOKUP($D31,素材!$1:$1016,COLUMN($F$1),FALSE))),VLOOKUP($C31,武器!$1:$998,COLUMN($O$1),FALSE)*VLOOKUP($D31,素材!$1:$1016,COLUMN($E$1),FALSE)/(LEN(VLOOKUP($D31,素材!$1:$1016,COLUMN($F$1),FALSE)) - LEN(SUBSTITUTE(VLOOKUP($D31,素材!$1:$1016,COLUMN($F$1),FALSE), "・", 0)) + 1), 0)</f>
        <v>0</v>
      </c>
      <c r="AB31">
        <f>IF(ISNUMBER(SEARCH(SUBSTITUTE(AB$1,RIGHT(AB$1,2),""),VLOOKUP($D31,素材!$1:$1016,COLUMN($F$1),FALSE))),VLOOKUP($C31,武器!$1:$998,COLUMN($O$1),FALSE)*VLOOKUP($D31,素材!$1:$1016,COLUMN($E$1),FALSE)/(LEN(VLOOKUP($D31,素材!$1:$1016,COLUMN($F$1),FALSE)) - LEN(SUBSTITUTE(VLOOKUP($D31,素材!$1:$1016,COLUMN($F$1),FALSE), "・", 0)) + 1), 0)</f>
        <v>0</v>
      </c>
      <c r="AC31">
        <f>IF(ISNUMBER(SEARCH(SUBSTITUTE(AC$1,RIGHT(AC$1,2),""),VLOOKUP($D31,素材!$1:$1016,COLUMN($F$1),FALSE))),VLOOKUP($C31,武器!$1:$998,COLUMN($O$1),FALSE)*VLOOKUP($D31,素材!$1:$1016,COLUMN($E$1),FALSE)/(LEN(VLOOKUP($D31,素材!$1:$1016,COLUMN($F$1),FALSE)) - LEN(SUBSTITUTE(VLOOKUP($D31,素材!$1:$1016,COLUMN($F$1),FALSE), "・", 0)) + 1), 0)</f>
        <v>0</v>
      </c>
      <c r="AD31">
        <f>IF(ISNUMBER(SEARCH(SUBSTITUTE(AD$1,RIGHT(AD$1,2),""),VLOOKUP($D31,素材!$1:$1016,COLUMN($F$1),FALSE))),VLOOKUP($C31,武器!$1:$998,COLUMN($O$1),FALSE)*VLOOKUP($D31,素材!$1:$1016,COLUMN($E$1),FALSE)/(LEN(VLOOKUP($D31,素材!$1:$1016,COLUMN($F$1),FALSE)) - LEN(SUBSTITUTE(VLOOKUP($D31,素材!$1:$1016,COLUMN($F$1),FALSE), "・", 0)) + 1), 0)</f>
        <v>0</v>
      </c>
      <c r="AE31">
        <f>IF(ISNUMBER(SEARCH(SUBSTITUTE(AE$1,RIGHT(AE$1,2),""),VLOOKUP($D31,素材!$1:$1016,COLUMN($F$1),FALSE))),VLOOKUP($C31,武器!$1:$998,COLUMN($O$1),FALSE)*VLOOKUP($D31,素材!$1:$1016,COLUMN($E$1),FALSE)/(LEN(VLOOKUP($D31,素材!$1:$1016,COLUMN($F$1),FALSE)) - LEN(SUBSTITUTE(VLOOKUP($D31,素材!$1:$1016,COLUMN($F$1),FALSE), "・", 0)) + 1), 0)</f>
        <v>0</v>
      </c>
      <c r="AF31">
        <f>IF(ISNUMBER(SEARCH(SUBSTITUTE(AF$1,RIGHT(AF$1,2),""),VLOOKUP($D31,素材!$1:$1016,COLUMN($F$1),FALSE))),VLOOKUP($C31,武器!$1:$998,COLUMN($O$1),FALSE)*VLOOKUP($D31,素材!$1:$1016,COLUMN($E$1),FALSE)/(LEN(VLOOKUP($D31,素材!$1:$1016,COLUMN($F$1),FALSE)) - LEN(SUBSTITUTE(VLOOKUP($D31,素材!$1:$1016,COLUMN($F$1),FALSE), "・", 0)) + 1), 0)</f>
        <v>0</v>
      </c>
      <c r="AG31">
        <f>IF(ISNUMBER(SEARCH(SUBSTITUTE(AG$1,RIGHT(AG$1,2),""),VLOOKUP($D31,素材!$1:$1016,COLUMN($F$1),FALSE))),VLOOKUP($C31,武器!$1:$998,COLUMN($O$1),FALSE)*VLOOKUP($D31,素材!$1:$1016,COLUMN($E$1),FALSE)/(LEN(VLOOKUP($D31,素材!$1:$1016,COLUMN($F$1),FALSE)) - LEN(SUBSTITUTE(VLOOKUP($D31,素材!$1:$1016,COLUMN($F$1),FALSE), "・", 0)) + 1), 0)</f>
        <v>0</v>
      </c>
      <c r="AH31">
        <f>IF(ISNUMBER(SEARCH(SUBSTITUTE(AH$1,RIGHT(AH$1,2),""),VLOOKUP($D31,素材!$1:$1016,COLUMN($F$1),FALSE))),VLOOKUP($C31,武器!$1:$998,COLUMN($O$1),FALSE)*VLOOKUP($D31,素材!$1:$1016,COLUMN($E$1),FALSE)/(LEN(VLOOKUP($D31,素材!$1:$1016,COLUMN($F$1),FALSE)) - LEN(SUBSTITUTE(VLOOKUP($D31,素材!$1:$1016,COLUMN($F$1),FALSE), "・", 0)) + 1), 0)</f>
        <v>0</v>
      </c>
      <c r="AI31">
        <f>IF(ISNUMBER(SEARCH(SUBSTITUTE(AI$1,RIGHT(AI$1,2),""),VLOOKUP($D31,素材!$1:$1016,COLUMN($F$1),FALSE))),VLOOKUP($C31,武器!$1:$998,COLUMN($O$1),FALSE)*VLOOKUP($D31,素材!$1:$1016,COLUMN($E$1),FALSE)/(LEN(VLOOKUP($D31,素材!$1:$1016,COLUMN($F$1),FALSE)) - LEN(SUBSTITUTE(VLOOKUP($D31,素材!$1:$1016,COLUMN($F$1),FALSE), "・", 0)) + 1), 0)</f>
        <v>0</v>
      </c>
      <c r="AJ31">
        <f>IF(ISNUMBER(SEARCH(SUBSTITUTE(AJ$1,RIGHT(AJ$1,2),""),VLOOKUP($D31,素材!$1:$1016,COLUMN($F$1),FALSE))),VLOOKUP($C31,武器!$1:$998,COLUMN($O$1),FALSE)*VLOOKUP($D31,素材!$1:$1016,COLUMN($E$1),FALSE)/(LEN(VLOOKUP($D31,素材!$1:$1016,COLUMN($F$1),FALSE)) - LEN(SUBSTITUTE(VLOOKUP($D31,素材!$1:$1016,COLUMN($F$1),FALSE), "・", 0)) + 1), 0)</f>
        <v>0</v>
      </c>
      <c r="AK31">
        <f>IF(ISNUMBER(SEARCH(SUBSTITUTE(AK$1,RIGHT(AK$1,2),""),VLOOKUP($D31,素材!$1:$1016,COLUMN($F$1),FALSE))),VLOOKUP($C31,武器!$1:$998,COLUMN($O$1),FALSE)*VLOOKUP($D31,素材!$1:$1016,COLUMN($E$1),FALSE)/(LEN(VLOOKUP($D31,素材!$1:$1016,COLUMN($F$1),FALSE)) - LEN(SUBSTITUTE(VLOOKUP($D31,素材!$1:$1016,COLUMN($F$1),FALSE), "・", 0)) + 1), 0)</f>
        <v>0</v>
      </c>
      <c r="AL31">
        <f>IF(ISNUMBER(SEARCH(SUBSTITUTE(AL$1,RIGHT(AL$1,2),""),VLOOKUP($D31,素材!$1:$1016,COLUMN($F$1),FALSE))),VLOOKUP($C31,武器!$1:$998,COLUMN($O$1),FALSE)*VLOOKUP($D31,素材!$1:$1016,COLUMN($E$1),FALSE)/(LEN(VLOOKUP($D31,素材!$1:$1016,COLUMN($F$1),FALSE)) - LEN(SUBSTITUTE(VLOOKUP($D31,素材!$1:$1016,COLUMN($F$1),FALSE), "・", 0)) + 1), 0)</f>
        <v>0</v>
      </c>
      <c r="AM31">
        <f>IF(ISNUMBER(SEARCH(SUBSTITUTE(AM$1,RIGHT(AM$1,2),""),VLOOKUP($D31,素材!$1:$1016,COLUMN($F$1),FALSE))),VLOOKUP($C31,武器!$1:$998,COLUMN($O$1),FALSE)*VLOOKUP($D31,素材!$1:$1016,COLUMN($E$1),FALSE)/(LEN(VLOOKUP($D31,素材!$1:$1016,COLUMN($F$1),FALSE)) - LEN(SUBSTITUTE(VLOOKUP($D31,素材!$1:$1016,COLUMN($F$1),FALSE), "・", 0)) + 1), 0)</f>
        <v>0</v>
      </c>
      <c r="AN31">
        <f>IF(ISNUMBER(SEARCH(SUBSTITUTE(AN$1,RIGHT(AN$1,2),""),VLOOKUP($D31,素材!$1:$1016,COLUMN($F$1),FALSE))),VLOOKUP($C31,武器!$1:$998,COLUMN($O$1),FALSE)*VLOOKUP($D31,素材!$1:$1016,COLUMN($E$1),FALSE)/(LEN(VLOOKUP($D31,素材!$1:$1016,COLUMN($F$1),FALSE)) - LEN(SUBSTITUTE(VLOOKUP($D31,素材!$1:$1016,COLUMN($F$1),FALSE), "・", 0)) + 1), 0)</f>
        <v>0</v>
      </c>
      <c r="AO31">
        <f>IF(ISNUMBER(SEARCH(SUBSTITUTE(AO$1,RIGHT(AO$1,2),""),VLOOKUP($D31,素材!$1:$1016,COLUMN($F$1),FALSE))),VLOOKUP($C31,武器!$1:$998,COLUMN($O$1),FALSE)*VLOOKUP($D31,素材!$1:$1016,COLUMN($E$1),FALSE)/(LEN(VLOOKUP($D31,素材!$1:$1016,COLUMN($F$1),FALSE)) - LEN(SUBSTITUTE(VLOOKUP($D31,素材!$1:$1016,COLUMN($F$1),FALSE), "・", 0)) + 1), 0)</f>
        <v>0</v>
      </c>
      <c r="AP31">
        <f>IF(ISNUMBER(SEARCH(SUBSTITUTE(AP$1,RIGHT(AP$1,2),""),VLOOKUP($D31,素材!$1:$1016,COLUMN($F$1),FALSE))),VLOOKUP($C31,武器!$1:$998,COLUMN($O$1),FALSE)*VLOOKUP($D31,素材!$1:$1016,COLUMN($E$1),FALSE)/(LEN(VLOOKUP($D31,素材!$1:$1016,COLUMN($F$1),FALSE)) - LEN(SUBSTITUTE(VLOOKUP($D31,素材!$1:$1016,COLUMN($F$1),FALSE), "・", 0)) + 1), 0)</f>
        <v>0</v>
      </c>
      <c r="AQ31">
        <f>IF(ISNUMBER(SEARCH(SUBSTITUTE(AQ$1,RIGHT(AQ$1,2),""),VLOOKUP($D31,素材!$1:$1016,COLUMN($F$1),FALSE))),VLOOKUP($C31,武器!$1:$998,COLUMN($O$1),FALSE)*VLOOKUP($D31,素材!$1:$1016,COLUMN($E$1),FALSE)/(LEN(VLOOKUP($D31,素材!$1:$1016,COLUMN($F$1),FALSE)) - LEN(SUBSTITUTE(VLOOKUP($D31,素材!$1:$1016,COLUMN($F$1),FALSE), "・", 0)) + 1), 0)</f>
        <v>0</v>
      </c>
      <c r="AR31">
        <f>IF(ISNUMBER(SEARCH(SUBSTITUTE(AR$1,RIGHT(AR$1,2),""),VLOOKUP($D31,素材!$1:$1016,COLUMN($F$1),FALSE))),VLOOKUP($C31,武器!$1:$998,COLUMN($O$1),FALSE)*VLOOKUP($D31,素材!$1:$1016,COLUMN($E$1),FALSE)/(LEN(VLOOKUP($D31,素材!$1:$1016,COLUMN($F$1),FALSE)) - LEN(SUBSTITUTE(VLOOKUP($D31,素材!$1:$1016,COLUMN($F$1),FALSE), "・", 0)) + 1), 0)</f>
        <v>0</v>
      </c>
      <c r="AS31">
        <f>IF(ISNUMBER(SEARCH(SUBSTITUTE(AS$1,RIGHT(AS$1,2),""),VLOOKUP($D31,素材!$1:$1016,COLUMN($F$1),FALSE))),VLOOKUP($C31,武器!$1:$998,COLUMN($O$1),FALSE)*VLOOKUP($D31,素材!$1:$1016,COLUMN($E$1),FALSE)/(LEN(VLOOKUP($D31,素材!$1:$1016,COLUMN($F$1),FALSE)) - LEN(SUBSTITUTE(VLOOKUP($D31,素材!$1:$1016,COLUMN($F$1),FALSE), "・", 0)) + 1), 0)</f>
        <v>0</v>
      </c>
      <c r="AT31">
        <f>IF(ISNUMBER(SEARCH(SUBSTITUTE(AT$1,RIGHT(AT$1,2),""),VLOOKUP($D31,素材!$1:$1016,COLUMN($F$1),FALSE))),VLOOKUP($C31,武器!$1:$998,COLUMN($O$1),FALSE)*VLOOKUP($D31,素材!$1:$1016,COLUMN($E$1),FALSE)/(LEN(VLOOKUP($D31,素材!$1:$1016,COLUMN($F$1),FALSE)) - LEN(SUBSTITUTE(VLOOKUP($D31,素材!$1:$1016,COLUMN($F$1),FALSE), "・", 0)) + 1), 0)</f>
        <v>0</v>
      </c>
      <c r="AU31">
        <f>IF(ISNUMBER(SEARCH(SUBSTITUTE(AU$1,RIGHT(AU$1,2),""),VLOOKUP($D31,素材!$1:$1016,COLUMN($F$1),FALSE))),VLOOKUP($C31,武器!$1:$998,COLUMN($O$1),FALSE)*VLOOKUP($D31,素材!$1:$1016,COLUMN($E$1),FALSE)/(LEN(VLOOKUP($D31,素材!$1:$1016,COLUMN($F$1),FALSE)) - LEN(SUBSTITUTE(VLOOKUP($D31,素材!$1:$1016,COLUMN($F$1),FALSE), "・", 0)) + 1), 0)</f>
        <v>0</v>
      </c>
      <c r="AV31">
        <f>IF(ISNUMBER(SEARCH(SUBSTITUTE(AV$1,RIGHT(AV$1,2),""),VLOOKUP($D31,素材!$1:$1016,COLUMN($F$1),FALSE))),VLOOKUP($C31,武器!$1:$998,COLUMN($O$1),FALSE)*VLOOKUP($D31,素材!$1:$1016,COLUMN($E$1),FALSE)/(LEN(VLOOKUP($D31,素材!$1:$1016,COLUMN($F$1),FALSE)) - LEN(SUBSTITUTE(VLOOKUP($D31,素材!$1:$1016,COLUMN($F$1),FALSE), "・", 0)) + 1), 0)</f>
        <v>0</v>
      </c>
      <c r="AW31">
        <f>IF(ISNUMBER(SEARCH(SUBSTITUTE(AW$1,RIGHT(AW$1,2),""),VLOOKUP($D31,素材!$1:$1016,COLUMN($F$1),FALSE))),VLOOKUP($C31,武器!$1:$998,COLUMN($O$1),FALSE)*VLOOKUP($D31,素材!$1:$1016,COLUMN($E$1),FALSE)/(LEN(VLOOKUP($D31,素材!$1:$1016,COLUMN($F$1),FALSE)) - LEN(SUBSTITUTE(VLOOKUP($D31,素材!$1:$1016,COLUMN($F$1),FALSE), "・", 0)) + 1), 0)</f>
        <v>0</v>
      </c>
      <c r="AX31">
        <f>IF(ISNUMBER(SEARCH(SUBSTITUTE(AX$1,RIGHT(AX$1,2),""),VLOOKUP($D31,素材!$1:$1016,COLUMN($F$1),FALSE))),VLOOKUP($C31,武器!$1:$998,COLUMN($O$1),FALSE)*VLOOKUP($D31,素材!$1:$1016,COLUMN($E$1),FALSE)/(LEN(VLOOKUP($D31,素材!$1:$1016,COLUMN($F$1),FALSE)) - LEN(SUBSTITUTE(VLOOKUP($D31,素材!$1:$1016,COLUMN($F$1),FALSE), "・", 0)) + 1), 0)</f>
        <v>0</v>
      </c>
      <c r="AY31">
        <f>IF(ISNUMBER(SEARCH(SUBSTITUTE(AY$1,RIGHT(AY$1,2),""),VLOOKUP($D31,素材!$1:$1016,COLUMN($F$1),FALSE))),VLOOKUP($C31,武器!$1:$998,COLUMN($O$1),FALSE)*VLOOKUP($D31,素材!$1:$1016,COLUMN($E$1),FALSE)/(LEN(VLOOKUP($D31,素材!$1:$1016,COLUMN($F$1),FALSE)) - LEN(SUBSTITUTE(VLOOKUP($D31,素材!$1:$1016,COLUMN($F$1),FALSE), "・", 0)) + 1), 0)</f>
        <v>0</v>
      </c>
      <c r="AZ31">
        <f>IF(ISNUMBER(SEARCH(SUBSTITUTE(AZ$1,RIGHT(AZ$1,2),""),VLOOKUP($D31,素材!$1:$1016,COLUMN($F$1),FALSE))),VLOOKUP($C31,武器!$1:$998,COLUMN($O$1),FALSE)*VLOOKUP($D31,素材!$1:$1016,COLUMN($E$1),FALSE)/(LEN(VLOOKUP($D31,素材!$1:$1016,COLUMN($F$1),FALSE)) - LEN(SUBSTITUTE(VLOOKUP($D31,素材!$1:$1016,COLUMN($F$1),FALSE), "・", 0)) + 1), 0)</f>
        <v>0</v>
      </c>
      <c r="BA31">
        <f>IF(ISNUMBER(SEARCH(SUBSTITUTE(BA$1,RIGHT(BA$1,2),""),VLOOKUP($D31,素材!$1:$1016,COLUMN($F$1),FALSE))),VLOOKUP($C31,武器!$1:$998,COLUMN($O$1),FALSE)*VLOOKUP($D31,素材!$1:$1016,COLUMN($E$1),FALSE)/(LEN(VLOOKUP($D31,素材!$1:$1016,COLUMN($F$1),FALSE)) - LEN(SUBSTITUTE(VLOOKUP($D31,素材!$1:$1016,COLUMN($F$1),FALSE), "・", 0)) + 1), 0)</f>
        <v>0</v>
      </c>
      <c r="BB31">
        <f>IF(ISNUMBER(SEARCH(SUBSTITUTE(BB$1,RIGHT(BB$1,2),""),VLOOKUP($D31,素材!$1:$1016,COLUMN($F$1),FALSE))),VLOOKUP($C31,武器!$1:$998,COLUMN($O$1),FALSE)*VLOOKUP($D31,素材!$1:$1016,COLUMN($E$1),FALSE)/(LEN(VLOOKUP($D31,素材!$1:$1016,COLUMN($F$1),FALSE)) - LEN(SUBSTITUTE(VLOOKUP($D31,素材!$1:$1016,COLUMN($F$1),FALSE), "・", 0)) + 1), 0)</f>
        <v>0</v>
      </c>
      <c r="BC31">
        <f>IF(ISNUMBER(SEARCH(SUBSTITUTE(BC$1,RIGHT(BC$1,2),""),VLOOKUP($D31,素材!$1:$1016,COLUMN($F$1),FALSE))),VLOOKUP($C31,武器!$1:$998,COLUMN($O$1),FALSE)*VLOOKUP($D31,素材!$1:$1016,COLUMN($E$1),FALSE)/(LEN(VLOOKUP($D31,素材!$1:$1016,COLUMN($F$1),FALSE)) - LEN(SUBSTITUTE(VLOOKUP($D31,素材!$1:$1016,COLUMN($F$1),FALSE), "・", 0)) + 1), 0)</f>
        <v>0</v>
      </c>
      <c r="BD31">
        <f>IF(ISNUMBER(SEARCH(SUBSTITUTE(BD$1,RIGHT(BD$1,2),""),VLOOKUP($D31,素材!$1:$1016,COLUMN($F$1),FALSE))),VLOOKUP($C31,武器!$1:$998,COLUMN($O$1),FALSE)*VLOOKUP($D31,素材!$1:$1016,COLUMN($E$1),FALSE)/(LEN(VLOOKUP($D31,素材!$1:$1016,COLUMN($F$1),FALSE)) - LEN(SUBSTITUTE(VLOOKUP($D31,素材!$1:$1016,COLUMN($F$1),FALSE), "・", 0)) + 1), 0)</f>
        <v>0</v>
      </c>
      <c r="BE31">
        <f>IF(ISNUMBER(SEARCH(SUBSTITUTE(BE$1,RIGHT(BE$1,2),""),VLOOKUP($D31,素材!$1:$1016,COLUMN($F$1),FALSE))),VLOOKUP($C31,武器!$1:$998,COLUMN($O$1),FALSE)*VLOOKUP($D31,素材!$1:$1016,COLUMN($E$1),FALSE)/(LEN(VLOOKUP($D31,素材!$1:$1016,COLUMN($F$1),FALSE)) - LEN(SUBSTITUTE(VLOOKUP($D31,素材!$1:$1016,COLUMN($F$1),FALSE), "・", 0)) + 1), 0)</f>
        <v>0</v>
      </c>
      <c r="CL31">
        <f>SUM(G31:I31)</f>
        <v>0</v>
      </c>
      <c r="CM31" s="22" t="str">
        <f>IF(E31="武器",IF(J31-1&gt;SUM(G31:I31),"盾",IF(MAX(G31:I31)=G31,"切断",IF(MAX(G31:I31)=H31,"貫通",IF(MAX(G31:I31)=I31,"打撃","射撃")))),E31)&amp;".webp"</f>
        <v>銃.webp</v>
      </c>
      <c r="CN31">
        <f>IFERROR(VLOOKUP($C31,武器!$1:$998,COLUMN(V$1),FALSE)*VLOOKUP($D31,素材!$1:$1016,COLUMN(N$1),FALSE)+IF(CI31="",0,VLOOKUP($CI31,装強!$1:$1008,COLUMN($CK$1),FALSE)),"")</f>
        <v>500</v>
      </c>
      <c r="CO31" t="str">
        <f>VLOOKUP(D31,素材!$A:$O,COLUMN(素材!O$1),FALSE)</f>
        <v>一般的な鉄。量産品を作るのに使用されることが多い</v>
      </c>
      <c r="CP31" t="str">
        <f>VLOOKUP(C31,武器!$A:$W,COLUMN(武器!W$1),FALSE)</f>
        <v/>
      </c>
      <c r="CR31" t="str">
        <f t="shared" si="1"/>
        <v>e_31</v>
      </c>
      <c r="CS31">
        <f t="shared" si="2"/>
        <v>50000</v>
      </c>
    </row>
    <row r="32" spans="1:97" outlineLevel="1" x14ac:dyDescent="0.4">
      <c r="A32" t="str">
        <f t="shared" si="0"/>
        <v>鉄の射出弓</v>
      </c>
      <c r="B32" t="str">
        <f>IFERROR(VLOOKUP($D32,素材!$1:$1016,COLUMN($B$1),FALSE)&amp;"・"&amp;VLOOKUP($C32,武器!$1:$998,COLUMN(B$1),FALSE),"")</f>
        <v>アイアン・クロスボウ</v>
      </c>
      <c r="C32" t="s">
        <v>213</v>
      </c>
      <c r="D32" s="24" t="s">
        <v>257</v>
      </c>
      <c r="E32" t="str">
        <f>IFERROR(VLOOKUP(C32,武器!$1:$998,COLUMN(C$1),FALSE),"")</f>
        <v>銃</v>
      </c>
      <c r="F32">
        <f>IFERROR(ROUNDDOWN((VLOOKUP($C32,武器!$1:$998,COLUMN(D$1),FALSE)+IFERROR(VLOOKUP($CI32,装強!$1:$999,COLUMN(F$1),FALSE),0))*VLOOKUP($D32,素材!$1:$1016,COLUMN(D$1),FALSE),0),"")</f>
        <v>0</v>
      </c>
      <c r="G32">
        <f>IFERROR(ROUNDDOWN((VLOOKUP($C32,武器!$1:$998,COLUMN(E$1),FALSE)+IFERROR(VLOOKUP($CI32,装強!$1:$999,COLUMN(G$1),FALSE),0))*VLOOKUP($D32,素材!$1:$1016,COLUMN($E$1),FALSE),0),"")</f>
        <v>0</v>
      </c>
      <c r="H32">
        <f>IFERROR(ROUNDDOWN((VLOOKUP($C32,武器!$1:$998,COLUMN(F$1),FALSE)+IFERROR(VLOOKUP($CI32,装強!$1:$999,COLUMN(H$1),FALSE),0))*VLOOKUP($D32,素材!$1:$1016,COLUMN($E$1),FALSE),0),"")</f>
        <v>0</v>
      </c>
      <c r="I32">
        <f>IFERROR(ROUNDDOWN((VLOOKUP($C32,武器!$1:$998,COLUMN(G$1),FALSE)+IFERROR(VLOOKUP($CI32,装強!$1:$999,COLUMN(I$1),FALSE),0))*VLOOKUP($D32,素材!$1:$1016,COLUMN($E$1),FALSE),0),"")</f>
        <v>0</v>
      </c>
      <c r="J32">
        <f>IFERROR(ROUNDDOWN((VLOOKUP($C32,武器!$1:$998,COLUMN(H$1),FALSE)+IFERROR(VLOOKUP($CI32,装強!$1:$999,COLUMN(J$1),FALSE),0))*VLOOKUP($D32,素材!$1:$1016,COLUMN($E$1),FALSE),0),"")</f>
        <v>0</v>
      </c>
      <c r="K32">
        <f>IFERROR(ROUNDDOWN((VLOOKUP($C32,武器!$1:$998,COLUMN(I$1),FALSE)+IFERROR(VLOOKUP($CI32,装強!$1:$999,COLUMN(K$1),FALSE),0))*VLOOKUP($D32,素材!$1:$1016,COLUMN($E$1),FALSE),0),"")</f>
        <v>78</v>
      </c>
      <c r="L32">
        <f>IFERROR(VLOOKUP($D32,素材!$1:$1016,COLUMN($F$1),FALSE),"")</f>
        <v>0</v>
      </c>
      <c r="M32">
        <f>IFERROR(VLOOKUP($C32,武器!$1:$998,COLUMN(AA$1),FALSE)*VLOOKUP($D32,素材!$1:$1016,COLUMN($G$1),FALSE),"")</f>
        <v>0</v>
      </c>
      <c r="N32">
        <f>IFERROR(VLOOKUP($C32,武器!$1:$998,COLUMN(I$1),FALSE),"")</f>
        <v>3.9</v>
      </c>
      <c r="O32" s="23">
        <f>IFERROR((VLOOKUP($C32,武器!$1:$998,COLUMN(K$1),FALSE)+VLOOKUP($D32,素材!$1:$1016,COLUMN(H$1),FALSE))*100+IFERROR(VLOOKUP($CI32,装強!$1:$999,COLUMN(O$1),FALSE),0),"")</f>
        <v>10</v>
      </c>
      <c r="P32" s="23">
        <f>IFERROR((VLOOKUP($C32,武器!$1:$998,COLUMN(L$1),FALSE)+VLOOKUP($D32,素材!$1:$1016,COLUMN(I$1),FALSE))*100+IFERROR(VLOOKUP($CI32,装強!$1:$999,COLUMN(P$1),FALSE),0),"")</f>
        <v>150</v>
      </c>
      <c r="Q32">
        <f>IFERROR(ROUNDUP(VLOOKUP($C32,武器!$1:$998,COLUMN(M$1),FALSE)*(VLOOKUP($D32,素材!$1:$1002,COLUMN(D$1),FALSE)/100),1),"")</f>
        <v>0</v>
      </c>
      <c r="R32">
        <f>IFERROR(ROUNDUP(VLOOKUP($C32,武器!$1:$998,COLUMN(N$1),FALSE)*(VLOOKUP($D32,素材!$1:$1002,COLUMN(D$1),FALSE)/100),1),"")</f>
        <v>0</v>
      </c>
      <c r="S32">
        <f>IFERROR(VLOOKUP($C32,武器!$1:$998,COLUMN(P$1),FALSE),"")</f>
        <v>0</v>
      </c>
      <c r="T32">
        <f>IFERROR(VLOOKUP($C32,武器!$1:$998,COLUMN(Q$1),FALSE),"")</f>
        <v>1</v>
      </c>
      <c r="U32">
        <f>IFERROR(VLOOKUP($C32,武器!$1:$998,COLUMN(R$1),FALSE),"")</f>
        <v>1</v>
      </c>
      <c r="V32">
        <f>IFERROR(VLOOKUP($C32,武器!$1:$998,COLUMN(Q$1),FALSE),"")</f>
        <v>1</v>
      </c>
      <c r="W32" t="str">
        <f>IFERROR(VLOOKUP($C32,武器!$1:$998,COLUMN(T$1),FALSE),"")</f>
        <v>S</v>
      </c>
      <c r="Y32">
        <f>IFERROR(VLOOKUP($C32,武器!$1:$998,COLUMN(U$1),FALSE),"")</f>
        <v>0</v>
      </c>
      <c r="Z32">
        <f>IFERROR(ROUNDUP(VLOOKUP($C32,武器!$1:$998,COLUMN(O$1),FALSE)*VLOOKUP($D32,素材!$1:$1016,COLUMN(E$1),FALSE),1),"")</f>
        <v>0</v>
      </c>
      <c r="AA32">
        <f>IF(ISNUMBER(SEARCH(SUBSTITUTE(AA$1,RIGHT(AA$1,2),""),VLOOKUP($D32,素材!$1:$1016,COLUMN($F$1),FALSE))),VLOOKUP($C32,武器!$1:$998,COLUMN($O$1),FALSE)*VLOOKUP($D32,素材!$1:$1016,COLUMN($E$1),FALSE)/(LEN(VLOOKUP($D32,素材!$1:$1016,COLUMN($F$1),FALSE)) - LEN(SUBSTITUTE(VLOOKUP($D32,素材!$1:$1016,COLUMN($F$1),FALSE), "・", 0)) + 1), 0)</f>
        <v>0</v>
      </c>
      <c r="AB32">
        <f>IF(ISNUMBER(SEARCH(SUBSTITUTE(AB$1,RIGHT(AB$1,2),""),VLOOKUP($D32,素材!$1:$1016,COLUMN($F$1),FALSE))),VLOOKUP($C32,武器!$1:$998,COLUMN($O$1),FALSE)*VLOOKUP($D32,素材!$1:$1016,COLUMN($E$1),FALSE)/(LEN(VLOOKUP($D32,素材!$1:$1016,COLUMN($F$1),FALSE)) - LEN(SUBSTITUTE(VLOOKUP($D32,素材!$1:$1016,COLUMN($F$1),FALSE), "・", 0)) + 1), 0)</f>
        <v>0</v>
      </c>
      <c r="AC32">
        <f>IF(ISNUMBER(SEARCH(SUBSTITUTE(AC$1,RIGHT(AC$1,2),""),VLOOKUP($D32,素材!$1:$1016,COLUMN($F$1),FALSE))),VLOOKUP($C32,武器!$1:$998,COLUMN($O$1),FALSE)*VLOOKUP($D32,素材!$1:$1016,COLUMN($E$1),FALSE)/(LEN(VLOOKUP($D32,素材!$1:$1016,COLUMN($F$1),FALSE)) - LEN(SUBSTITUTE(VLOOKUP($D32,素材!$1:$1016,COLUMN($F$1),FALSE), "・", 0)) + 1), 0)</f>
        <v>0</v>
      </c>
      <c r="AD32">
        <f>IF(ISNUMBER(SEARCH(SUBSTITUTE(AD$1,RIGHT(AD$1,2),""),VLOOKUP($D32,素材!$1:$1016,COLUMN($F$1),FALSE))),VLOOKUP($C32,武器!$1:$998,COLUMN($O$1),FALSE)*VLOOKUP($D32,素材!$1:$1016,COLUMN($E$1),FALSE)/(LEN(VLOOKUP($D32,素材!$1:$1016,COLUMN($F$1),FALSE)) - LEN(SUBSTITUTE(VLOOKUP($D32,素材!$1:$1016,COLUMN($F$1),FALSE), "・", 0)) + 1), 0)</f>
        <v>0</v>
      </c>
      <c r="AE32">
        <f>IF(ISNUMBER(SEARCH(SUBSTITUTE(AE$1,RIGHT(AE$1,2),""),VLOOKUP($D32,素材!$1:$1016,COLUMN($F$1),FALSE))),VLOOKUP($C32,武器!$1:$998,COLUMN($O$1),FALSE)*VLOOKUP($D32,素材!$1:$1016,COLUMN($E$1),FALSE)/(LEN(VLOOKUP($D32,素材!$1:$1016,COLUMN($F$1),FALSE)) - LEN(SUBSTITUTE(VLOOKUP($D32,素材!$1:$1016,COLUMN($F$1),FALSE), "・", 0)) + 1), 0)</f>
        <v>0</v>
      </c>
      <c r="AF32">
        <f>IF(ISNUMBER(SEARCH(SUBSTITUTE(AF$1,RIGHT(AF$1,2),""),VLOOKUP($D32,素材!$1:$1016,COLUMN($F$1),FALSE))),VLOOKUP($C32,武器!$1:$998,COLUMN($O$1),FALSE)*VLOOKUP($D32,素材!$1:$1016,COLUMN($E$1),FALSE)/(LEN(VLOOKUP($D32,素材!$1:$1016,COLUMN($F$1),FALSE)) - LEN(SUBSTITUTE(VLOOKUP($D32,素材!$1:$1016,COLUMN($F$1),FALSE), "・", 0)) + 1), 0)</f>
        <v>0</v>
      </c>
      <c r="AG32">
        <f>IF(ISNUMBER(SEARCH(SUBSTITUTE(AG$1,RIGHT(AG$1,2),""),VLOOKUP($D32,素材!$1:$1016,COLUMN($F$1),FALSE))),VLOOKUP($C32,武器!$1:$998,COLUMN($O$1),FALSE)*VLOOKUP($D32,素材!$1:$1016,COLUMN($E$1),FALSE)/(LEN(VLOOKUP($D32,素材!$1:$1016,COLUMN($F$1),FALSE)) - LEN(SUBSTITUTE(VLOOKUP($D32,素材!$1:$1016,COLUMN($F$1),FALSE), "・", 0)) + 1), 0)</f>
        <v>0</v>
      </c>
      <c r="AH32">
        <f>IF(ISNUMBER(SEARCH(SUBSTITUTE(AH$1,RIGHT(AH$1,2),""),VLOOKUP($D32,素材!$1:$1016,COLUMN($F$1),FALSE))),VLOOKUP($C32,武器!$1:$998,COLUMN($O$1),FALSE)*VLOOKUP($D32,素材!$1:$1016,COLUMN($E$1),FALSE)/(LEN(VLOOKUP($D32,素材!$1:$1016,COLUMN($F$1),FALSE)) - LEN(SUBSTITUTE(VLOOKUP($D32,素材!$1:$1016,COLUMN($F$1),FALSE), "・", 0)) + 1), 0)</f>
        <v>0</v>
      </c>
      <c r="AI32">
        <f>IF(ISNUMBER(SEARCH(SUBSTITUTE(AI$1,RIGHT(AI$1,2),""),VLOOKUP($D32,素材!$1:$1016,COLUMN($F$1),FALSE))),VLOOKUP($C32,武器!$1:$998,COLUMN($O$1),FALSE)*VLOOKUP($D32,素材!$1:$1016,COLUMN($E$1),FALSE)/(LEN(VLOOKUP($D32,素材!$1:$1016,COLUMN($F$1),FALSE)) - LEN(SUBSTITUTE(VLOOKUP($D32,素材!$1:$1016,COLUMN($F$1),FALSE), "・", 0)) + 1), 0)</f>
        <v>0</v>
      </c>
      <c r="AJ32">
        <f>IF(ISNUMBER(SEARCH(SUBSTITUTE(AJ$1,RIGHT(AJ$1,2),""),VLOOKUP($D32,素材!$1:$1016,COLUMN($F$1),FALSE))),VLOOKUP($C32,武器!$1:$998,COLUMN($O$1),FALSE)*VLOOKUP($D32,素材!$1:$1016,COLUMN($E$1),FALSE)/(LEN(VLOOKUP($D32,素材!$1:$1016,COLUMN($F$1),FALSE)) - LEN(SUBSTITUTE(VLOOKUP($D32,素材!$1:$1016,COLUMN($F$1),FALSE), "・", 0)) + 1), 0)</f>
        <v>0</v>
      </c>
      <c r="AK32">
        <f>IF(ISNUMBER(SEARCH(SUBSTITUTE(AK$1,RIGHT(AK$1,2),""),VLOOKUP($D32,素材!$1:$1016,COLUMN($F$1),FALSE))),VLOOKUP($C32,武器!$1:$998,COLUMN($O$1),FALSE)*VLOOKUP($D32,素材!$1:$1016,COLUMN($E$1),FALSE)/(LEN(VLOOKUP($D32,素材!$1:$1016,COLUMN($F$1),FALSE)) - LEN(SUBSTITUTE(VLOOKUP($D32,素材!$1:$1016,COLUMN($F$1),FALSE), "・", 0)) + 1), 0)</f>
        <v>0</v>
      </c>
      <c r="AL32">
        <f>IF(ISNUMBER(SEARCH(SUBSTITUTE(AL$1,RIGHT(AL$1,2),""),VLOOKUP($D32,素材!$1:$1016,COLUMN($F$1),FALSE))),VLOOKUP($C32,武器!$1:$998,COLUMN($O$1),FALSE)*VLOOKUP($D32,素材!$1:$1016,COLUMN($E$1),FALSE)/(LEN(VLOOKUP($D32,素材!$1:$1016,COLUMN($F$1),FALSE)) - LEN(SUBSTITUTE(VLOOKUP($D32,素材!$1:$1016,COLUMN($F$1),FALSE), "・", 0)) + 1), 0)</f>
        <v>0</v>
      </c>
      <c r="AM32">
        <f>IF(ISNUMBER(SEARCH(SUBSTITUTE(AM$1,RIGHT(AM$1,2),""),VLOOKUP($D32,素材!$1:$1016,COLUMN($F$1),FALSE))),VLOOKUP($C32,武器!$1:$998,COLUMN($O$1),FALSE)*VLOOKUP($D32,素材!$1:$1016,COLUMN($E$1),FALSE)/(LEN(VLOOKUP($D32,素材!$1:$1016,COLUMN($F$1),FALSE)) - LEN(SUBSTITUTE(VLOOKUP($D32,素材!$1:$1016,COLUMN($F$1),FALSE), "・", 0)) + 1), 0)</f>
        <v>0</v>
      </c>
      <c r="AN32">
        <f>IF(ISNUMBER(SEARCH(SUBSTITUTE(AN$1,RIGHT(AN$1,2),""),VLOOKUP($D32,素材!$1:$1016,COLUMN($F$1),FALSE))),VLOOKUP($C32,武器!$1:$998,COLUMN($O$1),FALSE)*VLOOKUP($D32,素材!$1:$1016,COLUMN($E$1),FALSE)/(LEN(VLOOKUP($D32,素材!$1:$1016,COLUMN($F$1),FALSE)) - LEN(SUBSTITUTE(VLOOKUP($D32,素材!$1:$1016,COLUMN($F$1),FALSE), "・", 0)) + 1), 0)</f>
        <v>0</v>
      </c>
      <c r="AO32">
        <f>IF(ISNUMBER(SEARCH(SUBSTITUTE(AO$1,RIGHT(AO$1,2),""),VLOOKUP($D32,素材!$1:$1016,COLUMN($F$1),FALSE))),VLOOKUP($C32,武器!$1:$998,COLUMN($O$1),FALSE)*VLOOKUP($D32,素材!$1:$1016,COLUMN($E$1),FALSE)/(LEN(VLOOKUP($D32,素材!$1:$1016,COLUMN($F$1),FALSE)) - LEN(SUBSTITUTE(VLOOKUP($D32,素材!$1:$1016,COLUMN($F$1),FALSE), "・", 0)) + 1), 0)</f>
        <v>0</v>
      </c>
      <c r="AP32">
        <f>IF(ISNUMBER(SEARCH(SUBSTITUTE(AP$1,RIGHT(AP$1,2),""),VLOOKUP($D32,素材!$1:$1016,COLUMN($F$1),FALSE))),VLOOKUP($C32,武器!$1:$998,COLUMN($O$1),FALSE)*VLOOKUP($D32,素材!$1:$1016,COLUMN($E$1),FALSE)/(LEN(VLOOKUP($D32,素材!$1:$1016,COLUMN($F$1),FALSE)) - LEN(SUBSTITUTE(VLOOKUP($D32,素材!$1:$1016,COLUMN($F$1),FALSE), "・", 0)) + 1), 0)</f>
        <v>0</v>
      </c>
      <c r="AQ32">
        <f>IF(ISNUMBER(SEARCH(SUBSTITUTE(AQ$1,RIGHT(AQ$1,2),""),VLOOKUP($D32,素材!$1:$1016,COLUMN($F$1),FALSE))),VLOOKUP($C32,武器!$1:$998,COLUMN($O$1),FALSE)*VLOOKUP($D32,素材!$1:$1016,COLUMN($E$1),FALSE)/(LEN(VLOOKUP($D32,素材!$1:$1016,COLUMN($F$1),FALSE)) - LEN(SUBSTITUTE(VLOOKUP($D32,素材!$1:$1016,COLUMN($F$1),FALSE), "・", 0)) + 1), 0)</f>
        <v>0</v>
      </c>
      <c r="AR32">
        <f>IF(ISNUMBER(SEARCH(SUBSTITUTE(AR$1,RIGHT(AR$1,2),""),VLOOKUP($D32,素材!$1:$1016,COLUMN($F$1),FALSE))),VLOOKUP($C32,武器!$1:$998,COLUMN($O$1),FALSE)*VLOOKUP($D32,素材!$1:$1016,COLUMN($E$1),FALSE)/(LEN(VLOOKUP($D32,素材!$1:$1016,COLUMN($F$1),FALSE)) - LEN(SUBSTITUTE(VLOOKUP($D32,素材!$1:$1016,COLUMN($F$1),FALSE), "・", 0)) + 1), 0)</f>
        <v>0</v>
      </c>
      <c r="AS32">
        <f>IF(ISNUMBER(SEARCH(SUBSTITUTE(AS$1,RIGHT(AS$1,2),""),VLOOKUP($D32,素材!$1:$1016,COLUMN($F$1),FALSE))),VLOOKUP($C32,武器!$1:$998,COLUMN($O$1),FALSE)*VLOOKUP($D32,素材!$1:$1016,COLUMN($E$1),FALSE)/(LEN(VLOOKUP($D32,素材!$1:$1016,COLUMN($F$1),FALSE)) - LEN(SUBSTITUTE(VLOOKUP($D32,素材!$1:$1016,COLUMN($F$1),FALSE), "・", 0)) + 1), 0)</f>
        <v>0</v>
      </c>
      <c r="AT32">
        <f>IF(ISNUMBER(SEARCH(SUBSTITUTE(AT$1,RIGHT(AT$1,2),""),VLOOKUP($D32,素材!$1:$1016,COLUMN($F$1),FALSE))),VLOOKUP($C32,武器!$1:$998,COLUMN($O$1),FALSE)*VLOOKUP($D32,素材!$1:$1016,COLUMN($E$1),FALSE)/(LEN(VLOOKUP($D32,素材!$1:$1016,COLUMN($F$1),FALSE)) - LEN(SUBSTITUTE(VLOOKUP($D32,素材!$1:$1016,COLUMN($F$1),FALSE), "・", 0)) + 1), 0)</f>
        <v>0</v>
      </c>
      <c r="AU32">
        <f>IF(ISNUMBER(SEARCH(SUBSTITUTE(AU$1,RIGHT(AU$1,2),""),VLOOKUP($D32,素材!$1:$1016,COLUMN($F$1),FALSE))),VLOOKUP($C32,武器!$1:$998,COLUMN($O$1),FALSE)*VLOOKUP($D32,素材!$1:$1016,COLUMN($E$1),FALSE)/(LEN(VLOOKUP($D32,素材!$1:$1016,COLUMN($F$1),FALSE)) - LEN(SUBSTITUTE(VLOOKUP($D32,素材!$1:$1016,COLUMN($F$1),FALSE), "・", 0)) + 1), 0)</f>
        <v>0</v>
      </c>
      <c r="AV32">
        <f>IF(ISNUMBER(SEARCH(SUBSTITUTE(AV$1,RIGHT(AV$1,2),""),VLOOKUP($D32,素材!$1:$1016,COLUMN($F$1),FALSE))),VLOOKUP($C32,武器!$1:$998,COLUMN($O$1),FALSE)*VLOOKUP($D32,素材!$1:$1016,COLUMN($E$1),FALSE)/(LEN(VLOOKUP($D32,素材!$1:$1016,COLUMN($F$1),FALSE)) - LEN(SUBSTITUTE(VLOOKUP($D32,素材!$1:$1016,COLUMN($F$1),FALSE), "・", 0)) + 1), 0)</f>
        <v>0</v>
      </c>
      <c r="AW32">
        <f>IF(ISNUMBER(SEARCH(SUBSTITUTE(AW$1,RIGHT(AW$1,2),""),VLOOKUP($D32,素材!$1:$1016,COLUMN($F$1),FALSE))),VLOOKUP($C32,武器!$1:$998,COLUMN($O$1),FALSE)*VLOOKUP($D32,素材!$1:$1016,COLUMN($E$1),FALSE)/(LEN(VLOOKUP($D32,素材!$1:$1016,COLUMN($F$1),FALSE)) - LEN(SUBSTITUTE(VLOOKUP($D32,素材!$1:$1016,COLUMN($F$1),FALSE), "・", 0)) + 1), 0)</f>
        <v>0</v>
      </c>
      <c r="AX32">
        <f>IF(ISNUMBER(SEARCH(SUBSTITUTE(AX$1,RIGHT(AX$1,2),""),VLOOKUP($D32,素材!$1:$1016,COLUMN($F$1),FALSE))),VLOOKUP($C32,武器!$1:$998,COLUMN($O$1),FALSE)*VLOOKUP($D32,素材!$1:$1016,COLUMN($E$1),FALSE)/(LEN(VLOOKUP($D32,素材!$1:$1016,COLUMN($F$1),FALSE)) - LEN(SUBSTITUTE(VLOOKUP($D32,素材!$1:$1016,COLUMN($F$1),FALSE), "・", 0)) + 1), 0)</f>
        <v>0</v>
      </c>
      <c r="AY32">
        <f>IF(ISNUMBER(SEARCH(SUBSTITUTE(AY$1,RIGHT(AY$1,2),""),VLOOKUP($D32,素材!$1:$1016,COLUMN($F$1),FALSE))),VLOOKUP($C32,武器!$1:$998,COLUMN($O$1),FALSE)*VLOOKUP($D32,素材!$1:$1016,COLUMN($E$1),FALSE)/(LEN(VLOOKUP($D32,素材!$1:$1016,COLUMN($F$1),FALSE)) - LEN(SUBSTITUTE(VLOOKUP($D32,素材!$1:$1016,COLUMN($F$1),FALSE), "・", 0)) + 1), 0)</f>
        <v>0</v>
      </c>
      <c r="AZ32">
        <f>IF(ISNUMBER(SEARCH(SUBSTITUTE(AZ$1,RIGHT(AZ$1,2),""),VLOOKUP($D32,素材!$1:$1016,COLUMN($F$1),FALSE))),VLOOKUP($C32,武器!$1:$998,COLUMN($O$1),FALSE)*VLOOKUP($D32,素材!$1:$1016,COLUMN($E$1),FALSE)/(LEN(VLOOKUP($D32,素材!$1:$1016,COLUMN($F$1),FALSE)) - LEN(SUBSTITUTE(VLOOKUP($D32,素材!$1:$1016,COLUMN($F$1),FALSE), "・", 0)) + 1), 0)</f>
        <v>0</v>
      </c>
      <c r="BA32">
        <f>IF(ISNUMBER(SEARCH(SUBSTITUTE(BA$1,RIGHT(BA$1,2),""),VLOOKUP($D32,素材!$1:$1016,COLUMN($F$1),FALSE))),VLOOKUP($C32,武器!$1:$998,COLUMN($O$1),FALSE)*VLOOKUP($D32,素材!$1:$1016,COLUMN($E$1),FALSE)/(LEN(VLOOKUP($D32,素材!$1:$1016,COLUMN($F$1),FALSE)) - LEN(SUBSTITUTE(VLOOKUP($D32,素材!$1:$1016,COLUMN($F$1),FALSE), "・", 0)) + 1), 0)</f>
        <v>0</v>
      </c>
      <c r="BB32">
        <f>IF(ISNUMBER(SEARCH(SUBSTITUTE(BB$1,RIGHT(BB$1,2),""),VLOOKUP($D32,素材!$1:$1016,COLUMN($F$1),FALSE))),VLOOKUP($C32,武器!$1:$998,COLUMN($O$1),FALSE)*VLOOKUP($D32,素材!$1:$1016,COLUMN($E$1),FALSE)/(LEN(VLOOKUP($D32,素材!$1:$1016,COLUMN($F$1),FALSE)) - LEN(SUBSTITUTE(VLOOKUP($D32,素材!$1:$1016,COLUMN($F$1),FALSE), "・", 0)) + 1), 0)</f>
        <v>0</v>
      </c>
      <c r="BC32">
        <f>IF(ISNUMBER(SEARCH(SUBSTITUTE(BC$1,RIGHT(BC$1,2),""),VLOOKUP($D32,素材!$1:$1016,COLUMN($F$1),FALSE))),VLOOKUP($C32,武器!$1:$998,COLUMN($O$1),FALSE)*VLOOKUP($D32,素材!$1:$1016,COLUMN($E$1),FALSE)/(LEN(VLOOKUP($D32,素材!$1:$1016,COLUMN($F$1),FALSE)) - LEN(SUBSTITUTE(VLOOKUP($D32,素材!$1:$1016,COLUMN($F$1),FALSE), "・", 0)) + 1), 0)</f>
        <v>0</v>
      </c>
      <c r="BD32">
        <f>IF(ISNUMBER(SEARCH(SUBSTITUTE(BD$1,RIGHT(BD$1,2),""),VLOOKUP($D32,素材!$1:$1016,COLUMN($F$1),FALSE))),VLOOKUP($C32,武器!$1:$998,COLUMN($O$1),FALSE)*VLOOKUP($D32,素材!$1:$1016,COLUMN($E$1),FALSE)/(LEN(VLOOKUP($D32,素材!$1:$1016,COLUMN($F$1),FALSE)) - LEN(SUBSTITUTE(VLOOKUP($D32,素材!$1:$1016,COLUMN($F$1),FALSE), "・", 0)) + 1), 0)</f>
        <v>0</v>
      </c>
      <c r="BE32">
        <f>IF(ISNUMBER(SEARCH(SUBSTITUTE(BE$1,RIGHT(BE$1,2),""),VLOOKUP($D32,素材!$1:$1016,COLUMN($F$1),FALSE))),VLOOKUP($C32,武器!$1:$998,COLUMN($O$1),FALSE)*VLOOKUP($D32,素材!$1:$1016,COLUMN($E$1),FALSE)/(LEN(VLOOKUP($D32,素材!$1:$1016,COLUMN($F$1),FALSE)) - LEN(SUBSTITUTE(VLOOKUP($D32,素材!$1:$1016,COLUMN($F$1),FALSE), "・", 0)) + 1), 0)</f>
        <v>0</v>
      </c>
      <c r="CL32">
        <f>SUM(G32:I32)</f>
        <v>0</v>
      </c>
      <c r="CM32" s="22" t="str">
        <f>IF(E32="武器",IF(J32-1&gt;SUM(G32:I32),"盾",IF(MAX(G32:I32)=G32,"切断",IF(MAX(G32:I32)=H32,"貫通",IF(MAX(G32:I32)=I32,"打撃","射撃")))),E32)&amp;".webp"</f>
        <v>銃.webp</v>
      </c>
      <c r="CN32">
        <f>IFERROR(VLOOKUP($C32,武器!$1:$998,COLUMN(V$1),FALSE)*VLOOKUP($D32,素材!$1:$1016,COLUMN(N$1),FALSE)+IF(CI32="",0,VLOOKUP($CI32,装強!$1:$1008,COLUMN($CK$1),FALSE)),"")</f>
        <v>600</v>
      </c>
      <c r="CO32" t="str">
        <f>VLOOKUP(D32,素材!$A:$O,COLUMN(素材!O$1),FALSE)</f>
        <v>一般的な鉄。量産品を作るのに使用されることが多い</v>
      </c>
      <c r="CP32" t="str">
        <f>VLOOKUP(C32,武器!$A:$W,COLUMN(武器!W$1),FALSE)</f>
        <v/>
      </c>
      <c r="CR32" t="str">
        <f t="shared" si="1"/>
        <v>e_32</v>
      </c>
      <c r="CS32">
        <f t="shared" si="2"/>
        <v>60000</v>
      </c>
    </row>
    <row r="33" spans="1:97" outlineLevel="1" x14ac:dyDescent="0.4">
      <c r="A33" t="str">
        <f t="shared" si="0"/>
        <v>鉄の回転式拳銃</v>
      </c>
      <c r="B33" t="str">
        <f>IFERROR(VLOOKUP($D33,素材!$1:$1016,COLUMN($B$1),FALSE)&amp;"・"&amp;VLOOKUP($C33,武器!$1:$998,COLUMN(B$1),FALSE),"")</f>
        <v>アイアン・リボルバー</v>
      </c>
      <c r="C33" t="s">
        <v>212</v>
      </c>
      <c r="D33" s="24" t="s">
        <v>257</v>
      </c>
      <c r="E33" t="str">
        <f>IFERROR(VLOOKUP(C33,武器!$1:$998,COLUMN(C$1),FALSE),"")</f>
        <v>銃</v>
      </c>
      <c r="F33">
        <f>IFERROR(ROUNDDOWN((VLOOKUP($C33,武器!$1:$998,COLUMN(D$1),FALSE)+IFERROR(VLOOKUP($CI33,装強!$1:$999,COLUMN(F$1),FALSE),0))*VLOOKUP($D33,素材!$1:$1016,COLUMN(D$1),FALSE),0),"")</f>
        <v>0</v>
      </c>
      <c r="G33">
        <f>IFERROR(ROUNDDOWN((VLOOKUP($C33,武器!$1:$998,COLUMN(E$1),FALSE)+IFERROR(VLOOKUP($CI33,装強!$1:$999,COLUMN(G$1),FALSE),0))*VLOOKUP($D33,素材!$1:$1016,COLUMN($E$1),FALSE),0),"")</f>
        <v>0</v>
      </c>
      <c r="H33">
        <f>IFERROR(ROUNDDOWN((VLOOKUP($C33,武器!$1:$998,COLUMN(F$1),FALSE)+IFERROR(VLOOKUP($CI33,装強!$1:$999,COLUMN(H$1),FALSE),0))*VLOOKUP($D33,素材!$1:$1016,COLUMN($E$1),FALSE),0),"")</f>
        <v>0</v>
      </c>
      <c r="I33">
        <f>IFERROR(ROUNDDOWN((VLOOKUP($C33,武器!$1:$998,COLUMN(G$1),FALSE)+IFERROR(VLOOKUP($CI33,装強!$1:$999,COLUMN(I$1),FALSE),0))*VLOOKUP($D33,素材!$1:$1016,COLUMN($E$1),FALSE),0),"")</f>
        <v>0</v>
      </c>
      <c r="J33">
        <f>IFERROR(ROUNDDOWN((VLOOKUP($C33,武器!$1:$998,COLUMN(H$1),FALSE)+IFERROR(VLOOKUP($CI33,装強!$1:$999,COLUMN(J$1),FALSE),0))*VLOOKUP($D33,素材!$1:$1016,COLUMN($E$1),FALSE),0),"")</f>
        <v>0</v>
      </c>
      <c r="K33">
        <f>IFERROR(ROUNDDOWN((VLOOKUP($C33,武器!$1:$998,COLUMN(I$1),FALSE)+IFERROR(VLOOKUP($CI33,装強!$1:$999,COLUMN(K$1),FALSE),0))*VLOOKUP($D33,素材!$1:$1016,COLUMN($E$1),FALSE),0),"")</f>
        <v>51</v>
      </c>
      <c r="L33">
        <f>IFERROR(VLOOKUP($D33,素材!$1:$1016,COLUMN($F$1),FALSE),"")</f>
        <v>0</v>
      </c>
      <c r="M33">
        <f>IFERROR(VLOOKUP($C33,武器!$1:$998,COLUMN(AA$1),FALSE)*VLOOKUP($D33,素材!$1:$1016,COLUMN($G$1),FALSE),"")</f>
        <v>0</v>
      </c>
      <c r="N33">
        <f>IFERROR(VLOOKUP($C33,武器!$1:$998,COLUMN(I$1),FALSE),"")</f>
        <v>2.5700000000000003</v>
      </c>
      <c r="O33" s="23">
        <f>IFERROR((VLOOKUP($C33,武器!$1:$998,COLUMN(K$1),FALSE)+VLOOKUP($D33,素材!$1:$1016,COLUMN(H$1),FALSE))*100+IFERROR(VLOOKUP($CI33,装強!$1:$999,COLUMN(O$1),FALSE),0),"")</f>
        <v>10</v>
      </c>
      <c r="P33" s="23">
        <f>IFERROR((VLOOKUP($C33,武器!$1:$998,COLUMN(L$1),FALSE)+VLOOKUP($D33,素材!$1:$1016,COLUMN(I$1),FALSE))*100+IFERROR(VLOOKUP($CI33,装強!$1:$999,COLUMN(P$1),FALSE),0),"")</f>
        <v>140</v>
      </c>
      <c r="Q33">
        <f>IFERROR(ROUNDUP(VLOOKUP($C33,武器!$1:$998,COLUMN(M$1),FALSE)*(VLOOKUP($D33,素材!$1:$1002,COLUMN(D$1),FALSE)/100),1),"")</f>
        <v>0</v>
      </c>
      <c r="R33">
        <f>IFERROR(ROUNDUP(VLOOKUP($C33,武器!$1:$998,COLUMN(N$1),FALSE)*(VLOOKUP($D33,素材!$1:$1002,COLUMN(D$1),FALSE)/100),1),"")</f>
        <v>-15</v>
      </c>
      <c r="S33">
        <f>IFERROR(VLOOKUP($C33,武器!$1:$998,COLUMN(P$1),FALSE),"")</f>
        <v>0</v>
      </c>
      <c r="T33">
        <f>IFERROR(VLOOKUP($C33,武器!$1:$998,COLUMN(Q$1),FALSE),"")</f>
        <v>2</v>
      </c>
      <c r="U33">
        <f>IFERROR(VLOOKUP($C33,武器!$1:$998,COLUMN(R$1),FALSE),"")</f>
        <v>6</v>
      </c>
      <c r="V33">
        <f>IFERROR(VLOOKUP($C33,武器!$1:$998,COLUMN(Q$1),FALSE),"")</f>
        <v>2</v>
      </c>
      <c r="W33">
        <f>IFERROR(VLOOKUP($C33,武器!$1:$998,COLUMN(T$1),FALSE),"")</f>
        <v>0</v>
      </c>
      <c r="Y33">
        <f>IFERROR(VLOOKUP($C33,武器!$1:$998,COLUMN(U$1),FALSE),"")</f>
        <v>0</v>
      </c>
      <c r="Z33">
        <f>IFERROR(ROUNDUP(VLOOKUP($C33,武器!$1:$998,COLUMN(O$1),FALSE)*VLOOKUP($D33,素材!$1:$1016,COLUMN(E$1),FALSE),1),"")</f>
        <v>0</v>
      </c>
      <c r="AA33">
        <f>IF(ISNUMBER(SEARCH(SUBSTITUTE(AA$1,RIGHT(AA$1,2),""),VLOOKUP($D33,素材!$1:$1016,COLUMN($F$1),FALSE))),VLOOKUP($C33,武器!$1:$998,COLUMN($O$1),FALSE)*VLOOKUP($D33,素材!$1:$1016,COLUMN($E$1),FALSE)/(LEN(VLOOKUP($D33,素材!$1:$1016,COLUMN($F$1),FALSE)) - LEN(SUBSTITUTE(VLOOKUP($D33,素材!$1:$1016,COLUMN($F$1),FALSE), "・", 0)) + 1), 0)</f>
        <v>0</v>
      </c>
      <c r="AB33">
        <f>IF(ISNUMBER(SEARCH(SUBSTITUTE(AB$1,RIGHT(AB$1,2),""),VLOOKUP($D33,素材!$1:$1016,COLUMN($F$1),FALSE))),VLOOKUP($C33,武器!$1:$998,COLUMN($O$1),FALSE)*VLOOKUP($D33,素材!$1:$1016,COLUMN($E$1),FALSE)/(LEN(VLOOKUP($D33,素材!$1:$1016,COLUMN($F$1),FALSE)) - LEN(SUBSTITUTE(VLOOKUP($D33,素材!$1:$1016,COLUMN($F$1),FALSE), "・", 0)) + 1), 0)</f>
        <v>0</v>
      </c>
      <c r="AC33">
        <f>IF(ISNUMBER(SEARCH(SUBSTITUTE(AC$1,RIGHT(AC$1,2),""),VLOOKUP($D33,素材!$1:$1016,COLUMN($F$1),FALSE))),VLOOKUP($C33,武器!$1:$998,COLUMN($O$1),FALSE)*VLOOKUP($D33,素材!$1:$1016,COLUMN($E$1),FALSE)/(LEN(VLOOKUP($D33,素材!$1:$1016,COLUMN($F$1),FALSE)) - LEN(SUBSTITUTE(VLOOKUP($D33,素材!$1:$1016,COLUMN($F$1),FALSE), "・", 0)) + 1), 0)</f>
        <v>0</v>
      </c>
      <c r="AD33">
        <f>IF(ISNUMBER(SEARCH(SUBSTITUTE(AD$1,RIGHT(AD$1,2),""),VLOOKUP($D33,素材!$1:$1016,COLUMN($F$1),FALSE))),VLOOKUP($C33,武器!$1:$998,COLUMN($O$1),FALSE)*VLOOKUP($D33,素材!$1:$1016,COLUMN($E$1),FALSE)/(LEN(VLOOKUP($D33,素材!$1:$1016,COLUMN($F$1),FALSE)) - LEN(SUBSTITUTE(VLOOKUP($D33,素材!$1:$1016,COLUMN($F$1),FALSE), "・", 0)) + 1), 0)</f>
        <v>0</v>
      </c>
      <c r="AE33">
        <f>IF(ISNUMBER(SEARCH(SUBSTITUTE(AE$1,RIGHT(AE$1,2),""),VLOOKUP($D33,素材!$1:$1016,COLUMN($F$1),FALSE))),VLOOKUP($C33,武器!$1:$998,COLUMN($O$1),FALSE)*VLOOKUP($D33,素材!$1:$1016,COLUMN($E$1),FALSE)/(LEN(VLOOKUP($D33,素材!$1:$1016,COLUMN($F$1),FALSE)) - LEN(SUBSTITUTE(VLOOKUP($D33,素材!$1:$1016,COLUMN($F$1),FALSE), "・", 0)) + 1), 0)</f>
        <v>0</v>
      </c>
      <c r="AF33">
        <f>IF(ISNUMBER(SEARCH(SUBSTITUTE(AF$1,RIGHT(AF$1,2),""),VLOOKUP($D33,素材!$1:$1016,COLUMN($F$1),FALSE))),VLOOKUP($C33,武器!$1:$998,COLUMN($O$1),FALSE)*VLOOKUP($D33,素材!$1:$1016,COLUMN($E$1),FALSE)/(LEN(VLOOKUP($D33,素材!$1:$1016,COLUMN($F$1),FALSE)) - LEN(SUBSTITUTE(VLOOKUP($D33,素材!$1:$1016,COLUMN($F$1),FALSE), "・", 0)) + 1), 0)</f>
        <v>0</v>
      </c>
      <c r="AG33">
        <f>IF(ISNUMBER(SEARCH(SUBSTITUTE(AG$1,RIGHT(AG$1,2),""),VLOOKUP($D33,素材!$1:$1016,COLUMN($F$1),FALSE))),VLOOKUP($C33,武器!$1:$998,COLUMN($O$1),FALSE)*VLOOKUP($D33,素材!$1:$1016,COLUMN($E$1),FALSE)/(LEN(VLOOKUP($D33,素材!$1:$1016,COLUMN($F$1),FALSE)) - LEN(SUBSTITUTE(VLOOKUP($D33,素材!$1:$1016,COLUMN($F$1),FALSE), "・", 0)) + 1), 0)</f>
        <v>0</v>
      </c>
      <c r="AH33">
        <f>IF(ISNUMBER(SEARCH(SUBSTITUTE(AH$1,RIGHT(AH$1,2),""),VLOOKUP($D33,素材!$1:$1016,COLUMN($F$1),FALSE))),VLOOKUP($C33,武器!$1:$998,COLUMN($O$1),FALSE)*VLOOKUP($D33,素材!$1:$1016,COLUMN($E$1),FALSE)/(LEN(VLOOKUP($D33,素材!$1:$1016,COLUMN($F$1),FALSE)) - LEN(SUBSTITUTE(VLOOKUP($D33,素材!$1:$1016,COLUMN($F$1),FALSE), "・", 0)) + 1), 0)</f>
        <v>0</v>
      </c>
      <c r="AI33">
        <f>IF(ISNUMBER(SEARCH(SUBSTITUTE(AI$1,RIGHT(AI$1,2),""),VLOOKUP($D33,素材!$1:$1016,COLUMN($F$1),FALSE))),VLOOKUP($C33,武器!$1:$998,COLUMN($O$1),FALSE)*VLOOKUP($D33,素材!$1:$1016,COLUMN($E$1),FALSE)/(LEN(VLOOKUP($D33,素材!$1:$1016,COLUMN($F$1),FALSE)) - LEN(SUBSTITUTE(VLOOKUP($D33,素材!$1:$1016,COLUMN($F$1),FALSE), "・", 0)) + 1), 0)</f>
        <v>0</v>
      </c>
      <c r="AJ33">
        <f>IF(ISNUMBER(SEARCH(SUBSTITUTE(AJ$1,RIGHT(AJ$1,2),""),VLOOKUP($D33,素材!$1:$1016,COLUMN($F$1),FALSE))),VLOOKUP($C33,武器!$1:$998,COLUMN($O$1),FALSE)*VLOOKUP($D33,素材!$1:$1016,COLUMN($E$1),FALSE)/(LEN(VLOOKUP($D33,素材!$1:$1016,COLUMN($F$1),FALSE)) - LEN(SUBSTITUTE(VLOOKUP($D33,素材!$1:$1016,COLUMN($F$1),FALSE), "・", 0)) + 1), 0)</f>
        <v>0</v>
      </c>
      <c r="AK33">
        <f>IF(ISNUMBER(SEARCH(SUBSTITUTE(AK$1,RIGHT(AK$1,2),""),VLOOKUP($D33,素材!$1:$1016,COLUMN($F$1),FALSE))),VLOOKUP($C33,武器!$1:$998,COLUMN($O$1),FALSE)*VLOOKUP($D33,素材!$1:$1016,COLUMN($E$1),FALSE)/(LEN(VLOOKUP($D33,素材!$1:$1016,COLUMN($F$1),FALSE)) - LEN(SUBSTITUTE(VLOOKUP($D33,素材!$1:$1016,COLUMN($F$1),FALSE), "・", 0)) + 1), 0)</f>
        <v>0</v>
      </c>
      <c r="AL33">
        <f>IF(ISNUMBER(SEARCH(SUBSTITUTE(AL$1,RIGHT(AL$1,2),""),VLOOKUP($D33,素材!$1:$1016,COLUMN($F$1),FALSE))),VLOOKUP($C33,武器!$1:$998,COLUMN($O$1),FALSE)*VLOOKUP($D33,素材!$1:$1016,COLUMN($E$1),FALSE)/(LEN(VLOOKUP($D33,素材!$1:$1016,COLUMN($F$1),FALSE)) - LEN(SUBSTITUTE(VLOOKUP($D33,素材!$1:$1016,COLUMN($F$1),FALSE), "・", 0)) + 1), 0)</f>
        <v>0</v>
      </c>
      <c r="AM33">
        <f>IF(ISNUMBER(SEARCH(SUBSTITUTE(AM$1,RIGHT(AM$1,2),""),VLOOKUP($D33,素材!$1:$1016,COLUMN($F$1),FALSE))),VLOOKUP($C33,武器!$1:$998,COLUMN($O$1),FALSE)*VLOOKUP($D33,素材!$1:$1016,COLUMN($E$1),FALSE)/(LEN(VLOOKUP($D33,素材!$1:$1016,COLUMN($F$1),FALSE)) - LEN(SUBSTITUTE(VLOOKUP($D33,素材!$1:$1016,COLUMN($F$1),FALSE), "・", 0)) + 1), 0)</f>
        <v>0</v>
      </c>
      <c r="AN33">
        <f>IF(ISNUMBER(SEARCH(SUBSTITUTE(AN$1,RIGHT(AN$1,2),""),VLOOKUP($D33,素材!$1:$1016,COLUMN($F$1),FALSE))),VLOOKUP($C33,武器!$1:$998,COLUMN($O$1),FALSE)*VLOOKUP($D33,素材!$1:$1016,COLUMN($E$1),FALSE)/(LEN(VLOOKUP($D33,素材!$1:$1016,COLUMN($F$1),FALSE)) - LEN(SUBSTITUTE(VLOOKUP($D33,素材!$1:$1016,COLUMN($F$1),FALSE), "・", 0)) + 1), 0)</f>
        <v>0</v>
      </c>
      <c r="AO33">
        <f>IF(ISNUMBER(SEARCH(SUBSTITUTE(AO$1,RIGHT(AO$1,2),""),VLOOKUP($D33,素材!$1:$1016,COLUMN($F$1),FALSE))),VLOOKUP($C33,武器!$1:$998,COLUMN($O$1),FALSE)*VLOOKUP($D33,素材!$1:$1016,COLUMN($E$1),FALSE)/(LEN(VLOOKUP($D33,素材!$1:$1016,COLUMN($F$1),FALSE)) - LEN(SUBSTITUTE(VLOOKUP($D33,素材!$1:$1016,COLUMN($F$1),FALSE), "・", 0)) + 1), 0)</f>
        <v>0</v>
      </c>
      <c r="AP33">
        <f>IF(ISNUMBER(SEARCH(SUBSTITUTE(AP$1,RIGHT(AP$1,2),""),VLOOKUP($D33,素材!$1:$1016,COLUMN($F$1),FALSE))),VLOOKUP($C33,武器!$1:$998,COLUMN($O$1),FALSE)*VLOOKUP($D33,素材!$1:$1016,COLUMN($E$1),FALSE)/(LEN(VLOOKUP($D33,素材!$1:$1016,COLUMN($F$1),FALSE)) - LEN(SUBSTITUTE(VLOOKUP($D33,素材!$1:$1016,COLUMN($F$1),FALSE), "・", 0)) + 1), 0)</f>
        <v>0</v>
      </c>
      <c r="AQ33">
        <f>IF(ISNUMBER(SEARCH(SUBSTITUTE(AQ$1,RIGHT(AQ$1,2),""),VLOOKUP($D33,素材!$1:$1016,COLUMN($F$1),FALSE))),VLOOKUP($C33,武器!$1:$998,COLUMN($O$1),FALSE)*VLOOKUP($D33,素材!$1:$1016,COLUMN($E$1),FALSE)/(LEN(VLOOKUP($D33,素材!$1:$1016,COLUMN($F$1),FALSE)) - LEN(SUBSTITUTE(VLOOKUP($D33,素材!$1:$1016,COLUMN($F$1),FALSE), "・", 0)) + 1), 0)</f>
        <v>0</v>
      </c>
      <c r="AR33">
        <f>IF(ISNUMBER(SEARCH(SUBSTITUTE(AR$1,RIGHT(AR$1,2),""),VLOOKUP($D33,素材!$1:$1016,COLUMN($F$1),FALSE))),VLOOKUP($C33,武器!$1:$998,COLUMN($O$1),FALSE)*VLOOKUP($D33,素材!$1:$1016,COLUMN($E$1),FALSE)/(LEN(VLOOKUP($D33,素材!$1:$1016,COLUMN($F$1),FALSE)) - LEN(SUBSTITUTE(VLOOKUP($D33,素材!$1:$1016,COLUMN($F$1),FALSE), "・", 0)) + 1), 0)</f>
        <v>0</v>
      </c>
      <c r="AS33">
        <f>IF(ISNUMBER(SEARCH(SUBSTITUTE(AS$1,RIGHT(AS$1,2),""),VLOOKUP($D33,素材!$1:$1016,COLUMN($F$1),FALSE))),VLOOKUP($C33,武器!$1:$998,COLUMN($O$1),FALSE)*VLOOKUP($D33,素材!$1:$1016,COLUMN($E$1),FALSE)/(LEN(VLOOKUP($D33,素材!$1:$1016,COLUMN($F$1),FALSE)) - LEN(SUBSTITUTE(VLOOKUP($D33,素材!$1:$1016,COLUMN($F$1),FALSE), "・", 0)) + 1), 0)</f>
        <v>0</v>
      </c>
      <c r="AT33">
        <f>IF(ISNUMBER(SEARCH(SUBSTITUTE(AT$1,RIGHT(AT$1,2),""),VLOOKUP($D33,素材!$1:$1016,COLUMN($F$1),FALSE))),VLOOKUP($C33,武器!$1:$998,COLUMN($O$1),FALSE)*VLOOKUP($D33,素材!$1:$1016,COLUMN($E$1),FALSE)/(LEN(VLOOKUP($D33,素材!$1:$1016,COLUMN($F$1),FALSE)) - LEN(SUBSTITUTE(VLOOKUP($D33,素材!$1:$1016,COLUMN($F$1),FALSE), "・", 0)) + 1), 0)</f>
        <v>0</v>
      </c>
      <c r="AU33">
        <f>IF(ISNUMBER(SEARCH(SUBSTITUTE(AU$1,RIGHT(AU$1,2),""),VLOOKUP($D33,素材!$1:$1016,COLUMN($F$1),FALSE))),VLOOKUP($C33,武器!$1:$998,COLUMN($O$1),FALSE)*VLOOKUP($D33,素材!$1:$1016,COLUMN($E$1),FALSE)/(LEN(VLOOKUP($D33,素材!$1:$1016,COLUMN($F$1),FALSE)) - LEN(SUBSTITUTE(VLOOKUP($D33,素材!$1:$1016,COLUMN($F$1),FALSE), "・", 0)) + 1), 0)</f>
        <v>0</v>
      </c>
      <c r="AV33">
        <f>IF(ISNUMBER(SEARCH(SUBSTITUTE(AV$1,RIGHT(AV$1,2),""),VLOOKUP($D33,素材!$1:$1016,COLUMN($F$1),FALSE))),VLOOKUP($C33,武器!$1:$998,COLUMN($O$1),FALSE)*VLOOKUP($D33,素材!$1:$1016,COLUMN($E$1),FALSE)/(LEN(VLOOKUP($D33,素材!$1:$1016,COLUMN($F$1),FALSE)) - LEN(SUBSTITUTE(VLOOKUP($D33,素材!$1:$1016,COLUMN($F$1),FALSE), "・", 0)) + 1), 0)</f>
        <v>0</v>
      </c>
      <c r="AW33">
        <f>IF(ISNUMBER(SEARCH(SUBSTITUTE(AW$1,RIGHT(AW$1,2),""),VLOOKUP($D33,素材!$1:$1016,COLUMN($F$1),FALSE))),VLOOKUP($C33,武器!$1:$998,COLUMN($O$1),FALSE)*VLOOKUP($D33,素材!$1:$1016,COLUMN($E$1),FALSE)/(LEN(VLOOKUP($D33,素材!$1:$1016,COLUMN($F$1),FALSE)) - LEN(SUBSTITUTE(VLOOKUP($D33,素材!$1:$1016,COLUMN($F$1),FALSE), "・", 0)) + 1), 0)</f>
        <v>0</v>
      </c>
      <c r="AX33">
        <f>IF(ISNUMBER(SEARCH(SUBSTITUTE(AX$1,RIGHT(AX$1,2),""),VLOOKUP($D33,素材!$1:$1016,COLUMN($F$1),FALSE))),VLOOKUP($C33,武器!$1:$998,COLUMN($O$1),FALSE)*VLOOKUP($D33,素材!$1:$1016,COLUMN($E$1),FALSE)/(LEN(VLOOKUP($D33,素材!$1:$1016,COLUMN($F$1),FALSE)) - LEN(SUBSTITUTE(VLOOKUP($D33,素材!$1:$1016,COLUMN($F$1),FALSE), "・", 0)) + 1), 0)</f>
        <v>0</v>
      </c>
      <c r="AY33">
        <f>IF(ISNUMBER(SEARCH(SUBSTITUTE(AY$1,RIGHT(AY$1,2),""),VLOOKUP($D33,素材!$1:$1016,COLUMN($F$1),FALSE))),VLOOKUP($C33,武器!$1:$998,COLUMN($O$1),FALSE)*VLOOKUP($D33,素材!$1:$1016,COLUMN($E$1),FALSE)/(LEN(VLOOKUP($D33,素材!$1:$1016,COLUMN($F$1),FALSE)) - LEN(SUBSTITUTE(VLOOKUP($D33,素材!$1:$1016,COLUMN($F$1),FALSE), "・", 0)) + 1), 0)</f>
        <v>0</v>
      </c>
      <c r="AZ33">
        <f>IF(ISNUMBER(SEARCH(SUBSTITUTE(AZ$1,RIGHT(AZ$1,2),""),VLOOKUP($D33,素材!$1:$1016,COLUMN($F$1),FALSE))),VLOOKUP($C33,武器!$1:$998,COLUMN($O$1),FALSE)*VLOOKUP($D33,素材!$1:$1016,COLUMN($E$1),FALSE)/(LEN(VLOOKUP($D33,素材!$1:$1016,COLUMN($F$1),FALSE)) - LEN(SUBSTITUTE(VLOOKUP($D33,素材!$1:$1016,COLUMN($F$1),FALSE), "・", 0)) + 1), 0)</f>
        <v>0</v>
      </c>
      <c r="BA33">
        <f>IF(ISNUMBER(SEARCH(SUBSTITUTE(BA$1,RIGHT(BA$1,2),""),VLOOKUP($D33,素材!$1:$1016,COLUMN($F$1),FALSE))),VLOOKUP($C33,武器!$1:$998,COLUMN($O$1),FALSE)*VLOOKUP($D33,素材!$1:$1016,COLUMN($E$1),FALSE)/(LEN(VLOOKUP($D33,素材!$1:$1016,COLUMN($F$1),FALSE)) - LEN(SUBSTITUTE(VLOOKUP($D33,素材!$1:$1016,COLUMN($F$1),FALSE), "・", 0)) + 1), 0)</f>
        <v>0</v>
      </c>
      <c r="BB33">
        <f>IF(ISNUMBER(SEARCH(SUBSTITUTE(BB$1,RIGHT(BB$1,2),""),VLOOKUP($D33,素材!$1:$1016,COLUMN($F$1),FALSE))),VLOOKUP($C33,武器!$1:$998,COLUMN($O$1),FALSE)*VLOOKUP($D33,素材!$1:$1016,COLUMN($E$1),FALSE)/(LEN(VLOOKUP($D33,素材!$1:$1016,COLUMN($F$1),FALSE)) - LEN(SUBSTITUTE(VLOOKUP($D33,素材!$1:$1016,COLUMN($F$1),FALSE), "・", 0)) + 1), 0)</f>
        <v>0</v>
      </c>
      <c r="BC33">
        <f>IF(ISNUMBER(SEARCH(SUBSTITUTE(BC$1,RIGHT(BC$1,2),""),VLOOKUP($D33,素材!$1:$1016,COLUMN($F$1),FALSE))),VLOOKUP($C33,武器!$1:$998,COLUMN($O$1),FALSE)*VLOOKUP($D33,素材!$1:$1016,COLUMN($E$1),FALSE)/(LEN(VLOOKUP($D33,素材!$1:$1016,COLUMN($F$1),FALSE)) - LEN(SUBSTITUTE(VLOOKUP($D33,素材!$1:$1016,COLUMN($F$1),FALSE), "・", 0)) + 1), 0)</f>
        <v>0</v>
      </c>
      <c r="BD33">
        <f>IF(ISNUMBER(SEARCH(SUBSTITUTE(BD$1,RIGHT(BD$1,2),""),VLOOKUP($D33,素材!$1:$1016,COLUMN($F$1),FALSE))),VLOOKUP($C33,武器!$1:$998,COLUMN($O$1),FALSE)*VLOOKUP($D33,素材!$1:$1016,COLUMN($E$1),FALSE)/(LEN(VLOOKUP($D33,素材!$1:$1016,COLUMN($F$1),FALSE)) - LEN(SUBSTITUTE(VLOOKUP($D33,素材!$1:$1016,COLUMN($F$1),FALSE), "・", 0)) + 1), 0)</f>
        <v>0</v>
      </c>
      <c r="BE33">
        <f>IF(ISNUMBER(SEARCH(SUBSTITUTE(BE$1,RIGHT(BE$1,2),""),VLOOKUP($D33,素材!$1:$1016,COLUMN($F$1),FALSE))),VLOOKUP($C33,武器!$1:$998,COLUMN($O$1),FALSE)*VLOOKUP($D33,素材!$1:$1016,COLUMN($E$1),FALSE)/(LEN(VLOOKUP($D33,素材!$1:$1016,COLUMN($F$1),FALSE)) - LEN(SUBSTITUTE(VLOOKUP($D33,素材!$1:$1016,COLUMN($F$1),FALSE), "・", 0)) + 1), 0)</f>
        <v>0</v>
      </c>
      <c r="CL33">
        <f>SUM(G33:I33)</f>
        <v>0</v>
      </c>
      <c r="CM33" s="22" t="str">
        <f>IF(E33="武器",IF(J33-1&gt;SUM(G33:I33),"盾",IF(MAX(G33:I33)=G33,"切断",IF(MAX(G33:I33)=H33,"貫通",IF(MAX(G33:I33)=I33,"打撃","射撃")))),E33)&amp;".webp"</f>
        <v>銃.webp</v>
      </c>
      <c r="CN33">
        <f>IFERROR(VLOOKUP($C33,武器!$1:$998,COLUMN(V$1),FALSE)*VLOOKUP($D33,素材!$1:$1016,COLUMN(N$1),FALSE)+IF(CI33="",0,VLOOKUP($CI33,装強!$1:$1008,COLUMN($CK$1),FALSE)),"")</f>
        <v>400</v>
      </c>
      <c r="CO33" t="str">
        <f>VLOOKUP(D33,素材!$A:$O,COLUMN(素材!O$1),FALSE)</f>
        <v>一般的な鉄。量産品を作るのに使用されることが多い</v>
      </c>
      <c r="CP33" t="str">
        <f>VLOOKUP(C33,武器!$A:$W,COLUMN(武器!W$1),FALSE)</f>
        <v/>
      </c>
      <c r="CR33" t="str">
        <f t="shared" si="1"/>
        <v>e_33</v>
      </c>
      <c r="CS33">
        <f t="shared" si="2"/>
        <v>40000</v>
      </c>
    </row>
    <row r="34" spans="1:97" outlineLevel="1" x14ac:dyDescent="0.4">
      <c r="A34" t="str">
        <f t="shared" si="0"/>
        <v>鉄の拳銃</v>
      </c>
      <c r="B34" t="str">
        <f>IFERROR(VLOOKUP($D34,素材!$1:$1016,COLUMN($B$1),FALSE)&amp;"・"&amp;VLOOKUP($C34,武器!$1:$998,COLUMN(B$1),FALSE),"")</f>
        <v>アイアン・ハンドガン</v>
      </c>
      <c r="C34" t="s">
        <v>211</v>
      </c>
      <c r="D34" s="24" t="s">
        <v>257</v>
      </c>
      <c r="E34" t="str">
        <f>IFERROR(VLOOKUP(C34,武器!$1:$998,COLUMN(C$1),FALSE),"")</f>
        <v>銃</v>
      </c>
      <c r="F34">
        <f>IFERROR(ROUNDDOWN((VLOOKUP($C34,武器!$1:$998,COLUMN(D$1),FALSE)+IFERROR(VLOOKUP($CI34,装強!$1:$999,COLUMN(F$1),FALSE),0))*VLOOKUP($D34,素材!$1:$1016,COLUMN(D$1),FALSE),0),"")</f>
        <v>0</v>
      </c>
      <c r="G34">
        <f>IFERROR(ROUNDDOWN((VLOOKUP($C34,武器!$1:$998,COLUMN(E$1),FALSE)+IFERROR(VLOOKUP($CI34,装強!$1:$999,COLUMN(G$1),FALSE),0))*VLOOKUP($D34,素材!$1:$1016,COLUMN($E$1),FALSE),0),"")</f>
        <v>0</v>
      </c>
      <c r="H34">
        <f>IFERROR(ROUNDDOWN((VLOOKUP($C34,武器!$1:$998,COLUMN(F$1),FALSE)+IFERROR(VLOOKUP($CI34,装強!$1:$999,COLUMN(H$1),FALSE),0))*VLOOKUP($D34,素材!$1:$1016,COLUMN($E$1),FALSE),0),"")</f>
        <v>0</v>
      </c>
      <c r="I34">
        <f>IFERROR(ROUNDDOWN((VLOOKUP($C34,武器!$1:$998,COLUMN(G$1),FALSE)+IFERROR(VLOOKUP($CI34,装強!$1:$999,COLUMN(I$1),FALSE),0))*VLOOKUP($D34,素材!$1:$1016,COLUMN($E$1),FALSE),0),"")</f>
        <v>0</v>
      </c>
      <c r="J34">
        <f>IFERROR(ROUNDDOWN((VLOOKUP($C34,武器!$1:$998,COLUMN(H$1),FALSE)+IFERROR(VLOOKUP($CI34,装強!$1:$999,COLUMN(J$1),FALSE),0))*VLOOKUP($D34,素材!$1:$1016,COLUMN($E$1),FALSE),0),"")</f>
        <v>0</v>
      </c>
      <c r="K34">
        <f>IFERROR(ROUNDDOWN((VLOOKUP($C34,武器!$1:$998,COLUMN(I$1),FALSE)+IFERROR(VLOOKUP($CI34,装強!$1:$999,COLUMN(K$1),FALSE),0))*VLOOKUP($D34,素材!$1:$1016,COLUMN($E$1),FALSE),0),"")</f>
        <v>36</v>
      </c>
      <c r="L34">
        <f>IFERROR(VLOOKUP($D34,素材!$1:$1016,COLUMN($F$1),FALSE),"")</f>
        <v>0</v>
      </c>
      <c r="M34">
        <f>IFERROR(VLOOKUP($C34,武器!$1:$998,COLUMN(AA$1),FALSE)*VLOOKUP($D34,素材!$1:$1016,COLUMN($G$1),FALSE),"")</f>
        <v>0</v>
      </c>
      <c r="N34">
        <f>IFERROR(VLOOKUP($C34,武器!$1:$998,COLUMN(I$1),FALSE),"")</f>
        <v>1.8</v>
      </c>
      <c r="O34" s="23">
        <f>IFERROR((VLOOKUP($C34,武器!$1:$998,COLUMN(K$1),FALSE)+VLOOKUP($D34,素材!$1:$1016,COLUMN(H$1),FALSE))*100+IFERROR(VLOOKUP($CI34,装強!$1:$999,COLUMN(O$1),FALSE),0),"")</f>
        <v>15</v>
      </c>
      <c r="P34" s="23">
        <f>IFERROR((VLOOKUP($C34,武器!$1:$998,COLUMN(L$1),FALSE)+VLOOKUP($D34,素材!$1:$1016,COLUMN(I$1),FALSE))*100+IFERROR(VLOOKUP($CI34,装強!$1:$999,COLUMN(P$1),FALSE),0),"")</f>
        <v>175</v>
      </c>
      <c r="Q34">
        <f>IFERROR(ROUNDUP(VLOOKUP($C34,武器!$1:$998,COLUMN(M$1),FALSE)*(VLOOKUP($D34,素材!$1:$1002,COLUMN(D$1),FALSE)/100),1),"")</f>
        <v>0</v>
      </c>
      <c r="R34">
        <f>IFERROR(ROUNDUP(VLOOKUP($C34,武器!$1:$998,COLUMN(N$1),FALSE)*(VLOOKUP($D34,素材!$1:$1002,COLUMN(D$1),FALSE)/100),1),"")</f>
        <v>0</v>
      </c>
      <c r="S34">
        <f>IFERROR(VLOOKUP($C34,武器!$1:$998,COLUMN(P$1),FALSE),"")</f>
        <v>0</v>
      </c>
      <c r="T34">
        <f>IFERROR(VLOOKUP($C34,武器!$1:$998,COLUMN(Q$1),FALSE),"")</f>
        <v>3</v>
      </c>
      <c r="U34">
        <f>IFERROR(VLOOKUP($C34,武器!$1:$998,COLUMN(R$1),FALSE),"")</f>
        <v>1</v>
      </c>
      <c r="V34">
        <f>IFERROR(VLOOKUP($C34,武器!$1:$998,COLUMN(Q$1),FALSE),"")</f>
        <v>3</v>
      </c>
      <c r="W34">
        <f>IFERROR(VLOOKUP($C34,武器!$1:$998,COLUMN(T$1),FALSE),"")</f>
        <v>0</v>
      </c>
      <c r="Y34">
        <f>IFERROR(VLOOKUP($C34,武器!$1:$998,COLUMN(U$1),FALSE),"")</f>
        <v>0</v>
      </c>
      <c r="Z34">
        <f>IFERROR(ROUNDUP(VLOOKUP($C34,武器!$1:$998,COLUMN(O$1),FALSE)*VLOOKUP($D34,素材!$1:$1016,COLUMN(E$1),FALSE),1),"")</f>
        <v>0</v>
      </c>
      <c r="AA34">
        <f>IF(ISNUMBER(SEARCH(SUBSTITUTE(AA$1,RIGHT(AA$1,2),""),VLOOKUP($D34,素材!$1:$1016,COLUMN($F$1),FALSE))),VLOOKUP($C34,武器!$1:$998,COLUMN($O$1),FALSE)*VLOOKUP($D34,素材!$1:$1016,COLUMN($E$1),FALSE)/(LEN(VLOOKUP($D34,素材!$1:$1016,COLUMN($F$1),FALSE)) - LEN(SUBSTITUTE(VLOOKUP($D34,素材!$1:$1016,COLUMN($F$1),FALSE), "・", 0)) + 1), 0)</f>
        <v>0</v>
      </c>
      <c r="AB34">
        <f>IF(ISNUMBER(SEARCH(SUBSTITUTE(AB$1,RIGHT(AB$1,2),""),VLOOKUP($D34,素材!$1:$1016,COLUMN($F$1),FALSE))),VLOOKUP($C34,武器!$1:$998,COLUMN($O$1),FALSE)*VLOOKUP($D34,素材!$1:$1016,COLUMN($E$1),FALSE)/(LEN(VLOOKUP($D34,素材!$1:$1016,COLUMN($F$1),FALSE)) - LEN(SUBSTITUTE(VLOOKUP($D34,素材!$1:$1016,COLUMN($F$1),FALSE), "・", 0)) + 1), 0)</f>
        <v>0</v>
      </c>
      <c r="AC34">
        <f>IF(ISNUMBER(SEARCH(SUBSTITUTE(AC$1,RIGHT(AC$1,2),""),VLOOKUP($D34,素材!$1:$1016,COLUMN($F$1),FALSE))),VLOOKUP($C34,武器!$1:$998,COLUMN($O$1),FALSE)*VLOOKUP($D34,素材!$1:$1016,COLUMN($E$1),FALSE)/(LEN(VLOOKUP($D34,素材!$1:$1016,COLUMN($F$1),FALSE)) - LEN(SUBSTITUTE(VLOOKUP($D34,素材!$1:$1016,COLUMN($F$1),FALSE), "・", 0)) + 1), 0)</f>
        <v>0</v>
      </c>
      <c r="AD34">
        <f>IF(ISNUMBER(SEARCH(SUBSTITUTE(AD$1,RIGHT(AD$1,2),""),VLOOKUP($D34,素材!$1:$1016,COLUMN($F$1),FALSE))),VLOOKUP($C34,武器!$1:$998,COLUMN($O$1),FALSE)*VLOOKUP($D34,素材!$1:$1016,COLUMN($E$1),FALSE)/(LEN(VLOOKUP($D34,素材!$1:$1016,COLUMN($F$1),FALSE)) - LEN(SUBSTITUTE(VLOOKUP($D34,素材!$1:$1016,COLUMN($F$1),FALSE), "・", 0)) + 1), 0)</f>
        <v>0</v>
      </c>
      <c r="AE34">
        <f>IF(ISNUMBER(SEARCH(SUBSTITUTE(AE$1,RIGHT(AE$1,2),""),VLOOKUP($D34,素材!$1:$1016,COLUMN($F$1),FALSE))),VLOOKUP($C34,武器!$1:$998,COLUMN($O$1),FALSE)*VLOOKUP($D34,素材!$1:$1016,COLUMN($E$1),FALSE)/(LEN(VLOOKUP($D34,素材!$1:$1016,COLUMN($F$1),FALSE)) - LEN(SUBSTITUTE(VLOOKUP($D34,素材!$1:$1016,COLUMN($F$1),FALSE), "・", 0)) + 1), 0)</f>
        <v>0</v>
      </c>
      <c r="AF34">
        <f>IF(ISNUMBER(SEARCH(SUBSTITUTE(AF$1,RIGHT(AF$1,2),""),VLOOKUP($D34,素材!$1:$1016,COLUMN($F$1),FALSE))),VLOOKUP($C34,武器!$1:$998,COLUMN($O$1),FALSE)*VLOOKUP($D34,素材!$1:$1016,COLUMN($E$1),FALSE)/(LEN(VLOOKUP($D34,素材!$1:$1016,COLUMN($F$1),FALSE)) - LEN(SUBSTITUTE(VLOOKUP($D34,素材!$1:$1016,COLUMN($F$1),FALSE), "・", 0)) + 1), 0)</f>
        <v>0</v>
      </c>
      <c r="AG34">
        <f>IF(ISNUMBER(SEARCH(SUBSTITUTE(AG$1,RIGHT(AG$1,2),""),VLOOKUP($D34,素材!$1:$1016,COLUMN($F$1),FALSE))),VLOOKUP($C34,武器!$1:$998,COLUMN($O$1),FALSE)*VLOOKUP($D34,素材!$1:$1016,COLUMN($E$1),FALSE)/(LEN(VLOOKUP($D34,素材!$1:$1016,COLUMN($F$1),FALSE)) - LEN(SUBSTITUTE(VLOOKUP($D34,素材!$1:$1016,COLUMN($F$1),FALSE), "・", 0)) + 1), 0)</f>
        <v>0</v>
      </c>
      <c r="AH34">
        <f>IF(ISNUMBER(SEARCH(SUBSTITUTE(AH$1,RIGHT(AH$1,2),""),VLOOKUP($D34,素材!$1:$1016,COLUMN($F$1),FALSE))),VLOOKUP($C34,武器!$1:$998,COLUMN($O$1),FALSE)*VLOOKUP($D34,素材!$1:$1016,COLUMN($E$1),FALSE)/(LEN(VLOOKUP($D34,素材!$1:$1016,COLUMN($F$1),FALSE)) - LEN(SUBSTITUTE(VLOOKUP($D34,素材!$1:$1016,COLUMN($F$1),FALSE), "・", 0)) + 1), 0)</f>
        <v>0</v>
      </c>
      <c r="AI34">
        <f>IF(ISNUMBER(SEARCH(SUBSTITUTE(AI$1,RIGHT(AI$1,2),""),VLOOKUP($D34,素材!$1:$1016,COLUMN($F$1),FALSE))),VLOOKUP($C34,武器!$1:$998,COLUMN($O$1),FALSE)*VLOOKUP($D34,素材!$1:$1016,COLUMN($E$1),FALSE)/(LEN(VLOOKUP($D34,素材!$1:$1016,COLUMN($F$1),FALSE)) - LEN(SUBSTITUTE(VLOOKUP($D34,素材!$1:$1016,COLUMN($F$1),FALSE), "・", 0)) + 1), 0)</f>
        <v>0</v>
      </c>
      <c r="AJ34">
        <f>IF(ISNUMBER(SEARCH(SUBSTITUTE(AJ$1,RIGHT(AJ$1,2),""),VLOOKUP($D34,素材!$1:$1016,COLUMN($F$1),FALSE))),VLOOKUP($C34,武器!$1:$998,COLUMN($O$1),FALSE)*VLOOKUP($D34,素材!$1:$1016,COLUMN($E$1),FALSE)/(LEN(VLOOKUP($D34,素材!$1:$1016,COLUMN($F$1),FALSE)) - LEN(SUBSTITUTE(VLOOKUP($D34,素材!$1:$1016,COLUMN($F$1),FALSE), "・", 0)) + 1), 0)</f>
        <v>0</v>
      </c>
      <c r="AK34">
        <f>IF(ISNUMBER(SEARCH(SUBSTITUTE(AK$1,RIGHT(AK$1,2),""),VLOOKUP($D34,素材!$1:$1016,COLUMN($F$1),FALSE))),VLOOKUP($C34,武器!$1:$998,COLUMN($O$1),FALSE)*VLOOKUP($D34,素材!$1:$1016,COLUMN($E$1),FALSE)/(LEN(VLOOKUP($D34,素材!$1:$1016,COLUMN($F$1),FALSE)) - LEN(SUBSTITUTE(VLOOKUP($D34,素材!$1:$1016,COLUMN($F$1),FALSE), "・", 0)) + 1), 0)</f>
        <v>0</v>
      </c>
      <c r="AL34">
        <f>IF(ISNUMBER(SEARCH(SUBSTITUTE(AL$1,RIGHT(AL$1,2),""),VLOOKUP($D34,素材!$1:$1016,COLUMN($F$1),FALSE))),VLOOKUP($C34,武器!$1:$998,COLUMN($O$1),FALSE)*VLOOKUP($D34,素材!$1:$1016,COLUMN($E$1),FALSE)/(LEN(VLOOKUP($D34,素材!$1:$1016,COLUMN($F$1),FALSE)) - LEN(SUBSTITUTE(VLOOKUP($D34,素材!$1:$1016,COLUMN($F$1),FALSE), "・", 0)) + 1), 0)</f>
        <v>0</v>
      </c>
      <c r="AM34">
        <f>IF(ISNUMBER(SEARCH(SUBSTITUTE(AM$1,RIGHT(AM$1,2),""),VLOOKUP($D34,素材!$1:$1016,COLUMN($F$1),FALSE))),VLOOKUP($C34,武器!$1:$998,COLUMN($O$1),FALSE)*VLOOKUP($D34,素材!$1:$1016,COLUMN($E$1),FALSE)/(LEN(VLOOKUP($D34,素材!$1:$1016,COLUMN($F$1),FALSE)) - LEN(SUBSTITUTE(VLOOKUP($D34,素材!$1:$1016,COLUMN($F$1),FALSE), "・", 0)) + 1), 0)</f>
        <v>0</v>
      </c>
      <c r="AN34">
        <f>IF(ISNUMBER(SEARCH(SUBSTITUTE(AN$1,RIGHT(AN$1,2),""),VLOOKUP($D34,素材!$1:$1016,COLUMN($F$1),FALSE))),VLOOKUP($C34,武器!$1:$998,COLUMN($O$1),FALSE)*VLOOKUP($D34,素材!$1:$1016,COLUMN($E$1),FALSE)/(LEN(VLOOKUP($D34,素材!$1:$1016,COLUMN($F$1),FALSE)) - LEN(SUBSTITUTE(VLOOKUP($D34,素材!$1:$1016,COLUMN($F$1),FALSE), "・", 0)) + 1), 0)</f>
        <v>0</v>
      </c>
      <c r="AO34">
        <f>IF(ISNUMBER(SEARCH(SUBSTITUTE(AO$1,RIGHT(AO$1,2),""),VLOOKUP($D34,素材!$1:$1016,COLUMN($F$1),FALSE))),VLOOKUP($C34,武器!$1:$998,COLUMN($O$1),FALSE)*VLOOKUP($D34,素材!$1:$1016,COLUMN($E$1),FALSE)/(LEN(VLOOKUP($D34,素材!$1:$1016,COLUMN($F$1),FALSE)) - LEN(SUBSTITUTE(VLOOKUP($D34,素材!$1:$1016,COLUMN($F$1),FALSE), "・", 0)) + 1), 0)</f>
        <v>0</v>
      </c>
      <c r="AP34">
        <f>IF(ISNUMBER(SEARCH(SUBSTITUTE(AP$1,RIGHT(AP$1,2),""),VLOOKUP($D34,素材!$1:$1016,COLUMN($F$1),FALSE))),VLOOKUP($C34,武器!$1:$998,COLUMN($O$1),FALSE)*VLOOKUP($D34,素材!$1:$1016,COLUMN($E$1),FALSE)/(LEN(VLOOKUP($D34,素材!$1:$1016,COLUMN($F$1),FALSE)) - LEN(SUBSTITUTE(VLOOKUP($D34,素材!$1:$1016,COLUMN($F$1),FALSE), "・", 0)) + 1), 0)</f>
        <v>0</v>
      </c>
      <c r="AQ34">
        <f>IF(ISNUMBER(SEARCH(SUBSTITUTE(AQ$1,RIGHT(AQ$1,2),""),VLOOKUP($D34,素材!$1:$1016,COLUMN($F$1),FALSE))),VLOOKUP($C34,武器!$1:$998,COLUMN($O$1),FALSE)*VLOOKUP($D34,素材!$1:$1016,COLUMN($E$1),FALSE)/(LEN(VLOOKUP($D34,素材!$1:$1016,COLUMN($F$1),FALSE)) - LEN(SUBSTITUTE(VLOOKUP($D34,素材!$1:$1016,COLUMN($F$1),FALSE), "・", 0)) + 1), 0)</f>
        <v>0</v>
      </c>
      <c r="AR34">
        <f>IF(ISNUMBER(SEARCH(SUBSTITUTE(AR$1,RIGHT(AR$1,2),""),VLOOKUP($D34,素材!$1:$1016,COLUMN($F$1),FALSE))),VLOOKUP($C34,武器!$1:$998,COLUMN($O$1),FALSE)*VLOOKUP($D34,素材!$1:$1016,COLUMN($E$1),FALSE)/(LEN(VLOOKUP($D34,素材!$1:$1016,COLUMN($F$1),FALSE)) - LEN(SUBSTITUTE(VLOOKUP($D34,素材!$1:$1016,COLUMN($F$1),FALSE), "・", 0)) + 1), 0)</f>
        <v>0</v>
      </c>
      <c r="AS34">
        <f>IF(ISNUMBER(SEARCH(SUBSTITUTE(AS$1,RIGHT(AS$1,2),""),VLOOKUP($D34,素材!$1:$1016,COLUMN($F$1),FALSE))),VLOOKUP($C34,武器!$1:$998,COLUMN($O$1),FALSE)*VLOOKUP($D34,素材!$1:$1016,COLUMN($E$1),FALSE)/(LEN(VLOOKUP($D34,素材!$1:$1016,COLUMN($F$1),FALSE)) - LEN(SUBSTITUTE(VLOOKUP($D34,素材!$1:$1016,COLUMN($F$1),FALSE), "・", 0)) + 1), 0)</f>
        <v>0</v>
      </c>
      <c r="AT34">
        <f>IF(ISNUMBER(SEARCH(SUBSTITUTE(AT$1,RIGHT(AT$1,2),""),VLOOKUP($D34,素材!$1:$1016,COLUMN($F$1),FALSE))),VLOOKUP($C34,武器!$1:$998,COLUMN($O$1),FALSE)*VLOOKUP($D34,素材!$1:$1016,COLUMN($E$1),FALSE)/(LEN(VLOOKUP($D34,素材!$1:$1016,COLUMN($F$1),FALSE)) - LEN(SUBSTITUTE(VLOOKUP($D34,素材!$1:$1016,COLUMN($F$1),FALSE), "・", 0)) + 1), 0)</f>
        <v>0</v>
      </c>
      <c r="AU34">
        <f>IF(ISNUMBER(SEARCH(SUBSTITUTE(AU$1,RIGHT(AU$1,2),""),VLOOKUP($D34,素材!$1:$1016,COLUMN($F$1),FALSE))),VLOOKUP($C34,武器!$1:$998,COLUMN($O$1),FALSE)*VLOOKUP($D34,素材!$1:$1016,COLUMN($E$1),FALSE)/(LEN(VLOOKUP($D34,素材!$1:$1016,COLUMN($F$1),FALSE)) - LEN(SUBSTITUTE(VLOOKUP($D34,素材!$1:$1016,COLUMN($F$1),FALSE), "・", 0)) + 1), 0)</f>
        <v>0</v>
      </c>
      <c r="AV34">
        <f>IF(ISNUMBER(SEARCH(SUBSTITUTE(AV$1,RIGHT(AV$1,2),""),VLOOKUP($D34,素材!$1:$1016,COLUMN($F$1),FALSE))),VLOOKUP($C34,武器!$1:$998,COLUMN($O$1),FALSE)*VLOOKUP($D34,素材!$1:$1016,COLUMN($E$1),FALSE)/(LEN(VLOOKUP($D34,素材!$1:$1016,COLUMN($F$1),FALSE)) - LEN(SUBSTITUTE(VLOOKUP($D34,素材!$1:$1016,COLUMN($F$1),FALSE), "・", 0)) + 1), 0)</f>
        <v>0</v>
      </c>
      <c r="AW34">
        <f>IF(ISNUMBER(SEARCH(SUBSTITUTE(AW$1,RIGHT(AW$1,2),""),VLOOKUP($D34,素材!$1:$1016,COLUMN($F$1),FALSE))),VLOOKUP($C34,武器!$1:$998,COLUMN($O$1),FALSE)*VLOOKUP($D34,素材!$1:$1016,COLUMN($E$1),FALSE)/(LEN(VLOOKUP($D34,素材!$1:$1016,COLUMN($F$1),FALSE)) - LEN(SUBSTITUTE(VLOOKUP($D34,素材!$1:$1016,COLUMN($F$1),FALSE), "・", 0)) + 1), 0)</f>
        <v>0</v>
      </c>
      <c r="AX34">
        <f>IF(ISNUMBER(SEARCH(SUBSTITUTE(AX$1,RIGHT(AX$1,2),""),VLOOKUP($D34,素材!$1:$1016,COLUMN($F$1),FALSE))),VLOOKUP($C34,武器!$1:$998,COLUMN($O$1),FALSE)*VLOOKUP($D34,素材!$1:$1016,COLUMN($E$1),FALSE)/(LEN(VLOOKUP($D34,素材!$1:$1016,COLUMN($F$1),FALSE)) - LEN(SUBSTITUTE(VLOOKUP($D34,素材!$1:$1016,COLUMN($F$1),FALSE), "・", 0)) + 1), 0)</f>
        <v>0</v>
      </c>
      <c r="AY34">
        <f>IF(ISNUMBER(SEARCH(SUBSTITUTE(AY$1,RIGHT(AY$1,2),""),VLOOKUP($D34,素材!$1:$1016,COLUMN($F$1),FALSE))),VLOOKUP($C34,武器!$1:$998,COLUMN($O$1),FALSE)*VLOOKUP($D34,素材!$1:$1016,COLUMN($E$1),FALSE)/(LEN(VLOOKUP($D34,素材!$1:$1016,COLUMN($F$1),FALSE)) - LEN(SUBSTITUTE(VLOOKUP($D34,素材!$1:$1016,COLUMN($F$1),FALSE), "・", 0)) + 1), 0)</f>
        <v>0</v>
      </c>
      <c r="AZ34">
        <f>IF(ISNUMBER(SEARCH(SUBSTITUTE(AZ$1,RIGHT(AZ$1,2),""),VLOOKUP($D34,素材!$1:$1016,COLUMN($F$1),FALSE))),VLOOKUP($C34,武器!$1:$998,COLUMN($O$1),FALSE)*VLOOKUP($D34,素材!$1:$1016,COLUMN($E$1),FALSE)/(LEN(VLOOKUP($D34,素材!$1:$1016,COLUMN($F$1),FALSE)) - LEN(SUBSTITUTE(VLOOKUP($D34,素材!$1:$1016,COLUMN($F$1),FALSE), "・", 0)) + 1), 0)</f>
        <v>0</v>
      </c>
      <c r="BA34">
        <f>IF(ISNUMBER(SEARCH(SUBSTITUTE(BA$1,RIGHT(BA$1,2),""),VLOOKUP($D34,素材!$1:$1016,COLUMN($F$1),FALSE))),VLOOKUP($C34,武器!$1:$998,COLUMN($O$1),FALSE)*VLOOKUP($D34,素材!$1:$1016,COLUMN($E$1),FALSE)/(LEN(VLOOKUP($D34,素材!$1:$1016,COLUMN($F$1),FALSE)) - LEN(SUBSTITUTE(VLOOKUP($D34,素材!$1:$1016,COLUMN($F$1),FALSE), "・", 0)) + 1), 0)</f>
        <v>0</v>
      </c>
      <c r="BB34">
        <f>IF(ISNUMBER(SEARCH(SUBSTITUTE(BB$1,RIGHT(BB$1,2),""),VLOOKUP($D34,素材!$1:$1016,COLUMN($F$1),FALSE))),VLOOKUP($C34,武器!$1:$998,COLUMN($O$1),FALSE)*VLOOKUP($D34,素材!$1:$1016,COLUMN($E$1),FALSE)/(LEN(VLOOKUP($D34,素材!$1:$1016,COLUMN($F$1),FALSE)) - LEN(SUBSTITUTE(VLOOKUP($D34,素材!$1:$1016,COLUMN($F$1),FALSE), "・", 0)) + 1), 0)</f>
        <v>0</v>
      </c>
      <c r="BC34">
        <f>IF(ISNUMBER(SEARCH(SUBSTITUTE(BC$1,RIGHT(BC$1,2),""),VLOOKUP($D34,素材!$1:$1016,COLUMN($F$1),FALSE))),VLOOKUP($C34,武器!$1:$998,COLUMN($O$1),FALSE)*VLOOKUP($D34,素材!$1:$1016,COLUMN($E$1),FALSE)/(LEN(VLOOKUP($D34,素材!$1:$1016,COLUMN($F$1),FALSE)) - LEN(SUBSTITUTE(VLOOKUP($D34,素材!$1:$1016,COLUMN($F$1),FALSE), "・", 0)) + 1), 0)</f>
        <v>0</v>
      </c>
      <c r="BD34">
        <f>IF(ISNUMBER(SEARCH(SUBSTITUTE(BD$1,RIGHT(BD$1,2),""),VLOOKUP($D34,素材!$1:$1016,COLUMN($F$1),FALSE))),VLOOKUP($C34,武器!$1:$998,COLUMN($O$1),FALSE)*VLOOKUP($D34,素材!$1:$1016,COLUMN($E$1),FALSE)/(LEN(VLOOKUP($D34,素材!$1:$1016,COLUMN($F$1),FALSE)) - LEN(SUBSTITUTE(VLOOKUP($D34,素材!$1:$1016,COLUMN($F$1),FALSE), "・", 0)) + 1), 0)</f>
        <v>0</v>
      </c>
      <c r="BE34">
        <f>IF(ISNUMBER(SEARCH(SUBSTITUTE(BE$1,RIGHT(BE$1,2),""),VLOOKUP($D34,素材!$1:$1016,COLUMN($F$1),FALSE))),VLOOKUP($C34,武器!$1:$998,COLUMN($O$1),FALSE)*VLOOKUP($D34,素材!$1:$1016,COLUMN($E$1),FALSE)/(LEN(VLOOKUP($D34,素材!$1:$1016,COLUMN($F$1),FALSE)) - LEN(SUBSTITUTE(VLOOKUP($D34,素材!$1:$1016,COLUMN($F$1),FALSE), "・", 0)) + 1), 0)</f>
        <v>0</v>
      </c>
      <c r="CL34">
        <f>SUM(G34:I34)</f>
        <v>0</v>
      </c>
      <c r="CM34" s="22" t="str">
        <f>IF(E34="武器",IF(J34-1&gt;SUM(G34:I34),"盾",IF(MAX(G34:I34)=G34,"切断",IF(MAX(G34:I34)=H34,"貫通",IF(MAX(G34:I34)=I34,"打撃","射撃")))),E34)&amp;".webp"</f>
        <v>銃.webp</v>
      </c>
      <c r="CN34">
        <f>IFERROR(VLOOKUP($C34,武器!$1:$998,COLUMN(V$1),FALSE)*VLOOKUP($D34,素材!$1:$1016,COLUMN(N$1),FALSE)+IF(CI34="",0,VLOOKUP($CI34,装強!$1:$1008,COLUMN($CK$1),FALSE)),"")</f>
        <v>400</v>
      </c>
      <c r="CO34" t="str">
        <f>VLOOKUP(D34,素材!$A:$O,COLUMN(素材!O$1),FALSE)</f>
        <v>一般的な鉄。量産品を作るのに使用されることが多い</v>
      </c>
      <c r="CP34" t="str">
        <f>VLOOKUP(C34,武器!$A:$W,COLUMN(武器!W$1),FALSE)</f>
        <v/>
      </c>
      <c r="CR34" t="str">
        <f t="shared" si="1"/>
        <v>e_34</v>
      </c>
      <c r="CS34">
        <f t="shared" si="2"/>
        <v>40000</v>
      </c>
    </row>
    <row r="35" spans="1:97" outlineLevel="1" x14ac:dyDescent="0.4">
      <c r="A35" t="str">
        <f t="shared" ref="A35:A66" si="3">D35&amp;"の"&amp;C35</f>
        <v>鉄の面兜</v>
      </c>
      <c r="B35" t="str">
        <f>IFERROR(VLOOKUP($D35,素材!$1:$1016,COLUMN($B$1),FALSE)&amp;"・"&amp;VLOOKUP($C35,武器!$1:$998,COLUMN(B$1),FALSE),"")</f>
        <v>アイアン・バイザーヘルム</v>
      </c>
      <c r="C35" t="s">
        <v>210</v>
      </c>
      <c r="D35" s="24" t="s">
        <v>257</v>
      </c>
      <c r="E35" t="str">
        <f>IFERROR(VLOOKUP(C35,武器!$1:$998,COLUMN(C$1),FALSE),"")</f>
        <v>頭</v>
      </c>
      <c r="F35">
        <f>IFERROR(ROUNDDOWN((VLOOKUP($C35,武器!$1:$998,COLUMN(D$1),FALSE)+IFERROR(VLOOKUP($CI35,装強!$1:$999,COLUMN(F$1),FALSE),0))*VLOOKUP($D35,素材!$1:$1016,COLUMN(D$1),FALSE),0),"")</f>
        <v>0</v>
      </c>
      <c r="G35">
        <f>IFERROR(ROUNDDOWN((VLOOKUP($C35,武器!$1:$998,COLUMN(E$1),FALSE)+IFERROR(VLOOKUP($CI35,装強!$1:$999,COLUMN(G$1),FALSE),0))*VLOOKUP($D35,素材!$1:$1016,COLUMN($E$1),FALSE),0),"")</f>
        <v>0</v>
      </c>
      <c r="H35">
        <f>IFERROR(ROUNDDOWN((VLOOKUP($C35,武器!$1:$998,COLUMN(F$1),FALSE)+IFERROR(VLOOKUP($CI35,装強!$1:$999,COLUMN(H$1),FALSE),0))*VLOOKUP($D35,素材!$1:$1016,COLUMN($E$1),FALSE),0),"")</f>
        <v>0</v>
      </c>
      <c r="I35">
        <f>IFERROR(ROUNDDOWN((VLOOKUP($C35,武器!$1:$998,COLUMN(G$1),FALSE)+IFERROR(VLOOKUP($CI35,装強!$1:$999,COLUMN(I$1),FALSE),0))*VLOOKUP($D35,素材!$1:$1016,COLUMN($E$1),FALSE),0),"")</f>
        <v>17</v>
      </c>
      <c r="J35">
        <f>IFERROR(ROUNDDOWN((VLOOKUP($C35,武器!$1:$998,COLUMN(H$1),FALSE)+IFERROR(VLOOKUP($CI35,装強!$1:$999,COLUMN(J$1),FALSE),0))*VLOOKUP($D35,素材!$1:$1016,COLUMN($E$1),FALSE),0),"")</f>
        <v>0</v>
      </c>
      <c r="K35">
        <f>IFERROR(ROUNDDOWN((VLOOKUP($C35,武器!$1:$998,COLUMN(I$1),FALSE)+IFERROR(VLOOKUP($CI35,装強!$1:$999,COLUMN(K$1),FALSE),0))*VLOOKUP($D35,素材!$1:$1016,COLUMN($E$1),FALSE),0),"")</f>
        <v>0</v>
      </c>
      <c r="L35">
        <f>IFERROR(VLOOKUP($D35,素材!$1:$1016,COLUMN($F$1),FALSE),"")</f>
        <v>0</v>
      </c>
      <c r="M35">
        <f>IFERROR(VLOOKUP($C35,武器!$1:$998,COLUMN(AA$1),FALSE)*VLOOKUP($D35,素材!$1:$1016,COLUMN($G$1),FALSE),"")</f>
        <v>0</v>
      </c>
      <c r="N35">
        <f>IFERROR(VLOOKUP($C35,武器!$1:$998,COLUMN(I$1),FALSE),"")</f>
        <v>0</v>
      </c>
      <c r="O35" s="23">
        <f>IFERROR((VLOOKUP($C35,武器!$1:$998,COLUMN(K$1),FALSE)+VLOOKUP($D35,素材!$1:$1016,COLUMN(H$1),FALSE))*100+IFERROR(VLOOKUP($CI35,装強!$1:$999,COLUMN(O$1),FALSE),0),"")</f>
        <v>5</v>
      </c>
      <c r="P35" s="23">
        <f>IFERROR((VLOOKUP($C35,武器!$1:$998,COLUMN(L$1),FALSE)+VLOOKUP($D35,素材!$1:$1016,COLUMN(I$1),FALSE))*100+IFERROR(VLOOKUP($CI35,装強!$1:$999,COLUMN(P$1),FALSE),0),"")</f>
        <v>125</v>
      </c>
      <c r="Q35">
        <f>IFERROR(ROUNDUP(VLOOKUP($C35,武器!$1:$998,COLUMN(M$1),FALSE)*(VLOOKUP($D35,素材!$1:$1002,COLUMN(D$1),FALSE)/100),1),"")</f>
        <v>-7.5</v>
      </c>
      <c r="R35">
        <f>IFERROR(ROUNDUP(VLOOKUP($C35,武器!$1:$998,COLUMN(N$1),FALSE)*(VLOOKUP($D35,素材!$1:$1002,COLUMN(D$1),FALSE)/100),1),"")</f>
        <v>0</v>
      </c>
      <c r="S35">
        <f>IFERROR(VLOOKUP($C35,武器!$1:$998,COLUMN(P$1),FALSE),"")</f>
        <v>0</v>
      </c>
      <c r="T35">
        <f>IFERROR(VLOOKUP($C35,武器!$1:$998,COLUMN(Q$1),FALSE),"")</f>
        <v>0</v>
      </c>
      <c r="U35">
        <f>IFERROR(VLOOKUP($C35,武器!$1:$998,COLUMN(R$1),FALSE),"")</f>
        <v>0</v>
      </c>
      <c r="V35">
        <f>IFERROR(VLOOKUP($C35,武器!$1:$998,COLUMN(Q$1),FALSE),"")</f>
        <v>0</v>
      </c>
      <c r="W35">
        <f>IFERROR(VLOOKUP($C35,武器!$1:$998,COLUMN(T$1),FALSE),"")</f>
        <v>0</v>
      </c>
      <c r="Y35">
        <f>IFERROR(VLOOKUP($C35,武器!$1:$998,COLUMN(U$1),FALSE),"")</f>
        <v>0</v>
      </c>
      <c r="Z35">
        <f>IFERROR(ROUNDUP(VLOOKUP($C35,武器!$1:$998,COLUMN(O$1),FALSE)*VLOOKUP($D35,素材!$1:$1016,COLUMN(E$1),FALSE),1),"")</f>
        <v>7</v>
      </c>
      <c r="AA35">
        <f>IF(ISNUMBER(SEARCH(SUBSTITUTE(AA$1,RIGHT(AA$1,2),""),VLOOKUP($D35,素材!$1:$1016,COLUMN($F$1),FALSE))),VLOOKUP($C35,武器!$1:$998,COLUMN($O$1),FALSE)*VLOOKUP($D35,素材!$1:$1016,COLUMN($E$1),FALSE)/(LEN(VLOOKUP($D35,素材!$1:$1016,COLUMN($F$1),FALSE)) - LEN(SUBSTITUTE(VLOOKUP($D35,素材!$1:$1016,COLUMN($F$1),FALSE), "・", 0)) + 1), 0)</f>
        <v>0</v>
      </c>
      <c r="AB35">
        <f>IF(ISNUMBER(SEARCH(SUBSTITUTE(AB$1,RIGHT(AB$1,2),""),VLOOKUP($D35,素材!$1:$1016,COLUMN($F$1),FALSE))),VLOOKUP($C35,武器!$1:$998,COLUMN($O$1),FALSE)*VLOOKUP($D35,素材!$1:$1016,COLUMN($E$1),FALSE)/(LEN(VLOOKUP($D35,素材!$1:$1016,COLUMN($F$1),FALSE)) - LEN(SUBSTITUTE(VLOOKUP($D35,素材!$1:$1016,COLUMN($F$1),FALSE), "・", 0)) + 1), 0)</f>
        <v>0</v>
      </c>
      <c r="AC35">
        <f>IF(ISNUMBER(SEARCH(SUBSTITUTE(AC$1,RIGHT(AC$1,2),""),VLOOKUP($D35,素材!$1:$1016,COLUMN($F$1),FALSE))),VLOOKUP($C35,武器!$1:$998,COLUMN($O$1),FALSE)*VLOOKUP($D35,素材!$1:$1016,COLUMN($E$1),FALSE)/(LEN(VLOOKUP($D35,素材!$1:$1016,COLUMN($F$1),FALSE)) - LEN(SUBSTITUTE(VLOOKUP($D35,素材!$1:$1016,COLUMN($F$1),FALSE), "・", 0)) + 1), 0)</f>
        <v>0</v>
      </c>
      <c r="AD35">
        <f>IF(ISNUMBER(SEARCH(SUBSTITUTE(AD$1,RIGHT(AD$1,2),""),VLOOKUP($D35,素材!$1:$1016,COLUMN($F$1),FALSE))),VLOOKUP($C35,武器!$1:$998,COLUMN($O$1),FALSE)*VLOOKUP($D35,素材!$1:$1016,COLUMN($E$1),FALSE)/(LEN(VLOOKUP($D35,素材!$1:$1016,COLUMN($F$1),FALSE)) - LEN(SUBSTITUTE(VLOOKUP($D35,素材!$1:$1016,COLUMN($F$1),FALSE), "・", 0)) + 1), 0)</f>
        <v>0</v>
      </c>
      <c r="AE35">
        <f>IF(ISNUMBER(SEARCH(SUBSTITUTE(AE$1,RIGHT(AE$1,2),""),VLOOKUP($D35,素材!$1:$1016,COLUMN($F$1),FALSE))),VLOOKUP($C35,武器!$1:$998,COLUMN($O$1),FALSE)*VLOOKUP($D35,素材!$1:$1016,COLUMN($E$1),FALSE)/(LEN(VLOOKUP($D35,素材!$1:$1016,COLUMN($F$1),FALSE)) - LEN(SUBSTITUTE(VLOOKUP($D35,素材!$1:$1016,COLUMN($F$1),FALSE), "・", 0)) + 1), 0)</f>
        <v>0</v>
      </c>
      <c r="AF35">
        <f>IF(ISNUMBER(SEARCH(SUBSTITUTE(AF$1,RIGHT(AF$1,2),""),VLOOKUP($D35,素材!$1:$1016,COLUMN($F$1),FALSE))),VLOOKUP($C35,武器!$1:$998,COLUMN($O$1),FALSE)*VLOOKUP($D35,素材!$1:$1016,COLUMN($E$1),FALSE)/(LEN(VLOOKUP($D35,素材!$1:$1016,COLUMN($F$1),FALSE)) - LEN(SUBSTITUTE(VLOOKUP($D35,素材!$1:$1016,COLUMN($F$1),FALSE), "・", 0)) + 1), 0)</f>
        <v>0</v>
      </c>
      <c r="AG35">
        <f>IF(ISNUMBER(SEARCH(SUBSTITUTE(AG$1,RIGHT(AG$1,2),""),VLOOKUP($D35,素材!$1:$1016,COLUMN($F$1),FALSE))),VLOOKUP($C35,武器!$1:$998,COLUMN($O$1),FALSE)*VLOOKUP($D35,素材!$1:$1016,COLUMN($E$1),FALSE)/(LEN(VLOOKUP($D35,素材!$1:$1016,COLUMN($F$1),FALSE)) - LEN(SUBSTITUTE(VLOOKUP($D35,素材!$1:$1016,COLUMN($F$1),FALSE), "・", 0)) + 1), 0)</f>
        <v>0</v>
      </c>
      <c r="AH35">
        <f>IF(ISNUMBER(SEARCH(SUBSTITUTE(AH$1,RIGHT(AH$1,2),""),VLOOKUP($D35,素材!$1:$1016,COLUMN($F$1),FALSE))),VLOOKUP($C35,武器!$1:$998,COLUMN($O$1),FALSE)*VLOOKUP($D35,素材!$1:$1016,COLUMN($E$1),FALSE)/(LEN(VLOOKUP($D35,素材!$1:$1016,COLUMN($F$1),FALSE)) - LEN(SUBSTITUTE(VLOOKUP($D35,素材!$1:$1016,COLUMN($F$1),FALSE), "・", 0)) + 1), 0)</f>
        <v>0</v>
      </c>
      <c r="AI35">
        <f>IF(ISNUMBER(SEARCH(SUBSTITUTE(AI$1,RIGHT(AI$1,2),""),VLOOKUP($D35,素材!$1:$1016,COLUMN($F$1),FALSE))),VLOOKUP($C35,武器!$1:$998,COLUMN($O$1),FALSE)*VLOOKUP($D35,素材!$1:$1016,COLUMN($E$1),FALSE)/(LEN(VLOOKUP($D35,素材!$1:$1016,COLUMN($F$1),FALSE)) - LEN(SUBSTITUTE(VLOOKUP($D35,素材!$1:$1016,COLUMN($F$1),FALSE), "・", 0)) + 1), 0)</f>
        <v>0</v>
      </c>
      <c r="AJ35">
        <f>IF(ISNUMBER(SEARCH(SUBSTITUTE(AJ$1,RIGHT(AJ$1,2),""),VLOOKUP($D35,素材!$1:$1016,COLUMN($F$1),FALSE))),VLOOKUP($C35,武器!$1:$998,COLUMN($O$1),FALSE)*VLOOKUP($D35,素材!$1:$1016,COLUMN($E$1),FALSE)/(LEN(VLOOKUP($D35,素材!$1:$1016,COLUMN($F$1),FALSE)) - LEN(SUBSTITUTE(VLOOKUP($D35,素材!$1:$1016,COLUMN($F$1),FALSE), "・", 0)) + 1), 0)</f>
        <v>0</v>
      </c>
      <c r="AK35">
        <f>IF(ISNUMBER(SEARCH(SUBSTITUTE(AK$1,RIGHT(AK$1,2),""),VLOOKUP($D35,素材!$1:$1016,COLUMN($F$1),FALSE))),VLOOKUP($C35,武器!$1:$998,COLUMN($O$1),FALSE)*VLOOKUP($D35,素材!$1:$1016,COLUMN($E$1),FALSE)/(LEN(VLOOKUP($D35,素材!$1:$1016,COLUMN($F$1),FALSE)) - LEN(SUBSTITUTE(VLOOKUP($D35,素材!$1:$1016,COLUMN($F$1),FALSE), "・", 0)) + 1), 0)</f>
        <v>0</v>
      </c>
      <c r="AL35">
        <f>IF(ISNUMBER(SEARCH(SUBSTITUTE(AL$1,RIGHT(AL$1,2),""),VLOOKUP($D35,素材!$1:$1016,COLUMN($F$1),FALSE))),VLOOKUP($C35,武器!$1:$998,COLUMN($O$1),FALSE)*VLOOKUP($D35,素材!$1:$1016,COLUMN($E$1),FALSE)/(LEN(VLOOKUP($D35,素材!$1:$1016,COLUMN($F$1),FALSE)) - LEN(SUBSTITUTE(VLOOKUP($D35,素材!$1:$1016,COLUMN($F$1),FALSE), "・", 0)) + 1), 0)</f>
        <v>0</v>
      </c>
      <c r="AM35">
        <f>IF(ISNUMBER(SEARCH(SUBSTITUTE(AM$1,RIGHT(AM$1,2),""),VLOOKUP($D35,素材!$1:$1016,COLUMN($F$1),FALSE))),VLOOKUP($C35,武器!$1:$998,COLUMN($O$1),FALSE)*VLOOKUP($D35,素材!$1:$1016,COLUMN($E$1),FALSE)/(LEN(VLOOKUP($D35,素材!$1:$1016,COLUMN($F$1),FALSE)) - LEN(SUBSTITUTE(VLOOKUP($D35,素材!$1:$1016,COLUMN($F$1),FALSE), "・", 0)) + 1), 0)</f>
        <v>0</v>
      </c>
      <c r="AN35">
        <f>IF(ISNUMBER(SEARCH(SUBSTITUTE(AN$1,RIGHT(AN$1,2),""),VLOOKUP($D35,素材!$1:$1016,COLUMN($F$1),FALSE))),VLOOKUP($C35,武器!$1:$998,COLUMN($O$1),FALSE)*VLOOKUP($D35,素材!$1:$1016,COLUMN($E$1),FALSE)/(LEN(VLOOKUP($D35,素材!$1:$1016,COLUMN($F$1),FALSE)) - LEN(SUBSTITUTE(VLOOKUP($D35,素材!$1:$1016,COLUMN($F$1),FALSE), "・", 0)) + 1), 0)</f>
        <v>0</v>
      </c>
      <c r="AO35">
        <f>IF(ISNUMBER(SEARCH(SUBSTITUTE(AO$1,RIGHT(AO$1,2),""),VLOOKUP($D35,素材!$1:$1016,COLUMN($F$1),FALSE))),VLOOKUP($C35,武器!$1:$998,COLUMN($O$1),FALSE)*VLOOKUP($D35,素材!$1:$1016,COLUMN($E$1),FALSE)/(LEN(VLOOKUP($D35,素材!$1:$1016,COLUMN($F$1),FALSE)) - LEN(SUBSTITUTE(VLOOKUP($D35,素材!$1:$1016,COLUMN($F$1),FALSE), "・", 0)) + 1), 0)</f>
        <v>0</v>
      </c>
      <c r="AP35">
        <f>IF(ISNUMBER(SEARCH(SUBSTITUTE(AP$1,RIGHT(AP$1,2),""),VLOOKUP($D35,素材!$1:$1016,COLUMN($F$1),FALSE))),VLOOKUP($C35,武器!$1:$998,COLUMN($O$1),FALSE)*VLOOKUP($D35,素材!$1:$1016,COLUMN($E$1),FALSE)/(LEN(VLOOKUP($D35,素材!$1:$1016,COLUMN($F$1),FALSE)) - LEN(SUBSTITUTE(VLOOKUP($D35,素材!$1:$1016,COLUMN($F$1),FALSE), "・", 0)) + 1), 0)</f>
        <v>0</v>
      </c>
      <c r="AQ35">
        <f>IF(ISNUMBER(SEARCH(SUBSTITUTE(AQ$1,RIGHT(AQ$1,2),""),VLOOKUP($D35,素材!$1:$1016,COLUMN($F$1),FALSE))),VLOOKUP($C35,武器!$1:$998,COLUMN($O$1),FALSE)*VLOOKUP($D35,素材!$1:$1016,COLUMN($E$1),FALSE)/(LEN(VLOOKUP($D35,素材!$1:$1016,COLUMN($F$1),FALSE)) - LEN(SUBSTITUTE(VLOOKUP($D35,素材!$1:$1016,COLUMN($F$1),FALSE), "・", 0)) + 1), 0)</f>
        <v>0</v>
      </c>
      <c r="AR35">
        <f>IF(ISNUMBER(SEARCH(SUBSTITUTE(AR$1,RIGHT(AR$1,2),""),VLOOKUP($D35,素材!$1:$1016,COLUMN($F$1),FALSE))),VLOOKUP($C35,武器!$1:$998,COLUMN($O$1),FALSE)*VLOOKUP($D35,素材!$1:$1016,COLUMN($E$1),FALSE)/(LEN(VLOOKUP($D35,素材!$1:$1016,COLUMN($F$1),FALSE)) - LEN(SUBSTITUTE(VLOOKUP($D35,素材!$1:$1016,COLUMN($F$1),FALSE), "・", 0)) + 1), 0)</f>
        <v>0</v>
      </c>
      <c r="AS35">
        <f>IF(ISNUMBER(SEARCH(SUBSTITUTE(AS$1,RIGHT(AS$1,2),""),VLOOKUP($D35,素材!$1:$1016,COLUMN($F$1),FALSE))),VLOOKUP($C35,武器!$1:$998,COLUMN($O$1),FALSE)*VLOOKUP($D35,素材!$1:$1016,COLUMN($E$1),FALSE)/(LEN(VLOOKUP($D35,素材!$1:$1016,COLUMN($F$1),FALSE)) - LEN(SUBSTITUTE(VLOOKUP($D35,素材!$1:$1016,COLUMN($F$1),FALSE), "・", 0)) + 1), 0)</f>
        <v>0</v>
      </c>
      <c r="AT35">
        <f>IF(ISNUMBER(SEARCH(SUBSTITUTE(AT$1,RIGHT(AT$1,2),""),VLOOKUP($D35,素材!$1:$1016,COLUMN($F$1),FALSE))),VLOOKUP($C35,武器!$1:$998,COLUMN($O$1),FALSE)*VLOOKUP($D35,素材!$1:$1016,COLUMN($E$1),FALSE)/(LEN(VLOOKUP($D35,素材!$1:$1016,COLUMN($F$1),FALSE)) - LEN(SUBSTITUTE(VLOOKUP($D35,素材!$1:$1016,COLUMN($F$1),FALSE), "・", 0)) + 1), 0)</f>
        <v>0</v>
      </c>
      <c r="AU35">
        <f>IF(ISNUMBER(SEARCH(SUBSTITUTE(AU$1,RIGHT(AU$1,2),""),VLOOKUP($D35,素材!$1:$1016,COLUMN($F$1),FALSE))),VLOOKUP($C35,武器!$1:$998,COLUMN($O$1),FALSE)*VLOOKUP($D35,素材!$1:$1016,COLUMN($E$1),FALSE)/(LEN(VLOOKUP($D35,素材!$1:$1016,COLUMN($F$1),FALSE)) - LEN(SUBSTITUTE(VLOOKUP($D35,素材!$1:$1016,COLUMN($F$1),FALSE), "・", 0)) + 1), 0)</f>
        <v>0</v>
      </c>
      <c r="AV35">
        <f>IF(ISNUMBER(SEARCH(SUBSTITUTE(AV$1,RIGHT(AV$1,2),""),VLOOKUP($D35,素材!$1:$1016,COLUMN($F$1),FALSE))),VLOOKUP($C35,武器!$1:$998,COLUMN($O$1),FALSE)*VLOOKUP($D35,素材!$1:$1016,COLUMN($E$1),FALSE)/(LEN(VLOOKUP($D35,素材!$1:$1016,COLUMN($F$1),FALSE)) - LEN(SUBSTITUTE(VLOOKUP($D35,素材!$1:$1016,COLUMN($F$1),FALSE), "・", 0)) + 1), 0)</f>
        <v>0</v>
      </c>
      <c r="AW35">
        <f>IF(ISNUMBER(SEARCH(SUBSTITUTE(AW$1,RIGHT(AW$1,2),""),VLOOKUP($D35,素材!$1:$1016,COLUMN($F$1),FALSE))),VLOOKUP($C35,武器!$1:$998,COLUMN($O$1),FALSE)*VLOOKUP($D35,素材!$1:$1016,COLUMN($E$1),FALSE)/(LEN(VLOOKUP($D35,素材!$1:$1016,COLUMN($F$1),FALSE)) - LEN(SUBSTITUTE(VLOOKUP($D35,素材!$1:$1016,COLUMN($F$1),FALSE), "・", 0)) + 1), 0)</f>
        <v>0</v>
      </c>
      <c r="AX35">
        <f>IF(ISNUMBER(SEARCH(SUBSTITUTE(AX$1,RIGHT(AX$1,2),""),VLOOKUP($D35,素材!$1:$1016,COLUMN($F$1),FALSE))),VLOOKUP($C35,武器!$1:$998,COLUMN($O$1),FALSE)*VLOOKUP($D35,素材!$1:$1016,COLUMN($E$1),FALSE)/(LEN(VLOOKUP($D35,素材!$1:$1016,COLUMN($F$1),FALSE)) - LEN(SUBSTITUTE(VLOOKUP($D35,素材!$1:$1016,COLUMN($F$1),FALSE), "・", 0)) + 1), 0)</f>
        <v>0</v>
      </c>
      <c r="AY35">
        <f>IF(ISNUMBER(SEARCH(SUBSTITUTE(AY$1,RIGHT(AY$1,2),""),VLOOKUP($D35,素材!$1:$1016,COLUMN($F$1),FALSE))),VLOOKUP($C35,武器!$1:$998,COLUMN($O$1),FALSE)*VLOOKUP($D35,素材!$1:$1016,COLUMN($E$1),FALSE)/(LEN(VLOOKUP($D35,素材!$1:$1016,COLUMN($F$1),FALSE)) - LEN(SUBSTITUTE(VLOOKUP($D35,素材!$1:$1016,COLUMN($F$1),FALSE), "・", 0)) + 1), 0)</f>
        <v>0</v>
      </c>
      <c r="AZ35">
        <f>IF(ISNUMBER(SEARCH(SUBSTITUTE(AZ$1,RIGHT(AZ$1,2),""),VLOOKUP($D35,素材!$1:$1016,COLUMN($F$1),FALSE))),VLOOKUP($C35,武器!$1:$998,COLUMN($O$1),FALSE)*VLOOKUP($D35,素材!$1:$1016,COLUMN($E$1),FALSE)/(LEN(VLOOKUP($D35,素材!$1:$1016,COLUMN($F$1),FALSE)) - LEN(SUBSTITUTE(VLOOKUP($D35,素材!$1:$1016,COLUMN($F$1),FALSE), "・", 0)) + 1), 0)</f>
        <v>0</v>
      </c>
      <c r="BA35">
        <f>IF(ISNUMBER(SEARCH(SUBSTITUTE(BA$1,RIGHT(BA$1,2),""),VLOOKUP($D35,素材!$1:$1016,COLUMN($F$1),FALSE))),VLOOKUP($C35,武器!$1:$998,COLUMN($O$1),FALSE)*VLOOKUP($D35,素材!$1:$1016,COLUMN($E$1),FALSE)/(LEN(VLOOKUP($D35,素材!$1:$1016,COLUMN($F$1),FALSE)) - LEN(SUBSTITUTE(VLOOKUP($D35,素材!$1:$1016,COLUMN($F$1),FALSE), "・", 0)) + 1), 0)</f>
        <v>0</v>
      </c>
      <c r="BB35">
        <f>IF(ISNUMBER(SEARCH(SUBSTITUTE(BB$1,RIGHT(BB$1,2),""),VLOOKUP($D35,素材!$1:$1016,COLUMN($F$1),FALSE))),VLOOKUP($C35,武器!$1:$998,COLUMN($O$1),FALSE)*VLOOKUP($D35,素材!$1:$1016,COLUMN($E$1),FALSE)/(LEN(VLOOKUP($D35,素材!$1:$1016,COLUMN($F$1),FALSE)) - LEN(SUBSTITUTE(VLOOKUP($D35,素材!$1:$1016,COLUMN($F$1),FALSE), "・", 0)) + 1), 0)</f>
        <v>0</v>
      </c>
      <c r="BC35">
        <f>IF(ISNUMBER(SEARCH(SUBSTITUTE(BC$1,RIGHT(BC$1,2),""),VLOOKUP($D35,素材!$1:$1016,COLUMN($F$1),FALSE))),VLOOKUP($C35,武器!$1:$998,COLUMN($O$1),FALSE)*VLOOKUP($D35,素材!$1:$1016,COLUMN($E$1),FALSE)/(LEN(VLOOKUP($D35,素材!$1:$1016,COLUMN($F$1),FALSE)) - LEN(SUBSTITUTE(VLOOKUP($D35,素材!$1:$1016,COLUMN($F$1),FALSE), "・", 0)) + 1), 0)</f>
        <v>0</v>
      </c>
      <c r="BD35">
        <f>IF(ISNUMBER(SEARCH(SUBSTITUTE(BD$1,RIGHT(BD$1,2),""),VLOOKUP($D35,素材!$1:$1016,COLUMN($F$1),FALSE))),VLOOKUP($C35,武器!$1:$998,COLUMN($O$1),FALSE)*VLOOKUP($D35,素材!$1:$1016,COLUMN($E$1),FALSE)/(LEN(VLOOKUP($D35,素材!$1:$1016,COLUMN($F$1),FALSE)) - LEN(SUBSTITUTE(VLOOKUP($D35,素材!$1:$1016,COLUMN($F$1),FALSE), "・", 0)) + 1), 0)</f>
        <v>0</v>
      </c>
      <c r="BE35">
        <f>IF(ISNUMBER(SEARCH(SUBSTITUTE(BE$1,RIGHT(BE$1,2),""),VLOOKUP($D35,素材!$1:$1016,COLUMN($F$1),FALSE))),VLOOKUP($C35,武器!$1:$998,COLUMN($O$1),FALSE)*VLOOKUP($D35,素材!$1:$1016,COLUMN($E$1),FALSE)/(LEN(VLOOKUP($D35,素材!$1:$1016,COLUMN($F$1),FALSE)) - LEN(SUBSTITUTE(VLOOKUP($D35,素材!$1:$1016,COLUMN($F$1),FALSE), "・", 0)) + 1), 0)</f>
        <v>0</v>
      </c>
      <c r="CL35">
        <f>SUM(G35:I35)</f>
        <v>17</v>
      </c>
      <c r="CM35" s="22" t="str">
        <f>IF(E35="武器",IF(J35-1&gt;SUM(G35:I35),"盾",IF(MAX(G35:I35)=G35,"切断",IF(MAX(G35:I35)=H35,"貫通",IF(MAX(G35:I35)=I35,"打撃","射撃")))),E35)&amp;".webp"</f>
        <v>頭.webp</v>
      </c>
      <c r="CN35">
        <f>IFERROR(VLOOKUP($C35,武器!$1:$998,COLUMN(V$1),FALSE)*VLOOKUP($D35,素材!$1:$1016,COLUMN(N$1),FALSE)+IF(CI35="",0,VLOOKUP($CI35,装強!$1:$1008,COLUMN($CK$1),FALSE)),"")</f>
        <v>400</v>
      </c>
      <c r="CO35" t="str">
        <f>VLOOKUP(D35,素材!$A:$O,COLUMN(素材!O$1),FALSE)</f>
        <v>一般的な鉄。量産品を作るのに使用されることが多い</v>
      </c>
      <c r="CP35" t="str">
        <f>VLOOKUP(C35,武器!$A:$W,COLUMN(武器!W$1),FALSE)</f>
        <v>命中 魔防 Cr</v>
      </c>
      <c r="CR35" t="str">
        <f t="shared" si="1"/>
        <v>e_35</v>
      </c>
      <c r="CS35">
        <f t="shared" si="2"/>
        <v>40000</v>
      </c>
    </row>
    <row r="36" spans="1:97" outlineLevel="1" x14ac:dyDescent="0.4">
      <c r="A36" t="str">
        <f t="shared" si="3"/>
        <v>鉄の兜</v>
      </c>
      <c r="B36" t="str">
        <f>IFERROR(VLOOKUP($D36,素材!$1:$1016,COLUMN($B$1),FALSE)&amp;"・"&amp;VLOOKUP($C36,武器!$1:$998,COLUMN(B$1),FALSE),"")</f>
        <v>アイアン・ヘルム</v>
      </c>
      <c r="C36" t="s">
        <v>209</v>
      </c>
      <c r="D36" s="24" t="s">
        <v>257</v>
      </c>
      <c r="E36" t="str">
        <f>IFERROR(VLOOKUP(C36,武器!$1:$998,COLUMN(C$1),FALSE),"")</f>
        <v>頭</v>
      </c>
      <c r="F36">
        <f>IFERROR(ROUNDDOWN((VLOOKUP($C36,武器!$1:$998,COLUMN(D$1),FALSE)+IFERROR(VLOOKUP($CI36,装強!$1:$999,COLUMN(F$1),FALSE),0))*VLOOKUP($D36,素材!$1:$1016,COLUMN(D$1),FALSE),0),"")</f>
        <v>0</v>
      </c>
      <c r="G36">
        <f>IFERROR(ROUNDDOWN((VLOOKUP($C36,武器!$1:$998,COLUMN(E$1),FALSE)+IFERROR(VLOOKUP($CI36,装強!$1:$999,COLUMN(G$1),FALSE),0))*VLOOKUP($D36,素材!$1:$1016,COLUMN($E$1),FALSE),0),"")</f>
        <v>0</v>
      </c>
      <c r="H36">
        <f>IFERROR(ROUNDDOWN((VLOOKUP($C36,武器!$1:$998,COLUMN(F$1),FALSE)+IFERROR(VLOOKUP($CI36,装強!$1:$999,COLUMN(H$1),FALSE),0))*VLOOKUP($D36,素材!$1:$1016,COLUMN($E$1),FALSE),0),"")</f>
        <v>0</v>
      </c>
      <c r="I36">
        <f>IFERROR(ROUNDDOWN((VLOOKUP($C36,武器!$1:$998,COLUMN(G$1),FALSE)+IFERROR(VLOOKUP($CI36,装強!$1:$999,COLUMN(I$1),FALSE),0))*VLOOKUP($D36,素材!$1:$1016,COLUMN($E$1),FALSE),0),"")</f>
        <v>17</v>
      </c>
      <c r="J36">
        <f>IFERROR(ROUNDDOWN((VLOOKUP($C36,武器!$1:$998,COLUMN(H$1),FALSE)+IFERROR(VLOOKUP($CI36,装強!$1:$999,COLUMN(J$1),FALSE),0))*VLOOKUP($D36,素材!$1:$1016,COLUMN($E$1),FALSE),0),"")</f>
        <v>0</v>
      </c>
      <c r="K36">
        <f>IFERROR(ROUNDDOWN((VLOOKUP($C36,武器!$1:$998,COLUMN(I$1),FALSE)+IFERROR(VLOOKUP($CI36,装強!$1:$999,COLUMN(K$1),FALSE),0))*VLOOKUP($D36,素材!$1:$1016,COLUMN($E$1),FALSE),0),"")</f>
        <v>0</v>
      </c>
      <c r="L36">
        <f>IFERROR(VLOOKUP($D36,素材!$1:$1016,COLUMN($F$1),FALSE),"")</f>
        <v>0</v>
      </c>
      <c r="M36">
        <f>IFERROR(VLOOKUP($C36,武器!$1:$998,COLUMN(AA$1),FALSE)*VLOOKUP($D36,素材!$1:$1016,COLUMN($G$1),FALSE),"")</f>
        <v>0</v>
      </c>
      <c r="N36">
        <f>IFERROR(VLOOKUP($C36,武器!$1:$998,COLUMN(I$1),FALSE),"")</f>
        <v>0</v>
      </c>
      <c r="O36" s="23">
        <f>IFERROR((VLOOKUP($C36,武器!$1:$998,COLUMN(K$1),FALSE)+VLOOKUP($D36,素材!$1:$1016,COLUMN(H$1),FALSE))*100+IFERROR(VLOOKUP($CI36,装強!$1:$999,COLUMN(O$1),FALSE),0),"")</f>
        <v>5</v>
      </c>
      <c r="P36" s="23">
        <f>IFERROR((VLOOKUP($C36,武器!$1:$998,COLUMN(L$1),FALSE)+VLOOKUP($D36,素材!$1:$1016,COLUMN(I$1),FALSE))*100+IFERROR(VLOOKUP($CI36,装強!$1:$999,COLUMN(P$1),FALSE),0),"")</f>
        <v>125</v>
      </c>
      <c r="Q36">
        <f>IFERROR(ROUNDUP(VLOOKUP($C36,武器!$1:$998,COLUMN(M$1),FALSE)*(VLOOKUP($D36,素材!$1:$1002,COLUMN(D$1),FALSE)/100),1),"")</f>
        <v>-5</v>
      </c>
      <c r="R36">
        <f>IFERROR(ROUNDUP(VLOOKUP($C36,武器!$1:$998,COLUMN(N$1),FALSE)*(VLOOKUP($D36,素材!$1:$1002,COLUMN(D$1),FALSE)/100),1),"")</f>
        <v>0</v>
      </c>
      <c r="S36">
        <f>IFERROR(VLOOKUP($C36,武器!$1:$998,COLUMN(P$1),FALSE),"")</f>
        <v>0</v>
      </c>
      <c r="T36">
        <f>IFERROR(VLOOKUP($C36,武器!$1:$998,COLUMN(Q$1),FALSE),"")</f>
        <v>0</v>
      </c>
      <c r="U36">
        <f>IFERROR(VLOOKUP($C36,武器!$1:$998,COLUMN(R$1),FALSE),"")</f>
        <v>0</v>
      </c>
      <c r="V36">
        <f>IFERROR(VLOOKUP($C36,武器!$1:$998,COLUMN(Q$1),FALSE),"")</f>
        <v>0</v>
      </c>
      <c r="W36">
        <f>IFERROR(VLOOKUP($C36,武器!$1:$998,COLUMN(T$1),FALSE),"")</f>
        <v>0</v>
      </c>
      <c r="Y36">
        <f>IFERROR(VLOOKUP($C36,武器!$1:$998,COLUMN(U$1),FALSE),"")</f>
        <v>0</v>
      </c>
      <c r="Z36">
        <f>IFERROR(ROUNDUP(VLOOKUP($C36,武器!$1:$998,COLUMN(O$1),FALSE)*VLOOKUP($D36,素材!$1:$1016,COLUMN(E$1),FALSE),1),"")</f>
        <v>4</v>
      </c>
      <c r="AA36">
        <f>IF(ISNUMBER(SEARCH(SUBSTITUTE(AA$1,RIGHT(AA$1,2),""),VLOOKUP($D36,素材!$1:$1016,COLUMN($F$1),FALSE))),VLOOKUP($C36,武器!$1:$998,COLUMN($O$1),FALSE)*VLOOKUP($D36,素材!$1:$1016,COLUMN($E$1),FALSE)/(LEN(VLOOKUP($D36,素材!$1:$1016,COLUMN($F$1),FALSE)) - LEN(SUBSTITUTE(VLOOKUP($D36,素材!$1:$1016,COLUMN($F$1),FALSE), "・", 0)) + 1), 0)</f>
        <v>0</v>
      </c>
      <c r="AB36">
        <f>IF(ISNUMBER(SEARCH(SUBSTITUTE(AB$1,RIGHT(AB$1,2),""),VLOOKUP($D36,素材!$1:$1016,COLUMN($F$1),FALSE))),VLOOKUP($C36,武器!$1:$998,COLUMN($O$1),FALSE)*VLOOKUP($D36,素材!$1:$1016,COLUMN($E$1),FALSE)/(LEN(VLOOKUP($D36,素材!$1:$1016,COLUMN($F$1),FALSE)) - LEN(SUBSTITUTE(VLOOKUP($D36,素材!$1:$1016,COLUMN($F$1),FALSE), "・", 0)) + 1), 0)</f>
        <v>0</v>
      </c>
      <c r="AC36">
        <f>IF(ISNUMBER(SEARCH(SUBSTITUTE(AC$1,RIGHT(AC$1,2),""),VLOOKUP($D36,素材!$1:$1016,COLUMN($F$1),FALSE))),VLOOKUP($C36,武器!$1:$998,COLUMN($O$1),FALSE)*VLOOKUP($D36,素材!$1:$1016,COLUMN($E$1),FALSE)/(LEN(VLOOKUP($D36,素材!$1:$1016,COLUMN($F$1),FALSE)) - LEN(SUBSTITUTE(VLOOKUP($D36,素材!$1:$1016,COLUMN($F$1),FALSE), "・", 0)) + 1), 0)</f>
        <v>0</v>
      </c>
      <c r="AD36">
        <f>IF(ISNUMBER(SEARCH(SUBSTITUTE(AD$1,RIGHT(AD$1,2),""),VLOOKUP($D36,素材!$1:$1016,COLUMN($F$1),FALSE))),VLOOKUP($C36,武器!$1:$998,COLUMN($O$1),FALSE)*VLOOKUP($D36,素材!$1:$1016,COLUMN($E$1),FALSE)/(LEN(VLOOKUP($D36,素材!$1:$1016,COLUMN($F$1),FALSE)) - LEN(SUBSTITUTE(VLOOKUP($D36,素材!$1:$1016,COLUMN($F$1),FALSE), "・", 0)) + 1), 0)</f>
        <v>0</v>
      </c>
      <c r="AE36">
        <f>IF(ISNUMBER(SEARCH(SUBSTITUTE(AE$1,RIGHT(AE$1,2),""),VLOOKUP($D36,素材!$1:$1016,COLUMN($F$1),FALSE))),VLOOKUP($C36,武器!$1:$998,COLUMN($O$1),FALSE)*VLOOKUP($D36,素材!$1:$1016,COLUMN($E$1),FALSE)/(LEN(VLOOKUP($D36,素材!$1:$1016,COLUMN($F$1),FALSE)) - LEN(SUBSTITUTE(VLOOKUP($D36,素材!$1:$1016,COLUMN($F$1),FALSE), "・", 0)) + 1), 0)</f>
        <v>0</v>
      </c>
      <c r="AF36">
        <f>IF(ISNUMBER(SEARCH(SUBSTITUTE(AF$1,RIGHT(AF$1,2),""),VLOOKUP($D36,素材!$1:$1016,COLUMN($F$1),FALSE))),VLOOKUP($C36,武器!$1:$998,COLUMN($O$1),FALSE)*VLOOKUP($D36,素材!$1:$1016,COLUMN($E$1),FALSE)/(LEN(VLOOKUP($D36,素材!$1:$1016,COLUMN($F$1),FALSE)) - LEN(SUBSTITUTE(VLOOKUP($D36,素材!$1:$1016,COLUMN($F$1),FALSE), "・", 0)) + 1), 0)</f>
        <v>0</v>
      </c>
      <c r="AG36">
        <f>IF(ISNUMBER(SEARCH(SUBSTITUTE(AG$1,RIGHT(AG$1,2),""),VLOOKUP($D36,素材!$1:$1016,COLUMN($F$1),FALSE))),VLOOKUP($C36,武器!$1:$998,COLUMN($O$1),FALSE)*VLOOKUP($D36,素材!$1:$1016,COLUMN($E$1),FALSE)/(LEN(VLOOKUP($D36,素材!$1:$1016,COLUMN($F$1),FALSE)) - LEN(SUBSTITUTE(VLOOKUP($D36,素材!$1:$1016,COLUMN($F$1),FALSE), "・", 0)) + 1), 0)</f>
        <v>0</v>
      </c>
      <c r="AH36">
        <f>IF(ISNUMBER(SEARCH(SUBSTITUTE(AH$1,RIGHT(AH$1,2),""),VLOOKUP($D36,素材!$1:$1016,COLUMN($F$1),FALSE))),VLOOKUP($C36,武器!$1:$998,COLUMN($O$1),FALSE)*VLOOKUP($D36,素材!$1:$1016,COLUMN($E$1),FALSE)/(LEN(VLOOKUP($D36,素材!$1:$1016,COLUMN($F$1),FALSE)) - LEN(SUBSTITUTE(VLOOKUP($D36,素材!$1:$1016,COLUMN($F$1),FALSE), "・", 0)) + 1), 0)</f>
        <v>0</v>
      </c>
      <c r="AI36">
        <f>IF(ISNUMBER(SEARCH(SUBSTITUTE(AI$1,RIGHT(AI$1,2),""),VLOOKUP($D36,素材!$1:$1016,COLUMN($F$1),FALSE))),VLOOKUP($C36,武器!$1:$998,COLUMN($O$1),FALSE)*VLOOKUP($D36,素材!$1:$1016,COLUMN($E$1),FALSE)/(LEN(VLOOKUP($D36,素材!$1:$1016,COLUMN($F$1),FALSE)) - LEN(SUBSTITUTE(VLOOKUP($D36,素材!$1:$1016,COLUMN($F$1),FALSE), "・", 0)) + 1), 0)</f>
        <v>0</v>
      </c>
      <c r="AJ36">
        <f>IF(ISNUMBER(SEARCH(SUBSTITUTE(AJ$1,RIGHT(AJ$1,2),""),VLOOKUP($D36,素材!$1:$1016,COLUMN($F$1),FALSE))),VLOOKUP($C36,武器!$1:$998,COLUMN($O$1),FALSE)*VLOOKUP($D36,素材!$1:$1016,COLUMN($E$1),FALSE)/(LEN(VLOOKUP($D36,素材!$1:$1016,COLUMN($F$1),FALSE)) - LEN(SUBSTITUTE(VLOOKUP($D36,素材!$1:$1016,COLUMN($F$1),FALSE), "・", 0)) + 1), 0)</f>
        <v>0</v>
      </c>
      <c r="AK36">
        <f>IF(ISNUMBER(SEARCH(SUBSTITUTE(AK$1,RIGHT(AK$1,2),""),VLOOKUP($D36,素材!$1:$1016,COLUMN($F$1),FALSE))),VLOOKUP($C36,武器!$1:$998,COLUMN($O$1),FALSE)*VLOOKUP($D36,素材!$1:$1016,COLUMN($E$1),FALSE)/(LEN(VLOOKUP($D36,素材!$1:$1016,COLUMN($F$1),FALSE)) - LEN(SUBSTITUTE(VLOOKUP($D36,素材!$1:$1016,COLUMN($F$1),FALSE), "・", 0)) + 1), 0)</f>
        <v>0</v>
      </c>
      <c r="AL36">
        <f>IF(ISNUMBER(SEARCH(SUBSTITUTE(AL$1,RIGHT(AL$1,2),""),VLOOKUP($D36,素材!$1:$1016,COLUMN($F$1),FALSE))),VLOOKUP($C36,武器!$1:$998,COLUMN($O$1),FALSE)*VLOOKUP($D36,素材!$1:$1016,COLUMN($E$1),FALSE)/(LEN(VLOOKUP($D36,素材!$1:$1016,COLUMN($F$1),FALSE)) - LEN(SUBSTITUTE(VLOOKUP($D36,素材!$1:$1016,COLUMN($F$1),FALSE), "・", 0)) + 1), 0)</f>
        <v>0</v>
      </c>
      <c r="AM36">
        <f>IF(ISNUMBER(SEARCH(SUBSTITUTE(AM$1,RIGHT(AM$1,2),""),VLOOKUP($D36,素材!$1:$1016,COLUMN($F$1),FALSE))),VLOOKUP($C36,武器!$1:$998,COLUMN($O$1),FALSE)*VLOOKUP($D36,素材!$1:$1016,COLUMN($E$1),FALSE)/(LEN(VLOOKUP($D36,素材!$1:$1016,COLUMN($F$1),FALSE)) - LEN(SUBSTITUTE(VLOOKUP($D36,素材!$1:$1016,COLUMN($F$1),FALSE), "・", 0)) + 1), 0)</f>
        <v>0</v>
      </c>
      <c r="AN36">
        <f>IF(ISNUMBER(SEARCH(SUBSTITUTE(AN$1,RIGHT(AN$1,2),""),VLOOKUP($D36,素材!$1:$1016,COLUMN($F$1),FALSE))),VLOOKUP($C36,武器!$1:$998,COLUMN($O$1),FALSE)*VLOOKUP($D36,素材!$1:$1016,COLUMN($E$1),FALSE)/(LEN(VLOOKUP($D36,素材!$1:$1016,COLUMN($F$1),FALSE)) - LEN(SUBSTITUTE(VLOOKUP($D36,素材!$1:$1016,COLUMN($F$1),FALSE), "・", 0)) + 1), 0)</f>
        <v>0</v>
      </c>
      <c r="AO36">
        <f>IF(ISNUMBER(SEARCH(SUBSTITUTE(AO$1,RIGHT(AO$1,2),""),VLOOKUP($D36,素材!$1:$1016,COLUMN($F$1),FALSE))),VLOOKUP($C36,武器!$1:$998,COLUMN($O$1),FALSE)*VLOOKUP($D36,素材!$1:$1016,COLUMN($E$1),FALSE)/(LEN(VLOOKUP($D36,素材!$1:$1016,COLUMN($F$1),FALSE)) - LEN(SUBSTITUTE(VLOOKUP($D36,素材!$1:$1016,COLUMN($F$1),FALSE), "・", 0)) + 1), 0)</f>
        <v>0</v>
      </c>
      <c r="AP36">
        <f>IF(ISNUMBER(SEARCH(SUBSTITUTE(AP$1,RIGHT(AP$1,2),""),VLOOKUP($D36,素材!$1:$1016,COLUMN($F$1),FALSE))),VLOOKUP($C36,武器!$1:$998,COLUMN($O$1),FALSE)*VLOOKUP($D36,素材!$1:$1016,COLUMN($E$1),FALSE)/(LEN(VLOOKUP($D36,素材!$1:$1016,COLUMN($F$1),FALSE)) - LEN(SUBSTITUTE(VLOOKUP($D36,素材!$1:$1016,COLUMN($F$1),FALSE), "・", 0)) + 1), 0)</f>
        <v>0</v>
      </c>
      <c r="AQ36">
        <f>IF(ISNUMBER(SEARCH(SUBSTITUTE(AQ$1,RIGHT(AQ$1,2),""),VLOOKUP($D36,素材!$1:$1016,COLUMN($F$1),FALSE))),VLOOKUP($C36,武器!$1:$998,COLUMN($O$1),FALSE)*VLOOKUP($D36,素材!$1:$1016,COLUMN($E$1),FALSE)/(LEN(VLOOKUP($D36,素材!$1:$1016,COLUMN($F$1),FALSE)) - LEN(SUBSTITUTE(VLOOKUP($D36,素材!$1:$1016,COLUMN($F$1),FALSE), "・", 0)) + 1), 0)</f>
        <v>0</v>
      </c>
      <c r="AR36">
        <f>IF(ISNUMBER(SEARCH(SUBSTITUTE(AR$1,RIGHT(AR$1,2),""),VLOOKUP($D36,素材!$1:$1016,COLUMN($F$1),FALSE))),VLOOKUP($C36,武器!$1:$998,COLUMN($O$1),FALSE)*VLOOKUP($D36,素材!$1:$1016,COLUMN($E$1),FALSE)/(LEN(VLOOKUP($D36,素材!$1:$1016,COLUMN($F$1),FALSE)) - LEN(SUBSTITUTE(VLOOKUP($D36,素材!$1:$1016,COLUMN($F$1),FALSE), "・", 0)) + 1), 0)</f>
        <v>0</v>
      </c>
      <c r="AS36">
        <f>IF(ISNUMBER(SEARCH(SUBSTITUTE(AS$1,RIGHT(AS$1,2),""),VLOOKUP($D36,素材!$1:$1016,COLUMN($F$1),FALSE))),VLOOKUP($C36,武器!$1:$998,COLUMN($O$1),FALSE)*VLOOKUP($D36,素材!$1:$1016,COLUMN($E$1),FALSE)/(LEN(VLOOKUP($D36,素材!$1:$1016,COLUMN($F$1),FALSE)) - LEN(SUBSTITUTE(VLOOKUP($D36,素材!$1:$1016,COLUMN($F$1),FALSE), "・", 0)) + 1), 0)</f>
        <v>0</v>
      </c>
      <c r="AT36">
        <f>IF(ISNUMBER(SEARCH(SUBSTITUTE(AT$1,RIGHT(AT$1,2),""),VLOOKUP($D36,素材!$1:$1016,COLUMN($F$1),FALSE))),VLOOKUP($C36,武器!$1:$998,COLUMN($O$1),FALSE)*VLOOKUP($D36,素材!$1:$1016,COLUMN($E$1),FALSE)/(LEN(VLOOKUP($D36,素材!$1:$1016,COLUMN($F$1),FALSE)) - LEN(SUBSTITUTE(VLOOKUP($D36,素材!$1:$1016,COLUMN($F$1),FALSE), "・", 0)) + 1), 0)</f>
        <v>0</v>
      </c>
      <c r="AU36">
        <f>IF(ISNUMBER(SEARCH(SUBSTITUTE(AU$1,RIGHT(AU$1,2),""),VLOOKUP($D36,素材!$1:$1016,COLUMN($F$1),FALSE))),VLOOKUP($C36,武器!$1:$998,COLUMN($O$1),FALSE)*VLOOKUP($D36,素材!$1:$1016,COLUMN($E$1),FALSE)/(LEN(VLOOKUP($D36,素材!$1:$1016,COLUMN($F$1),FALSE)) - LEN(SUBSTITUTE(VLOOKUP($D36,素材!$1:$1016,COLUMN($F$1),FALSE), "・", 0)) + 1), 0)</f>
        <v>0</v>
      </c>
      <c r="AV36">
        <f>IF(ISNUMBER(SEARCH(SUBSTITUTE(AV$1,RIGHT(AV$1,2),""),VLOOKUP($D36,素材!$1:$1016,COLUMN($F$1),FALSE))),VLOOKUP($C36,武器!$1:$998,COLUMN($O$1),FALSE)*VLOOKUP($D36,素材!$1:$1016,COLUMN($E$1),FALSE)/(LEN(VLOOKUP($D36,素材!$1:$1016,COLUMN($F$1),FALSE)) - LEN(SUBSTITUTE(VLOOKUP($D36,素材!$1:$1016,COLUMN($F$1),FALSE), "・", 0)) + 1), 0)</f>
        <v>0</v>
      </c>
      <c r="AW36">
        <f>IF(ISNUMBER(SEARCH(SUBSTITUTE(AW$1,RIGHT(AW$1,2),""),VLOOKUP($D36,素材!$1:$1016,COLUMN($F$1),FALSE))),VLOOKUP($C36,武器!$1:$998,COLUMN($O$1),FALSE)*VLOOKUP($D36,素材!$1:$1016,COLUMN($E$1),FALSE)/(LEN(VLOOKUP($D36,素材!$1:$1016,COLUMN($F$1),FALSE)) - LEN(SUBSTITUTE(VLOOKUP($D36,素材!$1:$1016,COLUMN($F$1),FALSE), "・", 0)) + 1), 0)</f>
        <v>0</v>
      </c>
      <c r="AX36">
        <f>IF(ISNUMBER(SEARCH(SUBSTITUTE(AX$1,RIGHT(AX$1,2),""),VLOOKUP($D36,素材!$1:$1016,COLUMN($F$1),FALSE))),VLOOKUP($C36,武器!$1:$998,COLUMN($O$1),FALSE)*VLOOKUP($D36,素材!$1:$1016,COLUMN($E$1),FALSE)/(LEN(VLOOKUP($D36,素材!$1:$1016,COLUMN($F$1),FALSE)) - LEN(SUBSTITUTE(VLOOKUP($D36,素材!$1:$1016,COLUMN($F$1),FALSE), "・", 0)) + 1), 0)</f>
        <v>0</v>
      </c>
      <c r="AY36">
        <f>IF(ISNUMBER(SEARCH(SUBSTITUTE(AY$1,RIGHT(AY$1,2),""),VLOOKUP($D36,素材!$1:$1016,COLUMN($F$1),FALSE))),VLOOKUP($C36,武器!$1:$998,COLUMN($O$1),FALSE)*VLOOKUP($D36,素材!$1:$1016,COLUMN($E$1),FALSE)/(LEN(VLOOKUP($D36,素材!$1:$1016,COLUMN($F$1),FALSE)) - LEN(SUBSTITUTE(VLOOKUP($D36,素材!$1:$1016,COLUMN($F$1),FALSE), "・", 0)) + 1), 0)</f>
        <v>0</v>
      </c>
      <c r="AZ36">
        <f>IF(ISNUMBER(SEARCH(SUBSTITUTE(AZ$1,RIGHT(AZ$1,2),""),VLOOKUP($D36,素材!$1:$1016,COLUMN($F$1),FALSE))),VLOOKUP($C36,武器!$1:$998,COLUMN($O$1),FALSE)*VLOOKUP($D36,素材!$1:$1016,COLUMN($E$1),FALSE)/(LEN(VLOOKUP($D36,素材!$1:$1016,COLUMN($F$1),FALSE)) - LEN(SUBSTITUTE(VLOOKUP($D36,素材!$1:$1016,COLUMN($F$1),FALSE), "・", 0)) + 1), 0)</f>
        <v>0</v>
      </c>
      <c r="BA36">
        <f>IF(ISNUMBER(SEARCH(SUBSTITUTE(BA$1,RIGHT(BA$1,2),""),VLOOKUP($D36,素材!$1:$1016,COLUMN($F$1),FALSE))),VLOOKUP($C36,武器!$1:$998,COLUMN($O$1),FALSE)*VLOOKUP($D36,素材!$1:$1016,COLUMN($E$1),FALSE)/(LEN(VLOOKUP($D36,素材!$1:$1016,COLUMN($F$1),FALSE)) - LEN(SUBSTITUTE(VLOOKUP($D36,素材!$1:$1016,COLUMN($F$1),FALSE), "・", 0)) + 1), 0)</f>
        <v>0</v>
      </c>
      <c r="BB36">
        <f>IF(ISNUMBER(SEARCH(SUBSTITUTE(BB$1,RIGHT(BB$1,2),""),VLOOKUP($D36,素材!$1:$1016,COLUMN($F$1),FALSE))),VLOOKUP($C36,武器!$1:$998,COLUMN($O$1),FALSE)*VLOOKUP($D36,素材!$1:$1016,COLUMN($E$1),FALSE)/(LEN(VLOOKUP($D36,素材!$1:$1016,COLUMN($F$1),FALSE)) - LEN(SUBSTITUTE(VLOOKUP($D36,素材!$1:$1016,COLUMN($F$1),FALSE), "・", 0)) + 1), 0)</f>
        <v>0</v>
      </c>
      <c r="BC36">
        <f>IF(ISNUMBER(SEARCH(SUBSTITUTE(BC$1,RIGHT(BC$1,2),""),VLOOKUP($D36,素材!$1:$1016,COLUMN($F$1),FALSE))),VLOOKUP($C36,武器!$1:$998,COLUMN($O$1),FALSE)*VLOOKUP($D36,素材!$1:$1016,COLUMN($E$1),FALSE)/(LEN(VLOOKUP($D36,素材!$1:$1016,COLUMN($F$1),FALSE)) - LEN(SUBSTITUTE(VLOOKUP($D36,素材!$1:$1016,COLUMN($F$1),FALSE), "・", 0)) + 1), 0)</f>
        <v>0</v>
      </c>
      <c r="BD36">
        <f>IF(ISNUMBER(SEARCH(SUBSTITUTE(BD$1,RIGHT(BD$1,2),""),VLOOKUP($D36,素材!$1:$1016,COLUMN($F$1),FALSE))),VLOOKUP($C36,武器!$1:$998,COLUMN($O$1),FALSE)*VLOOKUP($D36,素材!$1:$1016,COLUMN($E$1),FALSE)/(LEN(VLOOKUP($D36,素材!$1:$1016,COLUMN($F$1),FALSE)) - LEN(SUBSTITUTE(VLOOKUP($D36,素材!$1:$1016,COLUMN($F$1),FALSE), "・", 0)) + 1), 0)</f>
        <v>0</v>
      </c>
      <c r="BE36">
        <f>IF(ISNUMBER(SEARCH(SUBSTITUTE(BE$1,RIGHT(BE$1,2),""),VLOOKUP($D36,素材!$1:$1016,COLUMN($F$1),FALSE))),VLOOKUP($C36,武器!$1:$998,COLUMN($O$1),FALSE)*VLOOKUP($D36,素材!$1:$1016,COLUMN($E$1),FALSE)/(LEN(VLOOKUP($D36,素材!$1:$1016,COLUMN($F$1),FALSE)) - LEN(SUBSTITUTE(VLOOKUP($D36,素材!$1:$1016,COLUMN($F$1),FALSE), "・", 0)) + 1), 0)</f>
        <v>0</v>
      </c>
      <c r="CL36">
        <f>SUM(G36:I36)</f>
        <v>17</v>
      </c>
      <c r="CM36" s="22" t="str">
        <f>IF(E36="武器",IF(J36-1&gt;SUM(G36:I36),"盾",IF(MAX(G36:I36)=G36,"切断",IF(MAX(G36:I36)=H36,"貫通",IF(MAX(G36:I36)=I36,"打撃","射撃")))),E36)&amp;".webp"</f>
        <v>頭.webp</v>
      </c>
      <c r="CN36">
        <f>IFERROR(VLOOKUP($C36,武器!$1:$998,COLUMN(V$1),FALSE)*VLOOKUP($D36,素材!$1:$1016,COLUMN(N$1),FALSE)+IF(CI36="",0,VLOOKUP($CI36,装強!$1:$1008,COLUMN($CK$1),FALSE)),"")</f>
        <v>300</v>
      </c>
      <c r="CO36" t="str">
        <f>VLOOKUP(D36,素材!$A:$O,COLUMN(素材!O$1),FALSE)</f>
        <v>一般的な鉄。量産品を作るのに使用されることが多い</v>
      </c>
      <c r="CP36" t="str">
        <f>VLOOKUP(C36,武器!$A:$W,COLUMN(武器!W$1),FALSE)</f>
        <v>命中 魔防 Cr</v>
      </c>
      <c r="CR36" t="str">
        <f t="shared" si="1"/>
        <v>e_36</v>
      </c>
      <c r="CS36">
        <f t="shared" si="2"/>
        <v>30000</v>
      </c>
    </row>
    <row r="37" spans="1:97" outlineLevel="1" x14ac:dyDescent="0.4">
      <c r="A37" t="str">
        <f t="shared" si="3"/>
        <v>鉄の鎧</v>
      </c>
      <c r="B37" t="str">
        <f>IFERROR(VLOOKUP($D37,素材!$1:$1016,COLUMN($B$1),FALSE)&amp;"・"&amp;VLOOKUP($C37,武器!$1:$998,COLUMN(B$1),FALSE),"")</f>
        <v>アイアン・アーマー</v>
      </c>
      <c r="C37" t="s">
        <v>208</v>
      </c>
      <c r="D37" s="24" t="s">
        <v>257</v>
      </c>
      <c r="E37" t="str">
        <f>IFERROR(VLOOKUP(C37,武器!$1:$998,COLUMN(C$1),FALSE),"")</f>
        <v>体</v>
      </c>
      <c r="F37">
        <f>IFERROR(ROUNDDOWN((VLOOKUP($C37,武器!$1:$998,COLUMN(D$1),FALSE)+IFERROR(VLOOKUP($CI37,装強!$1:$999,COLUMN(F$1),FALSE),0))*VLOOKUP($D37,素材!$1:$1016,COLUMN(D$1),FALSE),0),"")</f>
        <v>0</v>
      </c>
      <c r="G37">
        <f>IFERROR(ROUNDDOWN((VLOOKUP($C37,武器!$1:$998,COLUMN(E$1),FALSE)+IFERROR(VLOOKUP($CI37,装強!$1:$999,COLUMN(G$1),FALSE),0))*VLOOKUP($D37,素材!$1:$1016,COLUMN($E$1),FALSE),0),"")</f>
        <v>0</v>
      </c>
      <c r="H37">
        <f>IFERROR(ROUNDDOWN((VLOOKUP($C37,武器!$1:$998,COLUMN(F$1),FALSE)+IFERROR(VLOOKUP($CI37,装強!$1:$999,COLUMN(H$1),FALSE),0))*VLOOKUP($D37,素材!$1:$1016,COLUMN($E$1),FALSE),0),"")</f>
        <v>0</v>
      </c>
      <c r="I37">
        <f>IFERROR(ROUNDDOWN((VLOOKUP($C37,武器!$1:$998,COLUMN(G$1),FALSE)+IFERROR(VLOOKUP($CI37,装強!$1:$999,COLUMN(I$1),FALSE),0))*VLOOKUP($D37,素材!$1:$1016,COLUMN($E$1),FALSE),0),"")</f>
        <v>0</v>
      </c>
      <c r="J37">
        <f>IFERROR(ROUNDDOWN((VLOOKUP($C37,武器!$1:$998,COLUMN(H$1),FALSE)+IFERROR(VLOOKUP($CI37,装強!$1:$999,COLUMN(J$1),FALSE),0))*VLOOKUP($D37,素材!$1:$1016,COLUMN($E$1),FALSE),0),"")</f>
        <v>0</v>
      </c>
      <c r="K37">
        <f>IFERROR(ROUNDDOWN((VLOOKUP($C37,武器!$1:$998,COLUMN(I$1),FALSE)+IFERROR(VLOOKUP($CI37,装強!$1:$999,COLUMN(K$1),FALSE),0))*VLOOKUP($D37,素材!$1:$1016,COLUMN($E$1),FALSE),0),"")</f>
        <v>0</v>
      </c>
      <c r="L37">
        <f>IFERROR(VLOOKUP($D37,素材!$1:$1016,COLUMN($F$1),FALSE),"")</f>
        <v>0</v>
      </c>
      <c r="M37">
        <f>IFERROR(VLOOKUP($C37,武器!$1:$998,COLUMN(AA$1),FALSE)*VLOOKUP($D37,素材!$1:$1016,COLUMN($G$1),FALSE),"")</f>
        <v>0</v>
      </c>
      <c r="N37">
        <f>IFERROR(VLOOKUP($C37,武器!$1:$998,COLUMN(I$1),FALSE),"")</f>
        <v>0</v>
      </c>
      <c r="O37" s="23">
        <f>IFERROR((VLOOKUP($C37,武器!$1:$998,COLUMN(K$1),FALSE)+VLOOKUP($D37,素材!$1:$1016,COLUMN(H$1),FALSE))*100+IFERROR(VLOOKUP($CI37,装強!$1:$999,COLUMN(O$1),FALSE),0),"")</f>
        <v>0</v>
      </c>
      <c r="P37" s="23">
        <f>IFERROR((VLOOKUP($C37,武器!$1:$998,COLUMN(L$1),FALSE)+VLOOKUP($D37,素材!$1:$1016,COLUMN(I$1),FALSE))*100+IFERROR(VLOOKUP($CI37,装強!$1:$999,COLUMN(P$1),FALSE),0),"")</f>
        <v>0</v>
      </c>
      <c r="Q37">
        <f>IFERROR(ROUNDUP(VLOOKUP($C37,武器!$1:$998,COLUMN(M$1),FALSE)*(VLOOKUP($D37,素材!$1:$1002,COLUMN(D$1),FALSE)/100),1),"")</f>
        <v>-15</v>
      </c>
      <c r="R37">
        <f>IFERROR(ROUNDUP(VLOOKUP($C37,武器!$1:$998,COLUMN(N$1),FALSE)*(VLOOKUP($D37,素材!$1:$1002,COLUMN(D$1),FALSE)/100),1),"")</f>
        <v>0</v>
      </c>
      <c r="S37">
        <f>IFERROR(VLOOKUP($C37,武器!$1:$998,COLUMN(P$1),FALSE),"")</f>
        <v>0</v>
      </c>
      <c r="T37">
        <f>IFERROR(VLOOKUP($C37,武器!$1:$998,COLUMN(Q$1),FALSE),"")</f>
        <v>0</v>
      </c>
      <c r="U37">
        <f>IFERROR(VLOOKUP($C37,武器!$1:$998,COLUMN(R$1),FALSE),"")</f>
        <v>0</v>
      </c>
      <c r="V37">
        <f>IFERROR(VLOOKUP($C37,武器!$1:$998,COLUMN(Q$1),FALSE),"")</f>
        <v>0</v>
      </c>
      <c r="W37">
        <f>IFERROR(VLOOKUP($C37,武器!$1:$998,COLUMN(T$1),FALSE),"")</f>
        <v>0</v>
      </c>
      <c r="Y37">
        <f>IFERROR(VLOOKUP($C37,武器!$1:$998,COLUMN(U$1),FALSE),"")</f>
        <v>0</v>
      </c>
      <c r="Z37">
        <f>IFERROR(ROUNDUP(VLOOKUP($C37,武器!$1:$998,COLUMN(O$1),FALSE)*VLOOKUP($D37,素材!$1:$1016,COLUMN(E$1),FALSE),1),"")</f>
        <v>14</v>
      </c>
      <c r="AA37">
        <f>IF(ISNUMBER(SEARCH(SUBSTITUTE(AA$1,RIGHT(AA$1,2),""),VLOOKUP($D37,素材!$1:$1016,COLUMN($F$1),FALSE))),VLOOKUP($C37,武器!$1:$998,COLUMN($O$1),FALSE)*VLOOKUP($D37,素材!$1:$1016,COLUMN($E$1),FALSE)/(LEN(VLOOKUP($D37,素材!$1:$1016,COLUMN($F$1),FALSE)) - LEN(SUBSTITUTE(VLOOKUP($D37,素材!$1:$1016,COLUMN($F$1),FALSE), "・", 0)) + 1), 0)</f>
        <v>0</v>
      </c>
      <c r="AB37">
        <f>IF(ISNUMBER(SEARCH(SUBSTITUTE(AB$1,RIGHT(AB$1,2),""),VLOOKUP($D37,素材!$1:$1016,COLUMN($F$1),FALSE))),VLOOKUP($C37,武器!$1:$998,COLUMN($O$1),FALSE)*VLOOKUP($D37,素材!$1:$1016,COLUMN($E$1),FALSE)/(LEN(VLOOKUP($D37,素材!$1:$1016,COLUMN($F$1),FALSE)) - LEN(SUBSTITUTE(VLOOKUP($D37,素材!$1:$1016,COLUMN($F$1),FALSE), "・", 0)) + 1), 0)</f>
        <v>0</v>
      </c>
      <c r="AC37">
        <f>IF(ISNUMBER(SEARCH(SUBSTITUTE(AC$1,RIGHT(AC$1,2),""),VLOOKUP($D37,素材!$1:$1016,COLUMN($F$1),FALSE))),VLOOKUP($C37,武器!$1:$998,COLUMN($O$1),FALSE)*VLOOKUP($D37,素材!$1:$1016,COLUMN($E$1),FALSE)/(LEN(VLOOKUP($D37,素材!$1:$1016,COLUMN($F$1),FALSE)) - LEN(SUBSTITUTE(VLOOKUP($D37,素材!$1:$1016,COLUMN($F$1),FALSE), "・", 0)) + 1), 0)</f>
        <v>0</v>
      </c>
      <c r="AD37">
        <f>IF(ISNUMBER(SEARCH(SUBSTITUTE(AD$1,RIGHT(AD$1,2),""),VLOOKUP($D37,素材!$1:$1016,COLUMN($F$1),FALSE))),VLOOKUP($C37,武器!$1:$998,COLUMN($O$1),FALSE)*VLOOKUP($D37,素材!$1:$1016,COLUMN($E$1),FALSE)/(LEN(VLOOKUP($D37,素材!$1:$1016,COLUMN($F$1),FALSE)) - LEN(SUBSTITUTE(VLOOKUP($D37,素材!$1:$1016,COLUMN($F$1),FALSE), "・", 0)) + 1), 0)</f>
        <v>0</v>
      </c>
      <c r="AE37">
        <f>IF(ISNUMBER(SEARCH(SUBSTITUTE(AE$1,RIGHT(AE$1,2),""),VLOOKUP($D37,素材!$1:$1016,COLUMN($F$1),FALSE))),VLOOKUP($C37,武器!$1:$998,COLUMN($O$1),FALSE)*VLOOKUP($D37,素材!$1:$1016,COLUMN($E$1),FALSE)/(LEN(VLOOKUP($D37,素材!$1:$1016,COLUMN($F$1),FALSE)) - LEN(SUBSTITUTE(VLOOKUP($D37,素材!$1:$1016,COLUMN($F$1),FALSE), "・", 0)) + 1), 0)</f>
        <v>0</v>
      </c>
      <c r="AF37">
        <f>IF(ISNUMBER(SEARCH(SUBSTITUTE(AF$1,RIGHT(AF$1,2),""),VLOOKUP($D37,素材!$1:$1016,COLUMN($F$1),FALSE))),VLOOKUP($C37,武器!$1:$998,COLUMN($O$1),FALSE)*VLOOKUP($D37,素材!$1:$1016,COLUMN($E$1),FALSE)/(LEN(VLOOKUP($D37,素材!$1:$1016,COLUMN($F$1),FALSE)) - LEN(SUBSTITUTE(VLOOKUP($D37,素材!$1:$1016,COLUMN($F$1),FALSE), "・", 0)) + 1), 0)</f>
        <v>0</v>
      </c>
      <c r="AG37">
        <f>IF(ISNUMBER(SEARCH(SUBSTITUTE(AG$1,RIGHT(AG$1,2),""),VLOOKUP($D37,素材!$1:$1016,COLUMN($F$1),FALSE))),VLOOKUP($C37,武器!$1:$998,COLUMN($O$1),FALSE)*VLOOKUP($D37,素材!$1:$1016,COLUMN($E$1),FALSE)/(LEN(VLOOKUP($D37,素材!$1:$1016,COLUMN($F$1),FALSE)) - LEN(SUBSTITUTE(VLOOKUP($D37,素材!$1:$1016,COLUMN($F$1),FALSE), "・", 0)) + 1), 0)</f>
        <v>0</v>
      </c>
      <c r="AH37">
        <f>IF(ISNUMBER(SEARCH(SUBSTITUTE(AH$1,RIGHT(AH$1,2),""),VLOOKUP($D37,素材!$1:$1016,COLUMN($F$1),FALSE))),VLOOKUP($C37,武器!$1:$998,COLUMN($O$1),FALSE)*VLOOKUP($D37,素材!$1:$1016,COLUMN($E$1),FALSE)/(LEN(VLOOKUP($D37,素材!$1:$1016,COLUMN($F$1),FALSE)) - LEN(SUBSTITUTE(VLOOKUP($D37,素材!$1:$1016,COLUMN($F$1),FALSE), "・", 0)) + 1), 0)</f>
        <v>0</v>
      </c>
      <c r="AI37">
        <f>IF(ISNUMBER(SEARCH(SUBSTITUTE(AI$1,RIGHT(AI$1,2),""),VLOOKUP($D37,素材!$1:$1016,COLUMN($F$1),FALSE))),VLOOKUP($C37,武器!$1:$998,COLUMN($O$1),FALSE)*VLOOKUP($D37,素材!$1:$1016,COLUMN($E$1),FALSE)/(LEN(VLOOKUP($D37,素材!$1:$1016,COLUMN($F$1),FALSE)) - LEN(SUBSTITUTE(VLOOKUP($D37,素材!$1:$1016,COLUMN($F$1),FALSE), "・", 0)) + 1), 0)</f>
        <v>0</v>
      </c>
      <c r="AJ37">
        <f>IF(ISNUMBER(SEARCH(SUBSTITUTE(AJ$1,RIGHT(AJ$1,2),""),VLOOKUP($D37,素材!$1:$1016,COLUMN($F$1),FALSE))),VLOOKUP($C37,武器!$1:$998,COLUMN($O$1),FALSE)*VLOOKUP($D37,素材!$1:$1016,COLUMN($E$1),FALSE)/(LEN(VLOOKUP($D37,素材!$1:$1016,COLUMN($F$1),FALSE)) - LEN(SUBSTITUTE(VLOOKUP($D37,素材!$1:$1016,COLUMN($F$1),FALSE), "・", 0)) + 1), 0)</f>
        <v>0</v>
      </c>
      <c r="AK37">
        <f>IF(ISNUMBER(SEARCH(SUBSTITUTE(AK$1,RIGHT(AK$1,2),""),VLOOKUP($D37,素材!$1:$1016,COLUMN($F$1),FALSE))),VLOOKUP($C37,武器!$1:$998,COLUMN($O$1),FALSE)*VLOOKUP($D37,素材!$1:$1016,COLUMN($E$1),FALSE)/(LEN(VLOOKUP($D37,素材!$1:$1016,COLUMN($F$1),FALSE)) - LEN(SUBSTITUTE(VLOOKUP($D37,素材!$1:$1016,COLUMN($F$1),FALSE), "・", 0)) + 1), 0)</f>
        <v>0</v>
      </c>
      <c r="AL37">
        <f>IF(ISNUMBER(SEARCH(SUBSTITUTE(AL$1,RIGHT(AL$1,2),""),VLOOKUP($D37,素材!$1:$1016,COLUMN($F$1),FALSE))),VLOOKUP($C37,武器!$1:$998,COLUMN($O$1),FALSE)*VLOOKUP($D37,素材!$1:$1016,COLUMN($E$1),FALSE)/(LEN(VLOOKUP($D37,素材!$1:$1016,COLUMN($F$1),FALSE)) - LEN(SUBSTITUTE(VLOOKUP($D37,素材!$1:$1016,COLUMN($F$1),FALSE), "・", 0)) + 1), 0)</f>
        <v>0</v>
      </c>
      <c r="AM37">
        <f>IF(ISNUMBER(SEARCH(SUBSTITUTE(AM$1,RIGHT(AM$1,2),""),VLOOKUP($D37,素材!$1:$1016,COLUMN($F$1),FALSE))),VLOOKUP($C37,武器!$1:$998,COLUMN($O$1),FALSE)*VLOOKUP($D37,素材!$1:$1016,COLUMN($E$1),FALSE)/(LEN(VLOOKUP($D37,素材!$1:$1016,COLUMN($F$1),FALSE)) - LEN(SUBSTITUTE(VLOOKUP($D37,素材!$1:$1016,COLUMN($F$1),FALSE), "・", 0)) + 1), 0)</f>
        <v>0</v>
      </c>
      <c r="AN37">
        <f>IF(ISNUMBER(SEARCH(SUBSTITUTE(AN$1,RIGHT(AN$1,2),""),VLOOKUP($D37,素材!$1:$1016,COLUMN($F$1),FALSE))),VLOOKUP($C37,武器!$1:$998,COLUMN($O$1),FALSE)*VLOOKUP($D37,素材!$1:$1016,COLUMN($E$1),FALSE)/(LEN(VLOOKUP($D37,素材!$1:$1016,COLUMN($F$1),FALSE)) - LEN(SUBSTITUTE(VLOOKUP($D37,素材!$1:$1016,COLUMN($F$1),FALSE), "・", 0)) + 1), 0)</f>
        <v>0</v>
      </c>
      <c r="AO37">
        <f>IF(ISNUMBER(SEARCH(SUBSTITUTE(AO$1,RIGHT(AO$1,2),""),VLOOKUP($D37,素材!$1:$1016,COLUMN($F$1),FALSE))),VLOOKUP($C37,武器!$1:$998,COLUMN($O$1),FALSE)*VLOOKUP($D37,素材!$1:$1016,COLUMN($E$1),FALSE)/(LEN(VLOOKUP($D37,素材!$1:$1016,COLUMN($F$1),FALSE)) - LEN(SUBSTITUTE(VLOOKUP($D37,素材!$1:$1016,COLUMN($F$1),FALSE), "・", 0)) + 1), 0)</f>
        <v>0</v>
      </c>
      <c r="AP37">
        <f>IF(ISNUMBER(SEARCH(SUBSTITUTE(AP$1,RIGHT(AP$1,2),""),VLOOKUP($D37,素材!$1:$1016,COLUMN($F$1),FALSE))),VLOOKUP($C37,武器!$1:$998,COLUMN($O$1),FALSE)*VLOOKUP($D37,素材!$1:$1016,COLUMN($E$1),FALSE)/(LEN(VLOOKUP($D37,素材!$1:$1016,COLUMN($F$1),FALSE)) - LEN(SUBSTITUTE(VLOOKUP($D37,素材!$1:$1016,COLUMN($F$1),FALSE), "・", 0)) + 1), 0)</f>
        <v>0</v>
      </c>
      <c r="AQ37">
        <f>IF(ISNUMBER(SEARCH(SUBSTITUTE(AQ$1,RIGHT(AQ$1,2),""),VLOOKUP($D37,素材!$1:$1016,COLUMN($F$1),FALSE))),VLOOKUP($C37,武器!$1:$998,COLUMN($O$1),FALSE)*VLOOKUP($D37,素材!$1:$1016,COLUMN($E$1),FALSE)/(LEN(VLOOKUP($D37,素材!$1:$1016,COLUMN($F$1),FALSE)) - LEN(SUBSTITUTE(VLOOKUP($D37,素材!$1:$1016,COLUMN($F$1),FALSE), "・", 0)) + 1), 0)</f>
        <v>0</v>
      </c>
      <c r="AR37">
        <f>IF(ISNUMBER(SEARCH(SUBSTITUTE(AR$1,RIGHT(AR$1,2),""),VLOOKUP($D37,素材!$1:$1016,COLUMN($F$1),FALSE))),VLOOKUP($C37,武器!$1:$998,COLUMN($O$1),FALSE)*VLOOKUP($D37,素材!$1:$1016,COLUMN($E$1),FALSE)/(LEN(VLOOKUP($D37,素材!$1:$1016,COLUMN($F$1),FALSE)) - LEN(SUBSTITUTE(VLOOKUP($D37,素材!$1:$1016,COLUMN($F$1),FALSE), "・", 0)) + 1), 0)</f>
        <v>0</v>
      </c>
      <c r="AS37">
        <f>IF(ISNUMBER(SEARCH(SUBSTITUTE(AS$1,RIGHT(AS$1,2),""),VLOOKUP($D37,素材!$1:$1016,COLUMN($F$1),FALSE))),VLOOKUP($C37,武器!$1:$998,COLUMN($O$1),FALSE)*VLOOKUP($D37,素材!$1:$1016,COLUMN($E$1),FALSE)/(LEN(VLOOKUP($D37,素材!$1:$1016,COLUMN($F$1),FALSE)) - LEN(SUBSTITUTE(VLOOKUP($D37,素材!$1:$1016,COLUMN($F$1),FALSE), "・", 0)) + 1), 0)</f>
        <v>0</v>
      </c>
      <c r="AT37">
        <f>IF(ISNUMBER(SEARCH(SUBSTITUTE(AT$1,RIGHT(AT$1,2),""),VLOOKUP($D37,素材!$1:$1016,COLUMN($F$1),FALSE))),VLOOKUP($C37,武器!$1:$998,COLUMN($O$1),FALSE)*VLOOKUP($D37,素材!$1:$1016,COLUMN($E$1),FALSE)/(LEN(VLOOKUP($D37,素材!$1:$1016,COLUMN($F$1),FALSE)) - LEN(SUBSTITUTE(VLOOKUP($D37,素材!$1:$1016,COLUMN($F$1),FALSE), "・", 0)) + 1), 0)</f>
        <v>0</v>
      </c>
      <c r="AU37">
        <f>IF(ISNUMBER(SEARCH(SUBSTITUTE(AU$1,RIGHT(AU$1,2),""),VLOOKUP($D37,素材!$1:$1016,COLUMN($F$1),FALSE))),VLOOKUP($C37,武器!$1:$998,COLUMN($O$1),FALSE)*VLOOKUP($D37,素材!$1:$1016,COLUMN($E$1),FALSE)/(LEN(VLOOKUP($D37,素材!$1:$1016,COLUMN($F$1),FALSE)) - LEN(SUBSTITUTE(VLOOKUP($D37,素材!$1:$1016,COLUMN($F$1),FALSE), "・", 0)) + 1), 0)</f>
        <v>0</v>
      </c>
      <c r="AV37">
        <f>IF(ISNUMBER(SEARCH(SUBSTITUTE(AV$1,RIGHT(AV$1,2),""),VLOOKUP($D37,素材!$1:$1016,COLUMN($F$1),FALSE))),VLOOKUP($C37,武器!$1:$998,COLUMN($O$1),FALSE)*VLOOKUP($D37,素材!$1:$1016,COLUMN($E$1),FALSE)/(LEN(VLOOKUP($D37,素材!$1:$1016,COLUMN($F$1),FALSE)) - LEN(SUBSTITUTE(VLOOKUP($D37,素材!$1:$1016,COLUMN($F$1),FALSE), "・", 0)) + 1), 0)</f>
        <v>0</v>
      </c>
      <c r="AW37">
        <f>IF(ISNUMBER(SEARCH(SUBSTITUTE(AW$1,RIGHT(AW$1,2),""),VLOOKUP($D37,素材!$1:$1016,COLUMN($F$1),FALSE))),VLOOKUP($C37,武器!$1:$998,COLUMN($O$1),FALSE)*VLOOKUP($D37,素材!$1:$1016,COLUMN($E$1),FALSE)/(LEN(VLOOKUP($D37,素材!$1:$1016,COLUMN($F$1),FALSE)) - LEN(SUBSTITUTE(VLOOKUP($D37,素材!$1:$1016,COLUMN($F$1),FALSE), "・", 0)) + 1), 0)</f>
        <v>0</v>
      </c>
      <c r="AX37">
        <f>IF(ISNUMBER(SEARCH(SUBSTITUTE(AX$1,RIGHT(AX$1,2),""),VLOOKUP($D37,素材!$1:$1016,COLUMN($F$1),FALSE))),VLOOKUP($C37,武器!$1:$998,COLUMN($O$1),FALSE)*VLOOKUP($D37,素材!$1:$1016,COLUMN($E$1),FALSE)/(LEN(VLOOKUP($D37,素材!$1:$1016,COLUMN($F$1),FALSE)) - LEN(SUBSTITUTE(VLOOKUP($D37,素材!$1:$1016,COLUMN($F$1),FALSE), "・", 0)) + 1), 0)</f>
        <v>0</v>
      </c>
      <c r="AY37">
        <f>IF(ISNUMBER(SEARCH(SUBSTITUTE(AY$1,RIGHT(AY$1,2),""),VLOOKUP($D37,素材!$1:$1016,COLUMN($F$1),FALSE))),VLOOKUP($C37,武器!$1:$998,COLUMN($O$1),FALSE)*VLOOKUP($D37,素材!$1:$1016,COLUMN($E$1),FALSE)/(LEN(VLOOKUP($D37,素材!$1:$1016,COLUMN($F$1),FALSE)) - LEN(SUBSTITUTE(VLOOKUP($D37,素材!$1:$1016,COLUMN($F$1),FALSE), "・", 0)) + 1), 0)</f>
        <v>0</v>
      </c>
      <c r="AZ37">
        <f>IF(ISNUMBER(SEARCH(SUBSTITUTE(AZ$1,RIGHT(AZ$1,2),""),VLOOKUP($D37,素材!$1:$1016,COLUMN($F$1),FALSE))),VLOOKUP($C37,武器!$1:$998,COLUMN($O$1),FALSE)*VLOOKUP($D37,素材!$1:$1016,COLUMN($E$1),FALSE)/(LEN(VLOOKUP($D37,素材!$1:$1016,COLUMN($F$1),FALSE)) - LEN(SUBSTITUTE(VLOOKUP($D37,素材!$1:$1016,COLUMN($F$1),FALSE), "・", 0)) + 1), 0)</f>
        <v>0</v>
      </c>
      <c r="BA37">
        <f>IF(ISNUMBER(SEARCH(SUBSTITUTE(BA$1,RIGHT(BA$1,2),""),VLOOKUP($D37,素材!$1:$1016,COLUMN($F$1),FALSE))),VLOOKUP($C37,武器!$1:$998,COLUMN($O$1),FALSE)*VLOOKUP($D37,素材!$1:$1016,COLUMN($E$1),FALSE)/(LEN(VLOOKUP($D37,素材!$1:$1016,COLUMN($F$1),FALSE)) - LEN(SUBSTITUTE(VLOOKUP($D37,素材!$1:$1016,COLUMN($F$1),FALSE), "・", 0)) + 1), 0)</f>
        <v>0</v>
      </c>
      <c r="BB37">
        <f>IF(ISNUMBER(SEARCH(SUBSTITUTE(BB$1,RIGHT(BB$1,2),""),VLOOKUP($D37,素材!$1:$1016,COLUMN($F$1),FALSE))),VLOOKUP($C37,武器!$1:$998,COLUMN($O$1),FALSE)*VLOOKUP($D37,素材!$1:$1016,COLUMN($E$1),FALSE)/(LEN(VLOOKUP($D37,素材!$1:$1016,COLUMN($F$1),FALSE)) - LEN(SUBSTITUTE(VLOOKUP($D37,素材!$1:$1016,COLUMN($F$1),FALSE), "・", 0)) + 1), 0)</f>
        <v>0</v>
      </c>
      <c r="BC37">
        <f>IF(ISNUMBER(SEARCH(SUBSTITUTE(BC$1,RIGHT(BC$1,2),""),VLOOKUP($D37,素材!$1:$1016,COLUMN($F$1),FALSE))),VLOOKUP($C37,武器!$1:$998,COLUMN($O$1),FALSE)*VLOOKUP($D37,素材!$1:$1016,COLUMN($E$1),FALSE)/(LEN(VLOOKUP($D37,素材!$1:$1016,COLUMN($F$1),FALSE)) - LEN(SUBSTITUTE(VLOOKUP($D37,素材!$1:$1016,COLUMN($F$1),FALSE), "・", 0)) + 1), 0)</f>
        <v>0</v>
      </c>
      <c r="BD37">
        <f>IF(ISNUMBER(SEARCH(SUBSTITUTE(BD$1,RIGHT(BD$1,2),""),VLOOKUP($D37,素材!$1:$1016,COLUMN($F$1),FALSE))),VLOOKUP($C37,武器!$1:$998,COLUMN($O$1),FALSE)*VLOOKUP($D37,素材!$1:$1016,COLUMN($E$1),FALSE)/(LEN(VLOOKUP($D37,素材!$1:$1016,COLUMN($F$1),FALSE)) - LEN(SUBSTITUTE(VLOOKUP($D37,素材!$1:$1016,COLUMN($F$1),FALSE), "・", 0)) + 1), 0)</f>
        <v>0</v>
      </c>
      <c r="BE37">
        <f>IF(ISNUMBER(SEARCH(SUBSTITUTE(BE$1,RIGHT(BE$1,2),""),VLOOKUP($D37,素材!$1:$1016,COLUMN($F$1),FALSE))),VLOOKUP($C37,武器!$1:$998,COLUMN($O$1),FALSE)*VLOOKUP($D37,素材!$1:$1016,COLUMN($E$1),FALSE)/(LEN(VLOOKUP($D37,素材!$1:$1016,COLUMN($F$1),FALSE)) - LEN(SUBSTITUTE(VLOOKUP($D37,素材!$1:$1016,COLUMN($F$1),FALSE), "・", 0)) + 1), 0)</f>
        <v>0</v>
      </c>
      <c r="CL37">
        <f>SUM(G37:I37)</f>
        <v>0</v>
      </c>
      <c r="CM37" s="22" t="str">
        <f>IF(E37="武器",IF(J37-1&gt;SUM(G37:I37),"盾",IF(MAX(G37:I37)=G37,"切断",IF(MAX(G37:I37)=H37,"貫通",IF(MAX(G37:I37)=I37,"打撃","射撃")))),E37)&amp;".webp"</f>
        <v>体.webp</v>
      </c>
      <c r="CN37">
        <f>IFERROR(VLOOKUP($C37,武器!$1:$998,COLUMN(V$1),FALSE)*VLOOKUP($D37,素材!$1:$1016,COLUMN(N$1),FALSE)+IF(CI37="",0,VLOOKUP($CI37,装強!$1:$1008,COLUMN($CK$1),FALSE)),"")</f>
        <v>600</v>
      </c>
      <c r="CO37" t="str">
        <f>VLOOKUP(D37,素材!$A:$O,COLUMN(素材!O$1),FALSE)</f>
        <v>一般的な鉄。量産品を作るのに使用されることが多い</v>
      </c>
      <c r="CP37" t="str">
        <f>VLOOKUP(C37,武器!$A:$W,COLUMN(武器!W$1),FALSE)</f>
        <v>HP 物理 魔法 体幹 出血 疲労 Cr</v>
      </c>
      <c r="CR37" t="str">
        <f t="shared" si="1"/>
        <v>e_37</v>
      </c>
      <c r="CS37">
        <f t="shared" si="2"/>
        <v>60000</v>
      </c>
    </row>
    <row r="38" spans="1:97" outlineLevel="1" x14ac:dyDescent="0.4">
      <c r="A38" t="str">
        <f t="shared" si="3"/>
        <v>鉄の胴衣</v>
      </c>
      <c r="B38" t="str">
        <f>IFERROR(VLOOKUP($D38,素材!$1:$1016,COLUMN($B$1),FALSE)&amp;"・"&amp;VLOOKUP($C38,武器!$1:$998,COLUMN(B$1),FALSE),"")</f>
        <v>アイアン・ベスト</v>
      </c>
      <c r="C38" t="s">
        <v>207</v>
      </c>
      <c r="D38" s="24" t="s">
        <v>257</v>
      </c>
      <c r="E38" t="str">
        <f>IFERROR(VLOOKUP(C38,武器!$1:$998,COLUMN(C$1),FALSE),"")</f>
        <v>体</v>
      </c>
      <c r="F38">
        <f>IFERROR(ROUNDDOWN((VLOOKUP($C38,武器!$1:$998,COLUMN(D$1),FALSE)+IFERROR(VLOOKUP($CI38,装強!$1:$999,COLUMN(F$1),FALSE),0))*VLOOKUP($D38,素材!$1:$1016,COLUMN(D$1),FALSE),0),"")</f>
        <v>0</v>
      </c>
      <c r="G38">
        <f>IFERROR(ROUNDDOWN((VLOOKUP($C38,武器!$1:$998,COLUMN(E$1),FALSE)+IFERROR(VLOOKUP($CI38,装強!$1:$999,COLUMN(G$1),FALSE),0))*VLOOKUP($D38,素材!$1:$1016,COLUMN($E$1),FALSE),0),"")</f>
        <v>0</v>
      </c>
      <c r="H38">
        <f>IFERROR(ROUNDDOWN((VLOOKUP($C38,武器!$1:$998,COLUMN(F$1),FALSE)+IFERROR(VLOOKUP($CI38,装強!$1:$999,COLUMN(H$1),FALSE),0))*VLOOKUP($D38,素材!$1:$1016,COLUMN($E$1),FALSE),0),"")</f>
        <v>0</v>
      </c>
      <c r="I38">
        <f>IFERROR(ROUNDDOWN((VLOOKUP($C38,武器!$1:$998,COLUMN(G$1),FALSE)+IFERROR(VLOOKUP($CI38,装強!$1:$999,COLUMN(I$1),FALSE),0))*VLOOKUP($D38,素材!$1:$1016,COLUMN($E$1),FALSE),0),"")</f>
        <v>0</v>
      </c>
      <c r="J38">
        <f>IFERROR(ROUNDDOWN((VLOOKUP($C38,武器!$1:$998,COLUMN(H$1),FALSE)+IFERROR(VLOOKUP($CI38,装強!$1:$999,COLUMN(J$1),FALSE),0))*VLOOKUP($D38,素材!$1:$1016,COLUMN($E$1),FALSE),0),"")</f>
        <v>0</v>
      </c>
      <c r="K38">
        <f>IFERROR(ROUNDDOWN((VLOOKUP($C38,武器!$1:$998,COLUMN(I$1),FALSE)+IFERROR(VLOOKUP($CI38,装強!$1:$999,COLUMN(K$1),FALSE),0))*VLOOKUP($D38,素材!$1:$1016,COLUMN($E$1),FALSE),0),"")</f>
        <v>0</v>
      </c>
      <c r="L38">
        <f>IFERROR(VLOOKUP($D38,素材!$1:$1016,COLUMN($F$1),FALSE),"")</f>
        <v>0</v>
      </c>
      <c r="M38">
        <f>IFERROR(VLOOKUP($C38,武器!$1:$998,COLUMN(AA$1),FALSE)*VLOOKUP($D38,素材!$1:$1016,COLUMN($G$1),FALSE),"")</f>
        <v>0</v>
      </c>
      <c r="N38">
        <f>IFERROR(VLOOKUP($C38,武器!$1:$998,COLUMN(I$1),FALSE),"")</f>
        <v>0</v>
      </c>
      <c r="O38" s="23">
        <f>IFERROR((VLOOKUP($C38,武器!$1:$998,COLUMN(K$1),FALSE)+VLOOKUP($D38,素材!$1:$1016,COLUMN(H$1),FALSE))*100+IFERROR(VLOOKUP($CI38,装強!$1:$999,COLUMN(O$1),FALSE),0),"")</f>
        <v>0</v>
      </c>
      <c r="P38" s="23">
        <f>IFERROR((VLOOKUP($C38,武器!$1:$998,COLUMN(L$1),FALSE)+VLOOKUP($D38,素材!$1:$1016,COLUMN(I$1),FALSE))*100+IFERROR(VLOOKUP($CI38,装強!$1:$999,COLUMN(P$1),FALSE),0),"")</f>
        <v>0</v>
      </c>
      <c r="Q38">
        <f>IFERROR(ROUNDUP(VLOOKUP($C38,武器!$1:$998,COLUMN(M$1),FALSE)*(VLOOKUP($D38,素材!$1:$1002,COLUMN(D$1),FALSE)/100),1),"")</f>
        <v>-7.5</v>
      </c>
      <c r="R38">
        <f>IFERROR(ROUNDUP(VLOOKUP($C38,武器!$1:$998,COLUMN(N$1),FALSE)*(VLOOKUP($D38,素材!$1:$1002,COLUMN(D$1),FALSE)/100),1),"")</f>
        <v>0</v>
      </c>
      <c r="S38">
        <f>IFERROR(VLOOKUP($C38,武器!$1:$998,COLUMN(P$1),FALSE),"")</f>
        <v>0</v>
      </c>
      <c r="T38">
        <f>IFERROR(VLOOKUP($C38,武器!$1:$998,COLUMN(Q$1),FALSE),"")</f>
        <v>0</v>
      </c>
      <c r="U38">
        <f>IFERROR(VLOOKUP($C38,武器!$1:$998,COLUMN(R$1),FALSE),"")</f>
        <v>0</v>
      </c>
      <c r="V38">
        <f>IFERROR(VLOOKUP($C38,武器!$1:$998,COLUMN(Q$1),FALSE),"")</f>
        <v>0</v>
      </c>
      <c r="W38">
        <f>IFERROR(VLOOKUP($C38,武器!$1:$998,COLUMN(T$1),FALSE),"")</f>
        <v>0</v>
      </c>
      <c r="Y38">
        <f>IFERROR(VLOOKUP($C38,武器!$1:$998,COLUMN(U$1),FALSE),"")</f>
        <v>0</v>
      </c>
      <c r="Z38">
        <f>IFERROR(ROUNDUP(VLOOKUP($C38,武器!$1:$998,COLUMN(O$1),FALSE)*VLOOKUP($D38,素材!$1:$1016,COLUMN(E$1),FALSE),1),"")</f>
        <v>10</v>
      </c>
      <c r="AA38">
        <f>IF(ISNUMBER(SEARCH(SUBSTITUTE(AA$1,RIGHT(AA$1,2),""),VLOOKUP($D38,素材!$1:$1016,COLUMN($F$1),FALSE))),VLOOKUP($C38,武器!$1:$998,COLUMN($O$1),FALSE)*VLOOKUP($D38,素材!$1:$1016,COLUMN($E$1),FALSE)/(LEN(VLOOKUP($D38,素材!$1:$1016,COLUMN($F$1),FALSE)) - LEN(SUBSTITUTE(VLOOKUP($D38,素材!$1:$1016,COLUMN($F$1),FALSE), "・", 0)) + 1), 0)</f>
        <v>0</v>
      </c>
      <c r="AB38">
        <f>IF(ISNUMBER(SEARCH(SUBSTITUTE(AB$1,RIGHT(AB$1,2),""),VLOOKUP($D38,素材!$1:$1016,COLUMN($F$1),FALSE))),VLOOKUP($C38,武器!$1:$998,COLUMN($O$1),FALSE)*VLOOKUP($D38,素材!$1:$1016,COLUMN($E$1),FALSE)/(LEN(VLOOKUP($D38,素材!$1:$1016,COLUMN($F$1),FALSE)) - LEN(SUBSTITUTE(VLOOKUP($D38,素材!$1:$1016,COLUMN($F$1),FALSE), "・", 0)) + 1), 0)</f>
        <v>0</v>
      </c>
      <c r="AC38">
        <f>IF(ISNUMBER(SEARCH(SUBSTITUTE(AC$1,RIGHT(AC$1,2),""),VLOOKUP($D38,素材!$1:$1016,COLUMN($F$1),FALSE))),VLOOKUP($C38,武器!$1:$998,COLUMN($O$1),FALSE)*VLOOKUP($D38,素材!$1:$1016,COLUMN($E$1),FALSE)/(LEN(VLOOKUP($D38,素材!$1:$1016,COLUMN($F$1),FALSE)) - LEN(SUBSTITUTE(VLOOKUP($D38,素材!$1:$1016,COLUMN($F$1),FALSE), "・", 0)) + 1), 0)</f>
        <v>0</v>
      </c>
      <c r="AD38">
        <f>IF(ISNUMBER(SEARCH(SUBSTITUTE(AD$1,RIGHT(AD$1,2),""),VLOOKUP($D38,素材!$1:$1016,COLUMN($F$1),FALSE))),VLOOKUP($C38,武器!$1:$998,COLUMN($O$1),FALSE)*VLOOKUP($D38,素材!$1:$1016,COLUMN($E$1),FALSE)/(LEN(VLOOKUP($D38,素材!$1:$1016,COLUMN($F$1),FALSE)) - LEN(SUBSTITUTE(VLOOKUP($D38,素材!$1:$1016,COLUMN($F$1),FALSE), "・", 0)) + 1), 0)</f>
        <v>0</v>
      </c>
      <c r="AE38">
        <f>IF(ISNUMBER(SEARCH(SUBSTITUTE(AE$1,RIGHT(AE$1,2),""),VLOOKUP($D38,素材!$1:$1016,COLUMN($F$1),FALSE))),VLOOKUP($C38,武器!$1:$998,COLUMN($O$1),FALSE)*VLOOKUP($D38,素材!$1:$1016,COLUMN($E$1),FALSE)/(LEN(VLOOKUP($D38,素材!$1:$1016,COLUMN($F$1),FALSE)) - LEN(SUBSTITUTE(VLOOKUP($D38,素材!$1:$1016,COLUMN($F$1),FALSE), "・", 0)) + 1), 0)</f>
        <v>0</v>
      </c>
      <c r="AF38">
        <f>IF(ISNUMBER(SEARCH(SUBSTITUTE(AF$1,RIGHT(AF$1,2),""),VLOOKUP($D38,素材!$1:$1016,COLUMN($F$1),FALSE))),VLOOKUP($C38,武器!$1:$998,COLUMN($O$1),FALSE)*VLOOKUP($D38,素材!$1:$1016,COLUMN($E$1),FALSE)/(LEN(VLOOKUP($D38,素材!$1:$1016,COLUMN($F$1),FALSE)) - LEN(SUBSTITUTE(VLOOKUP($D38,素材!$1:$1016,COLUMN($F$1),FALSE), "・", 0)) + 1), 0)</f>
        <v>0</v>
      </c>
      <c r="AG38">
        <f>IF(ISNUMBER(SEARCH(SUBSTITUTE(AG$1,RIGHT(AG$1,2),""),VLOOKUP($D38,素材!$1:$1016,COLUMN($F$1),FALSE))),VLOOKUP($C38,武器!$1:$998,COLUMN($O$1),FALSE)*VLOOKUP($D38,素材!$1:$1016,COLUMN($E$1),FALSE)/(LEN(VLOOKUP($D38,素材!$1:$1016,COLUMN($F$1),FALSE)) - LEN(SUBSTITUTE(VLOOKUP($D38,素材!$1:$1016,COLUMN($F$1),FALSE), "・", 0)) + 1), 0)</f>
        <v>0</v>
      </c>
      <c r="AH38">
        <f>IF(ISNUMBER(SEARCH(SUBSTITUTE(AH$1,RIGHT(AH$1,2),""),VLOOKUP($D38,素材!$1:$1016,COLUMN($F$1),FALSE))),VLOOKUP($C38,武器!$1:$998,COLUMN($O$1),FALSE)*VLOOKUP($D38,素材!$1:$1016,COLUMN($E$1),FALSE)/(LEN(VLOOKUP($D38,素材!$1:$1016,COLUMN($F$1),FALSE)) - LEN(SUBSTITUTE(VLOOKUP($D38,素材!$1:$1016,COLUMN($F$1),FALSE), "・", 0)) + 1), 0)</f>
        <v>0</v>
      </c>
      <c r="AI38">
        <f>IF(ISNUMBER(SEARCH(SUBSTITUTE(AI$1,RIGHT(AI$1,2),""),VLOOKUP($D38,素材!$1:$1016,COLUMN($F$1),FALSE))),VLOOKUP($C38,武器!$1:$998,COLUMN($O$1),FALSE)*VLOOKUP($D38,素材!$1:$1016,COLUMN($E$1),FALSE)/(LEN(VLOOKUP($D38,素材!$1:$1016,COLUMN($F$1),FALSE)) - LEN(SUBSTITUTE(VLOOKUP($D38,素材!$1:$1016,COLUMN($F$1),FALSE), "・", 0)) + 1), 0)</f>
        <v>0</v>
      </c>
      <c r="AJ38">
        <f>IF(ISNUMBER(SEARCH(SUBSTITUTE(AJ$1,RIGHT(AJ$1,2),""),VLOOKUP($D38,素材!$1:$1016,COLUMN($F$1),FALSE))),VLOOKUP($C38,武器!$1:$998,COLUMN($O$1),FALSE)*VLOOKUP($D38,素材!$1:$1016,COLUMN($E$1),FALSE)/(LEN(VLOOKUP($D38,素材!$1:$1016,COLUMN($F$1),FALSE)) - LEN(SUBSTITUTE(VLOOKUP($D38,素材!$1:$1016,COLUMN($F$1),FALSE), "・", 0)) + 1), 0)</f>
        <v>0</v>
      </c>
      <c r="AK38">
        <f>IF(ISNUMBER(SEARCH(SUBSTITUTE(AK$1,RIGHT(AK$1,2),""),VLOOKUP($D38,素材!$1:$1016,COLUMN($F$1),FALSE))),VLOOKUP($C38,武器!$1:$998,COLUMN($O$1),FALSE)*VLOOKUP($D38,素材!$1:$1016,COLUMN($E$1),FALSE)/(LEN(VLOOKUP($D38,素材!$1:$1016,COLUMN($F$1),FALSE)) - LEN(SUBSTITUTE(VLOOKUP($D38,素材!$1:$1016,COLUMN($F$1),FALSE), "・", 0)) + 1), 0)</f>
        <v>0</v>
      </c>
      <c r="AL38">
        <f>IF(ISNUMBER(SEARCH(SUBSTITUTE(AL$1,RIGHT(AL$1,2),""),VLOOKUP($D38,素材!$1:$1016,COLUMN($F$1),FALSE))),VLOOKUP($C38,武器!$1:$998,COLUMN($O$1),FALSE)*VLOOKUP($D38,素材!$1:$1016,COLUMN($E$1),FALSE)/(LEN(VLOOKUP($D38,素材!$1:$1016,COLUMN($F$1),FALSE)) - LEN(SUBSTITUTE(VLOOKUP($D38,素材!$1:$1016,COLUMN($F$1),FALSE), "・", 0)) + 1), 0)</f>
        <v>0</v>
      </c>
      <c r="AM38">
        <f>IF(ISNUMBER(SEARCH(SUBSTITUTE(AM$1,RIGHT(AM$1,2),""),VLOOKUP($D38,素材!$1:$1016,COLUMN($F$1),FALSE))),VLOOKUP($C38,武器!$1:$998,COLUMN($O$1),FALSE)*VLOOKUP($D38,素材!$1:$1016,COLUMN($E$1),FALSE)/(LEN(VLOOKUP($D38,素材!$1:$1016,COLUMN($F$1),FALSE)) - LEN(SUBSTITUTE(VLOOKUP($D38,素材!$1:$1016,COLUMN($F$1),FALSE), "・", 0)) + 1), 0)</f>
        <v>0</v>
      </c>
      <c r="AN38">
        <f>IF(ISNUMBER(SEARCH(SUBSTITUTE(AN$1,RIGHT(AN$1,2),""),VLOOKUP($D38,素材!$1:$1016,COLUMN($F$1),FALSE))),VLOOKUP($C38,武器!$1:$998,COLUMN($O$1),FALSE)*VLOOKUP($D38,素材!$1:$1016,COLUMN($E$1),FALSE)/(LEN(VLOOKUP($D38,素材!$1:$1016,COLUMN($F$1),FALSE)) - LEN(SUBSTITUTE(VLOOKUP($D38,素材!$1:$1016,COLUMN($F$1),FALSE), "・", 0)) + 1), 0)</f>
        <v>0</v>
      </c>
      <c r="AO38">
        <f>IF(ISNUMBER(SEARCH(SUBSTITUTE(AO$1,RIGHT(AO$1,2),""),VLOOKUP($D38,素材!$1:$1016,COLUMN($F$1),FALSE))),VLOOKUP($C38,武器!$1:$998,COLUMN($O$1),FALSE)*VLOOKUP($D38,素材!$1:$1016,COLUMN($E$1),FALSE)/(LEN(VLOOKUP($D38,素材!$1:$1016,COLUMN($F$1),FALSE)) - LEN(SUBSTITUTE(VLOOKUP($D38,素材!$1:$1016,COLUMN($F$1),FALSE), "・", 0)) + 1), 0)</f>
        <v>0</v>
      </c>
      <c r="AP38">
        <f>IF(ISNUMBER(SEARCH(SUBSTITUTE(AP$1,RIGHT(AP$1,2),""),VLOOKUP($D38,素材!$1:$1016,COLUMN($F$1),FALSE))),VLOOKUP($C38,武器!$1:$998,COLUMN($O$1),FALSE)*VLOOKUP($D38,素材!$1:$1016,COLUMN($E$1),FALSE)/(LEN(VLOOKUP($D38,素材!$1:$1016,COLUMN($F$1),FALSE)) - LEN(SUBSTITUTE(VLOOKUP($D38,素材!$1:$1016,COLUMN($F$1),FALSE), "・", 0)) + 1), 0)</f>
        <v>0</v>
      </c>
      <c r="AQ38">
        <f>IF(ISNUMBER(SEARCH(SUBSTITUTE(AQ$1,RIGHT(AQ$1,2),""),VLOOKUP($D38,素材!$1:$1016,COLUMN($F$1),FALSE))),VLOOKUP($C38,武器!$1:$998,COLUMN($O$1),FALSE)*VLOOKUP($D38,素材!$1:$1016,COLUMN($E$1),FALSE)/(LEN(VLOOKUP($D38,素材!$1:$1016,COLUMN($F$1),FALSE)) - LEN(SUBSTITUTE(VLOOKUP($D38,素材!$1:$1016,COLUMN($F$1),FALSE), "・", 0)) + 1), 0)</f>
        <v>0</v>
      </c>
      <c r="AR38">
        <f>IF(ISNUMBER(SEARCH(SUBSTITUTE(AR$1,RIGHT(AR$1,2),""),VLOOKUP($D38,素材!$1:$1016,COLUMN($F$1),FALSE))),VLOOKUP($C38,武器!$1:$998,COLUMN($O$1),FALSE)*VLOOKUP($D38,素材!$1:$1016,COLUMN($E$1),FALSE)/(LEN(VLOOKUP($D38,素材!$1:$1016,COLUMN($F$1),FALSE)) - LEN(SUBSTITUTE(VLOOKUP($D38,素材!$1:$1016,COLUMN($F$1),FALSE), "・", 0)) + 1), 0)</f>
        <v>0</v>
      </c>
      <c r="AS38">
        <f>IF(ISNUMBER(SEARCH(SUBSTITUTE(AS$1,RIGHT(AS$1,2),""),VLOOKUP($D38,素材!$1:$1016,COLUMN($F$1),FALSE))),VLOOKUP($C38,武器!$1:$998,COLUMN($O$1),FALSE)*VLOOKUP($D38,素材!$1:$1016,COLUMN($E$1),FALSE)/(LEN(VLOOKUP($D38,素材!$1:$1016,COLUMN($F$1),FALSE)) - LEN(SUBSTITUTE(VLOOKUP($D38,素材!$1:$1016,COLUMN($F$1),FALSE), "・", 0)) + 1), 0)</f>
        <v>0</v>
      </c>
      <c r="AT38">
        <f>IF(ISNUMBER(SEARCH(SUBSTITUTE(AT$1,RIGHT(AT$1,2),""),VLOOKUP($D38,素材!$1:$1016,COLUMN($F$1),FALSE))),VLOOKUP($C38,武器!$1:$998,COLUMN($O$1),FALSE)*VLOOKUP($D38,素材!$1:$1016,COLUMN($E$1),FALSE)/(LEN(VLOOKUP($D38,素材!$1:$1016,COLUMN($F$1),FALSE)) - LEN(SUBSTITUTE(VLOOKUP($D38,素材!$1:$1016,COLUMN($F$1),FALSE), "・", 0)) + 1), 0)</f>
        <v>0</v>
      </c>
      <c r="AU38">
        <f>IF(ISNUMBER(SEARCH(SUBSTITUTE(AU$1,RIGHT(AU$1,2),""),VLOOKUP($D38,素材!$1:$1016,COLUMN($F$1),FALSE))),VLOOKUP($C38,武器!$1:$998,COLUMN($O$1),FALSE)*VLOOKUP($D38,素材!$1:$1016,COLUMN($E$1),FALSE)/(LEN(VLOOKUP($D38,素材!$1:$1016,COLUMN($F$1),FALSE)) - LEN(SUBSTITUTE(VLOOKUP($D38,素材!$1:$1016,COLUMN($F$1),FALSE), "・", 0)) + 1), 0)</f>
        <v>0</v>
      </c>
      <c r="AV38">
        <f>IF(ISNUMBER(SEARCH(SUBSTITUTE(AV$1,RIGHT(AV$1,2),""),VLOOKUP($D38,素材!$1:$1016,COLUMN($F$1),FALSE))),VLOOKUP($C38,武器!$1:$998,COLUMN($O$1),FALSE)*VLOOKUP($D38,素材!$1:$1016,COLUMN($E$1),FALSE)/(LEN(VLOOKUP($D38,素材!$1:$1016,COLUMN($F$1),FALSE)) - LEN(SUBSTITUTE(VLOOKUP($D38,素材!$1:$1016,COLUMN($F$1),FALSE), "・", 0)) + 1), 0)</f>
        <v>0</v>
      </c>
      <c r="AW38">
        <f>IF(ISNUMBER(SEARCH(SUBSTITUTE(AW$1,RIGHT(AW$1,2),""),VLOOKUP($D38,素材!$1:$1016,COLUMN($F$1),FALSE))),VLOOKUP($C38,武器!$1:$998,COLUMN($O$1),FALSE)*VLOOKUP($D38,素材!$1:$1016,COLUMN($E$1),FALSE)/(LEN(VLOOKUP($D38,素材!$1:$1016,COLUMN($F$1),FALSE)) - LEN(SUBSTITUTE(VLOOKUP($D38,素材!$1:$1016,COLUMN($F$1),FALSE), "・", 0)) + 1), 0)</f>
        <v>0</v>
      </c>
      <c r="AX38">
        <f>IF(ISNUMBER(SEARCH(SUBSTITUTE(AX$1,RIGHT(AX$1,2),""),VLOOKUP($D38,素材!$1:$1016,COLUMN($F$1),FALSE))),VLOOKUP($C38,武器!$1:$998,COLUMN($O$1),FALSE)*VLOOKUP($D38,素材!$1:$1016,COLUMN($E$1),FALSE)/(LEN(VLOOKUP($D38,素材!$1:$1016,COLUMN($F$1),FALSE)) - LEN(SUBSTITUTE(VLOOKUP($D38,素材!$1:$1016,COLUMN($F$1),FALSE), "・", 0)) + 1), 0)</f>
        <v>0</v>
      </c>
      <c r="AY38">
        <f>IF(ISNUMBER(SEARCH(SUBSTITUTE(AY$1,RIGHT(AY$1,2),""),VLOOKUP($D38,素材!$1:$1016,COLUMN($F$1),FALSE))),VLOOKUP($C38,武器!$1:$998,COLUMN($O$1),FALSE)*VLOOKUP($D38,素材!$1:$1016,COLUMN($E$1),FALSE)/(LEN(VLOOKUP($D38,素材!$1:$1016,COLUMN($F$1),FALSE)) - LEN(SUBSTITUTE(VLOOKUP($D38,素材!$1:$1016,COLUMN($F$1),FALSE), "・", 0)) + 1), 0)</f>
        <v>0</v>
      </c>
      <c r="AZ38">
        <f>IF(ISNUMBER(SEARCH(SUBSTITUTE(AZ$1,RIGHT(AZ$1,2),""),VLOOKUP($D38,素材!$1:$1016,COLUMN($F$1),FALSE))),VLOOKUP($C38,武器!$1:$998,COLUMN($O$1),FALSE)*VLOOKUP($D38,素材!$1:$1016,COLUMN($E$1),FALSE)/(LEN(VLOOKUP($D38,素材!$1:$1016,COLUMN($F$1),FALSE)) - LEN(SUBSTITUTE(VLOOKUP($D38,素材!$1:$1016,COLUMN($F$1),FALSE), "・", 0)) + 1), 0)</f>
        <v>0</v>
      </c>
      <c r="BA38">
        <f>IF(ISNUMBER(SEARCH(SUBSTITUTE(BA$1,RIGHT(BA$1,2),""),VLOOKUP($D38,素材!$1:$1016,COLUMN($F$1),FALSE))),VLOOKUP($C38,武器!$1:$998,COLUMN($O$1),FALSE)*VLOOKUP($D38,素材!$1:$1016,COLUMN($E$1),FALSE)/(LEN(VLOOKUP($D38,素材!$1:$1016,COLUMN($F$1),FALSE)) - LEN(SUBSTITUTE(VLOOKUP($D38,素材!$1:$1016,COLUMN($F$1),FALSE), "・", 0)) + 1), 0)</f>
        <v>0</v>
      </c>
      <c r="BB38">
        <f>IF(ISNUMBER(SEARCH(SUBSTITUTE(BB$1,RIGHT(BB$1,2),""),VLOOKUP($D38,素材!$1:$1016,COLUMN($F$1),FALSE))),VLOOKUP($C38,武器!$1:$998,COLUMN($O$1),FALSE)*VLOOKUP($D38,素材!$1:$1016,COLUMN($E$1),FALSE)/(LEN(VLOOKUP($D38,素材!$1:$1016,COLUMN($F$1),FALSE)) - LEN(SUBSTITUTE(VLOOKUP($D38,素材!$1:$1016,COLUMN($F$1),FALSE), "・", 0)) + 1), 0)</f>
        <v>0</v>
      </c>
      <c r="BC38">
        <f>IF(ISNUMBER(SEARCH(SUBSTITUTE(BC$1,RIGHT(BC$1,2),""),VLOOKUP($D38,素材!$1:$1016,COLUMN($F$1),FALSE))),VLOOKUP($C38,武器!$1:$998,COLUMN($O$1),FALSE)*VLOOKUP($D38,素材!$1:$1016,COLUMN($E$1),FALSE)/(LEN(VLOOKUP($D38,素材!$1:$1016,COLUMN($F$1),FALSE)) - LEN(SUBSTITUTE(VLOOKUP($D38,素材!$1:$1016,COLUMN($F$1),FALSE), "・", 0)) + 1), 0)</f>
        <v>0</v>
      </c>
      <c r="BD38">
        <f>IF(ISNUMBER(SEARCH(SUBSTITUTE(BD$1,RIGHT(BD$1,2),""),VLOOKUP($D38,素材!$1:$1016,COLUMN($F$1),FALSE))),VLOOKUP($C38,武器!$1:$998,COLUMN($O$1),FALSE)*VLOOKUP($D38,素材!$1:$1016,COLUMN($E$1),FALSE)/(LEN(VLOOKUP($D38,素材!$1:$1016,COLUMN($F$1),FALSE)) - LEN(SUBSTITUTE(VLOOKUP($D38,素材!$1:$1016,COLUMN($F$1),FALSE), "・", 0)) + 1), 0)</f>
        <v>0</v>
      </c>
      <c r="BE38">
        <f>IF(ISNUMBER(SEARCH(SUBSTITUTE(BE$1,RIGHT(BE$1,2),""),VLOOKUP($D38,素材!$1:$1016,COLUMN($F$1),FALSE))),VLOOKUP($C38,武器!$1:$998,COLUMN($O$1),FALSE)*VLOOKUP($D38,素材!$1:$1016,COLUMN($E$1),FALSE)/(LEN(VLOOKUP($D38,素材!$1:$1016,COLUMN($F$1),FALSE)) - LEN(SUBSTITUTE(VLOOKUP($D38,素材!$1:$1016,COLUMN($F$1),FALSE), "・", 0)) + 1), 0)</f>
        <v>0</v>
      </c>
      <c r="CL38">
        <f>SUM(G38:I38)</f>
        <v>0</v>
      </c>
      <c r="CM38" s="22" t="str">
        <f>IF(E38="武器",IF(J38-1&gt;SUM(G38:I38),"盾",IF(MAX(G38:I38)=G38,"切断",IF(MAX(G38:I38)=H38,"貫通",IF(MAX(G38:I38)=I38,"打撃","射撃")))),E38)&amp;".webp"</f>
        <v>体.webp</v>
      </c>
      <c r="CN38">
        <f>IFERROR(VLOOKUP($C38,武器!$1:$998,COLUMN(V$1),FALSE)*VLOOKUP($D38,素材!$1:$1016,COLUMN(N$1),FALSE)+IF(CI38="",0,VLOOKUP($CI38,装強!$1:$1008,COLUMN($CK$1),FALSE)),"")</f>
        <v>500</v>
      </c>
      <c r="CO38" t="str">
        <f>VLOOKUP(D38,素材!$A:$O,COLUMN(素材!O$1),FALSE)</f>
        <v>一般的な鉄。量産品を作るのに使用されることが多い</v>
      </c>
      <c r="CP38" t="str">
        <f>VLOOKUP(C38,武器!$A:$W,COLUMN(武器!W$1),FALSE)</f>
        <v>HP 物理 魔法 体幹 出血 疲労 Cr</v>
      </c>
      <c r="CR38" t="str">
        <f t="shared" si="1"/>
        <v>e_38</v>
      </c>
      <c r="CS38">
        <f t="shared" si="2"/>
        <v>50000</v>
      </c>
    </row>
    <row r="39" spans="1:97" outlineLevel="1" x14ac:dyDescent="0.4">
      <c r="A39" t="str">
        <f t="shared" si="3"/>
        <v>鉄の靴</v>
      </c>
      <c r="B39" t="str">
        <f>IFERROR(VLOOKUP($D39,素材!$1:$1016,COLUMN($B$1),FALSE)&amp;"・"&amp;VLOOKUP($C39,武器!$1:$998,COLUMN(B$1),FALSE),"")</f>
        <v>アイアン・ブーツ</v>
      </c>
      <c r="C39" t="s">
        <v>206</v>
      </c>
      <c r="D39" s="24" t="s">
        <v>257</v>
      </c>
      <c r="E39" t="str">
        <f>IFERROR(VLOOKUP(C39,武器!$1:$998,COLUMN(C$1),FALSE),"")</f>
        <v>足</v>
      </c>
      <c r="F39">
        <f>IFERROR(ROUNDDOWN((VLOOKUP($C39,武器!$1:$998,COLUMN(D$1),FALSE)+IFERROR(VLOOKUP($CI39,装強!$1:$999,COLUMN(F$1),FALSE),0))*VLOOKUP($D39,素材!$1:$1016,COLUMN(D$1),FALSE),0),"")</f>
        <v>0</v>
      </c>
      <c r="G39">
        <f>IFERROR(ROUNDDOWN((VLOOKUP($C39,武器!$1:$998,COLUMN(E$1),FALSE)+IFERROR(VLOOKUP($CI39,装強!$1:$999,COLUMN(G$1),FALSE),0))*VLOOKUP($D39,素材!$1:$1016,COLUMN($E$1),FALSE),0),"")</f>
        <v>0</v>
      </c>
      <c r="H39">
        <f>IFERROR(ROUNDDOWN((VLOOKUP($C39,武器!$1:$998,COLUMN(F$1),FALSE)+IFERROR(VLOOKUP($CI39,装強!$1:$999,COLUMN(H$1),FALSE),0))*VLOOKUP($D39,素材!$1:$1016,COLUMN($E$1),FALSE),0),"")</f>
        <v>0</v>
      </c>
      <c r="I39">
        <f>IFERROR(ROUNDDOWN((VLOOKUP($C39,武器!$1:$998,COLUMN(G$1),FALSE)+IFERROR(VLOOKUP($CI39,装強!$1:$999,COLUMN(I$1),FALSE),0))*VLOOKUP($D39,素材!$1:$1016,COLUMN($E$1),FALSE),0),"")</f>
        <v>20</v>
      </c>
      <c r="J39">
        <f>IFERROR(ROUNDDOWN((VLOOKUP($C39,武器!$1:$998,COLUMN(H$1),FALSE)+IFERROR(VLOOKUP($CI39,装強!$1:$999,COLUMN(J$1),FALSE),0))*VLOOKUP($D39,素材!$1:$1016,COLUMN($E$1),FALSE),0),"")</f>
        <v>0</v>
      </c>
      <c r="K39">
        <f>IFERROR(ROUNDDOWN((VLOOKUP($C39,武器!$1:$998,COLUMN(I$1),FALSE)+IFERROR(VLOOKUP($CI39,装強!$1:$999,COLUMN(K$1),FALSE),0))*VLOOKUP($D39,素材!$1:$1016,COLUMN($E$1),FALSE),0),"")</f>
        <v>0</v>
      </c>
      <c r="L39">
        <f>IFERROR(VLOOKUP($D39,素材!$1:$1016,COLUMN($F$1),FALSE),"")</f>
        <v>0</v>
      </c>
      <c r="M39">
        <f>IFERROR(VLOOKUP($C39,武器!$1:$998,COLUMN(AA$1),FALSE)*VLOOKUP($D39,素材!$1:$1016,COLUMN($G$1),FALSE),"")</f>
        <v>0</v>
      </c>
      <c r="N39">
        <f>IFERROR(VLOOKUP($C39,武器!$1:$998,COLUMN(I$1),FALSE),"")</f>
        <v>0</v>
      </c>
      <c r="O39" s="23">
        <f>IFERROR((VLOOKUP($C39,武器!$1:$998,COLUMN(K$1),FALSE)+VLOOKUP($D39,素材!$1:$1016,COLUMN(H$1),FALSE))*100+IFERROR(VLOOKUP($CI39,装強!$1:$999,COLUMN(O$1),FALSE),0),"")</f>
        <v>10</v>
      </c>
      <c r="P39" s="23">
        <f>IFERROR((VLOOKUP($C39,武器!$1:$998,COLUMN(L$1),FALSE)+VLOOKUP($D39,素材!$1:$1016,COLUMN(I$1),FALSE))*100+IFERROR(VLOOKUP($CI39,装強!$1:$999,COLUMN(P$1),FALSE),0),"")</f>
        <v>150</v>
      </c>
      <c r="Q39">
        <f>IFERROR(ROUNDUP(VLOOKUP($C39,武器!$1:$998,COLUMN(M$1),FALSE)*(VLOOKUP($D39,素材!$1:$1002,COLUMN(D$1),FALSE)/100),1),"")</f>
        <v>0</v>
      </c>
      <c r="R39">
        <f>IFERROR(ROUNDUP(VLOOKUP($C39,武器!$1:$998,COLUMN(N$1),FALSE)*(VLOOKUP($D39,素材!$1:$1002,COLUMN(D$1),FALSE)/100),1),"")</f>
        <v>0</v>
      </c>
      <c r="S39">
        <f>IFERROR(VLOOKUP($C39,武器!$1:$998,COLUMN(P$1),FALSE),"")</f>
        <v>0</v>
      </c>
      <c r="T39">
        <f>IFERROR(VLOOKUP($C39,武器!$1:$998,COLUMN(Q$1),FALSE),"")</f>
        <v>0</v>
      </c>
      <c r="U39">
        <f>IFERROR(VLOOKUP($C39,武器!$1:$998,COLUMN(R$1),FALSE),"")</f>
        <v>0</v>
      </c>
      <c r="V39">
        <f>IFERROR(VLOOKUP($C39,武器!$1:$998,COLUMN(Q$1),FALSE),"")</f>
        <v>0</v>
      </c>
      <c r="W39">
        <f>IFERROR(VLOOKUP($C39,武器!$1:$998,COLUMN(T$1),FALSE),"")</f>
        <v>0</v>
      </c>
      <c r="Y39" t="str">
        <f>IFERROR(VLOOKUP($C39,武器!$1:$998,COLUMN(U$1),FALSE),"")</f>
        <v>足</v>
      </c>
      <c r="Z39">
        <f>IFERROR(ROUNDUP(VLOOKUP($C39,武器!$1:$998,COLUMN(O$1),FALSE)*VLOOKUP($D39,素材!$1:$1016,COLUMN(E$1),FALSE),1),"")</f>
        <v>3</v>
      </c>
      <c r="AA39">
        <f>IF(ISNUMBER(SEARCH(SUBSTITUTE(AA$1,RIGHT(AA$1,2),""),VLOOKUP($D39,素材!$1:$1016,COLUMN($F$1),FALSE))),VLOOKUP($C39,武器!$1:$998,COLUMN($O$1),FALSE)*VLOOKUP($D39,素材!$1:$1016,COLUMN($E$1),FALSE)/(LEN(VLOOKUP($D39,素材!$1:$1016,COLUMN($F$1),FALSE)) - LEN(SUBSTITUTE(VLOOKUP($D39,素材!$1:$1016,COLUMN($F$1),FALSE), "・", 0)) + 1), 0)</f>
        <v>0</v>
      </c>
      <c r="AB39">
        <f>IF(ISNUMBER(SEARCH(SUBSTITUTE(AB$1,RIGHT(AB$1,2),""),VLOOKUP($D39,素材!$1:$1016,COLUMN($F$1),FALSE))),VLOOKUP($C39,武器!$1:$998,COLUMN($O$1),FALSE)*VLOOKUP($D39,素材!$1:$1016,COLUMN($E$1),FALSE)/(LEN(VLOOKUP($D39,素材!$1:$1016,COLUMN($F$1),FALSE)) - LEN(SUBSTITUTE(VLOOKUP($D39,素材!$1:$1016,COLUMN($F$1),FALSE), "・", 0)) + 1), 0)</f>
        <v>0</v>
      </c>
      <c r="AC39">
        <f>IF(ISNUMBER(SEARCH(SUBSTITUTE(AC$1,RIGHT(AC$1,2),""),VLOOKUP($D39,素材!$1:$1016,COLUMN($F$1),FALSE))),VLOOKUP($C39,武器!$1:$998,COLUMN($O$1),FALSE)*VLOOKUP($D39,素材!$1:$1016,COLUMN($E$1),FALSE)/(LEN(VLOOKUP($D39,素材!$1:$1016,COLUMN($F$1),FALSE)) - LEN(SUBSTITUTE(VLOOKUP($D39,素材!$1:$1016,COLUMN($F$1),FALSE), "・", 0)) + 1), 0)</f>
        <v>0</v>
      </c>
      <c r="AD39">
        <f>IF(ISNUMBER(SEARCH(SUBSTITUTE(AD$1,RIGHT(AD$1,2),""),VLOOKUP($D39,素材!$1:$1016,COLUMN($F$1),FALSE))),VLOOKUP($C39,武器!$1:$998,COLUMN($O$1),FALSE)*VLOOKUP($D39,素材!$1:$1016,COLUMN($E$1),FALSE)/(LEN(VLOOKUP($D39,素材!$1:$1016,COLUMN($F$1),FALSE)) - LEN(SUBSTITUTE(VLOOKUP($D39,素材!$1:$1016,COLUMN($F$1),FALSE), "・", 0)) + 1), 0)</f>
        <v>0</v>
      </c>
      <c r="AE39">
        <f>IF(ISNUMBER(SEARCH(SUBSTITUTE(AE$1,RIGHT(AE$1,2),""),VLOOKUP($D39,素材!$1:$1016,COLUMN($F$1),FALSE))),VLOOKUP($C39,武器!$1:$998,COLUMN($O$1),FALSE)*VLOOKUP($D39,素材!$1:$1016,COLUMN($E$1),FALSE)/(LEN(VLOOKUP($D39,素材!$1:$1016,COLUMN($F$1),FALSE)) - LEN(SUBSTITUTE(VLOOKUP($D39,素材!$1:$1016,COLUMN($F$1),FALSE), "・", 0)) + 1), 0)</f>
        <v>0</v>
      </c>
      <c r="AF39">
        <f>IF(ISNUMBER(SEARCH(SUBSTITUTE(AF$1,RIGHT(AF$1,2),""),VLOOKUP($D39,素材!$1:$1016,COLUMN($F$1),FALSE))),VLOOKUP($C39,武器!$1:$998,COLUMN($O$1),FALSE)*VLOOKUP($D39,素材!$1:$1016,COLUMN($E$1),FALSE)/(LEN(VLOOKUP($D39,素材!$1:$1016,COLUMN($F$1),FALSE)) - LEN(SUBSTITUTE(VLOOKUP($D39,素材!$1:$1016,COLUMN($F$1),FALSE), "・", 0)) + 1), 0)</f>
        <v>0</v>
      </c>
      <c r="AG39">
        <f>IF(ISNUMBER(SEARCH(SUBSTITUTE(AG$1,RIGHT(AG$1,2),""),VLOOKUP($D39,素材!$1:$1016,COLUMN($F$1),FALSE))),VLOOKUP($C39,武器!$1:$998,COLUMN($O$1),FALSE)*VLOOKUP($D39,素材!$1:$1016,COLUMN($E$1),FALSE)/(LEN(VLOOKUP($D39,素材!$1:$1016,COLUMN($F$1),FALSE)) - LEN(SUBSTITUTE(VLOOKUP($D39,素材!$1:$1016,COLUMN($F$1),FALSE), "・", 0)) + 1), 0)</f>
        <v>0</v>
      </c>
      <c r="AH39">
        <f>IF(ISNUMBER(SEARCH(SUBSTITUTE(AH$1,RIGHT(AH$1,2),""),VLOOKUP($D39,素材!$1:$1016,COLUMN($F$1),FALSE))),VLOOKUP($C39,武器!$1:$998,COLUMN($O$1),FALSE)*VLOOKUP($D39,素材!$1:$1016,COLUMN($E$1),FALSE)/(LEN(VLOOKUP($D39,素材!$1:$1016,COLUMN($F$1),FALSE)) - LEN(SUBSTITUTE(VLOOKUP($D39,素材!$1:$1016,COLUMN($F$1),FALSE), "・", 0)) + 1), 0)</f>
        <v>0</v>
      </c>
      <c r="AI39">
        <f>IF(ISNUMBER(SEARCH(SUBSTITUTE(AI$1,RIGHT(AI$1,2),""),VLOOKUP($D39,素材!$1:$1016,COLUMN($F$1),FALSE))),VLOOKUP($C39,武器!$1:$998,COLUMN($O$1),FALSE)*VLOOKUP($D39,素材!$1:$1016,COLUMN($E$1),FALSE)/(LEN(VLOOKUP($D39,素材!$1:$1016,COLUMN($F$1),FALSE)) - LEN(SUBSTITUTE(VLOOKUP($D39,素材!$1:$1016,COLUMN($F$1),FALSE), "・", 0)) + 1), 0)</f>
        <v>0</v>
      </c>
      <c r="AJ39">
        <f>IF(ISNUMBER(SEARCH(SUBSTITUTE(AJ$1,RIGHT(AJ$1,2),""),VLOOKUP($D39,素材!$1:$1016,COLUMN($F$1),FALSE))),VLOOKUP($C39,武器!$1:$998,COLUMN($O$1),FALSE)*VLOOKUP($D39,素材!$1:$1016,COLUMN($E$1),FALSE)/(LEN(VLOOKUP($D39,素材!$1:$1016,COLUMN($F$1),FALSE)) - LEN(SUBSTITUTE(VLOOKUP($D39,素材!$1:$1016,COLUMN($F$1),FALSE), "・", 0)) + 1), 0)</f>
        <v>0</v>
      </c>
      <c r="AK39">
        <f>IF(ISNUMBER(SEARCH(SUBSTITUTE(AK$1,RIGHT(AK$1,2),""),VLOOKUP($D39,素材!$1:$1016,COLUMN($F$1),FALSE))),VLOOKUP($C39,武器!$1:$998,COLUMN($O$1),FALSE)*VLOOKUP($D39,素材!$1:$1016,COLUMN($E$1),FALSE)/(LEN(VLOOKUP($D39,素材!$1:$1016,COLUMN($F$1),FALSE)) - LEN(SUBSTITUTE(VLOOKUP($D39,素材!$1:$1016,COLUMN($F$1),FALSE), "・", 0)) + 1), 0)</f>
        <v>0</v>
      </c>
      <c r="AL39">
        <f>IF(ISNUMBER(SEARCH(SUBSTITUTE(AL$1,RIGHT(AL$1,2),""),VLOOKUP($D39,素材!$1:$1016,COLUMN($F$1),FALSE))),VLOOKUP($C39,武器!$1:$998,COLUMN($O$1),FALSE)*VLOOKUP($D39,素材!$1:$1016,COLUMN($E$1),FALSE)/(LEN(VLOOKUP($D39,素材!$1:$1016,COLUMN($F$1),FALSE)) - LEN(SUBSTITUTE(VLOOKUP($D39,素材!$1:$1016,COLUMN($F$1),FALSE), "・", 0)) + 1), 0)</f>
        <v>0</v>
      </c>
      <c r="AM39">
        <f>IF(ISNUMBER(SEARCH(SUBSTITUTE(AM$1,RIGHT(AM$1,2),""),VLOOKUP($D39,素材!$1:$1016,COLUMN($F$1),FALSE))),VLOOKUP($C39,武器!$1:$998,COLUMN($O$1),FALSE)*VLOOKUP($D39,素材!$1:$1016,COLUMN($E$1),FALSE)/(LEN(VLOOKUP($D39,素材!$1:$1016,COLUMN($F$1),FALSE)) - LEN(SUBSTITUTE(VLOOKUP($D39,素材!$1:$1016,COLUMN($F$1),FALSE), "・", 0)) + 1), 0)</f>
        <v>0</v>
      </c>
      <c r="AN39">
        <f>IF(ISNUMBER(SEARCH(SUBSTITUTE(AN$1,RIGHT(AN$1,2),""),VLOOKUP($D39,素材!$1:$1016,COLUMN($F$1),FALSE))),VLOOKUP($C39,武器!$1:$998,COLUMN($O$1),FALSE)*VLOOKUP($D39,素材!$1:$1016,COLUMN($E$1),FALSE)/(LEN(VLOOKUP($D39,素材!$1:$1016,COLUMN($F$1),FALSE)) - LEN(SUBSTITUTE(VLOOKUP($D39,素材!$1:$1016,COLUMN($F$1),FALSE), "・", 0)) + 1), 0)</f>
        <v>0</v>
      </c>
      <c r="AO39">
        <f>IF(ISNUMBER(SEARCH(SUBSTITUTE(AO$1,RIGHT(AO$1,2),""),VLOOKUP($D39,素材!$1:$1016,COLUMN($F$1),FALSE))),VLOOKUP($C39,武器!$1:$998,COLUMN($O$1),FALSE)*VLOOKUP($D39,素材!$1:$1016,COLUMN($E$1),FALSE)/(LEN(VLOOKUP($D39,素材!$1:$1016,COLUMN($F$1),FALSE)) - LEN(SUBSTITUTE(VLOOKUP($D39,素材!$1:$1016,COLUMN($F$1),FALSE), "・", 0)) + 1), 0)</f>
        <v>0</v>
      </c>
      <c r="AP39">
        <f>IF(ISNUMBER(SEARCH(SUBSTITUTE(AP$1,RIGHT(AP$1,2),""),VLOOKUP($D39,素材!$1:$1016,COLUMN($F$1),FALSE))),VLOOKUP($C39,武器!$1:$998,COLUMN($O$1),FALSE)*VLOOKUP($D39,素材!$1:$1016,COLUMN($E$1),FALSE)/(LEN(VLOOKUP($D39,素材!$1:$1016,COLUMN($F$1),FALSE)) - LEN(SUBSTITUTE(VLOOKUP($D39,素材!$1:$1016,COLUMN($F$1),FALSE), "・", 0)) + 1), 0)</f>
        <v>0</v>
      </c>
      <c r="AQ39">
        <f>IF(ISNUMBER(SEARCH(SUBSTITUTE(AQ$1,RIGHT(AQ$1,2),""),VLOOKUP($D39,素材!$1:$1016,COLUMN($F$1),FALSE))),VLOOKUP($C39,武器!$1:$998,COLUMN($O$1),FALSE)*VLOOKUP($D39,素材!$1:$1016,COLUMN($E$1),FALSE)/(LEN(VLOOKUP($D39,素材!$1:$1016,COLUMN($F$1),FALSE)) - LEN(SUBSTITUTE(VLOOKUP($D39,素材!$1:$1016,COLUMN($F$1),FALSE), "・", 0)) + 1), 0)</f>
        <v>0</v>
      </c>
      <c r="AR39">
        <f>IF(ISNUMBER(SEARCH(SUBSTITUTE(AR$1,RIGHT(AR$1,2),""),VLOOKUP($D39,素材!$1:$1016,COLUMN($F$1),FALSE))),VLOOKUP($C39,武器!$1:$998,COLUMN($O$1),FALSE)*VLOOKUP($D39,素材!$1:$1016,COLUMN($E$1),FALSE)/(LEN(VLOOKUP($D39,素材!$1:$1016,COLUMN($F$1),FALSE)) - LEN(SUBSTITUTE(VLOOKUP($D39,素材!$1:$1016,COLUMN($F$1),FALSE), "・", 0)) + 1), 0)</f>
        <v>0</v>
      </c>
      <c r="AS39">
        <f>IF(ISNUMBER(SEARCH(SUBSTITUTE(AS$1,RIGHT(AS$1,2),""),VLOOKUP($D39,素材!$1:$1016,COLUMN($F$1),FALSE))),VLOOKUP($C39,武器!$1:$998,COLUMN($O$1),FALSE)*VLOOKUP($D39,素材!$1:$1016,COLUMN($E$1),FALSE)/(LEN(VLOOKUP($D39,素材!$1:$1016,COLUMN($F$1),FALSE)) - LEN(SUBSTITUTE(VLOOKUP($D39,素材!$1:$1016,COLUMN($F$1),FALSE), "・", 0)) + 1), 0)</f>
        <v>0</v>
      </c>
      <c r="AT39">
        <f>IF(ISNUMBER(SEARCH(SUBSTITUTE(AT$1,RIGHT(AT$1,2),""),VLOOKUP($D39,素材!$1:$1016,COLUMN($F$1),FALSE))),VLOOKUP($C39,武器!$1:$998,COLUMN($O$1),FALSE)*VLOOKUP($D39,素材!$1:$1016,COLUMN($E$1),FALSE)/(LEN(VLOOKUP($D39,素材!$1:$1016,COLUMN($F$1),FALSE)) - LEN(SUBSTITUTE(VLOOKUP($D39,素材!$1:$1016,COLUMN($F$1),FALSE), "・", 0)) + 1), 0)</f>
        <v>0</v>
      </c>
      <c r="AU39">
        <f>IF(ISNUMBER(SEARCH(SUBSTITUTE(AU$1,RIGHT(AU$1,2),""),VLOOKUP($D39,素材!$1:$1016,COLUMN($F$1),FALSE))),VLOOKUP($C39,武器!$1:$998,COLUMN($O$1),FALSE)*VLOOKUP($D39,素材!$1:$1016,COLUMN($E$1),FALSE)/(LEN(VLOOKUP($D39,素材!$1:$1016,COLUMN($F$1),FALSE)) - LEN(SUBSTITUTE(VLOOKUP($D39,素材!$1:$1016,COLUMN($F$1),FALSE), "・", 0)) + 1), 0)</f>
        <v>0</v>
      </c>
      <c r="AV39">
        <f>IF(ISNUMBER(SEARCH(SUBSTITUTE(AV$1,RIGHT(AV$1,2),""),VLOOKUP($D39,素材!$1:$1016,COLUMN($F$1),FALSE))),VLOOKUP($C39,武器!$1:$998,COLUMN($O$1),FALSE)*VLOOKUP($D39,素材!$1:$1016,COLUMN($E$1),FALSE)/(LEN(VLOOKUP($D39,素材!$1:$1016,COLUMN($F$1),FALSE)) - LEN(SUBSTITUTE(VLOOKUP($D39,素材!$1:$1016,COLUMN($F$1),FALSE), "・", 0)) + 1), 0)</f>
        <v>0</v>
      </c>
      <c r="AW39">
        <f>IF(ISNUMBER(SEARCH(SUBSTITUTE(AW$1,RIGHT(AW$1,2),""),VLOOKUP($D39,素材!$1:$1016,COLUMN($F$1),FALSE))),VLOOKUP($C39,武器!$1:$998,COLUMN($O$1),FALSE)*VLOOKUP($D39,素材!$1:$1016,COLUMN($E$1),FALSE)/(LEN(VLOOKUP($D39,素材!$1:$1016,COLUMN($F$1),FALSE)) - LEN(SUBSTITUTE(VLOOKUP($D39,素材!$1:$1016,COLUMN($F$1),FALSE), "・", 0)) + 1), 0)</f>
        <v>0</v>
      </c>
      <c r="AX39">
        <f>IF(ISNUMBER(SEARCH(SUBSTITUTE(AX$1,RIGHT(AX$1,2),""),VLOOKUP($D39,素材!$1:$1016,COLUMN($F$1),FALSE))),VLOOKUP($C39,武器!$1:$998,COLUMN($O$1),FALSE)*VLOOKUP($D39,素材!$1:$1016,COLUMN($E$1),FALSE)/(LEN(VLOOKUP($D39,素材!$1:$1016,COLUMN($F$1),FALSE)) - LEN(SUBSTITUTE(VLOOKUP($D39,素材!$1:$1016,COLUMN($F$1),FALSE), "・", 0)) + 1), 0)</f>
        <v>0</v>
      </c>
      <c r="AY39">
        <f>IF(ISNUMBER(SEARCH(SUBSTITUTE(AY$1,RIGHT(AY$1,2),""),VLOOKUP($D39,素材!$1:$1016,COLUMN($F$1),FALSE))),VLOOKUP($C39,武器!$1:$998,COLUMN($O$1),FALSE)*VLOOKUP($D39,素材!$1:$1016,COLUMN($E$1),FALSE)/(LEN(VLOOKUP($D39,素材!$1:$1016,COLUMN($F$1),FALSE)) - LEN(SUBSTITUTE(VLOOKUP($D39,素材!$1:$1016,COLUMN($F$1),FALSE), "・", 0)) + 1), 0)</f>
        <v>0</v>
      </c>
      <c r="AZ39">
        <f>IF(ISNUMBER(SEARCH(SUBSTITUTE(AZ$1,RIGHT(AZ$1,2),""),VLOOKUP($D39,素材!$1:$1016,COLUMN($F$1),FALSE))),VLOOKUP($C39,武器!$1:$998,COLUMN($O$1),FALSE)*VLOOKUP($D39,素材!$1:$1016,COLUMN($E$1),FALSE)/(LEN(VLOOKUP($D39,素材!$1:$1016,COLUMN($F$1),FALSE)) - LEN(SUBSTITUTE(VLOOKUP($D39,素材!$1:$1016,COLUMN($F$1),FALSE), "・", 0)) + 1), 0)</f>
        <v>0</v>
      </c>
      <c r="BA39">
        <f>IF(ISNUMBER(SEARCH(SUBSTITUTE(BA$1,RIGHT(BA$1,2),""),VLOOKUP($D39,素材!$1:$1016,COLUMN($F$1),FALSE))),VLOOKUP($C39,武器!$1:$998,COLUMN($O$1),FALSE)*VLOOKUP($D39,素材!$1:$1016,COLUMN($E$1),FALSE)/(LEN(VLOOKUP($D39,素材!$1:$1016,COLUMN($F$1),FALSE)) - LEN(SUBSTITUTE(VLOOKUP($D39,素材!$1:$1016,COLUMN($F$1),FALSE), "・", 0)) + 1), 0)</f>
        <v>0</v>
      </c>
      <c r="BB39">
        <f>IF(ISNUMBER(SEARCH(SUBSTITUTE(BB$1,RIGHT(BB$1,2),""),VLOOKUP($D39,素材!$1:$1016,COLUMN($F$1),FALSE))),VLOOKUP($C39,武器!$1:$998,COLUMN($O$1),FALSE)*VLOOKUP($D39,素材!$1:$1016,COLUMN($E$1),FALSE)/(LEN(VLOOKUP($D39,素材!$1:$1016,COLUMN($F$1),FALSE)) - LEN(SUBSTITUTE(VLOOKUP($D39,素材!$1:$1016,COLUMN($F$1),FALSE), "・", 0)) + 1), 0)</f>
        <v>0</v>
      </c>
      <c r="BC39">
        <f>IF(ISNUMBER(SEARCH(SUBSTITUTE(BC$1,RIGHT(BC$1,2),""),VLOOKUP($D39,素材!$1:$1016,COLUMN($F$1),FALSE))),VLOOKUP($C39,武器!$1:$998,COLUMN($O$1),FALSE)*VLOOKUP($D39,素材!$1:$1016,COLUMN($E$1),FALSE)/(LEN(VLOOKUP($D39,素材!$1:$1016,COLUMN($F$1),FALSE)) - LEN(SUBSTITUTE(VLOOKUP($D39,素材!$1:$1016,COLUMN($F$1),FALSE), "・", 0)) + 1), 0)</f>
        <v>0</v>
      </c>
      <c r="BD39">
        <f>IF(ISNUMBER(SEARCH(SUBSTITUTE(BD$1,RIGHT(BD$1,2),""),VLOOKUP($D39,素材!$1:$1016,COLUMN($F$1),FALSE))),VLOOKUP($C39,武器!$1:$998,COLUMN($O$1),FALSE)*VLOOKUP($D39,素材!$1:$1016,COLUMN($E$1),FALSE)/(LEN(VLOOKUP($D39,素材!$1:$1016,COLUMN($F$1),FALSE)) - LEN(SUBSTITUTE(VLOOKUP($D39,素材!$1:$1016,COLUMN($F$1),FALSE), "・", 0)) + 1), 0)</f>
        <v>0</v>
      </c>
      <c r="BE39">
        <f>IF(ISNUMBER(SEARCH(SUBSTITUTE(BE$1,RIGHT(BE$1,2),""),VLOOKUP($D39,素材!$1:$1016,COLUMN($F$1),FALSE))),VLOOKUP($C39,武器!$1:$998,COLUMN($O$1),FALSE)*VLOOKUP($D39,素材!$1:$1016,COLUMN($E$1),FALSE)/(LEN(VLOOKUP($D39,素材!$1:$1016,COLUMN($F$1),FALSE)) - LEN(SUBSTITUTE(VLOOKUP($D39,素材!$1:$1016,COLUMN($F$1),FALSE), "・", 0)) + 1), 0)</f>
        <v>0</v>
      </c>
      <c r="CL39">
        <f>SUM(G39:I39)</f>
        <v>20</v>
      </c>
      <c r="CM39" s="22" t="str">
        <f>IF(E39="武器",IF(J39-1&gt;SUM(G39:I39),"盾",IF(MAX(G39:I39)=G39,"切断",IF(MAX(G39:I39)=H39,"貫通",IF(MAX(G39:I39)=I39,"打撃","射撃")))),E39)&amp;".webp"</f>
        <v>足.webp</v>
      </c>
      <c r="CN39">
        <f>IFERROR(VLOOKUP($C39,武器!$1:$998,COLUMN(V$1),FALSE)*VLOOKUP($D39,素材!$1:$1016,COLUMN(N$1),FALSE)+IF(CI39="",0,VLOOKUP($CI39,装強!$1:$1008,COLUMN($CK$1),FALSE)),"")</f>
        <v>200</v>
      </c>
      <c r="CO39" t="str">
        <f>VLOOKUP(D39,素材!$A:$O,COLUMN(素材!O$1),FALSE)</f>
        <v>一般的な鉄。量産品を作るのに使用されることが多い</v>
      </c>
      <c r="CP39" t="str">
        <f>VLOOKUP(C39,武器!$A:$W,COLUMN(武器!W$1),FALSE)</f>
        <v>速度 隠密 軽業 体幹</v>
      </c>
      <c r="CR39" t="str">
        <f t="shared" si="1"/>
        <v>e_39</v>
      </c>
      <c r="CS39">
        <f t="shared" si="2"/>
        <v>20000</v>
      </c>
    </row>
    <row r="40" spans="1:97" x14ac:dyDescent="0.4">
      <c r="A40" t="str">
        <f t="shared" si="3"/>
        <v>木の短刀</v>
      </c>
      <c r="B40" t="str">
        <f>IFERROR(VLOOKUP($D40,素材!$1:$1016,COLUMN($B$1),FALSE)&amp;"・"&amp;VLOOKUP($C40,武器!$1:$998,COLUMN(B$1),FALSE),"")</f>
        <v>ウッド・ナイフ</v>
      </c>
      <c r="C40" s="24" t="s">
        <v>242</v>
      </c>
      <c r="D40" s="24" t="s">
        <v>255</v>
      </c>
      <c r="E40" t="str">
        <f>IFERROR(VLOOKUP(C40,武器!$1:$998,COLUMN(C$1),FALSE),"")</f>
        <v>武器</v>
      </c>
      <c r="F40">
        <f>IFERROR(ROUNDDOWN((VLOOKUP($C40,武器!$1:$998,COLUMN(D$1),FALSE)+IFERROR(VLOOKUP($CI40,装強!$1:$999,COLUMN(F$1),FALSE),0))*VLOOKUP($D40,素材!$1:$1016,COLUMN(D$1),FALSE),0),"")</f>
        <v>75</v>
      </c>
      <c r="G40">
        <f>IFERROR(ROUNDDOWN((VLOOKUP($C40,武器!$1:$998,COLUMN(E$1),FALSE)+IFERROR(VLOOKUP($CI40,装強!$1:$999,COLUMN(G$1),FALSE),0))*VLOOKUP($D40,素材!$1:$1016,COLUMN($E$1),FALSE),0),"")</f>
        <v>7</v>
      </c>
      <c r="H40">
        <f>IFERROR(ROUNDDOWN((VLOOKUP($C40,武器!$1:$998,COLUMN(F$1),FALSE)+IFERROR(VLOOKUP($CI40,装強!$1:$999,COLUMN(H$1),FALSE),0))*VLOOKUP($D40,素材!$1:$1016,COLUMN($E$1),FALSE),0),"")</f>
        <v>6</v>
      </c>
      <c r="I40">
        <f>IFERROR(ROUNDDOWN((VLOOKUP($C40,武器!$1:$998,COLUMN(G$1),FALSE)+IFERROR(VLOOKUP($CI40,装強!$1:$999,COLUMN(I$1),FALSE),0))*VLOOKUP($D40,素材!$1:$1016,COLUMN($E$1),FALSE),0),"")</f>
        <v>1</v>
      </c>
      <c r="J40">
        <f>IFERROR(ROUNDDOWN((VLOOKUP($C40,武器!$1:$998,COLUMN(H$1),FALSE)+IFERROR(VLOOKUP($CI40,装強!$1:$999,COLUMN(J$1),FALSE),0))*VLOOKUP($D40,素材!$1:$1016,COLUMN($E$1),FALSE),0),"")</f>
        <v>9</v>
      </c>
      <c r="K40">
        <f>IFERROR(ROUNDDOWN((VLOOKUP($C40,武器!$1:$998,COLUMN(I$1),FALSE)+IFERROR(VLOOKUP($CI40,装強!$1:$999,COLUMN(K$1),FALSE),0))*VLOOKUP($D40,素材!$1:$1016,COLUMN($E$1),FALSE),0),"")</f>
        <v>0</v>
      </c>
      <c r="L40">
        <f>IFERROR(VLOOKUP($D40,素材!$1:$1016,COLUMN($F$1),FALSE),"")</f>
        <v>0</v>
      </c>
      <c r="M40">
        <f>IFERROR(VLOOKUP($C40,武器!$1:$998,COLUMN(AA$1),FALSE)*VLOOKUP($D40,素材!$1:$1016,COLUMN($G$1),FALSE),"")</f>
        <v>0</v>
      </c>
      <c r="N40">
        <f>IFERROR(VLOOKUP($C40,武器!$1:$998,COLUMN(I$1),FALSE),"")</f>
        <v>0</v>
      </c>
      <c r="O40" s="23">
        <f>IFERROR((VLOOKUP($C40,武器!$1:$998,COLUMN(K$1),FALSE)+VLOOKUP($D40,素材!$1:$1016,COLUMN(H$1),FALSE))*100+IFERROR(VLOOKUP($CI40,装強!$1:$999,COLUMN(O$1),FALSE),0),"")</f>
        <v>10</v>
      </c>
      <c r="P40" s="23">
        <f>IFERROR((VLOOKUP($C40,武器!$1:$998,COLUMN(L$1),FALSE)+VLOOKUP($D40,素材!$1:$1016,COLUMN(I$1),FALSE))*100+IFERROR(VLOOKUP($CI40,装強!$1:$999,COLUMN(P$1),FALSE),0),"")</f>
        <v>175</v>
      </c>
      <c r="Q40">
        <f>IFERROR(ROUNDUP(VLOOKUP($C40,武器!$1:$998,COLUMN(M$1),FALSE)*(VLOOKUP($D40,素材!$1:$1002,COLUMN(D$1),FALSE)/100),1),"")</f>
        <v>0</v>
      </c>
      <c r="R40">
        <f>IFERROR(ROUNDUP(VLOOKUP($C40,武器!$1:$998,COLUMN(N$1),FALSE)*(VLOOKUP($D40,素材!$1:$1002,COLUMN(D$1),FALSE)/100),1),"")</f>
        <v>0</v>
      </c>
      <c r="S40">
        <f>IFERROR(VLOOKUP($C40,武器!$1:$998,COLUMN(P$1),FALSE),"")</f>
        <v>0</v>
      </c>
      <c r="T40">
        <f>IFERROR(VLOOKUP($C40,武器!$1:$998,COLUMN(Q$1),FALSE),"")</f>
        <v>0</v>
      </c>
      <c r="U40">
        <f>IFERROR(VLOOKUP($C40,武器!$1:$998,COLUMN(R$1),FALSE),"")</f>
        <v>0</v>
      </c>
      <c r="V40">
        <f>IFERROR(VLOOKUP($C40,武器!$1:$998,COLUMN(Q$1),FALSE),"")</f>
        <v>0</v>
      </c>
      <c r="W40" t="str">
        <f>IFERROR(VLOOKUP($C40,武器!$1:$998,COLUMN(T$1),FALSE),"")</f>
        <v>A</v>
      </c>
      <c r="Y40" t="str">
        <f>IFERROR(VLOOKUP($C40,武器!$1:$998,COLUMN(U$1),FALSE),"")</f>
        <v>暗殺強化,片手適正Ⅱ</v>
      </c>
      <c r="Z40">
        <f>IFERROR(ROUNDUP(VLOOKUP($C40,武器!$1:$998,COLUMN(O$1),FALSE)*VLOOKUP($D40,素材!$1:$1016,COLUMN(E$1),FALSE),1),"")</f>
        <v>0</v>
      </c>
      <c r="AA40">
        <f>IF(ISNUMBER(SEARCH(SUBSTITUTE(AA$1,RIGHT(AA$1,2),""),VLOOKUP($D40,素材!$1:$1016,COLUMN($F$1),FALSE))),VLOOKUP($C40,武器!$1:$998,COLUMN($O$1),FALSE)*VLOOKUP($D40,素材!$1:$1016,COLUMN($E$1),FALSE)/(LEN(VLOOKUP($D40,素材!$1:$1016,COLUMN($F$1),FALSE)) - LEN(SUBSTITUTE(VLOOKUP($D40,素材!$1:$1016,COLUMN($F$1),FALSE), "・", 0)) + 1), 0)</f>
        <v>0</v>
      </c>
      <c r="AB40">
        <f>IF(ISNUMBER(SEARCH(SUBSTITUTE(AB$1,RIGHT(AB$1,2),""),VLOOKUP($D40,素材!$1:$1016,COLUMN($F$1),FALSE))),VLOOKUP($C40,武器!$1:$998,COLUMN($O$1),FALSE)*VLOOKUP($D40,素材!$1:$1016,COLUMN($E$1),FALSE)/(LEN(VLOOKUP($D40,素材!$1:$1016,COLUMN($F$1),FALSE)) - LEN(SUBSTITUTE(VLOOKUP($D40,素材!$1:$1016,COLUMN($F$1),FALSE), "・", 0)) + 1), 0)</f>
        <v>0</v>
      </c>
      <c r="AC40">
        <f>IF(ISNUMBER(SEARCH(SUBSTITUTE(AC$1,RIGHT(AC$1,2),""),VLOOKUP($D40,素材!$1:$1016,COLUMN($F$1),FALSE))),VLOOKUP($C40,武器!$1:$998,COLUMN($O$1),FALSE)*VLOOKUP($D40,素材!$1:$1016,COLUMN($E$1),FALSE)/(LEN(VLOOKUP($D40,素材!$1:$1016,COLUMN($F$1),FALSE)) - LEN(SUBSTITUTE(VLOOKUP($D40,素材!$1:$1016,COLUMN($F$1),FALSE), "・", 0)) + 1), 0)</f>
        <v>0</v>
      </c>
      <c r="AD40">
        <f>IF(ISNUMBER(SEARCH(SUBSTITUTE(AD$1,RIGHT(AD$1,2),""),VLOOKUP($D40,素材!$1:$1016,COLUMN($F$1),FALSE))),VLOOKUP($C40,武器!$1:$998,COLUMN($O$1),FALSE)*VLOOKUP($D40,素材!$1:$1016,COLUMN($E$1),FALSE)/(LEN(VLOOKUP($D40,素材!$1:$1016,COLUMN($F$1),FALSE)) - LEN(SUBSTITUTE(VLOOKUP($D40,素材!$1:$1016,COLUMN($F$1),FALSE), "・", 0)) + 1), 0)</f>
        <v>0</v>
      </c>
      <c r="AE40">
        <f>IF(ISNUMBER(SEARCH(SUBSTITUTE(AE$1,RIGHT(AE$1,2),""),VLOOKUP($D40,素材!$1:$1016,COLUMN($F$1),FALSE))),VLOOKUP($C40,武器!$1:$998,COLUMN($O$1),FALSE)*VLOOKUP($D40,素材!$1:$1016,COLUMN($E$1),FALSE)/(LEN(VLOOKUP($D40,素材!$1:$1016,COLUMN($F$1),FALSE)) - LEN(SUBSTITUTE(VLOOKUP($D40,素材!$1:$1016,COLUMN($F$1),FALSE), "・", 0)) + 1), 0)</f>
        <v>0</v>
      </c>
      <c r="AF40">
        <f>IF(ISNUMBER(SEARCH(SUBSTITUTE(AF$1,RIGHT(AF$1,2),""),VLOOKUP($D40,素材!$1:$1016,COLUMN($F$1),FALSE))),VLOOKUP($C40,武器!$1:$998,COLUMN($O$1),FALSE)*VLOOKUP($D40,素材!$1:$1016,COLUMN($E$1),FALSE)/(LEN(VLOOKUP($D40,素材!$1:$1016,COLUMN($F$1),FALSE)) - LEN(SUBSTITUTE(VLOOKUP($D40,素材!$1:$1016,COLUMN($F$1),FALSE), "・", 0)) + 1), 0)</f>
        <v>0</v>
      </c>
      <c r="AG40">
        <f>IF(ISNUMBER(SEARCH(SUBSTITUTE(AG$1,RIGHT(AG$1,2),""),VLOOKUP($D40,素材!$1:$1016,COLUMN($F$1),FALSE))),VLOOKUP($C40,武器!$1:$998,COLUMN($O$1),FALSE)*VLOOKUP($D40,素材!$1:$1016,COLUMN($E$1),FALSE)/(LEN(VLOOKUP($D40,素材!$1:$1016,COLUMN($F$1),FALSE)) - LEN(SUBSTITUTE(VLOOKUP($D40,素材!$1:$1016,COLUMN($F$1),FALSE), "・", 0)) + 1), 0)</f>
        <v>0</v>
      </c>
      <c r="AH40">
        <f>IF(ISNUMBER(SEARCH(SUBSTITUTE(AH$1,RIGHT(AH$1,2),""),VLOOKUP($D40,素材!$1:$1016,COLUMN($F$1),FALSE))),VLOOKUP($C40,武器!$1:$998,COLUMN($O$1),FALSE)*VLOOKUP($D40,素材!$1:$1016,COLUMN($E$1),FALSE)/(LEN(VLOOKUP($D40,素材!$1:$1016,COLUMN($F$1),FALSE)) - LEN(SUBSTITUTE(VLOOKUP($D40,素材!$1:$1016,COLUMN($F$1),FALSE), "・", 0)) + 1), 0)</f>
        <v>0</v>
      </c>
      <c r="AI40">
        <f>IF(ISNUMBER(SEARCH(SUBSTITUTE(AI$1,RIGHT(AI$1,2),""),VLOOKUP($D40,素材!$1:$1016,COLUMN($F$1),FALSE))),VLOOKUP($C40,武器!$1:$998,COLUMN($O$1),FALSE)*VLOOKUP($D40,素材!$1:$1016,COLUMN($E$1),FALSE)/(LEN(VLOOKUP($D40,素材!$1:$1016,COLUMN($F$1),FALSE)) - LEN(SUBSTITUTE(VLOOKUP($D40,素材!$1:$1016,COLUMN($F$1),FALSE), "・", 0)) + 1), 0)</f>
        <v>0</v>
      </c>
      <c r="AJ40">
        <f>IF(ISNUMBER(SEARCH(SUBSTITUTE(AJ$1,RIGHT(AJ$1,2),""),VLOOKUP($D40,素材!$1:$1016,COLUMN($F$1),FALSE))),VLOOKUP($C40,武器!$1:$998,COLUMN($O$1),FALSE)*VLOOKUP($D40,素材!$1:$1016,COLUMN($E$1),FALSE)/(LEN(VLOOKUP($D40,素材!$1:$1016,COLUMN($F$1),FALSE)) - LEN(SUBSTITUTE(VLOOKUP($D40,素材!$1:$1016,COLUMN($F$1),FALSE), "・", 0)) + 1), 0)</f>
        <v>0</v>
      </c>
      <c r="AK40">
        <f>IF(ISNUMBER(SEARCH(SUBSTITUTE(AK$1,RIGHT(AK$1,2),""),VLOOKUP($D40,素材!$1:$1016,COLUMN($F$1),FALSE))),VLOOKUP($C40,武器!$1:$998,COLUMN($O$1),FALSE)*VLOOKUP($D40,素材!$1:$1016,COLUMN($E$1),FALSE)/(LEN(VLOOKUP($D40,素材!$1:$1016,COLUMN($F$1),FALSE)) - LEN(SUBSTITUTE(VLOOKUP($D40,素材!$1:$1016,COLUMN($F$1),FALSE), "・", 0)) + 1), 0)</f>
        <v>0</v>
      </c>
      <c r="AL40">
        <f>IF(ISNUMBER(SEARCH(SUBSTITUTE(AL$1,RIGHT(AL$1,2),""),VLOOKUP($D40,素材!$1:$1016,COLUMN($F$1),FALSE))),VLOOKUP($C40,武器!$1:$998,COLUMN($O$1),FALSE)*VLOOKUP($D40,素材!$1:$1016,COLUMN($E$1),FALSE)/(LEN(VLOOKUP($D40,素材!$1:$1016,COLUMN($F$1),FALSE)) - LEN(SUBSTITUTE(VLOOKUP($D40,素材!$1:$1016,COLUMN($F$1),FALSE), "・", 0)) + 1), 0)</f>
        <v>0</v>
      </c>
      <c r="AM40">
        <f>IF(ISNUMBER(SEARCH(SUBSTITUTE(AM$1,RIGHT(AM$1,2),""),VLOOKUP($D40,素材!$1:$1016,COLUMN($F$1),FALSE))),VLOOKUP($C40,武器!$1:$998,COLUMN($O$1),FALSE)*VLOOKUP($D40,素材!$1:$1016,COLUMN($E$1),FALSE)/(LEN(VLOOKUP($D40,素材!$1:$1016,COLUMN($F$1),FALSE)) - LEN(SUBSTITUTE(VLOOKUP($D40,素材!$1:$1016,COLUMN($F$1),FALSE), "・", 0)) + 1), 0)</f>
        <v>0</v>
      </c>
      <c r="AN40">
        <f>IF(ISNUMBER(SEARCH(SUBSTITUTE(AN$1,RIGHT(AN$1,2),""),VLOOKUP($D40,素材!$1:$1016,COLUMN($F$1),FALSE))),VLOOKUP($C40,武器!$1:$998,COLUMN($O$1),FALSE)*VLOOKUP($D40,素材!$1:$1016,COLUMN($E$1),FALSE)/(LEN(VLOOKUP($D40,素材!$1:$1016,COLUMN($F$1),FALSE)) - LEN(SUBSTITUTE(VLOOKUP($D40,素材!$1:$1016,COLUMN($F$1),FALSE), "・", 0)) + 1), 0)</f>
        <v>0</v>
      </c>
      <c r="AO40">
        <f>IF(ISNUMBER(SEARCH(SUBSTITUTE(AO$1,RIGHT(AO$1,2),""),VLOOKUP($D40,素材!$1:$1016,COLUMN($F$1),FALSE))),VLOOKUP($C40,武器!$1:$998,COLUMN($O$1),FALSE)*VLOOKUP($D40,素材!$1:$1016,COLUMN($E$1),FALSE)/(LEN(VLOOKUP($D40,素材!$1:$1016,COLUMN($F$1),FALSE)) - LEN(SUBSTITUTE(VLOOKUP($D40,素材!$1:$1016,COLUMN($F$1),FALSE), "・", 0)) + 1), 0)</f>
        <v>0</v>
      </c>
      <c r="AP40">
        <f>IF(ISNUMBER(SEARCH(SUBSTITUTE(AP$1,RIGHT(AP$1,2),""),VLOOKUP($D40,素材!$1:$1016,COLUMN($F$1),FALSE))),VLOOKUP($C40,武器!$1:$998,COLUMN($O$1),FALSE)*VLOOKUP($D40,素材!$1:$1016,COLUMN($E$1),FALSE)/(LEN(VLOOKUP($D40,素材!$1:$1016,COLUMN($F$1),FALSE)) - LEN(SUBSTITUTE(VLOOKUP($D40,素材!$1:$1016,COLUMN($F$1),FALSE), "・", 0)) + 1), 0)</f>
        <v>0</v>
      </c>
      <c r="AQ40">
        <f>IF(ISNUMBER(SEARCH(SUBSTITUTE(AQ$1,RIGHT(AQ$1,2),""),VLOOKUP($D40,素材!$1:$1016,COLUMN($F$1),FALSE))),VLOOKUP($C40,武器!$1:$998,COLUMN($O$1),FALSE)*VLOOKUP($D40,素材!$1:$1016,COLUMN($E$1),FALSE)/(LEN(VLOOKUP($D40,素材!$1:$1016,COLUMN($F$1),FALSE)) - LEN(SUBSTITUTE(VLOOKUP($D40,素材!$1:$1016,COLUMN($F$1),FALSE), "・", 0)) + 1), 0)</f>
        <v>0</v>
      </c>
      <c r="AR40">
        <f>IF(ISNUMBER(SEARCH(SUBSTITUTE(AR$1,RIGHT(AR$1,2),""),VLOOKUP($D40,素材!$1:$1016,COLUMN($F$1),FALSE))),VLOOKUP($C40,武器!$1:$998,COLUMN($O$1),FALSE)*VLOOKUP($D40,素材!$1:$1016,COLUMN($E$1),FALSE)/(LEN(VLOOKUP($D40,素材!$1:$1016,COLUMN($F$1),FALSE)) - LEN(SUBSTITUTE(VLOOKUP($D40,素材!$1:$1016,COLUMN($F$1),FALSE), "・", 0)) + 1), 0)</f>
        <v>0</v>
      </c>
      <c r="AS40">
        <f>IF(ISNUMBER(SEARCH(SUBSTITUTE(AS$1,RIGHT(AS$1,2),""),VLOOKUP($D40,素材!$1:$1016,COLUMN($F$1),FALSE))),VLOOKUP($C40,武器!$1:$998,COLUMN($O$1),FALSE)*VLOOKUP($D40,素材!$1:$1016,COLUMN($E$1),FALSE)/(LEN(VLOOKUP($D40,素材!$1:$1016,COLUMN($F$1),FALSE)) - LEN(SUBSTITUTE(VLOOKUP($D40,素材!$1:$1016,COLUMN($F$1),FALSE), "・", 0)) + 1), 0)</f>
        <v>0</v>
      </c>
      <c r="AT40">
        <f>IF(ISNUMBER(SEARCH(SUBSTITUTE(AT$1,RIGHT(AT$1,2),""),VLOOKUP($D40,素材!$1:$1016,COLUMN($F$1),FALSE))),VLOOKUP($C40,武器!$1:$998,COLUMN($O$1),FALSE)*VLOOKUP($D40,素材!$1:$1016,COLUMN($E$1),FALSE)/(LEN(VLOOKUP($D40,素材!$1:$1016,COLUMN($F$1),FALSE)) - LEN(SUBSTITUTE(VLOOKUP($D40,素材!$1:$1016,COLUMN($F$1),FALSE), "・", 0)) + 1), 0)</f>
        <v>0</v>
      </c>
      <c r="AU40">
        <f>IF(ISNUMBER(SEARCH(SUBSTITUTE(AU$1,RIGHT(AU$1,2),""),VLOOKUP($D40,素材!$1:$1016,COLUMN($F$1),FALSE))),VLOOKUP($C40,武器!$1:$998,COLUMN($O$1),FALSE)*VLOOKUP($D40,素材!$1:$1016,COLUMN($E$1),FALSE)/(LEN(VLOOKUP($D40,素材!$1:$1016,COLUMN($F$1),FALSE)) - LEN(SUBSTITUTE(VLOOKUP($D40,素材!$1:$1016,COLUMN($F$1),FALSE), "・", 0)) + 1), 0)</f>
        <v>0</v>
      </c>
      <c r="AV40">
        <f>IF(ISNUMBER(SEARCH(SUBSTITUTE(AV$1,RIGHT(AV$1,2),""),VLOOKUP($D40,素材!$1:$1016,COLUMN($F$1),FALSE))),VLOOKUP($C40,武器!$1:$998,COLUMN($O$1),FALSE)*VLOOKUP($D40,素材!$1:$1016,COLUMN($E$1),FALSE)/(LEN(VLOOKUP($D40,素材!$1:$1016,COLUMN($F$1),FALSE)) - LEN(SUBSTITUTE(VLOOKUP($D40,素材!$1:$1016,COLUMN($F$1),FALSE), "・", 0)) + 1), 0)</f>
        <v>0</v>
      </c>
      <c r="AW40">
        <f>IF(ISNUMBER(SEARCH(SUBSTITUTE(AW$1,RIGHT(AW$1,2),""),VLOOKUP($D40,素材!$1:$1016,COLUMN($F$1),FALSE))),VLOOKUP($C40,武器!$1:$998,COLUMN($O$1),FALSE)*VLOOKUP($D40,素材!$1:$1016,COLUMN($E$1),FALSE)/(LEN(VLOOKUP($D40,素材!$1:$1016,COLUMN($F$1),FALSE)) - LEN(SUBSTITUTE(VLOOKUP($D40,素材!$1:$1016,COLUMN($F$1),FALSE), "・", 0)) + 1), 0)</f>
        <v>0</v>
      </c>
      <c r="AX40">
        <f>IF(ISNUMBER(SEARCH(SUBSTITUTE(AX$1,RIGHT(AX$1,2),""),VLOOKUP($D40,素材!$1:$1016,COLUMN($F$1),FALSE))),VLOOKUP($C40,武器!$1:$998,COLUMN($O$1),FALSE)*VLOOKUP($D40,素材!$1:$1016,COLUMN($E$1),FALSE)/(LEN(VLOOKUP($D40,素材!$1:$1016,COLUMN($F$1),FALSE)) - LEN(SUBSTITUTE(VLOOKUP($D40,素材!$1:$1016,COLUMN($F$1),FALSE), "・", 0)) + 1), 0)</f>
        <v>0</v>
      </c>
      <c r="AY40">
        <f>IF(ISNUMBER(SEARCH(SUBSTITUTE(AY$1,RIGHT(AY$1,2),""),VLOOKUP($D40,素材!$1:$1016,COLUMN($F$1),FALSE))),VLOOKUP($C40,武器!$1:$998,COLUMN($O$1),FALSE)*VLOOKUP($D40,素材!$1:$1016,COLUMN($E$1),FALSE)/(LEN(VLOOKUP($D40,素材!$1:$1016,COLUMN($F$1),FALSE)) - LEN(SUBSTITUTE(VLOOKUP($D40,素材!$1:$1016,COLUMN($F$1),FALSE), "・", 0)) + 1), 0)</f>
        <v>0</v>
      </c>
      <c r="AZ40">
        <f>IF(ISNUMBER(SEARCH(SUBSTITUTE(AZ$1,RIGHT(AZ$1,2),""),VLOOKUP($D40,素材!$1:$1016,COLUMN($F$1),FALSE))),VLOOKUP($C40,武器!$1:$998,COLUMN($O$1),FALSE)*VLOOKUP($D40,素材!$1:$1016,COLUMN($E$1),FALSE)/(LEN(VLOOKUP($D40,素材!$1:$1016,COLUMN($F$1),FALSE)) - LEN(SUBSTITUTE(VLOOKUP($D40,素材!$1:$1016,COLUMN($F$1),FALSE), "・", 0)) + 1), 0)</f>
        <v>0</v>
      </c>
      <c r="BA40">
        <f>IF(ISNUMBER(SEARCH(SUBSTITUTE(BA$1,RIGHT(BA$1,2),""),VLOOKUP($D40,素材!$1:$1016,COLUMN($F$1),FALSE))),VLOOKUP($C40,武器!$1:$998,COLUMN($O$1),FALSE)*VLOOKUP($D40,素材!$1:$1016,COLUMN($E$1),FALSE)/(LEN(VLOOKUP($D40,素材!$1:$1016,COLUMN($F$1),FALSE)) - LEN(SUBSTITUTE(VLOOKUP($D40,素材!$1:$1016,COLUMN($F$1),FALSE), "・", 0)) + 1), 0)</f>
        <v>0</v>
      </c>
      <c r="BB40">
        <f>IF(ISNUMBER(SEARCH(SUBSTITUTE(BB$1,RIGHT(BB$1,2),""),VLOOKUP($D40,素材!$1:$1016,COLUMN($F$1),FALSE))),VLOOKUP($C40,武器!$1:$998,COLUMN($O$1),FALSE)*VLOOKUP($D40,素材!$1:$1016,COLUMN($E$1),FALSE)/(LEN(VLOOKUP($D40,素材!$1:$1016,COLUMN($F$1),FALSE)) - LEN(SUBSTITUTE(VLOOKUP($D40,素材!$1:$1016,COLUMN($F$1),FALSE), "・", 0)) + 1), 0)</f>
        <v>0</v>
      </c>
      <c r="BC40">
        <f>IF(ISNUMBER(SEARCH(SUBSTITUTE(BC$1,RIGHT(BC$1,2),""),VLOOKUP($D40,素材!$1:$1016,COLUMN($F$1),FALSE))),VLOOKUP($C40,武器!$1:$998,COLUMN($O$1),FALSE)*VLOOKUP($D40,素材!$1:$1016,COLUMN($E$1),FALSE)/(LEN(VLOOKUP($D40,素材!$1:$1016,COLUMN($F$1),FALSE)) - LEN(SUBSTITUTE(VLOOKUP($D40,素材!$1:$1016,COLUMN($F$1),FALSE), "・", 0)) + 1), 0)</f>
        <v>0</v>
      </c>
      <c r="BD40">
        <f>IF(ISNUMBER(SEARCH(SUBSTITUTE(BD$1,RIGHT(BD$1,2),""),VLOOKUP($D40,素材!$1:$1016,COLUMN($F$1),FALSE))),VLOOKUP($C40,武器!$1:$998,COLUMN($O$1),FALSE)*VLOOKUP($D40,素材!$1:$1016,COLUMN($E$1),FALSE)/(LEN(VLOOKUP($D40,素材!$1:$1016,COLUMN($F$1),FALSE)) - LEN(SUBSTITUTE(VLOOKUP($D40,素材!$1:$1016,COLUMN($F$1),FALSE), "・", 0)) + 1), 0)</f>
        <v>0</v>
      </c>
      <c r="BE40">
        <f>IF(ISNUMBER(SEARCH(SUBSTITUTE(BE$1,RIGHT(BE$1,2),""),VLOOKUP($D40,素材!$1:$1016,COLUMN($F$1),FALSE))),VLOOKUP($C40,武器!$1:$998,COLUMN($O$1),FALSE)*VLOOKUP($D40,素材!$1:$1016,COLUMN($E$1),FALSE)/(LEN(VLOOKUP($D40,素材!$1:$1016,COLUMN($F$1),FALSE)) - LEN(SUBSTITUTE(VLOOKUP($D40,素材!$1:$1016,COLUMN($F$1),FALSE), "・", 0)) + 1), 0)</f>
        <v>0</v>
      </c>
      <c r="CL40">
        <f>SUM(G40:I40)</f>
        <v>14</v>
      </c>
      <c r="CM40" s="22" t="str">
        <f>IF(E40="武器",IF(J40-1&gt;SUM(G40:I40),"盾",IF(MAX(G40:I40)=G40,"切断",IF(MAX(G40:I40)=H40,"貫通",IF(MAX(G40:I40)=I40,"打撃","射撃")))),E40)&amp;".webp"</f>
        <v>切断.webp</v>
      </c>
      <c r="CN40">
        <f>IFERROR(VLOOKUP($C40,武器!$1:$998,COLUMN(V$1),FALSE)*VLOOKUP($D40,素材!$1:$1016,COLUMN(N$1),FALSE)+IF(CI40="",0,VLOOKUP($CI40,装強!$1:$1008,COLUMN($CK$1),FALSE)),"")</f>
        <v>100</v>
      </c>
      <c r="CO40" t="str">
        <f>VLOOKUP(D40,素材!$A:$O,COLUMN(素材!O$1),FALSE)</f>
        <v>一般的な木材。金属より軽いが少し脆い</v>
      </c>
      <c r="CP40" t="str">
        <f>VLOOKUP(C40,武器!$A:$W,COLUMN(武器!W$1),FALSE)</f>
        <v>短刀。暗殺向けの武器で、軽量かつ片手操作に適する。Cr威力が高い</v>
      </c>
      <c r="CR40" t="str">
        <f t="shared" si="1"/>
        <v>e_40</v>
      </c>
      <c r="CS40">
        <f t="shared" si="2"/>
        <v>10000</v>
      </c>
    </row>
    <row r="41" spans="1:97" outlineLevel="1" x14ac:dyDescent="0.4">
      <c r="A41" t="str">
        <f t="shared" si="3"/>
        <v>木の刀</v>
      </c>
      <c r="B41" t="str">
        <f>IFERROR(VLOOKUP($D41,素材!$1:$1016,COLUMN($B$1),FALSE)&amp;"・"&amp;VLOOKUP($C41,武器!$1:$998,COLUMN(B$1),FALSE),"")</f>
        <v>ウッド・カタナ</v>
      </c>
      <c r="C41" s="24" t="s">
        <v>241</v>
      </c>
      <c r="D41" s="24" t="s">
        <v>255</v>
      </c>
      <c r="E41" t="str">
        <f>IFERROR(VLOOKUP(C41,武器!$1:$998,COLUMN(C$1),FALSE),"")</f>
        <v>武器</v>
      </c>
      <c r="F41">
        <f>IFERROR(ROUNDDOWN((VLOOKUP($C41,武器!$1:$998,COLUMN(D$1),FALSE)+IFERROR(VLOOKUP($CI41,装強!$1:$999,COLUMN(F$1),FALSE),0))*VLOOKUP($D41,素材!$1:$1016,COLUMN(D$1),FALSE),0),"")</f>
        <v>78</v>
      </c>
      <c r="G41">
        <f>IFERROR(ROUNDDOWN((VLOOKUP($C41,武器!$1:$998,COLUMN(E$1),FALSE)+IFERROR(VLOOKUP($CI41,装強!$1:$999,COLUMN(G$1),FALSE),0))*VLOOKUP($D41,素材!$1:$1016,COLUMN($E$1),FALSE),0),"")</f>
        <v>10</v>
      </c>
      <c r="H41">
        <f>IFERROR(ROUNDDOWN((VLOOKUP($C41,武器!$1:$998,COLUMN(F$1),FALSE)+IFERROR(VLOOKUP($CI41,装強!$1:$999,COLUMN(H$1),FALSE),0))*VLOOKUP($D41,素材!$1:$1016,COLUMN($E$1),FALSE),0),"")</f>
        <v>6</v>
      </c>
      <c r="I41">
        <f>IFERROR(ROUNDDOWN((VLOOKUP($C41,武器!$1:$998,COLUMN(G$1),FALSE)+IFERROR(VLOOKUP($CI41,装強!$1:$999,COLUMN(I$1),FALSE),0))*VLOOKUP($D41,素材!$1:$1016,COLUMN($E$1),FALSE),0),"")</f>
        <v>1</v>
      </c>
      <c r="J41">
        <f>IFERROR(ROUNDDOWN((VLOOKUP($C41,武器!$1:$998,COLUMN(H$1),FALSE)+IFERROR(VLOOKUP($CI41,装強!$1:$999,COLUMN(J$1),FALSE),0))*VLOOKUP($D41,素材!$1:$1016,COLUMN($E$1),FALSE),0),"")</f>
        <v>12</v>
      </c>
      <c r="K41">
        <f>IFERROR(ROUNDDOWN((VLOOKUP($C41,武器!$1:$998,COLUMN(I$1),FALSE)+IFERROR(VLOOKUP($CI41,装強!$1:$999,COLUMN(K$1),FALSE),0))*VLOOKUP($D41,素材!$1:$1016,COLUMN($E$1),FALSE),0),"")</f>
        <v>0</v>
      </c>
      <c r="L41">
        <f>IFERROR(VLOOKUP($D41,素材!$1:$1016,COLUMN($F$1),FALSE),"")</f>
        <v>0</v>
      </c>
      <c r="M41">
        <f>IFERROR(VLOOKUP($C41,武器!$1:$998,COLUMN(AA$1),FALSE)*VLOOKUP($D41,素材!$1:$1016,COLUMN($G$1),FALSE),"")</f>
        <v>0</v>
      </c>
      <c r="N41">
        <f>IFERROR(VLOOKUP($C41,武器!$1:$998,COLUMN(I$1),FALSE),"")</f>
        <v>0</v>
      </c>
      <c r="O41" s="23">
        <f>IFERROR((VLOOKUP($C41,武器!$1:$998,COLUMN(K$1),FALSE)+VLOOKUP($D41,素材!$1:$1016,COLUMN(H$1),FALSE))*100+IFERROR(VLOOKUP($CI41,装強!$1:$999,COLUMN(O$1),FALSE),0),"")</f>
        <v>10</v>
      </c>
      <c r="P41" s="23">
        <f>IFERROR((VLOOKUP($C41,武器!$1:$998,COLUMN(L$1),FALSE)+VLOOKUP($D41,素材!$1:$1016,COLUMN(I$1),FALSE))*100+IFERROR(VLOOKUP($CI41,装強!$1:$999,COLUMN(P$1),FALSE),0),"")</f>
        <v>175</v>
      </c>
      <c r="Q41">
        <f>IFERROR(ROUNDUP(VLOOKUP($C41,武器!$1:$998,COLUMN(M$1),FALSE)*(VLOOKUP($D41,素材!$1:$1002,COLUMN(D$1),FALSE)/100),1),"")</f>
        <v>0</v>
      </c>
      <c r="R41">
        <f>IFERROR(ROUNDUP(VLOOKUP($C41,武器!$1:$998,COLUMN(N$1),FALSE)*(VLOOKUP($D41,素材!$1:$1002,COLUMN(D$1),FALSE)/100),1),"")</f>
        <v>0</v>
      </c>
      <c r="S41">
        <f>IFERROR(VLOOKUP($C41,武器!$1:$998,COLUMN(P$1),FALSE),"")</f>
        <v>0</v>
      </c>
      <c r="T41">
        <f>IFERROR(VLOOKUP($C41,武器!$1:$998,COLUMN(Q$1),FALSE),"")</f>
        <v>0</v>
      </c>
      <c r="U41">
        <f>IFERROR(VLOOKUP($C41,武器!$1:$998,COLUMN(R$1),FALSE),"")</f>
        <v>0</v>
      </c>
      <c r="V41">
        <f>IFERROR(VLOOKUP($C41,武器!$1:$998,COLUMN(Q$1),FALSE),"")</f>
        <v>0</v>
      </c>
      <c r="W41" t="str">
        <f>IFERROR(VLOOKUP($C41,武器!$1:$998,COLUMN(T$1),FALSE),"")</f>
        <v>A</v>
      </c>
      <c r="Y41">
        <f>IFERROR(VLOOKUP($C41,武器!$1:$998,COLUMN(U$1),FALSE),"")</f>
        <v>0</v>
      </c>
      <c r="Z41">
        <f>IFERROR(ROUNDUP(VLOOKUP($C41,武器!$1:$998,COLUMN(O$1),FALSE)*VLOOKUP($D41,素材!$1:$1016,COLUMN(E$1),FALSE),1),"")</f>
        <v>0</v>
      </c>
      <c r="AA41">
        <f>IF(ISNUMBER(SEARCH(SUBSTITUTE(AA$1,RIGHT(AA$1,2),""),VLOOKUP($D41,素材!$1:$1016,COLUMN($F$1),FALSE))),VLOOKUP($C41,武器!$1:$998,COLUMN($O$1),FALSE)*VLOOKUP($D41,素材!$1:$1016,COLUMN($E$1),FALSE)/(LEN(VLOOKUP($D41,素材!$1:$1016,COLUMN($F$1),FALSE)) - LEN(SUBSTITUTE(VLOOKUP($D41,素材!$1:$1016,COLUMN($F$1),FALSE), "・", 0)) + 1), 0)</f>
        <v>0</v>
      </c>
      <c r="AB41">
        <f>IF(ISNUMBER(SEARCH(SUBSTITUTE(AB$1,RIGHT(AB$1,2),""),VLOOKUP($D41,素材!$1:$1016,COLUMN($F$1),FALSE))),VLOOKUP($C41,武器!$1:$998,COLUMN($O$1),FALSE)*VLOOKUP($D41,素材!$1:$1016,COLUMN($E$1),FALSE)/(LEN(VLOOKUP($D41,素材!$1:$1016,COLUMN($F$1),FALSE)) - LEN(SUBSTITUTE(VLOOKUP($D41,素材!$1:$1016,COLUMN($F$1),FALSE), "・", 0)) + 1), 0)</f>
        <v>0</v>
      </c>
      <c r="AC41">
        <f>IF(ISNUMBER(SEARCH(SUBSTITUTE(AC$1,RIGHT(AC$1,2),""),VLOOKUP($D41,素材!$1:$1016,COLUMN($F$1),FALSE))),VLOOKUP($C41,武器!$1:$998,COLUMN($O$1),FALSE)*VLOOKUP($D41,素材!$1:$1016,COLUMN($E$1),FALSE)/(LEN(VLOOKUP($D41,素材!$1:$1016,COLUMN($F$1),FALSE)) - LEN(SUBSTITUTE(VLOOKUP($D41,素材!$1:$1016,COLUMN($F$1),FALSE), "・", 0)) + 1), 0)</f>
        <v>0</v>
      </c>
      <c r="AD41">
        <f>IF(ISNUMBER(SEARCH(SUBSTITUTE(AD$1,RIGHT(AD$1,2),""),VLOOKUP($D41,素材!$1:$1016,COLUMN($F$1),FALSE))),VLOOKUP($C41,武器!$1:$998,COLUMN($O$1),FALSE)*VLOOKUP($D41,素材!$1:$1016,COLUMN($E$1),FALSE)/(LEN(VLOOKUP($D41,素材!$1:$1016,COLUMN($F$1),FALSE)) - LEN(SUBSTITUTE(VLOOKUP($D41,素材!$1:$1016,COLUMN($F$1),FALSE), "・", 0)) + 1), 0)</f>
        <v>0</v>
      </c>
      <c r="AE41">
        <f>IF(ISNUMBER(SEARCH(SUBSTITUTE(AE$1,RIGHT(AE$1,2),""),VLOOKUP($D41,素材!$1:$1016,COLUMN($F$1),FALSE))),VLOOKUP($C41,武器!$1:$998,COLUMN($O$1),FALSE)*VLOOKUP($D41,素材!$1:$1016,COLUMN($E$1),FALSE)/(LEN(VLOOKUP($D41,素材!$1:$1016,COLUMN($F$1),FALSE)) - LEN(SUBSTITUTE(VLOOKUP($D41,素材!$1:$1016,COLUMN($F$1),FALSE), "・", 0)) + 1), 0)</f>
        <v>0</v>
      </c>
      <c r="AF41">
        <f>IF(ISNUMBER(SEARCH(SUBSTITUTE(AF$1,RIGHT(AF$1,2),""),VLOOKUP($D41,素材!$1:$1016,COLUMN($F$1),FALSE))),VLOOKUP($C41,武器!$1:$998,COLUMN($O$1),FALSE)*VLOOKUP($D41,素材!$1:$1016,COLUMN($E$1),FALSE)/(LEN(VLOOKUP($D41,素材!$1:$1016,COLUMN($F$1),FALSE)) - LEN(SUBSTITUTE(VLOOKUP($D41,素材!$1:$1016,COLUMN($F$1),FALSE), "・", 0)) + 1), 0)</f>
        <v>0</v>
      </c>
      <c r="AG41">
        <f>IF(ISNUMBER(SEARCH(SUBSTITUTE(AG$1,RIGHT(AG$1,2),""),VLOOKUP($D41,素材!$1:$1016,COLUMN($F$1),FALSE))),VLOOKUP($C41,武器!$1:$998,COLUMN($O$1),FALSE)*VLOOKUP($D41,素材!$1:$1016,COLUMN($E$1),FALSE)/(LEN(VLOOKUP($D41,素材!$1:$1016,COLUMN($F$1),FALSE)) - LEN(SUBSTITUTE(VLOOKUP($D41,素材!$1:$1016,COLUMN($F$1),FALSE), "・", 0)) + 1), 0)</f>
        <v>0</v>
      </c>
      <c r="AH41">
        <f>IF(ISNUMBER(SEARCH(SUBSTITUTE(AH$1,RIGHT(AH$1,2),""),VLOOKUP($D41,素材!$1:$1016,COLUMN($F$1),FALSE))),VLOOKUP($C41,武器!$1:$998,COLUMN($O$1),FALSE)*VLOOKUP($D41,素材!$1:$1016,COLUMN($E$1),FALSE)/(LEN(VLOOKUP($D41,素材!$1:$1016,COLUMN($F$1),FALSE)) - LEN(SUBSTITUTE(VLOOKUP($D41,素材!$1:$1016,COLUMN($F$1),FALSE), "・", 0)) + 1), 0)</f>
        <v>0</v>
      </c>
      <c r="AI41">
        <f>IF(ISNUMBER(SEARCH(SUBSTITUTE(AI$1,RIGHT(AI$1,2),""),VLOOKUP($D41,素材!$1:$1016,COLUMN($F$1),FALSE))),VLOOKUP($C41,武器!$1:$998,COLUMN($O$1),FALSE)*VLOOKUP($D41,素材!$1:$1016,COLUMN($E$1),FALSE)/(LEN(VLOOKUP($D41,素材!$1:$1016,COLUMN($F$1),FALSE)) - LEN(SUBSTITUTE(VLOOKUP($D41,素材!$1:$1016,COLUMN($F$1),FALSE), "・", 0)) + 1), 0)</f>
        <v>0</v>
      </c>
      <c r="AJ41">
        <f>IF(ISNUMBER(SEARCH(SUBSTITUTE(AJ$1,RIGHT(AJ$1,2),""),VLOOKUP($D41,素材!$1:$1016,COLUMN($F$1),FALSE))),VLOOKUP($C41,武器!$1:$998,COLUMN($O$1),FALSE)*VLOOKUP($D41,素材!$1:$1016,COLUMN($E$1),FALSE)/(LEN(VLOOKUP($D41,素材!$1:$1016,COLUMN($F$1),FALSE)) - LEN(SUBSTITUTE(VLOOKUP($D41,素材!$1:$1016,COLUMN($F$1),FALSE), "・", 0)) + 1), 0)</f>
        <v>0</v>
      </c>
      <c r="AK41">
        <f>IF(ISNUMBER(SEARCH(SUBSTITUTE(AK$1,RIGHT(AK$1,2),""),VLOOKUP($D41,素材!$1:$1016,COLUMN($F$1),FALSE))),VLOOKUP($C41,武器!$1:$998,COLUMN($O$1),FALSE)*VLOOKUP($D41,素材!$1:$1016,COLUMN($E$1),FALSE)/(LEN(VLOOKUP($D41,素材!$1:$1016,COLUMN($F$1),FALSE)) - LEN(SUBSTITUTE(VLOOKUP($D41,素材!$1:$1016,COLUMN($F$1),FALSE), "・", 0)) + 1), 0)</f>
        <v>0</v>
      </c>
      <c r="AL41">
        <f>IF(ISNUMBER(SEARCH(SUBSTITUTE(AL$1,RIGHT(AL$1,2),""),VLOOKUP($D41,素材!$1:$1016,COLUMN($F$1),FALSE))),VLOOKUP($C41,武器!$1:$998,COLUMN($O$1),FALSE)*VLOOKUP($D41,素材!$1:$1016,COLUMN($E$1),FALSE)/(LEN(VLOOKUP($D41,素材!$1:$1016,COLUMN($F$1),FALSE)) - LEN(SUBSTITUTE(VLOOKUP($D41,素材!$1:$1016,COLUMN($F$1),FALSE), "・", 0)) + 1), 0)</f>
        <v>0</v>
      </c>
      <c r="AM41">
        <f>IF(ISNUMBER(SEARCH(SUBSTITUTE(AM$1,RIGHT(AM$1,2),""),VLOOKUP($D41,素材!$1:$1016,COLUMN($F$1),FALSE))),VLOOKUP($C41,武器!$1:$998,COLUMN($O$1),FALSE)*VLOOKUP($D41,素材!$1:$1016,COLUMN($E$1),FALSE)/(LEN(VLOOKUP($D41,素材!$1:$1016,COLUMN($F$1),FALSE)) - LEN(SUBSTITUTE(VLOOKUP($D41,素材!$1:$1016,COLUMN($F$1),FALSE), "・", 0)) + 1), 0)</f>
        <v>0</v>
      </c>
      <c r="AN41">
        <f>IF(ISNUMBER(SEARCH(SUBSTITUTE(AN$1,RIGHT(AN$1,2),""),VLOOKUP($D41,素材!$1:$1016,COLUMN($F$1),FALSE))),VLOOKUP($C41,武器!$1:$998,COLUMN($O$1),FALSE)*VLOOKUP($D41,素材!$1:$1016,COLUMN($E$1),FALSE)/(LEN(VLOOKUP($D41,素材!$1:$1016,COLUMN($F$1),FALSE)) - LEN(SUBSTITUTE(VLOOKUP($D41,素材!$1:$1016,COLUMN($F$1),FALSE), "・", 0)) + 1), 0)</f>
        <v>0</v>
      </c>
      <c r="AO41">
        <f>IF(ISNUMBER(SEARCH(SUBSTITUTE(AO$1,RIGHT(AO$1,2),""),VLOOKUP($D41,素材!$1:$1016,COLUMN($F$1),FALSE))),VLOOKUP($C41,武器!$1:$998,COLUMN($O$1),FALSE)*VLOOKUP($D41,素材!$1:$1016,COLUMN($E$1),FALSE)/(LEN(VLOOKUP($D41,素材!$1:$1016,COLUMN($F$1),FALSE)) - LEN(SUBSTITUTE(VLOOKUP($D41,素材!$1:$1016,COLUMN($F$1),FALSE), "・", 0)) + 1), 0)</f>
        <v>0</v>
      </c>
      <c r="AP41">
        <f>IF(ISNUMBER(SEARCH(SUBSTITUTE(AP$1,RIGHT(AP$1,2),""),VLOOKUP($D41,素材!$1:$1016,COLUMN($F$1),FALSE))),VLOOKUP($C41,武器!$1:$998,COLUMN($O$1),FALSE)*VLOOKUP($D41,素材!$1:$1016,COLUMN($E$1),FALSE)/(LEN(VLOOKUP($D41,素材!$1:$1016,COLUMN($F$1),FALSE)) - LEN(SUBSTITUTE(VLOOKUP($D41,素材!$1:$1016,COLUMN($F$1),FALSE), "・", 0)) + 1), 0)</f>
        <v>0</v>
      </c>
      <c r="AQ41">
        <f>IF(ISNUMBER(SEARCH(SUBSTITUTE(AQ$1,RIGHT(AQ$1,2),""),VLOOKUP($D41,素材!$1:$1016,COLUMN($F$1),FALSE))),VLOOKUP($C41,武器!$1:$998,COLUMN($O$1),FALSE)*VLOOKUP($D41,素材!$1:$1016,COLUMN($E$1),FALSE)/(LEN(VLOOKUP($D41,素材!$1:$1016,COLUMN($F$1),FALSE)) - LEN(SUBSTITUTE(VLOOKUP($D41,素材!$1:$1016,COLUMN($F$1),FALSE), "・", 0)) + 1), 0)</f>
        <v>0</v>
      </c>
      <c r="AR41">
        <f>IF(ISNUMBER(SEARCH(SUBSTITUTE(AR$1,RIGHT(AR$1,2),""),VLOOKUP($D41,素材!$1:$1016,COLUMN($F$1),FALSE))),VLOOKUP($C41,武器!$1:$998,COLUMN($O$1),FALSE)*VLOOKUP($D41,素材!$1:$1016,COLUMN($E$1),FALSE)/(LEN(VLOOKUP($D41,素材!$1:$1016,COLUMN($F$1),FALSE)) - LEN(SUBSTITUTE(VLOOKUP($D41,素材!$1:$1016,COLUMN($F$1),FALSE), "・", 0)) + 1), 0)</f>
        <v>0</v>
      </c>
      <c r="AS41">
        <f>IF(ISNUMBER(SEARCH(SUBSTITUTE(AS$1,RIGHT(AS$1,2),""),VLOOKUP($D41,素材!$1:$1016,COLUMN($F$1),FALSE))),VLOOKUP($C41,武器!$1:$998,COLUMN($O$1),FALSE)*VLOOKUP($D41,素材!$1:$1016,COLUMN($E$1),FALSE)/(LEN(VLOOKUP($D41,素材!$1:$1016,COLUMN($F$1),FALSE)) - LEN(SUBSTITUTE(VLOOKUP($D41,素材!$1:$1016,COLUMN($F$1),FALSE), "・", 0)) + 1), 0)</f>
        <v>0</v>
      </c>
      <c r="AT41">
        <f>IF(ISNUMBER(SEARCH(SUBSTITUTE(AT$1,RIGHT(AT$1,2),""),VLOOKUP($D41,素材!$1:$1016,COLUMN($F$1),FALSE))),VLOOKUP($C41,武器!$1:$998,COLUMN($O$1),FALSE)*VLOOKUP($D41,素材!$1:$1016,COLUMN($E$1),FALSE)/(LEN(VLOOKUP($D41,素材!$1:$1016,COLUMN($F$1),FALSE)) - LEN(SUBSTITUTE(VLOOKUP($D41,素材!$1:$1016,COLUMN($F$1),FALSE), "・", 0)) + 1), 0)</f>
        <v>0</v>
      </c>
      <c r="AU41">
        <f>IF(ISNUMBER(SEARCH(SUBSTITUTE(AU$1,RIGHT(AU$1,2),""),VLOOKUP($D41,素材!$1:$1016,COLUMN($F$1),FALSE))),VLOOKUP($C41,武器!$1:$998,COLUMN($O$1),FALSE)*VLOOKUP($D41,素材!$1:$1016,COLUMN($E$1),FALSE)/(LEN(VLOOKUP($D41,素材!$1:$1016,COLUMN($F$1),FALSE)) - LEN(SUBSTITUTE(VLOOKUP($D41,素材!$1:$1016,COLUMN($F$1),FALSE), "・", 0)) + 1), 0)</f>
        <v>0</v>
      </c>
      <c r="AV41">
        <f>IF(ISNUMBER(SEARCH(SUBSTITUTE(AV$1,RIGHT(AV$1,2),""),VLOOKUP($D41,素材!$1:$1016,COLUMN($F$1),FALSE))),VLOOKUP($C41,武器!$1:$998,COLUMN($O$1),FALSE)*VLOOKUP($D41,素材!$1:$1016,COLUMN($E$1),FALSE)/(LEN(VLOOKUP($D41,素材!$1:$1016,COLUMN($F$1),FALSE)) - LEN(SUBSTITUTE(VLOOKUP($D41,素材!$1:$1016,COLUMN($F$1),FALSE), "・", 0)) + 1), 0)</f>
        <v>0</v>
      </c>
      <c r="AW41">
        <f>IF(ISNUMBER(SEARCH(SUBSTITUTE(AW$1,RIGHT(AW$1,2),""),VLOOKUP($D41,素材!$1:$1016,COLUMN($F$1),FALSE))),VLOOKUP($C41,武器!$1:$998,COLUMN($O$1),FALSE)*VLOOKUP($D41,素材!$1:$1016,COLUMN($E$1),FALSE)/(LEN(VLOOKUP($D41,素材!$1:$1016,COLUMN($F$1),FALSE)) - LEN(SUBSTITUTE(VLOOKUP($D41,素材!$1:$1016,COLUMN($F$1),FALSE), "・", 0)) + 1), 0)</f>
        <v>0</v>
      </c>
      <c r="AX41">
        <f>IF(ISNUMBER(SEARCH(SUBSTITUTE(AX$1,RIGHT(AX$1,2),""),VLOOKUP($D41,素材!$1:$1016,COLUMN($F$1),FALSE))),VLOOKUP($C41,武器!$1:$998,COLUMN($O$1),FALSE)*VLOOKUP($D41,素材!$1:$1016,COLUMN($E$1),FALSE)/(LEN(VLOOKUP($D41,素材!$1:$1016,COLUMN($F$1),FALSE)) - LEN(SUBSTITUTE(VLOOKUP($D41,素材!$1:$1016,COLUMN($F$1),FALSE), "・", 0)) + 1), 0)</f>
        <v>0</v>
      </c>
      <c r="AY41">
        <f>IF(ISNUMBER(SEARCH(SUBSTITUTE(AY$1,RIGHT(AY$1,2),""),VLOOKUP($D41,素材!$1:$1016,COLUMN($F$1),FALSE))),VLOOKUP($C41,武器!$1:$998,COLUMN($O$1),FALSE)*VLOOKUP($D41,素材!$1:$1016,COLUMN($E$1),FALSE)/(LEN(VLOOKUP($D41,素材!$1:$1016,COLUMN($F$1),FALSE)) - LEN(SUBSTITUTE(VLOOKUP($D41,素材!$1:$1016,COLUMN($F$1),FALSE), "・", 0)) + 1), 0)</f>
        <v>0</v>
      </c>
      <c r="AZ41">
        <f>IF(ISNUMBER(SEARCH(SUBSTITUTE(AZ$1,RIGHT(AZ$1,2),""),VLOOKUP($D41,素材!$1:$1016,COLUMN($F$1),FALSE))),VLOOKUP($C41,武器!$1:$998,COLUMN($O$1),FALSE)*VLOOKUP($D41,素材!$1:$1016,COLUMN($E$1),FALSE)/(LEN(VLOOKUP($D41,素材!$1:$1016,COLUMN($F$1),FALSE)) - LEN(SUBSTITUTE(VLOOKUP($D41,素材!$1:$1016,COLUMN($F$1),FALSE), "・", 0)) + 1), 0)</f>
        <v>0</v>
      </c>
      <c r="BA41">
        <f>IF(ISNUMBER(SEARCH(SUBSTITUTE(BA$1,RIGHT(BA$1,2),""),VLOOKUP($D41,素材!$1:$1016,COLUMN($F$1),FALSE))),VLOOKUP($C41,武器!$1:$998,COLUMN($O$1),FALSE)*VLOOKUP($D41,素材!$1:$1016,COLUMN($E$1),FALSE)/(LEN(VLOOKUP($D41,素材!$1:$1016,COLUMN($F$1),FALSE)) - LEN(SUBSTITUTE(VLOOKUP($D41,素材!$1:$1016,COLUMN($F$1),FALSE), "・", 0)) + 1), 0)</f>
        <v>0</v>
      </c>
      <c r="BB41">
        <f>IF(ISNUMBER(SEARCH(SUBSTITUTE(BB$1,RIGHT(BB$1,2),""),VLOOKUP($D41,素材!$1:$1016,COLUMN($F$1),FALSE))),VLOOKUP($C41,武器!$1:$998,COLUMN($O$1),FALSE)*VLOOKUP($D41,素材!$1:$1016,COLUMN($E$1),FALSE)/(LEN(VLOOKUP($D41,素材!$1:$1016,COLUMN($F$1),FALSE)) - LEN(SUBSTITUTE(VLOOKUP($D41,素材!$1:$1016,COLUMN($F$1),FALSE), "・", 0)) + 1), 0)</f>
        <v>0</v>
      </c>
      <c r="BC41">
        <f>IF(ISNUMBER(SEARCH(SUBSTITUTE(BC$1,RIGHT(BC$1,2),""),VLOOKUP($D41,素材!$1:$1016,COLUMN($F$1),FALSE))),VLOOKUP($C41,武器!$1:$998,COLUMN($O$1),FALSE)*VLOOKUP($D41,素材!$1:$1016,COLUMN($E$1),FALSE)/(LEN(VLOOKUP($D41,素材!$1:$1016,COLUMN($F$1),FALSE)) - LEN(SUBSTITUTE(VLOOKUP($D41,素材!$1:$1016,COLUMN($F$1),FALSE), "・", 0)) + 1), 0)</f>
        <v>0</v>
      </c>
      <c r="BD41">
        <f>IF(ISNUMBER(SEARCH(SUBSTITUTE(BD$1,RIGHT(BD$1,2),""),VLOOKUP($D41,素材!$1:$1016,COLUMN($F$1),FALSE))),VLOOKUP($C41,武器!$1:$998,COLUMN($O$1),FALSE)*VLOOKUP($D41,素材!$1:$1016,COLUMN($E$1),FALSE)/(LEN(VLOOKUP($D41,素材!$1:$1016,COLUMN($F$1),FALSE)) - LEN(SUBSTITUTE(VLOOKUP($D41,素材!$1:$1016,COLUMN($F$1),FALSE), "・", 0)) + 1), 0)</f>
        <v>0</v>
      </c>
      <c r="BE41">
        <f>IF(ISNUMBER(SEARCH(SUBSTITUTE(BE$1,RIGHT(BE$1,2),""),VLOOKUP($D41,素材!$1:$1016,COLUMN($F$1),FALSE))),VLOOKUP($C41,武器!$1:$998,COLUMN($O$1),FALSE)*VLOOKUP($D41,素材!$1:$1016,COLUMN($E$1),FALSE)/(LEN(VLOOKUP($D41,素材!$1:$1016,COLUMN($F$1),FALSE)) - LEN(SUBSTITUTE(VLOOKUP($D41,素材!$1:$1016,COLUMN($F$1),FALSE), "・", 0)) + 1), 0)</f>
        <v>0</v>
      </c>
      <c r="CL41">
        <f>SUM(G41:I41)</f>
        <v>17</v>
      </c>
      <c r="CM41" s="22" t="str">
        <f>IF(E41="武器",IF(J41-1&gt;SUM(G41:I41),"盾",IF(MAX(G41:I41)=G41,"切断",IF(MAX(G41:I41)=H41,"貫通",IF(MAX(G41:I41)=I41,"打撃","射撃")))),E41)&amp;".webp"</f>
        <v>切断.webp</v>
      </c>
      <c r="CN41">
        <f>IFERROR(VLOOKUP($C41,武器!$1:$998,COLUMN(V$1),FALSE)*VLOOKUP($D41,素材!$1:$1016,COLUMN(N$1),FALSE)+IF(CI41="",0,VLOOKUP($CI41,装強!$1:$1008,COLUMN($CK$1),FALSE)),"")</f>
        <v>200</v>
      </c>
      <c r="CO41" t="str">
        <f>VLOOKUP(D41,素材!$A:$O,COLUMN(素材!O$1),FALSE)</f>
        <v>一般的な木材。金属より軽いが少し脆い</v>
      </c>
      <c r="CP41" t="str">
        <f>VLOOKUP(C41,武器!$A:$W,COLUMN(武器!W$1),FALSE)</f>
        <v>刀。切断力に優れた武器で、Cr威力が高い</v>
      </c>
      <c r="CR41" t="str">
        <f t="shared" si="1"/>
        <v>e_41</v>
      </c>
      <c r="CS41">
        <f t="shared" si="2"/>
        <v>20000</v>
      </c>
    </row>
    <row r="42" spans="1:97" outlineLevel="1" x14ac:dyDescent="0.4">
      <c r="A42" t="str">
        <f t="shared" si="3"/>
        <v>木の剣</v>
      </c>
      <c r="B42" t="str">
        <f>IFERROR(VLOOKUP($D42,素材!$1:$1016,COLUMN($B$1),FALSE)&amp;"・"&amp;VLOOKUP($C42,武器!$1:$998,COLUMN(B$1),FALSE),"")</f>
        <v>ウッド・ソード</v>
      </c>
      <c r="C42" s="24" t="s">
        <v>240</v>
      </c>
      <c r="D42" s="24" t="s">
        <v>255</v>
      </c>
      <c r="E42" t="str">
        <f>IFERROR(VLOOKUP(C42,武器!$1:$998,COLUMN(C$1),FALSE),"")</f>
        <v>武器</v>
      </c>
      <c r="F42">
        <f>IFERROR(ROUNDDOWN((VLOOKUP($C42,武器!$1:$998,COLUMN(D$1),FALSE)+IFERROR(VLOOKUP($CI42,装強!$1:$999,COLUMN(F$1),FALSE),0))*VLOOKUP($D42,素材!$1:$1016,COLUMN(D$1),FALSE),0),"")</f>
        <v>75</v>
      </c>
      <c r="G42">
        <f>IFERROR(ROUNDDOWN((VLOOKUP($C42,武器!$1:$998,COLUMN(E$1),FALSE)+IFERROR(VLOOKUP($CI42,装強!$1:$999,COLUMN(G$1),FALSE),0))*VLOOKUP($D42,素材!$1:$1016,COLUMN($E$1),FALSE),0),"")</f>
        <v>9</v>
      </c>
      <c r="H42">
        <f>IFERROR(ROUNDDOWN((VLOOKUP($C42,武器!$1:$998,COLUMN(F$1),FALSE)+IFERROR(VLOOKUP($CI42,装強!$1:$999,COLUMN(H$1),FALSE),0))*VLOOKUP($D42,素材!$1:$1016,COLUMN($E$1),FALSE),0),"")</f>
        <v>6</v>
      </c>
      <c r="I42">
        <f>IFERROR(ROUNDDOWN((VLOOKUP($C42,武器!$1:$998,COLUMN(G$1),FALSE)+IFERROR(VLOOKUP($CI42,装強!$1:$999,COLUMN(I$1),FALSE),0))*VLOOKUP($D42,素材!$1:$1016,COLUMN($E$1),FALSE),0),"")</f>
        <v>2</v>
      </c>
      <c r="J42">
        <f>IFERROR(ROUNDDOWN((VLOOKUP($C42,武器!$1:$998,COLUMN(H$1),FALSE)+IFERROR(VLOOKUP($CI42,装強!$1:$999,COLUMN(J$1),FALSE),0))*VLOOKUP($D42,素材!$1:$1016,COLUMN($E$1),FALSE),0),"")</f>
        <v>14</v>
      </c>
      <c r="K42">
        <f>IFERROR(ROUNDDOWN((VLOOKUP($C42,武器!$1:$998,COLUMN(I$1),FALSE)+IFERROR(VLOOKUP($CI42,装強!$1:$999,COLUMN(K$1),FALSE),0))*VLOOKUP($D42,素材!$1:$1016,COLUMN($E$1),FALSE),0),"")</f>
        <v>0</v>
      </c>
      <c r="L42">
        <f>IFERROR(VLOOKUP($D42,素材!$1:$1016,COLUMN($F$1),FALSE),"")</f>
        <v>0</v>
      </c>
      <c r="M42">
        <f>IFERROR(VLOOKUP($C42,武器!$1:$998,COLUMN(AA$1),FALSE)*VLOOKUP($D42,素材!$1:$1016,COLUMN($G$1),FALSE),"")</f>
        <v>0</v>
      </c>
      <c r="N42">
        <f>IFERROR(VLOOKUP($C42,武器!$1:$998,COLUMN(I$1),FALSE),"")</f>
        <v>0</v>
      </c>
      <c r="O42" s="23">
        <f>IFERROR((VLOOKUP($C42,武器!$1:$998,COLUMN(K$1),FALSE)+VLOOKUP($D42,素材!$1:$1016,COLUMN(H$1),FALSE))*100+IFERROR(VLOOKUP($CI42,装強!$1:$999,COLUMN(O$1),FALSE),0),"")</f>
        <v>10</v>
      </c>
      <c r="P42" s="23">
        <f>IFERROR((VLOOKUP($C42,武器!$1:$998,COLUMN(L$1),FALSE)+VLOOKUP($D42,素材!$1:$1016,COLUMN(I$1),FALSE))*100+IFERROR(VLOOKUP($CI42,装強!$1:$999,COLUMN(P$1),FALSE),0),"")</f>
        <v>150</v>
      </c>
      <c r="Q42">
        <f>IFERROR(ROUNDUP(VLOOKUP($C42,武器!$1:$998,COLUMN(M$1),FALSE)*(VLOOKUP($D42,素材!$1:$1002,COLUMN(D$1),FALSE)/100),1),"")</f>
        <v>0</v>
      </c>
      <c r="R42">
        <f>IFERROR(ROUNDUP(VLOOKUP($C42,武器!$1:$998,COLUMN(N$1),FALSE)*(VLOOKUP($D42,素材!$1:$1002,COLUMN(D$1),FALSE)/100),1),"")</f>
        <v>0</v>
      </c>
      <c r="S42">
        <f>IFERROR(VLOOKUP($C42,武器!$1:$998,COLUMN(P$1),FALSE),"")</f>
        <v>0</v>
      </c>
      <c r="T42">
        <f>IFERROR(VLOOKUP($C42,武器!$1:$998,COLUMN(Q$1),FALSE),"")</f>
        <v>0</v>
      </c>
      <c r="U42">
        <f>IFERROR(VLOOKUP($C42,武器!$1:$998,COLUMN(R$1),FALSE),"")</f>
        <v>0</v>
      </c>
      <c r="V42">
        <f>IFERROR(VLOOKUP($C42,武器!$1:$998,COLUMN(Q$1),FALSE),"")</f>
        <v>0</v>
      </c>
      <c r="W42" t="str">
        <f>IFERROR(VLOOKUP($C42,武器!$1:$998,COLUMN(T$1),FALSE),"")</f>
        <v>A</v>
      </c>
      <c r="Y42" t="str">
        <f>IFERROR(VLOOKUP($C42,武器!$1:$998,COLUMN(U$1),FALSE),"")</f>
        <v>片手適正Ⅰ</v>
      </c>
      <c r="Z42">
        <f>IFERROR(ROUNDUP(VLOOKUP($C42,武器!$1:$998,COLUMN(O$1),FALSE)*VLOOKUP($D42,素材!$1:$1016,COLUMN(E$1),FALSE),1),"")</f>
        <v>0</v>
      </c>
      <c r="AA42">
        <f>IF(ISNUMBER(SEARCH(SUBSTITUTE(AA$1,RIGHT(AA$1,2),""),VLOOKUP($D42,素材!$1:$1016,COLUMN($F$1),FALSE))),VLOOKUP($C42,武器!$1:$998,COLUMN($O$1),FALSE)*VLOOKUP($D42,素材!$1:$1016,COLUMN($E$1),FALSE)/(LEN(VLOOKUP($D42,素材!$1:$1016,COLUMN($F$1),FALSE)) - LEN(SUBSTITUTE(VLOOKUP($D42,素材!$1:$1016,COLUMN($F$1),FALSE), "・", 0)) + 1), 0)</f>
        <v>0</v>
      </c>
      <c r="AB42">
        <f>IF(ISNUMBER(SEARCH(SUBSTITUTE(AB$1,RIGHT(AB$1,2),""),VLOOKUP($D42,素材!$1:$1016,COLUMN($F$1),FALSE))),VLOOKUP($C42,武器!$1:$998,COLUMN($O$1),FALSE)*VLOOKUP($D42,素材!$1:$1016,COLUMN($E$1),FALSE)/(LEN(VLOOKUP($D42,素材!$1:$1016,COLUMN($F$1),FALSE)) - LEN(SUBSTITUTE(VLOOKUP($D42,素材!$1:$1016,COLUMN($F$1),FALSE), "・", 0)) + 1), 0)</f>
        <v>0</v>
      </c>
      <c r="AC42">
        <f>IF(ISNUMBER(SEARCH(SUBSTITUTE(AC$1,RIGHT(AC$1,2),""),VLOOKUP($D42,素材!$1:$1016,COLUMN($F$1),FALSE))),VLOOKUP($C42,武器!$1:$998,COLUMN($O$1),FALSE)*VLOOKUP($D42,素材!$1:$1016,COLUMN($E$1),FALSE)/(LEN(VLOOKUP($D42,素材!$1:$1016,COLUMN($F$1),FALSE)) - LEN(SUBSTITUTE(VLOOKUP($D42,素材!$1:$1016,COLUMN($F$1),FALSE), "・", 0)) + 1), 0)</f>
        <v>0</v>
      </c>
      <c r="AD42">
        <f>IF(ISNUMBER(SEARCH(SUBSTITUTE(AD$1,RIGHT(AD$1,2),""),VLOOKUP($D42,素材!$1:$1016,COLUMN($F$1),FALSE))),VLOOKUP($C42,武器!$1:$998,COLUMN($O$1),FALSE)*VLOOKUP($D42,素材!$1:$1016,COLUMN($E$1),FALSE)/(LEN(VLOOKUP($D42,素材!$1:$1016,COLUMN($F$1),FALSE)) - LEN(SUBSTITUTE(VLOOKUP($D42,素材!$1:$1016,COLUMN($F$1),FALSE), "・", 0)) + 1), 0)</f>
        <v>0</v>
      </c>
      <c r="AE42">
        <f>IF(ISNUMBER(SEARCH(SUBSTITUTE(AE$1,RIGHT(AE$1,2),""),VLOOKUP($D42,素材!$1:$1016,COLUMN($F$1),FALSE))),VLOOKUP($C42,武器!$1:$998,COLUMN($O$1),FALSE)*VLOOKUP($D42,素材!$1:$1016,COLUMN($E$1),FALSE)/(LEN(VLOOKUP($D42,素材!$1:$1016,COLUMN($F$1),FALSE)) - LEN(SUBSTITUTE(VLOOKUP($D42,素材!$1:$1016,COLUMN($F$1),FALSE), "・", 0)) + 1), 0)</f>
        <v>0</v>
      </c>
      <c r="AF42">
        <f>IF(ISNUMBER(SEARCH(SUBSTITUTE(AF$1,RIGHT(AF$1,2),""),VLOOKUP($D42,素材!$1:$1016,COLUMN($F$1),FALSE))),VLOOKUP($C42,武器!$1:$998,COLUMN($O$1),FALSE)*VLOOKUP($D42,素材!$1:$1016,COLUMN($E$1),FALSE)/(LEN(VLOOKUP($D42,素材!$1:$1016,COLUMN($F$1),FALSE)) - LEN(SUBSTITUTE(VLOOKUP($D42,素材!$1:$1016,COLUMN($F$1),FALSE), "・", 0)) + 1), 0)</f>
        <v>0</v>
      </c>
      <c r="AG42">
        <f>IF(ISNUMBER(SEARCH(SUBSTITUTE(AG$1,RIGHT(AG$1,2),""),VLOOKUP($D42,素材!$1:$1016,COLUMN($F$1),FALSE))),VLOOKUP($C42,武器!$1:$998,COLUMN($O$1),FALSE)*VLOOKUP($D42,素材!$1:$1016,COLUMN($E$1),FALSE)/(LEN(VLOOKUP($D42,素材!$1:$1016,COLUMN($F$1),FALSE)) - LEN(SUBSTITUTE(VLOOKUP($D42,素材!$1:$1016,COLUMN($F$1),FALSE), "・", 0)) + 1), 0)</f>
        <v>0</v>
      </c>
      <c r="AH42">
        <f>IF(ISNUMBER(SEARCH(SUBSTITUTE(AH$1,RIGHT(AH$1,2),""),VLOOKUP($D42,素材!$1:$1016,COLUMN($F$1),FALSE))),VLOOKUP($C42,武器!$1:$998,COLUMN($O$1),FALSE)*VLOOKUP($D42,素材!$1:$1016,COLUMN($E$1),FALSE)/(LEN(VLOOKUP($D42,素材!$1:$1016,COLUMN($F$1),FALSE)) - LEN(SUBSTITUTE(VLOOKUP($D42,素材!$1:$1016,COLUMN($F$1),FALSE), "・", 0)) + 1), 0)</f>
        <v>0</v>
      </c>
      <c r="AI42">
        <f>IF(ISNUMBER(SEARCH(SUBSTITUTE(AI$1,RIGHT(AI$1,2),""),VLOOKUP($D42,素材!$1:$1016,COLUMN($F$1),FALSE))),VLOOKUP($C42,武器!$1:$998,COLUMN($O$1),FALSE)*VLOOKUP($D42,素材!$1:$1016,COLUMN($E$1),FALSE)/(LEN(VLOOKUP($D42,素材!$1:$1016,COLUMN($F$1),FALSE)) - LEN(SUBSTITUTE(VLOOKUP($D42,素材!$1:$1016,COLUMN($F$1),FALSE), "・", 0)) + 1), 0)</f>
        <v>0</v>
      </c>
      <c r="AJ42">
        <f>IF(ISNUMBER(SEARCH(SUBSTITUTE(AJ$1,RIGHT(AJ$1,2),""),VLOOKUP($D42,素材!$1:$1016,COLUMN($F$1),FALSE))),VLOOKUP($C42,武器!$1:$998,COLUMN($O$1),FALSE)*VLOOKUP($D42,素材!$1:$1016,COLUMN($E$1),FALSE)/(LEN(VLOOKUP($D42,素材!$1:$1016,COLUMN($F$1),FALSE)) - LEN(SUBSTITUTE(VLOOKUP($D42,素材!$1:$1016,COLUMN($F$1),FALSE), "・", 0)) + 1), 0)</f>
        <v>0</v>
      </c>
      <c r="AK42">
        <f>IF(ISNUMBER(SEARCH(SUBSTITUTE(AK$1,RIGHT(AK$1,2),""),VLOOKUP($D42,素材!$1:$1016,COLUMN($F$1),FALSE))),VLOOKUP($C42,武器!$1:$998,COLUMN($O$1),FALSE)*VLOOKUP($D42,素材!$1:$1016,COLUMN($E$1),FALSE)/(LEN(VLOOKUP($D42,素材!$1:$1016,COLUMN($F$1),FALSE)) - LEN(SUBSTITUTE(VLOOKUP($D42,素材!$1:$1016,COLUMN($F$1),FALSE), "・", 0)) + 1), 0)</f>
        <v>0</v>
      </c>
      <c r="AL42">
        <f>IF(ISNUMBER(SEARCH(SUBSTITUTE(AL$1,RIGHT(AL$1,2),""),VLOOKUP($D42,素材!$1:$1016,COLUMN($F$1),FALSE))),VLOOKUP($C42,武器!$1:$998,COLUMN($O$1),FALSE)*VLOOKUP($D42,素材!$1:$1016,COLUMN($E$1),FALSE)/(LEN(VLOOKUP($D42,素材!$1:$1016,COLUMN($F$1),FALSE)) - LEN(SUBSTITUTE(VLOOKUP($D42,素材!$1:$1016,COLUMN($F$1),FALSE), "・", 0)) + 1), 0)</f>
        <v>0</v>
      </c>
      <c r="AM42">
        <f>IF(ISNUMBER(SEARCH(SUBSTITUTE(AM$1,RIGHT(AM$1,2),""),VLOOKUP($D42,素材!$1:$1016,COLUMN($F$1),FALSE))),VLOOKUP($C42,武器!$1:$998,COLUMN($O$1),FALSE)*VLOOKUP($D42,素材!$1:$1016,COLUMN($E$1),FALSE)/(LEN(VLOOKUP($D42,素材!$1:$1016,COLUMN($F$1),FALSE)) - LEN(SUBSTITUTE(VLOOKUP($D42,素材!$1:$1016,COLUMN($F$1),FALSE), "・", 0)) + 1), 0)</f>
        <v>0</v>
      </c>
      <c r="AN42">
        <f>IF(ISNUMBER(SEARCH(SUBSTITUTE(AN$1,RIGHT(AN$1,2),""),VLOOKUP($D42,素材!$1:$1016,COLUMN($F$1),FALSE))),VLOOKUP($C42,武器!$1:$998,COLUMN($O$1),FALSE)*VLOOKUP($D42,素材!$1:$1016,COLUMN($E$1),FALSE)/(LEN(VLOOKUP($D42,素材!$1:$1016,COLUMN($F$1),FALSE)) - LEN(SUBSTITUTE(VLOOKUP($D42,素材!$1:$1016,COLUMN($F$1),FALSE), "・", 0)) + 1), 0)</f>
        <v>0</v>
      </c>
      <c r="AO42">
        <f>IF(ISNUMBER(SEARCH(SUBSTITUTE(AO$1,RIGHT(AO$1,2),""),VLOOKUP($D42,素材!$1:$1016,COLUMN($F$1),FALSE))),VLOOKUP($C42,武器!$1:$998,COLUMN($O$1),FALSE)*VLOOKUP($D42,素材!$1:$1016,COLUMN($E$1),FALSE)/(LEN(VLOOKUP($D42,素材!$1:$1016,COLUMN($F$1),FALSE)) - LEN(SUBSTITUTE(VLOOKUP($D42,素材!$1:$1016,COLUMN($F$1),FALSE), "・", 0)) + 1), 0)</f>
        <v>0</v>
      </c>
      <c r="AP42">
        <f>IF(ISNUMBER(SEARCH(SUBSTITUTE(AP$1,RIGHT(AP$1,2),""),VLOOKUP($D42,素材!$1:$1016,COLUMN($F$1),FALSE))),VLOOKUP($C42,武器!$1:$998,COLUMN($O$1),FALSE)*VLOOKUP($D42,素材!$1:$1016,COLUMN($E$1),FALSE)/(LEN(VLOOKUP($D42,素材!$1:$1016,COLUMN($F$1),FALSE)) - LEN(SUBSTITUTE(VLOOKUP($D42,素材!$1:$1016,COLUMN($F$1),FALSE), "・", 0)) + 1), 0)</f>
        <v>0</v>
      </c>
      <c r="AQ42">
        <f>IF(ISNUMBER(SEARCH(SUBSTITUTE(AQ$1,RIGHT(AQ$1,2),""),VLOOKUP($D42,素材!$1:$1016,COLUMN($F$1),FALSE))),VLOOKUP($C42,武器!$1:$998,COLUMN($O$1),FALSE)*VLOOKUP($D42,素材!$1:$1016,COLUMN($E$1),FALSE)/(LEN(VLOOKUP($D42,素材!$1:$1016,COLUMN($F$1),FALSE)) - LEN(SUBSTITUTE(VLOOKUP($D42,素材!$1:$1016,COLUMN($F$1),FALSE), "・", 0)) + 1), 0)</f>
        <v>0</v>
      </c>
      <c r="AR42">
        <f>IF(ISNUMBER(SEARCH(SUBSTITUTE(AR$1,RIGHT(AR$1,2),""),VLOOKUP($D42,素材!$1:$1016,COLUMN($F$1),FALSE))),VLOOKUP($C42,武器!$1:$998,COLUMN($O$1),FALSE)*VLOOKUP($D42,素材!$1:$1016,COLUMN($E$1),FALSE)/(LEN(VLOOKUP($D42,素材!$1:$1016,COLUMN($F$1),FALSE)) - LEN(SUBSTITUTE(VLOOKUP($D42,素材!$1:$1016,COLUMN($F$1),FALSE), "・", 0)) + 1), 0)</f>
        <v>0</v>
      </c>
      <c r="AS42">
        <f>IF(ISNUMBER(SEARCH(SUBSTITUTE(AS$1,RIGHT(AS$1,2),""),VLOOKUP($D42,素材!$1:$1016,COLUMN($F$1),FALSE))),VLOOKUP($C42,武器!$1:$998,COLUMN($O$1),FALSE)*VLOOKUP($D42,素材!$1:$1016,COLUMN($E$1),FALSE)/(LEN(VLOOKUP($D42,素材!$1:$1016,COLUMN($F$1),FALSE)) - LEN(SUBSTITUTE(VLOOKUP($D42,素材!$1:$1016,COLUMN($F$1),FALSE), "・", 0)) + 1), 0)</f>
        <v>0</v>
      </c>
      <c r="AT42">
        <f>IF(ISNUMBER(SEARCH(SUBSTITUTE(AT$1,RIGHT(AT$1,2),""),VLOOKUP($D42,素材!$1:$1016,COLUMN($F$1),FALSE))),VLOOKUP($C42,武器!$1:$998,COLUMN($O$1),FALSE)*VLOOKUP($D42,素材!$1:$1016,COLUMN($E$1),FALSE)/(LEN(VLOOKUP($D42,素材!$1:$1016,COLUMN($F$1),FALSE)) - LEN(SUBSTITUTE(VLOOKUP($D42,素材!$1:$1016,COLUMN($F$1),FALSE), "・", 0)) + 1), 0)</f>
        <v>0</v>
      </c>
      <c r="AU42">
        <f>IF(ISNUMBER(SEARCH(SUBSTITUTE(AU$1,RIGHT(AU$1,2),""),VLOOKUP($D42,素材!$1:$1016,COLUMN($F$1),FALSE))),VLOOKUP($C42,武器!$1:$998,COLUMN($O$1),FALSE)*VLOOKUP($D42,素材!$1:$1016,COLUMN($E$1),FALSE)/(LEN(VLOOKUP($D42,素材!$1:$1016,COLUMN($F$1),FALSE)) - LEN(SUBSTITUTE(VLOOKUP($D42,素材!$1:$1016,COLUMN($F$1),FALSE), "・", 0)) + 1), 0)</f>
        <v>0</v>
      </c>
      <c r="AV42">
        <f>IF(ISNUMBER(SEARCH(SUBSTITUTE(AV$1,RIGHT(AV$1,2),""),VLOOKUP($D42,素材!$1:$1016,COLUMN($F$1),FALSE))),VLOOKUP($C42,武器!$1:$998,COLUMN($O$1),FALSE)*VLOOKUP($D42,素材!$1:$1016,COLUMN($E$1),FALSE)/(LEN(VLOOKUP($D42,素材!$1:$1016,COLUMN($F$1),FALSE)) - LEN(SUBSTITUTE(VLOOKUP($D42,素材!$1:$1016,COLUMN($F$1),FALSE), "・", 0)) + 1), 0)</f>
        <v>0</v>
      </c>
      <c r="AW42">
        <f>IF(ISNUMBER(SEARCH(SUBSTITUTE(AW$1,RIGHT(AW$1,2),""),VLOOKUP($D42,素材!$1:$1016,COLUMN($F$1),FALSE))),VLOOKUP($C42,武器!$1:$998,COLUMN($O$1),FALSE)*VLOOKUP($D42,素材!$1:$1016,COLUMN($E$1),FALSE)/(LEN(VLOOKUP($D42,素材!$1:$1016,COLUMN($F$1),FALSE)) - LEN(SUBSTITUTE(VLOOKUP($D42,素材!$1:$1016,COLUMN($F$1),FALSE), "・", 0)) + 1), 0)</f>
        <v>0</v>
      </c>
      <c r="AX42">
        <f>IF(ISNUMBER(SEARCH(SUBSTITUTE(AX$1,RIGHT(AX$1,2),""),VLOOKUP($D42,素材!$1:$1016,COLUMN($F$1),FALSE))),VLOOKUP($C42,武器!$1:$998,COLUMN($O$1),FALSE)*VLOOKUP($D42,素材!$1:$1016,COLUMN($E$1),FALSE)/(LEN(VLOOKUP($D42,素材!$1:$1016,COLUMN($F$1),FALSE)) - LEN(SUBSTITUTE(VLOOKUP($D42,素材!$1:$1016,COLUMN($F$1),FALSE), "・", 0)) + 1), 0)</f>
        <v>0</v>
      </c>
      <c r="AY42">
        <f>IF(ISNUMBER(SEARCH(SUBSTITUTE(AY$1,RIGHT(AY$1,2),""),VLOOKUP($D42,素材!$1:$1016,COLUMN($F$1),FALSE))),VLOOKUP($C42,武器!$1:$998,COLUMN($O$1),FALSE)*VLOOKUP($D42,素材!$1:$1016,COLUMN($E$1),FALSE)/(LEN(VLOOKUP($D42,素材!$1:$1016,COLUMN($F$1),FALSE)) - LEN(SUBSTITUTE(VLOOKUP($D42,素材!$1:$1016,COLUMN($F$1),FALSE), "・", 0)) + 1), 0)</f>
        <v>0</v>
      </c>
      <c r="AZ42">
        <f>IF(ISNUMBER(SEARCH(SUBSTITUTE(AZ$1,RIGHT(AZ$1,2),""),VLOOKUP($D42,素材!$1:$1016,COLUMN($F$1),FALSE))),VLOOKUP($C42,武器!$1:$998,COLUMN($O$1),FALSE)*VLOOKUP($D42,素材!$1:$1016,COLUMN($E$1),FALSE)/(LEN(VLOOKUP($D42,素材!$1:$1016,COLUMN($F$1),FALSE)) - LEN(SUBSTITUTE(VLOOKUP($D42,素材!$1:$1016,COLUMN($F$1),FALSE), "・", 0)) + 1), 0)</f>
        <v>0</v>
      </c>
      <c r="BA42">
        <f>IF(ISNUMBER(SEARCH(SUBSTITUTE(BA$1,RIGHT(BA$1,2),""),VLOOKUP($D42,素材!$1:$1016,COLUMN($F$1),FALSE))),VLOOKUP($C42,武器!$1:$998,COLUMN($O$1),FALSE)*VLOOKUP($D42,素材!$1:$1016,COLUMN($E$1),FALSE)/(LEN(VLOOKUP($D42,素材!$1:$1016,COLUMN($F$1),FALSE)) - LEN(SUBSTITUTE(VLOOKUP($D42,素材!$1:$1016,COLUMN($F$1),FALSE), "・", 0)) + 1), 0)</f>
        <v>0</v>
      </c>
      <c r="BB42">
        <f>IF(ISNUMBER(SEARCH(SUBSTITUTE(BB$1,RIGHT(BB$1,2),""),VLOOKUP($D42,素材!$1:$1016,COLUMN($F$1),FALSE))),VLOOKUP($C42,武器!$1:$998,COLUMN($O$1),FALSE)*VLOOKUP($D42,素材!$1:$1016,COLUMN($E$1),FALSE)/(LEN(VLOOKUP($D42,素材!$1:$1016,COLUMN($F$1),FALSE)) - LEN(SUBSTITUTE(VLOOKUP($D42,素材!$1:$1016,COLUMN($F$1),FALSE), "・", 0)) + 1), 0)</f>
        <v>0</v>
      </c>
      <c r="BC42">
        <f>IF(ISNUMBER(SEARCH(SUBSTITUTE(BC$1,RIGHT(BC$1,2),""),VLOOKUP($D42,素材!$1:$1016,COLUMN($F$1),FALSE))),VLOOKUP($C42,武器!$1:$998,COLUMN($O$1),FALSE)*VLOOKUP($D42,素材!$1:$1016,COLUMN($E$1),FALSE)/(LEN(VLOOKUP($D42,素材!$1:$1016,COLUMN($F$1),FALSE)) - LEN(SUBSTITUTE(VLOOKUP($D42,素材!$1:$1016,COLUMN($F$1),FALSE), "・", 0)) + 1), 0)</f>
        <v>0</v>
      </c>
      <c r="BD42">
        <f>IF(ISNUMBER(SEARCH(SUBSTITUTE(BD$1,RIGHT(BD$1,2),""),VLOOKUP($D42,素材!$1:$1016,COLUMN($F$1),FALSE))),VLOOKUP($C42,武器!$1:$998,COLUMN($O$1),FALSE)*VLOOKUP($D42,素材!$1:$1016,COLUMN($E$1),FALSE)/(LEN(VLOOKUP($D42,素材!$1:$1016,COLUMN($F$1),FALSE)) - LEN(SUBSTITUTE(VLOOKUP($D42,素材!$1:$1016,COLUMN($F$1),FALSE), "・", 0)) + 1), 0)</f>
        <v>0</v>
      </c>
      <c r="BE42">
        <f>IF(ISNUMBER(SEARCH(SUBSTITUTE(BE$1,RIGHT(BE$1,2),""),VLOOKUP($D42,素材!$1:$1016,COLUMN($F$1),FALSE))),VLOOKUP($C42,武器!$1:$998,COLUMN($O$1),FALSE)*VLOOKUP($D42,素材!$1:$1016,COLUMN($E$1),FALSE)/(LEN(VLOOKUP($D42,素材!$1:$1016,COLUMN($F$1),FALSE)) - LEN(SUBSTITUTE(VLOOKUP($D42,素材!$1:$1016,COLUMN($F$1),FALSE), "・", 0)) + 1), 0)</f>
        <v>0</v>
      </c>
      <c r="CL42">
        <f>SUM(G42:I42)</f>
        <v>17</v>
      </c>
      <c r="CM42" s="22" t="str">
        <f>IF(E42="武器",IF(J42-1&gt;SUM(G42:I42),"盾",IF(MAX(G42:I42)=G42,"切断",IF(MAX(G42:I42)=H42,"貫通",IF(MAX(G42:I42)=I42,"打撃","射撃")))),E42)&amp;".webp"</f>
        <v>切断.webp</v>
      </c>
      <c r="CN42">
        <f>IFERROR(VLOOKUP($C42,武器!$1:$998,COLUMN(V$1),FALSE)*VLOOKUP($D42,素材!$1:$1016,COLUMN(N$1),FALSE)+IF(CI42="",0,VLOOKUP($CI42,装強!$1:$1008,COLUMN($CK$1),FALSE)),"")</f>
        <v>150</v>
      </c>
      <c r="CO42" t="str">
        <f>VLOOKUP(D42,素材!$A:$O,COLUMN(素材!O$1),FALSE)</f>
        <v>一般的な木材。金属より軽いが少し脆い</v>
      </c>
      <c r="CP42" t="str">
        <f>VLOOKUP(C42,武器!$A:$W,COLUMN(武器!W$1),FALSE)</f>
        <v>剣。短い剣で片手で扱いやすく、初心者向けの武器。</v>
      </c>
      <c r="CR42" t="str">
        <f t="shared" si="1"/>
        <v>e_42</v>
      </c>
      <c r="CS42">
        <f t="shared" si="2"/>
        <v>15000</v>
      </c>
    </row>
    <row r="43" spans="1:97" outlineLevel="1" x14ac:dyDescent="0.4">
      <c r="A43" t="str">
        <f t="shared" si="3"/>
        <v>木の広剣</v>
      </c>
      <c r="B43" t="str">
        <f>IFERROR(VLOOKUP($D43,素材!$1:$1016,COLUMN($B$1),FALSE)&amp;"・"&amp;VLOOKUP($C43,武器!$1:$998,COLUMN(B$1),FALSE),"")</f>
        <v>ウッド・ブロードソード</v>
      </c>
      <c r="C43" s="24" t="s">
        <v>239</v>
      </c>
      <c r="D43" s="24" t="s">
        <v>255</v>
      </c>
      <c r="E43" t="str">
        <f>IFERROR(VLOOKUP(C43,武器!$1:$998,COLUMN(C$1),FALSE),"")</f>
        <v>武器</v>
      </c>
      <c r="F43">
        <f>IFERROR(ROUNDDOWN((VLOOKUP($C43,武器!$1:$998,COLUMN(D$1),FALSE)+IFERROR(VLOOKUP($CI43,装強!$1:$999,COLUMN(F$1),FALSE),0))*VLOOKUP($D43,素材!$1:$1016,COLUMN(D$1),FALSE),0),"")</f>
        <v>82</v>
      </c>
      <c r="G43">
        <f>IFERROR(ROUNDDOWN((VLOOKUP($C43,武器!$1:$998,COLUMN(E$1),FALSE)+IFERROR(VLOOKUP($CI43,装強!$1:$999,COLUMN(G$1),FALSE),0))*VLOOKUP($D43,素材!$1:$1016,COLUMN($E$1),FALSE),0),"")</f>
        <v>9</v>
      </c>
      <c r="H43">
        <f>IFERROR(ROUNDDOWN((VLOOKUP($C43,武器!$1:$998,COLUMN(F$1),FALSE)+IFERROR(VLOOKUP($CI43,装強!$1:$999,COLUMN(H$1),FALSE),0))*VLOOKUP($D43,素材!$1:$1016,COLUMN($E$1),FALSE),0),"")</f>
        <v>6</v>
      </c>
      <c r="I43">
        <f>IFERROR(ROUNDDOWN((VLOOKUP($C43,武器!$1:$998,COLUMN(G$1),FALSE)+IFERROR(VLOOKUP($CI43,装強!$1:$999,COLUMN(I$1),FALSE),0))*VLOOKUP($D43,素材!$1:$1016,COLUMN($E$1),FALSE),0),"")</f>
        <v>2</v>
      </c>
      <c r="J43">
        <f>IFERROR(ROUNDDOWN((VLOOKUP($C43,武器!$1:$998,COLUMN(H$1),FALSE)+IFERROR(VLOOKUP($CI43,装強!$1:$999,COLUMN(J$1),FALSE),0))*VLOOKUP($D43,素材!$1:$1016,COLUMN($E$1),FALSE),0),"")</f>
        <v>17</v>
      </c>
      <c r="K43">
        <f>IFERROR(ROUNDDOWN((VLOOKUP($C43,武器!$1:$998,COLUMN(I$1),FALSE)+IFERROR(VLOOKUP($CI43,装強!$1:$999,COLUMN(K$1),FALSE),0))*VLOOKUP($D43,素材!$1:$1016,COLUMN($E$1),FALSE),0),"")</f>
        <v>0</v>
      </c>
      <c r="L43">
        <f>IFERROR(VLOOKUP($D43,素材!$1:$1016,COLUMN($F$1),FALSE),"")</f>
        <v>0</v>
      </c>
      <c r="M43">
        <f>IFERROR(VLOOKUP($C43,武器!$1:$998,COLUMN(AA$1),FALSE)*VLOOKUP($D43,素材!$1:$1016,COLUMN($G$1),FALSE),"")</f>
        <v>0</v>
      </c>
      <c r="N43">
        <f>IFERROR(VLOOKUP($C43,武器!$1:$998,COLUMN(I$1),FALSE),"")</f>
        <v>0</v>
      </c>
      <c r="O43" s="23">
        <f>IFERROR((VLOOKUP($C43,武器!$1:$998,COLUMN(K$1),FALSE)+VLOOKUP($D43,素材!$1:$1016,COLUMN(H$1),FALSE))*100+IFERROR(VLOOKUP($CI43,装強!$1:$999,COLUMN(O$1),FALSE),0),"")</f>
        <v>10</v>
      </c>
      <c r="P43" s="23">
        <f>IFERROR((VLOOKUP($C43,武器!$1:$998,COLUMN(L$1),FALSE)+VLOOKUP($D43,素材!$1:$1016,COLUMN(I$1),FALSE))*100+IFERROR(VLOOKUP($CI43,装強!$1:$999,COLUMN(P$1),FALSE),0),"")</f>
        <v>150</v>
      </c>
      <c r="Q43">
        <f>IFERROR(ROUNDUP(VLOOKUP($C43,武器!$1:$998,COLUMN(M$1),FALSE)*(VLOOKUP($D43,素材!$1:$1002,COLUMN(D$1),FALSE)/100),1),"")</f>
        <v>-1.9000000000000001</v>
      </c>
      <c r="R43">
        <f>IFERROR(ROUNDUP(VLOOKUP($C43,武器!$1:$998,COLUMN(N$1),FALSE)*(VLOOKUP($D43,素材!$1:$1002,COLUMN(D$1),FALSE)/100),1),"")</f>
        <v>-1.9000000000000001</v>
      </c>
      <c r="S43">
        <f>IFERROR(VLOOKUP($C43,武器!$1:$998,COLUMN(P$1),FALSE),"")</f>
        <v>0</v>
      </c>
      <c r="T43">
        <f>IFERROR(VLOOKUP($C43,武器!$1:$998,COLUMN(Q$1),FALSE),"")</f>
        <v>0</v>
      </c>
      <c r="U43">
        <f>IFERROR(VLOOKUP($C43,武器!$1:$998,COLUMN(R$1),FALSE),"")</f>
        <v>0</v>
      </c>
      <c r="V43">
        <f>IFERROR(VLOOKUP($C43,武器!$1:$998,COLUMN(Q$1),FALSE),"")</f>
        <v>0</v>
      </c>
      <c r="W43" t="str">
        <f>IFERROR(VLOOKUP($C43,武器!$1:$998,COLUMN(T$1),FALSE),"")</f>
        <v>A</v>
      </c>
      <c r="Y43">
        <f>IFERROR(VLOOKUP($C43,武器!$1:$998,COLUMN(U$1),FALSE),"")</f>
        <v>0</v>
      </c>
      <c r="Z43">
        <f>IFERROR(ROUNDUP(VLOOKUP($C43,武器!$1:$998,COLUMN(O$1),FALSE)*VLOOKUP($D43,素材!$1:$1016,COLUMN(E$1),FALSE),1),"")</f>
        <v>0</v>
      </c>
      <c r="AA43">
        <f>IF(ISNUMBER(SEARCH(SUBSTITUTE(AA$1,RIGHT(AA$1,2),""),VLOOKUP($D43,素材!$1:$1016,COLUMN($F$1),FALSE))),VLOOKUP($C43,武器!$1:$998,COLUMN($O$1),FALSE)*VLOOKUP($D43,素材!$1:$1016,COLUMN($E$1),FALSE)/(LEN(VLOOKUP($D43,素材!$1:$1016,COLUMN($F$1),FALSE)) - LEN(SUBSTITUTE(VLOOKUP($D43,素材!$1:$1016,COLUMN($F$1),FALSE), "・", 0)) + 1), 0)</f>
        <v>0</v>
      </c>
      <c r="AB43">
        <f>IF(ISNUMBER(SEARCH(SUBSTITUTE(AB$1,RIGHT(AB$1,2),""),VLOOKUP($D43,素材!$1:$1016,COLUMN($F$1),FALSE))),VLOOKUP($C43,武器!$1:$998,COLUMN($O$1),FALSE)*VLOOKUP($D43,素材!$1:$1016,COLUMN($E$1),FALSE)/(LEN(VLOOKUP($D43,素材!$1:$1016,COLUMN($F$1),FALSE)) - LEN(SUBSTITUTE(VLOOKUP($D43,素材!$1:$1016,COLUMN($F$1),FALSE), "・", 0)) + 1), 0)</f>
        <v>0</v>
      </c>
      <c r="AC43">
        <f>IF(ISNUMBER(SEARCH(SUBSTITUTE(AC$1,RIGHT(AC$1,2),""),VLOOKUP($D43,素材!$1:$1016,COLUMN($F$1),FALSE))),VLOOKUP($C43,武器!$1:$998,COLUMN($O$1),FALSE)*VLOOKUP($D43,素材!$1:$1016,COLUMN($E$1),FALSE)/(LEN(VLOOKUP($D43,素材!$1:$1016,COLUMN($F$1),FALSE)) - LEN(SUBSTITUTE(VLOOKUP($D43,素材!$1:$1016,COLUMN($F$1),FALSE), "・", 0)) + 1), 0)</f>
        <v>0</v>
      </c>
      <c r="AD43">
        <f>IF(ISNUMBER(SEARCH(SUBSTITUTE(AD$1,RIGHT(AD$1,2),""),VLOOKUP($D43,素材!$1:$1016,COLUMN($F$1),FALSE))),VLOOKUP($C43,武器!$1:$998,COLUMN($O$1),FALSE)*VLOOKUP($D43,素材!$1:$1016,COLUMN($E$1),FALSE)/(LEN(VLOOKUP($D43,素材!$1:$1016,COLUMN($F$1),FALSE)) - LEN(SUBSTITUTE(VLOOKUP($D43,素材!$1:$1016,COLUMN($F$1),FALSE), "・", 0)) + 1), 0)</f>
        <v>0</v>
      </c>
      <c r="AE43">
        <f>IF(ISNUMBER(SEARCH(SUBSTITUTE(AE$1,RIGHT(AE$1,2),""),VLOOKUP($D43,素材!$1:$1016,COLUMN($F$1),FALSE))),VLOOKUP($C43,武器!$1:$998,COLUMN($O$1),FALSE)*VLOOKUP($D43,素材!$1:$1016,COLUMN($E$1),FALSE)/(LEN(VLOOKUP($D43,素材!$1:$1016,COLUMN($F$1),FALSE)) - LEN(SUBSTITUTE(VLOOKUP($D43,素材!$1:$1016,COLUMN($F$1),FALSE), "・", 0)) + 1), 0)</f>
        <v>0</v>
      </c>
      <c r="AF43">
        <f>IF(ISNUMBER(SEARCH(SUBSTITUTE(AF$1,RIGHT(AF$1,2),""),VLOOKUP($D43,素材!$1:$1016,COLUMN($F$1),FALSE))),VLOOKUP($C43,武器!$1:$998,COLUMN($O$1),FALSE)*VLOOKUP($D43,素材!$1:$1016,COLUMN($E$1),FALSE)/(LEN(VLOOKUP($D43,素材!$1:$1016,COLUMN($F$1),FALSE)) - LEN(SUBSTITUTE(VLOOKUP($D43,素材!$1:$1016,COLUMN($F$1),FALSE), "・", 0)) + 1), 0)</f>
        <v>0</v>
      </c>
      <c r="AG43">
        <f>IF(ISNUMBER(SEARCH(SUBSTITUTE(AG$1,RIGHT(AG$1,2),""),VLOOKUP($D43,素材!$1:$1016,COLUMN($F$1),FALSE))),VLOOKUP($C43,武器!$1:$998,COLUMN($O$1),FALSE)*VLOOKUP($D43,素材!$1:$1016,COLUMN($E$1),FALSE)/(LEN(VLOOKUP($D43,素材!$1:$1016,COLUMN($F$1),FALSE)) - LEN(SUBSTITUTE(VLOOKUP($D43,素材!$1:$1016,COLUMN($F$1),FALSE), "・", 0)) + 1), 0)</f>
        <v>0</v>
      </c>
      <c r="AH43">
        <f>IF(ISNUMBER(SEARCH(SUBSTITUTE(AH$1,RIGHT(AH$1,2),""),VLOOKUP($D43,素材!$1:$1016,COLUMN($F$1),FALSE))),VLOOKUP($C43,武器!$1:$998,COLUMN($O$1),FALSE)*VLOOKUP($D43,素材!$1:$1016,COLUMN($E$1),FALSE)/(LEN(VLOOKUP($D43,素材!$1:$1016,COLUMN($F$1),FALSE)) - LEN(SUBSTITUTE(VLOOKUP($D43,素材!$1:$1016,COLUMN($F$1),FALSE), "・", 0)) + 1), 0)</f>
        <v>0</v>
      </c>
      <c r="AI43">
        <f>IF(ISNUMBER(SEARCH(SUBSTITUTE(AI$1,RIGHT(AI$1,2),""),VLOOKUP($D43,素材!$1:$1016,COLUMN($F$1),FALSE))),VLOOKUP($C43,武器!$1:$998,COLUMN($O$1),FALSE)*VLOOKUP($D43,素材!$1:$1016,COLUMN($E$1),FALSE)/(LEN(VLOOKUP($D43,素材!$1:$1016,COLUMN($F$1),FALSE)) - LEN(SUBSTITUTE(VLOOKUP($D43,素材!$1:$1016,COLUMN($F$1),FALSE), "・", 0)) + 1), 0)</f>
        <v>0</v>
      </c>
      <c r="AJ43">
        <f>IF(ISNUMBER(SEARCH(SUBSTITUTE(AJ$1,RIGHT(AJ$1,2),""),VLOOKUP($D43,素材!$1:$1016,COLUMN($F$1),FALSE))),VLOOKUP($C43,武器!$1:$998,COLUMN($O$1),FALSE)*VLOOKUP($D43,素材!$1:$1016,COLUMN($E$1),FALSE)/(LEN(VLOOKUP($D43,素材!$1:$1016,COLUMN($F$1),FALSE)) - LEN(SUBSTITUTE(VLOOKUP($D43,素材!$1:$1016,COLUMN($F$1),FALSE), "・", 0)) + 1), 0)</f>
        <v>0</v>
      </c>
      <c r="AK43">
        <f>IF(ISNUMBER(SEARCH(SUBSTITUTE(AK$1,RIGHT(AK$1,2),""),VLOOKUP($D43,素材!$1:$1016,COLUMN($F$1),FALSE))),VLOOKUP($C43,武器!$1:$998,COLUMN($O$1),FALSE)*VLOOKUP($D43,素材!$1:$1016,COLUMN($E$1),FALSE)/(LEN(VLOOKUP($D43,素材!$1:$1016,COLUMN($F$1),FALSE)) - LEN(SUBSTITUTE(VLOOKUP($D43,素材!$1:$1016,COLUMN($F$1),FALSE), "・", 0)) + 1), 0)</f>
        <v>0</v>
      </c>
      <c r="AL43">
        <f>IF(ISNUMBER(SEARCH(SUBSTITUTE(AL$1,RIGHT(AL$1,2),""),VLOOKUP($D43,素材!$1:$1016,COLUMN($F$1),FALSE))),VLOOKUP($C43,武器!$1:$998,COLUMN($O$1),FALSE)*VLOOKUP($D43,素材!$1:$1016,COLUMN($E$1),FALSE)/(LEN(VLOOKUP($D43,素材!$1:$1016,COLUMN($F$1),FALSE)) - LEN(SUBSTITUTE(VLOOKUP($D43,素材!$1:$1016,COLUMN($F$1),FALSE), "・", 0)) + 1), 0)</f>
        <v>0</v>
      </c>
      <c r="AM43">
        <f>IF(ISNUMBER(SEARCH(SUBSTITUTE(AM$1,RIGHT(AM$1,2),""),VLOOKUP($D43,素材!$1:$1016,COLUMN($F$1),FALSE))),VLOOKUP($C43,武器!$1:$998,COLUMN($O$1),FALSE)*VLOOKUP($D43,素材!$1:$1016,COLUMN($E$1),FALSE)/(LEN(VLOOKUP($D43,素材!$1:$1016,COLUMN($F$1),FALSE)) - LEN(SUBSTITUTE(VLOOKUP($D43,素材!$1:$1016,COLUMN($F$1),FALSE), "・", 0)) + 1), 0)</f>
        <v>0</v>
      </c>
      <c r="AN43">
        <f>IF(ISNUMBER(SEARCH(SUBSTITUTE(AN$1,RIGHT(AN$1,2),""),VLOOKUP($D43,素材!$1:$1016,COLUMN($F$1),FALSE))),VLOOKUP($C43,武器!$1:$998,COLUMN($O$1),FALSE)*VLOOKUP($D43,素材!$1:$1016,COLUMN($E$1),FALSE)/(LEN(VLOOKUP($D43,素材!$1:$1016,COLUMN($F$1),FALSE)) - LEN(SUBSTITUTE(VLOOKUP($D43,素材!$1:$1016,COLUMN($F$1),FALSE), "・", 0)) + 1), 0)</f>
        <v>0</v>
      </c>
      <c r="AO43">
        <f>IF(ISNUMBER(SEARCH(SUBSTITUTE(AO$1,RIGHT(AO$1,2),""),VLOOKUP($D43,素材!$1:$1016,COLUMN($F$1),FALSE))),VLOOKUP($C43,武器!$1:$998,COLUMN($O$1),FALSE)*VLOOKUP($D43,素材!$1:$1016,COLUMN($E$1),FALSE)/(LEN(VLOOKUP($D43,素材!$1:$1016,COLUMN($F$1),FALSE)) - LEN(SUBSTITUTE(VLOOKUP($D43,素材!$1:$1016,COLUMN($F$1),FALSE), "・", 0)) + 1), 0)</f>
        <v>0</v>
      </c>
      <c r="AP43">
        <f>IF(ISNUMBER(SEARCH(SUBSTITUTE(AP$1,RIGHT(AP$1,2),""),VLOOKUP($D43,素材!$1:$1016,COLUMN($F$1),FALSE))),VLOOKUP($C43,武器!$1:$998,COLUMN($O$1),FALSE)*VLOOKUP($D43,素材!$1:$1016,COLUMN($E$1),FALSE)/(LEN(VLOOKUP($D43,素材!$1:$1016,COLUMN($F$1),FALSE)) - LEN(SUBSTITUTE(VLOOKUP($D43,素材!$1:$1016,COLUMN($F$1),FALSE), "・", 0)) + 1), 0)</f>
        <v>0</v>
      </c>
      <c r="AQ43">
        <f>IF(ISNUMBER(SEARCH(SUBSTITUTE(AQ$1,RIGHT(AQ$1,2),""),VLOOKUP($D43,素材!$1:$1016,COLUMN($F$1),FALSE))),VLOOKUP($C43,武器!$1:$998,COLUMN($O$1),FALSE)*VLOOKUP($D43,素材!$1:$1016,COLUMN($E$1),FALSE)/(LEN(VLOOKUP($D43,素材!$1:$1016,COLUMN($F$1),FALSE)) - LEN(SUBSTITUTE(VLOOKUP($D43,素材!$1:$1016,COLUMN($F$1),FALSE), "・", 0)) + 1), 0)</f>
        <v>0</v>
      </c>
      <c r="AR43">
        <f>IF(ISNUMBER(SEARCH(SUBSTITUTE(AR$1,RIGHT(AR$1,2),""),VLOOKUP($D43,素材!$1:$1016,COLUMN($F$1),FALSE))),VLOOKUP($C43,武器!$1:$998,COLUMN($O$1),FALSE)*VLOOKUP($D43,素材!$1:$1016,COLUMN($E$1),FALSE)/(LEN(VLOOKUP($D43,素材!$1:$1016,COLUMN($F$1),FALSE)) - LEN(SUBSTITUTE(VLOOKUP($D43,素材!$1:$1016,COLUMN($F$1),FALSE), "・", 0)) + 1), 0)</f>
        <v>0</v>
      </c>
      <c r="AS43">
        <f>IF(ISNUMBER(SEARCH(SUBSTITUTE(AS$1,RIGHT(AS$1,2),""),VLOOKUP($D43,素材!$1:$1016,COLUMN($F$1),FALSE))),VLOOKUP($C43,武器!$1:$998,COLUMN($O$1),FALSE)*VLOOKUP($D43,素材!$1:$1016,COLUMN($E$1),FALSE)/(LEN(VLOOKUP($D43,素材!$1:$1016,COLUMN($F$1),FALSE)) - LEN(SUBSTITUTE(VLOOKUP($D43,素材!$1:$1016,COLUMN($F$1),FALSE), "・", 0)) + 1), 0)</f>
        <v>0</v>
      </c>
      <c r="AT43">
        <f>IF(ISNUMBER(SEARCH(SUBSTITUTE(AT$1,RIGHT(AT$1,2),""),VLOOKUP($D43,素材!$1:$1016,COLUMN($F$1),FALSE))),VLOOKUP($C43,武器!$1:$998,COLUMN($O$1),FALSE)*VLOOKUP($D43,素材!$1:$1016,COLUMN($E$1),FALSE)/(LEN(VLOOKUP($D43,素材!$1:$1016,COLUMN($F$1),FALSE)) - LEN(SUBSTITUTE(VLOOKUP($D43,素材!$1:$1016,COLUMN($F$1),FALSE), "・", 0)) + 1), 0)</f>
        <v>0</v>
      </c>
      <c r="AU43">
        <f>IF(ISNUMBER(SEARCH(SUBSTITUTE(AU$1,RIGHT(AU$1,2),""),VLOOKUP($D43,素材!$1:$1016,COLUMN($F$1),FALSE))),VLOOKUP($C43,武器!$1:$998,COLUMN($O$1),FALSE)*VLOOKUP($D43,素材!$1:$1016,COLUMN($E$1),FALSE)/(LEN(VLOOKUP($D43,素材!$1:$1016,COLUMN($F$1),FALSE)) - LEN(SUBSTITUTE(VLOOKUP($D43,素材!$1:$1016,COLUMN($F$1),FALSE), "・", 0)) + 1), 0)</f>
        <v>0</v>
      </c>
      <c r="AV43">
        <f>IF(ISNUMBER(SEARCH(SUBSTITUTE(AV$1,RIGHT(AV$1,2),""),VLOOKUP($D43,素材!$1:$1016,COLUMN($F$1),FALSE))),VLOOKUP($C43,武器!$1:$998,COLUMN($O$1),FALSE)*VLOOKUP($D43,素材!$1:$1016,COLUMN($E$1),FALSE)/(LEN(VLOOKUP($D43,素材!$1:$1016,COLUMN($F$1),FALSE)) - LEN(SUBSTITUTE(VLOOKUP($D43,素材!$1:$1016,COLUMN($F$1),FALSE), "・", 0)) + 1), 0)</f>
        <v>0</v>
      </c>
      <c r="AW43">
        <f>IF(ISNUMBER(SEARCH(SUBSTITUTE(AW$1,RIGHT(AW$1,2),""),VLOOKUP($D43,素材!$1:$1016,COLUMN($F$1),FALSE))),VLOOKUP($C43,武器!$1:$998,COLUMN($O$1),FALSE)*VLOOKUP($D43,素材!$1:$1016,COLUMN($E$1),FALSE)/(LEN(VLOOKUP($D43,素材!$1:$1016,COLUMN($F$1),FALSE)) - LEN(SUBSTITUTE(VLOOKUP($D43,素材!$1:$1016,COLUMN($F$1),FALSE), "・", 0)) + 1), 0)</f>
        <v>0</v>
      </c>
      <c r="AX43">
        <f>IF(ISNUMBER(SEARCH(SUBSTITUTE(AX$1,RIGHT(AX$1,2),""),VLOOKUP($D43,素材!$1:$1016,COLUMN($F$1),FALSE))),VLOOKUP($C43,武器!$1:$998,COLUMN($O$1),FALSE)*VLOOKUP($D43,素材!$1:$1016,COLUMN($E$1),FALSE)/(LEN(VLOOKUP($D43,素材!$1:$1016,COLUMN($F$1),FALSE)) - LEN(SUBSTITUTE(VLOOKUP($D43,素材!$1:$1016,COLUMN($F$1),FALSE), "・", 0)) + 1), 0)</f>
        <v>0</v>
      </c>
      <c r="AY43">
        <f>IF(ISNUMBER(SEARCH(SUBSTITUTE(AY$1,RIGHT(AY$1,2),""),VLOOKUP($D43,素材!$1:$1016,COLUMN($F$1),FALSE))),VLOOKUP($C43,武器!$1:$998,COLUMN($O$1),FALSE)*VLOOKUP($D43,素材!$1:$1016,COLUMN($E$1),FALSE)/(LEN(VLOOKUP($D43,素材!$1:$1016,COLUMN($F$1),FALSE)) - LEN(SUBSTITUTE(VLOOKUP($D43,素材!$1:$1016,COLUMN($F$1),FALSE), "・", 0)) + 1), 0)</f>
        <v>0</v>
      </c>
      <c r="AZ43">
        <f>IF(ISNUMBER(SEARCH(SUBSTITUTE(AZ$1,RIGHT(AZ$1,2),""),VLOOKUP($D43,素材!$1:$1016,COLUMN($F$1),FALSE))),VLOOKUP($C43,武器!$1:$998,COLUMN($O$1),FALSE)*VLOOKUP($D43,素材!$1:$1016,COLUMN($E$1),FALSE)/(LEN(VLOOKUP($D43,素材!$1:$1016,COLUMN($F$1),FALSE)) - LEN(SUBSTITUTE(VLOOKUP($D43,素材!$1:$1016,COLUMN($F$1),FALSE), "・", 0)) + 1), 0)</f>
        <v>0</v>
      </c>
      <c r="BA43">
        <f>IF(ISNUMBER(SEARCH(SUBSTITUTE(BA$1,RIGHT(BA$1,2),""),VLOOKUP($D43,素材!$1:$1016,COLUMN($F$1),FALSE))),VLOOKUP($C43,武器!$1:$998,COLUMN($O$1),FALSE)*VLOOKUP($D43,素材!$1:$1016,COLUMN($E$1),FALSE)/(LEN(VLOOKUP($D43,素材!$1:$1016,COLUMN($F$1),FALSE)) - LEN(SUBSTITUTE(VLOOKUP($D43,素材!$1:$1016,COLUMN($F$1),FALSE), "・", 0)) + 1), 0)</f>
        <v>0</v>
      </c>
      <c r="BB43">
        <f>IF(ISNUMBER(SEARCH(SUBSTITUTE(BB$1,RIGHT(BB$1,2),""),VLOOKUP($D43,素材!$1:$1016,COLUMN($F$1),FALSE))),VLOOKUP($C43,武器!$1:$998,COLUMN($O$1),FALSE)*VLOOKUP($D43,素材!$1:$1016,COLUMN($E$1),FALSE)/(LEN(VLOOKUP($D43,素材!$1:$1016,COLUMN($F$1),FALSE)) - LEN(SUBSTITUTE(VLOOKUP($D43,素材!$1:$1016,COLUMN($F$1),FALSE), "・", 0)) + 1), 0)</f>
        <v>0</v>
      </c>
      <c r="BC43">
        <f>IF(ISNUMBER(SEARCH(SUBSTITUTE(BC$1,RIGHT(BC$1,2),""),VLOOKUP($D43,素材!$1:$1016,COLUMN($F$1),FALSE))),VLOOKUP($C43,武器!$1:$998,COLUMN($O$1),FALSE)*VLOOKUP($D43,素材!$1:$1016,COLUMN($E$1),FALSE)/(LEN(VLOOKUP($D43,素材!$1:$1016,COLUMN($F$1),FALSE)) - LEN(SUBSTITUTE(VLOOKUP($D43,素材!$1:$1016,COLUMN($F$1),FALSE), "・", 0)) + 1), 0)</f>
        <v>0</v>
      </c>
      <c r="BD43">
        <f>IF(ISNUMBER(SEARCH(SUBSTITUTE(BD$1,RIGHT(BD$1,2),""),VLOOKUP($D43,素材!$1:$1016,COLUMN($F$1),FALSE))),VLOOKUP($C43,武器!$1:$998,COLUMN($O$1),FALSE)*VLOOKUP($D43,素材!$1:$1016,COLUMN($E$1),FALSE)/(LEN(VLOOKUP($D43,素材!$1:$1016,COLUMN($F$1),FALSE)) - LEN(SUBSTITUTE(VLOOKUP($D43,素材!$1:$1016,COLUMN($F$1),FALSE), "・", 0)) + 1), 0)</f>
        <v>0</v>
      </c>
      <c r="BE43">
        <f>IF(ISNUMBER(SEARCH(SUBSTITUTE(BE$1,RIGHT(BE$1,2),""),VLOOKUP($D43,素材!$1:$1016,COLUMN($F$1),FALSE))),VLOOKUP($C43,武器!$1:$998,COLUMN($O$1),FALSE)*VLOOKUP($D43,素材!$1:$1016,COLUMN($E$1),FALSE)/(LEN(VLOOKUP($D43,素材!$1:$1016,COLUMN($F$1),FALSE)) - LEN(SUBSTITUTE(VLOOKUP($D43,素材!$1:$1016,COLUMN($F$1),FALSE), "・", 0)) + 1), 0)</f>
        <v>0</v>
      </c>
      <c r="CL43">
        <f>SUM(G43:I43)</f>
        <v>17</v>
      </c>
      <c r="CM43" s="22" t="str">
        <f>IF(E43="武器",IF(J43-1&gt;SUM(G43:I43),"盾",IF(MAX(G43:I43)=G43,"切断",IF(MAX(G43:I43)=H43,"貫通",IF(MAX(G43:I43)=I43,"打撃","射撃")))),E43)&amp;".webp"</f>
        <v>切断.webp</v>
      </c>
      <c r="CN43">
        <f>IFERROR(VLOOKUP($C43,武器!$1:$998,COLUMN(V$1),FALSE)*VLOOKUP($D43,素材!$1:$1016,COLUMN(N$1),FALSE)+IF(CI43="",0,VLOOKUP($CI43,装強!$1:$1008,COLUMN($CK$1),FALSE)),"")</f>
        <v>200</v>
      </c>
      <c r="CO43" t="str">
        <f>VLOOKUP(D43,素材!$A:$O,COLUMN(素材!O$1),FALSE)</f>
        <v>一般的な木材。金属より軽いが少し脆い</v>
      </c>
      <c r="CP43" t="str">
        <f>VLOOKUP(C43,武器!$A:$W,COLUMN(武器!W$1),FALSE)</f>
        <v>幅の広い剣。扱いにくいが攻撃と防御にも優れている。状況に合わせて立ち回ろう。</v>
      </c>
      <c r="CR43" t="str">
        <f t="shared" si="1"/>
        <v>e_43</v>
      </c>
      <c r="CS43">
        <f t="shared" si="2"/>
        <v>20000</v>
      </c>
    </row>
    <row r="44" spans="1:97" outlineLevel="1" x14ac:dyDescent="0.4">
      <c r="A44" t="str">
        <f t="shared" si="3"/>
        <v>木の長剣</v>
      </c>
      <c r="B44" t="str">
        <f>IFERROR(VLOOKUP($D44,素材!$1:$1016,COLUMN($B$1),FALSE)&amp;"・"&amp;VLOOKUP($C44,武器!$1:$998,COLUMN(B$1),FALSE),"")</f>
        <v>ウッド・ロングソード</v>
      </c>
      <c r="C44" s="24" t="s">
        <v>238</v>
      </c>
      <c r="D44" s="24" t="s">
        <v>255</v>
      </c>
      <c r="E44" t="str">
        <f>IFERROR(VLOOKUP(C44,武器!$1:$998,COLUMN(C$1),FALSE),"")</f>
        <v>武器</v>
      </c>
      <c r="F44">
        <f>IFERROR(ROUNDDOWN((VLOOKUP($C44,武器!$1:$998,COLUMN(D$1),FALSE)+IFERROR(VLOOKUP($CI44,装強!$1:$999,COLUMN(F$1),FALSE),0))*VLOOKUP($D44,素材!$1:$1016,COLUMN(D$1),FALSE),0),"")</f>
        <v>86</v>
      </c>
      <c r="G44">
        <f>IFERROR(ROUNDDOWN((VLOOKUP($C44,武器!$1:$998,COLUMN(E$1),FALSE)+IFERROR(VLOOKUP($CI44,装強!$1:$999,COLUMN(G$1),FALSE),0))*VLOOKUP($D44,素材!$1:$1016,COLUMN($E$1),FALSE),0),"")</f>
        <v>11</v>
      </c>
      <c r="H44">
        <f>IFERROR(ROUNDDOWN((VLOOKUP($C44,武器!$1:$998,COLUMN(F$1),FALSE)+IFERROR(VLOOKUP($CI44,装強!$1:$999,COLUMN(H$1),FALSE),0))*VLOOKUP($D44,素材!$1:$1016,COLUMN($E$1),FALSE),0),"")</f>
        <v>6</v>
      </c>
      <c r="I44">
        <f>IFERROR(ROUNDDOWN((VLOOKUP($C44,武器!$1:$998,COLUMN(G$1),FALSE)+IFERROR(VLOOKUP($CI44,装強!$1:$999,COLUMN(I$1),FALSE),0))*VLOOKUP($D44,素材!$1:$1016,COLUMN($E$1),FALSE),0),"")</f>
        <v>2</v>
      </c>
      <c r="J44">
        <f>IFERROR(ROUNDDOWN((VLOOKUP($C44,武器!$1:$998,COLUMN(H$1),FALSE)+IFERROR(VLOOKUP($CI44,装強!$1:$999,COLUMN(J$1),FALSE),0))*VLOOKUP($D44,素材!$1:$1016,COLUMN($E$1),FALSE),0),"")</f>
        <v>15</v>
      </c>
      <c r="K44">
        <f>IFERROR(ROUNDDOWN((VLOOKUP($C44,武器!$1:$998,COLUMN(I$1),FALSE)+IFERROR(VLOOKUP($CI44,装強!$1:$999,COLUMN(K$1),FALSE),0))*VLOOKUP($D44,素材!$1:$1016,COLUMN($E$1),FALSE),0),"")</f>
        <v>0</v>
      </c>
      <c r="L44">
        <f>IFERROR(VLOOKUP($D44,素材!$1:$1016,COLUMN($F$1),FALSE),"")</f>
        <v>0</v>
      </c>
      <c r="M44">
        <f>IFERROR(VLOOKUP($C44,武器!$1:$998,COLUMN(AA$1),FALSE)*VLOOKUP($D44,素材!$1:$1016,COLUMN($G$1),FALSE),"")</f>
        <v>0</v>
      </c>
      <c r="N44">
        <f>IFERROR(VLOOKUP($C44,武器!$1:$998,COLUMN(I$1),FALSE),"")</f>
        <v>0</v>
      </c>
      <c r="O44" s="23">
        <f>IFERROR((VLOOKUP($C44,武器!$1:$998,COLUMN(K$1),FALSE)+VLOOKUP($D44,素材!$1:$1016,COLUMN(H$1),FALSE))*100+IFERROR(VLOOKUP($CI44,装強!$1:$999,COLUMN(O$1),FALSE),0),"")</f>
        <v>10</v>
      </c>
      <c r="P44" s="23">
        <f>IFERROR((VLOOKUP($C44,武器!$1:$998,COLUMN(L$1),FALSE)+VLOOKUP($D44,素材!$1:$1016,COLUMN(I$1),FALSE))*100+IFERROR(VLOOKUP($CI44,装強!$1:$999,COLUMN(P$1),FALSE),0),"")</f>
        <v>150</v>
      </c>
      <c r="Q44">
        <f>IFERROR(ROUNDUP(VLOOKUP($C44,武器!$1:$998,COLUMN(M$1),FALSE)*(VLOOKUP($D44,素材!$1:$1002,COLUMN(D$1),FALSE)/100),1),"")</f>
        <v>-1.9000000000000001</v>
      </c>
      <c r="R44">
        <f>IFERROR(ROUNDUP(VLOOKUP($C44,武器!$1:$998,COLUMN(N$1),FALSE)*(VLOOKUP($D44,素材!$1:$1002,COLUMN(D$1),FALSE)/100),1),"")</f>
        <v>-1.9000000000000001</v>
      </c>
      <c r="S44">
        <f>IFERROR(VLOOKUP($C44,武器!$1:$998,COLUMN(P$1),FALSE),"")</f>
        <v>0</v>
      </c>
      <c r="T44">
        <f>IFERROR(VLOOKUP($C44,武器!$1:$998,COLUMN(Q$1),FALSE),"")</f>
        <v>0</v>
      </c>
      <c r="U44">
        <f>IFERROR(VLOOKUP($C44,武器!$1:$998,COLUMN(R$1),FALSE),"")</f>
        <v>0</v>
      </c>
      <c r="V44">
        <f>IFERROR(VLOOKUP($C44,武器!$1:$998,COLUMN(Q$1),FALSE),"")</f>
        <v>0</v>
      </c>
      <c r="W44" t="str">
        <f>IFERROR(VLOOKUP($C44,武器!$1:$998,COLUMN(T$1),FALSE),"")</f>
        <v>A</v>
      </c>
      <c r="Y44">
        <f>IFERROR(VLOOKUP($C44,武器!$1:$998,COLUMN(U$1),FALSE),"")</f>
        <v>0</v>
      </c>
      <c r="Z44">
        <f>IFERROR(ROUNDUP(VLOOKUP($C44,武器!$1:$998,COLUMN(O$1),FALSE)*VLOOKUP($D44,素材!$1:$1016,COLUMN(E$1),FALSE),1),"")</f>
        <v>0</v>
      </c>
      <c r="AA44">
        <f>IF(ISNUMBER(SEARCH(SUBSTITUTE(AA$1,RIGHT(AA$1,2),""),VLOOKUP($D44,素材!$1:$1016,COLUMN($F$1),FALSE))),VLOOKUP($C44,武器!$1:$998,COLUMN($O$1),FALSE)*VLOOKUP($D44,素材!$1:$1016,COLUMN($E$1),FALSE)/(LEN(VLOOKUP($D44,素材!$1:$1016,COLUMN($F$1),FALSE)) - LEN(SUBSTITUTE(VLOOKUP($D44,素材!$1:$1016,COLUMN($F$1),FALSE), "・", 0)) + 1), 0)</f>
        <v>0</v>
      </c>
      <c r="AB44">
        <f>IF(ISNUMBER(SEARCH(SUBSTITUTE(AB$1,RIGHT(AB$1,2),""),VLOOKUP($D44,素材!$1:$1016,COLUMN($F$1),FALSE))),VLOOKUP($C44,武器!$1:$998,COLUMN($O$1),FALSE)*VLOOKUP($D44,素材!$1:$1016,COLUMN($E$1),FALSE)/(LEN(VLOOKUP($D44,素材!$1:$1016,COLUMN($F$1),FALSE)) - LEN(SUBSTITUTE(VLOOKUP($D44,素材!$1:$1016,COLUMN($F$1),FALSE), "・", 0)) + 1), 0)</f>
        <v>0</v>
      </c>
      <c r="AC44">
        <f>IF(ISNUMBER(SEARCH(SUBSTITUTE(AC$1,RIGHT(AC$1,2),""),VLOOKUP($D44,素材!$1:$1016,COLUMN($F$1),FALSE))),VLOOKUP($C44,武器!$1:$998,COLUMN($O$1),FALSE)*VLOOKUP($D44,素材!$1:$1016,COLUMN($E$1),FALSE)/(LEN(VLOOKUP($D44,素材!$1:$1016,COLUMN($F$1),FALSE)) - LEN(SUBSTITUTE(VLOOKUP($D44,素材!$1:$1016,COLUMN($F$1),FALSE), "・", 0)) + 1), 0)</f>
        <v>0</v>
      </c>
      <c r="AD44">
        <f>IF(ISNUMBER(SEARCH(SUBSTITUTE(AD$1,RIGHT(AD$1,2),""),VLOOKUP($D44,素材!$1:$1016,COLUMN($F$1),FALSE))),VLOOKUP($C44,武器!$1:$998,COLUMN($O$1),FALSE)*VLOOKUP($D44,素材!$1:$1016,COLUMN($E$1),FALSE)/(LEN(VLOOKUP($D44,素材!$1:$1016,COLUMN($F$1),FALSE)) - LEN(SUBSTITUTE(VLOOKUP($D44,素材!$1:$1016,COLUMN($F$1),FALSE), "・", 0)) + 1), 0)</f>
        <v>0</v>
      </c>
      <c r="AE44">
        <f>IF(ISNUMBER(SEARCH(SUBSTITUTE(AE$1,RIGHT(AE$1,2),""),VLOOKUP($D44,素材!$1:$1016,COLUMN($F$1),FALSE))),VLOOKUP($C44,武器!$1:$998,COLUMN($O$1),FALSE)*VLOOKUP($D44,素材!$1:$1016,COLUMN($E$1),FALSE)/(LEN(VLOOKUP($D44,素材!$1:$1016,COLUMN($F$1),FALSE)) - LEN(SUBSTITUTE(VLOOKUP($D44,素材!$1:$1016,COLUMN($F$1),FALSE), "・", 0)) + 1), 0)</f>
        <v>0</v>
      </c>
      <c r="AF44">
        <f>IF(ISNUMBER(SEARCH(SUBSTITUTE(AF$1,RIGHT(AF$1,2),""),VLOOKUP($D44,素材!$1:$1016,COLUMN($F$1),FALSE))),VLOOKUP($C44,武器!$1:$998,COLUMN($O$1),FALSE)*VLOOKUP($D44,素材!$1:$1016,COLUMN($E$1),FALSE)/(LEN(VLOOKUP($D44,素材!$1:$1016,COLUMN($F$1),FALSE)) - LEN(SUBSTITUTE(VLOOKUP($D44,素材!$1:$1016,COLUMN($F$1),FALSE), "・", 0)) + 1), 0)</f>
        <v>0</v>
      </c>
      <c r="AG44">
        <f>IF(ISNUMBER(SEARCH(SUBSTITUTE(AG$1,RIGHT(AG$1,2),""),VLOOKUP($D44,素材!$1:$1016,COLUMN($F$1),FALSE))),VLOOKUP($C44,武器!$1:$998,COLUMN($O$1),FALSE)*VLOOKUP($D44,素材!$1:$1016,COLUMN($E$1),FALSE)/(LEN(VLOOKUP($D44,素材!$1:$1016,COLUMN($F$1),FALSE)) - LEN(SUBSTITUTE(VLOOKUP($D44,素材!$1:$1016,COLUMN($F$1),FALSE), "・", 0)) + 1), 0)</f>
        <v>0</v>
      </c>
      <c r="AH44">
        <f>IF(ISNUMBER(SEARCH(SUBSTITUTE(AH$1,RIGHT(AH$1,2),""),VLOOKUP($D44,素材!$1:$1016,COLUMN($F$1),FALSE))),VLOOKUP($C44,武器!$1:$998,COLUMN($O$1),FALSE)*VLOOKUP($D44,素材!$1:$1016,COLUMN($E$1),FALSE)/(LEN(VLOOKUP($D44,素材!$1:$1016,COLUMN($F$1),FALSE)) - LEN(SUBSTITUTE(VLOOKUP($D44,素材!$1:$1016,COLUMN($F$1),FALSE), "・", 0)) + 1), 0)</f>
        <v>0</v>
      </c>
      <c r="AI44">
        <f>IF(ISNUMBER(SEARCH(SUBSTITUTE(AI$1,RIGHT(AI$1,2),""),VLOOKUP($D44,素材!$1:$1016,COLUMN($F$1),FALSE))),VLOOKUP($C44,武器!$1:$998,COLUMN($O$1),FALSE)*VLOOKUP($D44,素材!$1:$1016,COLUMN($E$1),FALSE)/(LEN(VLOOKUP($D44,素材!$1:$1016,COLUMN($F$1),FALSE)) - LEN(SUBSTITUTE(VLOOKUP($D44,素材!$1:$1016,COLUMN($F$1),FALSE), "・", 0)) + 1), 0)</f>
        <v>0</v>
      </c>
      <c r="AJ44">
        <f>IF(ISNUMBER(SEARCH(SUBSTITUTE(AJ$1,RIGHT(AJ$1,2),""),VLOOKUP($D44,素材!$1:$1016,COLUMN($F$1),FALSE))),VLOOKUP($C44,武器!$1:$998,COLUMN($O$1),FALSE)*VLOOKUP($D44,素材!$1:$1016,COLUMN($E$1),FALSE)/(LEN(VLOOKUP($D44,素材!$1:$1016,COLUMN($F$1),FALSE)) - LEN(SUBSTITUTE(VLOOKUP($D44,素材!$1:$1016,COLUMN($F$1),FALSE), "・", 0)) + 1), 0)</f>
        <v>0</v>
      </c>
      <c r="AK44">
        <f>IF(ISNUMBER(SEARCH(SUBSTITUTE(AK$1,RIGHT(AK$1,2),""),VLOOKUP($D44,素材!$1:$1016,COLUMN($F$1),FALSE))),VLOOKUP($C44,武器!$1:$998,COLUMN($O$1),FALSE)*VLOOKUP($D44,素材!$1:$1016,COLUMN($E$1),FALSE)/(LEN(VLOOKUP($D44,素材!$1:$1016,COLUMN($F$1),FALSE)) - LEN(SUBSTITUTE(VLOOKUP($D44,素材!$1:$1016,COLUMN($F$1),FALSE), "・", 0)) + 1), 0)</f>
        <v>0</v>
      </c>
      <c r="AL44">
        <f>IF(ISNUMBER(SEARCH(SUBSTITUTE(AL$1,RIGHT(AL$1,2),""),VLOOKUP($D44,素材!$1:$1016,COLUMN($F$1),FALSE))),VLOOKUP($C44,武器!$1:$998,COLUMN($O$1),FALSE)*VLOOKUP($D44,素材!$1:$1016,COLUMN($E$1),FALSE)/(LEN(VLOOKUP($D44,素材!$1:$1016,COLUMN($F$1),FALSE)) - LEN(SUBSTITUTE(VLOOKUP($D44,素材!$1:$1016,COLUMN($F$1),FALSE), "・", 0)) + 1), 0)</f>
        <v>0</v>
      </c>
      <c r="AM44">
        <f>IF(ISNUMBER(SEARCH(SUBSTITUTE(AM$1,RIGHT(AM$1,2),""),VLOOKUP($D44,素材!$1:$1016,COLUMN($F$1),FALSE))),VLOOKUP($C44,武器!$1:$998,COLUMN($O$1),FALSE)*VLOOKUP($D44,素材!$1:$1016,COLUMN($E$1),FALSE)/(LEN(VLOOKUP($D44,素材!$1:$1016,COLUMN($F$1),FALSE)) - LEN(SUBSTITUTE(VLOOKUP($D44,素材!$1:$1016,COLUMN($F$1),FALSE), "・", 0)) + 1), 0)</f>
        <v>0</v>
      </c>
      <c r="AN44">
        <f>IF(ISNUMBER(SEARCH(SUBSTITUTE(AN$1,RIGHT(AN$1,2),""),VLOOKUP($D44,素材!$1:$1016,COLUMN($F$1),FALSE))),VLOOKUP($C44,武器!$1:$998,COLUMN($O$1),FALSE)*VLOOKUP($D44,素材!$1:$1016,COLUMN($E$1),FALSE)/(LEN(VLOOKUP($D44,素材!$1:$1016,COLUMN($F$1),FALSE)) - LEN(SUBSTITUTE(VLOOKUP($D44,素材!$1:$1016,COLUMN($F$1),FALSE), "・", 0)) + 1), 0)</f>
        <v>0</v>
      </c>
      <c r="AO44">
        <f>IF(ISNUMBER(SEARCH(SUBSTITUTE(AO$1,RIGHT(AO$1,2),""),VLOOKUP($D44,素材!$1:$1016,COLUMN($F$1),FALSE))),VLOOKUP($C44,武器!$1:$998,COLUMN($O$1),FALSE)*VLOOKUP($D44,素材!$1:$1016,COLUMN($E$1),FALSE)/(LEN(VLOOKUP($D44,素材!$1:$1016,COLUMN($F$1),FALSE)) - LEN(SUBSTITUTE(VLOOKUP($D44,素材!$1:$1016,COLUMN($F$1),FALSE), "・", 0)) + 1), 0)</f>
        <v>0</v>
      </c>
      <c r="AP44">
        <f>IF(ISNUMBER(SEARCH(SUBSTITUTE(AP$1,RIGHT(AP$1,2),""),VLOOKUP($D44,素材!$1:$1016,COLUMN($F$1),FALSE))),VLOOKUP($C44,武器!$1:$998,COLUMN($O$1),FALSE)*VLOOKUP($D44,素材!$1:$1016,COLUMN($E$1),FALSE)/(LEN(VLOOKUP($D44,素材!$1:$1016,COLUMN($F$1),FALSE)) - LEN(SUBSTITUTE(VLOOKUP($D44,素材!$1:$1016,COLUMN($F$1),FALSE), "・", 0)) + 1), 0)</f>
        <v>0</v>
      </c>
      <c r="AQ44">
        <f>IF(ISNUMBER(SEARCH(SUBSTITUTE(AQ$1,RIGHT(AQ$1,2),""),VLOOKUP($D44,素材!$1:$1016,COLUMN($F$1),FALSE))),VLOOKUP($C44,武器!$1:$998,COLUMN($O$1),FALSE)*VLOOKUP($D44,素材!$1:$1016,COLUMN($E$1),FALSE)/(LEN(VLOOKUP($D44,素材!$1:$1016,COLUMN($F$1),FALSE)) - LEN(SUBSTITUTE(VLOOKUP($D44,素材!$1:$1016,COLUMN($F$1),FALSE), "・", 0)) + 1), 0)</f>
        <v>0</v>
      </c>
      <c r="AR44">
        <f>IF(ISNUMBER(SEARCH(SUBSTITUTE(AR$1,RIGHT(AR$1,2),""),VLOOKUP($D44,素材!$1:$1016,COLUMN($F$1),FALSE))),VLOOKUP($C44,武器!$1:$998,COLUMN($O$1),FALSE)*VLOOKUP($D44,素材!$1:$1016,COLUMN($E$1),FALSE)/(LEN(VLOOKUP($D44,素材!$1:$1016,COLUMN($F$1),FALSE)) - LEN(SUBSTITUTE(VLOOKUP($D44,素材!$1:$1016,COLUMN($F$1),FALSE), "・", 0)) + 1), 0)</f>
        <v>0</v>
      </c>
      <c r="AS44">
        <f>IF(ISNUMBER(SEARCH(SUBSTITUTE(AS$1,RIGHT(AS$1,2),""),VLOOKUP($D44,素材!$1:$1016,COLUMN($F$1),FALSE))),VLOOKUP($C44,武器!$1:$998,COLUMN($O$1),FALSE)*VLOOKUP($D44,素材!$1:$1016,COLUMN($E$1),FALSE)/(LEN(VLOOKUP($D44,素材!$1:$1016,COLUMN($F$1),FALSE)) - LEN(SUBSTITUTE(VLOOKUP($D44,素材!$1:$1016,COLUMN($F$1),FALSE), "・", 0)) + 1), 0)</f>
        <v>0</v>
      </c>
      <c r="AT44">
        <f>IF(ISNUMBER(SEARCH(SUBSTITUTE(AT$1,RIGHT(AT$1,2),""),VLOOKUP($D44,素材!$1:$1016,COLUMN($F$1),FALSE))),VLOOKUP($C44,武器!$1:$998,COLUMN($O$1),FALSE)*VLOOKUP($D44,素材!$1:$1016,COLUMN($E$1),FALSE)/(LEN(VLOOKUP($D44,素材!$1:$1016,COLUMN($F$1),FALSE)) - LEN(SUBSTITUTE(VLOOKUP($D44,素材!$1:$1016,COLUMN($F$1),FALSE), "・", 0)) + 1), 0)</f>
        <v>0</v>
      </c>
      <c r="AU44">
        <f>IF(ISNUMBER(SEARCH(SUBSTITUTE(AU$1,RIGHT(AU$1,2),""),VLOOKUP($D44,素材!$1:$1016,COLUMN($F$1),FALSE))),VLOOKUP($C44,武器!$1:$998,COLUMN($O$1),FALSE)*VLOOKUP($D44,素材!$1:$1016,COLUMN($E$1),FALSE)/(LEN(VLOOKUP($D44,素材!$1:$1016,COLUMN($F$1),FALSE)) - LEN(SUBSTITUTE(VLOOKUP($D44,素材!$1:$1016,COLUMN($F$1),FALSE), "・", 0)) + 1), 0)</f>
        <v>0</v>
      </c>
      <c r="AV44">
        <f>IF(ISNUMBER(SEARCH(SUBSTITUTE(AV$1,RIGHT(AV$1,2),""),VLOOKUP($D44,素材!$1:$1016,COLUMN($F$1),FALSE))),VLOOKUP($C44,武器!$1:$998,COLUMN($O$1),FALSE)*VLOOKUP($D44,素材!$1:$1016,COLUMN($E$1),FALSE)/(LEN(VLOOKUP($D44,素材!$1:$1016,COLUMN($F$1),FALSE)) - LEN(SUBSTITUTE(VLOOKUP($D44,素材!$1:$1016,COLUMN($F$1),FALSE), "・", 0)) + 1), 0)</f>
        <v>0</v>
      </c>
      <c r="AW44">
        <f>IF(ISNUMBER(SEARCH(SUBSTITUTE(AW$1,RIGHT(AW$1,2),""),VLOOKUP($D44,素材!$1:$1016,COLUMN($F$1),FALSE))),VLOOKUP($C44,武器!$1:$998,COLUMN($O$1),FALSE)*VLOOKUP($D44,素材!$1:$1016,COLUMN($E$1),FALSE)/(LEN(VLOOKUP($D44,素材!$1:$1016,COLUMN($F$1),FALSE)) - LEN(SUBSTITUTE(VLOOKUP($D44,素材!$1:$1016,COLUMN($F$1),FALSE), "・", 0)) + 1), 0)</f>
        <v>0</v>
      </c>
      <c r="AX44">
        <f>IF(ISNUMBER(SEARCH(SUBSTITUTE(AX$1,RIGHT(AX$1,2),""),VLOOKUP($D44,素材!$1:$1016,COLUMN($F$1),FALSE))),VLOOKUP($C44,武器!$1:$998,COLUMN($O$1),FALSE)*VLOOKUP($D44,素材!$1:$1016,COLUMN($E$1),FALSE)/(LEN(VLOOKUP($D44,素材!$1:$1016,COLUMN($F$1),FALSE)) - LEN(SUBSTITUTE(VLOOKUP($D44,素材!$1:$1016,COLUMN($F$1),FALSE), "・", 0)) + 1), 0)</f>
        <v>0</v>
      </c>
      <c r="AY44">
        <f>IF(ISNUMBER(SEARCH(SUBSTITUTE(AY$1,RIGHT(AY$1,2),""),VLOOKUP($D44,素材!$1:$1016,COLUMN($F$1),FALSE))),VLOOKUP($C44,武器!$1:$998,COLUMN($O$1),FALSE)*VLOOKUP($D44,素材!$1:$1016,COLUMN($E$1),FALSE)/(LEN(VLOOKUP($D44,素材!$1:$1016,COLUMN($F$1),FALSE)) - LEN(SUBSTITUTE(VLOOKUP($D44,素材!$1:$1016,COLUMN($F$1),FALSE), "・", 0)) + 1), 0)</f>
        <v>0</v>
      </c>
      <c r="AZ44">
        <f>IF(ISNUMBER(SEARCH(SUBSTITUTE(AZ$1,RIGHT(AZ$1,2),""),VLOOKUP($D44,素材!$1:$1016,COLUMN($F$1),FALSE))),VLOOKUP($C44,武器!$1:$998,COLUMN($O$1),FALSE)*VLOOKUP($D44,素材!$1:$1016,COLUMN($E$1),FALSE)/(LEN(VLOOKUP($D44,素材!$1:$1016,COLUMN($F$1),FALSE)) - LEN(SUBSTITUTE(VLOOKUP($D44,素材!$1:$1016,COLUMN($F$1),FALSE), "・", 0)) + 1), 0)</f>
        <v>0</v>
      </c>
      <c r="BA44">
        <f>IF(ISNUMBER(SEARCH(SUBSTITUTE(BA$1,RIGHT(BA$1,2),""),VLOOKUP($D44,素材!$1:$1016,COLUMN($F$1),FALSE))),VLOOKUP($C44,武器!$1:$998,COLUMN($O$1),FALSE)*VLOOKUP($D44,素材!$1:$1016,COLUMN($E$1),FALSE)/(LEN(VLOOKUP($D44,素材!$1:$1016,COLUMN($F$1),FALSE)) - LEN(SUBSTITUTE(VLOOKUP($D44,素材!$1:$1016,COLUMN($F$1),FALSE), "・", 0)) + 1), 0)</f>
        <v>0</v>
      </c>
      <c r="BB44">
        <f>IF(ISNUMBER(SEARCH(SUBSTITUTE(BB$1,RIGHT(BB$1,2),""),VLOOKUP($D44,素材!$1:$1016,COLUMN($F$1),FALSE))),VLOOKUP($C44,武器!$1:$998,COLUMN($O$1),FALSE)*VLOOKUP($D44,素材!$1:$1016,COLUMN($E$1),FALSE)/(LEN(VLOOKUP($D44,素材!$1:$1016,COLUMN($F$1),FALSE)) - LEN(SUBSTITUTE(VLOOKUP($D44,素材!$1:$1016,COLUMN($F$1),FALSE), "・", 0)) + 1), 0)</f>
        <v>0</v>
      </c>
      <c r="BC44">
        <f>IF(ISNUMBER(SEARCH(SUBSTITUTE(BC$1,RIGHT(BC$1,2),""),VLOOKUP($D44,素材!$1:$1016,COLUMN($F$1),FALSE))),VLOOKUP($C44,武器!$1:$998,COLUMN($O$1),FALSE)*VLOOKUP($D44,素材!$1:$1016,COLUMN($E$1),FALSE)/(LEN(VLOOKUP($D44,素材!$1:$1016,COLUMN($F$1),FALSE)) - LEN(SUBSTITUTE(VLOOKUP($D44,素材!$1:$1016,COLUMN($F$1),FALSE), "・", 0)) + 1), 0)</f>
        <v>0</v>
      </c>
      <c r="BD44">
        <f>IF(ISNUMBER(SEARCH(SUBSTITUTE(BD$1,RIGHT(BD$1,2),""),VLOOKUP($D44,素材!$1:$1016,COLUMN($F$1),FALSE))),VLOOKUP($C44,武器!$1:$998,COLUMN($O$1),FALSE)*VLOOKUP($D44,素材!$1:$1016,COLUMN($E$1),FALSE)/(LEN(VLOOKUP($D44,素材!$1:$1016,COLUMN($F$1),FALSE)) - LEN(SUBSTITUTE(VLOOKUP($D44,素材!$1:$1016,COLUMN($F$1),FALSE), "・", 0)) + 1), 0)</f>
        <v>0</v>
      </c>
      <c r="BE44">
        <f>IF(ISNUMBER(SEARCH(SUBSTITUTE(BE$1,RIGHT(BE$1,2),""),VLOOKUP($D44,素材!$1:$1016,COLUMN($F$1),FALSE))),VLOOKUP($C44,武器!$1:$998,COLUMN($O$1),FALSE)*VLOOKUP($D44,素材!$1:$1016,COLUMN($E$1),FALSE)/(LEN(VLOOKUP($D44,素材!$1:$1016,COLUMN($F$1),FALSE)) - LEN(SUBSTITUTE(VLOOKUP($D44,素材!$1:$1016,COLUMN($F$1),FALSE), "・", 0)) + 1), 0)</f>
        <v>0</v>
      </c>
      <c r="CL44">
        <f>SUM(G44:I44)</f>
        <v>19</v>
      </c>
      <c r="CM44" s="22" t="str">
        <f>IF(E44="武器",IF(J44-1&gt;SUM(G44:I44),"盾",IF(MAX(G44:I44)=G44,"切断",IF(MAX(G44:I44)=H44,"貫通",IF(MAX(G44:I44)=I44,"打撃","射撃")))),E44)&amp;".webp"</f>
        <v>切断.webp</v>
      </c>
      <c r="CN44">
        <f>IFERROR(VLOOKUP($C44,武器!$1:$998,COLUMN(V$1),FALSE)*VLOOKUP($D44,素材!$1:$1016,COLUMN(N$1),FALSE)+IF(CI44="",0,VLOOKUP($CI44,装強!$1:$1008,COLUMN($CK$1),FALSE)),"")</f>
        <v>200</v>
      </c>
      <c r="CO44" t="str">
        <f>VLOOKUP(D44,素材!$A:$O,COLUMN(素材!O$1),FALSE)</f>
        <v>一般的な木材。金属より軽いが少し脆い</v>
      </c>
      <c r="CP44" t="str">
        <f>VLOOKUP(C44,武器!$A:$W,COLUMN(武器!W$1),FALSE)</f>
        <v>長剣。長く重い分扱いにくいが威力が高い。</v>
      </c>
      <c r="CR44" t="str">
        <f t="shared" si="1"/>
        <v>e_44</v>
      </c>
      <c r="CS44">
        <f t="shared" si="2"/>
        <v>20000</v>
      </c>
    </row>
    <row r="45" spans="1:97" outlineLevel="1" x14ac:dyDescent="0.4">
      <c r="A45" t="str">
        <f t="shared" si="3"/>
        <v>木の大剣</v>
      </c>
      <c r="B45" t="str">
        <f>IFERROR(VLOOKUP($D45,素材!$1:$1016,COLUMN($B$1),FALSE)&amp;"・"&amp;VLOOKUP($C45,武器!$1:$998,COLUMN(B$1),FALSE),"")</f>
        <v>ウッド・バスターソード</v>
      </c>
      <c r="C45" s="24" t="s">
        <v>237</v>
      </c>
      <c r="D45" s="24" t="s">
        <v>255</v>
      </c>
      <c r="E45" t="str">
        <f>IFERROR(VLOOKUP(C45,武器!$1:$998,COLUMN(C$1),FALSE),"")</f>
        <v>武器</v>
      </c>
      <c r="F45">
        <f>IFERROR(ROUNDDOWN((VLOOKUP($C45,武器!$1:$998,COLUMN(D$1),FALSE)+IFERROR(VLOOKUP($CI45,装強!$1:$999,COLUMN(F$1),FALSE),0))*VLOOKUP($D45,素材!$1:$1016,COLUMN(D$1),FALSE),0),"")</f>
        <v>93</v>
      </c>
      <c r="G45">
        <f>IFERROR(ROUNDDOWN((VLOOKUP($C45,武器!$1:$998,COLUMN(E$1),FALSE)+IFERROR(VLOOKUP($CI45,装強!$1:$999,COLUMN(G$1),FALSE),0))*VLOOKUP($D45,素材!$1:$1016,COLUMN($E$1),FALSE),0),"")</f>
        <v>13</v>
      </c>
      <c r="H45">
        <f>IFERROR(ROUNDDOWN((VLOOKUP($C45,武器!$1:$998,COLUMN(F$1),FALSE)+IFERROR(VLOOKUP($CI45,装強!$1:$999,COLUMN(H$1),FALSE),0))*VLOOKUP($D45,素材!$1:$1016,COLUMN($E$1),FALSE),0),"")</f>
        <v>6</v>
      </c>
      <c r="I45">
        <f>IFERROR(ROUNDDOWN((VLOOKUP($C45,武器!$1:$998,COLUMN(G$1),FALSE)+IFERROR(VLOOKUP($CI45,装強!$1:$999,COLUMN(I$1),FALSE),0))*VLOOKUP($D45,素材!$1:$1016,COLUMN($E$1),FALSE),0),"")</f>
        <v>3</v>
      </c>
      <c r="J45">
        <f>IFERROR(ROUNDDOWN((VLOOKUP($C45,武器!$1:$998,COLUMN(H$1),FALSE)+IFERROR(VLOOKUP($CI45,装強!$1:$999,COLUMN(J$1),FALSE),0))*VLOOKUP($D45,素材!$1:$1016,COLUMN($E$1),FALSE),0),"")</f>
        <v>16</v>
      </c>
      <c r="K45">
        <f>IFERROR(ROUNDDOWN((VLOOKUP($C45,武器!$1:$998,COLUMN(I$1),FALSE)+IFERROR(VLOOKUP($CI45,装強!$1:$999,COLUMN(K$1),FALSE),0))*VLOOKUP($D45,素材!$1:$1016,COLUMN($E$1),FALSE),0),"")</f>
        <v>0</v>
      </c>
      <c r="L45">
        <f>IFERROR(VLOOKUP($D45,素材!$1:$1016,COLUMN($F$1),FALSE),"")</f>
        <v>0</v>
      </c>
      <c r="M45">
        <f>IFERROR(VLOOKUP($C45,武器!$1:$998,COLUMN(AA$1),FALSE)*VLOOKUP($D45,素材!$1:$1016,COLUMN($G$1),FALSE),"")</f>
        <v>0</v>
      </c>
      <c r="N45">
        <f>IFERROR(VLOOKUP($C45,武器!$1:$998,COLUMN(I$1),FALSE),"")</f>
        <v>0</v>
      </c>
      <c r="O45" s="23">
        <f>IFERROR((VLOOKUP($C45,武器!$1:$998,COLUMN(K$1),FALSE)+VLOOKUP($D45,素材!$1:$1016,COLUMN(H$1),FALSE))*100+IFERROR(VLOOKUP($CI45,装強!$1:$999,COLUMN(O$1),FALSE),0),"")</f>
        <v>10</v>
      </c>
      <c r="P45" s="23">
        <f>IFERROR((VLOOKUP($C45,武器!$1:$998,COLUMN(L$1),FALSE)+VLOOKUP($D45,素材!$1:$1016,COLUMN(I$1),FALSE))*100+IFERROR(VLOOKUP($CI45,装強!$1:$999,COLUMN(P$1),FALSE),0),"")</f>
        <v>150</v>
      </c>
      <c r="Q45">
        <f>IFERROR(ROUNDUP(VLOOKUP($C45,武器!$1:$998,COLUMN(M$1),FALSE)*(VLOOKUP($D45,素材!$1:$1002,COLUMN(D$1),FALSE)/100),1),"")</f>
        <v>-5.6999999999999993</v>
      </c>
      <c r="R45">
        <f>IFERROR(ROUNDUP(VLOOKUP($C45,武器!$1:$998,COLUMN(N$1),FALSE)*(VLOOKUP($D45,素材!$1:$1002,COLUMN(D$1),FALSE)/100),1),"")</f>
        <v>-5.6999999999999993</v>
      </c>
      <c r="S45">
        <f>IFERROR(VLOOKUP($C45,武器!$1:$998,COLUMN(P$1),FALSE),"")</f>
        <v>0</v>
      </c>
      <c r="T45">
        <f>IFERROR(VLOOKUP($C45,武器!$1:$998,COLUMN(Q$1),FALSE),"")</f>
        <v>0</v>
      </c>
      <c r="U45">
        <f>IFERROR(VLOOKUP($C45,武器!$1:$998,COLUMN(R$1),FALSE),"")</f>
        <v>0</v>
      </c>
      <c r="V45">
        <f>IFERROR(VLOOKUP($C45,武器!$1:$998,COLUMN(Q$1),FALSE),"")</f>
        <v>0</v>
      </c>
      <c r="W45" t="str">
        <f>IFERROR(VLOOKUP($C45,武器!$1:$998,COLUMN(T$1),FALSE),"")</f>
        <v>A</v>
      </c>
      <c r="Y45">
        <f>IFERROR(VLOOKUP($C45,武器!$1:$998,COLUMN(U$1),FALSE),"")</f>
        <v>0</v>
      </c>
      <c r="Z45">
        <f>IFERROR(ROUNDUP(VLOOKUP($C45,武器!$1:$998,COLUMN(O$1),FALSE)*VLOOKUP($D45,素材!$1:$1016,COLUMN(E$1),FALSE),1),"")</f>
        <v>0</v>
      </c>
      <c r="AA45">
        <f>IF(ISNUMBER(SEARCH(SUBSTITUTE(AA$1,RIGHT(AA$1,2),""),VLOOKUP($D45,素材!$1:$1016,COLUMN($F$1),FALSE))),VLOOKUP($C45,武器!$1:$998,COLUMN($O$1),FALSE)*VLOOKUP($D45,素材!$1:$1016,COLUMN($E$1),FALSE)/(LEN(VLOOKUP($D45,素材!$1:$1016,COLUMN($F$1),FALSE)) - LEN(SUBSTITUTE(VLOOKUP($D45,素材!$1:$1016,COLUMN($F$1),FALSE), "・", 0)) + 1), 0)</f>
        <v>0</v>
      </c>
      <c r="AB45">
        <f>IF(ISNUMBER(SEARCH(SUBSTITUTE(AB$1,RIGHT(AB$1,2),""),VLOOKUP($D45,素材!$1:$1016,COLUMN($F$1),FALSE))),VLOOKUP($C45,武器!$1:$998,COLUMN($O$1),FALSE)*VLOOKUP($D45,素材!$1:$1016,COLUMN($E$1),FALSE)/(LEN(VLOOKUP($D45,素材!$1:$1016,COLUMN($F$1),FALSE)) - LEN(SUBSTITUTE(VLOOKUP($D45,素材!$1:$1016,COLUMN($F$1),FALSE), "・", 0)) + 1), 0)</f>
        <v>0</v>
      </c>
      <c r="AC45">
        <f>IF(ISNUMBER(SEARCH(SUBSTITUTE(AC$1,RIGHT(AC$1,2),""),VLOOKUP($D45,素材!$1:$1016,COLUMN($F$1),FALSE))),VLOOKUP($C45,武器!$1:$998,COLUMN($O$1),FALSE)*VLOOKUP($D45,素材!$1:$1016,COLUMN($E$1),FALSE)/(LEN(VLOOKUP($D45,素材!$1:$1016,COLUMN($F$1),FALSE)) - LEN(SUBSTITUTE(VLOOKUP($D45,素材!$1:$1016,COLUMN($F$1),FALSE), "・", 0)) + 1), 0)</f>
        <v>0</v>
      </c>
      <c r="AD45">
        <f>IF(ISNUMBER(SEARCH(SUBSTITUTE(AD$1,RIGHT(AD$1,2),""),VLOOKUP($D45,素材!$1:$1016,COLUMN($F$1),FALSE))),VLOOKUP($C45,武器!$1:$998,COLUMN($O$1),FALSE)*VLOOKUP($D45,素材!$1:$1016,COLUMN($E$1),FALSE)/(LEN(VLOOKUP($D45,素材!$1:$1016,COLUMN($F$1),FALSE)) - LEN(SUBSTITUTE(VLOOKUP($D45,素材!$1:$1016,COLUMN($F$1),FALSE), "・", 0)) + 1), 0)</f>
        <v>0</v>
      </c>
      <c r="AE45">
        <f>IF(ISNUMBER(SEARCH(SUBSTITUTE(AE$1,RIGHT(AE$1,2),""),VLOOKUP($D45,素材!$1:$1016,COLUMN($F$1),FALSE))),VLOOKUP($C45,武器!$1:$998,COLUMN($O$1),FALSE)*VLOOKUP($D45,素材!$1:$1016,COLUMN($E$1),FALSE)/(LEN(VLOOKUP($D45,素材!$1:$1016,COLUMN($F$1),FALSE)) - LEN(SUBSTITUTE(VLOOKUP($D45,素材!$1:$1016,COLUMN($F$1),FALSE), "・", 0)) + 1), 0)</f>
        <v>0</v>
      </c>
      <c r="AF45">
        <f>IF(ISNUMBER(SEARCH(SUBSTITUTE(AF$1,RIGHT(AF$1,2),""),VLOOKUP($D45,素材!$1:$1016,COLUMN($F$1),FALSE))),VLOOKUP($C45,武器!$1:$998,COLUMN($O$1),FALSE)*VLOOKUP($D45,素材!$1:$1016,COLUMN($E$1),FALSE)/(LEN(VLOOKUP($D45,素材!$1:$1016,COLUMN($F$1),FALSE)) - LEN(SUBSTITUTE(VLOOKUP($D45,素材!$1:$1016,COLUMN($F$1),FALSE), "・", 0)) + 1), 0)</f>
        <v>0</v>
      </c>
      <c r="AG45">
        <f>IF(ISNUMBER(SEARCH(SUBSTITUTE(AG$1,RIGHT(AG$1,2),""),VLOOKUP($D45,素材!$1:$1016,COLUMN($F$1),FALSE))),VLOOKUP($C45,武器!$1:$998,COLUMN($O$1),FALSE)*VLOOKUP($D45,素材!$1:$1016,COLUMN($E$1),FALSE)/(LEN(VLOOKUP($D45,素材!$1:$1016,COLUMN($F$1),FALSE)) - LEN(SUBSTITUTE(VLOOKUP($D45,素材!$1:$1016,COLUMN($F$1),FALSE), "・", 0)) + 1), 0)</f>
        <v>0</v>
      </c>
      <c r="AH45">
        <f>IF(ISNUMBER(SEARCH(SUBSTITUTE(AH$1,RIGHT(AH$1,2),""),VLOOKUP($D45,素材!$1:$1016,COLUMN($F$1),FALSE))),VLOOKUP($C45,武器!$1:$998,COLUMN($O$1),FALSE)*VLOOKUP($D45,素材!$1:$1016,COLUMN($E$1),FALSE)/(LEN(VLOOKUP($D45,素材!$1:$1016,COLUMN($F$1),FALSE)) - LEN(SUBSTITUTE(VLOOKUP($D45,素材!$1:$1016,COLUMN($F$1),FALSE), "・", 0)) + 1), 0)</f>
        <v>0</v>
      </c>
      <c r="AI45">
        <f>IF(ISNUMBER(SEARCH(SUBSTITUTE(AI$1,RIGHT(AI$1,2),""),VLOOKUP($D45,素材!$1:$1016,COLUMN($F$1),FALSE))),VLOOKUP($C45,武器!$1:$998,COLUMN($O$1),FALSE)*VLOOKUP($D45,素材!$1:$1016,COLUMN($E$1),FALSE)/(LEN(VLOOKUP($D45,素材!$1:$1016,COLUMN($F$1),FALSE)) - LEN(SUBSTITUTE(VLOOKUP($D45,素材!$1:$1016,COLUMN($F$1),FALSE), "・", 0)) + 1), 0)</f>
        <v>0</v>
      </c>
      <c r="AJ45">
        <f>IF(ISNUMBER(SEARCH(SUBSTITUTE(AJ$1,RIGHT(AJ$1,2),""),VLOOKUP($D45,素材!$1:$1016,COLUMN($F$1),FALSE))),VLOOKUP($C45,武器!$1:$998,COLUMN($O$1),FALSE)*VLOOKUP($D45,素材!$1:$1016,COLUMN($E$1),FALSE)/(LEN(VLOOKUP($D45,素材!$1:$1016,COLUMN($F$1),FALSE)) - LEN(SUBSTITUTE(VLOOKUP($D45,素材!$1:$1016,COLUMN($F$1),FALSE), "・", 0)) + 1), 0)</f>
        <v>0</v>
      </c>
      <c r="AK45">
        <f>IF(ISNUMBER(SEARCH(SUBSTITUTE(AK$1,RIGHT(AK$1,2),""),VLOOKUP($D45,素材!$1:$1016,COLUMN($F$1),FALSE))),VLOOKUP($C45,武器!$1:$998,COLUMN($O$1),FALSE)*VLOOKUP($D45,素材!$1:$1016,COLUMN($E$1),FALSE)/(LEN(VLOOKUP($D45,素材!$1:$1016,COLUMN($F$1),FALSE)) - LEN(SUBSTITUTE(VLOOKUP($D45,素材!$1:$1016,COLUMN($F$1),FALSE), "・", 0)) + 1), 0)</f>
        <v>0</v>
      </c>
      <c r="AL45">
        <f>IF(ISNUMBER(SEARCH(SUBSTITUTE(AL$1,RIGHT(AL$1,2),""),VLOOKUP($D45,素材!$1:$1016,COLUMN($F$1),FALSE))),VLOOKUP($C45,武器!$1:$998,COLUMN($O$1),FALSE)*VLOOKUP($D45,素材!$1:$1016,COLUMN($E$1),FALSE)/(LEN(VLOOKUP($D45,素材!$1:$1016,COLUMN($F$1),FALSE)) - LEN(SUBSTITUTE(VLOOKUP($D45,素材!$1:$1016,COLUMN($F$1),FALSE), "・", 0)) + 1), 0)</f>
        <v>0</v>
      </c>
      <c r="AM45">
        <f>IF(ISNUMBER(SEARCH(SUBSTITUTE(AM$1,RIGHT(AM$1,2),""),VLOOKUP($D45,素材!$1:$1016,COLUMN($F$1),FALSE))),VLOOKUP($C45,武器!$1:$998,COLUMN($O$1),FALSE)*VLOOKUP($D45,素材!$1:$1016,COLUMN($E$1),FALSE)/(LEN(VLOOKUP($D45,素材!$1:$1016,COLUMN($F$1),FALSE)) - LEN(SUBSTITUTE(VLOOKUP($D45,素材!$1:$1016,COLUMN($F$1),FALSE), "・", 0)) + 1), 0)</f>
        <v>0</v>
      </c>
      <c r="AN45">
        <f>IF(ISNUMBER(SEARCH(SUBSTITUTE(AN$1,RIGHT(AN$1,2),""),VLOOKUP($D45,素材!$1:$1016,COLUMN($F$1),FALSE))),VLOOKUP($C45,武器!$1:$998,COLUMN($O$1),FALSE)*VLOOKUP($D45,素材!$1:$1016,COLUMN($E$1),FALSE)/(LEN(VLOOKUP($D45,素材!$1:$1016,COLUMN($F$1),FALSE)) - LEN(SUBSTITUTE(VLOOKUP($D45,素材!$1:$1016,COLUMN($F$1),FALSE), "・", 0)) + 1), 0)</f>
        <v>0</v>
      </c>
      <c r="AO45">
        <f>IF(ISNUMBER(SEARCH(SUBSTITUTE(AO$1,RIGHT(AO$1,2),""),VLOOKUP($D45,素材!$1:$1016,COLUMN($F$1),FALSE))),VLOOKUP($C45,武器!$1:$998,COLUMN($O$1),FALSE)*VLOOKUP($D45,素材!$1:$1016,COLUMN($E$1),FALSE)/(LEN(VLOOKUP($D45,素材!$1:$1016,COLUMN($F$1),FALSE)) - LEN(SUBSTITUTE(VLOOKUP($D45,素材!$1:$1016,COLUMN($F$1),FALSE), "・", 0)) + 1), 0)</f>
        <v>0</v>
      </c>
      <c r="AP45">
        <f>IF(ISNUMBER(SEARCH(SUBSTITUTE(AP$1,RIGHT(AP$1,2),""),VLOOKUP($D45,素材!$1:$1016,COLUMN($F$1),FALSE))),VLOOKUP($C45,武器!$1:$998,COLUMN($O$1),FALSE)*VLOOKUP($D45,素材!$1:$1016,COLUMN($E$1),FALSE)/(LEN(VLOOKUP($D45,素材!$1:$1016,COLUMN($F$1),FALSE)) - LEN(SUBSTITUTE(VLOOKUP($D45,素材!$1:$1016,COLUMN($F$1),FALSE), "・", 0)) + 1), 0)</f>
        <v>0</v>
      </c>
      <c r="AQ45">
        <f>IF(ISNUMBER(SEARCH(SUBSTITUTE(AQ$1,RIGHT(AQ$1,2),""),VLOOKUP($D45,素材!$1:$1016,COLUMN($F$1),FALSE))),VLOOKUP($C45,武器!$1:$998,COLUMN($O$1),FALSE)*VLOOKUP($D45,素材!$1:$1016,COLUMN($E$1),FALSE)/(LEN(VLOOKUP($D45,素材!$1:$1016,COLUMN($F$1),FALSE)) - LEN(SUBSTITUTE(VLOOKUP($D45,素材!$1:$1016,COLUMN($F$1),FALSE), "・", 0)) + 1), 0)</f>
        <v>0</v>
      </c>
      <c r="AR45">
        <f>IF(ISNUMBER(SEARCH(SUBSTITUTE(AR$1,RIGHT(AR$1,2),""),VLOOKUP($D45,素材!$1:$1016,COLUMN($F$1),FALSE))),VLOOKUP($C45,武器!$1:$998,COLUMN($O$1),FALSE)*VLOOKUP($D45,素材!$1:$1016,COLUMN($E$1),FALSE)/(LEN(VLOOKUP($D45,素材!$1:$1016,COLUMN($F$1),FALSE)) - LEN(SUBSTITUTE(VLOOKUP($D45,素材!$1:$1016,COLUMN($F$1),FALSE), "・", 0)) + 1), 0)</f>
        <v>0</v>
      </c>
      <c r="AS45">
        <f>IF(ISNUMBER(SEARCH(SUBSTITUTE(AS$1,RIGHT(AS$1,2),""),VLOOKUP($D45,素材!$1:$1016,COLUMN($F$1),FALSE))),VLOOKUP($C45,武器!$1:$998,COLUMN($O$1),FALSE)*VLOOKUP($D45,素材!$1:$1016,COLUMN($E$1),FALSE)/(LEN(VLOOKUP($D45,素材!$1:$1016,COLUMN($F$1),FALSE)) - LEN(SUBSTITUTE(VLOOKUP($D45,素材!$1:$1016,COLUMN($F$1),FALSE), "・", 0)) + 1), 0)</f>
        <v>0</v>
      </c>
      <c r="AT45">
        <f>IF(ISNUMBER(SEARCH(SUBSTITUTE(AT$1,RIGHT(AT$1,2),""),VLOOKUP($D45,素材!$1:$1016,COLUMN($F$1),FALSE))),VLOOKUP($C45,武器!$1:$998,COLUMN($O$1),FALSE)*VLOOKUP($D45,素材!$1:$1016,COLUMN($E$1),FALSE)/(LEN(VLOOKUP($D45,素材!$1:$1016,COLUMN($F$1),FALSE)) - LEN(SUBSTITUTE(VLOOKUP($D45,素材!$1:$1016,COLUMN($F$1),FALSE), "・", 0)) + 1), 0)</f>
        <v>0</v>
      </c>
      <c r="AU45">
        <f>IF(ISNUMBER(SEARCH(SUBSTITUTE(AU$1,RIGHT(AU$1,2),""),VLOOKUP($D45,素材!$1:$1016,COLUMN($F$1),FALSE))),VLOOKUP($C45,武器!$1:$998,COLUMN($O$1),FALSE)*VLOOKUP($D45,素材!$1:$1016,COLUMN($E$1),FALSE)/(LEN(VLOOKUP($D45,素材!$1:$1016,COLUMN($F$1),FALSE)) - LEN(SUBSTITUTE(VLOOKUP($D45,素材!$1:$1016,COLUMN($F$1),FALSE), "・", 0)) + 1), 0)</f>
        <v>0</v>
      </c>
      <c r="AV45">
        <f>IF(ISNUMBER(SEARCH(SUBSTITUTE(AV$1,RIGHT(AV$1,2),""),VLOOKUP($D45,素材!$1:$1016,COLUMN($F$1),FALSE))),VLOOKUP($C45,武器!$1:$998,COLUMN($O$1),FALSE)*VLOOKUP($D45,素材!$1:$1016,COLUMN($E$1),FALSE)/(LEN(VLOOKUP($D45,素材!$1:$1016,COLUMN($F$1),FALSE)) - LEN(SUBSTITUTE(VLOOKUP($D45,素材!$1:$1016,COLUMN($F$1),FALSE), "・", 0)) + 1), 0)</f>
        <v>0</v>
      </c>
      <c r="AW45">
        <f>IF(ISNUMBER(SEARCH(SUBSTITUTE(AW$1,RIGHT(AW$1,2),""),VLOOKUP($D45,素材!$1:$1016,COLUMN($F$1),FALSE))),VLOOKUP($C45,武器!$1:$998,COLUMN($O$1),FALSE)*VLOOKUP($D45,素材!$1:$1016,COLUMN($E$1),FALSE)/(LEN(VLOOKUP($D45,素材!$1:$1016,COLUMN($F$1),FALSE)) - LEN(SUBSTITUTE(VLOOKUP($D45,素材!$1:$1016,COLUMN($F$1),FALSE), "・", 0)) + 1), 0)</f>
        <v>0</v>
      </c>
      <c r="AX45">
        <f>IF(ISNUMBER(SEARCH(SUBSTITUTE(AX$1,RIGHT(AX$1,2),""),VLOOKUP($D45,素材!$1:$1016,COLUMN($F$1),FALSE))),VLOOKUP($C45,武器!$1:$998,COLUMN($O$1),FALSE)*VLOOKUP($D45,素材!$1:$1016,COLUMN($E$1),FALSE)/(LEN(VLOOKUP($D45,素材!$1:$1016,COLUMN($F$1),FALSE)) - LEN(SUBSTITUTE(VLOOKUP($D45,素材!$1:$1016,COLUMN($F$1),FALSE), "・", 0)) + 1), 0)</f>
        <v>0</v>
      </c>
      <c r="AY45">
        <f>IF(ISNUMBER(SEARCH(SUBSTITUTE(AY$1,RIGHT(AY$1,2),""),VLOOKUP($D45,素材!$1:$1016,COLUMN($F$1),FALSE))),VLOOKUP($C45,武器!$1:$998,COLUMN($O$1),FALSE)*VLOOKUP($D45,素材!$1:$1016,COLUMN($E$1),FALSE)/(LEN(VLOOKUP($D45,素材!$1:$1016,COLUMN($F$1),FALSE)) - LEN(SUBSTITUTE(VLOOKUP($D45,素材!$1:$1016,COLUMN($F$1),FALSE), "・", 0)) + 1), 0)</f>
        <v>0</v>
      </c>
      <c r="AZ45">
        <f>IF(ISNUMBER(SEARCH(SUBSTITUTE(AZ$1,RIGHT(AZ$1,2),""),VLOOKUP($D45,素材!$1:$1016,COLUMN($F$1),FALSE))),VLOOKUP($C45,武器!$1:$998,COLUMN($O$1),FALSE)*VLOOKUP($D45,素材!$1:$1016,COLUMN($E$1),FALSE)/(LEN(VLOOKUP($D45,素材!$1:$1016,COLUMN($F$1),FALSE)) - LEN(SUBSTITUTE(VLOOKUP($D45,素材!$1:$1016,COLUMN($F$1),FALSE), "・", 0)) + 1), 0)</f>
        <v>0</v>
      </c>
      <c r="BA45">
        <f>IF(ISNUMBER(SEARCH(SUBSTITUTE(BA$1,RIGHT(BA$1,2),""),VLOOKUP($D45,素材!$1:$1016,COLUMN($F$1),FALSE))),VLOOKUP($C45,武器!$1:$998,COLUMN($O$1),FALSE)*VLOOKUP($D45,素材!$1:$1016,COLUMN($E$1),FALSE)/(LEN(VLOOKUP($D45,素材!$1:$1016,COLUMN($F$1),FALSE)) - LEN(SUBSTITUTE(VLOOKUP($D45,素材!$1:$1016,COLUMN($F$1),FALSE), "・", 0)) + 1), 0)</f>
        <v>0</v>
      </c>
      <c r="BB45">
        <f>IF(ISNUMBER(SEARCH(SUBSTITUTE(BB$1,RIGHT(BB$1,2),""),VLOOKUP($D45,素材!$1:$1016,COLUMN($F$1),FALSE))),VLOOKUP($C45,武器!$1:$998,COLUMN($O$1),FALSE)*VLOOKUP($D45,素材!$1:$1016,COLUMN($E$1),FALSE)/(LEN(VLOOKUP($D45,素材!$1:$1016,COLUMN($F$1),FALSE)) - LEN(SUBSTITUTE(VLOOKUP($D45,素材!$1:$1016,COLUMN($F$1),FALSE), "・", 0)) + 1), 0)</f>
        <v>0</v>
      </c>
      <c r="BC45">
        <f>IF(ISNUMBER(SEARCH(SUBSTITUTE(BC$1,RIGHT(BC$1,2),""),VLOOKUP($D45,素材!$1:$1016,COLUMN($F$1),FALSE))),VLOOKUP($C45,武器!$1:$998,COLUMN($O$1),FALSE)*VLOOKUP($D45,素材!$1:$1016,COLUMN($E$1),FALSE)/(LEN(VLOOKUP($D45,素材!$1:$1016,COLUMN($F$1),FALSE)) - LEN(SUBSTITUTE(VLOOKUP($D45,素材!$1:$1016,COLUMN($F$1),FALSE), "・", 0)) + 1), 0)</f>
        <v>0</v>
      </c>
      <c r="BD45">
        <f>IF(ISNUMBER(SEARCH(SUBSTITUTE(BD$1,RIGHT(BD$1,2),""),VLOOKUP($D45,素材!$1:$1016,COLUMN($F$1),FALSE))),VLOOKUP($C45,武器!$1:$998,COLUMN($O$1),FALSE)*VLOOKUP($D45,素材!$1:$1016,COLUMN($E$1),FALSE)/(LEN(VLOOKUP($D45,素材!$1:$1016,COLUMN($F$1),FALSE)) - LEN(SUBSTITUTE(VLOOKUP($D45,素材!$1:$1016,COLUMN($F$1),FALSE), "・", 0)) + 1), 0)</f>
        <v>0</v>
      </c>
      <c r="BE45">
        <f>IF(ISNUMBER(SEARCH(SUBSTITUTE(BE$1,RIGHT(BE$1,2),""),VLOOKUP($D45,素材!$1:$1016,COLUMN($F$1),FALSE))),VLOOKUP($C45,武器!$1:$998,COLUMN($O$1),FALSE)*VLOOKUP($D45,素材!$1:$1016,COLUMN($E$1),FALSE)/(LEN(VLOOKUP($D45,素材!$1:$1016,COLUMN($F$1),FALSE)) - LEN(SUBSTITUTE(VLOOKUP($D45,素材!$1:$1016,COLUMN($F$1),FALSE), "・", 0)) + 1), 0)</f>
        <v>0</v>
      </c>
      <c r="CL45">
        <f>SUM(G45:I45)</f>
        <v>22</v>
      </c>
      <c r="CM45" s="22" t="str">
        <f>IF(E45="武器",IF(J45-1&gt;SUM(G45:I45),"盾",IF(MAX(G45:I45)=G45,"切断",IF(MAX(G45:I45)=H45,"貫通",IF(MAX(G45:I45)=I45,"打撃","射撃")))),E45)&amp;".webp"</f>
        <v>切断.webp</v>
      </c>
      <c r="CN45">
        <f>IFERROR(VLOOKUP($C45,武器!$1:$998,COLUMN(V$1),FALSE)*VLOOKUP($D45,素材!$1:$1016,COLUMN(N$1),FALSE)+IF(CI45="",0,VLOOKUP($CI45,装強!$1:$1008,COLUMN($CK$1),FALSE)),"")</f>
        <v>300</v>
      </c>
      <c r="CO45" t="str">
        <f>VLOOKUP(D45,素材!$A:$O,COLUMN(素材!O$1),FALSE)</f>
        <v>一般的な木材。金属より軽いが少し脆い</v>
      </c>
      <c r="CP45" t="str">
        <f>VLOOKUP(C45,武器!$A:$W,COLUMN(武器!W$1),FALSE)</f>
        <v>大剣。非常に重いが威力が突出して高い武器。大きい分ガードにも向いている</v>
      </c>
      <c r="CR45" t="str">
        <f t="shared" si="1"/>
        <v>e_45</v>
      </c>
      <c r="CS45">
        <f t="shared" si="2"/>
        <v>30000</v>
      </c>
    </row>
    <row r="46" spans="1:97" outlineLevel="1" x14ac:dyDescent="0.4">
      <c r="A46" t="str">
        <f t="shared" si="3"/>
        <v>木の細剣</v>
      </c>
      <c r="B46" t="str">
        <f>IFERROR(VLOOKUP($D46,素材!$1:$1016,COLUMN($B$1),FALSE)&amp;"・"&amp;VLOOKUP($C46,武器!$1:$998,COLUMN(B$1),FALSE),"")</f>
        <v>ウッド・レイピア</v>
      </c>
      <c r="C46" s="24" t="s">
        <v>236</v>
      </c>
      <c r="D46" s="24" t="s">
        <v>255</v>
      </c>
      <c r="E46" t="str">
        <f>IFERROR(VLOOKUP(C46,武器!$1:$998,COLUMN(C$1),FALSE),"")</f>
        <v>武器</v>
      </c>
      <c r="F46">
        <f>IFERROR(ROUNDDOWN((VLOOKUP($C46,武器!$1:$998,COLUMN(D$1),FALSE)+IFERROR(VLOOKUP($CI46,装強!$1:$999,COLUMN(F$1),FALSE),0))*VLOOKUP($D46,素材!$1:$1016,COLUMN(D$1),FALSE),0),"")</f>
        <v>75</v>
      </c>
      <c r="G46">
        <f>IFERROR(ROUNDDOWN((VLOOKUP($C46,武器!$1:$998,COLUMN(E$1),FALSE)+IFERROR(VLOOKUP($CI46,装強!$1:$999,COLUMN(G$1),FALSE),0))*VLOOKUP($D46,素材!$1:$1016,COLUMN($E$1),FALSE),0),"")</f>
        <v>6</v>
      </c>
      <c r="H46">
        <f>IFERROR(ROUNDDOWN((VLOOKUP($C46,武器!$1:$998,COLUMN(F$1),FALSE)+IFERROR(VLOOKUP($CI46,装強!$1:$999,COLUMN(H$1),FALSE),0))*VLOOKUP($D46,素材!$1:$1016,COLUMN($E$1),FALSE),0),"")</f>
        <v>9</v>
      </c>
      <c r="I46">
        <f>IFERROR(ROUNDDOWN((VLOOKUP($C46,武器!$1:$998,COLUMN(G$1),FALSE)+IFERROR(VLOOKUP($CI46,装強!$1:$999,COLUMN(I$1),FALSE),0))*VLOOKUP($D46,素材!$1:$1016,COLUMN($E$1),FALSE),0),"")</f>
        <v>0</v>
      </c>
      <c r="J46">
        <f>IFERROR(ROUNDDOWN((VLOOKUP($C46,武器!$1:$998,COLUMN(H$1),FALSE)+IFERROR(VLOOKUP($CI46,装強!$1:$999,COLUMN(J$1),FALSE),0))*VLOOKUP($D46,素材!$1:$1016,COLUMN($E$1),FALSE),0),"")</f>
        <v>12</v>
      </c>
      <c r="K46">
        <f>IFERROR(ROUNDDOWN((VLOOKUP($C46,武器!$1:$998,COLUMN(I$1),FALSE)+IFERROR(VLOOKUP($CI46,装強!$1:$999,COLUMN(K$1),FALSE),0))*VLOOKUP($D46,素材!$1:$1016,COLUMN($E$1),FALSE),0),"")</f>
        <v>0</v>
      </c>
      <c r="L46">
        <f>IFERROR(VLOOKUP($D46,素材!$1:$1016,COLUMN($F$1),FALSE),"")</f>
        <v>0</v>
      </c>
      <c r="M46">
        <f>IFERROR(VLOOKUP($C46,武器!$1:$998,COLUMN(AA$1),FALSE)*VLOOKUP($D46,素材!$1:$1016,COLUMN($G$1),FALSE),"")</f>
        <v>0</v>
      </c>
      <c r="N46">
        <f>IFERROR(VLOOKUP($C46,武器!$1:$998,COLUMN(I$1),FALSE),"")</f>
        <v>0</v>
      </c>
      <c r="O46" s="23">
        <f>IFERROR((VLOOKUP($C46,武器!$1:$998,COLUMN(K$1),FALSE)+VLOOKUP($D46,素材!$1:$1016,COLUMN(H$1),FALSE))*100+IFERROR(VLOOKUP($CI46,装強!$1:$999,COLUMN(O$1),FALSE),0),"")</f>
        <v>15</v>
      </c>
      <c r="P46" s="23">
        <f>IFERROR((VLOOKUP($C46,武器!$1:$998,COLUMN(L$1),FALSE)+VLOOKUP($D46,素材!$1:$1016,COLUMN(I$1),FALSE))*100+IFERROR(VLOOKUP($CI46,装強!$1:$999,COLUMN(P$1),FALSE),0),"")</f>
        <v>125</v>
      </c>
      <c r="Q46">
        <f>IFERROR(ROUNDUP(VLOOKUP($C46,武器!$1:$998,COLUMN(M$1),FALSE)*(VLOOKUP($D46,素材!$1:$1002,COLUMN(D$1),FALSE)/100),1),"")</f>
        <v>0</v>
      </c>
      <c r="R46">
        <f>IFERROR(ROUNDUP(VLOOKUP($C46,武器!$1:$998,COLUMN(N$1),FALSE)*(VLOOKUP($D46,素材!$1:$1002,COLUMN(D$1),FALSE)/100),1),"")</f>
        <v>0</v>
      </c>
      <c r="S46">
        <f>IFERROR(VLOOKUP($C46,武器!$1:$998,COLUMN(P$1),FALSE),"")</f>
        <v>0</v>
      </c>
      <c r="T46">
        <f>IFERROR(VLOOKUP($C46,武器!$1:$998,COLUMN(Q$1),FALSE),"")</f>
        <v>0</v>
      </c>
      <c r="U46">
        <f>IFERROR(VLOOKUP($C46,武器!$1:$998,COLUMN(R$1),FALSE),"")</f>
        <v>0</v>
      </c>
      <c r="V46">
        <f>IFERROR(VLOOKUP($C46,武器!$1:$998,COLUMN(Q$1),FALSE),"")</f>
        <v>0</v>
      </c>
      <c r="W46" t="str">
        <f>IFERROR(VLOOKUP($C46,武器!$1:$998,COLUMN(T$1),FALSE),"")</f>
        <v>A</v>
      </c>
      <c r="Y46" t="str">
        <f>IFERROR(VLOOKUP($C46,武器!$1:$998,COLUMN(U$1),FALSE),"")</f>
        <v>片手適正Ⅰ</v>
      </c>
      <c r="Z46">
        <f>IFERROR(ROUNDUP(VLOOKUP($C46,武器!$1:$998,COLUMN(O$1),FALSE)*VLOOKUP($D46,素材!$1:$1016,COLUMN(E$1),FALSE),1),"")</f>
        <v>0</v>
      </c>
      <c r="AA46">
        <f>IF(ISNUMBER(SEARCH(SUBSTITUTE(AA$1,RIGHT(AA$1,2),""),VLOOKUP($D46,素材!$1:$1016,COLUMN($F$1),FALSE))),VLOOKUP($C46,武器!$1:$998,COLUMN($O$1),FALSE)*VLOOKUP($D46,素材!$1:$1016,COLUMN($E$1),FALSE)/(LEN(VLOOKUP($D46,素材!$1:$1016,COLUMN($F$1),FALSE)) - LEN(SUBSTITUTE(VLOOKUP($D46,素材!$1:$1016,COLUMN($F$1),FALSE), "・", 0)) + 1), 0)</f>
        <v>0</v>
      </c>
      <c r="AB46">
        <f>IF(ISNUMBER(SEARCH(SUBSTITUTE(AB$1,RIGHT(AB$1,2),""),VLOOKUP($D46,素材!$1:$1016,COLUMN($F$1),FALSE))),VLOOKUP($C46,武器!$1:$998,COLUMN($O$1),FALSE)*VLOOKUP($D46,素材!$1:$1016,COLUMN($E$1),FALSE)/(LEN(VLOOKUP($D46,素材!$1:$1016,COLUMN($F$1),FALSE)) - LEN(SUBSTITUTE(VLOOKUP($D46,素材!$1:$1016,COLUMN($F$1),FALSE), "・", 0)) + 1), 0)</f>
        <v>0</v>
      </c>
      <c r="AC46">
        <f>IF(ISNUMBER(SEARCH(SUBSTITUTE(AC$1,RIGHT(AC$1,2),""),VLOOKUP($D46,素材!$1:$1016,COLUMN($F$1),FALSE))),VLOOKUP($C46,武器!$1:$998,COLUMN($O$1),FALSE)*VLOOKUP($D46,素材!$1:$1016,COLUMN($E$1),FALSE)/(LEN(VLOOKUP($D46,素材!$1:$1016,COLUMN($F$1),FALSE)) - LEN(SUBSTITUTE(VLOOKUP($D46,素材!$1:$1016,COLUMN($F$1),FALSE), "・", 0)) + 1), 0)</f>
        <v>0</v>
      </c>
      <c r="AD46">
        <f>IF(ISNUMBER(SEARCH(SUBSTITUTE(AD$1,RIGHT(AD$1,2),""),VLOOKUP($D46,素材!$1:$1016,COLUMN($F$1),FALSE))),VLOOKUP($C46,武器!$1:$998,COLUMN($O$1),FALSE)*VLOOKUP($D46,素材!$1:$1016,COLUMN($E$1),FALSE)/(LEN(VLOOKUP($D46,素材!$1:$1016,COLUMN($F$1),FALSE)) - LEN(SUBSTITUTE(VLOOKUP($D46,素材!$1:$1016,COLUMN($F$1),FALSE), "・", 0)) + 1), 0)</f>
        <v>0</v>
      </c>
      <c r="AE46">
        <f>IF(ISNUMBER(SEARCH(SUBSTITUTE(AE$1,RIGHT(AE$1,2),""),VLOOKUP($D46,素材!$1:$1016,COLUMN($F$1),FALSE))),VLOOKUP($C46,武器!$1:$998,COLUMN($O$1),FALSE)*VLOOKUP($D46,素材!$1:$1016,COLUMN($E$1),FALSE)/(LEN(VLOOKUP($D46,素材!$1:$1016,COLUMN($F$1),FALSE)) - LEN(SUBSTITUTE(VLOOKUP($D46,素材!$1:$1016,COLUMN($F$1),FALSE), "・", 0)) + 1), 0)</f>
        <v>0</v>
      </c>
      <c r="AF46">
        <f>IF(ISNUMBER(SEARCH(SUBSTITUTE(AF$1,RIGHT(AF$1,2),""),VLOOKUP($D46,素材!$1:$1016,COLUMN($F$1),FALSE))),VLOOKUP($C46,武器!$1:$998,COLUMN($O$1),FALSE)*VLOOKUP($D46,素材!$1:$1016,COLUMN($E$1),FALSE)/(LEN(VLOOKUP($D46,素材!$1:$1016,COLUMN($F$1),FALSE)) - LEN(SUBSTITUTE(VLOOKUP($D46,素材!$1:$1016,COLUMN($F$1),FALSE), "・", 0)) + 1), 0)</f>
        <v>0</v>
      </c>
      <c r="AG46">
        <f>IF(ISNUMBER(SEARCH(SUBSTITUTE(AG$1,RIGHT(AG$1,2),""),VLOOKUP($D46,素材!$1:$1016,COLUMN($F$1),FALSE))),VLOOKUP($C46,武器!$1:$998,COLUMN($O$1),FALSE)*VLOOKUP($D46,素材!$1:$1016,COLUMN($E$1),FALSE)/(LEN(VLOOKUP($D46,素材!$1:$1016,COLUMN($F$1),FALSE)) - LEN(SUBSTITUTE(VLOOKUP($D46,素材!$1:$1016,COLUMN($F$1),FALSE), "・", 0)) + 1), 0)</f>
        <v>0</v>
      </c>
      <c r="AH46">
        <f>IF(ISNUMBER(SEARCH(SUBSTITUTE(AH$1,RIGHT(AH$1,2),""),VLOOKUP($D46,素材!$1:$1016,COLUMN($F$1),FALSE))),VLOOKUP($C46,武器!$1:$998,COLUMN($O$1),FALSE)*VLOOKUP($D46,素材!$1:$1016,COLUMN($E$1),FALSE)/(LEN(VLOOKUP($D46,素材!$1:$1016,COLUMN($F$1),FALSE)) - LEN(SUBSTITUTE(VLOOKUP($D46,素材!$1:$1016,COLUMN($F$1),FALSE), "・", 0)) + 1), 0)</f>
        <v>0</v>
      </c>
      <c r="AI46">
        <f>IF(ISNUMBER(SEARCH(SUBSTITUTE(AI$1,RIGHT(AI$1,2),""),VLOOKUP($D46,素材!$1:$1016,COLUMN($F$1),FALSE))),VLOOKUP($C46,武器!$1:$998,COLUMN($O$1),FALSE)*VLOOKUP($D46,素材!$1:$1016,COLUMN($E$1),FALSE)/(LEN(VLOOKUP($D46,素材!$1:$1016,COLUMN($F$1),FALSE)) - LEN(SUBSTITUTE(VLOOKUP($D46,素材!$1:$1016,COLUMN($F$1),FALSE), "・", 0)) + 1), 0)</f>
        <v>0</v>
      </c>
      <c r="AJ46">
        <f>IF(ISNUMBER(SEARCH(SUBSTITUTE(AJ$1,RIGHT(AJ$1,2),""),VLOOKUP($D46,素材!$1:$1016,COLUMN($F$1),FALSE))),VLOOKUP($C46,武器!$1:$998,COLUMN($O$1),FALSE)*VLOOKUP($D46,素材!$1:$1016,COLUMN($E$1),FALSE)/(LEN(VLOOKUP($D46,素材!$1:$1016,COLUMN($F$1),FALSE)) - LEN(SUBSTITUTE(VLOOKUP($D46,素材!$1:$1016,COLUMN($F$1),FALSE), "・", 0)) + 1), 0)</f>
        <v>0</v>
      </c>
      <c r="AK46">
        <f>IF(ISNUMBER(SEARCH(SUBSTITUTE(AK$1,RIGHT(AK$1,2),""),VLOOKUP($D46,素材!$1:$1016,COLUMN($F$1),FALSE))),VLOOKUP($C46,武器!$1:$998,COLUMN($O$1),FALSE)*VLOOKUP($D46,素材!$1:$1016,COLUMN($E$1),FALSE)/(LEN(VLOOKUP($D46,素材!$1:$1016,COLUMN($F$1),FALSE)) - LEN(SUBSTITUTE(VLOOKUP($D46,素材!$1:$1016,COLUMN($F$1),FALSE), "・", 0)) + 1), 0)</f>
        <v>0</v>
      </c>
      <c r="AL46">
        <f>IF(ISNUMBER(SEARCH(SUBSTITUTE(AL$1,RIGHT(AL$1,2),""),VLOOKUP($D46,素材!$1:$1016,COLUMN($F$1),FALSE))),VLOOKUP($C46,武器!$1:$998,COLUMN($O$1),FALSE)*VLOOKUP($D46,素材!$1:$1016,COLUMN($E$1),FALSE)/(LEN(VLOOKUP($D46,素材!$1:$1016,COLUMN($F$1),FALSE)) - LEN(SUBSTITUTE(VLOOKUP($D46,素材!$1:$1016,COLUMN($F$1),FALSE), "・", 0)) + 1), 0)</f>
        <v>0</v>
      </c>
      <c r="AM46">
        <f>IF(ISNUMBER(SEARCH(SUBSTITUTE(AM$1,RIGHT(AM$1,2),""),VLOOKUP($D46,素材!$1:$1016,COLUMN($F$1),FALSE))),VLOOKUP($C46,武器!$1:$998,COLUMN($O$1),FALSE)*VLOOKUP($D46,素材!$1:$1016,COLUMN($E$1),FALSE)/(LEN(VLOOKUP($D46,素材!$1:$1016,COLUMN($F$1),FALSE)) - LEN(SUBSTITUTE(VLOOKUP($D46,素材!$1:$1016,COLUMN($F$1),FALSE), "・", 0)) + 1), 0)</f>
        <v>0</v>
      </c>
      <c r="AN46">
        <f>IF(ISNUMBER(SEARCH(SUBSTITUTE(AN$1,RIGHT(AN$1,2),""),VLOOKUP($D46,素材!$1:$1016,COLUMN($F$1),FALSE))),VLOOKUP($C46,武器!$1:$998,COLUMN($O$1),FALSE)*VLOOKUP($D46,素材!$1:$1016,COLUMN($E$1),FALSE)/(LEN(VLOOKUP($D46,素材!$1:$1016,COLUMN($F$1),FALSE)) - LEN(SUBSTITUTE(VLOOKUP($D46,素材!$1:$1016,COLUMN($F$1),FALSE), "・", 0)) + 1), 0)</f>
        <v>0</v>
      </c>
      <c r="AO46">
        <f>IF(ISNUMBER(SEARCH(SUBSTITUTE(AO$1,RIGHT(AO$1,2),""),VLOOKUP($D46,素材!$1:$1016,COLUMN($F$1),FALSE))),VLOOKUP($C46,武器!$1:$998,COLUMN($O$1),FALSE)*VLOOKUP($D46,素材!$1:$1016,COLUMN($E$1),FALSE)/(LEN(VLOOKUP($D46,素材!$1:$1016,COLUMN($F$1),FALSE)) - LEN(SUBSTITUTE(VLOOKUP($D46,素材!$1:$1016,COLUMN($F$1),FALSE), "・", 0)) + 1), 0)</f>
        <v>0</v>
      </c>
      <c r="AP46">
        <f>IF(ISNUMBER(SEARCH(SUBSTITUTE(AP$1,RIGHT(AP$1,2),""),VLOOKUP($D46,素材!$1:$1016,COLUMN($F$1),FALSE))),VLOOKUP($C46,武器!$1:$998,COLUMN($O$1),FALSE)*VLOOKUP($D46,素材!$1:$1016,COLUMN($E$1),FALSE)/(LEN(VLOOKUP($D46,素材!$1:$1016,COLUMN($F$1),FALSE)) - LEN(SUBSTITUTE(VLOOKUP($D46,素材!$1:$1016,COLUMN($F$1),FALSE), "・", 0)) + 1), 0)</f>
        <v>0</v>
      </c>
      <c r="AQ46">
        <f>IF(ISNUMBER(SEARCH(SUBSTITUTE(AQ$1,RIGHT(AQ$1,2),""),VLOOKUP($D46,素材!$1:$1016,COLUMN($F$1),FALSE))),VLOOKUP($C46,武器!$1:$998,COLUMN($O$1),FALSE)*VLOOKUP($D46,素材!$1:$1016,COLUMN($E$1),FALSE)/(LEN(VLOOKUP($D46,素材!$1:$1016,COLUMN($F$1),FALSE)) - LEN(SUBSTITUTE(VLOOKUP($D46,素材!$1:$1016,COLUMN($F$1),FALSE), "・", 0)) + 1), 0)</f>
        <v>0</v>
      </c>
      <c r="AR46">
        <f>IF(ISNUMBER(SEARCH(SUBSTITUTE(AR$1,RIGHT(AR$1,2),""),VLOOKUP($D46,素材!$1:$1016,COLUMN($F$1),FALSE))),VLOOKUP($C46,武器!$1:$998,COLUMN($O$1),FALSE)*VLOOKUP($D46,素材!$1:$1016,COLUMN($E$1),FALSE)/(LEN(VLOOKUP($D46,素材!$1:$1016,COLUMN($F$1),FALSE)) - LEN(SUBSTITUTE(VLOOKUP($D46,素材!$1:$1016,COLUMN($F$1),FALSE), "・", 0)) + 1), 0)</f>
        <v>0</v>
      </c>
      <c r="AS46">
        <f>IF(ISNUMBER(SEARCH(SUBSTITUTE(AS$1,RIGHT(AS$1,2),""),VLOOKUP($D46,素材!$1:$1016,COLUMN($F$1),FALSE))),VLOOKUP($C46,武器!$1:$998,COLUMN($O$1),FALSE)*VLOOKUP($D46,素材!$1:$1016,COLUMN($E$1),FALSE)/(LEN(VLOOKUP($D46,素材!$1:$1016,COLUMN($F$1),FALSE)) - LEN(SUBSTITUTE(VLOOKUP($D46,素材!$1:$1016,COLUMN($F$1),FALSE), "・", 0)) + 1), 0)</f>
        <v>0</v>
      </c>
      <c r="AT46">
        <f>IF(ISNUMBER(SEARCH(SUBSTITUTE(AT$1,RIGHT(AT$1,2),""),VLOOKUP($D46,素材!$1:$1016,COLUMN($F$1),FALSE))),VLOOKUP($C46,武器!$1:$998,COLUMN($O$1),FALSE)*VLOOKUP($D46,素材!$1:$1016,COLUMN($E$1),FALSE)/(LEN(VLOOKUP($D46,素材!$1:$1016,COLUMN($F$1),FALSE)) - LEN(SUBSTITUTE(VLOOKUP($D46,素材!$1:$1016,COLUMN($F$1),FALSE), "・", 0)) + 1), 0)</f>
        <v>0</v>
      </c>
      <c r="AU46">
        <f>IF(ISNUMBER(SEARCH(SUBSTITUTE(AU$1,RIGHT(AU$1,2),""),VLOOKUP($D46,素材!$1:$1016,COLUMN($F$1),FALSE))),VLOOKUP($C46,武器!$1:$998,COLUMN($O$1),FALSE)*VLOOKUP($D46,素材!$1:$1016,COLUMN($E$1),FALSE)/(LEN(VLOOKUP($D46,素材!$1:$1016,COLUMN($F$1),FALSE)) - LEN(SUBSTITUTE(VLOOKUP($D46,素材!$1:$1016,COLUMN($F$1),FALSE), "・", 0)) + 1), 0)</f>
        <v>0</v>
      </c>
      <c r="AV46">
        <f>IF(ISNUMBER(SEARCH(SUBSTITUTE(AV$1,RIGHT(AV$1,2),""),VLOOKUP($D46,素材!$1:$1016,COLUMN($F$1),FALSE))),VLOOKUP($C46,武器!$1:$998,COLUMN($O$1),FALSE)*VLOOKUP($D46,素材!$1:$1016,COLUMN($E$1),FALSE)/(LEN(VLOOKUP($D46,素材!$1:$1016,COLUMN($F$1),FALSE)) - LEN(SUBSTITUTE(VLOOKUP($D46,素材!$1:$1016,COLUMN($F$1),FALSE), "・", 0)) + 1), 0)</f>
        <v>0</v>
      </c>
      <c r="AW46">
        <f>IF(ISNUMBER(SEARCH(SUBSTITUTE(AW$1,RIGHT(AW$1,2),""),VLOOKUP($D46,素材!$1:$1016,COLUMN($F$1),FALSE))),VLOOKUP($C46,武器!$1:$998,COLUMN($O$1),FALSE)*VLOOKUP($D46,素材!$1:$1016,COLUMN($E$1),FALSE)/(LEN(VLOOKUP($D46,素材!$1:$1016,COLUMN($F$1),FALSE)) - LEN(SUBSTITUTE(VLOOKUP($D46,素材!$1:$1016,COLUMN($F$1),FALSE), "・", 0)) + 1), 0)</f>
        <v>0</v>
      </c>
      <c r="AX46">
        <f>IF(ISNUMBER(SEARCH(SUBSTITUTE(AX$1,RIGHT(AX$1,2),""),VLOOKUP($D46,素材!$1:$1016,COLUMN($F$1),FALSE))),VLOOKUP($C46,武器!$1:$998,COLUMN($O$1),FALSE)*VLOOKUP($D46,素材!$1:$1016,COLUMN($E$1),FALSE)/(LEN(VLOOKUP($D46,素材!$1:$1016,COLUMN($F$1),FALSE)) - LEN(SUBSTITUTE(VLOOKUP($D46,素材!$1:$1016,COLUMN($F$1),FALSE), "・", 0)) + 1), 0)</f>
        <v>0</v>
      </c>
      <c r="AY46">
        <f>IF(ISNUMBER(SEARCH(SUBSTITUTE(AY$1,RIGHT(AY$1,2),""),VLOOKUP($D46,素材!$1:$1016,COLUMN($F$1),FALSE))),VLOOKUP($C46,武器!$1:$998,COLUMN($O$1),FALSE)*VLOOKUP($D46,素材!$1:$1016,COLUMN($E$1),FALSE)/(LEN(VLOOKUP($D46,素材!$1:$1016,COLUMN($F$1),FALSE)) - LEN(SUBSTITUTE(VLOOKUP($D46,素材!$1:$1016,COLUMN($F$1),FALSE), "・", 0)) + 1), 0)</f>
        <v>0</v>
      </c>
      <c r="AZ46">
        <f>IF(ISNUMBER(SEARCH(SUBSTITUTE(AZ$1,RIGHT(AZ$1,2),""),VLOOKUP($D46,素材!$1:$1016,COLUMN($F$1),FALSE))),VLOOKUP($C46,武器!$1:$998,COLUMN($O$1),FALSE)*VLOOKUP($D46,素材!$1:$1016,COLUMN($E$1),FALSE)/(LEN(VLOOKUP($D46,素材!$1:$1016,COLUMN($F$1),FALSE)) - LEN(SUBSTITUTE(VLOOKUP($D46,素材!$1:$1016,COLUMN($F$1),FALSE), "・", 0)) + 1), 0)</f>
        <v>0</v>
      </c>
      <c r="BA46">
        <f>IF(ISNUMBER(SEARCH(SUBSTITUTE(BA$1,RIGHT(BA$1,2),""),VLOOKUP($D46,素材!$1:$1016,COLUMN($F$1),FALSE))),VLOOKUP($C46,武器!$1:$998,COLUMN($O$1),FALSE)*VLOOKUP($D46,素材!$1:$1016,COLUMN($E$1),FALSE)/(LEN(VLOOKUP($D46,素材!$1:$1016,COLUMN($F$1),FALSE)) - LEN(SUBSTITUTE(VLOOKUP($D46,素材!$1:$1016,COLUMN($F$1),FALSE), "・", 0)) + 1), 0)</f>
        <v>0</v>
      </c>
      <c r="BB46">
        <f>IF(ISNUMBER(SEARCH(SUBSTITUTE(BB$1,RIGHT(BB$1,2),""),VLOOKUP($D46,素材!$1:$1016,COLUMN($F$1),FALSE))),VLOOKUP($C46,武器!$1:$998,COLUMN($O$1),FALSE)*VLOOKUP($D46,素材!$1:$1016,COLUMN($E$1),FALSE)/(LEN(VLOOKUP($D46,素材!$1:$1016,COLUMN($F$1),FALSE)) - LEN(SUBSTITUTE(VLOOKUP($D46,素材!$1:$1016,COLUMN($F$1),FALSE), "・", 0)) + 1), 0)</f>
        <v>0</v>
      </c>
      <c r="BC46">
        <f>IF(ISNUMBER(SEARCH(SUBSTITUTE(BC$1,RIGHT(BC$1,2),""),VLOOKUP($D46,素材!$1:$1016,COLUMN($F$1),FALSE))),VLOOKUP($C46,武器!$1:$998,COLUMN($O$1),FALSE)*VLOOKUP($D46,素材!$1:$1016,COLUMN($E$1),FALSE)/(LEN(VLOOKUP($D46,素材!$1:$1016,COLUMN($F$1),FALSE)) - LEN(SUBSTITUTE(VLOOKUP($D46,素材!$1:$1016,COLUMN($F$1),FALSE), "・", 0)) + 1), 0)</f>
        <v>0</v>
      </c>
      <c r="BD46">
        <f>IF(ISNUMBER(SEARCH(SUBSTITUTE(BD$1,RIGHT(BD$1,2),""),VLOOKUP($D46,素材!$1:$1016,COLUMN($F$1),FALSE))),VLOOKUP($C46,武器!$1:$998,COLUMN($O$1),FALSE)*VLOOKUP($D46,素材!$1:$1016,COLUMN($E$1),FALSE)/(LEN(VLOOKUP($D46,素材!$1:$1016,COLUMN($F$1),FALSE)) - LEN(SUBSTITUTE(VLOOKUP($D46,素材!$1:$1016,COLUMN($F$1),FALSE), "・", 0)) + 1), 0)</f>
        <v>0</v>
      </c>
      <c r="BE46">
        <f>IF(ISNUMBER(SEARCH(SUBSTITUTE(BE$1,RIGHT(BE$1,2),""),VLOOKUP($D46,素材!$1:$1016,COLUMN($F$1),FALSE))),VLOOKUP($C46,武器!$1:$998,COLUMN($O$1),FALSE)*VLOOKUP($D46,素材!$1:$1016,COLUMN($E$1),FALSE)/(LEN(VLOOKUP($D46,素材!$1:$1016,COLUMN($F$1),FALSE)) - LEN(SUBSTITUTE(VLOOKUP($D46,素材!$1:$1016,COLUMN($F$1),FALSE), "・", 0)) + 1), 0)</f>
        <v>0</v>
      </c>
      <c r="CL46">
        <f>SUM(G46:I46)</f>
        <v>15</v>
      </c>
      <c r="CM46" s="22" t="str">
        <f>IF(E46="武器",IF(J46-1&gt;SUM(G46:I46),"盾",IF(MAX(G46:I46)=G46,"切断",IF(MAX(G46:I46)=H46,"貫通",IF(MAX(G46:I46)=I46,"打撃","射撃")))),E46)&amp;".webp"</f>
        <v>貫通.webp</v>
      </c>
      <c r="CN46">
        <f>IFERROR(VLOOKUP($C46,武器!$1:$998,COLUMN(V$1),FALSE)*VLOOKUP($D46,素材!$1:$1016,COLUMN(N$1),FALSE)+IF(CI46="",0,VLOOKUP($CI46,装強!$1:$1008,COLUMN($CK$1),FALSE)),"")</f>
        <v>200</v>
      </c>
      <c r="CO46" t="str">
        <f>VLOOKUP(D46,素材!$A:$O,COLUMN(素材!O$1),FALSE)</f>
        <v>一般的な木材。金属より軽いが少し脆い</v>
      </c>
      <c r="CP46" t="str">
        <f>VLOOKUP(C46,武器!$A:$W,COLUMN(武器!W$1),FALSE)</f>
        <v>細剣。刺突に優れた武器でCr率が高い</v>
      </c>
      <c r="CR46" t="str">
        <f t="shared" si="1"/>
        <v>e_46</v>
      </c>
      <c r="CS46">
        <f t="shared" si="2"/>
        <v>20000</v>
      </c>
    </row>
    <row r="47" spans="1:97" outlineLevel="1" x14ac:dyDescent="0.4">
      <c r="A47" t="str">
        <f t="shared" si="3"/>
        <v>木の刺剣</v>
      </c>
      <c r="B47" t="str">
        <f>IFERROR(VLOOKUP($D47,素材!$1:$1016,COLUMN($B$1),FALSE)&amp;"・"&amp;VLOOKUP($C47,武器!$1:$998,COLUMN(B$1),FALSE),"")</f>
        <v>ウッド・スティレット</v>
      </c>
      <c r="C47" s="24" t="s">
        <v>235</v>
      </c>
      <c r="D47" s="24" t="s">
        <v>255</v>
      </c>
      <c r="E47" t="str">
        <f>IFERROR(VLOOKUP(C47,武器!$1:$998,COLUMN(C$1),FALSE),"")</f>
        <v>武器</v>
      </c>
      <c r="F47">
        <f>IFERROR(ROUNDDOWN((VLOOKUP($C47,武器!$1:$998,COLUMN(D$1),FALSE)+IFERROR(VLOOKUP($CI47,装強!$1:$999,COLUMN(F$1),FALSE),0))*VLOOKUP($D47,素材!$1:$1016,COLUMN(D$1),FALSE),0),"")</f>
        <v>82</v>
      </c>
      <c r="G47">
        <f>IFERROR(ROUNDDOWN((VLOOKUP($C47,武器!$1:$998,COLUMN(E$1),FALSE)+IFERROR(VLOOKUP($CI47,装強!$1:$999,COLUMN(G$1),FALSE),0))*VLOOKUP($D47,素材!$1:$1016,COLUMN($E$1),FALSE),0),"")</f>
        <v>3</v>
      </c>
      <c r="H47">
        <f>IFERROR(ROUNDDOWN((VLOOKUP($C47,武器!$1:$998,COLUMN(F$1),FALSE)+IFERROR(VLOOKUP($CI47,装強!$1:$999,COLUMN(H$1),FALSE),0))*VLOOKUP($D47,素材!$1:$1016,COLUMN($E$1),FALSE),0),"")</f>
        <v>13</v>
      </c>
      <c r="I47">
        <f>IFERROR(ROUNDDOWN((VLOOKUP($C47,武器!$1:$998,COLUMN(G$1),FALSE)+IFERROR(VLOOKUP($CI47,装強!$1:$999,COLUMN(I$1),FALSE),0))*VLOOKUP($D47,素材!$1:$1016,COLUMN($E$1),FALSE),0),"")</f>
        <v>0</v>
      </c>
      <c r="J47">
        <f>IFERROR(ROUNDDOWN((VLOOKUP($C47,武器!$1:$998,COLUMN(H$1),FALSE)+IFERROR(VLOOKUP($CI47,装強!$1:$999,COLUMN(J$1),FALSE),0))*VLOOKUP($D47,素材!$1:$1016,COLUMN($E$1),FALSE),0),"")</f>
        <v>12</v>
      </c>
      <c r="K47">
        <f>IFERROR(ROUNDDOWN((VLOOKUP($C47,武器!$1:$998,COLUMN(I$1),FALSE)+IFERROR(VLOOKUP($CI47,装強!$1:$999,COLUMN(K$1),FALSE),0))*VLOOKUP($D47,素材!$1:$1016,COLUMN($E$1),FALSE),0),"")</f>
        <v>0</v>
      </c>
      <c r="L47">
        <f>IFERROR(VLOOKUP($D47,素材!$1:$1016,COLUMN($F$1),FALSE),"")</f>
        <v>0</v>
      </c>
      <c r="M47">
        <f>IFERROR(VLOOKUP($C47,武器!$1:$998,COLUMN(AA$1),FALSE)*VLOOKUP($D47,素材!$1:$1016,COLUMN($G$1),FALSE),"")</f>
        <v>0</v>
      </c>
      <c r="N47">
        <f>IFERROR(VLOOKUP($C47,武器!$1:$998,COLUMN(I$1),FALSE),"")</f>
        <v>0</v>
      </c>
      <c r="O47" s="23">
        <f>IFERROR((VLOOKUP($C47,武器!$1:$998,COLUMN(K$1),FALSE)+VLOOKUP($D47,素材!$1:$1016,COLUMN(H$1),FALSE))*100+IFERROR(VLOOKUP($CI47,装強!$1:$999,COLUMN(O$1),FALSE),0),"")</f>
        <v>10</v>
      </c>
      <c r="P47" s="23">
        <f>IFERROR((VLOOKUP($C47,武器!$1:$998,COLUMN(L$1),FALSE)+VLOOKUP($D47,素材!$1:$1016,COLUMN(I$1),FALSE))*100+IFERROR(VLOOKUP($CI47,装強!$1:$999,COLUMN(P$1),FALSE),0),"")</f>
        <v>150</v>
      </c>
      <c r="Q47">
        <f>IFERROR(ROUNDUP(VLOOKUP($C47,武器!$1:$998,COLUMN(M$1),FALSE)*(VLOOKUP($D47,素材!$1:$1002,COLUMN(D$1),FALSE)/100),1),"")</f>
        <v>0</v>
      </c>
      <c r="R47">
        <f>IFERROR(ROUNDUP(VLOOKUP($C47,武器!$1:$998,COLUMN(N$1),FALSE)*(VLOOKUP($D47,素材!$1:$1002,COLUMN(D$1),FALSE)/100),1),"")</f>
        <v>0</v>
      </c>
      <c r="S47">
        <f>IFERROR(VLOOKUP($C47,武器!$1:$998,COLUMN(P$1),FALSE),"")</f>
        <v>0</v>
      </c>
      <c r="T47">
        <f>IFERROR(VLOOKUP($C47,武器!$1:$998,COLUMN(Q$1),FALSE),"")</f>
        <v>0</v>
      </c>
      <c r="U47">
        <f>IFERROR(VLOOKUP($C47,武器!$1:$998,COLUMN(R$1),FALSE),"")</f>
        <v>0</v>
      </c>
      <c r="V47">
        <f>IFERROR(VLOOKUP($C47,武器!$1:$998,COLUMN(Q$1),FALSE),"")</f>
        <v>0</v>
      </c>
      <c r="W47" t="str">
        <f>IFERROR(VLOOKUP($C47,武器!$1:$998,COLUMN(T$1),FALSE),"")</f>
        <v>A</v>
      </c>
      <c r="Y47" t="str">
        <f>IFERROR(VLOOKUP($C47,武器!$1:$998,COLUMN(U$1),FALSE),"")</f>
        <v>片手適正Ⅰ</v>
      </c>
      <c r="Z47">
        <f>IFERROR(ROUNDUP(VLOOKUP($C47,武器!$1:$998,COLUMN(O$1),FALSE)*VLOOKUP($D47,素材!$1:$1016,COLUMN(E$1),FALSE),1),"")</f>
        <v>0</v>
      </c>
      <c r="AA47">
        <f>IF(ISNUMBER(SEARCH(SUBSTITUTE(AA$1,RIGHT(AA$1,2),""),VLOOKUP($D47,素材!$1:$1016,COLUMN($F$1),FALSE))),VLOOKUP($C47,武器!$1:$998,COLUMN($O$1),FALSE)*VLOOKUP($D47,素材!$1:$1016,COLUMN($E$1),FALSE)/(LEN(VLOOKUP($D47,素材!$1:$1016,COLUMN($F$1),FALSE)) - LEN(SUBSTITUTE(VLOOKUP($D47,素材!$1:$1016,COLUMN($F$1),FALSE), "・", 0)) + 1), 0)</f>
        <v>0</v>
      </c>
      <c r="AB47">
        <f>IF(ISNUMBER(SEARCH(SUBSTITUTE(AB$1,RIGHT(AB$1,2),""),VLOOKUP($D47,素材!$1:$1016,COLUMN($F$1),FALSE))),VLOOKUP($C47,武器!$1:$998,COLUMN($O$1),FALSE)*VLOOKUP($D47,素材!$1:$1016,COLUMN($E$1),FALSE)/(LEN(VLOOKUP($D47,素材!$1:$1016,COLUMN($F$1),FALSE)) - LEN(SUBSTITUTE(VLOOKUP($D47,素材!$1:$1016,COLUMN($F$1),FALSE), "・", 0)) + 1), 0)</f>
        <v>0</v>
      </c>
      <c r="AC47">
        <f>IF(ISNUMBER(SEARCH(SUBSTITUTE(AC$1,RIGHT(AC$1,2),""),VLOOKUP($D47,素材!$1:$1016,COLUMN($F$1),FALSE))),VLOOKUP($C47,武器!$1:$998,COLUMN($O$1),FALSE)*VLOOKUP($D47,素材!$1:$1016,COLUMN($E$1),FALSE)/(LEN(VLOOKUP($D47,素材!$1:$1016,COLUMN($F$1),FALSE)) - LEN(SUBSTITUTE(VLOOKUP($D47,素材!$1:$1016,COLUMN($F$1),FALSE), "・", 0)) + 1), 0)</f>
        <v>0</v>
      </c>
      <c r="AD47">
        <f>IF(ISNUMBER(SEARCH(SUBSTITUTE(AD$1,RIGHT(AD$1,2),""),VLOOKUP($D47,素材!$1:$1016,COLUMN($F$1),FALSE))),VLOOKUP($C47,武器!$1:$998,COLUMN($O$1),FALSE)*VLOOKUP($D47,素材!$1:$1016,COLUMN($E$1),FALSE)/(LEN(VLOOKUP($D47,素材!$1:$1016,COLUMN($F$1),FALSE)) - LEN(SUBSTITUTE(VLOOKUP($D47,素材!$1:$1016,COLUMN($F$1),FALSE), "・", 0)) + 1), 0)</f>
        <v>0</v>
      </c>
      <c r="AE47">
        <f>IF(ISNUMBER(SEARCH(SUBSTITUTE(AE$1,RIGHT(AE$1,2),""),VLOOKUP($D47,素材!$1:$1016,COLUMN($F$1),FALSE))),VLOOKUP($C47,武器!$1:$998,COLUMN($O$1),FALSE)*VLOOKUP($D47,素材!$1:$1016,COLUMN($E$1),FALSE)/(LEN(VLOOKUP($D47,素材!$1:$1016,COLUMN($F$1),FALSE)) - LEN(SUBSTITUTE(VLOOKUP($D47,素材!$1:$1016,COLUMN($F$1),FALSE), "・", 0)) + 1), 0)</f>
        <v>0</v>
      </c>
      <c r="AF47">
        <f>IF(ISNUMBER(SEARCH(SUBSTITUTE(AF$1,RIGHT(AF$1,2),""),VLOOKUP($D47,素材!$1:$1016,COLUMN($F$1),FALSE))),VLOOKUP($C47,武器!$1:$998,COLUMN($O$1),FALSE)*VLOOKUP($D47,素材!$1:$1016,COLUMN($E$1),FALSE)/(LEN(VLOOKUP($D47,素材!$1:$1016,COLUMN($F$1),FALSE)) - LEN(SUBSTITUTE(VLOOKUP($D47,素材!$1:$1016,COLUMN($F$1),FALSE), "・", 0)) + 1), 0)</f>
        <v>0</v>
      </c>
      <c r="AG47">
        <f>IF(ISNUMBER(SEARCH(SUBSTITUTE(AG$1,RIGHT(AG$1,2),""),VLOOKUP($D47,素材!$1:$1016,COLUMN($F$1),FALSE))),VLOOKUP($C47,武器!$1:$998,COLUMN($O$1),FALSE)*VLOOKUP($D47,素材!$1:$1016,COLUMN($E$1),FALSE)/(LEN(VLOOKUP($D47,素材!$1:$1016,COLUMN($F$1),FALSE)) - LEN(SUBSTITUTE(VLOOKUP($D47,素材!$1:$1016,COLUMN($F$1),FALSE), "・", 0)) + 1), 0)</f>
        <v>0</v>
      </c>
      <c r="AH47">
        <f>IF(ISNUMBER(SEARCH(SUBSTITUTE(AH$1,RIGHT(AH$1,2),""),VLOOKUP($D47,素材!$1:$1016,COLUMN($F$1),FALSE))),VLOOKUP($C47,武器!$1:$998,COLUMN($O$1),FALSE)*VLOOKUP($D47,素材!$1:$1016,COLUMN($E$1),FALSE)/(LEN(VLOOKUP($D47,素材!$1:$1016,COLUMN($F$1),FALSE)) - LEN(SUBSTITUTE(VLOOKUP($D47,素材!$1:$1016,COLUMN($F$1),FALSE), "・", 0)) + 1), 0)</f>
        <v>0</v>
      </c>
      <c r="AI47">
        <f>IF(ISNUMBER(SEARCH(SUBSTITUTE(AI$1,RIGHT(AI$1,2),""),VLOOKUP($D47,素材!$1:$1016,COLUMN($F$1),FALSE))),VLOOKUP($C47,武器!$1:$998,COLUMN($O$1),FALSE)*VLOOKUP($D47,素材!$1:$1016,COLUMN($E$1),FALSE)/(LEN(VLOOKUP($D47,素材!$1:$1016,COLUMN($F$1),FALSE)) - LEN(SUBSTITUTE(VLOOKUP($D47,素材!$1:$1016,COLUMN($F$1),FALSE), "・", 0)) + 1), 0)</f>
        <v>0</v>
      </c>
      <c r="AJ47">
        <f>IF(ISNUMBER(SEARCH(SUBSTITUTE(AJ$1,RIGHT(AJ$1,2),""),VLOOKUP($D47,素材!$1:$1016,COLUMN($F$1),FALSE))),VLOOKUP($C47,武器!$1:$998,COLUMN($O$1),FALSE)*VLOOKUP($D47,素材!$1:$1016,COLUMN($E$1),FALSE)/(LEN(VLOOKUP($D47,素材!$1:$1016,COLUMN($F$1),FALSE)) - LEN(SUBSTITUTE(VLOOKUP($D47,素材!$1:$1016,COLUMN($F$1),FALSE), "・", 0)) + 1), 0)</f>
        <v>0</v>
      </c>
      <c r="AK47">
        <f>IF(ISNUMBER(SEARCH(SUBSTITUTE(AK$1,RIGHT(AK$1,2),""),VLOOKUP($D47,素材!$1:$1016,COLUMN($F$1),FALSE))),VLOOKUP($C47,武器!$1:$998,COLUMN($O$1),FALSE)*VLOOKUP($D47,素材!$1:$1016,COLUMN($E$1),FALSE)/(LEN(VLOOKUP($D47,素材!$1:$1016,COLUMN($F$1),FALSE)) - LEN(SUBSTITUTE(VLOOKUP($D47,素材!$1:$1016,COLUMN($F$1),FALSE), "・", 0)) + 1), 0)</f>
        <v>0</v>
      </c>
      <c r="AL47">
        <f>IF(ISNUMBER(SEARCH(SUBSTITUTE(AL$1,RIGHT(AL$1,2),""),VLOOKUP($D47,素材!$1:$1016,COLUMN($F$1),FALSE))),VLOOKUP($C47,武器!$1:$998,COLUMN($O$1),FALSE)*VLOOKUP($D47,素材!$1:$1016,COLUMN($E$1),FALSE)/(LEN(VLOOKUP($D47,素材!$1:$1016,COLUMN($F$1),FALSE)) - LEN(SUBSTITUTE(VLOOKUP($D47,素材!$1:$1016,COLUMN($F$1),FALSE), "・", 0)) + 1), 0)</f>
        <v>0</v>
      </c>
      <c r="AM47">
        <f>IF(ISNUMBER(SEARCH(SUBSTITUTE(AM$1,RIGHT(AM$1,2),""),VLOOKUP($D47,素材!$1:$1016,COLUMN($F$1),FALSE))),VLOOKUP($C47,武器!$1:$998,COLUMN($O$1),FALSE)*VLOOKUP($D47,素材!$1:$1016,COLUMN($E$1),FALSE)/(LEN(VLOOKUP($D47,素材!$1:$1016,COLUMN($F$1),FALSE)) - LEN(SUBSTITUTE(VLOOKUP($D47,素材!$1:$1016,COLUMN($F$1),FALSE), "・", 0)) + 1), 0)</f>
        <v>0</v>
      </c>
      <c r="AN47">
        <f>IF(ISNUMBER(SEARCH(SUBSTITUTE(AN$1,RIGHT(AN$1,2),""),VLOOKUP($D47,素材!$1:$1016,COLUMN($F$1),FALSE))),VLOOKUP($C47,武器!$1:$998,COLUMN($O$1),FALSE)*VLOOKUP($D47,素材!$1:$1016,COLUMN($E$1),FALSE)/(LEN(VLOOKUP($D47,素材!$1:$1016,COLUMN($F$1),FALSE)) - LEN(SUBSTITUTE(VLOOKUP($D47,素材!$1:$1016,COLUMN($F$1),FALSE), "・", 0)) + 1), 0)</f>
        <v>0</v>
      </c>
      <c r="AO47">
        <f>IF(ISNUMBER(SEARCH(SUBSTITUTE(AO$1,RIGHT(AO$1,2),""),VLOOKUP($D47,素材!$1:$1016,COLUMN($F$1),FALSE))),VLOOKUP($C47,武器!$1:$998,COLUMN($O$1),FALSE)*VLOOKUP($D47,素材!$1:$1016,COLUMN($E$1),FALSE)/(LEN(VLOOKUP($D47,素材!$1:$1016,COLUMN($F$1),FALSE)) - LEN(SUBSTITUTE(VLOOKUP($D47,素材!$1:$1016,COLUMN($F$1),FALSE), "・", 0)) + 1), 0)</f>
        <v>0</v>
      </c>
      <c r="AP47">
        <f>IF(ISNUMBER(SEARCH(SUBSTITUTE(AP$1,RIGHT(AP$1,2),""),VLOOKUP($D47,素材!$1:$1016,COLUMN($F$1),FALSE))),VLOOKUP($C47,武器!$1:$998,COLUMN($O$1),FALSE)*VLOOKUP($D47,素材!$1:$1016,COLUMN($E$1),FALSE)/(LEN(VLOOKUP($D47,素材!$1:$1016,COLUMN($F$1),FALSE)) - LEN(SUBSTITUTE(VLOOKUP($D47,素材!$1:$1016,COLUMN($F$1),FALSE), "・", 0)) + 1), 0)</f>
        <v>0</v>
      </c>
      <c r="AQ47">
        <f>IF(ISNUMBER(SEARCH(SUBSTITUTE(AQ$1,RIGHT(AQ$1,2),""),VLOOKUP($D47,素材!$1:$1016,COLUMN($F$1),FALSE))),VLOOKUP($C47,武器!$1:$998,COLUMN($O$1),FALSE)*VLOOKUP($D47,素材!$1:$1016,COLUMN($E$1),FALSE)/(LEN(VLOOKUP($D47,素材!$1:$1016,COLUMN($F$1),FALSE)) - LEN(SUBSTITUTE(VLOOKUP($D47,素材!$1:$1016,COLUMN($F$1),FALSE), "・", 0)) + 1), 0)</f>
        <v>0</v>
      </c>
      <c r="AR47">
        <f>IF(ISNUMBER(SEARCH(SUBSTITUTE(AR$1,RIGHT(AR$1,2),""),VLOOKUP($D47,素材!$1:$1016,COLUMN($F$1),FALSE))),VLOOKUP($C47,武器!$1:$998,COLUMN($O$1),FALSE)*VLOOKUP($D47,素材!$1:$1016,COLUMN($E$1),FALSE)/(LEN(VLOOKUP($D47,素材!$1:$1016,COLUMN($F$1),FALSE)) - LEN(SUBSTITUTE(VLOOKUP($D47,素材!$1:$1016,COLUMN($F$1),FALSE), "・", 0)) + 1), 0)</f>
        <v>0</v>
      </c>
      <c r="AS47">
        <f>IF(ISNUMBER(SEARCH(SUBSTITUTE(AS$1,RIGHT(AS$1,2),""),VLOOKUP($D47,素材!$1:$1016,COLUMN($F$1),FALSE))),VLOOKUP($C47,武器!$1:$998,COLUMN($O$1),FALSE)*VLOOKUP($D47,素材!$1:$1016,COLUMN($E$1),FALSE)/(LEN(VLOOKUP($D47,素材!$1:$1016,COLUMN($F$1),FALSE)) - LEN(SUBSTITUTE(VLOOKUP($D47,素材!$1:$1016,COLUMN($F$1),FALSE), "・", 0)) + 1), 0)</f>
        <v>0</v>
      </c>
      <c r="AT47">
        <f>IF(ISNUMBER(SEARCH(SUBSTITUTE(AT$1,RIGHT(AT$1,2),""),VLOOKUP($D47,素材!$1:$1016,COLUMN($F$1),FALSE))),VLOOKUP($C47,武器!$1:$998,COLUMN($O$1),FALSE)*VLOOKUP($D47,素材!$1:$1016,COLUMN($E$1),FALSE)/(LEN(VLOOKUP($D47,素材!$1:$1016,COLUMN($F$1),FALSE)) - LEN(SUBSTITUTE(VLOOKUP($D47,素材!$1:$1016,COLUMN($F$1),FALSE), "・", 0)) + 1), 0)</f>
        <v>0</v>
      </c>
      <c r="AU47">
        <f>IF(ISNUMBER(SEARCH(SUBSTITUTE(AU$1,RIGHT(AU$1,2),""),VLOOKUP($D47,素材!$1:$1016,COLUMN($F$1),FALSE))),VLOOKUP($C47,武器!$1:$998,COLUMN($O$1),FALSE)*VLOOKUP($D47,素材!$1:$1016,COLUMN($E$1),FALSE)/(LEN(VLOOKUP($D47,素材!$1:$1016,COLUMN($F$1),FALSE)) - LEN(SUBSTITUTE(VLOOKUP($D47,素材!$1:$1016,COLUMN($F$1),FALSE), "・", 0)) + 1), 0)</f>
        <v>0</v>
      </c>
      <c r="AV47">
        <f>IF(ISNUMBER(SEARCH(SUBSTITUTE(AV$1,RIGHT(AV$1,2),""),VLOOKUP($D47,素材!$1:$1016,COLUMN($F$1),FALSE))),VLOOKUP($C47,武器!$1:$998,COLUMN($O$1),FALSE)*VLOOKUP($D47,素材!$1:$1016,COLUMN($E$1),FALSE)/(LEN(VLOOKUP($D47,素材!$1:$1016,COLUMN($F$1),FALSE)) - LEN(SUBSTITUTE(VLOOKUP($D47,素材!$1:$1016,COLUMN($F$1),FALSE), "・", 0)) + 1), 0)</f>
        <v>0</v>
      </c>
      <c r="AW47">
        <f>IF(ISNUMBER(SEARCH(SUBSTITUTE(AW$1,RIGHT(AW$1,2),""),VLOOKUP($D47,素材!$1:$1016,COLUMN($F$1),FALSE))),VLOOKUP($C47,武器!$1:$998,COLUMN($O$1),FALSE)*VLOOKUP($D47,素材!$1:$1016,COLUMN($E$1),FALSE)/(LEN(VLOOKUP($D47,素材!$1:$1016,COLUMN($F$1),FALSE)) - LEN(SUBSTITUTE(VLOOKUP($D47,素材!$1:$1016,COLUMN($F$1),FALSE), "・", 0)) + 1), 0)</f>
        <v>0</v>
      </c>
      <c r="AX47">
        <f>IF(ISNUMBER(SEARCH(SUBSTITUTE(AX$1,RIGHT(AX$1,2),""),VLOOKUP($D47,素材!$1:$1016,COLUMN($F$1),FALSE))),VLOOKUP($C47,武器!$1:$998,COLUMN($O$1),FALSE)*VLOOKUP($D47,素材!$1:$1016,COLUMN($E$1),FALSE)/(LEN(VLOOKUP($D47,素材!$1:$1016,COLUMN($F$1),FALSE)) - LEN(SUBSTITUTE(VLOOKUP($D47,素材!$1:$1016,COLUMN($F$1),FALSE), "・", 0)) + 1), 0)</f>
        <v>0</v>
      </c>
      <c r="AY47">
        <f>IF(ISNUMBER(SEARCH(SUBSTITUTE(AY$1,RIGHT(AY$1,2),""),VLOOKUP($D47,素材!$1:$1016,COLUMN($F$1),FALSE))),VLOOKUP($C47,武器!$1:$998,COLUMN($O$1),FALSE)*VLOOKUP($D47,素材!$1:$1016,COLUMN($E$1),FALSE)/(LEN(VLOOKUP($D47,素材!$1:$1016,COLUMN($F$1),FALSE)) - LEN(SUBSTITUTE(VLOOKUP($D47,素材!$1:$1016,COLUMN($F$1),FALSE), "・", 0)) + 1), 0)</f>
        <v>0</v>
      </c>
      <c r="AZ47">
        <f>IF(ISNUMBER(SEARCH(SUBSTITUTE(AZ$1,RIGHT(AZ$1,2),""),VLOOKUP($D47,素材!$1:$1016,COLUMN($F$1),FALSE))),VLOOKUP($C47,武器!$1:$998,COLUMN($O$1),FALSE)*VLOOKUP($D47,素材!$1:$1016,COLUMN($E$1),FALSE)/(LEN(VLOOKUP($D47,素材!$1:$1016,COLUMN($F$1),FALSE)) - LEN(SUBSTITUTE(VLOOKUP($D47,素材!$1:$1016,COLUMN($F$1),FALSE), "・", 0)) + 1), 0)</f>
        <v>0</v>
      </c>
      <c r="BA47">
        <f>IF(ISNUMBER(SEARCH(SUBSTITUTE(BA$1,RIGHT(BA$1,2),""),VLOOKUP($D47,素材!$1:$1016,COLUMN($F$1),FALSE))),VLOOKUP($C47,武器!$1:$998,COLUMN($O$1),FALSE)*VLOOKUP($D47,素材!$1:$1016,COLUMN($E$1),FALSE)/(LEN(VLOOKUP($D47,素材!$1:$1016,COLUMN($F$1),FALSE)) - LEN(SUBSTITUTE(VLOOKUP($D47,素材!$1:$1016,COLUMN($F$1),FALSE), "・", 0)) + 1), 0)</f>
        <v>0</v>
      </c>
      <c r="BB47">
        <f>IF(ISNUMBER(SEARCH(SUBSTITUTE(BB$1,RIGHT(BB$1,2),""),VLOOKUP($D47,素材!$1:$1016,COLUMN($F$1),FALSE))),VLOOKUP($C47,武器!$1:$998,COLUMN($O$1),FALSE)*VLOOKUP($D47,素材!$1:$1016,COLUMN($E$1),FALSE)/(LEN(VLOOKUP($D47,素材!$1:$1016,COLUMN($F$1),FALSE)) - LEN(SUBSTITUTE(VLOOKUP($D47,素材!$1:$1016,COLUMN($F$1),FALSE), "・", 0)) + 1), 0)</f>
        <v>0</v>
      </c>
      <c r="BC47">
        <f>IF(ISNUMBER(SEARCH(SUBSTITUTE(BC$1,RIGHT(BC$1,2),""),VLOOKUP($D47,素材!$1:$1016,COLUMN($F$1),FALSE))),VLOOKUP($C47,武器!$1:$998,COLUMN($O$1),FALSE)*VLOOKUP($D47,素材!$1:$1016,COLUMN($E$1),FALSE)/(LEN(VLOOKUP($D47,素材!$1:$1016,COLUMN($F$1),FALSE)) - LEN(SUBSTITUTE(VLOOKUP($D47,素材!$1:$1016,COLUMN($F$1),FALSE), "・", 0)) + 1), 0)</f>
        <v>0</v>
      </c>
      <c r="BD47">
        <f>IF(ISNUMBER(SEARCH(SUBSTITUTE(BD$1,RIGHT(BD$1,2),""),VLOOKUP($D47,素材!$1:$1016,COLUMN($F$1),FALSE))),VLOOKUP($C47,武器!$1:$998,COLUMN($O$1),FALSE)*VLOOKUP($D47,素材!$1:$1016,COLUMN($E$1),FALSE)/(LEN(VLOOKUP($D47,素材!$1:$1016,COLUMN($F$1),FALSE)) - LEN(SUBSTITUTE(VLOOKUP($D47,素材!$1:$1016,COLUMN($F$1),FALSE), "・", 0)) + 1), 0)</f>
        <v>0</v>
      </c>
      <c r="BE47">
        <f>IF(ISNUMBER(SEARCH(SUBSTITUTE(BE$1,RIGHT(BE$1,2),""),VLOOKUP($D47,素材!$1:$1016,COLUMN($F$1),FALSE))),VLOOKUP($C47,武器!$1:$998,COLUMN($O$1),FALSE)*VLOOKUP($D47,素材!$1:$1016,COLUMN($E$1),FALSE)/(LEN(VLOOKUP($D47,素材!$1:$1016,COLUMN($F$1),FALSE)) - LEN(SUBSTITUTE(VLOOKUP($D47,素材!$1:$1016,COLUMN($F$1),FALSE), "・", 0)) + 1), 0)</f>
        <v>0</v>
      </c>
      <c r="CL47">
        <f>SUM(G47:I47)</f>
        <v>16</v>
      </c>
      <c r="CM47" s="22" t="str">
        <f>IF(E47="武器",IF(J47-1&gt;SUM(G47:I47),"盾",IF(MAX(G47:I47)=G47,"切断",IF(MAX(G47:I47)=H47,"貫通",IF(MAX(G47:I47)=I47,"打撃","射撃")))),E47)&amp;".webp"</f>
        <v>貫通.webp</v>
      </c>
      <c r="CN47">
        <f>IFERROR(VLOOKUP($C47,武器!$1:$998,COLUMN(V$1),FALSE)*VLOOKUP($D47,素材!$1:$1016,COLUMN(N$1),FALSE)+IF(CI47="",0,VLOOKUP($CI47,装強!$1:$1008,COLUMN($CK$1),FALSE)),"")</f>
        <v>150</v>
      </c>
      <c r="CO47" t="str">
        <f>VLOOKUP(D47,素材!$A:$O,COLUMN(素材!O$1),FALSE)</f>
        <v>一般的な木材。金属より軽いが少し脆い</v>
      </c>
      <c r="CP47" t="str">
        <f>VLOOKUP(C47,武器!$A:$W,COLUMN(武器!W$1),FALSE)</f>
        <v>刺剣。小型で精密な攻撃が可能な武器。</v>
      </c>
      <c r="CR47" t="str">
        <f t="shared" si="1"/>
        <v>e_47</v>
      </c>
      <c r="CS47">
        <f t="shared" si="2"/>
        <v>15000</v>
      </c>
    </row>
    <row r="48" spans="1:97" outlineLevel="1" x14ac:dyDescent="0.4">
      <c r="A48" t="str">
        <f t="shared" si="3"/>
        <v>木の短槍</v>
      </c>
      <c r="B48" t="str">
        <f>IFERROR(VLOOKUP($D48,素材!$1:$1016,COLUMN($B$1),FALSE)&amp;"・"&amp;VLOOKUP($C48,武器!$1:$998,COLUMN(B$1),FALSE),"")</f>
        <v>ウッド・ショートスピア</v>
      </c>
      <c r="C48" s="24" t="s">
        <v>234</v>
      </c>
      <c r="D48" s="24" t="s">
        <v>255</v>
      </c>
      <c r="E48" t="str">
        <f>IFERROR(VLOOKUP(C48,武器!$1:$998,COLUMN(C$1),FALSE),"")</f>
        <v>武器</v>
      </c>
      <c r="F48">
        <f>IFERROR(ROUNDDOWN((VLOOKUP($C48,武器!$1:$998,COLUMN(D$1),FALSE)+IFERROR(VLOOKUP($CI48,装強!$1:$999,COLUMN(F$1),FALSE),0))*VLOOKUP($D48,素材!$1:$1016,COLUMN(D$1),FALSE),0),"")</f>
        <v>78</v>
      </c>
      <c r="G48">
        <f>IFERROR(ROUNDDOWN((VLOOKUP($C48,武器!$1:$998,COLUMN(E$1),FALSE)+IFERROR(VLOOKUP($CI48,装強!$1:$999,COLUMN(G$1),FALSE),0))*VLOOKUP($D48,素材!$1:$1016,COLUMN($E$1),FALSE),0),"")</f>
        <v>6</v>
      </c>
      <c r="H48">
        <f>IFERROR(ROUNDDOWN((VLOOKUP($C48,武器!$1:$998,COLUMN(F$1),FALSE)+IFERROR(VLOOKUP($CI48,装強!$1:$999,COLUMN(H$1),FALSE),0))*VLOOKUP($D48,素材!$1:$1016,COLUMN($E$1),FALSE),0),"")</f>
        <v>10</v>
      </c>
      <c r="I48">
        <f>IFERROR(ROUNDDOWN((VLOOKUP($C48,武器!$1:$998,COLUMN(G$1),FALSE)+IFERROR(VLOOKUP($CI48,装強!$1:$999,COLUMN(I$1),FALSE),0))*VLOOKUP($D48,素材!$1:$1016,COLUMN($E$1),FALSE),0),"")</f>
        <v>2</v>
      </c>
      <c r="J48">
        <f>IFERROR(ROUNDDOWN((VLOOKUP($C48,武器!$1:$998,COLUMN(H$1),FALSE)+IFERROR(VLOOKUP($CI48,装強!$1:$999,COLUMN(J$1),FALSE),0))*VLOOKUP($D48,素材!$1:$1016,COLUMN($E$1),FALSE),0),"")</f>
        <v>12</v>
      </c>
      <c r="K48">
        <f>IFERROR(ROUNDDOWN((VLOOKUP($C48,武器!$1:$998,COLUMN(I$1),FALSE)+IFERROR(VLOOKUP($CI48,装強!$1:$999,COLUMN(K$1),FALSE),0))*VLOOKUP($D48,素材!$1:$1016,COLUMN($E$1),FALSE),0),"")</f>
        <v>0</v>
      </c>
      <c r="L48">
        <f>IFERROR(VLOOKUP($D48,素材!$1:$1016,COLUMN($F$1),FALSE),"")</f>
        <v>0</v>
      </c>
      <c r="M48">
        <f>IFERROR(VLOOKUP($C48,武器!$1:$998,COLUMN(AA$1),FALSE)*VLOOKUP($D48,素材!$1:$1016,COLUMN($G$1),FALSE),"")</f>
        <v>0</v>
      </c>
      <c r="N48">
        <f>IFERROR(VLOOKUP($C48,武器!$1:$998,COLUMN(I$1),FALSE),"")</f>
        <v>0</v>
      </c>
      <c r="O48" s="23">
        <f>IFERROR((VLOOKUP($C48,武器!$1:$998,COLUMN(K$1),FALSE)+VLOOKUP($D48,素材!$1:$1016,COLUMN(H$1),FALSE))*100+IFERROR(VLOOKUP($CI48,装強!$1:$999,COLUMN(O$1),FALSE),0),"")</f>
        <v>10</v>
      </c>
      <c r="P48" s="23">
        <f>IFERROR((VLOOKUP($C48,武器!$1:$998,COLUMN(L$1),FALSE)+VLOOKUP($D48,素材!$1:$1016,COLUMN(I$1),FALSE))*100+IFERROR(VLOOKUP($CI48,装強!$1:$999,COLUMN(P$1),FALSE),0),"")</f>
        <v>150</v>
      </c>
      <c r="Q48">
        <f>IFERROR(ROUNDUP(VLOOKUP($C48,武器!$1:$998,COLUMN(M$1),FALSE)*(VLOOKUP($D48,素材!$1:$1002,COLUMN(D$1),FALSE)/100),1),"")</f>
        <v>0</v>
      </c>
      <c r="R48">
        <f>IFERROR(ROUNDUP(VLOOKUP($C48,武器!$1:$998,COLUMN(N$1),FALSE)*(VLOOKUP($D48,素材!$1:$1002,COLUMN(D$1),FALSE)/100),1),"")</f>
        <v>0</v>
      </c>
      <c r="S48">
        <f>IFERROR(VLOOKUP($C48,武器!$1:$998,COLUMN(P$1),FALSE),"")</f>
        <v>0</v>
      </c>
      <c r="T48">
        <f>IFERROR(VLOOKUP($C48,武器!$1:$998,COLUMN(Q$1),FALSE),"")</f>
        <v>0</v>
      </c>
      <c r="U48">
        <f>IFERROR(VLOOKUP($C48,武器!$1:$998,COLUMN(R$1),FALSE),"")</f>
        <v>0</v>
      </c>
      <c r="V48">
        <f>IFERROR(VLOOKUP($C48,武器!$1:$998,COLUMN(Q$1),FALSE),"")</f>
        <v>0</v>
      </c>
      <c r="W48" t="str">
        <f>IFERROR(VLOOKUP($C48,武器!$1:$998,COLUMN(T$1),FALSE),"")</f>
        <v>A</v>
      </c>
      <c r="Y48" t="str">
        <f>IFERROR(VLOOKUP($C48,武器!$1:$998,COLUMN(U$1),FALSE),"")</f>
        <v>投擲強化</v>
      </c>
      <c r="Z48">
        <f>IFERROR(ROUNDUP(VLOOKUP($C48,武器!$1:$998,COLUMN(O$1),FALSE)*VLOOKUP($D48,素材!$1:$1016,COLUMN(E$1),FALSE),1),"")</f>
        <v>0</v>
      </c>
      <c r="AA48">
        <f>IF(ISNUMBER(SEARCH(SUBSTITUTE(AA$1,RIGHT(AA$1,2),""),VLOOKUP($D48,素材!$1:$1016,COLUMN($F$1),FALSE))),VLOOKUP($C48,武器!$1:$998,COLUMN($O$1),FALSE)*VLOOKUP($D48,素材!$1:$1016,COLUMN($E$1),FALSE)/(LEN(VLOOKUP($D48,素材!$1:$1016,COLUMN($F$1),FALSE)) - LEN(SUBSTITUTE(VLOOKUP($D48,素材!$1:$1016,COLUMN($F$1),FALSE), "・", 0)) + 1), 0)</f>
        <v>0</v>
      </c>
      <c r="AB48">
        <f>IF(ISNUMBER(SEARCH(SUBSTITUTE(AB$1,RIGHT(AB$1,2),""),VLOOKUP($D48,素材!$1:$1016,COLUMN($F$1),FALSE))),VLOOKUP($C48,武器!$1:$998,COLUMN($O$1),FALSE)*VLOOKUP($D48,素材!$1:$1016,COLUMN($E$1),FALSE)/(LEN(VLOOKUP($D48,素材!$1:$1016,COLUMN($F$1),FALSE)) - LEN(SUBSTITUTE(VLOOKUP($D48,素材!$1:$1016,COLUMN($F$1),FALSE), "・", 0)) + 1), 0)</f>
        <v>0</v>
      </c>
      <c r="AC48">
        <f>IF(ISNUMBER(SEARCH(SUBSTITUTE(AC$1,RIGHT(AC$1,2),""),VLOOKUP($D48,素材!$1:$1016,COLUMN($F$1),FALSE))),VLOOKUP($C48,武器!$1:$998,COLUMN($O$1),FALSE)*VLOOKUP($D48,素材!$1:$1016,COLUMN($E$1),FALSE)/(LEN(VLOOKUP($D48,素材!$1:$1016,COLUMN($F$1),FALSE)) - LEN(SUBSTITUTE(VLOOKUP($D48,素材!$1:$1016,COLUMN($F$1),FALSE), "・", 0)) + 1), 0)</f>
        <v>0</v>
      </c>
      <c r="AD48">
        <f>IF(ISNUMBER(SEARCH(SUBSTITUTE(AD$1,RIGHT(AD$1,2),""),VLOOKUP($D48,素材!$1:$1016,COLUMN($F$1),FALSE))),VLOOKUP($C48,武器!$1:$998,COLUMN($O$1),FALSE)*VLOOKUP($D48,素材!$1:$1016,COLUMN($E$1),FALSE)/(LEN(VLOOKUP($D48,素材!$1:$1016,COLUMN($F$1),FALSE)) - LEN(SUBSTITUTE(VLOOKUP($D48,素材!$1:$1016,COLUMN($F$1),FALSE), "・", 0)) + 1), 0)</f>
        <v>0</v>
      </c>
      <c r="AE48">
        <f>IF(ISNUMBER(SEARCH(SUBSTITUTE(AE$1,RIGHT(AE$1,2),""),VLOOKUP($D48,素材!$1:$1016,COLUMN($F$1),FALSE))),VLOOKUP($C48,武器!$1:$998,COLUMN($O$1),FALSE)*VLOOKUP($D48,素材!$1:$1016,COLUMN($E$1),FALSE)/(LEN(VLOOKUP($D48,素材!$1:$1016,COLUMN($F$1),FALSE)) - LEN(SUBSTITUTE(VLOOKUP($D48,素材!$1:$1016,COLUMN($F$1),FALSE), "・", 0)) + 1), 0)</f>
        <v>0</v>
      </c>
      <c r="AF48">
        <f>IF(ISNUMBER(SEARCH(SUBSTITUTE(AF$1,RIGHT(AF$1,2),""),VLOOKUP($D48,素材!$1:$1016,COLUMN($F$1),FALSE))),VLOOKUP($C48,武器!$1:$998,COLUMN($O$1),FALSE)*VLOOKUP($D48,素材!$1:$1016,COLUMN($E$1),FALSE)/(LEN(VLOOKUP($D48,素材!$1:$1016,COLUMN($F$1),FALSE)) - LEN(SUBSTITUTE(VLOOKUP($D48,素材!$1:$1016,COLUMN($F$1),FALSE), "・", 0)) + 1), 0)</f>
        <v>0</v>
      </c>
      <c r="AG48">
        <f>IF(ISNUMBER(SEARCH(SUBSTITUTE(AG$1,RIGHT(AG$1,2),""),VLOOKUP($D48,素材!$1:$1016,COLUMN($F$1),FALSE))),VLOOKUP($C48,武器!$1:$998,COLUMN($O$1),FALSE)*VLOOKUP($D48,素材!$1:$1016,COLUMN($E$1),FALSE)/(LEN(VLOOKUP($D48,素材!$1:$1016,COLUMN($F$1),FALSE)) - LEN(SUBSTITUTE(VLOOKUP($D48,素材!$1:$1016,COLUMN($F$1),FALSE), "・", 0)) + 1), 0)</f>
        <v>0</v>
      </c>
      <c r="AH48">
        <f>IF(ISNUMBER(SEARCH(SUBSTITUTE(AH$1,RIGHT(AH$1,2),""),VLOOKUP($D48,素材!$1:$1016,COLUMN($F$1),FALSE))),VLOOKUP($C48,武器!$1:$998,COLUMN($O$1),FALSE)*VLOOKUP($D48,素材!$1:$1016,COLUMN($E$1),FALSE)/(LEN(VLOOKUP($D48,素材!$1:$1016,COLUMN($F$1),FALSE)) - LEN(SUBSTITUTE(VLOOKUP($D48,素材!$1:$1016,COLUMN($F$1),FALSE), "・", 0)) + 1), 0)</f>
        <v>0</v>
      </c>
      <c r="AI48">
        <f>IF(ISNUMBER(SEARCH(SUBSTITUTE(AI$1,RIGHT(AI$1,2),""),VLOOKUP($D48,素材!$1:$1016,COLUMN($F$1),FALSE))),VLOOKUP($C48,武器!$1:$998,COLUMN($O$1),FALSE)*VLOOKUP($D48,素材!$1:$1016,COLUMN($E$1),FALSE)/(LEN(VLOOKUP($D48,素材!$1:$1016,COLUMN($F$1),FALSE)) - LEN(SUBSTITUTE(VLOOKUP($D48,素材!$1:$1016,COLUMN($F$1),FALSE), "・", 0)) + 1), 0)</f>
        <v>0</v>
      </c>
      <c r="AJ48">
        <f>IF(ISNUMBER(SEARCH(SUBSTITUTE(AJ$1,RIGHT(AJ$1,2),""),VLOOKUP($D48,素材!$1:$1016,COLUMN($F$1),FALSE))),VLOOKUP($C48,武器!$1:$998,COLUMN($O$1),FALSE)*VLOOKUP($D48,素材!$1:$1016,COLUMN($E$1),FALSE)/(LEN(VLOOKUP($D48,素材!$1:$1016,COLUMN($F$1),FALSE)) - LEN(SUBSTITUTE(VLOOKUP($D48,素材!$1:$1016,COLUMN($F$1),FALSE), "・", 0)) + 1), 0)</f>
        <v>0</v>
      </c>
      <c r="AK48">
        <f>IF(ISNUMBER(SEARCH(SUBSTITUTE(AK$1,RIGHT(AK$1,2),""),VLOOKUP($D48,素材!$1:$1016,COLUMN($F$1),FALSE))),VLOOKUP($C48,武器!$1:$998,COLUMN($O$1),FALSE)*VLOOKUP($D48,素材!$1:$1016,COLUMN($E$1),FALSE)/(LEN(VLOOKUP($D48,素材!$1:$1016,COLUMN($F$1),FALSE)) - LEN(SUBSTITUTE(VLOOKUP($D48,素材!$1:$1016,COLUMN($F$1),FALSE), "・", 0)) + 1), 0)</f>
        <v>0</v>
      </c>
      <c r="AL48">
        <f>IF(ISNUMBER(SEARCH(SUBSTITUTE(AL$1,RIGHT(AL$1,2),""),VLOOKUP($D48,素材!$1:$1016,COLUMN($F$1),FALSE))),VLOOKUP($C48,武器!$1:$998,COLUMN($O$1),FALSE)*VLOOKUP($D48,素材!$1:$1016,COLUMN($E$1),FALSE)/(LEN(VLOOKUP($D48,素材!$1:$1016,COLUMN($F$1),FALSE)) - LEN(SUBSTITUTE(VLOOKUP($D48,素材!$1:$1016,COLUMN($F$1),FALSE), "・", 0)) + 1), 0)</f>
        <v>0</v>
      </c>
      <c r="AM48">
        <f>IF(ISNUMBER(SEARCH(SUBSTITUTE(AM$1,RIGHT(AM$1,2),""),VLOOKUP($D48,素材!$1:$1016,COLUMN($F$1),FALSE))),VLOOKUP($C48,武器!$1:$998,COLUMN($O$1),FALSE)*VLOOKUP($D48,素材!$1:$1016,COLUMN($E$1),FALSE)/(LEN(VLOOKUP($D48,素材!$1:$1016,COLUMN($F$1),FALSE)) - LEN(SUBSTITUTE(VLOOKUP($D48,素材!$1:$1016,COLUMN($F$1),FALSE), "・", 0)) + 1), 0)</f>
        <v>0</v>
      </c>
      <c r="AN48">
        <f>IF(ISNUMBER(SEARCH(SUBSTITUTE(AN$1,RIGHT(AN$1,2),""),VLOOKUP($D48,素材!$1:$1016,COLUMN($F$1),FALSE))),VLOOKUP($C48,武器!$1:$998,COLUMN($O$1),FALSE)*VLOOKUP($D48,素材!$1:$1016,COLUMN($E$1),FALSE)/(LEN(VLOOKUP($D48,素材!$1:$1016,COLUMN($F$1),FALSE)) - LEN(SUBSTITUTE(VLOOKUP($D48,素材!$1:$1016,COLUMN($F$1),FALSE), "・", 0)) + 1), 0)</f>
        <v>0</v>
      </c>
      <c r="AO48">
        <f>IF(ISNUMBER(SEARCH(SUBSTITUTE(AO$1,RIGHT(AO$1,2),""),VLOOKUP($D48,素材!$1:$1016,COLUMN($F$1),FALSE))),VLOOKUP($C48,武器!$1:$998,COLUMN($O$1),FALSE)*VLOOKUP($D48,素材!$1:$1016,COLUMN($E$1),FALSE)/(LEN(VLOOKUP($D48,素材!$1:$1016,COLUMN($F$1),FALSE)) - LEN(SUBSTITUTE(VLOOKUP($D48,素材!$1:$1016,COLUMN($F$1),FALSE), "・", 0)) + 1), 0)</f>
        <v>0</v>
      </c>
      <c r="AP48">
        <f>IF(ISNUMBER(SEARCH(SUBSTITUTE(AP$1,RIGHT(AP$1,2),""),VLOOKUP($D48,素材!$1:$1016,COLUMN($F$1),FALSE))),VLOOKUP($C48,武器!$1:$998,COLUMN($O$1),FALSE)*VLOOKUP($D48,素材!$1:$1016,COLUMN($E$1),FALSE)/(LEN(VLOOKUP($D48,素材!$1:$1016,COLUMN($F$1),FALSE)) - LEN(SUBSTITUTE(VLOOKUP($D48,素材!$1:$1016,COLUMN($F$1),FALSE), "・", 0)) + 1), 0)</f>
        <v>0</v>
      </c>
      <c r="AQ48">
        <f>IF(ISNUMBER(SEARCH(SUBSTITUTE(AQ$1,RIGHT(AQ$1,2),""),VLOOKUP($D48,素材!$1:$1016,COLUMN($F$1),FALSE))),VLOOKUP($C48,武器!$1:$998,COLUMN($O$1),FALSE)*VLOOKUP($D48,素材!$1:$1016,COLUMN($E$1),FALSE)/(LEN(VLOOKUP($D48,素材!$1:$1016,COLUMN($F$1),FALSE)) - LEN(SUBSTITUTE(VLOOKUP($D48,素材!$1:$1016,COLUMN($F$1),FALSE), "・", 0)) + 1), 0)</f>
        <v>0</v>
      </c>
      <c r="AR48">
        <f>IF(ISNUMBER(SEARCH(SUBSTITUTE(AR$1,RIGHT(AR$1,2),""),VLOOKUP($D48,素材!$1:$1016,COLUMN($F$1),FALSE))),VLOOKUP($C48,武器!$1:$998,COLUMN($O$1),FALSE)*VLOOKUP($D48,素材!$1:$1016,COLUMN($E$1),FALSE)/(LEN(VLOOKUP($D48,素材!$1:$1016,COLUMN($F$1),FALSE)) - LEN(SUBSTITUTE(VLOOKUP($D48,素材!$1:$1016,COLUMN($F$1),FALSE), "・", 0)) + 1), 0)</f>
        <v>0</v>
      </c>
      <c r="AS48">
        <f>IF(ISNUMBER(SEARCH(SUBSTITUTE(AS$1,RIGHT(AS$1,2),""),VLOOKUP($D48,素材!$1:$1016,COLUMN($F$1),FALSE))),VLOOKUP($C48,武器!$1:$998,COLUMN($O$1),FALSE)*VLOOKUP($D48,素材!$1:$1016,COLUMN($E$1),FALSE)/(LEN(VLOOKUP($D48,素材!$1:$1016,COLUMN($F$1),FALSE)) - LEN(SUBSTITUTE(VLOOKUP($D48,素材!$1:$1016,COLUMN($F$1),FALSE), "・", 0)) + 1), 0)</f>
        <v>0</v>
      </c>
      <c r="AT48">
        <f>IF(ISNUMBER(SEARCH(SUBSTITUTE(AT$1,RIGHT(AT$1,2),""),VLOOKUP($D48,素材!$1:$1016,COLUMN($F$1),FALSE))),VLOOKUP($C48,武器!$1:$998,COLUMN($O$1),FALSE)*VLOOKUP($D48,素材!$1:$1016,COLUMN($E$1),FALSE)/(LEN(VLOOKUP($D48,素材!$1:$1016,COLUMN($F$1),FALSE)) - LEN(SUBSTITUTE(VLOOKUP($D48,素材!$1:$1016,COLUMN($F$1),FALSE), "・", 0)) + 1), 0)</f>
        <v>0</v>
      </c>
      <c r="AU48">
        <f>IF(ISNUMBER(SEARCH(SUBSTITUTE(AU$1,RIGHT(AU$1,2),""),VLOOKUP($D48,素材!$1:$1016,COLUMN($F$1),FALSE))),VLOOKUP($C48,武器!$1:$998,COLUMN($O$1),FALSE)*VLOOKUP($D48,素材!$1:$1016,COLUMN($E$1),FALSE)/(LEN(VLOOKUP($D48,素材!$1:$1016,COLUMN($F$1),FALSE)) - LEN(SUBSTITUTE(VLOOKUP($D48,素材!$1:$1016,COLUMN($F$1),FALSE), "・", 0)) + 1), 0)</f>
        <v>0</v>
      </c>
      <c r="AV48">
        <f>IF(ISNUMBER(SEARCH(SUBSTITUTE(AV$1,RIGHT(AV$1,2),""),VLOOKUP($D48,素材!$1:$1016,COLUMN($F$1),FALSE))),VLOOKUP($C48,武器!$1:$998,COLUMN($O$1),FALSE)*VLOOKUP($D48,素材!$1:$1016,COLUMN($E$1),FALSE)/(LEN(VLOOKUP($D48,素材!$1:$1016,COLUMN($F$1),FALSE)) - LEN(SUBSTITUTE(VLOOKUP($D48,素材!$1:$1016,COLUMN($F$1),FALSE), "・", 0)) + 1), 0)</f>
        <v>0</v>
      </c>
      <c r="AW48">
        <f>IF(ISNUMBER(SEARCH(SUBSTITUTE(AW$1,RIGHT(AW$1,2),""),VLOOKUP($D48,素材!$1:$1016,COLUMN($F$1),FALSE))),VLOOKUP($C48,武器!$1:$998,COLUMN($O$1),FALSE)*VLOOKUP($D48,素材!$1:$1016,COLUMN($E$1),FALSE)/(LEN(VLOOKUP($D48,素材!$1:$1016,COLUMN($F$1),FALSE)) - LEN(SUBSTITUTE(VLOOKUP($D48,素材!$1:$1016,COLUMN($F$1),FALSE), "・", 0)) + 1), 0)</f>
        <v>0</v>
      </c>
      <c r="AX48">
        <f>IF(ISNUMBER(SEARCH(SUBSTITUTE(AX$1,RIGHT(AX$1,2),""),VLOOKUP($D48,素材!$1:$1016,COLUMN($F$1),FALSE))),VLOOKUP($C48,武器!$1:$998,COLUMN($O$1),FALSE)*VLOOKUP($D48,素材!$1:$1016,COLUMN($E$1),FALSE)/(LEN(VLOOKUP($D48,素材!$1:$1016,COLUMN($F$1),FALSE)) - LEN(SUBSTITUTE(VLOOKUP($D48,素材!$1:$1016,COLUMN($F$1),FALSE), "・", 0)) + 1), 0)</f>
        <v>0</v>
      </c>
      <c r="AY48">
        <f>IF(ISNUMBER(SEARCH(SUBSTITUTE(AY$1,RIGHT(AY$1,2),""),VLOOKUP($D48,素材!$1:$1016,COLUMN($F$1),FALSE))),VLOOKUP($C48,武器!$1:$998,COLUMN($O$1),FALSE)*VLOOKUP($D48,素材!$1:$1016,COLUMN($E$1),FALSE)/(LEN(VLOOKUP($D48,素材!$1:$1016,COLUMN($F$1),FALSE)) - LEN(SUBSTITUTE(VLOOKUP($D48,素材!$1:$1016,COLUMN($F$1),FALSE), "・", 0)) + 1), 0)</f>
        <v>0</v>
      </c>
      <c r="AZ48">
        <f>IF(ISNUMBER(SEARCH(SUBSTITUTE(AZ$1,RIGHT(AZ$1,2),""),VLOOKUP($D48,素材!$1:$1016,COLUMN($F$1),FALSE))),VLOOKUP($C48,武器!$1:$998,COLUMN($O$1),FALSE)*VLOOKUP($D48,素材!$1:$1016,COLUMN($E$1),FALSE)/(LEN(VLOOKUP($D48,素材!$1:$1016,COLUMN($F$1),FALSE)) - LEN(SUBSTITUTE(VLOOKUP($D48,素材!$1:$1016,COLUMN($F$1),FALSE), "・", 0)) + 1), 0)</f>
        <v>0</v>
      </c>
      <c r="BA48">
        <f>IF(ISNUMBER(SEARCH(SUBSTITUTE(BA$1,RIGHT(BA$1,2),""),VLOOKUP($D48,素材!$1:$1016,COLUMN($F$1),FALSE))),VLOOKUP($C48,武器!$1:$998,COLUMN($O$1),FALSE)*VLOOKUP($D48,素材!$1:$1016,COLUMN($E$1),FALSE)/(LEN(VLOOKUP($D48,素材!$1:$1016,COLUMN($F$1),FALSE)) - LEN(SUBSTITUTE(VLOOKUP($D48,素材!$1:$1016,COLUMN($F$1),FALSE), "・", 0)) + 1), 0)</f>
        <v>0</v>
      </c>
      <c r="BB48">
        <f>IF(ISNUMBER(SEARCH(SUBSTITUTE(BB$1,RIGHT(BB$1,2),""),VLOOKUP($D48,素材!$1:$1016,COLUMN($F$1),FALSE))),VLOOKUP($C48,武器!$1:$998,COLUMN($O$1),FALSE)*VLOOKUP($D48,素材!$1:$1016,COLUMN($E$1),FALSE)/(LEN(VLOOKUP($D48,素材!$1:$1016,COLUMN($F$1),FALSE)) - LEN(SUBSTITUTE(VLOOKUP($D48,素材!$1:$1016,COLUMN($F$1),FALSE), "・", 0)) + 1), 0)</f>
        <v>0</v>
      </c>
      <c r="BC48">
        <f>IF(ISNUMBER(SEARCH(SUBSTITUTE(BC$1,RIGHT(BC$1,2),""),VLOOKUP($D48,素材!$1:$1016,COLUMN($F$1),FALSE))),VLOOKUP($C48,武器!$1:$998,COLUMN($O$1),FALSE)*VLOOKUP($D48,素材!$1:$1016,COLUMN($E$1),FALSE)/(LEN(VLOOKUP($D48,素材!$1:$1016,COLUMN($F$1),FALSE)) - LEN(SUBSTITUTE(VLOOKUP($D48,素材!$1:$1016,COLUMN($F$1),FALSE), "・", 0)) + 1), 0)</f>
        <v>0</v>
      </c>
      <c r="BD48">
        <f>IF(ISNUMBER(SEARCH(SUBSTITUTE(BD$1,RIGHT(BD$1,2),""),VLOOKUP($D48,素材!$1:$1016,COLUMN($F$1),FALSE))),VLOOKUP($C48,武器!$1:$998,COLUMN($O$1),FALSE)*VLOOKUP($D48,素材!$1:$1016,COLUMN($E$1),FALSE)/(LEN(VLOOKUP($D48,素材!$1:$1016,COLUMN($F$1),FALSE)) - LEN(SUBSTITUTE(VLOOKUP($D48,素材!$1:$1016,COLUMN($F$1),FALSE), "・", 0)) + 1), 0)</f>
        <v>0</v>
      </c>
      <c r="BE48">
        <f>IF(ISNUMBER(SEARCH(SUBSTITUTE(BE$1,RIGHT(BE$1,2),""),VLOOKUP($D48,素材!$1:$1016,COLUMN($F$1),FALSE))),VLOOKUP($C48,武器!$1:$998,COLUMN($O$1),FALSE)*VLOOKUP($D48,素材!$1:$1016,COLUMN($E$1),FALSE)/(LEN(VLOOKUP($D48,素材!$1:$1016,COLUMN($F$1),FALSE)) - LEN(SUBSTITUTE(VLOOKUP($D48,素材!$1:$1016,COLUMN($F$1),FALSE), "・", 0)) + 1), 0)</f>
        <v>0</v>
      </c>
      <c r="CL48">
        <f>SUM(G48:I48)</f>
        <v>18</v>
      </c>
      <c r="CM48" s="22" t="str">
        <f>IF(E48="武器",IF(J48-1&gt;SUM(G48:I48),"盾",IF(MAX(G48:I48)=G48,"切断",IF(MAX(G48:I48)=H48,"貫通",IF(MAX(G48:I48)=I48,"打撃","射撃")))),E48)&amp;".webp"</f>
        <v>貫通.webp</v>
      </c>
      <c r="CN48">
        <f>IFERROR(VLOOKUP($C48,武器!$1:$998,COLUMN(V$1),FALSE)*VLOOKUP($D48,素材!$1:$1016,COLUMN(N$1),FALSE)+IF(CI48="",0,VLOOKUP($CI48,装強!$1:$1008,COLUMN($CK$1),FALSE)),"")</f>
        <v>150</v>
      </c>
      <c r="CO48" t="str">
        <f>VLOOKUP(D48,素材!$A:$O,COLUMN(素材!O$1),FALSE)</f>
        <v>一般的な木材。金属より軽いが少し脆い</v>
      </c>
      <c r="CP48" t="str">
        <f>VLOOKUP(C48,武器!$A:$W,COLUMN(武器!W$1),FALSE)</f>
        <v>短槍。短く扱いやすい槍で、投擲にも対応。</v>
      </c>
      <c r="CR48" t="str">
        <f t="shared" si="1"/>
        <v>e_48</v>
      </c>
      <c r="CS48">
        <f t="shared" si="2"/>
        <v>15000</v>
      </c>
    </row>
    <row r="49" spans="1:97" outlineLevel="1" x14ac:dyDescent="0.4">
      <c r="A49" t="str">
        <f t="shared" si="3"/>
        <v>木の槍</v>
      </c>
      <c r="B49" t="str">
        <f>IFERROR(VLOOKUP($D49,素材!$1:$1016,COLUMN($B$1),FALSE)&amp;"・"&amp;VLOOKUP($C49,武器!$1:$998,COLUMN(B$1),FALSE),"")</f>
        <v>ウッド・スピア</v>
      </c>
      <c r="C49" s="24" t="s">
        <v>233</v>
      </c>
      <c r="D49" s="24" t="s">
        <v>255</v>
      </c>
      <c r="E49" t="str">
        <f>IFERROR(VLOOKUP(C49,武器!$1:$998,COLUMN(C$1),FALSE),"")</f>
        <v>武器</v>
      </c>
      <c r="F49">
        <f>IFERROR(ROUNDDOWN((VLOOKUP($C49,武器!$1:$998,COLUMN(D$1),FALSE)+IFERROR(VLOOKUP($CI49,装強!$1:$999,COLUMN(F$1),FALSE),0))*VLOOKUP($D49,素材!$1:$1016,COLUMN(D$1),FALSE),0),"")</f>
        <v>86</v>
      </c>
      <c r="G49">
        <f>IFERROR(ROUNDDOWN((VLOOKUP($C49,武器!$1:$998,COLUMN(E$1),FALSE)+IFERROR(VLOOKUP($CI49,装強!$1:$999,COLUMN(G$1),FALSE),0))*VLOOKUP($D49,素材!$1:$1016,COLUMN($E$1),FALSE),0),"")</f>
        <v>6</v>
      </c>
      <c r="H49">
        <f>IFERROR(ROUNDDOWN((VLOOKUP($C49,武器!$1:$998,COLUMN(F$1),FALSE)+IFERROR(VLOOKUP($CI49,装強!$1:$999,COLUMN(H$1),FALSE),0))*VLOOKUP($D49,素材!$1:$1016,COLUMN($E$1),FALSE),0),"")</f>
        <v>12</v>
      </c>
      <c r="I49">
        <f>IFERROR(ROUNDDOWN((VLOOKUP($C49,武器!$1:$998,COLUMN(G$1),FALSE)+IFERROR(VLOOKUP($CI49,装強!$1:$999,COLUMN(I$1),FALSE),0))*VLOOKUP($D49,素材!$1:$1016,COLUMN($E$1),FALSE),0),"")</f>
        <v>2</v>
      </c>
      <c r="J49">
        <f>IFERROR(ROUNDDOWN((VLOOKUP($C49,武器!$1:$998,COLUMN(H$1),FALSE)+IFERROR(VLOOKUP($CI49,装強!$1:$999,COLUMN(J$1),FALSE),0))*VLOOKUP($D49,素材!$1:$1016,COLUMN($E$1),FALSE),0),"")</f>
        <v>12</v>
      </c>
      <c r="K49">
        <f>IFERROR(ROUNDDOWN((VLOOKUP($C49,武器!$1:$998,COLUMN(I$1),FALSE)+IFERROR(VLOOKUP($CI49,装強!$1:$999,COLUMN(K$1),FALSE),0))*VLOOKUP($D49,素材!$1:$1016,COLUMN($E$1),FALSE),0),"")</f>
        <v>0</v>
      </c>
      <c r="L49">
        <f>IFERROR(VLOOKUP($D49,素材!$1:$1016,COLUMN($F$1),FALSE),"")</f>
        <v>0</v>
      </c>
      <c r="M49">
        <f>IFERROR(VLOOKUP($C49,武器!$1:$998,COLUMN(AA$1),FALSE)*VLOOKUP($D49,素材!$1:$1016,COLUMN($G$1),FALSE),"")</f>
        <v>0</v>
      </c>
      <c r="N49">
        <f>IFERROR(VLOOKUP($C49,武器!$1:$998,COLUMN(I$1),FALSE),"")</f>
        <v>0</v>
      </c>
      <c r="O49" s="23">
        <f>IFERROR((VLOOKUP($C49,武器!$1:$998,COLUMN(K$1),FALSE)+VLOOKUP($D49,素材!$1:$1016,COLUMN(H$1),FALSE))*100+IFERROR(VLOOKUP($CI49,装強!$1:$999,COLUMN(O$1),FALSE),0),"")</f>
        <v>10</v>
      </c>
      <c r="P49" s="23">
        <f>IFERROR((VLOOKUP($C49,武器!$1:$998,COLUMN(L$1),FALSE)+VLOOKUP($D49,素材!$1:$1016,COLUMN(I$1),FALSE))*100+IFERROR(VLOOKUP($CI49,装強!$1:$999,COLUMN(P$1),FALSE),0),"")</f>
        <v>150</v>
      </c>
      <c r="Q49">
        <f>IFERROR(ROUNDUP(VLOOKUP($C49,武器!$1:$998,COLUMN(M$1),FALSE)*(VLOOKUP($D49,素材!$1:$1002,COLUMN(D$1),FALSE)/100),1),"")</f>
        <v>0</v>
      </c>
      <c r="R49">
        <f>IFERROR(ROUNDUP(VLOOKUP($C49,武器!$1:$998,COLUMN(N$1),FALSE)*(VLOOKUP($D49,素材!$1:$1002,COLUMN(D$1),FALSE)/100),1),"")</f>
        <v>-3.8000000000000003</v>
      </c>
      <c r="S49">
        <f>IFERROR(VLOOKUP($C49,武器!$1:$998,COLUMN(P$1),FALSE),"")</f>
        <v>0</v>
      </c>
      <c r="T49">
        <f>IFERROR(VLOOKUP($C49,武器!$1:$998,COLUMN(Q$1),FALSE),"")</f>
        <v>0</v>
      </c>
      <c r="U49">
        <f>IFERROR(VLOOKUP($C49,武器!$1:$998,COLUMN(R$1),FALSE),"")</f>
        <v>0</v>
      </c>
      <c r="V49">
        <f>IFERROR(VLOOKUP($C49,武器!$1:$998,COLUMN(Q$1),FALSE),"")</f>
        <v>0</v>
      </c>
      <c r="W49" t="str">
        <f>IFERROR(VLOOKUP($C49,武器!$1:$998,COLUMN(T$1),FALSE),"")</f>
        <v>A</v>
      </c>
      <c r="Y49" t="str">
        <f>IFERROR(VLOOKUP($C49,武器!$1:$998,COLUMN(U$1),FALSE),"")</f>
        <v>投擲強化</v>
      </c>
      <c r="Z49">
        <f>IFERROR(ROUNDUP(VLOOKUP($C49,武器!$1:$998,COLUMN(O$1),FALSE)*VLOOKUP($D49,素材!$1:$1016,COLUMN(E$1),FALSE),1),"")</f>
        <v>0</v>
      </c>
      <c r="AA49">
        <f>IF(ISNUMBER(SEARCH(SUBSTITUTE(AA$1,RIGHT(AA$1,2),""),VLOOKUP($D49,素材!$1:$1016,COLUMN($F$1),FALSE))),VLOOKUP($C49,武器!$1:$998,COLUMN($O$1),FALSE)*VLOOKUP($D49,素材!$1:$1016,COLUMN($E$1),FALSE)/(LEN(VLOOKUP($D49,素材!$1:$1016,COLUMN($F$1),FALSE)) - LEN(SUBSTITUTE(VLOOKUP($D49,素材!$1:$1016,COLUMN($F$1),FALSE), "・", 0)) + 1), 0)</f>
        <v>0</v>
      </c>
      <c r="AB49">
        <f>IF(ISNUMBER(SEARCH(SUBSTITUTE(AB$1,RIGHT(AB$1,2),""),VLOOKUP($D49,素材!$1:$1016,COLUMN($F$1),FALSE))),VLOOKUP($C49,武器!$1:$998,COLUMN($O$1),FALSE)*VLOOKUP($D49,素材!$1:$1016,COLUMN($E$1),FALSE)/(LEN(VLOOKUP($D49,素材!$1:$1016,COLUMN($F$1),FALSE)) - LEN(SUBSTITUTE(VLOOKUP($D49,素材!$1:$1016,COLUMN($F$1),FALSE), "・", 0)) + 1), 0)</f>
        <v>0</v>
      </c>
      <c r="AC49">
        <f>IF(ISNUMBER(SEARCH(SUBSTITUTE(AC$1,RIGHT(AC$1,2),""),VLOOKUP($D49,素材!$1:$1016,COLUMN($F$1),FALSE))),VLOOKUP($C49,武器!$1:$998,COLUMN($O$1),FALSE)*VLOOKUP($D49,素材!$1:$1016,COLUMN($E$1),FALSE)/(LEN(VLOOKUP($D49,素材!$1:$1016,COLUMN($F$1),FALSE)) - LEN(SUBSTITUTE(VLOOKUP($D49,素材!$1:$1016,COLUMN($F$1),FALSE), "・", 0)) + 1), 0)</f>
        <v>0</v>
      </c>
      <c r="AD49">
        <f>IF(ISNUMBER(SEARCH(SUBSTITUTE(AD$1,RIGHT(AD$1,2),""),VLOOKUP($D49,素材!$1:$1016,COLUMN($F$1),FALSE))),VLOOKUP($C49,武器!$1:$998,COLUMN($O$1),FALSE)*VLOOKUP($D49,素材!$1:$1016,COLUMN($E$1),FALSE)/(LEN(VLOOKUP($D49,素材!$1:$1016,COLUMN($F$1),FALSE)) - LEN(SUBSTITUTE(VLOOKUP($D49,素材!$1:$1016,COLUMN($F$1),FALSE), "・", 0)) + 1), 0)</f>
        <v>0</v>
      </c>
      <c r="AE49">
        <f>IF(ISNUMBER(SEARCH(SUBSTITUTE(AE$1,RIGHT(AE$1,2),""),VLOOKUP($D49,素材!$1:$1016,COLUMN($F$1),FALSE))),VLOOKUP($C49,武器!$1:$998,COLUMN($O$1),FALSE)*VLOOKUP($D49,素材!$1:$1016,COLUMN($E$1),FALSE)/(LEN(VLOOKUP($D49,素材!$1:$1016,COLUMN($F$1),FALSE)) - LEN(SUBSTITUTE(VLOOKUP($D49,素材!$1:$1016,COLUMN($F$1),FALSE), "・", 0)) + 1), 0)</f>
        <v>0</v>
      </c>
      <c r="AF49">
        <f>IF(ISNUMBER(SEARCH(SUBSTITUTE(AF$1,RIGHT(AF$1,2),""),VLOOKUP($D49,素材!$1:$1016,COLUMN($F$1),FALSE))),VLOOKUP($C49,武器!$1:$998,COLUMN($O$1),FALSE)*VLOOKUP($D49,素材!$1:$1016,COLUMN($E$1),FALSE)/(LEN(VLOOKUP($D49,素材!$1:$1016,COLUMN($F$1),FALSE)) - LEN(SUBSTITUTE(VLOOKUP($D49,素材!$1:$1016,COLUMN($F$1),FALSE), "・", 0)) + 1), 0)</f>
        <v>0</v>
      </c>
      <c r="AG49">
        <f>IF(ISNUMBER(SEARCH(SUBSTITUTE(AG$1,RIGHT(AG$1,2),""),VLOOKUP($D49,素材!$1:$1016,COLUMN($F$1),FALSE))),VLOOKUP($C49,武器!$1:$998,COLUMN($O$1),FALSE)*VLOOKUP($D49,素材!$1:$1016,COLUMN($E$1),FALSE)/(LEN(VLOOKUP($D49,素材!$1:$1016,COLUMN($F$1),FALSE)) - LEN(SUBSTITUTE(VLOOKUP($D49,素材!$1:$1016,COLUMN($F$1),FALSE), "・", 0)) + 1), 0)</f>
        <v>0</v>
      </c>
      <c r="AH49">
        <f>IF(ISNUMBER(SEARCH(SUBSTITUTE(AH$1,RIGHT(AH$1,2),""),VLOOKUP($D49,素材!$1:$1016,COLUMN($F$1),FALSE))),VLOOKUP($C49,武器!$1:$998,COLUMN($O$1),FALSE)*VLOOKUP($D49,素材!$1:$1016,COLUMN($E$1),FALSE)/(LEN(VLOOKUP($D49,素材!$1:$1016,COLUMN($F$1),FALSE)) - LEN(SUBSTITUTE(VLOOKUP($D49,素材!$1:$1016,COLUMN($F$1),FALSE), "・", 0)) + 1), 0)</f>
        <v>0</v>
      </c>
      <c r="AI49">
        <f>IF(ISNUMBER(SEARCH(SUBSTITUTE(AI$1,RIGHT(AI$1,2),""),VLOOKUP($D49,素材!$1:$1016,COLUMN($F$1),FALSE))),VLOOKUP($C49,武器!$1:$998,COLUMN($O$1),FALSE)*VLOOKUP($D49,素材!$1:$1016,COLUMN($E$1),FALSE)/(LEN(VLOOKUP($D49,素材!$1:$1016,COLUMN($F$1),FALSE)) - LEN(SUBSTITUTE(VLOOKUP($D49,素材!$1:$1016,COLUMN($F$1),FALSE), "・", 0)) + 1), 0)</f>
        <v>0</v>
      </c>
      <c r="AJ49">
        <f>IF(ISNUMBER(SEARCH(SUBSTITUTE(AJ$1,RIGHT(AJ$1,2),""),VLOOKUP($D49,素材!$1:$1016,COLUMN($F$1),FALSE))),VLOOKUP($C49,武器!$1:$998,COLUMN($O$1),FALSE)*VLOOKUP($D49,素材!$1:$1016,COLUMN($E$1),FALSE)/(LEN(VLOOKUP($D49,素材!$1:$1016,COLUMN($F$1),FALSE)) - LEN(SUBSTITUTE(VLOOKUP($D49,素材!$1:$1016,COLUMN($F$1),FALSE), "・", 0)) + 1), 0)</f>
        <v>0</v>
      </c>
      <c r="AK49">
        <f>IF(ISNUMBER(SEARCH(SUBSTITUTE(AK$1,RIGHT(AK$1,2),""),VLOOKUP($D49,素材!$1:$1016,COLUMN($F$1),FALSE))),VLOOKUP($C49,武器!$1:$998,COLUMN($O$1),FALSE)*VLOOKUP($D49,素材!$1:$1016,COLUMN($E$1),FALSE)/(LEN(VLOOKUP($D49,素材!$1:$1016,COLUMN($F$1),FALSE)) - LEN(SUBSTITUTE(VLOOKUP($D49,素材!$1:$1016,COLUMN($F$1),FALSE), "・", 0)) + 1), 0)</f>
        <v>0</v>
      </c>
      <c r="AL49">
        <f>IF(ISNUMBER(SEARCH(SUBSTITUTE(AL$1,RIGHT(AL$1,2),""),VLOOKUP($D49,素材!$1:$1016,COLUMN($F$1),FALSE))),VLOOKUP($C49,武器!$1:$998,COLUMN($O$1),FALSE)*VLOOKUP($D49,素材!$1:$1016,COLUMN($E$1),FALSE)/(LEN(VLOOKUP($D49,素材!$1:$1016,COLUMN($F$1),FALSE)) - LEN(SUBSTITUTE(VLOOKUP($D49,素材!$1:$1016,COLUMN($F$1),FALSE), "・", 0)) + 1), 0)</f>
        <v>0</v>
      </c>
      <c r="AM49">
        <f>IF(ISNUMBER(SEARCH(SUBSTITUTE(AM$1,RIGHT(AM$1,2),""),VLOOKUP($D49,素材!$1:$1016,COLUMN($F$1),FALSE))),VLOOKUP($C49,武器!$1:$998,COLUMN($O$1),FALSE)*VLOOKUP($D49,素材!$1:$1016,COLUMN($E$1),FALSE)/(LEN(VLOOKUP($D49,素材!$1:$1016,COLUMN($F$1),FALSE)) - LEN(SUBSTITUTE(VLOOKUP($D49,素材!$1:$1016,COLUMN($F$1),FALSE), "・", 0)) + 1), 0)</f>
        <v>0</v>
      </c>
      <c r="AN49">
        <f>IF(ISNUMBER(SEARCH(SUBSTITUTE(AN$1,RIGHT(AN$1,2),""),VLOOKUP($D49,素材!$1:$1016,COLUMN($F$1),FALSE))),VLOOKUP($C49,武器!$1:$998,COLUMN($O$1),FALSE)*VLOOKUP($D49,素材!$1:$1016,COLUMN($E$1),FALSE)/(LEN(VLOOKUP($D49,素材!$1:$1016,COLUMN($F$1),FALSE)) - LEN(SUBSTITUTE(VLOOKUP($D49,素材!$1:$1016,COLUMN($F$1),FALSE), "・", 0)) + 1), 0)</f>
        <v>0</v>
      </c>
      <c r="AO49">
        <f>IF(ISNUMBER(SEARCH(SUBSTITUTE(AO$1,RIGHT(AO$1,2),""),VLOOKUP($D49,素材!$1:$1016,COLUMN($F$1),FALSE))),VLOOKUP($C49,武器!$1:$998,COLUMN($O$1),FALSE)*VLOOKUP($D49,素材!$1:$1016,COLUMN($E$1),FALSE)/(LEN(VLOOKUP($D49,素材!$1:$1016,COLUMN($F$1),FALSE)) - LEN(SUBSTITUTE(VLOOKUP($D49,素材!$1:$1016,COLUMN($F$1),FALSE), "・", 0)) + 1), 0)</f>
        <v>0</v>
      </c>
      <c r="AP49">
        <f>IF(ISNUMBER(SEARCH(SUBSTITUTE(AP$1,RIGHT(AP$1,2),""),VLOOKUP($D49,素材!$1:$1016,COLUMN($F$1),FALSE))),VLOOKUP($C49,武器!$1:$998,COLUMN($O$1),FALSE)*VLOOKUP($D49,素材!$1:$1016,COLUMN($E$1),FALSE)/(LEN(VLOOKUP($D49,素材!$1:$1016,COLUMN($F$1),FALSE)) - LEN(SUBSTITUTE(VLOOKUP($D49,素材!$1:$1016,COLUMN($F$1),FALSE), "・", 0)) + 1), 0)</f>
        <v>0</v>
      </c>
      <c r="AQ49">
        <f>IF(ISNUMBER(SEARCH(SUBSTITUTE(AQ$1,RIGHT(AQ$1,2),""),VLOOKUP($D49,素材!$1:$1016,COLUMN($F$1),FALSE))),VLOOKUP($C49,武器!$1:$998,COLUMN($O$1),FALSE)*VLOOKUP($D49,素材!$1:$1016,COLUMN($E$1),FALSE)/(LEN(VLOOKUP($D49,素材!$1:$1016,COLUMN($F$1),FALSE)) - LEN(SUBSTITUTE(VLOOKUP($D49,素材!$1:$1016,COLUMN($F$1),FALSE), "・", 0)) + 1), 0)</f>
        <v>0</v>
      </c>
      <c r="AR49">
        <f>IF(ISNUMBER(SEARCH(SUBSTITUTE(AR$1,RIGHT(AR$1,2),""),VLOOKUP($D49,素材!$1:$1016,COLUMN($F$1),FALSE))),VLOOKUP($C49,武器!$1:$998,COLUMN($O$1),FALSE)*VLOOKUP($D49,素材!$1:$1016,COLUMN($E$1),FALSE)/(LEN(VLOOKUP($D49,素材!$1:$1016,COLUMN($F$1),FALSE)) - LEN(SUBSTITUTE(VLOOKUP($D49,素材!$1:$1016,COLUMN($F$1),FALSE), "・", 0)) + 1), 0)</f>
        <v>0</v>
      </c>
      <c r="AS49">
        <f>IF(ISNUMBER(SEARCH(SUBSTITUTE(AS$1,RIGHT(AS$1,2),""),VLOOKUP($D49,素材!$1:$1016,COLUMN($F$1),FALSE))),VLOOKUP($C49,武器!$1:$998,COLUMN($O$1),FALSE)*VLOOKUP($D49,素材!$1:$1016,COLUMN($E$1),FALSE)/(LEN(VLOOKUP($D49,素材!$1:$1016,COLUMN($F$1),FALSE)) - LEN(SUBSTITUTE(VLOOKUP($D49,素材!$1:$1016,COLUMN($F$1),FALSE), "・", 0)) + 1), 0)</f>
        <v>0</v>
      </c>
      <c r="AT49">
        <f>IF(ISNUMBER(SEARCH(SUBSTITUTE(AT$1,RIGHT(AT$1,2),""),VLOOKUP($D49,素材!$1:$1016,COLUMN($F$1),FALSE))),VLOOKUP($C49,武器!$1:$998,COLUMN($O$1),FALSE)*VLOOKUP($D49,素材!$1:$1016,COLUMN($E$1),FALSE)/(LEN(VLOOKUP($D49,素材!$1:$1016,COLUMN($F$1),FALSE)) - LEN(SUBSTITUTE(VLOOKUP($D49,素材!$1:$1016,COLUMN($F$1),FALSE), "・", 0)) + 1), 0)</f>
        <v>0</v>
      </c>
      <c r="AU49">
        <f>IF(ISNUMBER(SEARCH(SUBSTITUTE(AU$1,RIGHT(AU$1,2),""),VLOOKUP($D49,素材!$1:$1016,COLUMN($F$1),FALSE))),VLOOKUP($C49,武器!$1:$998,COLUMN($O$1),FALSE)*VLOOKUP($D49,素材!$1:$1016,COLUMN($E$1),FALSE)/(LEN(VLOOKUP($D49,素材!$1:$1016,COLUMN($F$1),FALSE)) - LEN(SUBSTITUTE(VLOOKUP($D49,素材!$1:$1016,COLUMN($F$1),FALSE), "・", 0)) + 1), 0)</f>
        <v>0</v>
      </c>
      <c r="AV49">
        <f>IF(ISNUMBER(SEARCH(SUBSTITUTE(AV$1,RIGHT(AV$1,2),""),VLOOKUP($D49,素材!$1:$1016,COLUMN($F$1),FALSE))),VLOOKUP($C49,武器!$1:$998,COLUMN($O$1),FALSE)*VLOOKUP($D49,素材!$1:$1016,COLUMN($E$1),FALSE)/(LEN(VLOOKUP($D49,素材!$1:$1016,COLUMN($F$1),FALSE)) - LEN(SUBSTITUTE(VLOOKUP($D49,素材!$1:$1016,COLUMN($F$1),FALSE), "・", 0)) + 1), 0)</f>
        <v>0</v>
      </c>
      <c r="AW49">
        <f>IF(ISNUMBER(SEARCH(SUBSTITUTE(AW$1,RIGHT(AW$1,2),""),VLOOKUP($D49,素材!$1:$1016,COLUMN($F$1),FALSE))),VLOOKUP($C49,武器!$1:$998,COLUMN($O$1),FALSE)*VLOOKUP($D49,素材!$1:$1016,COLUMN($E$1),FALSE)/(LEN(VLOOKUP($D49,素材!$1:$1016,COLUMN($F$1),FALSE)) - LEN(SUBSTITUTE(VLOOKUP($D49,素材!$1:$1016,COLUMN($F$1),FALSE), "・", 0)) + 1), 0)</f>
        <v>0</v>
      </c>
      <c r="AX49">
        <f>IF(ISNUMBER(SEARCH(SUBSTITUTE(AX$1,RIGHT(AX$1,2),""),VLOOKUP($D49,素材!$1:$1016,COLUMN($F$1),FALSE))),VLOOKUP($C49,武器!$1:$998,COLUMN($O$1),FALSE)*VLOOKUP($D49,素材!$1:$1016,COLUMN($E$1),FALSE)/(LEN(VLOOKUP($D49,素材!$1:$1016,COLUMN($F$1),FALSE)) - LEN(SUBSTITUTE(VLOOKUP($D49,素材!$1:$1016,COLUMN($F$1),FALSE), "・", 0)) + 1), 0)</f>
        <v>0</v>
      </c>
      <c r="AY49">
        <f>IF(ISNUMBER(SEARCH(SUBSTITUTE(AY$1,RIGHT(AY$1,2),""),VLOOKUP($D49,素材!$1:$1016,COLUMN($F$1),FALSE))),VLOOKUP($C49,武器!$1:$998,COLUMN($O$1),FALSE)*VLOOKUP($D49,素材!$1:$1016,COLUMN($E$1),FALSE)/(LEN(VLOOKUP($D49,素材!$1:$1016,COLUMN($F$1),FALSE)) - LEN(SUBSTITUTE(VLOOKUP($D49,素材!$1:$1016,COLUMN($F$1),FALSE), "・", 0)) + 1), 0)</f>
        <v>0</v>
      </c>
      <c r="AZ49">
        <f>IF(ISNUMBER(SEARCH(SUBSTITUTE(AZ$1,RIGHT(AZ$1,2),""),VLOOKUP($D49,素材!$1:$1016,COLUMN($F$1),FALSE))),VLOOKUP($C49,武器!$1:$998,COLUMN($O$1),FALSE)*VLOOKUP($D49,素材!$1:$1016,COLUMN($E$1),FALSE)/(LEN(VLOOKUP($D49,素材!$1:$1016,COLUMN($F$1),FALSE)) - LEN(SUBSTITUTE(VLOOKUP($D49,素材!$1:$1016,COLUMN($F$1),FALSE), "・", 0)) + 1), 0)</f>
        <v>0</v>
      </c>
      <c r="BA49">
        <f>IF(ISNUMBER(SEARCH(SUBSTITUTE(BA$1,RIGHT(BA$1,2),""),VLOOKUP($D49,素材!$1:$1016,COLUMN($F$1),FALSE))),VLOOKUP($C49,武器!$1:$998,COLUMN($O$1),FALSE)*VLOOKUP($D49,素材!$1:$1016,COLUMN($E$1),FALSE)/(LEN(VLOOKUP($D49,素材!$1:$1016,COLUMN($F$1),FALSE)) - LEN(SUBSTITUTE(VLOOKUP($D49,素材!$1:$1016,COLUMN($F$1),FALSE), "・", 0)) + 1), 0)</f>
        <v>0</v>
      </c>
      <c r="BB49">
        <f>IF(ISNUMBER(SEARCH(SUBSTITUTE(BB$1,RIGHT(BB$1,2),""),VLOOKUP($D49,素材!$1:$1016,COLUMN($F$1),FALSE))),VLOOKUP($C49,武器!$1:$998,COLUMN($O$1),FALSE)*VLOOKUP($D49,素材!$1:$1016,COLUMN($E$1),FALSE)/(LEN(VLOOKUP($D49,素材!$1:$1016,COLUMN($F$1),FALSE)) - LEN(SUBSTITUTE(VLOOKUP($D49,素材!$1:$1016,COLUMN($F$1),FALSE), "・", 0)) + 1), 0)</f>
        <v>0</v>
      </c>
      <c r="BC49">
        <f>IF(ISNUMBER(SEARCH(SUBSTITUTE(BC$1,RIGHT(BC$1,2),""),VLOOKUP($D49,素材!$1:$1016,COLUMN($F$1),FALSE))),VLOOKUP($C49,武器!$1:$998,COLUMN($O$1),FALSE)*VLOOKUP($D49,素材!$1:$1016,COLUMN($E$1),FALSE)/(LEN(VLOOKUP($D49,素材!$1:$1016,COLUMN($F$1),FALSE)) - LEN(SUBSTITUTE(VLOOKUP($D49,素材!$1:$1016,COLUMN($F$1),FALSE), "・", 0)) + 1), 0)</f>
        <v>0</v>
      </c>
      <c r="BD49">
        <f>IF(ISNUMBER(SEARCH(SUBSTITUTE(BD$1,RIGHT(BD$1,2),""),VLOOKUP($D49,素材!$1:$1016,COLUMN($F$1),FALSE))),VLOOKUP($C49,武器!$1:$998,COLUMN($O$1),FALSE)*VLOOKUP($D49,素材!$1:$1016,COLUMN($E$1),FALSE)/(LEN(VLOOKUP($D49,素材!$1:$1016,COLUMN($F$1),FALSE)) - LEN(SUBSTITUTE(VLOOKUP($D49,素材!$1:$1016,COLUMN($F$1),FALSE), "・", 0)) + 1), 0)</f>
        <v>0</v>
      </c>
      <c r="BE49">
        <f>IF(ISNUMBER(SEARCH(SUBSTITUTE(BE$1,RIGHT(BE$1,2),""),VLOOKUP($D49,素材!$1:$1016,COLUMN($F$1),FALSE))),VLOOKUP($C49,武器!$1:$998,COLUMN($O$1),FALSE)*VLOOKUP($D49,素材!$1:$1016,COLUMN($E$1),FALSE)/(LEN(VLOOKUP($D49,素材!$1:$1016,COLUMN($F$1),FALSE)) - LEN(SUBSTITUTE(VLOOKUP($D49,素材!$1:$1016,COLUMN($F$1),FALSE), "・", 0)) + 1), 0)</f>
        <v>0</v>
      </c>
      <c r="CL49">
        <f>SUM(G49:I49)</f>
        <v>20</v>
      </c>
      <c r="CM49" s="22" t="str">
        <f>IF(E49="武器",IF(J49-1&gt;SUM(G49:I49),"盾",IF(MAX(G49:I49)=G49,"切断",IF(MAX(G49:I49)=H49,"貫通",IF(MAX(G49:I49)=I49,"打撃","射撃")))),E49)&amp;".webp"</f>
        <v>貫通.webp</v>
      </c>
      <c r="CN49">
        <f>IFERROR(VLOOKUP($C49,武器!$1:$998,COLUMN(V$1),FALSE)*VLOOKUP($D49,素材!$1:$1016,COLUMN(N$1),FALSE)+IF(CI49="",0,VLOOKUP($CI49,装強!$1:$1008,COLUMN($CK$1),FALSE)),"")</f>
        <v>200</v>
      </c>
      <c r="CO49" t="str">
        <f>VLOOKUP(D49,素材!$A:$O,COLUMN(素材!O$1),FALSE)</f>
        <v>一般的な木材。金属より軽いが少し脆い</v>
      </c>
      <c r="CP49" t="str">
        <f>VLOOKUP(C49,武器!$A:$W,COLUMN(武器!W$1),FALSE)</f>
        <v>槍。リーチが長く、刺突に優れる武器。</v>
      </c>
      <c r="CR49" t="str">
        <f t="shared" si="1"/>
        <v>e_49</v>
      </c>
      <c r="CS49">
        <f t="shared" si="2"/>
        <v>20000</v>
      </c>
    </row>
    <row r="50" spans="1:97" outlineLevel="1" x14ac:dyDescent="0.4">
      <c r="A50" t="str">
        <f t="shared" si="3"/>
        <v>木の騎士槍</v>
      </c>
      <c r="B50" t="str">
        <f>IFERROR(VLOOKUP($D50,素材!$1:$1016,COLUMN($B$1),FALSE)&amp;"・"&amp;VLOOKUP($C50,武器!$1:$998,COLUMN(B$1),FALSE),"")</f>
        <v>ウッド・ランス</v>
      </c>
      <c r="C50" s="24" t="s">
        <v>232</v>
      </c>
      <c r="D50" s="24" t="s">
        <v>255</v>
      </c>
      <c r="E50" t="str">
        <f>IFERROR(VLOOKUP(C50,武器!$1:$998,COLUMN(C$1),FALSE),"")</f>
        <v>武器</v>
      </c>
      <c r="F50">
        <f>IFERROR(ROUNDDOWN((VLOOKUP($C50,武器!$1:$998,COLUMN(D$1),FALSE)+IFERROR(VLOOKUP($CI50,装強!$1:$999,COLUMN(F$1),FALSE),0))*VLOOKUP($D50,素材!$1:$1016,COLUMN(D$1),FALSE),0),"")</f>
        <v>86</v>
      </c>
      <c r="G50">
        <f>IFERROR(ROUNDDOWN((VLOOKUP($C50,武器!$1:$998,COLUMN(E$1),FALSE)+IFERROR(VLOOKUP($CI50,装強!$1:$999,COLUMN(G$1),FALSE),0))*VLOOKUP($D50,素材!$1:$1016,COLUMN($E$1),FALSE),0),"")</f>
        <v>0</v>
      </c>
      <c r="H50">
        <f>IFERROR(ROUNDDOWN((VLOOKUP($C50,武器!$1:$998,COLUMN(F$1),FALSE)+IFERROR(VLOOKUP($CI50,装強!$1:$999,COLUMN(H$1),FALSE),0))*VLOOKUP($D50,素材!$1:$1016,COLUMN($E$1),FALSE),0),"")</f>
        <v>14</v>
      </c>
      <c r="I50">
        <f>IFERROR(ROUNDDOWN((VLOOKUP($C50,武器!$1:$998,COLUMN(G$1),FALSE)+IFERROR(VLOOKUP($CI50,装強!$1:$999,COLUMN(I$1),FALSE),0))*VLOOKUP($D50,素材!$1:$1016,COLUMN($E$1),FALSE),0),"")</f>
        <v>6</v>
      </c>
      <c r="J50">
        <f>IFERROR(ROUNDDOWN((VLOOKUP($C50,武器!$1:$998,COLUMN(H$1),FALSE)+IFERROR(VLOOKUP($CI50,装強!$1:$999,COLUMN(J$1),FALSE),0))*VLOOKUP($D50,素材!$1:$1016,COLUMN($E$1),FALSE),0),"")</f>
        <v>15</v>
      </c>
      <c r="K50">
        <f>IFERROR(ROUNDDOWN((VLOOKUP($C50,武器!$1:$998,COLUMN(I$1),FALSE)+IFERROR(VLOOKUP($CI50,装強!$1:$999,COLUMN(K$1),FALSE),0))*VLOOKUP($D50,素材!$1:$1016,COLUMN($E$1),FALSE),0),"")</f>
        <v>0</v>
      </c>
      <c r="L50">
        <f>IFERROR(VLOOKUP($D50,素材!$1:$1016,COLUMN($F$1),FALSE),"")</f>
        <v>0</v>
      </c>
      <c r="M50">
        <f>IFERROR(VLOOKUP($C50,武器!$1:$998,COLUMN(AA$1),FALSE)*VLOOKUP($D50,素材!$1:$1016,COLUMN($G$1),FALSE),"")</f>
        <v>0</v>
      </c>
      <c r="N50">
        <f>IFERROR(VLOOKUP($C50,武器!$1:$998,COLUMN(I$1),FALSE),"")</f>
        <v>0</v>
      </c>
      <c r="O50" s="23">
        <f>IFERROR((VLOOKUP($C50,武器!$1:$998,COLUMN(K$1),FALSE)+VLOOKUP($D50,素材!$1:$1016,COLUMN(H$1),FALSE))*100+IFERROR(VLOOKUP($CI50,装強!$1:$999,COLUMN(O$1),FALSE),0),"")</f>
        <v>5</v>
      </c>
      <c r="P50" s="23">
        <f>IFERROR((VLOOKUP($C50,武器!$1:$998,COLUMN(L$1),FALSE)+VLOOKUP($D50,素材!$1:$1016,COLUMN(I$1),FALSE))*100+IFERROR(VLOOKUP($CI50,装強!$1:$999,COLUMN(P$1),FALSE),0),"")</f>
        <v>175</v>
      </c>
      <c r="Q50">
        <f>IFERROR(ROUNDUP(VLOOKUP($C50,武器!$1:$998,COLUMN(M$1),FALSE)*(VLOOKUP($D50,素材!$1:$1002,COLUMN(D$1),FALSE)/100),1),"")</f>
        <v>-3.8000000000000003</v>
      </c>
      <c r="R50">
        <f>IFERROR(ROUNDUP(VLOOKUP($C50,武器!$1:$998,COLUMN(N$1),FALSE)*(VLOOKUP($D50,素材!$1:$1002,COLUMN(D$1),FALSE)/100),1),"")</f>
        <v>-3.8000000000000003</v>
      </c>
      <c r="S50">
        <f>IFERROR(VLOOKUP($C50,武器!$1:$998,COLUMN(P$1),FALSE),"")</f>
        <v>0</v>
      </c>
      <c r="T50">
        <f>IFERROR(VLOOKUP($C50,武器!$1:$998,COLUMN(Q$1),FALSE),"")</f>
        <v>0</v>
      </c>
      <c r="U50">
        <f>IFERROR(VLOOKUP($C50,武器!$1:$998,COLUMN(R$1),FALSE),"")</f>
        <v>0</v>
      </c>
      <c r="V50">
        <f>IFERROR(VLOOKUP($C50,武器!$1:$998,COLUMN(Q$1),FALSE),"")</f>
        <v>0</v>
      </c>
      <c r="W50" t="str">
        <f>IFERROR(VLOOKUP($C50,武器!$1:$998,COLUMN(T$1),FALSE),"")</f>
        <v>A</v>
      </c>
      <c r="Y50" t="str">
        <f>IFERROR(VLOOKUP($C50,武器!$1:$998,COLUMN(U$1),FALSE),"")</f>
        <v>突撃強化</v>
      </c>
      <c r="Z50">
        <f>IFERROR(ROUNDUP(VLOOKUP($C50,武器!$1:$998,COLUMN(O$1),FALSE)*VLOOKUP($D50,素材!$1:$1016,COLUMN(E$1),FALSE),1),"")</f>
        <v>0</v>
      </c>
      <c r="AA50">
        <f>IF(ISNUMBER(SEARCH(SUBSTITUTE(AA$1,RIGHT(AA$1,2),""),VLOOKUP($D50,素材!$1:$1016,COLUMN($F$1),FALSE))),VLOOKUP($C50,武器!$1:$998,COLUMN($O$1),FALSE)*VLOOKUP($D50,素材!$1:$1016,COLUMN($E$1),FALSE)/(LEN(VLOOKUP($D50,素材!$1:$1016,COLUMN($F$1),FALSE)) - LEN(SUBSTITUTE(VLOOKUP($D50,素材!$1:$1016,COLUMN($F$1),FALSE), "・", 0)) + 1), 0)</f>
        <v>0</v>
      </c>
      <c r="AB50">
        <f>IF(ISNUMBER(SEARCH(SUBSTITUTE(AB$1,RIGHT(AB$1,2),""),VLOOKUP($D50,素材!$1:$1016,COLUMN($F$1),FALSE))),VLOOKUP($C50,武器!$1:$998,COLUMN($O$1),FALSE)*VLOOKUP($D50,素材!$1:$1016,COLUMN($E$1),FALSE)/(LEN(VLOOKUP($D50,素材!$1:$1016,COLUMN($F$1),FALSE)) - LEN(SUBSTITUTE(VLOOKUP($D50,素材!$1:$1016,COLUMN($F$1),FALSE), "・", 0)) + 1), 0)</f>
        <v>0</v>
      </c>
      <c r="AC50">
        <f>IF(ISNUMBER(SEARCH(SUBSTITUTE(AC$1,RIGHT(AC$1,2),""),VLOOKUP($D50,素材!$1:$1016,COLUMN($F$1),FALSE))),VLOOKUP($C50,武器!$1:$998,COLUMN($O$1),FALSE)*VLOOKUP($D50,素材!$1:$1016,COLUMN($E$1),FALSE)/(LEN(VLOOKUP($D50,素材!$1:$1016,COLUMN($F$1),FALSE)) - LEN(SUBSTITUTE(VLOOKUP($D50,素材!$1:$1016,COLUMN($F$1),FALSE), "・", 0)) + 1), 0)</f>
        <v>0</v>
      </c>
      <c r="AD50">
        <f>IF(ISNUMBER(SEARCH(SUBSTITUTE(AD$1,RIGHT(AD$1,2),""),VLOOKUP($D50,素材!$1:$1016,COLUMN($F$1),FALSE))),VLOOKUP($C50,武器!$1:$998,COLUMN($O$1),FALSE)*VLOOKUP($D50,素材!$1:$1016,COLUMN($E$1),FALSE)/(LEN(VLOOKUP($D50,素材!$1:$1016,COLUMN($F$1),FALSE)) - LEN(SUBSTITUTE(VLOOKUP($D50,素材!$1:$1016,COLUMN($F$1),FALSE), "・", 0)) + 1), 0)</f>
        <v>0</v>
      </c>
      <c r="AE50">
        <f>IF(ISNUMBER(SEARCH(SUBSTITUTE(AE$1,RIGHT(AE$1,2),""),VLOOKUP($D50,素材!$1:$1016,COLUMN($F$1),FALSE))),VLOOKUP($C50,武器!$1:$998,COLUMN($O$1),FALSE)*VLOOKUP($D50,素材!$1:$1016,COLUMN($E$1),FALSE)/(LEN(VLOOKUP($D50,素材!$1:$1016,COLUMN($F$1),FALSE)) - LEN(SUBSTITUTE(VLOOKUP($D50,素材!$1:$1016,COLUMN($F$1),FALSE), "・", 0)) + 1), 0)</f>
        <v>0</v>
      </c>
      <c r="AF50">
        <f>IF(ISNUMBER(SEARCH(SUBSTITUTE(AF$1,RIGHT(AF$1,2),""),VLOOKUP($D50,素材!$1:$1016,COLUMN($F$1),FALSE))),VLOOKUP($C50,武器!$1:$998,COLUMN($O$1),FALSE)*VLOOKUP($D50,素材!$1:$1016,COLUMN($E$1),FALSE)/(LEN(VLOOKUP($D50,素材!$1:$1016,COLUMN($F$1),FALSE)) - LEN(SUBSTITUTE(VLOOKUP($D50,素材!$1:$1016,COLUMN($F$1),FALSE), "・", 0)) + 1), 0)</f>
        <v>0</v>
      </c>
      <c r="AG50">
        <f>IF(ISNUMBER(SEARCH(SUBSTITUTE(AG$1,RIGHT(AG$1,2),""),VLOOKUP($D50,素材!$1:$1016,COLUMN($F$1),FALSE))),VLOOKUP($C50,武器!$1:$998,COLUMN($O$1),FALSE)*VLOOKUP($D50,素材!$1:$1016,COLUMN($E$1),FALSE)/(LEN(VLOOKUP($D50,素材!$1:$1016,COLUMN($F$1),FALSE)) - LEN(SUBSTITUTE(VLOOKUP($D50,素材!$1:$1016,COLUMN($F$1),FALSE), "・", 0)) + 1), 0)</f>
        <v>0</v>
      </c>
      <c r="AH50">
        <f>IF(ISNUMBER(SEARCH(SUBSTITUTE(AH$1,RIGHT(AH$1,2),""),VLOOKUP($D50,素材!$1:$1016,COLUMN($F$1),FALSE))),VLOOKUP($C50,武器!$1:$998,COLUMN($O$1),FALSE)*VLOOKUP($D50,素材!$1:$1016,COLUMN($E$1),FALSE)/(LEN(VLOOKUP($D50,素材!$1:$1016,COLUMN($F$1),FALSE)) - LEN(SUBSTITUTE(VLOOKUP($D50,素材!$1:$1016,COLUMN($F$1),FALSE), "・", 0)) + 1), 0)</f>
        <v>0</v>
      </c>
      <c r="AI50">
        <f>IF(ISNUMBER(SEARCH(SUBSTITUTE(AI$1,RIGHT(AI$1,2),""),VLOOKUP($D50,素材!$1:$1016,COLUMN($F$1),FALSE))),VLOOKUP($C50,武器!$1:$998,COLUMN($O$1),FALSE)*VLOOKUP($D50,素材!$1:$1016,COLUMN($E$1),FALSE)/(LEN(VLOOKUP($D50,素材!$1:$1016,COLUMN($F$1),FALSE)) - LEN(SUBSTITUTE(VLOOKUP($D50,素材!$1:$1016,COLUMN($F$1),FALSE), "・", 0)) + 1), 0)</f>
        <v>0</v>
      </c>
      <c r="AJ50">
        <f>IF(ISNUMBER(SEARCH(SUBSTITUTE(AJ$1,RIGHT(AJ$1,2),""),VLOOKUP($D50,素材!$1:$1016,COLUMN($F$1),FALSE))),VLOOKUP($C50,武器!$1:$998,COLUMN($O$1),FALSE)*VLOOKUP($D50,素材!$1:$1016,COLUMN($E$1),FALSE)/(LEN(VLOOKUP($D50,素材!$1:$1016,COLUMN($F$1),FALSE)) - LEN(SUBSTITUTE(VLOOKUP($D50,素材!$1:$1016,COLUMN($F$1),FALSE), "・", 0)) + 1), 0)</f>
        <v>0</v>
      </c>
      <c r="AK50">
        <f>IF(ISNUMBER(SEARCH(SUBSTITUTE(AK$1,RIGHT(AK$1,2),""),VLOOKUP($D50,素材!$1:$1016,COLUMN($F$1),FALSE))),VLOOKUP($C50,武器!$1:$998,COLUMN($O$1),FALSE)*VLOOKUP($D50,素材!$1:$1016,COLUMN($E$1),FALSE)/(LEN(VLOOKUP($D50,素材!$1:$1016,COLUMN($F$1),FALSE)) - LEN(SUBSTITUTE(VLOOKUP($D50,素材!$1:$1016,COLUMN($F$1),FALSE), "・", 0)) + 1), 0)</f>
        <v>0</v>
      </c>
      <c r="AL50">
        <f>IF(ISNUMBER(SEARCH(SUBSTITUTE(AL$1,RIGHT(AL$1,2),""),VLOOKUP($D50,素材!$1:$1016,COLUMN($F$1),FALSE))),VLOOKUP($C50,武器!$1:$998,COLUMN($O$1),FALSE)*VLOOKUP($D50,素材!$1:$1016,COLUMN($E$1),FALSE)/(LEN(VLOOKUP($D50,素材!$1:$1016,COLUMN($F$1),FALSE)) - LEN(SUBSTITUTE(VLOOKUP($D50,素材!$1:$1016,COLUMN($F$1),FALSE), "・", 0)) + 1), 0)</f>
        <v>0</v>
      </c>
      <c r="AM50">
        <f>IF(ISNUMBER(SEARCH(SUBSTITUTE(AM$1,RIGHT(AM$1,2),""),VLOOKUP($D50,素材!$1:$1016,COLUMN($F$1),FALSE))),VLOOKUP($C50,武器!$1:$998,COLUMN($O$1),FALSE)*VLOOKUP($D50,素材!$1:$1016,COLUMN($E$1),FALSE)/(LEN(VLOOKUP($D50,素材!$1:$1016,COLUMN($F$1),FALSE)) - LEN(SUBSTITUTE(VLOOKUP($D50,素材!$1:$1016,COLUMN($F$1),FALSE), "・", 0)) + 1), 0)</f>
        <v>0</v>
      </c>
      <c r="AN50">
        <f>IF(ISNUMBER(SEARCH(SUBSTITUTE(AN$1,RIGHT(AN$1,2),""),VLOOKUP($D50,素材!$1:$1016,COLUMN($F$1),FALSE))),VLOOKUP($C50,武器!$1:$998,COLUMN($O$1),FALSE)*VLOOKUP($D50,素材!$1:$1016,COLUMN($E$1),FALSE)/(LEN(VLOOKUP($D50,素材!$1:$1016,COLUMN($F$1),FALSE)) - LEN(SUBSTITUTE(VLOOKUP($D50,素材!$1:$1016,COLUMN($F$1),FALSE), "・", 0)) + 1), 0)</f>
        <v>0</v>
      </c>
      <c r="AO50">
        <f>IF(ISNUMBER(SEARCH(SUBSTITUTE(AO$1,RIGHT(AO$1,2),""),VLOOKUP($D50,素材!$1:$1016,COLUMN($F$1),FALSE))),VLOOKUP($C50,武器!$1:$998,COLUMN($O$1),FALSE)*VLOOKUP($D50,素材!$1:$1016,COLUMN($E$1),FALSE)/(LEN(VLOOKUP($D50,素材!$1:$1016,COLUMN($F$1),FALSE)) - LEN(SUBSTITUTE(VLOOKUP($D50,素材!$1:$1016,COLUMN($F$1),FALSE), "・", 0)) + 1), 0)</f>
        <v>0</v>
      </c>
      <c r="AP50">
        <f>IF(ISNUMBER(SEARCH(SUBSTITUTE(AP$1,RIGHT(AP$1,2),""),VLOOKUP($D50,素材!$1:$1016,COLUMN($F$1),FALSE))),VLOOKUP($C50,武器!$1:$998,COLUMN($O$1),FALSE)*VLOOKUP($D50,素材!$1:$1016,COLUMN($E$1),FALSE)/(LEN(VLOOKUP($D50,素材!$1:$1016,COLUMN($F$1),FALSE)) - LEN(SUBSTITUTE(VLOOKUP($D50,素材!$1:$1016,COLUMN($F$1),FALSE), "・", 0)) + 1), 0)</f>
        <v>0</v>
      </c>
      <c r="AQ50">
        <f>IF(ISNUMBER(SEARCH(SUBSTITUTE(AQ$1,RIGHT(AQ$1,2),""),VLOOKUP($D50,素材!$1:$1016,COLUMN($F$1),FALSE))),VLOOKUP($C50,武器!$1:$998,COLUMN($O$1),FALSE)*VLOOKUP($D50,素材!$1:$1016,COLUMN($E$1),FALSE)/(LEN(VLOOKUP($D50,素材!$1:$1016,COLUMN($F$1),FALSE)) - LEN(SUBSTITUTE(VLOOKUP($D50,素材!$1:$1016,COLUMN($F$1),FALSE), "・", 0)) + 1), 0)</f>
        <v>0</v>
      </c>
      <c r="AR50">
        <f>IF(ISNUMBER(SEARCH(SUBSTITUTE(AR$1,RIGHT(AR$1,2),""),VLOOKUP($D50,素材!$1:$1016,COLUMN($F$1),FALSE))),VLOOKUP($C50,武器!$1:$998,COLUMN($O$1),FALSE)*VLOOKUP($D50,素材!$1:$1016,COLUMN($E$1),FALSE)/(LEN(VLOOKUP($D50,素材!$1:$1016,COLUMN($F$1),FALSE)) - LEN(SUBSTITUTE(VLOOKUP($D50,素材!$1:$1016,COLUMN($F$1),FALSE), "・", 0)) + 1), 0)</f>
        <v>0</v>
      </c>
      <c r="AS50">
        <f>IF(ISNUMBER(SEARCH(SUBSTITUTE(AS$1,RIGHT(AS$1,2),""),VLOOKUP($D50,素材!$1:$1016,COLUMN($F$1),FALSE))),VLOOKUP($C50,武器!$1:$998,COLUMN($O$1),FALSE)*VLOOKUP($D50,素材!$1:$1016,COLUMN($E$1),FALSE)/(LEN(VLOOKUP($D50,素材!$1:$1016,COLUMN($F$1),FALSE)) - LEN(SUBSTITUTE(VLOOKUP($D50,素材!$1:$1016,COLUMN($F$1),FALSE), "・", 0)) + 1), 0)</f>
        <v>0</v>
      </c>
      <c r="AT50">
        <f>IF(ISNUMBER(SEARCH(SUBSTITUTE(AT$1,RIGHT(AT$1,2),""),VLOOKUP($D50,素材!$1:$1016,COLUMN($F$1),FALSE))),VLOOKUP($C50,武器!$1:$998,COLUMN($O$1),FALSE)*VLOOKUP($D50,素材!$1:$1016,COLUMN($E$1),FALSE)/(LEN(VLOOKUP($D50,素材!$1:$1016,COLUMN($F$1),FALSE)) - LEN(SUBSTITUTE(VLOOKUP($D50,素材!$1:$1016,COLUMN($F$1),FALSE), "・", 0)) + 1), 0)</f>
        <v>0</v>
      </c>
      <c r="AU50">
        <f>IF(ISNUMBER(SEARCH(SUBSTITUTE(AU$1,RIGHT(AU$1,2),""),VLOOKUP($D50,素材!$1:$1016,COLUMN($F$1),FALSE))),VLOOKUP($C50,武器!$1:$998,COLUMN($O$1),FALSE)*VLOOKUP($D50,素材!$1:$1016,COLUMN($E$1),FALSE)/(LEN(VLOOKUP($D50,素材!$1:$1016,COLUMN($F$1),FALSE)) - LEN(SUBSTITUTE(VLOOKUP($D50,素材!$1:$1016,COLUMN($F$1),FALSE), "・", 0)) + 1), 0)</f>
        <v>0</v>
      </c>
      <c r="AV50">
        <f>IF(ISNUMBER(SEARCH(SUBSTITUTE(AV$1,RIGHT(AV$1,2),""),VLOOKUP($D50,素材!$1:$1016,COLUMN($F$1),FALSE))),VLOOKUP($C50,武器!$1:$998,COLUMN($O$1),FALSE)*VLOOKUP($D50,素材!$1:$1016,COLUMN($E$1),FALSE)/(LEN(VLOOKUP($D50,素材!$1:$1016,COLUMN($F$1),FALSE)) - LEN(SUBSTITUTE(VLOOKUP($D50,素材!$1:$1016,COLUMN($F$1),FALSE), "・", 0)) + 1), 0)</f>
        <v>0</v>
      </c>
      <c r="AW50">
        <f>IF(ISNUMBER(SEARCH(SUBSTITUTE(AW$1,RIGHT(AW$1,2),""),VLOOKUP($D50,素材!$1:$1016,COLUMN($F$1),FALSE))),VLOOKUP($C50,武器!$1:$998,COLUMN($O$1),FALSE)*VLOOKUP($D50,素材!$1:$1016,COLUMN($E$1),FALSE)/(LEN(VLOOKUP($D50,素材!$1:$1016,COLUMN($F$1),FALSE)) - LEN(SUBSTITUTE(VLOOKUP($D50,素材!$1:$1016,COLUMN($F$1),FALSE), "・", 0)) + 1), 0)</f>
        <v>0</v>
      </c>
      <c r="AX50">
        <f>IF(ISNUMBER(SEARCH(SUBSTITUTE(AX$1,RIGHT(AX$1,2),""),VLOOKUP($D50,素材!$1:$1016,COLUMN($F$1),FALSE))),VLOOKUP($C50,武器!$1:$998,COLUMN($O$1),FALSE)*VLOOKUP($D50,素材!$1:$1016,COLUMN($E$1),FALSE)/(LEN(VLOOKUP($D50,素材!$1:$1016,COLUMN($F$1),FALSE)) - LEN(SUBSTITUTE(VLOOKUP($D50,素材!$1:$1016,COLUMN($F$1),FALSE), "・", 0)) + 1), 0)</f>
        <v>0</v>
      </c>
      <c r="AY50">
        <f>IF(ISNUMBER(SEARCH(SUBSTITUTE(AY$1,RIGHT(AY$1,2),""),VLOOKUP($D50,素材!$1:$1016,COLUMN($F$1),FALSE))),VLOOKUP($C50,武器!$1:$998,COLUMN($O$1),FALSE)*VLOOKUP($D50,素材!$1:$1016,COLUMN($E$1),FALSE)/(LEN(VLOOKUP($D50,素材!$1:$1016,COLUMN($F$1),FALSE)) - LEN(SUBSTITUTE(VLOOKUP($D50,素材!$1:$1016,COLUMN($F$1),FALSE), "・", 0)) + 1), 0)</f>
        <v>0</v>
      </c>
      <c r="AZ50">
        <f>IF(ISNUMBER(SEARCH(SUBSTITUTE(AZ$1,RIGHT(AZ$1,2),""),VLOOKUP($D50,素材!$1:$1016,COLUMN($F$1),FALSE))),VLOOKUP($C50,武器!$1:$998,COLUMN($O$1),FALSE)*VLOOKUP($D50,素材!$1:$1016,COLUMN($E$1),FALSE)/(LEN(VLOOKUP($D50,素材!$1:$1016,COLUMN($F$1),FALSE)) - LEN(SUBSTITUTE(VLOOKUP($D50,素材!$1:$1016,COLUMN($F$1),FALSE), "・", 0)) + 1), 0)</f>
        <v>0</v>
      </c>
      <c r="BA50">
        <f>IF(ISNUMBER(SEARCH(SUBSTITUTE(BA$1,RIGHT(BA$1,2),""),VLOOKUP($D50,素材!$1:$1016,COLUMN($F$1),FALSE))),VLOOKUP($C50,武器!$1:$998,COLUMN($O$1),FALSE)*VLOOKUP($D50,素材!$1:$1016,COLUMN($E$1),FALSE)/(LEN(VLOOKUP($D50,素材!$1:$1016,COLUMN($F$1),FALSE)) - LEN(SUBSTITUTE(VLOOKUP($D50,素材!$1:$1016,COLUMN($F$1),FALSE), "・", 0)) + 1), 0)</f>
        <v>0</v>
      </c>
      <c r="BB50">
        <f>IF(ISNUMBER(SEARCH(SUBSTITUTE(BB$1,RIGHT(BB$1,2),""),VLOOKUP($D50,素材!$1:$1016,COLUMN($F$1),FALSE))),VLOOKUP($C50,武器!$1:$998,COLUMN($O$1),FALSE)*VLOOKUP($D50,素材!$1:$1016,COLUMN($E$1),FALSE)/(LEN(VLOOKUP($D50,素材!$1:$1016,COLUMN($F$1),FALSE)) - LEN(SUBSTITUTE(VLOOKUP($D50,素材!$1:$1016,COLUMN($F$1),FALSE), "・", 0)) + 1), 0)</f>
        <v>0</v>
      </c>
      <c r="BC50">
        <f>IF(ISNUMBER(SEARCH(SUBSTITUTE(BC$1,RIGHT(BC$1,2),""),VLOOKUP($D50,素材!$1:$1016,COLUMN($F$1),FALSE))),VLOOKUP($C50,武器!$1:$998,COLUMN($O$1),FALSE)*VLOOKUP($D50,素材!$1:$1016,COLUMN($E$1),FALSE)/(LEN(VLOOKUP($D50,素材!$1:$1016,COLUMN($F$1),FALSE)) - LEN(SUBSTITUTE(VLOOKUP($D50,素材!$1:$1016,COLUMN($F$1),FALSE), "・", 0)) + 1), 0)</f>
        <v>0</v>
      </c>
      <c r="BD50">
        <f>IF(ISNUMBER(SEARCH(SUBSTITUTE(BD$1,RIGHT(BD$1,2),""),VLOOKUP($D50,素材!$1:$1016,COLUMN($F$1),FALSE))),VLOOKUP($C50,武器!$1:$998,COLUMN($O$1),FALSE)*VLOOKUP($D50,素材!$1:$1016,COLUMN($E$1),FALSE)/(LEN(VLOOKUP($D50,素材!$1:$1016,COLUMN($F$1),FALSE)) - LEN(SUBSTITUTE(VLOOKUP($D50,素材!$1:$1016,COLUMN($F$1),FALSE), "・", 0)) + 1), 0)</f>
        <v>0</v>
      </c>
      <c r="BE50">
        <f>IF(ISNUMBER(SEARCH(SUBSTITUTE(BE$1,RIGHT(BE$1,2),""),VLOOKUP($D50,素材!$1:$1016,COLUMN($F$1),FALSE))),VLOOKUP($C50,武器!$1:$998,COLUMN($O$1),FALSE)*VLOOKUP($D50,素材!$1:$1016,COLUMN($E$1),FALSE)/(LEN(VLOOKUP($D50,素材!$1:$1016,COLUMN($F$1),FALSE)) - LEN(SUBSTITUTE(VLOOKUP($D50,素材!$1:$1016,COLUMN($F$1),FALSE), "・", 0)) + 1), 0)</f>
        <v>0</v>
      </c>
      <c r="CL50">
        <f>SUM(G50:I50)</f>
        <v>20</v>
      </c>
      <c r="CM50" s="22" t="str">
        <f>IF(E50="武器",IF(J50-1&gt;SUM(G50:I50),"盾",IF(MAX(G50:I50)=G50,"切断",IF(MAX(G50:I50)=H50,"貫通",IF(MAX(G50:I50)=I50,"打撃","射撃")))),E50)&amp;".webp"</f>
        <v>貫通.webp</v>
      </c>
      <c r="CN50">
        <f>IFERROR(VLOOKUP($C50,武器!$1:$998,COLUMN(V$1),FALSE)*VLOOKUP($D50,素材!$1:$1016,COLUMN(N$1),FALSE)+IF(CI50="",0,VLOOKUP($CI50,装強!$1:$1008,COLUMN($CK$1),FALSE)),"")</f>
        <v>300</v>
      </c>
      <c r="CO50" t="str">
        <f>VLOOKUP(D50,素材!$A:$O,COLUMN(素材!O$1),FALSE)</f>
        <v>一般的な木材。金属より軽いが少し脆い</v>
      </c>
      <c r="CP50" t="str">
        <f>VLOOKUP(C50,武器!$A:$W,COLUMN(武器!W$1),FALSE)</f>
        <v>騎士槍。突撃に特化した武器で、高い攻撃力を誇る。</v>
      </c>
      <c r="CR50" t="str">
        <f t="shared" si="1"/>
        <v>e_50</v>
      </c>
      <c r="CS50">
        <f t="shared" si="2"/>
        <v>30000</v>
      </c>
    </row>
    <row r="51" spans="1:97" outlineLevel="1" x14ac:dyDescent="0.4">
      <c r="A51" t="str">
        <f t="shared" si="3"/>
        <v>木の大戦棍</v>
      </c>
      <c r="B51" t="str">
        <f>IFERROR(VLOOKUP($D51,素材!$1:$1016,COLUMN($B$1),FALSE)&amp;"・"&amp;VLOOKUP($C51,武器!$1:$998,COLUMN(B$1),FALSE),"")</f>
        <v>ウッド・ビックメイス</v>
      </c>
      <c r="C51" s="24" t="s">
        <v>256</v>
      </c>
      <c r="D51" s="24" t="s">
        <v>255</v>
      </c>
      <c r="E51" t="str">
        <f>IFERROR(VLOOKUP(C51,武器!$1:$998,COLUMN(C$1),FALSE),"")</f>
        <v>武器</v>
      </c>
      <c r="F51">
        <f>IFERROR(ROUNDDOWN((VLOOKUP($C51,武器!$1:$998,COLUMN(D$1),FALSE)+IFERROR(VLOOKUP($CI51,装強!$1:$999,COLUMN(F$1),FALSE),0))*VLOOKUP($D51,素材!$1:$1016,COLUMN(D$1),FALSE),0),"")</f>
        <v>90</v>
      </c>
      <c r="G51">
        <f>IFERROR(ROUNDDOWN((VLOOKUP($C51,武器!$1:$998,COLUMN(E$1),FALSE)+IFERROR(VLOOKUP($CI51,装強!$1:$999,COLUMN(G$1),FALSE),0))*VLOOKUP($D51,素材!$1:$1016,COLUMN($E$1),FALSE),0),"")</f>
        <v>0</v>
      </c>
      <c r="H51">
        <f>IFERROR(ROUNDDOWN((VLOOKUP($C51,武器!$1:$998,COLUMN(F$1),FALSE)+IFERROR(VLOOKUP($CI51,装強!$1:$999,COLUMN(H$1),FALSE),0))*VLOOKUP($D51,素材!$1:$1016,COLUMN($E$1),FALSE),0),"")</f>
        <v>0</v>
      </c>
      <c r="I51">
        <f>IFERROR(ROUNDDOWN((VLOOKUP($C51,武器!$1:$998,COLUMN(G$1),FALSE)+IFERROR(VLOOKUP($CI51,装強!$1:$999,COLUMN(I$1),FALSE),0))*VLOOKUP($D51,素材!$1:$1016,COLUMN($E$1),FALSE),0),"")</f>
        <v>17</v>
      </c>
      <c r="J51">
        <f>IFERROR(ROUNDDOWN((VLOOKUP($C51,武器!$1:$998,COLUMN(H$1),FALSE)+IFERROR(VLOOKUP($CI51,装強!$1:$999,COLUMN(J$1),FALSE),0))*VLOOKUP($D51,素材!$1:$1016,COLUMN($E$1),FALSE),0),"")</f>
        <v>14</v>
      </c>
      <c r="K51">
        <f>IFERROR(ROUNDDOWN((VLOOKUP($C51,武器!$1:$998,COLUMN(I$1),FALSE)+IFERROR(VLOOKUP($CI51,装強!$1:$999,COLUMN(K$1),FALSE),0))*VLOOKUP($D51,素材!$1:$1016,COLUMN($E$1),FALSE),0),"")</f>
        <v>0</v>
      </c>
      <c r="L51">
        <f>IFERROR(VLOOKUP($D51,素材!$1:$1016,COLUMN($F$1),FALSE),"")</f>
        <v>0</v>
      </c>
      <c r="M51">
        <f>IFERROR(VLOOKUP($C51,武器!$1:$998,COLUMN(AA$1),FALSE)*VLOOKUP($D51,素材!$1:$1016,COLUMN($G$1),FALSE),"")</f>
        <v>0</v>
      </c>
      <c r="N51">
        <f>IFERROR(VLOOKUP($C51,武器!$1:$998,COLUMN(I$1),FALSE),"")</f>
        <v>0</v>
      </c>
      <c r="O51" s="23">
        <f>IFERROR((VLOOKUP($C51,武器!$1:$998,COLUMN(K$1),FALSE)+VLOOKUP($D51,素材!$1:$1016,COLUMN(H$1),FALSE))*100+IFERROR(VLOOKUP($CI51,装強!$1:$999,COLUMN(O$1),FALSE),0),"")</f>
        <v>15</v>
      </c>
      <c r="P51" s="23">
        <f>IFERROR((VLOOKUP($C51,武器!$1:$998,COLUMN(L$1),FALSE)+VLOOKUP($D51,素材!$1:$1016,COLUMN(I$1),FALSE))*100+IFERROR(VLOOKUP($CI51,装強!$1:$999,COLUMN(P$1),FALSE),0),"")</f>
        <v>125</v>
      </c>
      <c r="Q51">
        <f>IFERROR(ROUNDUP(VLOOKUP($C51,武器!$1:$998,COLUMN(M$1),FALSE)*(VLOOKUP($D51,素材!$1:$1002,COLUMN(D$1),FALSE)/100),1),"")</f>
        <v>0</v>
      </c>
      <c r="R51">
        <f>IFERROR(ROUNDUP(VLOOKUP($C51,武器!$1:$998,COLUMN(N$1),FALSE)*(VLOOKUP($D51,素材!$1:$1002,COLUMN(D$1),FALSE)/100),1),"")</f>
        <v>-3.8000000000000003</v>
      </c>
      <c r="S51">
        <f>IFERROR(VLOOKUP($C51,武器!$1:$998,COLUMN(P$1),FALSE),"")</f>
        <v>0</v>
      </c>
      <c r="T51">
        <f>IFERROR(VLOOKUP($C51,武器!$1:$998,COLUMN(Q$1),FALSE),"")</f>
        <v>0</v>
      </c>
      <c r="U51">
        <f>IFERROR(VLOOKUP($C51,武器!$1:$998,COLUMN(R$1),FALSE),"")</f>
        <v>0</v>
      </c>
      <c r="V51">
        <f>IFERROR(VLOOKUP($C51,武器!$1:$998,COLUMN(Q$1),FALSE),"")</f>
        <v>0</v>
      </c>
      <c r="W51" t="str">
        <f>IFERROR(VLOOKUP($C51,武器!$1:$998,COLUMN(T$1),FALSE),"")</f>
        <v>A</v>
      </c>
      <c r="Y51">
        <f>IFERROR(VLOOKUP($C51,武器!$1:$998,COLUMN(U$1),FALSE),"")</f>
        <v>0</v>
      </c>
      <c r="Z51">
        <f>IFERROR(ROUNDUP(VLOOKUP($C51,武器!$1:$998,COLUMN(O$1),FALSE)*VLOOKUP($D51,素材!$1:$1016,COLUMN(E$1),FALSE),1),"")</f>
        <v>0</v>
      </c>
      <c r="AA51">
        <f>IF(ISNUMBER(SEARCH(SUBSTITUTE(AA$1,RIGHT(AA$1,2),""),VLOOKUP($D51,素材!$1:$1016,COLUMN($F$1),FALSE))),VLOOKUP($C51,武器!$1:$998,COLUMN($O$1),FALSE)*VLOOKUP($D51,素材!$1:$1016,COLUMN($E$1),FALSE)/(LEN(VLOOKUP($D51,素材!$1:$1016,COLUMN($F$1),FALSE)) - LEN(SUBSTITUTE(VLOOKUP($D51,素材!$1:$1016,COLUMN($F$1),FALSE), "・", 0)) + 1), 0)</f>
        <v>0</v>
      </c>
      <c r="AB51">
        <f>IF(ISNUMBER(SEARCH(SUBSTITUTE(AB$1,RIGHT(AB$1,2),""),VLOOKUP($D51,素材!$1:$1016,COLUMN($F$1),FALSE))),VLOOKUP($C51,武器!$1:$998,COLUMN($O$1),FALSE)*VLOOKUP($D51,素材!$1:$1016,COLUMN($E$1),FALSE)/(LEN(VLOOKUP($D51,素材!$1:$1016,COLUMN($F$1),FALSE)) - LEN(SUBSTITUTE(VLOOKUP($D51,素材!$1:$1016,COLUMN($F$1),FALSE), "・", 0)) + 1), 0)</f>
        <v>0</v>
      </c>
      <c r="AC51">
        <f>IF(ISNUMBER(SEARCH(SUBSTITUTE(AC$1,RIGHT(AC$1,2),""),VLOOKUP($D51,素材!$1:$1016,COLUMN($F$1),FALSE))),VLOOKUP($C51,武器!$1:$998,COLUMN($O$1),FALSE)*VLOOKUP($D51,素材!$1:$1016,COLUMN($E$1),FALSE)/(LEN(VLOOKUP($D51,素材!$1:$1016,COLUMN($F$1),FALSE)) - LEN(SUBSTITUTE(VLOOKUP($D51,素材!$1:$1016,COLUMN($F$1),FALSE), "・", 0)) + 1), 0)</f>
        <v>0</v>
      </c>
      <c r="AD51">
        <f>IF(ISNUMBER(SEARCH(SUBSTITUTE(AD$1,RIGHT(AD$1,2),""),VLOOKUP($D51,素材!$1:$1016,COLUMN($F$1),FALSE))),VLOOKUP($C51,武器!$1:$998,COLUMN($O$1),FALSE)*VLOOKUP($D51,素材!$1:$1016,COLUMN($E$1),FALSE)/(LEN(VLOOKUP($D51,素材!$1:$1016,COLUMN($F$1),FALSE)) - LEN(SUBSTITUTE(VLOOKUP($D51,素材!$1:$1016,COLUMN($F$1),FALSE), "・", 0)) + 1), 0)</f>
        <v>0</v>
      </c>
      <c r="AE51">
        <f>IF(ISNUMBER(SEARCH(SUBSTITUTE(AE$1,RIGHT(AE$1,2),""),VLOOKUP($D51,素材!$1:$1016,COLUMN($F$1),FALSE))),VLOOKUP($C51,武器!$1:$998,COLUMN($O$1),FALSE)*VLOOKUP($D51,素材!$1:$1016,COLUMN($E$1),FALSE)/(LEN(VLOOKUP($D51,素材!$1:$1016,COLUMN($F$1),FALSE)) - LEN(SUBSTITUTE(VLOOKUP($D51,素材!$1:$1016,COLUMN($F$1),FALSE), "・", 0)) + 1), 0)</f>
        <v>0</v>
      </c>
      <c r="AF51">
        <f>IF(ISNUMBER(SEARCH(SUBSTITUTE(AF$1,RIGHT(AF$1,2),""),VLOOKUP($D51,素材!$1:$1016,COLUMN($F$1),FALSE))),VLOOKUP($C51,武器!$1:$998,COLUMN($O$1),FALSE)*VLOOKUP($D51,素材!$1:$1016,COLUMN($E$1),FALSE)/(LEN(VLOOKUP($D51,素材!$1:$1016,COLUMN($F$1),FALSE)) - LEN(SUBSTITUTE(VLOOKUP($D51,素材!$1:$1016,COLUMN($F$1),FALSE), "・", 0)) + 1), 0)</f>
        <v>0</v>
      </c>
      <c r="AG51">
        <f>IF(ISNUMBER(SEARCH(SUBSTITUTE(AG$1,RIGHT(AG$1,2),""),VLOOKUP($D51,素材!$1:$1016,COLUMN($F$1),FALSE))),VLOOKUP($C51,武器!$1:$998,COLUMN($O$1),FALSE)*VLOOKUP($D51,素材!$1:$1016,COLUMN($E$1),FALSE)/(LEN(VLOOKUP($D51,素材!$1:$1016,COLUMN($F$1),FALSE)) - LEN(SUBSTITUTE(VLOOKUP($D51,素材!$1:$1016,COLUMN($F$1),FALSE), "・", 0)) + 1), 0)</f>
        <v>0</v>
      </c>
      <c r="AH51">
        <f>IF(ISNUMBER(SEARCH(SUBSTITUTE(AH$1,RIGHT(AH$1,2),""),VLOOKUP($D51,素材!$1:$1016,COLUMN($F$1),FALSE))),VLOOKUP($C51,武器!$1:$998,COLUMN($O$1),FALSE)*VLOOKUP($D51,素材!$1:$1016,COLUMN($E$1),FALSE)/(LEN(VLOOKUP($D51,素材!$1:$1016,COLUMN($F$1),FALSE)) - LEN(SUBSTITUTE(VLOOKUP($D51,素材!$1:$1016,COLUMN($F$1),FALSE), "・", 0)) + 1), 0)</f>
        <v>0</v>
      </c>
      <c r="AI51">
        <f>IF(ISNUMBER(SEARCH(SUBSTITUTE(AI$1,RIGHT(AI$1,2),""),VLOOKUP($D51,素材!$1:$1016,COLUMN($F$1),FALSE))),VLOOKUP($C51,武器!$1:$998,COLUMN($O$1),FALSE)*VLOOKUP($D51,素材!$1:$1016,COLUMN($E$1),FALSE)/(LEN(VLOOKUP($D51,素材!$1:$1016,COLUMN($F$1),FALSE)) - LEN(SUBSTITUTE(VLOOKUP($D51,素材!$1:$1016,COLUMN($F$1),FALSE), "・", 0)) + 1), 0)</f>
        <v>0</v>
      </c>
      <c r="AJ51">
        <f>IF(ISNUMBER(SEARCH(SUBSTITUTE(AJ$1,RIGHT(AJ$1,2),""),VLOOKUP($D51,素材!$1:$1016,COLUMN($F$1),FALSE))),VLOOKUP($C51,武器!$1:$998,COLUMN($O$1),FALSE)*VLOOKUP($D51,素材!$1:$1016,COLUMN($E$1),FALSE)/(LEN(VLOOKUP($D51,素材!$1:$1016,COLUMN($F$1),FALSE)) - LEN(SUBSTITUTE(VLOOKUP($D51,素材!$1:$1016,COLUMN($F$1),FALSE), "・", 0)) + 1), 0)</f>
        <v>0</v>
      </c>
      <c r="AK51">
        <f>IF(ISNUMBER(SEARCH(SUBSTITUTE(AK$1,RIGHT(AK$1,2),""),VLOOKUP($D51,素材!$1:$1016,COLUMN($F$1),FALSE))),VLOOKUP($C51,武器!$1:$998,COLUMN($O$1),FALSE)*VLOOKUP($D51,素材!$1:$1016,COLUMN($E$1),FALSE)/(LEN(VLOOKUP($D51,素材!$1:$1016,COLUMN($F$1),FALSE)) - LEN(SUBSTITUTE(VLOOKUP($D51,素材!$1:$1016,COLUMN($F$1),FALSE), "・", 0)) + 1), 0)</f>
        <v>0</v>
      </c>
      <c r="AL51">
        <f>IF(ISNUMBER(SEARCH(SUBSTITUTE(AL$1,RIGHT(AL$1,2),""),VLOOKUP($D51,素材!$1:$1016,COLUMN($F$1),FALSE))),VLOOKUP($C51,武器!$1:$998,COLUMN($O$1),FALSE)*VLOOKUP($D51,素材!$1:$1016,COLUMN($E$1),FALSE)/(LEN(VLOOKUP($D51,素材!$1:$1016,COLUMN($F$1),FALSE)) - LEN(SUBSTITUTE(VLOOKUP($D51,素材!$1:$1016,COLUMN($F$1),FALSE), "・", 0)) + 1), 0)</f>
        <v>0</v>
      </c>
      <c r="AM51">
        <f>IF(ISNUMBER(SEARCH(SUBSTITUTE(AM$1,RIGHT(AM$1,2),""),VLOOKUP($D51,素材!$1:$1016,COLUMN($F$1),FALSE))),VLOOKUP($C51,武器!$1:$998,COLUMN($O$1),FALSE)*VLOOKUP($D51,素材!$1:$1016,COLUMN($E$1),FALSE)/(LEN(VLOOKUP($D51,素材!$1:$1016,COLUMN($F$1),FALSE)) - LEN(SUBSTITUTE(VLOOKUP($D51,素材!$1:$1016,COLUMN($F$1),FALSE), "・", 0)) + 1), 0)</f>
        <v>0</v>
      </c>
      <c r="AN51">
        <f>IF(ISNUMBER(SEARCH(SUBSTITUTE(AN$1,RIGHT(AN$1,2),""),VLOOKUP($D51,素材!$1:$1016,COLUMN($F$1),FALSE))),VLOOKUP($C51,武器!$1:$998,COLUMN($O$1),FALSE)*VLOOKUP($D51,素材!$1:$1016,COLUMN($E$1),FALSE)/(LEN(VLOOKUP($D51,素材!$1:$1016,COLUMN($F$1),FALSE)) - LEN(SUBSTITUTE(VLOOKUP($D51,素材!$1:$1016,COLUMN($F$1),FALSE), "・", 0)) + 1), 0)</f>
        <v>0</v>
      </c>
      <c r="AO51">
        <f>IF(ISNUMBER(SEARCH(SUBSTITUTE(AO$1,RIGHT(AO$1,2),""),VLOOKUP($D51,素材!$1:$1016,COLUMN($F$1),FALSE))),VLOOKUP($C51,武器!$1:$998,COLUMN($O$1),FALSE)*VLOOKUP($D51,素材!$1:$1016,COLUMN($E$1),FALSE)/(LEN(VLOOKUP($D51,素材!$1:$1016,COLUMN($F$1),FALSE)) - LEN(SUBSTITUTE(VLOOKUP($D51,素材!$1:$1016,COLUMN($F$1),FALSE), "・", 0)) + 1), 0)</f>
        <v>0</v>
      </c>
      <c r="AP51">
        <f>IF(ISNUMBER(SEARCH(SUBSTITUTE(AP$1,RIGHT(AP$1,2),""),VLOOKUP($D51,素材!$1:$1016,COLUMN($F$1),FALSE))),VLOOKUP($C51,武器!$1:$998,COLUMN($O$1),FALSE)*VLOOKUP($D51,素材!$1:$1016,COLUMN($E$1),FALSE)/(LEN(VLOOKUP($D51,素材!$1:$1016,COLUMN($F$1),FALSE)) - LEN(SUBSTITUTE(VLOOKUP($D51,素材!$1:$1016,COLUMN($F$1),FALSE), "・", 0)) + 1), 0)</f>
        <v>0</v>
      </c>
      <c r="AQ51">
        <f>IF(ISNUMBER(SEARCH(SUBSTITUTE(AQ$1,RIGHT(AQ$1,2),""),VLOOKUP($D51,素材!$1:$1016,COLUMN($F$1),FALSE))),VLOOKUP($C51,武器!$1:$998,COLUMN($O$1),FALSE)*VLOOKUP($D51,素材!$1:$1016,COLUMN($E$1),FALSE)/(LEN(VLOOKUP($D51,素材!$1:$1016,COLUMN($F$1),FALSE)) - LEN(SUBSTITUTE(VLOOKUP($D51,素材!$1:$1016,COLUMN($F$1),FALSE), "・", 0)) + 1), 0)</f>
        <v>0</v>
      </c>
      <c r="AR51">
        <f>IF(ISNUMBER(SEARCH(SUBSTITUTE(AR$1,RIGHT(AR$1,2),""),VLOOKUP($D51,素材!$1:$1016,COLUMN($F$1),FALSE))),VLOOKUP($C51,武器!$1:$998,COLUMN($O$1),FALSE)*VLOOKUP($D51,素材!$1:$1016,COLUMN($E$1),FALSE)/(LEN(VLOOKUP($D51,素材!$1:$1016,COLUMN($F$1),FALSE)) - LEN(SUBSTITUTE(VLOOKUP($D51,素材!$1:$1016,COLUMN($F$1),FALSE), "・", 0)) + 1), 0)</f>
        <v>0</v>
      </c>
      <c r="AS51">
        <f>IF(ISNUMBER(SEARCH(SUBSTITUTE(AS$1,RIGHT(AS$1,2),""),VLOOKUP($D51,素材!$1:$1016,COLUMN($F$1),FALSE))),VLOOKUP($C51,武器!$1:$998,COLUMN($O$1),FALSE)*VLOOKUP($D51,素材!$1:$1016,COLUMN($E$1),FALSE)/(LEN(VLOOKUP($D51,素材!$1:$1016,COLUMN($F$1),FALSE)) - LEN(SUBSTITUTE(VLOOKUP($D51,素材!$1:$1016,COLUMN($F$1),FALSE), "・", 0)) + 1), 0)</f>
        <v>0</v>
      </c>
      <c r="AT51">
        <f>IF(ISNUMBER(SEARCH(SUBSTITUTE(AT$1,RIGHT(AT$1,2),""),VLOOKUP($D51,素材!$1:$1016,COLUMN($F$1),FALSE))),VLOOKUP($C51,武器!$1:$998,COLUMN($O$1),FALSE)*VLOOKUP($D51,素材!$1:$1016,COLUMN($E$1),FALSE)/(LEN(VLOOKUP($D51,素材!$1:$1016,COLUMN($F$1),FALSE)) - LEN(SUBSTITUTE(VLOOKUP($D51,素材!$1:$1016,COLUMN($F$1),FALSE), "・", 0)) + 1), 0)</f>
        <v>0</v>
      </c>
      <c r="AU51">
        <f>IF(ISNUMBER(SEARCH(SUBSTITUTE(AU$1,RIGHT(AU$1,2),""),VLOOKUP($D51,素材!$1:$1016,COLUMN($F$1),FALSE))),VLOOKUP($C51,武器!$1:$998,COLUMN($O$1),FALSE)*VLOOKUP($D51,素材!$1:$1016,COLUMN($E$1),FALSE)/(LEN(VLOOKUP($D51,素材!$1:$1016,COLUMN($F$1),FALSE)) - LEN(SUBSTITUTE(VLOOKUP($D51,素材!$1:$1016,COLUMN($F$1),FALSE), "・", 0)) + 1), 0)</f>
        <v>0</v>
      </c>
      <c r="AV51">
        <f>IF(ISNUMBER(SEARCH(SUBSTITUTE(AV$1,RIGHT(AV$1,2),""),VLOOKUP($D51,素材!$1:$1016,COLUMN($F$1),FALSE))),VLOOKUP($C51,武器!$1:$998,COLUMN($O$1),FALSE)*VLOOKUP($D51,素材!$1:$1016,COLUMN($E$1),FALSE)/(LEN(VLOOKUP($D51,素材!$1:$1016,COLUMN($F$1),FALSE)) - LEN(SUBSTITUTE(VLOOKUP($D51,素材!$1:$1016,COLUMN($F$1),FALSE), "・", 0)) + 1), 0)</f>
        <v>0</v>
      </c>
      <c r="AW51">
        <f>IF(ISNUMBER(SEARCH(SUBSTITUTE(AW$1,RIGHT(AW$1,2),""),VLOOKUP($D51,素材!$1:$1016,COLUMN($F$1),FALSE))),VLOOKUP($C51,武器!$1:$998,COLUMN($O$1),FALSE)*VLOOKUP($D51,素材!$1:$1016,COLUMN($E$1),FALSE)/(LEN(VLOOKUP($D51,素材!$1:$1016,COLUMN($F$1),FALSE)) - LEN(SUBSTITUTE(VLOOKUP($D51,素材!$1:$1016,COLUMN($F$1),FALSE), "・", 0)) + 1), 0)</f>
        <v>0</v>
      </c>
      <c r="AX51">
        <f>IF(ISNUMBER(SEARCH(SUBSTITUTE(AX$1,RIGHT(AX$1,2),""),VLOOKUP($D51,素材!$1:$1016,COLUMN($F$1),FALSE))),VLOOKUP($C51,武器!$1:$998,COLUMN($O$1),FALSE)*VLOOKUP($D51,素材!$1:$1016,COLUMN($E$1),FALSE)/(LEN(VLOOKUP($D51,素材!$1:$1016,COLUMN($F$1),FALSE)) - LEN(SUBSTITUTE(VLOOKUP($D51,素材!$1:$1016,COLUMN($F$1),FALSE), "・", 0)) + 1), 0)</f>
        <v>0</v>
      </c>
      <c r="AY51">
        <f>IF(ISNUMBER(SEARCH(SUBSTITUTE(AY$1,RIGHT(AY$1,2),""),VLOOKUP($D51,素材!$1:$1016,COLUMN($F$1),FALSE))),VLOOKUP($C51,武器!$1:$998,COLUMN($O$1),FALSE)*VLOOKUP($D51,素材!$1:$1016,COLUMN($E$1),FALSE)/(LEN(VLOOKUP($D51,素材!$1:$1016,COLUMN($F$1),FALSE)) - LEN(SUBSTITUTE(VLOOKUP($D51,素材!$1:$1016,COLUMN($F$1),FALSE), "・", 0)) + 1), 0)</f>
        <v>0</v>
      </c>
      <c r="AZ51">
        <f>IF(ISNUMBER(SEARCH(SUBSTITUTE(AZ$1,RIGHT(AZ$1,2),""),VLOOKUP($D51,素材!$1:$1016,COLUMN($F$1),FALSE))),VLOOKUP($C51,武器!$1:$998,COLUMN($O$1),FALSE)*VLOOKUP($D51,素材!$1:$1016,COLUMN($E$1),FALSE)/(LEN(VLOOKUP($D51,素材!$1:$1016,COLUMN($F$1),FALSE)) - LEN(SUBSTITUTE(VLOOKUP($D51,素材!$1:$1016,COLUMN($F$1),FALSE), "・", 0)) + 1), 0)</f>
        <v>0</v>
      </c>
      <c r="BA51">
        <f>IF(ISNUMBER(SEARCH(SUBSTITUTE(BA$1,RIGHT(BA$1,2),""),VLOOKUP($D51,素材!$1:$1016,COLUMN($F$1),FALSE))),VLOOKUP($C51,武器!$1:$998,COLUMN($O$1),FALSE)*VLOOKUP($D51,素材!$1:$1016,COLUMN($E$1),FALSE)/(LEN(VLOOKUP($D51,素材!$1:$1016,COLUMN($F$1),FALSE)) - LEN(SUBSTITUTE(VLOOKUP($D51,素材!$1:$1016,COLUMN($F$1),FALSE), "・", 0)) + 1), 0)</f>
        <v>0</v>
      </c>
      <c r="BB51">
        <f>IF(ISNUMBER(SEARCH(SUBSTITUTE(BB$1,RIGHT(BB$1,2),""),VLOOKUP($D51,素材!$1:$1016,COLUMN($F$1),FALSE))),VLOOKUP($C51,武器!$1:$998,COLUMN($O$1),FALSE)*VLOOKUP($D51,素材!$1:$1016,COLUMN($E$1),FALSE)/(LEN(VLOOKUP($D51,素材!$1:$1016,COLUMN($F$1),FALSE)) - LEN(SUBSTITUTE(VLOOKUP($D51,素材!$1:$1016,COLUMN($F$1),FALSE), "・", 0)) + 1), 0)</f>
        <v>0</v>
      </c>
      <c r="BC51">
        <f>IF(ISNUMBER(SEARCH(SUBSTITUTE(BC$1,RIGHT(BC$1,2),""),VLOOKUP($D51,素材!$1:$1016,COLUMN($F$1),FALSE))),VLOOKUP($C51,武器!$1:$998,COLUMN($O$1),FALSE)*VLOOKUP($D51,素材!$1:$1016,COLUMN($E$1),FALSE)/(LEN(VLOOKUP($D51,素材!$1:$1016,COLUMN($F$1),FALSE)) - LEN(SUBSTITUTE(VLOOKUP($D51,素材!$1:$1016,COLUMN($F$1),FALSE), "・", 0)) + 1), 0)</f>
        <v>0</v>
      </c>
      <c r="BD51">
        <f>IF(ISNUMBER(SEARCH(SUBSTITUTE(BD$1,RIGHT(BD$1,2),""),VLOOKUP($D51,素材!$1:$1016,COLUMN($F$1),FALSE))),VLOOKUP($C51,武器!$1:$998,COLUMN($O$1),FALSE)*VLOOKUP($D51,素材!$1:$1016,COLUMN($E$1),FALSE)/(LEN(VLOOKUP($D51,素材!$1:$1016,COLUMN($F$1),FALSE)) - LEN(SUBSTITUTE(VLOOKUP($D51,素材!$1:$1016,COLUMN($F$1),FALSE), "・", 0)) + 1), 0)</f>
        <v>0</v>
      </c>
      <c r="BE51">
        <f>IF(ISNUMBER(SEARCH(SUBSTITUTE(BE$1,RIGHT(BE$1,2),""),VLOOKUP($D51,素材!$1:$1016,COLUMN($F$1),FALSE))),VLOOKUP($C51,武器!$1:$998,COLUMN($O$1),FALSE)*VLOOKUP($D51,素材!$1:$1016,COLUMN($E$1),FALSE)/(LEN(VLOOKUP($D51,素材!$1:$1016,COLUMN($F$1),FALSE)) - LEN(SUBSTITUTE(VLOOKUP($D51,素材!$1:$1016,COLUMN($F$1),FALSE), "・", 0)) + 1), 0)</f>
        <v>0</v>
      </c>
      <c r="CL51">
        <f>SUM(G51:I51)</f>
        <v>17</v>
      </c>
      <c r="CM51" s="22" t="str">
        <f>IF(E51="武器",IF(J51-1&gt;SUM(G51:I51),"盾",IF(MAX(G51:I51)=G51,"切断",IF(MAX(G51:I51)=H51,"貫通",IF(MAX(G51:I51)=I51,"打撃","射撃")))),E51)&amp;".webp"</f>
        <v>打撃.webp</v>
      </c>
      <c r="CN51">
        <f>IFERROR(VLOOKUP($C51,武器!$1:$998,COLUMN(V$1),FALSE)*VLOOKUP($D51,素材!$1:$1016,COLUMN(N$1),FALSE)+IF(CI51="",0,VLOOKUP($CI51,装強!$1:$1008,COLUMN($CK$1),FALSE)),"")</f>
        <v>300</v>
      </c>
      <c r="CO51" t="str">
        <f>VLOOKUP(D51,素材!$A:$O,COLUMN(素材!O$1),FALSE)</f>
        <v>一般的な木材。金属より軽いが少し脆い</v>
      </c>
      <c r="CP51" t="str">
        <f>VLOOKUP(C51,武器!$A:$W,COLUMN(武器!W$1),FALSE)</f>
        <v>戦棍。打撃に優れた武器。Cr率が高い</v>
      </c>
      <c r="CR51" t="str">
        <f t="shared" si="1"/>
        <v>e_51</v>
      </c>
      <c r="CS51">
        <f t="shared" si="2"/>
        <v>30000</v>
      </c>
    </row>
    <row r="52" spans="1:97" outlineLevel="1" x14ac:dyDescent="0.4">
      <c r="A52" t="str">
        <f t="shared" si="3"/>
        <v>木の棍棒</v>
      </c>
      <c r="B52" t="str">
        <f>IFERROR(VLOOKUP($D52,素材!$1:$1016,COLUMN($B$1),FALSE)&amp;"・"&amp;VLOOKUP($C52,武器!$1:$998,COLUMN(B$1),FALSE),"")</f>
        <v>ウッド・クラブ</v>
      </c>
      <c r="C52" s="24" t="s">
        <v>230</v>
      </c>
      <c r="D52" s="24" t="s">
        <v>255</v>
      </c>
      <c r="E52" t="str">
        <f>IFERROR(VLOOKUP(C52,武器!$1:$998,COLUMN(C$1),FALSE),"")</f>
        <v>武器</v>
      </c>
      <c r="F52">
        <f>IFERROR(ROUNDDOWN((VLOOKUP($C52,武器!$1:$998,COLUMN(D$1),FALSE)+IFERROR(VLOOKUP($CI52,装強!$1:$999,COLUMN(F$1),FALSE),0))*VLOOKUP($D52,素材!$1:$1016,COLUMN(D$1),FALSE),0),"")</f>
        <v>78</v>
      </c>
      <c r="G52">
        <f>IFERROR(ROUNDDOWN((VLOOKUP($C52,武器!$1:$998,COLUMN(E$1),FALSE)+IFERROR(VLOOKUP($CI52,装強!$1:$999,COLUMN(G$1),FALSE),0))*VLOOKUP($D52,素材!$1:$1016,COLUMN($E$1),FALSE),0),"")</f>
        <v>1</v>
      </c>
      <c r="H52">
        <f>IFERROR(ROUNDDOWN((VLOOKUP($C52,武器!$1:$998,COLUMN(F$1),FALSE)+IFERROR(VLOOKUP($CI52,装強!$1:$999,COLUMN(H$1),FALSE),0))*VLOOKUP($D52,素材!$1:$1016,COLUMN($E$1),FALSE),0),"")</f>
        <v>0</v>
      </c>
      <c r="I52">
        <f>IFERROR(ROUNDDOWN((VLOOKUP($C52,武器!$1:$998,COLUMN(G$1),FALSE)+IFERROR(VLOOKUP($CI52,装強!$1:$999,COLUMN(I$1),FALSE),0))*VLOOKUP($D52,素材!$1:$1016,COLUMN($E$1),FALSE),0),"")</f>
        <v>15</v>
      </c>
      <c r="J52">
        <f>IFERROR(ROUNDDOWN((VLOOKUP($C52,武器!$1:$998,COLUMN(H$1),FALSE)+IFERROR(VLOOKUP($CI52,装強!$1:$999,COLUMN(J$1),FALSE),0))*VLOOKUP($D52,素材!$1:$1016,COLUMN($E$1),FALSE),0),"")</f>
        <v>14</v>
      </c>
      <c r="K52">
        <f>IFERROR(ROUNDDOWN((VLOOKUP($C52,武器!$1:$998,COLUMN(I$1),FALSE)+IFERROR(VLOOKUP($CI52,装強!$1:$999,COLUMN(K$1),FALSE),0))*VLOOKUP($D52,素材!$1:$1016,COLUMN($E$1),FALSE),0),"")</f>
        <v>0</v>
      </c>
      <c r="L52">
        <f>IFERROR(VLOOKUP($D52,素材!$1:$1016,COLUMN($F$1),FALSE),"")</f>
        <v>0</v>
      </c>
      <c r="M52">
        <f>IFERROR(VLOOKUP($C52,武器!$1:$998,COLUMN(AA$1),FALSE)*VLOOKUP($D52,素材!$1:$1016,COLUMN($G$1),FALSE),"")</f>
        <v>0</v>
      </c>
      <c r="N52">
        <f>IFERROR(VLOOKUP($C52,武器!$1:$998,COLUMN(I$1),FALSE),"")</f>
        <v>0</v>
      </c>
      <c r="O52" s="23">
        <f>IFERROR((VLOOKUP($C52,武器!$1:$998,COLUMN(K$1),FALSE)+VLOOKUP($D52,素材!$1:$1016,COLUMN(H$1),FALSE))*100+IFERROR(VLOOKUP($CI52,装強!$1:$999,COLUMN(O$1),FALSE),0),"")</f>
        <v>5</v>
      </c>
      <c r="P52" s="23">
        <f>IFERROR((VLOOKUP($C52,武器!$1:$998,COLUMN(L$1),FALSE)+VLOOKUP($D52,素材!$1:$1016,COLUMN(I$1),FALSE))*100+IFERROR(VLOOKUP($CI52,装強!$1:$999,COLUMN(P$1),FALSE),0),"")</f>
        <v>150</v>
      </c>
      <c r="Q52">
        <f>IFERROR(ROUNDUP(VLOOKUP($C52,武器!$1:$998,COLUMN(M$1),FALSE)*(VLOOKUP($D52,素材!$1:$1002,COLUMN(D$1),FALSE)/100),1),"")</f>
        <v>0</v>
      </c>
      <c r="R52">
        <f>IFERROR(ROUNDUP(VLOOKUP($C52,武器!$1:$998,COLUMN(N$1),FALSE)*(VLOOKUP($D52,素材!$1:$1002,COLUMN(D$1),FALSE)/100),1),"")</f>
        <v>0</v>
      </c>
      <c r="S52">
        <f>IFERROR(VLOOKUP($C52,武器!$1:$998,COLUMN(P$1),FALSE),"")</f>
        <v>0</v>
      </c>
      <c r="T52">
        <f>IFERROR(VLOOKUP($C52,武器!$1:$998,COLUMN(Q$1),FALSE),"")</f>
        <v>0</v>
      </c>
      <c r="U52">
        <f>IFERROR(VLOOKUP($C52,武器!$1:$998,COLUMN(R$1),FALSE),"")</f>
        <v>0</v>
      </c>
      <c r="V52">
        <f>IFERROR(VLOOKUP($C52,武器!$1:$998,COLUMN(Q$1),FALSE),"")</f>
        <v>0</v>
      </c>
      <c r="W52" t="str">
        <f>IFERROR(VLOOKUP($C52,武器!$1:$998,COLUMN(T$1),FALSE),"")</f>
        <v>A</v>
      </c>
      <c r="Y52" t="str">
        <f>IFERROR(VLOOKUP($C52,武器!$1:$998,COLUMN(U$1),FALSE),"")</f>
        <v>片手適性Ⅰ</v>
      </c>
      <c r="Z52">
        <f>IFERROR(ROUNDUP(VLOOKUP($C52,武器!$1:$998,COLUMN(O$1),FALSE)*VLOOKUP($D52,素材!$1:$1016,COLUMN(E$1),FALSE),1),"")</f>
        <v>0</v>
      </c>
      <c r="AA52">
        <f>IF(ISNUMBER(SEARCH(SUBSTITUTE(AA$1,RIGHT(AA$1,2),""),VLOOKUP($D52,素材!$1:$1016,COLUMN($F$1),FALSE))),VLOOKUP($C52,武器!$1:$998,COLUMN($O$1),FALSE)*VLOOKUP($D52,素材!$1:$1016,COLUMN($E$1),FALSE)/(LEN(VLOOKUP($D52,素材!$1:$1016,COLUMN($F$1),FALSE)) - LEN(SUBSTITUTE(VLOOKUP($D52,素材!$1:$1016,COLUMN($F$1),FALSE), "・", 0)) + 1), 0)</f>
        <v>0</v>
      </c>
      <c r="AB52">
        <f>IF(ISNUMBER(SEARCH(SUBSTITUTE(AB$1,RIGHT(AB$1,2),""),VLOOKUP($D52,素材!$1:$1016,COLUMN($F$1),FALSE))),VLOOKUP($C52,武器!$1:$998,COLUMN($O$1),FALSE)*VLOOKUP($D52,素材!$1:$1016,COLUMN($E$1),FALSE)/(LEN(VLOOKUP($D52,素材!$1:$1016,COLUMN($F$1),FALSE)) - LEN(SUBSTITUTE(VLOOKUP($D52,素材!$1:$1016,COLUMN($F$1),FALSE), "・", 0)) + 1), 0)</f>
        <v>0</v>
      </c>
      <c r="AC52">
        <f>IF(ISNUMBER(SEARCH(SUBSTITUTE(AC$1,RIGHT(AC$1,2),""),VLOOKUP($D52,素材!$1:$1016,COLUMN($F$1),FALSE))),VLOOKUP($C52,武器!$1:$998,COLUMN($O$1),FALSE)*VLOOKUP($D52,素材!$1:$1016,COLUMN($E$1),FALSE)/(LEN(VLOOKUP($D52,素材!$1:$1016,COLUMN($F$1),FALSE)) - LEN(SUBSTITUTE(VLOOKUP($D52,素材!$1:$1016,COLUMN($F$1),FALSE), "・", 0)) + 1), 0)</f>
        <v>0</v>
      </c>
      <c r="AD52">
        <f>IF(ISNUMBER(SEARCH(SUBSTITUTE(AD$1,RIGHT(AD$1,2),""),VLOOKUP($D52,素材!$1:$1016,COLUMN($F$1),FALSE))),VLOOKUP($C52,武器!$1:$998,COLUMN($O$1),FALSE)*VLOOKUP($D52,素材!$1:$1016,COLUMN($E$1),FALSE)/(LEN(VLOOKUP($D52,素材!$1:$1016,COLUMN($F$1),FALSE)) - LEN(SUBSTITUTE(VLOOKUP($D52,素材!$1:$1016,COLUMN($F$1),FALSE), "・", 0)) + 1), 0)</f>
        <v>0</v>
      </c>
      <c r="AE52">
        <f>IF(ISNUMBER(SEARCH(SUBSTITUTE(AE$1,RIGHT(AE$1,2),""),VLOOKUP($D52,素材!$1:$1016,COLUMN($F$1),FALSE))),VLOOKUP($C52,武器!$1:$998,COLUMN($O$1),FALSE)*VLOOKUP($D52,素材!$1:$1016,COLUMN($E$1),FALSE)/(LEN(VLOOKUP($D52,素材!$1:$1016,COLUMN($F$1),FALSE)) - LEN(SUBSTITUTE(VLOOKUP($D52,素材!$1:$1016,COLUMN($F$1),FALSE), "・", 0)) + 1), 0)</f>
        <v>0</v>
      </c>
      <c r="AF52">
        <f>IF(ISNUMBER(SEARCH(SUBSTITUTE(AF$1,RIGHT(AF$1,2),""),VLOOKUP($D52,素材!$1:$1016,COLUMN($F$1),FALSE))),VLOOKUP($C52,武器!$1:$998,COLUMN($O$1),FALSE)*VLOOKUP($D52,素材!$1:$1016,COLUMN($E$1),FALSE)/(LEN(VLOOKUP($D52,素材!$1:$1016,COLUMN($F$1),FALSE)) - LEN(SUBSTITUTE(VLOOKUP($D52,素材!$1:$1016,COLUMN($F$1),FALSE), "・", 0)) + 1), 0)</f>
        <v>0</v>
      </c>
      <c r="AG52">
        <f>IF(ISNUMBER(SEARCH(SUBSTITUTE(AG$1,RIGHT(AG$1,2),""),VLOOKUP($D52,素材!$1:$1016,COLUMN($F$1),FALSE))),VLOOKUP($C52,武器!$1:$998,COLUMN($O$1),FALSE)*VLOOKUP($D52,素材!$1:$1016,COLUMN($E$1),FALSE)/(LEN(VLOOKUP($D52,素材!$1:$1016,COLUMN($F$1),FALSE)) - LEN(SUBSTITUTE(VLOOKUP($D52,素材!$1:$1016,COLUMN($F$1),FALSE), "・", 0)) + 1), 0)</f>
        <v>0</v>
      </c>
      <c r="AH52">
        <f>IF(ISNUMBER(SEARCH(SUBSTITUTE(AH$1,RIGHT(AH$1,2),""),VLOOKUP($D52,素材!$1:$1016,COLUMN($F$1),FALSE))),VLOOKUP($C52,武器!$1:$998,COLUMN($O$1),FALSE)*VLOOKUP($D52,素材!$1:$1016,COLUMN($E$1),FALSE)/(LEN(VLOOKUP($D52,素材!$1:$1016,COLUMN($F$1),FALSE)) - LEN(SUBSTITUTE(VLOOKUP($D52,素材!$1:$1016,COLUMN($F$1),FALSE), "・", 0)) + 1), 0)</f>
        <v>0</v>
      </c>
      <c r="AI52">
        <f>IF(ISNUMBER(SEARCH(SUBSTITUTE(AI$1,RIGHT(AI$1,2),""),VLOOKUP($D52,素材!$1:$1016,COLUMN($F$1),FALSE))),VLOOKUP($C52,武器!$1:$998,COLUMN($O$1),FALSE)*VLOOKUP($D52,素材!$1:$1016,COLUMN($E$1),FALSE)/(LEN(VLOOKUP($D52,素材!$1:$1016,COLUMN($F$1),FALSE)) - LEN(SUBSTITUTE(VLOOKUP($D52,素材!$1:$1016,COLUMN($F$1),FALSE), "・", 0)) + 1), 0)</f>
        <v>0</v>
      </c>
      <c r="AJ52">
        <f>IF(ISNUMBER(SEARCH(SUBSTITUTE(AJ$1,RIGHT(AJ$1,2),""),VLOOKUP($D52,素材!$1:$1016,COLUMN($F$1),FALSE))),VLOOKUP($C52,武器!$1:$998,COLUMN($O$1),FALSE)*VLOOKUP($D52,素材!$1:$1016,COLUMN($E$1),FALSE)/(LEN(VLOOKUP($D52,素材!$1:$1016,COLUMN($F$1),FALSE)) - LEN(SUBSTITUTE(VLOOKUP($D52,素材!$1:$1016,COLUMN($F$1),FALSE), "・", 0)) + 1), 0)</f>
        <v>0</v>
      </c>
      <c r="AK52">
        <f>IF(ISNUMBER(SEARCH(SUBSTITUTE(AK$1,RIGHT(AK$1,2),""),VLOOKUP($D52,素材!$1:$1016,COLUMN($F$1),FALSE))),VLOOKUP($C52,武器!$1:$998,COLUMN($O$1),FALSE)*VLOOKUP($D52,素材!$1:$1016,COLUMN($E$1),FALSE)/(LEN(VLOOKUP($D52,素材!$1:$1016,COLUMN($F$1),FALSE)) - LEN(SUBSTITUTE(VLOOKUP($D52,素材!$1:$1016,COLUMN($F$1),FALSE), "・", 0)) + 1), 0)</f>
        <v>0</v>
      </c>
      <c r="AL52">
        <f>IF(ISNUMBER(SEARCH(SUBSTITUTE(AL$1,RIGHT(AL$1,2),""),VLOOKUP($D52,素材!$1:$1016,COLUMN($F$1),FALSE))),VLOOKUP($C52,武器!$1:$998,COLUMN($O$1),FALSE)*VLOOKUP($D52,素材!$1:$1016,COLUMN($E$1),FALSE)/(LEN(VLOOKUP($D52,素材!$1:$1016,COLUMN($F$1),FALSE)) - LEN(SUBSTITUTE(VLOOKUP($D52,素材!$1:$1016,COLUMN($F$1),FALSE), "・", 0)) + 1), 0)</f>
        <v>0</v>
      </c>
      <c r="AM52">
        <f>IF(ISNUMBER(SEARCH(SUBSTITUTE(AM$1,RIGHT(AM$1,2),""),VLOOKUP($D52,素材!$1:$1016,COLUMN($F$1),FALSE))),VLOOKUP($C52,武器!$1:$998,COLUMN($O$1),FALSE)*VLOOKUP($D52,素材!$1:$1016,COLUMN($E$1),FALSE)/(LEN(VLOOKUP($D52,素材!$1:$1016,COLUMN($F$1),FALSE)) - LEN(SUBSTITUTE(VLOOKUP($D52,素材!$1:$1016,COLUMN($F$1),FALSE), "・", 0)) + 1), 0)</f>
        <v>0</v>
      </c>
      <c r="AN52">
        <f>IF(ISNUMBER(SEARCH(SUBSTITUTE(AN$1,RIGHT(AN$1,2),""),VLOOKUP($D52,素材!$1:$1016,COLUMN($F$1),FALSE))),VLOOKUP($C52,武器!$1:$998,COLUMN($O$1),FALSE)*VLOOKUP($D52,素材!$1:$1016,COLUMN($E$1),FALSE)/(LEN(VLOOKUP($D52,素材!$1:$1016,COLUMN($F$1),FALSE)) - LEN(SUBSTITUTE(VLOOKUP($D52,素材!$1:$1016,COLUMN($F$1),FALSE), "・", 0)) + 1), 0)</f>
        <v>0</v>
      </c>
      <c r="AO52">
        <f>IF(ISNUMBER(SEARCH(SUBSTITUTE(AO$1,RIGHT(AO$1,2),""),VLOOKUP($D52,素材!$1:$1016,COLUMN($F$1),FALSE))),VLOOKUP($C52,武器!$1:$998,COLUMN($O$1),FALSE)*VLOOKUP($D52,素材!$1:$1016,COLUMN($E$1),FALSE)/(LEN(VLOOKUP($D52,素材!$1:$1016,COLUMN($F$1),FALSE)) - LEN(SUBSTITUTE(VLOOKUP($D52,素材!$1:$1016,COLUMN($F$1),FALSE), "・", 0)) + 1), 0)</f>
        <v>0</v>
      </c>
      <c r="AP52">
        <f>IF(ISNUMBER(SEARCH(SUBSTITUTE(AP$1,RIGHT(AP$1,2),""),VLOOKUP($D52,素材!$1:$1016,COLUMN($F$1),FALSE))),VLOOKUP($C52,武器!$1:$998,COLUMN($O$1),FALSE)*VLOOKUP($D52,素材!$1:$1016,COLUMN($E$1),FALSE)/(LEN(VLOOKUP($D52,素材!$1:$1016,COLUMN($F$1),FALSE)) - LEN(SUBSTITUTE(VLOOKUP($D52,素材!$1:$1016,COLUMN($F$1),FALSE), "・", 0)) + 1), 0)</f>
        <v>0</v>
      </c>
      <c r="AQ52">
        <f>IF(ISNUMBER(SEARCH(SUBSTITUTE(AQ$1,RIGHT(AQ$1,2),""),VLOOKUP($D52,素材!$1:$1016,COLUMN($F$1),FALSE))),VLOOKUP($C52,武器!$1:$998,COLUMN($O$1),FALSE)*VLOOKUP($D52,素材!$1:$1016,COLUMN($E$1),FALSE)/(LEN(VLOOKUP($D52,素材!$1:$1016,COLUMN($F$1),FALSE)) - LEN(SUBSTITUTE(VLOOKUP($D52,素材!$1:$1016,COLUMN($F$1),FALSE), "・", 0)) + 1), 0)</f>
        <v>0</v>
      </c>
      <c r="AR52">
        <f>IF(ISNUMBER(SEARCH(SUBSTITUTE(AR$1,RIGHT(AR$1,2),""),VLOOKUP($D52,素材!$1:$1016,COLUMN($F$1),FALSE))),VLOOKUP($C52,武器!$1:$998,COLUMN($O$1),FALSE)*VLOOKUP($D52,素材!$1:$1016,COLUMN($E$1),FALSE)/(LEN(VLOOKUP($D52,素材!$1:$1016,COLUMN($F$1),FALSE)) - LEN(SUBSTITUTE(VLOOKUP($D52,素材!$1:$1016,COLUMN($F$1),FALSE), "・", 0)) + 1), 0)</f>
        <v>0</v>
      </c>
      <c r="AS52">
        <f>IF(ISNUMBER(SEARCH(SUBSTITUTE(AS$1,RIGHT(AS$1,2),""),VLOOKUP($D52,素材!$1:$1016,COLUMN($F$1),FALSE))),VLOOKUP($C52,武器!$1:$998,COLUMN($O$1),FALSE)*VLOOKUP($D52,素材!$1:$1016,COLUMN($E$1),FALSE)/(LEN(VLOOKUP($D52,素材!$1:$1016,COLUMN($F$1),FALSE)) - LEN(SUBSTITUTE(VLOOKUP($D52,素材!$1:$1016,COLUMN($F$1),FALSE), "・", 0)) + 1), 0)</f>
        <v>0</v>
      </c>
      <c r="AT52">
        <f>IF(ISNUMBER(SEARCH(SUBSTITUTE(AT$1,RIGHT(AT$1,2),""),VLOOKUP($D52,素材!$1:$1016,COLUMN($F$1),FALSE))),VLOOKUP($C52,武器!$1:$998,COLUMN($O$1),FALSE)*VLOOKUP($D52,素材!$1:$1016,COLUMN($E$1),FALSE)/(LEN(VLOOKUP($D52,素材!$1:$1016,COLUMN($F$1),FALSE)) - LEN(SUBSTITUTE(VLOOKUP($D52,素材!$1:$1016,COLUMN($F$1),FALSE), "・", 0)) + 1), 0)</f>
        <v>0</v>
      </c>
      <c r="AU52">
        <f>IF(ISNUMBER(SEARCH(SUBSTITUTE(AU$1,RIGHT(AU$1,2),""),VLOOKUP($D52,素材!$1:$1016,COLUMN($F$1),FALSE))),VLOOKUP($C52,武器!$1:$998,COLUMN($O$1),FALSE)*VLOOKUP($D52,素材!$1:$1016,COLUMN($E$1),FALSE)/(LEN(VLOOKUP($D52,素材!$1:$1016,COLUMN($F$1),FALSE)) - LEN(SUBSTITUTE(VLOOKUP($D52,素材!$1:$1016,COLUMN($F$1),FALSE), "・", 0)) + 1), 0)</f>
        <v>0</v>
      </c>
      <c r="AV52">
        <f>IF(ISNUMBER(SEARCH(SUBSTITUTE(AV$1,RIGHT(AV$1,2),""),VLOOKUP($D52,素材!$1:$1016,COLUMN($F$1),FALSE))),VLOOKUP($C52,武器!$1:$998,COLUMN($O$1),FALSE)*VLOOKUP($D52,素材!$1:$1016,COLUMN($E$1),FALSE)/(LEN(VLOOKUP($D52,素材!$1:$1016,COLUMN($F$1),FALSE)) - LEN(SUBSTITUTE(VLOOKUP($D52,素材!$1:$1016,COLUMN($F$1),FALSE), "・", 0)) + 1), 0)</f>
        <v>0</v>
      </c>
      <c r="AW52">
        <f>IF(ISNUMBER(SEARCH(SUBSTITUTE(AW$1,RIGHT(AW$1,2),""),VLOOKUP($D52,素材!$1:$1016,COLUMN($F$1),FALSE))),VLOOKUP($C52,武器!$1:$998,COLUMN($O$1),FALSE)*VLOOKUP($D52,素材!$1:$1016,COLUMN($E$1),FALSE)/(LEN(VLOOKUP($D52,素材!$1:$1016,COLUMN($F$1),FALSE)) - LEN(SUBSTITUTE(VLOOKUP($D52,素材!$1:$1016,COLUMN($F$1),FALSE), "・", 0)) + 1), 0)</f>
        <v>0</v>
      </c>
      <c r="AX52">
        <f>IF(ISNUMBER(SEARCH(SUBSTITUTE(AX$1,RIGHT(AX$1,2),""),VLOOKUP($D52,素材!$1:$1016,COLUMN($F$1),FALSE))),VLOOKUP($C52,武器!$1:$998,COLUMN($O$1),FALSE)*VLOOKUP($D52,素材!$1:$1016,COLUMN($E$1),FALSE)/(LEN(VLOOKUP($D52,素材!$1:$1016,COLUMN($F$1),FALSE)) - LEN(SUBSTITUTE(VLOOKUP($D52,素材!$1:$1016,COLUMN($F$1),FALSE), "・", 0)) + 1), 0)</f>
        <v>0</v>
      </c>
      <c r="AY52">
        <f>IF(ISNUMBER(SEARCH(SUBSTITUTE(AY$1,RIGHT(AY$1,2),""),VLOOKUP($D52,素材!$1:$1016,COLUMN($F$1),FALSE))),VLOOKUP($C52,武器!$1:$998,COLUMN($O$1),FALSE)*VLOOKUP($D52,素材!$1:$1016,COLUMN($E$1),FALSE)/(LEN(VLOOKUP($D52,素材!$1:$1016,COLUMN($F$1),FALSE)) - LEN(SUBSTITUTE(VLOOKUP($D52,素材!$1:$1016,COLUMN($F$1),FALSE), "・", 0)) + 1), 0)</f>
        <v>0</v>
      </c>
      <c r="AZ52">
        <f>IF(ISNUMBER(SEARCH(SUBSTITUTE(AZ$1,RIGHT(AZ$1,2),""),VLOOKUP($D52,素材!$1:$1016,COLUMN($F$1),FALSE))),VLOOKUP($C52,武器!$1:$998,COLUMN($O$1),FALSE)*VLOOKUP($D52,素材!$1:$1016,COLUMN($E$1),FALSE)/(LEN(VLOOKUP($D52,素材!$1:$1016,COLUMN($F$1),FALSE)) - LEN(SUBSTITUTE(VLOOKUP($D52,素材!$1:$1016,COLUMN($F$1),FALSE), "・", 0)) + 1), 0)</f>
        <v>0</v>
      </c>
      <c r="BA52">
        <f>IF(ISNUMBER(SEARCH(SUBSTITUTE(BA$1,RIGHT(BA$1,2),""),VLOOKUP($D52,素材!$1:$1016,COLUMN($F$1),FALSE))),VLOOKUP($C52,武器!$1:$998,COLUMN($O$1),FALSE)*VLOOKUP($D52,素材!$1:$1016,COLUMN($E$1),FALSE)/(LEN(VLOOKUP($D52,素材!$1:$1016,COLUMN($F$1),FALSE)) - LEN(SUBSTITUTE(VLOOKUP($D52,素材!$1:$1016,COLUMN($F$1),FALSE), "・", 0)) + 1), 0)</f>
        <v>0</v>
      </c>
      <c r="BB52">
        <f>IF(ISNUMBER(SEARCH(SUBSTITUTE(BB$1,RIGHT(BB$1,2),""),VLOOKUP($D52,素材!$1:$1016,COLUMN($F$1),FALSE))),VLOOKUP($C52,武器!$1:$998,COLUMN($O$1),FALSE)*VLOOKUP($D52,素材!$1:$1016,COLUMN($E$1),FALSE)/(LEN(VLOOKUP($D52,素材!$1:$1016,COLUMN($F$1),FALSE)) - LEN(SUBSTITUTE(VLOOKUP($D52,素材!$1:$1016,COLUMN($F$1),FALSE), "・", 0)) + 1), 0)</f>
        <v>0</v>
      </c>
      <c r="BC52">
        <f>IF(ISNUMBER(SEARCH(SUBSTITUTE(BC$1,RIGHT(BC$1,2),""),VLOOKUP($D52,素材!$1:$1016,COLUMN($F$1),FALSE))),VLOOKUP($C52,武器!$1:$998,COLUMN($O$1),FALSE)*VLOOKUP($D52,素材!$1:$1016,COLUMN($E$1),FALSE)/(LEN(VLOOKUP($D52,素材!$1:$1016,COLUMN($F$1),FALSE)) - LEN(SUBSTITUTE(VLOOKUP($D52,素材!$1:$1016,COLUMN($F$1),FALSE), "・", 0)) + 1), 0)</f>
        <v>0</v>
      </c>
      <c r="BD52">
        <f>IF(ISNUMBER(SEARCH(SUBSTITUTE(BD$1,RIGHT(BD$1,2),""),VLOOKUP($D52,素材!$1:$1016,COLUMN($F$1),FALSE))),VLOOKUP($C52,武器!$1:$998,COLUMN($O$1),FALSE)*VLOOKUP($D52,素材!$1:$1016,COLUMN($E$1),FALSE)/(LEN(VLOOKUP($D52,素材!$1:$1016,COLUMN($F$1),FALSE)) - LEN(SUBSTITUTE(VLOOKUP($D52,素材!$1:$1016,COLUMN($F$1),FALSE), "・", 0)) + 1), 0)</f>
        <v>0</v>
      </c>
      <c r="BE52">
        <f>IF(ISNUMBER(SEARCH(SUBSTITUTE(BE$1,RIGHT(BE$1,2),""),VLOOKUP($D52,素材!$1:$1016,COLUMN($F$1),FALSE))),VLOOKUP($C52,武器!$1:$998,COLUMN($O$1),FALSE)*VLOOKUP($D52,素材!$1:$1016,COLUMN($E$1),FALSE)/(LEN(VLOOKUP($D52,素材!$1:$1016,COLUMN($F$1),FALSE)) - LEN(SUBSTITUTE(VLOOKUP($D52,素材!$1:$1016,COLUMN($F$1),FALSE), "・", 0)) + 1), 0)</f>
        <v>0</v>
      </c>
      <c r="CL52">
        <f>SUM(G52:I52)</f>
        <v>16</v>
      </c>
      <c r="CM52" s="22" t="str">
        <f>IF(E52="武器",IF(J52-1&gt;SUM(G52:I52),"盾",IF(MAX(G52:I52)=G52,"切断",IF(MAX(G52:I52)=H52,"貫通",IF(MAX(G52:I52)=I52,"打撃","射撃")))),E52)&amp;".webp"</f>
        <v>打撃.webp</v>
      </c>
      <c r="CN52">
        <f>IFERROR(VLOOKUP($C52,武器!$1:$998,COLUMN(V$1),FALSE)*VLOOKUP($D52,素材!$1:$1016,COLUMN(N$1),FALSE)+IF(CI52="",0,VLOOKUP($CI52,装強!$1:$1008,COLUMN($CK$1),FALSE)),"")</f>
        <v>150</v>
      </c>
      <c r="CO52" t="str">
        <f>VLOOKUP(D52,素材!$A:$O,COLUMN(素材!O$1),FALSE)</f>
        <v>一般的な木材。金属より軽いが少し脆い</v>
      </c>
      <c r="CP52" t="str">
        <f>VLOOKUP(C52,武器!$A:$W,COLUMN(武器!W$1),FALSE)</f>
        <v>棍棒。打撃に特化したシンプルな武器。威力は低いがダメージ振れが少ない。</v>
      </c>
      <c r="CR52" t="str">
        <f t="shared" si="1"/>
        <v>e_52</v>
      </c>
      <c r="CS52">
        <f t="shared" si="2"/>
        <v>15000</v>
      </c>
    </row>
    <row r="53" spans="1:97" outlineLevel="1" x14ac:dyDescent="0.4">
      <c r="A53" t="str">
        <f t="shared" si="3"/>
        <v>木の戦棍</v>
      </c>
      <c r="B53" t="str">
        <f>IFERROR(VLOOKUP($D53,素材!$1:$1016,COLUMN($B$1),FALSE)&amp;"・"&amp;VLOOKUP($C53,武器!$1:$998,COLUMN(B$1),FALSE),"")</f>
        <v>ウッド・メイス</v>
      </c>
      <c r="C53" s="24" t="s">
        <v>229</v>
      </c>
      <c r="D53" s="24" t="s">
        <v>255</v>
      </c>
      <c r="E53" t="str">
        <f>IFERROR(VLOOKUP(C53,武器!$1:$998,COLUMN(C$1),FALSE),"")</f>
        <v>武器</v>
      </c>
      <c r="F53">
        <f>IFERROR(ROUNDDOWN((VLOOKUP($C53,武器!$1:$998,COLUMN(D$1),FALSE)+IFERROR(VLOOKUP($CI53,装強!$1:$999,COLUMN(F$1),FALSE),0))*VLOOKUP($D53,素材!$1:$1016,COLUMN(D$1),FALSE),0),"")</f>
        <v>82</v>
      </c>
      <c r="G53">
        <f>IFERROR(ROUNDDOWN((VLOOKUP($C53,武器!$1:$998,COLUMN(E$1),FALSE)+IFERROR(VLOOKUP($CI53,装強!$1:$999,COLUMN(G$1),FALSE),0))*VLOOKUP($D53,素材!$1:$1016,COLUMN($E$1),FALSE),0),"")</f>
        <v>0</v>
      </c>
      <c r="H53">
        <f>IFERROR(ROUNDDOWN((VLOOKUP($C53,武器!$1:$998,COLUMN(F$1),FALSE)+IFERROR(VLOOKUP($CI53,装強!$1:$999,COLUMN(H$1),FALSE),0))*VLOOKUP($D53,素材!$1:$1016,COLUMN($E$1),FALSE),0),"")</f>
        <v>0</v>
      </c>
      <c r="I53">
        <f>IFERROR(ROUNDDOWN((VLOOKUP($C53,武器!$1:$998,COLUMN(G$1),FALSE)+IFERROR(VLOOKUP($CI53,装強!$1:$999,COLUMN(I$1),FALSE),0))*VLOOKUP($D53,素材!$1:$1016,COLUMN($E$1),FALSE),0),"")</f>
        <v>17</v>
      </c>
      <c r="J53">
        <f>IFERROR(ROUNDDOWN((VLOOKUP($C53,武器!$1:$998,COLUMN(H$1),FALSE)+IFERROR(VLOOKUP($CI53,装強!$1:$999,COLUMN(J$1),FALSE),0))*VLOOKUP($D53,素材!$1:$1016,COLUMN($E$1),FALSE),0),"")</f>
        <v>14</v>
      </c>
      <c r="K53">
        <f>IFERROR(ROUNDDOWN((VLOOKUP($C53,武器!$1:$998,COLUMN(I$1),FALSE)+IFERROR(VLOOKUP($CI53,装強!$1:$999,COLUMN(K$1),FALSE),0))*VLOOKUP($D53,素材!$1:$1016,COLUMN($E$1),FALSE),0),"")</f>
        <v>0</v>
      </c>
      <c r="L53">
        <f>IFERROR(VLOOKUP($D53,素材!$1:$1016,COLUMN($F$1),FALSE),"")</f>
        <v>0</v>
      </c>
      <c r="M53">
        <f>IFERROR(VLOOKUP($C53,武器!$1:$998,COLUMN(AA$1),FALSE)*VLOOKUP($D53,素材!$1:$1016,COLUMN($G$1),FALSE),"")</f>
        <v>0</v>
      </c>
      <c r="N53">
        <f>IFERROR(VLOOKUP($C53,武器!$1:$998,COLUMN(I$1),FALSE),"")</f>
        <v>0</v>
      </c>
      <c r="O53" s="23">
        <f>IFERROR((VLOOKUP($C53,武器!$1:$998,COLUMN(K$1),FALSE)+VLOOKUP($D53,素材!$1:$1016,COLUMN(H$1),FALSE))*100+IFERROR(VLOOKUP($CI53,装強!$1:$999,COLUMN(O$1),FALSE),0),"")</f>
        <v>15</v>
      </c>
      <c r="P53" s="23">
        <f>IFERROR((VLOOKUP($C53,武器!$1:$998,COLUMN(L$1),FALSE)+VLOOKUP($D53,素材!$1:$1016,COLUMN(I$1),FALSE))*100+IFERROR(VLOOKUP($CI53,装強!$1:$999,COLUMN(P$1),FALSE),0),"")</f>
        <v>125</v>
      </c>
      <c r="Q53">
        <f>IFERROR(ROUNDUP(VLOOKUP($C53,武器!$1:$998,COLUMN(M$1),FALSE)*(VLOOKUP($D53,素材!$1:$1002,COLUMN(D$1),FALSE)/100),1),"")</f>
        <v>0</v>
      </c>
      <c r="R53">
        <f>IFERROR(ROUNDUP(VLOOKUP($C53,武器!$1:$998,COLUMN(N$1),FALSE)*(VLOOKUP($D53,素材!$1:$1002,COLUMN(D$1),FALSE)/100),1),"")</f>
        <v>-1.5</v>
      </c>
      <c r="S53">
        <f>IFERROR(VLOOKUP($C53,武器!$1:$998,COLUMN(P$1),FALSE),"")</f>
        <v>0</v>
      </c>
      <c r="T53">
        <f>IFERROR(VLOOKUP($C53,武器!$1:$998,COLUMN(Q$1),FALSE),"")</f>
        <v>0</v>
      </c>
      <c r="U53">
        <f>IFERROR(VLOOKUP($C53,武器!$1:$998,COLUMN(R$1),FALSE),"")</f>
        <v>0</v>
      </c>
      <c r="V53">
        <f>IFERROR(VLOOKUP($C53,武器!$1:$998,COLUMN(Q$1),FALSE),"")</f>
        <v>0</v>
      </c>
      <c r="W53" t="str">
        <f>IFERROR(VLOOKUP($C53,武器!$1:$998,COLUMN(T$1),FALSE),"")</f>
        <v>A</v>
      </c>
      <c r="Y53">
        <f>IFERROR(VLOOKUP($C53,武器!$1:$998,COLUMN(U$1),FALSE),"")</f>
        <v>0</v>
      </c>
      <c r="Z53">
        <f>IFERROR(ROUNDUP(VLOOKUP($C53,武器!$1:$998,COLUMN(O$1),FALSE)*VLOOKUP($D53,素材!$1:$1016,COLUMN(E$1),FALSE),1),"")</f>
        <v>0</v>
      </c>
      <c r="AA53">
        <f>IF(ISNUMBER(SEARCH(SUBSTITUTE(AA$1,RIGHT(AA$1,2),""),VLOOKUP($D53,素材!$1:$1016,COLUMN($F$1),FALSE))),VLOOKUP($C53,武器!$1:$998,COLUMN($O$1),FALSE)*VLOOKUP($D53,素材!$1:$1016,COLUMN($E$1),FALSE)/(LEN(VLOOKUP($D53,素材!$1:$1016,COLUMN($F$1),FALSE)) - LEN(SUBSTITUTE(VLOOKUP($D53,素材!$1:$1016,COLUMN($F$1),FALSE), "・", 0)) + 1), 0)</f>
        <v>0</v>
      </c>
      <c r="AB53">
        <f>IF(ISNUMBER(SEARCH(SUBSTITUTE(AB$1,RIGHT(AB$1,2),""),VLOOKUP($D53,素材!$1:$1016,COLUMN($F$1),FALSE))),VLOOKUP($C53,武器!$1:$998,COLUMN($O$1),FALSE)*VLOOKUP($D53,素材!$1:$1016,COLUMN($E$1),FALSE)/(LEN(VLOOKUP($D53,素材!$1:$1016,COLUMN($F$1),FALSE)) - LEN(SUBSTITUTE(VLOOKUP($D53,素材!$1:$1016,COLUMN($F$1),FALSE), "・", 0)) + 1), 0)</f>
        <v>0</v>
      </c>
      <c r="AC53">
        <f>IF(ISNUMBER(SEARCH(SUBSTITUTE(AC$1,RIGHT(AC$1,2),""),VLOOKUP($D53,素材!$1:$1016,COLUMN($F$1),FALSE))),VLOOKUP($C53,武器!$1:$998,COLUMN($O$1),FALSE)*VLOOKUP($D53,素材!$1:$1016,COLUMN($E$1),FALSE)/(LEN(VLOOKUP($D53,素材!$1:$1016,COLUMN($F$1),FALSE)) - LEN(SUBSTITUTE(VLOOKUP($D53,素材!$1:$1016,COLUMN($F$1),FALSE), "・", 0)) + 1), 0)</f>
        <v>0</v>
      </c>
      <c r="AD53">
        <f>IF(ISNUMBER(SEARCH(SUBSTITUTE(AD$1,RIGHT(AD$1,2),""),VLOOKUP($D53,素材!$1:$1016,COLUMN($F$1),FALSE))),VLOOKUP($C53,武器!$1:$998,COLUMN($O$1),FALSE)*VLOOKUP($D53,素材!$1:$1016,COLUMN($E$1),FALSE)/(LEN(VLOOKUP($D53,素材!$1:$1016,COLUMN($F$1),FALSE)) - LEN(SUBSTITUTE(VLOOKUP($D53,素材!$1:$1016,COLUMN($F$1),FALSE), "・", 0)) + 1), 0)</f>
        <v>0</v>
      </c>
      <c r="AE53">
        <f>IF(ISNUMBER(SEARCH(SUBSTITUTE(AE$1,RIGHT(AE$1,2),""),VLOOKUP($D53,素材!$1:$1016,COLUMN($F$1),FALSE))),VLOOKUP($C53,武器!$1:$998,COLUMN($O$1),FALSE)*VLOOKUP($D53,素材!$1:$1016,COLUMN($E$1),FALSE)/(LEN(VLOOKUP($D53,素材!$1:$1016,COLUMN($F$1),FALSE)) - LEN(SUBSTITUTE(VLOOKUP($D53,素材!$1:$1016,COLUMN($F$1),FALSE), "・", 0)) + 1), 0)</f>
        <v>0</v>
      </c>
      <c r="AF53">
        <f>IF(ISNUMBER(SEARCH(SUBSTITUTE(AF$1,RIGHT(AF$1,2),""),VLOOKUP($D53,素材!$1:$1016,COLUMN($F$1),FALSE))),VLOOKUP($C53,武器!$1:$998,COLUMN($O$1),FALSE)*VLOOKUP($D53,素材!$1:$1016,COLUMN($E$1),FALSE)/(LEN(VLOOKUP($D53,素材!$1:$1016,COLUMN($F$1),FALSE)) - LEN(SUBSTITUTE(VLOOKUP($D53,素材!$1:$1016,COLUMN($F$1),FALSE), "・", 0)) + 1), 0)</f>
        <v>0</v>
      </c>
      <c r="AG53">
        <f>IF(ISNUMBER(SEARCH(SUBSTITUTE(AG$1,RIGHT(AG$1,2),""),VLOOKUP($D53,素材!$1:$1016,COLUMN($F$1),FALSE))),VLOOKUP($C53,武器!$1:$998,COLUMN($O$1),FALSE)*VLOOKUP($D53,素材!$1:$1016,COLUMN($E$1),FALSE)/(LEN(VLOOKUP($D53,素材!$1:$1016,COLUMN($F$1),FALSE)) - LEN(SUBSTITUTE(VLOOKUP($D53,素材!$1:$1016,COLUMN($F$1),FALSE), "・", 0)) + 1), 0)</f>
        <v>0</v>
      </c>
      <c r="AH53">
        <f>IF(ISNUMBER(SEARCH(SUBSTITUTE(AH$1,RIGHT(AH$1,2),""),VLOOKUP($D53,素材!$1:$1016,COLUMN($F$1),FALSE))),VLOOKUP($C53,武器!$1:$998,COLUMN($O$1),FALSE)*VLOOKUP($D53,素材!$1:$1016,COLUMN($E$1),FALSE)/(LEN(VLOOKUP($D53,素材!$1:$1016,COLUMN($F$1),FALSE)) - LEN(SUBSTITUTE(VLOOKUP($D53,素材!$1:$1016,COLUMN($F$1),FALSE), "・", 0)) + 1), 0)</f>
        <v>0</v>
      </c>
      <c r="AI53">
        <f>IF(ISNUMBER(SEARCH(SUBSTITUTE(AI$1,RIGHT(AI$1,2),""),VLOOKUP($D53,素材!$1:$1016,COLUMN($F$1),FALSE))),VLOOKUP($C53,武器!$1:$998,COLUMN($O$1),FALSE)*VLOOKUP($D53,素材!$1:$1016,COLUMN($E$1),FALSE)/(LEN(VLOOKUP($D53,素材!$1:$1016,COLUMN($F$1),FALSE)) - LEN(SUBSTITUTE(VLOOKUP($D53,素材!$1:$1016,COLUMN($F$1),FALSE), "・", 0)) + 1), 0)</f>
        <v>0</v>
      </c>
      <c r="AJ53">
        <f>IF(ISNUMBER(SEARCH(SUBSTITUTE(AJ$1,RIGHT(AJ$1,2),""),VLOOKUP($D53,素材!$1:$1016,COLUMN($F$1),FALSE))),VLOOKUP($C53,武器!$1:$998,COLUMN($O$1),FALSE)*VLOOKUP($D53,素材!$1:$1016,COLUMN($E$1),FALSE)/(LEN(VLOOKUP($D53,素材!$1:$1016,COLUMN($F$1),FALSE)) - LEN(SUBSTITUTE(VLOOKUP($D53,素材!$1:$1016,COLUMN($F$1),FALSE), "・", 0)) + 1), 0)</f>
        <v>0</v>
      </c>
      <c r="AK53">
        <f>IF(ISNUMBER(SEARCH(SUBSTITUTE(AK$1,RIGHT(AK$1,2),""),VLOOKUP($D53,素材!$1:$1016,COLUMN($F$1),FALSE))),VLOOKUP($C53,武器!$1:$998,COLUMN($O$1),FALSE)*VLOOKUP($D53,素材!$1:$1016,COLUMN($E$1),FALSE)/(LEN(VLOOKUP($D53,素材!$1:$1016,COLUMN($F$1),FALSE)) - LEN(SUBSTITUTE(VLOOKUP($D53,素材!$1:$1016,COLUMN($F$1),FALSE), "・", 0)) + 1), 0)</f>
        <v>0</v>
      </c>
      <c r="AL53">
        <f>IF(ISNUMBER(SEARCH(SUBSTITUTE(AL$1,RIGHT(AL$1,2),""),VLOOKUP($D53,素材!$1:$1016,COLUMN($F$1),FALSE))),VLOOKUP($C53,武器!$1:$998,COLUMN($O$1),FALSE)*VLOOKUP($D53,素材!$1:$1016,COLUMN($E$1),FALSE)/(LEN(VLOOKUP($D53,素材!$1:$1016,COLUMN($F$1),FALSE)) - LEN(SUBSTITUTE(VLOOKUP($D53,素材!$1:$1016,COLUMN($F$1),FALSE), "・", 0)) + 1), 0)</f>
        <v>0</v>
      </c>
      <c r="AM53">
        <f>IF(ISNUMBER(SEARCH(SUBSTITUTE(AM$1,RIGHT(AM$1,2),""),VLOOKUP($D53,素材!$1:$1016,COLUMN($F$1),FALSE))),VLOOKUP($C53,武器!$1:$998,COLUMN($O$1),FALSE)*VLOOKUP($D53,素材!$1:$1016,COLUMN($E$1),FALSE)/(LEN(VLOOKUP($D53,素材!$1:$1016,COLUMN($F$1),FALSE)) - LEN(SUBSTITUTE(VLOOKUP($D53,素材!$1:$1016,COLUMN($F$1),FALSE), "・", 0)) + 1), 0)</f>
        <v>0</v>
      </c>
      <c r="AN53">
        <f>IF(ISNUMBER(SEARCH(SUBSTITUTE(AN$1,RIGHT(AN$1,2),""),VLOOKUP($D53,素材!$1:$1016,COLUMN($F$1),FALSE))),VLOOKUP($C53,武器!$1:$998,COLUMN($O$1),FALSE)*VLOOKUP($D53,素材!$1:$1016,COLUMN($E$1),FALSE)/(LEN(VLOOKUP($D53,素材!$1:$1016,COLUMN($F$1),FALSE)) - LEN(SUBSTITUTE(VLOOKUP($D53,素材!$1:$1016,COLUMN($F$1),FALSE), "・", 0)) + 1), 0)</f>
        <v>0</v>
      </c>
      <c r="AO53">
        <f>IF(ISNUMBER(SEARCH(SUBSTITUTE(AO$1,RIGHT(AO$1,2),""),VLOOKUP($D53,素材!$1:$1016,COLUMN($F$1),FALSE))),VLOOKUP($C53,武器!$1:$998,COLUMN($O$1),FALSE)*VLOOKUP($D53,素材!$1:$1016,COLUMN($E$1),FALSE)/(LEN(VLOOKUP($D53,素材!$1:$1016,COLUMN($F$1),FALSE)) - LEN(SUBSTITUTE(VLOOKUP($D53,素材!$1:$1016,COLUMN($F$1),FALSE), "・", 0)) + 1), 0)</f>
        <v>0</v>
      </c>
      <c r="AP53">
        <f>IF(ISNUMBER(SEARCH(SUBSTITUTE(AP$1,RIGHT(AP$1,2),""),VLOOKUP($D53,素材!$1:$1016,COLUMN($F$1),FALSE))),VLOOKUP($C53,武器!$1:$998,COLUMN($O$1),FALSE)*VLOOKUP($D53,素材!$1:$1016,COLUMN($E$1),FALSE)/(LEN(VLOOKUP($D53,素材!$1:$1016,COLUMN($F$1),FALSE)) - LEN(SUBSTITUTE(VLOOKUP($D53,素材!$1:$1016,COLUMN($F$1),FALSE), "・", 0)) + 1), 0)</f>
        <v>0</v>
      </c>
      <c r="AQ53">
        <f>IF(ISNUMBER(SEARCH(SUBSTITUTE(AQ$1,RIGHT(AQ$1,2),""),VLOOKUP($D53,素材!$1:$1016,COLUMN($F$1),FALSE))),VLOOKUP($C53,武器!$1:$998,COLUMN($O$1),FALSE)*VLOOKUP($D53,素材!$1:$1016,COLUMN($E$1),FALSE)/(LEN(VLOOKUP($D53,素材!$1:$1016,COLUMN($F$1),FALSE)) - LEN(SUBSTITUTE(VLOOKUP($D53,素材!$1:$1016,COLUMN($F$1),FALSE), "・", 0)) + 1), 0)</f>
        <v>0</v>
      </c>
      <c r="AR53">
        <f>IF(ISNUMBER(SEARCH(SUBSTITUTE(AR$1,RIGHT(AR$1,2),""),VLOOKUP($D53,素材!$1:$1016,COLUMN($F$1),FALSE))),VLOOKUP($C53,武器!$1:$998,COLUMN($O$1),FALSE)*VLOOKUP($D53,素材!$1:$1016,COLUMN($E$1),FALSE)/(LEN(VLOOKUP($D53,素材!$1:$1016,COLUMN($F$1),FALSE)) - LEN(SUBSTITUTE(VLOOKUP($D53,素材!$1:$1016,COLUMN($F$1),FALSE), "・", 0)) + 1), 0)</f>
        <v>0</v>
      </c>
      <c r="AS53">
        <f>IF(ISNUMBER(SEARCH(SUBSTITUTE(AS$1,RIGHT(AS$1,2),""),VLOOKUP($D53,素材!$1:$1016,COLUMN($F$1),FALSE))),VLOOKUP($C53,武器!$1:$998,COLUMN($O$1),FALSE)*VLOOKUP($D53,素材!$1:$1016,COLUMN($E$1),FALSE)/(LEN(VLOOKUP($D53,素材!$1:$1016,COLUMN($F$1),FALSE)) - LEN(SUBSTITUTE(VLOOKUP($D53,素材!$1:$1016,COLUMN($F$1),FALSE), "・", 0)) + 1), 0)</f>
        <v>0</v>
      </c>
      <c r="AT53">
        <f>IF(ISNUMBER(SEARCH(SUBSTITUTE(AT$1,RIGHT(AT$1,2),""),VLOOKUP($D53,素材!$1:$1016,COLUMN($F$1),FALSE))),VLOOKUP($C53,武器!$1:$998,COLUMN($O$1),FALSE)*VLOOKUP($D53,素材!$1:$1016,COLUMN($E$1),FALSE)/(LEN(VLOOKUP($D53,素材!$1:$1016,COLUMN($F$1),FALSE)) - LEN(SUBSTITUTE(VLOOKUP($D53,素材!$1:$1016,COLUMN($F$1),FALSE), "・", 0)) + 1), 0)</f>
        <v>0</v>
      </c>
      <c r="AU53">
        <f>IF(ISNUMBER(SEARCH(SUBSTITUTE(AU$1,RIGHT(AU$1,2),""),VLOOKUP($D53,素材!$1:$1016,COLUMN($F$1),FALSE))),VLOOKUP($C53,武器!$1:$998,COLUMN($O$1),FALSE)*VLOOKUP($D53,素材!$1:$1016,COLUMN($E$1),FALSE)/(LEN(VLOOKUP($D53,素材!$1:$1016,COLUMN($F$1),FALSE)) - LEN(SUBSTITUTE(VLOOKUP($D53,素材!$1:$1016,COLUMN($F$1),FALSE), "・", 0)) + 1), 0)</f>
        <v>0</v>
      </c>
      <c r="AV53">
        <f>IF(ISNUMBER(SEARCH(SUBSTITUTE(AV$1,RIGHT(AV$1,2),""),VLOOKUP($D53,素材!$1:$1016,COLUMN($F$1),FALSE))),VLOOKUP($C53,武器!$1:$998,COLUMN($O$1),FALSE)*VLOOKUP($D53,素材!$1:$1016,COLUMN($E$1),FALSE)/(LEN(VLOOKUP($D53,素材!$1:$1016,COLUMN($F$1),FALSE)) - LEN(SUBSTITUTE(VLOOKUP($D53,素材!$1:$1016,COLUMN($F$1),FALSE), "・", 0)) + 1), 0)</f>
        <v>0</v>
      </c>
      <c r="AW53">
        <f>IF(ISNUMBER(SEARCH(SUBSTITUTE(AW$1,RIGHT(AW$1,2),""),VLOOKUP($D53,素材!$1:$1016,COLUMN($F$1),FALSE))),VLOOKUP($C53,武器!$1:$998,COLUMN($O$1),FALSE)*VLOOKUP($D53,素材!$1:$1016,COLUMN($E$1),FALSE)/(LEN(VLOOKUP($D53,素材!$1:$1016,COLUMN($F$1),FALSE)) - LEN(SUBSTITUTE(VLOOKUP($D53,素材!$1:$1016,COLUMN($F$1),FALSE), "・", 0)) + 1), 0)</f>
        <v>0</v>
      </c>
      <c r="AX53">
        <f>IF(ISNUMBER(SEARCH(SUBSTITUTE(AX$1,RIGHT(AX$1,2),""),VLOOKUP($D53,素材!$1:$1016,COLUMN($F$1),FALSE))),VLOOKUP($C53,武器!$1:$998,COLUMN($O$1),FALSE)*VLOOKUP($D53,素材!$1:$1016,COLUMN($E$1),FALSE)/(LEN(VLOOKUP($D53,素材!$1:$1016,COLUMN($F$1),FALSE)) - LEN(SUBSTITUTE(VLOOKUP($D53,素材!$1:$1016,COLUMN($F$1),FALSE), "・", 0)) + 1), 0)</f>
        <v>0</v>
      </c>
      <c r="AY53">
        <f>IF(ISNUMBER(SEARCH(SUBSTITUTE(AY$1,RIGHT(AY$1,2),""),VLOOKUP($D53,素材!$1:$1016,COLUMN($F$1),FALSE))),VLOOKUP($C53,武器!$1:$998,COLUMN($O$1),FALSE)*VLOOKUP($D53,素材!$1:$1016,COLUMN($E$1),FALSE)/(LEN(VLOOKUP($D53,素材!$1:$1016,COLUMN($F$1),FALSE)) - LEN(SUBSTITUTE(VLOOKUP($D53,素材!$1:$1016,COLUMN($F$1),FALSE), "・", 0)) + 1), 0)</f>
        <v>0</v>
      </c>
      <c r="AZ53">
        <f>IF(ISNUMBER(SEARCH(SUBSTITUTE(AZ$1,RIGHT(AZ$1,2),""),VLOOKUP($D53,素材!$1:$1016,COLUMN($F$1),FALSE))),VLOOKUP($C53,武器!$1:$998,COLUMN($O$1),FALSE)*VLOOKUP($D53,素材!$1:$1016,COLUMN($E$1),FALSE)/(LEN(VLOOKUP($D53,素材!$1:$1016,COLUMN($F$1),FALSE)) - LEN(SUBSTITUTE(VLOOKUP($D53,素材!$1:$1016,COLUMN($F$1),FALSE), "・", 0)) + 1), 0)</f>
        <v>0</v>
      </c>
      <c r="BA53">
        <f>IF(ISNUMBER(SEARCH(SUBSTITUTE(BA$1,RIGHT(BA$1,2),""),VLOOKUP($D53,素材!$1:$1016,COLUMN($F$1),FALSE))),VLOOKUP($C53,武器!$1:$998,COLUMN($O$1),FALSE)*VLOOKUP($D53,素材!$1:$1016,COLUMN($E$1),FALSE)/(LEN(VLOOKUP($D53,素材!$1:$1016,COLUMN($F$1),FALSE)) - LEN(SUBSTITUTE(VLOOKUP($D53,素材!$1:$1016,COLUMN($F$1),FALSE), "・", 0)) + 1), 0)</f>
        <v>0</v>
      </c>
      <c r="BB53">
        <f>IF(ISNUMBER(SEARCH(SUBSTITUTE(BB$1,RIGHT(BB$1,2),""),VLOOKUP($D53,素材!$1:$1016,COLUMN($F$1),FALSE))),VLOOKUP($C53,武器!$1:$998,COLUMN($O$1),FALSE)*VLOOKUP($D53,素材!$1:$1016,COLUMN($E$1),FALSE)/(LEN(VLOOKUP($D53,素材!$1:$1016,COLUMN($F$1),FALSE)) - LEN(SUBSTITUTE(VLOOKUP($D53,素材!$1:$1016,COLUMN($F$1),FALSE), "・", 0)) + 1), 0)</f>
        <v>0</v>
      </c>
      <c r="BC53">
        <f>IF(ISNUMBER(SEARCH(SUBSTITUTE(BC$1,RIGHT(BC$1,2),""),VLOOKUP($D53,素材!$1:$1016,COLUMN($F$1),FALSE))),VLOOKUP($C53,武器!$1:$998,COLUMN($O$1),FALSE)*VLOOKUP($D53,素材!$1:$1016,COLUMN($E$1),FALSE)/(LEN(VLOOKUP($D53,素材!$1:$1016,COLUMN($F$1),FALSE)) - LEN(SUBSTITUTE(VLOOKUP($D53,素材!$1:$1016,COLUMN($F$1),FALSE), "・", 0)) + 1), 0)</f>
        <v>0</v>
      </c>
      <c r="BD53">
        <f>IF(ISNUMBER(SEARCH(SUBSTITUTE(BD$1,RIGHT(BD$1,2),""),VLOOKUP($D53,素材!$1:$1016,COLUMN($F$1),FALSE))),VLOOKUP($C53,武器!$1:$998,COLUMN($O$1),FALSE)*VLOOKUP($D53,素材!$1:$1016,COLUMN($E$1),FALSE)/(LEN(VLOOKUP($D53,素材!$1:$1016,COLUMN($F$1),FALSE)) - LEN(SUBSTITUTE(VLOOKUP($D53,素材!$1:$1016,COLUMN($F$1),FALSE), "・", 0)) + 1), 0)</f>
        <v>0</v>
      </c>
      <c r="BE53">
        <f>IF(ISNUMBER(SEARCH(SUBSTITUTE(BE$1,RIGHT(BE$1,2),""),VLOOKUP($D53,素材!$1:$1016,COLUMN($F$1),FALSE))),VLOOKUP($C53,武器!$1:$998,COLUMN($O$1),FALSE)*VLOOKUP($D53,素材!$1:$1016,COLUMN($E$1),FALSE)/(LEN(VLOOKUP($D53,素材!$1:$1016,COLUMN($F$1),FALSE)) - LEN(SUBSTITUTE(VLOOKUP($D53,素材!$1:$1016,COLUMN($F$1),FALSE), "・", 0)) + 1), 0)</f>
        <v>0</v>
      </c>
      <c r="CL53">
        <f>SUM(G53:I53)</f>
        <v>17</v>
      </c>
      <c r="CM53" s="22" t="str">
        <f>IF(E53="武器",IF(J53-1&gt;SUM(G53:I53),"盾",IF(MAX(G53:I53)=G53,"切断",IF(MAX(G53:I53)=H53,"貫通",IF(MAX(G53:I53)=I53,"打撃","射撃")))),E53)&amp;".webp"</f>
        <v>打撃.webp</v>
      </c>
      <c r="CN53">
        <f>IFERROR(VLOOKUP($C53,武器!$1:$998,COLUMN(V$1),FALSE)*VLOOKUP($D53,素材!$1:$1016,COLUMN(N$1),FALSE)+IF(CI53="",0,VLOOKUP($CI53,装強!$1:$1008,COLUMN($CK$1),FALSE)),"")</f>
        <v>200</v>
      </c>
      <c r="CO53" t="str">
        <f>VLOOKUP(D53,素材!$A:$O,COLUMN(素材!O$1),FALSE)</f>
        <v>一般的な木材。金属より軽いが少し脆い</v>
      </c>
      <c r="CP53" t="str">
        <f>VLOOKUP(C53,武器!$A:$W,COLUMN(武器!W$1),FALSE)</f>
        <v>戦棍。打撃に優れた武器。Cr率が高い</v>
      </c>
      <c r="CR53" t="str">
        <f t="shared" si="1"/>
        <v>e_53</v>
      </c>
      <c r="CS53">
        <f t="shared" si="2"/>
        <v>20000</v>
      </c>
    </row>
    <row r="54" spans="1:97" outlineLevel="1" x14ac:dyDescent="0.4">
      <c r="A54" t="str">
        <f t="shared" si="3"/>
        <v>木の棘棍</v>
      </c>
      <c r="B54" t="str">
        <f>IFERROR(VLOOKUP($D54,素材!$1:$1016,COLUMN($B$1),FALSE)&amp;"・"&amp;VLOOKUP($C54,武器!$1:$998,COLUMN(B$1),FALSE),"")</f>
        <v>ウッド・モーニングスター</v>
      </c>
      <c r="C54" t="s">
        <v>228</v>
      </c>
      <c r="D54" s="24" t="s">
        <v>255</v>
      </c>
      <c r="E54" t="str">
        <f>IFERROR(VLOOKUP(C54,武器!$1:$998,COLUMN(C$1),FALSE),"")</f>
        <v>武器</v>
      </c>
      <c r="F54">
        <f>IFERROR(ROUNDDOWN((VLOOKUP($C54,武器!$1:$998,COLUMN(D$1),FALSE)+IFERROR(VLOOKUP($CI54,装強!$1:$999,COLUMN(F$1),FALSE),0))*VLOOKUP($D54,素材!$1:$1016,COLUMN(D$1),FALSE),0),"")</f>
        <v>78</v>
      </c>
      <c r="G54">
        <f>IFERROR(ROUNDDOWN((VLOOKUP($C54,武器!$1:$998,COLUMN(E$1),FALSE)+IFERROR(VLOOKUP($CI54,装強!$1:$999,COLUMN(G$1),FALSE),0))*VLOOKUP($D54,素材!$1:$1016,COLUMN($E$1),FALSE),0),"")</f>
        <v>0</v>
      </c>
      <c r="H54">
        <f>IFERROR(ROUNDDOWN((VLOOKUP($C54,武器!$1:$998,COLUMN(F$1),FALSE)+IFERROR(VLOOKUP($CI54,装強!$1:$999,COLUMN(H$1),FALSE),0))*VLOOKUP($D54,素材!$1:$1016,COLUMN($E$1),FALSE),0),"")</f>
        <v>9</v>
      </c>
      <c r="I54">
        <f>IFERROR(ROUNDDOWN((VLOOKUP($C54,武器!$1:$998,COLUMN(G$1),FALSE)+IFERROR(VLOOKUP($CI54,装強!$1:$999,COLUMN(I$1),FALSE),0))*VLOOKUP($D54,素材!$1:$1016,COLUMN($E$1),FALSE),0),"")</f>
        <v>9</v>
      </c>
      <c r="J54">
        <f>IFERROR(ROUNDDOWN((VLOOKUP($C54,武器!$1:$998,COLUMN(H$1),FALSE)+IFERROR(VLOOKUP($CI54,装強!$1:$999,COLUMN(J$1),FALSE),0))*VLOOKUP($D54,素材!$1:$1016,COLUMN($E$1),FALSE),0),"")</f>
        <v>14</v>
      </c>
      <c r="K54">
        <f>IFERROR(ROUNDDOWN((VLOOKUP($C54,武器!$1:$998,COLUMN(I$1),FALSE)+IFERROR(VLOOKUP($CI54,装強!$1:$999,COLUMN(K$1),FALSE),0))*VLOOKUP($D54,素材!$1:$1016,COLUMN($E$1),FALSE),0),"")</f>
        <v>0</v>
      </c>
      <c r="L54">
        <f>IFERROR(VLOOKUP($D54,素材!$1:$1016,COLUMN($F$1),FALSE),"")</f>
        <v>0</v>
      </c>
      <c r="M54">
        <f>IFERROR(VLOOKUP($C54,武器!$1:$998,COLUMN(AA$1),FALSE)*VLOOKUP($D54,素材!$1:$1016,COLUMN($G$1),FALSE),"")</f>
        <v>0</v>
      </c>
      <c r="N54">
        <f>IFERROR(VLOOKUP($C54,武器!$1:$998,COLUMN(I$1),FALSE),"")</f>
        <v>0</v>
      </c>
      <c r="O54" s="23">
        <f>IFERROR((VLOOKUP($C54,武器!$1:$998,COLUMN(K$1),FALSE)+VLOOKUP($D54,素材!$1:$1016,COLUMN(H$1),FALSE))*100+IFERROR(VLOOKUP($CI54,装強!$1:$999,COLUMN(O$1),FALSE),0),"")</f>
        <v>10</v>
      </c>
      <c r="P54" s="23">
        <f>IFERROR((VLOOKUP($C54,武器!$1:$998,COLUMN(L$1),FALSE)+VLOOKUP($D54,素材!$1:$1016,COLUMN(I$1),FALSE))*100+IFERROR(VLOOKUP($CI54,装強!$1:$999,COLUMN(P$1),FALSE),0),"")</f>
        <v>125</v>
      </c>
      <c r="Q54">
        <f>IFERROR(ROUNDUP(VLOOKUP($C54,武器!$1:$998,COLUMN(M$1),FALSE)*(VLOOKUP($D54,素材!$1:$1002,COLUMN(D$1),FALSE)/100),1),"")</f>
        <v>-1.9000000000000001</v>
      </c>
      <c r="R54">
        <f>IFERROR(ROUNDUP(VLOOKUP($C54,武器!$1:$998,COLUMN(N$1),FALSE)*(VLOOKUP($D54,素材!$1:$1002,COLUMN(D$1),FALSE)/100),1),"")</f>
        <v>-1.9000000000000001</v>
      </c>
      <c r="S54">
        <f>IFERROR(VLOOKUP($C54,武器!$1:$998,COLUMN(P$1),FALSE),"")</f>
        <v>0</v>
      </c>
      <c r="T54">
        <f>IFERROR(VLOOKUP($C54,武器!$1:$998,COLUMN(Q$1),FALSE),"")</f>
        <v>0</v>
      </c>
      <c r="U54">
        <f>IFERROR(VLOOKUP($C54,武器!$1:$998,COLUMN(R$1),FALSE),"")</f>
        <v>0</v>
      </c>
      <c r="V54">
        <f>IFERROR(VLOOKUP($C54,武器!$1:$998,COLUMN(Q$1),FALSE),"")</f>
        <v>0</v>
      </c>
      <c r="W54" t="str">
        <f>IFERROR(VLOOKUP($C54,武器!$1:$998,COLUMN(T$1),FALSE),"")</f>
        <v>A</v>
      </c>
      <c r="Y54">
        <f>IFERROR(VLOOKUP($C54,武器!$1:$998,COLUMN(U$1),FALSE),"")</f>
        <v>0</v>
      </c>
      <c r="Z54">
        <f>IFERROR(ROUNDUP(VLOOKUP($C54,武器!$1:$998,COLUMN(O$1),FALSE)*VLOOKUP($D54,素材!$1:$1016,COLUMN(E$1),FALSE),1),"")</f>
        <v>0</v>
      </c>
      <c r="AA54">
        <f>IF(ISNUMBER(SEARCH(SUBSTITUTE(AA$1,RIGHT(AA$1,2),""),VLOOKUP($D54,素材!$1:$1016,COLUMN($F$1),FALSE))),VLOOKUP($C54,武器!$1:$998,COLUMN($O$1),FALSE)*VLOOKUP($D54,素材!$1:$1016,COLUMN($E$1),FALSE)/(LEN(VLOOKUP($D54,素材!$1:$1016,COLUMN($F$1),FALSE)) - LEN(SUBSTITUTE(VLOOKUP($D54,素材!$1:$1016,COLUMN($F$1),FALSE), "・", 0)) + 1), 0)</f>
        <v>0</v>
      </c>
      <c r="AB54">
        <f>IF(ISNUMBER(SEARCH(SUBSTITUTE(AB$1,RIGHT(AB$1,2),""),VLOOKUP($D54,素材!$1:$1016,COLUMN($F$1),FALSE))),VLOOKUP($C54,武器!$1:$998,COLUMN($O$1),FALSE)*VLOOKUP($D54,素材!$1:$1016,COLUMN($E$1),FALSE)/(LEN(VLOOKUP($D54,素材!$1:$1016,COLUMN($F$1),FALSE)) - LEN(SUBSTITUTE(VLOOKUP($D54,素材!$1:$1016,COLUMN($F$1),FALSE), "・", 0)) + 1), 0)</f>
        <v>0</v>
      </c>
      <c r="AC54">
        <f>IF(ISNUMBER(SEARCH(SUBSTITUTE(AC$1,RIGHT(AC$1,2),""),VLOOKUP($D54,素材!$1:$1016,COLUMN($F$1),FALSE))),VLOOKUP($C54,武器!$1:$998,COLUMN($O$1),FALSE)*VLOOKUP($D54,素材!$1:$1016,COLUMN($E$1),FALSE)/(LEN(VLOOKUP($D54,素材!$1:$1016,COLUMN($F$1),FALSE)) - LEN(SUBSTITUTE(VLOOKUP($D54,素材!$1:$1016,COLUMN($F$1),FALSE), "・", 0)) + 1), 0)</f>
        <v>0</v>
      </c>
      <c r="AD54">
        <f>IF(ISNUMBER(SEARCH(SUBSTITUTE(AD$1,RIGHT(AD$1,2),""),VLOOKUP($D54,素材!$1:$1016,COLUMN($F$1),FALSE))),VLOOKUP($C54,武器!$1:$998,COLUMN($O$1),FALSE)*VLOOKUP($D54,素材!$1:$1016,COLUMN($E$1),FALSE)/(LEN(VLOOKUP($D54,素材!$1:$1016,COLUMN($F$1),FALSE)) - LEN(SUBSTITUTE(VLOOKUP($D54,素材!$1:$1016,COLUMN($F$1),FALSE), "・", 0)) + 1), 0)</f>
        <v>0</v>
      </c>
      <c r="AE54">
        <f>IF(ISNUMBER(SEARCH(SUBSTITUTE(AE$1,RIGHT(AE$1,2),""),VLOOKUP($D54,素材!$1:$1016,COLUMN($F$1),FALSE))),VLOOKUP($C54,武器!$1:$998,COLUMN($O$1),FALSE)*VLOOKUP($D54,素材!$1:$1016,COLUMN($E$1),FALSE)/(LEN(VLOOKUP($D54,素材!$1:$1016,COLUMN($F$1),FALSE)) - LEN(SUBSTITUTE(VLOOKUP($D54,素材!$1:$1016,COLUMN($F$1),FALSE), "・", 0)) + 1), 0)</f>
        <v>0</v>
      </c>
      <c r="AF54">
        <f>IF(ISNUMBER(SEARCH(SUBSTITUTE(AF$1,RIGHT(AF$1,2),""),VLOOKUP($D54,素材!$1:$1016,COLUMN($F$1),FALSE))),VLOOKUP($C54,武器!$1:$998,COLUMN($O$1),FALSE)*VLOOKUP($D54,素材!$1:$1016,COLUMN($E$1),FALSE)/(LEN(VLOOKUP($D54,素材!$1:$1016,COLUMN($F$1),FALSE)) - LEN(SUBSTITUTE(VLOOKUP($D54,素材!$1:$1016,COLUMN($F$1),FALSE), "・", 0)) + 1), 0)</f>
        <v>0</v>
      </c>
      <c r="AG54">
        <f>IF(ISNUMBER(SEARCH(SUBSTITUTE(AG$1,RIGHT(AG$1,2),""),VLOOKUP($D54,素材!$1:$1016,COLUMN($F$1),FALSE))),VLOOKUP($C54,武器!$1:$998,COLUMN($O$1),FALSE)*VLOOKUP($D54,素材!$1:$1016,COLUMN($E$1),FALSE)/(LEN(VLOOKUP($D54,素材!$1:$1016,COLUMN($F$1),FALSE)) - LEN(SUBSTITUTE(VLOOKUP($D54,素材!$1:$1016,COLUMN($F$1),FALSE), "・", 0)) + 1), 0)</f>
        <v>0</v>
      </c>
      <c r="AH54">
        <f>IF(ISNUMBER(SEARCH(SUBSTITUTE(AH$1,RIGHT(AH$1,2),""),VLOOKUP($D54,素材!$1:$1016,COLUMN($F$1),FALSE))),VLOOKUP($C54,武器!$1:$998,COLUMN($O$1),FALSE)*VLOOKUP($D54,素材!$1:$1016,COLUMN($E$1),FALSE)/(LEN(VLOOKUP($D54,素材!$1:$1016,COLUMN($F$1),FALSE)) - LEN(SUBSTITUTE(VLOOKUP($D54,素材!$1:$1016,COLUMN($F$1),FALSE), "・", 0)) + 1), 0)</f>
        <v>0</v>
      </c>
      <c r="AI54">
        <f>IF(ISNUMBER(SEARCH(SUBSTITUTE(AI$1,RIGHT(AI$1,2),""),VLOOKUP($D54,素材!$1:$1016,COLUMN($F$1),FALSE))),VLOOKUP($C54,武器!$1:$998,COLUMN($O$1),FALSE)*VLOOKUP($D54,素材!$1:$1016,COLUMN($E$1),FALSE)/(LEN(VLOOKUP($D54,素材!$1:$1016,COLUMN($F$1),FALSE)) - LEN(SUBSTITUTE(VLOOKUP($D54,素材!$1:$1016,COLUMN($F$1),FALSE), "・", 0)) + 1), 0)</f>
        <v>0</v>
      </c>
      <c r="AJ54">
        <f>IF(ISNUMBER(SEARCH(SUBSTITUTE(AJ$1,RIGHT(AJ$1,2),""),VLOOKUP($D54,素材!$1:$1016,COLUMN($F$1),FALSE))),VLOOKUP($C54,武器!$1:$998,COLUMN($O$1),FALSE)*VLOOKUP($D54,素材!$1:$1016,COLUMN($E$1),FALSE)/(LEN(VLOOKUP($D54,素材!$1:$1016,COLUMN($F$1),FALSE)) - LEN(SUBSTITUTE(VLOOKUP($D54,素材!$1:$1016,COLUMN($F$1),FALSE), "・", 0)) + 1), 0)</f>
        <v>0</v>
      </c>
      <c r="AK54">
        <f>IF(ISNUMBER(SEARCH(SUBSTITUTE(AK$1,RIGHT(AK$1,2),""),VLOOKUP($D54,素材!$1:$1016,COLUMN($F$1),FALSE))),VLOOKUP($C54,武器!$1:$998,COLUMN($O$1),FALSE)*VLOOKUP($D54,素材!$1:$1016,COLUMN($E$1),FALSE)/(LEN(VLOOKUP($D54,素材!$1:$1016,COLUMN($F$1),FALSE)) - LEN(SUBSTITUTE(VLOOKUP($D54,素材!$1:$1016,COLUMN($F$1),FALSE), "・", 0)) + 1), 0)</f>
        <v>0</v>
      </c>
      <c r="AL54">
        <f>IF(ISNUMBER(SEARCH(SUBSTITUTE(AL$1,RIGHT(AL$1,2),""),VLOOKUP($D54,素材!$1:$1016,COLUMN($F$1),FALSE))),VLOOKUP($C54,武器!$1:$998,COLUMN($O$1),FALSE)*VLOOKUP($D54,素材!$1:$1016,COLUMN($E$1),FALSE)/(LEN(VLOOKUP($D54,素材!$1:$1016,COLUMN($F$1),FALSE)) - LEN(SUBSTITUTE(VLOOKUP($D54,素材!$1:$1016,COLUMN($F$1),FALSE), "・", 0)) + 1), 0)</f>
        <v>0</v>
      </c>
      <c r="AM54">
        <f>IF(ISNUMBER(SEARCH(SUBSTITUTE(AM$1,RIGHT(AM$1,2),""),VLOOKUP($D54,素材!$1:$1016,COLUMN($F$1),FALSE))),VLOOKUP($C54,武器!$1:$998,COLUMN($O$1),FALSE)*VLOOKUP($D54,素材!$1:$1016,COLUMN($E$1),FALSE)/(LEN(VLOOKUP($D54,素材!$1:$1016,COLUMN($F$1),FALSE)) - LEN(SUBSTITUTE(VLOOKUP($D54,素材!$1:$1016,COLUMN($F$1),FALSE), "・", 0)) + 1), 0)</f>
        <v>0</v>
      </c>
      <c r="AN54">
        <f>IF(ISNUMBER(SEARCH(SUBSTITUTE(AN$1,RIGHT(AN$1,2),""),VLOOKUP($D54,素材!$1:$1016,COLUMN($F$1),FALSE))),VLOOKUP($C54,武器!$1:$998,COLUMN($O$1),FALSE)*VLOOKUP($D54,素材!$1:$1016,COLUMN($E$1),FALSE)/(LEN(VLOOKUP($D54,素材!$1:$1016,COLUMN($F$1),FALSE)) - LEN(SUBSTITUTE(VLOOKUP($D54,素材!$1:$1016,COLUMN($F$1),FALSE), "・", 0)) + 1), 0)</f>
        <v>0</v>
      </c>
      <c r="AO54">
        <f>IF(ISNUMBER(SEARCH(SUBSTITUTE(AO$1,RIGHT(AO$1,2),""),VLOOKUP($D54,素材!$1:$1016,COLUMN($F$1),FALSE))),VLOOKUP($C54,武器!$1:$998,COLUMN($O$1),FALSE)*VLOOKUP($D54,素材!$1:$1016,COLUMN($E$1),FALSE)/(LEN(VLOOKUP($D54,素材!$1:$1016,COLUMN($F$1),FALSE)) - LEN(SUBSTITUTE(VLOOKUP($D54,素材!$1:$1016,COLUMN($F$1),FALSE), "・", 0)) + 1), 0)</f>
        <v>0</v>
      </c>
      <c r="AP54">
        <f>IF(ISNUMBER(SEARCH(SUBSTITUTE(AP$1,RIGHT(AP$1,2),""),VLOOKUP($D54,素材!$1:$1016,COLUMN($F$1),FALSE))),VLOOKUP($C54,武器!$1:$998,COLUMN($O$1),FALSE)*VLOOKUP($D54,素材!$1:$1016,COLUMN($E$1),FALSE)/(LEN(VLOOKUP($D54,素材!$1:$1016,COLUMN($F$1),FALSE)) - LEN(SUBSTITUTE(VLOOKUP($D54,素材!$1:$1016,COLUMN($F$1),FALSE), "・", 0)) + 1), 0)</f>
        <v>0</v>
      </c>
      <c r="AQ54">
        <f>IF(ISNUMBER(SEARCH(SUBSTITUTE(AQ$1,RIGHT(AQ$1,2),""),VLOOKUP($D54,素材!$1:$1016,COLUMN($F$1),FALSE))),VLOOKUP($C54,武器!$1:$998,COLUMN($O$1),FALSE)*VLOOKUP($D54,素材!$1:$1016,COLUMN($E$1),FALSE)/(LEN(VLOOKUP($D54,素材!$1:$1016,COLUMN($F$1),FALSE)) - LEN(SUBSTITUTE(VLOOKUP($D54,素材!$1:$1016,COLUMN($F$1),FALSE), "・", 0)) + 1), 0)</f>
        <v>0</v>
      </c>
      <c r="AR54">
        <f>IF(ISNUMBER(SEARCH(SUBSTITUTE(AR$1,RIGHT(AR$1,2),""),VLOOKUP($D54,素材!$1:$1016,COLUMN($F$1),FALSE))),VLOOKUP($C54,武器!$1:$998,COLUMN($O$1),FALSE)*VLOOKUP($D54,素材!$1:$1016,COLUMN($E$1),FALSE)/(LEN(VLOOKUP($D54,素材!$1:$1016,COLUMN($F$1),FALSE)) - LEN(SUBSTITUTE(VLOOKUP($D54,素材!$1:$1016,COLUMN($F$1),FALSE), "・", 0)) + 1), 0)</f>
        <v>0</v>
      </c>
      <c r="AS54">
        <f>IF(ISNUMBER(SEARCH(SUBSTITUTE(AS$1,RIGHT(AS$1,2),""),VLOOKUP($D54,素材!$1:$1016,COLUMN($F$1),FALSE))),VLOOKUP($C54,武器!$1:$998,COLUMN($O$1),FALSE)*VLOOKUP($D54,素材!$1:$1016,COLUMN($E$1),FALSE)/(LEN(VLOOKUP($D54,素材!$1:$1016,COLUMN($F$1),FALSE)) - LEN(SUBSTITUTE(VLOOKUP($D54,素材!$1:$1016,COLUMN($F$1),FALSE), "・", 0)) + 1), 0)</f>
        <v>0</v>
      </c>
      <c r="AT54">
        <f>IF(ISNUMBER(SEARCH(SUBSTITUTE(AT$1,RIGHT(AT$1,2),""),VLOOKUP($D54,素材!$1:$1016,COLUMN($F$1),FALSE))),VLOOKUP($C54,武器!$1:$998,COLUMN($O$1),FALSE)*VLOOKUP($D54,素材!$1:$1016,COLUMN($E$1),FALSE)/(LEN(VLOOKUP($D54,素材!$1:$1016,COLUMN($F$1),FALSE)) - LEN(SUBSTITUTE(VLOOKUP($D54,素材!$1:$1016,COLUMN($F$1),FALSE), "・", 0)) + 1), 0)</f>
        <v>0</v>
      </c>
      <c r="AU54">
        <f>IF(ISNUMBER(SEARCH(SUBSTITUTE(AU$1,RIGHT(AU$1,2),""),VLOOKUP($D54,素材!$1:$1016,COLUMN($F$1),FALSE))),VLOOKUP($C54,武器!$1:$998,COLUMN($O$1),FALSE)*VLOOKUP($D54,素材!$1:$1016,COLUMN($E$1),FALSE)/(LEN(VLOOKUP($D54,素材!$1:$1016,COLUMN($F$1),FALSE)) - LEN(SUBSTITUTE(VLOOKUP($D54,素材!$1:$1016,COLUMN($F$1),FALSE), "・", 0)) + 1), 0)</f>
        <v>0</v>
      </c>
      <c r="AV54">
        <f>IF(ISNUMBER(SEARCH(SUBSTITUTE(AV$1,RIGHT(AV$1,2),""),VLOOKUP($D54,素材!$1:$1016,COLUMN($F$1),FALSE))),VLOOKUP($C54,武器!$1:$998,COLUMN($O$1),FALSE)*VLOOKUP($D54,素材!$1:$1016,COLUMN($E$1),FALSE)/(LEN(VLOOKUP($D54,素材!$1:$1016,COLUMN($F$1),FALSE)) - LEN(SUBSTITUTE(VLOOKUP($D54,素材!$1:$1016,COLUMN($F$1),FALSE), "・", 0)) + 1), 0)</f>
        <v>0</v>
      </c>
      <c r="AW54">
        <f>IF(ISNUMBER(SEARCH(SUBSTITUTE(AW$1,RIGHT(AW$1,2),""),VLOOKUP($D54,素材!$1:$1016,COLUMN($F$1),FALSE))),VLOOKUP($C54,武器!$1:$998,COLUMN($O$1),FALSE)*VLOOKUP($D54,素材!$1:$1016,COLUMN($E$1),FALSE)/(LEN(VLOOKUP($D54,素材!$1:$1016,COLUMN($F$1),FALSE)) - LEN(SUBSTITUTE(VLOOKUP($D54,素材!$1:$1016,COLUMN($F$1),FALSE), "・", 0)) + 1), 0)</f>
        <v>0</v>
      </c>
      <c r="AX54">
        <f>IF(ISNUMBER(SEARCH(SUBSTITUTE(AX$1,RIGHT(AX$1,2),""),VLOOKUP($D54,素材!$1:$1016,COLUMN($F$1),FALSE))),VLOOKUP($C54,武器!$1:$998,COLUMN($O$1),FALSE)*VLOOKUP($D54,素材!$1:$1016,COLUMN($E$1),FALSE)/(LEN(VLOOKUP($D54,素材!$1:$1016,COLUMN($F$1),FALSE)) - LEN(SUBSTITUTE(VLOOKUP($D54,素材!$1:$1016,COLUMN($F$1),FALSE), "・", 0)) + 1), 0)</f>
        <v>0</v>
      </c>
      <c r="AY54">
        <f>IF(ISNUMBER(SEARCH(SUBSTITUTE(AY$1,RIGHT(AY$1,2),""),VLOOKUP($D54,素材!$1:$1016,COLUMN($F$1),FALSE))),VLOOKUP($C54,武器!$1:$998,COLUMN($O$1),FALSE)*VLOOKUP($D54,素材!$1:$1016,COLUMN($E$1),FALSE)/(LEN(VLOOKUP($D54,素材!$1:$1016,COLUMN($F$1),FALSE)) - LEN(SUBSTITUTE(VLOOKUP($D54,素材!$1:$1016,COLUMN($F$1),FALSE), "・", 0)) + 1), 0)</f>
        <v>0</v>
      </c>
      <c r="AZ54">
        <f>IF(ISNUMBER(SEARCH(SUBSTITUTE(AZ$1,RIGHT(AZ$1,2),""),VLOOKUP($D54,素材!$1:$1016,COLUMN($F$1),FALSE))),VLOOKUP($C54,武器!$1:$998,COLUMN($O$1),FALSE)*VLOOKUP($D54,素材!$1:$1016,COLUMN($E$1),FALSE)/(LEN(VLOOKUP($D54,素材!$1:$1016,COLUMN($F$1),FALSE)) - LEN(SUBSTITUTE(VLOOKUP($D54,素材!$1:$1016,COLUMN($F$1),FALSE), "・", 0)) + 1), 0)</f>
        <v>0</v>
      </c>
      <c r="BA54">
        <f>IF(ISNUMBER(SEARCH(SUBSTITUTE(BA$1,RIGHT(BA$1,2),""),VLOOKUP($D54,素材!$1:$1016,COLUMN($F$1),FALSE))),VLOOKUP($C54,武器!$1:$998,COLUMN($O$1),FALSE)*VLOOKUP($D54,素材!$1:$1016,COLUMN($E$1),FALSE)/(LEN(VLOOKUP($D54,素材!$1:$1016,COLUMN($F$1),FALSE)) - LEN(SUBSTITUTE(VLOOKUP($D54,素材!$1:$1016,COLUMN($F$1),FALSE), "・", 0)) + 1), 0)</f>
        <v>0</v>
      </c>
      <c r="BB54">
        <f>IF(ISNUMBER(SEARCH(SUBSTITUTE(BB$1,RIGHT(BB$1,2),""),VLOOKUP($D54,素材!$1:$1016,COLUMN($F$1),FALSE))),VLOOKUP($C54,武器!$1:$998,COLUMN($O$1),FALSE)*VLOOKUP($D54,素材!$1:$1016,COLUMN($E$1),FALSE)/(LEN(VLOOKUP($D54,素材!$1:$1016,COLUMN($F$1),FALSE)) - LEN(SUBSTITUTE(VLOOKUP($D54,素材!$1:$1016,COLUMN($F$1),FALSE), "・", 0)) + 1), 0)</f>
        <v>0</v>
      </c>
      <c r="BC54">
        <f>IF(ISNUMBER(SEARCH(SUBSTITUTE(BC$1,RIGHT(BC$1,2),""),VLOOKUP($D54,素材!$1:$1016,COLUMN($F$1),FALSE))),VLOOKUP($C54,武器!$1:$998,COLUMN($O$1),FALSE)*VLOOKUP($D54,素材!$1:$1016,COLUMN($E$1),FALSE)/(LEN(VLOOKUP($D54,素材!$1:$1016,COLUMN($F$1),FALSE)) - LEN(SUBSTITUTE(VLOOKUP($D54,素材!$1:$1016,COLUMN($F$1),FALSE), "・", 0)) + 1), 0)</f>
        <v>0</v>
      </c>
      <c r="BD54">
        <f>IF(ISNUMBER(SEARCH(SUBSTITUTE(BD$1,RIGHT(BD$1,2),""),VLOOKUP($D54,素材!$1:$1016,COLUMN($F$1),FALSE))),VLOOKUP($C54,武器!$1:$998,COLUMN($O$1),FALSE)*VLOOKUP($D54,素材!$1:$1016,COLUMN($E$1),FALSE)/(LEN(VLOOKUP($D54,素材!$1:$1016,COLUMN($F$1),FALSE)) - LEN(SUBSTITUTE(VLOOKUP($D54,素材!$1:$1016,COLUMN($F$1),FALSE), "・", 0)) + 1), 0)</f>
        <v>0</v>
      </c>
      <c r="BE54">
        <f>IF(ISNUMBER(SEARCH(SUBSTITUTE(BE$1,RIGHT(BE$1,2),""),VLOOKUP($D54,素材!$1:$1016,COLUMN($F$1),FALSE))),VLOOKUP($C54,武器!$1:$998,COLUMN($O$1),FALSE)*VLOOKUP($D54,素材!$1:$1016,COLUMN($E$1),FALSE)/(LEN(VLOOKUP($D54,素材!$1:$1016,COLUMN($F$1),FALSE)) - LEN(SUBSTITUTE(VLOOKUP($D54,素材!$1:$1016,COLUMN($F$1),FALSE), "・", 0)) + 1), 0)</f>
        <v>0</v>
      </c>
      <c r="CL54">
        <f>SUM(G54:I54)</f>
        <v>18</v>
      </c>
      <c r="CM54" s="22" t="str">
        <f>IF(E54="武器",IF(J54-1&gt;SUM(G54:I54),"盾",IF(MAX(G54:I54)=G54,"切断",IF(MAX(G54:I54)=H54,"貫通",IF(MAX(G54:I54)=I54,"打撃","射撃")))),E54)&amp;".webp"</f>
        <v>貫通.webp</v>
      </c>
      <c r="CN54">
        <f>IFERROR(VLOOKUP($C54,武器!$1:$998,COLUMN(V$1),FALSE)*VLOOKUP($D54,素材!$1:$1016,COLUMN(N$1),FALSE)+IF(CI54="",0,VLOOKUP($CI54,装強!$1:$1008,COLUMN($CK$1),FALSE)),"")</f>
        <v>200</v>
      </c>
      <c r="CO54" t="str">
        <f>VLOOKUP(D54,素材!$A:$O,COLUMN(素材!O$1),FALSE)</f>
        <v>一般的な木材。金属より軽いが少し脆い</v>
      </c>
      <c r="CP54" t="str">
        <f>VLOOKUP(C54,武器!$A:$W,COLUMN(武器!W$1),FALSE)</f>
        <v>棘棍。打撃と刺突を兼ね備えた武器。</v>
      </c>
      <c r="CR54" t="str">
        <f t="shared" si="1"/>
        <v>e_54</v>
      </c>
      <c r="CS54">
        <f t="shared" si="2"/>
        <v>20000</v>
      </c>
    </row>
    <row r="55" spans="1:97" outlineLevel="1" x14ac:dyDescent="0.4">
      <c r="A55" t="str">
        <f t="shared" si="3"/>
        <v>木の鎚</v>
      </c>
      <c r="B55" t="str">
        <f>IFERROR(VLOOKUP($D55,素材!$1:$1016,COLUMN($B$1),FALSE)&amp;"・"&amp;VLOOKUP($C55,武器!$1:$998,COLUMN(B$1),FALSE),"")</f>
        <v>ウッド・ハンマー</v>
      </c>
      <c r="C55" t="s">
        <v>227</v>
      </c>
      <c r="D55" s="24" t="s">
        <v>255</v>
      </c>
      <c r="E55" t="str">
        <f>IFERROR(VLOOKUP(C55,武器!$1:$998,COLUMN(C$1),FALSE),"")</f>
        <v>武器</v>
      </c>
      <c r="F55">
        <f>IFERROR(ROUNDDOWN((VLOOKUP($C55,武器!$1:$998,COLUMN(D$1),FALSE)+IFERROR(VLOOKUP($CI55,装強!$1:$999,COLUMN(F$1),FALSE),0))*VLOOKUP($D55,素材!$1:$1016,COLUMN(D$1),FALSE),0),"")</f>
        <v>82</v>
      </c>
      <c r="G55">
        <f>IFERROR(ROUNDDOWN((VLOOKUP($C55,武器!$1:$998,COLUMN(E$1),FALSE)+IFERROR(VLOOKUP($CI55,装強!$1:$999,COLUMN(G$1),FALSE),0))*VLOOKUP($D55,素材!$1:$1016,COLUMN($E$1),FALSE),0),"")</f>
        <v>0</v>
      </c>
      <c r="H55">
        <f>IFERROR(ROUNDDOWN((VLOOKUP($C55,武器!$1:$998,COLUMN(F$1),FALSE)+IFERROR(VLOOKUP($CI55,装強!$1:$999,COLUMN(H$1),FALSE),0))*VLOOKUP($D55,素材!$1:$1016,COLUMN($E$1),FALSE),0),"")</f>
        <v>0</v>
      </c>
      <c r="I55">
        <f>IFERROR(ROUNDDOWN((VLOOKUP($C55,武器!$1:$998,COLUMN(G$1),FALSE)+IFERROR(VLOOKUP($CI55,装強!$1:$999,COLUMN(I$1),FALSE),0))*VLOOKUP($D55,素材!$1:$1016,COLUMN($E$1),FALSE),0),"")</f>
        <v>16</v>
      </c>
      <c r="J55">
        <f>IFERROR(ROUNDDOWN((VLOOKUP($C55,武器!$1:$998,COLUMN(H$1),FALSE)+IFERROR(VLOOKUP($CI55,装強!$1:$999,COLUMN(J$1),FALSE),0))*VLOOKUP($D55,素材!$1:$1016,COLUMN($E$1),FALSE),0),"")</f>
        <v>14</v>
      </c>
      <c r="K55">
        <f>IFERROR(ROUNDDOWN((VLOOKUP($C55,武器!$1:$998,COLUMN(I$1),FALSE)+IFERROR(VLOOKUP($CI55,装強!$1:$999,COLUMN(K$1),FALSE),0))*VLOOKUP($D55,素材!$1:$1016,COLUMN($E$1),FALSE),0),"")</f>
        <v>0</v>
      </c>
      <c r="L55">
        <f>IFERROR(VLOOKUP($D55,素材!$1:$1016,COLUMN($F$1),FALSE),"")</f>
        <v>0</v>
      </c>
      <c r="M55">
        <f>IFERROR(VLOOKUP($C55,武器!$1:$998,COLUMN(AA$1),FALSE)*VLOOKUP($D55,素材!$1:$1016,COLUMN($G$1),FALSE),"")</f>
        <v>0</v>
      </c>
      <c r="N55">
        <f>IFERROR(VLOOKUP($C55,武器!$1:$998,COLUMN(I$1),FALSE),"")</f>
        <v>0</v>
      </c>
      <c r="O55" s="23">
        <f>IFERROR((VLOOKUP($C55,武器!$1:$998,COLUMN(K$1),FALSE)+VLOOKUP($D55,素材!$1:$1016,COLUMN(H$1),FALSE))*100+IFERROR(VLOOKUP($CI55,装強!$1:$999,COLUMN(O$1),FALSE),0),"")</f>
        <v>10</v>
      </c>
      <c r="P55" s="23">
        <f>IFERROR((VLOOKUP($C55,武器!$1:$998,COLUMN(L$1),FALSE)+VLOOKUP($D55,素材!$1:$1016,COLUMN(I$1),FALSE))*100+IFERROR(VLOOKUP($CI55,装強!$1:$999,COLUMN(P$1),FALSE),0),"")</f>
        <v>150</v>
      </c>
      <c r="Q55">
        <f>IFERROR(ROUNDUP(VLOOKUP($C55,武器!$1:$998,COLUMN(M$1),FALSE)*(VLOOKUP($D55,素材!$1:$1002,COLUMN(D$1),FALSE)/100),1),"")</f>
        <v>-1.9000000000000001</v>
      </c>
      <c r="R55">
        <f>IFERROR(ROUNDUP(VLOOKUP($C55,武器!$1:$998,COLUMN(N$1),FALSE)*(VLOOKUP($D55,素材!$1:$1002,COLUMN(D$1),FALSE)/100),1),"")</f>
        <v>0</v>
      </c>
      <c r="S55">
        <f>IFERROR(VLOOKUP($C55,武器!$1:$998,COLUMN(P$1),FALSE),"")</f>
        <v>0</v>
      </c>
      <c r="T55">
        <f>IFERROR(VLOOKUP($C55,武器!$1:$998,COLUMN(Q$1),FALSE),"")</f>
        <v>0</v>
      </c>
      <c r="U55">
        <f>IFERROR(VLOOKUP($C55,武器!$1:$998,COLUMN(R$1),FALSE),"")</f>
        <v>0</v>
      </c>
      <c r="V55">
        <f>IFERROR(VLOOKUP($C55,武器!$1:$998,COLUMN(Q$1),FALSE),"")</f>
        <v>0</v>
      </c>
      <c r="W55" t="str">
        <f>IFERROR(VLOOKUP($C55,武器!$1:$998,COLUMN(T$1),FALSE),"")</f>
        <v>A</v>
      </c>
      <c r="Y55" t="str">
        <f>IFERROR(VLOOKUP($C55,武器!$1:$998,COLUMN(U$1),FALSE),"")</f>
        <v>投擲強化</v>
      </c>
      <c r="Z55">
        <f>IFERROR(ROUNDUP(VLOOKUP($C55,武器!$1:$998,COLUMN(O$1),FALSE)*VLOOKUP($D55,素材!$1:$1016,COLUMN(E$1),FALSE),1),"")</f>
        <v>0</v>
      </c>
      <c r="AA55">
        <f>IF(ISNUMBER(SEARCH(SUBSTITUTE(AA$1,RIGHT(AA$1,2),""),VLOOKUP($D55,素材!$1:$1016,COLUMN($F$1),FALSE))),VLOOKUP($C55,武器!$1:$998,COLUMN($O$1),FALSE)*VLOOKUP($D55,素材!$1:$1016,COLUMN($E$1),FALSE)/(LEN(VLOOKUP($D55,素材!$1:$1016,COLUMN($F$1),FALSE)) - LEN(SUBSTITUTE(VLOOKUP($D55,素材!$1:$1016,COLUMN($F$1),FALSE), "・", 0)) + 1), 0)</f>
        <v>0</v>
      </c>
      <c r="AB55">
        <f>IF(ISNUMBER(SEARCH(SUBSTITUTE(AB$1,RIGHT(AB$1,2),""),VLOOKUP($D55,素材!$1:$1016,COLUMN($F$1),FALSE))),VLOOKUP($C55,武器!$1:$998,COLUMN($O$1),FALSE)*VLOOKUP($D55,素材!$1:$1016,COLUMN($E$1),FALSE)/(LEN(VLOOKUP($D55,素材!$1:$1016,COLUMN($F$1),FALSE)) - LEN(SUBSTITUTE(VLOOKUP($D55,素材!$1:$1016,COLUMN($F$1),FALSE), "・", 0)) + 1), 0)</f>
        <v>0</v>
      </c>
      <c r="AC55">
        <f>IF(ISNUMBER(SEARCH(SUBSTITUTE(AC$1,RIGHT(AC$1,2),""),VLOOKUP($D55,素材!$1:$1016,COLUMN($F$1),FALSE))),VLOOKUP($C55,武器!$1:$998,COLUMN($O$1),FALSE)*VLOOKUP($D55,素材!$1:$1016,COLUMN($E$1),FALSE)/(LEN(VLOOKUP($D55,素材!$1:$1016,COLUMN($F$1),FALSE)) - LEN(SUBSTITUTE(VLOOKUP($D55,素材!$1:$1016,COLUMN($F$1),FALSE), "・", 0)) + 1), 0)</f>
        <v>0</v>
      </c>
      <c r="AD55">
        <f>IF(ISNUMBER(SEARCH(SUBSTITUTE(AD$1,RIGHT(AD$1,2),""),VLOOKUP($D55,素材!$1:$1016,COLUMN($F$1),FALSE))),VLOOKUP($C55,武器!$1:$998,COLUMN($O$1),FALSE)*VLOOKUP($D55,素材!$1:$1016,COLUMN($E$1),FALSE)/(LEN(VLOOKUP($D55,素材!$1:$1016,COLUMN($F$1),FALSE)) - LEN(SUBSTITUTE(VLOOKUP($D55,素材!$1:$1016,COLUMN($F$1),FALSE), "・", 0)) + 1), 0)</f>
        <v>0</v>
      </c>
      <c r="AE55">
        <f>IF(ISNUMBER(SEARCH(SUBSTITUTE(AE$1,RIGHT(AE$1,2),""),VLOOKUP($D55,素材!$1:$1016,COLUMN($F$1),FALSE))),VLOOKUP($C55,武器!$1:$998,COLUMN($O$1),FALSE)*VLOOKUP($D55,素材!$1:$1016,COLUMN($E$1),FALSE)/(LEN(VLOOKUP($D55,素材!$1:$1016,COLUMN($F$1),FALSE)) - LEN(SUBSTITUTE(VLOOKUP($D55,素材!$1:$1016,COLUMN($F$1),FALSE), "・", 0)) + 1), 0)</f>
        <v>0</v>
      </c>
      <c r="AF55">
        <f>IF(ISNUMBER(SEARCH(SUBSTITUTE(AF$1,RIGHT(AF$1,2),""),VLOOKUP($D55,素材!$1:$1016,COLUMN($F$1),FALSE))),VLOOKUP($C55,武器!$1:$998,COLUMN($O$1),FALSE)*VLOOKUP($D55,素材!$1:$1016,COLUMN($E$1),FALSE)/(LEN(VLOOKUP($D55,素材!$1:$1016,COLUMN($F$1),FALSE)) - LEN(SUBSTITUTE(VLOOKUP($D55,素材!$1:$1016,COLUMN($F$1),FALSE), "・", 0)) + 1), 0)</f>
        <v>0</v>
      </c>
      <c r="AG55">
        <f>IF(ISNUMBER(SEARCH(SUBSTITUTE(AG$1,RIGHT(AG$1,2),""),VLOOKUP($D55,素材!$1:$1016,COLUMN($F$1),FALSE))),VLOOKUP($C55,武器!$1:$998,COLUMN($O$1),FALSE)*VLOOKUP($D55,素材!$1:$1016,COLUMN($E$1),FALSE)/(LEN(VLOOKUP($D55,素材!$1:$1016,COLUMN($F$1),FALSE)) - LEN(SUBSTITUTE(VLOOKUP($D55,素材!$1:$1016,COLUMN($F$1),FALSE), "・", 0)) + 1), 0)</f>
        <v>0</v>
      </c>
      <c r="AH55">
        <f>IF(ISNUMBER(SEARCH(SUBSTITUTE(AH$1,RIGHT(AH$1,2),""),VLOOKUP($D55,素材!$1:$1016,COLUMN($F$1),FALSE))),VLOOKUP($C55,武器!$1:$998,COLUMN($O$1),FALSE)*VLOOKUP($D55,素材!$1:$1016,COLUMN($E$1),FALSE)/(LEN(VLOOKUP($D55,素材!$1:$1016,COLUMN($F$1),FALSE)) - LEN(SUBSTITUTE(VLOOKUP($D55,素材!$1:$1016,COLUMN($F$1),FALSE), "・", 0)) + 1), 0)</f>
        <v>0</v>
      </c>
      <c r="AI55">
        <f>IF(ISNUMBER(SEARCH(SUBSTITUTE(AI$1,RIGHT(AI$1,2),""),VLOOKUP($D55,素材!$1:$1016,COLUMN($F$1),FALSE))),VLOOKUP($C55,武器!$1:$998,COLUMN($O$1),FALSE)*VLOOKUP($D55,素材!$1:$1016,COLUMN($E$1),FALSE)/(LEN(VLOOKUP($D55,素材!$1:$1016,COLUMN($F$1),FALSE)) - LEN(SUBSTITUTE(VLOOKUP($D55,素材!$1:$1016,COLUMN($F$1),FALSE), "・", 0)) + 1), 0)</f>
        <v>0</v>
      </c>
      <c r="AJ55">
        <f>IF(ISNUMBER(SEARCH(SUBSTITUTE(AJ$1,RIGHT(AJ$1,2),""),VLOOKUP($D55,素材!$1:$1016,COLUMN($F$1),FALSE))),VLOOKUP($C55,武器!$1:$998,COLUMN($O$1),FALSE)*VLOOKUP($D55,素材!$1:$1016,COLUMN($E$1),FALSE)/(LEN(VLOOKUP($D55,素材!$1:$1016,COLUMN($F$1),FALSE)) - LEN(SUBSTITUTE(VLOOKUP($D55,素材!$1:$1016,COLUMN($F$1),FALSE), "・", 0)) + 1), 0)</f>
        <v>0</v>
      </c>
      <c r="AK55">
        <f>IF(ISNUMBER(SEARCH(SUBSTITUTE(AK$1,RIGHT(AK$1,2),""),VLOOKUP($D55,素材!$1:$1016,COLUMN($F$1),FALSE))),VLOOKUP($C55,武器!$1:$998,COLUMN($O$1),FALSE)*VLOOKUP($D55,素材!$1:$1016,COLUMN($E$1),FALSE)/(LEN(VLOOKUP($D55,素材!$1:$1016,COLUMN($F$1),FALSE)) - LEN(SUBSTITUTE(VLOOKUP($D55,素材!$1:$1016,COLUMN($F$1),FALSE), "・", 0)) + 1), 0)</f>
        <v>0</v>
      </c>
      <c r="AL55">
        <f>IF(ISNUMBER(SEARCH(SUBSTITUTE(AL$1,RIGHT(AL$1,2),""),VLOOKUP($D55,素材!$1:$1016,COLUMN($F$1),FALSE))),VLOOKUP($C55,武器!$1:$998,COLUMN($O$1),FALSE)*VLOOKUP($D55,素材!$1:$1016,COLUMN($E$1),FALSE)/(LEN(VLOOKUP($D55,素材!$1:$1016,COLUMN($F$1),FALSE)) - LEN(SUBSTITUTE(VLOOKUP($D55,素材!$1:$1016,COLUMN($F$1),FALSE), "・", 0)) + 1), 0)</f>
        <v>0</v>
      </c>
      <c r="AM55">
        <f>IF(ISNUMBER(SEARCH(SUBSTITUTE(AM$1,RIGHT(AM$1,2),""),VLOOKUP($D55,素材!$1:$1016,COLUMN($F$1),FALSE))),VLOOKUP($C55,武器!$1:$998,COLUMN($O$1),FALSE)*VLOOKUP($D55,素材!$1:$1016,COLUMN($E$1),FALSE)/(LEN(VLOOKUP($D55,素材!$1:$1016,COLUMN($F$1),FALSE)) - LEN(SUBSTITUTE(VLOOKUP($D55,素材!$1:$1016,COLUMN($F$1),FALSE), "・", 0)) + 1), 0)</f>
        <v>0</v>
      </c>
      <c r="AN55">
        <f>IF(ISNUMBER(SEARCH(SUBSTITUTE(AN$1,RIGHT(AN$1,2),""),VLOOKUP($D55,素材!$1:$1016,COLUMN($F$1),FALSE))),VLOOKUP($C55,武器!$1:$998,COLUMN($O$1),FALSE)*VLOOKUP($D55,素材!$1:$1016,COLUMN($E$1),FALSE)/(LEN(VLOOKUP($D55,素材!$1:$1016,COLUMN($F$1),FALSE)) - LEN(SUBSTITUTE(VLOOKUP($D55,素材!$1:$1016,COLUMN($F$1),FALSE), "・", 0)) + 1), 0)</f>
        <v>0</v>
      </c>
      <c r="AO55">
        <f>IF(ISNUMBER(SEARCH(SUBSTITUTE(AO$1,RIGHT(AO$1,2),""),VLOOKUP($D55,素材!$1:$1016,COLUMN($F$1),FALSE))),VLOOKUP($C55,武器!$1:$998,COLUMN($O$1),FALSE)*VLOOKUP($D55,素材!$1:$1016,COLUMN($E$1),FALSE)/(LEN(VLOOKUP($D55,素材!$1:$1016,COLUMN($F$1),FALSE)) - LEN(SUBSTITUTE(VLOOKUP($D55,素材!$1:$1016,COLUMN($F$1),FALSE), "・", 0)) + 1), 0)</f>
        <v>0</v>
      </c>
      <c r="AP55">
        <f>IF(ISNUMBER(SEARCH(SUBSTITUTE(AP$1,RIGHT(AP$1,2),""),VLOOKUP($D55,素材!$1:$1016,COLUMN($F$1),FALSE))),VLOOKUP($C55,武器!$1:$998,COLUMN($O$1),FALSE)*VLOOKUP($D55,素材!$1:$1016,COLUMN($E$1),FALSE)/(LEN(VLOOKUP($D55,素材!$1:$1016,COLUMN($F$1),FALSE)) - LEN(SUBSTITUTE(VLOOKUP($D55,素材!$1:$1016,COLUMN($F$1),FALSE), "・", 0)) + 1), 0)</f>
        <v>0</v>
      </c>
      <c r="AQ55">
        <f>IF(ISNUMBER(SEARCH(SUBSTITUTE(AQ$1,RIGHT(AQ$1,2),""),VLOOKUP($D55,素材!$1:$1016,COLUMN($F$1),FALSE))),VLOOKUP($C55,武器!$1:$998,COLUMN($O$1),FALSE)*VLOOKUP($D55,素材!$1:$1016,COLUMN($E$1),FALSE)/(LEN(VLOOKUP($D55,素材!$1:$1016,COLUMN($F$1),FALSE)) - LEN(SUBSTITUTE(VLOOKUP($D55,素材!$1:$1016,COLUMN($F$1),FALSE), "・", 0)) + 1), 0)</f>
        <v>0</v>
      </c>
      <c r="AR55">
        <f>IF(ISNUMBER(SEARCH(SUBSTITUTE(AR$1,RIGHT(AR$1,2),""),VLOOKUP($D55,素材!$1:$1016,COLUMN($F$1),FALSE))),VLOOKUP($C55,武器!$1:$998,COLUMN($O$1),FALSE)*VLOOKUP($D55,素材!$1:$1016,COLUMN($E$1),FALSE)/(LEN(VLOOKUP($D55,素材!$1:$1016,COLUMN($F$1),FALSE)) - LEN(SUBSTITUTE(VLOOKUP($D55,素材!$1:$1016,COLUMN($F$1),FALSE), "・", 0)) + 1), 0)</f>
        <v>0</v>
      </c>
      <c r="AS55">
        <f>IF(ISNUMBER(SEARCH(SUBSTITUTE(AS$1,RIGHT(AS$1,2),""),VLOOKUP($D55,素材!$1:$1016,COLUMN($F$1),FALSE))),VLOOKUP($C55,武器!$1:$998,COLUMN($O$1),FALSE)*VLOOKUP($D55,素材!$1:$1016,COLUMN($E$1),FALSE)/(LEN(VLOOKUP($D55,素材!$1:$1016,COLUMN($F$1),FALSE)) - LEN(SUBSTITUTE(VLOOKUP($D55,素材!$1:$1016,COLUMN($F$1),FALSE), "・", 0)) + 1), 0)</f>
        <v>0</v>
      </c>
      <c r="AT55">
        <f>IF(ISNUMBER(SEARCH(SUBSTITUTE(AT$1,RIGHT(AT$1,2),""),VLOOKUP($D55,素材!$1:$1016,COLUMN($F$1),FALSE))),VLOOKUP($C55,武器!$1:$998,COLUMN($O$1),FALSE)*VLOOKUP($D55,素材!$1:$1016,COLUMN($E$1),FALSE)/(LEN(VLOOKUP($D55,素材!$1:$1016,COLUMN($F$1),FALSE)) - LEN(SUBSTITUTE(VLOOKUP($D55,素材!$1:$1016,COLUMN($F$1),FALSE), "・", 0)) + 1), 0)</f>
        <v>0</v>
      </c>
      <c r="AU55">
        <f>IF(ISNUMBER(SEARCH(SUBSTITUTE(AU$1,RIGHT(AU$1,2),""),VLOOKUP($D55,素材!$1:$1016,COLUMN($F$1),FALSE))),VLOOKUP($C55,武器!$1:$998,COLUMN($O$1),FALSE)*VLOOKUP($D55,素材!$1:$1016,COLUMN($E$1),FALSE)/(LEN(VLOOKUP($D55,素材!$1:$1016,COLUMN($F$1),FALSE)) - LEN(SUBSTITUTE(VLOOKUP($D55,素材!$1:$1016,COLUMN($F$1),FALSE), "・", 0)) + 1), 0)</f>
        <v>0</v>
      </c>
      <c r="AV55">
        <f>IF(ISNUMBER(SEARCH(SUBSTITUTE(AV$1,RIGHT(AV$1,2),""),VLOOKUP($D55,素材!$1:$1016,COLUMN($F$1),FALSE))),VLOOKUP($C55,武器!$1:$998,COLUMN($O$1),FALSE)*VLOOKUP($D55,素材!$1:$1016,COLUMN($E$1),FALSE)/(LEN(VLOOKUP($D55,素材!$1:$1016,COLUMN($F$1),FALSE)) - LEN(SUBSTITUTE(VLOOKUP($D55,素材!$1:$1016,COLUMN($F$1),FALSE), "・", 0)) + 1), 0)</f>
        <v>0</v>
      </c>
      <c r="AW55">
        <f>IF(ISNUMBER(SEARCH(SUBSTITUTE(AW$1,RIGHT(AW$1,2),""),VLOOKUP($D55,素材!$1:$1016,COLUMN($F$1),FALSE))),VLOOKUP($C55,武器!$1:$998,COLUMN($O$1),FALSE)*VLOOKUP($D55,素材!$1:$1016,COLUMN($E$1),FALSE)/(LEN(VLOOKUP($D55,素材!$1:$1016,COLUMN($F$1),FALSE)) - LEN(SUBSTITUTE(VLOOKUP($D55,素材!$1:$1016,COLUMN($F$1),FALSE), "・", 0)) + 1), 0)</f>
        <v>0</v>
      </c>
      <c r="AX55">
        <f>IF(ISNUMBER(SEARCH(SUBSTITUTE(AX$1,RIGHT(AX$1,2),""),VLOOKUP($D55,素材!$1:$1016,COLUMN($F$1),FALSE))),VLOOKUP($C55,武器!$1:$998,COLUMN($O$1),FALSE)*VLOOKUP($D55,素材!$1:$1016,COLUMN($E$1),FALSE)/(LEN(VLOOKUP($D55,素材!$1:$1016,COLUMN($F$1),FALSE)) - LEN(SUBSTITUTE(VLOOKUP($D55,素材!$1:$1016,COLUMN($F$1),FALSE), "・", 0)) + 1), 0)</f>
        <v>0</v>
      </c>
      <c r="AY55">
        <f>IF(ISNUMBER(SEARCH(SUBSTITUTE(AY$1,RIGHT(AY$1,2),""),VLOOKUP($D55,素材!$1:$1016,COLUMN($F$1),FALSE))),VLOOKUP($C55,武器!$1:$998,COLUMN($O$1),FALSE)*VLOOKUP($D55,素材!$1:$1016,COLUMN($E$1),FALSE)/(LEN(VLOOKUP($D55,素材!$1:$1016,COLUMN($F$1),FALSE)) - LEN(SUBSTITUTE(VLOOKUP($D55,素材!$1:$1016,COLUMN($F$1),FALSE), "・", 0)) + 1), 0)</f>
        <v>0</v>
      </c>
      <c r="AZ55">
        <f>IF(ISNUMBER(SEARCH(SUBSTITUTE(AZ$1,RIGHT(AZ$1,2),""),VLOOKUP($D55,素材!$1:$1016,COLUMN($F$1),FALSE))),VLOOKUP($C55,武器!$1:$998,COLUMN($O$1),FALSE)*VLOOKUP($D55,素材!$1:$1016,COLUMN($E$1),FALSE)/(LEN(VLOOKUP($D55,素材!$1:$1016,COLUMN($F$1),FALSE)) - LEN(SUBSTITUTE(VLOOKUP($D55,素材!$1:$1016,COLUMN($F$1),FALSE), "・", 0)) + 1), 0)</f>
        <v>0</v>
      </c>
      <c r="BA55">
        <f>IF(ISNUMBER(SEARCH(SUBSTITUTE(BA$1,RIGHT(BA$1,2),""),VLOOKUP($D55,素材!$1:$1016,COLUMN($F$1),FALSE))),VLOOKUP($C55,武器!$1:$998,COLUMN($O$1),FALSE)*VLOOKUP($D55,素材!$1:$1016,COLUMN($E$1),FALSE)/(LEN(VLOOKUP($D55,素材!$1:$1016,COLUMN($F$1),FALSE)) - LEN(SUBSTITUTE(VLOOKUP($D55,素材!$1:$1016,COLUMN($F$1),FALSE), "・", 0)) + 1), 0)</f>
        <v>0</v>
      </c>
      <c r="BB55">
        <f>IF(ISNUMBER(SEARCH(SUBSTITUTE(BB$1,RIGHT(BB$1,2),""),VLOOKUP($D55,素材!$1:$1016,COLUMN($F$1),FALSE))),VLOOKUP($C55,武器!$1:$998,COLUMN($O$1),FALSE)*VLOOKUP($D55,素材!$1:$1016,COLUMN($E$1),FALSE)/(LEN(VLOOKUP($D55,素材!$1:$1016,COLUMN($F$1),FALSE)) - LEN(SUBSTITUTE(VLOOKUP($D55,素材!$1:$1016,COLUMN($F$1),FALSE), "・", 0)) + 1), 0)</f>
        <v>0</v>
      </c>
      <c r="BC55">
        <f>IF(ISNUMBER(SEARCH(SUBSTITUTE(BC$1,RIGHT(BC$1,2),""),VLOOKUP($D55,素材!$1:$1016,COLUMN($F$1),FALSE))),VLOOKUP($C55,武器!$1:$998,COLUMN($O$1),FALSE)*VLOOKUP($D55,素材!$1:$1016,COLUMN($E$1),FALSE)/(LEN(VLOOKUP($D55,素材!$1:$1016,COLUMN($F$1),FALSE)) - LEN(SUBSTITUTE(VLOOKUP($D55,素材!$1:$1016,COLUMN($F$1),FALSE), "・", 0)) + 1), 0)</f>
        <v>0</v>
      </c>
      <c r="BD55">
        <f>IF(ISNUMBER(SEARCH(SUBSTITUTE(BD$1,RIGHT(BD$1,2),""),VLOOKUP($D55,素材!$1:$1016,COLUMN($F$1),FALSE))),VLOOKUP($C55,武器!$1:$998,COLUMN($O$1),FALSE)*VLOOKUP($D55,素材!$1:$1016,COLUMN($E$1),FALSE)/(LEN(VLOOKUP($D55,素材!$1:$1016,COLUMN($F$1),FALSE)) - LEN(SUBSTITUTE(VLOOKUP($D55,素材!$1:$1016,COLUMN($F$1),FALSE), "・", 0)) + 1), 0)</f>
        <v>0</v>
      </c>
      <c r="BE55">
        <f>IF(ISNUMBER(SEARCH(SUBSTITUTE(BE$1,RIGHT(BE$1,2),""),VLOOKUP($D55,素材!$1:$1016,COLUMN($F$1),FALSE))),VLOOKUP($C55,武器!$1:$998,COLUMN($O$1),FALSE)*VLOOKUP($D55,素材!$1:$1016,COLUMN($E$1),FALSE)/(LEN(VLOOKUP($D55,素材!$1:$1016,COLUMN($F$1),FALSE)) - LEN(SUBSTITUTE(VLOOKUP($D55,素材!$1:$1016,COLUMN($F$1),FALSE), "・", 0)) + 1), 0)</f>
        <v>0</v>
      </c>
      <c r="CL55">
        <f>SUM(G55:I55)</f>
        <v>16</v>
      </c>
      <c r="CM55" s="22" t="str">
        <f>IF(E55="武器",IF(J55-1&gt;SUM(G55:I55),"盾",IF(MAX(G55:I55)=G55,"切断",IF(MAX(G55:I55)=H55,"貫通",IF(MAX(G55:I55)=I55,"打撃","射撃")))),E55)&amp;".webp"</f>
        <v>打撃.webp</v>
      </c>
      <c r="CN55">
        <f>IFERROR(VLOOKUP($C55,武器!$1:$998,COLUMN(V$1),FALSE)*VLOOKUP($D55,素材!$1:$1016,COLUMN(N$1),FALSE)+IF(CI55="",0,VLOOKUP($CI55,装強!$1:$1008,COLUMN($CK$1),FALSE)),"")</f>
        <v>200</v>
      </c>
      <c r="CO55" t="str">
        <f>VLOOKUP(D55,素材!$A:$O,COLUMN(素材!O$1),FALSE)</f>
        <v>一般的な木材。金属より軽いが少し脆い</v>
      </c>
      <c r="CP55" t="str">
        <f>VLOOKUP(C55,武器!$A:$W,COLUMN(武器!W$1),FALSE)</f>
        <v>鎚。打撃力に優れ、投擲にも対応。</v>
      </c>
      <c r="CR55" t="str">
        <f t="shared" si="1"/>
        <v>e_55</v>
      </c>
      <c r="CS55">
        <f t="shared" si="2"/>
        <v>20000</v>
      </c>
    </row>
    <row r="56" spans="1:97" outlineLevel="1" x14ac:dyDescent="0.4">
      <c r="A56" t="str">
        <f t="shared" si="3"/>
        <v>木の戦鎚</v>
      </c>
      <c r="B56" t="str">
        <f>IFERROR(VLOOKUP($D56,素材!$1:$1016,COLUMN($B$1),FALSE)&amp;"・"&amp;VLOOKUP($C56,武器!$1:$998,COLUMN(B$1),FALSE),"")</f>
        <v>ウッド・ウォーハンマー</v>
      </c>
      <c r="C56" t="s">
        <v>226</v>
      </c>
      <c r="D56" s="24" t="s">
        <v>255</v>
      </c>
      <c r="E56" t="str">
        <f>IFERROR(VLOOKUP(C56,武器!$1:$998,COLUMN(C$1),FALSE),"")</f>
        <v>武器</v>
      </c>
      <c r="F56">
        <f>IFERROR(ROUNDDOWN((VLOOKUP($C56,武器!$1:$998,COLUMN(D$1),FALSE)+IFERROR(VLOOKUP($CI56,装強!$1:$999,COLUMN(F$1),FALSE),0))*VLOOKUP($D56,素材!$1:$1016,COLUMN(D$1),FALSE),0),"")</f>
        <v>93</v>
      </c>
      <c r="G56">
        <f>IFERROR(ROUNDDOWN((VLOOKUP($C56,武器!$1:$998,COLUMN(E$1),FALSE)+IFERROR(VLOOKUP($CI56,装強!$1:$999,COLUMN(G$1),FALSE),0))*VLOOKUP($D56,素材!$1:$1016,COLUMN($E$1),FALSE),0),"")</f>
        <v>0</v>
      </c>
      <c r="H56">
        <f>IFERROR(ROUNDDOWN((VLOOKUP($C56,武器!$1:$998,COLUMN(F$1),FALSE)+IFERROR(VLOOKUP($CI56,装強!$1:$999,COLUMN(H$1),FALSE),0))*VLOOKUP($D56,素材!$1:$1016,COLUMN($E$1),FALSE),0),"")</f>
        <v>0</v>
      </c>
      <c r="I56">
        <f>IFERROR(ROUNDDOWN((VLOOKUP($C56,武器!$1:$998,COLUMN(G$1),FALSE)+IFERROR(VLOOKUP($CI56,装強!$1:$999,COLUMN(I$1),FALSE),0))*VLOOKUP($D56,素材!$1:$1016,COLUMN($E$1),FALSE),0),"")</f>
        <v>18</v>
      </c>
      <c r="J56">
        <f>IFERROR(ROUNDDOWN((VLOOKUP($C56,武器!$1:$998,COLUMN(H$1),FALSE)+IFERROR(VLOOKUP($CI56,装強!$1:$999,COLUMN(J$1),FALSE),0))*VLOOKUP($D56,素材!$1:$1016,COLUMN($E$1),FALSE),0),"")</f>
        <v>15</v>
      </c>
      <c r="K56">
        <f>IFERROR(ROUNDDOWN((VLOOKUP($C56,武器!$1:$998,COLUMN(I$1),FALSE)+IFERROR(VLOOKUP($CI56,装強!$1:$999,COLUMN(K$1),FALSE),0))*VLOOKUP($D56,素材!$1:$1016,COLUMN($E$1),FALSE),0),"")</f>
        <v>0</v>
      </c>
      <c r="L56">
        <f>IFERROR(VLOOKUP($D56,素材!$1:$1016,COLUMN($F$1),FALSE),"")</f>
        <v>0</v>
      </c>
      <c r="M56">
        <f>IFERROR(VLOOKUP($C56,武器!$1:$998,COLUMN(AA$1),FALSE)*VLOOKUP($D56,素材!$1:$1016,COLUMN($G$1),FALSE),"")</f>
        <v>0</v>
      </c>
      <c r="N56">
        <f>IFERROR(VLOOKUP($C56,武器!$1:$998,COLUMN(I$1),FALSE),"")</f>
        <v>0</v>
      </c>
      <c r="O56" s="23">
        <f>IFERROR((VLOOKUP($C56,武器!$1:$998,COLUMN(K$1),FALSE)+VLOOKUP($D56,素材!$1:$1016,COLUMN(H$1),FALSE))*100+IFERROR(VLOOKUP($CI56,装強!$1:$999,COLUMN(O$1),FALSE),0),"")</f>
        <v>10</v>
      </c>
      <c r="P56" s="23">
        <f>IFERROR((VLOOKUP($C56,武器!$1:$998,COLUMN(L$1),FALSE)+VLOOKUP($D56,素材!$1:$1016,COLUMN(I$1),FALSE))*100+IFERROR(VLOOKUP($CI56,装強!$1:$999,COLUMN(P$1),FALSE),0),"")</f>
        <v>150</v>
      </c>
      <c r="Q56">
        <f>IFERROR(ROUNDUP(VLOOKUP($C56,武器!$1:$998,COLUMN(M$1),FALSE)*(VLOOKUP($D56,素材!$1:$1002,COLUMN(D$1),FALSE)/100),1),"")</f>
        <v>-3.8000000000000003</v>
      </c>
      <c r="R56">
        <f>IFERROR(ROUNDUP(VLOOKUP($C56,武器!$1:$998,COLUMN(N$1),FALSE)*(VLOOKUP($D56,素材!$1:$1002,COLUMN(D$1),FALSE)/100),1),"")</f>
        <v>-3.8000000000000003</v>
      </c>
      <c r="S56">
        <f>IFERROR(VLOOKUP($C56,武器!$1:$998,COLUMN(P$1),FALSE),"")</f>
        <v>0</v>
      </c>
      <c r="T56">
        <f>IFERROR(VLOOKUP($C56,武器!$1:$998,COLUMN(Q$1),FALSE),"")</f>
        <v>0</v>
      </c>
      <c r="U56">
        <f>IFERROR(VLOOKUP($C56,武器!$1:$998,COLUMN(R$1),FALSE),"")</f>
        <v>0</v>
      </c>
      <c r="V56">
        <f>IFERROR(VLOOKUP($C56,武器!$1:$998,COLUMN(Q$1),FALSE),"")</f>
        <v>0</v>
      </c>
      <c r="W56" t="str">
        <f>IFERROR(VLOOKUP($C56,武器!$1:$998,COLUMN(T$1),FALSE),"")</f>
        <v>A</v>
      </c>
      <c r="Y56">
        <f>IFERROR(VLOOKUP($C56,武器!$1:$998,COLUMN(U$1),FALSE),"")</f>
        <v>0</v>
      </c>
      <c r="Z56">
        <f>IFERROR(ROUNDUP(VLOOKUP($C56,武器!$1:$998,COLUMN(O$1),FALSE)*VLOOKUP($D56,素材!$1:$1016,COLUMN(E$1),FALSE),1),"")</f>
        <v>0</v>
      </c>
      <c r="AA56">
        <f>IF(ISNUMBER(SEARCH(SUBSTITUTE(AA$1,RIGHT(AA$1,2),""),VLOOKUP($D56,素材!$1:$1016,COLUMN($F$1),FALSE))),VLOOKUP($C56,武器!$1:$998,COLUMN($O$1),FALSE)*VLOOKUP($D56,素材!$1:$1016,COLUMN($E$1),FALSE)/(LEN(VLOOKUP($D56,素材!$1:$1016,COLUMN($F$1),FALSE)) - LEN(SUBSTITUTE(VLOOKUP($D56,素材!$1:$1016,COLUMN($F$1),FALSE), "・", 0)) + 1), 0)</f>
        <v>0</v>
      </c>
      <c r="AB56">
        <f>IF(ISNUMBER(SEARCH(SUBSTITUTE(AB$1,RIGHT(AB$1,2),""),VLOOKUP($D56,素材!$1:$1016,COLUMN($F$1),FALSE))),VLOOKUP($C56,武器!$1:$998,COLUMN($O$1),FALSE)*VLOOKUP($D56,素材!$1:$1016,COLUMN($E$1),FALSE)/(LEN(VLOOKUP($D56,素材!$1:$1016,COLUMN($F$1),FALSE)) - LEN(SUBSTITUTE(VLOOKUP($D56,素材!$1:$1016,COLUMN($F$1),FALSE), "・", 0)) + 1), 0)</f>
        <v>0</v>
      </c>
      <c r="AC56">
        <f>IF(ISNUMBER(SEARCH(SUBSTITUTE(AC$1,RIGHT(AC$1,2),""),VLOOKUP($D56,素材!$1:$1016,COLUMN($F$1),FALSE))),VLOOKUP($C56,武器!$1:$998,COLUMN($O$1),FALSE)*VLOOKUP($D56,素材!$1:$1016,COLUMN($E$1),FALSE)/(LEN(VLOOKUP($D56,素材!$1:$1016,COLUMN($F$1),FALSE)) - LEN(SUBSTITUTE(VLOOKUP($D56,素材!$1:$1016,COLUMN($F$1),FALSE), "・", 0)) + 1), 0)</f>
        <v>0</v>
      </c>
      <c r="AD56">
        <f>IF(ISNUMBER(SEARCH(SUBSTITUTE(AD$1,RIGHT(AD$1,2),""),VLOOKUP($D56,素材!$1:$1016,COLUMN($F$1),FALSE))),VLOOKUP($C56,武器!$1:$998,COLUMN($O$1),FALSE)*VLOOKUP($D56,素材!$1:$1016,COLUMN($E$1),FALSE)/(LEN(VLOOKUP($D56,素材!$1:$1016,COLUMN($F$1),FALSE)) - LEN(SUBSTITUTE(VLOOKUP($D56,素材!$1:$1016,COLUMN($F$1),FALSE), "・", 0)) + 1), 0)</f>
        <v>0</v>
      </c>
      <c r="AE56">
        <f>IF(ISNUMBER(SEARCH(SUBSTITUTE(AE$1,RIGHT(AE$1,2),""),VLOOKUP($D56,素材!$1:$1016,COLUMN($F$1),FALSE))),VLOOKUP($C56,武器!$1:$998,COLUMN($O$1),FALSE)*VLOOKUP($D56,素材!$1:$1016,COLUMN($E$1),FALSE)/(LEN(VLOOKUP($D56,素材!$1:$1016,COLUMN($F$1),FALSE)) - LEN(SUBSTITUTE(VLOOKUP($D56,素材!$1:$1016,COLUMN($F$1),FALSE), "・", 0)) + 1), 0)</f>
        <v>0</v>
      </c>
      <c r="AF56">
        <f>IF(ISNUMBER(SEARCH(SUBSTITUTE(AF$1,RIGHT(AF$1,2),""),VLOOKUP($D56,素材!$1:$1016,COLUMN($F$1),FALSE))),VLOOKUP($C56,武器!$1:$998,COLUMN($O$1),FALSE)*VLOOKUP($D56,素材!$1:$1016,COLUMN($E$1),FALSE)/(LEN(VLOOKUP($D56,素材!$1:$1016,COLUMN($F$1),FALSE)) - LEN(SUBSTITUTE(VLOOKUP($D56,素材!$1:$1016,COLUMN($F$1),FALSE), "・", 0)) + 1), 0)</f>
        <v>0</v>
      </c>
      <c r="AG56">
        <f>IF(ISNUMBER(SEARCH(SUBSTITUTE(AG$1,RIGHT(AG$1,2),""),VLOOKUP($D56,素材!$1:$1016,COLUMN($F$1),FALSE))),VLOOKUP($C56,武器!$1:$998,COLUMN($O$1),FALSE)*VLOOKUP($D56,素材!$1:$1016,COLUMN($E$1),FALSE)/(LEN(VLOOKUP($D56,素材!$1:$1016,COLUMN($F$1),FALSE)) - LEN(SUBSTITUTE(VLOOKUP($D56,素材!$1:$1016,COLUMN($F$1),FALSE), "・", 0)) + 1), 0)</f>
        <v>0</v>
      </c>
      <c r="AH56">
        <f>IF(ISNUMBER(SEARCH(SUBSTITUTE(AH$1,RIGHT(AH$1,2),""),VLOOKUP($D56,素材!$1:$1016,COLUMN($F$1),FALSE))),VLOOKUP($C56,武器!$1:$998,COLUMN($O$1),FALSE)*VLOOKUP($D56,素材!$1:$1016,COLUMN($E$1),FALSE)/(LEN(VLOOKUP($D56,素材!$1:$1016,COLUMN($F$1),FALSE)) - LEN(SUBSTITUTE(VLOOKUP($D56,素材!$1:$1016,COLUMN($F$1),FALSE), "・", 0)) + 1), 0)</f>
        <v>0</v>
      </c>
      <c r="AI56">
        <f>IF(ISNUMBER(SEARCH(SUBSTITUTE(AI$1,RIGHT(AI$1,2),""),VLOOKUP($D56,素材!$1:$1016,COLUMN($F$1),FALSE))),VLOOKUP($C56,武器!$1:$998,COLUMN($O$1),FALSE)*VLOOKUP($D56,素材!$1:$1016,COLUMN($E$1),FALSE)/(LEN(VLOOKUP($D56,素材!$1:$1016,COLUMN($F$1),FALSE)) - LEN(SUBSTITUTE(VLOOKUP($D56,素材!$1:$1016,COLUMN($F$1),FALSE), "・", 0)) + 1), 0)</f>
        <v>0</v>
      </c>
      <c r="AJ56">
        <f>IF(ISNUMBER(SEARCH(SUBSTITUTE(AJ$1,RIGHT(AJ$1,2),""),VLOOKUP($D56,素材!$1:$1016,COLUMN($F$1),FALSE))),VLOOKUP($C56,武器!$1:$998,COLUMN($O$1),FALSE)*VLOOKUP($D56,素材!$1:$1016,COLUMN($E$1),FALSE)/(LEN(VLOOKUP($D56,素材!$1:$1016,COLUMN($F$1),FALSE)) - LEN(SUBSTITUTE(VLOOKUP($D56,素材!$1:$1016,COLUMN($F$1),FALSE), "・", 0)) + 1), 0)</f>
        <v>0</v>
      </c>
      <c r="AK56">
        <f>IF(ISNUMBER(SEARCH(SUBSTITUTE(AK$1,RIGHT(AK$1,2),""),VLOOKUP($D56,素材!$1:$1016,COLUMN($F$1),FALSE))),VLOOKUP($C56,武器!$1:$998,COLUMN($O$1),FALSE)*VLOOKUP($D56,素材!$1:$1016,COLUMN($E$1),FALSE)/(LEN(VLOOKUP($D56,素材!$1:$1016,COLUMN($F$1),FALSE)) - LEN(SUBSTITUTE(VLOOKUP($D56,素材!$1:$1016,COLUMN($F$1),FALSE), "・", 0)) + 1), 0)</f>
        <v>0</v>
      </c>
      <c r="AL56">
        <f>IF(ISNUMBER(SEARCH(SUBSTITUTE(AL$1,RIGHT(AL$1,2),""),VLOOKUP($D56,素材!$1:$1016,COLUMN($F$1),FALSE))),VLOOKUP($C56,武器!$1:$998,COLUMN($O$1),FALSE)*VLOOKUP($D56,素材!$1:$1016,COLUMN($E$1),FALSE)/(LEN(VLOOKUP($D56,素材!$1:$1016,COLUMN($F$1),FALSE)) - LEN(SUBSTITUTE(VLOOKUP($D56,素材!$1:$1016,COLUMN($F$1),FALSE), "・", 0)) + 1), 0)</f>
        <v>0</v>
      </c>
      <c r="AM56">
        <f>IF(ISNUMBER(SEARCH(SUBSTITUTE(AM$1,RIGHT(AM$1,2),""),VLOOKUP($D56,素材!$1:$1016,COLUMN($F$1),FALSE))),VLOOKUP($C56,武器!$1:$998,COLUMN($O$1),FALSE)*VLOOKUP($D56,素材!$1:$1016,COLUMN($E$1),FALSE)/(LEN(VLOOKUP($D56,素材!$1:$1016,COLUMN($F$1),FALSE)) - LEN(SUBSTITUTE(VLOOKUP($D56,素材!$1:$1016,COLUMN($F$1),FALSE), "・", 0)) + 1), 0)</f>
        <v>0</v>
      </c>
      <c r="AN56">
        <f>IF(ISNUMBER(SEARCH(SUBSTITUTE(AN$1,RIGHT(AN$1,2),""),VLOOKUP($D56,素材!$1:$1016,COLUMN($F$1),FALSE))),VLOOKUP($C56,武器!$1:$998,COLUMN($O$1),FALSE)*VLOOKUP($D56,素材!$1:$1016,COLUMN($E$1),FALSE)/(LEN(VLOOKUP($D56,素材!$1:$1016,COLUMN($F$1),FALSE)) - LEN(SUBSTITUTE(VLOOKUP($D56,素材!$1:$1016,COLUMN($F$1),FALSE), "・", 0)) + 1), 0)</f>
        <v>0</v>
      </c>
      <c r="AO56">
        <f>IF(ISNUMBER(SEARCH(SUBSTITUTE(AO$1,RIGHT(AO$1,2),""),VLOOKUP($D56,素材!$1:$1016,COLUMN($F$1),FALSE))),VLOOKUP($C56,武器!$1:$998,COLUMN($O$1),FALSE)*VLOOKUP($D56,素材!$1:$1016,COLUMN($E$1),FALSE)/(LEN(VLOOKUP($D56,素材!$1:$1016,COLUMN($F$1),FALSE)) - LEN(SUBSTITUTE(VLOOKUP($D56,素材!$1:$1016,COLUMN($F$1),FALSE), "・", 0)) + 1), 0)</f>
        <v>0</v>
      </c>
      <c r="AP56">
        <f>IF(ISNUMBER(SEARCH(SUBSTITUTE(AP$1,RIGHT(AP$1,2),""),VLOOKUP($D56,素材!$1:$1016,COLUMN($F$1),FALSE))),VLOOKUP($C56,武器!$1:$998,COLUMN($O$1),FALSE)*VLOOKUP($D56,素材!$1:$1016,COLUMN($E$1),FALSE)/(LEN(VLOOKUP($D56,素材!$1:$1016,COLUMN($F$1),FALSE)) - LEN(SUBSTITUTE(VLOOKUP($D56,素材!$1:$1016,COLUMN($F$1),FALSE), "・", 0)) + 1), 0)</f>
        <v>0</v>
      </c>
      <c r="AQ56">
        <f>IF(ISNUMBER(SEARCH(SUBSTITUTE(AQ$1,RIGHT(AQ$1,2),""),VLOOKUP($D56,素材!$1:$1016,COLUMN($F$1),FALSE))),VLOOKUP($C56,武器!$1:$998,COLUMN($O$1),FALSE)*VLOOKUP($D56,素材!$1:$1016,COLUMN($E$1),FALSE)/(LEN(VLOOKUP($D56,素材!$1:$1016,COLUMN($F$1),FALSE)) - LEN(SUBSTITUTE(VLOOKUP($D56,素材!$1:$1016,COLUMN($F$1),FALSE), "・", 0)) + 1), 0)</f>
        <v>0</v>
      </c>
      <c r="AR56">
        <f>IF(ISNUMBER(SEARCH(SUBSTITUTE(AR$1,RIGHT(AR$1,2),""),VLOOKUP($D56,素材!$1:$1016,COLUMN($F$1),FALSE))),VLOOKUP($C56,武器!$1:$998,COLUMN($O$1),FALSE)*VLOOKUP($D56,素材!$1:$1016,COLUMN($E$1),FALSE)/(LEN(VLOOKUP($D56,素材!$1:$1016,COLUMN($F$1),FALSE)) - LEN(SUBSTITUTE(VLOOKUP($D56,素材!$1:$1016,COLUMN($F$1),FALSE), "・", 0)) + 1), 0)</f>
        <v>0</v>
      </c>
      <c r="AS56">
        <f>IF(ISNUMBER(SEARCH(SUBSTITUTE(AS$1,RIGHT(AS$1,2),""),VLOOKUP($D56,素材!$1:$1016,COLUMN($F$1),FALSE))),VLOOKUP($C56,武器!$1:$998,COLUMN($O$1),FALSE)*VLOOKUP($D56,素材!$1:$1016,COLUMN($E$1),FALSE)/(LEN(VLOOKUP($D56,素材!$1:$1016,COLUMN($F$1),FALSE)) - LEN(SUBSTITUTE(VLOOKUP($D56,素材!$1:$1016,COLUMN($F$1),FALSE), "・", 0)) + 1), 0)</f>
        <v>0</v>
      </c>
      <c r="AT56">
        <f>IF(ISNUMBER(SEARCH(SUBSTITUTE(AT$1,RIGHT(AT$1,2),""),VLOOKUP($D56,素材!$1:$1016,COLUMN($F$1),FALSE))),VLOOKUP($C56,武器!$1:$998,COLUMN($O$1),FALSE)*VLOOKUP($D56,素材!$1:$1016,COLUMN($E$1),FALSE)/(LEN(VLOOKUP($D56,素材!$1:$1016,COLUMN($F$1),FALSE)) - LEN(SUBSTITUTE(VLOOKUP($D56,素材!$1:$1016,COLUMN($F$1),FALSE), "・", 0)) + 1), 0)</f>
        <v>0</v>
      </c>
      <c r="AU56">
        <f>IF(ISNUMBER(SEARCH(SUBSTITUTE(AU$1,RIGHT(AU$1,2),""),VLOOKUP($D56,素材!$1:$1016,COLUMN($F$1),FALSE))),VLOOKUP($C56,武器!$1:$998,COLUMN($O$1),FALSE)*VLOOKUP($D56,素材!$1:$1016,COLUMN($E$1),FALSE)/(LEN(VLOOKUP($D56,素材!$1:$1016,COLUMN($F$1),FALSE)) - LEN(SUBSTITUTE(VLOOKUP($D56,素材!$1:$1016,COLUMN($F$1),FALSE), "・", 0)) + 1), 0)</f>
        <v>0</v>
      </c>
      <c r="AV56">
        <f>IF(ISNUMBER(SEARCH(SUBSTITUTE(AV$1,RIGHT(AV$1,2),""),VLOOKUP($D56,素材!$1:$1016,COLUMN($F$1),FALSE))),VLOOKUP($C56,武器!$1:$998,COLUMN($O$1),FALSE)*VLOOKUP($D56,素材!$1:$1016,COLUMN($E$1),FALSE)/(LEN(VLOOKUP($D56,素材!$1:$1016,COLUMN($F$1),FALSE)) - LEN(SUBSTITUTE(VLOOKUP($D56,素材!$1:$1016,COLUMN($F$1),FALSE), "・", 0)) + 1), 0)</f>
        <v>0</v>
      </c>
      <c r="AW56">
        <f>IF(ISNUMBER(SEARCH(SUBSTITUTE(AW$1,RIGHT(AW$1,2),""),VLOOKUP($D56,素材!$1:$1016,COLUMN($F$1),FALSE))),VLOOKUP($C56,武器!$1:$998,COLUMN($O$1),FALSE)*VLOOKUP($D56,素材!$1:$1016,COLUMN($E$1),FALSE)/(LEN(VLOOKUP($D56,素材!$1:$1016,COLUMN($F$1),FALSE)) - LEN(SUBSTITUTE(VLOOKUP($D56,素材!$1:$1016,COLUMN($F$1),FALSE), "・", 0)) + 1), 0)</f>
        <v>0</v>
      </c>
      <c r="AX56">
        <f>IF(ISNUMBER(SEARCH(SUBSTITUTE(AX$1,RIGHT(AX$1,2),""),VLOOKUP($D56,素材!$1:$1016,COLUMN($F$1),FALSE))),VLOOKUP($C56,武器!$1:$998,COLUMN($O$1),FALSE)*VLOOKUP($D56,素材!$1:$1016,COLUMN($E$1),FALSE)/(LEN(VLOOKUP($D56,素材!$1:$1016,COLUMN($F$1),FALSE)) - LEN(SUBSTITUTE(VLOOKUP($D56,素材!$1:$1016,COLUMN($F$1),FALSE), "・", 0)) + 1), 0)</f>
        <v>0</v>
      </c>
      <c r="AY56">
        <f>IF(ISNUMBER(SEARCH(SUBSTITUTE(AY$1,RIGHT(AY$1,2),""),VLOOKUP($D56,素材!$1:$1016,COLUMN($F$1),FALSE))),VLOOKUP($C56,武器!$1:$998,COLUMN($O$1),FALSE)*VLOOKUP($D56,素材!$1:$1016,COLUMN($E$1),FALSE)/(LEN(VLOOKUP($D56,素材!$1:$1016,COLUMN($F$1),FALSE)) - LEN(SUBSTITUTE(VLOOKUP($D56,素材!$1:$1016,COLUMN($F$1),FALSE), "・", 0)) + 1), 0)</f>
        <v>0</v>
      </c>
      <c r="AZ56">
        <f>IF(ISNUMBER(SEARCH(SUBSTITUTE(AZ$1,RIGHT(AZ$1,2),""),VLOOKUP($D56,素材!$1:$1016,COLUMN($F$1),FALSE))),VLOOKUP($C56,武器!$1:$998,COLUMN($O$1),FALSE)*VLOOKUP($D56,素材!$1:$1016,COLUMN($E$1),FALSE)/(LEN(VLOOKUP($D56,素材!$1:$1016,COLUMN($F$1),FALSE)) - LEN(SUBSTITUTE(VLOOKUP($D56,素材!$1:$1016,COLUMN($F$1),FALSE), "・", 0)) + 1), 0)</f>
        <v>0</v>
      </c>
      <c r="BA56">
        <f>IF(ISNUMBER(SEARCH(SUBSTITUTE(BA$1,RIGHT(BA$1,2),""),VLOOKUP($D56,素材!$1:$1016,COLUMN($F$1),FALSE))),VLOOKUP($C56,武器!$1:$998,COLUMN($O$1),FALSE)*VLOOKUP($D56,素材!$1:$1016,COLUMN($E$1),FALSE)/(LEN(VLOOKUP($D56,素材!$1:$1016,COLUMN($F$1),FALSE)) - LEN(SUBSTITUTE(VLOOKUP($D56,素材!$1:$1016,COLUMN($F$1),FALSE), "・", 0)) + 1), 0)</f>
        <v>0</v>
      </c>
      <c r="BB56">
        <f>IF(ISNUMBER(SEARCH(SUBSTITUTE(BB$1,RIGHT(BB$1,2),""),VLOOKUP($D56,素材!$1:$1016,COLUMN($F$1),FALSE))),VLOOKUP($C56,武器!$1:$998,COLUMN($O$1),FALSE)*VLOOKUP($D56,素材!$1:$1016,COLUMN($E$1),FALSE)/(LEN(VLOOKUP($D56,素材!$1:$1016,COLUMN($F$1),FALSE)) - LEN(SUBSTITUTE(VLOOKUP($D56,素材!$1:$1016,COLUMN($F$1),FALSE), "・", 0)) + 1), 0)</f>
        <v>0</v>
      </c>
      <c r="BC56">
        <f>IF(ISNUMBER(SEARCH(SUBSTITUTE(BC$1,RIGHT(BC$1,2),""),VLOOKUP($D56,素材!$1:$1016,COLUMN($F$1),FALSE))),VLOOKUP($C56,武器!$1:$998,COLUMN($O$1),FALSE)*VLOOKUP($D56,素材!$1:$1016,COLUMN($E$1),FALSE)/(LEN(VLOOKUP($D56,素材!$1:$1016,COLUMN($F$1),FALSE)) - LEN(SUBSTITUTE(VLOOKUP($D56,素材!$1:$1016,COLUMN($F$1),FALSE), "・", 0)) + 1), 0)</f>
        <v>0</v>
      </c>
      <c r="BD56">
        <f>IF(ISNUMBER(SEARCH(SUBSTITUTE(BD$1,RIGHT(BD$1,2),""),VLOOKUP($D56,素材!$1:$1016,COLUMN($F$1),FALSE))),VLOOKUP($C56,武器!$1:$998,COLUMN($O$1),FALSE)*VLOOKUP($D56,素材!$1:$1016,COLUMN($E$1),FALSE)/(LEN(VLOOKUP($D56,素材!$1:$1016,COLUMN($F$1),FALSE)) - LEN(SUBSTITUTE(VLOOKUP($D56,素材!$1:$1016,COLUMN($F$1),FALSE), "・", 0)) + 1), 0)</f>
        <v>0</v>
      </c>
      <c r="BE56">
        <f>IF(ISNUMBER(SEARCH(SUBSTITUTE(BE$1,RIGHT(BE$1,2),""),VLOOKUP($D56,素材!$1:$1016,COLUMN($F$1),FALSE))),VLOOKUP($C56,武器!$1:$998,COLUMN($O$1),FALSE)*VLOOKUP($D56,素材!$1:$1016,COLUMN($E$1),FALSE)/(LEN(VLOOKUP($D56,素材!$1:$1016,COLUMN($F$1),FALSE)) - LEN(SUBSTITUTE(VLOOKUP($D56,素材!$1:$1016,COLUMN($F$1),FALSE), "・", 0)) + 1), 0)</f>
        <v>0</v>
      </c>
      <c r="CL56">
        <f>SUM(G56:I56)</f>
        <v>18</v>
      </c>
      <c r="CM56" s="22" t="str">
        <f>IF(E56="武器",IF(J56-1&gt;SUM(G56:I56),"盾",IF(MAX(G56:I56)=G56,"切断",IF(MAX(G56:I56)=H56,"貫通",IF(MAX(G56:I56)=I56,"打撃","射撃")))),E56)&amp;".webp"</f>
        <v>打撃.webp</v>
      </c>
      <c r="CN56">
        <f>IFERROR(VLOOKUP($C56,武器!$1:$998,COLUMN(V$1),FALSE)*VLOOKUP($D56,素材!$1:$1016,COLUMN(N$1),FALSE)+IF(CI56="",0,VLOOKUP($CI56,装強!$1:$1008,COLUMN($CK$1),FALSE)),"")</f>
        <v>250</v>
      </c>
      <c r="CO56" t="str">
        <f>VLOOKUP(D56,素材!$A:$O,COLUMN(素材!O$1),FALSE)</f>
        <v>一般的な木材。金属より軽いが少し脆い</v>
      </c>
      <c r="CP56" t="str">
        <f>VLOOKUP(C56,武器!$A:$W,COLUMN(武器!W$1),FALSE)</f>
        <v>戦鎚。重い打撃を与える強力な武器。</v>
      </c>
      <c r="CR56" t="str">
        <f t="shared" si="1"/>
        <v>e_56</v>
      </c>
      <c r="CS56">
        <f t="shared" si="2"/>
        <v>25000</v>
      </c>
    </row>
    <row r="57" spans="1:97" outlineLevel="1" x14ac:dyDescent="0.4">
      <c r="A57" t="str">
        <f t="shared" si="3"/>
        <v>木の鎌</v>
      </c>
      <c r="B57" t="str">
        <f>IFERROR(VLOOKUP($D57,素材!$1:$1016,COLUMN($B$1),FALSE)&amp;"・"&amp;VLOOKUP($C57,武器!$1:$998,COLUMN(B$1),FALSE),"")</f>
        <v>ウッド・シックル</v>
      </c>
      <c r="C57" t="s">
        <v>225</v>
      </c>
      <c r="D57" s="24" t="s">
        <v>255</v>
      </c>
      <c r="E57" t="str">
        <f>IFERROR(VLOOKUP(C57,武器!$1:$998,COLUMN(C$1),FALSE),"")</f>
        <v>武器</v>
      </c>
      <c r="F57">
        <f>IFERROR(ROUNDDOWN((VLOOKUP($C57,武器!$1:$998,COLUMN(D$1),FALSE)+IFERROR(VLOOKUP($CI57,装強!$1:$999,COLUMN(F$1),FALSE),0))*VLOOKUP($D57,素材!$1:$1016,COLUMN(D$1),FALSE),0),"")</f>
        <v>93</v>
      </c>
      <c r="G57">
        <f>IFERROR(ROUNDDOWN((VLOOKUP($C57,武器!$1:$998,COLUMN(E$1),FALSE)+IFERROR(VLOOKUP($CI57,装強!$1:$999,COLUMN(G$1),FALSE),0))*VLOOKUP($D57,素材!$1:$1016,COLUMN($E$1),FALSE),0),"")</f>
        <v>6</v>
      </c>
      <c r="H57">
        <f>IFERROR(ROUNDDOWN((VLOOKUP($C57,武器!$1:$998,COLUMN(F$1),FALSE)+IFERROR(VLOOKUP($CI57,装強!$1:$999,COLUMN(H$1),FALSE),0))*VLOOKUP($D57,素材!$1:$1016,COLUMN($E$1),FALSE),0),"")</f>
        <v>8</v>
      </c>
      <c r="I57">
        <f>IFERROR(ROUNDDOWN((VLOOKUP($C57,武器!$1:$998,COLUMN(G$1),FALSE)+IFERROR(VLOOKUP($CI57,装強!$1:$999,COLUMN(I$1),FALSE),0))*VLOOKUP($D57,素材!$1:$1016,COLUMN($E$1),FALSE),0),"")</f>
        <v>0</v>
      </c>
      <c r="J57">
        <f>IFERROR(ROUNDDOWN((VLOOKUP($C57,武器!$1:$998,COLUMN(H$1),FALSE)+IFERROR(VLOOKUP($CI57,装強!$1:$999,COLUMN(J$1),FALSE),0))*VLOOKUP($D57,素材!$1:$1016,COLUMN($E$1),FALSE),0),"")</f>
        <v>12</v>
      </c>
      <c r="K57">
        <f>IFERROR(ROUNDDOWN((VLOOKUP($C57,武器!$1:$998,COLUMN(I$1),FALSE)+IFERROR(VLOOKUP($CI57,装強!$1:$999,COLUMN(K$1),FALSE),0))*VLOOKUP($D57,素材!$1:$1016,COLUMN($E$1),FALSE),0),"")</f>
        <v>0</v>
      </c>
      <c r="L57">
        <f>IFERROR(VLOOKUP($D57,素材!$1:$1016,COLUMN($F$1),FALSE),"")</f>
        <v>0</v>
      </c>
      <c r="M57">
        <f>IFERROR(VLOOKUP($C57,武器!$1:$998,COLUMN(AA$1),FALSE)*VLOOKUP($D57,素材!$1:$1016,COLUMN($G$1),FALSE),"")</f>
        <v>0</v>
      </c>
      <c r="N57">
        <f>IFERROR(VLOOKUP($C57,武器!$1:$998,COLUMN(I$1),FALSE),"")</f>
        <v>0</v>
      </c>
      <c r="O57" s="23">
        <f>IFERROR((VLOOKUP($C57,武器!$1:$998,COLUMN(K$1),FALSE)+VLOOKUP($D57,素材!$1:$1016,COLUMN(H$1),FALSE))*100+IFERROR(VLOOKUP($CI57,装強!$1:$999,COLUMN(O$1),FALSE),0),"")</f>
        <v>5</v>
      </c>
      <c r="P57" s="23">
        <f>IFERROR((VLOOKUP($C57,武器!$1:$998,COLUMN(L$1),FALSE)+VLOOKUP($D57,素材!$1:$1016,COLUMN(I$1),FALSE))*100+IFERROR(VLOOKUP($CI57,装強!$1:$999,COLUMN(P$1),FALSE),0),"")</f>
        <v>200</v>
      </c>
      <c r="Q57">
        <f>IFERROR(ROUNDUP(VLOOKUP($C57,武器!$1:$998,COLUMN(M$1),FALSE)*(VLOOKUP($D57,素材!$1:$1002,COLUMN(D$1),FALSE)/100),1),"")</f>
        <v>0</v>
      </c>
      <c r="R57">
        <f>IFERROR(ROUNDUP(VLOOKUP($C57,武器!$1:$998,COLUMN(N$1),FALSE)*(VLOOKUP($D57,素材!$1:$1002,COLUMN(D$1),FALSE)/100),1),"")</f>
        <v>0</v>
      </c>
      <c r="S57">
        <f>IFERROR(VLOOKUP($C57,武器!$1:$998,COLUMN(P$1),FALSE),"")</f>
        <v>0</v>
      </c>
      <c r="T57">
        <f>IFERROR(VLOOKUP($C57,武器!$1:$998,COLUMN(Q$1),FALSE),"")</f>
        <v>0</v>
      </c>
      <c r="U57">
        <f>IFERROR(VLOOKUP($C57,武器!$1:$998,COLUMN(R$1),FALSE),"")</f>
        <v>0</v>
      </c>
      <c r="V57">
        <f>IFERROR(VLOOKUP($C57,武器!$1:$998,COLUMN(Q$1),FALSE),"")</f>
        <v>0</v>
      </c>
      <c r="W57" t="str">
        <f>IFERROR(VLOOKUP($C57,武器!$1:$998,COLUMN(T$1),FALSE),"")</f>
        <v>A</v>
      </c>
      <c r="Y57" t="str">
        <f>IFERROR(VLOOKUP($C57,武器!$1:$998,COLUMN(U$1),FALSE),"")</f>
        <v>投擲強化、片手適性Ⅰ</v>
      </c>
      <c r="Z57">
        <f>IFERROR(ROUNDUP(VLOOKUP($C57,武器!$1:$998,COLUMN(O$1),FALSE)*VLOOKUP($D57,素材!$1:$1016,COLUMN(E$1),FALSE),1),"")</f>
        <v>0</v>
      </c>
      <c r="AA57">
        <f>IF(ISNUMBER(SEARCH(SUBSTITUTE(AA$1,RIGHT(AA$1,2),""),VLOOKUP($D57,素材!$1:$1016,COLUMN($F$1),FALSE))),VLOOKUP($C57,武器!$1:$998,COLUMN($O$1),FALSE)*VLOOKUP($D57,素材!$1:$1016,COLUMN($E$1),FALSE)/(LEN(VLOOKUP($D57,素材!$1:$1016,COLUMN($F$1),FALSE)) - LEN(SUBSTITUTE(VLOOKUP($D57,素材!$1:$1016,COLUMN($F$1),FALSE), "・", 0)) + 1), 0)</f>
        <v>0</v>
      </c>
      <c r="AB57">
        <f>IF(ISNUMBER(SEARCH(SUBSTITUTE(AB$1,RIGHT(AB$1,2),""),VLOOKUP($D57,素材!$1:$1016,COLUMN($F$1),FALSE))),VLOOKUP($C57,武器!$1:$998,COLUMN($O$1),FALSE)*VLOOKUP($D57,素材!$1:$1016,COLUMN($E$1),FALSE)/(LEN(VLOOKUP($D57,素材!$1:$1016,COLUMN($F$1),FALSE)) - LEN(SUBSTITUTE(VLOOKUP($D57,素材!$1:$1016,COLUMN($F$1),FALSE), "・", 0)) + 1), 0)</f>
        <v>0</v>
      </c>
      <c r="AC57">
        <f>IF(ISNUMBER(SEARCH(SUBSTITUTE(AC$1,RIGHT(AC$1,2),""),VLOOKUP($D57,素材!$1:$1016,COLUMN($F$1),FALSE))),VLOOKUP($C57,武器!$1:$998,COLUMN($O$1),FALSE)*VLOOKUP($D57,素材!$1:$1016,COLUMN($E$1),FALSE)/(LEN(VLOOKUP($D57,素材!$1:$1016,COLUMN($F$1),FALSE)) - LEN(SUBSTITUTE(VLOOKUP($D57,素材!$1:$1016,COLUMN($F$1),FALSE), "・", 0)) + 1), 0)</f>
        <v>0</v>
      </c>
      <c r="AD57">
        <f>IF(ISNUMBER(SEARCH(SUBSTITUTE(AD$1,RIGHT(AD$1,2),""),VLOOKUP($D57,素材!$1:$1016,COLUMN($F$1),FALSE))),VLOOKUP($C57,武器!$1:$998,COLUMN($O$1),FALSE)*VLOOKUP($D57,素材!$1:$1016,COLUMN($E$1),FALSE)/(LEN(VLOOKUP($D57,素材!$1:$1016,COLUMN($F$1),FALSE)) - LEN(SUBSTITUTE(VLOOKUP($D57,素材!$1:$1016,COLUMN($F$1),FALSE), "・", 0)) + 1), 0)</f>
        <v>0</v>
      </c>
      <c r="AE57">
        <f>IF(ISNUMBER(SEARCH(SUBSTITUTE(AE$1,RIGHT(AE$1,2),""),VLOOKUP($D57,素材!$1:$1016,COLUMN($F$1),FALSE))),VLOOKUP($C57,武器!$1:$998,COLUMN($O$1),FALSE)*VLOOKUP($D57,素材!$1:$1016,COLUMN($E$1),FALSE)/(LEN(VLOOKUP($D57,素材!$1:$1016,COLUMN($F$1),FALSE)) - LEN(SUBSTITUTE(VLOOKUP($D57,素材!$1:$1016,COLUMN($F$1),FALSE), "・", 0)) + 1), 0)</f>
        <v>0</v>
      </c>
      <c r="AF57">
        <f>IF(ISNUMBER(SEARCH(SUBSTITUTE(AF$1,RIGHT(AF$1,2),""),VLOOKUP($D57,素材!$1:$1016,COLUMN($F$1),FALSE))),VLOOKUP($C57,武器!$1:$998,COLUMN($O$1),FALSE)*VLOOKUP($D57,素材!$1:$1016,COLUMN($E$1),FALSE)/(LEN(VLOOKUP($D57,素材!$1:$1016,COLUMN($F$1),FALSE)) - LEN(SUBSTITUTE(VLOOKUP($D57,素材!$1:$1016,COLUMN($F$1),FALSE), "・", 0)) + 1), 0)</f>
        <v>0</v>
      </c>
      <c r="AG57">
        <f>IF(ISNUMBER(SEARCH(SUBSTITUTE(AG$1,RIGHT(AG$1,2),""),VLOOKUP($D57,素材!$1:$1016,COLUMN($F$1),FALSE))),VLOOKUP($C57,武器!$1:$998,COLUMN($O$1),FALSE)*VLOOKUP($D57,素材!$1:$1016,COLUMN($E$1),FALSE)/(LEN(VLOOKUP($D57,素材!$1:$1016,COLUMN($F$1),FALSE)) - LEN(SUBSTITUTE(VLOOKUP($D57,素材!$1:$1016,COLUMN($F$1),FALSE), "・", 0)) + 1), 0)</f>
        <v>0</v>
      </c>
      <c r="AH57">
        <f>IF(ISNUMBER(SEARCH(SUBSTITUTE(AH$1,RIGHT(AH$1,2),""),VLOOKUP($D57,素材!$1:$1016,COLUMN($F$1),FALSE))),VLOOKUP($C57,武器!$1:$998,COLUMN($O$1),FALSE)*VLOOKUP($D57,素材!$1:$1016,COLUMN($E$1),FALSE)/(LEN(VLOOKUP($D57,素材!$1:$1016,COLUMN($F$1),FALSE)) - LEN(SUBSTITUTE(VLOOKUP($D57,素材!$1:$1016,COLUMN($F$1),FALSE), "・", 0)) + 1), 0)</f>
        <v>0</v>
      </c>
      <c r="AI57">
        <f>IF(ISNUMBER(SEARCH(SUBSTITUTE(AI$1,RIGHT(AI$1,2),""),VLOOKUP($D57,素材!$1:$1016,COLUMN($F$1),FALSE))),VLOOKUP($C57,武器!$1:$998,COLUMN($O$1),FALSE)*VLOOKUP($D57,素材!$1:$1016,COLUMN($E$1),FALSE)/(LEN(VLOOKUP($D57,素材!$1:$1016,COLUMN($F$1),FALSE)) - LEN(SUBSTITUTE(VLOOKUP($D57,素材!$1:$1016,COLUMN($F$1),FALSE), "・", 0)) + 1), 0)</f>
        <v>0</v>
      </c>
      <c r="AJ57">
        <f>IF(ISNUMBER(SEARCH(SUBSTITUTE(AJ$1,RIGHT(AJ$1,2),""),VLOOKUP($D57,素材!$1:$1016,COLUMN($F$1),FALSE))),VLOOKUP($C57,武器!$1:$998,COLUMN($O$1),FALSE)*VLOOKUP($D57,素材!$1:$1016,COLUMN($E$1),FALSE)/(LEN(VLOOKUP($D57,素材!$1:$1016,COLUMN($F$1),FALSE)) - LEN(SUBSTITUTE(VLOOKUP($D57,素材!$1:$1016,COLUMN($F$1),FALSE), "・", 0)) + 1), 0)</f>
        <v>0</v>
      </c>
      <c r="AK57">
        <f>IF(ISNUMBER(SEARCH(SUBSTITUTE(AK$1,RIGHT(AK$1,2),""),VLOOKUP($D57,素材!$1:$1016,COLUMN($F$1),FALSE))),VLOOKUP($C57,武器!$1:$998,COLUMN($O$1),FALSE)*VLOOKUP($D57,素材!$1:$1016,COLUMN($E$1),FALSE)/(LEN(VLOOKUP($D57,素材!$1:$1016,COLUMN($F$1),FALSE)) - LEN(SUBSTITUTE(VLOOKUP($D57,素材!$1:$1016,COLUMN($F$1),FALSE), "・", 0)) + 1), 0)</f>
        <v>0</v>
      </c>
      <c r="AL57">
        <f>IF(ISNUMBER(SEARCH(SUBSTITUTE(AL$1,RIGHT(AL$1,2),""),VLOOKUP($D57,素材!$1:$1016,COLUMN($F$1),FALSE))),VLOOKUP($C57,武器!$1:$998,COLUMN($O$1),FALSE)*VLOOKUP($D57,素材!$1:$1016,COLUMN($E$1),FALSE)/(LEN(VLOOKUP($D57,素材!$1:$1016,COLUMN($F$1),FALSE)) - LEN(SUBSTITUTE(VLOOKUP($D57,素材!$1:$1016,COLUMN($F$1),FALSE), "・", 0)) + 1), 0)</f>
        <v>0</v>
      </c>
      <c r="AM57">
        <f>IF(ISNUMBER(SEARCH(SUBSTITUTE(AM$1,RIGHT(AM$1,2),""),VLOOKUP($D57,素材!$1:$1016,COLUMN($F$1),FALSE))),VLOOKUP($C57,武器!$1:$998,COLUMN($O$1),FALSE)*VLOOKUP($D57,素材!$1:$1016,COLUMN($E$1),FALSE)/(LEN(VLOOKUP($D57,素材!$1:$1016,COLUMN($F$1),FALSE)) - LEN(SUBSTITUTE(VLOOKUP($D57,素材!$1:$1016,COLUMN($F$1),FALSE), "・", 0)) + 1), 0)</f>
        <v>0</v>
      </c>
      <c r="AN57">
        <f>IF(ISNUMBER(SEARCH(SUBSTITUTE(AN$1,RIGHT(AN$1,2),""),VLOOKUP($D57,素材!$1:$1016,COLUMN($F$1),FALSE))),VLOOKUP($C57,武器!$1:$998,COLUMN($O$1),FALSE)*VLOOKUP($D57,素材!$1:$1016,COLUMN($E$1),FALSE)/(LEN(VLOOKUP($D57,素材!$1:$1016,COLUMN($F$1),FALSE)) - LEN(SUBSTITUTE(VLOOKUP($D57,素材!$1:$1016,COLUMN($F$1),FALSE), "・", 0)) + 1), 0)</f>
        <v>0</v>
      </c>
      <c r="AO57">
        <f>IF(ISNUMBER(SEARCH(SUBSTITUTE(AO$1,RIGHT(AO$1,2),""),VLOOKUP($D57,素材!$1:$1016,COLUMN($F$1),FALSE))),VLOOKUP($C57,武器!$1:$998,COLUMN($O$1),FALSE)*VLOOKUP($D57,素材!$1:$1016,COLUMN($E$1),FALSE)/(LEN(VLOOKUP($D57,素材!$1:$1016,COLUMN($F$1),FALSE)) - LEN(SUBSTITUTE(VLOOKUP($D57,素材!$1:$1016,COLUMN($F$1),FALSE), "・", 0)) + 1), 0)</f>
        <v>0</v>
      </c>
      <c r="AP57">
        <f>IF(ISNUMBER(SEARCH(SUBSTITUTE(AP$1,RIGHT(AP$1,2),""),VLOOKUP($D57,素材!$1:$1016,COLUMN($F$1),FALSE))),VLOOKUP($C57,武器!$1:$998,COLUMN($O$1),FALSE)*VLOOKUP($D57,素材!$1:$1016,COLUMN($E$1),FALSE)/(LEN(VLOOKUP($D57,素材!$1:$1016,COLUMN($F$1),FALSE)) - LEN(SUBSTITUTE(VLOOKUP($D57,素材!$1:$1016,COLUMN($F$1),FALSE), "・", 0)) + 1), 0)</f>
        <v>0</v>
      </c>
      <c r="AQ57">
        <f>IF(ISNUMBER(SEARCH(SUBSTITUTE(AQ$1,RIGHT(AQ$1,2),""),VLOOKUP($D57,素材!$1:$1016,COLUMN($F$1),FALSE))),VLOOKUP($C57,武器!$1:$998,COLUMN($O$1),FALSE)*VLOOKUP($D57,素材!$1:$1016,COLUMN($E$1),FALSE)/(LEN(VLOOKUP($D57,素材!$1:$1016,COLUMN($F$1),FALSE)) - LEN(SUBSTITUTE(VLOOKUP($D57,素材!$1:$1016,COLUMN($F$1),FALSE), "・", 0)) + 1), 0)</f>
        <v>0</v>
      </c>
      <c r="AR57">
        <f>IF(ISNUMBER(SEARCH(SUBSTITUTE(AR$1,RIGHT(AR$1,2),""),VLOOKUP($D57,素材!$1:$1016,COLUMN($F$1),FALSE))),VLOOKUP($C57,武器!$1:$998,COLUMN($O$1),FALSE)*VLOOKUP($D57,素材!$1:$1016,COLUMN($E$1),FALSE)/(LEN(VLOOKUP($D57,素材!$1:$1016,COLUMN($F$1),FALSE)) - LEN(SUBSTITUTE(VLOOKUP($D57,素材!$1:$1016,COLUMN($F$1),FALSE), "・", 0)) + 1), 0)</f>
        <v>0</v>
      </c>
      <c r="AS57">
        <f>IF(ISNUMBER(SEARCH(SUBSTITUTE(AS$1,RIGHT(AS$1,2),""),VLOOKUP($D57,素材!$1:$1016,COLUMN($F$1),FALSE))),VLOOKUP($C57,武器!$1:$998,COLUMN($O$1),FALSE)*VLOOKUP($D57,素材!$1:$1016,COLUMN($E$1),FALSE)/(LEN(VLOOKUP($D57,素材!$1:$1016,COLUMN($F$1),FALSE)) - LEN(SUBSTITUTE(VLOOKUP($D57,素材!$1:$1016,COLUMN($F$1),FALSE), "・", 0)) + 1), 0)</f>
        <v>0</v>
      </c>
      <c r="AT57">
        <f>IF(ISNUMBER(SEARCH(SUBSTITUTE(AT$1,RIGHT(AT$1,2),""),VLOOKUP($D57,素材!$1:$1016,COLUMN($F$1),FALSE))),VLOOKUP($C57,武器!$1:$998,COLUMN($O$1),FALSE)*VLOOKUP($D57,素材!$1:$1016,COLUMN($E$1),FALSE)/(LEN(VLOOKUP($D57,素材!$1:$1016,COLUMN($F$1),FALSE)) - LEN(SUBSTITUTE(VLOOKUP($D57,素材!$1:$1016,COLUMN($F$1),FALSE), "・", 0)) + 1), 0)</f>
        <v>0</v>
      </c>
      <c r="AU57">
        <f>IF(ISNUMBER(SEARCH(SUBSTITUTE(AU$1,RIGHT(AU$1,2),""),VLOOKUP($D57,素材!$1:$1016,COLUMN($F$1),FALSE))),VLOOKUP($C57,武器!$1:$998,COLUMN($O$1),FALSE)*VLOOKUP($D57,素材!$1:$1016,COLUMN($E$1),FALSE)/(LEN(VLOOKUP($D57,素材!$1:$1016,COLUMN($F$1),FALSE)) - LEN(SUBSTITUTE(VLOOKUP($D57,素材!$1:$1016,COLUMN($F$1),FALSE), "・", 0)) + 1), 0)</f>
        <v>0</v>
      </c>
      <c r="AV57">
        <f>IF(ISNUMBER(SEARCH(SUBSTITUTE(AV$1,RIGHT(AV$1,2),""),VLOOKUP($D57,素材!$1:$1016,COLUMN($F$1),FALSE))),VLOOKUP($C57,武器!$1:$998,COLUMN($O$1),FALSE)*VLOOKUP($D57,素材!$1:$1016,COLUMN($E$1),FALSE)/(LEN(VLOOKUP($D57,素材!$1:$1016,COLUMN($F$1),FALSE)) - LEN(SUBSTITUTE(VLOOKUP($D57,素材!$1:$1016,COLUMN($F$1),FALSE), "・", 0)) + 1), 0)</f>
        <v>0</v>
      </c>
      <c r="AW57">
        <f>IF(ISNUMBER(SEARCH(SUBSTITUTE(AW$1,RIGHT(AW$1,2),""),VLOOKUP($D57,素材!$1:$1016,COLUMN($F$1),FALSE))),VLOOKUP($C57,武器!$1:$998,COLUMN($O$1),FALSE)*VLOOKUP($D57,素材!$1:$1016,COLUMN($E$1),FALSE)/(LEN(VLOOKUP($D57,素材!$1:$1016,COLUMN($F$1),FALSE)) - LEN(SUBSTITUTE(VLOOKUP($D57,素材!$1:$1016,COLUMN($F$1),FALSE), "・", 0)) + 1), 0)</f>
        <v>0</v>
      </c>
      <c r="AX57">
        <f>IF(ISNUMBER(SEARCH(SUBSTITUTE(AX$1,RIGHT(AX$1,2),""),VLOOKUP($D57,素材!$1:$1016,COLUMN($F$1),FALSE))),VLOOKUP($C57,武器!$1:$998,COLUMN($O$1),FALSE)*VLOOKUP($D57,素材!$1:$1016,COLUMN($E$1),FALSE)/(LEN(VLOOKUP($D57,素材!$1:$1016,COLUMN($F$1),FALSE)) - LEN(SUBSTITUTE(VLOOKUP($D57,素材!$1:$1016,COLUMN($F$1),FALSE), "・", 0)) + 1), 0)</f>
        <v>0</v>
      </c>
      <c r="AY57">
        <f>IF(ISNUMBER(SEARCH(SUBSTITUTE(AY$1,RIGHT(AY$1,2),""),VLOOKUP($D57,素材!$1:$1016,COLUMN($F$1),FALSE))),VLOOKUP($C57,武器!$1:$998,COLUMN($O$1),FALSE)*VLOOKUP($D57,素材!$1:$1016,COLUMN($E$1),FALSE)/(LEN(VLOOKUP($D57,素材!$1:$1016,COLUMN($F$1),FALSE)) - LEN(SUBSTITUTE(VLOOKUP($D57,素材!$1:$1016,COLUMN($F$1),FALSE), "・", 0)) + 1), 0)</f>
        <v>0</v>
      </c>
      <c r="AZ57">
        <f>IF(ISNUMBER(SEARCH(SUBSTITUTE(AZ$1,RIGHT(AZ$1,2),""),VLOOKUP($D57,素材!$1:$1016,COLUMN($F$1),FALSE))),VLOOKUP($C57,武器!$1:$998,COLUMN($O$1),FALSE)*VLOOKUP($D57,素材!$1:$1016,COLUMN($E$1),FALSE)/(LEN(VLOOKUP($D57,素材!$1:$1016,COLUMN($F$1),FALSE)) - LEN(SUBSTITUTE(VLOOKUP($D57,素材!$1:$1016,COLUMN($F$1),FALSE), "・", 0)) + 1), 0)</f>
        <v>0</v>
      </c>
      <c r="BA57">
        <f>IF(ISNUMBER(SEARCH(SUBSTITUTE(BA$1,RIGHT(BA$1,2),""),VLOOKUP($D57,素材!$1:$1016,COLUMN($F$1),FALSE))),VLOOKUP($C57,武器!$1:$998,COLUMN($O$1),FALSE)*VLOOKUP($D57,素材!$1:$1016,COLUMN($E$1),FALSE)/(LEN(VLOOKUP($D57,素材!$1:$1016,COLUMN($F$1),FALSE)) - LEN(SUBSTITUTE(VLOOKUP($D57,素材!$1:$1016,COLUMN($F$1),FALSE), "・", 0)) + 1), 0)</f>
        <v>0</v>
      </c>
      <c r="BB57">
        <f>IF(ISNUMBER(SEARCH(SUBSTITUTE(BB$1,RIGHT(BB$1,2),""),VLOOKUP($D57,素材!$1:$1016,COLUMN($F$1),FALSE))),VLOOKUP($C57,武器!$1:$998,COLUMN($O$1),FALSE)*VLOOKUP($D57,素材!$1:$1016,COLUMN($E$1),FALSE)/(LEN(VLOOKUP($D57,素材!$1:$1016,COLUMN($F$1),FALSE)) - LEN(SUBSTITUTE(VLOOKUP($D57,素材!$1:$1016,COLUMN($F$1),FALSE), "・", 0)) + 1), 0)</f>
        <v>0</v>
      </c>
      <c r="BC57">
        <f>IF(ISNUMBER(SEARCH(SUBSTITUTE(BC$1,RIGHT(BC$1,2),""),VLOOKUP($D57,素材!$1:$1016,COLUMN($F$1),FALSE))),VLOOKUP($C57,武器!$1:$998,COLUMN($O$1),FALSE)*VLOOKUP($D57,素材!$1:$1016,COLUMN($E$1),FALSE)/(LEN(VLOOKUP($D57,素材!$1:$1016,COLUMN($F$1),FALSE)) - LEN(SUBSTITUTE(VLOOKUP($D57,素材!$1:$1016,COLUMN($F$1),FALSE), "・", 0)) + 1), 0)</f>
        <v>0</v>
      </c>
      <c r="BD57">
        <f>IF(ISNUMBER(SEARCH(SUBSTITUTE(BD$1,RIGHT(BD$1,2),""),VLOOKUP($D57,素材!$1:$1016,COLUMN($F$1),FALSE))),VLOOKUP($C57,武器!$1:$998,COLUMN($O$1),FALSE)*VLOOKUP($D57,素材!$1:$1016,COLUMN($E$1),FALSE)/(LEN(VLOOKUP($D57,素材!$1:$1016,COLUMN($F$1),FALSE)) - LEN(SUBSTITUTE(VLOOKUP($D57,素材!$1:$1016,COLUMN($F$1),FALSE), "・", 0)) + 1), 0)</f>
        <v>0</v>
      </c>
      <c r="BE57">
        <f>IF(ISNUMBER(SEARCH(SUBSTITUTE(BE$1,RIGHT(BE$1,2),""),VLOOKUP($D57,素材!$1:$1016,COLUMN($F$1),FALSE))),VLOOKUP($C57,武器!$1:$998,COLUMN($O$1),FALSE)*VLOOKUP($D57,素材!$1:$1016,COLUMN($E$1),FALSE)/(LEN(VLOOKUP($D57,素材!$1:$1016,COLUMN($F$1),FALSE)) - LEN(SUBSTITUTE(VLOOKUP($D57,素材!$1:$1016,COLUMN($F$1),FALSE), "・", 0)) + 1), 0)</f>
        <v>0</v>
      </c>
      <c r="CL57">
        <f>SUM(G57:I57)</f>
        <v>14</v>
      </c>
      <c r="CM57" s="22" t="str">
        <f>IF(E57="武器",IF(J57-1&gt;SUM(G57:I57),"盾",IF(MAX(G57:I57)=G57,"切断",IF(MAX(G57:I57)=H57,"貫通",IF(MAX(G57:I57)=I57,"打撃","射撃")))),E57)&amp;".webp"</f>
        <v>貫通.webp</v>
      </c>
      <c r="CN57">
        <f>IFERROR(VLOOKUP($C57,武器!$1:$998,COLUMN(V$1),FALSE)*VLOOKUP($D57,素材!$1:$1016,COLUMN(N$1),FALSE)+IF(CI57="",0,VLOOKUP($CI57,装強!$1:$1008,COLUMN($CK$1),FALSE)),"")</f>
        <v>200</v>
      </c>
      <c r="CO57" t="str">
        <f>VLOOKUP(D57,素材!$A:$O,COLUMN(素材!O$1),FALSE)</f>
        <v>一般的な木材。金属より軽いが少し脆い</v>
      </c>
      <c r="CP57" t="str">
        <f>VLOOKUP(C57,武器!$A:$W,COLUMN(武器!W$1),FALSE)</f>
        <v>鎌。農具を転用した武器で、鋭い斬撃を与える。</v>
      </c>
      <c r="CR57" t="str">
        <f t="shared" si="1"/>
        <v>e_57</v>
      </c>
      <c r="CS57">
        <f t="shared" si="2"/>
        <v>20000</v>
      </c>
    </row>
    <row r="58" spans="1:97" outlineLevel="1" x14ac:dyDescent="0.4">
      <c r="A58" t="str">
        <f t="shared" si="3"/>
        <v>木の戦斧</v>
      </c>
      <c r="B58" t="str">
        <f>IFERROR(VLOOKUP($D58,素材!$1:$1016,COLUMN($B$1),FALSE)&amp;"・"&amp;VLOOKUP($C58,武器!$1:$998,COLUMN(B$1),FALSE),"")</f>
        <v>ウッド・バトルアックス</v>
      </c>
      <c r="C58" t="s">
        <v>224</v>
      </c>
      <c r="D58" s="24" t="s">
        <v>255</v>
      </c>
      <c r="E58" t="str">
        <f>IFERROR(VLOOKUP(C58,武器!$1:$998,COLUMN(C$1),FALSE),"")</f>
        <v>武器</v>
      </c>
      <c r="F58">
        <f>IFERROR(ROUNDDOWN((VLOOKUP($C58,武器!$1:$998,COLUMN(D$1),FALSE)+IFERROR(VLOOKUP($CI58,装強!$1:$999,COLUMN(F$1),FALSE),0))*VLOOKUP($D58,素材!$1:$1016,COLUMN(D$1),FALSE),0),"")</f>
        <v>86</v>
      </c>
      <c r="G58">
        <f>IFERROR(ROUNDDOWN((VLOOKUP($C58,武器!$1:$998,COLUMN(E$1),FALSE)+IFERROR(VLOOKUP($CI58,装強!$1:$999,COLUMN(G$1),FALSE),0))*VLOOKUP($D58,素材!$1:$1016,COLUMN($E$1),FALSE),0),"")</f>
        <v>14</v>
      </c>
      <c r="H58">
        <f>IFERROR(ROUNDDOWN((VLOOKUP($C58,武器!$1:$998,COLUMN(F$1),FALSE)+IFERROR(VLOOKUP($CI58,装強!$1:$999,COLUMN(H$1),FALSE),0))*VLOOKUP($D58,素材!$1:$1016,COLUMN($E$1),FALSE),0),"")</f>
        <v>0</v>
      </c>
      <c r="I58">
        <f>IFERROR(ROUNDDOWN((VLOOKUP($C58,武器!$1:$998,COLUMN(G$1),FALSE)+IFERROR(VLOOKUP($CI58,装強!$1:$999,COLUMN(I$1),FALSE),0))*VLOOKUP($D58,素材!$1:$1016,COLUMN($E$1),FALSE),0),"")</f>
        <v>4</v>
      </c>
      <c r="J58">
        <f>IFERROR(ROUNDDOWN((VLOOKUP($C58,武器!$1:$998,COLUMN(H$1),FALSE)+IFERROR(VLOOKUP($CI58,装強!$1:$999,COLUMN(J$1),FALSE),0))*VLOOKUP($D58,素材!$1:$1016,COLUMN($E$1),FALSE),0),"")</f>
        <v>15</v>
      </c>
      <c r="K58">
        <f>IFERROR(ROUNDDOWN((VLOOKUP($C58,武器!$1:$998,COLUMN(I$1),FALSE)+IFERROR(VLOOKUP($CI58,装強!$1:$999,COLUMN(K$1),FALSE),0))*VLOOKUP($D58,素材!$1:$1016,COLUMN($E$1),FALSE),0),"")</f>
        <v>0</v>
      </c>
      <c r="L58">
        <f>IFERROR(VLOOKUP($D58,素材!$1:$1016,COLUMN($F$1),FALSE),"")</f>
        <v>0</v>
      </c>
      <c r="M58">
        <f>IFERROR(VLOOKUP($C58,武器!$1:$998,COLUMN(AA$1),FALSE)*VLOOKUP($D58,素材!$1:$1016,COLUMN($G$1),FALSE),"")</f>
        <v>0</v>
      </c>
      <c r="N58">
        <f>IFERROR(VLOOKUP($C58,武器!$1:$998,COLUMN(I$1),FALSE),"")</f>
        <v>0</v>
      </c>
      <c r="O58" s="23">
        <f>IFERROR((VLOOKUP($C58,武器!$1:$998,COLUMN(K$1),FALSE)+VLOOKUP($D58,素材!$1:$1016,COLUMN(H$1),FALSE))*100+IFERROR(VLOOKUP($CI58,装強!$1:$999,COLUMN(O$1),FALSE),0),"")</f>
        <v>5</v>
      </c>
      <c r="P58" s="23">
        <f>IFERROR((VLOOKUP($C58,武器!$1:$998,COLUMN(L$1),FALSE)+VLOOKUP($D58,素材!$1:$1016,COLUMN(I$1),FALSE))*100+IFERROR(VLOOKUP($CI58,装強!$1:$999,COLUMN(P$1),FALSE),0),"")</f>
        <v>175</v>
      </c>
      <c r="Q58">
        <f>IFERROR(ROUNDUP(VLOOKUP($C58,武器!$1:$998,COLUMN(M$1),FALSE)*(VLOOKUP($D58,素材!$1:$1002,COLUMN(D$1),FALSE)/100),1),"")</f>
        <v>-1.9000000000000001</v>
      </c>
      <c r="R58">
        <f>IFERROR(ROUNDUP(VLOOKUP($C58,武器!$1:$998,COLUMN(N$1),FALSE)*(VLOOKUP($D58,素材!$1:$1002,COLUMN(D$1),FALSE)/100),1),"")</f>
        <v>0</v>
      </c>
      <c r="S58">
        <f>IFERROR(VLOOKUP($C58,武器!$1:$998,COLUMN(P$1),FALSE),"")</f>
        <v>0</v>
      </c>
      <c r="T58">
        <f>IFERROR(VLOOKUP($C58,武器!$1:$998,COLUMN(Q$1),FALSE),"")</f>
        <v>0</v>
      </c>
      <c r="U58">
        <f>IFERROR(VLOOKUP($C58,武器!$1:$998,COLUMN(R$1),FALSE),"")</f>
        <v>0</v>
      </c>
      <c r="V58">
        <f>IFERROR(VLOOKUP($C58,武器!$1:$998,COLUMN(Q$1),FALSE),"")</f>
        <v>0</v>
      </c>
      <c r="W58" t="str">
        <f>IFERROR(VLOOKUP($C58,武器!$1:$998,COLUMN(T$1),FALSE),"")</f>
        <v>A</v>
      </c>
      <c r="Y58">
        <f>IFERROR(VLOOKUP($C58,武器!$1:$998,COLUMN(U$1),FALSE),"")</f>
        <v>0</v>
      </c>
      <c r="Z58">
        <f>IFERROR(ROUNDUP(VLOOKUP($C58,武器!$1:$998,COLUMN(O$1),FALSE)*VLOOKUP($D58,素材!$1:$1016,COLUMN(E$1),FALSE),1),"")</f>
        <v>0</v>
      </c>
      <c r="AA58">
        <f>IF(ISNUMBER(SEARCH(SUBSTITUTE(AA$1,RIGHT(AA$1,2),""),VLOOKUP($D58,素材!$1:$1016,COLUMN($F$1),FALSE))),VLOOKUP($C58,武器!$1:$998,COLUMN($O$1),FALSE)*VLOOKUP($D58,素材!$1:$1016,COLUMN($E$1),FALSE)/(LEN(VLOOKUP($D58,素材!$1:$1016,COLUMN($F$1),FALSE)) - LEN(SUBSTITUTE(VLOOKUP($D58,素材!$1:$1016,COLUMN($F$1),FALSE), "・", 0)) + 1), 0)</f>
        <v>0</v>
      </c>
      <c r="AB58">
        <f>IF(ISNUMBER(SEARCH(SUBSTITUTE(AB$1,RIGHT(AB$1,2),""),VLOOKUP($D58,素材!$1:$1016,COLUMN($F$1),FALSE))),VLOOKUP($C58,武器!$1:$998,COLUMN($O$1),FALSE)*VLOOKUP($D58,素材!$1:$1016,COLUMN($E$1),FALSE)/(LEN(VLOOKUP($D58,素材!$1:$1016,COLUMN($F$1),FALSE)) - LEN(SUBSTITUTE(VLOOKUP($D58,素材!$1:$1016,COLUMN($F$1),FALSE), "・", 0)) + 1), 0)</f>
        <v>0</v>
      </c>
      <c r="AC58">
        <f>IF(ISNUMBER(SEARCH(SUBSTITUTE(AC$1,RIGHT(AC$1,2),""),VLOOKUP($D58,素材!$1:$1016,COLUMN($F$1),FALSE))),VLOOKUP($C58,武器!$1:$998,COLUMN($O$1),FALSE)*VLOOKUP($D58,素材!$1:$1016,COLUMN($E$1),FALSE)/(LEN(VLOOKUP($D58,素材!$1:$1016,COLUMN($F$1),FALSE)) - LEN(SUBSTITUTE(VLOOKUP($D58,素材!$1:$1016,COLUMN($F$1),FALSE), "・", 0)) + 1), 0)</f>
        <v>0</v>
      </c>
      <c r="AD58">
        <f>IF(ISNUMBER(SEARCH(SUBSTITUTE(AD$1,RIGHT(AD$1,2),""),VLOOKUP($D58,素材!$1:$1016,COLUMN($F$1),FALSE))),VLOOKUP($C58,武器!$1:$998,COLUMN($O$1),FALSE)*VLOOKUP($D58,素材!$1:$1016,COLUMN($E$1),FALSE)/(LEN(VLOOKUP($D58,素材!$1:$1016,COLUMN($F$1),FALSE)) - LEN(SUBSTITUTE(VLOOKUP($D58,素材!$1:$1016,COLUMN($F$1),FALSE), "・", 0)) + 1), 0)</f>
        <v>0</v>
      </c>
      <c r="AE58">
        <f>IF(ISNUMBER(SEARCH(SUBSTITUTE(AE$1,RIGHT(AE$1,2),""),VLOOKUP($D58,素材!$1:$1016,COLUMN($F$1),FALSE))),VLOOKUP($C58,武器!$1:$998,COLUMN($O$1),FALSE)*VLOOKUP($D58,素材!$1:$1016,COLUMN($E$1),FALSE)/(LEN(VLOOKUP($D58,素材!$1:$1016,COLUMN($F$1),FALSE)) - LEN(SUBSTITUTE(VLOOKUP($D58,素材!$1:$1016,COLUMN($F$1),FALSE), "・", 0)) + 1), 0)</f>
        <v>0</v>
      </c>
      <c r="AF58">
        <f>IF(ISNUMBER(SEARCH(SUBSTITUTE(AF$1,RIGHT(AF$1,2),""),VLOOKUP($D58,素材!$1:$1016,COLUMN($F$1),FALSE))),VLOOKUP($C58,武器!$1:$998,COLUMN($O$1),FALSE)*VLOOKUP($D58,素材!$1:$1016,COLUMN($E$1),FALSE)/(LEN(VLOOKUP($D58,素材!$1:$1016,COLUMN($F$1),FALSE)) - LEN(SUBSTITUTE(VLOOKUP($D58,素材!$1:$1016,COLUMN($F$1),FALSE), "・", 0)) + 1), 0)</f>
        <v>0</v>
      </c>
      <c r="AG58">
        <f>IF(ISNUMBER(SEARCH(SUBSTITUTE(AG$1,RIGHT(AG$1,2),""),VLOOKUP($D58,素材!$1:$1016,COLUMN($F$1),FALSE))),VLOOKUP($C58,武器!$1:$998,COLUMN($O$1),FALSE)*VLOOKUP($D58,素材!$1:$1016,COLUMN($E$1),FALSE)/(LEN(VLOOKUP($D58,素材!$1:$1016,COLUMN($F$1),FALSE)) - LEN(SUBSTITUTE(VLOOKUP($D58,素材!$1:$1016,COLUMN($F$1),FALSE), "・", 0)) + 1), 0)</f>
        <v>0</v>
      </c>
      <c r="AH58">
        <f>IF(ISNUMBER(SEARCH(SUBSTITUTE(AH$1,RIGHT(AH$1,2),""),VLOOKUP($D58,素材!$1:$1016,COLUMN($F$1),FALSE))),VLOOKUP($C58,武器!$1:$998,COLUMN($O$1),FALSE)*VLOOKUP($D58,素材!$1:$1016,COLUMN($E$1),FALSE)/(LEN(VLOOKUP($D58,素材!$1:$1016,COLUMN($F$1),FALSE)) - LEN(SUBSTITUTE(VLOOKUP($D58,素材!$1:$1016,COLUMN($F$1),FALSE), "・", 0)) + 1), 0)</f>
        <v>0</v>
      </c>
      <c r="AI58">
        <f>IF(ISNUMBER(SEARCH(SUBSTITUTE(AI$1,RIGHT(AI$1,2),""),VLOOKUP($D58,素材!$1:$1016,COLUMN($F$1),FALSE))),VLOOKUP($C58,武器!$1:$998,COLUMN($O$1),FALSE)*VLOOKUP($D58,素材!$1:$1016,COLUMN($E$1),FALSE)/(LEN(VLOOKUP($D58,素材!$1:$1016,COLUMN($F$1),FALSE)) - LEN(SUBSTITUTE(VLOOKUP($D58,素材!$1:$1016,COLUMN($F$1),FALSE), "・", 0)) + 1), 0)</f>
        <v>0</v>
      </c>
      <c r="AJ58">
        <f>IF(ISNUMBER(SEARCH(SUBSTITUTE(AJ$1,RIGHT(AJ$1,2),""),VLOOKUP($D58,素材!$1:$1016,COLUMN($F$1),FALSE))),VLOOKUP($C58,武器!$1:$998,COLUMN($O$1),FALSE)*VLOOKUP($D58,素材!$1:$1016,COLUMN($E$1),FALSE)/(LEN(VLOOKUP($D58,素材!$1:$1016,COLUMN($F$1),FALSE)) - LEN(SUBSTITUTE(VLOOKUP($D58,素材!$1:$1016,COLUMN($F$1),FALSE), "・", 0)) + 1), 0)</f>
        <v>0</v>
      </c>
      <c r="AK58">
        <f>IF(ISNUMBER(SEARCH(SUBSTITUTE(AK$1,RIGHT(AK$1,2),""),VLOOKUP($D58,素材!$1:$1016,COLUMN($F$1),FALSE))),VLOOKUP($C58,武器!$1:$998,COLUMN($O$1),FALSE)*VLOOKUP($D58,素材!$1:$1016,COLUMN($E$1),FALSE)/(LEN(VLOOKUP($D58,素材!$1:$1016,COLUMN($F$1),FALSE)) - LEN(SUBSTITUTE(VLOOKUP($D58,素材!$1:$1016,COLUMN($F$1),FALSE), "・", 0)) + 1), 0)</f>
        <v>0</v>
      </c>
      <c r="AL58">
        <f>IF(ISNUMBER(SEARCH(SUBSTITUTE(AL$1,RIGHT(AL$1,2),""),VLOOKUP($D58,素材!$1:$1016,COLUMN($F$1),FALSE))),VLOOKUP($C58,武器!$1:$998,COLUMN($O$1),FALSE)*VLOOKUP($D58,素材!$1:$1016,COLUMN($E$1),FALSE)/(LEN(VLOOKUP($D58,素材!$1:$1016,COLUMN($F$1),FALSE)) - LEN(SUBSTITUTE(VLOOKUP($D58,素材!$1:$1016,COLUMN($F$1),FALSE), "・", 0)) + 1), 0)</f>
        <v>0</v>
      </c>
      <c r="AM58">
        <f>IF(ISNUMBER(SEARCH(SUBSTITUTE(AM$1,RIGHT(AM$1,2),""),VLOOKUP($D58,素材!$1:$1016,COLUMN($F$1),FALSE))),VLOOKUP($C58,武器!$1:$998,COLUMN($O$1),FALSE)*VLOOKUP($D58,素材!$1:$1016,COLUMN($E$1),FALSE)/(LEN(VLOOKUP($D58,素材!$1:$1016,COLUMN($F$1),FALSE)) - LEN(SUBSTITUTE(VLOOKUP($D58,素材!$1:$1016,COLUMN($F$1),FALSE), "・", 0)) + 1), 0)</f>
        <v>0</v>
      </c>
      <c r="AN58">
        <f>IF(ISNUMBER(SEARCH(SUBSTITUTE(AN$1,RIGHT(AN$1,2),""),VLOOKUP($D58,素材!$1:$1016,COLUMN($F$1),FALSE))),VLOOKUP($C58,武器!$1:$998,COLUMN($O$1),FALSE)*VLOOKUP($D58,素材!$1:$1016,COLUMN($E$1),FALSE)/(LEN(VLOOKUP($D58,素材!$1:$1016,COLUMN($F$1),FALSE)) - LEN(SUBSTITUTE(VLOOKUP($D58,素材!$1:$1016,COLUMN($F$1),FALSE), "・", 0)) + 1), 0)</f>
        <v>0</v>
      </c>
      <c r="AO58">
        <f>IF(ISNUMBER(SEARCH(SUBSTITUTE(AO$1,RIGHT(AO$1,2),""),VLOOKUP($D58,素材!$1:$1016,COLUMN($F$1),FALSE))),VLOOKUP($C58,武器!$1:$998,COLUMN($O$1),FALSE)*VLOOKUP($D58,素材!$1:$1016,COLUMN($E$1),FALSE)/(LEN(VLOOKUP($D58,素材!$1:$1016,COLUMN($F$1),FALSE)) - LEN(SUBSTITUTE(VLOOKUP($D58,素材!$1:$1016,COLUMN($F$1),FALSE), "・", 0)) + 1), 0)</f>
        <v>0</v>
      </c>
      <c r="AP58">
        <f>IF(ISNUMBER(SEARCH(SUBSTITUTE(AP$1,RIGHT(AP$1,2),""),VLOOKUP($D58,素材!$1:$1016,COLUMN($F$1),FALSE))),VLOOKUP($C58,武器!$1:$998,COLUMN($O$1),FALSE)*VLOOKUP($D58,素材!$1:$1016,COLUMN($E$1),FALSE)/(LEN(VLOOKUP($D58,素材!$1:$1016,COLUMN($F$1),FALSE)) - LEN(SUBSTITUTE(VLOOKUP($D58,素材!$1:$1016,COLUMN($F$1),FALSE), "・", 0)) + 1), 0)</f>
        <v>0</v>
      </c>
      <c r="AQ58">
        <f>IF(ISNUMBER(SEARCH(SUBSTITUTE(AQ$1,RIGHT(AQ$1,2),""),VLOOKUP($D58,素材!$1:$1016,COLUMN($F$1),FALSE))),VLOOKUP($C58,武器!$1:$998,COLUMN($O$1),FALSE)*VLOOKUP($D58,素材!$1:$1016,COLUMN($E$1),FALSE)/(LEN(VLOOKUP($D58,素材!$1:$1016,COLUMN($F$1),FALSE)) - LEN(SUBSTITUTE(VLOOKUP($D58,素材!$1:$1016,COLUMN($F$1),FALSE), "・", 0)) + 1), 0)</f>
        <v>0</v>
      </c>
      <c r="AR58">
        <f>IF(ISNUMBER(SEARCH(SUBSTITUTE(AR$1,RIGHT(AR$1,2),""),VLOOKUP($D58,素材!$1:$1016,COLUMN($F$1),FALSE))),VLOOKUP($C58,武器!$1:$998,COLUMN($O$1),FALSE)*VLOOKUP($D58,素材!$1:$1016,COLUMN($E$1),FALSE)/(LEN(VLOOKUP($D58,素材!$1:$1016,COLUMN($F$1),FALSE)) - LEN(SUBSTITUTE(VLOOKUP($D58,素材!$1:$1016,COLUMN($F$1),FALSE), "・", 0)) + 1), 0)</f>
        <v>0</v>
      </c>
      <c r="AS58">
        <f>IF(ISNUMBER(SEARCH(SUBSTITUTE(AS$1,RIGHT(AS$1,2),""),VLOOKUP($D58,素材!$1:$1016,COLUMN($F$1),FALSE))),VLOOKUP($C58,武器!$1:$998,COLUMN($O$1),FALSE)*VLOOKUP($D58,素材!$1:$1016,COLUMN($E$1),FALSE)/(LEN(VLOOKUP($D58,素材!$1:$1016,COLUMN($F$1),FALSE)) - LEN(SUBSTITUTE(VLOOKUP($D58,素材!$1:$1016,COLUMN($F$1),FALSE), "・", 0)) + 1), 0)</f>
        <v>0</v>
      </c>
      <c r="AT58">
        <f>IF(ISNUMBER(SEARCH(SUBSTITUTE(AT$1,RIGHT(AT$1,2),""),VLOOKUP($D58,素材!$1:$1016,COLUMN($F$1),FALSE))),VLOOKUP($C58,武器!$1:$998,COLUMN($O$1),FALSE)*VLOOKUP($D58,素材!$1:$1016,COLUMN($E$1),FALSE)/(LEN(VLOOKUP($D58,素材!$1:$1016,COLUMN($F$1),FALSE)) - LEN(SUBSTITUTE(VLOOKUP($D58,素材!$1:$1016,COLUMN($F$1),FALSE), "・", 0)) + 1), 0)</f>
        <v>0</v>
      </c>
      <c r="AU58">
        <f>IF(ISNUMBER(SEARCH(SUBSTITUTE(AU$1,RIGHT(AU$1,2),""),VLOOKUP($D58,素材!$1:$1016,COLUMN($F$1),FALSE))),VLOOKUP($C58,武器!$1:$998,COLUMN($O$1),FALSE)*VLOOKUP($D58,素材!$1:$1016,COLUMN($E$1),FALSE)/(LEN(VLOOKUP($D58,素材!$1:$1016,COLUMN($F$1),FALSE)) - LEN(SUBSTITUTE(VLOOKUP($D58,素材!$1:$1016,COLUMN($F$1),FALSE), "・", 0)) + 1), 0)</f>
        <v>0</v>
      </c>
      <c r="AV58">
        <f>IF(ISNUMBER(SEARCH(SUBSTITUTE(AV$1,RIGHT(AV$1,2),""),VLOOKUP($D58,素材!$1:$1016,COLUMN($F$1),FALSE))),VLOOKUP($C58,武器!$1:$998,COLUMN($O$1),FALSE)*VLOOKUP($D58,素材!$1:$1016,COLUMN($E$1),FALSE)/(LEN(VLOOKUP($D58,素材!$1:$1016,COLUMN($F$1),FALSE)) - LEN(SUBSTITUTE(VLOOKUP($D58,素材!$1:$1016,COLUMN($F$1),FALSE), "・", 0)) + 1), 0)</f>
        <v>0</v>
      </c>
      <c r="AW58">
        <f>IF(ISNUMBER(SEARCH(SUBSTITUTE(AW$1,RIGHT(AW$1,2),""),VLOOKUP($D58,素材!$1:$1016,COLUMN($F$1),FALSE))),VLOOKUP($C58,武器!$1:$998,COLUMN($O$1),FALSE)*VLOOKUP($D58,素材!$1:$1016,COLUMN($E$1),FALSE)/(LEN(VLOOKUP($D58,素材!$1:$1016,COLUMN($F$1),FALSE)) - LEN(SUBSTITUTE(VLOOKUP($D58,素材!$1:$1016,COLUMN($F$1),FALSE), "・", 0)) + 1), 0)</f>
        <v>0</v>
      </c>
      <c r="AX58">
        <f>IF(ISNUMBER(SEARCH(SUBSTITUTE(AX$1,RIGHT(AX$1,2),""),VLOOKUP($D58,素材!$1:$1016,COLUMN($F$1),FALSE))),VLOOKUP($C58,武器!$1:$998,COLUMN($O$1),FALSE)*VLOOKUP($D58,素材!$1:$1016,COLUMN($E$1),FALSE)/(LEN(VLOOKUP($D58,素材!$1:$1016,COLUMN($F$1),FALSE)) - LEN(SUBSTITUTE(VLOOKUP($D58,素材!$1:$1016,COLUMN($F$1),FALSE), "・", 0)) + 1), 0)</f>
        <v>0</v>
      </c>
      <c r="AY58">
        <f>IF(ISNUMBER(SEARCH(SUBSTITUTE(AY$1,RIGHT(AY$1,2),""),VLOOKUP($D58,素材!$1:$1016,COLUMN($F$1),FALSE))),VLOOKUP($C58,武器!$1:$998,COLUMN($O$1),FALSE)*VLOOKUP($D58,素材!$1:$1016,COLUMN($E$1),FALSE)/(LEN(VLOOKUP($D58,素材!$1:$1016,COLUMN($F$1),FALSE)) - LEN(SUBSTITUTE(VLOOKUP($D58,素材!$1:$1016,COLUMN($F$1),FALSE), "・", 0)) + 1), 0)</f>
        <v>0</v>
      </c>
      <c r="AZ58">
        <f>IF(ISNUMBER(SEARCH(SUBSTITUTE(AZ$1,RIGHT(AZ$1,2),""),VLOOKUP($D58,素材!$1:$1016,COLUMN($F$1),FALSE))),VLOOKUP($C58,武器!$1:$998,COLUMN($O$1),FALSE)*VLOOKUP($D58,素材!$1:$1016,COLUMN($E$1),FALSE)/(LEN(VLOOKUP($D58,素材!$1:$1016,COLUMN($F$1),FALSE)) - LEN(SUBSTITUTE(VLOOKUP($D58,素材!$1:$1016,COLUMN($F$1),FALSE), "・", 0)) + 1), 0)</f>
        <v>0</v>
      </c>
      <c r="BA58">
        <f>IF(ISNUMBER(SEARCH(SUBSTITUTE(BA$1,RIGHT(BA$1,2),""),VLOOKUP($D58,素材!$1:$1016,COLUMN($F$1),FALSE))),VLOOKUP($C58,武器!$1:$998,COLUMN($O$1),FALSE)*VLOOKUP($D58,素材!$1:$1016,COLUMN($E$1),FALSE)/(LEN(VLOOKUP($D58,素材!$1:$1016,COLUMN($F$1),FALSE)) - LEN(SUBSTITUTE(VLOOKUP($D58,素材!$1:$1016,COLUMN($F$1),FALSE), "・", 0)) + 1), 0)</f>
        <v>0</v>
      </c>
      <c r="BB58">
        <f>IF(ISNUMBER(SEARCH(SUBSTITUTE(BB$1,RIGHT(BB$1,2),""),VLOOKUP($D58,素材!$1:$1016,COLUMN($F$1),FALSE))),VLOOKUP($C58,武器!$1:$998,COLUMN($O$1),FALSE)*VLOOKUP($D58,素材!$1:$1016,COLUMN($E$1),FALSE)/(LEN(VLOOKUP($D58,素材!$1:$1016,COLUMN($F$1),FALSE)) - LEN(SUBSTITUTE(VLOOKUP($D58,素材!$1:$1016,COLUMN($F$1),FALSE), "・", 0)) + 1), 0)</f>
        <v>0</v>
      </c>
      <c r="BC58">
        <f>IF(ISNUMBER(SEARCH(SUBSTITUTE(BC$1,RIGHT(BC$1,2),""),VLOOKUP($D58,素材!$1:$1016,COLUMN($F$1),FALSE))),VLOOKUP($C58,武器!$1:$998,COLUMN($O$1),FALSE)*VLOOKUP($D58,素材!$1:$1016,COLUMN($E$1),FALSE)/(LEN(VLOOKUP($D58,素材!$1:$1016,COLUMN($F$1),FALSE)) - LEN(SUBSTITUTE(VLOOKUP($D58,素材!$1:$1016,COLUMN($F$1),FALSE), "・", 0)) + 1), 0)</f>
        <v>0</v>
      </c>
      <c r="BD58">
        <f>IF(ISNUMBER(SEARCH(SUBSTITUTE(BD$1,RIGHT(BD$1,2),""),VLOOKUP($D58,素材!$1:$1016,COLUMN($F$1),FALSE))),VLOOKUP($C58,武器!$1:$998,COLUMN($O$1),FALSE)*VLOOKUP($D58,素材!$1:$1016,COLUMN($E$1),FALSE)/(LEN(VLOOKUP($D58,素材!$1:$1016,COLUMN($F$1),FALSE)) - LEN(SUBSTITUTE(VLOOKUP($D58,素材!$1:$1016,COLUMN($F$1),FALSE), "・", 0)) + 1), 0)</f>
        <v>0</v>
      </c>
      <c r="BE58">
        <f>IF(ISNUMBER(SEARCH(SUBSTITUTE(BE$1,RIGHT(BE$1,2),""),VLOOKUP($D58,素材!$1:$1016,COLUMN($F$1),FALSE))),VLOOKUP($C58,武器!$1:$998,COLUMN($O$1),FALSE)*VLOOKUP($D58,素材!$1:$1016,COLUMN($E$1),FALSE)/(LEN(VLOOKUP($D58,素材!$1:$1016,COLUMN($F$1),FALSE)) - LEN(SUBSTITUTE(VLOOKUP($D58,素材!$1:$1016,COLUMN($F$1),FALSE), "・", 0)) + 1), 0)</f>
        <v>0</v>
      </c>
      <c r="CL58">
        <f>SUM(G58:I58)</f>
        <v>18</v>
      </c>
      <c r="CM58" s="22" t="str">
        <f>IF(E58="武器",IF(J58-1&gt;SUM(G58:I58),"盾",IF(MAX(G58:I58)=G58,"切断",IF(MAX(G58:I58)=H58,"貫通",IF(MAX(G58:I58)=I58,"打撃","射撃")))),E58)&amp;".webp"</f>
        <v>切断.webp</v>
      </c>
      <c r="CN58">
        <f>IFERROR(VLOOKUP($C58,武器!$1:$998,COLUMN(V$1),FALSE)*VLOOKUP($D58,素材!$1:$1016,COLUMN(N$1),FALSE)+IF(CI58="",0,VLOOKUP($CI58,装強!$1:$1008,COLUMN($CK$1),FALSE)),"")</f>
        <v>200</v>
      </c>
      <c r="CO58" t="str">
        <f>VLOOKUP(D58,素材!$A:$O,COLUMN(素材!O$1),FALSE)</f>
        <v>一般的な木材。金属より軽いが少し脆い</v>
      </c>
      <c r="CP58" t="str">
        <f>VLOOKUP(C58,武器!$A:$W,COLUMN(武器!W$1),FALSE)</f>
        <v>戦斧。攻撃力が高く、重いが信頼性がある武器。</v>
      </c>
      <c r="CR58" t="str">
        <f t="shared" si="1"/>
        <v>e_58</v>
      </c>
      <c r="CS58">
        <f t="shared" si="2"/>
        <v>20000</v>
      </c>
    </row>
    <row r="59" spans="1:97" outlineLevel="1" x14ac:dyDescent="0.4">
      <c r="A59" t="str">
        <f t="shared" si="3"/>
        <v>木の鞭</v>
      </c>
      <c r="B59" t="str">
        <f>IFERROR(VLOOKUP($D59,素材!$1:$1016,COLUMN($B$1),FALSE)&amp;"・"&amp;VLOOKUP($C59,武器!$1:$998,COLUMN(B$1),FALSE),"")</f>
        <v>ウッド・ウィップ</v>
      </c>
      <c r="C59" t="s">
        <v>223</v>
      </c>
      <c r="D59" s="24" t="s">
        <v>255</v>
      </c>
      <c r="E59" t="str">
        <f>IFERROR(VLOOKUP(C59,武器!$1:$998,COLUMN(C$1),FALSE),"")</f>
        <v>武器</v>
      </c>
      <c r="F59">
        <f>IFERROR(ROUNDDOWN((VLOOKUP($C59,武器!$1:$998,COLUMN(D$1),FALSE)+IFERROR(VLOOKUP($CI59,装強!$1:$999,COLUMN(F$1),FALSE),0))*VLOOKUP($D59,素材!$1:$1016,COLUMN(D$1),FALSE),0),"")</f>
        <v>78</v>
      </c>
      <c r="G59">
        <f>IFERROR(ROUNDDOWN((VLOOKUP($C59,武器!$1:$998,COLUMN(E$1),FALSE)+IFERROR(VLOOKUP($CI59,装強!$1:$999,COLUMN(G$1),FALSE),0))*VLOOKUP($D59,素材!$1:$1016,COLUMN($E$1),FALSE),0),"")</f>
        <v>13</v>
      </c>
      <c r="H59">
        <f>IFERROR(ROUNDDOWN((VLOOKUP($C59,武器!$1:$998,COLUMN(F$1),FALSE)+IFERROR(VLOOKUP($CI59,装強!$1:$999,COLUMN(H$1),FALSE),0))*VLOOKUP($D59,素材!$1:$1016,COLUMN($E$1),FALSE),0),"")</f>
        <v>0</v>
      </c>
      <c r="I59">
        <f>IFERROR(ROUNDDOWN((VLOOKUP($C59,武器!$1:$998,COLUMN(G$1),FALSE)+IFERROR(VLOOKUP($CI59,装強!$1:$999,COLUMN(I$1),FALSE),0))*VLOOKUP($D59,素材!$1:$1016,COLUMN($E$1),FALSE),0),"")</f>
        <v>3</v>
      </c>
      <c r="J59">
        <f>IFERROR(ROUNDDOWN((VLOOKUP($C59,武器!$1:$998,COLUMN(H$1),FALSE)+IFERROR(VLOOKUP($CI59,装強!$1:$999,COLUMN(J$1),FALSE),0))*VLOOKUP($D59,素材!$1:$1016,COLUMN($E$1),FALSE),0),"")</f>
        <v>8</v>
      </c>
      <c r="K59">
        <f>IFERROR(ROUNDDOWN((VLOOKUP($C59,武器!$1:$998,COLUMN(I$1),FALSE)+IFERROR(VLOOKUP($CI59,装強!$1:$999,COLUMN(K$1),FALSE),0))*VLOOKUP($D59,素材!$1:$1016,COLUMN($E$1),FALSE),0),"")</f>
        <v>0</v>
      </c>
      <c r="L59">
        <f>IFERROR(VLOOKUP($D59,素材!$1:$1016,COLUMN($F$1),FALSE),"")</f>
        <v>0</v>
      </c>
      <c r="M59">
        <f>IFERROR(VLOOKUP($C59,武器!$1:$998,COLUMN(AA$1),FALSE)*VLOOKUP($D59,素材!$1:$1016,COLUMN($G$1),FALSE),"")</f>
        <v>0</v>
      </c>
      <c r="N59">
        <f>IFERROR(VLOOKUP($C59,武器!$1:$998,COLUMN(I$1),FALSE),"")</f>
        <v>0</v>
      </c>
      <c r="O59" s="23">
        <f>IFERROR((VLOOKUP($C59,武器!$1:$998,COLUMN(K$1),FALSE)+VLOOKUP($D59,素材!$1:$1016,COLUMN(H$1),FALSE))*100+IFERROR(VLOOKUP($CI59,装強!$1:$999,COLUMN(O$1),FALSE),0),"")</f>
        <v>10</v>
      </c>
      <c r="P59" s="23">
        <f>IFERROR((VLOOKUP($C59,武器!$1:$998,COLUMN(L$1),FALSE)+VLOOKUP($D59,素材!$1:$1016,COLUMN(I$1),FALSE))*100+IFERROR(VLOOKUP($CI59,装強!$1:$999,COLUMN(P$1),FALSE),0),"")</f>
        <v>150</v>
      </c>
      <c r="Q59">
        <f>IFERROR(ROUNDUP(VLOOKUP($C59,武器!$1:$998,COLUMN(M$1),FALSE)*(VLOOKUP($D59,素材!$1:$1002,COLUMN(D$1),FALSE)/100),1),"")</f>
        <v>0</v>
      </c>
      <c r="R59">
        <f>IFERROR(ROUNDUP(VLOOKUP($C59,武器!$1:$998,COLUMN(N$1),FALSE)*(VLOOKUP($D59,素材!$1:$1002,COLUMN(D$1),FALSE)/100),1),"")</f>
        <v>0</v>
      </c>
      <c r="S59">
        <f>IFERROR(VLOOKUP($C59,武器!$1:$998,COLUMN(P$1),FALSE),"")</f>
        <v>1</v>
      </c>
      <c r="T59">
        <f>IFERROR(VLOOKUP($C59,武器!$1:$998,COLUMN(Q$1),FALSE),"")</f>
        <v>0</v>
      </c>
      <c r="U59">
        <f>IFERROR(VLOOKUP($C59,武器!$1:$998,COLUMN(R$1),FALSE),"")</f>
        <v>0</v>
      </c>
      <c r="V59">
        <f>IFERROR(VLOOKUP($C59,武器!$1:$998,COLUMN(Q$1),FALSE),"")</f>
        <v>0</v>
      </c>
      <c r="W59" t="str">
        <f>IFERROR(VLOOKUP($C59,武器!$1:$998,COLUMN(T$1),FALSE),"")</f>
        <v>A</v>
      </c>
      <c r="Y59">
        <f>IFERROR(VLOOKUP($C59,武器!$1:$998,COLUMN(U$1),FALSE),"")</f>
        <v>0</v>
      </c>
      <c r="Z59">
        <f>IFERROR(ROUNDUP(VLOOKUP($C59,武器!$1:$998,COLUMN(O$1),FALSE)*VLOOKUP($D59,素材!$1:$1016,COLUMN(E$1),FALSE),1),"")</f>
        <v>0</v>
      </c>
      <c r="AA59">
        <f>IF(ISNUMBER(SEARCH(SUBSTITUTE(AA$1,RIGHT(AA$1,2),""),VLOOKUP($D59,素材!$1:$1016,COLUMN($F$1),FALSE))),VLOOKUP($C59,武器!$1:$998,COLUMN($O$1),FALSE)*VLOOKUP($D59,素材!$1:$1016,COLUMN($E$1),FALSE)/(LEN(VLOOKUP($D59,素材!$1:$1016,COLUMN($F$1),FALSE)) - LEN(SUBSTITUTE(VLOOKUP($D59,素材!$1:$1016,COLUMN($F$1),FALSE), "・", 0)) + 1), 0)</f>
        <v>0</v>
      </c>
      <c r="AB59">
        <f>IF(ISNUMBER(SEARCH(SUBSTITUTE(AB$1,RIGHT(AB$1,2),""),VLOOKUP($D59,素材!$1:$1016,COLUMN($F$1),FALSE))),VLOOKUP($C59,武器!$1:$998,COLUMN($O$1),FALSE)*VLOOKUP($D59,素材!$1:$1016,COLUMN($E$1),FALSE)/(LEN(VLOOKUP($D59,素材!$1:$1016,COLUMN($F$1),FALSE)) - LEN(SUBSTITUTE(VLOOKUP($D59,素材!$1:$1016,COLUMN($F$1),FALSE), "・", 0)) + 1), 0)</f>
        <v>0</v>
      </c>
      <c r="AC59">
        <f>IF(ISNUMBER(SEARCH(SUBSTITUTE(AC$1,RIGHT(AC$1,2),""),VLOOKUP($D59,素材!$1:$1016,COLUMN($F$1),FALSE))),VLOOKUP($C59,武器!$1:$998,COLUMN($O$1),FALSE)*VLOOKUP($D59,素材!$1:$1016,COLUMN($E$1),FALSE)/(LEN(VLOOKUP($D59,素材!$1:$1016,COLUMN($F$1),FALSE)) - LEN(SUBSTITUTE(VLOOKUP($D59,素材!$1:$1016,COLUMN($F$1),FALSE), "・", 0)) + 1), 0)</f>
        <v>0</v>
      </c>
      <c r="AD59">
        <f>IF(ISNUMBER(SEARCH(SUBSTITUTE(AD$1,RIGHT(AD$1,2),""),VLOOKUP($D59,素材!$1:$1016,COLUMN($F$1),FALSE))),VLOOKUP($C59,武器!$1:$998,COLUMN($O$1),FALSE)*VLOOKUP($D59,素材!$1:$1016,COLUMN($E$1),FALSE)/(LEN(VLOOKUP($D59,素材!$1:$1016,COLUMN($F$1),FALSE)) - LEN(SUBSTITUTE(VLOOKUP($D59,素材!$1:$1016,COLUMN($F$1),FALSE), "・", 0)) + 1), 0)</f>
        <v>0</v>
      </c>
      <c r="AE59">
        <f>IF(ISNUMBER(SEARCH(SUBSTITUTE(AE$1,RIGHT(AE$1,2),""),VLOOKUP($D59,素材!$1:$1016,COLUMN($F$1),FALSE))),VLOOKUP($C59,武器!$1:$998,COLUMN($O$1),FALSE)*VLOOKUP($D59,素材!$1:$1016,COLUMN($E$1),FALSE)/(LEN(VLOOKUP($D59,素材!$1:$1016,COLUMN($F$1),FALSE)) - LEN(SUBSTITUTE(VLOOKUP($D59,素材!$1:$1016,COLUMN($F$1),FALSE), "・", 0)) + 1), 0)</f>
        <v>0</v>
      </c>
      <c r="AF59">
        <f>IF(ISNUMBER(SEARCH(SUBSTITUTE(AF$1,RIGHT(AF$1,2),""),VLOOKUP($D59,素材!$1:$1016,COLUMN($F$1),FALSE))),VLOOKUP($C59,武器!$1:$998,COLUMN($O$1),FALSE)*VLOOKUP($D59,素材!$1:$1016,COLUMN($E$1),FALSE)/(LEN(VLOOKUP($D59,素材!$1:$1016,COLUMN($F$1),FALSE)) - LEN(SUBSTITUTE(VLOOKUP($D59,素材!$1:$1016,COLUMN($F$1),FALSE), "・", 0)) + 1), 0)</f>
        <v>0</v>
      </c>
      <c r="AG59">
        <f>IF(ISNUMBER(SEARCH(SUBSTITUTE(AG$1,RIGHT(AG$1,2),""),VLOOKUP($D59,素材!$1:$1016,COLUMN($F$1),FALSE))),VLOOKUP($C59,武器!$1:$998,COLUMN($O$1),FALSE)*VLOOKUP($D59,素材!$1:$1016,COLUMN($E$1),FALSE)/(LEN(VLOOKUP($D59,素材!$1:$1016,COLUMN($F$1),FALSE)) - LEN(SUBSTITUTE(VLOOKUP($D59,素材!$1:$1016,COLUMN($F$1),FALSE), "・", 0)) + 1), 0)</f>
        <v>0</v>
      </c>
      <c r="AH59">
        <f>IF(ISNUMBER(SEARCH(SUBSTITUTE(AH$1,RIGHT(AH$1,2),""),VLOOKUP($D59,素材!$1:$1016,COLUMN($F$1),FALSE))),VLOOKUP($C59,武器!$1:$998,COLUMN($O$1),FALSE)*VLOOKUP($D59,素材!$1:$1016,COLUMN($E$1),FALSE)/(LEN(VLOOKUP($D59,素材!$1:$1016,COLUMN($F$1),FALSE)) - LEN(SUBSTITUTE(VLOOKUP($D59,素材!$1:$1016,COLUMN($F$1),FALSE), "・", 0)) + 1), 0)</f>
        <v>0</v>
      </c>
      <c r="AI59">
        <f>IF(ISNUMBER(SEARCH(SUBSTITUTE(AI$1,RIGHT(AI$1,2),""),VLOOKUP($D59,素材!$1:$1016,COLUMN($F$1),FALSE))),VLOOKUP($C59,武器!$1:$998,COLUMN($O$1),FALSE)*VLOOKUP($D59,素材!$1:$1016,COLUMN($E$1),FALSE)/(LEN(VLOOKUP($D59,素材!$1:$1016,COLUMN($F$1),FALSE)) - LEN(SUBSTITUTE(VLOOKUP($D59,素材!$1:$1016,COLUMN($F$1),FALSE), "・", 0)) + 1), 0)</f>
        <v>0</v>
      </c>
      <c r="AJ59">
        <f>IF(ISNUMBER(SEARCH(SUBSTITUTE(AJ$1,RIGHT(AJ$1,2),""),VLOOKUP($D59,素材!$1:$1016,COLUMN($F$1),FALSE))),VLOOKUP($C59,武器!$1:$998,COLUMN($O$1),FALSE)*VLOOKUP($D59,素材!$1:$1016,COLUMN($E$1),FALSE)/(LEN(VLOOKUP($D59,素材!$1:$1016,COLUMN($F$1),FALSE)) - LEN(SUBSTITUTE(VLOOKUP($D59,素材!$1:$1016,COLUMN($F$1),FALSE), "・", 0)) + 1), 0)</f>
        <v>0</v>
      </c>
      <c r="AK59">
        <f>IF(ISNUMBER(SEARCH(SUBSTITUTE(AK$1,RIGHT(AK$1,2),""),VLOOKUP($D59,素材!$1:$1016,COLUMN($F$1),FALSE))),VLOOKUP($C59,武器!$1:$998,COLUMN($O$1),FALSE)*VLOOKUP($D59,素材!$1:$1016,COLUMN($E$1),FALSE)/(LEN(VLOOKUP($D59,素材!$1:$1016,COLUMN($F$1),FALSE)) - LEN(SUBSTITUTE(VLOOKUP($D59,素材!$1:$1016,COLUMN($F$1),FALSE), "・", 0)) + 1), 0)</f>
        <v>0</v>
      </c>
      <c r="AL59">
        <f>IF(ISNUMBER(SEARCH(SUBSTITUTE(AL$1,RIGHT(AL$1,2),""),VLOOKUP($D59,素材!$1:$1016,COLUMN($F$1),FALSE))),VLOOKUP($C59,武器!$1:$998,COLUMN($O$1),FALSE)*VLOOKUP($D59,素材!$1:$1016,COLUMN($E$1),FALSE)/(LEN(VLOOKUP($D59,素材!$1:$1016,COLUMN($F$1),FALSE)) - LEN(SUBSTITUTE(VLOOKUP($D59,素材!$1:$1016,COLUMN($F$1),FALSE), "・", 0)) + 1), 0)</f>
        <v>0</v>
      </c>
      <c r="AM59">
        <f>IF(ISNUMBER(SEARCH(SUBSTITUTE(AM$1,RIGHT(AM$1,2),""),VLOOKUP($D59,素材!$1:$1016,COLUMN($F$1),FALSE))),VLOOKUP($C59,武器!$1:$998,COLUMN($O$1),FALSE)*VLOOKUP($D59,素材!$1:$1016,COLUMN($E$1),FALSE)/(LEN(VLOOKUP($D59,素材!$1:$1016,COLUMN($F$1),FALSE)) - LEN(SUBSTITUTE(VLOOKUP($D59,素材!$1:$1016,COLUMN($F$1),FALSE), "・", 0)) + 1), 0)</f>
        <v>0</v>
      </c>
      <c r="AN59">
        <f>IF(ISNUMBER(SEARCH(SUBSTITUTE(AN$1,RIGHT(AN$1,2),""),VLOOKUP($D59,素材!$1:$1016,COLUMN($F$1),FALSE))),VLOOKUP($C59,武器!$1:$998,COLUMN($O$1),FALSE)*VLOOKUP($D59,素材!$1:$1016,COLUMN($E$1),FALSE)/(LEN(VLOOKUP($D59,素材!$1:$1016,COLUMN($F$1),FALSE)) - LEN(SUBSTITUTE(VLOOKUP($D59,素材!$1:$1016,COLUMN($F$1),FALSE), "・", 0)) + 1), 0)</f>
        <v>0</v>
      </c>
      <c r="AO59">
        <f>IF(ISNUMBER(SEARCH(SUBSTITUTE(AO$1,RIGHT(AO$1,2),""),VLOOKUP($D59,素材!$1:$1016,COLUMN($F$1),FALSE))),VLOOKUP($C59,武器!$1:$998,COLUMN($O$1),FALSE)*VLOOKUP($D59,素材!$1:$1016,COLUMN($E$1),FALSE)/(LEN(VLOOKUP($D59,素材!$1:$1016,COLUMN($F$1),FALSE)) - LEN(SUBSTITUTE(VLOOKUP($D59,素材!$1:$1016,COLUMN($F$1),FALSE), "・", 0)) + 1), 0)</f>
        <v>0</v>
      </c>
      <c r="AP59">
        <f>IF(ISNUMBER(SEARCH(SUBSTITUTE(AP$1,RIGHT(AP$1,2),""),VLOOKUP($D59,素材!$1:$1016,COLUMN($F$1),FALSE))),VLOOKUP($C59,武器!$1:$998,COLUMN($O$1),FALSE)*VLOOKUP($D59,素材!$1:$1016,COLUMN($E$1),FALSE)/(LEN(VLOOKUP($D59,素材!$1:$1016,COLUMN($F$1),FALSE)) - LEN(SUBSTITUTE(VLOOKUP($D59,素材!$1:$1016,COLUMN($F$1),FALSE), "・", 0)) + 1), 0)</f>
        <v>0</v>
      </c>
      <c r="AQ59">
        <f>IF(ISNUMBER(SEARCH(SUBSTITUTE(AQ$1,RIGHT(AQ$1,2),""),VLOOKUP($D59,素材!$1:$1016,COLUMN($F$1),FALSE))),VLOOKUP($C59,武器!$1:$998,COLUMN($O$1),FALSE)*VLOOKUP($D59,素材!$1:$1016,COLUMN($E$1),FALSE)/(LEN(VLOOKUP($D59,素材!$1:$1016,COLUMN($F$1),FALSE)) - LEN(SUBSTITUTE(VLOOKUP($D59,素材!$1:$1016,COLUMN($F$1),FALSE), "・", 0)) + 1), 0)</f>
        <v>0</v>
      </c>
      <c r="AR59">
        <f>IF(ISNUMBER(SEARCH(SUBSTITUTE(AR$1,RIGHT(AR$1,2),""),VLOOKUP($D59,素材!$1:$1016,COLUMN($F$1),FALSE))),VLOOKUP($C59,武器!$1:$998,COLUMN($O$1),FALSE)*VLOOKUP($D59,素材!$1:$1016,COLUMN($E$1),FALSE)/(LEN(VLOOKUP($D59,素材!$1:$1016,COLUMN($F$1),FALSE)) - LEN(SUBSTITUTE(VLOOKUP($D59,素材!$1:$1016,COLUMN($F$1),FALSE), "・", 0)) + 1), 0)</f>
        <v>0</v>
      </c>
      <c r="AS59">
        <f>IF(ISNUMBER(SEARCH(SUBSTITUTE(AS$1,RIGHT(AS$1,2),""),VLOOKUP($D59,素材!$1:$1016,COLUMN($F$1),FALSE))),VLOOKUP($C59,武器!$1:$998,COLUMN($O$1),FALSE)*VLOOKUP($D59,素材!$1:$1016,COLUMN($E$1),FALSE)/(LEN(VLOOKUP($D59,素材!$1:$1016,COLUMN($F$1),FALSE)) - LEN(SUBSTITUTE(VLOOKUP($D59,素材!$1:$1016,COLUMN($F$1),FALSE), "・", 0)) + 1), 0)</f>
        <v>0</v>
      </c>
      <c r="AT59">
        <f>IF(ISNUMBER(SEARCH(SUBSTITUTE(AT$1,RIGHT(AT$1,2),""),VLOOKUP($D59,素材!$1:$1016,COLUMN($F$1),FALSE))),VLOOKUP($C59,武器!$1:$998,COLUMN($O$1),FALSE)*VLOOKUP($D59,素材!$1:$1016,COLUMN($E$1),FALSE)/(LEN(VLOOKUP($D59,素材!$1:$1016,COLUMN($F$1),FALSE)) - LEN(SUBSTITUTE(VLOOKUP($D59,素材!$1:$1016,COLUMN($F$1),FALSE), "・", 0)) + 1), 0)</f>
        <v>0</v>
      </c>
      <c r="AU59">
        <f>IF(ISNUMBER(SEARCH(SUBSTITUTE(AU$1,RIGHT(AU$1,2),""),VLOOKUP($D59,素材!$1:$1016,COLUMN($F$1),FALSE))),VLOOKUP($C59,武器!$1:$998,COLUMN($O$1),FALSE)*VLOOKUP($D59,素材!$1:$1016,COLUMN($E$1),FALSE)/(LEN(VLOOKUP($D59,素材!$1:$1016,COLUMN($F$1),FALSE)) - LEN(SUBSTITUTE(VLOOKUP($D59,素材!$1:$1016,COLUMN($F$1),FALSE), "・", 0)) + 1), 0)</f>
        <v>0</v>
      </c>
      <c r="AV59">
        <f>IF(ISNUMBER(SEARCH(SUBSTITUTE(AV$1,RIGHT(AV$1,2),""),VLOOKUP($D59,素材!$1:$1016,COLUMN($F$1),FALSE))),VLOOKUP($C59,武器!$1:$998,COLUMN($O$1),FALSE)*VLOOKUP($D59,素材!$1:$1016,COLUMN($E$1),FALSE)/(LEN(VLOOKUP($D59,素材!$1:$1016,COLUMN($F$1),FALSE)) - LEN(SUBSTITUTE(VLOOKUP($D59,素材!$1:$1016,COLUMN($F$1),FALSE), "・", 0)) + 1), 0)</f>
        <v>0</v>
      </c>
      <c r="AW59">
        <f>IF(ISNUMBER(SEARCH(SUBSTITUTE(AW$1,RIGHT(AW$1,2),""),VLOOKUP($D59,素材!$1:$1016,COLUMN($F$1),FALSE))),VLOOKUP($C59,武器!$1:$998,COLUMN($O$1),FALSE)*VLOOKUP($D59,素材!$1:$1016,COLUMN($E$1),FALSE)/(LEN(VLOOKUP($D59,素材!$1:$1016,COLUMN($F$1),FALSE)) - LEN(SUBSTITUTE(VLOOKUP($D59,素材!$1:$1016,COLUMN($F$1),FALSE), "・", 0)) + 1), 0)</f>
        <v>0</v>
      </c>
      <c r="AX59">
        <f>IF(ISNUMBER(SEARCH(SUBSTITUTE(AX$1,RIGHT(AX$1,2),""),VLOOKUP($D59,素材!$1:$1016,COLUMN($F$1),FALSE))),VLOOKUP($C59,武器!$1:$998,COLUMN($O$1),FALSE)*VLOOKUP($D59,素材!$1:$1016,COLUMN($E$1),FALSE)/(LEN(VLOOKUP($D59,素材!$1:$1016,COLUMN($F$1),FALSE)) - LEN(SUBSTITUTE(VLOOKUP($D59,素材!$1:$1016,COLUMN($F$1),FALSE), "・", 0)) + 1), 0)</f>
        <v>0</v>
      </c>
      <c r="AY59">
        <f>IF(ISNUMBER(SEARCH(SUBSTITUTE(AY$1,RIGHT(AY$1,2),""),VLOOKUP($D59,素材!$1:$1016,COLUMN($F$1),FALSE))),VLOOKUP($C59,武器!$1:$998,COLUMN($O$1),FALSE)*VLOOKUP($D59,素材!$1:$1016,COLUMN($E$1),FALSE)/(LEN(VLOOKUP($D59,素材!$1:$1016,COLUMN($F$1),FALSE)) - LEN(SUBSTITUTE(VLOOKUP($D59,素材!$1:$1016,COLUMN($F$1),FALSE), "・", 0)) + 1), 0)</f>
        <v>0</v>
      </c>
      <c r="AZ59">
        <f>IF(ISNUMBER(SEARCH(SUBSTITUTE(AZ$1,RIGHT(AZ$1,2),""),VLOOKUP($D59,素材!$1:$1016,COLUMN($F$1),FALSE))),VLOOKUP($C59,武器!$1:$998,COLUMN($O$1),FALSE)*VLOOKUP($D59,素材!$1:$1016,COLUMN($E$1),FALSE)/(LEN(VLOOKUP($D59,素材!$1:$1016,COLUMN($F$1),FALSE)) - LEN(SUBSTITUTE(VLOOKUP($D59,素材!$1:$1016,COLUMN($F$1),FALSE), "・", 0)) + 1), 0)</f>
        <v>0</v>
      </c>
      <c r="BA59">
        <f>IF(ISNUMBER(SEARCH(SUBSTITUTE(BA$1,RIGHT(BA$1,2),""),VLOOKUP($D59,素材!$1:$1016,COLUMN($F$1),FALSE))),VLOOKUP($C59,武器!$1:$998,COLUMN($O$1),FALSE)*VLOOKUP($D59,素材!$1:$1016,COLUMN($E$1),FALSE)/(LEN(VLOOKUP($D59,素材!$1:$1016,COLUMN($F$1),FALSE)) - LEN(SUBSTITUTE(VLOOKUP($D59,素材!$1:$1016,COLUMN($F$1),FALSE), "・", 0)) + 1), 0)</f>
        <v>0</v>
      </c>
      <c r="BB59">
        <f>IF(ISNUMBER(SEARCH(SUBSTITUTE(BB$1,RIGHT(BB$1,2),""),VLOOKUP($D59,素材!$1:$1016,COLUMN($F$1),FALSE))),VLOOKUP($C59,武器!$1:$998,COLUMN($O$1),FALSE)*VLOOKUP($D59,素材!$1:$1016,COLUMN($E$1),FALSE)/(LEN(VLOOKUP($D59,素材!$1:$1016,COLUMN($F$1),FALSE)) - LEN(SUBSTITUTE(VLOOKUP($D59,素材!$1:$1016,COLUMN($F$1),FALSE), "・", 0)) + 1), 0)</f>
        <v>0</v>
      </c>
      <c r="BC59">
        <f>IF(ISNUMBER(SEARCH(SUBSTITUTE(BC$1,RIGHT(BC$1,2),""),VLOOKUP($D59,素材!$1:$1016,COLUMN($F$1),FALSE))),VLOOKUP($C59,武器!$1:$998,COLUMN($O$1),FALSE)*VLOOKUP($D59,素材!$1:$1016,COLUMN($E$1),FALSE)/(LEN(VLOOKUP($D59,素材!$1:$1016,COLUMN($F$1),FALSE)) - LEN(SUBSTITUTE(VLOOKUP($D59,素材!$1:$1016,COLUMN($F$1),FALSE), "・", 0)) + 1), 0)</f>
        <v>0</v>
      </c>
      <c r="BD59">
        <f>IF(ISNUMBER(SEARCH(SUBSTITUTE(BD$1,RIGHT(BD$1,2),""),VLOOKUP($D59,素材!$1:$1016,COLUMN($F$1),FALSE))),VLOOKUP($C59,武器!$1:$998,COLUMN($O$1),FALSE)*VLOOKUP($D59,素材!$1:$1016,COLUMN($E$1),FALSE)/(LEN(VLOOKUP($D59,素材!$1:$1016,COLUMN($F$1),FALSE)) - LEN(SUBSTITUTE(VLOOKUP($D59,素材!$1:$1016,COLUMN($F$1),FALSE), "・", 0)) + 1), 0)</f>
        <v>0</v>
      </c>
      <c r="BE59">
        <f>IF(ISNUMBER(SEARCH(SUBSTITUTE(BE$1,RIGHT(BE$1,2),""),VLOOKUP($D59,素材!$1:$1016,COLUMN($F$1),FALSE))),VLOOKUP($C59,武器!$1:$998,COLUMN($O$1),FALSE)*VLOOKUP($D59,素材!$1:$1016,COLUMN($E$1),FALSE)/(LEN(VLOOKUP($D59,素材!$1:$1016,COLUMN($F$1),FALSE)) - LEN(SUBSTITUTE(VLOOKUP($D59,素材!$1:$1016,COLUMN($F$1),FALSE), "・", 0)) + 1), 0)</f>
        <v>0</v>
      </c>
      <c r="CL59">
        <f>SUM(G59:I59)</f>
        <v>16</v>
      </c>
      <c r="CM59" s="22" t="str">
        <f>IF(E59="武器",IF(J59-1&gt;SUM(G59:I59),"盾",IF(MAX(G59:I59)=G59,"切断",IF(MAX(G59:I59)=H59,"貫通",IF(MAX(G59:I59)=I59,"打撃","射撃")))),E59)&amp;".webp"</f>
        <v>切断.webp</v>
      </c>
      <c r="CN59">
        <f>IFERROR(VLOOKUP($C59,武器!$1:$998,COLUMN(V$1),FALSE)*VLOOKUP($D59,素材!$1:$1016,COLUMN(N$1),FALSE)+IF(CI59="",0,VLOOKUP($CI59,装強!$1:$1008,COLUMN($CK$1),FALSE)),"")</f>
        <v>250</v>
      </c>
      <c r="CO59" t="str">
        <f>VLOOKUP(D59,素材!$A:$O,COLUMN(素材!O$1),FALSE)</f>
        <v>一般的な木材。金属より軽いが少し脆い</v>
      </c>
      <c r="CP59" t="str">
        <f>VLOOKUP(C59,武器!$A:$W,COLUMN(武器!W$1),FALSE)</f>
        <v>鞭。リーチが長く、敵を絡め取る戦闘に適する。</v>
      </c>
      <c r="CR59" t="str">
        <f t="shared" si="1"/>
        <v>e_59</v>
      </c>
      <c r="CS59">
        <f t="shared" si="2"/>
        <v>25000</v>
      </c>
    </row>
    <row r="60" spans="1:97" outlineLevel="1" x14ac:dyDescent="0.4">
      <c r="A60" t="str">
        <f t="shared" si="3"/>
        <v>木の丸盾</v>
      </c>
      <c r="B60" t="str">
        <f>IFERROR(VLOOKUP($D60,素材!$1:$1016,COLUMN($B$1),FALSE)&amp;"・"&amp;VLOOKUP($C60,武器!$1:$998,COLUMN(B$1),FALSE),"")</f>
        <v>ウッド・バックラー</v>
      </c>
      <c r="C60" t="s">
        <v>222</v>
      </c>
      <c r="D60" s="24" t="s">
        <v>255</v>
      </c>
      <c r="E60" t="str">
        <f>IFERROR(VLOOKUP(C60,武器!$1:$998,COLUMN(C$1),FALSE),"")</f>
        <v>盾</v>
      </c>
      <c r="F60">
        <f>IFERROR(ROUNDDOWN((VLOOKUP($C60,武器!$1:$998,COLUMN(D$1),FALSE)+IFERROR(VLOOKUP($CI60,装強!$1:$999,COLUMN(F$1),FALSE),0))*VLOOKUP($D60,素材!$1:$1016,COLUMN(D$1),FALSE),0),"")</f>
        <v>75</v>
      </c>
      <c r="G60">
        <f>IFERROR(ROUNDDOWN((VLOOKUP($C60,武器!$1:$998,COLUMN(E$1),FALSE)+IFERROR(VLOOKUP($CI60,装強!$1:$999,COLUMN(G$1),FALSE),0))*VLOOKUP($D60,素材!$1:$1016,COLUMN($E$1),FALSE),0),"")</f>
        <v>6</v>
      </c>
      <c r="H60">
        <f>IFERROR(ROUNDDOWN((VLOOKUP($C60,武器!$1:$998,COLUMN(F$1),FALSE)+IFERROR(VLOOKUP($CI60,装強!$1:$999,COLUMN(H$1),FALSE),0))*VLOOKUP($D60,素材!$1:$1016,COLUMN($E$1),FALSE),0),"")</f>
        <v>0</v>
      </c>
      <c r="I60">
        <f>IFERROR(ROUNDDOWN((VLOOKUP($C60,武器!$1:$998,COLUMN(G$1),FALSE)+IFERROR(VLOOKUP($CI60,装強!$1:$999,COLUMN(I$1),FALSE),0))*VLOOKUP($D60,素材!$1:$1016,COLUMN($E$1),FALSE),0),"")</f>
        <v>6</v>
      </c>
      <c r="J60">
        <f>IFERROR(ROUNDDOWN((VLOOKUP($C60,武器!$1:$998,COLUMN(H$1),FALSE)+IFERROR(VLOOKUP($CI60,装強!$1:$999,COLUMN(J$1),FALSE),0))*VLOOKUP($D60,素材!$1:$1016,COLUMN($E$1),FALSE),0),"")</f>
        <v>17</v>
      </c>
      <c r="K60">
        <f>IFERROR(ROUNDDOWN((VLOOKUP($C60,武器!$1:$998,COLUMN(I$1),FALSE)+IFERROR(VLOOKUP($CI60,装強!$1:$999,COLUMN(K$1),FALSE),0))*VLOOKUP($D60,素材!$1:$1016,COLUMN($E$1),FALSE),0),"")</f>
        <v>0</v>
      </c>
      <c r="L60">
        <f>IFERROR(VLOOKUP($D60,素材!$1:$1016,COLUMN($F$1),FALSE),"")</f>
        <v>0</v>
      </c>
      <c r="M60">
        <f>IFERROR(VLOOKUP($C60,武器!$1:$998,COLUMN(AA$1),FALSE)*VLOOKUP($D60,素材!$1:$1016,COLUMN($G$1),FALSE),"")</f>
        <v>0</v>
      </c>
      <c r="N60">
        <f>IFERROR(VLOOKUP($C60,武器!$1:$998,COLUMN(I$1),FALSE),"")</f>
        <v>0</v>
      </c>
      <c r="O60" s="23">
        <f>IFERROR((VLOOKUP($C60,武器!$1:$998,COLUMN(K$1),FALSE)+VLOOKUP($D60,素材!$1:$1016,COLUMN(H$1),FALSE))*100+IFERROR(VLOOKUP($CI60,装強!$1:$999,COLUMN(O$1),FALSE),0),"")</f>
        <v>5</v>
      </c>
      <c r="P60" s="23">
        <f>IFERROR((VLOOKUP($C60,武器!$1:$998,COLUMN(L$1),FALSE)+VLOOKUP($D60,素材!$1:$1016,COLUMN(I$1),FALSE))*100+IFERROR(VLOOKUP($CI60,装強!$1:$999,COLUMN(P$1),FALSE),0),"")</f>
        <v>125</v>
      </c>
      <c r="Q60">
        <f>IFERROR(ROUNDUP(VLOOKUP($C60,武器!$1:$998,COLUMN(M$1),FALSE)*(VLOOKUP($D60,素材!$1:$1002,COLUMN(D$1),FALSE)/100),1),"")</f>
        <v>0</v>
      </c>
      <c r="R60">
        <f>IFERROR(ROUNDUP(VLOOKUP($C60,武器!$1:$998,COLUMN(N$1),FALSE)*(VLOOKUP($D60,素材!$1:$1002,COLUMN(D$1),FALSE)/100),1),"")</f>
        <v>0</v>
      </c>
      <c r="S60">
        <f>IFERROR(VLOOKUP($C60,武器!$1:$998,COLUMN(P$1),FALSE),"")</f>
        <v>0</v>
      </c>
      <c r="T60">
        <f>IFERROR(VLOOKUP($C60,武器!$1:$998,COLUMN(Q$1),FALSE),"")</f>
        <v>0</v>
      </c>
      <c r="U60">
        <f>IFERROR(VLOOKUP($C60,武器!$1:$998,COLUMN(R$1),FALSE),"")</f>
        <v>0</v>
      </c>
      <c r="V60">
        <f>IFERROR(VLOOKUP($C60,武器!$1:$998,COLUMN(Q$1),FALSE),"")</f>
        <v>0</v>
      </c>
      <c r="W60" t="str">
        <f>IFERROR(VLOOKUP($C60,武器!$1:$998,COLUMN(T$1),FALSE),"")</f>
        <v>A</v>
      </c>
      <c r="Y60" t="str">
        <f>IFERROR(VLOOKUP($C60,武器!$1:$998,COLUMN(U$1),FALSE),"")</f>
        <v>投擲強化,片手適性Ⅱ</v>
      </c>
      <c r="Z60">
        <f>IFERROR(ROUNDUP(VLOOKUP($C60,武器!$1:$998,COLUMN(O$1),FALSE)*VLOOKUP($D60,素材!$1:$1016,COLUMN(E$1),FALSE),1),"")</f>
        <v>0</v>
      </c>
      <c r="AA60">
        <f>IF(ISNUMBER(SEARCH(SUBSTITUTE(AA$1,RIGHT(AA$1,2),""),VLOOKUP($D60,素材!$1:$1016,COLUMN($F$1),FALSE))),VLOOKUP($C60,武器!$1:$998,COLUMN($O$1),FALSE)*VLOOKUP($D60,素材!$1:$1016,COLUMN($E$1),FALSE)/(LEN(VLOOKUP($D60,素材!$1:$1016,COLUMN($F$1),FALSE)) - LEN(SUBSTITUTE(VLOOKUP($D60,素材!$1:$1016,COLUMN($F$1),FALSE), "・", 0)) + 1), 0)</f>
        <v>0</v>
      </c>
      <c r="AB60">
        <f>IF(ISNUMBER(SEARCH(SUBSTITUTE(AB$1,RIGHT(AB$1,2),""),VLOOKUP($D60,素材!$1:$1016,COLUMN($F$1),FALSE))),VLOOKUP($C60,武器!$1:$998,COLUMN($O$1),FALSE)*VLOOKUP($D60,素材!$1:$1016,COLUMN($E$1),FALSE)/(LEN(VLOOKUP($D60,素材!$1:$1016,COLUMN($F$1),FALSE)) - LEN(SUBSTITUTE(VLOOKUP($D60,素材!$1:$1016,COLUMN($F$1),FALSE), "・", 0)) + 1), 0)</f>
        <v>0</v>
      </c>
      <c r="AC60">
        <f>IF(ISNUMBER(SEARCH(SUBSTITUTE(AC$1,RIGHT(AC$1,2),""),VLOOKUP($D60,素材!$1:$1016,COLUMN($F$1),FALSE))),VLOOKUP($C60,武器!$1:$998,COLUMN($O$1),FALSE)*VLOOKUP($D60,素材!$1:$1016,COLUMN($E$1),FALSE)/(LEN(VLOOKUP($D60,素材!$1:$1016,COLUMN($F$1),FALSE)) - LEN(SUBSTITUTE(VLOOKUP($D60,素材!$1:$1016,COLUMN($F$1),FALSE), "・", 0)) + 1), 0)</f>
        <v>0</v>
      </c>
      <c r="AD60">
        <f>IF(ISNUMBER(SEARCH(SUBSTITUTE(AD$1,RIGHT(AD$1,2),""),VLOOKUP($D60,素材!$1:$1016,COLUMN($F$1),FALSE))),VLOOKUP($C60,武器!$1:$998,COLUMN($O$1),FALSE)*VLOOKUP($D60,素材!$1:$1016,COLUMN($E$1),FALSE)/(LEN(VLOOKUP($D60,素材!$1:$1016,COLUMN($F$1),FALSE)) - LEN(SUBSTITUTE(VLOOKUP($D60,素材!$1:$1016,COLUMN($F$1),FALSE), "・", 0)) + 1), 0)</f>
        <v>0</v>
      </c>
      <c r="AE60">
        <f>IF(ISNUMBER(SEARCH(SUBSTITUTE(AE$1,RIGHT(AE$1,2),""),VLOOKUP($D60,素材!$1:$1016,COLUMN($F$1),FALSE))),VLOOKUP($C60,武器!$1:$998,COLUMN($O$1),FALSE)*VLOOKUP($D60,素材!$1:$1016,COLUMN($E$1),FALSE)/(LEN(VLOOKUP($D60,素材!$1:$1016,COLUMN($F$1),FALSE)) - LEN(SUBSTITUTE(VLOOKUP($D60,素材!$1:$1016,COLUMN($F$1),FALSE), "・", 0)) + 1), 0)</f>
        <v>0</v>
      </c>
      <c r="AF60">
        <f>IF(ISNUMBER(SEARCH(SUBSTITUTE(AF$1,RIGHT(AF$1,2),""),VLOOKUP($D60,素材!$1:$1016,COLUMN($F$1),FALSE))),VLOOKUP($C60,武器!$1:$998,COLUMN($O$1),FALSE)*VLOOKUP($D60,素材!$1:$1016,COLUMN($E$1),FALSE)/(LEN(VLOOKUP($D60,素材!$1:$1016,COLUMN($F$1),FALSE)) - LEN(SUBSTITUTE(VLOOKUP($D60,素材!$1:$1016,COLUMN($F$1),FALSE), "・", 0)) + 1), 0)</f>
        <v>0</v>
      </c>
      <c r="AG60">
        <f>IF(ISNUMBER(SEARCH(SUBSTITUTE(AG$1,RIGHT(AG$1,2),""),VLOOKUP($D60,素材!$1:$1016,COLUMN($F$1),FALSE))),VLOOKUP($C60,武器!$1:$998,COLUMN($O$1),FALSE)*VLOOKUP($D60,素材!$1:$1016,COLUMN($E$1),FALSE)/(LEN(VLOOKUP($D60,素材!$1:$1016,COLUMN($F$1),FALSE)) - LEN(SUBSTITUTE(VLOOKUP($D60,素材!$1:$1016,COLUMN($F$1),FALSE), "・", 0)) + 1), 0)</f>
        <v>0</v>
      </c>
      <c r="AH60">
        <f>IF(ISNUMBER(SEARCH(SUBSTITUTE(AH$1,RIGHT(AH$1,2),""),VLOOKUP($D60,素材!$1:$1016,COLUMN($F$1),FALSE))),VLOOKUP($C60,武器!$1:$998,COLUMN($O$1),FALSE)*VLOOKUP($D60,素材!$1:$1016,COLUMN($E$1),FALSE)/(LEN(VLOOKUP($D60,素材!$1:$1016,COLUMN($F$1),FALSE)) - LEN(SUBSTITUTE(VLOOKUP($D60,素材!$1:$1016,COLUMN($F$1),FALSE), "・", 0)) + 1), 0)</f>
        <v>0</v>
      </c>
      <c r="AI60">
        <f>IF(ISNUMBER(SEARCH(SUBSTITUTE(AI$1,RIGHT(AI$1,2),""),VLOOKUP($D60,素材!$1:$1016,COLUMN($F$1),FALSE))),VLOOKUP($C60,武器!$1:$998,COLUMN($O$1),FALSE)*VLOOKUP($D60,素材!$1:$1016,COLUMN($E$1),FALSE)/(LEN(VLOOKUP($D60,素材!$1:$1016,COLUMN($F$1),FALSE)) - LEN(SUBSTITUTE(VLOOKUP($D60,素材!$1:$1016,COLUMN($F$1),FALSE), "・", 0)) + 1), 0)</f>
        <v>0</v>
      </c>
      <c r="AJ60">
        <f>IF(ISNUMBER(SEARCH(SUBSTITUTE(AJ$1,RIGHT(AJ$1,2),""),VLOOKUP($D60,素材!$1:$1016,COLUMN($F$1),FALSE))),VLOOKUP($C60,武器!$1:$998,COLUMN($O$1),FALSE)*VLOOKUP($D60,素材!$1:$1016,COLUMN($E$1),FALSE)/(LEN(VLOOKUP($D60,素材!$1:$1016,COLUMN($F$1),FALSE)) - LEN(SUBSTITUTE(VLOOKUP($D60,素材!$1:$1016,COLUMN($F$1),FALSE), "・", 0)) + 1), 0)</f>
        <v>0</v>
      </c>
      <c r="AK60">
        <f>IF(ISNUMBER(SEARCH(SUBSTITUTE(AK$1,RIGHT(AK$1,2),""),VLOOKUP($D60,素材!$1:$1016,COLUMN($F$1),FALSE))),VLOOKUP($C60,武器!$1:$998,COLUMN($O$1),FALSE)*VLOOKUP($D60,素材!$1:$1016,COLUMN($E$1),FALSE)/(LEN(VLOOKUP($D60,素材!$1:$1016,COLUMN($F$1),FALSE)) - LEN(SUBSTITUTE(VLOOKUP($D60,素材!$1:$1016,COLUMN($F$1),FALSE), "・", 0)) + 1), 0)</f>
        <v>0</v>
      </c>
      <c r="AL60">
        <f>IF(ISNUMBER(SEARCH(SUBSTITUTE(AL$1,RIGHT(AL$1,2),""),VLOOKUP($D60,素材!$1:$1016,COLUMN($F$1),FALSE))),VLOOKUP($C60,武器!$1:$998,COLUMN($O$1),FALSE)*VLOOKUP($D60,素材!$1:$1016,COLUMN($E$1),FALSE)/(LEN(VLOOKUP($D60,素材!$1:$1016,COLUMN($F$1),FALSE)) - LEN(SUBSTITUTE(VLOOKUP($D60,素材!$1:$1016,COLUMN($F$1),FALSE), "・", 0)) + 1), 0)</f>
        <v>0</v>
      </c>
      <c r="AM60">
        <f>IF(ISNUMBER(SEARCH(SUBSTITUTE(AM$1,RIGHT(AM$1,2),""),VLOOKUP($D60,素材!$1:$1016,COLUMN($F$1),FALSE))),VLOOKUP($C60,武器!$1:$998,COLUMN($O$1),FALSE)*VLOOKUP($D60,素材!$1:$1016,COLUMN($E$1),FALSE)/(LEN(VLOOKUP($D60,素材!$1:$1016,COLUMN($F$1),FALSE)) - LEN(SUBSTITUTE(VLOOKUP($D60,素材!$1:$1016,COLUMN($F$1),FALSE), "・", 0)) + 1), 0)</f>
        <v>0</v>
      </c>
      <c r="AN60">
        <f>IF(ISNUMBER(SEARCH(SUBSTITUTE(AN$1,RIGHT(AN$1,2),""),VLOOKUP($D60,素材!$1:$1016,COLUMN($F$1),FALSE))),VLOOKUP($C60,武器!$1:$998,COLUMN($O$1),FALSE)*VLOOKUP($D60,素材!$1:$1016,COLUMN($E$1),FALSE)/(LEN(VLOOKUP($D60,素材!$1:$1016,COLUMN($F$1),FALSE)) - LEN(SUBSTITUTE(VLOOKUP($D60,素材!$1:$1016,COLUMN($F$1),FALSE), "・", 0)) + 1), 0)</f>
        <v>0</v>
      </c>
      <c r="AO60">
        <f>IF(ISNUMBER(SEARCH(SUBSTITUTE(AO$1,RIGHT(AO$1,2),""),VLOOKUP($D60,素材!$1:$1016,COLUMN($F$1),FALSE))),VLOOKUP($C60,武器!$1:$998,COLUMN($O$1),FALSE)*VLOOKUP($D60,素材!$1:$1016,COLUMN($E$1),FALSE)/(LEN(VLOOKUP($D60,素材!$1:$1016,COLUMN($F$1),FALSE)) - LEN(SUBSTITUTE(VLOOKUP($D60,素材!$1:$1016,COLUMN($F$1),FALSE), "・", 0)) + 1), 0)</f>
        <v>0</v>
      </c>
      <c r="AP60">
        <f>IF(ISNUMBER(SEARCH(SUBSTITUTE(AP$1,RIGHT(AP$1,2),""),VLOOKUP($D60,素材!$1:$1016,COLUMN($F$1),FALSE))),VLOOKUP($C60,武器!$1:$998,COLUMN($O$1),FALSE)*VLOOKUP($D60,素材!$1:$1016,COLUMN($E$1),FALSE)/(LEN(VLOOKUP($D60,素材!$1:$1016,COLUMN($F$1),FALSE)) - LEN(SUBSTITUTE(VLOOKUP($D60,素材!$1:$1016,COLUMN($F$1),FALSE), "・", 0)) + 1), 0)</f>
        <v>0</v>
      </c>
      <c r="AQ60">
        <f>IF(ISNUMBER(SEARCH(SUBSTITUTE(AQ$1,RIGHT(AQ$1,2),""),VLOOKUP($D60,素材!$1:$1016,COLUMN($F$1),FALSE))),VLOOKUP($C60,武器!$1:$998,COLUMN($O$1),FALSE)*VLOOKUP($D60,素材!$1:$1016,COLUMN($E$1),FALSE)/(LEN(VLOOKUP($D60,素材!$1:$1016,COLUMN($F$1),FALSE)) - LEN(SUBSTITUTE(VLOOKUP($D60,素材!$1:$1016,COLUMN($F$1),FALSE), "・", 0)) + 1), 0)</f>
        <v>0</v>
      </c>
      <c r="AR60">
        <f>IF(ISNUMBER(SEARCH(SUBSTITUTE(AR$1,RIGHT(AR$1,2),""),VLOOKUP($D60,素材!$1:$1016,COLUMN($F$1),FALSE))),VLOOKUP($C60,武器!$1:$998,COLUMN($O$1),FALSE)*VLOOKUP($D60,素材!$1:$1016,COLUMN($E$1),FALSE)/(LEN(VLOOKUP($D60,素材!$1:$1016,COLUMN($F$1),FALSE)) - LEN(SUBSTITUTE(VLOOKUP($D60,素材!$1:$1016,COLUMN($F$1),FALSE), "・", 0)) + 1), 0)</f>
        <v>0</v>
      </c>
      <c r="AS60">
        <f>IF(ISNUMBER(SEARCH(SUBSTITUTE(AS$1,RIGHT(AS$1,2),""),VLOOKUP($D60,素材!$1:$1016,COLUMN($F$1),FALSE))),VLOOKUP($C60,武器!$1:$998,COLUMN($O$1),FALSE)*VLOOKUP($D60,素材!$1:$1016,COLUMN($E$1),FALSE)/(LEN(VLOOKUP($D60,素材!$1:$1016,COLUMN($F$1),FALSE)) - LEN(SUBSTITUTE(VLOOKUP($D60,素材!$1:$1016,COLUMN($F$1),FALSE), "・", 0)) + 1), 0)</f>
        <v>0</v>
      </c>
      <c r="AT60">
        <f>IF(ISNUMBER(SEARCH(SUBSTITUTE(AT$1,RIGHT(AT$1,2),""),VLOOKUP($D60,素材!$1:$1016,COLUMN($F$1),FALSE))),VLOOKUP($C60,武器!$1:$998,COLUMN($O$1),FALSE)*VLOOKUP($D60,素材!$1:$1016,COLUMN($E$1),FALSE)/(LEN(VLOOKUP($D60,素材!$1:$1016,COLUMN($F$1),FALSE)) - LEN(SUBSTITUTE(VLOOKUP($D60,素材!$1:$1016,COLUMN($F$1),FALSE), "・", 0)) + 1), 0)</f>
        <v>0</v>
      </c>
      <c r="AU60">
        <f>IF(ISNUMBER(SEARCH(SUBSTITUTE(AU$1,RIGHT(AU$1,2),""),VLOOKUP($D60,素材!$1:$1016,COLUMN($F$1),FALSE))),VLOOKUP($C60,武器!$1:$998,COLUMN($O$1),FALSE)*VLOOKUP($D60,素材!$1:$1016,COLUMN($E$1),FALSE)/(LEN(VLOOKUP($D60,素材!$1:$1016,COLUMN($F$1),FALSE)) - LEN(SUBSTITUTE(VLOOKUP($D60,素材!$1:$1016,COLUMN($F$1),FALSE), "・", 0)) + 1), 0)</f>
        <v>0</v>
      </c>
      <c r="AV60">
        <f>IF(ISNUMBER(SEARCH(SUBSTITUTE(AV$1,RIGHT(AV$1,2),""),VLOOKUP($D60,素材!$1:$1016,COLUMN($F$1),FALSE))),VLOOKUP($C60,武器!$1:$998,COLUMN($O$1),FALSE)*VLOOKUP($D60,素材!$1:$1016,COLUMN($E$1),FALSE)/(LEN(VLOOKUP($D60,素材!$1:$1016,COLUMN($F$1),FALSE)) - LEN(SUBSTITUTE(VLOOKUP($D60,素材!$1:$1016,COLUMN($F$1),FALSE), "・", 0)) + 1), 0)</f>
        <v>0</v>
      </c>
      <c r="AW60">
        <f>IF(ISNUMBER(SEARCH(SUBSTITUTE(AW$1,RIGHT(AW$1,2),""),VLOOKUP($D60,素材!$1:$1016,COLUMN($F$1),FALSE))),VLOOKUP($C60,武器!$1:$998,COLUMN($O$1),FALSE)*VLOOKUP($D60,素材!$1:$1016,COLUMN($E$1),FALSE)/(LEN(VLOOKUP($D60,素材!$1:$1016,COLUMN($F$1),FALSE)) - LEN(SUBSTITUTE(VLOOKUP($D60,素材!$1:$1016,COLUMN($F$1),FALSE), "・", 0)) + 1), 0)</f>
        <v>0</v>
      </c>
      <c r="AX60">
        <f>IF(ISNUMBER(SEARCH(SUBSTITUTE(AX$1,RIGHT(AX$1,2),""),VLOOKUP($D60,素材!$1:$1016,COLUMN($F$1),FALSE))),VLOOKUP($C60,武器!$1:$998,COLUMN($O$1),FALSE)*VLOOKUP($D60,素材!$1:$1016,COLUMN($E$1),FALSE)/(LEN(VLOOKUP($D60,素材!$1:$1016,COLUMN($F$1),FALSE)) - LEN(SUBSTITUTE(VLOOKUP($D60,素材!$1:$1016,COLUMN($F$1),FALSE), "・", 0)) + 1), 0)</f>
        <v>0</v>
      </c>
      <c r="AY60">
        <f>IF(ISNUMBER(SEARCH(SUBSTITUTE(AY$1,RIGHT(AY$1,2),""),VLOOKUP($D60,素材!$1:$1016,COLUMN($F$1),FALSE))),VLOOKUP($C60,武器!$1:$998,COLUMN($O$1),FALSE)*VLOOKUP($D60,素材!$1:$1016,COLUMN($E$1),FALSE)/(LEN(VLOOKUP($D60,素材!$1:$1016,COLUMN($F$1),FALSE)) - LEN(SUBSTITUTE(VLOOKUP($D60,素材!$1:$1016,COLUMN($F$1),FALSE), "・", 0)) + 1), 0)</f>
        <v>0</v>
      </c>
      <c r="AZ60">
        <f>IF(ISNUMBER(SEARCH(SUBSTITUTE(AZ$1,RIGHT(AZ$1,2),""),VLOOKUP($D60,素材!$1:$1016,COLUMN($F$1),FALSE))),VLOOKUP($C60,武器!$1:$998,COLUMN($O$1),FALSE)*VLOOKUP($D60,素材!$1:$1016,COLUMN($E$1),FALSE)/(LEN(VLOOKUP($D60,素材!$1:$1016,COLUMN($F$1),FALSE)) - LEN(SUBSTITUTE(VLOOKUP($D60,素材!$1:$1016,COLUMN($F$1),FALSE), "・", 0)) + 1), 0)</f>
        <v>0</v>
      </c>
      <c r="BA60">
        <f>IF(ISNUMBER(SEARCH(SUBSTITUTE(BA$1,RIGHT(BA$1,2),""),VLOOKUP($D60,素材!$1:$1016,COLUMN($F$1),FALSE))),VLOOKUP($C60,武器!$1:$998,COLUMN($O$1),FALSE)*VLOOKUP($D60,素材!$1:$1016,COLUMN($E$1),FALSE)/(LEN(VLOOKUP($D60,素材!$1:$1016,COLUMN($F$1),FALSE)) - LEN(SUBSTITUTE(VLOOKUP($D60,素材!$1:$1016,COLUMN($F$1),FALSE), "・", 0)) + 1), 0)</f>
        <v>0</v>
      </c>
      <c r="BB60">
        <f>IF(ISNUMBER(SEARCH(SUBSTITUTE(BB$1,RIGHT(BB$1,2),""),VLOOKUP($D60,素材!$1:$1016,COLUMN($F$1),FALSE))),VLOOKUP($C60,武器!$1:$998,COLUMN($O$1),FALSE)*VLOOKUP($D60,素材!$1:$1016,COLUMN($E$1),FALSE)/(LEN(VLOOKUP($D60,素材!$1:$1016,COLUMN($F$1),FALSE)) - LEN(SUBSTITUTE(VLOOKUP($D60,素材!$1:$1016,COLUMN($F$1),FALSE), "・", 0)) + 1), 0)</f>
        <v>0</v>
      </c>
      <c r="BC60">
        <f>IF(ISNUMBER(SEARCH(SUBSTITUTE(BC$1,RIGHT(BC$1,2),""),VLOOKUP($D60,素材!$1:$1016,COLUMN($F$1),FALSE))),VLOOKUP($C60,武器!$1:$998,COLUMN($O$1),FALSE)*VLOOKUP($D60,素材!$1:$1016,COLUMN($E$1),FALSE)/(LEN(VLOOKUP($D60,素材!$1:$1016,COLUMN($F$1),FALSE)) - LEN(SUBSTITUTE(VLOOKUP($D60,素材!$1:$1016,COLUMN($F$1),FALSE), "・", 0)) + 1), 0)</f>
        <v>0</v>
      </c>
      <c r="BD60">
        <f>IF(ISNUMBER(SEARCH(SUBSTITUTE(BD$1,RIGHT(BD$1,2),""),VLOOKUP($D60,素材!$1:$1016,COLUMN($F$1),FALSE))),VLOOKUP($C60,武器!$1:$998,COLUMN($O$1),FALSE)*VLOOKUP($D60,素材!$1:$1016,COLUMN($E$1),FALSE)/(LEN(VLOOKUP($D60,素材!$1:$1016,COLUMN($F$1),FALSE)) - LEN(SUBSTITUTE(VLOOKUP($D60,素材!$1:$1016,COLUMN($F$1),FALSE), "・", 0)) + 1), 0)</f>
        <v>0</v>
      </c>
      <c r="BE60">
        <f>IF(ISNUMBER(SEARCH(SUBSTITUTE(BE$1,RIGHT(BE$1,2),""),VLOOKUP($D60,素材!$1:$1016,COLUMN($F$1),FALSE))),VLOOKUP($C60,武器!$1:$998,COLUMN($O$1),FALSE)*VLOOKUP($D60,素材!$1:$1016,COLUMN($E$1),FALSE)/(LEN(VLOOKUP($D60,素材!$1:$1016,COLUMN($F$1),FALSE)) - LEN(SUBSTITUTE(VLOOKUP($D60,素材!$1:$1016,COLUMN($F$1),FALSE), "・", 0)) + 1), 0)</f>
        <v>0</v>
      </c>
      <c r="CL60">
        <f>SUM(G60:I60)</f>
        <v>12</v>
      </c>
      <c r="CM60" s="22" t="str">
        <f>IF(E60="武器",IF(J60-1&gt;SUM(G60:I60),"盾",IF(MAX(G60:I60)=G60,"切断",IF(MAX(G60:I60)=H60,"貫通",IF(MAX(G60:I60)=I60,"打撃","射撃")))),E60)&amp;".webp"</f>
        <v>盾.webp</v>
      </c>
      <c r="CN60">
        <f>IFERROR(VLOOKUP($C60,武器!$1:$998,COLUMN(V$1),FALSE)*VLOOKUP($D60,素材!$1:$1016,COLUMN(N$1),FALSE)+IF(CI60="",0,VLOOKUP($CI60,装強!$1:$1008,COLUMN($CK$1),FALSE)),"")</f>
        <v>150</v>
      </c>
      <c r="CO60" t="str">
        <f>VLOOKUP(D60,素材!$A:$O,COLUMN(素材!O$1),FALSE)</f>
        <v>一般的な木材。金属より軽いが少し脆い</v>
      </c>
      <c r="CP60" t="str">
        <f>VLOOKUP(C60,武器!$A:$W,COLUMN(武器!W$1),FALSE)</f>
        <v>丸盾。軽量で投擲にも使える盾。</v>
      </c>
      <c r="CR60" t="str">
        <f t="shared" si="1"/>
        <v>e_60</v>
      </c>
      <c r="CS60">
        <f t="shared" si="2"/>
        <v>15000</v>
      </c>
    </row>
    <row r="61" spans="1:97" outlineLevel="1" x14ac:dyDescent="0.4">
      <c r="A61" t="str">
        <f t="shared" si="3"/>
        <v>木の盾</v>
      </c>
      <c r="B61" t="str">
        <f>IFERROR(VLOOKUP($D61,素材!$1:$1016,COLUMN($B$1),FALSE)&amp;"・"&amp;VLOOKUP($C61,武器!$1:$998,COLUMN(B$1),FALSE),"")</f>
        <v>ウッド・シールド</v>
      </c>
      <c r="C61" t="s">
        <v>221</v>
      </c>
      <c r="D61" s="24" t="s">
        <v>255</v>
      </c>
      <c r="E61" t="str">
        <f>IFERROR(VLOOKUP(C61,武器!$1:$998,COLUMN(C$1),FALSE),"")</f>
        <v>盾</v>
      </c>
      <c r="F61">
        <f>IFERROR(ROUNDDOWN((VLOOKUP($C61,武器!$1:$998,COLUMN(D$1),FALSE)+IFERROR(VLOOKUP($CI61,装強!$1:$999,COLUMN(F$1),FALSE),0))*VLOOKUP($D61,素材!$1:$1016,COLUMN(D$1),FALSE),0),"")</f>
        <v>75</v>
      </c>
      <c r="G61">
        <f>IFERROR(ROUNDDOWN((VLOOKUP($C61,武器!$1:$998,COLUMN(E$1),FALSE)+IFERROR(VLOOKUP($CI61,装強!$1:$999,COLUMN(G$1),FALSE),0))*VLOOKUP($D61,素材!$1:$1016,COLUMN($E$1),FALSE),0),"")</f>
        <v>0</v>
      </c>
      <c r="H61">
        <f>IFERROR(ROUNDDOWN((VLOOKUP($C61,武器!$1:$998,COLUMN(F$1),FALSE)+IFERROR(VLOOKUP($CI61,装強!$1:$999,COLUMN(H$1),FALSE),0))*VLOOKUP($D61,素材!$1:$1016,COLUMN($E$1),FALSE),0),"")</f>
        <v>0</v>
      </c>
      <c r="I61">
        <f>IFERROR(ROUNDDOWN((VLOOKUP($C61,武器!$1:$998,COLUMN(G$1),FALSE)+IFERROR(VLOOKUP($CI61,装強!$1:$999,COLUMN(I$1),FALSE),0))*VLOOKUP($D61,素材!$1:$1016,COLUMN($E$1),FALSE),0),"")</f>
        <v>12</v>
      </c>
      <c r="J61">
        <f>IFERROR(ROUNDDOWN((VLOOKUP($C61,武器!$1:$998,COLUMN(H$1),FALSE)+IFERROR(VLOOKUP($CI61,装強!$1:$999,COLUMN(J$1),FALSE),0))*VLOOKUP($D61,素材!$1:$1016,COLUMN($E$1),FALSE),0),"")</f>
        <v>18</v>
      </c>
      <c r="K61">
        <f>IFERROR(ROUNDDOWN((VLOOKUP($C61,武器!$1:$998,COLUMN(I$1),FALSE)+IFERROR(VLOOKUP($CI61,装強!$1:$999,COLUMN(K$1),FALSE),0))*VLOOKUP($D61,素材!$1:$1016,COLUMN($E$1),FALSE),0),"")</f>
        <v>0</v>
      </c>
      <c r="L61">
        <f>IFERROR(VLOOKUP($D61,素材!$1:$1016,COLUMN($F$1),FALSE),"")</f>
        <v>0</v>
      </c>
      <c r="M61">
        <f>IFERROR(VLOOKUP($C61,武器!$1:$998,COLUMN(AA$1),FALSE)*VLOOKUP($D61,素材!$1:$1016,COLUMN($G$1),FALSE),"")</f>
        <v>0</v>
      </c>
      <c r="N61">
        <f>IFERROR(VLOOKUP($C61,武器!$1:$998,COLUMN(I$1),FALSE),"")</f>
        <v>0</v>
      </c>
      <c r="O61" s="23">
        <f>IFERROR((VLOOKUP($C61,武器!$1:$998,COLUMN(K$1),FALSE)+VLOOKUP($D61,素材!$1:$1016,COLUMN(H$1),FALSE))*100+IFERROR(VLOOKUP($CI61,装強!$1:$999,COLUMN(O$1),FALSE),0),"")</f>
        <v>5</v>
      </c>
      <c r="P61" s="23">
        <f>IFERROR((VLOOKUP($C61,武器!$1:$998,COLUMN(L$1),FALSE)+VLOOKUP($D61,素材!$1:$1016,COLUMN(I$1),FALSE))*100+IFERROR(VLOOKUP($CI61,装強!$1:$999,COLUMN(P$1),FALSE),0),"")</f>
        <v>125</v>
      </c>
      <c r="Q61">
        <f>IFERROR(ROUNDUP(VLOOKUP($C61,武器!$1:$998,COLUMN(M$1),FALSE)*(VLOOKUP($D61,素材!$1:$1002,COLUMN(D$1),FALSE)/100),1),"")</f>
        <v>0</v>
      </c>
      <c r="R61">
        <f>IFERROR(ROUNDUP(VLOOKUP($C61,武器!$1:$998,COLUMN(N$1),FALSE)*(VLOOKUP($D61,素材!$1:$1002,COLUMN(D$1),FALSE)/100),1),"")</f>
        <v>0</v>
      </c>
      <c r="S61">
        <f>IFERROR(VLOOKUP($C61,武器!$1:$998,COLUMN(P$1),FALSE),"")</f>
        <v>0</v>
      </c>
      <c r="T61">
        <f>IFERROR(VLOOKUP($C61,武器!$1:$998,COLUMN(Q$1),FALSE),"")</f>
        <v>0</v>
      </c>
      <c r="U61">
        <f>IFERROR(VLOOKUP($C61,武器!$1:$998,COLUMN(R$1),FALSE),"")</f>
        <v>0</v>
      </c>
      <c r="V61">
        <f>IFERROR(VLOOKUP($C61,武器!$1:$998,COLUMN(Q$1),FALSE),"")</f>
        <v>0</v>
      </c>
      <c r="W61" t="str">
        <f>IFERROR(VLOOKUP($C61,武器!$1:$998,COLUMN(T$1),FALSE),"")</f>
        <v>A</v>
      </c>
      <c r="Y61" t="str">
        <f>IFERROR(VLOOKUP($C61,武器!$1:$998,COLUMN(U$1),FALSE),"")</f>
        <v>片手適性Ⅱ</v>
      </c>
      <c r="Z61">
        <f>IFERROR(ROUNDUP(VLOOKUP($C61,武器!$1:$998,COLUMN(O$1),FALSE)*VLOOKUP($D61,素材!$1:$1016,COLUMN(E$1),FALSE),1),"")</f>
        <v>0</v>
      </c>
      <c r="AA61">
        <f>IF(ISNUMBER(SEARCH(SUBSTITUTE(AA$1,RIGHT(AA$1,2),""),VLOOKUP($D61,素材!$1:$1016,COLUMN($F$1),FALSE))),VLOOKUP($C61,武器!$1:$998,COLUMN($O$1),FALSE)*VLOOKUP($D61,素材!$1:$1016,COLUMN($E$1),FALSE)/(LEN(VLOOKUP($D61,素材!$1:$1016,COLUMN($F$1),FALSE)) - LEN(SUBSTITUTE(VLOOKUP($D61,素材!$1:$1016,COLUMN($F$1),FALSE), "・", 0)) + 1), 0)</f>
        <v>0</v>
      </c>
      <c r="AB61">
        <f>IF(ISNUMBER(SEARCH(SUBSTITUTE(AB$1,RIGHT(AB$1,2),""),VLOOKUP($D61,素材!$1:$1016,COLUMN($F$1),FALSE))),VLOOKUP($C61,武器!$1:$998,COLUMN($O$1),FALSE)*VLOOKUP($D61,素材!$1:$1016,COLUMN($E$1),FALSE)/(LEN(VLOOKUP($D61,素材!$1:$1016,COLUMN($F$1),FALSE)) - LEN(SUBSTITUTE(VLOOKUP($D61,素材!$1:$1016,COLUMN($F$1),FALSE), "・", 0)) + 1), 0)</f>
        <v>0</v>
      </c>
      <c r="AC61">
        <f>IF(ISNUMBER(SEARCH(SUBSTITUTE(AC$1,RIGHT(AC$1,2),""),VLOOKUP($D61,素材!$1:$1016,COLUMN($F$1),FALSE))),VLOOKUP($C61,武器!$1:$998,COLUMN($O$1),FALSE)*VLOOKUP($D61,素材!$1:$1016,COLUMN($E$1),FALSE)/(LEN(VLOOKUP($D61,素材!$1:$1016,COLUMN($F$1),FALSE)) - LEN(SUBSTITUTE(VLOOKUP($D61,素材!$1:$1016,COLUMN($F$1),FALSE), "・", 0)) + 1), 0)</f>
        <v>0</v>
      </c>
      <c r="AD61">
        <f>IF(ISNUMBER(SEARCH(SUBSTITUTE(AD$1,RIGHT(AD$1,2),""),VLOOKUP($D61,素材!$1:$1016,COLUMN($F$1),FALSE))),VLOOKUP($C61,武器!$1:$998,COLUMN($O$1),FALSE)*VLOOKUP($D61,素材!$1:$1016,COLUMN($E$1),FALSE)/(LEN(VLOOKUP($D61,素材!$1:$1016,COLUMN($F$1),FALSE)) - LEN(SUBSTITUTE(VLOOKUP($D61,素材!$1:$1016,COLUMN($F$1),FALSE), "・", 0)) + 1), 0)</f>
        <v>0</v>
      </c>
      <c r="AE61">
        <f>IF(ISNUMBER(SEARCH(SUBSTITUTE(AE$1,RIGHT(AE$1,2),""),VLOOKUP($D61,素材!$1:$1016,COLUMN($F$1),FALSE))),VLOOKUP($C61,武器!$1:$998,COLUMN($O$1),FALSE)*VLOOKUP($D61,素材!$1:$1016,COLUMN($E$1),FALSE)/(LEN(VLOOKUP($D61,素材!$1:$1016,COLUMN($F$1),FALSE)) - LEN(SUBSTITUTE(VLOOKUP($D61,素材!$1:$1016,COLUMN($F$1),FALSE), "・", 0)) + 1), 0)</f>
        <v>0</v>
      </c>
      <c r="AF61">
        <f>IF(ISNUMBER(SEARCH(SUBSTITUTE(AF$1,RIGHT(AF$1,2),""),VLOOKUP($D61,素材!$1:$1016,COLUMN($F$1),FALSE))),VLOOKUP($C61,武器!$1:$998,COLUMN($O$1),FALSE)*VLOOKUP($D61,素材!$1:$1016,COLUMN($E$1),FALSE)/(LEN(VLOOKUP($D61,素材!$1:$1016,COLUMN($F$1),FALSE)) - LEN(SUBSTITUTE(VLOOKUP($D61,素材!$1:$1016,COLUMN($F$1),FALSE), "・", 0)) + 1), 0)</f>
        <v>0</v>
      </c>
      <c r="AG61">
        <f>IF(ISNUMBER(SEARCH(SUBSTITUTE(AG$1,RIGHT(AG$1,2),""),VLOOKUP($D61,素材!$1:$1016,COLUMN($F$1),FALSE))),VLOOKUP($C61,武器!$1:$998,COLUMN($O$1),FALSE)*VLOOKUP($D61,素材!$1:$1016,COLUMN($E$1),FALSE)/(LEN(VLOOKUP($D61,素材!$1:$1016,COLUMN($F$1),FALSE)) - LEN(SUBSTITUTE(VLOOKUP($D61,素材!$1:$1016,COLUMN($F$1),FALSE), "・", 0)) + 1), 0)</f>
        <v>0</v>
      </c>
      <c r="AH61">
        <f>IF(ISNUMBER(SEARCH(SUBSTITUTE(AH$1,RIGHT(AH$1,2),""),VLOOKUP($D61,素材!$1:$1016,COLUMN($F$1),FALSE))),VLOOKUP($C61,武器!$1:$998,COLUMN($O$1),FALSE)*VLOOKUP($D61,素材!$1:$1016,COLUMN($E$1),FALSE)/(LEN(VLOOKUP($D61,素材!$1:$1016,COLUMN($F$1),FALSE)) - LEN(SUBSTITUTE(VLOOKUP($D61,素材!$1:$1016,COLUMN($F$1),FALSE), "・", 0)) + 1), 0)</f>
        <v>0</v>
      </c>
      <c r="AI61">
        <f>IF(ISNUMBER(SEARCH(SUBSTITUTE(AI$1,RIGHT(AI$1,2),""),VLOOKUP($D61,素材!$1:$1016,COLUMN($F$1),FALSE))),VLOOKUP($C61,武器!$1:$998,COLUMN($O$1),FALSE)*VLOOKUP($D61,素材!$1:$1016,COLUMN($E$1),FALSE)/(LEN(VLOOKUP($D61,素材!$1:$1016,COLUMN($F$1),FALSE)) - LEN(SUBSTITUTE(VLOOKUP($D61,素材!$1:$1016,COLUMN($F$1),FALSE), "・", 0)) + 1), 0)</f>
        <v>0</v>
      </c>
      <c r="AJ61">
        <f>IF(ISNUMBER(SEARCH(SUBSTITUTE(AJ$1,RIGHT(AJ$1,2),""),VLOOKUP($D61,素材!$1:$1016,COLUMN($F$1),FALSE))),VLOOKUP($C61,武器!$1:$998,COLUMN($O$1),FALSE)*VLOOKUP($D61,素材!$1:$1016,COLUMN($E$1),FALSE)/(LEN(VLOOKUP($D61,素材!$1:$1016,COLUMN($F$1),FALSE)) - LEN(SUBSTITUTE(VLOOKUP($D61,素材!$1:$1016,COLUMN($F$1),FALSE), "・", 0)) + 1), 0)</f>
        <v>0</v>
      </c>
      <c r="AK61">
        <f>IF(ISNUMBER(SEARCH(SUBSTITUTE(AK$1,RIGHT(AK$1,2),""),VLOOKUP($D61,素材!$1:$1016,COLUMN($F$1),FALSE))),VLOOKUP($C61,武器!$1:$998,COLUMN($O$1),FALSE)*VLOOKUP($D61,素材!$1:$1016,COLUMN($E$1),FALSE)/(LEN(VLOOKUP($D61,素材!$1:$1016,COLUMN($F$1),FALSE)) - LEN(SUBSTITUTE(VLOOKUP($D61,素材!$1:$1016,COLUMN($F$1),FALSE), "・", 0)) + 1), 0)</f>
        <v>0</v>
      </c>
      <c r="AL61">
        <f>IF(ISNUMBER(SEARCH(SUBSTITUTE(AL$1,RIGHT(AL$1,2),""),VLOOKUP($D61,素材!$1:$1016,COLUMN($F$1),FALSE))),VLOOKUP($C61,武器!$1:$998,COLUMN($O$1),FALSE)*VLOOKUP($D61,素材!$1:$1016,COLUMN($E$1),FALSE)/(LEN(VLOOKUP($D61,素材!$1:$1016,COLUMN($F$1),FALSE)) - LEN(SUBSTITUTE(VLOOKUP($D61,素材!$1:$1016,COLUMN($F$1),FALSE), "・", 0)) + 1), 0)</f>
        <v>0</v>
      </c>
      <c r="AM61">
        <f>IF(ISNUMBER(SEARCH(SUBSTITUTE(AM$1,RIGHT(AM$1,2),""),VLOOKUP($D61,素材!$1:$1016,COLUMN($F$1),FALSE))),VLOOKUP($C61,武器!$1:$998,COLUMN($O$1),FALSE)*VLOOKUP($D61,素材!$1:$1016,COLUMN($E$1),FALSE)/(LEN(VLOOKUP($D61,素材!$1:$1016,COLUMN($F$1),FALSE)) - LEN(SUBSTITUTE(VLOOKUP($D61,素材!$1:$1016,COLUMN($F$1),FALSE), "・", 0)) + 1), 0)</f>
        <v>0</v>
      </c>
      <c r="AN61">
        <f>IF(ISNUMBER(SEARCH(SUBSTITUTE(AN$1,RIGHT(AN$1,2),""),VLOOKUP($D61,素材!$1:$1016,COLUMN($F$1),FALSE))),VLOOKUP($C61,武器!$1:$998,COLUMN($O$1),FALSE)*VLOOKUP($D61,素材!$1:$1016,COLUMN($E$1),FALSE)/(LEN(VLOOKUP($D61,素材!$1:$1016,COLUMN($F$1),FALSE)) - LEN(SUBSTITUTE(VLOOKUP($D61,素材!$1:$1016,COLUMN($F$1),FALSE), "・", 0)) + 1), 0)</f>
        <v>0</v>
      </c>
      <c r="AO61">
        <f>IF(ISNUMBER(SEARCH(SUBSTITUTE(AO$1,RIGHT(AO$1,2),""),VLOOKUP($D61,素材!$1:$1016,COLUMN($F$1),FALSE))),VLOOKUP($C61,武器!$1:$998,COLUMN($O$1),FALSE)*VLOOKUP($D61,素材!$1:$1016,COLUMN($E$1),FALSE)/(LEN(VLOOKUP($D61,素材!$1:$1016,COLUMN($F$1),FALSE)) - LEN(SUBSTITUTE(VLOOKUP($D61,素材!$1:$1016,COLUMN($F$1),FALSE), "・", 0)) + 1), 0)</f>
        <v>0</v>
      </c>
      <c r="AP61">
        <f>IF(ISNUMBER(SEARCH(SUBSTITUTE(AP$1,RIGHT(AP$1,2),""),VLOOKUP($D61,素材!$1:$1016,COLUMN($F$1),FALSE))),VLOOKUP($C61,武器!$1:$998,COLUMN($O$1),FALSE)*VLOOKUP($D61,素材!$1:$1016,COLUMN($E$1),FALSE)/(LEN(VLOOKUP($D61,素材!$1:$1016,COLUMN($F$1),FALSE)) - LEN(SUBSTITUTE(VLOOKUP($D61,素材!$1:$1016,COLUMN($F$1),FALSE), "・", 0)) + 1), 0)</f>
        <v>0</v>
      </c>
      <c r="AQ61">
        <f>IF(ISNUMBER(SEARCH(SUBSTITUTE(AQ$1,RIGHT(AQ$1,2),""),VLOOKUP($D61,素材!$1:$1016,COLUMN($F$1),FALSE))),VLOOKUP($C61,武器!$1:$998,COLUMN($O$1),FALSE)*VLOOKUP($D61,素材!$1:$1016,COLUMN($E$1),FALSE)/(LEN(VLOOKUP($D61,素材!$1:$1016,COLUMN($F$1),FALSE)) - LEN(SUBSTITUTE(VLOOKUP($D61,素材!$1:$1016,COLUMN($F$1),FALSE), "・", 0)) + 1), 0)</f>
        <v>0</v>
      </c>
      <c r="AR61">
        <f>IF(ISNUMBER(SEARCH(SUBSTITUTE(AR$1,RIGHT(AR$1,2),""),VLOOKUP($D61,素材!$1:$1016,COLUMN($F$1),FALSE))),VLOOKUP($C61,武器!$1:$998,COLUMN($O$1),FALSE)*VLOOKUP($D61,素材!$1:$1016,COLUMN($E$1),FALSE)/(LEN(VLOOKUP($D61,素材!$1:$1016,COLUMN($F$1),FALSE)) - LEN(SUBSTITUTE(VLOOKUP($D61,素材!$1:$1016,COLUMN($F$1),FALSE), "・", 0)) + 1), 0)</f>
        <v>0</v>
      </c>
      <c r="AS61">
        <f>IF(ISNUMBER(SEARCH(SUBSTITUTE(AS$1,RIGHT(AS$1,2),""),VLOOKUP($D61,素材!$1:$1016,COLUMN($F$1),FALSE))),VLOOKUP($C61,武器!$1:$998,COLUMN($O$1),FALSE)*VLOOKUP($D61,素材!$1:$1016,COLUMN($E$1),FALSE)/(LEN(VLOOKUP($D61,素材!$1:$1016,COLUMN($F$1),FALSE)) - LEN(SUBSTITUTE(VLOOKUP($D61,素材!$1:$1016,COLUMN($F$1),FALSE), "・", 0)) + 1), 0)</f>
        <v>0</v>
      </c>
      <c r="AT61">
        <f>IF(ISNUMBER(SEARCH(SUBSTITUTE(AT$1,RIGHT(AT$1,2),""),VLOOKUP($D61,素材!$1:$1016,COLUMN($F$1),FALSE))),VLOOKUP($C61,武器!$1:$998,COLUMN($O$1),FALSE)*VLOOKUP($D61,素材!$1:$1016,COLUMN($E$1),FALSE)/(LEN(VLOOKUP($D61,素材!$1:$1016,COLUMN($F$1),FALSE)) - LEN(SUBSTITUTE(VLOOKUP($D61,素材!$1:$1016,COLUMN($F$1),FALSE), "・", 0)) + 1), 0)</f>
        <v>0</v>
      </c>
      <c r="AU61">
        <f>IF(ISNUMBER(SEARCH(SUBSTITUTE(AU$1,RIGHT(AU$1,2),""),VLOOKUP($D61,素材!$1:$1016,COLUMN($F$1),FALSE))),VLOOKUP($C61,武器!$1:$998,COLUMN($O$1),FALSE)*VLOOKUP($D61,素材!$1:$1016,COLUMN($E$1),FALSE)/(LEN(VLOOKUP($D61,素材!$1:$1016,COLUMN($F$1),FALSE)) - LEN(SUBSTITUTE(VLOOKUP($D61,素材!$1:$1016,COLUMN($F$1),FALSE), "・", 0)) + 1), 0)</f>
        <v>0</v>
      </c>
      <c r="AV61">
        <f>IF(ISNUMBER(SEARCH(SUBSTITUTE(AV$1,RIGHT(AV$1,2),""),VLOOKUP($D61,素材!$1:$1016,COLUMN($F$1),FALSE))),VLOOKUP($C61,武器!$1:$998,COLUMN($O$1),FALSE)*VLOOKUP($D61,素材!$1:$1016,COLUMN($E$1),FALSE)/(LEN(VLOOKUP($D61,素材!$1:$1016,COLUMN($F$1),FALSE)) - LEN(SUBSTITUTE(VLOOKUP($D61,素材!$1:$1016,COLUMN($F$1),FALSE), "・", 0)) + 1), 0)</f>
        <v>0</v>
      </c>
      <c r="AW61">
        <f>IF(ISNUMBER(SEARCH(SUBSTITUTE(AW$1,RIGHT(AW$1,2),""),VLOOKUP($D61,素材!$1:$1016,COLUMN($F$1),FALSE))),VLOOKUP($C61,武器!$1:$998,COLUMN($O$1),FALSE)*VLOOKUP($D61,素材!$1:$1016,COLUMN($E$1),FALSE)/(LEN(VLOOKUP($D61,素材!$1:$1016,COLUMN($F$1),FALSE)) - LEN(SUBSTITUTE(VLOOKUP($D61,素材!$1:$1016,COLUMN($F$1),FALSE), "・", 0)) + 1), 0)</f>
        <v>0</v>
      </c>
      <c r="AX61">
        <f>IF(ISNUMBER(SEARCH(SUBSTITUTE(AX$1,RIGHT(AX$1,2),""),VLOOKUP($D61,素材!$1:$1016,COLUMN($F$1),FALSE))),VLOOKUP($C61,武器!$1:$998,COLUMN($O$1),FALSE)*VLOOKUP($D61,素材!$1:$1016,COLUMN($E$1),FALSE)/(LEN(VLOOKUP($D61,素材!$1:$1016,COLUMN($F$1),FALSE)) - LEN(SUBSTITUTE(VLOOKUP($D61,素材!$1:$1016,COLUMN($F$1),FALSE), "・", 0)) + 1), 0)</f>
        <v>0</v>
      </c>
      <c r="AY61">
        <f>IF(ISNUMBER(SEARCH(SUBSTITUTE(AY$1,RIGHT(AY$1,2),""),VLOOKUP($D61,素材!$1:$1016,COLUMN($F$1),FALSE))),VLOOKUP($C61,武器!$1:$998,COLUMN($O$1),FALSE)*VLOOKUP($D61,素材!$1:$1016,COLUMN($E$1),FALSE)/(LEN(VLOOKUP($D61,素材!$1:$1016,COLUMN($F$1),FALSE)) - LEN(SUBSTITUTE(VLOOKUP($D61,素材!$1:$1016,COLUMN($F$1),FALSE), "・", 0)) + 1), 0)</f>
        <v>0</v>
      </c>
      <c r="AZ61">
        <f>IF(ISNUMBER(SEARCH(SUBSTITUTE(AZ$1,RIGHT(AZ$1,2),""),VLOOKUP($D61,素材!$1:$1016,COLUMN($F$1),FALSE))),VLOOKUP($C61,武器!$1:$998,COLUMN($O$1),FALSE)*VLOOKUP($D61,素材!$1:$1016,COLUMN($E$1),FALSE)/(LEN(VLOOKUP($D61,素材!$1:$1016,COLUMN($F$1),FALSE)) - LEN(SUBSTITUTE(VLOOKUP($D61,素材!$1:$1016,COLUMN($F$1),FALSE), "・", 0)) + 1), 0)</f>
        <v>0</v>
      </c>
      <c r="BA61">
        <f>IF(ISNUMBER(SEARCH(SUBSTITUTE(BA$1,RIGHT(BA$1,2),""),VLOOKUP($D61,素材!$1:$1016,COLUMN($F$1),FALSE))),VLOOKUP($C61,武器!$1:$998,COLUMN($O$1),FALSE)*VLOOKUP($D61,素材!$1:$1016,COLUMN($E$1),FALSE)/(LEN(VLOOKUP($D61,素材!$1:$1016,COLUMN($F$1),FALSE)) - LEN(SUBSTITUTE(VLOOKUP($D61,素材!$1:$1016,COLUMN($F$1),FALSE), "・", 0)) + 1), 0)</f>
        <v>0</v>
      </c>
      <c r="BB61">
        <f>IF(ISNUMBER(SEARCH(SUBSTITUTE(BB$1,RIGHT(BB$1,2),""),VLOOKUP($D61,素材!$1:$1016,COLUMN($F$1),FALSE))),VLOOKUP($C61,武器!$1:$998,COLUMN($O$1),FALSE)*VLOOKUP($D61,素材!$1:$1016,COLUMN($E$1),FALSE)/(LEN(VLOOKUP($D61,素材!$1:$1016,COLUMN($F$1),FALSE)) - LEN(SUBSTITUTE(VLOOKUP($D61,素材!$1:$1016,COLUMN($F$1),FALSE), "・", 0)) + 1), 0)</f>
        <v>0</v>
      </c>
      <c r="BC61">
        <f>IF(ISNUMBER(SEARCH(SUBSTITUTE(BC$1,RIGHT(BC$1,2),""),VLOOKUP($D61,素材!$1:$1016,COLUMN($F$1),FALSE))),VLOOKUP($C61,武器!$1:$998,COLUMN($O$1),FALSE)*VLOOKUP($D61,素材!$1:$1016,COLUMN($E$1),FALSE)/(LEN(VLOOKUP($D61,素材!$1:$1016,COLUMN($F$1),FALSE)) - LEN(SUBSTITUTE(VLOOKUP($D61,素材!$1:$1016,COLUMN($F$1),FALSE), "・", 0)) + 1), 0)</f>
        <v>0</v>
      </c>
      <c r="BD61">
        <f>IF(ISNUMBER(SEARCH(SUBSTITUTE(BD$1,RIGHT(BD$1,2),""),VLOOKUP($D61,素材!$1:$1016,COLUMN($F$1),FALSE))),VLOOKUP($C61,武器!$1:$998,COLUMN($O$1),FALSE)*VLOOKUP($D61,素材!$1:$1016,COLUMN($E$1),FALSE)/(LEN(VLOOKUP($D61,素材!$1:$1016,COLUMN($F$1),FALSE)) - LEN(SUBSTITUTE(VLOOKUP($D61,素材!$1:$1016,COLUMN($F$1),FALSE), "・", 0)) + 1), 0)</f>
        <v>0</v>
      </c>
      <c r="BE61">
        <f>IF(ISNUMBER(SEARCH(SUBSTITUTE(BE$1,RIGHT(BE$1,2),""),VLOOKUP($D61,素材!$1:$1016,COLUMN($F$1),FALSE))),VLOOKUP($C61,武器!$1:$998,COLUMN($O$1),FALSE)*VLOOKUP($D61,素材!$1:$1016,COLUMN($E$1),FALSE)/(LEN(VLOOKUP($D61,素材!$1:$1016,COLUMN($F$1),FALSE)) - LEN(SUBSTITUTE(VLOOKUP($D61,素材!$1:$1016,COLUMN($F$1),FALSE), "・", 0)) + 1), 0)</f>
        <v>0</v>
      </c>
      <c r="CL61">
        <f>SUM(G61:I61)</f>
        <v>12</v>
      </c>
      <c r="CM61" s="22" t="str">
        <f>IF(E61="武器",IF(J61-1&gt;SUM(G61:I61),"盾",IF(MAX(G61:I61)=G61,"切断",IF(MAX(G61:I61)=H61,"貫通",IF(MAX(G61:I61)=I61,"打撃","射撃")))),E61)&amp;".webp"</f>
        <v>盾.webp</v>
      </c>
      <c r="CN61">
        <f>IFERROR(VLOOKUP($C61,武器!$1:$998,COLUMN(V$1),FALSE)*VLOOKUP($D61,素材!$1:$1016,COLUMN(N$1),FALSE)+IF(CI61="",0,VLOOKUP($CI61,装強!$1:$1008,COLUMN($CK$1),FALSE)),"")</f>
        <v>150</v>
      </c>
      <c r="CO61" t="str">
        <f>VLOOKUP(D61,素材!$A:$O,COLUMN(素材!O$1),FALSE)</f>
        <v>一般的な木材。金属より軽いが少し脆い</v>
      </c>
      <c r="CP61" t="str">
        <f>VLOOKUP(C61,武器!$A:$W,COLUMN(武器!W$1),FALSE)</f>
        <v>盾。防御力が高く、汎用性がある防具。</v>
      </c>
      <c r="CR61" t="str">
        <f t="shared" si="1"/>
        <v>e_61</v>
      </c>
      <c r="CS61">
        <f t="shared" si="2"/>
        <v>15000</v>
      </c>
    </row>
    <row r="62" spans="1:97" outlineLevel="1" x14ac:dyDescent="0.4">
      <c r="A62" t="str">
        <f t="shared" si="3"/>
        <v>木の丸大盾</v>
      </c>
      <c r="B62" t="str">
        <f>IFERROR(VLOOKUP($D62,素材!$1:$1016,COLUMN($B$1),FALSE)&amp;"・"&amp;VLOOKUP($C62,武器!$1:$998,COLUMN(B$1),FALSE),"")</f>
        <v>ウッド・ラウンドシールド</v>
      </c>
      <c r="C62" t="s">
        <v>220</v>
      </c>
      <c r="D62" s="24" t="s">
        <v>255</v>
      </c>
      <c r="E62" t="str">
        <f>IFERROR(VLOOKUP(C62,武器!$1:$998,COLUMN(C$1),FALSE),"")</f>
        <v>盾</v>
      </c>
      <c r="F62">
        <f>IFERROR(ROUNDDOWN((VLOOKUP($C62,武器!$1:$998,COLUMN(D$1),FALSE)+IFERROR(VLOOKUP($CI62,装強!$1:$999,COLUMN(F$1),FALSE),0))*VLOOKUP($D62,素材!$1:$1016,COLUMN(D$1),FALSE),0),"")</f>
        <v>82</v>
      </c>
      <c r="G62">
        <f>IFERROR(ROUNDDOWN((VLOOKUP($C62,武器!$1:$998,COLUMN(E$1),FALSE)+IFERROR(VLOOKUP($CI62,装強!$1:$999,COLUMN(G$1),FALSE),0))*VLOOKUP($D62,素材!$1:$1016,COLUMN($E$1),FALSE),0),"")</f>
        <v>6</v>
      </c>
      <c r="H62">
        <f>IFERROR(ROUNDDOWN((VLOOKUP($C62,武器!$1:$998,COLUMN(F$1),FALSE)+IFERROR(VLOOKUP($CI62,装強!$1:$999,COLUMN(H$1),FALSE),0))*VLOOKUP($D62,素材!$1:$1016,COLUMN($E$1),FALSE),0),"")</f>
        <v>0</v>
      </c>
      <c r="I62">
        <f>IFERROR(ROUNDDOWN((VLOOKUP($C62,武器!$1:$998,COLUMN(G$1),FALSE)+IFERROR(VLOOKUP($CI62,装強!$1:$999,COLUMN(I$1),FALSE),0))*VLOOKUP($D62,素材!$1:$1016,COLUMN($E$1),FALSE),0),"")</f>
        <v>6</v>
      </c>
      <c r="J62">
        <f>IFERROR(ROUNDDOWN((VLOOKUP($C62,武器!$1:$998,COLUMN(H$1),FALSE)+IFERROR(VLOOKUP($CI62,装強!$1:$999,COLUMN(J$1),FALSE),0))*VLOOKUP($D62,素材!$1:$1016,COLUMN($E$1),FALSE),0),"")</f>
        <v>18</v>
      </c>
      <c r="K62">
        <f>IFERROR(ROUNDDOWN((VLOOKUP($C62,武器!$1:$998,COLUMN(I$1),FALSE)+IFERROR(VLOOKUP($CI62,装強!$1:$999,COLUMN(K$1),FALSE),0))*VLOOKUP($D62,素材!$1:$1016,COLUMN($E$1),FALSE),0),"")</f>
        <v>0</v>
      </c>
      <c r="L62">
        <f>IFERROR(VLOOKUP($D62,素材!$1:$1016,COLUMN($F$1),FALSE),"")</f>
        <v>0</v>
      </c>
      <c r="M62">
        <f>IFERROR(VLOOKUP($C62,武器!$1:$998,COLUMN(AA$1),FALSE)*VLOOKUP($D62,素材!$1:$1016,COLUMN($G$1),FALSE),"")</f>
        <v>0</v>
      </c>
      <c r="N62">
        <f>IFERROR(VLOOKUP($C62,武器!$1:$998,COLUMN(I$1),FALSE),"")</f>
        <v>0</v>
      </c>
      <c r="O62" s="23">
        <f>IFERROR((VLOOKUP($C62,武器!$1:$998,COLUMN(K$1),FALSE)+VLOOKUP($D62,素材!$1:$1016,COLUMN(H$1),FALSE))*100+IFERROR(VLOOKUP($CI62,装強!$1:$999,COLUMN(O$1),FALSE),0),"")</f>
        <v>5</v>
      </c>
      <c r="P62" s="23">
        <f>IFERROR((VLOOKUP($C62,武器!$1:$998,COLUMN(L$1),FALSE)+VLOOKUP($D62,素材!$1:$1016,COLUMN(I$1),FALSE))*100+IFERROR(VLOOKUP($CI62,装強!$1:$999,COLUMN(P$1),FALSE),0),"")</f>
        <v>125</v>
      </c>
      <c r="Q62">
        <f>IFERROR(ROUNDUP(VLOOKUP($C62,武器!$1:$998,COLUMN(M$1),FALSE)*(VLOOKUP($D62,素材!$1:$1002,COLUMN(D$1),FALSE)/100),1),"")</f>
        <v>-3.8000000000000003</v>
      </c>
      <c r="R62">
        <f>IFERROR(ROUNDUP(VLOOKUP($C62,武器!$1:$998,COLUMN(N$1),FALSE)*(VLOOKUP($D62,素材!$1:$1002,COLUMN(D$1),FALSE)/100),1),"")</f>
        <v>0</v>
      </c>
      <c r="S62">
        <f>IFERROR(VLOOKUP($C62,武器!$1:$998,COLUMN(P$1),FALSE),"")</f>
        <v>0</v>
      </c>
      <c r="T62">
        <f>IFERROR(VLOOKUP($C62,武器!$1:$998,COLUMN(Q$1),FALSE),"")</f>
        <v>0</v>
      </c>
      <c r="U62">
        <f>IFERROR(VLOOKUP($C62,武器!$1:$998,COLUMN(R$1),FALSE),"")</f>
        <v>0</v>
      </c>
      <c r="V62">
        <f>IFERROR(VLOOKUP($C62,武器!$1:$998,COLUMN(Q$1),FALSE),"")</f>
        <v>0</v>
      </c>
      <c r="W62" t="str">
        <f>IFERROR(VLOOKUP($C62,武器!$1:$998,COLUMN(T$1),FALSE),"")</f>
        <v>A</v>
      </c>
      <c r="Y62" t="str">
        <f>IFERROR(VLOOKUP($C62,武器!$1:$998,COLUMN(U$1),FALSE),"")</f>
        <v>投擲強化,片手適正Ⅰ</v>
      </c>
      <c r="Z62">
        <f>IFERROR(ROUNDUP(VLOOKUP($C62,武器!$1:$998,COLUMN(O$1),FALSE)*VLOOKUP($D62,素材!$1:$1016,COLUMN(E$1),FALSE),1),"")</f>
        <v>0</v>
      </c>
      <c r="AA62">
        <f>IF(ISNUMBER(SEARCH(SUBSTITUTE(AA$1,RIGHT(AA$1,2),""),VLOOKUP($D62,素材!$1:$1016,COLUMN($F$1),FALSE))),VLOOKUP($C62,武器!$1:$998,COLUMN($O$1),FALSE)*VLOOKUP($D62,素材!$1:$1016,COLUMN($E$1),FALSE)/(LEN(VLOOKUP($D62,素材!$1:$1016,COLUMN($F$1),FALSE)) - LEN(SUBSTITUTE(VLOOKUP($D62,素材!$1:$1016,COLUMN($F$1),FALSE), "・", 0)) + 1), 0)</f>
        <v>0</v>
      </c>
      <c r="AB62">
        <f>IF(ISNUMBER(SEARCH(SUBSTITUTE(AB$1,RIGHT(AB$1,2),""),VLOOKUP($D62,素材!$1:$1016,COLUMN($F$1),FALSE))),VLOOKUP($C62,武器!$1:$998,COLUMN($O$1),FALSE)*VLOOKUP($D62,素材!$1:$1016,COLUMN($E$1),FALSE)/(LEN(VLOOKUP($D62,素材!$1:$1016,COLUMN($F$1),FALSE)) - LEN(SUBSTITUTE(VLOOKUP($D62,素材!$1:$1016,COLUMN($F$1),FALSE), "・", 0)) + 1), 0)</f>
        <v>0</v>
      </c>
      <c r="AC62">
        <f>IF(ISNUMBER(SEARCH(SUBSTITUTE(AC$1,RIGHT(AC$1,2),""),VLOOKUP($D62,素材!$1:$1016,COLUMN($F$1),FALSE))),VLOOKUP($C62,武器!$1:$998,COLUMN($O$1),FALSE)*VLOOKUP($D62,素材!$1:$1016,COLUMN($E$1),FALSE)/(LEN(VLOOKUP($D62,素材!$1:$1016,COLUMN($F$1),FALSE)) - LEN(SUBSTITUTE(VLOOKUP($D62,素材!$1:$1016,COLUMN($F$1),FALSE), "・", 0)) + 1), 0)</f>
        <v>0</v>
      </c>
      <c r="AD62">
        <f>IF(ISNUMBER(SEARCH(SUBSTITUTE(AD$1,RIGHT(AD$1,2),""),VLOOKUP($D62,素材!$1:$1016,COLUMN($F$1),FALSE))),VLOOKUP($C62,武器!$1:$998,COLUMN($O$1),FALSE)*VLOOKUP($D62,素材!$1:$1016,COLUMN($E$1),FALSE)/(LEN(VLOOKUP($D62,素材!$1:$1016,COLUMN($F$1),FALSE)) - LEN(SUBSTITUTE(VLOOKUP($D62,素材!$1:$1016,COLUMN($F$1),FALSE), "・", 0)) + 1), 0)</f>
        <v>0</v>
      </c>
      <c r="AE62">
        <f>IF(ISNUMBER(SEARCH(SUBSTITUTE(AE$1,RIGHT(AE$1,2),""),VLOOKUP($D62,素材!$1:$1016,COLUMN($F$1),FALSE))),VLOOKUP($C62,武器!$1:$998,COLUMN($O$1),FALSE)*VLOOKUP($D62,素材!$1:$1016,COLUMN($E$1),FALSE)/(LEN(VLOOKUP($D62,素材!$1:$1016,COLUMN($F$1),FALSE)) - LEN(SUBSTITUTE(VLOOKUP($D62,素材!$1:$1016,COLUMN($F$1),FALSE), "・", 0)) + 1), 0)</f>
        <v>0</v>
      </c>
      <c r="AF62">
        <f>IF(ISNUMBER(SEARCH(SUBSTITUTE(AF$1,RIGHT(AF$1,2),""),VLOOKUP($D62,素材!$1:$1016,COLUMN($F$1),FALSE))),VLOOKUP($C62,武器!$1:$998,COLUMN($O$1),FALSE)*VLOOKUP($D62,素材!$1:$1016,COLUMN($E$1),FALSE)/(LEN(VLOOKUP($D62,素材!$1:$1016,COLUMN($F$1),FALSE)) - LEN(SUBSTITUTE(VLOOKUP($D62,素材!$1:$1016,COLUMN($F$1),FALSE), "・", 0)) + 1), 0)</f>
        <v>0</v>
      </c>
      <c r="AG62">
        <f>IF(ISNUMBER(SEARCH(SUBSTITUTE(AG$1,RIGHT(AG$1,2),""),VLOOKUP($D62,素材!$1:$1016,COLUMN($F$1),FALSE))),VLOOKUP($C62,武器!$1:$998,COLUMN($O$1),FALSE)*VLOOKUP($D62,素材!$1:$1016,COLUMN($E$1),FALSE)/(LEN(VLOOKUP($D62,素材!$1:$1016,COLUMN($F$1),FALSE)) - LEN(SUBSTITUTE(VLOOKUP($D62,素材!$1:$1016,COLUMN($F$1),FALSE), "・", 0)) + 1), 0)</f>
        <v>0</v>
      </c>
      <c r="AH62">
        <f>IF(ISNUMBER(SEARCH(SUBSTITUTE(AH$1,RIGHT(AH$1,2),""),VLOOKUP($D62,素材!$1:$1016,COLUMN($F$1),FALSE))),VLOOKUP($C62,武器!$1:$998,COLUMN($O$1),FALSE)*VLOOKUP($D62,素材!$1:$1016,COLUMN($E$1),FALSE)/(LEN(VLOOKUP($D62,素材!$1:$1016,COLUMN($F$1),FALSE)) - LEN(SUBSTITUTE(VLOOKUP($D62,素材!$1:$1016,COLUMN($F$1),FALSE), "・", 0)) + 1), 0)</f>
        <v>0</v>
      </c>
      <c r="AI62">
        <f>IF(ISNUMBER(SEARCH(SUBSTITUTE(AI$1,RIGHT(AI$1,2),""),VLOOKUP($D62,素材!$1:$1016,COLUMN($F$1),FALSE))),VLOOKUP($C62,武器!$1:$998,COLUMN($O$1),FALSE)*VLOOKUP($D62,素材!$1:$1016,COLUMN($E$1),FALSE)/(LEN(VLOOKUP($D62,素材!$1:$1016,COLUMN($F$1),FALSE)) - LEN(SUBSTITUTE(VLOOKUP($D62,素材!$1:$1016,COLUMN($F$1),FALSE), "・", 0)) + 1), 0)</f>
        <v>0</v>
      </c>
      <c r="AJ62">
        <f>IF(ISNUMBER(SEARCH(SUBSTITUTE(AJ$1,RIGHT(AJ$1,2),""),VLOOKUP($D62,素材!$1:$1016,COLUMN($F$1),FALSE))),VLOOKUP($C62,武器!$1:$998,COLUMN($O$1),FALSE)*VLOOKUP($D62,素材!$1:$1016,COLUMN($E$1),FALSE)/(LEN(VLOOKUP($D62,素材!$1:$1016,COLUMN($F$1),FALSE)) - LEN(SUBSTITUTE(VLOOKUP($D62,素材!$1:$1016,COLUMN($F$1),FALSE), "・", 0)) + 1), 0)</f>
        <v>0</v>
      </c>
      <c r="AK62">
        <f>IF(ISNUMBER(SEARCH(SUBSTITUTE(AK$1,RIGHT(AK$1,2),""),VLOOKUP($D62,素材!$1:$1016,COLUMN($F$1),FALSE))),VLOOKUP($C62,武器!$1:$998,COLUMN($O$1),FALSE)*VLOOKUP($D62,素材!$1:$1016,COLUMN($E$1),FALSE)/(LEN(VLOOKUP($D62,素材!$1:$1016,COLUMN($F$1),FALSE)) - LEN(SUBSTITUTE(VLOOKUP($D62,素材!$1:$1016,COLUMN($F$1),FALSE), "・", 0)) + 1), 0)</f>
        <v>0</v>
      </c>
      <c r="AL62">
        <f>IF(ISNUMBER(SEARCH(SUBSTITUTE(AL$1,RIGHT(AL$1,2),""),VLOOKUP($D62,素材!$1:$1016,COLUMN($F$1),FALSE))),VLOOKUP($C62,武器!$1:$998,COLUMN($O$1),FALSE)*VLOOKUP($D62,素材!$1:$1016,COLUMN($E$1),FALSE)/(LEN(VLOOKUP($D62,素材!$1:$1016,COLUMN($F$1),FALSE)) - LEN(SUBSTITUTE(VLOOKUP($D62,素材!$1:$1016,COLUMN($F$1),FALSE), "・", 0)) + 1), 0)</f>
        <v>0</v>
      </c>
      <c r="AM62">
        <f>IF(ISNUMBER(SEARCH(SUBSTITUTE(AM$1,RIGHT(AM$1,2),""),VLOOKUP($D62,素材!$1:$1016,COLUMN($F$1),FALSE))),VLOOKUP($C62,武器!$1:$998,COLUMN($O$1),FALSE)*VLOOKUP($D62,素材!$1:$1016,COLUMN($E$1),FALSE)/(LEN(VLOOKUP($D62,素材!$1:$1016,COLUMN($F$1),FALSE)) - LEN(SUBSTITUTE(VLOOKUP($D62,素材!$1:$1016,COLUMN($F$1),FALSE), "・", 0)) + 1), 0)</f>
        <v>0</v>
      </c>
      <c r="AN62">
        <f>IF(ISNUMBER(SEARCH(SUBSTITUTE(AN$1,RIGHT(AN$1,2),""),VLOOKUP($D62,素材!$1:$1016,COLUMN($F$1),FALSE))),VLOOKUP($C62,武器!$1:$998,COLUMN($O$1),FALSE)*VLOOKUP($D62,素材!$1:$1016,COLUMN($E$1),FALSE)/(LEN(VLOOKUP($D62,素材!$1:$1016,COLUMN($F$1),FALSE)) - LEN(SUBSTITUTE(VLOOKUP($D62,素材!$1:$1016,COLUMN($F$1),FALSE), "・", 0)) + 1), 0)</f>
        <v>0</v>
      </c>
      <c r="AO62">
        <f>IF(ISNUMBER(SEARCH(SUBSTITUTE(AO$1,RIGHT(AO$1,2),""),VLOOKUP($D62,素材!$1:$1016,COLUMN($F$1),FALSE))),VLOOKUP($C62,武器!$1:$998,COLUMN($O$1),FALSE)*VLOOKUP($D62,素材!$1:$1016,COLUMN($E$1),FALSE)/(LEN(VLOOKUP($D62,素材!$1:$1016,COLUMN($F$1),FALSE)) - LEN(SUBSTITUTE(VLOOKUP($D62,素材!$1:$1016,COLUMN($F$1),FALSE), "・", 0)) + 1), 0)</f>
        <v>0</v>
      </c>
      <c r="AP62">
        <f>IF(ISNUMBER(SEARCH(SUBSTITUTE(AP$1,RIGHT(AP$1,2),""),VLOOKUP($D62,素材!$1:$1016,COLUMN($F$1),FALSE))),VLOOKUP($C62,武器!$1:$998,COLUMN($O$1),FALSE)*VLOOKUP($D62,素材!$1:$1016,COLUMN($E$1),FALSE)/(LEN(VLOOKUP($D62,素材!$1:$1016,COLUMN($F$1),FALSE)) - LEN(SUBSTITUTE(VLOOKUP($D62,素材!$1:$1016,COLUMN($F$1),FALSE), "・", 0)) + 1), 0)</f>
        <v>0</v>
      </c>
      <c r="AQ62">
        <f>IF(ISNUMBER(SEARCH(SUBSTITUTE(AQ$1,RIGHT(AQ$1,2),""),VLOOKUP($D62,素材!$1:$1016,COLUMN($F$1),FALSE))),VLOOKUP($C62,武器!$1:$998,COLUMN($O$1),FALSE)*VLOOKUP($D62,素材!$1:$1016,COLUMN($E$1),FALSE)/(LEN(VLOOKUP($D62,素材!$1:$1016,COLUMN($F$1),FALSE)) - LEN(SUBSTITUTE(VLOOKUP($D62,素材!$1:$1016,COLUMN($F$1),FALSE), "・", 0)) + 1), 0)</f>
        <v>0</v>
      </c>
      <c r="AR62">
        <f>IF(ISNUMBER(SEARCH(SUBSTITUTE(AR$1,RIGHT(AR$1,2),""),VLOOKUP($D62,素材!$1:$1016,COLUMN($F$1),FALSE))),VLOOKUP($C62,武器!$1:$998,COLUMN($O$1),FALSE)*VLOOKUP($D62,素材!$1:$1016,COLUMN($E$1),FALSE)/(LEN(VLOOKUP($D62,素材!$1:$1016,COLUMN($F$1),FALSE)) - LEN(SUBSTITUTE(VLOOKUP($D62,素材!$1:$1016,COLUMN($F$1),FALSE), "・", 0)) + 1), 0)</f>
        <v>0</v>
      </c>
      <c r="AS62">
        <f>IF(ISNUMBER(SEARCH(SUBSTITUTE(AS$1,RIGHT(AS$1,2),""),VLOOKUP($D62,素材!$1:$1016,COLUMN($F$1),FALSE))),VLOOKUP($C62,武器!$1:$998,COLUMN($O$1),FALSE)*VLOOKUP($D62,素材!$1:$1016,COLUMN($E$1),FALSE)/(LEN(VLOOKUP($D62,素材!$1:$1016,COLUMN($F$1),FALSE)) - LEN(SUBSTITUTE(VLOOKUP($D62,素材!$1:$1016,COLUMN($F$1),FALSE), "・", 0)) + 1), 0)</f>
        <v>0</v>
      </c>
      <c r="AT62">
        <f>IF(ISNUMBER(SEARCH(SUBSTITUTE(AT$1,RIGHT(AT$1,2),""),VLOOKUP($D62,素材!$1:$1016,COLUMN($F$1),FALSE))),VLOOKUP($C62,武器!$1:$998,COLUMN($O$1),FALSE)*VLOOKUP($D62,素材!$1:$1016,COLUMN($E$1),FALSE)/(LEN(VLOOKUP($D62,素材!$1:$1016,COLUMN($F$1),FALSE)) - LEN(SUBSTITUTE(VLOOKUP($D62,素材!$1:$1016,COLUMN($F$1),FALSE), "・", 0)) + 1), 0)</f>
        <v>0</v>
      </c>
      <c r="AU62">
        <f>IF(ISNUMBER(SEARCH(SUBSTITUTE(AU$1,RIGHT(AU$1,2),""),VLOOKUP($D62,素材!$1:$1016,COLUMN($F$1),FALSE))),VLOOKUP($C62,武器!$1:$998,COLUMN($O$1),FALSE)*VLOOKUP($D62,素材!$1:$1016,COLUMN($E$1),FALSE)/(LEN(VLOOKUP($D62,素材!$1:$1016,COLUMN($F$1),FALSE)) - LEN(SUBSTITUTE(VLOOKUP($D62,素材!$1:$1016,COLUMN($F$1),FALSE), "・", 0)) + 1), 0)</f>
        <v>0</v>
      </c>
      <c r="AV62">
        <f>IF(ISNUMBER(SEARCH(SUBSTITUTE(AV$1,RIGHT(AV$1,2),""),VLOOKUP($D62,素材!$1:$1016,COLUMN($F$1),FALSE))),VLOOKUP($C62,武器!$1:$998,COLUMN($O$1),FALSE)*VLOOKUP($D62,素材!$1:$1016,COLUMN($E$1),FALSE)/(LEN(VLOOKUP($D62,素材!$1:$1016,COLUMN($F$1),FALSE)) - LEN(SUBSTITUTE(VLOOKUP($D62,素材!$1:$1016,COLUMN($F$1),FALSE), "・", 0)) + 1), 0)</f>
        <v>0</v>
      </c>
      <c r="AW62">
        <f>IF(ISNUMBER(SEARCH(SUBSTITUTE(AW$1,RIGHT(AW$1,2),""),VLOOKUP($D62,素材!$1:$1016,COLUMN($F$1),FALSE))),VLOOKUP($C62,武器!$1:$998,COLUMN($O$1),FALSE)*VLOOKUP($D62,素材!$1:$1016,COLUMN($E$1),FALSE)/(LEN(VLOOKUP($D62,素材!$1:$1016,COLUMN($F$1),FALSE)) - LEN(SUBSTITUTE(VLOOKUP($D62,素材!$1:$1016,COLUMN($F$1),FALSE), "・", 0)) + 1), 0)</f>
        <v>0</v>
      </c>
      <c r="AX62">
        <f>IF(ISNUMBER(SEARCH(SUBSTITUTE(AX$1,RIGHT(AX$1,2),""),VLOOKUP($D62,素材!$1:$1016,COLUMN($F$1),FALSE))),VLOOKUP($C62,武器!$1:$998,COLUMN($O$1),FALSE)*VLOOKUP($D62,素材!$1:$1016,COLUMN($E$1),FALSE)/(LEN(VLOOKUP($D62,素材!$1:$1016,COLUMN($F$1),FALSE)) - LEN(SUBSTITUTE(VLOOKUP($D62,素材!$1:$1016,COLUMN($F$1),FALSE), "・", 0)) + 1), 0)</f>
        <v>0</v>
      </c>
      <c r="AY62">
        <f>IF(ISNUMBER(SEARCH(SUBSTITUTE(AY$1,RIGHT(AY$1,2),""),VLOOKUP($D62,素材!$1:$1016,COLUMN($F$1),FALSE))),VLOOKUP($C62,武器!$1:$998,COLUMN($O$1),FALSE)*VLOOKUP($D62,素材!$1:$1016,COLUMN($E$1),FALSE)/(LEN(VLOOKUP($D62,素材!$1:$1016,COLUMN($F$1),FALSE)) - LEN(SUBSTITUTE(VLOOKUP($D62,素材!$1:$1016,COLUMN($F$1),FALSE), "・", 0)) + 1), 0)</f>
        <v>0</v>
      </c>
      <c r="AZ62">
        <f>IF(ISNUMBER(SEARCH(SUBSTITUTE(AZ$1,RIGHT(AZ$1,2),""),VLOOKUP($D62,素材!$1:$1016,COLUMN($F$1),FALSE))),VLOOKUP($C62,武器!$1:$998,COLUMN($O$1),FALSE)*VLOOKUP($D62,素材!$1:$1016,COLUMN($E$1),FALSE)/(LEN(VLOOKUP($D62,素材!$1:$1016,COLUMN($F$1),FALSE)) - LEN(SUBSTITUTE(VLOOKUP($D62,素材!$1:$1016,COLUMN($F$1),FALSE), "・", 0)) + 1), 0)</f>
        <v>0</v>
      </c>
      <c r="BA62">
        <f>IF(ISNUMBER(SEARCH(SUBSTITUTE(BA$1,RIGHT(BA$1,2),""),VLOOKUP($D62,素材!$1:$1016,COLUMN($F$1),FALSE))),VLOOKUP($C62,武器!$1:$998,COLUMN($O$1),FALSE)*VLOOKUP($D62,素材!$1:$1016,COLUMN($E$1),FALSE)/(LEN(VLOOKUP($D62,素材!$1:$1016,COLUMN($F$1),FALSE)) - LEN(SUBSTITUTE(VLOOKUP($D62,素材!$1:$1016,COLUMN($F$1),FALSE), "・", 0)) + 1), 0)</f>
        <v>0</v>
      </c>
      <c r="BB62">
        <f>IF(ISNUMBER(SEARCH(SUBSTITUTE(BB$1,RIGHT(BB$1,2),""),VLOOKUP($D62,素材!$1:$1016,COLUMN($F$1),FALSE))),VLOOKUP($C62,武器!$1:$998,COLUMN($O$1),FALSE)*VLOOKUP($D62,素材!$1:$1016,COLUMN($E$1),FALSE)/(LEN(VLOOKUP($D62,素材!$1:$1016,COLUMN($F$1),FALSE)) - LEN(SUBSTITUTE(VLOOKUP($D62,素材!$1:$1016,COLUMN($F$1),FALSE), "・", 0)) + 1), 0)</f>
        <v>0</v>
      </c>
      <c r="BC62">
        <f>IF(ISNUMBER(SEARCH(SUBSTITUTE(BC$1,RIGHT(BC$1,2),""),VLOOKUP($D62,素材!$1:$1016,COLUMN($F$1),FALSE))),VLOOKUP($C62,武器!$1:$998,COLUMN($O$1),FALSE)*VLOOKUP($D62,素材!$1:$1016,COLUMN($E$1),FALSE)/(LEN(VLOOKUP($D62,素材!$1:$1016,COLUMN($F$1),FALSE)) - LEN(SUBSTITUTE(VLOOKUP($D62,素材!$1:$1016,COLUMN($F$1),FALSE), "・", 0)) + 1), 0)</f>
        <v>0</v>
      </c>
      <c r="BD62">
        <f>IF(ISNUMBER(SEARCH(SUBSTITUTE(BD$1,RIGHT(BD$1,2),""),VLOOKUP($D62,素材!$1:$1016,COLUMN($F$1),FALSE))),VLOOKUP($C62,武器!$1:$998,COLUMN($O$1),FALSE)*VLOOKUP($D62,素材!$1:$1016,COLUMN($E$1),FALSE)/(LEN(VLOOKUP($D62,素材!$1:$1016,COLUMN($F$1),FALSE)) - LEN(SUBSTITUTE(VLOOKUP($D62,素材!$1:$1016,COLUMN($F$1),FALSE), "・", 0)) + 1), 0)</f>
        <v>0</v>
      </c>
      <c r="BE62">
        <f>IF(ISNUMBER(SEARCH(SUBSTITUTE(BE$1,RIGHT(BE$1,2),""),VLOOKUP($D62,素材!$1:$1016,COLUMN($F$1),FALSE))),VLOOKUP($C62,武器!$1:$998,COLUMN($O$1),FALSE)*VLOOKUP($D62,素材!$1:$1016,COLUMN($E$1),FALSE)/(LEN(VLOOKUP($D62,素材!$1:$1016,COLUMN($F$1),FALSE)) - LEN(SUBSTITUTE(VLOOKUP($D62,素材!$1:$1016,COLUMN($F$1),FALSE), "・", 0)) + 1), 0)</f>
        <v>0</v>
      </c>
      <c r="CL62">
        <f>SUM(G62:I62)</f>
        <v>12</v>
      </c>
      <c r="CM62" s="22" t="str">
        <f>IF(E62="武器",IF(J62-1&gt;SUM(G62:I62),"盾",IF(MAX(G62:I62)=G62,"切断",IF(MAX(G62:I62)=H62,"貫通",IF(MAX(G62:I62)=I62,"打撃","射撃")))),E62)&amp;".webp"</f>
        <v>盾.webp</v>
      </c>
      <c r="CN62">
        <f>IFERROR(VLOOKUP($C62,武器!$1:$998,COLUMN(V$1),FALSE)*VLOOKUP($D62,素材!$1:$1016,COLUMN(N$1),FALSE)+IF(CI62="",0,VLOOKUP($CI62,装強!$1:$1008,COLUMN($CK$1),FALSE)),"")</f>
        <v>200</v>
      </c>
      <c r="CO62" t="str">
        <f>VLOOKUP(D62,素材!$A:$O,COLUMN(素材!O$1),FALSE)</f>
        <v>一般的な木材。金属より軽いが少し脆い</v>
      </c>
      <c r="CP62" t="str">
        <f>VLOOKUP(C62,武器!$A:$W,COLUMN(武器!W$1),FALSE)</f>
        <v>丸大盾。防御範囲が広く、投擲も可能。</v>
      </c>
      <c r="CR62" t="str">
        <f t="shared" si="1"/>
        <v>e_62</v>
      </c>
      <c r="CS62">
        <f t="shared" si="2"/>
        <v>20000</v>
      </c>
    </row>
    <row r="63" spans="1:97" outlineLevel="1" x14ac:dyDescent="0.4">
      <c r="A63" t="str">
        <f t="shared" si="3"/>
        <v>木の大盾</v>
      </c>
      <c r="B63" t="str">
        <f>IFERROR(VLOOKUP($D63,素材!$1:$1016,COLUMN($B$1),FALSE)&amp;"・"&amp;VLOOKUP($C63,武器!$1:$998,COLUMN(B$1),FALSE),"")</f>
        <v>ウッド・ラージシールド</v>
      </c>
      <c r="C63" t="s">
        <v>219</v>
      </c>
      <c r="D63" s="24" t="s">
        <v>255</v>
      </c>
      <c r="E63" t="str">
        <f>IFERROR(VLOOKUP(C63,武器!$1:$998,COLUMN(C$1),FALSE),"")</f>
        <v>盾</v>
      </c>
      <c r="F63">
        <f>IFERROR(ROUNDDOWN((VLOOKUP($C63,武器!$1:$998,COLUMN(D$1),FALSE)+IFERROR(VLOOKUP($CI63,装強!$1:$999,COLUMN(F$1),FALSE),0))*VLOOKUP($D63,素材!$1:$1016,COLUMN(D$1),FALSE),0),"")</f>
        <v>86</v>
      </c>
      <c r="G63">
        <f>IFERROR(ROUNDDOWN((VLOOKUP($C63,武器!$1:$998,COLUMN(E$1),FALSE)+IFERROR(VLOOKUP($CI63,装強!$1:$999,COLUMN(G$1),FALSE),0))*VLOOKUP($D63,素材!$1:$1016,COLUMN($E$1),FALSE),0),"")</f>
        <v>0</v>
      </c>
      <c r="H63">
        <f>IFERROR(ROUNDDOWN((VLOOKUP($C63,武器!$1:$998,COLUMN(F$1),FALSE)+IFERROR(VLOOKUP($CI63,装強!$1:$999,COLUMN(H$1),FALSE),0))*VLOOKUP($D63,素材!$1:$1016,COLUMN($E$1),FALSE),0),"")</f>
        <v>0</v>
      </c>
      <c r="I63">
        <f>IFERROR(ROUNDDOWN((VLOOKUP($C63,武器!$1:$998,COLUMN(G$1),FALSE)+IFERROR(VLOOKUP($CI63,装強!$1:$999,COLUMN(I$1),FALSE),0))*VLOOKUP($D63,素材!$1:$1016,COLUMN($E$1),FALSE),0),"")</f>
        <v>12</v>
      </c>
      <c r="J63">
        <f>IFERROR(ROUNDDOWN((VLOOKUP($C63,武器!$1:$998,COLUMN(H$1),FALSE)+IFERROR(VLOOKUP($CI63,装強!$1:$999,COLUMN(J$1),FALSE),0))*VLOOKUP($D63,素材!$1:$1016,COLUMN($E$1),FALSE),0),"")</f>
        <v>20</v>
      </c>
      <c r="K63">
        <f>IFERROR(ROUNDDOWN((VLOOKUP($C63,武器!$1:$998,COLUMN(I$1),FALSE)+IFERROR(VLOOKUP($CI63,装強!$1:$999,COLUMN(K$1),FALSE),0))*VLOOKUP($D63,素材!$1:$1016,COLUMN($E$1),FALSE),0),"")</f>
        <v>0</v>
      </c>
      <c r="L63">
        <f>IFERROR(VLOOKUP($D63,素材!$1:$1016,COLUMN($F$1),FALSE),"")</f>
        <v>0</v>
      </c>
      <c r="M63">
        <f>IFERROR(VLOOKUP($C63,武器!$1:$998,COLUMN(AA$1),FALSE)*VLOOKUP($D63,素材!$1:$1016,COLUMN($G$1),FALSE),"")</f>
        <v>0</v>
      </c>
      <c r="N63">
        <f>IFERROR(VLOOKUP($C63,武器!$1:$998,COLUMN(I$1),FALSE),"")</f>
        <v>0</v>
      </c>
      <c r="O63" s="23">
        <f>IFERROR((VLOOKUP($C63,武器!$1:$998,COLUMN(K$1),FALSE)+VLOOKUP($D63,素材!$1:$1016,COLUMN(H$1),FALSE))*100+IFERROR(VLOOKUP($CI63,装強!$1:$999,COLUMN(O$1),FALSE),0),"")</f>
        <v>5</v>
      </c>
      <c r="P63" s="23">
        <f>IFERROR((VLOOKUP($C63,武器!$1:$998,COLUMN(L$1),FALSE)+VLOOKUP($D63,素材!$1:$1016,COLUMN(I$1),FALSE))*100+IFERROR(VLOOKUP($CI63,装強!$1:$999,COLUMN(P$1),FALSE),0),"")</f>
        <v>125</v>
      </c>
      <c r="Q63">
        <f>IFERROR(ROUNDUP(VLOOKUP($C63,武器!$1:$998,COLUMN(M$1),FALSE)*(VLOOKUP($D63,素材!$1:$1002,COLUMN(D$1),FALSE)/100),1),"")</f>
        <v>-3.8000000000000003</v>
      </c>
      <c r="R63">
        <f>IFERROR(ROUNDUP(VLOOKUP($C63,武器!$1:$998,COLUMN(N$1),FALSE)*(VLOOKUP($D63,素材!$1:$1002,COLUMN(D$1),FALSE)/100),1),"")</f>
        <v>0</v>
      </c>
      <c r="S63">
        <f>IFERROR(VLOOKUP($C63,武器!$1:$998,COLUMN(P$1),FALSE),"")</f>
        <v>0</v>
      </c>
      <c r="T63">
        <f>IFERROR(VLOOKUP($C63,武器!$1:$998,COLUMN(Q$1),FALSE),"")</f>
        <v>0</v>
      </c>
      <c r="U63">
        <f>IFERROR(VLOOKUP($C63,武器!$1:$998,COLUMN(R$1),FALSE),"")</f>
        <v>0</v>
      </c>
      <c r="V63">
        <f>IFERROR(VLOOKUP($C63,武器!$1:$998,COLUMN(Q$1),FALSE),"")</f>
        <v>0</v>
      </c>
      <c r="W63" t="str">
        <f>IFERROR(VLOOKUP($C63,武器!$1:$998,COLUMN(T$1),FALSE),"")</f>
        <v>A</v>
      </c>
      <c r="Y63" t="str">
        <f>IFERROR(VLOOKUP($C63,武器!$1:$998,COLUMN(U$1),FALSE),"")</f>
        <v>片手適正Ⅰ</v>
      </c>
      <c r="Z63">
        <f>IFERROR(ROUNDUP(VLOOKUP($C63,武器!$1:$998,COLUMN(O$1),FALSE)*VLOOKUP($D63,素材!$1:$1016,COLUMN(E$1),FALSE),1),"")</f>
        <v>0</v>
      </c>
      <c r="AA63">
        <f>IF(ISNUMBER(SEARCH(SUBSTITUTE(AA$1,RIGHT(AA$1,2),""),VLOOKUP($D63,素材!$1:$1016,COLUMN($F$1),FALSE))),VLOOKUP($C63,武器!$1:$998,COLUMN($O$1),FALSE)*VLOOKUP($D63,素材!$1:$1016,COLUMN($E$1),FALSE)/(LEN(VLOOKUP($D63,素材!$1:$1016,COLUMN($F$1),FALSE)) - LEN(SUBSTITUTE(VLOOKUP($D63,素材!$1:$1016,COLUMN($F$1),FALSE), "・", 0)) + 1), 0)</f>
        <v>0</v>
      </c>
      <c r="AB63">
        <f>IF(ISNUMBER(SEARCH(SUBSTITUTE(AB$1,RIGHT(AB$1,2),""),VLOOKUP($D63,素材!$1:$1016,COLUMN($F$1),FALSE))),VLOOKUP($C63,武器!$1:$998,COLUMN($O$1),FALSE)*VLOOKUP($D63,素材!$1:$1016,COLUMN($E$1),FALSE)/(LEN(VLOOKUP($D63,素材!$1:$1016,COLUMN($F$1),FALSE)) - LEN(SUBSTITUTE(VLOOKUP($D63,素材!$1:$1016,COLUMN($F$1),FALSE), "・", 0)) + 1), 0)</f>
        <v>0</v>
      </c>
      <c r="AC63">
        <f>IF(ISNUMBER(SEARCH(SUBSTITUTE(AC$1,RIGHT(AC$1,2),""),VLOOKUP($D63,素材!$1:$1016,COLUMN($F$1),FALSE))),VLOOKUP($C63,武器!$1:$998,COLUMN($O$1),FALSE)*VLOOKUP($D63,素材!$1:$1016,COLUMN($E$1),FALSE)/(LEN(VLOOKUP($D63,素材!$1:$1016,COLUMN($F$1),FALSE)) - LEN(SUBSTITUTE(VLOOKUP($D63,素材!$1:$1016,COLUMN($F$1),FALSE), "・", 0)) + 1), 0)</f>
        <v>0</v>
      </c>
      <c r="AD63">
        <f>IF(ISNUMBER(SEARCH(SUBSTITUTE(AD$1,RIGHT(AD$1,2),""),VLOOKUP($D63,素材!$1:$1016,COLUMN($F$1),FALSE))),VLOOKUP($C63,武器!$1:$998,COLUMN($O$1),FALSE)*VLOOKUP($D63,素材!$1:$1016,COLUMN($E$1),FALSE)/(LEN(VLOOKUP($D63,素材!$1:$1016,COLUMN($F$1),FALSE)) - LEN(SUBSTITUTE(VLOOKUP($D63,素材!$1:$1016,COLUMN($F$1),FALSE), "・", 0)) + 1), 0)</f>
        <v>0</v>
      </c>
      <c r="AE63">
        <f>IF(ISNUMBER(SEARCH(SUBSTITUTE(AE$1,RIGHT(AE$1,2),""),VLOOKUP($D63,素材!$1:$1016,COLUMN($F$1),FALSE))),VLOOKUP($C63,武器!$1:$998,COLUMN($O$1),FALSE)*VLOOKUP($D63,素材!$1:$1016,COLUMN($E$1),FALSE)/(LEN(VLOOKUP($D63,素材!$1:$1016,COLUMN($F$1),FALSE)) - LEN(SUBSTITUTE(VLOOKUP($D63,素材!$1:$1016,COLUMN($F$1),FALSE), "・", 0)) + 1), 0)</f>
        <v>0</v>
      </c>
      <c r="AF63">
        <f>IF(ISNUMBER(SEARCH(SUBSTITUTE(AF$1,RIGHT(AF$1,2),""),VLOOKUP($D63,素材!$1:$1016,COLUMN($F$1),FALSE))),VLOOKUP($C63,武器!$1:$998,COLUMN($O$1),FALSE)*VLOOKUP($D63,素材!$1:$1016,COLUMN($E$1),FALSE)/(LEN(VLOOKUP($D63,素材!$1:$1016,COLUMN($F$1),FALSE)) - LEN(SUBSTITUTE(VLOOKUP($D63,素材!$1:$1016,COLUMN($F$1),FALSE), "・", 0)) + 1), 0)</f>
        <v>0</v>
      </c>
      <c r="AG63">
        <f>IF(ISNUMBER(SEARCH(SUBSTITUTE(AG$1,RIGHT(AG$1,2),""),VLOOKUP($D63,素材!$1:$1016,COLUMN($F$1),FALSE))),VLOOKUP($C63,武器!$1:$998,COLUMN($O$1),FALSE)*VLOOKUP($D63,素材!$1:$1016,COLUMN($E$1),FALSE)/(LEN(VLOOKUP($D63,素材!$1:$1016,COLUMN($F$1),FALSE)) - LEN(SUBSTITUTE(VLOOKUP($D63,素材!$1:$1016,COLUMN($F$1),FALSE), "・", 0)) + 1), 0)</f>
        <v>0</v>
      </c>
      <c r="AH63">
        <f>IF(ISNUMBER(SEARCH(SUBSTITUTE(AH$1,RIGHT(AH$1,2),""),VLOOKUP($D63,素材!$1:$1016,COLUMN($F$1),FALSE))),VLOOKUP($C63,武器!$1:$998,COLUMN($O$1),FALSE)*VLOOKUP($D63,素材!$1:$1016,COLUMN($E$1),FALSE)/(LEN(VLOOKUP($D63,素材!$1:$1016,COLUMN($F$1),FALSE)) - LEN(SUBSTITUTE(VLOOKUP($D63,素材!$1:$1016,COLUMN($F$1),FALSE), "・", 0)) + 1), 0)</f>
        <v>0</v>
      </c>
      <c r="AI63">
        <f>IF(ISNUMBER(SEARCH(SUBSTITUTE(AI$1,RIGHT(AI$1,2),""),VLOOKUP($D63,素材!$1:$1016,COLUMN($F$1),FALSE))),VLOOKUP($C63,武器!$1:$998,COLUMN($O$1),FALSE)*VLOOKUP($D63,素材!$1:$1016,COLUMN($E$1),FALSE)/(LEN(VLOOKUP($D63,素材!$1:$1016,COLUMN($F$1),FALSE)) - LEN(SUBSTITUTE(VLOOKUP($D63,素材!$1:$1016,COLUMN($F$1),FALSE), "・", 0)) + 1), 0)</f>
        <v>0</v>
      </c>
      <c r="AJ63">
        <f>IF(ISNUMBER(SEARCH(SUBSTITUTE(AJ$1,RIGHT(AJ$1,2),""),VLOOKUP($D63,素材!$1:$1016,COLUMN($F$1),FALSE))),VLOOKUP($C63,武器!$1:$998,COLUMN($O$1),FALSE)*VLOOKUP($D63,素材!$1:$1016,COLUMN($E$1),FALSE)/(LEN(VLOOKUP($D63,素材!$1:$1016,COLUMN($F$1),FALSE)) - LEN(SUBSTITUTE(VLOOKUP($D63,素材!$1:$1016,COLUMN($F$1),FALSE), "・", 0)) + 1), 0)</f>
        <v>0</v>
      </c>
      <c r="AK63">
        <f>IF(ISNUMBER(SEARCH(SUBSTITUTE(AK$1,RIGHT(AK$1,2),""),VLOOKUP($D63,素材!$1:$1016,COLUMN($F$1),FALSE))),VLOOKUP($C63,武器!$1:$998,COLUMN($O$1),FALSE)*VLOOKUP($D63,素材!$1:$1016,COLUMN($E$1),FALSE)/(LEN(VLOOKUP($D63,素材!$1:$1016,COLUMN($F$1),FALSE)) - LEN(SUBSTITUTE(VLOOKUP($D63,素材!$1:$1016,COLUMN($F$1),FALSE), "・", 0)) + 1), 0)</f>
        <v>0</v>
      </c>
      <c r="AL63">
        <f>IF(ISNUMBER(SEARCH(SUBSTITUTE(AL$1,RIGHT(AL$1,2),""),VLOOKUP($D63,素材!$1:$1016,COLUMN($F$1),FALSE))),VLOOKUP($C63,武器!$1:$998,COLUMN($O$1),FALSE)*VLOOKUP($D63,素材!$1:$1016,COLUMN($E$1),FALSE)/(LEN(VLOOKUP($D63,素材!$1:$1016,COLUMN($F$1),FALSE)) - LEN(SUBSTITUTE(VLOOKUP($D63,素材!$1:$1016,COLUMN($F$1),FALSE), "・", 0)) + 1), 0)</f>
        <v>0</v>
      </c>
      <c r="AM63">
        <f>IF(ISNUMBER(SEARCH(SUBSTITUTE(AM$1,RIGHT(AM$1,2),""),VLOOKUP($D63,素材!$1:$1016,COLUMN($F$1),FALSE))),VLOOKUP($C63,武器!$1:$998,COLUMN($O$1),FALSE)*VLOOKUP($D63,素材!$1:$1016,COLUMN($E$1),FALSE)/(LEN(VLOOKUP($D63,素材!$1:$1016,COLUMN($F$1),FALSE)) - LEN(SUBSTITUTE(VLOOKUP($D63,素材!$1:$1016,COLUMN($F$1),FALSE), "・", 0)) + 1), 0)</f>
        <v>0</v>
      </c>
      <c r="AN63">
        <f>IF(ISNUMBER(SEARCH(SUBSTITUTE(AN$1,RIGHT(AN$1,2),""),VLOOKUP($D63,素材!$1:$1016,COLUMN($F$1),FALSE))),VLOOKUP($C63,武器!$1:$998,COLUMN($O$1),FALSE)*VLOOKUP($D63,素材!$1:$1016,COLUMN($E$1),FALSE)/(LEN(VLOOKUP($D63,素材!$1:$1016,COLUMN($F$1),FALSE)) - LEN(SUBSTITUTE(VLOOKUP($D63,素材!$1:$1016,COLUMN($F$1),FALSE), "・", 0)) + 1), 0)</f>
        <v>0</v>
      </c>
      <c r="AO63">
        <f>IF(ISNUMBER(SEARCH(SUBSTITUTE(AO$1,RIGHT(AO$1,2),""),VLOOKUP($D63,素材!$1:$1016,COLUMN($F$1),FALSE))),VLOOKUP($C63,武器!$1:$998,COLUMN($O$1),FALSE)*VLOOKUP($D63,素材!$1:$1016,COLUMN($E$1),FALSE)/(LEN(VLOOKUP($D63,素材!$1:$1016,COLUMN($F$1),FALSE)) - LEN(SUBSTITUTE(VLOOKUP($D63,素材!$1:$1016,COLUMN($F$1),FALSE), "・", 0)) + 1), 0)</f>
        <v>0</v>
      </c>
      <c r="AP63">
        <f>IF(ISNUMBER(SEARCH(SUBSTITUTE(AP$1,RIGHT(AP$1,2),""),VLOOKUP($D63,素材!$1:$1016,COLUMN($F$1),FALSE))),VLOOKUP($C63,武器!$1:$998,COLUMN($O$1),FALSE)*VLOOKUP($D63,素材!$1:$1016,COLUMN($E$1),FALSE)/(LEN(VLOOKUP($D63,素材!$1:$1016,COLUMN($F$1),FALSE)) - LEN(SUBSTITUTE(VLOOKUP($D63,素材!$1:$1016,COLUMN($F$1),FALSE), "・", 0)) + 1), 0)</f>
        <v>0</v>
      </c>
      <c r="AQ63">
        <f>IF(ISNUMBER(SEARCH(SUBSTITUTE(AQ$1,RIGHT(AQ$1,2),""),VLOOKUP($D63,素材!$1:$1016,COLUMN($F$1),FALSE))),VLOOKUP($C63,武器!$1:$998,COLUMN($O$1),FALSE)*VLOOKUP($D63,素材!$1:$1016,COLUMN($E$1),FALSE)/(LEN(VLOOKUP($D63,素材!$1:$1016,COLUMN($F$1),FALSE)) - LEN(SUBSTITUTE(VLOOKUP($D63,素材!$1:$1016,COLUMN($F$1),FALSE), "・", 0)) + 1), 0)</f>
        <v>0</v>
      </c>
      <c r="AR63">
        <f>IF(ISNUMBER(SEARCH(SUBSTITUTE(AR$1,RIGHT(AR$1,2),""),VLOOKUP($D63,素材!$1:$1016,COLUMN($F$1),FALSE))),VLOOKUP($C63,武器!$1:$998,COLUMN($O$1),FALSE)*VLOOKUP($D63,素材!$1:$1016,COLUMN($E$1),FALSE)/(LEN(VLOOKUP($D63,素材!$1:$1016,COLUMN($F$1),FALSE)) - LEN(SUBSTITUTE(VLOOKUP($D63,素材!$1:$1016,COLUMN($F$1),FALSE), "・", 0)) + 1), 0)</f>
        <v>0</v>
      </c>
      <c r="AS63">
        <f>IF(ISNUMBER(SEARCH(SUBSTITUTE(AS$1,RIGHT(AS$1,2),""),VLOOKUP($D63,素材!$1:$1016,COLUMN($F$1),FALSE))),VLOOKUP($C63,武器!$1:$998,COLUMN($O$1),FALSE)*VLOOKUP($D63,素材!$1:$1016,COLUMN($E$1),FALSE)/(LEN(VLOOKUP($D63,素材!$1:$1016,COLUMN($F$1),FALSE)) - LEN(SUBSTITUTE(VLOOKUP($D63,素材!$1:$1016,COLUMN($F$1),FALSE), "・", 0)) + 1), 0)</f>
        <v>0</v>
      </c>
      <c r="AT63">
        <f>IF(ISNUMBER(SEARCH(SUBSTITUTE(AT$1,RIGHT(AT$1,2),""),VLOOKUP($D63,素材!$1:$1016,COLUMN($F$1),FALSE))),VLOOKUP($C63,武器!$1:$998,COLUMN($O$1),FALSE)*VLOOKUP($D63,素材!$1:$1016,COLUMN($E$1),FALSE)/(LEN(VLOOKUP($D63,素材!$1:$1016,COLUMN($F$1),FALSE)) - LEN(SUBSTITUTE(VLOOKUP($D63,素材!$1:$1016,COLUMN($F$1),FALSE), "・", 0)) + 1), 0)</f>
        <v>0</v>
      </c>
      <c r="AU63">
        <f>IF(ISNUMBER(SEARCH(SUBSTITUTE(AU$1,RIGHT(AU$1,2),""),VLOOKUP($D63,素材!$1:$1016,COLUMN($F$1),FALSE))),VLOOKUP($C63,武器!$1:$998,COLUMN($O$1),FALSE)*VLOOKUP($D63,素材!$1:$1016,COLUMN($E$1),FALSE)/(LEN(VLOOKUP($D63,素材!$1:$1016,COLUMN($F$1),FALSE)) - LEN(SUBSTITUTE(VLOOKUP($D63,素材!$1:$1016,COLUMN($F$1),FALSE), "・", 0)) + 1), 0)</f>
        <v>0</v>
      </c>
      <c r="AV63">
        <f>IF(ISNUMBER(SEARCH(SUBSTITUTE(AV$1,RIGHT(AV$1,2),""),VLOOKUP($D63,素材!$1:$1016,COLUMN($F$1),FALSE))),VLOOKUP($C63,武器!$1:$998,COLUMN($O$1),FALSE)*VLOOKUP($D63,素材!$1:$1016,COLUMN($E$1),FALSE)/(LEN(VLOOKUP($D63,素材!$1:$1016,COLUMN($F$1),FALSE)) - LEN(SUBSTITUTE(VLOOKUP($D63,素材!$1:$1016,COLUMN($F$1),FALSE), "・", 0)) + 1), 0)</f>
        <v>0</v>
      </c>
      <c r="AW63">
        <f>IF(ISNUMBER(SEARCH(SUBSTITUTE(AW$1,RIGHT(AW$1,2),""),VLOOKUP($D63,素材!$1:$1016,COLUMN($F$1),FALSE))),VLOOKUP($C63,武器!$1:$998,COLUMN($O$1),FALSE)*VLOOKUP($D63,素材!$1:$1016,COLUMN($E$1),FALSE)/(LEN(VLOOKUP($D63,素材!$1:$1016,COLUMN($F$1),FALSE)) - LEN(SUBSTITUTE(VLOOKUP($D63,素材!$1:$1016,COLUMN($F$1),FALSE), "・", 0)) + 1), 0)</f>
        <v>0</v>
      </c>
      <c r="AX63">
        <f>IF(ISNUMBER(SEARCH(SUBSTITUTE(AX$1,RIGHT(AX$1,2),""),VLOOKUP($D63,素材!$1:$1016,COLUMN($F$1),FALSE))),VLOOKUP($C63,武器!$1:$998,COLUMN($O$1),FALSE)*VLOOKUP($D63,素材!$1:$1016,COLUMN($E$1),FALSE)/(LEN(VLOOKUP($D63,素材!$1:$1016,COLUMN($F$1),FALSE)) - LEN(SUBSTITUTE(VLOOKUP($D63,素材!$1:$1016,COLUMN($F$1),FALSE), "・", 0)) + 1), 0)</f>
        <v>0</v>
      </c>
      <c r="AY63">
        <f>IF(ISNUMBER(SEARCH(SUBSTITUTE(AY$1,RIGHT(AY$1,2),""),VLOOKUP($D63,素材!$1:$1016,COLUMN($F$1),FALSE))),VLOOKUP($C63,武器!$1:$998,COLUMN($O$1),FALSE)*VLOOKUP($D63,素材!$1:$1016,COLUMN($E$1),FALSE)/(LEN(VLOOKUP($D63,素材!$1:$1016,COLUMN($F$1),FALSE)) - LEN(SUBSTITUTE(VLOOKUP($D63,素材!$1:$1016,COLUMN($F$1),FALSE), "・", 0)) + 1), 0)</f>
        <v>0</v>
      </c>
      <c r="AZ63">
        <f>IF(ISNUMBER(SEARCH(SUBSTITUTE(AZ$1,RIGHT(AZ$1,2),""),VLOOKUP($D63,素材!$1:$1016,COLUMN($F$1),FALSE))),VLOOKUP($C63,武器!$1:$998,COLUMN($O$1),FALSE)*VLOOKUP($D63,素材!$1:$1016,COLUMN($E$1),FALSE)/(LEN(VLOOKUP($D63,素材!$1:$1016,COLUMN($F$1),FALSE)) - LEN(SUBSTITUTE(VLOOKUP($D63,素材!$1:$1016,COLUMN($F$1),FALSE), "・", 0)) + 1), 0)</f>
        <v>0</v>
      </c>
      <c r="BA63">
        <f>IF(ISNUMBER(SEARCH(SUBSTITUTE(BA$1,RIGHT(BA$1,2),""),VLOOKUP($D63,素材!$1:$1016,COLUMN($F$1),FALSE))),VLOOKUP($C63,武器!$1:$998,COLUMN($O$1),FALSE)*VLOOKUP($D63,素材!$1:$1016,COLUMN($E$1),FALSE)/(LEN(VLOOKUP($D63,素材!$1:$1016,COLUMN($F$1),FALSE)) - LEN(SUBSTITUTE(VLOOKUP($D63,素材!$1:$1016,COLUMN($F$1),FALSE), "・", 0)) + 1), 0)</f>
        <v>0</v>
      </c>
      <c r="BB63">
        <f>IF(ISNUMBER(SEARCH(SUBSTITUTE(BB$1,RIGHT(BB$1,2),""),VLOOKUP($D63,素材!$1:$1016,COLUMN($F$1),FALSE))),VLOOKUP($C63,武器!$1:$998,COLUMN($O$1),FALSE)*VLOOKUP($D63,素材!$1:$1016,COLUMN($E$1),FALSE)/(LEN(VLOOKUP($D63,素材!$1:$1016,COLUMN($F$1),FALSE)) - LEN(SUBSTITUTE(VLOOKUP($D63,素材!$1:$1016,COLUMN($F$1),FALSE), "・", 0)) + 1), 0)</f>
        <v>0</v>
      </c>
      <c r="BC63">
        <f>IF(ISNUMBER(SEARCH(SUBSTITUTE(BC$1,RIGHT(BC$1,2),""),VLOOKUP($D63,素材!$1:$1016,COLUMN($F$1),FALSE))),VLOOKUP($C63,武器!$1:$998,COLUMN($O$1),FALSE)*VLOOKUP($D63,素材!$1:$1016,COLUMN($E$1),FALSE)/(LEN(VLOOKUP($D63,素材!$1:$1016,COLUMN($F$1),FALSE)) - LEN(SUBSTITUTE(VLOOKUP($D63,素材!$1:$1016,COLUMN($F$1),FALSE), "・", 0)) + 1), 0)</f>
        <v>0</v>
      </c>
      <c r="BD63">
        <f>IF(ISNUMBER(SEARCH(SUBSTITUTE(BD$1,RIGHT(BD$1,2),""),VLOOKUP($D63,素材!$1:$1016,COLUMN($F$1),FALSE))),VLOOKUP($C63,武器!$1:$998,COLUMN($O$1),FALSE)*VLOOKUP($D63,素材!$1:$1016,COLUMN($E$1),FALSE)/(LEN(VLOOKUP($D63,素材!$1:$1016,COLUMN($F$1),FALSE)) - LEN(SUBSTITUTE(VLOOKUP($D63,素材!$1:$1016,COLUMN($F$1),FALSE), "・", 0)) + 1), 0)</f>
        <v>0</v>
      </c>
      <c r="BE63">
        <f>IF(ISNUMBER(SEARCH(SUBSTITUTE(BE$1,RIGHT(BE$1,2),""),VLOOKUP($D63,素材!$1:$1016,COLUMN($F$1),FALSE))),VLOOKUP($C63,武器!$1:$998,COLUMN($O$1),FALSE)*VLOOKUP($D63,素材!$1:$1016,COLUMN($E$1),FALSE)/(LEN(VLOOKUP($D63,素材!$1:$1016,COLUMN($F$1),FALSE)) - LEN(SUBSTITUTE(VLOOKUP($D63,素材!$1:$1016,COLUMN($F$1),FALSE), "・", 0)) + 1), 0)</f>
        <v>0</v>
      </c>
      <c r="CL63">
        <f>SUM(G63:I63)</f>
        <v>12</v>
      </c>
      <c r="CM63" s="22" t="str">
        <f>IF(E63="武器",IF(J63-1&gt;SUM(G63:I63),"盾",IF(MAX(G63:I63)=G63,"切断",IF(MAX(G63:I63)=H63,"貫通",IF(MAX(G63:I63)=I63,"打撃","射撃")))),E63)&amp;".webp"</f>
        <v>盾.webp</v>
      </c>
      <c r="CN63">
        <f>IFERROR(VLOOKUP($C63,武器!$1:$998,COLUMN(V$1),FALSE)*VLOOKUP($D63,素材!$1:$1016,COLUMN(N$1),FALSE)+IF(CI63="",0,VLOOKUP($CI63,装強!$1:$1008,COLUMN($CK$1),FALSE)),"")</f>
        <v>200</v>
      </c>
      <c r="CO63" t="str">
        <f>VLOOKUP(D63,素材!$A:$O,COLUMN(素材!O$1),FALSE)</f>
        <v>一般的な木材。金属より軽いが少し脆い</v>
      </c>
      <c r="CP63" t="str">
        <f>VLOOKUP(C63,武器!$A:$W,COLUMN(武器!W$1),FALSE)</f>
        <v>大盾。さらに大きな盾で、高い防御力を持つ。</v>
      </c>
      <c r="CR63" t="str">
        <f t="shared" si="1"/>
        <v>e_63</v>
      </c>
      <c r="CS63">
        <f t="shared" si="2"/>
        <v>20000</v>
      </c>
    </row>
    <row r="64" spans="1:97" outlineLevel="1" x14ac:dyDescent="0.4">
      <c r="A64" t="str">
        <f t="shared" si="3"/>
        <v>木の短弓</v>
      </c>
      <c r="B64" t="str">
        <f>IFERROR(VLOOKUP($D64,素材!$1:$1016,COLUMN($B$1),FALSE)&amp;"・"&amp;VLOOKUP($C64,武器!$1:$998,COLUMN(B$1),FALSE),"")</f>
        <v>ウッド・ボウ</v>
      </c>
      <c r="C64" t="s">
        <v>218</v>
      </c>
      <c r="D64" s="24" t="s">
        <v>255</v>
      </c>
      <c r="E64" t="str">
        <f>IFERROR(VLOOKUP(C64,武器!$1:$998,COLUMN(C$1),FALSE),"")</f>
        <v>武器</v>
      </c>
      <c r="F64">
        <f>IFERROR(ROUNDDOWN((VLOOKUP($C64,武器!$1:$998,COLUMN(D$1),FALSE)+IFERROR(VLOOKUP($CI64,装強!$1:$999,COLUMN(F$1),FALSE),0))*VLOOKUP($D64,素材!$1:$1016,COLUMN(D$1),FALSE),0),"")</f>
        <v>82</v>
      </c>
      <c r="G64">
        <f>IFERROR(ROUNDDOWN((VLOOKUP($C64,武器!$1:$998,COLUMN(E$1),FALSE)+IFERROR(VLOOKUP($CI64,装強!$1:$999,COLUMN(G$1),FALSE),0))*VLOOKUP($D64,素材!$1:$1016,COLUMN($E$1),FALSE),0),"")</f>
        <v>3</v>
      </c>
      <c r="H64">
        <f>IFERROR(ROUNDDOWN((VLOOKUP($C64,武器!$1:$998,COLUMN(F$1),FALSE)+IFERROR(VLOOKUP($CI64,装強!$1:$999,COLUMN(H$1),FALSE),0))*VLOOKUP($D64,素材!$1:$1016,COLUMN($E$1),FALSE),0),"")</f>
        <v>3</v>
      </c>
      <c r="I64">
        <f>IFERROR(ROUNDDOWN((VLOOKUP($C64,武器!$1:$998,COLUMN(G$1),FALSE)+IFERROR(VLOOKUP($CI64,装強!$1:$999,COLUMN(I$1),FALSE),0))*VLOOKUP($D64,素材!$1:$1016,COLUMN($E$1),FALSE),0),"")</f>
        <v>0</v>
      </c>
      <c r="J64">
        <f>IFERROR(ROUNDDOWN((VLOOKUP($C64,武器!$1:$998,COLUMN(H$1),FALSE)+IFERROR(VLOOKUP($CI64,装強!$1:$999,COLUMN(J$1),FALSE),0))*VLOOKUP($D64,素材!$1:$1016,COLUMN($E$1),FALSE),0),"")</f>
        <v>0</v>
      </c>
      <c r="K64">
        <f>IFERROR(ROUNDDOWN((VLOOKUP($C64,武器!$1:$998,COLUMN(I$1),FALSE)+IFERROR(VLOOKUP($CI64,装強!$1:$999,COLUMN(K$1),FALSE),0))*VLOOKUP($D64,素材!$1:$1016,COLUMN($E$1),FALSE),0),"")</f>
        <v>15</v>
      </c>
      <c r="L64">
        <f>IFERROR(VLOOKUP($D64,素材!$1:$1016,COLUMN($F$1),FALSE),"")</f>
        <v>0</v>
      </c>
      <c r="M64">
        <f>IFERROR(VLOOKUP($C64,武器!$1:$998,COLUMN(AA$1),FALSE)*VLOOKUP($D64,素材!$1:$1016,COLUMN($G$1),FALSE),"")</f>
        <v>0</v>
      </c>
      <c r="N64">
        <f>IFERROR(VLOOKUP($C64,武器!$1:$998,COLUMN(I$1),FALSE),"")</f>
        <v>1</v>
      </c>
      <c r="O64" s="23">
        <f>IFERROR((VLOOKUP($C64,武器!$1:$998,COLUMN(K$1),FALSE)+VLOOKUP($D64,素材!$1:$1016,COLUMN(H$1),FALSE))*100+IFERROR(VLOOKUP($CI64,装強!$1:$999,COLUMN(O$1),FALSE),0),"")</f>
        <v>10</v>
      </c>
      <c r="P64" s="23">
        <f>IFERROR((VLOOKUP($C64,武器!$1:$998,COLUMN(L$1),FALSE)+VLOOKUP($D64,素材!$1:$1016,COLUMN(I$1),FALSE))*100+IFERROR(VLOOKUP($CI64,装強!$1:$999,COLUMN(P$1),FALSE),0),"")</f>
        <v>130</v>
      </c>
      <c r="Q64">
        <f>IFERROR(ROUNDUP(VLOOKUP($C64,武器!$1:$998,COLUMN(M$1),FALSE)*(VLOOKUP($D64,素材!$1:$1002,COLUMN(D$1),FALSE)/100),1),"")</f>
        <v>-1.9000000000000001</v>
      </c>
      <c r="R64">
        <f>IFERROR(ROUNDUP(VLOOKUP($C64,武器!$1:$998,COLUMN(N$1),FALSE)*(VLOOKUP($D64,素材!$1:$1002,COLUMN(D$1),FALSE)/100),1),"")</f>
        <v>0</v>
      </c>
      <c r="S64">
        <f>IFERROR(VLOOKUP($C64,武器!$1:$998,COLUMN(P$1),FALSE),"")</f>
        <v>2</v>
      </c>
      <c r="T64">
        <f>IFERROR(VLOOKUP($C64,武器!$1:$998,COLUMN(Q$1),FALSE),"")</f>
        <v>0</v>
      </c>
      <c r="U64">
        <f>IFERROR(VLOOKUP($C64,武器!$1:$998,COLUMN(R$1),FALSE),"")</f>
        <v>0</v>
      </c>
      <c r="V64">
        <f>IFERROR(VLOOKUP($C64,武器!$1:$998,COLUMN(Q$1),FALSE),"")</f>
        <v>0</v>
      </c>
      <c r="W64" t="str">
        <f>IFERROR(VLOOKUP($C64,武器!$1:$998,COLUMN(T$1),FALSE),"")</f>
        <v>A</v>
      </c>
      <c r="Y64">
        <f>IFERROR(VLOOKUP($C64,武器!$1:$998,COLUMN(U$1),FALSE),"")</f>
        <v>0</v>
      </c>
      <c r="Z64">
        <f>IFERROR(ROUNDUP(VLOOKUP($C64,武器!$1:$998,COLUMN(O$1),FALSE)*VLOOKUP($D64,素材!$1:$1016,COLUMN(E$1),FALSE),1),"")</f>
        <v>0</v>
      </c>
      <c r="AA64">
        <f>IF(ISNUMBER(SEARCH(SUBSTITUTE(AA$1,RIGHT(AA$1,2),""),VLOOKUP($D64,素材!$1:$1016,COLUMN($F$1),FALSE))),VLOOKUP($C64,武器!$1:$998,COLUMN($O$1),FALSE)*VLOOKUP($D64,素材!$1:$1016,COLUMN($E$1),FALSE)/(LEN(VLOOKUP($D64,素材!$1:$1016,COLUMN($F$1),FALSE)) - LEN(SUBSTITUTE(VLOOKUP($D64,素材!$1:$1016,COLUMN($F$1),FALSE), "・", 0)) + 1), 0)</f>
        <v>0</v>
      </c>
      <c r="AB64">
        <f>IF(ISNUMBER(SEARCH(SUBSTITUTE(AB$1,RIGHT(AB$1,2),""),VLOOKUP($D64,素材!$1:$1016,COLUMN($F$1),FALSE))),VLOOKUP($C64,武器!$1:$998,COLUMN($O$1),FALSE)*VLOOKUP($D64,素材!$1:$1016,COLUMN($E$1),FALSE)/(LEN(VLOOKUP($D64,素材!$1:$1016,COLUMN($F$1),FALSE)) - LEN(SUBSTITUTE(VLOOKUP($D64,素材!$1:$1016,COLUMN($F$1),FALSE), "・", 0)) + 1), 0)</f>
        <v>0</v>
      </c>
      <c r="AC64">
        <f>IF(ISNUMBER(SEARCH(SUBSTITUTE(AC$1,RIGHT(AC$1,2),""),VLOOKUP($D64,素材!$1:$1016,COLUMN($F$1),FALSE))),VLOOKUP($C64,武器!$1:$998,COLUMN($O$1),FALSE)*VLOOKUP($D64,素材!$1:$1016,COLUMN($E$1),FALSE)/(LEN(VLOOKUP($D64,素材!$1:$1016,COLUMN($F$1),FALSE)) - LEN(SUBSTITUTE(VLOOKUP($D64,素材!$1:$1016,COLUMN($F$1),FALSE), "・", 0)) + 1), 0)</f>
        <v>0</v>
      </c>
      <c r="AD64">
        <f>IF(ISNUMBER(SEARCH(SUBSTITUTE(AD$1,RIGHT(AD$1,2),""),VLOOKUP($D64,素材!$1:$1016,COLUMN($F$1),FALSE))),VLOOKUP($C64,武器!$1:$998,COLUMN($O$1),FALSE)*VLOOKUP($D64,素材!$1:$1016,COLUMN($E$1),FALSE)/(LEN(VLOOKUP($D64,素材!$1:$1016,COLUMN($F$1),FALSE)) - LEN(SUBSTITUTE(VLOOKUP($D64,素材!$1:$1016,COLUMN($F$1),FALSE), "・", 0)) + 1), 0)</f>
        <v>0</v>
      </c>
      <c r="AE64">
        <f>IF(ISNUMBER(SEARCH(SUBSTITUTE(AE$1,RIGHT(AE$1,2),""),VLOOKUP($D64,素材!$1:$1016,COLUMN($F$1),FALSE))),VLOOKUP($C64,武器!$1:$998,COLUMN($O$1),FALSE)*VLOOKUP($D64,素材!$1:$1016,COLUMN($E$1),FALSE)/(LEN(VLOOKUP($D64,素材!$1:$1016,COLUMN($F$1),FALSE)) - LEN(SUBSTITUTE(VLOOKUP($D64,素材!$1:$1016,COLUMN($F$1),FALSE), "・", 0)) + 1), 0)</f>
        <v>0</v>
      </c>
      <c r="AF64">
        <f>IF(ISNUMBER(SEARCH(SUBSTITUTE(AF$1,RIGHT(AF$1,2),""),VLOOKUP($D64,素材!$1:$1016,COLUMN($F$1),FALSE))),VLOOKUP($C64,武器!$1:$998,COLUMN($O$1),FALSE)*VLOOKUP($D64,素材!$1:$1016,COLUMN($E$1),FALSE)/(LEN(VLOOKUP($D64,素材!$1:$1016,COLUMN($F$1),FALSE)) - LEN(SUBSTITUTE(VLOOKUP($D64,素材!$1:$1016,COLUMN($F$1),FALSE), "・", 0)) + 1), 0)</f>
        <v>0</v>
      </c>
      <c r="AG64">
        <f>IF(ISNUMBER(SEARCH(SUBSTITUTE(AG$1,RIGHT(AG$1,2),""),VLOOKUP($D64,素材!$1:$1016,COLUMN($F$1),FALSE))),VLOOKUP($C64,武器!$1:$998,COLUMN($O$1),FALSE)*VLOOKUP($D64,素材!$1:$1016,COLUMN($E$1),FALSE)/(LEN(VLOOKUP($D64,素材!$1:$1016,COLUMN($F$1),FALSE)) - LEN(SUBSTITUTE(VLOOKUP($D64,素材!$1:$1016,COLUMN($F$1),FALSE), "・", 0)) + 1), 0)</f>
        <v>0</v>
      </c>
      <c r="AH64">
        <f>IF(ISNUMBER(SEARCH(SUBSTITUTE(AH$1,RIGHT(AH$1,2),""),VLOOKUP($D64,素材!$1:$1016,COLUMN($F$1),FALSE))),VLOOKUP($C64,武器!$1:$998,COLUMN($O$1),FALSE)*VLOOKUP($D64,素材!$1:$1016,COLUMN($E$1),FALSE)/(LEN(VLOOKUP($D64,素材!$1:$1016,COLUMN($F$1),FALSE)) - LEN(SUBSTITUTE(VLOOKUP($D64,素材!$1:$1016,COLUMN($F$1),FALSE), "・", 0)) + 1), 0)</f>
        <v>0</v>
      </c>
      <c r="AI64">
        <f>IF(ISNUMBER(SEARCH(SUBSTITUTE(AI$1,RIGHT(AI$1,2),""),VLOOKUP($D64,素材!$1:$1016,COLUMN($F$1),FALSE))),VLOOKUP($C64,武器!$1:$998,COLUMN($O$1),FALSE)*VLOOKUP($D64,素材!$1:$1016,COLUMN($E$1),FALSE)/(LEN(VLOOKUP($D64,素材!$1:$1016,COLUMN($F$1),FALSE)) - LEN(SUBSTITUTE(VLOOKUP($D64,素材!$1:$1016,COLUMN($F$1),FALSE), "・", 0)) + 1), 0)</f>
        <v>0</v>
      </c>
      <c r="AJ64">
        <f>IF(ISNUMBER(SEARCH(SUBSTITUTE(AJ$1,RIGHT(AJ$1,2),""),VLOOKUP($D64,素材!$1:$1016,COLUMN($F$1),FALSE))),VLOOKUP($C64,武器!$1:$998,COLUMN($O$1),FALSE)*VLOOKUP($D64,素材!$1:$1016,COLUMN($E$1),FALSE)/(LEN(VLOOKUP($D64,素材!$1:$1016,COLUMN($F$1),FALSE)) - LEN(SUBSTITUTE(VLOOKUP($D64,素材!$1:$1016,COLUMN($F$1),FALSE), "・", 0)) + 1), 0)</f>
        <v>0</v>
      </c>
      <c r="AK64">
        <f>IF(ISNUMBER(SEARCH(SUBSTITUTE(AK$1,RIGHT(AK$1,2),""),VLOOKUP($D64,素材!$1:$1016,COLUMN($F$1),FALSE))),VLOOKUP($C64,武器!$1:$998,COLUMN($O$1),FALSE)*VLOOKUP($D64,素材!$1:$1016,COLUMN($E$1),FALSE)/(LEN(VLOOKUP($D64,素材!$1:$1016,COLUMN($F$1),FALSE)) - LEN(SUBSTITUTE(VLOOKUP($D64,素材!$1:$1016,COLUMN($F$1),FALSE), "・", 0)) + 1), 0)</f>
        <v>0</v>
      </c>
      <c r="AL64">
        <f>IF(ISNUMBER(SEARCH(SUBSTITUTE(AL$1,RIGHT(AL$1,2),""),VLOOKUP($D64,素材!$1:$1016,COLUMN($F$1),FALSE))),VLOOKUP($C64,武器!$1:$998,COLUMN($O$1),FALSE)*VLOOKUP($D64,素材!$1:$1016,COLUMN($E$1),FALSE)/(LEN(VLOOKUP($D64,素材!$1:$1016,COLUMN($F$1),FALSE)) - LEN(SUBSTITUTE(VLOOKUP($D64,素材!$1:$1016,COLUMN($F$1),FALSE), "・", 0)) + 1), 0)</f>
        <v>0</v>
      </c>
      <c r="AM64">
        <f>IF(ISNUMBER(SEARCH(SUBSTITUTE(AM$1,RIGHT(AM$1,2),""),VLOOKUP($D64,素材!$1:$1016,COLUMN($F$1),FALSE))),VLOOKUP($C64,武器!$1:$998,COLUMN($O$1),FALSE)*VLOOKUP($D64,素材!$1:$1016,COLUMN($E$1),FALSE)/(LEN(VLOOKUP($D64,素材!$1:$1016,COLUMN($F$1),FALSE)) - LEN(SUBSTITUTE(VLOOKUP($D64,素材!$1:$1016,COLUMN($F$1),FALSE), "・", 0)) + 1), 0)</f>
        <v>0</v>
      </c>
      <c r="AN64">
        <f>IF(ISNUMBER(SEARCH(SUBSTITUTE(AN$1,RIGHT(AN$1,2),""),VLOOKUP($D64,素材!$1:$1016,COLUMN($F$1),FALSE))),VLOOKUP($C64,武器!$1:$998,COLUMN($O$1),FALSE)*VLOOKUP($D64,素材!$1:$1016,COLUMN($E$1),FALSE)/(LEN(VLOOKUP($D64,素材!$1:$1016,COLUMN($F$1),FALSE)) - LEN(SUBSTITUTE(VLOOKUP($D64,素材!$1:$1016,COLUMN($F$1),FALSE), "・", 0)) + 1), 0)</f>
        <v>0</v>
      </c>
      <c r="AO64">
        <f>IF(ISNUMBER(SEARCH(SUBSTITUTE(AO$1,RIGHT(AO$1,2),""),VLOOKUP($D64,素材!$1:$1016,COLUMN($F$1),FALSE))),VLOOKUP($C64,武器!$1:$998,COLUMN($O$1),FALSE)*VLOOKUP($D64,素材!$1:$1016,COLUMN($E$1),FALSE)/(LEN(VLOOKUP($D64,素材!$1:$1016,COLUMN($F$1),FALSE)) - LEN(SUBSTITUTE(VLOOKUP($D64,素材!$1:$1016,COLUMN($F$1),FALSE), "・", 0)) + 1), 0)</f>
        <v>0</v>
      </c>
      <c r="AP64">
        <f>IF(ISNUMBER(SEARCH(SUBSTITUTE(AP$1,RIGHT(AP$1,2),""),VLOOKUP($D64,素材!$1:$1016,COLUMN($F$1),FALSE))),VLOOKUP($C64,武器!$1:$998,COLUMN($O$1),FALSE)*VLOOKUP($D64,素材!$1:$1016,COLUMN($E$1),FALSE)/(LEN(VLOOKUP($D64,素材!$1:$1016,COLUMN($F$1),FALSE)) - LEN(SUBSTITUTE(VLOOKUP($D64,素材!$1:$1016,COLUMN($F$1),FALSE), "・", 0)) + 1), 0)</f>
        <v>0</v>
      </c>
      <c r="AQ64">
        <f>IF(ISNUMBER(SEARCH(SUBSTITUTE(AQ$1,RIGHT(AQ$1,2),""),VLOOKUP($D64,素材!$1:$1016,COLUMN($F$1),FALSE))),VLOOKUP($C64,武器!$1:$998,COLUMN($O$1),FALSE)*VLOOKUP($D64,素材!$1:$1016,COLUMN($E$1),FALSE)/(LEN(VLOOKUP($D64,素材!$1:$1016,COLUMN($F$1),FALSE)) - LEN(SUBSTITUTE(VLOOKUP($D64,素材!$1:$1016,COLUMN($F$1),FALSE), "・", 0)) + 1), 0)</f>
        <v>0</v>
      </c>
      <c r="AR64">
        <f>IF(ISNUMBER(SEARCH(SUBSTITUTE(AR$1,RIGHT(AR$1,2),""),VLOOKUP($D64,素材!$1:$1016,COLUMN($F$1),FALSE))),VLOOKUP($C64,武器!$1:$998,COLUMN($O$1),FALSE)*VLOOKUP($D64,素材!$1:$1016,COLUMN($E$1),FALSE)/(LEN(VLOOKUP($D64,素材!$1:$1016,COLUMN($F$1),FALSE)) - LEN(SUBSTITUTE(VLOOKUP($D64,素材!$1:$1016,COLUMN($F$1),FALSE), "・", 0)) + 1), 0)</f>
        <v>0</v>
      </c>
      <c r="AS64">
        <f>IF(ISNUMBER(SEARCH(SUBSTITUTE(AS$1,RIGHT(AS$1,2),""),VLOOKUP($D64,素材!$1:$1016,COLUMN($F$1),FALSE))),VLOOKUP($C64,武器!$1:$998,COLUMN($O$1),FALSE)*VLOOKUP($D64,素材!$1:$1016,COLUMN($E$1),FALSE)/(LEN(VLOOKUP($D64,素材!$1:$1016,COLUMN($F$1),FALSE)) - LEN(SUBSTITUTE(VLOOKUP($D64,素材!$1:$1016,COLUMN($F$1),FALSE), "・", 0)) + 1), 0)</f>
        <v>0</v>
      </c>
      <c r="AT64">
        <f>IF(ISNUMBER(SEARCH(SUBSTITUTE(AT$1,RIGHT(AT$1,2),""),VLOOKUP($D64,素材!$1:$1016,COLUMN($F$1),FALSE))),VLOOKUP($C64,武器!$1:$998,COLUMN($O$1),FALSE)*VLOOKUP($D64,素材!$1:$1016,COLUMN($E$1),FALSE)/(LEN(VLOOKUP($D64,素材!$1:$1016,COLUMN($F$1),FALSE)) - LEN(SUBSTITUTE(VLOOKUP($D64,素材!$1:$1016,COLUMN($F$1),FALSE), "・", 0)) + 1), 0)</f>
        <v>0</v>
      </c>
      <c r="AU64">
        <f>IF(ISNUMBER(SEARCH(SUBSTITUTE(AU$1,RIGHT(AU$1,2),""),VLOOKUP($D64,素材!$1:$1016,COLUMN($F$1),FALSE))),VLOOKUP($C64,武器!$1:$998,COLUMN($O$1),FALSE)*VLOOKUP($D64,素材!$1:$1016,COLUMN($E$1),FALSE)/(LEN(VLOOKUP($D64,素材!$1:$1016,COLUMN($F$1),FALSE)) - LEN(SUBSTITUTE(VLOOKUP($D64,素材!$1:$1016,COLUMN($F$1),FALSE), "・", 0)) + 1), 0)</f>
        <v>0</v>
      </c>
      <c r="AV64">
        <f>IF(ISNUMBER(SEARCH(SUBSTITUTE(AV$1,RIGHT(AV$1,2),""),VLOOKUP($D64,素材!$1:$1016,COLUMN($F$1),FALSE))),VLOOKUP($C64,武器!$1:$998,COLUMN($O$1),FALSE)*VLOOKUP($D64,素材!$1:$1016,COLUMN($E$1),FALSE)/(LEN(VLOOKUP($D64,素材!$1:$1016,COLUMN($F$1),FALSE)) - LEN(SUBSTITUTE(VLOOKUP($D64,素材!$1:$1016,COLUMN($F$1),FALSE), "・", 0)) + 1), 0)</f>
        <v>0</v>
      </c>
      <c r="AW64">
        <f>IF(ISNUMBER(SEARCH(SUBSTITUTE(AW$1,RIGHT(AW$1,2),""),VLOOKUP($D64,素材!$1:$1016,COLUMN($F$1),FALSE))),VLOOKUP($C64,武器!$1:$998,COLUMN($O$1),FALSE)*VLOOKUP($D64,素材!$1:$1016,COLUMN($E$1),FALSE)/(LEN(VLOOKUP($D64,素材!$1:$1016,COLUMN($F$1),FALSE)) - LEN(SUBSTITUTE(VLOOKUP($D64,素材!$1:$1016,COLUMN($F$1),FALSE), "・", 0)) + 1), 0)</f>
        <v>0</v>
      </c>
      <c r="AX64">
        <f>IF(ISNUMBER(SEARCH(SUBSTITUTE(AX$1,RIGHT(AX$1,2),""),VLOOKUP($D64,素材!$1:$1016,COLUMN($F$1),FALSE))),VLOOKUP($C64,武器!$1:$998,COLUMN($O$1),FALSE)*VLOOKUP($D64,素材!$1:$1016,COLUMN($E$1),FALSE)/(LEN(VLOOKUP($D64,素材!$1:$1016,COLUMN($F$1),FALSE)) - LEN(SUBSTITUTE(VLOOKUP($D64,素材!$1:$1016,COLUMN($F$1),FALSE), "・", 0)) + 1), 0)</f>
        <v>0</v>
      </c>
      <c r="AY64">
        <f>IF(ISNUMBER(SEARCH(SUBSTITUTE(AY$1,RIGHT(AY$1,2),""),VLOOKUP($D64,素材!$1:$1016,COLUMN($F$1),FALSE))),VLOOKUP($C64,武器!$1:$998,COLUMN($O$1),FALSE)*VLOOKUP($D64,素材!$1:$1016,COLUMN($E$1),FALSE)/(LEN(VLOOKUP($D64,素材!$1:$1016,COLUMN($F$1),FALSE)) - LEN(SUBSTITUTE(VLOOKUP($D64,素材!$1:$1016,COLUMN($F$1),FALSE), "・", 0)) + 1), 0)</f>
        <v>0</v>
      </c>
      <c r="AZ64">
        <f>IF(ISNUMBER(SEARCH(SUBSTITUTE(AZ$1,RIGHT(AZ$1,2),""),VLOOKUP($D64,素材!$1:$1016,COLUMN($F$1),FALSE))),VLOOKUP($C64,武器!$1:$998,COLUMN($O$1),FALSE)*VLOOKUP($D64,素材!$1:$1016,COLUMN($E$1),FALSE)/(LEN(VLOOKUP($D64,素材!$1:$1016,COLUMN($F$1),FALSE)) - LEN(SUBSTITUTE(VLOOKUP($D64,素材!$1:$1016,COLUMN($F$1),FALSE), "・", 0)) + 1), 0)</f>
        <v>0</v>
      </c>
      <c r="BA64">
        <f>IF(ISNUMBER(SEARCH(SUBSTITUTE(BA$1,RIGHT(BA$1,2),""),VLOOKUP($D64,素材!$1:$1016,COLUMN($F$1),FALSE))),VLOOKUP($C64,武器!$1:$998,COLUMN($O$1),FALSE)*VLOOKUP($D64,素材!$1:$1016,COLUMN($E$1),FALSE)/(LEN(VLOOKUP($D64,素材!$1:$1016,COLUMN($F$1),FALSE)) - LEN(SUBSTITUTE(VLOOKUP($D64,素材!$1:$1016,COLUMN($F$1),FALSE), "・", 0)) + 1), 0)</f>
        <v>0</v>
      </c>
      <c r="BB64">
        <f>IF(ISNUMBER(SEARCH(SUBSTITUTE(BB$1,RIGHT(BB$1,2),""),VLOOKUP($D64,素材!$1:$1016,COLUMN($F$1),FALSE))),VLOOKUP($C64,武器!$1:$998,COLUMN($O$1),FALSE)*VLOOKUP($D64,素材!$1:$1016,COLUMN($E$1),FALSE)/(LEN(VLOOKUP($D64,素材!$1:$1016,COLUMN($F$1),FALSE)) - LEN(SUBSTITUTE(VLOOKUP($D64,素材!$1:$1016,COLUMN($F$1),FALSE), "・", 0)) + 1), 0)</f>
        <v>0</v>
      </c>
      <c r="BC64">
        <f>IF(ISNUMBER(SEARCH(SUBSTITUTE(BC$1,RIGHT(BC$1,2),""),VLOOKUP($D64,素材!$1:$1016,COLUMN($F$1),FALSE))),VLOOKUP($C64,武器!$1:$998,COLUMN($O$1),FALSE)*VLOOKUP($D64,素材!$1:$1016,COLUMN($E$1),FALSE)/(LEN(VLOOKUP($D64,素材!$1:$1016,COLUMN($F$1),FALSE)) - LEN(SUBSTITUTE(VLOOKUP($D64,素材!$1:$1016,COLUMN($F$1),FALSE), "・", 0)) + 1), 0)</f>
        <v>0</v>
      </c>
      <c r="BD64">
        <f>IF(ISNUMBER(SEARCH(SUBSTITUTE(BD$1,RIGHT(BD$1,2),""),VLOOKUP($D64,素材!$1:$1016,COLUMN($F$1),FALSE))),VLOOKUP($C64,武器!$1:$998,COLUMN($O$1),FALSE)*VLOOKUP($D64,素材!$1:$1016,COLUMN($E$1),FALSE)/(LEN(VLOOKUP($D64,素材!$1:$1016,COLUMN($F$1),FALSE)) - LEN(SUBSTITUTE(VLOOKUP($D64,素材!$1:$1016,COLUMN($F$1),FALSE), "・", 0)) + 1), 0)</f>
        <v>0</v>
      </c>
      <c r="BE64">
        <f>IF(ISNUMBER(SEARCH(SUBSTITUTE(BE$1,RIGHT(BE$1,2),""),VLOOKUP($D64,素材!$1:$1016,COLUMN($F$1),FALSE))),VLOOKUP($C64,武器!$1:$998,COLUMN($O$1),FALSE)*VLOOKUP($D64,素材!$1:$1016,COLUMN($E$1),FALSE)/(LEN(VLOOKUP($D64,素材!$1:$1016,COLUMN($F$1),FALSE)) - LEN(SUBSTITUTE(VLOOKUP($D64,素材!$1:$1016,COLUMN($F$1),FALSE), "・", 0)) + 1), 0)</f>
        <v>0</v>
      </c>
      <c r="CL64">
        <f>SUM(G64:I64)</f>
        <v>6</v>
      </c>
      <c r="CM64" s="22" t="str">
        <f>IF(E64="武器",IF(J64-1&gt;SUM(G64:I64),"盾",IF(MAX(G64:I64)=G64,"切断",IF(MAX(G64:I64)=H64,"貫通",IF(MAX(G64:I64)=I64,"打撃","射撃")))),E64)&amp;".webp"</f>
        <v>切断.webp</v>
      </c>
      <c r="CN64">
        <f>IFERROR(VLOOKUP($C64,武器!$1:$998,COLUMN(V$1),FALSE)*VLOOKUP($D64,素材!$1:$1016,COLUMN(N$1),FALSE)+IF(CI64="",0,VLOOKUP($CI64,装強!$1:$1008,COLUMN($CK$1),FALSE)),"")</f>
        <v>150</v>
      </c>
      <c r="CO64" t="str">
        <f>VLOOKUP(D64,素材!$A:$O,COLUMN(素材!O$1),FALSE)</f>
        <v>一般的な木材。金属より軽いが少し脆い</v>
      </c>
      <c r="CP64" t="str">
        <f>VLOOKUP(C64,武器!$A:$W,COLUMN(武器!W$1),FALSE)</f>
        <v>短弓。軽量で扱いやすい遠距離武器。</v>
      </c>
      <c r="CR64" t="str">
        <f t="shared" si="1"/>
        <v>e_64</v>
      </c>
      <c r="CS64">
        <f t="shared" si="2"/>
        <v>15000</v>
      </c>
    </row>
    <row r="65" spans="1:97" outlineLevel="1" x14ac:dyDescent="0.4">
      <c r="A65" t="str">
        <f t="shared" si="3"/>
        <v>木の長弓</v>
      </c>
      <c r="B65" t="str">
        <f>IFERROR(VLOOKUP($D65,素材!$1:$1016,COLUMN($B$1),FALSE)&amp;"・"&amp;VLOOKUP($C65,武器!$1:$998,COLUMN(B$1),FALSE),"")</f>
        <v>ウッド・ロングボウ</v>
      </c>
      <c r="C65" t="s">
        <v>217</v>
      </c>
      <c r="D65" s="24" t="s">
        <v>255</v>
      </c>
      <c r="E65" t="str">
        <f>IFERROR(VLOOKUP(C65,武器!$1:$998,COLUMN(C$1),FALSE),"")</f>
        <v>武器</v>
      </c>
      <c r="F65">
        <f>IFERROR(ROUNDDOWN((VLOOKUP($C65,武器!$1:$998,COLUMN(D$1),FALSE)+IFERROR(VLOOKUP($CI65,装強!$1:$999,COLUMN(F$1),FALSE),0))*VLOOKUP($D65,素材!$1:$1016,COLUMN(D$1),FALSE),0),"")</f>
        <v>90</v>
      </c>
      <c r="G65">
        <f>IFERROR(ROUNDDOWN((VLOOKUP($C65,武器!$1:$998,COLUMN(E$1),FALSE)+IFERROR(VLOOKUP($CI65,装強!$1:$999,COLUMN(G$1),FALSE),0))*VLOOKUP($D65,素材!$1:$1016,COLUMN($E$1),FALSE),0),"")</f>
        <v>3</v>
      </c>
      <c r="H65">
        <f>IFERROR(ROUNDDOWN((VLOOKUP($C65,武器!$1:$998,COLUMN(F$1),FALSE)+IFERROR(VLOOKUP($CI65,装強!$1:$999,COLUMN(H$1),FALSE),0))*VLOOKUP($D65,素材!$1:$1016,COLUMN($E$1),FALSE),0),"")</f>
        <v>3</v>
      </c>
      <c r="I65">
        <f>IFERROR(ROUNDDOWN((VLOOKUP($C65,武器!$1:$998,COLUMN(G$1),FALSE)+IFERROR(VLOOKUP($CI65,装強!$1:$999,COLUMN(I$1),FALSE),0))*VLOOKUP($D65,素材!$1:$1016,COLUMN($E$1),FALSE),0),"")</f>
        <v>0</v>
      </c>
      <c r="J65">
        <f>IFERROR(ROUNDDOWN((VLOOKUP($C65,武器!$1:$998,COLUMN(H$1),FALSE)+IFERROR(VLOOKUP($CI65,装強!$1:$999,COLUMN(J$1),FALSE),0))*VLOOKUP($D65,素材!$1:$1016,COLUMN($E$1),FALSE),0),"")</f>
        <v>0</v>
      </c>
      <c r="K65">
        <f>IFERROR(ROUNDDOWN((VLOOKUP($C65,武器!$1:$998,COLUMN(I$1),FALSE)+IFERROR(VLOOKUP($CI65,装強!$1:$999,COLUMN(K$1),FALSE),0))*VLOOKUP($D65,素材!$1:$1016,COLUMN($E$1),FALSE),0),"")</f>
        <v>17</v>
      </c>
      <c r="L65">
        <f>IFERROR(VLOOKUP($D65,素材!$1:$1016,COLUMN($F$1),FALSE),"")</f>
        <v>0</v>
      </c>
      <c r="M65">
        <f>IFERROR(VLOOKUP($C65,武器!$1:$998,COLUMN(AA$1),FALSE)*VLOOKUP($D65,素材!$1:$1016,COLUMN($G$1),FALSE),"")</f>
        <v>0</v>
      </c>
      <c r="N65">
        <f>IFERROR(VLOOKUP($C65,武器!$1:$998,COLUMN(I$1),FALSE),"")</f>
        <v>1.1499999999999999</v>
      </c>
      <c r="O65" s="23">
        <f>IFERROR((VLOOKUP($C65,武器!$1:$998,COLUMN(K$1),FALSE)+VLOOKUP($D65,素材!$1:$1016,COLUMN(H$1),FALSE))*100+IFERROR(VLOOKUP($CI65,装強!$1:$999,COLUMN(O$1),FALSE),0),"")</f>
        <v>10</v>
      </c>
      <c r="P65" s="23">
        <f>IFERROR((VLOOKUP($C65,武器!$1:$998,COLUMN(L$1),FALSE)+VLOOKUP($D65,素材!$1:$1016,COLUMN(I$1),FALSE))*100+IFERROR(VLOOKUP($CI65,装強!$1:$999,COLUMN(P$1),FALSE),0),"")</f>
        <v>130</v>
      </c>
      <c r="Q65">
        <f>IFERROR(ROUNDUP(VLOOKUP($C65,武器!$1:$998,COLUMN(M$1),FALSE)*(VLOOKUP($D65,素材!$1:$1002,COLUMN(D$1),FALSE)/100),1),"")</f>
        <v>-3.8000000000000003</v>
      </c>
      <c r="R65">
        <f>IFERROR(ROUNDUP(VLOOKUP($C65,武器!$1:$998,COLUMN(N$1),FALSE)*(VLOOKUP($D65,素材!$1:$1002,COLUMN(D$1),FALSE)/100),1),"")</f>
        <v>-1.9000000000000001</v>
      </c>
      <c r="S65">
        <f>IFERROR(VLOOKUP($C65,武器!$1:$998,COLUMN(P$1),FALSE),"")</f>
        <v>2</v>
      </c>
      <c r="T65">
        <f>IFERROR(VLOOKUP($C65,武器!$1:$998,COLUMN(Q$1),FALSE),"")</f>
        <v>0</v>
      </c>
      <c r="U65">
        <f>IFERROR(VLOOKUP($C65,武器!$1:$998,COLUMN(R$1),FALSE),"")</f>
        <v>0</v>
      </c>
      <c r="V65">
        <f>IFERROR(VLOOKUP($C65,武器!$1:$998,COLUMN(Q$1),FALSE),"")</f>
        <v>0</v>
      </c>
      <c r="W65" t="str">
        <f>IFERROR(VLOOKUP($C65,武器!$1:$998,COLUMN(T$1),FALSE),"")</f>
        <v>A</v>
      </c>
      <c r="Y65">
        <f>IFERROR(VLOOKUP($C65,武器!$1:$998,COLUMN(U$1),FALSE),"")</f>
        <v>0</v>
      </c>
      <c r="Z65">
        <f>IFERROR(ROUNDUP(VLOOKUP($C65,武器!$1:$998,COLUMN(O$1),FALSE)*VLOOKUP($D65,素材!$1:$1016,COLUMN(E$1),FALSE),1),"")</f>
        <v>0</v>
      </c>
      <c r="AA65">
        <f>IF(ISNUMBER(SEARCH(SUBSTITUTE(AA$1,RIGHT(AA$1,2),""),VLOOKUP($D65,素材!$1:$1016,COLUMN($F$1),FALSE))),VLOOKUP($C65,武器!$1:$998,COLUMN($O$1),FALSE)*VLOOKUP($D65,素材!$1:$1016,COLUMN($E$1),FALSE)/(LEN(VLOOKUP($D65,素材!$1:$1016,COLUMN($F$1),FALSE)) - LEN(SUBSTITUTE(VLOOKUP($D65,素材!$1:$1016,COLUMN($F$1),FALSE), "・", 0)) + 1), 0)</f>
        <v>0</v>
      </c>
      <c r="AB65">
        <f>IF(ISNUMBER(SEARCH(SUBSTITUTE(AB$1,RIGHT(AB$1,2),""),VLOOKUP($D65,素材!$1:$1016,COLUMN($F$1),FALSE))),VLOOKUP($C65,武器!$1:$998,COLUMN($O$1),FALSE)*VLOOKUP($D65,素材!$1:$1016,COLUMN($E$1),FALSE)/(LEN(VLOOKUP($D65,素材!$1:$1016,COLUMN($F$1),FALSE)) - LEN(SUBSTITUTE(VLOOKUP($D65,素材!$1:$1016,COLUMN($F$1),FALSE), "・", 0)) + 1), 0)</f>
        <v>0</v>
      </c>
      <c r="AC65">
        <f>IF(ISNUMBER(SEARCH(SUBSTITUTE(AC$1,RIGHT(AC$1,2),""),VLOOKUP($D65,素材!$1:$1016,COLUMN($F$1),FALSE))),VLOOKUP($C65,武器!$1:$998,COLUMN($O$1),FALSE)*VLOOKUP($D65,素材!$1:$1016,COLUMN($E$1),FALSE)/(LEN(VLOOKUP($D65,素材!$1:$1016,COLUMN($F$1),FALSE)) - LEN(SUBSTITUTE(VLOOKUP($D65,素材!$1:$1016,COLUMN($F$1),FALSE), "・", 0)) + 1), 0)</f>
        <v>0</v>
      </c>
      <c r="AD65">
        <f>IF(ISNUMBER(SEARCH(SUBSTITUTE(AD$1,RIGHT(AD$1,2),""),VLOOKUP($D65,素材!$1:$1016,COLUMN($F$1),FALSE))),VLOOKUP($C65,武器!$1:$998,COLUMN($O$1),FALSE)*VLOOKUP($D65,素材!$1:$1016,COLUMN($E$1),FALSE)/(LEN(VLOOKUP($D65,素材!$1:$1016,COLUMN($F$1),FALSE)) - LEN(SUBSTITUTE(VLOOKUP($D65,素材!$1:$1016,COLUMN($F$1),FALSE), "・", 0)) + 1), 0)</f>
        <v>0</v>
      </c>
      <c r="AE65">
        <f>IF(ISNUMBER(SEARCH(SUBSTITUTE(AE$1,RIGHT(AE$1,2),""),VLOOKUP($D65,素材!$1:$1016,COLUMN($F$1),FALSE))),VLOOKUP($C65,武器!$1:$998,COLUMN($O$1),FALSE)*VLOOKUP($D65,素材!$1:$1016,COLUMN($E$1),FALSE)/(LEN(VLOOKUP($D65,素材!$1:$1016,COLUMN($F$1),FALSE)) - LEN(SUBSTITUTE(VLOOKUP($D65,素材!$1:$1016,COLUMN($F$1),FALSE), "・", 0)) + 1), 0)</f>
        <v>0</v>
      </c>
      <c r="AF65">
        <f>IF(ISNUMBER(SEARCH(SUBSTITUTE(AF$1,RIGHT(AF$1,2),""),VLOOKUP($D65,素材!$1:$1016,COLUMN($F$1),FALSE))),VLOOKUP($C65,武器!$1:$998,COLUMN($O$1),FALSE)*VLOOKUP($D65,素材!$1:$1016,COLUMN($E$1),FALSE)/(LEN(VLOOKUP($D65,素材!$1:$1016,COLUMN($F$1),FALSE)) - LEN(SUBSTITUTE(VLOOKUP($D65,素材!$1:$1016,COLUMN($F$1),FALSE), "・", 0)) + 1), 0)</f>
        <v>0</v>
      </c>
      <c r="AG65">
        <f>IF(ISNUMBER(SEARCH(SUBSTITUTE(AG$1,RIGHT(AG$1,2),""),VLOOKUP($D65,素材!$1:$1016,COLUMN($F$1),FALSE))),VLOOKUP($C65,武器!$1:$998,COLUMN($O$1),FALSE)*VLOOKUP($D65,素材!$1:$1016,COLUMN($E$1),FALSE)/(LEN(VLOOKUP($D65,素材!$1:$1016,COLUMN($F$1),FALSE)) - LEN(SUBSTITUTE(VLOOKUP($D65,素材!$1:$1016,COLUMN($F$1),FALSE), "・", 0)) + 1), 0)</f>
        <v>0</v>
      </c>
      <c r="AH65">
        <f>IF(ISNUMBER(SEARCH(SUBSTITUTE(AH$1,RIGHT(AH$1,2),""),VLOOKUP($D65,素材!$1:$1016,COLUMN($F$1),FALSE))),VLOOKUP($C65,武器!$1:$998,COLUMN($O$1),FALSE)*VLOOKUP($D65,素材!$1:$1016,COLUMN($E$1),FALSE)/(LEN(VLOOKUP($D65,素材!$1:$1016,COLUMN($F$1),FALSE)) - LEN(SUBSTITUTE(VLOOKUP($D65,素材!$1:$1016,COLUMN($F$1),FALSE), "・", 0)) + 1), 0)</f>
        <v>0</v>
      </c>
      <c r="AI65">
        <f>IF(ISNUMBER(SEARCH(SUBSTITUTE(AI$1,RIGHT(AI$1,2),""),VLOOKUP($D65,素材!$1:$1016,COLUMN($F$1),FALSE))),VLOOKUP($C65,武器!$1:$998,COLUMN($O$1),FALSE)*VLOOKUP($D65,素材!$1:$1016,COLUMN($E$1),FALSE)/(LEN(VLOOKUP($D65,素材!$1:$1016,COLUMN($F$1),FALSE)) - LEN(SUBSTITUTE(VLOOKUP($D65,素材!$1:$1016,COLUMN($F$1),FALSE), "・", 0)) + 1), 0)</f>
        <v>0</v>
      </c>
      <c r="AJ65">
        <f>IF(ISNUMBER(SEARCH(SUBSTITUTE(AJ$1,RIGHT(AJ$1,2),""),VLOOKUP($D65,素材!$1:$1016,COLUMN($F$1),FALSE))),VLOOKUP($C65,武器!$1:$998,COLUMN($O$1),FALSE)*VLOOKUP($D65,素材!$1:$1016,COLUMN($E$1),FALSE)/(LEN(VLOOKUP($D65,素材!$1:$1016,COLUMN($F$1),FALSE)) - LEN(SUBSTITUTE(VLOOKUP($D65,素材!$1:$1016,COLUMN($F$1),FALSE), "・", 0)) + 1), 0)</f>
        <v>0</v>
      </c>
      <c r="AK65">
        <f>IF(ISNUMBER(SEARCH(SUBSTITUTE(AK$1,RIGHT(AK$1,2),""),VLOOKUP($D65,素材!$1:$1016,COLUMN($F$1),FALSE))),VLOOKUP($C65,武器!$1:$998,COLUMN($O$1),FALSE)*VLOOKUP($D65,素材!$1:$1016,COLUMN($E$1),FALSE)/(LEN(VLOOKUP($D65,素材!$1:$1016,COLUMN($F$1),FALSE)) - LEN(SUBSTITUTE(VLOOKUP($D65,素材!$1:$1016,COLUMN($F$1),FALSE), "・", 0)) + 1), 0)</f>
        <v>0</v>
      </c>
      <c r="AL65">
        <f>IF(ISNUMBER(SEARCH(SUBSTITUTE(AL$1,RIGHT(AL$1,2),""),VLOOKUP($D65,素材!$1:$1016,COLUMN($F$1),FALSE))),VLOOKUP($C65,武器!$1:$998,COLUMN($O$1),FALSE)*VLOOKUP($D65,素材!$1:$1016,COLUMN($E$1),FALSE)/(LEN(VLOOKUP($D65,素材!$1:$1016,COLUMN($F$1),FALSE)) - LEN(SUBSTITUTE(VLOOKUP($D65,素材!$1:$1016,COLUMN($F$1),FALSE), "・", 0)) + 1), 0)</f>
        <v>0</v>
      </c>
      <c r="AM65">
        <f>IF(ISNUMBER(SEARCH(SUBSTITUTE(AM$1,RIGHT(AM$1,2),""),VLOOKUP($D65,素材!$1:$1016,COLUMN($F$1),FALSE))),VLOOKUP($C65,武器!$1:$998,COLUMN($O$1),FALSE)*VLOOKUP($D65,素材!$1:$1016,COLUMN($E$1),FALSE)/(LEN(VLOOKUP($D65,素材!$1:$1016,COLUMN($F$1),FALSE)) - LEN(SUBSTITUTE(VLOOKUP($D65,素材!$1:$1016,COLUMN($F$1),FALSE), "・", 0)) + 1), 0)</f>
        <v>0</v>
      </c>
      <c r="AN65">
        <f>IF(ISNUMBER(SEARCH(SUBSTITUTE(AN$1,RIGHT(AN$1,2),""),VLOOKUP($D65,素材!$1:$1016,COLUMN($F$1),FALSE))),VLOOKUP($C65,武器!$1:$998,COLUMN($O$1),FALSE)*VLOOKUP($D65,素材!$1:$1016,COLUMN($E$1),FALSE)/(LEN(VLOOKUP($D65,素材!$1:$1016,COLUMN($F$1),FALSE)) - LEN(SUBSTITUTE(VLOOKUP($D65,素材!$1:$1016,COLUMN($F$1),FALSE), "・", 0)) + 1), 0)</f>
        <v>0</v>
      </c>
      <c r="AO65">
        <f>IF(ISNUMBER(SEARCH(SUBSTITUTE(AO$1,RIGHT(AO$1,2),""),VLOOKUP($D65,素材!$1:$1016,COLUMN($F$1),FALSE))),VLOOKUP($C65,武器!$1:$998,COLUMN($O$1),FALSE)*VLOOKUP($D65,素材!$1:$1016,COLUMN($E$1),FALSE)/(LEN(VLOOKUP($D65,素材!$1:$1016,COLUMN($F$1),FALSE)) - LEN(SUBSTITUTE(VLOOKUP($D65,素材!$1:$1016,COLUMN($F$1),FALSE), "・", 0)) + 1), 0)</f>
        <v>0</v>
      </c>
      <c r="AP65">
        <f>IF(ISNUMBER(SEARCH(SUBSTITUTE(AP$1,RIGHT(AP$1,2),""),VLOOKUP($D65,素材!$1:$1016,COLUMN($F$1),FALSE))),VLOOKUP($C65,武器!$1:$998,COLUMN($O$1),FALSE)*VLOOKUP($D65,素材!$1:$1016,COLUMN($E$1),FALSE)/(LEN(VLOOKUP($D65,素材!$1:$1016,COLUMN($F$1),FALSE)) - LEN(SUBSTITUTE(VLOOKUP($D65,素材!$1:$1016,COLUMN($F$1),FALSE), "・", 0)) + 1), 0)</f>
        <v>0</v>
      </c>
      <c r="AQ65">
        <f>IF(ISNUMBER(SEARCH(SUBSTITUTE(AQ$1,RIGHT(AQ$1,2),""),VLOOKUP($D65,素材!$1:$1016,COLUMN($F$1),FALSE))),VLOOKUP($C65,武器!$1:$998,COLUMN($O$1),FALSE)*VLOOKUP($D65,素材!$1:$1016,COLUMN($E$1),FALSE)/(LEN(VLOOKUP($D65,素材!$1:$1016,COLUMN($F$1),FALSE)) - LEN(SUBSTITUTE(VLOOKUP($D65,素材!$1:$1016,COLUMN($F$1),FALSE), "・", 0)) + 1), 0)</f>
        <v>0</v>
      </c>
      <c r="AR65">
        <f>IF(ISNUMBER(SEARCH(SUBSTITUTE(AR$1,RIGHT(AR$1,2),""),VLOOKUP($D65,素材!$1:$1016,COLUMN($F$1),FALSE))),VLOOKUP($C65,武器!$1:$998,COLUMN($O$1),FALSE)*VLOOKUP($D65,素材!$1:$1016,COLUMN($E$1),FALSE)/(LEN(VLOOKUP($D65,素材!$1:$1016,COLUMN($F$1),FALSE)) - LEN(SUBSTITUTE(VLOOKUP($D65,素材!$1:$1016,COLUMN($F$1),FALSE), "・", 0)) + 1), 0)</f>
        <v>0</v>
      </c>
      <c r="AS65">
        <f>IF(ISNUMBER(SEARCH(SUBSTITUTE(AS$1,RIGHT(AS$1,2),""),VLOOKUP($D65,素材!$1:$1016,COLUMN($F$1),FALSE))),VLOOKUP($C65,武器!$1:$998,COLUMN($O$1),FALSE)*VLOOKUP($D65,素材!$1:$1016,COLUMN($E$1),FALSE)/(LEN(VLOOKUP($D65,素材!$1:$1016,COLUMN($F$1),FALSE)) - LEN(SUBSTITUTE(VLOOKUP($D65,素材!$1:$1016,COLUMN($F$1),FALSE), "・", 0)) + 1), 0)</f>
        <v>0</v>
      </c>
      <c r="AT65">
        <f>IF(ISNUMBER(SEARCH(SUBSTITUTE(AT$1,RIGHT(AT$1,2),""),VLOOKUP($D65,素材!$1:$1016,COLUMN($F$1),FALSE))),VLOOKUP($C65,武器!$1:$998,COLUMN($O$1),FALSE)*VLOOKUP($D65,素材!$1:$1016,COLUMN($E$1),FALSE)/(LEN(VLOOKUP($D65,素材!$1:$1016,COLUMN($F$1),FALSE)) - LEN(SUBSTITUTE(VLOOKUP($D65,素材!$1:$1016,COLUMN($F$1),FALSE), "・", 0)) + 1), 0)</f>
        <v>0</v>
      </c>
      <c r="AU65">
        <f>IF(ISNUMBER(SEARCH(SUBSTITUTE(AU$1,RIGHT(AU$1,2),""),VLOOKUP($D65,素材!$1:$1016,COLUMN($F$1),FALSE))),VLOOKUP($C65,武器!$1:$998,COLUMN($O$1),FALSE)*VLOOKUP($D65,素材!$1:$1016,COLUMN($E$1),FALSE)/(LEN(VLOOKUP($D65,素材!$1:$1016,COLUMN($F$1),FALSE)) - LEN(SUBSTITUTE(VLOOKUP($D65,素材!$1:$1016,COLUMN($F$1),FALSE), "・", 0)) + 1), 0)</f>
        <v>0</v>
      </c>
      <c r="AV65">
        <f>IF(ISNUMBER(SEARCH(SUBSTITUTE(AV$1,RIGHT(AV$1,2),""),VLOOKUP($D65,素材!$1:$1016,COLUMN($F$1),FALSE))),VLOOKUP($C65,武器!$1:$998,COLUMN($O$1),FALSE)*VLOOKUP($D65,素材!$1:$1016,COLUMN($E$1),FALSE)/(LEN(VLOOKUP($D65,素材!$1:$1016,COLUMN($F$1),FALSE)) - LEN(SUBSTITUTE(VLOOKUP($D65,素材!$1:$1016,COLUMN($F$1),FALSE), "・", 0)) + 1), 0)</f>
        <v>0</v>
      </c>
      <c r="AW65">
        <f>IF(ISNUMBER(SEARCH(SUBSTITUTE(AW$1,RIGHT(AW$1,2),""),VLOOKUP($D65,素材!$1:$1016,COLUMN($F$1),FALSE))),VLOOKUP($C65,武器!$1:$998,COLUMN($O$1),FALSE)*VLOOKUP($D65,素材!$1:$1016,COLUMN($E$1),FALSE)/(LEN(VLOOKUP($D65,素材!$1:$1016,COLUMN($F$1),FALSE)) - LEN(SUBSTITUTE(VLOOKUP($D65,素材!$1:$1016,COLUMN($F$1),FALSE), "・", 0)) + 1), 0)</f>
        <v>0</v>
      </c>
      <c r="AX65">
        <f>IF(ISNUMBER(SEARCH(SUBSTITUTE(AX$1,RIGHT(AX$1,2),""),VLOOKUP($D65,素材!$1:$1016,COLUMN($F$1),FALSE))),VLOOKUP($C65,武器!$1:$998,COLUMN($O$1),FALSE)*VLOOKUP($D65,素材!$1:$1016,COLUMN($E$1),FALSE)/(LEN(VLOOKUP($D65,素材!$1:$1016,COLUMN($F$1),FALSE)) - LEN(SUBSTITUTE(VLOOKUP($D65,素材!$1:$1016,COLUMN($F$1),FALSE), "・", 0)) + 1), 0)</f>
        <v>0</v>
      </c>
      <c r="AY65">
        <f>IF(ISNUMBER(SEARCH(SUBSTITUTE(AY$1,RIGHT(AY$1,2),""),VLOOKUP($D65,素材!$1:$1016,COLUMN($F$1),FALSE))),VLOOKUP($C65,武器!$1:$998,COLUMN($O$1),FALSE)*VLOOKUP($D65,素材!$1:$1016,COLUMN($E$1),FALSE)/(LEN(VLOOKUP($D65,素材!$1:$1016,COLUMN($F$1),FALSE)) - LEN(SUBSTITUTE(VLOOKUP($D65,素材!$1:$1016,COLUMN($F$1),FALSE), "・", 0)) + 1), 0)</f>
        <v>0</v>
      </c>
      <c r="AZ65">
        <f>IF(ISNUMBER(SEARCH(SUBSTITUTE(AZ$1,RIGHT(AZ$1,2),""),VLOOKUP($D65,素材!$1:$1016,COLUMN($F$1),FALSE))),VLOOKUP($C65,武器!$1:$998,COLUMN($O$1),FALSE)*VLOOKUP($D65,素材!$1:$1016,COLUMN($E$1),FALSE)/(LEN(VLOOKUP($D65,素材!$1:$1016,COLUMN($F$1),FALSE)) - LEN(SUBSTITUTE(VLOOKUP($D65,素材!$1:$1016,COLUMN($F$1),FALSE), "・", 0)) + 1), 0)</f>
        <v>0</v>
      </c>
      <c r="BA65">
        <f>IF(ISNUMBER(SEARCH(SUBSTITUTE(BA$1,RIGHT(BA$1,2),""),VLOOKUP($D65,素材!$1:$1016,COLUMN($F$1),FALSE))),VLOOKUP($C65,武器!$1:$998,COLUMN($O$1),FALSE)*VLOOKUP($D65,素材!$1:$1016,COLUMN($E$1),FALSE)/(LEN(VLOOKUP($D65,素材!$1:$1016,COLUMN($F$1),FALSE)) - LEN(SUBSTITUTE(VLOOKUP($D65,素材!$1:$1016,COLUMN($F$1),FALSE), "・", 0)) + 1), 0)</f>
        <v>0</v>
      </c>
      <c r="BB65">
        <f>IF(ISNUMBER(SEARCH(SUBSTITUTE(BB$1,RIGHT(BB$1,2),""),VLOOKUP($D65,素材!$1:$1016,COLUMN($F$1),FALSE))),VLOOKUP($C65,武器!$1:$998,COLUMN($O$1),FALSE)*VLOOKUP($D65,素材!$1:$1016,COLUMN($E$1),FALSE)/(LEN(VLOOKUP($D65,素材!$1:$1016,COLUMN($F$1),FALSE)) - LEN(SUBSTITUTE(VLOOKUP($D65,素材!$1:$1016,COLUMN($F$1),FALSE), "・", 0)) + 1), 0)</f>
        <v>0</v>
      </c>
      <c r="BC65">
        <f>IF(ISNUMBER(SEARCH(SUBSTITUTE(BC$1,RIGHT(BC$1,2),""),VLOOKUP($D65,素材!$1:$1016,COLUMN($F$1),FALSE))),VLOOKUP($C65,武器!$1:$998,COLUMN($O$1),FALSE)*VLOOKUP($D65,素材!$1:$1016,COLUMN($E$1),FALSE)/(LEN(VLOOKUP($D65,素材!$1:$1016,COLUMN($F$1),FALSE)) - LEN(SUBSTITUTE(VLOOKUP($D65,素材!$1:$1016,COLUMN($F$1),FALSE), "・", 0)) + 1), 0)</f>
        <v>0</v>
      </c>
      <c r="BD65">
        <f>IF(ISNUMBER(SEARCH(SUBSTITUTE(BD$1,RIGHT(BD$1,2),""),VLOOKUP($D65,素材!$1:$1016,COLUMN($F$1),FALSE))),VLOOKUP($C65,武器!$1:$998,COLUMN($O$1),FALSE)*VLOOKUP($D65,素材!$1:$1016,COLUMN($E$1),FALSE)/(LEN(VLOOKUP($D65,素材!$1:$1016,COLUMN($F$1),FALSE)) - LEN(SUBSTITUTE(VLOOKUP($D65,素材!$1:$1016,COLUMN($F$1),FALSE), "・", 0)) + 1), 0)</f>
        <v>0</v>
      </c>
      <c r="BE65">
        <f>IF(ISNUMBER(SEARCH(SUBSTITUTE(BE$1,RIGHT(BE$1,2),""),VLOOKUP($D65,素材!$1:$1016,COLUMN($F$1),FALSE))),VLOOKUP($C65,武器!$1:$998,COLUMN($O$1),FALSE)*VLOOKUP($D65,素材!$1:$1016,COLUMN($E$1),FALSE)/(LEN(VLOOKUP($D65,素材!$1:$1016,COLUMN($F$1),FALSE)) - LEN(SUBSTITUTE(VLOOKUP($D65,素材!$1:$1016,COLUMN($F$1),FALSE), "・", 0)) + 1), 0)</f>
        <v>0</v>
      </c>
      <c r="CL65">
        <f>SUM(G65:I65)</f>
        <v>6</v>
      </c>
      <c r="CM65" s="22" t="str">
        <f>IF(E65="武器",IF(J65-1&gt;SUM(G65:I65),"盾",IF(MAX(G65:I65)=G65,"切断",IF(MAX(G65:I65)=H65,"貫通",IF(MAX(G65:I65)=I65,"打撃","射撃")))),E65)&amp;".webp"</f>
        <v>切断.webp</v>
      </c>
      <c r="CN65">
        <f>IFERROR(VLOOKUP($C65,武器!$1:$998,COLUMN(V$1),FALSE)*VLOOKUP($D65,素材!$1:$1016,COLUMN(N$1),FALSE)+IF(CI65="",0,VLOOKUP($CI65,装強!$1:$1008,COLUMN($CK$1),FALSE)),"")</f>
        <v>200</v>
      </c>
      <c r="CO65" t="str">
        <f>VLOOKUP(D65,素材!$A:$O,COLUMN(素材!O$1),FALSE)</f>
        <v>一般的な木材。金属より軽いが少し脆い</v>
      </c>
      <c r="CP65" t="str">
        <f>VLOOKUP(C65,武器!$A:$W,COLUMN(武器!W$1),FALSE)</f>
        <v>長弓。射程が長く、高い威力を持つ。</v>
      </c>
      <c r="CR65" t="str">
        <f t="shared" si="1"/>
        <v>e_65</v>
      </c>
      <c r="CS65">
        <f t="shared" si="2"/>
        <v>20000</v>
      </c>
    </row>
    <row r="66" spans="1:97" outlineLevel="1" x14ac:dyDescent="0.4">
      <c r="A66" t="str">
        <f t="shared" si="3"/>
        <v>木の杖</v>
      </c>
      <c r="B66" t="str">
        <f>IFERROR(VLOOKUP($D66,素材!$1:$1016,COLUMN($B$1),FALSE)&amp;"・"&amp;VLOOKUP($C66,武器!$1:$998,COLUMN(B$1),FALSE),"")</f>
        <v>ウッド・ロッド</v>
      </c>
      <c r="C66" t="s">
        <v>216</v>
      </c>
      <c r="D66" s="24" t="s">
        <v>255</v>
      </c>
      <c r="E66" t="str">
        <f>IFERROR(VLOOKUP(C66,武器!$1:$998,COLUMN(C$1),FALSE),"")</f>
        <v>杖</v>
      </c>
      <c r="F66">
        <f>IFERROR(ROUNDDOWN((VLOOKUP($C66,武器!$1:$998,COLUMN(D$1),FALSE)+IFERROR(VLOOKUP($CI66,装強!$1:$999,COLUMN(F$1),FALSE),0))*VLOOKUP($D66,素材!$1:$1016,COLUMN(D$1),FALSE),0),"")</f>
        <v>82</v>
      </c>
      <c r="G66">
        <f>IFERROR(ROUNDDOWN((VLOOKUP($C66,武器!$1:$998,COLUMN(E$1),FALSE)+IFERROR(VLOOKUP($CI66,装強!$1:$999,COLUMN(G$1),FALSE),0))*VLOOKUP($D66,素材!$1:$1016,COLUMN($E$1),FALSE),0),"")</f>
        <v>0</v>
      </c>
      <c r="H66">
        <f>IFERROR(ROUNDDOWN((VLOOKUP($C66,武器!$1:$998,COLUMN(F$1),FALSE)+IFERROR(VLOOKUP($CI66,装強!$1:$999,COLUMN(H$1),FALSE),0))*VLOOKUP($D66,素材!$1:$1016,COLUMN($E$1),FALSE),0),"")</f>
        <v>3</v>
      </c>
      <c r="I66">
        <f>IFERROR(ROUNDDOWN((VLOOKUP($C66,武器!$1:$998,COLUMN(G$1),FALSE)+IFERROR(VLOOKUP($CI66,装強!$1:$999,COLUMN(I$1),FALSE),0))*VLOOKUP($D66,素材!$1:$1016,COLUMN($E$1),FALSE),0),"")</f>
        <v>10</v>
      </c>
      <c r="J66">
        <f>IFERROR(ROUNDDOWN((VLOOKUP($C66,武器!$1:$998,COLUMN(H$1),FALSE)+IFERROR(VLOOKUP($CI66,装強!$1:$999,COLUMN(J$1),FALSE),0))*VLOOKUP($D66,素材!$1:$1016,COLUMN($E$1),FALSE),0),"")</f>
        <v>13</v>
      </c>
      <c r="K66">
        <f>IFERROR(ROUNDDOWN((VLOOKUP($C66,武器!$1:$998,COLUMN(I$1),FALSE)+IFERROR(VLOOKUP($CI66,装強!$1:$999,COLUMN(K$1),FALSE),0))*VLOOKUP($D66,素材!$1:$1016,COLUMN($E$1),FALSE),0),"")</f>
        <v>0</v>
      </c>
      <c r="L66">
        <f>IFERROR(VLOOKUP($D66,素材!$1:$1016,COLUMN($F$1),FALSE),"")</f>
        <v>0</v>
      </c>
      <c r="M66">
        <f>IFERROR(VLOOKUP($C66,武器!$1:$998,COLUMN(AA$1),FALSE)*VLOOKUP($D66,素材!$1:$1016,COLUMN($G$1),FALSE),"")</f>
        <v>0</v>
      </c>
      <c r="N66">
        <f>IFERROR(VLOOKUP($C66,武器!$1:$998,COLUMN(I$1),FALSE),"")</f>
        <v>0</v>
      </c>
      <c r="O66" s="23">
        <f>IFERROR((VLOOKUP($C66,武器!$1:$998,COLUMN(K$1),FALSE)+VLOOKUP($D66,素材!$1:$1016,COLUMN(H$1),FALSE))*100+IFERROR(VLOOKUP($CI66,装強!$1:$999,COLUMN(O$1),FALSE),0),"")</f>
        <v>5</v>
      </c>
      <c r="P66" s="23">
        <f>IFERROR((VLOOKUP($C66,武器!$1:$998,COLUMN(L$1),FALSE)+VLOOKUP($D66,素材!$1:$1016,COLUMN(I$1),FALSE))*100+IFERROR(VLOOKUP($CI66,装強!$1:$999,COLUMN(P$1),FALSE),0),"")</f>
        <v>150</v>
      </c>
      <c r="Q66">
        <f>IFERROR(ROUNDUP(VLOOKUP($C66,武器!$1:$998,COLUMN(M$1),FALSE)*(VLOOKUP($D66,素材!$1:$1002,COLUMN(D$1),FALSE)/100),1),"")</f>
        <v>0</v>
      </c>
      <c r="R66">
        <f>IFERROR(ROUNDUP(VLOOKUP($C66,武器!$1:$998,COLUMN(N$1),FALSE)*(VLOOKUP($D66,素材!$1:$1002,COLUMN(D$1),FALSE)/100),1),"")</f>
        <v>0</v>
      </c>
      <c r="S66">
        <f>IFERROR(VLOOKUP($C66,武器!$1:$998,COLUMN(P$1),FALSE),"")</f>
        <v>0</v>
      </c>
      <c r="T66">
        <f>IFERROR(VLOOKUP($C66,武器!$1:$998,COLUMN(Q$1),FALSE),"")</f>
        <v>0</v>
      </c>
      <c r="U66">
        <f>IFERROR(VLOOKUP($C66,武器!$1:$998,COLUMN(R$1),FALSE),"")</f>
        <v>0</v>
      </c>
      <c r="V66">
        <f>IFERROR(VLOOKUP($C66,武器!$1:$998,COLUMN(Q$1),FALSE),"")</f>
        <v>0</v>
      </c>
      <c r="W66" t="str">
        <f>IFERROR(VLOOKUP($C66,武器!$1:$998,COLUMN(T$1),FALSE),"")</f>
        <v>A</v>
      </c>
      <c r="Y66" t="str">
        <f>IFERROR(VLOOKUP($C66,武器!$1:$998,COLUMN(U$1),FALSE),"")</f>
        <v>魔法無詠唱Ⅱ</v>
      </c>
      <c r="Z66">
        <f>IFERROR(ROUNDUP(VLOOKUP($C66,武器!$1:$998,COLUMN(O$1),FALSE)*VLOOKUP($D66,素材!$1:$1016,COLUMN(E$1),FALSE),1),"")</f>
        <v>0</v>
      </c>
      <c r="AA66">
        <f>IF(ISNUMBER(SEARCH(SUBSTITUTE(AA$1,RIGHT(AA$1,2),""),VLOOKUP($D66,素材!$1:$1016,COLUMN($F$1),FALSE))),VLOOKUP($C66,武器!$1:$998,COLUMN($O$1),FALSE)*VLOOKUP($D66,素材!$1:$1016,COLUMN($E$1),FALSE)/(LEN(VLOOKUP($D66,素材!$1:$1016,COLUMN($F$1),FALSE)) - LEN(SUBSTITUTE(VLOOKUP($D66,素材!$1:$1016,COLUMN($F$1),FALSE), "・", 0)) + 1), 0)</f>
        <v>0</v>
      </c>
      <c r="AB66">
        <f>IF(ISNUMBER(SEARCH(SUBSTITUTE(AB$1,RIGHT(AB$1,2),""),VLOOKUP($D66,素材!$1:$1016,COLUMN($F$1),FALSE))),VLOOKUP($C66,武器!$1:$998,COLUMN($O$1),FALSE)*VLOOKUP($D66,素材!$1:$1016,COLUMN($E$1),FALSE)/(LEN(VLOOKUP($D66,素材!$1:$1016,COLUMN($F$1),FALSE)) - LEN(SUBSTITUTE(VLOOKUP($D66,素材!$1:$1016,COLUMN($F$1),FALSE), "・", 0)) + 1), 0)</f>
        <v>0</v>
      </c>
      <c r="AC66">
        <f>IF(ISNUMBER(SEARCH(SUBSTITUTE(AC$1,RIGHT(AC$1,2),""),VLOOKUP($D66,素材!$1:$1016,COLUMN($F$1),FALSE))),VLOOKUP($C66,武器!$1:$998,COLUMN($O$1),FALSE)*VLOOKUP($D66,素材!$1:$1016,COLUMN($E$1),FALSE)/(LEN(VLOOKUP($D66,素材!$1:$1016,COLUMN($F$1),FALSE)) - LEN(SUBSTITUTE(VLOOKUP($D66,素材!$1:$1016,COLUMN($F$1),FALSE), "・", 0)) + 1), 0)</f>
        <v>0</v>
      </c>
      <c r="AD66">
        <f>IF(ISNUMBER(SEARCH(SUBSTITUTE(AD$1,RIGHT(AD$1,2),""),VLOOKUP($D66,素材!$1:$1016,COLUMN($F$1),FALSE))),VLOOKUP($C66,武器!$1:$998,COLUMN($O$1),FALSE)*VLOOKUP($D66,素材!$1:$1016,COLUMN($E$1),FALSE)/(LEN(VLOOKUP($D66,素材!$1:$1016,COLUMN($F$1),FALSE)) - LEN(SUBSTITUTE(VLOOKUP($D66,素材!$1:$1016,COLUMN($F$1),FALSE), "・", 0)) + 1), 0)</f>
        <v>0</v>
      </c>
      <c r="AE66">
        <f>IF(ISNUMBER(SEARCH(SUBSTITUTE(AE$1,RIGHT(AE$1,2),""),VLOOKUP($D66,素材!$1:$1016,COLUMN($F$1),FALSE))),VLOOKUP($C66,武器!$1:$998,COLUMN($O$1),FALSE)*VLOOKUP($D66,素材!$1:$1016,COLUMN($E$1),FALSE)/(LEN(VLOOKUP($D66,素材!$1:$1016,COLUMN($F$1),FALSE)) - LEN(SUBSTITUTE(VLOOKUP($D66,素材!$1:$1016,COLUMN($F$1),FALSE), "・", 0)) + 1), 0)</f>
        <v>0</v>
      </c>
      <c r="AF66">
        <f>IF(ISNUMBER(SEARCH(SUBSTITUTE(AF$1,RIGHT(AF$1,2),""),VLOOKUP($D66,素材!$1:$1016,COLUMN($F$1),FALSE))),VLOOKUP($C66,武器!$1:$998,COLUMN($O$1),FALSE)*VLOOKUP($D66,素材!$1:$1016,COLUMN($E$1),FALSE)/(LEN(VLOOKUP($D66,素材!$1:$1016,COLUMN($F$1),FALSE)) - LEN(SUBSTITUTE(VLOOKUP($D66,素材!$1:$1016,COLUMN($F$1),FALSE), "・", 0)) + 1), 0)</f>
        <v>0</v>
      </c>
      <c r="AG66">
        <f>IF(ISNUMBER(SEARCH(SUBSTITUTE(AG$1,RIGHT(AG$1,2),""),VLOOKUP($D66,素材!$1:$1016,COLUMN($F$1),FALSE))),VLOOKUP($C66,武器!$1:$998,COLUMN($O$1),FALSE)*VLOOKUP($D66,素材!$1:$1016,COLUMN($E$1),FALSE)/(LEN(VLOOKUP($D66,素材!$1:$1016,COLUMN($F$1),FALSE)) - LEN(SUBSTITUTE(VLOOKUP($D66,素材!$1:$1016,COLUMN($F$1),FALSE), "・", 0)) + 1), 0)</f>
        <v>0</v>
      </c>
      <c r="AH66">
        <f>IF(ISNUMBER(SEARCH(SUBSTITUTE(AH$1,RIGHT(AH$1,2),""),VLOOKUP($D66,素材!$1:$1016,COLUMN($F$1),FALSE))),VLOOKUP($C66,武器!$1:$998,COLUMN($O$1),FALSE)*VLOOKUP($D66,素材!$1:$1016,COLUMN($E$1),FALSE)/(LEN(VLOOKUP($D66,素材!$1:$1016,COLUMN($F$1),FALSE)) - LEN(SUBSTITUTE(VLOOKUP($D66,素材!$1:$1016,COLUMN($F$1),FALSE), "・", 0)) + 1), 0)</f>
        <v>0</v>
      </c>
      <c r="AI66">
        <f>IF(ISNUMBER(SEARCH(SUBSTITUTE(AI$1,RIGHT(AI$1,2),""),VLOOKUP($D66,素材!$1:$1016,COLUMN($F$1),FALSE))),VLOOKUP($C66,武器!$1:$998,COLUMN($O$1),FALSE)*VLOOKUP($D66,素材!$1:$1016,COLUMN($E$1),FALSE)/(LEN(VLOOKUP($D66,素材!$1:$1016,COLUMN($F$1),FALSE)) - LEN(SUBSTITUTE(VLOOKUP($D66,素材!$1:$1016,COLUMN($F$1),FALSE), "・", 0)) + 1), 0)</f>
        <v>0</v>
      </c>
      <c r="AJ66">
        <f>IF(ISNUMBER(SEARCH(SUBSTITUTE(AJ$1,RIGHT(AJ$1,2),""),VLOOKUP($D66,素材!$1:$1016,COLUMN($F$1),FALSE))),VLOOKUP($C66,武器!$1:$998,COLUMN($O$1),FALSE)*VLOOKUP($D66,素材!$1:$1016,COLUMN($E$1),FALSE)/(LEN(VLOOKUP($D66,素材!$1:$1016,COLUMN($F$1),FALSE)) - LEN(SUBSTITUTE(VLOOKUP($D66,素材!$1:$1016,COLUMN($F$1),FALSE), "・", 0)) + 1), 0)</f>
        <v>0</v>
      </c>
      <c r="AK66">
        <f>IF(ISNUMBER(SEARCH(SUBSTITUTE(AK$1,RIGHT(AK$1,2),""),VLOOKUP($D66,素材!$1:$1016,COLUMN($F$1),FALSE))),VLOOKUP($C66,武器!$1:$998,COLUMN($O$1),FALSE)*VLOOKUP($D66,素材!$1:$1016,COLUMN($E$1),FALSE)/(LEN(VLOOKUP($D66,素材!$1:$1016,COLUMN($F$1),FALSE)) - LEN(SUBSTITUTE(VLOOKUP($D66,素材!$1:$1016,COLUMN($F$1),FALSE), "・", 0)) + 1), 0)</f>
        <v>0</v>
      </c>
      <c r="AL66">
        <f>IF(ISNUMBER(SEARCH(SUBSTITUTE(AL$1,RIGHT(AL$1,2),""),VLOOKUP($D66,素材!$1:$1016,COLUMN($F$1),FALSE))),VLOOKUP($C66,武器!$1:$998,COLUMN($O$1),FALSE)*VLOOKUP($D66,素材!$1:$1016,COLUMN($E$1),FALSE)/(LEN(VLOOKUP($D66,素材!$1:$1016,COLUMN($F$1),FALSE)) - LEN(SUBSTITUTE(VLOOKUP($D66,素材!$1:$1016,COLUMN($F$1),FALSE), "・", 0)) + 1), 0)</f>
        <v>0</v>
      </c>
      <c r="AM66">
        <f>IF(ISNUMBER(SEARCH(SUBSTITUTE(AM$1,RIGHT(AM$1,2),""),VLOOKUP($D66,素材!$1:$1016,COLUMN($F$1),FALSE))),VLOOKUP($C66,武器!$1:$998,COLUMN($O$1),FALSE)*VLOOKUP($D66,素材!$1:$1016,COLUMN($E$1),FALSE)/(LEN(VLOOKUP($D66,素材!$1:$1016,COLUMN($F$1),FALSE)) - LEN(SUBSTITUTE(VLOOKUP($D66,素材!$1:$1016,COLUMN($F$1),FALSE), "・", 0)) + 1), 0)</f>
        <v>0</v>
      </c>
      <c r="AN66">
        <f>IF(ISNUMBER(SEARCH(SUBSTITUTE(AN$1,RIGHT(AN$1,2),""),VLOOKUP($D66,素材!$1:$1016,COLUMN($F$1),FALSE))),VLOOKUP($C66,武器!$1:$998,COLUMN($O$1),FALSE)*VLOOKUP($D66,素材!$1:$1016,COLUMN($E$1),FALSE)/(LEN(VLOOKUP($D66,素材!$1:$1016,COLUMN($F$1),FALSE)) - LEN(SUBSTITUTE(VLOOKUP($D66,素材!$1:$1016,COLUMN($F$1),FALSE), "・", 0)) + 1), 0)</f>
        <v>0</v>
      </c>
      <c r="AO66">
        <f>IF(ISNUMBER(SEARCH(SUBSTITUTE(AO$1,RIGHT(AO$1,2),""),VLOOKUP($D66,素材!$1:$1016,COLUMN($F$1),FALSE))),VLOOKUP($C66,武器!$1:$998,COLUMN($O$1),FALSE)*VLOOKUP($D66,素材!$1:$1016,COLUMN($E$1),FALSE)/(LEN(VLOOKUP($D66,素材!$1:$1016,COLUMN($F$1),FALSE)) - LEN(SUBSTITUTE(VLOOKUP($D66,素材!$1:$1016,COLUMN($F$1),FALSE), "・", 0)) + 1), 0)</f>
        <v>0</v>
      </c>
      <c r="AP66">
        <f>IF(ISNUMBER(SEARCH(SUBSTITUTE(AP$1,RIGHT(AP$1,2),""),VLOOKUP($D66,素材!$1:$1016,COLUMN($F$1),FALSE))),VLOOKUP($C66,武器!$1:$998,COLUMN($O$1),FALSE)*VLOOKUP($D66,素材!$1:$1016,COLUMN($E$1),FALSE)/(LEN(VLOOKUP($D66,素材!$1:$1016,COLUMN($F$1),FALSE)) - LEN(SUBSTITUTE(VLOOKUP($D66,素材!$1:$1016,COLUMN($F$1),FALSE), "・", 0)) + 1), 0)</f>
        <v>0</v>
      </c>
      <c r="AQ66">
        <f>IF(ISNUMBER(SEARCH(SUBSTITUTE(AQ$1,RIGHT(AQ$1,2),""),VLOOKUP($D66,素材!$1:$1016,COLUMN($F$1),FALSE))),VLOOKUP($C66,武器!$1:$998,COLUMN($O$1),FALSE)*VLOOKUP($D66,素材!$1:$1016,COLUMN($E$1),FALSE)/(LEN(VLOOKUP($D66,素材!$1:$1016,COLUMN($F$1),FALSE)) - LEN(SUBSTITUTE(VLOOKUP($D66,素材!$1:$1016,COLUMN($F$1),FALSE), "・", 0)) + 1), 0)</f>
        <v>0</v>
      </c>
      <c r="AR66">
        <f>IF(ISNUMBER(SEARCH(SUBSTITUTE(AR$1,RIGHT(AR$1,2),""),VLOOKUP($D66,素材!$1:$1016,COLUMN($F$1),FALSE))),VLOOKUP($C66,武器!$1:$998,COLUMN($O$1),FALSE)*VLOOKUP($D66,素材!$1:$1016,COLUMN($E$1),FALSE)/(LEN(VLOOKUP($D66,素材!$1:$1016,COLUMN($F$1),FALSE)) - LEN(SUBSTITUTE(VLOOKUP($D66,素材!$1:$1016,COLUMN($F$1),FALSE), "・", 0)) + 1), 0)</f>
        <v>0</v>
      </c>
      <c r="AS66">
        <f>IF(ISNUMBER(SEARCH(SUBSTITUTE(AS$1,RIGHT(AS$1,2),""),VLOOKUP($D66,素材!$1:$1016,COLUMN($F$1),FALSE))),VLOOKUP($C66,武器!$1:$998,COLUMN($O$1),FALSE)*VLOOKUP($D66,素材!$1:$1016,COLUMN($E$1),FALSE)/(LEN(VLOOKUP($D66,素材!$1:$1016,COLUMN($F$1),FALSE)) - LEN(SUBSTITUTE(VLOOKUP($D66,素材!$1:$1016,COLUMN($F$1),FALSE), "・", 0)) + 1), 0)</f>
        <v>0</v>
      </c>
      <c r="AT66">
        <f>IF(ISNUMBER(SEARCH(SUBSTITUTE(AT$1,RIGHT(AT$1,2),""),VLOOKUP($D66,素材!$1:$1016,COLUMN($F$1),FALSE))),VLOOKUP($C66,武器!$1:$998,COLUMN($O$1),FALSE)*VLOOKUP($D66,素材!$1:$1016,COLUMN($E$1),FALSE)/(LEN(VLOOKUP($D66,素材!$1:$1016,COLUMN($F$1),FALSE)) - LEN(SUBSTITUTE(VLOOKUP($D66,素材!$1:$1016,COLUMN($F$1),FALSE), "・", 0)) + 1), 0)</f>
        <v>0</v>
      </c>
      <c r="AU66">
        <f>IF(ISNUMBER(SEARCH(SUBSTITUTE(AU$1,RIGHT(AU$1,2),""),VLOOKUP($D66,素材!$1:$1016,COLUMN($F$1),FALSE))),VLOOKUP($C66,武器!$1:$998,COLUMN($O$1),FALSE)*VLOOKUP($D66,素材!$1:$1016,COLUMN($E$1),FALSE)/(LEN(VLOOKUP($D66,素材!$1:$1016,COLUMN($F$1),FALSE)) - LEN(SUBSTITUTE(VLOOKUP($D66,素材!$1:$1016,COLUMN($F$1),FALSE), "・", 0)) + 1), 0)</f>
        <v>0</v>
      </c>
      <c r="AV66">
        <f>IF(ISNUMBER(SEARCH(SUBSTITUTE(AV$1,RIGHT(AV$1,2),""),VLOOKUP($D66,素材!$1:$1016,COLUMN($F$1),FALSE))),VLOOKUP($C66,武器!$1:$998,COLUMN($O$1),FALSE)*VLOOKUP($D66,素材!$1:$1016,COLUMN($E$1),FALSE)/(LEN(VLOOKUP($D66,素材!$1:$1016,COLUMN($F$1),FALSE)) - LEN(SUBSTITUTE(VLOOKUP($D66,素材!$1:$1016,COLUMN($F$1),FALSE), "・", 0)) + 1), 0)</f>
        <v>0</v>
      </c>
      <c r="AW66">
        <f>IF(ISNUMBER(SEARCH(SUBSTITUTE(AW$1,RIGHT(AW$1,2),""),VLOOKUP($D66,素材!$1:$1016,COLUMN($F$1),FALSE))),VLOOKUP($C66,武器!$1:$998,COLUMN($O$1),FALSE)*VLOOKUP($D66,素材!$1:$1016,COLUMN($E$1),FALSE)/(LEN(VLOOKUP($D66,素材!$1:$1016,COLUMN($F$1),FALSE)) - LEN(SUBSTITUTE(VLOOKUP($D66,素材!$1:$1016,COLUMN($F$1),FALSE), "・", 0)) + 1), 0)</f>
        <v>0</v>
      </c>
      <c r="AX66">
        <f>IF(ISNUMBER(SEARCH(SUBSTITUTE(AX$1,RIGHT(AX$1,2),""),VLOOKUP($D66,素材!$1:$1016,COLUMN($F$1),FALSE))),VLOOKUP($C66,武器!$1:$998,COLUMN($O$1),FALSE)*VLOOKUP($D66,素材!$1:$1016,COLUMN($E$1),FALSE)/(LEN(VLOOKUP($D66,素材!$1:$1016,COLUMN($F$1),FALSE)) - LEN(SUBSTITUTE(VLOOKUP($D66,素材!$1:$1016,COLUMN($F$1),FALSE), "・", 0)) + 1), 0)</f>
        <v>0</v>
      </c>
      <c r="AY66">
        <f>IF(ISNUMBER(SEARCH(SUBSTITUTE(AY$1,RIGHT(AY$1,2),""),VLOOKUP($D66,素材!$1:$1016,COLUMN($F$1),FALSE))),VLOOKUP($C66,武器!$1:$998,COLUMN($O$1),FALSE)*VLOOKUP($D66,素材!$1:$1016,COLUMN($E$1),FALSE)/(LEN(VLOOKUP($D66,素材!$1:$1016,COLUMN($F$1),FALSE)) - LEN(SUBSTITUTE(VLOOKUP($D66,素材!$1:$1016,COLUMN($F$1),FALSE), "・", 0)) + 1), 0)</f>
        <v>0</v>
      </c>
      <c r="AZ66">
        <f>IF(ISNUMBER(SEARCH(SUBSTITUTE(AZ$1,RIGHT(AZ$1,2),""),VLOOKUP($D66,素材!$1:$1016,COLUMN($F$1),FALSE))),VLOOKUP($C66,武器!$1:$998,COLUMN($O$1),FALSE)*VLOOKUP($D66,素材!$1:$1016,COLUMN($E$1),FALSE)/(LEN(VLOOKUP($D66,素材!$1:$1016,COLUMN($F$1),FALSE)) - LEN(SUBSTITUTE(VLOOKUP($D66,素材!$1:$1016,COLUMN($F$1),FALSE), "・", 0)) + 1), 0)</f>
        <v>0</v>
      </c>
      <c r="BA66">
        <f>IF(ISNUMBER(SEARCH(SUBSTITUTE(BA$1,RIGHT(BA$1,2),""),VLOOKUP($D66,素材!$1:$1016,COLUMN($F$1),FALSE))),VLOOKUP($C66,武器!$1:$998,COLUMN($O$1),FALSE)*VLOOKUP($D66,素材!$1:$1016,COLUMN($E$1),FALSE)/(LEN(VLOOKUP($D66,素材!$1:$1016,COLUMN($F$1),FALSE)) - LEN(SUBSTITUTE(VLOOKUP($D66,素材!$1:$1016,COLUMN($F$1),FALSE), "・", 0)) + 1), 0)</f>
        <v>0</v>
      </c>
      <c r="BB66">
        <f>IF(ISNUMBER(SEARCH(SUBSTITUTE(BB$1,RIGHT(BB$1,2),""),VLOOKUP($D66,素材!$1:$1016,COLUMN($F$1),FALSE))),VLOOKUP($C66,武器!$1:$998,COLUMN($O$1),FALSE)*VLOOKUP($D66,素材!$1:$1016,COLUMN($E$1),FALSE)/(LEN(VLOOKUP($D66,素材!$1:$1016,COLUMN($F$1),FALSE)) - LEN(SUBSTITUTE(VLOOKUP($D66,素材!$1:$1016,COLUMN($F$1),FALSE), "・", 0)) + 1), 0)</f>
        <v>0</v>
      </c>
      <c r="BC66">
        <f>IF(ISNUMBER(SEARCH(SUBSTITUTE(BC$1,RIGHT(BC$1,2),""),VLOOKUP($D66,素材!$1:$1016,COLUMN($F$1),FALSE))),VLOOKUP($C66,武器!$1:$998,COLUMN($O$1),FALSE)*VLOOKUP($D66,素材!$1:$1016,COLUMN($E$1),FALSE)/(LEN(VLOOKUP($D66,素材!$1:$1016,COLUMN($F$1),FALSE)) - LEN(SUBSTITUTE(VLOOKUP($D66,素材!$1:$1016,COLUMN($F$1),FALSE), "・", 0)) + 1), 0)</f>
        <v>0</v>
      </c>
      <c r="BD66">
        <f>IF(ISNUMBER(SEARCH(SUBSTITUTE(BD$1,RIGHT(BD$1,2),""),VLOOKUP($D66,素材!$1:$1016,COLUMN($F$1),FALSE))),VLOOKUP($C66,武器!$1:$998,COLUMN($O$1),FALSE)*VLOOKUP($D66,素材!$1:$1016,COLUMN($E$1),FALSE)/(LEN(VLOOKUP($D66,素材!$1:$1016,COLUMN($F$1),FALSE)) - LEN(SUBSTITUTE(VLOOKUP($D66,素材!$1:$1016,COLUMN($F$1),FALSE), "・", 0)) + 1), 0)</f>
        <v>0</v>
      </c>
      <c r="BE66">
        <f>IF(ISNUMBER(SEARCH(SUBSTITUTE(BE$1,RIGHT(BE$1,2),""),VLOOKUP($D66,素材!$1:$1016,COLUMN($F$1),FALSE))),VLOOKUP($C66,武器!$1:$998,COLUMN($O$1),FALSE)*VLOOKUP($D66,素材!$1:$1016,COLUMN($E$1),FALSE)/(LEN(VLOOKUP($D66,素材!$1:$1016,COLUMN($F$1),FALSE)) - LEN(SUBSTITUTE(VLOOKUP($D66,素材!$1:$1016,COLUMN($F$1),FALSE), "・", 0)) + 1), 0)</f>
        <v>0</v>
      </c>
      <c r="CL66">
        <f>SUM(G66:I66)</f>
        <v>13</v>
      </c>
      <c r="CM66" s="22" t="str">
        <f>IF(E66="武器",IF(J66-1&gt;SUM(G66:I66),"盾",IF(MAX(G66:I66)=G66,"切断",IF(MAX(G66:I66)=H66,"貫通",IF(MAX(G66:I66)=I66,"打撃","射撃")))),E66)&amp;".webp"</f>
        <v>杖.webp</v>
      </c>
      <c r="CN66">
        <f>IFERROR(VLOOKUP($C66,武器!$1:$998,COLUMN(V$1),FALSE)*VLOOKUP($D66,素材!$1:$1016,COLUMN(N$1),FALSE)+IF(CI66="",0,VLOOKUP($CI66,装強!$1:$1008,COLUMN($CK$1),FALSE)),"")</f>
        <v>200</v>
      </c>
      <c r="CO66" t="str">
        <f>VLOOKUP(D66,素材!$A:$O,COLUMN(素材!O$1),FALSE)</f>
        <v>一般的な木材。金属より軽いが少し脆い</v>
      </c>
      <c r="CP66" t="str">
        <f>VLOOKUP(C66,武器!$A:$W,COLUMN(武器!W$1),FALSE)</f>
        <v>杖。バランスの取れた魔法武器。</v>
      </c>
      <c r="CR66" t="str">
        <f t="shared" si="1"/>
        <v>e_66</v>
      </c>
      <c r="CS66">
        <f t="shared" si="2"/>
        <v>20000</v>
      </c>
    </row>
    <row r="67" spans="1:97" outlineLevel="1" x14ac:dyDescent="0.4">
      <c r="A67" t="str">
        <f t="shared" ref="A67:A98" si="4">D67&amp;"の"&amp;C67</f>
        <v>木の長杖</v>
      </c>
      <c r="B67" t="str">
        <f>IFERROR(VLOOKUP($D67,素材!$1:$1016,COLUMN($B$1),FALSE)&amp;"・"&amp;VLOOKUP($C67,武器!$1:$998,COLUMN(B$1),FALSE),"")</f>
        <v>ウッド・スタッフ</v>
      </c>
      <c r="C67" t="s">
        <v>215</v>
      </c>
      <c r="D67" s="24" t="s">
        <v>255</v>
      </c>
      <c r="E67" t="str">
        <f>IFERROR(VLOOKUP(C67,武器!$1:$998,COLUMN(C$1),FALSE),"")</f>
        <v>杖</v>
      </c>
      <c r="F67">
        <f>IFERROR(ROUNDDOWN((VLOOKUP($C67,武器!$1:$998,COLUMN(D$1),FALSE)+IFERROR(VLOOKUP($CI67,装強!$1:$999,COLUMN(F$1),FALSE),0))*VLOOKUP($D67,素材!$1:$1016,COLUMN(D$1),FALSE),0),"")</f>
        <v>86</v>
      </c>
      <c r="G67">
        <f>IFERROR(ROUNDDOWN((VLOOKUP($C67,武器!$1:$998,COLUMN(E$1),FALSE)+IFERROR(VLOOKUP($CI67,装強!$1:$999,COLUMN(G$1),FALSE),0))*VLOOKUP($D67,素材!$1:$1016,COLUMN($E$1),FALSE),0),"")</f>
        <v>0</v>
      </c>
      <c r="H67">
        <f>IFERROR(ROUNDDOWN((VLOOKUP($C67,武器!$1:$998,COLUMN(F$1),FALSE)+IFERROR(VLOOKUP($CI67,装強!$1:$999,COLUMN(H$1),FALSE),0))*VLOOKUP($D67,素材!$1:$1016,COLUMN($E$1),FALSE),0),"")</f>
        <v>4</v>
      </c>
      <c r="I67">
        <f>IFERROR(ROUNDDOWN((VLOOKUP($C67,武器!$1:$998,COLUMN(G$1),FALSE)+IFERROR(VLOOKUP($CI67,装強!$1:$999,COLUMN(I$1),FALSE),0))*VLOOKUP($D67,素材!$1:$1016,COLUMN($E$1),FALSE),0),"")</f>
        <v>12</v>
      </c>
      <c r="J67">
        <f>IFERROR(ROUNDDOWN((VLOOKUP($C67,武器!$1:$998,COLUMN(H$1),FALSE)+IFERROR(VLOOKUP($CI67,装強!$1:$999,COLUMN(J$1),FALSE),0))*VLOOKUP($D67,素材!$1:$1016,COLUMN($E$1),FALSE),0),"")</f>
        <v>14</v>
      </c>
      <c r="K67">
        <f>IFERROR(ROUNDDOWN((VLOOKUP($C67,武器!$1:$998,COLUMN(I$1),FALSE)+IFERROR(VLOOKUP($CI67,装強!$1:$999,COLUMN(K$1),FALSE),0))*VLOOKUP($D67,素材!$1:$1016,COLUMN($E$1),FALSE),0),"")</f>
        <v>0</v>
      </c>
      <c r="L67">
        <f>IFERROR(VLOOKUP($D67,素材!$1:$1016,COLUMN($F$1),FALSE),"")</f>
        <v>0</v>
      </c>
      <c r="M67">
        <f>IFERROR(VLOOKUP($C67,武器!$1:$998,COLUMN(AA$1),FALSE)*VLOOKUP($D67,素材!$1:$1016,COLUMN($G$1),FALSE),"")</f>
        <v>0</v>
      </c>
      <c r="N67">
        <f>IFERROR(VLOOKUP($C67,武器!$1:$998,COLUMN(I$1),FALSE),"")</f>
        <v>0</v>
      </c>
      <c r="O67" s="23">
        <f>IFERROR((VLOOKUP($C67,武器!$1:$998,COLUMN(K$1),FALSE)+VLOOKUP($D67,素材!$1:$1016,COLUMN(H$1),FALSE))*100+IFERROR(VLOOKUP($CI67,装強!$1:$999,COLUMN(O$1),FALSE),0),"")</f>
        <v>5</v>
      </c>
      <c r="P67" s="23">
        <f>IFERROR((VLOOKUP($C67,武器!$1:$998,COLUMN(L$1),FALSE)+VLOOKUP($D67,素材!$1:$1016,COLUMN(I$1),FALSE))*100+IFERROR(VLOOKUP($CI67,装強!$1:$999,COLUMN(P$1),FALSE),0),"")</f>
        <v>150</v>
      </c>
      <c r="Q67">
        <f>IFERROR(ROUNDUP(VLOOKUP($C67,武器!$1:$998,COLUMN(M$1),FALSE)*(VLOOKUP($D67,素材!$1:$1002,COLUMN(D$1),FALSE)/100),1),"")</f>
        <v>-3</v>
      </c>
      <c r="R67">
        <f>IFERROR(ROUNDUP(VLOOKUP($C67,武器!$1:$998,COLUMN(N$1),FALSE)*(VLOOKUP($D67,素材!$1:$1002,COLUMN(D$1),FALSE)/100),1),"")</f>
        <v>-3</v>
      </c>
      <c r="S67">
        <f>IFERROR(VLOOKUP($C67,武器!$1:$998,COLUMN(P$1),FALSE),"")</f>
        <v>0</v>
      </c>
      <c r="T67">
        <f>IFERROR(VLOOKUP($C67,武器!$1:$998,COLUMN(Q$1),FALSE),"")</f>
        <v>0</v>
      </c>
      <c r="U67">
        <f>IFERROR(VLOOKUP($C67,武器!$1:$998,COLUMN(R$1),FALSE),"")</f>
        <v>0</v>
      </c>
      <c r="V67">
        <f>IFERROR(VLOOKUP($C67,武器!$1:$998,COLUMN(Q$1),FALSE),"")</f>
        <v>0</v>
      </c>
      <c r="W67" t="str">
        <f>IFERROR(VLOOKUP($C67,武器!$1:$998,COLUMN(T$1),FALSE),"")</f>
        <v>A</v>
      </c>
      <c r="Y67" t="str">
        <f>IFERROR(VLOOKUP($C67,武器!$1:$998,COLUMN(U$1),FALSE),"")</f>
        <v>魔法無詠唱Ⅲ</v>
      </c>
      <c r="Z67">
        <f>IFERROR(ROUNDUP(VLOOKUP($C67,武器!$1:$998,COLUMN(O$1),FALSE)*VLOOKUP($D67,素材!$1:$1016,COLUMN(E$1),FALSE),1),"")</f>
        <v>0</v>
      </c>
      <c r="AA67">
        <f>IF(ISNUMBER(SEARCH(SUBSTITUTE(AA$1,RIGHT(AA$1,2),""),VLOOKUP($D67,素材!$1:$1016,COLUMN($F$1),FALSE))),VLOOKUP($C67,武器!$1:$998,COLUMN($O$1),FALSE)*VLOOKUP($D67,素材!$1:$1016,COLUMN($E$1),FALSE)/(LEN(VLOOKUP($D67,素材!$1:$1016,COLUMN($F$1),FALSE)) - LEN(SUBSTITUTE(VLOOKUP($D67,素材!$1:$1016,COLUMN($F$1),FALSE), "・", 0)) + 1), 0)</f>
        <v>0</v>
      </c>
      <c r="AB67">
        <f>IF(ISNUMBER(SEARCH(SUBSTITUTE(AB$1,RIGHT(AB$1,2),""),VLOOKUP($D67,素材!$1:$1016,COLUMN($F$1),FALSE))),VLOOKUP($C67,武器!$1:$998,COLUMN($O$1),FALSE)*VLOOKUP($D67,素材!$1:$1016,COLUMN($E$1),FALSE)/(LEN(VLOOKUP($D67,素材!$1:$1016,COLUMN($F$1),FALSE)) - LEN(SUBSTITUTE(VLOOKUP($D67,素材!$1:$1016,COLUMN($F$1),FALSE), "・", 0)) + 1), 0)</f>
        <v>0</v>
      </c>
      <c r="AC67">
        <f>IF(ISNUMBER(SEARCH(SUBSTITUTE(AC$1,RIGHT(AC$1,2),""),VLOOKUP($D67,素材!$1:$1016,COLUMN($F$1),FALSE))),VLOOKUP($C67,武器!$1:$998,COLUMN($O$1),FALSE)*VLOOKUP($D67,素材!$1:$1016,COLUMN($E$1),FALSE)/(LEN(VLOOKUP($D67,素材!$1:$1016,COLUMN($F$1),FALSE)) - LEN(SUBSTITUTE(VLOOKUP($D67,素材!$1:$1016,COLUMN($F$1),FALSE), "・", 0)) + 1), 0)</f>
        <v>0</v>
      </c>
      <c r="AD67">
        <f>IF(ISNUMBER(SEARCH(SUBSTITUTE(AD$1,RIGHT(AD$1,2),""),VLOOKUP($D67,素材!$1:$1016,COLUMN($F$1),FALSE))),VLOOKUP($C67,武器!$1:$998,COLUMN($O$1),FALSE)*VLOOKUP($D67,素材!$1:$1016,COLUMN($E$1),FALSE)/(LEN(VLOOKUP($D67,素材!$1:$1016,COLUMN($F$1),FALSE)) - LEN(SUBSTITUTE(VLOOKUP($D67,素材!$1:$1016,COLUMN($F$1),FALSE), "・", 0)) + 1), 0)</f>
        <v>0</v>
      </c>
      <c r="AE67">
        <f>IF(ISNUMBER(SEARCH(SUBSTITUTE(AE$1,RIGHT(AE$1,2),""),VLOOKUP($D67,素材!$1:$1016,COLUMN($F$1),FALSE))),VLOOKUP($C67,武器!$1:$998,COLUMN($O$1),FALSE)*VLOOKUP($D67,素材!$1:$1016,COLUMN($E$1),FALSE)/(LEN(VLOOKUP($D67,素材!$1:$1016,COLUMN($F$1),FALSE)) - LEN(SUBSTITUTE(VLOOKUP($D67,素材!$1:$1016,COLUMN($F$1),FALSE), "・", 0)) + 1), 0)</f>
        <v>0</v>
      </c>
      <c r="AF67">
        <f>IF(ISNUMBER(SEARCH(SUBSTITUTE(AF$1,RIGHT(AF$1,2),""),VLOOKUP($D67,素材!$1:$1016,COLUMN($F$1),FALSE))),VLOOKUP($C67,武器!$1:$998,COLUMN($O$1),FALSE)*VLOOKUP($D67,素材!$1:$1016,COLUMN($E$1),FALSE)/(LEN(VLOOKUP($D67,素材!$1:$1016,COLUMN($F$1),FALSE)) - LEN(SUBSTITUTE(VLOOKUP($D67,素材!$1:$1016,COLUMN($F$1),FALSE), "・", 0)) + 1), 0)</f>
        <v>0</v>
      </c>
      <c r="AG67">
        <f>IF(ISNUMBER(SEARCH(SUBSTITUTE(AG$1,RIGHT(AG$1,2),""),VLOOKUP($D67,素材!$1:$1016,COLUMN($F$1),FALSE))),VLOOKUP($C67,武器!$1:$998,COLUMN($O$1),FALSE)*VLOOKUP($D67,素材!$1:$1016,COLUMN($E$1),FALSE)/(LEN(VLOOKUP($D67,素材!$1:$1016,COLUMN($F$1),FALSE)) - LEN(SUBSTITUTE(VLOOKUP($D67,素材!$1:$1016,COLUMN($F$1),FALSE), "・", 0)) + 1), 0)</f>
        <v>0</v>
      </c>
      <c r="AH67">
        <f>IF(ISNUMBER(SEARCH(SUBSTITUTE(AH$1,RIGHT(AH$1,2),""),VLOOKUP($D67,素材!$1:$1016,COLUMN($F$1),FALSE))),VLOOKUP($C67,武器!$1:$998,COLUMN($O$1),FALSE)*VLOOKUP($D67,素材!$1:$1016,COLUMN($E$1),FALSE)/(LEN(VLOOKUP($D67,素材!$1:$1016,COLUMN($F$1),FALSE)) - LEN(SUBSTITUTE(VLOOKUP($D67,素材!$1:$1016,COLUMN($F$1),FALSE), "・", 0)) + 1), 0)</f>
        <v>0</v>
      </c>
      <c r="AI67">
        <f>IF(ISNUMBER(SEARCH(SUBSTITUTE(AI$1,RIGHT(AI$1,2),""),VLOOKUP($D67,素材!$1:$1016,COLUMN($F$1),FALSE))),VLOOKUP($C67,武器!$1:$998,COLUMN($O$1),FALSE)*VLOOKUP($D67,素材!$1:$1016,COLUMN($E$1),FALSE)/(LEN(VLOOKUP($D67,素材!$1:$1016,COLUMN($F$1),FALSE)) - LEN(SUBSTITUTE(VLOOKUP($D67,素材!$1:$1016,COLUMN($F$1),FALSE), "・", 0)) + 1), 0)</f>
        <v>0</v>
      </c>
      <c r="AJ67">
        <f>IF(ISNUMBER(SEARCH(SUBSTITUTE(AJ$1,RIGHT(AJ$1,2),""),VLOOKUP($D67,素材!$1:$1016,COLUMN($F$1),FALSE))),VLOOKUP($C67,武器!$1:$998,COLUMN($O$1),FALSE)*VLOOKUP($D67,素材!$1:$1016,COLUMN($E$1),FALSE)/(LEN(VLOOKUP($D67,素材!$1:$1016,COLUMN($F$1),FALSE)) - LEN(SUBSTITUTE(VLOOKUP($D67,素材!$1:$1016,COLUMN($F$1),FALSE), "・", 0)) + 1), 0)</f>
        <v>0</v>
      </c>
      <c r="AK67">
        <f>IF(ISNUMBER(SEARCH(SUBSTITUTE(AK$1,RIGHT(AK$1,2),""),VLOOKUP($D67,素材!$1:$1016,COLUMN($F$1),FALSE))),VLOOKUP($C67,武器!$1:$998,COLUMN($O$1),FALSE)*VLOOKUP($D67,素材!$1:$1016,COLUMN($E$1),FALSE)/(LEN(VLOOKUP($D67,素材!$1:$1016,COLUMN($F$1),FALSE)) - LEN(SUBSTITUTE(VLOOKUP($D67,素材!$1:$1016,COLUMN($F$1),FALSE), "・", 0)) + 1), 0)</f>
        <v>0</v>
      </c>
      <c r="AL67">
        <f>IF(ISNUMBER(SEARCH(SUBSTITUTE(AL$1,RIGHT(AL$1,2),""),VLOOKUP($D67,素材!$1:$1016,COLUMN($F$1),FALSE))),VLOOKUP($C67,武器!$1:$998,COLUMN($O$1),FALSE)*VLOOKUP($D67,素材!$1:$1016,COLUMN($E$1),FALSE)/(LEN(VLOOKUP($D67,素材!$1:$1016,COLUMN($F$1),FALSE)) - LEN(SUBSTITUTE(VLOOKUP($D67,素材!$1:$1016,COLUMN($F$1),FALSE), "・", 0)) + 1), 0)</f>
        <v>0</v>
      </c>
      <c r="AM67">
        <f>IF(ISNUMBER(SEARCH(SUBSTITUTE(AM$1,RIGHT(AM$1,2),""),VLOOKUP($D67,素材!$1:$1016,COLUMN($F$1),FALSE))),VLOOKUP($C67,武器!$1:$998,COLUMN($O$1),FALSE)*VLOOKUP($D67,素材!$1:$1016,COLUMN($E$1),FALSE)/(LEN(VLOOKUP($D67,素材!$1:$1016,COLUMN($F$1),FALSE)) - LEN(SUBSTITUTE(VLOOKUP($D67,素材!$1:$1016,COLUMN($F$1),FALSE), "・", 0)) + 1), 0)</f>
        <v>0</v>
      </c>
      <c r="AN67">
        <f>IF(ISNUMBER(SEARCH(SUBSTITUTE(AN$1,RIGHT(AN$1,2),""),VLOOKUP($D67,素材!$1:$1016,COLUMN($F$1),FALSE))),VLOOKUP($C67,武器!$1:$998,COLUMN($O$1),FALSE)*VLOOKUP($D67,素材!$1:$1016,COLUMN($E$1),FALSE)/(LEN(VLOOKUP($D67,素材!$1:$1016,COLUMN($F$1),FALSE)) - LEN(SUBSTITUTE(VLOOKUP($D67,素材!$1:$1016,COLUMN($F$1),FALSE), "・", 0)) + 1), 0)</f>
        <v>0</v>
      </c>
      <c r="AO67">
        <f>IF(ISNUMBER(SEARCH(SUBSTITUTE(AO$1,RIGHT(AO$1,2),""),VLOOKUP($D67,素材!$1:$1016,COLUMN($F$1),FALSE))),VLOOKUP($C67,武器!$1:$998,COLUMN($O$1),FALSE)*VLOOKUP($D67,素材!$1:$1016,COLUMN($E$1),FALSE)/(LEN(VLOOKUP($D67,素材!$1:$1016,COLUMN($F$1),FALSE)) - LEN(SUBSTITUTE(VLOOKUP($D67,素材!$1:$1016,COLUMN($F$1),FALSE), "・", 0)) + 1), 0)</f>
        <v>0</v>
      </c>
      <c r="AP67">
        <f>IF(ISNUMBER(SEARCH(SUBSTITUTE(AP$1,RIGHT(AP$1,2),""),VLOOKUP($D67,素材!$1:$1016,COLUMN($F$1),FALSE))),VLOOKUP($C67,武器!$1:$998,COLUMN($O$1),FALSE)*VLOOKUP($D67,素材!$1:$1016,COLUMN($E$1),FALSE)/(LEN(VLOOKUP($D67,素材!$1:$1016,COLUMN($F$1),FALSE)) - LEN(SUBSTITUTE(VLOOKUP($D67,素材!$1:$1016,COLUMN($F$1),FALSE), "・", 0)) + 1), 0)</f>
        <v>0</v>
      </c>
      <c r="AQ67">
        <f>IF(ISNUMBER(SEARCH(SUBSTITUTE(AQ$1,RIGHT(AQ$1,2),""),VLOOKUP($D67,素材!$1:$1016,COLUMN($F$1),FALSE))),VLOOKUP($C67,武器!$1:$998,COLUMN($O$1),FALSE)*VLOOKUP($D67,素材!$1:$1016,COLUMN($E$1),FALSE)/(LEN(VLOOKUP($D67,素材!$1:$1016,COLUMN($F$1),FALSE)) - LEN(SUBSTITUTE(VLOOKUP($D67,素材!$1:$1016,COLUMN($F$1),FALSE), "・", 0)) + 1), 0)</f>
        <v>0</v>
      </c>
      <c r="AR67">
        <f>IF(ISNUMBER(SEARCH(SUBSTITUTE(AR$1,RIGHT(AR$1,2),""),VLOOKUP($D67,素材!$1:$1016,COLUMN($F$1),FALSE))),VLOOKUP($C67,武器!$1:$998,COLUMN($O$1),FALSE)*VLOOKUP($D67,素材!$1:$1016,COLUMN($E$1),FALSE)/(LEN(VLOOKUP($D67,素材!$1:$1016,COLUMN($F$1),FALSE)) - LEN(SUBSTITUTE(VLOOKUP($D67,素材!$1:$1016,COLUMN($F$1),FALSE), "・", 0)) + 1), 0)</f>
        <v>0</v>
      </c>
      <c r="AS67">
        <f>IF(ISNUMBER(SEARCH(SUBSTITUTE(AS$1,RIGHT(AS$1,2),""),VLOOKUP($D67,素材!$1:$1016,COLUMN($F$1),FALSE))),VLOOKUP($C67,武器!$1:$998,COLUMN($O$1),FALSE)*VLOOKUP($D67,素材!$1:$1016,COLUMN($E$1),FALSE)/(LEN(VLOOKUP($D67,素材!$1:$1016,COLUMN($F$1),FALSE)) - LEN(SUBSTITUTE(VLOOKUP($D67,素材!$1:$1016,COLUMN($F$1),FALSE), "・", 0)) + 1), 0)</f>
        <v>0</v>
      </c>
      <c r="AT67">
        <f>IF(ISNUMBER(SEARCH(SUBSTITUTE(AT$1,RIGHT(AT$1,2),""),VLOOKUP($D67,素材!$1:$1016,COLUMN($F$1),FALSE))),VLOOKUP($C67,武器!$1:$998,COLUMN($O$1),FALSE)*VLOOKUP($D67,素材!$1:$1016,COLUMN($E$1),FALSE)/(LEN(VLOOKUP($D67,素材!$1:$1016,COLUMN($F$1),FALSE)) - LEN(SUBSTITUTE(VLOOKUP($D67,素材!$1:$1016,COLUMN($F$1),FALSE), "・", 0)) + 1), 0)</f>
        <v>0</v>
      </c>
      <c r="AU67">
        <f>IF(ISNUMBER(SEARCH(SUBSTITUTE(AU$1,RIGHT(AU$1,2),""),VLOOKUP($D67,素材!$1:$1016,COLUMN($F$1),FALSE))),VLOOKUP($C67,武器!$1:$998,COLUMN($O$1),FALSE)*VLOOKUP($D67,素材!$1:$1016,COLUMN($E$1),FALSE)/(LEN(VLOOKUP($D67,素材!$1:$1016,COLUMN($F$1),FALSE)) - LEN(SUBSTITUTE(VLOOKUP($D67,素材!$1:$1016,COLUMN($F$1),FALSE), "・", 0)) + 1), 0)</f>
        <v>0</v>
      </c>
      <c r="AV67">
        <f>IF(ISNUMBER(SEARCH(SUBSTITUTE(AV$1,RIGHT(AV$1,2),""),VLOOKUP($D67,素材!$1:$1016,COLUMN($F$1),FALSE))),VLOOKUP($C67,武器!$1:$998,COLUMN($O$1),FALSE)*VLOOKUP($D67,素材!$1:$1016,COLUMN($E$1),FALSE)/(LEN(VLOOKUP($D67,素材!$1:$1016,COLUMN($F$1),FALSE)) - LEN(SUBSTITUTE(VLOOKUP($D67,素材!$1:$1016,COLUMN($F$1),FALSE), "・", 0)) + 1), 0)</f>
        <v>0</v>
      </c>
      <c r="AW67">
        <f>IF(ISNUMBER(SEARCH(SUBSTITUTE(AW$1,RIGHT(AW$1,2),""),VLOOKUP($D67,素材!$1:$1016,COLUMN($F$1),FALSE))),VLOOKUP($C67,武器!$1:$998,COLUMN($O$1),FALSE)*VLOOKUP($D67,素材!$1:$1016,COLUMN($E$1),FALSE)/(LEN(VLOOKUP($D67,素材!$1:$1016,COLUMN($F$1),FALSE)) - LEN(SUBSTITUTE(VLOOKUP($D67,素材!$1:$1016,COLUMN($F$1),FALSE), "・", 0)) + 1), 0)</f>
        <v>0</v>
      </c>
      <c r="AX67">
        <f>IF(ISNUMBER(SEARCH(SUBSTITUTE(AX$1,RIGHT(AX$1,2),""),VLOOKUP($D67,素材!$1:$1016,COLUMN($F$1),FALSE))),VLOOKUP($C67,武器!$1:$998,COLUMN($O$1),FALSE)*VLOOKUP($D67,素材!$1:$1016,COLUMN($E$1),FALSE)/(LEN(VLOOKUP($D67,素材!$1:$1016,COLUMN($F$1),FALSE)) - LEN(SUBSTITUTE(VLOOKUP($D67,素材!$1:$1016,COLUMN($F$1),FALSE), "・", 0)) + 1), 0)</f>
        <v>0</v>
      </c>
      <c r="AY67">
        <f>IF(ISNUMBER(SEARCH(SUBSTITUTE(AY$1,RIGHT(AY$1,2),""),VLOOKUP($D67,素材!$1:$1016,COLUMN($F$1),FALSE))),VLOOKUP($C67,武器!$1:$998,COLUMN($O$1),FALSE)*VLOOKUP($D67,素材!$1:$1016,COLUMN($E$1),FALSE)/(LEN(VLOOKUP($D67,素材!$1:$1016,COLUMN($F$1),FALSE)) - LEN(SUBSTITUTE(VLOOKUP($D67,素材!$1:$1016,COLUMN($F$1),FALSE), "・", 0)) + 1), 0)</f>
        <v>0</v>
      </c>
      <c r="AZ67">
        <f>IF(ISNUMBER(SEARCH(SUBSTITUTE(AZ$1,RIGHT(AZ$1,2),""),VLOOKUP($D67,素材!$1:$1016,COLUMN($F$1),FALSE))),VLOOKUP($C67,武器!$1:$998,COLUMN($O$1),FALSE)*VLOOKUP($D67,素材!$1:$1016,COLUMN($E$1),FALSE)/(LEN(VLOOKUP($D67,素材!$1:$1016,COLUMN($F$1),FALSE)) - LEN(SUBSTITUTE(VLOOKUP($D67,素材!$1:$1016,COLUMN($F$1),FALSE), "・", 0)) + 1), 0)</f>
        <v>0</v>
      </c>
      <c r="BA67">
        <f>IF(ISNUMBER(SEARCH(SUBSTITUTE(BA$1,RIGHT(BA$1,2),""),VLOOKUP($D67,素材!$1:$1016,COLUMN($F$1),FALSE))),VLOOKUP($C67,武器!$1:$998,COLUMN($O$1),FALSE)*VLOOKUP($D67,素材!$1:$1016,COLUMN($E$1),FALSE)/(LEN(VLOOKUP($D67,素材!$1:$1016,COLUMN($F$1),FALSE)) - LEN(SUBSTITUTE(VLOOKUP($D67,素材!$1:$1016,COLUMN($F$1),FALSE), "・", 0)) + 1), 0)</f>
        <v>0</v>
      </c>
      <c r="BB67">
        <f>IF(ISNUMBER(SEARCH(SUBSTITUTE(BB$1,RIGHT(BB$1,2),""),VLOOKUP($D67,素材!$1:$1016,COLUMN($F$1),FALSE))),VLOOKUP($C67,武器!$1:$998,COLUMN($O$1),FALSE)*VLOOKUP($D67,素材!$1:$1016,COLUMN($E$1),FALSE)/(LEN(VLOOKUP($D67,素材!$1:$1016,COLUMN($F$1),FALSE)) - LEN(SUBSTITUTE(VLOOKUP($D67,素材!$1:$1016,COLUMN($F$1),FALSE), "・", 0)) + 1), 0)</f>
        <v>0</v>
      </c>
      <c r="BC67">
        <f>IF(ISNUMBER(SEARCH(SUBSTITUTE(BC$1,RIGHT(BC$1,2),""),VLOOKUP($D67,素材!$1:$1016,COLUMN($F$1),FALSE))),VLOOKUP($C67,武器!$1:$998,COLUMN($O$1),FALSE)*VLOOKUP($D67,素材!$1:$1016,COLUMN($E$1),FALSE)/(LEN(VLOOKUP($D67,素材!$1:$1016,COLUMN($F$1),FALSE)) - LEN(SUBSTITUTE(VLOOKUP($D67,素材!$1:$1016,COLUMN($F$1),FALSE), "・", 0)) + 1), 0)</f>
        <v>0</v>
      </c>
      <c r="BD67">
        <f>IF(ISNUMBER(SEARCH(SUBSTITUTE(BD$1,RIGHT(BD$1,2),""),VLOOKUP($D67,素材!$1:$1016,COLUMN($F$1),FALSE))),VLOOKUP($C67,武器!$1:$998,COLUMN($O$1),FALSE)*VLOOKUP($D67,素材!$1:$1016,COLUMN($E$1),FALSE)/(LEN(VLOOKUP($D67,素材!$1:$1016,COLUMN($F$1),FALSE)) - LEN(SUBSTITUTE(VLOOKUP($D67,素材!$1:$1016,COLUMN($F$1),FALSE), "・", 0)) + 1), 0)</f>
        <v>0</v>
      </c>
      <c r="BE67">
        <f>IF(ISNUMBER(SEARCH(SUBSTITUTE(BE$1,RIGHT(BE$1,2),""),VLOOKUP($D67,素材!$1:$1016,COLUMN($F$1),FALSE))),VLOOKUP($C67,武器!$1:$998,COLUMN($O$1),FALSE)*VLOOKUP($D67,素材!$1:$1016,COLUMN($E$1),FALSE)/(LEN(VLOOKUP($D67,素材!$1:$1016,COLUMN($F$1),FALSE)) - LEN(SUBSTITUTE(VLOOKUP($D67,素材!$1:$1016,COLUMN($F$1),FALSE), "・", 0)) + 1), 0)</f>
        <v>0</v>
      </c>
      <c r="CL67">
        <f>SUM(G67:I67)</f>
        <v>16</v>
      </c>
      <c r="CM67" s="22" t="str">
        <f>IF(E67="武器",IF(J67-1&gt;SUM(G67:I67),"盾",IF(MAX(G67:I67)=G67,"切断",IF(MAX(G67:I67)=H67,"貫通",IF(MAX(G67:I67)=I67,"打撃","射撃")))),E67)&amp;".webp"</f>
        <v>杖.webp</v>
      </c>
      <c r="CN67">
        <f>IFERROR(VLOOKUP($C67,武器!$1:$998,COLUMN(V$1),FALSE)*VLOOKUP($D67,素材!$1:$1016,COLUMN(N$1),FALSE)+IF(CI67="",0,VLOOKUP($CI67,装強!$1:$1008,COLUMN($CK$1),FALSE)),"")</f>
        <v>300</v>
      </c>
      <c r="CO67" t="str">
        <f>VLOOKUP(D67,素材!$A:$O,COLUMN(素材!O$1),FALSE)</f>
        <v>一般的な木材。金属より軽いが少し脆い</v>
      </c>
      <c r="CP67" t="str">
        <f>VLOOKUP(C67,武器!$A:$W,COLUMN(武器!W$1),FALSE)</f>
        <v>長杖。強力な魔法を扱える杖だが、重い。</v>
      </c>
      <c r="CR67" t="str">
        <f t="shared" ref="CR67:CR139" si="5">"e_"&amp;ROW(CR67)</f>
        <v>e_67</v>
      </c>
      <c r="CS67">
        <f t="shared" si="2"/>
        <v>30000</v>
      </c>
    </row>
    <row r="68" spans="1:97" outlineLevel="1" x14ac:dyDescent="0.4">
      <c r="A68" t="str">
        <f t="shared" si="4"/>
        <v>木の軽射出弓</v>
      </c>
      <c r="B68" t="str">
        <f>IFERROR(VLOOKUP($D68,素材!$1:$1016,COLUMN($B$1),FALSE)&amp;"・"&amp;VLOOKUP($C68,武器!$1:$998,COLUMN(B$1),FALSE),"")</f>
        <v>ウッド・ライトクロスボウ</v>
      </c>
      <c r="C68" t="s">
        <v>214</v>
      </c>
      <c r="D68" s="24" t="s">
        <v>255</v>
      </c>
      <c r="E68" t="str">
        <f>IFERROR(VLOOKUP(C68,武器!$1:$998,COLUMN(C$1),FALSE),"")</f>
        <v>銃</v>
      </c>
      <c r="F68">
        <f>IFERROR(ROUNDDOWN((VLOOKUP($C68,武器!$1:$998,COLUMN(D$1),FALSE)+IFERROR(VLOOKUP($CI68,装強!$1:$999,COLUMN(F$1),FALSE),0))*VLOOKUP($D68,素材!$1:$1016,COLUMN(D$1),FALSE),0),"")</f>
        <v>0</v>
      </c>
      <c r="G68">
        <f>IFERROR(ROUNDDOWN((VLOOKUP($C68,武器!$1:$998,COLUMN(E$1),FALSE)+IFERROR(VLOOKUP($CI68,装強!$1:$999,COLUMN(G$1),FALSE),0))*VLOOKUP($D68,素材!$1:$1016,COLUMN($E$1),FALSE),0),"")</f>
        <v>0</v>
      </c>
      <c r="H68">
        <f>IFERROR(ROUNDDOWN((VLOOKUP($C68,武器!$1:$998,COLUMN(F$1),FALSE)+IFERROR(VLOOKUP($CI68,装強!$1:$999,COLUMN(H$1),FALSE),0))*VLOOKUP($D68,素材!$1:$1016,COLUMN($E$1),FALSE),0),"")</f>
        <v>0</v>
      </c>
      <c r="I68">
        <f>IFERROR(ROUNDDOWN((VLOOKUP($C68,武器!$1:$998,COLUMN(G$1),FALSE)+IFERROR(VLOOKUP($CI68,装強!$1:$999,COLUMN(I$1),FALSE),0))*VLOOKUP($D68,素材!$1:$1016,COLUMN($E$1),FALSE),0),"")</f>
        <v>0</v>
      </c>
      <c r="J68">
        <f>IFERROR(ROUNDDOWN((VLOOKUP($C68,武器!$1:$998,COLUMN(H$1),FALSE)+IFERROR(VLOOKUP($CI68,装強!$1:$999,COLUMN(J$1),FALSE),0))*VLOOKUP($D68,素材!$1:$1016,COLUMN($E$1),FALSE),0),"")</f>
        <v>0</v>
      </c>
      <c r="K68">
        <f>IFERROR(ROUNDDOWN((VLOOKUP($C68,武器!$1:$998,COLUMN(I$1),FALSE)+IFERROR(VLOOKUP($CI68,装強!$1:$999,COLUMN(K$1),FALSE),0))*VLOOKUP($D68,素材!$1:$1016,COLUMN($E$1),FALSE),0),"")</f>
        <v>40</v>
      </c>
      <c r="L68">
        <f>IFERROR(VLOOKUP($D68,素材!$1:$1016,COLUMN($F$1),FALSE),"")</f>
        <v>0</v>
      </c>
      <c r="M68">
        <f>IFERROR(VLOOKUP($C68,武器!$1:$998,COLUMN(AA$1),FALSE)*VLOOKUP($D68,素材!$1:$1016,COLUMN($G$1),FALSE),"")</f>
        <v>0</v>
      </c>
      <c r="N68">
        <f>IFERROR(VLOOKUP($C68,武器!$1:$998,COLUMN(I$1),FALSE),"")</f>
        <v>2.7</v>
      </c>
      <c r="O68" s="23">
        <f>IFERROR((VLOOKUP($C68,武器!$1:$998,COLUMN(K$1),FALSE)+VLOOKUP($D68,素材!$1:$1016,COLUMN(H$1),FALSE))*100+IFERROR(VLOOKUP($CI68,装強!$1:$999,COLUMN(O$1),FALSE),0),"")</f>
        <v>10</v>
      </c>
      <c r="P68" s="23">
        <f>IFERROR((VLOOKUP($C68,武器!$1:$998,COLUMN(L$1),FALSE)+VLOOKUP($D68,素材!$1:$1016,COLUMN(I$1),FALSE))*100+IFERROR(VLOOKUP($CI68,装強!$1:$999,COLUMN(P$1),FALSE),0),"")</f>
        <v>150</v>
      </c>
      <c r="Q68">
        <f>IFERROR(ROUNDUP(VLOOKUP($C68,武器!$1:$998,COLUMN(M$1),FALSE)*(VLOOKUP($D68,素材!$1:$1002,COLUMN(D$1),FALSE)/100),1),"")</f>
        <v>0</v>
      </c>
      <c r="R68">
        <f>IFERROR(ROUNDUP(VLOOKUP($C68,武器!$1:$998,COLUMN(N$1),FALSE)*(VLOOKUP($D68,素材!$1:$1002,COLUMN(D$1),FALSE)/100),1),"")</f>
        <v>0</v>
      </c>
      <c r="S68">
        <f>IFERROR(VLOOKUP($C68,武器!$1:$998,COLUMN(P$1),FALSE),"")</f>
        <v>0</v>
      </c>
      <c r="T68">
        <f>IFERROR(VLOOKUP($C68,武器!$1:$998,COLUMN(Q$1),FALSE),"")</f>
        <v>1</v>
      </c>
      <c r="U68">
        <f>IFERROR(VLOOKUP($C68,武器!$1:$998,COLUMN(R$1),FALSE),"")</f>
        <v>1</v>
      </c>
      <c r="V68">
        <f>IFERROR(VLOOKUP($C68,武器!$1:$998,COLUMN(Q$1),FALSE),"")</f>
        <v>1</v>
      </c>
      <c r="W68" t="str">
        <f>IFERROR(VLOOKUP($C68,武器!$1:$998,COLUMN(T$1),FALSE),"")</f>
        <v>Q</v>
      </c>
      <c r="Y68">
        <f>IFERROR(VLOOKUP($C68,武器!$1:$998,COLUMN(U$1),FALSE),"")</f>
        <v>0</v>
      </c>
      <c r="Z68">
        <f>IFERROR(ROUNDUP(VLOOKUP($C68,武器!$1:$998,COLUMN(O$1),FALSE)*VLOOKUP($D68,素材!$1:$1016,COLUMN(E$1),FALSE),1),"")</f>
        <v>0</v>
      </c>
      <c r="AA68">
        <f>IF(ISNUMBER(SEARCH(SUBSTITUTE(AA$1,RIGHT(AA$1,2),""),VLOOKUP($D68,素材!$1:$1016,COLUMN($F$1),FALSE))),VLOOKUP($C68,武器!$1:$998,COLUMN($O$1),FALSE)*VLOOKUP($D68,素材!$1:$1016,COLUMN($E$1),FALSE)/(LEN(VLOOKUP($D68,素材!$1:$1016,COLUMN($F$1),FALSE)) - LEN(SUBSTITUTE(VLOOKUP($D68,素材!$1:$1016,COLUMN($F$1),FALSE), "・", 0)) + 1), 0)</f>
        <v>0</v>
      </c>
      <c r="AB68">
        <f>IF(ISNUMBER(SEARCH(SUBSTITUTE(AB$1,RIGHT(AB$1,2),""),VLOOKUP($D68,素材!$1:$1016,COLUMN($F$1),FALSE))),VLOOKUP($C68,武器!$1:$998,COLUMN($O$1),FALSE)*VLOOKUP($D68,素材!$1:$1016,COLUMN($E$1),FALSE)/(LEN(VLOOKUP($D68,素材!$1:$1016,COLUMN($F$1),FALSE)) - LEN(SUBSTITUTE(VLOOKUP($D68,素材!$1:$1016,COLUMN($F$1),FALSE), "・", 0)) + 1), 0)</f>
        <v>0</v>
      </c>
      <c r="AC68">
        <f>IF(ISNUMBER(SEARCH(SUBSTITUTE(AC$1,RIGHT(AC$1,2),""),VLOOKUP($D68,素材!$1:$1016,COLUMN($F$1),FALSE))),VLOOKUP($C68,武器!$1:$998,COLUMN($O$1),FALSE)*VLOOKUP($D68,素材!$1:$1016,COLUMN($E$1),FALSE)/(LEN(VLOOKUP($D68,素材!$1:$1016,COLUMN($F$1),FALSE)) - LEN(SUBSTITUTE(VLOOKUP($D68,素材!$1:$1016,COLUMN($F$1),FALSE), "・", 0)) + 1), 0)</f>
        <v>0</v>
      </c>
      <c r="AD68">
        <f>IF(ISNUMBER(SEARCH(SUBSTITUTE(AD$1,RIGHT(AD$1,2),""),VLOOKUP($D68,素材!$1:$1016,COLUMN($F$1),FALSE))),VLOOKUP($C68,武器!$1:$998,COLUMN($O$1),FALSE)*VLOOKUP($D68,素材!$1:$1016,COLUMN($E$1),FALSE)/(LEN(VLOOKUP($D68,素材!$1:$1016,COLUMN($F$1),FALSE)) - LEN(SUBSTITUTE(VLOOKUP($D68,素材!$1:$1016,COLUMN($F$1),FALSE), "・", 0)) + 1), 0)</f>
        <v>0</v>
      </c>
      <c r="AE68">
        <f>IF(ISNUMBER(SEARCH(SUBSTITUTE(AE$1,RIGHT(AE$1,2),""),VLOOKUP($D68,素材!$1:$1016,COLUMN($F$1),FALSE))),VLOOKUP($C68,武器!$1:$998,COLUMN($O$1),FALSE)*VLOOKUP($D68,素材!$1:$1016,COLUMN($E$1),FALSE)/(LEN(VLOOKUP($D68,素材!$1:$1016,COLUMN($F$1),FALSE)) - LEN(SUBSTITUTE(VLOOKUP($D68,素材!$1:$1016,COLUMN($F$1),FALSE), "・", 0)) + 1), 0)</f>
        <v>0</v>
      </c>
      <c r="AF68">
        <f>IF(ISNUMBER(SEARCH(SUBSTITUTE(AF$1,RIGHT(AF$1,2),""),VLOOKUP($D68,素材!$1:$1016,COLUMN($F$1),FALSE))),VLOOKUP($C68,武器!$1:$998,COLUMN($O$1),FALSE)*VLOOKUP($D68,素材!$1:$1016,COLUMN($E$1),FALSE)/(LEN(VLOOKUP($D68,素材!$1:$1016,COLUMN($F$1),FALSE)) - LEN(SUBSTITUTE(VLOOKUP($D68,素材!$1:$1016,COLUMN($F$1),FALSE), "・", 0)) + 1), 0)</f>
        <v>0</v>
      </c>
      <c r="AG68">
        <f>IF(ISNUMBER(SEARCH(SUBSTITUTE(AG$1,RIGHT(AG$1,2),""),VLOOKUP($D68,素材!$1:$1016,COLUMN($F$1),FALSE))),VLOOKUP($C68,武器!$1:$998,COLUMN($O$1),FALSE)*VLOOKUP($D68,素材!$1:$1016,COLUMN($E$1),FALSE)/(LEN(VLOOKUP($D68,素材!$1:$1016,COLUMN($F$1),FALSE)) - LEN(SUBSTITUTE(VLOOKUP($D68,素材!$1:$1016,COLUMN($F$1),FALSE), "・", 0)) + 1), 0)</f>
        <v>0</v>
      </c>
      <c r="AH68">
        <f>IF(ISNUMBER(SEARCH(SUBSTITUTE(AH$1,RIGHT(AH$1,2),""),VLOOKUP($D68,素材!$1:$1016,COLUMN($F$1),FALSE))),VLOOKUP($C68,武器!$1:$998,COLUMN($O$1),FALSE)*VLOOKUP($D68,素材!$1:$1016,COLUMN($E$1),FALSE)/(LEN(VLOOKUP($D68,素材!$1:$1016,COLUMN($F$1),FALSE)) - LEN(SUBSTITUTE(VLOOKUP($D68,素材!$1:$1016,COLUMN($F$1),FALSE), "・", 0)) + 1), 0)</f>
        <v>0</v>
      </c>
      <c r="AI68">
        <f>IF(ISNUMBER(SEARCH(SUBSTITUTE(AI$1,RIGHT(AI$1,2),""),VLOOKUP($D68,素材!$1:$1016,COLUMN($F$1),FALSE))),VLOOKUP($C68,武器!$1:$998,COLUMN($O$1),FALSE)*VLOOKUP($D68,素材!$1:$1016,COLUMN($E$1),FALSE)/(LEN(VLOOKUP($D68,素材!$1:$1016,COLUMN($F$1),FALSE)) - LEN(SUBSTITUTE(VLOOKUP($D68,素材!$1:$1016,COLUMN($F$1),FALSE), "・", 0)) + 1), 0)</f>
        <v>0</v>
      </c>
      <c r="AJ68">
        <f>IF(ISNUMBER(SEARCH(SUBSTITUTE(AJ$1,RIGHT(AJ$1,2),""),VLOOKUP($D68,素材!$1:$1016,COLUMN($F$1),FALSE))),VLOOKUP($C68,武器!$1:$998,COLUMN($O$1),FALSE)*VLOOKUP($D68,素材!$1:$1016,COLUMN($E$1),FALSE)/(LEN(VLOOKUP($D68,素材!$1:$1016,COLUMN($F$1),FALSE)) - LEN(SUBSTITUTE(VLOOKUP($D68,素材!$1:$1016,COLUMN($F$1),FALSE), "・", 0)) + 1), 0)</f>
        <v>0</v>
      </c>
      <c r="AK68">
        <f>IF(ISNUMBER(SEARCH(SUBSTITUTE(AK$1,RIGHT(AK$1,2),""),VLOOKUP($D68,素材!$1:$1016,COLUMN($F$1),FALSE))),VLOOKUP($C68,武器!$1:$998,COLUMN($O$1),FALSE)*VLOOKUP($D68,素材!$1:$1016,COLUMN($E$1),FALSE)/(LEN(VLOOKUP($D68,素材!$1:$1016,COLUMN($F$1),FALSE)) - LEN(SUBSTITUTE(VLOOKUP($D68,素材!$1:$1016,COLUMN($F$1),FALSE), "・", 0)) + 1), 0)</f>
        <v>0</v>
      </c>
      <c r="AL68">
        <f>IF(ISNUMBER(SEARCH(SUBSTITUTE(AL$1,RIGHT(AL$1,2),""),VLOOKUP($D68,素材!$1:$1016,COLUMN($F$1),FALSE))),VLOOKUP($C68,武器!$1:$998,COLUMN($O$1),FALSE)*VLOOKUP($D68,素材!$1:$1016,COLUMN($E$1),FALSE)/(LEN(VLOOKUP($D68,素材!$1:$1016,COLUMN($F$1),FALSE)) - LEN(SUBSTITUTE(VLOOKUP($D68,素材!$1:$1016,COLUMN($F$1),FALSE), "・", 0)) + 1), 0)</f>
        <v>0</v>
      </c>
      <c r="AM68">
        <f>IF(ISNUMBER(SEARCH(SUBSTITUTE(AM$1,RIGHT(AM$1,2),""),VLOOKUP($D68,素材!$1:$1016,COLUMN($F$1),FALSE))),VLOOKUP($C68,武器!$1:$998,COLUMN($O$1),FALSE)*VLOOKUP($D68,素材!$1:$1016,COLUMN($E$1),FALSE)/(LEN(VLOOKUP($D68,素材!$1:$1016,COLUMN($F$1),FALSE)) - LEN(SUBSTITUTE(VLOOKUP($D68,素材!$1:$1016,COLUMN($F$1),FALSE), "・", 0)) + 1), 0)</f>
        <v>0</v>
      </c>
      <c r="AN68">
        <f>IF(ISNUMBER(SEARCH(SUBSTITUTE(AN$1,RIGHT(AN$1,2),""),VLOOKUP($D68,素材!$1:$1016,COLUMN($F$1),FALSE))),VLOOKUP($C68,武器!$1:$998,COLUMN($O$1),FALSE)*VLOOKUP($D68,素材!$1:$1016,COLUMN($E$1),FALSE)/(LEN(VLOOKUP($D68,素材!$1:$1016,COLUMN($F$1),FALSE)) - LEN(SUBSTITUTE(VLOOKUP($D68,素材!$1:$1016,COLUMN($F$1),FALSE), "・", 0)) + 1), 0)</f>
        <v>0</v>
      </c>
      <c r="AO68">
        <f>IF(ISNUMBER(SEARCH(SUBSTITUTE(AO$1,RIGHT(AO$1,2),""),VLOOKUP($D68,素材!$1:$1016,COLUMN($F$1),FALSE))),VLOOKUP($C68,武器!$1:$998,COLUMN($O$1),FALSE)*VLOOKUP($D68,素材!$1:$1016,COLUMN($E$1),FALSE)/(LEN(VLOOKUP($D68,素材!$1:$1016,COLUMN($F$1),FALSE)) - LEN(SUBSTITUTE(VLOOKUP($D68,素材!$1:$1016,COLUMN($F$1),FALSE), "・", 0)) + 1), 0)</f>
        <v>0</v>
      </c>
      <c r="AP68">
        <f>IF(ISNUMBER(SEARCH(SUBSTITUTE(AP$1,RIGHT(AP$1,2),""),VLOOKUP($D68,素材!$1:$1016,COLUMN($F$1),FALSE))),VLOOKUP($C68,武器!$1:$998,COLUMN($O$1),FALSE)*VLOOKUP($D68,素材!$1:$1016,COLUMN($E$1),FALSE)/(LEN(VLOOKUP($D68,素材!$1:$1016,COLUMN($F$1),FALSE)) - LEN(SUBSTITUTE(VLOOKUP($D68,素材!$1:$1016,COLUMN($F$1),FALSE), "・", 0)) + 1), 0)</f>
        <v>0</v>
      </c>
      <c r="AQ68">
        <f>IF(ISNUMBER(SEARCH(SUBSTITUTE(AQ$1,RIGHT(AQ$1,2),""),VLOOKUP($D68,素材!$1:$1016,COLUMN($F$1),FALSE))),VLOOKUP($C68,武器!$1:$998,COLUMN($O$1),FALSE)*VLOOKUP($D68,素材!$1:$1016,COLUMN($E$1),FALSE)/(LEN(VLOOKUP($D68,素材!$1:$1016,COLUMN($F$1),FALSE)) - LEN(SUBSTITUTE(VLOOKUP($D68,素材!$1:$1016,COLUMN($F$1),FALSE), "・", 0)) + 1), 0)</f>
        <v>0</v>
      </c>
      <c r="AR68">
        <f>IF(ISNUMBER(SEARCH(SUBSTITUTE(AR$1,RIGHT(AR$1,2),""),VLOOKUP($D68,素材!$1:$1016,COLUMN($F$1),FALSE))),VLOOKUP($C68,武器!$1:$998,COLUMN($O$1),FALSE)*VLOOKUP($D68,素材!$1:$1016,COLUMN($E$1),FALSE)/(LEN(VLOOKUP($D68,素材!$1:$1016,COLUMN($F$1),FALSE)) - LEN(SUBSTITUTE(VLOOKUP($D68,素材!$1:$1016,COLUMN($F$1),FALSE), "・", 0)) + 1), 0)</f>
        <v>0</v>
      </c>
      <c r="AS68">
        <f>IF(ISNUMBER(SEARCH(SUBSTITUTE(AS$1,RIGHT(AS$1,2),""),VLOOKUP($D68,素材!$1:$1016,COLUMN($F$1),FALSE))),VLOOKUP($C68,武器!$1:$998,COLUMN($O$1),FALSE)*VLOOKUP($D68,素材!$1:$1016,COLUMN($E$1),FALSE)/(LEN(VLOOKUP($D68,素材!$1:$1016,COLUMN($F$1),FALSE)) - LEN(SUBSTITUTE(VLOOKUP($D68,素材!$1:$1016,COLUMN($F$1),FALSE), "・", 0)) + 1), 0)</f>
        <v>0</v>
      </c>
      <c r="AT68">
        <f>IF(ISNUMBER(SEARCH(SUBSTITUTE(AT$1,RIGHT(AT$1,2),""),VLOOKUP($D68,素材!$1:$1016,COLUMN($F$1),FALSE))),VLOOKUP($C68,武器!$1:$998,COLUMN($O$1),FALSE)*VLOOKUP($D68,素材!$1:$1016,COLUMN($E$1),FALSE)/(LEN(VLOOKUP($D68,素材!$1:$1016,COLUMN($F$1),FALSE)) - LEN(SUBSTITUTE(VLOOKUP($D68,素材!$1:$1016,COLUMN($F$1),FALSE), "・", 0)) + 1), 0)</f>
        <v>0</v>
      </c>
      <c r="AU68">
        <f>IF(ISNUMBER(SEARCH(SUBSTITUTE(AU$1,RIGHT(AU$1,2),""),VLOOKUP($D68,素材!$1:$1016,COLUMN($F$1),FALSE))),VLOOKUP($C68,武器!$1:$998,COLUMN($O$1),FALSE)*VLOOKUP($D68,素材!$1:$1016,COLUMN($E$1),FALSE)/(LEN(VLOOKUP($D68,素材!$1:$1016,COLUMN($F$1),FALSE)) - LEN(SUBSTITUTE(VLOOKUP($D68,素材!$1:$1016,COLUMN($F$1),FALSE), "・", 0)) + 1), 0)</f>
        <v>0</v>
      </c>
      <c r="AV68">
        <f>IF(ISNUMBER(SEARCH(SUBSTITUTE(AV$1,RIGHT(AV$1,2),""),VLOOKUP($D68,素材!$1:$1016,COLUMN($F$1),FALSE))),VLOOKUP($C68,武器!$1:$998,COLUMN($O$1),FALSE)*VLOOKUP($D68,素材!$1:$1016,COLUMN($E$1),FALSE)/(LEN(VLOOKUP($D68,素材!$1:$1016,COLUMN($F$1),FALSE)) - LEN(SUBSTITUTE(VLOOKUP($D68,素材!$1:$1016,COLUMN($F$1),FALSE), "・", 0)) + 1), 0)</f>
        <v>0</v>
      </c>
      <c r="AW68">
        <f>IF(ISNUMBER(SEARCH(SUBSTITUTE(AW$1,RIGHT(AW$1,2),""),VLOOKUP($D68,素材!$1:$1016,COLUMN($F$1),FALSE))),VLOOKUP($C68,武器!$1:$998,COLUMN($O$1),FALSE)*VLOOKUP($D68,素材!$1:$1016,COLUMN($E$1),FALSE)/(LEN(VLOOKUP($D68,素材!$1:$1016,COLUMN($F$1),FALSE)) - LEN(SUBSTITUTE(VLOOKUP($D68,素材!$1:$1016,COLUMN($F$1),FALSE), "・", 0)) + 1), 0)</f>
        <v>0</v>
      </c>
      <c r="AX68">
        <f>IF(ISNUMBER(SEARCH(SUBSTITUTE(AX$1,RIGHT(AX$1,2),""),VLOOKUP($D68,素材!$1:$1016,COLUMN($F$1),FALSE))),VLOOKUP($C68,武器!$1:$998,COLUMN($O$1),FALSE)*VLOOKUP($D68,素材!$1:$1016,COLUMN($E$1),FALSE)/(LEN(VLOOKUP($D68,素材!$1:$1016,COLUMN($F$1),FALSE)) - LEN(SUBSTITUTE(VLOOKUP($D68,素材!$1:$1016,COLUMN($F$1),FALSE), "・", 0)) + 1), 0)</f>
        <v>0</v>
      </c>
      <c r="AY68">
        <f>IF(ISNUMBER(SEARCH(SUBSTITUTE(AY$1,RIGHT(AY$1,2),""),VLOOKUP($D68,素材!$1:$1016,COLUMN($F$1),FALSE))),VLOOKUP($C68,武器!$1:$998,COLUMN($O$1),FALSE)*VLOOKUP($D68,素材!$1:$1016,COLUMN($E$1),FALSE)/(LEN(VLOOKUP($D68,素材!$1:$1016,COLUMN($F$1),FALSE)) - LEN(SUBSTITUTE(VLOOKUP($D68,素材!$1:$1016,COLUMN($F$1),FALSE), "・", 0)) + 1), 0)</f>
        <v>0</v>
      </c>
      <c r="AZ68">
        <f>IF(ISNUMBER(SEARCH(SUBSTITUTE(AZ$1,RIGHT(AZ$1,2),""),VLOOKUP($D68,素材!$1:$1016,COLUMN($F$1),FALSE))),VLOOKUP($C68,武器!$1:$998,COLUMN($O$1),FALSE)*VLOOKUP($D68,素材!$1:$1016,COLUMN($E$1),FALSE)/(LEN(VLOOKUP($D68,素材!$1:$1016,COLUMN($F$1),FALSE)) - LEN(SUBSTITUTE(VLOOKUP($D68,素材!$1:$1016,COLUMN($F$1),FALSE), "・", 0)) + 1), 0)</f>
        <v>0</v>
      </c>
      <c r="BA68">
        <f>IF(ISNUMBER(SEARCH(SUBSTITUTE(BA$1,RIGHT(BA$1,2),""),VLOOKUP($D68,素材!$1:$1016,COLUMN($F$1),FALSE))),VLOOKUP($C68,武器!$1:$998,COLUMN($O$1),FALSE)*VLOOKUP($D68,素材!$1:$1016,COLUMN($E$1),FALSE)/(LEN(VLOOKUP($D68,素材!$1:$1016,COLUMN($F$1),FALSE)) - LEN(SUBSTITUTE(VLOOKUP($D68,素材!$1:$1016,COLUMN($F$1),FALSE), "・", 0)) + 1), 0)</f>
        <v>0</v>
      </c>
      <c r="BB68">
        <f>IF(ISNUMBER(SEARCH(SUBSTITUTE(BB$1,RIGHT(BB$1,2),""),VLOOKUP($D68,素材!$1:$1016,COLUMN($F$1),FALSE))),VLOOKUP($C68,武器!$1:$998,COLUMN($O$1),FALSE)*VLOOKUP($D68,素材!$1:$1016,COLUMN($E$1),FALSE)/(LEN(VLOOKUP($D68,素材!$1:$1016,COLUMN($F$1),FALSE)) - LEN(SUBSTITUTE(VLOOKUP($D68,素材!$1:$1016,COLUMN($F$1),FALSE), "・", 0)) + 1), 0)</f>
        <v>0</v>
      </c>
      <c r="BC68">
        <f>IF(ISNUMBER(SEARCH(SUBSTITUTE(BC$1,RIGHT(BC$1,2),""),VLOOKUP($D68,素材!$1:$1016,COLUMN($F$1),FALSE))),VLOOKUP($C68,武器!$1:$998,COLUMN($O$1),FALSE)*VLOOKUP($D68,素材!$1:$1016,COLUMN($E$1),FALSE)/(LEN(VLOOKUP($D68,素材!$1:$1016,COLUMN($F$1),FALSE)) - LEN(SUBSTITUTE(VLOOKUP($D68,素材!$1:$1016,COLUMN($F$1),FALSE), "・", 0)) + 1), 0)</f>
        <v>0</v>
      </c>
      <c r="BD68">
        <f>IF(ISNUMBER(SEARCH(SUBSTITUTE(BD$1,RIGHT(BD$1,2),""),VLOOKUP($D68,素材!$1:$1016,COLUMN($F$1),FALSE))),VLOOKUP($C68,武器!$1:$998,COLUMN($O$1),FALSE)*VLOOKUP($D68,素材!$1:$1016,COLUMN($E$1),FALSE)/(LEN(VLOOKUP($D68,素材!$1:$1016,COLUMN($F$1),FALSE)) - LEN(SUBSTITUTE(VLOOKUP($D68,素材!$1:$1016,COLUMN($F$1),FALSE), "・", 0)) + 1), 0)</f>
        <v>0</v>
      </c>
      <c r="BE68">
        <f>IF(ISNUMBER(SEARCH(SUBSTITUTE(BE$1,RIGHT(BE$1,2),""),VLOOKUP($D68,素材!$1:$1016,COLUMN($F$1),FALSE))),VLOOKUP($C68,武器!$1:$998,COLUMN($O$1),FALSE)*VLOOKUP($D68,素材!$1:$1016,COLUMN($E$1),FALSE)/(LEN(VLOOKUP($D68,素材!$1:$1016,COLUMN($F$1),FALSE)) - LEN(SUBSTITUTE(VLOOKUP($D68,素材!$1:$1016,COLUMN($F$1),FALSE), "・", 0)) + 1), 0)</f>
        <v>0</v>
      </c>
      <c r="CL68">
        <f>SUM(G68:I68)</f>
        <v>0</v>
      </c>
      <c r="CM68" s="22" t="str">
        <f>IF(E68="武器",IF(J68-1&gt;SUM(G68:I68),"盾",IF(MAX(G68:I68)=G68,"切断",IF(MAX(G68:I68)=H68,"貫通",IF(MAX(G68:I68)=I68,"打撃","射撃")))),E68)&amp;".webp"</f>
        <v>銃.webp</v>
      </c>
      <c r="CN68">
        <f>IFERROR(VLOOKUP($C68,武器!$1:$998,COLUMN(V$1),FALSE)*VLOOKUP($D68,素材!$1:$1016,COLUMN(N$1),FALSE)+IF(CI68="",0,VLOOKUP($CI68,装強!$1:$1008,COLUMN($CK$1),FALSE)),"")</f>
        <v>250</v>
      </c>
      <c r="CO68" t="str">
        <f>VLOOKUP(D68,素材!$A:$O,COLUMN(素材!O$1),FALSE)</f>
        <v>一般的な木材。金属より軽いが少し脆い</v>
      </c>
      <c r="CP68" t="str">
        <f>VLOOKUP(C68,武器!$A:$W,COLUMN(武器!W$1),FALSE)</f>
        <v/>
      </c>
      <c r="CR68" t="str">
        <f t="shared" si="5"/>
        <v>e_68</v>
      </c>
      <c r="CS68">
        <f t="shared" ref="CS68:CS138" si="6">CN68*100</f>
        <v>25000</v>
      </c>
    </row>
    <row r="69" spans="1:97" outlineLevel="1" x14ac:dyDescent="0.4">
      <c r="A69" t="str">
        <f t="shared" si="4"/>
        <v>木の射出弓</v>
      </c>
      <c r="B69" t="str">
        <f>IFERROR(VLOOKUP($D69,素材!$1:$1016,COLUMN($B$1),FALSE)&amp;"・"&amp;VLOOKUP($C69,武器!$1:$998,COLUMN(B$1),FALSE),"")</f>
        <v>ウッド・クロスボウ</v>
      </c>
      <c r="C69" t="s">
        <v>213</v>
      </c>
      <c r="D69" s="24" t="s">
        <v>255</v>
      </c>
      <c r="E69" t="str">
        <f>IFERROR(VLOOKUP(C69,武器!$1:$998,COLUMN(C$1),FALSE),"")</f>
        <v>銃</v>
      </c>
      <c r="F69">
        <f>IFERROR(ROUNDDOWN((VLOOKUP($C69,武器!$1:$998,COLUMN(D$1),FALSE)+IFERROR(VLOOKUP($CI69,装強!$1:$999,COLUMN(F$1),FALSE),0))*VLOOKUP($D69,素材!$1:$1016,COLUMN(D$1),FALSE),0),"")</f>
        <v>0</v>
      </c>
      <c r="G69">
        <f>IFERROR(ROUNDDOWN((VLOOKUP($C69,武器!$1:$998,COLUMN(E$1),FALSE)+IFERROR(VLOOKUP($CI69,装強!$1:$999,COLUMN(G$1),FALSE),0))*VLOOKUP($D69,素材!$1:$1016,COLUMN($E$1),FALSE),0),"")</f>
        <v>0</v>
      </c>
      <c r="H69">
        <f>IFERROR(ROUNDDOWN((VLOOKUP($C69,武器!$1:$998,COLUMN(F$1),FALSE)+IFERROR(VLOOKUP($CI69,装強!$1:$999,COLUMN(H$1),FALSE),0))*VLOOKUP($D69,素材!$1:$1016,COLUMN($E$1),FALSE),0),"")</f>
        <v>0</v>
      </c>
      <c r="I69">
        <f>IFERROR(ROUNDDOWN((VLOOKUP($C69,武器!$1:$998,COLUMN(G$1),FALSE)+IFERROR(VLOOKUP($CI69,装強!$1:$999,COLUMN(I$1),FALSE),0))*VLOOKUP($D69,素材!$1:$1016,COLUMN($E$1),FALSE),0),"")</f>
        <v>0</v>
      </c>
      <c r="J69">
        <f>IFERROR(ROUNDDOWN((VLOOKUP($C69,武器!$1:$998,COLUMN(H$1),FALSE)+IFERROR(VLOOKUP($CI69,装強!$1:$999,COLUMN(J$1),FALSE),0))*VLOOKUP($D69,素材!$1:$1016,COLUMN($E$1),FALSE),0),"")</f>
        <v>0</v>
      </c>
      <c r="K69">
        <f>IFERROR(ROUNDDOWN((VLOOKUP($C69,武器!$1:$998,COLUMN(I$1),FALSE)+IFERROR(VLOOKUP($CI69,装強!$1:$999,COLUMN(K$1),FALSE),0))*VLOOKUP($D69,素材!$1:$1016,COLUMN($E$1),FALSE),0),"")</f>
        <v>58</v>
      </c>
      <c r="L69">
        <f>IFERROR(VLOOKUP($D69,素材!$1:$1016,COLUMN($F$1),FALSE),"")</f>
        <v>0</v>
      </c>
      <c r="M69">
        <f>IFERROR(VLOOKUP($C69,武器!$1:$998,COLUMN(AA$1),FALSE)*VLOOKUP($D69,素材!$1:$1016,COLUMN($G$1),FALSE),"")</f>
        <v>0</v>
      </c>
      <c r="N69">
        <f>IFERROR(VLOOKUP($C69,武器!$1:$998,COLUMN(I$1),FALSE),"")</f>
        <v>3.9</v>
      </c>
      <c r="O69" s="23">
        <f>IFERROR((VLOOKUP($C69,武器!$1:$998,COLUMN(K$1),FALSE)+VLOOKUP($D69,素材!$1:$1016,COLUMN(H$1),FALSE))*100+IFERROR(VLOOKUP($CI69,装強!$1:$999,COLUMN(O$1),FALSE),0),"")</f>
        <v>10</v>
      </c>
      <c r="P69" s="23">
        <f>IFERROR((VLOOKUP($C69,武器!$1:$998,COLUMN(L$1),FALSE)+VLOOKUP($D69,素材!$1:$1016,COLUMN(I$1),FALSE))*100+IFERROR(VLOOKUP($CI69,装強!$1:$999,COLUMN(P$1),FALSE),0),"")</f>
        <v>150</v>
      </c>
      <c r="Q69">
        <f>IFERROR(ROUNDUP(VLOOKUP($C69,武器!$1:$998,COLUMN(M$1),FALSE)*(VLOOKUP($D69,素材!$1:$1002,COLUMN(D$1),FALSE)/100),1),"")</f>
        <v>0</v>
      </c>
      <c r="R69">
        <f>IFERROR(ROUNDUP(VLOOKUP($C69,武器!$1:$998,COLUMN(N$1),FALSE)*(VLOOKUP($D69,素材!$1:$1002,COLUMN(D$1),FALSE)/100),1),"")</f>
        <v>0</v>
      </c>
      <c r="S69">
        <f>IFERROR(VLOOKUP($C69,武器!$1:$998,COLUMN(P$1),FALSE),"")</f>
        <v>0</v>
      </c>
      <c r="T69">
        <f>IFERROR(VLOOKUP($C69,武器!$1:$998,COLUMN(Q$1),FALSE),"")</f>
        <v>1</v>
      </c>
      <c r="U69">
        <f>IFERROR(VLOOKUP($C69,武器!$1:$998,COLUMN(R$1),FALSE),"")</f>
        <v>1</v>
      </c>
      <c r="V69">
        <f>IFERROR(VLOOKUP($C69,武器!$1:$998,COLUMN(Q$1),FALSE),"")</f>
        <v>1</v>
      </c>
      <c r="W69" t="str">
        <f>IFERROR(VLOOKUP($C69,武器!$1:$998,COLUMN(T$1),FALSE),"")</f>
        <v>S</v>
      </c>
      <c r="Y69">
        <f>IFERROR(VLOOKUP($C69,武器!$1:$998,COLUMN(U$1),FALSE),"")</f>
        <v>0</v>
      </c>
      <c r="Z69">
        <f>IFERROR(ROUNDUP(VLOOKUP($C69,武器!$1:$998,COLUMN(O$1),FALSE)*VLOOKUP($D69,素材!$1:$1016,COLUMN(E$1),FALSE),1),"")</f>
        <v>0</v>
      </c>
      <c r="AA69">
        <f>IF(ISNUMBER(SEARCH(SUBSTITUTE(AA$1,RIGHT(AA$1,2),""),VLOOKUP($D69,素材!$1:$1016,COLUMN($F$1),FALSE))),VLOOKUP($C69,武器!$1:$998,COLUMN($O$1),FALSE)*VLOOKUP($D69,素材!$1:$1016,COLUMN($E$1),FALSE)/(LEN(VLOOKUP($D69,素材!$1:$1016,COLUMN($F$1),FALSE)) - LEN(SUBSTITUTE(VLOOKUP($D69,素材!$1:$1016,COLUMN($F$1),FALSE), "・", 0)) + 1), 0)</f>
        <v>0</v>
      </c>
      <c r="AB69">
        <f>IF(ISNUMBER(SEARCH(SUBSTITUTE(AB$1,RIGHT(AB$1,2),""),VLOOKUP($D69,素材!$1:$1016,COLUMN($F$1),FALSE))),VLOOKUP($C69,武器!$1:$998,COLUMN($O$1),FALSE)*VLOOKUP($D69,素材!$1:$1016,COLUMN($E$1),FALSE)/(LEN(VLOOKUP($D69,素材!$1:$1016,COLUMN($F$1),FALSE)) - LEN(SUBSTITUTE(VLOOKUP($D69,素材!$1:$1016,COLUMN($F$1),FALSE), "・", 0)) + 1), 0)</f>
        <v>0</v>
      </c>
      <c r="AC69">
        <f>IF(ISNUMBER(SEARCH(SUBSTITUTE(AC$1,RIGHT(AC$1,2),""),VLOOKUP($D69,素材!$1:$1016,COLUMN($F$1),FALSE))),VLOOKUP($C69,武器!$1:$998,COLUMN($O$1),FALSE)*VLOOKUP($D69,素材!$1:$1016,COLUMN($E$1),FALSE)/(LEN(VLOOKUP($D69,素材!$1:$1016,COLUMN($F$1),FALSE)) - LEN(SUBSTITUTE(VLOOKUP($D69,素材!$1:$1016,COLUMN($F$1),FALSE), "・", 0)) + 1), 0)</f>
        <v>0</v>
      </c>
      <c r="AD69">
        <f>IF(ISNUMBER(SEARCH(SUBSTITUTE(AD$1,RIGHT(AD$1,2),""),VLOOKUP($D69,素材!$1:$1016,COLUMN($F$1),FALSE))),VLOOKUP($C69,武器!$1:$998,COLUMN($O$1),FALSE)*VLOOKUP($D69,素材!$1:$1016,COLUMN($E$1),FALSE)/(LEN(VLOOKUP($D69,素材!$1:$1016,COLUMN($F$1),FALSE)) - LEN(SUBSTITUTE(VLOOKUP($D69,素材!$1:$1016,COLUMN($F$1),FALSE), "・", 0)) + 1), 0)</f>
        <v>0</v>
      </c>
      <c r="AE69">
        <f>IF(ISNUMBER(SEARCH(SUBSTITUTE(AE$1,RIGHT(AE$1,2),""),VLOOKUP($D69,素材!$1:$1016,COLUMN($F$1),FALSE))),VLOOKUP($C69,武器!$1:$998,COLUMN($O$1),FALSE)*VLOOKUP($D69,素材!$1:$1016,COLUMN($E$1),FALSE)/(LEN(VLOOKUP($D69,素材!$1:$1016,COLUMN($F$1),FALSE)) - LEN(SUBSTITUTE(VLOOKUP($D69,素材!$1:$1016,COLUMN($F$1),FALSE), "・", 0)) + 1), 0)</f>
        <v>0</v>
      </c>
      <c r="AF69">
        <f>IF(ISNUMBER(SEARCH(SUBSTITUTE(AF$1,RIGHT(AF$1,2),""),VLOOKUP($D69,素材!$1:$1016,COLUMN($F$1),FALSE))),VLOOKUP($C69,武器!$1:$998,COLUMN($O$1),FALSE)*VLOOKUP($D69,素材!$1:$1016,COLUMN($E$1),FALSE)/(LEN(VLOOKUP($D69,素材!$1:$1016,COLUMN($F$1),FALSE)) - LEN(SUBSTITUTE(VLOOKUP($D69,素材!$1:$1016,COLUMN($F$1),FALSE), "・", 0)) + 1), 0)</f>
        <v>0</v>
      </c>
      <c r="AG69">
        <f>IF(ISNUMBER(SEARCH(SUBSTITUTE(AG$1,RIGHT(AG$1,2),""),VLOOKUP($D69,素材!$1:$1016,COLUMN($F$1),FALSE))),VLOOKUP($C69,武器!$1:$998,COLUMN($O$1),FALSE)*VLOOKUP($D69,素材!$1:$1016,COLUMN($E$1),FALSE)/(LEN(VLOOKUP($D69,素材!$1:$1016,COLUMN($F$1),FALSE)) - LEN(SUBSTITUTE(VLOOKUP($D69,素材!$1:$1016,COLUMN($F$1),FALSE), "・", 0)) + 1), 0)</f>
        <v>0</v>
      </c>
      <c r="AH69">
        <f>IF(ISNUMBER(SEARCH(SUBSTITUTE(AH$1,RIGHT(AH$1,2),""),VLOOKUP($D69,素材!$1:$1016,COLUMN($F$1),FALSE))),VLOOKUP($C69,武器!$1:$998,COLUMN($O$1),FALSE)*VLOOKUP($D69,素材!$1:$1016,COLUMN($E$1),FALSE)/(LEN(VLOOKUP($D69,素材!$1:$1016,COLUMN($F$1),FALSE)) - LEN(SUBSTITUTE(VLOOKUP($D69,素材!$1:$1016,COLUMN($F$1),FALSE), "・", 0)) + 1), 0)</f>
        <v>0</v>
      </c>
      <c r="AI69">
        <f>IF(ISNUMBER(SEARCH(SUBSTITUTE(AI$1,RIGHT(AI$1,2),""),VLOOKUP($D69,素材!$1:$1016,COLUMN($F$1),FALSE))),VLOOKUP($C69,武器!$1:$998,COLUMN($O$1),FALSE)*VLOOKUP($D69,素材!$1:$1016,COLUMN($E$1),FALSE)/(LEN(VLOOKUP($D69,素材!$1:$1016,COLUMN($F$1),FALSE)) - LEN(SUBSTITUTE(VLOOKUP($D69,素材!$1:$1016,COLUMN($F$1),FALSE), "・", 0)) + 1), 0)</f>
        <v>0</v>
      </c>
      <c r="AJ69">
        <f>IF(ISNUMBER(SEARCH(SUBSTITUTE(AJ$1,RIGHT(AJ$1,2),""),VLOOKUP($D69,素材!$1:$1016,COLUMN($F$1),FALSE))),VLOOKUP($C69,武器!$1:$998,COLUMN($O$1),FALSE)*VLOOKUP($D69,素材!$1:$1016,COLUMN($E$1),FALSE)/(LEN(VLOOKUP($D69,素材!$1:$1016,COLUMN($F$1),FALSE)) - LEN(SUBSTITUTE(VLOOKUP($D69,素材!$1:$1016,COLUMN($F$1),FALSE), "・", 0)) + 1), 0)</f>
        <v>0</v>
      </c>
      <c r="AK69">
        <f>IF(ISNUMBER(SEARCH(SUBSTITUTE(AK$1,RIGHT(AK$1,2),""),VLOOKUP($D69,素材!$1:$1016,COLUMN($F$1),FALSE))),VLOOKUP($C69,武器!$1:$998,COLUMN($O$1),FALSE)*VLOOKUP($D69,素材!$1:$1016,COLUMN($E$1),FALSE)/(LEN(VLOOKUP($D69,素材!$1:$1016,COLUMN($F$1),FALSE)) - LEN(SUBSTITUTE(VLOOKUP($D69,素材!$1:$1016,COLUMN($F$1),FALSE), "・", 0)) + 1), 0)</f>
        <v>0</v>
      </c>
      <c r="AL69">
        <f>IF(ISNUMBER(SEARCH(SUBSTITUTE(AL$1,RIGHT(AL$1,2),""),VLOOKUP($D69,素材!$1:$1016,COLUMN($F$1),FALSE))),VLOOKUP($C69,武器!$1:$998,COLUMN($O$1),FALSE)*VLOOKUP($D69,素材!$1:$1016,COLUMN($E$1),FALSE)/(LEN(VLOOKUP($D69,素材!$1:$1016,COLUMN($F$1),FALSE)) - LEN(SUBSTITUTE(VLOOKUP($D69,素材!$1:$1016,COLUMN($F$1),FALSE), "・", 0)) + 1), 0)</f>
        <v>0</v>
      </c>
      <c r="AM69">
        <f>IF(ISNUMBER(SEARCH(SUBSTITUTE(AM$1,RIGHT(AM$1,2),""),VLOOKUP($D69,素材!$1:$1016,COLUMN($F$1),FALSE))),VLOOKUP($C69,武器!$1:$998,COLUMN($O$1),FALSE)*VLOOKUP($D69,素材!$1:$1016,COLUMN($E$1),FALSE)/(LEN(VLOOKUP($D69,素材!$1:$1016,COLUMN($F$1),FALSE)) - LEN(SUBSTITUTE(VLOOKUP($D69,素材!$1:$1016,COLUMN($F$1),FALSE), "・", 0)) + 1), 0)</f>
        <v>0</v>
      </c>
      <c r="AN69">
        <f>IF(ISNUMBER(SEARCH(SUBSTITUTE(AN$1,RIGHT(AN$1,2),""),VLOOKUP($D69,素材!$1:$1016,COLUMN($F$1),FALSE))),VLOOKUP($C69,武器!$1:$998,COLUMN($O$1),FALSE)*VLOOKUP($D69,素材!$1:$1016,COLUMN($E$1),FALSE)/(LEN(VLOOKUP($D69,素材!$1:$1016,COLUMN($F$1),FALSE)) - LEN(SUBSTITUTE(VLOOKUP($D69,素材!$1:$1016,COLUMN($F$1),FALSE), "・", 0)) + 1), 0)</f>
        <v>0</v>
      </c>
      <c r="AO69">
        <f>IF(ISNUMBER(SEARCH(SUBSTITUTE(AO$1,RIGHT(AO$1,2),""),VLOOKUP($D69,素材!$1:$1016,COLUMN($F$1),FALSE))),VLOOKUP($C69,武器!$1:$998,COLUMN($O$1),FALSE)*VLOOKUP($D69,素材!$1:$1016,COLUMN($E$1),FALSE)/(LEN(VLOOKUP($D69,素材!$1:$1016,COLUMN($F$1),FALSE)) - LEN(SUBSTITUTE(VLOOKUP($D69,素材!$1:$1016,COLUMN($F$1),FALSE), "・", 0)) + 1), 0)</f>
        <v>0</v>
      </c>
      <c r="AP69">
        <f>IF(ISNUMBER(SEARCH(SUBSTITUTE(AP$1,RIGHT(AP$1,2),""),VLOOKUP($D69,素材!$1:$1016,COLUMN($F$1),FALSE))),VLOOKUP($C69,武器!$1:$998,COLUMN($O$1),FALSE)*VLOOKUP($D69,素材!$1:$1016,COLUMN($E$1),FALSE)/(LEN(VLOOKUP($D69,素材!$1:$1016,COLUMN($F$1),FALSE)) - LEN(SUBSTITUTE(VLOOKUP($D69,素材!$1:$1016,COLUMN($F$1),FALSE), "・", 0)) + 1), 0)</f>
        <v>0</v>
      </c>
      <c r="AQ69">
        <f>IF(ISNUMBER(SEARCH(SUBSTITUTE(AQ$1,RIGHT(AQ$1,2),""),VLOOKUP($D69,素材!$1:$1016,COLUMN($F$1),FALSE))),VLOOKUP($C69,武器!$1:$998,COLUMN($O$1),FALSE)*VLOOKUP($D69,素材!$1:$1016,COLUMN($E$1),FALSE)/(LEN(VLOOKUP($D69,素材!$1:$1016,COLUMN($F$1),FALSE)) - LEN(SUBSTITUTE(VLOOKUP($D69,素材!$1:$1016,COLUMN($F$1),FALSE), "・", 0)) + 1), 0)</f>
        <v>0</v>
      </c>
      <c r="AR69">
        <f>IF(ISNUMBER(SEARCH(SUBSTITUTE(AR$1,RIGHT(AR$1,2),""),VLOOKUP($D69,素材!$1:$1016,COLUMN($F$1),FALSE))),VLOOKUP($C69,武器!$1:$998,COLUMN($O$1),FALSE)*VLOOKUP($D69,素材!$1:$1016,COLUMN($E$1),FALSE)/(LEN(VLOOKUP($D69,素材!$1:$1016,COLUMN($F$1),FALSE)) - LEN(SUBSTITUTE(VLOOKUP($D69,素材!$1:$1016,COLUMN($F$1),FALSE), "・", 0)) + 1), 0)</f>
        <v>0</v>
      </c>
      <c r="AS69">
        <f>IF(ISNUMBER(SEARCH(SUBSTITUTE(AS$1,RIGHT(AS$1,2),""),VLOOKUP($D69,素材!$1:$1016,COLUMN($F$1),FALSE))),VLOOKUP($C69,武器!$1:$998,COLUMN($O$1),FALSE)*VLOOKUP($D69,素材!$1:$1016,COLUMN($E$1),FALSE)/(LEN(VLOOKUP($D69,素材!$1:$1016,COLUMN($F$1),FALSE)) - LEN(SUBSTITUTE(VLOOKUP($D69,素材!$1:$1016,COLUMN($F$1),FALSE), "・", 0)) + 1), 0)</f>
        <v>0</v>
      </c>
      <c r="AT69">
        <f>IF(ISNUMBER(SEARCH(SUBSTITUTE(AT$1,RIGHT(AT$1,2),""),VLOOKUP($D69,素材!$1:$1016,COLUMN($F$1),FALSE))),VLOOKUP($C69,武器!$1:$998,COLUMN($O$1),FALSE)*VLOOKUP($D69,素材!$1:$1016,COLUMN($E$1),FALSE)/(LEN(VLOOKUP($D69,素材!$1:$1016,COLUMN($F$1),FALSE)) - LEN(SUBSTITUTE(VLOOKUP($D69,素材!$1:$1016,COLUMN($F$1),FALSE), "・", 0)) + 1), 0)</f>
        <v>0</v>
      </c>
      <c r="AU69">
        <f>IF(ISNUMBER(SEARCH(SUBSTITUTE(AU$1,RIGHT(AU$1,2),""),VLOOKUP($D69,素材!$1:$1016,COLUMN($F$1),FALSE))),VLOOKUP($C69,武器!$1:$998,COLUMN($O$1),FALSE)*VLOOKUP($D69,素材!$1:$1016,COLUMN($E$1),FALSE)/(LEN(VLOOKUP($D69,素材!$1:$1016,COLUMN($F$1),FALSE)) - LEN(SUBSTITUTE(VLOOKUP($D69,素材!$1:$1016,COLUMN($F$1),FALSE), "・", 0)) + 1), 0)</f>
        <v>0</v>
      </c>
      <c r="AV69">
        <f>IF(ISNUMBER(SEARCH(SUBSTITUTE(AV$1,RIGHT(AV$1,2),""),VLOOKUP($D69,素材!$1:$1016,COLUMN($F$1),FALSE))),VLOOKUP($C69,武器!$1:$998,COLUMN($O$1),FALSE)*VLOOKUP($D69,素材!$1:$1016,COLUMN($E$1),FALSE)/(LEN(VLOOKUP($D69,素材!$1:$1016,COLUMN($F$1),FALSE)) - LEN(SUBSTITUTE(VLOOKUP($D69,素材!$1:$1016,COLUMN($F$1),FALSE), "・", 0)) + 1), 0)</f>
        <v>0</v>
      </c>
      <c r="AW69">
        <f>IF(ISNUMBER(SEARCH(SUBSTITUTE(AW$1,RIGHT(AW$1,2),""),VLOOKUP($D69,素材!$1:$1016,COLUMN($F$1),FALSE))),VLOOKUP($C69,武器!$1:$998,COLUMN($O$1),FALSE)*VLOOKUP($D69,素材!$1:$1016,COLUMN($E$1),FALSE)/(LEN(VLOOKUP($D69,素材!$1:$1016,COLUMN($F$1),FALSE)) - LEN(SUBSTITUTE(VLOOKUP($D69,素材!$1:$1016,COLUMN($F$1),FALSE), "・", 0)) + 1), 0)</f>
        <v>0</v>
      </c>
      <c r="AX69">
        <f>IF(ISNUMBER(SEARCH(SUBSTITUTE(AX$1,RIGHT(AX$1,2),""),VLOOKUP($D69,素材!$1:$1016,COLUMN($F$1),FALSE))),VLOOKUP($C69,武器!$1:$998,COLUMN($O$1),FALSE)*VLOOKUP($D69,素材!$1:$1016,COLUMN($E$1),FALSE)/(LEN(VLOOKUP($D69,素材!$1:$1016,COLUMN($F$1),FALSE)) - LEN(SUBSTITUTE(VLOOKUP($D69,素材!$1:$1016,COLUMN($F$1),FALSE), "・", 0)) + 1), 0)</f>
        <v>0</v>
      </c>
      <c r="AY69">
        <f>IF(ISNUMBER(SEARCH(SUBSTITUTE(AY$1,RIGHT(AY$1,2),""),VLOOKUP($D69,素材!$1:$1016,COLUMN($F$1),FALSE))),VLOOKUP($C69,武器!$1:$998,COLUMN($O$1),FALSE)*VLOOKUP($D69,素材!$1:$1016,COLUMN($E$1),FALSE)/(LEN(VLOOKUP($D69,素材!$1:$1016,COLUMN($F$1),FALSE)) - LEN(SUBSTITUTE(VLOOKUP($D69,素材!$1:$1016,COLUMN($F$1),FALSE), "・", 0)) + 1), 0)</f>
        <v>0</v>
      </c>
      <c r="AZ69">
        <f>IF(ISNUMBER(SEARCH(SUBSTITUTE(AZ$1,RIGHT(AZ$1,2),""),VLOOKUP($D69,素材!$1:$1016,COLUMN($F$1),FALSE))),VLOOKUP($C69,武器!$1:$998,COLUMN($O$1),FALSE)*VLOOKUP($D69,素材!$1:$1016,COLUMN($E$1),FALSE)/(LEN(VLOOKUP($D69,素材!$1:$1016,COLUMN($F$1),FALSE)) - LEN(SUBSTITUTE(VLOOKUP($D69,素材!$1:$1016,COLUMN($F$1),FALSE), "・", 0)) + 1), 0)</f>
        <v>0</v>
      </c>
      <c r="BA69">
        <f>IF(ISNUMBER(SEARCH(SUBSTITUTE(BA$1,RIGHT(BA$1,2),""),VLOOKUP($D69,素材!$1:$1016,COLUMN($F$1),FALSE))),VLOOKUP($C69,武器!$1:$998,COLUMN($O$1),FALSE)*VLOOKUP($D69,素材!$1:$1016,COLUMN($E$1),FALSE)/(LEN(VLOOKUP($D69,素材!$1:$1016,COLUMN($F$1),FALSE)) - LEN(SUBSTITUTE(VLOOKUP($D69,素材!$1:$1016,COLUMN($F$1),FALSE), "・", 0)) + 1), 0)</f>
        <v>0</v>
      </c>
      <c r="BB69">
        <f>IF(ISNUMBER(SEARCH(SUBSTITUTE(BB$1,RIGHT(BB$1,2),""),VLOOKUP($D69,素材!$1:$1016,COLUMN($F$1),FALSE))),VLOOKUP($C69,武器!$1:$998,COLUMN($O$1),FALSE)*VLOOKUP($D69,素材!$1:$1016,COLUMN($E$1),FALSE)/(LEN(VLOOKUP($D69,素材!$1:$1016,COLUMN($F$1),FALSE)) - LEN(SUBSTITUTE(VLOOKUP($D69,素材!$1:$1016,COLUMN($F$1),FALSE), "・", 0)) + 1), 0)</f>
        <v>0</v>
      </c>
      <c r="BC69">
        <f>IF(ISNUMBER(SEARCH(SUBSTITUTE(BC$1,RIGHT(BC$1,2),""),VLOOKUP($D69,素材!$1:$1016,COLUMN($F$1),FALSE))),VLOOKUP($C69,武器!$1:$998,COLUMN($O$1),FALSE)*VLOOKUP($D69,素材!$1:$1016,COLUMN($E$1),FALSE)/(LEN(VLOOKUP($D69,素材!$1:$1016,COLUMN($F$1),FALSE)) - LEN(SUBSTITUTE(VLOOKUP($D69,素材!$1:$1016,COLUMN($F$1),FALSE), "・", 0)) + 1), 0)</f>
        <v>0</v>
      </c>
      <c r="BD69">
        <f>IF(ISNUMBER(SEARCH(SUBSTITUTE(BD$1,RIGHT(BD$1,2),""),VLOOKUP($D69,素材!$1:$1016,COLUMN($F$1),FALSE))),VLOOKUP($C69,武器!$1:$998,COLUMN($O$1),FALSE)*VLOOKUP($D69,素材!$1:$1016,COLUMN($E$1),FALSE)/(LEN(VLOOKUP($D69,素材!$1:$1016,COLUMN($F$1),FALSE)) - LEN(SUBSTITUTE(VLOOKUP($D69,素材!$1:$1016,COLUMN($F$1),FALSE), "・", 0)) + 1), 0)</f>
        <v>0</v>
      </c>
      <c r="BE69">
        <f>IF(ISNUMBER(SEARCH(SUBSTITUTE(BE$1,RIGHT(BE$1,2),""),VLOOKUP($D69,素材!$1:$1016,COLUMN($F$1),FALSE))),VLOOKUP($C69,武器!$1:$998,COLUMN($O$1),FALSE)*VLOOKUP($D69,素材!$1:$1016,COLUMN($E$1),FALSE)/(LEN(VLOOKUP($D69,素材!$1:$1016,COLUMN($F$1),FALSE)) - LEN(SUBSTITUTE(VLOOKUP($D69,素材!$1:$1016,COLUMN($F$1),FALSE), "・", 0)) + 1), 0)</f>
        <v>0</v>
      </c>
      <c r="CL69">
        <f>SUM(G69:I69)</f>
        <v>0</v>
      </c>
      <c r="CM69" s="22" t="str">
        <f>IF(E69="武器",IF(J69-1&gt;SUM(G69:I69),"盾",IF(MAX(G69:I69)=G69,"切断",IF(MAX(G69:I69)=H69,"貫通",IF(MAX(G69:I69)=I69,"打撃","射撃")))),E69)&amp;".webp"</f>
        <v>銃.webp</v>
      </c>
      <c r="CN69">
        <f>IFERROR(VLOOKUP($C69,武器!$1:$998,COLUMN(V$1),FALSE)*VLOOKUP($D69,素材!$1:$1016,COLUMN(N$1),FALSE)+IF(CI69="",0,VLOOKUP($CI69,装強!$1:$1008,COLUMN($CK$1),FALSE)),"")</f>
        <v>300</v>
      </c>
      <c r="CO69" t="str">
        <f>VLOOKUP(D69,素材!$A:$O,COLUMN(素材!O$1),FALSE)</f>
        <v>一般的な木材。金属より軽いが少し脆い</v>
      </c>
      <c r="CP69" t="str">
        <f>VLOOKUP(C69,武器!$A:$W,COLUMN(武器!W$1),FALSE)</f>
        <v/>
      </c>
      <c r="CR69" t="str">
        <f t="shared" si="5"/>
        <v>e_69</v>
      </c>
      <c r="CS69">
        <f t="shared" si="6"/>
        <v>30000</v>
      </c>
    </row>
    <row r="70" spans="1:97" outlineLevel="1" x14ac:dyDescent="0.4">
      <c r="A70" t="str">
        <f t="shared" si="4"/>
        <v>木の回転式拳銃</v>
      </c>
      <c r="B70" t="str">
        <f>IFERROR(VLOOKUP($D70,素材!$1:$1016,COLUMN($B$1),FALSE)&amp;"・"&amp;VLOOKUP($C70,武器!$1:$998,COLUMN(B$1),FALSE),"")</f>
        <v>ウッド・リボルバー</v>
      </c>
      <c r="C70" t="s">
        <v>212</v>
      </c>
      <c r="D70" s="24" t="s">
        <v>255</v>
      </c>
      <c r="E70" t="str">
        <f>IFERROR(VLOOKUP(C70,武器!$1:$998,COLUMN(C$1),FALSE),"")</f>
        <v>銃</v>
      </c>
      <c r="F70">
        <f>IFERROR(ROUNDDOWN((VLOOKUP($C70,武器!$1:$998,COLUMN(D$1),FALSE)+IFERROR(VLOOKUP($CI70,装強!$1:$999,COLUMN(F$1),FALSE),0))*VLOOKUP($D70,素材!$1:$1016,COLUMN(D$1),FALSE),0),"")</f>
        <v>0</v>
      </c>
      <c r="G70">
        <f>IFERROR(ROUNDDOWN((VLOOKUP($C70,武器!$1:$998,COLUMN(E$1),FALSE)+IFERROR(VLOOKUP($CI70,装強!$1:$999,COLUMN(G$1),FALSE),0))*VLOOKUP($D70,素材!$1:$1016,COLUMN($E$1),FALSE),0),"")</f>
        <v>0</v>
      </c>
      <c r="H70">
        <f>IFERROR(ROUNDDOWN((VLOOKUP($C70,武器!$1:$998,COLUMN(F$1),FALSE)+IFERROR(VLOOKUP($CI70,装強!$1:$999,COLUMN(H$1),FALSE),0))*VLOOKUP($D70,素材!$1:$1016,COLUMN($E$1),FALSE),0),"")</f>
        <v>0</v>
      </c>
      <c r="I70">
        <f>IFERROR(ROUNDDOWN((VLOOKUP($C70,武器!$1:$998,COLUMN(G$1),FALSE)+IFERROR(VLOOKUP($CI70,装強!$1:$999,COLUMN(I$1),FALSE),0))*VLOOKUP($D70,素材!$1:$1016,COLUMN($E$1),FALSE),0),"")</f>
        <v>0</v>
      </c>
      <c r="J70">
        <f>IFERROR(ROUNDDOWN((VLOOKUP($C70,武器!$1:$998,COLUMN(H$1),FALSE)+IFERROR(VLOOKUP($CI70,装強!$1:$999,COLUMN(J$1),FALSE),0))*VLOOKUP($D70,素材!$1:$1016,COLUMN($E$1),FALSE),0),"")</f>
        <v>0</v>
      </c>
      <c r="K70">
        <f>IFERROR(ROUNDDOWN((VLOOKUP($C70,武器!$1:$998,COLUMN(I$1),FALSE)+IFERROR(VLOOKUP($CI70,装強!$1:$999,COLUMN(K$1),FALSE),0))*VLOOKUP($D70,素材!$1:$1016,COLUMN($E$1),FALSE),0),"")</f>
        <v>38</v>
      </c>
      <c r="L70">
        <f>IFERROR(VLOOKUP($D70,素材!$1:$1016,COLUMN($F$1),FALSE),"")</f>
        <v>0</v>
      </c>
      <c r="M70">
        <f>IFERROR(VLOOKUP($C70,武器!$1:$998,COLUMN(AA$1),FALSE)*VLOOKUP($D70,素材!$1:$1016,COLUMN($G$1),FALSE),"")</f>
        <v>0</v>
      </c>
      <c r="N70">
        <f>IFERROR(VLOOKUP($C70,武器!$1:$998,COLUMN(I$1),FALSE),"")</f>
        <v>2.5700000000000003</v>
      </c>
      <c r="O70" s="23">
        <f>IFERROR((VLOOKUP($C70,武器!$1:$998,COLUMN(K$1),FALSE)+VLOOKUP($D70,素材!$1:$1016,COLUMN(H$1),FALSE))*100+IFERROR(VLOOKUP($CI70,装強!$1:$999,COLUMN(O$1),FALSE),0),"")</f>
        <v>10</v>
      </c>
      <c r="P70" s="23">
        <f>IFERROR((VLOOKUP($C70,武器!$1:$998,COLUMN(L$1),FALSE)+VLOOKUP($D70,素材!$1:$1016,COLUMN(I$1),FALSE))*100+IFERROR(VLOOKUP($CI70,装強!$1:$999,COLUMN(P$1),FALSE),0),"")</f>
        <v>140</v>
      </c>
      <c r="Q70">
        <f>IFERROR(ROUNDUP(VLOOKUP($C70,武器!$1:$998,COLUMN(M$1),FALSE)*(VLOOKUP($D70,素材!$1:$1002,COLUMN(D$1),FALSE)/100),1),"")</f>
        <v>0</v>
      </c>
      <c r="R70">
        <f>IFERROR(ROUNDUP(VLOOKUP($C70,武器!$1:$998,COLUMN(N$1),FALSE)*(VLOOKUP($D70,素材!$1:$1002,COLUMN(D$1),FALSE)/100),1),"")</f>
        <v>-11.299999999999999</v>
      </c>
      <c r="S70">
        <f>IFERROR(VLOOKUP($C70,武器!$1:$998,COLUMN(P$1),FALSE),"")</f>
        <v>0</v>
      </c>
      <c r="T70">
        <f>IFERROR(VLOOKUP($C70,武器!$1:$998,COLUMN(Q$1),FALSE),"")</f>
        <v>2</v>
      </c>
      <c r="U70">
        <f>IFERROR(VLOOKUP($C70,武器!$1:$998,COLUMN(R$1),FALSE),"")</f>
        <v>6</v>
      </c>
      <c r="V70">
        <f>IFERROR(VLOOKUP($C70,武器!$1:$998,COLUMN(Q$1),FALSE),"")</f>
        <v>2</v>
      </c>
      <c r="W70">
        <f>IFERROR(VLOOKUP($C70,武器!$1:$998,COLUMN(T$1),FALSE),"")</f>
        <v>0</v>
      </c>
      <c r="Y70">
        <f>IFERROR(VLOOKUP($C70,武器!$1:$998,COLUMN(U$1),FALSE),"")</f>
        <v>0</v>
      </c>
      <c r="Z70">
        <f>IFERROR(ROUNDUP(VLOOKUP($C70,武器!$1:$998,COLUMN(O$1),FALSE)*VLOOKUP($D70,素材!$1:$1016,COLUMN(E$1),FALSE),1),"")</f>
        <v>0</v>
      </c>
      <c r="AA70">
        <f>IF(ISNUMBER(SEARCH(SUBSTITUTE(AA$1,RIGHT(AA$1,2),""),VLOOKUP($D70,素材!$1:$1016,COLUMN($F$1),FALSE))),VLOOKUP($C70,武器!$1:$998,COLUMN($O$1),FALSE)*VLOOKUP($D70,素材!$1:$1016,COLUMN($E$1),FALSE)/(LEN(VLOOKUP($D70,素材!$1:$1016,COLUMN($F$1),FALSE)) - LEN(SUBSTITUTE(VLOOKUP($D70,素材!$1:$1016,COLUMN($F$1),FALSE), "・", 0)) + 1), 0)</f>
        <v>0</v>
      </c>
      <c r="AB70">
        <f>IF(ISNUMBER(SEARCH(SUBSTITUTE(AB$1,RIGHT(AB$1,2),""),VLOOKUP($D70,素材!$1:$1016,COLUMN($F$1),FALSE))),VLOOKUP($C70,武器!$1:$998,COLUMN($O$1),FALSE)*VLOOKUP($D70,素材!$1:$1016,COLUMN($E$1),FALSE)/(LEN(VLOOKUP($D70,素材!$1:$1016,COLUMN($F$1),FALSE)) - LEN(SUBSTITUTE(VLOOKUP($D70,素材!$1:$1016,COLUMN($F$1),FALSE), "・", 0)) + 1), 0)</f>
        <v>0</v>
      </c>
      <c r="AC70">
        <f>IF(ISNUMBER(SEARCH(SUBSTITUTE(AC$1,RIGHT(AC$1,2),""),VLOOKUP($D70,素材!$1:$1016,COLUMN($F$1),FALSE))),VLOOKUP($C70,武器!$1:$998,COLUMN($O$1),FALSE)*VLOOKUP($D70,素材!$1:$1016,COLUMN($E$1),FALSE)/(LEN(VLOOKUP($D70,素材!$1:$1016,COLUMN($F$1),FALSE)) - LEN(SUBSTITUTE(VLOOKUP($D70,素材!$1:$1016,COLUMN($F$1),FALSE), "・", 0)) + 1), 0)</f>
        <v>0</v>
      </c>
      <c r="AD70">
        <f>IF(ISNUMBER(SEARCH(SUBSTITUTE(AD$1,RIGHT(AD$1,2),""),VLOOKUP($D70,素材!$1:$1016,COLUMN($F$1),FALSE))),VLOOKUP($C70,武器!$1:$998,COLUMN($O$1),FALSE)*VLOOKUP($D70,素材!$1:$1016,COLUMN($E$1),FALSE)/(LEN(VLOOKUP($D70,素材!$1:$1016,COLUMN($F$1),FALSE)) - LEN(SUBSTITUTE(VLOOKUP($D70,素材!$1:$1016,COLUMN($F$1),FALSE), "・", 0)) + 1), 0)</f>
        <v>0</v>
      </c>
      <c r="AE70">
        <f>IF(ISNUMBER(SEARCH(SUBSTITUTE(AE$1,RIGHT(AE$1,2),""),VLOOKUP($D70,素材!$1:$1016,COLUMN($F$1),FALSE))),VLOOKUP($C70,武器!$1:$998,COLUMN($O$1),FALSE)*VLOOKUP($D70,素材!$1:$1016,COLUMN($E$1),FALSE)/(LEN(VLOOKUP($D70,素材!$1:$1016,COLUMN($F$1),FALSE)) - LEN(SUBSTITUTE(VLOOKUP($D70,素材!$1:$1016,COLUMN($F$1),FALSE), "・", 0)) + 1), 0)</f>
        <v>0</v>
      </c>
      <c r="AF70">
        <f>IF(ISNUMBER(SEARCH(SUBSTITUTE(AF$1,RIGHT(AF$1,2),""),VLOOKUP($D70,素材!$1:$1016,COLUMN($F$1),FALSE))),VLOOKUP($C70,武器!$1:$998,COLUMN($O$1),FALSE)*VLOOKUP($D70,素材!$1:$1016,COLUMN($E$1),FALSE)/(LEN(VLOOKUP($D70,素材!$1:$1016,COLUMN($F$1),FALSE)) - LEN(SUBSTITUTE(VLOOKUP($D70,素材!$1:$1016,COLUMN($F$1),FALSE), "・", 0)) + 1), 0)</f>
        <v>0</v>
      </c>
      <c r="AG70">
        <f>IF(ISNUMBER(SEARCH(SUBSTITUTE(AG$1,RIGHT(AG$1,2),""),VLOOKUP($D70,素材!$1:$1016,COLUMN($F$1),FALSE))),VLOOKUP($C70,武器!$1:$998,COLUMN($O$1),FALSE)*VLOOKUP($D70,素材!$1:$1016,COLUMN($E$1),FALSE)/(LEN(VLOOKUP($D70,素材!$1:$1016,COLUMN($F$1),FALSE)) - LEN(SUBSTITUTE(VLOOKUP($D70,素材!$1:$1016,COLUMN($F$1),FALSE), "・", 0)) + 1), 0)</f>
        <v>0</v>
      </c>
      <c r="AH70">
        <f>IF(ISNUMBER(SEARCH(SUBSTITUTE(AH$1,RIGHT(AH$1,2),""),VLOOKUP($D70,素材!$1:$1016,COLUMN($F$1),FALSE))),VLOOKUP($C70,武器!$1:$998,COLUMN($O$1),FALSE)*VLOOKUP($D70,素材!$1:$1016,COLUMN($E$1),FALSE)/(LEN(VLOOKUP($D70,素材!$1:$1016,COLUMN($F$1),FALSE)) - LEN(SUBSTITUTE(VLOOKUP($D70,素材!$1:$1016,COLUMN($F$1),FALSE), "・", 0)) + 1), 0)</f>
        <v>0</v>
      </c>
      <c r="AI70">
        <f>IF(ISNUMBER(SEARCH(SUBSTITUTE(AI$1,RIGHT(AI$1,2),""),VLOOKUP($D70,素材!$1:$1016,COLUMN($F$1),FALSE))),VLOOKUP($C70,武器!$1:$998,COLUMN($O$1),FALSE)*VLOOKUP($D70,素材!$1:$1016,COLUMN($E$1),FALSE)/(LEN(VLOOKUP($D70,素材!$1:$1016,COLUMN($F$1),FALSE)) - LEN(SUBSTITUTE(VLOOKUP($D70,素材!$1:$1016,COLUMN($F$1),FALSE), "・", 0)) + 1), 0)</f>
        <v>0</v>
      </c>
      <c r="AJ70">
        <f>IF(ISNUMBER(SEARCH(SUBSTITUTE(AJ$1,RIGHT(AJ$1,2),""),VLOOKUP($D70,素材!$1:$1016,COLUMN($F$1),FALSE))),VLOOKUP($C70,武器!$1:$998,COLUMN($O$1),FALSE)*VLOOKUP($D70,素材!$1:$1016,COLUMN($E$1),FALSE)/(LEN(VLOOKUP($D70,素材!$1:$1016,COLUMN($F$1),FALSE)) - LEN(SUBSTITUTE(VLOOKUP($D70,素材!$1:$1016,COLUMN($F$1),FALSE), "・", 0)) + 1), 0)</f>
        <v>0</v>
      </c>
      <c r="AK70">
        <f>IF(ISNUMBER(SEARCH(SUBSTITUTE(AK$1,RIGHT(AK$1,2),""),VLOOKUP($D70,素材!$1:$1016,COLUMN($F$1),FALSE))),VLOOKUP($C70,武器!$1:$998,COLUMN($O$1),FALSE)*VLOOKUP($D70,素材!$1:$1016,COLUMN($E$1),FALSE)/(LEN(VLOOKUP($D70,素材!$1:$1016,COLUMN($F$1),FALSE)) - LEN(SUBSTITUTE(VLOOKUP($D70,素材!$1:$1016,COLUMN($F$1),FALSE), "・", 0)) + 1), 0)</f>
        <v>0</v>
      </c>
      <c r="AL70">
        <f>IF(ISNUMBER(SEARCH(SUBSTITUTE(AL$1,RIGHT(AL$1,2),""),VLOOKUP($D70,素材!$1:$1016,COLUMN($F$1),FALSE))),VLOOKUP($C70,武器!$1:$998,COLUMN($O$1),FALSE)*VLOOKUP($D70,素材!$1:$1016,COLUMN($E$1),FALSE)/(LEN(VLOOKUP($D70,素材!$1:$1016,COLUMN($F$1),FALSE)) - LEN(SUBSTITUTE(VLOOKUP($D70,素材!$1:$1016,COLUMN($F$1),FALSE), "・", 0)) + 1), 0)</f>
        <v>0</v>
      </c>
      <c r="AM70">
        <f>IF(ISNUMBER(SEARCH(SUBSTITUTE(AM$1,RIGHT(AM$1,2),""),VLOOKUP($D70,素材!$1:$1016,COLUMN($F$1),FALSE))),VLOOKUP($C70,武器!$1:$998,COLUMN($O$1),FALSE)*VLOOKUP($D70,素材!$1:$1016,COLUMN($E$1),FALSE)/(LEN(VLOOKUP($D70,素材!$1:$1016,COLUMN($F$1),FALSE)) - LEN(SUBSTITUTE(VLOOKUP($D70,素材!$1:$1016,COLUMN($F$1),FALSE), "・", 0)) + 1), 0)</f>
        <v>0</v>
      </c>
      <c r="AN70">
        <f>IF(ISNUMBER(SEARCH(SUBSTITUTE(AN$1,RIGHT(AN$1,2),""),VLOOKUP($D70,素材!$1:$1016,COLUMN($F$1),FALSE))),VLOOKUP($C70,武器!$1:$998,COLUMN($O$1),FALSE)*VLOOKUP($D70,素材!$1:$1016,COLUMN($E$1),FALSE)/(LEN(VLOOKUP($D70,素材!$1:$1016,COLUMN($F$1),FALSE)) - LEN(SUBSTITUTE(VLOOKUP($D70,素材!$1:$1016,COLUMN($F$1),FALSE), "・", 0)) + 1), 0)</f>
        <v>0</v>
      </c>
      <c r="AO70">
        <f>IF(ISNUMBER(SEARCH(SUBSTITUTE(AO$1,RIGHT(AO$1,2),""),VLOOKUP($D70,素材!$1:$1016,COLUMN($F$1),FALSE))),VLOOKUP($C70,武器!$1:$998,COLUMN($O$1),FALSE)*VLOOKUP($D70,素材!$1:$1016,COLUMN($E$1),FALSE)/(LEN(VLOOKUP($D70,素材!$1:$1016,COLUMN($F$1),FALSE)) - LEN(SUBSTITUTE(VLOOKUP($D70,素材!$1:$1016,COLUMN($F$1),FALSE), "・", 0)) + 1), 0)</f>
        <v>0</v>
      </c>
      <c r="AP70">
        <f>IF(ISNUMBER(SEARCH(SUBSTITUTE(AP$1,RIGHT(AP$1,2),""),VLOOKUP($D70,素材!$1:$1016,COLUMN($F$1),FALSE))),VLOOKUP($C70,武器!$1:$998,COLUMN($O$1),FALSE)*VLOOKUP($D70,素材!$1:$1016,COLUMN($E$1),FALSE)/(LEN(VLOOKUP($D70,素材!$1:$1016,COLUMN($F$1),FALSE)) - LEN(SUBSTITUTE(VLOOKUP($D70,素材!$1:$1016,COLUMN($F$1),FALSE), "・", 0)) + 1), 0)</f>
        <v>0</v>
      </c>
      <c r="AQ70">
        <f>IF(ISNUMBER(SEARCH(SUBSTITUTE(AQ$1,RIGHT(AQ$1,2),""),VLOOKUP($D70,素材!$1:$1016,COLUMN($F$1),FALSE))),VLOOKUP($C70,武器!$1:$998,COLUMN($O$1),FALSE)*VLOOKUP($D70,素材!$1:$1016,COLUMN($E$1),FALSE)/(LEN(VLOOKUP($D70,素材!$1:$1016,COLUMN($F$1),FALSE)) - LEN(SUBSTITUTE(VLOOKUP($D70,素材!$1:$1016,COLUMN($F$1),FALSE), "・", 0)) + 1), 0)</f>
        <v>0</v>
      </c>
      <c r="AR70">
        <f>IF(ISNUMBER(SEARCH(SUBSTITUTE(AR$1,RIGHT(AR$1,2),""),VLOOKUP($D70,素材!$1:$1016,COLUMN($F$1),FALSE))),VLOOKUP($C70,武器!$1:$998,COLUMN($O$1),FALSE)*VLOOKUP($D70,素材!$1:$1016,COLUMN($E$1),FALSE)/(LEN(VLOOKUP($D70,素材!$1:$1016,COLUMN($F$1),FALSE)) - LEN(SUBSTITUTE(VLOOKUP($D70,素材!$1:$1016,COLUMN($F$1),FALSE), "・", 0)) + 1), 0)</f>
        <v>0</v>
      </c>
      <c r="AS70">
        <f>IF(ISNUMBER(SEARCH(SUBSTITUTE(AS$1,RIGHT(AS$1,2),""),VLOOKUP($D70,素材!$1:$1016,COLUMN($F$1),FALSE))),VLOOKUP($C70,武器!$1:$998,COLUMN($O$1),FALSE)*VLOOKUP($D70,素材!$1:$1016,COLUMN($E$1),FALSE)/(LEN(VLOOKUP($D70,素材!$1:$1016,COLUMN($F$1),FALSE)) - LEN(SUBSTITUTE(VLOOKUP($D70,素材!$1:$1016,COLUMN($F$1),FALSE), "・", 0)) + 1), 0)</f>
        <v>0</v>
      </c>
      <c r="AT70">
        <f>IF(ISNUMBER(SEARCH(SUBSTITUTE(AT$1,RIGHT(AT$1,2),""),VLOOKUP($D70,素材!$1:$1016,COLUMN($F$1),FALSE))),VLOOKUP($C70,武器!$1:$998,COLUMN($O$1),FALSE)*VLOOKUP($D70,素材!$1:$1016,COLUMN($E$1),FALSE)/(LEN(VLOOKUP($D70,素材!$1:$1016,COLUMN($F$1),FALSE)) - LEN(SUBSTITUTE(VLOOKUP($D70,素材!$1:$1016,COLUMN($F$1),FALSE), "・", 0)) + 1), 0)</f>
        <v>0</v>
      </c>
      <c r="AU70">
        <f>IF(ISNUMBER(SEARCH(SUBSTITUTE(AU$1,RIGHT(AU$1,2),""),VLOOKUP($D70,素材!$1:$1016,COLUMN($F$1),FALSE))),VLOOKUP($C70,武器!$1:$998,COLUMN($O$1),FALSE)*VLOOKUP($D70,素材!$1:$1016,COLUMN($E$1),FALSE)/(LEN(VLOOKUP($D70,素材!$1:$1016,COLUMN($F$1),FALSE)) - LEN(SUBSTITUTE(VLOOKUP($D70,素材!$1:$1016,COLUMN($F$1),FALSE), "・", 0)) + 1), 0)</f>
        <v>0</v>
      </c>
      <c r="AV70">
        <f>IF(ISNUMBER(SEARCH(SUBSTITUTE(AV$1,RIGHT(AV$1,2),""),VLOOKUP($D70,素材!$1:$1016,COLUMN($F$1),FALSE))),VLOOKUP($C70,武器!$1:$998,COLUMN($O$1),FALSE)*VLOOKUP($D70,素材!$1:$1016,COLUMN($E$1),FALSE)/(LEN(VLOOKUP($D70,素材!$1:$1016,COLUMN($F$1),FALSE)) - LEN(SUBSTITUTE(VLOOKUP($D70,素材!$1:$1016,COLUMN($F$1),FALSE), "・", 0)) + 1), 0)</f>
        <v>0</v>
      </c>
      <c r="AW70">
        <f>IF(ISNUMBER(SEARCH(SUBSTITUTE(AW$1,RIGHT(AW$1,2),""),VLOOKUP($D70,素材!$1:$1016,COLUMN($F$1),FALSE))),VLOOKUP($C70,武器!$1:$998,COLUMN($O$1),FALSE)*VLOOKUP($D70,素材!$1:$1016,COLUMN($E$1),FALSE)/(LEN(VLOOKUP($D70,素材!$1:$1016,COLUMN($F$1),FALSE)) - LEN(SUBSTITUTE(VLOOKUP($D70,素材!$1:$1016,COLUMN($F$1),FALSE), "・", 0)) + 1), 0)</f>
        <v>0</v>
      </c>
      <c r="AX70">
        <f>IF(ISNUMBER(SEARCH(SUBSTITUTE(AX$1,RIGHT(AX$1,2),""),VLOOKUP($D70,素材!$1:$1016,COLUMN($F$1),FALSE))),VLOOKUP($C70,武器!$1:$998,COLUMN($O$1),FALSE)*VLOOKUP($D70,素材!$1:$1016,COLUMN($E$1),FALSE)/(LEN(VLOOKUP($D70,素材!$1:$1016,COLUMN($F$1),FALSE)) - LEN(SUBSTITUTE(VLOOKUP($D70,素材!$1:$1016,COLUMN($F$1),FALSE), "・", 0)) + 1), 0)</f>
        <v>0</v>
      </c>
      <c r="AY70">
        <f>IF(ISNUMBER(SEARCH(SUBSTITUTE(AY$1,RIGHT(AY$1,2),""),VLOOKUP($D70,素材!$1:$1016,COLUMN($F$1),FALSE))),VLOOKUP($C70,武器!$1:$998,COLUMN($O$1),FALSE)*VLOOKUP($D70,素材!$1:$1016,COLUMN($E$1),FALSE)/(LEN(VLOOKUP($D70,素材!$1:$1016,COLUMN($F$1),FALSE)) - LEN(SUBSTITUTE(VLOOKUP($D70,素材!$1:$1016,COLUMN($F$1),FALSE), "・", 0)) + 1), 0)</f>
        <v>0</v>
      </c>
      <c r="AZ70">
        <f>IF(ISNUMBER(SEARCH(SUBSTITUTE(AZ$1,RIGHT(AZ$1,2),""),VLOOKUP($D70,素材!$1:$1016,COLUMN($F$1),FALSE))),VLOOKUP($C70,武器!$1:$998,COLUMN($O$1),FALSE)*VLOOKUP($D70,素材!$1:$1016,COLUMN($E$1),FALSE)/(LEN(VLOOKUP($D70,素材!$1:$1016,COLUMN($F$1),FALSE)) - LEN(SUBSTITUTE(VLOOKUP($D70,素材!$1:$1016,COLUMN($F$1),FALSE), "・", 0)) + 1), 0)</f>
        <v>0</v>
      </c>
      <c r="BA70">
        <f>IF(ISNUMBER(SEARCH(SUBSTITUTE(BA$1,RIGHT(BA$1,2),""),VLOOKUP($D70,素材!$1:$1016,COLUMN($F$1),FALSE))),VLOOKUP($C70,武器!$1:$998,COLUMN($O$1),FALSE)*VLOOKUP($D70,素材!$1:$1016,COLUMN($E$1),FALSE)/(LEN(VLOOKUP($D70,素材!$1:$1016,COLUMN($F$1),FALSE)) - LEN(SUBSTITUTE(VLOOKUP($D70,素材!$1:$1016,COLUMN($F$1),FALSE), "・", 0)) + 1), 0)</f>
        <v>0</v>
      </c>
      <c r="BB70">
        <f>IF(ISNUMBER(SEARCH(SUBSTITUTE(BB$1,RIGHT(BB$1,2),""),VLOOKUP($D70,素材!$1:$1016,COLUMN($F$1),FALSE))),VLOOKUP($C70,武器!$1:$998,COLUMN($O$1),FALSE)*VLOOKUP($D70,素材!$1:$1016,COLUMN($E$1),FALSE)/(LEN(VLOOKUP($D70,素材!$1:$1016,COLUMN($F$1),FALSE)) - LEN(SUBSTITUTE(VLOOKUP($D70,素材!$1:$1016,COLUMN($F$1),FALSE), "・", 0)) + 1), 0)</f>
        <v>0</v>
      </c>
      <c r="BC70">
        <f>IF(ISNUMBER(SEARCH(SUBSTITUTE(BC$1,RIGHT(BC$1,2),""),VLOOKUP($D70,素材!$1:$1016,COLUMN($F$1),FALSE))),VLOOKUP($C70,武器!$1:$998,COLUMN($O$1),FALSE)*VLOOKUP($D70,素材!$1:$1016,COLUMN($E$1),FALSE)/(LEN(VLOOKUP($D70,素材!$1:$1016,COLUMN($F$1),FALSE)) - LEN(SUBSTITUTE(VLOOKUP($D70,素材!$1:$1016,COLUMN($F$1),FALSE), "・", 0)) + 1), 0)</f>
        <v>0</v>
      </c>
      <c r="BD70">
        <f>IF(ISNUMBER(SEARCH(SUBSTITUTE(BD$1,RIGHT(BD$1,2),""),VLOOKUP($D70,素材!$1:$1016,COLUMN($F$1),FALSE))),VLOOKUP($C70,武器!$1:$998,COLUMN($O$1),FALSE)*VLOOKUP($D70,素材!$1:$1016,COLUMN($E$1),FALSE)/(LEN(VLOOKUP($D70,素材!$1:$1016,COLUMN($F$1),FALSE)) - LEN(SUBSTITUTE(VLOOKUP($D70,素材!$1:$1016,COLUMN($F$1),FALSE), "・", 0)) + 1), 0)</f>
        <v>0</v>
      </c>
      <c r="BE70">
        <f>IF(ISNUMBER(SEARCH(SUBSTITUTE(BE$1,RIGHT(BE$1,2),""),VLOOKUP($D70,素材!$1:$1016,COLUMN($F$1),FALSE))),VLOOKUP($C70,武器!$1:$998,COLUMN($O$1),FALSE)*VLOOKUP($D70,素材!$1:$1016,COLUMN($E$1),FALSE)/(LEN(VLOOKUP($D70,素材!$1:$1016,COLUMN($F$1),FALSE)) - LEN(SUBSTITUTE(VLOOKUP($D70,素材!$1:$1016,COLUMN($F$1),FALSE), "・", 0)) + 1), 0)</f>
        <v>0</v>
      </c>
      <c r="CL70">
        <f>SUM(G70:I70)</f>
        <v>0</v>
      </c>
      <c r="CM70" s="22" t="str">
        <f>IF(E70="武器",IF(J70-1&gt;SUM(G70:I70),"盾",IF(MAX(G70:I70)=G70,"切断",IF(MAX(G70:I70)=H70,"貫通",IF(MAX(G70:I70)=I70,"打撃","射撃")))),E70)&amp;".webp"</f>
        <v>銃.webp</v>
      </c>
      <c r="CN70">
        <f>IFERROR(VLOOKUP($C70,武器!$1:$998,COLUMN(V$1),FALSE)*VLOOKUP($D70,素材!$1:$1016,COLUMN(N$1),FALSE)+IF(CI70="",0,VLOOKUP($CI70,装強!$1:$1008,COLUMN($CK$1),FALSE)),"")</f>
        <v>200</v>
      </c>
      <c r="CO70" t="str">
        <f>VLOOKUP(D70,素材!$A:$O,COLUMN(素材!O$1),FALSE)</f>
        <v>一般的な木材。金属より軽いが少し脆い</v>
      </c>
      <c r="CP70" t="str">
        <f>VLOOKUP(C70,武器!$A:$W,COLUMN(武器!W$1),FALSE)</f>
        <v/>
      </c>
      <c r="CR70" t="str">
        <f t="shared" si="5"/>
        <v>e_70</v>
      </c>
      <c r="CS70">
        <f t="shared" si="6"/>
        <v>20000</v>
      </c>
    </row>
    <row r="71" spans="1:97" outlineLevel="1" x14ac:dyDescent="0.4">
      <c r="A71" t="str">
        <f t="shared" si="4"/>
        <v>木の拳銃</v>
      </c>
      <c r="B71" t="str">
        <f>IFERROR(VLOOKUP($D71,素材!$1:$1016,COLUMN($B$1),FALSE)&amp;"・"&amp;VLOOKUP($C71,武器!$1:$998,COLUMN(B$1),FALSE),"")</f>
        <v>ウッド・ハンドガン</v>
      </c>
      <c r="C71" t="s">
        <v>211</v>
      </c>
      <c r="D71" s="24" t="s">
        <v>255</v>
      </c>
      <c r="E71" t="str">
        <f>IFERROR(VLOOKUP(C71,武器!$1:$998,COLUMN(C$1),FALSE),"")</f>
        <v>銃</v>
      </c>
      <c r="F71">
        <f>IFERROR(ROUNDDOWN((VLOOKUP($C71,武器!$1:$998,COLUMN(D$1),FALSE)+IFERROR(VLOOKUP($CI71,装強!$1:$999,COLUMN(F$1),FALSE),0))*VLOOKUP($D71,素材!$1:$1016,COLUMN(D$1),FALSE),0),"")</f>
        <v>0</v>
      </c>
      <c r="G71">
        <f>IFERROR(ROUNDDOWN((VLOOKUP($C71,武器!$1:$998,COLUMN(E$1),FALSE)+IFERROR(VLOOKUP($CI71,装強!$1:$999,COLUMN(G$1),FALSE),0))*VLOOKUP($D71,素材!$1:$1016,COLUMN($E$1),FALSE),0),"")</f>
        <v>0</v>
      </c>
      <c r="H71">
        <f>IFERROR(ROUNDDOWN((VLOOKUP($C71,武器!$1:$998,COLUMN(F$1),FALSE)+IFERROR(VLOOKUP($CI71,装強!$1:$999,COLUMN(H$1),FALSE),0))*VLOOKUP($D71,素材!$1:$1016,COLUMN($E$1),FALSE),0),"")</f>
        <v>0</v>
      </c>
      <c r="I71">
        <f>IFERROR(ROUNDDOWN((VLOOKUP($C71,武器!$1:$998,COLUMN(G$1),FALSE)+IFERROR(VLOOKUP($CI71,装強!$1:$999,COLUMN(I$1),FALSE),0))*VLOOKUP($D71,素材!$1:$1016,COLUMN($E$1),FALSE),0),"")</f>
        <v>0</v>
      </c>
      <c r="J71">
        <f>IFERROR(ROUNDDOWN((VLOOKUP($C71,武器!$1:$998,COLUMN(H$1),FALSE)+IFERROR(VLOOKUP($CI71,装強!$1:$999,COLUMN(J$1),FALSE),0))*VLOOKUP($D71,素材!$1:$1016,COLUMN($E$1),FALSE),0),"")</f>
        <v>0</v>
      </c>
      <c r="K71">
        <f>IFERROR(ROUNDDOWN((VLOOKUP($C71,武器!$1:$998,COLUMN(I$1),FALSE)+IFERROR(VLOOKUP($CI71,装強!$1:$999,COLUMN(K$1),FALSE),0))*VLOOKUP($D71,素材!$1:$1016,COLUMN($E$1),FALSE),0),"")</f>
        <v>27</v>
      </c>
      <c r="L71">
        <f>IFERROR(VLOOKUP($D71,素材!$1:$1016,COLUMN($F$1),FALSE),"")</f>
        <v>0</v>
      </c>
      <c r="M71">
        <f>IFERROR(VLOOKUP($C71,武器!$1:$998,COLUMN(AA$1),FALSE)*VLOOKUP($D71,素材!$1:$1016,COLUMN($G$1),FALSE),"")</f>
        <v>0</v>
      </c>
      <c r="N71">
        <f>IFERROR(VLOOKUP($C71,武器!$1:$998,COLUMN(I$1),FALSE),"")</f>
        <v>1.8</v>
      </c>
      <c r="O71" s="23">
        <f>IFERROR((VLOOKUP($C71,武器!$1:$998,COLUMN(K$1),FALSE)+VLOOKUP($D71,素材!$1:$1016,COLUMN(H$1),FALSE))*100+IFERROR(VLOOKUP($CI71,装強!$1:$999,COLUMN(O$1),FALSE),0),"")</f>
        <v>15</v>
      </c>
      <c r="P71" s="23">
        <f>IFERROR((VLOOKUP($C71,武器!$1:$998,COLUMN(L$1),FALSE)+VLOOKUP($D71,素材!$1:$1016,COLUMN(I$1),FALSE))*100+IFERROR(VLOOKUP($CI71,装強!$1:$999,COLUMN(P$1),FALSE),0),"")</f>
        <v>175</v>
      </c>
      <c r="Q71">
        <f>IFERROR(ROUNDUP(VLOOKUP($C71,武器!$1:$998,COLUMN(M$1),FALSE)*(VLOOKUP($D71,素材!$1:$1002,COLUMN(D$1),FALSE)/100),1),"")</f>
        <v>0</v>
      </c>
      <c r="R71">
        <f>IFERROR(ROUNDUP(VLOOKUP($C71,武器!$1:$998,COLUMN(N$1),FALSE)*(VLOOKUP($D71,素材!$1:$1002,COLUMN(D$1),FALSE)/100),1),"")</f>
        <v>0</v>
      </c>
      <c r="S71">
        <f>IFERROR(VLOOKUP($C71,武器!$1:$998,COLUMN(P$1),FALSE),"")</f>
        <v>0</v>
      </c>
      <c r="T71">
        <f>IFERROR(VLOOKUP($C71,武器!$1:$998,COLUMN(Q$1),FALSE),"")</f>
        <v>3</v>
      </c>
      <c r="U71">
        <f>IFERROR(VLOOKUP($C71,武器!$1:$998,COLUMN(R$1),FALSE),"")</f>
        <v>1</v>
      </c>
      <c r="V71">
        <f>IFERROR(VLOOKUP($C71,武器!$1:$998,COLUMN(Q$1),FALSE),"")</f>
        <v>3</v>
      </c>
      <c r="W71">
        <f>IFERROR(VLOOKUP($C71,武器!$1:$998,COLUMN(T$1),FALSE),"")</f>
        <v>0</v>
      </c>
      <c r="Y71">
        <f>IFERROR(VLOOKUP($C71,武器!$1:$998,COLUMN(U$1),FALSE),"")</f>
        <v>0</v>
      </c>
      <c r="Z71">
        <f>IFERROR(ROUNDUP(VLOOKUP($C71,武器!$1:$998,COLUMN(O$1),FALSE)*VLOOKUP($D71,素材!$1:$1016,COLUMN(E$1),FALSE),1),"")</f>
        <v>0</v>
      </c>
      <c r="AA71">
        <f>IF(ISNUMBER(SEARCH(SUBSTITUTE(AA$1,RIGHT(AA$1,2),""),VLOOKUP($D71,素材!$1:$1016,COLUMN($F$1),FALSE))),VLOOKUP($C71,武器!$1:$998,COLUMN($O$1),FALSE)*VLOOKUP($D71,素材!$1:$1016,COLUMN($E$1),FALSE)/(LEN(VLOOKUP($D71,素材!$1:$1016,COLUMN($F$1),FALSE)) - LEN(SUBSTITUTE(VLOOKUP($D71,素材!$1:$1016,COLUMN($F$1),FALSE), "・", 0)) + 1), 0)</f>
        <v>0</v>
      </c>
      <c r="AB71">
        <f>IF(ISNUMBER(SEARCH(SUBSTITUTE(AB$1,RIGHT(AB$1,2),""),VLOOKUP($D71,素材!$1:$1016,COLUMN($F$1),FALSE))),VLOOKUP($C71,武器!$1:$998,COLUMN($O$1),FALSE)*VLOOKUP($D71,素材!$1:$1016,COLUMN($E$1),FALSE)/(LEN(VLOOKUP($D71,素材!$1:$1016,COLUMN($F$1),FALSE)) - LEN(SUBSTITUTE(VLOOKUP($D71,素材!$1:$1016,COLUMN($F$1),FALSE), "・", 0)) + 1), 0)</f>
        <v>0</v>
      </c>
      <c r="AC71">
        <f>IF(ISNUMBER(SEARCH(SUBSTITUTE(AC$1,RIGHT(AC$1,2),""),VLOOKUP($D71,素材!$1:$1016,COLUMN($F$1),FALSE))),VLOOKUP($C71,武器!$1:$998,COLUMN($O$1),FALSE)*VLOOKUP($D71,素材!$1:$1016,COLUMN($E$1),FALSE)/(LEN(VLOOKUP($D71,素材!$1:$1016,COLUMN($F$1),FALSE)) - LEN(SUBSTITUTE(VLOOKUP($D71,素材!$1:$1016,COLUMN($F$1),FALSE), "・", 0)) + 1), 0)</f>
        <v>0</v>
      </c>
      <c r="AD71">
        <f>IF(ISNUMBER(SEARCH(SUBSTITUTE(AD$1,RIGHT(AD$1,2),""),VLOOKUP($D71,素材!$1:$1016,COLUMN($F$1),FALSE))),VLOOKUP($C71,武器!$1:$998,COLUMN($O$1),FALSE)*VLOOKUP($D71,素材!$1:$1016,COLUMN($E$1),FALSE)/(LEN(VLOOKUP($D71,素材!$1:$1016,COLUMN($F$1),FALSE)) - LEN(SUBSTITUTE(VLOOKUP($D71,素材!$1:$1016,COLUMN($F$1),FALSE), "・", 0)) + 1), 0)</f>
        <v>0</v>
      </c>
      <c r="AE71">
        <f>IF(ISNUMBER(SEARCH(SUBSTITUTE(AE$1,RIGHT(AE$1,2),""),VLOOKUP($D71,素材!$1:$1016,COLUMN($F$1),FALSE))),VLOOKUP($C71,武器!$1:$998,COLUMN($O$1),FALSE)*VLOOKUP($D71,素材!$1:$1016,COLUMN($E$1),FALSE)/(LEN(VLOOKUP($D71,素材!$1:$1016,COLUMN($F$1),FALSE)) - LEN(SUBSTITUTE(VLOOKUP($D71,素材!$1:$1016,COLUMN($F$1),FALSE), "・", 0)) + 1), 0)</f>
        <v>0</v>
      </c>
      <c r="AF71">
        <f>IF(ISNUMBER(SEARCH(SUBSTITUTE(AF$1,RIGHT(AF$1,2),""),VLOOKUP($D71,素材!$1:$1016,COLUMN($F$1),FALSE))),VLOOKUP($C71,武器!$1:$998,COLUMN($O$1),FALSE)*VLOOKUP($D71,素材!$1:$1016,COLUMN($E$1),FALSE)/(LEN(VLOOKUP($D71,素材!$1:$1016,COLUMN($F$1),FALSE)) - LEN(SUBSTITUTE(VLOOKUP($D71,素材!$1:$1016,COLUMN($F$1),FALSE), "・", 0)) + 1), 0)</f>
        <v>0</v>
      </c>
      <c r="AG71">
        <f>IF(ISNUMBER(SEARCH(SUBSTITUTE(AG$1,RIGHT(AG$1,2),""),VLOOKUP($D71,素材!$1:$1016,COLUMN($F$1),FALSE))),VLOOKUP($C71,武器!$1:$998,COLUMN($O$1),FALSE)*VLOOKUP($D71,素材!$1:$1016,COLUMN($E$1),FALSE)/(LEN(VLOOKUP($D71,素材!$1:$1016,COLUMN($F$1),FALSE)) - LEN(SUBSTITUTE(VLOOKUP($D71,素材!$1:$1016,COLUMN($F$1),FALSE), "・", 0)) + 1), 0)</f>
        <v>0</v>
      </c>
      <c r="AH71">
        <f>IF(ISNUMBER(SEARCH(SUBSTITUTE(AH$1,RIGHT(AH$1,2),""),VLOOKUP($D71,素材!$1:$1016,COLUMN($F$1),FALSE))),VLOOKUP($C71,武器!$1:$998,COLUMN($O$1),FALSE)*VLOOKUP($D71,素材!$1:$1016,COLUMN($E$1),FALSE)/(LEN(VLOOKUP($D71,素材!$1:$1016,COLUMN($F$1),FALSE)) - LEN(SUBSTITUTE(VLOOKUP($D71,素材!$1:$1016,COLUMN($F$1),FALSE), "・", 0)) + 1), 0)</f>
        <v>0</v>
      </c>
      <c r="AI71">
        <f>IF(ISNUMBER(SEARCH(SUBSTITUTE(AI$1,RIGHT(AI$1,2),""),VLOOKUP($D71,素材!$1:$1016,COLUMN($F$1),FALSE))),VLOOKUP($C71,武器!$1:$998,COLUMN($O$1),FALSE)*VLOOKUP($D71,素材!$1:$1016,COLUMN($E$1),FALSE)/(LEN(VLOOKUP($D71,素材!$1:$1016,COLUMN($F$1),FALSE)) - LEN(SUBSTITUTE(VLOOKUP($D71,素材!$1:$1016,COLUMN($F$1),FALSE), "・", 0)) + 1), 0)</f>
        <v>0</v>
      </c>
      <c r="AJ71">
        <f>IF(ISNUMBER(SEARCH(SUBSTITUTE(AJ$1,RIGHT(AJ$1,2),""),VLOOKUP($D71,素材!$1:$1016,COLUMN($F$1),FALSE))),VLOOKUP($C71,武器!$1:$998,COLUMN($O$1),FALSE)*VLOOKUP($D71,素材!$1:$1016,COLUMN($E$1),FALSE)/(LEN(VLOOKUP($D71,素材!$1:$1016,COLUMN($F$1),FALSE)) - LEN(SUBSTITUTE(VLOOKUP($D71,素材!$1:$1016,COLUMN($F$1),FALSE), "・", 0)) + 1), 0)</f>
        <v>0</v>
      </c>
      <c r="AK71">
        <f>IF(ISNUMBER(SEARCH(SUBSTITUTE(AK$1,RIGHT(AK$1,2),""),VLOOKUP($D71,素材!$1:$1016,COLUMN($F$1),FALSE))),VLOOKUP($C71,武器!$1:$998,COLUMN($O$1),FALSE)*VLOOKUP($D71,素材!$1:$1016,COLUMN($E$1),FALSE)/(LEN(VLOOKUP($D71,素材!$1:$1016,COLUMN($F$1),FALSE)) - LEN(SUBSTITUTE(VLOOKUP($D71,素材!$1:$1016,COLUMN($F$1),FALSE), "・", 0)) + 1), 0)</f>
        <v>0</v>
      </c>
      <c r="AL71">
        <f>IF(ISNUMBER(SEARCH(SUBSTITUTE(AL$1,RIGHT(AL$1,2),""),VLOOKUP($D71,素材!$1:$1016,COLUMN($F$1),FALSE))),VLOOKUP($C71,武器!$1:$998,COLUMN($O$1),FALSE)*VLOOKUP($D71,素材!$1:$1016,COLUMN($E$1),FALSE)/(LEN(VLOOKUP($D71,素材!$1:$1016,COLUMN($F$1),FALSE)) - LEN(SUBSTITUTE(VLOOKUP($D71,素材!$1:$1016,COLUMN($F$1),FALSE), "・", 0)) + 1), 0)</f>
        <v>0</v>
      </c>
      <c r="AM71">
        <f>IF(ISNUMBER(SEARCH(SUBSTITUTE(AM$1,RIGHT(AM$1,2),""),VLOOKUP($D71,素材!$1:$1016,COLUMN($F$1),FALSE))),VLOOKUP($C71,武器!$1:$998,COLUMN($O$1),FALSE)*VLOOKUP($D71,素材!$1:$1016,COLUMN($E$1),FALSE)/(LEN(VLOOKUP($D71,素材!$1:$1016,COLUMN($F$1),FALSE)) - LEN(SUBSTITUTE(VLOOKUP($D71,素材!$1:$1016,COLUMN($F$1),FALSE), "・", 0)) + 1), 0)</f>
        <v>0</v>
      </c>
      <c r="AN71">
        <f>IF(ISNUMBER(SEARCH(SUBSTITUTE(AN$1,RIGHT(AN$1,2),""),VLOOKUP($D71,素材!$1:$1016,COLUMN($F$1),FALSE))),VLOOKUP($C71,武器!$1:$998,COLUMN($O$1),FALSE)*VLOOKUP($D71,素材!$1:$1016,COLUMN($E$1),FALSE)/(LEN(VLOOKUP($D71,素材!$1:$1016,COLUMN($F$1),FALSE)) - LEN(SUBSTITUTE(VLOOKUP($D71,素材!$1:$1016,COLUMN($F$1),FALSE), "・", 0)) + 1), 0)</f>
        <v>0</v>
      </c>
      <c r="AO71">
        <f>IF(ISNUMBER(SEARCH(SUBSTITUTE(AO$1,RIGHT(AO$1,2),""),VLOOKUP($D71,素材!$1:$1016,COLUMN($F$1),FALSE))),VLOOKUP($C71,武器!$1:$998,COLUMN($O$1),FALSE)*VLOOKUP($D71,素材!$1:$1016,COLUMN($E$1),FALSE)/(LEN(VLOOKUP($D71,素材!$1:$1016,COLUMN($F$1),FALSE)) - LEN(SUBSTITUTE(VLOOKUP($D71,素材!$1:$1016,COLUMN($F$1),FALSE), "・", 0)) + 1), 0)</f>
        <v>0</v>
      </c>
      <c r="AP71">
        <f>IF(ISNUMBER(SEARCH(SUBSTITUTE(AP$1,RIGHT(AP$1,2),""),VLOOKUP($D71,素材!$1:$1016,COLUMN($F$1),FALSE))),VLOOKUP($C71,武器!$1:$998,COLUMN($O$1),FALSE)*VLOOKUP($D71,素材!$1:$1016,COLUMN($E$1),FALSE)/(LEN(VLOOKUP($D71,素材!$1:$1016,COLUMN($F$1),FALSE)) - LEN(SUBSTITUTE(VLOOKUP($D71,素材!$1:$1016,COLUMN($F$1),FALSE), "・", 0)) + 1), 0)</f>
        <v>0</v>
      </c>
      <c r="AQ71">
        <f>IF(ISNUMBER(SEARCH(SUBSTITUTE(AQ$1,RIGHT(AQ$1,2),""),VLOOKUP($D71,素材!$1:$1016,COLUMN($F$1),FALSE))),VLOOKUP($C71,武器!$1:$998,COLUMN($O$1),FALSE)*VLOOKUP($D71,素材!$1:$1016,COLUMN($E$1),FALSE)/(LEN(VLOOKUP($D71,素材!$1:$1016,COLUMN($F$1),FALSE)) - LEN(SUBSTITUTE(VLOOKUP($D71,素材!$1:$1016,COLUMN($F$1),FALSE), "・", 0)) + 1), 0)</f>
        <v>0</v>
      </c>
      <c r="AR71">
        <f>IF(ISNUMBER(SEARCH(SUBSTITUTE(AR$1,RIGHT(AR$1,2),""),VLOOKUP($D71,素材!$1:$1016,COLUMN($F$1),FALSE))),VLOOKUP($C71,武器!$1:$998,COLUMN($O$1),FALSE)*VLOOKUP($D71,素材!$1:$1016,COLUMN($E$1),FALSE)/(LEN(VLOOKUP($D71,素材!$1:$1016,COLUMN($F$1),FALSE)) - LEN(SUBSTITUTE(VLOOKUP($D71,素材!$1:$1016,COLUMN($F$1),FALSE), "・", 0)) + 1), 0)</f>
        <v>0</v>
      </c>
      <c r="AS71">
        <f>IF(ISNUMBER(SEARCH(SUBSTITUTE(AS$1,RIGHT(AS$1,2),""),VLOOKUP($D71,素材!$1:$1016,COLUMN($F$1),FALSE))),VLOOKUP($C71,武器!$1:$998,COLUMN($O$1),FALSE)*VLOOKUP($D71,素材!$1:$1016,COLUMN($E$1),FALSE)/(LEN(VLOOKUP($D71,素材!$1:$1016,COLUMN($F$1),FALSE)) - LEN(SUBSTITUTE(VLOOKUP($D71,素材!$1:$1016,COLUMN($F$1),FALSE), "・", 0)) + 1), 0)</f>
        <v>0</v>
      </c>
      <c r="AT71">
        <f>IF(ISNUMBER(SEARCH(SUBSTITUTE(AT$1,RIGHT(AT$1,2),""),VLOOKUP($D71,素材!$1:$1016,COLUMN($F$1),FALSE))),VLOOKUP($C71,武器!$1:$998,COLUMN($O$1),FALSE)*VLOOKUP($D71,素材!$1:$1016,COLUMN($E$1),FALSE)/(LEN(VLOOKUP($D71,素材!$1:$1016,COLUMN($F$1),FALSE)) - LEN(SUBSTITUTE(VLOOKUP($D71,素材!$1:$1016,COLUMN($F$1),FALSE), "・", 0)) + 1), 0)</f>
        <v>0</v>
      </c>
      <c r="AU71">
        <f>IF(ISNUMBER(SEARCH(SUBSTITUTE(AU$1,RIGHT(AU$1,2),""),VLOOKUP($D71,素材!$1:$1016,COLUMN($F$1),FALSE))),VLOOKUP($C71,武器!$1:$998,COLUMN($O$1),FALSE)*VLOOKUP($D71,素材!$1:$1016,COLUMN($E$1),FALSE)/(LEN(VLOOKUP($D71,素材!$1:$1016,COLUMN($F$1),FALSE)) - LEN(SUBSTITUTE(VLOOKUP($D71,素材!$1:$1016,COLUMN($F$1),FALSE), "・", 0)) + 1), 0)</f>
        <v>0</v>
      </c>
      <c r="AV71">
        <f>IF(ISNUMBER(SEARCH(SUBSTITUTE(AV$1,RIGHT(AV$1,2),""),VLOOKUP($D71,素材!$1:$1016,COLUMN($F$1),FALSE))),VLOOKUP($C71,武器!$1:$998,COLUMN($O$1),FALSE)*VLOOKUP($D71,素材!$1:$1016,COLUMN($E$1),FALSE)/(LEN(VLOOKUP($D71,素材!$1:$1016,COLUMN($F$1),FALSE)) - LEN(SUBSTITUTE(VLOOKUP($D71,素材!$1:$1016,COLUMN($F$1),FALSE), "・", 0)) + 1), 0)</f>
        <v>0</v>
      </c>
      <c r="AW71">
        <f>IF(ISNUMBER(SEARCH(SUBSTITUTE(AW$1,RIGHT(AW$1,2),""),VLOOKUP($D71,素材!$1:$1016,COLUMN($F$1),FALSE))),VLOOKUP($C71,武器!$1:$998,COLUMN($O$1),FALSE)*VLOOKUP($D71,素材!$1:$1016,COLUMN($E$1),FALSE)/(LEN(VLOOKUP($D71,素材!$1:$1016,COLUMN($F$1),FALSE)) - LEN(SUBSTITUTE(VLOOKUP($D71,素材!$1:$1016,COLUMN($F$1),FALSE), "・", 0)) + 1), 0)</f>
        <v>0</v>
      </c>
      <c r="AX71">
        <f>IF(ISNUMBER(SEARCH(SUBSTITUTE(AX$1,RIGHT(AX$1,2),""),VLOOKUP($D71,素材!$1:$1016,COLUMN($F$1),FALSE))),VLOOKUP($C71,武器!$1:$998,COLUMN($O$1),FALSE)*VLOOKUP($D71,素材!$1:$1016,COLUMN($E$1),FALSE)/(LEN(VLOOKUP($D71,素材!$1:$1016,COLUMN($F$1),FALSE)) - LEN(SUBSTITUTE(VLOOKUP($D71,素材!$1:$1016,COLUMN($F$1),FALSE), "・", 0)) + 1), 0)</f>
        <v>0</v>
      </c>
      <c r="AY71">
        <f>IF(ISNUMBER(SEARCH(SUBSTITUTE(AY$1,RIGHT(AY$1,2),""),VLOOKUP($D71,素材!$1:$1016,COLUMN($F$1),FALSE))),VLOOKUP($C71,武器!$1:$998,COLUMN($O$1),FALSE)*VLOOKUP($D71,素材!$1:$1016,COLUMN($E$1),FALSE)/(LEN(VLOOKUP($D71,素材!$1:$1016,COLUMN($F$1),FALSE)) - LEN(SUBSTITUTE(VLOOKUP($D71,素材!$1:$1016,COLUMN($F$1),FALSE), "・", 0)) + 1), 0)</f>
        <v>0</v>
      </c>
      <c r="AZ71">
        <f>IF(ISNUMBER(SEARCH(SUBSTITUTE(AZ$1,RIGHT(AZ$1,2),""),VLOOKUP($D71,素材!$1:$1016,COLUMN($F$1),FALSE))),VLOOKUP($C71,武器!$1:$998,COLUMN($O$1),FALSE)*VLOOKUP($D71,素材!$1:$1016,COLUMN($E$1),FALSE)/(LEN(VLOOKUP($D71,素材!$1:$1016,COLUMN($F$1),FALSE)) - LEN(SUBSTITUTE(VLOOKUP($D71,素材!$1:$1016,COLUMN($F$1),FALSE), "・", 0)) + 1), 0)</f>
        <v>0</v>
      </c>
      <c r="BA71">
        <f>IF(ISNUMBER(SEARCH(SUBSTITUTE(BA$1,RIGHT(BA$1,2),""),VLOOKUP($D71,素材!$1:$1016,COLUMN($F$1),FALSE))),VLOOKUP($C71,武器!$1:$998,COLUMN($O$1),FALSE)*VLOOKUP($D71,素材!$1:$1016,COLUMN($E$1),FALSE)/(LEN(VLOOKUP($D71,素材!$1:$1016,COLUMN($F$1),FALSE)) - LEN(SUBSTITUTE(VLOOKUP($D71,素材!$1:$1016,COLUMN($F$1),FALSE), "・", 0)) + 1), 0)</f>
        <v>0</v>
      </c>
      <c r="BB71">
        <f>IF(ISNUMBER(SEARCH(SUBSTITUTE(BB$1,RIGHT(BB$1,2),""),VLOOKUP($D71,素材!$1:$1016,COLUMN($F$1),FALSE))),VLOOKUP($C71,武器!$1:$998,COLUMN($O$1),FALSE)*VLOOKUP($D71,素材!$1:$1016,COLUMN($E$1),FALSE)/(LEN(VLOOKUP($D71,素材!$1:$1016,COLUMN($F$1),FALSE)) - LEN(SUBSTITUTE(VLOOKUP($D71,素材!$1:$1016,COLUMN($F$1),FALSE), "・", 0)) + 1), 0)</f>
        <v>0</v>
      </c>
      <c r="BC71">
        <f>IF(ISNUMBER(SEARCH(SUBSTITUTE(BC$1,RIGHT(BC$1,2),""),VLOOKUP($D71,素材!$1:$1016,COLUMN($F$1),FALSE))),VLOOKUP($C71,武器!$1:$998,COLUMN($O$1),FALSE)*VLOOKUP($D71,素材!$1:$1016,COLUMN($E$1),FALSE)/(LEN(VLOOKUP($D71,素材!$1:$1016,COLUMN($F$1),FALSE)) - LEN(SUBSTITUTE(VLOOKUP($D71,素材!$1:$1016,COLUMN($F$1),FALSE), "・", 0)) + 1), 0)</f>
        <v>0</v>
      </c>
      <c r="BD71">
        <f>IF(ISNUMBER(SEARCH(SUBSTITUTE(BD$1,RIGHT(BD$1,2),""),VLOOKUP($D71,素材!$1:$1016,COLUMN($F$1),FALSE))),VLOOKUP($C71,武器!$1:$998,COLUMN($O$1),FALSE)*VLOOKUP($D71,素材!$1:$1016,COLUMN($E$1),FALSE)/(LEN(VLOOKUP($D71,素材!$1:$1016,COLUMN($F$1),FALSE)) - LEN(SUBSTITUTE(VLOOKUP($D71,素材!$1:$1016,COLUMN($F$1),FALSE), "・", 0)) + 1), 0)</f>
        <v>0</v>
      </c>
      <c r="BE71">
        <f>IF(ISNUMBER(SEARCH(SUBSTITUTE(BE$1,RIGHT(BE$1,2),""),VLOOKUP($D71,素材!$1:$1016,COLUMN($F$1),FALSE))),VLOOKUP($C71,武器!$1:$998,COLUMN($O$1),FALSE)*VLOOKUP($D71,素材!$1:$1016,COLUMN($E$1),FALSE)/(LEN(VLOOKUP($D71,素材!$1:$1016,COLUMN($F$1),FALSE)) - LEN(SUBSTITUTE(VLOOKUP($D71,素材!$1:$1016,COLUMN($F$1),FALSE), "・", 0)) + 1), 0)</f>
        <v>0</v>
      </c>
      <c r="CL71">
        <f>SUM(G71:I71)</f>
        <v>0</v>
      </c>
      <c r="CM71" s="22" t="str">
        <f>IF(E71="武器",IF(J71-1&gt;SUM(G71:I71),"盾",IF(MAX(G71:I71)=G71,"切断",IF(MAX(G71:I71)=H71,"貫通",IF(MAX(G71:I71)=I71,"打撃","射撃")))),E71)&amp;".webp"</f>
        <v>銃.webp</v>
      </c>
      <c r="CN71">
        <f>IFERROR(VLOOKUP($C71,武器!$1:$998,COLUMN(V$1),FALSE)*VLOOKUP($D71,素材!$1:$1016,COLUMN(N$1),FALSE)+IF(CI71="",0,VLOOKUP($CI71,装強!$1:$1008,COLUMN($CK$1),FALSE)),"")</f>
        <v>200</v>
      </c>
      <c r="CO71" t="str">
        <f>VLOOKUP(D71,素材!$A:$O,COLUMN(素材!O$1),FALSE)</f>
        <v>一般的な木材。金属より軽いが少し脆い</v>
      </c>
      <c r="CP71" t="str">
        <f>VLOOKUP(C71,武器!$A:$W,COLUMN(武器!W$1),FALSE)</f>
        <v/>
      </c>
      <c r="CR71" t="str">
        <f t="shared" si="5"/>
        <v>e_71</v>
      </c>
      <c r="CS71">
        <f t="shared" si="6"/>
        <v>20000</v>
      </c>
    </row>
    <row r="72" spans="1:97" outlineLevel="1" x14ac:dyDescent="0.4">
      <c r="A72" t="str">
        <f t="shared" si="4"/>
        <v>木の面兜</v>
      </c>
      <c r="B72" t="str">
        <f>IFERROR(VLOOKUP($D72,素材!$1:$1016,COLUMN($B$1),FALSE)&amp;"・"&amp;VLOOKUP($C72,武器!$1:$998,COLUMN(B$1),FALSE),"")</f>
        <v>ウッド・バイザーヘルム</v>
      </c>
      <c r="C72" t="s">
        <v>210</v>
      </c>
      <c r="D72" s="24" t="s">
        <v>255</v>
      </c>
      <c r="E72" t="str">
        <f>IFERROR(VLOOKUP(C72,武器!$1:$998,COLUMN(C$1),FALSE),"")</f>
        <v>頭</v>
      </c>
      <c r="F72">
        <f>IFERROR(ROUNDDOWN((VLOOKUP($C72,武器!$1:$998,COLUMN(D$1),FALSE)+IFERROR(VLOOKUP($CI72,装強!$1:$999,COLUMN(F$1),FALSE),0))*VLOOKUP($D72,素材!$1:$1016,COLUMN(D$1),FALSE),0),"")</f>
        <v>0</v>
      </c>
      <c r="G72">
        <f>IFERROR(ROUNDDOWN((VLOOKUP($C72,武器!$1:$998,COLUMN(E$1),FALSE)+IFERROR(VLOOKUP($CI72,装強!$1:$999,COLUMN(G$1),FALSE),0))*VLOOKUP($D72,素材!$1:$1016,COLUMN($E$1),FALSE),0),"")</f>
        <v>0</v>
      </c>
      <c r="H72">
        <f>IFERROR(ROUNDDOWN((VLOOKUP($C72,武器!$1:$998,COLUMN(F$1),FALSE)+IFERROR(VLOOKUP($CI72,装強!$1:$999,COLUMN(H$1),FALSE),0))*VLOOKUP($D72,素材!$1:$1016,COLUMN($E$1),FALSE),0),"")</f>
        <v>0</v>
      </c>
      <c r="I72">
        <f>IFERROR(ROUNDDOWN((VLOOKUP($C72,武器!$1:$998,COLUMN(G$1),FALSE)+IFERROR(VLOOKUP($CI72,装強!$1:$999,COLUMN(I$1),FALSE),0))*VLOOKUP($D72,素材!$1:$1016,COLUMN($E$1),FALSE),0),"")</f>
        <v>12</v>
      </c>
      <c r="J72">
        <f>IFERROR(ROUNDDOWN((VLOOKUP($C72,武器!$1:$998,COLUMN(H$1),FALSE)+IFERROR(VLOOKUP($CI72,装強!$1:$999,COLUMN(J$1),FALSE),0))*VLOOKUP($D72,素材!$1:$1016,COLUMN($E$1),FALSE),0),"")</f>
        <v>0</v>
      </c>
      <c r="K72">
        <f>IFERROR(ROUNDDOWN((VLOOKUP($C72,武器!$1:$998,COLUMN(I$1),FALSE)+IFERROR(VLOOKUP($CI72,装強!$1:$999,COLUMN(K$1),FALSE),0))*VLOOKUP($D72,素材!$1:$1016,COLUMN($E$1),FALSE),0),"")</f>
        <v>0</v>
      </c>
      <c r="L72">
        <f>IFERROR(VLOOKUP($D72,素材!$1:$1016,COLUMN($F$1),FALSE),"")</f>
        <v>0</v>
      </c>
      <c r="M72">
        <f>IFERROR(VLOOKUP($C72,武器!$1:$998,COLUMN(AA$1),FALSE)*VLOOKUP($D72,素材!$1:$1016,COLUMN($G$1),FALSE),"")</f>
        <v>0</v>
      </c>
      <c r="N72">
        <f>IFERROR(VLOOKUP($C72,武器!$1:$998,COLUMN(I$1),FALSE),"")</f>
        <v>0</v>
      </c>
      <c r="O72" s="23">
        <f>IFERROR((VLOOKUP($C72,武器!$1:$998,COLUMN(K$1),FALSE)+VLOOKUP($D72,素材!$1:$1016,COLUMN(H$1),FALSE))*100+IFERROR(VLOOKUP($CI72,装強!$1:$999,COLUMN(O$1),FALSE),0),"")</f>
        <v>5</v>
      </c>
      <c r="P72" s="23">
        <f>IFERROR((VLOOKUP($C72,武器!$1:$998,COLUMN(L$1),FALSE)+VLOOKUP($D72,素材!$1:$1016,COLUMN(I$1),FALSE))*100+IFERROR(VLOOKUP($CI72,装強!$1:$999,COLUMN(P$1),FALSE),0),"")</f>
        <v>125</v>
      </c>
      <c r="Q72">
        <f>IFERROR(ROUNDUP(VLOOKUP($C72,武器!$1:$998,COLUMN(M$1),FALSE)*(VLOOKUP($D72,素材!$1:$1002,COLUMN(D$1),FALSE)/100),1),"")</f>
        <v>-5.6999999999999993</v>
      </c>
      <c r="R72">
        <f>IFERROR(ROUNDUP(VLOOKUP($C72,武器!$1:$998,COLUMN(N$1),FALSE)*(VLOOKUP($D72,素材!$1:$1002,COLUMN(D$1),FALSE)/100),1),"")</f>
        <v>0</v>
      </c>
      <c r="S72">
        <f>IFERROR(VLOOKUP($C72,武器!$1:$998,COLUMN(P$1),FALSE),"")</f>
        <v>0</v>
      </c>
      <c r="T72">
        <f>IFERROR(VLOOKUP($C72,武器!$1:$998,COLUMN(Q$1),FALSE),"")</f>
        <v>0</v>
      </c>
      <c r="U72">
        <f>IFERROR(VLOOKUP($C72,武器!$1:$998,COLUMN(R$1),FALSE),"")</f>
        <v>0</v>
      </c>
      <c r="V72">
        <f>IFERROR(VLOOKUP($C72,武器!$1:$998,COLUMN(Q$1),FALSE),"")</f>
        <v>0</v>
      </c>
      <c r="W72">
        <f>IFERROR(VLOOKUP($C72,武器!$1:$998,COLUMN(T$1),FALSE),"")</f>
        <v>0</v>
      </c>
      <c r="Y72">
        <f>IFERROR(VLOOKUP($C72,武器!$1:$998,COLUMN(U$1),FALSE),"")</f>
        <v>0</v>
      </c>
      <c r="Z72">
        <f>IFERROR(ROUNDUP(VLOOKUP($C72,武器!$1:$998,COLUMN(O$1),FALSE)*VLOOKUP($D72,素材!$1:$1016,COLUMN(E$1),FALSE),1),"")</f>
        <v>5.3</v>
      </c>
      <c r="AA72">
        <f>IF(ISNUMBER(SEARCH(SUBSTITUTE(AA$1,RIGHT(AA$1,2),""),VLOOKUP($D72,素材!$1:$1016,COLUMN($F$1),FALSE))),VLOOKUP($C72,武器!$1:$998,COLUMN($O$1),FALSE)*VLOOKUP($D72,素材!$1:$1016,COLUMN($E$1),FALSE)/(LEN(VLOOKUP($D72,素材!$1:$1016,COLUMN($F$1),FALSE)) - LEN(SUBSTITUTE(VLOOKUP($D72,素材!$1:$1016,COLUMN($F$1),FALSE), "・", 0)) + 1), 0)</f>
        <v>0</v>
      </c>
      <c r="AB72">
        <f>IF(ISNUMBER(SEARCH(SUBSTITUTE(AB$1,RIGHT(AB$1,2),""),VLOOKUP($D72,素材!$1:$1016,COLUMN($F$1),FALSE))),VLOOKUP($C72,武器!$1:$998,COLUMN($O$1),FALSE)*VLOOKUP($D72,素材!$1:$1016,COLUMN($E$1),FALSE)/(LEN(VLOOKUP($D72,素材!$1:$1016,COLUMN($F$1),FALSE)) - LEN(SUBSTITUTE(VLOOKUP($D72,素材!$1:$1016,COLUMN($F$1),FALSE), "・", 0)) + 1), 0)</f>
        <v>0</v>
      </c>
      <c r="AC72">
        <f>IF(ISNUMBER(SEARCH(SUBSTITUTE(AC$1,RIGHT(AC$1,2),""),VLOOKUP($D72,素材!$1:$1016,COLUMN($F$1),FALSE))),VLOOKUP($C72,武器!$1:$998,COLUMN($O$1),FALSE)*VLOOKUP($D72,素材!$1:$1016,COLUMN($E$1),FALSE)/(LEN(VLOOKUP($D72,素材!$1:$1016,COLUMN($F$1),FALSE)) - LEN(SUBSTITUTE(VLOOKUP($D72,素材!$1:$1016,COLUMN($F$1),FALSE), "・", 0)) + 1), 0)</f>
        <v>0</v>
      </c>
      <c r="AD72">
        <f>IF(ISNUMBER(SEARCH(SUBSTITUTE(AD$1,RIGHT(AD$1,2),""),VLOOKUP($D72,素材!$1:$1016,COLUMN($F$1),FALSE))),VLOOKUP($C72,武器!$1:$998,COLUMN($O$1),FALSE)*VLOOKUP($D72,素材!$1:$1016,COLUMN($E$1),FALSE)/(LEN(VLOOKUP($D72,素材!$1:$1016,COLUMN($F$1),FALSE)) - LEN(SUBSTITUTE(VLOOKUP($D72,素材!$1:$1016,COLUMN($F$1),FALSE), "・", 0)) + 1), 0)</f>
        <v>0</v>
      </c>
      <c r="AE72">
        <f>IF(ISNUMBER(SEARCH(SUBSTITUTE(AE$1,RIGHT(AE$1,2),""),VLOOKUP($D72,素材!$1:$1016,COLUMN($F$1),FALSE))),VLOOKUP($C72,武器!$1:$998,COLUMN($O$1),FALSE)*VLOOKUP($D72,素材!$1:$1016,COLUMN($E$1),FALSE)/(LEN(VLOOKUP($D72,素材!$1:$1016,COLUMN($F$1),FALSE)) - LEN(SUBSTITUTE(VLOOKUP($D72,素材!$1:$1016,COLUMN($F$1),FALSE), "・", 0)) + 1), 0)</f>
        <v>0</v>
      </c>
      <c r="AF72">
        <f>IF(ISNUMBER(SEARCH(SUBSTITUTE(AF$1,RIGHT(AF$1,2),""),VLOOKUP($D72,素材!$1:$1016,COLUMN($F$1),FALSE))),VLOOKUP($C72,武器!$1:$998,COLUMN($O$1),FALSE)*VLOOKUP($D72,素材!$1:$1016,COLUMN($E$1),FALSE)/(LEN(VLOOKUP($D72,素材!$1:$1016,COLUMN($F$1),FALSE)) - LEN(SUBSTITUTE(VLOOKUP($D72,素材!$1:$1016,COLUMN($F$1),FALSE), "・", 0)) + 1), 0)</f>
        <v>0</v>
      </c>
      <c r="AG72">
        <f>IF(ISNUMBER(SEARCH(SUBSTITUTE(AG$1,RIGHT(AG$1,2),""),VLOOKUP($D72,素材!$1:$1016,COLUMN($F$1),FALSE))),VLOOKUP($C72,武器!$1:$998,COLUMN($O$1),FALSE)*VLOOKUP($D72,素材!$1:$1016,COLUMN($E$1),FALSE)/(LEN(VLOOKUP($D72,素材!$1:$1016,COLUMN($F$1),FALSE)) - LEN(SUBSTITUTE(VLOOKUP($D72,素材!$1:$1016,COLUMN($F$1),FALSE), "・", 0)) + 1), 0)</f>
        <v>0</v>
      </c>
      <c r="AH72">
        <f>IF(ISNUMBER(SEARCH(SUBSTITUTE(AH$1,RIGHT(AH$1,2),""),VLOOKUP($D72,素材!$1:$1016,COLUMN($F$1),FALSE))),VLOOKUP($C72,武器!$1:$998,COLUMN($O$1),FALSE)*VLOOKUP($D72,素材!$1:$1016,COLUMN($E$1),FALSE)/(LEN(VLOOKUP($D72,素材!$1:$1016,COLUMN($F$1),FALSE)) - LEN(SUBSTITUTE(VLOOKUP($D72,素材!$1:$1016,COLUMN($F$1),FALSE), "・", 0)) + 1), 0)</f>
        <v>0</v>
      </c>
      <c r="AI72">
        <f>IF(ISNUMBER(SEARCH(SUBSTITUTE(AI$1,RIGHT(AI$1,2),""),VLOOKUP($D72,素材!$1:$1016,COLUMN($F$1),FALSE))),VLOOKUP($C72,武器!$1:$998,COLUMN($O$1),FALSE)*VLOOKUP($D72,素材!$1:$1016,COLUMN($E$1),FALSE)/(LEN(VLOOKUP($D72,素材!$1:$1016,COLUMN($F$1),FALSE)) - LEN(SUBSTITUTE(VLOOKUP($D72,素材!$1:$1016,COLUMN($F$1),FALSE), "・", 0)) + 1), 0)</f>
        <v>0</v>
      </c>
      <c r="AJ72">
        <f>IF(ISNUMBER(SEARCH(SUBSTITUTE(AJ$1,RIGHT(AJ$1,2),""),VLOOKUP($D72,素材!$1:$1016,COLUMN($F$1),FALSE))),VLOOKUP($C72,武器!$1:$998,COLUMN($O$1),FALSE)*VLOOKUP($D72,素材!$1:$1016,COLUMN($E$1),FALSE)/(LEN(VLOOKUP($D72,素材!$1:$1016,COLUMN($F$1),FALSE)) - LEN(SUBSTITUTE(VLOOKUP($D72,素材!$1:$1016,COLUMN($F$1),FALSE), "・", 0)) + 1), 0)</f>
        <v>0</v>
      </c>
      <c r="AK72">
        <f>IF(ISNUMBER(SEARCH(SUBSTITUTE(AK$1,RIGHT(AK$1,2),""),VLOOKUP($D72,素材!$1:$1016,COLUMN($F$1),FALSE))),VLOOKUP($C72,武器!$1:$998,COLUMN($O$1),FALSE)*VLOOKUP($D72,素材!$1:$1016,COLUMN($E$1),FALSE)/(LEN(VLOOKUP($D72,素材!$1:$1016,COLUMN($F$1),FALSE)) - LEN(SUBSTITUTE(VLOOKUP($D72,素材!$1:$1016,COLUMN($F$1),FALSE), "・", 0)) + 1), 0)</f>
        <v>0</v>
      </c>
      <c r="AL72">
        <f>IF(ISNUMBER(SEARCH(SUBSTITUTE(AL$1,RIGHT(AL$1,2),""),VLOOKUP($D72,素材!$1:$1016,COLUMN($F$1),FALSE))),VLOOKUP($C72,武器!$1:$998,COLUMN($O$1),FALSE)*VLOOKUP($D72,素材!$1:$1016,COLUMN($E$1),FALSE)/(LEN(VLOOKUP($D72,素材!$1:$1016,COLUMN($F$1),FALSE)) - LEN(SUBSTITUTE(VLOOKUP($D72,素材!$1:$1016,COLUMN($F$1),FALSE), "・", 0)) + 1), 0)</f>
        <v>0</v>
      </c>
      <c r="AM72">
        <f>IF(ISNUMBER(SEARCH(SUBSTITUTE(AM$1,RIGHT(AM$1,2),""),VLOOKUP($D72,素材!$1:$1016,COLUMN($F$1),FALSE))),VLOOKUP($C72,武器!$1:$998,COLUMN($O$1),FALSE)*VLOOKUP($D72,素材!$1:$1016,COLUMN($E$1),FALSE)/(LEN(VLOOKUP($D72,素材!$1:$1016,COLUMN($F$1),FALSE)) - LEN(SUBSTITUTE(VLOOKUP($D72,素材!$1:$1016,COLUMN($F$1),FALSE), "・", 0)) + 1), 0)</f>
        <v>0</v>
      </c>
      <c r="AN72">
        <f>IF(ISNUMBER(SEARCH(SUBSTITUTE(AN$1,RIGHT(AN$1,2),""),VLOOKUP($D72,素材!$1:$1016,COLUMN($F$1),FALSE))),VLOOKUP($C72,武器!$1:$998,COLUMN($O$1),FALSE)*VLOOKUP($D72,素材!$1:$1016,COLUMN($E$1),FALSE)/(LEN(VLOOKUP($D72,素材!$1:$1016,COLUMN($F$1),FALSE)) - LEN(SUBSTITUTE(VLOOKUP($D72,素材!$1:$1016,COLUMN($F$1),FALSE), "・", 0)) + 1), 0)</f>
        <v>0</v>
      </c>
      <c r="AO72">
        <f>IF(ISNUMBER(SEARCH(SUBSTITUTE(AO$1,RIGHT(AO$1,2),""),VLOOKUP($D72,素材!$1:$1016,COLUMN($F$1),FALSE))),VLOOKUP($C72,武器!$1:$998,COLUMN($O$1),FALSE)*VLOOKUP($D72,素材!$1:$1016,COLUMN($E$1),FALSE)/(LEN(VLOOKUP($D72,素材!$1:$1016,COLUMN($F$1),FALSE)) - LEN(SUBSTITUTE(VLOOKUP($D72,素材!$1:$1016,COLUMN($F$1),FALSE), "・", 0)) + 1), 0)</f>
        <v>0</v>
      </c>
      <c r="AP72">
        <f>IF(ISNUMBER(SEARCH(SUBSTITUTE(AP$1,RIGHT(AP$1,2),""),VLOOKUP($D72,素材!$1:$1016,COLUMN($F$1),FALSE))),VLOOKUP($C72,武器!$1:$998,COLUMN($O$1),FALSE)*VLOOKUP($D72,素材!$1:$1016,COLUMN($E$1),FALSE)/(LEN(VLOOKUP($D72,素材!$1:$1016,COLUMN($F$1),FALSE)) - LEN(SUBSTITUTE(VLOOKUP($D72,素材!$1:$1016,COLUMN($F$1),FALSE), "・", 0)) + 1), 0)</f>
        <v>0</v>
      </c>
      <c r="AQ72">
        <f>IF(ISNUMBER(SEARCH(SUBSTITUTE(AQ$1,RIGHT(AQ$1,2),""),VLOOKUP($D72,素材!$1:$1016,COLUMN($F$1),FALSE))),VLOOKUP($C72,武器!$1:$998,COLUMN($O$1),FALSE)*VLOOKUP($D72,素材!$1:$1016,COLUMN($E$1),FALSE)/(LEN(VLOOKUP($D72,素材!$1:$1016,COLUMN($F$1),FALSE)) - LEN(SUBSTITUTE(VLOOKUP($D72,素材!$1:$1016,COLUMN($F$1),FALSE), "・", 0)) + 1), 0)</f>
        <v>0</v>
      </c>
      <c r="AR72">
        <f>IF(ISNUMBER(SEARCH(SUBSTITUTE(AR$1,RIGHT(AR$1,2),""),VLOOKUP($D72,素材!$1:$1016,COLUMN($F$1),FALSE))),VLOOKUP($C72,武器!$1:$998,COLUMN($O$1),FALSE)*VLOOKUP($D72,素材!$1:$1016,COLUMN($E$1),FALSE)/(LEN(VLOOKUP($D72,素材!$1:$1016,COLUMN($F$1),FALSE)) - LEN(SUBSTITUTE(VLOOKUP($D72,素材!$1:$1016,COLUMN($F$1),FALSE), "・", 0)) + 1), 0)</f>
        <v>0</v>
      </c>
      <c r="AS72">
        <f>IF(ISNUMBER(SEARCH(SUBSTITUTE(AS$1,RIGHT(AS$1,2),""),VLOOKUP($D72,素材!$1:$1016,COLUMN($F$1),FALSE))),VLOOKUP($C72,武器!$1:$998,COLUMN($O$1),FALSE)*VLOOKUP($D72,素材!$1:$1016,COLUMN($E$1),FALSE)/(LEN(VLOOKUP($D72,素材!$1:$1016,COLUMN($F$1),FALSE)) - LEN(SUBSTITUTE(VLOOKUP($D72,素材!$1:$1016,COLUMN($F$1),FALSE), "・", 0)) + 1), 0)</f>
        <v>0</v>
      </c>
      <c r="AT72">
        <f>IF(ISNUMBER(SEARCH(SUBSTITUTE(AT$1,RIGHT(AT$1,2),""),VLOOKUP($D72,素材!$1:$1016,COLUMN($F$1),FALSE))),VLOOKUP($C72,武器!$1:$998,COLUMN($O$1),FALSE)*VLOOKUP($D72,素材!$1:$1016,COLUMN($E$1),FALSE)/(LEN(VLOOKUP($D72,素材!$1:$1016,COLUMN($F$1),FALSE)) - LEN(SUBSTITUTE(VLOOKUP($D72,素材!$1:$1016,COLUMN($F$1),FALSE), "・", 0)) + 1), 0)</f>
        <v>0</v>
      </c>
      <c r="AU72">
        <f>IF(ISNUMBER(SEARCH(SUBSTITUTE(AU$1,RIGHT(AU$1,2),""),VLOOKUP($D72,素材!$1:$1016,COLUMN($F$1),FALSE))),VLOOKUP($C72,武器!$1:$998,COLUMN($O$1),FALSE)*VLOOKUP($D72,素材!$1:$1016,COLUMN($E$1),FALSE)/(LEN(VLOOKUP($D72,素材!$1:$1016,COLUMN($F$1),FALSE)) - LEN(SUBSTITUTE(VLOOKUP($D72,素材!$1:$1016,COLUMN($F$1),FALSE), "・", 0)) + 1), 0)</f>
        <v>0</v>
      </c>
      <c r="AV72">
        <f>IF(ISNUMBER(SEARCH(SUBSTITUTE(AV$1,RIGHT(AV$1,2),""),VLOOKUP($D72,素材!$1:$1016,COLUMN($F$1),FALSE))),VLOOKUP($C72,武器!$1:$998,COLUMN($O$1),FALSE)*VLOOKUP($D72,素材!$1:$1016,COLUMN($E$1),FALSE)/(LEN(VLOOKUP($D72,素材!$1:$1016,COLUMN($F$1),FALSE)) - LEN(SUBSTITUTE(VLOOKUP($D72,素材!$1:$1016,COLUMN($F$1),FALSE), "・", 0)) + 1), 0)</f>
        <v>0</v>
      </c>
      <c r="AW72">
        <f>IF(ISNUMBER(SEARCH(SUBSTITUTE(AW$1,RIGHT(AW$1,2),""),VLOOKUP($D72,素材!$1:$1016,COLUMN($F$1),FALSE))),VLOOKUP($C72,武器!$1:$998,COLUMN($O$1),FALSE)*VLOOKUP($D72,素材!$1:$1016,COLUMN($E$1),FALSE)/(LEN(VLOOKUP($D72,素材!$1:$1016,COLUMN($F$1),FALSE)) - LEN(SUBSTITUTE(VLOOKUP($D72,素材!$1:$1016,COLUMN($F$1),FALSE), "・", 0)) + 1), 0)</f>
        <v>0</v>
      </c>
      <c r="AX72">
        <f>IF(ISNUMBER(SEARCH(SUBSTITUTE(AX$1,RIGHT(AX$1,2),""),VLOOKUP($D72,素材!$1:$1016,COLUMN($F$1),FALSE))),VLOOKUP($C72,武器!$1:$998,COLUMN($O$1),FALSE)*VLOOKUP($D72,素材!$1:$1016,COLUMN($E$1),FALSE)/(LEN(VLOOKUP($D72,素材!$1:$1016,COLUMN($F$1),FALSE)) - LEN(SUBSTITUTE(VLOOKUP($D72,素材!$1:$1016,COLUMN($F$1),FALSE), "・", 0)) + 1), 0)</f>
        <v>0</v>
      </c>
      <c r="AY72">
        <f>IF(ISNUMBER(SEARCH(SUBSTITUTE(AY$1,RIGHT(AY$1,2),""),VLOOKUP($D72,素材!$1:$1016,COLUMN($F$1),FALSE))),VLOOKUP($C72,武器!$1:$998,COLUMN($O$1),FALSE)*VLOOKUP($D72,素材!$1:$1016,COLUMN($E$1),FALSE)/(LEN(VLOOKUP($D72,素材!$1:$1016,COLUMN($F$1),FALSE)) - LEN(SUBSTITUTE(VLOOKUP($D72,素材!$1:$1016,COLUMN($F$1),FALSE), "・", 0)) + 1), 0)</f>
        <v>0</v>
      </c>
      <c r="AZ72">
        <f>IF(ISNUMBER(SEARCH(SUBSTITUTE(AZ$1,RIGHT(AZ$1,2),""),VLOOKUP($D72,素材!$1:$1016,COLUMN($F$1),FALSE))),VLOOKUP($C72,武器!$1:$998,COLUMN($O$1),FALSE)*VLOOKUP($D72,素材!$1:$1016,COLUMN($E$1),FALSE)/(LEN(VLOOKUP($D72,素材!$1:$1016,COLUMN($F$1),FALSE)) - LEN(SUBSTITUTE(VLOOKUP($D72,素材!$1:$1016,COLUMN($F$1),FALSE), "・", 0)) + 1), 0)</f>
        <v>0</v>
      </c>
      <c r="BA72">
        <f>IF(ISNUMBER(SEARCH(SUBSTITUTE(BA$1,RIGHT(BA$1,2),""),VLOOKUP($D72,素材!$1:$1016,COLUMN($F$1),FALSE))),VLOOKUP($C72,武器!$1:$998,COLUMN($O$1),FALSE)*VLOOKUP($D72,素材!$1:$1016,COLUMN($E$1),FALSE)/(LEN(VLOOKUP($D72,素材!$1:$1016,COLUMN($F$1),FALSE)) - LEN(SUBSTITUTE(VLOOKUP($D72,素材!$1:$1016,COLUMN($F$1),FALSE), "・", 0)) + 1), 0)</f>
        <v>0</v>
      </c>
      <c r="BB72">
        <f>IF(ISNUMBER(SEARCH(SUBSTITUTE(BB$1,RIGHT(BB$1,2),""),VLOOKUP($D72,素材!$1:$1016,COLUMN($F$1),FALSE))),VLOOKUP($C72,武器!$1:$998,COLUMN($O$1),FALSE)*VLOOKUP($D72,素材!$1:$1016,COLUMN($E$1),FALSE)/(LEN(VLOOKUP($D72,素材!$1:$1016,COLUMN($F$1),FALSE)) - LEN(SUBSTITUTE(VLOOKUP($D72,素材!$1:$1016,COLUMN($F$1),FALSE), "・", 0)) + 1), 0)</f>
        <v>0</v>
      </c>
      <c r="BC72">
        <f>IF(ISNUMBER(SEARCH(SUBSTITUTE(BC$1,RIGHT(BC$1,2),""),VLOOKUP($D72,素材!$1:$1016,COLUMN($F$1),FALSE))),VLOOKUP($C72,武器!$1:$998,COLUMN($O$1),FALSE)*VLOOKUP($D72,素材!$1:$1016,COLUMN($E$1),FALSE)/(LEN(VLOOKUP($D72,素材!$1:$1016,COLUMN($F$1),FALSE)) - LEN(SUBSTITUTE(VLOOKUP($D72,素材!$1:$1016,COLUMN($F$1),FALSE), "・", 0)) + 1), 0)</f>
        <v>0</v>
      </c>
      <c r="BD72">
        <f>IF(ISNUMBER(SEARCH(SUBSTITUTE(BD$1,RIGHT(BD$1,2),""),VLOOKUP($D72,素材!$1:$1016,COLUMN($F$1),FALSE))),VLOOKUP($C72,武器!$1:$998,COLUMN($O$1),FALSE)*VLOOKUP($D72,素材!$1:$1016,COLUMN($E$1),FALSE)/(LEN(VLOOKUP($D72,素材!$1:$1016,COLUMN($F$1),FALSE)) - LEN(SUBSTITUTE(VLOOKUP($D72,素材!$1:$1016,COLUMN($F$1),FALSE), "・", 0)) + 1), 0)</f>
        <v>0</v>
      </c>
      <c r="BE72">
        <f>IF(ISNUMBER(SEARCH(SUBSTITUTE(BE$1,RIGHT(BE$1,2),""),VLOOKUP($D72,素材!$1:$1016,COLUMN($F$1),FALSE))),VLOOKUP($C72,武器!$1:$998,COLUMN($O$1),FALSE)*VLOOKUP($D72,素材!$1:$1016,COLUMN($E$1),FALSE)/(LEN(VLOOKUP($D72,素材!$1:$1016,COLUMN($F$1),FALSE)) - LEN(SUBSTITUTE(VLOOKUP($D72,素材!$1:$1016,COLUMN($F$1),FALSE), "・", 0)) + 1), 0)</f>
        <v>0</v>
      </c>
      <c r="CL72">
        <f>SUM(G72:I72)</f>
        <v>12</v>
      </c>
      <c r="CM72" s="22" t="str">
        <f>IF(E72="武器",IF(J72-1&gt;SUM(G72:I72),"盾",IF(MAX(G72:I72)=G72,"切断",IF(MAX(G72:I72)=H72,"貫通",IF(MAX(G72:I72)=I72,"打撃","射撃")))),E72)&amp;".webp"</f>
        <v>頭.webp</v>
      </c>
      <c r="CN72">
        <f>IFERROR(VLOOKUP($C72,武器!$1:$998,COLUMN(V$1),FALSE)*VLOOKUP($D72,素材!$1:$1016,COLUMN(N$1),FALSE)+IF(CI72="",0,VLOOKUP($CI72,装強!$1:$1008,COLUMN($CK$1),FALSE)),"")</f>
        <v>200</v>
      </c>
      <c r="CO72" t="str">
        <f>VLOOKUP(D72,素材!$A:$O,COLUMN(素材!O$1),FALSE)</f>
        <v>一般的な木材。金属より軽いが少し脆い</v>
      </c>
      <c r="CP72" t="str">
        <f>VLOOKUP(C72,武器!$A:$W,COLUMN(武器!W$1),FALSE)</f>
        <v>命中 魔防 Cr</v>
      </c>
      <c r="CR72" t="str">
        <f t="shared" si="5"/>
        <v>e_72</v>
      </c>
      <c r="CS72">
        <f t="shared" si="6"/>
        <v>20000</v>
      </c>
    </row>
    <row r="73" spans="1:97" outlineLevel="1" x14ac:dyDescent="0.4">
      <c r="A73" t="str">
        <f t="shared" si="4"/>
        <v>木の兜</v>
      </c>
      <c r="B73" t="str">
        <f>IFERROR(VLOOKUP($D73,素材!$1:$1016,COLUMN($B$1),FALSE)&amp;"・"&amp;VLOOKUP($C73,武器!$1:$998,COLUMN(B$1),FALSE),"")</f>
        <v>ウッド・ヘルム</v>
      </c>
      <c r="C73" t="s">
        <v>209</v>
      </c>
      <c r="D73" s="24" t="s">
        <v>255</v>
      </c>
      <c r="E73" t="str">
        <f>IFERROR(VLOOKUP(C73,武器!$1:$998,COLUMN(C$1),FALSE),"")</f>
        <v>頭</v>
      </c>
      <c r="F73">
        <f>IFERROR(ROUNDDOWN((VLOOKUP($C73,武器!$1:$998,COLUMN(D$1),FALSE)+IFERROR(VLOOKUP($CI73,装強!$1:$999,COLUMN(F$1),FALSE),0))*VLOOKUP($D73,素材!$1:$1016,COLUMN(D$1),FALSE),0),"")</f>
        <v>0</v>
      </c>
      <c r="G73">
        <f>IFERROR(ROUNDDOWN((VLOOKUP($C73,武器!$1:$998,COLUMN(E$1),FALSE)+IFERROR(VLOOKUP($CI73,装強!$1:$999,COLUMN(G$1),FALSE),0))*VLOOKUP($D73,素材!$1:$1016,COLUMN($E$1),FALSE),0),"")</f>
        <v>0</v>
      </c>
      <c r="H73">
        <f>IFERROR(ROUNDDOWN((VLOOKUP($C73,武器!$1:$998,COLUMN(F$1),FALSE)+IFERROR(VLOOKUP($CI73,装強!$1:$999,COLUMN(H$1),FALSE),0))*VLOOKUP($D73,素材!$1:$1016,COLUMN($E$1),FALSE),0),"")</f>
        <v>0</v>
      </c>
      <c r="I73">
        <f>IFERROR(ROUNDDOWN((VLOOKUP($C73,武器!$1:$998,COLUMN(G$1),FALSE)+IFERROR(VLOOKUP($CI73,装強!$1:$999,COLUMN(I$1),FALSE),0))*VLOOKUP($D73,素材!$1:$1016,COLUMN($E$1),FALSE),0),"")</f>
        <v>12</v>
      </c>
      <c r="J73">
        <f>IFERROR(ROUNDDOWN((VLOOKUP($C73,武器!$1:$998,COLUMN(H$1),FALSE)+IFERROR(VLOOKUP($CI73,装強!$1:$999,COLUMN(J$1),FALSE),0))*VLOOKUP($D73,素材!$1:$1016,COLUMN($E$1),FALSE),0),"")</f>
        <v>0</v>
      </c>
      <c r="K73">
        <f>IFERROR(ROUNDDOWN((VLOOKUP($C73,武器!$1:$998,COLUMN(I$1),FALSE)+IFERROR(VLOOKUP($CI73,装強!$1:$999,COLUMN(K$1),FALSE),0))*VLOOKUP($D73,素材!$1:$1016,COLUMN($E$1),FALSE),0),"")</f>
        <v>0</v>
      </c>
      <c r="L73">
        <f>IFERROR(VLOOKUP($D73,素材!$1:$1016,COLUMN($F$1),FALSE),"")</f>
        <v>0</v>
      </c>
      <c r="M73">
        <f>IFERROR(VLOOKUP($C73,武器!$1:$998,COLUMN(AA$1),FALSE)*VLOOKUP($D73,素材!$1:$1016,COLUMN($G$1),FALSE),"")</f>
        <v>0</v>
      </c>
      <c r="N73">
        <f>IFERROR(VLOOKUP($C73,武器!$1:$998,COLUMN(I$1),FALSE),"")</f>
        <v>0</v>
      </c>
      <c r="O73" s="23">
        <f>IFERROR((VLOOKUP($C73,武器!$1:$998,COLUMN(K$1),FALSE)+VLOOKUP($D73,素材!$1:$1016,COLUMN(H$1),FALSE))*100+IFERROR(VLOOKUP($CI73,装強!$1:$999,COLUMN(O$1),FALSE),0),"")</f>
        <v>5</v>
      </c>
      <c r="P73" s="23">
        <f>IFERROR((VLOOKUP($C73,武器!$1:$998,COLUMN(L$1),FALSE)+VLOOKUP($D73,素材!$1:$1016,COLUMN(I$1),FALSE))*100+IFERROR(VLOOKUP($CI73,装強!$1:$999,COLUMN(P$1),FALSE),0),"")</f>
        <v>125</v>
      </c>
      <c r="Q73">
        <f>IFERROR(ROUNDUP(VLOOKUP($C73,武器!$1:$998,COLUMN(M$1),FALSE)*(VLOOKUP($D73,素材!$1:$1002,COLUMN(D$1),FALSE)/100),1),"")</f>
        <v>-3.8000000000000003</v>
      </c>
      <c r="R73">
        <f>IFERROR(ROUNDUP(VLOOKUP($C73,武器!$1:$998,COLUMN(N$1),FALSE)*(VLOOKUP($D73,素材!$1:$1002,COLUMN(D$1),FALSE)/100),1),"")</f>
        <v>0</v>
      </c>
      <c r="S73">
        <f>IFERROR(VLOOKUP($C73,武器!$1:$998,COLUMN(P$1),FALSE),"")</f>
        <v>0</v>
      </c>
      <c r="T73">
        <f>IFERROR(VLOOKUP($C73,武器!$1:$998,COLUMN(Q$1),FALSE),"")</f>
        <v>0</v>
      </c>
      <c r="U73">
        <f>IFERROR(VLOOKUP($C73,武器!$1:$998,COLUMN(R$1),FALSE),"")</f>
        <v>0</v>
      </c>
      <c r="V73">
        <f>IFERROR(VLOOKUP($C73,武器!$1:$998,COLUMN(Q$1),FALSE),"")</f>
        <v>0</v>
      </c>
      <c r="W73">
        <f>IFERROR(VLOOKUP($C73,武器!$1:$998,COLUMN(T$1),FALSE),"")</f>
        <v>0</v>
      </c>
      <c r="Y73">
        <f>IFERROR(VLOOKUP($C73,武器!$1:$998,COLUMN(U$1),FALSE),"")</f>
        <v>0</v>
      </c>
      <c r="Z73">
        <f>IFERROR(ROUNDUP(VLOOKUP($C73,武器!$1:$998,COLUMN(O$1),FALSE)*VLOOKUP($D73,素材!$1:$1016,COLUMN(E$1),FALSE),1),"")</f>
        <v>3</v>
      </c>
      <c r="AA73">
        <f>IF(ISNUMBER(SEARCH(SUBSTITUTE(AA$1,RIGHT(AA$1,2),""),VLOOKUP($D73,素材!$1:$1016,COLUMN($F$1),FALSE))),VLOOKUP($C73,武器!$1:$998,COLUMN($O$1),FALSE)*VLOOKUP($D73,素材!$1:$1016,COLUMN($E$1),FALSE)/(LEN(VLOOKUP($D73,素材!$1:$1016,COLUMN($F$1),FALSE)) - LEN(SUBSTITUTE(VLOOKUP($D73,素材!$1:$1016,COLUMN($F$1),FALSE), "・", 0)) + 1), 0)</f>
        <v>0</v>
      </c>
      <c r="AB73">
        <f>IF(ISNUMBER(SEARCH(SUBSTITUTE(AB$1,RIGHT(AB$1,2),""),VLOOKUP($D73,素材!$1:$1016,COLUMN($F$1),FALSE))),VLOOKUP($C73,武器!$1:$998,COLUMN($O$1),FALSE)*VLOOKUP($D73,素材!$1:$1016,COLUMN($E$1),FALSE)/(LEN(VLOOKUP($D73,素材!$1:$1016,COLUMN($F$1),FALSE)) - LEN(SUBSTITUTE(VLOOKUP($D73,素材!$1:$1016,COLUMN($F$1),FALSE), "・", 0)) + 1), 0)</f>
        <v>0</v>
      </c>
      <c r="AC73">
        <f>IF(ISNUMBER(SEARCH(SUBSTITUTE(AC$1,RIGHT(AC$1,2),""),VLOOKUP($D73,素材!$1:$1016,COLUMN($F$1),FALSE))),VLOOKUP($C73,武器!$1:$998,COLUMN($O$1),FALSE)*VLOOKUP($D73,素材!$1:$1016,COLUMN($E$1),FALSE)/(LEN(VLOOKUP($D73,素材!$1:$1016,COLUMN($F$1),FALSE)) - LEN(SUBSTITUTE(VLOOKUP($D73,素材!$1:$1016,COLUMN($F$1),FALSE), "・", 0)) + 1), 0)</f>
        <v>0</v>
      </c>
      <c r="AD73">
        <f>IF(ISNUMBER(SEARCH(SUBSTITUTE(AD$1,RIGHT(AD$1,2),""),VLOOKUP($D73,素材!$1:$1016,COLUMN($F$1),FALSE))),VLOOKUP($C73,武器!$1:$998,COLUMN($O$1),FALSE)*VLOOKUP($D73,素材!$1:$1016,COLUMN($E$1),FALSE)/(LEN(VLOOKUP($D73,素材!$1:$1016,COLUMN($F$1),FALSE)) - LEN(SUBSTITUTE(VLOOKUP($D73,素材!$1:$1016,COLUMN($F$1),FALSE), "・", 0)) + 1), 0)</f>
        <v>0</v>
      </c>
      <c r="AE73">
        <f>IF(ISNUMBER(SEARCH(SUBSTITUTE(AE$1,RIGHT(AE$1,2),""),VLOOKUP($D73,素材!$1:$1016,COLUMN($F$1),FALSE))),VLOOKUP($C73,武器!$1:$998,COLUMN($O$1),FALSE)*VLOOKUP($D73,素材!$1:$1016,COLUMN($E$1),FALSE)/(LEN(VLOOKUP($D73,素材!$1:$1016,COLUMN($F$1),FALSE)) - LEN(SUBSTITUTE(VLOOKUP($D73,素材!$1:$1016,COLUMN($F$1),FALSE), "・", 0)) + 1), 0)</f>
        <v>0</v>
      </c>
      <c r="AF73">
        <f>IF(ISNUMBER(SEARCH(SUBSTITUTE(AF$1,RIGHT(AF$1,2),""),VLOOKUP($D73,素材!$1:$1016,COLUMN($F$1),FALSE))),VLOOKUP($C73,武器!$1:$998,COLUMN($O$1),FALSE)*VLOOKUP($D73,素材!$1:$1016,COLUMN($E$1),FALSE)/(LEN(VLOOKUP($D73,素材!$1:$1016,COLUMN($F$1),FALSE)) - LEN(SUBSTITUTE(VLOOKUP($D73,素材!$1:$1016,COLUMN($F$1),FALSE), "・", 0)) + 1), 0)</f>
        <v>0</v>
      </c>
      <c r="AG73">
        <f>IF(ISNUMBER(SEARCH(SUBSTITUTE(AG$1,RIGHT(AG$1,2),""),VLOOKUP($D73,素材!$1:$1016,COLUMN($F$1),FALSE))),VLOOKUP($C73,武器!$1:$998,COLUMN($O$1),FALSE)*VLOOKUP($D73,素材!$1:$1016,COLUMN($E$1),FALSE)/(LEN(VLOOKUP($D73,素材!$1:$1016,COLUMN($F$1),FALSE)) - LEN(SUBSTITUTE(VLOOKUP($D73,素材!$1:$1016,COLUMN($F$1),FALSE), "・", 0)) + 1), 0)</f>
        <v>0</v>
      </c>
      <c r="AH73">
        <f>IF(ISNUMBER(SEARCH(SUBSTITUTE(AH$1,RIGHT(AH$1,2),""),VLOOKUP($D73,素材!$1:$1016,COLUMN($F$1),FALSE))),VLOOKUP($C73,武器!$1:$998,COLUMN($O$1),FALSE)*VLOOKUP($D73,素材!$1:$1016,COLUMN($E$1),FALSE)/(LEN(VLOOKUP($D73,素材!$1:$1016,COLUMN($F$1),FALSE)) - LEN(SUBSTITUTE(VLOOKUP($D73,素材!$1:$1016,COLUMN($F$1),FALSE), "・", 0)) + 1), 0)</f>
        <v>0</v>
      </c>
      <c r="AI73">
        <f>IF(ISNUMBER(SEARCH(SUBSTITUTE(AI$1,RIGHT(AI$1,2),""),VLOOKUP($D73,素材!$1:$1016,COLUMN($F$1),FALSE))),VLOOKUP($C73,武器!$1:$998,COLUMN($O$1),FALSE)*VLOOKUP($D73,素材!$1:$1016,COLUMN($E$1),FALSE)/(LEN(VLOOKUP($D73,素材!$1:$1016,COLUMN($F$1),FALSE)) - LEN(SUBSTITUTE(VLOOKUP($D73,素材!$1:$1016,COLUMN($F$1),FALSE), "・", 0)) + 1), 0)</f>
        <v>0</v>
      </c>
      <c r="AJ73">
        <f>IF(ISNUMBER(SEARCH(SUBSTITUTE(AJ$1,RIGHT(AJ$1,2),""),VLOOKUP($D73,素材!$1:$1016,COLUMN($F$1),FALSE))),VLOOKUP($C73,武器!$1:$998,COLUMN($O$1),FALSE)*VLOOKUP($D73,素材!$1:$1016,COLUMN($E$1),FALSE)/(LEN(VLOOKUP($D73,素材!$1:$1016,COLUMN($F$1),FALSE)) - LEN(SUBSTITUTE(VLOOKUP($D73,素材!$1:$1016,COLUMN($F$1),FALSE), "・", 0)) + 1), 0)</f>
        <v>0</v>
      </c>
      <c r="AK73">
        <f>IF(ISNUMBER(SEARCH(SUBSTITUTE(AK$1,RIGHT(AK$1,2),""),VLOOKUP($D73,素材!$1:$1016,COLUMN($F$1),FALSE))),VLOOKUP($C73,武器!$1:$998,COLUMN($O$1),FALSE)*VLOOKUP($D73,素材!$1:$1016,COLUMN($E$1),FALSE)/(LEN(VLOOKUP($D73,素材!$1:$1016,COLUMN($F$1),FALSE)) - LEN(SUBSTITUTE(VLOOKUP($D73,素材!$1:$1016,COLUMN($F$1),FALSE), "・", 0)) + 1), 0)</f>
        <v>0</v>
      </c>
      <c r="AL73">
        <f>IF(ISNUMBER(SEARCH(SUBSTITUTE(AL$1,RIGHT(AL$1,2),""),VLOOKUP($D73,素材!$1:$1016,COLUMN($F$1),FALSE))),VLOOKUP($C73,武器!$1:$998,COLUMN($O$1),FALSE)*VLOOKUP($D73,素材!$1:$1016,COLUMN($E$1),FALSE)/(LEN(VLOOKUP($D73,素材!$1:$1016,COLUMN($F$1),FALSE)) - LEN(SUBSTITUTE(VLOOKUP($D73,素材!$1:$1016,COLUMN($F$1),FALSE), "・", 0)) + 1), 0)</f>
        <v>0</v>
      </c>
      <c r="AM73">
        <f>IF(ISNUMBER(SEARCH(SUBSTITUTE(AM$1,RIGHT(AM$1,2),""),VLOOKUP($D73,素材!$1:$1016,COLUMN($F$1),FALSE))),VLOOKUP($C73,武器!$1:$998,COLUMN($O$1),FALSE)*VLOOKUP($D73,素材!$1:$1016,COLUMN($E$1),FALSE)/(LEN(VLOOKUP($D73,素材!$1:$1016,COLUMN($F$1),FALSE)) - LEN(SUBSTITUTE(VLOOKUP($D73,素材!$1:$1016,COLUMN($F$1),FALSE), "・", 0)) + 1), 0)</f>
        <v>0</v>
      </c>
      <c r="AN73">
        <f>IF(ISNUMBER(SEARCH(SUBSTITUTE(AN$1,RIGHT(AN$1,2),""),VLOOKUP($D73,素材!$1:$1016,COLUMN($F$1),FALSE))),VLOOKUP($C73,武器!$1:$998,COLUMN($O$1),FALSE)*VLOOKUP($D73,素材!$1:$1016,COLUMN($E$1),FALSE)/(LEN(VLOOKUP($D73,素材!$1:$1016,COLUMN($F$1),FALSE)) - LEN(SUBSTITUTE(VLOOKUP($D73,素材!$1:$1016,COLUMN($F$1),FALSE), "・", 0)) + 1), 0)</f>
        <v>0</v>
      </c>
      <c r="AO73">
        <f>IF(ISNUMBER(SEARCH(SUBSTITUTE(AO$1,RIGHT(AO$1,2),""),VLOOKUP($D73,素材!$1:$1016,COLUMN($F$1),FALSE))),VLOOKUP($C73,武器!$1:$998,COLUMN($O$1),FALSE)*VLOOKUP($D73,素材!$1:$1016,COLUMN($E$1),FALSE)/(LEN(VLOOKUP($D73,素材!$1:$1016,COLUMN($F$1),FALSE)) - LEN(SUBSTITUTE(VLOOKUP($D73,素材!$1:$1016,COLUMN($F$1),FALSE), "・", 0)) + 1), 0)</f>
        <v>0</v>
      </c>
      <c r="AP73">
        <f>IF(ISNUMBER(SEARCH(SUBSTITUTE(AP$1,RIGHT(AP$1,2),""),VLOOKUP($D73,素材!$1:$1016,COLUMN($F$1),FALSE))),VLOOKUP($C73,武器!$1:$998,COLUMN($O$1),FALSE)*VLOOKUP($D73,素材!$1:$1016,COLUMN($E$1),FALSE)/(LEN(VLOOKUP($D73,素材!$1:$1016,COLUMN($F$1),FALSE)) - LEN(SUBSTITUTE(VLOOKUP($D73,素材!$1:$1016,COLUMN($F$1),FALSE), "・", 0)) + 1), 0)</f>
        <v>0</v>
      </c>
      <c r="AQ73">
        <f>IF(ISNUMBER(SEARCH(SUBSTITUTE(AQ$1,RIGHT(AQ$1,2),""),VLOOKUP($D73,素材!$1:$1016,COLUMN($F$1),FALSE))),VLOOKUP($C73,武器!$1:$998,COLUMN($O$1),FALSE)*VLOOKUP($D73,素材!$1:$1016,COLUMN($E$1),FALSE)/(LEN(VLOOKUP($D73,素材!$1:$1016,COLUMN($F$1),FALSE)) - LEN(SUBSTITUTE(VLOOKUP($D73,素材!$1:$1016,COLUMN($F$1),FALSE), "・", 0)) + 1), 0)</f>
        <v>0</v>
      </c>
      <c r="AR73">
        <f>IF(ISNUMBER(SEARCH(SUBSTITUTE(AR$1,RIGHT(AR$1,2),""),VLOOKUP($D73,素材!$1:$1016,COLUMN($F$1),FALSE))),VLOOKUP($C73,武器!$1:$998,COLUMN($O$1),FALSE)*VLOOKUP($D73,素材!$1:$1016,COLUMN($E$1),FALSE)/(LEN(VLOOKUP($D73,素材!$1:$1016,COLUMN($F$1),FALSE)) - LEN(SUBSTITUTE(VLOOKUP($D73,素材!$1:$1016,COLUMN($F$1),FALSE), "・", 0)) + 1), 0)</f>
        <v>0</v>
      </c>
      <c r="AS73">
        <f>IF(ISNUMBER(SEARCH(SUBSTITUTE(AS$1,RIGHT(AS$1,2),""),VLOOKUP($D73,素材!$1:$1016,COLUMN($F$1),FALSE))),VLOOKUP($C73,武器!$1:$998,COLUMN($O$1),FALSE)*VLOOKUP($D73,素材!$1:$1016,COLUMN($E$1),FALSE)/(LEN(VLOOKUP($D73,素材!$1:$1016,COLUMN($F$1),FALSE)) - LEN(SUBSTITUTE(VLOOKUP($D73,素材!$1:$1016,COLUMN($F$1),FALSE), "・", 0)) + 1), 0)</f>
        <v>0</v>
      </c>
      <c r="AT73">
        <f>IF(ISNUMBER(SEARCH(SUBSTITUTE(AT$1,RIGHT(AT$1,2),""),VLOOKUP($D73,素材!$1:$1016,COLUMN($F$1),FALSE))),VLOOKUP($C73,武器!$1:$998,COLUMN($O$1),FALSE)*VLOOKUP($D73,素材!$1:$1016,COLUMN($E$1),FALSE)/(LEN(VLOOKUP($D73,素材!$1:$1016,COLUMN($F$1),FALSE)) - LEN(SUBSTITUTE(VLOOKUP($D73,素材!$1:$1016,COLUMN($F$1),FALSE), "・", 0)) + 1), 0)</f>
        <v>0</v>
      </c>
      <c r="AU73">
        <f>IF(ISNUMBER(SEARCH(SUBSTITUTE(AU$1,RIGHT(AU$1,2),""),VLOOKUP($D73,素材!$1:$1016,COLUMN($F$1),FALSE))),VLOOKUP($C73,武器!$1:$998,COLUMN($O$1),FALSE)*VLOOKUP($D73,素材!$1:$1016,COLUMN($E$1),FALSE)/(LEN(VLOOKUP($D73,素材!$1:$1016,COLUMN($F$1),FALSE)) - LEN(SUBSTITUTE(VLOOKUP($D73,素材!$1:$1016,COLUMN($F$1),FALSE), "・", 0)) + 1), 0)</f>
        <v>0</v>
      </c>
      <c r="AV73">
        <f>IF(ISNUMBER(SEARCH(SUBSTITUTE(AV$1,RIGHT(AV$1,2),""),VLOOKUP($D73,素材!$1:$1016,COLUMN($F$1),FALSE))),VLOOKUP($C73,武器!$1:$998,COLUMN($O$1),FALSE)*VLOOKUP($D73,素材!$1:$1016,COLUMN($E$1),FALSE)/(LEN(VLOOKUP($D73,素材!$1:$1016,COLUMN($F$1),FALSE)) - LEN(SUBSTITUTE(VLOOKUP($D73,素材!$1:$1016,COLUMN($F$1),FALSE), "・", 0)) + 1), 0)</f>
        <v>0</v>
      </c>
      <c r="AW73">
        <f>IF(ISNUMBER(SEARCH(SUBSTITUTE(AW$1,RIGHT(AW$1,2),""),VLOOKUP($D73,素材!$1:$1016,COLUMN($F$1),FALSE))),VLOOKUP($C73,武器!$1:$998,COLUMN($O$1),FALSE)*VLOOKUP($D73,素材!$1:$1016,COLUMN($E$1),FALSE)/(LEN(VLOOKUP($D73,素材!$1:$1016,COLUMN($F$1),FALSE)) - LEN(SUBSTITUTE(VLOOKUP($D73,素材!$1:$1016,COLUMN($F$1),FALSE), "・", 0)) + 1), 0)</f>
        <v>0</v>
      </c>
      <c r="AX73">
        <f>IF(ISNUMBER(SEARCH(SUBSTITUTE(AX$1,RIGHT(AX$1,2),""),VLOOKUP($D73,素材!$1:$1016,COLUMN($F$1),FALSE))),VLOOKUP($C73,武器!$1:$998,COLUMN($O$1),FALSE)*VLOOKUP($D73,素材!$1:$1016,COLUMN($E$1),FALSE)/(LEN(VLOOKUP($D73,素材!$1:$1016,COLUMN($F$1),FALSE)) - LEN(SUBSTITUTE(VLOOKUP($D73,素材!$1:$1016,COLUMN($F$1),FALSE), "・", 0)) + 1), 0)</f>
        <v>0</v>
      </c>
      <c r="AY73">
        <f>IF(ISNUMBER(SEARCH(SUBSTITUTE(AY$1,RIGHT(AY$1,2),""),VLOOKUP($D73,素材!$1:$1016,COLUMN($F$1),FALSE))),VLOOKUP($C73,武器!$1:$998,COLUMN($O$1),FALSE)*VLOOKUP($D73,素材!$1:$1016,COLUMN($E$1),FALSE)/(LEN(VLOOKUP($D73,素材!$1:$1016,COLUMN($F$1),FALSE)) - LEN(SUBSTITUTE(VLOOKUP($D73,素材!$1:$1016,COLUMN($F$1),FALSE), "・", 0)) + 1), 0)</f>
        <v>0</v>
      </c>
      <c r="AZ73">
        <f>IF(ISNUMBER(SEARCH(SUBSTITUTE(AZ$1,RIGHT(AZ$1,2),""),VLOOKUP($D73,素材!$1:$1016,COLUMN($F$1),FALSE))),VLOOKUP($C73,武器!$1:$998,COLUMN($O$1),FALSE)*VLOOKUP($D73,素材!$1:$1016,COLUMN($E$1),FALSE)/(LEN(VLOOKUP($D73,素材!$1:$1016,COLUMN($F$1),FALSE)) - LEN(SUBSTITUTE(VLOOKUP($D73,素材!$1:$1016,COLUMN($F$1),FALSE), "・", 0)) + 1), 0)</f>
        <v>0</v>
      </c>
      <c r="BA73">
        <f>IF(ISNUMBER(SEARCH(SUBSTITUTE(BA$1,RIGHT(BA$1,2),""),VLOOKUP($D73,素材!$1:$1016,COLUMN($F$1),FALSE))),VLOOKUP($C73,武器!$1:$998,COLUMN($O$1),FALSE)*VLOOKUP($D73,素材!$1:$1016,COLUMN($E$1),FALSE)/(LEN(VLOOKUP($D73,素材!$1:$1016,COLUMN($F$1),FALSE)) - LEN(SUBSTITUTE(VLOOKUP($D73,素材!$1:$1016,COLUMN($F$1),FALSE), "・", 0)) + 1), 0)</f>
        <v>0</v>
      </c>
      <c r="BB73">
        <f>IF(ISNUMBER(SEARCH(SUBSTITUTE(BB$1,RIGHT(BB$1,2),""),VLOOKUP($D73,素材!$1:$1016,COLUMN($F$1),FALSE))),VLOOKUP($C73,武器!$1:$998,COLUMN($O$1),FALSE)*VLOOKUP($D73,素材!$1:$1016,COLUMN($E$1),FALSE)/(LEN(VLOOKUP($D73,素材!$1:$1016,COLUMN($F$1),FALSE)) - LEN(SUBSTITUTE(VLOOKUP($D73,素材!$1:$1016,COLUMN($F$1),FALSE), "・", 0)) + 1), 0)</f>
        <v>0</v>
      </c>
      <c r="BC73">
        <f>IF(ISNUMBER(SEARCH(SUBSTITUTE(BC$1,RIGHT(BC$1,2),""),VLOOKUP($D73,素材!$1:$1016,COLUMN($F$1),FALSE))),VLOOKUP($C73,武器!$1:$998,COLUMN($O$1),FALSE)*VLOOKUP($D73,素材!$1:$1016,COLUMN($E$1),FALSE)/(LEN(VLOOKUP($D73,素材!$1:$1016,COLUMN($F$1),FALSE)) - LEN(SUBSTITUTE(VLOOKUP($D73,素材!$1:$1016,COLUMN($F$1),FALSE), "・", 0)) + 1), 0)</f>
        <v>0</v>
      </c>
      <c r="BD73">
        <f>IF(ISNUMBER(SEARCH(SUBSTITUTE(BD$1,RIGHT(BD$1,2),""),VLOOKUP($D73,素材!$1:$1016,COLUMN($F$1),FALSE))),VLOOKUP($C73,武器!$1:$998,COLUMN($O$1),FALSE)*VLOOKUP($D73,素材!$1:$1016,COLUMN($E$1),FALSE)/(LEN(VLOOKUP($D73,素材!$1:$1016,COLUMN($F$1),FALSE)) - LEN(SUBSTITUTE(VLOOKUP($D73,素材!$1:$1016,COLUMN($F$1),FALSE), "・", 0)) + 1), 0)</f>
        <v>0</v>
      </c>
      <c r="BE73">
        <f>IF(ISNUMBER(SEARCH(SUBSTITUTE(BE$1,RIGHT(BE$1,2),""),VLOOKUP($D73,素材!$1:$1016,COLUMN($F$1),FALSE))),VLOOKUP($C73,武器!$1:$998,COLUMN($O$1),FALSE)*VLOOKUP($D73,素材!$1:$1016,COLUMN($E$1),FALSE)/(LEN(VLOOKUP($D73,素材!$1:$1016,COLUMN($F$1),FALSE)) - LEN(SUBSTITUTE(VLOOKUP($D73,素材!$1:$1016,COLUMN($F$1),FALSE), "・", 0)) + 1), 0)</f>
        <v>0</v>
      </c>
      <c r="CL73">
        <f>SUM(G73:I73)</f>
        <v>12</v>
      </c>
      <c r="CM73" s="22" t="str">
        <f>IF(E73="武器",IF(J73-1&gt;SUM(G73:I73),"盾",IF(MAX(G73:I73)=G73,"切断",IF(MAX(G73:I73)=H73,"貫通",IF(MAX(G73:I73)=I73,"打撃","射撃")))),E73)&amp;".webp"</f>
        <v>頭.webp</v>
      </c>
      <c r="CN73">
        <f>IFERROR(VLOOKUP($C73,武器!$1:$998,COLUMN(V$1),FALSE)*VLOOKUP($D73,素材!$1:$1016,COLUMN(N$1),FALSE)+IF(CI73="",0,VLOOKUP($CI73,装強!$1:$1008,COLUMN($CK$1),FALSE)),"")</f>
        <v>150</v>
      </c>
      <c r="CO73" t="str">
        <f>VLOOKUP(D73,素材!$A:$O,COLUMN(素材!O$1),FALSE)</f>
        <v>一般的な木材。金属より軽いが少し脆い</v>
      </c>
      <c r="CP73" t="str">
        <f>VLOOKUP(C73,武器!$A:$W,COLUMN(武器!W$1),FALSE)</f>
        <v>命中 魔防 Cr</v>
      </c>
      <c r="CR73" t="str">
        <f t="shared" si="5"/>
        <v>e_73</v>
      </c>
      <c r="CS73">
        <f t="shared" si="6"/>
        <v>15000</v>
      </c>
    </row>
    <row r="74" spans="1:97" outlineLevel="1" x14ac:dyDescent="0.4">
      <c r="A74" t="str">
        <f t="shared" si="4"/>
        <v>木の鎧</v>
      </c>
      <c r="B74" t="str">
        <f>IFERROR(VLOOKUP($D74,素材!$1:$1016,COLUMN($B$1),FALSE)&amp;"・"&amp;VLOOKUP($C74,武器!$1:$998,COLUMN(B$1),FALSE),"")</f>
        <v>ウッド・アーマー</v>
      </c>
      <c r="C74" t="s">
        <v>208</v>
      </c>
      <c r="D74" s="24" t="s">
        <v>255</v>
      </c>
      <c r="E74" t="str">
        <f>IFERROR(VLOOKUP(C74,武器!$1:$998,COLUMN(C$1),FALSE),"")</f>
        <v>体</v>
      </c>
      <c r="F74">
        <f>IFERROR(ROUNDDOWN((VLOOKUP($C74,武器!$1:$998,COLUMN(D$1),FALSE)+IFERROR(VLOOKUP($CI74,装強!$1:$999,COLUMN(F$1),FALSE),0))*VLOOKUP($D74,素材!$1:$1016,COLUMN(D$1),FALSE),0),"")</f>
        <v>0</v>
      </c>
      <c r="G74">
        <f>IFERROR(ROUNDDOWN((VLOOKUP($C74,武器!$1:$998,COLUMN(E$1),FALSE)+IFERROR(VLOOKUP($CI74,装強!$1:$999,COLUMN(G$1),FALSE),0))*VLOOKUP($D74,素材!$1:$1016,COLUMN($E$1),FALSE),0),"")</f>
        <v>0</v>
      </c>
      <c r="H74">
        <f>IFERROR(ROUNDDOWN((VLOOKUP($C74,武器!$1:$998,COLUMN(F$1),FALSE)+IFERROR(VLOOKUP($CI74,装強!$1:$999,COLUMN(H$1),FALSE),0))*VLOOKUP($D74,素材!$1:$1016,COLUMN($E$1),FALSE),0),"")</f>
        <v>0</v>
      </c>
      <c r="I74">
        <f>IFERROR(ROUNDDOWN((VLOOKUP($C74,武器!$1:$998,COLUMN(G$1),FALSE)+IFERROR(VLOOKUP($CI74,装強!$1:$999,COLUMN(I$1),FALSE),0))*VLOOKUP($D74,素材!$1:$1016,COLUMN($E$1),FALSE),0),"")</f>
        <v>0</v>
      </c>
      <c r="J74">
        <f>IFERROR(ROUNDDOWN((VLOOKUP($C74,武器!$1:$998,COLUMN(H$1),FALSE)+IFERROR(VLOOKUP($CI74,装強!$1:$999,COLUMN(J$1),FALSE),0))*VLOOKUP($D74,素材!$1:$1016,COLUMN($E$1),FALSE),0),"")</f>
        <v>0</v>
      </c>
      <c r="K74">
        <f>IFERROR(ROUNDDOWN((VLOOKUP($C74,武器!$1:$998,COLUMN(I$1),FALSE)+IFERROR(VLOOKUP($CI74,装強!$1:$999,COLUMN(K$1),FALSE),0))*VLOOKUP($D74,素材!$1:$1016,COLUMN($E$1),FALSE),0),"")</f>
        <v>0</v>
      </c>
      <c r="L74">
        <f>IFERROR(VLOOKUP($D74,素材!$1:$1016,COLUMN($F$1),FALSE),"")</f>
        <v>0</v>
      </c>
      <c r="M74">
        <f>IFERROR(VLOOKUP($C74,武器!$1:$998,COLUMN(AA$1),FALSE)*VLOOKUP($D74,素材!$1:$1016,COLUMN($G$1),FALSE),"")</f>
        <v>0</v>
      </c>
      <c r="N74">
        <f>IFERROR(VLOOKUP($C74,武器!$1:$998,COLUMN(I$1),FALSE),"")</f>
        <v>0</v>
      </c>
      <c r="O74" s="23">
        <f>IFERROR((VLOOKUP($C74,武器!$1:$998,COLUMN(K$1),FALSE)+VLOOKUP($D74,素材!$1:$1016,COLUMN(H$1),FALSE))*100+IFERROR(VLOOKUP($CI74,装強!$1:$999,COLUMN(O$1),FALSE),0),"")</f>
        <v>0</v>
      </c>
      <c r="P74" s="23">
        <f>IFERROR((VLOOKUP($C74,武器!$1:$998,COLUMN(L$1),FALSE)+VLOOKUP($D74,素材!$1:$1016,COLUMN(I$1),FALSE))*100+IFERROR(VLOOKUP($CI74,装強!$1:$999,COLUMN(P$1),FALSE),0),"")</f>
        <v>0</v>
      </c>
      <c r="Q74">
        <f>IFERROR(ROUNDUP(VLOOKUP($C74,武器!$1:$998,COLUMN(M$1),FALSE)*(VLOOKUP($D74,素材!$1:$1002,COLUMN(D$1),FALSE)/100),1),"")</f>
        <v>-11.299999999999999</v>
      </c>
      <c r="R74">
        <f>IFERROR(ROUNDUP(VLOOKUP($C74,武器!$1:$998,COLUMN(N$1),FALSE)*(VLOOKUP($D74,素材!$1:$1002,COLUMN(D$1),FALSE)/100),1),"")</f>
        <v>0</v>
      </c>
      <c r="S74">
        <f>IFERROR(VLOOKUP($C74,武器!$1:$998,COLUMN(P$1),FALSE),"")</f>
        <v>0</v>
      </c>
      <c r="T74">
        <f>IFERROR(VLOOKUP($C74,武器!$1:$998,COLUMN(Q$1),FALSE),"")</f>
        <v>0</v>
      </c>
      <c r="U74">
        <f>IFERROR(VLOOKUP($C74,武器!$1:$998,COLUMN(R$1),FALSE),"")</f>
        <v>0</v>
      </c>
      <c r="V74">
        <f>IFERROR(VLOOKUP($C74,武器!$1:$998,COLUMN(Q$1),FALSE),"")</f>
        <v>0</v>
      </c>
      <c r="W74">
        <f>IFERROR(VLOOKUP($C74,武器!$1:$998,COLUMN(T$1),FALSE),"")</f>
        <v>0</v>
      </c>
      <c r="Y74">
        <f>IFERROR(VLOOKUP($C74,武器!$1:$998,COLUMN(U$1),FALSE),"")</f>
        <v>0</v>
      </c>
      <c r="Z74">
        <f>IFERROR(ROUNDUP(VLOOKUP($C74,武器!$1:$998,COLUMN(O$1),FALSE)*VLOOKUP($D74,素材!$1:$1016,COLUMN(E$1),FALSE),1),"")</f>
        <v>10.5</v>
      </c>
      <c r="AA74">
        <f>IF(ISNUMBER(SEARCH(SUBSTITUTE(AA$1,RIGHT(AA$1,2),""),VLOOKUP($D74,素材!$1:$1016,COLUMN($F$1),FALSE))),VLOOKUP($C74,武器!$1:$998,COLUMN($O$1),FALSE)*VLOOKUP($D74,素材!$1:$1016,COLUMN($E$1),FALSE)/(LEN(VLOOKUP($D74,素材!$1:$1016,COLUMN($F$1),FALSE)) - LEN(SUBSTITUTE(VLOOKUP($D74,素材!$1:$1016,COLUMN($F$1),FALSE), "・", 0)) + 1), 0)</f>
        <v>0</v>
      </c>
      <c r="AB74">
        <f>IF(ISNUMBER(SEARCH(SUBSTITUTE(AB$1,RIGHT(AB$1,2),""),VLOOKUP($D74,素材!$1:$1016,COLUMN($F$1),FALSE))),VLOOKUP($C74,武器!$1:$998,COLUMN($O$1),FALSE)*VLOOKUP($D74,素材!$1:$1016,COLUMN($E$1),FALSE)/(LEN(VLOOKUP($D74,素材!$1:$1016,COLUMN($F$1),FALSE)) - LEN(SUBSTITUTE(VLOOKUP($D74,素材!$1:$1016,COLUMN($F$1),FALSE), "・", 0)) + 1), 0)</f>
        <v>0</v>
      </c>
      <c r="AC74">
        <f>IF(ISNUMBER(SEARCH(SUBSTITUTE(AC$1,RIGHT(AC$1,2),""),VLOOKUP($D74,素材!$1:$1016,COLUMN($F$1),FALSE))),VLOOKUP($C74,武器!$1:$998,COLUMN($O$1),FALSE)*VLOOKUP($D74,素材!$1:$1016,COLUMN($E$1),FALSE)/(LEN(VLOOKUP($D74,素材!$1:$1016,COLUMN($F$1),FALSE)) - LEN(SUBSTITUTE(VLOOKUP($D74,素材!$1:$1016,COLUMN($F$1),FALSE), "・", 0)) + 1), 0)</f>
        <v>0</v>
      </c>
      <c r="AD74">
        <f>IF(ISNUMBER(SEARCH(SUBSTITUTE(AD$1,RIGHT(AD$1,2),""),VLOOKUP($D74,素材!$1:$1016,COLUMN($F$1),FALSE))),VLOOKUP($C74,武器!$1:$998,COLUMN($O$1),FALSE)*VLOOKUP($D74,素材!$1:$1016,COLUMN($E$1),FALSE)/(LEN(VLOOKUP($D74,素材!$1:$1016,COLUMN($F$1),FALSE)) - LEN(SUBSTITUTE(VLOOKUP($D74,素材!$1:$1016,COLUMN($F$1),FALSE), "・", 0)) + 1), 0)</f>
        <v>0</v>
      </c>
      <c r="AE74">
        <f>IF(ISNUMBER(SEARCH(SUBSTITUTE(AE$1,RIGHT(AE$1,2),""),VLOOKUP($D74,素材!$1:$1016,COLUMN($F$1),FALSE))),VLOOKUP($C74,武器!$1:$998,COLUMN($O$1),FALSE)*VLOOKUP($D74,素材!$1:$1016,COLUMN($E$1),FALSE)/(LEN(VLOOKUP($D74,素材!$1:$1016,COLUMN($F$1),FALSE)) - LEN(SUBSTITUTE(VLOOKUP($D74,素材!$1:$1016,COLUMN($F$1),FALSE), "・", 0)) + 1), 0)</f>
        <v>0</v>
      </c>
      <c r="AF74">
        <f>IF(ISNUMBER(SEARCH(SUBSTITUTE(AF$1,RIGHT(AF$1,2),""),VLOOKUP($D74,素材!$1:$1016,COLUMN($F$1),FALSE))),VLOOKUP($C74,武器!$1:$998,COLUMN($O$1),FALSE)*VLOOKUP($D74,素材!$1:$1016,COLUMN($E$1),FALSE)/(LEN(VLOOKUP($D74,素材!$1:$1016,COLUMN($F$1),FALSE)) - LEN(SUBSTITUTE(VLOOKUP($D74,素材!$1:$1016,COLUMN($F$1),FALSE), "・", 0)) + 1), 0)</f>
        <v>0</v>
      </c>
      <c r="AG74">
        <f>IF(ISNUMBER(SEARCH(SUBSTITUTE(AG$1,RIGHT(AG$1,2),""),VLOOKUP($D74,素材!$1:$1016,COLUMN($F$1),FALSE))),VLOOKUP($C74,武器!$1:$998,COLUMN($O$1),FALSE)*VLOOKUP($D74,素材!$1:$1016,COLUMN($E$1),FALSE)/(LEN(VLOOKUP($D74,素材!$1:$1016,COLUMN($F$1),FALSE)) - LEN(SUBSTITUTE(VLOOKUP($D74,素材!$1:$1016,COLUMN($F$1),FALSE), "・", 0)) + 1), 0)</f>
        <v>0</v>
      </c>
      <c r="AH74">
        <f>IF(ISNUMBER(SEARCH(SUBSTITUTE(AH$1,RIGHT(AH$1,2),""),VLOOKUP($D74,素材!$1:$1016,COLUMN($F$1),FALSE))),VLOOKUP($C74,武器!$1:$998,COLUMN($O$1),FALSE)*VLOOKUP($D74,素材!$1:$1016,COLUMN($E$1),FALSE)/(LEN(VLOOKUP($D74,素材!$1:$1016,COLUMN($F$1),FALSE)) - LEN(SUBSTITUTE(VLOOKUP($D74,素材!$1:$1016,COLUMN($F$1),FALSE), "・", 0)) + 1), 0)</f>
        <v>0</v>
      </c>
      <c r="AI74">
        <f>IF(ISNUMBER(SEARCH(SUBSTITUTE(AI$1,RIGHT(AI$1,2),""),VLOOKUP($D74,素材!$1:$1016,COLUMN($F$1),FALSE))),VLOOKUP($C74,武器!$1:$998,COLUMN($O$1),FALSE)*VLOOKUP($D74,素材!$1:$1016,COLUMN($E$1),FALSE)/(LEN(VLOOKUP($D74,素材!$1:$1016,COLUMN($F$1),FALSE)) - LEN(SUBSTITUTE(VLOOKUP($D74,素材!$1:$1016,COLUMN($F$1),FALSE), "・", 0)) + 1), 0)</f>
        <v>0</v>
      </c>
      <c r="AJ74">
        <f>IF(ISNUMBER(SEARCH(SUBSTITUTE(AJ$1,RIGHT(AJ$1,2),""),VLOOKUP($D74,素材!$1:$1016,COLUMN($F$1),FALSE))),VLOOKUP($C74,武器!$1:$998,COLUMN($O$1),FALSE)*VLOOKUP($D74,素材!$1:$1016,COLUMN($E$1),FALSE)/(LEN(VLOOKUP($D74,素材!$1:$1016,COLUMN($F$1),FALSE)) - LEN(SUBSTITUTE(VLOOKUP($D74,素材!$1:$1016,COLUMN($F$1),FALSE), "・", 0)) + 1), 0)</f>
        <v>0</v>
      </c>
      <c r="AK74">
        <f>IF(ISNUMBER(SEARCH(SUBSTITUTE(AK$1,RIGHT(AK$1,2),""),VLOOKUP($D74,素材!$1:$1016,COLUMN($F$1),FALSE))),VLOOKUP($C74,武器!$1:$998,COLUMN($O$1),FALSE)*VLOOKUP($D74,素材!$1:$1016,COLUMN($E$1),FALSE)/(LEN(VLOOKUP($D74,素材!$1:$1016,COLUMN($F$1),FALSE)) - LEN(SUBSTITUTE(VLOOKUP($D74,素材!$1:$1016,COLUMN($F$1),FALSE), "・", 0)) + 1), 0)</f>
        <v>0</v>
      </c>
      <c r="AL74">
        <f>IF(ISNUMBER(SEARCH(SUBSTITUTE(AL$1,RIGHT(AL$1,2),""),VLOOKUP($D74,素材!$1:$1016,COLUMN($F$1),FALSE))),VLOOKUP($C74,武器!$1:$998,COLUMN($O$1),FALSE)*VLOOKUP($D74,素材!$1:$1016,COLUMN($E$1),FALSE)/(LEN(VLOOKUP($D74,素材!$1:$1016,COLUMN($F$1),FALSE)) - LEN(SUBSTITUTE(VLOOKUP($D74,素材!$1:$1016,COLUMN($F$1),FALSE), "・", 0)) + 1), 0)</f>
        <v>0</v>
      </c>
      <c r="AM74">
        <f>IF(ISNUMBER(SEARCH(SUBSTITUTE(AM$1,RIGHT(AM$1,2),""),VLOOKUP($D74,素材!$1:$1016,COLUMN($F$1),FALSE))),VLOOKUP($C74,武器!$1:$998,COLUMN($O$1),FALSE)*VLOOKUP($D74,素材!$1:$1016,COLUMN($E$1),FALSE)/(LEN(VLOOKUP($D74,素材!$1:$1016,COLUMN($F$1),FALSE)) - LEN(SUBSTITUTE(VLOOKUP($D74,素材!$1:$1016,COLUMN($F$1),FALSE), "・", 0)) + 1), 0)</f>
        <v>0</v>
      </c>
      <c r="AN74">
        <f>IF(ISNUMBER(SEARCH(SUBSTITUTE(AN$1,RIGHT(AN$1,2),""),VLOOKUP($D74,素材!$1:$1016,COLUMN($F$1),FALSE))),VLOOKUP($C74,武器!$1:$998,COLUMN($O$1),FALSE)*VLOOKUP($D74,素材!$1:$1016,COLUMN($E$1),FALSE)/(LEN(VLOOKUP($D74,素材!$1:$1016,COLUMN($F$1),FALSE)) - LEN(SUBSTITUTE(VLOOKUP($D74,素材!$1:$1016,COLUMN($F$1),FALSE), "・", 0)) + 1), 0)</f>
        <v>0</v>
      </c>
      <c r="AO74">
        <f>IF(ISNUMBER(SEARCH(SUBSTITUTE(AO$1,RIGHT(AO$1,2),""),VLOOKUP($D74,素材!$1:$1016,COLUMN($F$1),FALSE))),VLOOKUP($C74,武器!$1:$998,COLUMN($O$1),FALSE)*VLOOKUP($D74,素材!$1:$1016,COLUMN($E$1),FALSE)/(LEN(VLOOKUP($D74,素材!$1:$1016,COLUMN($F$1),FALSE)) - LEN(SUBSTITUTE(VLOOKUP($D74,素材!$1:$1016,COLUMN($F$1),FALSE), "・", 0)) + 1), 0)</f>
        <v>0</v>
      </c>
      <c r="AP74">
        <f>IF(ISNUMBER(SEARCH(SUBSTITUTE(AP$1,RIGHT(AP$1,2),""),VLOOKUP($D74,素材!$1:$1016,COLUMN($F$1),FALSE))),VLOOKUP($C74,武器!$1:$998,COLUMN($O$1),FALSE)*VLOOKUP($D74,素材!$1:$1016,COLUMN($E$1),FALSE)/(LEN(VLOOKUP($D74,素材!$1:$1016,COLUMN($F$1),FALSE)) - LEN(SUBSTITUTE(VLOOKUP($D74,素材!$1:$1016,COLUMN($F$1),FALSE), "・", 0)) + 1), 0)</f>
        <v>0</v>
      </c>
      <c r="AQ74">
        <f>IF(ISNUMBER(SEARCH(SUBSTITUTE(AQ$1,RIGHT(AQ$1,2),""),VLOOKUP($D74,素材!$1:$1016,COLUMN($F$1),FALSE))),VLOOKUP($C74,武器!$1:$998,COLUMN($O$1),FALSE)*VLOOKUP($D74,素材!$1:$1016,COLUMN($E$1),FALSE)/(LEN(VLOOKUP($D74,素材!$1:$1016,COLUMN($F$1),FALSE)) - LEN(SUBSTITUTE(VLOOKUP($D74,素材!$1:$1016,COLUMN($F$1),FALSE), "・", 0)) + 1), 0)</f>
        <v>0</v>
      </c>
      <c r="AR74">
        <f>IF(ISNUMBER(SEARCH(SUBSTITUTE(AR$1,RIGHT(AR$1,2),""),VLOOKUP($D74,素材!$1:$1016,COLUMN($F$1),FALSE))),VLOOKUP($C74,武器!$1:$998,COLUMN($O$1),FALSE)*VLOOKUP($D74,素材!$1:$1016,COLUMN($E$1),FALSE)/(LEN(VLOOKUP($D74,素材!$1:$1016,COLUMN($F$1),FALSE)) - LEN(SUBSTITUTE(VLOOKUP($D74,素材!$1:$1016,COLUMN($F$1),FALSE), "・", 0)) + 1), 0)</f>
        <v>0</v>
      </c>
      <c r="AS74">
        <f>IF(ISNUMBER(SEARCH(SUBSTITUTE(AS$1,RIGHT(AS$1,2),""),VLOOKUP($D74,素材!$1:$1016,COLUMN($F$1),FALSE))),VLOOKUP($C74,武器!$1:$998,COLUMN($O$1),FALSE)*VLOOKUP($D74,素材!$1:$1016,COLUMN($E$1),FALSE)/(LEN(VLOOKUP($D74,素材!$1:$1016,COLUMN($F$1),FALSE)) - LEN(SUBSTITUTE(VLOOKUP($D74,素材!$1:$1016,COLUMN($F$1),FALSE), "・", 0)) + 1), 0)</f>
        <v>0</v>
      </c>
      <c r="AT74">
        <f>IF(ISNUMBER(SEARCH(SUBSTITUTE(AT$1,RIGHT(AT$1,2),""),VLOOKUP($D74,素材!$1:$1016,COLUMN($F$1),FALSE))),VLOOKUP($C74,武器!$1:$998,COLUMN($O$1),FALSE)*VLOOKUP($D74,素材!$1:$1016,COLUMN($E$1),FALSE)/(LEN(VLOOKUP($D74,素材!$1:$1016,COLUMN($F$1),FALSE)) - LEN(SUBSTITUTE(VLOOKUP($D74,素材!$1:$1016,COLUMN($F$1),FALSE), "・", 0)) + 1), 0)</f>
        <v>0</v>
      </c>
      <c r="AU74">
        <f>IF(ISNUMBER(SEARCH(SUBSTITUTE(AU$1,RIGHT(AU$1,2),""),VLOOKUP($D74,素材!$1:$1016,COLUMN($F$1),FALSE))),VLOOKUP($C74,武器!$1:$998,COLUMN($O$1),FALSE)*VLOOKUP($D74,素材!$1:$1016,COLUMN($E$1),FALSE)/(LEN(VLOOKUP($D74,素材!$1:$1016,COLUMN($F$1),FALSE)) - LEN(SUBSTITUTE(VLOOKUP($D74,素材!$1:$1016,COLUMN($F$1),FALSE), "・", 0)) + 1), 0)</f>
        <v>0</v>
      </c>
      <c r="AV74">
        <f>IF(ISNUMBER(SEARCH(SUBSTITUTE(AV$1,RIGHT(AV$1,2),""),VLOOKUP($D74,素材!$1:$1016,COLUMN($F$1),FALSE))),VLOOKUP($C74,武器!$1:$998,COLUMN($O$1),FALSE)*VLOOKUP($D74,素材!$1:$1016,COLUMN($E$1),FALSE)/(LEN(VLOOKUP($D74,素材!$1:$1016,COLUMN($F$1),FALSE)) - LEN(SUBSTITUTE(VLOOKUP($D74,素材!$1:$1016,COLUMN($F$1),FALSE), "・", 0)) + 1), 0)</f>
        <v>0</v>
      </c>
      <c r="AW74">
        <f>IF(ISNUMBER(SEARCH(SUBSTITUTE(AW$1,RIGHT(AW$1,2),""),VLOOKUP($D74,素材!$1:$1016,COLUMN($F$1),FALSE))),VLOOKUP($C74,武器!$1:$998,COLUMN($O$1),FALSE)*VLOOKUP($D74,素材!$1:$1016,COLUMN($E$1),FALSE)/(LEN(VLOOKUP($D74,素材!$1:$1016,COLUMN($F$1),FALSE)) - LEN(SUBSTITUTE(VLOOKUP($D74,素材!$1:$1016,COLUMN($F$1),FALSE), "・", 0)) + 1), 0)</f>
        <v>0</v>
      </c>
      <c r="AX74">
        <f>IF(ISNUMBER(SEARCH(SUBSTITUTE(AX$1,RIGHT(AX$1,2),""),VLOOKUP($D74,素材!$1:$1016,COLUMN($F$1),FALSE))),VLOOKUP($C74,武器!$1:$998,COLUMN($O$1),FALSE)*VLOOKUP($D74,素材!$1:$1016,COLUMN($E$1),FALSE)/(LEN(VLOOKUP($D74,素材!$1:$1016,COLUMN($F$1),FALSE)) - LEN(SUBSTITUTE(VLOOKUP($D74,素材!$1:$1016,COLUMN($F$1),FALSE), "・", 0)) + 1), 0)</f>
        <v>0</v>
      </c>
      <c r="AY74">
        <f>IF(ISNUMBER(SEARCH(SUBSTITUTE(AY$1,RIGHT(AY$1,2),""),VLOOKUP($D74,素材!$1:$1016,COLUMN($F$1),FALSE))),VLOOKUP($C74,武器!$1:$998,COLUMN($O$1),FALSE)*VLOOKUP($D74,素材!$1:$1016,COLUMN($E$1),FALSE)/(LEN(VLOOKUP($D74,素材!$1:$1016,COLUMN($F$1),FALSE)) - LEN(SUBSTITUTE(VLOOKUP($D74,素材!$1:$1016,COLUMN($F$1),FALSE), "・", 0)) + 1), 0)</f>
        <v>0</v>
      </c>
      <c r="AZ74">
        <f>IF(ISNUMBER(SEARCH(SUBSTITUTE(AZ$1,RIGHT(AZ$1,2),""),VLOOKUP($D74,素材!$1:$1016,COLUMN($F$1),FALSE))),VLOOKUP($C74,武器!$1:$998,COLUMN($O$1),FALSE)*VLOOKUP($D74,素材!$1:$1016,COLUMN($E$1),FALSE)/(LEN(VLOOKUP($D74,素材!$1:$1016,COLUMN($F$1),FALSE)) - LEN(SUBSTITUTE(VLOOKUP($D74,素材!$1:$1016,COLUMN($F$1),FALSE), "・", 0)) + 1), 0)</f>
        <v>0</v>
      </c>
      <c r="BA74">
        <f>IF(ISNUMBER(SEARCH(SUBSTITUTE(BA$1,RIGHT(BA$1,2),""),VLOOKUP($D74,素材!$1:$1016,COLUMN($F$1),FALSE))),VLOOKUP($C74,武器!$1:$998,COLUMN($O$1),FALSE)*VLOOKUP($D74,素材!$1:$1016,COLUMN($E$1),FALSE)/(LEN(VLOOKUP($D74,素材!$1:$1016,COLUMN($F$1),FALSE)) - LEN(SUBSTITUTE(VLOOKUP($D74,素材!$1:$1016,COLUMN($F$1),FALSE), "・", 0)) + 1), 0)</f>
        <v>0</v>
      </c>
      <c r="BB74">
        <f>IF(ISNUMBER(SEARCH(SUBSTITUTE(BB$1,RIGHT(BB$1,2),""),VLOOKUP($D74,素材!$1:$1016,COLUMN($F$1),FALSE))),VLOOKUP($C74,武器!$1:$998,COLUMN($O$1),FALSE)*VLOOKUP($D74,素材!$1:$1016,COLUMN($E$1),FALSE)/(LEN(VLOOKUP($D74,素材!$1:$1016,COLUMN($F$1),FALSE)) - LEN(SUBSTITUTE(VLOOKUP($D74,素材!$1:$1016,COLUMN($F$1),FALSE), "・", 0)) + 1), 0)</f>
        <v>0</v>
      </c>
      <c r="BC74">
        <f>IF(ISNUMBER(SEARCH(SUBSTITUTE(BC$1,RIGHT(BC$1,2),""),VLOOKUP($D74,素材!$1:$1016,COLUMN($F$1),FALSE))),VLOOKUP($C74,武器!$1:$998,COLUMN($O$1),FALSE)*VLOOKUP($D74,素材!$1:$1016,COLUMN($E$1),FALSE)/(LEN(VLOOKUP($D74,素材!$1:$1016,COLUMN($F$1),FALSE)) - LEN(SUBSTITUTE(VLOOKUP($D74,素材!$1:$1016,COLUMN($F$1),FALSE), "・", 0)) + 1), 0)</f>
        <v>0</v>
      </c>
      <c r="BD74">
        <f>IF(ISNUMBER(SEARCH(SUBSTITUTE(BD$1,RIGHT(BD$1,2),""),VLOOKUP($D74,素材!$1:$1016,COLUMN($F$1),FALSE))),VLOOKUP($C74,武器!$1:$998,COLUMN($O$1),FALSE)*VLOOKUP($D74,素材!$1:$1016,COLUMN($E$1),FALSE)/(LEN(VLOOKUP($D74,素材!$1:$1016,COLUMN($F$1),FALSE)) - LEN(SUBSTITUTE(VLOOKUP($D74,素材!$1:$1016,COLUMN($F$1),FALSE), "・", 0)) + 1), 0)</f>
        <v>0</v>
      </c>
      <c r="BE74">
        <f>IF(ISNUMBER(SEARCH(SUBSTITUTE(BE$1,RIGHT(BE$1,2),""),VLOOKUP($D74,素材!$1:$1016,COLUMN($F$1),FALSE))),VLOOKUP($C74,武器!$1:$998,COLUMN($O$1),FALSE)*VLOOKUP($D74,素材!$1:$1016,COLUMN($E$1),FALSE)/(LEN(VLOOKUP($D74,素材!$1:$1016,COLUMN($F$1),FALSE)) - LEN(SUBSTITUTE(VLOOKUP($D74,素材!$1:$1016,COLUMN($F$1),FALSE), "・", 0)) + 1), 0)</f>
        <v>0</v>
      </c>
      <c r="CL74">
        <f>SUM(G74:I74)</f>
        <v>0</v>
      </c>
      <c r="CM74" s="22" t="str">
        <f>IF(E74="武器",IF(J74-1&gt;SUM(G74:I74),"盾",IF(MAX(G74:I74)=G74,"切断",IF(MAX(G74:I74)=H74,"貫通",IF(MAX(G74:I74)=I74,"打撃","射撃")))),E74)&amp;".webp"</f>
        <v>体.webp</v>
      </c>
      <c r="CN74">
        <f>IFERROR(VLOOKUP($C74,武器!$1:$998,COLUMN(V$1),FALSE)*VLOOKUP($D74,素材!$1:$1016,COLUMN(N$1),FALSE)+IF(CI74="",0,VLOOKUP($CI74,装強!$1:$1008,COLUMN($CK$1),FALSE)),"")</f>
        <v>300</v>
      </c>
      <c r="CO74" t="str">
        <f>VLOOKUP(D74,素材!$A:$O,COLUMN(素材!O$1),FALSE)</f>
        <v>一般的な木材。金属より軽いが少し脆い</v>
      </c>
      <c r="CP74" t="str">
        <f>VLOOKUP(C74,武器!$A:$W,COLUMN(武器!W$1),FALSE)</f>
        <v>HP 物理 魔法 体幹 出血 疲労 Cr</v>
      </c>
      <c r="CR74" t="str">
        <f t="shared" si="5"/>
        <v>e_74</v>
      </c>
      <c r="CS74">
        <f t="shared" si="6"/>
        <v>30000</v>
      </c>
    </row>
    <row r="75" spans="1:97" outlineLevel="1" x14ac:dyDescent="0.4">
      <c r="A75" t="str">
        <f t="shared" si="4"/>
        <v>木の胴衣</v>
      </c>
      <c r="B75" t="str">
        <f>IFERROR(VLOOKUP($D75,素材!$1:$1016,COLUMN($B$1),FALSE)&amp;"・"&amp;VLOOKUP($C75,武器!$1:$998,COLUMN(B$1),FALSE),"")</f>
        <v>ウッド・ベスト</v>
      </c>
      <c r="C75" t="s">
        <v>207</v>
      </c>
      <c r="D75" s="24" t="s">
        <v>255</v>
      </c>
      <c r="E75" t="str">
        <f>IFERROR(VLOOKUP(C75,武器!$1:$998,COLUMN(C$1),FALSE),"")</f>
        <v>体</v>
      </c>
      <c r="F75">
        <f>IFERROR(ROUNDDOWN((VLOOKUP($C75,武器!$1:$998,COLUMN(D$1),FALSE)+IFERROR(VLOOKUP($CI75,装強!$1:$999,COLUMN(F$1),FALSE),0))*VLOOKUP($D75,素材!$1:$1016,COLUMN(D$1),FALSE),0),"")</f>
        <v>0</v>
      </c>
      <c r="G75">
        <f>IFERROR(ROUNDDOWN((VLOOKUP($C75,武器!$1:$998,COLUMN(E$1),FALSE)+IFERROR(VLOOKUP($CI75,装強!$1:$999,COLUMN(G$1),FALSE),0))*VLOOKUP($D75,素材!$1:$1016,COLUMN($E$1),FALSE),0),"")</f>
        <v>0</v>
      </c>
      <c r="H75">
        <f>IFERROR(ROUNDDOWN((VLOOKUP($C75,武器!$1:$998,COLUMN(F$1),FALSE)+IFERROR(VLOOKUP($CI75,装強!$1:$999,COLUMN(H$1),FALSE),0))*VLOOKUP($D75,素材!$1:$1016,COLUMN($E$1),FALSE),0),"")</f>
        <v>0</v>
      </c>
      <c r="I75">
        <f>IFERROR(ROUNDDOWN((VLOOKUP($C75,武器!$1:$998,COLUMN(G$1),FALSE)+IFERROR(VLOOKUP($CI75,装強!$1:$999,COLUMN(I$1),FALSE),0))*VLOOKUP($D75,素材!$1:$1016,COLUMN($E$1),FALSE),0),"")</f>
        <v>0</v>
      </c>
      <c r="J75">
        <f>IFERROR(ROUNDDOWN((VLOOKUP($C75,武器!$1:$998,COLUMN(H$1),FALSE)+IFERROR(VLOOKUP($CI75,装強!$1:$999,COLUMN(J$1),FALSE),0))*VLOOKUP($D75,素材!$1:$1016,COLUMN($E$1),FALSE),0),"")</f>
        <v>0</v>
      </c>
      <c r="K75">
        <f>IFERROR(ROUNDDOWN((VLOOKUP($C75,武器!$1:$998,COLUMN(I$1),FALSE)+IFERROR(VLOOKUP($CI75,装強!$1:$999,COLUMN(K$1),FALSE),0))*VLOOKUP($D75,素材!$1:$1016,COLUMN($E$1),FALSE),0),"")</f>
        <v>0</v>
      </c>
      <c r="L75">
        <f>IFERROR(VLOOKUP($D75,素材!$1:$1016,COLUMN($F$1),FALSE),"")</f>
        <v>0</v>
      </c>
      <c r="M75">
        <f>IFERROR(VLOOKUP($C75,武器!$1:$998,COLUMN(AA$1),FALSE)*VLOOKUP($D75,素材!$1:$1016,COLUMN($G$1),FALSE),"")</f>
        <v>0</v>
      </c>
      <c r="N75">
        <f>IFERROR(VLOOKUP($C75,武器!$1:$998,COLUMN(I$1),FALSE),"")</f>
        <v>0</v>
      </c>
      <c r="O75" s="23">
        <f>IFERROR((VLOOKUP($C75,武器!$1:$998,COLUMN(K$1),FALSE)+VLOOKUP($D75,素材!$1:$1016,COLUMN(H$1),FALSE))*100+IFERROR(VLOOKUP($CI75,装強!$1:$999,COLUMN(O$1),FALSE),0),"")</f>
        <v>0</v>
      </c>
      <c r="P75" s="23">
        <f>IFERROR((VLOOKUP($C75,武器!$1:$998,COLUMN(L$1),FALSE)+VLOOKUP($D75,素材!$1:$1016,COLUMN(I$1),FALSE))*100+IFERROR(VLOOKUP($CI75,装強!$1:$999,COLUMN(P$1),FALSE),0),"")</f>
        <v>0</v>
      </c>
      <c r="Q75">
        <f>IFERROR(ROUNDUP(VLOOKUP($C75,武器!$1:$998,COLUMN(M$1),FALSE)*(VLOOKUP($D75,素材!$1:$1002,COLUMN(D$1),FALSE)/100),1),"")</f>
        <v>-5.6999999999999993</v>
      </c>
      <c r="R75">
        <f>IFERROR(ROUNDUP(VLOOKUP($C75,武器!$1:$998,COLUMN(N$1),FALSE)*(VLOOKUP($D75,素材!$1:$1002,COLUMN(D$1),FALSE)/100),1),"")</f>
        <v>0</v>
      </c>
      <c r="S75">
        <f>IFERROR(VLOOKUP($C75,武器!$1:$998,COLUMN(P$1),FALSE),"")</f>
        <v>0</v>
      </c>
      <c r="T75">
        <f>IFERROR(VLOOKUP($C75,武器!$1:$998,COLUMN(Q$1),FALSE),"")</f>
        <v>0</v>
      </c>
      <c r="U75">
        <f>IFERROR(VLOOKUP($C75,武器!$1:$998,COLUMN(R$1),FALSE),"")</f>
        <v>0</v>
      </c>
      <c r="V75">
        <f>IFERROR(VLOOKUP($C75,武器!$1:$998,COLUMN(Q$1),FALSE),"")</f>
        <v>0</v>
      </c>
      <c r="W75">
        <f>IFERROR(VLOOKUP($C75,武器!$1:$998,COLUMN(T$1),FALSE),"")</f>
        <v>0</v>
      </c>
      <c r="Y75">
        <f>IFERROR(VLOOKUP($C75,武器!$1:$998,COLUMN(U$1),FALSE),"")</f>
        <v>0</v>
      </c>
      <c r="Z75">
        <f>IFERROR(ROUNDUP(VLOOKUP($C75,武器!$1:$998,COLUMN(O$1),FALSE)*VLOOKUP($D75,素材!$1:$1016,COLUMN(E$1),FALSE),1),"")</f>
        <v>7.5</v>
      </c>
      <c r="AA75">
        <f>IF(ISNUMBER(SEARCH(SUBSTITUTE(AA$1,RIGHT(AA$1,2),""),VLOOKUP($D75,素材!$1:$1016,COLUMN($F$1),FALSE))),VLOOKUP($C75,武器!$1:$998,COLUMN($O$1),FALSE)*VLOOKUP($D75,素材!$1:$1016,COLUMN($E$1),FALSE)/(LEN(VLOOKUP($D75,素材!$1:$1016,COLUMN($F$1),FALSE)) - LEN(SUBSTITUTE(VLOOKUP($D75,素材!$1:$1016,COLUMN($F$1),FALSE), "・", 0)) + 1), 0)</f>
        <v>0</v>
      </c>
      <c r="AB75">
        <f>IF(ISNUMBER(SEARCH(SUBSTITUTE(AB$1,RIGHT(AB$1,2),""),VLOOKUP($D75,素材!$1:$1016,COLUMN($F$1),FALSE))),VLOOKUP($C75,武器!$1:$998,COLUMN($O$1),FALSE)*VLOOKUP($D75,素材!$1:$1016,COLUMN($E$1),FALSE)/(LEN(VLOOKUP($D75,素材!$1:$1016,COLUMN($F$1),FALSE)) - LEN(SUBSTITUTE(VLOOKUP($D75,素材!$1:$1016,COLUMN($F$1),FALSE), "・", 0)) + 1), 0)</f>
        <v>0</v>
      </c>
      <c r="AC75">
        <f>IF(ISNUMBER(SEARCH(SUBSTITUTE(AC$1,RIGHT(AC$1,2),""),VLOOKUP($D75,素材!$1:$1016,COLUMN($F$1),FALSE))),VLOOKUP($C75,武器!$1:$998,COLUMN($O$1),FALSE)*VLOOKUP($D75,素材!$1:$1016,COLUMN($E$1),FALSE)/(LEN(VLOOKUP($D75,素材!$1:$1016,COLUMN($F$1),FALSE)) - LEN(SUBSTITUTE(VLOOKUP($D75,素材!$1:$1016,COLUMN($F$1),FALSE), "・", 0)) + 1), 0)</f>
        <v>0</v>
      </c>
      <c r="AD75">
        <f>IF(ISNUMBER(SEARCH(SUBSTITUTE(AD$1,RIGHT(AD$1,2),""),VLOOKUP($D75,素材!$1:$1016,COLUMN($F$1),FALSE))),VLOOKUP($C75,武器!$1:$998,COLUMN($O$1),FALSE)*VLOOKUP($D75,素材!$1:$1016,COLUMN($E$1),FALSE)/(LEN(VLOOKUP($D75,素材!$1:$1016,COLUMN($F$1),FALSE)) - LEN(SUBSTITUTE(VLOOKUP($D75,素材!$1:$1016,COLUMN($F$1),FALSE), "・", 0)) + 1), 0)</f>
        <v>0</v>
      </c>
      <c r="AE75">
        <f>IF(ISNUMBER(SEARCH(SUBSTITUTE(AE$1,RIGHT(AE$1,2),""),VLOOKUP($D75,素材!$1:$1016,COLUMN($F$1),FALSE))),VLOOKUP($C75,武器!$1:$998,COLUMN($O$1),FALSE)*VLOOKUP($D75,素材!$1:$1016,COLUMN($E$1),FALSE)/(LEN(VLOOKUP($D75,素材!$1:$1016,COLUMN($F$1),FALSE)) - LEN(SUBSTITUTE(VLOOKUP($D75,素材!$1:$1016,COLUMN($F$1),FALSE), "・", 0)) + 1), 0)</f>
        <v>0</v>
      </c>
      <c r="AF75">
        <f>IF(ISNUMBER(SEARCH(SUBSTITUTE(AF$1,RIGHT(AF$1,2),""),VLOOKUP($D75,素材!$1:$1016,COLUMN($F$1),FALSE))),VLOOKUP($C75,武器!$1:$998,COLUMN($O$1),FALSE)*VLOOKUP($D75,素材!$1:$1016,COLUMN($E$1),FALSE)/(LEN(VLOOKUP($D75,素材!$1:$1016,COLUMN($F$1),FALSE)) - LEN(SUBSTITUTE(VLOOKUP($D75,素材!$1:$1016,COLUMN($F$1),FALSE), "・", 0)) + 1), 0)</f>
        <v>0</v>
      </c>
      <c r="AG75">
        <f>IF(ISNUMBER(SEARCH(SUBSTITUTE(AG$1,RIGHT(AG$1,2),""),VLOOKUP($D75,素材!$1:$1016,COLUMN($F$1),FALSE))),VLOOKUP($C75,武器!$1:$998,COLUMN($O$1),FALSE)*VLOOKUP($D75,素材!$1:$1016,COLUMN($E$1),FALSE)/(LEN(VLOOKUP($D75,素材!$1:$1016,COLUMN($F$1),FALSE)) - LEN(SUBSTITUTE(VLOOKUP($D75,素材!$1:$1016,COLUMN($F$1),FALSE), "・", 0)) + 1), 0)</f>
        <v>0</v>
      </c>
      <c r="AH75">
        <f>IF(ISNUMBER(SEARCH(SUBSTITUTE(AH$1,RIGHT(AH$1,2),""),VLOOKUP($D75,素材!$1:$1016,COLUMN($F$1),FALSE))),VLOOKUP($C75,武器!$1:$998,COLUMN($O$1),FALSE)*VLOOKUP($D75,素材!$1:$1016,COLUMN($E$1),FALSE)/(LEN(VLOOKUP($D75,素材!$1:$1016,COLUMN($F$1),FALSE)) - LEN(SUBSTITUTE(VLOOKUP($D75,素材!$1:$1016,COLUMN($F$1),FALSE), "・", 0)) + 1), 0)</f>
        <v>0</v>
      </c>
      <c r="AI75">
        <f>IF(ISNUMBER(SEARCH(SUBSTITUTE(AI$1,RIGHT(AI$1,2),""),VLOOKUP($D75,素材!$1:$1016,COLUMN($F$1),FALSE))),VLOOKUP($C75,武器!$1:$998,COLUMN($O$1),FALSE)*VLOOKUP($D75,素材!$1:$1016,COLUMN($E$1),FALSE)/(LEN(VLOOKUP($D75,素材!$1:$1016,COLUMN($F$1),FALSE)) - LEN(SUBSTITUTE(VLOOKUP($D75,素材!$1:$1016,COLUMN($F$1),FALSE), "・", 0)) + 1), 0)</f>
        <v>0</v>
      </c>
      <c r="AJ75">
        <f>IF(ISNUMBER(SEARCH(SUBSTITUTE(AJ$1,RIGHT(AJ$1,2),""),VLOOKUP($D75,素材!$1:$1016,COLUMN($F$1),FALSE))),VLOOKUP($C75,武器!$1:$998,COLUMN($O$1),FALSE)*VLOOKUP($D75,素材!$1:$1016,COLUMN($E$1),FALSE)/(LEN(VLOOKUP($D75,素材!$1:$1016,COLUMN($F$1),FALSE)) - LEN(SUBSTITUTE(VLOOKUP($D75,素材!$1:$1016,COLUMN($F$1),FALSE), "・", 0)) + 1), 0)</f>
        <v>0</v>
      </c>
      <c r="AK75">
        <f>IF(ISNUMBER(SEARCH(SUBSTITUTE(AK$1,RIGHT(AK$1,2),""),VLOOKUP($D75,素材!$1:$1016,COLUMN($F$1),FALSE))),VLOOKUP($C75,武器!$1:$998,COLUMN($O$1),FALSE)*VLOOKUP($D75,素材!$1:$1016,COLUMN($E$1),FALSE)/(LEN(VLOOKUP($D75,素材!$1:$1016,COLUMN($F$1),FALSE)) - LEN(SUBSTITUTE(VLOOKUP($D75,素材!$1:$1016,COLUMN($F$1),FALSE), "・", 0)) + 1), 0)</f>
        <v>0</v>
      </c>
      <c r="AL75">
        <f>IF(ISNUMBER(SEARCH(SUBSTITUTE(AL$1,RIGHT(AL$1,2),""),VLOOKUP($D75,素材!$1:$1016,COLUMN($F$1),FALSE))),VLOOKUP($C75,武器!$1:$998,COLUMN($O$1),FALSE)*VLOOKUP($D75,素材!$1:$1016,COLUMN($E$1),FALSE)/(LEN(VLOOKUP($D75,素材!$1:$1016,COLUMN($F$1),FALSE)) - LEN(SUBSTITUTE(VLOOKUP($D75,素材!$1:$1016,COLUMN($F$1),FALSE), "・", 0)) + 1), 0)</f>
        <v>0</v>
      </c>
      <c r="AM75">
        <f>IF(ISNUMBER(SEARCH(SUBSTITUTE(AM$1,RIGHT(AM$1,2),""),VLOOKUP($D75,素材!$1:$1016,COLUMN($F$1),FALSE))),VLOOKUP($C75,武器!$1:$998,COLUMN($O$1),FALSE)*VLOOKUP($D75,素材!$1:$1016,COLUMN($E$1),FALSE)/(LEN(VLOOKUP($D75,素材!$1:$1016,COLUMN($F$1),FALSE)) - LEN(SUBSTITUTE(VLOOKUP($D75,素材!$1:$1016,COLUMN($F$1),FALSE), "・", 0)) + 1), 0)</f>
        <v>0</v>
      </c>
      <c r="AN75">
        <f>IF(ISNUMBER(SEARCH(SUBSTITUTE(AN$1,RIGHT(AN$1,2),""),VLOOKUP($D75,素材!$1:$1016,COLUMN($F$1),FALSE))),VLOOKUP($C75,武器!$1:$998,COLUMN($O$1),FALSE)*VLOOKUP($D75,素材!$1:$1016,COLUMN($E$1),FALSE)/(LEN(VLOOKUP($D75,素材!$1:$1016,COLUMN($F$1),FALSE)) - LEN(SUBSTITUTE(VLOOKUP($D75,素材!$1:$1016,COLUMN($F$1),FALSE), "・", 0)) + 1), 0)</f>
        <v>0</v>
      </c>
      <c r="AO75">
        <f>IF(ISNUMBER(SEARCH(SUBSTITUTE(AO$1,RIGHT(AO$1,2),""),VLOOKUP($D75,素材!$1:$1016,COLUMN($F$1),FALSE))),VLOOKUP($C75,武器!$1:$998,COLUMN($O$1),FALSE)*VLOOKUP($D75,素材!$1:$1016,COLUMN($E$1),FALSE)/(LEN(VLOOKUP($D75,素材!$1:$1016,COLUMN($F$1),FALSE)) - LEN(SUBSTITUTE(VLOOKUP($D75,素材!$1:$1016,COLUMN($F$1),FALSE), "・", 0)) + 1), 0)</f>
        <v>0</v>
      </c>
      <c r="AP75">
        <f>IF(ISNUMBER(SEARCH(SUBSTITUTE(AP$1,RIGHT(AP$1,2),""),VLOOKUP($D75,素材!$1:$1016,COLUMN($F$1),FALSE))),VLOOKUP($C75,武器!$1:$998,COLUMN($O$1),FALSE)*VLOOKUP($D75,素材!$1:$1016,COLUMN($E$1),FALSE)/(LEN(VLOOKUP($D75,素材!$1:$1016,COLUMN($F$1),FALSE)) - LEN(SUBSTITUTE(VLOOKUP($D75,素材!$1:$1016,COLUMN($F$1),FALSE), "・", 0)) + 1), 0)</f>
        <v>0</v>
      </c>
      <c r="AQ75">
        <f>IF(ISNUMBER(SEARCH(SUBSTITUTE(AQ$1,RIGHT(AQ$1,2),""),VLOOKUP($D75,素材!$1:$1016,COLUMN($F$1),FALSE))),VLOOKUP($C75,武器!$1:$998,COLUMN($O$1),FALSE)*VLOOKUP($D75,素材!$1:$1016,COLUMN($E$1),FALSE)/(LEN(VLOOKUP($D75,素材!$1:$1016,COLUMN($F$1),FALSE)) - LEN(SUBSTITUTE(VLOOKUP($D75,素材!$1:$1016,COLUMN($F$1),FALSE), "・", 0)) + 1), 0)</f>
        <v>0</v>
      </c>
      <c r="AR75">
        <f>IF(ISNUMBER(SEARCH(SUBSTITUTE(AR$1,RIGHT(AR$1,2),""),VLOOKUP($D75,素材!$1:$1016,COLUMN($F$1),FALSE))),VLOOKUP($C75,武器!$1:$998,COLUMN($O$1),FALSE)*VLOOKUP($D75,素材!$1:$1016,COLUMN($E$1),FALSE)/(LEN(VLOOKUP($D75,素材!$1:$1016,COLUMN($F$1),FALSE)) - LEN(SUBSTITUTE(VLOOKUP($D75,素材!$1:$1016,COLUMN($F$1),FALSE), "・", 0)) + 1), 0)</f>
        <v>0</v>
      </c>
      <c r="AS75">
        <f>IF(ISNUMBER(SEARCH(SUBSTITUTE(AS$1,RIGHT(AS$1,2),""),VLOOKUP($D75,素材!$1:$1016,COLUMN($F$1),FALSE))),VLOOKUP($C75,武器!$1:$998,COLUMN($O$1),FALSE)*VLOOKUP($D75,素材!$1:$1016,COLUMN($E$1),FALSE)/(LEN(VLOOKUP($D75,素材!$1:$1016,COLUMN($F$1),FALSE)) - LEN(SUBSTITUTE(VLOOKUP($D75,素材!$1:$1016,COLUMN($F$1),FALSE), "・", 0)) + 1), 0)</f>
        <v>0</v>
      </c>
      <c r="AT75">
        <f>IF(ISNUMBER(SEARCH(SUBSTITUTE(AT$1,RIGHT(AT$1,2),""),VLOOKUP($D75,素材!$1:$1016,COLUMN($F$1),FALSE))),VLOOKUP($C75,武器!$1:$998,COLUMN($O$1),FALSE)*VLOOKUP($D75,素材!$1:$1016,COLUMN($E$1),FALSE)/(LEN(VLOOKUP($D75,素材!$1:$1016,COLUMN($F$1),FALSE)) - LEN(SUBSTITUTE(VLOOKUP($D75,素材!$1:$1016,COLUMN($F$1),FALSE), "・", 0)) + 1), 0)</f>
        <v>0</v>
      </c>
      <c r="AU75">
        <f>IF(ISNUMBER(SEARCH(SUBSTITUTE(AU$1,RIGHT(AU$1,2),""),VLOOKUP($D75,素材!$1:$1016,COLUMN($F$1),FALSE))),VLOOKUP($C75,武器!$1:$998,COLUMN($O$1),FALSE)*VLOOKUP($D75,素材!$1:$1016,COLUMN($E$1),FALSE)/(LEN(VLOOKUP($D75,素材!$1:$1016,COLUMN($F$1),FALSE)) - LEN(SUBSTITUTE(VLOOKUP($D75,素材!$1:$1016,COLUMN($F$1),FALSE), "・", 0)) + 1), 0)</f>
        <v>0</v>
      </c>
      <c r="AV75">
        <f>IF(ISNUMBER(SEARCH(SUBSTITUTE(AV$1,RIGHT(AV$1,2),""),VLOOKUP($D75,素材!$1:$1016,COLUMN($F$1),FALSE))),VLOOKUP($C75,武器!$1:$998,COLUMN($O$1),FALSE)*VLOOKUP($D75,素材!$1:$1016,COLUMN($E$1),FALSE)/(LEN(VLOOKUP($D75,素材!$1:$1016,COLUMN($F$1),FALSE)) - LEN(SUBSTITUTE(VLOOKUP($D75,素材!$1:$1016,COLUMN($F$1),FALSE), "・", 0)) + 1), 0)</f>
        <v>0</v>
      </c>
      <c r="AW75">
        <f>IF(ISNUMBER(SEARCH(SUBSTITUTE(AW$1,RIGHT(AW$1,2),""),VLOOKUP($D75,素材!$1:$1016,COLUMN($F$1),FALSE))),VLOOKUP($C75,武器!$1:$998,COLUMN($O$1),FALSE)*VLOOKUP($D75,素材!$1:$1016,COLUMN($E$1),FALSE)/(LEN(VLOOKUP($D75,素材!$1:$1016,COLUMN($F$1),FALSE)) - LEN(SUBSTITUTE(VLOOKUP($D75,素材!$1:$1016,COLUMN($F$1),FALSE), "・", 0)) + 1), 0)</f>
        <v>0</v>
      </c>
      <c r="AX75">
        <f>IF(ISNUMBER(SEARCH(SUBSTITUTE(AX$1,RIGHT(AX$1,2),""),VLOOKUP($D75,素材!$1:$1016,COLUMN($F$1),FALSE))),VLOOKUP($C75,武器!$1:$998,COLUMN($O$1),FALSE)*VLOOKUP($D75,素材!$1:$1016,COLUMN($E$1),FALSE)/(LEN(VLOOKUP($D75,素材!$1:$1016,COLUMN($F$1),FALSE)) - LEN(SUBSTITUTE(VLOOKUP($D75,素材!$1:$1016,COLUMN($F$1),FALSE), "・", 0)) + 1), 0)</f>
        <v>0</v>
      </c>
      <c r="AY75">
        <f>IF(ISNUMBER(SEARCH(SUBSTITUTE(AY$1,RIGHT(AY$1,2),""),VLOOKUP($D75,素材!$1:$1016,COLUMN($F$1),FALSE))),VLOOKUP($C75,武器!$1:$998,COLUMN($O$1),FALSE)*VLOOKUP($D75,素材!$1:$1016,COLUMN($E$1),FALSE)/(LEN(VLOOKUP($D75,素材!$1:$1016,COLUMN($F$1),FALSE)) - LEN(SUBSTITUTE(VLOOKUP($D75,素材!$1:$1016,COLUMN($F$1),FALSE), "・", 0)) + 1), 0)</f>
        <v>0</v>
      </c>
      <c r="AZ75">
        <f>IF(ISNUMBER(SEARCH(SUBSTITUTE(AZ$1,RIGHT(AZ$1,2),""),VLOOKUP($D75,素材!$1:$1016,COLUMN($F$1),FALSE))),VLOOKUP($C75,武器!$1:$998,COLUMN($O$1),FALSE)*VLOOKUP($D75,素材!$1:$1016,COLUMN($E$1),FALSE)/(LEN(VLOOKUP($D75,素材!$1:$1016,COLUMN($F$1),FALSE)) - LEN(SUBSTITUTE(VLOOKUP($D75,素材!$1:$1016,COLUMN($F$1),FALSE), "・", 0)) + 1), 0)</f>
        <v>0</v>
      </c>
      <c r="BA75">
        <f>IF(ISNUMBER(SEARCH(SUBSTITUTE(BA$1,RIGHT(BA$1,2),""),VLOOKUP($D75,素材!$1:$1016,COLUMN($F$1),FALSE))),VLOOKUP($C75,武器!$1:$998,COLUMN($O$1),FALSE)*VLOOKUP($D75,素材!$1:$1016,COLUMN($E$1),FALSE)/(LEN(VLOOKUP($D75,素材!$1:$1016,COLUMN($F$1),FALSE)) - LEN(SUBSTITUTE(VLOOKUP($D75,素材!$1:$1016,COLUMN($F$1),FALSE), "・", 0)) + 1), 0)</f>
        <v>0</v>
      </c>
      <c r="BB75">
        <f>IF(ISNUMBER(SEARCH(SUBSTITUTE(BB$1,RIGHT(BB$1,2),""),VLOOKUP($D75,素材!$1:$1016,COLUMN($F$1),FALSE))),VLOOKUP($C75,武器!$1:$998,COLUMN($O$1),FALSE)*VLOOKUP($D75,素材!$1:$1016,COLUMN($E$1),FALSE)/(LEN(VLOOKUP($D75,素材!$1:$1016,COLUMN($F$1),FALSE)) - LEN(SUBSTITUTE(VLOOKUP($D75,素材!$1:$1016,COLUMN($F$1),FALSE), "・", 0)) + 1), 0)</f>
        <v>0</v>
      </c>
      <c r="BC75">
        <f>IF(ISNUMBER(SEARCH(SUBSTITUTE(BC$1,RIGHT(BC$1,2),""),VLOOKUP($D75,素材!$1:$1016,COLUMN($F$1),FALSE))),VLOOKUP($C75,武器!$1:$998,COLUMN($O$1),FALSE)*VLOOKUP($D75,素材!$1:$1016,COLUMN($E$1),FALSE)/(LEN(VLOOKUP($D75,素材!$1:$1016,COLUMN($F$1),FALSE)) - LEN(SUBSTITUTE(VLOOKUP($D75,素材!$1:$1016,COLUMN($F$1),FALSE), "・", 0)) + 1), 0)</f>
        <v>0</v>
      </c>
      <c r="BD75">
        <f>IF(ISNUMBER(SEARCH(SUBSTITUTE(BD$1,RIGHT(BD$1,2),""),VLOOKUP($D75,素材!$1:$1016,COLUMN($F$1),FALSE))),VLOOKUP($C75,武器!$1:$998,COLUMN($O$1),FALSE)*VLOOKUP($D75,素材!$1:$1016,COLUMN($E$1),FALSE)/(LEN(VLOOKUP($D75,素材!$1:$1016,COLUMN($F$1),FALSE)) - LEN(SUBSTITUTE(VLOOKUP($D75,素材!$1:$1016,COLUMN($F$1),FALSE), "・", 0)) + 1), 0)</f>
        <v>0</v>
      </c>
      <c r="BE75">
        <f>IF(ISNUMBER(SEARCH(SUBSTITUTE(BE$1,RIGHT(BE$1,2),""),VLOOKUP($D75,素材!$1:$1016,COLUMN($F$1),FALSE))),VLOOKUP($C75,武器!$1:$998,COLUMN($O$1),FALSE)*VLOOKUP($D75,素材!$1:$1016,COLUMN($E$1),FALSE)/(LEN(VLOOKUP($D75,素材!$1:$1016,COLUMN($F$1),FALSE)) - LEN(SUBSTITUTE(VLOOKUP($D75,素材!$1:$1016,COLUMN($F$1),FALSE), "・", 0)) + 1), 0)</f>
        <v>0</v>
      </c>
      <c r="CL75">
        <f>SUM(G75:I75)</f>
        <v>0</v>
      </c>
      <c r="CM75" s="22" t="str">
        <f>IF(E75="武器",IF(J75-1&gt;SUM(G75:I75),"盾",IF(MAX(G75:I75)=G75,"切断",IF(MAX(G75:I75)=H75,"貫通",IF(MAX(G75:I75)=I75,"打撃","射撃")))),E75)&amp;".webp"</f>
        <v>体.webp</v>
      </c>
      <c r="CN75">
        <f>IFERROR(VLOOKUP($C75,武器!$1:$998,COLUMN(V$1),FALSE)*VLOOKUP($D75,素材!$1:$1016,COLUMN(N$1),FALSE)+IF(CI75="",0,VLOOKUP($CI75,装強!$1:$1008,COLUMN($CK$1),FALSE)),"")</f>
        <v>250</v>
      </c>
      <c r="CO75" t="str">
        <f>VLOOKUP(D75,素材!$A:$O,COLUMN(素材!O$1),FALSE)</f>
        <v>一般的な木材。金属より軽いが少し脆い</v>
      </c>
      <c r="CP75" t="str">
        <f>VLOOKUP(C75,武器!$A:$W,COLUMN(武器!W$1),FALSE)</f>
        <v>HP 物理 魔法 体幹 出血 疲労 Cr</v>
      </c>
      <c r="CR75" t="str">
        <f t="shared" si="5"/>
        <v>e_75</v>
      </c>
      <c r="CS75">
        <f t="shared" si="6"/>
        <v>25000</v>
      </c>
    </row>
    <row r="76" spans="1:97" outlineLevel="1" x14ac:dyDescent="0.4">
      <c r="A76" t="str">
        <f t="shared" si="4"/>
        <v>木の靴</v>
      </c>
      <c r="B76" t="str">
        <f>IFERROR(VLOOKUP($D76,素材!$1:$1016,COLUMN($B$1),FALSE)&amp;"・"&amp;VLOOKUP($C76,武器!$1:$998,COLUMN(B$1),FALSE),"")</f>
        <v>ウッド・ブーツ</v>
      </c>
      <c r="C76" t="s">
        <v>206</v>
      </c>
      <c r="D76" s="24" t="s">
        <v>255</v>
      </c>
      <c r="E76" t="str">
        <f>IFERROR(VLOOKUP(C76,武器!$1:$998,COLUMN(C$1),FALSE),"")</f>
        <v>足</v>
      </c>
      <c r="F76">
        <f>IFERROR(ROUNDDOWN((VLOOKUP($C76,武器!$1:$998,COLUMN(D$1),FALSE)+IFERROR(VLOOKUP($CI76,装強!$1:$999,COLUMN(F$1),FALSE),0))*VLOOKUP($D76,素材!$1:$1016,COLUMN(D$1),FALSE),0),"")</f>
        <v>0</v>
      </c>
      <c r="G76">
        <f>IFERROR(ROUNDDOWN((VLOOKUP($C76,武器!$1:$998,COLUMN(E$1),FALSE)+IFERROR(VLOOKUP($CI76,装強!$1:$999,COLUMN(G$1),FALSE),0))*VLOOKUP($D76,素材!$1:$1016,COLUMN($E$1),FALSE),0),"")</f>
        <v>0</v>
      </c>
      <c r="H76">
        <f>IFERROR(ROUNDDOWN((VLOOKUP($C76,武器!$1:$998,COLUMN(F$1),FALSE)+IFERROR(VLOOKUP($CI76,装強!$1:$999,COLUMN(H$1),FALSE),0))*VLOOKUP($D76,素材!$1:$1016,COLUMN($E$1),FALSE),0),"")</f>
        <v>0</v>
      </c>
      <c r="I76">
        <f>IFERROR(ROUNDDOWN((VLOOKUP($C76,武器!$1:$998,COLUMN(G$1),FALSE)+IFERROR(VLOOKUP($CI76,装強!$1:$999,COLUMN(I$1),FALSE),0))*VLOOKUP($D76,素材!$1:$1016,COLUMN($E$1),FALSE),0),"")</f>
        <v>15</v>
      </c>
      <c r="J76">
        <f>IFERROR(ROUNDDOWN((VLOOKUP($C76,武器!$1:$998,COLUMN(H$1),FALSE)+IFERROR(VLOOKUP($CI76,装強!$1:$999,COLUMN(J$1),FALSE),0))*VLOOKUP($D76,素材!$1:$1016,COLUMN($E$1),FALSE),0),"")</f>
        <v>0</v>
      </c>
      <c r="K76">
        <f>IFERROR(ROUNDDOWN((VLOOKUP($C76,武器!$1:$998,COLUMN(I$1),FALSE)+IFERROR(VLOOKUP($CI76,装強!$1:$999,COLUMN(K$1),FALSE),0))*VLOOKUP($D76,素材!$1:$1016,COLUMN($E$1),FALSE),0),"")</f>
        <v>0</v>
      </c>
      <c r="L76">
        <f>IFERROR(VLOOKUP($D76,素材!$1:$1016,COLUMN($F$1),FALSE),"")</f>
        <v>0</v>
      </c>
      <c r="M76">
        <f>IFERROR(VLOOKUP($C76,武器!$1:$998,COLUMN(AA$1),FALSE)*VLOOKUP($D76,素材!$1:$1016,COLUMN($G$1),FALSE),"")</f>
        <v>0</v>
      </c>
      <c r="N76">
        <f>IFERROR(VLOOKUP($C76,武器!$1:$998,COLUMN(I$1),FALSE),"")</f>
        <v>0</v>
      </c>
      <c r="O76" s="23">
        <f>IFERROR((VLOOKUP($C76,武器!$1:$998,COLUMN(K$1),FALSE)+VLOOKUP($D76,素材!$1:$1016,COLUMN(H$1),FALSE))*100+IFERROR(VLOOKUP($CI76,装強!$1:$999,COLUMN(O$1),FALSE),0),"")</f>
        <v>10</v>
      </c>
      <c r="P76" s="23">
        <f>IFERROR((VLOOKUP($C76,武器!$1:$998,COLUMN(L$1),FALSE)+VLOOKUP($D76,素材!$1:$1016,COLUMN(I$1),FALSE))*100+IFERROR(VLOOKUP($CI76,装強!$1:$999,COLUMN(P$1),FALSE),0),"")</f>
        <v>150</v>
      </c>
      <c r="Q76">
        <f>IFERROR(ROUNDUP(VLOOKUP($C76,武器!$1:$998,COLUMN(M$1),FALSE)*(VLOOKUP($D76,素材!$1:$1002,COLUMN(D$1),FALSE)/100),1),"")</f>
        <v>0</v>
      </c>
      <c r="R76">
        <f>IFERROR(ROUNDUP(VLOOKUP($C76,武器!$1:$998,COLUMN(N$1),FALSE)*(VLOOKUP($D76,素材!$1:$1002,COLUMN(D$1),FALSE)/100),1),"")</f>
        <v>0</v>
      </c>
      <c r="S76">
        <f>IFERROR(VLOOKUP($C76,武器!$1:$998,COLUMN(P$1),FALSE),"")</f>
        <v>0</v>
      </c>
      <c r="T76">
        <f>IFERROR(VLOOKUP($C76,武器!$1:$998,COLUMN(Q$1),FALSE),"")</f>
        <v>0</v>
      </c>
      <c r="U76">
        <f>IFERROR(VLOOKUP($C76,武器!$1:$998,COLUMN(R$1),FALSE),"")</f>
        <v>0</v>
      </c>
      <c r="V76">
        <f>IFERROR(VLOOKUP($C76,武器!$1:$998,COLUMN(Q$1),FALSE),"")</f>
        <v>0</v>
      </c>
      <c r="W76">
        <f>IFERROR(VLOOKUP($C76,武器!$1:$998,COLUMN(T$1),FALSE),"")</f>
        <v>0</v>
      </c>
      <c r="Y76" t="str">
        <f>IFERROR(VLOOKUP($C76,武器!$1:$998,COLUMN(U$1),FALSE),"")</f>
        <v>足</v>
      </c>
      <c r="Z76">
        <f>IFERROR(ROUNDUP(VLOOKUP($C76,武器!$1:$998,COLUMN(O$1),FALSE)*VLOOKUP($D76,素材!$1:$1016,COLUMN(E$1),FALSE),1),"")</f>
        <v>2.3000000000000003</v>
      </c>
      <c r="AA76">
        <f>IF(ISNUMBER(SEARCH(SUBSTITUTE(AA$1,RIGHT(AA$1,2),""),VLOOKUP($D76,素材!$1:$1016,COLUMN($F$1),FALSE))),VLOOKUP($C76,武器!$1:$998,COLUMN($O$1),FALSE)*VLOOKUP($D76,素材!$1:$1016,COLUMN($E$1),FALSE)/(LEN(VLOOKUP($D76,素材!$1:$1016,COLUMN($F$1),FALSE)) - LEN(SUBSTITUTE(VLOOKUP($D76,素材!$1:$1016,COLUMN($F$1),FALSE), "・", 0)) + 1), 0)</f>
        <v>0</v>
      </c>
      <c r="AB76">
        <f>IF(ISNUMBER(SEARCH(SUBSTITUTE(AB$1,RIGHT(AB$1,2),""),VLOOKUP($D76,素材!$1:$1016,COLUMN($F$1),FALSE))),VLOOKUP($C76,武器!$1:$998,COLUMN($O$1),FALSE)*VLOOKUP($D76,素材!$1:$1016,COLUMN($E$1),FALSE)/(LEN(VLOOKUP($D76,素材!$1:$1016,COLUMN($F$1),FALSE)) - LEN(SUBSTITUTE(VLOOKUP($D76,素材!$1:$1016,COLUMN($F$1),FALSE), "・", 0)) + 1), 0)</f>
        <v>0</v>
      </c>
      <c r="AC76">
        <f>IF(ISNUMBER(SEARCH(SUBSTITUTE(AC$1,RIGHT(AC$1,2),""),VLOOKUP($D76,素材!$1:$1016,COLUMN($F$1),FALSE))),VLOOKUP($C76,武器!$1:$998,COLUMN($O$1),FALSE)*VLOOKUP($D76,素材!$1:$1016,COLUMN($E$1),FALSE)/(LEN(VLOOKUP($D76,素材!$1:$1016,COLUMN($F$1),FALSE)) - LEN(SUBSTITUTE(VLOOKUP($D76,素材!$1:$1016,COLUMN($F$1),FALSE), "・", 0)) + 1), 0)</f>
        <v>0</v>
      </c>
      <c r="AD76">
        <f>IF(ISNUMBER(SEARCH(SUBSTITUTE(AD$1,RIGHT(AD$1,2),""),VLOOKUP($D76,素材!$1:$1016,COLUMN($F$1),FALSE))),VLOOKUP($C76,武器!$1:$998,COLUMN($O$1),FALSE)*VLOOKUP($D76,素材!$1:$1016,COLUMN($E$1),FALSE)/(LEN(VLOOKUP($D76,素材!$1:$1016,COLUMN($F$1),FALSE)) - LEN(SUBSTITUTE(VLOOKUP($D76,素材!$1:$1016,COLUMN($F$1),FALSE), "・", 0)) + 1), 0)</f>
        <v>0</v>
      </c>
      <c r="AE76">
        <f>IF(ISNUMBER(SEARCH(SUBSTITUTE(AE$1,RIGHT(AE$1,2),""),VLOOKUP($D76,素材!$1:$1016,COLUMN($F$1),FALSE))),VLOOKUP($C76,武器!$1:$998,COLUMN($O$1),FALSE)*VLOOKUP($D76,素材!$1:$1016,COLUMN($E$1),FALSE)/(LEN(VLOOKUP($D76,素材!$1:$1016,COLUMN($F$1),FALSE)) - LEN(SUBSTITUTE(VLOOKUP($D76,素材!$1:$1016,COLUMN($F$1),FALSE), "・", 0)) + 1), 0)</f>
        <v>0</v>
      </c>
      <c r="AF76">
        <f>IF(ISNUMBER(SEARCH(SUBSTITUTE(AF$1,RIGHT(AF$1,2),""),VLOOKUP($D76,素材!$1:$1016,COLUMN($F$1),FALSE))),VLOOKUP($C76,武器!$1:$998,COLUMN($O$1),FALSE)*VLOOKUP($D76,素材!$1:$1016,COLUMN($E$1),FALSE)/(LEN(VLOOKUP($D76,素材!$1:$1016,COLUMN($F$1),FALSE)) - LEN(SUBSTITUTE(VLOOKUP($D76,素材!$1:$1016,COLUMN($F$1),FALSE), "・", 0)) + 1), 0)</f>
        <v>0</v>
      </c>
      <c r="AG76">
        <f>IF(ISNUMBER(SEARCH(SUBSTITUTE(AG$1,RIGHT(AG$1,2),""),VLOOKUP($D76,素材!$1:$1016,COLUMN($F$1),FALSE))),VLOOKUP($C76,武器!$1:$998,COLUMN($O$1),FALSE)*VLOOKUP($D76,素材!$1:$1016,COLUMN($E$1),FALSE)/(LEN(VLOOKUP($D76,素材!$1:$1016,COLUMN($F$1),FALSE)) - LEN(SUBSTITUTE(VLOOKUP($D76,素材!$1:$1016,COLUMN($F$1),FALSE), "・", 0)) + 1), 0)</f>
        <v>0</v>
      </c>
      <c r="AH76">
        <f>IF(ISNUMBER(SEARCH(SUBSTITUTE(AH$1,RIGHT(AH$1,2),""),VLOOKUP($D76,素材!$1:$1016,COLUMN($F$1),FALSE))),VLOOKUP($C76,武器!$1:$998,COLUMN($O$1),FALSE)*VLOOKUP($D76,素材!$1:$1016,COLUMN($E$1),FALSE)/(LEN(VLOOKUP($D76,素材!$1:$1016,COLUMN($F$1),FALSE)) - LEN(SUBSTITUTE(VLOOKUP($D76,素材!$1:$1016,COLUMN($F$1),FALSE), "・", 0)) + 1), 0)</f>
        <v>0</v>
      </c>
      <c r="AI76">
        <f>IF(ISNUMBER(SEARCH(SUBSTITUTE(AI$1,RIGHT(AI$1,2),""),VLOOKUP($D76,素材!$1:$1016,COLUMN($F$1),FALSE))),VLOOKUP($C76,武器!$1:$998,COLUMN($O$1),FALSE)*VLOOKUP($D76,素材!$1:$1016,COLUMN($E$1),FALSE)/(LEN(VLOOKUP($D76,素材!$1:$1016,COLUMN($F$1),FALSE)) - LEN(SUBSTITUTE(VLOOKUP($D76,素材!$1:$1016,COLUMN($F$1),FALSE), "・", 0)) + 1), 0)</f>
        <v>0</v>
      </c>
      <c r="AJ76">
        <f>IF(ISNUMBER(SEARCH(SUBSTITUTE(AJ$1,RIGHT(AJ$1,2),""),VLOOKUP($D76,素材!$1:$1016,COLUMN($F$1),FALSE))),VLOOKUP($C76,武器!$1:$998,COLUMN($O$1),FALSE)*VLOOKUP($D76,素材!$1:$1016,COLUMN($E$1),FALSE)/(LEN(VLOOKUP($D76,素材!$1:$1016,COLUMN($F$1),FALSE)) - LEN(SUBSTITUTE(VLOOKUP($D76,素材!$1:$1016,COLUMN($F$1),FALSE), "・", 0)) + 1), 0)</f>
        <v>0</v>
      </c>
      <c r="AK76">
        <f>IF(ISNUMBER(SEARCH(SUBSTITUTE(AK$1,RIGHT(AK$1,2),""),VLOOKUP($D76,素材!$1:$1016,COLUMN($F$1),FALSE))),VLOOKUP($C76,武器!$1:$998,COLUMN($O$1),FALSE)*VLOOKUP($D76,素材!$1:$1016,COLUMN($E$1),FALSE)/(LEN(VLOOKUP($D76,素材!$1:$1016,COLUMN($F$1),FALSE)) - LEN(SUBSTITUTE(VLOOKUP($D76,素材!$1:$1016,COLUMN($F$1),FALSE), "・", 0)) + 1), 0)</f>
        <v>0</v>
      </c>
      <c r="AL76">
        <f>IF(ISNUMBER(SEARCH(SUBSTITUTE(AL$1,RIGHT(AL$1,2),""),VLOOKUP($D76,素材!$1:$1016,COLUMN($F$1),FALSE))),VLOOKUP($C76,武器!$1:$998,COLUMN($O$1),FALSE)*VLOOKUP($D76,素材!$1:$1016,COLUMN($E$1),FALSE)/(LEN(VLOOKUP($D76,素材!$1:$1016,COLUMN($F$1),FALSE)) - LEN(SUBSTITUTE(VLOOKUP($D76,素材!$1:$1016,COLUMN($F$1),FALSE), "・", 0)) + 1), 0)</f>
        <v>0</v>
      </c>
      <c r="AM76">
        <f>IF(ISNUMBER(SEARCH(SUBSTITUTE(AM$1,RIGHT(AM$1,2),""),VLOOKUP($D76,素材!$1:$1016,COLUMN($F$1),FALSE))),VLOOKUP($C76,武器!$1:$998,COLUMN($O$1),FALSE)*VLOOKUP($D76,素材!$1:$1016,COLUMN($E$1),FALSE)/(LEN(VLOOKUP($D76,素材!$1:$1016,COLUMN($F$1),FALSE)) - LEN(SUBSTITUTE(VLOOKUP($D76,素材!$1:$1016,COLUMN($F$1),FALSE), "・", 0)) + 1), 0)</f>
        <v>0</v>
      </c>
      <c r="AN76">
        <f>IF(ISNUMBER(SEARCH(SUBSTITUTE(AN$1,RIGHT(AN$1,2),""),VLOOKUP($D76,素材!$1:$1016,COLUMN($F$1),FALSE))),VLOOKUP($C76,武器!$1:$998,COLUMN($O$1),FALSE)*VLOOKUP($D76,素材!$1:$1016,COLUMN($E$1),FALSE)/(LEN(VLOOKUP($D76,素材!$1:$1016,COLUMN($F$1),FALSE)) - LEN(SUBSTITUTE(VLOOKUP($D76,素材!$1:$1016,COLUMN($F$1),FALSE), "・", 0)) + 1), 0)</f>
        <v>0</v>
      </c>
      <c r="AO76">
        <f>IF(ISNUMBER(SEARCH(SUBSTITUTE(AO$1,RIGHT(AO$1,2),""),VLOOKUP($D76,素材!$1:$1016,COLUMN($F$1),FALSE))),VLOOKUP($C76,武器!$1:$998,COLUMN($O$1),FALSE)*VLOOKUP($D76,素材!$1:$1016,COLUMN($E$1),FALSE)/(LEN(VLOOKUP($D76,素材!$1:$1016,COLUMN($F$1),FALSE)) - LEN(SUBSTITUTE(VLOOKUP($D76,素材!$1:$1016,COLUMN($F$1),FALSE), "・", 0)) + 1), 0)</f>
        <v>0</v>
      </c>
      <c r="AP76">
        <f>IF(ISNUMBER(SEARCH(SUBSTITUTE(AP$1,RIGHT(AP$1,2),""),VLOOKUP($D76,素材!$1:$1016,COLUMN($F$1),FALSE))),VLOOKUP($C76,武器!$1:$998,COLUMN($O$1),FALSE)*VLOOKUP($D76,素材!$1:$1016,COLUMN($E$1),FALSE)/(LEN(VLOOKUP($D76,素材!$1:$1016,COLUMN($F$1),FALSE)) - LEN(SUBSTITUTE(VLOOKUP($D76,素材!$1:$1016,COLUMN($F$1),FALSE), "・", 0)) + 1), 0)</f>
        <v>0</v>
      </c>
      <c r="AQ76">
        <f>IF(ISNUMBER(SEARCH(SUBSTITUTE(AQ$1,RIGHT(AQ$1,2),""),VLOOKUP($D76,素材!$1:$1016,COLUMN($F$1),FALSE))),VLOOKUP($C76,武器!$1:$998,COLUMN($O$1),FALSE)*VLOOKUP($D76,素材!$1:$1016,COLUMN($E$1),FALSE)/(LEN(VLOOKUP($D76,素材!$1:$1016,COLUMN($F$1),FALSE)) - LEN(SUBSTITUTE(VLOOKUP($D76,素材!$1:$1016,COLUMN($F$1),FALSE), "・", 0)) + 1), 0)</f>
        <v>0</v>
      </c>
      <c r="AR76">
        <f>IF(ISNUMBER(SEARCH(SUBSTITUTE(AR$1,RIGHT(AR$1,2),""),VLOOKUP($D76,素材!$1:$1016,COLUMN($F$1),FALSE))),VLOOKUP($C76,武器!$1:$998,COLUMN($O$1),FALSE)*VLOOKUP($D76,素材!$1:$1016,COLUMN($E$1),FALSE)/(LEN(VLOOKUP($D76,素材!$1:$1016,COLUMN($F$1),FALSE)) - LEN(SUBSTITUTE(VLOOKUP($D76,素材!$1:$1016,COLUMN($F$1),FALSE), "・", 0)) + 1), 0)</f>
        <v>0</v>
      </c>
      <c r="AS76">
        <f>IF(ISNUMBER(SEARCH(SUBSTITUTE(AS$1,RIGHT(AS$1,2),""),VLOOKUP($D76,素材!$1:$1016,COLUMN($F$1),FALSE))),VLOOKUP($C76,武器!$1:$998,COLUMN($O$1),FALSE)*VLOOKUP($D76,素材!$1:$1016,COLUMN($E$1),FALSE)/(LEN(VLOOKUP($D76,素材!$1:$1016,COLUMN($F$1),FALSE)) - LEN(SUBSTITUTE(VLOOKUP($D76,素材!$1:$1016,COLUMN($F$1),FALSE), "・", 0)) + 1), 0)</f>
        <v>0</v>
      </c>
      <c r="AT76">
        <f>IF(ISNUMBER(SEARCH(SUBSTITUTE(AT$1,RIGHT(AT$1,2),""),VLOOKUP($D76,素材!$1:$1016,COLUMN($F$1),FALSE))),VLOOKUP($C76,武器!$1:$998,COLUMN($O$1),FALSE)*VLOOKUP($D76,素材!$1:$1016,COLUMN($E$1),FALSE)/(LEN(VLOOKUP($D76,素材!$1:$1016,COLUMN($F$1),FALSE)) - LEN(SUBSTITUTE(VLOOKUP($D76,素材!$1:$1016,COLUMN($F$1),FALSE), "・", 0)) + 1), 0)</f>
        <v>0</v>
      </c>
      <c r="AU76">
        <f>IF(ISNUMBER(SEARCH(SUBSTITUTE(AU$1,RIGHT(AU$1,2),""),VLOOKUP($D76,素材!$1:$1016,COLUMN($F$1),FALSE))),VLOOKUP($C76,武器!$1:$998,COLUMN($O$1),FALSE)*VLOOKUP($D76,素材!$1:$1016,COLUMN($E$1),FALSE)/(LEN(VLOOKUP($D76,素材!$1:$1016,COLUMN($F$1),FALSE)) - LEN(SUBSTITUTE(VLOOKUP($D76,素材!$1:$1016,COLUMN($F$1),FALSE), "・", 0)) + 1), 0)</f>
        <v>0</v>
      </c>
      <c r="AV76">
        <f>IF(ISNUMBER(SEARCH(SUBSTITUTE(AV$1,RIGHT(AV$1,2),""),VLOOKUP($D76,素材!$1:$1016,COLUMN($F$1),FALSE))),VLOOKUP($C76,武器!$1:$998,COLUMN($O$1),FALSE)*VLOOKUP($D76,素材!$1:$1016,COLUMN($E$1),FALSE)/(LEN(VLOOKUP($D76,素材!$1:$1016,COLUMN($F$1),FALSE)) - LEN(SUBSTITUTE(VLOOKUP($D76,素材!$1:$1016,COLUMN($F$1),FALSE), "・", 0)) + 1), 0)</f>
        <v>0</v>
      </c>
      <c r="AW76">
        <f>IF(ISNUMBER(SEARCH(SUBSTITUTE(AW$1,RIGHT(AW$1,2),""),VLOOKUP($D76,素材!$1:$1016,COLUMN($F$1),FALSE))),VLOOKUP($C76,武器!$1:$998,COLUMN($O$1),FALSE)*VLOOKUP($D76,素材!$1:$1016,COLUMN($E$1),FALSE)/(LEN(VLOOKUP($D76,素材!$1:$1016,COLUMN($F$1),FALSE)) - LEN(SUBSTITUTE(VLOOKUP($D76,素材!$1:$1016,COLUMN($F$1),FALSE), "・", 0)) + 1), 0)</f>
        <v>0</v>
      </c>
      <c r="AX76">
        <f>IF(ISNUMBER(SEARCH(SUBSTITUTE(AX$1,RIGHT(AX$1,2),""),VLOOKUP($D76,素材!$1:$1016,COLUMN($F$1),FALSE))),VLOOKUP($C76,武器!$1:$998,COLUMN($O$1),FALSE)*VLOOKUP($D76,素材!$1:$1016,COLUMN($E$1),FALSE)/(LEN(VLOOKUP($D76,素材!$1:$1016,COLUMN($F$1),FALSE)) - LEN(SUBSTITUTE(VLOOKUP($D76,素材!$1:$1016,COLUMN($F$1),FALSE), "・", 0)) + 1), 0)</f>
        <v>0</v>
      </c>
      <c r="AY76">
        <f>IF(ISNUMBER(SEARCH(SUBSTITUTE(AY$1,RIGHT(AY$1,2),""),VLOOKUP($D76,素材!$1:$1016,COLUMN($F$1),FALSE))),VLOOKUP($C76,武器!$1:$998,COLUMN($O$1),FALSE)*VLOOKUP($D76,素材!$1:$1016,COLUMN($E$1),FALSE)/(LEN(VLOOKUP($D76,素材!$1:$1016,COLUMN($F$1),FALSE)) - LEN(SUBSTITUTE(VLOOKUP($D76,素材!$1:$1016,COLUMN($F$1),FALSE), "・", 0)) + 1), 0)</f>
        <v>0</v>
      </c>
      <c r="AZ76">
        <f>IF(ISNUMBER(SEARCH(SUBSTITUTE(AZ$1,RIGHT(AZ$1,2),""),VLOOKUP($D76,素材!$1:$1016,COLUMN($F$1),FALSE))),VLOOKUP($C76,武器!$1:$998,COLUMN($O$1),FALSE)*VLOOKUP($D76,素材!$1:$1016,COLUMN($E$1),FALSE)/(LEN(VLOOKUP($D76,素材!$1:$1016,COLUMN($F$1),FALSE)) - LEN(SUBSTITUTE(VLOOKUP($D76,素材!$1:$1016,COLUMN($F$1),FALSE), "・", 0)) + 1), 0)</f>
        <v>0</v>
      </c>
      <c r="BA76">
        <f>IF(ISNUMBER(SEARCH(SUBSTITUTE(BA$1,RIGHT(BA$1,2),""),VLOOKUP($D76,素材!$1:$1016,COLUMN($F$1),FALSE))),VLOOKUP($C76,武器!$1:$998,COLUMN($O$1),FALSE)*VLOOKUP($D76,素材!$1:$1016,COLUMN($E$1),FALSE)/(LEN(VLOOKUP($D76,素材!$1:$1016,COLUMN($F$1),FALSE)) - LEN(SUBSTITUTE(VLOOKUP($D76,素材!$1:$1016,COLUMN($F$1),FALSE), "・", 0)) + 1), 0)</f>
        <v>0</v>
      </c>
      <c r="BB76">
        <f>IF(ISNUMBER(SEARCH(SUBSTITUTE(BB$1,RIGHT(BB$1,2),""),VLOOKUP($D76,素材!$1:$1016,COLUMN($F$1),FALSE))),VLOOKUP($C76,武器!$1:$998,COLUMN($O$1),FALSE)*VLOOKUP($D76,素材!$1:$1016,COLUMN($E$1),FALSE)/(LEN(VLOOKUP($D76,素材!$1:$1016,COLUMN($F$1),FALSE)) - LEN(SUBSTITUTE(VLOOKUP($D76,素材!$1:$1016,COLUMN($F$1),FALSE), "・", 0)) + 1), 0)</f>
        <v>0</v>
      </c>
      <c r="BC76">
        <f>IF(ISNUMBER(SEARCH(SUBSTITUTE(BC$1,RIGHT(BC$1,2),""),VLOOKUP($D76,素材!$1:$1016,COLUMN($F$1),FALSE))),VLOOKUP($C76,武器!$1:$998,COLUMN($O$1),FALSE)*VLOOKUP($D76,素材!$1:$1016,COLUMN($E$1),FALSE)/(LEN(VLOOKUP($D76,素材!$1:$1016,COLUMN($F$1),FALSE)) - LEN(SUBSTITUTE(VLOOKUP($D76,素材!$1:$1016,COLUMN($F$1),FALSE), "・", 0)) + 1), 0)</f>
        <v>0</v>
      </c>
      <c r="BD76">
        <f>IF(ISNUMBER(SEARCH(SUBSTITUTE(BD$1,RIGHT(BD$1,2),""),VLOOKUP($D76,素材!$1:$1016,COLUMN($F$1),FALSE))),VLOOKUP($C76,武器!$1:$998,COLUMN($O$1),FALSE)*VLOOKUP($D76,素材!$1:$1016,COLUMN($E$1),FALSE)/(LEN(VLOOKUP($D76,素材!$1:$1016,COLUMN($F$1),FALSE)) - LEN(SUBSTITUTE(VLOOKUP($D76,素材!$1:$1016,COLUMN($F$1),FALSE), "・", 0)) + 1), 0)</f>
        <v>0</v>
      </c>
      <c r="BE76">
        <f>IF(ISNUMBER(SEARCH(SUBSTITUTE(BE$1,RIGHT(BE$1,2),""),VLOOKUP($D76,素材!$1:$1016,COLUMN($F$1),FALSE))),VLOOKUP($C76,武器!$1:$998,COLUMN($O$1),FALSE)*VLOOKUP($D76,素材!$1:$1016,COLUMN($E$1),FALSE)/(LEN(VLOOKUP($D76,素材!$1:$1016,COLUMN($F$1),FALSE)) - LEN(SUBSTITUTE(VLOOKUP($D76,素材!$1:$1016,COLUMN($F$1),FALSE), "・", 0)) + 1), 0)</f>
        <v>0</v>
      </c>
      <c r="CL76">
        <f>SUM(G76:I76)</f>
        <v>15</v>
      </c>
      <c r="CM76" s="22" t="str">
        <f>IF(E76="武器",IF(J76-1&gt;SUM(G76:I76),"盾",IF(MAX(G76:I76)=G76,"切断",IF(MAX(G76:I76)=H76,"貫通",IF(MAX(G76:I76)=I76,"打撃","射撃")))),E76)&amp;".webp"</f>
        <v>足.webp</v>
      </c>
      <c r="CN76">
        <f>IFERROR(VLOOKUP($C76,武器!$1:$998,COLUMN(V$1),FALSE)*VLOOKUP($D76,素材!$1:$1016,COLUMN(N$1),FALSE)+IF(CI76="",0,VLOOKUP($CI76,装強!$1:$1008,COLUMN($CK$1),FALSE)),"")</f>
        <v>100</v>
      </c>
      <c r="CO76" t="str">
        <f>VLOOKUP(D76,素材!$A:$O,COLUMN(素材!O$1),FALSE)</f>
        <v>一般的な木材。金属より軽いが少し脆い</v>
      </c>
      <c r="CP76" t="str">
        <f>VLOOKUP(C76,武器!$A:$W,COLUMN(武器!W$1),FALSE)</f>
        <v>速度 隠密 軽業 体幹</v>
      </c>
      <c r="CR76" t="str">
        <f t="shared" si="5"/>
        <v>e_76</v>
      </c>
      <c r="CS76">
        <f t="shared" si="6"/>
        <v>10000</v>
      </c>
    </row>
    <row r="77" spans="1:97" outlineLevel="1" x14ac:dyDescent="0.4">
      <c r="A77" t="str">
        <f t="shared" si="4"/>
        <v>の</v>
      </c>
      <c r="B77" t="str">
        <f>IFERROR(VLOOKUP($D77,素材!$1:$1016,COLUMN($B$1),FALSE)&amp;"・"&amp;VLOOKUP($C77,武器!$1:$998,COLUMN(B$1),FALSE),"")</f>
        <v/>
      </c>
      <c r="D77" s="24"/>
      <c r="E77" t="str">
        <f>IFERROR(VLOOKUP(C77,武器!$1:$998,COLUMN(C$1),FALSE),"")</f>
        <v/>
      </c>
      <c r="F77" t="str">
        <f>IFERROR(ROUNDDOWN((VLOOKUP($C77,武器!$1:$998,COLUMN(D$1),FALSE)+IFERROR(VLOOKUP($CI77,装強!$1:$999,COLUMN(F$1),FALSE),0))*VLOOKUP($D77,素材!$1:$1016,COLUMN(D$1),FALSE),0),"")</f>
        <v/>
      </c>
      <c r="G77" t="str">
        <f>IFERROR(ROUNDDOWN((VLOOKUP($C77,武器!$1:$998,COLUMN(E$1),FALSE)+IFERROR(VLOOKUP($CI77,装強!$1:$999,COLUMN(G$1),FALSE),0))*VLOOKUP($D77,素材!$1:$1016,COLUMN($E$1),FALSE),0),"")</f>
        <v/>
      </c>
      <c r="H77" t="str">
        <f>IFERROR(ROUNDDOWN((VLOOKUP($C77,武器!$1:$998,COLUMN(F$1),FALSE)+IFERROR(VLOOKUP($CI77,装強!$1:$999,COLUMN(H$1),FALSE),0))*VLOOKUP($D77,素材!$1:$1016,COLUMN($E$1),FALSE),0),"")</f>
        <v/>
      </c>
      <c r="I77" t="str">
        <f>IFERROR(ROUNDDOWN((VLOOKUP($C77,武器!$1:$998,COLUMN(G$1),FALSE)+IFERROR(VLOOKUP($CI77,装強!$1:$999,COLUMN(I$1),FALSE),0))*VLOOKUP($D77,素材!$1:$1016,COLUMN($E$1),FALSE),0),"")</f>
        <v/>
      </c>
      <c r="J77" t="str">
        <f>IFERROR(ROUNDDOWN((VLOOKUP($C77,武器!$1:$998,COLUMN(H$1),FALSE)+IFERROR(VLOOKUP($CI77,装強!$1:$999,COLUMN(J$1),FALSE),0))*VLOOKUP($D77,素材!$1:$1016,COLUMN($E$1),FALSE),0),"")</f>
        <v/>
      </c>
      <c r="K77" t="str">
        <f>IFERROR(ROUNDDOWN((VLOOKUP($C77,武器!$1:$998,COLUMN(I$1),FALSE)+IFERROR(VLOOKUP($CI77,装強!$1:$999,COLUMN(K$1),FALSE),0))*VLOOKUP($D77,素材!$1:$1016,COLUMN($E$1),FALSE),0),"")</f>
        <v/>
      </c>
      <c r="L77" t="str">
        <f>IFERROR(VLOOKUP($D77,素材!$1:$1016,COLUMN($F$1),FALSE),"")</f>
        <v/>
      </c>
      <c r="M77" t="str">
        <f>IFERROR(VLOOKUP($C77,武器!$1:$998,COLUMN(AA$1),FALSE)*VLOOKUP($D77,素材!$1:$1016,COLUMN($G$1),FALSE),"")</f>
        <v/>
      </c>
      <c r="N77" t="str">
        <f>IFERROR(VLOOKUP($C77,武器!$1:$998,COLUMN(I$1),FALSE),"")</f>
        <v/>
      </c>
      <c r="O77" s="23" t="str">
        <f>IFERROR((VLOOKUP($C77,武器!$1:$998,COLUMN(K$1),FALSE)+VLOOKUP($D77,素材!$1:$1016,COLUMN(H$1),FALSE))*100+IFERROR(VLOOKUP($CI77,装強!$1:$999,COLUMN(O$1),FALSE),0),"")</f>
        <v/>
      </c>
      <c r="P77" s="23" t="str">
        <f>IFERROR((VLOOKUP($C77,武器!$1:$998,COLUMN(L$1),FALSE)+VLOOKUP($D77,素材!$1:$1016,COLUMN(I$1),FALSE))*100+IFERROR(VLOOKUP($CI77,装強!$1:$999,COLUMN(P$1),FALSE),0),"")</f>
        <v/>
      </c>
      <c r="Q77" t="str">
        <f>IFERROR(ROUNDUP(VLOOKUP($C77,武器!$1:$998,COLUMN(M$1),FALSE)*(VLOOKUP($D77,素材!$1:$1002,COLUMN(D$1),FALSE)/100),1),"")</f>
        <v/>
      </c>
      <c r="R77" t="str">
        <f>IFERROR(ROUNDUP(VLOOKUP($C77,武器!$1:$998,COLUMN(N$1),FALSE)*(VLOOKUP($D77,素材!$1:$1002,COLUMN(D$1),FALSE)/100),1),"")</f>
        <v/>
      </c>
      <c r="S77" t="str">
        <f>IFERROR(VLOOKUP($C77,武器!$1:$998,COLUMN(P$1),FALSE),"")</f>
        <v/>
      </c>
      <c r="T77" t="str">
        <f>IFERROR(VLOOKUP($C77,武器!$1:$998,COLUMN(Q$1),FALSE),"")</f>
        <v/>
      </c>
      <c r="U77" t="str">
        <f>IFERROR(VLOOKUP($C77,武器!$1:$998,COLUMN(R$1),FALSE),"")</f>
        <v/>
      </c>
      <c r="V77" t="str">
        <f>IFERROR(VLOOKUP($C77,武器!$1:$998,COLUMN(Q$1),FALSE),"")</f>
        <v/>
      </c>
      <c r="W77" t="str">
        <f>IFERROR(VLOOKUP($C77,武器!$1:$998,COLUMN(T$1),FALSE),"")</f>
        <v/>
      </c>
      <c r="Y77" t="str">
        <f>IFERROR(VLOOKUP($C77,武器!$1:$998,COLUMN(U$1),FALSE),"")</f>
        <v/>
      </c>
      <c r="Z77" t="str">
        <f>IFERROR(ROUNDUP(VLOOKUP($C77,武器!$1:$998,COLUMN(O$1),FALSE)*VLOOKUP($D77,素材!$1:$1016,COLUMN(E$1),FALSE),1),"")</f>
        <v/>
      </c>
      <c r="AA77">
        <f>IF(ISNUMBER(SEARCH(SUBSTITUTE(AA$1,RIGHT(AA$1,2),""),VLOOKUP($D77,素材!$1:$1016,COLUMN($F$1),FALSE))),VLOOKUP($C77,武器!$1:$998,COLUMN($O$1),FALSE)*VLOOKUP($D77,素材!$1:$1016,COLUMN($E$1),FALSE)/(LEN(VLOOKUP($D77,素材!$1:$1016,COLUMN($F$1),FALSE)) - LEN(SUBSTITUTE(VLOOKUP($D77,素材!$1:$1016,COLUMN($F$1),FALSE), "・", 0)) + 1), 0)</f>
        <v>0</v>
      </c>
      <c r="AB77">
        <f>IF(ISNUMBER(SEARCH(SUBSTITUTE(AB$1,RIGHT(AB$1,2),""),VLOOKUP($D77,素材!$1:$1016,COLUMN($F$1),FALSE))),VLOOKUP($C77,武器!$1:$998,COLUMN($O$1),FALSE)*VLOOKUP($D77,素材!$1:$1016,COLUMN($E$1),FALSE)/(LEN(VLOOKUP($D77,素材!$1:$1016,COLUMN($F$1),FALSE)) - LEN(SUBSTITUTE(VLOOKUP($D77,素材!$1:$1016,COLUMN($F$1),FALSE), "・", 0)) + 1), 0)</f>
        <v>0</v>
      </c>
      <c r="AC77">
        <f>IF(ISNUMBER(SEARCH(SUBSTITUTE(AC$1,RIGHT(AC$1,2),""),VLOOKUP($D77,素材!$1:$1016,COLUMN($F$1),FALSE))),VLOOKUP($C77,武器!$1:$998,COLUMN($O$1),FALSE)*VLOOKUP($D77,素材!$1:$1016,COLUMN($E$1),FALSE)/(LEN(VLOOKUP($D77,素材!$1:$1016,COLUMN($F$1),FALSE)) - LEN(SUBSTITUTE(VLOOKUP($D77,素材!$1:$1016,COLUMN($F$1),FALSE), "・", 0)) + 1), 0)</f>
        <v>0</v>
      </c>
      <c r="AD77">
        <f>IF(ISNUMBER(SEARCH(SUBSTITUTE(AD$1,RIGHT(AD$1,2),""),VLOOKUP($D77,素材!$1:$1016,COLUMN($F$1),FALSE))),VLOOKUP($C77,武器!$1:$998,COLUMN($O$1),FALSE)*VLOOKUP($D77,素材!$1:$1016,COLUMN($E$1),FALSE)/(LEN(VLOOKUP($D77,素材!$1:$1016,COLUMN($F$1),FALSE)) - LEN(SUBSTITUTE(VLOOKUP($D77,素材!$1:$1016,COLUMN($F$1),FALSE), "・", 0)) + 1), 0)</f>
        <v>0</v>
      </c>
      <c r="AE77">
        <f>IF(ISNUMBER(SEARCH(SUBSTITUTE(AE$1,RIGHT(AE$1,2),""),VLOOKUP($D77,素材!$1:$1016,COLUMN($F$1),FALSE))),VLOOKUP($C77,武器!$1:$998,COLUMN($O$1),FALSE)*VLOOKUP($D77,素材!$1:$1016,COLUMN($E$1),FALSE)/(LEN(VLOOKUP($D77,素材!$1:$1016,COLUMN($F$1),FALSE)) - LEN(SUBSTITUTE(VLOOKUP($D77,素材!$1:$1016,COLUMN($F$1),FALSE), "・", 0)) + 1), 0)</f>
        <v>0</v>
      </c>
      <c r="AF77">
        <f>IF(ISNUMBER(SEARCH(SUBSTITUTE(AF$1,RIGHT(AF$1,2),""),VLOOKUP($D77,素材!$1:$1016,COLUMN($F$1),FALSE))),VLOOKUP($C77,武器!$1:$998,COLUMN($O$1),FALSE)*VLOOKUP($D77,素材!$1:$1016,COLUMN($E$1),FALSE)/(LEN(VLOOKUP($D77,素材!$1:$1016,COLUMN($F$1),FALSE)) - LEN(SUBSTITUTE(VLOOKUP($D77,素材!$1:$1016,COLUMN($F$1),FALSE), "・", 0)) + 1), 0)</f>
        <v>0</v>
      </c>
      <c r="AG77">
        <f>IF(ISNUMBER(SEARCH(SUBSTITUTE(AG$1,RIGHT(AG$1,2),""),VLOOKUP($D77,素材!$1:$1016,COLUMN($F$1),FALSE))),VLOOKUP($C77,武器!$1:$998,COLUMN($O$1),FALSE)*VLOOKUP($D77,素材!$1:$1016,COLUMN($E$1),FALSE)/(LEN(VLOOKUP($D77,素材!$1:$1016,COLUMN($F$1),FALSE)) - LEN(SUBSTITUTE(VLOOKUP($D77,素材!$1:$1016,COLUMN($F$1),FALSE), "・", 0)) + 1), 0)</f>
        <v>0</v>
      </c>
      <c r="AH77">
        <f>IF(ISNUMBER(SEARCH(SUBSTITUTE(AH$1,RIGHT(AH$1,2),""),VLOOKUP($D77,素材!$1:$1016,COLUMN($F$1),FALSE))),VLOOKUP($C77,武器!$1:$998,COLUMN($O$1),FALSE)*VLOOKUP($D77,素材!$1:$1016,COLUMN($E$1),FALSE)/(LEN(VLOOKUP($D77,素材!$1:$1016,COLUMN($F$1),FALSE)) - LEN(SUBSTITUTE(VLOOKUP($D77,素材!$1:$1016,COLUMN($F$1),FALSE), "・", 0)) + 1), 0)</f>
        <v>0</v>
      </c>
      <c r="AI77">
        <f>IF(ISNUMBER(SEARCH(SUBSTITUTE(AI$1,RIGHT(AI$1,2),""),VLOOKUP($D77,素材!$1:$1016,COLUMN($F$1),FALSE))),VLOOKUP($C77,武器!$1:$998,COLUMN($O$1),FALSE)*VLOOKUP($D77,素材!$1:$1016,COLUMN($E$1),FALSE)/(LEN(VLOOKUP($D77,素材!$1:$1016,COLUMN($F$1),FALSE)) - LEN(SUBSTITUTE(VLOOKUP($D77,素材!$1:$1016,COLUMN($F$1),FALSE), "・", 0)) + 1), 0)</f>
        <v>0</v>
      </c>
      <c r="AJ77">
        <f>IF(ISNUMBER(SEARCH(SUBSTITUTE(AJ$1,RIGHT(AJ$1,2),""),VLOOKUP($D77,素材!$1:$1016,COLUMN($F$1),FALSE))),VLOOKUP($C77,武器!$1:$998,COLUMN($O$1),FALSE)*VLOOKUP($D77,素材!$1:$1016,COLUMN($E$1),FALSE)/(LEN(VLOOKUP($D77,素材!$1:$1016,COLUMN($F$1),FALSE)) - LEN(SUBSTITUTE(VLOOKUP($D77,素材!$1:$1016,COLUMN($F$1),FALSE), "・", 0)) + 1), 0)</f>
        <v>0</v>
      </c>
      <c r="AK77">
        <f>IF(ISNUMBER(SEARCH(SUBSTITUTE(AK$1,RIGHT(AK$1,2),""),VLOOKUP($D77,素材!$1:$1016,COLUMN($F$1),FALSE))),VLOOKUP($C77,武器!$1:$998,COLUMN($O$1),FALSE)*VLOOKUP($D77,素材!$1:$1016,COLUMN($E$1),FALSE)/(LEN(VLOOKUP($D77,素材!$1:$1016,COLUMN($F$1),FALSE)) - LEN(SUBSTITUTE(VLOOKUP($D77,素材!$1:$1016,COLUMN($F$1),FALSE), "・", 0)) + 1), 0)</f>
        <v>0</v>
      </c>
      <c r="AL77">
        <f>IF(ISNUMBER(SEARCH(SUBSTITUTE(AL$1,RIGHT(AL$1,2),""),VLOOKUP($D77,素材!$1:$1016,COLUMN($F$1),FALSE))),VLOOKUP($C77,武器!$1:$998,COLUMN($O$1),FALSE)*VLOOKUP($D77,素材!$1:$1016,COLUMN($E$1),FALSE)/(LEN(VLOOKUP($D77,素材!$1:$1016,COLUMN($F$1),FALSE)) - LEN(SUBSTITUTE(VLOOKUP($D77,素材!$1:$1016,COLUMN($F$1),FALSE), "・", 0)) + 1), 0)</f>
        <v>0</v>
      </c>
      <c r="AM77">
        <f>IF(ISNUMBER(SEARCH(SUBSTITUTE(AM$1,RIGHT(AM$1,2),""),VLOOKUP($D77,素材!$1:$1016,COLUMN($F$1),FALSE))),VLOOKUP($C77,武器!$1:$998,COLUMN($O$1),FALSE)*VLOOKUP($D77,素材!$1:$1016,COLUMN($E$1),FALSE)/(LEN(VLOOKUP($D77,素材!$1:$1016,COLUMN($F$1),FALSE)) - LEN(SUBSTITUTE(VLOOKUP($D77,素材!$1:$1016,COLUMN($F$1),FALSE), "・", 0)) + 1), 0)</f>
        <v>0</v>
      </c>
      <c r="AN77">
        <f>IF(ISNUMBER(SEARCH(SUBSTITUTE(AN$1,RIGHT(AN$1,2),""),VLOOKUP($D77,素材!$1:$1016,COLUMN($F$1),FALSE))),VLOOKUP($C77,武器!$1:$998,COLUMN($O$1),FALSE)*VLOOKUP($D77,素材!$1:$1016,COLUMN($E$1),FALSE)/(LEN(VLOOKUP($D77,素材!$1:$1016,COLUMN($F$1),FALSE)) - LEN(SUBSTITUTE(VLOOKUP($D77,素材!$1:$1016,COLUMN($F$1),FALSE), "・", 0)) + 1), 0)</f>
        <v>0</v>
      </c>
      <c r="AO77">
        <f>IF(ISNUMBER(SEARCH(SUBSTITUTE(AO$1,RIGHT(AO$1,2),""),VLOOKUP($D77,素材!$1:$1016,COLUMN($F$1),FALSE))),VLOOKUP($C77,武器!$1:$998,COLUMN($O$1),FALSE)*VLOOKUP($D77,素材!$1:$1016,COLUMN($E$1),FALSE)/(LEN(VLOOKUP($D77,素材!$1:$1016,COLUMN($F$1),FALSE)) - LEN(SUBSTITUTE(VLOOKUP($D77,素材!$1:$1016,COLUMN($F$1),FALSE), "・", 0)) + 1), 0)</f>
        <v>0</v>
      </c>
      <c r="AP77">
        <f>IF(ISNUMBER(SEARCH(SUBSTITUTE(AP$1,RIGHT(AP$1,2),""),VLOOKUP($D77,素材!$1:$1016,COLUMN($F$1),FALSE))),VLOOKUP($C77,武器!$1:$998,COLUMN($O$1),FALSE)*VLOOKUP($D77,素材!$1:$1016,COLUMN($E$1),FALSE)/(LEN(VLOOKUP($D77,素材!$1:$1016,COLUMN($F$1),FALSE)) - LEN(SUBSTITUTE(VLOOKUP($D77,素材!$1:$1016,COLUMN($F$1),FALSE), "・", 0)) + 1), 0)</f>
        <v>0</v>
      </c>
      <c r="AQ77">
        <f>IF(ISNUMBER(SEARCH(SUBSTITUTE(AQ$1,RIGHT(AQ$1,2),""),VLOOKUP($D77,素材!$1:$1016,COLUMN($F$1),FALSE))),VLOOKUP($C77,武器!$1:$998,COLUMN($O$1),FALSE)*VLOOKUP($D77,素材!$1:$1016,COLUMN($E$1),FALSE)/(LEN(VLOOKUP($D77,素材!$1:$1016,COLUMN($F$1),FALSE)) - LEN(SUBSTITUTE(VLOOKUP($D77,素材!$1:$1016,COLUMN($F$1),FALSE), "・", 0)) + 1), 0)</f>
        <v>0</v>
      </c>
      <c r="AR77">
        <f>IF(ISNUMBER(SEARCH(SUBSTITUTE(AR$1,RIGHT(AR$1,2),""),VLOOKUP($D77,素材!$1:$1016,COLUMN($F$1),FALSE))),VLOOKUP($C77,武器!$1:$998,COLUMN($O$1),FALSE)*VLOOKUP($D77,素材!$1:$1016,COLUMN($E$1),FALSE)/(LEN(VLOOKUP($D77,素材!$1:$1016,COLUMN($F$1),FALSE)) - LEN(SUBSTITUTE(VLOOKUP($D77,素材!$1:$1016,COLUMN($F$1),FALSE), "・", 0)) + 1), 0)</f>
        <v>0</v>
      </c>
      <c r="AS77">
        <f>IF(ISNUMBER(SEARCH(SUBSTITUTE(AS$1,RIGHT(AS$1,2),""),VLOOKUP($D77,素材!$1:$1016,COLUMN($F$1),FALSE))),VLOOKUP($C77,武器!$1:$998,COLUMN($O$1),FALSE)*VLOOKUP($D77,素材!$1:$1016,COLUMN($E$1),FALSE)/(LEN(VLOOKUP($D77,素材!$1:$1016,COLUMN($F$1),FALSE)) - LEN(SUBSTITUTE(VLOOKUP($D77,素材!$1:$1016,COLUMN($F$1),FALSE), "・", 0)) + 1), 0)</f>
        <v>0</v>
      </c>
      <c r="AT77">
        <f>IF(ISNUMBER(SEARCH(SUBSTITUTE(AT$1,RIGHT(AT$1,2),""),VLOOKUP($D77,素材!$1:$1016,COLUMN($F$1),FALSE))),VLOOKUP($C77,武器!$1:$998,COLUMN($O$1),FALSE)*VLOOKUP($D77,素材!$1:$1016,COLUMN($E$1),FALSE)/(LEN(VLOOKUP($D77,素材!$1:$1016,COLUMN($F$1),FALSE)) - LEN(SUBSTITUTE(VLOOKUP($D77,素材!$1:$1016,COLUMN($F$1),FALSE), "・", 0)) + 1), 0)</f>
        <v>0</v>
      </c>
      <c r="AU77">
        <f>IF(ISNUMBER(SEARCH(SUBSTITUTE(AU$1,RIGHT(AU$1,2),""),VLOOKUP($D77,素材!$1:$1016,COLUMN($F$1),FALSE))),VLOOKUP($C77,武器!$1:$998,COLUMN($O$1),FALSE)*VLOOKUP($D77,素材!$1:$1016,COLUMN($E$1),FALSE)/(LEN(VLOOKUP($D77,素材!$1:$1016,COLUMN($F$1),FALSE)) - LEN(SUBSTITUTE(VLOOKUP($D77,素材!$1:$1016,COLUMN($F$1),FALSE), "・", 0)) + 1), 0)</f>
        <v>0</v>
      </c>
      <c r="AV77">
        <f>IF(ISNUMBER(SEARCH(SUBSTITUTE(AV$1,RIGHT(AV$1,2),""),VLOOKUP($D77,素材!$1:$1016,COLUMN($F$1),FALSE))),VLOOKUP($C77,武器!$1:$998,COLUMN($O$1),FALSE)*VLOOKUP($D77,素材!$1:$1016,COLUMN($E$1),FALSE)/(LEN(VLOOKUP($D77,素材!$1:$1016,COLUMN($F$1),FALSE)) - LEN(SUBSTITUTE(VLOOKUP($D77,素材!$1:$1016,COLUMN($F$1),FALSE), "・", 0)) + 1), 0)</f>
        <v>0</v>
      </c>
      <c r="AW77">
        <f>IF(ISNUMBER(SEARCH(SUBSTITUTE(AW$1,RIGHT(AW$1,2),""),VLOOKUP($D77,素材!$1:$1016,COLUMN($F$1),FALSE))),VLOOKUP($C77,武器!$1:$998,COLUMN($O$1),FALSE)*VLOOKUP($D77,素材!$1:$1016,COLUMN($E$1),FALSE)/(LEN(VLOOKUP($D77,素材!$1:$1016,COLUMN($F$1),FALSE)) - LEN(SUBSTITUTE(VLOOKUP($D77,素材!$1:$1016,COLUMN($F$1),FALSE), "・", 0)) + 1), 0)</f>
        <v>0</v>
      </c>
      <c r="AX77">
        <f>IF(ISNUMBER(SEARCH(SUBSTITUTE(AX$1,RIGHT(AX$1,2),""),VLOOKUP($D77,素材!$1:$1016,COLUMN($F$1),FALSE))),VLOOKUP($C77,武器!$1:$998,COLUMN($O$1),FALSE)*VLOOKUP($D77,素材!$1:$1016,COLUMN($E$1),FALSE)/(LEN(VLOOKUP($D77,素材!$1:$1016,COLUMN($F$1),FALSE)) - LEN(SUBSTITUTE(VLOOKUP($D77,素材!$1:$1016,COLUMN($F$1),FALSE), "・", 0)) + 1), 0)</f>
        <v>0</v>
      </c>
      <c r="AY77">
        <f>IF(ISNUMBER(SEARCH(SUBSTITUTE(AY$1,RIGHT(AY$1,2),""),VLOOKUP($D77,素材!$1:$1016,COLUMN($F$1),FALSE))),VLOOKUP($C77,武器!$1:$998,COLUMN($O$1),FALSE)*VLOOKUP($D77,素材!$1:$1016,COLUMN($E$1),FALSE)/(LEN(VLOOKUP($D77,素材!$1:$1016,COLUMN($F$1),FALSE)) - LEN(SUBSTITUTE(VLOOKUP($D77,素材!$1:$1016,COLUMN($F$1),FALSE), "・", 0)) + 1), 0)</f>
        <v>0</v>
      </c>
      <c r="AZ77">
        <f>IF(ISNUMBER(SEARCH(SUBSTITUTE(AZ$1,RIGHT(AZ$1,2),""),VLOOKUP($D77,素材!$1:$1016,COLUMN($F$1),FALSE))),VLOOKUP($C77,武器!$1:$998,COLUMN($O$1),FALSE)*VLOOKUP($D77,素材!$1:$1016,COLUMN($E$1),FALSE)/(LEN(VLOOKUP($D77,素材!$1:$1016,COLUMN($F$1),FALSE)) - LEN(SUBSTITUTE(VLOOKUP($D77,素材!$1:$1016,COLUMN($F$1),FALSE), "・", 0)) + 1), 0)</f>
        <v>0</v>
      </c>
      <c r="BA77">
        <f>IF(ISNUMBER(SEARCH(SUBSTITUTE(BA$1,RIGHT(BA$1,2),""),VLOOKUP($D77,素材!$1:$1016,COLUMN($F$1),FALSE))),VLOOKUP($C77,武器!$1:$998,COLUMN($O$1),FALSE)*VLOOKUP($D77,素材!$1:$1016,COLUMN($E$1),FALSE)/(LEN(VLOOKUP($D77,素材!$1:$1016,COLUMN($F$1),FALSE)) - LEN(SUBSTITUTE(VLOOKUP($D77,素材!$1:$1016,COLUMN($F$1),FALSE), "・", 0)) + 1), 0)</f>
        <v>0</v>
      </c>
      <c r="BB77">
        <f>IF(ISNUMBER(SEARCH(SUBSTITUTE(BB$1,RIGHT(BB$1,2),""),VLOOKUP($D77,素材!$1:$1016,COLUMN($F$1),FALSE))),VLOOKUP($C77,武器!$1:$998,COLUMN($O$1),FALSE)*VLOOKUP($D77,素材!$1:$1016,COLUMN($E$1),FALSE)/(LEN(VLOOKUP($D77,素材!$1:$1016,COLUMN($F$1),FALSE)) - LEN(SUBSTITUTE(VLOOKUP($D77,素材!$1:$1016,COLUMN($F$1),FALSE), "・", 0)) + 1), 0)</f>
        <v>0</v>
      </c>
      <c r="BC77">
        <f>IF(ISNUMBER(SEARCH(SUBSTITUTE(BC$1,RIGHT(BC$1,2),""),VLOOKUP($D77,素材!$1:$1016,COLUMN($F$1),FALSE))),VLOOKUP($C77,武器!$1:$998,COLUMN($O$1),FALSE)*VLOOKUP($D77,素材!$1:$1016,COLUMN($E$1),FALSE)/(LEN(VLOOKUP($D77,素材!$1:$1016,COLUMN($F$1),FALSE)) - LEN(SUBSTITUTE(VLOOKUP($D77,素材!$1:$1016,COLUMN($F$1),FALSE), "・", 0)) + 1), 0)</f>
        <v>0</v>
      </c>
      <c r="BD77">
        <f>IF(ISNUMBER(SEARCH(SUBSTITUTE(BD$1,RIGHT(BD$1,2),""),VLOOKUP($D77,素材!$1:$1016,COLUMN($F$1),FALSE))),VLOOKUP($C77,武器!$1:$998,COLUMN($O$1),FALSE)*VLOOKUP($D77,素材!$1:$1016,COLUMN($E$1),FALSE)/(LEN(VLOOKUP($D77,素材!$1:$1016,COLUMN($F$1),FALSE)) - LEN(SUBSTITUTE(VLOOKUP($D77,素材!$1:$1016,COLUMN($F$1),FALSE), "・", 0)) + 1), 0)</f>
        <v>0</v>
      </c>
      <c r="BE77">
        <f>IF(ISNUMBER(SEARCH(SUBSTITUTE(BE$1,RIGHT(BE$1,2),""),VLOOKUP($D77,素材!$1:$1016,COLUMN($F$1),FALSE))),VLOOKUP($C77,武器!$1:$998,COLUMN($O$1),FALSE)*VLOOKUP($D77,素材!$1:$1016,COLUMN($E$1),FALSE)/(LEN(VLOOKUP($D77,素材!$1:$1016,COLUMN($F$1),FALSE)) - LEN(SUBSTITUTE(VLOOKUP($D77,素材!$1:$1016,COLUMN($F$1),FALSE), "・", 0)) + 1), 0)</f>
        <v>0</v>
      </c>
      <c r="CL77">
        <f>SUM(G77:I77)</f>
        <v>0</v>
      </c>
      <c r="CM77" s="22" t="str">
        <f>IF(E77="武器",IF(J77-1&gt;SUM(G77:I77),"盾",IF(MAX(G77:I77)=G77,"切断",IF(MAX(G77:I77)=H77,"貫通",IF(MAX(G77:I77)=I77,"打撃","射撃")))),E77)&amp;".webp"</f>
        <v>.webp</v>
      </c>
      <c r="CN77" t="str">
        <f>IFERROR(VLOOKUP($C77,武器!$1:$998,COLUMN(V$1),FALSE)*VLOOKUP($D77,素材!$1:$1016,COLUMN(N$1),FALSE)+IF(CI77="",0,VLOOKUP($CI77,装強!$1:$1008,COLUMN($CK$1),FALSE)),"")</f>
        <v/>
      </c>
      <c r="CO77" t="e">
        <f>VLOOKUP(D77,素材!$A:$O,COLUMN(素材!O$1),FALSE)</f>
        <v>#N/A</v>
      </c>
      <c r="CP77" t="e">
        <f>VLOOKUP(C77,武器!$A:$W,COLUMN(武器!W$1),FALSE)</f>
        <v>#N/A</v>
      </c>
      <c r="CR77" t="str">
        <f t="shared" si="5"/>
        <v>e_77</v>
      </c>
      <c r="CS77" t="e">
        <f t="shared" si="6"/>
        <v>#VALUE!</v>
      </c>
    </row>
    <row r="78" spans="1:97" outlineLevel="1" x14ac:dyDescent="0.4">
      <c r="A78" t="str">
        <f t="shared" si="4"/>
        <v>鋼の短刀</v>
      </c>
      <c r="B78" t="str">
        <f>IFERROR(VLOOKUP($D78,素材!$1:$1016,COLUMN($B$1),FALSE)&amp;"・"&amp;VLOOKUP($C78,武器!$1:$998,COLUMN(B$1),FALSE),"")</f>
        <v>スチール・ナイフ</v>
      </c>
      <c r="C78" s="24" t="s">
        <v>242</v>
      </c>
      <c r="D78" s="24" t="s">
        <v>253</v>
      </c>
      <c r="E78" t="str">
        <f>IFERROR(VLOOKUP(C78,武器!$1:$998,COLUMN(C$1),FALSE),"")</f>
        <v>武器</v>
      </c>
      <c r="F78">
        <f>IFERROR(ROUNDDOWN((VLOOKUP($C78,武器!$1:$998,COLUMN(D$1),FALSE)+IFERROR(VLOOKUP($CI78,装強!$1:$999,COLUMN(F$1),FALSE),0))*VLOOKUP($D78,素材!$1:$1016,COLUMN(D$1),FALSE),0),"")</f>
        <v>105</v>
      </c>
      <c r="G78">
        <f>IFERROR(ROUNDDOWN((VLOOKUP($C78,武器!$1:$998,COLUMN(E$1),FALSE)+IFERROR(VLOOKUP($CI78,装強!$1:$999,COLUMN(G$1),FALSE),0))*VLOOKUP($D78,素材!$1:$1016,COLUMN($E$1),FALSE),0),"")</f>
        <v>13</v>
      </c>
      <c r="H78">
        <f>IFERROR(ROUNDDOWN((VLOOKUP($C78,武器!$1:$998,COLUMN(F$1),FALSE)+IFERROR(VLOOKUP($CI78,装強!$1:$999,COLUMN(H$1),FALSE),0))*VLOOKUP($D78,素材!$1:$1016,COLUMN($E$1),FALSE),0),"")</f>
        <v>10</v>
      </c>
      <c r="I78">
        <f>IFERROR(ROUNDDOWN((VLOOKUP($C78,武器!$1:$998,COLUMN(G$1),FALSE)+IFERROR(VLOOKUP($CI78,装強!$1:$999,COLUMN(I$1),FALSE),0))*VLOOKUP($D78,素材!$1:$1016,COLUMN($E$1),FALSE),0),"")</f>
        <v>2</v>
      </c>
      <c r="J78">
        <f>IFERROR(ROUNDDOWN((VLOOKUP($C78,武器!$1:$998,COLUMN(H$1),FALSE)+IFERROR(VLOOKUP($CI78,装強!$1:$999,COLUMN(J$1),FALSE),0))*VLOOKUP($D78,素材!$1:$1016,COLUMN($E$1),FALSE),0),"")</f>
        <v>17</v>
      </c>
      <c r="K78">
        <f>IFERROR(ROUNDDOWN((VLOOKUP($C78,武器!$1:$998,COLUMN(I$1),FALSE)+IFERROR(VLOOKUP($CI78,装強!$1:$999,COLUMN(K$1),FALSE),0))*VLOOKUP($D78,素材!$1:$1016,COLUMN($E$1),FALSE),0),"")</f>
        <v>0</v>
      </c>
      <c r="L78">
        <f>IFERROR(VLOOKUP($D78,素材!$1:$1016,COLUMN($F$1),FALSE),"")</f>
        <v>0</v>
      </c>
      <c r="M78">
        <f>IFERROR(VLOOKUP($C78,武器!$1:$998,COLUMN(AA$1),FALSE)*VLOOKUP($D78,素材!$1:$1016,COLUMN($G$1),FALSE),"")</f>
        <v>0</v>
      </c>
      <c r="N78">
        <f>IFERROR(VLOOKUP($C78,武器!$1:$998,COLUMN(I$1),FALSE),"")</f>
        <v>0</v>
      </c>
      <c r="O78" s="23">
        <f>IFERROR((VLOOKUP($C78,武器!$1:$998,COLUMN(K$1),FALSE)+VLOOKUP($D78,素材!$1:$1016,COLUMN(H$1),FALSE))*100+IFERROR(VLOOKUP($CI78,装強!$1:$999,COLUMN(O$1),FALSE),0),"")</f>
        <v>10</v>
      </c>
      <c r="P78" s="23">
        <f>IFERROR((VLOOKUP($C78,武器!$1:$998,COLUMN(L$1),FALSE)+VLOOKUP($D78,素材!$1:$1016,COLUMN(I$1),FALSE))*100+IFERROR(VLOOKUP($CI78,装強!$1:$999,COLUMN(P$1),FALSE),0),"")</f>
        <v>175</v>
      </c>
      <c r="Q78">
        <f>IFERROR(ROUNDUP(VLOOKUP($C78,武器!$1:$998,COLUMN(M$1),FALSE)*(VLOOKUP($D78,素材!$1:$1002,COLUMN(D$1),FALSE)/100),1),"")</f>
        <v>0</v>
      </c>
      <c r="R78">
        <f>IFERROR(ROUNDUP(VLOOKUP($C78,武器!$1:$998,COLUMN(N$1),FALSE)*(VLOOKUP($D78,素材!$1:$1002,COLUMN(D$1),FALSE)/100),1),"")</f>
        <v>0</v>
      </c>
      <c r="S78">
        <f>IFERROR(VLOOKUP($C78,武器!$1:$998,COLUMN(P$1),FALSE),"")</f>
        <v>0</v>
      </c>
      <c r="T78">
        <f>IFERROR(VLOOKUP($C78,武器!$1:$998,COLUMN(Q$1),FALSE),"")</f>
        <v>0</v>
      </c>
      <c r="U78">
        <f>IFERROR(VLOOKUP($C78,武器!$1:$998,COLUMN(R$1),FALSE),"")</f>
        <v>0</v>
      </c>
      <c r="V78">
        <f>IFERROR(VLOOKUP($C78,武器!$1:$998,COLUMN(Q$1),FALSE),"")</f>
        <v>0</v>
      </c>
      <c r="W78" t="str">
        <f>IFERROR(VLOOKUP($C78,武器!$1:$998,COLUMN(T$1),FALSE),"")</f>
        <v>A</v>
      </c>
      <c r="Y78" t="str">
        <f>IFERROR(VLOOKUP($C78,武器!$1:$998,COLUMN(U$1),FALSE),"")</f>
        <v>暗殺強化,片手適正Ⅱ</v>
      </c>
      <c r="Z78">
        <f>IFERROR(ROUNDUP(VLOOKUP($C78,武器!$1:$998,COLUMN(O$1),FALSE)*VLOOKUP($D78,素材!$1:$1016,COLUMN(E$1),FALSE),1),"")</f>
        <v>0</v>
      </c>
      <c r="AA78">
        <f>IF(ISNUMBER(SEARCH(SUBSTITUTE(AA$1,RIGHT(AA$1,2),""),VLOOKUP($D78,素材!$1:$1016,COLUMN($F$1),FALSE))),VLOOKUP($C78,武器!$1:$998,COLUMN($O$1),FALSE)*VLOOKUP($D78,素材!$1:$1016,COLUMN($E$1),FALSE)/(LEN(VLOOKUP($D78,素材!$1:$1016,COLUMN($F$1),FALSE)) - LEN(SUBSTITUTE(VLOOKUP($D78,素材!$1:$1016,COLUMN($F$1),FALSE), "・", 0)) + 1), 0)</f>
        <v>0</v>
      </c>
      <c r="AB78">
        <f>IF(ISNUMBER(SEARCH(SUBSTITUTE(AB$1,RIGHT(AB$1,2),""),VLOOKUP($D78,素材!$1:$1016,COLUMN($F$1),FALSE))),VLOOKUP($C78,武器!$1:$998,COLUMN($O$1),FALSE)*VLOOKUP($D78,素材!$1:$1016,COLUMN($E$1),FALSE)/(LEN(VLOOKUP($D78,素材!$1:$1016,COLUMN($F$1),FALSE)) - LEN(SUBSTITUTE(VLOOKUP($D78,素材!$1:$1016,COLUMN($F$1),FALSE), "・", 0)) + 1), 0)</f>
        <v>0</v>
      </c>
      <c r="AC78">
        <f>IF(ISNUMBER(SEARCH(SUBSTITUTE(AC$1,RIGHT(AC$1,2),""),VLOOKUP($D78,素材!$1:$1016,COLUMN($F$1),FALSE))),VLOOKUP($C78,武器!$1:$998,COLUMN($O$1),FALSE)*VLOOKUP($D78,素材!$1:$1016,COLUMN($E$1),FALSE)/(LEN(VLOOKUP($D78,素材!$1:$1016,COLUMN($F$1),FALSE)) - LEN(SUBSTITUTE(VLOOKUP($D78,素材!$1:$1016,COLUMN($F$1),FALSE), "・", 0)) + 1), 0)</f>
        <v>0</v>
      </c>
      <c r="AD78">
        <f>IF(ISNUMBER(SEARCH(SUBSTITUTE(AD$1,RIGHT(AD$1,2),""),VLOOKUP($D78,素材!$1:$1016,COLUMN($F$1),FALSE))),VLOOKUP($C78,武器!$1:$998,COLUMN($O$1),FALSE)*VLOOKUP($D78,素材!$1:$1016,COLUMN($E$1),FALSE)/(LEN(VLOOKUP($D78,素材!$1:$1016,COLUMN($F$1),FALSE)) - LEN(SUBSTITUTE(VLOOKUP($D78,素材!$1:$1016,COLUMN($F$1),FALSE), "・", 0)) + 1), 0)</f>
        <v>0</v>
      </c>
      <c r="AE78">
        <f>IF(ISNUMBER(SEARCH(SUBSTITUTE(AE$1,RIGHT(AE$1,2),""),VLOOKUP($D78,素材!$1:$1016,COLUMN($F$1),FALSE))),VLOOKUP($C78,武器!$1:$998,COLUMN($O$1),FALSE)*VLOOKUP($D78,素材!$1:$1016,COLUMN($E$1),FALSE)/(LEN(VLOOKUP($D78,素材!$1:$1016,COLUMN($F$1),FALSE)) - LEN(SUBSTITUTE(VLOOKUP($D78,素材!$1:$1016,COLUMN($F$1),FALSE), "・", 0)) + 1), 0)</f>
        <v>0</v>
      </c>
      <c r="AF78">
        <f>IF(ISNUMBER(SEARCH(SUBSTITUTE(AF$1,RIGHT(AF$1,2),""),VLOOKUP($D78,素材!$1:$1016,COLUMN($F$1),FALSE))),VLOOKUP($C78,武器!$1:$998,COLUMN($O$1),FALSE)*VLOOKUP($D78,素材!$1:$1016,COLUMN($E$1),FALSE)/(LEN(VLOOKUP($D78,素材!$1:$1016,COLUMN($F$1),FALSE)) - LEN(SUBSTITUTE(VLOOKUP($D78,素材!$1:$1016,COLUMN($F$1),FALSE), "・", 0)) + 1), 0)</f>
        <v>0</v>
      </c>
      <c r="AG78">
        <f>IF(ISNUMBER(SEARCH(SUBSTITUTE(AG$1,RIGHT(AG$1,2),""),VLOOKUP($D78,素材!$1:$1016,COLUMN($F$1),FALSE))),VLOOKUP($C78,武器!$1:$998,COLUMN($O$1),FALSE)*VLOOKUP($D78,素材!$1:$1016,COLUMN($E$1),FALSE)/(LEN(VLOOKUP($D78,素材!$1:$1016,COLUMN($F$1),FALSE)) - LEN(SUBSTITUTE(VLOOKUP($D78,素材!$1:$1016,COLUMN($F$1),FALSE), "・", 0)) + 1), 0)</f>
        <v>0</v>
      </c>
      <c r="AH78">
        <f>IF(ISNUMBER(SEARCH(SUBSTITUTE(AH$1,RIGHT(AH$1,2),""),VLOOKUP($D78,素材!$1:$1016,COLUMN($F$1),FALSE))),VLOOKUP($C78,武器!$1:$998,COLUMN($O$1),FALSE)*VLOOKUP($D78,素材!$1:$1016,COLUMN($E$1),FALSE)/(LEN(VLOOKUP($D78,素材!$1:$1016,COLUMN($F$1),FALSE)) - LEN(SUBSTITUTE(VLOOKUP($D78,素材!$1:$1016,COLUMN($F$1),FALSE), "・", 0)) + 1), 0)</f>
        <v>0</v>
      </c>
      <c r="AI78">
        <f>IF(ISNUMBER(SEARCH(SUBSTITUTE(AI$1,RIGHT(AI$1,2),""),VLOOKUP($D78,素材!$1:$1016,COLUMN($F$1),FALSE))),VLOOKUP($C78,武器!$1:$998,COLUMN($O$1),FALSE)*VLOOKUP($D78,素材!$1:$1016,COLUMN($E$1),FALSE)/(LEN(VLOOKUP($D78,素材!$1:$1016,COLUMN($F$1),FALSE)) - LEN(SUBSTITUTE(VLOOKUP($D78,素材!$1:$1016,COLUMN($F$1),FALSE), "・", 0)) + 1), 0)</f>
        <v>0</v>
      </c>
      <c r="AJ78">
        <f>IF(ISNUMBER(SEARCH(SUBSTITUTE(AJ$1,RIGHT(AJ$1,2),""),VLOOKUP($D78,素材!$1:$1016,COLUMN($F$1),FALSE))),VLOOKUP($C78,武器!$1:$998,COLUMN($O$1),FALSE)*VLOOKUP($D78,素材!$1:$1016,COLUMN($E$1),FALSE)/(LEN(VLOOKUP($D78,素材!$1:$1016,COLUMN($F$1),FALSE)) - LEN(SUBSTITUTE(VLOOKUP($D78,素材!$1:$1016,COLUMN($F$1),FALSE), "・", 0)) + 1), 0)</f>
        <v>0</v>
      </c>
      <c r="AK78">
        <f>IF(ISNUMBER(SEARCH(SUBSTITUTE(AK$1,RIGHT(AK$1,2),""),VLOOKUP($D78,素材!$1:$1016,COLUMN($F$1),FALSE))),VLOOKUP($C78,武器!$1:$998,COLUMN($O$1),FALSE)*VLOOKUP($D78,素材!$1:$1016,COLUMN($E$1),FALSE)/(LEN(VLOOKUP($D78,素材!$1:$1016,COLUMN($F$1),FALSE)) - LEN(SUBSTITUTE(VLOOKUP($D78,素材!$1:$1016,COLUMN($F$1),FALSE), "・", 0)) + 1), 0)</f>
        <v>0</v>
      </c>
      <c r="AL78">
        <f>IF(ISNUMBER(SEARCH(SUBSTITUTE(AL$1,RIGHT(AL$1,2),""),VLOOKUP($D78,素材!$1:$1016,COLUMN($F$1),FALSE))),VLOOKUP($C78,武器!$1:$998,COLUMN($O$1),FALSE)*VLOOKUP($D78,素材!$1:$1016,COLUMN($E$1),FALSE)/(LEN(VLOOKUP($D78,素材!$1:$1016,COLUMN($F$1),FALSE)) - LEN(SUBSTITUTE(VLOOKUP($D78,素材!$1:$1016,COLUMN($F$1),FALSE), "・", 0)) + 1), 0)</f>
        <v>0</v>
      </c>
      <c r="AM78">
        <f>IF(ISNUMBER(SEARCH(SUBSTITUTE(AM$1,RIGHT(AM$1,2),""),VLOOKUP($D78,素材!$1:$1016,COLUMN($F$1),FALSE))),VLOOKUP($C78,武器!$1:$998,COLUMN($O$1),FALSE)*VLOOKUP($D78,素材!$1:$1016,COLUMN($E$1),FALSE)/(LEN(VLOOKUP($D78,素材!$1:$1016,COLUMN($F$1),FALSE)) - LEN(SUBSTITUTE(VLOOKUP($D78,素材!$1:$1016,COLUMN($F$1),FALSE), "・", 0)) + 1), 0)</f>
        <v>0</v>
      </c>
      <c r="AN78">
        <f>IF(ISNUMBER(SEARCH(SUBSTITUTE(AN$1,RIGHT(AN$1,2),""),VLOOKUP($D78,素材!$1:$1016,COLUMN($F$1),FALSE))),VLOOKUP($C78,武器!$1:$998,COLUMN($O$1),FALSE)*VLOOKUP($D78,素材!$1:$1016,COLUMN($E$1),FALSE)/(LEN(VLOOKUP($D78,素材!$1:$1016,COLUMN($F$1),FALSE)) - LEN(SUBSTITUTE(VLOOKUP($D78,素材!$1:$1016,COLUMN($F$1),FALSE), "・", 0)) + 1), 0)</f>
        <v>0</v>
      </c>
      <c r="AO78">
        <f>IF(ISNUMBER(SEARCH(SUBSTITUTE(AO$1,RIGHT(AO$1,2),""),VLOOKUP($D78,素材!$1:$1016,COLUMN($F$1),FALSE))),VLOOKUP($C78,武器!$1:$998,COLUMN($O$1),FALSE)*VLOOKUP($D78,素材!$1:$1016,COLUMN($E$1),FALSE)/(LEN(VLOOKUP($D78,素材!$1:$1016,COLUMN($F$1),FALSE)) - LEN(SUBSTITUTE(VLOOKUP($D78,素材!$1:$1016,COLUMN($F$1),FALSE), "・", 0)) + 1), 0)</f>
        <v>0</v>
      </c>
      <c r="AP78">
        <f>IF(ISNUMBER(SEARCH(SUBSTITUTE(AP$1,RIGHT(AP$1,2),""),VLOOKUP($D78,素材!$1:$1016,COLUMN($F$1),FALSE))),VLOOKUP($C78,武器!$1:$998,COLUMN($O$1),FALSE)*VLOOKUP($D78,素材!$1:$1016,COLUMN($E$1),FALSE)/(LEN(VLOOKUP($D78,素材!$1:$1016,COLUMN($F$1),FALSE)) - LEN(SUBSTITUTE(VLOOKUP($D78,素材!$1:$1016,COLUMN($F$1),FALSE), "・", 0)) + 1), 0)</f>
        <v>0</v>
      </c>
      <c r="AQ78">
        <f>IF(ISNUMBER(SEARCH(SUBSTITUTE(AQ$1,RIGHT(AQ$1,2),""),VLOOKUP($D78,素材!$1:$1016,COLUMN($F$1),FALSE))),VLOOKUP($C78,武器!$1:$998,COLUMN($O$1),FALSE)*VLOOKUP($D78,素材!$1:$1016,COLUMN($E$1),FALSE)/(LEN(VLOOKUP($D78,素材!$1:$1016,COLUMN($F$1),FALSE)) - LEN(SUBSTITUTE(VLOOKUP($D78,素材!$1:$1016,COLUMN($F$1),FALSE), "・", 0)) + 1), 0)</f>
        <v>0</v>
      </c>
      <c r="AR78">
        <f>IF(ISNUMBER(SEARCH(SUBSTITUTE(AR$1,RIGHT(AR$1,2),""),VLOOKUP($D78,素材!$1:$1016,COLUMN($F$1),FALSE))),VLOOKUP($C78,武器!$1:$998,COLUMN($O$1),FALSE)*VLOOKUP($D78,素材!$1:$1016,COLUMN($E$1),FALSE)/(LEN(VLOOKUP($D78,素材!$1:$1016,COLUMN($F$1),FALSE)) - LEN(SUBSTITUTE(VLOOKUP($D78,素材!$1:$1016,COLUMN($F$1),FALSE), "・", 0)) + 1), 0)</f>
        <v>0</v>
      </c>
      <c r="AS78">
        <f>IF(ISNUMBER(SEARCH(SUBSTITUTE(AS$1,RIGHT(AS$1,2),""),VLOOKUP($D78,素材!$1:$1016,COLUMN($F$1),FALSE))),VLOOKUP($C78,武器!$1:$998,COLUMN($O$1),FALSE)*VLOOKUP($D78,素材!$1:$1016,COLUMN($E$1),FALSE)/(LEN(VLOOKUP($D78,素材!$1:$1016,COLUMN($F$1),FALSE)) - LEN(SUBSTITUTE(VLOOKUP($D78,素材!$1:$1016,COLUMN($F$1),FALSE), "・", 0)) + 1), 0)</f>
        <v>0</v>
      </c>
      <c r="AT78">
        <f>IF(ISNUMBER(SEARCH(SUBSTITUTE(AT$1,RIGHT(AT$1,2),""),VLOOKUP($D78,素材!$1:$1016,COLUMN($F$1),FALSE))),VLOOKUP($C78,武器!$1:$998,COLUMN($O$1),FALSE)*VLOOKUP($D78,素材!$1:$1016,COLUMN($E$1),FALSE)/(LEN(VLOOKUP($D78,素材!$1:$1016,COLUMN($F$1),FALSE)) - LEN(SUBSTITUTE(VLOOKUP($D78,素材!$1:$1016,COLUMN($F$1),FALSE), "・", 0)) + 1), 0)</f>
        <v>0</v>
      </c>
      <c r="AU78">
        <f>IF(ISNUMBER(SEARCH(SUBSTITUTE(AU$1,RIGHT(AU$1,2),""),VLOOKUP($D78,素材!$1:$1016,COLUMN($F$1),FALSE))),VLOOKUP($C78,武器!$1:$998,COLUMN($O$1),FALSE)*VLOOKUP($D78,素材!$1:$1016,COLUMN($E$1),FALSE)/(LEN(VLOOKUP($D78,素材!$1:$1016,COLUMN($F$1),FALSE)) - LEN(SUBSTITUTE(VLOOKUP($D78,素材!$1:$1016,COLUMN($F$1),FALSE), "・", 0)) + 1), 0)</f>
        <v>0</v>
      </c>
      <c r="AV78">
        <f>IF(ISNUMBER(SEARCH(SUBSTITUTE(AV$1,RIGHT(AV$1,2),""),VLOOKUP($D78,素材!$1:$1016,COLUMN($F$1),FALSE))),VLOOKUP($C78,武器!$1:$998,COLUMN($O$1),FALSE)*VLOOKUP($D78,素材!$1:$1016,COLUMN($E$1),FALSE)/(LEN(VLOOKUP($D78,素材!$1:$1016,COLUMN($F$1),FALSE)) - LEN(SUBSTITUTE(VLOOKUP($D78,素材!$1:$1016,COLUMN($F$1),FALSE), "・", 0)) + 1), 0)</f>
        <v>0</v>
      </c>
      <c r="AW78">
        <f>IF(ISNUMBER(SEARCH(SUBSTITUTE(AW$1,RIGHT(AW$1,2),""),VLOOKUP($D78,素材!$1:$1016,COLUMN($F$1),FALSE))),VLOOKUP($C78,武器!$1:$998,COLUMN($O$1),FALSE)*VLOOKUP($D78,素材!$1:$1016,COLUMN($E$1),FALSE)/(LEN(VLOOKUP($D78,素材!$1:$1016,COLUMN($F$1),FALSE)) - LEN(SUBSTITUTE(VLOOKUP($D78,素材!$1:$1016,COLUMN($F$1),FALSE), "・", 0)) + 1), 0)</f>
        <v>0</v>
      </c>
      <c r="AX78">
        <f>IF(ISNUMBER(SEARCH(SUBSTITUTE(AX$1,RIGHT(AX$1,2),""),VLOOKUP($D78,素材!$1:$1016,COLUMN($F$1),FALSE))),VLOOKUP($C78,武器!$1:$998,COLUMN($O$1),FALSE)*VLOOKUP($D78,素材!$1:$1016,COLUMN($E$1),FALSE)/(LEN(VLOOKUP($D78,素材!$1:$1016,COLUMN($F$1),FALSE)) - LEN(SUBSTITUTE(VLOOKUP($D78,素材!$1:$1016,COLUMN($F$1),FALSE), "・", 0)) + 1), 0)</f>
        <v>0</v>
      </c>
      <c r="AY78">
        <f>IF(ISNUMBER(SEARCH(SUBSTITUTE(AY$1,RIGHT(AY$1,2),""),VLOOKUP($D78,素材!$1:$1016,COLUMN($F$1),FALSE))),VLOOKUP($C78,武器!$1:$998,COLUMN($O$1),FALSE)*VLOOKUP($D78,素材!$1:$1016,COLUMN($E$1),FALSE)/(LEN(VLOOKUP($D78,素材!$1:$1016,COLUMN($F$1),FALSE)) - LEN(SUBSTITUTE(VLOOKUP($D78,素材!$1:$1016,COLUMN($F$1),FALSE), "・", 0)) + 1), 0)</f>
        <v>0</v>
      </c>
      <c r="AZ78">
        <f>IF(ISNUMBER(SEARCH(SUBSTITUTE(AZ$1,RIGHT(AZ$1,2),""),VLOOKUP($D78,素材!$1:$1016,COLUMN($F$1),FALSE))),VLOOKUP($C78,武器!$1:$998,COLUMN($O$1),FALSE)*VLOOKUP($D78,素材!$1:$1016,COLUMN($E$1),FALSE)/(LEN(VLOOKUP($D78,素材!$1:$1016,COLUMN($F$1),FALSE)) - LEN(SUBSTITUTE(VLOOKUP($D78,素材!$1:$1016,COLUMN($F$1),FALSE), "・", 0)) + 1), 0)</f>
        <v>0</v>
      </c>
      <c r="BA78">
        <f>IF(ISNUMBER(SEARCH(SUBSTITUTE(BA$1,RIGHT(BA$1,2),""),VLOOKUP($D78,素材!$1:$1016,COLUMN($F$1),FALSE))),VLOOKUP($C78,武器!$1:$998,COLUMN($O$1),FALSE)*VLOOKUP($D78,素材!$1:$1016,COLUMN($E$1),FALSE)/(LEN(VLOOKUP($D78,素材!$1:$1016,COLUMN($F$1),FALSE)) - LEN(SUBSTITUTE(VLOOKUP($D78,素材!$1:$1016,COLUMN($F$1),FALSE), "・", 0)) + 1), 0)</f>
        <v>0</v>
      </c>
      <c r="BB78">
        <f>IF(ISNUMBER(SEARCH(SUBSTITUTE(BB$1,RIGHT(BB$1,2),""),VLOOKUP($D78,素材!$1:$1016,COLUMN($F$1),FALSE))),VLOOKUP($C78,武器!$1:$998,COLUMN($O$1),FALSE)*VLOOKUP($D78,素材!$1:$1016,COLUMN($E$1),FALSE)/(LEN(VLOOKUP($D78,素材!$1:$1016,COLUMN($F$1),FALSE)) - LEN(SUBSTITUTE(VLOOKUP($D78,素材!$1:$1016,COLUMN($F$1),FALSE), "・", 0)) + 1), 0)</f>
        <v>0</v>
      </c>
      <c r="BC78">
        <f>IF(ISNUMBER(SEARCH(SUBSTITUTE(BC$1,RIGHT(BC$1,2),""),VLOOKUP($D78,素材!$1:$1016,COLUMN($F$1),FALSE))),VLOOKUP($C78,武器!$1:$998,COLUMN($O$1),FALSE)*VLOOKUP($D78,素材!$1:$1016,COLUMN($E$1),FALSE)/(LEN(VLOOKUP($D78,素材!$1:$1016,COLUMN($F$1),FALSE)) - LEN(SUBSTITUTE(VLOOKUP($D78,素材!$1:$1016,COLUMN($F$1),FALSE), "・", 0)) + 1), 0)</f>
        <v>0</v>
      </c>
      <c r="BD78">
        <f>IF(ISNUMBER(SEARCH(SUBSTITUTE(BD$1,RIGHT(BD$1,2),""),VLOOKUP($D78,素材!$1:$1016,COLUMN($F$1),FALSE))),VLOOKUP($C78,武器!$1:$998,COLUMN($O$1),FALSE)*VLOOKUP($D78,素材!$1:$1016,COLUMN($E$1),FALSE)/(LEN(VLOOKUP($D78,素材!$1:$1016,COLUMN($F$1),FALSE)) - LEN(SUBSTITUTE(VLOOKUP($D78,素材!$1:$1016,COLUMN($F$1),FALSE), "・", 0)) + 1), 0)</f>
        <v>0</v>
      </c>
      <c r="BE78">
        <f>IF(ISNUMBER(SEARCH(SUBSTITUTE(BE$1,RIGHT(BE$1,2),""),VLOOKUP($D78,素材!$1:$1016,COLUMN($F$1),FALSE))),VLOOKUP($C78,武器!$1:$998,COLUMN($O$1),FALSE)*VLOOKUP($D78,素材!$1:$1016,COLUMN($E$1),FALSE)/(LEN(VLOOKUP($D78,素材!$1:$1016,COLUMN($F$1),FALSE)) - LEN(SUBSTITUTE(VLOOKUP($D78,素材!$1:$1016,COLUMN($F$1),FALSE), "・", 0)) + 1), 0)</f>
        <v>0</v>
      </c>
      <c r="CL78">
        <f>SUM(G78:I78)</f>
        <v>25</v>
      </c>
      <c r="CM78" s="22" t="str">
        <f>IF(E78="武器",IF(J78-1&gt;SUM(G78:I78),"盾",IF(MAX(G78:I78)=G78,"切断",IF(MAX(G78:I78)=H78,"貫通",IF(MAX(G78:I78)=I78,"打撃","射撃")))),E78)&amp;".webp"</f>
        <v>切断.webp</v>
      </c>
      <c r="CN78">
        <f>IFERROR(VLOOKUP($C78,武器!$1:$998,COLUMN(V$1),FALSE)*VLOOKUP($D78,素材!$1:$1016,COLUMN(N$1),FALSE)+IF(CI78="",0,VLOOKUP($CI78,装強!$1:$1008,COLUMN($CK$1),FALSE)),"")</f>
        <v>450</v>
      </c>
      <c r="CO78" t="str">
        <f>VLOOKUP(D78,素材!$A:$O,COLUMN(素材!O$1),FALSE)</f>
        <v>鍛えられた鉄。硬度が高く安価なためよく使用される。</v>
      </c>
      <c r="CP78" t="str">
        <f>VLOOKUP(C78,武器!$A:$W,COLUMN(武器!W$1),FALSE)</f>
        <v>短刀。暗殺向けの武器で、軽量かつ片手操作に適する。Cr威力が高い</v>
      </c>
      <c r="CR78" t="str">
        <f t="shared" si="5"/>
        <v>e_78</v>
      </c>
      <c r="CS78">
        <f t="shared" si="6"/>
        <v>45000</v>
      </c>
    </row>
    <row r="79" spans="1:97" outlineLevel="1" x14ac:dyDescent="0.4">
      <c r="A79" t="str">
        <f t="shared" si="4"/>
        <v>鋼の刀</v>
      </c>
      <c r="B79" t="str">
        <f>IFERROR(VLOOKUP($D79,素材!$1:$1016,COLUMN($B$1),FALSE)&amp;"・"&amp;VLOOKUP($C79,武器!$1:$998,COLUMN(B$1),FALSE),"")</f>
        <v>スチール・カタナ</v>
      </c>
      <c r="C79" s="24" t="s">
        <v>241</v>
      </c>
      <c r="D79" s="24" t="s">
        <v>253</v>
      </c>
      <c r="E79" t="str">
        <f>IFERROR(VLOOKUP(C79,武器!$1:$998,COLUMN(C$1),FALSE),"")</f>
        <v>武器</v>
      </c>
      <c r="F79">
        <f>IFERROR(ROUNDDOWN((VLOOKUP($C79,武器!$1:$998,COLUMN(D$1),FALSE)+IFERROR(VLOOKUP($CI79,装強!$1:$999,COLUMN(F$1),FALSE),0))*VLOOKUP($D79,素材!$1:$1016,COLUMN(D$1),FALSE),0),"")</f>
        <v>110</v>
      </c>
      <c r="G79">
        <f>IFERROR(ROUNDDOWN((VLOOKUP($C79,武器!$1:$998,COLUMN(E$1),FALSE)+IFERROR(VLOOKUP($CI79,装強!$1:$999,COLUMN(G$1),FALSE),0))*VLOOKUP($D79,素材!$1:$1016,COLUMN($E$1),FALSE),0),"")</f>
        <v>18</v>
      </c>
      <c r="H79">
        <f>IFERROR(ROUNDDOWN((VLOOKUP($C79,武器!$1:$998,COLUMN(F$1),FALSE)+IFERROR(VLOOKUP($CI79,装強!$1:$999,COLUMN(H$1),FALSE),0))*VLOOKUP($D79,素材!$1:$1016,COLUMN($E$1),FALSE),0),"")</f>
        <v>10</v>
      </c>
      <c r="I79">
        <f>IFERROR(ROUNDDOWN((VLOOKUP($C79,武器!$1:$998,COLUMN(G$1),FALSE)+IFERROR(VLOOKUP($CI79,装強!$1:$999,COLUMN(I$1),FALSE),0))*VLOOKUP($D79,素材!$1:$1016,COLUMN($E$1),FALSE),0),"")</f>
        <v>2</v>
      </c>
      <c r="J79">
        <f>IFERROR(ROUNDDOWN((VLOOKUP($C79,武器!$1:$998,COLUMN(H$1),FALSE)+IFERROR(VLOOKUP($CI79,装強!$1:$999,COLUMN(J$1),FALSE),0))*VLOOKUP($D79,素材!$1:$1016,COLUMN($E$1),FALSE),0),"")</f>
        <v>22</v>
      </c>
      <c r="K79">
        <f>IFERROR(ROUNDDOWN((VLOOKUP($C79,武器!$1:$998,COLUMN(I$1),FALSE)+IFERROR(VLOOKUP($CI79,装強!$1:$999,COLUMN(K$1),FALSE),0))*VLOOKUP($D79,素材!$1:$1016,COLUMN($E$1),FALSE),0),"")</f>
        <v>0</v>
      </c>
      <c r="L79">
        <f>IFERROR(VLOOKUP($D79,素材!$1:$1016,COLUMN($F$1),FALSE),"")</f>
        <v>0</v>
      </c>
      <c r="M79">
        <f>IFERROR(VLOOKUP($C79,武器!$1:$998,COLUMN(AA$1),FALSE)*VLOOKUP($D79,素材!$1:$1016,COLUMN($G$1),FALSE),"")</f>
        <v>0</v>
      </c>
      <c r="N79">
        <f>IFERROR(VLOOKUP($C79,武器!$1:$998,COLUMN(I$1),FALSE),"")</f>
        <v>0</v>
      </c>
      <c r="O79" s="23">
        <f>IFERROR((VLOOKUP($C79,武器!$1:$998,COLUMN(K$1),FALSE)+VLOOKUP($D79,素材!$1:$1016,COLUMN(H$1),FALSE))*100+IFERROR(VLOOKUP($CI79,装強!$1:$999,COLUMN(O$1),FALSE),0),"")</f>
        <v>10</v>
      </c>
      <c r="P79" s="23">
        <f>IFERROR((VLOOKUP($C79,武器!$1:$998,COLUMN(L$1),FALSE)+VLOOKUP($D79,素材!$1:$1016,COLUMN(I$1),FALSE))*100+IFERROR(VLOOKUP($CI79,装強!$1:$999,COLUMN(P$1),FALSE),0),"")</f>
        <v>175</v>
      </c>
      <c r="Q79">
        <f>IFERROR(ROUNDUP(VLOOKUP($C79,武器!$1:$998,COLUMN(M$1),FALSE)*(VLOOKUP($D79,素材!$1:$1002,COLUMN(D$1),FALSE)/100),1),"")</f>
        <v>0</v>
      </c>
      <c r="R79">
        <f>IFERROR(ROUNDUP(VLOOKUP($C79,武器!$1:$998,COLUMN(N$1),FALSE)*(VLOOKUP($D79,素材!$1:$1002,COLUMN(D$1),FALSE)/100),1),"")</f>
        <v>0</v>
      </c>
      <c r="S79">
        <f>IFERROR(VLOOKUP($C79,武器!$1:$998,COLUMN(P$1),FALSE),"")</f>
        <v>0</v>
      </c>
      <c r="T79">
        <f>IFERROR(VLOOKUP($C79,武器!$1:$998,COLUMN(Q$1),FALSE),"")</f>
        <v>0</v>
      </c>
      <c r="U79">
        <f>IFERROR(VLOOKUP($C79,武器!$1:$998,COLUMN(R$1),FALSE),"")</f>
        <v>0</v>
      </c>
      <c r="V79">
        <f>IFERROR(VLOOKUP($C79,武器!$1:$998,COLUMN(Q$1),FALSE),"")</f>
        <v>0</v>
      </c>
      <c r="W79" t="str">
        <f>IFERROR(VLOOKUP($C79,武器!$1:$998,COLUMN(T$1),FALSE),"")</f>
        <v>A</v>
      </c>
      <c r="Y79">
        <f>IFERROR(VLOOKUP($C79,武器!$1:$998,COLUMN(U$1),FALSE),"")</f>
        <v>0</v>
      </c>
      <c r="Z79">
        <f>IFERROR(ROUNDUP(VLOOKUP($C79,武器!$1:$998,COLUMN(O$1),FALSE)*VLOOKUP($D79,素材!$1:$1016,COLUMN(E$1),FALSE),1),"")</f>
        <v>0</v>
      </c>
      <c r="AA79">
        <f>IF(ISNUMBER(SEARCH(SUBSTITUTE(AA$1,RIGHT(AA$1,2),""),VLOOKUP($D79,素材!$1:$1016,COLUMN($F$1),FALSE))),VLOOKUP($C79,武器!$1:$998,COLUMN($O$1),FALSE)*VLOOKUP($D79,素材!$1:$1016,COLUMN($E$1),FALSE)/(LEN(VLOOKUP($D79,素材!$1:$1016,COLUMN($F$1),FALSE)) - LEN(SUBSTITUTE(VLOOKUP($D79,素材!$1:$1016,COLUMN($F$1),FALSE), "・", 0)) + 1), 0)</f>
        <v>0</v>
      </c>
      <c r="AB79">
        <f>IF(ISNUMBER(SEARCH(SUBSTITUTE(AB$1,RIGHT(AB$1,2),""),VLOOKUP($D79,素材!$1:$1016,COLUMN($F$1),FALSE))),VLOOKUP($C79,武器!$1:$998,COLUMN($O$1),FALSE)*VLOOKUP($D79,素材!$1:$1016,COLUMN($E$1),FALSE)/(LEN(VLOOKUP($D79,素材!$1:$1016,COLUMN($F$1),FALSE)) - LEN(SUBSTITUTE(VLOOKUP($D79,素材!$1:$1016,COLUMN($F$1),FALSE), "・", 0)) + 1), 0)</f>
        <v>0</v>
      </c>
      <c r="AC79">
        <f>IF(ISNUMBER(SEARCH(SUBSTITUTE(AC$1,RIGHT(AC$1,2),""),VLOOKUP($D79,素材!$1:$1016,COLUMN($F$1),FALSE))),VLOOKUP($C79,武器!$1:$998,COLUMN($O$1),FALSE)*VLOOKUP($D79,素材!$1:$1016,COLUMN($E$1),FALSE)/(LEN(VLOOKUP($D79,素材!$1:$1016,COLUMN($F$1),FALSE)) - LEN(SUBSTITUTE(VLOOKUP($D79,素材!$1:$1016,COLUMN($F$1),FALSE), "・", 0)) + 1), 0)</f>
        <v>0</v>
      </c>
      <c r="AD79">
        <f>IF(ISNUMBER(SEARCH(SUBSTITUTE(AD$1,RIGHT(AD$1,2),""),VLOOKUP($D79,素材!$1:$1016,COLUMN($F$1),FALSE))),VLOOKUP($C79,武器!$1:$998,COLUMN($O$1),FALSE)*VLOOKUP($D79,素材!$1:$1016,COLUMN($E$1),FALSE)/(LEN(VLOOKUP($D79,素材!$1:$1016,COLUMN($F$1),FALSE)) - LEN(SUBSTITUTE(VLOOKUP($D79,素材!$1:$1016,COLUMN($F$1),FALSE), "・", 0)) + 1), 0)</f>
        <v>0</v>
      </c>
      <c r="AE79">
        <f>IF(ISNUMBER(SEARCH(SUBSTITUTE(AE$1,RIGHT(AE$1,2),""),VLOOKUP($D79,素材!$1:$1016,COLUMN($F$1),FALSE))),VLOOKUP($C79,武器!$1:$998,COLUMN($O$1),FALSE)*VLOOKUP($D79,素材!$1:$1016,COLUMN($E$1),FALSE)/(LEN(VLOOKUP($D79,素材!$1:$1016,COLUMN($F$1),FALSE)) - LEN(SUBSTITUTE(VLOOKUP($D79,素材!$1:$1016,COLUMN($F$1),FALSE), "・", 0)) + 1), 0)</f>
        <v>0</v>
      </c>
      <c r="AF79">
        <f>IF(ISNUMBER(SEARCH(SUBSTITUTE(AF$1,RIGHT(AF$1,2),""),VLOOKUP($D79,素材!$1:$1016,COLUMN($F$1),FALSE))),VLOOKUP($C79,武器!$1:$998,COLUMN($O$1),FALSE)*VLOOKUP($D79,素材!$1:$1016,COLUMN($E$1),FALSE)/(LEN(VLOOKUP($D79,素材!$1:$1016,COLUMN($F$1),FALSE)) - LEN(SUBSTITUTE(VLOOKUP($D79,素材!$1:$1016,COLUMN($F$1),FALSE), "・", 0)) + 1), 0)</f>
        <v>0</v>
      </c>
      <c r="AG79">
        <f>IF(ISNUMBER(SEARCH(SUBSTITUTE(AG$1,RIGHT(AG$1,2),""),VLOOKUP($D79,素材!$1:$1016,COLUMN($F$1),FALSE))),VLOOKUP($C79,武器!$1:$998,COLUMN($O$1),FALSE)*VLOOKUP($D79,素材!$1:$1016,COLUMN($E$1),FALSE)/(LEN(VLOOKUP($D79,素材!$1:$1016,COLUMN($F$1),FALSE)) - LEN(SUBSTITUTE(VLOOKUP($D79,素材!$1:$1016,COLUMN($F$1),FALSE), "・", 0)) + 1), 0)</f>
        <v>0</v>
      </c>
      <c r="AH79">
        <f>IF(ISNUMBER(SEARCH(SUBSTITUTE(AH$1,RIGHT(AH$1,2),""),VLOOKUP($D79,素材!$1:$1016,COLUMN($F$1),FALSE))),VLOOKUP($C79,武器!$1:$998,COLUMN($O$1),FALSE)*VLOOKUP($D79,素材!$1:$1016,COLUMN($E$1),FALSE)/(LEN(VLOOKUP($D79,素材!$1:$1016,COLUMN($F$1),FALSE)) - LEN(SUBSTITUTE(VLOOKUP($D79,素材!$1:$1016,COLUMN($F$1),FALSE), "・", 0)) + 1), 0)</f>
        <v>0</v>
      </c>
      <c r="AI79">
        <f>IF(ISNUMBER(SEARCH(SUBSTITUTE(AI$1,RIGHT(AI$1,2),""),VLOOKUP($D79,素材!$1:$1016,COLUMN($F$1),FALSE))),VLOOKUP($C79,武器!$1:$998,COLUMN($O$1),FALSE)*VLOOKUP($D79,素材!$1:$1016,COLUMN($E$1),FALSE)/(LEN(VLOOKUP($D79,素材!$1:$1016,COLUMN($F$1),FALSE)) - LEN(SUBSTITUTE(VLOOKUP($D79,素材!$1:$1016,COLUMN($F$1),FALSE), "・", 0)) + 1), 0)</f>
        <v>0</v>
      </c>
      <c r="AJ79">
        <f>IF(ISNUMBER(SEARCH(SUBSTITUTE(AJ$1,RIGHT(AJ$1,2),""),VLOOKUP($D79,素材!$1:$1016,COLUMN($F$1),FALSE))),VLOOKUP($C79,武器!$1:$998,COLUMN($O$1),FALSE)*VLOOKUP($D79,素材!$1:$1016,COLUMN($E$1),FALSE)/(LEN(VLOOKUP($D79,素材!$1:$1016,COLUMN($F$1),FALSE)) - LEN(SUBSTITUTE(VLOOKUP($D79,素材!$1:$1016,COLUMN($F$1),FALSE), "・", 0)) + 1), 0)</f>
        <v>0</v>
      </c>
      <c r="AK79">
        <f>IF(ISNUMBER(SEARCH(SUBSTITUTE(AK$1,RIGHT(AK$1,2),""),VLOOKUP($D79,素材!$1:$1016,COLUMN($F$1),FALSE))),VLOOKUP($C79,武器!$1:$998,COLUMN($O$1),FALSE)*VLOOKUP($D79,素材!$1:$1016,COLUMN($E$1),FALSE)/(LEN(VLOOKUP($D79,素材!$1:$1016,COLUMN($F$1),FALSE)) - LEN(SUBSTITUTE(VLOOKUP($D79,素材!$1:$1016,COLUMN($F$1),FALSE), "・", 0)) + 1), 0)</f>
        <v>0</v>
      </c>
      <c r="AL79">
        <f>IF(ISNUMBER(SEARCH(SUBSTITUTE(AL$1,RIGHT(AL$1,2),""),VLOOKUP($D79,素材!$1:$1016,COLUMN($F$1),FALSE))),VLOOKUP($C79,武器!$1:$998,COLUMN($O$1),FALSE)*VLOOKUP($D79,素材!$1:$1016,COLUMN($E$1),FALSE)/(LEN(VLOOKUP($D79,素材!$1:$1016,COLUMN($F$1),FALSE)) - LEN(SUBSTITUTE(VLOOKUP($D79,素材!$1:$1016,COLUMN($F$1),FALSE), "・", 0)) + 1), 0)</f>
        <v>0</v>
      </c>
      <c r="AM79">
        <f>IF(ISNUMBER(SEARCH(SUBSTITUTE(AM$1,RIGHT(AM$1,2),""),VLOOKUP($D79,素材!$1:$1016,COLUMN($F$1),FALSE))),VLOOKUP($C79,武器!$1:$998,COLUMN($O$1),FALSE)*VLOOKUP($D79,素材!$1:$1016,COLUMN($E$1),FALSE)/(LEN(VLOOKUP($D79,素材!$1:$1016,COLUMN($F$1),FALSE)) - LEN(SUBSTITUTE(VLOOKUP($D79,素材!$1:$1016,COLUMN($F$1),FALSE), "・", 0)) + 1), 0)</f>
        <v>0</v>
      </c>
      <c r="AN79">
        <f>IF(ISNUMBER(SEARCH(SUBSTITUTE(AN$1,RIGHT(AN$1,2),""),VLOOKUP($D79,素材!$1:$1016,COLUMN($F$1),FALSE))),VLOOKUP($C79,武器!$1:$998,COLUMN($O$1),FALSE)*VLOOKUP($D79,素材!$1:$1016,COLUMN($E$1),FALSE)/(LEN(VLOOKUP($D79,素材!$1:$1016,COLUMN($F$1),FALSE)) - LEN(SUBSTITUTE(VLOOKUP($D79,素材!$1:$1016,COLUMN($F$1),FALSE), "・", 0)) + 1), 0)</f>
        <v>0</v>
      </c>
      <c r="AO79">
        <f>IF(ISNUMBER(SEARCH(SUBSTITUTE(AO$1,RIGHT(AO$1,2),""),VLOOKUP($D79,素材!$1:$1016,COLUMN($F$1),FALSE))),VLOOKUP($C79,武器!$1:$998,COLUMN($O$1),FALSE)*VLOOKUP($D79,素材!$1:$1016,COLUMN($E$1),FALSE)/(LEN(VLOOKUP($D79,素材!$1:$1016,COLUMN($F$1),FALSE)) - LEN(SUBSTITUTE(VLOOKUP($D79,素材!$1:$1016,COLUMN($F$1),FALSE), "・", 0)) + 1), 0)</f>
        <v>0</v>
      </c>
      <c r="AP79">
        <f>IF(ISNUMBER(SEARCH(SUBSTITUTE(AP$1,RIGHT(AP$1,2),""),VLOOKUP($D79,素材!$1:$1016,COLUMN($F$1),FALSE))),VLOOKUP($C79,武器!$1:$998,COLUMN($O$1),FALSE)*VLOOKUP($D79,素材!$1:$1016,COLUMN($E$1),FALSE)/(LEN(VLOOKUP($D79,素材!$1:$1016,COLUMN($F$1),FALSE)) - LEN(SUBSTITUTE(VLOOKUP($D79,素材!$1:$1016,COLUMN($F$1),FALSE), "・", 0)) + 1), 0)</f>
        <v>0</v>
      </c>
      <c r="AQ79">
        <f>IF(ISNUMBER(SEARCH(SUBSTITUTE(AQ$1,RIGHT(AQ$1,2),""),VLOOKUP($D79,素材!$1:$1016,COLUMN($F$1),FALSE))),VLOOKUP($C79,武器!$1:$998,COLUMN($O$1),FALSE)*VLOOKUP($D79,素材!$1:$1016,COLUMN($E$1),FALSE)/(LEN(VLOOKUP($D79,素材!$1:$1016,COLUMN($F$1),FALSE)) - LEN(SUBSTITUTE(VLOOKUP($D79,素材!$1:$1016,COLUMN($F$1),FALSE), "・", 0)) + 1), 0)</f>
        <v>0</v>
      </c>
      <c r="AR79">
        <f>IF(ISNUMBER(SEARCH(SUBSTITUTE(AR$1,RIGHT(AR$1,2),""),VLOOKUP($D79,素材!$1:$1016,COLUMN($F$1),FALSE))),VLOOKUP($C79,武器!$1:$998,COLUMN($O$1),FALSE)*VLOOKUP($D79,素材!$1:$1016,COLUMN($E$1),FALSE)/(LEN(VLOOKUP($D79,素材!$1:$1016,COLUMN($F$1),FALSE)) - LEN(SUBSTITUTE(VLOOKUP($D79,素材!$1:$1016,COLUMN($F$1),FALSE), "・", 0)) + 1), 0)</f>
        <v>0</v>
      </c>
      <c r="AS79">
        <f>IF(ISNUMBER(SEARCH(SUBSTITUTE(AS$1,RIGHT(AS$1,2),""),VLOOKUP($D79,素材!$1:$1016,COLUMN($F$1),FALSE))),VLOOKUP($C79,武器!$1:$998,COLUMN($O$1),FALSE)*VLOOKUP($D79,素材!$1:$1016,COLUMN($E$1),FALSE)/(LEN(VLOOKUP($D79,素材!$1:$1016,COLUMN($F$1),FALSE)) - LEN(SUBSTITUTE(VLOOKUP($D79,素材!$1:$1016,COLUMN($F$1),FALSE), "・", 0)) + 1), 0)</f>
        <v>0</v>
      </c>
      <c r="AT79">
        <f>IF(ISNUMBER(SEARCH(SUBSTITUTE(AT$1,RIGHT(AT$1,2),""),VLOOKUP($D79,素材!$1:$1016,COLUMN($F$1),FALSE))),VLOOKUP($C79,武器!$1:$998,COLUMN($O$1),FALSE)*VLOOKUP($D79,素材!$1:$1016,COLUMN($E$1),FALSE)/(LEN(VLOOKUP($D79,素材!$1:$1016,COLUMN($F$1),FALSE)) - LEN(SUBSTITUTE(VLOOKUP($D79,素材!$1:$1016,COLUMN($F$1),FALSE), "・", 0)) + 1), 0)</f>
        <v>0</v>
      </c>
      <c r="AU79">
        <f>IF(ISNUMBER(SEARCH(SUBSTITUTE(AU$1,RIGHT(AU$1,2),""),VLOOKUP($D79,素材!$1:$1016,COLUMN($F$1),FALSE))),VLOOKUP($C79,武器!$1:$998,COLUMN($O$1),FALSE)*VLOOKUP($D79,素材!$1:$1016,COLUMN($E$1),FALSE)/(LEN(VLOOKUP($D79,素材!$1:$1016,COLUMN($F$1),FALSE)) - LEN(SUBSTITUTE(VLOOKUP($D79,素材!$1:$1016,COLUMN($F$1),FALSE), "・", 0)) + 1), 0)</f>
        <v>0</v>
      </c>
      <c r="AV79">
        <f>IF(ISNUMBER(SEARCH(SUBSTITUTE(AV$1,RIGHT(AV$1,2),""),VLOOKUP($D79,素材!$1:$1016,COLUMN($F$1),FALSE))),VLOOKUP($C79,武器!$1:$998,COLUMN($O$1),FALSE)*VLOOKUP($D79,素材!$1:$1016,COLUMN($E$1),FALSE)/(LEN(VLOOKUP($D79,素材!$1:$1016,COLUMN($F$1),FALSE)) - LEN(SUBSTITUTE(VLOOKUP($D79,素材!$1:$1016,COLUMN($F$1),FALSE), "・", 0)) + 1), 0)</f>
        <v>0</v>
      </c>
      <c r="AW79">
        <f>IF(ISNUMBER(SEARCH(SUBSTITUTE(AW$1,RIGHT(AW$1,2),""),VLOOKUP($D79,素材!$1:$1016,COLUMN($F$1),FALSE))),VLOOKUP($C79,武器!$1:$998,COLUMN($O$1),FALSE)*VLOOKUP($D79,素材!$1:$1016,COLUMN($E$1),FALSE)/(LEN(VLOOKUP($D79,素材!$1:$1016,COLUMN($F$1),FALSE)) - LEN(SUBSTITUTE(VLOOKUP($D79,素材!$1:$1016,COLUMN($F$1),FALSE), "・", 0)) + 1), 0)</f>
        <v>0</v>
      </c>
      <c r="AX79">
        <f>IF(ISNUMBER(SEARCH(SUBSTITUTE(AX$1,RIGHT(AX$1,2),""),VLOOKUP($D79,素材!$1:$1016,COLUMN($F$1),FALSE))),VLOOKUP($C79,武器!$1:$998,COLUMN($O$1),FALSE)*VLOOKUP($D79,素材!$1:$1016,COLUMN($E$1),FALSE)/(LEN(VLOOKUP($D79,素材!$1:$1016,COLUMN($F$1),FALSE)) - LEN(SUBSTITUTE(VLOOKUP($D79,素材!$1:$1016,COLUMN($F$1),FALSE), "・", 0)) + 1), 0)</f>
        <v>0</v>
      </c>
      <c r="AY79">
        <f>IF(ISNUMBER(SEARCH(SUBSTITUTE(AY$1,RIGHT(AY$1,2),""),VLOOKUP($D79,素材!$1:$1016,COLUMN($F$1),FALSE))),VLOOKUP($C79,武器!$1:$998,COLUMN($O$1),FALSE)*VLOOKUP($D79,素材!$1:$1016,COLUMN($E$1),FALSE)/(LEN(VLOOKUP($D79,素材!$1:$1016,COLUMN($F$1),FALSE)) - LEN(SUBSTITUTE(VLOOKUP($D79,素材!$1:$1016,COLUMN($F$1),FALSE), "・", 0)) + 1), 0)</f>
        <v>0</v>
      </c>
      <c r="AZ79">
        <f>IF(ISNUMBER(SEARCH(SUBSTITUTE(AZ$1,RIGHT(AZ$1,2),""),VLOOKUP($D79,素材!$1:$1016,COLUMN($F$1),FALSE))),VLOOKUP($C79,武器!$1:$998,COLUMN($O$1),FALSE)*VLOOKUP($D79,素材!$1:$1016,COLUMN($E$1),FALSE)/(LEN(VLOOKUP($D79,素材!$1:$1016,COLUMN($F$1),FALSE)) - LEN(SUBSTITUTE(VLOOKUP($D79,素材!$1:$1016,COLUMN($F$1),FALSE), "・", 0)) + 1), 0)</f>
        <v>0</v>
      </c>
      <c r="BA79">
        <f>IF(ISNUMBER(SEARCH(SUBSTITUTE(BA$1,RIGHT(BA$1,2),""),VLOOKUP($D79,素材!$1:$1016,COLUMN($F$1),FALSE))),VLOOKUP($C79,武器!$1:$998,COLUMN($O$1),FALSE)*VLOOKUP($D79,素材!$1:$1016,COLUMN($E$1),FALSE)/(LEN(VLOOKUP($D79,素材!$1:$1016,COLUMN($F$1),FALSE)) - LEN(SUBSTITUTE(VLOOKUP($D79,素材!$1:$1016,COLUMN($F$1),FALSE), "・", 0)) + 1), 0)</f>
        <v>0</v>
      </c>
      <c r="BB79">
        <f>IF(ISNUMBER(SEARCH(SUBSTITUTE(BB$1,RIGHT(BB$1,2),""),VLOOKUP($D79,素材!$1:$1016,COLUMN($F$1),FALSE))),VLOOKUP($C79,武器!$1:$998,COLUMN($O$1),FALSE)*VLOOKUP($D79,素材!$1:$1016,COLUMN($E$1),FALSE)/(LEN(VLOOKUP($D79,素材!$1:$1016,COLUMN($F$1),FALSE)) - LEN(SUBSTITUTE(VLOOKUP($D79,素材!$1:$1016,COLUMN($F$1),FALSE), "・", 0)) + 1), 0)</f>
        <v>0</v>
      </c>
      <c r="BC79">
        <f>IF(ISNUMBER(SEARCH(SUBSTITUTE(BC$1,RIGHT(BC$1,2),""),VLOOKUP($D79,素材!$1:$1016,COLUMN($F$1),FALSE))),VLOOKUP($C79,武器!$1:$998,COLUMN($O$1),FALSE)*VLOOKUP($D79,素材!$1:$1016,COLUMN($E$1),FALSE)/(LEN(VLOOKUP($D79,素材!$1:$1016,COLUMN($F$1),FALSE)) - LEN(SUBSTITUTE(VLOOKUP($D79,素材!$1:$1016,COLUMN($F$1),FALSE), "・", 0)) + 1), 0)</f>
        <v>0</v>
      </c>
      <c r="BD79">
        <f>IF(ISNUMBER(SEARCH(SUBSTITUTE(BD$1,RIGHT(BD$1,2),""),VLOOKUP($D79,素材!$1:$1016,COLUMN($F$1),FALSE))),VLOOKUP($C79,武器!$1:$998,COLUMN($O$1),FALSE)*VLOOKUP($D79,素材!$1:$1016,COLUMN($E$1),FALSE)/(LEN(VLOOKUP($D79,素材!$1:$1016,COLUMN($F$1),FALSE)) - LEN(SUBSTITUTE(VLOOKUP($D79,素材!$1:$1016,COLUMN($F$1),FALSE), "・", 0)) + 1), 0)</f>
        <v>0</v>
      </c>
      <c r="BE79">
        <f>IF(ISNUMBER(SEARCH(SUBSTITUTE(BE$1,RIGHT(BE$1,2),""),VLOOKUP($D79,素材!$1:$1016,COLUMN($F$1),FALSE))),VLOOKUP($C79,武器!$1:$998,COLUMN($O$1),FALSE)*VLOOKUP($D79,素材!$1:$1016,COLUMN($E$1),FALSE)/(LEN(VLOOKUP($D79,素材!$1:$1016,COLUMN($F$1),FALSE)) - LEN(SUBSTITUTE(VLOOKUP($D79,素材!$1:$1016,COLUMN($F$1),FALSE), "・", 0)) + 1), 0)</f>
        <v>0</v>
      </c>
      <c r="CL79">
        <f>SUM(G79:I79)</f>
        <v>30</v>
      </c>
      <c r="CM79" s="22" t="str">
        <f>IF(E79="武器",IF(J79-1&gt;SUM(G79:I79),"盾",IF(MAX(G79:I79)=G79,"切断",IF(MAX(G79:I79)=H79,"貫通",IF(MAX(G79:I79)=I79,"打撃","射撃")))),E79)&amp;".webp"</f>
        <v>切断.webp</v>
      </c>
      <c r="CN79">
        <f>IFERROR(VLOOKUP($C79,武器!$1:$998,COLUMN(V$1),FALSE)*VLOOKUP($D79,素材!$1:$1016,COLUMN(N$1),FALSE)+IF(CI79="",0,VLOOKUP($CI79,装強!$1:$1008,COLUMN($CK$1),FALSE)),"")</f>
        <v>900</v>
      </c>
      <c r="CO79" t="str">
        <f>VLOOKUP(D79,素材!$A:$O,COLUMN(素材!O$1),FALSE)</f>
        <v>鍛えられた鉄。硬度が高く安価なためよく使用される。</v>
      </c>
      <c r="CP79" t="str">
        <f>VLOOKUP(C79,武器!$A:$W,COLUMN(武器!W$1),FALSE)</f>
        <v>刀。切断力に優れた武器で、Cr威力が高い</v>
      </c>
      <c r="CR79" t="str">
        <f t="shared" si="5"/>
        <v>e_79</v>
      </c>
      <c r="CS79">
        <f t="shared" si="6"/>
        <v>90000</v>
      </c>
    </row>
    <row r="80" spans="1:97" outlineLevel="1" x14ac:dyDescent="0.4">
      <c r="A80" t="str">
        <f t="shared" si="4"/>
        <v>鋼の剣</v>
      </c>
      <c r="B80" t="str">
        <f>IFERROR(VLOOKUP($D80,素材!$1:$1016,COLUMN($B$1),FALSE)&amp;"・"&amp;VLOOKUP($C80,武器!$1:$998,COLUMN(B$1),FALSE),"")</f>
        <v>スチール・ソード</v>
      </c>
      <c r="C80" s="24" t="s">
        <v>240</v>
      </c>
      <c r="D80" s="24" t="s">
        <v>253</v>
      </c>
      <c r="E80" t="str">
        <f>IFERROR(VLOOKUP(C80,武器!$1:$998,COLUMN(C$1),FALSE),"")</f>
        <v>武器</v>
      </c>
      <c r="F80">
        <f>IFERROR(ROUNDDOWN((VLOOKUP($C80,武器!$1:$998,COLUMN(D$1),FALSE)+IFERROR(VLOOKUP($CI80,装強!$1:$999,COLUMN(F$1),FALSE),0))*VLOOKUP($D80,素材!$1:$1016,COLUMN(D$1),FALSE),0),"")</f>
        <v>105</v>
      </c>
      <c r="G80">
        <f>IFERROR(ROUNDDOWN((VLOOKUP($C80,武器!$1:$998,COLUMN(E$1),FALSE)+IFERROR(VLOOKUP($CI80,装強!$1:$999,COLUMN(G$1),FALSE),0))*VLOOKUP($D80,素材!$1:$1016,COLUMN($E$1),FALSE),0),"")</f>
        <v>16</v>
      </c>
      <c r="H80">
        <f>IFERROR(ROUNDDOWN((VLOOKUP($C80,武器!$1:$998,COLUMN(F$1),FALSE)+IFERROR(VLOOKUP($CI80,装強!$1:$999,COLUMN(H$1),FALSE),0))*VLOOKUP($D80,素材!$1:$1016,COLUMN($E$1),FALSE),0),"")</f>
        <v>12</v>
      </c>
      <c r="I80">
        <f>IFERROR(ROUNDDOWN((VLOOKUP($C80,武器!$1:$998,COLUMN(G$1),FALSE)+IFERROR(VLOOKUP($CI80,装強!$1:$999,COLUMN(I$1),FALSE),0))*VLOOKUP($D80,素材!$1:$1016,COLUMN($E$1),FALSE),0),"")</f>
        <v>4</v>
      </c>
      <c r="J80">
        <f>IFERROR(ROUNDDOWN((VLOOKUP($C80,武器!$1:$998,COLUMN(H$1),FALSE)+IFERROR(VLOOKUP($CI80,装強!$1:$999,COLUMN(J$1),FALSE),0))*VLOOKUP($D80,素材!$1:$1016,COLUMN($E$1),FALSE),0),"")</f>
        <v>25</v>
      </c>
      <c r="K80">
        <f>IFERROR(ROUNDDOWN((VLOOKUP($C80,武器!$1:$998,COLUMN(I$1),FALSE)+IFERROR(VLOOKUP($CI80,装強!$1:$999,COLUMN(K$1),FALSE),0))*VLOOKUP($D80,素材!$1:$1016,COLUMN($E$1),FALSE),0),"")</f>
        <v>0</v>
      </c>
      <c r="L80">
        <f>IFERROR(VLOOKUP($D80,素材!$1:$1016,COLUMN($F$1),FALSE),"")</f>
        <v>0</v>
      </c>
      <c r="M80">
        <f>IFERROR(VLOOKUP($C80,武器!$1:$998,COLUMN(AA$1),FALSE)*VLOOKUP($D80,素材!$1:$1016,COLUMN($G$1),FALSE),"")</f>
        <v>0</v>
      </c>
      <c r="N80">
        <f>IFERROR(VLOOKUP($C80,武器!$1:$998,COLUMN(I$1),FALSE),"")</f>
        <v>0</v>
      </c>
      <c r="O80" s="23">
        <f>IFERROR((VLOOKUP($C80,武器!$1:$998,COLUMN(K$1),FALSE)+VLOOKUP($D80,素材!$1:$1016,COLUMN(H$1),FALSE))*100+IFERROR(VLOOKUP($CI80,装強!$1:$999,COLUMN(O$1),FALSE),0),"")</f>
        <v>10</v>
      </c>
      <c r="P80" s="23">
        <f>IFERROR((VLOOKUP($C80,武器!$1:$998,COLUMN(L$1),FALSE)+VLOOKUP($D80,素材!$1:$1016,COLUMN(I$1),FALSE))*100+IFERROR(VLOOKUP($CI80,装強!$1:$999,COLUMN(P$1),FALSE),0),"")</f>
        <v>150</v>
      </c>
      <c r="Q80">
        <f>IFERROR(ROUNDUP(VLOOKUP($C80,武器!$1:$998,COLUMN(M$1),FALSE)*(VLOOKUP($D80,素材!$1:$1002,COLUMN(D$1),FALSE)/100),1),"")</f>
        <v>0</v>
      </c>
      <c r="R80">
        <f>IFERROR(ROUNDUP(VLOOKUP($C80,武器!$1:$998,COLUMN(N$1),FALSE)*(VLOOKUP($D80,素材!$1:$1002,COLUMN(D$1),FALSE)/100),1),"")</f>
        <v>0</v>
      </c>
      <c r="S80">
        <f>IFERROR(VLOOKUP($C80,武器!$1:$998,COLUMN(P$1),FALSE),"")</f>
        <v>0</v>
      </c>
      <c r="T80">
        <f>IFERROR(VLOOKUP($C80,武器!$1:$998,COLUMN(Q$1),FALSE),"")</f>
        <v>0</v>
      </c>
      <c r="U80">
        <f>IFERROR(VLOOKUP($C80,武器!$1:$998,COLUMN(R$1),FALSE),"")</f>
        <v>0</v>
      </c>
      <c r="V80">
        <f>IFERROR(VLOOKUP($C80,武器!$1:$998,COLUMN(Q$1),FALSE),"")</f>
        <v>0</v>
      </c>
      <c r="W80" t="str">
        <f>IFERROR(VLOOKUP($C80,武器!$1:$998,COLUMN(T$1),FALSE),"")</f>
        <v>A</v>
      </c>
      <c r="Y80" t="str">
        <f>IFERROR(VLOOKUP($C80,武器!$1:$998,COLUMN(U$1),FALSE),"")</f>
        <v>片手適正Ⅰ</v>
      </c>
      <c r="Z80">
        <f>IFERROR(ROUNDUP(VLOOKUP($C80,武器!$1:$998,COLUMN(O$1),FALSE)*VLOOKUP($D80,素材!$1:$1016,COLUMN(E$1),FALSE),1),"")</f>
        <v>0</v>
      </c>
      <c r="AA80">
        <f>IF(ISNUMBER(SEARCH(SUBSTITUTE(AA$1,RIGHT(AA$1,2),""),VLOOKUP($D80,素材!$1:$1016,COLUMN($F$1),FALSE))),VLOOKUP($C80,武器!$1:$998,COLUMN($O$1),FALSE)*VLOOKUP($D80,素材!$1:$1016,COLUMN($E$1),FALSE)/(LEN(VLOOKUP($D80,素材!$1:$1016,COLUMN($F$1),FALSE)) - LEN(SUBSTITUTE(VLOOKUP($D80,素材!$1:$1016,COLUMN($F$1),FALSE), "・", 0)) + 1), 0)</f>
        <v>0</v>
      </c>
      <c r="AB80">
        <f>IF(ISNUMBER(SEARCH(SUBSTITUTE(AB$1,RIGHT(AB$1,2),""),VLOOKUP($D80,素材!$1:$1016,COLUMN($F$1),FALSE))),VLOOKUP($C80,武器!$1:$998,COLUMN($O$1),FALSE)*VLOOKUP($D80,素材!$1:$1016,COLUMN($E$1),FALSE)/(LEN(VLOOKUP($D80,素材!$1:$1016,COLUMN($F$1),FALSE)) - LEN(SUBSTITUTE(VLOOKUP($D80,素材!$1:$1016,COLUMN($F$1),FALSE), "・", 0)) + 1), 0)</f>
        <v>0</v>
      </c>
      <c r="AC80">
        <f>IF(ISNUMBER(SEARCH(SUBSTITUTE(AC$1,RIGHT(AC$1,2),""),VLOOKUP($D80,素材!$1:$1016,COLUMN($F$1),FALSE))),VLOOKUP($C80,武器!$1:$998,COLUMN($O$1),FALSE)*VLOOKUP($D80,素材!$1:$1016,COLUMN($E$1),FALSE)/(LEN(VLOOKUP($D80,素材!$1:$1016,COLUMN($F$1),FALSE)) - LEN(SUBSTITUTE(VLOOKUP($D80,素材!$1:$1016,COLUMN($F$1),FALSE), "・", 0)) + 1), 0)</f>
        <v>0</v>
      </c>
      <c r="AD80">
        <f>IF(ISNUMBER(SEARCH(SUBSTITUTE(AD$1,RIGHT(AD$1,2),""),VLOOKUP($D80,素材!$1:$1016,COLUMN($F$1),FALSE))),VLOOKUP($C80,武器!$1:$998,COLUMN($O$1),FALSE)*VLOOKUP($D80,素材!$1:$1016,COLUMN($E$1),FALSE)/(LEN(VLOOKUP($D80,素材!$1:$1016,COLUMN($F$1),FALSE)) - LEN(SUBSTITUTE(VLOOKUP($D80,素材!$1:$1016,COLUMN($F$1),FALSE), "・", 0)) + 1), 0)</f>
        <v>0</v>
      </c>
      <c r="AE80">
        <f>IF(ISNUMBER(SEARCH(SUBSTITUTE(AE$1,RIGHT(AE$1,2),""),VLOOKUP($D80,素材!$1:$1016,COLUMN($F$1),FALSE))),VLOOKUP($C80,武器!$1:$998,COLUMN($O$1),FALSE)*VLOOKUP($D80,素材!$1:$1016,COLUMN($E$1),FALSE)/(LEN(VLOOKUP($D80,素材!$1:$1016,COLUMN($F$1),FALSE)) - LEN(SUBSTITUTE(VLOOKUP($D80,素材!$1:$1016,COLUMN($F$1),FALSE), "・", 0)) + 1), 0)</f>
        <v>0</v>
      </c>
      <c r="AF80">
        <f>IF(ISNUMBER(SEARCH(SUBSTITUTE(AF$1,RIGHT(AF$1,2),""),VLOOKUP($D80,素材!$1:$1016,COLUMN($F$1),FALSE))),VLOOKUP($C80,武器!$1:$998,COLUMN($O$1),FALSE)*VLOOKUP($D80,素材!$1:$1016,COLUMN($E$1),FALSE)/(LEN(VLOOKUP($D80,素材!$1:$1016,COLUMN($F$1),FALSE)) - LEN(SUBSTITUTE(VLOOKUP($D80,素材!$1:$1016,COLUMN($F$1),FALSE), "・", 0)) + 1), 0)</f>
        <v>0</v>
      </c>
      <c r="AG80">
        <f>IF(ISNUMBER(SEARCH(SUBSTITUTE(AG$1,RIGHT(AG$1,2),""),VLOOKUP($D80,素材!$1:$1016,COLUMN($F$1),FALSE))),VLOOKUP($C80,武器!$1:$998,COLUMN($O$1),FALSE)*VLOOKUP($D80,素材!$1:$1016,COLUMN($E$1),FALSE)/(LEN(VLOOKUP($D80,素材!$1:$1016,COLUMN($F$1),FALSE)) - LEN(SUBSTITUTE(VLOOKUP($D80,素材!$1:$1016,COLUMN($F$1),FALSE), "・", 0)) + 1), 0)</f>
        <v>0</v>
      </c>
      <c r="AH80">
        <f>IF(ISNUMBER(SEARCH(SUBSTITUTE(AH$1,RIGHT(AH$1,2),""),VLOOKUP($D80,素材!$1:$1016,COLUMN($F$1),FALSE))),VLOOKUP($C80,武器!$1:$998,COLUMN($O$1),FALSE)*VLOOKUP($D80,素材!$1:$1016,COLUMN($E$1),FALSE)/(LEN(VLOOKUP($D80,素材!$1:$1016,COLUMN($F$1),FALSE)) - LEN(SUBSTITUTE(VLOOKUP($D80,素材!$1:$1016,COLUMN($F$1),FALSE), "・", 0)) + 1), 0)</f>
        <v>0</v>
      </c>
      <c r="AI80">
        <f>IF(ISNUMBER(SEARCH(SUBSTITUTE(AI$1,RIGHT(AI$1,2),""),VLOOKUP($D80,素材!$1:$1016,COLUMN($F$1),FALSE))),VLOOKUP($C80,武器!$1:$998,COLUMN($O$1),FALSE)*VLOOKUP($D80,素材!$1:$1016,COLUMN($E$1),FALSE)/(LEN(VLOOKUP($D80,素材!$1:$1016,COLUMN($F$1),FALSE)) - LEN(SUBSTITUTE(VLOOKUP($D80,素材!$1:$1016,COLUMN($F$1),FALSE), "・", 0)) + 1), 0)</f>
        <v>0</v>
      </c>
      <c r="AJ80">
        <f>IF(ISNUMBER(SEARCH(SUBSTITUTE(AJ$1,RIGHT(AJ$1,2),""),VLOOKUP($D80,素材!$1:$1016,COLUMN($F$1),FALSE))),VLOOKUP($C80,武器!$1:$998,COLUMN($O$1),FALSE)*VLOOKUP($D80,素材!$1:$1016,COLUMN($E$1),FALSE)/(LEN(VLOOKUP($D80,素材!$1:$1016,COLUMN($F$1),FALSE)) - LEN(SUBSTITUTE(VLOOKUP($D80,素材!$1:$1016,COLUMN($F$1),FALSE), "・", 0)) + 1), 0)</f>
        <v>0</v>
      </c>
      <c r="AK80">
        <f>IF(ISNUMBER(SEARCH(SUBSTITUTE(AK$1,RIGHT(AK$1,2),""),VLOOKUP($D80,素材!$1:$1016,COLUMN($F$1),FALSE))),VLOOKUP($C80,武器!$1:$998,COLUMN($O$1),FALSE)*VLOOKUP($D80,素材!$1:$1016,COLUMN($E$1),FALSE)/(LEN(VLOOKUP($D80,素材!$1:$1016,COLUMN($F$1),FALSE)) - LEN(SUBSTITUTE(VLOOKUP($D80,素材!$1:$1016,COLUMN($F$1),FALSE), "・", 0)) + 1), 0)</f>
        <v>0</v>
      </c>
      <c r="AL80">
        <f>IF(ISNUMBER(SEARCH(SUBSTITUTE(AL$1,RIGHT(AL$1,2),""),VLOOKUP($D80,素材!$1:$1016,COLUMN($F$1),FALSE))),VLOOKUP($C80,武器!$1:$998,COLUMN($O$1),FALSE)*VLOOKUP($D80,素材!$1:$1016,COLUMN($E$1),FALSE)/(LEN(VLOOKUP($D80,素材!$1:$1016,COLUMN($F$1),FALSE)) - LEN(SUBSTITUTE(VLOOKUP($D80,素材!$1:$1016,COLUMN($F$1),FALSE), "・", 0)) + 1), 0)</f>
        <v>0</v>
      </c>
      <c r="AM80">
        <f>IF(ISNUMBER(SEARCH(SUBSTITUTE(AM$1,RIGHT(AM$1,2),""),VLOOKUP($D80,素材!$1:$1016,COLUMN($F$1),FALSE))),VLOOKUP($C80,武器!$1:$998,COLUMN($O$1),FALSE)*VLOOKUP($D80,素材!$1:$1016,COLUMN($E$1),FALSE)/(LEN(VLOOKUP($D80,素材!$1:$1016,COLUMN($F$1),FALSE)) - LEN(SUBSTITUTE(VLOOKUP($D80,素材!$1:$1016,COLUMN($F$1),FALSE), "・", 0)) + 1), 0)</f>
        <v>0</v>
      </c>
      <c r="AN80">
        <f>IF(ISNUMBER(SEARCH(SUBSTITUTE(AN$1,RIGHT(AN$1,2),""),VLOOKUP($D80,素材!$1:$1016,COLUMN($F$1),FALSE))),VLOOKUP($C80,武器!$1:$998,COLUMN($O$1),FALSE)*VLOOKUP($D80,素材!$1:$1016,COLUMN($E$1),FALSE)/(LEN(VLOOKUP($D80,素材!$1:$1016,COLUMN($F$1),FALSE)) - LEN(SUBSTITUTE(VLOOKUP($D80,素材!$1:$1016,COLUMN($F$1),FALSE), "・", 0)) + 1), 0)</f>
        <v>0</v>
      </c>
      <c r="AO80">
        <f>IF(ISNUMBER(SEARCH(SUBSTITUTE(AO$1,RIGHT(AO$1,2),""),VLOOKUP($D80,素材!$1:$1016,COLUMN($F$1),FALSE))),VLOOKUP($C80,武器!$1:$998,COLUMN($O$1),FALSE)*VLOOKUP($D80,素材!$1:$1016,COLUMN($E$1),FALSE)/(LEN(VLOOKUP($D80,素材!$1:$1016,COLUMN($F$1),FALSE)) - LEN(SUBSTITUTE(VLOOKUP($D80,素材!$1:$1016,COLUMN($F$1),FALSE), "・", 0)) + 1), 0)</f>
        <v>0</v>
      </c>
      <c r="AP80">
        <f>IF(ISNUMBER(SEARCH(SUBSTITUTE(AP$1,RIGHT(AP$1,2),""),VLOOKUP($D80,素材!$1:$1016,COLUMN($F$1),FALSE))),VLOOKUP($C80,武器!$1:$998,COLUMN($O$1),FALSE)*VLOOKUP($D80,素材!$1:$1016,COLUMN($E$1),FALSE)/(LEN(VLOOKUP($D80,素材!$1:$1016,COLUMN($F$1),FALSE)) - LEN(SUBSTITUTE(VLOOKUP($D80,素材!$1:$1016,COLUMN($F$1),FALSE), "・", 0)) + 1), 0)</f>
        <v>0</v>
      </c>
      <c r="AQ80">
        <f>IF(ISNUMBER(SEARCH(SUBSTITUTE(AQ$1,RIGHT(AQ$1,2),""),VLOOKUP($D80,素材!$1:$1016,COLUMN($F$1),FALSE))),VLOOKUP($C80,武器!$1:$998,COLUMN($O$1),FALSE)*VLOOKUP($D80,素材!$1:$1016,COLUMN($E$1),FALSE)/(LEN(VLOOKUP($D80,素材!$1:$1016,COLUMN($F$1),FALSE)) - LEN(SUBSTITUTE(VLOOKUP($D80,素材!$1:$1016,COLUMN($F$1),FALSE), "・", 0)) + 1), 0)</f>
        <v>0</v>
      </c>
      <c r="AR80">
        <f>IF(ISNUMBER(SEARCH(SUBSTITUTE(AR$1,RIGHT(AR$1,2),""),VLOOKUP($D80,素材!$1:$1016,COLUMN($F$1),FALSE))),VLOOKUP($C80,武器!$1:$998,COLUMN($O$1),FALSE)*VLOOKUP($D80,素材!$1:$1016,COLUMN($E$1),FALSE)/(LEN(VLOOKUP($D80,素材!$1:$1016,COLUMN($F$1),FALSE)) - LEN(SUBSTITUTE(VLOOKUP($D80,素材!$1:$1016,COLUMN($F$1),FALSE), "・", 0)) + 1), 0)</f>
        <v>0</v>
      </c>
      <c r="AS80">
        <f>IF(ISNUMBER(SEARCH(SUBSTITUTE(AS$1,RIGHT(AS$1,2),""),VLOOKUP($D80,素材!$1:$1016,COLUMN($F$1),FALSE))),VLOOKUP($C80,武器!$1:$998,COLUMN($O$1),FALSE)*VLOOKUP($D80,素材!$1:$1016,COLUMN($E$1),FALSE)/(LEN(VLOOKUP($D80,素材!$1:$1016,COLUMN($F$1),FALSE)) - LEN(SUBSTITUTE(VLOOKUP($D80,素材!$1:$1016,COLUMN($F$1),FALSE), "・", 0)) + 1), 0)</f>
        <v>0</v>
      </c>
      <c r="AT80">
        <f>IF(ISNUMBER(SEARCH(SUBSTITUTE(AT$1,RIGHT(AT$1,2),""),VLOOKUP($D80,素材!$1:$1016,COLUMN($F$1),FALSE))),VLOOKUP($C80,武器!$1:$998,COLUMN($O$1),FALSE)*VLOOKUP($D80,素材!$1:$1016,COLUMN($E$1),FALSE)/(LEN(VLOOKUP($D80,素材!$1:$1016,COLUMN($F$1),FALSE)) - LEN(SUBSTITUTE(VLOOKUP($D80,素材!$1:$1016,COLUMN($F$1),FALSE), "・", 0)) + 1), 0)</f>
        <v>0</v>
      </c>
      <c r="AU80">
        <f>IF(ISNUMBER(SEARCH(SUBSTITUTE(AU$1,RIGHT(AU$1,2),""),VLOOKUP($D80,素材!$1:$1016,COLUMN($F$1),FALSE))),VLOOKUP($C80,武器!$1:$998,COLUMN($O$1),FALSE)*VLOOKUP($D80,素材!$1:$1016,COLUMN($E$1),FALSE)/(LEN(VLOOKUP($D80,素材!$1:$1016,COLUMN($F$1),FALSE)) - LEN(SUBSTITUTE(VLOOKUP($D80,素材!$1:$1016,COLUMN($F$1),FALSE), "・", 0)) + 1), 0)</f>
        <v>0</v>
      </c>
      <c r="AV80">
        <f>IF(ISNUMBER(SEARCH(SUBSTITUTE(AV$1,RIGHT(AV$1,2),""),VLOOKUP($D80,素材!$1:$1016,COLUMN($F$1),FALSE))),VLOOKUP($C80,武器!$1:$998,COLUMN($O$1),FALSE)*VLOOKUP($D80,素材!$1:$1016,COLUMN($E$1),FALSE)/(LEN(VLOOKUP($D80,素材!$1:$1016,COLUMN($F$1),FALSE)) - LEN(SUBSTITUTE(VLOOKUP($D80,素材!$1:$1016,COLUMN($F$1),FALSE), "・", 0)) + 1), 0)</f>
        <v>0</v>
      </c>
      <c r="AW80">
        <f>IF(ISNUMBER(SEARCH(SUBSTITUTE(AW$1,RIGHT(AW$1,2),""),VLOOKUP($D80,素材!$1:$1016,COLUMN($F$1),FALSE))),VLOOKUP($C80,武器!$1:$998,COLUMN($O$1),FALSE)*VLOOKUP($D80,素材!$1:$1016,COLUMN($E$1),FALSE)/(LEN(VLOOKUP($D80,素材!$1:$1016,COLUMN($F$1),FALSE)) - LEN(SUBSTITUTE(VLOOKUP($D80,素材!$1:$1016,COLUMN($F$1),FALSE), "・", 0)) + 1), 0)</f>
        <v>0</v>
      </c>
      <c r="AX80">
        <f>IF(ISNUMBER(SEARCH(SUBSTITUTE(AX$1,RIGHT(AX$1,2),""),VLOOKUP($D80,素材!$1:$1016,COLUMN($F$1),FALSE))),VLOOKUP($C80,武器!$1:$998,COLUMN($O$1),FALSE)*VLOOKUP($D80,素材!$1:$1016,COLUMN($E$1),FALSE)/(LEN(VLOOKUP($D80,素材!$1:$1016,COLUMN($F$1),FALSE)) - LEN(SUBSTITUTE(VLOOKUP($D80,素材!$1:$1016,COLUMN($F$1),FALSE), "・", 0)) + 1), 0)</f>
        <v>0</v>
      </c>
      <c r="AY80">
        <f>IF(ISNUMBER(SEARCH(SUBSTITUTE(AY$1,RIGHT(AY$1,2),""),VLOOKUP($D80,素材!$1:$1016,COLUMN($F$1),FALSE))),VLOOKUP($C80,武器!$1:$998,COLUMN($O$1),FALSE)*VLOOKUP($D80,素材!$1:$1016,COLUMN($E$1),FALSE)/(LEN(VLOOKUP($D80,素材!$1:$1016,COLUMN($F$1),FALSE)) - LEN(SUBSTITUTE(VLOOKUP($D80,素材!$1:$1016,COLUMN($F$1),FALSE), "・", 0)) + 1), 0)</f>
        <v>0</v>
      </c>
      <c r="AZ80">
        <f>IF(ISNUMBER(SEARCH(SUBSTITUTE(AZ$1,RIGHT(AZ$1,2),""),VLOOKUP($D80,素材!$1:$1016,COLUMN($F$1),FALSE))),VLOOKUP($C80,武器!$1:$998,COLUMN($O$1),FALSE)*VLOOKUP($D80,素材!$1:$1016,COLUMN($E$1),FALSE)/(LEN(VLOOKUP($D80,素材!$1:$1016,COLUMN($F$1),FALSE)) - LEN(SUBSTITUTE(VLOOKUP($D80,素材!$1:$1016,COLUMN($F$1),FALSE), "・", 0)) + 1), 0)</f>
        <v>0</v>
      </c>
      <c r="BA80">
        <f>IF(ISNUMBER(SEARCH(SUBSTITUTE(BA$1,RIGHT(BA$1,2),""),VLOOKUP($D80,素材!$1:$1016,COLUMN($F$1),FALSE))),VLOOKUP($C80,武器!$1:$998,COLUMN($O$1),FALSE)*VLOOKUP($D80,素材!$1:$1016,COLUMN($E$1),FALSE)/(LEN(VLOOKUP($D80,素材!$1:$1016,COLUMN($F$1),FALSE)) - LEN(SUBSTITUTE(VLOOKUP($D80,素材!$1:$1016,COLUMN($F$1),FALSE), "・", 0)) + 1), 0)</f>
        <v>0</v>
      </c>
      <c r="BB80">
        <f>IF(ISNUMBER(SEARCH(SUBSTITUTE(BB$1,RIGHT(BB$1,2),""),VLOOKUP($D80,素材!$1:$1016,COLUMN($F$1),FALSE))),VLOOKUP($C80,武器!$1:$998,COLUMN($O$1),FALSE)*VLOOKUP($D80,素材!$1:$1016,COLUMN($E$1),FALSE)/(LEN(VLOOKUP($D80,素材!$1:$1016,COLUMN($F$1),FALSE)) - LEN(SUBSTITUTE(VLOOKUP($D80,素材!$1:$1016,COLUMN($F$1),FALSE), "・", 0)) + 1), 0)</f>
        <v>0</v>
      </c>
      <c r="BC80">
        <f>IF(ISNUMBER(SEARCH(SUBSTITUTE(BC$1,RIGHT(BC$1,2),""),VLOOKUP($D80,素材!$1:$1016,COLUMN($F$1),FALSE))),VLOOKUP($C80,武器!$1:$998,COLUMN($O$1),FALSE)*VLOOKUP($D80,素材!$1:$1016,COLUMN($E$1),FALSE)/(LEN(VLOOKUP($D80,素材!$1:$1016,COLUMN($F$1),FALSE)) - LEN(SUBSTITUTE(VLOOKUP($D80,素材!$1:$1016,COLUMN($F$1),FALSE), "・", 0)) + 1), 0)</f>
        <v>0</v>
      </c>
      <c r="BD80">
        <f>IF(ISNUMBER(SEARCH(SUBSTITUTE(BD$1,RIGHT(BD$1,2),""),VLOOKUP($D80,素材!$1:$1016,COLUMN($F$1),FALSE))),VLOOKUP($C80,武器!$1:$998,COLUMN($O$1),FALSE)*VLOOKUP($D80,素材!$1:$1016,COLUMN($E$1),FALSE)/(LEN(VLOOKUP($D80,素材!$1:$1016,COLUMN($F$1),FALSE)) - LEN(SUBSTITUTE(VLOOKUP($D80,素材!$1:$1016,COLUMN($F$1),FALSE), "・", 0)) + 1), 0)</f>
        <v>0</v>
      </c>
      <c r="BE80">
        <f>IF(ISNUMBER(SEARCH(SUBSTITUTE(BE$1,RIGHT(BE$1,2),""),VLOOKUP($D80,素材!$1:$1016,COLUMN($F$1),FALSE))),VLOOKUP($C80,武器!$1:$998,COLUMN($O$1),FALSE)*VLOOKUP($D80,素材!$1:$1016,COLUMN($E$1),FALSE)/(LEN(VLOOKUP($D80,素材!$1:$1016,COLUMN($F$1),FALSE)) - LEN(SUBSTITUTE(VLOOKUP($D80,素材!$1:$1016,COLUMN($F$1),FALSE), "・", 0)) + 1), 0)</f>
        <v>0</v>
      </c>
      <c r="CL80">
        <f>SUM(G80:I80)</f>
        <v>32</v>
      </c>
      <c r="CM80" s="22" t="str">
        <f>IF(E80="武器",IF(J80-1&gt;SUM(G80:I80),"盾",IF(MAX(G80:I80)=G80,"切断",IF(MAX(G80:I80)=H80,"貫通",IF(MAX(G80:I80)=I80,"打撃","射撃")))),E80)&amp;".webp"</f>
        <v>切断.webp</v>
      </c>
      <c r="CN80">
        <f>IFERROR(VLOOKUP($C80,武器!$1:$998,COLUMN(V$1),FALSE)*VLOOKUP($D80,素材!$1:$1016,COLUMN(N$1),FALSE)+IF(CI80="",0,VLOOKUP($CI80,装強!$1:$1008,COLUMN($CK$1),FALSE)),"")</f>
        <v>675</v>
      </c>
      <c r="CO80" t="str">
        <f>VLOOKUP(D80,素材!$A:$O,COLUMN(素材!O$1),FALSE)</f>
        <v>鍛えられた鉄。硬度が高く安価なためよく使用される。</v>
      </c>
      <c r="CP80" t="str">
        <f>VLOOKUP(C80,武器!$A:$W,COLUMN(武器!W$1),FALSE)</f>
        <v>剣。短い剣で片手で扱いやすく、初心者向けの武器。</v>
      </c>
      <c r="CR80" t="str">
        <f t="shared" si="5"/>
        <v>e_80</v>
      </c>
      <c r="CS80">
        <f t="shared" si="6"/>
        <v>67500</v>
      </c>
    </row>
    <row r="81" spans="1:97" outlineLevel="1" x14ac:dyDescent="0.4">
      <c r="A81" t="str">
        <f t="shared" si="4"/>
        <v>鋼の広剣</v>
      </c>
      <c r="B81" t="str">
        <f>IFERROR(VLOOKUP($D81,素材!$1:$1016,COLUMN($B$1),FALSE)&amp;"・"&amp;VLOOKUP($C81,武器!$1:$998,COLUMN(B$1),FALSE),"")</f>
        <v>スチール・ブロードソード</v>
      </c>
      <c r="C81" s="24" t="s">
        <v>239</v>
      </c>
      <c r="D81" s="24" t="s">
        <v>253</v>
      </c>
      <c r="E81" t="str">
        <f>IFERROR(VLOOKUP(C81,武器!$1:$998,COLUMN(C$1),FALSE),"")</f>
        <v>武器</v>
      </c>
      <c r="F81">
        <f>IFERROR(ROUNDDOWN((VLOOKUP($C81,武器!$1:$998,COLUMN(D$1),FALSE)+IFERROR(VLOOKUP($CI81,装強!$1:$999,COLUMN(F$1),FALSE),0))*VLOOKUP($D81,素材!$1:$1016,COLUMN(D$1),FALSE),0),"")</f>
        <v>115</v>
      </c>
      <c r="G81">
        <f>IFERROR(ROUNDDOWN((VLOOKUP($C81,武器!$1:$998,COLUMN(E$1),FALSE)+IFERROR(VLOOKUP($CI81,装強!$1:$999,COLUMN(G$1),FALSE),0))*VLOOKUP($D81,素材!$1:$1016,COLUMN($E$1),FALSE),0),"")</f>
        <v>16</v>
      </c>
      <c r="H81">
        <f>IFERROR(ROUNDDOWN((VLOOKUP($C81,武器!$1:$998,COLUMN(F$1),FALSE)+IFERROR(VLOOKUP($CI81,装強!$1:$999,COLUMN(H$1),FALSE),0))*VLOOKUP($D81,素材!$1:$1016,COLUMN($E$1),FALSE),0),"")</f>
        <v>10</v>
      </c>
      <c r="I81">
        <f>IFERROR(ROUNDDOWN((VLOOKUP($C81,武器!$1:$998,COLUMN(G$1),FALSE)+IFERROR(VLOOKUP($CI81,装強!$1:$999,COLUMN(I$1),FALSE),0))*VLOOKUP($D81,素材!$1:$1016,COLUMN($E$1),FALSE),0),"")</f>
        <v>4</v>
      </c>
      <c r="J81">
        <f>IFERROR(ROUNDDOWN((VLOOKUP($C81,武器!$1:$998,COLUMN(H$1),FALSE)+IFERROR(VLOOKUP($CI81,装強!$1:$999,COLUMN(J$1),FALSE),0))*VLOOKUP($D81,素材!$1:$1016,COLUMN($E$1),FALSE),0),"")</f>
        <v>31</v>
      </c>
      <c r="K81">
        <f>IFERROR(ROUNDDOWN((VLOOKUP($C81,武器!$1:$998,COLUMN(I$1),FALSE)+IFERROR(VLOOKUP($CI81,装強!$1:$999,COLUMN(K$1),FALSE),0))*VLOOKUP($D81,素材!$1:$1016,COLUMN($E$1),FALSE),0),"")</f>
        <v>0</v>
      </c>
      <c r="L81">
        <f>IFERROR(VLOOKUP($D81,素材!$1:$1016,COLUMN($F$1),FALSE),"")</f>
        <v>0</v>
      </c>
      <c r="M81">
        <f>IFERROR(VLOOKUP($C81,武器!$1:$998,COLUMN(AA$1),FALSE)*VLOOKUP($D81,素材!$1:$1016,COLUMN($G$1),FALSE),"")</f>
        <v>0</v>
      </c>
      <c r="N81">
        <f>IFERROR(VLOOKUP($C81,武器!$1:$998,COLUMN(I$1),FALSE),"")</f>
        <v>0</v>
      </c>
      <c r="O81" s="23">
        <f>IFERROR((VLOOKUP($C81,武器!$1:$998,COLUMN(K$1),FALSE)+VLOOKUP($D81,素材!$1:$1016,COLUMN(H$1),FALSE))*100+IFERROR(VLOOKUP($CI81,装強!$1:$999,COLUMN(O$1),FALSE),0),"")</f>
        <v>10</v>
      </c>
      <c r="P81" s="23">
        <f>IFERROR((VLOOKUP($C81,武器!$1:$998,COLUMN(L$1),FALSE)+VLOOKUP($D81,素材!$1:$1016,COLUMN(I$1),FALSE))*100+IFERROR(VLOOKUP($CI81,装強!$1:$999,COLUMN(P$1),FALSE),0),"")</f>
        <v>150</v>
      </c>
      <c r="Q81">
        <f>IFERROR(ROUNDUP(VLOOKUP($C81,武器!$1:$998,COLUMN(M$1),FALSE)*(VLOOKUP($D81,素材!$1:$1002,COLUMN(D$1),FALSE)/100),1),"")</f>
        <v>-2.7</v>
      </c>
      <c r="R81">
        <f>IFERROR(ROUNDUP(VLOOKUP($C81,武器!$1:$998,COLUMN(N$1),FALSE)*(VLOOKUP($D81,素材!$1:$1002,COLUMN(D$1),FALSE)/100),1),"")</f>
        <v>-2.7</v>
      </c>
      <c r="S81">
        <f>IFERROR(VLOOKUP($C81,武器!$1:$998,COLUMN(P$1),FALSE),"")</f>
        <v>0</v>
      </c>
      <c r="T81">
        <f>IFERROR(VLOOKUP($C81,武器!$1:$998,COLUMN(Q$1),FALSE),"")</f>
        <v>0</v>
      </c>
      <c r="U81">
        <f>IFERROR(VLOOKUP($C81,武器!$1:$998,COLUMN(R$1),FALSE),"")</f>
        <v>0</v>
      </c>
      <c r="V81">
        <f>IFERROR(VLOOKUP($C81,武器!$1:$998,COLUMN(Q$1),FALSE),"")</f>
        <v>0</v>
      </c>
      <c r="W81" t="str">
        <f>IFERROR(VLOOKUP($C81,武器!$1:$998,COLUMN(T$1),FALSE),"")</f>
        <v>A</v>
      </c>
      <c r="Y81">
        <f>IFERROR(VLOOKUP($C81,武器!$1:$998,COLUMN(U$1),FALSE),"")</f>
        <v>0</v>
      </c>
      <c r="Z81">
        <f>IFERROR(ROUNDUP(VLOOKUP($C81,武器!$1:$998,COLUMN(O$1),FALSE)*VLOOKUP($D81,素材!$1:$1016,COLUMN(E$1),FALSE),1),"")</f>
        <v>0</v>
      </c>
      <c r="AA81">
        <f>IF(ISNUMBER(SEARCH(SUBSTITUTE(AA$1,RIGHT(AA$1,2),""),VLOOKUP($D81,素材!$1:$1016,COLUMN($F$1),FALSE))),VLOOKUP($C81,武器!$1:$998,COLUMN($O$1),FALSE)*VLOOKUP($D81,素材!$1:$1016,COLUMN($E$1),FALSE)/(LEN(VLOOKUP($D81,素材!$1:$1016,COLUMN($F$1),FALSE)) - LEN(SUBSTITUTE(VLOOKUP($D81,素材!$1:$1016,COLUMN($F$1),FALSE), "・", 0)) + 1), 0)</f>
        <v>0</v>
      </c>
      <c r="AB81">
        <f>IF(ISNUMBER(SEARCH(SUBSTITUTE(AB$1,RIGHT(AB$1,2),""),VLOOKUP($D81,素材!$1:$1016,COLUMN($F$1),FALSE))),VLOOKUP($C81,武器!$1:$998,COLUMN($O$1),FALSE)*VLOOKUP($D81,素材!$1:$1016,COLUMN($E$1),FALSE)/(LEN(VLOOKUP($D81,素材!$1:$1016,COLUMN($F$1),FALSE)) - LEN(SUBSTITUTE(VLOOKUP($D81,素材!$1:$1016,COLUMN($F$1),FALSE), "・", 0)) + 1), 0)</f>
        <v>0</v>
      </c>
      <c r="AC81">
        <f>IF(ISNUMBER(SEARCH(SUBSTITUTE(AC$1,RIGHT(AC$1,2),""),VLOOKUP($D81,素材!$1:$1016,COLUMN($F$1),FALSE))),VLOOKUP($C81,武器!$1:$998,COLUMN($O$1),FALSE)*VLOOKUP($D81,素材!$1:$1016,COLUMN($E$1),FALSE)/(LEN(VLOOKUP($D81,素材!$1:$1016,COLUMN($F$1),FALSE)) - LEN(SUBSTITUTE(VLOOKUP($D81,素材!$1:$1016,COLUMN($F$1),FALSE), "・", 0)) + 1), 0)</f>
        <v>0</v>
      </c>
      <c r="AD81">
        <f>IF(ISNUMBER(SEARCH(SUBSTITUTE(AD$1,RIGHT(AD$1,2),""),VLOOKUP($D81,素材!$1:$1016,COLUMN($F$1),FALSE))),VLOOKUP($C81,武器!$1:$998,COLUMN($O$1),FALSE)*VLOOKUP($D81,素材!$1:$1016,COLUMN($E$1),FALSE)/(LEN(VLOOKUP($D81,素材!$1:$1016,COLUMN($F$1),FALSE)) - LEN(SUBSTITUTE(VLOOKUP($D81,素材!$1:$1016,COLUMN($F$1),FALSE), "・", 0)) + 1), 0)</f>
        <v>0</v>
      </c>
      <c r="AE81">
        <f>IF(ISNUMBER(SEARCH(SUBSTITUTE(AE$1,RIGHT(AE$1,2),""),VLOOKUP($D81,素材!$1:$1016,COLUMN($F$1),FALSE))),VLOOKUP($C81,武器!$1:$998,COLUMN($O$1),FALSE)*VLOOKUP($D81,素材!$1:$1016,COLUMN($E$1),FALSE)/(LEN(VLOOKUP($D81,素材!$1:$1016,COLUMN($F$1),FALSE)) - LEN(SUBSTITUTE(VLOOKUP($D81,素材!$1:$1016,COLUMN($F$1),FALSE), "・", 0)) + 1), 0)</f>
        <v>0</v>
      </c>
      <c r="AF81">
        <f>IF(ISNUMBER(SEARCH(SUBSTITUTE(AF$1,RIGHT(AF$1,2),""),VLOOKUP($D81,素材!$1:$1016,COLUMN($F$1),FALSE))),VLOOKUP($C81,武器!$1:$998,COLUMN($O$1),FALSE)*VLOOKUP($D81,素材!$1:$1016,COLUMN($E$1),FALSE)/(LEN(VLOOKUP($D81,素材!$1:$1016,COLUMN($F$1),FALSE)) - LEN(SUBSTITUTE(VLOOKUP($D81,素材!$1:$1016,COLUMN($F$1),FALSE), "・", 0)) + 1), 0)</f>
        <v>0</v>
      </c>
      <c r="AG81">
        <f>IF(ISNUMBER(SEARCH(SUBSTITUTE(AG$1,RIGHT(AG$1,2),""),VLOOKUP($D81,素材!$1:$1016,COLUMN($F$1),FALSE))),VLOOKUP($C81,武器!$1:$998,COLUMN($O$1),FALSE)*VLOOKUP($D81,素材!$1:$1016,COLUMN($E$1),FALSE)/(LEN(VLOOKUP($D81,素材!$1:$1016,COLUMN($F$1),FALSE)) - LEN(SUBSTITUTE(VLOOKUP($D81,素材!$1:$1016,COLUMN($F$1),FALSE), "・", 0)) + 1), 0)</f>
        <v>0</v>
      </c>
      <c r="AH81">
        <f>IF(ISNUMBER(SEARCH(SUBSTITUTE(AH$1,RIGHT(AH$1,2),""),VLOOKUP($D81,素材!$1:$1016,COLUMN($F$1),FALSE))),VLOOKUP($C81,武器!$1:$998,COLUMN($O$1),FALSE)*VLOOKUP($D81,素材!$1:$1016,COLUMN($E$1),FALSE)/(LEN(VLOOKUP($D81,素材!$1:$1016,COLUMN($F$1),FALSE)) - LEN(SUBSTITUTE(VLOOKUP($D81,素材!$1:$1016,COLUMN($F$1),FALSE), "・", 0)) + 1), 0)</f>
        <v>0</v>
      </c>
      <c r="AI81">
        <f>IF(ISNUMBER(SEARCH(SUBSTITUTE(AI$1,RIGHT(AI$1,2),""),VLOOKUP($D81,素材!$1:$1016,COLUMN($F$1),FALSE))),VLOOKUP($C81,武器!$1:$998,COLUMN($O$1),FALSE)*VLOOKUP($D81,素材!$1:$1016,COLUMN($E$1),FALSE)/(LEN(VLOOKUP($D81,素材!$1:$1016,COLUMN($F$1),FALSE)) - LEN(SUBSTITUTE(VLOOKUP($D81,素材!$1:$1016,COLUMN($F$1),FALSE), "・", 0)) + 1), 0)</f>
        <v>0</v>
      </c>
      <c r="AJ81">
        <f>IF(ISNUMBER(SEARCH(SUBSTITUTE(AJ$1,RIGHT(AJ$1,2),""),VLOOKUP($D81,素材!$1:$1016,COLUMN($F$1),FALSE))),VLOOKUP($C81,武器!$1:$998,COLUMN($O$1),FALSE)*VLOOKUP($D81,素材!$1:$1016,COLUMN($E$1),FALSE)/(LEN(VLOOKUP($D81,素材!$1:$1016,COLUMN($F$1),FALSE)) - LEN(SUBSTITUTE(VLOOKUP($D81,素材!$1:$1016,COLUMN($F$1),FALSE), "・", 0)) + 1), 0)</f>
        <v>0</v>
      </c>
      <c r="AK81">
        <f>IF(ISNUMBER(SEARCH(SUBSTITUTE(AK$1,RIGHT(AK$1,2),""),VLOOKUP($D81,素材!$1:$1016,COLUMN($F$1),FALSE))),VLOOKUP($C81,武器!$1:$998,COLUMN($O$1),FALSE)*VLOOKUP($D81,素材!$1:$1016,COLUMN($E$1),FALSE)/(LEN(VLOOKUP($D81,素材!$1:$1016,COLUMN($F$1),FALSE)) - LEN(SUBSTITUTE(VLOOKUP($D81,素材!$1:$1016,COLUMN($F$1),FALSE), "・", 0)) + 1), 0)</f>
        <v>0</v>
      </c>
      <c r="AL81">
        <f>IF(ISNUMBER(SEARCH(SUBSTITUTE(AL$1,RIGHT(AL$1,2),""),VLOOKUP($D81,素材!$1:$1016,COLUMN($F$1),FALSE))),VLOOKUP($C81,武器!$1:$998,COLUMN($O$1),FALSE)*VLOOKUP($D81,素材!$1:$1016,COLUMN($E$1),FALSE)/(LEN(VLOOKUP($D81,素材!$1:$1016,COLUMN($F$1),FALSE)) - LEN(SUBSTITUTE(VLOOKUP($D81,素材!$1:$1016,COLUMN($F$1),FALSE), "・", 0)) + 1), 0)</f>
        <v>0</v>
      </c>
      <c r="AM81">
        <f>IF(ISNUMBER(SEARCH(SUBSTITUTE(AM$1,RIGHT(AM$1,2),""),VLOOKUP($D81,素材!$1:$1016,COLUMN($F$1),FALSE))),VLOOKUP($C81,武器!$1:$998,COLUMN($O$1),FALSE)*VLOOKUP($D81,素材!$1:$1016,COLUMN($E$1),FALSE)/(LEN(VLOOKUP($D81,素材!$1:$1016,COLUMN($F$1),FALSE)) - LEN(SUBSTITUTE(VLOOKUP($D81,素材!$1:$1016,COLUMN($F$1),FALSE), "・", 0)) + 1), 0)</f>
        <v>0</v>
      </c>
      <c r="AN81">
        <f>IF(ISNUMBER(SEARCH(SUBSTITUTE(AN$1,RIGHT(AN$1,2),""),VLOOKUP($D81,素材!$1:$1016,COLUMN($F$1),FALSE))),VLOOKUP($C81,武器!$1:$998,COLUMN($O$1),FALSE)*VLOOKUP($D81,素材!$1:$1016,COLUMN($E$1),FALSE)/(LEN(VLOOKUP($D81,素材!$1:$1016,COLUMN($F$1),FALSE)) - LEN(SUBSTITUTE(VLOOKUP($D81,素材!$1:$1016,COLUMN($F$1),FALSE), "・", 0)) + 1), 0)</f>
        <v>0</v>
      </c>
      <c r="AO81">
        <f>IF(ISNUMBER(SEARCH(SUBSTITUTE(AO$1,RIGHT(AO$1,2),""),VLOOKUP($D81,素材!$1:$1016,COLUMN($F$1),FALSE))),VLOOKUP($C81,武器!$1:$998,COLUMN($O$1),FALSE)*VLOOKUP($D81,素材!$1:$1016,COLUMN($E$1),FALSE)/(LEN(VLOOKUP($D81,素材!$1:$1016,COLUMN($F$1),FALSE)) - LEN(SUBSTITUTE(VLOOKUP($D81,素材!$1:$1016,COLUMN($F$1),FALSE), "・", 0)) + 1), 0)</f>
        <v>0</v>
      </c>
      <c r="AP81">
        <f>IF(ISNUMBER(SEARCH(SUBSTITUTE(AP$1,RIGHT(AP$1,2),""),VLOOKUP($D81,素材!$1:$1016,COLUMN($F$1),FALSE))),VLOOKUP($C81,武器!$1:$998,COLUMN($O$1),FALSE)*VLOOKUP($D81,素材!$1:$1016,COLUMN($E$1),FALSE)/(LEN(VLOOKUP($D81,素材!$1:$1016,COLUMN($F$1),FALSE)) - LEN(SUBSTITUTE(VLOOKUP($D81,素材!$1:$1016,COLUMN($F$1),FALSE), "・", 0)) + 1), 0)</f>
        <v>0</v>
      </c>
      <c r="AQ81">
        <f>IF(ISNUMBER(SEARCH(SUBSTITUTE(AQ$1,RIGHT(AQ$1,2),""),VLOOKUP($D81,素材!$1:$1016,COLUMN($F$1),FALSE))),VLOOKUP($C81,武器!$1:$998,COLUMN($O$1),FALSE)*VLOOKUP($D81,素材!$1:$1016,COLUMN($E$1),FALSE)/(LEN(VLOOKUP($D81,素材!$1:$1016,COLUMN($F$1),FALSE)) - LEN(SUBSTITUTE(VLOOKUP($D81,素材!$1:$1016,COLUMN($F$1),FALSE), "・", 0)) + 1), 0)</f>
        <v>0</v>
      </c>
      <c r="AR81">
        <f>IF(ISNUMBER(SEARCH(SUBSTITUTE(AR$1,RIGHT(AR$1,2),""),VLOOKUP($D81,素材!$1:$1016,COLUMN($F$1),FALSE))),VLOOKUP($C81,武器!$1:$998,COLUMN($O$1),FALSE)*VLOOKUP($D81,素材!$1:$1016,COLUMN($E$1),FALSE)/(LEN(VLOOKUP($D81,素材!$1:$1016,COLUMN($F$1),FALSE)) - LEN(SUBSTITUTE(VLOOKUP($D81,素材!$1:$1016,COLUMN($F$1),FALSE), "・", 0)) + 1), 0)</f>
        <v>0</v>
      </c>
      <c r="AS81">
        <f>IF(ISNUMBER(SEARCH(SUBSTITUTE(AS$1,RIGHT(AS$1,2),""),VLOOKUP($D81,素材!$1:$1016,COLUMN($F$1),FALSE))),VLOOKUP($C81,武器!$1:$998,COLUMN($O$1),FALSE)*VLOOKUP($D81,素材!$1:$1016,COLUMN($E$1),FALSE)/(LEN(VLOOKUP($D81,素材!$1:$1016,COLUMN($F$1),FALSE)) - LEN(SUBSTITUTE(VLOOKUP($D81,素材!$1:$1016,COLUMN($F$1),FALSE), "・", 0)) + 1), 0)</f>
        <v>0</v>
      </c>
      <c r="AT81">
        <f>IF(ISNUMBER(SEARCH(SUBSTITUTE(AT$1,RIGHT(AT$1,2),""),VLOOKUP($D81,素材!$1:$1016,COLUMN($F$1),FALSE))),VLOOKUP($C81,武器!$1:$998,COLUMN($O$1),FALSE)*VLOOKUP($D81,素材!$1:$1016,COLUMN($E$1),FALSE)/(LEN(VLOOKUP($D81,素材!$1:$1016,COLUMN($F$1),FALSE)) - LEN(SUBSTITUTE(VLOOKUP($D81,素材!$1:$1016,COLUMN($F$1),FALSE), "・", 0)) + 1), 0)</f>
        <v>0</v>
      </c>
      <c r="AU81">
        <f>IF(ISNUMBER(SEARCH(SUBSTITUTE(AU$1,RIGHT(AU$1,2),""),VLOOKUP($D81,素材!$1:$1016,COLUMN($F$1),FALSE))),VLOOKUP($C81,武器!$1:$998,COLUMN($O$1),FALSE)*VLOOKUP($D81,素材!$1:$1016,COLUMN($E$1),FALSE)/(LEN(VLOOKUP($D81,素材!$1:$1016,COLUMN($F$1),FALSE)) - LEN(SUBSTITUTE(VLOOKUP($D81,素材!$1:$1016,COLUMN($F$1),FALSE), "・", 0)) + 1), 0)</f>
        <v>0</v>
      </c>
      <c r="AV81">
        <f>IF(ISNUMBER(SEARCH(SUBSTITUTE(AV$1,RIGHT(AV$1,2),""),VLOOKUP($D81,素材!$1:$1016,COLUMN($F$1),FALSE))),VLOOKUP($C81,武器!$1:$998,COLUMN($O$1),FALSE)*VLOOKUP($D81,素材!$1:$1016,COLUMN($E$1),FALSE)/(LEN(VLOOKUP($D81,素材!$1:$1016,COLUMN($F$1),FALSE)) - LEN(SUBSTITUTE(VLOOKUP($D81,素材!$1:$1016,COLUMN($F$1),FALSE), "・", 0)) + 1), 0)</f>
        <v>0</v>
      </c>
      <c r="AW81">
        <f>IF(ISNUMBER(SEARCH(SUBSTITUTE(AW$1,RIGHT(AW$1,2),""),VLOOKUP($D81,素材!$1:$1016,COLUMN($F$1),FALSE))),VLOOKUP($C81,武器!$1:$998,COLUMN($O$1),FALSE)*VLOOKUP($D81,素材!$1:$1016,COLUMN($E$1),FALSE)/(LEN(VLOOKUP($D81,素材!$1:$1016,COLUMN($F$1),FALSE)) - LEN(SUBSTITUTE(VLOOKUP($D81,素材!$1:$1016,COLUMN($F$1),FALSE), "・", 0)) + 1), 0)</f>
        <v>0</v>
      </c>
      <c r="AX81">
        <f>IF(ISNUMBER(SEARCH(SUBSTITUTE(AX$1,RIGHT(AX$1,2),""),VLOOKUP($D81,素材!$1:$1016,COLUMN($F$1),FALSE))),VLOOKUP($C81,武器!$1:$998,COLUMN($O$1),FALSE)*VLOOKUP($D81,素材!$1:$1016,COLUMN($E$1),FALSE)/(LEN(VLOOKUP($D81,素材!$1:$1016,COLUMN($F$1),FALSE)) - LEN(SUBSTITUTE(VLOOKUP($D81,素材!$1:$1016,COLUMN($F$1),FALSE), "・", 0)) + 1), 0)</f>
        <v>0</v>
      </c>
      <c r="AY81">
        <f>IF(ISNUMBER(SEARCH(SUBSTITUTE(AY$1,RIGHT(AY$1,2),""),VLOOKUP($D81,素材!$1:$1016,COLUMN($F$1),FALSE))),VLOOKUP($C81,武器!$1:$998,COLUMN($O$1),FALSE)*VLOOKUP($D81,素材!$1:$1016,COLUMN($E$1),FALSE)/(LEN(VLOOKUP($D81,素材!$1:$1016,COLUMN($F$1),FALSE)) - LEN(SUBSTITUTE(VLOOKUP($D81,素材!$1:$1016,COLUMN($F$1),FALSE), "・", 0)) + 1), 0)</f>
        <v>0</v>
      </c>
      <c r="AZ81">
        <f>IF(ISNUMBER(SEARCH(SUBSTITUTE(AZ$1,RIGHT(AZ$1,2),""),VLOOKUP($D81,素材!$1:$1016,COLUMN($F$1),FALSE))),VLOOKUP($C81,武器!$1:$998,COLUMN($O$1),FALSE)*VLOOKUP($D81,素材!$1:$1016,COLUMN($E$1),FALSE)/(LEN(VLOOKUP($D81,素材!$1:$1016,COLUMN($F$1),FALSE)) - LEN(SUBSTITUTE(VLOOKUP($D81,素材!$1:$1016,COLUMN($F$1),FALSE), "・", 0)) + 1), 0)</f>
        <v>0</v>
      </c>
      <c r="BA81">
        <f>IF(ISNUMBER(SEARCH(SUBSTITUTE(BA$1,RIGHT(BA$1,2),""),VLOOKUP($D81,素材!$1:$1016,COLUMN($F$1),FALSE))),VLOOKUP($C81,武器!$1:$998,COLUMN($O$1),FALSE)*VLOOKUP($D81,素材!$1:$1016,COLUMN($E$1),FALSE)/(LEN(VLOOKUP($D81,素材!$1:$1016,COLUMN($F$1),FALSE)) - LEN(SUBSTITUTE(VLOOKUP($D81,素材!$1:$1016,COLUMN($F$1),FALSE), "・", 0)) + 1), 0)</f>
        <v>0</v>
      </c>
      <c r="BB81">
        <f>IF(ISNUMBER(SEARCH(SUBSTITUTE(BB$1,RIGHT(BB$1,2),""),VLOOKUP($D81,素材!$1:$1016,COLUMN($F$1),FALSE))),VLOOKUP($C81,武器!$1:$998,COLUMN($O$1),FALSE)*VLOOKUP($D81,素材!$1:$1016,COLUMN($E$1),FALSE)/(LEN(VLOOKUP($D81,素材!$1:$1016,COLUMN($F$1),FALSE)) - LEN(SUBSTITUTE(VLOOKUP($D81,素材!$1:$1016,COLUMN($F$1),FALSE), "・", 0)) + 1), 0)</f>
        <v>0</v>
      </c>
      <c r="BC81">
        <f>IF(ISNUMBER(SEARCH(SUBSTITUTE(BC$1,RIGHT(BC$1,2),""),VLOOKUP($D81,素材!$1:$1016,COLUMN($F$1),FALSE))),VLOOKUP($C81,武器!$1:$998,COLUMN($O$1),FALSE)*VLOOKUP($D81,素材!$1:$1016,COLUMN($E$1),FALSE)/(LEN(VLOOKUP($D81,素材!$1:$1016,COLUMN($F$1),FALSE)) - LEN(SUBSTITUTE(VLOOKUP($D81,素材!$1:$1016,COLUMN($F$1),FALSE), "・", 0)) + 1), 0)</f>
        <v>0</v>
      </c>
      <c r="BD81">
        <f>IF(ISNUMBER(SEARCH(SUBSTITUTE(BD$1,RIGHT(BD$1,2),""),VLOOKUP($D81,素材!$1:$1016,COLUMN($F$1),FALSE))),VLOOKUP($C81,武器!$1:$998,COLUMN($O$1),FALSE)*VLOOKUP($D81,素材!$1:$1016,COLUMN($E$1),FALSE)/(LEN(VLOOKUP($D81,素材!$1:$1016,COLUMN($F$1),FALSE)) - LEN(SUBSTITUTE(VLOOKUP($D81,素材!$1:$1016,COLUMN($F$1),FALSE), "・", 0)) + 1), 0)</f>
        <v>0</v>
      </c>
      <c r="BE81">
        <f>IF(ISNUMBER(SEARCH(SUBSTITUTE(BE$1,RIGHT(BE$1,2),""),VLOOKUP($D81,素材!$1:$1016,COLUMN($F$1),FALSE))),VLOOKUP($C81,武器!$1:$998,COLUMN($O$1),FALSE)*VLOOKUP($D81,素材!$1:$1016,COLUMN($E$1),FALSE)/(LEN(VLOOKUP($D81,素材!$1:$1016,COLUMN($F$1),FALSE)) - LEN(SUBSTITUTE(VLOOKUP($D81,素材!$1:$1016,COLUMN($F$1),FALSE), "・", 0)) + 1), 0)</f>
        <v>0</v>
      </c>
      <c r="CL81">
        <f>SUM(G81:I81)</f>
        <v>30</v>
      </c>
      <c r="CM81" s="22" t="str">
        <f>IF(E81="武器",IF(J81-1&gt;SUM(G81:I81),"盾",IF(MAX(G81:I81)=G81,"切断",IF(MAX(G81:I81)=H81,"貫通",IF(MAX(G81:I81)=I81,"打撃","射撃")))),E81)&amp;".webp"</f>
        <v>切断.webp</v>
      </c>
      <c r="CN81">
        <f>IFERROR(VLOOKUP($C81,武器!$1:$998,COLUMN(V$1),FALSE)*VLOOKUP($D81,素材!$1:$1016,COLUMN(N$1),FALSE)+IF(CI81="",0,VLOOKUP($CI81,装強!$1:$1008,COLUMN($CK$1),FALSE)),"")</f>
        <v>900</v>
      </c>
      <c r="CO81" t="str">
        <f>VLOOKUP(D81,素材!$A:$O,COLUMN(素材!O$1),FALSE)</f>
        <v>鍛えられた鉄。硬度が高く安価なためよく使用される。</v>
      </c>
      <c r="CP81" t="str">
        <f>VLOOKUP(C81,武器!$A:$W,COLUMN(武器!W$1),FALSE)</f>
        <v>幅の広い剣。扱いにくいが攻撃と防御にも優れている。状況に合わせて立ち回ろう。</v>
      </c>
      <c r="CR81" t="str">
        <f t="shared" si="5"/>
        <v>e_81</v>
      </c>
      <c r="CS81">
        <f t="shared" si="6"/>
        <v>90000</v>
      </c>
    </row>
    <row r="82" spans="1:97" outlineLevel="1" x14ac:dyDescent="0.4">
      <c r="A82" t="str">
        <f t="shared" si="4"/>
        <v>鋼の長剣</v>
      </c>
      <c r="B82" t="str">
        <f>IFERROR(VLOOKUP($D82,素材!$1:$1016,COLUMN($B$1),FALSE)&amp;"・"&amp;VLOOKUP($C82,武器!$1:$998,COLUMN(B$1),FALSE),"")</f>
        <v>スチール・ロングソード</v>
      </c>
      <c r="C82" s="24" t="s">
        <v>238</v>
      </c>
      <c r="D82" s="24" t="s">
        <v>253</v>
      </c>
      <c r="E82" t="str">
        <f>IFERROR(VLOOKUP(C82,武器!$1:$998,COLUMN(C$1),FALSE),"")</f>
        <v>武器</v>
      </c>
      <c r="F82">
        <f>IFERROR(ROUNDDOWN((VLOOKUP($C82,武器!$1:$998,COLUMN(D$1),FALSE)+IFERROR(VLOOKUP($CI82,装強!$1:$999,COLUMN(F$1),FALSE),0))*VLOOKUP($D82,素材!$1:$1016,COLUMN(D$1),FALSE),0),"")</f>
        <v>120</v>
      </c>
      <c r="G82">
        <f>IFERROR(ROUNDDOWN((VLOOKUP($C82,武器!$1:$998,COLUMN(E$1),FALSE)+IFERROR(VLOOKUP($CI82,装強!$1:$999,COLUMN(G$1),FALSE),0))*VLOOKUP($D82,素材!$1:$1016,COLUMN($E$1),FALSE),0),"")</f>
        <v>20</v>
      </c>
      <c r="H82">
        <f>IFERROR(ROUNDDOWN((VLOOKUP($C82,武器!$1:$998,COLUMN(F$1),FALSE)+IFERROR(VLOOKUP($CI82,装強!$1:$999,COLUMN(H$1),FALSE),0))*VLOOKUP($D82,素材!$1:$1016,COLUMN($E$1),FALSE),0),"")</f>
        <v>12</v>
      </c>
      <c r="I82">
        <f>IFERROR(ROUNDDOWN((VLOOKUP($C82,武器!$1:$998,COLUMN(G$1),FALSE)+IFERROR(VLOOKUP($CI82,装強!$1:$999,COLUMN(I$1),FALSE),0))*VLOOKUP($D82,素材!$1:$1016,COLUMN($E$1),FALSE),0),"")</f>
        <v>4</v>
      </c>
      <c r="J82">
        <f>IFERROR(ROUNDDOWN((VLOOKUP($C82,武器!$1:$998,COLUMN(H$1),FALSE)+IFERROR(VLOOKUP($CI82,装強!$1:$999,COLUMN(J$1),FALSE),0))*VLOOKUP($D82,素材!$1:$1016,COLUMN($E$1),FALSE),0),"")</f>
        <v>27</v>
      </c>
      <c r="K82">
        <f>IFERROR(ROUNDDOWN((VLOOKUP($C82,武器!$1:$998,COLUMN(I$1),FALSE)+IFERROR(VLOOKUP($CI82,装強!$1:$999,COLUMN(K$1),FALSE),0))*VLOOKUP($D82,素材!$1:$1016,COLUMN($E$1),FALSE),0),"")</f>
        <v>0</v>
      </c>
      <c r="L82">
        <f>IFERROR(VLOOKUP($D82,素材!$1:$1016,COLUMN($F$1),FALSE),"")</f>
        <v>0</v>
      </c>
      <c r="M82">
        <f>IFERROR(VLOOKUP($C82,武器!$1:$998,COLUMN(AA$1),FALSE)*VLOOKUP($D82,素材!$1:$1016,COLUMN($G$1),FALSE),"")</f>
        <v>0</v>
      </c>
      <c r="N82">
        <f>IFERROR(VLOOKUP($C82,武器!$1:$998,COLUMN(I$1),FALSE),"")</f>
        <v>0</v>
      </c>
      <c r="O82" s="23">
        <f>IFERROR((VLOOKUP($C82,武器!$1:$998,COLUMN(K$1),FALSE)+VLOOKUP($D82,素材!$1:$1016,COLUMN(H$1),FALSE))*100+IFERROR(VLOOKUP($CI82,装強!$1:$999,COLUMN(O$1),FALSE),0),"")</f>
        <v>10</v>
      </c>
      <c r="P82" s="23">
        <f>IFERROR((VLOOKUP($C82,武器!$1:$998,COLUMN(L$1),FALSE)+VLOOKUP($D82,素材!$1:$1016,COLUMN(I$1),FALSE))*100+IFERROR(VLOOKUP($CI82,装強!$1:$999,COLUMN(P$1),FALSE),0),"")</f>
        <v>150</v>
      </c>
      <c r="Q82">
        <f>IFERROR(ROUNDUP(VLOOKUP($C82,武器!$1:$998,COLUMN(M$1),FALSE)*(VLOOKUP($D82,素材!$1:$1002,COLUMN(D$1),FALSE)/100),1),"")</f>
        <v>-2.7</v>
      </c>
      <c r="R82">
        <f>IFERROR(ROUNDUP(VLOOKUP($C82,武器!$1:$998,COLUMN(N$1),FALSE)*(VLOOKUP($D82,素材!$1:$1002,COLUMN(D$1),FALSE)/100),1),"")</f>
        <v>-2.7</v>
      </c>
      <c r="S82">
        <f>IFERROR(VLOOKUP($C82,武器!$1:$998,COLUMN(P$1),FALSE),"")</f>
        <v>0</v>
      </c>
      <c r="T82">
        <f>IFERROR(VLOOKUP($C82,武器!$1:$998,COLUMN(Q$1),FALSE),"")</f>
        <v>0</v>
      </c>
      <c r="U82">
        <f>IFERROR(VLOOKUP($C82,武器!$1:$998,COLUMN(R$1),FALSE),"")</f>
        <v>0</v>
      </c>
      <c r="V82">
        <f>IFERROR(VLOOKUP($C82,武器!$1:$998,COLUMN(Q$1),FALSE),"")</f>
        <v>0</v>
      </c>
      <c r="W82" t="str">
        <f>IFERROR(VLOOKUP($C82,武器!$1:$998,COLUMN(T$1),FALSE),"")</f>
        <v>A</v>
      </c>
      <c r="Y82">
        <f>IFERROR(VLOOKUP($C82,武器!$1:$998,COLUMN(U$1),FALSE),"")</f>
        <v>0</v>
      </c>
      <c r="Z82">
        <f>IFERROR(ROUNDUP(VLOOKUP($C82,武器!$1:$998,COLUMN(O$1),FALSE)*VLOOKUP($D82,素材!$1:$1016,COLUMN(E$1),FALSE),1),"")</f>
        <v>0</v>
      </c>
      <c r="AA82">
        <f>IF(ISNUMBER(SEARCH(SUBSTITUTE(AA$1,RIGHT(AA$1,2),""),VLOOKUP($D82,素材!$1:$1016,COLUMN($F$1),FALSE))),VLOOKUP($C82,武器!$1:$998,COLUMN($O$1),FALSE)*VLOOKUP($D82,素材!$1:$1016,COLUMN($E$1),FALSE)/(LEN(VLOOKUP($D82,素材!$1:$1016,COLUMN($F$1),FALSE)) - LEN(SUBSTITUTE(VLOOKUP($D82,素材!$1:$1016,COLUMN($F$1),FALSE), "・", 0)) + 1), 0)</f>
        <v>0</v>
      </c>
      <c r="AB82">
        <f>IF(ISNUMBER(SEARCH(SUBSTITUTE(AB$1,RIGHT(AB$1,2),""),VLOOKUP($D82,素材!$1:$1016,COLUMN($F$1),FALSE))),VLOOKUP($C82,武器!$1:$998,COLUMN($O$1),FALSE)*VLOOKUP($D82,素材!$1:$1016,COLUMN($E$1),FALSE)/(LEN(VLOOKUP($D82,素材!$1:$1016,COLUMN($F$1),FALSE)) - LEN(SUBSTITUTE(VLOOKUP($D82,素材!$1:$1016,COLUMN($F$1),FALSE), "・", 0)) + 1), 0)</f>
        <v>0</v>
      </c>
      <c r="AC82">
        <f>IF(ISNUMBER(SEARCH(SUBSTITUTE(AC$1,RIGHT(AC$1,2),""),VLOOKUP($D82,素材!$1:$1016,COLUMN($F$1),FALSE))),VLOOKUP($C82,武器!$1:$998,COLUMN($O$1),FALSE)*VLOOKUP($D82,素材!$1:$1016,COLUMN($E$1),FALSE)/(LEN(VLOOKUP($D82,素材!$1:$1016,COLUMN($F$1),FALSE)) - LEN(SUBSTITUTE(VLOOKUP($D82,素材!$1:$1016,COLUMN($F$1),FALSE), "・", 0)) + 1), 0)</f>
        <v>0</v>
      </c>
      <c r="AD82">
        <f>IF(ISNUMBER(SEARCH(SUBSTITUTE(AD$1,RIGHT(AD$1,2),""),VLOOKUP($D82,素材!$1:$1016,COLUMN($F$1),FALSE))),VLOOKUP($C82,武器!$1:$998,COLUMN($O$1),FALSE)*VLOOKUP($D82,素材!$1:$1016,COLUMN($E$1),FALSE)/(LEN(VLOOKUP($D82,素材!$1:$1016,COLUMN($F$1),FALSE)) - LEN(SUBSTITUTE(VLOOKUP($D82,素材!$1:$1016,COLUMN($F$1),FALSE), "・", 0)) + 1), 0)</f>
        <v>0</v>
      </c>
      <c r="AE82">
        <f>IF(ISNUMBER(SEARCH(SUBSTITUTE(AE$1,RIGHT(AE$1,2),""),VLOOKUP($D82,素材!$1:$1016,COLUMN($F$1),FALSE))),VLOOKUP($C82,武器!$1:$998,COLUMN($O$1),FALSE)*VLOOKUP($D82,素材!$1:$1016,COLUMN($E$1),FALSE)/(LEN(VLOOKUP($D82,素材!$1:$1016,COLUMN($F$1),FALSE)) - LEN(SUBSTITUTE(VLOOKUP($D82,素材!$1:$1016,COLUMN($F$1),FALSE), "・", 0)) + 1), 0)</f>
        <v>0</v>
      </c>
      <c r="AF82">
        <f>IF(ISNUMBER(SEARCH(SUBSTITUTE(AF$1,RIGHT(AF$1,2),""),VLOOKUP($D82,素材!$1:$1016,COLUMN($F$1),FALSE))),VLOOKUP($C82,武器!$1:$998,COLUMN($O$1),FALSE)*VLOOKUP($D82,素材!$1:$1016,COLUMN($E$1),FALSE)/(LEN(VLOOKUP($D82,素材!$1:$1016,COLUMN($F$1),FALSE)) - LEN(SUBSTITUTE(VLOOKUP($D82,素材!$1:$1016,COLUMN($F$1),FALSE), "・", 0)) + 1), 0)</f>
        <v>0</v>
      </c>
      <c r="AG82">
        <f>IF(ISNUMBER(SEARCH(SUBSTITUTE(AG$1,RIGHT(AG$1,2),""),VLOOKUP($D82,素材!$1:$1016,COLUMN($F$1),FALSE))),VLOOKUP($C82,武器!$1:$998,COLUMN($O$1),FALSE)*VLOOKUP($D82,素材!$1:$1016,COLUMN($E$1),FALSE)/(LEN(VLOOKUP($D82,素材!$1:$1016,COLUMN($F$1),FALSE)) - LEN(SUBSTITUTE(VLOOKUP($D82,素材!$1:$1016,COLUMN($F$1),FALSE), "・", 0)) + 1), 0)</f>
        <v>0</v>
      </c>
      <c r="AH82">
        <f>IF(ISNUMBER(SEARCH(SUBSTITUTE(AH$1,RIGHT(AH$1,2),""),VLOOKUP($D82,素材!$1:$1016,COLUMN($F$1),FALSE))),VLOOKUP($C82,武器!$1:$998,COLUMN($O$1),FALSE)*VLOOKUP($D82,素材!$1:$1016,COLUMN($E$1),FALSE)/(LEN(VLOOKUP($D82,素材!$1:$1016,COLUMN($F$1),FALSE)) - LEN(SUBSTITUTE(VLOOKUP($D82,素材!$1:$1016,COLUMN($F$1),FALSE), "・", 0)) + 1), 0)</f>
        <v>0</v>
      </c>
      <c r="AI82">
        <f>IF(ISNUMBER(SEARCH(SUBSTITUTE(AI$1,RIGHT(AI$1,2),""),VLOOKUP($D82,素材!$1:$1016,COLUMN($F$1),FALSE))),VLOOKUP($C82,武器!$1:$998,COLUMN($O$1),FALSE)*VLOOKUP($D82,素材!$1:$1016,COLUMN($E$1),FALSE)/(LEN(VLOOKUP($D82,素材!$1:$1016,COLUMN($F$1),FALSE)) - LEN(SUBSTITUTE(VLOOKUP($D82,素材!$1:$1016,COLUMN($F$1),FALSE), "・", 0)) + 1), 0)</f>
        <v>0</v>
      </c>
      <c r="AJ82">
        <f>IF(ISNUMBER(SEARCH(SUBSTITUTE(AJ$1,RIGHT(AJ$1,2),""),VLOOKUP($D82,素材!$1:$1016,COLUMN($F$1),FALSE))),VLOOKUP($C82,武器!$1:$998,COLUMN($O$1),FALSE)*VLOOKUP($D82,素材!$1:$1016,COLUMN($E$1),FALSE)/(LEN(VLOOKUP($D82,素材!$1:$1016,COLUMN($F$1),FALSE)) - LEN(SUBSTITUTE(VLOOKUP($D82,素材!$1:$1016,COLUMN($F$1),FALSE), "・", 0)) + 1), 0)</f>
        <v>0</v>
      </c>
      <c r="AK82">
        <f>IF(ISNUMBER(SEARCH(SUBSTITUTE(AK$1,RIGHT(AK$1,2),""),VLOOKUP($D82,素材!$1:$1016,COLUMN($F$1),FALSE))),VLOOKUP($C82,武器!$1:$998,COLUMN($O$1),FALSE)*VLOOKUP($D82,素材!$1:$1016,COLUMN($E$1),FALSE)/(LEN(VLOOKUP($D82,素材!$1:$1016,COLUMN($F$1),FALSE)) - LEN(SUBSTITUTE(VLOOKUP($D82,素材!$1:$1016,COLUMN($F$1),FALSE), "・", 0)) + 1), 0)</f>
        <v>0</v>
      </c>
      <c r="AL82">
        <f>IF(ISNUMBER(SEARCH(SUBSTITUTE(AL$1,RIGHT(AL$1,2),""),VLOOKUP($D82,素材!$1:$1016,COLUMN($F$1),FALSE))),VLOOKUP($C82,武器!$1:$998,COLUMN($O$1),FALSE)*VLOOKUP($D82,素材!$1:$1016,COLUMN($E$1),FALSE)/(LEN(VLOOKUP($D82,素材!$1:$1016,COLUMN($F$1),FALSE)) - LEN(SUBSTITUTE(VLOOKUP($D82,素材!$1:$1016,COLUMN($F$1),FALSE), "・", 0)) + 1), 0)</f>
        <v>0</v>
      </c>
      <c r="AM82">
        <f>IF(ISNUMBER(SEARCH(SUBSTITUTE(AM$1,RIGHT(AM$1,2),""),VLOOKUP($D82,素材!$1:$1016,COLUMN($F$1),FALSE))),VLOOKUP($C82,武器!$1:$998,COLUMN($O$1),FALSE)*VLOOKUP($D82,素材!$1:$1016,COLUMN($E$1),FALSE)/(LEN(VLOOKUP($D82,素材!$1:$1016,COLUMN($F$1),FALSE)) - LEN(SUBSTITUTE(VLOOKUP($D82,素材!$1:$1016,COLUMN($F$1),FALSE), "・", 0)) + 1), 0)</f>
        <v>0</v>
      </c>
      <c r="AN82">
        <f>IF(ISNUMBER(SEARCH(SUBSTITUTE(AN$1,RIGHT(AN$1,2),""),VLOOKUP($D82,素材!$1:$1016,COLUMN($F$1),FALSE))),VLOOKUP($C82,武器!$1:$998,COLUMN($O$1),FALSE)*VLOOKUP($D82,素材!$1:$1016,COLUMN($E$1),FALSE)/(LEN(VLOOKUP($D82,素材!$1:$1016,COLUMN($F$1),FALSE)) - LEN(SUBSTITUTE(VLOOKUP($D82,素材!$1:$1016,COLUMN($F$1),FALSE), "・", 0)) + 1), 0)</f>
        <v>0</v>
      </c>
      <c r="AO82">
        <f>IF(ISNUMBER(SEARCH(SUBSTITUTE(AO$1,RIGHT(AO$1,2),""),VLOOKUP($D82,素材!$1:$1016,COLUMN($F$1),FALSE))),VLOOKUP($C82,武器!$1:$998,COLUMN($O$1),FALSE)*VLOOKUP($D82,素材!$1:$1016,COLUMN($E$1),FALSE)/(LEN(VLOOKUP($D82,素材!$1:$1016,COLUMN($F$1),FALSE)) - LEN(SUBSTITUTE(VLOOKUP($D82,素材!$1:$1016,COLUMN($F$1),FALSE), "・", 0)) + 1), 0)</f>
        <v>0</v>
      </c>
      <c r="AP82">
        <f>IF(ISNUMBER(SEARCH(SUBSTITUTE(AP$1,RIGHT(AP$1,2),""),VLOOKUP($D82,素材!$1:$1016,COLUMN($F$1),FALSE))),VLOOKUP($C82,武器!$1:$998,COLUMN($O$1),FALSE)*VLOOKUP($D82,素材!$1:$1016,COLUMN($E$1),FALSE)/(LEN(VLOOKUP($D82,素材!$1:$1016,COLUMN($F$1),FALSE)) - LEN(SUBSTITUTE(VLOOKUP($D82,素材!$1:$1016,COLUMN($F$1),FALSE), "・", 0)) + 1), 0)</f>
        <v>0</v>
      </c>
      <c r="AQ82">
        <f>IF(ISNUMBER(SEARCH(SUBSTITUTE(AQ$1,RIGHT(AQ$1,2),""),VLOOKUP($D82,素材!$1:$1016,COLUMN($F$1),FALSE))),VLOOKUP($C82,武器!$1:$998,COLUMN($O$1),FALSE)*VLOOKUP($D82,素材!$1:$1016,COLUMN($E$1),FALSE)/(LEN(VLOOKUP($D82,素材!$1:$1016,COLUMN($F$1),FALSE)) - LEN(SUBSTITUTE(VLOOKUP($D82,素材!$1:$1016,COLUMN($F$1),FALSE), "・", 0)) + 1), 0)</f>
        <v>0</v>
      </c>
      <c r="AR82">
        <f>IF(ISNUMBER(SEARCH(SUBSTITUTE(AR$1,RIGHT(AR$1,2),""),VLOOKUP($D82,素材!$1:$1016,COLUMN($F$1),FALSE))),VLOOKUP($C82,武器!$1:$998,COLUMN($O$1),FALSE)*VLOOKUP($D82,素材!$1:$1016,COLUMN($E$1),FALSE)/(LEN(VLOOKUP($D82,素材!$1:$1016,COLUMN($F$1),FALSE)) - LEN(SUBSTITUTE(VLOOKUP($D82,素材!$1:$1016,COLUMN($F$1),FALSE), "・", 0)) + 1), 0)</f>
        <v>0</v>
      </c>
      <c r="AS82">
        <f>IF(ISNUMBER(SEARCH(SUBSTITUTE(AS$1,RIGHT(AS$1,2),""),VLOOKUP($D82,素材!$1:$1016,COLUMN($F$1),FALSE))),VLOOKUP($C82,武器!$1:$998,COLUMN($O$1),FALSE)*VLOOKUP($D82,素材!$1:$1016,COLUMN($E$1),FALSE)/(LEN(VLOOKUP($D82,素材!$1:$1016,COLUMN($F$1),FALSE)) - LEN(SUBSTITUTE(VLOOKUP($D82,素材!$1:$1016,COLUMN($F$1),FALSE), "・", 0)) + 1), 0)</f>
        <v>0</v>
      </c>
      <c r="AT82">
        <f>IF(ISNUMBER(SEARCH(SUBSTITUTE(AT$1,RIGHT(AT$1,2),""),VLOOKUP($D82,素材!$1:$1016,COLUMN($F$1),FALSE))),VLOOKUP($C82,武器!$1:$998,COLUMN($O$1),FALSE)*VLOOKUP($D82,素材!$1:$1016,COLUMN($E$1),FALSE)/(LEN(VLOOKUP($D82,素材!$1:$1016,COLUMN($F$1),FALSE)) - LEN(SUBSTITUTE(VLOOKUP($D82,素材!$1:$1016,COLUMN($F$1),FALSE), "・", 0)) + 1), 0)</f>
        <v>0</v>
      </c>
      <c r="AU82">
        <f>IF(ISNUMBER(SEARCH(SUBSTITUTE(AU$1,RIGHT(AU$1,2),""),VLOOKUP($D82,素材!$1:$1016,COLUMN($F$1),FALSE))),VLOOKUP($C82,武器!$1:$998,COLUMN($O$1),FALSE)*VLOOKUP($D82,素材!$1:$1016,COLUMN($E$1),FALSE)/(LEN(VLOOKUP($D82,素材!$1:$1016,COLUMN($F$1),FALSE)) - LEN(SUBSTITUTE(VLOOKUP($D82,素材!$1:$1016,COLUMN($F$1),FALSE), "・", 0)) + 1), 0)</f>
        <v>0</v>
      </c>
      <c r="AV82">
        <f>IF(ISNUMBER(SEARCH(SUBSTITUTE(AV$1,RIGHT(AV$1,2),""),VLOOKUP($D82,素材!$1:$1016,COLUMN($F$1),FALSE))),VLOOKUP($C82,武器!$1:$998,COLUMN($O$1),FALSE)*VLOOKUP($D82,素材!$1:$1016,COLUMN($E$1),FALSE)/(LEN(VLOOKUP($D82,素材!$1:$1016,COLUMN($F$1),FALSE)) - LEN(SUBSTITUTE(VLOOKUP($D82,素材!$1:$1016,COLUMN($F$1),FALSE), "・", 0)) + 1), 0)</f>
        <v>0</v>
      </c>
      <c r="AW82">
        <f>IF(ISNUMBER(SEARCH(SUBSTITUTE(AW$1,RIGHT(AW$1,2),""),VLOOKUP($D82,素材!$1:$1016,COLUMN($F$1),FALSE))),VLOOKUP($C82,武器!$1:$998,COLUMN($O$1),FALSE)*VLOOKUP($D82,素材!$1:$1016,COLUMN($E$1),FALSE)/(LEN(VLOOKUP($D82,素材!$1:$1016,COLUMN($F$1),FALSE)) - LEN(SUBSTITUTE(VLOOKUP($D82,素材!$1:$1016,COLUMN($F$1),FALSE), "・", 0)) + 1), 0)</f>
        <v>0</v>
      </c>
      <c r="AX82">
        <f>IF(ISNUMBER(SEARCH(SUBSTITUTE(AX$1,RIGHT(AX$1,2),""),VLOOKUP($D82,素材!$1:$1016,COLUMN($F$1),FALSE))),VLOOKUP($C82,武器!$1:$998,COLUMN($O$1),FALSE)*VLOOKUP($D82,素材!$1:$1016,COLUMN($E$1),FALSE)/(LEN(VLOOKUP($D82,素材!$1:$1016,COLUMN($F$1),FALSE)) - LEN(SUBSTITUTE(VLOOKUP($D82,素材!$1:$1016,COLUMN($F$1),FALSE), "・", 0)) + 1), 0)</f>
        <v>0</v>
      </c>
      <c r="AY82">
        <f>IF(ISNUMBER(SEARCH(SUBSTITUTE(AY$1,RIGHT(AY$1,2),""),VLOOKUP($D82,素材!$1:$1016,COLUMN($F$1),FALSE))),VLOOKUP($C82,武器!$1:$998,COLUMN($O$1),FALSE)*VLOOKUP($D82,素材!$1:$1016,COLUMN($E$1),FALSE)/(LEN(VLOOKUP($D82,素材!$1:$1016,COLUMN($F$1),FALSE)) - LEN(SUBSTITUTE(VLOOKUP($D82,素材!$1:$1016,COLUMN($F$1),FALSE), "・", 0)) + 1), 0)</f>
        <v>0</v>
      </c>
      <c r="AZ82">
        <f>IF(ISNUMBER(SEARCH(SUBSTITUTE(AZ$1,RIGHT(AZ$1,2),""),VLOOKUP($D82,素材!$1:$1016,COLUMN($F$1),FALSE))),VLOOKUP($C82,武器!$1:$998,COLUMN($O$1),FALSE)*VLOOKUP($D82,素材!$1:$1016,COLUMN($E$1),FALSE)/(LEN(VLOOKUP($D82,素材!$1:$1016,COLUMN($F$1),FALSE)) - LEN(SUBSTITUTE(VLOOKUP($D82,素材!$1:$1016,COLUMN($F$1),FALSE), "・", 0)) + 1), 0)</f>
        <v>0</v>
      </c>
      <c r="BA82">
        <f>IF(ISNUMBER(SEARCH(SUBSTITUTE(BA$1,RIGHT(BA$1,2),""),VLOOKUP($D82,素材!$1:$1016,COLUMN($F$1),FALSE))),VLOOKUP($C82,武器!$1:$998,COLUMN($O$1),FALSE)*VLOOKUP($D82,素材!$1:$1016,COLUMN($E$1),FALSE)/(LEN(VLOOKUP($D82,素材!$1:$1016,COLUMN($F$1),FALSE)) - LEN(SUBSTITUTE(VLOOKUP($D82,素材!$1:$1016,COLUMN($F$1),FALSE), "・", 0)) + 1), 0)</f>
        <v>0</v>
      </c>
      <c r="BB82">
        <f>IF(ISNUMBER(SEARCH(SUBSTITUTE(BB$1,RIGHT(BB$1,2),""),VLOOKUP($D82,素材!$1:$1016,COLUMN($F$1),FALSE))),VLOOKUP($C82,武器!$1:$998,COLUMN($O$1),FALSE)*VLOOKUP($D82,素材!$1:$1016,COLUMN($E$1),FALSE)/(LEN(VLOOKUP($D82,素材!$1:$1016,COLUMN($F$1),FALSE)) - LEN(SUBSTITUTE(VLOOKUP($D82,素材!$1:$1016,COLUMN($F$1),FALSE), "・", 0)) + 1), 0)</f>
        <v>0</v>
      </c>
      <c r="BC82">
        <f>IF(ISNUMBER(SEARCH(SUBSTITUTE(BC$1,RIGHT(BC$1,2),""),VLOOKUP($D82,素材!$1:$1016,COLUMN($F$1),FALSE))),VLOOKUP($C82,武器!$1:$998,COLUMN($O$1),FALSE)*VLOOKUP($D82,素材!$1:$1016,COLUMN($E$1),FALSE)/(LEN(VLOOKUP($D82,素材!$1:$1016,COLUMN($F$1),FALSE)) - LEN(SUBSTITUTE(VLOOKUP($D82,素材!$1:$1016,COLUMN($F$1),FALSE), "・", 0)) + 1), 0)</f>
        <v>0</v>
      </c>
      <c r="BD82">
        <f>IF(ISNUMBER(SEARCH(SUBSTITUTE(BD$1,RIGHT(BD$1,2),""),VLOOKUP($D82,素材!$1:$1016,COLUMN($F$1),FALSE))),VLOOKUP($C82,武器!$1:$998,COLUMN($O$1),FALSE)*VLOOKUP($D82,素材!$1:$1016,COLUMN($E$1),FALSE)/(LEN(VLOOKUP($D82,素材!$1:$1016,COLUMN($F$1),FALSE)) - LEN(SUBSTITUTE(VLOOKUP($D82,素材!$1:$1016,COLUMN($F$1),FALSE), "・", 0)) + 1), 0)</f>
        <v>0</v>
      </c>
      <c r="BE82">
        <f>IF(ISNUMBER(SEARCH(SUBSTITUTE(BE$1,RIGHT(BE$1,2),""),VLOOKUP($D82,素材!$1:$1016,COLUMN($F$1),FALSE))),VLOOKUP($C82,武器!$1:$998,COLUMN($O$1),FALSE)*VLOOKUP($D82,素材!$1:$1016,COLUMN($E$1),FALSE)/(LEN(VLOOKUP($D82,素材!$1:$1016,COLUMN($F$1),FALSE)) - LEN(SUBSTITUTE(VLOOKUP($D82,素材!$1:$1016,COLUMN($F$1),FALSE), "・", 0)) + 1), 0)</f>
        <v>0</v>
      </c>
      <c r="CL82">
        <f>SUM(G82:I82)</f>
        <v>36</v>
      </c>
      <c r="CM82" s="22" t="str">
        <f>IF(E82="武器",IF(J82-1&gt;SUM(G82:I82),"盾",IF(MAX(G82:I82)=G82,"切断",IF(MAX(G82:I82)=H82,"貫通",IF(MAX(G82:I82)=I82,"打撃","射撃")))),E82)&amp;".webp"</f>
        <v>切断.webp</v>
      </c>
      <c r="CN82">
        <f>IFERROR(VLOOKUP($C82,武器!$1:$998,COLUMN(V$1),FALSE)*VLOOKUP($D82,素材!$1:$1016,COLUMN(N$1),FALSE)+IF(CI82="",0,VLOOKUP($CI82,装強!$1:$1008,COLUMN($CK$1),FALSE)),"")</f>
        <v>900</v>
      </c>
      <c r="CO82" t="str">
        <f>VLOOKUP(D82,素材!$A:$O,COLUMN(素材!O$1),FALSE)</f>
        <v>鍛えられた鉄。硬度が高く安価なためよく使用される。</v>
      </c>
      <c r="CP82" t="str">
        <f>VLOOKUP(C82,武器!$A:$W,COLUMN(武器!W$1),FALSE)</f>
        <v>長剣。長く重い分扱いにくいが威力が高い。</v>
      </c>
      <c r="CR82" t="str">
        <f t="shared" si="5"/>
        <v>e_82</v>
      </c>
      <c r="CS82">
        <f t="shared" si="6"/>
        <v>90000</v>
      </c>
    </row>
    <row r="83" spans="1:97" outlineLevel="1" x14ac:dyDescent="0.4">
      <c r="A83" t="str">
        <f t="shared" si="4"/>
        <v>鋼の大剣</v>
      </c>
      <c r="B83" t="str">
        <f>IFERROR(VLOOKUP($D83,素材!$1:$1016,COLUMN($B$1),FALSE)&amp;"・"&amp;VLOOKUP($C83,武器!$1:$998,COLUMN(B$1),FALSE),"")</f>
        <v>スチール・バスターソード</v>
      </c>
      <c r="C83" s="24" t="s">
        <v>237</v>
      </c>
      <c r="D83" s="24" t="s">
        <v>253</v>
      </c>
      <c r="E83" t="str">
        <f>IFERROR(VLOOKUP(C83,武器!$1:$998,COLUMN(C$1),FALSE),"")</f>
        <v>武器</v>
      </c>
      <c r="F83">
        <f>IFERROR(ROUNDDOWN((VLOOKUP($C83,武器!$1:$998,COLUMN(D$1),FALSE)+IFERROR(VLOOKUP($CI83,装強!$1:$999,COLUMN(F$1),FALSE),0))*VLOOKUP($D83,素材!$1:$1016,COLUMN(D$1),FALSE),0),"")</f>
        <v>131</v>
      </c>
      <c r="G83">
        <f>IFERROR(ROUNDDOWN((VLOOKUP($C83,武器!$1:$998,COLUMN(E$1),FALSE)+IFERROR(VLOOKUP($CI83,装強!$1:$999,COLUMN(G$1),FALSE),0))*VLOOKUP($D83,素材!$1:$1016,COLUMN($E$1),FALSE),0),"")</f>
        <v>24</v>
      </c>
      <c r="H83">
        <f>IFERROR(ROUNDDOWN((VLOOKUP($C83,武器!$1:$998,COLUMN(F$1),FALSE)+IFERROR(VLOOKUP($CI83,装強!$1:$999,COLUMN(H$1),FALSE),0))*VLOOKUP($D83,素材!$1:$1016,COLUMN($E$1),FALSE),0),"")</f>
        <v>12</v>
      </c>
      <c r="I83">
        <f>IFERROR(ROUNDDOWN((VLOOKUP($C83,武器!$1:$998,COLUMN(G$1),FALSE)+IFERROR(VLOOKUP($CI83,装強!$1:$999,COLUMN(I$1),FALSE),0))*VLOOKUP($D83,素材!$1:$1016,COLUMN($E$1),FALSE),0),"")</f>
        <v>5</v>
      </c>
      <c r="J83">
        <f>IFERROR(ROUNDDOWN((VLOOKUP($C83,武器!$1:$998,COLUMN(H$1),FALSE)+IFERROR(VLOOKUP($CI83,装強!$1:$999,COLUMN(J$1),FALSE),0))*VLOOKUP($D83,素材!$1:$1016,COLUMN($E$1),FALSE),0),"")</f>
        <v>29</v>
      </c>
      <c r="K83">
        <f>IFERROR(ROUNDDOWN((VLOOKUP($C83,武器!$1:$998,COLUMN(I$1),FALSE)+IFERROR(VLOOKUP($CI83,装強!$1:$999,COLUMN(K$1),FALSE),0))*VLOOKUP($D83,素材!$1:$1016,COLUMN($E$1),FALSE),0),"")</f>
        <v>0</v>
      </c>
      <c r="L83">
        <f>IFERROR(VLOOKUP($D83,素材!$1:$1016,COLUMN($F$1),FALSE),"")</f>
        <v>0</v>
      </c>
      <c r="M83">
        <f>IFERROR(VLOOKUP($C83,武器!$1:$998,COLUMN(AA$1),FALSE)*VLOOKUP($D83,素材!$1:$1016,COLUMN($G$1),FALSE),"")</f>
        <v>0</v>
      </c>
      <c r="N83">
        <f>IFERROR(VLOOKUP($C83,武器!$1:$998,COLUMN(I$1),FALSE),"")</f>
        <v>0</v>
      </c>
      <c r="O83" s="23">
        <f>IFERROR((VLOOKUP($C83,武器!$1:$998,COLUMN(K$1),FALSE)+VLOOKUP($D83,素材!$1:$1016,COLUMN(H$1),FALSE))*100+IFERROR(VLOOKUP($CI83,装強!$1:$999,COLUMN(O$1),FALSE),0),"")</f>
        <v>10</v>
      </c>
      <c r="P83" s="23">
        <f>IFERROR((VLOOKUP($C83,武器!$1:$998,COLUMN(L$1),FALSE)+VLOOKUP($D83,素材!$1:$1016,COLUMN(I$1),FALSE))*100+IFERROR(VLOOKUP($CI83,装強!$1:$999,COLUMN(P$1),FALSE),0),"")</f>
        <v>150</v>
      </c>
      <c r="Q83">
        <f>IFERROR(ROUNDUP(VLOOKUP($C83,武器!$1:$998,COLUMN(M$1),FALSE)*(VLOOKUP($D83,素材!$1:$1002,COLUMN(D$1),FALSE)/100),1),"")</f>
        <v>-7.8999999999999995</v>
      </c>
      <c r="R83">
        <f>IFERROR(ROUNDUP(VLOOKUP($C83,武器!$1:$998,COLUMN(N$1),FALSE)*(VLOOKUP($D83,素材!$1:$1002,COLUMN(D$1),FALSE)/100),1),"")</f>
        <v>-7.8999999999999995</v>
      </c>
      <c r="S83">
        <f>IFERROR(VLOOKUP($C83,武器!$1:$998,COLUMN(P$1),FALSE),"")</f>
        <v>0</v>
      </c>
      <c r="T83">
        <f>IFERROR(VLOOKUP($C83,武器!$1:$998,COLUMN(Q$1),FALSE),"")</f>
        <v>0</v>
      </c>
      <c r="U83">
        <f>IFERROR(VLOOKUP($C83,武器!$1:$998,COLUMN(R$1),FALSE),"")</f>
        <v>0</v>
      </c>
      <c r="V83">
        <f>IFERROR(VLOOKUP($C83,武器!$1:$998,COLUMN(Q$1),FALSE),"")</f>
        <v>0</v>
      </c>
      <c r="W83" t="str">
        <f>IFERROR(VLOOKUP($C83,武器!$1:$998,COLUMN(T$1),FALSE),"")</f>
        <v>A</v>
      </c>
      <c r="Y83">
        <f>IFERROR(VLOOKUP($C83,武器!$1:$998,COLUMN(U$1),FALSE),"")</f>
        <v>0</v>
      </c>
      <c r="Z83">
        <f>IFERROR(ROUNDUP(VLOOKUP($C83,武器!$1:$998,COLUMN(O$1),FALSE)*VLOOKUP($D83,素材!$1:$1016,COLUMN(E$1),FALSE),1),"")</f>
        <v>0</v>
      </c>
      <c r="AA83">
        <f>IF(ISNUMBER(SEARCH(SUBSTITUTE(AA$1,RIGHT(AA$1,2),""),VLOOKUP($D83,素材!$1:$1016,COLUMN($F$1),FALSE))),VLOOKUP($C83,武器!$1:$998,COLUMN($O$1),FALSE)*VLOOKUP($D83,素材!$1:$1016,COLUMN($E$1),FALSE)/(LEN(VLOOKUP($D83,素材!$1:$1016,COLUMN($F$1),FALSE)) - LEN(SUBSTITUTE(VLOOKUP($D83,素材!$1:$1016,COLUMN($F$1),FALSE), "・", 0)) + 1), 0)</f>
        <v>0</v>
      </c>
      <c r="AB83">
        <f>IF(ISNUMBER(SEARCH(SUBSTITUTE(AB$1,RIGHT(AB$1,2),""),VLOOKUP($D83,素材!$1:$1016,COLUMN($F$1),FALSE))),VLOOKUP($C83,武器!$1:$998,COLUMN($O$1),FALSE)*VLOOKUP($D83,素材!$1:$1016,COLUMN($E$1),FALSE)/(LEN(VLOOKUP($D83,素材!$1:$1016,COLUMN($F$1),FALSE)) - LEN(SUBSTITUTE(VLOOKUP($D83,素材!$1:$1016,COLUMN($F$1),FALSE), "・", 0)) + 1), 0)</f>
        <v>0</v>
      </c>
      <c r="AC83">
        <f>IF(ISNUMBER(SEARCH(SUBSTITUTE(AC$1,RIGHT(AC$1,2),""),VLOOKUP($D83,素材!$1:$1016,COLUMN($F$1),FALSE))),VLOOKUP($C83,武器!$1:$998,COLUMN($O$1),FALSE)*VLOOKUP($D83,素材!$1:$1016,COLUMN($E$1),FALSE)/(LEN(VLOOKUP($D83,素材!$1:$1016,COLUMN($F$1),FALSE)) - LEN(SUBSTITUTE(VLOOKUP($D83,素材!$1:$1016,COLUMN($F$1),FALSE), "・", 0)) + 1), 0)</f>
        <v>0</v>
      </c>
      <c r="AD83">
        <f>IF(ISNUMBER(SEARCH(SUBSTITUTE(AD$1,RIGHT(AD$1,2),""),VLOOKUP($D83,素材!$1:$1016,COLUMN($F$1),FALSE))),VLOOKUP($C83,武器!$1:$998,COLUMN($O$1),FALSE)*VLOOKUP($D83,素材!$1:$1016,COLUMN($E$1),FALSE)/(LEN(VLOOKUP($D83,素材!$1:$1016,COLUMN($F$1),FALSE)) - LEN(SUBSTITUTE(VLOOKUP($D83,素材!$1:$1016,COLUMN($F$1),FALSE), "・", 0)) + 1), 0)</f>
        <v>0</v>
      </c>
      <c r="AE83">
        <f>IF(ISNUMBER(SEARCH(SUBSTITUTE(AE$1,RIGHT(AE$1,2),""),VLOOKUP($D83,素材!$1:$1016,COLUMN($F$1),FALSE))),VLOOKUP($C83,武器!$1:$998,COLUMN($O$1),FALSE)*VLOOKUP($D83,素材!$1:$1016,COLUMN($E$1),FALSE)/(LEN(VLOOKUP($D83,素材!$1:$1016,COLUMN($F$1),FALSE)) - LEN(SUBSTITUTE(VLOOKUP($D83,素材!$1:$1016,COLUMN($F$1),FALSE), "・", 0)) + 1), 0)</f>
        <v>0</v>
      </c>
      <c r="AF83">
        <f>IF(ISNUMBER(SEARCH(SUBSTITUTE(AF$1,RIGHT(AF$1,2),""),VLOOKUP($D83,素材!$1:$1016,COLUMN($F$1),FALSE))),VLOOKUP($C83,武器!$1:$998,COLUMN($O$1),FALSE)*VLOOKUP($D83,素材!$1:$1016,COLUMN($E$1),FALSE)/(LEN(VLOOKUP($D83,素材!$1:$1016,COLUMN($F$1),FALSE)) - LEN(SUBSTITUTE(VLOOKUP($D83,素材!$1:$1016,COLUMN($F$1),FALSE), "・", 0)) + 1), 0)</f>
        <v>0</v>
      </c>
      <c r="AG83">
        <f>IF(ISNUMBER(SEARCH(SUBSTITUTE(AG$1,RIGHT(AG$1,2),""),VLOOKUP($D83,素材!$1:$1016,COLUMN($F$1),FALSE))),VLOOKUP($C83,武器!$1:$998,COLUMN($O$1),FALSE)*VLOOKUP($D83,素材!$1:$1016,COLUMN($E$1),FALSE)/(LEN(VLOOKUP($D83,素材!$1:$1016,COLUMN($F$1),FALSE)) - LEN(SUBSTITUTE(VLOOKUP($D83,素材!$1:$1016,COLUMN($F$1),FALSE), "・", 0)) + 1), 0)</f>
        <v>0</v>
      </c>
      <c r="AH83">
        <f>IF(ISNUMBER(SEARCH(SUBSTITUTE(AH$1,RIGHT(AH$1,2),""),VLOOKUP($D83,素材!$1:$1016,COLUMN($F$1),FALSE))),VLOOKUP($C83,武器!$1:$998,COLUMN($O$1),FALSE)*VLOOKUP($D83,素材!$1:$1016,COLUMN($E$1),FALSE)/(LEN(VLOOKUP($D83,素材!$1:$1016,COLUMN($F$1),FALSE)) - LEN(SUBSTITUTE(VLOOKUP($D83,素材!$1:$1016,COLUMN($F$1),FALSE), "・", 0)) + 1), 0)</f>
        <v>0</v>
      </c>
      <c r="AI83">
        <f>IF(ISNUMBER(SEARCH(SUBSTITUTE(AI$1,RIGHT(AI$1,2),""),VLOOKUP($D83,素材!$1:$1016,COLUMN($F$1),FALSE))),VLOOKUP($C83,武器!$1:$998,COLUMN($O$1),FALSE)*VLOOKUP($D83,素材!$1:$1016,COLUMN($E$1),FALSE)/(LEN(VLOOKUP($D83,素材!$1:$1016,COLUMN($F$1),FALSE)) - LEN(SUBSTITUTE(VLOOKUP($D83,素材!$1:$1016,COLUMN($F$1),FALSE), "・", 0)) + 1), 0)</f>
        <v>0</v>
      </c>
      <c r="AJ83">
        <f>IF(ISNUMBER(SEARCH(SUBSTITUTE(AJ$1,RIGHT(AJ$1,2),""),VLOOKUP($D83,素材!$1:$1016,COLUMN($F$1),FALSE))),VLOOKUP($C83,武器!$1:$998,COLUMN($O$1),FALSE)*VLOOKUP($D83,素材!$1:$1016,COLUMN($E$1),FALSE)/(LEN(VLOOKUP($D83,素材!$1:$1016,COLUMN($F$1),FALSE)) - LEN(SUBSTITUTE(VLOOKUP($D83,素材!$1:$1016,COLUMN($F$1),FALSE), "・", 0)) + 1), 0)</f>
        <v>0</v>
      </c>
      <c r="AK83">
        <f>IF(ISNUMBER(SEARCH(SUBSTITUTE(AK$1,RIGHT(AK$1,2),""),VLOOKUP($D83,素材!$1:$1016,COLUMN($F$1),FALSE))),VLOOKUP($C83,武器!$1:$998,COLUMN($O$1),FALSE)*VLOOKUP($D83,素材!$1:$1016,COLUMN($E$1),FALSE)/(LEN(VLOOKUP($D83,素材!$1:$1016,COLUMN($F$1),FALSE)) - LEN(SUBSTITUTE(VLOOKUP($D83,素材!$1:$1016,COLUMN($F$1),FALSE), "・", 0)) + 1), 0)</f>
        <v>0</v>
      </c>
      <c r="AL83">
        <f>IF(ISNUMBER(SEARCH(SUBSTITUTE(AL$1,RIGHT(AL$1,2),""),VLOOKUP($D83,素材!$1:$1016,COLUMN($F$1),FALSE))),VLOOKUP($C83,武器!$1:$998,COLUMN($O$1),FALSE)*VLOOKUP($D83,素材!$1:$1016,COLUMN($E$1),FALSE)/(LEN(VLOOKUP($D83,素材!$1:$1016,COLUMN($F$1),FALSE)) - LEN(SUBSTITUTE(VLOOKUP($D83,素材!$1:$1016,COLUMN($F$1),FALSE), "・", 0)) + 1), 0)</f>
        <v>0</v>
      </c>
      <c r="AM83">
        <f>IF(ISNUMBER(SEARCH(SUBSTITUTE(AM$1,RIGHT(AM$1,2),""),VLOOKUP($D83,素材!$1:$1016,COLUMN($F$1),FALSE))),VLOOKUP($C83,武器!$1:$998,COLUMN($O$1),FALSE)*VLOOKUP($D83,素材!$1:$1016,COLUMN($E$1),FALSE)/(LEN(VLOOKUP($D83,素材!$1:$1016,COLUMN($F$1),FALSE)) - LEN(SUBSTITUTE(VLOOKUP($D83,素材!$1:$1016,COLUMN($F$1),FALSE), "・", 0)) + 1), 0)</f>
        <v>0</v>
      </c>
      <c r="AN83">
        <f>IF(ISNUMBER(SEARCH(SUBSTITUTE(AN$1,RIGHT(AN$1,2),""),VLOOKUP($D83,素材!$1:$1016,COLUMN($F$1),FALSE))),VLOOKUP($C83,武器!$1:$998,COLUMN($O$1),FALSE)*VLOOKUP($D83,素材!$1:$1016,COLUMN($E$1),FALSE)/(LEN(VLOOKUP($D83,素材!$1:$1016,COLUMN($F$1),FALSE)) - LEN(SUBSTITUTE(VLOOKUP($D83,素材!$1:$1016,COLUMN($F$1),FALSE), "・", 0)) + 1), 0)</f>
        <v>0</v>
      </c>
      <c r="AO83">
        <f>IF(ISNUMBER(SEARCH(SUBSTITUTE(AO$1,RIGHT(AO$1,2),""),VLOOKUP($D83,素材!$1:$1016,COLUMN($F$1),FALSE))),VLOOKUP($C83,武器!$1:$998,COLUMN($O$1),FALSE)*VLOOKUP($D83,素材!$1:$1016,COLUMN($E$1),FALSE)/(LEN(VLOOKUP($D83,素材!$1:$1016,COLUMN($F$1),FALSE)) - LEN(SUBSTITUTE(VLOOKUP($D83,素材!$1:$1016,COLUMN($F$1),FALSE), "・", 0)) + 1), 0)</f>
        <v>0</v>
      </c>
      <c r="AP83">
        <f>IF(ISNUMBER(SEARCH(SUBSTITUTE(AP$1,RIGHT(AP$1,2),""),VLOOKUP($D83,素材!$1:$1016,COLUMN($F$1),FALSE))),VLOOKUP($C83,武器!$1:$998,COLUMN($O$1),FALSE)*VLOOKUP($D83,素材!$1:$1016,COLUMN($E$1),FALSE)/(LEN(VLOOKUP($D83,素材!$1:$1016,COLUMN($F$1),FALSE)) - LEN(SUBSTITUTE(VLOOKUP($D83,素材!$1:$1016,COLUMN($F$1),FALSE), "・", 0)) + 1), 0)</f>
        <v>0</v>
      </c>
      <c r="AQ83">
        <f>IF(ISNUMBER(SEARCH(SUBSTITUTE(AQ$1,RIGHT(AQ$1,2),""),VLOOKUP($D83,素材!$1:$1016,COLUMN($F$1),FALSE))),VLOOKUP($C83,武器!$1:$998,COLUMN($O$1),FALSE)*VLOOKUP($D83,素材!$1:$1016,COLUMN($E$1),FALSE)/(LEN(VLOOKUP($D83,素材!$1:$1016,COLUMN($F$1),FALSE)) - LEN(SUBSTITUTE(VLOOKUP($D83,素材!$1:$1016,COLUMN($F$1),FALSE), "・", 0)) + 1), 0)</f>
        <v>0</v>
      </c>
      <c r="AR83">
        <f>IF(ISNUMBER(SEARCH(SUBSTITUTE(AR$1,RIGHT(AR$1,2),""),VLOOKUP($D83,素材!$1:$1016,COLUMN($F$1),FALSE))),VLOOKUP($C83,武器!$1:$998,COLUMN($O$1),FALSE)*VLOOKUP($D83,素材!$1:$1016,COLUMN($E$1),FALSE)/(LEN(VLOOKUP($D83,素材!$1:$1016,COLUMN($F$1),FALSE)) - LEN(SUBSTITUTE(VLOOKUP($D83,素材!$1:$1016,COLUMN($F$1),FALSE), "・", 0)) + 1), 0)</f>
        <v>0</v>
      </c>
      <c r="AS83">
        <f>IF(ISNUMBER(SEARCH(SUBSTITUTE(AS$1,RIGHT(AS$1,2),""),VLOOKUP($D83,素材!$1:$1016,COLUMN($F$1),FALSE))),VLOOKUP($C83,武器!$1:$998,COLUMN($O$1),FALSE)*VLOOKUP($D83,素材!$1:$1016,COLUMN($E$1),FALSE)/(LEN(VLOOKUP($D83,素材!$1:$1016,COLUMN($F$1),FALSE)) - LEN(SUBSTITUTE(VLOOKUP($D83,素材!$1:$1016,COLUMN($F$1),FALSE), "・", 0)) + 1), 0)</f>
        <v>0</v>
      </c>
      <c r="AT83">
        <f>IF(ISNUMBER(SEARCH(SUBSTITUTE(AT$1,RIGHT(AT$1,2),""),VLOOKUP($D83,素材!$1:$1016,COLUMN($F$1),FALSE))),VLOOKUP($C83,武器!$1:$998,COLUMN($O$1),FALSE)*VLOOKUP($D83,素材!$1:$1016,COLUMN($E$1),FALSE)/(LEN(VLOOKUP($D83,素材!$1:$1016,COLUMN($F$1),FALSE)) - LEN(SUBSTITUTE(VLOOKUP($D83,素材!$1:$1016,COLUMN($F$1),FALSE), "・", 0)) + 1), 0)</f>
        <v>0</v>
      </c>
      <c r="AU83">
        <f>IF(ISNUMBER(SEARCH(SUBSTITUTE(AU$1,RIGHT(AU$1,2),""),VLOOKUP($D83,素材!$1:$1016,COLUMN($F$1),FALSE))),VLOOKUP($C83,武器!$1:$998,COLUMN($O$1),FALSE)*VLOOKUP($D83,素材!$1:$1016,COLUMN($E$1),FALSE)/(LEN(VLOOKUP($D83,素材!$1:$1016,COLUMN($F$1),FALSE)) - LEN(SUBSTITUTE(VLOOKUP($D83,素材!$1:$1016,COLUMN($F$1),FALSE), "・", 0)) + 1), 0)</f>
        <v>0</v>
      </c>
      <c r="AV83">
        <f>IF(ISNUMBER(SEARCH(SUBSTITUTE(AV$1,RIGHT(AV$1,2),""),VLOOKUP($D83,素材!$1:$1016,COLUMN($F$1),FALSE))),VLOOKUP($C83,武器!$1:$998,COLUMN($O$1),FALSE)*VLOOKUP($D83,素材!$1:$1016,COLUMN($E$1),FALSE)/(LEN(VLOOKUP($D83,素材!$1:$1016,COLUMN($F$1),FALSE)) - LEN(SUBSTITUTE(VLOOKUP($D83,素材!$1:$1016,COLUMN($F$1),FALSE), "・", 0)) + 1), 0)</f>
        <v>0</v>
      </c>
      <c r="AW83">
        <f>IF(ISNUMBER(SEARCH(SUBSTITUTE(AW$1,RIGHT(AW$1,2),""),VLOOKUP($D83,素材!$1:$1016,COLUMN($F$1),FALSE))),VLOOKUP($C83,武器!$1:$998,COLUMN($O$1),FALSE)*VLOOKUP($D83,素材!$1:$1016,COLUMN($E$1),FALSE)/(LEN(VLOOKUP($D83,素材!$1:$1016,COLUMN($F$1),FALSE)) - LEN(SUBSTITUTE(VLOOKUP($D83,素材!$1:$1016,COLUMN($F$1),FALSE), "・", 0)) + 1), 0)</f>
        <v>0</v>
      </c>
      <c r="AX83">
        <f>IF(ISNUMBER(SEARCH(SUBSTITUTE(AX$1,RIGHT(AX$1,2),""),VLOOKUP($D83,素材!$1:$1016,COLUMN($F$1),FALSE))),VLOOKUP($C83,武器!$1:$998,COLUMN($O$1),FALSE)*VLOOKUP($D83,素材!$1:$1016,COLUMN($E$1),FALSE)/(LEN(VLOOKUP($D83,素材!$1:$1016,COLUMN($F$1),FALSE)) - LEN(SUBSTITUTE(VLOOKUP($D83,素材!$1:$1016,COLUMN($F$1),FALSE), "・", 0)) + 1), 0)</f>
        <v>0</v>
      </c>
      <c r="AY83">
        <f>IF(ISNUMBER(SEARCH(SUBSTITUTE(AY$1,RIGHT(AY$1,2),""),VLOOKUP($D83,素材!$1:$1016,COLUMN($F$1),FALSE))),VLOOKUP($C83,武器!$1:$998,COLUMN($O$1),FALSE)*VLOOKUP($D83,素材!$1:$1016,COLUMN($E$1),FALSE)/(LEN(VLOOKUP($D83,素材!$1:$1016,COLUMN($F$1),FALSE)) - LEN(SUBSTITUTE(VLOOKUP($D83,素材!$1:$1016,COLUMN($F$1),FALSE), "・", 0)) + 1), 0)</f>
        <v>0</v>
      </c>
      <c r="AZ83">
        <f>IF(ISNUMBER(SEARCH(SUBSTITUTE(AZ$1,RIGHT(AZ$1,2),""),VLOOKUP($D83,素材!$1:$1016,COLUMN($F$1),FALSE))),VLOOKUP($C83,武器!$1:$998,COLUMN($O$1),FALSE)*VLOOKUP($D83,素材!$1:$1016,COLUMN($E$1),FALSE)/(LEN(VLOOKUP($D83,素材!$1:$1016,COLUMN($F$1),FALSE)) - LEN(SUBSTITUTE(VLOOKUP($D83,素材!$1:$1016,COLUMN($F$1),FALSE), "・", 0)) + 1), 0)</f>
        <v>0</v>
      </c>
      <c r="BA83">
        <f>IF(ISNUMBER(SEARCH(SUBSTITUTE(BA$1,RIGHT(BA$1,2),""),VLOOKUP($D83,素材!$1:$1016,COLUMN($F$1),FALSE))),VLOOKUP($C83,武器!$1:$998,COLUMN($O$1),FALSE)*VLOOKUP($D83,素材!$1:$1016,COLUMN($E$1),FALSE)/(LEN(VLOOKUP($D83,素材!$1:$1016,COLUMN($F$1),FALSE)) - LEN(SUBSTITUTE(VLOOKUP($D83,素材!$1:$1016,COLUMN($F$1),FALSE), "・", 0)) + 1), 0)</f>
        <v>0</v>
      </c>
      <c r="BB83">
        <f>IF(ISNUMBER(SEARCH(SUBSTITUTE(BB$1,RIGHT(BB$1,2),""),VLOOKUP($D83,素材!$1:$1016,COLUMN($F$1),FALSE))),VLOOKUP($C83,武器!$1:$998,COLUMN($O$1),FALSE)*VLOOKUP($D83,素材!$1:$1016,COLUMN($E$1),FALSE)/(LEN(VLOOKUP($D83,素材!$1:$1016,COLUMN($F$1),FALSE)) - LEN(SUBSTITUTE(VLOOKUP($D83,素材!$1:$1016,COLUMN($F$1),FALSE), "・", 0)) + 1), 0)</f>
        <v>0</v>
      </c>
      <c r="BC83">
        <f>IF(ISNUMBER(SEARCH(SUBSTITUTE(BC$1,RIGHT(BC$1,2),""),VLOOKUP($D83,素材!$1:$1016,COLUMN($F$1),FALSE))),VLOOKUP($C83,武器!$1:$998,COLUMN($O$1),FALSE)*VLOOKUP($D83,素材!$1:$1016,COLUMN($E$1),FALSE)/(LEN(VLOOKUP($D83,素材!$1:$1016,COLUMN($F$1),FALSE)) - LEN(SUBSTITUTE(VLOOKUP($D83,素材!$1:$1016,COLUMN($F$1),FALSE), "・", 0)) + 1), 0)</f>
        <v>0</v>
      </c>
      <c r="BD83">
        <f>IF(ISNUMBER(SEARCH(SUBSTITUTE(BD$1,RIGHT(BD$1,2),""),VLOOKUP($D83,素材!$1:$1016,COLUMN($F$1),FALSE))),VLOOKUP($C83,武器!$1:$998,COLUMN($O$1),FALSE)*VLOOKUP($D83,素材!$1:$1016,COLUMN($E$1),FALSE)/(LEN(VLOOKUP($D83,素材!$1:$1016,COLUMN($F$1),FALSE)) - LEN(SUBSTITUTE(VLOOKUP($D83,素材!$1:$1016,COLUMN($F$1),FALSE), "・", 0)) + 1), 0)</f>
        <v>0</v>
      </c>
      <c r="BE83">
        <f>IF(ISNUMBER(SEARCH(SUBSTITUTE(BE$1,RIGHT(BE$1,2),""),VLOOKUP($D83,素材!$1:$1016,COLUMN($F$1),FALSE))),VLOOKUP($C83,武器!$1:$998,COLUMN($O$1),FALSE)*VLOOKUP($D83,素材!$1:$1016,COLUMN($E$1),FALSE)/(LEN(VLOOKUP($D83,素材!$1:$1016,COLUMN($F$1),FALSE)) - LEN(SUBSTITUTE(VLOOKUP($D83,素材!$1:$1016,COLUMN($F$1),FALSE), "・", 0)) + 1), 0)</f>
        <v>0</v>
      </c>
      <c r="CL83">
        <f>SUM(G83:I83)</f>
        <v>41</v>
      </c>
      <c r="CM83" s="22" t="str">
        <f>IF(E83="武器",IF(J83-1&gt;SUM(G83:I83),"盾",IF(MAX(G83:I83)=G83,"切断",IF(MAX(G83:I83)=H83,"貫通",IF(MAX(G83:I83)=I83,"打撃","射撃")))),E83)&amp;".webp"</f>
        <v>切断.webp</v>
      </c>
      <c r="CN83">
        <f>IFERROR(VLOOKUP($C83,武器!$1:$998,COLUMN(V$1),FALSE)*VLOOKUP($D83,素材!$1:$1016,COLUMN(N$1),FALSE)+IF(CI83="",0,VLOOKUP($CI83,装強!$1:$1008,COLUMN($CK$1),FALSE)),"")</f>
        <v>1350</v>
      </c>
      <c r="CO83" t="str">
        <f>VLOOKUP(D83,素材!$A:$O,COLUMN(素材!O$1),FALSE)</f>
        <v>鍛えられた鉄。硬度が高く安価なためよく使用される。</v>
      </c>
      <c r="CP83" t="str">
        <f>VLOOKUP(C83,武器!$A:$W,COLUMN(武器!W$1),FALSE)</f>
        <v>大剣。非常に重いが威力が突出して高い武器。大きい分ガードにも向いている</v>
      </c>
      <c r="CR83" t="str">
        <f t="shared" si="5"/>
        <v>e_83</v>
      </c>
      <c r="CS83">
        <f t="shared" si="6"/>
        <v>135000</v>
      </c>
    </row>
    <row r="84" spans="1:97" outlineLevel="1" x14ac:dyDescent="0.4">
      <c r="A84" t="str">
        <f t="shared" si="4"/>
        <v>鋼の細剣</v>
      </c>
      <c r="B84" t="str">
        <f>IFERROR(VLOOKUP($D84,素材!$1:$1016,COLUMN($B$1),FALSE)&amp;"・"&amp;VLOOKUP($C84,武器!$1:$998,COLUMN(B$1),FALSE),"")</f>
        <v>スチール・レイピア</v>
      </c>
      <c r="C84" s="24" t="s">
        <v>236</v>
      </c>
      <c r="D84" s="24" t="s">
        <v>253</v>
      </c>
      <c r="E84" t="str">
        <f>IFERROR(VLOOKUP(C84,武器!$1:$998,COLUMN(C$1),FALSE),"")</f>
        <v>武器</v>
      </c>
      <c r="F84">
        <f>IFERROR(ROUNDDOWN((VLOOKUP($C84,武器!$1:$998,COLUMN(D$1),FALSE)+IFERROR(VLOOKUP($CI84,装強!$1:$999,COLUMN(F$1),FALSE),0))*VLOOKUP($D84,素材!$1:$1016,COLUMN(D$1),FALSE),0),"")</f>
        <v>105</v>
      </c>
      <c r="G84">
        <f>IFERROR(ROUNDDOWN((VLOOKUP($C84,武器!$1:$998,COLUMN(E$1),FALSE)+IFERROR(VLOOKUP($CI84,装強!$1:$999,COLUMN(G$1),FALSE),0))*VLOOKUP($D84,素材!$1:$1016,COLUMN($E$1),FALSE),0),"")</f>
        <v>12</v>
      </c>
      <c r="H84">
        <f>IFERROR(ROUNDDOWN((VLOOKUP($C84,武器!$1:$998,COLUMN(F$1),FALSE)+IFERROR(VLOOKUP($CI84,装強!$1:$999,COLUMN(H$1),FALSE),0))*VLOOKUP($D84,素材!$1:$1016,COLUMN($E$1),FALSE),0),"")</f>
        <v>17</v>
      </c>
      <c r="I84">
        <f>IFERROR(ROUNDDOWN((VLOOKUP($C84,武器!$1:$998,COLUMN(G$1),FALSE)+IFERROR(VLOOKUP($CI84,装強!$1:$999,COLUMN(I$1),FALSE),0))*VLOOKUP($D84,素材!$1:$1016,COLUMN($E$1),FALSE),0),"")</f>
        <v>0</v>
      </c>
      <c r="J84">
        <f>IFERROR(ROUNDDOWN((VLOOKUP($C84,武器!$1:$998,COLUMN(H$1),FALSE)+IFERROR(VLOOKUP($CI84,装強!$1:$999,COLUMN(J$1),FALSE),0))*VLOOKUP($D84,素材!$1:$1016,COLUMN($E$1),FALSE),0),"")</f>
        <v>21</v>
      </c>
      <c r="K84">
        <f>IFERROR(ROUNDDOWN((VLOOKUP($C84,武器!$1:$998,COLUMN(I$1),FALSE)+IFERROR(VLOOKUP($CI84,装強!$1:$999,COLUMN(K$1),FALSE),0))*VLOOKUP($D84,素材!$1:$1016,COLUMN($E$1),FALSE),0),"")</f>
        <v>0</v>
      </c>
      <c r="L84">
        <f>IFERROR(VLOOKUP($D84,素材!$1:$1016,COLUMN($F$1),FALSE),"")</f>
        <v>0</v>
      </c>
      <c r="M84">
        <f>IFERROR(VLOOKUP($C84,武器!$1:$998,COLUMN(AA$1),FALSE)*VLOOKUP($D84,素材!$1:$1016,COLUMN($G$1),FALSE),"")</f>
        <v>0</v>
      </c>
      <c r="N84">
        <f>IFERROR(VLOOKUP($C84,武器!$1:$998,COLUMN(I$1),FALSE),"")</f>
        <v>0</v>
      </c>
      <c r="O84" s="23">
        <f>IFERROR((VLOOKUP($C84,武器!$1:$998,COLUMN(K$1),FALSE)+VLOOKUP($D84,素材!$1:$1016,COLUMN(H$1),FALSE))*100+IFERROR(VLOOKUP($CI84,装強!$1:$999,COLUMN(O$1),FALSE),0),"")</f>
        <v>15</v>
      </c>
      <c r="P84" s="23">
        <f>IFERROR((VLOOKUP($C84,武器!$1:$998,COLUMN(L$1),FALSE)+VLOOKUP($D84,素材!$1:$1016,COLUMN(I$1),FALSE))*100+IFERROR(VLOOKUP($CI84,装強!$1:$999,COLUMN(P$1),FALSE),0),"")</f>
        <v>125</v>
      </c>
      <c r="Q84">
        <f>IFERROR(ROUNDUP(VLOOKUP($C84,武器!$1:$998,COLUMN(M$1),FALSE)*(VLOOKUP($D84,素材!$1:$1002,COLUMN(D$1),FALSE)/100),1),"")</f>
        <v>0</v>
      </c>
      <c r="R84">
        <f>IFERROR(ROUNDUP(VLOOKUP($C84,武器!$1:$998,COLUMN(N$1),FALSE)*(VLOOKUP($D84,素材!$1:$1002,COLUMN(D$1),FALSE)/100),1),"")</f>
        <v>0</v>
      </c>
      <c r="S84">
        <f>IFERROR(VLOOKUP($C84,武器!$1:$998,COLUMN(P$1),FALSE),"")</f>
        <v>0</v>
      </c>
      <c r="T84">
        <f>IFERROR(VLOOKUP($C84,武器!$1:$998,COLUMN(Q$1),FALSE),"")</f>
        <v>0</v>
      </c>
      <c r="U84">
        <f>IFERROR(VLOOKUP($C84,武器!$1:$998,COLUMN(R$1),FALSE),"")</f>
        <v>0</v>
      </c>
      <c r="V84">
        <f>IFERROR(VLOOKUP($C84,武器!$1:$998,COLUMN(Q$1),FALSE),"")</f>
        <v>0</v>
      </c>
      <c r="W84" t="str">
        <f>IFERROR(VLOOKUP($C84,武器!$1:$998,COLUMN(T$1),FALSE),"")</f>
        <v>A</v>
      </c>
      <c r="Y84" t="str">
        <f>IFERROR(VLOOKUP($C84,武器!$1:$998,COLUMN(U$1),FALSE),"")</f>
        <v>片手適正Ⅰ</v>
      </c>
      <c r="Z84">
        <f>IFERROR(ROUNDUP(VLOOKUP($C84,武器!$1:$998,COLUMN(O$1),FALSE)*VLOOKUP($D84,素材!$1:$1016,COLUMN(E$1),FALSE),1),"")</f>
        <v>0</v>
      </c>
      <c r="AA84">
        <f>IF(ISNUMBER(SEARCH(SUBSTITUTE(AA$1,RIGHT(AA$1,2),""),VLOOKUP($D84,素材!$1:$1016,COLUMN($F$1),FALSE))),VLOOKUP($C84,武器!$1:$998,COLUMN($O$1),FALSE)*VLOOKUP($D84,素材!$1:$1016,COLUMN($E$1),FALSE)/(LEN(VLOOKUP($D84,素材!$1:$1016,COLUMN($F$1),FALSE)) - LEN(SUBSTITUTE(VLOOKUP($D84,素材!$1:$1016,COLUMN($F$1),FALSE), "・", 0)) + 1), 0)</f>
        <v>0</v>
      </c>
      <c r="AB84">
        <f>IF(ISNUMBER(SEARCH(SUBSTITUTE(AB$1,RIGHT(AB$1,2),""),VLOOKUP($D84,素材!$1:$1016,COLUMN($F$1),FALSE))),VLOOKUP($C84,武器!$1:$998,COLUMN($O$1),FALSE)*VLOOKUP($D84,素材!$1:$1016,COLUMN($E$1),FALSE)/(LEN(VLOOKUP($D84,素材!$1:$1016,COLUMN($F$1),FALSE)) - LEN(SUBSTITUTE(VLOOKUP($D84,素材!$1:$1016,COLUMN($F$1),FALSE), "・", 0)) + 1), 0)</f>
        <v>0</v>
      </c>
      <c r="AC84">
        <f>IF(ISNUMBER(SEARCH(SUBSTITUTE(AC$1,RIGHT(AC$1,2),""),VLOOKUP($D84,素材!$1:$1016,COLUMN($F$1),FALSE))),VLOOKUP($C84,武器!$1:$998,COLUMN($O$1),FALSE)*VLOOKUP($D84,素材!$1:$1016,COLUMN($E$1),FALSE)/(LEN(VLOOKUP($D84,素材!$1:$1016,COLUMN($F$1),FALSE)) - LEN(SUBSTITUTE(VLOOKUP($D84,素材!$1:$1016,COLUMN($F$1),FALSE), "・", 0)) + 1), 0)</f>
        <v>0</v>
      </c>
      <c r="AD84">
        <f>IF(ISNUMBER(SEARCH(SUBSTITUTE(AD$1,RIGHT(AD$1,2),""),VLOOKUP($D84,素材!$1:$1016,COLUMN($F$1),FALSE))),VLOOKUP($C84,武器!$1:$998,COLUMN($O$1),FALSE)*VLOOKUP($D84,素材!$1:$1016,COLUMN($E$1),FALSE)/(LEN(VLOOKUP($D84,素材!$1:$1016,COLUMN($F$1),FALSE)) - LEN(SUBSTITUTE(VLOOKUP($D84,素材!$1:$1016,COLUMN($F$1),FALSE), "・", 0)) + 1), 0)</f>
        <v>0</v>
      </c>
      <c r="AE84">
        <f>IF(ISNUMBER(SEARCH(SUBSTITUTE(AE$1,RIGHT(AE$1,2),""),VLOOKUP($D84,素材!$1:$1016,COLUMN($F$1),FALSE))),VLOOKUP($C84,武器!$1:$998,COLUMN($O$1),FALSE)*VLOOKUP($D84,素材!$1:$1016,COLUMN($E$1),FALSE)/(LEN(VLOOKUP($D84,素材!$1:$1016,COLUMN($F$1),FALSE)) - LEN(SUBSTITUTE(VLOOKUP($D84,素材!$1:$1016,COLUMN($F$1),FALSE), "・", 0)) + 1), 0)</f>
        <v>0</v>
      </c>
      <c r="AF84">
        <f>IF(ISNUMBER(SEARCH(SUBSTITUTE(AF$1,RIGHT(AF$1,2),""),VLOOKUP($D84,素材!$1:$1016,COLUMN($F$1),FALSE))),VLOOKUP($C84,武器!$1:$998,COLUMN($O$1),FALSE)*VLOOKUP($D84,素材!$1:$1016,COLUMN($E$1),FALSE)/(LEN(VLOOKUP($D84,素材!$1:$1016,COLUMN($F$1),FALSE)) - LEN(SUBSTITUTE(VLOOKUP($D84,素材!$1:$1016,COLUMN($F$1),FALSE), "・", 0)) + 1), 0)</f>
        <v>0</v>
      </c>
      <c r="AG84">
        <f>IF(ISNUMBER(SEARCH(SUBSTITUTE(AG$1,RIGHT(AG$1,2),""),VLOOKUP($D84,素材!$1:$1016,COLUMN($F$1),FALSE))),VLOOKUP($C84,武器!$1:$998,COLUMN($O$1),FALSE)*VLOOKUP($D84,素材!$1:$1016,COLUMN($E$1),FALSE)/(LEN(VLOOKUP($D84,素材!$1:$1016,COLUMN($F$1),FALSE)) - LEN(SUBSTITUTE(VLOOKUP($D84,素材!$1:$1016,COLUMN($F$1),FALSE), "・", 0)) + 1), 0)</f>
        <v>0</v>
      </c>
      <c r="AH84">
        <f>IF(ISNUMBER(SEARCH(SUBSTITUTE(AH$1,RIGHT(AH$1,2),""),VLOOKUP($D84,素材!$1:$1016,COLUMN($F$1),FALSE))),VLOOKUP($C84,武器!$1:$998,COLUMN($O$1),FALSE)*VLOOKUP($D84,素材!$1:$1016,COLUMN($E$1),FALSE)/(LEN(VLOOKUP($D84,素材!$1:$1016,COLUMN($F$1),FALSE)) - LEN(SUBSTITUTE(VLOOKUP($D84,素材!$1:$1016,COLUMN($F$1),FALSE), "・", 0)) + 1), 0)</f>
        <v>0</v>
      </c>
      <c r="AI84">
        <f>IF(ISNUMBER(SEARCH(SUBSTITUTE(AI$1,RIGHT(AI$1,2),""),VLOOKUP($D84,素材!$1:$1016,COLUMN($F$1),FALSE))),VLOOKUP($C84,武器!$1:$998,COLUMN($O$1),FALSE)*VLOOKUP($D84,素材!$1:$1016,COLUMN($E$1),FALSE)/(LEN(VLOOKUP($D84,素材!$1:$1016,COLUMN($F$1),FALSE)) - LEN(SUBSTITUTE(VLOOKUP($D84,素材!$1:$1016,COLUMN($F$1),FALSE), "・", 0)) + 1), 0)</f>
        <v>0</v>
      </c>
      <c r="AJ84">
        <f>IF(ISNUMBER(SEARCH(SUBSTITUTE(AJ$1,RIGHT(AJ$1,2),""),VLOOKUP($D84,素材!$1:$1016,COLUMN($F$1),FALSE))),VLOOKUP($C84,武器!$1:$998,COLUMN($O$1),FALSE)*VLOOKUP($D84,素材!$1:$1016,COLUMN($E$1),FALSE)/(LEN(VLOOKUP($D84,素材!$1:$1016,COLUMN($F$1),FALSE)) - LEN(SUBSTITUTE(VLOOKUP($D84,素材!$1:$1016,COLUMN($F$1),FALSE), "・", 0)) + 1), 0)</f>
        <v>0</v>
      </c>
      <c r="AK84">
        <f>IF(ISNUMBER(SEARCH(SUBSTITUTE(AK$1,RIGHT(AK$1,2),""),VLOOKUP($D84,素材!$1:$1016,COLUMN($F$1),FALSE))),VLOOKUP($C84,武器!$1:$998,COLUMN($O$1),FALSE)*VLOOKUP($D84,素材!$1:$1016,COLUMN($E$1),FALSE)/(LEN(VLOOKUP($D84,素材!$1:$1016,COLUMN($F$1),FALSE)) - LEN(SUBSTITUTE(VLOOKUP($D84,素材!$1:$1016,COLUMN($F$1),FALSE), "・", 0)) + 1), 0)</f>
        <v>0</v>
      </c>
      <c r="AL84">
        <f>IF(ISNUMBER(SEARCH(SUBSTITUTE(AL$1,RIGHT(AL$1,2),""),VLOOKUP($D84,素材!$1:$1016,COLUMN($F$1),FALSE))),VLOOKUP($C84,武器!$1:$998,COLUMN($O$1),FALSE)*VLOOKUP($D84,素材!$1:$1016,COLUMN($E$1),FALSE)/(LEN(VLOOKUP($D84,素材!$1:$1016,COLUMN($F$1),FALSE)) - LEN(SUBSTITUTE(VLOOKUP($D84,素材!$1:$1016,COLUMN($F$1),FALSE), "・", 0)) + 1), 0)</f>
        <v>0</v>
      </c>
      <c r="AM84">
        <f>IF(ISNUMBER(SEARCH(SUBSTITUTE(AM$1,RIGHT(AM$1,2),""),VLOOKUP($D84,素材!$1:$1016,COLUMN($F$1),FALSE))),VLOOKUP($C84,武器!$1:$998,COLUMN($O$1),FALSE)*VLOOKUP($D84,素材!$1:$1016,COLUMN($E$1),FALSE)/(LEN(VLOOKUP($D84,素材!$1:$1016,COLUMN($F$1),FALSE)) - LEN(SUBSTITUTE(VLOOKUP($D84,素材!$1:$1016,COLUMN($F$1),FALSE), "・", 0)) + 1), 0)</f>
        <v>0</v>
      </c>
      <c r="AN84">
        <f>IF(ISNUMBER(SEARCH(SUBSTITUTE(AN$1,RIGHT(AN$1,2),""),VLOOKUP($D84,素材!$1:$1016,COLUMN($F$1),FALSE))),VLOOKUP($C84,武器!$1:$998,COLUMN($O$1),FALSE)*VLOOKUP($D84,素材!$1:$1016,COLUMN($E$1),FALSE)/(LEN(VLOOKUP($D84,素材!$1:$1016,COLUMN($F$1),FALSE)) - LEN(SUBSTITUTE(VLOOKUP($D84,素材!$1:$1016,COLUMN($F$1),FALSE), "・", 0)) + 1), 0)</f>
        <v>0</v>
      </c>
      <c r="AO84">
        <f>IF(ISNUMBER(SEARCH(SUBSTITUTE(AO$1,RIGHT(AO$1,2),""),VLOOKUP($D84,素材!$1:$1016,COLUMN($F$1),FALSE))),VLOOKUP($C84,武器!$1:$998,COLUMN($O$1),FALSE)*VLOOKUP($D84,素材!$1:$1016,COLUMN($E$1),FALSE)/(LEN(VLOOKUP($D84,素材!$1:$1016,COLUMN($F$1),FALSE)) - LEN(SUBSTITUTE(VLOOKUP($D84,素材!$1:$1016,COLUMN($F$1),FALSE), "・", 0)) + 1), 0)</f>
        <v>0</v>
      </c>
      <c r="AP84">
        <f>IF(ISNUMBER(SEARCH(SUBSTITUTE(AP$1,RIGHT(AP$1,2),""),VLOOKUP($D84,素材!$1:$1016,COLUMN($F$1),FALSE))),VLOOKUP($C84,武器!$1:$998,COLUMN($O$1),FALSE)*VLOOKUP($D84,素材!$1:$1016,COLUMN($E$1),FALSE)/(LEN(VLOOKUP($D84,素材!$1:$1016,COLUMN($F$1),FALSE)) - LEN(SUBSTITUTE(VLOOKUP($D84,素材!$1:$1016,COLUMN($F$1),FALSE), "・", 0)) + 1), 0)</f>
        <v>0</v>
      </c>
      <c r="AQ84">
        <f>IF(ISNUMBER(SEARCH(SUBSTITUTE(AQ$1,RIGHT(AQ$1,2),""),VLOOKUP($D84,素材!$1:$1016,COLUMN($F$1),FALSE))),VLOOKUP($C84,武器!$1:$998,COLUMN($O$1),FALSE)*VLOOKUP($D84,素材!$1:$1016,COLUMN($E$1),FALSE)/(LEN(VLOOKUP($D84,素材!$1:$1016,COLUMN($F$1),FALSE)) - LEN(SUBSTITUTE(VLOOKUP($D84,素材!$1:$1016,COLUMN($F$1),FALSE), "・", 0)) + 1), 0)</f>
        <v>0</v>
      </c>
      <c r="AR84">
        <f>IF(ISNUMBER(SEARCH(SUBSTITUTE(AR$1,RIGHT(AR$1,2),""),VLOOKUP($D84,素材!$1:$1016,COLUMN($F$1),FALSE))),VLOOKUP($C84,武器!$1:$998,COLUMN($O$1),FALSE)*VLOOKUP($D84,素材!$1:$1016,COLUMN($E$1),FALSE)/(LEN(VLOOKUP($D84,素材!$1:$1016,COLUMN($F$1),FALSE)) - LEN(SUBSTITUTE(VLOOKUP($D84,素材!$1:$1016,COLUMN($F$1),FALSE), "・", 0)) + 1), 0)</f>
        <v>0</v>
      </c>
      <c r="AS84">
        <f>IF(ISNUMBER(SEARCH(SUBSTITUTE(AS$1,RIGHT(AS$1,2),""),VLOOKUP($D84,素材!$1:$1016,COLUMN($F$1),FALSE))),VLOOKUP($C84,武器!$1:$998,COLUMN($O$1),FALSE)*VLOOKUP($D84,素材!$1:$1016,COLUMN($E$1),FALSE)/(LEN(VLOOKUP($D84,素材!$1:$1016,COLUMN($F$1),FALSE)) - LEN(SUBSTITUTE(VLOOKUP($D84,素材!$1:$1016,COLUMN($F$1),FALSE), "・", 0)) + 1), 0)</f>
        <v>0</v>
      </c>
      <c r="AT84">
        <f>IF(ISNUMBER(SEARCH(SUBSTITUTE(AT$1,RIGHT(AT$1,2),""),VLOOKUP($D84,素材!$1:$1016,COLUMN($F$1),FALSE))),VLOOKUP($C84,武器!$1:$998,COLUMN($O$1),FALSE)*VLOOKUP($D84,素材!$1:$1016,COLUMN($E$1),FALSE)/(LEN(VLOOKUP($D84,素材!$1:$1016,COLUMN($F$1),FALSE)) - LEN(SUBSTITUTE(VLOOKUP($D84,素材!$1:$1016,COLUMN($F$1),FALSE), "・", 0)) + 1), 0)</f>
        <v>0</v>
      </c>
      <c r="AU84">
        <f>IF(ISNUMBER(SEARCH(SUBSTITUTE(AU$1,RIGHT(AU$1,2),""),VLOOKUP($D84,素材!$1:$1016,COLUMN($F$1),FALSE))),VLOOKUP($C84,武器!$1:$998,COLUMN($O$1),FALSE)*VLOOKUP($D84,素材!$1:$1016,COLUMN($E$1),FALSE)/(LEN(VLOOKUP($D84,素材!$1:$1016,COLUMN($F$1),FALSE)) - LEN(SUBSTITUTE(VLOOKUP($D84,素材!$1:$1016,COLUMN($F$1),FALSE), "・", 0)) + 1), 0)</f>
        <v>0</v>
      </c>
      <c r="AV84">
        <f>IF(ISNUMBER(SEARCH(SUBSTITUTE(AV$1,RIGHT(AV$1,2),""),VLOOKUP($D84,素材!$1:$1016,COLUMN($F$1),FALSE))),VLOOKUP($C84,武器!$1:$998,COLUMN($O$1),FALSE)*VLOOKUP($D84,素材!$1:$1016,COLUMN($E$1),FALSE)/(LEN(VLOOKUP($D84,素材!$1:$1016,COLUMN($F$1),FALSE)) - LEN(SUBSTITUTE(VLOOKUP($D84,素材!$1:$1016,COLUMN($F$1),FALSE), "・", 0)) + 1), 0)</f>
        <v>0</v>
      </c>
      <c r="AW84">
        <f>IF(ISNUMBER(SEARCH(SUBSTITUTE(AW$1,RIGHT(AW$1,2),""),VLOOKUP($D84,素材!$1:$1016,COLUMN($F$1),FALSE))),VLOOKUP($C84,武器!$1:$998,COLUMN($O$1),FALSE)*VLOOKUP($D84,素材!$1:$1016,COLUMN($E$1),FALSE)/(LEN(VLOOKUP($D84,素材!$1:$1016,COLUMN($F$1),FALSE)) - LEN(SUBSTITUTE(VLOOKUP($D84,素材!$1:$1016,COLUMN($F$1),FALSE), "・", 0)) + 1), 0)</f>
        <v>0</v>
      </c>
      <c r="AX84">
        <f>IF(ISNUMBER(SEARCH(SUBSTITUTE(AX$1,RIGHT(AX$1,2),""),VLOOKUP($D84,素材!$1:$1016,COLUMN($F$1),FALSE))),VLOOKUP($C84,武器!$1:$998,COLUMN($O$1),FALSE)*VLOOKUP($D84,素材!$1:$1016,COLUMN($E$1),FALSE)/(LEN(VLOOKUP($D84,素材!$1:$1016,COLUMN($F$1),FALSE)) - LEN(SUBSTITUTE(VLOOKUP($D84,素材!$1:$1016,COLUMN($F$1),FALSE), "・", 0)) + 1), 0)</f>
        <v>0</v>
      </c>
      <c r="AY84">
        <f>IF(ISNUMBER(SEARCH(SUBSTITUTE(AY$1,RIGHT(AY$1,2),""),VLOOKUP($D84,素材!$1:$1016,COLUMN($F$1),FALSE))),VLOOKUP($C84,武器!$1:$998,COLUMN($O$1),FALSE)*VLOOKUP($D84,素材!$1:$1016,COLUMN($E$1),FALSE)/(LEN(VLOOKUP($D84,素材!$1:$1016,COLUMN($F$1),FALSE)) - LEN(SUBSTITUTE(VLOOKUP($D84,素材!$1:$1016,COLUMN($F$1),FALSE), "・", 0)) + 1), 0)</f>
        <v>0</v>
      </c>
      <c r="AZ84">
        <f>IF(ISNUMBER(SEARCH(SUBSTITUTE(AZ$1,RIGHT(AZ$1,2),""),VLOOKUP($D84,素材!$1:$1016,COLUMN($F$1),FALSE))),VLOOKUP($C84,武器!$1:$998,COLUMN($O$1),FALSE)*VLOOKUP($D84,素材!$1:$1016,COLUMN($E$1),FALSE)/(LEN(VLOOKUP($D84,素材!$1:$1016,COLUMN($F$1),FALSE)) - LEN(SUBSTITUTE(VLOOKUP($D84,素材!$1:$1016,COLUMN($F$1),FALSE), "・", 0)) + 1), 0)</f>
        <v>0</v>
      </c>
      <c r="BA84">
        <f>IF(ISNUMBER(SEARCH(SUBSTITUTE(BA$1,RIGHT(BA$1,2),""),VLOOKUP($D84,素材!$1:$1016,COLUMN($F$1),FALSE))),VLOOKUP($C84,武器!$1:$998,COLUMN($O$1),FALSE)*VLOOKUP($D84,素材!$1:$1016,COLUMN($E$1),FALSE)/(LEN(VLOOKUP($D84,素材!$1:$1016,COLUMN($F$1),FALSE)) - LEN(SUBSTITUTE(VLOOKUP($D84,素材!$1:$1016,COLUMN($F$1),FALSE), "・", 0)) + 1), 0)</f>
        <v>0</v>
      </c>
      <c r="BB84">
        <f>IF(ISNUMBER(SEARCH(SUBSTITUTE(BB$1,RIGHT(BB$1,2),""),VLOOKUP($D84,素材!$1:$1016,COLUMN($F$1),FALSE))),VLOOKUP($C84,武器!$1:$998,COLUMN($O$1),FALSE)*VLOOKUP($D84,素材!$1:$1016,COLUMN($E$1),FALSE)/(LEN(VLOOKUP($D84,素材!$1:$1016,COLUMN($F$1),FALSE)) - LEN(SUBSTITUTE(VLOOKUP($D84,素材!$1:$1016,COLUMN($F$1),FALSE), "・", 0)) + 1), 0)</f>
        <v>0</v>
      </c>
      <c r="BC84">
        <f>IF(ISNUMBER(SEARCH(SUBSTITUTE(BC$1,RIGHT(BC$1,2),""),VLOOKUP($D84,素材!$1:$1016,COLUMN($F$1),FALSE))),VLOOKUP($C84,武器!$1:$998,COLUMN($O$1),FALSE)*VLOOKUP($D84,素材!$1:$1016,COLUMN($E$1),FALSE)/(LEN(VLOOKUP($D84,素材!$1:$1016,COLUMN($F$1),FALSE)) - LEN(SUBSTITUTE(VLOOKUP($D84,素材!$1:$1016,COLUMN($F$1),FALSE), "・", 0)) + 1), 0)</f>
        <v>0</v>
      </c>
      <c r="BD84">
        <f>IF(ISNUMBER(SEARCH(SUBSTITUTE(BD$1,RIGHT(BD$1,2),""),VLOOKUP($D84,素材!$1:$1016,COLUMN($F$1),FALSE))),VLOOKUP($C84,武器!$1:$998,COLUMN($O$1),FALSE)*VLOOKUP($D84,素材!$1:$1016,COLUMN($E$1),FALSE)/(LEN(VLOOKUP($D84,素材!$1:$1016,COLUMN($F$1),FALSE)) - LEN(SUBSTITUTE(VLOOKUP($D84,素材!$1:$1016,COLUMN($F$1),FALSE), "・", 0)) + 1), 0)</f>
        <v>0</v>
      </c>
      <c r="BE84">
        <f>IF(ISNUMBER(SEARCH(SUBSTITUTE(BE$1,RIGHT(BE$1,2),""),VLOOKUP($D84,素材!$1:$1016,COLUMN($F$1),FALSE))),VLOOKUP($C84,武器!$1:$998,COLUMN($O$1),FALSE)*VLOOKUP($D84,素材!$1:$1016,COLUMN($E$1),FALSE)/(LEN(VLOOKUP($D84,素材!$1:$1016,COLUMN($F$1),FALSE)) - LEN(SUBSTITUTE(VLOOKUP($D84,素材!$1:$1016,COLUMN($F$1),FALSE), "・", 0)) + 1), 0)</f>
        <v>0</v>
      </c>
      <c r="CL84">
        <f>SUM(G84:I84)</f>
        <v>29</v>
      </c>
      <c r="CM84" s="22" t="str">
        <f>IF(E84="武器",IF(J84-1&gt;SUM(G84:I84),"盾",IF(MAX(G84:I84)=G84,"切断",IF(MAX(G84:I84)=H84,"貫通",IF(MAX(G84:I84)=I84,"打撃","射撃")))),E84)&amp;".webp"</f>
        <v>貫通.webp</v>
      </c>
      <c r="CN84">
        <f>IFERROR(VLOOKUP($C84,武器!$1:$998,COLUMN(V$1),FALSE)*VLOOKUP($D84,素材!$1:$1016,COLUMN(N$1),FALSE)+IF(CI84="",0,VLOOKUP($CI84,装強!$1:$1008,COLUMN($CK$1),FALSE)),"")</f>
        <v>900</v>
      </c>
      <c r="CO84" t="str">
        <f>VLOOKUP(D84,素材!$A:$O,COLUMN(素材!O$1),FALSE)</f>
        <v>鍛えられた鉄。硬度が高く安価なためよく使用される。</v>
      </c>
      <c r="CP84" t="str">
        <f>VLOOKUP(C84,武器!$A:$W,COLUMN(武器!W$1),FALSE)</f>
        <v>細剣。刺突に優れた武器でCr率が高い</v>
      </c>
      <c r="CR84" t="str">
        <f t="shared" si="5"/>
        <v>e_84</v>
      </c>
      <c r="CS84">
        <f t="shared" si="6"/>
        <v>90000</v>
      </c>
    </row>
    <row r="85" spans="1:97" outlineLevel="1" x14ac:dyDescent="0.4">
      <c r="A85" t="str">
        <f t="shared" si="4"/>
        <v>鋼の刺剣</v>
      </c>
      <c r="B85" t="str">
        <f>IFERROR(VLOOKUP($D85,素材!$1:$1016,COLUMN($B$1),FALSE)&amp;"・"&amp;VLOOKUP($C85,武器!$1:$998,COLUMN(B$1),FALSE),"")</f>
        <v>スチール・スティレット</v>
      </c>
      <c r="C85" s="24" t="s">
        <v>235</v>
      </c>
      <c r="D85" s="24" t="s">
        <v>253</v>
      </c>
      <c r="E85" t="str">
        <f>IFERROR(VLOOKUP(C85,武器!$1:$998,COLUMN(C$1),FALSE),"")</f>
        <v>武器</v>
      </c>
      <c r="F85">
        <f>IFERROR(ROUNDDOWN((VLOOKUP($C85,武器!$1:$998,COLUMN(D$1),FALSE)+IFERROR(VLOOKUP($CI85,装強!$1:$999,COLUMN(F$1),FALSE),0))*VLOOKUP($D85,素材!$1:$1016,COLUMN(D$1),FALSE),0),"")</f>
        <v>115</v>
      </c>
      <c r="G85">
        <f>IFERROR(ROUNDDOWN((VLOOKUP($C85,武器!$1:$998,COLUMN(E$1),FALSE)+IFERROR(VLOOKUP($CI85,装強!$1:$999,COLUMN(G$1),FALSE),0))*VLOOKUP($D85,素材!$1:$1016,COLUMN($E$1),FALSE),0),"")</f>
        <v>5</v>
      </c>
      <c r="H85">
        <f>IFERROR(ROUNDDOWN((VLOOKUP($C85,武器!$1:$998,COLUMN(F$1),FALSE)+IFERROR(VLOOKUP($CI85,装強!$1:$999,COLUMN(H$1),FALSE),0))*VLOOKUP($D85,素材!$1:$1016,COLUMN($E$1),FALSE),0),"")</f>
        <v>24</v>
      </c>
      <c r="I85">
        <f>IFERROR(ROUNDDOWN((VLOOKUP($C85,武器!$1:$998,COLUMN(G$1),FALSE)+IFERROR(VLOOKUP($CI85,装強!$1:$999,COLUMN(I$1),FALSE),0))*VLOOKUP($D85,素材!$1:$1016,COLUMN($E$1),FALSE),0),"")</f>
        <v>0</v>
      </c>
      <c r="J85">
        <f>IFERROR(ROUNDDOWN((VLOOKUP($C85,武器!$1:$998,COLUMN(H$1),FALSE)+IFERROR(VLOOKUP($CI85,装強!$1:$999,COLUMN(J$1),FALSE),0))*VLOOKUP($D85,素材!$1:$1016,COLUMN($E$1),FALSE),0),"")</f>
        <v>22</v>
      </c>
      <c r="K85">
        <f>IFERROR(ROUNDDOWN((VLOOKUP($C85,武器!$1:$998,COLUMN(I$1),FALSE)+IFERROR(VLOOKUP($CI85,装強!$1:$999,COLUMN(K$1),FALSE),0))*VLOOKUP($D85,素材!$1:$1016,COLUMN($E$1),FALSE),0),"")</f>
        <v>0</v>
      </c>
      <c r="L85">
        <f>IFERROR(VLOOKUP($D85,素材!$1:$1016,COLUMN($F$1),FALSE),"")</f>
        <v>0</v>
      </c>
      <c r="M85">
        <f>IFERROR(VLOOKUP($C85,武器!$1:$998,COLUMN(AA$1),FALSE)*VLOOKUP($D85,素材!$1:$1016,COLUMN($G$1),FALSE),"")</f>
        <v>0</v>
      </c>
      <c r="N85">
        <f>IFERROR(VLOOKUP($C85,武器!$1:$998,COLUMN(I$1),FALSE),"")</f>
        <v>0</v>
      </c>
      <c r="O85" s="23">
        <f>IFERROR((VLOOKUP($C85,武器!$1:$998,COLUMN(K$1),FALSE)+VLOOKUP($D85,素材!$1:$1016,COLUMN(H$1),FALSE))*100+IFERROR(VLOOKUP($CI85,装強!$1:$999,COLUMN(O$1),FALSE),0),"")</f>
        <v>10</v>
      </c>
      <c r="P85" s="23">
        <f>IFERROR((VLOOKUP($C85,武器!$1:$998,COLUMN(L$1),FALSE)+VLOOKUP($D85,素材!$1:$1016,COLUMN(I$1),FALSE))*100+IFERROR(VLOOKUP($CI85,装強!$1:$999,COLUMN(P$1),FALSE),0),"")</f>
        <v>150</v>
      </c>
      <c r="Q85">
        <f>IFERROR(ROUNDUP(VLOOKUP($C85,武器!$1:$998,COLUMN(M$1),FALSE)*(VLOOKUP($D85,素材!$1:$1002,COLUMN(D$1),FALSE)/100),1),"")</f>
        <v>0</v>
      </c>
      <c r="R85">
        <f>IFERROR(ROUNDUP(VLOOKUP($C85,武器!$1:$998,COLUMN(N$1),FALSE)*(VLOOKUP($D85,素材!$1:$1002,COLUMN(D$1),FALSE)/100),1),"")</f>
        <v>0</v>
      </c>
      <c r="S85">
        <f>IFERROR(VLOOKUP($C85,武器!$1:$998,COLUMN(P$1),FALSE),"")</f>
        <v>0</v>
      </c>
      <c r="T85">
        <f>IFERROR(VLOOKUP($C85,武器!$1:$998,COLUMN(Q$1),FALSE),"")</f>
        <v>0</v>
      </c>
      <c r="U85">
        <f>IFERROR(VLOOKUP($C85,武器!$1:$998,COLUMN(R$1),FALSE),"")</f>
        <v>0</v>
      </c>
      <c r="V85">
        <f>IFERROR(VLOOKUP($C85,武器!$1:$998,COLUMN(Q$1),FALSE),"")</f>
        <v>0</v>
      </c>
      <c r="W85" t="str">
        <f>IFERROR(VLOOKUP($C85,武器!$1:$998,COLUMN(T$1),FALSE),"")</f>
        <v>A</v>
      </c>
      <c r="Y85" t="str">
        <f>IFERROR(VLOOKUP($C85,武器!$1:$998,COLUMN(U$1),FALSE),"")</f>
        <v>片手適正Ⅰ</v>
      </c>
      <c r="Z85">
        <f>IFERROR(ROUNDUP(VLOOKUP($C85,武器!$1:$998,COLUMN(O$1),FALSE)*VLOOKUP($D85,素材!$1:$1016,COLUMN(E$1),FALSE),1),"")</f>
        <v>0</v>
      </c>
      <c r="AA85">
        <f>IF(ISNUMBER(SEARCH(SUBSTITUTE(AA$1,RIGHT(AA$1,2),""),VLOOKUP($D85,素材!$1:$1016,COLUMN($F$1),FALSE))),VLOOKUP($C85,武器!$1:$998,COLUMN($O$1),FALSE)*VLOOKUP($D85,素材!$1:$1016,COLUMN($E$1),FALSE)/(LEN(VLOOKUP($D85,素材!$1:$1016,COLUMN($F$1),FALSE)) - LEN(SUBSTITUTE(VLOOKUP($D85,素材!$1:$1016,COLUMN($F$1),FALSE), "・", 0)) + 1), 0)</f>
        <v>0</v>
      </c>
      <c r="AB85">
        <f>IF(ISNUMBER(SEARCH(SUBSTITUTE(AB$1,RIGHT(AB$1,2),""),VLOOKUP($D85,素材!$1:$1016,COLUMN($F$1),FALSE))),VLOOKUP($C85,武器!$1:$998,COLUMN($O$1),FALSE)*VLOOKUP($D85,素材!$1:$1016,COLUMN($E$1),FALSE)/(LEN(VLOOKUP($D85,素材!$1:$1016,COLUMN($F$1),FALSE)) - LEN(SUBSTITUTE(VLOOKUP($D85,素材!$1:$1016,COLUMN($F$1),FALSE), "・", 0)) + 1), 0)</f>
        <v>0</v>
      </c>
      <c r="AC85">
        <f>IF(ISNUMBER(SEARCH(SUBSTITUTE(AC$1,RIGHT(AC$1,2),""),VLOOKUP($D85,素材!$1:$1016,COLUMN($F$1),FALSE))),VLOOKUP($C85,武器!$1:$998,COLUMN($O$1),FALSE)*VLOOKUP($D85,素材!$1:$1016,COLUMN($E$1),FALSE)/(LEN(VLOOKUP($D85,素材!$1:$1016,COLUMN($F$1),FALSE)) - LEN(SUBSTITUTE(VLOOKUP($D85,素材!$1:$1016,COLUMN($F$1),FALSE), "・", 0)) + 1), 0)</f>
        <v>0</v>
      </c>
      <c r="AD85">
        <f>IF(ISNUMBER(SEARCH(SUBSTITUTE(AD$1,RIGHT(AD$1,2),""),VLOOKUP($D85,素材!$1:$1016,COLUMN($F$1),FALSE))),VLOOKUP($C85,武器!$1:$998,COLUMN($O$1),FALSE)*VLOOKUP($D85,素材!$1:$1016,COLUMN($E$1),FALSE)/(LEN(VLOOKUP($D85,素材!$1:$1016,COLUMN($F$1),FALSE)) - LEN(SUBSTITUTE(VLOOKUP($D85,素材!$1:$1016,COLUMN($F$1),FALSE), "・", 0)) + 1), 0)</f>
        <v>0</v>
      </c>
      <c r="AE85">
        <f>IF(ISNUMBER(SEARCH(SUBSTITUTE(AE$1,RIGHT(AE$1,2),""),VLOOKUP($D85,素材!$1:$1016,COLUMN($F$1),FALSE))),VLOOKUP($C85,武器!$1:$998,COLUMN($O$1),FALSE)*VLOOKUP($D85,素材!$1:$1016,COLUMN($E$1),FALSE)/(LEN(VLOOKUP($D85,素材!$1:$1016,COLUMN($F$1),FALSE)) - LEN(SUBSTITUTE(VLOOKUP($D85,素材!$1:$1016,COLUMN($F$1),FALSE), "・", 0)) + 1), 0)</f>
        <v>0</v>
      </c>
      <c r="AF85">
        <f>IF(ISNUMBER(SEARCH(SUBSTITUTE(AF$1,RIGHT(AF$1,2),""),VLOOKUP($D85,素材!$1:$1016,COLUMN($F$1),FALSE))),VLOOKUP($C85,武器!$1:$998,COLUMN($O$1),FALSE)*VLOOKUP($D85,素材!$1:$1016,COLUMN($E$1),FALSE)/(LEN(VLOOKUP($D85,素材!$1:$1016,COLUMN($F$1),FALSE)) - LEN(SUBSTITUTE(VLOOKUP($D85,素材!$1:$1016,COLUMN($F$1),FALSE), "・", 0)) + 1), 0)</f>
        <v>0</v>
      </c>
      <c r="AG85">
        <f>IF(ISNUMBER(SEARCH(SUBSTITUTE(AG$1,RIGHT(AG$1,2),""),VLOOKUP($D85,素材!$1:$1016,COLUMN($F$1),FALSE))),VLOOKUP($C85,武器!$1:$998,COLUMN($O$1),FALSE)*VLOOKUP($D85,素材!$1:$1016,COLUMN($E$1),FALSE)/(LEN(VLOOKUP($D85,素材!$1:$1016,COLUMN($F$1),FALSE)) - LEN(SUBSTITUTE(VLOOKUP($D85,素材!$1:$1016,COLUMN($F$1),FALSE), "・", 0)) + 1), 0)</f>
        <v>0</v>
      </c>
      <c r="AH85">
        <f>IF(ISNUMBER(SEARCH(SUBSTITUTE(AH$1,RIGHT(AH$1,2),""),VLOOKUP($D85,素材!$1:$1016,COLUMN($F$1),FALSE))),VLOOKUP($C85,武器!$1:$998,COLUMN($O$1),FALSE)*VLOOKUP($D85,素材!$1:$1016,COLUMN($E$1),FALSE)/(LEN(VLOOKUP($D85,素材!$1:$1016,COLUMN($F$1),FALSE)) - LEN(SUBSTITUTE(VLOOKUP($D85,素材!$1:$1016,COLUMN($F$1),FALSE), "・", 0)) + 1), 0)</f>
        <v>0</v>
      </c>
      <c r="AI85">
        <f>IF(ISNUMBER(SEARCH(SUBSTITUTE(AI$1,RIGHT(AI$1,2),""),VLOOKUP($D85,素材!$1:$1016,COLUMN($F$1),FALSE))),VLOOKUP($C85,武器!$1:$998,COLUMN($O$1),FALSE)*VLOOKUP($D85,素材!$1:$1016,COLUMN($E$1),FALSE)/(LEN(VLOOKUP($D85,素材!$1:$1016,COLUMN($F$1),FALSE)) - LEN(SUBSTITUTE(VLOOKUP($D85,素材!$1:$1016,COLUMN($F$1),FALSE), "・", 0)) + 1), 0)</f>
        <v>0</v>
      </c>
      <c r="AJ85">
        <f>IF(ISNUMBER(SEARCH(SUBSTITUTE(AJ$1,RIGHT(AJ$1,2),""),VLOOKUP($D85,素材!$1:$1016,COLUMN($F$1),FALSE))),VLOOKUP($C85,武器!$1:$998,COLUMN($O$1),FALSE)*VLOOKUP($D85,素材!$1:$1016,COLUMN($E$1),FALSE)/(LEN(VLOOKUP($D85,素材!$1:$1016,COLUMN($F$1),FALSE)) - LEN(SUBSTITUTE(VLOOKUP($D85,素材!$1:$1016,COLUMN($F$1),FALSE), "・", 0)) + 1), 0)</f>
        <v>0</v>
      </c>
      <c r="AK85">
        <f>IF(ISNUMBER(SEARCH(SUBSTITUTE(AK$1,RIGHT(AK$1,2),""),VLOOKUP($D85,素材!$1:$1016,COLUMN($F$1),FALSE))),VLOOKUP($C85,武器!$1:$998,COLUMN($O$1),FALSE)*VLOOKUP($D85,素材!$1:$1016,COLUMN($E$1),FALSE)/(LEN(VLOOKUP($D85,素材!$1:$1016,COLUMN($F$1),FALSE)) - LEN(SUBSTITUTE(VLOOKUP($D85,素材!$1:$1016,COLUMN($F$1),FALSE), "・", 0)) + 1), 0)</f>
        <v>0</v>
      </c>
      <c r="AL85">
        <f>IF(ISNUMBER(SEARCH(SUBSTITUTE(AL$1,RIGHT(AL$1,2),""),VLOOKUP($D85,素材!$1:$1016,COLUMN($F$1),FALSE))),VLOOKUP($C85,武器!$1:$998,COLUMN($O$1),FALSE)*VLOOKUP($D85,素材!$1:$1016,COLUMN($E$1),FALSE)/(LEN(VLOOKUP($D85,素材!$1:$1016,COLUMN($F$1),FALSE)) - LEN(SUBSTITUTE(VLOOKUP($D85,素材!$1:$1016,COLUMN($F$1),FALSE), "・", 0)) + 1), 0)</f>
        <v>0</v>
      </c>
      <c r="AM85">
        <f>IF(ISNUMBER(SEARCH(SUBSTITUTE(AM$1,RIGHT(AM$1,2),""),VLOOKUP($D85,素材!$1:$1016,COLUMN($F$1),FALSE))),VLOOKUP($C85,武器!$1:$998,COLUMN($O$1),FALSE)*VLOOKUP($D85,素材!$1:$1016,COLUMN($E$1),FALSE)/(LEN(VLOOKUP($D85,素材!$1:$1016,COLUMN($F$1),FALSE)) - LEN(SUBSTITUTE(VLOOKUP($D85,素材!$1:$1016,COLUMN($F$1),FALSE), "・", 0)) + 1), 0)</f>
        <v>0</v>
      </c>
      <c r="AN85">
        <f>IF(ISNUMBER(SEARCH(SUBSTITUTE(AN$1,RIGHT(AN$1,2),""),VLOOKUP($D85,素材!$1:$1016,COLUMN($F$1),FALSE))),VLOOKUP($C85,武器!$1:$998,COLUMN($O$1),FALSE)*VLOOKUP($D85,素材!$1:$1016,COLUMN($E$1),FALSE)/(LEN(VLOOKUP($D85,素材!$1:$1016,COLUMN($F$1),FALSE)) - LEN(SUBSTITUTE(VLOOKUP($D85,素材!$1:$1016,COLUMN($F$1),FALSE), "・", 0)) + 1), 0)</f>
        <v>0</v>
      </c>
      <c r="AO85">
        <f>IF(ISNUMBER(SEARCH(SUBSTITUTE(AO$1,RIGHT(AO$1,2),""),VLOOKUP($D85,素材!$1:$1016,COLUMN($F$1),FALSE))),VLOOKUP($C85,武器!$1:$998,COLUMN($O$1),FALSE)*VLOOKUP($D85,素材!$1:$1016,COLUMN($E$1),FALSE)/(LEN(VLOOKUP($D85,素材!$1:$1016,COLUMN($F$1),FALSE)) - LEN(SUBSTITUTE(VLOOKUP($D85,素材!$1:$1016,COLUMN($F$1),FALSE), "・", 0)) + 1), 0)</f>
        <v>0</v>
      </c>
      <c r="AP85">
        <f>IF(ISNUMBER(SEARCH(SUBSTITUTE(AP$1,RIGHT(AP$1,2),""),VLOOKUP($D85,素材!$1:$1016,COLUMN($F$1),FALSE))),VLOOKUP($C85,武器!$1:$998,COLUMN($O$1),FALSE)*VLOOKUP($D85,素材!$1:$1016,COLUMN($E$1),FALSE)/(LEN(VLOOKUP($D85,素材!$1:$1016,COLUMN($F$1),FALSE)) - LEN(SUBSTITUTE(VLOOKUP($D85,素材!$1:$1016,COLUMN($F$1),FALSE), "・", 0)) + 1), 0)</f>
        <v>0</v>
      </c>
      <c r="AQ85">
        <f>IF(ISNUMBER(SEARCH(SUBSTITUTE(AQ$1,RIGHT(AQ$1,2),""),VLOOKUP($D85,素材!$1:$1016,COLUMN($F$1),FALSE))),VLOOKUP($C85,武器!$1:$998,COLUMN($O$1),FALSE)*VLOOKUP($D85,素材!$1:$1016,COLUMN($E$1),FALSE)/(LEN(VLOOKUP($D85,素材!$1:$1016,COLUMN($F$1),FALSE)) - LEN(SUBSTITUTE(VLOOKUP($D85,素材!$1:$1016,COLUMN($F$1),FALSE), "・", 0)) + 1), 0)</f>
        <v>0</v>
      </c>
      <c r="AR85">
        <f>IF(ISNUMBER(SEARCH(SUBSTITUTE(AR$1,RIGHT(AR$1,2),""),VLOOKUP($D85,素材!$1:$1016,COLUMN($F$1),FALSE))),VLOOKUP($C85,武器!$1:$998,COLUMN($O$1),FALSE)*VLOOKUP($D85,素材!$1:$1016,COLUMN($E$1),FALSE)/(LEN(VLOOKUP($D85,素材!$1:$1016,COLUMN($F$1),FALSE)) - LEN(SUBSTITUTE(VLOOKUP($D85,素材!$1:$1016,COLUMN($F$1),FALSE), "・", 0)) + 1), 0)</f>
        <v>0</v>
      </c>
      <c r="AS85">
        <f>IF(ISNUMBER(SEARCH(SUBSTITUTE(AS$1,RIGHT(AS$1,2),""),VLOOKUP($D85,素材!$1:$1016,COLUMN($F$1),FALSE))),VLOOKUP($C85,武器!$1:$998,COLUMN($O$1),FALSE)*VLOOKUP($D85,素材!$1:$1016,COLUMN($E$1),FALSE)/(LEN(VLOOKUP($D85,素材!$1:$1016,COLUMN($F$1),FALSE)) - LEN(SUBSTITUTE(VLOOKUP($D85,素材!$1:$1016,COLUMN($F$1),FALSE), "・", 0)) + 1), 0)</f>
        <v>0</v>
      </c>
      <c r="AT85">
        <f>IF(ISNUMBER(SEARCH(SUBSTITUTE(AT$1,RIGHT(AT$1,2),""),VLOOKUP($D85,素材!$1:$1016,COLUMN($F$1),FALSE))),VLOOKUP($C85,武器!$1:$998,COLUMN($O$1),FALSE)*VLOOKUP($D85,素材!$1:$1016,COLUMN($E$1),FALSE)/(LEN(VLOOKUP($D85,素材!$1:$1016,COLUMN($F$1),FALSE)) - LEN(SUBSTITUTE(VLOOKUP($D85,素材!$1:$1016,COLUMN($F$1),FALSE), "・", 0)) + 1), 0)</f>
        <v>0</v>
      </c>
      <c r="AU85">
        <f>IF(ISNUMBER(SEARCH(SUBSTITUTE(AU$1,RIGHT(AU$1,2),""),VLOOKUP($D85,素材!$1:$1016,COLUMN($F$1),FALSE))),VLOOKUP($C85,武器!$1:$998,COLUMN($O$1),FALSE)*VLOOKUP($D85,素材!$1:$1016,COLUMN($E$1),FALSE)/(LEN(VLOOKUP($D85,素材!$1:$1016,COLUMN($F$1),FALSE)) - LEN(SUBSTITUTE(VLOOKUP($D85,素材!$1:$1016,COLUMN($F$1),FALSE), "・", 0)) + 1), 0)</f>
        <v>0</v>
      </c>
      <c r="AV85">
        <f>IF(ISNUMBER(SEARCH(SUBSTITUTE(AV$1,RIGHT(AV$1,2),""),VLOOKUP($D85,素材!$1:$1016,COLUMN($F$1),FALSE))),VLOOKUP($C85,武器!$1:$998,COLUMN($O$1),FALSE)*VLOOKUP($D85,素材!$1:$1016,COLUMN($E$1),FALSE)/(LEN(VLOOKUP($D85,素材!$1:$1016,COLUMN($F$1),FALSE)) - LEN(SUBSTITUTE(VLOOKUP($D85,素材!$1:$1016,COLUMN($F$1),FALSE), "・", 0)) + 1), 0)</f>
        <v>0</v>
      </c>
      <c r="AW85">
        <f>IF(ISNUMBER(SEARCH(SUBSTITUTE(AW$1,RIGHT(AW$1,2),""),VLOOKUP($D85,素材!$1:$1016,COLUMN($F$1),FALSE))),VLOOKUP($C85,武器!$1:$998,COLUMN($O$1),FALSE)*VLOOKUP($D85,素材!$1:$1016,COLUMN($E$1),FALSE)/(LEN(VLOOKUP($D85,素材!$1:$1016,COLUMN($F$1),FALSE)) - LEN(SUBSTITUTE(VLOOKUP($D85,素材!$1:$1016,COLUMN($F$1),FALSE), "・", 0)) + 1), 0)</f>
        <v>0</v>
      </c>
      <c r="AX85">
        <f>IF(ISNUMBER(SEARCH(SUBSTITUTE(AX$1,RIGHT(AX$1,2),""),VLOOKUP($D85,素材!$1:$1016,COLUMN($F$1),FALSE))),VLOOKUP($C85,武器!$1:$998,COLUMN($O$1),FALSE)*VLOOKUP($D85,素材!$1:$1016,COLUMN($E$1),FALSE)/(LEN(VLOOKUP($D85,素材!$1:$1016,COLUMN($F$1),FALSE)) - LEN(SUBSTITUTE(VLOOKUP($D85,素材!$1:$1016,COLUMN($F$1),FALSE), "・", 0)) + 1), 0)</f>
        <v>0</v>
      </c>
      <c r="AY85">
        <f>IF(ISNUMBER(SEARCH(SUBSTITUTE(AY$1,RIGHT(AY$1,2),""),VLOOKUP($D85,素材!$1:$1016,COLUMN($F$1),FALSE))),VLOOKUP($C85,武器!$1:$998,COLUMN($O$1),FALSE)*VLOOKUP($D85,素材!$1:$1016,COLUMN($E$1),FALSE)/(LEN(VLOOKUP($D85,素材!$1:$1016,COLUMN($F$1),FALSE)) - LEN(SUBSTITUTE(VLOOKUP($D85,素材!$1:$1016,COLUMN($F$1),FALSE), "・", 0)) + 1), 0)</f>
        <v>0</v>
      </c>
      <c r="AZ85">
        <f>IF(ISNUMBER(SEARCH(SUBSTITUTE(AZ$1,RIGHT(AZ$1,2),""),VLOOKUP($D85,素材!$1:$1016,COLUMN($F$1),FALSE))),VLOOKUP($C85,武器!$1:$998,COLUMN($O$1),FALSE)*VLOOKUP($D85,素材!$1:$1016,COLUMN($E$1),FALSE)/(LEN(VLOOKUP($D85,素材!$1:$1016,COLUMN($F$1),FALSE)) - LEN(SUBSTITUTE(VLOOKUP($D85,素材!$1:$1016,COLUMN($F$1),FALSE), "・", 0)) + 1), 0)</f>
        <v>0</v>
      </c>
      <c r="BA85">
        <f>IF(ISNUMBER(SEARCH(SUBSTITUTE(BA$1,RIGHT(BA$1,2),""),VLOOKUP($D85,素材!$1:$1016,COLUMN($F$1),FALSE))),VLOOKUP($C85,武器!$1:$998,COLUMN($O$1),FALSE)*VLOOKUP($D85,素材!$1:$1016,COLUMN($E$1),FALSE)/(LEN(VLOOKUP($D85,素材!$1:$1016,COLUMN($F$1),FALSE)) - LEN(SUBSTITUTE(VLOOKUP($D85,素材!$1:$1016,COLUMN($F$1),FALSE), "・", 0)) + 1), 0)</f>
        <v>0</v>
      </c>
      <c r="BB85">
        <f>IF(ISNUMBER(SEARCH(SUBSTITUTE(BB$1,RIGHT(BB$1,2),""),VLOOKUP($D85,素材!$1:$1016,COLUMN($F$1),FALSE))),VLOOKUP($C85,武器!$1:$998,COLUMN($O$1),FALSE)*VLOOKUP($D85,素材!$1:$1016,COLUMN($E$1),FALSE)/(LEN(VLOOKUP($D85,素材!$1:$1016,COLUMN($F$1),FALSE)) - LEN(SUBSTITUTE(VLOOKUP($D85,素材!$1:$1016,COLUMN($F$1),FALSE), "・", 0)) + 1), 0)</f>
        <v>0</v>
      </c>
      <c r="BC85">
        <f>IF(ISNUMBER(SEARCH(SUBSTITUTE(BC$1,RIGHT(BC$1,2),""),VLOOKUP($D85,素材!$1:$1016,COLUMN($F$1),FALSE))),VLOOKUP($C85,武器!$1:$998,COLUMN($O$1),FALSE)*VLOOKUP($D85,素材!$1:$1016,COLUMN($E$1),FALSE)/(LEN(VLOOKUP($D85,素材!$1:$1016,COLUMN($F$1),FALSE)) - LEN(SUBSTITUTE(VLOOKUP($D85,素材!$1:$1016,COLUMN($F$1),FALSE), "・", 0)) + 1), 0)</f>
        <v>0</v>
      </c>
      <c r="BD85">
        <f>IF(ISNUMBER(SEARCH(SUBSTITUTE(BD$1,RIGHT(BD$1,2),""),VLOOKUP($D85,素材!$1:$1016,COLUMN($F$1),FALSE))),VLOOKUP($C85,武器!$1:$998,COLUMN($O$1),FALSE)*VLOOKUP($D85,素材!$1:$1016,COLUMN($E$1),FALSE)/(LEN(VLOOKUP($D85,素材!$1:$1016,COLUMN($F$1),FALSE)) - LEN(SUBSTITUTE(VLOOKUP($D85,素材!$1:$1016,COLUMN($F$1),FALSE), "・", 0)) + 1), 0)</f>
        <v>0</v>
      </c>
      <c r="BE85">
        <f>IF(ISNUMBER(SEARCH(SUBSTITUTE(BE$1,RIGHT(BE$1,2),""),VLOOKUP($D85,素材!$1:$1016,COLUMN($F$1),FALSE))),VLOOKUP($C85,武器!$1:$998,COLUMN($O$1),FALSE)*VLOOKUP($D85,素材!$1:$1016,COLUMN($E$1),FALSE)/(LEN(VLOOKUP($D85,素材!$1:$1016,COLUMN($F$1),FALSE)) - LEN(SUBSTITUTE(VLOOKUP($D85,素材!$1:$1016,COLUMN($F$1),FALSE), "・", 0)) + 1), 0)</f>
        <v>0</v>
      </c>
      <c r="CL85">
        <f>SUM(G85:I85)</f>
        <v>29</v>
      </c>
      <c r="CM85" s="22" t="str">
        <f>IF(E85="武器",IF(J85-1&gt;SUM(G85:I85),"盾",IF(MAX(G85:I85)=G85,"切断",IF(MAX(G85:I85)=H85,"貫通",IF(MAX(G85:I85)=I85,"打撃","射撃")))),E85)&amp;".webp"</f>
        <v>貫通.webp</v>
      </c>
      <c r="CN85">
        <f>IFERROR(VLOOKUP($C85,武器!$1:$998,COLUMN(V$1),FALSE)*VLOOKUP($D85,素材!$1:$1016,COLUMN(N$1),FALSE)+IF(CI85="",0,VLOOKUP($CI85,装強!$1:$1008,COLUMN($CK$1),FALSE)),"")</f>
        <v>675</v>
      </c>
      <c r="CO85" t="str">
        <f>VLOOKUP(D85,素材!$A:$O,COLUMN(素材!O$1),FALSE)</f>
        <v>鍛えられた鉄。硬度が高く安価なためよく使用される。</v>
      </c>
      <c r="CP85" t="str">
        <f>VLOOKUP(C85,武器!$A:$W,COLUMN(武器!W$1),FALSE)</f>
        <v>刺剣。小型で精密な攻撃が可能な武器。</v>
      </c>
      <c r="CR85" t="str">
        <f t="shared" si="5"/>
        <v>e_85</v>
      </c>
      <c r="CS85">
        <f t="shared" si="6"/>
        <v>67500</v>
      </c>
    </row>
    <row r="86" spans="1:97" outlineLevel="1" x14ac:dyDescent="0.4">
      <c r="A86" t="str">
        <f t="shared" si="4"/>
        <v>鋼の短槍</v>
      </c>
      <c r="B86" t="str">
        <f>IFERROR(VLOOKUP($D86,素材!$1:$1016,COLUMN($B$1),FALSE)&amp;"・"&amp;VLOOKUP($C86,武器!$1:$998,COLUMN(B$1),FALSE),"")</f>
        <v>スチール・ショートスピア</v>
      </c>
      <c r="C86" s="24" t="s">
        <v>234</v>
      </c>
      <c r="D86" s="24" t="s">
        <v>253</v>
      </c>
      <c r="E86" t="str">
        <f>IFERROR(VLOOKUP(C86,武器!$1:$998,COLUMN(C$1),FALSE),"")</f>
        <v>武器</v>
      </c>
      <c r="F86">
        <f>IFERROR(ROUNDDOWN((VLOOKUP($C86,武器!$1:$998,COLUMN(D$1),FALSE)+IFERROR(VLOOKUP($CI86,装強!$1:$999,COLUMN(F$1),FALSE),0))*VLOOKUP($D86,素材!$1:$1016,COLUMN(D$1),FALSE),0),"")</f>
        <v>110</v>
      </c>
      <c r="G86">
        <f>IFERROR(ROUNDDOWN((VLOOKUP($C86,武器!$1:$998,COLUMN(E$1),FALSE)+IFERROR(VLOOKUP($CI86,装強!$1:$999,COLUMN(G$1),FALSE),0))*VLOOKUP($D86,素材!$1:$1016,COLUMN($E$1),FALSE),0),"")</f>
        <v>10</v>
      </c>
      <c r="H86">
        <f>IFERROR(ROUNDDOWN((VLOOKUP($C86,武器!$1:$998,COLUMN(F$1),FALSE)+IFERROR(VLOOKUP($CI86,装強!$1:$999,COLUMN(H$1),FALSE),0))*VLOOKUP($D86,素材!$1:$1016,COLUMN($E$1),FALSE),0),"")</f>
        <v>18</v>
      </c>
      <c r="I86">
        <f>IFERROR(ROUNDDOWN((VLOOKUP($C86,武器!$1:$998,COLUMN(G$1),FALSE)+IFERROR(VLOOKUP($CI86,装強!$1:$999,COLUMN(I$1),FALSE),0))*VLOOKUP($D86,素材!$1:$1016,COLUMN($E$1),FALSE),0),"")</f>
        <v>4</v>
      </c>
      <c r="J86">
        <f>IFERROR(ROUNDDOWN((VLOOKUP($C86,武器!$1:$998,COLUMN(H$1),FALSE)+IFERROR(VLOOKUP($CI86,装強!$1:$999,COLUMN(J$1),FALSE),0))*VLOOKUP($D86,素材!$1:$1016,COLUMN($E$1),FALSE),0),"")</f>
        <v>22</v>
      </c>
      <c r="K86">
        <f>IFERROR(ROUNDDOWN((VLOOKUP($C86,武器!$1:$998,COLUMN(I$1),FALSE)+IFERROR(VLOOKUP($CI86,装強!$1:$999,COLUMN(K$1),FALSE),0))*VLOOKUP($D86,素材!$1:$1016,COLUMN($E$1),FALSE),0),"")</f>
        <v>0</v>
      </c>
      <c r="L86">
        <f>IFERROR(VLOOKUP($D86,素材!$1:$1016,COLUMN($F$1),FALSE),"")</f>
        <v>0</v>
      </c>
      <c r="M86">
        <f>IFERROR(VLOOKUP($C86,武器!$1:$998,COLUMN(AA$1),FALSE)*VLOOKUP($D86,素材!$1:$1016,COLUMN($G$1),FALSE),"")</f>
        <v>0</v>
      </c>
      <c r="N86">
        <f>IFERROR(VLOOKUP($C86,武器!$1:$998,COLUMN(I$1),FALSE),"")</f>
        <v>0</v>
      </c>
      <c r="O86" s="23">
        <f>IFERROR((VLOOKUP($C86,武器!$1:$998,COLUMN(K$1),FALSE)+VLOOKUP($D86,素材!$1:$1016,COLUMN(H$1),FALSE))*100+IFERROR(VLOOKUP($CI86,装強!$1:$999,COLUMN(O$1),FALSE),0),"")</f>
        <v>10</v>
      </c>
      <c r="P86" s="23">
        <f>IFERROR((VLOOKUP($C86,武器!$1:$998,COLUMN(L$1),FALSE)+VLOOKUP($D86,素材!$1:$1016,COLUMN(I$1),FALSE))*100+IFERROR(VLOOKUP($CI86,装強!$1:$999,COLUMN(P$1),FALSE),0),"")</f>
        <v>150</v>
      </c>
      <c r="Q86">
        <f>IFERROR(ROUNDUP(VLOOKUP($C86,武器!$1:$998,COLUMN(M$1),FALSE)*(VLOOKUP($D86,素材!$1:$1002,COLUMN(D$1),FALSE)/100),1),"")</f>
        <v>0</v>
      </c>
      <c r="R86">
        <f>IFERROR(ROUNDUP(VLOOKUP($C86,武器!$1:$998,COLUMN(N$1),FALSE)*(VLOOKUP($D86,素材!$1:$1002,COLUMN(D$1),FALSE)/100),1),"")</f>
        <v>0</v>
      </c>
      <c r="S86">
        <f>IFERROR(VLOOKUP($C86,武器!$1:$998,COLUMN(P$1),FALSE),"")</f>
        <v>0</v>
      </c>
      <c r="T86">
        <f>IFERROR(VLOOKUP($C86,武器!$1:$998,COLUMN(Q$1),FALSE),"")</f>
        <v>0</v>
      </c>
      <c r="U86">
        <f>IFERROR(VLOOKUP($C86,武器!$1:$998,COLUMN(R$1),FALSE),"")</f>
        <v>0</v>
      </c>
      <c r="V86">
        <f>IFERROR(VLOOKUP($C86,武器!$1:$998,COLUMN(Q$1),FALSE),"")</f>
        <v>0</v>
      </c>
      <c r="W86" t="str">
        <f>IFERROR(VLOOKUP($C86,武器!$1:$998,COLUMN(T$1),FALSE),"")</f>
        <v>A</v>
      </c>
      <c r="Y86" t="str">
        <f>IFERROR(VLOOKUP($C86,武器!$1:$998,COLUMN(U$1),FALSE),"")</f>
        <v>投擲強化</v>
      </c>
      <c r="Z86">
        <f>IFERROR(ROUNDUP(VLOOKUP($C86,武器!$1:$998,COLUMN(O$1),FALSE)*VLOOKUP($D86,素材!$1:$1016,COLUMN(E$1),FALSE),1),"")</f>
        <v>0</v>
      </c>
      <c r="AA86">
        <f>IF(ISNUMBER(SEARCH(SUBSTITUTE(AA$1,RIGHT(AA$1,2),""),VLOOKUP($D86,素材!$1:$1016,COLUMN($F$1),FALSE))),VLOOKUP($C86,武器!$1:$998,COLUMN($O$1),FALSE)*VLOOKUP($D86,素材!$1:$1016,COLUMN($E$1),FALSE)/(LEN(VLOOKUP($D86,素材!$1:$1016,COLUMN($F$1),FALSE)) - LEN(SUBSTITUTE(VLOOKUP($D86,素材!$1:$1016,COLUMN($F$1),FALSE), "・", 0)) + 1), 0)</f>
        <v>0</v>
      </c>
      <c r="AB86">
        <f>IF(ISNUMBER(SEARCH(SUBSTITUTE(AB$1,RIGHT(AB$1,2),""),VLOOKUP($D86,素材!$1:$1016,COLUMN($F$1),FALSE))),VLOOKUP($C86,武器!$1:$998,COLUMN($O$1),FALSE)*VLOOKUP($D86,素材!$1:$1016,COLUMN($E$1),FALSE)/(LEN(VLOOKUP($D86,素材!$1:$1016,COLUMN($F$1),FALSE)) - LEN(SUBSTITUTE(VLOOKUP($D86,素材!$1:$1016,COLUMN($F$1),FALSE), "・", 0)) + 1), 0)</f>
        <v>0</v>
      </c>
      <c r="AC86">
        <f>IF(ISNUMBER(SEARCH(SUBSTITUTE(AC$1,RIGHT(AC$1,2),""),VLOOKUP($D86,素材!$1:$1016,COLUMN($F$1),FALSE))),VLOOKUP($C86,武器!$1:$998,COLUMN($O$1),FALSE)*VLOOKUP($D86,素材!$1:$1016,COLUMN($E$1),FALSE)/(LEN(VLOOKUP($D86,素材!$1:$1016,COLUMN($F$1),FALSE)) - LEN(SUBSTITUTE(VLOOKUP($D86,素材!$1:$1016,COLUMN($F$1),FALSE), "・", 0)) + 1), 0)</f>
        <v>0</v>
      </c>
      <c r="AD86">
        <f>IF(ISNUMBER(SEARCH(SUBSTITUTE(AD$1,RIGHT(AD$1,2),""),VLOOKUP($D86,素材!$1:$1016,COLUMN($F$1),FALSE))),VLOOKUP($C86,武器!$1:$998,COLUMN($O$1),FALSE)*VLOOKUP($D86,素材!$1:$1016,COLUMN($E$1),FALSE)/(LEN(VLOOKUP($D86,素材!$1:$1016,COLUMN($F$1),FALSE)) - LEN(SUBSTITUTE(VLOOKUP($D86,素材!$1:$1016,COLUMN($F$1),FALSE), "・", 0)) + 1), 0)</f>
        <v>0</v>
      </c>
      <c r="AE86">
        <f>IF(ISNUMBER(SEARCH(SUBSTITUTE(AE$1,RIGHT(AE$1,2),""),VLOOKUP($D86,素材!$1:$1016,COLUMN($F$1),FALSE))),VLOOKUP($C86,武器!$1:$998,COLUMN($O$1),FALSE)*VLOOKUP($D86,素材!$1:$1016,COLUMN($E$1),FALSE)/(LEN(VLOOKUP($D86,素材!$1:$1016,COLUMN($F$1),FALSE)) - LEN(SUBSTITUTE(VLOOKUP($D86,素材!$1:$1016,COLUMN($F$1),FALSE), "・", 0)) + 1), 0)</f>
        <v>0</v>
      </c>
      <c r="AF86">
        <f>IF(ISNUMBER(SEARCH(SUBSTITUTE(AF$1,RIGHT(AF$1,2),""),VLOOKUP($D86,素材!$1:$1016,COLUMN($F$1),FALSE))),VLOOKUP($C86,武器!$1:$998,COLUMN($O$1),FALSE)*VLOOKUP($D86,素材!$1:$1016,COLUMN($E$1),FALSE)/(LEN(VLOOKUP($D86,素材!$1:$1016,COLUMN($F$1),FALSE)) - LEN(SUBSTITUTE(VLOOKUP($D86,素材!$1:$1016,COLUMN($F$1),FALSE), "・", 0)) + 1), 0)</f>
        <v>0</v>
      </c>
      <c r="AG86">
        <f>IF(ISNUMBER(SEARCH(SUBSTITUTE(AG$1,RIGHT(AG$1,2),""),VLOOKUP($D86,素材!$1:$1016,COLUMN($F$1),FALSE))),VLOOKUP($C86,武器!$1:$998,COLUMN($O$1),FALSE)*VLOOKUP($D86,素材!$1:$1016,COLUMN($E$1),FALSE)/(LEN(VLOOKUP($D86,素材!$1:$1016,COLUMN($F$1),FALSE)) - LEN(SUBSTITUTE(VLOOKUP($D86,素材!$1:$1016,COLUMN($F$1),FALSE), "・", 0)) + 1), 0)</f>
        <v>0</v>
      </c>
      <c r="AH86">
        <f>IF(ISNUMBER(SEARCH(SUBSTITUTE(AH$1,RIGHT(AH$1,2),""),VLOOKUP($D86,素材!$1:$1016,COLUMN($F$1),FALSE))),VLOOKUP($C86,武器!$1:$998,COLUMN($O$1),FALSE)*VLOOKUP($D86,素材!$1:$1016,COLUMN($E$1),FALSE)/(LEN(VLOOKUP($D86,素材!$1:$1016,COLUMN($F$1),FALSE)) - LEN(SUBSTITUTE(VLOOKUP($D86,素材!$1:$1016,COLUMN($F$1),FALSE), "・", 0)) + 1), 0)</f>
        <v>0</v>
      </c>
      <c r="AI86">
        <f>IF(ISNUMBER(SEARCH(SUBSTITUTE(AI$1,RIGHT(AI$1,2),""),VLOOKUP($D86,素材!$1:$1016,COLUMN($F$1),FALSE))),VLOOKUP($C86,武器!$1:$998,COLUMN($O$1),FALSE)*VLOOKUP($D86,素材!$1:$1016,COLUMN($E$1),FALSE)/(LEN(VLOOKUP($D86,素材!$1:$1016,COLUMN($F$1),FALSE)) - LEN(SUBSTITUTE(VLOOKUP($D86,素材!$1:$1016,COLUMN($F$1),FALSE), "・", 0)) + 1), 0)</f>
        <v>0</v>
      </c>
      <c r="AJ86">
        <f>IF(ISNUMBER(SEARCH(SUBSTITUTE(AJ$1,RIGHT(AJ$1,2),""),VLOOKUP($D86,素材!$1:$1016,COLUMN($F$1),FALSE))),VLOOKUP($C86,武器!$1:$998,COLUMN($O$1),FALSE)*VLOOKUP($D86,素材!$1:$1016,COLUMN($E$1),FALSE)/(LEN(VLOOKUP($D86,素材!$1:$1016,COLUMN($F$1),FALSE)) - LEN(SUBSTITUTE(VLOOKUP($D86,素材!$1:$1016,COLUMN($F$1),FALSE), "・", 0)) + 1), 0)</f>
        <v>0</v>
      </c>
      <c r="AK86">
        <f>IF(ISNUMBER(SEARCH(SUBSTITUTE(AK$1,RIGHT(AK$1,2),""),VLOOKUP($D86,素材!$1:$1016,COLUMN($F$1),FALSE))),VLOOKUP($C86,武器!$1:$998,COLUMN($O$1),FALSE)*VLOOKUP($D86,素材!$1:$1016,COLUMN($E$1),FALSE)/(LEN(VLOOKUP($D86,素材!$1:$1016,COLUMN($F$1),FALSE)) - LEN(SUBSTITUTE(VLOOKUP($D86,素材!$1:$1016,COLUMN($F$1),FALSE), "・", 0)) + 1), 0)</f>
        <v>0</v>
      </c>
      <c r="AL86">
        <f>IF(ISNUMBER(SEARCH(SUBSTITUTE(AL$1,RIGHT(AL$1,2),""),VLOOKUP($D86,素材!$1:$1016,COLUMN($F$1),FALSE))),VLOOKUP($C86,武器!$1:$998,COLUMN($O$1),FALSE)*VLOOKUP($D86,素材!$1:$1016,COLUMN($E$1),FALSE)/(LEN(VLOOKUP($D86,素材!$1:$1016,COLUMN($F$1),FALSE)) - LEN(SUBSTITUTE(VLOOKUP($D86,素材!$1:$1016,COLUMN($F$1),FALSE), "・", 0)) + 1), 0)</f>
        <v>0</v>
      </c>
      <c r="AM86">
        <f>IF(ISNUMBER(SEARCH(SUBSTITUTE(AM$1,RIGHT(AM$1,2),""),VLOOKUP($D86,素材!$1:$1016,COLUMN($F$1),FALSE))),VLOOKUP($C86,武器!$1:$998,COLUMN($O$1),FALSE)*VLOOKUP($D86,素材!$1:$1016,COLUMN($E$1),FALSE)/(LEN(VLOOKUP($D86,素材!$1:$1016,COLUMN($F$1),FALSE)) - LEN(SUBSTITUTE(VLOOKUP($D86,素材!$1:$1016,COLUMN($F$1),FALSE), "・", 0)) + 1), 0)</f>
        <v>0</v>
      </c>
      <c r="AN86">
        <f>IF(ISNUMBER(SEARCH(SUBSTITUTE(AN$1,RIGHT(AN$1,2),""),VLOOKUP($D86,素材!$1:$1016,COLUMN($F$1),FALSE))),VLOOKUP($C86,武器!$1:$998,COLUMN($O$1),FALSE)*VLOOKUP($D86,素材!$1:$1016,COLUMN($E$1),FALSE)/(LEN(VLOOKUP($D86,素材!$1:$1016,COLUMN($F$1),FALSE)) - LEN(SUBSTITUTE(VLOOKUP($D86,素材!$1:$1016,COLUMN($F$1),FALSE), "・", 0)) + 1), 0)</f>
        <v>0</v>
      </c>
      <c r="AO86">
        <f>IF(ISNUMBER(SEARCH(SUBSTITUTE(AO$1,RIGHT(AO$1,2),""),VLOOKUP($D86,素材!$1:$1016,COLUMN($F$1),FALSE))),VLOOKUP($C86,武器!$1:$998,COLUMN($O$1),FALSE)*VLOOKUP($D86,素材!$1:$1016,COLUMN($E$1),FALSE)/(LEN(VLOOKUP($D86,素材!$1:$1016,COLUMN($F$1),FALSE)) - LEN(SUBSTITUTE(VLOOKUP($D86,素材!$1:$1016,COLUMN($F$1),FALSE), "・", 0)) + 1), 0)</f>
        <v>0</v>
      </c>
      <c r="AP86">
        <f>IF(ISNUMBER(SEARCH(SUBSTITUTE(AP$1,RIGHT(AP$1,2),""),VLOOKUP($D86,素材!$1:$1016,COLUMN($F$1),FALSE))),VLOOKUP($C86,武器!$1:$998,COLUMN($O$1),FALSE)*VLOOKUP($D86,素材!$1:$1016,COLUMN($E$1),FALSE)/(LEN(VLOOKUP($D86,素材!$1:$1016,COLUMN($F$1),FALSE)) - LEN(SUBSTITUTE(VLOOKUP($D86,素材!$1:$1016,COLUMN($F$1),FALSE), "・", 0)) + 1), 0)</f>
        <v>0</v>
      </c>
      <c r="AQ86">
        <f>IF(ISNUMBER(SEARCH(SUBSTITUTE(AQ$1,RIGHT(AQ$1,2),""),VLOOKUP($D86,素材!$1:$1016,COLUMN($F$1),FALSE))),VLOOKUP($C86,武器!$1:$998,COLUMN($O$1),FALSE)*VLOOKUP($D86,素材!$1:$1016,COLUMN($E$1),FALSE)/(LEN(VLOOKUP($D86,素材!$1:$1016,COLUMN($F$1),FALSE)) - LEN(SUBSTITUTE(VLOOKUP($D86,素材!$1:$1016,COLUMN($F$1),FALSE), "・", 0)) + 1), 0)</f>
        <v>0</v>
      </c>
      <c r="AR86">
        <f>IF(ISNUMBER(SEARCH(SUBSTITUTE(AR$1,RIGHT(AR$1,2),""),VLOOKUP($D86,素材!$1:$1016,COLUMN($F$1),FALSE))),VLOOKUP($C86,武器!$1:$998,COLUMN($O$1),FALSE)*VLOOKUP($D86,素材!$1:$1016,COLUMN($E$1),FALSE)/(LEN(VLOOKUP($D86,素材!$1:$1016,COLUMN($F$1),FALSE)) - LEN(SUBSTITUTE(VLOOKUP($D86,素材!$1:$1016,COLUMN($F$1),FALSE), "・", 0)) + 1), 0)</f>
        <v>0</v>
      </c>
      <c r="AS86">
        <f>IF(ISNUMBER(SEARCH(SUBSTITUTE(AS$1,RIGHT(AS$1,2),""),VLOOKUP($D86,素材!$1:$1016,COLUMN($F$1),FALSE))),VLOOKUP($C86,武器!$1:$998,COLUMN($O$1),FALSE)*VLOOKUP($D86,素材!$1:$1016,COLUMN($E$1),FALSE)/(LEN(VLOOKUP($D86,素材!$1:$1016,COLUMN($F$1),FALSE)) - LEN(SUBSTITUTE(VLOOKUP($D86,素材!$1:$1016,COLUMN($F$1),FALSE), "・", 0)) + 1), 0)</f>
        <v>0</v>
      </c>
      <c r="AT86">
        <f>IF(ISNUMBER(SEARCH(SUBSTITUTE(AT$1,RIGHT(AT$1,2),""),VLOOKUP($D86,素材!$1:$1016,COLUMN($F$1),FALSE))),VLOOKUP($C86,武器!$1:$998,COLUMN($O$1),FALSE)*VLOOKUP($D86,素材!$1:$1016,COLUMN($E$1),FALSE)/(LEN(VLOOKUP($D86,素材!$1:$1016,COLUMN($F$1),FALSE)) - LEN(SUBSTITUTE(VLOOKUP($D86,素材!$1:$1016,COLUMN($F$1),FALSE), "・", 0)) + 1), 0)</f>
        <v>0</v>
      </c>
      <c r="AU86">
        <f>IF(ISNUMBER(SEARCH(SUBSTITUTE(AU$1,RIGHT(AU$1,2),""),VLOOKUP($D86,素材!$1:$1016,COLUMN($F$1),FALSE))),VLOOKUP($C86,武器!$1:$998,COLUMN($O$1),FALSE)*VLOOKUP($D86,素材!$1:$1016,COLUMN($E$1),FALSE)/(LEN(VLOOKUP($D86,素材!$1:$1016,COLUMN($F$1),FALSE)) - LEN(SUBSTITUTE(VLOOKUP($D86,素材!$1:$1016,COLUMN($F$1),FALSE), "・", 0)) + 1), 0)</f>
        <v>0</v>
      </c>
      <c r="AV86">
        <f>IF(ISNUMBER(SEARCH(SUBSTITUTE(AV$1,RIGHT(AV$1,2),""),VLOOKUP($D86,素材!$1:$1016,COLUMN($F$1),FALSE))),VLOOKUP($C86,武器!$1:$998,COLUMN($O$1),FALSE)*VLOOKUP($D86,素材!$1:$1016,COLUMN($E$1),FALSE)/(LEN(VLOOKUP($D86,素材!$1:$1016,COLUMN($F$1),FALSE)) - LEN(SUBSTITUTE(VLOOKUP($D86,素材!$1:$1016,COLUMN($F$1),FALSE), "・", 0)) + 1), 0)</f>
        <v>0</v>
      </c>
      <c r="AW86">
        <f>IF(ISNUMBER(SEARCH(SUBSTITUTE(AW$1,RIGHT(AW$1,2),""),VLOOKUP($D86,素材!$1:$1016,COLUMN($F$1),FALSE))),VLOOKUP($C86,武器!$1:$998,COLUMN($O$1),FALSE)*VLOOKUP($D86,素材!$1:$1016,COLUMN($E$1),FALSE)/(LEN(VLOOKUP($D86,素材!$1:$1016,COLUMN($F$1),FALSE)) - LEN(SUBSTITUTE(VLOOKUP($D86,素材!$1:$1016,COLUMN($F$1),FALSE), "・", 0)) + 1), 0)</f>
        <v>0</v>
      </c>
      <c r="AX86">
        <f>IF(ISNUMBER(SEARCH(SUBSTITUTE(AX$1,RIGHT(AX$1,2),""),VLOOKUP($D86,素材!$1:$1016,COLUMN($F$1),FALSE))),VLOOKUP($C86,武器!$1:$998,COLUMN($O$1),FALSE)*VLOOKUP($D86,素材!$1:$1016,COLUMN($E$1),FALSE)/(LEN(VLOOKUP($D86,素材!$1:$1016,COLUMN($F$1),FALSE)) - LEN(SUBSTITUTE(VLOOKUP($D86,素材!$1:$1016,COLUMN($F$1),FALSE), "・", 0)) + 1), 0)</f>
        <v>0</v>
      </c>
      <c r="AY86">
        <f>IF(ISNUMBER(SEARCH(SUBSTITUTE(AY$1,RIGHT(AY$1,2),""),VLOOKUP($D86,素材!$1:$1016,COLUMN($F$1),FALSE))),VLOOKUP($C86,武器!$1:$998,COLUMN($O$1),FALSE)*VLOOKUP($D86,素材!$1:$1016,COLUMN($E$1),FALSE)/(LEN(VLOOKUP($D86,素材!$1:$1016,COLUMN($F$1),FALSE)) - LEN(SUBSTITUTE(VLOOKUP($D86,素材!$1:$1016,COLUMN($F$1),FALSE), "・", 0)) + 1), 0)</f>
        <v>0</v>
      </c>
      <c r="AZ86">
        <f>IF(ISNUMBER(SEARCH(SUBSTITUTE(AZ$1,RIGHT(AZ$1,2),""),VLOOKUP($D86,素材!$1:$1016,COLUMN($F$1),FALSE))),VLOOKUP($C86,武器!$1:$998,COLUMN($O$1),FALSE)*VLOOKUP($D86,素材!$1:$1016,COLUMN($E$1),FALSE)/(LEN(VLOOKUP($D86,素材!$1:$1016,COLUMN($F$1),FALSE)) - LEN(SUBSTITUTE(VLOOKUP($D86,素材!$1:$1016,COLUMN($F$1),FALSE), "・", 0)) + 1), 0)</f>
        <v>0</v>
      </c>
      <c r="BA86">
        <f>IF(ISNUMBER(SEARCH(SUBSTITUTE(BA$1,RIGHT(BA$1,2),""),VLOOKUP($D86,素材!$1:$1016,COLUMN($F$1),FALSE))),VLOOKUP($C86,武器!$1:$998,COLUMN($O$1),FALSE)*VLOOKUP($D86,素材!$1:$1016,COLUMN($E$1),FALSE)/(LEN(VLOOKUP($D86,素材!$1:$1016,COLUMN($F$1),FALSE)) - LEN(SUBSTITUTE(VLOOKUP($D86,素材!$1:$1016,COLUMN($F$1),FALSE), "・", 0)) + 1), 0)</f>
        <v>0</v>
      </c>
      <c r="BB86">
        <f>IF(ISNUMBER(SEARCH(SUBSTITUTE(BB$1,RIGHT(BB$1,2),""),VLOOKUP($D86,素材!$1:$1016,COLUMN($F$1),FALSE))),VLOOKUP($C86,武器!$1:$998,COLUMN($O$1),FALSE)*VLOOKUP($D86,素材!$1:$1016,COLUMN($E$1),FALSE)/(LEN(VLOOKUP($D86,素材!$1:$1016,COLUMN($F$1),FALSE)) - LEN(SUBSTITUTE(VLOOKUP($D86,素材!$1:$1016,COLUMN($F$1),FALSE), "・", 0)) + 1), 0)</f>
        <v>0</v>
      </c>
      <c r="BC86">
        <f>IF(ISNUMBER(SEARCH(SUBSTITUTE(BC$1,RIGHT(BC$1,2),""),VLOOKUP($D86,素材!$1:$1016,COLUMN($F$1),FALSE))),VLOOKUP($C86,武器!$1:$998,COLUMN($O$1),FALSE)*VLOOKUP($D86,素材!$1:$1016,COLUMN($E$1),FALSE)/(LEN(VLOOKUP($D86,素材!$1:$1016,COLUMN($F$1),FALSE)) - LEN(SUBSTITUTE(VLOOKUP($D86,素材!$1:$1016,COLUMN($F$1),FALSE), "・", 0)) + 1), 0)</f>
        <v>0</v>
      </c>
      <c r="BD86">
        <f>IF(ISNUMBER(SEARCH(SUBSTITUTE(BD$1,RIGHT(BD$1,2),""),VLOOKUP($D86,素材!$1:$1016,COLUMN($F$1),FALSE))),VLOOKUP($C86,武器!$1:$998,COLUMN($O$1),FALSE)*VLOOKUP($D86,素材!$1:$1016,COLUMN($E$1),FALSE)/(LEN(VLOOKUP($D86,素材!$1:$1016,COLUMN($F$1),FALSE)) - LEN(SUBSTITUTE(VLOOKUP($D86,素材!$1:$1016,COLUMN($F$1),FALSE), "・", 0)) + 1), 0)</f>
        <v>0</v>
      </c>
      <c r="BE86">
        <f>IF(ISNUMBER(SEARCH(SUBSTITUTE(BE$1,RIGHT(BE$1,2),""),VLOOKUP($D86,素材!$1:$1016,COLUMN($F$1),FALSE))),VLOOKUP($C86,武器!$1:$998,COLUMN($O$1),FALSE)*VLOOKUP($D86,素材!$1:$1016,COLUMN($E$1),FALSE)/(LEN(VLOOKUP($D86,素材!$1:$1016,COLUMN($F$1),FALSE)) - LEN(SUBSTITUTE(VLOOKUP($D86,素材!$1:$1016,COLUMN($F$1),FALSE), "・", 0)) + 1), 0)</f>
        <v>0</v>
      </c>
      <c r="CL86">
        <f>SUM(G86:I86)</f>
        <v>32</v>
      </c>
      <c r="CM86" s="22" t="str">
        <f>IF(E86="武器",IF(J86-1&gt;SUM(G86:I86),"盾",IF(MAX(G86:I86)=G86,"切断",IF(MAX(G86:I86)=H86,"貫通",IF(MAX(G86:I86)=I86,"打撃","射撃")))),E86)&amp;".webp"</f>
        <v>貫通.webp</v>
      </c>
      <c r="CN86">
        <f>IFERROR(VLOOKUP($C86,武器!$1:$998,COLUMN(V$1),FALSE)*VLOOKUP($D86,素材!$1:$1016,COLUMN(N$1),FALSE)+IF(CI86="",0,VLOOKUP($CI86,装強!$1:$1008,COLUMN($CK$1),FALSE)),"")</f>
        <v>675</v>
      </c>
      <c r="CO86" t="str">
        <f>VLOOKUP(D86,素材!$A:$O,COLUMN(素材!O$1),FALSE)</f>
        <v>鍛えられた鉄。硬度が高く安価なためよく使用される。</v>
      </c>
      <c r="CP86" t="str">
        <f>VLOOKUP(C86,武器!$A:$W,COLUMN(武器!W$1),FALSE)</f>
        <v>短槍。短く扱いやすい槍で、投擲にも対応。</v>
      </c>
      <c r="CR86" t="str">
        <f t="shared" si="5"/>
        <v>e_86</v>
      </c>
      <c r="CS86">
        <f t="shared" si="6"/>
        <v>67500</v>
      </c>
    </row>
    <row r="87" spans="1:97" outlineLevel="1" x14ac:dyDescent="0.4">
      <c r="A87" t="str">
        <f t="shared" si="4"/>
        <v>鋼の槍</v>
      </c>
      <c r="B87" t="str">
        <f>IFERROR(VLOOKUP($D87,素材!$1:$1016,COLUMN($B$1),FALSE)&amp;"・"&amp;VLOOKUP($C87,武器!$1:$998,COLUMN(B$1),FALSE),"")</f>
        <v>スチール・スピア</v>
      </c>
      <c r="C87" s="24" t="s">
        <v>233</v>
      </c>
      <c r="D87" s="24" t="s">
        <v>253</v>
      </c>
      <c r="E87" t="str">
        <f>IFERROR(VLOOKUP(C87,武器!$1:$998,COLUMN(C$1),FALSE),"")</f>
        <v>武器</v>
      </c>
      <c r="F87">
        <f>IFERROR(ROUNDDOWN((VLOOKUP($C87,武器!$1:$998,COLUMN(D$1),FALSE)+IFERROR(VLOOKUP($CI87,装強!$1:$999,COLUMN(F$1),FALSE),0))*VLOOKUP($D87,素材!$1:$1016,COLUMN(D$1),FALSE),0),"")</f>
        <v>120</v>
      </c>
      <c r="G87">
        <f>IFERROR(ROUNDDOWN((VLOOKUP($C87,武器!$1:$998,COLUMN(E$1),FALSE)+IFERROR(VLOOKUP($CI87,装強!$1:$999,COLUMN(G$1),FALSE),0))*VLOOKUP($D87,素材!$1:$1016,COLUMN($E$1),FALSE),0),"")</f>
        <v>10</v>
      </c>
      <c r="H87">
        <f>IFERROR(ROUNDDOWN((VLOOKUP($C87,武器!$1:$998,COLUMN(F$1),FALSE)+IFERROR(VLOOKUP($CI87,装強!$1:$999,COLUMN(H$1),FALSE),0))*VLOOKUP($D87,素材!$1:$1016,COLUMN($E$1),FALSE),0),"")</f>
        <v>21</v>
      </c>
      <c r="I87">
        <f>IFERROR(ROUNDDOWN((VLOOKUP($C87,武器!$1:$998,COLUMN(G$1),FALSE)+IFERROR(VLOOKUP($CI87,装強!$1:$999,COLUMN(I$1),FALSE),0))*VLOOKUP($D87,素材!$1:$1016,COLUMN($E$1),FALSE),0),"")</f>
        <v>4</v>
      </c>
      <c r="J87">
        <f>IFERROR(ROUNDDOWN((VLOOKUP($C87,武器!$1:$998,COLUMN(H$1),FALSE)+IFERROR(VLOOKUP($CI87,装強!$1:$999,COLUMN(J$1),FALSE),0))*VLOOKUP($D87,素材!$1:$1016,COLUMN($E$1),FALSE),0),"")</f>
        <v>22</v>
      </c>
      <c r="K87">
        <f>IFERROR(ROUNDDOWN((VLOOKUP($C87,武器!$1:$998,COLUMN(I$1),FALSE)+IFERROR(VLOOKUP($CI87,装強!$1:$999,COLUMN(K$1),FALSE),0))*VLOOKUP($D87,素材!$1:$1016,COLUMN($E$1),FALSE),0),"")</f>
        <v>0</v>
      </c>
      <c r="L87">
        <f>IFERROR(VLOOKUP($D87,素材!$1:$1016,COLUMN($F$1),FALSE),"")</f>
        <v>0</v>
      </c>
      <c r="M87">
        <f>IFERROR(VLOOKUP($C87,武器!$1:$998,COLUMN(AA$1),FALSE)*VLOOKUP($D87,素材!$1:$1016,COLUMN($G$1),FALSE),"")</f>
        <v>0</v>
      </c>
      <c r="N87">
        <f>IFERROR(VLOOKUP($C87,武器!$1:$998,COLUMN(I$1),FALSE),"")</f>
        <v>0</v>
      </c>
      <c r="O87" s="23">
        <f>IFERROR((VLOOKUP($C87,武器!$1:$998,COLUMN(K$1),FALSE)+VLOOKUP($D87,素材!$1:$1016,COLUMN(H$1),FALSE))*100+IFERROR(VLOOKUP($CI87,装強!$1:$999,COLUMN(O$1),FALSE),0),"")</f>
        <v>10</v>
      </c>
      <c r="P87" s="23">
        <f>IFERROR((VLOOKUP($C87,武器!$1:$998,COLUMN(L$1),FALSE)+VLOOKUP($D87,素材!$1:$1016,COLUMN(I$1),FALSE))*100+IFERROR(VLOOKUP($CI87,装強!$1:$999,COLUMN(P$1),FALSE),0),"")</f>
        <v>150</v>
      </c>
      <c r="Q87">
        <f>IFERROR(ROUNDUP(VLOOKUP($C87,武器!$1:$998,COLUMN(M$1),FALSE)*(VLOOKUP($D87,素材!$1:$1002,COLUMN(D$1),FALSE)/100),1),"")</f>
        <v>0</v>
      </c>
      <c r="R87">
        <f>IFERROR(ROUNDUP(VLOOKUP($C87,武器!$1:$998,COLUMN(N$1),FALSE)*(VLOOKUP($D87,素材!$1:$1002,COLUMN(D$1),FALSE)/100),1),"")</f>
        <v>-5.3</v>
      </c>
      <c r="S87">
        <f>IFERROR(VLOOKUP($C87,武器!$1:$998,COLUMN(P$1),FALSE),"")</f>
        <v>0</v>
      </c>
      <c r="T87">
        <f>IFERROR(VLOOKUP($C87,武器!$1:$998,COLUMN(Q$1),FALSE),"")</f>
        <v>0</v>
      </c>
      <c r="U87">
        <f>IFERROR(VLOOKUP($C87,武器!$1:$998,COLUMN(R$1),FALSE),"")</f>
        <v>0</v>
      </c>
      <c r="V87">
        <f>IFERROR(VLOOKUP($C87,武器!$1:$998,COLUMN(Q$1),FALSE),"")</f>
        <v>0</v>
      </c>
      <c r="W87" t="str">
        <f>IFERROR(VLOOKUP($C87,武器!$1:$998,COLUMN(T$1),FALSE),"")</f>
        <v>A</v>
      </c>
      <c r="Y87" t="str">
        <f>IFERROR(VLOOKUP($C87,武器!$1:$998,COLUMN(U$1),FALSE),"")</f>
        <v>投擲強化</v>
      </c>
      <c r="Z87">
        <f>IFERROR(ROUNDUP(VLOOKUP($C87,武器!$1:$998,COLUMN(O$1),FALSE)*VLOOKUP($D87,素材!$1:$1016,COLUMN(E$1),FALSE),1),"")</f>
        <v>0</v>
      </c>
      <c r="AA87">
        <f>IF(ISNUMBER(SEARCH(SUBSTITUTE(AA$1,RIGHT(AA$1,2),""),VLOOKUP($D87,素材!$1:$1016,COLUMN($F$1),FALSE))),VLOOKUP($C87,武器!$1:$998,COLUMN($O$1),FALSE)*VLOOKUP($D87,素材!$1:$1016,COLUMN($E$1),FALSE)/(LEN(VLOOKUP($D87,素材!$1:$1016,COLUMN($F$1),FALSE)) - LEN(SUBSTITUTE(VLOOKUP($D87,素材!$1:$1016,COLUMN($F$1),FALSE), "・", 0)) + 1), 0)</f>
        <v>0</v>
      </c>
      <c r="AB87">
        <f>IF(ISNUMBER(SEARCH(SUBSTITUTE(AB$1,RIGHT(AB$1,2),""),VLOOKUP($D87,素材!$1:$1016,COLUMN($F$1),FALSE))),VLOOKUP($C87,武器!$1:$998,COLUMN($O$1),FALSE)*VLOOKUP($D87,素材!$1:$1016,COLUMN($E$1),FALSE)/(LEN(VLOOKUP($D87,素材!$1:$1016,COLUMN($F$1),FALSE)) - LEN(SUBSTITUTE(VLOOKUP($D87,素材!$1:$1016,COLUMN($F$1),FALSE), "・", 0)) + 1), 0)</f>
        <v>0</v>
      </c>
      <c r="AC87">
        <f>IF(ISNUMBER(SEARCH(SUBSTITUTE(AC$1,RIGHT(AC$1,2),""),VLOOKUP($D87,素材!$1:$1016,COLUMN($F$1),FALSE))),VLOOKUP($C87,武器!$1:$998,COLUMN($O$1),FALSE)*VLOOKUP($D87,素材!$1:$1016,COLUMN($E$1),FALSE)/(LEN(VLOOKUP($D87,素材!$1:$1016,COLUMN($F$1),FALSE)) - LEN(SUBSTITUTE(VLOOKUP($D87,素材!$1:$1016,COLUMN($F$1),FALSE), "・", 0)) + 1), 0)</f>
        <v>0</v>
      </c>
      <c r="AD87">
        <f>IF(ISNUMBER(SEARCH(SUBSTITUTE(AD$1,RIGHT(AD$1,2),""),VLOOKUP($D87,素材!$1:$1016,COLUMN($F$1),FALSE))),VLOOKUP($C87,武器!$1:$998,COLUMN($O$1),FALSE)*VLOOKUP($D87,素材!$1:$1016,COLUMN($E$1),FALSE)/(LEN(VLOOKUP($D87,素材!$1:$1016,COLUMN($F$1),FALSE)) - LEN(SUBSTITUTE(VLOOKUP($D87,素材!$1:$1016,COLUMN($F$1),FALSE), "・", 0)) + 1), 0)</f>
        <v>0</v>
      </c>
      <c r="AE87">
        <f>IF(ISNUMBER(SEARCH(SUBSTITUTE(AE$1,RIGHT(AE$1,2),""),VLOOKUP($D87,素材!$1:$1016,COLUMN($F$1),FALSE))),VLOOKUP($C87,武器!$1:$998,COLUMN($O$1),FALSE)*VLOOKUP($D87,素材!$1:$1016,COLUMN($E$1),FALSE)/(LEN(VLOOKUP($D87,素材!$1:$1016,COLUMN($F$1),FALSE)) - LEN(SUBSTITUTE(VLOOKUP($D87,素材!$1:$1016,COLUMN($F$1),FALSE), "・", 0)) + 1), 0)</f>
        <v>0</v>
      </c>
      <c r="AF87">
        <f>IF(ISNUMBER(SEARCH(SUBSTITUTE(AF$1,RIGHT(AF$1,2),""),VLOOKUP($D87,素材!$1:$1016,COLUMN($F$1),FALSE))),VLOOKUP($C87,武器!$1:$998,COLUMN($O$1),FALSE)*VLOOKUP($D87,素材!$1:$1016,COLUMN($E$1),FALSE)/(LEN(VLOOKUP($D87,素材!$1:$1016,COLUMN($F$1),FALSE)) - LEN(SUBSTITUTE(VLOOKUP($D87,素材!$1:$1016,COLUMN($F$1),FALSE), "・", 0)) + 1), 0)</f>
        <v>0</v>
      </c>
      <c r="AG87">
        <f>IF(ISNUMBER(SEARCH(SUBSTITUTE(AG$1,RIGHT(AG$1,2),""),VLOOKUP($D87,素材!$1:$1016,COLUMN($F$1),FALSE))),VLOOKUP($C87,武器!$1:$998,COLUMN($O$1),FALSE)*VLOOKUP($D87,素材!$1:$1016,COLUMN($E$1),FALSE)/(LEN(VLOOKUP($D87,素材!$1:$1016,COLUMN($F$1),FALSE)) - LEN(SUBSTITUTE(VLOOKUP($D87,素材!$1:$1016,COLUMN($F$1),FALSE), "・", 0)) + 1), 0)</f>
        <v>0</v>
      </c>
      <c r="AH87">
        <f>IF(ISNUMBER(SEARCH(SUBSTITUTE(AH$1,RIGHT(AH$1,2),""),VLOOKUP($D87,素材!$1:$1016,COLUMN($F$1),FALSE))),VLOOKUP($C87,武器!$1:$998,COLUMN($O$1),FALSE)*VLOOKUP($D87,素材!$1:$1016,COLUMN($E$1),FALSE)/(LEN(VLOOKUP($D87,素材!$1:$1016,COLUMN($F$1),FALSE)) - LEN(SUBSTITUTE(VLOOKUP($D87,素材!$1:$1016,COLUMN($F$1),FALSE), "・", 0)) + 1), 0)</f>
        <v>0</v>
      </c>
      <c r="AI87">
        <f>IF(ISNUMBER(SEARCH(SUBSTITUTE(AI$1,RIGHT(AI$1,2),""),VLOOKUP($D87,素材!$1:$1016,COLUMN($F$1),FALSE))),VLOOKUP($C87,武器!$1:$998,COLUMN($O$1),FALSE)*VLOOKUP($D87,素材!$1:$1016,COLUMN($E$1),FALSE)/(LEN(VLOOKUP($D87,素材!$1:$1016,COLUMN($F$1),FALSE)) - LEN(SUBSTITUTE(VLOOKUP($D87,素材!$1:$1016,COLUMN($F$1),FALSE), "・", 0)) + 1), 0)</f>
        <v>0</v>
      </c>
      <c r="AJ87">
        <f>IF(ISNUMBER(SEARCH(SUBSTITUTE(AJ$1,RIGHT(AJ$1,2),""),VLOOKUP($D87,素材!$1:$1016,COLUMN($F$1),FALSE))),VLOOKUP($C87,武器!$1:$998,COLUMN($O$1),FALSE)*VLOOKUP($D87,素材!$1:$1016,COLUMN($E$1),FALSE)/(LEN(VLOOKUP($D87,素材!$1:$1016,COLUMN($F$1),FALSE)) - LEN(SUBSTITUTE(VLOOKUP($D87,素材!$1:$1016,COLUMN($F$1),FALSE), "・", 0)) + 1), 0)</f>
        <v>0</v>
      </c>
      <c r="AK87">
        <f>IF(ISNUMBER(SEARCH(SUBSTITUTE(AK$1,RIGHT(AK$1,2),""),VLOOKUP($D87,素材!$1:$1016,COLUMN($F$1),FALSE))),VLOOKUP($C87,武器!$1:$998,COLUMN($O$1),FALSE)*VLOOKUP($D87,素材!$1:$1016,COLUMN($E$1),FALSE)/(LEN(VLOOKUP($D87,素材!$1:$1016,COLUMN($F$1),FALSE)) - LEN(SUBSTITUTE(VLOOKUP($D87,素材!$1:$1016,COLUMN($F$1),FALSE), "・", 0)) + 1), 0)</f>
        <v>0</v>
      </c>
      <c r="AL87">
        <f>IF(ISNUMBER(SEARCH(SUBSTITUTE(AL$1,RIGHT(AL$1,2),""),VLOOKUP($D87,素材!$1:$1016,COLUMN($F$1),FALSE))),VLOOKUP($C87,武器!$1:$998,COLUMN($O$1),FALSE)*VLOOKUP($D87,素材!$1:$1016,COLUMN($E$1),FALSE)/(LEN(VLOOKUP($D87,素材!$1:$1016,COLUMN($F$1),FALSE)) - LEN(SUBSTITUTE(VLOOKUP($D87,素材!$1:$1016,COLUMN($F$1),FALSE), "・", 0)) + 1), 0)</f>
        <v>0</v>
      </c>
      <c r="AM87">
        <f>IF(ISNUMBER(SEARCH(SUBSTITUTE(AM$1,RIGHT(AM$1,2),""),VLOOKUP($D87,素材!$1:$1016,COLUMN($F$1),FALSE))),VLOOKUP($C87,武器!$1:$998,COLUMN($O$1),FALSE)*VLOOKUP($D87,素材!$1:$1016,COLUMN($E$1),FALSE)/(LEN(VLOOKUP($D87,素材!$1:$1016,COLUMN($F$1),FALSE)) - LEN(SUBSTITUTE(VLOOKUP($D87,素材!$1:$1016,COLUMN($F$1),FALSE), "・", 0)) + 1), 0)</f>
        <v>0</v>
      </c>
      <c r="AN87">
        <f>IF(ISNUMBER(SEARCH(SUBSTITUTE(AN$1,RIGHT(AN$1,2),""),VLOOKUP($D87,素材!$1:$1016,COLUMN($F$1),FALSE))),VLOOKUP($C87,武器!$1:$998,COLUMN($O$1),FALSE)*VLOOKUP($D87,素材!$1:$1016,COLUMN($E$1),FALSE)/(LEN(VLOOKUP($D87,素材!$1:$1016,COLUMN($F$1),FALSE)) - LEN(SUBSTITUTE(VLOOKUP($D87,素材!$1:$1016,COLUMN($F$1),FALSE), "・", 0)) + 1), 0)</f>
        <v>0</v>
      </c>
      <c r="AO87">
        <f>IF(ISNUMBER(SEARCH(SUBSTITUTE(AO$1,RIGHT(AO$1,2),""),VLOOKUP($D87,素材!$1:$1016,COLUMN($F$1),FALSE))),VLOOKUP($C87,武器!$1:$998,COLUMN($O$1),FALSE)*VLOOKUP($D87,素材!$1:$1016,COLUMN($E$1),FALSE)/(LEN(VLOOKUP($D87,素材!$1:$1016,COLUMN($F$1),FALSE)) - LEN(SUBSTITUTE(VLOOKUP($D87,素材!$1:$1016,COLUMN($F$1),FALSE), "・", 0)) + 1), 0)</f>
        <v>0</v>
      </c>
      <c r="AP87">
        <f>IF(ISNUMBER(SEARCH(SUBSTITUTE(AP$1,RIGHT(AP$1,2),""),VLOOKUP($D87,素材!$1:$1016,COLUMN($F$1),FALSE))),VLOOKUP($C87,武器!$1:$998,COLUMN($O$1),FALSE)*VLOOKUP($D87,素材!$1:$1016,COLUMN($E$1),FALSE)/(LEN(VLOOKUP($D87,素材!$1:$1016,COLUMN($F$1),FALSE)) - LEN(SUBSTITUTE(VLOOKUP($D87,素材!$1:$1016,COLUMN($F$1),FALSE), "・", 0)) + 1), 0)</f>
        <v>0</v>
      </c>
      <c r="AQ87">
        <f>IF(ISNUMBER(SEARCH(SUBSTITUTE(AQ$1,RIGHT(AQ$1,2),""),VLOOKUP($D87,素材!$1:$1016,COLUMN($F$1),FALSE))),VLOOKUP($C87,武器!$1:$998,COLUMN($O$1),FALSE)*VLOOKUP($D87,素材!$1:$1016,COLUMN($E$1),FALSE)/(LEN(VLOOKUP($D87,素材!$1:$1016,COLUMN($F$1),FALSE)) - LEN(SUBSTITUTE(VLOOKUP($D87,素材!$1:$1016,COLUMN($F$1),FALSE), "・", 0)) + 1), 0)</f>
        <v>0</v>
      </c>
      <c r="AR87">
        <f>IF(ISNUMBER(SEARCH(SUBSTITUTE(AR$1,RIGHT(AR$1,2),""),VLOOKUP($D87,素材!$1:$1016,COLUMN($F$1),FALSE))),VLOOKUP($C87,武器!$1:$998,COLUMN($O$1),FALSE)*VLOOKUP($D87,素材!$1:$1016,COLUMN($E$1),FALSE)/(LEN(VLOOKUP($D87,素材!$1:$1016,COLUMN($F$1),FALSE)) - LEN(SUBSTITUTE(VLOOKUP($D87,素材!$1:$1016,COLUMN($F$1),FALSE), "・", 0)) + 1), 0)</f>
        <v>0</v>
      </c>
      <c r="AS87">
        <f>IF(ISNUMBER(SEARCH(SUBSTITUTE(AS$1,RIGHT(AS$1,2),""),VLOOKUP($D87,素材!$1:$1016,COLUMN($F$1),FALSE))),VLOOKUP($C87,武器!$1:$998,COLUMN($O$1),FALSE)*VLOOKUP($D87,素材!$1:$1016,COLUMN($E$1),FALSE)/(LEN(VLOOKUP($D87,素材!$1:$1016,COLUMN($F$1),FALSE)) - LEN(SUBSTITUTE(VLOOKUP($D87,素材!$1:$1016,COLUMN($F$1),FALSE), "・", 0)) + 1), 0)</f>
        <v>0</v>
      </c>
      <c r="AT87">
        <f>IF(ISNUMBER(SEARCH(SUBSTITUTE(AT$1,RIGHT(AT$1,2),""),VLOOKUP($D87,素材!$1:$1016,COLUMN($F$1),FALSE))),VLOOKUP($C87,武器!$1:$998,COLUMN($O$1),FALSE)*VLOOKUP($D87,素材!$1:$1016,COLUMN($E$1),FALSE)/(LEN(VLOOKUP($D87,素材!$1:$1016,COLUMN($F$1),FALSE)) - LEN(SUBSTITUTE(VLOOKUP($D87,素材!$1:$1016,COLUMN($F$1),FALSE), "・", 0)) + 1), 0)</f>
        <v>0</v>
      </c>
      <c r="AU87">
        <f>IF(ISNUMBER(SEARCH(SUBSTITUTE(AU$1,RIGHT(AU$1,2),""),VLOOKUP($D87,素材!$1:$1016,COLUMN($F$1),FALSE))),VLOOKUP($C87,武器!$1:$998,COLUMN($O$1),FALSE)*VLOOKUP($D87,素材!$1:$1016,COLUMN($E$1),FALSE)/(LEN(VLOOKUP($D87,素材!$1:$1016,COLUMN($F$1),FALSE)) - LEN(SUBSTITUTE(VLOOKUP($D87,素材!$1:$1016,COLUMN($F$1),FALSE), "・", 0)) + 1), 0)</f>
        <v>0</v>
      </c>
      <c r="AV87">
        <f>IF(ISNUMBER(SEARCH(SUBSTITUTE(AV$1,RIGHT(AV$1,2),""),VLOOKUP($D87,素材!$1:$1016,COLUMN($F$1),FALSE))),VLOOKUP($C87,武器!$1:$998,COLUMN($O$1),FALSE)*VLOOKUP($D87,素材!$1:$1016,COLUMN($E$1),FALSE)/(LEN(VLOOKUP($D87,素材!$1:$1016,COLUMN($F$1),FALSE)) - LEN(SUBSTITUTE(VLOOKUP($D87,素材!$1:$1016,COLUMN($F$1),FALSE), "・", 0)) + 1), 0)</f>
        <v>0</v>
      </c>
      <c r="AW87">
        <f>IF(ISNUMBER(SEARCH(SUBSTITUTE(AW$1,RIGHT(AW$1,2),""),VLOOKUP($D87,素材!$1:$1016,COLUMN($F$1),FALSE))),VLOOKUP($C87,武器!$1:$998,COLUMN($O$1),FALSE)*VLOOKUP($D87,素材!$1:$1016,COLUMN($E$1),FALSE)/(LEN(VLOOKUP($D87,素材!$1:$1016,COLUMN($F$1),FALSE)) - LEN(SUBSTITUTE(VLOOKUP($D87,素材!$1:$1016,COLUMN($F$1),FALSE), "・", 0)) + 1), 0)</f>
        <v>0</v>
      </c>
      <c r="AX87">
        <f>IF(ISNUMBER(SEARCH(SUBSTITUTE(AX$1,RIGHT(AX$1,2),""),VLOOKUP($D87,素材!$1:$1016,COLUMN($F$1),FALSE))),VLOOKUP($C87,武器!$1:$998,COLUMN($O$1),FALSE)*VLOOKUP($D87,素材!$1:$1016,COLUMN($E$1),FALSE)/(LEN(VLOOKUP($D87,素材!$1:$1016,COLUMN($F$1),FALSE)) - LEN(SUBSTITUTE(VLOOKUP($D87,素材!$1:$1016,COLUMN($F$1),FALSE), "・", 0)) + 1), 0)</f>
        <v>0</v>
      </c>
      <c r="AY87">
        <f>IF(ISNUMBER(SEARCH(SUBSTITUTE(AY$1,RIGHT(AY$1,2),""),VLOOKUP($D87,素材!$1:$1016,COLUMN($F$1),FALSE))),VLOOKUP($C87,武器!$1:$998,COLUMN($O$1),FALSE)*VLOOKUP($D87,素材!$1:$1016,COLUMN($E$1),FALSE)/(LEN(VLOOKUP($D87,素材!$1:$1016,COLUMN($F$1),FALSE)) - LEN(SUBSTITUTE(VLOOKUP($D87,素材!$1:$1016,COLUMN($F$1),FALSE), "・", 0)) + 1), 0)</f>
        <v>0</v>
      </c>
      <c r="AZ87">
        <f>IF(ISNUMBER(SEARCH(SUBSTITUTE(AZ$1,RIGHT(AZ$1,2),""),VLOOKUP($D87,素材!$1:$1016,COLUMN($F$1),FALSE))),VLOOKUP($C87,武器!$1:$998,COLUMN($O$1),FALSE)*VLOOKUP($D87,素材!$1:$1016,COLUMN($E$1),FALSE)/(LEN(VLOOKUP($D87,素材!$1:$1016,COLUMN($F$1),FALSE)) - LEN(SUBSTITUTE(VLOOKUP($D87,素材!$1:$1016,COLUMN($F$1),FALSE), "・", 0)) + 1), 0)</f>
        <v>0</v>
      </c>
      <c r="BA87">
        <f>IF(ISNUMBER(SEARCH(SUBSTITUTE(BA$1,RIGHT(BA$1,2),""),VLOOKUP($D87,素材!$1:$1016,COLUMN($F$1),FALSE))),VLOOKUP($C87,武器!$1:$998,COLUMN($O$1),FALSE)*VLOOKUP($D87,素材!$1:$1016,COLUMN($E$1),FALSE)/(LEN(VLOOKUP($D87,素材!$1:$1016,COLUMN($F$1),FALSE)) - LEN(SUBSTITUTE(VLOOKUP($D87,素材!$1:$1016,COLUMN($F$1),FALSE), "・", 0)) + 1), 0)</f>
        <v>0</v>
      </c>
      <c r="BB87">
        <f>IF(ISNUMBER(SEARCH(SUBSTITUTE(BB$1,RIGHT(BB$1,2),""),VLOOKUP($D87,素材!$1:$1016,COLUMN($F$1),FALSE))),VLOOKUP($C87,武器!$1:$998,COLUMN($O$1),FALSE)*VLOOKUP($D87,素材!$1:$1016,COLUMN($E$1),FALSE)/(LEN(VLOOKUP($D87,素材!$1:$1016,COLUMN($F$1),FALSE)) - LEN(SUBSTITUTE(VLOOKUP($D87,素材!$1:$1016,COLUMN($F$1),FALSE), "・", 0)) + 1), 0)</f>
        <v>0</v>
      </c>
      <c r="BC87">
        <f>IF(ISNUMBER(SEARCH(SUBSTITUTE(BC$1,RIGHT(BC$1,2),""),VLOOKUP($D87,素材!$1:$1016,COLUMN($F$1),FALSE))),VLOOKUP($C87,武器!$1:$998,COLUMN($O$1),FALSE)*VLOOKUP($D87,素材!$1:$1016,COLUMN($E$1),FALSE)/(LEN(VLOOKUP($D87,素材!$1:$1016,COLUMN($F$1),FALSE)) - LEN(SUBSTITUTE(VLOOKUP($D87,素材!$1:$1016,COLUMN($F$1),FALSE), "・", 0)) + 1), 0)</f>
        <v>0</v>
      </c>
      <c r="BD87">
        <f>IF(ISNUMBER(SEARCH(SUBSTITUTE(BD$1,RIGHT(BD$1,2),""),VLOOKUP($D87,素材!$1:$1016,COLUMN($F$1),FALSE))),VLOOKUP($C87,武器!$1:$998,COLUMN($O$1),FALSE)*VLOOKUP($D87,素材!$1:$1016,COLUMN($E$1),FALSE)/(LEN(VLOOKUP($D87,素材!$1:$1016,COLUMN($F$1),FALSE)) - LEN(SUBSTITUTE(VLOOKUP($D87,素材!$1:$1016,COLUMN($F$1),FALSE), "・", 0)) + 1), 0)</f>
        <v>0</v>
      </c>
      <c r="BE87">
        <f>IF(ISNUMBER(SEARCH(SUBSTITUTE(BE$1,RIGHT(BE$1,2),""),VLOOKUP($D87,素材!$1:$1016,COLUMN($F$1),FALSE))),VLOOKUP($C87,武器!$1:$998,COLUMN($O$1),FALSE)*VLOOKUP($D87,素材!$1:$1016,COLUMN($E$1),FALSE)/(LEN(VLOOKUP($D87,素材!$1:$1016,COLUMN($F$1),FALSE)) - LEN(SUBSTITUTE(VLOOKUP($D87,素材!$1:$1016,COLUMN($F$1),FALSE), "・", 0)) + 1), 0)</f>
        <v>0</v>
      </c>
      <c r="CL87">
        <f>SUM(G87:I87)</f>
        <v>35</v>
      </c>
      <c r="CM87" s="22" t="str">
        <f>IF(E87="武器",IF(J87-1&gt;SUM(G87:I87),"盾",IF(MAX(G87:I87)=G87,"切断",IF(MAX(G87:I87)=H87,"貫通",IF(MAX(G87:I87)=I87,"打撃","射撃")))),E87)&amp;".webp"</f>
        <v>貫通.webp</v>
      </c>
      <c r="CN87">
        <f>IFERROR(VLOOKUP($C87,武器!$1:$998,COLUMN(V$1),FALSE)*VLOOKUP($D87,素材!$1:$1016,COLUMN(N$1),FALSE)+IF(CI87="",0,VLOOKUP($CI87,装強!$1:$1008,COLUMN($CK$1),FALSE)),"")</f>
        <v>900</v>
      </c>
      <c r="CO87" t="str">
        <f>VLOOKUP(D87,素材!$A:$O,COLUMN(素材!O$1),FALSE)</f>
        <v>鍛えられた鉄。硬度が高く安価なためよく使用される。</v>
      </c>
      <c r="CP87" t="str">
        <f>VLOOKUP(C87,武器!$A:$W,COLUMN(武器!W$1),FALSE)</f>
        <v>槍。リーチが長く、刺突に優れる武器。</v>
      </c>
      <c r="CR87" t="str">
        <f t="shared" si="5"/>
        <v>e_87</v>
      </c>
      <c r="CS87">
        <f t="shared" si="6"/>
        <v>90000</v>
      </c>
    </row>
    <row r="88" spans="1:97" outlineLevel="1" x14ac:dyDescent="0.4">
      <c r="A88" t="str">
        <f t="shared" si="4"/>
        <v>鋼の騎士槍</v>
      </c>
      <c r="B88" t="str">
        <f>IFERROR(VLOOKUP($D88,素材!$1:$1016,COLUMN($B$1),FALSE)&amp;"・"&amp;VLOOKUP($C88,武器!$1:$998,COLUMN(B$1),FALSE),"")</f>
        <v>スチール・ランス</v>
      </c>
      <c r="C88" s="24" t="s">
        <v>232</v>
      </c>
      <c r="D88" s="24" t="s">
        <v>253</v>
      </c>
      <c r="E88" t="str">
        <f>IFERROR(VLOOKUP(C88,武器!$1:$998,COLUMN(C$1),FALSE),"")</f>
        <v>武器</v>
      </c>
      <c r="F88">
        <f>IFERROR(ROUNDDOWN((VLOOKUP($C88,武器!$1:$998,COLUMN(D$1),FALSE)+IFERROR(VLOOKUP($CI88,装強!$1:$999,COLUMN(F$1),FALSE),0))*VLOOKUP($D88,素材!$1:$1016,COLUMN(D$1),FALSE),0),"")</f>
        <v>120</v>
      </c>
      <c r="G88">
        <f>IFERROR(ROUNDDOWN((VLOOKUP($C88,武器!$1:$998,COLUMN(E$1),FALSE)+IFERROR(VLOOKUP($CI88,装強!$1:$999,COLUMN(G$1),FALSE),0))*VLOOKUP($D88,素材!$1:$1016,COLUMN($E$1),FALSE),0),"")</f>
        <v>0</v>
      </c>
      <c r="H88">
        <f>IFERROR(ROUNDDOWN((VLOOKUP($C88,武器!$1:$998,COLUMN(F$1),FALSE)+IFERROR(VLOOKUP($CI88,装強!$1:$999,COLUMN(H$1),FALSE),0))*VLOOKUP($D88,素材!$1:$1016,COLUMN($E$1),FALSE),0),"")</f>
        <v>25</v>
      </c>
      <c r="I88">
        <f>IFERROR(ROUNDDOWN((VLOOKUP($C88,武器!$1:$998,COLUMN(G$1),FALSE)+IFERROR(VLOOKUP($CI88,装強!$1:$999,COLUMN(I$1),FALSE),0))*VLOOKUP($D88,素材!$1:$1016,COLUMN($E$1),FALSE),0),"")</f>
        <v>12</v>
      </c>
      <c r="J88">
        <f>IFERROR(ROUNDDOWN((VLOOKUP($C88,武器!$1:$998,COLUMN(H$1),FALSE)+IFERROR(VLOOKUP($CI88,装強!$1:$999,COLUMN(J$1),FALSE),0))*VLOOKUP($D88,素材!$1:$1016,COLUMN($E$1),FALSE),0),"")</f>
        <v>27</v>
      </c>
      <c r="K88">
        <f>IFERROR(ROUNDDOWN((VLOOKUP($C88,武器!$1:$998,COLUMN(I$1),FALSE)+IFERROR(VLOOKUP($CI88,装強!$1:$999,COLUMN(K$1),FALSE),0))*VLOOKUP($D88,素材!$1:$1016,COLUMN($E$1),FALSE),0),"")</f>
        <v>0</v>
      </c>
      <c r="L88">
        <f>IFERROR(VLOOKUP($D88,素材!$1:$1016,COLUMN($F$1),FALSE),"")</f>
        <v>0</v>
      </c>
      <c r="M88">
        <f>IFERROR(VLOOKUP($C88,武器!$1:$998,COLUMN(AA$1),FALSE)*VLOOKUP($D88,素材!$1:$1016,COLUMN($G$1),FALSE),"")</f>
        <v>0</v>
      </c>
      <c r="N88">
        <f>IFERROR(VLOOKUP($C88,武器!$1:$998,COLUMN(I$1),FALSE),"")</f>
        <v>0</v>
      </c>
      <c r="O88" s="23">
        <f>IFERROR((VLOOKUP($C88,武器!$1:$998,COLUMN(K$1),FALSE)+VLOOKUP($D88,素材!$1:$1016,COLUMN(H$1),FALSE))*100+IFERROR(VLOOKUP($CI88,装強!$1:$999,COLUMN(O$1),FALSE),0),"")</f>
        <v>5</v>
      </c>
      <c r="P88" s="23">
        <f>IFERROR((VLOOKUP($C88,武器!$1:$998,COLUMN(L$1),FALSE)+VLOOKUP($D88,素材!$1:$1016,COLUMN(I$1),FALSE))*100+IFERROR(VLOOKUP($CI88,装強!$1:$999,COLUMN(P$1),FALSE),0),"")</f>
        <v>175</v>
      </c>
      <c r="Q88">
        <f>IFERROR(ROUNDUP(VLOOKUP($C88,武器!$1:$998,COLUMN(M$1),FALSE)*(VLOOKUP($D88,素材!$1:$1002,COLUMN(D$1),FALSE)/100),1),"")</f>
        <v>-5.3</v>
      </c>
      <c r="R88">
        <f>IFERROR(ROUNDUP(VLOOKUP($C88,武器!$1:$998,COLUMN(N$1),FALSE)*(VLOOKUP($D88,素材!$1:$1002,COLUMN(D$1),FALSE)/100),1),"")</f>
        <v>-5.3</v>
      </c>
      <c r="S88">
        <f>IFERROR(VLOOKUP($C88,武器!$1:$998,COLUMN(P$1),FALSE),"")</f>
        <v>0</v>
      </c>
      <c r="T88">
        <f>IFERROR(VLOOKUP($C88,武器!$1:$998,COLUMN(Q$1),FALSE),"")</f>
        <v>0</v>
      </c>
      <c r="U88">
        <f>IFERROR(VLOOKUP($C88,武器!$1:$998,COLUMN(R$1),FALSE),"")</f>
        <v>0</v>
      </c>
      <c r="V88">
        <f>IFERROR(VLOOKUP($C88,武器!$1:$998,COLUMN(Q$1),FALSE),"")</f>
        <v>0</v>
      </c>
      <c r="W88" t="str">
        <f>IFERROR(VLOOKUP($C88,武器!$1:$998,COLUMN(T$1),FALSE),"")</f>
        <v>A</v>
      </c>
      <c r="Y88" t="str">
        <f>IFERROR(VLOOKUP($C88,武器!$1:$998,COLUMN(U$1),FALSE),"")</f>
        <v>突撃強化</v>
      </c>
      <c r="Z88">
        <f>IFERROR(ROUNDUP(VLOOKUP($C88,武器!$1:$998,COLUMN(O$1),FALSE)*VLOOKUP($D88,素材!$1:$1016,COLUMN(E$1),FALSE),1),"")</f>
        <v>0</v>
      </c>
      <c r="AA88">
        <f>IF(ISNUMBER(SEARCH(SUBSTITUTE(AA$1,RIGHT(AA$1,2),""),VLOOKUP($D88,素材!$1:$1016,COLUMN($F$1),FALSE))),VLOOKUP($C88,武器!$1:$998,COLUMN($O$1),FALSE)*VLOOKUP($D88,素材!$1:$1016,COLUMN($E$1),FALSE)/(LEN(VLOOKUP($D88,素材!$1:$1016,COLUMN($F$1),FALSE)) - LEN(SUBSTITUTE(VLOOKUP($D88,素材!$1:$1016,COLUMN($F$1),FALSE), "・", 0)) + 1), 0)</f>
        <v>0</v>
      </c>
      <c r="AB88">
        <f>IF(ISNUMBER(SEARCH(SUBSTITUTE(AB$1,RIGHT(AB$1,2),""),VLOOKUP($D88,素材!$1:$1016,COLUMN($F$1),FALSE))),VLOOKUP($C88,武器!$1:$998,COLUMN($O$1),FALSE)*VLOOKUP($D88,素材!$1:$1016,COLUMN($E$1),FALSE)/(LEN(VLOOKUP($D88,素材!$1:$1016,COLUMN($F$1),FALSE)) - LEN(SUBSTITUTE(VLOOKUP($D88,素材!$1:$1016,COLUMN($F$1),FALSE), "・", 0)) + 1), 0)</f>
        <v>0</v>
      </c>
      <c r="AC88">
        <f>IF(ISNUMBER(SEARCH(SUBSTITUTE(AC$1,RIGHT(AC$1,2),""),VLOOKUP($D88,素材!$1:$1016,COLUMN($F$1),FALSE))),VLOOKUP($C88,武器!$1:$998,COLUMN($O$1),FALSE)*VLOOKUP($D88,素材!$1:$1016,COLUMN($E$1),FALSE)/(LEN(VLOOKUP($D88,素材!$1:$1016,COLUMN($F$1),FALSE)) - LEN(SUBSTITUTE(VLOOKUP($D88,素材!$1:$1016,COLUMN($F$1),FALSE), "・", 0)) + 1), 0)</f>
        <v>0</v>
      </c>
      <c r="AD88">
        <f>IF(ISNUMBER(SEARCH(SUBSTITUTE(AD$1,RIGHT(AD$1,2),""),VLOOKUP($D88,素材!$1:$1016,COLUMN($F$1),FALSE))),VLOOKUP($C88,武器!$1:$998,COLUMN($O$1),FALSE)*VLOOKUP($D88,素材!$1:$1016,COLUMN($E$1),FALSE)/(LEN(VLOOKUP($D88,素材!$1:$1016,COLUMN($F$1),FALSE)) - LEN(SUBSTITUTE(VLOOKUP($D88,素材!$1:$1016,COLUMN($F$1),FALSE), "・", 0)) + 1), 0)</f>
        <v>0</v>
      </c>
      <c r="AE88">
        <f>IF(ISNUMBER(SEARCH(SUBSTITUTE(AE$1,RIGHT(AE$1,2),""),VLOOKUP($D88,素材!$1:$1016,COLUMN($F$1),FALSE))),VLOOKUP($C88,武器!$1:$998,COLUMN($O$1),FALSE)*VLOOKUP($D88,素材!$1:$1016,COLUMN($E$1),FALSE)/(LEN(VLOOKUP($D88,素材!$1:$1016,COLUMN($F$1),FALSE)) - LEN(SUBSTITUTE(VLOOKUP($D88,素材!$1:$1016,COLUMN($F$1),FALSE), "・", 0)) + 1), 0)</f>
        <v>0</v>
      </c>
      <c r="AF88">
        <f>IF(ISNUMBER(SEARCH(SUBSTITUTE(AF$1,RIGHT(AF$1,2),""),VLOOKUP($D88,素材!$1:$1016,COLUMN($F$1),FALSE))),VLOOKUP($C88,武器!$1:$998,COLUMN($O$1),FALSE)*VLOOKUP($D88,素材!$1:$1016,COLUMN($E$1),FALSE)/(LEN(VLOOKUP($D88,素材!$1:$1016,COLUMN($F$1),FALSE)) - LEN(SUBSTITUTE(VLOOKUP($D88,素材!$1:$1016,COLUMN($F$1),FALSE), "・", 0)) + 1), 0)</f>
        <v>0</v>
      </c>
      <c r="AG88">
        <f>IF(ISNUMBER(SEARCH(SUBSTITUTE(AG$1,RIGHT(AG$1,2),""),VLOOKUP($D88,素材!$1:$1016,COLUMN($F$1),FALSE))),VLOOKUP($C88,武器!$1:$998,COLUMN($O$1),FALSE)*VLOOKUP($D88,素材!$1:$1016,COLUMN($E$1),FALSE)/(LEN(VLOOKUP($D88,素材!$1:$1016,COLUMN($F$1),FALSE)) - LEN(SUBSTITUTE(VLOOKUP($D88,素材!$1:$1016,COLUMN($F$1),FALSE), "・", 0)) + 1), 0)</f>
        <v>0</v>
      </c>
      <c r="AH88">
        <f>IF(ISNUMBER(SEARCH(SUBSTITUTE(AH$1,RIGHT(AH$1,2),""),VLOOKUP($D88,素材!$1:$1016,COLUMN($F$1),FALSE))),VLOOKUP($C88,武器!$1:$998,COLUMN($O$1),FALSE)*VLOOKUP($D88,素材!$1:$1016,COLUMN($E$1),FALSE)/(LEN(VLOOKUP($D88,素材!$1:$1016,COLUMN($F$1),FALSE)) - LEN(SUBSTITUTE(VLOOKUP($D88,素材!$1:$1016,COLUMN($F$1),FALSE), "・", 0)) + 1), 0)</f>
        <v>0</v>
      </c>
      <c r="AI88">
        <f>IF(ISNUMBER(SEARCH(SUBSTITUTE(AI$1,RIGHT(AI$1,2),""),VLOOKUP($D88,素材!$1:$1016,COLUMN($F$1),FALSE))),VLOOKUP($C88,武器!$1:$998,COLUMN($O$1),FALSE)*VLOOKUP($D88,素材!$1:$1016,COLUMN($E$1),FALSE)/(LEN(VLOOKUP($D88,素材!$1:$1016,COLUMN($F$1),FALSE)) - LEN(SUBSTITUTE(VLOOKUP($D88,素材!$1:$1016,COLUMN($F$1),FALSE), "・", 0)) + 1), 0)</f>
        <v>0</v>
      </c>
      <c r="AJ88">
        <f>IF(ISNUMBER(SEARCH(SUBSTITUTE(AJ$1,RIGHT(AJ$1,2),""),VLOOKUP($D88,素材!$1:$1016,COLUMN($F$1),FALSE))),VLOOKUP($C88,武器!$1:$998,COLUMN($O$1),FALSE)*VLOOKUP($D88,素材!$1:$1016,COLUMN($E$1),FALSE)/(LEN(VLOOKUP($D88,素材!$1:$1016,COLUMN($F$1),FALSE)) - LEN(SUBSTITUTE(VLOOKUP($D88,素材!$1:$1016,COLUMN($F$1),FALSE), "・", 0)) + 1), 0)</f>
        <v>0</v>
      </c>
      <c r="AK88">
        <f>IF(ISNUMBER(SEARCH(SUBSTITUTE(AK$1,RIGHT(AK$1,2),""),VLOOKUP($D88,素材!$1:$1016,COLUMN($F$1),FALSE))),VLOOKUP($C88,武器!$1:$998,COLUMN($O$1),FALSE)*VLOOKUP($D88,素材!$1:$1016,COLUMN($E$1),FALSE)/(LEN(VLOOKUP($D88,素材!$1:$1016,COLUMN($F$1),FALSE)) - LEN(SUBSTITUTE(VLOOKUP($D88,素材!$1:$1016,COLUMN($F$1),FALSE), "・", 0)) + 1), 0)</f>
        <v>0</v>
      </c>
      <c r="AL88">
        <f>IF(ISNUMBER(SEARCH(SUBSTITUTE(AL$1,RIGHT(AL$1,2),""),VLOOKUP($D88,素材!$1:$1016,COLUMN($F$1),FALSE))),VLOOKUP($C88,武器!$1:$998,COLUMN($O$1),FALSE)*VLOOKUP($D88,素材!$1:$1016,COLUMN($E$1),FALSE)/(LEN(VLOOKUP($D88,素材!$1:$1016,COLUMN($F$1),FALSE)) - LEN(SUBSTITUTE(VLOOKUP($D88,素材!$1:$1016,COLUMN($F$1),FALSE), "・", 0)) + 1), 0)</f>
        <v>0</v>
      </c>
      <c r="AM88">
        <f>IF(ISNUMBER(SEARCH(SUBSTITUTE(AM$1,RIGHT(AM$1,2),""),VLOOKUP($D88,素材!$1:$1016,COLUMN($F$1),FALSE))),VLOOKUP($C88,武器!$1:$998,COLUMN($O$1),FALSE)*VLOOKUP($D88,素材!$1:$1016,COLUMN($E$1),FALSE)/(LEN(VLOOKUP($D88,素材!$1:$1016,COLUMN($F$1),FALSE)) - LEN(SUBSTITUTE(VLOOKUP($D88,素材!$1:$1016,COLUMN($F$1),FALSE), "・", 0)) + 1), 0)</f>
        <v>0</v>
      </c>
      <c r="AN88">
        <f>IF(ISNUMBER(SEARCH(SUBSTITUTE(AN$1,RIGHT(AN$1,2),""),VLOOKUP($D88,素材!$1:$1016,COLUMN($F$1),FALSE))),VLOOKUP($C88,武器!$1:$998,COLUMN($O$1),FALSE)*VLOOKUP($D88,素材!$1:$1016,COLUMN($E$1),FALSE)/(LEN(VLOOKUP($D88,素材!$1:$1016,COLUMN($F$1),FALSE)) - LEN(SUBSTITUTE(VLOOKUP($D88,素材!$1:$1016,COLUMN($F$1),FALSE), "・", 0)) + 1), 0)</f>
        <v>0</v>
      </c>
      <c r="AO88">
        <f>IF(ISNUMBER(SEARCH(SUBSTITUTE(AO$1,RIGHT(AO$1,2),""),VLOOKUP($D88,素材!$1:$1016,COLUMN($F$1),FALSE))),VLOOKUP($C88,武器!$1:$998,COLUMN($O$1),FALSE)*VLOOKUP($D88,素材!$1:$1016,COLUMN($E$1),FALSE)/(LEN(VLOOKUP($D88,素材!$1:$1016,COLUMN($F$1),FALSE)) - LEN(SUBSTITUTE(VLOOKUP($D88,素材!$1:$1016,COLUMN($F$1),FALSE), "・", 0)) + 1), 0)</f>
        <v>0</v>
      </c>
      <c r="AP88">
        <f>IF(ISNUMBER(SEARCH(SUBSTITUTE(AP$1,RIGHT(AP$1,2),""),VLOOKUP($D88,素材!$1:$1016,COLUMN($F$1),FALSE))),VLOOKUP($C88,武器!$1:$998,COLUMN($O$1),FALSE)*VLOOKUP($D88,素材!$1:$1016,COLUMN($E$1),FALSE)/(LEN(VLOOKUP($D88,素材!$1:$1016,COLUMN($F$1),FALSE)) - LEN(SUBSTITUTE(VLOOKUP($D88,素材!$1:$1016,COLUMN($F$1),FALSE), "・", 0)) + 1), 0)</f>
        <v>0</v>
      </c>
      <c r="AQ88">
        <f>IF(ISNUMBER(SEARCH(SUBSTITUTE(AQ$1,RIGHT(AQ$1,2),""),VLOOKUP($D88,素材!$1:$1016,COLUMN($F$1),FALSE))),VLOOKUP($C88,武器!$1:$998,COLUMN($O$1),FALSE)*VLOOKUP($D88,素材!$1:$1016,COLUMN($E$1),FALSE)/(LEN(VLOOKUP($D88,素材!$1:$1016,COLUMN($F$1),FALSE)) - LEN(SUBSTITUTE(VLOOKUP($D88,素材!$1:$1016,COLUMN($F$1),FALSE), "・", 0)) + 1), 0)</f>
        <v>0</v>
      </c>
      <c r="AR88">
        <f>IF(ISNUMBER(SEARCH(SUBSTITUTE(AR$1,RIGHT(AR$1,2),""),VLOOKUP($D88,素材!$1:$1016,COLUMN($F$1),FALSE))),VLOOKUP($C88,武器!$1:$998,COLUMN($O$1),FALSE)*VLOOKUP($D88,素材!$1:$1016,COLUMN($E$1),FALSE)/(LEN(VLOOKUP($D88,素材!$1:$1016,COLUMN($F$1),FALSE)) - LEN(SUBSTITUTE(VLOOKUP($D88,素材!$1:$1016,COLUMN($F$1),FALSE), "・", 0)) + 1), 0)</f>
        <v>0</v>
      </c>
      <c r="AS88">
        <f>IF(ISNUMBER(SEARCH(SUBSTITUTE(AS$1,RIGHT(AS$1,2),""),VLOOKUP($D88,素材!$1:$1016,COLUMN($F$1),FALSE))),VLOOKUP($C88,武器!$1:$998,COLUMN($O$1),FALSE)*VLOOKUP($D88,素材!$1:$1016,COLUMN($E$1),FALSE)/(LEN(VLOOKUP($D88,素材!$1:$1016,COLUMN($F$1),FALSE)) - LEN(SUBSTITUTE(VLOOKUP($D88,素材!$1:$1016,COLUMN($F$1),FALSE), "・", 0)) + 1), 0)</f>
        <v>0</v>
      </c>
      <c r="AT88">
        <f>IF(ISNUMBER(SEARCH(SUBSTITUTE(AT$1,RIGHT(AT$1,2),""),VLOOKUP($D88,素材!$1:$1016,COLUMN($F$1),FALSE))),VLOOKUP($C88,武器!$1:$998,COLUMN($O$1),FALSE)*VLOOKUP($D88,素材!$1:$1016,COLUMN($E$1),FALSE)/(LEN(VLOOKUP($D88,素材!$1:$1016,COLUMN($F$1),FALSE)) - LEN(SUBSTITUTE(VLOOKUP($D88,素材!$1:$1016,COLUMN($F$1),FALSE), "・", 0)) + 1), 0)</f>
        <v>0</v>
      </c>
      <c r="AU88">
        <f>IF(ISNUMBER(SEARCH(SUBSTITUTE(AU$1,RIGHT(AU$1,2),""),VLOOKUP($D88,素材!$1:$1016,COLUMN($F$1),FALSE))),VLOOKUP($C88,武器!$1:$998,COLUMN($O$1),FALSE)*VLOOKUP($D88,素材!$1:$1016,COLUMN($E$1),FALSE)/(LEN(VLOOKUP($D88,素材!$1:$1016,COLUMN($F$1),FALSE)) - LEN(SUBSTITUTE(VLOOKUP($D88,素材!$1:$1016,COLUMN($F$1),FALSE), "・", 0)) + 1), 0)</f>
        <v>0</v>
      </c>
      <c r="AV88">
        <f>IF(ISNUMBER(SEARCH(SUBSTITUTE(AV$1,RIGHT(AV$1,2),""),VLOOKUP($D88,素材!$1:$1016,COLUMN($F$1),FALSE))),VLOOKUP($C88,武器!$1:$998,COLUMN($O$1),FALSE)*VLOOKUP($D88,素材!$1:$1016,COLUMN($E$1),FALSE)/(LEN(VLOOKUP($D88,素材!$1:$1016,COLUMN($F$1),FALSE)) - LEN(SUBSTITUTE(VLOOKUP($D88,素材!$1:$1016,COLUMN($F$1),FALSE), "・", 0)) + 1), 0)</f>
        <v>0</v>
      </c>
      <c r="AW88">
        <f>IF(ISNUMBER(SEARCH(SUBSTITUTE(AW$1,RIGHT(AW$1,2),""),VLOOKUP($D88,素材!$1:$1016,COLUMN($F$1),FALSE))),VLOOKUP($C88,武器!$1:$998,COLUMN($O$1),FALSE)*VLOOKUP($D88,素材!$1:$1016,COLUMN($E$1),FALSE)/(LEN(VLOOKUP($D88,素材!$1:$1016,COLUMN($F$1),FALSE)) - LEN(SUBSTITUTE(VLOOKUP($D88,素材!$1:$1016,COLUMN($F$1),FALSE), "・", 0)) + 1), 0)</f>
        <v>0</v>
      </c>
      <c r="AX88">
        <f>IF(ISNUMBER(SEARCH(SUBSTITUTE(AX$1,RIGHT(AX$1,2),""),VLOOKUP($D88,素材!$1:$1016,COLUMN($F$1),FALSE))),VLOOKUP($C88,武器!$1:$998,COLUMN($O$1),FALSE)*VLOOKUP($D88,素材!$1:$1016,COLUMN($E$1),FALSE)/(LEN(VLOOKUP($D88,素材!$1:$1016,COLUMN($F$1),FALSE)) - LEN(SUBSTITUTE(VLOOKUP($D88,素材!$1:$1016,COLUMN($F$1),FALSE), "・", 0)) + 1), 0)</f>
        <v>0</v>
      </c>
      <c r="AY88">
        <f>IF(ISNUMBER(SEARCH(SUBSTITUTE(AY$1,RIGHT(AY$1,2),""),VLOOKUP($D88,素材!$1:$1016,COLUMN($F$1),FALSE))),VLOOKUP($C88,武器!$1:$998,COLUMN($O$1),FALSE)*VLOOKUP($D88,素材!$1:$1016,COLUMN($E$1),FALSE)/(LEN(VLOOKUP($D88,素材!$1:$1016,COLUMN($F$1),FALSE)) - LEN(SUBSTITUTE(VLOOKUP($D88,素材!$1:$1016,COLUMN($F$1),FALSE), "・", 0)) + 1), 0)</f>
        <v>0</v>
      </c>
      <c r="AZ88">
        <f>IF(ISNUMBER(SEARCH(SUBSTITUTE(AZ$1,RIGHT(AZ$1,2),""),VLOOKUP($D88,素材!$1:$1016,COLUMN($F$1),FALSE))),VLOOKUP($C88,武器!$1:$998,COLUMN($O$1),FALSE)*VLOOKUP($D88,素材!$1:$1016,COLUMN($E$1),FALSE)/(LEN(VLOOKUP($D88,素材!$1:$1016,COLUMN($F$1),FALSE)) - LEN(SUBSTITUTE(VLOOKUP($D88,素材!$1:$1016,COLUMN($F$1),FALSE), "・", 0)) + 1), 0)</f>
        <v>0</v>
      </c>
      <c r="BA88">
        <f>IF(ISNUMBER(SEARCH(SUBSTITUTE(BA$1,RIGHT(BA$1,2),""),VLOOKUP($D88,素材!$1:$1016,COLUMN($F$1),FALSE))),VLOOKUP($C88,武器!$1:$998,COLUMN($O$1),FALSE)*VLOOKUP($D88,素材!$1:$1016,COLUMN($E$1),FALSE)/(LEN(VLOOKUP($D88,素材!$1:$1016,COLUMN($F$1),FALSE)) - LEN(SUBSTITUTE(VLOOKUP($D88,素材!$1:$1016,COLUMN($F$1),FALSE), "・", 0)) + 1), 0)</f>
        <v>0</v>
      </c>
      <c r="BB88">
        <f>IF(ISNUMBER(SEARCH(SUBSTITUTE(BB$1,RIGHT(BB$1,2),""),VLOOKUP($D88,素材!$1:$1016,COLUMN($F$1),FALSE))),VLOOKUP($C88,武器!$1:$998,COLUMN($O$1),FALSE)*VLOOKUP($D88,素材!$1:$1016,COLUMN($E$1),FALSE)/(LEN(VLOOKUP($D88,素材!$1:$1016,COLUMN($F$1),FALSE)) - LEN(SUBSTITUTE(VLOOKUP($D88,素材!$1:$1016,COLUMN($F$1),FALSE), "・", 0)) + 1), 0)</f>
        <v>0</v>
      </c>
      <c r="BC88">
        <f>IF(ISNUMBER(SEARCH(SUBSTITUTE(BC$1,RIGHT(BC$1,2),""),VLOOKUP($D88,素材!$1:$1016,COLUMN($F$1),FALSE))),VLOOKUP($C88,武器!$1:$998,COLUMN($O$1),FALSE)*VLOOKUP($D88,素材!$1:$1016,COLUMN($E$1),FALSE)/(LEN(VLOOKUP($D88,素材!$1:$1016,COLUMN($F$1),FALSE)) - LEN(SUBSTITUTE(VLOOKUP($D88,素材!$1:$1016,COLUMN($F$1),FALSE), "・", 0)) + 1), 0)</f>
        <v>0</v>
      </c>
      <c r="BD88">
        <f>IF(ISNUMBER(SEARCH(SUBSTITUTE(BD$1,RIGHT(BD$1,2),""),VLOOKUP($D88,素材!$1:$1016,COLUMN($F$1),FALSE))),VLOOKUP($C88,武器!$1:$998,COLUMN($O$1),FALSE)*VLOOKUP($D88,素材!$1:$1016,COLUMN($E$1),FALSE)/(LEN(VLOOKUP($D88,素材!$1:$1016,COLUMN($F$1),FALSE)) - LEN(SUBSTITUTE(VLOOKUP($D88,素材!$1:$1016,COLUMN($F$1),FALSE), "・", 0)) + 1), 0)</f>
        <v>0</v>
      </c>
      <c r="BE88">
        <f>IF(ISNUMBER(SEARCH(SUBSTITUTE(BE$1,RIGHT(BE$1,2),""),VLOOKUP($D88,素材!$1:$1016,COLUMN($F$1),FALSE))),VLOOKUP($C88,武器!$1:$998,COLUMN($O$1),FALSE)*VLOOKUP($D88,素材!$1:$1016,COLUMN($E$1),FALSE)/(LEN(VLOOKUP($D88,素材!$1:$1016,COLUMN($F$1),FALSE)) - LEN(SUBSTITUTE(VLOOKUP($D88,素材!$1:$1016,COLUMN($F$1),FALSE), "・", 0)) + 1), 0)</f>
        <v>0</v>
      </c>
      <c r="CL88">
        <f>SUM(G88:I88)</f>
        <v>37</v>
      </c>
      <c r="CM88" s="22" t="str">
        <f>IF(E88="武器",IF(J88-1&gt;SUM(G88:I88),"盾",IF(MAX(G88:I88)=G88,"切断",IF(MAX(G88:I88)=H88,"貫通",IF(MAX(G88:I88)=I88,"打撃","射撃")))),E88)&amp;".webp"</f>
        <v>貫通.webp</v>
      </c>
      <c r="CN88">
        <f>IFERROR(VLOOKUP($C88,武器!$1:$998,COLUMN(V$1),FALSE)*VLOOKUP($D88,素材!$1:$1016,COLUMN(N$1),FALSE)+IF(CI88="",0,VLOOKUP($CI88,装強!$1:$1008,COLUMN($CK$1),FALSE)),"")</f>
        <v>1350</v>
      </c>
      <c r="CO88" t="str">
        <f>VLOOKUP(D88,素材!$A:$O,COLUMN(素材!O$1),FALSE)</f>
        <v>鍛えられた鉄。硬度が高く安価なためよく使用される。</v>
      </c>
      <c r="CP88" t="str">
        <f>VLOOKUP(C88,武器!$A:$W,COLUMN(武器!W$1),FALSE)</f>
        <v>騎士槍。突撃に特化した武器で、高い攻撃力を誇る。</v>
      </c>
      <c r="CR88" t="str">
        <f t="shared" si="5"/>
        <v>e_88</v>
      </c>
      <c r="CS88">
        <f t="shared" si="6"/>
        <v>135000</v>
      </c>
    </row>
    <row r="89" spans="1:97" outlineLevel="1" x14ac:dyDescent="0.4">
      <c r="A89" t="str">
        <f t="shared" si="4"/>
        <v>鋼の斧槍</v>
      </c>
      <c r="B89" t="str">
        <f>IFERROR(VLOOKUP($D89,素材!$1:$1016,COLUMN($B$1),FALSE)&amp;"・"&amp;VLOOKUP($C89,武器!$1:$998,COLUMN(B$1),FALSE),"")</f>
        <v>スチール・ハルバート</v>
      </c>
      <c r="C89" s="24" t="s">
        <v>231</v>
      </c>
      <c r="D89" s="24" t="s">
        <v>253</v>
      </c>
      <c r="E89" t="str">
        <f>IFERROR(VLOOKUP(C89,武器!$1:$998,COLUMN(C$1),FALSE),"")</f>
        <v>武器</v>
      </c>
      <c r="F89">
        <f>IFERROR(ROUNDDOWN((VLOOKUP($C89,武器!$1:$998,COLUMN(D$1),FALSE)+IFERROR(VLOOKUP($CI89,装強!$1:$999,COLUMN(F$1),FALSE),0))*VLOOKUP($D89,素材!$1:$1016,COLUMN(D$1),FALSE),0),"")</f>
        <v>115</v>
      </c>
      <c r="G89">
        <f>IFERROR(ROUNDDOWN((VLOOKUP($C89,武器!$1:$998,COLUMN(E$1),FALSE)+IFERROR(VLOOKUP($CI89,装強!$1:$999,COLUMN(G$1),FALSE),0))*VLOOKUP($D89,素材!$1:$1016,COLUMN($E$1),FALSE),0),"")</f>
        <v>10</v>
      </c>
      <c r="H89">
        <f>IFERROR(ROUNDDOWN((VLOOKUP($C89,武器!$1:$998,COLUMN(F$1),FALSE)+IFERROR(VLOOKUP($CI89,装強!$1:$999,COLUMN(H$1),FALSE),0))*VLOOKUP($D89,素材!$1:$1016,COLUMN($E$1),FALSE),0),"")</f>
        <v>13</v>
      </c>
      <c r="I89">
        <f>IFERROR(ROUNDDOWN((VLOOKUP($C89,武器!$1:$998,COLUMN(G$1),FALSE)+IFERROR(VLOOKUP($CI89,装強!$1:$999,COLUMN(I$1),FALSE),0))*VLOOKUP($D89,素材!$1:$1016,COLUMN($E$1),FALSE),0),"")</f>
        <v>8</v>
      </c>
      <c r="J89">
        <f>IFERROR(ROUNDDOWN((VLOOKUP($C89,武器!$1:$998,COLUMN(H$1),FALSE)+IFERROR(VLOOKUP($CI89,装強!$1:$999,COLUMN(J$1),FALSE),0))*VLOOKUP($D89,素材!$1:$1016,COLUMN($E$1),FALSE),0),"")</f>
        <v>25</v>
      </c>
      <c r="K89">
        <f>IFERROR(ROUNDDOWN((VLOOKUP($C89,武器!$1:$998,COLUMN(I$1),FALSE)+IFERROR(VLOOKUP($CI89,装強!$1:$999,COLUMN(K$1),FALSE),0))*VLOOKUP($D89,素材!$1:$1016,COLUMN($E$1),FALSE),0),"")</f>
        <v>0</v>
      </c>
      <c r="L89">
        <f>IFERROR(VLOOKUP($D89,素材!$1:$1016,COLUMN($F$1),FALSE),"")</f>
        <v>0</v>
      </c>
      <c r="M89">
        <f>IFERROR(VLOOKUP($C89,武器!$1:$998,COLUMN(AA$1),FALSE)*VLOOKUP($D89,素材!$1:$1016,COLUMN($G$1),FALSE),"")</f>
        <v>0</v>
      </c>
      <c r="N89">
        <f>IFERROR(VLOOKUP($C89,武器!$1:$998,COLUMN(I$1),FALSE),"")</f>
        <v>0</v>
      </c>
      <c r="O89" s="23">
        <f>IFERROR((VLOOKUP($C89,武器!$1:$998,COLUMN(K$1),FALSE)+VLOOKUP($D89,素材!$1:$1016,COLUMN(H$1),FALSE))*100+IFERROR(VLOOKUP($CI89,装強!$1:$999,COLUMN(O$1),FALSE),0),"")</f>
        <v>10</v>
      </c>
      <c r="P89" s="23">
        <f>IFERROR((VLOOKUP($C89,武器!$1:$998,COLUMN(L$1),FALSE)+VLOOKUP($D89,素材!$1:$1016,COLUMN(I$1),FALSE))*100+IFERROR(VLOOKUP($CI89,装強!$1:$999,COLUMN(P$1),FALSE),0),"")</f>
        <v>150</v>
      </c>
      <c r="Q89">
        <f>IFERROR(ROUNDUP(VLOOKUP($C89,武器!$1:$998,COLUMN(M$1),FALSE)*(VLOOKUP($D89,素材!$1:$1002,COLUMN(D$1),FALSE)/100),1),"")</f>
        <v>-5.3</v>
      </c>
      <c r="R89">
        <f>IFERROR(ROUNDUP(VLOOKUP($C89,武器!$1:$998,COLUMN(N$1),FALSE)*(VLOOKUP($D89,素材!$1:$1002,COLUMN(D$1),FALSE)/100),1),"")</f>
        <v>-5.3</v>
      </c>
      <c r="S89">
        <f>IFERROR(VLOOKUP($C89,武器!$1:$998,COLUMN(P$1),FALSE),"")</f>
        <v>0</v>
      </c>
      <c r="T89">
        <f>IFERROR(VLOOKUP($C89,武器!$1:$998,COLUMN(Q$1),FALSE),"")</f>
        <v>0</v>
      </c>
      <c r="U89">
        <f>IFERROR(VLOOKUP($C89,武器!$1:$998,COLUMN(R$1),FALSE),"")</f>
        <v>0</v>
      </c>
      <c r="V89">
        <f>IFERROR(VLOOKUP($C89,武器!$1:$998,COLUMN(Q$1),FALSE),"")</f>
        <v>0</v>
      </c>
      <c r="W89" t="str">
        <f>IFERROR(VLOOKUP($C89,武器!$1:$998,COLUMN(T$1),FALSE),"")</f>
        <v>A</v>
      </c>
      <c r="Y89">
        <f>IFERROR(VLOOKUP($C89,武器!$1:$998,COLUMN(U$1),FALSE),"")</f>
        <v>0</v>
      </c>
      <c r="Z89">
        <f>IFERROR(ROUNDUP(VLOOKUP($C89,武器!$1:$998,COLUMN(O$1),FALSE)*VLOOKUP($D89,素材!$1:$1016,COLUMN(E$1),FALSE),1),"")</f>
        <v>0</v>
      </c>
      <c r="AA89">
        <f>IF(ISNUMBER(SEARCH(SUBSTITUTE(AA$1,RIGHT(AA$1,2),""),VLOOKUP($D89,素材!$1:$1016,COLUMN($F$1),FALSE))),VLOOKUP($C89,武器!$1:$998,COLUMN($O$1),FALSE)*VLOOKUP($D89,素材!$1:$1016,COLUMN($E$1),FALSE)/(LEN(VLOOKUP($D89,素材!$1:$1016,COLUMN($F$1),FALSE)) - LEN(SUBSTITUTE(VLOOKUP($D89,素材!$1:$1016,COLUMN($F$1),FALSE), "・", 0)) + 1), 0)</f>
        <v>0</v>
      </c>
      <c r="AB89">
        <f>IF(ISNUMBER(SEARCH(SUBSTITUTE(AB$1,RIGHT(AB$1,2),""),VLOOKUP($D89,素材!$1:$1016,COLUMN($F$1),FALSE))),VLOOKUP($C89,武器!$1:$998,COLUMN($O$1),FALSE)*VLOOKUP($D89,素材!$1:$1016,COLUMN($E$1),FALSE)/(LEN(VLOOKUP($D89,素材!$1:$1016,COLUMN($F$1),FALSE)) - LEN(SUBSTITUTE(VLOOKUP($D89,素材!$1:$1016,COLUMN($F$1),FALSE), "・", 0)) + 1), 0)</f>
        <v>0</v>
      </c>
      <c r="AC89">
        <f>IF(ISNUMBER(SEARCH(SUBSTITUTE(AC$1,RIGHT(AC$1,2),""),VLOOKUP($D89,素材!$1:$1016,COLUMN($F$1),FALSE))),VLOOKUP($C89,武器!$1:$998,COLUMN($O$1),FALSE)*VLOOKUP($D89,素材!$1:$1016,COLUMN($E$1),FALSE)/(LEN(VLOOKUP($D89,素材!$1:$1016,COLUMN($F$1),FALSE)) - LEN(SUBSTITUTE(VLOOKUP($D89,素材!$1:$1016,COLUMN($F$1),FALSE), "・", 0)) + 1), 0)</f>
        <v>0</v>
      </c>
      <c r="AD89">
        <f>IF(ISNUMBER(SEARCH(SUBSTITUTE(AD$1,RIGHT(AD$1,2),""),VLOOKUP($D89,素材!$1:$1016,COLUMN($F$1),FALSE))),VLOOKUP($C89,武器!$1:$998,COLUMN($O$1),FALSE)*VLOOKUP($D89,素材!$1:$1016,COLUMN($E$1),FALSE)/(LEN(VLOOKUP($D89,素材!$1:$1016,COLUMN($F$1),FALSE)) - LEN(SUBSTITUTE(VLOOKUP($D89,素材!$1:$1016,COLUMN($F$1),FALSE), "・", 0)) + 1), 0)</f>
        <v>0</v>
      </c>
      <c r="AE89">
        <f>IF(ISNUMBER(SEARCH(SUBSTITUTE(AE$1,RIGHT(AE$1,2),""),VLOOKUP($D89,素材!$1:$1016,COLUMN($F$1),FALSE))),VLOOKUP($C89,武器!$1:$998,COLUMN($O$1),FALSE)*VLOOKUP($D89,素材!$1:$1016,COLUMN($E$1),FALSE)/(LEN(VLOOKUP($D89,素材!$1:$1016,COLUMN($F$1),FALSE)) - LEN(SUBSTITUTE(VLOOKUP($D89,素材!$1:$1016,COLUMN($F$1),FALSE), "・", 0)) + 1), 0)</f>
        <v>0</v>
      </c>
      <c r="AF89">
        <f>IF(ISNUMBER(SEARCH(SUBSTITUTE(AF$1,RIGHT(AF$1,2),""),VLOOKUP($D89,素材!$1:$1016,COLUMN($F$1),FALSE))),VLOOKUP($C89,武器!$1:$998,COLUMN($O$1),FALSE)*VLOOKUP($D89,素材!$1:$1016,COLUMN($E$1),FALSE)/(LEN(VLOOKUP($D89,素材!$1:$1016,COLUMN($F$1),FALSE)) - LEN(SUBSTITUTE(VLOOKUP($D89,素材!$1:$1016,COLUMN($F$1),FALSE), "・", 0)) + 1), 0)</f>
        <v>0</v>
      </c>
      <c r="AG89">
        <f>IF(ISNUMBER(SEARCH(SUBSTITUTE(AG$1,RIGHT(AG$1,2),""),VLOOKUP($D89,素材!$1:$1016,COLUMN($F$1),FALSE))),VLOOKUP($C89,武器!$1:$998,COLUMN($O$1),FALSE)*VLOOKUP($D89,素材!$1:$1016,COLUMN($E$1),FALSE)/(LEN(VLOOKUP($D89,素材!$1:$1016,COLUMN($F$1),FALSE)) - LEN(SUBSTITUTE(VLOOKUP($D89,素材!$1:$1016,COLUMN($F$1),FALSE), "・", 0)) + 1), 0)</f>
        <v>0</v>
      </c>
      <c r="AH89">
        <f>IF(ISNUMBER(SEARCH(SUBSTITUTE(AH$1,RIGHT(AH$1,2),""),VLOOKUP($D89,素材!$1:$1016,COLUMN($F$1),FALSE))),VLOOKUP($C89,武器!$1:$998,COLUMN($O$1),FALSE)*VLOOKUP($D89,素材!$1:$1016,COLUMN($E$1),FALSE)/(LEN(VLOOKUP($D89,素材!$1:$1016,COLUMN($F$1),FALSE)) - LEN(SUBSTITUTE(VLOOKUP($D89,素材!$1:$1016,COLUMN($F$1),FALSE), "・", 0)) + 1), 0)</f>
        <v>0</v>
      </c>
      <c r="AI89">
        <f>IF(ISNUMBER(SEARCH(SUBSTITUTE(AI$1,RIGHT(AI$1,2),""),VLOOKUP($D89,素材!$1:$1016,COLUMN($F$1),FALSE))),VLOOKUP($C89,武器!$1:$998,COLUMN($O$1),FALSE)*VLOOKUP($D89,素材!$1:$1016,COLUMN($E$1),FALSE)/(LEN(VLOOKUP($D89,素材!$1:$1016,COLUMN($F$1),FALSE)) - LEN(SUBSTITUTE(VLOOKUP($D89,素材!$1:$1016,COLUMN($F$1),FALSE), "・", 0)) + 1), 0)</f>
        <v>0</v>
      </c>
      <c r="AJ89">
        <f>IF(ISNUMBER(SEARCH(SUBSTITUTE(AJ$1,RIGHT(AJ$1,2),""),VLOOKUP($D89,素材!$1:$1016,COLUMN($F$1),FALSE))),VLOOKUP($C89,武器!$1:$998,COLUMN($O$1),FALSE)*VLOOKUP($D89,素材!$1:$1016,COLUMN($E$1),FALSE)/(LEN(VLOOKUP($D89,素材!$1:$1016,COLUMN($F$1),FALSE)) - LEN(SUBSTITUTE(VLOOKUP($D89,素材!$1:$1016,COLUMN($F$1),FALSE), "・", 0)) + 1), 0)</f>
        <v>0</v>
      </c>
      <c r="AK89">
        <f>IF(ISNUMBER(SEARCH(SUBSTITUTE(AK$1,RIGHT(AK$1,2),""),VLOOKUP($D89,素材!$1:$1016,COLUMN($F$1),FALSE))),VLOOKUP($C89,武器!$1:$998,COLUMN($O$1),FALSE)*VLOOKUP($D89,素材!$1:$1016,COLUMN($E$1),FALSE)/(LEN(VLOOKUP($D89,素材!$1:$1016,COLUMN($F$1),FALSE)) - LEN(SUBSTITUTE(VLOOKUP($D89,素材!$1:$1016,COLUMN($F$1),FALSE), "・", 0)) + 1), 0)</f>
        <v>0</v>
      </c>
      <c r="AL89">
        <f>IF(ISNUMBER(SEARCH(SUBSTITUTE(AL$1,RIGHT(AL$1,2),""),VLOOKUP($D89,素材!$1:$1016,COLUMN($F$1),FALSE))),VLOOKUP($C89,武器!$1:$998,COLUMN($O$1),FALSE)*VLOOKUP($D89,素材!$1:$1016,COLUMN($E$1),FALSE)/(LEN(VLOOKUP($D89,素材!$1:$1016,COLUMN($F$1),FALSE)) - LEN(SUBSTITUTE(VLOOKUP($D89,素材!$1:$1016,COLUMN($F$1),FALSE), "・", 0)) + 1), 0)</f>
        <v>0</v>
      </c>
      <c r="AM89">
        <f>IF(ISNUMBER(SEARCH(SUBSTITUTE(AM$1,RIGHT(AM$1,2),""),VLOOKUP($D89,素材!$1:$1016,COLUMN($F$1),FALSE))),VLOOKUP($C89,武器!$1:$998,COLUMN($O$1),FALSE)*VLOOKUP($D89,素材!$1:$1016,COLUMN($E$1),FALSE)/(LEN(VLOOKUP($D89,素材!$1:$1016,COLUMN($F$1),FALSE)) - LEN(SUBSTITUTE(VLOOKUP($D89,素材!$1:$1016,COLUMN($F$1),FALSE), "・", 0)) + 1), 0)</f>
        <v>0</v>
      </c>
      <c r="AN89">
        <f>IF(ISNUMBER(SEARCH(SUBSTITUTE(AN$1,RIGHT(AN$1,2),""),VLOOKUP($D89,素材!$1:$1016,COLUMN($F$1),FALSE))),VLOOKUP($C89,武器!$1:$998,COLUMN($O$1),FALSE)*VLOOKUP($D89,素材!$1:$1016,COLUMN($E$1),FALSE)/(LEN(VLOOKUP($D89,素材!$1:$1016,COLUMN($F$1),FALSE)) - LEN(SUBSTITUTE(VLOOKUP($D89,素材!$1:$1016,COLUMN($F$1),FALSE), "・", 0)) + 1), 0)</f>
        <v>0</v>
      </c>
      <c r="AO89">
        <f>IF(ISNUMBER(SEARCH(SUBSTITUTE(AO$1,RIGHT(AO$1,2),""),VLOOKUP($D89,素材!$1:$1016,COLUMN($F$1),FALSE))),VLOOKUP($C89,武器!$1:$998,COLUMN($O$1),FALSE)*VLOOKUP($D89,素材!$1:$1016,COLUMN($E$1),FALSE)/(LEN(VLOOKUP($D89,素材!$1:$1016,COLUMN($F$1),FALSE)) - LEN(SUBSTITUTE(VLOOKUP($D89,素材!$1:$1016,COLUMN($F$1),FALSE), "・", 0)) + 1), 0)</f>
        <v>0</v>
      </c>
      <c r="AP89">
        <f>IF(ISNUMBER(SEARCH(SUBSTITUTE(AP$1,RIGHT(AP$1,2),""),VLOOKUP($D89,素材!$1:$1016,COLUMN($F$1),FALSE))),VLOOKUP($C89,武器!$1:$998,COLUMN($O$1),FALSE)*VLOOKUP($D89,素材!$1:$1016,COLUMN($E$1),FALSE)/(LEN(VLOOKUP($D89,素材!$1:$1016,COLUMN($F$1),FALSE)) - LEN(SUBSTITUTE(VLOOKUP($D89,素材!$1:$1016,COLUMN($F$1),FALSE), "・", 0)) + 1), 0)</f>
        <v>0</v>
      </c>
      <c r="AQ89">
        <f>IF(ISNUMBER(SEARCH(SUBSTITUTE(AQ$1,RIGHT(AQ$1,2),""),VLOOKUP($D89,素材!$1:$1016,COLUMN($F$1),FALSE))),VLOOKUP($C89,武器!$1:$998,COLUMN($O$1),FALSE)*VLOOKUP($D89,素材!$1:$1016,COLUMN($E$1),FALSE)/(LEN(VLOOKUP($D89,素材!$1:$1016,COLUMN($F$1),FALSE)) - LEN(SUBSTITUTE(VLOOKUP($D89,素材!$1:$1016,COLUMN($F$1),FALSE), "・", 0)) + 1), 0)</f>
        <v>0</v>
      </c>
      <c r="AR89">
        <f>IF(ISNUMBER(SEARCH(SUBSTITUTE(AR$1,RIGHT(AR$1,2),""),VLOOKUP($D89,素材!$1:$1016,COLUMN($F$1),FALSE))),VLOOKUP($C89,武器!$1:$998,COLUMN($O$1),FALSE)*VLOOKUP($D89,素材!$1:$1016,COLUMN($E$1),FALSE)/(LEN(VLOOKUP($D89,素材!$1:$1016,COLUMN($F$1),FALSE)) - LEN(SUBSTITUTE(VLOOKUP($D89,素材!$1:$1016,COLUMN($F$1),FALSE), "・", 0)) + 1), 0)</f>
        <v>0</v>
      </c>
      <c r="AS89">
        <f>IF(ISNUMBER(SEARCH(SUBSTITUTE(AS$1,RIGHT(AS$1,2),""),VLOOKUP($D89,素材!$1:$1016,COLUMN($F$1),FALSE))),VLOOKUP($C89,武器!$1:$998,COLUMN($O$1),FALSE)*VLOOKUP($D89,素材!$1:$1016,COLUMN($E$1),FALSE)/(LEN(VLOOKUP($D89,素材!$1:$1016,COLUMN($F$1),FALSE)) - LEN(SUBSTITUTE(VLOOKUP($D89,素材!$1:$1016,COLUMN($F$1),FALSE), "・", 0)) + 1), 0)</f>
        <v>0</v>
      </c>
      <c r="AT89">
        <f>IF(ISNUMBER(SEARCH(SUBSTITUTE(AT$1,RIGHT(AT$1,2),""),VLOOKUP($D89,素材!$1:$1016,COLUMN($F$1),FALSE))),VLOOKUP($C89,武器!$1:$998,COLUMN($O$1),FALSE)*VLOOKUP($D89,素材!$1:$1016,COLUMN($E$1),FALSE)/(LEN(VLOOKUP($D89,素材!$1:$1016,COLUMN($F$1),FALSE)) - LEN(SUBSTITUTE(VLOOKUP($D89,素材!$1:$1016,COLUMN($F$1),FALSE), "・", 0)) + 1), 0)</f>
        <v>0</v>
      </c>
      <c r="AU89">
        <f>IF(ISNUMBER(SEARCH(SUBSTITUTE(AU$1,RIGHT(AU$1,2),""),VLOOKUP($D89,素材!$1:$1016,COLUMN($F$1),FALSE))),VLOOKUP($C89,武器!$1:$998,COLUMN($O$1),FALSE)*VLOOKUP($D89,素材!$1:$1016,COLUMN($E$1),FALSE)/(LEN(VLOOKUP($D89,素材!$1:$1016,COLUMN($F$1),FALSE)) - LEN(SUBSTITUTE(VLOOKUP($D89,素材!$1:$1016,COLUMN($F$1),FALSE), "・", 0)) + 1), 0)</f>
        <v>0</v>
      </c>
      <c r="AV89">
        <f>IF(ISNUMBER(SEARCH(SUBSTITUTE(AV$1,RIGHT(AV$1,2),""),VLOOKUP($D89,素材!$1:$1016,COLUMN($F$1),FALSE))),VLOOKUP($C89,武器!$1:$998,COLUMN($O$1),FALSE)*VLOOKUP($D89,素材!$1:$1016,COLUMN($E$1),FALSE)/(LEN(VLOOKUP($D89,素材!$1:$1016,COLUMN($F$1),FALSE)) - LEN(SUBSTITUTE(VLOOKUP($D89,素材!$1:$1016,COLUMN($F$1),FALSE), "・", 0)) + 1), 0)</f>
        <v>0</v>
      </c>
      <c r="AW89">
        <f>IF(ISNUMBER(SEARCH(SUBSTITUTE(AW$1,RIGHT(AW$1,2),""),VLOOKUP($D89,素材!$1:$1016,COLUMN($F$1),FALSE))),VLOOKUP($C89,武器!$1:$998,COLUMN($O$1),FALSE)*VLOOKUP($D89,素材!$1:$1016,COLUMN($E$1),FALSE)/(LEN(VLOOKUP($D89,素材!$1:$1016,COLUMN($F$1),FALSE)) - LEN(SUBSTITUTE(VLOOKUP($D89,素材!$1:$1016,COLUMN($F$1),FALSE), "・", 0)) + 1), 0)</f>
        <v>0</v>
      </c>
      <c r="AX89">
        <f>IF(ISNUMBER(SEARCH(SUBSTITUTE(AX$1,RIGHT(AX$1,2),""),VLOOKUP($D89,素材!$1:$1016,COLUMN($F$1),FALSE))),VLOOKUP($C89,武器!$1:$998,COLUMN($O$1),FALSE)*VLOOKUP($D89,素材!$1:$1016,COLUMN($E$1),FALSE)/(LEN(VLOOKUP($D89,素材!$1:$1016,COLUMN($F$1),FALSE)) - LEN(SUBSTITUTE(VLOOKUP($D89,素材!$1:$1016,COLUMN($F$1),FALSE), "・", 0)) + 1), 0)</f>
        <v>0</v>
      </c>
      <c r="AY89">
        <f>IF(ISNUMBER(SEARCH(SUBSTITUTE(AY$1,RIGHT(AY$1,2),""),VLOOKUP($D89,素材!$1:$1016,COLUMN($F$1),FALSE))),VLOOKUP($C89,武器!$1:$998,COLUMN($O$1),FALSE)*VLOOKUP($D89,素材!$1:$1016,COLUMN($E$1),FALSE)/(LEN(VLOOKUP($D89,素材!$1:$1016,COLUMN($F$1),FALSE)) - LEN(SUBSTITUTE(VLOOKUP($D89,素材!$1:$1016,COLUMN($F$1),FALSE), "・", 0)) + 1), 0)</f>
        <v>0</v>
      </c>
      <c r="AZ89">
        <f>IF(ISNUMBER(SEARCH(SUBSTITUTE(AZ$1,RIGHT(AZ$1,2),""),VLOOKUP($D89,素材!$1:$1016,COLUMN($F$1),FALSE))),VLOOKUP($C89,武器!$1:$998,COLUMN($O$1),FALSE)*VLOOKUP($D89,素材!$1:$1016,COLUMN($E$1),FALSE)/(LEN(VLOOKUP($D89,素材!$1:$1016,COLUMN($F$1),FALSE)) - LEN(SUBSTITUTE(VLOOKUP($D89,素材!$1:$1016,COLUMN($F$1),FALSE), "・", 0)) + 1), 0)</f>
        <v>0</v>
      </c>
      <c r="BA89">
        <f>IF(ISNUMBER(SEARCH(SUBSTITUTE(BA$1,RIGHT(BA$1,2),""),VLOOKUP($D89,素材!$1:$1016,COLUMN($F$1),FALSE))),VLOOKUP($C89,武器!$1:$998,COLUMN($O$1),FALSE)*VLOOKUP($D89,素材!$1:$1016,COLUMN($E$1),FALSE)/(LEN(VLOOKUP($D89,素材!$1:$1016,COLUMN($F$1),FALSE)) - LEN(SUBSTITUTE(VLOOKUP($D89,素材!$1:$1016,COLUMN($F$1),FALSE), "・", 0)) + 1), 0)</f>
        <v>0</v>
      </c>
      <c r="BB89">
        <f>IF(ISNUMBER(SEARCH(SUBSTITUTE(BB$1,RIGHT(BB$1,2),""),VLOOKUP($D89,素材!$1:$1016,COLUMN($F$1),FALSE))),VLOOKUP($C89,武器!$1:$998,COLUMN($O$1),FALSE)*VLOOKUP($D89,素材!$1:$1016,COLUMN($E$1),FALSE)/(LEN(VLOOKUP($D89,素材!$1:$1016,COLUMN($F$1),FALSE)) - LEN(SUBSTITUTE(VLOOKUP($D89,素材!$1:$1016,COLUMN($F$1),FALSE), "・", 0)) + 1), 0)</f>
        <v>0</v>
      </c>
      <c r="BC89">
        <f>IF(ISNUMBER(SEARCH(SUBSTITUTE(BC$1,RIGHT(BC$1,2),""),VLOOKUP($D89,素材!$1:$1016,COLUMN($F$1),FALSE))),VLOOKUP($C89,武器!$1:$998,COLUMN($O$1),FALSE)*VLOOKUP($D89,素材!$1:$1016,COLUMN($E$1),FALSE)/(LEN(VLOOKUP($D89,素材!$1:$1016,COLUMN($F$1),FALSE)) - LEN(SUBSTITUTE(VLOOKUP($D89,素材!$1:$1016,COLUMN($F$1),FALSE), "・", 0)) + 1), 0)</f>
        <v>0</v>
      </c>
      <c r="BD89">
        <f>IF(ISNUMBER(SEARCH(SUBSTITUTE(BD$1,RIGHT(BD$1,2),""),VLOOKUP($D89,素材!$1:$1016,COLUMN($F$1),FALSE))),VLOOKUP($C89,武器!$1:$998,COLUMN($O$1),FALSE)*VLOOKUP($D89,素材!$1:$1016,COLUMN($E$1),FALSE)/(LEN(VLOOKUP($D89,素材!$1:$1016,COLUMN($F$1),FALSE)) - LEN(SUBSTITUTE(VLOOKUP($D89,素材!$1:$1016,COLUMN($F$1),FALSE), "・", 0)) + 1), 0)</f>
        <v>0</v>
      </c>
      <c r="BE89">
        <f>IF(ISNUMBER(SEARCH(SUBSTITUTE(BE$1,RIGHT(BE$1,2),""),VLOOKUP($D89,素材!$1:$1016,COLUMN($F$1),FALSE))),VLOOKUP($C89,武器!$1:$998,COLUMN($O$1),FALSE)*VLOOKUP($D89,素材!$1:$1016,COLUMN($E$1),FALSE)/(LEN(VLOOKUP($D89,素材!$1:$1016,COLUMN($F$1),FALSE)) - LEN(SUBSTITUTE(VLOOKUP($D89,素材!$1:$1016,COLUMN($F$1),FALSE), "・", 0)) + 1), 0)</f>
        <v>0</v>
      </c>
      <c r="CL89">
        <f>SUM(G89:I89)</f>
        <v>31</v>
      </c>
      <c r="CM89" s="22" t="str">
        <f>IF(E89="武器",IF(J89-1&gt;SUM(G89:I89),"盾",IF(MAX(G89:I89)=G89,"切断",IF(MAX(G89:I89)=H89,"貫通",IF(MAX(G89:I89)=I89,"打撃","射撃")))),E89)&amp;".webp"</f>
        <v>貫通.webp</v>
      </c>
      <c r="CN89">
        <f>IFERROR(VLOOKUP($C89,武器!$1:$998,COLUMN(V$1),FALSE)*VLOOKUP($D89,素材!$1:$1016,COLUMN(N$1),FALSE)+IF(CI89="",0,VLOOKUP($CI89,装強!$1:$1008,COLUMN($CK$1),FALSE)),"")</f>
        <v>1125</v>
      </c>
      <c r="CO89" t="str">
        <f>VLOOKUP(D89,素材!$A:$O,COLUMN(素材!O$1),FALSE)</f>
        <v>鍛えられた鉄。硬度が高く安価なためよく使用される。</v>
      </c>
      <c r="CP89" t="str">
        <f>VLOOKUP(C89,武器!$A:$W,COLUMN(武器!W$1),FALSE)</f>
        <v>斧槍。全力時に威力が高く斬撃と突撃の両方に対応できる武器。</v>
      </c>
      <c r="CR89" t="str">
        <f t="shared" si="5"/>
        <v>e_89</v>
      </c>
      <c r="CS89">
        <f t="shared" si="6"/>
        <v>112500</v>
      </c>
    </row>
    <row r="90" spans="1:97" outlineLevel="1" x14ac:dyDescent="0.4">
      <c r="A90" t="str">
        <f t="shared" si="4"/>
        <v>鋼の棍棒</v>
      </c>
      <c r="B90" t="str">
        <f>IFERROR(VLOOKUP($D90,素材!$1:$1016,COLUMN($B$1),FALSE)&amp;"・"&amp;VLOOKUP($C90,武器!$1:$998,COLUMN(B$1),FALSE),"")</f>
        <v>スチール・クラブ</v>
      </c>
      <c r="C90" s="24" t="s">
        <v>230</v>
      </c>
      <c r="D90" s="24" t="s">
        <v>253</v>
      </c>
      <c r="E90" t="str">
        <f>IFERROR(VLOOKUP(C90,武器!$1:$998,COLUMN(C$1),FALSE),"")</f>
        <v>武器</v>
      </c>
      <c r="F90">
        <f>IFERROR(ROUNDDOWN((VLOOKUP($C90,武器!$1:$998,COLUMN(D$1),FALSE)+IFERROR(VLOOKUP($CI90,装強!$1:$999,COLUMN(F$1),FALSE),0))*VLOOKUP($D90,素材!$1:$1016,COLUMN(D$1),FALSE),0),"")</f>
        <v>110</v>
      </c>
      <c r="G90">
        <f>IFERROR(ROUNDDOWN((VLOOKUP($C90,武器!$1:$998,COLUMN(E$1),FALSE)+IFERROR(VLOOKUP($CI90,装強!$1:$999,COLUMN(G$1),FALSE),0))*VLOOKUP($D90,素材!$1:$1016,COLUMN($E$1),FALSE),0),"")</f>
        <v>2</v>
      </c>
      <c r="H90">
        <f>IFERROR(ROUNDDOWN((VLOOKUP($C90,武器!$1:$998,COLUMN(F$1),FALSE)+IFERROR(VLOOKUP($CI90,装強!$1:$999,COLUMN(H$1),FALSE),0))*VLOOKUP($D90,素材!$1:$1016,COLUMN($E$1),FALSE),0),"")</f>
        <v>0</v>
      </c>
      <c r="I90">
        <f>IFERROR(ROUNDDOWN((VLOOKUP($C90,武器!$1:$998,COLUMN(G$1),FALSE)+IFERROR(VLOOKUP($CI90,装強!$1:$999,COLUMN(I$1),FALSE),0))*VLOOKUP($D90,素材!$1:$1016,COLUMN($E$1),FALSE),0),"")</f>
        <v>27</v>
      </c>
      <c r="J90">
        <f>IFERROR(ROUNDDOWN((VLOOKUP($C90,武器!$1:$998,COLUMN(H$1),FALSE)+IFERROR(VLOOKUP($CI90,装強!$1:$999,COLUMN(J$1),FALSE),0))*VLOOKUP($D90,素材!$1:$1016,COLUMN($E$1),FALSE),0),"")</f>
        <v>25</v>
      </c>
      <c r="K90">
        <f>IFERROR(ROUNDDOWN((VLOOKUP($C90,武器!$1:$998,COLUMN(I$1),FALSE)+IFERROR(VLOOKUP($CI90,装強!$1:$999,COLUMN(K$1),FALSE),0))*VLOOKUP($D90,素材!$1:$1016,COLUMN($E$1),FALSE),0),"")</f>
        <v>0</v>
      </c>
      <c r="L90">
        <f>IFERROR(VLOOKUP($D90,素材!$1:$1016,COLUMN($F$1),FALSE),"")</f>
        <v>0</v>
      </c>
      <c r="M90">
        <f>IFERROR(VLOOKUP($C90,武器!$1:$998,COLUMN(AA$1),FALSE)*VLOOKUP($D90,素材!$1:$1016,COLUMN($G$1),FALSE),"")</f>
        <v>0</v>
      </c>
      <c r="N90">
        <f>IFERROR(VLOOKUP($C90,武器!$1:$998,COLUMN(I$1),FALSE),"")</f>
        <v>0</v>
      </c>
      <c r="O90" s="23">
        <f>IFERROR((VLOOKUP($C90,武器!$1:$998,COLUMN(K$1),FALSE)+VLOOKUP($D90,素材!$1:$1016,COLUMN(H$1),FALSE))*100+IFERROR(VLOOKUP($CI90,装強!$1:$999,COLUMN(O$1),FALSE),0),"")</f>
        <v>5</v>
      </c>
      <c r="P90" s="23">
        <f>IFERROR((VLOOKUP($C90,武器!$1:$998,COLUMN(L$1),FALSE)+VLOOKUP($D90,素材!$1:$1016,COLUMN(I$1),FALSE))*100+IFERROR(VLOOKUP($CI90,装強!$1:$999,COLUMN(P$1),FALSE),0),"")</f>
        <v>150</v>
      </c>
      <c r="Q90">
        <f>IFERROR(ROUNDUP(VLOOKUP($C90,武器!$1:$998,COLUMN(M$1),FALSE)*(VLOOKUP($D90,素材!$1:$1002,COLUMN(D$1),FALSE)/100),1),"")</f>
        <v>0</v>
      </c>
      <c r="R90">
        <f>IFERROR(ROUNDUP(VLOOKUP($C90,武器!$1:$998,COLUMN(N$1),FALSE)*(VLOOKUP($D90,素材!$1:$1002,COLUMN(D$1),FALSE)/100),1),"")</f>
        <v>0</v>
      </c>
      <c r="S90">
        <f>IFERROR(VLOOKUP($C90,武器!$1:$998,COLUMN(P$1),FALSE),"")</f>
        <v>0</v>
      </c>
      <c r="T90">
        <f>IFERROR(VLOOKUP($C90,武器!$1:$998,COLUMN(Q$1),FALSE),"")</f>
        <v>0</v>
      </c>
      <c r="U90">
        <f>IFERROR(VLOOKUP($C90,武器!$1:$998,COLUMN(R$1),FALSE),"")</f>
        <v>0</v>
      </c>
      <c r="V90">
        <f>IFERROR(VLOOKUP($C90,武器!$1:$998,COLUMN(Q$1),FALSE),"")</f>
        <v>0</v>
      </c>
      <c r="W90" t="str">
        <f>IFERROR(VLOOKUP($C90,武器!$1:$998,COLUMN(T$1),FALSE),"")</f>
        <v>A</v>
      </c>
      <c r="Y90" t="str">
        <f>IFERROR(VLOOKUP($C90,武器!$1:$998,COLUMN(U$1),FALSE),"")</f>
        <v>片手適性Ⅰ</v>
      </c>
      <c r="Z90">
        <f>IFERROR(ROUNDUP(VLOOKUP($C90,武器!$1:$998,COLUMN(O$1),FALSE)*VLOOKUP($D90,素材!$1:$1016,COLUMN(E$1),FALSE),1),"")</f>
        <v>0</v>
      </c>
      <c r="AA90">
        <f>IF(ISNUMBER(SEARCH(SUBSTITUTE(AA$1,RIGHT(AA$1,2),""),VLOOKUP($D90,素材!$1:$1016,COLUMN($F$1),FALSE))),VLOOKUP($C90,武器!$1:$998,COLUMN($O$1),FALSE)*VLOOKUP($D90,素材!$1:$1016,COLUMN($E$1),FALSE)/(LEN(VLOOKUP($D90,素材!$1:$1016,COLUMN($F$1),FALSE)) - LEN(SUBSTITUTE(VLOOKUP($D90,素材!$1:$1016,COLUMN($F$1),FALSE), "・", 0)) + 1), 0)</f>
        <v>0</v>
      </c>
      <c r="AB90">
        <f>IF(ISNUMBER(SEARCH(SUBSTITUTE(AB$1,RIGHT(AB$1,2),""),VLOOKUP($D90,素材!$1:$1016,COLUMN($F$1),FALSE))),VLOOKUP($C90,武器!$1:$998,COLUMN($O$1),FALSE)*VLOOKUP($D90,素材!$1:$1016,COLUMN($E$1),FALSE)/(LEN(VLOOKUP($D90,素材!$1:$1016,COLUMN($F$1),FALSE)) - LEN(SUBSTITUTE(VLOOKUP($D90,素材!$1:$1016,COLUMN($F$1),FALSE), "・", 0)) + 1), 0)</f>
        <v>0</v>
      </c>
      <c r="AC90">
        <f>IF(ISNUMBER(SEARCH(SUBSTITUTE(AC$1,RIGHT(AC$1,2),""),VLOOKUP($D90,素材!$1:$1016,COLUMN($F$1),FALSE))),VLOOKUP($C90,武器!$1:$998,COLUMN($O$1),FALSE)*VLOOKUP($D90,素材!$1:$1016,COLUMN($E$1),FALSE)/(LEN(VLOOKUP($D90,素材!$1:$1016,COLUMN($F$1),FALSE)) - LEN(SUBSTITUTE(VLOOKUP($D90,素材!$1:$1016,COLUMN($F$1),FALSE), "・", 0)) + 1), 0)</f>
        <v>0</v>
      </c>
      <c r="AD90">
        <f>IF(ISNUMBER(SEARCH(SUBSTITUTE(AD$1,RIGHT(AD$1,2),""),VLOOKUP($D90,素材!$1:$1016,COLUMN($F$1),FALSE))),VLOOKUP($C90,武器!$1:$998,COLUMN($O$1),FALSE)*VLOOKUP($D90,素材!$1:$1016,COLUMN($E$1),FALSE)/(LEN(VLOOKUP($D90,素材!$1:$1016,COLUMN($F$1),FALSE)) - LEN(SUBSTITUTE(VLOOKUP($D90,素材!$1:$1016,COLUMN($F$1),FALSE), "・", 0)) + 1), 0)</f>
        <v>0</v>
      </c>
      <c r="AE90">
        <f>IF(ISNUMBER(SEARCH(SUBSTITUTE(AE$1,RIGHT(AE$1,2),""),VLOOKUP($D90,素材!$1:$1016,COLUMN($F$1),FALSE))),VLOOKUP($C90,武器!$1:$998,COLUMN($O$1),FALSE)*VLOOKUP($D90,素材!$1:$1016,COLUMN($E$1),FALSE)/(LEN(VLOOKUP($D90,素材!$1:$1016,COLUMN($F$1),FALSE)) - LEN(SUBSTITUTE(VLOOKUP($D90,素材!$1:$1016,COLUMN($F$1),FALSE), "・", 0)) + 1), 0)</f>
        <v>0</v>
      </c>
      <c r="AF90">
        <f>IF(ISNUMBER(SEARCH(SUBSTITUTE(AF$1,RIGHT(AF$1,2),""),VLOOKUP($D90,素材!$1:$1016,COLUMN($F$1),FALSE))),VLOOKUP($C90,武器!$1:$998,COLUMN($O$1),FALSE)*VLOOKUP($D90,素材!$1:$1016,COLUMN($E$1),FALSE)/(LEN(VLOOKUP($D90,素材!$1:$1016,COLUMN($F$1),FALSE)) - LEN(SUBSTITUTE(VLOOKUP($D90,素材!$1:$1016,COLUMN($F$1),FALSE), "・", 0)) + 1), 0)</f>
        <v>0</v>
      </c>
      <c r="AG90">
        <f>IF(ISNUMBER(SEARCH(SUBSTITUTE(AG$1,RIGHT(AG$1,2),""),VLOOKUP($D90,素材!$1:$1016,COLUMN($F$1),FALSE))),VLOOKUP($C90,武器!$1:$998,COLUMN($O$1),FALSE)*VLOOKUP($D90,素材!$1:$1016,COLUMN($E$1),FALSE)/(LEN(VLOOKUP($D90,素材!$1:$1016,COLUMN($F$1),FALSE)) - LEN(SUBSTITUTE(VLOOKUP($D90,素材!$1:$1016,COLUMN($F$1),FALSE), "・", 0)) + 1), 0)</f>
        <v>0</v>
      </c>
      <c r="AH90">
        <f>IF(ISNUMBER(SEARCH(SUBSTITUTE(AH$1,RIGHT(AH$1,2),""),VLOOKUP($D90,素材!$1:$1016,COLUMN($F$1),FALSE))),VLOOKUP($C90,武器!$1:$998,COLUMN($O$1),FALSE)*VLOOKUP($D90,素材!$1:$1016,COLUMN($E$1),FALSE)/(LEN(VLOOKUP($D90,素材!$1:$1016,COLUMN($F$1),FALSE)) - LEN(SUBSTITUTE(VLOOKUP($D90,素材!$1:$1016,COLUMN($F$1),FALSE), "・", 0)) + 1), 0)</f>
        <v>0</v>
      </c>
      <c r="AI90">
        <f>IF(ISNUMBER(SEARCH(SUBSTITUTE(AI$1,RIGHT(AI$1,2),""),VLOOKUP($D90,素材!$1:$1016,COLUMN($F$1),FALSE))),VLOOKUP($C90,武器!$1:$998,COLUMN($O$1),FALSE)*VLOOKUP($D90,素材!$1:$1016,COLUMN($E$1),FALSE)/(LEN(VLOOKUP($D90,素材!$1:$1016,COLUMN($F$1),FALSE)) - LEN(SUBSTITUTE(VLOOKUP($D90,素材!$1:$1016,COLUMN($F$1),FALSE), "・", 0)) + 1), 0)</f>
        <v>0</v>
      </c>
      <c r="AJ90">
        <f>IF(ISNUMBER(SEARCH(SUBSTITUTE(AJ$1,RIGHT(AJ$1,2),""),VLOOKUP($D90,素材!$1:$1016,COLUMN($F$1),FALSE))),VLOOKUP($C90,武器!$1:$998,COLUMN($O$1),FALSE)*VLOOKUP($D90,素材!$1:$1016,COLUMN($E$1),FALSE)/(LEN(VLOOKUP($D90,素材!$1:$1016,COLUMN($F$1),FALSE)) - LEN(SUBSTITUTE(VLOOKUP($D90,素材!$1:$1016,COLUMN($F$1),FALSE), "・", 0)) + 1), 0)</f>
        <v>0</v>
      </c>
      <c r="AK90">
        <f>IF(ISNUMBER(SEARCH(SUBSTITUTE(AK$1,RIGHT(AK$1,2),""),VLOOKUP($D90,素材!$1:$1016,COLUMN($F$1),FALSE))),VLOOKUP($C90,武器!$1:$998,COLUMN($O$1),FALSE)*VLOOKUP($D90,素材!$1:$1016,COLUMN($E$1),FALSE)/(LEN(VLOOKUP($D90,素材!$1:$1016,COLUMN($F$1),FALSE)) - LEN(SUBSTITUTE(VLOOKUP($D90,素材!$1:$1016,COLUMN($F$1),FALSE), "・", 0)) + 1), 0)</f>
        <v>0</v>
      </c>
      <c r="AL90">
        <f>IF(ISNUMBER(SEARCH(SUBSTITUTE(AL$1,RIGHT(AL$1,2),""),VLOOKUP($D90,素材!$1:$1016,COLUMN($F$1),FALSE))),VLOOKUP($C90,武器!$1:$998,COLUMN($O$1),FALSE)*VLOOKUP($D90,素材!$1:$1016,COLUMN($E$1),FALSE)/(LEN(VLOOKUP($D90,素材!$1:$1016,COLUMN($F$1),FALSE)) - LEN(SUBSTITUTE(VLOOKUP($D90,素材!$1:$1016,COLUMN($F$1),FALSE), "・", 0)) + 1), 0)</f>
        <v>0</v>
      </c>
      <c r="AM90">
        <f>IF(ISNUMBER(SEARCH(SUBSTITUTE(AM$1,RIGHT(AM$1,2),""),VLOOKUP($D90,素材!$1:$1016,COLUMN($F$1),FALSE))),VLOOKUP($C90,武器!$1:$998,COLUMN($O$1),FALSE)*VLOOKUP($D90,素材!$1:$1016,COLUMN($E$1),FALSE)/(LEN(VLOOKUP($D90,素材!$1:$1016,COLUMN($F$1),FALSE)) - LEN(SUBSTITUTE(VLOOKUP($D90,素材!$1:$1016,COLUMN($F$1),FALSE), "・", 0)) + 1), 0)</f>
        <v>0</v>
      </c>
      <c r="AN90">
        <f>IF(ISNUMBER(SEARCH(SUBSTITUTE(AN$1,RIGHT(AN$1,2),""),VLOOKUP($D90,素材!$1:$1016,COLUMN($F$1),FALSE))),VLOOKUP($C90,武器!$1:$998,COLUMN($O$1),FALSE)*VLOOKUP($D90,素材!$1:$1016,COLUMN($E$1),FALSE)/(LEN(VLOOKUP($D90,素材!$1:$1016,COLUMN($F$1),FALSE)) - LEN(SUBSTITUTE(VLOOKUP($D90,素材!$1:$1016,COLUMN($F$1),FALSE), "・", 0)) + 1), 0)</f>
        <v>0</v>
      </c>
      <c r="AO90">
        <f>IF(ISNUMBER(SEARCH(SUBSTITUTE(AO$1,RIGHT(AO$1,2),""),VLOOKUP($D90,素材!$1:$1016,COLUMN($F$1),FALSE))),VLOOKUP($C90,武器!$1:$998,COLUMN($O$1),FALSE)*VLOOKUP($D90,素材!$1:$1016,COLUMN($E$1),FALSE)/(LEN(VLOOKUP($D90,素材!$1:$1016,COLUMN($F$1),FALSE)) - LEN(SUBSTITUTE(VLOOKUP($D90,素材!$1:$1016,COLUMN($F$1),FALSE), "・", 0)) + 1), 0)</f>
        <v>0</v>
      </c>
      <c r="AP90">
        <f>IF(ISNUMBER(SEARCH(SUBSTITUTE(AP$1,RIGHT(AP$1,2),""),VLOOKUP($D90,素材!$1:$1016,COLUMN($F$1),FALSE))),VLOOKUP($C90,武器!$1:$998,COLUMN($O$1),FALSE)*VLOOKUP($D90,素材!$1:$1016,COLUMN($E$1),FALSE)/(LEN(VLOOKUP($D90,素材!$1:$1016,COLUMN($F$1),FALSE)) - LEN(SUBSTITUTE(VLOOKUP($D90,素材!$1:$1016,COLUMN($F$1),FALSE), "・", 0)) + 1), 0)</f>
        <v>0</v>
      </c>
      <c r="AQ90">
        <f>IF(ISNUMBER(SEARCH(SUBSTITUTE(AQ$1,RIGHT(AQ$1,2),""),VLOOKUP($D90,素材!$1:$1016,COLUMN($F$1),FALSE))),VLOOKUP($C90,武器!$1:$998,COLUMN($O$1),FALSE)*VLOOKUP($D90,素材!$1:$1016,COLUMN($E$1),FALSE)/(LEN(VLOOKUP($D90,素材!$1:$1016,COLUMN($F$1),FALSE)) - LEN(SUBSTITUTE(VLOOKUP($D90,素材!$1:$1016,COLUMN($F$1),FALSE), "・", 0)) + 1), 0)</f>
        <v>0</v>
      </c>
      <c r="AR90">
        <f>IF(ISNUMBER(SEARCH(SUBSTITUTE(AR$1,RIGHT(AR$1,2),""),VLOOKUP($D90,素材!$1:$1016,COLUMN($F$1),FALSE))),VLOOKUP($C90,武器!$1:$998,COLUMN($O$1),FALSE)*VLOOKUP($D90,素材!$1:$1016,COLUMN($E$1),FALSE)/(LEN(VLOOKUP($D90,素材!$1:$1016,COLUMN($F$1),FALSE)) - LEN(SUBSTITUTE(VLOOKUP($D90,素材!$1:$1016,COLUMN($F$1),FALSE), "・", 0)) + 1), 0)</f>
        <v>0</v>
      </c>
      <c r="AS90">
        <f>IF(ISNUMBER(SEARCH(SUBSTITUTE(AS$1,RIGHT(AS$1,2),""),VLOOKUP($D90,素材!$1:$1016,COLUMN($F$1),FALSE))),VLOOKUP($C90,武器!$1:$998,COLUMN($O$1),FALSE)*VLOOKUP($D90,素材!$1:$1016,COLUMN($E$1),FALSE)/(LEN(VLOOKUP($D90,素材!$1:$1016,COLUMN($F$1),FALSE)) - LEN(SUBSTITUTE(VLOOKUP($D90,素材!$1:$1016,COLUMN($F$1),FALSE), "・", 0)) + 1), 0)</f>
        <v>0</v>
      </c>
      <c r="AT90">
        <f>IF(ISNUMBER(SEARCH(SUBSTITUTE(AT$1,RIGHT(AT$1,2),""),VLOOKUP($D90,素材!$1:$1016,COLUMN($F$1),FALSE))),VLOOKUP($C90,武器!$1:$998,COLUMN($O$1),FALSE)*VLOOKUP($D90,素材!$1:$1016,COLUMN($E$1),FALSE)/(LEN(VLOOKUP($D90,素材!$1:$1016,COLUMN($F$1),FALSE)) - LEN(SUBSTITUTE(VLOOKUP($D90,素材!$1:$1016,COLUMN($F$1),FALSE), "・", 0)) + 1), 0)</f>
        <v>0</v>
      </c>
      <c r="AU90">
        <f>IF(ISNUMBER(SEARCH(SUBSTITUTE(AU$1,RIGHT(AU$1,2),""),VLOOKUP($D90,素材!$1:$1016,COLUMN($F$1),FALSE))),VLOOKUP($C90,武器!$1:$998,COLUMN($O$1),FALSE)*VLOOKUP($D90,素材!$1:$1016,COLUMN($E$1),FALSE)/(LEN(VLOOKUP($D90,素材!$1:$1016,COLUMN($F$1),FALSE)) - LEN(SUBSTITUTE(VLOOKUP($D90,素材!$1:$1016,COLUMN($F$1),FALSE), "・", 0)) + 1), 0)</f>
        <v>0</v>
      </c>
      <c r="AV90">
        <f>IF(ISNUMBER(SEARCH(SUBSTITUTE(AV$1,RIGHT(AV$1,2),""),VLOOKUP($D90,素材!$1:$1016,COLUMN($F$1),FALSE))),VLOOKUP($C90,武器!$1:$998,COLUMN($O$1),FALSE)*VLOOKUP($D90,素材!$1:$1016,COLUMN($E$1),FALSE)/(LEN(VLOOKUP($D90,素材!$1:$1016,COLUMN($F$1),FALSE)) - LEN(SUBSTITUTE(VLOOKUP($D90,素材!$1:$1016,COLUMN($F$1),FALSE), "・", 0)) + 1), 0)</f>
        <v>0</v>
      </c>
      <c r="AW90">
        <f>IF(ISNUMBER(SEARCH(SUBSTITUTE(AW$1,RIGHT(AW$1,2),""),VLOOKUP($D90,素材!$1:$1016,COLUMN($F$1),FALSE))),VLOOKUP($C90,武器!$1:$998,COLUMN($O$1),FALSE)*VLOOKUP($D90,素材!$1:$1016,COLUMN($E$1),FALSE)/(LEN(VLOOKUP($D90,素材!$1:$1016,COLUMN($F$1),FALSE)) - LEN(SUBSTITUTE(VLOOKUP($D90,素材!$1:$1016,COLUMN($F$1),FALSE), "・", 0)) + 1), 0)</f>
        <v>0</v>
      </c>
      <c r="AX90">
        <f>IF(ISNUMBER(SEARCH(SUBSTITUTE(AX$1,RIGHT(AX$1,2),""),VLOOKUP($D90,素材!$1:$1016,COLUMN($F$1),FALSE))),VLOOKUP($C90,武器!$1:$998,COLUMN($O$1),FALSE)*VLOOKUP($D90,素材!$1:$1016,COLUMN($E$1),FALSE)/(LEN(VLOOKUP($D90,素材!$1:$1016,COLUMN($F$1),FALSE)) - LEN(SUBSTITUTE(VLOOKUP($D90,素材!$1:$1016,COLUMN($F$1),FALSE), "・", 0)) + 1), 0)</f>
        <v>0</v>
      </c>
      <c r="AY90">
        <f>IF(ISNUMBER(SEARCH(SUBSTITUTE(AY$1,RIGHT(AY$1,2),""),VLOOKUP($D90,素材!$1:$1016,COLUMN($F$1),FALSE))),VLOOKUP($C90,武器!$1:$998,COLUMN($O$1),FALSE)*VLOOKUP($D90,素材!$1:$1016,COLUMN($E$1),FALSE)/(LEN(VLOOKUP($D90,素材!$1:$1016,COLUMN($F$1),FALSE)) - LEN(SUBSTITUTE(VLOOKUP($D90,素材!$1:$1016,COLUMN($F$1),FALSE), "・", 0)) + 1), 0)</f>
        <v>0</v>
      </c>
      <c r="AZ90">
        <f>IF(ISNUMBER(SEARCH(SUBSTITUTE(AZ$1,RIGHT(AZ$1,2),""),VLOOKUP($D90,素材!$1:$1016,COLUMN($F$1),FALSE))),VLOOKUP($C90,武器!$1:$998,COLUMN($O$1),FALSE)*VLOOKUP($D90,素材!$1:$1016,COLUMN($E$1),FALSE)/(LEN(VLOOKUP($D90,素材!$1:$1016,COLUMN($F$1),FALSE)) - LEN(SUBSTITUTE(VLOOKUP($D90,素材!$1:$1016,COLUMN($F$1),FALSE), "・", 0)) + 1), 0)</f>
        <v>0</v>
      </c>
      <c r="BA90">
        <f>IF(ISNUMBER(SEARCH(SUBSTITUTE(BA$1,RIGHT(BA$1,2),""),VLOOKUP($D90,素材!$1:$1016,COLUMN($F$1),FALSE))),VLOOKUP($C90,武器!$1:$998,COLUMN($O$1),FALSE)*VLOOKUP($D90,素材!$1:$1016,COLUMN($E$1),FALSE)/(LEN(VLOOKUP($D90,素材!$1:$1016,COLUMN($F$1),FALSE)) - LEN(SUBSTITUTE(VLOOKUP($D90,素材!$1:$1016,COLUMN($F$1),FALSE), "・", 0)) + 1), 0)</f>
        <v>0</v>
      </c>
      <c r="BB90">
        <f>IF(ISNUMBER(SEARCH(SUBSTITUTE(BB$1,RIGHT(BB$1,2),""),VLOOKUP($D90,素材!$1:$1016,COLUMN($F$1),FALSE))),VLOOKUP($C90,武器!$1:$998,COLUMN($O$1),FALSE)*VLOOKUP($D90,素材!$1:$1016,COLUMN($E$1),FALSE)/(LEN(VLOOKUP($D90,素材!$1:$1016,COLUMN($F$1),FALSE)) - LEN(SUBSTITUTE(VLOOKUP($D90,素材!$1:$1016,COLUMN($F$1),FALSE), "・", 0)) + 1), 0)</f>
        <v>0</v>
      </c>
      <c r="BC90">
        <f>IF(ISNUMBER(SEARCH(SUBSTITUTE(BC$1,RIGHT(BC$1,2),""),VLOOKUP($D90,素材!$1:$1016,COLUMN($F$1),FALSE))),VLOOKUP($C90,武器!$1:$998,COLUMN($O$1),FALSE)*VLOOKUP($D90,素材!$1:$1016,COLUMN($E$1),FALSE)/(LEN(VLOOKUP($D90,素材!$1:$1016,COLUMN($F$1),FALSE)) - LEN(SUBSTITUTE(VLOOKUP($D90,素材!$1:$1016,COLUMN($F$1),FALSE), "・", 0)) + 1), 0)</f>
        <v>0</v>
      </c>
      <c r="BD90">
        <f>IF(ISNUMBER(SEARCH(SUBSTITUTE(BD$1,RIGHT(BD$1,2),""),VLOOKUP($D90,素材!$1:$1016,COLUMN($F$1),FALSE))),VLOOKUP($C90,武器!$1:$998,COLUMN($O$1),FALSE)*VLOOKUP($D90,素材!$1:$1016,COLUMN($E$1),FALSE)/(LEN(VLOOKUP($D90,素材!$1:$1016,COLUMN($F$1),FALSE)) - LEN(SUBSTITUTE(VLOOKUP($D90,素材!$1:$1016,COLUMN($F$1),FALSE), "・", 0)) + 1), 0)</f>
        <v>0</v>
      </c>
      <c r="BE90">
        <f>IF(ISNUMBER(SEARCH(SUBSTITUTE(BE$1,RIGHT(BE$1,2),""),VLOOKUP($D90,素材!$1:$1016,COLUMN($F$1),FALSE))),VLOOKUP($C90,武器!$1:$998,COLUMN($O$1),FALSE)*VLOOKUP($D90,素材!$1:$1016,COLUMN($E$1),FALSE)/(LEN(VLOOKUP($D90,素材!$1:$1016,COLUMN($F$1),FALSE)) - LEN(SUBSTITUTE(VLOOKUP($D90,素材!$1:$1016,COLUMN($F$1),FALSE), "・", 0)) + 1), 0)</f>
        <v>0</v>
      </c>
      <c r="CL90">
        <f>SUM(G90:I90)</f>
        <v>29</v>
      </c>
      <c r="CM90" s="22" t="str">
        <f>IF(E90="武器",IF(J90-1&gt;SUM(G90:I90),"盾",IF(MAX(G90:I90)=G90,"切断",IF(MAX(G90:I90)=H90,"貫通",IF(MAX(G90:I90)=I90,"打撃","射撃")))),E90)&amp;".webp"</f>
        <v>打撃.webp</v>
      </c>
      <c r="CN90">
        <f>IFERROR(VLOOKUP($C90,武器!$1:$998,COLUMN(V$1),FALSE)*VLOOKUP($D90,素材!$1:$1016,COLUMN(N$1),FALSE)+IF(CI90="",0,VLOOKUP($CI90,装強!$1:$1008,COLUMN($CK$1),FALSE)),"")</f>
        <v>675</v>
      </c>
      <c r="CO90" t="str">
        <f>VLOOKUP(D90,素材!$A:$O,COLUMN(素材!O$1),FALSE)</f>
        <v>鍛えられた鉄。硬度が高く安価なためよく使用される。</v>
      </c>
      <c r="CP90" t="str">
        <f>VLOOKUP(C90,武器!$A:$W,COLUMN(武器!W$1),FALSE)</f>
        <v>棍棒。打撃に特化したシンプルな武器。威力は低いがダメージ振れが少ない。</v>
      </c>
      <c r="CR90" t="str">
        <f t="shared" si="5"/>
        <v>e_90</v>
      </c>
      <c r="CS90">
        <f t="shared" si="6"/>
        <v>67500</v>
      </c>
    </row>
    <row r="91" spans="1:97" outlineLevel="1" x14ac:dyDescent="0.4">
      <c r="A91" t="str">
        <f t="shared" si="4"/>
        <v>鋼の戦棍</v>
      </c>
      <c r="B91" t="str">
        <f>IFERROR(VLOOKUP($D91,素材!$1:$1016,COLUMN($B$1),FALSE)&amp;"・"&amp;VLOOKUP($C91,武器!$1:$998,COLUMN(B$1),FALSE),"")</f>
        <v>スチール・メイス</v>
      </c>
      <c r="C91" s="24" t="s">
        <v>229</v>
      </c>
      <c r="D91" s="24" t="s">
        <v>253</v>
      </c>
      <c r="E91" t="str">
        <f>IFERROR(VLOOKUP(C91,武器!$1:$998,COLUMN(C$1),FALSE),"")</f>
        <v>武器</v>
      </c>
      <c r="F91">
        <f>IFERROR(ROUNDDOWN((VLOOKUP($C91,武器!$1:$998,COLUMN(D$1),FALSE)+IFERROR(VLOOKUP($CI91,装強!$1:$999,COLUMN(F$1),FALSE),0))*VLOOKUP($D91,素材!$1:$1016,COLUMN(D$1),FALSE),0),"")</f>
        <v>115</v>
      </c>
      <c r="G91">
        <f>IFERROR(ROUNDDOWN((VLOOKUP($C91,武器!$1:$998,COLUMN(E$1),FALSE)+IFERROR(VLOOKUP($CI91,装強!$1:$999,COLUMN(G$1),FALSE),0))*VLOOKUP($D91,素材!$1:$1016,COLUMN($E$1),FALSE),0),"")</f>
        <v>0</v>
      </c>
      <c r="H91">
        <f>IFERROR(ROUNDDOWN((VLOOKUP($C91,武器!$1:$998,COLUMN(F$1),FALSE)+IFERROR(VLOOKUP($CI91,装強!$1:$999,COLUMN(H$1),FALSE),0))*VLOOKUP($D91,素材!$1:$1016,COLUMN($E$1),FALSE),0),"")</f>
        <v>0</v>
      </c>
      <c r="I91">
        <f>IFERROR(ROUNDDOWN((VLOOKUP($C91,武器!$1:$998,COLUMN(G$1),FALSE)+IFERROR(VLOOKUP($CI91,装強!$1:$999,COLUMN(I$1),FALSE),0))*VLOOKUP($D91,素材!$1:$1016,COLUMN($E$1),FALSE),0),"")</f>
        <v>31</v>
      </c>
      <c r="J91">
        <f>IFERROR(ROUNDDOWN((VLOOKUP($C91,武器!$1:$998,COLUMN(H$1),FALSE)+IFERROR(VLOOKUP($CI91,装強!$1:$999,COLUMN(J$1),FALSE),0))*VLOOKUP($D91,素材!$1:$1016,COLUMN($E$1),FALSE),0),"")</f>
        <v>25</v>
      </c>
      <c r="K91">
        <f>IFERROR(ROUNDDOWN((VLOOKUP($C91,武器!$1:$998,COLUMN(I$1),FALSE)+IFERROR(VLOOKUP($CI91,装強!$1:$999,COLUMN(K$1),FALSE),0))*VLOOKUP($D91,素材!$1:$1016,COLUMN($E$1),FALSE),0),"")</f>
        <v>0</v>
      </c>
      <c r="L91">
        <f>IFERROR(VLOOKUP($D91,素材!$1:$1016,COLUMN($F$1),FALSE),"")</f>
        <v>0</v>
      </c>
      <c r="M91">
        <f>IFERROR(VLOOKUP($C91,武器!$1:$998,COLUMN(AA$1),FALSE)*VLOOKUP($D91,素材!$1:$1016,COLUMN($G$1),FALSE),"")</f>
        <v>0</v>
      </c>
      <c r="N91">
        <f>IFERROR(VLOOKUP($C91,武器!$1:$998,COLUMN(I$1),FALSE),"")</f>
        <v>0</v>
      </c>
      <c r="O91" s="23">
        <f>IFERROR((VLOOKUP($C91,武器!$1:$998,COLUMN(K$1),FALSE)+VLOOKUP($D91,素材!$1:$1016,COLUMN(H$1),FALSE))*100+IFERROR(VLOOKUP($CI91,装強!$1:$999,COLUMN(O$1),FALSE),0),"")</f>
        <v>15</v>
      </c>
      <c r="P91" s="23">
        <f>IFERROR((VLOOKUP($C91,武器!$1:$998,COLUMN(L$1),FALSE)+VLOOKUP($D91,素材!$1:$1016,COLUMN(I$1),FALSE))*100+IFERROR(VLOOKUP($CI91,装強!$1:$999,COLUMN(P$1),FALSE),0),"")</f>
        <v>125</v>
      </c>
      <c r="Q91">
        <f>IFERROR(ROUNDUP(VLOOKUP($C91,武器!$1:$998,COLUMN(M$1),FALSE)*(VLOOKUP($D91,素材!$1:$1002,COLUMN(D$1),FALSE)/100),1),"")</f>
        <v>0</v>
      </c>
      <c r="R91">
        <f>IFERROR(ROUNDUP(VLOOKUP($C91,武器!$1:$998,COLUMN(N$1),FALSE)*(VLOOKUP($D91,素材!$1:$1002,COLUMN(D$1),FALSE)/100),1),"")</f>
        <v>-2.1</v>
      </c>
      <c r="S91">
        <f>IFERROR(VLOOKUP($C91,武器!$1:$998,COLUMN(P$1),FALSE),"")</f>
        <v>0</v>
      </c>
      <c r="T91">
        <f>IFERROR(VLOOKUP($C91,武器!$1:$998,COLUMN(Q$1),FALSE),"")</f>
        <v>0</v>
      </c>
      <c r="U91">
        <f>IFERROR(VLOOKUP($C91,武器!$1:$998,COLUMN(R$1),FALSE),"")</f>
        <v>0</v>
      </c>
      <c r="V91">
        <f>IFERROR(VLOOKUP($C91,武器!$1:$998,COLUMN(Q$1),FALSE),"")</f>
        <v>0</v>
      </c>
      <c r="W91" t="str">
        <f>IFERROR(VLOOKUP($C91,武器!$1:$998,COLUMN(T$1),FALSE),"")</f>
        <v>A</v>
      </c>
      <c r="Y91">
        <f>IFERROR(VLOOKUP($C91,武器!$1:$998,COLUMN(U$1),FALSE),"")</f>
        <v>0</v>
      </c>
      <c r="Z91">
        <f>IFERROR(ROUNDUP(VLOOKUP($C91,武器!$1:$998,COLUMN(O$1),FALSE)*VLOOKUP($D91,素材!$1:$1016,COLUMN(E$1),FALSE),1),"")</f>
        <v>0</v>
      </c>
      <c r="AA91">
        <f>IF(ISNUMBER(SEARCH(SUBSTITUTE(AA$1,RIGHT(AA$1,2),""),VLOOKUP($D91,素材!$1:$1016,COLUMN($F$1),FALSE))),VLOOKUP($C91,武器!$1:$998,COLUMN($O$1),FALSE)*VLOOKUP($D91,素材!$1:$1016,COLUMN($E$1),FALSE)/(LEN(VLOOKUP($D91,素材!$1:$1016,COLUMN($F$1),FALSE)) - LEN(SUBSTITUTE(VLOOKUP($D91,素材!$1:$1016,COLUMN($F$1),FALSE), "・", 0)) + 1), 0)</f>
        <v>0</v>
      </c>
      <c r="AB91">
        <f>IF(ISNUMBER(SEARCH(SUBSTITUTE(AB$1,RIGHT(AB$1,2),""),VLOOKUP($D91,素材!$1:$1016,COLUMN($F$1),FALSE))),VLOOKUP($C91,武器!$1:$998,COLUMN($O$1),FALSE)*VLOOKUP($D91,素材!$1:$1016,COLUMN($E$1),FALSE)/(LEN(VLOOKUP($D91,素材!$1:$1016,COLUMN($F$1),FALSE)) - LEN(SUBSTITUTE(VLOOKUP($D91,素材!$1:$1016,COLUMN($F$1),FALSE), "・", 0)) + 1), 0)</f>
        <v>0</v>
      </c>
      <c r="AC91">
        <f>IF(ISNUMBER(SEARCH(SUBSTITUTE(AC$1,RIGHT(AC$1,2),""),VLOOKUP($D91,素材!$1:$1016,COLUMN($F$1),FALSE))),VLOOKUP($C91,武器!$1:$998,COLUMN($O$1),FALSE)*VLOOKUP($D91,素材!$1:$1016,COLUMN($E$1),FALSE)/(LEN(VLOOKUP($D91,素材!$1:$1016,COLUMN($F$1),FALSE)) - LEN(SUBSTITUTE(VLOOKUP($D91,素材!$1:$1016,COLUMN($F$1),FALSE), "・", 0)) + 1), 0)</f>
        <v>0</v>
      </c>
      <c r="AD91">
        <f>IF(ISNUMBER(SEARCH(SUBSTITUTE(AD$1,RIGHT(AD$1,2),""),VLOOKUP($D91,素材!$1:$1016,COLUMN($F$1),FALSE))),VLOOKUP($C91,武器!$1:$998,COLUMN($O$1),FALSE)*VLOOKUP($D91,素材!$1:$1016,COLUMN($E$1),FALSE)/(LEN(VLOOKUP($D91,素材!$1:$1016,COLUMN($F$1),FALSE)) - LEN(SUBSTITUTE(VLOOKUP($D91,素材!$1:$1016,COLUMN($F$1),FALSE), "・", 0)) + 1), 0)</f>
        <v>0</v>
      </c>
      <c r="AE91">
        <f>IF(ISNUMBER(SEARCH(SUBSTITUTE(AE$1,RIGHT(AE$1,2),""),VLOOKUP($D91,素材!$1:$1016,COLUMN($F$1),FALSE))),VLOOKUP($C91,武器!$1:$998,COLUMN($O$1),FALSE)*VLOOKUP($D91,素材!$1:$1016,COLUMN($E$1),FALSE)/(LEN(VLOOKUP($D91,素材!$1:$1016,COLUMN($F$1),FALSE)) - LEN(SUBSTITUTE(VLOOKUP($D91,素材!$1:$1016,COLUMN($F$1),FALSE), "・", 0)) + 1), 0)</f>
        <v>0</v>
      </c>
      <c r="AF91">
        <f>IF(ISNUMBER(SEARCH(SUBSTITUTE(AF$1,RIGHT(AF$1,2),""),VLOOKUP($D91,素材!$1:$1016,COLUMN($F$1),FALSE))),VLOOKUP($C91,武器!$1:$998,COLUMN($O$1),FALSE)*VLOOKUP($D91,素材!$1:$1016,COLUMN($E$1),FALSE)/(LEN(VLOOKUP($D91,素材!$1:$1016,COLUMN($F$1),FALSE)) - LEN(SUBSTITUTE(VLOOKUP($D91,素材!$1:$1016,COLUMN($F$1),FALSE), "・", 0)) + 1), 0)</f>
        <v>0</v>
      </c>
      <c r="AG91">
        <f>IF(ISNUMBER(SEARCH(SUBSTITUTE(AG$1,RIGHT(AG$1,2),""),VLOOKUP($D91,素材!$1:$1016,COLUMN($F$1),FALSE))),VLOOKUP($C91,武器!$1:$998,COLUMN($O$1),FALSE)*VLOOKUP($D91,素材!$1:$1016,COLUMN($E$1),FALSE)/(LEN(VLOOKUP($D91,素材!$1:$1016,COLUMN($F$1),FALSE)) - LEN(SUBSTITUTE(VLOOKUP($D91,素材!$1:$1016,COLUMN($F$1),FALSE), "・", 0)) + 1), 0)</f>
        <v>0</v>
      </c>
      <c r="AH91">
        <f>IF(ISNUMBER(SEARCH(SUBSTITUTE(AH$1,RIGHT(AH$1,2),""),VLOOKUP($D91,素材!$1:$1016,COLUMN($F$1),FALSE))),VLOOKUP($C91,武器!$1:$998,COLUMN($O$1),FALSE)*VLOOKUP($D91,素材!$1:$1016,COLUMN($E$1),FALSE)/(LEN(VLOOKUP($D91,素材!$1:$1016,COLUMN($F$1),FALSE)) - LEN(SUBSTITUTE(VLOOKUP($D91,素材!$1:$1016,COLUMN($F$1),FALSE), "・", 0)) + 1), 0)</f>
        <v>0</v>
      </c>
      <c r="AI91">
        <f>IF(ISNUMBER(SEARCH(SUBSTITUTE(AI$1,RIGHT(AI$1,2),""),VLOOKUP($D91,素材!$1:$1016,COLUMN($F$1),FALSE))),VLOOKUP($C91,武器!$1:$998,COLUMN($O$1),FALSE)*VLOOKUP($D91,素材!$1:$1016,COLUMN($E$1),FALSE)/(LEN(VLOOKUP($D91,素材!$1:$1016,COLUMN($F$1),FALSE)) - LEN(SUBSTITUTE(VLOOKUP($D91,素材!$1:$1016,COLUMN($F$1),FALSE), "・", 0)) + 1), 0)</f>
        <v>0</v>
      </c>
      <c r="AJ91">
        <f>IF(ISNUMBER(SEARCH(SUBSTITUTE(AJ$1,RIGHT(AJ$1,2),""),VLOOKUP($D91,素材!$1:$1016,COLUMN($F$1),FALSE))),VLOOKUP($C91,武器!$1:$998,COLUMN($O$1),FALSE)*VLOOKUP($D91,素材!$1:$1016,COLUMN($E$1),FALSE)/(LEN(VLOOKUP($D91,素材!$1:$1016,COLUMN($F$1),FALSE)) - LEN(SUBSTITUTE(VLOOKUP($D91,素材!$1:$1016,COLUMN($F$1),FALSE), "・", 0)) + 1), 0)</f>
        <v>0</v>
      </c>
      <c r="AK91">
        <f>IF(ISNUMBER(SEARCH(SUBSTITUTE(AK$1,RIGHT(AK$1,2),""),VLOOKUP($D91,素材!$1:$1016,COLUMN($F$1),FALSE))),VLOOKUP($C91,武器!$1:$998,COLUMN($O$1),FALSE)*VLOOKUP($D91,素材!$1:$1016,COLUMN($E$1),FALSE)/(LEN(VLOOKUP($D91,素材!$1:$1016,COLUMN($F$1),FALSE)) - LEN(SUBSTITUTE(VLOOKUP($D91,素材!$1:$1016,COLUMN($F$1),FALSE), "・", 0)) + 1), 0)</f>
        <v>0</v>
      </c>
      <c r="AL91">
        <f>IF(ISNUMBER(SEARCH(SUBSTITUTE(AL$1,RIGHT(AL$1,2),""),VLOOKUP($D91,素材!$1:$1016,COLUMN($F$1),FALSE))),VLOOKUP($C91,武器!$1:$998,COLUMN($O$1),FALSE)*VLOOKUP($D91,素材!$1:$1016,COLUMN($E$1),FALSE)/(LEN(VLOOKUP($D91,素材!$1:$1016,COLUMN($F$1),FALSE)) - LEN(SUBSTITUTE(VLOOKUP($D91,素材!$1:$1016,COLUMN($F$1),FALSE), "・", 0)) + 1), 0)</f>
        <v>0</v>
      </c>
      <c r="AM91">
        <f>IF(ISNUMBER(SEARCH(SUBSTITUTE(AM$1,RIGHT(AM$1,2),""),VLOOKUP($D91,素材!$1:$1016,COLUMN($F$1),FALSE))),VLOOKUP($C91,武器!$1:$998,COLUMN($O$1),FALSE)*VLOOKUP($D91,素材!$1:$1016,COLUMN($E$1),FALSE)/(LEN(VLOOKUP($D91,素材!$1:$1016,COLUMN($F$1),FALSE)) - LEN(SUBSTITUTE(VLOOKUP($D91,素材!$1:$1016,COLUMN($F$1),FALSE), "・", 0)) + 1), 0)</f>
        <v>0</v>
      </c>
      <c r="AN91">
        <f>IF(ISNUMBER(SEARCH(SUBSTITUTE(AN$1,RIGHT(AN$1,2),""),VLOOKUP($D91,素材!$1:$1016,COLUMN($F$1),FALSE))),VLOOKUP($C91,武器!$1:$998,COLUMN($O$1),FALSE)*VLOOKUP($D91,素材!$1:$1016,COLUMN($E$1),FALSE)/(LEN(VLOOKUP($D91,素材!$1:$1016,COLUMN($F$1),FALSE)) - LEN(SUBSTITUTE(VLOOKUP($D91,素材!$1:$1016,COLUMN($F$1),FALSE), "・", 0)) + 1), 0)</f>
        <v>0</v>
      </c>
      <c r="AO91">
        <f>IF(ISNUMBER(SEARCH(SUBSTITUTE(AO$1,RIGHT(AO$1,2),""),VLOOKUP($D91,素材!$1:$1016,COLUMN($F$1),FALSE))),VLOOKUP($C91,武器!$1:$998,COLUMN($O$1),FALSE)*VLOOKUP($D91,素材!$1:$1016,COLUMN($E$1),FALSE)/(LEN(VLOOKUP($D91,素材!$1:$1016,COLUMN($F$1),FALSE)) - LEN(SUBSTITUTE(VLOOKUP($D91,素材!$1:$1016,COLUMN($F$1),FALSE), "・", 0)) + 1), 0)</f>
        <v>0</v>
      </c>
      <c r="AP91">
        <f>IF(ISNUMBER(SEARCH(SUBSTITUTE(AP$1,RIGHT(AP$1,2),""),VLOOKUP($D91,素材!$1:$1016,COLUMN($F$1),FALSE))),VLOOKUP($C91,武器!$1:$998,COLUMN($O$1),FALSE)*VLOOKUP($D91,素材!$1:$1016,COLUMN($E$1),FALSE)/(LEN(VLOOKUP($D91,素材!$1:$1016,COLUMN($F$1),FALSE)) - LEN(SUBSTITUTE(VLOOKUP($D91,素材!$1:$1016,COLUMN($F$1),FALSE), "・", 0)) + 1), 0)</f>
        <v>0</v>
      </c>
      <c r="AQ91">
        <f>IF(ISNUMBER(SEARCH(SUBSTITUTE(AQ$1,RIGHT(AQ$1,2),""),VLOOKUP($D91,素材!$1:$1016,COLUMN($F$1),FALSE))),VLOOKUP($C91,武器!$1:$998,COLUMN($O$1),FALSE)*VLOOKUP($D91,素材!$1:$1016,COLUMN($E$1),FALSE)/(LEN(VLOOKUP($D91,素材!$1:$1016,COLUMN($F$1),FALSE)) - LEN(SUBSTITUTE(VLOOKUP($D91,素材!$1:$1016,COLUMN($F$1),FALSE), "・", 0)) + 1), 0)</f>
        <v>0</v>
      </c>
      <c r="AR91">
        <f>IF(ISNUMBER(SEARCH(SUBSTITUTE(AR$1,RIGHT(AR$1,2),""),VLOOKUP($D91,素材!$1:$1016,COLUMN($F$1),FALSE))),VLOOKUP($C91,武器!$1:$998,COLUMN($O$1),FALSE)*VLOOKUP($D91,素材!$1:$1016,COLUMN($E$1),FALSE)/(LEN(VLOOKUP($D91,素材!$1:$1016,COLUMN($F$1),FALSE)) - LEN(SUBSTITUTE(VLOOKUP($D91,素材!$1:$1016,COLUMN($F$1),FALSE), "・", 0)) + 1), 0)</f>
        <v>0</v>
      </c>
      <c r="AS91">
        <f>IF(ISNUMBER(SEARCH(SUBSTITUTE(AS$1,RIGHT(AS$1,2),""),VLOOKUP($D91,素材!$1:$1016,COLUMN($F$1),FALSE))),VLOOKUP($C91,武器!$1:$998,COLUMN($O$1),FALSE)*VLOOKUP($D91,素材!$1:$1016,COLUMN($E$1),FALSE)/(LEN(VLOOKUP($D91,素材!$1:$1016,COLUMN($F$1),FALSE)) - LEN(SUBSTITUTE(VLOOKUP($D91,素材!$1:$1016,COLUMN($F$1),FALSE), "・", 0)) + 1), 0)</f>
        <v>0</v>
      </c>
      <c r="AT91">
        <f>IF(ISNUMBER(SEARCH(SUBSTITUTE(AT$1,RIGHT(AT$1,2),""),VLOOKUP($D91,素材!$1:$1016,COLUMN($F$1),FALSE))),VLOOKUP($C91,武器!$1:$998,COLUMN($O$1),FALSE)*VLOOKUP($D91,素材!$1:$1016,COLUMN($E$1),FALSE)/(LEN(VLOOKUP($D91,素材!$1:$1016,COLUMN($F$1),FALSE)) - LEN(SUBSTITUTE(VLOOKUP($D91,素材!$1:$1016,COLUMN($F$1),FALSE), "・", 0)) + 1), 0)</f>
        <v>0</v>
      </c>
      <c r="AU91">
        <f>IF(ISNUMBER(SEARCH(SUBSTITUTE(AU$1,RIGHT(AU$1,2),""),VLOOKUP($D91,素材!$1:$1016,COLUMN($F$1),FALSE))),VLOOKUP($C91,武器!$1:$998,COLUMN($O$1),FALSE)*VLOOKUP($D91,素材!$1:$1016,COLUMN($E$1),FALSE)/(LEN(VLOOKUP($D91,素材!$1:$1016,COLUMN($F$1),FALSE)) - LEN(SUBSTITUTE(VLOOKUP($D91,素材!$1:$1016,COLUMN($F$1),FALSE), "・", 0)) + 1), 0)</f>
        <v>0</v>
      </c>
      <c r="AV91">
        <f>IF(ISNUMBER(SEARCH(SUBSTITUTE(AV$1,RIGHT(AV$1,2),""),VLOOKUP($D91,素材!$1:$1016,COLUMN($F$1),FALSE))),VLOOKUP($C91,武器!$1:$998,COLUMN($O$1),FALSE)*VLOOKUP($D91,素材!$1:$1016,COLUMN($E$1),FALSE)/(LEN(VLOOKUP($D91,素材!$1:$1016,COLUMN($F$1),FALSE)) - LEN(SUBSTITUTE(VLOOKUP($D91,素材!$1:$1016,COLUMN($F$1),FALSE), "・", 0)) + 1), 0)</f>
        <v>0</v>
      </c>
      <c r="AW91">
        <f>IF(ISNUMBER(SEARCH(SUBSTITUTE(AW$1,RIGHT(AW$1,2),""),VLOOKUP($D91,素材!$1:$1016,COLUMN($F$1),FALSE))),VLOOKUP($C91,武器!$1:$998,COLUMN($O$1),FALSE)*VLOOKUP($D91,素材!$1:$1016,COLUMN($E$1),FALSE)/(LEN(VLOOKUP($D91,素材!$1:$1016,COLUMN($F$1),FALSE)) - LEN(SUBSTITUTE(VLOOKUP($D91,素材!$1:$1016,COLUMN($F$1),FALSE), "・", 0)) + 1), 0)</f>
        <v>0</v>
      </c>
      <c r="AX91">
        <f>IF(ISNUMBER(SEARCH(SUBSTITUTE(AX$1,RIGHT(AX$1,2),""),VLOOKUP($D91,素材!$1:$1016,COLUMN($F$1),FALSE))),VLOOKUP($C91,武器!$1:$998,COLUMN($O$1),FALSE)*VLOOKUP($D91,素材!$1:$1016,COLUMN($E$1),FALSE)/(LEN(VLOOKUP($D91,素材!$1:$1016,COLUMN($F$1),FALSE)) - LEN(SUBSTITUTE(VLOOKUP($D91,素材!$1:$1016,COLUMN($F$1),FALSE), "・", 0)) + 1), 0)</f>
        <v>0</v>
      </c>
      <c r="AY91">
        <f>IF(ISNUMBER(SEARCH(SUBSTITUTE(AY$1,RIGHT(AY$1,2),""),VLOOKUP($D91,素材!$1:$1016,COLUMN($F$1),FALSE))),VLOOKUP($C91,武器!$1:$998,COLUMN($O$1),FALSE)*VLOOKUP($D91,素材!$1:$1016,COLUMN($E$1),FALSE)/(LEN(VLOOKUP($D91,素材!$1:$1016,COLUMN($F$1),FALSE)) - LEN(SUBSTITUTE(VLOOKUP($D91,素材!$1:$1016,COLUMN($F$1),FALSE), "・", 0)) + 1), 0)</f>
        <v>0</v>
      </c>
      <c r="AZ91">
        <f>IF(ISNUMBER(SEARCH(SUBSTITUTE(AZ$1,RIGHT(AZ$1,2),""),VLOOKUP($D91,素材!$1:$1016,COLUMN($F$1),FALSE))),VLOOKUP($C91,武器!$1:$998,COLUMN($O$1),FALSE)*VLOOKUP($D91,素材!$1:$1016,COLUMN($E$1),FALSE)/(LEN(VLOOKUP($D91,素材!$1:$1016,COLUMN($F$1),FALSE)) - LEN(SUBSTITUTE(VLOOKUP($D91,素材!$1:$1016,COLUMN($F$1),FALSE), "・", 0)) + 1), 0)</f>
        <v>0</v>
      </c>
      <c r="BA91">
        <f>IF(ISNUMBER(SEARCH(SUBSTITUTE(BA$1,RIGHT(BA$1,2),""),VLOOKUP($D91,素材!$1:$1016,COLUMN($F$1),FALSE))),VLOOKUP($C91,武器!$1:$998,COLUMN($O$1),FALSE)*VLOOKUP($D91,素材!$1:$1016,COLUMN($E$1),FALSE)/(LEN(VLOOKUP($D91,素材!$1:$1016,COLUMN($F$1),FALSE)) - LEN(SUBSTITUTE(VLOOKUP($D91,素材!$1:$1016,COLUMN($F$1),FALSE), "・", 0)) + 1), 0)</f>
        <v>0</v>
      </c>
      <c r="BB91">
        <f>IF(ISNUMBER(SEARCH(SUBSTITUTE(BB$1,RIGHT(BB$1,2),""),VLOOKUP($D91,素材!$1:$1016,COLUMN($F$1),FALSE))),VLOOKUP($C91,武器!$1:$998,COLUMN($O$1),FALSE)*VLOOKUP($D91,素材!$1:$1016,COLUMN($E$1),FALSE)/(LEN(VLOOKUP($D91,素材!$1:$1016,COLUMN($F$1),FALSE)) - LEN(SUBSTITUTE(VLOOKUP($D91,素材!$1:$1016,COLUMN($F$1),FALSE), "・", 0)) + 1), 0)</f>
        <v>0</v>
      </c>
      <c r="BC91">
        <f>IF(ISNUMBER(SEARCH(SUBSTITUTE(BC$1,RIGHT(BC$1,2),""),VLOOKUP($D91,素材!$1:$1016,COLUMN($F$1),FALSE))),VLOOKUP($C91,武器!$1:$998,COLUMN($O$1),FALSE)*VLOOKUP($D91,素材!$1:$1016,COLUMN($E$1),FALSE)/(LEN(VLOOKUP($D91,素材!$1:$1016,COLUMN($F$1),FALSE)) - LEN(SUBSTITUTE(VLOOKUP($D91,素材!$1:$1016,COLUMN($F$1),FALSE), "・", 0)) + 1), 0)</f>
        <v>0</v>
      </c>
      <c r="BD91">
        <f>IF(ISNUMBER(SEARCH(SUBSTITUTE(BD$1,RIGHT(BD$1,2),""),VLOOKUP($D91,素材!$1:$1016,COLUMN($F$1),FALSE))),VLOOKUP($C91,武器!$1:$998,COLUMN($O$1),FALSE)*VLOOKUP($D91,素材!$1:$1016,COLUMN($E$1),FALSE)/(LEN(VLOOKUP($D91,素材!$1:$1016,COLUMN($F$1),FALSE)) - LEN(SUBSTITUTE(VLOOKUP($D91,素材!$1:$1016,COLUMN($F$1),FALSE), "・", 0)) + 1), 0)</f>
        <v>0</v>
      </c>
      <c r="BE91">
        <f>IF(ISNUMBER(SEARCH(SUBSTITUTE(BE$1,RIGHT(BE$1,2),""),VLOOKUP($D91,素材!$1:$1016,COLUMN($F$1),FALSE))),VLOOKUP($C91,武器!$1:$998,COLUMN($O$1),FALSE)*VLOOKUP($D91,素材!$1:$1016,COLUMN($E$1),FALSE)/(LEN(VLOOKUP($D91,素材!$1:$1016,COLUMN($F$1),FALSE)) - LEN(SUBSTITUTE(VLOOKUP($D91,素材!$1:$1016,COLUMN($F$1),FALSE), "・", 0)) + 1), 0)</f>
        <v>0</v>
      </c>
      <c r="CL91">
        <f>SUM(G91:I91)</f>
        <v>31</v>
      </c>
      <c r="CM91" s="22" t="str">
        <f>IF(E91="武器",IF(J91-1&gt;SUM(G91:I91),"盾",IF(MAX(G91:I91)=G91,"切断",IF(MAX(G91:I91)=H91,"貫通",IF(MAX(G91:I91)=I91,"打撃","射撃")))),E91)&amp;".webp"</f>
        <v>打撃.webp</v>
      </c>
      <c r="CN91">
        <f>IFERROR(VLOOKUP($C91,武器!$1:$998,COLUMN(V$1),FALSE)*VLOOKUP($D91,素材!$1:$1016,COLUMN(N$1),FALSE)+IF(CI91="",0,VLOOKUP($CI91,装強!$1:$1008,COLUMN($CK$1),FALSE)),"")</f>
        <v>900</v>
      </c>
      <c r="CO91" t="str">
        <f>VLOOKUP(D91,素材!$A:$O,COLUMN(素材!O$1),FALSE)</f>
        <v>鍛えられた鉄。硬度が高く安価なためよく使用される。</v>
      </c>
      <c r="CP91" t="str">
        <f>VLOOKUP(C91,武器!$A:$W,COLUMN(武器!W$1),FALSE)</f>
        <v>戦棍。打撃に優れた武器。Cr率が高い</v>
      </c>
      <c r="CR91" t="str">
        <f t="shared" si="5"/>
        <v>e_91</v>
      </c>
      <c r="CS91">
        <f t="shared" si="6"/>
        <v>90000</v>
      </c>
    </row>
    <row r="92" spans="1:97" outlineLevel="1" x14ac:dyDescent="0.4">
      <c r="A92" t="str">
        <f t="shared" si="4"/>
        <v>鋼の棘棍</v>
      </c>
      <c r="B92" t="str">
        <f>IFERROR(VLOOKUP($D92,素材!$1:$1016,COLUMN($B$1),FALSE)&amp;"・"&amp;VLOOKUP($C92,武器!$1:$998,COLUMN(B$1),FALSE),"")</f>
        <v>スチール・モーニングスター</v>
      </c>
      <c r="C92" t="s">
        <v>228</v>
      </c>
      <c r="D92" s="24" t="s">
        <v>253</v>
      </c>
      <c r="E92" t="str">
        <f>IFERROR(VLOOKUP(C92,武器!$1:$998,COLUMN(C$1),FALSE),"")</f>
        <v>武器</v>
      </c>
      <c r="F92">
        <f>IFERROR(ROUNDDOWN((VLOOKUP($C92,武器!$1:$998,COLUMN(D$1),FALSE)+IFERROR(VLOOKUP($CI92,装強!$1:$999,COLUMN(F$1),FALSE),0))*VLOOKUP($D92,素材!$1:$1016,COLUMN(D$1),FALSE),0),"")</f>
        <v>110</v>
      </c>
      <c r="G92">
        <f>IFERROR(ROUNDDOWN((VLOOKUP($C92,武器!$1:$998,COLUMN(E$1),FALSE)+IFERROR(VLOOKUP($CI92,装強!$1:$999,COLUMN(G$1),FALSE),0))*VLOOKUP($D92,素材!$1:$1016,COLUMN($E$1),FALSE),0),"")</f>
        <v>0</v>
      </c>
      <c r="H92">
        <f>IFERROR(ROUNDDOWN((VLOOKUP($C92,武器!$1:$998,COLUMN(F$1),FALSE)+IFERROR(VLOOKUP($CI92,装強!$1:$999,COLUMN(H$1),FALSE),0))*VLOOKUP($D92,素材!$1:$1016,COLUMN($E$1),FALSE),0),"")</f>
        <v>16</v>
      </c>
      <c r="I92">
        <f>IFERROR(ROUNDDOWN((VLOOKUP($C92,武器!$1:$998,COLUMN(G$1),FALSE)+IFERROR(VLOOKUP($CI92,装強!$1:$999,COLUMN(I$1),FALSE),0))*VLOOKUP($D92,素材!$1:$1016,COLUMN($E$1),FALSE),0),"")</f>
        <v>16</v>
      </c>
      <c r="J92">
        <f>IFERROR(ROUNDDOWN((VLOOKUP($C92,武器!$1:$998,COLUMN(H$1),FALSE)+IFERROR(VLOOKUP($CI92,装強!$1:$999,COLUMN(J$1),FALSE),0))*VLOOKUP($D92,素材!$1:$1016,COLUMN($E$1),FALSE),0),"")</f>
        <v>25</v>
      </c>
      <c r="K92">
        <f>IFERROR(ROUNDDOWN((VLOOKUP($C92,武器!$1:$998,COLUMN(I$1),FALSE)+IFERROR(VLOOKUP($CI92,装強!$1:$999,COLUMN(K$1),FALSE),0))*VLOOKUP($D92,素材!$1:$1016,COLUMN($E$1),FALSE),0),"")</f>
        <v>0</v>
      </c>
      <c r="L92">
        <f>IFERROR(VLOOKUP($D92,素材!$1:$1016,COLUMN($F$1),FALSE),"")</f>
        <v>0</v>
      </c>
      <c r="M92">
        <f>IFERROR(VLOOKUP($C92,武器!$1:$998,COLUMN(AA$1),FALSE)*VLOOKUP($D92,素材!$1:$1016,COLUMN($G$1),FALSE),"")</f>
        <v>0</v>
      </c>
      <c r="N92">
        <f>IFERROR(VLOOKUP($C92,武器!$1:$998,COLUMN(I$1),FALSE),"")</f>
        <v>0</v>
      </c>
      <c r="O92" s="23">
        <f>IFERROR((VLOOKUP($C92,武器!$1:$998,COLUMN(K$1),FALSE)+VLOOKUP($D92,素材!$1:$1016,COLUMN(H$1),FALSE))*100+IFERROR(VLOOKUP($CI92,装強!$1:$999,COLUMN(O$1),FALSE),0),"")</f>
        <v>10</v>
      </c>
      <c r="P92" s="23">
        <f>IFERROR((VLOOKUP($C92,武器!$1:$998,COLUMN(L$1),FALSE)+VLOOKUP($D92,素材!$1:$1016,COLUMN(I$1),FALSE))*100+IFERROR(VLOOKUP($CI92,装強!$1:$999,COLUMN(P$1),FALSE),0),"")</f>
        <v>125</v>
      </c>
      <c r="Q92">
        <f>IFERROR(ROUNDUP(VLOOKUP($C92,武器!$1:$998,COLUMN(M$1),FALSE)*(VLOOKUP($D92,素材!$1:$1002,COLUMN(D$1),FALSE)/100),1),"")</f>
        <v>-2.7</v>
      </c>
      <c r="R92">
        <f>IFERROR(ROUNDUP(VLOOKUP($C92,武器!$1:$998,COLUMN(N$1),FALSE)*(VLOOKUP($D92,素材!$1:$1002,COLUMN(D$1),FALSE)/100),1),"")</f>
        <v>-2.7</v>
      </c>
      <c r="S92">
        <f>IFERROR(VLOOKUP($C92,武器!$1:$998,COLUMN(P$1),FALSE),"")</f>
        <v>0</v>
      </c>
      <c r="T92">
        <f>IFERROR(VLOOKUP($C92,武器!$1:$998,COLUMN(Q$1),FALSE),"")</f>
        <v>0</v>
      </c>
      <c r="U92">
        <f>IFERROR(VLOOKUP($C92,武器!$1:$998,COLUMN(R$1),FALSE),"")</f>
        <v>0</v>
      </c>
      <c r="V92">
        <f>IFERROR(VLOOKUP($C92,武器!$1:$998,COLUMN(Q$1),FALSE),"")</f>
        <v>0</v>
      </c>
      <c r="W92" t="str">
        <f>IFERROR(VLOOKUP($C92,武器!$1:$998,COLUMN(T$1),FALSE),"")</f>
        <v>A</v>
      </c>
      <c r="Y92">
        <f>IFERROR(VLOOKUP($C92,武器!$1:$998,COLUMN(U$1),FALSE),"")</f>
        <v>0</v>
      </c>
      <c r="Z92">
        <f>IFERROR(ROUNDUP(VLOOKUP($C92,武器!$1:$998,COLUMN(O$1),FALSE)*VLOOKUP($D92,素材!$1:$1016,COLUMN(E$1),FALSE),1),"")</f>
        <v>0</v>
      </c>
      <c r="AA92">
        <f>IF(ISNUMBER(SEARCH(SUBSTITUTE(AA$1,RIGHT(AA$1,2),""),VLOOKUP($D92,素材!$1:$1016,COLUMN($F$1),FALSE))),VLOOKUP($C92,武器!$1:$998,COLUMN($O$1),FALSE)*VLOOKUP($D92,素材!$1:$1016,COLUMN($E$1),FALSE)/(LEN(VLOOKUP($D92,素材!$1:$1016,COLUMN($F$1),FALSE)) - LEN(SUBSTITUTE(VLOOKUP($D92,素材!$1:$1016,COLUMN($F$1),FALSE), "・", 0)) + 1), 0)</f>
        <v>0</v>
      </c>
      <c r="AB92">
        <f>IF(ISNUMBER(SEARCH(SUBSTITUTE(AB$1,RIGHT(AB$1,2),""),VLOOKUP($D92,素材!$1:$1016,COLUMN($F$1),FALSE))),VLOOKUP($C92,武器!$1:$998,COLUMN($O$1),FALSE)*VLOOKUP($D92,素材!$1:$1016,COLUMN($E$1),FALSE)/(LEN(VLOOKUP($D92,素材!$1:$1016,COLUMN($F$1),FALSE)) - LEN(SUBSTITUTE(VLOOKUP($D92,素材!$1:$1016,COLUMN($F$1),FALSE), "・", 0)) + 1), 0)</f>
        <v>0</v>
      </c>
      <c r="AC92">
        <f>IF(ISNUMBER(SEARCH(SUBSTITUTE(AC$1,RIGHT(AC$1,2),""),VLOOKUP($D92,素材!$1:$1016,COLUMN($F$1),FALSE))),VLOOKUP($C92,武器!$1:$998,COLUMN($O$1),FALSE)*VLOOKUP($D92,素材!$1:$1016,COLUMN($E$1),FALSE)/(LEN(VLOOKUP($D92,素材!$1:$1016,COLUMN($F$1),FALSE)) - LEN(SUBSTITUTE(VLOOKUP($D92,素材!$1:$1016,COLUMN($F$1),FALSE), "・", 0)) + 1), 0)</f>
        <v>0</v>
      </c>
      <c r="AD92">
        <f>IF(ISNUMBER(SEARCH(SUBSTITUTE(AD$1,RIGHT(AD$1,2),""),VLOOKUP($D92,素材!$1:$1016,COLUMN($F$1),FALSE))),VLOOKUP($C92,武器!$1:$998,COLUMN($O$1),FALSE)*VLOOKUP($D92,素材!$1:$1016,COLUMN($E$1),FALSE)/(LEN(VLOOKUP($D92,素材!$1:$1016,COLUMN($F$1),FALSE)) - LEN(SUBSTITUTE(VLOOKUP($D92,素材!$1:$1016,COLUMN($F$1),FALSE), "・", 0)) + 1), 0)</f>
        <v>0</v>
      </c>
      <c r="AE92">
        <f>IF(ISNUMBER(SEARCH(SUBSTITUTE(AE$1,RIGHT(AE$1,2),""),VLOOKUP($D92,素材!$1:$1016,COLUMN($F$1),FALSE))),VLOOKUP($C92,武器!$1:$998,COLUMN($O$1),FALSE)*VLOOKUP($D92,素材!$1:$1016,COLUMN($E$1),FALSE)/(LEN(VLOOKUP($D92,素材!$1:$1016,COLUMN($F$1),FALSE)) - LEN(SUBSTITUTE(VLOOKUP($D92,素材!$1:$1016,COLUMN($F$1),FALSE), "・", 0)) + 1), 0)</f>
        <v>0</v>
      </c>
      <c r="AF92">
        <f>IF(ISNUMBER(SEARCH(SUBSTITUTE(AF$1,RIGHT(AF$1,2),""),VLOOKUP($D92,素材!$1:$1016,COLUMN($F$1),FALSE))),VLOOKUP($C92,武器!$1:$998,COLUMN($O$1),FALSE)*VLOOKUP($D92,素材!$1:$1016,COLUMN($E$1),FALSE)/(LEN(VLOOKUP($D92,素材!$1:$1016,COLUMN($F$1),FALSE)) - LEN(SUBSTITUTE(VLOOKUP($D92,素材!$1:$1016,COLUMN($F$1),FALSE), "・", 0)) + 1), 0)</f>
        <v>0</v>
      </c>
      <c r="AG92">
        <f>IF(ISNUMBER(SEARCH(SUBSTITUTE(AG$1,RIGHT(AG$1,2),""),VLOOKUP($D92,素材!$1:$1016,COLUMN($F$1),FALSE))),VLOOKUP($C92,武器!$1:$998,COLUMN($O$1),FALSE)*VLOOKUP($D92,素材!$1:$1016,COLUMN($E$1),FALSE)/(LEN(VLOOKUP($D92,素材!$1:$1016,COLUMN($F$1),FALSE)) - LEN(SUBSTITUTE(VLOOKUP($D92,素材!$1:$1016,COLUMN($F$1),FALSE), "・", 0)) + 1), 0)</f>
        <v>0</v>
      </c>
      <c r="AH92">
        <f>IF(ISNUMBER(SEARCH(SUBSTITUTE(AH$1,RIGHT(AH$1,2),""),VLOOKUP($D92,素材!$1:$1016,COLUMN($F$1),FALSE))),VLOOKUP($C92,武器!$1:$998,COLUMN($O$1),FALSE)*VLOOKUP($D92,素材!$1:$1016,COLUMN($E$1),FALSE)/(LEN(VLOOKUP($D92,素材!$1:$1016,COLUMN($F$1),FALSE)) - LEN(SUBSTITUTE(VLOOKUP($D92,素材!$1:$1016,COLUMN($F$1),FALSE), "・", 0)) + 1), 0)</f>
        <v>0</v>
      </c>
      <c r="AI92">
        <f>IF(ISNUMBER(SEARCH(SUBSTITUTE(AI$1,RIGHT(AI$1,2),""),VLOOKUP($D92,素材!$1:$1016,COLUMN($F$1),FALSE))),VLOOKUP($C92,武器!$1:$998,COLUMN($O$1),FALSE)*VLOOKUP($D92,素材!$1:$1016,COLUMN($E$1),FALSE)/(LEN(VLOOKUP($D92,素材!$1:$1016,COLUMN($F$1),FALSE)) - LEN(SUBSTITUTE(VLOOKUP($D92,素材!$1:$1016,COLUMN($F$1),FALSE), "・", 0)) + 1), 0)</f>
        <v>0</v>
      </c>
      <c r="AJ92">
        <f>IF(ISNUMBER(SEARCH(SUBSTITUTE(AJ$1,RIGHT(AJ$1,2),""),VLOOKUP($D92,素材!$1:$1016,COLUMN($F$1),FALSE))),VLOOKUP($C92,武器!$1:$998,COLUMN($O$1),FALSE)*VLOOKUP($D92,素材!$1:$1016,COLUMN($E$1),FALSE)/(LEN(VLOOKUP($D92,素材!$1:$1016,COLUMN($F$1),FALSE)) - LEN(SUBSTITUTE(VLOOKUP($D92,素材!$1:$1016,COLUMN($F$1),FALSE), "・", 0)) + 1), 0)</f>
        <v>0</v>
      </c>
      <c r="AK92">
        <f>IF(ISNUMBER(SEARCH(SUBSTITUTE(AK$1,RIGHT(AK$1,2),""),VLOOKUP($D92,素材!$1:$1016,COLUMN($F$1),FALSE))),VLOOKUP($C92,武器!$1:$998,COLUMN($O$1),FALSE)*VLOOKUP($D92,素材!$1:$1016,COLUMN($E$1),FALSE)/(LEN(VLOOKUP($D92,素材!$1:$1016,COLUMN($F$1),FALSE)) - LEN(SUBSTITUTE(VLOOKUP($D92,素材!$1:$1016,COLUMN($F$1),FALSE), "・", 0)) + 1), 0)</f>
        <v>0</v>
      </c>
      <c r="AL92">
        <f>IF(ISNUMBER(SEARCH(SUBSTITUTE(AL$1,RIGHT(AL$1,2),""),VLOOKUP($D92,素材!$1:$1016,COLUMN($F$1),FALSE))),VLOOKUP($C92,武器!$1:$998,COLUMN($O$1),FALSE)*VLOOKUP($D92,素材!$1:$1016,COLUMN($E$1),FALSE)/(LEN(VLOOKUP($D92,素材!$1:$1016,COLUMN($F$1),FALSE)) - LEN(SUBSTITUTE(VLOOKUP($D92,素材!$1:$1016,COLUMN($F$1),FALSE), "・", 0)) + 1), 0)</f>
        <v>0</v>
      </c>
      <c r="AM92">
        <f>IF(ISNUMBER(SEARCH(SUBSTITUTE(AM$1,RIGHT(AM$1,2),""),VLOOKUP($D92,素材!$1:$1016,COLUMN($F$1),FALSE))),VLOOKUP($C92,武器!$1:$998,COLUMN($O$1),FALSE)*VLOOKUP($D92,素材!$1:$1016,COLUMN($E$1),FALSE)/(LEN(VLOOKUP($D92,素材!$1:$1016,COLUMN($F$1),FALSE)) - LEN(SUBSTITUTE(VLOOKUP($D92,素材!$1:$1016,COLUMN($F$1),FALSE), "・", 0)) + 1), 0)</f>
        <v>0</v>
      </c>
      <c r="AN92">
        <f>IF(ISNUMBER(SEARCH(SUBSTITUTE(AN$1,RIGHT(AN$1,2),""),VLOOKUP($D92,素材!$1:$1016,COLUMN($F$1),FALSE))),VLOOKUP($C92,武器!$1:$998,COLUMN($O$1),FALSE)*VLOOKUP($D92,素材!$1:$1016,COLUMN($E$1),FALSE)/(LEN(VLOOKUP($D92,素材!$1:$1016,COLUMN($F$1),FALSE)) - LEN(SUBSTITUTE(VLOOKUP($D92,素材!$1:$1016,COLUMN($F$1),FALSE), "・", 0)) + 1), 0)</f>
        <v>0</v>
      </c>
      <c r="AO92">
        <f>IF(ISNUMBER(SEARCH(SUBSTITUTE(AO$1,RIGHT(AO$1,2),""),VLOOKUP($D92,素材!$1:$1016,COLUMN($F$1),FALSE))),VLOOKUP($C92,武器!$1:$998,COLUMN($O$1),FALSE)*VLOOKUP($D92,素材!$1:$1016,COLUMN($E$1),FALSE)/(LEN(VLOOKUP($D92,素材!$1:$1016,COLUMN($F$1),FALSE)) - LEN(SUBSTITUTE(VLOOKUP($D92,素材!$1:$1016,COLUMN($F$1),FALSE), "・", 0)) + 1), 0)</f>
        <v>0</v>
      </c>
      <c r="AP92">
        <f>IF(ISNUMBER(SEARCH(SUBSTITUTE(AP$1,RIGHT(AP$1,2),""),VLOOKUP($D92,素材!$1:$1016,COLUMN($F$1),FALSE))),VLOOKUP($C92,武器!$1:$998,COLUMN($O$1),FALSE)*VLOOKUP($D92,素材!$1:$1016,COLUMN($E$1),FALSE)/(LEN(VLOOKUP($D92,素材!$1:$1016,COLUMN($F$1),FALSE)) - LEN(SUBSTITUTE(VLOOKUP($D92,素材!$1:$1016,COLUMN($F$1),FALSE), "・", 0)) + 1), 0)</f>
        <v>0</v>
      </c>
      <c r="AQ92">
        <f>IF(ISNUMBER(SEARCH(SUBSTITUTE(AQ$1,RIGHT(AQ$1,2),""),VLOOKUP($D92,素材!$1:$1016,COLUMN($F$1),FALSE))),VLOOKUP($C92,武器!$1:$998,COLUMN($O$1),FALSE)*VLOOKUP($D92,素材!$1:$1016,COLUMN($E$1),FALSE)/(LEN(VLOOKUP($D92,素材!$1:$1016,COLUMN($F$1),FALSE)) - LEN(SUBSTITUTE(VLOOKUP($D92,素材!$1:$1016,COLUMN($F$1),FALSE), "・", 0)) + 1), 0)</f>
        <v>0</v>
      </c>
      <c r="AR92">
        <f>IF(ISNUMBER(SEARCH(SUBSTITUTE(AR$1,RIGHT(AR$1,2),""),VLOOKUP($D92,素材!$1:$1016,COLUMN($F$1),FALSE))),VLOOKUP($C92,武器!$1:$998,COLUMN($O$1),FALSE)*VLOOKUP($D92,素材!$1:$1016,COLUMN($E$1),FALSE)/(LEN(VLOOKUP($D92,素材!$1:$1016,COLUMN($F$1),FALSE)) - LEN(SUBSTITUTE(VLOOKUP($D92,素材!$1:$1016,COLUMN($F$1),FALSE), "・", 0)) + 1), 0)</f>
        <v>0</v>
      </c>
      <c r="AS92">
        <f>IF(ISNUMBER(SEARCH(SUBSTITUTE(AS$1,RIGHT(AS$1,2),""),VLOOKUP($D92,素材!$1:$1016,COLUMN($F$1),FALSE))),VLOOKUP($C92,武器!$1:$998,COLUMN($O$1),FALSE)*VLOOKUP($D92,素材!$1:$1016,COLUMN($E$1),FALSE)/(LEN(VLOOKUP($D92,素材!$1:$1016,COLUMN($F$1),FALSE)) - LEN(SUBSTITUTE(VLOOKUP($D92,素材!$1:$1016,COLUMN($F$1),FALSE), "・", 0)) + 1), 0)</f>
        <v>0</v>
      </c>
      <c r="AT92">
        <f>IF(ISNUMBER(SEARCH(SUBSTITUTE(AT$1,RIGHT(AT$1,2),""),VLOOKUP($D92,素材!$1:$1016,COLUMN($F$1),FALSE))),VLOOKUP($C92,武器!$1:$998,COLUMN($O$1),FALSE)*VLOOKUP($D92,素材!$1:$1016,COLUMN($E$1),FALSE)/(LEN(VLOOKUP($D92,素材!$1:$1016,COLUMN($F$1),FALSE)) - LEN(SUBSTITUTE(VLOOKUP($D92,素材!$1:$1016,COLUMN($F$1),FALSE), "・", 0)) + 1), 0)</f>
        <v>0</v>
      </c>
      <c r="AU92">
        <f>IF(ISNUMBER(SEARCH(SUBSTITUTE(AU$1,RIGHT(AU$1,2),""),VLOOKUP($D92,素材!$1:$1016,COLUMN($F$1),FALSE))),VLOOKUP($C92,武器!$1:$998,COLUMN($O$1),FALSE)*VLOOKUP($D92,素材!$1:$1016,COLUMN($E$1),FALSE)/(LEN(VLOOKUP($D92,素材!$1:$1016,COLUMN($F$1),FALSE)) - LEN(SUBSTITUTE(VLOOKUP($D92,素材!$1:$1016,COLUMN($F$1),FALSE), "・", 0)) + 1), 0)</f>
        <v>0</v>
      </c>
      <c r="AV92">
        <f>IF(ISNUMBER(SEARCH(SUBSTITUTE(AV$1,RIGHT(AV$1,2),""),VLOOKUP($D92,素材!$1:$1016,COLUMN($F$1),FALSE))),VLOOKUP($C92,武器!$1:$998,COLUMN($O$1),FALSE)*VLOOKUP($D92,素材!$1:$1016,COLUMN($E$1),FALSE)/(LEN(VLOOKUP($D92,素材!$1:$1016,COLUMN($F$1),FALSE)) - LEN(SUBSTITUTE(VLOOKUP($D92,素材!$1:$1016,COLUMN($F$1),FALSE), "・", 0)) + 1), 0)</f>
        <v>0</v>
      </c>
      <c r="AW92">
        <f>IF(ISNUMBER(SEARCH(SUBSTITUTE(AW$1,RIGHT(AW$1,2),""),VLOOKUP($D92,素材!$1:$1016,COLUMN($F$1),FALSE))),VLOOKUP($C92,武器!$1:$998,COLUMN($O$1),FALSE)*VLOOKUP($D92,素材!$1:$1016,COLUMN($E$1),FALSE)/(LEN(VLOOKUP($D92,素材!$1:$1016,COLUMN($F$1),FALSE)) - LEN(SUBSTITUTE(VLOOKUP($D92,素材!$1:$1016,COLUMN($F$1),FALSE), "・", 0)) + 1), 0)</f>
        <v>0</v>
      </c>
      <c r="AX92">
        <f>IF(ISNUMBER(SEARCH(SUBSTITUTE(AX$1,RIGHT(AX$1,2),""),VLOOKUP($D92,素材!$1:$1016,COLUMN($F$1),FALSE))),VLOOKUP($C92,武器!$1:$998,COLUMN($O$1),FALSE)*VLOOKUP($D92,素材!$1:$1016,COLUMN($E$1),FALSE)/(LEN(VLOOKUP($D92,素材!$1:$1016,COLUMN($F$1),FALSE)) - LEN(SUBSTITUTE(VLOOKUP($D92,素材!$1:$1016,COLUMN($F$1),FALSE), "・", 0)) + 1), 0)</f>
        <v>0</v>
      </c>
      <c r="AY92">
        <f>IF(ISNUMBER(SEARCH(SUBSTITUTE(AY$1,RIGHT(AY$1,2),""),VLOOKUP($D92,素材!$1:$1016,COLUMN($F$1),FALSE))),VLOOKUP($C92,武器!$1:$998,COLUMN($O$1),FALSE)*VLOOKUP($D92,素材!$1:$1016,COLUMN($E$1),FALSE)/(LEN(VLOOKUP($D92,素材!$1:$1016,COLUMN($F$1),FALSE)) - LEN(SUBSTITUTE(VLOOKUP($D92,素材!$1:$1016,COLUMN($F$1),FALSE), "・", 0)) + 1), 0)</f>
        <v>0</v>
      </c>
      <c r="AZ92">
        <f>IF(ISNUMBER(SEARCH(SUBSTITUTE(AZ$1,RIGHT(AZ$1,2),""),VLOOKUP($D92,素材!$1:$1016,COLUMN($F$1),FALSE))),VLOOKUP($C92,武器!$1:$998,COLUMN($O$1),FALSE)*VLOOKUP($D92,素材!$1:$1016,COLUMN($E$1),FALSE)/(LEN(VLOOKUP($D92,素材!$1:$1016,COLUMN($F$1),FALSE)) - LEN(SUBSTITUTE(VLOOKUP($D92,素材!$1:$1016,COLUMN($F$1),FALSE), "・", 0)) + 1), 0)</f>
        <v>0</v>
      </c>
      <c r="BA92">
        <f>IF(ISNUMBER(SEARCH(SUBSTITUTE(BA$1,RIGHT(BA$1,2),""),VLOOKUP($D92,素材!$1:$1016,COLUMN($F$1),FALSE))),VLOOKUP($C92,武器!$1:$998,COLUMN($O$1),FALSE)*VLOOKUP($D92,素材!$1:$1016,COLUMN($E$1),FALSE)/(LEN(VLOOKUP($D92,素材!$1:$1016,COLUMN($F$1),FALSE)) - LEN(SUBSTITUTE(VLOOKUP($D92,素材!$1:$1016,COLUMN($F$1),FALSE), "・", 0)) + 1), 0)</f>
        <v>0</v>
      </c>
      <c r="BB92">
        <f>IF(ISNUMBER(SEARCH(SUBSTITUTE(BB$1,RIGHT(BB$1,2),""),VLOOKUP($D92,素材!$1:$1016,COLUMN($F$1),FALSE))),VLOOKUP($C92,武器!$1:$998,COLUMN($O$1),FALSE)*VLOOKUP($D92,素材!$1:$1016,COLUMN($E$1),FALSE)/(LEN(VLOOKUP($D92,素材!$1:$1016,COLUMN($F$1),FALSE)) - LEN(SUBSTITUTE(VLOOKUP($D92,素材!$1:$1016,COLUMN($F$1),FALSE), "・", 0)) + 1), 0)</f>
        <v>0</v>
      </c>
      <c r="BC92">
        <f>IF(ISNUMBER(SEARCH(SUBSTITUTE(BC$1,RIGHT(BC$1,2),""),VLOOKUP($D92,素材!$1:$1016,COLUMN($F$1),FALSE))),VLOOKUP($C92,武器!$1:$998,COLUMN($O$1),FALSE)*VLOOKUP($D92,素材!$1:$1016,COLUMN($E$1),FALSE)/(LEN(VLOOKUP($D92,素材!$1:$1016,COLUMN($F$1),FALSE)) - LEN(SUBSTITUTE(VLOOKUP($D92,素材!$1:$1016,COLUMN($F$1),FALSE), "・", 0)) + 1), 0)</f>
        <v>0</v>
      </c>
      <c r="BD92">
        <f>IF(ISNUMBER(SEARCH(SUBSTITUTE(BD$1,RIGHT(BD$1,2),""),VLOOKUP($D92,素材!$1:$1016,COLUMN($F$1),FALSE))),VLOOKUP($C92,武器!$1:$998,COLUMN($O$1),FALSE)*VLOOKUP($D92,素材!$1:$1016,COLUMN($E$1),FALSE)/(LEN(VLOOKUP($D92,素材!$1:$1016,COLUMN($F$1),FALSE)) - LEN(SUBSTITUTE(VLOOKUP($D92,素材!$1:$1016,COLUMN($F$1),FALSE), "・", 0)) + 1), 0)</f>
        <v>0</v>
      </c>
      <c r="BE92">
        <f>IF(ISNUMBER(SEARCH(SUBSTITUTE(BE$1,RIGHT(BE$1,2),""),VLOOKUP($D92,素材!$1:$1016,COLUMN($F$1),FALSE))),VLOOKUP($C92,武器!$1:$998,COLUMN($O$1),FALSE)*VLOOKUP($D92,素材!$1:$1016,COLUMN($E$1),FALSE)/(LEN(VLOOKUP($D92,素材!$1:$1016,COLUMN($F$1),FALSE)) - LEN(SUBSTITUTE(VLOOKUP($D92,素材!$1:$1016,COLUMN($F$1),FALSE), "・", 0)) + 1), 0)</f>
        <v>0</v>
      </c>
      <c r="CL92">
        <f>SUM(G92:I92)</f>
        <v>32</v>
      </c>
      <c r="CM92" s="22" t="str">
        <f>IF(E92="武器",IF(J92-1&gt;SUM(G92:I92),"盾",IF(MAX(G92:I92)=G92,"切断",IF(MAX(G92:I92)=H92,"貫通",IF(MAX(G92:I92)=I92,"打撃","射撃")))),E92)&amp;".webp"</f>
        <v>貫通.webp</v>
      </c>
      <c r="CN92">
        <f>IFERROR(VLOOKUP($C92,武器!$1:$998,COLUMN(V$1),FALSE)*VLOOKUP($D92,素材!$1:$1016,COLUMN(N$1),FALSE)+IF(CI92="",0,VLOOKUP($CI92,装強!$1:$1008,COLUMN($CK$1),FALSE)),"")</f>
        <v>900</v>
      </c>
      <c r="CO92" t="str">
        <f>VLOOKUP(D92,素材!$A:$O,COLUMN(素材!O$1),FALSE)</f>
        <v>鍛えられた鉄。硬度が高く安価なためよく使用される。</v>
      </c>
      <c r="CP92" t="str">
        <f>VLOOKUP(C92,武器!$A:$W,COLUMN(武器!W$1),FALSE)</f>
        <v>棘棍。打撃と刺突を兼ね備えた武器。</v>
      </c>
      <c r="CR92" t="str">
        <f t="shared" si="5"/>
        <v>e_92</v>
      </c>
      <c r="CS92">
        <f t="shared" si="6"/>
        <v>90000</v>
      </c>
    </row>
    <row r="93" spans="1:97" outlineLevel="1" x14ac:dyDescent="0.4">
      <c r="A93" t="str">
        <f t="shared" si="4"/>
        <v>鋼の鎚</v>
      </c>
      <c r="B93" t="str">
        <f>IFERROR(VLOOKUP($D93,素材!$1:$1016,COLUMN($B$1),FALSE)&amp;"・"&amp;VLOOKUP($C93,武器!$1:$998,COLUMN(B$1),FALSE),"")</f>
        <v>スチール・ハンマー</v>
      </c>
      <c r="C93" t="s">
        <v>227</v>
      </c>
      <c r="D93" s="24" t="s">
        <v>253</v>
      </c>
      <c r="E93" t="str">
        <f>IFERROR(VLOOKUP(C93,武器!$1:$998,COLUMN(C$1),FALSE),"")</f>
        <v>武器</v>
      </c>
      <c r="F93">
        <f>IFERROR(ROUNDDOWN((VLOOKUP($C93,武器!$1:$998,COLUMN(D$1),FALSE)+IFERROR(VLOOKUP($CI93,装強!$1:$999,COLUMN(F$1),FALSE),0))*VLOOKUP($D93,素材!$1:$1016,COLUMN(D$1),FALSE),0),"")</f>
        <v>115</v>
      </c>
      <c r="G93">
        <f>IFERROR(ROUNDDOWN((VLOOKUP($C93,武器!$1:$998,COLUMN(E$1),FALSE)+IFERROR(VLOOKUP($CI93,装強!$1:$999,COLUMN(G$1),FALSE),0))*VLOOKUP($D93,素材!$1:$1016,COLUMN($E$1),FALSE),0),"")</f>
        <v>0</v>
      </c>
      <c r="H93">
        <f>IFERROR(ROUNDDOWN((VLOOKUP($C93,武器!$1:$998,COLUMN(F$1),FALSE)+IFERROR(VLOOKUP($CI93,装強!$1:$999,COLUMN(H$1),FALSE),0))*VLOOKUP($D93,素材!$1:$1016,COLUMN($E$1),FALSE),0),"")</f>
        <v>0</v>
      </c>
      <c r="I93">
        <f>IFERROR(ROUNDDOWN((VLOOKUP($C93,武器!$1:$998,COLUMN(G$1),FALSE)+IFERROR(VLOOKUP($CI93,装強!$1:$999,COLUMN(I$1),FALSE),0))*VLOOKUP($D93,素材!$1:$1016,COLUMN($E$1),FALSE),0),"")</f>
        <v>29</v>
      </c>
      <c r="J93">
        <f>IFERROR(ROUNDDOWN((VLOOKUP($C93,武器!$1:$998,COLUMN(H$1),FALSE)+IFERROR(VLOOKUP($CI93,装強!$1:$999,COLUMN(J$1),FALSE),0))*VLOOKUP($D93,素材!$1:$1016,COLUMN($E$1),FALSE),0),"")</f>
        <v>25</v>
      </c>
      <c r="K93">
        <f>IFERROR(ROUNDDOWN((VLOOKUP($C93,武器!$1:$998,COLUMN(I$1),FALSE)+IFERROR(VLOOKUP($CI93,装強!$1:$999,COLUMN(K$1),FALSE),0))*VLOOKUP($D93,素材!$1:$1016,COLUMN($E$1),FALSE),0),"")</f>
        <v>0</v>
      </c>
      <c r="L93">
        <f>IFERROR(VLOOKUP($D93,素材!$1:$1016,COLUMN($F$1),FALSE),"")</f>
        <v>0</v>
      </c>
      <c r="M93">
        <f>IFERROR(VLOOKUP($C93,武器!$1:$998,COLUMN(AA$1),FALSE)*VLOOKUP($D93,素材!$1:$1016,COLUMN($G$1),FALSE),"")</f>
        <v>0</v>
      </c>
      <c r="N93">
        <f>IFERROR(VLOOKUP($C93,武器!$1:$998,COLUMN(I$1),FALSE),"")</f>
        <v>0</v>
      </c>
      <c r="O93" s="23">
        <f>IFERROR((VLOOKUP($C93,武器!$1:$998,COLUMN(K$1),FALSE)+VLOOKUP($D93,素材!$1:$1016,COLUMN(H$1),FALSE))*100+IFERROR(VLOOKUP($CI93,装強!$1:$999,COLUMN(O$1),FALSE),0),"")</f>
        <v>10</v>
      </c>
      <c r="P93" s="23">
        <f>IFERROR((VLOOKUP($C93,武器!$1:$998,COLUMN(L$1),FALSE)+VLOOKUP($D93,素材!$1:$1016,COLUMN(I$1),FALSE))*100+IFERROR(VLOOKUP($CI93,装強!$1:$999,COLUMN(P$1),FALSE),0),"")</f>
        <v>150</v>
      </c>
      <c r="Q93">
        <f>IFERROR(ROUNDUP(VLOOKUP($C93,武器!$1:$998,COLUMN(M$1),FALSE)*(VLOOKUP($D93,素材!$1:$1002,COLUMN(D$1),FALSE)/100),1),"")</f>
        <v>-2.7</v>
      </c>
      <c r="R93">
        <f>IFERROR(ROUNDUP(VLOOKUP($C93,武器!$1:$998,COLUMN(N$1),FALSE)*(VLOOKUP($D93,素材!$1:$1002,COLUMN(D$1),FALSE)/100),1),"")</f>
        <v>0</v>
      </c>
      <c r="S93">
        <f>IFERROR(VLOOKUP($C93,武器!$1:$998,COLUMN(P$1),FALSE),"")</f>
        <v>0</v>
      </c>
      <c r="T93">
        <f>IFERROR(VLOOKUP($C93,武器!$1:$998,COLUMN(Q$1),FALSE),"")</f>
        <v>0</v>
      </c>
      <c r="U93">
        <f>IFERROR(VLOOKUP($C93,武器!$1:$998,COLUMN(R$1),FALSE),"")</f>
        <v>0</v>
      </c>
      <c r="V93">
        <f>IFERROR(VLOOKUP($C93,武器!$1:$998,COLUMN(Q$1),FALSE),"")</f>
        <v>0</v>
      </c>
      <c r="W93" t="str">
        <f>IFERROR(VLOOKUP($C93,武器!$1:$998,COLUMN(T$1),FALSE),"")</f>
        <v>A</v>
      </c>
      <c r="Y93" t="str">
        <f>IFERROR(VLOOKUP($C93,武器!$1:$998,COLUMN(U$1),FALSE),"")</f>
        <v>投擲強化</v>
      </c>
      <c r="Z93">
        <f>IFERROR(ROUNDUP(VLOOKUP($C93,武器!$1:$998,COLUMN(O$1),FALSE)*VLOOKUP($D93,素材!$1:$1016,COLUMN(E$1),FALSE),1),"")</f>
        <v>0</v>
      </c>
      <c r="AA93">
        <f>IF(ISNUMBER(SEARCH(SUBSTITUTE(AA$1,RIGHT(AA$1,2),""),VLOOKUP($D93,素材!$1:$1016,COLUMN($F$1),FALSE))),VLOOKUP($C93,武器!$1:$998,COLUMN($O$1),FALSE)*VLOOKUP($D93,素材!$1:$1016,COLUMN($E$1),FALSE)/(LEN(VLOOKUP($D93,素材!$1:$1016,COLUMN($F$1),FALSE)) - LEN(SUBSTITUTE(VLOOKUP($D93,素材!$1:$1016,COLUMN($F$1),FALSE), "・", 0)) + 1), 0)</f>
        <v>0</v>
      </c>
      <c r="AB93">
        <f>IF(ISNUMBER(SEARCH(SUBSTITUTE(AB$1,RIGHT(AB$1,2),""),VLOOKUP($D93,素材!$1:$1016,COLUMN($F$1),FALSE))),VLOOKUP($C93,武器!$1:$998,COLUMN($O$1),FALSE)*VLOOKUP($D93,素材!$1:$1016,COLUMN($E$1),FALSE)/(LEN(VLOOKUP($D93,素材!$1:$1016,COLUMN($F$1),FALSE)) - LEN(SUBSTITUTE(VLOOKUP($D93,素材!$1:$1016,COLUMN($F$1),FALSE), "・", 0)) + 1), 0)</f>
        <v>0</v>
      </c>
      <c r="AC93">
        <f>IF(ISNUMBER(SEARCH(SUBSTITUTE(AC$1,RIGHT(AC$1,2),""),VLOOKUP($D93,素材!$1:$1016,COLUMN($F$1),FALSE))),VLOOKUP($C93,武器!$1:$998,COLUMN($O$1),FALSE)*VLOOKUP($D93,素材!$1:$1016,COLUMN($E$1),FALSE)/(LEN(VLOOKUP($D93,素材!$1:$1016,COLUMN($F$1),FALSE)) - LEN(SUBSTITUTE(VLOOKUP($D93,素材!$1:$1016,COLUMN($F$1),FALSE), "・", 0)) + 1), 0)</f>
        <v>0</v>
      </c>
      <c r="AD93">
        <f>IF(ISNUMBER(SEARCH(SUBSTITUTE(AD$1,RIGHT(AD$1,2),""),VLOOKUP($D93,素材!$1:$1016,COLUMN($F$1),FALSE))),VLOOKUP($C93,武器!$1:$998,COLUMN($O$1),FALSE)*VLOOKUP($D93,素材!$1:$1016,COLUMN($E$1),FALSE)/(LEN(VLOOKUP($D93,素材!$1:$1016,COLUMN($F$1),FALSE)) - LEN(SUBSTITUTE(VLOOKUP($D93,素材!$1:$1016,COLUMN($F$1),FALSE), "・", 0)) + 1), 0)</f>
        <v>0</v>
      </c>
      <c r="AE93">
        <f>IF(ISNUMBER(SEARCH(SUBSTITUTE(AE$1,RIGHT(AE$1,2),""),VLOOKUP($D93,素材!$1:$1016,COLUMN($F$1),FALSE))),VLOOKUP($C93,武器!$1:$998,COLUMN($O$1),FALSE)*VLOOKUP($D93,素材!$1:$1016,COLUMN($E$1),FALSE)/(LEN(VLOOKUP($D93,素材!$1:$1016,COLUMN($F$1),FALSE)) - LEN(SUBSTITUTE(VLOOKUP($D93,素材!$1:$1016,COLUMN($F$1),FALSE), "・", 0)) + 1), 0)</f>
        <v>0</v>
      </c>
      <c r="AF93">
        <f>IF(ISNUMBER(SEARCH(SUBSTITUTE(AF$1,RIGHT(AF$1,2),""),VLOOKUP($D93,素材!$1:$1016,COLUMN($F$1),FALSE))),VLOOKUP($C93,武器!$1:$998,COLUMN($O$1),FALSE)*VLOOKUP($D93,素材!$1:$1016,COLUMN($E$1),FALSE)/(LEN(VLOOKUP($D93,素材!$1:$1016,COLUMN($F$1),FALSE)) - LEN(SUBSTITUTE(VLOOKUP($D93,素材!$1:$1016,COLUMN($F$1),FALSE), "・", 0)) + 1), 0)</f>
        <v>0</v>
      </c>
      <c r="AG93">
        <f>IF(ISNUMBER(SEARCH(SUBSTITUTE(AG$1,RIGHT(AG$1,2),""),VLOOKUP($D93,素材!$1:$1016,COLUMN($F$1),FALSE))),VLOOKUP($C93,武器!$1:$998,COLUMN($O$1),FALSE)*VLOOKUP($D93,素材!$1:$1016,COLUMN($E$1),FALSE)/(LEN(VLOOKUP($D93,素材!$1:$1016,COLUMN($F$1),FALSE)) - LEN(SUBSTITUTE(VLOOKUP($D93,素材!$1:$1016,COLUMN($F$1),FALSE), "・", 0)) + 1), 0)</f>
        <v>0</v>
      </c>
      <c r="AH93">
        <f>IF(ISNUMBER(SEARCH(SUBSTITUTE(AH$1,RIGHT(AH$1,2),""),VLOOKUP($D93,素材!$1:$1016,COLUMN($F$1),FALSE))),VLOOKUP($C93,武器!$1:$998,COLUMN($O$1),FALSE)*VLOOKUP($D93,素材!$1:$1016,COLUMN($E$1),FALSE)/(LEN(VLOOKUP($D93,素材!$1:$1016,COLUMN($F$1),FALSE)) - LEN(SUBSTITUTE(VLOOKUP($D93,素材!$1:$1016,COLUMN($F$1),FALSE), "・", 0)) + 1), 0)</f>
        <v>0</v>
      </c>
      <c r="AI93">
        <f>IF(ISNUMBER(SEARCH(SUBSTITUTE(AI$1,RIGHT(AI$1,2),""),VLOOKUP($D93,素材!$1:$1016,COLUMN($F$1),FALSE))),VLOOKUP($C93,武器!$1:$998,COLUMN($O$1),FALSE)*VLOOKUP($D93,素材!$1:$1016,COLUMN($E$1),FALSE)/(LEN(VLOOKUP($D93,素材!$1:$1016,COLUMN($F$1),FALSE)) - LEN(SUBSTITUTE(VLOOKUP($D93,素材!$1:$1016,COLUMN($F$1),FALSE), "・", 0)) + 1), 0)</f>
        <v>0</v>
      </c>
      <c r="AJ93">
        <f>IF(ISNUMBER(SEARCH(SUBSTITUTE(AJ$1,RIGHT(AJ$1,2),""),VLOOKUP($D93,素材!$1:$1016,COLUMN($F$1),FALSE))),VLOOKUP($C93,武器!$1:$998,COLUMN($O$1),FALSE)*VLOOKUP($D93,素材!$1:$1016,COLUMN($E$1),FALSE)/(LEN(VLOOKUP($D93,素材!$1:$1016,COLUMN($F$1),FALSE)) - LEN(SUBSTITUTE(VLOOKUP($D93,素材!$1:$1016,COLUMN($F$1),FALSE), "・", 0)) + 1), 0)</f>
        <v>0</v>
      </c>
      <c r="AK93">
        <f>IF(ISNUMBER(SEARCH(SUBSTITUTE(AK$1,RIGHT(AK$1,2),""),VLOOKUP($D93,素材!$1:$1016,COLUMN($F$1),FALSE))),VLOOKUP($C93,武器!$1:$998,COLUMN($O$1),FALSE)*VLOOKUP($D93,素材!$1:$1016,COLUMN($E$1),FALSE)/(LEN(VLOOKUP($D93,素材!$1:$1016,COLUMN($F$1),FALSE)) - LEN(SUBSTITUTE(VLOOKUP($D93,素材!$1:$1016,COLUMN($F$1),FALSE), "・", 0)) + 1), 0)</f>
        <v>0</v>
      </c>
      <c r="AL93">
        <f>IF(ISNUMBER(SEARCH(SUBSTITUTE(AL$1,RIGHT(AL$1,2),""),VLOOKUP($D93,素材!$1:$1016,COLUMN($F$1),FALSE))),VLOOKUP($C93,武器!$1:$998,COLUMN($O$1),FALSE)*VLOOKUP($D93,素材!$1:$1016,COLUMN($E$1),FALSE)/(LEN(VLOOKUP($D93,素材!$1:$1016,COLUMN($F$1),FALSE)) - LEN(SUBSTITUTE(VLOOKUP($D93,素材!$1:$1016,COLUMN($F$1),FALSE), "・", 0)) + 1), 0)</f>
        <v>0</v>
      </c>
      <c r="AM93">
        <f>IF(ISNUMBER(SEARCH(SUBSTITUTE(AM$1,RIGHT(AM$1,2),""),VLOOKUP($D93,素材!$1:$1016,COLUMN($F$1),FALSE))),VLOOKUP($C93,武器!$1:$998,COLUMN($O$1),FALSE)*VLOOKUP($D93,素材!$1:$1016,COLUMN($E$1),FALSE)/(LEN(VLOOKUP($D93,素材!$1:$1016,COLUMN($F$1),FALSE)) - LEN(SUBSTITUTE(VLOOKUP($D93,素材!$1:$1016,COLUMN($F$1),FALSE), "・", 0)) + 1), 0)</f>
        <v>0</v>
      </c>
      <c r="AN93">
        <f>IF(ISNUMBER(SEARCH(SUBSTITUTE(AN$1,RIGHT(AN$1,2),""),VLOOKUP($D93,素材!$1:$1016,COLUMN($F$1),FALSE))),VLOOKUP($C93,武器!$1:$998,COLUMN($O$1),FALSE)*VLOOKUP($D93,素材!$1:$1016,COLUMN($E$1),FALSE)/(LEN(VLOOKUP($D93,素材!$1:$1016,COLUMN($F$1),FALSE)) - LEN(SUBSTITUTE(VLOOKUP($D93,素材!$1:$1016,COLUMN($F$1),FALSE), "・", 0)) + 1), 0)</f>
        <v>0</v>
      </c>
      <c r="AO93">
        <f>IF(ISNUMBER(SEARCH(SUBSTITUTE(AO$1,RIGHT(AO$1,2),""),VLOOKUP($D93,素材!$1:$1016,COLUMN($F$1),FALSE))),VLOOKUP($C93,武器!$1:$998,COLUMN($O$1),FALSE)*VLOOKUP($D93,素材!$1:$1016,COLUMN($E$1),FALSE)/(LEN(VLOOKUP($D93,素材!$1:$1016,COLUMN($F$1),FALSE)) - LEN(SUBSTITUTE(VLOOKUP($D93,素材!$1:$1016,COLUMN($F$1),FALSE), "・", 0)) + 1), 0)</f>
        <v>0</v>
      </c>
      <c r="AP93">
        <f>IF(ISNUMBER(SEARCH(SUBSTITUTE(AP$1,RIGHT(AP$1,2),""),VLOOKUP($D93,素材!$1:$1016,COLUMN($F$1),FALSE))),VLOOKUP($C93,武器!$1:$998,COLUMN($O$1),FALSE)*VLOOKUP($D93,素材!$1:$1016,COLUMN($E$1),FALSE)/(LEN(VLOOKUP($D93,素材!$1:$1016,COLUMN($F$1),FALSE)) - LEN(SUBSTITUTE(VLOOKUP($D93,素材!$1:$1016,COLUMN($F$1),FALSE), "・", 0)) + 1), 0)</f>
        <v>0</v>
      </c>
      <c r="AQ93">
        <f>IF(ISNUMBER(SEARCH(SUBSTITUTE(AQ$1,RIGHT(AQ$1,2),""),VLOOKUP($D93,素材!$1:$1016,COLUMN($F$1),FALSE))),VLOOKUP($C93,武器!$1:$998,COLUMN($O$1),FALSE)*VLOOKUP($D93,素材!$1:$1016,COLUMN($E$1),FALSE)/(LEN(VLOOKUP($D93,素材!$1:$1016,COLUMN($F$1),FALSE)) - LEN(SUBSTITUTE(VLOOKUP($D93,素材!$1:$1016,COLUMN($F$1),FALSE), "・", 0)) + 1), 0)</f>
        <v>0</v>
      </c>
      <c r="AR93">
        <f>IF(ISNUMBER(SEARCH(SUBSTITUTE(AR$1,RIGHT(AR$1,2),""),VLOOKUP($D93,素材!$1:$1016,COLUMN($F$1),FALSE))),VLOOKUP($C93,武器!$1:$998,COLUMN($O$1),FALSE)*VLOOKUP($D93,素材!$1:$1016,COLUMN($E$1),FALSE)/(LEN(VLOOKUP($D93,素材!$1:$1016,COLUMN($F$1),FALSE)) - LEN(SUBSTITUTE(VLOOKUP($D93,素材!$1:$1016,COLUMN($F$1),FALSE), "・", 0)) + 1), 0)</f>
        <v>0</v>
      </c>
      <c r="AS93">
        <f>IF(ISNUMBER(SEARCH(SUBSTITUTE(AS$1,RIGHT(AS$1,2),""),VLOOKUP($D93,素材!$1:$1016,COLUMN($F$1),FALSE))),VLOOKUP($C93,武器!$1:$998,COLUMN($O$1),FALSE)*VLOOKUP($D93,素材!$1:$1016,COLUMN($E$1),FALSE)/(LEN(VLOOKUP($D93,素材!$1:$1016,COLUMN($F$1),FALSE)) - LEN(SUBSTITUTE(VLOOKUP($D93,素材!$1:$1016,COLUMN($F$1),FALSE), "・", 0)) + 1), 0)</f>
        <v>0</v>
      </c>
      <c r="AT93">
        <f>IF(ISNUMBER(SEARCH(SUBSTITUTE(AT$1,RIGHT(AT$1,2),""),VLOOKUP($D93,素材!$1:$1016,COLUMN($F$1),FALSE))),VLOOKUP($C93,武器!$1:$998,COLUMN($O$1),FALSE)*VLOOKUP($D93,素材!$1:$1016,COLUMN($E$1),FALSE)/(LEN(VLOOKUP($D93,素材!$1:$1016,COLUMN($F$1),FALSE)) - LEN(SUBSTITUTE(VLOOKUP($D93,素材!$1:$1016,COLUMN($F$1),FALSE), "・", 0)) + 1), 0)</f>
        <v>0</v>
      </c>
      <c r="AU93">
        <f>IF(ISNUMBER(SEARCH(SUBSTITUTE(AU$1,RIGHT(AU$1,2),""),VLOOKUP($D93,素材!$1:$1016,COLUMN($F$1),FALSE))),VLOOKUP($C93,武器!$1:$998,COLUMN($O$1),FALSE)*VLOOKUP($D93,素材!$1:$1016,COLUMN($E$1),FALSE)/(LEN(VLOOKUP($D93,素材!$1:$1016,COLUMN($F$1),FALSE)) - LEN(SUBSTITUTE(VLOOKUP($D93,素材!$1:$1016,COLUMN($F$1),FALSE), "・", 0)) + 1), 0)</f>
        <v>0</v>
      </c>
      <c r="AV93">
        <f>IF(ISNUMBER(SEARCH(SUBSTITUTE(AV$1,RIGHT(AV$1,2),""),VLOOKUP($D93,素材!$1:$1016,COLUMN($F$1),FALSE))),VLOOKUP($C93,武器!$1:$998,COLUMN($O$1),FALSE)*VLOOKUP($D93,素材!$1:$1016,COLUMN($E$1),FALSE)/(LEN(VLOOKUP($D93,素材!$1:$1016,COLUMN($F$1),FALSE)) - LEN(SUBSTITUTE(VLOOKUP($D93,素材!$1:$1016,COLUMN($F$1),FALSE), "・", 0)) + 1), 0)</f>
        <v>0</v>
      </c>
      <c r="AW93">
        <f>IF(ISNUMBER(SEARCH(SUBSTITUTE(AW$1,RIGHT(AW$1,2),""),VLOOKUP($D93,素材!$1:$1016,COLUMN($F$1),FALSE))),VLOOKUP($C93,武器!$1:$998,COLUMN($O$1),FALSE)*VLOOKUP($D93,素材!$1:$1016,COLUMN($E$1),FALSE)/(LEN(VLOOKUP($D93,素材!$1:$1016,COLUMN($F$1),FALSE)) - LEN(SUBSTITUTE(VLOOKUP($D93,素材!$1:$1016,COLUMN($F$1),FALSE), "・", 0)) + 1), 0)</f>
        <v>0</v>
      </c>
      <c r="AX93">
        <f>IF(ISNUMBER(SEARCH(SUBSTITUTE(AX$1,RIGHT(AX$1,2),""),VLOOKUP($D93,素材!$1:$1016,COLUMN($F$1),FALSE))),VLOOKUP($C93,武器!$1:$998,COLUMN($O$1),FALSE)*VLOOKUP($D93,素材!$1:$1016,COLUMN($E$1),FALSE)/(LEN(VLOOKUP($D93,素材!$1:$1016,COLUMN($F$1),FALSE)) - LEN(SUBSTITUTE(VLOOKUP($D93,素材!$1:$1016,COLUMN($F$1),FALSE), "・", 0)) + 1), 0)</f>
        <v>0</v>
      </c>
      <c r="AY93">
        <f>IF(ISNUMBER(SEARCH(SUBSTITUTE(AY$1,RIGHT(AY$1,2),""),VLOOKUP($D93,素材!$1:$1016,COLUMN($F$1),FALSE))),VLOOKUP($C93,武器!$1:$998,COLUMN($O$1),FALSE)*VLOOKUP($D93,素材!$1:$1016,COLUMN($E$1),FALSE)/(LEN(VLOOKUP($D93,素材!$1:$1016,COLUMN($F$1),FALSE)) - LEN(SUBSTITUTE(VLOOKUP($D93,素材!$1:$1016,COLUMN($F$1),FALSE), "・", 0)) + 1), 0)</f>
        <v>0</v>
      </c>
      <c r="AZ93">
        <f>IF(ISNUMBER(SEARCH(SUBSTITUTE(AZ$1,RIGHT(AZ$1,2),""),VLOOKUP($D93,素材!$1:$1016,COLUMN($F$1),FALSE))),VLOOKUP($C93,武器!$1:$998,COLUMN($O$1),FALSE)*VLOOKUP($D93,素材!$1:$1016,COLUMN($E$1),FALSE)/(LEN(VLOOKUP($D93,素材!$1:$1016,COLUMN($F$1),FALSE)) - LEN(SUBSTITUTE(VLOOKUP($D93,素材!$1:$1016,COLUMN($F$1),FALSE), "・", 0)) + 1), 0)</f>
        <v>0</v>
      </c>
      <c r="BA93">
        <f>IF(ISNUMBER(SEARCH(SUBSTITUTE(BA$1,RIGHT(BA$1,2),""),VLOOKUP($D93,素材!$1:$1016,COLUMN($F$1),FALSE))),VLOOKUP($C93,武器!$1:$998,COLUMN($O$1),FALSE)*VLOOKUP($D93,素材!$1:$1016,COLUMN($E$1),FALSE)/(LEN(VLOOKUP($D93,素材!$1:$1016,COLUMN($F$1),FALSE)) - LEN(SUBSTITUTE(VLOOKUP($D93,素材!$1:$1016,COLUMN($F$1),FALSE), "・", 0)) + 1), 0)</f>
        <v>0</v>
      </c>
      <c r="BB93">
        <f>IF(ISNUMBER(SEARCH(SUBSTITUTE(BB$1,RIGHT(BB$1,2),""),VLOOKUP($D93,素材!$1:$1016,COLUMN($F$1),FALSE))),VLOOKUP($C93,武器!$1:$998,COLUMN($O$1),FALSE)*VLOOKUP($D93,素材!$1:$1016,COLUMN($E$1),FALSE)/(LEN(VLOOKUP($D93,素材!$1:$1016,COLUMN($F$1),FALSE)) - LEN(SUBSTITUTE(VLOOKUP($D93,素材!$1:$1016,COLUMN($F$1),FALSE), "・", 0)) + 1), 0)</f>
        <v>0</v>
      </c>
      <c r="BC93">
        <f>IF(ISNUMBER(SEARCH(SUBSTITUTE(BC$1,RIGHT(BC$1,2),""),VLOOKUP($D93,素材!$1:$1016,COLUMN($F$1),FALSE))),VLOOKUP($C93,武器!$1:$998,COLUMN($O$1),FALSE)*VLOOKUP($D93,素材!$1:$1016,COLUMN($E$1),FALSE)/(LEN(VLOOKUP($D93,素材!$1:$1016,COLUMN($F$1),FALSE)) - LEN(SUBSTITUTE(VLOOKUP($D93,素材!$1:$1016,COLUMN($F$1),FALSE), "・", 0)) + 1), 0)</f>
        <v>0</v>
      </c>
      <c r="BD93">
        <f>IF(ISNUMBER(SEARCH(SUBSTITUTE(BD$1,RIGHT(BD$1,2),""),VLOOKUP($D93,素材!$1:$1016,COLUMN($F$1),FALSE))),VLOOKUP($C93,武器!$1:$998,COLUMN($O$1),FALSE)*VLOOKUP($D93,素材!$1:$1016,COLUMN($E$1),FALSE)/(LEN(VLOOKUP($D93,素材!$1:$1016,COLUMN($F$1),FALSE)) - LEN(SUBSTITUTE(VLOOKUP($D93,素材!$1:$1016,COLUMN($F$1),FALSE), "・", 0)) + 1), 0)</f>
        <v>0</v>
      </c>
      <c r="BE93">
        <f>IF(ISNUMBER(SEARCH(SUBSTITUTE(BE$1,RIGHT(BE$1,2),""),VLOOKUP($D93,素材!$1:$1016,COLUMN($F$1),FALSE))),VLOOKUP($C93,武器!$1:$998,COLUMN($O$1),FALSE)*VLOOKUP($D93,素材!$1:$1016,COLUMN($E$1),FALSE)/(LEN(VLOOKUP($D93,素材!$1:$1016,COLUMN($F$1),FALSE)) - LEN(SUBSTITUTE(VLOOKUP($D93,素材!$1:$1016,COLUMN($F$1),FALSE), "・", 0)) + 1), 0)</f>
        <v>0</v>
      </c>
      <c r="CL93">
        <f>SUM(G93:I93)</f>
        <v>29</v>
      </c>
      <c r="CM93" s="22" t="str">
        <f>IF(E93="武器",IF(J93-1&gt;SUM(G93:I93),"盾",IF(MAX(G93:I93)=G93,"切断",IF(MAX(G93:I93)=H93,"貫通",IF(MAX(G93:I93)=I93,"打撃","射撃")))),E93)&amp;".webp"</f>
        <v>打撃.webp</v>
      </c>
      <c r="CN93">
        <f>IFERROR(VLOOKUP($C93,武器!$1:$998,COLUMN(V$1),FALSE)*VLOOKUP($D93,素材!$1:$1016,COLUMN(N$1),FALSE)+IF(CI93="",0,VLOOKUP($CI93,装強!$1:$1008,COLUMN($CK$1),FALSE)),"")</f>
        <v>900</v>
      </c>
      <c r="CO93" t="str">
        <f>VLOOKUP(D93,素材!$A:$O,COLUMN(素材!O$1),FALSE)</f>
        <v>鍛えられた鉄。硬度が高く安価なためよく使用される。</v>
      </c>
      <c r="CP93" t="str">
        <f>VLOOKUP(C93,武器!$A:$W,COLUMN(武器!W$1),FALSE)</f>
        <v>鎚。打撃力に優れ、投擲にも対応。</v>
      </c>
      <c r="CR93" t="str">
        <f t="shared" si="5"/>
        <v>e_93</v>
      </c>
      <c r="CS93">
        <f t="shared" si="6"/>
        <v>90000</v>
      </c>
    </row>
    <row r="94" spans="1:97" outlineLevel="1" x14ac:dyDescent="0.4">
      <c r="A94" t="str">
        <f t="shared" si="4"/>
        <v>鋼の戦鎚</v>
      </c>
      <c r="B94" t="str">
        <f>IFERROR(VLOOKUP($D94,素材!$1:$1016,COLUMN($B$1),FALSE)&amp;"・"&amp;VLOOKUP($C94,武器!$1:$998,COLUMN(B$1),FALSE),"")</f>
        <v>スチール・ウォーハンマー</v>
      </c>
      <c r="C94" t="s">
        <v>226</v>
      </c>
      <c r="D94" s="24" t="s">
        <v>253</v>
      </c>
      <c r="E94" t="str">
        <f>IFERROR(VLOOKUP(C94,武器!$1:$998,COLUMN(C$1),FALSE),"")</f>
        <v>武器</v>
      </c>
      <c r="F94">
        <f>IFERROR(ROUNDDOWN((VLOOKUP($C94,武器!$1:$998,COLUMN(D$1),FALSE)+IFERROR(VLOOKUP($CI94,装強!$1:$999,COLUMN(F$1),FALSE),0))*VLOOKUP($D94,素材!$1:$1016,COLUMN(D$1),FALSE),0),"")</f>
        <v>131</v>
      </c>
      <c r="G94">
        <f>IFERROR(ROUNDDOWN((VLOOKUP($C94,武器!$1:$998,COLUMN(E$1),FALSE)+IFERROR(VLOOKUP($CI94,装強!$1:$999,COLUMN(G$1),FALSE),0))*VLOOKUP($D94,素材!$1:$1016,COLUMN($E$1),FALSE),0),"")</f>
        <v>0</v>
      </c>
      <c r="H94">
        <f>IFERROR(ROUNDDOWN((VLOOKUP($C94,武器!$1:$998,COLUMN(F$1),FALSE)+IFERROR(VLOOKUP($CI94,装強!$1:$999,COLUMN(H$1),FALSE),0))*VLOOKUP($D94,素材!$1:$1016,COLUMN($E$1),FALSE),0),"")</f>
        <v>0</v>
      </c>
      <c r="I94">
        <f>IFERROR(ROUNDDOWN((VLOOKUP($C94,武器!$1:$998,COLUMN(G$1),FALSE)+IFERROR(VLOOKUP($CI94,装強!$1:$999,COLUMN(I$1),FALSE),0))*VLOOKUP($D94,素材!$1:$1016,COLUMN($E$1),FALSE),0),"")</f>
        <v>32</v>
      </c>
      <c r="J94">
        <f>IFERROR(ROUNDDOWN((VLOOKUP($C94,武器!$1:$998,COLUMN(H$1),FALSE)+IFERROR(VLOOKUP($CI94,装強!$1:$999,COLUMN(J$1),FALSE),0))*VLOOKUP($D94,素材!$1:$1016,COLUMN($E$1),FALSE),0),"")</f>
        <v>28</v>
      </c>
      <c r="K94">
        <f>IFERROR(ROUNDDOWN((VLOOKUP($C94,武器!$1:$998,COLUMN(I$1),FALSE)+IFERROR(VLOOKUP($CI94,装強!$1:$999,COLUMN(K$1),FALSE),0))*VLOOKUP($D94,素材!$1:$1016,COLUMN($E$1),FALSE),0),"")</f>
        <v>0</v>
      </c>
      <c r="L94">
        <f>IFERROR(VLOOKUP($D94,素材!$1:$1016,COLUMN($F$1),FALSE),"")</f>
        <v>0</v>
      </c>
      <c r="M94">
        <f>IFERROR(VLOOKUP($C94,武器!$1:$998,COLUMN(AA$1),FALSE)*VLOOKUP($D94,素材!$1:$1016,COLUMN($G$1),FALSE),"")</f>
        <v>0</v>
      </c>
      <c r="N94">
        <f>IFERROR(VLOOKUP($C94,武器!$1:$998,COLUMN(I$1),FALSE),"")</f>
        <v>0</v>
      </c>
      <c r="O94" s="23">
        <f>IFERROR((VLOOKUP($C94,武器!$1:$998,COLUMN(K$1),FALSE)+VLOOKUP($D94,素材!$1:$1016,COLUMN(H$1),FALSE))*100+IFERROR(VLOOKUP($CI94,装強!$1:$999,COLUMN(O$1),FALSE),0),"")</f>
        <v>10</v>
      </c>
      <c r="P94" s="23">
        <f>IFERROR((VLOOKUP($C94,武器!$1:$998,COLUMN(L$1),FALSE)+VLOOKUP($D94,素材!$1:$1016,COLUMN(I$1),FALSE))*100+IFERROR(VLOOKUP($CI94,装強!$1:$999,COLUMN(P$1),FALSE),0),"")</f>
        <v>150</v>
      </c>
      <c r="Q94">
        <f>IFERROR(ROUNDUP(VLOOKUP($C94,武器!$1:$998,COLUMN(M$1),FALSE)*(VLOOKUP($D94,素材!$1:$1002,COLUMN(D$1),FALSE)/100),1),"")</f>
        <v>-5.3</v>
      </c>
      <c r="R94">
        <f>IFERROR(ROUNDUP(VLOOKUP($C94,武器!$1:$998,COLUMN(N$1),FALSE)*(VLOOKUP($D94,素材!$1:$1002,COLUMN(D$1),FALSE)/100),1),"")</f>
        <v>-5.3</v>
      </c>
      <c r="S94">
        <f>IFERROR(VLOOKUP($C94,武器!$1:$998,COLUMN(P$1),FALSE),"")</f>
        <v>0</v>
      </c>
      <c r="T94">
        <f>IFERROR(VLOOKUP($C94,武器!$1:$998,COLUMN(Q$1),FALSE),"")</f>
        <v>0</v>
      </c>
      <c r="U94">
        <f>IFERROR(VLOOKUP($C94,武器!$1:$998,COLUMN(R$1),FALSE),"")</f>
        <v>0</v>
      </c>
      <c r="V94">
        <f>IFERROR(VLOOKUP($C94,武器!$1:$998,COLUMN(Q$1),FALSE),"")</f>
        <v>0</v>
      </c>
      <c r="W94" t="str">
        <f>IFERROR(VLOOKUP($C94,武器!$1:$998,COLUMN(T$1),FALSE),"")</f>
        <v>A</v>
      </c>
      <c r="Y94">
        <f>IFERROR(VLOOKUP($C94,武器!$1:$998,COLUMN(U$1),FALSE),"")</f>
        <v>0</v>
      </c>
      <c r="Z94">
        <f>IFERROR(ROUNDUP(VLOOKUP($C94,武器!$1:$998,COLUMN(O$1),FALSE)*VLOOKUP($D94,素材!$1:$1016,COLUMN(E$1),FALSE),1),"")</f>
        <v>0</v>
      </c>
      <c r="AA94">
        <f>IF(ISNUMBER(SEARCH(SUBSTITUTE(AA$1,RIGHT(AA$1,2),""),VLOOKUP($D94,素材!$1:$1016,COLUMN($F$1),FALSE))),VLOOKUP($C94,武器!$1:$998,COLUMN($O$1),FALSE)*VLOOKUP($D94,素材!$1:$1016,COLUMN($E$1),FALSE)/(LEN(VLOOKUP($D94,素材!$1:$1016,COLUMN($F$1),FALSE)) - LEN(SUBSTITUTE(VLOOKUP($D94,素材!$1:$1016,COLUMN($F$1),FALSE), "・", 0)) + 1), 0)</f>
        <v>0</v>
      </c>
      <c r="AB94">
        <f>IF(ISNUMBER(SEARCH(SUBSTITUTE(AB$1,RIGHT(AB$1,2),""),VLOOKUP($D94,素材!$1:$1016,COLUMN($F$1),FALSE))),VLOOKUP($C94,武器!$1:$998,COLUMN($O$1),FALSE)*VLOOKUP($D94,素材!$1:$1016,COLUMN($E$1),FALSE)/(LEN(VLOOKUP($D94,素材!$1:$1016,COLUMN($F$1),FALSE)) - LEN(SUBSTITUTE(VLOOKUP($D94,素材!$1:$1016,COLUMN($F$1),FALSE), "・", 0)) + 1), 0)</f>
        <v>0</v>
      </c>
      <c r="AC94">
        <f>IF(ISNUMBER(SEARCH(SUBSTITUTE(AC$1,RIGHT(AC$1,2),""),VLOOKUP($D94,素材!$1:$1016,COLUMN($F$1),FALSE))),VLOOKUP($C94,武器!$1:$998,COLUMN($O$1),FALSE)*VLOOKUP($D94,素材!$1:$1016,COLUMN($E$1),FALSE)/(LEN(VLOOKUP($D94,素材!$1:$1016,COLUMN($F$1),FALSE)) - LEN(SUBSTITUTE(VLOOKUP($D94,素材!$1:$1016,COLUMN($F$1),FALSE), "・", 0)) + 1), 0)</f>
        <v>0</v>
      </c>
      <c r="AD94">
        <f>IF(ISNUMBER(SEARCH(SUBSTITUTE(AD$1,RIGHT(AD$1,2),""),VLOOKUP($D94,素材!$1:$1016,COLUMN($F$1),FALSE))),VLOOKUP($C94,武器!$1:$998,COLUMN($O$1),FALSE)*VLOOKUP($D94,素材!$1:$1016,COLUMN($E$1),FALSE)/(LEN(VLOOKUP($D94,素材!$1:$1016,COLUMN($F$1),FALSE)) - LEN(SUBSTITUTE(VLOOKUP($D94,素材!$1:$1016,COLUMN($F$1),FALSE), "・", 0)) + 1), 0)</f>
        <v>0</v>
      </c>
      <c r="AE94">
        <f>IF(ISNUMBER(SEARCH(SUBSTITUTE(AE$1,RIGHT(AE$1,2),""),VLOOKUP($D94,素材!$1:$1016,COLUMN($F$1),FALSE))),VLOOKUP($C94,武器!$1:$998,COLUMN($O$1),FALSE)*VLOOKUP($D94,素材!$1:$1016,COLUMN($E$1),FALSE)/(LEN(VLOOKUP($D94,素材!$1:$1016,COLUMN($F$1),FALSE)) - LEN(SUBSTITUTE(VLOOKUP($D94,素材!$1:$1016,COLUMN($F$1),FALSE), "・", 0)) + 1), 0)</f>
        <v>0</v>
      </c>
      <c r="AF94">
        <f>IF(ISNUMBER(SEARCH(SUBSTITUTE(AF$1,RIGHT(AF$1,2),""),VLOOKUP($D94,素材!$1:$1016,COLUMN($F$1),FALSE))),VLOOKUP($C94,武器!$1:$998,COLUMN($O$1),FALSE)*VLOOKUP($D94,素材!$1:$1016,COLUMN($E$1),FALSE)/(LEN(VLOOKUP($D94,素材!$1:$1016,COLUMN($F$1),FALSE)) - LEN(SUBSTITUTE(VLOOKUP($D94,素材!$1:$1016,COLUMN($F$1),FALSE), "・", 0)) + 1), 0)</f>
        <v>0</v>
      </c>
      <c r="AG94">
        <f>IF(ISNUMBER(SEARCH(SUBSTITUTE(AG$1,RIGHT(AG$1,2),""),VLOOKUP($D94,素材!$1:$1016,COLUMN($F$1),FALSE))),VLOOKUP($C94,武器!$1:$998,COLUMN($O$1),FALSE)*VLOOKUP($D94,素材!$1:$1016,COLUMN($E$1),FALSE)/(LEN(VLOOKUP($D94,素材!$1:$1016,COLUMN($F$1),FALSE)) - LEN(SUBSTITUTE(VLOOKUP($D94,素材!$1:$1016,COLUMN($F$1),FALSE), "・", 0)) + 1), 0)</f>
        <v>0</v>
      </c>
      <c r="AH94">
        <f>IF(ISNUMBER(SEARCH(SUBSTITUTE(AH$1,RIGHT(AH$1,2),""),VLOOKUP($D94,素材!$1:$1016,COLUMN($F$1),FALSE))),VLOOKUP($C94,武器!$1:$998,COLUMN($O$1),FALSE)*VLOOKUP($D94,素材!$1:$1016,COLUMN($E$1),FALSE)/(LEN(VLOOKUP($D94,素材!$1:$1016,COLUMN($F$1),FALSE)) - LEN(SUBSTITUTE(VLOOKUP($D94,素材!$1:$1016,COLUMN($F$1),FALSE), "・", 0)) + 1), 0)</f>
        <v>0</v>
      </c>
      <c r="AI94">
        <f>IF(ISNUMBER(SEARCH(SUBSTITUTE(AI$1,RIGHT(AI$1,2),""),VLOOKUP($D94,素材!$1:$1016,COLUMN($F$1),FALSE))),VLOOKUP($C94,武器!$1:$998,COLUMN($O$1),FALSE)*VLOOKUP($D94,素材!$1:$1016,COLUMN($E$1),FALSE)/(LEN(VLOOKUP($D94,素材!$1:$1016,COLUMN($F$1),FALSE)) - LEN(SUBSTITUTE(VLOOKUP($D94,素材!$1:$1016,COLUMN($F$1),FALSE), "・", 0)) + 1), 0)</f>
        <v>0</v>
      </c>
      <c r="AJ94">
        <f>IF(ISNUMBER(SEARCH(SUBSTITUTE(AJ$1,RIGHT(AJ$1,2),""),VLOOKUP($D94,素材!$1:$1016,COLUMN($F$1),FALSE))),VLOOKUP($C94,武器!$1:$998,COLUMN($O$1),FALSE)*VLOOKUP($D94,素材!$1:$1016,COLUMN($E$1),FALSE)/(LEN(VLOOKUP($D94,素材!$1:$1016,COLUMN($F$1),FALSE)) - LEN(SUBSTITUTE(VLOOKUP($D94,素材!$1:$1016,COLUMN($F$1),FALSE), "・", 0)) + 1), 0)</f>
        <v>0</v>
      </c>
      <c r="AK94">
        <f>IF(ISNUMBER(SEARCH(SUBSTITUTE(AK$1,RIGHT(AK$1,2),""),VLOOKUP($D94,素材!$1:$1016,COLUMN($F$1),FALSE))),VLOOKUP($C94,武器!$1:$998,COLUMN($O$1),FALSE)*VLOOKUP($D94,素材!$1:$1016,COLUMN($E$1),FALSE)/(LEN(VLOOKUP($D94,素材!$1:$1016,COLUMN($F$1),FALSE)) - LEN(SUBSTITUTE(VLOOKUP($D94,素材!$1:$1016,COLUMN($F$1),FALSE), "・", 0)) + 1), 0)</f>
        <v>0</v>
      </c>
      <c r="AL94">
        <f>IF(ISNUMBER(SEARCH(SUBSTITUTE(AL$1,RIGHT(AL$1,2),""),VLOOKUP($D94,素材!$1:$1016,COLUMN($F$1),FALSE))),VLOOKUP($C94,武器!$1:$998,COLUMN($O$1),FALSE)*VLOOKUP($D94,素材!$1:$1016,COLUMN($E$1),FALSE)/(LEN(VLOOKUP($D94,素材!$1:$1016,COLUMN($F$1),FALSE)) - LEN(SUBSTITUTE(VLOOKUP($D94,素材!$1:$1016,COLUMN($F$1),FALSE), "・", 0)) + 1), 0)</f>
        <v>0</v>
      </c>
      <c r="AM94">
        <f>IF(ISNUMBER(SEARCH(SUBSTITUTE(AM$1,RIGHT(AM$1,2),""),VLOOKUP($D94,素材!$1:$1016,COLUMN($F$1),FALSE))),VLOOKUP($C94,武器!$1:$998,COLUMN($O$1),FALSE)*VLOOKUP($D94,素材!$1:$1016,COLUMN($E$1),FALSE)/(LEN(VLOOKUP($D94,素材!$1:$1016,COLUMN($F$1),FALSE)) - LEN(SUBSTITUTE(VLOOKUP($D94,素材!$1:$1016,COLUMN($F$1),FALSE), "・", 0)) + 1), 0)</f>
        <v>0</v>
      </c>
      <c r="AN94">
        <f>IF(ISNUMBER(SEARCH(SUBSTITUTE(AN$1,RIGHT(AN$1,2),""),VLOOKUP($D94,素材!$1:$1016,COLUMN($F$1),FALSE))),VLOOKUP($C94,武器!$1:$998,COLUMN($O$1),FALSE)*VLOOKUP($D94,素材!$1:$1016,COLUMN($E$1),FALSE)/(LEN(VLOOKUP($D94,素材!$1:$1016,COLUMN($F$1),FALSE)) - LEN(SUBSTITUTE(VLOOKUP($D94,素材!$1:$1016,COLUMN($F$1),FALSE), "・", 0)) + 1), 0)</f>
        <v>0</v>
      </c>
      <c r="AO94">
        <f>IF(ISNUMBER(SEARCH(SUBSTITUTE(AO$1,RIGHT(AO$1,2),""),VLOOKUP($D94,素材!$1:$1016,COLUMN($F$1),FALSE))),VLOOKUP($C94,武器!$1:$998,COLUMN($O$1),FALSE)*VLOOKUP($D94,素材!$1:$1016,COLUMN($E$1),FALSE)/(LEN(VLOOKUP($D94,素材!$1:$1016,COLUMN($F$1),FALSE)) - LEN(SUBSTITUTE(VLOOKUP($D94,素材!$1:$1016,COLUMN($F$1),FALSE), "・", 0)) + 1), 0)</f>
        <v>0</v>
      </c>
      <c r="AP94">
        <f>IF(ISNUMBER(SEARCH(SUBSTITUTE(AP$1,RIGHT(AP$1,2),""),VLOOKUP($D94,素材!$1:$1016,COLUMN($F$1),FALSE))),VLOOKUP($C94,武器!$1:$998,COLUMN($O$1),FALSE)*VLOOKUP($D94,素材!$1:$1016,COLUMN($E$1),FALSE)/(LEN(VLOOKUP($D94,素材!$1:$1016,COLUMN($F$1),FALSE)) - LEN(SUBSTITUTE(VLOOKUP($D94,素材!$1:$1016,COLUMN($F$1),FALSE), "・", 0)) + 1), 0)</f>
        <v>0</v>
      </c>
      <c r="AQ94">
        <f>IF(ISNUMBER(SEARCH(SUBSTITUTE(AQ$1,RIGHT(AQ$1,2),""),VLOOKUP($D94,素材!$1:$1016,COLUMN($F$1),FALSE))),VLOOKUP($C94,武器!$1:$998,COLUMN($O$1),FALSE)*VLOOKUP($D94,素材!$1:$1016,COLUMN($E$1),FALSE)/(LEN(VLOOKUP($D94,素材!$1:$1016,COLUMN($F$1),FALSE)) - LEN(SUBSTITUTE(VLOOKUP($D94,素材!$1:$1016,COLUMN($F$1),FALSE), "・", 0)) + 1), 0)</f>
        <v>0</v>
      </c>
      <c r="AR94">
        <f>IF(ISNUMBER(SEARCH(SUBSTITUTE(AR$1,RIGHT(AR$1,2),""),VLOOKUP($D94,素材!$1:$1016,COLUMN($F$1),FALSE))),VLOOKUP($C94,武器!$1:$998,COLUMN($O$1),FALSE)*VLOOKUP($D94,素材!$1:$1016,COLUMN($E$1),FALSE)/(LEN(VLOOKUP($D94,素材!$1:$1016,COLUMN($F$1),FALSE)) - LEN(SUBSTITUTE(VLOOKUP($D94,素材!$1:$1016,COLUMN($F$1),FALSE), "・", 0)) + 1), 0)</f>
        <v>0</v>
      </c>
      <c r="AS94">
        <f>IF(ISNUMBER(SEARCH(SUBSTITUTE(AS$1,RIGHT(AS$1,2),""),VLOOKUP($D94,素材!$1:$1016,COLUMN($F$1),FALSE))),VLOOKUP($C94,武器!$1:$998,COLUMN($O$1),FALSE)*VLOOKUP($D94,素材!$1:$1016,COLUMN($E$1),FALSE)/(LEN(VLOOKUP($D94,素材!$1:$1016,COLUMN($F$1),FALSE)) - LEN(SUBSTITUTE(VLOOKUP($D94,素材!$1:$1016,COLUMN($F$1),FALSE), "・", 0)) + 1), 0)</f>
        <v>0</v>
      </c>
      <c r="AT94">
        <f>IF(ISNUMBER(SEARCH(SUBSTITUTE(AT$1,RIGHT(AT$1,2),""),VLOOKUP($D94,素材!$1:$1016,COLUMN($F$1),FALSE))),VLOOKUP($C94,武器!$1:$998,COLUMN($O$1),FALSE)*VLOOKUP($D94,素材!$1:$1016,COLUMN($E$1),FALSE)/(LEN(VLOOKUP($D94,素材!$1:$1016,COLUMN($F$1),FALSE)) - LEN(SUBSTITUTE(VLOOKUP($D94,素材!$1:$1016,COLUMN($F$1),FALSE), "・", 0)) + 1), 0)</f>
        <v>0</v>
      </c>
      <c r="AU94">
        <f>IF(ISNUMBER(SEARCH(SUBSTITUTE(AU$1,RIGHT(AU$1,2),""),VLOOKUP($D94,素材!$1:$1016,COLUMN($F$1),FALSE))),VLOOKUP($C94,武器!$1:$998,COLUMN($O$1),FALSE)*VLOOKUP($D94,素材!$1:$1016,COLUMN($E$1),FALSE)/(LEN(VLOOKUP($D94,素材!$1:$1016,COLUMN($F$1),FALSE)) - LEN(SUBSTITUTE(VLOOKUP($D94,素材!$1:$1016,COLUMN($F$1),FALSE), "・", 0)) + 1), 0)</f>
        <v>0</v>
      </c>
      <c r="AV94">
        <f>IF(ISNUMBER(SEARCH(SUBSTITUTE(AV$1,RIGHT(AV$1,2),""),VLOOKUP($D94,素材!$1:$1016,COLUMN($F$1),FALSE))),VLOOKUP($C94,武器!$1:$998,COLUMN($O$1),FALSE)*VLOOKUP($D94,素材!$1:$1016,COLUMN($E$1),FALSE)/(LEN(VLOOKUP($D94,素材!$1:$1016,COLUMN($F$1),FALSE)) - LEN(SUBSTITUTE(VLOOKUP($D94,素材!$1:$1016,COLUMN($F$1),FALSE), "・", 0)) + 1), 0)</f>
        <v>0</v>
      </c>
      <c r="AW94">
        <f>IF(ISNUMBER(SEARCH(SUBSTITUTE(AW$1,RIGHT(AW$1,2),""),VLOOKUP($D94,素材!$1:$1016,COLUMN($F$1),FALSE))),VLOOKUP($C94,武器!$1:$998,COLUMN($O$1),FALSE)*VLOOKUP($D94,素材!$1:$1016,COLUMN($E$1),FALSE)/(LEN(VLOOKUP($D94,素材!$1:$1016,COLUMN($F$1),FALSE)) - LEN(SUBSTITUTE(VLOOKUP($D94,素材!$1:$1016,COLUMN($F$1),FALSE), "・", 0)) + 1), 0)</f>
        <v>0</v>
      </c>
      <c r="AX94">
        <f>IF(ISNUMBER(SEARCH(SUBSTITUTE(AX$1,RIGHT(AX$1,2),""),VLOOKUP($D94,素材!$1:$1016,COLUMN($F$1),FALSE))),VLOOKUP($C94,武器!$1:$998,COLUMN($O$1),FALSE)*VLOOKUP($D94,素材!$1:$1016,COLUMN($E$1),FALSE)/(LEN(VLOOKUP($D94,素材!$1:$1016,COLUMN($F$1),FALSE)) - LEN(SUBSTITUTE(VLOOKUP($D94,素材!$1:$1016,COLUMN($F$1),FALSE), "・", 0)) + 1), 0)</f>
        <v>0</v>
      </c>
      <c r="AY94">
        <f>IF(ISNUMBER(SEARCH(SUBSTITUTE(AY$1,RIGHT(AY$1,2),""),VLOOKUP($D94,素材!$1:$1016,COLUMN($F$1),FALSE))),VLOOKUP($C94,武器!$1:$998,COLUMN($O$1),FALSE)*VLOOKUP($D94,素材!$1:$1016,COLUMN($E$1),FALSE)/(LEN(VLOOKUP($D94,素材!$1:$1016,COLUMN($F$1),FALSE)) - LEN(SUBSTITUTE(VLOOKUP($D94,素材!$1:$1016,COLUMN($F$1),FALSE), "・", 0)) + 1), 0)</f>
        <v>0</v>
      </c>
      <c r="AZ94">
        <f>IF(ISNUMBER(SEARCH(SUBSTITUTE(AZ$1,RIGHT(AZ$1,2),""),VLOOKUP($D94,素材!$1:$1016,COLUMN($F$1),FALSE))),VLOOKUP($C94,武器!$1:$998,COLUMN($O$1),FALSE)*VLOOKUP($D94,素材!$1:$1016,COLUMN($E$1),FALSE)/(LEN(VLOOKUP($D94,素材!$1:$1016,COLUMN($F$1),FALSE)) - LEN(SUBSTITUTE(VLOOKUP($D94,素材!$1:$1016,COLUMN($F$1),FALSE), "・", 0)) + 1), 0)</f>
        <v>0</v>
      </c>
      <c r="BA94">
        <f>IF(ISNUMBER(SEARCH(SUBSTITUTE(BA$1,RIGHT(BA$1,2),""),VLOOKUP($D94,素材!$1:$1016,COLUMN($F$1),FALSE))),VLOOKUP($C94,武器!$1:$998,COLUMN($O$1),FALSE)*VLOOKUP($D94,素材!$1:$1016,COLUMN($E$1),FALSE)/(LEN(VLOOKUP($D94,素材!$1:$1016,COLUMN($F$1),FALSE)) - LEN(SUBSTITUTE(VLOOKUP($D94,素材!$1:$1016,COLUMN($F$1),FALSE), "・", 0)) + 1), 0)</f>
        <v>0</v>
      </c>
      <c r="BB94">
        <f>IF(ISNUMBER(SEARCH(SUBSTITUTE(BB$1,RIGHT(BB$1,2),""),VLOOKUP($D94,素材!$1:$1016,COLUMN($F$1),FALSE))),VLOOKUP($C94,武器!$1:$998,COLUMN($O$1),FALSE)*VLOOKUP($D94,素材!$1:$1016,COLUMN($E$1),FALSE)/(LEN(VLOOKUP($D94,素材!$1:$1016,COLUMN($F$1),FALSE)) - LEN(SUBSTITUTE(VLOOKUP($D94,素材!$1:$1016,COLUMN($F$1),FALSE), "・", 0)) + 1), 0)</f>
        <v>0</v>
      </c>
      <c r="BC94">
        <f>IF(ISNUMBER(SEARCH(SUBSTITUTE(BC$1,RIGHT(BC$1,2),""),VLOOKUP($D94,素材!$1:$1016,COLUMN($F$1),FALSE))),VLOOKUP($C94,武器!$1:$998,COLUMN($O$1),FALSE)*VLOOKUP($D94,素材!$1:$1016,COLUMN($E$1),FALSE)/(LEN(VLOOKUP($D94,素材!$1:$1016,COLUMN($F$1),FALSE)) - LEN(SUBSTITUTE(VLOOKUP($D94,素材!$1:$1016,COLUMN($F$1),FALSE), "・", 0)) + 1), 0)</f>
        <v>0</v>
      </c>
      <c r="BD94">
        <f>IF(ISNUMBER(SEARCH(SUBSTITUTE(BD$1,RIGHT(BD$1,2),""),VLOOKUP($D94,素材!$1:$1016,COLUMN($F$1),FALSE))),VLOOKUP($C94,武器!$1:$998,COLUMN($O$1),FALSE)*VLOOKUP($D94,素材!$1:$1016,COLUMN($E$1),FALSE)/(LEN(VLOOKUP($D94,素材!$1:$1016,COLUMN($F$1),FALSE)) - LEN(SUBSTITUTE(VLOOKUP($D94,素材!$1:$1016,COLUMN($F$1),FALSE), "・", 0)) + 1), 0)</f>
        <v>0</v>
      </c>
      <c r="BE94">
        <f>IF(ISNUMBER(SEARCH(SUBSTITUTE(BE$1,RIGHT(BE$1,2),""),VLOOKUP($D94,素材!$1:$1016,COLUMN($F$1),FALSE))),VLOOKUP($C94,武器!$1:$998,COLUMN($O$1),FALSE)*VLOOKUP($D94,素材!$1:$1016,COLUMN($E$1),FALSE)/(LEN(VLOOKUP($D94,素材!$1:$1016,COLUMN($F$1),FALSE)) - LEN(SUBSTITUTE(VLOOKUP($D94,素材!$1:$1016,COLUMN($F$1),FALSE), "・", 0)) + 1), 0)</f>
        <v>0</v>
      </c>
      <c r="CL94">
        <f>SUM(G94:I94)</f>
        <v>32</v>
      </c>
      <c r="CM94" s="22" t="str">
        <f>IF(E94="武器",IF(J94-1&gt;SUM(G94:I94),"盾",IF(MAX(G94:I94)=G94,"切断",IF(MAX(G94:I94)=H94,"貫通",IF(MAX(G94:I94)=I94,"打撃","射撃")))),E94)&amp;".webp"</f>
        <v>打撃.webp</v>
      </c>
      <c r="CN94">
        <f>IFERROR(VLOOKUP($C94,武器!$1:$998,COLUMN(V$1),FALSE)*VLOOKUP($D94,素材!$1:$1016,COLUMN(N$1),FALSE)+IF(CI94="",0,VLOOKUP($CI94,装強!$1:$1008,COLUMN($CK$1),FALSE)),"")</f>
        <v>1125</v>
      </c>
      <c r="CO94" t="str">
        <f>VLOOKUP(D94,素材!$A:$O,COLUMN(素材!O$1),FALSE)</f>
        <v>鍛えられた鉄。硬度が高く安価なためよく使用される。</v>
      </c>
      <c r="CP94" t="str">
        <f>VLOOKUP(C94,武器!$A:$W,COLUMN(武器!W$1),FALSE)</f>
        <v>戦鎚。重い打撃を与える強力な武器。</v>
      </c>
      <c r="CR94" t="str">
        <f t="shared" si="5"/>
        <v>e_94</v>
      </c>
      <c r="CS94">
        <f t="shared" si="6"/>
        <v>112500</v>
      </c>
    </row>
    <row r="95" spans="1:97" outlineLevel="1" x14ac:dyDescent="0.4">
      <c r="A95" t="str">
        <f t="shared" si="4"/>
        <v>鋼の鎌</v>
      </c>
      <c r="B95" t="str">
        <f>IFERROR(VLOOKUP($D95,素材!$1:$1016,COLUMN($B$1),FALSE)&amp;"・"&amp;VLOOKUP($C95,武器!$1:$998,COLUMN(B$1),FALSE),"")</f>
        <v>スチール・シックル</v>
      </c>
      <c r="C95" t="s">
        <v>225</v>
      </c>
      <c r="D95" s="24" t="s">
        <v>253</v>
      </c>
      <c r="E95" t="str">
        <f>IFERROR(VLOOKUP(C95,武器!$1:$998,COLUMN(C$1),FALSE),"")</f>
        <v>武器</v>
      </c>
      <c r="F95">
        <f>IFERROR(ROUNDDOWN((VLOOKUP($C95,武器!$1:$998,COLUMN(D$1),FALSE)+IFERROR(VLOOKUP($CI95,装強!$1:$999,COLUMN(F$1),FALSE),0))*VLOOKUP($D95,素材!$1:$1016,COLUMN(D$1),FALSE),0),"")</f>
        <v>131</v>
      </c>
      <c r="G95">
        <f>IFERROR(ROUNDDOWN((VLOOKUP($C95,武器!$1:$998,COLUMN(E$1),FALSE)+IFERROR(VLOOKUP($CI95,装強!$1:$999,COLUMN(G$1),FALSE),0))*VLOOKUP($D95,素材!$1:$1016,COLUMN($E$1),FALSE),0),"")</f>
        <v>12</v>
      </c>
      <c r="H95">
        <f>IFERROR(ROUNDDOWN((VLOOKUP($C95,武器!$1:$998,COLUMN(F$1),FALSE)+IFERROR(VLOOKUP($CI95,装強!$1:$999,COLUMN(H$1),FALSE),0))*VLOOKUP($D95,素材!$1:$1016,COLUMN($E$1),FALSE),0),"")</f>
        <v>14</v>
      </c>
      <c r="I95">
        <f>IFERROR(ROUNDDOWN((VLOOKUP($C95,武器!$1:$998,COLUMN(G$1),FALSE)+IFERROR(VLOOKUP($CI95,装強!$1:$999,COLUMN(I$1),FALSE),0))*VLOOKUP($D95,素材!$1:$1016,COLUMN($E$1),FALSE),0),"")</f>
        <v>1</v>
      </c>
      <c r="J95">
        <f>IFERROR(ROUNDDOWN((VLOOKUP($C95,武器!$1:$998,COLUMN(H$1),FALSE)+IFERROR(VLOOKUP($CI95,装強!$1:$999,COLUMN(J$1),FALSE),0))*VLOOKUP($D95,素材!$1:$1016,COLUMN($E$1),FALSE),0),"")</f>
        <v>22</v>
      </c>
      <c r="K95">
        <f>IFERROR(ROUNDDOWN((VLOOKUP($C95,武器!$1:$998,COLUMN(I$1),FALSE)+IFERROR(VLOOKUP($CI95,装強!$1:$999,COLUMN(K$1),FALSE),0))*VLOOKUP($D95,素材!$1:$1016,COLUMN($E$1),FALSE),0),"")</f>
        <v>0</v>
      </c>
      <c r="L95">
        <f>IFERROR(VLOOKUP($D95,素材!$1:$1016,COLUMN($F$1),FALSE),"")</f>
        <v>0</v>
      </c>
      <c r="M95">
        <f>IFERROR(VLOOKUP($C95,武器!$1:$998,COLUMN(AA$1),FALSE)*VLOOKUP($D95,素材!$1:$1016,COLUMN($G$1),FALSE),"")</f>
        <v>0</v>
      </c>
      <c r="N95">
        <f>IFERROR(VLOOKUP($C95,武器!$1:$998,COLUMN(I$1),FALSE),"")</f>
        <v>0</v>
      </c>
      <c r="O95" s="23">
        <f>IFERROR((VLOOKUP($C95,武器!$1:$998,COLUMN(K$1),FALSE)+VLOOKUP($D95,素材!$1:$1016,COLUMN(H$1),FALSE))*100+IFERROR(VLOOKUP($CI95,装強!$1:$999,COLUMN(O$1),FALSE),0),"")</f>
        <v>5</v>
      </c>
      <c r="P95" s="23">
        <f>IFERROR((VLOOKUP($C95,武器!$1:$998,COLUMN(L$1),FALSE)+VLOOKUP($D95,素材!$1:$1016,COLUMN(I$1),FALSE))*100+IFERROR(VLOOKUP($CI95,装強!$1:$999,COLUMN(P$1),FALSE),0),"")</f>
        <v>200</v>
      </c>
      <c r="Q95">
        <f>IFERROR(ROUNDUP(VLOOKUP($C95,武器!$1:$998,COLUMN(M$1),FALSE)*(VLOOKUP($D95,素材!$1:$1002,COLUMN(D$1),FALSE)/100),1),"")</f>
        <v>0</v>
      </c>
      <c r="R95">
        <f>IFERROR(ROUNDUP(VLOOKUP($C95,武器!$1:$998,COLUMN(N$1),FALSE)*(VLOOKUP($D95,素材!$1:$1002,COLUMN(D$1),FALSE)/100),1),"")</f>
        <v>0</v>
      </c>
      <c r="S95">
        <f>IFERROR(VLOOKUP($C95,武器!$1:$998,COLUMN(P$1),FALSE),"")</f>
        <v>0</v>
      </c>
      <c r="T95">
        <f>IFERROR(VLOOKUP($C95,武器!$1:$998,COLUMN(Q$1),FALSE),"")</f>
        <v>0</v>
      </c>
      <c r="U95">
        <f>IFERROR(VLOOKUP($C95,武器!$1:$998,COLUMN(R$1),FALSE),"")</f>
        <v>0</v>
      </c>
      <c r="V95">
        <f>IFERROR(VLOOKUP($C95,武器!$1:$998,COLUMN(Q$1),FALSE),"")</f>
        <v>0</v>
      </c>
      <c r="W95" t="str">
        <f>IFERROR(VLOOKUP($C95,武器!$1:$998,COLUMN(T$1),FALSE),"")</f>
        <v>A</v>
      </c>
      <c r="Y95" t="str">
        <f>IFERROR(VLOOKUP($C95,武器!$1:$998,COLUMN(U$1),FALSE),"")</f>
        <v>投擲強化、片手適性Ⅰ</v>
      </c>
      <c r="Z95">
        <f>IFERROR(ROUNDUP(VLOOKUP($C95,武器!$1:$998,COLUMN(O$1),FALSE)*VLOOKUP($D95,素材!$1:$1016,COLUMN(E$1),FALSE),1),"")</f>
        <v>0</v>
      </c>
      <c r="AA95">
        <f>IF(ISNUMBER(SEARCH(SUBSTITUTE(AA$1,RIGHT(AA$1,2),""),VLOOKUP($D95,素材!$1:$1016,COLUMN($F$1),FALSE))),VLOOKUP($C95,武器!$1:$998,COLUMN($O$1),FALSE)*VLOOKUP($D95,素材!$1:$1016,COLUMN($E$1),FALSE)/(LEN(VLOOKUP($D95,素材!$1:$1016,COLUMN($F$1),FALSE)) - LEN(SUBSTITUTE(VLOOKUP($D95,素材!$1:$1016,COLUMN($F$1),FALSE), "・", 0)) + 1), 0)</f>
        <v>0</v>
      </c>
      <c r="AB95">
        <f>IF(ISNUMBER(SEARCH(SUBSTITUTE(AB$1,RIGHT(AB$1,2),""),VLOOKUP($D95,素材!$1:$1016,COLUMN($F$1),FALSE))),VLOOKUP($C95,武器!$1:$998,COLUMN($O$1),FALSE)*VLOOKUP($D95,素材!$1:$1016,COLUMN($E$1),FALSE)/(LEN(VLOOKUP($D95,素材!$1:$1016,COLUMN($F$1),FALSE)) - LEN(SUBSTITUTE(VLOOKUP($D95,素材!$1:$1016,COLUMN($F$1),FALSE), "・", 0)) + 1), 0)</f>
        <v>0</v>
      </c>
      <c r="AC95">
        <f>IF(ISNUMBER(SEARCH(SUBSTITUTE(AC$1,RIGHT(AC$1,2),""),VLOOKUP($D95,素材!$1:$1016,COLUMN($F$1),FALSE))),VLOOKUP($C95,武器!$1:$998,COLUMN($O$1),FALSE)*VLOOKUP($D95,素材!$1:$1016,COLUMN($E$1),FALSE)/(LEN(VLOOKUP($D95,素材!$1:$1016,COLUMN($F$1),FALSE)) - LEN(SUBSTITUTE(VLOOKUP($D95,素材!$1:$1016,COLUMN($F$1),FALSE), "・", 0)) + 1), 0)</f>
        <v>0</v>
      </c>
      <c r="AD95">
        <f>IF(ISNUMBER(SEARCH(SUBSTITUTE(AD$1,RIGHT(AD$1,2),""),VLOOKUP($D95,素材!$1:$1016,COLUMN($F$1),FALSE))),VLOOKUP($C95,武器!$1:$998,COLUMN($O$1),FALSE)*VLOOKUP($D95,素材!$1:$1016,COLUMN($E$1),FALSE)/(LEN(VLOOKUP($D95,素材!$1:$1016,COLUMN($F$1),FALSE)) - LEN(SUBSTITUTE(VLOOKUP($D95,素材!$1:$1016,COLUMN($F$1),FALSE), "・", 0)) + 1), 0)</f>
        <v>0</v>
      </c>
      <c r="AE95">
        <f>IF(ISNUMBER(SEARCH(SUBSTITUTE(AE$1,RIGHT(AE$1,2),""),VLOOKUP($D95,素材!$1:$1016,COLUMN($F$1),FALSE))),VLOOKUP($C95,武器!$1:$998,COLUMN($O$1),FALSE)*VLOOKUP($D95,素材!$1:$1016,COLUMN($E$1),FALSE)/(LEN(VLOOKUP($D95,素材!$1:$1016,COLUMN($F$1),FALSE)) - LEN(SUBSTITUTE(VLOOKUP($D95,素材!$1:$1016,COLUMN($F$1),FALSE), "・", 0)) + 1), 0)</f>
        <v>0</v>
      </c>
      <c r="AF95">
        <f>IF(ISNUMBER(SEARCH(SUBSTITUTE(AF$1,RIGHT(AF$1,2),""),VLOOKUP($D95,素材!$1:$1016,COLUMN($F$1),FALSE))),VLOOKUP($C95,武器!$1:$998,COLUMN($O$1),FALSE)*VLOOKUP($D95,素材!$1:$1016,COLUMN($E$1),FALSE)/(LEN(VLOOKUP($D95,素材!$1:$1016,COLUMN($F$1),FALSE)) - LEN(SUBSTITUTE(VLOOKUP($D95,素材!$1:$1016,COLUMN($F$1),FALSE), "・", 0)) + 1), 0)</f>
        <v>0</v>
      </c>
      <c r="AG95">
        <f>IF(ISNUMBER(SEARCH(SUBSTITUTE(AG$1,RIGHT(AG$1,2),""),VLOOKUP($D95,素材!$1:$1016,COLUMN($F$1),FALSE))),VLOOKUP($C95,武器!$1:$998,COLUMN($O$1),FALSE)*VLOOKUP($D95,素材!$1:$1016,COLUMN($E$1),FALSE)/(LEN(VLOOKUP($D95,素材!$1:$1016,COLUMN($F$1),FALSE)) - LEN(SUBSTITUTE(VLOOKUP($D95,素材!$1:$1016,COLUMN($F$1),FALSE), "・", 0)) + 1), 0)</f>
        <v>0</v>
      </c>
      <c r="AH95">
        <f>IF(ISNUMBER(SEARCH(SUBSTITUTE(AH$1,RIGHT(AH$1,2),""),VLOOKUP($D95,素材!$1:$1016,COLUMN($F$1),FALSE))),VLOOKUP($C95,武器!$1:$998,COLUMN($O$1),FALSE)*VLOOKUP($D95,素材!$1:$1016,COLUMN($E$1),FALSE)/(LEN(VLOOKUP($D95,素材!$1:$1016,COLUMN($F$1),FALSE)) - LEN(SUBSTITUTE(VLOOKUP($D95,素材!$1:$1016,COLUMN($F$1),FALSE), "・", 0)) + 1), 0)</f>
        <v>0</v>
      </c>
      <c r="AI95">
        <f>IF(ISNUMBER(SEARCH(SUBSTITUTE(AI$1,RIGHT(AI$1,2),""),VLOOKUP($D95,素材!$1:$1016,COLUMN($F$1),FALSE))),VLOOKUP($C95,武器!$1:$998,COLUMN($O$1),FALSE)*VLOOKUP($D95,素材!$1:$1016,COLUMN($E$1),FALSE)/(LEN(VLOOKUP($D95,素材!$1:$1016,COLUMN($F$1),FALSE)) - LEN(SUBSTITUTE(VLOOKUP($D95,素材!$1:$1016,COLUMN($F$1),FALSE), "・", 0)) + 1), 0)</f>
        <v>0</v>
      </c>
      <c r="AJ95">
        <f>IF(ISNUMBER(SEARCH(SUBSTITUTE(AJ$1,RIGHT(AJ$1,2),""),VLOOKUP($D95,素材!$1:$1016,COLUMN($F$1),FALSE))),VLOOKUP($C95,武器!$1:$998,COLUMN($O$1),FALSE)*VLOOKUP($D95,素材!$1:$1016,COLUMN($E$1),FALSE)/(LEN(VLOOKUP($D95,素材!$1:$1016,COLUMN($F$1),FALSE)) - LEN(SUBSTITUTE(VLOOKUP($D95,素材!$1:$1016,COLUMN($F$1),FALSE), "・", 0)) + 1), 0)</f>
        <v>0</v>
      </c>
      <c r="AK95">
        <f>IF(ISNUMBER(SEARCH(SUBSTITUTE(AK$1,RIGHT(AK$1,2),""),VLOOKUP($D95,素材!$1:$1016,COLUMN($F$1),FALSE))),VLOOKUP($C95,武器!$1:$998,COLUMN($O$1),FALSE)*VLOOKUP($D95,素材!$1:$1016,COLUMN($E$1),FALSE)/(LEN(VLOOKUP($D95,素材!$1:$1016,COLUMN($F$1),FALSE)) - LEN(SUBSTITUTE(VLOOKUP($D95,素材!$1:$1016,COLUMN($F$1),FALSE), "・", 0)) + 1), 0)</f>
        <v>0</v>
      </c>
      <c r="AL95">
        <f>IF(ISNUMBER(SEARCH(SUBSTITUTE(AL$1,RIGHT(AL$1,2),""),VLOOKUP($D95,素材!$1:$1016,COLUMN($F$1),FALSE))),VLOOKUP($C95,武器!$1:$998,COLUMN($O$1),FALSE)*VLOOKUP($D95,素材!$1:$1016,COLUMN($E$1),FALSE)/(LEN(VLOOKUP($D95,素材!$1:$1016,COLUMN($F$1),FALSE)) - LEN(SUBSTITUTE(VLOOKUP($D95,素材!$1:$1016,COLUMN($F$1),FALSE), "・", 0)) + 1), 0)</f>
        <v>0</v>
      </c>
      <c r="AM95">
        <f>IF(ISNUMBER(SEARCH(SUBSTITUTE(AM$1,RIGHT(AM$1,2),""),VLOOKUP($D95,素材!$1:$1016,COLUMN($F$1),FALSE))),VLOOKUP($C95,武器!$1:$998,COLUMN($O$1),FALSE)*VLOOKUP($D95,素材!$1:$1016,COLUMN($E$1),FALSE)/(LEN(VLOOKUP($D95,素材!$1:$1016,COLUMN($F$1),FALSE)) - LEN(SUBSTITUTE(VLOOKUP($D95,素材!$1:$1016,COLUMN($F$1),FALSE), "・", 0)) + 1), 0)</f>
        <v>0</v>
      </c>
      <c r="AN95">
        <f>IF(ISNUMBER(SEARCH(SUBSTITUTE(AN$1,RIGHT(AN$1,2),""),VLOOKUP($D95,素材!$1:$1016,COLUMN($F$1),FALSE))),VLOOKUP($C95,武器!$1:$998,COLUMN($O$1),FALSE)*VLOOKUP($D95,素材!$1:$1016,COLUMN($E$1),FALSE)/(LEN(VLOOKUP($D95,素材!$1:$1016,COLUMN($F$1),FALSE)) - LEN(SUBSTITUTE(VLOOKUP($D95,素材!$1:$1016,COLUMN($F$1),FALSE), "・", 0)) + 1), 0)</f>
        <v>0</v>
      </c>
      <c r="AO95">
        <f>IF(ISNUMBER(SEARCH(SUBSTITUTE(AO$1,RIGHT(AO$1,2),""),VLOOKUP($D95,素材!$1:$1016,COLUMN($F$1),FALSE))),VLOOKUP($C95,武器!$1:$998,COLUMN($O$1),FALSE)*VLOOKUP($D95,素材!$1:$1016,COLUMN($E$1),FALSE)/(LEN(VLOOKUP($D95,素材!$1:$1016,COLUMN($F$1),FALSE)) - LEN(SUBSTITUTE(VLOOKUP($D95,素材!$1:$1016,COLUMN($F$1),FALSE), "・", 0)) + 1), 0)</f>
        <v>0</v>
      </c>
      <c r="AP95">
        <f>IF(ISNUMBER(SEARCH(SUBSTITUTE(AP$1,RIGHT(AP$1,2),""),VLOOKUP($D95,素材!$1:$1016,COLUMN($F$1),FALSE))),VLOOKUP($C95,武器!$1:$998,COLUMN($O$1),FALSE)*VLOOKUP($D95,素材!$1:$1016,COLUMN($E$1),FALSE)/(LEN(VLOOKUP($D95,素材!$1:$1016,COLUMN($F$1),FALSE)) - LEN(SUBSTITUTE(VLOOKUP($D95,素材!$1:$1016,COLUMN($F$1),FALSE), "・", 0)) + 1), 0)</f>
        <v>0</v>
      </c>
      <c r="AQ95">
        <f>IF(ISNUMBER(SEARCH(SUBSTITUTE(AQ$1,RIGHT(AQ$1,2),""),VLOOKUP($D95,素材!$1:$1016,COLUMN($F$1),FALSE))),VLOOKUP($C95,武器!$1:$998,COLUMN($O$1),FALSE)*VLOOKUP($D95,素材!$1:$1016,COLUMN($E$1),FALSE)/(LEN(VLOOKUP($D95,素材!$1:$1016,COLUMN($F$1),FALSE)) - LEN(SUBSTITUTE(VLOOKUP($D95,素材!$1:$1016,COLUMN($F$1),FALSE), "・", 0)) + 1), 0)</f>
        <v>0</v>
      </c>
      <c r="AR95">
        <f>IF(ISNUMBER(SEARCH(SUBSTITUTE(AR$1,RIGHT(AR$1,2),""),VLOOKUP($D95,素材!$1:$1016,COLUMN($F$1),FALSE))),VLOOKUP($C95,武器!$1:$998,COLUMN($O$1),FALSE)*VLOOKUP($D95,素材!$1:$1016,COLUMN($E$1),FALSE)/(LEN(VLOOKUP($D95,素材!$1:$1016,COLUMN($F$1),FALSE)) - LEN(SUBSTITUTE(VLOOKUP($D95,素材!$1:$1016,COLUMN($F$1),FALSE), "・", 0)) + 1), 0)</f>
        <v>0</v>
      </c>
      <c r="AS95">
        <f>IF(ISNUMBER(SEARCH(SUBSTITUTE(AS$1,RIGHT(AS$1,2),""),VLOOKUP($D95,素材!$1:$1016,COLUMN($F$1),FALSE))),VLOOKUP($C95,武器!$1:$998,COLUMN($O$1),FALSE)*VLOOKUP($D95,素材!$1:$1016,COLUMN($E$1),FALSE)/(LEN(VLOOKUP($D95,素材!$1:$1016,COLUMN($F$1),FALSE)) - LEN(SUBSTITUTE(VLOOKUP($D95,素材!$1:$1016,COLUMN($F$1),FALSE), "・", 0)) + 1), 0)</f>
        <v>0</v>
      </c>
      <c r="AT95">
        <f>IF(ISNUMBER(SEARCH(SUBSTITUTE(AT$1,RIGHT(AT$1,2),""),VLOOKUP($D95,素材!$1:$1016,COLUMN($F$1),FALSE))),VLOOKUP($C95,武器!$1:$998,COLUMN($O$1),FALSE)*VLOOKUP($D95,素材!$1:$1016,COLUMN($E$1),FALSE)/(LEN(VLOOKUP($D95,素材!$1:$1016,COLUMN($F$1),FALSE)) - LEN(SUBSTITUTE(VLOOKUP($D95,素材!$1:$1016,COLUMN($F$1),FALSE), "・", 0)) + 1), 0)</f>
        <v>0</v>
      </c>
      <c r="AU95">
        <f>IF(ISNUMBER(SEARCH(SUBSTITUTE(AU$1,RIGHT(AU$1,2),""),VLOOKUP($D95,素材!$1:$1016,COLUMN($F$1),FALSE))),VLOOKUP($C95,武器!$1:$998,COLUMN($O$1),FALSE)*VLOOKUP($D95,素材!$1:$1016,COLUMN($E$1),FALSE)/(LEN(VLOOKUP($D95,素材!$1:$1016,COLUMN($F$1),FALSE)) - LEN(SUBSTITUTE(VLOOKUP($D95,素材!$1:$1016,COLUMN($F$1),FALSE), "・", 0)) + 1), 0)</f>
        <v>0</v>
      </c>
      <c r="AV95">
        <f>IF(ISNUMBER(SEARCH(SUBSTITUTE(AV$1,RIGHT(AV$1,2),""),VLOOKUP($D95,素材!$1:$1016,COLUMN($F$1),FALSE))),VLOOKUP($C95,武器!$1:$998,COLUMN($O$1),FALSE)*VLOOKUP($D95,素材!$1:$1016,COLUMN($E$1),FALSE)/(LEN(VLOOKUP($D95,素材!$1:$1016,COLUMN($F$1),FALSE)) - LEN(SUBSTITUTE(VLOOKUP($D95,素材!$1:$1016,COLUMN($F$1),FALSE), "・", 0)) + 1), 0)</f>
        <v>0</v>
      </c>
      <c r="AW95">
        <f>IF(ISNUMBER(SEARCH(SUBSTITUTE(AW$1,RIGHT(AW$1,2),""),VLOOKUP($D95,素材!$1:$1016,COLUMN($F$1),FALSE))),VLOOKUP($C95,武器!$1:$998,COLUMN($O$1),FALSE)*VLOOKUP($D95,素材!$1:$1016,COLUMN($E$1),FALSE)/(LEN(VLOOKUP($D95,素材!$1:$1016,COLUMN($F$1),FALSE)) - LEN(SUBSTITUTE(VLOOKUP($D95,素材!$1:$1016,COLUMN($F$1),FALSE), "・", 0)) + 1), 0)</f>
        <v>0</v>
      </c>
      <c r="AX95">
        <f>IF(ISNUMBER(SEARCH(SUBSTITUTE(AX$1,RIGHT(AX$1,2),""),VLOOKUP($D95,素材!$1:$1016,COLUMN($F$1),FALSE))),VLOOKUP($C95,武器!$1:$998,COLUMN($O$1),FALSE)*VLOOKUP($D95,素材!$1:$1016,COLUMN($E$1),FALSE)/(LEN(VLOOKUP($D95,素材!$1:$1016,COLUMN($F$1),FALSE)) - LEN(SUBSTITUTE(VLOOKUP($D95,素材!$1:$1016,COLUMN($F$1),FALSE), "・", 0)) + 1), 0)</f>
        <v>0</v>
      </c>
      <c r="AY95">
        <f>IF(ISNUMBER(SEARCH(SUBSTITUTE(AY$1,RIGHT(AY$1,2),""),VLOOKUP($D95,素材!$1:$1016,COLUMN($F$1),FALSE))),VLOOKUP($C95,武器!$1:$998,COLUMN($O$1),FALSE)*VLOOKUP($D95,素材!$1:$1016,COLUMN($E$1),FALSE)/(LEN(VLOOKUP($D95,素材!$1:$1016,COLUMN($F$1),FALSE)) - LEN(SUBSTITUTE(VLOOKUP($D95,素材!$1:$1016,COLUMN($F$1),FALSE), "・", 0)) + 1), 0)</f>
        <v>0</v>
      </c>
      <c r="AZ95">
        <f>IF(ISNUMBER(SEARCH(SUBSTITUTE(AZ$1,RIGHT(AZ$1,2),""),VLOOKUP($D95,素材!$1:$1016,COLUMN($F$1),FALSE))),VLOOKUP($C95,武器!$1:$998,COLUMN($O$1),FALSE)*VLOOKUP($D95,素材!$1:$1016,COLUMN($E$1),FALSE)/(LEN(VLOOKUP($D95,素材!$1:$1016,COLUMN($F$1),FALSE)) - LEN(SUBSTITUTE(VLOOKUP($D95,素材!$1:$1016,COLUMN($F$1),FALSE), "・", 0)) + 1), 0)</f>
        <v>0</v>
      </c>
      <c r="BA95">
        <f>IF(ISNUMBER(SEARCH(SUBSTITUTE(BA$1,RIGHT(BA$1,2),""),VLOOKUP($D95,素材!$1:$1016,COLUMN($F$1),FALSE))),VLOOKUP($C95,武器!$1:$998,COLUMN($O$1),FALSE)*VLOOKUP($D95,素材!$1:$1016,COLUMN($E$1),FALSE)/(LEN(VLOOKUP($D95,素材!$1:$1016,COLUMN($F$1),FALSE)) - LEN(SUBSTITUTE(VLOOKUP($D95,素材!$1:$1016,COLUMN($F$1),FALSE), "・", 0)) + 1), 0)</f>
        <v>0</v>
      </c>
      <c r="BB95">
        <f>IF(ISNUMBER(SEARCH(SUBSTITUTE(BB$1,RIGHT(BB$1,2),""),VLOOKUP($D95,素材!$1:$1016,COLUMN($F$1),FALSE))),VLOOKUP($C95,武器!$1:$998,COLUMN($O$1),FALSE)*VLOOKUP($D95,素材!$1:$1016,COLUMN($E$1),FALSE)/(LEN(VLOOKUP($D95,素材!$1:$1016,COLUMN($F$1),FALSE)) - LEN(SUBSTITUTE(VLOOKUP($D95,素材!$1:$1016,COLUMN($F$1),FALSE), "・", 0)) + 1), 0)</f>
        <v>0</v>
      </c>
      <c r="BC95">
        <f>IF(ISNUMBER(SEARCH(SUBSTITUTE(BC$1,RIGHT(BC$1,2),""),VLOOKUP($D95,素材!$1:$1016,COLUMN($F$1),FALSE))),VLOOKUP($C95,武器!$1:$998,COLUMN($O$1),FALSE)*VLOOKUP($D95,素材!$1:$1016,COLUMN($E$1),FALSE)/(LEN(VLOOKUP($D95,素材!$1:$1016,COLUMN($F$1),FALSE)) - LEN(SUBSTITUTE(VLOOKUP($D95,素材!$1:$1016,COLUMN($F$1),FALSE), "・", 0)) + 1), 0)</f>
        <v>0</v>
      </c>
      <c r="BD95">
        <f>IF(ISNUMBER(SEARCH(SUBSTITUTE(BD$1,RIGHT(BD$1,2),""),VLOOKUP($D95,素材!$1:$1016,COLUMN($F$1),FALSE))),VLOOKUP($C95,武器!$1:$998,COLUMN($O$1),FALSE)*VLOOKUP($D95,素材!$1:$1016,COLUMN($E$1),FALSE)/(LEN(VLOOKUP($D95,素材!$1:$1016,COLUMN($F$1),FALSE)) - LEN(SUBSTITUTE(VLOOKUP($D95,素材!$1:$1016,COLUMN($F$1),FALSE), "・", 0)) + 1), 0)</f>
        <v>0</v>
      </c>
      <c r="BE95">
        <f>IF(ISNUMBER(SEARCH(SUBSTITUTE(BE$1,RIGHT(BE$1,2),""),VLOOKUP($D95,素材!$1:$1016,COLUMN($F$1),FALSE))),VLOOKUP($C95,武器!$1:$998,COLUMN($O$1),FALSE)*VLOOKUP($D95,素材!$1:$1016,COLUMN($E$1),FALSE)/(LEN(VLOOKUP($D95,素材!$1:$1016,COLUMN($F$1),FALSE)) - LEN(SUBSTITUTE(VLOOKUP($D95,素材!$1:$1016,COLUMN($F$1),FALSE), "・", 0)) + 1), 0)</f>
        <v>0</v>
      </c>
      <c r="CL95">
        <f>SUM(G95:I95)</f>
        <v>27</v>
      </c>
      <c r="CM95" s="22" t="str">
        <f>IF(E95="武器",IF(J95-1&gt;SUM(G95:I95),"盾",IF(MAX(G95:I95)=G95,"切断",IF(MAX(G95:I95)=H95,"貫通",IF(MAX(G95:I95)=I95,"打撃","射撃")))),E95)&amp;".webp"</f>
        <v>貫通.webp</v>
      </c>
      <c r="CN95">
        <f>IFERROR(VLOOKUP($C95,武器!$1:$998,COLUMN(V$1),FALSE)*VLOOKUP($D95,素材!$1:$1016,COLUMN(N$1),FALSE)+IF(CI95="",0,VLOOKUP($CI95,装強!$1:$1008,COLUMN($CK$1),FALSE)),"")</f>
        <v>900</v>
      </c>
      <c r="CO95" t="str">
        <f>VLOOKUP(D95,素材!$A:$O,COLUMN(素材!O$1),FALSE)</f>
        <v>鍛えられた鉄。硬度が高く安価なためよく使用される。</v>
      </c>
      <c r="CP95" t="str">
        <f>VLOOKUP(C95,武器!$A:$W,COLUMN(武器!W$1),FALSE)</f>
        <v>鎌。農具を転用した武器で、鋭い斬撃を与える。</v>
      </c>
      <c r="CR95" t="str">
        <f t="shared" si="5"/>
        <v>e_95</v>
      </c>
      <c r="CS95">
        <f t="shared" si="6"/>
        <v>90000</v>
      </c>
    </row>
    <row r="96" spans="1:97" outlineLevel="1" x14ac:dyDescent="0.4">
      <c r="A96" t="str">
        <f t="shared" si="4"/>
        <v>鋼の戦斧</v>
      </c>
      <c r="B96" t="str">
        <f>IFERROR(VLOOKUP($D96,素材!$1:$1016,COLUMN($B$1),FALSE)&amp;"・"&amp;VLOOKUP($C96,武器!$1:$998,COLUMN(B$1),FALSE),"")</f>
        <v>スチール・バトルアックス</v>
      </c>
      <c r="C96" t="s">
        <v>224</v>
      </c>
      <c r="D96" s="24" t="s">
        <v>253</v>
      </c>
      <c r="E96" t="str">
        <f>IFERROR(VLOOKUP(C96,武器!$1:$998,COLUMN(C$1),FALSE),"")</f>
        <v>武器</v>
      </c>
      <c r="F96">
        <f>IFERROR(ROUNDDOWN((VLOOKUP($C96,武器!$1:$998,COLUMN(D$1),FALSE)+IFERROR(VLOOKUP($CI96,装強!$1:$999,COLUMN(F$1),FALSE),0))*VLOOKUP($D96,素材!$1:$1016,COLUMN(D$1),FALSE),0),"")</f>
        <v>120</v>
      </c>
      <c r="G96">
        <f>IFERROR(ROUNDDOWN((VLOOKUP($C96,武器!$1:$998,COLUMN(E$1),FALSE)+IFERROR(VLOOKUP($CI96,装強!$1:$999,COLUMN(G$1),FALSE),0))*VLOOKUP($D96,素材!$1:$1016,COLUMN($E$1),FALSE),0),"")</f>
        <v>25</v>
      </c>
      <c r="H96">
        <f>IFERROR(ROUNDDOWN((VLOOKUP($C96,武器!$1:$998,COLUMN(F$1),FALSE)+IFERROR(VLOOKUP($CI96,装強!$1:$999,COLUMN(H$1),FALSE),0))*VLOOKUP($D96,素材!$1:$1016,COLUMN($E$1),FALSE),0),"")</f>
        <v>0</v>
      </c>
      <c r="I96">
        <f>IFERROR(ROUNDDOWN((VLOOKUP($C96,武器!$1:$998,COLUMN(G$1),FALSE)+IFERROR(VLOOKUP($CI96,装強!$1:$999,COLUMN(I$1),FALSE),0))*VLOOKUP($D96,素材!$1:$1016,COLUMN($E$1),FALSE),0),"")</f>
        <v>8</v>
      </c>
      <c r="J96">
        <f>IFERROR(ROUNDDOWN((VLOOKUP($C96,武器!$1:$998,COLUMN(H$1),FALSE)+IFERROR(VLOOKUP($CI96,装強!$1:$999,COLUMN(J$1),FALSE),0))*VLOOKUP($D96,素材!$1:$1016,COLUMN($E$1),FALSE),0),"")</f>
        <v>27</v>
      </c>
      <c r="K96">
        <f>IFERROR(ROUNDDOWN((VLOOKUP($C96,武器!$1:$998,COLUMN(I$1),FALSE)+IFERROR(VLOOKUP($CI96,装強!$1:$999,COLUMN(K$1),FALSE),0))*VLOOKUP($D96,素材!$1:$1016,COLUMN($E$1),FALSE),0),"")</f>
        <v>0</v>
      </c>
      <c r="L96">
        <f>IFERROR(VLOOKUP($D96,素材!$1:$1016,COLUMN($F$1),FALSE),"")</f>
        <v>0</v>
      </c>
      <c r="M96">
        <f>IFERROR(VLOOKUP($C96,武器!$1:$998,COLUMN(AA$1),FALSE)*VLOOKUP($D96,素材!$1:$1016,COLUMN($G$1),FALSE),"")</f>
        <v>0</v>
      </c>
      <c r="N96">
        <f>IFERROR(VLOOKUP($C96,武器!$1:$998,COLUMN(I$1),FALSE),"")</f>
        <v>0</v>
      </c>
      <c r="O96" s="23">
        <f>IFERROR((VLOOKUP($C96,武器!$1:$998,COLUMN(K$1),FALSE)+VLOOKUP($D96,素材!$1:$1016,COLUMN(H$1),FALSE))*100+IFERROR(VLOOKUP($CI96,装強!$1:$999,COLUMN(O$1),FALSE),0),"")</f>
        <v>5</v>
      </c>
      <c r="P96" s="23">
        <f>IFERROR((VLOOKUP($C96,武器!$1:$998,COLUMN(L$1),FALSE)+VLOOKUP($D96,素材!$1:$1016,COLUMN(I$1),FALSE))*100+IFERROR(VLOOKUP($CI96,装強!$1:$999,COLUMN(P$1),FALSE),0),"")</f>
        <v>175</v>
      </c>
      <c r="Q96">
        <f>IFERROR(ROUNDUP(VLOOKUP($C96,武器!$1:$998,COLUMN(M$1),FALSE)*(VLOOKUP($D96,素材!$1:$1002,COLUMN(D$1),FALSE)/100),1),"")</f>
        <v>-2.7</v>
      </c>
      <c r="R96">
        <f>IFERROR(ROUNDUP(VLOOKUP($C96,武器!$1:$998,COLUMN(N$1),FALSE)*(VLOOKUP($D96,素材!$1:$1002,COLUMN(D$1),FALSE)/100),1),"")</f>
        <v>0</v>
      </c>
      <c r="S96">
        <f>IFERROR(VLOOKUP($C96,武器!$1:$998,COLUMN(P$1),FALSE),"")</f>
        <v>0</v>
      </c>
      <c r="T96">
        <f>IFERROR(VLOOKUP($C96,武器!$1:$998,COLUMN(Q$1),FALSE),"")</f>
        <v>0</v>
      </c>
      <c r="U96">
        <f>IFERROR(VLOOKUP($C96,武器!$1:$998,COLUMN(R$1),FALSE),"")</f>
        <v>0</v>
      </c>
      <c r="V96">
        <f>IFERROR(VLOOKUP($C96,武器!$1:$998,COLUMN(Q$1),FALSE),"")</f>
        <v>0</v>
      </c>
      <c r="W96" t="str">
        <f>IFERROR(VLOOKUP($C96,武器!$1:$998,COLUMN(T$1),FALSE),"")</f>
        <v>A</v>
      </c>
      <c r="Y96">
        <f>IFERROR(VLOOKUP($C96,武器!$1:$998,COLUMN(U$1),FALSE),"")</f>
        <v>0</v>
      </c>
      <c r="Z96">
        <f>IFERROR(ROUNDUP(VLOOKUP($C96,武器!$1:$998,COLUMN(O$1),FALSE)*VLOOKUP($D96,素材!$1:$1016,COLUMN(E$1),FALSE),1),"")</f>
        <v>0</v>
      </c>
      <c r="AA96">
        <f>IF(ISNUMBER(SEARCH(SUBSTITUTE(AA$1,RIGHT(AA$1,2),""),VLOOKUP($D96,素材!$1:$1016,COLUMN($F$1),FALSE))),VLOOKUP($C96,武器!$1:$998,COLUMN($O$1),FALSE)*VLOOKUP($D96,素材!$1:$1016,COLUMN($E$1),FALSE)/(LEN(VLOOKUP($D96,素材!$1:$1016,COLUMN($F$1),FALSE)) - LEN(SUBSTITUTE(VLOOKUP($D96,素材!$1:$1016,COLUMN($F$1),FALSE), "・", 0)) + 1), 0)</f>
        <v>0</v>
      </c>
      <c r="AB96">
        <f>IF(ISNUMBER(SEARCH(SUBSTITUTE(AB$1,RIGHT(AB$1,2),""),VLOOKUP($D96,素材!$1:$1016,COLUMN($F$1),FALSE))),VLOOKUP($C96,武器!$1:$998,COLUMN($O$1),FALSE)*VLOOKUP($D96,素材!$1:$1016,COLUMN($E$1),FALSE)/(LEN(VLOOKUP($D96,素材!$1:$1016,COLUMN($F$1),FALSE)) - LEN(SUBSTITUTE(VLOOKUP($D96,素材!$1:$1016,COLUMN($F$1),FALSE), "・", 0)) + 1), 0)</f>
        <v>0</v>
      </c>
      <c r="AC96">
        <f>IF(ISNUMBER(SEARCH(SUBSTITUTE(AC$1,RIGHT(AC$1,2),""),VLOOKUP($D96,素材!$1:$1016,COLUMN($F$1),FALSE))),VLOOKUP($C96,武器!$1:$998,COLUMN($O$1),FALSE)*VLOOKUP($D96,素材!$1:$1016,COLUMN($E$1),FALSE)/(LEN(VLOOKUP($D96,素材!$1:$1016,COLUMN($F$1),FALSE)) - LEN(SUBSTITUTE(VLOOKUP($D96,素材!$1:$1016,COLUMN($F$1),FALSE), "・", 0)) + 1), 0)</f>
        <v>0</v>
      </c>
      <c r="AD96">
        <f>IF(ISNUMBER(SEARCH(SUBSTITUTE(AD$1,RIGHT(AD$1,2),""),VLOOKUP($D96,素材!$1:$1016,COLUMN($F$1),FALSE))),VLOOKUP($C96,武器!$1:$998,COLUMN($O$1),FALSE)*VLOOKUP($D96,素材!$1:$1016,COLUMN($E$1),FALSE)/(LEN(VLOOKUP($D96,素材!$1:$1016,COLUMN($F$1),FALSE)) - LEN(SUBSTITUTE(VLOOKUP($D96,素材!$1:$1016,COLUMN($F$1),FALSE), "・", 0)) + 1), 0)</f>
        <v>0</v>
      </c>
      <c r="AE96">
        <f>IF(ISNUMBER(SEARCH(SUBSTITUTE(AE$1,RIGHT(AE$1,2),""),VLOOKUP($D96,素材!$1:$1016,COLUMN($F$1),FALSE))),VLOOKUP($C96,武器!$1:$998,COLUMN($O$1),FALSE)*VLOOKUP($D96,素材!$1:$1016,COLUMN($E$1),FALSE)/(LEN(VLOOKUP($D96,素材!$1:$1016,COLUMN($F$1),FALSE)) - LEN(SUBSTITUTE(VLOOKUP($D96,素材!$1:$1016,COLUMN($F$1),FALSE), "・", 0)) + 1), 0)</f>
        <v>0</v>
      </c>
      <c r="AF96">
        <f>IF(ISNUMBER(SEARCH(SUBSTITUTE(AF$1,RIGHT(AF$1,2),""),VLOOKUP($D96,素材!$1:$1016,COLUMN($F$1),FALSE))),VLOOKUP($C96,武器!$1:$998,COLUMN($O$1),FALSE)*VLOOKUP($D96,素材!$1:$1016,COLUMN($E$1),FALSE)/(LEN(VLOOKUP($D96,素材!$1:$1016,COLUMN($F$1),FALSE)) - LEN(SUBSTITUTE(VLOOKUP($D96,素材!$1:$1016,COLUMN($F$1),FALSE), "・", 0)) + 1), 0)</f>
        <v>0</v>
      </c>
      <c r="AG96">
        <f>IF(ISNUMBER(SEARCH(SUBSTITUTE(AG$1,RIGHT(AG$1,2),""),VLOOKUP($D96,素材!$1:$1016,COLUMN($F$1),FALSE))),VLOOKUP($C96,武器!$1:$998,COLUMN($O$1),FALSE)*VLOOKUP($D96,素材!$1:$1016,COLUMN($E$1),FALSE)/(LEN(VLOOKUP($D96,素材!$1:$1016,COLUMN($F$1),FALSE)) - LEN(SUBSTITUTE(VLOOKUP($D96,素材!$1:$1016,COLUMN($F$1),FALSE), "・", 0)) + 1), 0)</f>
        <v>0</v>
      </c>
      <c r="AH96">
        <f>IF(ISNUMBER(SEARCH(SUBSTITUTE(AH$1,RIGHT(AH$1,2),""),VLOOKUP($D96,素材!$1:$1016,COLUMN($F$1),FALSE))),VLOOKUP($C96,武器!$1:$998,COLUMN($O$1),FALSE)*VLOOKUP($D96,素材!$1:$1016,COLUMN($E$1),FALSE)/(LEN(VLOOKUP($D96,素材!$1:$1016,COLUMN($F$1),FALSE)) - LEN(SUBSTITUTE(VLOOKUP($D96,素材!$1:$1016,COLUMN($F$1),FALSE), "・", 0)) + 1), 0)</f>
        <v>0</v>
      </c>
      <c r="AI96">
        <f>IF(ISNUMBER(SEARCH(SUBSTITUTE(AI$1,RIGHT(AI$1,2),""),VLOOKUP($D96,素材!$1:$1016,COLUMN($F$1),FALSE))),VLOOKUP($C96,武器!$1:$998,COLUMN($O$1),FALSE)*VLOOKUP($D96,素材!$1:$1016,COLUMN($E$1),FALSE)/(LEN(VLOOKUP($D96,素材!$1:$1016,COLUMN($F$1),FALSE)) - LEN(SUBSTITUTE(VLOOKUP($D96,素材!$1:$1016,COLUMN($F$1),FALSE), "・", 0)) + 1), 0)</f>
        <v>0</v>
      </c>
      <c r="AJ96">
        <f>IF(ISNUMBER(SEARCH(SUBSTITUTE(AJ$1,RIGHT(AJ$1,2),""),VLOOKUP($D96,素材!$1:$1016,COLUMN($F$1),FALSE))),VLOOKUP($C96,武器!$1:$998,COLUMN($O$1),FALSE)*VLOOKUP($D96,素材!$1:$1016,COLUMN($E$1),FALSE)/(LEN(VLOOKUP($D96,素材!$1:$1016,COLUMN($F$1),FALSE)) - LEN(SUBSTITUTE(VLOOKUP($D96,素材!$1:$1016,COLUMN($F$1),FALSE), "・", 0)) + 1), 0)</f>
        <v>0</v>
      </c>
      <c r="AK96">
        <f>IF(ISNUMBER(SEARCH(SUBSTITUTE(AK$1,RIGHT(AK$1,2),""),VLOOKUP($D96,素材!$1:$1016,COLUMN($F$1),FALSE))),VLOOKUP($C96,武器!$1:$998,COLUMN($O$1),FALSE)*VLOOKUP($D96,素材!$1:$1016,COLUMN($E$1),FALSE)/(LEN(VLOOKUP($D96,素材!$1:$1016,COLUMN($F$1),FALSE)) - LEN(SUBSTITUTE(VLOOKUP($D96,素材!$1:$1016,COLUMN($F$1),FALSE), "・", 0)) + 1), 0)</f>
        <v>0</v>
      </c>
      <c r="AL96">
        <f>IF(ISNUMBER(SEARCH(SUBSTITUTE(AL$1,RIGHT(AL$1,2),""),VLOOKUP($D96,素材!$1:$1016,COLUMN($F$1),FALSE))),VLOOKUP($C96,武器!$1:$998,COLUMN($O$1),FALSE)*VLOOKUP($D96,素材!$1:$1016,COLUMN($E$1),FALSE)/(LEN(VLOOKUP($D96,素材!$1:$1016,COLUMN($F$1),FALSE)) - LEN(SUBSTITUTE(VLOOKUP($D96,素材!$1:$1016,COLUMN($F$1),FALSE), "・", 0)) + 1), 0)</f>
        <v>0</v>
      </c>
      <c r="AM96">
        <f>IF(ISNUMBER(SEARCH(SUBSTITUTE(AM$1,RIGHT(AM$1,2),""),VLOOKUP($D96,素材!$1:$1016,COLUMN($F$1),FALSE))),VLOOKUP($C96,武器!$1:$998,COLUMN($O$1),FALSE)*VLOOKUP($D96,素材!$1:$1016,COLUMN($E$1),FALSE)/(LEN(VLOOKUP($D96,素材!$1:$1016,COLUMN($F$1),FALSE)) - LEN(SUBSTITUTE(VLOOKUP($D96,素材!$1:$1016,COLUMN($F$1),FALSE), "・", 0)) + 1), 0)</f>
        <v>0</v>
      </c>
      <c r="AN96">
        <f>IF(ISNUMBER(SEARCH(SUBSTITUTE(AN$1,RIGHT(AN$1,2),""),VLOOKUP($D96,素材!$1:$1016,COLUMN($F$1),FALSE))),VLOOKUP($C96,武器!$1:$998,COLUMN($O$1),FALSE)*VLOOKUP($D96,素材!$1:$1016,COLUMN($E$1),FALSE)/(LEN(VLOOKUP($D96,素材!$1:$1016,COLUMN($F$1),FALSE)) - LEN(SUBSTITUTE(VLOOKUP($D96,素材!$1:$1016,COLUMN($F$1),FALSE), "・", 0)) + 1), 0)</f>
        <v>0</v>
      </c>
      <c r="AO96">
        <f>IF(ISNUMBER(SEARCH(SUBSTITUTE(AO$1,RIGHT(AO$1,2),""),VLOOKUP($D96,素材!$1:$1016,COLUMN($F$1),FALSE))),VLOOKUP($C96,武器!$1:$998,COLUMN($O$1),FALSE)*VLOOKUP($D96,素材!$1:$1016,COLUMN($E$1),FALSE)/(LEN(VLOOKUP($D96,素材!$1:$1016,COLUMN($F$1),FALSE)) - LEN(SUBSTITUTE(VLOOKUP($D96,素材!$1:$1016,COLUMN($F$1),FALSE), "・", 0)) + 1), 0)</f>
        <v>0</v>
      </c>
      <c r="AP96">
        <f>IF(ISNUMBER(SEARCH(SUBSTITUTE(AP$1,RIGHT(AP$1,2),""),VLOOKUP($D96,素材!$1:$1016,COLUMN($F$1),FALSE))),VLOOKUP($C96,武器!$1:$998,COLUMN($O$1),FALSE)*VLOOKUP($D96,素材!$1:$1016,COLUMN($E$1),FALSE)/(LEN(VLOOKUP($D96,素材!$1:$1016,COLUMN($F$1),FALSE)) - LEN(SUBSTITUTE(VLOOKUP($D96,素材!$1:$1016,COLUMN($F$1),FALSE), "・", 0)) + 1), 0)</f>
        <v>0</v>
      </c>
      <c r="AQ96">
        <f>IF(ISNUMBER(SEARCH(SUBSTITUTE(AQ$1,RIGHT(AQ$1,2),""),VLOOKUP($D96,素材!$1:$1016,COLUMN($F$1),FALSE))),VLOOKUP($C96,武器!$1:$998,COLUMN($O$1),FALSE)*VLOOKUP($D96,素材!$1:$1016,COLUMN($E$1),FALSE)/(LEN(VLOOKUP($D96,素材!$1:$1016,COLUMN($F$1),FALSE)) - LEN(SUBSTITUTE(VLOOKUP($D96,素材!$1:$1016,COLUMN($F$1),FALSE), "・", 0)) + 1), 0)</f>
        <v>0</v>
      </c>
      <c r="AR96">
        <f>IF(ISNUMBER(SEARCH(SUBSTITUTE(AR$1,RIGHT(AR$1,2),""),VLOOKUP($D96,素材!$1:$1016,COLUMN($F$1),FALSE))),VLOOKUP($C96,武器!$1:$998,COLUMN($O$1),FALSE)*VLOOKUP($D96,素材!$1:$1016,COLUMN($E$1),FALSE)/(LEN(VLOOKUP($D96,素材!$1:$1016,COLUMN($F$1),FALSE)) - LEN(SUBSTITUTE(VLOOKUP($D96,素材!$1:$1016,COLUMN($F$1),FALSE), "・", 0)) + 1), 0)</f>
        <v>0</v>
      </c>
      <c r="AS96">
        <f>IF(ISNUMBER(SEARCH(SUBSTITUTE(AS$1,RIGHT(AS$1,2),""),VLOOKUP($D96,素材!$1:$1016,COLUMN($F$1),FALSE))),VLOOKUP($C96,武器!$1:$998,COLUMN($O$1),FALSE)*VLOOKUP($D96,素材!$1:$1016,COLUMN($E$1),FALSE)/(LEN(VLOOKUP($D96,素材!$1:$1016,COLUMN($F$1),FALSE)) - LEN(SUBSTITUTE(VLOOKUP($D96,素材!$1:$1016,COLUMN($F$1),FALSE), "・", 0)) + 1), 0)</f>
        <v>0</v>
      </c>
      <c r="AT96">
        <f>IF(ISNUMBER(SEARCH(SUBSTITUTE(AT$1,RIGHT(AT$1,2),""),VLOOKUP($D96,素材!$1:$1016,COLUMN($F$1),FALSE))),VLOOKUP($C96,武器!$1:$998,COLUMN($O$1),FALSE)*VLOOKUP($D96,素材!$1:$1016,COLUMN($E$1),FALSE)/(LEN(VLOOKUP($D96,素材!$1:$1016,COLUMN($F$1),FALSE)) - LEN(SUBSTITUTE(VLOOKUP($D96,素材!$1:$1016,COLUMN($F$1),FALSE), "・", 0)) + 1), 0)</f>
        <v>0</v>
      </c>
      <c r="AU96">
        <f>IF(ISNUMBER(SEARCH(SUBSTITUTE(AU$1,RIGHT(AU$1,2),""),VLOOKUP($D96,素材!$1:$1016,COLUMN($F$1),FALSE))),VLOOKUP($C96,武器!$1:$998,COLUMN($O$1),FALSE)*VLOOKUP($D96,素材!$1:$1016,COLUMN($E$1),FALSE)/(LEN(VLOOKUP($D96,素材!$1:$1016,COLUMN($F$1),FALSE)) - LEN(SUBSTITUTE(VLOOKUP($D96,素材!$1:$1016,COLUMN($F$1),FALSE), "・", 0)) + 1), 0)</f>
        <v>0</v>
      </c>
      <c r="AV96">
        <f>IF(ISNUMBER(SEARCH(SUBSTITUTE(AV$1,RIGHT(AV$1,2),""),VLOOKUP($D96,素材!$1:$1016,COLUMN($F$1),FALSE))),VLOOKUP($C96,武器!$1:$998,COLUMN($O$1),FALSE)*VLOOKUP($D96,素材!$1:$1016,COLUMN($E$1),FALSE)/(LEN(VLOOKUP($D96,素材!$1:$1016,COLUMN($F$1),FALSE)) - LEN(SUBSTITUTE(VLOOKUP($D96,素材!$1:$1016,COLUMN($F$1),FALSE), "・", 0)) + 1), 0)</f>
        <v>0</v>
      </c>
      <c r="AW96">
        <f>IF(ISNUMBER(SEARCH(SUBSTITUTE(AW$1,RIGHT(AW$1,2),""),VLOOKUP($D96,素材!$1:$1016,COLUMN($F$1),FALSE))),VLOOKUP($C96,武器!$1:$998,COLUMN($O$1),FALSE)*VLOOKUP($D96,素材!$1:$1016,COLUMN($E$1),FALSE)/(LEN(VLOOKUP($D96,素材!$1:$1016,COLUMN($F$1),FALSE)) - LEN(SUBSTITUTE(VLOOKUP($D96,素材!$1:$1016,COLUMN($F$1),FALSE), "・", 0)) + 1), 0)</f>
        <v>0</v>
      </c>
      <c r="AX96">
        <f>IF(ISNUMBER(SEARCH(SUBSTITUTE(AX$1,RIGHT(AX$1,2),""),VLOOKUP($D96,素材!$1:$1016,COLUMN($F$1),FALSE))),VLOOKUP($C96,武器!$1:$998,COLUMN($O$1),FALSE)*VLOOKUP($D96,素材!$1:$1016,COLUMN($E$1),FALSE)/(LEN(VLOOKUP($D96,素材!$1:$1016,COLUMN($F$1),FALSE)) - LEN(SUBSTITUTE(VLOOKUP($D96,素材!$1:$1016,COLUMN($F$1),FALSE), "・", 0)) + 1), 0)</f>
        <v>0</v>
      </c>
      <c r="AY96">
        <f>IF(ISNUMBER(SEARCH(SUBSTITUTE(AY$1,RIGHT(AY$1,2),""),VLOOKUP($D96,素材!$1:$1016,COLUMN($F$1),FALSE))),VLOOKUP($C96,武器!$1:$998,COLUMN($O$1),FALSE)*VLOOKUP($D96,素材!$1:$1016,COLUMN($E$1),FALSE)/(LEN(VLOOKUP($D96,素材!$1:$1016,COLUMN($F$1),FALSE)) - LEN(SUBSTITUTE(VLOOKUP($D96,素材!$1:$1016,COLUMN($F$1),FALSE), "・", 0)) + 1), 0)</f>
        <v>0</v>
      </c>
      <c r="AZ96">
        <f>IF(ISNUMBER(SEARCH(SUBSTITUTE(AZ$1,RIGHT(AZ$1,2),""),VLOOKUP($D96,素材!$1:$1016,COLUMN($F$1),FALSE))),VLOOKUP($C96,武器!$1:$998,COLUMN($O$1),FALSE)*VLOOKUP($D96,素材!$1:$1016,COLUMN($E$1),FALSE)/(LEN(VLOOKUP($D96,素材!$1:$1016,COLUMN($F$1),FALSE)) - LEN(SUBSTITUTE(VLOOKUP($D96,素材!$1:$1016,COLUMN($F$1),FALSE), "・", 0)) + 1), 0)</f>
        <v>0</v>
      </c>
      <c r="BA96">
        <f>IF(ISNUMBER(SEARCH(SUBSTITUTE(BA$1,RIGHT(BA$1,2),""),VLOOKUP($D96,素材!$1:$1016,COLUMN($F$1),FALSE))),VLOOKUP($C96,武器!$1:$998,COLUMN($O$1),FALSE)*VLOOKUP($D96,素材!$1:$1016,COLUMN($E$1),FALSE)/(LEN(VLOOKUP($D96,素材!$1:$1016,COLUMN($F$1),FALSE)) - LEN(SUBSTITUTE(VLOOKUP($D96,素材!$1:$1016,COLUMN($F$1),FALSE), "・", 0)) + 1), 0)</f>
        <v>0</v>
      </c>
      <c r="BB96">
        <f>IF(ISNUMBER(SEARCH(SUBSTITUTE(BB$1,RIGHT(BB$1,2),""),VLOOKUP($D96,素材!$1:$1016,COLUMN($F$1),FALSE))),VLOOKUP($C96,武器!$1:$998,COLUMN($O$1),FALSE)*VLOOKUP($D96,素材!$1:$1016,COLUMN($E$1),FALSE)/(LEN(VLOOKUP($D96,素材!$1:$1016,COLUMN($F$1),FALSE)) - LEN(SUBSTITUTE(VLOOKUP($D96,素材!$1:$1016,COLUMN($F$1),FALSE), "・", 0)) + 1), 0)</f>
        <v>0</v>
      </c>
      <c r="BC96">
        <f>IF(ISNUMBER(SEARCH(SUBSTITUTE(BC$1,RIGHT(BC$1,2),""),VLOOKUP($D96,素材!$1:$1016,COLUMN($F$1),FALSE))),VLOOKUP($C96,武器!$1:$998,COLUMN($O$1),FALSE)*VLOOKUP($D96,素材!$1:$1016,COLUMN($E$1),FALSE)/(LEN(VLOOKUP($D96,素材!$1:$1016,COLUMN($F$1),FALSE)) - LEN(SUBSTITUTE(VLOOKUP($D96,素材!$1:$1016,COLUMN($F$1),FALSE), "・", 0)) + 1), 0)</f>
        <v>0</v>
      </c>
      <c r="BD96">
        <f>IF(ISNUMBER(SEARCH(SUBSTITUTE(BD$1,RIGHT(BD$1,2),""),VLOOKUP($D96,素材!$1:$1016,COLUMN($F$1),FALSE))),VLOOKUP($C96,武器!$1:$998,COLUMN($O$1),FALSE)*VLOOKUP($D96,素材!$1:$1016,COLUMN($E$1),FALSE)/(LEN(VLOOKUP($D96,素材!$1:$1016,COLUMN($F$1),FALSE)) - LEN(SUBSTITUTE(VLOOKUP($D96,素材!$1:$1016,COLUMN($F$1),FALSE), "・", 0)) + 1), 0)</f>
        <v>0</v>
      </c>
      <c r="BE96">
        <f>IF(ISNUMBER(SEARCH(SUBSTITUTE(BE$1,RIGHT(BE$1,2),""),VLOOKUP($D96,素材!$1:$1016,COLUMN($F$1),FALSE))),VLOOKUP($C96,武器!$1:$998,COLUMN($O$1),FALSE)*VLOOKUP($D96,素材!$1:$1016,COLUMN($E$1),FALSE)/(LEN(VLOOKUP($D96,素材!$1:$1016,COLUMN($F$1),FALSE)) - LEN(SUBSTITUTE(VLOOKUP($D96,素材!$1:$1016,COLUMN($F$1),FALSE), "・", 0)) + 1), 0)</f>
        <v>0</v>
      </c>
      <c r="CL96">
        <f>SUM(G96:I96)</f>
        <v>33</v>
      </c>
      <c r="CM96" s="22" t="str">
        <f>IF(E96="武器",IF(J96-1&gt;SUM(G96:I96),"盾",IF(MAX(G96:I96)=G96,"切断",IF(MAX(G96:I96)=H96,"貫通",IF(MAX(G96:I96)=I96,"打撃","射撃")))),E96)&amp;".webp"</f>
        <v>切断.webp</v>
      </c>
      <c r="CN96">
        <f>IFERROR(VLOOKUP($C96,武器!$1:$998,COLUMN(V$1),FALSE)*VLOOKUP($D96,素材!$1:$1016,COLUMN(N$1),FALSE)+IF(CI96="",0,VLOOKUP($CI96,装強!$1:$1008,COLUMN($CK$1),FALSE)),"")</f>
        <v>900</v>
      </c>
      <c r="CO96" t="str">
        <f>VLOOKUP(D96,素材!$A:$O,COLUMN(素材!O$1),FALSE)</f>
        <v>鍛えられた鉄。硬度が高く安価なためよく使用される。</v>
      </c>
      <c r="CP96" t="str">
        <f>VLOOKUP(C96,武器!$A:$W,COLUMN(武器!W$1),FALSE)</f>
        <v>戦斧。攻撃力が高く、重いが信頼性がある武器。</v>
      </c>
      <c r="CR96" t="str">
        <f t="shared" si="5"/>
        <v>e_96</v>
      </c>
      <c r="CS96">
        <f t="shared" si="6"/>
        <v>90000</v>
      </c>
    </row>
    <row r="97" spans="1:97" outlineLevel="1" x14ac:dyDescent="0.4">
      <c r="A97" t="str">
        <f t="shared" si="4"/>
        <v>鋼の鞭</v>
      </c>
      <c r="B97" t="str">
        <f>IFERROR(VLOOKUP($D97,素材!$1:$1016,COLUMN($B$1),FALSE)&amp;"・"&amp;VLOOKUP($C97,武器!$1:$998,COLUMN(B$1),FALSE),"")</f>
        <v>スチール・ウィップ</v>
      </c>
      <c r="C97" t="s">
        <v>223</v>
      </c>
      <c r="D97" s="24" t="s">
        <v>253</v>
      </c>
      <c r="E97" t="str">
        <f>IFERROR(VLOOKUP(C97,武器!$1:$998,COLUMN(C$1),FALSE),"")</f>
        <v>武器</v>
      </c>
      <c r="F97">
        <f>IFERROR(ROUNDDOWN((VLOOKUP($C97,武器!$1:$998,COLUMN(D$1),FALSE)+IFERROR(VLOOKUP($CI97,装強!$1:$999,COLUMN(F$1),FALSE),0))*VLOOKUP($D97,素材!$1:$1016,COLUMN(D$1),FALSE),0),"")</f>
        <v>110</v>
      </c>
      <c r="G97">
        <f>IFERROR(ROUNDDOWN((VLOOKUP($C97,武器!$1:$998,COLUMN(E$1),FALSE)+IFERROR(VLOOKUP($CI97,装強!$1:$999,COLUMN(G$1),FALSE),0))*VLOOKUP($D97,素材!$1:$1016,COLUMN($E$1),FALSE),0),"")</f>
        <v>24</v>
      </c>
      <c r="H97">
        <f>IFERROR(ROUNDDOWN((VLOOKUP($C97,武器!$1:$998,COLUMN(F$1),FALSE)+IFERROR(VLOOKUP($CI97,装強!$1:$999,COLUMN(H$1),FALSE),0))*VLOOKUP($D97,素材!$1:$1016,COLUMN($E$1),FALSE),0),"")</f>
        <v>0</v>
      </c>
      <c r="I97">
        <f>IFERROR(ROUNDDOWN((VLOOKUP($C97,武器!$1:$998,COLUMN(G$1),FALSE)+IFERROR(VLOOKUP($CI97,装強!$1:$999,COLUMN(I$1),FALSE),0))*VLOOKUP($D97,素材!$1:$1016,COLUMN($E$1),FALSE),0),"")</f>
        <v>5</v>
      </c>
      <c r="J97">
        <f>IFERROR(ROUNDDOWN((VLOOKUP($C97,武器!$1:$998,COLUMN(H$1),FALSE)+IFERROR(VLOOKUP($CI97,装強!$1:$999,COLUMN(J$1),FALSE),0))*VLOOKUP($D97,素材!$1:$1016,COLUMN($E$1),FALSE),0),"")</f>
        <v>14</v>
      </c>
      <c r="K97">
        <f>IFERROR(ROUNDDOWN((VLOOKUP($C97,武器!$1:$998,COLUMN(I$1),FALSE)+IFERROR(VLOOKUP($CI97,装強!$1:$999,COLUMN(K$1),FALSE),0))*VLOOKUP($D97,素材!$1:$1016,COLUMN($E$1),FALSE),0),"")</f>
        <v>0</v>
      </c>
      <c r="L97">
        <f>IFERROR(VLOOKUP($D97,素材!$1:$1016,COLUMN($F$1),FALSE),"")</f>
        <v>0</v>
      </c>
      <c r="M97">
        <f>IFERROR(VLOOKUP($C97,武器!$1:$998,COLUMN(AA$1),FALSE)*VLOOKUP($D97,素材!$1:$1016,COLUMN($G$1),FALSE),"")</f>
        <v>0</v>
      </c>
      <c r="N97">
        <f>IFERROR(VLOOKUP($C97,武器!$1:$998,COLUMN(I$1),FALSE),"")</f>
        <v>0</v>
      </c>
      <c r="O97" s="23">
        <f>IFERROR((VLOOKUP($C97,武器!$1:$998,COLUMN(K$1),FALSE)+VLOOKUP($D97,素材!$1:$1016,COLUMN(H$1),FALSE))*100+IFERROR(VLOOKUP($CI97,装強!$1:$999,COLUMN(O$1),FALSE),0),"")</f>
        <v>10</v>
      </c>
      <c r="P97" s="23">
        <f>IFERROR((VLOOKUP($C97,武器!$1:$998,COLUMN(L$1),FALSE)+VLOOKUP($D97,素材!$1:$1016,COLUMN(I$1),FALSE))*100+IFERROR(VLOOKUP($CI97,装強!$1:$999,COLUMN(P$1),FALSE),0),"")</f>
        <v>150</v>
      </c>
      <c r="Q97">
        <f>IFERROR(ROUNDUP(VLOOKUP($C97,武器!$1:$998,COLUMN(M$1),FALSE)*(VLOOKUP($D97,素材!$1:$1002,COLUMN(D$1),FALSE)/100),1),"")</f>
        <v>0</v>
      </c>
      <c r="R97">
        <f>IFERROR(ROUNDUP(VLOOKUP($C97,武器!$1:$998,COLUMN(N$1),FALSE)*(VLOOKUP($D97,素材!$1:$1002,COLUMN(D$1),FALSE)/100),1),"")</f>
        <v>0</v>
      </c>
      <c r="S97">
        <f>IFERROR(VLOOKUP($C97,武器!$1:$998,COLUMN(P$1),FALSE),"")</f>
        <v>1</v>
      </c>
      <c r="T97">
        <f>IFERROR(VLOOKUP($C97,武器!$1:$998,COLUMN(Q$1),FALSE),"")</f>
        <v>0</v>
      </c>
      <c r="U97">
        <f>IFERROR(VLOOKUP($C97,武器!$1:$998,COLUMN(R$1),FALSE),"")</f>
        <v>0</v>
      </c>
      <c r="V97">
        <f>IFERROR(VLOOKUP($C97,武器!$1:$998,COLUMN(Q$1),FALSE),"")</f>
        <v>0</v>
      </c>
      <c r="W97" t="str">
        <f>IFERROR(VLOOKUP($C97,武器!$1:$998,COLUMN(T$1),FALSE),"")</f>
        <v>A</v>
      </c>
      <c r="Y97">
        <f>IFERROR(VLOOKUP($C97,武器!$1:$998,COLUMN(U$1),FALSE),"")</f>
        <v>0</v>
      </c>
      <c r="Z97">
        <f>IFERROR(ROUNDUP(VLOOKUP($C97,武器!$1:$998,COLUMN(O$1),FALSE)*VLOOKUP($D97,素材!$1:$1016,COLUMN(E$1),FALSE),1),"")</f>
        <v>0</v>
      </c>
      <c r="AA97">
        <f>IF(ISNUMBER(SEARCH(SUBSTITUTE(AA$1,RIGHT(AA$1,2),""),VLOOKUP($D97,素材!$1:$1016,COLUMN($F$1),FALSE))),VLOOKUP($C97,武器!$1:$998,COLUMN($O$1),FALSE)*VLOOKUP($D97,素材!$1:$1016,COLUMN($E$1),FALSE)/(LEN(VLOOKUP($D97,素材!$1:$1016,COLUMN($F$1),FALSE)) - LEN(SUBSTITUTE(VLOOKUP($D97,素材!$1:$1016,COLUMN($F$1),FALSE), "・", 0)) + 1), 0)</f>
        <v>0</v>
      </c>
      <c r="AB97">
        <f>IF(ISNUMBER(SEARCH(SUBSTITUTE(AB$1,RIGHT(AB$1,2),""),VLOOKUP($D97,素材!$1:$1016,COLUMN($F$1),FALSE))),VLOOKUP($C97,武器!$1:$998,COLUMN($O$1),FALSE)*VLOOKUP($D97,素材!$1:$1016,COLUMN($E$1),FALSE)/(LEN(VLOOKUP($D97,素材!$1:$1016,COLUMN($F$1),FALSE)) - LEN(SUBSTITUTE(VLOOKUP($D97,素材!$1:$1016,COLUMN($F$1),FALSE), "・", 0)) + 1), 0)</f>
        <v>0</v>
      </c>
      <c r="AC97">
        <f>IF(ISNUMBER(SEARCH(SUBSTITUTE(AC$1,RIGHT(AC$1,2),""),VLOOKUP($D97,素材!$1:$1016,COLUMN($F$1),FALSE))),VLOOKUP($C97,武器!$1:$998,COLUMN($O$1),FALSE)*VLOOKUP($D97,素材!$1:$1016,COLUMN($E$1),FALSE)/(LEN(VLOOKUP($D97,素材!$1:$1016,COLUMN($F$1),FALSE)) - LEN(SUBSTITUTE(VLOOKUP($D97,素材!$1:$1016,COLUMN($F$1),FALSE), "・", 0)) + 1), 0)</f>
        <v>0</v>
      </c>
      <c r="AD97">
        <f>IF(ISNUMBER(SEARCH(SUBSTITUTE(AD$1,RIGHT(AD$1,2),""),VLOOKUP($D97,素材!$1:$1016,COLUMN($F$1),FALSE))),VLOOKUP($C97,武器!$1:$998,COLUMN($O$1),FALSE)*VLOOKUP($D97,素材!$1:$1016,COLUMN($E$1),FALSE)/(LEN(VLOOKUP($D97,素材!$1:$1016,COLUMN($F$1),FALSE)) - LEN(SUBSTITUTE(VLOOKUP($D97,素材!$1:$1016,COLUMN($F$1),FALSE), "・", 0)) + 1), 0)</f>
        <v>0</v>
      </c>
      <c r="AE97">
        <f>IF(ISNUMBER(SEARCH(SUBSTITUTE(AE$1,RIGHT(AE$1,2),""),VLOOKUP($D97,素材!$1:$1016,COLUMN($F$1),FALSE))),VLOOKUP($C97,武器!$1:$998,COLUMN($O$1),FALSE)*VLOOKUP($D97,素材!$1:$1016,COLUMN($E$1),FALSE)/(LEN(VLOOKUP($D97,素材!$1:$1016,COLUMN($F$1),FALSE)) - LEN(SUBSTITUTE(VLOOKUP($D97,素材!$1:$1016,COLUMN($F$1),FALSE), "・", 0)) + 1), 0)</f>
        <v>0</v>
      </c>
      <c r="AF97">
        <f>IF(ISNUMBER(SEARCH(SUBSTITUTE(AF$1,RIGHT(AF$1,2),""),VLOOKUP($D97,素材!$1:$1016,COLUMN($F$1),FALSE))),VLOOKUP($C97,武器!$1:$998,COLUMN($O$1),FALSE)*VLOOKUP($D97,素材!$1:$1016,COLUMN($E$1),FALSE)/(LEN(VLOOKUP($D97,素材!$1:$1016,COLUMN($F$1),FALSE)) - LEN(SUBSTITUTE(VLOOKUP($D97,素材!$1:$1016,COLUMN($F$1),FALSE), "・", 0)) + 1), 0)</f>
        <v>0</v>
      </c>
      <c r="AG97">
        <f>IF(ISNUMBER(SEARCH(SUBSTITUTE(AG$1,RIGHT(AG$1,2),""),VLOOKUP($D97,素材!$1:$1016,COLUMN($F$1),FALSE))),VLOOKUP($C97,武器!$1:$998,COLUMN($O$1),FALSE)*VLOOKUP($D97,素材!$1:$1016,COLUMN($E$1),FALSE)/(LEN(VLOOKUP($D97,素材!$1:$1016,COLUMN($F$1),FALSE)) - LEN(SUBSTITUTE(VLOOKUP($D97,素材!$1:$1016,COLUMN($F$1),FALSE), "・", 0)) + 1), 0)</f>
        <v>0</v>
      </c>
      <c r="AH97">
        <f>IF(ISNUMBER(SEARCH(SUBSTITUTE(AH$1,RIGHT(AH$1,2),""),VLOOKUP($D97,素材!$1:$1016,COLUMN($F$1),FALSE))),VLOOKUP($C97,武器!$1:$998,COLUMN($O$1),FALSE)*VLOOKUP($D97,素材!$1:$1016,COLUMN($E$1),FALSE)/(LEN(VLOOKUP($D97,素材!$1:$1016,COLUMN($F$1),FALSE)) - LEN(SUBSTITUTE(VLOOKUP($D97,素材!$1:$1016,COLUMN($F$1),FALSE), "・", 0)) + 1), 0)</f>
        <v>0</v>
      </c>
      <c r="AI97">
        <f>IF(ISNUMBER(SEARCH(SUBSTITUTE(AI$1,RIGHT(AI$1,2),""),VLOOKUP($D97,素材!$1:$1016,COLUMN($F$1),FALSE))),VLOOKUP($C97,武器!$1:$998,COLUMN($O$1),FALSE)*VLOOKUP($D97,素材!$1:$1016,COLUMN($E$1),FALSE)/(LEN(VLOOKUP($D97,素材!$1:$1016,COLUMN($F$1),FALSE)) - LEN(SUBSTITUTE(VLOOKUP($D97,素材!$1:$1016,COLUMN($F$1),FALSE), "・", 0)) + 1), 0)</f>
        <v>0</v>
      </c>
      <c r="AJ97">
        <f>IF(ISNUMBER(SEARCH(SUBSTITUTE(AJ$1,RIGHT(AJ$1,2),""),VLOOKUP($D97,素材!$1:$1016,COLUMN($F$1),FALSE))),VLOOKUP($C97,武器!$1:$998,COLUMN($O$1),FALSE)*VLOOKUP($D97,素材!$1:$1016,COLUMN($E$1),FALSE)/(LEN(VLOOKUP($D97,素材!$1:$1016,COLUMN($F$1),FALSE)) - LEN(SUBSTITUTE(VLOOKUP($D97,素材!$1:$1016,COLUMN($F$1),FALSE), "・", 0)) + 1), 0)</f>
        <v>0</v>
      </c>
      <c r="AK97">
        <f>IF(ISNUMBER(SEARCH(SUBSTITUTE(AK$1,RIGHT(AK$1,2),""),VLOOKUP($D97,素材!$1:$1016,COLUMN($F$1),FALSE))),VLOOKUP($C97,武器!$1:$998,COLUMN($O$1),FALSE)*VLOOKUP($D97,素材!$1:$1016,COLUMN($E$1),FALSE)/(LEN(VLOOKUP($D97,素材!$1:$1016,COLUMN($F$1),FALSE)) - LEN(SUBSTITUTE(VLOOKUP($D97,素材!$1:$1016,COLUMN($F$1),FALSE), "・", 0)) + 1), 0)</f>
        <v>0</v>
      </c>
      <c r="AL97">
        <f>IF(ISNUMBER(SEARCH(SUBSTITUTE(AL$1,RIGHT(AL$1,2),""),VLOOKUP($D97,素材!$1:$1016,COLUMN($F$1),FALSE))),VLOOKUP($C97,武器!$1:$998,COLUMN($O$1),FALSE)*VLOOKUP($D97,素材!$1:$1016,COLUMN($E$1),FALSE)/(LEN(VLOOKUP($D97,素材!$1:$1016,COLUMN($F$1),FALSE)) - LEN(SUBSTITUTE(VLOOKUP($D97,素材!$1:$1016,COLUMN($F$1),FALSE), "・", 0)) + 1), 0)</f>
        <v>0</v>
      </c>
      <c r="AM97">
        <f>IF(ISNUMBER(SEARCH(SUBSTITUTE(AM$1,RIGHT(AM$1,2),""),VLOOKUP($D97,素材!$1:$1016,COLUMN($F$1),FALSE))),VLOOKUP($C97,武器!$1:$998,COLUMN($O$1),FALSE)*VLOOKUP($D97,素材!$1:$1016,COLUMN($E$1),FALSE)/(LEN(VLOOKUP($D97,素材!$1:$1016,COLUMN($F$1),FALSE)) - LEN(SUBSTITUTE(VLOOKUP($D97,素材!$1:$1016,COLUMN($F$1),FALSE), "・", 0)) + 1), 0)</f>
        <v>0</v>
      </c>
      <c r="AN97">
        <f>IF(ISNUMBER(SEARCH(SUBSTITUTE(AN$1,RIGHT(AN$1,2),""),VLOOKUP($D97,素材!$1:$1016,COLUMN($F$1),FALSE))),VLOOKUP($C97,武器!$1:$998,COLUMN($O$1),FALSE)*VLOOKUP($D97,素材!$1:$1016,COLUMN($E$1),FALSE)/(LEN(VLOOKUP($D97,素材!$1:$1016,COLUMN($F$1),FALSE)) - LEN(SUBSTITUTE(VLOOKUP($D97,素材!$1:$1016,COLUMN($F$1),FALSE), "・", 0)) + 1), 0)</f>
        <v>0</v>
      </c>
      <c r="AO97">
        <f>IF(ISNUMBER(SEARCH(SUBSTITUTE(AO$1,RIGHT(AO$1,2),""),VLOOKUP($D97,素材!$1:$1016,COLUMN($F$1),FALSE))),VLOOKUP($C97,武器!$1:$998,COLUMN($O$1),FALSE)*VLOOKUP($D97,素材!$1:$1016,COLUMN($E$1),FALSE)/(LEN(VLOOKUP($D97,素材!$1:$1016,COLUMN($F$1),FALSE)) - LEN(SUBSTITUTE(VLOOKUP($D97,素材!$1:$1016,COLUMN($F$1),FALSE), "・", 0)) + 1), 0)</f>
        <v>0</v>
      </c>
      <c r="AP97">
        <f>IF(ISNUMBER(SEARCH(SUBSTITUTE(AP$1,RIGHT(AP$1,2),""),VLOOKUP($D97,素材!$1:$1016,COLUMN($F$1),FALSE))),VLOOKUP($C97,武器!$1:$998,COLUMN($O$1),FALSE)*VLOOKUP($D97,素材!$1:$1016,COLUMN($E$1),FALSE)/(LEN(VLOOKUP($D97,素材!$1:$1016,COLUMN($F$1),FALSE)) - LEN(SUBSTITUTE(VLOOKUP($D97,素材!$1:$1016,COLUMN($F$1),FALSE), "・", 0)) + 1), 0)</f>
        <v>0</v>
      </c>
      <c r="AQ97">
        <f>IF(ISNUMBER(SEARCH(SUBSTITUTE(AQ$1,RIGHT(AQ$1,2),""),VLOOKUP($D97,素材!$1:$1016,COLUMN($F$1),FALSE))),VLOOKUP($C97,武器!$1:$998,COLUMN($O$1),FALSE)*VLOOKUP($D97,素材!$1:$1016,COLUMN($E$1),FALSE)/(LEN(VLOOKUP($D97,素材!$1:$1016,COLUMN($F$1),FALSE)) - LEN(SUBSTITUTE(VLOOKUP($D97,素材!$1:$1016,COLUMN($F$1),FALSE), "・", 0)) + 1), 0)</f>
        <v>0</v>
      </c>
      <c r="AR97">
        <f>IF(ISNUMBER(SEARCH(SUBSTITUTE(AR$1,RIGHT(AR$1,2),""),VLOOKUP($D97,素材!$1:$1016,COLUMN($F$1),FALSE))),VLOOKUP($C97,武器!$1:$998,COLUMN($O$1),FALSE)*VLOOKUP($D97,素材!$1:$1016,COLUMN($E$1),FALSE)/(LEN(VLOOKUP($D97,素材!$1:$1016,COLUMN($F$1),FALSE)) - LEN(SUBSTITUTE(VLOOKUP($D97,素材!$1:$1016,COLUMN($F$1),FALSE), "・", 0)) + 1), 0)</f>
        <v>0</v>
      </c>
      <c r="AS97">
        <f>IF(ISNUMBER(SEARCH(SUBSTITUTE(AS$1,RIGHT(AS$1,2),""),VLOOKUP($D97,素材!$1:$1016,COLUMN($F$1),FALSE))),VLOOKUP($C97,武器!$1:$998,COLUMN($O$1),FALSE)*VLOOKUP($D97,素材!$1:$1016,COLUMN($E$1),FALSE)/(LEN(VLOOKUP($D97,素材!$1:$1016,COLUMN($F$1),FALSE)) - LEN(SUBSTITUTE(VLOOKUP($D97,素材!$1:$1016,COLUMN($F$1),FALSE), "・", 0)) + 1), 0)</f>
        <v>0</v>
      </c>
      <c r="AT97">
        <f>IF(ISNUMBER(SEARCH(SUBSTITUTE(AT$1,RIGHT(AT$1,2),""),VLOOKUP($D97,素材!$1:$1016,COLUMN($F$1),FALSE))),VLOOKUP($C97,武器!$1:$998,COLUMN($O$1),FALSE)*VLOOKUP($D97,素材!$1:$1016,COLUMN($E$1),FALSE)/(LEN(VLOOKUP($D97,素材!$1:$1016,COLUMN($F$1),FALSE)) - LEN(SUBSTITUTE(VLOOKUP($D97,素材!$1:$1016,COLUMN($F$1),FALSE), "・", 0)) + 1), 0)</f>
        <v>0</v>
      </c>
      <c r="AU97">
        <f>IF(ISNUMBER(SEARCH(SUBSTITUTE(AU$1,RIGHT(AU$1,2),""),VLOOKUP($D97,素材!$1:$1016,COLUMN($F$1),FALSE))),VLOOKUP($C97,武器!$1:$998,COLUMN($O$1),FALSE)*VLOOKUP($D97,素材!$1:$1016,COLUMN($E$1),FALSE)/(LEN(VLOOKUP($D97,素材!$1:$1016,COLUMN($F$1),FALSE)) - LEN(SUBSTITUTE(VLOOKUP($D97,素材!$1:$1016,COLUMN($F$1),FALSE), "・", 0)) + 1), 0)</f>
        <v>0</v>
      </c>
      <c r="AV97">
        <f>IF(ISNUMBER(SEARCH(SUBSTITUTE(AV$1,RIGHT(AV$1,2),""),VLOOKUP($D97,素材!$1:$1016,COLUMN($F$1),FALSE))),VLOOKUP($C97,武器!$1:$998,COLUMN($O$1),FALSE)*VLOOKUP($D97,素材!$1:$1016,COLUMN($E$1),FALSE)/(LEN(VLOOKUP($D97,素材!$1:$1016,COLUMN($F$1),FALSE)) - LEN(SUBSTITUTE(VLOOKUP($D97,素材!$1:$1016,COLUMN($F$1),FALSE), "・", 0)) + 1), 0)</f>
        <v>0</v>
      </c>
      <c r="AW97">
        <f>IF(ISNUMBER(SEARCH(SUBSTITUTE(AW$1,RIGHT(AW$1,2),""),VLOOKUP($D97,素材!$1:$1016,COLUMN($F$1),FALSE))),VLOOKUP($C97,武器!$1:$998,COLUMN($O$1),FALSE)*VLOOKUP($D97,素材!$1:$1016,COLUMN($E$1),FALSE)/(LEN(VLOOKUP($D97,素材!$1:$1016,COLUMN($F$1),FALSE)) - LEN(SUBSTITUTE(VLOOKUP($D97,素材!$1:$1016,COLUMN($F$1),FALSE), "・", 0)) + 1), 0)</f>
        <v>0</v>
      </c>
      <c r="AX97">
        <f>IF(ISNUMBER(SEARCH(SUBSTITUTE(AX$1,RIGHT(AX$1,2),""),VLOOKUP($D97,素材!$1:$1016,COLUMN($F$1),FALSE))),VLOOKUP($C97,武器!$1:$998,COLUMN($O$1),FALSE)*VLOOKUP($D97,素材!$1:$1016,COLUMN($E$1),FALSE)/(LEN(VLOOKUP($D97,素材!$1:$1016,COLUMN($F$1),FALSE)) - LEN(SUBSTITUTE(VLOOKUP($D97,素材!$1:$1016,COLUMN($F$1),FALSE), "・", 0)) + 1), 0)</f>
        <v>0</v>
      </c>
      <c r="AY97">
        <f>IF(ISNUMBER(SEARCH(SUBSTITUTE(AY$1,RIGHT(AY$1,2),""),VLOOKUP($D97,素材!$1:$1016,COLUMN($F$1),FALSE))),VLOOKUP($C97,武器!$1:$998,COLUMN($O$1),FALSE)*VLOOKUP($D97,素材!$1:$1016,COLUMN($E$1),FALSE)/(LEN(VLOOKUP($D97,素材!$1:$1016,COLUMN($F$1),FALSE)) - LEN(SUBSTITUTE(VLOOKUP($D97,素材!$1:$1016,COLUMN($F$1),FALSE), "・", 0)) + 1), 0)</f>
        <v>0</v>
      </c>
      <c r="AZ97">
        <f>IF(ISNUMBER(SEARCH(SUBSTITUTE(AZ$1,RIGHT(AZ$1,2),""),VLOOKUP($D97,素材!$1:$1016,COLUMN($F$1),FALSE))),VLOOKUP($C97,武器!$1:$998,COLUMN($O$1),FALSE)*VLOOKUP($D97,素材!$1:$1016,COLUMN($E$1),FALSE)/(LEN(VLOOKUP($D97,素材!$1:$1016,COLUMN($F$1),FALSE)) - LEN(SUBSTITUTE(VLOOKUP($D97,素材!$1:$1016,COLUMN($F$1),FALSE), "・", 0)) + 1), 0)</f>
        <v>0</v>
      </c>
      <c r="BA97">
        <f>IF(ISNUMBER(SEARCH(SUBSTITUTE(BA$1,RIGHT(BA$1,2),""),VLOOKUP($D97,素材!$1:$1016,COLUMN($F$1),FALSE))),VLOOKUP($C97,武器!$1:$998,COLUMN($O$1),FALSE)*VLOOKUP($D97,素材!$1:$1016,COLUMN($E$1),FALSE)/(LEN(VLOOKUP($D97,素材!$1:$1016,COLUMN($F$1),FALSE)) - LEN(SUBSTITUTE(VLOOKUP($D97,素材!$1:$1016,COLUMN($F$1),FALSE), "・", 0)) + 1), 0)</f>
        <v>0</v>
      </c>
      <c r="BB97">
        <f>IF(ISNUMBER(SEARCH(SUBSTITUTE(BB$1,RIGHT(BB$1,2),""),VLOOKUP($D97,素材!$1:$1016,COLUMN($F$1),FALSE))),VLOOKUP($C97,武器!$1:$998,COLUMN($O$1),FALSE)*VLOOKUP($D97,素材!$1:$1016,COLUMN($E$1),FALSE)/(LEN(VLOOKUP($D97,素材!$1:$1016,COLUMN($F$1),FALSE)) - LEN(SUBSTITUTE(VLOOKUP($D97,素材!$1:$1016,COLUMN($F$1),FALSE), "・", 0)) + 1), 0)</f>
        <v>0</v>
      </c>
      <c r="BC97">
        <f>IF(ISNUMBER(SEARCH(SUBSTITUTE(BC$1,RIGHT(BC$1,2),""),VLOOKUP($D97,素材!$1:$1016,COLUMN($F$1),FALSE))),VLOOKUP($C97,武器!$1:$998,COLUMN($O$1),FALSE)*VLOOKUP($D97,素材!$1:$1016,COLUMN($E$1),FALSE)/(LEN(VLOOKUP($D97,素材!$1:$1016,COLUMN($F$1),FALSE)) - LEN(SUBSTITUTE(VLOOKUP($D97,素材!$1:$1016,COLUMN($F$1),FALSE), "・", 0)) + 1), 0)</f>
        <v>0</v>
      </c>
      <c r="BD97">
        <f>IF(ISNUMBER(SEARCH(SUBSTITUTE(BD$1,RIGHT(BD$1,2),""),VLOOKUP($D97,素材!$1:$1016,COLUMN($F$1),FALSE))),VLOOKUP($C97,武器!$1:$998,COLUMN($O$1),FALSE)*VLOOKUP($D97,素材!$1:$1016,COLUMN($E$1),FALSE)/(LEN(VLOOKUP($D97,素材!$1:$1016,COLUMN($F$1),FALSE)) - LEN(SUBSTITUTE(VLOOKUP($D97,素材!$1:$1016,COLUMN($F$1),FALSE), "・", 0)) + 1), 0)</f>
        <v>0</v>
      </c>
      <c r="BE97">
        <f>IF(ISNUMBER(SEARCH(SUBSTITUTE(BE$1,RIGHT(BE$1,2),""),VLOOKUP($D97,素材!$1:$1016,COLUMN($F$1),FALSE))),VLOOKUP($C97,武器!$1:$998,COLUMN($O$1),FALSE)*VLOOKUP($D97,素材!$1:$1016,COLUMN($E$1),FALSE)/(LEN(VLOOKUP($D97,素材!$1:$1016,COLUMN($F$1),FALSE)) - LEN(SUBSTITUTE(VLOOKUP($D97,素材!$1:$1016,COLUMN($F$1),FALSE), "・", 0)) + 1), 0)</f>
        <v>0</v>
      </c>
      <c r="CL97">
        <f>SUM(G97:I97)</f>
        <v>29</v>
      </c>
      <c r="CM97" s="22" t="str">
        <f>IF(E97="武器",IF(J97-1&gt;SUM(G97:I97),"盾",IF(MAX(G97:I97)=G97,"切断",IF(MAX(G97:I97)=H97,"貫通",IF(MAX(G97:I97)=I97,"打撃","射撃")))),E97)&amp;".webp"</f>
        <v>切断.webp</v>
      </c>
      <c r="CN97">
        <f>IFERROR(VLOOKUP($C97,武器!$1:$998,COLUMN(V$1),FALSE)*VLOOKUP($D97,素材!$1:$1016,COLUMN(N$1),FALSE)+IF(CI97="",0,VLOOKUP($CI97,装強!$1:$1008,COLUMN($CK$1),FALSE)),"")</f>
        <v>1125</v>
      </c>
      <c r="CO97" t="str">
        <f>VLOOKUP(D97,素材!$A:$O,COLUMN(素材!O$1),FALSE)</f>
        <v>鍛えられた鉄。硬度が高く安価なためよく使用される。</v>
      </c>
      <c r="CP97" t="str">
        <f>VLOOKUP(C97,武器!$A:$W,COLUMN(武器!W$1),FALSE)</f>
        <v>鞭。リーチが長く、敵を絡め取る戦闘に適する。</v>
      </c>
      <c r="CR97" t="str">
        <f t="shared" si="5"/>
        <v>e_97</v>
      </c>
      <c r="CS97">
        <f t="shared" si="6"/>
        <v>112500</v>
      </c>
    </row>
    <row r="98" spans="1:97" outlineLevel="1" x14ac:dyDescent="0.4">
      <c r="A98" t="str">
        <f t="shared" si="4"/>
        <v>鋼の丸盾</v>
      </c>
      <c r="B98" t="str">
        <f>IFERROR(VLOOKUP($D98,素材!$1:$1016,COLUMN($B$1),FALSE)&amp;"・"&amp;VLOOKUP($C98,武器!$1:$998,COLUMN(B$1),FALSE),"")</f>
        <v>スチール・バックラー</v>
      </c>
      <c r="C98" t="s">
        <v>222</v>
      </c>
      <c r="D98" s="24" t="s">
        <v>253</v>
      </c>
      <c r="E98" t="str">
        <f>IFERROR(VLOOKUP(C98,武器!$1:$998,COLUMN(C$1),FALSE),"")</f>
        <v>盾</v>
      </c>
      <c r="F98">
        <f>IFERROR(ROUNDDOWN((VLOOKUP($C98,武器!$1:$998,COLUMN(D$1),FALSE)+IFERROR(VLOOKUP($CI98,装強!$1:$999,COLUMN(F$1),FALSE),0))*VLOOKUP($D98,素材!$1:$1016,COLUMN(D$1),FALSE),0),"")</f>
        <v>105</v>
      </c>
      <c r="G98">
        <f>IFERROR(ROUNDDOWN((VLOOKUP($C98,武器!$1:$998,COLUMN(E$1),FALSE)+IFERROR(VLOOKUP($CI98,装強!$1:$999,COLUMN(G$1),FALSE),0))*VLOOKUP($D98,素材!$1:$1016,COLUMN($E$1),FALSE),0),"")</f>
        <v>10</v>
      </c>
      <c r="H98">
        <f>IFERROR(ROUNDDOWN((VLOOKUP($C98,武器!$1:$998,COLUMN(F$1),FALSE)+IFERROR(VLOOKUP($CI98,装強!$1:$999,COLUMN(H$1),FALSE),0))*VLOOKUP($D98,素材!$1:$1016,COLUMN($E$1),FALSE),0),"")</f>
        <v>0</v>
      </c>
      <c r="I98">
        <f>IFERROR(ROUNDDOWN((VLOOKUP($C98,武器!$1:$998,COLUMN(G$1),FALSE)+IFERROR(VLOOKUP($CI98,装強!$1:$999,COLUMN(I$1),FALSE),0))*VLOOKUP($D98,素材!$1:$1016,COLUMN($E$1),FALSE),0),"")</f>
        <v>10</v>
      </c>
      <c r="J98">
        <f>IFERROR(ROUNDDOWN((VLOOKUP($C98,武器!$1:$998,COLUMN(H$1),FALSE)+IFERROR(VLOOKUP($CI98,装強!$1:$999,COLUMN(J$1),FALSE),0))*VLOOKUP($D98,素材!$1:$1016,COLUMN($E$1),FALSE),0),"")</f>
        <v>31</v>
      </c>
      <c r="K98">
        <f>IFERROR(ROUNDDOWN((VLOOKUP($C98,武器!$1:$998,COLUMN(I$1),FALSE)+IFERROR(VLOOKUP($CI98,装強!$1:$999,COLUMN(K$1),FALSE),0))*VLOOKUP($D98,素材!$1:$1016,COLUMN($E$1),FALSE),0),"")</f>
        <v>0</v>
      </c>
      <c r="L98">
        <f>IFERROR(VLOOKUP($D98,素材!$1:$1016,COLUMN($F$1),FALSE),"")</f>
        <v>0</v>
      </c>
      <c r="M98">
        <f>IFERROR(VLOOKUP($C98,武器!$1:$998,COLUMN(AA$1),FALSE)*VLOOKUP($D98,素材!$1:$1016,COLUMN($G$1),FALSE),"")</f>
        <v>0</v>
      </c>
      <c r="N98">
        <f>IFERROR(VLOOKUP($C98,武器!$1:$998,COLUMN(I$1),FALSE),"")</f>
        <v>0</v>
      </c>
      <c r="O98" s="23">
        <f>IFERROR((VLOOKUP($C98,武器!$1:$998,COLUMN(K$1),FALSE)+VLOOKUP($D98,素材!$1:$1016,COLUMN(H$1),FALSE))*100+IFERROR(VLOOKUP($CI98,装強!$1:$999,COLUMN(O$1),FALSE),0),"")</f>
        <v>5</v>
      </c>
      <c r="P98" s="23">
        <f>IFERROR((VLOOKUP($C98,武器!$1:$998,COLUMN(L$1),FALSE)+VLOOKUP($D98,素材!$1:$1016,COLUMN(I$1),FALSE))*100+IFERROR(VLOOKUP($CI98,装強!$1:$999,COLUMN(P$1),FALSE),0),"")</f>
        <v>125</v>
      </c>
      <c r="Q98">
        <f>IFERROR(ROUNDUP(VLOOKUP($C98,武器!$1:$998,COLUMN(M$1),FALSE)*(VLOOKUP($D98,素材!$1:$1002,COLUMN(D$1),FALSE)/100),1),"")</f>
        <v>0</v>
      </c>
      <c r="R98">
        <f>IFERROR(ROUNDUP(VLOOKUP($C98,武器!$1:$998,COLUMN(N$1),FALSE)*(VLOOKUP($D98,素材!$1:$1002,COLUMN(D$1),FALSE)/100),1),"")</f>
        <v>0</v>
      </c>
      <c r="S98">
        <f>IFERROR(VLOOKUP($C98,武器!$1:$998,COLUMN(P$1),FALSE),"")</f>
        <v>0</v>
      </c>
      <c r="T98">
        <f>IFERROR(VLOOKUP($C98,武器!$1:$998,COLUMN(Q$1),FALSE),"")</f>
        <v>0</v>
      </c>
      <c r="U98">
        <f>IFERROR(VLOOKUP($C98,武器!$1:$998,COLUMN(R$1),FALSE),"")</f>
        <v>0</v>
      </c>
      <c r="V98">
        <f>IFERROR(VLOOKUP($C98,武器!$1:$998,COLUMN(Q$1),FALSE),"")</f>
        <v>0</v>
      </c>
      <c r="W98" t="str">
        <f>IFERROR(VLOOKUP($C98,武器!$1:$998,COLUMN(T$1),FALSE),"")</f>
        <v>A</v>
      </c>
      <c r="Y98" t="str">
        <f>IFERROR(VLOOKUP($C98,武器!$1:$998,COLUMN(U$1),FALSE),"")</f>
        <v>投擲強化,片手適性Ⅱ</v>
      </c>
      <c r="Z98">
        <f>IFERROR(ROUNDUP(VLOOKUP($C98,武器!$1:$998,COLUMN(O$1),FALSE)*VLOOKUP($D98,素材!$1:$1016,COLUMN(E$1),FALSE),1),"")</f>
        <v>0</v>
      </c>
      <c r="AA98">
        <f>IF(ISNUMBER(SEARCH(SUBSTITUTE(AA$1,RIGHT(AA$1,2),""),VLOOKUP($D98,素材!$1:$1016,COLUMN($F$1),FALSE))),VLOOKUP($C98,武器!$1:$998,COLUMN($O$1),FALSE)*VLOOKUP($D98,素材!$1:$1016,COLUMN($E$1),FALSE)/(LEN(VLOOKUP($D98,素材!$1:$1016,COLUMN($F$1),FALSE)) - LEN(SUBSTITUTE(VLOOKUP($D98,素材!$1:$1016,COLUMN($F$1),FALSE), "・", 0)) + 1), 0)</f>
        <v>0</v>
      </c>
      <c r="AB98">
        <f>IF(ISNUMBER(SEARCH(SUBSTITUTE(AB$1,RIGHT(AB$1,2),""),VLOOKUP($D98,素材!$1:$1016,COLUMN($F$1),FALSE))),VLOOKUP($C98,武器!$1:$998,COLUMN($O$1),FALSE)*VLOOKUP($D98,素材!$1:$1016,COLUMN($E$1),FALSE)/(LEN(VLOOKUP($D98,素材!$1:$1016,COLUMN($F$1),FALSE)) - LEN(SUBSTITUTE(VLOOKUP($D98,素材!$1:$1016,COLUMN($F$1),FALSE), "・", 0)) + 1), 0)</f>
        <v>0</v>
      </c>
      <c r="AC98">
        <f>IF(ISNUMBER(SEARCH(SUBSTITUTE(AC$1,RIGHT(AC$1,2),""),VLOOKUP($D98,素材!$1:$1016,COLUMN($F$1),FALSE))),VLOOKUP($C98,武器!$1:$998,COLUMN($O$1),FALSE)*VLOOKUP($D98,素材!$1:$1016,COLUMN($E$1),FALSE)/(LEN(VLOOKUP($D98,素材!$1:$1016,COLUMN($F$1),FALSE)) - LEN(SUBSTITUTE(VLOOKUP($D98,素材!$1:$1016,COLUMN($F$1),FALSE), "・", 0)) + 1), 0)</f>
        <v>0</v>
      </c>
      <c r="AD98">
        <f>IF(ISNUMBER(SEARCH(SUBSTITUTE(AD$1,RIGHT(AD$1,2),""),VLOOKUP($D98,素材!$1:$1016,COLUMN($F$1),FALSE))),VLOOKUP($C98,武器!$1:$998,COLUMN($O$1),FALSE)*VLOOKUP($D98,素材!$1:$1016,COLUMN($E$1),FALSE)/(LEN(VLOOKUP($D98,素材!$1:$1016,COLUMN($F$1),FALSE)) - LEN(SUBSTITUTE(VLOOKUP($D98,素材!$1:$1016,COLUMN($F$1),FALSE), "・", 0)) + 1), 0)</f>
        <v>0</v>
      </c>
      <c r="AE98">
        <f>IF(ISNUMBER(SEARCH(SUBSTITUTE(AE$1,RIGHT(AE$1,2),""),VLOOKUP($D98,素材!$1:$1016,COLUMN($F$1),FALSE))),VLOOKUP($C98,武器!$1:$998,COLUMN($O$1),FALSE)*VLOOKUP($D98,素材!$1:$1016,COLUMN($E$1),FALSE)/(LEN(VLOOKUP($D98,素材!$1:$1016,COLUMN($F$1),FALSE)) - LEN(SUBSTITUTE(VLOOKUP($D98,素材!$1:$1016,COLUMN($F$1),FALSE), "・", 0)) + 1), 0)</f>
        <v>0</v>
      </c>
      <c r="AF98">
        <f>IF(ISNUMBER(SEARCH(SUBSTITUTE(AF$1,RIGHT(AF$1,2),""),VLOOKUP($D98,素材!$1:$1016,COLUMN($F$1),FALSE))),VLOOKUP($C98,武器!$1:$998,COLUMN($O$1),FALSE)*VLOOKUP($D98,素材!$1:$1016,COLUMN($E$1),FALSE)/(LEN(VLOOKUP($D98,素材!$1:$1016,COLUMN($F$1),FALSE)) - LEN(SUBSTITUTE(VLOOKUP($D98,素材!$1:$1016,COLUMN($F$1),FALSE), "・", 0)) + 1), 0)</f>
        <v>0</v>
      </c>
      <c r="AG98">
        <f>IF(ISNUMBER(SEARCH(SUBSTITUTE(AG$1,RIGHT(AG$1,2),""),VLOOKUP($D98,素材!$1:$1016,COLUMN($F$1),FALSE))),VLOOKUP($C98,武器!$1:$998,COLUMN($O$1),FALSE)*VLOOKUP($D98,素材!$1:$1016,COLUMN($E$1),FALSE)/(LEN(VLOOKUP($D98,素材!$1:$1016,COLUMN($F$1),FALSE)) - LEN(SUBSTITUTE(VLOOKUP($D98,素材!$1:$1016,COLUMN($F$1),FALSE), "・", 0)) + 1), 0)</f>
        <v>0</v>
      </c>
      <c r="AH98">
        <f>IF(ISNUMBER(SEARCH(SUBSTITUTE(AH$1,RIGHT(AH$1,2),""),VLOOKUP($D98,素材!$1:$1016,COLUMN($F$1),FALSE))),VLOOKUP($C98,武器!$1:$998,COLUMN($O$1),FALSE)*VLOOKUP($D98,素材!$1:$1016,COLUMN($E$1),FALSE)/(LEN(VLOOKUP($D98,素材!$1:$1016,COLUMN($F$1),FALSE)) - LEN(SUBSTITUTE(VLOOKUP($D98,素材!$1:$1016,COLUMN($F$1),FALSE), "・", 0)) + 1), 0)</f>
        <v>0</v>
      </c>
      <c r="AI98">
        <f>IF(ISNUMBER(SEARCH(SUBSTITUTE(AI$1,RIGHT(AI$1,2),""),VLOOKUP($D98,素材!$1:$1016,COLUMN($F$1),FALSE))),VLOOKUP($C98,武器!$1:$998,COLUMN($O$1),FALSE)*VLOOKUP($D98,素材!$1:$1016,COLUMN($E$1),FALSE)/(LEN(VLOOKUP($D98,素材!$1:$1016,COLUMN($F$1),FALSE)) - LEN(SUBSTITUTE(VLOOKUP($D98,素材!$1:$1016,COLUMN($F$1),FALSE), "・", 0)) + 1), 0)</f>
        <v>0</v>
      </c>
      <c r="AJ98">
        <f>IF(ISNUMBER(SEARCH(SUBSTITUTE(AJ$1,RIGHT(AJ$1,2),""),VLOOKUP($D98,素材!$1:$1016,COLUMN($F$1),FALSE))),VLOOKUP($C98,武器!$1:$998,COLUMN($O$1),FALSE)*VLOOKUP($D98,素材!$1:$1016,COLUMN($E$1),FALSE)/(LEN(VLOOKUP($D98,素材!$1:$1016,COLUMN($F$1),FALSE)) - LEN(SUBSTITUTE(VLOOKUP($D98,素材!$1:$1016,COLUMN($F$1),FALSE), "・", 0)) + 1), 0)</f>
        <v>0</v>
      </c>
      <c r="AK98">
        <f>IF(ISNUMBER(SEARCH(SUBSTITUTE(AK$1,RIGHT(AK$1,2),""),VLOOKUP($D98,素材!$1:$1016,COLUMN($F$1),FALSE))),VLOOKUP($C98,武器!$1:$998,COLUMN($O$1),FALSE)*VLOOKUP($D98,素材!$1:$1016,COLUMN($E$1),FALSE)/(LEN(VLOOKUP($D98,素材!$1:$1016,COLUMN($F$1),FALSE)) - LEN(SUBSTITUTE(VLOOKUP($D98,素材!$1:$1016,COLUMN($F$1),FALSE), "・", 0)) + 1), 0)</f>
        <v>0</v>
      </c>
      <c r="AL98">
        <f>IF(ISNUMBER(SEARCH(SUBSTITUTE(AL$1,RIGHT(AL$1,2),""),VLOOKUP($D98,素材!$1:$1016,COLUMN($F$1),FALSE))),VLOOKUP($C98,武器!$1:$998,COLUMN($O$1),FALSE)*VLOOKUP($D98,素材!$1:$1016,COLUMN($E$1),FALSE)/(LEN(VLOOKUP($D98,素材!$1:$1016,COLUMN($F$1),FALSE)) - LEN(SUBSTITUTE(VLOOKUP($D98,素材!$1:$1016,COLUMN($F$1),FALSE), "・", 0)) + 1), 0)</f>
        <v>0</v>
      </c>
      <c r="AM98">
        <f>IF(ISNUMBER(SEARCH(SUBSTITUTE(AM$1,RIGHT(AM$1,2),""),VLOOKUP($D98,素材!$1:$1016,COLUMN($F$1),FALSE))),VLOOKUP($C98,武器!$1:$998,COLUMN($O$1),FALSE)*VLOOKUP($D98,素材!$1:$1016,COLUMN($E$1),FALSE)/(LEN(VLOOKUP($D98,素材!$1:$1016,COLUMN($F$1),FALSE)) - LEN(SUBSTITUTE(VLOOKUP($D98,素材!$1:$1016,COLUMN($F$1),FALSE), "・", 0)) + 1), 0)</f>
        <v>0</v>
      </c>
      <c r="AN98">
        <f>IF(ISNUMBER(SEARCH(SUBSTITUTE(AN$1,RIGHT(AN$1,2),""),VLOOKUP($D98,素材!$1:$1016,COLUMN($F$1),FALSE))),VLOOKUP($C98,武器!$1:$998,COLUMN($O$1),FALSE)*VLOOKUP($D98,素材!$1:$1016,COLUMN($E$1),FALSE)/(LEN(VLOOKUP($D98,素材!$1:$1016,COLUMN($F$1),FALSE)) - LEN(SUBSTITUTE(VLOOKUP($D98,素材!$1:$1016,COLUMN($F$1),FALSE), "・", 0)) + 1), 0)</f>
        <v>0</v>
      </c>
      <c r="AO98">
        <f>IF(ISNUMBER(SEARCH(SUBSTITUTE(AO$1,RIGHT(AO$1,2),""),VLOOKUP($D98,素材!$1:$1016,COLUMN($F$1),FALSE))),VLOOKUP($C98,武器!$1:$998,COLUMN($O$1),FALSE)*VLOOKUP($D98,素材!$1:$1016,COLUMN($E$1),FALSE)/(LEN(VLOOKUP($D98,素材!$1:$1016,COLUMN($F$1),FALSE)) - LEN(SUBSTITUTE(VLOOKUP($D98,素材!$1:$1016,COLUMN($F$1),FALSE), "・", 0)) + 1), 0)</f>
        <v>0</v>
      </c>
      <c r="AP98">
        <f>IF(ISNUMBER(SEARCH(SUBSTITUTE(AP$1,RIGHT(AP$1,2),""),VLOOKUP($D98,素材!$1:$1016,COLUMN($F$1),FALSE))),VLOOKUP($C98,武器!$1:$998,COLUMN($O$1),FALSE)*VLOOKUP($D98,素材!$1:$1016,COLUMN($E$1),FALSE)/(LEN(VLOOKUP($D98,素材!$1:$1016,COLUMN($F$1),FALSE)) - LEN(SUBSTITUTE(VLOOKUP($D98,素材!$1:$1016,COLUMN($F$1),FALSE), "・", 0)) + 1), 0)</f>
        <v>0</v>
      </c>
      <c r="AQ98">
        <f>IF(ISNUMBER(SEARCH(SUBSTITUTE(AQ$1,RIGHT(AQ$1,2),""),VLOOKUP($D98,素材!$1:$1016,COLUMN($F$1),FALSE))),VLOOKUP($C98,武器!$1:$998,COLUMN($O$1),FALSE)*VLOOKUP($D98,素材!$1:$1016,COLUMN($E$1),FALSE)/(LEN(VLOOKUP($D98,素材!$1:$1016,COLUMN($F$1),FALSE)) - LEN(SUBSTITUTE(VLOOKUP($D98,素材!$1:$1016,COLUMN($F$1),FALSE), "・", 0)) + 1), 0)</f>
        <v>0</v>
      </c>
      <c r="AR98">
        <f>IF(ISNUMBER(SEARCH(SUBSTITUTE(AR$1,RIGHT(AR$1,2),""),VLOOKUP($D98,素材!$1:$1016,COLUMN($F$1),FALSE))),VLOOKUP($C98,武器!$1:$998,COLUMN($O$1),FALSE)*VLOOKUP($D98,素材!$1:$1016,COLUMN($E$1),FALSE)/(LEN(VLOOKUP($D98,素材!$1:$1016,COLUMN($F$1),FALSE)) - LEN(SUBSTITUTE(VLOOKUP($D98,素材!$1:$1016,COLUMN($F$1),FALSE), "・", 0)) + 1), 0)</f>
        <v>0</v>
      </c>
      <c r="AS98">
        <f>IF(ISNUMBER(SEARCH(SUBSTITUTE(AS$1,RIGHT(AS$1,2),""),VLOOKUP($D98,素材!$1:$1016,COLUMN($F$1),FALSE))),VLOOKUP($C98,武器!$1:$998,COLUMN($O$1),FALSE)*VLOOKUP($D98,素材!$1:$1016,COLUMN($E$1),FALSE)/(LEN(VLOOKUP($D98,素材!$1:$1016,COLUMN($F$1),FALSE)) - LEN(SUBSTITUTE(VLOOKUP($D98,素材!$1:$1016,COLUMN($F$1),FALSE), "・", 0)) + 1), 0)</f>
        <v>0</v>
      </c>
      <c r="AT98">
        <f>IF(ISNUMBER(SEARCH(SUBSTITUTE(AT$1,RIGHT(AT$1,2),""),VLOOKUP($D98,素材!$1:$1016,COLUMN($F$1),FALSE))),VLOOKUP($C98,武器!$1:$998,COLUMN($O$1),FALSE)*VLOOKUP($D98,素材!$1:$1016,COLUMN($E$1),FALSE)/(LEN(VLOOKUP($D98,素材!$1:$1016,COLUMN($F$1),FALSE)) - LEN(SUBSTITUTE(VLOOKUP($D98,素材!$1:$1016,COLUMN($F$1),FALSE), "・", 0)) + 1), 0)</f>
        <v>0</v>
      </c>
      <c r="AU98">
        <f>IF(ISNUMBER(SEARCH(SUBSTITUTE(AU$1,RIGHT(AU$1,2),""),VLOOKUP($D98,素材!$1:$1016,COLUMN($F$1),FALSE))),VLOOKUP($C98,武器!$1:$998,COLUMN($O$1),FALSE)*VLOOKUP($D98,素材!$1:$1016,COLUMN($E$1),FALSE)/(LEN(VLOOKUP($D98,素材!$1:$1016,COLUMN($F$1),FALSE)) - LEN(SUBSTITUTE(VLOOKUP($D98,素材!$1:$1016,COLUMN($F$1),FALSE), "・", 0)) + 1), 0)</f>
        <v>0</v>
      </c>
      <c r="AV98">
        <f>IF(ISNUMBER(SEARCH(SUBSTITUTE(AV$1,RIGHT(AV$1,2),""),VLOOKUP($D98,素材!$1:$1016,COLUMN($F$1),FALSE))),VLOOKUP($C98,武器!$1:$998,COLUMN($O$1),FALSE)*VLOOKUP($D98,素材!$1:$1016,COLUMN($E$1),FALSE)/(LEN(VLOOKUP($D98,素材!$1:$1016,COLUMN($F$1),FALSE)) - LEN(SUBSTITUTE(VLOOKUP($D98,素材!$1:$1016,COLUMN($F$1),FALSE), "・", 0)) + 1), 0)</f>
        <v>0</v>
      </c>
      <c r="AW98">
        <f>IF(ISNUMBER(SEARCH(SUBSTITUTE(AW$1,RIGHT(AW$1,2),""),VLOOKUP($D98,素材!$1:$1016,COLUMN($F$1),FALSE))),VLOOKUP($C98,武器!$1:$998,COLUMN($O$1),FALSE)*VLOOKUP($D98,素材!$1:$1016,COLUMN($E$1),FALSE)/(LEN(VLOOKUP($D98,素材!$1:$1016,COLUMN($F$1),FALSE)) - LEN(SUBSTITUTE(VLOOKUP($D98,素材!$1:$1016,COLUMN($F$1),FALSE), "・", 0)) + 1), 0)</f>
        <v>0</v>
      </c>
      <c r="AX98">
        <f>IF(ISNUMBER(SEARCH(SUBSTITUTE(AX$1,RIGHT(AX$1,2),""),VLOOKUP($D98,素材!$1:$1016,COLUMN($F$1),FALSE))),VLOOKUP($C98,武器!$1:$998,COLUMN($O$1),FALSE)*VLOOKUP($D98,素材!$1:$1016,COLUMN($E$1),FALSE)/(LEN(VLOOKUP($D98,素材!$1:$1016,COLUMN($F$1),FALSE)) - LEN(SUBSTITUTE(VLOOKUP($D98,素材!$1:$1016,COLUMN($F$1),FALSE), "・", 0)) + 1), 0)</f>
        <v>0</v>
      </c>
      <c r="AY98">
        <f>IF(ISNUMBER(SEARCH(SUBSTITUTE(AY$1,RIGHT(AY$1,2),""),VLOOKUP($D98,素材!$1:$1016,COLUMN($F$1),FALSE))),VLOOKUP($C98,武器!$1:$998,COLUMN($O$1),FALSE)*VLOOKUP($D98,素材!$1:$1016,COLUMN($E$1),FALSE)/(LEN(VLOOKUP($D98,素材!$1:$1016,COLUMN($F$1),FALSE)) - LEN(SUBSTITUTE(VLOOKUP($D98,素材!$1:$1016,COLUMN($F$1),FALSE), "・", 0)) + 1), 0)</f>
        <v>0</v>
      </c>
      <c r="AZ98">
        <f>IF(ISNUMBER(SEARCH(SUBSTITUTE(AZ$1,RIGHT(AZ$1,2),""),VLOOKUP($D98,素材!$1:$1016,COLUMN($F$1),FALSE))),VLOOKUP($C98,武器!$1:$998,COLUMN($O$1),FALSE)*VLOOKUP($D98,素材!$1:$1016,COLUMN($E$1),FALSE)/(LEN(VLOOKUP($D98,素材!$1:$1016,COLUMN($F$1),FALSE)) - LEN(SUBSTITUTE(VLOOKUP($D98,素材!$1:$1016,COLUMN($F$1),FALSE), "・", 0)) + 1), 0)</f>
        <v>0</v>
      </c>
      <c r="BA98">
        <f>IF(ISNUMBER(SEARCH(SUBSTITUTE(BA$1,RIGHT(BA$1,2),""),VLOOKUP($D98,素材!$1:$1016,COLUMN($F$1),FALSE))),VLOOKUP($C98,武器!$1:$998,COLUMN($O$1),FALSE)*VLOOKUP($D98,素材!$1:$1016,COLUMN($E$1),FALSE)/(LEN(VLOOKUP($D98,素材!$1:$1016,COLUMN($F$1),FALSE)) - LEN(SUBSTITUTE(VLOOKUP($D98,素材!$1:$1016,COLUMN($F$1),FALSE), "・", 0)) + 1), 0)</f>
        <v>0</v>
      </c>
      <c r="BB98">
        <f>IF(ISNUMBER(SEARCH(SUBSTITUTE(BB$1,RIGHT(BB$1,2),""),VLOOKUP($D98,素材!$1:$1016,COLUMN($F$1),FALSE))),VLOOKUP($C98,武器!$1:$998,COLUMN($O$1),FALSE)*VLOOKUP($D98,素材!$1:$1016,COLUMN($E$1),FALSE)/(LEN(VLOOKUP($D98,素材!$1:$1016,COLUMN($F$1),FALSE)) - LEN(SUBSTITUTE(VLOOKUP($D98,素材!$1:$1016,COLUMN($F$1),FALSE), "・", 0)) + 1), 0)</f>
        <v>0</v>
      </c>
      <c r="BC98">
        <f>IF(ISNUMBER(SEARCH(SUBSTITUTE(BC$1,RIGHT(BC$1,2),""),VLOOKUP($D98,素材!$1:$1016,COLUMN($F$1),FALSE))),VLOOKUP($C98,武器!$1:$998,COLUMN($O$1),FALSE)*VLOOKUP($D98,素材!$1:$1016,COLUMN($E$1),FALSE)/(LEN(VLOOKUP($D98,素材!$1:$1016,COLUMN($F$1),FALSE)) - LEN(SUBSTITUTE(VLOOKUP($D98,素材!$1:$1016,COLUMN($F$1),FALSE), "・", 0)) + 1), 0)</f>
        <v>0</v>
      </c>
      <c r="BD98">
        <f>IF(ISNUMBER(SEARCH(SUBSTITUTE(BD$1,RIGHT(BD$1,2),""),VLOOKUP($D98,素材!$1:$1016,COLUMN($F$1),FALSE))),VLOOKUP($C98,武器!$1:$998,COLUMN($O$1),FALSE)*VLOOKUP($D98,素材!$1:$1016,COLUMN($E$1),FALSE)/(LEN(VLOOKUP($D98,素材!$1:$1016,COLUMN($F$1),FALSE)) - LEN(SUBSTITUTE(VLOOKUP($D98,素材!$1:$1016,COLUMN($F$1),FALSE), "・", 0)) + 1), 0)</f>
        <v>0</v>
      </c>
      <c r="BE98">
        <f>IF(ISNUMBER(SEARCH(SUBSTITUTE(BE$1,RIGHT(BE$1,2),""),VLOOKUP($D98,素材!$1:$1016,COLUMN($F$1),FALSE))),VLOOKUP($C98,武器!$1:$998,COLUMN($O$1),FALSE)*VLOOKUP($D98,素材!$1:$1016,COLUMN($E$1),FALSE)/(LEN(VLOOKUP($D98,素材!$1:$1016,COLUMN($F$1),FALSE)) - LEN(SUBSTITUTE(VLOOKUP($D98,素材!$1:$1016,COLUMN($F$1),FALSE), "・", 0)) + 1), 0)</f>
        <v>0</v>
      </c>
      <c r="CL98">
        <f>SUM(G98:I98)</f>
        <v>20</v>
      </c>
      <c r="CM98" s="22" t="str">
        <f>IF(E98="武器",IF(J98-1&gt;SUM(G98:I98),"盾",IF(MAX(G98:I98)=G98,"切断",IF(MAX(G98:I98)=H98,"貫通",IF(MAX(G98:I98)=I98,"打撃","射撃")))),E98)&amp;".webp"</f>
        <v>盾.webp</v>
      </c>
      <c r="CN98">
        <f>IFERROR(VLOOKUP($C98,武器!$1:$998,COLUMN(V$1),FALSE)*VLOOKUP($D98,素材!$1:$1016,COLUMN(N$1),FALSE)+IF(CI98="",0,VLOOKUP($CI98,装強!$1:$1008,COLUMN($CK$1),FALSE)),"")</f>
        <v>675</v>
      </c>
      <c r="CO98" t="str">
        <f>VLOOKUP(D98,素材!$A:$O,COLUMN(素材!O$1),FALSE)</f>
        <v>鍛えられた鉄。硬度が高く安価なためよく使用される。</v>
      </c>
      <c r="CP98" t="str">
        <f>VLOOKUP(C98,武器!$A:$W,COLUMN(武器!W$1),FALSE)</f>
        <v>丸盾。軽量で投擲にも使える盾。</v>
      </c>
      <c r="CR98" t="str">
        <f t="shared" si="5"/>
        <v>e_98</v>
      </c>
      <c r="CS98">
        <f t="shared" si="6"/>
        <v>67500</v>
      </c>
    </row>
    <row r="99" spans="1:97" outlineLevel="1" x14ac:dyDescent="0.4">
      <c r="A99" t="str">
        <f t="shared" ref="A99:A137" si="7">D99&amp;"の"&amp;C99</f>
        <v>鋼の盾</v>
      </c>
      <c r="B99" t="str">
        <f>IFERROR(VLOOKUP($D99,素材!$1:$1016,COLUMN($B$1),FALSE)&amp;"・"&amp;VLOOKUP($C99,武器!$1:$998,COLUMN(B$1),FALSE),"")</f>
        <v>スチール・シールド</v>
      </c>
      <c r="C99" t="s">
        <v>221</v>
      </c>
      <c r="D99" s="24" t="s">
        <v>253</v>
      </c>
      <c r="E99" t="str">
        <f>IFERROR(VLOOKUP(C99,武器!$1:$998,COLUMN(C$1),FALSE),"")</f>
        <v>盾</v>
      </c>
      <c r="F99">
        <f>IFERROR(ROUNDDOWN((VLOOKUP($C99,武器!$1:$998,COLUMN(D$1),FALSE)+IFERROR(VLOOKUP($CI99,装強!$1:$999,COLUMN(F$1),FALSE),0))*VLOOKUP($D99,素材!$1:$1016,COLUMN(D$1),FALSE),0),"")</f>
        <v>105</v>
      </c>
      <c r="G99">
        <f>IFERROR(ROUNDDOWN((VLOOKUP($C99,武器!$1:$998,COLUMN(E$1),FALSE)+IFERROR(VLOOKUP($CI99,装強!$1:$999,COLUMN(G$1),FALSE),0))*VLOOKUP($D99,素材!$1:$1016,COLUMN($E$1),FALSE),0),"")</f>
        <v>0</v>
      </c>
      <c r="H99">
        <f>IFERROR(ROUNDDOWN((VLOOKUP($C99,武器!$1:$998,COLUMN(F$1),FALSE)+IFERROR(VLOOKUP($CI99,装強!$1:$999,COLUMN(H$1),FALSE),0))*VLOOKUP($D99,素材!$1:$1016,COLUMN($E$1),FALSE),0),"")</f>
        <v>0</v>
      </c>
      <c r="I99">
        <f>IFERROR(ROUNDDOWN((VLOOKUP($C99,武器!$1:$998,COLUMN(G$1),FALSE)+IFERROR(VLOOKUP($CI99,装強!$1:$999,COLUMN(I$1),FALSE),0))*VLOOKUP($D99,素材!$1:$1016,COLUMN($E$1),FALSE),0),"")</f>
        <v>21</v>
      </c>
      <c r="J99">
        <f>IFERROR(ROUNDDOWN((VLOOKUP($C99,武器!$1:$998,COLUMN(H$1),FALSE)+IFERROR(VLOOKUP($CI99,装強!$1:$999,COLUMN(J$1),FALSE),0))*VLOOKUP($D99,素材!$1:$1016,COLUMN($E$1),FALSE),0),"")</f>
        <v>33</v>
      </c>
      <c r="K99">
        <f>IFERROR(ROUNDDOWN((VLOOKUP($C99,武器!$1:$998,COLUMN(I$1),FALSE)+IFERROR(VLOOKUP($CI99,装強!$1:$999,COLUMN(K$1),FALSE),0))*VLOOKUP($D99,素材!$1:$1016,COLUMN($E$1),FALSE),0),"")</f>
        <v>0</v>
      </c>
      <c r="L99">
        <f>IFERROR(VLOOKUP($D99,素材!$1:$1016,COLUMN($F$1),FALSE),"")</f>
        <v>0</v>
      </c>
      <c r="M99">
        <f>IFERROR(VLOOKUP($C99,武器!$1:$998,COLUMN(AA$1),FALSE)*VLOOKUP($D99,素材!$1:$1016,COLUMN($G$1),FALSE),"")</f>
        <v>0</v>
      </c>
      <c r="N99">
        <f>IFERROR(VLOOKUP($C99,武器!$1:$998,COLUMN(I$1),FALSE),"")</f>
        <v>0</v>
      </c>
      <c r="O99" s="23">
        <f>IFERROR((VLOOKUP($C99,武器!$1:$998,COLUMN(K$1),FALSE)+VLOOKUP($D99,素材!$1:$1016,COLUMN(H$1),FALSE))*100+IFERROR(VLOOKUP($CI99,装強!$1:$999,COLUMN(O$1),FALSE),0),"")</f>
        <v>5</v>
      </c>
      <c r="P99" s="23">
        <f>IFERROR((VLOOKUP($C99,武器!$1:$998,COLUMN(L$1),FALSE)+VLOOKUP($D99,素材!$1:$1016,COLUMN(I$1),FALSE))*100+IFERROR(VLOOKUP($CI99,装強!$1:$999,COLUMN(P$1),FALSE),0),"")</f>
        <v>125</v>
      </c>
      <c r="Q99">
        <f>IFERROR(ROUNDUP(VLOOKUP($C99,武器!$1:$998,COLUMN(M$1),FALSE)*(VLOOKUP($D99,素材!$1:$1002,COLUMN(D$1),FALSE)/100),1),"")</f>
        <v>0</v>
      </c>
      <c r="R99">
        <f>IFERROR(ROUNDUP(VLOOKUP($C99,武器!$1:$998,COLUMN(N$1),FALSE)*(VLOOKUP($D99,素材!$1:$1002,COLUMN(D$1),FALSE)/100),1),"")</f>
        <v>0</v>
      </c>
      <c r="S99">
        <f>IFERROR(VLOOKUP($C99,武器!$1:$998,COLUMN(P$1),FALSE),"")</f>
        <v>0</v>
      </c>
      <c r="T99">
        <f>IFERROR(VLOOKUP($C99,武器!$1:$998,COLUMN(Q$1),FALSE),"")</f>
        <v>0</v>
      </c>
      <c r="U99">
        <f>IFERROR(VLOOKUP($C99,武器!$1:$998,COLUMN(R$1),FALSE),"")</f>
        <v>0</v>
      </c>
      <c r="V99">
        <f>IFERROR(VLOOKUP($C99,武器!$1:$998,COLUMN(Q$1),FALSE),"")</f>
        <v>0</v>
      </c>
      <c r="W99" t="str">
        <f>IFERROR(VLOOKUP($C99,武器!$1:$998,COLUMN(T$1),FALSE),"")</f>
        <v>A</v>
      </c>
      <c r="Y99" t="str">
        <f>IFERROR(VLOOKUP($C99,武器!$1:$998,COLUMN(U$1),FALSE),"")</f>
        <v>片手適性Ⅱ</v>
      </c>
      <c r="Z99">
        <f>IFERROR(ROUNDUP(VLOOKUP($C99,武器!$1:$998,COLUMN(O$1),FALSE)*VLOOKUP($D99,素材!$1:$1016,COLUMN(E$1),FALSE),1),"")</f>
        <v>0</v>
      </c>
      <c r="AA99">
        <f>IF(ISNUMBER(SEARCH(SUBSTITUTE(AA$1,RIGHT(AA$1,2),""),VLOOKUP($D99,素材!$1:$1016,COLUMN($F$1),FALSE))),VLOOKUP($C99,武器!$1:$998,COLUMN($O$1),FALSE)*VLOOKUP($D99,素材!$1:$1016,COLUMN($E$1),FALSE)/(LEN(VLOOKUP($D99,素材!$1:$1016,COLUMN($F$1),FALSE)) - LEN(SUBSTITUTE(VLOOKUP($D99,素材!$1:$1016,COLUMN($F$1),FALSE), "・", 0)) + 1), 0)</f>
        <v>0</v>
      </c>
      <c r="AB99">
        <f>IF(ISNUMBER(SEARCH(SUBSTITUTE(AB$1,RIGHT(AB$1,2),""),VLOOKUP($D99,素材!$1:$1016,COLUMN($F$1),FALSE))),VLOOKUP($C99,武器!$1:$998,COLUMN($O$1),FALSE)*VLOOKUP($D99,素材!$1:$1016,COLUMN($E$1),FALSE)/(LEN(VLOOKUP($D99,素材!$1:$1016,COLUMN($F$1),FALSE)) - LEN(SUBSTITUTE(VLOOKUP($D99,素材!$1:$1016,COLUMN($F$1),FALSE), "・", 0)) + 1), 0)</f>
        <v>0</v>
      </c>
      <c r="AC99">
        <f>IF(ISNUMBER(SEARCH(SUBSTITUTE(AC$1,RIGHT(AC$1,2),""),VLOOKUP($D99,素材!$1:$1016,COLUMN($F$1),FALSE))),VLOOKUP($C99,武器!$1:$998,COLUMN($O$1),FALSE)*VLOOKUP($D99,素材!$1:$1016,COLUMN($E$1),FALSE)/(LEN(VLOOKUP($D99,素材!$1:$1016,COLUMN($F$1),FALSE)) - LEN(SUBSTITUTE(VLOOKUP($D99,素材!$1:$1016,COLUMN($F$1),FALSE), "・", 0)) + 1), 0)</f>
        <v>0</v>
      </c>
      <c r="AD99">
        <f>IF(ISNUMBER(SEARCH(SUBSTITUTE(AD$1,RIGHT(AD$1,2),""),VLOOKUP($D99,素材!$1:$1016,COLUMN($F$1),FALSE))),VLOOKUP($C99,武器!$1:$998,COLUMN($O$1),FALSE)*VLOOKUP($D99,素材!$1:$1016,COLUMN($E$1),FALSE)/(LEN(VLOOKUP($D99,素材!$1:$1016,COLUMN($F$1),FALSE)) - LEN(SUBSTITUTE(VLOOKUP($D99,素材!$1:$1016,COLUMN($F$1),FALSE), "・", 0)) + 1), 0)</f>
        <v>0</v>
      </c>
      <c r="AE99">
        <f>IF(ISNUMBER(SEARCH(SUBSTITUTE(AE$1,RIGHT(AE$1,2),""),VLOOKUP($D99,素材!$1:$1016,COLUMN($F$1),FALSE))),VLOOKUP($C99,武器!$1:$998,COLUMN($O$1),FALSE)*VLOOKUP($D99,素材!$1:$1016,COLUMN($E$1),FALSE)/(LEN(VLOOKUP($D99,素材!$1:$1016,COLUMN($F$1),FALSE)) - LEN(SUBSTITUTE(VLOOKUP($D99,素材!$1:$1016,COLUMN($F$1),FALSE), "・", 0)) + 1), 0)</f>
        <v>0</v>
      </c>
      <c r="AF99">
        <f>IF(ISNUMBER(SEARCH(SUBSTITUTE(AF$1,RIGHT(AF$1,2),""),VLOOKUP($D99,素材!$1:$1016,COLUMN($F$1),FALSE))),VLOOKUP($C99,武器!$1:$998,COLUMN($O$1),FALSE)*VLOOKUP($D99,素材!$1:$1016,COLUMN($E$1),FALSE)/(LEN(VLOOKUP($D99,素材!$1:$1016,COLUMN($F$1),FALSE)) - LEN(SUBSTITUTE(VLOOKUP($D99,素材!$1:$1016,COLUMN($F$1),FALSE), "・", 0)) + 1), 0)</f>
        <v>0</v>
      </c>
      <c r="AG99">
        <f>IF(ISNUMBER(SEARCH(SUBSTITUTE(AG$1,RIGHT(AG$1,2),""),VLOOKUP($D99,素材!$1:$1016,COLUMN($F$1),FALSE))),VLOOKUP($C99,武器!$1:$998,COLUMN($O$1),FALSE)*VLOOKUP($D99,素材!$1:$1016,COLUMN($E$1),FALSE)/(LEN(VLOOKUP($D99,素材!$1:$1016,COLUMN($F$1),FALSE)) - LEN(SUBSTITUTE(VLOOKUP($D99,素材!$1:$1016,COLUMN($F$1),FALSE), "・", 0)) + 1), 0)</f>
        <v>0</v>
      </c>
      <c r="AH99">
        <f>IF(ISNUMBER(SEARCH(SUBSTITUTE(AH$1,RIGHT(AH$1,2),""),VLOOKUP($D99,素材!$1:$1016,COLUMN($F$1),FALSE))),VLOOKUP($C99,武器!$1:$998,COLUMN($O$1),FALSE)*VLOOKUP($D99,素材!$1:$1016,COLUMN($E$1),FALSE)/(LEN(VLOOKUP($D99,素材!$1:$1016,COLUMN($F$1),FALSE)) - LEN(SUBSTITUTE(VLOOKUP($D99,素材!$1:$1016,COLUMN($F$1),FALSE), "・", 0)) + 1), 0)</f>
        <v>0</v>
      </c>
      <c r="AI99">
        <f>IF(ISNUMBER(SEARCH(SUBSTITUTE(AI$1,RIGHT(AI$1,2),""),VLOOKUP($D99,素材!$1:$1016,COLUMN($F$1),FALSE))),VLOOKUP($C99,武器!$1:$998,COLUMN($O$1),FALSE)*VLOOKUP($D99,素材!$1:$1016,COLUMN($E$1),FALSE)/(LEN(VLOOKUP($D99,素材!$1:$1016,COLUMN($F$1),FALSE)) - LEN(SUBSTITUTE(VLOOKUP($D99,素材!$1:$1016,COLUMN($F$1),FALSE), "・", 0)) + 1), 0)</f>
        <v>0</v>
      </c>
      <c r="AJ99">
        <f>IF(ISNUMBER(SEARCH(SUBSTITUTE(AJ$1,RIGHT(AJ$1,2),""),VLOOKUP($D99,素材!$1:$1016,COLUMN($F$1),FALSE))),VLOOKUP($C99,武器!$1:$998,COLUMN($O$1),FALSE)*VLOOKUP($D99,素材!$1:$1016,COLUMN($E$1),FALSE)/(LEN(VLOOKUP($D99,素材!$1:$1016,COLUMN($F$1),FALSE)) - LEN(SUBSTITUTE(VLOOKUP($D99,素材!$1:$1016,COLUMN($F$1),FALSE), "・", 0)) + 1), 0)</f>
        <v>0</v>
      </c>
      <c r="AK99">
        <f>IF(ISNUMBER(SEARCH(SUBSTITUTE(AK$1,RIGHT(AK$1,2),""),VLOOKUP($D99,素材!$1:$1016,COLUMN($F$1),FALSE))),VLOOKUP($C99,武器!$1:$998,COLUMN($O$1),FALSE)*VLOOKUP($D99,素材!$1:$1016,COLUMN($E$1),FALSE)/(LEN(VLOOKUP($D99,素材!$1:$1016,COLUMN($F$1),FALSE)) - LEN(SUBSTITUTE(VLOOKUP($D99,素材!$1:$1016,COLUMN($F$1),FALSE), "・", 0)) + 1), 0)</f>
        <v>0</v>
      </c>
      <c r="AL99">
        <f>IF(ISNUMBER(SEARCH(SUBSTITUTE(AL$1,RIGHT(AL$1,2),""),VLOOKUP($D99,素材!$1:$1016,COLUMN($F$1),FALSE))),VLOOKUP($C99,武器!$1:$998,COLUMN($O$1),FALSE)*VLOOKUP($D99,素材!$1:$1016,COLUMN($E$1),FALSE)/(LEN(VLOOKUP($D99,素材!$1:$1016,COLUMN($F$1),FALSE)) - LEN(SUBSTITUTE(VLOOKUP($D99,素材!$1:$1016,COLUMN($F$1),FALSE), "・", 0)) + 1), 0)</f>
        <v>0</v>
      </c>
      <c r="AM99">
        <f>IF(ISNUMBER(SEARCH(SUBSTITUTE(AM$1,RIGHT(AM$1,2),""),VLOOKUP($D99,素材!$1:$1016,COLUMN($F$1),FALSE))),VLOOKUP($C99,武器!$1:$998,COLUMN($O$1),FALSE)*VLOOKUP($D99,素材!$1:$1016,COLUMN($E$1),FALSE)/(LEN(VLOOKUP($D99,素材!$1:$1016,COLUMN($F$1),FALSE)) - LEN(SUBSTITUTE(VLOOKUP($D99,素材!$1:$1016,COLUMN($F$1),FALSE), "・", 0)) + 1), 0)</f>
        <v>0</v>
      </c>
      <c r="AN99">
        <f>IF(ISNUMBER(SEARCH(SUBSTITUTE(AN$1,RIGHT(AN$1,2),""),VLOOKUP($D99,素材!$1:$1016,COLUMN($F$1),FALSE))),VLOOKUP($C99,武器!$1:$998,COLUMN($O$1),FALSE)*VLOOKUP($D99,素材!$1:$1016,COLUMN($E$1),FALSE)/(LEN(VLOOKUP($D99,素材!$1:$1016,COLUMN($F$1),FALSE)) - LEN(SUBSTITUTE(VLOOKUP($D99,素材!$1:$1016,COLUMN($F$1),FALSE), "・", 0)) + 1), 0)</f>
        <v>0</v>
      </c>
      <c r="AO99">
        <f>IF(ISNUMBER(SEARCH(SUBSTITUTE(AO$1,RIGHT(AO$1,2),""),VLOOKUP($D99,素材!$1:$1016,COLUMN($F$1),FALSE))),VLOOKUP($C99,武器!$1:$998,COLUMN($O$1),FALSE)*VLOOKUP($D99,素材!$1:$1016,COLUMN($E$1),FALSE)/(LEN(VLOOKUP($D99,素材!$1:$1016,COLUMN($F$1),FALSE)) - LEN(SUBSTITUTE(VLOOKUP($D99,素材!$1:$1016,COLUMN($F$1),FALSE), "・", 0)) + 1), 0)</f>
        <v>0</v>
      </c>
      <c r="AP99">
        <f>IF(ISNUMBER(SEARCH(SUBSTITUTE(AP$1,RIGHT(AP$1,2),""),VLOOKUP($D99,素材!$1:$1016,COLUMN($F$1),FALSE))),VLOOKUP($C99,武器!$1:$998,COLUMN($O$1),FALSE)*VLOOKUP($D99,素材!$1:$1016,COLUMN($E$1),FALSE)/(LEN(VLOOKUP($D99,素材!$1:$1016,COLUMN($F$1),FALSE)) - LEN(SUBSTITUTE(VLOOKUP($D99,素材!$1:$1016,COLUMN($F$1),FALSE), "・", 0)) + 1), 0)</f>
        <v>0</v>
      </c>
      <c r="AQ99">
        <f>IF(ISNUMBER(SEARCH(SUBSTITUTE(AQ$1,RIGHT(AQ$1,2),""),VLOOKUP($D99,素材!$1:$1016,COLUMN($F$1),FALSE))),VLOOKUP($C99,武器!$1:$998,COLUMN($O$1),FALSE)*VLOOKUP($D99,素材!$1:$1016,COLUMN($E$1),FALSE)/(LEN(VLOOKUP($D99,素材!$1:$1016,COLUMN($F$1),FALSE)) - LEN(SUBSTITUTE(VLOOKUP($D99,素材!$1:$1016,COLUMN($F$1),FALSE), "・", 0)) + 1), 0)</f>
        <v>0</v>
      </c>
      <c r="AR99">
        <f>IF(ISNUMBER(SEARCH(SUBSTITUTE(AR$1,RIGHT(AR$1,2),""),VLOOKUP($D99,素材!$1:$1016,COLUMN($F$1),FALSE))),VLOOKUP($C99,武器!$1:$998,COLUMN($O$1),FALSE)*VLOOKUP($D99,素材!$1:$1016,COLUMN($E$1),FALSE)/(LEN(VLOOKUP($D99,素材!$1:$1016,COLUMN($F$1),FALSE)) - LEN(SUBSTITUTE(VLOOKUP($D99,素材!$1:$1016,COLUMN($F$1),FALSE), "・", 0)) + 1), 0)</f>
        <v>0</v>
      </c>
      <c r="AS99">
        <f>IF(ISNUMBER(SEARCH(SUBSTITUTE(AS$1,RIGHT(AS$1,2),""),VLOOKUP($D99,素材!$1:$1016,COLUMN($F$1),FALSE))),VLOOKUP($C99,武器!$1:$998,COLUMN($O$1),FALSE)*VLOOKUP($D99,素材!$1:$1016,COLUMN($E$1),FALSE)/(LEN(VLOOKUP($D99,素材!$1:$1016,COLUMN($F$1),FALSE)) - LEN(SUBSTITUTE(VLOOKUP($D99,素材!$1:$1016,COLUMN($F$1),FALSE), "・", 0)) + 1), 0)</f>
        <v>0</v>
      </c>
      <c r="AT99">
        <f>IF(ISNUMBER(SEARCH(SUBSTITUTE(AT$1,RIGHT(AT$1,2),""),VLOOKUP($D99,素材!$1:$1016,COLUMN($F$1),FALSE))),VLOOKUP($C99,武器!$1:$998,COLUMN($O$1),FALSE)*VLOOKUP($D99,素材!$1:$1016,COLUMN($E$1),FALSE)/(LEN(VLOOKUP($D99,素材!$1:$1016,COLUMN($F$1),FALSE)) - LEN(SUBSTITUTE(VLOOKUP($D99,素材!$1:$1016,COLUMN($F$1),FALSE), "・", 0)) + 1), 0)</f>
        <v>0</v>
      </c>
      <c r="AU99">
        <f>IF(ISNUMBER(SEARCH(SUBSTITUTE(AU$1,RIGHT(AU$1,2),""),VLOOKUP($D99,素材!$1:$1016,COLUMN($F$1),FALSE))),VLOOKUP($C99,武器!$1:$998,COLUMN($O$1),FALSE)*VLOOKUP($D99,素材!$1:$1016,COLUMN($E$1),FALSE)/(LEN(VLOOKUP($D99,素材!$1:$1016,COLUMN($F$1),FALSE)) - LEN(SUBSTITUTE(VLOOKUP($D99,素材!$1:$1016,COLUMN($F$1),FALSE), "・", 0)) + 1), 0)</f>
        <v>0</v>
      </c>
      <c r="AV99">
        <f>IF(ISNUMBER(SEARCH(SUBSTITUTE(AV$1,RIGHT(AV$1,2),""),VLOOKUP($D99,素材!$1:$1016,COLUMN($F$1),FALSE))),VLOOKUP($C99,武器!$1:$998,COLUMN($O$1),FALSE)*VLOOKUP($D99,素材!$1:$1016,COLUMN($E$1),FALSE)/(LEN(VLOOKUP($D99,素材!$1:$1016,COLUMN($F$1),FALSE)) - LEN(SUBSTITUTE(VLOOKUP($D99,素材!$1:$1016,COLUMN($F$1),FALSE), "・", 0)) + 1), 0)</f>
        <v>0</v>
      </c>
      <c r="AW99">
        <f>IF(ISNUMBER(SEARCH(SUBSTITUTE(AW$1,RIGHT(AW$1,2),""),VLOOKUP($D99,素材!$1:$1016,COLUMN($F$1),FALSE))),VLOOKUP($C99,武器!$1:$998,COLUMN($O$1),FALSE)*VLOOKUP($D99,素材!$1:$1016,COLUMN($E$1),FALSE)/(LEN(VLOOKUP($D99,素材!$1:$1016,COLUMN($F$1),FALSE)) - LEN(SUBSTITUTE(VLOOKUP($D99,素材!$1:$1016,COLUMN($F$1),FALSE), "・", 0)) + 1), 0)</f>
        <v>0</v>
      </c>
      <c r="AX99">
        <f>IF(ISNUMBER(SEARCH(SUBSTITUTE(AX$1,RIGHT(AX$1,2),""),VLOOKUP($D99,素材!$1:$1016,COLUMN($F$1),FALSE))),VLOOKUP($C99,武器!$1:$998,COLUMN($O$1),FALSE)*VLOOKUP($D99,素材!$1:$1016,COLUMN($E$1),FALSE)/(LEN(VLOOKUP($D99,素材!$1:$1016,COLUMN($F$1),FALSE)) - LEN(SUBSTITUTE(VLOOKUP($D99,素材!$1:$1016,COLUMN($F$1),FALSE), "・", 0)) + 1), 0)</f>
        <v>0</v>
      </c>
      <c r="AY99">
        <f>IF(ISNUMBER(SEARCH(SUBSTITUTE(AY$1,RIGHT(AY$1,2),""),VLOOKUP($D99,素材!$1:$1016,COLUMN($F$1),FALSE))),VLOOKUP($C99,武器!$1:$998,COLUMN($O$1),FALSE)*VLOOKUP($D99,素材!$1:$1016,COLUMN($E$1),FALSE)/(LEN(VLOOKUP($D99,素材!$1:$1016,COLUMN($F$1),FALSE)) - LEN(SUBSTITUTE(VLOOKUP($D99,素材!$1:$1016,COLUMN($F$1),FALSE), "・", 0)) + 1), 0)</f>
        <v>0</v>
      </c>
      <c r="AZ99">
        <f>IF(ISNUMBER(SEARCH(SUBSTITUTE(AZ$1,RIGHT(AZ$1,2),""),VLOOKUP($D99,素材!$1:$1016,COLUMN($F$1),FALSE))),VLOOKUP($C99,武器!$1:$998,COLUMN($O$1),FALSE)*VLOOKUP($D99,素材!$1:$1016,COLUMN($E$1),FALSE)/(LEN(VLOOKUP($D99,素材!$1:$1016,COLUMN($F$1),FALSE)) - LEN(SUBSTITUTE(VLOOKUP($D99,素材!$1:$1016,COLUMN($F$1),FALSE), "・", 0)) + 1), 0)</f>
        <v>0</v>
      </c>
      <c r="BA99">
        <f>IF(ISNUMBER(SEARCH(SUBSTITUTE(BA$1,RIGHT(BA$1,2),""),VLOOKUP($D99,素材!$1:$1016,COLUMN($F$1),FALSE))),VLOOKUP($C99,武器!$1:$998,COLUMN($O$1),FALSE)*VLOOKUP($D99,素材!$1:$1016,COLUMN($E$1),FALSE)/(LEN(VLOOKUP($D99,素材!$1:$1016,COLUMN($F$1),FALSE)) - LEN(SUBSTITUTE(VLOOKUP($D99,素材!$1:$1016,COLUMN($F$1),FALSE), "・", 0)) + 1), 0)</f>
        <v>0</v>
      </c>
      <c r="BB99">
        <f>IF(ISNUMBER(SEARCH(SUBSTITUTE(BB$1,RIGHT(BB$1,2),""),VLOOKUP($D99,素材!$1:$1016,COLUMN($F$1),FALSE))),VLOOKUP($C99,武器!$1:$998,COLUMN($O$1),FALSE)*VLOOKUP($D99,素材!$1:$1016,COLUMN($E$1),FALSE)/(LEN(VLOOKUP($D99,素材!$1:$1016,COLUMN($F$1),FALSE)) - LEN(SUBSTITUTE(VLOOKUP($D99,素材!$1:$1016,COLUMN($F$1),FALSE), "・", 0)) + 1), 0)</f>
        <v>0</v>
      </c>
      <c r="BC99">
        <f>IF(ISNUMBER(SEARCH(SUBSTITUTE(BC$1,RIGHT(BC$1,2),""),VLOOKUP($D99,素材!$1:$1016,COLUMN($F$1),FALSE))),VLOOKUP($C99,武器!$1:$998,COLUMN($O$1),FALSE)*VLOOKUP($D99,素材!$1:$1016,COLUMN($E$1),FALSE)/(LEN(VLOOKUP($D99,素材!$1:$1016,COLUMN($F$1),FALSE)) - LEN(SUBSTITUTE(VLOOKUP($D99,素材!$1:$1016,COLUMN($F$1),FALSE), "・", 0)) + 1), 0)</f>
        <v>0</v>
      </c>
      <c r="BD99">
        <f>IF(ISNUMBER(SEARCH(SUBSTITUTE(BD$1,RIGHT(BD$1,2),""),VLOOKUP($D99,素材!$1:$1016,COLUMN($F$1),FALSE))),VLOOKUP($C99,武器!$1:$998,COLUMN($O$1),FALSE)*VLOOKUP($D99,素材!$1:$1016,COLUMN($E$1),FALSE)/(LEN(VLOOKUP($D99,素材!$1:$1016,COLUMN($F$1),FALSE)) - LEN(SUBSTITUTE(VLOOKUP($D99,素材!$1:$1016,COLUMN($F$1),FALSE), "・", 0)) + 1), 0)</f>
        <v>0</v>
      </c>
      <c r="BE99">
        <f>IF(ISNUMBER(SEARCH(SUBSTITUTE(BE$1,RIGHT(BE$1,2),""),VLOOKUP($D99,素材!$1:$1016,COLUMN($F$1),FALSE))),VLOOKUP($C99,武器!$1:$998,COLUMN($O$1),FALSE)*VLOOKUP($D99,素材!$1:$1016,COLUMN($E$1),FALSE)/(LEN(VLOOKUP($D99,素材!$1:$1016,COLUMN($F$1),FALSE)) - LEN(SUBSTITUTE(VLOOKUP($D99,素材!$1:$1016,COLUMN($F$1),FALSE), "・", 0)) + 1), 0)</f>
        <v>0</v>
      </c>
      <c r="CL99">
        <f>SUM(G99:I99)</f>
        <v>21</v>
      </c>
      <c r="CM99" s="22" t="str">
        <f>IF(E99="武器",IF(J99-1&gt;SUM(G99:I99),"盾",IF(MAX(G99:I99)=G99,"切断",IF(MAX(G99:I99)=H99,"貫通",IF(MAX(G99:I99)=I99,"打撃","射撃")))),E99)&amp;".webp"</f>
        <v>盾.webp</v>
      </c>
      <c r="CN99">
        <f>IFERROR(VLOOKUP($C99,武器!$1:$998,COLUMN(V$1),FALSE)*VLOOKUP($D99,素材!$1:$1016,COLUMN(N$1),FALSE)+IF(CI99="",0,VLOOKUP($CI99,装強!$1:$1008,COLUMN($CK$1),FALSE)),"")</f>
        <v>675</v>
      </c>
      <c r="CO99" t="str">
        <f>VLOOKUP(D99,素材!$A:$O,COLUMN(素材!O$1),FALSE)</f>
        <v>鍛えられた鉄。硬度が高く安価なためよく使用される。</v>
      </c>
      <c r="CP99" t="str">
        <f>VLOOKUP(C99,武器!$A:$W,COLUMN(武器!W$1),FALSE)</f>
        <v>盾。防御力が高く、汎用性がある防具。</v>
      </c>
      <c r="CR99" t="str">
        <f t="shared" si="5"/>
        <v>e_99</v>
      </c>
      <c r="CS99">
        <f t="shared" si="6"/>
        <v>67500</v>
      </c>
    </row>
    <row r="100" spans="1:97" outlineLevel="1" x14ac:dyDescent="0.4">
      <c r="A100" t="str">
        <f t="shared" si="7"/>
        <v>鋼の丸大盾</v>
      </c>
      <c r="B100" t="str">
        <f>IFERROR(VLOOKUP($D100,素材!$1:$1016,COLUMN($B$1),FALSE)&amp;"・"&amp;VLOOKUP($C100,武器!$1:$998,COLUMN(B$1),FALSE),"")</f>
        <v>スチール・ラウンドシールド</v>
      </c>
      <c r="C100" t="s">
        <v>220</v>
      </c>
      <c r="D100" s="24" t="s">
        <v>253</v>
      </c>
      <c r="E100" t="str">
        <f>IFERROR(VLOOKUP(C100,武器!$1:$998,COLUMN(C$1),FALSE),"")</f>
        <v>盾</v>
      </c>
      <c r="F100">
        <f>IFERROR(ROUNDDOWN((VLOOKUP($C100,武器!$1:$998,COLUMN(D$1),FALSE)+IFERROR(VLOOKUP($CI100,装強!$1:$999,COLUMN(F$1),FALSE),0))*VLOOKUP($D100,素材!$1:$1016,COLUMN(D$1),FALSE),0),"")</f>
        <v>115</v>
      </c>
      <c r="G100">
        <f>IFERROR(ROUNDDOWN((VLOOKUP($C100,武器!$1:$998,COLUMN(E$1),FALSE)+IFERROR(VLOOKUP($CI100,装強!$1:$999,COLUMN(G$1),FALSE),0))*VLOOKUP($D100,素材!$1:$1016,COLUMN($E$1),FALSE),0),"")</f>
        <v>12</v>
      </c>
      <c r="H100">
        <f>IFERROR(ROUNDDOWN((VLOOKUP($C100,武器!$1:$998,COLUMN(F$1),FALSE)+IFERROR(VLOOKUP($CI100,装強!$1:$999,COLUMN(H$1),FALSE),0))*VLOOKUP($D100,素材!$1:$1016,COLUMN($E$1),FALSE),0),"")</f>
        <v>0</v>
      </c>
      <c r="I100">
        <f>IFERROR(ROUNDDOWN((VLOOKUP($C100,武器!$1:$998,COLUMN(G$1),FALSE)+IFERROR(VLOOKUP($CI100,装強!$1:$999,COLUMN(I$1),FALSE),0))*VLOOKUP($D100,素材!$1:$1016,COLUMN($E$1),FALSE),0),"")</f>
        <v>12</v>
      </c>
      <c r="J100">
        <f>IFERROR(ROUNDDOWN((VLOOKUP($C100,武器!$1:$998,COLUMN(H$1),FALSE)+IFERROR(VLOOKUP($CI100,装強!$1:$999,COLUMN(J$1),FALSE),0))*VLOOKUP($D100,素材!$1:$1016,COLUMN($E$1),FALSE),0),"")</f>
        <v>33</v>
      </c>
      <c r="K100">
        <f>IFERROR(ROUNDDOWN((VLOOKUP($C100,武器!$1:$998,COLUMN(I$1),FALSE)+IFERROR(VLOOKUP($CI100,装強!$1:$999,COLUMN(K$1),FALSE),0))*VLOOKUP($D100,素材!$1:$1016,COLUMN($E$1),FALSE),0),"")</f>
        <v>0</v>
      </c>
      <c r="L100">
        <f>IFERROR(VLOOKUP($D100,素材!$1:$1016,COLUMN($F$1),FALSE),"")</f>
        <v>0</v>
      </c>
      <c r="M100">
        <f>IFERROR(VLOOKUP($C100,武器!$1:$998,COLUMN(AA$1),FALSE)*VLOOKUP($D100,素材!$1:$1016,COLUMN($G$1),FALSE),"")</f>
        <v>0</v>
      </c>
      <c r="N100">
        <f>IFERROR(VLOOKUP($C100,武器!$1:$998,COLUMN(I$1),FALSE),"")</f>
        <v>0</v>
      </c>
      <c r="O100" s="23">
        <f>IFERROR((VLOOKUP($C100,武器!$1:$998,COLUMN(K$1),FALSE)+VLOOKUP($D100,素材!$1:$1016,COLUMN(H$1),FALSE))*100+IFERROR(VLOOKUP($CI100,装強!$1:$999,COLUMN(O$1),FALSE),0),"")</f>
        <v>5</v>
      </c>
      <c r="P100" s="23">
        <f>IFERROR((VLOOKUP($C100,武器!$1:$998,COLUMN(L$1),FALSE)+VLOOKUP($D100,素材!$1:$1016,COLUMN(I$1),FALSE))*100+IFERROR(VLOOKUP($CI100,装強!$1:$999,COLUMN(P$1),FALSE),0),"")</f>
        <v>125</v>
      </c>
      <c r="Q100">
        <f>IFERROR(ROUNDUP(VLOOKUP($C100,武器!$1:$998,COLUMN(M$1),FALSE)*(VLOOKUP($D100,素材!$1:$1002,COLUMN(D$1),FALSE)/100),1),"")</f>
        <v>-5.3</v>
      </c>
      <c r="R100">
        <f>IFERROR(ROUNDUP(VLOOKUP($C100,武器!$1:$998,COLUMN(N$1),FALSE)*(VLOOKUP($D100,素材!$1:$1002,COLUMN(D$1),FALSE)/100),1),"")</f>
        <v>0</v>
      </c>
      <c r="S100">
        <f>IFERROR(VLOOKUP($C100,武器!$1:$998,COLUMN(P$1),FALSE),"")</f>
        <v>0</v>
      </c>
      <c r="T100">
        <f>IFERROR(VLOOKUP($C100,武器!$1:$998,COLUMN(Q$1),FALSE),"")</f>
        <v>0</v>
      </c>
      <c r="U100">
        <f>IFERROR(VLOOKUP($C100,武器!$1:$998,COLUMN(R$1),FALSE),"")</f>
        <v>0</v>
      </c>
      <c r="V100">
        <f>IFERROR(VLOOKUP($C100,武器!$1:$998,COLUMN(Q$1),FALSE),"")</f>
        <v>0</v>
      </c>
      <c r="W100" t="str">
        <f>IFERROR(VLOOKUP($C100,武器!$1:$998,COLUMN(T$1),FALSE),"")</f>
        <v>A</v>
      </c>
      <c r="Y100" t="str">
        <f>IFERROR(VLOOKUP($C100,武器!$1:$998,COLUMN(U$1),FALSE),"")</f>
        <v>投擲強化,片手適正Ⅰ</v>
      </c>
      <c r="Z100">
        <f>IFERROR(ROUNDUP(VLOOKUP($C100,武器!$1:$998,COLUMN(O$1),FALSE)*VLOOKUP($D100,素材!$1:$1016,COLUMN(E$1),FALSE),1),"")</f>
        <v>0</v>
      </c>
      <c r="AA100">
        <f>IF(ISNUMBER(SEARCH(SUBSTITUTE(AA$1,RIGHT(AA$1,2),""),VLOOKUP($D100,素材!$1:$1016,COLUMN($F$1),FALSE))),VLOOKUP($C100,武器!$1:$998,COLUMN($O$1),FALSE)*VLOOKUP($D100,素材!$1:$1016,COLUMN($E$1),FALSE)/(LEN(VLOOKUP($D100,素材!$1:$1016,COLUMN($F$1),FALSE)) - LEN(SUBSTITUTE(VLOOKUP($D100,素材!$1:$1016,COLUMN($F$1),FALSE), "・", 0)) + 1), 0)</f>
        <v>0</v>
      </c>
      <c r="AB100">
        <f>IF(ISNUMBER(SEARCH(SUBSTITUTE(AB$1,RIGHT(AB$1,2),""),VLOOKUP($D100,素材!$1:$1016,COLUMN($F$1),FALSE))),VLOOKUP($C100,武器!$1:$998,COLUMN($O$1),FALSE)*VLOOKUP($D100,素材!$1:$1016,COLUMN($E$1),FALSE)/(LEN(VLOOKUP($D100,素材!$1:$1016,COLUMN($F$1),FALSE)) - LEN(SUBSTITUTE(VLOOKUP($D100,素材!$1:$1016,COLUMN($F$1),FALSE), "・", 0)) + 1), 0)</f>
        <v>0</v>
      </c>
      <c r="AC100">
        <f>IF(ISNUMBER(SEARCH(SUBSTITUTE(AC$1,RIGHT(AC$1,2),""),VLOOKUP($D100,素材!$1:$1016,COLUMN($F$1),FALSE))),VLOOKUP($C100,武器!$1:$998,COLUMN($O$1),FALSE)*VLOOKUP($D100,素材!$1:$1016,COLUMN($E$1),FALSE)/(LEN(VLOOKUP($D100,素材!$1:$1016,COLUMN($F$1),FALSE)) - LEN(SUBSTITUTE(VLOOKUP($D100,素材!$1:$1016,COLUMN($F$1),FALSE), "・", 0)) + 1), 0)</f>
        <v>0</v>
      </c>
      <c r="AD100">
        <f>IF(ISNUMBER(SEARCH(SUBSTITUTE(AD$1,RIGHT(AD$1,2),""),VLOOKUP($D100,素材!$1:$1016,COLUMN($F$1),FALSE))),VLOOKUP($C100,武器!$1:$998,COLUMN($O$1),FALSE)*VLOOKUP($D100,素材!$1:$1016,COLUMN($E$1),FALSE)/(LEN(VLOOKUP($D100,素材!$1:$1016,COLUMN($F$1),FALSE)) - LEN(SUBSTITUTE(VLOOKUP($D100,素材!$1:$1016,COLUMN($F$1),FALSE), "・", 0)) + 1), 0)</f>
        <v>0</v>
      </c>
      <c r="AE100">
        <f>IF(ISNUMBER(SEARCH(SUBSTITUTE(AE$1,RIGHT(AE$1,2),""),VLOOKUP($D100,素材!$1:$1016,COLUMN($F$1),FALSE))),VLOOKUP($C100,武器!$1:$998,COLUMN($O$1),FALSE)*VLOOKUP($D100,素材!$1:$1016,COLUMN($E$1),FALSE)/(LEN(VLOOKUP($D100,素材!$1:$1016,COLUMN($F$1),FALSE)) - LEN(SUBSTITUTE(VLOOKUP($D100,素材!$1:$1016,COLUMN($F$1),FALSE), "・", 0)) + 1), 0)</f>
        <v>0</v>
      </c>
      <c r="AF100">
        <f>IF(ISNUMBER(SEARCH(SUBSTITUTE(AF$1,RIGHT(AF$1,2),""),VLOOKUP($D100,素材!$1:$1016,COLUMN($F$1),FALSE))),VLOOKUP($C100,武器!$1:$998,COLUMN($O$1),FALSE)*VLOOKUP($D100,素材!$1:$1016,COLUMN($E$1),FALSE)/(LEN(VLOOKUP($D100,素材!$1:$1016,COLUMN($F$1),FALSE)) - LEN(SUBSTITUTE(VLOOKUP($D100,素材!$1:$1016,COLUMN($F$1),FALSE), "・", 0)) + 1), 0)</f>
        <v>0</v>
      </c>
      <c r="AG100">
        <f>IF(ISNUMBER(SEARCH(SUBSTITUTE(AG$1,RIGHT(AG$1,2),""),VLOOKUP($D100,素材!$1:$1016,COLUMN($F$1),FALSE))),VLOOKUP($C100,武器!$1:$998,COLUMN($O$1),FALSE)*VLOOKUP($D100,素材!$1:$1016,COLUMN($E$1),FALSE)/(LEN(VLOOKUP($D100,素材!$1:$1016,COLUMN($F$1),FALSE)) - LEN(SUBSTITUTE(VLOOKUP($D100,素材!$1:$1016,COLUMN($F$1),FALSE), "・", 0)) + 1), 0)</f>
        <v>0</v>
      </c>
      <c r="AH100">
        <f>IF(ISNUMBER(SEARCH(SUBSTITUTE(AH$1,RIGHT(AH$1,2),""),VLOOKUP($D100,素材!$1:$1016,COLUMN($F$1),FALSE))),VLOOKUP($C100,武器!$1:$998,COLUMN($O$1),FALSE)*VLOOKUP($D100,素材!$1:$1016,COLUMN($E$1),FALSE)/(LEN(VLOOKUP($D100,素材!$1:$1016,COLUMN($F$1),FALSE)) - LEN(SUBSTITUTE(VLOOKUP($D100,素材!$1:$1016,COLUMN($F$1),FALSE), "・", 0)) + 1), 0)</f>
        <v>0</v>
      </c>
      <c r="AI100">
        <f>IF(ISNUMBER(SEARCH(SUBSTITUTE(AI$1,RIGHT(AI$1,2),""),VLOOKUP($D100,素材!$1:$1016,COLUMN($F$1),FALSE))),VLOOKUP($C100,武器!$1:$998,COLUMN($O$1),FALSE)*VLOOKUP($D100,素材!$1:$1016,COLUMN($E$1),FALSE)/(LEN(VLOOKUP($D100,素材!$1:$1016,COLUMN($F$1),FALSE)) - LEN(SUBSTITUTE(VLOOKUP($D100,素材!$1:$1016,COLUMN($F$1),FALSE), "・", 0)) + 1), 0)</f>
        <v>0</v>
      </c>
      <c r="AJ100">
        <f>IF(ISNUMBER(SEARCH(SUBSTITUTE(AJ$1,RIGHT(AJ$1,2),""),VLOOKUP($D100,素材!$1:$1016,COLUMN($F$1),FALSE))),VLOOKUP($C100,武器!$1:$998,COLUMN($O$1),FALSE)*VLOOKUP($D100,素材!$1:$1016,COLUMN($E$1),FALSE)/(LEN(VLOOKUP($D100,素材!$1:$1016,COLUMN($F$1),FALSE)) - LEN(SUBSTITUTE(VLOOKUP($D100,素材!$1:$1016,COLUMN($F$1),FALSE), "・", 0)) + 1), 0)</f>
        <v>0</v>
      </c>
      <c r="AK100">
        <f>IF(ISNUMBER(SEARCH(SUBSTITUTE(AK$1,RIGHT(AK$1,2),""),VLOOKUP($D100,素材!$1:$1016,COLUMN($F$1),FALSE))),VLOOKUP($C100,武器!$1:$998,COLUMN($O$1),FALSE)*VLOOKUP($D100,素材!$1:$1016,COLUMN($E$1),FALSE)/(LEN(VLOOKUP($D100,素材!$1:$1016,COLUMN($F$1),FALSE)) - LEN(SUBSTITUTE(VLOOKUP($D100,素材!$1:$1016,COLUMN($F$1),FALSE), "・", 0)) + 1), 0)</f>
        <v>0</v>
      </c>
      <c r="AL100">
        <f>IF(ISNUMBER(SEARCH(SUBSTITUTE(AL$1,RIGHT(AL$1,2),""),VLOOKUP($D100,素材!$1:$1016,COLUMN($F$1),FALSE))),VLOOKUP($C100,武器!$1:$998,COLUMN($O$1),FALSE)*VLOOKUP($D100,素材!$1:$1016,COLUMN($E$1),FALSE)/(LEN(VLOOKUP($D100,素材!$1:$1016,COLUMN($F$1),FALSE)) - LEN(SUBSTITUTE(VLOOKUP($D100,素材!$1:$1016,COLUMN($F$1),FALSE), "・", 0)) + 1), 0)</f>
        <v>0</v>
      </c>
      <c r="AM100">
        <f>IF(ISNUMBER(SEARCH(SUBSTITUTE(AM$1,RIGHT(AM$1,2),""),VLOOKUP($D100,素材!$1:$1016,COLUMN($F$1),FALSE))),VLOOKUP($C100,武器!$1:$998,COLUMN($O$1),FALSE)*VLOOKUP($D100,素材!$1:$1016,COLUMN($E$1),FALSE)/(LEN(VLOOKUP($D100,素材!$1:$1016,COLUMN($F$1),FALSE)) - LEN(SUBSTITUTE(VLOOKUP($D100,素材!$1:$1016,COLUMN($F$1),FALSE), "・", 0)) + 1), 0)</f>
        <v>0</v>
      </c>
      <c r="AN100">
        <f>IF(ISNUMBER(SEARCH(SUBSTITUTE(AN$1,RIGHT(AN$1,2),""),VLOOKUP($D100,素材!$1:$1016,COLUMN($F$1),FALSE))),VLOOKUP($C100,武器!$1:$998,COLUMN($O$1),FALSE)*VLOOKUP($D100,素材!$1:$1016,COLUMN($E$1),FALSE)/(LEN(VLOOKUP($D100,素材!$1:$1016,COLUMN($F$1),FALSE)) - LEN(SUBSTITUTE(VLOOKUP($D100,素材!$1:$1016,COLUMN($F$1),FALSE), "・", 0)) + 1), 0)</f>
        <v>0</v>
      </c>
      <c r="AO100">
        <f>IF(ISNUMBER(SEARCH(SUBSTITUTE(AO$1,RIGHT(AO$1,2),""),VLOOKUP($D100,素材!$1:$1016,COLUMN($F$1),FALSE))),VLOOKUP($C100,武器!$1:$998,COLUMN($O$1),FALSE)*VLOOKUP($D100,素材!$1:$1016,COLUMN($E$1),FALSE)/(LEN(VLOOKUP($D100,素材!$1:$1016,COLUMN($F$1),FALSE)) - LEN(SUBSTITUTE(VLOOKUP($D100,素材!$1:$1016,COLUMN($F$1),FALSE), "・", 0)) + 1), 0)</f>
        <v>0</v>
      </c>
      <c r="AP100">
        <f>IF(ISNUMBER(SEARCH(SUBSTITUTE(AP$1,RIGHT(AP$1,2),""),VLOOKUP($D100,素材!$1:$1016,COLUMN($F$1),FALSE))),VLOOKUP($C100,武器!$1:$998,COLUMN($O$1),FALSE)*VLOOKUP($D100,素材!$1:$1016,COLUMN($E$1),FALSE)/(LEN(VLOOKUP($D100,素材!$1:$1016,COLUMN($F$1),FALSE)) - LEN(SUBSTITUTE(VLOOKUP($D100,素材!$1:$1016,COLUMN($F$1),FALSE), "・", 0)) + 1), 0)</f>
        <v>0</v>
      </c>
      <c r="AQ100">
        <f>IF(ISNUMBER(SEARCH(SUBSTITUTE(AQ$1,RIGHT(AQ$1,2),""),VLOOKUP($D100,素材!$1:$1016,COLUMN($F$1),FALSE))),VLOOKUP($C100,武器!$1:$998,COLUMN($O$1),FALSE)*VLOOKUP($D100,素材!$1:$1016,COLUMN($E$1),FALSE)/(LEN(VLOOKUP($D100,素材!$1:$1016,COLUMN($F$1),FALSE)) - LEN(SUBSTITUTE(VLOOKUP($D100,素材!$1:$1016,COLUMN($F$1),FALSE), "・", 0)) + 1), 0)</f>
        <v>0</v>
      </c>
      <c r="AR100">
        <f>IF(ISNUMBER(SEARCH(SUBSTITUTE(AR$1,RIGHT(AR$1,2),""),VLOOKUP($D100,素材!$1:$1016,COLUMN($F$1),FALSE))),VLOOKUP($C100,武器!$1:$998,COLUMN($O$1),FALSE)*VLOOKUP($D100,素材!$1:$1016,COLUMN($E$1),FALSE)/(LEN(VLOOKUP($D100,素材!$1:$1016,COLUMN($F$1),FALSE)) - LEN(SUBSTITUTE(VLOOKUP($D100,素材!$1:$1016,COLUMN($F$1),FALSE), "・", 0)) + 1), 0)</f>
        <v>0</v>
      </c>
      <c r="AS100">
        <f>IF(ISNUMBER(SEARCH(SUBSTITUTE(AS$1,RIGHT(AS$1,2),""),VLOOKUP($D100,素材!$1:$1016,COLUMN($F$1),FALSE))),VLOOKUP($C100,武器!$1:$998,COLUMN($O$1),FALSE)*VLOOKUP($D100,素材!$1:$1016,COLUMN($E$1),FALSE)/(LEN(VLOOKUP($D100,素材!$1:$1016,COLUMN($F$1),FALSE)) - LEN(SUBSTITUTE(VLOOKUP($D100,素材!$1:$1016,COLUMN($F$1),FALSE), "・", 0)) + 1), 0)</f>
        <v>0</v>
      </c>
      <c r="AT100">
        <f>IF(ISNUMBER(SEARCH(SUBSTITUTE(AT$1,RIGHT(AT$1,2),""),VLOOKUP($D100,素材!$1:$1016,COLUMN($F$1),FALSE))),VLOOKUP($C100,武器!$1:$998,COLUMN($O$1),FALSE)*VLOOKUP($D100,素材!$1:$1016,COLUMN($E$1),FALSE)/(LEN(VLOOKUP($D100,素材!$1:$1016,COLUMN($F$1),FALSE)) - LEN(SUBSTITUTE(VLOOKUP($D100,素材!$1:$1016,COLUMN($F$1),FALSE), "・", 0)) + 1), 0)</f>
        <v>0</v>
      </c>
      <c r="AU100">
        <f>IF(ISNUMBER(SEARCH(SUBSTITUTE(AU$1,RIGHT(AU$1,2),""),VLOOKUP($D100,素材!$1:$1016,COLUMN($F$1),FALSE))),VLOOKUP($C100,武器!$1:$998,COLUMN($O$1),FALSE)*VLOOKUP($D100,素材!$1:$1016,COLUMN($E$1),FALSE)/(LEN(VLOOKUP($D100,素材!$1:$1016,COLUMN($F$1),FALSE)) - LEN(SUBSTITUTE(VLOOKUP($D100,素材!$1:$1016,COLUMN($F$1),FALSE), "・", 0)) + 1), 0)</f>
        <v>0</v>
      </c>
      <c r="AV100">
        <f>IF(ISNUMBER(SEARCH(SUBSTITUTE(AV$1,RIGHT(AV$1,2),""),VLOOKUP($D100,素材!$1:$1016,COLUMN($F$1),FALSE))),VLOOKUP($C100,武器!$1:$998,COLUMN($O$1),FALSE)*VLOOKUP($D100,素材!$1:$1016,COLUMN($E$1),FALSE)/(LEN(VLOOKUP($D100,素材!$1:$1016,COLUMN($F$1),FALSE)) - LEN(SUBSTITUTE(VLOOKUP($D100,素材!$1:$1016,COLUMN($F$1),FALSE), "・", 0)) + 1), 0)</f>
        <v>0</v>
      </c>
      <c r="AW100">
        <f>IF(ISNUMBER(SEARCH(SUBSTITUTE(AW$1,RIGHT(AW$1,2),""),VLOOKUP($D100,素材!$1:$1016,COLUMN($F$1),FALSE))),VLOOKUP($C100,武器!$1:$998,COLUMN($O$1),FALSE)*VLOOKUP($D100,素材!$1:$1016,COLUMN($E$1),FALSE)/(LEN(VLOOKUP($D100,素材!$1:$1016,COLUMN($F$1),FALSE)) - LEN(SUBSTITUTE(VLOOKUP($D100,素材!$1:$1016,COLUMN($F$1),FALSE), "・", 0)) + 1), 0)</f>
        <v>0</v>
      </c>
      <c r="AX100">
        <f>IF(ISNUMBER(SEARCH(SUBSTITUTE(AX$1,RIGHT(AX$1,2),""),VLOOKUP($D100,素材!$1:$1016,COLUMN($F$1),FALSE))),VLOOKUP($C100,武器!$1:$998,COLUMN($O$1),FALSE)*VLOOKUP($D100,素材!$1:$1016,COLUMN($E$1),FALSE)/(LEN(VLOOKUP($D100,素材!$1:$1016,COLUMN($F$1),FALSE)) - LEN(SUBSTITUTE(VLOOKUP($D100,素材!$1:$1016,COLUMN($F$1),FALSE), "・", 0)) + 1), 0)</f>
        <v>0</v>
      </c>
      <c r="AY100">
        <f>IF(ISNUMBER(SEARCH(SUBSTITUTE(AY$1,RIGHT(AY$1,2),""),VLOOKUP($D100,素材!$1:$1016,COLUMN($F$1),FALSE))),VLOOKUP($C100,武器!$1:$998,COLUMN($O$1),FALSE)*VLOOKUP($D100,素材!$1:$1016,COLUMN($E$1),FALSE)/(LEN(VLOOKUP($D100,素材!$1:$1016,COLUMN($F$1),FALSE)) - LEN(SUBSTITUTE(VLOOKUP($D100,素材!$1:$1016,COLUMN($F$1),FALSE), "・", 0)) + 1), 0)</f>
        <v>0</v>
      </c>
      <c r="AZ100">
        <f>IF(ISNUMBER(SEARCH(SUBSTITUTE(AZ$1,RIGHT(AZ$1,2),""),VLOOKUP($D100,素材!$1:$1016,COLUMN($F$1),FALSE))),VLOOKUP($C100,武器!$1:$998,COLUMN($O$1),FALSE)*VLOOKUP($D100,素材!$1:$1016,COLUMN($E$1),FALSE)/(LEN(VLOOKUP($D100,素材!$1:$1016,COLUMN($F$1),FALSE)) - LEN(SUBSTITUTE(VLOOKUP($D100,素材!$1:$1016,COLUMN($F$1),FALSE), "・", 0)) + 1), 0)</f>
        <v>0</v>
      </c>
      <c r="BA100">
        <f>IF(ISNUMBER(SEARCH(SUBSTITUTE(BA$1,RIGHT(BA$1,2),""),VLOOKUP($D100,素材!$1:$1016,COLUMN($F$1),FALSE))),VLOOKUP($C100,武器!$1:$998,COLUMN($O$1),FALSE)*VLOOKUP($D100,素材!$1:$1016,COLUMN($E$1),FALSE)/(LEN(VLOOKUP($D100,素材!$1:$1016,COLUMN($F$1),FALSE)) - LEN(SUBSTITUTE(VLOOKUP($D100,素材!$1:$1016,COLUMN($F$1),FALSE), "・", 0)) + 1), 0)</f>
        <v>0</v>
      </c>
      <c r="BB100">
        <f>IF(ISNUMBER(SEARCH(SUBSTITUTE(BB$1,RIGHT(BB$1,2),""),VLOOKUP($D100,素材!$1:$1016,COLUMN($F$1),FALSE))),VLOOKUP($C100,武器!$1:$998,COLUMN($O$1),FALSE)*VLOOKUP($D100,素材!$1:$1016,COLUMN($E$1),FALSE)/(LEN(VLOOKUP($D100,素材!$1:$1016,COLUMN($F$1),FALSE)) - LEN(SUBSTITUTE(VLOOKUP($D100,素材!$1:$1016,COLUMN($F$1),FALSE), "・", 0)) + 1), 0)</f>
        <v>0</v>
      </c>
      <c r="BC100">
        <f>IF(ISNUMBER(SEARCH(SUBSTITUTE(BC$1,RIGHT(BC$1,2),""),VLOOKUP($D100,素材!$1:$1016,COLUMN($F$1),FALSE))),VLOOKUP($C100,武器!$1:$998,COLUMN($O$1),FALSE)*VLOOKUP($D100,素材!$1:$1016,COLUMN($E$1),FALSE)/(LEN(VLOOKUP($D100,素材!$1:$1016,COLUMN($F$1),FALSE)) - LEN(SUBSTITUTE(VLOOKUP($D100,素材!$1:$1016,COLUMN($F$1),FALSE), "・", 0)) + 1), 0)</f>
        <v>0</v>
      </c>
      <c r="BD100">
        <f>IF(ISNUMBER(SEARCH(SUBSTITUTE(BD$1,RIGHT(BD$1,2),""),VLOOKUP($D100,素材!$1:$1016,COLUMN($F$1),FALSE))),VLOOKUP($C100,武器!$1:$998,COLUMN($O$1),FALSE)*VLOOKUP($D100,素材!$1:$1016,COLUMN($E$1),FALSE)/(LEN(VLOOKUP($D100,素材!$1:$1016,COLUMN($F$1),FALSE)) - LEN(SUBSTITUTE(VLOOKUP($D100,素材!$1:$1016,COLUMN($F$1),FALSE), "・", 0)) + 1), 0)</f>
        <v>0</v>
      </c>
      <c r="BE100">
        <f>IF(ISNUMBER(SEARCH(SUBSTITUTE(BE$1,RIGHT(BE$1,2),""),VLOOKUP($D100,素材!$1:$1016,COLUMN($F$1),FALSE))),VLOOKUP($C100,武器!$1:$998,COLUMN($O$1),FALSE)*VLOOKUP($D100,素材!$1:$1016,COLUMN($E$1),FALSE)/(LEN(VLOOKUP($D100,素材!$1:$1016,COLUMN($F$1),FALSE)) - LEN(SUBSTITUTE(VLOOKUP($D100,素材!$1:$1016,COLUMN($F$1),FALSE), "・", 0)) + 1), 0)</f>
        <v>0</v>
      </c>
      <c r="CL100">
        <f>SUM(G100:I100)</f>
        <v>24</v>
      </c>
      <c r="CM100" s="22" t="str">
        <f>IF(E100="武器",IF(J100-1&gt;SUM(G100:I100),"盾",IF(MAX(G100:I100)=G100,"切断",IF(MAX(G100:I100)=H100,"貫通",IF(MAX(G100:I100)=I100,"打撃","射撃")))),E100)&amp;".webp"</f>
        <v>盾.webp</v>
      </c>
      <c r="CN100">
        <f>IFERROR(VLOOKUP($C100,武器!$1:$998,COLUMN(V$1),FALSE)*VLOOKUP($D100,素材!$1:$1016,COLUMN(N$1),FALSE)+IF(CI100="",0,VLOOKUP($CI100,装強!$1:$1008,COLUMN($CK$1),FALSE)),"")</f>
        <v>900</v>
      </c>
      <c r="CO100" t="str">
        <f>VLOOKUP(D100,素材!$A:$O,COLUMN(素材!O$1),FALSE)</f>
        <v>鍛えられた鉄。硬度が高く安価なためよく使用される。</v>
      </c>
      <c r="CP100" t="str">
        <f>VLOOKUP(C100,武器!$A:$W,COLUMN(武器!W$1),FALSE)</f>
        <v>丸大盾。防御範囲が広く、投擲も可能。</v>
      </c>
      <c r="CR100" t="str">
        <f t="shared" si="5"/>
        <v>e_100</v>
      </c>
      <c r="CS100">
        <f t="shared" si="6"/>
        <v>90000</v>
      </c>
    </row>
    <row r="101" spans="1:97" outlineLevel="1" x14ac:dyDescent="0.4">
      <c r="A101" t="str">
        <f t="shared" si="7"/>
        <v>鋼の大盾</v>
      </c>
      <c r="B101" t="str">
        <f>IFERROR(VLOOKUP($D101,素材!$1:$1016,COLUMN($B$1),FALSE)&amp;"・"&amp;VLOOKUP($C101,武器!$1:$998,COLUMN(B$1),FALSE),"")</f>
        <v>スチール・ラージシールド</v>
      </c>
      <c r="C101" t="s">
        <v>219</v>
      </c>
      <c r="D101" s="24" t="s">
        <v>253</v>
      </c>
      <c r="E101" t="str">
        <f>IFERROR(VLOOKUP(C101,武器!$1:$998,COLUMN(C$1),FALSE),"")</f>
        <v>盾</v>
      </c>
      <c r="F101">
        <f>IFERROR(ROUNDDOWN((VLOOKUP($C101,武器!$1:$998,COLUMN(D$1),FALSE)+IFERROR(VLOOKUP($CI101,装強!$1:$999,COLUMN(F$1),FALSE),0))*VLOOKUP($D101,素材!$1:$1016,COLUMN(D$1),FALSE),0),"")</f>
        <v>120</v>
      </c>
      <c r="G101">
        <f>IFERROR(ROUNDDOWN((VLOOKUP($C101,武器!$1:$998,COLUMN(E$1),FALSE)+IFERROR(VLOOKUP($CI101,装強!$1:$999,COLUMN(G$1),FALSE),0))*VLOOKUP($D101,素材!$1:$1016,COLUMN($E$1),FALSE),0),"")</f>
        <v>0</v>
      </c>
      <c r="H101">
        <f>IFERROR(ROUNDDOWN((VLOOKUP($C101,武器!$1:$998,COLUMN(F$1),FALSE)+IFERROR(VLOOKUP($CI101,装強!$1:$999,COLUMN(H$1),FALSE),0))*VLOOKUP($D101,素材!$1:$1016,COLUMN($E$1),FALSE),0),"")</f>
        <v>0</v>
      </c>
      <c r="I101">
        <f>IFERROR(ROUNDDOWN((VLOOKUP($C101,武器!$1:$998,COLUMN(G$1),FALSE)+IFERROR(VLOOKUP($CI101,装強!$1:$999,COLUMN(I$1),FALSE),0))*VLOOKUP($D101,素材!$1:$1016,COLUMN($E$1),FALSE),0),"")</f>
        <v>22</v>
      </c>
      <c r="J101">
        <f>IFERROR(ROUNDDOWN((VLOOKUP($C101,武器!$1:$998,COLUMN(H$1),FALSE)+IFERROR(VLOOKUP($CI101,装強!$1:$999,COLUMN(J$1),FALSE),0))*VLOOKUP($D101,素材!$1:$1016,COLUMN($E$1),FALSE),0),"")</f>
        <v>36</v>
      </c>
      <c r="K101">
        <f>IFERROR(ROUNDDOWN((VLOOKUP($C101,武器!$1:$998,COLUMN(I$1),FALSE)+IFERROR(VLOOKUP($CI101,装強!$1:$999,COLUMN(K$1),FALSE),0))*VLOOKUP($D101,素材!$1:$1016,COLUMN($E$1),FALSE),0),"")</f>
        <v>0</v>
      </c>
      <c r="L101">
        <f>IFERROR(VLOOKUP($D101,素材!$1:$1016,COLUMN($F$1),FALSE),"")</f>
        <v>0</v>
      </c>
      <c r="M101">
        <f>IFERROR(VLOOKUP($C101,武器!$1:$998,COLUMN(AA$1),FALSE)*VLOOKUP($D101,素材!$1:$1016,COLUMN($G$1),FALSE),"")</f>
        <v>0</v>
      </c>
      <c r="N101">
        <f>IFERROR(VLOOKUP($C101,武器!$1:$998,COLUMN(I$1),FALSE),"")</f>
        <v>0</v>
      </c>
      <c r="O101" s="23">
        <f>IFERROR((VLOOKUP($C101,武器!$1:$998,COLUMN(K$1),FALSE)+VLOOKUP($D101,素材!$1:$1016,COLUMN(H$1),FALSE))*100+IFERROR(VLOOKUP($CI101,装強!$1:$999,COLUMN(O$1),FALSE),0),"")</f>
        <v>5</v>
      </c>
      <c r="P101" s="23">
        <f>IFERROR((VLOOKUP($C101,武器!$1:$998,COLUMN(L$1),FALSE)+VLOOKUP($D101,素材!$1:$1016,COLUMN(I$1),FALSE))*100+IFERROR(VLOOKUP($CI101,装強!$1:$999,COLUMN(P$1),FALSE),0),"")</f>
        <v>125</v>
      </c>
      <c r="Q101">
        <f>IFERROR(ROUNDUP(VLOOKUP($C101,武器!$1:$998,COLUMN(M$1),FALSE)*(VLOOKUP($D101,素材!$1:$1002,COLUMN(D$1),FALSE)/100),1),"")</f>
        <v>-5.3</v>
      </c>
      <c r="R101">
        <f>IFERROR(ROUNDUP(VLOOKUP($C101,武器!$1:$998,COLUMN(N$1),FALSE)*(VLOOKUP($D101,素材!$1:$1002,COLUMN(D$1),FALSE)/100),1),"")</f>
        <v>0</v>
      </c>
      <c r="S101">
        <f>IFERROR(VLOOKUP($C101,武器!$1:$998,COLUMN(P$1),FALSE),"")</f>
        <v>0</v>
      </c>
      <c r="T101">
        <f>IFERROR(VLOOKUP($C101,武器!$1:$998,COLUMN(Q$1),FALSE),"")</f>
        <v>0</v>
      </c>
      <c r="U101">
        <f>IFERROR(VLOOKUP($C101,武器!$1:$998,COLUMN(R$1),FALSE),"")</f>
        <v>0</v>
      </c>
      <c r="V101">
        <f>IFERROR(VLOOKUP($C101,武器!$1:$998,COLUMN(Q$1),FALSE),"")</f>
        <v>0</v>
      </c>
      <c r="W101" t="str">
        <f>IFERROR(VLOOKUP($C101,武器!$1:$998,COLUMN(T$1),FALSE),"")</f>
        <v>A</v>
      </c>
      <c r="Y101" t="str">
        <f>IFERROR(VLOOKUP($C101,武器!$1:$998,COLUMN(U$1),FALSE),"")</f>
        <v>片手適正Ⅰ</v>
      </c>
      <c r="Z101">
        <f>IFERROR(ROUNDUP(VLOOKUP($C101,武器!$1:$998,COLUMN(O$1),FALSE)*VLOOKUP($D101,素材!$1:$1016,COLUMN(E$1),FALSE),1),"")</f>
        <v>0</v>
      </c>
      <c r="AA101">
        <f>IF(ISNUMBER(SEARCH(SUBSTITUTE(AA$1,RIGHT(AA$1,2),""),VLOOKUP($D101,素材!$1:$1016,COLUMN($F$1),FALSE))),VLOOKUP($C101,武器!$1:$998,COLUMN($O$1),FALSE)*VLOOKUP($D101,素材!$1:$1016,COLUMN($E$1),FALSE)/(LEN(VLOOKUP($D101,素材!$1:$1016,COLUMN($F$1),FALSE)) - LEN(SUBSTITUTE(VLOOKUP($D101,素材!$1:$1016,COLUMN($F$1),FALSE), "・", 0)) + 1), 0)</f>
        <v>0</v>
      </c>
      <c r="AB101">
        <f>IF(ISNUMBER(SEARCH(SUBSTITUTE(AB$1,RIGHT(AB$1,2),""),VLOOKUP($D101,素材!$1:$1016,COLUMN($F$1),FALSE))),VLOOKUP($C101,武器!$1:$998,COLUMN($O$1),FALSE)*VLOOKUP($D101,素材!$1:$1016,COLUMN($E$1),FALSE)/(LEN(VLOOKUP($D101,素材!$1:$1016,COLUMN($F$1),FALSE)) - LEN(SUBSTITUTE(VLOOKUP($D101,素材!$1:$1016,COLUMN($F$1),FALSE), "・", 0)) + 1), 0)</f>
        <v>0</v>
      </c>
      <c r="AC101">
        <f>IF(ISNUMBER(SEARCH(SUBSTITUTE(AC$1,RIGHT(AC$1,2),""),VLOOKUP($D101,素材!$1:$1016,COLUMN($F$1),FALSE))),VLOOKUP($C101,武器!$1:$998,COLUMN($O$1),FALSE)*VLOOKUP($D101,素材!$1:$1016,COLUMN($E$1),FALSE)/(LEN(VLOOKUP($D101,素材!$1:$1016,COLUMN($F$1),FALSE)) - LEN(SUBSTITUTE(VLOOKUP($D101,素材!$1:$1016,COLUMN($F$1),FALSE), "・", 0)) + 1), 0)</f>
        <v>0</v>
      </c>
      <c r="AD101">
        <f>IF(ISNUMBER(SEARCH(SUBSTITUTE(AD$1,RIGHT(AD$1,2),""),VLOOKUP($D101,素材!$1:$1016,COLUMN($F$1),FALSE))),VLOOKUP($C101,武器!$1:$998,COLUMN($O$1),FALSE)*VLOOKUP($D101,素材!$1:$1016,COLUMN($E$1),FALSE)/(LEN(VLOOKUP($D101,素材!$1:$1016,COLUMN($F$1),FALSE)) - LEN(SUBSTITUTE(VLOOKUP($D101,素材!$1:$1016,COLUMN($F$1),FALSE), "・", 0)) + 1), 0)</f>
        <v>0</v>
      </c>
      <c r="AE101">
        <f>IF(ISNUMBER(SEARCH(SUBSTITUTE(AE$1,RIGHT(AE$1,2),""),VLOOKUP($D101,素材!$1:$1016,COLUMN($F$1),FALSE))),VLOOKUP($C101,武器!$1:$998,COLUMN($O$1),FALSE)*VLOOKUP($D101,素材!$1:$1016,COLUMN($E$1),FALSE)/(LEN(VLOOKUP($D101,素材!$1:$1016,COLUMN($F$1),FALSE)) - LEN(SUBSTITUTE(VLOOKUP($D101,素材!$1:$1016,COLUMN($F$1),FALSE), "・", 0)) + 1), 0)</f>
        <v>0</v>
      </c>
      <c r="AF101">
        <f>IF(ISNUMBER(SEARCH(SUBSTITUTE(AF$1,RIGHT(AF$1,2),""),VLOOKUP($D101,素材!$1:$1016,COLUMN($F$1),FALSE))),VLOOKUP($C101,武器!$1:$998,COLUMN($O$1),FALSE)*VLOOKUP($D101,素材!$1:$1016,COLUMN($E$1),FALSE)/(LEN(VLOOKUP($D101,素材!$1:$1016,COLUMN($F$1),FALSE)) - LEN(SUBSTITUTE(VLOOKUP($D101,素材!$1:$1016,COLUMN($F$1),FALSE), "・", 0)) + 1), 0)</f>
        <v>0</v>
      </c>
      <c r="AG101">
        <f>IF(ISNUMBER(SEARCH(SUBSTITUTE(AG$1,RIGHT(AG$1,2),""),VLOOKUP($D101,素材!$1:$1016,COLUMN($F$1),FALSE))),VLOOKUP($C101,武器!$1:$998,COLUMN($O$1),FALSE)*VLOOKUP($D101,素材!$1:$1016,COLUMN($E$1),FALSE)/(LEN(VLOOKUP($D101,素材!$1:$1016,COLUMN($F$1),FALSE)) - LEN(SUBSTITUTE(VLOOKUP($D101,素材!$1:$1016,COLUMN($F$1),FALSE), "・", 0)) + 1), 0)</f>
        <v>0</v>
      </c>
      <c r="AH101">
        <f>IF(ISNUMBER(SEARCH(SUBSTITUTE(AH$1,RIGHT(AH$1,2),""),VLOOKUP($D101,素材!$1:$1016,COLUMN($F$1),FALSE))),VLOOKUP($C101,武器!$1:$998,COLUMN($O$1),FALSE)*VLOOKUP($D101,素材!$1:$1016,COLUMN($E$1),FALSE)/(LEN(VLOOKUP($D101,素材!$1:$1016,COLUMN($F$1),FALSE)) - LEN(SUBSTITUTE(VLOOKUP($D101,素材!$1:$1016,COLUMN($F$1),FALSE), "・", 0)) + 1), 0)</f>
        <v>0</v>
      </c>
      <c r="AI101">
        <f>IF(ISNUMBER(SEARCH(SUBSTITUTE(AI$1,RIGHT(AI$1,2),""),VLOOKUP($D101,素材!$1:$1016,COLUMN($F$1),FALSE))),VLOOKUP($C101,武器!$1:$998,COLUMN($O$1),FALSE)*VLOOKUP($D101,素材!$1:$1016,COLUMN($E$1),FALSE)/(LEN(VLOOKUP($D101,素材!$1:$1016,COLUMN($F$1),FALSE)) - LEN(SUBSTITUTE(VLOOKUP($D101,素材!$1:$1016,COLUMN($F$1),FALSE), "・", 0)) + 1), 0)</f>
        <v>0</v>
      </c>
      <c r="AJ101">
        <f>IF(ISNUMBER(SEARCH(SUBSTITUTE(AJ$1,RIGHT(AJ$1,2),""),VLOOKUP($D101,素材!$1:$1016,COLUMN($F$1),FALSE))),VLOOKUP($C101,武器!$1:$998,COLUMN($O$1),FALSE)*VLOOKUP($D101,素材!$1:$1016,COLUMN($E$1),FALSE)/(LEN(VLOOKUP($D101,素材!$1:$1016,COLUMN($F$1),FALSE)) - LEN(SUBSTITUTE(VLOOKUP($D101,素材!$1:$1016,COLUMN($F$1),FALSE), "・", 0)) + 1), 0)</f>
        <v>0</v>
      </c>
      <c r="AK101">
        <f>IF(ISNUMBER(SEARCH(SUBSTITUTE(AK$1,RIGHT(AK$1,2),""),VLOOKUP($D101,素材!$1:$1016,COLUMN($F$1),FALSE))),VLOOKUP($C101,武器!$1:$998,COLUMN($O$1),FALSE)*VLOOKUP($D101,素材!$1:$1016,COLUMN($E$1),FALSE)/(LEN(VLOOKUP($D101,素材!$1:$1016,COLUMN($F$1),FALSE)) - LEN(SUBSTITUTE(VLOOKUP($D101,素材!$1:$1016,COLUMN($F$1),FALSE), "・", 0)) + 1), 0)</f>
        <v>0</v>
      </c>
      <c r="AL101">
        <f>IF(ISNUMBER(SEARCH(SUBSTITUTE(AL$1,RIGHT(AL$1,2),""),VLOOKUP($D101,素材!$1:$1016,COLUMN($F$1),FALSE))),VLOOKUP($C101,武器!$1:$998,COLUMN($O$1),FALSE)*VLOOKUP($D101,素材!$1:$1016,COLUMN($E$1),FALSE)/(LEN(VLOOKUP($D101,素材!$1:$1016,COLUMN($F$1),FALSE)) - LEN(SUBSTITUTE(VLOOKUP($D101,素材!$1:$1016,COLUMN($F$1),FALSE), "・", 0)) + 1), 0)</f>
        <v>0</v>
      </c>
      <c r="AM101">
        <f>IF(ISNUMBER(SEARCH(SUBSTITUTE(AM$1,RIGHT(AM$1,2),""),VLOOKUP($D101,素材!$1:$1016,COLUMN($F$1),FALSE))),VLOOKUP($C101,武器!$1:$998,COLUMN($O$1),FALSE)*VLOOKUP($D101,素材!$1:$1016,COLUMN($E$1),FALSE)/(LEN(VLOOKUP($D101,素材!$1:$1016,COLUMN($F$1),FALSE)) - LEN(SUBSTITUTE(VLOOKUP($D101,素材!$1:$1016,COLUMN($F$1),FALSE), "・", 0)) + 1), 0)</f>
        <v>0</v>
      </c>
      <c r="AN101">
        <f>IF(ISNUMBER(SEARCH(SUBSTITUTE(AN$1,RIGHT(AN$1,2),""),VLOOKUP($D101,素材!$1:$1016,COLUMN($F$1),FALSE))),VLOOKUP($C101,武器!$1:$998,COLUMN($O$1),FALSE)*VLOOKUP($D101,素材!$1:$1016,COLUMN($E$1),FALSE)/(LEN(VLOOKUP($D101,素材!$1:$1016,COLUMN($F$1),FALSE)) - LEN(SUBSTITUTE(VLOOKUP($D101,素材!$1:$1016,COLUMN($F$1),FALSE), "・", 0)) + 1), 0)</f>
        <v>0</v>
      </c>
      <c r="AO101">
        <f>IF(ISNUMBER(SEARCH(SUBSTITUTE(AO$1,RIGHT(AO$1,2),""),VLOOKUP($D101,素材!$1:$1016,COLUMN($F$1),FALSE))),VLOOKUP($C101,武器!$1:$998,COLUMN($O$1),FALSE)*VLOOKUP($D101,素材!$1:$1016,COLUMN($E$1),FALSE)/(LEN(VLOOKUP($D101,素材!$1:$1016,COLUMN($F$1),FALSE)) - LEN(SUBSTITUTE(VLOOKUP($D101,素材!$1:$1016,COLUMN($F$1),FALSE), "・", 0)) + 1), 0)</f>
        <v>0</v>
      </c>
      <c r="AP101">
        <f>IF(ISNUMBER(SEARCH(SUBSTITUTE(AP$1,RIGHT(AP$1,2),""),VLOOKUP($D101,素材!$1:$1016,COLUMN($F$1),FALSE))),VLOOKUP($C101,武器!$1:$998,COLUMN($O$1),FALSE)*VLOOKUP($D101,素材!$1:$1016,COLUMN($E$1),FALSE)/(LEN(VLOOKUP($D101,素材!$1:$1016,COLUMN($F$1),FALSE)) - LEN(SUBSTITUTE(VLOOKUP($D101,素材!$1:$1016,COLUMN($F$1),FALSE), "・", 0)) + 1), 0)</f>
        <v>0</v>
      </c>
      <c r="AQ101">
        <f>IF(ISNUMBER(SEARCH(SUBSTITUTE(AQ$1,RIGHT(AQ$1,2),""),VLOOKUP($D101,素材!$1:$1016,COLUMN($F$1),FALSE))),VLOOKUP($C101,武器!$1:$998,COLUMN($O$1),FALSE)*VLOOKUP($D101,素材!$1:$1016,COLUMN($E$1),FALSE)/(LEN(VLOOKUP($D101,素材!$1:$1016,COLUMN($F$1),FALSE)) - LEN(SUBSTITUTE(VLOOKUP($D101,素材!$1:$1016,COLUMN($F$1),FALSE), "・", 0)) + 1), 0)</f>
        <v>0</v>
      </c>
      <c r="AR101">
        <f>IF(ISNUMBER(SEARCH(SUBSTITUTE(AR$1,RIGHT(AR$1,2),""),VLOOKUP($D101,素材!$1:$1016,COLUMN($F$1),FALSE))),VLOOKUP($C101,武器!$1:$998,COLUMN($O$1),FALSE)*VLOOKUP($D101,素材!$1:$1016,COLUMN($E$1),FALSE)/(LEN(VLOOKUP($D101,素材!$1:$1016,COLUMN($F$1),FALSE)) - LEN(SUBSTITUTE(VLOOKUP($D101,素材!$1:$1016,COLUMN($F$1),FALSE), "・", 0)) + 1), 0)</f>
        <v>0</v>
      </c>
      <c r="AS101">
        <f>IF(ISNUMBER(SEARCH(SUBSTITUTE(AS$1,RIGHT(AS$1,2),""),VLOOKUP($D101,素材!$1:$1016,COLUMN($F$1),FALSE))),VLOOKUP($C101,武器!$1:$998,COLUMN($O$1),FALSE)*VLOOKUP($D101,素材!$1:$1016,COLUMN($E$1),FALSE)/(LEN(VLOOKUP($D101,素材!$1:$1016,COLUMN($F$1),FALSE)) - LEN(SUBSTITUTE(VLOOKUP($D101,素材!$1:$1016,COLUMN($F$1),FALSE), "・", 0)) + 1), 0)</f>
        <v>0</v>
      </c>
      <c r="AT101">
        <f>IF(ISNUMBER(SEARCH(SUBSTITUTE(AT$1,RIGHT(AT$1,2),""),VLOOKUP($D101,素材!$1:$1016,COLUMN($F$1),FALSE))),VLOOKUP($C101,武器!$1:$998,COLUMN($O$1),FALSE)*VLOOKUP($D101,素材!$1:$1016,COLUMN($E$1),FALSE)/(LEN(VLOOKUP($D101,素材!$1:$1016,COLUMN($F$1),FALSE)) - LEN(SUBSTITUTE(VLOOKUP($D101,素材!$1:$1016,COLUMN($F$1),FALSE), "・", 0)) + 1), 0)</f>
        <v>0</v>
      </c>
      <c r="AU101">
        <f>IF(ISNUMBER(SEARCH(SUBSTITUTE(AU$1,RIGHT(AU$1,2),""),VLOOKUP($D101,素材!$1:$1016,COLUMN($F$1),FALSE))),VLOOKUP($C101,武器!$1:$998,COLUMN($O$1),FALSE)*VLOOKUP($D101,素材!$1:$1016,COLUMN($E$1),FALSE)/(LEN(VLOOKUP($D101,素材!$1:$1016,COLUMN($F$1),FALSE)) - LEN(SUBSTITUTE(VLOOKUP($D101,素材!$1:$1016,COLUMN($F$1),FALSE), "・", 0)) + 1), 0)</f>
        <v>0</v>
      </c>
      <c r="AV101">
        <f>IF(ISNUMBER(SEARCH(SUBSTITUTE(AV$1,RIGHT(AV$1,2),""),VLOOKUP($D101,素材!$1:$1016,COLUMN($F$1),FALSE))),VLOOKUP($C101,武器!$1:$998,COLUMN($O$1),FALSE)*VLOOKUP($D101,素材!$1:$1016,COLUMN($E$1),FALSE)/(LEN(VLOOKUP($D101,素材!$1:$1016,COLUMN($F$1),FALSE)) - LEN(SUBSTITUTE(VLOOKUP($D101,素材!$1:$1016,COLUMN($F$1),FALSE), "・", 0)) + 1), 0)</f>
        <v>0</v>
      </c>
      <c r="AW101">
        <f>IF(ISNUMBER(SEARCH(SUBSTITUTE(AW$1,RIGHT(AW$1,2),""),VLOOKUP($D101,素材!$1:$1016,COLUMN($F$1),FALSE))),VLOOKUP($C101,武器!$1:$998,COLUMN($O$1),FALSE)*VLOOKUP($D101,素材!$1:$1016,COLUMN($E$1),FALSE)/(LEN(VLOOKUP($D101,素材!$1:$1016,COLUMN($F$1),FALSE)) - LEN(SUBSTITUTE(VLOOKUP($D101,素材!$1:$1016,COLUMN($F$1),FALSE), "・", 0)) + 1), 0)</f>
        <v>0</v>
      </c>
      <c r="AX101">
        <f>IF(ISNUMBER(SEARCH(SUBSTITUTE(AX$1,RIGHT(AX$1,2),""),VLOOKUP($D101,素材!$1:$1016,COLUMN($F$1),FALSE))),VLOOKUP($C101,武器!$1:$998,COLUMN($O$1),FALSE)*VLOOKUP($D101,素材!$1:$1016,COLUMN($E$1),FALSE)/(LEN(VLOOKUP($D101,素材!$1:$1016,COLUMN($F$1),FALSE)) - LEN(SUBSTITUTE(VLOOKUP($D101,素材!$1:$1016,COLUMN($F$1),FALSE), "・", 0)) + 1), 0)</f>
        <v>0</v>
      </c>
      <c r="AY101">
        <f>IF(ISNUMBER(SEARCH(SUBSTITUTE(AY$1,RIGHT(AY$1,2),""),VLOOKUP($D101,素材!$1:$1016,COLUMN($F$1),FALSE))),VLOOKUP($C101,武器!$1:$998,COLUMN($O$1),FALSE)*VLOOKUP($D101,素材!$1:$1016,COLUMN($E$1),FALSE)/(LEN(VLOOKUP($D101,素材!$1:$1016,COLUMN($F$1),FALSE)) - LEN(SUBSTITUTE(VLOOKUP($D101,素材!$1:$1016,COLUMN($F$1),FALSE), "・", 0)) + 1), 0)</f>
        <v>0</v>
      </c>
      <c r="AZ101">
        <f>IF(ISNUMBER(SEARCH(SUBSTITUTE(AZ$1,RIGHT(AZ$1,2),""),VLOOKUP($D101,素材!$1:$1016,COLUMN($F$1),FALSE))),VLOOKUP($C101,武器!$1:$998,COLUMN($O$1),FALSE)*VLOOKUP($D101,素材!$1:$1016,COLUMN($E$1),FALSE)/(LEN(VLOOKUP($D101,素材!$1:$1016,COLUMN($F$1),FALSE)) - LEN(SUBSTITUTE(VLOOKUP($D101,素材!$1:$1016,COLUMN($F$1),FALSE), "・", 0)) + 1), 0)</f>
        <v>0</v>
      </c>
      <c r="BA101">
        <f>IF(ISNUMBER(SEARCH(SUBSTITUTE(BA$1,RIGHT(BA$1,2),""),VLOOKUP($D101,素材!$1:$1016,COLUMN($F$1),FALSE))),VLOOKUP($C101,武器!$1:$998,COLUMN($O$1),FALSE)*VLOOKUP($D101,素材!$1:$1016,COLUMN($E$1),FALSE)/(LEN(VLOOKUP($D101,素材!$1:$1016,COLUMN($F$1),FALSE)) - LEN(SUBSTITUTE(VLOOKUP($D101,素材!$1:$1016,COLUMN($F$1),FALSE), "・", 0)) + 1), 0)</f>
        <v>0</v>
      </c>
      <c r="BB101">
        <f>IF(ISNUMBER(SEARCH(SUBSTITUTE(BB$1,RIGHT(BB$1,2),""),VLOOKUP($D101,素材!$1:$1016,COLUMN($F$1),FALSE))),VLOOKUP($C101,武器!$1:$998,COLUMN($O$1),FALSE)*VLOOKUP($D101,素材!$1:$1016,COLUMN($E$1),FALSE)/(LEN(VLOOKUP($D101,素材!$1:$1016,COLUMN($F$1),FALSE)) - LEN(SUBSTITUTE(VLOOKUP($D101,素材!$1:$1016,COLUMN($F$1),FALSE), "・", 0)) + 1), 0)</f>
        <v>0</v>
      </c>
      <c r="BC101">
        <f>IF(ISNUMBER(SEARCH(SUBSTITUTE(BC$1,RIGHT(BC$1,2),""),VLOOKUP($D101,素材!$1:$1016,COLUMN($F$1),FALSE))),VLOOKUP($C101,武器!$1:$998,COLUMN($O$1),FALSE)*VLOOKUP($D101,素材!$1:$1016,COLUMN($E$1),FALSE)/(LEN(VLOOKUP($D101,素材!$1:$1016,COLUMN($F$1),FALSE)) - LEN(SUBSTITUTE(VLOOKUP($D101,素材!$1:$1016,COLUMN($F$1),FALSE), "・", 0)) + 1), 0)</f>
        <v>0</v>
      </c>
      <c r="BD101">
        <f>IF(ISNUMBER(SEARCH(SUBSTITUTE(BD$1,RIGHT(BD$1,2),""),VLOOKUP($D101,素材!$1:$1016,COLUMN($F$1),FALSE))),VLOOKUP($C101,武器!$1:$998,COLUMN($O$1),FALSE)*VLOOKUP($D101,素材!$1:$1016,COLUMN($E$1),FALSE)/(LEN(VLOOKUP($D101,素材!$1:$1016,COLUMN($F$1),FALSE)) - LEN(SUBSTITUTE(VLOOKUP($D101,素材!$1:$1016,COLUMN($F$1),FALSE), "・", 0)) + 1), 0)</f>
        <v>0</v>
      </c>
      <c r="BE101">
        <f>IF(ISNUMBER(SEARCH(SUBSTITUTE(BE$1,RIGHT(BE$1,2),""),VLOOKUP($D101,素材!$1:$1016,COLUMN($F$1),FALSE))),VLOOKUP($C101,武器!$1:$998,COLUMN($O$1),FALSE)*VLOOKUP($D101,素材!$1:$1016,COLUMN($E$1),FALSE)/(LEN(VLOOKUP($D101,素材!$1:$1016,COLUMN($F$1),FALSE)) - LEN(SUBSTITUTE(VLOOKUP($D101,素材!$1:$1016,COLUMN($F$1),FALSE), "・", 0)) + 1), 0)</f>
        <v>0</v>
      </c>
      <c r="CL101">
        <f>SUM(G101:I101)</f>
        <v>22</v>
      </c>
      <c r="CM101" s="22" t="str">
        <f>IF(E101="武器",IF(J101-1&gt;SUM(G101:I101),"盾",IF(MAX(G101:I101)=G101,"切断",IF(MAX(G101:I101)=H101,"貫通",IF(MAX(G101:I101)=I101,"打撃","射撃")))),E101)&amp;".webp"</f>
        <v>盾.webp</v>
      </c>
      <c r="CN101">
        <f>IFERROR(VLOOKUP($C101,武器!$1:$998,COLUMN(V$1),FALSE)*VLOOKUP($D101,素材!$1:$1016,COLUMN(N$1),FALSE)+IF(CI101="",0,VLOOKUP($CI101,装強!$1:$1008,COLUMN($CK$1),FALSE)),"")</f>
        <v>900</v>
      </c>
      <c r="CO101" t="str">
        <f>VLOOKUP(D101,素材!$A:$O,COLUMN(素材!O$1),FALSE)</f>
        <v>鍛えられた鉄。硬度が高く安価なためよく使用される。</v>
      </c>
      <c r="CP101" t="str">
        <f>VLOOKUP(C101,武器!$A:$W,COLUMN(武器!W$1),FALSE)</f>
        <v>大盾。さらに大きな盾で、高い防御力を持つ。</v>
      </c>
      <c r="CR101" t="str">
        <f t="shared" si="5"/>
        <v>e_101</v>
      </c>
      <c r="CS101">
        <f t="shared" si="6"/>
        <v>90000</v>
      </c>
    </row>
    <row r="102" spans="1:97" outlineLevel="1" x14ac:dyDescent="0.4">
      <c r="A102" t="str">
        <f t="shared" si="7"/>
        <v>鋼の短弓</v>
      </c>
      <c r="B102" t="str">
        <f>IFERROR(VLOOKUP($D102,素材!$1:$1016,COLUMN($B$1),FALSE)&amp;"・"&amp;VLOOKUP($C102,武器!$1:$998,COLUMN(B$1),FALSE),"")</f>
        <v>スチール・ボウ</v>
      </c>
      <c r="C102" t="s">
        <v>218</v>
      </c>
      <c r="D102" s="24" t="s">
        <v>253</v>
      </c>
      <c r="E102" t="str">
        <f>IFERROR(VLOOKUP(C102,武器!$1:$998,COLUMN(C$1),FALSE),"")</f>
        <v>武器</v>
      </c>
      <c r="F102">
        <f>IFERROR(ROUNDDOWN((VLOOKUP($C102,武器!$1:$998,COLUMN(D$1),FALSE)+IFERROR(VLOOKUP($CI102,装強!$1:$999,COLUMN(F$1),FALSE),0))*VLOOKUP($D102,素材!$1:$1016,COLUMN(D$1),FALSE),0),"")</f>
        <v>115</v>
      </c>
      <c r="G102">
        <f>IFERROR(ROUNDDOWN((VLOOKUP($C102,武器!$1:$998,COLUMN(E$1),FALSE)+IFERROR(VLOOKUP($CI102,装強!$1:$999,COLUMN(G$1),FALSE),0))*VLOOKUP($D102,素材!$1:$1016,COLUMN($E$1),FALSE),0),"")</f>
        <v>6</v>
      </c>
      <c r="H102">
        <f>IFERROR(ROUNDDOWN((VLOOKUP($C102,武器!$1:$998,COLUMN(F$1),FALSE)+IFERROR(VLOOKUP($CI102,装強!$1:$999,COLUMN(H$1),FALSE),0))*VLOOKUP($D102,素材!$1:$1016,COLUMN($E$1),FALSE),0),"")</f>
        <v>6</v>
      </c>
      <c r="I102">
        <f>IFERROR(ROUNDDOWN((VLOOKUP($C102,武器!$1:$998,COLUMN(G$1),FALSE)+IFERROR(VLOOKUP($CI102,装強!$1:$999,COLUMN(I$1),FALSE),0))*VLOOKUP($D102,素材!$1:$1016,COLUMN($E$1),FALSE),0),"")</f>
        <v>0</v>
      </c>
      <c r="J102">
        <f>IFERROR(ROUNDDOWN((VLOOKUP($C102,武器!$1:$998,COLUMN(H$1),FALSE)+IFERROR(VLOOKUP($CI102,装強!$1:$999,COLUMN(J$1),FALSE),0))*VLOOKUP($D102,素材!$1:$1016,COLUMN($E$1),FALSE),0),"")</f>
        <v>0</v>
      </c>
      <c r="K102">
        <f>IFERROR(ROUNDDOWN((VLOOKUP($C102,武器!$1:$998,COLUMN(I$1),FALSE)+IFERROR(VLOOKUP($CI102,装強!$1:$999,COLUMN(K$1),FALSE),0))*VLOOKUP($D102,素材!$1:$1016,COLUMN($E$1),FALSE),0),"")</f>
        <v>27</v>
      </c>
      <c r="L102">
        <f>IFERROR(VLOOKUP($D102,素材!$1:$1016,COLUMN($F$1),FALSE),"")</f>
        <v>0</v>
      </c>
      <c r="M102">
        <f>IFERROR(VLOOKUP($C102,武器!$1:$998,COLUMN(AA$1),FALSE)*VLOOKUP($D102,素材!$1:$1016,COLUMN($G$1),FALSE),"")</f>
        <v>0</v>
      </c>
      <c r="N102">
        <f>IFERROR(VLOOKUP($C102,武器!$1:$998,COLUMN(I$1),FALSE),"")</f>
        <v>1</v>
      </c>
      <c r="O102" s="23">
        <f>IFERROR((VLOOKUP($C102,武器!$1:$998,COLUMN(K$1),FALSE)+VLOOKUP($D102,素材!$1:$1016,COLUMN(H$1),FALSE))*100+IFERROR(VLOOKUP($CI102,装強!$1:$999,COLUMN(O$1),FALSE),0),"")</f>
        <v>10</v>
      </c>
      <c r="P102" s="23">
        <f>IFERROR((VLOOKUP($C102,武器!$1:$998,COLUMN(L$1),FALSE)+VLOOKUP($D102,素材!$1:$1016,COLUMN(I$1),FALSE))*100+IFERROR(VLOOKUP($CI102,装強!$1:$999,COLUMN(P$1),FALSE),0),"")</f>
        <v>130</v>
      </c>
      <c r="Q102">
        <f>IFERROR(ROUNDUP(VLOOKUP($C102,武器!$1:$998,COLUMN(M$1),FALSE)*(VLOOKUP($D102,素材!$1:$1002,COLUMN(D$1),FALSE)/100),1),"")</f>
        <v>-2.7</v>
      </c>
      <c r="R102">
        <f>IFERROR(ROUNDUP(VLOOKUP($C102,武器!$1:$998,COLUMN(N$1),FALSE)*(VLOOKUP($D102,素材!$1:$1002,COLUMN(D$1),FALSE)/100),1),"")</f>
        <v>0</v>
      </c>
      <c r="S102">
        <f>IFERROR(VLOOKUP($C102,武器!$1:$998,COLUMN(P$1),FALSE),"")</f>
        <v>2</v>
      </c>
      <c r="T102">
        <f>IFERROR(VLOOKUP($C102,武器!$1:$998,COLUMN(Q$1),FALSE),"")</f>
        <v>0</v>
      </c>
      <c r="U102">
        <f>IFERROR(VLOOKUP($C102,武器!$1:$998,COLUMN(R$1),FALSE),"")</f>
        <v>0</v>
      </c>
      <c r="V102">
        <f>IFERROR(VLOOKUP($C102,武器!$1:$998,COLUMN(Q$1),FALSE),"")</f>
        <v>0</v>
      </c>
      <c r="W102" t="str">
        <f>IFERROR(VLOOKUP($C102,武器!$1:$998,COLUMN(T$1),FALSE),"")</f>
        <v>A</v>
      </c>
      <c r="Y102">
        <f>IFERROR(VLOOKUP($C102,武器!$1:$998,COLUMN(U$1),FALSE),"")</f>
        <v>0</v>
      </c>
      <c r="Z102">
        <f>IFERROR(ROUNDUP(VLOOKUP($C102,武器!$1:$998,COLUMN(O$1),FALSE)*VLOOKUP($D102,素材!$1:$1016,COLUMN(E$1),FALSE),1),"")</f>
        <v>0</v>
      </c>
      <c r="AA102">
        <f>IF(ISNUMBER(SEARCH(SUBSTITUTE(AA$1,RIGHT(AA$1,2),""),VLOOKUP($D102,素材!$1:$1016,COLUMN($F$1),FALSE))),VLOOKUP($C102,武器!$1:$998,COLUMN($O$1),FALSE)*VLOOKUP($D102,素材!$1:$1016,COLUMN($E$1),FALSE)/(LEN(VLOOKUP($D102,素材!$1:$1016,COLUMN($F$1),FALSE)) - LEN(SUBSTITUTE(VLOOKUP($D102,素材!$1:$1016,COLUMN($F$1),FALSE), "・", 0)) + 1), 0)</f>
        <v>0</v>
      </c>
      <c r="AB102">
        <f>IF(ISNUMBER(SEARCH(SUBSTITUTE(AB$1,RIGHT(AB$1,2),""),VLOOKUP($D102,素材!$1:$1016,COLUMN($F$1),FALSE))),VLOOKUP($C102,武器!$1:$998,COLUMN($O$1),FALSE)*VLOOKUP($D102,素材!$1:$1016,COLUMN($E$1),FALSE)/(LEN(VLOOKUP($D102,素材!$1:$1016,COLUMN($F$1),FALSE)) - LEN(SUBSTITUTE(VLOOKUP($D102,素材!$1:$1016,COLUMN($F$1),FALSE), "・", 0)) + 1), 0)</f>
        <v>0</v>
      </c>
      <c r="AC102">
        <f>IF(ISNUMBER(SEARCH(SUBSTITUTE(AC$1,RIGHT(AC$1,2),""),VLOOKUP($D102,素材!$1:$1016,COLUMN($F$1),FALSE))),VLOOKUP($C102,武器!$1:$998,COLUMN($O$1),FALSE)*VLOOKUP($D102,素材!$1:$1016,COLUMN($E$1),FALSE)/(LEN(VLOOKUP($D102,素材!$1:$1016,COLUMN($F$1),FALSE)) - LEN(SUBSTITUTE(VLOOKUP($D102,素材!$1:$1016,COLUMN($F$1),FALSE), "・", 0)) + 1), 0)</f>
        <v>0</v>
      </c>
      <c r="AD102">
        <f>IF(ISNUMBER(SEARCH(SUBSTITUTE(AD$1,RIGHT(AD$1,2),""),VLOOKUP($D102,素材!$1:$1016,COLUMN($F$1),FALSE))),VLOOKUP($C102,武器!$1:$998,COLUMN($O$1),FALSE)*VLOOKUP($D102,素材!$1:$1016,COLUMN($E$1),FALSE)/(LEN(VLOOKUP($D102,素材!$1:$1016,COLUMN($F$1),FALSE)) - LEN(SUBSTITUTE(VLOOKUP($D102,素材!$1:$1016,COLUMN($F$1),FALSE), "・", 0)) + 1), 0)</f>
        <v>0</v>
      </c>
      <c r="AE102">
        <f>IF(ISNUMBER(SEARCH(SUBSTITUTE(AE$1,RIGHT(AE$1,2),""),VLOOKUP($D102,素材!$1:$1016,COLUMN($F$1),FALSE))),VLOOKUP($C102,武器!$1:$998,COLUMN($O$1),FALSE)*VLOOKUP($D102,素材!$1:$1016,COLUMN($E$1),FALSE)/(LEN(VLOOKUP($D102,素材!$1:$1016,COLUMN($F$1),FALSE)) - LEN(SUBSTITUTE(VLOOKUP($D102,素材!$1:$1016,COLUMN($F$1),FALSE), "・", 0)) + 1), 0)</f>
        <v>0</v>
      </c>
      <c r="AF102">
        <f>IF(ISNUMBER(SEARCH(SUBSTITUTE(AF$1,RIGHT(AF$1,2),""),VLOOKUP($D102,素材!$1:$1016,COLUMN($F$1),FALSE))),VLOOKUP($C102,武器!$1:$998,COLUMN($O$1),FALSE)*VLOOKUP($D102,素材!$1:$1016,COLUMN($E$1),FALSE)/(LEN(VLOOKUP($D102,素材!$1:$1016,COLUMN($F$1),FALSE)) - LEN(SUBSTITUTE(VLOOKUP($D102,素材!$1:$1016,COLUMN($F$1),FALSE), "・", 0)) + 1), 0)</f>
        <v>0</v>
      </c>
      <c r="AG102">
        <f>IF(ISNUMBER(SEARCH(SUBSTITUTE(AG$1,RIGHT(AG$1,2),""),VLOOKUP($D102,素材!$1:$1016,COLUMN($F$1),FALSE))),VLOOKUP($C102,武器!$1:$998,COLUMN($O$1),FALSE)*VLOOKUP($D102,素材!$1:$1016,COLUMN($E$1),FALSE)/(LEN(VLOOKUP($D102,素材!$1:$1016,COLUMN($F$1),FALSE)) - LEN(SUBSTITUTE(VLOOKUP($D102,素材!$1:$1016,COLUMN($F$1),FALSE), "・", 0)) + 1), 0)</f>
        <v>0</v>
      </c>
      <c r="AH102">
        <f>IF(ISNUMBER(SEARCH(SUBSTITUTE(AH$1,RIGHT(AH$1,2),""),VLOOKUP($D102,素材!$1:$1016,COLUMN($F$1),FALSE))),VLOOKUP($C102,武器!$1:$998,COLUMN($O$1),FALSE)*VLOOKUP($D102,素材!$1:$1016,COLUMN($E$1),FALSE)/(LEN(VLOOKUP($D102,素材!$1:$1016,COLUMN($F$1),FALSE)) - LEN(SUBSTITUTE(VLOOKUP($D102,素材!$1:$1016,COLUMN($F$1),FALSE), "・", 0)) + 1), 0)</f>
        <v>0</v>
      </c>
      <c r="AI102">
        <f>IF(ISNUMBER(SEARCH(SUBSTITUTE(AI$1,RIGHT(AI$1,2),""),VLOOKUP($D102,素材!$1:$1016,COLUMN($F$1),FALSE))),VLOOKUP($C102,武器!$1:$998,COLUMN($O$1),FALSE)*VLOOKUP($D102,素材!$1:$1016,COLUMN($E$1),FALSE)/(LEN(VLOOKUP($D102,素材!$1:$1016,COLUMN($F$1),FALSE)) - LEN(SUBSTITUTE(VLOOKUP($D102,素材!$1:$1016,COLUMN($F$1),FALSE), "・", 0)) + 1), 0)</f>
        <v>0</v>
      </c>
      <c r="AJ102">
        <f>IF(ISNUMBER(SEARCH(SUBSTITUTE(AJ$1,RIGHT(AJ$1,2),""),VLOOKUP($D102,素材!$1:$1016,COLUMN($F$1),FALSE))),VLOOKUP($C102,武器!$1:$998,COLUMN($O$1),FALSE)*VLOOKUP($D102,素材!$1:$1016,COLUMN($E$1),FALSE)/(LEN(VLOOKUP($D102,素材!$1:$1016,COLUMN($F$1),FALSE)) - LEN(SUBSTITUTE(VLOOKUP($D102,素材!$1:$1016,COLUMN($F$1),FALSE), "・", 0)) + 1), 0)</f>
        <v>0</v>
      </c>
      <c r="AK102">
        <f>IF(ISNUMBER(SEARCH(SUBSTITUTE(AK$1,RIGHT(AK$1,2),""),VLOOKUP($D102,素材!$1:$1016,COLUMN($F$1),FALSE))),VLOOKUP($C102,武器!$1:$998,COLUMN($O$1),FALSE)*VLOOKUP($D102,素材!$1:$1016,COLUMN($E$1),FALSE)/(LEN(VLOOKUP($D102,素材!$1:$1016,COLUMN($F$1),FALSE)) - LEN(SUBSTITUTE(VLOOKUP($D102,素材!$1:$1016,COLUMN($F$1),FALSE), "・", 0)) + 1), 0)</f>
        <v>0</v>
      </c>
      <c r="AL102">
        <f>IF(ISNUMBER(SEARCH(SUBSTITUTE(AL$1,RIGHT(AL$1,2),""),VLOOKUP($D102,素材!$1:$1016,COLUMN($F$1),FALSE))),VLOOKUP($C102,武器!$1:$998,COLUMN($O$1),FALSE)*VLOOKUP($D102,素材!$1:$1016,COLUMN($E$1),FALSE)/(LEN(VLOOKUP($D102,素材!$1:$1016,COLUMN($F$1),FALSE)) - LEN(SUBSTITUTE(VLOOKUP($D102,素材!$1:$1016,COLUMN($F$1),FALSE), "・", 0)) + 1), 0)</f>
        <v>0</v>
      </c>
      <c r="AM102">
        <f>IF(ISNUMBER(SEARCH(SUBSTITUTE(AM$1,RIGHT(AM$1,2),""),VLOOKUP($D102,素材!$1:$1016,COLUMN($F$1),FALSE))),VLOOKUP($C102,武器!$1:$998,COLUMN($O$1),FALSE)*VLOOKUP($D102,素材!$1:$1016,COLUMN($E$1),FALSE)/(LEN(VLOOKUP($D102,素材!$1:$1016,COLUMN($F$1),FALSE)) - LEN(SUBSTITUTE(VLOOKUP($D102,素材!$1:$1016,COLUMN($F$1),FALSE), "・", 0)) + 1), 0)</f>
        <v>0</v>
      </c>
      <c r="AN102">
        <f>IF(ISNUMBER(SEARCH(SUBSTITUTE(AN$1,RIGHT(AN$1,2),""),VLOOKUP($D102,素材!$1:$1016,COLUMN($F$1),FALSE))),VLOOKUP($C102,武器!$1:$998,COLUMN($O$1),FALSE)*VLOOKUP($D102,素材!$1:$1016,COLUMN($E$1),FALSE)/(LEN(VLOOKUP($D102,素材!$1:$1016,COLUMN($F$1),FALSE)) - LEN(SUBSTITUTE(VLOOKUP($D102,素材!$1:$1016,COLUMN($F$1),FALSE), "・", 0)) + 1), 0)</f>
        <v>0</v>
      </c>
      <c r="AO102">
        <f>IF(ISNUMBER(SEARCH(SUBSTITUTE(AO$1,RIGHT(AO$1,2),""),VLOOKUP($D102,素材!$1:$1016,COLUMN($F$1),FALSE))),VLOOKUP($C102,武器!$1:$998,COLUMN($O$1),FALSE)*VLOOKUP($D102,素材!$1:$1016,COLUMN($E$1),FALSE)/(LEN(VLOOKUP($D102,素材!$1:$1016,COLUMN($F$1),FALSE)) - LEN(SUBSTITUTE(VLOOKUP($D102,素材!$1:$1016,COLUMN($F$1),FALSE), "・", 0)) + 1), 0)</f>
        <v>0</v>
      </c>
      <c r="AP102">
        <f>IF(ISNUMBER(SEARCH(SUBSTITUTE(AP$1,RIGHT(AP$1,2),""),VLOOKUP($D102,素材!$1:$1016,COLUMN($F$1),FALSE))),VLOOKUP($C102,武器!$1:$998,COLUMN($O$1),FALSE)*VLOOKUP($D102,素材!$1:$1016,COLUMN($E$1),FALSE)/(LEN(VLOOKUP($D102,素材!$1:$1016,COLUMN($F$1),FALSE)) - LEN(SUBSTITUTE(VLOOKUP($D102,素材!$1:$1016,COLUMN($F$1),FALSE), "・", 0)) + 1), 0)</f>
        <v>0</v>
      </c>
      <c r="AQ102">
        <f>IF(ISNUMBER(SEARCH(SUBSTITUTE(AQ$1,RIGHT(AQ$1,2),""),VLOOKUP($D102,素材!$1:$1016,COLUMN($F$1),FALSE))),VLOOKUP($C102,武器!$1:$998,COLUMN($O$1),FALSE)*VLOOKUP($D102,素材!$1:$1016,COLUMN($E$1),FALSE)/(LEN(VLOOKUP($D102,素材!$1:$1016,COLUMN($F$1),FALSE)) - LEN(SUBSTITUTE(VLOOKUP($D102,素材!$1:$1016,COLUMN($F$1),FALSE), "・", 0)) + 1), 0)</f>
        <v>0</v>
      </c>
      <c r="AR102">
        <f>IF(ISNUMBER(SEARCH(SUBSTITUTE(AR$1,RIGHT(AR$1,2),""),VLOOKUP($D102,素材!$1:$1016,COLUMN($F$1),FALSE))),VLOOKUP($C102,武器!$1:$998,COLUMN($O$1),FALSE)*VLOOKUP($D102,素材!$1:$1016,COLUMN($E$1),FALSE)/(LEN(VLOOKUP($D102,素材!$1:$1016,COLUMN($F$1),FALSE)) - LEN(SUBSTITUTE(VLOOKUP($D102,素材!$1:$1016,COLUMN($F$1),FALSE), "・", 0)) + 1), 0)</f>
        <v>0</v>
      </c>
      <c r="AS102">
        <f>IF(ISNUMBER(SEARCH(SUBSTITUTE(AS$1,RIGHT(AS$1,2),""),VLOOKUP($D102,素材!$1:$1016,COLUMN($F$1),FALSE))),VLOOKUP($C102,武器!$1:$998,COLUMN($O$1),FALSE)*VLOOKUP($D102,素材!$1:$1016,COLUMN($E$1),FALSE)/(LEN(VLOOKUP($D102,素材!$1:$1016,COLUMN($F$1),FALSE)) - LEN(SUBSTITUTE(VLOOKUP($D102,素材!$1:$1016,COLUMN($F$1),FALSE), "・", 0)) + 1), 0)</f>
        <v>0</v>
      </c>
      <c r="AT102">
        <f>IF(ISNUMBER(SEARCH(SUBSTITUTE(AT$1,RIGHT(AT$1,2),""),VLOOKUP($D102,素材!$1:$1016,COLUMN($F$1),FALSE))),VLOOKUP($C102,武器!$1:$998,COLUMN($O$1),FALSE)*VLOOKUP($D102,素材!$1:$1016,COLUMN($E$1),FALSE)/(LEN(VLOOKUP($D102,素材!$1:$1016,COLUMN($F$1),FALSE)) - LEN(SUBSTITUTE(VLOOKUP($D102,素材!$1:$1016,COLUMN($F$1),FALSE), "・", 0)) + 1), 0)</f>
        <v>0</v>
      </c>
      <c r="AU102">
        <f>IF(ISNUMBER(SEARCH(SUBSTITUTE(AU$1,RIGHT(AU$1,2),""),VLOOKUP($D102,素材!$1:$1016,COLUMN($F$1),FALSE))),VLOOKUP($C102,武器!$1:$998,COLUMN($O$1),FALSE)*VLOOKUP($D102,素材!$1:$1016,COLUMN($E$1),FALSE)/(LEN(VLOOKUP($D102,素材!$1:$1016,COLUMN($F$1),FALSE)) - LEN(SUBSTITUTE(VLOOKUP($D102,素材!$1:$1016,COLUMN($F$1),FALSE), "・", 0)) + 1), 0)</f>
        <v>0</v>
      </c>
      <c r="AV102">
        <f>IF(ISNUMBER(SEARCH(SUBSTITUTE(AV$1,RIGHT(AV$1,2),""),VLOOKUP($D102,素材!$1:$1016,COLUMN($F$1),FALSE))),VLOOKUP($C102,武器!$1:$998,COLUMN($O$1),FALSE)*VLOOKUP($D102,素材!$1:$1016,COLUMN($E$1),FALSE)/(LEN(VLOOKUP($D102,素材!$1:$1016,COLUMN($F$1),FALSE)) - LEN(SUBSTITUTE(VLOOKUP($D102,素材!$1:$1016,COLUMN($F$1),FALSE), "・", 0)) + 1), 0)</f>
        <v>0</v>
      </c>
      <c r="AW102">
        <f>IF(ISNUMBER(SEARCH(SUBSTITUTE(AW$1,RIGHT(AW$1,2),""),VLOOKUP($D102,素材!$1:$1016,COLUMN($F$1),FALSE))),VLOOKUP($C102,武器!$1:$998,COLUMN($O$1),FALSE)*VLOOKUP($D102,素材!$1:$1016,COLUMN($E$1),FALSE)/(LEN(VLOOKUP($D102,素材!$1:$1016,COLUMN($F$1),FALSE)) - LEN(SUBSTITUTE(VLOOKUP($D102,素材!$1:$1016,COLUMN($F$1),FALSE), "・", 0)) + 1), 0)</f>
        <v>0</v>
      </c>
      <c r="AX102">
        <f>IF(ISNUMBER(SEARCH(SUBSTITUTE(AX$1,RIGHT(AX$1,2),""),VLOOKUP($D102,素材!$1:$1016,COLUMN($F$1),FALSE))),VLOOKUP($C102,武器!$1:$998,COLUMN($O$1),FALSE)*VLOOKUP($D102,素材!$1:$1016,COLUMN($E$1),FALSE)/(LEN(VLOOKUP($D102,素材!$1:$1016,COLUMN($F$1),FALSE)) - LEN(SUBSTITUTE(VLOOKUP($D102,素材!$1:$1016,COLUMN($F$1),FALSE), "・", 0)) + 1), 0)</f>
        <v>0</v>
      </c>
      <c r="AY102">
        <f>IF(ISNUMBER(SEARCH(SUBSTITUTE(AY$1,RIGHT(AY$1,2),""),VLOOKUP($D102,素材!$1:$1016,COLUMN($F$1),FALSE))),VLOOKUP($C102,武器!$1:$998,COLUMN($O$1),FALSE)*VLOOKUP($D102,素材!$1:$1016,COLUMN($E$1),FALSE)/(LEN(VLOOKUP($D102,素材!$1:$1016,COLUMN($F$1),FALSE)) - LEN(SUBSTITUTE(VLOOKUP($D102,素材!$1:$1016,COLUMN($F$1),FALSE), "・", 0)) + 1), 0)</f>
        <v>0</v>
      </c>
      <c r="AZ102">
        <f>IF(ISNUMBER(SEARCH(SUBSTITUTE(AZ$1,RIGHT(AZ$1,2),""),VLOOKUP($D102,素材!$1:$1016,COLUMN($F$1),FALSE))),VLOOKUP($C102,武器!$1:$998,COLUMN($O$1),FALSE)*VLOOKUP($D102,素材!$1:$1016,COLUMN($E$1),FALSE)/(LEN(VLOOKUP($D102,素材!$1:$1016,COLUMN($F$1),FALSE)) - LEN(SUBSTITUTE(VLOOKUP($D102,素材!$1:$1016,COLUMN($F$1),FALSE), "・", 0)) + 1), 0)</f>
        <v>0</v>
      </c>
      <c r="BA102">
        <f>IF(ISNUMBER(SEARCH(SUBSTITUTE(BA$1,RIGHT(BA$1,2),""),VLOOKUP($D102,素材!$1:$1016,COLUMN($F$1),FALSE))),VLOOKUP($C102,武器!$1:$998,COLUMN($O$1),FALSE)*VLOOKUP($D102,素材!$1:$1016,COLUMN($E$1),FALSE)/(LEN(VLOOKUP($D102,素材!$1:$1016,COLUMN($F$1),FALSE)) - LEN(SUBSTITUTE(VLOOKUP($D102,素材!$1:$1016,COLUMN($F$1),FALSE), "・", 0)) + 1), 0)</f>
        <v>0</v>
      </c>
      <c r="BB102">
        <f>IF(ISNUMBER(SEARCH(SUBSTITUTE(BB$1,RIGHT(BB$1,2),""),VLOOKUP($D102,素材!$1:$1016,COLUMN($F$1),FALSE))),VLOOKUP($C102,武器!$1:$998,COLUMN($O$1),FALSE)*VLOOKUP($D102,素材!$1:$1016,COLUMN($E$1),FALSE)/(LEN(VLOOKUP($D102,素材!$1:$1016,COLUMN($F$1),FALSE)) - LEN(SUBSTITUTE(VLOOKUP($D102,素材!$1:$1016,COLUMN($F$1),FALSE), "・", 0)) + 1), 0)</f>
        <v>0</v>
      </c>
      <c r="BC102">
        <f>IF(ISNUMBER(SEARCH(SUBSTITUTE(BC$1,RIGHT(BC$1,2),""),VLOOKUP($D102,素材!$1:$1016,COLUMN($F$1),FALSE))),VLOOKUP($C102,武器!$1:$998,COLUMN($O$1),FALSE)*VLOOKUP($D102,素材!$1:$1016,COLUMN($E$1),FALSE)/(LEN(VLOOKUP($D102,素材!$1:$1016,COLUMN($F$1),FALSE)) - LEN(SUBSTITUTE(VLOOKUP($D102,素材!$1:$1016,COLUMN($F$1),FALSE), "・", 0)) + 1), 0)</f>
        <v>0</v>
      </c>
      <c r="BD102">
        <f>IF(ISNUMBER(SEARCH(SUBSTITUTE(BD$1,RIGHT(BD$1,2),""),VLOOKUP($D102,素材!$1:$1016,COLUMN($F$1),FALSE))),VLOOKUP($C102,武器!$1:$998,COLUMN($O$1),FALSE)*VLOOKUP($D102,素材!$1:$1016,COLUMN($E$1),FALSE)/(LEN(VLOOKUP($D102,素材!$1:$1016,COLUMN($F$1),FALSE)) - LEN(SUBSTITUTE(VLOOKUP($D102,素材!$1:$1016,COLUMN($F$1),FALSE), "・", 0)) + 1), 0)</f>
        <v>0</v>
      </c>
      <c r="BE102">
        <f>IF(ISNUMBER(SEARCH(SUBSTITUTE(BE$1,RIGHT(BE$1,2),""),VLOOKUP($D102,素材!$1:$1016,COLUMN($F$1),FALSE))),VLOOKUP($C102,武器!$1:$998,COLUMN($O$1),FALSE)*VLOOKUP($D102,素材!$1:$1016,COLUMN($E$1),FALSE)/(LEN(VLOOKUP($D102,素材!$1:$1016,COLUMN($F$1),FALSE)) - LEN(SUBSTITUTE(VLOOKUP($D102,素材!$1:$1016,COLUMN($F$1),FALSE), "・", 0)) + 1), 0)</f>
        <v>0</v>
      </c>
      <c r="CL102">
        <f>SUM(G102:I102)</f>
        <v>12</v>
      </c>
      <c r="CM102" s="22" t="str">
        <f>IF(E102="武器",IF(J102-1&gt;SUM(G102:I102),"盾",IF(MAX(G102:I102)=G102,"切断",IF(MAX(G102:I102)=H102,"貫通",IF(MAX(G102:I102)=I102,"打撃","射撃")))),E102)&amp;".webp"</f>
        <v>切断.webp</v>
      </c>
      <c r="CN102">
        <f>IFERROR(VLOOKUP($C102,武器!$1:$998,COLUMN(V$1),FALSE)*VLOOKUP($D102,素材!$1:$1016,COLUMN(N$1),FALSE)+IF(CI102="",0,VLOOKUP($CI102,装強!$1:$1008,COLUMN($CK$1),FALSE)),"")</f>
        <v>675</v>
      </c>
      <c r="CO102" t="str">
        <f>VLOOKUP(D102,素材!$A:$O,COLUMN(素材!O$1),FALSE)</f>
        <v>鍛えられた鉄。硬度が高く安価なためよく使用される。</v>
      </c>
      <c r="CP102" t="str">
        <f>VLOOKUP(C102,武器!$A:$W,COLUMN(武器!W$1),FALSE)</f>
        <v>短弓。軽量で扱いやすい遠距離武器。</v>
      </c>
      <c r="CR102" t="str">
        <f t="shared" si="5"/>
        <v>e_102</v>
      </c>
      <c r="CS102">
        <f t="shared" si="6"/>
        <v>67500</v>
      </c>
    </row>
    <row r="103" spans="1:97" outlineLevel="1" x14ac:dyDescent="0.4">
      <c r="A103" t="str">
        <f t="shared" si="7"/>
        <v>鋼の長弓</v>
      </c>
      <c r="B103" t="str">
        <f>IFERROR(VLOOKUP($D103,素材!$1:$1016,COLUMN($B$1),FALSE)&amp;"・"&amp;VLOOKUP($C103,武器!$1:$998,COLUMN(B$1),FALSE),"")</f>
        <v>スチール・ロングボウ</v>
      </c>
      <c r="C103" t="s">
        <v>217</v>
      </c>
      <c r="D103" s="24" t="s">
        <v>253</v>
      </c>
      <c r="E103" t="str">
        <f>IFERROR(VLOOKUP(C103,武器!$1:$998,COLUMN(C$1),FALSE),"")</f>
        <v>武器</v>
      </c>
      <c r="F103">
        <f>IFERROR(ROUNDDOWN((VLOOKUP($C103,武器!$1:$998,COLUMN(D$1),FALSE)+IFERROR(VLOOKUP($CI103,装強!$1:$999,COLUMN(F$1),FALSE),0))*VLOOKUP($D103,素材!$1:$1016,COLUMN(D$1),FALSE),0),"")</f>
        <v>126</v>
      </c>
      <c r="G103">
        <f>IFERROR(ROUNDDOWN((VLOOKUP($C103,武器!$1:$998,COLUMN(E$1),FALSE)+IFERROR(VLOOKUP($CI103,装強!$1:$999,COLUMN(G$1),FALSE),0))*VLOOKUP($D103,素材!$1:$1016,COLUMN($E$1),FALSE),0),"")</f>
        <v>6</v>
      </c>
      <c r="H103">
        <f>IFERROR(ROUNDDOWN((VLOOKUP($C103,武器!$1:$998,COLUMN(F$1),FALSE)+IFERROR(VLOOKUP($CI103,装強!$1:$999,COLUMN(H$1),FALSE),0))*VLOOKUP($D103,素材!$1:$1016,COLUMN($E$1),FALSE),0),"")</f>
        <v>6</v>
      </c>
      <c r="I103">
        <f>IFERROR(ROUNDDOWN((VLOOKUP($C103,武器!$1:$998,COLUMN(G$1),FALSE)+IFERROR(VLOOKUP($CI103,装強!$1:$999,COLUMN(I$1),FALSE),0))*VLOOKUP($D103,素材!$1:$1016,COLUMN($E$1),FALSE),0),"")</f>
        <v>0</v>
      </c>
      <c r="J103">
        <f>IFERROR(ROUNDDOWN((VLOOKUP($C103,武器!$1:$998,COLUMN(H$1),FALSE)+IFERROR(VLOOKUP($CI103,装強!$1:$999,COLUMN(J$1),FALSE),0))*VLOOKUP($D103,素材!$1:$1016,COLUMN($E$1),FALSE),0),"")</f>
        <v>0</v>
      </c>
      <c r="K103">
        <f>IFERROR(ROUNDDOWN((VLOOKUP($C103,武器!$1:$998,COLUMN(I$1),FALSE)+IFERROR(VLOOKUP($CI103,装強!$1:$999,COLUMN(K$1),FALSE),0))*VLOOKUP($D103,素材!$1:$1016,COLUMN($E$1),FALSE),0),"")</f>
        <v>31</v>
      </c>
      <c r="L103">
        <f>IFERROR(VLOOKUP($D103,素材!$1:$1016,COLUMN($F$1),FALSE),"")</f>
        <v>0</v>
      </c>
      <c r="M103">
        <f>IFERROR(VLOOKUP($C103,武器!$1:$998,COLUMN(AA$1),FALSE)*VLOOKUP($D103,素材!$1:$1016,COLUMN($G$1),FALSE),"")</f>
        <v>0</v>
      </c>
      <c r="N103">
        <f>IFERROR(VLOOKUP($C103,武器!$1:$998,COLUMN(I$1),FALSE),"")</f>
        <v>1.1499999999999999</v>
      </c>
      <c r="O103" s="23">
        <f>IFERROR((VLOOKUP($C103,武器!$1:$998,COLUMN(K$1),FALSE)+VLOOKUP($D103,素材!$1:$1016,COLUMN(H$1),FALSE))*100+IFERROR(VLOOKUP($CI103,装強!$1:$999,COLUMN(O$1),FALSE),0),"")</f>
        <v>10</v>
      </c>
      <c r="P103" s="23">
        <f>IFERROR((VLOOKUP($C103,武器!$1:$998,COLUMN(L$1),FALSE)+VLOOKUP($D103,素材!$1:$1016,COLUMN(I$1),FALSE))*100+IFERROR(VLOOKUP($CI103,装強!$1:$999,COLUMN(P$1),FALSE),0),"")</f>
        <v>130</v>
      </c>
      <c r="Q103">
        <f>IFERROR(ROUNDUP(VLOOKUP($C103,武器!$1:$998,COLUMN(M$1),FALSE)*(VLOOKUP($D103,素材!$1:$1002,COLUMN(D$1),FALSE)/100),1),"")</f>
        <v>-5.3</v>
      </c>
      <c r="R103">
        <f>IFERROR(ROUNDUP(VLOOKUP($C103,武器!$1:$998,COLUMN(N$1),FALSE)*(VLOOKUP($D103,素材!$1:$1002,COLUMN(D$1),FALSE)/100),1),"")</f>
        <v>-2.7</v>
      </c>
      <c r="S103">
        <f>IFERROR(VLOOKUP($C103,武器!$1:$998,COLUMN(P$1),FALSE),"")</f>
        <v>2</v>
      </c>
      <c r="T103">
        <f>IFERROR(VLOOKUP($C103,武器!$1:$998,COLUMN(Q$1),FALSE),"")</f>
        <v>0</v>
      </c>
      <c r="U103">
        <f>IFERROR(VLOOKUP($C103,武器!$1:$998,COLUMN(R$1),FALSE),"")</f>
        <v>0</v>
      </c>
      <c r="V103">
        <f>IFERROR(VLOOKUP($C103,武器!$1:$998,COLUMN(Q$1),FALSE),"")</f>
        <v>0</v>
      </c>
      <c r="W103" t="str">
        <f>IFERROR(VLOOKUP($C103,武器!$1:$998,COLUMN(T$1),FALSE),"")</f>
        <v>A</v>
      </c>
      <c r="Y103">
        <f>IFERROR(VLOOKUP($C103,武器!$1:$998,COLUMN(U$1),FALSE),"")</f>
        <v>0</v>
      </c>
      <c r="Z103">
        <f>IFERROR(ROUNDUP(VLOOKUP($C103,武器!$1:$998,COLUMN(O$1),FALSE)*VLOOKUP($D103,素材!$1:$1016,COLUMN(E$1),FALSE),1),"")</f>
        <v>0</v>
      </c>
      <c r="AA103">
        <f>IF(ISNUMBER(SEARCH(SUBSTITUTE(AA$1,RIGHT(AA$1,2),""),VLOOKUP($D103,素材!$1:$1016,COLUMN($F$1),FALSE))),VLOOKUP($C103,武器!$1:$998,COLUMN($O$1),FALSE)*VLOOKUP($D103,素材!$1:$1016,COLUMN($E$1),FALSE)/(LEN(VLOOKUP($D103,素材!$1:$1016,COLUMN($F$1),FALSE)) - LEN(SUBSTITUTE(VLOOKUP($D103,素材!$1:$1016,COLUMN($F$1),FALSE), "・", 0)) + 1), 0)</f>
        <v>0</v>
      </c>
      <c r="AB103">
        <f>IF(ISNUMBER(SEARCH(SUBSTITUTE(AB$1,RIGHT(AB$1,2),""),VLOOKUP($D103,素材!$1:$1016,COLUMN($F$1),FALSE))),VLOOKUP($C103,武器!$1:$998,COLUMN($O$1),FALSE)*VLOOKUP($D103,素材!$1:$1016,COLUMN($E$1),FALSE)/(LEN(VLOOKUP($D103,素材!$1:$1016,COLUMN($F$1),FALSE)) - LEN(SUBSTITUTE(VLOOKUP($D103,素材!$1:$1016,COLUMN($F$1),FALSE), "・", 0)) + 1), 0)</f>
        <v>0</v>
      </c>
      <c r="AC103">
        <f>IF(ISNUMBER(SEARCH(SUBSTITUTE(AC$1,RIGHT(AC$1,2),""),VLOOKUP($D103,素材!$1:$1016,COLUMN($F$1),FALSE))),VLOOKUP($C103,武器!$1:$998,COLUMN($O$1),FALSE)*VLOOKUP($D103,素材!$1:$1016,COLUMN($E$1),FALSE)/(LEN(VLOOKUP($D103,素材!$1:$1016,COLUMN($F$1),FALSE)) - LEN(SUBSTITUTE(VLOOKUP($D103,素材!$1:$1016,COLUMN($F$1),FALSE), "・", 0)) + 1), 0)</f>
        <v>0</v>
      </c>
      <c r="AD103">
        <f>IF(ISNUMBER(SEARCH(SUBSTITUTE(AD$1,RIGHT(AD$1,2),""),VLOOKUP($D103,素材!$1:$1016,COLUMN($F$1),FALSE))),VLOOKUP($C103,武器!$1:$998,COLUMN($O$1),FALSE)*VLOOKUP($D103,素材!$1:$1016,COLUMN($E$1),FALSE)/(LEN(VLOOKUP($D103,素材!$1:$1016,COLUMN($F$1),FALSE)) - LEN(SUBSTITUTE(VLOOKUP($D103,素材!$1:$1016,COLUMN($F$1),FALSE), "・", 0)) + 1), 0)</f>
        <v>0</v>
      </c>
      <c r="AE103">
        <f>IF(ISNUMBER(SEARCH(SUBSTITUTE(AE$1,RIGHT(AE$1,2),""),VLOOKUP($D103,素材!$1:$1016,COLUMN($F$1),FALSE))),VLOOKUP($C103,武器!$1:$998,COLUMN($O$1),FALSE)*VLOOKUP($D103,素材!$1:$1016,COLUMN($E$1),FALSE)/(LEN(VLOOKUP($D103,素材!$1:$1016,COLUMN($F$1),FALSE)) - LEN(SUBSTITUTE(VLOOKUP($D103,素材!$1:$1016,COLUMN($F$1),FALSE), "・", 0)) + 1), 0)</f>
        <v>0</v>
      </c>
      <c r="AF103">
        <f>IF(ISNUMBER(SEARCH(SUBSTITUTE(AF$1,RIGHT(AF$1,2),""),VLOOKUP($D103,素材!$1:$1016,COLUMN($F$1),FALSE))),VLOOKUP($C103,武器!$1:$998,COLUMN($O$1),FALSE)*VLOOKUP($D103,素材!$1:$1016,COLUMN($E$1),FALSE)/(LEN(VLOOKUP($D103,素材!$1:$1016,COLUMN($F$1),FALSE)) - LEN(SUBSTITUTE(VLOOKUP($D103,素材!$1:$1016,COLUMN($F$1),FALSE), "・", 0)) + 1), 0)</f>
        <v>0</v>
      </c>
      <c r="AG103">
        <f>IF(ISNUMBER(SEARCH(SUBSTITUTE(AG$1,RIGHT(AG$1,2),""),VLOOKUP($D103,素材!$1:$1016,COLUMN($F$1),FALSE))),VLOOKUP($C103,武器!$1:$998,COLUMN($O$1),FALSE)*VLOOKUP($D103,素材!$1:$1016,COLUMN($E$1),FALSE)/(LEN(VLOOKUP($D103,素材!$1:$1016,COLUMN($F$1),FALSE)) - LEN(SUBSTITUTE(VLOOKUP($D103,素材!$1:$1016,COLUMN($F$1),FALSE), "・", 0)) + 1), 0)</f>
        <v>0</v>
      </c>
      <c r="AH103">
        <f>IF(ISNUMBER(SEARCH(SUBSTITUTE(AH$1,RIGHT(AH$1,2),""),VLOOKUP($D103,素材!$1:$1016,COLUMN($F$1),FALSE))),VLOOKUP($C103,武器!$1:$998,COLUMN($O$1),FALSE)*VLOOKUP($D103,素材!$1:$1016,COLUMN($E$1),FALSE)/(LEN(VLOOKUP($D103,素材!$1:$1016,COLUMN($F$1),FALSE)) - LEN(SUBSTITUTE(VLOOKUP($D103,素材!$1:$1016,COLUMN($F$1),FALSE), "・", 0)) + 1), 0)</f>
        <v>0</v>
      </c>
      <c r="AI103">
        <f>IF(ISNUMBER(SEARCH(SUBSTITUTE(AI$1,RIGHT(AI$1,2),""),VLOOKUP($D103,素材!$1:$1016,COLUMN($F$1),FALSE))),VLOOKUP($C103,武器!$1:$998,COLUMN($O$1),FALSE)*VLOOKUP($D103,素材!$1:$1016,COLUMN($E$1),FALSE)/(LEN(VLOOKUP($D103,素材!$1:$1016,COLUMN($F$1),FALSE)) - LEN(SUBSTITUTE(VLOOKUP($D103,素材!$1:$1016,COLUMN($F$1),FALSE), "・", 0)) + 1), 0)</f>
        <v>0</v>
      </c>
      <c r="AJ103">
        <f>IF(ISNUMBER(SEARCH(SUBSTITUTE(AJ$1,RIGHT(AJ$1,2),""),VLOOKUP($D103,素材!$1:$1016,COLUMN($F$1),FALSE))),VLOOKUP($C103,武器!$1:$998,COLUMN($O$1),FALSE)*VLOOKUP($D103,素材!$1:$1016,COLUMN($E$1),FALSE)/(LEN(VLOOKUP($D103,素材!$1:$1016,COLUMN($F$1),FALSE)) - LEN(SUBSTITUTE(VLOOKUP($D103,素材!$1:$1016,COLUMN($F$1),FALSE), "・", 0)) + 1), 0)</f>
        <v>0</v>
      </c>
      <c r="AK103">
        <f>IF(ISNUMBER(SEARCH(SUBSTITUTE(AK$1,RIGHT(AK$1,2),""),VLOOKUP($D103,素材!$1:$1016,COLUMN($F$1),FALSE))),VLOOKUP($C103,武器!$1:$998,COLUMN($O$1),FALSE)*VLOOKUP($D103,素材!$1:$1016,COLUMN($E$1),FALSE)/(LEN(VLOOKUP($D103,素材!$1:$1016,COLUMN($F$1),FALSE)) - LEN(SUBSTITUTE(VLOOKUP($D103,素材!$1:$1016,COLUMN($F$1),FALSE), "・", 0)) + 1), 0)</f>
        <v>0</v>
      </c>
      <c r="AL103">
        <f>IF(ISNUMBER(SEARCH(SUBSTITUTE(AL$1,RIGHT(AL$1,2),""),VLOOKUP($D103,素材!$1:$1016,COLUMN($F$1),FALSE))),VLOOKUP($C103,武器!$1:$998,COLUMN($O$1),FALSE)*VLOOKUP($D103,素材!$1:$1016,COLUMN($E$1),FALSE)/(LEN(VLOOKUP($D103,素材!$1:$1016,COLUMN($F$1),FALSE)) - LEN(SUBSTITUTE(VLOOKUP($D103,素材!$1:$1016,COLUMN($F$1),FALSE), "・", 0)) + 1), 0)</f>
        <v>0</v>
      </c>
      <c r="AM103">
        <f>IF(ISNUMBER(SEARCH(SUBSTITUTE(AM$1,RIGHT(AM$1,2),""),VLOOKUP($D103,素材!$1:$1016,COLUMN($F$1),FALSE))),VLOOKUP($C103,武器!$1:$998,COLUMN($O$1),FALSE)*VLOOKUP($D103,素材!$1:$1016,COLUMN($E$1),FALSE)/(LEN(VLOOKUP($D103,素材!$1:$1016,COLUMN($F$1),FALSE)) - LEN(SUBSTITUTE(VLOOKUP($D103,素材!$1:$1016,COLUMN($F$1),FALSE), "・", 0)) + 1), 0)</f>
        <v>0</v>
      </c>
      <c r="AN103">
        <f>IF(ISNUMBER(SEARCH(SUBSTITUTE(AN$1,RIGHT(AN$1,2),""),VLOOKUP($D103,素材!$1:$1016,COLUMN($F$1),FALSE))),VLOOKUP($C103,武器!$1:$998,COLUMN($O$1),FALSE)*VLOOKUP($D103,素材!$1:$1016,COLUMN($E$1),FALSE)/(LEN(VLOOKUP($D103,素材!$1:$1016,COLUMN($F$1),FALSE)) - LEN(SUBSTITUTE(VLOOKUP($D103,素材!$1:$1016,COLUMN($F$1),FALSE), "・", 0)) + 1), 0)</f>
        <v>0</v>
      </c>
      <c r="AO103">
        <f>IF(ISNUMBER(SEARCH(SUBSTITUTE(AO$1,RIGHT(AO$1,2),""),VLOOKUP($D103,素材!$1:$1016,COLUMN($F$1),FALSE))),VLOOKUP($C103,武器!$1:$998,COLUMN($O$1),FALSE)*VLOOKUP($D103,素材!$1:$1016,COLUMN($E$1),FALSE)/(LEN(VLOOKUP($D103,素材!$1:$1016,COLUMN($F$1),FALSE)) - LEN(SUBSTITUTE(VLOOKUP($D103,素材!$1:$1016,COLUMN($F$1),FALSE), "・", 0)) + 1), 0)</f>
        <v>0</v>
      </c>
      <c r="AP103">
        <f>IF(ISNUMBER(SEARCH(SUBSTITUTE(AP$1,RIGHT(AP$1,2),""),VLOOKUP($D103,素材!$1:$1016,COLUMN($F$1),FALSE))),VLOOKUP($C103,武器!$1:$998,COLUMN($O$1),FALSE)*VLOOKUP($D103,素材!$1:$1016,COLUMN($E$1),FALSE)/(LEN(VLOOKUP($D103,素材!$1:$1016,COLUMN($F$1),FALSE)) - LEN(SUBSTITUTE(VLOOKUP($D103,素材!$1:$1016,COLUMN($F$1),FALSE), "・", 0)) + 1), 0)</f>
        <v>0</v>
      </c>
      <c r="AQ103">
        <f>IF(ISNUMBER(SEARCH(SUBSTITUTE(AQ$1,RIGHT(AQ$1,2),""),VLOOKUP($D103,素材!$1:$1016,COLUMN($F$1),FALSE))),VLOOKUP($C103,武器!$1:$998,COLUMN($O$1),FALSE)*VLOOKUP($D103,素材!$1:$1016,COLUMN($E$1),FALSE)/(LEN(VLOOKUP($D103,素材!$1:$1016,COLUMN($F$1),FALSE)) - LEN(SUBSTITUTE(VLOOKUP($D103,素材!$1:$1016,COLUMN($F$1),FALSE), "・", 0)) + 1), 0)</f>
        <v>0</v>
      </c>
      <c r="AR103">
        <f>IF(ISNUMBER(SEARCH(SUBSTITUTE(AR$1,RIGHT(AR$1,2),""),VLOOKUP($D103,素材!$1:$1016,COLUMN($F$1),FALSE))),VLOOKUP($C103,武器!$1:$998,COLUMN($O$1),FALSE)*VLOOKUP($D103,素材!$1:$1016,COLUMN($E$1),FALSE)/(LEN(VLOOKUP($D103,素材!$1:$1016,COLUMN($F$1),FALSE)) - LEN(SUBSTITUTE(VLOOKUP($D103,素材!$1:$1016,COLUMN($F$1),FALSE), "・", 0)) + 1), 0)</f>
        <v>0</v>
      </c>
      <c r="AS103">
        <f>IF(ISNUMBER(SEARCH(SUBSTITUTE(AS$1,RIGHT(AS$1,2),""),VLOOKUP($D103,素材!$1:$1016,COLUMN($F$1),FALSE))),VLOOKUP($C103,武器!$1:$998,COLUMN($O$1),FALSE)*VLOOKUP($D103,素材!$1:$1016,COLUMN($E$1),FALSE)/(LEN(VLOOKUP($D103,素材!$1:$1016,COLUMN($F$1),FALSE)) - LEN(SUBSTITUTE(VLOOKUP($D103,素材!$1:$1016,COLUMN($F$1),FALSE), "・", 0)) + 1), 0)</f>
        <v>0</v>
      </c>
      <c r="AT103">
        <f>IF(ISNUMBER(SEARCH(SUBSTITUTE(AT$1,RIGHT(AT$1,2),""),VLOOKUP($D103,素材!$1:$1016,COLUMN($F$1),FALSE))),VLOOKUP($C103,武器!$1:$998,COLUMN($O$1),FALSE)*VLOOKUP($D103,素材!$1:$1016,COLUMN($E$1),FALSE)/(LEN(VLOOKUP($D103,素材!$1:$1016,COLUMN($F$1),FALSE)) - LEN(SUBSTITUTE(VLOOKUP($D103,素材!$1:$1016,COLUMN($F$1),FALSE), "・", 0)) + 1), 0)</f>
        <v>0</v>
      </c>
      <c r="AU103">
        <f>IF(ISNUMBER(SEARCH(SUBSTITUTE(AU$1,RIGHT(AU$1,2),""),VLOOKUP($D103,素材!$1:$1016,COLUMN($F$1),FALSE))),VLOOKUP($C103,武器!$1:$998,COLUMN($O$1),FALSE)*VLOOKUP($D103,素材!$1:$1016,COLUMN($E$1),FALSE)/(LEN(VLOOKUP($D103,素材!$1:$1016,COLUMN($F$1),FALSE)) - LEN(SUBSTITUTE(VLOOKUP($D103,素材!$1:$1016,COLUMN($F$1),FALSE), "・", 0)) + 1), 0)</f>
        <v>0</v>
      </c>
      <c r="AV103">
        <f>IF(ISNUMBER(SEARCH(SUBSTITUTE(AV$1,RIGHT(AV$1,2),""),VLOOKUP($D103,素材!$1:$1016,COLUMN($F$1),FALSE))),VLOOKUP($C103,武器!$1:$998,COLUMN($O$1),FALSE)*VLOOKUP($D103,素材!$1:$1016,COLUMN($E$1),FALSE)/(LEN(VLOOKUP($D103,素材!$1:$1016,COLUMN($F$1),FALSE)) - LEN(SUBSTITUTE(VLOOKUP($D103,素材!$1:$1016,COLUMN($F$1),FALSE), "・", 0)) + 1), 0)</f>
        <v>0</v>
      </c>
      <c r="AW103">
        <f>IF(ISNUMBER(SEARCH(SUBSTITUTE(AW$1,RIGHT(AW$1,2),""),VLOOKUP($D103,素材!$1:$1016,COLUMN($F$1),FALSE))),VLOOKUP($C103,武器!$1:$998,COLUMN($O$1),FALSE)*VLOOKUP($D103,素材!$1:$1016,COLUMN($E$1),FALSE)/(LEN(VLOOKUP($D103,素材!$1:$1016,COLUMN($F$1),FALSE)) - LEN(SUBSTITUTE(VLOOKUP($D103,素材!$1:$1016,COLUMN($F$1),FALSE), "・", 0)) + 1), 0)</f>
        <v>0</v>
      </c>
      <c r="AX103">
        <f>IF(ISNUMBER(SEARCH(SUBSTITUTE(AX$1,RIGHT(AX$1,2),""),VLOOKUP($D103,素材!$1:$1016,COLUMN($F$1),FALSE))),VLOOKUP($C103,武器!$1:$998,COLUMN($O$1),FALSE)*VLOOKUP($D103,素材!$1:$1016,COLUMN($E$1),FALSE)/(LEN(VLOOKUP($D103,素材!$1:$1016,COLUMN($F$1),FALSE)) - LEN(SUBSTITUTE(VLOOKUP($D103,素材!$1:$1016,COLUMN($F$1),FALSE), "・", 0)) + 1), 0)</f>
        <v>0</v>
      </c>
      <c r="AY103">
        <f>IF(ISNUMBER(SEARCH(SUBSTITUTE(AY$1,RIGHT(AY$1,2),""),VLOOKUP($D103,素材!$1:$1016,COLUMN($F$1),FALSE))),VLOOKUP($C103,武器!$1:$998,COLUMN($O$1),FALSE)*VLOOKUP($D103,素材!$1:$1016,COLUMN($E$1),FALSE)/(LEN(VLOOKUP($D103,素材!$1:$1016,COLUMN($F$1),FALSE)) - LEN(SUBSTITUTE(VLOOKUP($D103,素材!$1:$1016,COLUMN($F$1),FALSE), "・", 0)) + 1), 0)</f>
        <v>0</v>
      </c>
      <c r="AZ103">
        <f>IF(ISNUMBER(SEARCH(SUBSTITUTE(AZ$1,RIGHT(AZ$1,2),""),VLOOKUP($D103,素材!$1:$1016,COLUMN($F$1),FALSE))),VLOOKUP($C103,武器!$1:$998,COLUMN($O$1),FALSE)*VLOOKUP($D103,素材!$1:$1016,COLUMN($E$1),FALSE)/(LEN(VLOOKUP($D103,素材!$1:$1016,COLUMN($F$1),FALSE)) - LEN(SUBSTITUTE(VLOOKUP($D103,素材!$1:$1016,COLUMN($F$1),FALSE), "・", 0)) + 1), 0)</f>
        <v>0</v>
      </c>
      <c r="BA103">
        <f>IF(ISNUMBER(SEARCH(SUBSTITUTE(BA$1,RIGHT(BA$1,2),""),VLOOKUP($D103,素材!$1:$1016,COLUMN($F$1),FALSE))),VLOOKUP($C103,武器!$1:$998,COLUMN($O$1),FALSE)*VLOOKUP($D103,素材!$1:$1016,COLUMN($E$1),FALSE)/(LEN(VLOOKUP($D103,素材!$1:$1016,COLUMN($F$1),FALSE)) - LEN(SUBSTITUTE(VLOOKUP($D103,素材!$1:$1016,COLUMN($F$1),FALSE), "・", 0)) + 1), 0)</f>
        <v>0</v>
      </c>
      <c r="BB103">
        <f>IF(ISNUMBER(SEARCH(SUBSTITUTE(BB$1,RIGHT(BB$1,2),""),VLOOKUP($D103,素材!$1:$1016,COLUMN($F$1),FALSE))),VLOOKUP($C103,武器!$1:$998,COLUMN($O$1),FALSE)*VLOOKUP($D103,素材!$1:$1016,COLUMN($E$1),FALSE)/(LEN(VLOOKUP($D103,素材!$1:$1016,COLUMN($F$1),FALSE)) - LEN(SUBSTITUTE(VLOOKUP($D103,素材!$1:$1016,COLUMN($F$1),FALSE), "・", 0)) + 1), 0)</f>
        <v>0</v>
      </c>
      <c r="BC103">
        <f>IF(ISNUMBER(SEARCH(SUBSTITUTE(BC$1,RIGHT(BC$1,2),""),VLOOKUP($D103,素材!$1:$1016,COLUMN($F$1),FALSE))),VLOOKUP($C103,武器!$1:$998,COLUMN($O$1),FALSE)*VLOOKUP($D103,素材!$1:$1016,COLUMN($E$1),FALSE)/(LEN(VLOOKUP($D103,素材!$1:$1016,COLUMN($F$1),FALSE)) - LEN(SUBSTITUTE(VLOOKUP($D103,素材!$1:$1016,COLUMN($F$1),FALSE), "・", 0)) + 1), 0)</f>
        <v>0</v>
      </c>
      <c r="BD103">
        <f>IF(ISNUMBER(SEARCH(SUBSTITUTE(BD$1,RIGHT(BD$1,2),""),VLOOKUP($D103,素材!$1:$1016,COLUMN($F$1),FALSE))),VLOOKUP($C103,武器!$1:$998,COLUMN($O$1),FALSE)*VLOOKUP($D103,素材!$1:$1016,COLUMN($E$1),FALSE)/(LEN(VLOOKUP($D103,素材!$1:$1016,COLUMN($F$1),FALSE)) - LEN(SUBSTITUTE(VLOOKUP($D103,素材!$1:$1016,COLUMN($F$1),FALSE), "・", 0)) + 1), 0)</f>
        <v>0</v>
      </c>
      <c r="BE103">
        <f>IF(ISNUMBER(SEARCH(SUBSTITUTE(BE$1,RIGHT(BE$1,2),""),VLOOKUP($D103,素材!$1:$1016,COLUMN($F$1),FALSE))),VLOOKUP($C103,武器!$1:$998,COLUMN($O$1),FALSE)*VLOOKUP($D103,素材!$1:$1016,COLUMN($E$1),FALSE)/(LEN(VLOOKUP($D103,素材!$1:$1016,COLUMN($F$1),FALSE)) - LEN(SUBSTITUTE(VLOOKUP($D103,素材!$1:$1016,COLUMN($F$1),FALSE), "・", 0)) + 1), 0)</f>
        <v>0</v>
      </c>
      <c r="CL103">
        <f>SUM(G103:I103)</f>
        <v>12</v>
      </c>
      <c r="CM103" s="22" t="str">
        <f>IF(E103="武器",IF(J103-1&gt;SUM(G103:I103),"盾",IF(MAX(G103:I103)=G103,"切断",IF(MAX(G103:I103)=H103,"貫通",IF(MAX(G103:I103)=I103,"打撃","射撃")))),E103)&amp;".webp"</f>
        <v>切断.webp</v>
      </c>
      <c r="CN103">
        <f>IFERROR(VLOOKUP($C103,武器!$1:$998,COLUMN(V$1),FALSE)*VLOOKUP($D103,素材!$1:$1016,COLUMN(N$1),FALSE)+IF(CI103="",0,VLOOKUP($CI103,装強!$1:$1008,COLUMN($CK$1),FALSE)),"")</f>
        <v>900</v>
      </c>
      <c r="CO103" t="str">
        <f>VLOOKUP(D103,素材!$A:$O,COLUMN(素材!O$1),FALSE)</f>
        <v>鍛えられた鉄。硬度が高く安価なためよく使用される。</v>
      </c>
      <c r="CP103" t="str">
        <f>VLOOKUP(C103,武器!$A:$W,COLUMN(武器!W$1),FALSE)</f>
        <v>長弓。射程が長く、高い威力を持つ。</v>
      </c>
      <c r="CR103" t="str">
        <f t="shared" si="5"/>
        <v>e_103</v>
      </c>
      <c r="CS103">
        <f t="shared" si="6"/>
        <v>90000</v>
      </c>
    </row>
    <row r="104" spans="1:97" outlineLevel="1" x14ac:dyDescent="0.4">
      <c r="A104" t="str">
        <f t="shared" si="7"/>
        <v>鋼の杖</v>
      </c>
      <c r="B104" t="str">
        <f>IFERROR(VLOOKUP($D104,素材!$1:$1016,COLUMN($B$1),FALSE)&amp;"・"&amp;VLOOKUP($C104,武器!$1:$998,COLUMN(B$1),FALSE),"")</f>
        <v>スチール・ロッド</v>
      </c>
      <c r="C104" t="s">
        <v>216</v>
      </c>
      <c r="D104" s="24" t="s">
        <v>253</v>
      </c>
      <c r="E104" t="str">
        <f>IFERROR(VLOOKUP(C104,武器!$1:$998,COLUMN(C$1),FALSE),"")</f>
        <v>杖</v>
      </c>
      <c r="F104">
        <f>IFERROR(ROUNDDOWN((VLOOKUP($C104,武器!$1:$998,COLUMN(D$1),FALSE)+IFERROR(VLOOKUP($CI104,装強!$1:$999,COLUMN(F$1),FALSE),0))*VLOOKUP($D104,素材!$1:$1016,COLUMN(D$1),FALSE),0),"")</f>
        <v>115</v>
      </c>
      <c r="G104">
        <f>IFERROR(ROUNDDOWN((VLOOKUP($C104,武器!$1:$998,COLUMN(E$1),FALSE)+IFERROR(VLOOKUP($CI104,装強!$1:$999,COLUMN(G$1),FALSE),0))*VLOOKUP($D104,素材!$1:$1016,COLUMN($E$1),FALSE),0),"")</f>
        <v>0</v>
      </c>
      <c r="H104">
        <f>IFERROR(ROUNDDOWN((VLOOKUP($C104,武器!$1:$998,COLUMN(F$1),FALSE)+IFERROR(VLOOKUP($CI104,装強!$1:$999,COLUMN(H$1),FALSE),0))*VLOOKUP($D104,素材!$1:$1016,COLUMN($E$1),FALSE),0),"")</f>
        <v>6</v>
      </c>
      <c r="I104">
        <f>IFERROR(ROUNDDOWN((VLOOKUP($C104,武器!$1:$998,COLUMN(G$1),FALSE)+IFERROR(VLOOKUP($CI104,装強!$1:$999,COLUMN(I$1),FALSE),0))*VLOOKUP($D104,素材!$1:$1016,COLUMN($E$1),FALSE),0),"")</f>
        <v>18</v>
      </c>
      <c r="J104">
        <f>IFERROR(ROUNDDOWN((VLOOKUP($C104,武器!$1:$998,COLUMN(H$1),FALSE)+IFERROR(VLOOKUP($CI104,装強!$1:$999,COLUMN(J$1),FALSE),0))*VLOOKUP($D104,素材!$1:$1016,COLUMN($E$1),FALSE),0),"")</f>
        <v>24</v>
      </c>
      <c r="K104">
        <f>IFERROR(ROUNDDOWN((VLOOKUP($C104,武器!$1:$998,COLUMN(I$1),FALSE)+IFERROR(VLOOKUP($CI104,装強!$1:$999,COLUMN(K$1),FALSE),0))*VLOOKUP($D104,素材!$1:$1016,COLUMN($E$1),FALSE),0),"")</f>
        <v>0</v>
      </c>
      <c r="L104">
        <f>IFERROR(VLOOKUP($D104,素材!$1:$1016,COLUMN($F$1),FALSE),"")</f>
        <v>0</v>
      </c>
      <c r="M104">
        <f>IFERROR(VLOOKUP($C104,武器!$1:$998,COLUMN(AA$1),FALSE)*VLOOKUP($D104,素材!$1:$1016,COLUMN($G$1),FALSE),"")</f>
        <v>0</v>
      </c>
      <c r="N104">
        <f>IFERROR(VLOOKUP($C104,武器!$1:$998,COLUMN(I$1),FALSE),"")</f>
        <v>0</v>
      </c>
      <c r="O104" s="23">
        <f>IFERROR((VLOOKUP($C104,武器!$1:$998,COLUMN(K$1),FALSE)+VLOOKUP($D104,素材!$1:$1016,COLUMN(H$1),FALSE))*100+IFERROR(VLOOKUP($CI104,装強!$1:$999,COLUMN(O$1),FALSE),0),"")</f>
        <v>5</v>
      </c>
      <c r="P104" s="23">
        <f>IFERROR((VLOOKUP($C104,武器!$1:$998,COLUMN(L$1),FALSE)+VLOOKUP($D104,素材!$1:$1016,COLUMN(I$1),FALSE))*100+IFERROR(VLOOKUP($CI104,装強!$1:$999,COLUMN(P$1),FALSE),0),"")</f>
        <v>150</v>
      </c>
      <c r="Q104">
        <f>IFERROR(ROUNDUP(VLOOKUP($C104,武器!$1:$998,COLUMN(M$1),FALSE)*(VLOOKUP($D104,素材!$1:$1002,COLUMN(D$1),FALSE)/100),1),"")</f>
        <v>0</v>
      </c>
      <c r="R104">
        <f>IFERROR(ROUNDUP(VLOOKUP($C104,武器!$1:$998,COLUMN(N$1),FALSE)*(VLOOKUP($D104,素材!$1:$1002,COLUMN(D$1),FALSE)/100),1),"")</f>
        <v>0</v>
      </c>
      <c r="S104">
        <f>IFERROR(VLOOKUP($C104,武器!$1:$998,COLUMN(P$1),FALSE),"")</f>
        <v>0</v>
      </c>
      <c r="T104">
        <f>IFERROR(VLOOKUP($C104,武器!$1:$998,COLUMN(Q$1),FALSE),"")</f>
        <v>0</v>
      </c>
      <c r="U104">
        <f>IFERROR(VLOOKUP($C104,武器!$1:$998,COLUMN(R$1),FALSE),"")</f>
        <v>0</v>
      </c>
      <c r="V104">
        <f>IFERROR(VLOOKUP($C104,武器!$1:$998,COLUMN(Q$1),FALSE),"")</f>
        <v>0</v>
      </c>
      <c r="W104" t="str">
        <f>IFERROR(VLOOKUP($C104,武器!$1:$998,COLUMN(T$1),FALSE),"")</f>
        <v>A</v>
      </c>
      <c r="Y104" t="str">
        <f>IFERROR(VLOOKUP($C104,武器!$1:$998,COLUMN(U$1),FALSE),"")</f>
        <v>魔法無詠唱Ⅱ</v>
      </c>
      <c r="Z104">
        <f>IFERROR(ROUNDUP(VLOOKUP($C104,武器!$1:$998,COLUMN(O$1),FALSE)*VLOOKUP($D104,素材!$1:$1016,COLUMN(E$1),FALSE),1),"")</f>
        <v>0</v>
      </c>
      <c r="AA104">
        <f>IF(ISNUMBER(SEARCH(SUBSTITUTE(AA$1,RIGHT(AA$1,2),""),VLOOKUP($D104,素材!$1:$1016,COLUMN($F$1),FALSE))),VLOOKUP($C104,武器!$1:$998,COLUMN($O$1),FALSE)*VLOOKUP($D104,素材!$1:$1016,COLUMN($E$1),FALSE)/(LEN(VLOOKUP($D104,素材!$1:$1016,COLUMN($F$1),FALSE)) - LEN(SUBSTITUTE(VLOOKUP($D104,素材!$1:$1016,COLUMN($F$1),FALSE), "・", 0)) + 1), 0)</f>
        <v>0</v>
      </c>
      <c r="AB104">
        <f>IF(ISNUMBER(SEARCH(SUBSTITUTE(AB$1,RIGHT(AB$1,2),""),VLOOKUP($D104,素材!$1:$1016,COLUMN($F$1),FALSE))),VLOOKUP($C104,武器!$1:$998,COLUMN($O$1),FALSE)*VLOOKUP($D104,素材!$1:$1016,COLUMN($E$1),FALSE)/(LEN(VLOOKUP($D104,素材!$1:$1016,COLUMN($F$1),FALSE)) - LEN(SUBSTITUTE(VLOOKUP($D104,素材!$1:$1016,COLUMN($F$1),FALSE), "・", 0)) + 1), 0)</f>
        <v>0</v>
      </c>
      <c r="AC104">
        <f>IF(ISNUMBER(SEARCH(SUBSTITUTE(AC$1,RIGHT(AC$1,2),""),VLOOKUP($D104,素材!$1:$1016,COLUMN($F$1),FALSE))),VLOOKUP($C104,武器!$1:$998,COLUMN($O$1),FALSE)*VLOOKUP($D104,素材!$1:$1016,COLUMN($E$1),FALSE)/(LEN(VLOOKUP($D104,素材!$1:$1016,COLUMN($F$1),FALSE)) - LEN(SUBSTITUTE(VLOOKUP($D104,素材!$1:$1016,COLUMN($F$1),FALSE), "・", 0)) + 1), 0)</f>
        <v>0</v>
      </c>
      <c r="AD104">
        <f>IF(ISNUMBER(SEARCH(SUBSTITUTE(AD$1,RIGHT(AD$1,2),""),VLOOKUP($D104,素材!$1:$1016,COLUMN($F$1),FALSE))),VLOOKUP($C104,武器!$1:$998,COLUMN($O$1),FALSE)*VLOOKUP($D104,素材!$1:$1016,COLUMN($E$1),FALSE)/(LEN(VLOOKUP($D104,素材!$1:$1016,COLUMN($F$1),FALSE)) - LEN(SUBSTITUTE(VLOOKUP($D104,素材!$1:$1016,COLUMN($F$1),FALSE), "・", 0)) + 1), 0)</f>
        <v>0</v>
      </c>
      <c r="AE104">
        <f>IF(ISNUMBER(SEARCH(SUBSTITUTE(AE$1,RIGHT(AE$1,2),""),VLOOKUP($D104,素材!$1:$1016,COLUMN($F$1),FALSE))),VLOOKUP($C104,武器!$1:$998,COLUMN($O$1),FALSE)*VLOOKUP($D104,素材!$1:$1016,COLUMN($E$1),FALSE)/(LEN(VLOOKUP($D104,素材!$1:$1016,COLUMN($F$1),FALSE)) - LEN(SUBSTITUTE(VLOOKUP($D104,素材!$1:$1016,COLUMN($F$1),FALSE), "・", 0)) + 1), 0)</f>
        <v>0</v>
      </c>
      <c r="AF104">
        <f>IF(ISNUMBER(SEARCH(SUBSTITUTE(AF$1,RIGHT(AF$1,2),""),VLOOKUP($D104,素材!$1:$1016,COLUMN($F$1),FALSE))),VLOOKUP($C104,武器!$1:$998,COLUMN($O$1),FALSE)*VLOOKUP($D104,素材!$1:$1016,COLUMN($E$1),FALSE)/(LEN(VLOOKUP($D104,素材!$1:$1016,COLUMN($F$1),FALSE)) - LEN(SUBSTITUTE(VLOOKUP($D104,素材!$1:$1016,COLUMN($F$1),FALSE), "・", 0)) + 1), 0)</f>
        <v>0</v>
      </c>
      <c r="AG104">
        <f>IF(ISNUMBER(SEARCH(SUBSTITUTE(AG$1,RIGHT(AG$1,2),""),VLOOKUP($D104,素材!$1:$1016,COLUMN($F$1),FALSE))),VLOOKUP($C104,武器!$1:$998,COLUMN($O$1),FALSE)*VLOOKUP($D104,素材!$1:$1016,COLUMN($E$1),FALSE)/(LEN(VLOOKUP($D104,素材!$1:$1016,COLUMN($F$1),FALSE)) - LEN(SUBSTITUTE(VLOOKUP($D104,素材!$1:$1016,COLUMN($F$1),FALSE), "・", 0)) + 1), 0)</f>
        <v>0</v>
      </c>
      <c r="AH104">
        <f>IF(ISNUMBER(SEARCH(SUBSTITUTE(AH$1,RIGHT(AH$1,2),""),VLOOKUP($D104,素材!$1:$1016,COLUMN($F$1),FALSE))),VLOOKUP($C104,武器!$1:$998,COLUMN($O$1),FALSE)*VLOOKUP($D104,素材!$1:$1016,COLUMN($E$1),FALSE)/(LEN(VLOOKUP($D104,素材!$1:$1016,COLUMN($F$1),FALSE)) - LEN(SUBSTITUTE(VLOOKUP($D104,素材!$1:$1016,COLUMN($F$1),FALSE), "・", 0)) + 1), 0)</f>
        <v>0</v>
      </c>
      <c r="AI104">
        <f>IF(ISNUMBER(SEARCH(SUBSTITUTE(AI$1,RIGHT(AI$1,2),""),VLOOKUP($D104,素材!$1:$1016,COLUMN($F$1),FALSE))),VLOOKUP($C104,武器!$1:$998,COLUMN($O$1),FALSE)*VLOOKUP($D104,素材!$1:$1016,COLUMN($E$1),FALSE)/(LEN(VLOOKUP($D104,素材!$1:$1016,COLUMN($F$1),FALSE)) - LEN(SUBSTITUTE(VLOOKUP($D104,素材!$1:$1016,COLUMN($F$1),FALSE), "・", 0)) + 1), 0)</f>
        <v>0</v>
      </c>
      <c r="AJ104">
        <f>IF(ISNUMBER(SEARCH(SUBSTITUTE(AJ$1,RIGHT(AJ$1,2),""),VLOOKUP($D104,素材!$1:$1016,COLUMN($F$1),FALSE))),VLOOKUP($C104,武器!$1:$998,COLUMN($O$1),FALSE)*VLOOKUP($D104,素材!$1:$1016,COLUMN($E$1),FALSE)/(LEN(VLOOKUP($D104,素材!$1:$1016,COLUMN($F$1),FALSE)) - LEN(SUBSTITUTE(VLOOKUP($D104,素材!$1:$1016,COLUMN($F$1),FALSE), "・", 0)) + 1), 0)</f>
        <v>0</v>
      </c>
      <c r="AK104">
        <f>IF(ISNUMBER(SEARCH(SUBSTITUTE(AK$1,RIGHT(AK$1,2),""),VLOOKUP($D104,素材!$1:$1016,COLUMN($F$1),FALSE))),VLOOKUP($C104,武器!$1:$998,COLUMN($O$1),FALSE)*VLOOKUP($D104,素材!$1:$1016,COLUMN($E$1),FALSE)/(LEN(VLOOKUP($D104,素材!$1:$1016,COLUMN($F$1),FALSE)) - LEN(SUBSTITUTE(VLOOKUP($D104,素材!$1:$1016,COLUMN($F$1),FALSE), "・", 0)) + 1), 0)</f>
        <v>0</v>
      </c>
      <c r="AL104">
        <f>IF(ISNUMBER(SEARCH(SUBSTITUTE(AL$1,RIGHT(AL$1,2),""),VLOOKUP($D104,素材!$1:$1016,COLUMN($F$1),FALSE))),VLOOKUP($C104,武器!$1:$998,COLUMN($O$1),FALSE)*VLOOKUP($D104,素材!$1:$1016,COLUMN($E$1),FALSE)/(LEN(VLOOKUP($D104,素材!$1:$1016,COLUMN($F$1),FALSE)) - LEN(SUBSTITUTE(VLOOKUP($D104,素材!$1:$1016,COLUMN($F$1),FALSE), "・", 0)) + 1), 0)</f>
        <v>0</v>
      </c>
      <c r="AM104">
        <f>IF(ISNUMBER(SEARCH(SUBSTITUTE(AM$1,RIGHT(AM$1,2),""),VLOOKUP($D104,素材!$1:$1016,COLUMN($F$1),FALSE))),VLOOKUP($C104,武器!$1:$998,COLUMN($O$1),FALSE)*VLOOKUP($D104,素材!$1:$1016,COLUMN($E$1),FALSE)/(LEN(VLOOKUP($D104,素材!$1:$1016,COLUMN($F$1),FALSE)) - LEN(SUBSTITUTE(VLOOKUP($D104,素材!$1:$1016,COLUMN($F$1),FALSE), "・", 0)) + 1), 0)</f>
        <v>0</v>
      </c>
      <c r="AN104">
        <f>IF(ISNUMBER(SEARCH(SUBSTITUTE(AN$1,RIGHT(AN$1,2),""),VLOOKUP($D104,素材!$1:$1016,COLUMN($F$1),FALSE))),VLOOKUP($C104,武器!$1:$998,COLUMN($O$1),FALSE)*VLOOKUP($D104,素材!$1:$1016,COLUMN($E$1),FALSE)/(LEN(VLOOKUP($D104,素材!$1:$1016,COLUMN($F$1),FALSE)) - LEN(SUBSTITUTE(VLOOKUP($D104,素材!$1:$1016,COLUMN($F$1),FALSE), "・", 0)) + 1), 0)</f>
        <v>0</v>
      </c>
      <c r="AO104">
        <f>IF(ISNUMBER(SEARCH(SUBSTITUTE(AO$1,RIGHT(AO$1,2),""),VLOOKUP($D104,素材!$1:$1016,COLUMN($F$1),FALSE))),VLOOKUP($C104,武器!$1:$998,COLUMN($O$1),FALSE)*VLOOKUP($D104,素材!$1:$1016,COLUMN($E$1),FALSE)/(LEN(VLOOKUP($D104,素材!$1:$1016,COLUMN($F$1),FALSE)) - LEN(SUBSTITUTE(VLOOKUP($D104,素材!$1:$1016,COLUMN($F$1),FALSE), "・", 0)) + 1), 0)</f>
        <v>0</v>
      </c>
      <c r="AP104">
        <f>IF(ISNUMBER(SEARCH(SUBSTITUTE(AP$1,RIGHT(AP$1,2),""),VLOOKUP($D104,素材!$1:$1016,COLUMN($F$1),FALSE))),VLOOKUP($C104,武器!$1:$998,COLUMN($O$1),FALSE)*VLOOKUP($D104,素材!$1:$1016,COLUMN($E$1),FALSE)/(LEN(VLOOKUP($D104,素材!$1:$1016,COLUMN($F$1),FALSE)) - LEN(SUBSTITUTE(VLOOKUP($D104,素材!$1:$1016,COLUMN($F$1),FALSE), "・", 0)) + 1), 0)</f>
        <v>0</v>
      </c>
      <c r="AQ104">
        <f>IF(ISNUMBER(SEARCH(SUBSTITUTE(AQ$1,RIGHT(AQ$1,2),""),VLOOKUP($D104,素材!$1:$1016,COLUMN($F$1),FALSE))),VLOOKUP($C104,武器!$1:$998,COLUMN($O$1),FALSE)*VLOOKUP($D104,素材!$1:$1016,COLUMN($E$1),FALSE)/(LEN(VLOOKUP($D104,素材!$1:$1016,COLUMN($F$1),FALSE)) - LEN(SUBSTITUTE(VLOOKUP($D104,素材!$1:$1016,COLUMN($F$1),FALSE), "・", 0)) + 1), 0)</f>
        <v>0</v>
      </c>
      <c r="AR104">
        <f>IF(ISNUMBER(SEARCH(SUBSTITUTE(AR$1,RIGHT(AR$1,2),""),VLOOKUP($D104,素材!$1:$1016,COLUMN($F$1),FALSE))),VLOOKUP($C104,武器!$1:$998,COLUMN($O$1),FALSE)*VLOOKUP($D104,素材!$1:$1016,COLUMN($E$1),FALSE)/(LEN(VLOOKUP($D104,素材!$1:$1016,COLUMN($F$1),FALSE)) - LEN(SUBSTITUTE(VLOOKUP($D104,素材!$1:$1016,COLUMN($F$1),FALSE), "・", 0)) + 1), 0)</f>
        <v>0</v>
      </c>
      <c r="AS104">
        <f>IF(ISNUMBER(SEARCH(SUBSTITUTE(AS$1,RIGHT(AS$1,2),""),VLOOKUP($D104,素材!$1:$1016,COLUMN($F$1),FALSE))),VLOOKUP($C104,武器!$1:$998,COLUMN($O$1),FALSE)*VLOOKUP($D104,素材!$1:$1016,COLUMN($E$1),FALSE)/(LEN(VLOOKUP($D104,素材!$1:$1016,COLUMN($F$1),FALSE)) - LEN(SUBSTITUTE(VLOOKUP($D104,素材!$1:$1016,COLUMN($F$1),FALSE), "・", 0)) + 1), 0)</f>
        <v>0</v>
      </c>
      <c r="AT104">
        <f>IF(ISNUMBER(SEARCH(SUBSTITUTE(AT$1,RIGHT(AT$1,2),""),VLOOKUP($D104,素材!$1:$1016,COLUMN($F$1),FALSE))),VLOOKUP($C104,武器!$1:$998,COLUMN($O$1),FALSE)*VLOOKUP($D104,素材!$1:$1016,COLUMN($E$1),FALSE)/(LEN(VLOOKUP($D104,素材!$1:$1016,COLUMN($F$1),FALSE)) - LEN(SUBSTITUTE(VLOOKUP($D104,素材!$1:$1016,COLUMN($F$1),FALSE), "・", 0)) + 1), 0)</f>
        <v>0</v>
      </c>
      <c r="AU104">
        <f>IF(ISNUMBER(SEARCH(SUBSTITUTE(AU$1,RIGHT(AU$1,2),""),VLOOKUP($D104,素材!$1:$1016,COLUMN($F$1),FALSE))),VLOOKUP($C104,武器!$1:$998,COLUMN($O$1),FALSE)*VLOOKUP($D104,素材!$1:$1016,COLUMN($E$1),FALSE)/(LEN(VLOOKUP($D104,素材!$1:$1016,COLUMN($F$1),FALSE)) - LEN(SUBSTITUTE(VLOOKUP($D104,素材!$1:$1016,COLUMN($F$1),FALSE), "・", 0)) + 1), 0)</f>
        <v>0</v>
      </c>
      <c r="AV104">
        <f>IF(ISNUMBER(SEARCH(SUBSTITUTE(AV$1,RIGHT(AV$1,2),""),VLOOKUP($D104,素材!$1:$1016,COLUMN($F$1),FALSE))),VLOOKUP($C104,武器!$1:$998,COLUMN($O$1),FALSE)*VLOOKUP($D104,素材!$1:$1016,COLUMN($E$1),FALSE)/(LEN(VLOOKUP($D104,素材!$1:$1016,COLUMN($F$1),FALSE)) - LEN(SUBSTITUTE(VLOOKUP($D104,素材!$1:$1016,COLUMN($F$1),FALSE), "・", 0)) + 1), 0)</f>
        <v>0</v>
      </c>
      <c r="AW104">
        <f>IF(ISNUMBER(SEARCH(SUBSTITUTE(AW$1,RIGHT(AW$1,2),""),VLOOKUP($D104,素材!$1:$1016,COLUMN($F$1),FALSE))),VLOOKUP($C104,武器!$1:$998,COLUMN($O$1),FALSE)*VLOOKUP($D104,素材!$1:$1016,COLUMN($E$1),FALSE)/(LEN(VLOOKUP($D104,素材!$1:$1016,COLUMN($F$1),FALSE)) - LEN(SUBSTITUTE(VLOOKUP($D104,素材!$1:$1016,COLUMN($F$1),FALSE), "・", 0)) + 1), 0)</f>
        <v>0</v>
      </c>
      <c r="AX104">
        <f>IF(ISNUMBER(SEARCH(SUBSTITUTE(AX$1,RIGHT(AX$1,2),""),VLOOKUP($D104,素材!$1:$1016,COLUMN($F$1),FALSE))),VLOOKUP($C104,武器!$1:$998,COLUMN($O$1),FALSE)*VLOOKUP($D104,素材!$1:$1016,COLUMN($E$1),FALSE)/(LEN(VLOOKUP($D104,素材!$1:$1016,COLUMN($F$1),FALSE)) - LEN(SUBSTITUTE(VLOOKUP($D104,素材!$1:$1016,COLUMN($F$1),FALSE), "・", 0)) + 1), 0)</f>
        <v>0</v>
      </c>
      <c r="AY104">
        <f>IF(ISNUMBER(SEARCH(SUBSTITUTE(AY$1,RIGHT(AY$1,2),""),VLOOKUP($D104,素材!$1:$1016,COLUMN($F$1),FALSE))),VLOOKUP($C104,武器!$1:$998,COLUMN($O$1),FALSE)*VLOOKUP($D104,素材!$1:$1016,COLUMN($E$1),FALSE)/(LEN(VLOOKUP($D104,素材!$1:$1016,COLUMN($F$1),FALSE)) - LEN(SUBSTITUTE(VLOOKUP($D104,素材!$1:$1016,COLUMN($F$1),FALSE), "・", 0)) + 1), 0)</f>
        <v>0</v>
      </c>
      <c r="AZ104">
        <f>IF(ISNUMBER(SEARCH(SUBSTITUTE(AZ$1,RIGHT(AZ$1,2),""),VLOOKUP($D104,素材!$1:$1016,COLUMN($F$1),FALSE))),VLOOKUP($C104,武器!$1:$998,COLUMN($O$1),FALSE)*VLOOKUP($D104,素材!$1:$1016,COLUMN($E$1),FALSE)/(LEN(VLOOKUP($D104,素材!$1:$1016,COLUMN($F$1),FALSE)) - LEN(SUBSTITUTE(VLOOKUP($D104,素材!$1:$1016,COLUMN($F$1),FALSE), "・", 0)) + 1), 0)</f>
        <v>0</v>
      </c>
      <c r="BA104">
        <f>IF(ISNUMBER(SEARCH(SUBSTITUTE(BA$1,RIGHT(BA$1,2),""),VLOOKUP($D104,素材!$1:$1016,COLUMN($F$1),FALSE))),VLOOKUP($C104,武器!$1:$998,COLUMN($O$1),FALSE)*VLOOKUP($D104,素材!$1:$1016,COLUMN($E$1),FALSE)/(LEN(VLOOKUP($D104,素材!$1:$1016,COLUMN($F$1),FALSE)) - LEN(SUBSTITUTE(VLOOKUP($D104,素材!$1:$1016,COLUMN($F$1),FALSE), "・", 0)) + 1), 0)</f>
        <v>0</v>
      </c>
      <c r="BB104">
        <f>IF(ISNUMBER(SEARCH(SUBSTITUTE(BB$1,RIGHT(BB$1,2),""),VLOOKUP($D104,素材!$1:$1016,COLUMN($F$1),FALSE))),VLOOKUP($C104,武器!$1:$998,COLUMN($O$1),FALSE)*VLOOKUP($D104,素材!$1:$1016,COLUMN($E$1),FALSE)/(LEN(VLOOKUP($D104,素材!$1:$1016,COLUMN($F$1),FALSE)) - LEN(SUBSTITUTE(VLOOKUP($D104,素材!$1:$1016,COLUMN($F$1),FALSE), "・", 0)) + 1), 0)</f>
        <v>0</v>
      </c>
      <c r="BC104">
        <f>IF(ISNUMBER(SEARCH(SUBSTITUTE(BC$1,RIGHT(BC$1,2),""),VLOOKUP($D104,素材!$1:$1016,COLUMN($F$1),FALSE))),VLOOKUP($C104,武器!$1:$998,COLUMN($O$1),FALSE)*VLOOKUP($D104,素材!$1:$1016,COLUMN($E$1),FALSE)/(LEN(VLOOKUP($D104,素材!$1:$1016,COLUMN($F$1),FALSE)) - LEN(SUBSTITUTE(VLOOKUP($D104,素材!$1:$1016,COLUMN($F$1),FALSE), "・", 0)) + 1), 0)</f>
        <v>0</v>
      </c>
      <c r="BD104">
        <f>IF(ISNUMBER(SEARCH(SUBSTITUTE(BD$1,RIGHT(BD$1,2),""),VLOOKUP($D104,素材!$1:$1016,COLUMN($F$1),FALSE))),VLOOKUP($C104,武器!$1:$998,COLUMN($O$1),FALSE)*VLOOKUP($D104,素材!$1:$1016,COLUMN($E$1),FALSE)/(LEN(VLOOKUP($D104,素材!$1:$1016,COLUMN($F$1),FALSE)) - LEN(SUBSTITUTE(VLOOKUP($D104,素材!$1:$1016,COLUMN($F$1),FALSE), "・", 0)) + 1), 0)</f>
        <v>0</v>
      </c>
      <c r="BE104">
        <f>IF(ISNUMBER(SEARCH(SUBSTITUTE(BE$1,RIGHT(BE$1,2),""),VLOOKUP($D104,素材!$1:$1016,COLUMN($F$1),FALSE))),VLOOKUP($C104,武器!$1:$998,COLUMN($O$1),FALSE)*VLOOKUP($D104,素材!$1:$1016,COLUMN($E$1),FALSE)/(LEN(VLOOKUP($D104,素材!$1:$1016,COLUMN($F$1),FALSE)) - LEN(SUBSTITUTE(VLOOKUP($D104,素材!$1:$1016,COLUMN($F$1),FALSE), "・", 0)) + 1), 0)</f>
        <v>0</v>
      </c>
      <c r="CL104">
        <f>SUM(G104:I104)</f>
        <v>24</v>
      </c>
      <c r="CM104" s="22" t="str">
        <f>IF(E104="武器",IF(J104-1&gt;SUM(G104:I104),"盾",IF(MAX(G104:I104)=G104,"切断",IF(MAX(G104:I104)=H104,"貫通",IF(MAX(G104:I104)=I104,"打撃","射撃")))),E104)&amp;".webp"</f>
        <v>杖.webp</v>
      </c>
      <c r="CN104">
        <f>IFERROR(VLOOKUP($C104,武器!$1:$998,COLUMN(V$1),FALSE)*VLOOKUP($D104,素材!$1:$1016,COLUMN(N$1),FALSE)+IF(CI104="",0,VLOOKUP($CI104,装強!$1:$1008,COLUMN($CK$1),FALSE)),"")</f>
        <v>900</v>
      </c>
      <c r="CO104" t="str">
        <f>VLOOKUP(D104,素材!$A:$O,COLUMN(素材!O$1),FALSE)</f>
        <v>鍛えられた鉄。硬度が高く安価なためよく使用される。</v>
      </c>
      <c r="CP104" t="str">
        <f>VLOOKUP(C104,武器!$A:$W,COLUMN(武器!W$1),FALSE)</f>
        <v>杖。バランスの取れた魔法武器。</v>
      </c>
      <c r="CR104" t="str">
        <f t="shared" si="5"/>
        <v>e_104</v>
      </c>
      <c r="CS104">
        <f t="shared" si="6"/>
        <v>90000</v>
      </c>
    </row>
    <row r="105" spans="1:97" outlineLevel="1" x14ac:dyDescent="0.4">
      <c r="A105" t="str">
        <f t="shared" si="7"/>
        <v>鋼の長杖</v>
      </c>
      <c r="B105" t="str">
        <f>IFERROR(VLOOKUP($D105,素材!$1:$1016,COLUMN($B$1),FALSE)&amp;"・"&amp;VLOOKUP($C105,武器!$1:$998,COLUMN(B$1),FALSE),"")</f>
        <v>スチール・スタッフ</v>
      </c>
      <c r="C105" t="s">
        <v>215</v>
      </c>
      <c r="D105" s="24" t="s">
        <v>253</v>
      </c>
      <c r="E105" t="str">
        <f>IFERROR(VLOOKUP(C105,武器!$1:$998,COLUMN(C$1),FALSE),"")</f>
        <v>杖</v>
      </c>
      <c r="F105">
        <f>IFERROR(ROUNDDOWN((VLOOKUP($C105,武器!$1:$998,COLUMN(D$1),FALSE)+IFERROR(VLOOKUP($CI105,装強!$1:$999,COLUMN(F$1),FALSE),0))*VLOOKUP($D105,素材!$1:$1016,COLUMN(D$1),FALSE),0),"")</f>
        <v>120</v>
      </c>
      <c r="G105">
        <f>IFERROR(ROUNDDOWN((VLOOKUP($C105,武器!$1:$998,COLUMN(E$1),FALSE)+IFERROR(VLOOKUP($CI105,装強!$1:$999,COLUMN(G$1),FALSE),0))*VLOOKUP($D105,素材!$1:$1016,COLUMN($E$1),FALSE),0),"")</f>
        <v>0</v>
      </c>
      <c r="H105">
        <f>IFERROR(ROUNDDOWN((VLOOKUP($C105,武器!$1:$998,COLUMN(F$1),FALSE)+IFERROR(VLOOKUP($CI105,装強!$1:$999,COLUMN(H$1),FALSE),0))*VLOOKUP($D105,素材!$1:$1016,COLUMN($E$1),FALSE),0),"")</f>
        <v>8</v>
      </c>
      <c r="I105">
        <f>IFERROR(ROUNDDOWN((VLOOKUP($C105,武器!$1:$998,COLUMN(G$1),FALSE)+IFERROR(VLOOKUP($CI105,装強!$1:$999,COLUMN(I$1),FALSE),0))*VLOOKUP($D105,素材!$1:$1016,COLUMN($E$1),FALSE),0),"")</f>
        <v>21</v>
      </c>
      <c r="J105">
        <f>IFERROR(ROUNDDOWN((VLOOKUP($C105,武器!$1:$998,COLUMN(H$1),FALSE)+IFERROR(VLOOKUP($CI105,装強!$1:$999,COLUMN(J$1),FALSE),0))*VLOOKUP($D105,素材!$1:$1016,COLUMN($E$1),FALSE),0),"")</f>
        <v>25</v>
      </c>
      <c r="K105">
        <f>IFERROR(ROUNDDOWN((VLOOKUP($C105,武器!$1:$998,COLUMN(I$1),FALSE)+IFERROR(VLOOKUP($CI105,装強!$1:$999,COLUMN(K$1),FALSE),0))*VLOOKUP($D105,素材!$1:$1016,COLUMN($E$1),FALSE),0),"")</f>
        <v>0</v>
      </c>
      <c r="L105">
        <f>IFERROR(VLOOKUP($D105,素材!$1:$1016,COLUMN($F$1),FALSE),"")</f>
        <v>0</v>
      </c>
      <c r="M105">
        <f>IFERROR(VLOOKUP($C105,武器!$1:$998,COLUMN(AA$1),FALSE)*VLOOKUP($D105,素材!$1:$1016,COLUMN($G$1),FALSE),"")</f>
        <v>0</v>
      </c>
      <c r="N105">
        <f>IFERROR(VLOOKUP($C105,武器!$1:$998,COLUMN(I$1),FALSE),"")</f>
        <v>0</v>
      </c>
      <c r="O105" s="23">
        <f>IFERROR((VLOOKUP($C105,武器!$1:$998,COLUMN(K$1),FALSE)+VLOOKUP($D105,素材!$1:$1016,COLUMN(H$1),FALSE))*100+IFERROR(VLOOKUP($CI105,装強!$1:$999,COLUMN(O$1),FALSE),0),"")</f>
        <v>5</v>
      </c>
      <c r="P105" s="23">
        <f>IFERROR((VLOOKUP($C105,武器!$1:$998,COLUMN(L$1),FALSE)+VLOOKUP($D105,素材!$1:$1016,COLUMN(I$1),FALSE))*100+IFERROR(VLOOKUP($CI105,装強!$1:$999,COLUMN(P$1),FALSE),0),"")</f>
        <v>150</v>
      </c>
      <c r="Q105">
        <f>IFERROR(ROUNDUP(VLOOKUP($C105,武器!$1:$998,COLUMN(M$1),FALSE)*(VLOOKUP($D105,素材!$1:$1002,COLUMN(D$1),FALSE)/100),1),"")</f>
        <v>-4.2</v>
      </c>
      <c r="R105">
        <f>IFERROR(ROUNDUP(VLOOKUP($C105,武器!$1:$998,COLUMN(N$1),FALSE)*(VLOOKUP($D105,素材!$1:$1002,COLUMN(D$1),FALSE)/100),1),"")</f>
        <v>-4.2</v>
      </c>
      <c r="S105">
        <f>IFERROR(VLOOKUP($C105,武器!$1:$998,COLUMN(P$1),FALSE),"")</f>
        <v>0</v>
      </c>
      <c r="T105">
        <f>IFERROR(VLOOKUP($C105,武器!$1:$998,COLUMN(Q$1),FALSE),"")</f>
        <v>0</v>
      </c>
      <c r="U105">
        <f>IFERROR(VLOOKUP($C105,武器!$1:$998,COLUMN(R$1),FALSE),"")</f>
        <v>0</v>
      </c>
      <c r="V105">
        <f>IFERROR(VLOOKUP($C105,武器!$1:$998,COLUMN(Q$1),FALSE),"")</f>
        <v>0</v>
      </c>
      <c r="W105" t="str">
        <f>IFERROR(VLOOKUP($C105,武器!$1:$998,COLUMN(T$1),FALSE),"")</f>
        <v>A</v>
      </c>
      <c r="Y105" t="str">
        <f>IFERROR(VLOOKUP($C105,武器!$1:$998,COLUMN(U$1),FALSE),"")</f>
        <v>魔法無詠唱Ⅲ</v>
      </c>
      <c r="Z105">
        <f>IFERROR(ROUNDUP(VLOOKUP($C105,武器!$1:$998,COLUMN(O$1),FALSE)*VLOOKUP($D105,素材!$1:$1016,COLUMN(E$1),FALSE),1),"")</f>
        <v>0</v>
      </c>
      <c r="AA105">
        <f>IF(ISNUMBER(SEARCH(SUBSTITUTE(AA$1,RIGHT(AA$1,2),""),VLOOKUP($D105,素材!$1:$1016,COLUMN($F$1),FALSE))),VLOOKUP($C105,武器!$1:$998,COLUMN($O$1),FALSE)*VLOOKUP($D105,素材!$1:$1016,COLUMN($E$1),FALSE)/(LEN(VLOOKUP($D105,素材!$1:$1016,COLUMN($F$1),FALSE)) - LEN(SUBSTITUTE(VLOOKUP($D105,素材!$1:$1016,COLUMN($F$1),FALSE), "・", 0)) + 1), 0)</f>
        <v>0</v>
      </c>
      <c r="AB105">
        <f>IF(ISNUMBER(SEARCH(SUBSTITUTE(AB$1,RIGHT(AB$1,2),""),VLOOKUP($D105,素材!$1:$1016,COLUMN($F$1),FALSE))),VLOOKUP($C105,武器!$1:$998,COLUMN($O$1),FALSE)*VLOOKUP($D105,素材!$1:$1016,COLUMN($E$1),FALSE)/(LEN(VLOOKUP($D105,素材!$1:$1016,COLUMN($F$1),FALSE)) - LEN(SUBSTITUTE(VLOOKUP($D105,素材!$1:$1016,COLUMN($F$1),FALSE), "・", 0)) + 1), 0)</f>
        <v>0</v>
      </c>
      <c r="AC105">
        <f>IF(ISNUMBER(SEARCH(SUBSTITUTE(AC$1,RIGHT(AC$1,2),""),VLOOKUP($D105,素材!$1:$1016,COLUMN($F$1),FALSE))),VLOOKUP($C105,武器!$1:$998,COLUMN($O$1),FALSE)*VLOOKUP($D105,素材!$1:$1016,COLUMN($E$1),FALSE)/(LEN(VLOOKUP($D105,素材!$1:$1016,COLUMN($F$1),FALSE)) - LEN(SUBSTITUTE(VLOOKUP($D105,素材!$1:$1016,COLUMN($F$1),FALSE), "・", 0)) + 1), 0)</f>
        <v>0</v>
      </c>
      <c r="AD105">
        <f>IF(ISNUMBER(SEARCH(SUBSTITUTE(AD$1,RIGHT(AD$1,2),""),VLOOKUP($D105,素材!$1:$1016,COLUMN($F$1),FALSE))),VLOOKUP($C105,武器!$1:$998,COLUMN($O$1),FALSE)*VLOOKUP($D105,素材!$1:$1016,COLUMN($E$1),FALSE)/(LEN(VLOOKUP($D105,素材!$1:$1016,COLUMN($F$1),FALSE)) - LEN(SUBSTITUTE(VLOOKUP($D105,素材!$1:$1016,COLUMN($F$1),FALSE), "・", 0)) + 1), 0)</f>
        <v>0</v>
      </c>
      <c r="AE105">
        <f>IF(ISNUMBER(SEARCH(SUBSTITUTE(AE$1,RIGHT(AE$1,2),""),VLOOKUP($D105,素材!$1:$1016,COLUMN($F$1),FALSE))),VLOOKUP($C105,武器!$1:$998,COLUMN($O$1),FALSE)*VLOOKUP($D105,素材!$1:$1016,COLUMN($E$1),FALSE)/(LEN(VLOOKUP($D105,素材!$1:$1016,COLUMN($F$1),FALSE)) - LEN(SUBSTITUTE(VLOOKUP($D105,素材!$1:$1016,COLUMN($F$1),FALSE), "・", 0)) + 1), 0)</f>
        <v>0</v>
      </c>
      <c r="AF105">
        <f>IF(ISNUMBER(SEARCH(SUBSTITUTE(AF$1,RIGHT(AF$1,2),""),VLOOKUP($D105,素材!$1:$1016,COLUMN($F$1),FALSE))),VLOOKUP($C105,武器!$1:$998,COLUMN($O$1),FALSE)*VLOOKUP($D105,素材!$1:$1016,COLUMN($E$1),FALSE)/(LEN(VLOOKUP($D105,素材!$1:$1016,COLUMN($F$1),FALSE)) - LEN(SUBSTITUTE(VLOOKUP($D105,素材!$1:$1016,COLUMN($F$1),FALSE), "・", 0)) + 1), 0)</f>
        <v>0</v>
      </c>
      <c r="AG105">
        <f>IF(ISNUMBER(SEARCH(SUBSTITUTE(AG$1,RIGHT(AG$1,2),""),VLOOKUP($D105,素材!$1:$1016,COLUMN($F$1),FALSE))),VLOOKUP($C105,武器!$1:$998,COLUMN($O$1),FALSE)*VLOOKUP($D105,素材!$1:$1016,COLUMN($E$1),FALSE)/(LEN(VLOOKUP($D105,素材!$1:$1016,COLUMN($F$1),FALSE)) - LEN(SUBSTITUTE(VLOOKUP($D105,素材!$1:$1016,COLUMN($F$1),FALSE), "・", 0)) + 1), 0)</f>
        <v>0</v>
      </c>
      <c r="AH105">
        <f>IF(ISNUMBER(SEARCH(SUBSTITUTE(AH$1,RIGHT(AH$1,2),""),VLOOKUP($D105,素材!$1:$1016,COLUMN($F$1),FALSE))),VLOOKUP($C105,武器!$1:$998,COLUMN($O$1),FALSE)*VLOOKUP($D105,素材!$1:$1016,COLUMN($E$1),FALSE)/(LEN(VLOOKUP($D105,素材!$1:$1016,COLUMN($F$1),FALSE)) - LEN(SUBSTITUTE(VLOOKUP($D105,素材!$1:$1016,COLUMN($F$1),FALSE), "・", 0)) + 1), 0)</f>
        <v>0</v>
      </c>
      <c r="AI105">
        <f>IF(ISNUMBER(SEARCH(SUBSTITUTE(AI$1,RIGHT(AI$1,2),""),VLOOKUP($D105,素材!$1:$1016,COLUMN($F$1),FALSE))),VLOOKUP($C105,武器!$1:$998,COLUMN($O$1),FALSE)*VLOOKUP($D105,素材!$1:$1016,COLUMN($E$1),FALSE)/(LEN(VLOOKUP($D105,素材!$1:$1016,COLUMN($F$1),FALSE)) - LEN(SUBSTITUTE(VLOOKUP($D105,素材!$1:$1016,COLUMN($F$1),FALSE), "・", 0)) + 1), 0)</f>
        <v>0</v>
      </c>
      <c r="AJ105">
        <f>IF(ISNUMBER(SEARCH(SUBSTITUTE(AJ$1,RIGHT(AJ$1,2),""),VLOOKUP($D105,素材!$1:$1016,COLUMN($F$1),FALSE))),VLOOKUP($C105,武器!$1:$998,COLUMN($O$1),FALSE)*VLOOKUP($D105,素材!$1:$1016,COLUMN($E$1),FALSE)/(LEN(VLOOKUP($D105,素材!$1:$1016,COLUMN($F$1),FALSE)) - LEN(SUBSTITUTE(VLOOKUP($D105,素材!$1:$1016,COLUMN($F$1),FALSE), "・", 0)) + 1), 0)</f>
        <v>0</v>
      </c>
      <c r="AK105">
        <f>IF(ISNUMBER(SEARCH(SUBSTITUTE(AK$1,RIGHT(AK$1,2),""),VLOOKUP($D105,素材!$1:$1016,COLUMN($F$1),FALSE))),VLOOKUP($C105,武器!$1:$998,COLUMN($O$1),FALSE)*VLOOKUP($D105,素材!$1:$1016,COLUMN($E$1),FALSE)/(LEN(VLOOKUP($D105,素材!$1:$1016,COLUMN($F$1),FALSE)) - LEN(SUBSTITUTE(VLOOKUP($D105,素材!$1:$1016,COLUMN($F$1),FALSE), "・", 0)) + 1), 0)</f>
        <v>0</v>
      </c>
      <c r="AL105">
        <f>IF(ISNUMBER(SEARCH(SUBSTITUTE(AL$1,RIGHT(AL$1,2),""),VLOOKUP($D105,素材!$1:$1016,COLUMN($F$1),FALSE))),VLOOKUP($C105,武器!$1:$998,COLUMN($O$1),FALSE)*VLOOKUP($D105,素材!$1:$1016,COLUMN($E$1),FALSE)/(LEN(VLOOKUP($D105,素材!$1:$1016,COLUMN($F$1),FALSE)) - LEN(SUBSTITUTE(VLOOKUP($D105,素材!$1:$1016,COLUMN($F$1),FALSE), "・", 0)) + 1), 0)</f>
        <v>0</v>
      </c>
      <c r="AM105">
        <f>IF(ISNUMBER(SEARCH(SUBSTITUTE(AM$1,RIGHT(AM$1,2),""),VLOOKUP($D105,素材!$1:$1016,COLUMN($F$1),FALSE))),VLOOKUP($C105,武器!$1:$998,COLUMN($O$1),FALSE)*VLOOKUP($D105,素材!$1:$1016,COLUMN($E$1),FALSE)/(LEN(VLOOKUP($D105,素材!$1:$1016,COLUMN($F$1),FALSE)) - LEN(SUBSTITUTE(VLOOKUP($D105,素材!$1:$1016,COLUMN($F$1),FALSE), "・", 0)) + 1), 0)</f>
        <v>0</v>
      </c>
      <c r="AN105">
        <f>IF(ISNUMBER(SEARCH(SUBSTITUTE(AN$1,RIGHT(AN$1,2),""),VLOOKUP($D105,素材!$1:$1016,COLUMN($F$1),FALSE))),VLOOKUP($C105,武器!$1:$998,COLUMN($O$1),FALSE)*VLOOKUP($D105,素材!$1:$1016,COLUMN($E$1),FALSE)/(LEN(VLOOKUP($D105,素材!$1:$1016,COLUMN($F$1),FALSE)) - LEN(SUBSTITUTE(VLOOKUP($D105,素材!$1:$1016,COLUMN($F$1),FALSE), "・", 0)) + 1), 0)</f>
        <v>0</v>
      </c>
      <c r="AO105">
        <f>IF(ISNUMBER(SEARCH(SUBSTITUTE(AO$1,RIGHT(AO$1,2),""),VLOOKUP($D105,素材!$1:$1016,COLUMN($F$1),FALSE))),VLOOKUP($C105,武器!$1:$998,COLUMN($O$1),FALSE)*VLOOKUP($D105,素材!$1:$1016,COLUMN($E$1),FALSE)/(LEN(VLOOKUP($D105,素材!$1:$1016,COLUMN($F$1),FALSE)) - LEN(SUBSTITUTE(VLOOKUP($D105,素材!$1:$1016,COLUMN($F$1),FALSE), "・", 0)) + 1), 0)</f>
        <v>0</v>
      </c>
      <c r="AP105">
        <f>IF(ISNUMBER(SEARCH(SUBSTITUTE(AP$1,RIGHT(AP$1,2),""),VLOOKUP($D105,素材!$1:$1016,COLUMN($F$1),FALSE))),VLOOKUP($C105,武器!$1:$998,COLUMN($O$1),FALSE)*VLOOKUP($D105,素材!$1:$1016,COLUMN($E$1),FALSE)/(LEN(VLOOKUP($D105,素材!$1:$1016,COLUMN($F$1),FALSE)) - LEN(SUBSTITUTE(VLOOKUP($D105,素材!$1:$1016,COLUMN($F$1),FALSE), "・", 0)) + 1), 0)</f>
        <v>0</v>
      </c>
      <c r="AQ105">
        <f>IF(ISNUMBER(SEARCH(SUBSTITUTE(AQ$1,RIGHT(AQ$1,2),""),VLOOKUP($D105,素材!$1:$1016,COLUMN($F$1),FALSE))),VLOOKUP($C105,武器!$1:$998,COLUMN($O$1),FALSE)*VLOOKUP($D105,素材!$1:$1016,COLUMN($E$1),FALSE)/(LEN(VLOOKUP($D105,素材!$1:$1016,COLUMN($F$1),FALSE)) - LEN(SUBSTITUTE(VLOOKUP($D105,素材!$1:$1016,COLUMN($F$1),FALSE), "・", 0)) + 1), 0)</f>
        <v>0</v>
      </c>
      <c r="AR105">
        <f>IF(ISNUMBER(SEARCH(SUBSTITUTE(AR$1,RIGHT(AR$1,2),""),VLOOKUP($D105,素材!$1:$1016,COLUMN($F$1),FALSE))),VLOOKUP($C105,武器!$1:$998,COLUMN($O$1),FALSE)*VLOOKUP($D105,素材!$1:$1016,COLUMN($E$1),FALSE)/(LEN(VLOOKUP($D105,素材!$1:$1016,COLUMN($F$1),FALSE)) - LEN(SUBSTITUTE(VLOOKUP($D105,素材!$1:$1016,COLUMN($F$1),FALSE), "・", 0)) + 1), 0)</f>
        <v>0</v>
      </c>
      <c r="AS105">
        <f>IF(ISNUMBER(SEARCH(SUBSTITUTE(AS$1,RIGHT(AS$1,2),""),VLOOKUP($D105,素材!$1:$1016,COLUMN($F$1),FALSE))),VLOOKUP($C105,武器!$1:$998,COLUMN($O$1),FALSE)*VLOOKUP($D105,素材!$1:$1016,COLUMN($E$1),FALSE)/(LEN(VLOOKUP($D105,素材!$1:$1016,COLUMN($F$1),FALSE)) - LEN(SUBSTITUTE(VLOOKUP($D105,素材!$1:$1016,COLUMN($F$1),FALSE), "・", 0)) + 1), 0)</f>
        <v>0</v>
      </c>
      <c r="AT105">
        <f>IF(ISNUMBER(SEARCH(SUBSTITUTE(AT$1,RIGHT(AT$1,2),""),VLOOKUP($D105,素材!$1:$1016,COLUMN($F$1),FALSE))),VLOOKUP($C105,武器!$1:$998,COLUMN($O$1),FALSE)*VLOOKUP($D105,素材!$1:$1016,COLUMN($E$1),FALSE)/(LEN(VLOOKUP($D105,素材!$1:$1016,COLUMN($F$1),FALSE)) - LEN(SUBSTITUTE(VLOOKUP($D105,素材!$1:$1016,COLUMN($F$1),FALSE), "・", 0)) + 1), 0)</f>
        <v>0</v>
      </c>
      <c r="AU105">
        <f>IF(ISNUMBER(SEARCH(SUBSTITUTE(AU$1,RIGHT(AU$1,2),""),VLOOKUP($D105,素材!$1:$1016,COLUMN($F$1),FALSE))),VLOOKUP($C105,武器!$1:$998,COLUMN($O$1),FALSE)*VLOOKUP($D105,素材!$1:$1016,COLUMN($E$1),FALSE)/(LEN(VLOOKUP($D105,素材!$1:$1016,COLUMN($F$1),FALSE)) - LEN(SUBSTITUTE(VLOOKUP($D105,素材!$1:$1016,COLUMN($F$1),FALSE), "・", 0)) + 1), 0)</f>
        <v>0</v>
      </c>
      <c r="AV105">
        <f>IF(ISNUMBER(SEARCH(SUBSTITUTE(AV$1,RIGHT(AV$1,2),""),VLOOKUP($D105,素材!$1:$1016,COLUMN($F$1),FALSE))),VLOOKUP($C105,武器!$1:$998,COLUMN($O$1),FALSE)*VLOOKUP($D105,素材!$1:$1016,COLUMN($E$1),FALSE)/(LEN(VLOOKUP($D105,素材!$1:$1016,COLUMN($F$1),FALSE)) - LEN(SUBSTITUTE(VLOOKUP($D105,素材!$1:$1016,COLUMN($F$1),FALSE), "・", 0)) + 1), 0)</f>
        <v>0</v>
      </c>
      <c r="AW105">
        <f>IF(ISNUMBER(SEARCH(SUBSTITUTE(AW$1,RIGHT(AW$1,2),""),VLOOKUP($D105,素材!$1:$1016,COLUMN($F$1),FALSE))),VLOOKUP($C105,武器!$1:$998,COLUMN($O$1),FALSE)*VLOOKUP($D105,素材!$1:$1016,COLUMN($E$1),FALSE)/(LEN(VLOOKUP($D105,素材!$1:$1016,COLUMN($F$1),FALSE)) - LEN(SUBSTITUTE(VLOOKUP($D105,素材!$1:$1016,COLUMN($F$1),FALSE), "・", 0)) + 1), 0)</f>
        <v>0</v>
      </c>
      <c r="AX105">
        <f>IF(ISNUMBER(SEARCH(SUBSTITUTE(AX$1,RIGHT(AX$1,2),""),VLOOKUP($D105,素材!$1:$1016,COLUMN($F$1),FALSE))),VLOOKUP($C105,武器!$1:$998,COLUMN($O$1),FALSE)*VLOOKUP($D105,素材!$1:$1016,COLUMN($E$1),FALSE)/(LEN(VLOOKUP($D105,素材!$1:$1016,COLUMN($F$1),FALSE)) - LEN(SUBSTITUTE(VLOOKUP($D105,素材!$1:$1016,COLUMN($F$1),FALSE), "・", 0)) + 1), 0)</f>
        <v>0</v>
      </c>
      <c r="AY105">
        <f>IF(ISNUMBER(SEARCH(SUBSTITUTE(AY$1,RIGHT(AY$1,2),""),VLOOKUP($D105,素材!$1:$1016,COLUMN($F$1),FALSE))),VLOOKUP($C105,武器!$1:$998,COLUMN($O$1),FALSE)*VLOOKUP($D105,素材!$1:$1016,COLUMN($E$1),FALSE)/(LEN(VLOOKUP($D105,素材!$1:$1016,COLUMN($F$1),FALSE)) - LEN(SUBSTITUTE(VLOOKUP($D105,素材!$1:$1016,COLUMN($F$1),FALSE), "・", 0)) + 1), 0)</f>
        <v>0</v>
      </c>
      <c r="AZ105">
        <f>IF(ISNUMBER(SEARCH(SUBSTITUTE(AZ$1,RIGHT(AZ$1,2),""),VLOOKUP($D105,素材!$1:$1016,COLUMN($F$1),FALSE))),VLOOKUP($C105,武器!$1:$998,COLUMN($O$1),FALSE)*VLOOKUP($D105,素材!$1:$1016,COLUMN($E$1),FALSE)/(LEN(VLOOKUP($D105,素材!$1:$1016,COLUMN($F$1),FALSE)) - LEN(SUBSTITUTE(VLOOKUP($D105,素材!$1:$1016,COLUMN($F$1),FALSE), "・", 0)) + 1), 0)</f>
        <v>0</v>
      </c>
      <c r="BA105">
        <f>IF(ISNUMBER(SEARCH(SUBSTITUTE(BA$1,RIGHT(BA$1,2),""),VLOOKUP($D105,素材!$1:$1016,COLUMN($F$1),FALSE))),VLOOKUP($C105,武器!$1:$998,COLUMN($O$1),FALSE)*VLOOKUP($D105,素材!$1:$1016,COLUMN($E$1),FALSE)/(LEN(VLOOKUP($D105,素材!$1:$1016,COLUMN($F$1),FALSE)) - LEN(SUBSTITUTE(VLOOKUP($D105,素材!$1:$1016,COLUMN($F$1),FALSE), "・", 0)) + 1), 0)</f>
        <v>0</v>
      </c>
      <c r="BB105">
        <f>IF(ISNUMBER(SEARCH(SUBSTITUTE(BB$1,RIGHT(BB$1,2),""),VLOOKUP($D105,素材!$1:$1016,COLUMN($F$1),FALSE))),VLOOKUP($C105,武器!$1:$998,COLUMN($O$1),FALSE)*VLOOKUP($D105,素材!$1:$1016,COLUMN($E$1),FALSE)/(LEN(VLOOKUP($D105,素材!$1:$1016,COLUMN($F$1),FALSE)) - LEN(SUBSTITUTE(VLOOKUP($D105,素材!$1:$1016,COLUMN($F$1),FALSE), "・", 0)) + 1), 0)</f>
        <v>0</v>
      </c>
      <c r="BC105">
        <f>IF(ISNUMBER(SEARCH(SUBSTITUTE(BC$1,RIGHT(BC$1,2),""),VLOOKUP($D105,素材!$1:$1016,COLUMN($F$1),FALSE))),VLOOKUP($C105,武器!$1:$998,COLUMN($O$1),FALSE)*VLOOKUP($D105,素材!$1:$1016,COLUMN($E$1),FALSE)/(LEN(VLOOKUP($D105,素材!$1:$1016,COLUMN($F$1),FALSE)) - LEN(SUBSTITUTE(VLOOKUP($D105,素材!$1:$1016,COLUMN($F$1),FALSE), "・", 0)) + 1), 0)</f>
        <v>0</v>
      </c>
      <c r="BD105">
        <f>IF(ISNUMBER(SEARCH(SUBSTITUTE(BD$1,RIGHT(BD$1,2),""),VLOOKUP($D105,素材!$1:$1016,COLUMN($F$1),FALSE))),VLOOKUP($C105,武器!$1:$998,COLUMN($O$1),FALSE)*VLOOKUP($D105,素材!$1:$1016,COLUMN($E$1),FALSE)/(LEN(VLOOKUP($D105,素材!$1:$1016,COLUMN($F$1),FALSE)) - LEN(SUBSTITUTE(VLOOKUP($D105,素材!$1:$1016,COLUMN($F$1),FALSE), "・", 0)) + 1), 0)</f>
        <v>0</v>
      </c>
      <c r="BE105">
        <f>IF(ISNUMBER(SEARCH(SUBSTITUTE(BE$1,RIGHT(BE$1,2),""),VLOOKUP($D105,素材!$1:$1016,COLUMN($F$1),FALSE))),VLOOKUP($C105,武器!$1:$998,COLUMN($O$1),FALSE)*VLOOKUP($D105,素材!$1:$1016,COLUMN($E$1),FALSE)/(LEN(VLOOKUP($D105,素材!$1:$1016,COLUMN($F$1),FALSE)) - LEN(SUBSTITUTE(VLOOKUP($D105,素材!$1:$1016,COLUMN($F$1),FALSE), "・", 0)) + 1), 0)</f>
        <v>0</v>
      </c>
      <c r="CL105">
        <f>SUM(G105:I105)</f>
        <v>29</v>
      </c>
      <c r="CM105" s="22" t="str">
        <f>IF(E105="武器",IF(J105-1&gt;SUM(G105:I105),"盾",IF(MAX(G105:I105)=G105,"切断",IF(MAX(G105:I105)=H105,"貫通",IF(MAX(G105:I105)=I105,"打撃","射撃")))),E105)&amp;".webp"</f>
        <v>杖.webp</v>
      </c>
      <c r="CN105">
        <f>IFERROR(VLOOKUP($C105,武器!$1:$998,COLUMN(V$1),FALSE)*VLOOKUP($D105,素材!$1:$1016,COLUMN(N$1),FALSE)+IF(CI105="",0,VLOOKUP($CI105,装強!$1:$1008,COLUMN($CK$1),FALSE)),"")</f>
        <v>1350</v>
      </c>
      <c r="CO105" t="str">
        <f>VLOOKUP(D105,素材!$A:$O,COLUMN(素材!O$1),FALSE)</f>
        <v>鍛えられた鉄。硬度が高く安価なためよく使用される。</v>
      </c>
      <c r="CP105" t="str">
        <f>VLOOKUP(C105,武器!$A:$W,COLUMN(武器!W$1),FALSE)</f>
        <v>長杖。強力な魔法を扱える杖だが、重い。</v>
      </c>
      <c r="CR105" t="str">
        <f t="shared" si="5"/>
        <v>e_105</v>
      </c>
      <c r="CS105">
        <f t="shared" si="6"/>
        <v>135000</v>
      </c>
    </row>
    <row r="106" spans="1:97" outlineLevel="1" x14ac:dyDescent="0.4">
      <c r="A106" t="str">
        <f t="shared" si="7"/>
        <v>鋼の軽射出弓</v>
      </c>
      <c r="B106" t="str">
        <f>IFERROR(VLOOKUP($D106,素材!$1:$1016,COLUMN($B$1),FALSE)&amp;"・"&amp;VLOOKUP($C106,武器!$1:$998,COLUMN(B$1),FALSE),"")</f>
        <v>スチール・ライトクロスボウ</v>
      </c>
      <c r="C106" t="s">
        <v>214</v>
      </c>
      <c r="D106" s="24" t="s">
        <v>253</v>
      </c>
      <c r="E106" t="str">
        <f>IFERROR(VLOOKUP(C106,武器!$1:$998,COLUMN(C$1),FALSE),"")</f>
        <v>銃</v>
      </c>
      <c r="F106">
        <f>IFERROR(ROUNDDOWN((VLOOKUP($C106,武器!$1:$998,COLUMN(D$1),FALSE)+IFERROR(VLOOKUP($CI106,装強!$1:$999,COLUMN(F$1),FALSE),0))*VLOOKUP($D106,素材!$1:$1016,COLUMN(D$1),FALSE),0),"")</f>
        <v>0</v>
      </c>
      <c r="G106">
        <f>IFERROR(ROUNDDOWN((VLOOKUP($C106,武器!$1:$998,COLUMN(E$1),FALSE)+IFERROR(VLOOKUP($CI106,装強!$1:$999,COLUMN(G$1),FALSE),0))*VLOOKUP($D106,素材!$1:$1016,COLUMN($E$1),FALSE),0),"")</f>
        <v>0</v>
      </c>
      <c r="H106">
        <f>IFERROR(ROUNDDOWN((VLOOKUP($C106,武器!$1:$998,COLUMN(F$1),FALSE)+IFERROR(VLOOKUP($CI106,装強!$1:$999,COLUMN(H$1),FALSE),0))*VLOOKUP($D106,素材!$1:$1016,COLUMN($E$1),FALSE),0),"")</f>
        <v>0</v>
      </c>
      <c r="I106">
        <f>IFERROR(ROUNDDOWN((VLOOKUP($C106,武器!$1:$998,COLUMN(G$1),FALSE)+IFERROR(VLOOKUP($CI106,装強!$1:$999,COLUMN(I$1),FALSE),0))*VLOOKUP($D106,素材!$1:$1016,COLUMN($E$1),FALSE),0),"")</f>
        <v>0</v>
      </c>
      <c r="J106">
        <f>IFERROR(ROUNDDOWN((VLOOKUP($C106,武器!$1:$998,COLUMN(H$1),FALSE)+IFERROR(VLOOKUP($CI106,装強!$1:$999,COLUMN(J$1),FALSE),0))*VLOOKUP($D106,素材!$1:$1016,COLUMN($E$1),FALSE),0),"")</f>
        <v>0</v>
      </c>
      <c r="K106">
        <f>IFERROR(ROUNDDOWN((VLOOKUP($C106,武器!$1:$998,COLUMN(I$1),FALSE)+IFERROR(VLOOKUP($CI106,装強!$1:$999,COLUMN(K$1),FALSE),0))*VLOOKUP($D106,素材!$1:$1016,COLUMN($E$1),FALSE),0),"")</f>
        <v>72</v>
      </c>
      <c r="L106">
        <f>IFERROR(VLOOKUP($D106,素材!$1:$1016,COLUMN($F$1),FALSE),"")</f>
        <v>0</v>
      </c>
      <c r="M106">
        <f>IFERROR(VLOOKUP($C106,武器!$1:$998,COLUMN(AA$1),FALSE)*VLOOKUP($D106,素材!$1:$1016,COLUMN($G$1),FALSE),"")</f>
        <v>0</v>
      </c>
      <c r="N106">
        <f>IFERROR(VLOOKUP($C106,武器!$1:$998,COLUMN(I$1),FALSE),"")</f>
        <v>2.7</v>
      </c>
      <c r="O106" s="23">
        <f>IFERROR((VLOOKUP($C106,武器!$1:$998,COLUMN(K$1),FALSE)+VLOOKUP($D106,素材!$1:$1016,COLUMN(H$1),FALSE))*100+IFERROR(VLOOKUP($CI106,装強!$1:$999,COLUMN(O$1),FALSE),0),"")</f>
        <v>10</v>
      </c>
      <c r="P106" s="23">
        <f>IFERROR((VLOOKUP($C106,武器!$1:$998,COLUMN(L$1),FALSE)+VLOOKUP($D106,素材!$1:$1016,COLUMN(I$1),FALSE))*100+IFERROR(VLOOKUP($CI106,装強!$1:$999,COLUMN(P$1),FALSE),0),"")</f>
        <v>150</v>
      </c>
      <c r="Q106">
        <f>IFERROR(ROUNDUP(VLOOKUP($C106,武器!$1:$998,COLUMN(M$1),FALSE)*(VLOOKUP($D106,素材!$1:$1002,COLUMN(D$1),FALSE)/100),1),"")</f>
        <v>0</v>
      </c>
      <c r="R106">
        <f>IFERROR(ROUNDUP(VLOOKUP($C106,武器!$1:$998,COLUMN(N$1),FALSE)*(VLOOKUP($D106,素材!$1:$1002,COLUMN(D$1),FALSE)/100),1),"")</f>
        <v>0</v>
      </c>
      <c r="S106">
        <f>IFERROR(VLOOKUP($C106,武器!$1:$998,COLUMN(P$1),FALSE),"")</f>
        <v>0</v>
      </c>
      <c r="T106">
        <f>IFERROR(VLOOKUP($C106,武器!$1:$998,COLUMN(Q$1),FALSE),"")</f>
        <v>1</v>
      </c>
      <c r="U106">
        <f>IFERROR(VLOOKUP($C106,武器!$1:$998,COLUMN(R$1),FALSE),"")</f>
        <v>1</v>
      </c>
      <c r="V106">
        <f>IFERROR(VLOOKUP($C106,武器!$1:$998,COLUMN(Q$1),FALSE),"")</f>
        <v>1</v>
      </c>
      <c r="W106" t="str">
        <f>IFERROR(VLOOKUP($C106,武器!$1:$998,COLUMN(T$1),FALSE),"")</f>
        <v>Q</v>
      </c>
      <c r="Y106">
        <f>IFERROR(VLOOKUP($C106,武器!$1:$998,COLUMN(U$1),FALSE),"")</f>
        <v>0</v>
      </c>
      <c r="Z106">
        <f>IFERROR(ROUNDUP(VLOOKUP($C106,武器!$1:$998,COLUMN(O$1),FALSE)*VLOOKUP($D106,素材!$1:$1016,COLUMN(E$1),FALSE),1),"")</f>
        <v>0</v>
      </c>
      <c r="AA106">
        <f>IF(ISNUMBER(SEARCH(SUBSTITUTE(AA$1,RIGHT(AA$1,2),""),VLOOKUP($D106,素材!$1:$1016,COLUMN($F$1),FALSE))),VLOOKUP($C106,武器!$1:$998,COLUMN($O$1),FALSE)*VLOOKUP($D106,素材!$1:$1016,COLUMN($E$1),FALSE)/(LEN(VLOOKUP($D106,素材!$1:$1016,COLUMN($F$1),FALSE)) - LEN(SUBSTITUTE(VLOOKUP($D106,素材!$1:$1016,COLUMN($F$1),FALSE), "・", 0)) + 1), 0)</f>
        <v>0</v>
      </c>
      <c r="AB106">
        <f>IF(ISNUMBER(SEARCH(SUBSTITUTE(AB$1,RIGHT(AB$1,2),""),VLOOKUP($D106,素材!$1:$1016,COLUMN($F$1),FALSE))),VLOOKUP($C106,武器!$1:$998,COLUMN($O$1),FALSE)*VLOOKUP($D106,素材!$1:$1016,COLUMN($E$1),FALSE)/(LEN(VLOOKUP($D106,素材!$1:$1016,COLUMN($F$1),FALSE)) - LEN(SUBSTITUTE(VLOOKUP($D106,素材!$1:$1016,COLUMN($F$1),FALSE), "・", 0)) + 1), 0)</f>
        <v>0</v>
      </c>
      <c r="AC106">
        <f>IF(ISNUMBER(SEARCH(SUBSTITUTE(AC$1,RIGHT(AC$1,2),""),VLOOKUP($D106,素材!$1:$1016,COLUMN($F$1),FALSE))),VLOOKUP($C106,武器!$1:$998,COLUMN($O$1),FALSE)*VLOOKUP($D106,素材!$1:$1016,COLUMN($E$1),FALSE)/(LEN(VLOOKUP($D106,素材!$1:$1016,COLUMN($F$1),FALSE)) - LEN(SUBSTITUTE(VLOOKUP($D106,素材!$1:$1016,COLUMN($F$1),FALSE), "・", 0)) + 1), 0)</f>
        <v>0</v>
      </c>
      <c r="AD106">
        <f>IF(ISNUMBER(SEARCH(SUBSTITUTE(AD$1,RIGHT(AD$1,2),""),VLOOKUP($D106,素材!$1:$1016,COLUMN($F$1),FALSE))),VLOOKUP($C106,武器!$1:$998,COLUMN($O$1),FALSE)*VLOOKUP($D106,素材!$1:$1016,COLUMN($E$1),FALSE)/(LEN(VLOOKUP($D106,素材!$1:$1016,COLUMN($F$1),FALSE)) - LEN(SUBSTITUTE(VLOOKUP($D106,素材!$1:$1016,COLUMN($F$1),FALSE), "・", 0)) + 1), 0)</f>
        <v>0</v>
      </c>
      <c r="AE106">
        <f>IF(ISNUMBER(SEARCH(SUBSTITUTE(AE$1,RIGHT(AE$1,2),""),VLOOKUP($D106,素材!$1:$1016,COLUMN($F$1),FALSE))),VLOOKUP($C106,武器!$1:$998,COLUMN($O$1),FALSE)*VLOOKUP($D106,素材!$1:$1016,COLUMN($E$1),FALSE)/(LEN(VLOOKUP($D106,素材!$1:$1016,COLUMN($F$1),FALSE)) - LEN(SUBSTITUTE(VLOOKUP($D106,素材!$1:$1016,COLUMN($F$1),FALSE), "・", 0)) + 1), 0)</f>
        <v>0</v>
      </c>
      <c r="AF106">
        <f>IF(ISNUMBER(SEARCH(SUBSTITUTE(AF$1,RIGHT(AF$1,2),""),VLOOKUP($D106,素材!$1:$1016,COLUMN($F$1),FALSE))),VLOOKUP($C106,武器!$1:$998,COLUMN($O$1),FALSE)*VLOOKUP($D106,素材!$1:$1016,COLUMN($E$1),FALSE)/(LEN(VLOOKUP($D106,素材!$1:$1016,COLUMN($F$1),FALSE)) - LEN(SUBSTITUTE(VLOOKUP($D106,素材!$1:$1016,COLUMN($F$1),FALSE), "・", 0)) + 1), 0)</f>
        <v>0</v>
      </c>
      <c r="AG106">
        <f>IF(ISNUMBER(SEARCH(SUBSTITUTE(AG$1,RIGHT(AG$1,2),""),VLOOKUP($D106,素材!$1:$1016,COLUMN($F$1),FALSE))),VLOOKUP($C106,武器!$1:$998,COLUMN($O$1),FALSE)*VLOOKUP($D106,素材!$1:$1016,COLUMN($E$1),FALSE)/(LEN(VLOOKUP($D106,素材!$1:$1016,COLUMN($F$1),FALSE)) - LEN(SUBSTITUTE(VLOOKUP($D106,素材!$1:$1016,COLUMN($F$1),FALSE), "・", 0)) + 1), 0)</f>
        <v>0</v>
      </c>
      <c r="AH106">
        <f>IF(ISNUMBER(SEARCH(SUBSTITUTE(AH$1,RIGHT(AH$1,2),""),VLOOKUP($D106,素材!$1:$1016,COLUMN($F$1),FALSE))),VLOOKUP($C106,武器!$1:$998,COLUMN($O$1),FALSE)*VLOOKUP($D106,素材!$1:$1016,COLUMN($E$1),FALSE)/(LEN(VLOOKUP($D106,素材!$1:$1016,COLUMN($F$1),FALSE)) - LEN(SUBSTITUTE(VLOOKUP($D106,素材!$1:$1016,COLUMN($F$1),FALSE), "・", 0)) + 1), 0)</f>
        <v>0</v>
      </c>
      <c r="AI106">
        <f>IF(ISNUMBER(SEARCH(SUBSTITUTE(AI$1,RIGHT(AI$1,2),""),VLOOKUP($D106,素材!$1:$1016,COLUMN($F$1),FALSE))),VLOOKUP($C106,武器!$1:$998,COLUMN($O$1),FALSE)*VLOOKUP($D106,素材!$1:$1016,COLUMN($E$1),FALSE)/(LEN(VLOOKUP($D106,素材!$1:$1016,COLUMN($F$1),FALSE)) - LEN(SUBSTITUTE(VLOOKUP($D106,素材!$1:$1016,COLUMN($F$1),FALSE), "・", 0)) + 1), 0)</f>
        <v>0</v>
      </c>
      <c r="AJ106">
        <f>IF(ISNUMBER(SEARCH(SUBSTITUTE(AJ$1,RIGHT(AJ$1,2),""),VLOOKUP($D106,素材!$1:$1016,COLUMN($F$1),FALSE))),VLOOKUP($C106,武器!$1:$998,COLUMN($O$1),FALSE)*VLOOKUP($D106,素材!$1:$1016,COLUMN($E$1),FALSE)/(LEN(VLOOKUP($D106,素材!$1:$1016,COLUMN($F$1),FALSE)) - LEN(SUBSTITUTE(VLOOKUP($D106,素材!$1:$1016,COLUMN($F$1),FALSE), "・", 0)) + 1), 0)</f>
        <v>0</v>
      </c>
      <c r="AK106">
        <f>IF(ISNUMBER(SEARCH(SUBSTITUTE(AK$1,RIGHT(AK$1,2),""),VLOOKUP($D106,素材!$1:$1016,COLUMN($F$1),FALSE))),VLOOKUP($C106,武器!$1:$998,COLUMN($O$1),FALSE)*VLOOKUP($D106,素材!$1:$1016,COLUMN($E$1),FALSE)/(LEN(VLOOKUP($D106,素材!$1:$1016,COLUMN($F$1),FALSE)) - LEN(SUBSTITUTE(VLOOKUP($D106,素材!$1:$1016,COLUMN($F$1),FALSE), "・", 0)) + 1), 0)</f>
        <v>0</v>
      </c>
      <c r="AL106">
        <f>IF(ISNUMBER(SEARCH(SUBSTITUTE(AL$1,RIGHT(AL$1,2),""),VLOOKUP($D106,素材!$1:$1016,COLUMN($F$1),FALSE))),VLOOKUP($C106,武器!$1:$998,COLUMN($O$1),FALSE)*VLOOKUP($D106,素材!$1:$1016,COLUMN($E$1),FALSE)/(LEN(VLOOKUP($D106,素材!$1:$1016,COLUMN($F$1),FALSE)) - LEN(SUBSTITUTE(VLOOKUP($D106,素材!$1:$1016,COLUMN($F$1),FALSE), "・", 0)) + 1), 0)</f>
        <v>0</v>
      </c>
      <c r="AM106">
        <f>IF(ISNUMBER(SEARCH(SUBSTITUTE(AM$1,RIGHT(AM$1,2),""),VLOOKUP($D106,素材!$1:$1016,COLUMN($F$1),FALSE))),VLOOKUP($C106,武器!$1:$998,COLUMN($O$1),FALSE)*VLOOKUP($D106,素材!$1:$1016,COLUMN($E$1),FALSE)/(LEN(VLOOKUP($D106,素材!$1:$1016,COLUMN($F$1),FALSE)) - LEN(SUBSTITUTE(VLOOKUP($D106,素材!$1:$1016,COLUMN($F$1),FALSE), "・", 0)) + 1), 0)</f>
        <v>0</v>
      </c>
      <c r="AN106">
        <f>IF(ISNUMBER(SEARCH(SUBSTITUTE(AN$1,RIGHT(AN$1,2),""),VLOOKUP($D106,素材!$1:$1016,COLUMN($F$1),FALSE))),VLOOKUP($C106,武器!$1:$998,COLUMN($O$1),FALSE)*VLOOKUP($D106,素材!$1:$1016,COLUMN($E$1),FALSE)/(LEN(VLOOKUP($D106,素材!$1:$1016,COLUMN($F$1),FALSE)) - LEN(SUBSTITUTE(VLOOKUP($D106,素材!$1:$1016,COLUMN($F$1),FALSE), "・", 0)) + 1), 0)</f>
        <v>0</v>
      </c>
      <c r="AO106">
        <f>IF(ISNUMBER(SEARCH(SUBSTITUTE(AO$1,RIGHT(AO$1,2),""),VLOOKUP($D106,素材!$1:$1016,COLUMN($F$1),FALSE))),VLOOKUP($C106,武器!$1:$998,COLUMN($O$1),FALSE)*VLOOKUP($D106,素材!$1:$1016,COLUMN($E$1),FALSE)/(LEN(VLOOKUP($D106,素材!$1:$1016,COLUMN($F$1),FALSE)) - LEN(SUBSTITUTE(VLOOKUP($D106,素材!$1:$1016,COLUMN($F$1),FALSE), "・", 0)) + 1), 0)</f>
        <v>0</v>
      </c>
      <c r="AP106">
        <f>IF(ISNUMBER(SEARCH(SUBSTITUTE(AP$1,RIGHT(AP$1,2),""),VLOOKUP($D106,素材!$1:$1016,COLUMN($F$1),FALSE))),VLOOKUP($C106,武器!$1:$998,COLUMN($O$1),FALSE)*VLOOKUP($D106,素材!$1:$1016,COLUMN($E$1),FALSE)/(LEN(VLOOKUP($D106,素材!$1:$1016,COLUMN($F$1),FALSE)) - LEN(SUBSTITUTE(VLOOKUP($D106,素材!$1:$1016,COLUMN($F$1),FALSE), "・", 0)) + 1), 0)</f>
        <v>0</v>
      </c>
      <c r="AQ106">
        <f>IF(ISNUMBER(SEARCH(SUBSTITUTE(AQ$1,RIGHT(AQ$1,2),""),VLOOKUP($D106,素材!$1:$1016,COLUMN($F$1),FALSE))),VLOOKUP($C106,武器!$1:$998,COLUMN($O$1),FALSE)*VLOOKUP($D106,素材!$1:$1016,COLUMN($E$1),FALSE)/(LEN(VLOOKUP($D106,素材!$1:$1016,COLUMN($F$1),FALSE)) - LEN(SUBSTITUTE(VLOOKUP($D106,素材!$1:$1016,COLUMN($F$1),FALSE), "・", 0)) + 1), 0)</f>
        <v>0</v>
      </c>
      <c r="AR106">
        <f>IF(ISNUMBER(SEARCH(SUBSTITUTE(AR$1,RIGHT(AR$1,2),""),VLOOKUP($D106,素材!$1:$1016,COLUMN($F$1),FALSE))),VLOOKUP($C106,武器!$1:$998,COLUMN($O$1),FALSE)*VLOOKUP($D106,素材!$1:$1016,COLUMN($E$1),FALSE)/(LEN(VLOOKUP($D106,素材!$1:$1016,COLUMN($F$1),FALSE)) - LEN(SUBSTITUTE(VLOOKUP($D106,素材!$1:$1016,COLUMN($F$1),FALSE), "・", 0)) + 1), 0)</f>
        <v>0</v>
      </c>
      <c r="AS106">
        <f>IF(ISNUMBER(SEARCH(SUBSTITUTE(AS$1,RIGHT(AS$1,2),""),VLOOKUP($D106,素材!$1:$1016,COLUMN($F$1),FALSE))),VLOOKUP($C106,武器!$1:$998,COLUMN($O$1),FALSE)*VLOOKUP($D106,素材!$1:$1016,COLUMN($E$1),FALSE)/(LEN(VLOOKUP($D106,素材!$1:$1016,COLUMN($F$1),FALSE)) - LEN(SUBSTITUTE(VLOOKUP($D106,素材!$1:$1016,COLUMN($F$1),FALSE), "・", 0)) + 1), 0)</f>
        <v>0</v>
      </c>
      <c r="AT106">
        <f>IF(ISNUMBER(SEARCH(SUBSTITUTE(AT$1,RIGHT(AT$1,2),""),VLOOKUP($D106,素材!$1:$1016,COLUMN($F$1),FALSE))),VLOOKUP($C106,武器!$1:$998,COLUMN($O$1),FALSE)*VLOOKUP($D106,素材!$1:$1016,COLUMN($E$1),FALSE)/(LEN(VLOOKUP($D106,素材!$1:$1016,COLUMN($F$1),FALSE)) - LEN(SUBSTITUTE(VLOOKUP($D106,素材!$1:$1016,COLUMN($F$1),FALSE), "・", 0)) + 1), 0)</f>
        <v>0</v>
      </c>
      <c r="AU106">
        <f>IF(ISNUMBER(SEARCH(SUBSTITUTE(AU$1,RIGHT(AU$1,2),""),VLOOKUP($D106,素材!$1:$1016,COLUMN($F$1),FALSE))),VLOOKUP($C106,武器!$1:$998,COLUMN($O$1),FALSE)*VLOOKUP($D106,素材!$1:$1016,COLUMN($E$1),FALSE)/(LEN(VLOOKUP($D106,素材!$1:$1016,COLUMN($F$1),FALSE)) - LEN(SUBSTITUTE(VLOOKUP($D106,素材!$1:$1016,COLUMN($F$1),FALSE), "・", 0)) + 1), 0)</f>
        <v>0</v>
      </c>
      <c r="AV106">
        <f>IF(ISNUMBER(SEARCH(SUBSTITUTE(AV$1,RIGHT(AV$1,2),""),VLOOKUP($D106,素材!$1:$1016,COLUMN($F$1),FALSE))),VLOOKUP($C106,武器!$1:$998,COLUMN($O$1),FALSE)*VLOOKUP($D106,素材!$1:$1016,COLUMN($E$1),FALSE)/(LEN(VLOOKUP($D106,素材!$1:$1016,COLUMN($F$1),FALSE)) - LEN(SUBSTITUTE(VLOOKUP($D106,素材!$1:$1016,COLUMN($F$1),FALSE), "・", 0)) + 1), 0)</f>
        <v>0</v>
      </c>
      <c r="AW106">
        <f>IF(ISNUMBER(SEARCH(SUBSTITUTE(AW$1,RIGHT(AW$1,2),""),VLOOKUP($D106,素材!$1:$1016,COLUMN($F$1),FALSE))),VLOOKUP($C106,武器!$1:$998,COLUMN($O$1),FALSE)*VLOOKUP($D106,素材!$1:$1016,COLUMN($E$1),FALSE)/(LEN(VLOOKUP($D106,素材!$1:$1016,COLUMN($F$1),FALSE)) - LEN(SUBSTITUTE(VLOOKUP($D106,素材!$1:$1016,COLUMN($F$1),FALSE), "・", 0)) + 1), 0)</f>
        <v>0</v>
      </c>
      <c r="AX106">
        <f>IF(ISNUMBER(SEARCH(SUBSTITUTE(AX$1,RIGHT(AX$1,2),""),VLOOKUP($D106,素材!$1:$1016,COLUMN($F$1),FALSE))),VLOOKUP($C106,武器!$1:$998,COLUMN($O$1),FALSE)*VLOOKUP($D106,素材!$1:$1016,COLUMN($E$1),FALSE)/(LEN(VLOOKUP($D106,素材!$1:$1016,COLUMN($F$1),FALSE)) - LEN(SUBSTITUTE(VLOOKUP($D106,素材!$1:$1016,COLUMN($F$1),FALSE), "・", 0)) + 1), 0)</f>
        <v>0</v>
      </c>
      <c r="AY106">
        <f>IF(ISNUMBER(SEARCH(SUBSTITUTE(AY$1,RIGHT(AY$1,2),""),VLOOKUP($D106,素材!$1:$1016,COLUMN($F$1),FALSE))),VLOOKUP($C106,武器!$1:$998,COLUMN($O$1),FALSE)*VLOOKUP($D106,素材!$1:$1016,COLUMN($E$1),FALSE)/(LEN(VLOOKUP($D106,素材!$1:$1016,COLUMN($F$1),FALSE)) - LEN(SUBSTITUTE(VLOOKUP($D106,素材!$1:$1016,COLUMN($F$1),FALSE), "・", 0)) + 1), 0)</f>
        <v>0</v>
      </c>
      <c r="AZ106">
        <f>IF(ISNUMBER(SEARCH(SUBSTITUTE(AZ$1,RIGHT(AZ$1,2),""),VLOOKUP($D106,素材!$1:$1016,COLUMN($F$1),FALSE))),VLOOKUP($C106,武器!$1:$998,COLUMN($O$1),FALSE)*VLOOKUP($D106,素材!$1:$1016,COLUMN($E$1),FALSE)/(LEN(VLOOKUP($D106,素材!$1:$1016,COLUMN($F$1),FALSE)) - LEN(SUBSTITUTE(VLOOKUP($D106,素材!$1:$1016,COLUMN($F$1),FALSE), "・", 0)) + 1), 0)</f>
        <v>0</v>
      </c>
      <c r="BA106">
        <f>IF(ISNUMBER(SEARCH(SUBSTITUTE(BA$1,RIGHT(BA$1,2),""),VLOOKUP($D106,素材!$1:$1016,COLUMN($F$1),FALSE))),VLOOKUP($C106,武器!$1:$998,COLUMN($O$1),FALSE)*VLOOKUP($D106,素材!$1:$1016,COLUMN($E$1),FALSE)/(LEN(VLOOKUP($D106,素材!$1:$1016,COLUMN($F$1),FALSE)) - LEN(SUBSTITUTE(VLOOKUP($D106,素材!$1:$1016,COLUMN($F$1),FALSE), "・", 0)) + 1), 0)</f>
        <v>0</v>
      </c>
      <c r="BB106">
        <f>IF(ISNUMBER(SEARCH(SUBSTITUTE(BB$1,RIGHT(BB$1,2),""),VLOOKUP($D106,素材!$1:$1016,COLUMN($F$1),FALSE))),VLOOKUP($C106,武器!$1:$998,COLUMN($O$1),FALSE)*VLOOKUP($D106,素材!$1:$1016,COLUMN($E$1),FALSE)/(LEN(VLOOKUP($D106,素材!$1:$1016,COLUMN($F$1),FALSE)) - LEN(SUBSTITUTE(VLOOKUP($D106,素材!$1:$1016,COLUMN($F$1),FALSE), "・", 0)) + 1), 0)</f>
        <v>0</v>
      </c>
      <c r="BC106">
        <f>IF(ISNUMBER(SEARCH(SUBSTITUTE(BC$1,RIGHT(BC$1,2),""),VLOOKUP($D106,素材!$1:$1016,COLUMN($F$1),FALSE))),VLOOKUP($C106,武器!$1:$998,COLUMN($O$1),FALSE)*VLOOKUP($D106,素材!$1:$1016,COLUMN($E$1),FALSE)/(LEN(VLOOKUP($D106,素材!$1:$1016,COLUMN($F$1),FALSE)) - LEN(SUBSTITUTE(VLOOKUP($D106,素材!$1:$1016,COLUMN($F$1),FALSE), "・", 0)) + 1), 0)</f>
        <v>0</v>
      </c>
      <c r="BD106">
        <f>IF(ISNUMBER(SEARCH(SUBSTITUTE(BD$1,RIGHT(BD$1,2),""),VLOOKUP($D106,素材!$1:$1016,COLUMN($F$1),FALSE))),VLOOKUP($C106,武器!$1:$998,COLUMN($O$1),FALSE)*VLOOKUP($D106,素材!$1:$1016,COLUMN($E$1),FALSE)/(LEN(VLOOKUP($D106,素材!$1:$1016,COLUMN($F$1),FALSE)) - LEN(SUBSTITUTE(VLOOKUP($D106,素材!$1:$1016,COLUMN($F$1),FALSE), "・", 0)) + 1), 0)</f>
        <v>0</v>
      </c>
      <c r="BE106">
        <f>IF(ISNUMBER(SEARCH(SUBSTITUTE(BE$1,RIGHT(BE$1,2),""),VLOOKUP($D106,素材!$1:$1016,COLUMN($F$1),FALSE))),VLOOKUP($C106,武器!$1:$998,COLUMN($O$1),FALSE)*VLOOKUP($D106,素材!$1:$1016,COLUMN($E$1),FALSE)/(LEN(VLOOKUP($D106,素材!$1:$1016,COLUMN($F$1),FALSE)) - LEN(SUBSTITUTE(VLOOKUP($D106,素材!$1:$1016,COLUMN($F$1),FALSE), "・", 0)) + 1), 0)</f>
        <v>0</v>
      </c>
      <c r="CL106">
        <f>SUM(G106:I106)</f>
        <v>0</v>
      </c>
      <c r="CM106" s="22" t="str">
        <f>IF(E106="武器",IF(J106-1&gt;SUM(G106:I106),"盾",IF(MAX(G106:I106)=G106,"切断",IF(MAX(G106:I106)=H106,"貫通",IF(MAX(G106:I106)=I106,"打撃","射撃")))),E106)&amp;".webp"</f>
        <v>銃.webp</v>
      </c>
      <c r="CN106">
        <f>IFERROR(VLOOKUP($C106,武器!$1:$998,COLUMN(V$1),FALSE)*VLOOKUP($D106,素材!$1:$1016,COLUMN(N$1),FALSE)+IF(CI106="",0,VLOOKUP($CI106,装強!$1:$1008,COLUMN($CK$1),FALSE)),"")</f>
        <v>1125</v>
      </c>
      <c r="CO106" t="str">
        <f>VLOOKUP(D106,素材!$A:$O,COLUMN(素材!O$1),FALSE)</f>
        <v>鍛えられた鉄。硬度が高く安価なためよく使用される。</v>
      </c>
      <c r="CP106" t="str">
        <f>VLOOKUP(C106,武器!$A:$W,COLUMN(武器!W$1),FALSE)</f>
        <v/>
      </c>
      <c r="CR106" t="str">
        <f t="shared" si="5"/>
        <v>e_106</v>
      </c>
      <c r="CS106">
        <f t="shared" si="6"/>
        <v>112500</v>
      </c>
    </row>
    <row r="107" spans="1:97" outlineLevel="1" x14ac:dyDescent="0.4">
      <c r="A107" t="str">
        <f t="shared" si="7"/>
        <v>鋼の射出弓</v>
      </c>
      <c r="B107" t="str">
        <f>IFERROR(VLOOKUP($D107,素材!$1:$1016,COLUMN($B$1),FALSE)&amp;"・"&amp;VLOOKUP($C107,武器!$1:$998,COLUMN(B$1),FALSE),"")</f>
        <v>スチール・クロスボウ</v>
      </c>
      <c r="C107" t="s">
        <v>213</v>
      </c>
      <c r="D107" s="24" t="s">
        <v>253</v>
      </c>
      <c r="E107" t="str">
        <f>IFERROR(VLOOKUP(C107,武器!$1:$998,COLUMN(C$1),FALSE),"")</f>
        <v>銃</v>
      </c>
      <c r="F107">
        <f>IFERROR(ROUNDDOWN((VLOOKUP($C107,武器!$1:$998,COLUMN(D$1),FALSE)+IFERROR(VLOOKUP($CI107,装強!$1:$999,COLUMN(F$1),FALSE),0))*VLOOKUP($D107,素材!$1:$1016,COLUMN(D$1),FALSE),0),"")</f>
        <v>0</v>
      </c>
      <c r="G107">
        <f>IFERROR(ROUNDDOWN((VLOOKUP($C107,武器!$1:$998,COLUMN(E$1),FALSE)+IFERROR(VLOOKUP($CI107,装強!$1:$999,COLUMN(G$1),FALSE),0))*VLOOKUP($D107,素材!$1:$1016,COLUMN($E$1),FALSE),0),"")</f>
        <v>0</v>
      </c>
      <c r="H107">
        <f>IFERROR(ROUNDDOWN((VLOOKUP($C107,武器!$1:$998,COLUMN(F$1),FALSE)+IFERROR(VLOOKUP($CI107,装強!$1:$999,COLUMN(H$1),FALSE),0))*VLOOKUP($D107,素材!$1:$1016,COLUMN($E$1),FALSE),0),"")</f>
        <v>0</v>
      </c>
      <c r="I107">
        <f>IFERROR(ROUNDDOWN((VLOOKUP($C107,武器!$1:$998,COLUMN(G$1),FALSE)+IFERROR(VLOOKUP($CI107,装強!$1:$999,COLUMN(I$1),FALSE),0))*VLOOKUP($D107,素材!$1:$1016,COLUMN($E$1),FALSE),0),"")</f>
        <v>0</v>
      </c>
      <c r="J107">
        <f>IFERROR(ROUNDDOWN((VLOOKUP($C107,武器!$1:$998,COLUMN(H$1),FALSE)+IFERROR(VLOOKUP($CI107,装強!$1:$999,COLUMN(J$1),FALSE),0))*VLOOKUP($D107,素材!$1:$1016,COLUMN($E$1),FALSE),0),"")</f>
        <v>0</v>
      </c>
      <c r="K107">
        <f>IFERROR(ROUNDDOWN((VLOOKUP($C107,武器!$1:$998,COLUMN(I$1),FALSE)+IFERROR(VLOOKUP($CI107,装強!$1:$999,COLUMN(K$1),FALSE),0))*VLOOKUP($D107,素材!$1:$1016,COLUMN($E$1),FALSE),0),"")</f>
        <v>105</v>
      </c>
      <c r="L107">
        <f>IFERROR(VLOOKUP($D107,素材!$1:$1016,COLUMN($F$1),FALSE),"")</f>
        <v>0</v>
      </c>
      <c r="M107">
        <f>IFERROR(VLOOKUP($C107,武器!$1:$998,COLUMN(AA$1),FALSE)*VLOOKUP($D107,素材!$1:$1016,COLUMN($G$1),FALSE),"")</f>
        <v>0</v>
      </c>
      <c r="N107">
        <f>IFERROR(VLOOKUP($C107,武器!$1:$998,COLUMN(I$1),FALSE),"")</f>
        <v>3.9</v>
      </c>
      <c r="O107" s="23">
        <f>IFERROR((VLOOKUP($C107,武器!$1:$998,COLUMN(K$1),FALSE)+VLOOKUP($D107,素材!$1:$1016,COLUMN(H$1),FALSE))*100+IFERROR(VLOOKUP($CI107,装強!$1:$999,COLUMN(O$1),FALSE),0),"")</f>
        <v>10</v>
      </c>
      <c r="P107" s="23">
        <f>IFERROR((VLOOKUP($C107,武器!$1:$998,COLUMN(L$1),FALSE)+VLOOKUP($D107,素材!$1:$1016,COLUMN(I$1),FALSE))*100+IFERROR(VLOOKUP($CI107,装強!$1:$999,COLUMN(P$1),FALSE),0),"")</f>
        <v>150</v>
      </c>
      <c r="Q107">
        <f>IFERROR(ROUNDUP(VLOOKUP($C107,武器!$1:$998,COLUMN(M$1),FALSE)*(VLOOKUP($D107,素材!$1:$1002,COLUMN(D$1),FALSE)/100),1),"")</f>
        <v>0</v>
      </c>
      <c r="R107">
        <f>IFERROR(ROUNDUP(VLOOKUP($C107,武器!$1:$998,COLUMN(N$1),FALSE)*(VLOOKUP($D107,素材!$1:$1002,COLUMN(D$1),FALSE)/100),1),"")</f>
        <v>0</v>
      </c>
      <c r="S107">
        <f>IFERROR(VLOOKUP($C107,武器!$1:$998,COLUMN(P$1),FALSE),"")</f>
        <v>0</v>
      </c>
      <c r="T107">
        <f>IFERROR(VLOOKUP($C107,武器!$1:$998,COLUMN(Q$1),FALSE),"")</f>
        <v>1</v>
      </c>
      <c r="U107">
        <f>IFERROR(VLOOKUP($C107,武器!$1:$998,COLUMN(R$1),FALSE),"")</f>
        <v>1</v>
      </c>
      <c r="V107">
        <f>IFERROR(VLOOKUP($C107,武器!$1:$998,COLUMN(Q$1),FALSE),"")</f>
        <v>1</v>
      </c>
      <c r="W107" t="str">
        <f>IFERROR(VLOOKUP($C107,武器!$1:$998,COLUMN(T$1),FALSE),"")</f>
        <v>S</v>
      </c>
      <c r="Y107">
        <f>IFERROR(VLOOKUP($C107,武器!$1:$998,COLUMN(U$1),FALSE),"")</f>
        <v>0</v>
      </c>
      <c r="Z107">
        <f>IFERROR(ROUNDUP(VLOOKUP($C107,武器!$1:$998,COLUMN(O$1),FALSE)*VLOOKUP($D107,素材!$1:$1016,COLUMN(E$1),FALSE),1),"")</f>
        <v>0</v>
      </c>
      <c r="AA107">
        <f>IF(ISNUMBER(SEARCH(SUBSTITUTE(AA$1,RIGHT(AA$1,2),""),VLOOKUP($D107,素材!$1:$1016,COLUMN($F$1),FALSE))),VLOOKUP($C107,武器!$1:$998,COLUMN($O$1),FALSE)*VLOOKUP($D107,素材!$1:$1016,COLUMN($E$1),FALSE)/(LEN(VLOOKUP($D107,素材!$1:$1016,COLUMN($F$1),FALSE)) - LEN(SUBSTITUTE(VLOOKUP($D107,素材!$1:$1016,COLUMN($F$1),FALSE), "・", 0)) + 1), 0)</f>
        <v>0</v>
      </c>
      <c r="AB107">
        <f>IF(ISNUMBER(SEARCH(SUBSTITUTE(AB$1,RIGHT(AB$1,2),""),VLOOKUP($D107,素材!$1:$1016,COLUMN($F$1),FALSE))),VLOOKUP($C107,武器!$1:$998,COLUMN($O$1),FALSE)*VLOOKUP($D107,素材!$1:$1016,COLUMN($E$1),FALSE)/(LEN(VLOOKUP($D107,素材!$1:$1016,COLUMN($F$1),FALSE)) - LEN(SUBSTITUTE(VLOOKUP($D107,素材!$1:$1016,COLUMN($F$1),FALSE), "・", 0)) + 1), 0)</f>
        <v>0</v>
      </c>
      <c r="AC107">
        <f>IF(ISNUMBER(SEARCH(SUBSTITUTE(AC$1,RIGHT(AC$1,2),""),VLOOKUP($D107,素材!$1:$1016,COLUMN($F$1),FALSE))),VLOOKUP($C107,武器!$1:$998,COLUMN($O$1),FALSE)*VLOOKUP($D107,素材!$1:$1016,COLUMN($E$1),FALSE)/(LEN(VLOOKUP($D107,素材!$1:$1016,COLUMN($F$1),FALSE)) - LEN(SUBSTITUTE(VLOOKUP($D107,素材!$1:$1016,COLUMN($F$1),FALSE), "・", 0)) + 1), 0)</f>
        <v>0</v>
      </c>
      <c r="AD107">
        <f>IF(ISNUMBER(SEARCH(SUBSTITUTE(AD$1,RIGHT(AD$1,2),""),VLOOKUP($D107,素材!$1:$1016,COLUMN($F$1),FALSE))),VLOOKUP($C107,武器!$1:$998,COLUMN($O$1),FALSE)*VLOOKUP($D107,素材!$1:$1016,COLUMN($E$1),FALSE)/(LEN(VLOOKUP($D107,素材!$1:$1016,COLUMN($F$1),FALSE)) - LEN(SUBSTITUTE(VLOOKUP($D107,素材!$1:$1016,COLUMN($F$1),FALSE), "・", 0)) + 1), 0)</f>
        <v>0</v>
      </c>
      <c r="AE107">
        <f>IF(ISNUMBER(SEARCH(SUBSTITUTE(AE$1,RIGHT(AE$1,2),""),VLOOKUP($D107,素材!$1:$1016,COLUMN($F$1),FALSE))),VLOOKUP($C107,武器!$1:$998,COLUMN($O$1),FALSE)*VLOOKUP($D107,素材!$1:$1016,COLUMN($E$1),FALSE)/(LEN(VLOOKUP($D107,素材!$1:$1016,COLUMN($F$1),FALSE)) - LEN(SUBSTITUTE(VLOOKUP($D107,素材!$1:$1016,COLUMN($F$1),FALSE), "・", 0)) + 1), 0)</f>
        <v>0</v>
      </c>
      <c r="AF107">
        <f>IF(ISNUMBER(SEARCH(SUBSTITUTE(AF$1,RIGHT(AF$1,2),""),VLOOKUP($D107,素材!$1:$1016,COLUMN($F$1),FALSE))),VLOOKUP($C107,武器!$1:$998,COLUMN($O$1),FALSE)*VLOOKUP($D107,素材!$1:$1016,COLUMN($E$1),FALSE)/(LEN(VLOOKUP($D107,素材!$1:$1016,COLUMN($F$1),FALSE)) - LEN(SUBSTITUTE(VLOOKUP($D107,素材!$1:$1016,COLUMN($F$1),FALSE), "・", 0)) + 1), 0)</f>
        <v>0</v>
      </c>
      <c r="AG107">
        <f>IF(ISNUMBER(SEARCH(SUBSTITUTE(AG$1,RIGHT(AG$1,2),""),VLOOKUP($D107,素材!$1:$1016,COLUMN($F$1),FALSE))),VLOOKUP($C107,武器!$1:$998,COLUMN($O$1),FALSE)*VLOOKUP($D107,素材!$1:$1016,COLUMN($E$1),FALSE)/(LEN(VLOOKUP($D107,素材!$1:$1016,COLUMN($F$1),FALSE)) - LEN(SUBSTITUTE(VLOOKUP($D107,素材!$1:$1016,COLUMN($F$1),FALSE), "・", 0)) + 1), 0)</f>
        <v>0</v>
      </c>
      <c r="AH107">
        <f>IF(ISNUMBER(SEARCH(SUBSTITUTE(AH$1,RIGHT(AH$1,2),""),VLOOKUP($D107,素材!$1:$1016,COLUMN($F$1),FALSE))),VLOOKUP($C107,武器!$1:$998,COLUMN($O$1),FALSE)*VLOOKUP($D107,素材!$1:$1016,COLUMN($E$1),FALSE)/(LEN(VLOOKUP($D107,素材!$1:$1016,COLUMN($F$1),FALSE)) - LEN(SUBSTITUTE(VLOOKUP($D107,素材!$1:$1016,COLUMN($F$1),FALSE), "・", 0)) + 1), 0)</f>
        <v>0</v>
      </c>
      <c r="AI107">
        <f>IF(ISNUMBER(SEARCH(SUBSTITUTE(AI$1,RIGHT(AI$1,2),""),VLOOKUP($D107,素材!$1:$1016,COLUMN($F$1),FALSE))),VLOOKUP($C107,武器!$1:$998,COLUMN($O$1),FALSE)*VLOOKUP($D107,素材!$1:$1016,COLUMN($E$1),FALSE)/(LEN(VLOOKUP($D107,素材!$1:$1016,COLUMN($F$1),FALSE)) - LEN(SUBSTITUTE(VLOOKUP($D107,素材!$1:$1016,COLUMN($F$1),FALSE), "・", 0)) + 1), 0)</f>
        <v>0</v>
      </c>
      <c r="AJ107">
        <f>IF(ISNUMBER(SEARCH(SUBSTITUTE(AJ$1,RIGHT(AJ$1,2),""),VLOOKUP($D107,素材!$1:$1016,COLUMN($F$1),FALSE))),VLOOKUP($C107,武器!$1:$998,COLUMN($O$1),FALSE)*VLOOKUP($D107,素材!$1:$1016,COLUMN($E$1),FALSE)/(LEN(VLOOKUP($D107,素材!$1:$1016,COLUMN($F$1),FALSE)) - LEN(SUBSTITUTE(VLOOKUP($D107,素材!$1:$1016,COLUMN($F$1),FALSE), "・", 0)) + 1), 0)</f>
        <v>0</v>
      </c>
      <c r="AK107">
        <f>IF(ISNUMBER(SEARCH(SUBSTITUTE(AK$1,RIGHT(AK$1,2),""),VLOOKUP($D107,素材!$1:$1016,COLUMN($F$1),FALSE))),VLOOKUP($C107,武器!$1:$998,COLUMN($O$1),FALSE)*VLOOKUP($D107,素材!$1:$1016,COLUMN($E$1),FALSE)/(LEN(VLOOKUP($D107,素材!$1:$1016,COLUMN($F$1),FALSE)) - LEN(SUBSTITUTE(VLOOKUP($D107,素材!$1:$1016,COLUMN($F$1),FALSE), "・", 0)) + 1), 0)</f>
        <v>0</v>
      </c>
      <c r="AL107">
        <f>IF(ISNUMBER(SEARCH(SUBSTITUTE(AL$1,RIGHT(AL$1,2),""),VLOOKUP($D107,素材!$1:$1016,COLUMN($F$1),FALSE))),VLOOKUP($C107,武器!$1:$998,COLUMN($O$1),FALSE)*VLOOKUP($D107,素材!$1:$1016,COLUMN($E$1),FALSE)/(LEN(VLOOKUP($D107,素材!$1:$1016,COLUMN($F$1),FALSE)) - LEN(SUBSTITUTE(VLOOKUP($D107,素材!$1:$1016,COLUMN($F$1),FALSE), "・", 0)) + 1), 0)</f>
        <v>0</v>
      </c>
      <c r="AM107">
        <f>IF(ISNUMBER(SEARCH(SUBSTITUTE(AM$1,RIGHT(AM$1,2),""),VLOOKUP($D107,素材!$1:$1016,COLUMN($F$1),FALSE))),VLOOKUP($C107,武器!$1:$998,COLUMN($O$1),FALSE)*VLOOKUP($D107,素材!$1:$1016,COLUMN($E$1),FALSE)/(LEN(VLOOKUP($D107,素材!$1:$1016,COLUMN($F$1),FALSE)) - LEN(SUBSTITUTE(VLOOKUP($D107,素材!$1:$1016,COLUMN($F$1),FALSE), "・", 0)) + 1), 0)</f>
        <v>0</v>
      </c>
      <c r="AN107">
        <f>IF(ISNUMBER(SEARCH(SUBSTITUTE(AN$1,RIGHT(AN$1,2),""),VLOOKUP($D107,素材!$1:$1016,COLUMN($F$1),FALSE))),VLOOKUP($C107,武器!$1:$998,COLUMN($O$1),FALSE)*VLOOKUP($D107,素材!$1:$1016,COLUMN($E$1),FALSE)/(LEN(VLOOKUP($D107,素材!$1:$1016,COLUMN($F$1),FALSE)) - LEN(SUBSTITUTE(VLOOKUP($D107,素材!$1:$1016,COLUMN($F$1),FALSE), "・", 0)) + 1), 0)</f>
        <v>0</v>
      </c>
      <c r="AO107">
        <f>IF(ISNUMBER(SEARCH(SUBSTITUTE(AO$1,RIGHT(AO$1,2),""),VLOOKUP($D107,素材!$1:$1016,COLUMN($F$1),FALSE))),VLOOKUP($C107,武器!$1:$998,COLUMN($O$1),FALSE)*VLOOKUP($D107,素材!$1:$1016,COLUMN($E$1),FALSE)/(LEN(VLOOKUP($D107,素材!$1:$1016,COLUMN($F$1),FALSE)) - LEN(SUBSTITUTE(VLOOKUP($D107,素材!$1:$1016,COLUMN($F$1),FALSE), "・", 0)) + 1), 0)</f>
        <v>0</v>
      </c>
      <c r="AP107">
        <f>IF(ISNUMBER(SEARCH(SUBSTITUTE(AP$1,RIGHT(AP$1,2),""),VLOOKUP($D107,素材!$1:$1016,COLUMN($F$1),FALSE))),VLOOKUP($C107,武器!$1:$998,COLUMN($O$1),FALSE)*VLOOKUP($D107,素材!$1:$1016,COLUMN($E$1),FALSE)/(LEN(VLOOKUP($D107,素材!$1:$1016,COLUMN($F$1),FALSE)) - LEN(SUBSTITUTE(VLOOKUP($D107,素材!$1:$1016,COLUMN($F$1),FALSE), "・", 0)) + 1), 0)</f>
        <v>0</v>
      </c>
      <c r="AQ107">
        <f>IF(ISNUMBER(SEARCH(SUBSTITUTE(AQ$1,RIGHT(AQ$1,2),""),VLOOKUP($D107,素材!$1:$1016,COLUMN($F$1),FALSE))),VLOOKUP($C107,武器!$1:$998,COLUMN($O$1),FALSE)*VLOOKUP($D107,素材!$1:$1016,COLUMN($E$1),FALSE)/(LEN(VLOOKUP($D107,素材!$1:$1016,COLUMN($F$1),FALSE)) - LEN(SUBSTITUTE(VLOOKUP($D107,素材!$1:$1016,COLUMN($F$1),FALSE), "・", 0)) + 1), 0)</f>
        <v>0</v>
      </c>
      <c r="AR107">
        <f>IF(ISNUMBER(SEARCH(SUBSTITUTE(AR$1,RIGHT(AR$1,2),""),VLOOKUP($D107,素材!$1:$1016,COLUMN($F$1),FALSE))),VLOOKUP($C107,武器!$1:$998,COLUMN($O$1),FALSE)*VLOOKUP($D107,素材!$1:$1016,COLUMN($E$1),FALSE)/(LEN(VLOOKUP($D107,素材!$1:$1016,COLUMN($F$1),FALSE)) - LEN(SUBSTITUTE(VLOOKUP($D107,素材!$1:$1016,COLUMN($F$1),FALSE), "・", 0)) + 1), 0)</f>
        <v>0</v>
      </c>
      <c r="AS107">
        <f>IF(ISNUMBER(SEARCH(SUBSTITUTE(AS$1,RIGHT(AS$1,2),""),VLOOKUP($D107,素材!$1:$1016,COLUMN($F$1),FALSE))),VLOOKUP($C107,武器!$1:$998,COLUMN($O$1),FALSE)*VLOOKUP($D107,素材!$1:$1016,COLUMN($E$1),FALSE)/(LEN(VLOOKUP($D107,素材!$1:$1016,COLUMN($F$1),FALSE)) - LEN(SUBSTITUTE(VLOOKUP($D107,素材!$1:$1016,COLUMN($F$1),FALSE), "・", 0)) + 1), 0)</f>
        <v>0</v>
      </c>
      <c r="AT107">
        <f>IF(ISNUMBER(SEARCH(SUBSTITUTE(AT$1,RIGHT(AT$1,2),""),VLOOKUP($D107,素材!$1:$1016,COLUMN($F$1),FALSE))),VLOOKUP($C107,武器!$1:$998,COLUMN($O$1),FALSE)*VLOOKUP($D107,素材!$1:$1016,COLUMN($E$1),FALSE)/(LEN(VLOOKUP($D107,素材!$1:$1016,COLUMN($F$1),FALSE)) - LEN(SUBSTITUTE(VLOOKUP($D107,素材!$1:$1016,COLUMN($F$1),FALSE), "・", 0)) + 1), 0)</f>
        <v>0</v>
      </c>
      <c r="AU107">
        <f>IF(ISNUMBER(SEARCH(SUBSTITUTE(AU$1,RIGHT(AU$1,2),""),VLOOKUP($D107,素材!$1:$1016,COLUMN($F$1),FALSE))),VLOOKUP($C107,武器!$1:$998,COLUMN($O$1),FALSE)*VLOOKUP($D107,素材!$1:$1016,COLUMN($E$1),FALSE)/(LEN(VLOOKUP($D107,素材!$1:$1016,COLUMN($F$1),FALSE)) - LEN(SUBSTITUTE(VLOOKUP($D107,素材!$1:$1016,COLUMN($F$1),FALSE), "・", 0)) + 1), 0)</f>
        <v>0</v>
      </c>
      <c r="AV107">
        <f>IF(ISNUMBER(SEARCH(SUBSTITUTE(AV$1,RIGHT(AV$1,2),""),VLOOKUP($D107,素材!$1:$1016,COLUMN($F$1),FALSE))),VLOOKUP($C107,武器!$1:$998,COLUMN($O$1),FALSE)*VLOOKUP($D107,素材!$1:$1016,COLUMN($E$1),FALSE)/(LEN(VLOOKUP($D107,素材!$1:$1016,COLUMN($F$1),FALSE)) - LEN(SUBSTITUTE(VLOOKUP($D107,素材!$1:$1016,COLUMN($F$1),FALSE), "・", 0)) + 1), 0)</f>
        <v>0</v>
      </c>
      <c r="AW107">
        <f>IF(ISNUMBER(SEARCH(SUBSTITUTE(AW$1,RIGHT(AW$1,2),""),VLOOKUP($D107,素材!$1:$1016,COLUMN($F$1),FALSE))),VLOOKUP($C107,武器!$1:$998,COLUMN($O$1),FALSE)*VLOOKUP($D107,素材!$1:$1016,COLUMN($E$1),FALSE)/(LEN(VLOOKUP($D107,素材!$1:$1016,COLUMN($F$1),FALSE)) - LEN(SUBSTITUTE(VLOOKUP($D107,素材!$1:$1016,COLUMN($F$1),FALSE), "・", 0)) + 1), 0)</f>
        <v>0</v>
      </c>
      <c r="AX107">
        <f>IF(ISNUMBER(SEARCH(SUBSTITUTE(AX$1,RIGHT(AX$1,2),""),VLOOKUP($D107,素材!$1:$1016,COLUMN($F$1),FALSE))),VLOOKUP($C107,武器!$1:$998,COLUMN($O$1),FALSE)*VLOOKUP($D107,素材!$1:$1016,COLUMN($E$1),FALSE)/(LEN(VLOOKUP($D107,素材!$1:$1016,COLUMN($F$1),FALSE)) - LEN(SUBSTITUTE(VLOOKUP($D107,素材!$1:$1016,COLUMN($F$1),FALSE), "・", 0)) + 1), 0)</f>
        <v>0</v>
      </c>
      <c r="AY107">
        <f>IF(ISNUMBER(SEARCH(SUBSTITUTE(AY$1,RIGHT(AY$1,2),""),VLOOKUP($D107,素材!$1:$1016,COLUMN($F$1),FALSE))),VLOOKUP($C107,武器!$1:$998,COLUMN($O$1),FALSE)*VLOOKUP($D107,素材!$1:$1016,COLUMN($E$1),FALSE)/(LEN(VLOOKUP($D107,素材!$1:$1016,COLUMN($F$1),FALSE)) - LEN(SUBSTITUTE(VLOOKUP($D107,素材!$1:$1016,COLUMN($F$1),FALSE), "・", 0)) + 1), 0)</f>
        <v>0</v>
      </c>
      <c r="AZ107">
        <f>IF(ISNUMBER(SEARCH(SUBSTITUTE(AZ$1,RIGHT(AZ$1,2),""),VLOOKUP($D107,素材!$1:$1016,COLUMN($F$1),FALSE))),VLOOKUP($C107,武器!$1:$998,COLUMN($O$1),FALSE)*VLOOKUP($D107,素材!$1:$1016,COLUMN($E$1),FALSE)/(LEN(VLOOKUP($D107,素材!$1:$1016,COLUMN($F$1),FALSE)) - LEN(SUBSTITUTE(VLOOKUP($D107,素材!$1:$1016,COLUMN($F$1),FALSE), "・", 0)) + 1), 0)</f>
        <v>0</v>
      </c>
      <c r="BA107">
        <f>IF(ISNUMBER(SEARCH(SUBSTITUTE(BA$1,RIGHT(BA$1,2),""),VLOOKUP($D107,素材!$1:$1016,COLUMN($F$1),FALSE))),VLOOKUP($C107,武器!$1:$998,COLUMN($O$1),FALSE)*VLOOKUP($D107,素材!$1:$1016,COLUMN($E$1),FALSE)/(LEN(VLOOKUP($D107,素材!$1:$1016,COLUMN($F$1),FALSE)) - LEN(SUBSTITUTE(VLOOKUP($D107,素材!$1:$1016,COLUMN($F$1),FALSE), "・", 0)) + 1), 0)</f>
        <v>0</v>
      </c>
      <c r="BB107">
        <f>IF(ISNUMBER(SEARCH(SUBSTITUTE(BB$1,RIGHT(BB$1,2),""),VLOOKUP($D107,素材!$1:$1016,COLUMN($F$1),FALSE))),VLOOKUP($C107,武器!$1:$998,COLUMN($O$1),FALSE)*VLOOKUP($D107,素材!$1:$1016,COLUMN($E$1),FALSE)/(LEN(VLOOKUP($D107,素材!$1:$1016,COLUMN($F$1),FALSE)) - LEN(SUBSTITUTE(VLOOKUP($D107,素材!$1:$1016,COLUMN($F$1),FALSE), "・", 0)) + 1), 0)</f>
        <v>0</v>
      </c>
      <c r="BC107">
        <f>IF(ISNUMBER(SEARCH(SUBSTITUTE(BC$1,RIGHT(BC$1,2),""),VLOOKUP($D107,素材!$1:$1016,COLUMN($F$1),FALSE))),VLOOKUP($C107,武器!$1:$998,COLUMN($O$1),FALSE)*VLOOKUP($D107,素材!$1:$1016,COLUMN($E$1),FALSE)/(LEN(VLOOKUP($D107,素材!$1:$1016,COLUMN($F$1),FALSE)) - LEN(SUBSTITUTE(VLOOKUP($D107,素材!$1:$1016,COLUMN($F$1),FALSE), "・", 0)) + 1), 0)</f>
        <v>0</v>
      </c>
      <c r="BD107">
        <f>IF(ISNUMBER(SEARCH(SUBSTITUTE(BD$1,RIGHT(BD$1,2),""),VLOOKUP($D107,素材!$1:$1016,COLUMN($F$1),FALSE))),VLOOKUP($C107,武器!$1:$998,COLUMN($O$1),FALSE)*VLOOKUP($D107,素材!$1:$1016,COLUMN($E$1),FALSE)/(LEN(VLOOKUP($D107,素材!$1:$1016,COLUMN($F$1),FALSE)) - LEN(SUBSTITUTE(VLOOKUP($D107,素材!$1:$1016,COLUMN($F$1),FALSE), "・", 0)) + 1), 0)</f>
        <v>0</v>
      </c>
      <c r="BE107">
        <f>IF(ISNUMBER(SEARCH(SUBSTITUTE(BE$1,RIGHT(BE$1,2),""),VLOOKUP($D107,素材!$1:$1016,COLUMN($F$1),FALSE))),VLOOKUP($C107,武器!$1:$998,COLUMN($O$1),FALSE)*VLOOKUP($D107,素材!$1:$1016,COLUMN($E$1),FALSE)/(LEN(VLOOKUP($D107,素材!$1:$1016,COLUMN($F$1),FALSE)) - LEN(SUBSTITUTE(VLOOKUP($D107,素材!$1:$1016,COLUMN($F$1),FALSE), "・", 0)) + 1), 0)</f>
        <v>0</v>
      </c>
      <c r="CL107">
        <f>SUM(G107:I107)</f>
        <v>0</v>
      </c>
      <c r="CM107" s="22" t="str">
        <f>IF(E107="武器",IF(J107-1&gt;SUM(G107:I107),"盾",IF(MAX(G107:I107)=G107,"切断",IF(MAX(G107:I107)=H107,"貫通",IF(MAX(G107:I107)=I107,"打撃","射撃")))),E107)&amp;".webp"</f>
        <v>銃.webp</v>
      </c>
      <c r="CN107">
        <f>IFERROR(VLOOKUP($C107,武器!$1:$998,COLUMN(V$1),FALSE)*VLOOKUP($D107,素材!$1:$1016,COLUMN(N$1),FALSE)+IF(CI107="",0,VLOOKUP($CI107,装強!$1:$1008,COLUMN($CK$1),FALSE)),"")</f>
        <v>1350</v>
      </c>
      <c r="CO107" t="str">
        <f>VLOOKUP(D107,素材!$A:$O,COLUMN(素材!O$1),FALSE)</f>
        <v>鍛えられた鉄。硬度が高く安価なためよく使用される。</v>
      </c>
      <c r="CP107" t="str">
        <f>VLOOKUP(C107,武器!$A:$W,COLUMN(武器!W$1),FALSE)</f>
        <v/>
      </c>
      <c r="CR107" t="str">
        <f t="shared" si="5"/>
        <v>e_107</v>
      </c>
      <c r="CS107">
        <f t="shared" si="6"/>
        <v>135000</v>
      </c>
    </row>
    <row r="108" spans="1:97" outlineLevel="1" x14ac:dyDescent="0.4">
      <c r="A108" t="str">
        <f t="shared" si="7"/>
        <v>鋼の回転式拳銃</v>
      </c>
      <c r="B108" t="str">
        <f>IFERROR(VLOOKUP($D108,素材!$1:$1016,COLUMN($B$1),FALSE)&amp;"・"&amp;VLOOKUP($C108,武器!$1:$998,COLUMN(B$1),FALSE),"")</f>
        <v>スチール・リボルバー</v>
      </c>
      <c r="C108" t="s">
        <v>212</v>
      </c>
      <c r="D108" s="24" t="s">
        <v>253</v>
      </c>
      <c r="E108" t="str">
        <f>IFERROR(VLOOKUP(C108,武器!$1:$998,COLUMN(C$1),FALSE),"")</f>
        <v>銃</v>
      </c>
      <c r="F108">
        <f>IFERROR(ROUNDDOWN((VLOOKUP($C108,武器!$1:$998,COLUMN(D$1),FALSE)+IFERROR(VLOOKUP($CI108,装強!$1:$999,COLUMN(F$1),FALSE),0))*VLOOKUP($D108,素材!$1:$1016,COLUMN(D$1),FALSE),0),"")</f>
        <v>0</v>
      </c>
      <c r="G108">
        <f>IFERROR(ROUNDDOWN((VLOOKUP($C108,武器!$1:$998,COLUMN(E$1),FALSE)+IFERROR(VLOOKUP($CI108,装強!$1:$999,COLUMN(G$1),FALSE),0))*VLOOKUP($D108,素材!$1:$1016,COLUMN($E$1),FALSE),0),"")</f>
        <v>0</v>
      </c>
      <c r="H108">
        <f>IFERROR(ROUNDDOWN((VLOOKUP($C108,武器!$1:$998,COLUMN(F$1),FALSE)+IFERROR(VLOOKUP($CI108,装強!$1:$999,COLUMN(H$1),FALSE),0))*VLOOKUP($D108,素材!$1:$1016,COLUMN($E$1),FALSE),0),"")</f>
        <v>0</v>
      </c>
      <c r="I108">
        <f>IFERROR(ROUNDDOWN((VLOOKUP($C108,武器!$1:$998,COLUMN(G$1),FALSE)+IFERROR(VLOOKUP($CI108,装強!$1:$999,COLUMN(I$1),FALSE),0))*VLOOKUP($D108,素材!$1:$1016,COLUMN($E$1),FALSE),0),"")</f>
        <v>0</v>
      </c>
      <c r="J108">
        <f>IFERROR(ROUNDDOWN((VLOOKUP($C108,武器!$1:$998,COLUMN(H$1),FALSE)+IFERROR(VLOOKUP($CI108,装強!$1:$999,COLUMN(J$1),FALSE),0))*VLOOKUP($D108,素材!$1:$1016,COLUMN($E$1),FALSE),0),"")</f>
        <v>0</v>
      </c>
      <c r="K108">
        <f>IFERROR(ROUNDDOWN((VLOOKUP($C108,武器!$1:$998,COLUMN(I$1),FALSE)+IFERROR(VLOOKUP($CI108,装強!$1:$999,COLUMN(K$1),FALSE),0))*VLOOKUP($D108,素材!$1:$1016,COLUMN($E$1),FALSE),0),"")</f>
        <v>69</v>
      </c>
      <c r="L108">
        <f>IFERROR(VLOOKUP($D108,素材!$1:$1016,COLUMN($F$1),FALSE),"")</f>
        <v>0</v>
      </c>
      <c r="M108">
        <f>IFERROR(VLOOKUP($C108,武器!$1:$998,COLUMN(AA$1),FALSE)*VLOOKUP($D108,素材!$1:$1016,COLUMN($G$1),FALSE),"")</f>
        <v>0</v>
      </c>
      <c r="N108">
        <f>IFERROR(VLOOKUP($C108,武器!$1:$998,COLUMN(I$1),FALSE),"")</f>
        <v>2.5700000000000003</v>
      </c>
      <c r="O108" s="23">
        <f>IFERROR((VLOOKUP($C108,武器!$1:$998,COLUMN(K$1),FALSE)+VLOOKUP($D108,素材!$1:$1016,COLUMN(H$1),FALSE))*100+IFERROR(VLOOKUP($CI108,装強!$1:$999,COLUMN(O$1),FALSE),0),"")</f>
        <v>10</v>
      </c>
      <c r="P108" s="23">
        <f>IFERROR((VLOOKUP($C108,武器!$1:$998,COLUMN(L$1),FALSE)+VLOOKUP($D108,素材!$1:$1016,COLUMN(I$1),FALSE))*100+IFERROR(VLOOKUP($CI108,装強!$1:$999,COLUMN(P$1),FALSE),0),"")</f>
        <v>140</v>
      </c>
      <c r="Q108">
        <f>IFERROR(ROUNDUP(VLOOKUP($C108,武器!$1:$998,COLUMN(M$1),FALSE)*(VLOOKUP($D108,素材!$1:$1002,COLUMN(D$1),FALSE)/100),1),"")</f>
        <v>0</v>
      </c>
      <c r="R108">
        <f>IFERROR(ROUNDUP(VLOOKUP($C108,武器!$1:$998,COLUMN(N$1),FALSE)*(VLOOKUP($D108,素材!$1:$1002,COLUMN(D$1),FALSE)/100),1),"")</f>
        <v>-15.799999999999999</v>
      </c>
      <c r="S108">
        <f>IFERROR(VLOOKUP($C108,武器!$1:$998,COLUMN(P$1),FALSE),"")</f>
        <v>0</v>
      </c>
      <c r="T108">
        <f>IFERROR(VLOOKUP($C108,武器!$1:$998,COLUMN(Q$1),FALSE),"")</f>
        <v>2</v>
      </c>
      <c r="U108">
        <f>IFERROR(VLOOKUP($C108,武器!$1:$998,COLUMN(R$1),FALSE),"")</f>
        <v>6</v>
      </c>
      <c r="V108">
        <f>IFERROR(VLOOKUP($C108,武器!$1:$998,COLUMN(Q$1),FALSE),"")</f>
        <v>2</v>
      </c>
      <c r="W108">
        <f>IFERROR(VLOOKUP($C108,武器!$1:$998,COLUMN(T$1),FALSE),"")</f>
        <v>0</v>
      </c>
      <c r="Y108">
        <f>IFERROR(VLOOKUP($C108,武器!$1:$998,COLUMN(U$1),FALSE),"")</f>
        <v>0</v>
      </c>
      <c r="Z108">
        <f>IFERROR(ROUNDUP(VLOOKUP($C108,武器!$1:$998,COLUMN(O$1),FALSE)*VLOOKUP($D108,素材!$1:$1016,COLUMN(E$1),FALSE),1),"")</f>
        <v>0</v>
      </c>
      <c r="AA108">
        <f>IF(ISNUMBER(SEARCH(SUBSTITUTE(AA$1,RIGHT(AA$1,2),""),VLOOKUP($D108,素材!$1:$1016,COLUMN($F$1),FALSE))),VLOOKUP($C108,武器!$1:$998,COLUMN($O$1),FALSE)*VLOOKUP($D108,素材!$1:$1016,COLUMN($E$1),FALSE)/(LEN(VLOOKUP($D108,素材!$1:$1016,COLUMN($F$1),FALSE)) - LEN(SUBSTITUTE(VLOOKUP($D108,素材!$1:$1016,COLUMN($F$1),FALSE), "・", 0)) + 1), 0)</f>
        <v>0</v>
      </c>
      <c r="AB108">
        <f>IF(ISNUMBER(SEARCH(SUBSTITUTE(AB$1,RIGHT(AB$1,2),""),VLOOKUP($D108,素材!$1:$1016,COLUMN($F$1),FALSE))),VLOOKUP($C108,武器!$1:$998,COLUMN($O$1),FALSE)*VLOOKUP($D108,素材!$1:$1016,COLUMN($E$1),FALSE)/(LEN(VLOOKUP($D108,素材!$1:$1016,COLUMN($F$1),FALSE)) - LEN(SUBSTITUTE(VLOOKUP($D108,素材!$1:$1016,COLUMN($F$1),FALSE), "・", 0)) + 1), 0)</f>
        <v>0</v>
      </c>
      <c r="AC108">
        <f>IF(ISNUMBER(SEARCH(SUBSTITUTE(AC$1,RIGHT(AC$1,2),""),VLOOKUP($D108,素材!$1:$1016,COLUMN($F$1),FALSE))),VLOOKUP($C108,武器!$1:$998,COLUMN($O$1),FALSE)*VLOOKUP($D108,素材!$1:$1016,COLUMN($E$1),FALSE)/(LEN(VLOOKUP($D108,素材!$1:$1016,COLUMN($F$1),FALSE)) - LEN(SUBSTITUTE(VLOOKUP($D108,素材!$1:$1016,COLUMN($F$1),FALSE), "・", 0)) + 1), 0)</f>
        <v>0</v>
      </c>
      <c r="AD108">
        <f>IF(ISNUMBER(SEARCH(SUBSTITUTE(AD$1,RIGHT(AD$1,2),""),VLOOKUP($D108,素材!$1:$1016,COLUMN($F$1),FALSE))),VLOOKUP($C108,武器!$1:$998,COLUMN($O$1),FALSE)*VLOOKUP($D108,素材!$1:$1016,COLUMN($E$1),FALSE)/(LEN(VLOOKUP($D108,素材!$1:$1016,COLUMN($F$1),FALSE)) - LEN(SUBSTITUTE(VLOOKUP($D108,素材!$1:$1016,COLUMN($F$1),FALSE), "・", 0)) + 1), 0)</f>
        <v>0</v>
      </c>
      <c r="AE108">
        <f>IF(ISNUMBER(SEARCH(SUBSTITUTE(AE$1,RIGHT(AE$1,2),""),VLOOKUP($D108,素材!$1:$1016,COLUMN($F$1),FALSE))),VLOOKUP($C108,武器!$1:$998,COLUMN($O$1),FALSE)*VLOOKUP($D108,素材!$1:$1016,COLUMN($E$1),FALSE)/(LEN(VLOOKUP($D108,素材!$1:$1016,COLUMN($F$1),FALSE)) - LEN(SUBSTITUTE(VLOOKUP($D108,素材!$1:$1016,COLUMN($F$1),FALSE), "・", 0)) + 1), 0)</f>
        <v>0</v>
      </c>
      <c r="AF108">
        <f>IF(ISNUMBER(SEARCH(SUBSTITUTE(AF$1,RIGHT(AF$1,2),""),VLOOKUP($D108,素材!$1:$1016,COLUMN($F$1),FALSE))),VLOOKUP($C108,武器!$1:$998,COLUMN($O$1),FALSE)*VLOOKUP($D108,素材!$1:$1016,COLUMN($E$1),FALSE)/(LEN(VLOOKUP($D108,素材!$1:$1016,COLUMN($F$1),FALSE)) - LEN(SUBSTITUTE(VLOOKUP($D108,素材!$1:$1016,COLUMN($F$1),FALSE), "・", 0)) + 1), 0)</f>
        <v>0</v>
      </c>
      <c r="AG108">
        <f>IF(ISNUMBER(SEARCH(SUBSTITUTE(AG$1,RIGHT(AG$1,2),""),VLOOKUP($D108,素材!$1:$1016,COLUMN($F$1),FALSE))),VLOOKUP($C108,武器!$1:$998,COLUMN($O$1),FALSE)*VLOOKUP($D108,素材!$1:$1016,COLUMN($E$1),FALSE)/(LEN(VLOOKUP($D108,素材!$1:$1016,COLUMN($F$1),FALSE)) - LEN(SUBSTITUTE(VLOOKUP($D108,素材!$1:$1016,COLUMN($F$1),FALSE), "・", 0)) + 1), 0)</f>
        <v>0</v>
      </c>
      <c r="AH108">
        <f>IF(ISNUMBER(SEARCH(SUBSTITUTE(AH$1,RIGHT(AH$1,2),""),VLOOKUP($D108,素材!$1:$1016,COLUMN($F$1),FALSE))),VLOOKUP($C108,武器!$1:$998,COLUMN($O$1),FALSE)*VLOOKUP($D108,素材!$1:$1016,COLUMN($E$1),FALSE)/(LEN(VLOOKUP($D108,素材!$1:$1016,COLUMN($F$1),FALSE)) - LEN(SUBSTITUTE(VLOOKUP($D108,素材!$1:$1016,COLUMN($F$1),FALSE), "・", 0)) + 1), 0)</f>
        <v>0</v>
      </c>
      <c r="AI108">
        <f>IF(ISNUMBER(SEARCH(SUBSTITUTE(AI$1,RIGHT(AI$1,2),""),VLOOKUP($D108,素材!$1:$1016,COLUMN($F$1),FALSE))),VLOOKUP($C108,武器!$1:$998,COLUMN($O$1),FALSE)*VLOOKUP($D108,素材!$1:$1016,COLUMN($E$1),FALSE)/(LEN(VLOOKUP($D108,素材!$1:$1016,COLUMN($F$1),FALSE)) - LEN(SUBSTITUTE(VLOOKUP($D108,素材!$1:$1016,COLUMN($F$1),FALSE), "・", 0)) + 1), 0)</f>
        <v>0</v>
      </c>
      <c r="AJ108">
        <f>IF(ISNUMBER(SEARCH(SUBSTITUTE(AJ$1,RIGHT(AJ$1,2),""),VLOOKUP($D108,素材!$1:$1016,COLUMN($F$1),FALSE))),VLOOKUP($C108,武器!$1:$998,COLUMN($O$1),FALSE)*VLOOKUP($D108,素材!$1:$1016,COLUMN($E$1),FALSE)/(LEN(VLOOKUP($D108,素材!$1:$1016,COLUMN($F$1),FALSE)) - LEN(SUBSTITUTE(VLOOKUP($D108,素材!$1:$1016,COLUMN($F$1),FALSE), "・", 0)) + 1), 0)</f>
        <v>0</v>
      </c>
      <c r="AK108">
        <f>IF(ISNUMBER(SEARCH(SUBSTITUTE(AK$1,RIGHT(AK$1,2),""),VLOOKUP($D108,素材!$1:$1016,COLUMN($F$1),FALSE))),VLOOKUP($C108,武器!$1:$998,COLUMN($O$1),FALSE)*VLOOKUP($D108,素材!$1:$1016,COLUMN($E$1),FALSE)/(LEN(VLOOKUP($D108,素材!$1:$1016,COLUMN($F$1),FALSE)) - LEN(SUBSTITUTE(VLOOKUP($D108,素材!$1:$1016,COLUMN($F$1),FALSE), "・", 0)) + 1), 0)</f>
        <v>0</v>
      </c>
      <c r="AL108">
        <f>IF(ISNUMBER(SEARCH(SUBSTITUTE(AL$1,RIGHT(AL$1,2),""),VLOOKUP($D108,素材!$1:$1016,COLUMN($F$1),FALSE))),VLOOKUP($C108,武器!$1:$998,COLUMN($O$1),FALSE)*VLOOKUP($D108,素材!$1:$1016,COLUMN($E$1),FALSE)/(LEN(VLOOKUP($D108,素材!$1:$1016,COLUMN($F$1),FALSE)) - LEN(SUBSTITUTE(VLOOKUP($D108,素材!$1:$1016,COLUMN($F$1),FALSE), "・", 0)) + 1), 0)</f>
        <v>0</v>
      </c>
      <c r="AM108">
        <f>IF(ISNUMBER(SEARCH(SUBSTITUTE(AM$1,RIGHT(AM$1,2),""),VLOOKUP($D108,素材!$1:$1016,COLUMN($F$1),FALSE))),VLOOKUP($C108,武器!$1:$998,COLUMN($O$1),FALSE)*VLOOKUP($D108,素材!$1:$1016,COLUMN($E$1),FALSE)/(LEN(VLOOKUP($D108,素材!$1:$1016,COLUMN($F$1),FALSE)) - LEN(SUBSTITUTE(VLOOKUP($D108,素材!$1:$1016,COLUMN($F$1),FALSE), "・", 0)) + 1), 0)</f>
        <v>0</v>
      </c>
      <c r="AN108">
        <f>IF(ISNUMBER(SEARCH(SUBSTITUTE(AN$1,RIGHT(AN$1,2),""),VLOOKUP($D108,素材!$1:$1016,COLUMN($F$1),FALSE))),VLOOKUP($C108,武器!$1:$998,COLUMN($O$1),FALSE)*VLOOKUP($D108,素材!$1:$1016,COLUMN($E$1),FALSE)/(LEN(VLOOKUP($D108,素材!$1:$1016,COLUMN($F$1),FALSE)) - LEN(SUBSTITUTE(VLOOKUP($D108,素材!$1:$1016,COLUMN($F$1),FALSE), "・", 0)) + 1), 0)</f>
        <v>0</v>
      </c>
      <c r="AO108">
        <f>IF(ISNUMBER(SEARCH(SUBSTITUTE(AO$1,RIGHT(AO$1,2),""),VLOOKUP($D108,素材!$1:$1016,COLUMN($F$1),FALSE))),VLOOKUP($C108,武器!$1:$998,COLUMN($O$1),FALSE)*VLOOKUP($D108,素材!$1:$1016,COLUMN($E$1),FALSE)/(LEN(VLOOKUP($D108,素材!$1:$1016,COLUMN($F$1),FALSE)) - LEN(SUBSTITUTE(VLOOKUP($D108,素材!$1:$1016,COLUMN($F$1),FALSE), "・", 0)) + 1), 0)</f>
        <v>0</v>
      </c>
      <c r="AP108">
        <f>IF(ISNUMBER(SEARCH(SUBSTITUTE(AP$1,RIGHT(AP$1,2),""),VLOOKUP($D108,素材!$1:$1016,COLUMN($F$1),FALSE))),VLOOKUP($C108,武器!$1:$998,COLUMN($O$1),FALSE)*VLOOKUP($D108,素材!$1:$1016,COLUMN($E$1),FALSE)/(LEN(VLOOKUP($D108,素材!$1:$1016,COLUMN($F$1),FALSE)) - LEN(SUBSTITUTE(VLOOKUP($D108,素材!$1:$1016,COLUMN($F$1),FALSE), "・", 0)) + 1), 0)</f>
        <v>0</v>
      </c>
      <c r="AQ108">
        <f>IF(ISNUMBER(SEARCH(SUBSTITUTE(AQ$1,RIGHT(AQ$1,2),""),VLOOKUP($D108,素材!$1:$1016,COLUMN($F$1),FALSE))),VLOOKUP($C108,武器!$1:$998,COLUMN($O$1),FALSE)*VLOOKUP($D108,素材!$1:$1016,COLUMN($E$1),FALSE)/(LEN(VLOOKUP($D108,素材!$1:$1016,COLUMN($F$1),FALSE)) - LEN(SUBSTITUTE(VLOOKUP($D108,素材!$1:$1016,COLUMN($F$1),FALSE), "・", 0)) + 1), 0)</f>
        <v>0</v>
      </c>
      <c r="AR108">
        <f>IF(ISNUMBER(SEARCH(SUBSTITUTE(AR$1,RIGHT(AR$1,2),""),VLOOKUP($D108,素材!$1:$1016,COLUMN($F$1),FALSE))),VLOOKUP($C108,武器!$1:$998,COLUMN($O$1),FALSE)*VLOOKUP($D108,素材!$1:$1016,COLUMN($E$1),FALSE)/(LEN(VLOOKUP($D108,素材!$1:$1016,COLUMN($F$1),FALSE)) - LEN(SUBSTITUTE(VLOOKUP($D108,素材!$1:$1016,COLUMN($F$1),FALSE), "・", 0)) + 1), 0)</f>
        <v>0</v>
      </c>
      <c r="AS108">
        <f>IF(ISNUMBER(SEARCH(SUBSTITUTE(AS$1,RIGHT(AS$1,2),""),VLOOKUP($D108,素材!$1:$1016,COLUMN($F$1),FALSE))),VLOOKUP($C108,武器!$1:$998,COLUMN($O$1),FALSE)*VLOOKUP($D108,素材!$1:$1016,COLUMN($E$1),FALSE)/(LEN(VLOOKUP($D108,素材!$1:$1016,COLUMN($F$1),FALSE)) - LEN(SUBSTITUTE(VLOOKUP($D108,素材!$1:$1016,COLUMN($F$1),FALSE), "・", 0)) + 1), 0)</f>
        <v>0</v>
      </c>
      <c r="AT108">
        <f>IF(ISNUMBER(SEARCH(SUBSTITUTE(AT$1,RIGHT(AT$1,2),""),VLOOKUP($D108,素材!$1:$1016,COLUMN($F$1),FALSE))),VLOOKUP($C108,武器!$1:$998,COLUMN($O$1),FALSE)*VLOOKUP($D108,素材!$1:$1016,COLUMN($E$1),FALSE)/(LEN(VLOOKUP($D108,素材!$1:$1016,COLUMN($F$1),FALSE)) - LEN(SUBSTITUTE(VLOOKUP($D108,素材!$1:$1016,COLUMN($F$1),FALSE), "・", 0)) + 1), 0)</f>
        <v>0</v>
      </c>
      <c r="AU108">
        <f>IF(ISNUMBER(SEARCH(SUBSTITUTE(AU$1,RIGHT(AU$1,2),""),VLOOKUP($D108,素材!$1:$1016,COLUMN($F$1),FALSE))),VLOOKUP($C108,武器!$1:$998,COLUMN($O$1),FALSE)*VLOOKUP($D108,素材!$1:$1016,COLUMN($E$1),FALSE)/(LEN(VLOOKUP($D108,素材!$1:$1016,COLUMN($F$1),FALSE)) - LEN(SUBSTITUTE(VLOOKUP($D108,素材!$1:$1016,COLUMN($F$1),FALSE), "・", 0)) + 1), 0)</f>
        <v>0</v>
      </c>
      <c r="AV108">
        <f>IF(ISNUMBER(SEARCH(SUBSTITUTE(AV$1,RIGHT(AV$1,2),""),VLOOKUP($D108,素材!$1:$1016,COLUMN($F$1),FALSE))),VLOOKUP($C108,武器!$1:$998,COLUMN($O$1),FALSE)*VLOOKUP($D108,素材!$1:$1016,COLUMN($E$1),FALSE)/(LEN(VLOOKUP($D108,素材!$1:$1016,COLUMN($F$1),FALSE)) - LEN(SUBSTITUTE(VLOOKUP($D108,素材!$1:$1016,COLUMN($F$1),FALSE), "・", 0)) + 1), 0)</f>
        <v>0</v>
      </c>
      <c r="AW108">
        <f>IF(ISNUMBER(SEARCH(SUBSTITUTE(AW$1,RIGHT(AW$1,2),""),VLOOKUP($D108,素材!$1:$1016,COLUMN($F$1),FALSE))),VLOOKUP($C108,武器!$1:$998,COLUMN($O$1),FALSE)*VLOOKUP($D108,素材!$1:$1016,COLUMN($E$1),FALSE)/(LEN(VLOOKUP($D108,素材!$1:$1016,COLUMN($F$1),FALSE)) - LEN(SUBSTITUTE(VLOOKUP($D108,素材!$1:$1016,COLUMN($F$1),FALSE), "・", 0)) + 1), 0)</f>
        <v>0</v>
      </c>
      <c r="AX108">
        <f>IF(ISNUMBER(SEARCH(SUBSTITUTE(AX$1,RIGHT(AX$1,2),""),VLOOKUP($D108,素材!$1:$1016,COLUMN($F$1),FALSE))),VLOOKUP($C108,武器!$1:$998,COLUMN($O$1),FALSE)*VLOOKUP($D108,素材!$1:$1016,COLUMN($E$1),FALSE)/(LEN(VLOOKUP($D108,素材!$1:$1016,COLUMN($F$1),FALSE)) - LEN(SUBSTITUTE(VLOOKUP($D108,素材!$1:$1016,COLUMN($F$1),FALSE), "・", 0)) + 1), 0)</f>
        <v>0</v>
      </c>
      <c r="AY108">
        <f>IF(ISNUMBER(SEARCH(SUBSTITUTE(AY$1,RIGHT(AY$1,2),""),VLOOKUP($D108,素材!$1:$1016,COLUMN($F$1),FALSE))),VLOOKUP($C108,武器!$1:$998,COLUMN($O$1),FALSE)*VLOOKUP($D108,素材!$1:$1016,COLUMN($E$1),FALSE)/(LEN(VLOOKUP($D108,素材!$1:$1016,COLUMN($F$1),FALSE)) - LEN(SUBSTITUTE(VLOOKUP($D108,素材!$1:$1016,COLUMN($F$1),FALSE), "・", 0)) + 1), 0)</f>
        <v>0</v>
      </c>
      <c r="AZ108">
        <f>IF(ISNUMBER(SEARCH(SUBSTITUTE(AZ$1,RIGHT(AZ$1,2),""),VLOOKUP($D108,素材!$1:$1016,COLUMN($F$1),FALSE))),VLOOKUP($C108,武器!$1:$998,COLUMN($O$1),FALSE)*VLOOKUP($D108,素材!$1:$1016,COLUMN($E$1),FALSE)/(LEN(VLOOKUP($D108,素材!$1:$1016,COLUMN($F$1),FALSE)) - LEN(SUBSTITUTE(VLOOKUP($D108,素材!$1:$1016,COLUMN($F$1),FALSE), "・", 0)) + 1), 0)</f>
        <v>0</v>
      </c>
      <c r="BA108">
        <f>IF(ISNUMBER(SEARCH(SUBSTITUTE(BA$1,RIGHT(BA$1,2),""),VLOOKUP($D108,素材!$1:$1016,COLUMN($F$1),FALSE))),VLOOKUP($C108,武器!$1:$998,COLUMN($O$1),FALSE)*VLOOKUP($D108,素材!$1:$1016,COLUMN($E$1),FALSE)/(LEN(VLOOKUP($D108,素材!$1:$1016,COLUMN($F$1),FALSE)) - LEN(SUBSTITUTE(VLOOKUP($D108,素材!$1:$1016,COLUMN($F$1),FALSE), "・", 0)) + 1), 0)</f>
        <v>0</v>
      </c>
      <c r="BB108">
        <f>IF(ISNUMBER(SEARCH(SUBSTITUTE(BB$1,RIGHT(BB$1,2),""),VLOOKUP($D108,素材!$1:$1016,COLUMN($F$1),FALSE))),VLOOKUP($C108,武器!$1:$998,COLUMN($O$1),FALSE)*VLOOKUP($D108,素材!$1:$1016,COLUMN($E$1),FALSE)/(LEN(VLOOKUP($D108,素材!$1:$1016,COLUMN($F$1),FALSE)) - LEN(SUBSTITUTE(VLOOKUP($D108,素材!$1:$1016,COLUMN($F$1),FALSE), "・", 0)) + 1), 0)</f>
        <v>0</v>
      </c>
      <c r="BC108">
        <f>IF(ISNUMBER(SEARCH(SUBSTITUTE(BC$1,RIGHT(BC$1,2),""),VLOOKUP($D108,素材!$1:$1016,COLUMN($F$1),FALSE))),VLOOKUP($C108,武器!$1:$998,COLUMN($O$1),FALSE)*VLOOKUP($D108,素材!$1:$1016,COLUMN($E$1),FALSE)/(LEN(VLOOKUP($D108,素材!$1:$1016,COLUMN($F$1),FALSE)) - LEN(SUBSTITUTE(VLOOKUP($D108,素材!$1:$1016,COLUMN($F$1),FALSE), "・", 0)) + 1), 0)</f>
        <v>0</v>
      </c>
      <c r="BD108">
        <f>IF(ISNUMBER(SEARCH(SUBSTITUTE(BD$1,RIGHT(BD$1,2),""),VLOOKUP($D108,素材!$1:$1016,COLUMN($F$1),FALSE))),VLOOKUP($C108,武器!$1:$998,COLUMN($O$1),FALSE)*VLOOKUP($D108,素材!$1:$1016,COLUMN($E$1),FALSE)/(LEN(VLOOKUP($D108,素材!$1:$1016,COLUMN($F$1),FALSE)) - LEN(SUBSTITUTE(VLOOKUP($D108,素材!$1:$1016,COLUMN($F$1),FALSE), "・", 0)) + 1), 0)</f>
        <v>0</v>
      </c>
      <c r="BE108">
        <f>IF(ISNUMBER(SEARCH(SUBSTITUTE(BE$1,RIGHT(BE$1,2),""),VLOOKUP($D108,素材!$1:$1016,COLUMN($F$1),FALSE))),VLOOKUP($C108,武器!$1:$998,COLUMN($O$1),FALSE)*VLOOKUP($D108,素材!$1:$1016,COLUMN($E$1),FALSE)/(LEN(VLOOKUP($D108,素材!$1:$1016,COLUMN($F$1),FALSE)) - LEN(SUBSTITUTE(VLOOKUP($D108,素材!$1:$1016,COLUMN($F$1),FALSE), "・", 0)) + 1), 0)</f>
        <v>0</v>
      </c>
      <c r="CL108">
        <f>SUM(G108:I108)</f>
        <v>0</v>
      </c>
      <c r="CM108" s="22" t="str">
        <f>IF(E108="武器",IF(J108-1&gt;SUM(G108:I108),"盾",IF(MAX(G108:I108)=G108,"切断",IF(MAX(G108:I108)=H108,"貫通",IF(MAX(G108:I108)=I108,"打撃","射撃")))),E108)&amp;".webp"</f>
        <v>銃.webp</v>
      </c>
      <c r="CN108">
        <f>IFERROR(VLOOKUP($C108,武器!$1:$998,COLUMN(V$1),FALSE)*VLOOKUP($D108,素材!$1:$1016,COLUMN(N$1),FALSE)+IF(CI108="",0,VLOOKUP($CI108,装強!$1:$1008,COLUMN($CK$1),FALSE)),"")</f>
        <v>900</v>
      </c>
      <c r="CO108" t="str">
        <f>VLOOKUP(D108,素材!$A:$O,COLUMN(素材!O$1),FALSE)</f>
        <v>鍛えられた鉄。硬度が高く安価なためよく使用される。</v>
      </c>
      <c r="CP108" t="str">
        <f>VLOOKUP(C108,武器!$A:$W,COLUMN(武器!W$1),FALSE)</f>
        <v/>
      </c>
      <c r="CR108" t="str">
        <f t="shared" si="5"/>
        <v>e_108</v>
      </c>
      <c r="CS108">
        <f t="shared" si="6"/>
        <v>90000</v>
      </c>
    </row>
    <row r="109" spans="1:97" outlineLevel="1" x14ac:dyDescent="0.4">
      <c r="A109" t="str">
        <f t="shared" si="7"/>
        <v>鋼の拳銃</v>
      </c>
      <c r="B109" t="str">
        <f>IFERROR(VLOOKUP($D109,素材!$1:$1016,COLUMN($B$1),FALSE)&amp;"・"&amp;VLOOKUP($C109,武器!$1:$998,COLUMN(B$1),FALSE),"")</f>
        <v>スチール・ハンドガン</v>
      </c>
      <c r="C109" t="s">
        <v>211</v>
      </c>
      <c r="D109" s="24" t="s">
        <v>253</v>
      </c>
      <c r="E109" t="str">
        <f>IFERROR(VLOOKUP(C109,武器!$1:$998,COLUMN(C$1),FALSE),"")</f>
        <v>銃</v>
      </c>
      <c r="F109">
        <f>IFERROR(ROUNDDOWN((VLOOKUP($C109,武器!$1:$998,COLUMN(D$1),FALSE)+IFERROR(VLOOKUP($CI109,装強!$1:$999,COLUMN(F$1),FALSE),0))*VLOOKUP($D109,素材!$1:$1016,COLUMN(D$1),FALSE),0),"")</f>
        <v>0</v>
      </c>
      <c r="G109">
        <f>IFERROR(ROUNDDOWN((VLOOKUP($C109,武器!$1:$998,COLUMN(E$1),FALSE)+IFERROR(VLOOKUP($CI109,装強!$1:$999,COLUMN(G$1),FALSE),0))*VLOOKUP($D109,素材!$1:$1016,COLUMN($E$1),FALSE),0),"")</f>
        <v>0</v>
      </c>
      <c r="H109">
        <f>IFERROR(ROUNDDOWN((VLOOKUP($C109,武器!$1:$998,COLUMN(F$1),FALSE)+IFERROR(VLOOKUP($CI109,装強!$1:$999,COLUMN(H$1),FALSE),0))*VLOOKUP($D109,素材!$1:$1016,COLUMN($E$1),FALSE),0),"")</f>
        <v>0</v>
      </c>
      <c r="I109">
        <f>IFERROR(ROUNDDOWN((VLOOKUP($C109,武器!$1:$998,COLUMN(G$1),FALSE)+IFERROR(VLOOKUP($CI109,装強!$1:$999,COLUMN(I$1),FALSE),0))*VLOOKUP($D109,素材!$1:$1016,COLUMN($E$1),FALSE),0),"")</f>
        <v>0</v>
      </c>
      <c r="J109">
        <f>IFERROR(ROUNDDOWN((VLOOKUP($C109,武器!$1:$998,COLUMN(H$1),FALSE)+IFERROR(VLOOKUP($CI109,装強!$1:$999,COLUMN(J$1),FALSE),0))*VLOOKUP($D109,素材!$1:$1016,COLUMN($E$1),FALSE),0),"")</f>
        <v>0</v>
      </c>
      <c r="K109">
        <f>IFERROR(ROUNDDOWN((VLOOKUP($C109,武器!$1:$998,COLUMN(I$1),FALSE)+IFERROR(VLOOKUP($CI109,装強!$1:$999,COLUMN(K$1),FALSE),0))*VLOOKUP($D109,素材!$1:$1016,COLUMN($E$1),FALSE),0),"")</f>
        <v>48</v>
      </c>
      <c r="L109">
        <f>IFERROR(VLOOKUP($D109,素材!$1:$1016,COLUMN($F$1),FALSE),"")</f>
        <v>0</v>
      </c>
      <c r="M109">
        <f>IFERROR(VLOOKUP($C109,武器!$1:$998,COLUMN(AA$1),FALSE)*VLOOKUP($D109,素材!$1:$1016,COLUMN($G$1),FALSE),"")</f>
        <v>0</v>
      </c>
      <c r="N109">
        <f>IFERROR(VLOOKUP($C109,武器!$1:$998,COLUMN(I$1),FALSE),"")</f>
        <v>1.8</v>
      </c>
      <c r="O109" s="23">
        <f>IFERROR((VLOOKUP($C109,武器!$1:$998,COLUMN(K$1),FALSE)+VLOOKUP($D109,素材!$1:$1016,COLUMN(H$1),FALSE))*100+IFERROR(VLOOKUP($CI109,装強!$1:$999,COLUMN(O$1),FALSE),0),"")</f>
        <v>15</v>
      </c>
      <c r="P109" s="23">
        <f>IFERROR((VLOOKUP($C109,武器!$1:$998,COLUMN(L$1),FALSE)+VLOOKUP($D109,素材!$1:$1016,COLUMN(I$1),FALSE))*100+IFERROR(VLOOKUP($CI109,装強!$1:$999,COLUMN(P$1),FALSE),0),"")</f>
        <v>175</v>
      </c>
      <c r="Q109">
        <f>IFERROR(ROUNDUP(VLOOKUP($C109,武器!$1:$998,COLUMN(M$1),FALSE)*(VLOOKUP($D109,素材!$1:$1002,COLUMN(D$1),FALSE)/100),1),"")</f>
        <v>0</v>
      </c>
      <c r="R109">
        <f>IFERROR(ROUNDUP(VLOOKUP($C109,武器!$1:$998,COLUMN(N$1),FALSE)*(VLOOKUP($D109,素材!$1:$1002,COLUMN(D$1),FALSE)/100),1),"")</f>
        <v>0</v>
      </c>
      <c r="S109">
        <f>IFERROR(VLOOKUP($C109,武器!$1:$998,COLUMN(P$1),FALSE),"")</f>
        <v>0</v>
      </c>
      <c r="T109">
        <f>IFERROR(VLOOKUP($C109,武器!$1:$998,COLUMN(Q$1),FALSE),"")</f>
        <v>3</v>
      </c>
      <c r="U109">
        <f>IFERROR(VLOOKUP($C109,武器!$1:$998,COLUMN(R$1),FALSE),"")</f>
        <v>1</v>
      </c>
      <c r="V109">
        <f>IFERROR(VLOOKUP($C109,武器!$1:$998,COLUMN(Q$1),FALSE),"")</f>
        <v>3</v>
      </c>
      <c r="W109">
        <f>IFERROR(VLOOKUP($C109,武器!$1:$998,COLUMN(T$1),FALSE),"")</f>
        <v>0</v>
      </c>
      <c r="Y109">
        <f>IFERROR(VLOOKUP($C109,武器!$1:$998,COLUMN(U$1),FALSE),"")</f>
        <v>0</v>
      </c>
      <c r="Z109">
        <f>IFERROR(ROUNDUP(VLOOKUP($C109,武器!$1:$998,COLUMN(O$1),FALSE)*VLOOKUP($D109,素材!$1:$1016,COLUMN(E$1),FALSE),1),"")</f>
        <v>0</v>
      </c>
      <c r="AA109">
        <f>IF(ISNUMBER(SEARCH(SUBSTITUTE(AA$1,RIGHT(AA$1,2),""),VLOOKUP($D109,素材!$1:$1016,COLUMN($F$1),FALSE))),VLOOKUP($C109,武器!$1:$998,COLUMN($O$1),FALSE)*VLOOKUP($D109,素材!$1:$1016,COLUMN($E$1),FALSE)/(LEN(VLOOKUP($D109,素材!$1:$1016,COLUMN($F$1),FALSE)) - LEN(SUBSTITUTE(VLOOKUP($D109,素材!$1:$1016,COLUMN($F$1),FALSE), "・", 0)) + 1), 0)</f>
        <v>0</v>
      </c>
      <c r="AB109">
        <f>IF(ISNUMBER(SEARCH(SUBSTITUTE(AB$1,RIGHT(AB$1,2),""),VLOOKUP($D109,素材!$1:$1016,COLUMN($F$1),FALSE))),VLOOKUP($C109,武器!$1:$998,COLUMN($O$1),FALSE)*VLOOKUP($D109,素材!$1:$1016,COLUMN($E$1),FALSE)/(LEN(VLOOKUP($D109,素材!$1:$1016,COLUMN($F$1),FALSE)) - LEN(SUBSTITUTE(VLOOKUP($D109,素材!$1:$1016,COLUMN($F$1),FALSE), "・", 0)) + 1), 0)</f>
        <v>0</v>
      </c>
      <c r="AC109">
        <f>IF(ISNUMBER(SEARCH(SUBSTITUTE(AC$1,RIGHT(AC$1,2),""),VLOOKUP($D109,素材!$1:$1016,COLUMN($F$1),FALSE))),VLOOKUP($C109,武器!$1:$998,COLUMN($O$1),FALSE)*VLOOKUP($D109,素材!$1:$1016,COLUMN($E$1),FALSE)/(LEN(VLOOKUP($D109,素材!$1:$1016,COLUMN($F$1),FALSE)) - LEN(SUBSTITUTE(VLOOKUP($D109,素材!$1:$1016,COLUMN($F$1),FALSE), "・", 0)) + 1), 0)</f>
        <v>0</v>
      </c>
      <c r="AD109">
        <f>IF(ISNUMBER(SEARCH(SUBSTITUTE(AD$1,RIGHT(AD$1,2),""),VLOOKUP($D109,素材!$1:$1016,COLUMN($F$1),FALSE))),VLOOKUP($C109,武器!$1:$998,COLUMN($O$1),FALSE)*VLOOKUP($D109,素材!$1:$1016,COLUMN($E$1),FALSE)/(LEN(VLOOKUP($D109,素材!$1:$1016,COLUMN($F$1),FALSE)) - LEN(SUBSTITUTE(VLOOKUP($D109,素材!$1:$1016,COLUMN($F$1),FALSE), "・", 0)) + 1), 0)</f>
        <v>0</v>
      </c>
      <c r="AE109">
        <f>IF(ISNUMBER(SEARCH(SUBSTITUTE(AE$1,RIGHT(AE$1,2),""),VLOOKUP($D109,素材!$1:$1016,COLUMN($F$1),FALSE))),VLOOKUP($C109,武器!$1:$998,COLUMN($O$1),FALSE)*VLOOKUP($D109,素材!$1:$1016,COLUMN($E$1),FALSE)/(LEN(VLOOKUP($D109,素材!$1:$1016,COLUMN($F$1),FALSE)) - LEN(SUBSTITUTE(VLOOKUP($D109,素材!$1:$1016,COLUMN($F$1),FALSE), "・", 0)) + 1), 0)</f>
        <v>0</v>
      </c>
      <c r="AF109">
        <f>IF(ISNUMBER(SEARCH(SUBSTITUTE(AF$1,RIGHT(AF$1,2),""),VLOOKUP($D109,素材!$1:$1016,COLUMN($F$1),FALSE))),VLOOKUP($C109,武器!$1:$998,COLUMN($O$1),FALSE)*VLOOKUP($D109,素材!$1:$1016,COLUMN($E$1),FALSE)/(LEN(VLOOKUP($D109,素材!$1:$1016,COLUMN($F$1),FALSE)) - LEN(SUBSTITUTE(VLOOKUP($D109,素材!$1:$1016,COLUMN($F$1),FALSE), "・", 0)) + 1), 0)</f>
        <v>0</v>
      </c>
      <c r="AG109">
        <f>IF(ISNUMBER(SEARCH(SUBSTITUTE(AG$1,RIGHT(AG$1,2),""),VLOOKUP($D109,素材!$1:$1016,COLUMN($F$1),FALSE))),VLOOKUP($C109,武器!$1:$998,COLUMN($O$1),FALSE)*VLOOKUP($D109,素材!$1:$1016,COLUMN($E$1),FALSE)/(LEN(VLOOKUP($D109,素材!$1:$1016,COLUMN($F$1),FALSE)) - LEN(SUBSTITUTE(VLOOKUP($D109,素材!$1:$1016,COLUMN($F$1),FALSE), "・", 0)) + 1), 0)</f>
        <v>0</v>
      </c>
      <c r="AH109">
        <f>IF(ISNUMBER(SEARCH(SUBSTITUTE(AH$1,RIGHT(AH$1,2),""),VLOOKUP($D109,素材!$1:$1016,COLUMN($F$1),FALSE))),VLOOKUP($C109,武器!$1:$998,COLUMN($O$1),FALSE)*VLOOKUP($D109,素材!$1:$1016,COLUMN($E$1),FALSE)/(LEN(VLOOKUP($D109,素材!$1:$1016,COLUMN($F$1),FALSE)) - LEN(SUBSTITUTE(VLOOKUP($D109,素材!$1:$1016,COLUMN($F$1),FALSE), "・", 0)) + 1), 0)</f>
        <v>0</v>
      </c>
      <c r="AI109">
        <f>IF(ISNUMBER(SEARCH(SUBSTITUTE(AI$1,RIGHT(AI$1,2),""),VLOOKUP($D109,素材!$1:$1016,COLUMN($F$1),FALSE))),VLOOKUP($C109,武器!$1:$998,COLUMN($O$1),FALSE)*VLOOKUP($D109,素材!$1:$1016,COLUMN($E$1),FALSE)/(LEN(VLOOKUP($D109,素材!$1:$1016,COLUMN($F$1),FALSE)) - LEN(SUBSTITUTE(VLOOKUP($D109,素材!$1:$1016,COLUMN($F$1),FALSE), "・", 0)) + 1), 0)</f>
        <v>0</v>
      </c>
      <c r="AJ109">
        <f>IF(ISNUMBER(SEARCH(SUBSTITUTE(AJ$1,RIGHT(AJ$1,2),""),VLOOKUP($D109,素材!$1:$1016,COLUMN($F$1),FALSE))),VLOOKUP($C109,武器!$1:$998,COLUMN($O$1),FALSE)*VLOOKUP($D109,素材!$1:$1016,COLUMN($E$1),FALSE)/(LEN(VLOOKUP($D109,素材!$1:$1016,COLUMN($F$1),FALSE)) - LEN(SUBSTITUTE(VLOOKUP($D109,素材!$1:$1016,COLUMN($F$1),FALSE), "・", 0)) + 1), 0)</f>
        <v>0</v>
      </c>
      <c r="AK109">
        <f>IF(ISNUMBER(SEARCH(SUBSTITUTE(AK$1,RIGHT(AK$1,2),""),VLOOKUP($D109,素材!$1:$1016,COLUMN($F$1),FALSE))),VLOOKUP($C109,武器!$1:$998,COLUMN($O$1),FALSE)*VLOOKUP($D109,素材!$1:$1016,COLUMN($E$1),FALSE)/(LEN(VLOOKUP($D109,素材!$1:$1016,COLUMN($F$1),FALSE)) - LEN(SUBSTITUTE(VLOOKUP($D109,素材!$1:$1016,COLUMN($F$1),FALSE), "・", 0)) + 1), 0)</f>
        <v>0</v>
      </c>
      <c r="AL109">
        <f>IF(ISNUMBER(SEARCH(SUBSTITUTE(AL$1,RIGHT(AL$1,2),""),VLOOKUP($D109,素材!$1:$1016,COLUMN($F$1),FALSE))),VLOOKUP($C109,武器!$1:$998,COLUMN($O$1),FALSE)*VLOOKUP($D109,素材!$1:$1016,COLUMN($E$1),FALSE)/(LEN(VLOOKUP($D109,素材!$1:$1016,COLUMN($F$1),FALSE)) - LEN(SUBSTITUTE(VLOOKUP($D109,素材!$1:$1016,COLUMN($F$1),FALSE), "・", 0)) + 1), 0)</f>
        <v>0</v>
      </c>
      <c r="AM109">
        <f>IF(ISNUMBER(SEARCH(SUBSTITUTE(AM$1,RIGHT(AM$1,2),""),VLOOKUP($D109,素材!$1:$1016,COLUMN($F$1),FALSE))),VLOOKUP($C109,武器!$1:$998,COLUMN($O$1),FALSE)*VLOOKUP($D109,素材!$1:$1016,COLUMN($E$1),FALSE)/(LEN(VLOOKUP($D109,素材!$1:$1016,COLUMN($F$1),FALSE)) - LEN(SUBSTITUTE(VLOOKUP($D109,素材!$1:$1016,COLUMN($F$1),FALSE), "・", 0)) + 1), 0)</f>
        <v>0</v>
      </c>
      <c r="AN109">
        <f>IF(ISNUMBER(SEARCH(SUBSTITUTE(AN$1,RIGHT(AN$1,2),""),VLOOKUP($D109,素材!$1:$1016,COLUMN($F$1),FALSE))),VLOOKUP($C109,武器!$1:$998,COLUMN($O$1),FALSE)*VLOOKUP($D109,素材!$1:$1016,COLUMN($E$1),FALSE)/(LEN(VLOOKUP($D109,素材!$1:$1016,COLUMN($F$1),FALSE)) - LEN(SUBSTITUTE(VLOOKUP($D109,素材!$1:$1016,COLUMN($F$1),FALSE), "・", 0)) + 1), 0)</f>
        <v>0</v>
      </c>
      <c r="AO109">
        <f>IF(ISNUMBER(SEARCH(SUBSTITUTE(AO$1,RIGHT(AO$1,2),""),VLOOKUP($D109,素材!$1:$1016,COLUMN($F$1),FALSE))),VLOOKUP($C109,武器!$1:$998,COLUMN($O$1),FALSE)*VLOOKUP($D109,素材!$1:$1016,COLUMN($E$1),FALSE)/(LEN(VLOOKUP($D109,素材!$1:$1016,COLUMN($F$1),FALSE)) - LEN(SUBSTITUTE(VLOOKUP($D109,素材!$1:$1016,COLUMN($F$1),FALSE), "・", 0)) + 1), 0)</f>
        <v>0</v>
      </c>
      <c r="AP109">
        <f>IF(ISNUMBER(SEARCH(SUBSTITUTE(AP$1,RIGHT(AP$1,2),""),VLOOKUP($D109,素材!$1:$1016,COLUMN($F$1),FALSE))),VLOOKUP($C109,武器!$1:$998,COLUMN($O$1),FALSE)*VLOOKUP($D109,素材!$1:$1016,COLUMN($E$1),FALSE)/(LEN(VLOOKUP($D109,素材!$1:$1016,COLUMN($F$1),FALSE)) - LEN(SUBSTITUTE(VLOOKUP($D109,素材!$1:$1016,COLUMN($F$1),FALSE), "・", 0)) + 1), 0)</f>
        <v>0</v>
      </c>
      <c r="AQ109">
        <f>IF(ISNUMBER(SEARCH(SUBSTITUTE(AQ$1,RIGHT(AQ$1,2),""),VLOOKUP($D109,素材!$1:$1016,COLUMN($F$1),FALSE))),VLOOKUP($C109,武器!$1:$998,COLUMN($O$1),FALSE)*VLOOKUP($D109,素材!$1:$1016,COLUMN($E$1),FALSE)/(LEN(VLOOKUP($D109,素材!$1:$1016,COLUMN($F$1),FALSE)) - LEN(SUBSTITUTE(VLOOKUP($D109,素材!$1:$1016,COLUMN($F$1),FALSE), "・", 0)) + 1), 0)</f>
        <v>0</v>
      </c>
      <c r="AR109">
        <f>IF(ISNUMBER(SEARCH(SUBSTITUTE(AR$1,RIGHT(AR$1,2),""),VLOOKUP($D109,素材!$1:$1016,COLUMN($F$1),FALSE))),VLOOKUP($C109,武器!$1:$998,COLUMN($O$1),FALSE)*VLOOKUP($D109,素材!$1:$1016,COLUMN($E$1),FALSE)/(LEN(VLOOKUP($D109,素材!$1:$1016,COLUMN($F$1),FALSE)) - LEN(SUBSTITUTE(VLOOKUP($D109,素材!$1:$1016,COLUMN($F$1),FALSE), "・", 0)) + 1), 0)</f>
        <v>0</v>
      </c>
      <c r="AS109">
        <f>IF(ISNUMBER(SEARCH(SUBSTITUTE(AS$1,RIGHT(AS$1,2),""),VLOOKUP($D109,素材!$1:$1016,COLUMN($F$1),FALSE))),VLOOKUP($C109,武器!$1:$998,COLUMN($O$1),FALSE)*VLOOKUP($D109,素材!$1:$1016,COLUMN($E$1),FALSE)/(LEN(VLOOKUP($D109,素材!$1:$1016,COLUMN($F$1),FALSE)) - LEN(SUBSTITUTE(VLOOKUP($D109,素材!$1:$1016,COLUMN($F$1),FALSE), "・", 0)) + 1), 0)</f>
        <v>0</v>
      </c>
      <c r="AT109">
        <f>IF(ISNUMBER(SEARCH(SUBSTITUTE(AT$1,RIGHT(AT$1,2),""),VLOOKUP($D109,素材!$1:$1016,COLUMN($F$1),FALSE))),VLOOKUP($C109,武器!$1:$998,COLUMN($O$1),FALSE)*VLOOKUP($D109,素材!$1:$1016,COLUMN($E$1),FALSE)/(LEN(VLOOKUP($D109,素材!$1:$1016,COLUMN($F$1),FALSE)) - LEN(SUBSTITUTE(VLOOKUP($D109,素材!$1:$1016,COLUMN($F$1),FALSE), "・", 0)) + 1), 0)</f>
        <v>0</v>
      </c>
      <c r="AU109">
        <f>IF(ISNUMBER(SEARCH(SUBSTITUTE(AU$1,RIGHT(AU$1,2),""),VLOOKUP($D109,素材!$1:$1016,COLUMN($F$1),FALSE))),VLOOKUP($C109,武器!$1:$998,COLUMN($O$1),FALSE)*VLOOKUP($D109,素材!$1:$1016,COLUMN($E$1),FALSE)/(LEN(VLOOKUP($D109,素材!$1:$1016,COLUMN($F$1),FALSE)) - LEN(SUBSTITUTE(VLOOKUP($D109,素材!$1:$1016,COLUMN($F$1),FALSE), "・", 0)) + 1), 0)</f>
        <v>0</v>
      </c>
      <c r="AV109">
        <f>IF(ISNUMBER(SEARCH(SUBSTITUTE(AV$1,RIGHT(AV$1,2),""),VLOOKUP($D109,素材!$1:$1016,COLUMN($F$1),FALSE))),VLOOKUP($C109,武器!$1:$998,COLUMN($O$1),FALSE)*VLOOKUP($D109,素材!$1:$1016,COLUMN($E$1),FALSE)/(LEN(VLOOKUP($D109,素材!$1:$1016,COLUMN($F$1),FALSE)) - LEN(SUBSTITUTE(VLOOKUP($D109,素材!$1:$1016,COLUMN($F$1),FALSE), "・", 0)) + 1), 0)</f>
        <v>0</v>
      </c>
      <c r="AW109">
        <f>IF(ISNUMBER(SEARCH(SUBSTITUTE(AW$1,RIGHT(AW$1,2),""),VLOOKUP($D109,素材!$1:$1016,COLUMN($F$1),FALSE))),VLOOKUP($C109,武器!$1:$998,COLUMN($O$1),FALSE)*VLOOKUP($D109,素材!$1:$1016,COLUMN($E$1),FALSE)/(LEN(VLOOKUP($D109,素材!$1:$1016,COLUMN($F$1),FALSE)) - LEN(SUBSTITUTE(VLOOKUP($D109,素材!$1:$1016,COLUMN($F$1),FALSE), "・", 0)) + 1), 0)</f>
        <v>0</v>
      </c>
      <c r="AX109">
        <f>IF(ISNUMBER(SEARCH(SUBSTITUTE(AX$1,RIGHT(AX$1,2),""),VLOOKUP($D109,素材!$1:$1016,COLUMN($F$1),FALSE))),VLOOKUP($C109,武器!$1:$998,COLUMN($O$1),FALSE)*VLOOKUP($D109,素材!$1:$1016,COLUMN($E$1),FALSE)/(LEN(VLOOKUP($D109,素材!$1:$1016,COLUMN($F$1),FALSE)) - LEN(SUBSTITUTE(VLOOKUP($D109,素材!$1:$1016,COLUMN($F$1),FALSE), "・", 0)) + 1), 0)</f>
        <v>0</v>
      </c>
      <c r="AY109">
        <f>IF(ISNUMBER(SEARCH(SUBSTITUTE(AY$1,RIGHT(AY$1,2),""),VLOOKUP($D109,素材!$1:$1016,COLUMN($F$1),FALSE))),VLOOKUP($C109,武器!$1:$998,COLUMN($O$1),FALSE)*VLOOKUP($D109,素材!$1:$1016,COLUMN($E$1),FALSE)/(LEN(VLOOKUP($D109,素材!$1:$1016,COLUMN($F$1),FALSE)) - LEN(SUBSTITUTE(VLOOKUP($D109,素材!$1:$1016,COLUMN($F$1),FALSE), "・", 0)) + 1), 0)</f>
        <v>0</v>
      </c>
      <c r="AZ109">
        <f>IF(ISNUMBER(SEARCH(SUBSTITUTE(AZ$1,RIGHT(AZ$1,2),""),VLOOKUP($D109,素材!$1:$1016,COLUMN($F$1),FALSE))),VLOOKUP($C109,武器!$1:$998,COLUMN($O$1),FALSE)*VLOOKUP($D109,素材!$1:$1016,COLUMN($E$1),FALSE)/(LEN(VLOOKUP($D109,素材!$1:$1016,COLUMN($F$1),FALSE)) - LEN(SUBSTITUTE(VLOOKUP($D109,素材!$1:$1016,COLUMN($F$1),FALSE), "・", 0)) + 1), 0)</f>
        <v>0</v>
      </c>
      <c r="BA109">
        <f>IF(ISNUMBER(SEARCH(SUBSTITUTE(BA$1,RIGHT(BA$1,2),""),VLOOKUP($D109,素材!$1:$1016,COLUMN($F$1),FALSE))),VLOOKUP($C109,武器!$1:$998,COLUMN($O$1),FALSE)*VLOOKUP($D109,素材!$1:$1016,COLUMN($E$1),FALSE)/(LEN(VLOOKUP($D109,素材!$1:$1016,COLUMN($F$1),FALSE)) - LEN(SUBSTITUTE(VLOOKUP($D109,素材!$1:$1016,COLUMN($F$1),FALSE), "・", 0)) + 1), 0)</f>
        <v>0</v>
      </c>
      <c r="BB109">
        <f>IF(ISNUMBER(SEARCH(SUBSTITUTE(BB$1,RIGHT(BB$1,2),""),VLOOKUP($D109,素材!$1:$1016,COLUMN($F$1),FALSE))),VLOOKUP($C109,武器!$1:$998,COLUMN($O$1),FALSE)*VLOOKUP($D109,素材!$1:$1016,COLUMN($E$1),FALSE)/(LEN(VLOOKUP($D109,素材!$1:$1016,COLUMN($F$1),FALSE)) - LEN(SUBSTITUTE(VLOOKUP($D109,素材!$1:$1016,COLUMN($F$1),FALSE), "・", 0)) + 1), 0)</f>
        <v>0</v>
      </c>
      <c r="BC109">
        <f>IF(ISNUMBER(SEARCH(SUBSTITUTE(BC$1,RIGHT(BC$1,2),""),VLOOKUP($D109,素材!$1:$1016,COLUMN($F$1),FALSE))),VLOOKUP($C109,武器!$1:$998,COLUMN($O$1),FALSE)*VLOOKUP($D109,素材!$1:$1016,COLUMN($E$1),FALSE)/(LEN(VLOOKUP($D109,素材!$1:$1016,COLUMN($F$1),FALSE)) - LEN(SUBSTITUTE(VLOOKUP($D109,素材!$1:$1016,COLUMN($F$1),FALSE), "・", 0)) + 1), 0)</f>
        <v>0</v>
      </c>
      <c r="BD109">
        <f>IF(ISNUMBER(SEARCH(SUBSTITUTE(BD$1,RIGHT(BD$1,2),""),VLOOKUP($D109,素材!$1:$1016,COLUMN($F$1),FALSE))),VLOOKUP($C109,武器!$1:$998,COLUMN($O$1),FALSE)*VLOOKUP($D109,素材!$1:$1016,COLUMN($E$1),FALSE)/(LEN(VLOOKUP($D109,素材!$1:$1016,COLUMN($F$1),FALSE)) - LEN(SUBSTITUTE(VLOOKUP($D109,素材!$1:$1016,COLUMN($F$1),FALSE), "・", 0)) + 1), 0)</f>
        <v>0</v>
      </c>
      <c r="BE109">
        <f>IF(ISNUMBER(SEARCH(SUBSTITUTE(BE$1,RIGHT(BE$1,2),""),VLOOKUP($D109,素材!$1:$1016,COLUMN($F$1),FALSE))),VLOOKUP($C109,武器!$1:$998,COLUMN($O$1),FALSE)*VLOOKUP($D109,素材!$1:$1016,COLUMN($E$1),FALSE)/(LEN(VLOOKUP($D109,素材!$1:$1016,COLUMN($F$1),FALSE)) - LEN(SUBSTITUTE(VLOOKUP($D109,素材!$1:$1016,COLUMN($F$1),FALSE), "・", 0)) + 1), 0)</f>
        <v>0</v>
      </c>
      <c r="CL109">
        <f>SUM(G109:I109)</f>
        <v>0</v>
      </c>
      <c r="CM109" s="22" t="str">
        <f>IF(E109="武器",IF(J109-1&gt;SUM(G109:I109),"盾",IF(MAX(G109:I109)=G109,"切断",IF(MAX(G109:I109)=H109,"貫通",IF(MAX(G109:I109)=I109,"打撃","射撃")))),E109)&amp;".webp"</f>
        <v>銃.webp</v>
      </c>
      <c r="CN109">
        <f>IFERROR(VLOOKUP($C109,武器!$1:$998,COLUMN(V$1),FALSE)*VLOOKUP($D109,素材!$1:$1016,COLUMN(N$1),FALSE)+IF(CI109="",0,VLOOKUP($CI109,装強!$1:$1008,COLUMN($CK$1),FALSE)),"")</f>
        <v>900</v>
      </c>
      <c r="CO109" t="str">
        <f>VLOOKUP(D109,素材!$A:$O,COLUMN(素材!O$1),FALSE)</f>
        <v>鍛えられた鉄。硬度が高く安価なためよく使用される。</v>
      </c>
      <c r="CP109" t="str">
        <f>VLOOKUP(C109,武器!$A:$W,COLUMN(武器!W$1),FALSE)</f>
        <v/>
      </c>
      <c r="CR109" t="str">
        <f t="shared" si="5"/>
        <v>e_109</v>
      </c>
      <c r="CS109">
        <f t="shared" si="6"/>
        <v>90000</v>
      </c>
    </row>
    <row r="110" spans="1:97" outlineLevel="1" x14ac:dyDescent="0.4">
      <c r="A110" t="str">
        <f t="shared" si="7"/>
        <v>鋼の面兜</v>
      </c>
      <c r="B110" t="str">
        <f>IFERROR(VLOOKUP($D110,素材!$1:$1016,COLUMN($B$1),FALSE)&amp;"・"&amp;VLOOKUP($C110,武器!$1:$998,COLUMN(B$1),FALSE),"")</f>
        <v>スチール・バイザーヘルム</v>
      </c>
      <c r="C110" t="s">
        <v>210</v>
      </c>
      <c r="D110" s="24" t="s">
        <v>253</v>
      </c>
      <c r="E110" t="str">
        <f>IFERROR(VLOOKUP(C110,武器!$1:$998,COLUMN(C$1),FALSE),"")</f>
        <v>頭</v>
      </c>
      <c r="F110">
        <f>IFERROR(ROUNDDOWN((VLOOKUP($C110,武器!$1:$998,COLUMN(D$1),FALSE)+IFERROR(VLOOKUP($CI110,装強!$1:$999,COLUMN(F$1),FALSE),0))*VLOOKUP($D110,素材!$1:$1016,COLUMN(D$1),FALSE),0),"")</f>
        <v>0</v>
      </c>
      <c r="G110">
        <f>IFERROR(ROUNDDOWN((VLOOKUP($C110,武器!$1:$998,COLUMN(E$1),FALSE)+IFERROR(VLOOKUP($CI110,装強!$1:$999,COLUMN(G$1),FALSE),0))*VLOOKUP($D110,素材!$1:$1016,COLUMN($E$1),FALSE),0),"")</f>
        <v>0</v>
      </c>
      <c r="H110">
        <f>IFERROR(ROUNDDOWN((VLOOKUP($C110,武器!$1:$998,COLUMN(F$1),FALSE)+IFERROR(VLOOKUP($CI110,装強!$1:$999,COLUMN(H$1),FALSE),0))*VLOOKUP($D110,素材!$1:$1016,COLUMN($E$1),FALSE),0),"")</f>
        <v>0</v>
      </c>
      <c r="I110">
        <f>IFERROR(ROUNDDOWN((VLOOKUP($C110,武器!$1:$998,COLUMN(G$1),FALSE)+IFERROR(VLOOKUP($CI110,装強!$1:$999,COLUMN(I$1),FALSE),0))*VLOOKUP($D110,素材!$1:$1016,COLUMN($E$1),FALSE),0),"")</f>
        <v>22</v>
      </c>
      <c r="J110">
        <f>IFERROR(ROUNDDOWN((VLOOKUP($C110,武器!$1:$998,COLUMN(H$1),FALSE)+IFERROR(VLOOKUP($CI110,装強!$1:$999,COLUMN(J$1),FALSE),0))*VLOOKUP($D110,素材!$1:$1016,COLUMN($E$1),FALSE),0),"")</f>
        <v>0</v>
      </c>
      <c r="K110">
        <f>IFERROR(ROUNDDOWN((VLOOKUP($C110,武器!$1:$998,COLUMN(I$1),FALSE)+IFERROR(VLOOKUP($CI110,装強!$1:$999,COLUMN(K$1),FALSE),0))*VLOOKUP($D110,素材!$1:$1016,COLUMN($E$1),FALSE),0),"")</f>
        <v>0</v>
      </c>
      <c r="L110">
        <f>IFERROR(VLOOKUP($D110,素材!$1:$1016,COLUMN($F$1),FALSE),"")</f>
        <v>0</v>
      </c>
      <c r="M110">
        <f>IFERROR(VLOOKUP($C110,武器!$1:$998,COLUMN(AA$1),FALSE)*VLOOKUP($D110,素材!$1:$1016,COLUMN($G$1),FALSE),"")</f>
        <v>0</v>
      </c>
      <c r="N110">
        <f>IFERROR(VLOOKUP($C110,武器!$1:$998,COLUMN(I$1),FALSE),"")</f>
        <v>0</v>
      </c>
      <c r="O110" s="23">
        <f>IFERROR((VLOOKUP($C110,武器!$1:$998,COLUMN(K$1),FALSE)+VLOOKUP($D110,素材!$1:$1016,COLUMN(H$1),FALSE))*100+IFERROR(VLOOKUP($CI110,装強!$1:$999,COLUMN(O$1),FALSE),0),"")</f>
        <v>5</v>
      </c>
      <c r="P110" s="23">
        <f>IFERROR((VLOOKUP($C110,武器!$1:$998,COLUMN(L$1),FALSE)+VLOOKUP($D110,素材!$1:$1016,COLUMN(I$1),FALSE))*100+IFERROR(VLOOKUP($CI110,装強!$1:$999,COLUMN(P$1),FALSE),0),"")</f>
        <v>125</v>
      </c>
      <c r="Q110">
        <f>IFERROR(ROUNDUP(VLOOKUP($C110,武器!$1:$998,COLUMN(M$1),FALSE)*(VLOOKUP($D110,素材!$1:$1002,COLUMN(D$1),FALSE)/100),1),"")</f>
        <v>-7.8999999999999995</v>
      </c>
      <c r="R110">
        <f>IFERROR(ROUNDUP(VLOOKUP($C110,武器!$1:$998,COLUMN(N$1),FALSE)*(VLOOKUP($D110,素材!$1:$1002,COLUMN(D$1),FALSE)/100),1),"")</f>
        <v>0</v>
      </c>
      <c r="S110">
        <f>IFERROR(VLOOKUP($C110,武器!$1:$998,COLUMN(P$1),FALSE),"")</f>
        <v>0</v>
      </c>
      <c r="T110">
        <f>IFERROR(VLOOKUP($C110,武器!$1:$998,COLUMN(Q$1),FALSE),"")</f>
        <v>0</v>
      </c>
      <c r="U110">
        <f>IFERROR(VLOOKUP($C110,武器!$1:$998,COLUMN(R$1),FALSE),"")</f>
        <v>0</v>
      </c>
      <c r="V110">
        <f>IFERROR(VLOOKUP($C110,武器!$1:$998,COLUMN(Q$1),FALSE),"")</f>
        <v>0</v>
      </c>
      <c r="W110">
        <f>IFERROR(VLOOKUP($C110,武器!$1:$998,COLUMN(T$1),FALSE),"")</f>
        <v>0</v>
      </c>
      <c r="Y110">
        <f>IFERROR(VLOOKUP($C110,武器!$1:$998,COLUMN(U$1),FALSE),"")</f>
        <v>0</v>
      </c>
      <c r="Z110">
        <f>IFERROR(ROUNDUP(VLOOKUP($C110,武器!$1:$998,COLUMN(O$1),FALSE)*VLOOKUP($D110,素材!$1:$1016,COLUMN(E$1),FALSE),1),"")</f>
        <v>9.5</v>
      </c>
      <c r="AA110">
        <f>IF(ISNUMBER(SEARCH(SUBSTITUTE(AA$1,RIGHT(AA$1,2),""),VLOOKUP($D110,素材!$1:$1016,COLUMN($F$1),FALSE))),VLOOKUP($C110,武器!$1:$998,COLUMN($O$1),FALSE)*VLOOKUP($D110,素材!$1:$1016,COLUMN($E$1),FALSE)/(LEN(VLOOKUP($D110,素材!$1:$1016,COLUMN($F$1),FALSE)) - LEN(SUBSTITUTE(VLOOKUP($D110,素材!$1:$1016,COLUMN($F$1),FALSE), "・", 0)) + 1), 0)</f>
        <v>0</v>
      </c>
      <c r="AB110">
        <f>IF(ISNUMBER(SEARCH(SUBSTITUTE(AB$1,RIGHT(AB$1,2),""),VLOOKUP($D110,素材!$1:$1016,COLUMN($F$1),FALSE))),VLOOKUP($C110,武器!$1:$998,COLUMN($O$1),FALSE)*VLOOKUP($D110,素材!$1:$1016,COLUMN($E$1),FALSE)/(LEN(VLOOKUP($D110,素材!$1:$1016,COLUMN($F$1),FALSE)) - LEN(SUBSTITUTE(VLOOKUP($D110,素材!$1:$1016,COLUMN($F$1),FALSE), "・", 0)) + 1), 0)</f>
        <v>0</v>
      </c>
      <c r="AC110">
        <f>IF(ISNUMBER(SEARCH(SUBSTITUTE(AC$1,RIGHT(AC$1,2),""),VLOOKUP($D110,素材!$1:$1016,COLUMN($F$1),FALSE))),VLOOKUP($C110,武器!$1:$998,COLUMN($O$1),FALSE)*VLOOKUP($D110,素材!$1:$1016,COLUMN($E$1),FALSE)/(LEN(VLOOKUP($D110,素材!$1:$1016,COLUMN($F$1),FALSE)) - LEN(SUBSTITUTE(VLOOKUP($D110,素材!$1:$1016,COLUMN($F$1),FALSE), "・", 0)) + 1), 0)</f>
        <v>0</v>
      </c>
      <c r="AD110">
        <f>IF(ISNUMBER(SEARCH(SUBSTITUTE(AD$1,RIGHT(AD$1,2),""),VLOOKUP($D110,素材!$1:$1016,COLUMN($F$1),FALSE))),VLOOKUP($C110,武器!$1:$998,COLUMN($O$1),FALSE)*VLOOKUP($D110,素材!$1:$1016,COLUMN($E$1),FALSE)/(LEN(VLOOKUP($D110,素材!$1:$1016,COLUMN($F$1),FALSE)) - LEN(SUBSTITUTE(VLOOKUP($D110,素材!$1:$1016,COLUMN($F$1),FALSE), "・", 0)) + 1), 0)</f>
        <v>0</v>
      </c>
      <c r="AE110">
        <f>IF(ISNUMBER(SEARCH(SUBSTITUTE(AE$1,RIGHT(AE$1,2),""),VLOOKUP($D110,素材!$1:$1016,COLUMN($F$1),FALSE))),VLOOKUP($C110,武器!$1:$998,COLUMN($O$1),FALSE)*VLOOKUP($D110,素材!$1:$1016,COLUMN($E$1),FALSE)/(LEN(VLOOKUP($D110,素材!$1:$1016,COLUMN($F$1),FALSE)) - LEN(SUBSTITUTE(VLOOKUP($D110,素材!$1:$1016,COLUMN($F$1),FALSE), "・", 0)) + 1), 0)</f>
        <v>0</v>
      </c>
      <c r="AF110">
        <f>IF(ISNUMBER(SEARCH(SUBSTITUTE(AF$1,RIGHT(AF$1,2),""),VLOOKUP($D110,素材!$1:$1016,COLUMN($F$1),FALSE))),VLOOKUP($C110,武器!$1:$998,COLUMN($O$1),FALSE)*VLOOKUP($D110,素材!$1:$1016,COLUMN($E$1),FALSE)/(LEN(VLOOKUP($D110,素材!$1:$1016,COLUMN($F$1),FALSE)) - LEN(SUBSTITUTE(VLOOKUP($D110,素材!$1:$1016,COLUMN($F$1),FALSE), "・", 0)) + 1), 0)</f>
        <v>0</v>
      </c>
      <c r="AG110">
        <f>IF(ISNUMBER(SEARCH(SUBSTITUTE(AG$1,RIGHT(AG$1,2),""),VLOOKUP($D110,素材!$1:$1016,COLUMN($F$1),FALSE))),VLOOKUP($C110,武器!$1:$998,COLUMN($O$1),FALSE)*VLOOKUP($D110,素材!$1:$1016,COLUMN($E$1),FALSE)/(LEN(VLOOKUP($D110,素材!$1:$1016,COLUMN($F$1),FALSE)) - LEN(SUBSTITUTE(VLOOKUP($D110,素材!$1:$1016,COLUMN($F$1),FALSE), "・", 0)) + 1), 0)</f>
        <v>0</v>
      </c>
      <c r="AH110">
        <f>IF(ISNUMBER(SEARCH(SUBSTITUTE(AH$1,RIGHT(AH$1,2),""),VLOOKUP($D110,素材!$1:$1016,COLUMN($F$1),FALSE))),VLOOKUP($C110,武器!$1:$998,COLUMN($O$1),FALSE)*VLOOKUP($D110,素材!$1:$1016,COLUMN($E$1),FALSE)/(LEN(VLOOKUP($D110,素材!$1:$1016,COLUMN($F$1),FALSE)) - LEN(SUBSTITUTE(VLOOKUP($D110,素材!$1:$1016,COLUMN($F$1),FALSE), "・", 0)) + 1), 0)</f>
        <v>0</v>
      </c>
      <c r="AI110">
        <f>IF(ISNUMBER(SEARCH(SUBSTITUTE(AI$1,RIGHT(AI$1,2),""),VLOOKUP($D110,素材!$1:$1016,COLUMN($F$1),FALSE))),VLOOKUP($C110,武器!$1:$998,COLUMN($O$1),FALSE)*VLOOKUP($D110,素材!$1:$1016,COLUMN($E$1),FALSE)/(LEN(VLOOKUP($D110,素材!$1:$1016,COLUMN($F$1),FALSE)) - LEN(SUBSTITUTE(VLOOKUP($D110,素材!$1:$1016,COLUMN($F$1),FALSE), "・", 0)) + 1), 0)</f>
        <v>0</v>
      </c>
      <c r="AJ110">
        <f>IF(ISNUMBER(SEARCH(SUBSTITUTE(AJ$1,RIGHT(AJ$1,2),""),VLOOKUP($D110,素材!$1:$1016,COLUMN($F$1),FALSE))),VLOOKUP($C110,武器!$1:$998,COLUMN($O$1),FALSE)*VLOOKUP($D110,素材!$1:$1016,COLUMN($E$1),FALSE)/(LEN(VLOOKUP($D110,素材!$1:$1016,COLUMN($F$1),FALSE)) - LEN(SUBSTITUTE(VLOOKUP($D110,素材!$1:$1016,COLUMN($F$1),FALSE), "・", 0)) + 1), 0)</f>
        <v>0</v>
      </c>
      <c r="AK110">
        <f>IF(ISNUMBER(SEARCH(SUBSTITUTE(AK$1,RIGHT(AK$1,2),""),VLOOKUP($D110,素材!$1:$1016,COLUMN($F$1),FALSE))),VLOOKUP($C110,武器!$1:$998,COLUMN($O$1),FALSE)*VLOOKUP($D110,素材!$1:$1016,COLUMN($E$1),FALSE)/(LEN(VLOOKUP($D110,素材!$1:$1016,COLUMN($F$1),FALSE)) - LEN(SUBSTITUTE(VLOOKUP($D110,素材!$1:$1016,COLUMN($F$1),FALSE), "・", 0)) + 1), 0)</f>
        <v>0</v>
      </c>
      <c r="AL110">
        <f>IF(ISNUMBER(SEARCH(SUBSTITUTE(AL$1,RIGHT(AL$1,2),""),VLOOKUP($D110,素材!$1:$1016,COLUMN($F$1),FALSE))),VLOOKUP($C110,武器!$1:$998,COLUMN($O$1),FALSE)*VLOOKUP($D110,素材!$1:$1016,COLUMN($E$1),FALSE)/(LEN(VLOOKUP($D110,素材!$1:$1016,COLUMN($F$1),FALSE)) - LEN(SUBSTITUTE(VLOOKUP($D110,素材!$1:$1016,COLUMN($F$1),FALSE), "・", 0)) + 1), 0)</f>
        <v>0</v>
      </c>
      <c r="AM110">
        <f>IF(ISNUMBER(SEARCH(SUBSTITUTE(AM$1,RIGHT(AM$1,2),""),VLOOKUP($D110,素材!$1:$1016,COLUMN($F$1),FALSE))),VLOOKUP($C110,武器!$1:$998,COLUMN($O$1),FALSE)*VLOOKUP($D110,素材!$1:$1016,COLUMN($E$1),FALSE)/(LEN(VLOOKUP($D110,素材!$1:$1016,COLUMN($F$1),FALSE)) - LEN(SUBSTITUTE(VLOOKUP($D110,素材!$1:$1016,COLUMN($F$1),FALSE), "・", 0)) + 1), 0)</f>
        <v>0</v>
      </c>
      <c r="AN110">
        <f>IF(ISNUMBER(SEARCH(SUBSTITUTE(AN$1,RIGHT(AN$1,2),""),VLOOKUP($D110,素材!$1:$1016,COLUMN($F$1),FALSE))),VLOOKUP($C110,武器!$1:$998,COLUMN($O$1),FALSE)*VLOOKUP($D110,素材!$1:$1016,COLUMN($E$1),FALSE)/(LEN(VLOOKUP($D110,素材!$1:$1016,COLUMN($F$1),FALSE)) - LEN(SUBSTITUTE(VLOOKUP($D110,素材!$1:$1016,COLUMN($F$1),FALSE), "・", 0)) + 1), 0)</f>
        <v>0</v>
      </c>
      <c r="AO110">
        <f>IF(ISNUMBER(SEARCH(SUBSTITUTE(AO$1,RIGHT(AO$1,2),""),VLOOKUP($D110,素材!$1:$1016,COLUMN($F$1),FALSE))),VLOOKUP($C110,武器!$1:$998,COLUMN($O$1),FALSE)*VLOOKUP($D110,素材!$1:$1016,COLUMN($E$1),FALSE)/(LEN(VLOOKUP($D110,素材!$1:$1016,COLUMN($F$1),FALSE)) - LEN(SUBSTITUTE(VLOOKUP($D110,素材!$1:$1016,COLUMN($F$1),FALSE), "・", 0)) + 1), 0)</f>
        <v>0</v>
      </c>
      <c r="AP110">
        <f>IF(ISNUMBER(SEARCH(SUBSTITUTE(AP$1,RIGHT(AP$1,2),""),VLOOKUP($D110,素材!$1:$1016,COLUMN($F$1),FALSE))),VLOOKUP($C110,武器!$1:$998,COLUMN($O$1),FALSE)*VLOOKUP($D110,素材!$1:$1016,COLUMN($E$1),FALSE)/(LEN(VLOOKUP($D110,素材!$1:$1016,COLUMN($F$1),FALSE)) - LEN(SUBSTITUTE(VLOOKUP($D110,素材!$1:$1016,COLUMN($F$1),FALSE), "・", 0)) + 1), 0)</f>
        <v>0</v>
      </c>
      <c r="AQ110">
        <f>IF(ISNUMBER(SEARCH(SUBSTITUTE(AQ$1,RIGHT(AQ$1,2),""),VLOOKUP($D110,素材!$1:$1016,COLUMN($F$1),FALSE))),VLOOKUP($C110,武器!$1:$998,COLUMN($O$1),FALSE)*VLOOKUP($D110,素材!$1:$1016,COLUMN($E$1),FALSE)/(LEN(VLOOKUP($D110,素材!$1:$1016,COLUMN($F$1),FALSE)) - LEN(SUBSTITUTE(VLOOKUP($D110,素材!$1:$1016,COLUMN($F$1),FALSE), "・", 0)) + 1), 0)</f>
        <v>0</v>
      </c>
      <c r="AR110">
        <f>IF(ISNUMBER(SEARCH(SUBSTITUTE(AR$1,RIGHT(AR$1,2),""),VLOOKUP($D110,素材!$1:$1016,COLUMN($F$1),FALSE))),VLOOKUP($C110,武器!$1:$998,COLUMN($O$1),FALSE)*VLOOKUP($D110,素材!$1:$1016,COLUMN($E$1),FALSE)/(LEN(VLOOKUP($D110,素材!$1:$1016,COLUMN($F$1),FALSE)) - LEN(SUBSTITUTE(VLOOKUP($D110,素材!$1:$1016,COLUMN($F$1),FALSE), "・", 0)) + 1), 0)</f>
        <v>0</v>
      </c>
      <c r="AS110">
        <f>IF(ISNUMBER(SEARCH(SUBSTITUTE(AS$1,RIGHT(AS$1,2),""),VLOOKUP($D110,素材!$1:$1016,COLUMN($F$1),FALSE))),VLOOKUP($C110,武器!$1:$998,COLUMN($O$1),FALSE)*VLOOKUP($D110,素材!$1:$1016,COLUMN($E$1),FALSE)/(LEN(VLOOKUP($D110,素材!$1:$1016,COLUMN($F$1),FALSE)) - LEN(SUBSTITUTE(VLOOKUP($D110,素材!$1:$1016,COLUMN($F$1),FALSE), "・", 0)) + 1), 0)</f>
        <v>0</v>
      </c>
      <c r="AT110">
        <f>IF(ISNUMBER(SEARCH(SUBSTITUTE(AT$1,RIGHT(AT$1,2),""),VLOOKUP($D110,素材!$1:$1016,COLUMN($F$1),FALSE))),VLOOKUP($C110,武器!$1:$998,COLUMN($O$1),FALSE)*VLOOKUP($D110,素材!$1:$1016,COLUMN($E$1),FALSE)/(LEN(VLOOKUP($D110,素材!$1:$1016,COLUMN($F$1),FALSE)) - LEN(SUBSTITUTE(VLOOKUP($D110,素材!$1:$1016,COLUMN($F$1),FALSE), "・", 0)) + 1), 0)</f>
        <v>0</v>
      </c>
      <c r="AU110">
        <f>IF(ISNUMBER(SEARCH(SUBSTITUTE(AU$1,RIGHT(AU$1,2),""),VLOOKUP($D110,素材!$1:$1016,COLUMN($F$1),FALSE))),VLOOKUP($C110,武器!$1:$998,COLUMN($O$1),FALSE)*VLOOKUP($D110,素材!$1:$1016,COLUMN($E$1),FALSE)/(LEN(VLOOKUP($D110,素材!$1:$1016,COLUMN($F$1),FALSE)) - LEN(SUBSTITUTE(VLOOKUP($D110,素材!$1:$1016,COLUMN($F$1),FALSE), "・", 0)) + 1), 0)</f>
        <v>0</v>
      </c>
      <c r="AV110">
        <f>IF(ISNUMBER(SEARCH(SUBSTITUTE(AV$1,RIGHT(AV$1,2),""),VLOOKUP($D110,素材!$1:$1016,COLUMN($F$1),FALSE))),VLOOKUP($C110,武器!$1:$998,COLUMN($O$1),FALSE)*VLOOKUP($D110,素材!$1:$1016,COLUMN($E$1),FALSE)/(LEN(VLOOKUP($D110,素材!$1:$1016,COLUMN($F$1),FALSE)) - LEN(SUBSTITUTE(VLOOKUP($D110,素材!$1:$1016,COLUMN($F$1),FALSE), "・", 0)) + 1), 0)</f>
        <v>0</v>
      </c>
      <c r="AW110">
        <f>IF(ISNUMBER(SEARCH(SUBSTITUTE(AW$1,RIGHT(AW$1,2),""),VLOOKUP($D110,素材!$1:$1016,COLUMN($F$1),FALSE))),VLOOKUP($C110,武器!$1:$998,COLUMN($O$1),FALSE)*VLOOKUP($D110,素材!$1:$1016,COLUMN($E$1),FALSE)/(LEN(VLOOKUP($D110,素材!$1:$1016,COLUMN($F$1),FALSE)) - LEN(SUBSTITUTE(VLOOKUP($D110,素材!$1:$1016,COLUMN($F$1),FALSE), "・", 0)) + 1), 0)</f>
        <v>0</v>
      </c>
      <c r="AX110">
        <f>IF(ISNUMBER(SEARCH(SUBSTITUTE(AX$1,RIGHT(AX$1,2),""),VLOOKUP($D110,素材!$1:$1016,COLUMN($F$1),FALSE))),VLOOKUP($C110,武器!$1:$998,COLUMN($O$1),FALSE)*VLOOKUP($D110,素材!$1:$1016,COLUMN($E$1),FALSE)/(LEN(VLOOKUP($D110,素材!$1:$1016,COLUMN($F$1),FALSE)) - LEN(SUBSTITUTE(VLOOKUP($D110,素材!$1:$1016,COLUMN($F$1),FALSE), "・", 0)) + 1), 0)</f>
        <v>0</v>
      </c>
      <c r="AY110">
        <f>IF(ISNUMBER(SEARCH(SUBSTITUTE(AY$1,RIGHT(AY$1,2),""),VLOOKUP($D110,素材!$1:$1016,COLUMN($F$1),FALSE))),VLOOKUP($C110,武器!$1:$998,COLUMN($O$1),FALSE)*VLOOKUP($D110,素材!$1:$1016,COLUMN($E$1),FALSE)/(LEN(VLOOKUP($D110,素材!$1:$1016,COLUMN($F$1),FALSE)) - LEN(SUBSTITUTE(VLOOKUP($D110,素材!$1:$1016,COLUMN($F$1),FALSE), "・", 0)) + 1), 0)</f>
        <v>0</v>
      </c>
      <c r="AZ110">
        <f>IF(ISNUMBER(SEARCH(SUBSTITUTE(AZ$1,RIGHT(AZ$1,2),""),VLOOKUP($D110,素材!$1:$1016,COLUMN($F$1),FALSE))),VLOOKUP($C110,武器!$1:$998,COLUMN($O$1),FALSE)*VLOOKUP($D110,素材!$1:$1016,COLUMN($E$1),FALSE)/(LEN(VLOOKUP($D110,素材!$1:$1016,COLUMN($F$1),FALSE)) - LEN(SUBSTITUTE(VLOOKUP($D110,素材!$1:$1016,COLUMN($F$1),FALSE), "・", 0)) + 1), 0)</f>
        <v>0</v>
      </c>
      <c r="BA110">
        <f>IF(ISNUMBER(SEARCH(SUBSTITUTE(BA$1,RIGHT(BA$1,2),""),VLOOKUP($D110,素材!$1:$1016,COLUMN($F$1),FALSE))),VLOOKUP($C110,武器!$1:$998,COLUMN($O$1),FALSE)*VLOOKUP($D110,素材!$1:$1016,COLUMN($E$1),FALSE)/(LEN(VLOOKUP($D110,素材!$1:$1016,COLUMN($F$1),FALSE)) - LEN(SUBSTITUTE(VLOOKUP($D110,素材!$1:$1016,COLUMN($F$1),FALSE), "・", 0)) + 1), 0)</f>
        <v>0</v>
      </c>
      <c r="BB110">
        <f>IF(ISNUMBER(SEARCH(SUBSTITUTE(BB$1,RIGHT(BB$1,2),""),VLOOKUP($D110,素材!$1:$1016,COLUMN($F$1),FALSE))),VLOOKUP($C110,武器!$1:$998,COLUMN($O$1),FALSE)*VLOOKUP($D110,素材!$1:$1016,COLUMN($E$1),FALSE)/(LEN(VLOOKUP($D110,素材!$1:$1016,COLUMN($F$1),FALSE)) - LEN(SUBSTITUTE(VLOOKUP($D110,素材!$1:$1016,COLUMN($F$1),FALSE), "・", 0)) + 1), 0)</f>
        <v>0</v>
      </c>
      <c r="BC110">
        <f>IF(ISNUMBER(SEARCH(SUBSTITUTE(BC$1,RIGHT(BC$1,2),""),VLOOKUP($D110,素材!$1:$1016,COLUMN($F$1),FALSE))),VLOOKUP($C110,武器!$1:$998,COLUMN($O$1),FALSE)*VLOOKUP($D110,素材!$1:$1016,COLUMN($E$1),FALSE)/(LEN(VLOOKUP($D110,素材!$1:$1016,COLUMN($F$1),FALSE)) - LEN(SUBSTITUTE(VLOOKUP($D110,素材!$1:$1016,COLUMN($F$1),FALSE), "・", 0)) + 1), 0)</f>
        <v>0</v>
      </c>
      <c r="BD110">
        <f>IF(ISNUMBER(SEARCH(SUBSTITUTE(BD$1,RIGHT(BD$1,2),""),VLOOKUP($D110,素材!$1:$1016,COLUMN($F$1),FALSE))),VLOOKUP($C110,武器!$1:$998,COLUMN($O$1),FALSE)*VLOOKUP($D110,素材!$1:$1016,COLUMN($E$1),FALSE)/(LEN(VLOOKUP($D110,素材!$1:$1016,COLUMN($F$1),FALSE)) - LEN(SUBSTITUTE(VLOOKUP($D110,素材!$1:$1016,COLUMN($F$1),FALSE), "・", 0)) + 1), 0)</f>
        <v>0</v>
      </c>
      <c r="BE110">
        <f>IF(ISNUMBER(SEARCH(SUBSTITUTE(BE$1,RIGHT(BE$1,2),""),VLOOKUP($D110,素材!$1:$1016,COLUMN($F$1),FALSE))),VLOOKUP($C110,武器!$1:$998,COLUMN($O$1),FALSE)*VLOOKUP($D110,素材!$1:$1016,COLUMN($E$1),FALSE)/(LEN(VLOOKUP($D110,素材!$1:$1016,COLUMN($F$1),FALSE)) - LEN(SUBSTITUTE(VLOOKUP($D110,素材!$1:$1016,COLUMN($F$1),FALSE), "・", 0)) + 1), 0)</f>
        <v>0</v>
      </c>
      <c r="CL110">
        <f>SUM(G110:I110)</f>
        <v>22</v>
      </c>
      <c r="CM110" s="22" t="str">
        <f>IF(E110="武器",IF(J110-1&gt;SUM(G110:I110),"盾",IF(MAX(G110:I110)=G110,"切断",IF(MAX(G110:I110)=H110,"貫通",IF(MAX(G110:I110)=I110,"打撃","射撃")))),E110)&amp;".webp"</f>
        <v>頭.webp</v>
      </c>
      <c r="CN110">
        <f>IFERROR(VLOOKUP($C110,武器!$1:$998,COLUMN(V$1),FALSE)*VLOOKUP($D110,素材!$1:$1016,COLUMN(N$1),FALSE)+IF(CI110="",0,VLOOKUP($CI110,装強!$1:$1008,COLUMN($CK$1),FALSE)),"")</f>
        <v>900</v>
      </c>
      <c r="CO110" t="str">
        <f>VLOOKUP(D110,素材!$A:$O,COLUMN(素材!O$1),FALSE)</f>
        <v>鍛えられた鉄。硬度が高く安価なためよく使用される。</v>
      </c>
      <c r="CP110" t="str">
        <f>VLOOKUP(C110,武器!$A:$W,COLUMN(武器!W$1),FALSE)</f>
        <v>命中 魔防 Cr</v>
      </c>
      <c r="CR110" t="str">
        <f t="shared" si="5"/>
        <v>e_110</v>
      </c>
      <c r="CS110">
        <f t="shared" si="6"/>
        <v>90000</v>
      </c>
    </row>
    <row r="111" spans="1:97" outlineLevel="1" x14ac:dyDescent="0.4">
      <c r="A111" t="str">
        <f t="shared" si="7"/>
        <v>鋼の兜</v>
      </c>
      <c r="B111" t="str">
        <f>IFERROR(VLOOKUP($D111,素材!$1:$1016,COLUMN($B$1),FALSE)&amp;"・"&amp;VLOOKUP($C111,武器!$1:$998,COLUMN(B$1),FALSE),"")</f>
        <v>スチール・ヘルム</v>
      </c>
      <c r="C111" t="s">
        <v>209</v>
      </c>
      <c r="D111" s="24" t="s">
        <v>253</v>
      </c>
      <c r="E111" t="str">
        <f>IFERROR(VLOOKUP(C111,武器!$1:$998,COLUMN(C$1),FALSE),"")</f>
        <v>頭</v>
      </c>
      <c r="F111">
        <f>IFERROR(ROUNDDOWN((VLOOKUP($C111,武器!$1:$998,COLUMN(D$1),FALSE)+IFERROR(VLOOKUP($CI111,装強!$1:$999,COLUMN(F$1),FALSE),0))*VLOOKUP($D111,素材!$1:$1016,COLUMN(D$1),FALSE),0),"")</f>
        <v>0</v>
      </c>
      <c r="G111">
        <f>IFERROR(ROUNDDOWN((VLOOKUP($C111,武器!$1:$998,COLUMN(E$1),FALSE)+IFERROR(VLOOKUP($CI111,装強!$1:$999,COLUMN(G$1),FALSE),0))*VLOOKUP($D111,素材!$1:$1016,COLUMN($E$1),FALSE),0),"")</f>
        <v>0</v>
      </c>
      <c r="H111">
        <f>IFERROR(ROUNDDOWN((VLOOKUP($C111,武器!$1:$998,COLUMN(F$1),FALSE)+IFERROR(VLOOKUP($CI111,装強!$1:$999,COLUMN(H$1),FALSE),0))*VLOOKUP($D111,素材!$1:$1016,COLUMN($E$1),FALSE),0),"")</f>
        <v>0</v>
      </c>
      <c r="I111">
        <f>IFERROR(ROUNDDOWN((VLOOKUP($C111,武器!$1:$998,COLUMN(G$1),FALSE)+IFERROR(VLOOKUP($CI111,装強!$1:$999,COLUMN(I$1),FALSE),0))*VLOOKUP($D111,素材!$1:$1016,COLUMN($E$1),FALSE),0),"")</f>
        <v>22</v>
      </c>
      <c r="J111">
        <f>IFERROR(ROUNDDOWN((VLOOKUP($C111,武器!$1:$998,COLUMN(H$1),FALSE)+IFERROR(VLOOKUP($CI111,装強!$1:$999,COLUMN(J$1),FALSE),0))*VLOOKUP($D111,素材!$1:$1016,COLUMN($E$1),FALSE),0),"")</f>
        <v>0</v>
      </c>
      <c r="K111">
        <f>IFERROR(ROUNDDOWN((VLOOKUP($C111,武器!$1:$998,COLUMN(I$1),FALSE)+IFERROR(VLOOKUP($CI111,装強!$1:$999,COLUMN(K$1),FALSE),0))*VLOOKUP($D111,素材!$1:$1016,COLUMN($E$1),FALSE),0),"")</f>
        <v>0</v>
      </c>
      <c r="L111">
        <f>IFERROR(VLOOKUP($D111,素材!$1:$1016,COLUMN($F$1),FALSE),"")</f>
        <v>0</v>
      </c>
      <c r="M111">
        <f>IFERROR(VLOOKUP($C111,武器!$1:$998,COLUMN(AA$1),FALSE)*VLOOKUP($D111,素材!$1:$1016,COLUMN($G$1),FALSE),"")</f>
        <v>0</v>
      </c>
      <c r="N111">
        <f>IFERROR(VLOOKUP($C111,武器!$1:$998,COLUMN(I$1),FALSE),"")</f>
        <v>0</v>
      </c>
      <c r="O111" s="23">
        <f>IFERROR((VLOOKUP($C111,武器!$1:$998,COLUMN(K$1),FALSE)+VLOOKUP($D111,素材!$1:$1016,COLUMN(H$1),FALSE))*100+IFERROR(VLOOKUP($CI111,装強!$1:$999,COLUMN(O$1),FALSE),0),"")</f>
        <v>5</v>
      </c>
      <c r="P111" s="23">
        <f>IFERROR((VLOOKUP($C111,武器!$1:$998,COLUMN(L$1),FALSE)+VLOOKUP($D111,素材!$1:$1016,COLUMN(I$1),FALSE))*100+IFERROR(VLOOKUP($CI111,装強!$1:$999,COLUMN(P$1),FALSE),0),"")</f>
        <v>125</v>
      </c>
      <c r="Q111">
        <f>IFERROR(ROUNDUP(VLOOKUP($C111,武器!$1:$998,COLUMN(M$1),FALSE)*(VLOOKUP($D111,素材!$1:$1002,COLUMN(D$1),FALSE)/100),1),"")</f>
        <v>-5.3</v>
      </c>
      <c r="R111">
        <f>IFERROR(ROUNDUP(VLOOKUP($C111,武器!$1:$998,COLUMN(N$1),FALSE)*(VLOOKUP($D111,素材!$1:$1002,COLUMN(D$1),FALSE)/100),1),"")</f>
        <v>0</v>
      </c>
      <c r="S111">
        <f>IFERROR(VLOOKUP($C111,武器!$1:$998,COLUMN(P$1),FALSE),"")</f>
        <v>0</v>
      </c>
      <c r="T111">
        <f>IFERROR(VLOOKUP($C111,武器!$1:$998,COLUMN(Q$1),FALSE),"")</f>
        <v>0</v>
      </c>
      <c r="U111">
        <f>IFERROR(VLOOKUP($C111,武器!$1:$998,COLUMN(R$1),FALSE),"")</f>
        <v>0</v>
      </c>
      <c r="V111">
        <f>IFERROR(VLOOKUP($C111,武器!$1:$998,COLUMN(Q$1),FALSE),"")</f>
        <v>0</v>
      </c>
      <c r="W111">
        <f>IFERROR(VLOOKUP($C111,武器!$1:$998,COLUMN(T$1),FALSE),"")</f>
        <v>0</v>
      </c>
      <c r="Y111">
        <f>IFERROR(VLOOKUP($C111,武器!$1:$998,COLUMN(U$1),FALSE),"")</f>
        <v>0</v>
      </c>
      <c r="Z111">
        <f>IFERROR(ROUNDUP(VLOOKUP($C111,武器!$1:$998,COLUMN(O$1),FALSE)*VLOOKUP($D111,素材!$1:$1016,COLUMN(E$1),FALSE),1),"")</f>
        <v>5.4</v>
      </c>
      <c r="AA111">
        <f>IF(ISNUMBER(SEARCH(SUBSTITUTE(AA$1,RIGHT(AA$1,2),""),VLOOKUP($D111,素材!$1:$1016,COLUMN($F$1),FALSE))),VLOOKUP($C111,武器!$1:$998,COLUMN($O$1),FALSE)*VLOOKUP($D111,素材!$1:$1016,COLUMN($E$1),FALSE)/(LEN(VLOOKUP($D111,素材!$1:$1016,COLUMN($F$1),FALSE)) - LEN(SUBSTITUTE(VLOOKUP($D111,素材!$1:$1016,COLUMN($F$1),FALSE), "・", 0)) + 1), 0)</f>
        <v>0</v>
      </c>
      <c r="AB111">
        <f>IF(ISNUMBER(SEARCH(SUBSTITUTE(AB$1,RIGHT(AB$1,2),""),VLOOKUP($D111,素材!$1:$1016,COLUMN($F$1),FALSE))),VLOOKUP($C111,武器!$1:$998,COLUMN($O$1),FALSE)*VLOOKUP($D111,素材!$1:$1016,COLUMN($E$1),FALSE)/(LEN(VLOOKUP($D111,素材!$1:$1016,COLUMN($F$1),FALSE)) - LEN(SUBSTITUTE(VLOOKUP($D111,素材!$1:$1016,COLUMN($F$1),FALSE), "・", 0)) + 1), 0)</f>
        <v>0</v>
      </c>
      <c r="AC111">
        <f>IF(ISNUMBER(SEARCH(SUBSTITUTE(AC$1,RIGHT(AC$1,2),""),VLOOKUP($D111,素材!$1:$1016,COLUMN($F$1),FALSE))),VLOOKUP($C111,武器!$1:$998,COLUMN($O$1),FALSE)*VLOOKUP($D111,素材!$1:$1016,COLUMN($E$1),FALSE)/(LEN(VLOOKUP($D111,素材!$1:$1016,COLUMN($F$1),FALSE)) - LEN(SUBSTITUTE(VLOOKUP($D111,素材!$1:$1016,COLUMN($F$1),FALSE), "・", 0)) + 1), 0)</f>
        <v>0</v>
      </c>
      <c r="AD111">
        <f>IF(ISNUMBER(SEARCH(SUBSTITUTE(AD$1,RIGHT(AD$1,2),""),VLOOKUP($D111,素材!$1:$1016,COLUMN($F$1),FALSE))),VLOOKUP($C111,武器!$1:$998,COLUMN($O$1),FALSE)*VLOOKUP($D111,素材!$1:$1016,COLUMN($E$1),FALSE)/(LEN(VLOOKUP($D111,素材!$1:$1016,COLUMN($F$1),FALSE)) - LEN(SUBSTITUTE(VLOOKUP($D111,素材!$1:$1016,COLUMN($F$1),FALSE), "・", 0)) + 1), 0)</f>
        <v>0</v>
      </c>
      <c r="AE111">
        <f>IF(ISNUMBER(SEARCH(SUBSTITUTE(AE$1,RIGHT(AE$1,2),""),VLOOKUP($D111,素材!$1:$1016,COLUMN($F$1),FALSE))),VLOOKUP($C111,武器!$1:$998,COLUMN($O$1),FALSE)*VLOOKUP($D111,素材!$1:$1016,COLUMN($E$1),FALSE)/(LEN(VLOOKUP($D111,素材!$1:$1016,COLUMN($F$1),FALSE)) - LEN(SUBSTITUTE(VLOOKUP($D111,素材!$1:$1016,COLUMN($F$1),FALSE), "・", 0)) + 1), 0)</f>
        <v>0</v>
      </c>
      <c r="AF111">
        <f>IF(ISNUMBER(SEARCH(SUBSTITUTE(AF$1,RIGHT(AF$1,2),""),VLOOKUP($D111,素材!$1:$1016,COLUMN($F$1),FALSE))),VLOOKUP($C111,武器!$1:$998,COLUMN($O$1),FALSE)*VLOOKUP($D111,素材!$1:$1016,COLUMN($E$1),FALSE)/(LEN(VLOOKUP($D111,素材!$1:$1016,COLUMN($F$1),FALSE)) - LEN(SUBSTITUTE(VLOOKUP($D111,素材!$1:$1016,COLUMN($F$1),FALSE), "・", 0)) + 1), 0)</f>
        <v>0</v>
      </c>
      <c r="AG111">
        <f>IF(ISNUMBER(SEARCH(SUBSTITUTE(AG$1,RIGHT(AG$1,2),""),VLOOKUP($D111,素材!$1:$1016,COLUMN($F$1),FALSE))),VLOOKUP($C111,武器!$1:$998,COLUMN($O$1),FALSE)*VLOOKUP($D111,素材!$1:$1016,COLUMN($E$1),FALSE)/(LEN(VLOOKUP($D111,素材!$1:$1016,COLUMN($F$1),FALSE)) - LEN(SUBSTITUTE(VLOOKUP($D111,素材!$1:$1016,COLUMN($F$1),FALSE), "・", 0)) + 1), 0)</f>
        <v>0</v>
      </c>
      <c r="AH111">
        <f>IF(ISNUMBER(SEARCH(SUBSTITUTE(AH$1,RIGHT(AH$1,2),""),VLOOKUP($D111,素材!$1:$1016,COLUMN($F$1),FALSE))),VLOOKUP($C111,武器!$1:$998,COLUMN($O$1),FALSE)*VLOOKUP($D111,素材!$1:$1016,COLUMN($E$1),FALSE)/(LEN(VLOOKUP($D111,素材!$1:$1016,COLUMN($F$1),FALSE)) - LEN(SUBSTITUTE(VLOOKUP($D111,素材!$1:$1016,COLUMN($F$1),FALSE), "・", 0)) + 1), 0)</f>
        <v>0</v>
      </c>
      <c r="AI111">
        <f>IF(ISNUMBER(SEARCH(SUBSTITUTE(AI$1,RIGHT(AI$1,2),""),VLOOKUP($D111,素材!$1:$1016,COLUMN($F$1),FALSE))),VLOOKUP($C111,武器!$1:$998,COLUMN($O$1),FALSE)*VLOOKUP($D111,素材!$1:$1016,COLUMN($E$1),FALSE)/(LEN(VLOOKUP($D111,素材!$1:$1016,COLUMN($F$1),FALSE)) - LEN(SUBSTITUTE(VLOOKUP($D111,素材!$1:$1016,COLUMN($F$1),FALSE), "・", 0)) + 1), 0)</f>
        <v>0</v>
      </c>
      <c r="AJ111">
        <f>IF(ISNUMBER(SEARCH(SUBSTITUTE(AJ$1,RIGHT(AJ$1,2),""),VLOOKUP($D111,素材!$1:$1016,COLUMN($F$1),FALSE))),VLOOKUP($C111,武器!$1:$998,COLUMN($O$1),FALSE)*VLOOKUP($D111,素材!$1:$1016,COLUMN($E$1),FALSE)/(LEN(VLOOKUP($D111,素材!$1:$1016,COLUMN($F$1),FALSE)) - LEN(SUBSTITUTE(VLOOKUP($D111,素材!$1:$1016,COLUMN($F$1),FALSE), "・", 0)) + 1), 0)</f>
        <v>0</v>
      </c>
      <c r="AK111">
        <f>IF(ISNUMBER(SEARCH(SUBSTITUTE(AK$1,RIGHT(AK$1,2),""),VLOOKUP($D111,素材!$1:$1016,COLUMN($F$1),FALSE))),VLOOKUP($C111,武器!$1:$998,COLUMN($O$1),FALSE)*VLOOKUP($D111,素材!$1:$1016,COLUMN($E$1),FALSE)/(LEN(VLOOKUP($D111,素材!$1:$1016,COLUMN($F$1),FALSE)) - LEN(SUBSTITUTE(VLOOKUP($D111,素材!$1:$1016,COLUMN($F$1),FALSE), "・", 0)) + 1), 0)</f>
        <v>0</v>
      </c>
      <c r="AL111">
        <f>IF(ISNUMBER(SEARCH(SUBSTITUTE(AL$1,RIGHT(AL$1,2),""),VLOOKUP($D111,素材!$1:$1016,COLUMN($F$1),FALSE))),VLOOKUP($C111,武器!$1:$998,COLUMN($O$1),FALSE)*VLOOKUP($D111,素材!$1:$1016,COLUMN($E$1),FALSE)/(LEN(VLOOKUP($D111,素材!$1:$1016,COLUMN($F$1),FALSE)) - LEN(SUBSTITUTE(VLOOKUP($D111,素材!$1:$1016,COLUMN($F$1),FALSE), "・", 0)) + 1), 0)</f>
        <v>0</v>
      </c>
      <c r="AM111">
        <f>IF(ISNUMBER(SEARCH(SUBSTITUTE(AM$1,RIGHT(AM$1,2),""),VLOOKUP($D111,素材!$1:$1016,COLUMN($F$1),FALSE))),VLOOKUP($C111,武器!$1:$998,COLUMN($O$1),FALSE)*VLOOKUP($D111,素材!$1:$1016,COLUMN($E$1),FALSE)/(LEN(VLOOKUP($D111,素材!$1:$1016,COLUMN($F$1),FALSE)) - LEN(SUBSTITUTE(VLOOKUP($D111,素材!$1:$1016,COLUMN($F$1),FALSE), "・", 0)) + 1), 0)</f>
        <v>0</v>
      </c>
      <c r="AN111">
        <f>IF(ISNUMBER(SEARCH(SUBSTITUTE(AN$1,RIGHT(AN$1,2),""),VLOOKUP($D111,素材!$1:$1016,COLUMN($F$1),FALSE))),VLOOKUP($C111,武器!$1:$998,COLUMN($O$1),FALSE)*VLOOKUP($D111,素材!$1:$1016,COLUMN($E$1),FALSE)/(LEN(VLOOKUP($D111,素材!$1:$1016,COLUMN($F$1),FALSE)) - LEN(SUBSTITUTE(VLOOKUP($D111,素材!$1:$1016,COLUMN($F$1),FALSE), "・", 0)) + 1), 0)</f>
        <v>0</v>
      </c>
      <c r="AO111">
        <f>IF(ISNUMBER(SEARCH(SUBSTITUTE(AO$1,RIGHT(AO$1,2),""),VLOOKUP($D111,素材!$1:$1016,COLUMN($F$1),FALSE))),VLOOKUP($C111,武器!$1:$998,COLUMN($O$1),FALSE)*VLOOKUP($D111,素材!$1:$1016,COLUMN($E$1),FALSE)/(LEN(VLOOKUP($D111,素材!$1:$1016,COLUMN($F$1),FALSE)) - LEN(SUBSTITUTE(VLOOKUP($D111,素材!$1:$1016,COLUMN($F$1),FALSE), "・", 0)) + 1), 0)</f>
        <v>0</v>
      </c>
      <c r="AP111">
        <f>IF(ISNUMBER(SEARCH(SUBSTITUTE(AP$1,RIGHT(AP$1,2),""),VLOOKUP($D111,素材!$1:$1016,COLUMN($F$1),FALSE))),VLOOKUP($C111,武器!$1:$998,COLUMN($O$1),FALSE)*VLOOKUP($D111,素材!$1:$1016,COLUMN($E$1),FALSE)/(LEN(VLOOKUP($D111,素材!$1:$1016,COLUMN($F$1),FALSE)) - LEN(SUBSTITUTE(VLOOKUP($D111,素材!$1:$1016,COLUMN($F$1),FALSE), "・", 0)) + 1), 0)</f>
        <v>0</v>
      </c>
      <c r="AQ111">
        <f>IF(ISNUMBER(SEARCH(SUBSTITUTE(AQ$1,RIGHT(AQ$1,2),""),VLOOKUP($D111,素材!$1:$1016,COLUMN($F$1),FALSE))),VLOOKUP($C111,武器!$1:$998,COLUMN($O$1),FALSE)*VLOOKUP($D111,素材!$1:$1016,COLUMN($E$1),FALSE)/(LEN(VLOOKUP($D111,素材!$1:$1016,COLUMN($F$1),FALSE)) - LEN(SUBSTITUTE(VLOOKUP($D111,素材!$1:$1016,COLUMN($F$1),FALSE), "・", 0)) + 1), 0)</f>
        <v>0</v>
      </c>
      <c r="AR111">
        <f>IF(ISNUMBER(SEARCH(SUBSTITUTE(AR$1,RIGHT(AR$1,2),""),VLOOKUP($D111,素材!$1:$1016,COLUMN($F$1),FALSE))),VLOOKUP($C111,武器!$1:$998,COLUMN($O$1),FALSE)*VLOOKUP($D111,素材!$1:$1016,COLUMN($E$1),FALSE)/(LEN(VLOOKUP($D111,素材!$1:$1016,COLUMN($F$1),FALSE)) - LEN(SUBSTITUTE(VLOOKUP($D111,素材!$1:$1016,COLUMN($F$1),FALSE), "・", 0)) + 1), 0)</f>
        <v>0</v>
      </c>
      <c r="AS111">
        <f>IF(ISNUMBER(SEARCH(SUBSTITUTE(AS$1,RIGHT(AS$1,2),""),VLOOKUP($D111,素材!$1:$1016,COLUMN($F$1),FALSE))),VLOOKUP($C111,武器!$1:$998,COLUMN($O$1),FALSE)*VLOOKUP($D111,素材!$1:$1016,COLUMN($E$1),FALSE)/(LEN(VLOOKUP($D111,素材!$1:$1016,COLUMN($F$1),FALSE)) - LEN(SUBSTITUTE(VLOOKUP($D111,素材!$1:$1016,COLUMN($F$1),FALSE), "・", 0)) + 1), 0)</f>
        <v>0</v>
      </c>
      <c r="AT111">
        <f>IF(ISNUMBER(SEARCH(SUBSTITUTE(AT$1,RIGHT(AT$1,2),""),VLOOKUP($D111,素材!$1:$1016,COLUMN($F$1),FALSE))),VLOOKUP($C111,武器!$1:$998,COLUMN($O$1),FALSE)*VLOOKUP($D111,素材!$1:$1016,COLUMN($E$1),FALSE)/(LEN(VLOOKUP($D111,素材!$1:$1016,COLUMN($F$1),FALSE)) - LEN(SUBSTITUTE(VLOOKUP($D111,素材!$1:$1016,COLUMN($F$1),FALSE), "・", 0)) + 1), 0)</f>
        <v>0</v>
      </c>
      <c r="AU111">
        <f>IF(ISNUMBER(SEARCH(SUBSTITUTE(AU$1,RIGHT(AU$1,2),""),VLOOKUP($D111,素材!$1:$1016,COLUMN($F$1),FALSE))),VLOOKUP($C111,武器!$1:$998,COLUMN($O$1),FALSE)*VLOOKUP($D111,素材!$1:$1016,COLUMN($E$1),FALSE)/(LEN(VLOOKUP($D111,素材!$1:$1016,COLUMN($F$1),FALSE)) - LEN(SUBSTITUTE(VLOOKUP($D111,素材!$1:$1016,COLUMN($F$1),FALSE), "・", 0)) + 1), 0)</f>
        <v>0</v>
      </c>
      <c r="AV111">
        <f>IF(ISNUMBER(SEARCH(SUBSTITUTE(AV$1,RIGHT(AV$1,2),""),VLOOKUP($D111,素材!$1:$1016,COLUMN($F$1),FALSE))),VLOOKUP($C111,武器!$1:$998,COLUMN($O$1),FALSE)*VLOOKUP($D111,素材!$1:$1016,COLUMN($E$1),FALSE)/(LEN(VLOOKUP($D111,素材!$1:$1016,COLUMN($F$1),FALSE)) - LEN(SUBSTITUTE(VLOOKUP($D111,素材!$1:$1016,COLUMN($F$1),FALSE), "・", 0)) + 1), 0)</f>
        <v>0</v>
      </c>
      <c r="AW111">
        <f>IF(ISNUMBER(SEARCH(SUBSTITUTE(AW$1,RIGHT(AW$1,2),""),VLOOKUP($D111,素材!$1:$1016,COLUMN($F$1),FALSE))),VLOOKUP($C111,武器!$1:$998,COLUMN($O$1),FALSE)*VLOOKUP($D111,素材!$1:$1016,COLUMN($E$1),FALSE)/(LEN(VLOOKUP($D111,素材!$1:$1016,COLUMN($F$1),FALSE)) - LEN(SUBSTITUTE(VLOOKUP($D111,素材!$1:$1016,COLUMN($F$1),FALSE), "・", 0)) + 1), 0)</f>
        <v>0</v>
      </c>
      <c r="AX111">
        <f>IF(ISNUMBER(SEARCH(SUBSTITUTE(AX$1,RIGHT(AX$1,2),""),VLOOKUP($D111,素材!$1:$1016,COLUMN($F$1),FALSE))),VLOOKUP($C111,武器!$1:$998,COLUMN($O$1),FALSE)*VLOOKUP($D111,素材!$1:$1016,COLUMN($E$1),FALSE)/(LEN(VLOOKUP($D111,素材!$1:$1016,COLUMN($F$1),FALSE)) - LEN(SUBSTITUTE(VLOOKUP($D111,素材!$1:$1016,COLUMN($F$1),FALSE), "・", 0)) + 1), 0)</f>
        <v>0</v>
      </c>
      <c r="AY111">
        <f>IF(ISNUMBER(SEARCH(SUBSTITUTE(AY$1,RIGHT(AY$1,2),""),VLOOKUP($D111,素材!$1:$1016,COLUMN($F$1),FALSE))),VLOOKUP($C111,武器!$1:$998,COLUMN($O$1),FALSE)*VLOOKUP($D111,素材!$1:$1016,COLUMN($E$1),FALSE)/(LEN(VLOOKUP($D111,素材!$1:$1016,COLUMN($F$1),FALSE)) - LEN(SUBSTITUTE(VLOOKUP($D111,素材!$1:$1016,COLUMN($F$1),FALSE), "・", 0)) + 1), 0)</f>
        <v>0</v>
      </c>
      <c r="AZ111">
        <f>IF(ISNUMBER(SEARCH(SUBSTITUTE(AZ$1,RIGHT(AZ$1,2),""),VLOOKUP($D111,素材!$1:$1016,COLUMN($F$1),FALSE))),VLOOKUP($C111,武器!$1:$998,COLUMN($O$1),FALSE)*VLOOKUP($D111,素材!$1:$1016,COLUMN($E$1),FALSE)/(LEN(VLOOKUP($D111,素材!$1:$1016,COLUMN($F$1),FALSE)) - LEN(SUBSTITUTE(VLOOKUP($D111,素材!$1:$1016,COLUMN($F$1),FALSE), "・", 0)) + 1), 0)</f>
        <v>0</v>
      </c>
      <c r="BA111">
        <f>IF(ISNUMBER(SEARCH(SUBSTITUTE(BA$1,RIGHT(BA$1,2),""),VLOOKUP($D111,素材!$1:$1016,COLUMN($F$1),FALSE))),VLOOKUP($C111,武器!$1:$998,COLUMN($O$1),FALSE)*VLOOKUP($D111,素材!$1:$1016,COLUMN($E$1),FALSE)/(LEN(VLOOKUP($D111,素材!$1:$1016,COLUMN($F$1),FALSE)) - LEN(SUBSTITUTE(VLOOKUP($D111,素材!$1:$1016,COLUMN($F$1),FALSE), "・", 0)) + 1), 0)</f>
        <v>0</v>
      </c>
      <c r="BB111">
        <f>IF(ISNUMBER(SEARCH(SUBSTITUTE(BB$1,RIGHT(BB$1,2),""),VLOOKUP($D111,素材!$1:$1016,COLUMN($F$1),FALSE))),VLOOKUP($C111,武器!$1:$998,COLUMN($O$1),FALSE)*VLOOKUP($D111,素材!$1:$1016,COLUMN($E$1),FALSE)/(LEN(VLOOKUP($D111,素材!$1:$1016,COLUMN($F$1),FALSE)) - LEN(SUBSTITUTE(VLOOKUP($D111,素材!$1:$1016,COLUMN($F$1),FALSE), "・", 0)) + 1), 0)</f>
        <v>0</v>
      </c>
      <c r="BC111">
        <f>IF(ISNUMBER(SEARCH(SUBSTITUTE(BC$1,RIGHT(BC$1,2),""),VLOOKUP($D111,素材!$1:$1016,COLUMN($F$1),FALSE))),VLOOKUP($C111,武器!$1:$998,COLUMN($O$1),FALSE)*VLOOKUP($D111,素材!$1:$1016,COLUMN($E$1),FALSE)/(LEN(VLOOKUP($D111,素材!$1:$1016,COLUMN($F$1),FALSE)) - LEN(SUBSTITUTE(VLOOKUP($D111,素材!$1:$1016,COLUMN($F$1),FALSE), "・", 0)) + 1), 0)</f>
        <v>0</v>
      </c>
      <c r="BD111">
        <f>IF(ISNUMBER(SEARCH(SUBSTITUTE(BD$1,RIGHT(BD$1,2),""),VLOOKUP($D111,素材!$1:$1016,COLUMN($F$1),FALSE))),VLOOKUP($C111,武器!$1:$998,COLUMN($O$1),FALSE)*VLOOKUP($D111,素材!$1:$1016,COLUMN($E$1),FALSE)/(LEN(VLOOKUP($D111,素材!$1:$1016,COLUMN($F$1),FALSE)) - LEN(SUBSTITUTE(VLOOKUP($D111,素材!$1:$1016,COLUMN($F$1),FALSE), "・", 0)) + 1), 0)</f>
        <v>0</v>
      </c>
      <c r="BE111">
        <f>IF(ISNUMBER(SEARCH(SUBSTITUTE(BE$1,RIGHT(BE$1,2),""),VLOOKUP($D111,素材!$1:$1016,COLUMN($F$1),FALSE))),VLOOKUP($C111,武器!$1:$998,COLUMN($O$1),FALSE)*VLOOKUP($D111,素材!$1:$1016,COLUMN($E$1),FALSE)/(LEN(VLOOKUP($D111,素材!$1:$1016,COLUMN($F$1),FALSE)) - LEN(SUBSTITUTE(VLOOKUP($D111,素材!$1:$1016,COLUMN($F$1),FALSE), "・", 0)) + 1), 0)</f>
        <v>0</v>
      </c>
      <c r="CL111">
        <f>SUM(G111:I111)</f>
        <v>22</v>
      </c>
      <c r="CM111" s="22" t="str">
        <f>IF(E111="武器",IF(J111-1&gt;SUM(G111:I111),"盾",IF(MAX(G111:I111)=G111,"切断",IF(MAX(G111:I111)=H111,"貫通",IF(MAX(G111:I111)=I111,"打撃","射撃")))),E111)&amp;".webp"</f>
        <v>頭.webp</v>
      </c>
      <c r="CN111">
        <f>IFERROR(VLOOKUP($C111,武器!$1:$998,COLUMN(V$1),FALSE)*VLOOKUP($D111,素材!$1:$1016,COLUMN(N$1),FALSE)+IF(CI111="",0,VLOOKUP($CI111,装強!$1:$1008,COLUMN($CK$1),FALSE)),"")</f>
        <v>675</v>
      </c>
      <c r="CO111" t="str">
        <f>VLOOKUP(D111,素材!$A:$O,COLUMN(素材!O$1),FALSE)</f>
        <v>鍛えられた鉄。硬度が高く安価なためよく使用される。</v>
      </c>
      <c r="CP111" t="str">
        <f>VLOOKUP(C111,武器!$A:$W,COLUMN(武器!W$1),FALSE)</f>
        <v>命中 魔防 Cr</v>
      </c>
      <c r="CR111" t="str">
        <f t="shared" si="5"/>
        <v>e_111</v>
      </c>
      <c r="CS111">
        <f t="shared" si="6"/>
        <v>67500</v>
      </c>
    </row>
    <row r="112" spans="1:97" outlineLevel="1" x14ac:dyDescent="0.4">
      <c r="A112" t="str">
        <f t="shared" si="7"/>
        <v>鋼の鎧</v>
      </c>
      <c r="B112" t="str">
        <f>IFERROR(VLOOKUP($D112,素材!$1:$1016,COLUMN($B$1),FALSE)&amp;"・"&amp;VLOOKUP($C112,武器!$1:$998,COLUMN(B$1),FALSE),"")</f>
        <v>スチール・アーマー</v>
      </c>
      <c r="C112" t="s">
        <v>208</v>
      </c>
      <c r="D112" s="24" t="s">
        <v>253</v>
      </c>
      <c r="E112" t="str">
        <f>IFERROR(VLOOKUP(C112,武器!$1:$998,COLUMN(C$1),FALSE),"")</f>
        <v>体</v>
      </c>
      <c r="F112">
        <f>IFERROR(ROUNDDOWN((VLOOKUP($C112,武器!$1:$998,COLUMN(D$1),FALSE)+IFERROR(VLOOKUP($CI112,装強!$1:$999,COLUMN(F$1),FALSE),0))*VLOOKUP($D112,素材!$1:$1016,COLUMN(D$1),FALSE),0),"")</f>
        <v>0</v>
      </c>
      <c r="G112">
        <f>IFERROR(ROUNDDOWN((VLOOKUP($C112,武器!$1:$998,COLUMN(E$1),FALSE)+IFERROR(VLOOKUP($CI112,装強!$1:$999,COLUMN(G$1),FALSE),0))*VLOOKUP($D112,素材!$1:$1016,COLUMN($E$1),FALSE),0),"")</f>
        <v>0</v>
      </c>
      <c r="H112">
        <f>IFERROR(ROUNDDOWN((VLOOKUP($C112,武器!$1:$998,COLUMN(F$1),FALSE)+IFERROR(VLOOKUP($CI112,装強!$1:$999,COLUMN(H$1),FALSE),0))*VLOOKUP($D112,素材!$1:$1016,COLUMN($E$1),FALSE),0),"")</f>
        <v>0</v>
      </c>
      <c r="I112">
        <f>IFERROR(ROUNDDOWN((VLOOKUP($C112,武器!$1:$998,COLUMN(G$1),FALSE)+IFERROR(VLOOKUP($CI112,装強!$1:$999,COLUMN(I$1),FALSE),0))*VLOOKUP($D112,素材!$1:$1016,COLUMN($E$1),FALSE),0),"")</f>
        <v>0</v>
      </c>
      <c r="J112">
        <f>IFERROR(ROUNDDOWN((VLOOKUP($C112,武器!$1:$998,COLUMN(H$1),FALSE)+IFERROR(VLOOKUP($CI112,装強!$1:$999,COLUMN(J$1),FALSE),0))*VLOOKUP($D112,素材!$1:$1016,COLUMN($E$1),FALSE),0),"")</f>
        <v>0</v>
      </c>
      <c r="K112">
        <f>IFERROR(ROUNDDOWN((VLOOKUP($C112,武器!$1:$998,COLUMN(I$1),FALSE)+IFERROR(VLOOKUP($CI112,装強!$1:$999,COLUMN(K$1),FALSE),0))*VLOOKUP($D112,素材!$1:$1016,COLUMN($E$1),FALSE),0),"")</f>
        <v>0</v>
      </c>
      <c r="L112">
        <f>IFERROR(VLOOKUP($D112,素材!$1:$1016,COLUMN($F$1),FALSE),"")</f>
        <v>0</v>
      </c>
      <c r="M112">
        <f>IFERROR(VLOOKUP($C112,武器!$1:$998,COLUMN(AA$1),FALSE)*VLOOKUP($D112,素材!$1:$1016,COLUMN($G$1),FALSE),"")</f>
        <v>0</v>
      </c>
      <c r="N112">
        <f>IFERROR(VLOOKUP($C112,武器!$1:$998,COLUMN(I$1),FALSE),"")</f>
        <v>0</v>
      </c>
      <c r="O112" s="23">
        <f>IFERROR((VLOOKUP($C112,武器!$1:$998,COLUMN(K$1),FALSE)+VLOOKUP($D112,素材!$1:$1016,COLUMN(H$1),FALSE))*100+IFERROR(VLOOKUP($CI112,装強!$1:$999,COLUMN(O$1),FALSE),0),"")</f>
        <v>0</v>
      </c>
      <c r="P112" s="23">
        <f>IFERROR((VLOOKUP($C112,武器!$1:$998,COLUMN(L$1),FALSE)+VLOOKUP($D112,素材!$1:$1016,COLUMN(I$1),FALSE))*100+IFERROR(VLOOKUP($CI112,装強!$1:$999,COLUMN(P$1),FALSE),0),"")</f>
        <v>0</v>
      </c>
      <c r="Q112">
        <f>IFERROR(ROUNDUP(VLOOKUP($C112,武器!$1:$998,COLUMN(M$1),FALSE)*(VLOOKUP($D112,素材!$1:$1002,COLUMN(D$1),FALSE)/100),1),"")</f>
        <v>-15.799999999999999</v>
      </c>
      <c r="R112">
        <f>IFERROR(ROUNDUP(VLOOKUP($C112,武器!$1:$998,COLUMN(N$1),FALSE)*(VLOOKUP($D112,素材!$1:$1002,COLUMN(D$1),FALSE)/100),1),"")</f>
        <v>0</v>
      </c>
      <c r="S112">
        <f>IFERROR(VLOOKUP($C112,武器!$1:$998,COLUMN(P$1),FALSE),"")</f>
        <v>0</v>
      </c>
      <c r="T112">
        <f>IFERROR(VLOOKUP($C112,武器!$1:$998,COLUMN(Q$1),FALSE),"")</f>
        <v>0</v>
      </c>
      <c r="U112">
        <f>IFERROR(VLOOKUP($C112,武器!$1:$998,COLUMN(R$1),FALSE),"")</f>
        <v>0</v>
      </c>
      <c r="V112">
        <f>IFERROR(VLOOKUP($C112,武器!$1:$998,COLUMN(Q$1),FALSE),"")</f>
        <v>0</v>
      </c>
      <c r="W112">
        <f>IFERROR(VLOOKUP($C112,武器!$1:$998,COLUMN(T$1),FALSE),"")</f>
        <v>0</v>
      </c>
      <c r="Y112">
        <f>IFERROR(VLOOKUP($C112,武器!$1:$998,COLUMN(U$1),FALSE),"")</f>
        <v>0</v>
      </c>
      <c r="Z112">
        <f>IFERROR(ROUNDUP(VLOOKUP($C112,武器!$1:$998,COLUMN(O$1),FALSE)*VLOOKUP($D112,素材!$1:$1016,COLUMN(E$1),FALSE),1),"")</f>
        <v>18.899999999999999</v>
      </c>
      <c r="AA112">
        <f>IF(ISNUMBER(SEARCH(SUBSTITUTE(AA$1,RIGHT(AA$1,2),""),VLOOKUP($D112,素材!$1:$1016,COLUMN($F$1),FALSE))),VLOOKUP($C112,武器!$1:$998,COLUMN($O$1),FALSE)*VLOOKUP($D112,素材!$1:$1016,COLUMN($E$1),FALSE)/(LEN(VLOOKUP($D112,素材!$1:$1016,COLUMN($F$1),FALSE)) - LEN(SUBSTITUTE(VLOOKUP($D112,素材!$1:$1016,COLUMN($F$1),FALSE), "・", 0)) + 1), 0)</f>
        <v>0</v>
      </c>
      <c r="AB112">
        <f>IF(ISNUMBER(SEARCH(SUBSTITUTE(AB$1,RIGHT(AB$1,2),""),VLOOKUP($D112,素材!$1:$1016,COLUMN($F$1),FALSE))),VLOOKUP($C112,武器!$1:$998,COLUMN($O$1),FALSE)*VLOOKUP($D112,素材!$1:$1016,COLUMN($E$1),FALSE)/(LEN(VLOOKUP($D112,素材!$1:$1016,COLUMN($F$1),FALSE)) - LEN(SUBSTITUTE(VLOOKUP($D112,素材!$1:$1016,COLUMN($F$1),FALSE), "・", 0)) + 1), 0)</f>
        <v>0</v>
      </c>
      <c r="AC112">
        <f>IF(ISNUMBER(SEARCH(SUBSTITUTE(AC$1,RIGHT(AC$1,2),""),VLOOKUP($D112,素材!$1:$1016,COLUMN($F$1),FALSE))),VLOOKUP($C112,武器!$1:$998,COLUMN($O$1),FALSE)*VLOOKUP($D112,素材!$1:$1016,COLUMN($E$1),FALSE)/(LEN(VLOOKUP($D112,素材!$1:$1016,COLUMN($F$1),FALSE)) - LEN(SUBSTITUTE(VLOOKUP($D112,素材!$1:$1016,COLUMN($F$1),FALSE), "・", 0)) + 1), 0)</f>
        <v>0</v>
      </c>
      <c r="AD112">
        <f>IF(ISNUMBER(SEARCH(SUBSTITUTE(AD$1,RIGHT(AD$1,2),""),VLOOKUP($D112,素材!$1:$1016,COLUMN($F$1),FALSE))),VLOOKUP($C112,武器!$1:$998,COLUMN($O$1),FALSE)*VLOOKUP($D112,素材!$1:$1016,COLUMN($E$1),FALSE)/(LEN(VLOOKUP($D112,素材!$1:$1016,COLUMN($F$1),FALSE)) - LEN(SUBSTITUTE(VLOOKUP($D112,素材!$1:$1016,COLUMN($F$1),FALSE), "・", 0)) + 1), 0)</f>
        <v>0</v>
      </c>
      <c r="AE112">
        <f>IF(ISNUMBER(SEARCH(SUBSTITUTE(AE$1,RIGHT(AE$1,2),""),VLOOKUP($D112,素材!$1:$1016,COLUMN($F$1),FALSE))),VLOOKUP($C112,武器!$1:$998,COLUMN($O$1),FALSE)*VLOOKUP($D112,素材!$1:$1016,COLUMN($E$1),FALSE)/(LEN(VLOOKUP($D112,素材!$1:$1016,COLUMN($F$1),FALSE)) - LEN(SUBSTITUTE(VLOOKUP($D112,素材!$1:$1016,COLUMN($F$1),FALSE), "・", 0)) + 1), 0)</f>
        <v>0</v>
      </c>
      <c r="AF112">
        <f>IF(ISNUMBER(SEARCH(SUBSTITUTE(AF$1,RIGHT(AF$1,2),""),VLOOKUP($D112,素材!$1:$1016,COLUMN($F$1),FALSE))),VLOOKUP($C112,武器!$1:$998,COLUMN($O$1),FALSE)*VLOOKUP($D112,素材!$1:$1016,COLUMN($E$1),FALSE)/(LEN(VLOOKUP($D112,素材!$1:$1016,COLUMN($F$1),FALSE)) - LEN(SUBSTITUTE(VLOOKUP($D112,素材!$1:$1016,COLUMN($F$1),FALSE), "・", 0)) + 1), 0)</f>
        <v>0</v>
      </c>
      <c r="AG112">
        <f>IF(ISNUMBER(SEARCH(SUBSTITUTE(AG$1,RIGHT(AG$1,2),""),VLOOKUP($D112,素材!$1:$1016,COLUMN($F$1),FALSE))),VLOOKUP($C112,武器!$1:$998,COLUMN($O$1),FALSE)*VLOOKUP($D112,素材!$1:$1016,COLUMN($E$1),FALSE)/(LEN(VLOOKUP($D112,素材!$1:$1016,COLUMN($F$1),FALSE)) - LEN(SUBSTITUTE(VLOOKUP($D112,素材!$1:$1016,COLUMN($F$1),FALSE), "・", 0)) + 1), 0)</f>
        <v>0</v>
      </c>
      <c r="AH112">
        <f>IF(ISNUMBER(SEARCH(SUBSTITUTE(AH$1,RIGHT(AH$1,2),""),VLOOKUP($D112,素材!$1:$1016,COLUMN($F$1),FALSE))),VLOOKUP($C112,武器!$1:$998,COLUMN($O$1),FALSE)*VLOOKUP($D112,素材!$1:$1016,COLUMN($E$1),FALSE)/(LEN(VLOOKUP($D112,素材!$1:$1016,COLUMN($F$1),FALSE)) - LEN(SUBSTITUTE(VLOOKUP($D112,素材!$1:$1016,COLUMN($F$1),FALSE), "・", 0)) + 1), 0)</f>
        <v>0</v>
      </c>
      <c r="AI112">
        <f>IF(ISNUMBER(SEARCH(SUBSTITUTE(AI$1,RIGHT(AI$1,2),""),VLOOKUP($D112,素材!$1:$1016,COLUMN($F$1),FALSE))),VLOOKUP($C112,武器!$1:$998,COLUMN($O$1),FALSE)*VLOOKUP($D112,素材!$1:$1016,COLUMN($E$1),FALSE)/(LEN(VLOOKUP($D112,素材!$1:$1016,COLUMN($F$1),FALSE)) - LEN(SUBSTITUTE(VLOOKUP($D112,素材!$1:$1016,COLUMN($F$1),FALSE), "・", 0)) + 1), 0)</f>
        <v>0</v>
      </c>
      <c r="AJ112">
        <f>IF(ISNUMBER(SEARCH(SUBSTITUTE(AJ$1,RIGHT(AJ$1,2),""),VLOOKUP($D112,素材!$1:$1016,COLUMN($F$1),FALSE))),VLOOKUP($C112,武器!$1:$998,COLUMN($O$1),FALSE)*VLOOKUP($D112,素材!$1:$1016,COLUMN($E$1),FALSE)/(LEN(VLOOKUP($D112,素材!$1:$1016,COLUMN($F$1),FALSE)) - LEN(SUBSTITUTE(VLOOKUP($D112,素材!$1:$1016,COLUMN($F$1),FALSE), "・", 0)) + 1), 0)</f>
        <v>0</v>
      </c>
      <c r="AK112">
        <f>IF(ISNUMBER(SEARCH(SUBSTITUTE(AK$1,RIGHT(AK$1,2),""),VLOOKUP($D112,素材!$1:$1016,COLUMN($F$1),FALSE))),VLOOKUP($C112,武器!$1:$998,COLUMN($O$1),FALSE)*VLOOKUP($D112,素材!$1:$1016,COLUMN($E$1),FALSE)/(LEN(VLOOKUP($D112,素材!$1:$1016,COLUMN($F$1),FALSE)) - LEN(SUBSTITUTE(VLOOKUP($D112,素材!$1:$1016,COLUMN($F$1),FALSE), "・", 0)) + 1), 0)</f>
        <v>0</v>
      </c>
      <c r="AL112">
        <f>IF(ISNUMBER(SEARCH(SUBSTITUTE(AL$1,RIGHT(AL$1,2),""),VLOOKUP($D112,素材!$1:$1016,COLUMN($F$1),FALSE))),VLOOKUP($C112,武器!$1:$998,COLUMN($O$1),FALSE)*VLOOKUP($D112,素材!$1:$1016,COLUMN($E$1),FALSE)/(LEN(VLOOKUP($D112,素材!$1:$1016,COLUMN($F$1),FALSE)) - LEN(SUBSTITUTE(VLOOKUP($D112,素材!$1:$1016,COLUMN($F$1),FALSE), "・", 0)) + 1), 0)</f>
        <v>0</v>
      </c>
      <c r="AM112">
        <f>IF(ISNUMBER(SEARCH(SUBSTITUTE(AM$1,RIGHT(AM$1,2),""),VLOOKUP($D112,素材!$1:$1016,COLUMN($F$1),FALSE))),VLOOKUP($C112,武器!$1:$998,COLUMN($O$1),FALSE)*VLOOKUP($D112,素材!$1:$1016,COLUMN($E$1),FALSE)/(LEN(VLOOKUP($D112,素材!$1:$1016,COLUMN($F$1),FALSE)) - LEN(SUBSTITUTE(VLOOKUP($D112,素材!$1:$1016,COLUMN($F$1),FALSE), "・", 0)) + 1), 0)</f>
        <v>0</v>
      </c>
      <c r="AN112">
        <f>IF(ISNUMBER(SEARCH(SUBSTITUTE(AN$1,RIGHT(AN$1,2),""),VLOOKUP($D112,素材!$1:$1016,COLUMN($F$1),FALSE))),VLOOKUP($C112,武器!$1:$998,COLUMN($O$1),FALSE)*VLOOKUP($D112,素材!$1:$1016,COLUMN($E$1),FALSE)/(LEN(VLOOKUP($D112,素材!$1:$1016,COLUMN($F$1),FALSE)) - LEN(SUBSTITUTE(VLOOKUP($D112,素材!$1:$1016,COLUMN($F$1),FALSE), "・", 0)) + 1), 0)</f>
        <v>0</v>
      </c>
      <c r="AO112">
        <f>IF(ISNUMBER(SEARCH(SUBSTITUTE(AO$1,RIGHT(AO$1,2),""),VLOOKUP($D112,素材!$1:$1016,COLUMN($F$1),FALSE))),VLOOKUP($C112,武器!$1:$998,COLUMN($O$1),FALSE)*VLOOKUP($D112,素材!$1:$1016,COLUMN($E$1),FALSE)/(LEN(VLOOKUP($D112,素材!$1:$1016,COLUMN($F$1),FALSE)) - LEN(SUBSTITUTE(VLOOKUP($D112,素材!$1:$1016,COLUMN($F$1),FALSE), "・", 0)) + 1), 0)</f>
        <v>0</v>
      </c>
      <c r="AP112">
        <f>IF(ISNUMBER(SEARCH(SUBSTITUTE(AP$1,RIGHT(AP$1,2),""),VLOOKUP($D112,素材!$1:$1016,COLUMN($F$1),FALSE))),VLOOKUP($C112,武器!$1:$998,COLUMN($O$1),FALSE)*VLOOKUP($D112,素材!$1:$1016,COLUMN($E$1),FALSE)/(LEN(VLOOKUP($D112,素材!$1:$1016,COLUMN($F$1),FALSE)) - LEN(SUBSTITUTE(VLOOKUP($D112,素材!$1:$1016,COLUMN($F$1),FALSE), "・", 0)) + 1), 0)</f>
        <v>0</v>
      </c>
      <c r="AQ112">
        <f>IF(ISNUMBER(SEARCH(SUBSTITUTE(AQ$1,RIGHT(AQ$1,2),""),VLOOKUP($D112,素材!$1:$1016,COLUMN($F$1),FALSE))),VLOOKUP($C112,武器!$1:$998,COLUMN($O$1),FALSE)*VLOOKUP($D112,素材!$1:$1016,COLUMN($E$1),FALSE)/(LEN(VLOOKUP($D112,素材!$1:$1016,COLUMN($F$1),FALSE)) - LEN(SUBSTITUTE(VLOOKUP($D112,素材!$1:$1016,COLUMN($F$1),FALSE), "・", 0)) + 1), 0)</f>
        <v>0</v>
      </c>
      <c r="AR112">
        <f>IF(ISNUMBER(SEARCH(SUBSTITUTE(AR$1,RIGHT(AR$1,2),""),VLOOKUP($D112,素材!$1:$1016,COLUMN($F$1),FALSE))),VLOOKUP($C112,武器!$1:$998,COLUMN($O$1),FALSE)*VLOOKUP($D112,素材!$1:$1016,COLUMN($E$1),FALSE)/(LEN(VLOOKUP($D112,素材!$1:$1016,COLUMN($F$1),FALSE)) - LEN(SUBSTITUTE(VLOOKUP($D112,素材!$1:$1016,COLUMN($F$1),FALSE), "・", 0)) + 1), 0)</f>
        <v>0</v>
      </c>
      <c r="AS112">
        <f>IF(ISNUMBER(SEARCH(SUBSTITUTE(AS$1,RIGHT(AS$1,2),""),VLOOKUP($D112,素材!$1:$1016,COLUMN($F$1),FALSE))),VLOOKUP($C112,武器!$1:$998,COLUMN($O$1),FALSE)*VLOOKUP($D112,素材!$1:$1016,COLUMN($E$1),FALSE)/(LEN(VLOOKUP($D112,素材!$1:$1016,COLUMN($F$1),FALSE)) - LEN(SUBSTITUTE(VLOOKUP($D112,素材!$1:$1016,COLUMN($F$1),FALSE), "・", 0)) + 1), 0)</f>
        <v>0</v>
      </c>
      <c r="AT112">
        <f>IF(ISNUMBER(SEARCH(SUBSTITUTE(AT$1,RIGHT(AT$1,2),""),VLOOKUP($D112,素材!$1:$1016,COLUMN($F$1),FALSE))),VLOOKUP($C112,武器!$1:$998,COLUMN($O$1),FALSE)*VLOOKUP($D112,素材!$1:$1016,COLUMN($E$1),FALSE)/(LEN(VLOOKUP($D112,素材!$1:$1016,COLUMN($F$1),FALSE)) - LEN(SUBSTITUTE(VLOOKUP($D112,素材!$1:$1016,COLUMN($F$1),FALSE), "・", 0)) + 1), 0)</f>
        <v>0</v>
      </c>
      <c r="AU112">
        <f>IF(ISNUMBER(SEARCH(SUBSTITUTE(AU$1,RIGHT(AU$1,2),""),VLOOKUP($D112,素材!$1:$1016,COLUMN($F$1),FALSE))),VLOOKUP($C112,武器!$1:$998,COLUMN($O$1),FALSE)*VLOOKUP($D112,素材!$1:$1016,COLUMN($E$1),FALSE)/(LEN(VLOOKUP($D112,素材!$1:$1016,COLUMN($F$1),FALSE)) - LEN(SUBSTITUTE(VLOOKUP($D112,素材!$1:$1016,COLUMN($F$1),FALSE), "・", 0)) + 1), 0)</f>
        <v>0</v>
      </c>
      <c r="AV112">
        <f>IF(ISNUMBER(SEARCH(SUBSTITUTE(AV$1,RIGHT(AV$1,2),""),VLOOKUP($D112,素材!$1:$1016,COLUMN($F$1),FALSE))),VLOOKUP($C112,武器!$1:$998,COLUMN($O$1),FALSE)*VLOOKUP($D112,素材!$1:$1016,COLUMN($E$1),FALSE)/(LEN(VLOOKUP($D112,素材!$1:$1016,COLUMN($F$1),FALSE)) - LEN(SUBSTITUTE(VLOOKUP($D112,素材!$1:$1016,COLUMN($F$1),FALSE), "・", 0)) + 1), 0)</f>
        <v>0</v>
      </c>
      <c r="AW112">
        <f>IF(ISNUMBER(SEARCH(SUBSTITUTE(AW$1,RIGHT(AW$1,2),""),VLOOKUP($D112,素材!$1:$1016,COLUMN($F$1),FALSE))),VLOOKUP($C112,武器!$1:$998,COLUMN($O$1),FALSE)*VLOOKUP($D112,素材!$1:$1016,COLUMN($E$1),FALSE)/(LEN(VLOOKUP($D112,素材!$1:$1016,COLUMN($F$1),FALSE)) - LEN(SUBSTITUTE(VLOOKUP($D112,素材!$1:$1016,COLUMN($F$1),FALSE), "・", 0)) + 1), 0)</f>
        <v>0</v>
      </c>
      <c r="AX112">
        <f>IF(ISNUMBER(SEARCH(SUBSTITUTE(AX$1,RIGHT(AX$1,2),""),VLOOKUP($D112,素材!$1:$1016,COLUMN($F$1),FALSE))),VLOOKUP($C112,武器!$1:$998,COLUMN($O$1),FALSE)*VLOOKUP($D112,素材!$1:$1016,COLUMN($E$1),FALSE)/(LEN(VLOOKUP($D112,素材!$1:$1016,COLUMN($F$1),FALSE)) - LEN(SUBSTITUTE(VLOOKUP($D112,素材!$1:$1016,COLUMN($F$1),FALSE), "・", 0)) + 1), 0)</f>
        <v>0</v>
      </c>
      <c r="AY112">
        <f>IF(ISNUMBER(SEARCH(SUBSTITUTE(AY$1,RIGHT(AY$1,2),""),VLOOKUP($D112,素材!$1:$1016,COLUMN($F$1),FALSE))),VLOOKUP($C112,武器!$1:$998,COLUMN($O$1),FALSE)*VLOOKUP($D112,素材!$1:$1016,COLUMN($E$1),FALSE)/(LEN(VLOOKUP($D112,素材!$1:$1016,COLUMN($F$1),FALSE)) - LEN(SUBSTITUTE(VLOOKUP($D112,素材!$1:$1016,COLUMN($F$1),FALSE), "・", 0)) + 1), 0)</f>
        <v>0</v>
      </c>
      <c r="AZ112">
        <f>IF(ISNUMBER(SEARCH(SUBSTITUTE(AZ$1,RIGHT(AZ$1,2),""),VLOOKUP($D112,素材!$1:$1016,COLUMN($F$1),FALSE))),VLOOKUP($C112,武器!$1:$998,COLUMN($O$1),FALSE)*VLOOKUP($D112,素材!$1:$1016,COLUMN($E$1),FALSE)/(LEN(VLOOKUP($D112,素材!$1:$1016,COLUMN($F$1),FALSE)) - LEN(SUBSTITUTE(VLOOKUP($D112,素材!$1:$1016,COLUMN($F$1),FALSE), "・", 0)) + 1), 0)</f>
        <v>0</v>
      </c>
      <c r="BA112">
        <f>IF(ISNUMBER(SEARCH(SUBSTITUTE(BA$1,RIGHT(BA$1,2),""),VLOOKUP($D112,素材!$1:$1016,COLUMN($F$1),FALSE))),VLOOKUP($C112,武器!$1:$998,COLUMN($O$1),FALSE)*VLOOKUP($D112,素材!$1:$1016,COLUMN($E$1),FALSE)/(LEN(VLOOKUP($D112,素材!$1:$1016,COLUMN($F$1),FALSE)) - LEN(SUBSTITUTE(VLOOKUP($D112,素材!$1:$1016,COLUMN($F$1),FALSE), "・", 0)) + 1), 0)</f>
        <v>0</v>
      </c>
      <c r="BB112">
        <f>IF(ISNUMBER(SEARCH(SUBSTITUTE(BB$1,RIGHT(BB$1,2),""),VLOOKUP($D112,素材!$1:$1016,COLUMN($F$1),FALSE))),VLOOKUP($C112,武器!$1:$998,COLUMN($O$1),FALSE)*VLOOKUP($D112,素材!$1:$1016,COLUMN($E$1),FALSE)/(LEN(VLOOKUP($D112,素材!$1:$1016,COLUMN($F$1),FALSE)) - LEN(SUBSTITUTE(VLOOKUP($D112,素材!$1:$1016,COLUMN($F$1),FALSE), "・", 0)) + 1), 0)</f>
        <v>0</v>
      </c>
      <c r="BC112">
        <f>IF(ISNUMBER(SEARCH(SUBSTITUTE(BC$1,RIGHT(BC$1,2),""),VLOOKUP($D112,素材!$1:$1016,COLUMN($F$1),FALSE))),VLOOKUP($C112,武器!$1:$998,COLUMN($O$1),FALSE)*VLOOKUP($D112,素材!$1:$1016,COLUMN($E$1),FALSE)/(LEN(VLOOKUP($D112,素材!$1:$1016,COLUMN($F$1),FALSE)) - LEN(SUBSTITUTE(VLOOKUP($D112,素材!$1:$1016,COLUMN($F$1),FALSE), "・", 0)) + 1), 0)</f>
        <v>0</v>
      </c>
      <c r="BD112">
        <f>IF(ISNUMBER(SEARCH(SUBSTITUTE(BD$1,RIGHT(BD$1,2),""),VLOOKUP($D112,素材!$1:$1016,COLUMN($F$1),FALSE))),VLOOKUP($C112,武器!$1:$998,COLUMN($O$1),FALSE)*VLOOKUP($D112,素材!$1:$1016,COLUMN($E$1),FALSE)/(LEN(VLOOKUP($D112,素材!$1:$1016,COLUMN($F$1),FALSE)) - LEN(SUBSTITUTE(VLOOKUP($D112,素材!$1:$1016,COLUMN($F$1),FALSE), "・", 0)) + 1), 0)</f>
        <v>0</v>
      </c>
      <c r="BE112">
        <f>IF(ISNUMBER(SEARCH(SUBSTITUTE(BE$1,RIGHT(BE$1,2),""),VLOOKUP($D112,素材!$1:$1016,COLUMN($F$1),FALSE))),VLOOKUP($C112,武器!$1:$998,COLUMN($O$1),FALSE)*VLOOKUP($D112,素材!$1:$1016,COLUMN($E$1),FALSE)/(LEN(VLOOKUP($D112,素材!$1:$1016,COLUMN($F$1),FALSE)) - LEN(SUBSTITUTE(VLOOKUP($D112,素材!$1:$1016,COLUMN($F$1),FALSE), "・", 0)) + 1), 0)</f>
        <v>0</v>
      </c>
      <c r="CL112">
        <f>SUM(G112:I112)</f>
        <v>0</v>
      </c>
      <c r="CM112" s="22" t="str">
        <f>IF(E112="武器",IF(J112-1&gt;SUM(G112:I112),"盾",IF(MAX(G112:I112)=G112,"切断",IF(MAX(G112:I112)=H112,"貫通",IF(MAX(G112:I112)=I112,"打撃","射撃")))),E112)&amp;".webp"</f>
        <v>体.webp</v>
      </c>
      <c r="CN112">
        <f>IFERROR(VLOOKUP($C112,武器!$1:$998,COLUMN(V$1),FALSE)*VLOOKUP($D112,素材!$1:$1016,COLUMN(N$1),FALSE)+IF(CI112="",0,VLOOKUP($CI112,装強!$1:$1008,COLUMN($CK$1),FALSE)),"")</f>
        <v>1350</v>
      </c>
      <c r="CO112" t="str">
        <f>VLOOKUP(D112,素材!$A:$O,COLUMN(素材!O$1),FALSE)</f>
        <v>鍛えられた鉄。硬度が高く安価なためよく使用される。</v>
      </c>
      <c r="CP112" t="str">
        <f>VLOOKUP(C112,武器!$A:$W,COLUMN(武器!W$1),FALSE)</f>
        <v>HP 物理 魔法 体幹 出血 疲労 Cr</v>
      </c>
      <c r="CR112" t="str">
        <f t="shared" si="5"/>
        <v>e_112</v>
      </c>
      <c r="CS112">
        <f t="shared" si="6"/>
        <v>135000</v>
      </c>
    </row>
    <row r="113" spans="1:97" outlineLevel="1" x14ac:dyDescent="0.4">
      <c r="A113" t="str">
        <f t="shared" si="7"/>
        <v>鋼の胴衣</v>
      </c>
      <c r="B113" t="str">
        <f>IFERROR(VLOOKUP($D113,素材!$1:$1016,COLUMN($B$1),FALSE)&amp;"・"&amp;VLOOKUP($C113,武器!$1:$998,COLUMN(B$1),FALSE),"")</f>
        <v>スチール・ベスト</v>
      </c>
      <c r="C113" t="s">
        <v>254</v>
      </c>
      <c r="D113" s="24" t="s">
        <v>253</v>
      </c>
      <c r="E113" t="str">
        <f>IFERROR(VLOOKUP(C113,武器!$1:$998,COLUMN(C$1),FALSE),"")</f>
        <v>体</v>
      </c>
      <c r="F113">
        <f>IFERROR(ROUNDDOWN((VLOOKUP($C113,武器!$1:$998,COLUMN(D$1),FALSE)+IFERROR(VLOOKUP($CI113,装強!$1:$999,COLUMN(F$1),FALSE),0))*VLOOKUP($D113,素材!$1:$1016,COLUMN(D$1),FALSE),0),"")</f>
        <v>0</v>
      </c>
      <c r="G113">
        <f>IFERROR(ROUNDDOWN((VLOOKUP($C113,武器!$1:$998,COLUMN(E$1),FALSE)+IFERROR(VLOOKUP($CI113,装強!$1:$999,COLUMN(G$1),FALSE),0))*VLOOKUP($D113,素材!$1:$1016,COLUMN($E$1),FALSE),0),"")</f>
        <v>0</v>
      </c>
      <c r="H113">
        <f>IFERROR(ROUNDDOWN((VLOOKUP($C113,武器!$1:$998,COLUMN(F$1),FALSE)+IFERROR(VLOOKUP($CI113,装強!$1:$999,COLUMN(H$1),FALSE),0))*VLOOKUP($D113,素材!$1:$1016,COLUMN($E$1),FALSE),0),"")</f>
        <v>0</v>
      </c>
      <c r="I113">
        <f>IFERROR(ROUNDDOWN((VLOOKUP($C113,武器!$1:$998,COLUMN(G$1),FALSE)+IFERROR(VLOOKUP($CI113,装強!$1:$999,COLUMN(I$1),FALSE),0))*VLOOKUP($D113,素材!$1:$1016,COLUMN($E$1),FALSE),0),"")</f>
        <v>0</v>
      </c>
      <c r="J113">
        <f>IFERROR(ROUNDDOWN((VLOOKUP($C113,武器!$1:$998,COLUMN(H$1),FALSE)+IFERROR(VLOOKUP($CI113,装強!$1:$999,COLUMN(J$1),FALSE),0))*VLOOKUP($D113,素材!$1:$1016,COLUMN($E$1),FALSE),0),"")</f>
        <v>0</v>
      </c>
      <c r="K113">
        <f>IFERROR(ROUNDDOWN((VLOOKUP($C113,武器!$1:$998,COLUMN(I$1),FALSE)+IFERROR(VLOOKUP($CI113,装強!$1:$999,COLUMN(K$1),FALSE),0))*VLOOKUP($D113,素材!$1:$1016,COLUMN($E$1),FALSE),0),"")</f>
        <v>0</v>
      </c>
      <c r="L113">
        <f>IFERROR(VLOOKUP($D113,素材!$1:$1016,COLUMN($F$1),FALSE),"")</f>
        <v>0</v>
      </c>
      <c r="M113">
        <f>IFERROR(VLOOKUP($C113,武器!$1:$998,COLUMN(AA$1),FALSE)*VLOOKUP($D113,素材!$1:$1016,COLUMN($G$1),FALSE),"")</f>
        <v>0</v>
      </c>
      <c r="N113">
        <f>IFERROR(VLOOKUP($C113,武器!$1:$998,COLUMN(I$1),FALSE),"")</f>
        <v>0</v>
      </c>
      <c r="O113" s="23">
        <f>IFERROR((VLOOKUP($C113,武器!$1:$998,COLUMN(K$1),FALSE)+VLOOKUP($D113,素材!$1:$1016,COLUMN(H$1),FALSE))*100+IFERROR(VLOOKUP($CI113,装強!$1:$999,COLUMN(O$1),FALSE),0),"")</f>
        <v>0</v>
      </c>
      <c r="P113" s="23">
        <f>IFERROR((VLOOKUP($C113,武器!$1:$998,COLUMN(L$1),FALSE)+VLOOKUP($D113,素材!$1:$1016,COLUMN(I$1),FALSE))*100+IFERROR(VLOOKUP($CI113,装強!$1:$999,COLUMN(P$1),FALSE),0),"")</f>
        <v>0</v>
      </c>
      <c r="Q113">
        <f>IFERROR(ROUNDUP(VLOOKUP($C113,武器!$1:$998,COLUMN(M$1),FALSE)*(VLOOKUP($D113,素材!$1:$1002,COLUMN(D$1),FALSE)/100),1),"")</f>
        <v>-7.8999999999999995</v>
      </c>
      <c r="R113">
        <f>IFERROR(ROUNDUP(VLOOKUP($C113,武器!$1:$998,COLUMN(N$1),FALSE)*(VLOOKUP($D113,素材!$1:$1002,COLUMN(D$1),FALSE)/100),1),"")</f>
        <v>0</v>
      </c>
      <c r="S113">
        <f>IFERROR(VLOOKUP($C113,武器!$1:$998,COLUMN(P$1),FALSE),"")</f>
        <v>0</v>
      </c>
      <c r="T113">
        <f>IFERROR(VLOOKUP($C113,武器!$1:$998,COLUMN(Q$1),FALSE),"")</f>
        <v>0</v>
      </c>
      <c r="U113">
        <f>IFERROR(VLOOKUP($C113,武器!$1:$998,COLUMN(R$1),FALSE),"")</f>
        <v>0</v>
      </c>
      <c r="V113">
        <f>IFERROR(VLOOKUP($C113,武器!$1:$998,COLUMN(Q$1),FALSE),"")</f>
        <v>0</v>
      </c>
      <c r="W113">
        <f>IFERROR(VLOOKUP($C113,武器!$1:$998,COLUMN(T$1),FALSE),"")</f>
        <v>0</v>
      </c>
      <c r="Y113">
        <f>IFERROR(VLOOKUP($C113,武器!$1:$998,COLUMN(U$1),FALSE),"")</f>
        <v>0</v>
      </c>
      <c r="Z113">
        <f>IFERROR(ROUNDUP(VLOOKUP($C113,武器!$1:$998,COLUMN(O$1),FALSE)*VLOOKUP($D113,素材!$1:$1016,COLUMN(E$1),FALSE),1),"")</f>
        <v>13.5</v>
      </c>
      <c r="AA113">
        <f>IF(ISNUMBER(SEARCH(SUBSTITUTE(AA$1,RIGHT(AA$1,2),""),VLOOKUP($D113,素材!$1:$1016,COLUMN($F$1),FALSE))),VLOOKUP($C113,武器!$1:$998,COLUMN($O$1),FALSE)*VLOOKUP($D113,素材!$1:$1016,COLUMN($E$1),FALSE)/(LEN(VLOOKUP($D113,素材!$1:$1016,COLUMN($F$1),FALSE)) - LEN(SUBSTITUTE(VLOOKUP($D113,素材!$1:$1016,COLUMN($F$1),FALSE), "・", 0)) + 1), 0)</f>
        <v>0</v>
      </c>
      <c r="AB113">
        <f>IF(ISNUMBER(SEARCH(SUBSTITUTE(AB$1,RIGHT(AB$1,2),""),VLOOKUP($D113,素材!$1:$1016,COLUMN($F$1),FALSE))),VLOOKUP($C113,武器!$1:$998,COLUMN($O$1),FALSE)*VLOOKUP($D113,素材!$1:$1016,COLUMN($E$1),FALSE)/(LEN(VLOOKUP($D113,素材!$1:$1016,COLUMN($F$1),FALSE)) - LEN(SUBSTITUTE(VLOOKUP($D113,素材!$1:$1016,COLUMN($F$1),FALSE), "・", 0)) + 1), 0)</f>
        <v>0</v>
      </c>
      <c r="AC113">
        <f>IF(ISNUMBER(SEARCH(SUBSTITUTE(AC$1,RIGHT(AC$1,2),""),VLOOKUP($D113,素材!$1:$1016,COLUMN($F$1),FALSE))),VLOOKUP($C113,武器!$1:$998,COLUMN($O$1),FALSE)*VLOOKUP($D113,素材!$1:$1016,COLUMN($E$1),FALSE)/(LEN(VLOOKUP($D113,素材!$1:$1016,COLUMN($F$1),FALSE)) - LEN(SUBSTITUTE(VLOOKUP($D113,素材!$1:$1016,COLUMN($F$1),FALSE), "・", 0)) + 1), 0)</f>
        <v>0</v>
      </c>
      <c r="AD113">
        <f>IF(ISNUMBER(SEARCH(SUBSTITUTE(AD$1,RIGHT(AD$1,2),""),VLOOKUP($D113,素材!$1:$1016,COLUMN($F$1),FALSE))),VLOOKUP($C113,武器!$1:$998,COLUMN($O$1),FALSE)*VLOOKUP($D113,素材!$1:$1016,COLUMN($E$1),FALSE)/(LEN(VLOOKUP($D113,素材!$1:$1016,COLUMN($F$1),FALSE)) - LEN(SUBSTITUTE(VLOOKUP($D113,素材!$1:$1016,COLUMN($F$1),FALSE), "・", 0)) + 1), 0)</f>
        <v>0</v>
      </c>
      <c r="AE113">
        <f>IF(ISNUMBER(SEARCH(SUBSTITUTE(AE$1,RIGHT(AE$1,2),""),VLOOKUP($D113,素材!$1:$1016,COLUMN($F$1),FALSE))),VLOOKUP($C113,武器!$1:$998,COLUMN($O$1),FALSE)*VLOOKUP($D113,素材!$1:$1016,COLUMN($E$1),FALSE)/(LEN(VLOOKUP($D113,素材!$1:$1016,COLUMN($F$1),FALSE)) - LEN(SUBSTITUTE(VLOOKUP($D113,素材!$1:$1016,COLUMN($F$1),FALSE), "・", 0)) + 1), 0)</f>
        <v>0</v>
      </c>
      <c r="AF113">
        <f>IF(ISNUMBER(SEARCH(SUBSTITUTE(AF$1,RIGHT(AF$1,2),""),VLOOKUP($D113,素材!$1:$1016,COLUMN($F$1),FALSE))),VLOOKUP($C113,武器!$1:$998,COLUMN($O$1),FALSE)*VLOOKUP($D113,素材!$1:$1016,COLUMN($E$1),FALSE)/(LEN(VLOOKUP($D113,素材!$1:$1016,COLUMN($F$1),FALSE)) - LEN(SUBSTITUTE(VLOOKUP($D113,素材!$1:$1016,COLUMN($F$1),FALSE), "・", 0)) + 1), 0)</f>
        <v>0</v>
      </c>
      <c r="AG113">
        <f>IF(ISNUMBER(SEARCH(SUBSTITUTE(AG$1,RIGHT(AG$1,2),""),VLOOKUP($D113,素材!$1:$1016,COLUMN($F$1),FALSE))),VLOOKUP($C113,武器!$1:$998,COLUMN($O$1),FALSE)*VLOOKUP($D113,素材!$1:$1016,COLUMN($E$1),FALSE)/(LEN(VLOOKUP($D113,素材!$1:$1016,COLUMN($F$1),FALSE)) - LEN(SUBSTITUTE(VLOOKUP($D113,素材!$1:$1016,COLUMN($F$1),FALSE), "・", 0)) + 1), 0)</f>
        <v>0</v>
      </c>
      <c r="AH113">
        <f>IF(ISNUMBER(SEARCH(SUBSTITUTE(AH$1,RIGHT(AH$1,2),""),VLOOKUP($D113,素材!$1:$1016,COLUMN($F$1),FALSE))),VLOOKUP($C113,武器!$1:$998,COLUMN($O$1),FALSE)*VLOOKUP($D113,素材!$1:$1016,COLUMN($E$1),FALSE)/(LEN(VLOOKUP($D113,素材!$1:$1016,COLUMN($F$1),FALSE)) - LEN(SUBSTITUTE(VLOOKUP($D113,素材!$1:$1016,COLUMN($F$1),FALSE), "・", 0)) + 1), 0)</f>
        <v>0</v>
      </c>
      <c r="AI113">
        <f>IF(ISNUMBER(SEARCH(SUBSTITUTE(AI$1,RIGHT(AI$1,2),""),VLOOKUP($D113,素材!$1:$1016,COLUMN($F$1),FALSE))),VLOOKUP($C113,武器!$1:$998,COLUMN($O$1),FALSE)*VLOOKUP($D113,素材!$1:$1016,COLUMN($E$1),FALSE)/(LEN(VLOOKUP($D113,素材!$1:$1016,COLUMN($F$1),FALSE)) - LEN(SUBSTITUTE(VLOOKUP($D113,素材!$1:$1016,COLUMN($F$1),FALSE), "・", 0)) + 1), 0)</f>
        <v>0</v>
      </c>
      <c r="AJ113">
        <f>IF(ISNUMBER(SEARCH(SUBSTITUTE(AJ$1,RIGHT(AJ$1,2),""),VLOOKUP($D113,素材!$1:$1016,COLUMN($F$1),FALSE))),VLOOKUP($C113,武器!$1:$998,COLUMN($O$1),FALSE)*VLOOKUP($D113,素材!$1:$1016,COLUMN($E$1),FALSE)/(LEN(VLOOKUP($D113,素材!$1:$1016,COLUMN($F$1),FALSE)) - LEN(SUBSTITUTE(VLOOKUP($D113,素材!$1:$1016,COLUMN($F$1),FALSE), "・", 0)) + 1), 0)</f>
        <v>0</v>
      </c>
      <c r="AK113">
        <f>IF(ISNUMBER(SEARCH(SUBSTITUTE(AK$1,RIGHT(AK$1,2),""),VLOOKUP($D113,素材!$1:$1016,COLUMN($F$1),FALSE))),VLOOKUP($C113,武器!$1:$998,COLUMN($O$1),FALSE)*VLOOKUP($D113,素材!$1:$1016,COLUMN($E$1),FALSE)/(LEN(VLOOKUP($D113,素材!$1:$1016,COLUMN($F$1),FALSE)) - LEN(SUBSTITUTE(VLOOKUP($D113,素材!$1:$1016,COLUMN($F$1),FALSE), "・", 0)) + 1), 0)</f>
        <v>0</v>
      </c>
      <c r="AL113">
        <f>IF(ISNUMBER(SEARCH(SUBSTITUTE(AL$1,RIGHT(AL$1,2),""),VLOOKUP($D113,素材!$1:$1016,COLUMN($F$1),FALSE))),VLOOKUP($C113,武器!$1:$998,COLUMN($O$1),FALSE)*VLOOKUP($D113,素材!$1:$1016,COLUMN($E$1),FALSE)/(LEN(VLOOKUP($D113,素材!$1:$1016,COLUMN($F$1),FALSE)) - LEN(SUBSTITUTE(VLOOKUP($D113,素材!$1:$1016,COLUMN($F$1),FALSE), "・", 0)) + 1), 0)</f>
        <v>0</v>
      </c>
      <c r="AM113">
        <f>IF(ISNUMBER(SEARCH(SUBSTITUTE(AM$1,RIGHT(AM$1,2),""),VLOOKUP($D113,素材!$1:$1016,COLUMN($F$1),FALSE))),VLOOKUP($C113,武器!$1:$998,COLUMN($O$1),FALSE)*VLOOKUP($D113,素材!$1:$1016,COLUMN($E$1),FALSE)/(LEN(VLOOKUP($D113,素材!$1:$1016,COLUMN($F$1),FALSE)) - LEN(SUBSTITUTE(VLOOKUP($D113,素材!$1:$1016,COLUMN($F$1),FALSE), "・", 0)) + 1), 0)</f>
        <v>0</v>
      </c>
      <c r="AN113">
        <f>IF(ISNUMBER(SEARCH(SUBSTITUTE(AN$1,RIGHT(AN$1,2),""),VLOOKUP($D113,素材!$1:$1016,COLUMN($F$1),FALSE))),VLOOKUP($C113,武器!$1:$998,COLUMN($O$1),FALSE)*VLOOKUP($D113,素材!$1:$1016,COLUMN($E$1),FALSE)/(LEN(VLOOKUP($D113,素材!$1:$1016,COLUMN($F$1),FALSE)) - LEN(SUBSTITUTE(VLOOKUP($D113,素材!$1:$1016,COLUMN($F$1),FALSE), "・", 0)) + 1), 0)</f>
        <v>0</v>
      </c>
      <c r="AO113">
        <f>IF(ISNUMBER(SEARCH(SUBSTITUTE(AO$1,RIGHT(AO$1,2),""),VLOOKUP($D113,素材!$1:$1016,COLUMN($F$1),FALSE))),VLOOKUP($C113,武器!$1:$998,COLUMN($O$1),FALSE)*VLOOKUP($D113,素材!$1:$1016,COLUMN($E$1),FALSE)/(LEN(VLOOKUP($D113,素材!$1:$1016,COLUMN($F$1),FALSE)) - LEN(SUBSTITUTE(VLOOKUP($D113,素材!$1:$1016,COLUMN($F$1),FALSE), "・", 0)) + 1), 0)</f>
        <v>0</v>
      </c>
      <c r="AP113">
        <f>IF(ISNUMBER(SEARCH(SUBSTITUTE(AP$1,RIGHT(AP$1,2),""),VLOOKUP($D113,素材!$1:$1016,COLUMN($F$1),FALSE))),VLOOKUP($C113,武器!$1:$998,COLUMN($O$1),FALSE)*VLOOKUP($D113,素材!$1:$1016,COLUMN($E$1),FALSE)/(LEN(VLOOKUP($D113,素材!$1:$1016,COLUMN($F$1),FALSE)) - LEN(SUBSTITUTE(VLOOKUP($D113,素材!$1:$1016,COLUMN($F$1),FALSE), "・", 0)) + 1), 0)</f>
        <v>0</v>
      </c>
      <c r="AQ113">
        <f>IF(ISNUMBER(SEARCH(SUBSTITUTE(AQ$1,RIGHT(AQ$1,2),""),VLOOKUP($D113,素材!$1:$1016,COLUMN($F$1),FALSE))),VLOOKUP($C113,武器!$1:$998,COLUMN($O$1),FALSE)*VLOOKUP($D113,素材!$1:$1016,COLUMN($E$1),FALSE)/(LEN(VLOOKUP($D113,素材!$1:$1016,COLUMN($F$1),FALSE)) - LEN(SUBSTITUTE(VLOOKUP($D113,素材!$1:$1016,COLUMN($F$1),FALSE), "・", 0)) + 1), 0)</f>
        <v>0</v>
      </c>
      <c r="AR113">
        <f>IF(ISNUMBER(SEARCH(SUBSTITUTE(AR$1,RIGHT(AR$1,2),""),VLOOKUP($D113,素材!$1:$1016,COLUMN($F$1),FALSE))),VLOOKUP($C113,武器!$1:$998,COLUMN($O$1),FALSE)*VLOOKUP($D113,素材!$1:$1016,COLUMN($E$1),FALSE)/(LEN(VLOOKUP($D113,素材!$1:$1016,COLUMN($F$1),FALSE)) - LEN(SUBSTITUTE(VLOOKUP($D113,素材!$1:$1016,COLUMN($F$1),FALSE), "・", 0)) + 1), 0)</f>
        <v>0</v>
      </c>
      <c r="AS113">
        <f>IF(ISNUMBER(SEARCH(SUBSTITUTE(AS$1,RIGHT(AS$1,2),""),VLOOKUP($D113,素材!$1:$1016,COLUMN($F$1),FALSE))),VLOOKUP($C113,武器!$1:$998,COLUMN($O$1),FALSE)*VLOOKUP($D113,素材!$1:$1016,COLUMN($E$1),FALSE)/(LEN(VLOOKUP($D113,素材!$1:$1016,COLUMN($F$1),FALSE)) - LEN(SUBSTITUTE(VLOOKUP($D113,素材!$1:$1016,COLUMN($F$1),FALSE), "・", 0)) + 1), 0)</f>
        <v>0</v>
      </c>
      <c r="AT113">
        <f>IF(ISNUMBER(SEARCH(SUBSTITUTE(AT$1,RIGHT(AT$1,2),""),VLOOKUP($D113,素材!$1:$1016,COLUMN($F$1),FALSE))),VLOOKUP($C113,武器!$1:$998,COLUMN($O$1),FALSE)*VLOOKUP($D113,素材!$1:$1016,COLUMN($E$1),FALSE)/(LEN(VLOOKUP($D113,素材!$1:$1016,COLUMN($F$1),FALSE)) - LEN(SUBSTITUTE(VLOOKUP($D113,素材!$1:$1016,COLUMN($F$1),FALSE), "・", 0)) + 1), 0)</f>
        <v>0</v>
      </c>
      <c r="AU113">
        <f>IF(ISNUMBER(SEARCH(SUBSTITUTE(AU$1,RIGHT(AU$1,2),""),VLOOKUP($D113,素材!$1:$1016,COLUMN($F$1),FALSE))),VLOOKUP($C113,武器!$1:$998,COLUMN($O$1),FALSE)*VLOOKUP($D113,素材!$1:$1016,COLUMN($E$1),FALSE)/(LEN(VLOOKUP($D113,素材!$1:$1016,COLUMN($F$1),FALSE)) - LEN(SUBSTITUTE(VLOOKUP($D113,素材!$1:$1016,COLUMN($F$1),FALSE), "・", 0)) + 1), 0)</f>
        <v>0</v>
      </c>
      <c r="AV113">
        <f>IF(ISNUMBER(SEARCH(SUBSTITUTE(AV$1,RIGHT(AV$1,2),""),VLOOKUP($D113,素材!$1:$1016,COLUMN($F$1),FALSE))),VLOOKUP($C113,武器!$1:$998,COLUMN($O$1),FALSE)*VLOOKUP($D113,素材!$1:$1016,COLUMN($E$1),FALSE)/(LEN(VLOOKUP($D113,素材!$1:$1016,COLUMN($F$1),FALSE)) - LEN(SUBSTITUTE(VLOOKUP($D113,素材!$1:$1016,COLUMN($F$1),FALSE), "・", 0)) + 1), 0)</f>
        <v>0</v>
      </c>
      <c r="AW113">
        <f>IF(ISNUMBER(SEARCH(SUBSTITUTE(AW$1,RIGHT(AW$1,2),""),VLOOKUP($D113,素材!$1:$1016,COLUMN($F$1),FALSE))),VLOOKUP($C113,武器!$1:$998,COLUMN($O$1),FALSE)*VLOOKUP($D113,素材!$1:$1016,COLUMN($E$1),FALSE)/(LEN(VLOOKUP($D113,素材!$1:$1016,COLUMN($F$1),FALSE)) - LEN(SUBSTITUTE(VLOOKUP($D113,素材!$1:$1016,COLUMN($F$1),FALSE), "・", 0)) + 1), 0)</f>
        <v>0</v>
      </c>
      <c r="AX113">
        <f>IF(ISNUMBER(SEARCH(SUBSTITUTE(AX$1,RIGHT(AX$1,2),""),VLOOKUP($D113,素材!$1:$1016,COLUMN($F$1),FALSE))),VLOOKUP($C113,武器!$1:$998,COLUMN($O$1),FALSE)*VLOOKUP($D113,素材!$1:$1016,COLUMN($E$1),FALSE)/(LEN(VLOOKUP($D113,素材!$1:$1016,COLUMN($F$1),FALSE)) - LEN(SUBSTITUTE(VLOOKUP($D113,素材!$1:$1016,COLUMN($F$1),FALSE), "・", 0)) + 1), 0)</f>
        <v>0</v>
      </c>
      <c r="AY113">
        <f>IF(ISNUMBER(SEARCH(SUBSTITUTE(AY$1,RIGHT(AY$1,2),""),VLOOKUP($D113,素材!$1:$1016,COLUMN($F$1),FALSE))),VLOOKUP($C113,武器!$1:$998,COLUMN($O$1),FALSE)*VLOOKUP($D113,素材!$1:$1016,COLUMN($E$1),FALSE)/(LEN(VLOOKUP($D113,素材!$1:$1016,COLUMN($F$1),FALSE)) - LEN(SUBSTITUTE(VLOOKUP($D113,素材!$1:$1016,COLUMN($F$1),FALSE), "・", 0)) + 1), 0)</f>
        <v>0</v>
      </c>
      <c r="AZ113">
        <f>IF(ISNUMBER(SEARCH(SUBSTITUTE(AZ$1,RIGHT(AZ$1,2),""),VLOOKUP($D113,素材!$1:$1016,COLUMN($F$1),FALSE))),VLOOKUP($C113,武器!$1:$998,COLUMN($O$1),FALSE)*VLOOKUP($D113,素材!$1:$1016,COLUMN($E$1),FALSE)/(LEN(VLOOKUP($D113,素材!$1:$1016,COLUMN($F$1),FALSE)) - LEN(SUBSTITUTE(VLOOKUP($D113,素材!$1:$1016,COLUMN($F$1),FALSE), "・", 0)) + 1), 0)</f>
        <v>0</v>
      </c>
      <c r="BA113">
        <f>IF(ISNUMBER(SEARCH(SUBSTITUTE(BA$1,RIGHT(BA$1,2),""),VLOOKUP($D113,素材!$1:$1016,COLUMN($F$1),FALSE))),VLOOKUP($C113,武器!$1:$998,COLUMN($O$1),FALSE)*VLOOKUP($D113,素材!$1:$1016,COLUMN($E$1),FALSE)/(LEN(VLOOKUP($D113,素材!$1:$1016,COLUMN($F$1),FALSE)) - LEN(SUBSTITUTE(VLOOKUP($D113,素材!$1:$1016,COLUMN($F$1),FALSE), "・", 0)) + 1), 0)</f>
        <v>0</v>
      </c>
      <c r="BB113">
        <f>IF(ISNUMBER(SEARCH(SUBSTITUTE(BB$1,RIGHT(BB$1,2),""),VLOOKUP($D113,素材!$1:$1016,COLUMN($F$1),FALSE))),VLOOKUP($C113,武器!$1:$998,COLUMN($O$1),FALSE)*VLOOKUP($D113,素材!$1:$1016,COLUMN($E$1),FALSE)/(LEN(VLOOKUP($D113,素材!$1:$1016,COLUMN($F$1),FALSE)) - LEN(SUBSTITUTE(VLOOKUP($D113,素材!$1:$1016,COLUMN($F$1),FALSE), "・", 0)) + 1), 0)</f>
        <v>0</v>
      </c>
      <c r="BC113">
        <f>IF(ISNUMBER(SEARCH(SUBSTITUTE(BC$1,RIGHT(BC$1,2),""),VLOOKUP($D113,素材!$1:$1016,COLUMN($F$1),FALSE))),VLOOKUP($C113,武器!$1:$998,COLUMN($O$1),FALSE)*VLOOKUP($D113,素材!$1:$1016,COLUMN($E$1),FALSE)/(LEN(VLOOKUP($D113,素材!$1:$1016,COLUMN($F$1),FALSE)) - LEN(SUBSTITUTE(VLOOKUP($D113,素材!$1:$1016,COLUMN($F$1),FALSE), "・", 0)) + 1), 0)</f>
        <v>0</v>
      </c>
      <c r="BD113">
        <f>IF(ISNUMBER(SEARCH(SUBSTITUTE(BD$1,RIGHT(BD$1,2),""),VLOOKUP($D113,素材!$1:$1016,COLUMN($F$1),FALSE))),VLOOKUP($C113,武器!$1:$998,COLUMN($O$1),FALSE)*VLOOKUP($D113,素材!$1:$1016,COLUMN($E$1),FALSE)/(LEN(VLOOKUP($D113,素材!$1:$1016,COLUMN($F$1),FALSE)) - LEN(SUBSTITUTE(VLOOKUP($D113,素材!$1:$1016,COLUMN($F$1),FALSE), "・", 0)) + 1), 0)</f>
        <v>0</v>
      </c>
      <c r="BE113">
        <f>IF(ISNUMBER(SEARCH(SUBSTITUTE(BE$1,RIGHT(BE$1,2),""),VLOOKUP($D113,素材!$1:$1016,COLUMN($F$1),FALSE))),VLOOKUP($C113,武器!$1:$998,COLUMN($O$1),FALSE)*VLOOKUP($D113,素材!$1:$1016,COLUMN($E$1),FALSE)/(LEN(VLOOKUP($D113,素材!$1:$1016,COLUMN($F$1),FALSE)) - LEN(SUBSTITUTE(VLOOKUP($D113,素材!$1:$1016,COLUMN($F$1),FALSE), "・", 0)) + 1), 0)</f>
        <v>0</v>
      </c>
      <c r="CL113">
        <f>SUM(G113:I113)</f>
        <v>0</v>
      </c>
      <c r="CM113" s="22" t="str">
        <f>IF(E113="武器",IF(J113-1&gt;SUM(G113:I113),"盾",IF(MAX(G113:I113)=G113,"切断",IF(MAX(G113:I113)=H113,"貫通",IF(MAX(G113:I113)=I113,"打撃","射撃")))),E113)&amp;".webp"</f>
        <v>体.webp</v>
      </c>
      <c r="CN113">
        <f>IFERROR(VLOOKUP($C113,武器!$1:$998,COLUMN(V$1),FALSE)*VLOOKUP($D113,素材!$1:$1016,COLUMN(N$1),FALSE)+IF(CI113="",0,VLOOKUP($CI113,装強!$1:$1008,COLUMN($CK$1),FALSE)),"")</f>
        <v>1125</v>
      </c>
      <c r="CO113" t="str">
        <f>VLOOKUP(D113,素材!$A:$O,COLUMN(素材!O$1),FALSE)</f>
        <v>鍛えられた鉄。硬度が高く安価なためよく使用される。</v>
      </c>
      <c r="CP113" t="str">
        <f>VLOOKUP(C113,武器!$A:$W,COLUMN(武器!W$1),FALSE)</f>
        <v>HP 物理 魔法 体幹 出血 疲労 Cr</v>
      </c>
      <c r="CR113" t="str">
        <f t="shared" si="5"/>
        <v>e_113</v>
      </c>
      <c r="CS113">
        <f t="shared" si="6"/>
        <v>112500</v>
      </c>
    </row>
    <row r="114" spans="1:97" outlineLevel="1" x14ac:dyDescent="0.4">
      <c r="A114" t="str">
        <f t="shared" si="7"/>
        <v>鋼の靴</v>
      </c>
      <c r="B114" t="str">
        <f>IFERROR(VLOOKUP($D114,素材!$1:$1016,COLUMN($B$1),FALSE)&amp;"・"&amp;VLOOKUP($C114,武器!$1:$998,COLUMN(B$1),FALSE),"")</f>
        <v>スチール・ブーツ</v>
      </c>
      <c r="C114" t="s">
        <v>206</v>
      </c>
      <c r="D114" s="24" t="s">
        <v>253</v>
      </c>
      <c r="E114" t="str">
        <f>IFERROR(VLOOKUP(C114,武器!$1:$998,COLUMN(C$1),FALSE),"")</f>
        <v>足</v>
      </c>
      <c r="F114">
        <f>IFERROR(ROUNDDOWN((VLOOKUP($C114,武器!$1:$998,COLUMN(D$1),FALSE)+IFERROR(VLOOKUP($CI114,装強!$1:$999,COLUMN(F$1),FALSE),0))*VLOOKUP($D114,素材!$1:$1016,COLUMN(D$1),FALSE),0),"")</f>
        <v>0</v>
      </c>
      <c r="G114">
        <f>IFERROR(ROUNDDOWN((VLOOKUP($C114,武器!$1:$998,COLUMN(E$1),FALSE)+IFERROR(VLOOKUP($CI114,装強!$1:$999,COLUMN(G$1),FALSE),0))*VLOOKUP($D114,素材!$1:$1016,COLUMN($E$1),FALSE),0),"")</f>
        <v>0</v>
      </c>
      <c r="H114">
        <f>IFERROR(ROUNDDOWN((VLOOKUP($C114,武器!$1:$998,COLUMN(F$1),FALSE)+IFERROR(VLOOKUP($CI114,装強!$1:$999,COLUMN(H$1),FALSE),0))*VLOOKUP($D114,素材!$1:$1016,COLUMN($E$1),FALSE),0),"")</f>
        <v>0</v>
      </c>
      <c r="I114">
        <f>IFERROR(ROUNDDOWN((VLOOKUP($C114,武器!$1:$998,COLUMN(G$1),FALSE)+IFERROR(VLOOKUP($CI114,装強!$1:$999,COLUMN(I$1),FALSE),0))*VLOOKUP($D114,素材!$1:$1016,COLUMN($E$1),FALSE),0),"")</f>
        <v>27</v>
      </c>
      <c r="J114">
        <f>IFERROR(ROUNDDOWN((VLOOKUP($C114,武器!$1:$998,COLUMN(H$1),FALSE)+IFERROR(VLOOKUP($CI114,装強!$1:$999,COLUMN(J$1),FALSE),0))*VLOOKUP($D114,素材!$1:$1016,COLUMN($E$1),FALSE),0),"")</f>
        <v>0</v>
      </c>
      <c r="K114">
        <f>IFERROR(ROUNDDOWN((VLOOKUP($C114,武器!$1:$998,COLUMN(I$1),FALSE)+IFERROR(VLOOKUP($CI114,装強!$1:$999,COLUMN(K$1),FALSE),0))*VLOOKUP($D114,素材!$1:$1016,COLUMN($E$1),FALSE),0),"")</f>
        <v>0</v>
      </c>
      <c r="L114">
        <f>IFERROR(VLOOKUP($D114,素材!$1:$1016,COLUMN($F$1),FALSE),"")</f>
        <v>0</v>
      </c>
      <c r="M114">
        <f>IFERROR(VLOOKUP($C114,武器!$1:$998,COLUMN(AA$1),FALSE)*VLOOKUP($D114,素材!$1:$1016,COLUMN($G$1),FALSE),"")</f>
        <v>0</v>
      </c>
      <c r="N114">
        <f>IFERROR(VLOOKUP($C114,武器!$1:$998,COLUMN(I$1),FALSE),"")</f>
        <v>0</v>
      </c>
      <c r="O114" s="23">
        <f>IFERROR((VLOOKUP($C114,武器!$1:$998,COLUMN(K$1),FALSE)+VLOOKUP($D114,素材!$1:$1016,COLUMN(H$1),FALSE))*100+IFERROR(VLOOKUP($CI114,装強!$1:$999,COLUMN(O$1),FALSE),0),"")</f>
        <v>10</v>
      </c>
      <c r="P114" s="23">
        <f>IFERROR((VLOOKUP($C114,武器!$1:$998,COLUMN(L$1),FALSE)+VLOOKUP($D114,素材!$1:$1016,COLUMN(I$1),FALSE))*100+IFERROR(VLOOKUP($CI114,装強!$1:$999,COLUMN(P$1),FALSE),0),"")</f>
        <v>150</v>
      </c>
      <c r="Q114">
        <f>IFERROR(ROUNDUP(VLOOKUP($C114,武器!$1:$998,COLUMN(M$1),FALSE)*(VLOOKUP($D114,素材!$1:$1002,COLUMN(D$1),FALSE)/100),1),"")</f>
        <v>0</v>
      </c>
      <c r="R114">
        <f>IFERROR(ROUNDUP(VLOOKUP($C114,武器!$1:$998,COLUMN(N$1),FALSE)*(VLOOKUP($D114,素材!$1:$1002,COLUMN(D$1),FALSE)/100),1),"")</f>
        <v>0</v>
      </c>
      <c r="S114">
        <f>IFERROR(VLOOKUP($C114,武器!$1:$998,COLUMN(P$1),FALSE),"")</f>
        <v>0</v>
      </c>
      <c r="T114">
        <f>IFERROR(VLOOKUP($C114,武器!$1:$998,COLUMN(Q$1),FALSE),"")</f>
        <v>0</v>
      </c>
      <c r="U114">
        <f>IFERROR(VLOOKUP($C114,武器!$1:$998,COLUMN(R$1),FALSE),"")</f>
        <v>0</v>
      </c>
      <c r="V114">
        <f>IFERROR(VLOOKUP($C114,武器!$1:$998,COLUMN(Q$1),FALSE),"")</f>
        <v>0</v>
      </c>
      <c r="W114">
        <f>IFERROR(VLOOKUP($C114,武器!$1:$998,COLUMN(T$1),FALSE),"")</f>
        <v>0</v>
      </c>
      <c r="Y114" t="str">
        <f>IFERROR(VLOOKUP($C114,武器!$1:$998,COLUMN(U$1),FALSE),"")</f>
        <v>足</v>
      </c>
      <c r="Z114">
        <f>IFERROR(ROUNDUP(VLOOKUP($C114,武器!$1:$998,COLUMN(O$1),FALSE)*VLOOKUP($D114,素材!$1:$1016,COLUMN(E$1),FALSE),1),"")</f>
        <v>4.0999999999999996</v>
      </c>
      <c r="AA114">
        <f>IF(ISNUMBER(SEARCH(SUBSTITUTE(AA$1,RIGHT(AA$1,2),""),VLOOKUP($D114,素材!$1:$1016,COLUMN($F$1),FALSE))),VLOOKUP($C114,武器!$1:$998,COLUMN($O$1),FALSE)*VLOOKUP($D114,素材!$1:$1016,COLUMN($E$1),FALSE)/(LEN(VLOOKUP($D114,素材!$1:$1016,COLUMN($F$1),FALSE)) - LEN(SUBSTITUTE(VLOOKUP($D114,素材!$1:$1016,COLUMN($F$1),FALSE), "・", 0)) + 1), 0)</f>
        <v>0</v>
      </c>
      <c r="AB114">
        <f>IF(ISNUMBER(SEARCH(SUBSTITUTE(AB$1,RIGHT(AB$1,2),""),VLOOKUP($D114,素材!$1:$1016,COLUMN($F$1),FALSE))),VLOOKUP($C114,武器!$1:$998,COLUMN($O$1),FALSE)*VLOOKUP($D114,素材!$1:$1016,COLUMN($E$1),FALSE)/(LEN(VLOOKUP($D114,素材!$1:$1016,COLUMN($F$1),FALSE)) - LEN(SUBSTITUTE(VLOOKUP($D114,素材!$1:$1016,COLUMN($F$1),FALSE), "・", 0)) + 1), 0)</f>
        <v>0</v>
      </c>
      <c r="AC114">
        <f>IF(ISNUMBER(SEARCH(SUBSTITUTE(AC$1,RIGHT(AC$1,2),""),VLOOKUP($D114,素材!$1:$1016,COLUMN($F$1),FALSE))),VLOOKUP($C114,武器!$1:$998,COLUMN($O$1),FALSE)*VLOOKUP($D114,素材!$1:$1016,COLUMN($E$1),FALSE)/(LEN(VLOOKUP($D114,素材!$1:$1016,COLUMN($F$1),FALSE)) - LEN(SUBSTITUTE(VLOOKUP($D114,素材!$1:$1016,COLUMN($F$1),FALSE), "・", 0)) + 1), 0)</f>
        <v>0</v>
      </c>
      <c r="AD114">
        <f>IF(ISNUMBER(SEARCH(SUBSTITUTE(AD$1,RIGHT(AD$1,2),""),VLOOKUP($D114,素材!$1:$1016,COLUMN($F$1),FALSE))),VLOOKUP($C114,武器!$1:$998,COLUMN($O$1),FALSE)*VLOOKUP($D114,素材!$1:$1016,COLUMN($E$1),FALSE)/(LEN(VLOOKUP($D114,素材!$1:$1016,COLUMN($F$1),FALSE)) - LEN(SUBSTITUTE(VLOOKUP($D114,素材!$1:$1016,COLUMN($F$1),FALSE), "・", 0)) + 1), 0)</f>
        <v>0</v>
      </c>
      <c r="AE114">
        <f>IF(ISNUMBER(SEARCH(SUBSTITUTE(AE$1,RIGHT(AE$1,2),""),VLOOKUP($D114,素材!$1:$1016,COLUMN($F$1),FALSE))),VLOOKUP($C114,武器!$1:$998,COLUMN($O$1),FALSE)*VLOOKUP($D114,素材!$1:$1016,COLUMN($E$1),FALSE)/(LEN(VLOOKUP($D114,素材!$1:$1016,COLUMN($F$1),FALSE)) - LEN(SUBSTITUTE(VLOOKUP($D114,素材!$1:$1016,COLUMN($F$1),FALSE), "・", 0)) + 1), 0)</f>
        <v>0</v>
      </c>
      <c r="AF114">
        <f>IF(ISNUMBER(SEARCH(SUBSTITUTE(AF$1,RIGHT(AF$1,2),""),VLOOKUP($D114,素材!$1:$1016,COLUMN($F$1),FALSE))),VLOOKUP($C114,武器!$1:$998,COLUMN($O$1),FALSE)*VLOOKUP($D114,素材!$1:$1016,COLUMN($E$1),FALSE)/(LEN(VLOOKUP($D114,素材!$1:$1016,COLUMN($F$1),FALSE)) - LEN(SUBSTITUTE(VLOOKUP($D114,素材!$1:$1016,COLUMN($F$1),FALSE), "・", 0)) + 1), 0)</f>
        <v>0</v>
      </c>
      <c r="AG114">
        <f>IF(ISNUMBER(SEARCH(SUBSTITUTE(AG$1,RIGHT(AG$1,2),""),VLOOKUP($D114,素材!$1:$1016,COLUMN($F$1),FALSE))),VLOOKUP($C114,武器!$1:$998,COLUMN($O$1),FALSE)*VLOOKUP($D114,素材!$1:$1016,COLUMN($E$1),FALSE)/(LEN(VLOOKUP($D114,素材!$1:$1016,COLUMN($F$1),FALSE)) - LEN(SUBSTITUTE(VLOOKUP($D114,素材!$1:$1016,COLUMN($F$1),FALSE), "・", 0)) + 1), 0)</f>
        <v>0</v>
      </c>
      <c r="AH114">
        <f>IF(ISNUMBER(SEARCH(SUBSTITUTE(AH$1,RIGHT(AH$1,2),""),VLOOKUP($D114,素材!$1:$1016,COLUMN($F$1),FALSE))),VLOOKUP($C114,武器!$1:$998,COLUMN($O$1),FALSE)*VLOOKUP($D114,素材!$1:$1016,COLUMN($E$1),FALSE)/(LEN(VLOOKUP($D114,素材!$1:$1016,COLUMN($F$1),FALSE)) - LEN(SUBSTITUTE(VLOOKUP($D114,素材!$1:$1016,COLUMN($F$1),FALSE), "・", 0)) + 1), 0)</f>
        <v>0</v>
      </c>
      <c r="AI114">
        <f>IF(ISNUMBER(SEARCH(SUBSTITUTE(AI$1,RIGHT(AI$1,2),""),VLOOKUP($D114,素材!$1:$1016,COLUMN($F$1),FALSE))),VLOOKUP($C114,武器!$1:$998,COLUMN($O$1),FALSE)*VLOOKUP($D114,素材!$1:$1016,COLUMN($E$1),FALSE)/(LEN(VLOOKUP($D114,素材!$1:$1016,COLUMN($F$1),FALSE)) - LEN(SUBSTITUTE(VLOOKUP($D114,素材!$1:$1016,COLUMN($F$1),FALSE), "・", 0)) + 1), 0)</f>
        <v>0</v>
      </c>
      <c r="AJ114">
        <f>IF(ISNUMBER(SEARCH(SUBSTITUTE(AJ$1,RIGHT(AJ$1,2),""),VLOOKUP($D114,素材!$1:$1016,COLUMN($F$1),FALSE))),VLOOKUP($C114,武器!$1:$998,COLUMN($O$1),FALSE)*VLOOKUP($D114,素材!$1:$1016,COLUMN($E$1),FALSE)/(LEN(VLOOKUP($D114,素材!$1:$1016,COLUMN($F$1),FALSE)) - LEN(SUBSTITUTE(VLOOKUP($D114,素材!$1:$1016,COLUMN($F$1),FALSE), "・", 0)) + 1), 0)</f>
        <v>0</v>
      </c>
      <c r="AK114">
        <f>IF(ISNUMBER(SEARCH(SUBSTITUTE(AK$1,RIGHT(AK$1,2),""),VLOOKUP($D114,素材!$1:$1016,COLUMN($F$1),FALSE))),VLOOKUP($C114,武器!$1:$998,COLUMN($O$1),FALSE)*VLOOKUP($D114,素材!$1:$1016,COLUMN($E$1),FALSE)/(LEN(VLOOKUP($D114,素材!$1:$1016,COLUMN($F$1),FALSE)) - LEN(SUBSTITUTE(VLOOKUP($D114,素材!$1:$1016,COLUMN($F$1),FALSE), "・", 0)) + 1), 0)</f>
        <v>0</v>
      </c>
      <c r="AL114">
        <f>IF(ISNUMBER(SEARCH(SUBSTITUTE(AL$1,RIGHT(AL$1,2),""),VLOOKUP($D114,素材!$1:$1016,COLUMN($F$1),FALSE))),VLOOKUP($C114,武器!$1:$998,COLUMN($O$1),FALSE)*VLOOKUP($D114,素材!$1:$1016,COLUMN($E$1),FALSE)/(LEN(VLOOKUP($D114,素材!$1:$1016,COLUMN($F$1),FALSE)) - LEN(SUBSTITUTE(VLOOKUP($D114,素材!$1:$1016,COLUMN($F$1),FALSE), "・", 0)) + 1), 0)</f>
        <v>0</v>
      </c>
      <c r="AM114">
        <f>IF(ISNUMBER(SEARCH(SUBSTITUTE(AM$1,RIGHT(AM$1,2),""),VLOOKUP($D114,素材!$1:$1016,COLUMN($F$1),FALSE))),VLOOKUP($C114,武器!$1:$998,COLUMN($O$1),FALSE)*VLOOKUP($D114,素材!$1:$1016,COLUMN($E$1),FALSE)/(LEN(VLOOKUP($D114,素材!$1:$1016,COLUMN($F$1),FALSE)) - LEN(SUBSTITUTE(VLOOKUP($D114,素材!$1:$1016,COLUMN($F$1),FALSE), "・", 0)) + 1), 0)</f>
        <v>0</v>
      </c>
      <c r="AN114">
        <f>IF(ISNUMBER(SEARCH(SUBSTITUTE(AN$1,RIGHT(AN$1,2),""),VLOOKUP($D114,素材!$1:$1016,COLUMN($F$1),FALSE))),VLOOKUP($C114,武器!$1:$998,COLUMN($O$1),FALSE)*VLOOKUP($D114,素材!$1:$1016,COLUMN($E$1),FALSE)/(LEN(VLOOKUP($D114,素材!$1:$1016,COLUMN($F$1),FALSE)) - LEN(SUBSTITUTE(VLOOKUP($D114,素材!$1:$1016,COLUMN($F$1),FALSE), "・", 0)) + 1), 0)</f>
        <v>0</v>
      </c>
      <c r="AO114">
        <f>IF(ISNUMBER(SEARCH(SUBSTITUTE(AO$1,RIGHT(AO$1,2),""),VLOOKUP($D114,素材!$1:$1016,COLUMN($F$1),FALSE))),VLOOKUP($C114,武器!$1:$998,COLUMN($O$1),FALSE)*VLOOKUP($D114,素材!$1:$1016,COLUMN($E$1),FALSE)/(LEN(VLOOKUP($D114,素材!$1:$1016,COLUMN($F$1),FALSE)) - LEN(SUBSTITUTE(VLOOKUP($D114,素材!$1:$1016,COLUMN($F$1),FALSE), "・", 0)) + 1), 0)</f>
        <v>0</v>
      </c>
      <c r="AP114">
        <f>IF(ISNUMBER(SEARCH(SUBSTITUTE(AP$1,RIGHT(AP$1,2),""),VLOOKUP($D114,素材!$1:$1016,COLUMN($F$1),FALSE))),VLOOKUP($C114,武器!$1:$998,COLUMN($O$1),FALSE)*VLOOKUP($D114,素材!$1:$1016,COLUMN($E$1),FALSE)/(LEN(VLOOKUP($D114,素材!$1:$1016,COLUMN($F$1),FALSE)) - LEN(SUBSTITUTE(VLOOKUP($D114,素材!$1:$1016,COLUMN($F$1),FALSE), "・", 0)) + 1), 0)</f>
        <v>0</v>
      </c>
      <c r="AQ114">
        <f>IF(ISNUMBER(SEARCH(SUBSTITUTE(AQ$1,RIGHT(AQ$1,2),""),VLOOKUP($D114,素材!$1:$1016,COLUMN($F$1),FALSE))),VLOOKUP($C114,武器!$1:$998,COLUMN($O$1),FALSE)*VLOOKUP($D114,素材!$1:$1016,COLUMN($E$1),FALSE)/(LEN(VLOOKUP($D114,素材!$1:$1016,COLUMN($F$1),FALSE)) - LEN(SUBSTITUTE(VLOOKUP($D114,素材!$1:$1016,COLUMN($F$1),FALSE), "・", 0)) + 1), 0)</f>
        <v>0</v>
      </c>
      <c r="AR114">
        <f>IF(ISNUMBER(SEARCH(SUBSTITUTE(AR$1,RIGHT(AR$1,2),""),VLOOKUP($D114,素材!$1:$1016,COLUMN($F$1),FALSE))),VLOOKUP($C114,武器!$1:$998,COLUMN($O$1),FALSE)*VLOOKUP($D114,素材!$1:$1016,COLUMN($E$1),FALSE)/(LEN(VLOOKUP($D114,素材!$1:$1016,COLUMN($F$1),FALSE)) - LEN(SUBSTITUTE(VLOOKUP($D114,素材!$1:$1016,COLUMN($F$1),FALSE), "・", 0)) + 1), 0)</f>
        <v>0</v>
      </c>
      <c r="AS114">
        <f>IF(ISNUMBER(SEARCH(SUBSTITUTE(AS$1,RIGHT(AS$1,2),""),VLOOKUP($D114,素材!$1:$1016,COLUMN($F$1),FALSE))),VLOOKUP($C114,武器!$1:$998,COLUMN($O$1),FALSE)*VLOOKUP($D114,素材!$1:$1016,COLUMN($E$1),FALSE)/(LEN(VLOOKUP($D114,素材!$1:$1016,COLUMN($F$1),FALSE)) - LEN(SUBSTITUTE(VLOOKUP($D114,素材!$1:$1016,COLUMN($F$1),FALSE), "・", 0)) + 1), 0)</f>
        <v>0</v>
      </c>
      <c r="AT114">
        <f>IF(ISNUMBER(SEARCH(SUBSTITUTE(AT$1,RIGHT(AT$1,2),""),VLOOKUP($D114,素材!$1:$1016,COLUMN($F$1),FALSE))),VLOOKUP($C114,武器!$1:$998,COLUMN($O$1),FALSE)*VLOOKUP($D114,素材!$1:$1016,COLUMN($E$1),FALSE)/(LEN(VLOOKUP($D114,素材!$1:$1016,COLUMN($F$1),FALSE)) - LEN(SUBSTITUTE(VLOOKUP($D114,素材!$1:$1016,COLUMN($F$1),FALSE), "・", 0)) + 1), 0)</f>
        <v>0</v>
      </c>
      <c r="AU114">
        <f>IF(ISNUMBER(SEARCH(SUBSTITUTE(AU$1,RIGHT(AU$1,2),""),VLOOKUP($D114,素材!$1:$1016,COLUMN($F$1),FALSE))),VLOOKUP($C114,武器!$1:$998,COLUMN($O$1),FALSE)*VLOOKUP($D114,素材!$1:$1016,COLUMN($E$1),FALSE)/(LEN(VLOOKUP($D114,素材!$1:$1016,COLUMN($F$1),FALSE)) - LEN(SUBSTITUTE(VLOOKUP($D114,素材!$1:$1016,COLUMN($F$1),FALSE), "・", 0)) + 1), 0)</f>
        <v>0</v>
      </c>
      <c r="AV114">
        <f>IF(ISNUMBER(SEARCH(SUBSTITUTE(AV$1,RIGHT(AV$1,2),""),VLOOKUP($D114,素材!$1:$1016,COLUMN($F$1),FALSE))),VLOOKUP($C114,武器!$1:$998,COLUMN($O$1),FALSE)*VLOOKUP($D114,素材!$1:$1016,COLUMN($E$1),FALSE)/(LEN(VLOOKUP($D114,素材!$1:$1016,COLUMN($F$1),FALSE)) - LEN(SUBSTITUTE(VLOOKUP($D114,素材!$1:$1016,COLUMN($F$1),FALSE), "・", 0)) + 1), 0)</f>
        <v>0</v>
      </c>
      <c r="AW114">
        <f>IF(ISNUMBER(SEARCH(SUBSTITUTE(AW$1,RIGHT(AW$1,2),""),VLOOKUP($D114,素材!$1:$1016,COLUMN($F$1),FALSE))),VLOOKUP($C114,武器!$1:$998,COLUMN($O$1),FALSE)*VLOOKUP($D114,素材!$1:$1016,COLUMN($E$1),FALSE)/(LEN(VLOOKUP($D114,素材!$1:$1016,COLUMN($F$1),FALSE)) - LEN(SUBSTITUTE(VLOOKUP($D114,素材!$1:$1016,COLUMN($F$1),FALSE), "・", 0)) + 1), 0)</f>
        <v>0</v>
      </c>
      <c r="AX114">
        <f>IF(ISNUMBER(SEARCH(SUBSTITUTE(AX$1,RIGHT(AX$1,2),""),VLOOKUP($D114,素材!$1:$1016,COLUMN($F$1),FALSE))),VLOOKUP($C114,武器!$1:$998,COLUMN($O$1),FALSE)*VLOOKUP($D114,素材!$1:$1016,COLUMN($E$1),FALSE)/(LEN(VLOOKUP($D114,素材!$1:$1016,COLUMN($F$1),FALSE)) - LEN(SUBSTITUTE(VLOOKUP($D114,素材!$1:$1016,COLUMN($F$1),FALSE), "・", 0)) + 1), 0)</f>
        <v>0</v>
      </c>
      <c r="AY114">
        <f>IF(ISNUMBER(SEARCH(SUBSTITUTE(AY$1,RIGHT(AY$1,2),""),VLOOKUP($D114,素材!$1:$1016,COLUMN($F$1),FALSE))),VLOOKUP($C114,武器!$1:$998,COLUMN($O$1),FALSE)*VLOOKUP($D114,素材!$1:$1016,COLUMN($E$1),FALSE)/(LEN(VLOOKUP($D114,素材!$1:$1016,COLUMN($F$1),FALSE)) - LEN(SUBSTITUTE(VLOOKUP($D114,素材!$1:$1016,COLUMN($F$1),FALSE), "・", 0)) + 1), 0)</f>
        <v>0</v>
      </c>
      <c r="AZ114">
        <f>IF(ISNUMBER(SEARCH(SUBSTITUTE(AZ$1,RIGHT(AZ$1,2),""),VLOOKUP($D114,素材!$1:$1016,COLUMN($F$1),FALSE))),VLOOKUP($C114,武器!$1:$998,COLUMN($O$1),FALSE)*VLOOKUP($D114,素材!$1:$1016,COLUMN($E$1),FALSE)/(LEN(VLOOKUP($D114,素材!$1:$1016,COLUMN($F$1),FALSE)) - LEN(SUBSTITUTE(VLOOKUP($D114,素材!$1:$1016,COLUMN($F$1),FALSE), "・", 0)) + 1), 0)</f>
        <v>0</v>
      </c>
      <c r="BA114">
        <f>IF(ISNUMBER(SEARCH(SUBSTITUTE(BA$1,RIGHT(BA$1,2),""),VLOOKUP($D114,素材!$1:$1016,COLUMN($F$1),FALSE))),VLOOKUP($C114,武器!$1:$998,COLUMN($O$1),FALSE)*VLOOKUP($D114,素材!$1:$1016,COLUMN($E$1),FALSE)/(LEN(VLOOKUP($D114,素材!$1:$1016,COLUMN($F$1),FALSE)) - LEN(SUBSTITUTE(VLOOKUP($D114,素材!$1:$1016,COLUMN($F$1),FALSE), "・", 0)) + 1), 0)</f>
        <v>0</v>
      </c>
      <c r="BB114">
        <f>IF(ISNUMBER(SEARCH(SUBSTITUTE(BB$1,RIGHT(BB$1,2),""),VLOOKUP($D114,素材!$1:$1016,COLUMN($F$1),FALSE))),VLOOKUP($C114,武器!$1:$998,COLUMN($O$1),FALSE)*VLOOKUP($D114,素材!$1:$1016,COLUMN($E$1),FALSE)/(LEN(VLOOKUP($D114,素材!$1:$1016,COLUMN($F$1),FALSE)) - LEN(SUBSTITUTE(VLOOKUP($D114,素材!$1:$1016,COLUMN($F$1),FALSE), "・", 0)) + 1), 0)</f>
        <v>0</v>
      </c>
      <c r="BC114">
        <f>IF(ISNUMBER(SEARCH(SUBSTITUTE(BC$1,RIGHT(BC$1,2),""),VLOOKUP($D114,素材!$1:$1016,COLUMN($F$1),FALSE))),VLOOKUP($C114,武器!$1:$998,COLUMN($O$1),FALSE)*VLOOKUP($D114,素材!$1:$1016,COLUMN($E$1),FALSE)/(LEN(VLOOKUP($D114,素材!$1:$1016,COLUMN($F$1),FALSE)) - LEN(SUBSTITUTE(VLOOKUP($D114,素材!$1:$1016,COLUMN($F$1),FALSE), "・", 0)) + 1), 0)</f>
        <v>0</v>
      </c>
      <c r="BD114">
        <f>IF(ISNUMBER(SEARCH(SUBSTITUTE(BD$1,RIGHT(BD$1,2),""),VLOOKUP($D114,素材!$1:$1016,COLUMN($F$1),FALSE))),VLOOKUP($C114,武器!$1:$998,COLUMN($O$1),FALSE)*VLOOKUP($D114,素材!$1:$1016,COLUMN($E$1),FALSE)/(LEN(VLOOKUP($D114,素材!$1:$1016,COLUMN($F$1),FALSE)) - LEN(SUBSTITUTE(VLOOKUP($D114,素材!$1:$1016,COLUMN($F$1),FALSE), "・", 0)) + 1), 0)</f>
        <v>0</v>
      </c>
      <c r="BE114">
        <f>IF(ISNUMBER(SEARCH(SUBSTITUTE(BE$1,RIGHT(BE$1,2),""),VLOOKUP($D114,素材!$1:$1016,COLUMN($F$1),FALSE))),VLOOKUP($C114,武器!$1:$998,COLUMN($O$1),FALSE)*VLOOKUP($D114,素材!$1:$1016,COLUMN($E$1),FALSE)/(LEN(VLOOKUP($D114,素材!$1:$1016,COLUMN($F$1),FALSE)) - LEN(SUBSTITUTE(VLOOKUP($D114,素材!$1:$1016,COLUMN($F$1),FALSE), "・", 0)) + 1), 0)</f>
        <v>0</v>
      </c>
      <c r="CL114">
        <f>SUM(G114:I114)</f>
        <v>27</v>
      </c>
      <c r="CM114" s="22" t="str">
        <f>IF(E114="武器",IF(J114-1&gt;SUM(G114:I114),"盾",IF(MAX(G114:I114)=G114,"切断",IF(MAX(G114:I114)=H114,"貫通",IF(MAX(G114:I114)=I114,"打撃","射撃")))),E114)&amp;".webp"</f>
        <v>足.webp</v>
      </c>
      <c r="CN114">
        <f>IFERROR(VLOOKUP($C114,武器!$1:$998,COLUMN(V$1),FALSE)*VLOOKUP($D114,素材!$1:$1016,COLUMN(N$1),FALSE)+IF(CI114="",0,VLOOKUP($CI114,装強!$1:$1008,COLUMN($CK$1),FALSE)),"")</f>
        <v>450</v>
      </c>
      <c r="CO114" t="str">
        <f>VLOOKUP(D114,素材!$A:$O,COLUMN(素材!O$1),FALSE)</f>
        <v>鍛えられた鉄。硬度が高く安価なためよく使用される。</v>
      </c>
      <c r="CP114" t="str">
        <f>VLOOKUP(C114,武器!$A:$W,COLUMN(武器!W$1),FALSE)</f>
        <v>速度 隠密 軽業 体幹</v>
      </c>
      <c r="CR114" t="str">
        <f t="shared" si="5"/>
        <v>e_114</v>
      </c>
      <c r="CS114">
        <f t="shared" si="6"/>
        <v>45000</v>
      </c>
    </row>
    <row r="115" spans="1:97" x14ac:dyDescent="0.4">
      <c r="A115" t="str">
        <f t="shared" si="7"/>
        <v>の</v>
      </c>
      <c r="B115" t="str">
        <f>IFERROR(VLOOKUP($D115,素材!$1:$1016,COLUMN($B$1),FALSE)&amp;"・"&amp;VLOOKUP($C115,武器!$1:$998,COLUMN(B$1),FALSE),"")</f>
        <v/>
      </c>
      <c r="D115" s="24"/>
      <c r="E115" t="str">
        <f>IFERROR(VLOOKUP(C115,武器!$1:$998,COLUMN(C$1),FALSE),"")</f>
        <v/>
      </c>
      <c r="F115" t="str">
        <f>IFERROR(ROUNDDOWN((VLOOKUP($C115,武器!$1:$998,COLUMN(D$1),FALSE)+IFERROR(VLOOKUP($CI115,装強!$1:$999,COLUMN(F$1),FALSE),0))*VLOOKUP($D115,素材!$1:$1016,COLUMN(D$1),FALSE),0),"")</f>
        <v/>
      </c>
      <c r="G115" t="str">
        <f>IFERROR(ROUNDDOWN((VLOOKUP($C115,武器!$1:$998,COLUMN(E$1),FALSE)+IFERROR(VLOOKUP($CI115,装強!$1:$999,COLUMN(G$1),FALSE),0))*VLOOKUP($D115,素材!$1:$1016,COLUMN($E$1),FALSE),0),"")</f>
        <v/>
      </c>
      <c r="H115" t="str">
        <f>IFERROR(ROUNDDOWN((VLOOKUP($C115,武器!$1:$998,COLUMN(F$1),FALSE)+IFERROR(VLOOKUP($CI115,装強!$1:$999,COLUMN(H$1),FALSE),0))*VLOOKUP($D115,素材!$1:$1016,COLUMN($E$1),FALSE),0),"")</f>
        <v/>
      </c>
      <c r="I115" t="str">
        <f>IFERROR(ROUNDDOWN((VLOOKUP($C115,武器!$1:$998,COLUMN(G$1),FALSE)+IFERROR(VLOOKUP($CI115,装強!$1:$999,COLUMN(I$1),FALSE),0))*VLOOKUP($D115,素材!$1:$1016,COLUMN($E$1),FALSE),0),"")</f>
        <v/>
      </c>
      <c r="J115" t="str">
        <f>IFERROR(ROUNDDOWN((VLOOKUP($C115,武器!$1:$998,COLUMN(H$1),FALSE)+IFERROR(VLOOKUP($CI115,装強!$1:$999,COLUMN(J$1),FALSE),0))*VLOOKUP($D115,素材!$1:$1016,COLUMN($E$1),FALSE),0),"")</f>
        <v/>
      </c>
      <c r="K115" t="str">
        <f>IFERROR(ROUNDDOWN((VLOOKUP($C115,武器!$1:$998,COLUMN(I$1),FALSE)+IFERROR(VLOOKUP($CI115,装強!$1:$999,COLUMN(K$1),FALSE),0))*VLOOKUP($D115,素材!$1:$1016,COLUMN($E$1),FALSE),0),"")</f>
        <v/>
      </c>
      <c r="L115" t="str">
        <f>IFERROR(VLOOKUP($D115,素材!$1:$1016,COLUMN($F$1),FALSE),"")</f>
        <v/>
      </c>
      <c r="M115" t="str">
        <f>IFERROR(VLOOKUP($C115,武器!$1:$998,COLUMN(AA$1),FALSE)*VLOOKUP($D115,素材!$1:$1016,COLUMN($G$1),FALSE),"")</f>
        <v/>
      </c>
      <c r="N115" t="str">
        <f>IFERROR(VLOOKUP($C115,武器!$1:$998,COLUMN(I$1),FALSE),"")</f>
        <v/>
      </c>
      <c r="O115" s="23" t="str">
        <f>IFERROR((VLOOKUP($C115,武器!$1:$998,COLUMN(K$1),FALSE)+VLOOKUP($D115,素材!$1:$1016,COLUMN(H$1),FALSE))*100+IFERROR(VLOOKUP($CI115,装強!$1:$999,COLUMN(O$1),FALSE),0),"")</f>
        <v/>
      </c>
      <c r="P115" s="23" t="str">
        <f>IFERROR((VLOOKUP($C115,武器!$1:$998,COLUMN(L$1),FALSE)+VLOOKUP($D115,素材!$1:$1016,COLUMN(I$1),FALSE))*100+IFERROR(VLOOKUP($CI115,装強!$1:$999,COLUMN(P$1),FALSE),0),"")</f>
        <v/>
      </c>
      <c r="Q115" t="str">
        <f>IFERROR(ROUNDUP(VLOOKUP($C115,武器!$1:$998,COLUMN(M$1),FALSE)*(VLOOKUP($D115,素材!$1:$1002,COLUMN(D$1),FALSE)/100),1),"")</f>
        <v/>
      </c>
      <c r="R115" t="str">
        <f>IFERROR(ROUNDUP(VLOOKUP($C115,武器!$1:$998,COLUMN(N$1),FALSE)*(VLOOKUP($D115,素材!$1:$1002,COLUMN(D$1),FALSE)/100),1),"")</f>
        <v/>
      </c>
      <c r="S115" t="str">
        <f>IFERROR(VLOOKUP($C115,武器!$1:$998,COLUMN(P$1),FALSE),"")</f>
        <v/>
      </c>
      <c r="T115" t="str">
        <f>IFERROR(VLOOKUP($C115,武器!$1:$998,COLUMN(Q$1),FALSE),"")</f>
        <v/>
      </c>
      <c r="U115" t="str">
        <f>IFERROR(VLOOKUP($C115,武器!$1:$998,COLUMN(R$1),FALSE),"")</f>
        <v/>
      </c>
      <c r="V115" t="str">
        <f>IFERROR(VLOOKUP($C115,武器!$1:$998,COLUMN(Q$1),FALSE),"")</f>
        <v/>
      </c>
      <c r="W115" t="str">
        <f>IFERROR(VLOOKUP($C115,武器!$1:$998,COLUMN(T$1),FALSE),"")</f>
        <v/>
      </c>
      <c r="Y115" t="str">
        <f>IFERROR(VLOOKUP($C115,武器!$1:$998,COLUMN(U$1),FALSE),"")</f>
        <v/>
      </c>
      <c r="Z115" t="str">
        <f>IFERROR(ROUNDUP(VLOOKUP($C115,武器!$1:$998,COLUMN(O$1),FALSE)*VLOOKUP($D115,素材!$1:$1016,COLUMN(E$1),FALSE),1),"")</f>
        <v/>
      </c>
      <c r="AA115">
        <f>IF(ISNUMBER(SEARCH(SUBSTITUTE(AA$1,RIGHT(AA$1,2),""),VLOOKUP($D115,素材!$1:$1016,COLUMN($F$1),FALSE))),VLOOKUP($C115,武器!$1:$998,COLUMN($O$1),FALSE)*VLOOKUP($D115,素材!$1:$1016,COLUMN($E$1),FALSE)/(LEN(VLOOKUP($D115,素材!$1:$1016,COLUMN($F$1),FALSE)) - LEN(SUBSTITUTE(VLOOKUP($D115,素材!$1:$1016,COLUMN($F$1),FALSE), "・", 0)) + 1), 0)</f>
        <v>0</v>
      </c>
      <c r="AB115">
        <f>IF(ISNUMBER(SEARCH(SUBSTITUTE(AB$1,RIGHT(AB$1,2),""),VLOOKUP($D115,素材!$1:$1016,COLUMN($F$1),FALSE))),VLOOKUP($C115,武器!$1:$998,COLUMN($O$1),FALSE)*VLOOKUP($D115,素材!$1:$1016,COLUMN($E$1),FALSE)/(LEN(VLOOKUP($D115,素材!$1:$1016,COLUMN($F$1),FALSE)) - LEN(SUBSTITUTE(VLOOKUP($D115,素材!$1:$1016,COLUMN($F$1),FALSE), "・", 0)) + 1), 0)</f>
        <v>0</v>
      </c>
      <c r="AC115">
        <f>IF(ISNUMBER(SEARCH(SUBSTITUTE(AC$1,RIGHT(AC$1,2),""),VLOOKUP($D115,素材!$1:$1016,COLUMN($F$1),FALSE))),VLOOKUP($C115,武器!$1:$998,COLUMN($O$1),FALSE)*VLOOKUP($D115,素材!$1:$1016,COLUMN($E$1),FALSE)/(LEN(VLOOKUP($D115,素材!$1:$1016,COLUMN($F$1),FALSE)) - LEN(SUBSTITUTE(VLOOKUP($D115,素材!$1:$1016,COLUMN($F$1),FALSE), "・", 0)) + 1), 0)</f>
        <v>0</v>
      </c>
      <c r="AD115">
        <f>IF(ISNUMBER(SEARCH(SUBSTITUTE(AD$1,RIGHT(AD$1,2),""),VLOOKUP($D115,素材!$1:$1016,COLUMN($F$1),FALSE))),VLOOKUP($C115,武器!$1:$998,COLUMN($O$1),FALSE)*VLOOKUP($D115,素材!$1:$1016,COLUMN($E$1),FALSE)/(LEN(VLOOKUP($D115,素材!$1:$1016,COLUMN($F$1),FALSE)) - LEN(SUBSTITUTE(VLOOKUP($D115,素材!$1:$1016,COLUMN($F$1),FALSE), "・", 0)) + 1), 0)</f>
        <v>0</v>
      </c>
      <c r="AE115">
        <f>IF(ISNUMBER(SEARCH(SUBSTITUTE(AE$1,RIGHT(AE$1,2),""),VLOOKUP($D115,素材!$1:$1016,COLUMN($F$1),FALSE))),VLOOKUP($C115,武器!$1:$998,COLUMN($O$1),FALSE)*VLOOKUP($D115,素材!$1:$1016,COLUMN($E$1),FALSE)/(LEN(VLOOKUP($D115,素材!$1:$1016,COLUMN($F$1),FALSE)) - LEN(SUBSTITUTE(VLOOKUP($D115,素材!$1:$1016,COLUMN($F$1),FALSE), "・", 0)) + 1), 0)</f>
        <v>0</v>
      </c>
      <c r="AF115">
        <f>IF(ISNUMBER(SEARCH(SUBSTITUTE(AF$1,RIGHT(AF$1,2),""),VLOOKUP($D115,素材!$1:$1016,COLUMN($F$1),FALSE))),VLOOKUP($C115,武器!$1:$998,COLUMN($O$1),FALSE)*VLOOKUP($D115,素材!$1:$1016,COLUMN($E$1),FALSE)/(LEN(VLOOKUP($D115,素材!$1:$1016,COLUMN($F$1),FALSE)) - LEN(SUBSTITUTE(VLOOKUP($D115,素材!$1:$1016,COLUMN($F$1),FALSE), "・", 0)) + 1), 0)</f>
        <v>0</v>
      </c>
      <c r="AG115">
        <f>IF(ISNUMBER(SEARCH(SUBSTITUTE(AG$1,RIGHT(AG$1,2),""),VLOOKUP($D115,素材!$1:$1016,COLUMN($F$1),FALSE))),VLOOKUP($C115,武器!$1:$998,COLUMN($O$1),FALSE)*VLOOKUP($D115,素材!$1:$1016,COLUMN($E$1),FALSE)/(LEN(VLOOKUP($D115,素材!$1:$1016,COLUMN($F$1),FALSE)) - LEN(SUBSTITUTE(VLOOKUP($D115,素材!$1:$1016,COLUMN($F$1),FALSE), "・", 0)) + 1), 0)</f>
        <v>0</v>
      </c>
      <c r="AH115">
        <f>IF(ISNUMBER(SEARCH(SUBSTITUTE(AH$1,RIGHT(AH$1,2),""),VLOOKUP($D115,素材!$1:$1016,COLUMN($F$1),FALSE))),VLOOKUP($C115,武器!$1:$998,COLUMN($O$1),FALSE)*VLOOKUP($D115,素材!$1:$1016,COLUMN($E$1),FALSE)/(LEN(VLOOKUP($D115,素材!$1:$1016,COLUMN($F$1),FALSE)) - LEN(SUBSTITUTE(VLOOKUP($D115,素材!$1:$1016,COLUMN($F$1),FALSE), "・", 0)) + 1), 0)</f>
        <v>0</v>
      </c>
      <c r="AI115">
        <f>IF(ISNUMBER(SEARCH(SUBSTITUTE(AI$1,RIGHT(AI$1,2),""),VLOOKUP($D115,素材!$1:$1016,COLUMN($F$1),FALSE))),VLOOKUP($C115,武器!$1:$998,COLUMN($O$1),FALSE)*VLOOKUP($D115,素材!$1:$1016,COLUMN($E$1),FALSE)/(LEN(VLOOKUP($D115,素材!$1:$1016,COLUMN($F$1),FALSE)) - LEN(SUBSTITUTE(VLOOKUP($D115,素材!$1:$1016,COLUMN($F$1),FALSE), "・", 0)) + 1), 0)</f>
        <v>0</v>
      </c>
      <c r="AJ115">
        <f>IF(ISNUMBER(SEARCH(SUBSTITUTE(AJ$1,RIGHT(AJ$1,2),""),VLOOKUP($D115,素材!$1:$1016,COLUMN($F$1),FALSE))),VLOOKUP($C115,武器!$1:$998,COLUMN($O$1),FALSE)*VLOOKUP($D115,素材!$1:$1016,COLUMN($E$1),FALSE)/(LEN(VLOOKUP($D115,素材!$1:$1016,COLUMN($F$1),FALSE)) - LEN(SUBSTITUTE(VLOOKUP($D115,素材!$1:$1016,COLUMN($F$1),FALSE), "・", 0)) + 1), 0)</f>
        <v>0</v>
      </c>
      <c r="AK115">
        <f>IF(ISNUMBER(SEARCH(SUBSTITUTE(AK$1,RIGHT(AK$1,2),""),VLOOKUP($D115,素材!$1:$1016,COLUMN($F$1),FALSE))),VLOOKUP($C115,武器!$1:$998,COLUMN($O$1),FALSE)*VLOOKUP($D115,素材!$1:$1016,COLUMN($E$1),FALSE)/(LEN(VLOOKUP($D115,素材!$1:$1016,COLUMN($F$1),FALSE)) - LEN(SUBSTITUTE(VLOOKUP($D115,素材!$1:$1016,COLUMN($F$1),FALSE), "・", 0)) + 1), 0)</f>
        <v>0</v>
      </c>
      <c r="AL115">
        <f>IF(ISNUMBER(SEARCH(SUBSTITUTE(AL$1,RIGHT(AL$1,2),""),VLOOKUP($D115,素材!$1:$1016,COLUMN($F$1),FALSE))),VLOOKUP($C115,武器!$1:$998,COLUMN($O$1),FALSE)*VLOOKUP($D115,素材!$1:$1016,COLUMN($E$1),FALSE)/(LEN(VLOOKUP($D115,素材!$1:$1016,COLUMN($F$1),FALSE)) - LEN(SUBSTITUTE(VLOOKUP($D115,素材!$1:$1016,COLUMN($F$1),FALSE), "・", 0)) + 1), 0)</f>
        <v>0</v>
      </c>
      <c r="AM115">
        <f>IF(ISNUMBER(SEARCH(SUBSTITUTE(AM$1,RIGHT(AM$1,2),""),VLOOKUP($D115,素材!$1:$1016,COLUMN($F$1),FALSE))),VLOOKUP($C115,武器!$1:$998,COLUMN($O$1),FALSE)*VLOOKUP($D115,素材!$1:$1016,COLUMN($E$1),FALSE)/(LEN(VLOOKUP($D115,素材!$1:$1016,COLUMN($F$1),FALSE)) - LEN(SUBSTITUTE(VLOOKUP($D115,素材!$1:$1016,COLUMN($F$1),FALSE), "・", 0)) + 1), 0)</f>
        <v>0</v>
      </c>
      <c r="AN115">
        <f>IF(ISNUMBER(SEARCH(SUBSTITUTE(AN$1,RIGHT(AN$1,2),""),VLOOKUP($D115,素材!$1:$1016,COLUMN($F$1),FALSE))),VLOOKUP($C115,武器!$1:$998,COLUMN($O$1),FALSE)*VLOOKUP($D115,素材!$1:$1016,COLUMN($E$1),FALSE)/(LEN(VLOOKUP($D115,素材!$1:$1016,COLUMN($F$1),FALSE)) - LEN(SUBSTITUTE(VLOOKUP($D115,素材!$1:$1016,COLUMN($F$1),FALSE), "・", 0)) + 1), 0)</f>
        <v>0</v>
      </c>
      <c r="AO115">
        <f>IF(ISNUMBER(SEARCH(SUBSTITUTE(AO$1,RIGHT(AO$1,2),""),VLOOKUP($D115,素材!$1:$1016,COLUMN($F$1),FALSE))),VLOOKUP($C115,武器!$1:$998,COLUMN($O$1),FALSE)*VLOOKUP($D115,素材!$1:$1016,COLUMN($E$1),FALSE)/(LEN(VLOOKUP($D115,素材!$1:$1016,COLUMN($F$1),FALSE)) - LEN(SUBSTITUTE(VLOOKUP($D115,素材!$1:$1016,COLUMN($F$1),FALSE), "・", 0)) + 1), 0)</f>
        <v>0</v>
      </c>
      <c r="AP115">
        <f>IF(ISNUMBER(SEARCH(SUBSTITUTE(AP$1,RIGHT(AP$1,2),""),VLOOKUP($D115,素材!$1:$1016,COLUMN($F$1),FALSE))),VLOOKUP($C115,武器!$1:$998,COLUMN($O$1),FALSE)*VLOOKUP($D115,素材!$1:$1016,COLUMN($E$1),FALSE)/(LEN(VLOOKUP($D115,素材!$1:$1016,COLUMN($F$1),FALSE)) - LEN(SUBSTITUTE(VLOOKUP($D115,素材!$1:$1016,COLUMN($F$1),FALSE), "・", 0)) + 1), 0)</f>
        <v>0</v>
      </c>
      <c r="AQ115">
        <f>IF(ISNUMBER(SEARCH(SUBSTITUTE(AQ$1,RIGHT(AQ$1,2),""),VLOOKUP($D115,素材!$1:$1016,COLUMN($F$1),FALSE))),VLOOKUP($C115,武器!$1:$998,COLUMN($O$1),FALSE)*VLOOKUP($D115,素材!$1:$1016,COLUMN($E$1),FALSE)/(LEN(VLOOKUP($D115,素材!$1:$1016,COLUMN($F$1),FALSE)) - LEN(SUBSTITUTE(VLOOKUP($D115,素材!$1:$1016,COLUMN($F$1),FALSE), "・", 0)) + 1), 0)</f>
        <v>0</v>
      </c>
      <c r="AR115">
        <f>IF(ISNUMBER(SEARCH(SUBSTITUTE(AR$1,RIGHT(AR$1,2),""),VLOOKUP($D115,素材!$1:$1016,COLUMN($F$1),FALSE))),VLOOKUP($C115,武器!$1:$998,COLUMN($O$1),FALSE)*VLOOKUP($D115,素材!$1:$1016,COLUMN($E$1),FALSE)/(LEN(VLOOKUP($D115,素材!$1:$1016,COLUMN($F$1),FALSE)) - LEN(SUBSTITUTE(VLOOKUP($D115,素材!$1:$1016,COLUMN($F$1),FALSE), "・", 0)) + 1), 0)</f>
        <v>0</v>
      </c>
      <c r="AS115">
        <f>IF(ISNUMBER(SEARCH(SUBSTITUTE(AS$1,RIGHT(AS$1,2),""),VLOOKUP($D115,素材!$1:$1016,COLUMN($F$1),FALSE))),VLOOKUP($C115,武器!$1:$998,COLUMN($O$1),FALSE)*VLOOKUP($D115,素材!$1:$1016,COLUMN($E$1),FALSE)/(LEN(VLOOKUP($D115,素材!$1:$1016,COLUMN($F$1),FALSE)) - LEN(SUBSTITUTE(VLOOKUP($D115,素材!$1:$1016,COLUMN($F$1),FALSE), "・", 0)) + 1), 0)</f>
        <v>0</v>
      </c>
      <c r="AT115">
        <f>IF(ISNUMBER(SEARCH(SUBSTITUTE(AT$1,RIGHT(AT$1,2),""),VLOOKUP($D115,素材!$1:$1016,COLUMN($F$1),FALSE))),VLOOKUP($C115,武器!$1:$998,COLUMN($O$1),FALSE)*VLOOKUP($D115,素材!$1:$1016,COLUMN($E$1),FALSE)/(LEN(VLOOKUP($D115,素材!$1:$1016,COLUMN($F$1),FALSE)) - LEN(SUBSTITUTE(VLOOKUP($D115,素材!$1:$1016,COLUMN($F$1),FALSE), "・", 0)) + 1), 0)</f>
        <v>0</v>
      </c>
      <c r="AU115">
        <f>IF(ISNUMBER(SEARCH(SUBSTITUTE(AU$1,RIGHT(AU$1,2),""),VLOOKUP($D115,素材!$1:$1016,COLUMN($F$1),FALSE))),VLOOKUP($C115,武器!$1:$998,COLUMN($O$1),FALSE)*VLOOKUP($D115,素材!$1:$1016,COLUMN($E$1),FALSE)/(LEN(VLOOKUP($D115,素材!$1:$1016,COLUMN($F$1),FALSE)) - LEN(SUBSTITUTE(VLOOKUP($D115,素材!$1:$1016,COLUMN($F$1),FALSE), "・", 0)) + 1), 0)</f>
        <v>0</v>
      </c>
      <c r="AV115">
        <f>IF(ISNUMBER(SEARCH(SUBSTITUTE(AV$1,RIGHT(AV$1,2),""),VLOOKUP($D115,素材!$1:$1016,COLUMN($F$1),FALSE))),VLOOKUP($C115,武器!$1:$998,COLUMN($O$1),FALSE)*VLOOKUP($D115,素材!$1:$1016,COLUMN($E$1),FALSE)/(LEN(VLOOKUP($D115,素材!$1:$1016,COLUMN($F$1),FALSE)) - LEN(SUBSTITUTE(VLOOKUP($D115,素材!$1:$1016,COLUMN($F$1),FALSE), "・", 0)) + 1), 0)</f>
        <v>0</v>
      </c>
      <c r="AW115">
        <f>IF(ISNUMBER(SEARCH(SUBSTITUTE(AW$1,RIGHT(AW$1,2),""),VLOOKUP($D115,素材!$1:$1016,COLUMN($F$1),FALSE))),VLOOKUP($C115,武器!$1:$998,COLUMN($O$1),FALSE)*VLOOKUP($D115,素材!$1:$1016,COLUMN($E$1),FALSE)/(LEN(VLOOKUP($D115,素材!$1:$1016,COLUMN($F$1),FALSE)) - LEN(SUBSTITUTE(VLOOKUP($D115,素材!$1:$1016,COLUMN($F$1),FALSE), "・", 0)) + 1), 0)</f>
        <v>0</v>
      </c>
      <c r="AX115">
        <f>IF(ISNUMBER(SEARCH(SUBSTITUTE(AX$1,RIGHT(AX$1,2),""),VLOOKUP($D115,素材!$1:$1016,COLUMN($F$1),FALSE))),VLOOKUP($C115,武器!$1:$998,COLUMN($O$1),FALSE)*VLOOKUP($D115,素材!$1:$1016,COLUMN($E$1),FALSE)/(LEN(VLOOKUP($D115,素材!$1:$1016,COLUMN($F$1),FALSE)) - LEN(SUBSTITUTE(VLOOKUP($D115,素材!$1:$1016,COLUMN($F$1),FALSE), "・", 0)) + 1), 0)</f>
        <v>0</v>
      </c>
      <c r="AY115">
        <f>IF(ISNUMBER(SEARCH(SUBSTITUTE(AY$1,RIGHT(AY$1,2),""),VLOOKUP($D115,素材!$1:$1016,COLUMN($F$1),FALSE))),VLOOKUP($C115,武器!$1:$998,COLUMN($O$1),FALSE)*VLOOKUP($D115,素材!$1:$1016,COLUMN($E$1),FALSE)/(LEN(VLOOKUP($D115,素材!$1:$1016,COLUMN($F$1),FALSE)) - LEN(SUBSTITUTE(VLOOKUP($D115,素材!$1:$1016,COLUMN($F$1),FALSE), "・", 0)) + 1), 0)</f>
        <v>0</v>
      </c>
      <c r="AZ115">
        <f>IF(ISNUMBER(SEARCH(SUBSTITUTE(AZ$1,RIGHT(AZ$1,2),""),VLOOKUP($D115,素材!$1:$1016,COLUMN($F$1),FALSE))),VLOOKUP($C115,武器!$1:$998,COLUMN($O$1),FALSE)*VLOOKUP($D115,素材!$1:$1016,COLUMN($E$1),FALSE)/(LEN(VLOOKUP($D115,素材!$1:$1016,COLUMN($F$1),FALSE)) - LEN(SUBSTITUTE(VLOOKUP($D115,素材!$1:$1016,COLUMN($F$1),FALSE), "・", 0)) + 1), 0)</f>
        <v>0</v>
      </c>
      <c r="BA115">
        <f>IF(ISNUMBER(SEARCH(SUBSTITUTE(BA$1,RIGHT(BA$1,2),""),VLOOKUP($D115,素材!$1:$1016,COLUMN($F$1),FALSE))),VLOOKUP($C115,武器!$1:$998,COLUMN($O$1),FALSE)*VLOOKUP($D115,素材!$1:$1016,COLUMN($E$1),FALSE)/(LEN(VLOOKUP($D115,素材!$1:$1016,COLUMN($F$1),FALSE)) - LEN(SUBSTITUTE(VLOOKUP($D115,素材!$1:$1016,COLUMN($F$1),FALSE), "・", 0)) + 1), 0)</f>
        <v>0</v>
      </c>
      <c r="BB115">
        <f>IF(ISNUMBER(SEARCH(SUBSTITUTE(BB$1,RIGHT(BB$1,2),""),VLOOKUP($D115,素材!$1:$1016,COLUMN($F$1),FALSE))),VLOOKUP($C115,武器!$1:$998,COLUMN($O$1),FALSE)*VLOOKUP($D115,素材!$1:$1016,COLUMN($E$1),FALSE)/(LEN(VLOOKUP($D115,素材!$1:$1016,COLUMN($F$1),FALSE)) - LEN(SUBSTITUTE(VLOOKUP($D115,素材!$1:$1016,COLUMN($F$1),FALSE), "・", 0)) + 1), 0)</f>
        <v>0</v>
      </c>
      <c r="BC115">
        <f>IF(ISNUMBER(SEARCH(SUBSTITUTE(BC$1,RIGHT(BC$1,2),""),VLOOKUP($D115,素材!$1:$1016,COLUMN($F$1),FALSE))),VLOOKUP($C115,武器!$1:$998,COLUMN($O$1),FALSE)*VLOOKUP($D115,素材!$1:$1016,COLUMN($E$1),FALSE)/(LEN(VLOOKUP($D115,素材!$1:$1016,COLUMN($F$1),FALSE)) - LEN(SUBSTITUTE(VLOOKUP($D115,素材!$1:$1016,COLUMN($F$1),FALSE), "・", 0)) + 1), 0)</f>
        <v>0</v>
      </c>
      <c r="BD115">
        <f>IF(ISNUMBER(SEARCH(SUBSTITUTE(BD$1,RIGHT(BD$1,2),""),VLOOKUP($D115,素材!$1:$1016,COLUMN($F$1),FALSE))),VLOOKUP($C115,武器!$1:$998,COLUMN($O$1),FALSE)*VLOOKUP($D115,素材!$1:$1016,COLUMN($E$1),FALSE)/(LEN(VLOOKUP($D115,素材!$1:$1016,COLUMN($F$1),FALSE)) - LEN(SUBSTITUTE(VLOOKUP($D115,素材!$1:$1016,COLUMN($F$1),FALSE), "・", 0)) + 1), 0)</f>
        <v>0</v>
      </c>
      <c r="BE115">
        <f>IF(ISNUMBER(SEARCH(SUBSTITUTE(BE$1,RIGHT(BE$1,2),""),VLOOKUP($D115,素材!$1:$1016,COLUMN($F$1),FALSE))),VLOOKUP($C115,武器!$1:$998,COLUMN($O$1),FALSE)*VLOOKUP($D115,素材!$1:$1016,COLUMN($E$1),FALSE)/(LEN(VLOOKUP($D115,素材!$1:$1016,COLUMN($F$1),FALSE)) - LEN(SUBSTITUTE(VLOOKUP($D115,素材!$1:$1016,COLUMN($F$1),FALSE), "・", 0)) + 1), 0)</f>
        <v>0</v>
      </c>
      <c r="CL115">
        <f>SUM(G115:I115)</f>
        <v>0</v>
      </c>
      <c r="CM115" s="22" t="str">
        <f>IF(E115="武器",IF(J115-1&gt;SUM(G115:I115),"盾",IF(MAX(G115:I115)=G115,"切断",IF(MAX(G115:I115)=H115,"貫通",IF(MAX(G115:I115)=I115,"打撃","射撃")))),E115)&amp;".webp"</f>
        <v>.webp</v>
      </c>
      <c r="CN115" t="str">
        <f>IFERROR(VLOOKUP($C115,武器!$1:$998,COLUMN(V$1),FALSE)*VLOOKUP($D115,素材!$1:$1016,COLUMN(N$1),FALSE)+IF(CI115="",0,VLOOKUP($CI115,装強!$1:$1008,COLUMN($CK$1),FALSE)),"")</f>
        <v/>
      </c>
      <c r="CO115" t="e">
        <f>VLOOKUP(D115,素材!$A:$O,COLUMN(素材!O$1),FALSE)</f>
        <v>#N/A</v>
      </c>
      <c r="CP115" t="e">
        <f>VLOOKUP(C115,武器!$A:$W,COLUMN(武器!W$1),FALSE)</f>
        <v>#N/A</v>
      </c>
      <c r="CR115" t="str">
        <f t="shared" si="5"/>
        <v>e_115</v>
      </c>
      <c r="CS115" t="e">
        <f t="shared" si="6"/>
        <v>#VALUE!</v>
      </c>
    </row>
    <row r="116" spans="1:97" outlineLevel="1" x14ac:dyDescent="0.4">
      <c r="A116" t="str">
        <f t="shared" ref="A116" si="8">D116&amp;"の"&amp;C116</f>
        <v>皮の帽子</v>
      </c>
      <c r="B116" t="str">
        <f>IFERROR(VLOOKUP($D116,素材!$1:$1016,COLUMN($B$1),FALSE)&amp;"・"&amp;VLOOKUP($C116,武器!$1:$998,COLUMN(B$1),FALSE),"")</f>
        <v>レザー・ハット</v>
      </c>
      <c r="C116" t="s">
        <v>1195</v>
      </c>
      <c r="D116" s="24" t="s">
        <v>252</v>
      </c>
      <c r="E116" t="str">
        <f>IFERROR(VLOOKUP(C116,武器!$1:$998,COLUMN(C$1),FALSE),"")</f>
        <v>頭</v>
      </c>
      <c r="F116">
        <f>IFERROR(ROUNDDOWN((VLOOKUP($C116,武器!$1:$998,COLUMN(D$1),FALSE)+IFERROR(VLOOKUP($CI116,装強!$1:$999,COLUMN(F$1),FALSE),0))*VLOOKUP($D116,素材!$1:$1016,COLUMN(D$1),FALSE),0),"")</f>
        <v>0</v>
      </c>
      <c r="G116">
        <f>IFERROR(ROUNDDOWN((VLOOKUP($C116,武器!$1:$998,COLUMN(E$1),FALSE)+IFERROR(VLOOKUP($CI116,装強!$1:$999,COLUMN(G$1),FALSE),0))*VLOOKUP($D116,素材!$1:$1016,COLUMN($E$1),FALSE),0),"")</f>
        <v>0</v>
      </c>
      <c r="H116">
        <f>IFERROR(ROUNDDOWN((VLOOKUP($C116,武器!$1:$998,COLUMN(F$1),FALSE)+IFERROR(VLOOKUP($CI116,装強!$1:$999,COLUMN(H$1),FALSE),0))*VLOOKUP($D116,素材!$1:$1016,COLUMN($E$1),FALSE),0),"")</f>
        <v>0</v>
      </c>
      <c r="I116">
        <f>IFERROR(ROUNDDOWN((VLOOKUP($C116,武器!$1:$998,COLUMN(G$1),FALSE)+IFERROR(VLOOKUP($CI116,装強!$1:$999,COLUMN(I$1),FALSE),0))*VLOOKUP($D116,素材!$1:$1016,COLUMN($E$1),FALSE),0),"")</f>
        <v>0</v>
      </c>
      <c r="J116">
        <f>IFERROR(ROUNDDOWN((VLOOKUP($C116,武器!$1:$998,COLUMN(H$1),FALSE)+IFERROR(VLOOKUP($CI116,装強!$1:$999,COLUMN(J$1),FALSE),0))*VLOOKUP($D116,素材!$1:$1016,COLUMN($E$1),FALSE),0),"")</f>
        <v>0</v>
      </c>
      <c r="K116">
        <f>IFERROR(ROUNDDOWN((VLOOKUP($C116,武器!$1:$998,COLUMN(I$1),FALSE)+IFERROR(VLOOKUP($CI116,装強!$1:$999,COLUMN(K$1),FALSE),0))*VLOOKUP($D116,素材!$1:$1016,COLUMN($E$1),FALSE),0),"")</f>
        <v>0</v>
      </c>
      <c r="L116" t="str">
        <f>IFERROR(VLOOKUP($D116,素材!$1:$1016,COLUMN($F$1),FALSE),"")</f>
        <v>-</v>
      </c>
      <c r="M116" t="str">
        <f>IFERROR(VLOOKUP($C116,武器!$1:$998,COLUMN(AA$1),FALSE)*VLOOKUP($D116,素材!$1:$1016,COLUMN($G$1),FALSE),"")</f>
        <v/>
      </c>
      <c r="N116">
        <f>IFERROR(VLOOKUP($C116,武器!$1:$998,COLUMN(I$1),FALSE),"")</f>
        <v>0</v>
      </c>
      <c r="O116" s="23" t="str">
        <f>IFERROR((VLOOKUP($C116,武器!$1:$998,COLUMN(K$1),FALSE)+VLOOKUP($D116,素材!$1:$1016,COLUMN(H$1),FALSE))*100+IFERROR(VLOOKUP($CI116,装強!$1:$999,COLUMN(O$1),FALSE),0),"")</f>
        <v/>
      </c>
      <c r="P116" s="23" t="str">
        <f>IFERROR((VLOOKUP($C116,武器!$1:$998,COLUMN(L$1),FALSE)+VLOOKUP($D116,素材!$1:$1016,COLUMN(I$1),FALSE))*100+IFERROR(VLOOKUP($CI116,装強!$1:$999,COLUMN(P$1),FALSE),0),"")</f>
        <v/>
      </c>
      <c r="Q116">
        <f>IFERROR(ROUNDUP(VLOOKUP($C116,武器!$1:$998,COLUMN(M$1),FALSE)*(VLOOKUP($D116,素材!$1:$1002,COLUMN(D$1),FALSE)/100),1),"")</f>
        <v>0</v>
      </c>
      <c r="R116">
        <f>IFERROR(ROUNDUP(VLOOKUP($C116,武器!$1:$998,COLUMN(N$1),FALSE)*(VLOOKUP($D116,素材!$1:$1002,COLUMN(D$1),FALSE)/100),1),"")</f>
        <v>0</v>
      </c>
      <c r="S116">
        <f>IFERROR(VLOOKUP($C116,武器!$1:$998,COLUMN(P$1),FALSE),"")</f>
        <v>0</v>
      </c>
      <c r="T116">
        <f>IFERROR(VLOOKUP($C116,武器!$1:$998,COLUMN(Q$1),FALSE),"")</f>
        <v>0</v>
      </c>
      <c r="U116">
        <f>IFERROR(VLOOKUP($C116,武器!$1:$998,COLUMN(R$1),FALSE),"")</f>
        <v>0</v>
      </c>
      <c r="V116">
        <f>IFERROR(VLOOKUP($C116,武器!$1:$998,COLUMN(Q$1),FALSE),"")</f>
        <v>0</v>
      </c>
      <c r="W116">
        <f>IFERROR(VLOOKUP($C116,武器!$1:$998,COLUMN(T$1),FALSE),"")</f>
        <v>0</v>
      </c>
      <c r="Y116">
        <f>IFERROR(VLOOKUP($C116,武器!$1:$998,COLUMN(U$1),FALSE),"")</f>
        <v>0</v>
      </c>
      <c r="Z116">
        <f>IFERROR(ROUNDUP(VLOOKUP($C116,武器!$1:$998,COLUMN(O$1),FALSE)*VLOOKUP($D116,素材!$1:$1016,COLUMN(E$1),FALSE),1),"")</f>
        <v>1</v>
      </c>
      <c r="AA116">
        <f>IF(ISNUMBER(SEARCH(SUBSTITUTE(AA$1,RIGHT(AA$1,2),""),VLOOKUP($D116,素材!$1:$1016,COLUMN($F$1),FALSE))),VLOOKUP($C116,武器!$1:$998,COLUMN($O$1),FALSE)*VLOOKUP($D116,素材!$1:$1016,COLUMN($E$1),FALSE)/(LEN(VLOOKUP($D116,素材!$1:$1016,COLUMN($F$1),FALSE)) - LEN(SUBSTITUTE(VLOOKUP($D116,素材!$1:$1016,COLUMN($F$1),FALSE), "・", 0)) + 1), 0)</f>
        <v>0</v>
      </c>
      <c r="AB116">
        <f>IF(ISNUMBER(SEARCH(SUBSTITUTE(AB$1,RIGHT(AB$1,2),""),VLOOKUP($D116,素材!$1:$1016,COLUMN($F$1),FALSE))),VLOOKUP($C116,武器!$1:$998,COLUMN($O$1),FALSE)*VLOOKUP($D116,素材!$1:$1016,COLUMN($E$1),FALSE)/(LEN(VLOOKUP($D116,素材!$1:$1016,COLUMN($F$1),FALSE)) - LEN(SUBSTITUTE(VLOOKUP($D116,素材!$1:$1016,COLUMN($F$1),FALSE), "・", 0)) + 1), 0)</f>
        <v>0</v>
      </c>
      <c r="AC116">
        <f>IF(ISNUMBER(SEARCH(SUBSTITUTE(AC$1,RIGHT(AC$1,2),""),VLOOKUP($D116,素材!$1:$1016,COLUMN($F$1),FALSE))),VLOOKUP($C116,武器!$1:$998,COLUMN($O$1),FALSE)*VLOOKUP($D116,素材!$1:$1016,COLUMN($E$1),FALSE)/(LEN(VLOOKUP($D116,素材!$1:$1016,COLUMN($F$1),FALSE)) - LEN(SUBSTITUTE(VLOOKUP($D116,素材!$1:$1016,COLUMN($F$1),FALSE), "・", 0)) + 1), 0)</f>
        <v>0</v>
      </c>
      <c r="AD116">
        <f>IF(ISNUMBER(SEARCH(SUBSTITUTE(AD$1,RIGHT(AD$1,2),""),VLOOKUP($D116,素材!$1:$1016,COLUMN($F$1),FALSE))),VLOOKUP($C116,武器!$1:$998,COLUMN($O$1),FALSE)*VLOOKUP($D116,素材!$1:$1016,COLUMN($E$1),FALSE)/(LEN(VLOOKUP($D116,素材!$1:$1016,COLUMN($F$1),FALSE)) - LEN(SUBSTITUTE(VLOOKUP($D116,素材!$1:$1016,COLUMN($F$1),FALSE), "・", 0)) + 1), 0)</f>
        <v>0</v>
      </c>
      <c r="AE116">
        <f>IF(ISNUMBER(SEARCH(SUBSTITUTE(AE$1,RIGHT(AE$1,2),""),VLOOKUP($D116,素材!$1:$1016,COLUMN($F$1),FALSE))),VLOOKUP($C116,武器!$1:$998,COLUMN($O$1),FALSE)*VLOOKUP($D116,素材!$1:$1016,COLUMN($E$1),FALSE)/(LEN(VLOOKUP($D116,素材!$1:$1016,COLUMN($F$1),FALSE)) - LEN(SUBSTITUTE(VLOOKUP($D116,素材!$1:$1016,COLUMN($F$1),FALSE), "・", 0)) + 1), 0)</f>
        <v>0</v>
      </c>
      <c r="AF116">
        <f>IF(ISNUMBER(SEARCH(SUBSTITUTE(AF$1,RIGHT(AF$1,2),""),VLOOKUP($D116,素材!$1:$1016,COLUMN($F$1),FALSE))),VLOOKUP($C116,武器!$1:$998,COLUMN($O$1),FALSE)*VLOOKUP($D116,素材!$1:$1016,COLUMN($E$1),FALSE)/(LEN(VLOOKUP($D116,素材!$1:$1016,COLUMN($F$1),FALSE)) - LEN(SUBSTITUTE(VLOOKUP($D116,素材!$1:$1016,COLUMN($F$1),FALSE), "・", 0)) + 1), 0)</f>
        <v>0</v>
      </c>
      <c r="AG116">
        <f>IF(ISNUMBER(SEARCH(SUBSTITUTE(AG$1,RIGHT(AG$1,2),""),VLOOKUP($D116,素材!$1:$1016,COLUMN($F$1),FALSE))),VLOOKUP($C116,武器!$1:$998,COLUMN($O$1),FALSE)*VLOOKUP($D116,素材!$1:$1016,COLUMN($E$1),FALSE)/(LEN(VLOOKUP($D116,素材!$1:$1016,COLUMN($F$1),FALSE)) - LEN(SUBSTITUTE(VLOOKUP($D116,素材!$1:$1016,COLUMN($F$1),FALSE), "・", 0)) + 1), 0)</f>
        <v>0</v>
      </c>
      <c r="AH116">
        <f>IF(ISNUMBER(SEARCH(SUBSTITUTE(AH$1,RIGHT(AH$1,2),""),VLOOKUP($D116,素材!$1:$1016,COLUMN($F$1),FALSE))),VLOOKUP($C116,武器!$1:$998,COLUMN($O$1),FALSE)*VLOOKUP($D116,素材!$1:$1016,COLUMN($E$1),FALSE)/(LEN(VLOOKUP($D116,素材!$1:$1016,COLUMN($F$1),FALSE)) - LEN(SUBSTITUTE(VLOOKUP($D116,素材!$1:$1016,COLUMN($F$1),FALSE), "・", 0)) + 1), 0)</f>
        <v>0</v>
      </c>
      <c r="AI116">
        <f>IF(ISNUMBER(SEARCH(SUBSTITUTE(AI$1,RIGHT(AI$1,2),""),VLOOKUP($D116,素材!$1:$1016,COLUMN($F$1),FALSE))),VLOOKUP($C116,武器!$1:$998,COLUMN($O$1),FALSE)*VLOOKUP($D116,素材!$1:$1016,COLUMN($E$1),FALSE)/(LEN(VLOOKUP($D116,素材!$1:$1016,COLUMN($F$1),FALSE)) - LEN(SUBSTITUTE(VLOOKUP($D116,素材!$1:$1016,COLUMN($F$1),FALSE), "・", 0)) + 1), 0)</f>
        <v>0</v>
      </c>
      <c r="AJ116">
        <f>IF(ISNUMBER(SEARCH(SUBSTITUTE(AJ$1,RIGHT(AJ$1,2),""),VLOOKUP($D116,素材!$1:$1016,COLUMN($F$1),FALSE))),VLOOKUP($C116,武器!$1:$998,COLUMN($O$1),FALSE)*VLOOKUP($D116,素材!$1:$1016,COLUMN($E$1),FALSE)/(LEN(VLOOKUP($D116,素材!$1:$1016,COLUMN($F$1),FALSE)) - LEN(SUBSTITUTE(VLOOKUP($D116,素材!$1:$1016,COLUMN($F$1),FALSE), "・", 0)) + 1), 0)</f>
        <v>0</v>
      </c>
      <c r="AK116">
        <f>IF(ISNUMBER(SEARCH(SUBSTITUTE(AK$1,RIGHT(AK$1,2),""),VLOOKUP($D116,素材!$1:$1016,COLUMN($F$1),FALSE))),VLOOKUP($C116,武器!$1:$998,COLUMN($O$1),FALSE)*VLOOKUP($D116,素材!$1:$1016,COLUMN($E$1),FALSE)/(LEN(VLOOKUP($D116,素材!$1:$1016,COLUMN($F$1),FALSE)) - LEN(SUBSTITUTE(VLOOKUP($D116,素材!$1:$1016,COLUMN($F$1),FALSE), "・", 0)) + 1), 0)</f>
        <v>0</v>
      </c>
      <c r="AL116">
        <f>IF(ISNUMBER(SEARCH(SUBSTITUTE(AL$1,RIGHT(AL$1,2),""),VLOOKUP($D116,素材!$1:$1016,COLUMN($F$1),FALSE))),VLOOKUP($C116,武器!$1:$998,COLUMN($O$1),FALSE)*VLOOKUP($D116,素材!$1:$1016,COLUMN($E$1),FALSE)/(LEN(VLOOKUP($D116,素材!$1:$1016,COLUMN($F$1),FALSE)) - LEN(SUBSTITUTE(VLOOKUP($D116,素材!$1:$1016,COLUMN($F$1),FALSE), "・", 0)) + 1), 0)</f>
        <v>0</v>
      </c>
      <c r="AM116">
        <f>IF(ISNUMBER(SEARCH(SUBSTITUTE(AM$1,RIGHT(AM$1,2),""),VLOOKUP($D116,素材!$1:$1016,COLUMN($F$1),FALSE))),VLOOKUP($C116,武器!$1:$998,COLUMN($O$1),FALSE)*VLOOKUP($D116,素材!$1:$1016,COLUMN($E$1),FALSE)/(LEN(VLOOKUP($D116,素材!$1:$1016,COLUMN($F$1),FALSE)) - LEN(SUBSTITUTE(VLOOKUP($D116,素材!$1:$1016,COLUMN($F$1),FALSE), "・", 0)) + 1), 0)</f>
        <v>0</v>
      </c>
      <c r="AN116">
        <f>IF(ISNUMBER(SEARCH(SUBSTITUTE(AN$1,RIGHT(AN$1,2),""),VLOOKUP($D116,素材!$1:$1016,COLUMN($F$1),FALSE))),VLOOKUP($C116,武器!$1:$998,COLUMN($O$1),FALSE)*VLOOKUP($D116,素材!$1:$1016,COLUMN($E$1),FALSE)/(LEN(VLOOKUP($D116,素材!$1:$1016,COLUMN($F$1),FALSE)) - LEN(SUBSTITUTE(VLOOKUP($D116,素材!$1:$1016,COLUMN($F$1),FALSE), "・", 0)) + 1), 0)</f>
        <v>0</v>
      </c>
      <c r="AO116">
        <f>IF(ISNUMBER(SEARCH(SUBSTITUTE(AO$1,RIGHT(AO$1,2),""),VLOOKUP($D116,素材!$1:$1016,COLUMN($F$1),FALSE))),VLOOKUP($C116,武器!$1:$998,COLUMN($O$1),FALSE)*VLOOKUP($D116,素材!$1:$1016,COLUMN($E$1),FALSE)/(LEN(VLOOKUP($D116,素材!$1:$1016,COLUMN($F$1),FALSE)) - LEN(SUBSTITUTE(VLOOKUP($D116,素材!$1:$1016,COLUMN($F$1),FALSE), "・", 0)) + 1), 0)</f>
        <v>0</v>
      </c>
      <c r="AP116">
        <f>IF(ISNUMBER(SEARCH(SUBSTITUTE(AP$1,RIGHT(AP$1,2),""),VLOOKUP($D116,素材!$1:$1016,COLUMN($F$1),FALSE))),VLOOKUP($C116,武器!$1:$998,COLUMN($O$1),FALSE)*VLOOKUP($D116,素材!$1:$1016,COLUMN($E$1),FALSE)/(LEN(VLOOKUP($D116,素材!$1:$1016,COLUMN($F$1),FALSE)) - LEN(SUBSTITUTE(VLOOKUP($D116,素材!$1:$1016,COLUMN($F$1),FALSE), "・", 0)) + 1), 0)</f>
        <v>0</v>
      </c>
      <c r="AQ116">
        <f>IF(ISNUMBER(SEARCH(SUBSTITUTE(AQ$1,RIGHT(AQ$1,2),""),VLOOKUP($D116,素材!$1:$1016,COLUMN($F$1),FALSE))),VLOOKUP($C116,武器!$1:$998,COLUMN($O$1),FALSE)*VLOOKUP($D116,素材!$1:$1016,COLUMN($E$1),FALSE)/(LEN(VLOOKUP($D116,素材!$1:$1016,COLUMN($F$1),FALSE)) - LEN(SUBSTITUTE(VLOOKUP($D116,素材!$1:$1016,COLUMN($F$1),FALSE), "・", 0)) + 1), 0)</f>
        <v>0</v>
      </c>
      <c r="AR116">
        <f>IF(ISNUMBER(SEARCH(SUBSTITUTE(AR$1,RIGHT(AR$1,2),""),VLOOKUP($D116,素材!$1:$1016,COLUMN($F$1),FALSE))),VLOOKUP($C116,武器!$1:$998,COLUMN($O$1),FALSE)*VLOOKUP($D116,素材!$1:$1016,COLUMN($E$1),FALSE)/(LEN(VLOOKUP($D116,素材!$1:$1016,COLUMN($F$1),FALSE)) - LEN(SUBSTITUTE(VLOOKUP($D116,素材!$1:$1016,COLUMN($F$1),FALSE), "・", 0)) + 1), 0)</f>
        <v>0</v>
      </c>
      <c r="AS116">
        <f>IF(ISNUMBER(SEARCH(SUBSTITUTE(AS$1,RIGHT(AS$1,2),""),VLOOKUP($D116,素材!$1:$1016,COLUMN($F$1),FALSE))),VLOOKUP($C116,武器!$1:$998,COLUMN($O$1),FALSE)*VLOOKUP($D116,素材!$1:$1016,COLUMN($E$1),FALSE)/(LEN(VLOOKUP($D116,素材!$1:$1016,COLUMN($F$1),FALSE)) - LEN(SUBSTITUTE(VLOOKUP($D116,素材!$1:$1016,COLUMN($F$1),FALSE), "・", 0)) + 1), 0)</f>
        <v>0</v>
      </c>
      <c r="AT116">
        <f>IF(ISNUMBER(SEARCH(SUBSTITUTE(AT$1,RIGHT(AT$1,2),""),VLOOKUP($D116,素材!$1:$1016,COLUMN($F$1),FALSE))),VLOOKUP($C116,武器!$1:$998,COLUMN($O$1),FALSE)*VLOOKUP($D116,素材!$1:$1016,COLUMN($E$1),FALSE)/(LEN(VLOOKUP($D116,素材!$1:$1016,COLUMN($F$1),FALSE)) - LEN(SUBSTITUTE(VLOOKUP($D116,素材!$1:$1016,COLUMN($F$1),FALSE), "・", 0)) + 1), 0)</f>
        <v>0</v>
      </c>
      <c r="AU116">
        <f>IF(ISNUMBER(SEARCH(SUBSTITUTE(AU$1,RIGHT(AU$1,2),""),VLOOKUP($D116,素材!$1:$1016,COLUMN($F$1),FALSE))),VLOOKUP($C116,武器!$1:$998,COLUMN($O$1),FALSE)*VLOOKUP($D116,素材!$1:$1016,COLUMN($E$1),FALSE)/(LEN(VLOOKUP($D116,素材!$1:$1016,COLUMN($F$1),FALSE)) - LEN(SUBSTITUTE(VLOOKUP($D116,素材!$1:$1016,COLUMN($F$1),FALSE), "・", 0)) + 1), 0)</f>
        <v>0</v>
      </c>
      <c r="AV116">
        <f>IF(ISNUMBER(SEARCH(SUBSTITUTE(AV$1,RIGHT(AV$1,2),""),VLOOKUP($D116,素材!$1:$1016,COLUMN($F$1),FALSE))),VLOOKUP($C116,武器!$1:$998,COLUMN($O$1),FALSE)*VLOOKUP($D116,素材!$1:$1016,COLUMN($E$1),FALSE)/(LEN(VLOOKUP($D116,素材!$1:$1016,COLUMN($F$1),FALSE)) - LEN(SUBSTITUTE(VLOOKUP($D116,素材!$1:$1016,COLUMN($F$1),FALSE), "・", 0)) + 1), 0)</f>
        <v>0</v>
      </c>
      <c r="AW116">
        <f>IF(ISNUMBER(SEARCH(SUBSTITUTE(AW$1,RIGHT(AW$1,2),""),VLOOKUP($D116,素材!$1:$1016,COLUMN($F$1),FALSE))),VLOOKUP($C116,武器!$1:$998,COLUMN($O$1),FALSE)*VLOOKUP($D116,素材!$1:$1016,COLUMN($E$1),FALSE)/(LEN(VLOOKUP($D116,素材!$1:$1016,COLUMN($F$1),FALSE)) - LEN(SUBSTITUTE(VLOOKUP($D116,素材!$1:$1016,COLUMN($F$1),FALSE), "・", 0)) + 1), 0)</f>
        <v>0</v>
      </c>
      <c r="AX116">
        <f>IF(ISNUMBER(SEARCH(SUBSTITUTE(AX$1,RIGHT(AX$1,2),""),VLOOKUP($D116,素材!$1:$1016,COLUMN($F$1),FALSE))),VLOOKUP($C116,武器!$1:$998,COLUMN($O$1),FALSE)*VLOOKUP($D116,素材!$1:$1016,COLUMN($E$1),FALSE)/(LEN(VLOOKUP($D116,素材!$1:$1016,COLUMN($F$1),FALSE)) - LEN(SUBSTITUTE(VLOOKUP($D116,素材!$1:$1016,COLUMN($F$1),FALSE), "・", 0)) + 1), 0)</f>
        <v>0</v>
      </c>
      <c r="AY116">
        <f>IF(ISNUMBER(SEARCH(SUBSTITUTE(AY$1,RIGHT(AY$1,2),""),VLOOKUP($D116,素材!$1:$1016,COLUMN($F$1),FALSE))),VLOOKUP($C116,武器!$1:$998,COLUMN($O$1),FALSE)*VLOOKUP($D116,素材!$1:$1016,COLUMN($E$1),FALSE)/(LEN(VLOOKUP($D116,素材!$1:$1016,COLUMN($F$1),FALSE)) - LEN(SUBSTITUTE(VLOOKUP($D116,素材!$1:$1016,COLUMN($F$1),FALSE), "・", 0)) + 1), 0)</f>
        <v>0</v>
      </c>
      <c r="AZ116">
        <f>IF(ISNUMBER(SEARCH(SUBSTITUTE(AZ$1,RIGHT(AZ$1,2),""),VLOOKUP($D116,素材!$1:$1016,COLUMN($F$1),FALSE))),VLOOKUP($C116,武器!$1:$998,COLUMN($O$1),FALSE)*VLOOKUP($D116,素材!$1:$1016,COLUMN($E$1),FALSE)/(LEN(VLOOKUP($D116,素材!$1:$1016,COLUMN($F$1),FALSE)) - LEN(SUBSTITUTE(VLOOKUP($D116,素材!$1:$1016,COLUMN($F$1),FALSE), "・", 0)) + 1), 0)</f>
        <v>0</v>
      </c>
      <c r="BA116">
        <f>IF(ISNUMBER(SEARCH(SUBSTITUTE(BA$1,RIGHT(BA$1,2),""),VLOOKUP($D116,素材!$1:$1016,COLUMN($F$1),FALSE))),VLOOKUP($C116,武器!$1:$998,COLUMN($O$1),FALSE)*VLOOKUP($D116,素材!$1:$1016,COLUMN($E$1),FALSE)/(LEN(VLOOKUP($D116,素材!$1:$1016,COLUMN($F$1),FALSE)) - LEN(SUBSTITUTE(VLOOKUP($D116,素材!$1:$1016,COLUMN($F$1),FALSE), "・", 0)) + 1), 0)</f>
        <v>0</v>
      </c>
      <c r="BB116">
        <f>IF(ISNUMBER(SEARCH(SUBSTITUTE(BB$1,RIGHT(BB$1,2),""),VLOOKUP($D116,素材!$1:$1016,COLUMN($F$1),FALSE))),VLOOKUP($C116,武器!$1:$998,COLUMN($O$1),FALSE)*VLOOKUP($D116,素材!$1:$1016,COLUMN($E$1),FALSE)/(LEN(VLOOKUP($D116,素材!$1:$1016,COLUMN($F$1),FALSE)) - LEN(SUBSTITUTE(VLOOKUP($D116,素材!$1:$1016,COLUMN($F$1),FALSE), "・", 0)) + 1), 0)</f>
        <v>0</v>
      </c>
      <c r="BC116">
        <f>IF(ISNUMBER(SEARCH(SUBSTITUTE(BC$1,RIGHT(BC$1,2),""),VLOOKUP($D116,素材!$1:$1016,COLUMN($F$1),FALSE))),VLOOKUP($C116,武器!$1:$998,COLUMN($O$1),FALSE)*VLOOKUP($D116,素材!$1:$1016,COLUMN($E$1),FALSE)/(LEN(VLOOKUP($D116,素材!$1:$1016,COLUMN($F$1),FALSE)) - LEN(SUBSTITUTE(VLOOKUP($D116,素材!$1:$1016,COLUMN($F$1),FALSE), "・", 0)) + 1), 0)</f>
        <v>0</v>
      </c>
      <c r="BD116">
        <f>IF(ISNUMBER(SEARCH(SUBSTITUTE(BD$1,RIGHT(BD$1,2),""),VLOOKUP($D116,素材!$1:$1016,COLUMN($F$1),FALSE))),VLOOKUP($C116,武器!$1:$998,COLUMN($O$1),FALSE)*VLOOKUP($D116,素材!$1:$1016,COLUMN($E$1),FALSE)/(LEN(VLOOKUP($D116,素材!$1:$1016,COLUMN($F$1),FALSE)) - LEN(SUBSTITUTE(VLOOKUP($D116,素材!$1:$1016,COLUMN($F$1),FALSE), "・", 0)) + 1), 0)</f>
        <v>0</v>
      </c>
      <c r="BE116">
        <f>IF(ISNUMBER(SEARCH(SUBSTITUTE(BE$1,RIGHT(BE$1,2),""),VLOOKUP($D116,素材!$1:$1016,COLUMN($F$1),FALSE))),VLOOKUP($C116,武器!$1:$998,COLUMN($O$1),FALSE)*VLOOKUP($D116,素材!$1:$1016,COLUMN($E$1),FALSE)/(LEN(VLOOKUP($D116,素材!$1:$1016,COLUMN($F$1),FALSE)) - LEN(SUBSTITUTE(VLOOKUP($D116,素材!$1:$1016,COLUMN($F$1),FALSE), "・", 0)) + 1), 0)</f>
        <v>0</v>
      </c>
      <c r="CL116">
        <f>SUM(G116:I116)</f>
        <v>0</v>
      </c>
      <c r="CM116" s="22" t="str">
        <f>IF(E116="武器",IF(J116-1&gt;SUM(G116:I116),"盾",IF(MAX(G116:I116)=G116,"切断",IF(MAX(G116:I116)=H116,"貫通",IF(MAX(G116:I116)=I116,"打撃","射撃")))),E116)&amp;".webp"</f>
        <v>頭.webp</v>
      </c>
      <c r="CN116">
        <f>IFERROR(VLOOKUP($C116,武器!$1:$998,COLUMN(V$1),FALSE)*VLOOKUP($D116,素材!$1:$1016,COLUMN(N$1),FALSE)+IF(CI116="",0,VLOOKUP($CI116,装強!$1:$1008,COLUMN($CK$1),FALSE)),"")</f>
        <v>100</v>
      </c>
      <c r="CO116" t="str">
        <f>VLOOKUP(D116,素材!$A:$O,COLUMN(素材!O$1),FALSE)</f>
        <v>一般的な皮素材で、防具や軽量装備の材料として最適です。耐久性は高くありませんが、軽量で扱いやすい点が特徴です。</v>
      </c>
      <c r="CP116" t="str">
        <f>VLOOKUP(C116,武器!$A:$W,COLUMN(武器!W$1),FALSE)</f>
        <v>命中 魔防 Cr</v>
      </c>
      <c r="CR116" t="str">
        <f t="shared" si="5"/>
        <v>e_116</v>
      </c>
      <c r="CS116">
        <f t="shared" ref="CS116" si="9">CN116*100</f>
        <v>10000</v>
      </c>
    </row>
    <row r="117" spans="1:97" outlineLevel="1" x14ac:dyDescent="0.4">
      <c r="A117" t="str">
        <f t="shared" si="7"/>
        <v>皮の衣布</v>
      </c>
      <c r="B117" t="str">
        <f>IFERROR(VLOOKUP($D117,素材!$1:$1016,COLUMN($B$1),FALSE)&amp;"・"&amp;VLOOKUP($C117,武器!$1:$998,COLUMN(B$1),FALSE),"")</f>
        <v>レザー・クロース</v>
      </c>
      <c r="C117" t="s">
        <v>247</v>
      </c>
      <c r="D117" s="24" t="s">
        <v>252</v>
      </c>
      <c r="E117" t="str">
        <f>IFERROR(VLOOKUP(C117,武器!$1:$998,COLUMN(C$1),FALSE),"")</f>
        <v>体</v>
      </c>
      <c r="F117">
        <f>IFERROR(ROUNDDOWN((VLOOKUP($C117,武器!$1:$998,COLUMN(D$1),FALSE)+IFERROR(VLOOKUP($CI117,装強!$1:$999,COLUMN(F$1),FALSE),0))*VLOOKUP($D117,素材!$1:$1016,COLUMN(D$1),FALSE),0),"")</f>
        <v>0</v>
      </c>
      <c r="G117">
        <f>IFERROR(ROUNDDOWN((VLOOKUP($C117,武器!$1:$998,COLUMN(E$1),FALSE)+IFERROR(VLOOKUP($CI117,装強!$1:$999,COLUMN(G$1),FALSE),0))*VLOOKUP($D117,素材!$1:$1016,COLUMN($E$1),FALSE),0),"")</f>
        <v>0</v>
      </c>
      <c r="H117">
        <f>IFERROR(ROUNDDOWN((VLOOKUP($C117,武器!$1:$998,COLUMN(F$1),FALSE)+IFERROR(VLOOKUP($CI117,装強!$1:$999,COLUMN(H$1),FALSE),0))*VLOOKUP($D117,素材!$1:$1016,COLUMN($E$1),FALSE),0),"")</f>
        <v>0</v>
      </c>
      <c r="I117">
        <f>IFERROR(ROUNDDOWN((VLOOKUP($C117,武器!$1:$998,COLUMN(G$1),FALSE)+IFERROR(VLOOKUP($CI117,装強!$1:$999,COLUMN(I$1),FALSE),0))*VLOOKUP($D117,素材!$1:$1016,COLUMN($E$1),FALSE),0),"")</f>
        <v>0</v>
      </c>
      <c r="J117">
        <f>IFERROR(ROUNDDOWN((VLOOKUP($C117,武器!$1:$998,COLUMN(H$1),FALSE)+IFERROR(VLOOKUP($CI117,装強!$1:$999,COLUMN(J$1),FALSE),0))*VLOOKUP($D117,素材!$1:$1016,COLUMN($E$1),FALSE),0),"")</f>
        <v>0</v>
      </c>
      <c r="K117">
        <f>IFERROR(ROUNDDOWN((VLOOKUP($C117,武器!$1:$998,COLUMN(I$1),FALSE)+IFERROR(VLOOKUP($CI117,装強!$1:$999,COLUMN(K$1),FALSE),0))*VLOOKUP($D117,素材!$1:$1016,COLUMN($E$1),FALSE),0),"")</f>
        <v>0</v>
      </c>
      <c r="L117" t="str">
        <f>IFERROR(VLOOKUP($D117,素材!$1:$1016,COLUMN($F$1),FALSE),"")</f>
        <v>-</v>
      </c>
      <c r="M117" t="str">
        <f>IFERROR(VLOOKUP($C117,武器!$1:$998,COLUMN(AA$1),FALSE)*VLOOKUP($D117,素材!$1:$1016,COLUMN($G$1),FALSE),"")</f>
        <v/>
      </c>
      <c r="N117">
        <f>IFERROR(VLOOKUP($C117,武器!$1:$998,COLUMN(I$1),FALSE),"")</f>
        <v>0</v>
      </c>
      <c r="O117" s="23" t="str">
        <f>IFERROR((VLOOKUP($C117,武器!$1:$998,COLUMN(K$1),FALSE)+VLOOKUP($D117,素材!$1:$1016,COLUMN(H$1),FALSE))*100+IFERROR(VLOOKUP($CI117,装強!$1:$999,COLUMN(O$1),FALSE),0),"")</f>
        <v/>
      </c>
      <c r="P117" s="23" t="str">
        <f>IFERROR((VLOOKUP($C117,武器!$1:$998,COLUMN(L$1),FALSE)+VLOOKUP($D117,素材!$1:$1016,COLUMN(I$1),FALSE))*100+IFERROR(VLOOKUP($CI117,装強!$1:$999,COLUMN(P$1),FALSE),0),"")</f>
        <v/>
      </c>
      <c r="Q117">
        <f>IFERROR(ROUNDUP(VLOOKUP($C117,武器!$1:$998,COLUMN(M$1),FALSE)*(VLOOKUP($D117,素材!$1:$1002,COLUMN(D$1),FALSE)/100),1),"")</f>
        <v>0</v>
      </c>
      <c r="R117">
        <f>IFERROR(ROUNDUP(VLOOKUP($C117,武器!$1:$998,COLUMN(N$1),FALSE)*(VLOOKUP($D117,素材!$1:$1002,COLUMN(D$1),FALSE)/100),1),"")</f>
        <v>0</v>
      </c>
      <c r="S117">
        <f>IFERROR(VLOOKUP($C117,武器!$1:$998,COLUMN(P$1),FALSE),"")</f>
        <v>0</v>
      </c>
      <c r="T117">
        <f>IFERROR(VLOOKUP($C117,武器!$1:$998,COLUMN(Q$1),FALSE),"")</f>
        <v>0</v>
      </c>
      <c r="U117">
        <f>IFERROR(VLOOKUP($C117,武器!$1:$998,COLUMN(R$1),FALSE),"")</f>
        <v>0</v>
      </c>
      <c r="V117">
        <f>IFERROR(VLOOKUP($C117,武器!$1:$998,COLUMN(Q$1),FALSE),"")</f>
        <v>0</v>
      </c>
      <c r="W117">
        <f>IFERROR(VLOOKUP($C117,武器!$1:$998,COLUMN(T$1),FALSE),"")</f>
        <v>0</v>
      </c>
      <c r="Y117">
        <f>IFERROR(VLOOKUP($C117,武器!$1:$998,COLUMN(U$1),FALSE),"")</f>
        <v>0</v>
      </c>
      <c r="Z117">
        <f>IFERROR(ROUNDUP(VLOOKUP($C117,武器!$1:$998,COLUMN(O$1),FALSE)*VLOOKUP($D117,素材!$1:$1016,COLUMN(E$1),FALSE),1),"")</f>
        <v>3</v>
      </c>
      <c r="AA117">
        <f>IF(ISNUMBER(SEARCH(SUBSTITUTE(AA$1,RIGHT(AA$1,2),""),VLOOKUP($D117,素材!$1:$1016,COLUMN($F$1),FALSE))),VLOOKUP($C117,武器!$1:$998,COLUMN($O$1),FALSE)*VLOOKUP($D117,素材!$1:$1016,COLUMN($E$1),FALSE)/(LEN(VLOOKUP($D117,素材!$1:$1016,COLUMN($F$1),FALSE)) - LEN(SUBSTITUTE(VLOOKUP($D117,素材!$1:$1016,COLUMN($F$1),FALSE), "・", 0)) + 1), 0)</f>
        <v>0</v>
      </c>
      <c r="AB117">
        <f>IF(ISNUMBER(SEARCH(SUBSTITUTE(AB$1,RIGHT(AB$1,2),""),VLOOKUP($D117,素材!$1:$1016,COLUMN($F$1),FALSE))),VLOOKUP($C117,武器!$1:$998,COLUMN($O$1),FALSE)*VLOOKUP($D117,素材!$1:$1016,COLUMN($E$1),FALSE)/(LEN(VLOOKUP($D117,素材!$1:$1016,COLUMN($F$1),FALSE)) - LEN(SUBSTITUTE(VLOOKUP($D117,素材!$1:$1016,COLUMN($F$1),FALSE), "・", 0)) + 1), 0)</f>
        <v>0</v>
      </c>
      <c r="AC117">
        <f>IF(ISNUMBER(SEARCH(SUBSTITUTE(AC$1,RIGHT(AC$1,2),""),VLOOKUP($D117,素材!$1:$1016,COLUMN($F$1),FALSE))),VLOOKUP($C117,武器!$1:$998,COLUMN($O$1),FALSE)*VLOOKUP($D117,素材!$1:$1016,COLUMN($E$1),FALSE)/(LEN(VLOOKUP($D117,素材!$1:$1016,COLUMN($F$1),FALSE)) - LEN(SUBSTITUTE(VLOOKUP($D117,素材!$1:$1016,COLUMN($F$1),FALSE), "・", 0)) + 1), 0)</f>
        <v>0</v>
      </c>
      <c r="AD117">
        <f>IF(ISNUMBER(SEARCH(SUBSTITUTE(AD$1,RIGHT(AD$1,2),""),VLOOKUP($D117,素材!$1:$1016,COLUMN($F$1),FALSE))),VLOOKUP($C117,武器!$1:$998,COLUMN($O$1),FALSE)*VLOOKUP($D117,素材!$1:$1016,COLUMN($E$1),FALSE)/(LEN(VLOOKUP($D117,素材!$1:$1016,COLUMN($F$1),FALSE)) - LEN(SUBSTITUTE(VLOOKUP($D117,素材!$1:$1016,COLUMN($F$1),FALSE), "・", 0)) + 1), 0)</f>
        <v>0</v>
      </c>
      <c r="AE117">
        <f>IF(ISNUMBER(SEARCH(SUBSTITUTE(AE$1,RIGHT(AE$1,2),""),VLOOKUP($D117,素材!$1:$1016,COLUMN($F$1),FALSE))),VLOOKUP($C117,武器!$1:$998,COLUMN($O$1),FALSE)*VLOOKUP($D117,素材!$1:$1016,COLUMN($E$1),FALSE)/(LEN(VLOOKUP($D117,素材!$1:$1016,COLUMN($F$1),FALSE)) - LEN(SUBSTITUTE(VLOOKUP($D117,素材!$1:$1016,COLUMN($F$1),FALSE), "・", 0)) + 1), 0)</f>
        <v>0</v>
      </c>
      <c r="AF117">
        <f>IF(ISNUMBER(SEARCH(SUBSTITUTE(AF$1,RIGHT(AF$1,2),""),VLOOKUP($D117,素材!$1:$1016,COLUMN($F$1),FALSE))),VLOOKUP($C117,武器!$1:$998,COLUMN($O$1),FALSE)*VLOOKUP($D117,素材!$1:$1016,COLUMN($E$1),FALSE)/(LEN(VLOOKUP($D117,素材!$1:$1016,COLUMN($F$1),FALSE)) - LEN(SUBSTITUTE(VLOOKUP($D117,素材!$1:$1016,COLUMN($F$1),FALSE), "・", 0)) + 1), 0)</f>
        <v>0</v>
      </c>
      <c r="AG117">
        <f>IF(ISNUMBER(SEARCH(SUBSTITUTE(AG$1,RIGHT(AG$1,2),""),VLOOKUP($D117,素材!$1:$1016,COLUMN($F$1),FALSE))),VLOOKUP($C117,武器!$1:$998,COLUMN($O$1),FALSE)*VLOOKUP($D117,素材!$1:$1016,COLUMN($E$1),FALSE)/(LEN(VLOOKUP($D117,素材!$1:$1016,COLUMN($F$1),FALSE)) - LEN(SUBSTITUTE(VLOOKUP($D117,素材!$1:$1016,COLUMN($F$1),FALSE), "・", 0)) + 1), 0)</f>
        <v>0</v>
      </c>
      <c r="AH117">
        <f>IF(ISNUMBER(SEARCH(SUBSTITUTE(AH$1,RIGHT(AH$1,2),""),VLOOKUP($D117,素材!$1:$1016,COLUMN($F$1),FALSE))),VLOOKUP($C117,武器!$1:$998,COLUMN($O$1),FALSE)*VLOOKUP($D117,素材!$1:$1016,COLUMN($E$1),FALSE)/(LEN(VLOOKUP($D117,素材!$1:$1016,COLUMN($F$1),FALSE)) - LEN(SUBSTITUTE(VLOOKUP($D117,素材!$1:$1016,COLUMN($F$1),FALSE), "・", 0)) + 1), 0)</f>
        <v>0</v>
      </c>
      <c r="AI117">
        <f>IF(ISNUMBER(SEARCH(SUBSTITUTE(AI$1,RIGHT(AI$1,2),""),VLOOKUP($D117,素材!$1:$1016,COLUMN($F$1),FALSE))),VLOOKUP($C117,武器!$1:$998,COLUMN($O$1),FALSE)*VLOOKUP($D117,素材!$1:$1016,COLUMN($E$1),FALSE)/(LEN(VLOOKUP($D117,素材!$1:$1016,COLUMN($F$1),FALSE)) - LEN(SUBSTITUTE(VLOOKUP($D117,素材!$1:$1016,COLUMN($F$1),FALSE), "・", 0)) + 1), 0)</f>
        <v>0</v>
      </c>
      <c r="AJ117">
        <f>IF(ISNUMBER(SEARCH(SUBSTITUTE(AJ$1,RIGHT(AJ$1,2),""),VLOOKUP($D117,素材!$1:$1016,COLUMN($F$1),FALSE))),VLOOKUP($C117,武器!$1:$998,COLUMN($O$1),FALSE)*VLOOKUP($D117,素材!$1:$1016,COLUMN($E$1),FALSE)/(LEN(VLOOKUP($D117,素材!$1:$1016,COLUMN($F$1),FALSE)) - LEN(SUBSTITUTE(VLOOKUP($D117,素材!$1:$1016,COLUMN($F$1),FALSE), "・", 0)) + 1), 0)</f>
        <v>0</v>
      </c>
      <c r="AK117">
        <f>IF(ISNUMBER(SEARCH(SUBSTITUTE(AK$1,RIGHT(AK$1,2),""),VLOOKUP($D117,素材!$1:$1016,COLUMN($F$1),FALSE))),VLOOKUP($C117,武器!$1:$998,COLUMN($O$1),FALSE)*VLOOKUP($D117,素材!$1:$1016,COLUMN($E$1),FALSE)/(LEN(VLOOKUP($D117,素材!$1:$1016,COLUMN($F$1),FALSE)) - LEN(SUBSTITUTE(VLOOKUP($D117,素材!$1:$1016,COLUMN($F$1),FALSE), "・", 0)) + 1), 0)</f>
        <v>0</v>
      </c>
      <c r="AL117">
        <f>IF(ISNUMBER(SEARCH(SUBSTITUTE(AL$1,RIGHT(AL$1,2),""),VLOOKUP($D117,素材!$1:$1016,COLUMN($F$1),FALSE))),VLOOKUP($C117,武器!$1:$998,COLUMN($O$1),FALSE)*VLOOKUP($D117,素材!$1:$1016,COLUMN($E$1),FALSE)/(LEN(VLOOKUP($D117,素材!$1:$1016,COLUMN($F$1),FALSE)) - LEN(SUBSTITUTE(VLOOKUP($D117,素材!$1:$1016,COLUMN($F$1),FALSE), "・", 0)) + 1), 0)</f>
        <v>0</v>
      </c>
      <c r="AM117">
        <f>IF(ISNUMBER(SEARCH(SUBSTITUTE(AM$1,RIGHT(AM$1,2),""),VLOOKUP($D117,素材!$1:$1016,COLUMN($F$1),FALSE))),VLOOKUP($C117,武器!$1:$998,COLUMN($O$1),FALSE)*VLOOKUP($D117,素材!$1:$1016,COLUMN($E$1),FALSE)/(LEN(VLOOKUP($D117,素材!$1:$1016,COLUMN($F$1),FALSE)) - LEN(SUBSTITUTE(VLOOKUP($D117,素材!$1:$1016,COLUMN($F$1),FALSE), "・", 0)) + 1), 0)</f>
        <v>0</v>
      </c>
      <c r="AN117">
        <f>IF(ISNUMBER(SEARCH(SUBSTITUTE(AN$1,RIGHT(AN$1,2),""),VLOOKUP($D117,素材!$1:$1016,COLUMN($F$1),FALSE))),VLOOKUP($C117,武器!$1:$998,COLUMN($O$1),FALSE)*VLOOKUP($D117,素材!$1:$1016,COLUMN($E$1),FALSE)/(LEN(VLOOKUP($D117,素材!$1:$1016,COLUMN($F$1),FALSE)) - LEN(SUBSTITUTE(VLOOKUP($D117,素材!$1:$1016,COLUMN($F$1),FALSE), "・", 0)) + 1), 0)</f>
        <v>0</v>
      </c>
      <c r="AO117">
        <f>IF(ISNUMBER(SEARCH(SUBSTITUTE(AO$1,RIGHT(AO$1,2),""),VLOOKUP($D117,素材!$1:$1016,COLUMN($F$1),FALSE))),VLOOKUP($C117,武器!$1:$998,COLUMN($O$1),FALSE)*VLOOKUP($D117,素材!$1:$1016,COLUMN($E$1),FALSE)/(LEN(VLOOKUP($D117,素材!$1:$1016,COLUMN($F$1),FALSE)) - LEN(SUBSTITUTE(VLOOKUP($D117,素材!$1:$1016,COLUMN($F$1),FALSE), "・", 0)) + 1), 0)</f>
        <v>0</v>
      </c>
      <c r="AP117">
        <f>IF(ISNUMBER(SEARCH(SUBSTITUTE(AP$1,RIGHT(AP$1,2),""),VLOOKUP($D117,素材!$1:$1016,COLUMN($F$1),FALSE))),VLOOKUP($C117,武器!$1:$998,COLUMN($O$1),FALSE)*VLOOKUP($D117,素材!$1:$1016,COLUMN($E$1),FALSE)/(LEN(VLOOKUP($D117,素材!$1:$1016,COLUMN($F$1),FALSE)) - LEN(SUBSTITUTE(VLOOKUP($D117,素材!$1:$1016,COLUMN($F$1),FALSE), "・", 0)) + 1), 0)</f>
        <v>0</v>
      </c>
      <c r="AQ117">
        <f>IF(ISNUMBER(SEARCH(SUBSTITUTE(AQ$1,RIGHT(AQ$1,2),""),VLOOKUP($D117,素材!$1:$1016,COLUMN($F$1),FALSE))),VLOOKUP($C117,武器!$1:$998,COLUMN($O$1),FALSE)*VLOOKUP($D117,素材!$1:$1016,COLUMN($E$1),FALSE)/(LEN(VLOOKUP($D117,素材!$1:$1016,COLUMN($F$1),FALSE)) - LEN(SUBSTITUTE(VLOOKUP($D117,素材!$1:$1016,COLUMN($F$1),FALSE), "・", 0)) + 1), 0)</f>
        <v>0</v>
      </c>
      <c r="AR117">
        <f>IF(ISNUMBER(SEARCH(SUBSTITUTE(AR$1,RIGHT(AR$1,2),""),VLOOKUP($D117,素材!$1:$1016,COLUMN($F$1),FALSE))),VLOOKUP($C117,武器!$1:$998,COLUMN($O$1),FALSE)*VLOOKUP($D117,素材!$1:$1016,COLUMN($E$1),FALSE)/(LEN(VLOOKUP($D117,素材!$1:$1016,COLUMN($F$1),FALSE)) - LEN(SUBSTITUTE(VLOOKUP($D117,素材!$1:$1016,COLUMN($F$1),FALSE), "・", 0)) + 1), 0)</f>
        <v>0</v>
      </c>
      <c r="AS117">
        <f>IF(ISNUMBER(SEARCH(SUBSTITUTE(AS$1,RIGHT(AS$1,2),""),VLOOKUP($D117,素材!$1:$1016,COLUMN($F$1),FALSE))),VLOOKUP($C117,武器!$1:$998,COLUMN($O$1),FALSE)*VLOOKUP($D117,素材!$1:$1016,COLUMN($E$1),FALSE)/(LEN(VLOOKUP($D117,素材!$1:$1016,COLUMN($F$1),FALSE)) - LEN(SUBSTITUTE(VLOOKUP($D117,素材!$1:$1016,COLUMN($F$1),FALSE), "・", 0)) + 1), 0)</f>
        <v>0</v>
      </c>
      <c r="AT117">
        <f>IF(ISNUMBER(SEARCH(SUBSTITUTE(AT$1,RIGHT(AT$1,2),""),VLOOKUP($D117,素材!$1:$1016,COLUMN($F$1),FALSE))),VLOOKUP($C117,武器!$1:$998,COLUMN($O$1),FALSE)*VLOOKUP($D117,素材!$1:$1016,COLUMN($E$1),FALSE)/(LEN(VLOOKUP($D117,素材!$1:$1016,COLUMN($F$1),FALSE)) - LEN(SUBSTITUTE(VLOOKUP($D117,素材!$1:$1016,COLUMN($F$1),FALSE), "・", 0)) + 1), 0)</f>
        <v>0</v>
      </c>
      <c r="AU117">
        <f>IF(ISNUMBER(SEARCH(SUBSTITUTE(AU$1,RIGHT(AU$1,2),""),VLOOKUP($D117,素材!$1:$1016,COLUMN($F$1),FALSE))),VLOOKUP($C117,武器!$1:$998,COLUMN($O$1),FALSE)*VLOOKUP($D117,素材!$1:$1016,COLUMN($E$1),FALSE)/(LEN(VLOOKUP($D117,素材!$1:$1016,COLUMN($F$1),FALSE)) - LEN(SUBSTITUTE(VLOOKUP($D117,素材!$1:$1016,COLUMN($F$1),FALSE), "・", 0)) + 1), 0)</f>
        <v>0</v>
      </c>
      <c r="AV117">
        <f>IF(ISNUMBER(SEARCH(SUBSTITUTE(AV$1,RIGHT(AV$1,2),""),VLOOKUP($D117,素材!$1:$1016,COLUMN($F$1),FALSE))),VLOOKUP($C117,武器!$1:$998,COLUMN($O$1),FALSE)*VLOOKUP($D117,素材!$1:$1016,COLUMN($E$1),FALSE)/(LEN(VLOOKUP($D117,素材!$1:$1016,COLUMN($F$1),FALSE)) - LEN(SUBSTITUTE(VLOOKUP($D117,素材!$1:$1016,COLUMN($F$1),FALSE), "・", 0)) + 1), 0)</f>
        <v>0</v>
      </c>
      <c r="AW117">
        <f>IF(ISNUMBER(SEARCH(SUBSTITUTE(AW$1,RIGHT(AW$1,2),""),VLOOKUP($D117,素材!$1:$1016,COLUMN($F$1),FALSE))),VLOOKUP($C117,武器!$1:$998,COLUMN($O$1),FALSE)*VLOOKUP($D117,素材!$1:$1016,COLUMN($E$1),FALSE)/(LEN(VLOOKUP($D117,素材!$1:$1016,COLUMN($F$1),FALSE)) - LEN(SUBSTITUTE(VLOOKUP($D117,素材!$1:$1016,COLUMN($F$1),FALSE), "・", 0)) + 1), 0)</f>
        <v>0</v>
      </c>
      <c r="AX117">
        <f>IF(ISNUMBER(SEARCH(SUBSTITUTE(AX$1,RIGHT(AX$1,2),""),VLOOKUP($D117,素材!$1:$1016,COLUMN($F$1),FALSE))),VLOOKUP($C117,武器!$1:$998,COLUMN($O$1),FALSE)*VLOOKUP($D117,素材!$1:$1016,COLUMN($E$1),FALSE)/(LEN(VLOOKUP($D117,素材!$1:$1016,COLUMN($F$1),FALSE)) - LEN(SUBSTITUTE(VLOOKUP($D117,素材!$1:$1016,COLUMN($F$1),FALSE), "・", 0)) + 1), 0)</f>
        <v>0</v>
      </c>
      <c r="AY117">
        <f>IF(ISNUMBER(SEARCH(SUBSTITUTE(AY$1,RIGHT(AY$1,2),""),VLOOKUP($D117,素材!$1:$1016,COLUMN($F$1),FALSE))),VLOOKUP($C117,武器!$1:$998,COLUMN($O$1),FALSE)*VLOOKUP($D117,素材!$1:$1016,COLUMN($E$1),FALSE)/(LEN(VLOOKUP($D117,素材!$1:$1016,COLUMN($F$1),FALSE)) - LEN(SUBSTITUTE(VLOOKUP($D117,素材!$1:$1016,COLUMN($F$1),FALSE), "・", 0)) + 1), 0)</f>
        <v>0</v>
      </c>
      <c r="AZ117">
        <f>IF(ISNUMBER(SEARCH(SUBSTITUTE(AZ$1,RIGHT(AZ$1,2),""),VLOOKUP($D117,素材!$1:$1016,COLUMN($F$1),FALSE))),VLOOKUP($C117,武器!$1:$998,COLUMN($O$1),FALSE)*VLOOKUP($D117,素材!$1:$1016,COLUMN($E$1),FALSE)/(LEN(VLOOKUP($D117,素材!$1:$1016,COLUMN($F$1),FALSE)) - LEN(SUBSTITUTE(VLOOKUP($D117,素材!$1:$1016,COLUMN($F$1),FALSE), "・", 0)) + 1), 0)</f>
        <v>0</v>
      </c>
      <c r="BA117">
        <f>IF(ISNUMBER(SEARCH(SUBSTITUTE(BA$1,RIGHT(BA$1,2),""),VLOOKUP($D117,素材!$1:$1016,COLUMN($F$1),FALSE))),VLOOKUP($C117,武器!$1:$998,COLUMN($O$1),FALSE)*VLOOKUP($D117,素材!$1:$1016,COLUMN($E$1),FALSE)/(LEN(VLOOKUP($D117,素材!$1:$1016,COLUMN($F$1),FALSE)) - LEN(SUBSTITUTE(VLOOKUP($D117,素材!$1:$1016,COLUMN($F$1),FALSE), "・", 0)) + 1), 0)</f>
        <v>0</v>
      </c>
      <c r="BB117">
        <f>IF(ISNUMBER(SEARCH(SUBSTITUTE(BB$1,RIGHT(BB$1,2),""),VLOOKUP($D117,素材!$1:$1016,COLUMN($F$1),FALSE))),VLOOKUP($C117,武器!$1:$998,COLUMN($O$1),FALSE)*VLOOKUP($D117,素材!$1:$1016,COLUMN($E$1),FALSE)/(LEN(VLOOKUP($D117,素材!$1:$1016,COLUMN($F$1),FALSE)) - LEN(SUBSTITUTE(VLOOKUP($D117,素材!$1:$1016,COLUMN($F$1),FALSE), "・", 0)) + 1), 0)</f>
        <v>0</v>
      </c>
      <c r="BC117">
        <f>IF(ISNUMBER(SEARCH(SUBSTITUTE(BC$1,RIGHT(BC$1,2),""),VLOOKUP($D117,素材!$1:$1016,COLUMN($F$1),FALSE))),VLOOKUP($C117,武器!$1:$998,COLUMN($O$1),FALSE)*VLOOKUP($D117,素材!$1:$1016,COLUMN($E$1),FALSE)/(LEN(VLOOKUP($D117,素材!$1:$1016,COLUMN($F$1),FALSE)) - LEN(SUBSTITUTE(VLOOKUP($D117,素材!$1:$1016,COLUMN($F$1),FALSE), "・", 0)) + 1), 0)</f>
        <v>0</v>
      </c>
      <c r="BD117">
        <f>IF(ISNUMBER(SEARCH(SUBSTITUTE(BD$1,RIGHT(BD$1,2),""),VLOOKUP($D117,素材!$1:$1016,COLUMN($F$1),FALSE))),VLOOKUP($C117,武器!$1:$998,COLUMN($O$1),FALSE)*VLOOKUP($D117,素材!$1:$1016,COLUMN($E$1),FALSE)/(LEN(VLOOKUP($D117,素材!$1:$1016,COLUMN($F$1),FALSE)) - LEN(SUBSTITUTE(VLOOKUP($D117,素材!$1:$1016,COLUMN($F$1),FALSE), "・", 0)) + 1), 0)</f>
        <v>0</v>
      </c>
      <c r="BE117">
        <f>IF(ISNUMBER(SEARCH(SUBSTITUTE(BE$1,RIGHT(BE$1,2),""),VLOOKUP($D117,素材!$1:$1016,COLUMN($F$1),FALSE))),VLOOKUP($C117,武器!$1:$998,COLUMN($O$1),FALSE)*VLOOKUP($D117,素材!$1:$1016,COLUMN($E$1),FALSE)/(LEN(VLOOKUP($D117,素材!$1:$1016,COLUMN($F$1),FALSE)) - LEN(SUBSTITUTE(VLOOKUP($D117,素材!$1:$1016,COLUMN($F$1),FALSE), "・", 0)) + 1), 0)</f>
        <v>0</v>
      </c>
      <c r="CL117">
        <f>SUM(G117:I117)</f>
        <v>0</v>
      </c>
      <c r="CM117" s="22" t="str">
        <f>IF(E117="武器",IF(J117-1&gt;SUM(G117:I117),"盾",IF(MAX(G117:I117)=G117,"切断",IF(MAX(G117:I117)=H117,"貫通",IF(MAX(G117:I117)=I117,"打撃","射撃")))),E117)&amp;".webp"</f>
        <v>体.webp</v>
      </c>
      <c r="CN117">
        <f>IFERROR(VLOOKUP($C117,武器!$1:$998,COLUMN(V$1),FALSE)*VLOOKUP($D117,素材!$1:$1016,COLUMN(N$1),FALSE)+IF(CI117="",0,VLOOKUP($CI117,装強!$1:$1008,COLUMN($CK$1),FALSE)),"")</f>
        <v>200</v>
      </c>
      <c r="CO117" t="str">
        <f>VLOOKUP(D117,素材!$A:$O,COLUMN(素材!O$1),FALSE)</f>
        <v>一般的な皮素材で、防具や軽量装備の材料として最適です。耐久性は高くありませんが、軽量で扱いやすい点が特徴です。</v>
      </c>
      <c r="CP117" t="str">
        <f>VLOOKUP(C117,武器!$A:$W,COLUMN(武器!W$1),FALSE)</f>
        <v>HP 物理 魔法 体幹 出血 疲労 Cr</v>
      </c>
      <c r="CR117" t="str">
        <f t="shared" si="5"/>
        <v>e_117</v>
      </c>
      <c r="CS117">
        <f t="shared" si="6"/>
        <v>20000</v>
      </c>
    </row>
    <row r="118" spans="1:97" outlineLevel="1" x14ac:dyDescent="0.4">
      <c r="A118" t="str">
        <f t="shared" si="7"/>
        <v>皮の法衣</v>
      </c>
      <c r="B118" t="str">
        <f>IFERROR(VLOOKUP($D118,素材!$1:$1016,COLUMN($B$1),FALSE)&amp;"・"&amp;VLOOKUP($C118,武器!$1:$998,COLUMN(B$1),FALSE),"")</f>
        <v>レザー・ローブ</v>
      </c>
      <c r="C118" t="s">
        <v>246</v>
      </c>
      <c r="D118" s="24" t="s">
        <v>252</v>
      </c>
      <c r="E118" t="str">
        <f>IFERROR(VLOOKUP(C118,武器!$1:$998,COLUMN(C$1),FALSE),"")</f>
        <v>体</v>
      </c>
      <c r="F118">
        <f>IFERROR(ROUNDDOWN((VLOOKUP($C118,武器!$1:$998,COLUMN(D$1),FALSE)+IFERROR(VLOOKUP($CI118,装強!$1:$999,COLUMN(F$1),FALSE),0))*VLOOKUP($D118,素材!$1:$1016,COLUMN(D$1),FALSE),0),"")</f>
        <v>0</v>
      </c>
      <c r="G118">
        <f>IFERROR(ROUNDDOWN((VLOOKUP($C118,武器!$1:$998,COLUMN(E$1),FALSE)+IFERROR(VLOOKUP($CI118,装強!$1:$999,COLUMN(G$1),FALSE),0))*VLOOKUP($D118,素材!$1:$1016,COLUMN($E$1),FALSE),0),"")</f>
        <v>0</v>
      </c>
      <c r="H118">
        <f>IFERROR(ROUNDDOWN((VLOOKUP($C118,武器!$1:$998,COLUMN(F$1),FALSE)+IFERROR(VLOOKUP($CI118,装強!$1:$999,COLUMN(H$1),FALSE),0))*VLOOKUP($D118,素材!$1:$1016,COLUMN($E$1),FALSE),0),"")</f>
        <v>0</v>
      </c>
      <c r="I118">
        <f>IFERROR(ROUNDDOWN((VLOOKUP($C118,武器!$1:$998,COLUMN(G$1),FALSE)+IFERROR(VLOOKUP($CI118,装強!$1:$999,COLUMN(I$1),FALSE),0))*VLOOKUP($D118,素材!$1:$1016,COLUMN($E$1),FALSE),0),"")</f>
        <v>0</v>
      </c>
      <c r="J118">
        <f>IFERROR(ROUNDDOWN((VLOOKUP($C118,武器!$1:$998,COLUMN(H$1),FALSE)+IFERROR(VLOOKUP($CI118,装強!$1:$999,COLUMN(J$1),FALSE),0))*VLOOKUP($D118,素材!$1:$1016,COLUMN($E$1),FALSE),0),"")</f>
        <v>0</v>
      </c>
      <c r="K118">
        <f>IFERROR(ROUNDDOWN((VLOOKUP($C118,武器!$1:$998,COLUMN(I$1),FALSE)+IFERROR(VLOOKUP($CI118,装強!$1:$999,COLUMN(K$1),FALSE),0))*VLOOKUP($D118,素材!$1:$1016,COLUMN($E$1),FALSE),0),"")</f>
        <v>0</v>
      </c>
      <c r="L118" t="str">
        <f>IFERROR(VLOOKUP($D118,素材!$1:$1016,COLUMN($F$1),FALSE),"")</f>
        <v>-</v>
      </c>
      <c r="M118" t="str">
        <f>IFERROR(VLOOKUP($C118,武器!$1:$998,COLUMN(AA$1),FALSE)*VLOOKUP($D118,素材!$1:$1016,COLUMN($G$1),FALSE),"")</f>
        <v/>
      </c>
      <c r="N118">
        <f>IFERROR(VLOOKUP($C118,武器!$1:$998,COLUMN(I$1),FALSE),"")</f>
        <v>0</v>
      </c>
      <c r="O118" s="23" t="str">
        <f>IFERROR((VLOOKUP($C118,武器!$1:$998,COLUMN(K$1),FALSE)+VLOOKUP($D118,素材!$1:$1016,COLUMN(H$1),FALSE))*100+IFERROR(VLOOKUP($CI118,装強!$1:$999,COLUMN(O$1),FALSE),0),"")</f>
        <v/>
      </c>
      <c r="P118" s="23" t="str">
        <f>IFERROR((VLOOKUP($C118,武器!$1:$998,COLUMN(L$1),FALSE)+VLOOKUP($D118,素材!$1:$1016,COLUMN(I$1),FALSE))*100+IFERROR(VLOOKUP($CI118,装強!$1:$999,COLUMN(P$1),FALSE),0),"")</f>
        <v/>
      </c>
      <c r="Q118">
        <f>IFERROR(ROUNDUP(VLOOKUP($C118,武器!$1:$998,COLUMN(M$1),FALSE)*(VLOOKUP($D118,素材!$1:$1002,COLUMN(D$1),FALSE)/100),1),"")</f>
        <v>0</v>
      </c>
      <c r="R118">
        <f>IFERROR(ROUNDUP(VLOOKUP($C118,武器!$1:$998,COLUMN(N$1),FALSE)*(VLOOKUP($D118,素材!$1:$1002,COLUMN(D$1),FALSE)/100),1),"")</f>
        <v>0</v>
      </c>
      <c r="S118">
        <f>IFERROR(VLOOKUP($C118,武器!$1:$998,COLUMN(P$1),FALSE),"")</f>
        <v>0</v>
      </c>
      <c r="T118">
        <f>IFERROR(VLOOKUP($C118,武器!$1:$998,COLUMN(Q$1),FALSE),"")</f>
        <v>0</v>
      </c>
      <c r="U118">
        <f>IFERROR(VLOOKUP($C118,武器!$1:$998,COLUMN(R$1),FALSE),"")</f>
        <v>0</v>
      </c>
      <c r="V118">
        <f>IFERROR(VLOOKUP($C118,武器!$1:$998,COLUMN(Q$1),FALSE),"")</f>
        <v>0</v>
      </c>
      <c r="W118">
        <f>IFERROR(VLOOKUP($C118,武器!$1:$998,COLUMN(T$1),FALSE),"")</f>
        <v>0</v>
      </c>
      <c r="Y118">
        <f>IFERROR(VLOOKUP($C118,武器!$1:$998,COLUMN(U$1),FALSE),"")</f>
        <v>0</v>
      </c>
      <c r="Z118">
        <f>IFERROR(ROUNDUP(VLOOKUP($C118,武器!$1:$998,COLUMN(O$1),FALSE)*VLOOKUP($D118,素材!$1:$1016,COLUMN(E$1),FALSE),1),"")</f>
        <v>2</v>
      </c>
      <c r="AA118">
        <f>IF(ISNUMBER(SEARCH(SUBSTITUTE(AA$1,RIGHT(AA$1,2),""),VLOOKUP($D118,素材!$1:$1016,COLUMN($F$1),FALSE))),VLOOKUP($C118,武器!$1:$998,COLUMN($O$1),FALSE)*VLOOKUP($D118,素材!$1:$1016,COLUMN($E$1),FALSE)/(LEN(VLOOKUP($D118,素材!$1:$1016,COLUMN($F$1),FALSE)) - LEN(SUBSTITUTE(VLOOKUP($D118,素材!$1:$1016,COLUMN($F$1),FALSE), "・", 0)) + 1), 0)</f>
        <v>0</v>
      </c>
      <c r="AB118">
        <f>IF(ISNUMBER(SEARCH(SUBSTITUTE(AB$1,RIGHT(AB$1,2),""),VLOOKUP($D118,素材!$1:$1016,COLUMN($F$1),FALSE))),VLOOKUP($C118,武器!$1:$998,COLUMN($O$1),FALSE)*VLOOKUP($D118,素材!$1:$1016,COLUMN($E$1),FALSE)/(LEN(VLOOKUP($D118,素材!$1:$1016,COLUMN($F$1),FALSE)) - LEN(SUBSTITUTE(VLOOKUP($D118,素材!$1:$1016,COLUMN($F$1),FALSE), "・", 0)) + 1), 0)</f>
        <v>0</v>
      </c>
      <c r="AC118">
        <f>IF(ISNUMBER(SEARCH(SUBSTITUTE(AC$1,RIGHT(AC$1,2),""),VLOOKUP($D118,素材!$1:$1016,COLUMN($F$1),FALSE))),VLOOKUP($C118,武器!$1:$998,COLUMN($O$1),FALSE)*VLOOKUP($D118,素材!$1:$1016,COLUMN($E$1),FALSE)/(LEN(VLOOKUP($D118,素材!$1:$1016,COLUMN($F$1),FALSE)) - LEN(SUBSTITUTE(VLOOKUP($D118,素材!$1:$1016,COLUMN($F$1),FALSE), "・", 0)) + 1), 0)</f>
        <v>0</v>
      </c>
      <c r="AD118">
        <f>IF(ISNUMBER(SEARCH(SUBSTITUTE(AD$1,RIGHT(AD$1,2),""),VLOOKUP($D118,素材!$1:$1016,COLUMN($F$1),FALSE))),VLOOKUP($C118,武器!$1:$998,COLUMN($O$1),FALSE)*VLOOKUP($D118,素材!$1:$1016,COLUMN($E$1),FALSE)/(LEN(VLOOKUP($D118,素材!$1:$1016,COLUMN($F$1),FALSE)) - LEN(SUBSTITUTE(VLOOKUP($D118,素材!$1:$1016,COLUMN($F$1),FALSE), "・", 0)) + 1), 0)</f>
        <v>0</v>
      </c>
      <c r="AE118">
        <f>IF(ISNUMBER(SEARCH(SUBSTITUTE(AE$1,RIGHT(AE$1,2),""),VLOOKUP($D118,素材!$1:$1016,COLUMN($F$1),FALSE))),VLOOKUP($C118,武器!$1:$998,COLUMN($O$1),FALSE)*VLOOKUP($D118,素材!$1:$1016,COLUMN($E$1),FALSE)/(LEN(VLOOKUP($D118,素材!$1:$1016,COLUMN($F$1),FALSE)) - LEN(SUBSTITUTE(VLOOKUP($D118,素材!$1:$1016,COLUMN($F$1),FALSE), "・", 0)) + 1), 0)</f>
        <v>0</v>
      </c>
      <c r="AF118">
        <f>IF(ISNUMBER(SEARCH(SUBSTITUTE(AF$1,RIGHT(AF$1,2),""),VLOOKUP($D118,素材!$1:$1016,COLUMN($F$1),FALSE))),VLOOKUP($C118,武器!$1:$998,COLUMN($O$1),FALSE)*VLOOKUP($D118,素材!$1:$1016,COLUMN($E$1),FALSE)/(LEN(VLOOKUP($D118,素材!$1:$1016,COLUMN($F$1),FALSE)) - LEN(SUBSTITUTE(VLOOKUP($D118,素材!$1:$1016,COLUMN($F$1),FALSE), "・", 0)) + 1), 0)</f>
        <v>0</v>
      </c>
      <c r="AG118">
        <f>IF(ISNUMBER(SEARCH(SUBSTITUTE(AG$1,RIGHT(AG$1,2),""),VLOOKUP($D118,素材!$1:$1016,COLUMN($F$1),FALSE))),VLOOKUP($C118,武器!$1:$998,COLUMN($O$1),FALSE)*VLOOKUP($D118,素材!$1:$1016,COLUMN($E$1),FALSE)/(LEN(VLOOKUP($D118,素材!$1:$1016,COLUMN($F$1),FALSE)) - LEN(SUBSTITUTE(VLOOKUP($D118,素材!$1:$1016,COLUMN($F$1),FALSE), "・", 0)) + 1), 0)</f>
        <v>0</v>
      </c>
      <c r="AH118">
        <f>IF(ISNUMBER(SEARCH(SUBSTITUTE(AH$1,RIGHT(AH$1,2),""),VLOOKUP($D118,素材!$1:$1016,COLUMN($F$1),FALSE))),VLOOKUP($C118,武器!$1:$998,COLUMN($O$1),FALSE)*VLOOKUP($D118,素材!$1:$1016,COLUMN($E$1),FALSE)/(LEN(VLOOKUP($D118,素材!$1:$1016,COLUMN($F$1),FALSE)) - LEN(SUBSTITUTE(VLOOKUP($D118,素材!$1:$1016,COLUMN($F$1),FALSE), "・", 0)) + 1), 0)</f>
        <v>0</v>
      </c>
      <c r="AI118">
        <f>IF(ISNUMBER(SEARCH(SUBSTITUTE(AI$1,RIGHT(AI$1,2),""),VLOOKUP($D118,素材!$1:$1016,COLUMN($F$1),FALSE))),VLOOKUP($C118,武器!$1:$998,COLUMN($O$1),FALSE)*VLOOKUP($D118,素材!$1:$1016,COLUMN($E$1),FALSE)/(LEN(VLOOKUP($D118,素材!$1:$1016,COLUMN($F$1),FALSE)) - LEN(SUBSTITUTE(VLOOKUP($D118,素材!$1:$1016,COLUMN($F$1),FALSE), "・", 0)) + 1), 0)</f>
        <v>0</v>
      </c>
      <c r="AJ118">
        <f>IF(ISNUMBER(SEARCH(SUBSTITUTE(AJ$1,RIGHT(AJ$1,2),""),VLOOKUP($D118,素材!$1:$1016,COLUMN($F$1),FALSE))),VLOOKUP($C118,武器!$1:$998,COLUMN($O$1),FALSE)*VLOOKUP($D118,素材!$1:$1016,COLUMN($E$1),FALSE)/(LEN(VLOOKUP($D118,素材!$1:$1016,COLUMN($F$1),FALSE)) - LEN(SUBSTITUTE(VLOOKUP($D118,素材!$1:$1016,COLUMN($F$1),FALSE), "・", 0)) + 1), 0)</f>
        <v>0</v>
      </c>
      <c r="AK118">
        <f>IF(ISNUMBER(SEARCH(SUBSTITUTE(AK$1,RIGHT(AK$1,2),""),VLOOKUP($D118,素材!$1:$1016,COLUMN($F$1),FALSE))),VLOOKUP($C118,武器!$1:$998,COLUMN($O$1),FALSE)*VLOOKUP($D118,素材!$1:$1016,COLUMN($E$1),FALSE)/(LEN(VLOOKUP($D118,素材!$1:$1016,COLUMN($F$1),FALSE)) - LEN(SUBSTITUTE(VLOOKUP($D118,素材!$1:$1016,COLUMN($F$1),FALSE), "・", 0)) + 1), 0)</f>
        <v>0</v>
      </c>
      <c r="AL118">
        <f>IF(ISNUMBER(SEARCH(SUBSTITUTE(AL$1,RIGHT(AL$1,2),""),VLOOKUP($D118,素材!$1:$1016,COLUMN($F$1),FALSE))),VLOOKUP($C118,武器!$1:$998,COLUMN($O$1),FALSE)*VLOOKUP($D118,素材!$1:$1016,COLUMN($E$1),FALSE)/(LEN(VLOOKUP($D118,素材!$1:$1016,COLUMN($F$1),FALSE)) - LEN(SUBSTITUTE(VLOOKUP($D118,素材!$1:$1016,COLUMN($F$1),FALSE), "・", 0)) + 1), 0)</f>
        <v>0</v>
      </c>
      <c r="AM118">
        <f>IF(ISNUMBER(SEARCH(SUBSTITUTE(AM$1,RIGHT(AM$1,2),""),VLOOKUP($D118,素材!$1:$1016,COLUMN($F$1),FALSE))),VLOOKUP($C118,武器!$1:$998,COLUMN($O$1),FALSE)*VLOOKUP($D118,素材!$1:$1016,COLUMN($E$1),FALSE)/(LEN(VLOOKUP($D118,素材!$1:$1016,COLUMN($F$1),FALSE)) - LEN(SUBSTITUTE(VLOOKUP($D118,素材!$1:$1016,COLUMN($F$1),FALSE), "・", 0)) + 1), 0)</f>
        <v>0</v>
      </c>
      <c r="AN118">
        <f>IF(ISNUMBER(SEARCH(SUBSTITUTE(AN$1,RIGHT(AN$1,2),""),VLOOKUP($D118,素材!$1:$1016,COLUMN($F$1),FALSE))),VLOOKUP($C118,武器!$1:$998,COLUMN($O$1),FALSE)*VLOOKUP($D118,素材!$1:$1016,COLUMN($E$1),FALSE)/(LEN(VLOOKUP($D118,素材!$1:$1016,COLUMN($F$1),FALSE)) - LEN(SUBSTITUTE(VLOOKUP($D118,素材!$1:$1016,COLUMN($F$1),FALSE), "・", 0)) + 1), 0)</f>
        <v>0</v>
      </c>
      <c r="AO118">
        <f>IF(ISNUMBER(SEARCH(SUBSTITUTE(AO$1,RIGHT(AO$1,2),""),VLOOKUP($D118,素材!$1:$1016,COLUMN($F$1),FALSE))),VLOOKUP($C118,武器!$1:$998,COLUMN($O$1),FALSE)*VLOOKUP($D118,素材!$1:$1016,COLUMN($E$1),FALSE)/(LEN(VLOOKUP($D118,素材!$1:$1016,COLUMN($F$1),FALSE)) - LEN(SUBSTITUTE(VLOOKUP($D118,素材!$1:$1016,COLUMN($F$1),FALSE), "・", 0)) + 1), 0)</f>
        <v>0</v>
      </c>
      <c r="AP118">
        <f>IF(ISNUMBER(SEARCH(SUBSTITUTE(AP$1,RIGHT(AP$1,2),""),VLOOKUP($D118,素材!$1:$1016,COLUMN($F$1),FALSE))),VLOOKUP($C118,武器!$1:$998,COLUMN($O$1),FALSE)*VLOOKUP($D118,素材!$1:$1016,COLUMN($E$1),FALSE)/(LEN(VLOOKUP($D118,素材!$1:$1016,COLUMN($F$1),FALSE)) - LEN(SUBSTITUTE(VLOOKUP($D118,素材!$1:$1016,COLUMN($F$1),FALSE), "・", 0)) + 1), 0)</f>
        <v>0</v>
      </c>
      <c r="AQ118">
        <f>IF(ISNUMBER(SEARCH(SUBSTITUTE(AQ$1,RIGHT(AQ$1,2),""),VLOOKUP($D118,素材!$1:$1016,COLUMN($F$1),FALSE))),VLOOKUP($C118,武器!$1:$998,COLUMN($O$1),FALSE)*VLOOKUP($D118,素材!$1:$1016,COLUMN($E$1),FALSE)/(LEN(VLOOKUP($D118,素材!$1:$1016,COLUMN($F$1),FALSE)) - LEN(SUBSTITUTE(VLOOKUP($D118,素材!$1:$1016,COLUMN($F$1),FALSE), "・", 0)) + 1), 0)</f>
        <v>0</v>
      </c>
      <c r="AR118">
        <f>IF(ISNUMBER(SEARCH(SUBSTITUTE(AR$1,RIGHT(AR$1,2),""),VLOOKUP($D118,素材!$1:$1016,COLUMN($F$1),FALSE))),VLOOKUP($C118,武器!$1:$998,COLUMN($O$1),FALSE)*VLOOKUP($D118,素材!$1:$1016,COLUMN($E$1),FALSE)/(LEN(VLOOKUP($D118,素材!$1:$1016,COLUMN($F$1),FALSE)) - LEN(SUBSTITUTE(VLOOKUP($D118,素材!$1:$1016,COLUMN($F$1),FALSE), "・", 0)) + 1), 0)</f>
        <v>0</v>
      </c>
      <c r="AS118">
        <f>IF(ISNUMBER(SEARCH(SUBSTITUTE(AS$1,RIGHT(AS$1,2),""),VLOOKUP($D118,素材!$1:$1016,COLUMN($F$1),FALSE))),VLOOKUP($C118,武器!$1:$998,COLUMN($O$1),FALSE)*VLOOKUP($D118,素材!$1:$1016,COLUMN($E$1),FALSE)/(LEN(VLOOKUP($D118,素材!$1:$1016,COLUMN($F$1),FALSE)) - LEN(SUBSTITUTE(VLOOKUP($D118,素材!$1:$1016,COLUMN($F$1),FALSE), "・", 0)) + 1), 0)</f>
        <v>0</v>
      </c>
      <c r="AT118">
        <f>IF(ISNUMBER(SEARCH(SUBSTITUTE(AT$1,RIGHT(AT$1,2),""),VLOOKUP($D118,素材!$1:$1016,COLUMN($F$1),FALSE))),VLOOKUP($C118,武器!$1:$998,COLUMN($O$1),FALSE)*VLOOKUP($D118,素材!$1:$1016,COLUMN($E$1),FALSE)/(LEN(VLOOKUP($D118,素材!$1:$1016,COLUMN($F$1),FALSE)) - LEN(SUBSTITUTE(VLOOKUP($D118,素材!$1:$1016,COLUMN($F$1),FALSE), "・", 0)) + 1), 0)</f>
        <v>0</v>
      </c>
      <c r="AU118">
        <f>IF(ISNUMBER(SEARCH(SUBSTITUTE(AU$1,RIGHT(AU$1,2),""),VLOOKUP($D118,素材!$1:$1016,COLUMN($F$1),FALSE))),VLOOKUP($C118,武器!$1:$998,COLUMN($O$1),FALSE)*VLOOKUP($D118,素材!$1:$1016,COLUMN($E$1),FALSE)/(LEN(VLOOKUP($D118,素材!$1:$1016,COLUMN($F$1),FALSE)) - LEN(SUBSTITUTE(VLOOKUP($D118,素材!$1:$1016,COLUMN($F$1),FALSE), "・", 0)) + 1), 0)</f>
        <v>0</v>
      </c>
      <c r="AV118">
        <f>IF(ISNUMBER(SEARCH(SUBSTITUTE(AV$1,RIGHT(AV$1,2),""),VLOOKUP($D118,素材!$1:$1016,COLUMN($F$1),FALSE))),VLOOKUP($C118,武器!$1:$998,COLUMN($O$1),FALSE)*VLOOKUP($D118,素材!$1:$1016,COLUMN($E$1),FALSE)/(LEN(VLOOKUP($D118,素材!$1:$1016,COLUMN($F$1),FALSE)) - LEN(SUBSTITUTE(VLOOKUP($D118,素材!$1:$1016,COLUMN($F$1),FALSE), "・", 0)) + 1), 0)</f>
        <v>0</v>
      </c>
      <c r="AW118">
        <f>IF(ISNUMBER(SEARCH(SUBSTITUTE(AW$1,RIGHT(AW$1,2),""),VLOOKUP($D118,素材!$1:$1016,COLUMN($F$1),FALSE))),VLOOKUP($C118,武器!$1:$998,COLUMN($O$1),FALSE)*VLOOKUP($D118,素材!$1:$1016,COLUMN($E$1),FALSE)/(LEN(VLOOKUP($D118,素材!$1:$1016,COLUMN($F$1),FALSE)) - LEN(SUBSTITUTE(VLOOKUP($D118,素材!$1:$1016,COLUMN($F$1),FALSE), "・", 0)) + 1), 0)</f>
        <v>0</v>
      </c>
      <c r="AX118">
        <f>IF(ISNUMBER(SEARCH(SUBSTITUTE(AX$1,RIGHT(AX$1,2),""),VLOOKUP($D118,素材!$1:$1016,COLUMN($F$1),FALSE))),VLOOKUP($C118,武器!$1:$998,COLUMN($O$1),FALSE)*VLOOKUP($D118,素材!$1:$1016,COLUMN($E$1),FALSE)/(LEN(VLOOKUP($D118,素材!$1:$1016,COLUMN($F$1),FALSE)) - LEN(SUBSTITUTE(VLOOKUP($D118,素材!$1:$1016,COLUMN($F$1),FALSE), "・", 0)) + 1), 0)</f>
        <v>0</v>
      </c>
      <c r="AY118">
        <f>IF(ISNUMBER(SEARCH(SUBSTITUTE(AY$1,RIGHT(AY$1,2),""),VLOOKUP($D118,素材!$1:$1016,COLUMN($F$1),FALSE))),VLOOKUP($C118,武器!$1:$998,COLUMN($O$1),FALSE)*VLOOKUP($D118,素材!$1:$1016,COLUMN($E$1),FALSE)/(LEN(VLOOKUP($D118,素材!$1:$1016,COLUMN($F$1),FALSE)) - LEN(SUBSTITUTE(VLOOKUP($D118,素材!$1:$1016,COLUMN($F$1),FALSE), "・", 0)) + 1), 0)</f>
        <v>0</v>
      </c>
      <c r="AZ118">
        <f>IF(ISNUMBER(SEARCH(SUBSTITUTE(AZ$1,RIGHT(AZ$1,2),""),VLOOKUP($D118,素材!$1:$1016,COLUMN($F$1),FALSE))),VLOOKUP($C118,武器!$1:$998,COLUMN($O$1),FALSE)*VLOOKUP($D118,素材!$1:$1016,COLUMN($E$1),FALSE)/(LEN(VLOOKUP($D118,素材!$1:$1016,COLUMN($F$1),FALSE)) - LEN(SUBSTITUTE(VLOOKUP($D118,素材!$1:$1016,COLUMN($F$1),FALSE), "・", 0)) + 1), 0)</f>
        <v>0</v>
      </c>
      <c r="BA118">
        <f>IF(ISNUMBER(SEARCH(SUBSTITUTE(BA$1,RIGHT(BA$1,2),""),VLOOKUP($D118,素材!$1:$1016,COLUMN($F$1),FALSE))),VLOOKUP($C118,武器!$1:$998,COLUMN($O$1),FALSE)*VLOOKUP($D118,素材!$1:$1016,COLUMN($E$1),FALSE)/(LEN(VLOOKUP($D118,素材!$1:$1016,COLUMN($F$1),FALSE)) - LEN(SUBSTITUTE(VLOOKUP($D118,素材!$1:$1016,COLUMN($F$1),FALSE), "・", 0)) + 1), 0)</f>
        <v>0</v>
      </c>
      <c r="BB118">
        <f>IF(ISNUMBER(SEARCH(SUBSTITUTE(BB$1,RIGHT(BB$1,2),""),VLOOKUP($D118,素材!$1:$1016,COLUMN($F$1),FALSE))),VLOOKUP($C118,武器!$1:$998,COLUMN($O$1),FALSE)*VLOOKUP($D118,素材!$1:$1016,COLUMN($E$1),FALSE)/(LEN(VLOOKUP($D118,素材!$1:$1016,COLUMN($F$1),FALSE)) - LEN(SUBSTITUTE(VLOOKUP($D118,素材!$1:$1016,COLUMN($F$1),FALSE), "・", 0)) + 1), 0)</f>
        <v>0</v>
      </c>
      <c r="BC118">
        <f>IF(ISNUMBER(SEARCH(SUBSTITUTE(BC$1,RIGHT(BC$1,2),""),VLOOKUP($D118,素材!$1:$1016,COLUMN($F$1),FALSE))),VLOOKUP($C118,武器!$1:$998,COLUMN($O$1),FALSE)*VLOOKUP($D118,素材!$1:$1016,COLUMN($E$1),FALSE)/(LEN(VLOOKUP($D118,素材!$1:$1016,COLUMN($F$1),FALSE)) - LEN(SUBSTITUTE(VLOOKUP($D118,素材!$1:$1016,COLUMN($F$1),FALSE), "・", 0)) + 1), 0)</f>
        <v>0</v>
      </c>
      <c r="BD118">
        <f>IF(ISNUMBER(SEARCH(SUBSTITUTE(BD$1,RIGHT(BD$1,2),""),VLOOKUP($D118,素材!$1:$1016,COLUMN($F$1),FALSE))),VLOOKUP($C118,武器!$1:$998,COLUMN($O$1),FALSE)*VLOOKUP($D118,素材!$1:$1016,COLUMN($E$1),FALSE)/(LEN(VLOOKUP($D118,素材!$1:$1016,COLUMN($F$1),FALSE)) - LEN(SUBSTITUTE(VLOOKUP($D118,素材!$1:$1016,COLUMN($F$1),FALSE), "・", 0)) + 1), 0)</f>
        <v>0</v>
      </c>
      <c r="BE118">
        <f>IF(ISNUMBER(SEARCH(SUBSTITUTE(BE$1,RIGHT(BE$1,2),""),VLOOKUP($D118,素材!$1:$1016,COLUMN($F$1),FALSE))),VLOOKUP($C118,武器!$1:$998,COLUMN($O$1),FALSE)*VLOOKUP($D118,素材!$1:$1016,COLUMN($E$1),FALSE)/(LEN(VLOOKUP($D118,素材!$1:$1016,COLUMN($F$1),FALSE)) - LEN(SUBSTITUTE(VLOOKUP($D118,素材!$1:$1016,COLUMN($F$1),FALSE), "・", 0)) + 1), 0)</f>
        <v>0</v>
      </c>
      <c r="CL118">
        <f>SUM(G118:I118)</f>
        <v>0</v>
      </c>
      <c r="CM118" s="22" t="str">
        <f>IF(E118="武器",IF(J118-1&gt;SUM(G118:I118),"盾",IF(MAX(G118:I118)=G118,"切断",IF(MAX(G118:I118)=H118,"貫通",IF(MAX(G118:I118)=I118,"打撃","射撃")))),E118)&amp;".webp"</f>
        <v>体.webp</v>
      </c>
      <c r="CN118">
        <f>IFERROR(VLOOKUP($C118,武器!$1:$998,COLUMN(V$1),FALSE)*VLOOKUP($D118,素材!$1:$1016,COLUMN(N$1),FALSE)+IF(CI118="",0,VLOOKUP($CI118,装強!$1:$1008,COLUMN($CK$1),FALSE)),"")</f>
        <v>200</v>
      </c>
      <c r="CO118" t="str">
        <f>VLOOKUP(D118,素材!$A:$O,COLUMN(素材!O$1),FALSE)</f>
        <v>一般的な皮素材で、防具や軽量装備の材料として最適です。耐久性は高くありませんが、軽量で扱いやすい点が特徴です。</v>
      </c>
      <c r="CP118" t="str">
        <f>VLOOKUP(C118,武器!$A:$W,COLUMN(武器!W$1),FALSE)</f>
        <v>HP 物理 魔法 体幹 出血 疲労 Cr</v>
      </c>
      <c r="CR118" t="str">
        <f t="shared" si="5"/>
        <v>e_118</v>
      </c>
      <c r="CS118">
        <f t="shared" si="6"/>
        <v>20000</v>
      </c>
    </row>
    <row r="119" spans="1:97" outlineLevel="1" x14ac:dyDescent="0.4">
      <c r="A119" t="str">
        <f t="shared" si="7"/>
        <v>皮の鎧</v>
      </c>
      <c r="B119" t="str">
        <f>IFERROR(VLOOKUP($D119,素材!$1:$1016,COLUMN($B$1),FALSE)&amp;"・"&amp;VLOOKUP($C119,武器!$1:$998,COLUMN(B$1),FALSE),"")</f>
        <v>レザー・アーマー</v>
      </c>
      <c r="C119" t="s">
        <v>208</v>
      </c>
      <c r="D119" s="24" t="s">
        <v>252</v>
      </c>
      <c r="E119" t="str">
        <f>IFERROR(VLOOKUP(C119,武器!$1:$998,COLUMN(C$1),FALSE),"")</f>
        <v>体</v>
      </c>
      <c r="F119">
        <f>IFERROR(ROUNDDOWN((VLOOKUP($C119,武器!$1:$998,COLUMN(D$1),FALSE)+IFERROR(VLOOKUP($CI119,装強!$1:$999,COLUMN(F$1),FALSE),0))*VLOOKUP($D119,素材!$1:$1016,COLUMN(D$1),FALSE),0),"")</f>
        <v>0</v>
      </c>
      <c r="G119">
        <f>IFERROR(ROUNDDOWN((VLOOKUP($C119,武器!$1:$998,COLUMN(E$1),FALSE)+IFERROR(VLOOKUP($CI119,装強!$1:$999,COLUMN(G$1),FALSE),0))*VLOOKUP($D119,素材!$1:$1016,COLUMN($E$1),FALSE),0),"")</f>
        <v>0</v>
      </c>
      <c r="H119">
        <f>IFERROR(ROUNDDOWN((VLOOKUP($C119,武器!$1:$998,COLUMN(F$1),FALSE)+IFERROR(VLOOKUP($CI119,装強!$1:$999,COLUMN(H$1),FALSE),0))*VLOOKUP($D119,素材!$1:$1016,COLUMN($E$1),FALSE),0),"")</f>
        <v>0</v>
      </c>
      <c r="I119">
        <f>IFERROR(ROUNDDOWN((VLOOKUP($C119,武器!$1:$998,COLUMN(G$1),FALSE)+IFERROR(VLOOKUP($CI119,装強!$1:$999,COLUMN(I$1),FALSE),0))*VLOOKUP($D119,素材!$1:$1016,COLUMN($E$1),FALSE),0),"")</f>
        <v>0</v>
      </c>
      <c r="J119">
        <f>IFERROR(ROUNDDOWN((VLOOKUP($C119,武器!$1:$998,COLUMN(H$1),FALSE)+IFERROR(VLOOKUP($CI119,装強!$1:$999,COLUMN(J$1),FALSE),0))*VLOOKUP($D119,素材!$1:$1016,COLUMN($E$1),FALSE),0),"")</f>
        <v>0</v>
      </c>
      <c r="K119">
        <f>IFERROR(ROUNDDOWN((VLOOKUP($C119,武器!$1:$998,COLUMN(I$1),FALSE)+IFERROR(VLOOKUP($CI119,装強!$1:$999,COLUMN(K$1),FALSE),0))*VLOOKUP($D119,素材!$1:$1016,COLUMN($E$1),FALSE),0),"")</f>
        <v>0</v>
      </c>
      <c r="L119" t="str">
        <f>IFERROR(VLOOKUP($D119,素材!$1:$1016,COLUMN($F$1),FALSE),"")</f>
        <v>-</v>
      </c>
      <c r="M119" t="str">
        <f>IFERROR(VLOOKUP($C119,武器!$1:$998,COLUMN(AA$1),FALSE)*VLOOKUP($D119,素材!$1:$1016,COLUMN($G$1),FALSE),"")</f>
        <v/>
      </c>
      <c r="N119">
        <f>IFERROR(VLOOKUP($C119,武器!$1:$998,COLUMN(I$1),FALSE),"")</f>
        <v>0</v>
      </c>
      <c r="O119" s="23" t="str">
        <f>IFERROR((VLOOKUP($C119,武器!$1:$998,COLUMN(K$1),FALSE)+VLOOKUP($D119,素材!$1:$1016,COLUMN(H$1),FALSE))*100+IFERROR(VLOOKUP($CI119,装強!$1:$999,COLUMN(O$1),FALSE),0),"")</f>
        <v/>
      </c>
      <c r="P119" s="23" t="str">
        <f>IFERROR((VLOOKUP($C119,武器!$1:$998,COLUMN(L$1),FALSE)+VLOOKUP($D119,素材!$1:$1016,COLUMN(I$1),FALSE))*100+IFERROR(VLOOKUP($CI119,装強!$1:$999,COLUMN(P$1),FALSE),0),"")</f>
        <v/>
      </c>
      <c r="Q119">
        <f>IFERROR(ROUNDUP(VLOOKUP($C119,武器!$1:$998,COLUMN(M$1),FALSE)*(VLOOKUP($D119,素材!$1:$1002,COLUMN(D$1),FALSE)/100),1),"")</f>
        <v>-6</v>
      </c>
      <c r="R119">
        <f>IFERROR(ROUNDUP(VLOOKUP($C119,武器!$1:$998,COLUMN(N$1),FALSE)*(VLOOKUP($D119,素材!$1:$1002,COLUMN(D$1),FALSE)/100),1),"")</f>
        <v>0</v>
      </c>
      <c r="S119">
        <f>IFERROR(VLOOKUP($C119,武器!$1:$998,COLUMN(P$1),FALSE),"")</f>
        <v>0</v>
      </c>
      <c r="T119">
        <f>IFERROR(VLOOKUP($C119,武器!$1:$998,COLUMN(Q$1),FALSE),"")</f>
        <v>0</v>
      </c>
      <c r="U119">
        <f>IFERROR(VLOOKUP($C119,武器!$1:$998,COLUMN(R$1),FALSE),"")</f>
        <v>0</v>
      </c>
      <c r="V119">
        <f>IFERROR(VLOOKUP($C119,武器!$1:$998,COLUMN(Q$1),FALSE),"")</f>
        <v>0</v>
      </c>
      <c r="W119">
        <f>IFERROR(VLOOKUP($C119,武器!$1:$998,COLUMN(T$1),FALSE),"")</f>
        <v>0</v>
      </c>
      <c r="Y119">
        <f>IFERROR(VLOOKUP($C119,武器!$1:$998,COLUMN(U$1),FALSE),"")</f>
        <v>0</v>
      </c>
      <c r="Z119">
        <f>IFERROR(ROUNDUP(VLOOKUP($C119,武器!$1:$998,COLUMN(O$1),FALSE)*VLOOKUP($D119,素材!$1:$1016,COLUMN(E$1),FALSE),1),"")</f>
        <v>7</v>
      </c>
      <c r="AA119">
        <f>IF(ISNUMBER(SEARCH(SUBSTITUTE(AA$1,RIGHT(AA$1,2),""),VLOOKUP($D119,素材!$1:$1016,COLUMN($F$1),FALSE))),VLOOKUP($C119,武器!$1:$998,COLUMN($O$1),FALSE)*VLOOKUP($D119,素材!$1:$1016,COLUMN($E$1),FALSE)/(LEN(VLOOKUP($D119,素材!$1:$1016,COLUMN($F$1),FALSE)) - LEN(SUBSTITUTE(VLOOKUP($D119,素材!$1:$1016,COLUMN($F$1),FALSE), "・", 0)) + 1), 0)</f>
        <v>0</v>
      </c>
      <c r="AB119">
        <f>IF(ISNUMBER(SEARCH(SUBSTITUTE(AB$1,RIGHT(AB$1,2),""),VLOOKUP($D119,素材!$1:$1016,COLUMN($F$1),FALSE))),VLOOKUP($C119,武器!$1:$998,COLUMN($O$1),FALSE)*VLOOKUP($D119,素材!$1:$1016,COLUMN($E$1),FALSE)/(LEN(VLOOKUP($D119,素材!$1:$1016,COLUMN($F$1),FALSE)) - LEN(SUBSTITUTE(VLOOKUP($D119,素材!$1:$1016,COLUMN($F$1),FALSE), "・", 0)) + 1), 0)</f>
        <v>0</v>
      </c>
      <c r="AC119">
        <f>IF(ISNUMBER(SEARCH(SUBSTITUTE(AC$1,RIGHT(AC$1,2),""),VLOOKUP($D119,素材!$1:$1016,COLUMN($F$1),FALSE))),VLOOKUP($C119,武器!$1:$998,COLUMN($O$1),FALSE)*VLOOKUP($D119,素材!$1:$1016,COLUMN($E$1),FALSE)/(LEN(VLOOKUP($D119,素材!$1:$1016,COLUMN($F$1),FALSE)) - LEN(SUBSTITUTE(VLOOKUP($D119,素材!$1:$1016,COLUMN($F$1),FALSE), "・", 0)) + 1), 0)</f>
        <v>0</v>
      </c>
      <c r="AD119">
        <f>IF(ISNUMBER(SEARCH(SUBSTITUTE(AD$1,RIGHT(AD$1,2),""),VLOOKUP($D119,素材!$1:$1016,COLUMN($F$1),FALSE))),VLOOKUP($C119,武器!$1:$998,COLUMN($O$1),FALSE)*VLOOKUP($D119,素材!$1:$1016,COLUMN($E$1),FALSE)/(LEN(VLOOKUP($D119,素材!$1:$1016,COLUMN($F$1),FALSE)) - LEN(SUBSTITUTE(VLOOKUP($D119,素材!$1:$1016,COLUMN($F$1),FALSE), "・", 0)) + 1), 0)</f>
        <v>0</v>
      </c>
      <c r="AE119">
        <f>IF(ISNUMBER(SEARCH(SUBSTITUTE(AE$1,RIGHT(AE$1,2),""),VLOOKUP($D119,素材!$1:$1016,COLUMN($F$1),FALSE))),VLOOKUP($C119,武器!$1:$998,COLUMN($O$1),FALSE)*VLOOKUP($D119,素材!$1:$1016,COLUMN($E$1),FALSE)/(LEN(VLOOKUP($D119,素材!$1:$1016,COLUMN($F$1),FALSE)) - LEN(SUBSTITUTE(VLOOKUP($D119,素材!$1:$1016,COLUMN($F$1),FALSE), "・", 0)) + 1), 0)</f>
        <v>0</v>
      </c>
      <c r="AF119">
        <f>IF(ISNUMBER(SEARCH(SUBSTITUTE(AF$1,RIGHT(AF$1,2),""),VLOOKUP($D119,素材!$1:$1016,COLUMN($F$1),FALSE))),VLOOKUP($C119,武器!$1:$998,COLUMN($O$1),FALSE)*VLOOKUP($D119,素材!$1:$1016,COLUMN($E$1),FALSE)/(LEN(VLOOKUP($D119,素材!$1:$1016,COLUMN($F$1),FALSE)) - LEN(SUBSTITUTE(VLOOKUP($D119,素材!$1:$1016,COLUMN($F$1),FALSE), "・", 0)) + 1), 0)</f>
        <v>0</v>
      </c>
      <c r="AG119">
        <f>IF(ISNUMBER(SEARCH(SUBSTITUTE(AG$1,RIGHT(AG$1,2),""),VLOOKUP($D119,素材!$1:$1016,COLUMN($F$1),FALSE))),VLOOKUP($C119,武器!$1:$998,COLUMN($O$1),FALSE)*VLOOKUP($D119,素材!$1:$1016,COLUMN($E$1),FALSE)/(LEN(VLOOKUP($D119,素材!$1:$1016,COLUMN($F$1),FALSE)) - LEN(SUBSTITUTE(VLOOKUP($D119,素材!$1:$1016,COLUMN($F$1),FALSE), "・", 0)) + 1), 0)</f>
        <v>0</v>
      </c>
      <c r="AH119">
        <f>IF(ISNUMBER(SEARCH(SUBSTITUTE(AH$1,RIGHT(AH$1,2),""),VLOOKUP($D119,素材!$1:$1016,COLUMN($F$1),FALSE))),VLOOKUP($C119,武器!$1:$998,COLUMN($O$1),FALSE)*VLOOKUP($D119,素材!$1:$1016,COLUMN($E$1),FALSE)/(LEN(VLOOKUP($D119,素材!$1:$1016,COLUMN($F$1),FALSE)) - LEN(SUBSTITUTE(VLOOKUP($D119,素材!$1:$1016,COLUMN($F$1),FALSE), "・", 0)) + 1), 0)</f>
        <v>0</v>
      </c>
      <c r="AI119">
        <f>IF(ISNUMBER(SEARCH(SUBSTITUTE(AI$1,RIGHT(AI$1,2),""),VLOOKUP($D119,素材!$1:$1016,COLUMN($F$1),FALSE))),VLOOKUP($C119,武器!$1:$998,COLUMN($O$1),FALSE)*VLOOKUP($D119,素材!$1:$1016,COLUMN($E$1),FALSE)/(LEN(VLOOKUP($D119,素材!$1:$1016,COLUMN($F$1),FALSE)) - LEN(SUBSTITUTE(VLOOKUP($D119,素材!$1:$1016,COLUMN($F$1),FALSE), "・", 0)) + 1), 0)</f>
        <v>0</v>
      </c>
      <c r="AJ119">
        <f>IF(ISNUMBER(SEARCH(SUBSTITUTE(AJ$1,RIGHT(AJ$1,2),""),VLOOKUP($D119,素材!$1:$1016,COLUMN($F$1),FALSE))),VLOOKUP($C119,武器!$1:$998,COLUMN($O$1),FALSE)*VLOOKUP($D119,素材!$1:$1016,COLUMN($E$1),FALSE)/(LEN(VLOOKUP($D119,素材!$1:$1016,COLUMN($F$1),FALSE)) - LEN(SUBSTITUTE(VLOOKUP($D119,素材!$1:$1016,COLUMN($F$1),FALSE), "・", 0)) + 1), 0)</f>
        <v>0</v>
      </c>
      <c r="AK119">
        <f>IF(ISNUMBER(SEARCH(SUBSTITUTE(AK$1,RIGHT(AK$1,2),""),VLOOKUP($D119,素材!$1:$1016,COLUMN($F$1),FALSE))),VLOOKUP($C119,武器!$1:$998,COLUMN($O$1),FALSE)*VLOOKUP($D119,素材!$1:$1016,COLUMN($E$1),FALSE)/(LEN(VLOOKUP($D119,素材!$1:$1016,COLUMN($F$1),FALSE)) - LEN(SUBSTITUTE(VLOOKUP($D119,素材!$1:$1016,COLUMN($F$1),FALSE), "・", 0)) + 1), 0)</f>
        <v>0</v>
      </c>
      <c r="AL119">
        <f>IF(ISNUMBER(SEARCH(SUBSTITUTE(AL$1,RIGHT(AL$1,2),""),VLOOKUP($D119,素材!$1:$1016,COLUMN($F$1),FALSE))),VLOOKUP($C119,武器!$1:$998,COLUMN($O$1),FALSE)*VLOOKUP($D119,素材!$1:$1016,COLUMN($E$1),FALSE)/(LEN(VLOOKUP($D119,素材!$1:$1016,COLUMN($F$1),FALSE)) - LEN(SUBSTITUTE(VLOOKUP($D119,素材!$1:$1016,COLUMN($F$1),FALSE), "・", 0)) + 1), 0)</f>
        <v>0</v>
      </c>
      <c r="AM119">
        <f>IF(ISNUMBER(SEARCH(SUBSTITUTE(AM$1,RIGHT(AM$1,2),""),VLOOKUP($D119,素材!$1:$1016,COLUMN($F$1),FALSE))),VLOOKUP($C119,武器!$1:$998,COLUMN($O$1),FALSE)*VLOOKUP($D119,素材!$1:$1016,COLUMN($E$1),FALSE)/(LEN(VLOOKUP($D119,素材!$1:$1016,COLUMN($F$1),FALSE)) - LEN(SUBSTITUTE(VLOOKUP($D119,素材!$1:$1016,COLUMN($F$1),FALSE), "・", 0)) + 1), 0)</f>
        <v>0</v>
      </c>
      <c r="AN119">
        <f>IF(ISNUMBER(SEARCH(SUBSTITUTE(AN$1,RIGHT(AN$1,2),""),VLOOKUP($D119,素材!$1:$1016,COLUMN($F$1),FALSE))),VLOOKUP($C119,武器!$1:$998,COLUMN($O$1),FALSE)*VLOOKUP($D119,素材!$1:$1016,COLUMN($E$1),FALSE)/(LEN(VLOOKUP($D119,素材!$1:$1016,COLUMN($F$1),FALSE)) - LEN(SUBSTITUTE(VLOOKUP($D119,素材!$1:$1016,COLUMN($F$1),FALSE), "・", 0)) + 1), 0)</f>
        <v>0</v>
      </c>
      <c r="AO119">
        <f>IF(ISNUMBER(SEARCH(SUBSTITUTE(AO$1,RIGHT(AO$1,2),""),VLOOKUP($D119,素材!$1:$1016,COLUMN($F$1),FALSE))),VLOOKUP($C119,武器!$1:$998,COLUMN($O$1),FALSE)*VLOOKUP($D119,素材!$1:$1016,COLUMN($E$1),FALSE)/(LEN(VLOOKUP($D119,素材!$1:$1016,COLUMN($F$1),FALSE)) - LEN(SUBSTITUTE(VLOOKUP($D119,素材!$1:$1016,COLUMN($F$1),FALSE), "・", 0)) + 1), 0)</f>
        <v>0</v>
      </c>
      <c r="AP119">
        <f>IF(ISNUMBER(SEARCH(SUBSTITUTE(AP$1,RIGHT(AP$1,2),""),VLOOKUP($D119,素材!$1:$1016,COLUMN($F$1),FALSE))),VLOOKUP($C119,武器!$1:$998,COLUMN($O$1),FALSE)*VLOOKUP($D119,素材!$1:$1016,COLUMN($E$1),FALSE)/(LEN(VLOOKUP($D119,素材!$1:$1016,COLUMN($F$1),FALSE)) - LEN(SUBSTITUTE(VLOOKUP($D119,素材!$1:$1016,COLUMN($F$1),FALSE), "・", 0)) + 1), 0)</f>
        <v>0</v>
      </c>
      <c r="AQ119">
        <f>IF(ISNUMBER(SEARCH(SUBSTITUTE(AQ$1,RIGHT(AQ$1,2),""),VLOOKUP($D119,素材!$1:$1016,COLUMN($F$1),FALSE))),VLOOKUP($C119,武器!$1:$998,COLUMN($O$1),FALSE)*VLOOKUP($D119,素材!$1:$1016,COLUMN($E$1),FALSE)/(LEN(VLOOKUP($D119,素材!$1:$1016,COLUMN($F$1),FALSE)) - LEN(SUBSTITUTE(VLOOKUP($D119,素材!$1:$1016,COLUMN($F$1),FALSE), "・", 0)) + 1), 0)</f>
        <v>0</v>
      </c>
      <c r="AR119">
        <f>IF(ISNUMBER(SEARCH(SUBSTITUTE(AR$1,RIGHT(AR$1,2),""),VLOOKUP($D119,素材!$1:$1016,COLUMN($F$1),FALSE))),VLOOKUP($C119,武器!$1:$998,COLUMN($O$1),FALSE)*VLOOKUP($D119,素材!$1:$1016,COLUMN($E$1),FALSE)/(LEN(VLOOKUP($D119,素材!$1:$1016,COLUMN($F$1),FALSE)) - LEN(SUBSTITUTE(VLOOKUP($D119,素材!$1:$1016,COLUMN($F$1),FALSE), "・", 0)) + 1), 0)</f>
        <v>0</v>
      </c>
      <c r="AS119">
        <f>IF(ISNUMBER(SEARCH(SUBSTITUTE(AS$1,RIGHT(AS$1,2),""),VLOOKUP($D119,素材!$1:$1016,COLUMN($F$1),FALSE))),VLOOKUP($C119,武器!$1:$998,COLUMN($O$1),FALSE)*VLOOKUP($D119,素材!$1:$1016,COLUMN($E$1),FALSE)/(LEN(VLOOKUP($D119,素材!$1:$1016,COLUMN($F$1),FALSE)) - LEN(SUBSTITUTE(VLOOKUP($D119,素材!$1:$1016,COLUMN($F$1),FALSE), "・", 0)) + 1), 0)</f>
        <v>0</v>
      </c>
      <c r="AT119">
        <f>IF(ISNUMBER(SEARCH(SUBSTITUTE(AT$1,RIGHT(AT$1,2),""),VLOOKUP($D119,素材!$1:$1016,COLUMN($F$1),FALSE))),VLOOKUP($C119,武器!$1:$998,COLUMN($O$1),FALSE)*VLOOKUP($D119,素材!$1:$1016,COLUMN($E$1),FALSE)/(LEN(VLOOKUP($D119,素材!$1:$1016,COLUMN($F$1),FALSE)) - LEN(SUBSTITUTE(VLOOKUP($D119,素材!$1:$1016,COLUMN($F$1),FALSE), "・", 0)) + 1), 0)</f>
        <v>0</v>
      </c>
      <c r="AU119">
        <f>IF(ISNUMBER(SEARCH(SUBSTITUTE(AU$1,RIGHT(AU$1,2),""),VLOOKUP($D119,素材!$1:$1016,COLUMN($F$1),FALSE))),VLOOKUP($C119,武器!$1:$998,COLUMN($O$1),FALSE)*VLOOKUP($D119,素材!$1:$1016,COLUMN($E$1),FALSE)/(LEN(VLOOKUP($D119,素材!$1:$1016,COLUMN($F$1),FALSE)) - LEN(SUBSTITUTE(VLOOKUP($D119,素材!$1:$1016,COLUMN($F$1),FALSE), "・", 0)) + 1), 0)</f>
        <v>0</v>
      </c>
      <c r="AV119">
        <f>IF(ISNUMBER(SEARCH(SUBSTITUTE(AV$1,RIGHT(AV$1,2),""),VLOOKUP($D119,素材!$1:$1016,COLUMN($F$1),FALSE))),VLOOKUP($C119,武器!$1:$998,COLUMN($O$1),FALSE)*VLOOKUP($D119,素材!$1:$1016,COLUMN($E$1),FALSE)/(LEN(VLOOKUP($D119,素材!$1:$1016,COLUMN($F$1),FALSE)) - LEN(SUBSTITUTE(VLOOKUP($D119,素材!$1:$1016,COLUMN($F$1),FALSE), "・", 0)) + 1), 0)</f>
        <v>0</v>
      </c>
      <c r="AW119">
        <f>IF(ISNUMBER(SEARCH(SUBSTITUTE(AW$1,RIGHT(AW$1,2),""),VLOOKUP($D119,素材!$1:$1016,COLUMN($F$1),FALSE))),VLOOKUP($C119,武器!$1:$998,COLUMN($O$1),FALSE)*VLOOKUP($D119,素材!$1:$1016,COLUMN($E$1),FALSE)/(LEN(VLOOKUP($D119,素材!$1:$1016,COLUMN($F$1),FALSE)) - LEN(SUBSTITUTE(VLOOKUP($D119,素材!$1:$1016,COLUMN($F$1),FALSE), "・", 0)) + 1), 0)</f>
        <v>0</v>
      </c>
      <c r="AX119">
        <f>IF(ISNUMBER(SEARCH(SUBSTITUTE(AX$1,RIGHT(AX$1,2),""),VLOOKUP($D119,素材!$1:$1016,COLUMN($F$1),FALSE))),VLOOKUP($C119,武器!$1:$998,COLUMN($O$1),FALSE)*VLOOKUP($D119,素材!$1:$1016,COLUMN($E$1),FALSE)/(LEN(VLOOKUP($D119,素材!$1:$1016,COLUMN($F$1),FALSE)) - LEN(SUBSTITUTE(VLOOKUP($D119,素材!$1:$1016,COLUMN($F$1),FALSE), "・", 0)) + 1), 0)</f>
        <v>0</v>
      </c>
      <c r="AY119">
        <f>IF(ISNUMBER(SEARCH(SUBSTITUTE(AY$1,RIGHT(AY$1,2),""),VLOOKUP($D119,素材!$1:$1016,COLUMN($F$1),FALSE))),VLOOKUP($C119,武器!$1:$998,COLUMN($O$1),FALSE)*VLOOKUP($D119,素材!$1:$1016,COLUMN($E$1),FALSE)/(LEN(VLOOKUP($D119,素材!$1:$1016,COLUMN($F$1),FALSE)) - LEN(SUBSTITUTE(VLOOKUP($D119,素材!$1:$1016,COLUMN($F$1),FALSE), "・", 0)) + 1), 0)</f>
        <v>0</v>
      </c>
      <c r="AZ119">
        <f>IF(ISNUMBER(SEARCH(SUBSTITUTE(AZ$1,RIGHT(AZ$1,2),""),VLOOKUP($D119,素材!$1:$1016,COLUMN($F$1),FALSE))),VLOOKUP($C119,武器!$1:$998,COLUMN($O$1),FALSE)*VLOOKUP($D119,素材!$1:$1016,COLUMN($E$1),FALSE)/(LEN(VLOOKUP($D119,素材!$1:$1016,COLUMN($F$1),FALSE)) - LEN(SUBSTITUTE(VLOOKUP($D119,素材!$1:$1016,COLUMN($F$1),FALSE), "・", 0)) + 1), 0)</f>
        <v>0</v>
      </c>
      <c r="BA119">
        <f>IF(ISNUMBER(SEARCH(SUBSTITUTE(BA$1,RIGHT(BA$1,2),""),VLOOKUP($D119,素材!$1:$1016,COLUMN($F$1),FALSE))),VLOOKUP($C119,武器!$1:$998,COLUMN($O$1),FALSE)*VLOOKUP($D119,素材!$1:$1016,COLUMN($E$1),FALSE)/(LEN(VLOOKUP($D119,素材!$1:$1016,COLUMN($F$1),FALSE)) - LEN(SUBSTITUTE(VLOOKUP($D119,素材!$1:$1016,COLUMN($F$1),FALSE), "・", 0)) + 1), 0)</f>
        <v>0</v>
      </c>
      <c r="BB119">
        <f>IF(ISNUMBER(SEARCH(SUBSTITUTE(BB$1,RIGHT(BB$1,2),""),VLOOKUP($D119,素材!$1:$1016,COLUMN($F$1),FALSE))),VLOOKUP($C119,武器!$1:$998,COLUMN($O$1),FALSE)*VLOOKUP($D119,素材!$1:$1016,COLUMN($E$1),FALSE)/(LEN(VLOOKUP($D119,素材!$1:$1016,COLUMN($F$1),FALSE)) - LEN(SUBSTITUTE(VLOOKUP($D119,素材!$1:$1016,COLUMN($F$1),FALSE), "・", 0)) + 1), 0)</f>
        <v>0</v>
      </c>
      <c r="BC119">
        <f>IF(ISNUMBER(SEARCH(SUBSTITUTE(BC$1,RIGHT(BC$1,2),""),VLOOKUP($D119,素材!$1:$1016,COLUMN($F$1),FALSE))),VLOOKUP($C119,武器!$1:$998,COLUMN($O$1),FALSE)*VLOOKUP($D119,素材!$1:$1016,COLUMN($E$1),FALSE)/(LEN(VLOOKUP($D119,素材!$1:$1016,COLUMN($F$1),FALSE)) - LEN(SUBSTITUTE(VLOOKUP($D119,素材!$1:$1016,COLUMN($F$1),FALSE), "・", 0)) + 1), 0)</f>
        <v>0</v>
      </c>
      <c r="BD119">
        <f>IF(ISNUMBER(SEARCH(SUBSTITUTE(BD$1,RIGHT(BD$1,2),""),VLOOKUP($D119,素材!$1:$1016,COLUMN($F$1),FALSE))),VLOOKUP($C119,武器!$1:$998,COLUMN($O$1),FALSE)*VLOOKUP($D119,素材!$1:$1016,COLUMN($E$1),FALSE)/(LEN(VLOOKUP($D119,素材!$1:$1016,COLUMN($F$1),FALSE)) - LEN(SUBSTITUTE(VLOOKUP($D119,素材!$1:$1016,COLUMN($F$1),FALSE), "・", 0)) + 1), 0)</f>
        <v>0</v>
      </c>
      <c r="BE119">
        <f>IF(ISNUMBER(SEARCH(SUBSTITUTE(BE$1,RIGHT(BE$1,2),""),VLOOKUP($D119,素材!$1:$1016,COLUMN($F$1),FALSE))),VLOOKUP($C119,武器!$1:$998,COLUMN($O$1),FALSE)*VLOOKUP($D119,素材!$1:$1016,COLUMN($E$1),FALSE)/(LEN(VLOOKUP($D119,素材!$1:$1016,COLUMN($F$1),FALSE)) - LEN(SUBSTITUTE(VLOOKUP($D119,素材!$1:$1016,COLUMN($F$1),FALSE), "・", 0)) + 1), 0)</f>
        <v>0</v>
      </c>
      <c r="CL119">
        <f>SUM(G119:I119)</f>
        <v>0</v>
      </c>
      <c r="CM119" s="22" t="str">
        <f>IF(E119="武器",IF(J119-1&gt;SUM(G119:I119),"盾",IF(MAX(G119:I119)=G119,"切断",IF(MAX(G119:I119)=H119,"貫通",IF(MAX(G119:I119)=I119,"打撃","射撃")))),E119)&amp;".webp"</f>
        <v>体.webp</v>
      </c>
      <c r="CN119">
        <f>IFERROR(VLOOKUP($C119,武器!$1:$998,COLUMN(V$1),FALSE)*VLOOKUP($D119,素材!$1:$1016,COLUMN(N$1),FALSE)+IF(CI119="",0,VLOOKUP($CI119,装強!$1:$1008,COLUMN($CK$1),FALSE)),"")</f>
        <v>300</v>
      </c>
      <c r="CO119" t="str">
        <f>VLOOKUP(D119,素材!$A:$O,COLUMN(素材!O$1),FALSE)</f>
        <v>一般的な皮素材で、防具や軽量装備の材料として最適です。耐久性は高くありませんが、軽量で扱いやすい点が特徴です。</v>
      </c>
      <c r="CP119" t="str">
        <f>VLOOKUP(C119,武器!$A:$W,COLUMN(武器!W$1),FALSE)</f>
        <v>HP 物理 魔法 体幹 出血 疲労 Cr</v>
      </c>
      <c r="CR119" t="str">
        <f t="shared" si="5"/>
        <v>e_119</v>
      </c>
      <c r="CS119">
        <f t="shared" si="6"/>
        <v>30000</v>
      </c>
    </row>
    <row r="120" spans="1:97" outlineLevel="1" x14ac:dyDescent="0.4">
      <c r="A120" t="str">
        <f t="shared" si="7"/>
        <v>皮の胴衣</v>
      </c>
      <c r="B120" t="str">
        <f>IFERROR(VLOOKUP($D120,素材!$1:$1016,COLUMN($B$1),FALSE)&amp;"・"&amp;VLOOKUP($C120,武器!$1:$998,COLUMN(B$1),FALSE),"")</f>
        <v>レザー・ベスト</v>
      </c>
      <c r="C120" t="s">
        <v>207</v>
      </c>
      <c r="D120" s="24" t="s">
        <v>252</v>
      </c>
      <c r="E120" t="str">
        <f>IFERROR(VLOOKUP(C120,武器!$1:$998,COLUMN(C$1),FALSE),"")</f>
        <v>体</v>
      </c>
      <c r="F120">
        <f>IFERROR(ROUNDDOWN((VLOOKUP($C120,武器!$1:$998,COLUMN(D$1),FALSE)+IFERROR(VLOOKUP($CI120,装強!$1:$999,COLUMN(F$1),FALSE),0))*VLOOKUP($D120,素材!$1:$1016,COLUMN(D$1),FALSE),0),"")</f>
        <v>0</v>
      </c>
      <c r="G120">
        <f>IFERROR(ROUNDDOWN((VLOOKUP($C120,武器!$1:$998,COLUMN(E$1),FALSE)+IFERROR(VLOOKUP($CI120,装強!$1:$999,COLUMN(G$1),FALSE),0))*VLOOKUP($D120,素材!$1:$1016,COLUMN($E$1),FALSE),0),"")</f>
        <v>0</v>
      </c>
      <c r="H120">
        <f>IFERROR(ROUNDDOWN((VLOOKUP($C120,武器!$1:$998,COLUMN(F$1),FALSE)+IFERROR(VLOOKUP($CI120,装強!$1:$999,COLUMN(H$1),FALSE),0))*VLOOKUP($D120,素材!$1:$1016,COLUMN($E$1),FALSE),0),"")</f>
        <v>0</v>
      </c>
      <c r="I120">
        <f>IFERROR(ROUNDDOWN((VLOOKUP($C120,武器!$1:$998,COLUMN(G$1),FALSE)+IFERROR(VLOOKUP($CI120,装強!$1:$999,COLUMN(I$1),FALSE),0))*VLOOKUP($D120,素材!$1:$1016,COLUMN($E$1),FALSE),0),"")</f>
        <v>0</v>
      </c>
      <c r="J120">
        <f>IFERROR(ROUNDDOWN((VLOOKUP($C120,武器!$1:$998,COLUMN(H$1),FALSE)+IFERROR(VLOOKUP($CI120,装強!$1:$999,COLUMN(J$1),FALSE),0))*VLOOKUP($D120,素材!$1:$1016,COLUMN($E$1),FALSE),0),"")</f>
        <v>0</v>
      </c>
      <c r="K120">
        <f>IFERROR(ROUNDDOWN((VLOOKUP($C120,武器!$1:$998,COLUMN(I$1),FALSE)+IFERROR(VLOOKUP($CI120,装強!$1:$999,COLUMN(K$1),FALSE),0))*VLOOKUP($D120,素材!$1:$1016,COLUMN($E$1),FALSE),0),"")</f>
        <v>0</v>
      </c>
      <c r="L120" t="str">
        <f>IFERROR(VLOOKUP($D120,素材!$1:$1016,COLUMN($F$1),FALSE),"")</f>
        <v>-</v>
      </c>
      <c r="M120" t="str">
        <f>IFERROR(VLOOKUP($C120,武器!$1:$998,COLUMN(AA$1),FALSE)*VLOOKUP($D120,素材!$1:$1016,COLUMN($G$1),FALSE),"")</f>
        <v/>
      </c>
      <c r="N120">
        <f>IFERROR(VLOOKUP($C120,武器!$1:$998,COLUMN(I$1),FALSE),"")</f>
        <v>0</v>
      </c>
      <c r="O120" s="23" t="str">
        <f>IFERROR((VLOOKUP($C120,武器!$1:$998,COLUMN(K$1),FALSE)+VLOOKUP($D120,素材!$1:$1016,COLUMN(H$1),FALSE))*100+IFERROR(VLOOKUP($CI120,装強!$1:$999,COLUMN(O$1),FALSE),0),"")</f>
        <v/>
      </c>
      <c r="P120" s="23" t="str">
        <f>IFERROR((VLOOKUP($C120,武器!$1:$998,COLUMN(L$1),FALSE)+VLOOKUP($D120,素材!$1:$1016,COLUMN(I$1),FALSE))*100+IFERROR(VLOOKUP($CI120,装強!$1:$999,COLUMN(P$1),FALSE),0),"")</f>
        <v/>
      </c>
      <c r="Q120">
        <f>IFERROR(ROUNDUP(VLOOKUP($C120,武器!$1:$998,COLUMN(M$1),FALSE)*(VLOOKUP($D120,素材!$1:$1002,COLUMN(D$1),FALSE)/100),1),"")</f>
        <v>-3</v>
      </c>
      <c r="R120">
        <f>IFERROR(ROUNDUP(VLOOKUP($C120,武器!$1:$998,COLUMN(N$1),FALSE)*(VLOOKUP($D120,素材!$1:$1002,COLUMN(D$1),FALSE)/100),1),"")</f>
        <v>0</v>
      </c>
      <c r="S120">
        <f>IFERROR(VLOOKUP($C120,武器!$1:$998,COLUMN(P$1),FALSE),"")</f>
        <v>0</v>
      </c>
      <c r="T120">
        <f>IFERROR(VLOOKUP($C120,武器!$1:$998,COLUMN(Q$1),FALSE),"")</f>
        <v>0</v>
      </c>
      <c r="U120">
        <f>IFERROR(VLOOKUP($C120,武器!$1:$998,COLUMN(R$1),FALSE),"")</f>
        <v>0</v>
      </c>
      <c r="V120">
        <f>IFERROR(VLOOKUP($C120,武器!$1:$998,COLUMN(Q$1),FALSE),"")</f>
        <v>0</v>
      </c>
      <c r="W120">
        <f>IFERROR(VLOOKUP($C120,武器!$1:$998,COLUMN(T$1),FALSE),"")</f>
        <v>0</v>
      </c>
      <c r="Y120">
        <f>IFERROR(VLOOKUP($C120,武器!$1:$998,COLUMN(U$1),FALSE),"")</f>
        <v>0</v>
      </c>
      <c r="Z120">
        <f>IFERROR(ROUNDUP(VLOOKUP($C120,武器!$1:$998,COLUMN(O$1),FALSE)*VLOOKUP($D120,素材!$1:$1016,COLUMN(E$1),FALSE),1),"")</f>
        <v>5</v>
      </c>
      <c r="AA120">
        <f>IF(ISNUMBER(SEARCH(SUBSTITUTE(AA$1,RIGHT(AA$1,2),""),VLOOKUP($D120,素材!$1:$1016,COLUMN($F$1),FALSE))),VLOOKUP($C120,武器!$1:$998,COLUMN($O$1),FALSE)*VLOOKUP($D120,素材!$1:$1016,COLUMN($E$1),FALSE)/(LEN(VLOOKUP($D120,素材!$1:$1016,COLUMN($F$1),FALSE)) - LEN(SUBSTITUTE(VLOOKUP($D120,素材!$1:$1016,COLUMN($F$1),FALSE), "・", 0)) + 1), 0)</f>
        <v>0</v>
      </c>
      <c r="AB120">
        <f>IF(ISNUMBER(SEARCH(SUBSTITUTE(AB$1,RIGHT(AB$1,2),""),VLOOKUP($D120,素材!$1:$1016,COLUMN($F$1),FALSE))),VLOOKUP($C120,武器!$1:$998,COLUMN($O$1),FALSE)*VLOOKUP($D120,素材!$1:$1016,COLUMN($E$1),FALSE)/(LEN(VLOOKUP($D120,素材!$1:$1016,COLUMN($F$1),FALSE)) - LEN(SUBSTITUTE(VLOOKUP($D120,素材!$1:$1016,COLUMN($F$1),FALSE), "・", 0)) + 1), 0)</f>
        <v>0</v>
      </c>
      <c r="AC120">
        <f>IF(ISNUMBER(SEARCH(SUBSTITUTE(AC$1,RIGHT(AC$1,2),""),VLOOKUP($D120,素材!$1:$1016,COLUMN($F$1),FALSE))),VLOOKUP($C120,武器!$1:$998,COLUMN($O$1),FALSE)*VLOOKUP($D120,素材!$1:$1016,COLUMN($E$1),FALSE)/(LEN(VLOOKUP($D120,素材!$1:$1016,COLUMN($F$1),FALSE)) - LEN(SUBSTITUTE(VLOOKUP($D120,素材!$1:$1016,COLUMN($F$1),FALSE), "・", 0)) + 1), 0)</f>
        <v>0</v>
      </c>
      <c r="AD120">
        <f>IF(ISNUMBER(SEARCH(SUBSTITUTE(AD$1,RIGHT(AD$1,2),""),VLOOKUP($D120,素材!$1:$1016,COLUMN($F$1),FALSE))),VLOOKUP($C120,武器!$1:$998,COLUMN($O$1),FALSE)*VLOOKUP($D120,素材!$1:$1016,COLUMN($E$1),FALSE)/(LEN(VLOOKUP($D120,素材!$1:$1016,COLUMN($F$1),FALSE)) - LEN(SUBSTITUTE(VLOOKUP($D120,素材!$1:$1016,COLUMN($F$1),FALSE), "・", 0)) + 1), 0)</f>
        <v>0</v>
      </c>
      <c r="AE120">
        <f>IF(ISNUMBER(SEARCH(SUBSTITUTE(AE$1,RIGHT(AE$1,2),""),VLOOKUP($D120,素材!$1:$1016,COLUMN($F$1),FALSE))),VLOOKUP($C120,武器!$1:$998,COLUMN($O$1),FALSE)*VLOOKUP($D120,素材!$1:$1016,COLUMN($E$1),FALSE)/(LEN(VLOOKUP($D120,素材!$1:$1016,COLUMN($F$1),FALSE)) - LEN(SUBSTITUTE(VLOOKUP($D120,素材!$1:$1016,COLUMN($F$1),FALSE), "・", 0)) + 1), 0)</f>
        <v>0</v>
      </c>
      <c r="AF120">
        <f>IF(ISNUMBER(SEARCH(SUBSTITUTE(AF$1,RIGHT(AF$1,2),""),VLOOKUP($D120,素材!$1:$1016,COLUMN($F$1),FALSE))),VLOOKUP($C120,武器!$1:$998,COLUMN($O$1),FALSE)*VLOOKUP($D120,素材!$1:$1016,COLUMN($E$1),FALSE)/(LEN(VLOOKUP($D120,素材!$1:$1016,COLUMN($F$1),FALSE)) - LEN(SUBSTITUTE(VLOOKUP($D120,素材!$1:$1016,COLUMN($F$1),FALSE), "・", 0)) + 1), 0)</f>
        <v>0</v>
      </c>
      <c r="AG120">
        <f>IF(ISNUMBER(SEARCH(SUBSTITUTE(AG$1,RIGHT(AG$1,2),""),VLOOKUP($D120,素材!$1:$1016,COLUMN($F$1),FALSE))),VLOOKUP($C120,武器!$1:$998,COLUMN($O$1),FALSE)*VLOOKUP($D120,素材!$1:$1016,COLUMN($E$1),FALSE)/(LEN(VLOOKUP($D120,素材!$1:$1016,COLUMN($F$1),FALSE)) - LEN(SUBSTITUTE(VLOOKUP($D120,素材!$1:$1016,COLUMN($F$1),FALSE), "・", 0)) + 1), 0)</f>
        <v>0</v>
      </c>
      <c r="AH120">
        <f>IF(ISNUMBER(SEARCH(SUBSTITUTE(AH$1,RIGHT(AH$1,2),""),VLOOKUP($D120,素材!$1:$1016,COLUMN($F$1),FALSE))),VLOOKUP($C120,武器!$1:$998,COLUMN($O$1),FALSE)*VLOOKUP($D120,素材!$1:$1016,COLUMN($E$1),FALSE)/(LEN(VLOOKUP($D120,素材!$1:$1016,COLUMN($F$1),FALSE)) - LEN(SUBSTITUTE(VLOOKUP($D120,素材!$1:$1016,COLUMN($F$1),FALSE), "・", 0)) + 1), 0)</f>
        <v>0</v>
      </c>
      <c r="AI120">
        <f>IF(ISNUMBER(SEARCH(SUBSTITUTE(AI$1,RIGHT(AI$1,2),""),VLOOKUP($D120,素材!$1:$1016,COLUMN($F$1),FALSE))),VLOOKUP($C120,武器!$1:$998,COLUMN($O$1),FALSE)*VLOOKUP($D120,素材!$1:$1016,COLUMN($E$1),FALSE)/(LEN(VLOOKUP($D120,素材!$1:$1016,COLUMN($F$1),FALSE)) - LEN(SUBSTITUTE(VLOOKUP($D120,素材!$1:$1016,COLUMN($F$1),FALSE), "・", 0)) + 1), 0)</f>
        <v>0</v>
      </c>
      <c r="AJ120">
        <f>IF(ISNUMBER(SEARCH(SUBSTITUTE(AJ$1,RIGHT(AJ$1,2),""),VLOOKUP($D120,素材!$1:$1016,COLUMN($F$1),FALSE))),VLOOKUP($C120,武器!$1:$998,COLUMN($O$1),FALSE)*VLOOKUP($D120,素材!$1:$1016,COLUMN($E$1),FALSE)/(LEN(VLOOKUP($D120,素材!$1:$1016,COLUMN($F$1),FALSE)) - LEN(SUBSTITUTE(VLOOKUP($D120,素材!$1:$1016,COLUMN($F$1),FALSE), "・", 0)) + 1), 0)</f>
        <v>0</v>
      </c>
      <c r="AK120">
        <f>IF(ISNUMBER(SEARCH(SUBSTITUTE(AK$1,RIGHT(AK$1,2),""),VLOOKUP($D120,素材!$1:$1016,COLUMN($F$1),FALSE))),VLOOKUP($C120,武器!$1:$998,COLUMN($O$1),FALSE)*VLOOKUP($D120,素材!$1:$1016,COLUMN($E$1),FALSE)/(LEN(VLOOKUP($D120,素材!$1:$1016,COLUMN($F$1),FALSE)) - LEN(SUBSTITUTE(VLOOKUP($D120,素材!$1:$1016,COLUMN($F$1),FALSE), "・", 0)) + 1), 0)</f>
        <v>0</v>
      </c>
      <c r="AL120">
        <f>IF(ISNUMBER(SEARCH(SUBSTITUTE(AL$1,RIGHT(AL$1,2),""),VLOOKUP($D120,素材!$1:$1016,COLUMN($F$1),FALSE))),VLOOKUP($C120,武器!$1:$998,COLUMN($O$1),FALSE)*VLOOKUP($D120,素材!$1:$1016,COLUMN($E$1),FALSE)/(LEN(VLOOKUP($D120,素材!$1:$1016,COLUMN($F$1),FALSE)) - LEN(SUBSTITUTE(VLOOKUP($D120,素材!$1:$1016,COLUMN($F$1),FALSE), "・", 0)) + 1), 0)</f>
        <v>0</v>
      </c>
      <c r="AM120">
        <f>IF(ISNUMBER(SEARCH(SUBSTITUTE(AM$1,RIGHT(AM$1,2),""),VLOOKUP($D120,素材!$1:$1016,COLUMN($F$1),FALSE))),VLOOKUP($C120,武器!$1:$998,COLUMN($O$1),FALSE)*VLOOKUP($D120,素材!$1:$1016,COLUMN($E$1),FALSE)/(LEN(VLOOKUP($D120,素材!$1:$1016,COLUMN($F$1),FALSE)) - LEN(SUBSTITUTE(VLOOKUP($D120,素材!$1:$1016,COLUMN($F$1),FALSE), "・", 0)) + 1), 0)</f>
        <v>0</v>
      </c>
      <c r="AN120">
        <f>IF(ISNUMBER(SEARCH(SUBSTITUTE(AN$1,RIGHT(AN$1,2),""),VLOOKUP($D120,素材!$1:$1016,COLUMN($F$1),FALSE))),VLOOKUP($C120,武器!$1:$998,COLUMN($O$1),FALSE)*VLOOKUP($D120,素材!$1:$1016,COLUMN($E$1),FALSE)/(LEN(VLOOKUP($D120,素材!$1:$1016,COLUMN($F$1),FALSE)) - LEN(SUBSTITUTE(VLOOKUP($D120,素材!$1:$1016,COLUMN($F$1),FALSE), "・", 0)) + 1), 0)</f>
        <v>0</v>
      </c>
      <c r="AO120">
        <f>IF(ISNUMBER(SEARCH(SUBSTITUTE(AO$1,RIGHT(AO$1,2),""),VLOOKUP($D120,素材!$1:$1016,COLUMN($F$1),FALSE))),VLOOKUP($C120,武器!$1:$998,COLUMN($O$1),FALSE)*VLOOKUP($D120,素材!$1:$1016,COLUMN($E$1),FALSE)/(LEN(VLOOKUP($D120,素材!$1:$1016,COLUMN($F$1),FALSE)) - LEN(SUBSTITUTE(VLOOKUP($D120,素材!$1:$1016,COLUMN($F$1),FALSE), "・", 0)) + 1), 0)</f>
        <v>0</v>
      </c>
      <c r="AP120">
        <f>IF(ISNUMBER(SEARCH(SUBSTITUTE(AP$1,RIGHT(AP$1,2),""),VLOOKUP($D120,素材!$1:$1016,COLUMN($F$1),FALSE))),VLOOKUP($C120,武器!$1:$998,COLUMN($O$1),FALSE)*VLOOKUP($D120,素材!$1:$1016,COLUMN($E$1),FALSE)/(LEN(VLOOKUP($D120,素材!$1:$1016,COLUMN($F$1),FALSE)) - LEN(SUBSTITUTE(VLOOKUP($D120,素材!$1:$1016,COLUMN($F$1),FALSE), "・", 0)) + 1), 0)</f>
        <v>0</v>
      </c>
      <c r="AQ120">
        <f>IF(ISNUMBER(SEARCH(SUBSTITUTE(AQ$1,RIGHT(AQ$1,2),""),VLOOKUP($D120,素材!$1:$1016,COLUMN($F$1),FALSE))),VLOOKUP($C120,武器!$1:$998,COLUMN($O$1),FALSE)*VLOOKUP($D120,素材!$1:$1016,COLUMN($E$1),FALSE)/(LEN(VLOOKUP($D120,素材!$1:$1016,COLUMN($F$1),FALSE)) - LEN(SUBSTITUTE(VLOOKUP($D120,素材!$1:$1016,COLUMN($F$1),FALSE), "・", 0)) + 1), 0)</f>
        <v>0</v>
      </c>
      <c r="AR120">
        <f>IF(ISNUMBER(SEARCH(SUBSTITUTE(AR$1,RIGHT(AR$1,2),""),VLOOKUP($D120,素材!$1:$1016,COLUMN($F$1),FALSE))),VLOOKUP($C120,武器!$1:$998,COLUMN($O$1),FALSE)*VLOOKUP($D120,素材!$1:$1016,COLUMN($E$1),FALSE)/(LEN(VLOOKUP($D120,素材!$1:$1016,COLUMN($F$1),FALSE)) - LEN(SUBSTITUTE(VLOOKUP($D120,素材!$1:$1016,COLUMN($F$1),FALSE), "・", 0)) + 1), 0)</f>
        <v>0</v>
      </c>
      <c r="AS120">
        <f>IF(ISNUMBER(SEARCH(SUBSTITUTE(AS$1,RIGHT(AS$1,2),""),VLOOKUP($D120,素材!$1:$1016,COLUMN($F$1),FALSE))),VLOOKUP($C120,武器!$1:$998,COLUMN($O$1),FALSE)*VLOOKUP($D120,素材!$1:$1016,COLUMN($E$1),FALSE)/(LEN(VLOOKUP($D120,素材!$1:$1016,COLUMN($F$1),FALSE)) - LEN(SUBSTITUTE(VLOOKUP($D120,素材!$1:$1016,COLUMN($F$1),FALSE), "・", 0)) + 1), 0)</f>
        <v>0</v>
      </c>
      <c r="AT120">
        <f>IF(ISNUMBER(SEARCH(SUBSTITUTE(AT$1,RIGHT(AT$1,2),""),VLOOKUP($D120,素材!$1:$1016,COLUMN($F$1),FALSE))),VLOOKUP($C120,武器!$1:$998,COLUMN($O$1),FALSE)*VLOOKUP($D120,素材!$1:$1016,COLUMN($E$1),FALSE)/(LEN(VLOOKUP($D120,素材!$1:$1016,COLUMN($F$1),FALSE)) - LEN(SUBSTITUTE(VLOOKUP($D120,素材!$1:$1016,COLUMN($F$1),FALSE), "・", 0)) + 1), 0)</f>
        <v>0</v>
      </c>
      <c r="AU120">
        <f>IF(ISNUMBER(SEARCH(SUBSTITUTE(AU$1,RIGHT(AU$1,2),""),VLOOKUP($D120,素材!$1:$1016,COLUMN($F$1),FALSE))),VLOOKUP($C120,武器!$1:$998,COLUMN($O$1),FALSE)*VLOOKUP($D120,素材!$1:$1016,COLUMN($E$1),FALSE)/(LEN(VLOOKUP($D120,素材!$1:$1016,COLUMN($F$1),FALSE)) - LEN(SUBSTITUTE(VLOOKUP($D120,素材!$1:$1016,COLUMN($F$1),FALSE), "・", 0)) + 1), 0)</f>
        <v>0</v>
      </c>
      <c r="AV120">
        <f>IF(ISNUMBER(SEARCH(SUBSTITUTE(AV$1,RIGHT(AV$1,2),""),VLOOKUP($D120,素材!$1:$1016,COLUMN($F$1),FALSE))),VLOOKUP($C120,武器!$1:$998,COLUMN($O$1),FALSE)*VLOOKUP($D120,素材!$1:$1016,COLUMN($E$1),FALSE)/(LEN(VLOOKUP($D120,素材!$1:$1016,COLUMN($F$1),FALSE)) - LEN(SUBSTITUTE(VLOOKUP($D120,素材!$1:$1016,COLUMN($F$1),FALSE), "・", 0)) + 1), 0)</f>
        <v>0</v>
      </c>
      <c r="AW120">
        <f>IF(ISNUMBER(SEARCH(SUBSTITUTE(AW$1,RIGHT(AW$1,2),""),VLOOKUP($D120,素材!$1:$1016,COLUMN($F$1),FALSE))),VLOOKUP($C120,武器!$1:$998,COLUMN($O$1),FALSE)*VLOOKUP($D120,素材!$1:$1016,COLUMN($E$1),FALSE)/(LEN(VLOOKUP($D120,素材!$1:$1016,COLUMN($F$1),FALSE)) - LEN(SUBSTITUTE(VLOOKUP($D120,素材!$1:$1016,COLUMN($F$1),FALSE), "・", 0)) + 1), 0)</f>
        <v>0</v>
      </c>
      <c r="AX120">
        <f>IF(ISNUMBER(SEARCH(SUBSTITUTE(AX$1,RIGHT(AX$1,2),""),VLOOKUP($D120,素材!$1:$1016,COLUMN($F$1),FALSE))),VLOOKUP($C120,武器!$1:$998,COLUMN($O$1),FALSE)*VLOOKUP($D120,素材!$1:$1016,COLUMN($E$1),FALSE)/(LEN(VLOOKUP($D120,素材!$1:$1016,COLUMN($F$1),FALSE)) - LEN(SUBSTITUTE(VLOOKUP($D120,素材!$1:$1016,COLUMN($F$1),FALSE), "・", 0)) + 1), 0)</f>
        <v>0</v>
      </c>
      <c r="AY120">
        <f>IF(ISNUMBER(SEARCH(SUBSTITUTE(AY$1,RIGHT(AY$1,2),""),VLOOKUP($D120,素材!$1:$1016,COLUMN($F$1),FALSE))),VLOOKUP($C120,武器!$1:$998,COLUMN($O$1),FALSE)*VLOOKUP($D120,素材!$1:$1016,COLUMN($E$1),FALSE)/(LEN(VLOOKUP($D120,素材!$1:$1016,COLUMN($F$1),FALSE)) - LEN(SUBSTITUTE(VLOOKUP($D120,素材!$1:$1016,COLUMN($F$1),FALSE), "・", 0)) + 1), 0)</f>
        <v>0</v>
      </c>
      <c r="AZ120">
        <f>IF(ISNUMBER(SEARCH(SUBSTITUTE(AZ$1,RIGHT(AZ$1,2),""),VLOOKUP($D120,素材!$1:$1016,COLUMN($F$1),FALSE))),VLOOKUP($C120,武器!$1:$998,COLUMN($O$1),FALSE)*VLOOKUP($D120,素材!$1:$1016,COLUMN($E$1),FALSE)/(LEN(VLOOKUP($D120,素材!$1:$1016,COLUMN($F$1),FALSE)) - LEN(SUBSTITUTE(VLOOKUP($D120,素材!$1:$1016,COLUMN($F$1),FALSE), "・", 0)) + 1), 0)</f>
        <v>0</v>
      </c>
      <c r="BA120">
        <f>IF(ISNUMBER(SEARCH(SUBSTITUTE(BA$1,RIGHT(BA$1,2),""),VLOOKUP($D120,素材!$1:$1016,COLUMN($F$1),FALSE))),VLOOKUP($C120,武器!$1:$998,COLUMN($O$1),FALSE)*VLOOKUP($D120,素材!$1:$1016,COLUMN($E$1),FALSE)/(LEN(VLOOKUP($D120,素材!$1:$1016,COLUMN($F$1),FALSE)) - LEN(SUBSTITUTE(VLOOKUP($D120,素材!$1:$1016,COLUMN($F$1),FALSE), "・", 0)) + 1), 0)</f>
        <v>0</v>
      </c>
      <c r="BB120">
        <f>IF(ISNUMBER(SEARCH(SUBSTITUTE(BB$1,RIGHT(BB$1,2),""),VLOOKUP($D120,素材!$1:$1016,COLUMN($F$1),FALSE))),VLOOKUP($C120,武器!$1:$998,COLUMN($O$1),FALSE)*VLOOKUP($D120,素材!$1:$1016,COLUMN($E$1),FALSE)/(LEN(VLOOKUP($D120,素材!$1:$1016,COLUMN($F$1),FALSE)) - LEN(SUBSTITUTE(VLOOKUP($D120,素材!$1:$1016,COLUMN($F$1),FALSE), "・", 0)) + 1), 0)</f>
        <v>0</v>
      </c>
      <c r="BC120">
        <f>IF(ISNUMBER(SEARCH(SUBSTITUTE(BC$1,RIGHT(BC$1,2),""),VLOOKUP($D120,素材!$1:$1016,COLUMN($F$1),FALSE))),VLOOKUP($C120,武器!$1:$998,COLUMN($O$1),FALSE)*VLOOKUP($D120,素材!$1:$1016,COLUMN($E$1),FALSE)/(LEN(VLOOKUP($D120,素材!$1:$1016,COLUMN($F$1),FALSE)) - LEN(SUBSTITUTE(VLOOKUP($D120,素材!$1:$1016,COLUMN($F$1),FALSE), "・", 0)) + 1), 0)</f>
        <v>0</v>
      </c>
      <c r="BD120">
        <f>IF(ISNUMBER(SEARCH(SUBSTITUTE(BD$1,RIGHT(BD$1,2),""),VLOOKUP($D120,素材!$1:$1016,COLUMN($F$1),FALSE))),VLOOKUP($C120,武器!$1:$998,COLUMN($O$1),FALSE)*VLOOKUP($D120,素材!$1:$1016,COLUMN($E$1),FALSE)/(LEN(VLOOKUP($D120,素材!$1:$1016,COLUMN($F$1),FALSE)) - LEN(SUBSTITUTE(VLOOKUP($D120,素材!$1:$1016,COLUMN($F$1),FALSE), "・", 0)) + 1), 0)</f>
        <v>0</v>
      </c>
      <c r="BE120">
        <f>IF(ISNUMBER(SEARCH(SUBSTITUTE(BE$1,RIGHT(BE$1,2),""),VLOOKUP($D120,素材!$1:$1016,COLUMN($F$1),FALSE))),VLOOKUP($C120,武器!$1:$998,COLUMN($O$1),FALSE)*VLOOKUP($D120,素材!$1:$1016,COLUMN($E$1),FALSE)/(LEN(VLOOKUP($D120,素材!$1:$1016,COLUMN($F$1),FALSE)) - LEN(SUBSTITUTE(VLOOKUP($D120,素材!$1:$1016,COLUMN($F$1),FALSE), "・", 0)) + 1), 0)</f>
        <v>0</v>
      </c>
      <c r="CL120">
        <f>SUM(G120:I120)</f>
        <v>0</v>
      </c>
      <c r="CM120" s="22" t="str">
        <f>IF(E120="武器",IF(J120-1&gt;SUM(G120:I120),"盾",IF(MAX(G120:I120)=G120,"切断",IF(MAX(G120:I120)=H120,"貫通",IF(MAX(G120:I120)=I120,"打撃","射撃")))),E120)&amp;".webp"</f>
        <v>体.webp</v>
      </c>
      <c r="CN120">
        <f>IFERROR(VLOOKUP($C120,武器!$1:$998,COLUMN(V$1),FALSE)*VLOOKUP($D120,素材!$1:$1016,COLUMN(N$1),FALSE)+IF(CI120="",0,VLOOKUP($CI120,装強!$1:$1008,COLUMN($CK$1),FALSE)),"")</f>
        <v>250</v>
      </c>
      <c r="CO120" t="str">
        <f>VLOOKUP(D120,素材!$A:$O,COLUMN(素材!O$1),FALSE)</f>
        <v>一般的な皮素材で、防具や軽量装備の材料として最適です。耐久性は高くありませんが、軽量で扱いやすい点が特徴です。</v>
      </c>
      <c r="CP120" t="str">
        <f>VLOOKUP(C120,武器!$A:$W,COLUMN(武器!W$1),FALSE)</f>
        <v>HP 物理 魔法 体幹 出血 疲労 Cr</v>
      </c>
      <c r="CR120" t="str">
        <f t="shared" si="5"/>
        <v>e_120</v>
      </c>
      <c r="CS120">
        <f t="shared" si="6"/>
        <v>25000</v>
      </c>
    </row>
    <row r="121" spans="1:97" outlineLevel="1" x14ac:dyDescent="0.4">
      <c r="A121" t="str">
        <f>D121&amp;"の"&amp;C121</f>
        <v>皮の靴</v>
      </c>
      <c r="B121" t="str">
        <f>IFERROR(VLOOKUP($D121,素材!$1:$1016,COLUMN($B$1),FALSE)&amp;"・"&amp;VLOOKUP($C121,武器!$1:$998,COLUMN(B$1),FALSE),"")</f>
        <v>レザー・ブーツ</v>
      </c>
      <c r="C121" t="s">
        <v>1293</v>
      </c>
      <c r="D121" s="24" t="s">
        <v>252</v>
      </c>
      <c r="E121" t="str">
        <f>IFERROR(VLOOKUP(C121,武器!$1:$998,COLUMN(C$1),FALSE),"")</f>
        <v>足</v>
      </c>
      <c r="F121">
        <f>IFERROR(ROUNDDOWN((VLOOKUP($C121,武器!$1:$998,COLUMN(D$1),FALSE)+IFERROR(VLOOKUP($CI121,装強!$1:$999,COLUMN(F$1),FALSE),0))*VLOOKUP($D121,素材!$1:$1016,COLUMN(D$1),FALSE),0),"")</f>
        <v>0</v>
      </c>
      <c r="G121">
        <f>IFERROR(ROUNDDOWN((VLOOKUP($C121,武器!$1:$998,COLUMN(E$1),FALSE)+IFERROR(VLOOKUP($CI121,装強!$1:$999,COLUMN(G$1),FALSE),0))*VLOOKUP($D121,素材!$1:$1016,COLUMN($E$1),FALSE),0),"")</f>
        <v>0</v>
      </c>
      <c r="H121">
        <f>IFERROR(ROUNDDOWN((VLOOKUP($C121,武器!$1:$998,COLUMN(F$1),FALSE)+IFERROR(VLOOKUP($CI121,装強!$1:$999,COLUMN(H$1),FALSE),0))*VLOOKUP($D121,素材!$1:$1016,COLUMN($E$1),FALSE),0),"")</f>
        <v>0</v>
      </c>
      <c r="I121">
        <f>IFERROR(ROUNDDOWN((VLOOKUP($C121,武器!$1:$998,COLUMN(G$1),FALSE)+IFERROR(VLOOKUP($CI121,装強!$1:$999,COLUMN(I$1),FALSE),0))*VLOOKUP($D121,素材!$1:$1016,COLUMN($E$1),FALSE),0),"")</f>
        <v>10</v>
      </c>
      <c r="J121">
        <f>IFERROR(ROUNDDOWN((VLOOKUP($C121,武器!$1:$998,COLUMN(H$1),FALSE)+IFERROR(VLOOKUP($CI121,装強!$1:$999,COLUMN(J$1),FALSE),0))*VLOOKUP($D121,素材!$1:$1016,COLUMN($E$1),FALSE),0),"")</f>
        <v>0</v>
      </c>
      <c r="K121">
        <f>IFERROR(ROUNDDOWN((VLOOKUP($C121,武器!$1:$998,COLUMN(I$1),FALSE)+IFERROR(VLOOKUP($CI121,装強!$1:$999,COLUMN(K$1),FALSE),0))*VLOOKUP($D121,素材!$1:$1016,COLUMN($E$1),FALSE),0),"")</f>
        <v>0</v>
      </c>
      <c r="L121" t="str">
        <f>IFERROR(VLOOKUP($D121,素材!$1:$1016,COLUMN($F$1),FALSE),"")</f>
        <v>-</v>
      </c>
      <c r="M121" t="str">
        <f>IFERROR(VLOOKUP($C121,武器!$1:$998,COLUMN(AA$1),FALSE)*VLOOKUP($D121,素材!$1:$1016,COLUMN($G$1),FALSE),"")</f>
        <v/>
      </c>
      <c r="N121">
        <f>IFERROR(VLOOKUP($C121,武器!$1:$998,COLUMN(I$1),FALSE),"")</f>
        <v>0</v>
      </c>
      <c r="O121" s="23" t="str">
        <f>IFERROR((VLOOKUP($C121,武器!$1:$998,COLUMN(K$1),FALSE)+VLOOKUP($D121,素材!$1:$1016,COLUMN(H$1),FALSE))*100+IFERROR(VLOOKUP($CI121,装強!$1:$999,COLUMN(O$1),FALSE),0),"")</f>
        <v/>
      </c>
      <c r="P121" s="23" t="str">
        <f>IFERROR((VLOOKUP($C121,武器!$1:$998,COLUMN(L$1),FALSE)+VLOOKUP($D121,素材!$1:$1016,COLUMN(I$1),FALSE))*100+IFERROR(VLOOKUP($CI121,装強!$1:$999,COLUMN(P$1),FALSE),0),"")</f>
        <v/>
      </c>
      <c r="Q121">
        <f>IFERROR(ROUNDUP(VLOOKUP($C121,武器!$1:$998,COLUMN(M$1),FALSE)*(VLOOKUP($D121,素材!$1:$1002,COLUMN(D$1),FALSE)/100),1),"")</f>
        <v>0</v>
      </c>
      <c r="R121">
        <f>IFERROR(ROUNDUP(VLOOKUP($C121,武器!$1:$998,COLUMN(N$1),FALSE)*(VLOOKUP($D121,素材!$1:$1002,COLUMN(D$1),FALSE)/100),1),"")</f>
        <v>0</v>
      </c>
      <c r="S121">
        <f>IFERROR(VLOOKUP($C121,武器!$1:$998,COLUMN(P$1),FALSE),"")</f>
        <v>0</v>
      </c>
      <c r="T121">
        <f>IFERROR(VLOOKUP($C121,武器!$1:$998,COLUMN(Q$1),FALSE),"")</f>
        <v>0</v>
      </c>
      <c r="U121">
        <f>IFERROR(VLOOKUP($C121,武器!$1:$998,COLUMN(R$1),FALSE),"")</f>
        <v>0</v>
      </c>
      <c r="V121">
        <f>IFERROR(VLOOKUP($C121,武器!$1:$998,COLUMN(Q$1),FALSE),"")</f>
        <v>0</v>
      </c>
      <c r="W121">
        <f>IFERROR(VLOOKUP($C121,武器!$1:$998,COLUMN(T$1),FALSE),"")</f>
        <v>0</v>
      </c>
      <c r="Y121" t="str">
        <f>IFERROR(VLOOKUP($C121,武器!$1:$998,COLUMN(U$1),FALSE),"")</f>
        <v>足</v>
      </c>
      <c r="Z121">
        <f>IFERROR(ROUNDUP(VLOOKUP($C121,武器!$1:$998,COLUMN(O$1),FALSE)*VLOOKUP($D121,素材!$1:$1016,COLUMN(E$1),FALSE),1),"")</f>
        <v>1.5</v>
      </c>
      <c r="AA121">
        <f>IF(ISNUMBER(SEARCH(SUBSTITUTE(AA$1,RIGHT(AA$1,2),""),VLOOKUP($D121,素材!$1:$1016,COLUMN($F$1),FALSE))),VLOOKUP($C121,武器!$1:$998,COLUMN($O$1),FALSE)*VLOOKUP($D121,素材!$1:$1016,COLUMN($E$1),FALSE)/(LEN(VLOOKUP($D121,素材!$1:$1016,COLUMN($F$1),FALSE)) - LEN(SUBSTITUTE(VLOOKUP($D121,素材!$1:$1016,COLUMN($F$1),FALSE), "・", 0)) + 1), 0)</f>
        <v>0</v>
      </c>
      <c r="AB121">
        <f>IF(ISNUMBER(SEARCH(SUBSTITUTE(AB$1,RIGHT(AB$1,2),""),VLOOKUP($D121,素材!$1:$1016,COLUMN($F$1),FALSE))),VLOOKUP($C121,武器!$1:$998,COLUMN($O$1),FALSE)*VLOOKUP($D121,素材!$1:$1016,COLUMN($E$1),FALSE)/(LEN(VLOOKUP($D121,素材!$1:$1016,COLUMN($F$1),FALSE)) - LEN(SUBSTITUTE(VLOOKUP($D121,素材!$1:$1016,COLUMN($F$1),FALSE), "・", 0)) + 1), 0)</f>
        <v>0</v>
      </c>
      <c r="AC121">
        <f>IF(ISNUMBER(SEARCH(SUBSTITUTE(AC$1,RIGHT(AC$1,2),""),VLOOKUP($D121,素材!$1:$1016,COLUMN($F$1),FALSE))),VLOOKUP($C121,武器!$1:$998,COLUMN($O$1),FALSE)*VLOOKUP($D121,素材!$1:$1016,COLUMN($E$1),FALSE)/(LEN(VLOOKUP($D121,素材!$1:$1016,COLUMN($F$1),FALSE)) - LEN(SUBSTITUTE(VLOOKUP($D121,素材!$1:$1016,COLUMN($F$1),FALSE), "・", 0)) + 1), 0)</f>
        <v>0</v>
      </c>
      <c r="AD121">
        <f>IF(ISNUMBER(SEARCH(SUBSTITUTE(AD$1,RIGHT(AD$1,2),""),VLOOKUP($D121,素材!$1:$1016,COLUMN($F$1),FALSE))),VLOOKUP($C121,武器!$1:$998,COLUMN($O$1),FALSE)*VLOOKUP($D121,素材!$1:$1016,COLUMN($E$1),FALSE)/(LEN(VLOOKUP($D121,素材!$1:$1016,COLUMN($F$1),FALSE)) - LEN(SUBSTITUTE(VLOOKUP($D121,素材!$1:$1016,COLUMN($F$1),FALSE), "・", 0)) + 1), 0)</f>
        <v>0</v>
      </c>
      <c r="AE121">
        <f>IF(ISNUMBER(SEARCH(SUBSTITUTE(AE$1,RIGHT(AE$1,2),""),VLOOKUP($D121,素材!$1:$1016,COLUMN($F$1),FALSE))),VLOOKUP($C121,武器!$1:$998,COLUMN($O$1),FALSE)*VLOOKUP($D121,素材!$1:$1016,COLUMN($E$1),FALSE)/(LEN(VLOOKUP($D121,素材!$1:$1016,COLUMN($F$1),FALSE)) - LEN(SUBSTITUTE(VLOOKUP($D121,素材!$1:$1016,COLUMN($F$1),FALSE), "・", 0)) + 1), 0)</f>
        <v>0</v>
      </c>
      <c r="AF121">
        <f>IF(ISNUMBER(SEARCH(SUBSTITUTE(AF$1,RIGHT(AF$1,2),""),VLOOKUP($D121,素材!$1:$1016,COLUMN($F$1),FALSE))),VLOOKUP($C121,武器!$1:$998,COLUMN($O$1),FALSE)*VLOOKUP($D121,素材!$1:$1016,COLUMN($E$1),FALSE)/(LEN(VLOOKUP($D121,素材!$1:$1016,COLUMN($F$1),FALSE)) - LEN(SUBSTITUTE(VLOOKUP($D121,素材!$1:$1016,COLUMN($F$1),FALSE), "・", 0)) + 1), 0)</f>
        <v>0</v>
      </c>
      <c r="AG121">
        <f>IF(ISNUMBER(SEARCH(SUBSTITUTE(AG$1,RIGHT(AG$1,2),""),VLOOKUP($D121,素材!$1:$1016,COLUMN($F$1),FALSE))),VLOOKUP($C121,武器!$1:$998,COLUMN($O$1),FALSE)*VLOOKUP($D121,素材!$1:$1016,COLUMN($E$1),FALSE)/(LEN(VLOOKUP($D121,素材!$1:$1016,COLUMN($F$1),FALSE)) - LEN(SUBSTITUTE(VLOOKUP($D121,素材!$1:$1016,COLUMN($F$1),FALSE), "・", 0)) + 1), 0)</f>
        <v>0</v>
      </c>
      <c r="AH121">
        <f>IF(ISNUMBER(SEARCH(SUBSTITUTE(AH$1,RIGHT(AH$1,2),""),VLOOKUP($D121,素材!$1:$1016,COLUMN($F$1),FALSE))),VLOOKUP($C121,武器!$1:$998,COLUMN($O$1),FALSE)*VLOOKUP($D121,素材!$1:$1016,COLUMN($E$1),FALSE)/(LEN(VLOOKUP($D121,素材!$1:$1016,COLUMN($F$1),FALSE)) - LEN(SUBSTITUTE(VLOOKUP($D121,素材!$1:$1016,COLUMN($F$1),FALSE), "・", 0)) + 1), 0)</f>
        <v>0</v>
      </c>
      <c r="AI121">
        <f>IF(ISNUMBER(SEARCH(SUBSTITUTE(AI$1,RIGHT(AI$1,2),""),VLOOKUP($D121,素材!$1:$1016,COLUMN($F$1),FALSE))),VLOOKUP($C121,武器!$1:$998,COLUMN($O$1),FALSE)*VLOOKUP($D121,素材!$1:$1016,COLUMN($E$1),FALSE)/(LEN(VLOOKUP($D121,素材!$1:$1016,COLUMN($F$1),FALSE)) - LEN(SUBSTITUTE(VLOOKUP($D121,素材!$1:$1016,COLUMN($F$1),FALSE), "・", 0)) + 1), 0)</f>
        <v>0</v>
      </c>
      <c r="AJ121">
        <f>IF(ISNUMBER(SEARCH(SUBSTITUTE(AJ$1,RIGHT(AJ$1,2),""),VLOOKUP($D121,素材!$1:$1016,COLUMN($F$1),FALSE))),VLOOKUP($C121,武器!$1:$998,COLUMN($O$1),FALSE)*VLOOKUP($D121,素材!$1:$1016,COLUMN($E$1),FALSE)/(LEN(VLOOKUP($D121,素材!$1:$1016,COLUMN($F$1),FALSE)) - LEN(SUBSTITUTE(VLOOKUP($D121,素材!$1:$1016,COLUMN($F$1),FALSE), "・", 0)) + 1), 0)</f>
        <v>0</v>
      </c>
      <c r="AK121">
        <f>IF(ISNUMBER(SEARCH(SUBSTITUTE(AK$1,RIGHT(AK$1,2),""),VLOOKUP($D121,素材!$1:$1016,COLUMN($F$1),FALSE))),VLOOKUP($C121,武器!$1:$998,COLUMN($O$1),FALSE)*VLOOKUP($D121,素材!$1:$1016,COLUMN($E$1),FALSE)/(LEN(VLOOKUP($D121,素材!$1:$1016,COLUMN($F$1),FALSE)) - LEN(SUBSTITUTE(VLOOKUP($D121,素材!$1:$1016,COLUMN($F$1),FALSE), "・", 0)) + 1), 0)</f>
        <v>0</v>
      </c>
      <c r="AL121">
        <f>IF(ISNUMBER(SEARCH(SUBSTITUTE(AL$1,RIGHT(AL$1,2),""),VLOOKUP($D121,素材!$1:$1016,COLUMN($F$1),FALSE))),VLOOKUP($C121,武器!$1:$998,COLUMN($O$1),FALSE)*VLOOKUP($D121,素材!$1:$1016,COLUMN($E$1),FALSE)/(LEN(VLOOKUP($D121,素材!$1:$1016,COLUMN($F$1),FALSE)) - LEN(SUBSTITUTE(VLOOKUP($D121,素材!$1:$1016,COLUMN($F$1),FALSE), "・", 0)) + 1), 0)</f>
        <v>0</v>
      </c>
      <c r="AM121">
        <f>IF(ISNUMBER(SEARCH(SUBSTITUTE(AM$1,RIGHT(AM$1,2),""),VLOOKUP($D121,素材!$1:$1016,COLUMN($F$1),FALSE))),VLOOKUP($C121,武器!$1:$998,COLUMN($O$1),FALSE)*VLOOKUP($D121,素材!$1:$1016,COLUMN($E$1),FALSE)/(LEN(VLOOKUP($D121,素材!$1:$1016,COLUMN($F$1),FALSE)) - LEN(SUBSTITUTE(VLOOKUP($D121,素材!$1:$1016,COLUMN($F$1),FALSE), "・", 0)) + 1), 0)</f>
        <v>0</v>
      </c>
      <c r="AN121">
        <f>IF(ISNUMBER(SEARCH(SUBSTITUTE(AN$1,RIGHT(AN$1,2),""),VLOOKUP($D121,素材!$1:$1016,COLUMN($F$1),FALSE))),VLOOKUP($C121,武器!$1:$998,COLUMN($O$1),FALSE)*VLOOKUP($D121,素材!$1:$1016,COLUMN($E$1),FALSE)/(LEN(VLOOKUP($D121,素材!$1:$1016,COLUMN($F$1),FALSE)) - LEN(SUBSTITUTE(VLOOKUP($D121,素材!$1:$1016,COLUMN($F$1),FALSE), "・", 0)) + 1), 0)</f>
        <v>0</v>
      </c>
      <c r="AO121">
        <f>IF(ISNUMBER(SEARCH(SUBSTITUTE(AO$1,RIGHT(AO$1,2),""),VLOOKUP($D121,素材!$1:$1016,COLUMN($F$1),FALSE))),VLOOKUP($C121,武器!$1:$998,COLUMN($O$1),FALSE)*VLOOKUP($D121,素材!$1:$1016,COLUMN($E$1),FALSE)/(LEN(VLOOKUP($D121,素材!$1:$1016,COLUMN($F$1),FALSE)) - LEN(SUBSTITUTE(VLOOKUP($D121,素材!$1:$1016,COLUMN($F$1),FALSE), "・", 0)) + 1), 0)</f>
        <v>0</v>
      </c>
      <c r="AP121">
        <f>IF(ISNUMBER(SEARCH(SUBSTITUTE(AP$1,RIGHT(AP$1,2),""),VLOOKUP($D121,素材!$1:$1016,COLUMN($F$1),FALSE))),VLOOKUP($C121,武器!$1:$998,COLUMN($O$1),FALSE)*VLOOKUP($D121,素材!$1:$1016,COLUMN($E$1),FALSE)/(LEN(VLOOKUP($D121,素材!$1:$1016,COLUMN($F$1),FALSE)) - LEN(SUBSTITUTE(VLOOKUP($D121,素材!$1:$1016,COLUMN($F$1),FALSE), "・", 0)) + 1), 0)</f>
        <v>0</v>
      </c>
      <c r="AQ121">
        <f>IF(ISNUMBER(SEARCH(SUBSTITUTE(AQ$1,RIGHT(AQ$1,2),""),VLOOKUP($D121,素材!$1:$1016,COLUMN($F$1),FALSE))),VLOOKUP($C121,武器!$1:$998,COLUMN($O$1),FALSE)*VLOOKUP($D121,素材!$1:$1016,COLUMN($E$1),FALSE)/(LEN(VLOOKUP($D121,素材!$1:$1016,COLUMN($F$1),FALSE)) - LEN(SUBSTITUTE(VLOOKUP($D121,素材!$1:$1016,COLUMN($F$1),FALSE), "・", 0)) + 1), 0)</f>
        <v>0</v>
      </c>
      <c r="AR121">
        <f>IF(ISNUMBER(SEARCH(SUBSTITUTE(AR$1,RIGHT(AR$1,2),""),VLOOKUP($D121,素材!$1:$1016,COLUMN($F$1),FALSE))),VLOOKUP($C121,武器!$1:$998,COLUMN($O$1),FALSE)*VLOOKUP($D121,素材!$1:$1016,COLUMN($E$1),FALSE)/(LEN(VLOOKUP($D121,素材!$1:$1016,COLUMN($F$1),FALSE)) - LEN(SUBSTITUTE(VLOOKUP($D121,素材!$1:$1016,COLUMN($F$1),FALSE), "・", 0)) + 1), 0)</f>
        <v>0</v>
      </c>
      <c r="AS121">
        <f>IF(ISNUMBER(SEARCH(SUBSTITUTE(AS$1,RIGHT(AS$1,2),""),VLOOKUP($D121,素材!$1:$1016,COLUMN($F$1),FALSE))),VLOOKUP($C121,武器!$1:$998,COLUMN($O$1),FALSE)*VLOOKUP($D121,素材!$1:$1016,COLUMN($E$1),FALSE)/(LEN(VLOOKUP($D121,素材!$1:$1016,COLUMN($F$1),FALSE)) - LEN(SUBSTITUTE(VLOOKUP($D121,素材!$1:$1016,COLUMN($F$1),FALSE), "・", 0)) + 1), 0)</f>
        <v>0</v>
      </c>
      <c r="AT121">
        <f>IF(ISNUMBER(SEARCH(SUBSTITUTE(AT$1,RIGHT(AT$1,2),""),VLOOKUP($D121,素材!$1:$1016,COLUMN($F$1),FALSE))),VLOOKUP($C121,武器!$1:$998,COLUMN($O$1),FALSE)*VLOOKUP($D121,素材!$1:$1016,COLUMN($E$1),FALSE)/(LEN(VLOOKUP($D121,素材!$1:$1016,COLUMN($F$1),FALSE)) - LEN(SUBSTITUTE(VLOOKUP($D121,素材!$1:$1016,COLUMN($F$1),FALSE), "・", 0)) + 1), 0)</f>
        <v>0</v>
      </c>
      <c r="AU121">
        <f>IF(ISNUMBER(SEARCH(SUBSTITUTE(AU$1,RIGHT(AU$1,2),""),VLOOKUP($D121,素材!$1:$1016,COLUMN($F$1),FALSE))),VLOOKUP($C121,武器!$1:$998,COLUMN($O$1),FALSE)*VLOOKUP($D121,素材!$1:$1016,COLUMN($E$1),FALSE)/(LEN(VLOOKUP($D121,素材!$1:$1016,COLUMN($F$1),FALSE)) - LEN(SUBSTITUTE(VLOOKUP($D121,素材!$1:$1016,COLUMN($F$1),FALSE), "・", 0)) + 1), 0)</f>
        <v>0</v>
      </c>
      <c r="AV121">
        <f>IF(ISNUMBER(SEARCH(SUBSTITUTE(AV$1,RIGHT(AV$1,2),""),VLOOKUP($D121,素材!$1:$1016,COLUMN($F$1),FALSE))),VLOOKUP($C121,武器!$1:$998,COLUMN($O$1),FALSE)*VLOOKUP($D121,素材!$1:$1016,COLUMN($E$1),FALSE)/(LEN(VLOOKUP($D121,素材!$1:$1016,COLUMN($F$1),FALSE)) - LEN(SUBSTITUTE(VLOOKUP($D121,素材!$1:$1016,COLUMN($F$1),FALSE), "・", 0)) + 1), 0)</f>
        <v>0</v>
      </c>
      <c r="AW121">
        <f>IF(ISNUMBER(SEARCH(SUBSTITUTE(AW$1,RIGHT(AW$1,2),""),VLOOKUP($D121,素材!$1:$1016,COLUMN($F$1),FALSE))),VLOOKUP($C121,武器!$1:$998,COLUMN($O$1),FALSE)*VLOOKUP($D121,素材!$1:$1016,COLUMN($E$1),FALSE)/(LEN(VLOOKUP($D121,素材!$1:$1016,COLUMN($F$1),FALSE)) - LEN(SUBSTITUTE(VLOOKUP($D121,素材!$1:$1016,COLUMN($F$1),FALSE), "・", 0)) + 1), 0)</f>
        <v>0</v>
      </c>
      <c r="AX121">
        <f>IF(ISNUMBER(SEARCH(SUBSTITUTE(AX$1,RIGHT(AX$1,2),""),VLOOKUP($D121,素材!$1:$1016,COLUMN($F$1),FALSE))),VLOOKUP($C121,武器!$1:$998,COLUMN($O$1),FALSE)*VLOOKUP($D121,素材!$1:$1016,COLUMN($E$1),FALSE)/(LEN(VLOOKUP($D121,素材!$1:$1016,COLUMN($F$1),FALSE)) - LEN(SUBSTITUTE(VLOOKUP($D121,素材!$1:$1016,COLUMN($F$1),FALSE), "・", 0)) + 1), 0)</f>
        <v>0</v>
      </c>
      <c r="AY121">
        <f>IF(ISNUMBER(SEARCH(SUBSTITUTE(AY$1,RIGHT(AY$1,2),""),VLOOKUP($D121,素材!$1:$1016,COLUMN($F$1),FALSE))),VLOOKUP($C121,武器!$1:$998,COLUMN($O$1),FALSE)*VLOOKUP($D121,素材!$1:$1016,COLUMN($E$1),FALSE)/(LEN(VLOOKUP($D121,素材!$1:$1016,COLUMN($F$1),FALSE)) - LEN(SUBSTITUTE(VLOOKUP($D121,素材!$1:$1016,COLUMN($F$1),FALSE), "・", 0)) + 1), 0)</f>
        <v>0</v>
      </c>
      <c r="AZ121">
        <f>IF(ISNUMBER(SEARCH(SUBSTITUTE(AZ$1,RIGHT(AZ$1,2),""),VLOOKUP($D121,素材!$1:$1016,COLUMN($F$1),FALSE))),VLOOKUP($C121,武器!$1:$998,COLUMN($O$1),FALSE)*VLOOKUP($D121,素材!$1:$1016,COLUMN($E$1),FALSE)/(LEN(VLOOKUP($D121,素材!$1:$1016,COLUMN($F$1),FALSE)) - LEN(SUBSTITUTE(VLOOKUP($D121,素材!$1:$1016,COLUMN($F$1),FALSE), "・", 0)) + 1), 0)</f>
        <v>0</v>
      </c>
      <c r="BA121">
        <f>IF(ISNUMBER(SEARCH(SUBSTITUTE(BA$1,RIGHT(BA$1,2),""),VLOOKUP($D121,素材!$1:$1016,COLUMN($F$1),FALSE))),VLOOKUP($C121,武器!$1:$998,COLUMN($O$1),FALSE)*VLOOKUP($D121,素材!$1:$1016,COLUMN($E$1),FALSE)/(LEN(VLOOKUP($D121,素材!$1:$1016,COLUMN($F$1),FALSE)) - LEN(SUBSTITUTE(VLOOKUP($D121,素材!$1:$1016,COLUMN($F$1),FALSE), "・", 0)) + 1), 0)</f>
        <v>0</v>
      </c>
      <c r="BB121">
        <f>IF(ISNUMBER(SEARCH(SUBSTITUTE(BB$1,RIGHT(BB$1,2),""),VLOOKUP($D121,素材!$1:$1016,COLUMN($F$1),FALSE))),VLOOKUP($C121,武器!$1:$998,COLUMN($O$1),FALSE)*VLOOKUP($D121,素材!$1:$1016,COLUMN($E$1),FALSE)/(LEN(VLOOKUP($D121,素材!$1:$1016,COLUMN($F$1),FALSE)) - LEN(SUBSTITUTE(VLOOKUP($D121,素材!$1:$1016,COLUMN($F$1),FALSE), "・", 0)) + 1), 0)</f>
        <v>0</v>
      </c>
      <c r="BC121">
        <f>IF(ISNUMBER(SEARCH(SUBSTITUTE(BC$1,RIGHT(BC$1,2),""),VLOOKUP($D121,素材!$1:$1016,COLUMN($F$1),FALSE))),VLOOKUP($C121,武器!$1:$998,COLUMN($O$1),FALSE)*VLOOKUP($D121,素材!$1:$1016,COLUMN($E$1),FALSE)/(LEN(VLOOKUP($D121,素材!$1:$1016,COLUMN($F$1),FALSE)) - LEN(SUBSTITUTE(VLOOKUP($D121,素材!$1:$1016,COLUMN($F$1),FALSE), "・", 0)) + 1), 0)</f>
        <v>0</v>
      </c>
      <c r="BD121">
        <f>IF(ISNUMBER(SEARCH(SUBSTITUTE(BD$1,RIGHT(BD$1,2),""),VLOOKUP($D121,素材!$1:$1016,COLUMN($F$1),FALSE))),VLOOKUP($C121,武器!$1:$998,COLUMN($O$1),FALSE)*VLOOKUP($D121,素材!$1:$1016,COLUMN($E$1),FALSE)/(LEN(VLOOKUP($D121,素材!$1:$1016,COLUMN($F$1),FALSE)) - LEN(SUBSTITUTE(VLOOKUP($D121,素材!$1:$1016,COLUMN($F$1),FALSE), "・", 0)) + 1), 0)</f>
        <v>0</v>
      </c>
      <c r="BE121">
        <f>IF(ISNUMBER(SEARCH(SUBSTITUTE(BE$1,RIGHT(BE$1,2),""),VLOOKUP($D121,素材!$1:$1016,COLUMN($F$1),FALSE))),VLOOKUP($C121,武器!$1:$998,COLUMN($O$1),FALSE)*VLOOKUP($D121,素材!$1:$1016,COLUMN($E$1),FALSE)/(LEN(VLOOKUP($D121,素材!$1:$1016,COLUMN($F$1),FALSE)) - LEN(SUBSTITUTE(VLOOKUP($D121,素材!$1:$1016,COLUMN($F$1),FALSE), "・", 0)) + 1), 0)</f>
        <v>0</v>
      </c>
      <c r="CL121">
        <f>SUM(G121:I121)</f>
        <v>10</v>
      </c>
      <c r="CM121" s="22" t="str">
        <f>IF(E121="武器",IF(J121-1&gt;SUM(G121:I121),"盾",IF(MAX(G121:I121)=G121,"切断",IF(MAX(G121:I121)=H121,"貫通",IF(MAX(G121:I121)=I121,"打撃","射撃")))),E121)&amp;".webp"</f>
        <v>足.webp</v>
      </c>
      <c r="CN121">
        <f>IFERROR(VLOOKUP($C121,武器!$1:$998,COLUMN(V$1),FALSE)*VLOOKUP($D121,素材!$1:$1016,COLUMN(N$1),FALSE)+IF(CI121="",0,VLOOKUP($CI121,装強!$1:$1008,COLUMN($CK$1),FALSE)),"")</f>
        <v>100</v>
      </c>
      <c r="CO121" t="str">
        <f>VLOOKUP(D121,素材!$A:$O,COLUMN(素材!O$1),FALSE)</f>
        <v>一般的な皮素材で、防具や軽量装備の材料として最適です。耐久性は高くありませんが、軽量で扱いやすい点が特徴です。</v>
      </c>
      <c r="CP121" t="str">
        <f>VLOOKUP(C121,武器!$A:$W,COLUMN(武器!W$1),FALSE)</f>
        <v>速度 隠密 軽業 体幹</v>
      </c>
      <c r="CR121" t="str">
        <f t="shared" si="5"/>
        <v>e_121</v>
      </c>
      <c r="CS121">
        <f t="shared" ref="CS121" si="10">CN121*100</f>
        <v>10000</v>
      </c>
    </row>
    <row r="122" spans="1:97" ht="23.25" customHeight="1" outlineLevel="1" x14ac:dyDescent="0.4">
      <c r="A122" t="str">
        <f t="shared" ref="A122" si="11">D122&amp;"の"&amp;C122</f>
        <v>獣皮の帽子</v>
      </c>
      <c r="B122" t="str">
        <f>IFERROR(VLOOKUP($D122,素材!$1:$1016,COLUMN($B$1),FALSE)&amp;"・"&amp;VLOOKUP($C122,武器!$1:$998,COLUMN(B$1),FALSE),"")</f>
        <v>ビーストレザー・ハット</v>
      </c>
      <c r="C122" t="s">
        <v>1195</v>
      </c>
      <c r="D122" s="24" t="s">
        <v>251</v>
      </c>
      <c r="E122" t="str">
        <f>IFERROR(VLOOKUP(C122,武器!$1:$998,COLUMN(C$1),FALSE),"")</f>
        <v>頭</v>
      </c>
      <c r="F122">
        <f>IFERROR(ROUNDDOWN((VLOOKUP($C122,武器!$1:$998,COLUMN(D$1),FALSE)+IFERROR(VLOOKUP($CI122,装強!$1:$999,COLUMN(F$1),FALSE),0))*VLOOKUP($D122,素材!$1:$1016,COLUMN(D$1),FALSE),0),"")</f>
        <v>0</v>
      </c>
      <c r="G122">
        <f>IFERROR(ROUNDDOWN((VLOOKUP($C122,武器!$1:$998,COLUMN(E$1),FALSE)+IFERROR(VLOOKUP($CI122,装強!$1:$999,COLUMN(G$1),FALSE),0))*VLOOKUP($D122,素材!$1:$1016,COLUMN($E$1),FALSE),0),"")</f>
        <v>0</v>
      </c>
      <c r="H122">
        <f>IFERROR(ROUNDDOWN((VLOOKUP($C122,武器!$1:$998,COLUMN(F$1),FALSE)+IFERROR(VLOOKUP($CI122,装強!$1:$999,COLUMN(H$1),FALSE),0))*VLOOKUP($D122,素材!$1:$1016,COLUMN($E$1),FALSE),0),"")</f>
        <v>0</v>
      </c>
      <c r="I122">
        <f>IFERROR(ROUNDDOWN((VLOOKUP($C122,武器!$1:$998,COLUMN(G$1),FALSE)+IFERROR(VLOOKUP($CI122,装強!$1:$999,COLUMN(I$1),FALSE),0))*VLOOKUP($D122,素材!$1:$1016,COLUMN($E$1),FALSE),0),"")</f>
        <v>0</v>
      </c>
      <c r="J122">
        <f>IFERROR(ROUNDDOWN((VLOOKUP($C122,武器!$1:$998,COLUMN(H$1),FALSE)+IFERROR(VLOOKUP($CI122,装強!$1:$999,COLUMN(J$1),FALSE),0))*VLOOKUP($D122,素材!$1:$1016,COLUMN($E$1),FALSE),0),"")</f>
        <v>0</v>
      </c>
      <c r="K122">
        <f>IFERROR(ROUNDDOWN((VLOOKUP($C122,武器!$1:$998,COLUMN(I$1),FALSE)+IFERROR(VLOOKUP($CI122,装強!$1:$999,COLUMN(K$1),FALSE),0))*VLOOKUP($D122,素材!$1:$1016,COLUMN($E$1),FALSE),0),"")</f>
        <v>0</v>
      </c>
      <c r="L122" t="str">
        <f>IFERROR(VLOOKUP($D122,素材!$1:$1016,COLUMN($F$1),FALSE),"")</f>
        <v>-</v>
      </c>
      <c r="M122" t="str">
        <f>IFERROR(VLOOKUP($C122,武器!$1:$998,COLUMN(AA$1),FALSE)*VLOOKUP($D122,素材!$1:$1016,COLUMN($G$1),FALSE),"")</f>
        <v/>
      </c>
      <c r="N122">
        <f>IFERROR(VLOOKUP($C122,武器!$1:$998,COLUMN(I$1),FALSE),"")</f>
        <v>0</v>
      </c>
      <c r="O122" s="23" t="str">
        <f>IFERROR((VLOOKUP($C122,武器!$1:$998,COLUMN(K$1),FALSE)+VLOOKUP($D122,素材!$1:$1016,COLUMN(H$1),FALSE))*100+IFERROR(VLOOKUP($CI122,装強!$1:$999,COLUMN(O$1),FALSE),0),"")</f>
        <v/>
      </c>
      <c r="P122" s="23" t="str">
        <f>IFERROR((VLOOKUP($C122,武器!$1:$998,COLUMN(L$1),FALSE)+VLOOKUP($D122,素材!$1:$1016,COLUMN(I$1),FALSE))*100+IFERROR(VLOOKUP($CI122,装強!$1:$999,COLUMN(P$1),FALSE),0),"")</f>
        <v/>
      </c>
      <c r="Q122">
        <f>IFERROR(ROUNDUP(VLOOKUP($C122,武器!$1:$998,COLUMN(M$1),FALSE)*(VLOOKUP($D122,素材!$1:$1002,COLUMN(D$1),FALSE)/100),1),"")</f>
        <v>0</v>
      </c>
      <c r="R122">
        <f>IFERROR(ROUNDUP(VLOOKUP($C122,武器!$1:$998,COLUMN(N$1),FALSE)*(VLOOKUP($D122,素材!$1:$1002,COLUMN(D$1),FALSE)/100),1),"")</f>
        <v>0</v>
      </c>
      <c r="S122">
        <f>IFERROR(VLOOKUP($C122,武器!$1:$998,COLUMN(P$1),FALSE),"")</f>
        <v>0</v>
      </c>
      <c r="T122">
        <f>IFERROR(VLOOKUP($C122,武器!$1:$998,COLUMN(Q$1),FALSE),"")</f>
        <v>0</v>
      </c>
      <c r="U122">
        <f>IFERROR(VLOOKUP($C122,武器!$1:$998,COLUMN(R$1),FALSE),"")</f>
        <v>0</v>
      </c>
      <c r="V122">
        <f>IFERROR(VLOOKUP($C122,武器!$1:$998,COLUMN(Q$1),FALSE),"")</f>
        <v>0</v>
      </c>
      <c r="W122">
        <f>IFERROR(VLOOKUP($C122,武器!$1:$998,COLUMN(T$1),FALSE),"")</f>
        <v>0</v>
      </c>
      <c r="Y122">
        <f>IFERROR(VLOOKUP($C122,武器!$1:$998,COLUMN(U$1),FALSE),"")</f>
        <v>0</v>
      </c>
      <c r="Z122">
        <f>IFERROR(ROUNDUP(VLOOKUP($C122,武器!$1:$998,COLUMN(O$1),FALSE)*VLOOKUP($D122,素材!$1:$1016,COLUMN(E$1),FALSE),1),"")</f>
        <v>1.5</v>
      </c>
      <c r="AA122">
        <f>IF(ISNUMBER(SEARCH(SUBSTITUTE(AA$1,RIGHT(AA$1,2),""),VLOOKUP($D122,素材!$1:$1016,COLUMN($F$1),FALSE))),VLOOKUP($C122,武器!$1:$998,COLUMN($O$1),FALSE)*VLOOKUP($D122,素材!$1:$1016,COLUMN($E$1),FALSE)/(LEN(VLOOKUP($D122,素材!$1:$1016,COLUMN($F$1),FALSE)) - LEN(SUBSTITUTE(VLOOKUP($D122,素材!$1:$1016,COLUMN($F$1),FALSE), "・", 0)) + 1), 0)</f>
        <v>0</v>
      </c>
      <c r="AB122">
        <f>IF(ISNUMBER(SEARCH(SUBSTITUTE(AB$1,RIGHT(AB$1,2),""),VLOOKUP($D122,素材!$1:$1016,COLUMN($F$1),FALSE))),VLOOKUP($C122,武器!$1:$998,COLUMN($O$1),FALSE)*VLOOKUP($D122,素材!$1:$1016,COLUMN($E$1),FALSE)/(LEN(VLOOKUP($D122,素材!$1:$1016,COLUMN($F$1),FALSE)) - LEN(SUBSTITUTE(VLOOKUP($D122,素材!$1:$1016,COLUMN($F$1),FALSE), "・", 0)) + 1), 0)</f>
        <v>0</v>
      </c>
      <c r="AC122">
        <f>IF(ISNUMBER(SEARCH(SUBSTITUTE(AC$1,RIGHT(AC$1,2),""),VLOOKUP($D122,素材!$1:$1016,COLUMN($F$1),FALSE))),VLOOKUP($C122,武器!$1:$998,COLUMN($O$1),FALSE)*VLOOKUP($D122,素材!$1:$1016,COLUMN($E$1),FALSE)/(LEN(VLOOKUP($D122,素材!$1:$1016,COLUMN($F$1),FALSE)) - LEN(SUBSTITUTE(VLOOKUP($D122,素材!$1:$1016,COLUMN($F$1),FALSE), "・", 0)) + 1), 0)</f>
        <v>0</v>
      </c>
      <c r="AD122">
        <f>IF(ISNUMBER(SEARCH(SUBSTITUTE(AD$1,RIGHT(AD$1,2),""),VLOOKUP($D122,素材!$1:$1016,COLUMN($F$1),FALSE))),VLOOKUP($C122,武器!$1:$998,COLUMN($O$1),FALSE)*VLOOKUP($D122,素材!$1:$1016,COLUMN($E$1),FALSE)/(LEN(VLOOKUP($D122,素材!$1:$1016,COLUMN($F$1),FALSE)) - LEN(SUBSTITUTE(VLOOKUP($D122,素材!$1:$1016,COLUMN($F$1),FALSE), "・", 0)) + 1), 0)</f>
        <v>0</v>
      </c>
      <c r="AE122">
        <f>IF(ISNUMBER(SEARCH(SUBSTITUTE(AE$1,RIGHT(AE$1,2),""),VLOOKUP($D122,素材!$1:$1016,COLUMN($F$1),FALSE))),VLOOKUP($C122,武器!$1:$998,COLUMN($O$1),FALSE)*VLOOKUP($D122,素材!$1:$1016,COLUMN($E$1),FALSE)/(LEN(VLOOKUP($D122,素材!$1:$1016,COLUMN($F$1),FALSE)) - LEN(SUBSTITUTE(VLOOKUP($D122,素材!$1:$1016,COLUMN($F$1),FALSE), "・", 0)) + 1), 0)</f>
        <v>0</v>
      </c>
      <c r="AF122">
        <f>IF(ISNUMBER(SEARCH(SUBSTITUTE(AF$1,RIGHT(AF$1,2),""),VLOOKUP($D122,素材!$1:$1016,COLUMN($F$1),FALSE))),VLOOKUP($C122,武器!$1:$998,COLUMN($O$1),FALSE)*VLOOKUP($D122,素材!$1:$1016,COLUMN($E$1),FALSE)/(LEN(VLOOKUP($D122,素材!$1:$1016,COLUMN($F$1),FALSE)) - LEN(SUBSTITUTE(VLOOKUP($D122,素材!$1:$1016,COLUMN($F$1),FALSE), "・", 0)) + 1), 0)</f>
        <v>0</v>
      </c>
      <c r="AG122">
        <f>IF(ISNUMBER(SEARCH(SUBSTITUTE(AG$1,RIGHT(AG$1,2),""),VLOOKUP($D122,素材!$1:$1016,COLUMN($F$1),FALSE))),VLOOKUP($C122,武器!$1:$998,COLUMN($O$1),FALSE)*VLOOKUP($D122,素材!$1:$1016,COLUMN($E$1),FALSE)/(LEN(VLOOKUP($D122,素材!$1:$1016,COLUMN($F$1),FALSE)) - LEN(SUBSTITUTE(VLOOKUP($D122,素材!$1:$1016,COLUMN($F$1),FALSE), "・", 0)) + 1), 0)</f>
        <v>0</v>
      </c>
      <c r="AH122">
        <f>IF(ISNUMBER(SEARCH(SUBSTITUTE(AH$1,RIGHT(AH$1,2),""),VLOOKUP($D122,素材!$1:$1016,COLUMN($F$1),FALSE))),VLOOKUP($C122,武器!$1:$998,COLUMN($O$1),FALSE)*VLOOKUP($D122,素材!$1:$1016,COLUMN($E$1),FALSE)/(LEN(VLOOKUP($D122,素材!$1:$1016,COLUMN($F$1),FALSE)) - LEN(SUBSTITUTE(VLOOKUP($D122,素材!$1:$1016,COLUMN($F$1),FALSE), "・", 0)) + 1), 0)</f>
        <v>0</v>
      </c>
      <c r="AI122">
        <f>IF(ISNUMBER(SEARCH(SUBSTITUTE(AI$1,RIGHT(AI$1,2),""),VLOOKUP($D122,素材!$1:$1016,COLUMN($F$1),FALSE))),VLOOKUP($C122,武器!$1:$998,COLUMN($O$1),FALSE)*VLOOKUP($D122,素材!$1:$1016,COLUMN($E$1),FALSE)/(LEN(VLOOKUP($D122,素材!$1:$1016,COLUMN($F$1),FALSE)) - LEN(SUBSTITUTE(VLOOKUP($D122,素材!$1:$1016,COLUMN($F$1),FALSE), "・", 0)) + 1), 0)</f>
        <v>0</v>
      </c>
      <c r="AJ122">
        <f>IF(ISNUMBER(SEARCH(SUBSTITUTE(AJ$1,RIGHT(AJ$1,2),""),VLOOKUP($D122,素材!$1:$1016,COLUMN($F$1),FALSE))),VLOOKUP($C122,武器!$1:$998,COLUMN($O$1),FALSE)*VLOOKUP($D122,素材!$1:$1016,COLUMN($E$1),FALSE)/(LEN(VLOOKUP($D122,素材!$1:$1016,COLUMN($F$1),FALSE)) - LEN(SUBSTITUTE(VLOOKUP($D122,素材!$1:$1016,COLUMN($F$1),FALSE), "・", 0)) + 1), 0)</f>
        <v>0</v>
      </c>
      <c r="AK122">
        <f>IF(ISNUMBER(SEARCH(SUBSTITUTE(AK$1,RIGHT(AK$1,2),""),VLOOKUP($D122,素材!$1:$1016,COLUMN($F$1),FALSE))),VLOOKUP($C122,武器!$1:$998,COLUMN($O$1),FALSE)*VLOOKUP($D122,素材!$1:$1016,COLUMN($E$1),FALSE)/(LEN(VLOOKUP($D122,素材!$1:$1016,COLUMN($F$1),FALSE)) - LEN(SUBSTITUTE(VLOOKUP($D122,素材!$1:$1016,COLUMN($F$1),FALSE), "・", 0)) + 1), 0)</f>
        <v>0</v>
      </c>
      <c r="AL122">
        <f>IF(ISNUMBER(SEARCH(SUBSTITUTE(AL$1,RIGHT(AL$1,2),""),VLOOKUP($D122,素材!$1:$1016,COLUMN($F$1),FALSE))),VLOOKUP($C122,武器!$1:$998,COLUMN($O$1),FALSE)*VLOOKUP($D122,素材!$1:$1016,COLUMN($E$1),FALSE)/(LEN(VLOOKUP($D122,素材!$1:$1016,COLUMN($F$1),FALSE)) - LEN(SUBSTITUTE(VLOOKUP($D122,素材!$1:$1016,COLUMN($F$1),FALSE), "・", 0)) + 1), 0)</f>
        <v>0</v>
      </c>
      <c r="AM122">
        <f>IF(ISNUMBER(SEARCH(SUBSTITUTE(AM$1,RIGHT(AM$1,2),""),VLOOKUP($D122,素材!$1:$1016,COLUMN($F$1),FALSE))),VLOOKUP($C122,武器!$1:$998,COLUMN($O$1),FALSE)*VLOOKUP($D122,素材!$1:$1016,COLUMN($E$1),FALSE)/(LEN(VLOOKUP($D122,素材!$1:$1016,COLUMN($F$1),FALSE)) - LEN(SUBSTITUTE(VLOOKUP($D122,素材!$1:$1016,COLUMN($F$1),FALSE), "・", 0)) + 1), 0)</f>
        <v>0</v>
      </c>
      <c r="AN122">
        <f>IF(ISNUMBER(SEARCH(SUBSTITUTE(AN$1,RIGHT(AN$1,2),""),VLOOKUP($D122,素材!$1:$1016,COLUMN($F$1),FALSE))),VLOOKUP($C122,武器!$1:$998,COLUMN($O$1),FALSE)*VLOOKUP($D122,素材!$1:$1016,COLUMN($E$1),FALSE)/(LEN(VLOOKUP($D122,素材!$1:$1016,COLUMN($F$1),FALSE)) - LEN(SUBSTITUTE(VLOOKUP($D122,素材!$1:$1016,COLUMN($F$1),FALSE), "・", 0)) + 1), 0)</f>
        <v>0</v>
      </c>
      <c r="AO122">
        <f>IF(ISNUMBER(SEARCH(SUBSTITUTE(AO$1,RIGHT(AO$1,2),""),VLOOKUP($D122,素材!$1:$1016,COLUMN($F$1),FALSE))),VLOOKUP($C122,武器!$1:$998,COLUMN($O$1),FALSE)*VLOOKUP($D122,素材!$1:$1016,COLUMN($E$1),FALSE)/(LEN(VLOOKUP($D122,素材!$1:$1016,COLUMN($F$1),FALSE)) - LEN(SUBSTITUTE(VLOOKUP($D122,素材!$1:$1016,COLUMN($F$1),FALSE), "・", 0)) + 1), 0)</f>
        <v>0</v>
      </c>
      <c r="AP122">
        <f>IF(ISNUMBER(SEARCH(SUBSTITUTE(AP$1,RIGHT(AP$1,2),""),VLOOKUP($D122,素材!$1:$1016,COLUMN($F$1),FALSE))),VLOOKUP($C122,武器!$1:$998,COLUMN($O$1),FALSE)*VLOOKUP($D122,素材!$1:$1016,COLUMN($E$1),FALSE)/(LEN(VLOOKUP($D122,素材!$1:$1016,COLUMN($F$1),FALSE)) - LEN(SUBSTITUTE(VLOOKUP($D122,素材!$1:$1016,COLUMN($F$1),FALSE), "・", 0)) + 1), 0)</f>
        <v>0</v>
      </c>
      <c r="AQ122">
        <f>IF(ISNUMBER(SEARCH(SUBSTITUTE(AQ$1,RIGHT(AQ$1,2),""),VLOOKUP($D122,素材!$1:$1016,COLUMN($F$1),FALSE))),VLOOKUP($C122,武器!$1:$998,COLUMN($O$1),FALSE)*VLOOKUP($D122,素材!$1:$1016,COLUMN($E$1),FALSE)/(LEN(VLOOKUP($D122,素材!$1:$1016,COLUMN($F$1),FALSE)) - LEN(SUBSTITUTE(VLOOKUP($D122,素材!$1:$1016,COLUMN($F$1),FALSE), "・", 0)) + 1), 0)</f>
        <v>0</v>
      </c>
      <c r="AR122">
        <f>IF(ISNUMBER(SEARCH(SUBSTITUTE(AR$1,RIGHT(AR$1,2),""),VLOOKUP($D122,素材!$1:$1016,COLUMN($F$1),FALSE))),VLOOKUP($C122,武器!$1:$998,COLUMN($O$1),FALSE)*VLOOKUP($D122,素材!$1:$1016,COLUMN($E$1),FALSE)/(LEN(VLOOKUP($D122,素材!$1:$1016,COLUMN($F$1),FALSE)) - LEN(SUBSTITUTE(VLOOKUP($D122,素材!$1:$1016,COLUMN($F$1),FALSE), "・", 0)) + 1), 0)</f>
        <v>0</v>
      </c>
      <c r="AS122">
        <f>IF(ISNUMBER(SEARCH(SUBSTITUTE(AS$1,RIGHT(AS$1,2),""),VLOOKUP($D122,素材!$1:$1016,COLUMN($F$1),FALSE))),VLOOKUP($C122,武器!$1:$998,COLUMN($O$1),FALSE)*VLOOKUP($D122,素材!$1:$1016,COLUMN($E$1),FALSE)/(LEN(VLOOKUP($D122,素材!$1:$1016,COLUMN($F$1),FALSE)) - LEN(SUBSTITUTE(VLOOKUP($D122,素材!$1:$1016,COLUMN($F$1),FALSE), "・", 0)) + 1), 0)</f>
        <v>0</v>
      </c>
      <c r="AT122">
        <f>IF(ISNUMBER(SEARCH(SUBSTITUTE(AT$1,RIGHT(AT$1,2),""),VLOOKUP($D122,素材!$1:$1016,COLUMN($F$1),FALSE))),VLOOKUP($C122,武器!$1:$998,COLUMN($O$1),FALSE)*VLOOKUP($D122,素材!$1:$1016,COLUMN($E$1),FALSE)/(LEN(VLOOKUP($D122,素材!$1:$1016,COLUMN($F$1),FALSE)) - LEN(SUBSTITUTE(VLOOKUP($D122,素材!$1:$1016,COLUMN($F$1),FALSE), "・", 0)) + 1), 0)</f>
        <v>0</v>
      </c>
      <c r="AU122">
        <f>IF(ISNUMBER(SEARCH(SUBSTITUTE(AU$1,RIGHT(AU$1,2),""),VLOOKUP($D122,素材!$1:$1016,COLUMN($F$1),FALSE))),VLOOKUP($C122,武器!$1:$998,COLUMN($O$1),FALSE)*VLOOKUP($D122,素材!$1:$1016,COLUMN($E$1),FALSE)/(LEN(VLOOKUP($D122,素材!$1:$1016,COLUMN($F$1),FALSE)) - LEN(SUBSTITUTE(VLOOKUP($D122,素材!$1:$1016,COLUMN($F$1),FALSE), "・", 0)) + 1), 0)</f>
        <v>0</v>
      </c>
      <c r="AV122">
        <f>IF(ISNUMBER(SEARCH(SUBSTITUTE(AV$1,RIGHT(AV$1,2),""),VLOOKUP($D122,素材!$1:$1016,COLUMN($F$1),FALSE))),VLOOKUP($C122,武器!$1:$998,COLUMN($O$1),FALSE)*VLOOKUP($D122,素材!$1:$1016,COLUMN($E$1),FALSE)/(LEN(VLOOKUP($D122,素材!$1:$1016,COLUMN($F$1),FALSE)) - LEN(SUBSTITUTE(VLOOKUP($D122,素材!$1:$1016,COLUMN($F$1),FALSE), "・", 0)) + 1), 0)</f>
        <v>0</v>
      </c>
      <c r="AW122">
        <f>IF(ISNUMBER(SEARCH(SUBSTITUTE(AW$1,RIGHT(AW$1,2),""),VLOOKUP($D122,素材!$1:$1016,COLUMN($F$1),FALSE))),VLOOKUP($C122,武器!$1:$998,COLUMN($O$1),FALSE)*VLOOKUP($D122,素材!$1:$1016,COLUMN($E$1),FALSE)/(LEN(VLOOKUP($D122,素材!$1:$1016,COLUMN($F$1),FALSE)) - LEN(SUBSTITUTE(VLOOKUP($D122,素材!$1:$1016,COLUMN($F$1),FALSE), "・", 0)) + 1), 0)</f>
        <v>0</v>
      </c>
      <c r="AX122">
        <f>IF(ISNUMBER(SEARCH(SUBSTITUTE(AX$1,RIGHT(AX$1,2),""),VLOOKUP($D122,素材!$1:$1016,COLUMN($F$1),FALSE))),VLOOKUP($C122,武器!$1:$998,COLUMN($O$1),FALSE)*VLOOKUP($D122,素材!$1:$1016,COLUMN($E$1),FALSE)/(LEN(VLOOKUP($D122,素材!$1:$1016,COLUMN($F$1),FALSE)) - LEN(SUBSTITUTE(VLOOKUP($D122,素材!$1:$1016,COLUMN($F$1),FALSE), "・", 0)) + 1), 0)</f>
        <v>0</v>
      </c>
      <c r="AY122">
        <f>IF(ISNUMBER(SEARCH(SUBSTITUTE(AY$1,RIGHT(AY$1,2),""),VLOOKUP($D122,素材!$1:$1016,COLUMN($F$1),FALSE))),VLOOKUP($C122,武器!$1:$998,COLUMN($O$1),FALSE)*VLOOKUP($D122,素材!$1:$1016,COLUMN($E$1),FALSE)/(LEN(VLOOKUP($D122,素材!$1:$1016,COLUMN($F$1),FALSE)) - LEN(SUBSTITUTE(VLOOKUP($D122,素材!$1:$1016,COLUMN($F$1),FALSE), "・", 0)) + 1), 0)</f>
        <v>0</v>
      </c>
      <c r="AZ122">
        <f>IF(ISNUMBER(SEARCH(SUBSTITUTE(AZ$1,RIGHT(AZ$1,2),""),VLOOKUP($D122,素材!$1:$1016,COLUMN($F$1),FALSE))),VLOOKUP($C122,武器!$1:$998,COLUMN($O$1),FALSE)*VLOOKUP($D122,素材!$1:$1016,COLUMN($E$1),FALSE)/(LEN(VLOOKUP($D122,素材!$1:$1016,COLUMN($F$1),FALSE)) - LEN(SUBSTITUTE(VLOOKUP($D122,素材!$1:$1016,COLUMN($F$1),FALSE), "・", 0)) + 1), 0)</f>
        <v>0</v>
      </c>
      <c r="BA122">
        <f>IF(ISNUMBER(SEARCH(SUBSTITUTE(BA$1,RIGHT(BA$1,2),""),VLOOKUP($D122,素材!$1:$1016,COLUMN($F$1),FALSE))),VLOOKUP($C122,武器!$1:$998,COLUMN($O$1),FALSE)*VLOOKUP($D122,素材!$1:$1016,COLUMN($E$1),FALSE)/(LEN(VLOOKUP($D122,素材!$1:$1016,COLUMN($F$1),FALSE)) - LEN(SUBSTITUTE(VLOOKUP($D122,素材!$1:$1016,COLUMN($F$1),FALSE), "・", 0)) + 1), 0)</f>
        <v>0</v>
      </c>
      <c r="BB122">
        <f>IF(ISNUMBER(SEARCH(SUBSTITUTE(BB$1,RIGHT(BB$1,2),""),VLOOKUP($D122,素材!$1:$1016,COLUMN($F$1),FALSE))),VLOOKUP($C122,武器!$1:$998,COLUMN($O$1),FALSE)*VLOOKUP($D122,素材!$1:$1016,COLUMN($E$1),FALSE)/(LEN(VLOOKUP($D122,素材!$1:$1016,COLUMN($F$1),FALSE)) - LEN(SUBSTITUTE(VLOOKUP($D122,素材!$1:$1016,COLUMN($F$1),FALSE), "・", 0)) + 1), 0)</f>
        <v>0</v>
      </c>
      <c r="BC122">
        <f>IF(ISNUMBER(SEARCH(SUBSTITUTE(BC$1,RIGHT(BC$1,2),""),VLOOKUP($D122,素材!$1:$1016,COLUMN($F$1),FALSE))),VLOOKUP($C122,武器!$1:$998,COLUMN($O$1),FALSE)*VLOOKUP($D122,素材!$1:$1016,COLUMN($E$1),FALSE)/(LEN(VLOOKUP($D122,素材!$1:$1016,COLUMN($F$1),FALSE)) - LEN(SUBSTITUTE(VLOOKUP($D122,素材!$1:$1016,COLUMN($F$1),FALSE), "・", 0)) + 1), 0)</f>
        <v>0</v>
      </c>
      <c r="BD122">
        <f>IF(ISNUMBER(SEARCH(SUBSTITUTE(BD$1,RIGHT(BD$1,2),""),VLOOKUP($D122,素材!$1:$1016,COLUMN($F$1),FALSE))),VLOOKUP($C122,武器!$1:$998,COLUMN($O$1),FALSE)*VLOOKUP($D122,素材!$1:$1016,COLUMN($E$1),FALSE)/(LEN(VLOOKUP($D122,素材!$1:$1016,COLUMN($F$1),FALSE)) - LEN(SUBSTITUTE(VLOOKUP($D122,素材!$1:$1016,COLUMN($F$1),FALSE), "・", 0)) + 1), 0)</f>
        <v>0</v>
      </c>
      <c r="BE122">
        <f>IF(ISNUMBER(SEARCH(SUBSTITUTE(BE$1,RIGHT(BE$1,2),""),VLOOKUP($D122,素材!$1:$1016,COLUMN($F$1),FALSE))),VLOOKUP($C122,武器!$1:$998,COLUMN($O$1),FALSE)*VLOOKUP($D122,素材!$1:$1016,COLUMN($E$1),FALSE)/(LEN(VLOOKUP($D122,素材!$1:$1016,COLUMN($F$1),FALSE)) - LEN(SUBSTITUTE(VLOOKUP($D122,素材!$1:$1016,COLUMN($F$1),FALSE), "・", 0)) + 1), 0)</f>
        <v>0</v>
      </c>
      <c r="CL122">
        <f>SUM(G122:I122)</f>
        <v>0</v>
      </c>
      <c r="CM122" s="22" t="str">
        <f>IF(E122="武器",IF(J122-1&gt;SUM(G122:I122),"盾",IF(MAX(G122:I122)=G122,"切断",IF(MAX(G122:I122)=H122,"貫通",IF(MAX(G122:I122)=I122,"打撃","射撃")))),E122)&amp;".webp"</f>
        <v>頭.webp</v>
      </c>
      <c r="CN122">
        <f>IFERROR(VLOOKUP($C122,武器!$1:$998,COLUMN(V$1),FALSE)*VLOOKUP($D122,素材!$1:$1016,COLUMN(N$1),FALSE)+IF(CI122="",0,VLOOKUP($CI122,装強!$1:$1008,COLUMN($CK$1),FALSE)),"")</f>
        <v>200</v>
      </c>
      <c r="CO122" t="str">
        <f>VLOOKUP(D122,素材!$A:$O,COLUMN(素材!O$1),FALSE)</f>
        <v>野生動物から得られる丈夫な皮素材。皮装備の性能を向上させ、基本的な防護性能を備えています。</v>
      </c>
      <c r="CP122" t="str">
        <f>VLOOKUP(C122,武器!$A:$W,COLUMN(武器!W$1),FALSE)</f>
        <v>命中 魔防 Cr</v>
      </c>
      <c r="CR122" t="str">
        <f t="shared" si="5"/>
        <v>e_122</v>
      </c>
      <c r="CS122">
        <f t="shared" ref="CS122" si="12">CN122*100</f>
        <v>20000</v>
      </c>
    </row>
    <row r="123" spans="1:97" ht="23.25" customHeight="1" outlineLevel="1" x14ac:dyDescent="0.4">
      <c r="A123" t="str">
        <f t="shared" si="7"/>
        <v>獣皮の衣布</v>
      </c>
      <c r="B123" t="str">
        <f>IFERROR(VLOOKUP($D123,素材!$1:$1016,COLUMN($B$1),FALSE)&amp;"・"&amp;VLOOKUP($C123,武器!$1:$998,COLUMN(B$1),FALSE),"")</f>
        <v>ビーストレザー・クロース</v>
      </c>
      <c r="C123" t="s">
        <v>247</v>
      </c>
      <c r="D123" s="24" t="s">
        <v>251</v>
      </c>
      <c r="E123" t="str">
        <f>IFERROR(VLOOKUP(C123,武器!$1:$998,COLUMN(C$1),FALSE),"")</f>
        <v>体</v>
      </c>
      <c r="F123">
        <f>IFERROR(ROUNDDOWN((VLOOKUP($C123,武器!$1:$998,COLUMN(D$1),FALSE)+IFERROR(VLOOKUP($CI123,装強!$1:$999,COLUMN(F$1),FALSE),0))*VLOOKUP($D123,素材!$1:$1016,COLUMN(D$1),FALSE),0),"")</f>
        <v>0</v>
      </c>
      <c r="G123">
        <f>IFERROR(ROUNDDOWN((VLOOKUP($C123,武器!$1:$998,COLUMN(E$1),FALSE)+IFERROR(VLOOKUP($CI123,装強!$1:$999,COLUMN(G$1),FALSE),0))*VLOOKUP($D123,素材!$1:$1016,COLUMN($E$1),FALSE),0),"")</f>
        <v>0</v>
      </c>
      <c r="H123">
        <f>IFERROR(ROUNDDOWN((VLOOKUP($C123,武器!$1:$998,COLUMN(F$1),FALSE)+IFERROR(VLOOKUP($CI123,装強!$1:$999,COLUMN(H$1),FALSE),0))*VLOOKUP($D123,素材!$1:$1016,COLUMN($E$1),FALSE),0),"")</f>
        <v>0</v>
      </c>
      <c r="I123">
        <f>IFERROR(ROUNDDOWN((VLOOKUP($C123,武器!$1:$998,COLUMN(G$1),FALSE)+IFERROR(VLOOKUP($CI123,装強!$1:$999,COLUMN(I$1),FALSE),0))*VLOOKUP($D123,素材!$1:$1016,COLUMN($E$1),FALSE),0),"")</f>
        <v>0</v>
      </c>
      <c r="J123">
        <f>IFERROR(ROUNDDOWN((VLOOKUP($C123,武器!$1:$998,COLUMN(H$1),FALSE)+IFERROR(VLOOKUP($CI123,装強!$1:$999,COLUMN(J$1),FALSE),0))*VLOOKUP($D123,素材!$1:$1016,COLUMN($E$1),FALSE),0),"")</f>
        <v>0</v>
      </c>
      <c r="K123">
        <f>IFERROR(ROUNDDOWN((VLOOKUP($C123,武器!$1:$998,COLUMN(I$1),FALSE)+IFERROR(VLOOKUP($CI123,装強!$1:$999,COLUMN(K$1),FALSE),0))*VLOOKUP($D123,素材!$1:$1016,COLUMN($E$1),FALSE),0),"")</f>
        <v>0</v>
      </c>
      <c r="L123" t="str">
        <f>IFERROR(VLOOKUP($D123,素材!$1:$1016,COLUMN($F$1),FALSE),"")</f>
        <v>-</v>
      </c>
      <c r="M123" t="str">
        <f>IFERROR(VLOOKUP($C123,武器!$1:$998,COLUMN(AA$1),FALSE)*VLOOKUP($D123,素材!$1:$1016,COLUMN($G$1),FALSE),"")</f>
        <v/>
      </c>
      <c r="N123">
        <f>IFERROR(VLOOKUP($C123,武器!$1:$998,COLUMN(I$1),FALSE),"")</f>
        <v>0</v>
      </c>
      <c r="O123" s="23" t="str">
        <f>IFERROR((VLOOKUP($C123,武器!$1:$998,COLUMN(K$1),FALSE)+VLOOKUP($D123,素材!$1:$1016,COLUMN(H$1),FALSE))*100+IFERROR(VLOOKUP($CI123,装強!$1:$999,COLUMN(O$1),FALSE),0),"")</f>
        <v/>
      </c>
      <c r="P123" s="23" t="str">
        <f>IFERROR((VLOOKUP($C123,武器!$1:$998,COLUMN(L$1),FALSE)+VLOOKUP($D123,素材!$1:$1016,COLUMN(I$1),FALSE))*100+IFERROR(VLOOKUP($CI123,装強!$1:$999,COLUMN(P$1),FALSE),0),"")</f>
        <v/>
      </c>
      <c r="Q123">
        <f>IFERROR(ROUNDUP(VLOOKUP($C123,武器!$1:$998,COLUMN(M$1),FALSE)*(VLOOKUP($D123,素材!$1:$1002,COLUMN(D$1),FALSE)/100),1),"")</f>
        <v>0</v>
      </c>
      <c r="R123">
        <f>IFERROR(ROUNDUP(VLOOKUP($C123,武器!$1:$998,COLUMN(N$1),FALSE)*(VLOOKUP($D123,素材!$1:$1002,COLUMN(D$1),FALSE)/100),1),"")</f>
        <v>0</v>
      </c>
      <c r="S123">
        <f>IFERROR(VLOOKUP($C123,武器!$1:$998,COLUMN(P$1),FALSE),"")</f>
        <v>0</v>
      </c>
      <c r="T123">
        <f>IFERROR(VLOOKUP($C123,武器!$1:$998,COLUMN(Q$1),FALSE),"")</f>
        <v>0</v>
      </c>
      <c r="U123">
        <f>IFERROR(VLOOKUP($C123,武器!$1:$998,COLUMN(R$1),FALSE),"")</f>
        <v>0</v>
      </c>
      <c r="V123">
        <f>IFERROR(VLOOKUP($C123,武器!$1:$998,COLUMN(Q$1),FALSE),"")</f>
        <v>0</v>
      </c>
      <c r="W123">
        <f>IFERROR(VLOOKUP($C123,武器!$1:$998,COLUMN(T$1),FALSE),"")</f>
        <v>0</v>
      </c>
      <c r="Y123">
        <f>IFERROR(VLOOKUP($C123,武器!$1:$998,COLUMN(U$1),FALSE),"")</f>
        <v>0</v>
      </c>
      <c r="Z123">
        <f>IFERROR(ROUNDUP(VLOOKUP($C123,武器!$1:$998,COLUMN(O$1),FALSE)*VLOOKUP($D123,素材!$1:$1016,COLUMN(E$1),FALSE),1),"")</f>
        <v>4.5</v>
      </c>
      <c r="AA123">
        <f>IF(ISNUMBER(SEARCH(SUBSTITUTE(AA$1,RIGHT(AA$1,2),""),VLOOKUP($D123,素材!$1:$1016,COLUMN($F$1),FALSE))),VLOOKUP($C123,武器!$1:$998,COLUMN($O$1),FALSE)*VLOOKUP($D123,素材!$1:$1016,COLUMN($E$1),FALSE)/(LEN(VLOOKUP($D123,素材!$1:$1016,COLUMN($F$1),FALSE)) - LEN(SUBSTITUTE(VLOOKUP($D123,素材!$1:$1016,COLUMN($F$1),FALSE), "・", 0)) + 1), 0)</f>
        <v>0</v>
      </c>
      <c r="AB123">
        <f>IF(ISNUMBER(SEARCH(SUBSTITUTE(AB$1,RIGHT(AB$1,2),""),VLOOKUP($D123,素材!$1:$1016,COLUMN($F$1),FALSE))),VLOOKUP($C123,武器!$1:$998,COLUMN($O$1),FALSE)*VLOOKUP($D123,素材!$1:$1016,COLUMN($E$1),FALSE)/(LEN(VLOOKUP($D123,素材!$1:$1016,COLUMN($F$1),FALSE)) - LEN(SUBSTITUTE(VLOOKUP($D123,素材!$1:$1016,COLUMN($F$1),FALSE), "・", 0)) + 1), 0)</f>
        <v>0</v>
      </c>
      <c r="AC123">
        <f>IF(ISNUMBER(SEARCH(SUBSTITUTE(AC$1,RIGHT(AC$1,2),""),VLOOKUP($D123,素材!$1:$1016,COLUMN($F$1),FALSE))),VLOOKUP($C123,武器!$1:$998,COLUMN($O$1),FALSE)*VLOOKUP($D123,素材!$1:$1016,COLUMN($E$1),FALSE)/(LEN(VLOOKUP($D123,素材!$1:$1016,COLUMN($F$1),FALSE)) - LEN(SUBSTITUTE(VLOOKUP($D123,素材!$1:$1016,COLUMN($F$1),FALSE), "・", 0)) + 1), 0)</f>
        <v>0</v>
      </c>
      <c r="AD123">
        <f>IF(ISNUMBER(SEARCH(SUBSTITUTE(AD$1,RIGHT(AD$1,2),""),VLOOKUP($D123,素材!$1:$1016,COLUMN($F$1),FALSE))),VLOOKUP($C123,武器!$1:$998,COLUMN($O$1),FALSE)*VLOOKUP($D123,素材!$1:$1016,COLUMN($E$1),FALSE)/(LEN(VLOOKUP($D123,素材!$1:$1016,COLUMN($F$1),FALSE)) - LEN(SUBSTITUTE(VLOOKUP($D123,素材!$1:$1016,COLUMN($F$1),FALSE), "・", 0)) + 1), 0)</f>
        <v>0</v>
      </c>
      <c r="AE123">
        <f>IF(ISNUMBER(SEARCH(SUBSTITUTE(AE$1,RIGHT(AE$1,2),""),VLOOKUP($D123,素材!$1:$1016,COLUMN($F$1),FALSE))),VLOOKUP($C123,武器!$1:$998,COLUMN($O$1),FALSE)*VLOOKUP($D123,素材!$1:$1016,COLUMN($E$1),FALSE)/(LEN(VLOOKUP($D123,素材!$1:$1016,COLUMN($F$1),FALSE)) - LEN(SUBSTITUTE(VLOOKUP($D123,素材!$1:$1016,COLUMN($F$1),FALSE), "・", 0)) + 1), 0)</f>
        <v>0</v>
      </c>
      <c r="AF123">
        <f>IF(ISNUMBER(SEARCH(SUBSTITUTE(AF$1,RIGHT(AF$1,2),""),VLOOKUP($D123,素材!$1:$1016,COLUMN($F$1),FALSE))),VLOOKUP($C123,武器!$1:$998,COLUMN($O$1),FALSE)*VLOOKUP($D123,素材!$1:$1016,COLUMN($E$1),FALSE)/(LEN(VLOOKUP($D123,素材!$1:$1016,COLUMN($F$1),FALSE)) - LEN(SUBSTITUTE(VLOOKUP($D123,素材!$1:$1016,COLUMN($F$1),FALSE), "・", 0)) + 1), 0)</f>
        <v>0</v>
      </c>
      <c r="AG123">
        <f>IF(ISNUMBER(SEARCH(SUBSTITUTE(AG$1,RIGHT(AG$1,2),""),VLOOKUP($D123,素材!$1:$1016,COLUMN($F$1),FALSE))),VLOOKUP($C123,武器!$1:$998,COLUMN($O$1),FALSE)*VLOOKUP($D123,素材!$1:$1016,COLUMN($E$1),FALSE)/(LEN(VLOOKUP($D123,素材!$1:$1016,COLUMN($F$1),FALSE)) - LEN(SUBSTITUTE(VLOOKUP($D123,素材!$1:$1016,COLUMN($F$1),FALSE), "・", 0)) + 1), 0)</f>
        <v>0</v>
      </c>
      <c r="AH123">
        <f>IF(ISNUMBER(SEARCH(SUBSTITUTE(AH$1,RIGHT(AH$1,2),""),VLOOKUP($D123,素材!$1:$1016,COLUMN($F$1),FALSE))),VLOOKUP($C123,武器!$1:$998,COLUMN($O$1),FALSE)*VLOOKUP($D123,素材!$1:$1016,COLUMN($E$1),FALSE)/(LEN(VLOOKUP($D123,素材!$1:$1016,COLUMN($F$1),FALSE)) - LEN(SUBSTITUTE(VLOOKUP($D123,素材!$1:$1016,COLUMN($F$1),FALSE), "・", 0)) + 1), 0)</f>
        <v>0</v>
      </c>
      <c r="AI123">
        <f>IF(ISNUMBER(SEARCH(SUBSTITUTE(AI$1,RIGHT(AI$1,2),""),VLOOKUP($D123,素材!$1:$1016,COLUMN($F$1),FALSE))),VLOOKUP($C123,武器!$1:$998,COLUMN($O$1),FALSE)*VLOOKUP($D123,素材!$1:$1016,COLUMN($E$1),FALSE)/(LEN(VLOOKUP($D123,素材!$1:$1016,COLUMN($F$1),FALSE)) - LEN(SUBSTITUTE(VLOOKUP($D123,素材!$1:$1016,COLUMN($F$1),FALSE), "・", 0)) + 1), 0)</f>
        <v>0</v>
      </c>
      <c r="AJ123">
        <f>IF(ISNUMBER(SEARCH(SUBSTITUTE(AJ$1,RIGHT(AJ$1,2),""),VLOOKUP($D123,素材!$1:$1016,COLUMN($F$1),FALSE))),VLOOKUP($C123,武器!$1:$998,COLUMN($O$1),FALSE)*VLOOKUP($D123,素材!$1:$1016,COLUMN($E$1),FALSE)/(LEN(VLOOKUP($D123,素材!$1:$1016,COLUMN($F$1),FALSE)) - LEN(SUBSTITUTE(VLOOKUP($D123,素材!$1:$1016,COLUMN($F$1),FALSE), "・", 0)) + 1), 0)</f>
        <v>0</v>
      </c>
      <c r="AK123">
        <f>IF(ISNUMBER(SEARCH(SUBSTITUTE(AK$1,RIGHT(AK$1,2),""),VLOOKUP($D123,素材!$1:$1016,COLUMN($F$1),FALSE))),VLOOKUP($C123,武器!$1:$998,COLUMN($O$1),FALSE)*VLOOKUP($D123,素材!$1:$1016,COLUMN($E$1),FALSE)/(LEN(VLOOKUP($D123,素材!$1:$1016,COLUMN($F$1),FALSE)) - LEN(SUBSTITUTE(VLOOKUP($D123,素材!$1:$1016,COLUMN($F$1),FALSE), "・", 0)) + 1), 0)</f>
        <v>0</v>
      </c>
      <c r="AL123">
        <f>IF(ISNUMBER(SEARCH(SUBSTITUTE(AL$1,RIGHT(AL$1,2),""),VLOOKUP($D123,素材!$1:$1016,COLUMN($F$1),FALSE))),VLOOKUP($C123,武器!$1:$998,COLUMN($O$1),FALSE)*VLOOKUP($D123,素材!$1:$1016,COLUMN($E$1),FALSE)/(LEN(VLOOKUP($D123,素材!$1:$1016,COLUMN($F$1),FALSE)) - LEN(SUBSTITUTE(VLOOKUP($D123,素材!$1:$1016,COLUMN($F$1),FALSE), "・", 0)) + 1), 0)</f>
        <v>0</v>
      </c>
      <c r="AM123">
        <f>IF(ISNUMBER(SEARCH(SUBSTITUTE(AM$1,RIGHT(AM$1,2),""),VLOOKUP($D123,素材!$1:$1016,COLUMN($F$1),FALSE))),VLOOKUP($C123,武器!$1:$998,COLUMN($O$1),FALSE)*VLOOKUP($D123,素材!$1:$1016,COLUMN($E$1),FALSE)/(LEN(VLOOKUP($D123,素材!$1:$1016,COLUMN($F$1),FALSE)) - LEN(SUBSTITUTE(VLOOKUP($D123,素材!$1:$1016,COLUMN($F$1),FALSE), "・", 0)) + 1), 0)</f>
        <v>0</v>
      </c>
      <c r="AN123">
        <f>IF(ISNUMBER(SEARCH(SUBSTITUTE(AN$1,RIGHT(AN$1,2),""),VLOOKUP($D123,素材!$1:$1016,COLUMN($F$1),FALSE))),VLOOKUP($C123,武器!$1:$998,COLUMN($O$1),FALSE)*VLOOKUP($D123,素材!$1:$1016,COLUMN($E$1),FALSE)/(LEN(VLOOKUP($D123,素材!$1:$1016,COLUMN($F$1),FALSE)) - LEN(SUBSTITUTE(VLOOKUP($D123,素材!$1:$1016,COLUMN($F$1),FALSE), "・", 0)) + 1), 0)</f>
        <v>0</v>
      </c>
      <c r="AO123">
        <f>IF(ISNUMBER(SEARCH(SUBSTITUTE(AO$1,RIGHT(AO$1,2),""),VLOOKUP($D123,素材!$1:$1016,COLUMN($F$1),FALSE))),VLOOKUP($C123,武器!$1:$998,COLUMN($O$1),FALSE)*VLOOKUP($D123,素材!$1:$1016,COLUMN($E$1),FALSE)/(LEN(VLOOKUP($D123,素材!$1:$1016,COLUMN($F$1),FALSE)) - LEN(SUBSTITUTE(VLOOKUP($D123,素材!$1:$1016,COLUMN($F$1),FALSE), "・", 0)) + 1), 0)</f>
        <v>0</v>
      </c>
      <c r="AP123">
        <f>IF(ISNUMBER(SEARCH(SUBSTITUTE(AP$1,RIGHT(AP$1,2),""),VLOOKUP($D123,素材!$1:$1016,COLUMN($F$1),FALSE))),VLOOKUP($C123,武器!$1:$998,COLUMN($O$1),FALSE)*VLOOKUP($D123,素材!$1:$1016,COLUMN($E$1),FALSE)/(LEN(VLOOKUP($D123,素材!$1:$1016,COLUMN($F$1),FALSE)) - LEN(SUBSTITUTE(VLOOKUP($D123,素材!$1:$1016,COLUMN($F$1),FALSE), "・", 0)) + 1), 0)</f>
        <v>0</v>
      </c>
      <c r="AQ123">
        <f>IF(ISNUMBER(SEARCH(SUBSTITUTE(AQ$1,RIGHT(AQ$1,2),""),VLOOKUP($D123,素材!$1:$1016,COLUMN($F$1),FALSE))),VLOOKUP($C123,武器!$1:$998,COLUMN($O$1),FALSE)*VLOOKUP($D123,素材!$1:$1016,COLUMN($E$1),FALSE)/(LEN(VLOOKUP($D123,素材!$1:$1016,COLUMN($F$1),FALSE)) - LEN(SUBSTITUTE(VLOOKUP($D123,素材!$1:$1016,COLUMN($F$1),FALSE), "・", 0)) + 1), 0)</f>
        <v>0</v>
      </c>
      <c r="AR123">
        <f>IF(ISNUMBER(SEARCH(SUBSTITUTE(AR$1,RIGHT(AR$1,2),""),VLOOKUP($D123,素材!$1:$1016,COLUMN($F$1),FALSE))),VLOOKUP($C123,武器!$1:$998,COLUMN($O$1),FALSE)*VLOOKUP($D123,素材!$1:$1016,COLUMN($E$1),FALSE)/(LEN(VLOOKUP($D123,素材!$1:$1016,COLUMN($F$1),FALSE)) - LEN(SUBSTITUTE(VLOOKUP($D123,素材!$1:$1016,COLUMN($F$1),FALSE), "・", 0)) + 1), 0)</f>
        <v>0</v>
      </c>
      <c r="AS123">
        <f>IF(ISNUMBER(SEARCH(SUBSTITUTE(AS$1,RIGHT(AS$1,2),""),VLOOKUP($D123,素材!$1:$1016,COLUMN($F$1),FALSE))),VLOOKUP($C123,武器!$1:$998,COLUMN($O$1),FALSE)*VLOOKUP($D123,素材!$1:$1016,COLUMN($E$1),FALSE)/(LEN(VLOOKUP($D123,素材!$1:$1016,COLUMN($F$1),FALSE)) - LEN(SUBSTITUTE(VLOOKUP($D123,素材!$1:$1016,COLUMN($F$1),FALSE), "・", 0)) + 1), 0)</f>
        <v>0</v>
      </c>
      <c r="AT123">
        <f>IF(ISNUMBER(SEARCH(SUBSTITUTE(AT$1,RIGHT(AT$1,2),""),VLOOKUP($D123,素材!$1:$1016,COLUMN($F$1),FALSE))),VLOOKUP($C123,武器!$1:$998,COLUMN($O$1),FALSE)*VLOOKUP($D123,素材!$1:$1016,COLUMN($E$1),FALSE)/(LEN(VLOOKUP($D123,素材!$1:$1016,COLUMN($F$1),FALSE)) - LEN(SUBSTITUTE(VLOOKUP($D123,素材!$1:$1016,COLUMN($F$1),FALSE), "・", 0)) + 1), 0)</f>
        <v>0</v>
      </c>
      <c r="AU123">
        <f>IF(ISNUMBER(SEARCH(SUBSTITUTE(AU$1,RIGHT(AU$1,2),""),VLOOKUP($D123,素材!$1:$1016,COLUMN($F$1),FALSE))),VLOOKUP($C123,武器!$1:$998,COLUMN($O$1),FALSE)*VLOOKUP($D123,素材!$1:$1016,COLUMN($E$1),FALSE)/(LEN(VLOOKUP($D123,素材!$1:$1016,COLUMN($F$1),FALSE)) - LEN(SUBSTITUTE(VLOOKUP($D123,素材!$1:$1016,COLUMN($F$1),FALSE), "・", 0)) + 1), 0)</f>
        <v>0</v>
      </c>
      <c r="AV123">
        <f>IF(ISNUMBER(SEARCH(SUBSTITUTE(AV$1,RIGHT(AV$1,2),""),VLOOKUP($D123,素材!$1:$1016,COLUMN($F$1),FALSE))),VLOOKUP($C123,武器!$1:$998,COLUMN($O$1),FALSE)*VLOOKUP($D123,素材!$1:$1016,COLUMN($E$1),FALSE)/(LEN(VLOOKUP($D123,素材!$1:$1016,COLUMN($F$1),FALSE)) - LEN(SUBSTITUTE(VLOOKUP($D123,素材!$1:$1016,COLUMN($F$1),FALSE), "・", 0)) + 1), 0)</f>
        <v>0</v>
      </c>
      <c r="AW123">
        <f>IF(ISNUMBER(SEARCH(SUBSTITUTE(AW$1,RIGHT(AW$1,2),""),VLOOKUP($D123,素材!$1:$1016,COLUMN($F$1),FALSE))),VLOOKUP($C123,武器!$1:$998,COLUMN($O$1),FALSE)*VLOOKUP($D123,素材!$1:$1016,COLUMN($E$1),FALSE)/(LEN(VLOOKUP($D123,素材!$1:$1016,COLUMN($F$1),FALSE)) - LEN(SUBSTITUTE(VLOOKUP($D123,素材!$1:$1016,COLUMN($F$1),FALSE), "・", 0)) + 1), 0)</f>
        <v>0</v>
      </c>
      <c r="AX123">
        <f>IF(ISNUMBER(SEARCH(SUBSTITUTE(AX$1,RIGHT(AX$1,2),""),VLOOKUP($D123,素材!$1:$1016,COLUMN($F$1),FALSE))),VLOOKUP($C123,武器!$1:$998,COLUMN($O$1),FALSE)*VLOOKUP($D123,素材!$1:$1016,COLUMN($E$1),FALSE)/(LEN(VLOOKUP($D123,素材!$1:$1016,COLUMN($F$1),FALSE)) - LEN(SUBSTITUTE(VLOOKUP($D123,素材!$1:$1016,COLUMN($F$1),FALSE), "・", 0)) + 1), 0)</f>
        <v>0</v>
      </c>
      <c r="AY123">
        <f>IF(ISNUMBER(SEARCH(SUBSTITUTE(AY$1,RIGHT(AY$1,2),""),VLOOKUP($D123,素材!$1:$1016,COLUMN($F$1),FALSE))),VLOOKUP($C123,武器!$1:$998,COLUMN($O$1),FALSE)*VLOOKUP($D123,素材!$1:$1016,COLUMN($E$1),FALSE)/(LEN(VLOOKUP($D123,素材!$1:$1016,COLUMN($F$1),FALSE)) - LEN(SUBSTITUTE(VLOOKUP($D123,素材!$1:$1016,COLUMN($F$1),FALSE), "・", 0)) + 1), 0)</f>
        <v>0</v>
      </c>
      <c r="AZ123">
        <f>IF(ISNUMBER(SEARCH(SUBSTITUTE(AZ$1,RIGHT(AZ$1,2),""),VLOOKUP($D123,素材!$1:$1016,COLUMN($F$1),FALSE))),VLOOKUP($C123,武器!$1:$998,COLUMN($O$1),FALSE)*VLOOKUP($D123,素材!$1:$1016,COLUMN($E$1),FALSE)/(LEN(VLOOKUP($D123,素材!$1:$1016,COLUMN($F$1),FALSE)) - LEN(SUBSTITUTE(VLOOKUP($D123,素材!$1:$1016,COLUMN($F$1),FALSE), "・", 0)) + 1), 0)</f>
        <v>0</v>
      </c>
      <c r="BA123">
        <f>IF(ISNUMBER(SEARCH(SUBSTITUTE(BA$1,RIGHT(BA$1,2),""),VLOOKUP($D123,素材!$1:$1016,COLUMN($F$1),FALSE))),VLOOKUP($C123,武器!$1:$998,COLUMN($O$1),FALSE)*VLOOKUP($D123,素材!$1:$1016,COLUMN($E$1),FALSE)/(LEN(VLOOKUP($D123,素材!$1:$1016,COLUMN($F$1),FALSE)) - LEN(SUBSTITUTE(VLOOKUP($D123,素材!$1:$1016,COLUMN($F$1),FALSE), "・", 0)) + 1), 0)</f>
        <v>0</v>
      </c>
      <c r="BB123">
        <f>IF(ISNUMBER(SEARCH(SUBSTITUTE(BB$1,RIGHT(BB$1,2),""),VLOOKUP($D123,素材!$1:$1016,COLUMN($F$1),FALSE))),VLOOKUP($C123,武器!$1:$998,COLUMN($O$1),FALSE)*VLOOKUP($D123,素材!$1:$1016,COLUMN($E$1),FALSE)/(LEN(VLOOKUP($D123,素材!$1:$1016,COLUMN($F$1),FALSE)) - LEN(SUBSTITUTE(VLOOKUP($D123,素材!$1:$1016,COLUMN($F$1),FALSE), "・", 0)) + 1), 0)</f>
        <v>0</v>
      </c>
      <c r="BC123">
        <f>IF(ISNUMBER(SEARCH(SUBSTITUTE(BC$1,RIGHT(BC$1,2),""),VLOOKUP($D123,素材!$1:$1016,COLUMN($F$1),FALSE))),VLOOKUP($C123,武器!$1:$998,COLUMN($O$1),FALSE)*VLOOKUP($D123,素材!$1:$1016,COLUMN($E$1),FALSE)/(LEN(VLOOKUP($D123,素材!$1:$1016,COLUMN($F$1),FALSE)) - LEN(SUBSTITUTE(VLOOKUP($D123,素材!$1:$1016,COLUMN($F$1),FALSE), "・", 0)) + 1), 0)</f>
        <v>0</v>
      </c>
      <c r="BD123">
        <f>IF(ISNUMBER(SEARCH(SUBSTITUTE(BD$1,RIGHT(BD$1,2),""),VLOOKUP($D123,素材!$1:$1016,COLUMN($F$1),FALSE))),VLOOKUP($C123,武器!$1:$998,COLUMN($O$1),FALSE)*VLOOKUP($D123,素材!$1:$1016,COLUMN($E$1),FALSE)/(LEN(VLOOKUP($D123,素材!$1:$1016,COLUMN($F$1),FALSE)) - LEN(SUBSTITUTE(VLOOKUP($D123,素材!$1:$1016,COLUMN($F$1),FALSE), "・", 0)) + 1), 0)</f>
        <v>0</v>
      </c>
      <c r="BE123">
        <f>IF(ISNUMBER(SEARCH(SUBSTITUTE(BE$1,RIGHT(BE$1,2),""),VLOOKUP($D123,素材!$1:$1016,COLUMN($F$1),FALSE))),VLOOKUP($C123,武器!$1:$998,COLUMN($O$1),FALSE)*VLOOKUP($D123,素材!$1:$1016,COLUMN($E$1),FALSE)/(LEN(VLOOKUP($D123,素材!$1:$1016,COLUMN($F$1),FALSE)) - LEN(SUBSTITUTE(VLOOKUP($D123,素材!$1:$1016,COLUMN($F$1),FALSE), "・", 0)) + 1), 0)</f>
        <v>0</v>
      </c>
      <c r="CL123">
        <f>SUM(G123:I123)</f>
        <v>0</v>
      </c>
      <c r="CM123" s="22" t="str">
        <f>IF(E123="武器",IF(J123-1&gt;SUM(G123:I123),"盾",IF(MAX(G123:I123)=G123,"切断",IF(MAX(G123:I123)=H123,"貫通",IF(MAX(G123:I123)=I123,"打撃","射撃")))),E123)&amp;".webp"</f>
        <v>体.webp</v>
      </c>
      <c r="CN123">
        <f>IFERROR(VLOOKUP($C123,武器!$1:$998,COLUMN(V$1),FALSE)*VLOOKUP($D123,素材!$1:$1016,COLUMN(N$1),FALSE)+IF(CI123="",0,VLOOKUP($CI123,装強!$1:$1008,COLUMN($CK$1),FALSE)),"")</f>
        <v>400</v>
      </c>
      <c r="CO123" t="str">
        <f>VLOOKUP(D123,素材!$A:$O,COLUMN(素材!O$1),FALSE)</f>
        <v>野生動物から得られる丈夫な皮素材。皮装備の性能を向上させ、基本的な防護性能を備えています。</v>
      </c>
      <c r="CP123" t="str">
        <f>VLOOKUP(C123,武器!$A:$W,COLUMN(武器!W$1),FALSE)</f>
        <v>HP 物理 魔法 体幹 出血 疲労 Cr</v>
      </c>
      <c r="CR123" t="str">
        <f t="shared" si="5"/>
        <v>e_123</v>
      </c>
      <c r="CS123">
        <f t="shared" si="6"/>
        <v>40000</v>
      </c>
    </row>
    <row r="124" spans="1:97" outlineLevel="1" x14ac:dyDescent="0.4">
      <c r="A124" t="str">
        <f t="shared" si="7"/>
        <v>獣皮の法衣</v>
      </c>
      <c r="B124" t="str">
        <f>IFERROR(VLOOKUP($D124,素材!$1:$1016,COLUMN($B$1),FALSE)&amp;"・"&amp;VLOOKUP($C124,武器!$1:$998,COLUMN(B$1),FALSE),"")</f>
        <v>ビーストレザー・ローブ</v>
      </c>
      <c r="C124" t="s">
        <v>246</v>
      </c>
      <c r="D124" s="24" t="s">
        <v>251</v>
      </c>
      <c r="E124" t="str">
        <f>IFERROR(VLOOKUP(C124,武器!$1:$998,COLUMN(C$1),FALSE),"")</f>
        <v>体</v>
      </c>
      <c r="F124">
        <f>IFERROR(ROUNDDOWN((VLOOKUP($C124,武器!$1:$998,COLUMN(D$1),FALSE)+IFERROR(VLOOKUP($CI124,装強!$1:$999,COLUMN(F$1),FALSE),0))*VLOOKUP($D124,素材!$1:$1016,COLUMN(D$1),FALSE),0),"")</f>
        <v>0</v>
      </c>
      <c r="G124">
        <f>IFERROR(ROUNDDOWN((VLOOKUP($C124,武器!$1:$998,COLUMN(E$1),FALSE)+IFERROR(VLOOKUP($CI124,装強!$1:$999,COLUMN(G$1),FALSE),0))*VLOOKUP($D124,素材!$1:$1016,COLUMN($E$1),FALSE),0),"")</f>
        <v>0</v>
      </c>
      <c r="H124">
        <f>IFERROR(ROUNDDOWN((VLOOKUP($C124,武器!$1:$998,COLUMN(F$1),FALSE)+IFERROR(VLOOKUP($CI124,装強!$1:$999,COLUMN(H$1),FALSE),0))*VLOOKUP($D124,素材!$1:$1016,COLUMN($E$1),FALSE),0),"")</f>
        <v>0</v>
      </c>
      <c r="I124">
        <f>IFERROR(ROUNDDOWN((VLOOKUP($C124,武器!$1:$998,COLUMN(G$1),FALSE)+IFERROR(VLOOKUP($CI124,装強!$1:$999,COLUMN(I$1),FALSE),0))*VLOOKUP($D124,素材!$1:$1016,COLUMN($E$1),FALSE),0),"")</f>
        <v>0</v>
      </c>
      <c r="J124">
        <f>IFERROR(ROUNDDOWN((VLOOKUP($C124,武器!$1:$998,COLUMN(H$1),FALSE)+IFERROR(VLOOKUP($CI124,装強!$1:$999,COLUMN(J$1),FALSE),0))*VLOOKUP($D124,素材!$1:$1016,COLUMN($E$1),FALSE),0),"")</f>
        <v>0</v>
      </c>
      <c r="K124">
        <f>IFERROR(ROUNDDOWN((VLOOKUP($C124,武器!$1:$998,COLUMN(I$1),FALSE)+IFERROR(VLOOKUP($CI124,装強!$1:$999,COLUMN(K$1),FALSE),0))*VLOOKUP($D124,素材!$1:$1016,COLUMN($E$1),FALSE),0),"")</f>
        <v>0</v>
      </c>
      <c r="L124" t="str">
        <f>IFERROR(VLOOKUP($D124,素材!$1:$1016,COLUMN($F$1),FALSE),"")</f>
        <v>-</v>
      </c>
      <c r="M124" t="str">
        <f>IFERROR(VLOOKUP($C124,武器!$1:$998,COLUMN(AA$1),FALSE)*VLOOKUP($D124,素材!$1:$1016,COLUMN($G$1),FALSE),"")</f>
        <v/>
      </c>
      <c r="N124">
        <f>IFERROR(VLOOKUP($C124,武器!$1:$998,COLUMN(I$1),FALSE),"")</f>
        <v>0</v>
      </c>
      <c r="O124" s="23" t="str">
        <f>IFERROR((VLOOKUP($C124,武器!$1:$998,COLUMN(K$1),FALSE)+VLOOKUP($D124,素材!$1:$1016,COLUMN(H$1),FALSE))*100+IFERROR(VLOOKUP($CI124,装強!$1:$999,COLUMN(O$1),FALSE),0),"")</f>
        <v/>
      </c>
      <c r="P124" s="23" t="str">
        <f>IFERROR((VLOOKUP($C124,武器!$1:$998,COLUMN(L$1),FALSE)+VLOOKUP($D124,素材!$1:$1016,COLUMN(I$1),FALSE))*100+IFERROR(VLOOKUP($CI124,装強!$1:$999,COLUMN(P$1),FALSE),0),"")</f>
        <v/>
      </c>
      <c r="Q124">
        <f>IFERROR(ROUNDUP(VLOOKUP($C124,武器!$1:$998,COLUMN(M$1),FALSE)*(VLOOKUP($D124,素材!$1:$1002,COLUMN(D$1),FALSE)/100),1),"")</f>
        <v>0</v>
      </c>
      <c r="R124">
        <f>IFERROR(ROUNDUP(VLOOKUP($C124,武器!$1:$998,COLUMN(N$1),FALSE)*(VLOOKUP($D124,素材!$1:$1002,COLUMN(D$1),FALSE)/100),1),"")</f>
        <v>0</v>
      </c>
      <c r="S124">
        <f>IFERROR(VLOOKUP($C124,武器!$1:$998,COLUMN(P$1),FALSE),"")</f>
        <v>0</v>
      </c>
      <c r="T124">
        <f>IFERROR(VLOOKUP($C124,武器!$1:$998,COLUMN(Q$1),FALSE),"")</f>
        <v>0</v>
      </c>
      <c r="U124">
        <f>IFERROR(VLOOKUP($C124,武器!$1:$998,COLUMN(R$1),FALSE),"")</f>
        <v>0</v>
      </c>
      <c r="V124">
        <f>IFERROR(VLOOKUP($C124,武器!$1:$998,COLUMN(Q$1),FALSE),"")</f>
        <v>0</v>
      </c>
      <c r="W124">
        <f>IFERROR(VLOOKUP($C124,武器!$1:$998,COLUMN(T$1),FALSE),"")</f>
        <v>0</v>
      </c>
      <c r="Y124">
        <f>IFERROR(VLOOKUP($C124,武器!$1:$998,COLUMN(U$1),FALSE),"")</f>
        <v>0</v>
      </c>
      <c r="Z124">
        <f>IFERROR(ROUNDUP(VLOOKUP($C124,武器!$1:$998,COLUMN(O$1),FALSE)*VLOOKUP($D124,素材!$1:$1016,COLUMN(E$1),FALSE),1),"")</f>
        <v>3</v>
      </c>
      <c r="AA124">
        <f>IF(ISNUMBER(SEARCH(SUBSTITUTE(AA$1,RIGHT(AA$1,2),""),VLOOKUP($D124,素材!$1:$1016,COLUMN($F$1),FALSE))),VLOOKUP($C124,武器!$1:$998,COLUMN($O$1),FALSE)*VLOOKUP($D124,素材!$1:$1016,COLUMN($E$1),FALSE)/(LEN(VLOOKUP($D124,素材!$1:$1016,COLUMN($F$1),FALSE)) - LEN(SUBSTITUTE(VLOOKUP($D124,素材!$1:$1016,COLUMN($F$1),FALSE), "・", 0)) + 1), 0)</f>
        <v>0</v>
      </c>
      <c r="AB124">
        <f>IF(ISNUMBER(SEARCH(SUBSTITUTE(AB$1,RIGHT(AB$1,2),""),VLOOKUP($D124,素材!$1:$1016,COLUMN($F$1),FALSE))),VLOOKUP($C124,武器!$1:$998,COLUMN($O$1),FALSE)*VLOOKUP($D124,素材!$1:$1016,COLUMN($E$1),FALSE)/(LEN(VLOOKUP($D124,素材!$1:$1016,COLUMN($F$1),FALSE)) - LEN(SUBSTITUTE(VLOOKUP($D124,素材!$1:$1016,COLUMN($F$1),FALSE), "・", 0)) + 1), 0)</f>
        <v>0</v>
      </c>
      <c r="AC124">
        <f>IF(ISNUMBER(SEARCH(SUBSTITUTE(AC$1,RIGHT(AC$1,2),""),VLOOKUP($D124,素材!$1:$1016,COLUMN($F$1),FALSE))),VLOOKUP($C124,武器!$1:$998,COLUMN($O$1),FALSE)*VLOOKUP($D124,素材!$1:$1016,COLUMN($E$1),FALSE)/(LEN(VLOOKUP($D124,素材!$1:$1016,COLUMN($F$1),FALSE)) - LEN(SUBSTITUTE(VLOOKUP($D124,素材!$1:$1016,COLUMN($F$1),FALSE), "・", 0)) + 1), 0)</f>
        <v>0</v>
      </c>
      <c r="AD124">
        <f>IF(ISNUMBER(SEARCH(SUBSTITUTE(AD$1,RIGHT(AD$1,2),""),VLOOKUP($D124,素材!$1:$1016,COLUMN($F$1),FALSE))),VLOOKUP($C124,武器!$1:$998,COLUMN($O$1),FALSE)*VLOOKUP($D124,素材!$1:$1016,COLUMN($E$1),FALSE)/(LEN(VLOOKUP($D124,素材!$1:$1016,COLUMN($F$1),FALSE)) - LEN(SUBSTITUTE(VLOOKUP($D124,素材!$1:$1016,COLUMN($F$1),FALSE), "・", 0)) + 1), 0)</f>
        <v>0</v>
      </c>
      <c r="AE124">
        <f>IF(ISNUMBER(SEARCH(SUBSTITUTE(AE$1,RIGHT(AE$1,2),""),VLOOKUP($D124,素材!$1:$1016,COLUMN($F$1),FALSE))),VLOOKUP($C124,武器!$1:$998,COLUMN($O$1),FALSE)*VLOOKUP($D124,素材!$1:$1016,COLUMN($E$1),FALSE)/(LEN(VLOOKUP($D124,素材!$1:$1016,COLUMN($F$1),FALSE)) - LEN(SUBSTITUTE(VLOOKUP($D124,素材!$1:$1016,COLUMN($F$1),FALSE), "・", 0)) + 1), 0)</f>
        <v>0</v>
      </c>
      <c r="AF124">
        <f>IF(ISNUMBER(SEARCH(SUBSTITUTE(AF$1,RIGHT(AF$1,2),""),VLOOKUP($D124,素材!$1:$1016,COLUMN($F$1),FALSE))),VLOOKUP($C124,武器!$1:$998,COLUMN($O$1),FALSE)*VLOOKUP($D124,素材!$1:$1016,COLUMN($E$1),FALSE)/(LEN(VLOOKUP($D124,素材!$1:$1016,COLUMN($F$1),FALSE)) - LEN(SUBSTITUTE(VLOOKUP($D124,素材!$1:$1016,COLUMN($F$1),FALSE), "・", 0)) + 1), 0)</f>
        <v>0</v>
      </c>
      <c r="AG124">
        <f>IF(ISNUMBER(SEARCH(SUBSTITUTE(AG$1,RIGHT(AG$1,2),""),VLOOKUP($D124,素材!$1:$1016,COLUMN($F$1),FALSE))),VLOOKUP($C124,武器!$1:$998,COLUMN($O$1),FALSE)*VLOOKUP($D124,素材!$1:$1016,COLUMN($E$1),FALSE)/(LEN(VLOOKUP($D124,素材!$1:$1016,COLUMN($F$1),FALSE)) - LEN(SUBSTITUTE(VLOOKUP($D124,素材!$1:$1016,COLUMN($F$1),FALSE), "・", 0)) + 1), 0)</f>
        <v>0</v>
      </c>
      <c r="AH124">
        <f>IF(ISNUMBER(SEARCH(SUBSTITUTE(AH$1,RIGHT(AH$1,2),""),VLOOKUP($D124,素材!$1:$1016,COLUMN($F$1),FALSE))),VLOOKUP($C124,武器!$1:$998,COLUMN($O$1),FALSE)*VLOOKUP($D124,素材!$1:$1016,COLUMN($E$1),FALSE)/(LEN(VLOOKUP($D124,素材!$1:$1016,COLUMN($F$1),FALSE)) - LEN(SUBSTITUTE(VLOOKUP($D124,素材!$1:$1016,COLUMN($F$1),FALSE), "・", 0)) + 1), 0)</f>
        <v>0</v>
      </c>
      <c r="AI124">
        <f>IF(ISNUMBER(SEARCH(SUBSTITUTE(AI$1,RIGHT(AI$1,2),""),VLOOKUP($D124,素材!$1:$1016,COLUMN($F$1),FALSE))),VLOOKUP($C124,武器!$1:$998,COLUMN($O$1),FALSE)*VLOOKUP($D124,素材!$1:$1016,COLUMN($E$1),FALSE)/(LEN(VLOOKUP($D124,素材!$1:$1016,COLUMN($F$1),FALSE)) - LEN(SUBSTITUTE(VLOOKUP($D124,素材!$1:$1016,COLUMN($F$1),FALSE), "・", 0)) + 1), 0)</f>
        <v>0</v>
      </c>
      <c r="AJ124">
        <f>IF(ISNUMBER(SEARCH(SUBSTITUTE(AJ$1,RIGHT(AJ$1,2),""),VLOOKUP($D124,素材!$1:$1016,COLUMN($F$1),FALSE))),VLOOKUP($C124,武器!$1:$998,COLUMN($O$1),FALSE)*VLOOKUP($D124,素材!$1:$1016,COLUMN($E$1),FALSE)/(LEN(VLOOKUP($D124,素材!$1:$1016,COLUMN($F$1),FALSE)) - LEN(SUBSTITUTE(VLOOKUP($D124,素材!$1:$1016,COLUMN($F$1),FALSE), "・", 0)) + 1), 0)</f>
        <v>0</v>
      </c>
      <c r="AK124">
        <f>IF(ISNUMBER(SEARCH(SUBSTITUTE(AK$1,RIGHT(AK$1,2),""),VLOOKUP($D124,素材!$1:$1016,COLUMN($F$1),FALSE))),VLOOKUP($C124,武器!$1:$998,COLUMN($O$1),FALSE)*VLOOKUP($D124,素材!$1:$1016,COLUMN($E$1),FALSE)/(LEN(VLOOKUP($D124,素材!$1:$1016,COLUMN($F$1),FALSE)) - LEN(SUBSTITUTE(VLOOKUP($D124,素材!$1:$1016,COLUMN($F$1),FALSE), "・", 0)) + 1), 0)</f>
        <v>0</v>
      </c>
      <c r="AL124">
        <f>IF(ISNUMBER(SEARCH(SUBSTITUTE(AL$1,RIGHT(AL$1,2),""),VLOOKUP($D124,素材!$1:$1016,COLUMN($F$1),FALSE))),VLOOKUP($C124,武器!$1:$998,COLUMN($O$1),FALSE)*VLOOKUP($D124,素材!$1:$1016,COLUMN($E$1),FALSE)/(LEN(VLOOKUP($D124,素材!$1:$1016,COLUMN($F$1),FALSE)) - LEN(SUBSTITUTE(VLOOKUP($D124,素材!$1:$1016,COLUMN($F$1),FALSE), "・", 0)) + 1), 0)</f>
        <v>0</v>
      </c>
      <c r="AM124">
        <f>IF(ISNUMBER(SEARCH(SUBSTITUTE(AM$1,RIGHT(AM$1,2),""),VLOOKUP($D124,素材!$1:$1016,COLUMN($F$1),FALSE))),VLOOKUP($C124,武器!$1:$998,COLUMN($O$1),FALSE)*VLOOKUP($D124,素材!$1:$1016,COLUMN($E$1),FALSE)/(LEN(VLOOKUP($D124,素材!$1:$1016,COLUMN($F$1),FALSE)) - LEN(SUBSTITUTE(VLOOKUP($D124,素材!$1:$1016,COLUMN($F$1),FALSE), "・", 0)) + 1), 0)</f>
        <v>0</v>
      </c>
      <c r="AN124">
        <f>IF(ISNUMBER(SEARCH(SUBSTITUTE(AN$1,RIGHT(AN$1,2),""),VLOOKUP($D124,素材!$1:$1016,COLUMN($F$1),FALSE))),VLOOKUP($C124,武器!$1:$998,COLUMN($O$1),FALSE)*VLOOKUP($D124,素材!$1:$1016,COLUMN($E$1),FALSE)/(LEN(VLOOKUP($D124,素材!$1:$1016,COLUMN($F$1),FALSE)) - LEN(SUBSTITUTE(VLOOKUP($D124,素材!$1:$1016,COLUMN($F$1),FALSE), "・", 0)) + 1), 0)</f>
        <v>0</v>
      </c>
      <c r="AO124">
        <f>IF(ISNUMBER(SEARCH(SUBSTITUTE(AO$1,RIGHT(AO$1,2),""),VLOOKUP($D124,素材!$1:$1016,COLUMN($F$1),FALSE))),VLOOKUP($C124,武器!$1:$998,COLUMN($O$1),FALSE)*VLOOKUP($D124,素材!$1:$1016,COLUMN($E$1),FALSE)/(LEN(VLOOKUP($D124,素材!$1:$1016,COLUMN($F$1),FALSE)) - LEN(SUBSTITUTE(VLOOKUP($D124,素材!$1:$1016,COLUMN($F$1),FALSE), "・", 0)) + 1), 0)</f>
        <v>0</v>
      </c>
      <c r="AP124">
        <f>IF(ISNUMBER(SEARCH(SUBSTITUTE(AP$1,RIGHT(AP$1,2),""),VLOOKUP($D124,素材!$1:$1016,COLUMN($F$1),FALSE))),VLOOKUP($C124,武器!$1:$998,COLUMN($O$1),FALSE)*VLOOKUP($D124,素材!$1:$1016,COLUMN($E$1),FALSE)/(LEN(VLOOKUP($D124,素材!$1:$1016,COLUMN($F$1),FALSE)) - LEN(SUBSTITUTE(VLOOKUP($D124,素材!$1:$1016,COLUMN($F$1),FALSE), "・", 0)) + 1), 0)</f>
        <v>0</v>
      </c>
      <c r="AQ124">
        <f>IF(ISNUMBER(SEARCH(SUBSTITUTE(AQ$1,RIGHT(AQ$1,2),""),VLOOKUP($D124,素材!$1:$1016,COLUMN($F$1),FALSE))),VLOOKUP($C124,武器!$1:$998,COLUMN($O$1),FALSE)*VLOOKUP($D124,素材!$1:$1016,COLUMN($E$1),FALSE)/(LEN(VLOOKUP($D124,素材!$1:$1016,COLUMN($F$1),FALSE)) - LEN(SUBSTITUTE(VLOOKUP($D124,素材!$1:$1016,COLUMN($F$1),FALSE), "・", 0)) + 1), 0)</f>
        <v>0</v>
      </c>
      <c r="AR124">
        <f>IF(ISNUMBER(SEARCH(SUBSTITUTE(AR$1,RIGHT(AR$1,2),""),VLOOKUP($D124,素材!$1:$1016,COLUMN($F$1),FALSE))),VLOOKUP($C124,武器!$1:$998,COLUMN($O$1),FALSE)*VLOOKUP($D124,素材!$1:$1016,COLUMN($E$1),FALSE)/(LEN(VLOOKUP($D124,素材!$1:$1016,COLUMN($F$1),FALSE)) - LEN(SUBSTITUTE(VLOOKUP($D124,素材!$1:$1016,COLUMN($F$1),FALSE), "・", 0)) + 1), 0)</f>
        <v>0</v>
      </c>
      <c r="AS124">
        <f>IF(ISNUMBER(SEARCH(SUBSTITUTE(AS$1,RIGHT(AS$1,2),""),VLOOKUP($D124,素材!$1:$1016,COLUMN($F$1),FALSE))),VLOOKUP($C124,武器!$1:$998,COLUMN($O$1),FALSE)*VLOOKUP($D124,素材!$1:$1016,COLUMN($E$1),FALSE)/(LEN(VLOOKUP($D124,素材!$1:$1016,COLUMN($F$1),FALSE)) - LEN(SUBSTITUTE(VLOOKUP($D124,素材!$1:$1016,COLUMN($F$1),FALSE), "・", 0)) + 1), 0)</f>
        <v>0</v>
      </c>
      <c r="AT124">
        <f>IF(ISNUMBER(SEARCH(SUBSTITUTE(AT$1,RIGHT(AT$1,2),""),VLOOKUP($D124,素材!$1:$1016,COLUMN($F$1),FALSE))),VLOOKUP($C124,武器!$1:$998,COLUMN($O$1),FALSE)*VLOOKUP($D124,素材!$1:$1016,COLUMN($E$1),FALSE)/(LEN(VLOOKUP($D124,素材!$1:$1016,COLUMN($F$1),FALSE)) - LEN(SUBSTITUTE(VLOOKUP($D124,素材!$1:$1016,COLUMN($F$1),FALSE), "・", 0)) + 1), 0)</f>
        <v>0</v>
      </c>
      <c r="AU124">
        <f>IF(ISNUMBER(SEARCH(SUBSTITUTE(AU$1,RIGHT(AU$1,2),""),VLOOKUP($D124,素材!$1:$1016,COLUMN($F$1),FALSE))),VLOOKUP($C124,武器!$1:$998,COLUMN($O$1),FALSE)*VLOOKUP($D124,素材!$1:$1016,COLUMN($E$1),FALSE)/(LEN(VLOOKUP($D124,素材!$1:$1016,COLUMN($F$1),FALSE)) - LEN(SUBSTITUTE(VLOOKUP($D124,素材!$1:$1016,COLUMN($F$1),FALSE), "・", 0)) + 1), 0)</f>
        <v>0</v>
      </c>
      <c r="AV124">
        <f>IF(ISNUMBER(SEARCH(SUBSTITUTE(AV$1,RIGHT(AV$1,2),""),VLOOKUP($D124,素材!$1:$1016,COLUMN($F$1),FALSE))),VLOOKUP($C124,武器!$1:$998,COLUMN($O$1),FALSE)*VLOOKUP($D124,素材!$1:$1016,COLUMN($E$1),FALSE)/(LEN(VLOOKUP($D124,素材!$1:$1016,COLUMN($F$1),FALSE)) - LEN(SUBSTITUTE(VLOOKUP($D124,素材!$1:$1016,COLUMN($F$1),FALSE), "・", 0)) + 1), 0)</f>
        <v>0</v>
      </c>
      <c r="AW124">
        <f>IF(ISNUMBER(SEARCH(SUBSTITUTE(AW$1,RIGHT(AW$1,2),""),VLOOKUP($D124,素材!$1:$1016,COLUMN($F$1),FALSE))),VLOOKUP($C124,武器!$1:$998,COLUMN($O$1),FALSE)*VLOOKUP($D124,素材!$1:$1016,COLUMN($E$1),FALSE)/(LEN(VLOOKUP($D124,素材!$1:$1016,COLUMN($F$1),FALSE)) - LEN(SUBSTITUTE(VLOOKUP($D124,素材!$1:$1016,COLUMN($F$1),FALSE), "・", 0)) + 1), 0)</f>
        <v>0</v>
      </c>
      <c r="AX124">
        <f>IF(ISNUMBER(SEARCH(SUBSTITUTE(AX$1,RIGHT(AX$1,2),""),VLOOKUP($D124,素材!$1:$1016,COLUMN($F$1),FALSE))),VLOOKUP($C124,武器!$1:$998,COLUMN($O$1),FALSE)*VLOOKUP($D124,素材!$1:$1016,COLUMN($E$1),FALSE)/(LEN(VLOOKUP($D124,素材!$1:$1016,COLUMN($F$1),FALSE)) - LEN(SUBSTITUTE(VLOOKUP($D124,素材!$1:$1016,COLUMN($F$1),FALSE), "・", 0)) + 1), 0)</f>
        <v>0</v>
      </c>
      <c r="AY124">
        <f>IF(ISNUMBER(SEARCH(SUBSTITUTE(AY$1,RIGHT(AY$1,2),""),VLOOKUP($D124,素材!$1:$1016,COLUMN($F$1),FALSE))),VLOOKUP($C124,武器!$1:$998,COLUMN($O$1),FALSE)*VLOOKUP($D124,素材!$1:$1016,COLUMN($E$1),FALSE)/(LEN(VLOOKUP($D124,素材!$1:$1016,COLUMN($F$1),FALSE)) - LEN(SUBSTITUTE(VLOOKUP($D124,素材!$1:$1016,COLUMN($F$1),FALSE), "・", 0)) + 1), 0)</f>
        <v>0</v>
      </c>
      <c r="AZ124">
        <f>IF(ISNUMBER(SEARCH(SUBSTITUTE(AZ$1,RIGHT(AZ$1,2),""),VLOOKUP($D124,素材!$1:$1016,COLUMN($F$1),FALSE))),VLOOKUP($C124,武器!$1:$998,COLUMN($O$1),FALSE)*VLOOKUP($D124,素材!$1:$1016,COLUMN($E$1),FALSE)/(LEN(VLOOKUP($D124,素材!$1:$1016,COLUMN($F$1),FALSE)) - LEN(SUBSTITUTE(VLOOKUP($D124,素材!$1:$1016,COLUMN($F$1),FALSE), "・", 0)) + 1), 0)</f>
        <v>0</v>
      </c>
      <c r="BA124">
        <f>IF(ISNUMBER(SEARCH(SUBSTITUTE(BA$1,RIGHT(BA$1,2),""),VLOOKUP($D124,素材!$1:$1016,COLUMN($F$1),FALSE))),VLOOKUP($C124,武器!$1:$998,COLUMN($O$1),FALSE)*VLOOKUP($D124,素材!$1:$1016,COLUMN($E$1),FALSE)/(LEN(VLOOKUP($D124,素材!$1:$1016,COLUMN($F$1),FALSE)) - LEN(SUBSTITUTE(VLOOKUP($D124,素材!$1:$1016,COLUMN($F$1),FALSE), "・", 0)) + 1), 0)</f>
        <v>0</v>
      </c>
      <c r="BB124">
        <f>IF(ISNUMBER(SEARCH(SUBSTITUTE(BB$1,RIGHT(BB$1,2),""),VLOOKUP($D124,素材!$1:$1016,COLUMN($F$1),FALSE))),VLOOKUP($C124,武器!$1:$998,COLUMN($O$1),FALSE)*VLOOKUP($D124,素材!$1:$1016,COLUMN($E$1),FALSE)/(LEN(VLOOKUP($D124,素材!$1:$1016,COLUMN($F$1),FALSE)) - LEN(SUBSTITUTE(VLOOKUP($D124,素材!$1:$1016,COLUMN($F$1),FALSE), "・", 0)) + 1), 0)</f>
        <v>0</v>
      </c>
      <c r="BC124">
        <f>IF(ISNUMBER(SEARCH(SUBSTITUTE(BC$1,RIGHT(BC$1,2),""),VLOOKUP($D124,素材!$1:$1016,COLUMN($F$1),FALSE))),VLOOKUP($C124,武器!$1:$998,COLUMN($O$1),FALSE)*VLOOKUP($D124,素材!$1:$1016,COLUMN($E$1),FALSE)/(LEN(VLOOKUP($D124,素材!$1:$1016,COLUMN($F$1),FALSE)) - LEN(SUBSTITUTE(VLOOKUP($D124,素材!$1:$1016,COLUMN($F$1),FALSE), "・", 0)) + 1), 0)</f>
        <v>0</v>
      </c>
      <c r="BD124">
        <f>IF(ISNUMBER(SEARCH(SUBSTITUTE(BD$1,RIGHT(BD$1,2),""),VLOOKUP($D124,素材!$1:$1016,COLUMN($F$1),FALSE))),VLOOKUP($C124,武器!$1:$998,COLUMN($O$1),FALSE)*VLOOKUP($D124,素材!$1:$1016,COLUMN($E$1),FALSE)/(LEN(VLOOKUP($D124,素材!$1:$1016,COLUMN($F$1),FALSE)) - LEN(SUBSTITUTE(VLOOKUP($D124,素材!$1:$1016,COLUMN($F$1),FALSE), "・", 0)) + 1), 0)</f>
        <v>0</v>
      </c>
      <c r="BE124">
        <f>IF(ISNUMBER(SEARCH(SUBSTITUTE(BE$1,RIGHT(BE$1,2),""),VLOOKUP($D124,素材!$1:$1016,COLUMN($F$1),FALSE))),VLOOKUP($C124,武器!$1:$998,COLUMN($O$1),FALSE)*VLOOKUP($D124,素材!$1:$1016,COLUMN($E$1),FALSE)/(LEN(VLOOKUP($D124,素材!$1:$1016,COLUMN($F$1),FALSE)) - LEN(SUBSTITUTE(VLOOKUP($D124,素材!$1:$1016,COLUMN($F$1),FALSE), "・", 0)) + 1), 0)</f>
        <v>0</v>
      </c>
      <c r="CL124">
        <f>SUM(G124:I124)</f>
        <v>0</v>
      </c>
      <c r="CM124" s="22" t="str">
        <f>IF(E124="武器",IF(J124-1&gt;SUM(G124:I124),"盾",IF(MAX(G124:I124)=G124,"切断",IF(MAX(G124:I124)=H124,"貫通",IF(MAX(G124:I124)=I124,"打撃","射撃")))),E124)&amp;".webp"</f>
        <v>体.webp</v>
      </c>
      <c r="CN124">
        <f>IFERROR(VLOOKUP($C124,武器!$1:$998,COLUMN(V$1),FALSE)*VLOOKUP($D124,素材!$1:$1016,COLUMN(N$1),FALSE)+IF(CI124="",0,VLOOKUP($CI124,装強!$1:$1008,COLUMN($CK$1),FALSE)),"")</f>
        <v>400</v>
      </c>
      <c r="CO124" t="str">
        <f>VLOOKUP(D124,素材!$A:$O,COLUMN(素材!O$1),FALSE)</f>
        <v>野生動物から得られる丈夫な皮素材。皮装備の性能を向上させ、基本的な防護性能を備えています。</v>
      </c>
      <c r="CP124" t="str">
        <f>VLOOKUP(C124,武器!$A:$W,COLUMN(武器!W$1),FALSE)</f>
        <v>HP 物理 魔法 体幹 出血 疲労 Cr</v>
      </c>
      <c r="CR124" t="str">
        <f t="shared" si="5"/>
        <v>e_124</v>
      </c>
      <c r="CS124">
        <f t="shared" si="6"/>
        <v>40000</v>
      </c>
    </row>
    <row r="125" spans="1:97" ht="23.25" customHeight="1" outlineLevel="1" x14ac:dyDescent="0.4">
      <c r="A125" t="str">
        <f t="shared" si="7"/>
        <v>獣皮の鎧</v>
      </c>
      <c r="B125" t="str">
        <f>IFERROR(VLOOKUP($D125,素材!$1:$1016,COLUMN($B$1),FALSE)&amp;"・"&amp;VLOOKUP($C125,武器!$1:$998,COLUMN(B$1),FALSE),"")</f>
        <v>ビーストレザー・アーマー</v>
      </c>
      <c r="C125" t="s">
        <v>208</v>
      </c>
      <c r="D125" s="24" t="s">
        <v>251</v>
      </c>
      <c r="E125" t="str">
        <f>IFERROR(VLOOKUP(C125,武器!$1:$998,COLUMN(C$1),FALSE),"")</f>
        <v>体</v>
      </c>
      <c r="F125">
        <f>IFERROR(ROUNDDOWN((VLOOKUP($C125,武器!$1:$998,COLUMN(D$1),FALSE)+IFERROR(VLOOKUP($CI125,装強!$1:$999,COLUMN(F$1),FALSE),0))*VLOOKUP($D125,素材!$1:$1016,COLUMN(D$1),FALSE),0),"")</f>
        <v>0</v>
      </c>
      <c r="G125">
        <f>IFERROR(ROUNDDOWN((VLOOKUP($C125,武器!$1:$998,COLUMN(E$1),FALSE)+IFERROR(VLOOKUP($CI125,装強!$1:$999,COLUMN(G$1),FALSE),0))*VLOOKUP($D125,素材!$1:$1016,COLUMN($E$1),FALSE),0),"")</f>
        <v>0</v>
      </c>
      <c r="H125">
        <f>IFERROR(ROUNDDOWN((VLOOKUP($C125,武器!$1:$998,COLUMN(F$1),FALSE)+IFERROR(VLOOKUP($CI125,装強!$1:$999,COLUMN(H$1),FALSE),0))*VLOOKUP($D125,素材!$1:$1016,COLUMN($E$1),FALSE),0),"")</f>
        <v>0</v>
      </c>
      <c r="I125">
        <f>IFERROR(ROUNDDOWN((VLOOKUP($C125,武器!$1:$998,COLUMN(G$1),FALSE)+IFERROR(VLOOKUP($CI125,装強!$1:$999,COLUMN(I$1),FALSE),0))*VLOOKUP($D125,素材!$1:$1016,COLUMN($E$1),FALSE),0),"")</f>
        <v>0</v>
      </c>
      <c r="J125">
        <f>IFERROR(ROUNDDOWN((VLOOKUP($C125,武器!$1:$998,COLUMN(H$1),FALSE)+IFERROR(VLOOKUP($CI125,装強!$1:$999,COLUMN(J$1),FALSE),0))*VLOOKUP($D125,素材!$1:$1016,COLUMN($E$1),FALSE),0),"")</f>
        <v>0</v>
      </c>
      <c r="K125">
        <f>IFERROR(ROUNDDOWN((VLOOKUP($C125,武器!$1:$998,COLUMN(I$1),FALSE)+IFERROR(VLOOKUP($CI125,装強!$1:$999,COLUMN(K$1),FALSE),0))*VLOOKUP($D125,素材!$1:$1016,COLUMN($E$1),FALSE),0),"")</f>
        <v>0</v>
      </c>
      <c r="L125" t="str">
        <f>IFERROR(VLOOKUP($D125,素材!$1:$1016,COLUMN($F$1),FALSE),"")</f>
        <v>-</v>
      </c>
      <c r="M125" t="str">
        <f>IFERROR(VLOOKUP($C125,武器!$1:$998,COLUMN(AA$1),FALSE)*VLOOKUP($D125,素材!$1:$1016,COLUMN($G$1),FALSE),"")</f>
        <v/>
      </c>
      <c r="N125">
        <f>IFERROR(VLOOKUP($C125,武器!$1:$998,COLUMN(I$1),FALSE),"")</f>
        <v>0</v>
      </c>
      <c r="O125" s="23" t="str">
        <f>IFERROR((VLOOKUP($C125,武器!$1:$998,COLUMN(K$1),FALSE)+VLOOKUP($D125,素材!$1:$1016,COLUMN(H$1),FALSE))*100+IFERROR(VLOOKUP($CI125,装強!$1:$999,COLUMN(O$1),FALSE),0),"")</f>
        <v/>
      </c>
      <c r="P125" s="23" t="str">
        <f>IFERROR((VLOOKUP($C125,武器!$1:$998,COLUMN(L$1),FALSE)+VLOOKUP($D125,素材!$1:$1016,COLUMN(I$1),FALSE))*100+IFERROR(VLOOKUP($CI125,装強!$1:$999,COLUMN(P$1),FALSE),0),"")</f>
        <v/>
      </c>
      <c r="Q125">
        <f>IFERROR(ROUNDUP(VLOOKUP($C125,武器!$1:$998,COLUMN(M$1),FALSE)*(VLOOKUP($D125,素材!$1:$1002,COLUMN(D$1),FALSE)/100),1),"")</f>
        <v>-6</v>
      </c>
      <c r="R125">
        <f>IFERROR(ROUNDUP(VLOOKUP($C125,武器!$1:$998,COLUMN(N$1),FALSE)*(VLOOKUP($D125,素材!$1:$1002,COLUMN(D$1),FALSE)/100),1),"")</f>
        <v>0</v>
      </c>
      <c r="S125">
        <f>IFERROR(VLOOKUP($C125,武器!$1:$998,COLUMN(P$1),FALSE),"")</f>
        <v>0</v>
      </c>
      <c r="T125">
        <f>IFERROR(VLOOKUP($C125,武器!$1:$998,COLUMN(Q$1),FALSE),"")</f>
        <v>0</v>
      </c>
      <c r="U125">
        <f>IFERROR(VLOOKUP($C125,武器!$1:$998,COLUMN(R$1),FALSE),"")</f>
        <v>0</v>
      </c>
      <c r="V125">
        <f>IFERROR(VLOOKUP($C125,武器!$1:$998,COLUMN(Q$1),FALSE),"")</f>
        <v>0</v>
      </c>
      <c r="W125">
        <f>IFERROR(VLOOKUP($C125,武器!$1:$998,COLUMN(T$1),FALSE),"")</f>
        <v>0</v>
      </c>
      <c r="Y125">
        <f>IFERROR(VLOOKUP($C125,武器!$1:$998,COLUMN(U$1),FALSE),"")</f>
        <v>0</v>
      </c>
      <c r="Z125">
        <f>IFERROR(ROUNDUP(VLOOKUP($C125,武器!$1:$998,COLUMN(O$1),FALSE)*VLOOKUP($D125,素材!$1:$1016,COLUMN(E$1),FALSE),1),"")</f>
        <v>10.5</v>
      </c>
      <c r="AA125">
        <f>IF(ISNUMBER(SEARCH(SUBSTITUTE(AA$1,RIGHT(AA$1,2),""),VLOOKUP($D125,素材!$1:$1016,COLUMN($F$1),FALSE))),VLOOKUP($C125,武器!$1:$998,COLUMN($O$1),FALSE)*VLOOKUP($D125,素材!$1:$1016,COLUMN($E$1),FALSE)/(LEN(VLOOKUP($D125,素材!$1:$1016,COLUMN($F$1),FALSE)) - LEN(SUBSTITUTE(VLOOKUP($D125,素材!$1:$1016,COLUMN($F$1),FALSE), "・", 0)) + 1), 0)</f>
        <v>0</v>
      </c>
      <c r="AB125">
        <f>IF(ISNUMBER(SEARCH(SUBSTITUTE(AB$1,RIGHT(AB$1,2),""),VLOOKUP($D125,素材!$1:$1016,COLUMN($F$1),FALSE))),VLOOKUP($C125,武器!$1:$998,COLUMN($O$1),FALSE)*VLOOKUP($D125,素材!$1:$1016,COLUMN($E$1),FALSE)/(LEN(VLOOKUP($D125,素材!$1:$1016,COLUMN($F$1),FALSE)) - LEN(SUBSTITUTE(VLOOKUP($D125,素材!$1:$1016,COLUMN($F$1),FALSE), "・", 0)) + 1), 0)</f>
        <v>0</v>
      </c>
      <c r="AC125">
        <f>IF(ISNUMBER(SEARCH(SUBSTITUTE(AC$1,RIGHT(AC$1,2),""),VLOOKUP($D125,素材!$1:$1016,COLUMN($F$1),FALSE))),VLOOKUP($C125,武器!$1:$998,COLUMN($O$1),FALSE)*VLOOKUP($D125,素材!$1:$1016,COLUMN($E$1),FALSE)/(LEN(VLOOKUP($D125,素材!$1:$1016,COLUMN($F$1),FALSE)) - LEN(SUBSTITUTE(VLOOKUP($D125,素材!$1:$1016,COLUMN($F$1),FALSE), "・", 0)) + 1), 0)</f>
        <v>0</v>
      </c>
      <c r="AD125">
        <f>IF(ISNUMBER(SEARCH(SUBSTITUTE(AD$1,RIGHT(AD$1,2),""),VLOOKUP($D125,素材!$1:$1016,COLUMN($F$1),FALSE))),VLOOKUP($C125,武器!$1:$998,COLUMN($O$1),FALSE)*VLOOKUP($D125,素材!$1:$1016,COLUMN($E$1),FALSE)/(LEN(VLOOKUP($D125,素材!$1:$1016,COLUMN($F$1),FALSE)) - LEN(SUBSTITUTE(VLOOKUP($D125,素材!$1:$1016,COLUMN($F$1),FALSE), "・", 0)) + 1), 0)</f>
        <v>0</v>
      </c>
      <c r="AE125">
        <f>IF(ISNUMBER(SEARCH(SUBSTITUTE(AE$1,RIGHT(AE$1,2),""),VLOOKUP($D125,素材!$1:$1016,COLUMN($F$1),FALSE))),VLOOKUP($C125,武器!$1:$998,COLUMN($O$1),FALSE)*VLOOKUP($D125,素材!$1:$1016,COLUMN($E$1),FALSE)/(LEN(VLOOKUP($D125,素材!$1:$1016,COLUMN($F$1),FALSE)) - LEN(SUBSTITUTE(VLOOKUP($D125,素材!$1:$1016,COLUMN($F$1),FALSE), "・", 0)) + 1), 0)</f>
        <v>0</v>
      </c>
      <c r="AF125">
        <f>IF(ISNUMBER(SEARCH(SUBSTITUTE(AF$1,RIGHT(AF$1,2),""),VLOOKUP($D125,素材!$1:$1016,COLUMN($F$1),FALSE))),VLOOKUP($C125,武器!$1:$998,COLUMN($O$1),FALSE)*VLOOKUP($D125,素材!$1:$1016,COLUMN($E$1),FALSE)/(LEN(VLOOKUP($D125,素材!$1:$1016,COLUMN($F$1),FALSE)) - LEN(SUBSTITUTE(VLOOKUP($D125,素材!$1:$1016,COLUMN($F$1),FALSE), "・", 0)) + 1), 0)</f>
        <v>0</v>
      </c>
      <c r="AG125">
        <f>IF(ISNUMBER(SEARCH(SUBSTITUTE(AG$1,RIGHT(AG$1,2),""),VLOOKUP($D125,素材!$1:$1016,COLUMN($F$1),FALSE))),VLOOKUP($C125,武器!$1:$998,COLUMN($O$1),FALSE)*VLOOKUP($D125,素材!$1:$1016,COLUMN($E$1),FALSE)/(LEN(VLOOKUP($D125,素材!$1:$1016,COLUMN($F$1),FALSE)) - LEN(SUBSTITUTE(VLOOKUP($D125,素材!$1:$1016,COLUMN($F$1),FALSE), "・", 0)) + 1), 0)</f>
        <v>0</v>
      </c>
      <c r="AH125">
        <f>IF(ISNUMBER(SEARCH(SUBSTITUTE(AH$1,RIGHT(AH$1,2),""),VLOOKUP($D125,素材!$1:$1016,COLUMN($F$1),FALSE))),VLOOKUP($C125,武器!$1:$998,COLUMN($O$1),FALSE)*VLOOKUP($D125,素材!$1:$1016,COLUMN($E$1),FALSE)/(LEN(VLOOKUP($D125,素材!$1:$1016,COLUMN($F$1),FALSE)) - LEN(SUBSTITUTE(VLOOKUP($D125,素材!$1:$1016,COLUMN($F$1),FALSE), "・", 0)) + 1), 0)</f>
        <v>0</v>
      </c>
      <c r="AI125">
        <f>IF(ISNUMBER(SEARCH(SUBSTITUTE(AI$1,RIGHT(AI$1,2),""),VLOOKUP($D125,素材!$1:$1016,COLUMN($F$1),FALSE))),VLOOKUP($C125,武器!$1:$998,COLUMN($O$1),FALSE)*VLOOKUP($D125,素材!$1:$1016,COLUMN($E$1),FALSE)/(LEN(VLOOKUP($D125,素材!$1:$1016,COLUMN($F$1),FALSE)) - LEN(SUBSTITUTE(VLOOKUP($D125,素材!$1:$1016,COLUMN($F$1),FALSE), "・", 0)) + 1), 0)</f>
        <v>0</v>
      </c>
      <c r="AJ125">
        <f>IF(ISNUMBER(SEARCH(SUBSTITUTE(AJ$1,RIGHT(AJ$1,2),""),VLOOKUP($D125,素材!$1:$1016,COLUMN($F$1),FALSE))),VLOOKUP($C125,武器!$1:$998,COLUMN($O$1),FALSE)*VLOOKUP($D125,素材!$1:$1016,COLUMN($E$1),FALSE)/(LEN(VLOOKUP($D125,素材!$1:$1016,COLUMN($F$1),FALSE)) - LEN(SUBSTITUTE(VLOOKUP($D125,素材!$1:$1016,COLUMN($F$1),FALSE), "・", 0)) + 1), 0)</f>
        <v>0</v>
      </c>
      <c r="AK125">
        <f>IF(ISNUMBER(SEARCH(SUBSTITUTE(AK$1,RIGHT(AK$1,2),""),VLOOKUP($D125,素材!$1:$1016,COLUMN($F$1),FALSE))),VLOOKUP($C125,武器!$1:$998,COLUMN($O$1),FALSE)*VLOOKUP($D125,素材!$1:$1016,COLUMN($E$1),FALSE)/(LEN(VLOOKUP($D125,素材!$1:$1016,COLUMN($F$1),FALSE)) - LEN(SUBSTITUTE(VLOOKUP($D125,素材!$1:$1016,COLUMN($F$1),FALSE), "・", 0)) + 1), 0)</f>
        <v>0</v>
      </c>
      <c r="AL125">
        <f>IF(ISNUMBER(SEARCH(SUBSTITUTE(AL$1,RIGHT(AL$1,2),""),VLOOKUP($D125,素材!$1:$1016,COLUMN($F$1),FALSE))),VLOOKUP($C125,武器!$1:$998,COLUMN($O$1),FALSE)*VLOOKUP($D125,素材!$1:$1016,COLUMN($E$1),FALSE)/(LEN(VLOOKUP($D125,素材!$1:$1016,COLUMN($F$1),FALSE)) - LEN(SUBSTITUTE(VLOOKUP($D125,素材!$1:$1016,COLUMN($F$1),FALSE), "・", 0)) + 1), 0)</f>
        <v>0</v>
      </c>
      <c r="AM125">
        <f>IF(ISNUMBER(SEARCH(SUBSTITUTE(AM$1,RIGHT(AM$1,2),""),VLOOKUP($D125,素材!$1:$1016,COLUMN($F$1),FALSE))),VLOOKUP($C125,武器!$1:$998,COLUMN($O$1),FALSE)*VLOOKUP($D125,素材!$1:$1016,COLUMN($E$1),FALSE)/(LEN(VLOOKUP($D125,素材!$1:$1016,COLUMN($F$1),FALSE)) - LEN(SUBSTITUTE(VLOOKUP($D125,素材!$1:$1016,COLUMN($F$1),FALSE), "・", 0)) + 1), 0)</f>
        <v>0</v>
      </c>
      <c r="AN125">
        <f>IF(ISNUMBER(SEARCH(SUBSTITUTE(AN$1,RIGHT(AN$1,2),""),VLOOKUP($D125,素材!$1:$1016,COLUMN($F$1),FALSE))),VLOOKUP($C125,武器!$1:$998,COLUMN($O$1),FALSE)*VLOOKUP($D125,素材!$1:$1016,COLUMN($E$1),FALSE)/(LEN(VLOOKUP($D125,素材!$1:$1016,COLUMN($F$1),FALSE)) - LEN(SUBSTITUTE(VLOOKUP($D125,素材!$1:$1016,COLUMN($F$1),FALSE), "・", 0)) + 1), 0)</f>
        <v>0</v>
      </c>
      <c r="AO125">
        <f>IF(ISNUMBER(SEARCH(SUBSTITUTE(AO$1,RIGHT(AO$1,2),""),VLOOKUP($D125,素材!$1:$1016,COLUMN($F$1),FALSE))),VLOOKUP($C125,武器!$1:$998,COLUMN($O$1),FALSE)*VLOOKUP($D125,素材!$1:$1016,COLUMN($E$1),FALSE)/(LEN(VLOOKUP($D125,素材!$1:$1016,COLUMN($F$1),FALSE)) - LEN(SUBSTITUTE(VLOOKUP($D125,素材!$1:$1016,COLUMN($F$1),FALSE), "・", 0)) + 1), 0)</f>
        <v>0</v>
      </c>
      <c r="AP125">
        <f>IF(ISNUMBER(SEARCH(SUBSTITUTE(AP$1,RIGHT(AP$1,2),""),VLOOKUP($D125,素材!$1:$1016,COLUMN($F$1),FALSE))),VLOOKUP($C125,武器!$1:$998,COLUMN($O$1),FALSE)*VLOOKUP($D125,素材!$1:$1016,COLUMN($E$1),FALSE)/(LEN(VLOOKUP($D125,素材!$1:$1016,COLUMN($F$1),FALSE)) - LEN(SUBSTITUTE(VLOOKUP($D125,素材!$1:$1016,COLUMN($F$1),FALSE), "・", 0)) + 1), 0)</f>
        <v>0</v>
      </c>
      <c r="AQ125">
        <f>IF(ISNUMBER(SEARCH(SUBSTITUTE(AQ$1,RIGHT(AQ$1,2),""),VLOOKUP($D125,素材!$1:$1016,COLUMN($F$1),FALSE))),VLOOKUP($C125,武器!$1:$998,COLUMN($O$1),FALSE)*VLOOKUP($D125,素材!$1:$1016,COLUMN($E$1),FALSE)/(LEN(VLOOKUP($D125,素材!$1:$1016,COLUMN($F$1),FALSE)) - LEN(SUBSTITUTE(VLOOKUP($D125,素材!$1:$1016,COLUMN($F$1),FALSE), "・", 0)) + 1), 0)</f>
        <v>0</v>
      </c>
      <c r="AR125">
        <f>IF(ISNUMBER(SEARCH(SUBSTITUTE(AR$1,RIGHT(AR$1,2),""),VLOOKUP($D125,素材!$1:$1016,COLUMN($F$1),FALSE))),VLOOKUP($C125,武器!$1:$998,COLUMN($O$1),FALSE)*VLOOKUP($D125,素材!$1:$1016,COLUMN($E$1),FALSE)/(LEN(VLOOKUP($D125,素材!$1:$1016,COLUMN($F$1),FALSE)) - LEN(SUBSTITUTE(VLOOKUP($D125,素材!$1:$1016,COLUMN($F$1),FALSE), "・", 0)) + 1), 0)</f>
        <v>0</v>
      </c>
      <c r="AS125">
        <f>IF(ISNUMBER(SEARCH(SUBSTITUTE(AS$1,RIGHT(AS$1,2),""),VLOOKUP($D125,素材!$1:$1016,COLUMN($F$1),FALSE))),VLOOKUP($C125,武器!$1:$998,COLUMN($O$1),FALSE)*VLOOKUP($D125,素材!$1:$1016,COLUMN($E$1),FALSE)/(LEN(VLOOKUP($D125,素材!$1:$1016,COLUMN($F$1),FALSE)) - LEN(SUBSTITUTE(VLOOKUP($D125,素材!$1:$1016,COLUMN($F$1),FALSE), "・", 0)) + 1), 0)</f>
        <v>0</v>
      </c>
      <c r="AT125">
        <f>IF(ISNUMBER(SEARCH(SUBSTITUTE(AT$1,RIGHT(AT$1,2),""),VLOOKUP($D125,素材!$1:$1016,COLUMN($F$1),FALSE))),VLOOKUP($C125,武器!$1:$998,COLUMN($O$1),FALSE)*VLOOKUP($D125,素材!$1:$1016,COLUMN($E$1),FALSE)/(LEN(VLOOKUP($D125,素材!$1:$1016,COLUMN($F$1),FALSE)) - LEN(SUBSTITUTE(VLOOKUP($D125,素材!$1:$1016,COLUMN($F$1),FALSE), "・", 0)) + 1), 0)</f>
        <v>0</v>
      </c>
      <c r="AU125">
        <f>IF(ISNUMBER(SEARCH(SUBSTITUTE(AU$1,RIGHT(AU$1,2),""),VLOOKUP($D125,素材!$1:$1016,COLUMN($F$1),FALSE))),VLOOKUP($C125,武器!$1:$998,COLUMN($O$1),FALSE)*VLOOKUP($D125,素材!$1:$1016,COLUMN($E$1),FALSE)/(LEN(VLOOKUP($D125,素材!$1:$1016,COLUMN($F$1),FALSE)) - LEN(SUBSTITUTE(VLOOKUP($D125,素材!$1:$1016,COLUMN($F$1),FALSE), "・", 0)) + 1), 0)</f>
        <v>0</v>
      </c>
      <c r="AV125">
        <f>IF(ISNUMBER(SEARCH(SUBSTITUTE(AV$1,RIGHT(AV$1,2),""),VLOOKUP($D125,素材!$1:$1016,COLUMN($F$1),FALSE))),VLOOKUP($C125,武器!$1:$998,COLUMN($O$1),FALSE)*VLOOKUP($D125,素材!$1:$1016,COLUMN($E$1),FALSE)/(LEN(VLOOKUP($D125,素材!$1:$1016,COLUMN($F$1),FALSE)) - LEN(SUBSTITUTE(VLOOKUP($D125,素材!$1:$1016,COLUMN($F$1),FALSE), "・", 0)) + 1), 0)</f>
        <v>0</v>
      </c>
      <c r="AW125">
        <f>IF(ISNUMBER(SEARCH(SUBSTITUTE(AW$1,RIGHT(AW$1,2),""),VLOOKUP($D125,素材!$1:$1016,COLUMN($F$1),FALSE))),VLOOKUP($C125,武器!$1:$998,COLUMN($O$1),FALSE)*VLOOKUP($D125,素材!$1:$1016,COLUMN($E$1),FALSE)/(LEN(VLOOKUP($D125,素材!$1:$1016,COLUMN($F$1),FALSE)) - LEN(SUBSTITUTE(VLOOKUP($D125,素材!$1:$1016,COLUMN($F$1),FALSE), "・", 0)) + 1), 0)</f>
        <v>0</v>
      </c>
      <c r="AX125">
        <f>IF(ISNUMBER(SEARCH(SUBSTITUTE(AX$1,RIGHT(AX$1,2),""),VLOOKUP($D125,素材!$1:$1016,COLUMN($F$1),FALSE))),VLOOKUP($C125,武器!$1:$998,COLUMN($O$1),FALSE)*VLOOKUP($D125,素材!$1:$1016,COLUMN($E$1),FALSE)/(LEN(VLOOKUP($D125,素材!$1:$1016,COLUMN($F$1),FALSE)) - LEN(SUBSTITUTE(VLOOKUP($D125,素材!$1:$1016,COLUMN($F$1),FALSE), "・", 0)) + 1), 0)</f>
        <v>0</v>
      </c>
      <c r="AY125">
        <f>IF(ISNUMBER(SEARCH(SUBSTITUTE(AY$1,RIGHT(AY$1,2),""),VLOOKUP($D125,素材!$1:$1016,COLUMN($F$1),FALSE))),VLOOKUP($C125,武器!$1:$998,COLUMN($O$1),FALSE)*VLOOKUP($D125,素材!$1:$1016,COLUMN($E$1),FALSE)/(LEN(VLOOKUP($D125,素材!$1:$1016,COLUMN($F$1),FALSE)) - LEN(SUBSTITUTE(VLOOKUP($D125,素材!$1:$1016,COLUMN($F$1),FALSE), "・", 0)) + 1), 0)</f>
        <v>0</v>
      </c>
      <c r="AZ125">
        <f>IF(ISNUMBER(SEARCH(SUBSTITUTE(AZ$1,RIGHT(AZ$1,2),""),VLOOKUP($D125,素材!$1:$1016,COLUMN($F$1),FALSE))),VLOOKUP($C125,武器!$1:$998,COLUMN($O$1),FALSE)*VLOOKUP($D125,素材!$1:$1016,COLUMN($E$1),FALSE)/(LEN(VLOOKUP($D125,素材!$1:$1016,COLUMN($F$1),FALSE)) - LEN(SUBSTITUTE(VLOOKUP($D125,素材!$1:$1016,COLUMN($F$1),FALSE), "・", 0)) + 1), 0)</f>
        <v>0</v>
      </c>
      <c r="BA125">
        <f>IF(ISNUMBER(SEARCH(SUBSTITUTE(BA$1,RIGHT(BA$1,2),""),VLOOKUP($D125,素材!$1:$1016,COLUMN($F$1),FALSE))),VLOOKUP($C125,武器!$1:$998,COLUMN($O$1),FALSE)*VLOOKUP($D125,素材!$1:$1016,COLUMN($E$1),FALSE)/(LEN(VLOOKUP($D125,素材!$1:$1016,COLUMN($F$1),FALSE)) - LEN(SUBSTITUTE(VLOOKUP($D125,素材!$1:$1016,COLUMN($F$1),FALSE), "・", 0)) + 1), 0)</f>
        <v>0</v>
      </c>
      <c r="BB125">
        <f>IF(ISNUMBER(SEARCH(SUBSTITUTE(BB$1,RIGHT(BB$1,2),""),VLOOKUP($D125,素材!$1:$1016,COLUMN($F$1),FALSE))),VLOOKUP($C125,武器!$1:$998,COLUMN($O$1),FALSE)*VLOOKUP($D125,素材!$1:$1016,COLUMN($E$1),FALSE)/(LEN(VLOOKUP($D125,素材!$1:$1016,COLUMN($F$1),FALSE)) - LEN(SUBSTITUTE(VLOOKUP($D125,素材!$1:$1016,COLUMN($F$1),FALSE), "・", 0)) + 1), 0)</f>
        <v>0</v>
      </c>
      <c r="BC125">
        <f>IF(ISNUMBER(SEARCH(SUBSTITUTE(BC$1,RIGHT(BC$1,2),""),VLOOKUP($D125,素材!$1:$1016,COLUMN($F$1),FALSE))),VLOOKUP($C125,武器!$1:$998,COLUMN($O$1),FALSE)*VLOOKUP($D125,素材!$1:$1016,COLUMN($E$1),FALSE)/(LEN(VLOOKUP($D125,素材!$1:$1016,COLUMN($F$1),FALSE)) - LEN(SUBSTITUTE(VLOOKUP($D125,素材!$1:$1016,COLUMN($F$1),FALSE), "・", 0)) + 1), 0)</f>
        <v>0</v>
      </c>
      <c r="BD125">
        <f>IF(ISNUMBER(SEARCH(SUBSTITUTE(BD$1,RIGHT(BD$1,2),""),VLOOKUP($D125,素材!$1:$1016,COLUMN($F$1),FALSE))),VLOOKUP($C125,武器!$1:$998,COLUMN($O$1),FALSE)*VLOOKUP($D125,素材!$1:$1016,COLUMN($E$1),FALSE)/(LEN(VLOOKUP($D125,素材!$1:$1016,COLUMN($F$1),FALSE)) - LEN(SUBSTITUTE(VLOOKUP($D125,素材!$1:$1016,COLUMN($F$1),FALSE), "・", 0)) + 1), 0)</f>
        <v>0</v>
      </c>
      <c r="BE125">
        <f>IF(ISNUMBER(SEARCH(SUBSTITUTE(BE$1,RIGHT(BE$1,2),""),VLOOKUP($D125,素材!$1:$1016,COLUMN($F$1),FALSE))),VLOOKUP($C125,武器!$1:$998,COLUMN($O$1),FALSE)*VLOOKUP($D125,素材!$1:$1016,COLUMN($E$1),FALSE)/(LEN(VLOOKUP($D125,素材!$1:$1016,COLUMN($F$1),FALSE)) - LEN(SUBSTITUTE(VLOOKUP($D125,素材!$1:$1016,COLUMN($F$1),FALSE), "・", 0)) + 1), 0)</f>
        <v>0</v>
      </c>
      <c r="CL125">
        <f>SUM(G125:I125)</f>
        <v>0</v>
      </c>
      <c r="CM125" s="22" t="str">
        <f>IF(E125="武器",IF(J125-1&gt;SUM(G125:I125),"盾",IF(MAX(G125:I125)=G125,"切断",IF(MAX(G125:I125)=H125,"貫通",IF(MAX(G125:I125)=I125,"打撃","射撃")))),E125)&amp;".webp"</f>
        <v>体.webp</v>
      </c>
      <c r="CN125">
        <f>IFERROR(VLOOKUP($C125,武器!$1:$998,COLUMN(V$1),FALSE)*VLOOKUP($D125,素材!$1:$1016,COLUMN(N$1),FALSE)+IF(CI125="",0,VLOOKUP($CI125,装強!$1:$1008,COLUMN($CK$1),FALSE)),"")</f>
        <v>600</v>
      </c>
      <c r="CO125" t="str">
        <f>VLOOKUP(D125,素材!$A:$O,COLUMN(素材!O$1),FALSE)</f>
        <v>野生動物から得られる丈夫な皮素材。皮装備の性能を向上させ、基本的な防護性能を備えています。</v>
      </c>
      <c r="CP125" t="str">
        <f>VLOOKUP(C125,武器!$A:$W,COLUMN(武器!W$1),FALSE)</f>
        <v>HP 物理 魔法 体幹 出血 疲労 Cr</v>
      </c>
      <c r="CR125" t="str">
        <f t="shared" si="5"/>
        <v>e_125</v>
      </c>
      <c r="CS125">
        <f t="shared" si="6"/>
        <v>60000</v>
      </c>
    </row>
    <row r="126" spans="1:97" outlineLevel="1" x14ac:dyDescent="0.4">
      <c r="A126" t="str">
        <f t="shared" si="7"/>
        <v>獣皮の胴衣</v>
      </c>
      <c r="B126" t="str">
        <f>IFERROR(VLOOKUP($D126,素材!$1:$1016,COLUMN($B$1),FALSE)&amp;"・"&amp;VLOOKUP($C126,武器!$1:$998,COLUMN(B$1),FALSE),"")</f>
        <v>ビーストレザー・ベスト</v>
      </c>
      <c r="C126" t="s">
        <v>207</v>
      </c>
      <c r="D126" s="24" t="s">
        <v>251</v>
      </c>
      <c r="E126" t="str">
        <f>IFERROR(VLOOKUP(C126,武器!$1:$998,COLUMN(C$1),FALSE),"")</f>
        <v>体</v>
      </c>
      <c r="F126">
        <f>IFERROR(ROUNDDOWN((VLOOKUP($C126,武器!$1:$998,COLUMN(D$1),FALSE)+IFERROR(VLOOKUP($CI126,装強!$1:$999,COLUMN(F$1),FALSE),0))*VLOOKUP($D126,素材!$1:$1016,COLUMN(D$1),FALSE),0),"")</f>
        <v>0</v>
      </c>
      <c r="G126">
        <f>IFERROR(ROUNDDOWN((VLOOKUP($C126,武器!$1:$998,COLUMN(E$1),FALSE)+IFERROR(VLOOKUP($CI126,装強!$1:$999,COLUMN(G$1),FALSE),0))*VLOOKUP($D126,素材!$1:$1016,COLUMN($E$1),FALSE),0),"")</f>
        <v>0</v>
      </c>
      <c r="H126">
        <f>IFERROR(ROUNDDOWN((VLOOKUP($C126,武器!$1:$998,COLUMN(F$1),FALSE)+IFERROR(VLOOKUP($CI126,装強!$1:$999,COLUMN(H$1),FALSE),0))*VLOOKUP($D126,素材!$1:$1016,COLUMN($E$1),FALSE),0),"")</f>
        <v>0</v>
      </c>
      <c r="I126">
        <f>IFERROR(ROUNDDOWN((VLOOKUP($C126,武器!$1:$998,COLUMN(G$1),FALSE)+IFERROR(VLOOKUP($CI126,装強!$1:$999,COLUMN(I$1),FALSE),0))*VLOOKUP($D126,素材!$1:$1016,COLUMN($E$1),FALSE),0),"")</f>
        <v>0</v>
      </c>
      <c r="J126">
        <f>IFERROR(ROUNDDOWN((VLOOKUP($C126,武器!$1:$998,COLUMN(H$1),FALSE)+IFERROR(VLOOKUP($CI126,装強!$1:$999,COLUMN(J$1),FALSE),0))*VLOOKUP($D126,素材!$1:$1016,COLUMN($E$1),FALSE),0),"")</f>
        <v>0</v>
      </c>
      <c r="K126">
        <f>IFERROR(ROUNDDOWN((VLOOKUP($C126,武器!$1:$998,COLUMN(I$1),FALSE)+IFERROR(VLOOKUP($CI126,装強!$1:$999,COLUMN(K$1),FALSE),0))*VLOOKUP($D126,素材!$1:$1016,COLUMN($E$1),FALSE),0),"")</f>
        <v>0</v>
      </c>
      <c r="L126" t="str">
        <f>IFERROR(VLOOKUP($D126,素材!$1:$1016,COLUMN($F$1),FALSE),"")</f>
        <v>-</v>
      </c>
      <c r="M126" t="str">
        <f>IFERROR(VLOOKUP($C126,武器!$1:$998,COLUMN(AA$1),FALSE)*VLOOKUP($D126,素材!$1:$1016,COLUMN($G$1),FALSE),"")</f>
        <v/>
      </c>
      <c r="N126">
        <f>IFERROR(VLOOKUP($C126,武器!$1:$998,COLUMN(I$1),FALSE),"")</f>
        <v>0</v>
      </c>
      <c r="O126" s="23" t="str">
        <f>IFERROR((VLOOKUP($C126,武器!$1:$998,COLUMN(K$1),FALSE)+VLOOKUP($D126,素材!$1:$1016,COLUMN(H$1),FALSE))*100+IFERROR(VLOOKUP($CI126,装強!$1:$999,COLUMN(O$1),FALSE),0),"")</f>
        <v/>
      </c>
      <c r="P126" s="23" t="str">
        <f>IFERROR((VLOOKUP($C126,武器!$1:$998,COLUMN(L$1),FALSE)+VLOOKUP($D126,素材!$1:$1016,COLUMN(I$1),FALSE))*100+IFERROR(VLOOKUP($CI126,装強!$1:$999,COLUMN(P$1),FALSE),0),"")</f>
        <v/>
      </c>
      <c r="Q126">
        <f>IFERROR(ROUNDUP(VLOOKUP($C126,武器!$1:$998,COLUMN(M$1),FALSE)*(VLOOKUP($D126,素材!$1:$1002,COLUMN(D$1),FALSE)/100),1),"")</f>
        <v>-3</v>
      </c>
      <c r="R126">
        <f>IFERROR(ROUNDUP(VLOOKUP($C126,武器!$1:$998,COLUMN(N$1),FALSE)*(VLOOKUP($D126,素材!$1:$1002,COLUMN(D$1),FALSE)/100),1),"")</f>
        <v>0</v>
      </c>
      <c r="S126">
        <f>IFERROR(VLOOKUP($C126,武器!$1:$998,COLUMN(P$1),FALSE),"")</f>
        <v>0</v>
      </c>
      <c r="T126">
        <f>IFERROR(VLOOKUP($C126,武器!$1:$998,COLUMN(Q$1),FALSE),"")</f>
        <v>0</v>
      </c>
      <c r="U126">
        <f>IFERROR(VLOOKUP($C126,武器!$1:$998,COLUMN(R$1),FALSE),"")</f>
        <v>0</v>
      </c>
      <c r="V126">
        <f>IFERROR(VLOOKUP($C126,武器!$1:$998,COLUMN(Q$1),FALSE),"")</f>
        <v>0</v>
      </c>
      <c r="W126">
        <f>IFERROR(VLOOKUP($C126,武器!$1:$998,COLUMN(T$1),FALSE),"")</f>
        <v>0</v>
      </c>
      <c r="Y126">
        <f>IFERROR(VLOOKUP($C126,武器!$1:$998,COLUMN(U$1),FALSE),"")</f>
        <v>0</v>
      </c>
      <c r="Z126">
        <f>IFERROR(ROUNDUP(VLOOKUP($C126,武器!$1:$998,COLUMN(O$1),FALSE)*VLOOKUP($D126,素材!$1:$1016,COLUMN(E$1),FALSE),1),"")</f>
        <v>7.5</v>
      </c>
      <c r="AA126">
        <f>IF(ISNUMBER(SEARCH(SUBSTITUTE(AA$1,RIGHT(AA$1,2),""),VLOOKUP($D126,素材!$1:$1016,COLUMN($F$1),FALSE))),VLOOKUP($C126,武器!$1:$998,COLUMN($O$1),FALSE)*VLOOKUP($D126,素材!$1:$1016,COLUMN($E$1),FALSE)/(LEN(VLOOKUP($D126,素材!$1:$1016,COLUMN($F$1),FALSE)) - LEN(SUBSTITUTE(VLOOKUP($D126,素材!$1:$1016,COLUMN($F$1),FALSE), "・", 0)) + 1), 0)</f>
        <v>0</v>
      </c>
      <c r="AB126">
        <f>IF(ISNUMBER(SEARCH(SUBSTITUTE(AB$1,RIGHT(AB$1,2),""),VLOOKUP($D126,素材!$1:$1016,COLUMN($F$1),FALSE))),VLOOKUP($C126,武器!$1:$998,COLUMN($O$1),FALSE)*VLOOKUP($D126,素材!$1:$1016,COLUMN($E$1),FALSE)/(LEN(VLOOKUP($D126,素材!$1:$1016,COLUMN($F$1),FALSE)) - LEN(SUBSTITUTE(VLOOKUP($D126,素材!$1:$1016,COLUMN($F$1),FALSE), "・", 0)) + 1), 0)</f>
        <v>0</v>
      </c>
      <c r="AC126">
        <f>IF(ISNUMBER(SEARCH(SUBSTITUTE(AC$1,RIGHT(AC$1,2),""),VLOOKUP($D126,素材!$1:$1016,COLUMN($F$1),FALSE))),VLOOKUP($C126,武器!$1:$998,COLUMN($O$1),FALSE)*VLOOKUP($D126,素材!$1:$1016,COLUMN($E$1),FALSE)/(LEN(VLOOKUP($D126,素材!$1:$1016,COLUMN($F$1),FALSE)) - LEN(SUBSTITUTE(VLOOKUP($D126,素材!$1:$1016,COLUMN($F$1),FALSE), "・", 0)) + 1), 0)</f>
        <v>0</v>
      </c>
      <c r="AD126">
        <f>IF(ISNUMBER(SEARCH(SUBSTITUTE(AD$1,RIGHT(AD$1,2),""),VLOOKUP($D126,素材!$1:$1016,COLUMN($F$1),FALSE))),VLOOKUP($C126,武器!$1:$998,COLUMN($O$1),FALSE)*VLOOKUP($D126,素材!$1:$1016,COLUMN($E$1),FALSE)/(LEN(VLOOKUP($D126,素材!$1:$1016,COLUMN($F$1),FALSE)) - LEN(SUBSTITUTE(VLOOKUP($D126,素材!$1:$1016,COLUMN($F$1),FALSE), "・", 0)) + 1), 0)</f>
        <v>0</v>
      </c>
      <c r="AE126">
        <f>IF(ISNUMBER(SEARCH(SUBSTITUTE(AE$1,RIGHT(AE$1,2),""),VLOOKUP($D126,素材!$1:$1016,COLUMN($F$1),FALSE))),VLOOKUP($C126,武器!$1:$998,COLUMN($O$1),FALSE)*VLOOKUP($D126,素材!$1:$1016,COLUMN($E$1),FALSE)/(LEN(VLOOKUP($D126,素材!$1:$1016,COLUMN($F$1),FALSE)) - LEN(SUBSTITUTE(VLOOKUP($D126,素材!$1:$1016,COLUMN($F$1),FALSE), "・", 0)) + 1), 0)</f>
        <v>0</v>
      </c>
      <c r="AF126">
        <f>IF(ISNUMBER(SEARCH(SUBSTITUTE(AF$1,RIGHT(AF$1,2),""),VLOOKUP($D126,素材!$1:$1016,COLUMN($F$1),FALSE))),VLOOKUP($C126,武器!$1:$998,COLUMN($O$1),FALSE)*VLOOKUP($D126,素材!$1:$1016,COLUMN($E$1),FALSE)/(LEN(VLOOKUP($D126,素材!$1:$1016,COLUMN($F$1),FALSE)) - LEN(SUBSTITUTE(VLOOKUP($D126,素材!$1:$1016,COLUMN($F$1),FALSE), "・", 0)) + 1), 0)</f>
        <v>0</v>
      </c>
      <c r="AG126">
        <f>IF(ISNUMBER(SEARCH(SUBSTITUTE(AG$1,RIGHT(AG$1,2),""),VLOOKUP($D126,素材!$1:$1016,COLUMN($F$1),FALSE))),VLOOKUP($C126,武器!$1:$998,COLUMN($O$1),FALSE)*VLOOKUP($D126,素材!$1:$1016,COLUMN($E$1),FALSE)/(LEN(VLOOKUP($D126,素材!$1:$1016,COLUMN($F$1),FALSE)) - LEN(SUBSTITUTE(VLOOKUP($D126,素材!$1:$1016,COLUMN($F$1),FALSE), "・", 0)) + 1), 0)</f>
        <v>0</v>
      </c>
      <c r="AH126">
        <f>IF(ISNUMBER(SEARCH(SUBSTITUTE(AH$1,RIGHT(AH$1,2),""),VLOOKUP($D126,素材!$1:$1016,COLUMN($F$1),FALSE))),VLOOKUP($C126,武器!$1:$998,COLUMN($O$1),FALSE)*VLOOKUP($D126,素材!$1:$1016,COLUMN($E$1),FALSE)/(LEN(VLOOKUP($D126,素材!$1:$1016,COLUMN($F$1),FALSE)) - LEN(SUBSTITUTE(VLOOKUP($D126,素材!$1:$1016,COLUMN($F$1),FALSE), "・", 0)) + 1), 0)</f>
        <v>0</v>
      </c>
      <c r="AI126">
        <f>IF(ISNUMBER(SEARCH(SUBSTITUTE(AI$1,RIGHT(AI$1,2),""),VLOOKUP($D126,素材!$1:$1016,COLUMN($F$1),FALSE))),VLOOKUP($C126,武器!$1:$998,COLUMN($O$1),FALSE)*VLOOKUP($D126,素材!$1:$1016,COLUMN($E$1),FALSE)/(LEN(VLOOKUP($D126,素材!$1:$1016,COLUMN($F$1),FALSE)) - LEN(SUBSTITUTE(VLOOKUP($D126,素材!$1:$1016,COLUMN($F$1),FALSE), "・", 0)) + 1), 0)</f>
        <v>0</v>
      </c>
      <c r="AJ126">
        <f>IF(ISNUMBER(SEARCH(SUBSTITUTE(AJ$1,RIGHT(AJ$1,2),""),VLOOKUP($D126,素材!$1:$1016,COLUMN($F$1),FALSE))),VLOOKUP($C126,武器!$1:$998,COLUMN($O$1),FALSE)*VLOOKUP($D126,素材!$1:$1016,COLUMN($E$1),FALSE)/(LEN(VLOOKUP($D126,素材!$1:$1016,COLUMN($F$1),FALSE)) - LEN(SUBSTITUTE(VLOOKUP($D126,素材!$1:$1016,COLUMN($F$1),FALSE), "・", 0)) + 1), 0)</f>
        <v>0</v>
      </c>
      <c r="AK126">
        <f>IF(ISNUMBER(SEARCH(SUBSTITUTE(AK$1,RIGHT(AK$1,2),""),VLOOKUP($D126,素材!$1:$1016,COLUMN($F$1),FALSE))),VLOOKUP($C126,武器!$1:$998,COLUMN($O$1),FALSE)*VLOOKUP($D126,素材!$1:$1016,COLUMN($E$1),FALSE)/(LEN(VLOOKUP($D126,素材!$1:$1016,COLUMN($F$1),FALSE)) - LEN(SUBSTITUTE(VLOOKUP($D126,素材!$1:$1016,COLUMN($F$1),FALSE), "・", 0)) + 1), 0)</f>
        <v>0</v>
      </c>
      <c r="AL126">
        <f>IF(ISNUMBER(SEARCH(SUBSTITUTE(AL$1,RIGHT(AL$1,2),""),VLOOKUP($D126,素材!$1:$1016,COLUMN($F$1),FALSE))),VLOOKUP($C126,武器!$1:$998,COLUMN($O$1),FALSE)*VLOOKUP($D126,素材!$1:$1016,COLUMN($E$1),FALSE)/(LEN(VLOOKUP($D126,素材!$1:$1016,COLUMN($F$1),FALSE)) - LEN(SUBSTITUTE(VLOOKUP($D126,素材!$1:$1016,COLUMN($F$1),FALSE), "・", 0)) + 1), 0)</f>
        <v>0</v>
      </c>
      <c r="AM126">
        <f>IF(ISNUMBER(SEARCH(SUBSTITUTE(AM$1,RIGHT(AM$1,2),""),VLOOKUP($D126,素材!$1:$1016,COLUMN($F$1),FALSE))),VLOOKUP($C126,武器!$1:$998,COLUMN($O$1),FALSE)*VLOOKUP($D126,素材!$1:$1016,COLUMN($E$1),FALSE)/(LEN(VLOOKUP($D126,素材!$1:$1016,COLUMN($F$1),FALSE)) - LEN(SUBSTITUTE(VLOOKUP($D126,素材!$1:$1016,COLUMN($F$1),FALSE), "・", 0)) + 1), 0)</f>
        <v>0</v>
      </c>
      <c r="AN126">
        <f>IF(ISNUMBER(SEARCH(SUBSTITUTE(AN$1,RIGHT(AN$1,2),""),VLOOKUP($D126,素材!$1:$1016,COLUMN($F$1),FALSE))),VLOOKUP($C126,武器!$1:$998,COLUMN($O$1),FALSE)*VLOOKUP($D126,素材!$1:$1016,COLUMN($E$1),FALSE)/(LEN(VLOOKUP($D126,素材!$1:$1016,COLUMN($F$1),FALSE)) - LEN(SUBSTITUTE(VLOOKUP($D126,素材!$1:$1016,COLUMN($F$1),FALSE), "・", 0)) + 1), 0)</f>
        <v>0</v>
      </c>
      <c r="AO126">
        <f>IF(ISNUMBER(SEARCH(SUBSTITUTE(AO$1,RIGHT(AO$1,2),""),VLOOKUP($D126,素材!$1:$1016,COLUMN($F$1),FALSE))),VLOOKUP($C126,武器!$1:$998,COLUMN($O$1),FALSE)*VLOOKUP($D126,素材!$1:$1016,COLUMN($E$1),FALSE)/(LEN(VLOOKUP($D126,素材!$1:$1016,COLUMN($F$1),FALSE)) - LEN(SUBSTITUTE(VLOOKUP($D126,素材!$1:$1016,COLUMN($F$1),FALSE), "・", 0)) + 1), 0)</f>
        <v>0</v>
      </c>
      <c r="AP126">
        <f>IF(ISNUMBER(SEARCH(SUBSTITUTE(AP$1,RIGHT(AP$1,2),""),VLOOKUP($D126,素材!$1:$1016,COLUMN($F$1),FALSE))),VLOOKUP($C126,武器!$1:$998,COLUMN($O$1),FALSE)*VLOOKUP($D126,素材!$1:$1016,COLUMN($E$1),FALSE)/(LEN(VLOOKUP($D126,素材!$1:$1016,COLUMN($F$1),FALSE)) - LEN(SUBSTITUTE(VLOOKUP($D126,素材!$1:$1016,COLUMN($F$1),FALSE), "・", 0)) + 1), 0)</f>
        <v>0</v>
      </c>
      <c r="AQ126">
        <f>IF(ISNUMBER(SEARCH(SUBSTITUTE(AQ$1,RIGHT(AQ$1,2),""),VLOOKUP($D126,素材!$1:$1016,COLUMN($F$1),FALSE))),VLOOKUP($C126,武器!$1:$998,COLUMN($O$1),FALSE)*VLOOKUP($D126,素材!$1:$1016,COLUMN($E$1),FALSE)/(LEN(VLOOKUP($D126,素材!$1:$1016,COLUMN($F$1),FALSE)) - LEN(SUBSTITUTE(VLOOKUP($D126,素材!$1:$1016,COLUMN($F$1),FALSE), "・", 0)) + 1), 0)</f>
        <v>0</v>
      </c>
      <c r="AR126">
        <f>IF(ISNUMBER(SEARCH(SUBSTITUTE(AR$1,RIGHT(AR$1,2),""),VLOOKUP($D126,素材!$1:$1016,COLUMN($F$1),FALSE))),VLOOKUP($C126,武器!$1:$998,COLUMN($O$1),FALSE)*VLOOKUP($D126,素材!$1:$1016,COLUMN($E$1),FALSE)/(LEN(VLOOKUP($D126,素材!$1:$1016,COLUMN($F$1),FALSE)) - LEN(SUBSTITUTE(VLOOKUP($D126,素材!$1:$1016,COLUMN($F$1),FALSE), "・", 0)) + 1), 0)</f>
        <v>0</v>
      </c>
      <c r="AS126">
        <f>IF(ISNUMBER(SEARCH(SUBSTITUTE(AS$1,RIGHT(AS$1,2),""),VLOOKUP($D126,素材!$1:$1016,COLUMN($F$1),FALSE))),VLOOKUP($C126,武器!$1:$998,COLUMN($O$1),FALSE)*VLOOKUP($D126,素材!$1:$1016,COLUMN($E$1),FALSE)/(LEN(VLOOKUP($D126,素材!$1:$1016,COLUMN($F$1),FALSE)) - LEN(SUBSTITUTE(VLOOKUP($D126,素材!$1:$1016,COLUMN($F$1),FALSE), "・", 0)) + 1), 0)</f>
        <v>0</v>
      </c>
      <c r="AT126">
        <f>IF(ISNUMBER(SEARCH(SUBSTITUTE(AT$1,RIGHT(AT$1,2),""),VLOOKUP($D126,素材!$1:$1016,COLUMN($F$1),FALSE))),VLOOKUP($C126,武器!$1:$998,COLUMN($O$1),FALSE)*VLOOKUP($D126,素材!$1:$1016,COLUMN($E$1),FALSE)/(LEN(VLOOKUP($D126,素材!$1:$1016,COLUMN($F$1),FALSE)) - LEN(SUBSTITUTE(VLOOKUP($D126,素材!$1:$1016,COLUMN($F$1),FALSE), "・", 0)) + 1), 0)</f>
        <v>0</v>
      </c>
      <c r="AU126">
        <f>IF(ISNUMBER(SEARCH(SUBSTITUTE(AU$1,RIGHT(AU$1,2),""),VLOOKUP($D126,素材!$1:$1016,COLUMN($F$1),FALSE))),VLOOKUP($C126,武器!$1:$998,COLUMN($O$1),FALSE)*VLOOKUP($D126,素材!$1:$1016,COLUMN($E$1),FALSE)/(LEN(VLOOKUP($D126,素材!$1:$1016,COLUMN($F$1),FALSE)) - LEN(SUBSTITUTE(VLOOKUP($D126,素材!$1:$1016,COLUMN($F$1),FALSE), "・", 0)) + 1), 0)</f>
        <v>0</v>
      </c>
      <c r="AV126">
        <f>IF(ISNUMBER(SEARCH(SUBSTITUTE(AV$1,RIGHT(AV$1,2),""),VLOOKUP($D126,素材!$1:$1016,COLUMN($F$1),FALSE))),VLOOKUP($C126,武器!$1:$998,COLUMN($O$1),FALSE)*VLOOKUP($D126,素材!$1:$1016,COLUMN($E$1),FALSE)/(LEN(VLOOKUP($D126,素材!$1:$1016,COLUMN($F$1),FALSE)) - LEN(SUBSTITUTE(VLOOKUP($D126,素材!$1:$1016,COLUMN($F$1),FALSE), "・", 0)) + 1), 0)</f>
        <v>0</v>
      </c>
      <c r="AW126">
        <f>IF(ISNUMBER(SEARCH(SUBSTITUTE(AW$1,RIGHT(AW$1,2),""),VLOOKUP($D126,素材!$1:$1016,COLUMN($F$1),FALSE))),VLOOKUP($C126,武器!$1:$998,COLUMN($O$1),FALSE)*VLOOKUP($D126,素材!$1:$1016,COLUMN($E$1),FALSE)/(LEN(VLOOKUP($D126,素材!$1:$1016,COLUMN($F$1),FALSE)) - LEN(SUBSTITUTE(VLOOKUP($D126,素材!$1:$1016,COLUMN($F$1),FALSE), "・", 0)) + 1), 0)</f>
        <v>0</v>
      </c>
      <c r="AX126">
        <f>IF(ISNUMBER(SEARCH(SUBSTITUTE(AX$1,RIGHT(AX$1,2),""),VLOOKUP($D126,素材!$1:$1016,COLUMN($F$1),FALSE))),VLOOKUP($C126,武器!$1:$998,COLUMN($O$1),FALSE)*VLOOKUP($D126,素材!$1:$1016,COLUMN($E$1),FALSE)/(LEN(VLOOKUP($D126,素材!$1:$1016,COLUMN($F$1),FALSE)) - LEN(SUBSTITUTE(VLOOKUP($D126,素材!$1:$1016,COLUMN($F$1),FALSE), "・", 0)) + 1), 0)</f>
        <v>0</v>
      </c>
      <c r="AY126">
        <f>IF(ISNUMBER(SEARCH(SUBSTITUTE(AY$1,RIGHT(AY$1,2),""),VLOOKUP($D126,素材!$1:$1016,COLUMN($F$1),FALSE))),VLOOKUP($C126,武器!$1:$998,COLUMN($O$1),FALSE)*VLOOKUP($D126,素材!$1:$1016,COLUMN($E$1),FALSE)/(LEN(VLOOKUP($D126,素材!$1:$1016,COLUMN($F$1),FALSE)) - LEN(SUBSTITUTE(VLOOKUP($D126,素材!$1:$1016,COLUMN($F$1),FALSE), "・", 0)) + 1), 0)</f>
        <v>0</v>
      </c>
      <c r="AZ126">
        <f>IF(ISNUMBER(SEARCH(SUBSTITUTE(AZ$1,RIGHT(AZ$1,2),""),VLOOKUP($D126,素材!$1:$1016,COLUMN($F$1),FALSE))),VLOOKUP($C126,武器!$1:$998,COLUMN($O$1),FALSE)*VLOOKUP($D126,素材!$1:$1016,COLUMN($E$1),FALSE)/(LEN(VLOOKUP($D126,素材!$1:$1016,COLUMN($F$1),FALSE)) - LEN(SUBSTITUTE(VLOOKUP($D126,素材!$1:$1016,COLUMN($F$1),FALSE), "・", 0)) + 1), 0)</f>
        <v>0</v>
      </c>
      <c r="BA126">
        <f>IF(ISNUMBER(SEARCH(SUBSTITUTE(BA$1,RIGHT(BA$1,2),""),VLOOKUP($D126,素材!$1:$1016,COLUMN($F$1),FALSE))),VLOOKUP($C126,武器!$1:$998,COLUMN($O$1),FALSE)*VLOOKUP($D126,素材!$1:$1016,COLUMN($E$1),FALSE)/(LEN(VLOOKUP($D126,素材!$1:$1016,COLUMN($F$1),FALSE)) - LEN(SUBSTITUTE(VLOOKUP($D126,素材!$1:$1016,COLUMN($F$1),FALSE), "・", 0)) + 1), 0)</f>
        <v>0</v>
      </c>
      <c r="BB126">
        <f>IF(ISNUMBER(SEARCH(SUBSTITUTE(BB$1,RIGHT(BB$1,2),""),VLOOKUP($D126,素材!$1:$1016,COLUMN($F$1),FALSE))),VLOOKUP($C126,武器!$1:$998,COLUMN($O$1),FALSE)*VLOOKUP($D126,素材!$1:$1016,COLUMN($E$1),FALSE)/(LEN(VLOOKUP($D126,素材!$1:$1016,COLUMN($F$1),FALSE)) - LEN(SUBSTITUTE(VLOOKUP($D126,素材!$1:$1016,COLUMN($F$1),FALSE), "・", 0)) + 1), 0)</f>
        <v>0</v>
      </c>
      <c r="BC126">
        <f>IF(ISNUMBER(SEARCH(SUBSTITUTE(BC$1,RIGHT(BC$1,2),""),VLOOKUP($D126,素材!$1:$1016,COLUMN($F$1),FALSE))),VLOOKUP($C126,武器!$1:$998,COLUMN($O$1),FALSE)*VLOOKUP($D126,素材!$1:$1016,COLUMN($E$1),FALSE)/(LEN(VLOOKUP($D126,素材!$1:$1016,COLUMN($F$1),FALSE)) - LEN(SUBSTITUTE(VLOOKUP($D126,素材!$1:$1016,COLUMN($F$1),FALSE), "・", 0)) + 1), 0)</f>
        <v>0</v>
      </c>
      <c r="BD126">
        <f>IF(ISNUMBER(SEARCH(SUBSTITUTE(BD$1,RIGHT(BD$1,2),""),VLOOKUP($D126,素材!$1:$1016,COLUMN($F$1),FALSE))),VLOOKUP($C126,武器!$1:$998,COLUMN($O$1),FALSE)*VLOOKUP($D126,素材!$1:$1016,COLUMN($E$1),FALSE)/(LEN(VLOOKUP($D126,素材!$1:$1016,COLUMN($F$1),FALSE)) - LEN(SUBSTITUTE(VLOOKUP($D126,素材!$1:$1016,COLUMN($F$1),FALSE), "・", 0)) + 1), 0)</f>
        <v>0</v>
      </c>
      <c r="BE126">
        <f>IF(ISNUMBER(SEARCH(SUBSTITUTE(BE$1,RIGHT(BE$1,2),""),VLOOKUP($D126,素材!$1:$1016,COLUMN($F$1),FALSE))),VLOOKUP($C126,武器!$1:$998,COLUMN($O$1),FALSE)*VLOOKUP($D126,素材!$1:$1016,COLUMN($E$1),FALSE)/(LEN(VLOOKUP($D126,素材!$1:$1016,COLUMN($F$1),FALSE)) - LEN(SUBSTITUTE(VLOOKUP($D126,素材!$1:$1016,COLUMN($F$1),FALSE), "・", 0)) + 1), 0)</f>
        <v>0</v>
      </c>
      <c r="CL126">
        <f>SUM(G126:I126)</f>
        <v>0</v>
      </c>
      <c r="CM126" s="22" t="str">
        <f>IF(E126="武器",IF(J126-1&gt;SUM(G126:I126),"盾",IF(MAX(G126:I126)=G126,"切断",IF(MAX(G126:I126)=H126,"貫通",IF(MAX(G126:I126)=I126,"打撃","射撃")))),E126)&amp;".webp"</f>
        <v>体.webp</v>
      </c>
      <c r="CN126">
        <f>IFERROR(VLOOKUP($C126,武器!$1:$998,COLUMN(V$1),FALSE)*VLOOKUP($D126,素材!$1:$1016,COLUMN(N$1),FALSE)+IF(CI126="",0,VLOOKUP($CI126,装強!$1:$1008,COLUMN($CK$1),FALSE)),"")</f>
        <v>500</v>
      </c>
      <c r="CO126" t="str">
        <f>VLOOKUP(D126,素材!$A:$O,COLUMN(素材!O$1),FALSE)</f>
        <v>野生動物から得られる丈夫な皮素材。皮装備の性能を向上させ、基本的な防護性能を備えています。</v>
      </c>
      <c r="CP126" t="str">
        <f>VLOOKUP(C126,武器!$A:$W,COLUMN(武器!W$1),FALSE)</f>
        <v>HP 物理 魔法 体幹 出血 疲労 Cr</v>
      </c>
      <c r="CR126" t="str">
        <f t="shared" si="5"/>
        <v>e_126</v>
      </c>
      <c r="CS126">
        <f t="shared" si="6"/>
        <v>50000</v>
      </c>
    </row>
    <row r="127" spans="1:97" outlineLevel="1" x14ac:dyDescent="0.4">
      <c r="A127" t="str">
        <f>D127&amp;"の"&amp;C127</f>
        <v>獣皮の靴</v>
      </c>
      <c r="B127" t="str">
        <f>IFERROR(VLOOKUP($D127,素材!$1:$1016,COLUMN($B$1),FALSE)&amp;"・"&amp;VLOOKUP($C127,武器!$1:$998,COLUMN(B$1),FALSE),"")</f>
        <v>ビーストレザー・ブーツ</v>
      </c>
      <c r="C127" t="s">
        <v>1293</v>
      </c>
      <c r="D127" s="24" t="s">
        <v>251</v>
      </c>
      <c r="E127" t="str">
        <f>IFERROR(VLOOKUP(C127,武器!$1:$998,COLUMN(C$1),FALSE),"")</f>
        <v>足</v>
      </c>
      <c r="F127">
        <f>IFERROR(ROUNDDOWN((VLOOKUP($C127,武器!$1:$998,COLUMN(D$1),FALSE)+IFERROR(VLOOKUP($CI127,装強!$1:$999,COLUMN(F$1),FALSE),0))*VLOOKUP($D127,素材!$1:$1016,COLUMN(D$1),FALSE),0),"")</f>
        <v>0</v>
      </c>
      <c r="G127">
        <f>IFERROR(ROUNDDOWN((VLOOKUP($C127,武器!$1:$998,COLUMN(E$1),FALSE)+IFERROR(VLOOKUP($CI127,装強!$1:$999,COLUMN(G$1),FALSE),0))*VLOOKUP($D127,素材!$1:$1016,COLUMN($E$1),FALSE),0),"")</f>
        <v>0</v>
      </c>
      <c r="H127">
        <f>IFERROR(ROUNDDOWN((VLOOKUP($C127,武器!$1:$998,COLUMN(F$1),FALSE)+IFERROR(VLOOKUP($CI127,装強!$1:$999,COLUMN(H$1),FALSE),0))*VLOOKUP($D127,素材!$1:$1016,COLUMN($E$1),FALSE),0),"")</f>
        <v>0</v>
      </c>
      <c r="I127">
        <f>IFERROR(ROUNDDOWN((VLOOKUP($C127,武器!$1:$998,COLUMN(G$1),FALSE)+IFERROR(VLOOKUP($CI127,装強!$1:$999,COLUMN(I$1),FALSE),0))*VLOOKUP($D127,素材!$1:$1016,COLUMN($E$1),FALSE),0),"")</f>
        <v>15</v>
      </c>
      <c r="J127">
        <f>IFERROR(ROUNDDOWN((VLOOKUP($C127,武器!$1:$998,COLUMN(H$1),FALSE)+IFERROR(VLOOKUP($CI127,装強!$1:$999,COLUMN(J$1),FALSE),0))*VLOOKUP($D127,素材!$1:$1016,COLUMN($E$1),FALSE),0),"")</f>
        <v>0</v>
      </c>
      <c r="K127">
        <f>IFERROR(ROUNDDOWN((VLOOKUP($C127,武器!$1:$998,COLUMN(I$1),FALSE)+IFERROR(VLOOKUP($CI127,装強!$1:$999,COLUMN(K$1),FALSE),0))*VLOOKUP($D127,素材!$1:$1016,COLUMN($E$1),FALSE),0),"")</f>
        <v>0</v>
      </c>
      <c r="L127" t="str">
        <f>IFERROR(VLOOKUP($D127,素材!$1:$1016,COLUMN($F$1),FALSE),"")</f>
        <v>-</v>
      </c>
      <c r="M127" t="str">
        <f>IFERROR(VLOOKUP($C127,武器!$1:$998,COLUMN(AA$1),FALSE)*VLOOKUP($D127,素材!$1:$1016,COLUMN($G$1),FALSE),"")</f>
        <v/>
      </c>
      <c r="N127">
        <f>IFERROR(VLOOKUP($C127,武器!$1:$998,COLUMN(I$1),FALSE),"")</f>
        <v>0</v>
      </c>
      <c r="O127" s="23" t="str">
        <f>IFERROR((VLOOKUP($C127,武器!$1:$998,COLUMN(K$1),FALSE)+VLOOKUP($D127,素材!$1:$1016,COLUMN(H$1),FALSE))*100+IFERROR(VLOOKUP($CI127,装強!$1:$999,COLUMN(O$1),FALSE),0),"")</f>
        <v/>
      </c>
      <c r="P127" s="23" t="str">
        <f>IFERROR((VLOOKUP($C127,武器!$1:$998,COLUMN(L$1),FALSE)+VLOOKUP($D127,素材!$1:$1016,COLUMN(I$1),FALSE))*100+IFERROR(VLOOKUP($CI127,装強!$1:$999,COLUMN(P$1),FALSE),0),"")</f>
        <v/>
      </c>
      <c r="Q127">
        <f>IFERROR(ROUNDUP(VLOOKUP($C127,武器!$1:$998,COLUMN(M$1),FALSE)*(VLOOKUP($D127,素材!$1:$1002,COLUMN(D$1),FALSE)/100),1),"")</f>
        <v>0</v>
      </c>
      <c r="R127">
        <f>IFERROR(ROUNDUP(VLOOKUP($C127,武器!$1:$998,COLUMN(N$1),FALSE)*(VLOOKUP($D127,素材!$1:$1002,COLUMN(D$1),FALSE)/100),1),"")</f>
        <v>0</v>
      </c>
      <c r="S127">
        <f>IFERROR(VLOOKUP($C127,武器!$1:$998,COLUMN(P$1),FALSE),"")</f>
        <v>0</v>
      </c>
      <c r="T127">
        <f>IFERROR(VLOOKUP($C127,武器!$1:$998,COLUMN(Q$1),FALSE),"")</f>
        <v>0</v>
      </c>
      <c r="U127">
        <f>IFERROR(VLOOKUP($C127,武器!$1:$998,COLUMN(R$1),FALSE),"")</f>
        <v>0</v>
      </c>
      <c r="V127">
        <f>IFERROR(VLOOKUP($C127,武器!$1:$998,COLUMN(Q$1),FALSE),"")</f>
        <v>0</v>
      </c>
      <c r="W127">
        <f>IFERROR(VLOOKUP($C127,武器!$1:$998,COLUMN(T$1),FALSE),"")</f>
        <v>0</v>
      </c>
      <c r="Y127" t="str">
        <f>IFERROR(VLOOKUP($C127,武器!$1:$998,COLUMN(U$1),FALSE),"")</f>
        <v>足</v>
      </c>
      <c r="Z127">
        <f>IFERROR(ROUNDUP(VLOOKUP($C127,武器!$1:$998,COLUMN(O$1),FALSE)*VLOOKUP($D127,素材!$1:$1016,COLUMN(E$1),FALSE),1),"")</f>
        <v>2.3000000000000003</v>
      </c>
      <c r="AA127">
        <f>IF(ISNUMBER(SEARCH(SUBSTITUTE(AA$1,RIGHT(AA$1,2),""),VLOOKUP($D127,素材!$1:$1016,COLUMN($F$1),FALSE))),VLOOKUP($C127,武器!$1:$998,COLUMN($O$1),FALSE)*VLOOKUP($D127,素材!$1:$1016,COLUMN($E$1),FALSE)/(LEN(VLOOKUP($D127,素材!$1:$1016,COLUMN($F$1),FALSE)) - LEN(SUBSTITUTE(VLOOKUP($D127,素材!$1:$1016,COLUMN($F$1),FALSE), "・", 0)) + 1), 0)</f>
        <v>0</v>
      </c>
      <c r="AB127">
        <f>IF(ISNUMBER(SEARCH(SUBSTITUTE(AB$1,RIGHT(AB$1,2),""),VLOOKUP($D127,素材!$1:$1016,COLUMN($F$1),FALSE))),VLOOKUP($C127,武器!$1:$998,COLUMN($O$1),FALSE)*VLOOKUP($D127,素材!$1:$1016,COLUMN($E$1),FALSE)/(LEN(VLOOKUP($D127,素材!$1:$1016,COLUMN($F$1),FALSE)) - LEN(SUBSTITUTE(VLOOKUP($D127,素材!$1:$1016,COLUMN($F$1),FALSE), "・", 0)) + 1), 0)</f>
        <v>0</v>
      </c>
      <c r="AC127">
        <f>IF(ISNUMBER(SEARCH(SUBSTITUTE(AC$1,RIGHT(AC$1,2),""),VLOOKUP($D127,素材!$1:$1016,COLUMN($F$1),FALSE))),VLOOKUP($C127,武器!$1:$998,COLUMN($O$1),FALSE)*VLOOKUP($D127,素材!$1:$1016,COLUMN($E$1),FALSE)/(LEN(VLOOKUP($D127,素材!$1:$1016,COLUMN($F$1),FALSE)) - LEN(SUBSTITUTE(VLOOKUP($D127,素材!$1:$1016,COLUMN($F$1),FALSE), "・", 0)) + 1), 0)</f>
        <v>0</v>
      </c>
      <c r="AD127">
        <f>IF(ISNUMBER(SEARCH(SUBSTITUTE(AD$1,RIGHT(AD$1,2),""),VLOOKUP($D127,素材!$1:$1016,COLUMN($F$1),FALSE))),VLOOKUP($C127,武器!$1:$998,COLUMN($O$1),FALSE)*VLOOKUP($D127,素材!$1:$1016,COLUMN($E$1),FALSE)/(LEN(VLOOKUP($D127,素材!$1:$1016,COLUMN($F$1),FALSE)) - LEN(SUBSTITUTE(VLOOKUP($D127,素材!$1:$1016,COLUMN($F$1),FALSE), "・", 0)) + 1), 0)</f>
        <v>0</v>
      </c>
      <c r="AE127">
        <f>IF(ISNUMBER(SEARCH(SUBSTITUTE(AE$1,RIGHT(AE$1,2),""),VLOOKUP($D127,素材!$1:$1016,COLUMN($F$1),FALSE))),VLOOKUP($C127,武器!$1:$998,COLUMN($O$1),FALSE)*VLOOKUP($D127,素材!$1:$1016,COLUMN($E$1),FALSE)/(LEN(VLOOKUP($D127,素材!$1:$1016,COLUMN($F$1),FALSE)) - LEN(SUBSTITUTE(VLOOKUP($D127,素材!$1:$1016,COLUMN($F$1),FALSE), "・", 0)) + 1), 0)</f>
        <v>0</v>
      </c>
      <c r="AF127">
        <f>IF(ISNUMBER(SEARCH(SUBSTITUTE(AF$1,RIGHT(AF$1,2),""),VLOOKUP($D127,素材!$1:$1016,COLUMN($F$1),FALSE))),VLOOKUP($C127,武器!$1:$998,COLUMN($O$1),FALSE)*VLOOKUP($D127,素材!$1:$1016,COLUMN($E$1),FALSE)/(LEN(VLOOKUP($D127,素材!$1:$1016,COLUMN($F$1),FALSE)) - LEN(SUBSTITUTE(VLOOKUP($D127,素材!$1:$1016,COLUMN($F$1),FALSE), "・", 0)) + 1), 0)</f>
        <v>0</v>
      </c>
      <c r="AG127">
        <f>IF(ISNUMBER(SEARCH(SUBSTITUTE(AG$1,RIGHT(AG$1,2),""),VLOOKUP($D127,素材!$1:$1016,COLUMN($F$1),FALSE))),VLOOKUP($C127,武器!$1:$998,COLUMN($O$1),FALSE)*VLOOKUP($D127,素材!$1:$1016,COLUMN($E$1),FALSE)/(LEN(VLOOKUP($D127,素材!$1:$1016,COLUMN($F$1),FALSE)) - LEN(SUBSTITUTE(VLOOKUP($D127,素材!$1:$1016,COLUMN($F$1),FALSE), "・", 0)) + 1), 0)</f>
        <v>0</v>
      </c>
      <c r="AH127">
        <f>IF(ISNUMBER(SEARCH(SUBSTITUTE(AH$1,RIGHT(AH$1,2),""),VLOOKUP($D127,素材!$1:$1016,COLUMN($F$1),FALSE))),VLOOKUP($C127,武器!$1:$998,COLUMN($O$1),FALSE)*VLOOKUP($D127,素材!$1:$1016,COLUMN($E$1),FALSE)/(LEN(VLOOKUP($D127,素材!$1:$1016,COLUMN($F$1),FALSE)) - LEN(SUBSTITUTE(VLOOKUP($D127,素材!$1:$1016,COLUMN($F$1),FALSE), "・", 0)) + 1), 0)</f>
        <v>0</v>
      </c>
      <c r="AI127">
        <f>IF(ISNUMBER(SEARCH(SUBSTITUTE(AI$1,RIGHT(AI$1,2),""),VLOOKUP($D127,素材!$1:$1016,COLUMN($F$1),FALSE))),VLOOKUP($C127,武器!$1:$998,COLUMN($O$1),FALSE)*VLOOKUP($D127,素材!$1:$1016,COLUMN($E$1),FALSE)/(LEN(VLOOKUP($D127,素材!$1:$1016,COLUMN($F$1),FALSE)) - LEN(SUBSTITUTE(VLOOKUP($D127,素材!$1:$1016,COLUMN($F$1),FALSE), "・", 0)) + 1), 0)</f>
        <v>0</v>
      </c>
      <c r="AJ127">
        <f>IF(ISNUMBER(SEARCH(SUBSTITUTE(AJ$1,RIGHT(AJ$1,2),""),VLOOKUP($D127,素材!$1:$1016,COLUMN($F$1),FALSE))),VLOOKUP($C127,武器!$1:$998,COLUMN($O$1),FALSE)*VLOOKUP($D127,素材!$1:$1016,COLUMN($E$1),FALSE)/(LEN(VLOOKUP($D127,素材!$1:$1016,COLUMN($F$1),FALSE)) - LEN(SUBSTITUTE(VLOOKUP($D127,素材!$1:$1016,COLUMN($F$1),FALSE), "・", 0)) + 1), 0)</f>
        <v>0</v>
      </c>
      <c r="AK127">
        <f>IF(ISNUMBER(SEARCH(SUBSTITUTE(AK$1,RIGHT(AK$1,2),""),VLOOKUP($D127,素材!$1:$1016,COLUMN($F$1),FALSE))),VLOOKUP($C127,武器!$1:$998,COLUMN($O$1),FALSE)*VLOOKUP($D127,素材!$1:$1016,COLUMN($E$1),FALSE)/(LEN(VLOOKUP($D127,素材!$1:$1016,COLUMN($F$1),FALSE)) - LEN(SUBSTITUTE(VLOOKUP($D127,素材!$1:$1016,COLUMN($F$1),FALSE), "・", 0)) + 1), 0)</f>
        <v>0</v>
      </c>
      <c r="AL127">
        <f>IF(ISNUMBER(SEARCH(SUBSTITUTE(AL$1,RIGHT(AL$1,2),""),VLOOKUP($D127,素材!$1:$1016,COLUMN($F$1),FALSE))),VLOOKUP($C127,武器!$1:$998,COLUMN($O$1),FALSE)*VLOOKUP($D127,素材!$1:$1016,COLUMN($E$1),FALSE)/(LEN(VLOOKUP($D127,素材!$1:$1016,COLUMN($F$1),FALSE)) - LEN(SUBSTITUTE(VLOOKUP($D127,素材!$1:$1016,COLUMN($F$1),FALSE), "・", 0)) + 1), 0)</f>
        <v>0</v>
      </c>
      <c r="AM127">
        <f>IF(ISNUMBER(SEARCH(SUBSTITUTE(AM$1,RIGHT(AM$1,2),""),VLOOKUP($D127,素材!$1:$1016,COLUMN($F$1),FALSE))),VLOOKUP($C127,武器!$1:$998,COLUMN($O$1),FALSE)*VLOOKUP($D127,素材!$1:$1016,COLUMN($E$1),FALSE)/(LEN(VLOOKUP($D127,素材!$1:$1016,COLUMN($F$1),FALSE)) - LEN(SUBSTITUTE(VLOOKUP($D127,素材!$1:$1016,COLUMN($F$1),FALSE), "・", 0)) + 1), 0)</f>
        <v>0</v>
      </c>
      <c r="AN127">
        <f>IF(ISNUMBER(SEARCH(SUBSTITUTE(AN$1,RIGHT(AN$1,2),""),VLOOKUP($D127,素材!$1:$1016,COLUMN($F$1),FALSE))),VLOOKUP($C127,武器!$1:$998,COLUMN($O$1),FALSE)*VLOOKUP($D127,素材!$1:$1016,COLUMN($E$1),FALSE)/(LEN(VLOOKUP($D127,素材!$1:$1016,COLUMN($F$1),FALSE)) - LEN(SUBSTITUTE(VLOOKUP($D127,素材!$1:$1016,COLUMN($F$1),FALSE), "・", 0)) + 1), 0)</f>
        <v>0</v>
      </c>
      <c r="AO127">
        <f>IF(ISNUMBER(SEARCH(SUBSTITUTE(AO$1,RIGHT(AO$1,2),""),VLOOKUP($D127,素材!$1:$1016,COLUMN($F$1),FALSE))),VLOOKUP($C127,武器!$1:$998,COLUMN($O$1),FALSE)*VLOOKUP($D127,素材!$1:$1016,COLUMN($E$1),FALSE)/(LEN(VLOOKUP($D127,素材!$1:$1016,COLUMN($F$1),FALSE)) - LEN(SUBSTITUTE(VLOOKUP($D127,素材!$1:$1016,COLUMN($F$1),FALSE), "・", 0)) + 1), 0)</f>
        <v>0</v>
      </c>
      <c r="AP127">
        <f>IF(ISNUMBER(SEARCH(SUBSTITUTE(AP$1,RIGHT(AP$1,2),""),VLOOKUP($D127,素材!$1:$1016,COLUMN($F$1),FALSE))),VLOOKUP($C127,武器!$1:$998,COLUMN($O$1),FALSE)*VLOOKUP($D127,素材!$1:$1016,COLUMN($E$1),FALSE)/(LEN(VLOOKUP($D127,素材!$1:$1016,COLUMN($F$1),FALSE)) - LEN(SUBSTITUTE(VLOOKUP($D127,素材!$1:$1016,COLUMN($F$1),FALSE), "・", 0)) + 1), 0)</f>
        <v>0</v>
      </c>
      <c r="AQ127">
        <f>IF(ISNUMBER(SEARCH(SUBSTITUTE(AQ$1,RIGHT(AQ$1,2),""),VLOOKUP($D127,素材!$1:$1016,COLUMN($F$1),FALSE))),VLOOKUP($C127,武器!$1:$998,COLUMN($O$1),FALSE)*VLOOKUP($D127,素材!$1:$1016,COLUMN($E$1),FALSE)/(LEN(VLOOKUP($D127,素材!$1:$1016,COLUMN($F$1),FALSE)) - LEN(SUBSTITUTE(VLOOKUP($D127,素材!$1:$1016,COLUMN($F$1),FALSE), "・", 0)) + 1), 0)</f>
        <v>0</v>
      </c>
      <c r="AR127">
        <f>IF(ISNUMBER(SEARCH(SUBSTITUTE(AR$1,RIGHT(AR$1,2),""),VLOOKUP($D127,素材!$1:$1016,COLUMN($F$1),FALSE))),VLOOKUP($C127,武器!$1:$998,COLUMN($O$1),FALSE)*VLOOKUP($D127,素材!$1:$1016,COLUMN($E$1),FALSE)/(LEN(VLOOKUP($D127,素材!$1:$1016,COLUMN($F$1),FALSE)) - LEN(SUBSTITUTE(VLOOKUP($D127,素材!$1:$1016,COLUMN($F$1),FALSE), "・", 0)) + 1), 0)</f>
        <v>0</v>
      </c>
      <c r="AS127">
        <f>IF(ISNUMBER(SEARCH(SUBSTITUTE(AS$1,RIGHT(AS$1,2),""),VLOOKUP($D127,素材!$1:$1016,COLUMN($F$1),FALSE))),VLOOKUP($C127,武器!$1:$998,COLUMN($O$1),FALSE)*VLOOKUP($D127,素材!$1:$1016,COLUMN($E$1),FALSE)/(LEN(VLOOKUP($D127,素材!$1:$1016,COLUMN($F$1),FALSE)) - LEN(SUBSTITUTE(VLOOKUP($D127,素材!$1:$1016,COLUMN($F$1),FALSE), "・", 0)) + 1), 0)</f>
        <v>0</v>
      </c>
      <c r="AT127">
        <f>IF(ISNUMBER(SEARCH(SUBSTITUTE(AT$1,RIGHT(AT$1,2),""),VLOOKUP($D127,素材!$1:$1016,COLUMN($F$1),FALSE))),VLOOKUP($C127,武器!$1:$998,COLUMN($O$1),FALSE)*VLOOKUP($D127,素材!$1:$1016,COLUMN($E$1),FALSE)/(LEN(VLOOKUP($D127,素材!$1:$1016,COLUMN($F$1),FALSE)) - LEN(SUBSTITUTE(VLOOKUP($D127,素材!$1:$1016,COLUMN($F$1),FALSE), "・", 0)) + 1), 0)</f>
        <v>0</v>
      </c>
      <c r="AU127">
        <f>IF(ISNUMBER(SEARCH(SUBSTITUTE(AU$1,RIGHT(AU$1,2),""),VLOOKUP($D127,素材!$1:$1016,COLUMN($F$1),FALSE))),VLOOKUP($C127,武器!$1:$998,COLUMN($O$1),FALSE)*VLOOKUP($D127,素材!$1:$1016,COLUMN($E$1),FALSE)/(LEN(VLOOKUP($D127,素材!$1:$1016,COLUMN($F$1),FALSE)) - LEN(SUBSTITUTE(VLOOKUP($D127,素材!$1:$1016,COLUMN($F$1),FALSE), "・", 0)) + 1), 0)</f>
        <v>0</v>
      </c>
      <c r="AV127">
        <f>IF(ISNUMBER(SEARCH(SUBSTITUTE(AV$1,RIGHT(AV$1,2),""),VLOOKUP($D127,素材!$1:$1016,COLUMN($F$1),FALSE))),VLOOKUP($C127,武器!$1:$998,COLUMN($O$1),FALSE)*VLOOKUP($D127,素材!$1:$1016,COLUMN($E$1),FALSE)/(LEN(VLOOKUP($D127,素材!$1:$1016,COLUMN($F$1),FALSE)) - LEN(SUBSTITUTE(VLOOKUP($D127,素材!$1:$1016,COLUMN($F$1),FALSE), "・", 0)) + 1), 0)</f>
        <v>0</v>
      </c>
      <c r="AW127">
        <f>IF(ISNUMBER(SEARCH(SUBSTITUTE(AW$1,RIGHT(AW$1,2),""),VLOOKUP($D127,素材!$1:$1016,COLUMN($F$1),FALSE))),VLOOKUP($C127,武器!$1:$998,COLUMN($O$1),FALSE)*VLOOKUP($D127,素材!$1:$1016,COLUMN($E$1),FALSE)/(LEN(VLOOKUP($D127,素材!$1:$1016,COLUMN($F$1),FALSE)) - LEN(SUBSTITUTE(VLOOKUP($D127,素材!$1:$1016,COLUMN($F$1),FALSE), "・", 0)) + 1), 0)</f>
        <v>0</v>
      </c>
      <c r="AX127">
        <f>IF(ISNUMBER(SEARCH(SUBSTITUTE(AX$1,RIGHT(AX$1,2),""),VLOOKUP($D127,素材!$1:$1016,COLUMN($F$1),FALSE))),VLOOKUP($C127,武器!$1:$998,COLUMN($O$1),FALSE)*VLOOKUP($D127,素材!$1:$1016,COLUMN($E$1),FALSE)/(LEN(VLOOKUP($D127,素材!$1:$1016,COLUMN($F$1),FALSE)) - LEN(SUBSTITUTE(VLOOKUP($D127,素材!$1:$1016,COLUMN($F$1),FALSE), "・", 0)) + 1), 0)</f>
        <v>0</v>
      </c>
      <c r="AY127">
        <f>IF(ISNUMBER(SEARCH(SUBSTITUTE(AY$1,RIGHT(AY$1,2),""),VLOOKUP($D127,素材!$1:$1016,COLUMN($F$1),FALSE))),VLOOKUP($C127,武器!$1:$998,COLUMN($O$1),FALSE)*VLOOKUP($D127,素材!$1:$1016,COLUMN($E$1),FALSE)/(LEN(VLOOKUP($D127,素材!$1:$1016,COLUMN($F$1),FALSE)) - LEN(SUBSTITUTE(VLOOKUP($D127,素材!$1:$1016,COLUMN($F$1),FALSE), "・", 0)) + 1), 0)</f>
        <v>0</v>
      </c>
      <c r="AZ127">
        <f>IF(ISNUMBER(SEARCH(SUBSTITUTE(AZ$1,RIGHT(AZ$1,2),""),VLOOKUP($D127,素材!$1:$1016,COLUMN($F$1),FALSE))),VLOOKUP($C127,武器!$1:$998,COLUMN($O$1),FALSE)*VLOOKUP($D127,素材!$1:$1016,COLUMN($E$1),FALSE)/(LEN(VLOOKUP($D127,素材!$1:$1016,COLUMN($F$1),FALSE)) - LEN(SUBSTITUTE(VLOOKUP($D127,素材!$1:$1016,COLUMN($F$1),FALSE), "・", 0)) + 1), 0)</f>
        <v>0</v>
      </c>
      <c r="BA127">
        <f>IF(ISNUMBER(SEARCH(SUBSTITUTE(BA$1,RIGHT(BA$1,2),""),VLOOKUP($D127,素材!$1:$1016,COLUMN($F$1),FALSE))),VLOOKUP($C127,武器!$1:$998,COLUMN($O$1),FALSE)*VLOOKUP($D127,素材!$1:$1016,COLUMN($E$1),FALSE)/(LEN(VLOOKUP($D127,素材!$1:$1016,COLUMN($F$1),FALSE)) - LEN(SUBSTITUTE(VLOOKUP($D127,素材!$1:$1016,COLUMN($F$1),FALSE), "・", 0)) + 1), 0)</f>
        <v>0</v>
      </c>
      <c r="BB127">
        <f>IF(ISNUMBER(SEARCH(SUBSTITUTE(BB$1,RIGHT(BB$1,2),""),VLOOKUP($D127,素材!$1:$1016,COLUMN($F$1),FALSE))),VLOOKUP($C127,武器!$1:$998,COLUMN($O$1),FALSE)*VLOOKUP($D127,素材!$1:$1016,COLUMN($E$1),FALSE)/(LEN(VLOOKUP($D127,素材!$1:$1016,COLUMN($F$1),FALSE)) - LEN(SUBSTITUTE(VLOOKUP($D127,素材!$1:$1016,COLUMN($F$1),FALSE), "・", 0)) + 1), 0)</f>
        <v>0</v>
      </c>
      <c r="BC127">
        <f>IF(ISNUMBER(SEARCH(SUBSTITUTE(BC$1,RIGHT(BC$1,2),""),VLOOKUP($D127,素材!$1:$1016,COLUMN($F$1),FALSE))),VLOOKUP($C127,武器!$1:$998,COLUMN($O$1),FALSE)*VLOOKUP($D127,素材!$1:$1016,COLUMN($E$1),FALSE)/(LEN(VLOOKUP($D127,素材!$1:$1016,COLUMN($F$1),FALSE)) - LEN(SUBSTITUTE(VLOOKUP($D127,素材!$1:$1016,COLUMN($F$1),FALSE), "・", 0)) + 1), 0)</f>
        <v>0</v>
      </c>
      <c r="BD127">
        <f>IF(ISNUMBER(SEARCH(SUBSTITUTE(BD$1,RIGHT(BD$1,2),""),VLOOKUP($D127,素材!$1:$1016,COLUMN($F$1),FALSE))),VLOOKUP($C127,武器!$1:$998,COLUMN($O$1),FALSE)*VLOOKUP($D127,素材!$1:$1016,COLUMN($E$1),FALSE)/(LEN(VLOOKUP($D127,素材!$1:$1016,COLUMN($F$1),FALSE)) - LEN(SUBSTITUTE(VLOOKUP($D127,素材!$1:$1016,COLUMN($F$1),FALSE), "・", 0)) + 1), 0)</f>
        <v>0</v>
      </c>
      <c r="BE127">
        <f>IF(ISNUMBER(SEARCH(SUBSTITUTE(BE$1,RIGHT(BE$1,2),""),VLOOKUP($D127,素材!$1:$1016,COLUMN($F$1),FALSE))),VLOOKUP($C127,武器!$1:$998,COLUMN($O$1),FALSE)*VLOOKUP($D127,素材!$1:$1016,COLUMN($E$1),FALSE)/(LEN(VLOOKUP($D127,素材!$1:$1016,COLUMN($F$1),FALSE)) - LEN(SUBSTITUTE(VLOOKUP($D127,素材!$1:$1016,COLUMN($F$1),FALSE), "・", 0)) + 1), 0)</f>
        <v>0</v>
      </c>
      <c r="CL127">
        <f>SUM(G127:I127)</f>
        <v>15</v>
      </c>
      <c r="CM127" s="22" t="str">
        <f>IF(E127="武器",IF(J127-1&gt;SUM(G127:I127),"盾",IF(MAX(G127:I127)=G127,"切断",IF(MAX(G127:I127)=H127,"貫通",IF(MAX(G127:I127)=I127,"打撃","射撃")))),E127)&amp;".webp"</f>
        <v>足.webp</v>
      </c>
      <c r="CN127">
        <f>IFERROR(VLOOKUP($C127,武器!$1:$998,COLUMN(V$1),FALSE)*VLOOKUP($D127,素材!$1:$1016,COLUMN(N$1),FALSE)+IF(CI127="",0,VLOOKUP($CI127,装強!$1:$1008,COLUMN($CK$1),FALSE)),"")</f>
        <v>200</v>
      </c>
      <c r="CO127" t="str">
        <f>VLOOKUP(D127,素材!$A:$O,COLUMN(素材!O$1),FALSE)</f>
        <v>野生動物から得られる丈夫な皮素材。皮装備の性能を向上させ、基本的な防護性能を備えています。</v>
      </c>
      <c r="CP127" t="str">
        <f>VLOOKUP(C127,武器!$A:$W,COLUMN(武器!W$1),FALSE)</f>
        <v>速度 隠密 軽業 体幹</v>
      </c>
      <c r="CR127" t="str">
        <f t="shared" si="5"/>
        <v>e_127</v>
      </c>
      <c r="CS127">
        <f t="shared" si="6"/>
        <v>20000</v>
      </c>
    </row>
    <row r="128" spans="1:97" outlineLevel="1" x14ac:dyDescent="0.4">
      <c r="A128" t="str">
        <f t="shared" ref="A128" si="13">D128&amp;"の"&amp;C128</f>
        <v>軽皮の帽子</v>
      </c>
      <c r="B128" t="str">
        <f>IFERROR(VLOOKUP($D128,素材!$1:$1016,COLUMN($B$1),FALSE)&amp;"・"&amp;VLOOKUP($C128,武器!$1:$998,COLUMN(B$1),FALSE),"")</f>
        <v>ライトレザー・ハット</v>
      </c>
      <c r="C128" t="s">
        <v>1195</v>
      </c>
      <c r="D128" s="24" t="s">
        <v>250</v>
      </c>
      <c r="E128" t="str">
        <f>IFERROR(VLOOKUP(C128,武器!$1:$998,COLUMN(C$1),FALSE),"")</f>
        <v>頭</v>
      </c>
      <c r="F128">
        <f>IFERROR(ROUNDDOWN((VLOOKUP($C128,武器!$1:$998,COLUMN(D$1),FALSE)+IFERROR(VLOOKUP($CI128,装強!$1:$999,COLUMN(F$1),FALSE),0))*VLOOKUP($D128,素材!$1:$1016,COLUMN(D$1),FALSE),0),"")</f>
        <v>0</v>
      </c>
      <c r="G128">
        <f>IFERROR(ROUNDDOWN((VLOOKUP($C128,武器!$1:$998,COLUMN(E$1),FALSE)+IFERROR(VLOOKUP($CI128,装強!$1:$999,COLUMN(G$1),FALSE),0))*VLOOKUP($D128,素材!$1:$1016,COLUMN($E$1),FALSE),0),"")</f>
        <v>0</v>
      </c>
      <c r="H128">
        <f>IFERROR(ROUNDDOWN((VLOOKUP($C128,武器!$1:$998,COLUMN(F$1),FALSE)+IFERROR(VLOOKUP($CI128,装強!$1:$999,COLUMN(H$1),FALSE),0))*VLOOKUP($D128,素材!$1:$1016,COLUMN($E$1),FALSE),0),"")</f>
        <v>0</v>
      </c>
      <c r="I128">
        <f>IFERROR(ROUNDDOWN((VLOOKUP($C128,武器!$1:$998,COLUMN(G$1),FALSE)+IFERROR(VLOOKUP($CI128,装強!$1:$999,COLUMN(I$1),FALSE),0))*VLOOKUP($D128,素材!$1:$1016,COLUMN($E$1),FALSE),0),"")</f>
        <v>0</v>
      </c>
      <c r="J128">
        <f>IFERROR(ROUNDDOWN((VLOOKUP($C128,武器!$1:$998,COLUMN(H$1),FALSE)+IFERROR(VLOOKUP($CI128,装強!$1:$999,COLUMN(J$1),FALSE),0))*VLOOKUP($D128,素材!$1:$1016,COLUMN($E$1),FALSE),0),"")</f>
        <v>0</v>
      </c>
      <c r="K128">
        <f>IFERROR(ROUNDDOWN((VLOOKUP($C128,武器!$1:$998,COLUMN(I$1),FALSE)+IFERROR(VLOOKUP($CI128,装強!$1:$999,COLUMN(K$1),FALSE),0))*VLOOKUP($D128,素材!$1:$1016,COLUMN($E$1),FALSE),0),"")</f>
        <v>0</v>
      </c>
      <c r="L128" t="str">
        <f>IFERROR(VLOOKUP($D128,素材!$1:$1016,COLUMN($F$1),FALSE),"")</f>
        <v>-</v>
      </c>
      <c r="M128" t="str">
        <f>IFERROR(VLOOKUP($C128,武器!$1:$998,COLUMN(AA$1),FALSE)*VLOOKUP($D128,素材!$1:$1016,COLUMN($G$1),FALSE),"")</f>
        <v/>
      </c>
      <c r="N128">
        <f>IFERROR(VLOOKUP($C128,武器!$1:$998,COLUMN(I$1),FALSE),"")</f>
        <v>0</v>
      </c>
      <c r="O128" s="23" t="str">
        <f>IFERROR((VLOOKUP($C128,武器!$1:$998,COLUMN(K$1),FALSE)+VLOOKUP($D128,素材!$1:$1016,COLUMN(H$1),FALSE))*100+IFERROR(VLOOKUP($CI128,装強!$1:$999,COLUMN(O$1),FALSE),0),"")</f>
        <v/>
      </c>
      <c r="P128" s="23" t="str">
        <f>IFERROR((VLOOKUP($C128,武器!$1:$998,COLUMN(L$1),FALSE)+VLOOKUP($D128,素材!$1:$1016,COLUMN(I$1),FALSE))*100+IFERROR(VLOOKUP($CI128,装強!$1:$999,COLUMN(P$1),FALSE),0),"")</f>
        <v/>
      </c>
      <c r="Q128">
        <f>IFERROR(ROUNDUP(VLOOKUP($C128,武器!$1:$998,COLUMN(M$1),FALSE)*(VLOOKUP($D128,素材!$1:$1002,COLUMN(D$1),FALSE)/100),1),"")</f>
        <v>0</v>
      </c>
      <c r="R128">
        <f>IFERROR(ROUNDUP(VLOOKUP($C128,武器!$1:$998,COLUMN(N$1),FALSE)*(VLOOKUP($D128,素材!$1:$1002,COLUMN(D$1),FALSE)/100),1),"")</f>
        <v>0</v>
      </c>
      <c r="S128">
        <f>IFERROR(VLOOKUP($C128,武器!$1:$998,COLUMN(P$1),FALSE),"")</f>
        <v>0</v>
      </c>
      <c r="T128">
        <f>IFERROR(VLOOKUP($C128,武器!$1:$998,COLUMN(Q$1),FALSE),"")</f>
        <v>0</v>
      </c>
      <c r="U128">
        <f>IFERROR(VLOOKUP($C128,武器!$1:$998,COLUMN(R$1),FALSE),"")</f>
        <v>0</v>
      </c>
      <c r="V128">
        <f>IFERROR(VLOOKUP($C128,武器!$1:$998,COLUMN(Q$1),FALSE),"")</f>
        <v>0</v>
      </c>
      <c r="W128">
        <f>IFERROR(VLOOKUP($C128,武器!$1:$998,COLUMN(T$1),FALSE),"")</f>
        <v>0</v>
      </c>
      <c r="Y128">
        <f>IFERROR(VLOOKUP($C128,武器!$1:$998,COLUMN(U$1),FALSE),"")</f>
        <v>0</v>
      </c>
      <c r="Z128">
        <f>IFERROR(ROUNDUP(VLOOKUP($C128,武器!$1:$998,COLUMN(O$1),FALSE)*VLOOKUP($D128,素材!$1:$1016,COLUMN(E$1),FALSE),1),"")</f>
        <v>1.5</v>
      </c>
      <c r="AA128">
        <f>IF(ISNUMBER(SEARCH(SUBSTITUTE(AA$1,RIGHT(AA$1,2),""),VLOOKUP($D128,素材!$1:$1016,COLUMN($F$1),FALSE))),VLOOKUP($C128,武器!$1:$998,COLUMN($O$1),FALSE)*VLOOKUP($D128,素材!$1:$1016,COLUMN($E$1),FALSE)/(LEN(VLOOKUP($D128,素材!$1:$1016,COLUMN($F$1),FALSE)) - LEN(SUBSTITUTE(VLOOKUP($D128,素材!$1:$1016,COLUMN($F$1),FALSE), "・", 0)) + 1), 0)</f>
        <v>0</v>
      </c>
      <c r="AB128">
        <f>IF(ISNUMBER(SEARCH(SUBSTITUTE(AB$1,RIGHT(AB$1,2),""),VLOOKUP($D128,素材!$1:$1016,COLUMN($F$1),FALSE))),VLOOKUP($C128,武器!$1:$998,COLUMN($O$1),FALSE)*VLOOKUP($D128,素材!$1:$1016,COLUMN($E$1),FALSE)/(LEN(VLOOKUP($D128,素材!$1:$1016,COLUMN($F$1),FALSE)) - LEN(SUBSTITUTE(VLOOKUP($D128,素材!$1:$1016,COLUMN($F$1),FALSE), "・", 0)) + 1), 0)</f>
        <v>0</v>
      </c>
      <c r="AC128">
        <f>IF(ISNUMBER(SEARCH(SUBSTITUTE(AC$1,RIGHT(AC$1,2),""),VLOOKUP($D128,素材!$1:$1016,COLUMN($F$1),FALSE))),VLOOKUP($C128,武器!$1:$998,COLUMN($O$1),FALSE)*VLOOKUP($D128,素材!$1:$1016,COLUMN($E$1),FALSE)/(LEN(VLOOKUP($D128,素材!$1:$1016,COLUMN($F$1),FALSE)) - LEN(SUBSTITUTE(VLOOKUP($D128,素材!$1:$1016,COLUMN($F$1),FALSE), "・", 0)) + 1), 0)</f>
        <v>0</v>
      </c>
      <c r="AD128">
        <f>IF(ISNUMBER(SEARCH(SUBSTITUTE(AD$1,RIGHT(AD$1,2),""),VLOOKUP($D128,素材!$1:$1016,COLUMN($F$1),FALSE))),VLOOKUP($C128,武器!$1:$998,COLUMN($O$1),FALSE)*VLOOKUP($D128,素材!$1:$1016,COLUMN($E$1),FALSE)/(LEN(VLOOKUP($D128,素材!$1:$1016,COLUMN($F$1),FALSE)) - LEN(SUBSTITUTE(VLOOKUP($D128,素材!$1:$1016,COLUMN($F$1),FALSE), "・", 0)) + 1), 0)</f>
        <v>0</v>
      </c>
      <c r="AE128">
        <f>IF(ISNUMBER(SEARCH(SUBSTITUTE(AE$1,RIGHT(AE$1,2),""),VLOOKUP($D128,素材!$1:$1016,COLUMN($F$1),FALSE))),VLOOKUP($C128,武器!$1:$998,COLUMN($O$1),FALSE)*VLOOKUP($D128,素材!$1:$1016,COLUMN($E$1),FALSE)/(LEN(VLOOKUP($D128,素材!$1:$1016,COLUMN($F$1),FALSE)) - LEN(SUBSTITUTE(VLOOKUP($D128,素材!$1:$1016,COLUMN($F$1),FALSE), "・", 0)) + 1), 0)</f>
        <v>0</v>
      </c>
      <c r="AF128">
        <f>IF(ISNUMBER(SEARCH(SUBSTITUTE(AF$1,RIGHT(AF$1,2),""),VLOOKUP($D128,素材!$1:$1016,COLUMN($F$1),FALSE))),VLOOKUP($C128,武器!$1:$998,COLUMN($O$1),FALSE)*VLOOKUP($D128,素材!$1:$1016,COLUMN($E$1),FALSE)/(LEN(VLOOKUP($D128,素材!$1:$1016,COLUMN($F$1),FALSE)) - LEN(SUBSTITUTE(VLOOKUP($D128,素材!$1:$1016,COLUMN($F$1),FALSE), "・", 0)) + 1), 0)</f>
        <v>0</v>
      </c>
      <c r="AG128">
        <f>IF(ISNUMBER(SEARCH(SUBSTITUTE(AG$1,RIGHT(AG$1,2),""),VLOOKUP($D128,素材!$1:$1016,COLUMN($F$1),FALSE))),VLOOKUP($C128,武器!$1:$998,COLUMN($O$1),FALSE)*VLOOKUP($D128,素材!$1:$1016,COLUMN($E$1),FALSE)/(LEN(VLOOKUP($D128,素材!$1:$1016,COLUMN($F$1),FALSE)) - LEN(SUBSTITUTE(VLOOKUP($D128,素材!$1:$1016,COLUMN($F$1),FALSE), "・", 0)) + 1), 0)</f>
        <v>0</v>
      </c>
      <c r="AH128">
        <f>IF(ISNUMBER(SEARCH(SUBSTITUTE(AH$1,RIGHT(AH$1,2),""),VLOOKUP($D128,素材!$1:$1016,COLUMN($F$1),FALSE))),VLOOKUP($C128,武器!$1:$998,COLUMN($O$1),FALSE)*VLOOKUP($D128,素材!$1:$1016,COLUMN($E$1),FALSE)/(LEN(VLOOKUP($D128,素材!$1:$1016,COLUMN($F$1),FALSE)) - LEN(SUBSTITUTE(VLOOKUP($D128,素材!$1:$1016,COLUMN($F$1),FALSE), "・", 0)) + 1), 0)</f>
        <v>0</v>
      </c>
      <c r="AI128">
        <f>IF(ISNUMBER(SEARCH(SUBSTITUTE(AI$1,RIGHT(AI$1,2),""),VLOOKUP($D128,素材!$1:$1016,COLUMN($F$1),FALSE))),VLOOKUP($C128,武器!$1:$998,COLUMN($O$1),FALSE)*VLOOKUP($D128,素材!$1:$1016,COLUMN($E$1),FALSE)/(LEN(VLOOKUP($D128,素材!$1:$1016,COLUMN($F$1),FALSE)) - LEN(SUBSTITUTE(VLOOKUP($D128,素材!$1:$1016,COLUMN($F$1),FALSE), "・", 0)) + 1), 0)</f>
        <v>0</v>
      </c>
      <c r="AJ128">
        <f>IF(ISNUMBER(SEARCH(SUBSTITUTE(AJ$1,RIGHT(AJ$1,2),""),VLOOKUP($D128,素材!$1:$1016,COLUMN($F$1),FALSE))),VLOOKUP($C128,武器!$1:$998,COLUMN($O$1),FALSE)*VLOOKUP($D128,素材!$1:$1016,COLUMN($E$1),FALSE)/(LEN(VLOOKUP($D128,素材!$1:$1016,COLUMN($F$1),FALSE)) - LEN(SUBSTITUTE(VLOOKUP($D128,素材!$1:$1016,COLUMN($F$1),FALSE), "・", 0)) + 1), 0)</f>
        <v>0</v>
      </c>
      <c r="AK128">
        <f>IF(ISNUMBER(SEARCH(SUBSTITUTE(AK$1,RIGHT(AK$1,2),""),VLOOKUP($D128,素材!$1:$1016,COLUMN($F$1),FALSE))),VLOOKUP($C128,武器!$1:$998,COLUMN($O$1),FALSE)*VLOOKUP($D128,素材!$1:$1016,COLUMN($E$1),FALSE)/(LEN(VLOOKUP($D128,素材!$1:$1016,COLUMN($F$1),FALSE)) - LEN(SUBSTITUTE(VLOOKUP($D128,素材!$1:$1016,COLUMN($F$1),FALSE), "・", 0)) + 1), 0)</f>
        <v>0</v>
      </c>
      <c r="AL128">
        <f>IF(ISNUMBER(SEARCH(SUBSTITUTE(AL$1,RIGHT(AL$1,2),""),VLOOKUP($D128,素材!$1:$1016,COLUMN($F$1),FALSE))),VLOOKUP($C128,武器!$1:$998,COLUMN($O$1),FALSE)*VLOOKUP($D128,素材!$1:$1016,COLUMN($E$1),FALSE)/(LEN(VLOOKUP($D128,素材!$1:$1016,COLUMN($F$1),FALSE)) - LEN(SUBSTITUTE(VLOOKUP($D128,素材!$1:$1016,COLUMN($F$1),FALSE), "・", 0)) + 1), 0)</f>
        <v>0</v>
      </c>
      <c r="AM128">
        <f>IF(ISNUMBER(SEARCH(SUBSTITUTE(AM$1,RIGHT(AM$1,2),""),VLOOKUP($D128,素材!$1:$1016,COLUMN($F$1),FALSE))),VLOOKUP($C128,武器!$1:$998,COLUMN($O$1),FALSE)*VLOOKUP($D128,素材!$1:$1016,COLUMN($E$1),FALSE)/(LEN(VLOOKUP($D128,素材!$1:$1016,COLUMN($F$1),FALSE)) - LEN(SUBSTITUTE(VLOOKUP($D128,素材!$1:$1016,COLUMN($F$1),FALSE), "・", 0)) + 1), 0)</f>
        <v>0</v>
      </c>
      <c r="AN128">
        <f>IF(ISNUMBER(SEARCH(SUBSTITUTE(AN$1,RIGHT(AN$1,2),""),VLOOKUP($D128,素材!$1:$1016,COLUMN($F$1),FALSE))),VLOOKUP($C128,武器!$1:$998,COLUMN($O$1),FALSE)*VLOOKUP($D128,素材!$1:$1016,COLUMN($E$1),FALSE)/(LEN(VLOOKUP($D128,素材!$1:$1016,COLUMN($F$1),FALSE)) - LEN(SUBSTITUTE(VLOOKUP($D128,素材!$1:$1016,COLUMN($F$1),FALSE), "・", 0)) + 1), 0)</f>
        <v>0</v>
      </c>
      <c r="AO128">
        <f>IF(ISNUMBER(SEARCH(SUBSTITUTE(AO$1,RIGHT(AO$1,2),""),VLOOKUP($D128,素材!$1:$1016,COLUMN($F$1),FALSE))),VLOOKUP($C128,武器!$1:$998,COLUMN($O$1),FALSE)*VLOOKUP($D128,素材!$1:$1016,COLUMN($E$1),FALSE)/(LEN(VLOOKUP($D128,素材!$1:$1016,COLUMN($F$1),FALSE)) - LEN(SUBSTITUTE(VLOOKUP($D128,素材!$1:$1016,COLUMN($F$1),FALSE), "・", 0)) + 1), 0)</f>
        <v>0</v>
      </c>
      <c r="AP128">
        <f>IF(ISNUMBER(SEARCH(SUBSTITUTE(AP$1,RIGHT(AP$1,2),""),VLOOKUP($D128,素材!$1:$1016,COLUMN($F$1),FALSE))),VLOOKUP($C128,武器!$1:$998,COLUMN($O$1),FALSE)*VLOOKUP($D128,素材!$1:$1016,COLUMN($E$1),FALSE)/(LEN(VLOOKUP($D128,素材!$1:$1016,COLUMN($F$1),FALSE)) - LEN(SUBSTITUTE(VLOOKUP($D128,素材!$1:$1016,COLUMN($F$1),FALSE), "・", 0)) + 1), 0)</f>
        <v>0</v>
      </c>
      <c r="AQ128">
        <f>IF(ISNUMBER(SEARCH(SUBSTITUTE(AQ$1,RIGHT(AQ$1,2),""),VLOOKUP($D128,素材!$1:$1016,COLUMN($F$1),FALSE))),VLOOKUP($C128,武器!$1:$998,COLUMN($O$1),FALSE)*VLOOKUP($D128,素材!$1:$1016,COLUMN($E$1),FALSE)/(LEN(VLOOKUP($D128,素材!$1:$1016,COLUMN($F$1),FALSE)) - LEN(SUBSTITUTE(VLOOKUP($D128,素材!$1:$1016,COLUMN($F$1),FALSE), "・", 0)) + 1), 0)</f>
        <v>0</v>
      </c>
      <c r="AR128">
        <f>IF(ISNUMBER(SEARCH(SUBSTITUTE(AR$1,RIGHT(AR$1,2),""),VLOOKUP($D128,素材!$1:$1016,COLUMN($F$1),FALSE))),VLOOKUP($C128,武器!$1:$998,COLUMN($O$1),FALSE)*VLOOKUP($D128,素材!$1:$1016,COLUMN($E$1),FALSE)/(LEN(VLOOKUP($D128,素材!$1:$1016,COLUMN($F$1),FALSE)) - LEN(SUBSTITUTE(VLOOKUP($D128,素材!$1:$1016,COLUMN($F$1),FALSE), "・", 0)) + 1), 0)</f>
        <v>0</v>
      </c>
      <c r="AS128">
        <f>IF(ISNUMBER(SEARCH(SUBSTITUTE(AS$1,RIGHT(AS$1,2),""),VLOOKUP($D128,素材!$1:$1016,COLUMN($F$1),FALSE))),VLOOKUP($C128,武器!$1:$998,COLUMN($O$1),FALSE)*VLOOKUP($D128,素材!$1:$1016,COLUMN($E$1),FALSE)/(LEN(VLOOKUP($D128,素材!$1:$1016,COLUMN($F$1),FALSE)) - LEN(SUBSTITUTE(VLOOKUP($D128,素材!$1:$1016,COLUMN($F$1),FALSE), "・", 0)) + 1), 0)</f>
        <v>0</v>
      </c>
      <c r="AT128">
        <f>IF(ISNUMBER(SEARCH(SUBSTITUTE(AT$1,RIGHT(AT$1,2),""),VLOOKUP($D128,素材!$1:$1016,COLUMN($F$1),FALSE))),VLOOKUP($C128,武器!$1:$998,COLUMN($O$1),FALSE)*VLOOKUP($D128,素材!$1:$1016,COLUMN($E$1),FALSE)/(LEN(VLOOKUP($D128,素材!$1:$1016,COLUMN($F$1),FALSE)) - LEN(SUBSTITUTE(VLOOKUP($D128,素材!$1:$1016,COLUMN($F$1),FALSE), "・", 0)) + 1), 0)</f>
        <v>0</v>
      </c>
      <c r="AU128">
        <f>IF(ISNUMBER(SEARCH(SUBSTITUTE(AU$1,RIGHT(AU$1,2),""),VLOOKUP($D128,素材!$1:$1016,COLUMN($F$1),FALSE))),VLOOKUP($C128,武器!$1:$998,COLUMN($O$1),FALSE)*VLOOKUP($D128,素材!$1:$1016,COLUMN($E$1),FALSE)/(LEN(VLOOKUP($D128,素材!$1:$1016,COLUMN($F$1),FALSE)) - LEN(SUBSTITUTE(VLOOKUP($D128,素材!$1:$1016,COLUMN($F$1),FALSE), "・", 0)) + 1), 0)</f>
        <v>0</v>
      </c>
      <c r="AV128">
        <f>IF(ISNUMBER(SEARCH(SUBSTITUTE(AV$1,RIGHT(AV$1,2),""),VLOOKUP($D128,素材!$1:$1016,COLUMN($F$1),FALSE))),VLOOKUP($C128,武器!$1:$998,COLUMN($O$1),FALSE)*VLOOKUP($D128,素材!$1:$1016,COLUMN($E$1),FALSE)/(LEN(VLOOKUP($D128,素材!$1:$1016,COLUMN($F$1),FALSE)) - LEN(SUBSTITUTE(VLOOKUP($D128,素材!$1:$1016,COLUMN($F$1),FALSE), "・", 0)) + 1), 0)</f>
        <v>0</v>
      </c>
      <c r="AW128">
        <f>IF(ISNUMBER(SEARCH(SUBSTITUTE(AW$1,RIGHT(AW$1,2),""),VLOOKUP($D128,素材!$1:$1016,COLUMN($F$1),FALSE))),VLOOKUP($C128,武器!$1:$998,COLUMN($O$1),FALSE)*VLOOKUP($D128,素材!$1:$1016,COLUMN($E$1),FALSE)/(LEN(VLOOKUP($D128,素材!$1:$1016,COLUMN($F$1),FALSE)) - LEN(SUBSTITUTE(VLOOKUP($D128,素材!$1:$1016,COLUMN($F$1),FALSE), "・", 0)) + 1), 0)</f>
        <v>0</v>
      </c>
      <c r="AX128">
        <f>IF(ISNUMBER(SEARCH(SUBSTITUTE(AX$1,RIGHT(AX$1,2),""),VLOOKUP($D128,素材!$1:$1016,COLUMN($F$1),FALSE))),VLOOKUP($C128,武器!$1:$998,COLUMN($O$1),FALSE)*VLOOKUP($D128,素材!$1:$1016,COLUMN($E$1),FALSE)/(LEN(VLOOKUP($D128,素材!$1:$1016,COLUMN($F$1),FALSE)) - LEN(SUBSTITUTE(VLOOKUP($D128,素材!$1:$1016,COLUMN($F$1),FALSE), "・", 0)) + 1), 0)</f>
        <v>0</v>
      </c>
      <c r="AY128">
        <f>IF(ISNUMBER(SEARCH(SUBSTITUTE(AY$1,RIGHT(AY$1,2),""),VLOOKUP($D128,素材!$1:$1016,COLUMN($F$1),FALSE))),VLOOKUP($C128,武器!$1:$998,COLUMN($O$1),FALSE)*VLOOKUP($D128,素材!$1:$1016,COLUMN($E$1),FALSE)/(LEN(VLOOKUP($D128,素材!$1:$1016,COLUMN($F$1),FALSE)) - LEN(SUBSTITUTE(VLOOKUP($D128,素材!$1:$1016,COLUMN($F$1),FALSE), "・", 0)) + 1), 0)</f>
        <v>0</v>
      </c>
      <c r="AZ128">
        <f>IF(ISNUMBER(SEARCH(SUBSTITUTE(AZ$1,RIGHT(AZ$1,2),""),VLOOKUP($D128,素材!$1:$1016,COLUMN($F$1),FALSE))),VLOOKUP($C128,武器!$1:$998,COLUMN($O$1),FALSE)*VLOOKUP($D128,素材!$1:$1016,COLUMN($E$1),FALSE)/(LEN(VLOOKUP($D128,素材!$1:$1016,COLUMN($F$1),FALSE)) - LEN(SUBSTITUTE(VLOOKUP($D128,素材!$1:$1016,COLUMN($F$1),FALSE), "・", 0)) + 1), 0)</f>
        <v>0</v>
      </c>
      <c r="BA128">
        <f>IF(ISNUMBER(SEARCH(SUBSTITUTE(BA$1,RIGHT(BA$1,2),""),VLOOKUP($D128,素材!$1:$1016,COLUMN($F$1),FALSE))),VLOOKUP($C128,武器!$1:$998,COLUMN($O$1),FALSE)*VLOOKUP($D128,素材!$1:$1016,COLUMN($E$1),FALSE)/(LEN(VLOOKUP($D128,素材!$1:$1016,COLUMN($F$1),FALSE)) - LEN(SUBSTITUTE(VLOOKUP($D128,素材!$1:$1016,COLUMN($F$1),FALSE), "・", 0)) + 1), 0)</f>
        <v>0</v>
      </c>
      <c r="BB128">
        <f>IF(ISNUMBER(SEARCH(SUBSTITUTE(BB$1,RIGHT(BB$1,2),""),VLOOKUP($D128,素材!$1:$1016,COLUMN($F$1),FALSE))),VLOOKUP($C128,武器!$1:$998,COLUMN($O$1),FALSE)*VLOOKUP($D128,素材!$1:$1016,COLUMN($E$1),FALSE)/(LEN(VLOOKUP($D128,素材!$1:$1016,COLUMN($F$1),FALSE)) - LEN(SUBSTITUTE(VLOOKUP($D128,素材!$1:$1016,COLUMN($F$1),FALSE), "・", 0)) + 1), 0)</f>
        <v>0</v>
      </c>
      <c r="BC128">
        <f>IF(ISNUMBER(SEARCH(SUBSTITUTE(BC$1,RIGHT(BC$1,2),""),VLOOKUP($D128,素材!$1:$1016,COLUMN($F$1),FALSE))),VLOOKUP($C128,武器!$1:$998,COLUMN($O$1),FALSE)*VLOOKUP($D128,素材!$1:$1016,COLUMN($E$1),FALSE)/(LEN(VLOOKUP($D128,素材!$1:$1016,COLUMN($F$1),FALSE)) - LEN(SUBSTITUTE(VLOOKUP($D128,素材!$1:$1016,COLUMN($F$1),FALSE), "・", 0)) + 1), 0)</f>
        <v>0</v>
      </c>
      <c r="BD128">
        <f>IF(ISNUMBER(SEARCH(SUBSTITUTE(BD$1,RIGHT(BD$1,2),""),VLOOKUP($D128,素材!$1:$1016,COLUMN($F$1),FALSE))),VLOOKUP($C128,武器!$1:$998,COLUMN($O$1),FALSE)*VLOOKUP($D128,素材!$1:$1016,COLUMN($E$1),FALSE)/(LEN(VLOOKUP($D128,素材!$1:$1016,COLUMN($F$1),FALSE)) - LEN(SUBSTITUTE(VLOOKUP($D128,素材!$1:$1016,COLUMN($F$1),FALSE), "・", 0)) + 1), 0)</f>
        <v>0</v>
      </c>
      <c r="BE128">
        <f>IF(ISNUMBER(SEARCH(SUBSTITUTE(BE$1,RIGHT(BE$1,2),""),VLOOKUP($D128,素材!$1:$1016,COLUMN($F$1),FALSE))),VLOOKUP($C128,武器!$1:$998,COLUMN($O$1),FALSE)*VLOOKUP($D128,素材!$1:$1016,COLUMN($E$1),FALSE)/(LEN(VLOOKUP($D128,素材!$1:$1016,COLUMN($F$1),FALSE)) - LEN(SUBSTITUTE(VLOOKUP($D128,素材!$1:$1016,COLUMN($F$1),FALSE), "・", 0)) + 1), 0)</f>
        <v>0</v>
      </c>
      <c r="CL128">
        <f>SUM(G128:I128)</f>
        <v>0</v>
      </c>
      <c r="CM128" s="22" t="str">
        <f>IF(E128="武器",IF(J128-1&gt;SUM(G128:I128),"盾",IF(MAX(G128:I128)=G128,"切断",IF(MAX(G128:I128)=H128,"貫通",IF(MAX(G128:I128)=I128,"打撃","射撃")))),E128)&amp;".webp"</f>
        <v>頭.webp</v>
      </c>
      <c r="CN128">
        <f>IFERROR(VLOOKUP($C128,武器!$1:$998,COLUMN(V$1),FALSE)*VLOOKUP($D128,素材!$1:$1016,COLUMN(N$1),FALSE)+IF(CI128="",0,VLOOKUP($CI128,装強!$1:$1008,COLUMN($CK$1),FALSE)),"")</f>
        <v>500</v>
      </c>
      <c r="CO128" t="str">
        <f>VLOOKUP(D128,素材!$A:$O,COLUMN(素材!O$1),FALSE)</f>
        <v>高品質な加工を施した軽量の皮素材。軽量化により動きやすさを確保しつつ、適度な防御力を提供します。</v>
      </c>
      <c r="CP128" t="str">
        <f>VLOOKUP(C128,武器!$A:$W,COLUMN(武器!W$1),FALSE)</f>
        <v>命中 魔防 Cr</v>
      </c>
      <c r="CR128" t="str">
        <f t="shared" si="5"/>
        <v>e_128</v>
      </c>
      <c r="CS128">
        <f t="shared" ref="CS128" si="14">CN128*100</f>
        <v>50000</v>
      </c>
    </row>
    <row r="129" spans="1:97" outlineLevel="1" x14ac:dyDescent="0.4">
      <c r="A129" t="str">
        <f t="shared" si="7"/>
        <v>軽皮の衣布</v>
      </c>
      <c r="B129" t="str">
        <f>IFERROR(VLOOKUP($D129,素材!$1:$1016,COLUMN($B$1),FALSE)&amp;"・"&amp;VLOOKUP($C129,武器!$1:$998,COLUMN(B$1),FALSE),"")</f>
        <v>ライトレザー・クロース</v>
      </c>
      <c r="C129" t="s">
        <v>247</v>
      </c>
      <c r="D129" s="24" t="s">
        <v>250</v>
      </c>
      <c r="E129" t="str">
        <f>IFERROR(VLOOKUP(C129,武器!$1:$998,COLUMN(C$1),FALSE),"")</f>
        <v>体</v>
      </c>
      <c r="F129">
        <f>IFERROR(ROUNDDOWN((VLOOKUP($C129,武器!$1:$998,COLUMN(D$1),FALSE)+IFERROR(VLOOKUP($CI129,装強!$1:$999,COLUMN(F$1),FALSE),0))*VLOOKUP($D129,素材!$1:$1016,COLUMN(D$1),FALSE),0),"")</f>
        <v>0</v>
      </c>
      <c r="G129">
        <f>IFERROR(ROUNDDOWN((VLOOKUP($C129,武器!$1:$998,COLUMN(E$1),FALSE)+IFERROR(VLOOKUP($CI129,装強!$1:$999,COLUMN(G$1),FALSE),0))*VLOOKUP($D129,素材!$1:$1016,COLUMN($E$1),FALSE),0),"")</f>
        <v>0</v>
      </c>
      <c r="H129">
        <f>IFERROR(ROUNDDOWN((VLOOKUP($C129,武器!$1:$998,COLUMN(F$1),FALSE)+IFERROR(VLOOKUP($CI129,装強!$1:$999,COLUMN(H$1),FALSE),0))*VLOOKUP($D129,素材!$1:$1016,COLUMN($E$1),FALSE),0),"")</f>
        <v>0</v>
      </c>
      <c r="I129">
        <f>IFERROR(ROUNDDOWN((VLOOKUP($C129,武器!$1:$998,COLUMN(G$1),FALSE)+IFERROR(VLOOKUP($CI129,装強!$1:$999,COLUMN(I$1),FALSE),0))*VLOOKUP($D129,素材!$1:$1016,COLUMN($E$1),FALSE),0),"")</f>
        <v>0</v>
      </c>
      <c r="J129">
        <f>IFERROR(ROUNDDOWN((VLOOKUP($C129,武器!$1:$998,COLUMN(H$1),FALSE)+IFERROR(VLOOKUP($CI129,装強!$1:$999,COLUMN(J$1),FALSE),0))*VLOOKUP($D129,素材!$1:$1016,COLUMN($E$1),FALSE),0),"")</f>
        <v>0</v>
      </c>
      <c r="K129">
        <f>IFERROR(ROUNDDOWN((VLOOKUP($C129,武器!$1:$998,COLUMN(I$1),FALSE)+IFERROR(VLOOKUP($CI129,装強!$1:$999,COLUMN(K$1),FALSE),0))*VLOOKUP($D129,素材!$1:$1016,COLUMN($E$1),FALSE),0),"")</f>
        <v>0</v>
      </c>
      <c r="L129" t="str">
        <f>IFERROR(VLOOKUP($D129,素材!$1:$1016,COLUMN($F$1),FALSE),"")</f>
        <v>-</v>
      </c>
      <c r="M129" t="str">
        <f>IFERROR(VLOOKUP($C129,武器!$1:$998,COLUMN(AA$1),FALSE)*VLOOKUP($D129,素材!$1:$1016,COLUMN($G$1),FALSE),"")</f>
        <v/>
      </c>
      <c r="N129">
        <f>IFERROR(VLOOKUP($C129,武器!$1:$998,COLUMN(I$1),FALSE),"")</f>
        <v>0</v>
      </c>
      <c r="O129" s="23" t="str">
        <f>IFERROR((VLOOKUP($C129,武器!$1:$998,COLUMN(K$1),FALSE)+VLOOKUP($D129,素材!$1:$1016,COLUMN(H$1),FALSE))*100+IFERROR(VLOOKUP($CI129,装強!$1:$999,COLUMN(O$1),FALSE),0),"")</f>
        <v/>
      </c>
      <c r="P129" s="23" t="str">
        <f>IFERROR((VLOOKUP($C129,武器!$1:$998,COLUMN(L$1),FALSE)+VLOOKUP($D129,素材!$1:$1016,COLUMN(I$1),FALSE))*100+IFERROR(VLOOKUP($CI129,装強!$1:$999,COLUMN(P$1),FALSE),0),"")</f>
        <v/>
      </c>
      <c r="Q129">
        <f>IFERROR(ROUNDUP(VLOOKUP($C129,武器!$1:$998,COLUMN(M$1),FALSE)*(VLOOKUP($D129,素材!$1:$1002,COLUMN(D$1),FALSE)/100),1),"")</f>
        <v>0</v>
      </c>
      <c r="R129">
        <f>IFERROR(ROUNDUP(VLOOKUP($C129,武器!$1:$998,COLUMN(N$1),FALSE)*(VLOOKUP($D129,素材!$1:$1002,COLUMN(D$1),FALSE)/100),1),"")</f>
        <v>0</v>
      </c>
      <c r="S129">
        <f>IFERROR(VLOOKUP($C129,武器!$1:$998,COLUMN(P$1),FALSE),"")</f>
        <v>0</v>
      </c>
      <c r="T129">
        <f>IFERROR(VLOOKUP($C129,武器!$1:$998,COLUMN(Q$1),FALSE),"")</f>
        <v>0</v>
      </c>
      <c r="U129">
        <f>IFERROR(VLOOKUP($C129,武器!$1:$998,COLUMN(R$1),FALSE),"")</f>
        <v>0</v>
      </c>
      <c r="V129">
        <f>IFERROR(VLOOKUP($C129,武器!$1:$998,COLUMN(Q$1),FALSE),"")</f>
        <v>0</v>
      </c>
      <c r="W129">
        <f>IFERROR(VLOOKUP($C129,武器!$1:$998,COLUMN(T$1),FALSE),"")</f>
        <v>0</v>
      </c>
      <c r="Y129">
        <f>IFERROR(VLOOKUP($C129,武器!$1:$998,COLUMN(U$1),FALSE),"")</f>
        <v>0</v>
      </c>
      <c r="Z129">
        <f>IFERROR(ROUNDUP(VLOOKUP($C129,武器!$1:$998,COLUMN(O$1),FALSE)*VLOOKUP($D129,素材!$1:$1016,COLUMN(E$1),FALSE),1),"")</f>
        <v>4.5</v>
      </c>
      <c r="AA129">
        <f>IF(ISNUMBER(SEARCH(SUBSTITUTE(AA$1,RIGHT(AA$1,2),""),VLOOKUP($D129,素材!$1:$1016,COLUMN($F$1),FALSE))),VLOOKUP($C129,武器!$1:$998,COLUMN($O$1),FALSE)*VLOOKUP($D129,素材!$1:$1016,COLUMN($E$1),FALSE)/(LEN(VLOOKUP($D129,素材!$1:$1016,COLUMN($F$1),FALSE)) - LEN(SUBSTITUTE(VLOOKUP($D129,素材!$1:$1016,COLUMN($F$1),FALSE), "・", 0)) + 1), 0)</f>
        <v>0</v>
      </c>
      <c r="AB129">
        <f>IF(ISNUMBER(SEARCH(SUBSTITUTE(AB$1,RIGHT(AB$1,2),""),VLOOKUP($D129,素材!$1:$1016,COLUMN($F$1),FALSE))),VLOOKUP($C129,武器!$1:$998,COLUMN($O$1),FALSE)*VLOOKUP($D129,素材!$1:$1016,COLUMN($E$1),FALSE)/(LEN(VLOOKUP($D129,素材!$1:$1016,COLUMN($F$1),FALSE)) - LEN(SUBSTITUTE(VLOOKUP($D129,素材!$1:$1016,COLUMN($F$1),FALSE), "・", 0)) + 1), 0)</f>
        <v>0</v>
      </c>
      <c r="AC129">
        <f>IF(ISNUMBER(SEARCH(SUBSTITUTE(AC$1,RIGHT(AC$1,2),""),VLOOKUP($D129,素材!$1:$1016,COLUMN($F$1),FALSE))),VLOOKUP($C129,武器!$1:$998,COLUMN($O$1),FALSE)*VLOOKUP($D129,素材!$1:$1016,COLUMN($E$1),FALSE)/(LEN(VLOOKUP($D129,素材!$1:$1016,COLUMN($F$1),FALSE)) - LEN(SUBSTITUTE(VLOOKUP($D129,素材!$1:$1016,COLUMN($F$1),FALSE), "・", 0)) + 1), 0)</f>
        <v>0</v>
      </c>
      <c r="AD129">
        <f>IF(ISNUMBER(SEARCH(SUBSTITUTE(AD$1,RIGHT(AD$1,2),""),VLOOKUP($D129,素材!$1:$1016,COLUMN($F$1),FALSE))),VLOOKUP($C129,武器!$1:$998,COLUMN($O$1),FALSE)*VLOOKUP($D129,素材!$1:$1016,COLUMN($E$1),FALSE)/(LEN(VLOOKUP($D129,素材!$1:$1016,COLUMN($F$1),FALSE)) - LEN(SUBSTITUTE(VLOOKUP($D129,素材!$1:$1016,COLUMN($F$1),FALSE), "・", 0)) + 1), 0)</f>
        <v>0</v>
      </c>
      <c r="AE129">
        <f>IF(ISNUMBER(SEARCH(SUBSTITUTE(AE$1,RIGHT(AE$1,2),""),VLOOKUP($D129,素材!$1:$1016,COLUMN($F$1),FALSE))),VLOOKUP($C129,武器!$1:$998,COLUMN($O$1),FALSE)*VLOOKUP($D129,素材!$1:$1016,COLUMN($E$1),FALSE)/(LEN(VLOOKUP($D129,素材!$1:$1016,COLUMN($F$1),FALSE)) - LEN(SUBSTITUTE(VLOOKUP($D129,素材!$1:$1016,COLUMN($F$1),FALSE), "・", 0)) + 1), 0)</f>
        <v>0</v>
      </c>
      <c r="AF129">
        <f>IF(ISNUMBER(SEARCH(SUBSTITUTE(AF$1,RIGHT(AF$1,2),""),VLOOKUP($D129,素材!$1:$1016,COLUMN($F$1),FALSE))),VLOOKUP($C129,武器!$1:$998,COLUMN($O$1),FALSE)*VLOOKUP($D129,素材!$1:$1016,COLUMN($E$1),FALSE)/(LEN(VLOOKUP($D129,素材!$1:$1016,COLUMN($F$1),FALSE)) - LEN(SUBSTITUTE(VLOOKUP($D129,素材!$1:$1016,COLUMN($F$1),FALSE), "・", 0)) + 1), 0)</f>
        <v>0</v>
      </c>
      <c r="AG129">
        <f>IF(ISNUMBER(SEARCH(SUBSTITUTE(AG$1,RIGHT(AG$1,2),""),VLOOKUP($D129,素材!$1:$1016,COLUMN($F$1),FALSE))),VLOOKUP($C129,武器!$1:$998,COLUMN($O$1),FALSE)*VLOOKUP($D129,素材!$1:$1016,COLUMN($E$1),FALSE)/(LEN(VLOOKUP($D129,素材!$1:$1016,COLUMN($F$1),FALSE)) - LEN(SUBSTITUTE(VLOOKUP($D129,素材!$1:$1016,COLUMN($F$1),FALSE), "・", 0)) + 1), 0)</f>
        <v>0</v>
      </c>
      <c r="AH129">
        <f>IF(ISNUMBER(SEARCH(SUBSTITUTE(AH$1,RIGHT(AH$1,2),""),VLOOKUP($D129,素材!$1:$1016,COLUMN($F$1),FALSE))),VLOOKUP($C129,武器!$1:$998,COLUMN($O$1),FALSE)*VLOOKUP($D129,素材!$1:$1016,COLUMN($E$1),FALSE)/(LEN(VLOOKUP($D129,素材!$1:$1016,COLUMN($F$1),FALSE)) - LEN(SUBSTITUTE(VLOOKUP($D129,素材!$1:$1016,COLUMN($F$1),FALSE), "・", 0)) + 1), 0)</f>
        <v>0</v>
      </c>
      <c r="AI129">
        <f>IF(ISNUMBER(SEARCH(SUBSTITUTE(AI$1,RIGHT(AI$1,2),""),VLOOKUP($D129,素材!$1:$1016,COLUMN($F$1),FALSE))),VLOOKUP($C129,武器!$1:$998,COLUMN($O$1),FALSE)*VLOOKUP($D129,素材!$1:$1016,COLUMN($E$1),FALSE)/(LEN(VLOOKUP($D129,素材!$1:$1016,COLUMN($F$1),FALSE)) - LEN(SUBSTITUTE(VLOOKUP($D129,素材!$1:$1016,COLUMN($F$1),FALSE), "・", 0)) + 1), 0)</f>
        <v>0</v>
      </c>
      <c r="AJ129">
        <f>IF(ISNUMBER(SEARCH(SUBSTITUTE(AJ$1,RIGHT(AJ$1,2),""),VLOOKUP($D129,素材!$1:$1016,COLUMN($F$1),FALSE))),VLOOKUP($C129,武器!$1:$998,COLUMN($O$1),FALSE)*VLOOKUP($D129,素材!$1:$1016,COLUMN($E$1),FALSE)/(LEN(VLOOKUP($D129,素材!$1:$1016,COLUMN($F$1),FALSE)) - LEN(SUBSTITUTE(VLOOKUP($D129,素材!$1:$1016,COLUMN($F$1),FALSE), "・", 0)) + 1), 0)</f>
        <v>0</v>
      </c>
      <c r="AK129">
        <f>IF(ISNUMBER(SEARCH(SUBSTITUTE(AK$1,RIGHT(AK$1,2),""),VLOOKUP($D129,素材!$1:$1016,COLUMN($F$1),FALSE))),VLOOKUP($C129,武器!$1:$998,COLUMN($O$1),FALSE)*VLOOKUP($D129,素材!$1:$1016,COLUMN($E$1),FALSE)/(LEN(VLOOKUP($D129,素材!$1:$1016,COLUMN($F$1),FALSE)) - LEN(SUBSTITUTE(VLOOKUP($D129,素材!$1:$1016,COLUMN($F$1),FALSE), "・", 0)) + 1), 0)</f>
        <v>0</v>
      </c>
      <c r="AL129">
        <f>IF(ISNUMBER(SEARCH(SUBSTITUTE(AL$1,RIGHT(AL$1,2),""),VLOOKUP($D129,素材!$1:$1016,COLUMN($F$1),FALSE))),VLOOKUP($C129,武器!$1:$998,COLUMN($O$1),FALSE)*VLOOKUP($D129,素材!$1:$1016,COLUMN($E$1),FALSE)/(LEN(VLOOKUP($D129,素材!$1:$1016,COLUMN($F$1),FALSE)) - LEN(SUBSTITUTE(VLOOKUP($D129,素材!$1:$1016,COLUMN($F$1),FALSE), "・", 0)) + 1), 0)</f>
        <v>0</v>
      </c>
      <c r="AM129">
        <f>IF(ISNUMBER(SEARCH(SUBSTITUTE(AM$1,RIGHT(AM$1,2),""),VLOOKUP($D129,素材!$1:$1016,COLUMN($F$1),FALSE))),VLOOKUP($C129,武器!$1:$998,COLUMN($O$1),FALSE)*VLOOKUP($D129,素材!$1:$1016,COLUMN($E$1),FALSE)/(LEN(VLOOKUP($D129,素材!$1:$1016,COLUMN($F$1),FALSE)) - LEN(SUBSTITUTE(VLOOKUP($D129,素材!$1:$1016,COLUMN($F$1),FALSE), "・", 0)) + 1), 0)</f>
        <v>0</v>
      </c>
      <c r="AN129">
        <f>IF(ISNUMBER(SEARCH(SUBSTITUTE(AN$1,RIGHT(AN$1,2),""),VLOOKUP($D129,素材!$1:$1016,COLUMN($F$1),FALSE))),VLOOKUP($C129,武器!$1:$998,COLUMN($O$1),FALSE)*VLOOKUP($D129,素材!$1:$1016,COLUMN($E$1),FALSE)/(LEN(VLOOKUP($D129,素材!$1:$1016,COLUMN($F$1),FALSE)) - LEN(SUBSTITUTE(VLOOKUP($D129,素材!$1:$1016,COLUMN($F$1),FALSE), "・", 0)) + 1), 0)</f>
        <v>0</v>
      </c>
      <c r="AO129">
        <f>IF(ISNUMBER(SEARCH(SUBSTITUTE(AO$1,RIGHT(AO$1,2),""),VLOOKUP($D129,素材!$1:$1016,COLUMN($F$1),FALSE))),VLOOKUP($C129,武器!$1:$998,COLUMN($O$1),FALSE)*VLOOKUP($D129,素材!$1:$1016,COLUMN($E$1),FALSE)/(LEN(VLOOKUP($D129,素材!$1:$1016,COLUMN($F$1),FALSE)) - LEN(SUBSTITUTE(VLOOKUP($D129,素材!$1:$1016,COLUMN($F$1),FALSE), "・", 0)) + 1), 0)</f>
        <v>0</v>
      </c>
      <c r="AP129">
        <f>IF(ISNUMBER(SEARCH(SUBSTITUTE(AP$1,RIGHT(AP$1,2),""),VLOOKUP($D129,素材!$1:$1016,COLUMN($F$1),FALSE))),VLOOKUP($C129,武器!$1:$998,COLUMN($O$1),FALSE)*VLOOKUP($D129,素材!$1:$1016,COLUMN($E$1),FALSE)/(LEN(VLOOKUP($D129,素材!$1:$1016,COLUMN($F$1),FALSE)) - LEN(SUBSTITUTE(VLOOKUP($D129,素材!$1:$1016,COLUMN($F$1),FALSE), "・", 0)) + 1), 0)</f>
        <v>0</v>
      </c>
      <c r="AQ129">
        <f>IF(ISNUMBER(SEARCH(SUBSTITUTE(AQ$1,RIGHT(AQ$1,2),""),VLOOKUP($D129,素材!$1:$1016,COLUMN($F$1),FALSE))),VLOOKUP($C129,武器!$1:$998,COLUMN($O$1),FALSE)*VLOOKUP($D129,素材!$1:$1016,COLUMN($E$1),FALSE)/(LEN(VLOOKUP($D129,素材!$1:$1016,COLUMN($F$1),FALSE)) - LEN(SUBSTITUTE(VLOOKUP($D129,素材!$1:$1016,COLUMN($F$1),FALSE), "・", 0)) + 1), 0)</f>
        <v>0</v>
      </c>
      <c r="AR129">
        <f>IF(ISNUMBER(SEARCH(SUBSTITUTE(AR$1,RIGHT(AR$1,2),""),VLOOKUP($D129,素材!$1:$1016,COLUMN($F$1),FALSE))),VLOOKUP($C129,武器!$1:$998,COLUMN($O$1),FALSE)*VLOOKUP($D129,素材!$1:$1016,COLUMN($E$1),FALSE)/(LEN(VLOOKUP($D129,素材!$1:$1016,COLUMN($F$1),FALSE)) - LEN(SUBSTITUTE(VLOOKUP($D129,素材!$1:$1016,COLUMN($F$1),FALSE), "・", 0)) + 1), 0)</f>
        <v>0</v>
      </c>
      <c r="AS129">
        <f>IF(ISNUMBER(SEARCH(SUBSTITUTE(AS$1,RIGHT(AS$1,2),""),VLOOKUP($D129,素材!$1:$1016,COLUMN($F$1),FALSE))),VLOOKUP($C129,武器!$1:$998,COLUMN($O$1),FALSE)*VLOOKUP($D129,素材!$1:$1016,COLUMN($E$1),FALSE)/(LEN(VLOOKUP($D129,素材!$1:$1016,COLUMN($F$1),FALSE)) - LEN(SUBSTITUTE(VLOOKUP($D129,素材!$1:$1016,COLUMN($F$1),FALSE), "・", 0)) + 1), 0)</f>
        <v>0</v>
      </c>
      <c r="AT129">
        <f>IF(ISNUMBER(SEARCH(SUBSTITUTE(AT$1,RIGHT(AT$1,2),""),VLOOKUP($D129,素材!$1:$1016,COLUMN($F$1),FALSE))),VLOOKUP($C129,武器!$1:$998,COLUMN($O$1),FALSE)*VLOOKUP($D129,素材!$1:$1016,COLUMN($E$1),FALSE)/(LEN(VLOOKUP($D129,素材!$1:$1016,COLUMN($F$1),FALSE)) - LEN(SUBSTITUTE(VLOOKUP($D129,素材!$1:$1016,COLUMN($F$1),FALSE), "・", 0)) + 1), 0)</f>
        <v>0</v>
      </c>
      <c r="AU129">
        <f>IF(ISNUMBER(SEARCH(SUBSTITUTE(AU$1,RIGHT(AU$1,2),""),VLOOKUP($D129,素材!$1:$1016,COLUMN($F$1),FALSE))),VLOOKUP($C129,武器!$1:$998,COLUMN($O$1),FALSE)*VLOOKUP($D129,素材!$1:$1016,COLUMN($E$1),FALSE)/(LEN(VLOOKUP($D129,素材!$1:$1016,COLUMN($F$1),FALSE)) - LEN(SUBSTITUTE(VLOOKUP($D129,素材!$1:$1016,COLUMN($F$1),FALSE), "・", 0)) + 1), 0)</f>
        <v>0</v>
      </c>
      <c r="AV129">
        <f>IF(ISNUMBER(SEARCH(SUBSTITUTE(AV$1,RIGHT(AV$1,2),""),VLOOKUP($D129,素材!$1:$1016,COLUMN($F$1),FALSE))),VLOOKUP($C129,武器!$1:$998,COLUMN($O$1),FALSE)*VLOOKUP($D129,素材!$1:$1016,COLUMN($E$1),FALSE)/(LEN(VLOOKUP($D129,素材!$1:$1016,COLUMN($F$1),FALSE)) - LEN(SUBSTITUTE(VLOOKUP($D129,素材!$1:$1016,COLUMN($F$1),FALSE), "・", 0)) + 1), 0)</f>
        <v>0</v>
      </c>
      <c r="AW129">
        <f>IF(ISNUMBER(SEARCH(SUBSTITUTE(AW$1,RIGHT(AW$1,2),""),VLOOKUP($D129,素材!$1:$1016,COLUMN($F$1),FALSE))),VLOOKUP($C129,武器!$1:$998,COLUMN($O$1),FALSE)*VLOOKUP($D129,素材!$1:$1016,COLUMN($E$1),FALSE)/(LEN(VLOOKUP($D129,素材!$1:$1016,COLUMN($F$1),FALSE)) - LEN(SUBSTITUTE(VLOOKUP($D129,素材!$1:$1016,COLUMN($F$1),FALSE), "・", 0)) + 1), 0)</f>
        <v>0</v>
      </c>
      <c r="AX129">
        <f>IF(ISNUMBER(SEARCH(SUBSTITUTE(AX$1,RIGHT(AX$1,2),""),VLOOKUP($D129,素材!$1:$1016,COLUMN($F$1),FALSE))),VLOOKUP($C129,武器!$1:$998,COLUMN($O$1),FALSE)*VLOOKUP($D129,素材!$1:$1016,COLUMN($E$1),FALSE)/(LEN(VLOOKUP($D129,素材!$1:$1016,COLUMN($F$1),FALSE)) - LEN(SUBSTITUTE(VLOOKUP($D129,素材!$1:$1016,COLUMN($F$1),FALSE), "・", 0)) + 1), 0)</f>
        <v>0</v>
      </c>
      <c r="AY129">
        <f>IF(ISNUMBER(SEARCH(SUBSTITUTE(AY$1,RIGHT(AY$1,2),""),VLOOKUP($D129,素材!$1:$1016,COLUMN($F$1),FALSE))),VLOOKUP($C129,武器!$1:$998,COLUMN($O$1),FALSE)*VLOOKUP($D129,素材!$1:$1016,COLUMN($E$1),FALSE)/(LEN(VLOOKUP($D129,素材!$1:$1016,COLUMN($F$1),FALSE)) - LEN(SUBSTITUTE(VLOOKUP($D129,素材!$1:$1016,COLUMN($F$1),FALSE), "・", 0)) + 1), 0)</f>
        <v>0</v>
      </c>
      <c r="AZ129">
        <f>IF(ISNUMBER(SEARCH(SUBSTITUTE(AZ$1,RIGHT(AZ$1,2),""),VLOOKUP($D129,素材!$1:$1016,COLUMN($F$1),FALSE))),VLOOKUP($C129,武器!$1:$998,COLUMN($O$1),FALSE)*VLOOKUP($D129,素材!$1:$1016,COLUMN($E$1),FALSE)/(LEN(VLOOKUP($D129,素材!$1:$1016,COLUMN($F$1),FALSE)) - LEN(SUBSTITUTE(VLOOKUP($D129,素材!$1:$1016,COLUMN($F$1),FALSE), "・", 0)) + 1), 0)</f>
        <v>0</v>
      </c>
      <c r="BA129">
        <f>IF(ISNUMBER(SEARCH(SUBSTITUTE(BA$1,RIGHT(BA$1,2),""),VLOOKUP($D129,素材!$1:$1016,COLUMN($F$1),FALSE))),VLOOKUP($C129,武器!$1:$998,COLUMN($O$1),FALSE)*VLOOKUP($D129,素材!$1:$1016,COLUMN($E$1),FALSE)/(LEN(VLOOKUP($D129,素材!$1:$1016,COLUMN($F$1),FALSE)) - LEN(SUBSTITUTE(VLOOKUP($D129,素材!$1:$1016,COLUMN($F$1),FALSE), "・", 0)) + 1), 0)</f>
        <v>0</v>
      </c>
      <c r="BB129">
        <f>IF(ISNUMBER(SEARCH(SUBSTITUTE(BB$1,RIGHT(BB$1,2),""),VLOOKUP($D129,素材!$1:$1016,COLUMN($F$1),FALSE))),VLOOKUP($C129,武器!$1:$998,COLUMN($O$1),FALSE)*VLOOKUP($D129,素材!$1:$1016,COLUMN($E$1),FALSE)/(LEN(VLOOKUP($D129,素材!$1:$1016,COLUMN($F$1),FALSE)) - LEN(SUBSTITUTE(VLOOKUP($D129,素材!$1:$1016,COLUMN($F$1),FALSE), "・", 0)) + 1), 0)</f>
        <v>0</v>
      </c>
      <c r="BC129">
        <f>IF(ISNUMBER(SEARCH(SUBSTITUTE(BC$1,RIGHT(BC$1,2),""),VLOOKUP($D129,素材!$1:$1016,COLUMN($F$1),FALSE))),VLOOKUP($C129,武器!$1:$998,COLUMN($O$1),FALSE)*VLOOKUP($D129,素材!$1:$1016,COLUMN($E$1),FALSE)/(LEN(VLOOKUP($D129,素材!$1:$1016,COLUMN($F$1),FALSE)) - LEN(SUBSTITUTE(VLOOKUP($D129,素材!$1:$1016,COLUMN($F$1),FALSE), "・", 0)) + 1), 0)</f>
        <v>0</v>
      </c>
      <c r="BD129">
        <f>IF(ISNUMBER(SEARCH(SUBSTITUTE(BD$1,RIGHT(BD$1,2),""),VLOOKUP($D129,素材!$1:$1016,COLUMN($F$1),FALSE))),VLOOKUP($C129,武器!$1:$998,COLUMN($O$1),FALSE)*VLOOKUP($D129,素材!$1:$1016,COLUMN($E$1),FALSE)/(LEN(VLOOKUP($D129,素材!$1:$1016,COLUMN($F$1),FALSE)) - LEN(SUBSTITUTE(VLOOKUP($D129,素材!$1:$1016,COLUMN($F$1),FALSE), "・", 0)) + 1), 0)</f>
        <v>0</v>
      </c>
      <c r="BE129">
        <f>IF(ISNUMBER(SEARCH(SUBSTITUTE(BE$1,RIGHT(BE$1,2),""),VLOOKUP($D129,素材!$1:$1016,COLUMN($F$1),FALSE))),VLOOKUP($C129,武器!$1:$998,COLUMN($O$1),FALSE)*VLOOKUP($D129,素材!$1:$1016,COLUMN($E$1),FALSE)/(LEN(VLOOKUP($D129,素材!$1:$1016,COLUMN($F$1),FALSE)) - LEN(SUBSTITUTE(VLOOKUP($D129,素材!$1:$1016,COLUMN($F$1),FALSE), "・", 0)) + 1), 0)</f>
        <v>0</v>
      </c>
      <c r="CL129">
        <f>SUM(G129:I129)</f>
        <v>0</v>
      </c>
      <c r="CM129" s="22" t="str">
        <f>IF(E129="武器",IF(J129-1&gt;SUM(G129:I129),"盾",IF(MAX(G129:I129)=G129,"切断",IF(MAX(G129:I129)=H129,"貫通",IF(MAX(G129:I129)=I129,"打撃","射撃")))),E129)&amp;".webp"</f>
        <v>体.webp</v>
      </c>
      <c r="CN129">
        <f>IFERROR(VLOOKUP($C129,武器!$1:$998,COLUMN(V$1),FALSE)*VLOOKUP($D129,素材!$1:$1016,COLUMN(N$1),FALSE)+IF(CI129="",0,VLOOKUP($CI129,装強!$1:$1008,COLUMN($CK$1),FALSE)),"")</f>
        <v>1000</v>
      </c>
      <c r="CO129" t="str">
        <f>VLOOKUP(D129,素材!$A:$O,COLUMN(素材!O$1),FALSE)</f>
        <v>高品質な加工を施した軽量の皮素材。軽量化により動きやすさを確保しつつ、適度な防御力を提供します。</v>
      </c>
      <c r="CP129" t="str">
        <f>VLOOKUP(C129,武器!$A:$W,COLUMN(武器!W$1),FALSE)</f>
        <v>HP 物理 魔法 体幹 出血 疲労 Cr</v>
      </c>
      <c r="CR129" t="str">
        <f t="shared" si="5"/>
        <v>e_129</v>
      </c>
      <c r="CS129">
        <f t="shared" si="6"/>
        <v>100000</v>
      </c>
    </row>
    <row r="130" spans="1:97" outlineLevel="1" x14ac:dyDescent="0.4">
      <c r="A130" t="str">
        <f t="shared" si="7"/>
        <v>軽皮の法衣</v>
      </c>
      <c r="B130" t="str">
        <f>IFERROR(VLOOKUP($D130,素材!$1:$1016,COLUMN($B$1),FALSE)&amp;"・"&amp;VLOOKUP($C130,武器!$1:$998,COLUMN(B$1),FALSE),"")</f>
        <v>ライトレザー・ローブ</v>
      </c>
      <c r="C130" t="s">
        <v>246</v>
      </c>
      <c r="D130" s="24" t="s">
        <v>250</v>
      </c>
      <c r="E130" t="str">
        <f>IFERROR(VLOOKUP(C130,武器!$1:$998,COLUMN(C$1),FALSE),"")</f>
        <v>体</v>
      </c>
      <c r="F130">
        <f>IFERROR(ROUNDDOWN((VLOOKUP($C130,武器!$1:$998,COLUMN(D$1),FALSE)+IFERROR(VLOOKUP($CI130,装強!$1:$999,COLUMN(F$1),FALSE),0))*VLOOKUP($D130,素材!$1:$1016,COLUMN(D$1),FALSE),0),"")</f>
        <v>0</v>
      </c>
      <c r="G130">
        <f>IFERROR(ROUNDDOWN((VLOOKUP($C130,武器!$1:$998,COLUMN(E$1),FALSE)+IFERROR(VLOOKUP($CI130,装強!$1:$999,COLUMN(G$1),FALSE),0))*VLOOKUP($D130,素材!$1:$1016,COLUMN($E$1),FALSE),0),"")</f>
        <v>0</v>
      </c>
      <c r="H130">
        <f>IFERROR(ROUNDDOWN((VLOOKUP($C130,武器!$1:$998,COLUMN(F$1),FALSE)+IFERROR(VLOOKUP($CI130,装強!$1:$999,COLUMN(H$1),FALSE),0))*VLOOKUP($D130,素材!$1:$1016,COLUMN($E$1),FALSE),0),"")</f>
        <v>0</v>
      </c>
      <c r="I130">
        <f>IFERROR(ROUNDDOWN((VLOOKUP($C130,武器!$1:$998,COLUMN(G$1),FALSE)+IFERROR(VLOOKUP($CI130,装強!$1:$999,COLUMN(I$1),FALSE),0))*VLOOKUP($D130,素材!$1:$1016,COLUMN($E$1),FALSE),0),"")</f>
        <v>0</v>
      </c>
      <c r="J130">
        <f>IFERROR(ROUNDDOWN((VLOOKUP($C130,武器!$1:$998,COLUMN(H$1),FALSE)+IFERROR(VLOOKUP($CI130,装強!$1:$999,COLUMN(J$1),FALSE),0))*VLOOKUP($D130,素材!$1:$1016,COLUMN($E$1),FALSE),0),"")</f>
        <v>0</v>
      </c>
      <c r="K130">
        <f>IFERROR(ROUNDDOWN((VLOOKUP($C130,武器!$1:$998,COLUMN(I$1),FALSE)+IFERROR(VLOOKUP($CI130,装強!$1:$999,COLUMN(K$1),FALSE),0))*VLOOKUP($D130,素材!$1:$1016,COLUMN($E$1),FALSE),0),"")</f>
        <v>0</v>
      </c>
      <c r="L130" t="str">
        <f>IFERROR(VLOOKUP($D130,素材!$1:$1016,COLUMN($F$1),FALSE),"")</f>
        <v>-</v>
      </c>
      <c r="M130" t="str">
        <f>IFERROR(VLOOKUP($C130,武器!$1:$998,COLUMN(AA$1),FALSE)*VLOOKUP($D130,素材!$1:$1016,COLUMN($G$1),FALSE),"")</f>
        <v/>
      </c>
      <c r="N130">
        <f>IFERROR(VLOOKUP($C130,武器!$1:$998,COLUMN(I$1),FALSE),"")</f>
        <v>0</v>
      </c>
      <c r="O130" s="23" t="str">
        <f>IFERROR((VLOOKUP($C130,武器!$1:$998,COLUMN(K$1),FALSE)+VLOOKUP($D130,素材!$1:$1016,COLUMN(H$1),FALSE))*100+IFERROR(VLOOKUP($CI130,装強!$1:$999,COLUMN(O$1),FALSE),0),"")</f>
        <v/>
      </c>
      <c r="P130" s="23" t="str">
        <f>IFERROR((VLOOKUP($C130,武器!$1:$998,COLUMN(L$1),FALSE)+VLOOKUP($D130,素材!$1:$1016,COLUMN(I$1),FALSE))*100+IFERROR(VLOOKUP($CI130,装強!$1:$999,COLUMN(P$1),FALSE),0),"")</f>
        <v/>
      </c>
      <c r="Q130">
        <f>IFERROR(ROUNDUP(VLOOKUP($C130,武器!$1:$998,COLUMN(M$1),FALSE)*(VLOOKUP($D130,素材!$1:$1002,COLUMN(D$1),FALSE)/100),1),"")</f>
        <v>0</v>
      </c>
      <c r="R130">
        <f>IFERROR(ROUNDUP(VLOOKUP($C130,武器!$1:$998,COLUMN(N$1),FALSE)*(VLOOKUP($D130,素材!$1:$1002,COLUMN(D$1),FALSE)/100),1),"")</f>
        <v>0</v>
      </c>
      <c r="S130">
        <f>IFERROR(VLOOKUP($C130,武器!$1:$998,COLUMN(P$1),FALSE),"")</f>
        <v>0</v>
      </c>
      <c r="T130">
        <f>IFERROR(VLOOKUP($C130,武器!$1:$998,COLUMN(Q$1),FALSE),"")</f>
        <v>0</v>
      </c>
      <c r="U130">
        <f>IFERROR(VLOOKUP($C130,武器!$1:$998,COLUMN(R$1),FALSE),"")</f>
        <v>0</v>
      </c>
      <c r="V130">
        <f>IFERROR(VLOOKUP($C130,武器!$1:$998,COLUMN(Q$1),FALSE),"")</f>
        <v>0</v>
      </c>
      <c r="W130">
        <f>IFERROR(VLOOKUP($C130,武器!$1:$998,COLUMN(T$1),FALSE),"")</f>
        <v>0</v>
      </c>
      <c r="Y130">
        <f>IFERROR(VLOOKUP($C130,武器!$1:$998,COLUMN(U$1),FALSE),"")</f>
        <v>0</v>
      </c>
      <c r="Z130">
        <f>IFERROR(ROUNDUP(VLOOKUP($C130,武器!$1:$998,COLUMN(O$1),FALSE)*VLOOKUP($D130,素材!$1:$1016,COLUMN(E$1),FALSE),1),"")</f>
        <v>3</v>
      </c>
      <c r="AA130">
        <f>IF(ISNUMBER(SEARCH(SUBSTITUTE(AA$1,RIGHT(AA$1,2),""),VLOOKUP($D130,素材!$1:$1016,COLUMN($F$1),FALSE))),VLOOKUP($C130,武器!$1:$998,COLUMN($O$1),FALSE)*VLOOKUP($D130,素材!$1:$1016,COLUMN($E$1),FALSE)/(LEN(VLOOKUP($D130,素材!$1:$1016,COLUMN($F$1),FALSE)) - LEN(SUBSTITUTE(VLOOKUP($D130,素材!$1:$1016,COLUMN($F$1),FALSE), "・", 0)) + 1), 0)</f>
        <v>0</v>
      </c>
      <c r="AB130">
        <f>IF(ISNUMBER(SEARCH(SUBSTITUTE(AB$1,RIGHT(AB$1,2),""),VLOOKUP($D130,素材!$1:$1016,COLUMN($F$1),FALSE))),VLOOKUP($C130,武器!$1:$998,COLUMN($O$1),FALSE)*VLOOKUP($D130,素材!$1:$1016,COLUMN($E$1),FALSE)/(LEN(VLOOKUP($D130,素材!$1:$1016,COLUMN($F$1),FALSE)) - LEN(SUBSTITUTE(VLOOKUP($D130,素材!$1:$1016,COLUMN($F$1),FALSE), "・", 0)) + 1), 0)</f>
        <v>0</v>
      </c>
      <c r="AC130">
        <f>IF(ISNUMBER(SEARCH(SUBSTITUTE(AC$1,RIGHT(AC$1,2),""),VLOOKUP($D130,素材!$1:$1016,COLUMN($F$1),FALSE))),VLOOKUP($C130,武器!$1:$998,COLUMN($O$1),FALSE)*VLOOKUP($D130,素材!$1:$1016,COLUMN($E$1),FALSE)/(LEN(VLOOKUP($D130,素材!$1:$1016,COLUMN($F$1),FALSE)) - LEN(SUBSTITUTE(VLOOKUP($D130,素材!$1:$1016,COLUMN($F$1),FALSE), "・", 0)) + 1), 0)</f>
        <v>0</v>
      </c>
      <c r="AD130">
        <f>IF(ISNUMBER(SEARCH(SUBSTITUTE(AD$1,RIGHT(AD$1,2),""),VLOOKUP($D130,素材!$1:$1016,COLUMN($F$1),FALSE))),VLOOKUP($C130,武器!$1:$998,COLUMN($O$1),FALSE)*VLOOKUP($D130,素材!$1:$1016,COLUMN($E$1),FALSE)/(LEN(VLOOKUP($D130,素材!$1:$1016,COLUMN($F$1),FALSE)) - LEN(SUBSTITUTE(VLOOKUP($D130,素材!$1:$1016,COLUMN($F$1),FALSE), "・", 0)) + 1), 0)</f>
        <v>0</v>
      </c>
      <c r="AE130">
        <f>IF(ISNUMBER(SEARCH(SUBSTITUTE(AE$1,RIGHT(AE$1,2),""),VLOOKUP($D130,素材!$1:$1016,COLUMN($F$1),FALSE))),VLOOKUP($C130,武器!$1:$998,COLUMN($O$1),FALSE)*VLOOKUP($D130,素材!$1:$1016,COLUMN($E$1),FALSE)/(LEN(VLOOKUP($D130,素材!$1:$1016,COLUMN($F$1),FALSE)) - LEN(SUBSTITUTE(VLOOKUP($D130,素材!$1:$1016,COLUMN($F$1),FALSE), "・", 0)) + 1), 0)</f>
        <v>0</v>
      </c>
      <c r="AF130">
        <f>IF(ISNUMBER(SEARCH(SUBSTITUTE(AF$1,RIGHT(AF$1,2),""),VLOOKUP($D130,素材!$1:$1016,COLUMN($F$1),FALSE))),VLOOKUP($C130,武器!$1:$998,COLUMN($O$1),FALSE)*VLOOKUP($D130,素材!$1:$1016,COLUMN($E$1),FALSE)/(LEN(VLOOKUP($D130,素材!$1:$1016,COLUMN($F$1),FALSE)) - LEN(SUBSTITUTE(VLOOKUP($D130,素材!$1:$1016,COLUMN($F$1),FALSE), "・", 0)) + 1), 0)</f>
        <v>0</v>
      </c>
      <c r="AG130">
        <f>IF(ISNUMBER(SEARCH(SUBSTITUTE(AG$1,RIGHT(AG$1,2),""),VLOOKUP($D130,素材!$1:$1016,COLUMN($F$1),FALSE))),VLOOKUP($C130,武器!$1:$998,COLUMN($O$1),FALSE)*VLOOKUP($D130,素材!$1:$1016,COLUMN($E$1),FALSE)/(LEN(VLOOKUP($D130,素材!$1:$1016,COLUMN($F$1),FALSE)) - LEN(SUBSTITUTE(VLOOKUP($D130,素材!$1:$1016,COLUMN($F$1),FALSE), "・", 0)) + 1), 0)</f>
        <v>0</v>
      </c>
      <c r="AH130">
        <f>IF(ISNUMBER(SEARCH(SUBSTITUTE(AH$1,RIGHT(AH$1,2),""),VLOOKUP($D130,素材!$1:$1016,COLUMN($F$1),FALSE))),VLOOKUP($C130,武器!$1:$998,COLUMN($O$1),FALSE)*VLOOKUP($D130,素材!$1:$1016,COLUMN($E$1),FALSE)/(LEN(VLOOKUP($D130,素材!$1:$1016,COLUMN($F$1),FALSE)) - LEN(SUBSTITUTE(VLOOKUP($D130,素材!$1:$1016,COLUMN($F$1),FALSE), "・", 0)) + 1), 0)</f>
        <v>0</v>
      </c>
      <c r="AI130">
        <f>IF(ISNUMBER(SEARCH(SUBSTITUTE(AI$1,RIGHT(AI$1,2),""),VLOOKUP($D130,素材!$1:$1016,COLUMN($F$1),FALSE))),VLOOKUP($C130,武器!$1:$998,COLUMN($O$1),FALSE)*VLOOKUP($D130,素材!$1:$1016,COLUMN($E$1),FALSE)/(LEN(VLOOKUP($D130,素材!$1:$1016,COLUMN($F$1),FALSE)) - LEN(SUBSTITUTE(VLOOKUP($D130,素材!$1:$1016,COLUMN($F$1),FALSE), "・", 0)) + 1), 0)</f>
        <v>0</v>
      </c>
      <c r="AJ130">
        <f>IF(ISNUMBER(SEARCH(SUBSTITUTE(AJ$1,RIGHT(AJ$1,2),""),VLOOKUP($D130,素材!$1:$1016,COLUMN($F$1),FALSE))),VLOOKUP($C130,武器!$1:$998,COLUMN($O$1),FALSE)*VLOOKUP($D130,素材!$1:$1016,COLUMN($E$1),FALSE)/(LEN(VLOOKUP($D130,素材!$1:$1016,COLUMN($F$1),FALSE)) - LEN(SUBSTITUTE(VLOOKUP($D130,素材!$1:$1016,COLUMN($F$1),FALSE), "・", 0)) + 1), 0)</f>
        <v>0</v>
      </c>
      <c r="AK130">
        <f>IF(ISNUMBER(SEARCH(SUBSTITUTE(AK$1,RIGHT(AK$1,2),""),VLOOKUP($D130,素材!$1:$1016,COLUMN($F$1),FALSE))),VLOOKUP($C130,武器!$1:$998,COLUMN($O$1),FALSE)*VLOOKUP($D130,素材!$1:$1016,COLUMN($E$1),FALSE)/(LEN(VLOOKUP($D130,素材!$1:$1016,COLUMN($F$1),FALSE)) - LEN(SUBSTITUTE(VLOOKUP($D130,素材!$1:$1016,COLUMN($F$1),FALSE), "・", 0)) + 1), 0)</f>
        <v>0</v>
      </c>
      <c r="AL130">
        <f>IF(ISNUMBER(SEARCH(SUBSTITUTE(AL$1,RIGHT(AL$1,2),""),VLOOKUP($D130,素材!$1:$1016,COLUMN($F$1),FALSE))),VLOOKUP($C130,武器!$1:$998,COLUMN($O$1),FALSE)*VLOOKUP($D130,素材!$1:$1016,COLUMN($E$1),FALSE)/(LEN(VLOOKUP($D130,素材!$1:$1016,COLUMN($F$1),FALSE)) - LEN(SUBSTITUTE(VLOOKUP($D130,素材!$1:$1016,COLUMN($F$1),FALSE), "・", 0)) + 1), 0)</f>
        <v>0</v>
      </c>
      <c r="AM130">
        <f>IF(ISNUMBER(SEARCH(SUBSTITUTE(AM$1,RIGHT(AM$1,2),""),VLOOKUP($D130,素材!$1:$1016,COLUMN($F$1),FALSE))),VLOOKUP($C130,武器!$1:$998,COLUMN($O$1),FALSE)*VLOOKUP($D130,素材!$1:$1016,COLUMN($E$1),FALSE)/(LEN(VLOOKUP($D130,素材!$1:$1016,COLUMN($F$1),FALSE)) - LEN(SUBSTITUTE(VLOOKUP($D130,素材!$1:$1016,COLUMN($F$1),FALSE), "・", 0)) + 1), 0)</f>
        <v>0</v>
      </c>
      <c r="AN130">
        <f>IF(ISNUMBER(SEARCH(SUBSTITUTE(AN$1,RIGHT(AN$1,2),""),VLOOKUP($D130,素材!$1:$1016,COLUMN($F$1),FALSE))),VLOOKUP($C130,武器!$1:$998,COLUMN($O$1),FALSE)*VLOOKUP($D130,素材!$1:$1016,COLUMN($E$1),FALSE)/(LEN(VLOOKUP($D130,素材!$1:$1016,COLUMN($F$1),FALSE)) - LEN(SUBSTITUTE(VLOOKUP($D130,素材!$1:$1016,COLUMN($F$1),FALSE), "・", 0)) + 1), 0)</f>
        <v>0</v>
      </c>
      <c r="AO130">
        <f>IF(ISNUMBER(SEARCH(SUBSTITUTE(AO$1,RIGHT(AO$1,2),""),VLOOKUP($D130,素材!$1:$1016,COLUMN($F$1),FALSE))),VLOOKUP($C130,武器!$1:$998,COLUMN($O$1),FALSE)*VLOOKUP($D130,素材!$1:$1016,COLUMN($E$1),FALSE)/(LEN(VLOOKUP($D130,素材!$1:$1016,COLUMN($F$1),FALSE)) - LEN(SUBSTITUTE(VLOOKUP($D130,素材!$1:$1016,COLUMN($F$1),FALSE), "・", 0)) + 1), 0)</f>
        <v>0</v>
      </c>
      <c r="AP130">
        <f>IF(ISNUMBER(SEARCH(SUBSTITUTE(AP$1,RIGHT(AP$1,2),""),VLOOKUP($D130,素材!$1:$1016,COLUMN($F$1),FALSE))),VLOOKUP($C130,武器!$1:$998,COLUMN($O$1),FALSE)*VLOOKUP($D130,素材!$1:$1016,COLUMN($E$1),FALSE)/(LEN(VLOOKUP($D130,素材!$1:$1016,COLUMN($F$1),FALSE)) - LEN(SUBSTITUTE(VLOOKUP($D130,素材!$1:$1016,COLUMN($F$1),FALSE), "・", 0)) + 1), 0)</f>
        <v>0</v>
      </c>
      <c r="AQ130">
        <f>IF(ISNUMBER(SEARCH(SUBSTITUTE(AQ$1,RIGHT(AQ$1,2),""),VLOOKUP($D130,素材!$1:$1016,COLUMN($F$1),FALSE))),VLOOKUP($C130,武器!$1:$998,COLUMN($O$1),FALSE)*VLOOKUP($D130,素材!$1:$1016,COLUMN($E$1),FALSE)/(LEN(VLOOKUP($D130,素材!$1:$1016,COLUMN($F$1),FALSE)) - LEN(SUBSTITUTE(VLOOKUP($D130,素材!$1:$1016,COLUMN($F$1),FALSE), "・", 0)) + 1), 0)</f>
        <v>0</v>
      </c>
      <c r="AR130">
        <f>IF(ISNUMBER(SEARCH(SUBSTITUTE(AR$1,RIGHT(AR$1,2),""),VLOOKUP($D130,素材!$1:$1016,COLUMN($F$1),FALSE))),VLOOKUP($C130,武器!$1:$998,COLUMN($O$1),FALSE)*VLOOKUP($D130,素材!$1:$1016,COLUMN($E$1),FALSE)/(LEN(VLOOKUP($D130,素材!$1:$1016,COLUMN($F$1),FALSE)) - LEN(SUBSTITUTE(VLOOKUP($D130,素材!$1:$1016,COLUMN($F$1),FALSE), "・", 0)) + 1), 0)</f>
        <v>0</v>
      </c>
      <c r="AS130">
        <f>IF(ISNUMBER(SEARCH(SUBSTITUTE(AS$1,RIGHT(AS$1,2),""),VLOOKUP($D130,素材!$1:$1016,COLUMN($F$1),FALSE))),VLOOKUP($C130,武器!$1:$998,COLUMN($O$1),FALSE)*VLOOKUP($D130,素材!$1:$1016,COLUMN($E$1),FALSE)/(LEN(VLOOKUP($D130,素材!$1:$1016,COLUMN($F$1),FALSE)) - LEN(SUBSTITUTE(VLOOKUP($D130,素材!$1:$1016,COLUMN($F$1),FALSE), "・", 0)) + 1), 0)</f>
        <v>0</v>
      </c>
      <c r="AT130">
        <f>IF(ISNUMBER(SEARCH(SUBSTITUTE(AT$1,RIGHT(AT$1,2),""),VLOOKUP($D130,素材!$1:$1016,COLUMN($F$1),FALSE))),VLOOKUP($C130,武器!$1:$998,COLUMN($O$1),FALSE)*VLOOKUP($D130,素材!$1:$1016,COLUMN($E$1),FALSE)/(LEN(VLOOKUP($D130,素材!$1:$1016,COLUMN($F$1),FALSE)) - LEN(SUBSTITUTE(VLOOKUP($D130,素材!$1:$1016,COLUMN($F$1),FALSE), "・", 0)) + 1), 0)</f>
        <v>0</v>
      </c>
      <c r="AU130">
        <f>IF(ISNUMBER(SEARCH(SUBSTITUTE(AU$1,RIGHT(AU$1,2),""),VLOOKUP($D130,素材!$1:$1016,COLUMN($F$1),FALSE))),VLOOKUP($C130,武器!$1:$998,COLUMN($O$1),FALSE)*VLOOKUP($D130,素材!$1:$1016,COLUMN($E$1),FALSE)/(LEN(VLOOKUP($D130,素材!$1:$1016,COLUMN($F$1),FALSE)) - LEN(SUBSTITUTE(VLOOKUP($D130,素材!$1:$1016,COLUMN($F$1),FALSE), "・", 0)) + 1), 0)</f>
        <v>0</v>
      </c>
      <c r="AV130">
        <f>IF(ISNUMBER(SEARCH(SUBSTITUTE(AV$1,RIGHT(AV$1,2),""),VLOOKUP($D130,素材!$1:$1016,COLUMN($F$1),FALSE))),VLOOKUP($C130,武器!$1:$998,COLUMN($O$1),FALSE)*VLOOKUP($D130,素材!$1:$1016,COLUMN($E$1),FALSE)/(LEN(VLOOKUP($D130,素材!$1:$1016,COLUMN($F$1),FALSE)) - LEN(SUBSTITUTE(VLOOKUP($D130,素材!$1:$1016,COLUMN($F$1),FALSE), "・", 0)) + 1), 0)</f>
        <v>0</v>
      </c>
      <c r="AW130">
        <f>IF(ISNUMBER(SEARCH(SUBSTITUTE(AW$1,RIGHT(AW$1,2),""),VLOOKUP($D130,素材!$1:$1016,COLUMN($F$1),FALSE))),VLOOKUP($C130,武器!$1:$998,COLUMN($O$1),FALSE)*VLOOKUP($D130,素材!$1:$1016,COLUMN($E$1),FALSE)/(LEN(VLOOKUP($D130,素材!$1:$1016,COLUMN($F$1),FALSE)) - LEN(SUBSTITUTE(VLOOKUP($D130,素材!$1:$1016,COLUMN($F$1),FALSE), "・", 0)) + 1), 0)</f>
        <v>0</v>
      </c>
      <c r="AX130">
        <f>IF(ISNUMBER(SEARCH(SUBSTITUTE(AX$1,RIGHT(AX$1,2),""),VLOOKUP($D130,素材!$1:$1016,COLUMN($F$1),FALSE))),VLOOKUP($C130,武器!$1:$998,COLUMN($O$1),FALSE)*VLOOKUP($D130,素材!$1:$1016,COLUMN($E$1),FALSE)/(LEN(VLOOKUP($D130,素材!$1:$1016,COLUMN($F$1),FALSE)) - LEN(SUBSTITUTE(VLOOKUP($D130,素材!$1:$1016,COLUMN($F$1),FALSE), "・", 0)) + 1), 0)</f>
        <v>0</v>
      </c>
      <c r="AY130">
        <f>IF(ISNUMBER(SEARCH(SUBSTITUTE(AY$1,RIGHT(AY$1,2),""),VLOOKUP($D130,素材!$1:$1016,COLUMN($F$1),FALSE))),VLOOKUP($C130,武器!$1:$998,COLUMN($O$1),FALSE)*VLOOKUP($D130,素材!$1:$1016,COLUMN($E$1),FALSE)/(LEN(VLOOKUP($D130,素材!$1:$1016,COLUMN($F$1),FALSE)) - LEN(SUBSTITUTE(VLOOKUP($D130,素材!$1:$1016,COLUMN($F$1),FALSE), "・", 0)) + 1), 0)</f>
        <v>0</v>
      </c>
      <c r="AZ130">
        <f>IF(ISNUMBER(SEARCH(SUBSTITUTE(AZ$1,RIGHT(AZ$1,2),""),VLOOKUP($D130,素材!$1:$1016,COLUMN($F$1),FALSE))),VLOOKUP($C130,武器!$1:$998,COLUMN($O$1),FALSE)*VLOOKUP($D130,素材!$1:$1016,COLUMN($E$1),FALSE)/(LEN(VLOOKUP($D130,素材!$1:$1016,COLUMN($F$1),FALSE)) - LEN(SUBSTITUTE(VLOOKUP($D130,素材!$1:$1016,COLUMN($F$1),FALSE), "・", 0)) + 1), 0)</f>
        <v>0</v>
      </c>
      <c r="BA130">
        <f>IF(ISNUMBER(SEARCH(SUBSTITUTE(BA$1,RIGHT(BA$1,2),""),VLOOKUP($D130,素材!$1:$1016,COLUMN($F$1),FALSE))),VLOOKUP($C130,武器!$1:$998,COLUMN($O$1),FALSE)*VLOOKUP($D130,素材!$1:$1016,COLUMN($E$1),FALSE)/(LEN(VLOOKUP($D130,素材!$1:$1016,COLUMN($F$1),FALSE)) - LEN(SUBSTITUTE(VLOOKUP($D130,素材!$1:$1016,COLUMN($F$1),FALSE), "・", 0)) + 1), 0)</f>
        <v>0</v>
      </c>
      <c r="BB130">
        <f>IF(ISNUMBER(SEARCH(SUBSTITUTE(BB$1,RIGHT(BB$1,2),""),VLOOKUP($D130,素材!$1:$1016,COLUMN($F$1),FALSE))),VLOOKUP($C130,武器!$1:$998,COLUMN($O$1),FALSE)*VLOOKUP($D130,素材!$1:$1016,COLUMN($E$1),FALSE)/(LEN(VLOOKUP($D130,素材!$1:$1016,COLUMN($F$1),FALSE)) - LEN(SUBSTITUTE(VLOOKUP($D130,素材!$1:$1016,COLUMN($F$1),FALSE), "・", 0)) + 1), 0)</f>
        <v>0</v>
      </c>
      <c r="BC130">
        <f>IF(ISNUMBER(SEARCH(SUBSTITUTE(BC$1,RIGHT(BC$1,2),""),VLOOKUP($D130,素材!$1:$1016,COLUMN($F$1),FALSE))),VLOOKUP($C130,武器!$1:$998,COLUMN($O$1),FALSE)*VLOOKUP($D130,素材!$1:$1016,COLUMN($E$1),FALSE)/(LEN(VLOOKUP($D130,素材!$1:$1016,COLUMN($F$1),FALSE)) - LEN(SUBSTITUTE(VLOOKUP($D130,素材!$1:$1016,COLUMN($F$1),FALSE), "・", 0)) + 1), 0)</f>
        <v>0</v>
      </c>
      <c r="BD130">
        <f>IF(ISNUMBER(SEARCH(SUBSTITUTE(BD$1,RIGHT(BD$1,2),""),VLOOKUP($D130,素材!$1:$1016,COLUMN($F$1),FALSE))),VLOOKUP($C130,武器!$1:$998,COLUMN($O$1),FALSE)*VLOOKUP($D130,素材!$1:$1016,COLUMN($E$1),FALSE)/(LEN(VLOOKUP($D130,素材!$1:$1016,COLUMN($F$1),FALSE)) - LEN(SUBSTITUTE(VLOOKUP($D130,素材!$1:$1016,COLUMN($F$1),FALSE), "・", 0)) + 1), 0)</f>
        <v>0</v>
      </c>
      <c r="BE130">
        <f>IF(ISNUMBER(SEARCH(SUBSTITUTE(BE$1,RIGHT(BE$1,2),""),VLOOKUP($D130,素材!$1:$1016,COLUMN($F$1),FALSE))),VLOOKUP($C130,武器!$1:$998,COLUMN($O$1),FALSE)*VLOOKUP($D130,素材!$1:$1016,COLUMN($E$1),FALSE)/(LEN(VLOOKUP($D130,素材!$1:$1016,COLUMN($F$1),FALSE)) - LEN(SUBSTITUTE(VLOOKUP($D130,素材!$1:$1016,COLUMN($F$1),FALSE), "・", 0)) + 1), 0)</f>
        <v>0</v>
      </c>
      <c r="CL130">
        <f>SUM(G130:I130)</f>
        <v>0</v>
      </c>
      <c r="CM130" s="22" t="str">
        <f>IF(E130="武器",IF(J130-1&gt;SUM(G130:I130),"盾",IF(MAX(G130:I130)=G130,"切断",IF(MAX(G130:I130)=H130,"貫通",IF(MAX(G130:I130)=I130,"打撃","射撃")))),E130)&amp;".webp"</f>
        <v>体.webp</v>
      </c>
      <c r="CN130">
        <f>IFERROR(VLOOKUP($C130,武器!$1:$998,COLUMN(V$1),FALSE)*VLOOKUP($D130,素材!$1:$1016,COLUMN(N$1),FALSE)+IF(CI130="",0,VLOOKUP($CI130,装強!$1:$1008,COLUMN($CK$1),FALSE)),"")</f>
        <v>1000</v>
      </c>
      <c r="CO130" t="str">
        <f>VLOOKUP(D130,素材!$A:$O,COLUMN(素材!O$1),FALSE)</f>
        <v>高品質な加工を施した軽量の皮素材。軽量化により動きやすさを確保しつつ、適度な防御力を提供します。</v>
      </c>
      <c r="CP130" t="str">
        <f>VLOOKUP(C130,武器!$A:$W,COLUMN(武器!W$1),FALSE)</f>
        <v>HP 物理 魔法 体幹 出血 疲労 Cr</v>
      </c>
      <c r="CR130" t="str">
        <f t="shared" si="5"/>
        <v>e_130</v>
      </c>
      <c r="CS130">
        <f t="shared" si="6"/>
        <v>100000</v>
      </c>
    </row>
    <row r="131" spans="1:97" outlineLevel="1" x14ac:dyDescent="0.4">
      <c r="A131" t="str">
        <f t="shared" si="7"/>
        <v>軽皮の鎧</v>
      </c>
      <c r="B131" t="str">
        <f>IFERROR(VLOOKUP($D131,素材!$1:$1016,COLUMN($B$1),FALSE)&amp;"・"&amp;VLOOKUP($C131,武器!$1:$998,COLUMN(B$1),FALSE),"")</f>
        <v>ライトレザー・アーマー</v>
      </c>
      <c r="C131" t="s">
        <v>208</v>
      </c>
      <c r="D131" s="24" t="s">
        <v>250</v>
      </c>
      <c r="E131" t="str">
        <f>IFERROR(VLOOKUP(C131,武器!$1:$998,COLUMN(C$1),FALSE),"")</f>
        <v>体</v>
      </c>
      <c r="F131">
        <f>IFERROR(ROUNDDOWN((VLOOKUP($C131,武器!$1:$998,COLUMN(D$1),FALSE)+IFERROR(VLOOKUP($CI131,装強!$1:$999,COLUMN(F$1),FALSE),0))*VLOOKUP($D131,素材!$1:$1016,COLUMN(D$1),FALSE),0),"")</f>
        <v>0</v>
      </c>
      <c r="G131">
        <f>IFERROR(ROUNDDOWN((VLOOKUP($C131,武器!$1:$998,COLUMN(E$1),FALSE)+IFERROR(VLOOKUP($CI131,装強!$1:$999,COLUMN(G$1),FALSE),0))*VLOOKUP($D131,素材!$1:$1016,COLUMN($E$1),FALSE),0),"")</f>
        <v>0</v>
      </c>
      <c r="H131">
        <f>IFERROR(ROUNDDOWN((VLOOKUP($C131,武器!$1:$998,COLUMN(F$1),FALSE)+IFERROR(VLOOKUP($CI131,装強!$1:$999,COLUMN(H$1),FALSE),0))*VLOOKUP($D131,素材!$1:$1016,COLUMN($E$1),FALSE),0),"")</f>
        <v>0</v>
      </c>
      <c r="I131">
        <f>IFERROR(ROUNDDOWN((VLOOKUP($C131,武器!$1:$998,COLUMN(G$1),FALSE)+IFERROR(VLOOKUP($CI131,装強!$1:$999,COLUMN(I$1),FALSE),0))*VLOOKUP($D131,素材!$1:$1016,COLUMN($E$1),FALSE),0),"")</f>
        <v>0</v>
      </c>
      <c r="J131">
        <f>IFERROR(ROUNDDOWN((VLOOKUP($C131,武器!$1:$998,COLUMN(H$1),FALSE)+IFERROR(VLOOKUP($CI131,装強!$1:$999,COLUMN(J$1),FALSE),0))*VLOOKUP($D131,素材!$1:$1016,COLUMN($E$1),FALSE),0),"")</f>
        <v>0</v>
      </c>
      <c r="K131">
        <f>IFERROR(ROUNDDOWN((VLOOKUP($C131,武器!$1:$998,COLUMN(I$1),FALSE)+IFERROR(VLOOKUP($CI131,装強!$1:$999,COLUMN(K$1),FALSE),0))*VLOOKUP($D131,素材!$1:$1016,COLUMN($E$1),FALSE),0),"")</f>
        <v>0</v>
      </c>
      <c r="L131" t="str">
        <f>IFERROR(VLOOKUP($D131,素材!$1:$1016,COLUMN($F$1),FALSE),"")</f>
        <v>-</v>
      </c>
      <c r="M131" t="str">
        <f>IFERROR(VLOOKUP($C131,武器!$1:$998,COLUMN(AA$1),FALSE)*VLOOKUP($D131,素材!$1:$1016,COLUMN($G$1),FALSE),"")</f>
        <v/>
      </c>
      <c r="N131">
        <f>IFERROR(VLOOKUP($C131,武器!$1:$998,COLUMN(I$1),FALSE),"")</f>
        <v>0</v>
      </c>
      <c r="O131" s="23" t="str">
        <f>IFERROR((VLOOKUP($C131,武器!$1:$998,COLUMN(K$1),FALSE)+VLOOKUP($D131,素材!$1:$1016,COLUMN(H$1),FALSE))*100+IFERROR(VLOOKUP($CI131,装強!$1:$999,COLUMN(O$1),FALSE),0),"")</f>
        <v/>
      </c>
      <c r="P131" s="23" t="str">
        <f>IFERROR((VLOOKUP($C131,武器!$1:$998,COLUMN(L$1),FALSE)+VLOOKUP($D131,素材!$1:$1016,COLUMN(I$1),FALSE))*100+IFERROR(VLOOKUP($CI131,装強!$1:$999,COLUMN(P$1),FALSE),0),"")</f>
        <v/>
      </c>
      <c r="Q131">
        <f>IFERROR(ROUNDUP(VLOOKUP($C131,武器!$1:$998,COLUMN(M$1),FALSE)*(VLOOKUP($D131,素材!$1:$1002,COLUMN(D$1),FALSE)/100),1),"")</f>
        <v>-3.8000000000000003</v>
      </c>
      <c r="R131">
        <f>IFERROR(ROUNDUP(VLOOKUP($C131,武器!$1:$998,COLUMN(N$1),FALSE)*(VLOOKUP($D131,素材!$1:$1002,COLUMN(D$1),FALSE)/100),1),"")</f>
        <v>0</v>
      </c>
      <c r="S131">
        <f>IFERROR(VLOOKUP($C131,武器!$1:$998,COLUMN(P$1),FALSE),"")</f>
        <v>0</v>
      </c>
      <c r="T131">
        <f>IFERROR(VLOOKUP($C131,武器!$1:$998,COLUMN(Q$1),FALSE),"")</f>
        <v>0</v>
      </c>
      <c r="U131">
        <f>IFERROR(VLOOKUP($C131,武器!$1:$998,COLUMN(R$1),FALSE),"")</f>
        <v>0</v>
      </c>
      <c r="V131">
        <f>IFERROR(VLOOKUP($C131,武器!$1:$998,COLUMN(Q$1),FALSE),"")</f>
        <v>0</v>
      </c>
      <c r="W131">
        <f>IFERROR(VLOOKUP($C131,武器!$1:$998,COLUMN(T$1),FALSE),"")</f>
        <v>0</v>
      </c>
      <c r="Y131">
        <f>IFERROR(VLOOKUP($C131,武器!$1:$998,COLUMN(U$1),FALSE),"")</f>
        <v>0</v>
      </c>
      <c r="Z131">
        <f>IFERROR(ROUNDUP(VLOOKUP($C131,武器!$1:$998,COLUMN(O$1),FALSE)*VLOOKUP($D131,素材!$1:$1016,COLUMN(E$1),FALSE),1),"")</f>
        <v>10.5</v>
      </c>
      <c r="AA131">
        <f>IF(ISNUMBER(SEARCH(SUBSTITUTE(AA$1,RIGHT(AA$1,2),""),VLOOKUP($D131,素材!$1:$1016,COLUMN($F$1),FALSE))),VLOOKUP($C131,武器!$1:$998,COLUMN($O$1),FALSE)*VLOOKUP($D131,素材!$1:$1016,COLUMN($E$1),FALSE)/(LEN(VLOOKUP($D131,素材!$1:$1016,COLUMN($F$1),FALSE)) - LEN(SUBSTITUTE(VLOOKUP($D131,素材!$1:$1016,COLUMN($F$1),FALSE), "・", 0)) + 1), 0)</f>
        <v>0</v>
      </c>
      <c r="AB131">
        <f>IF(ISNUMBER(SEARCH(SUBSTITUTE(AB$1,RIGHT(AB$1,2),""),VLOOKUP($D131,素材!$1:$1016,COLUMN($F$1),FALSE))),VLOOKUP($C131,武器!$1:$998,COLUMN($O$1),FALSE)*VLOOKUP($D131,素材!$1:$1016,COLUMN($E$1),FALSE)/(LEN(VLOOKUP($D131,素材!$1:$1016,COLUMN($F$1),FALSE)) - LEN(SUBSTITUTE(VLOOKUP($D131,素材!$1:$1016,COLUMN($F$1),FALSE), "・", 0)) + 1), 0)</f>
        <v>0</v>
      </c>
      <c r="AC131">
        <f>IF(ISNUMBER(SEARCH(SUBSTITUTE(AC$1,RIGHT(AC$1,2),""),VLOOKUP($D131,素材!$1:$1016,COLUMN($F$1),FALSE))),VLOOKUP($C131,武器!$1:$998,COLUMN($O$1),FALSE)*VLOOKUP($D131,素材!$1:$1016,COLUMN($E$1),FALSE)/(LEN(VLOOKUP($D131,素材!$1:$1016,COLUMN($F$1),FALSE)) - LEN(SUBSTITUTE(VLOOKUP($D131,素材!$1:$1016,COLUMN($F$1),FALSE), "・", 0)) + 1), 0)</f>
        <v>0</v>
      </c>
      <c r="AD131">
        <f>IF(ISNUMBER(SEARCH(SUBSTITUTE(AD$1,RIGHT(AD$1,2),""),VLOOKUP($D131,素材!$1:$1016,COLUMN($F$1),FALSE))),VLOOKUP($C131,武器!$1:$998,COLUMN($O$1),FALSE)*VLOOKUP($D131,素材!$1:$1016,COLUMN($E$1),FALSE)/(LEN(VLOOKUP($D131,素材!$1:$1016,COLUMN($F$1),FALSE)) - LEN(SUBSTITUTE(VLOOKUP($D131,素材!$1:$1016,COLUMN($F$1),FALSE), "・", 0)) + 1), 0)</f>
        <v>0</v>
      </c>
      <c r="AE131">
        <f>IF(ISNUMBER(SEARCH(SUBSTITUTE(AE$1,RIGHT(AE$1,2),""),VLOOKUP($D131,素材!$1:$1016,COLUMN($F$1),FALSE))),VLOOKUP($C131,武器!$1:$998,COLUMN($O$1),FALSE)*VLOOKUP($D131,素材!$1:$1016,COLUMN($E$1),FALSE)/(LEN(VLOOKUP($D131,素材!$1:$1016,COLUMN($F$1),FALSE)) - LEN(SUBSTITUTE(VLOOKUP($D131,素材!$1:$1016,COLUMN($F$1),FALSE), "・", 0)) + 1), 0)</f>
        <v>0</v>
      </c>
      <c r="AF131">
        <f>IF(ISNUMBER(SEARCH(SUBSTITUTE(AF$1,RIGHT(AF$1,2),""),VLOOKUP($D131,素材!$1:$1016,COLUMN($F$1),FALSE))),VLOOKUP($C131,武器!$1:$998,COLUMN($O$1),FALSE)*VLOOKUP($D131,素材!$1:$1016,COLUMN($E$1),FALSE)/(LEN(VLOOKUP($D131,素材!$1:$1016,COLUMN($F$1),FALSE)) - LEN(SUBSTITUTE(VLOOKUP($D131,素材!$1:$1016,COLUMN($F$1),FALSE), "・", 0)) + 1), 0)</f>
        <v>0</v>
      </c>
      <c r="AG131">
        <f>IF(ISNUMBER(SEARCH(SUBSTITUTE(AG$1,RIGHT(AG$1,2),""),VLOOKUP($D131,素材!$1:$1016,COLUMN($F$1),FALSE))),VLOOKUP($C131,武器!$1:$998,COLUMN($O$1),FALSE)*VLOOKUP($D131,素材!$1:$1016,COLUMN($E$1),FALSE)/(LEN(VLOOKUP($D131,素材!$1:$1016,COLUMN($F$1),FALSE)) - LEN(SUBSTITUTE(VLOOKUP($D131,素材!$1:$1016,COLUMN($F$1),FALSE), "・", 0)) + 1), 0)</f>
        <v>0</v>
      </c>
      <c r="AH131">
        <f>IF(ISNUMBER(SEARCH(SUBSTITUTE(AH$1,RIGHT(AH$1,2),""),VLOOKUP($D131,素材!$1:$1016,COLUMN($F$1),FALSE))),VLOOKUP($C131,武器!$1:$998,COLUMN($O$1),FALSE)*VLOOKUP($D131,素材!$1:$1016,COLUMN($E$1),FALSE)/(LEN(VLOOKUP($D131,素材!$1:$1016,COLUMN($F$1),FALSE)) - LEN(SUBSTITUTE(VLOOKUP($D131,素材!$1:$1016,COLUMN($F$1),FALSE), "・", 0)) + 1), 0)</f>
        <v>0</v>
      </c>
      <c r="AI131">
        <f>IF(ISNUMBER(SEARCH(SUBSTITUTE(AI$1,RIGHT(AI$1,2),""),VLOOKUP($D131,素材!$1:$1016,COLUMN($F$1),FALSE))),VLOOKUP($C131,武器!$1:$998,COLUMN($O$1),FALSE)*VLOOKUP($D131,素材!$1:$1016,COLUMN($E$1),FALSE)/(LEN(VLOOKUP($D131,素材!$1:$1016,COLUMN($F$1),FALSE)) - LEN(SUBSTITUTE(VLOOKUP($D131,素材!$1:$1016,COLUMN($F$1),FALSE), "・", 0)) + 1), 0)</f>
        <v>0</v>
      </c>
      <c r="AJ131">
        <f>IF(ISNUMBER(SEARCH(SUBSTITUTE(AJ$1,RIGHT(AJ$1,2),""),VLOOKUP($D131,素材!$1:$1016,COLUMN($F$1),FALSE))),VLOOKUP($C131,武器!$1:$998,COLUMN($O$1),FALSE)*VLOOKUP($D131,素材!$1:$1016,COLUMN($E$1),FALSE)/(LEN(VLOOKUP($D131,素材!$1:$1016,COLUMN($F$1),FALSE)) - LEN(SUBSTITUTE(VLOOKUP($D131,素材!$1:$1016,COLUMN($F$1),FALSE), "・", 0)) + 1), 0)</f>
        <v>0</v>
      </c>
      <c r="AK131">
        <f>IF(ISNUMBER(SEARCH(SUBSTITUTE(AK$1,RIGHT(AK$1,2),""),VLOOKUP($D131,素材!$1:$1016,COLUMN($F$1),FALSE))),VLOOKUP($C131,武器!$1:$998,COLUMN($O$1),FALSE)*VLOOKUP($D131,素材!$1:$1016,COLUMN($E$1),FALSE)/(LEN(VLOOKUP($D131,素材!$1:$1016,COLUMN($F$1),FALSE)) - LEN(SUBSTITUTE(VLOOKUP($D131,素材!$1:$1016,COLUMN($F$1),FALSE), "・", 0)) + 1), 0)</f>
        <v>0</v>
      </c>
      <c r="AL131">
        <f>IF(ISNUMBER(SEARCH(SUBSTITUTE(AL$1,RIGHT(AL$1,2),""),VLOOKUP($D131,素材!$1:$1016,COLUMN($F$1),FALSE))),VLOOKUP($C131,武器!$1:$998,COLUMN($O$1),FALSE)*VLOOKUP($D131,素材!$1:$1016,COLUMN($E$1),FALSE)/(LEN(VLOOKUP($D131,素材!$1:$1016,COLUMN($F$1),FALSE)) - LEN(SUBSTITUTE(VLOOKUP($D131,素材!$1:$1016,COLUMN($F$1),FALSE), "・", 0)) + 1), 0)</f>
        <v>0</v>
      </c>
      <c r="AM131">
        <f>IF(ISNUMBER(SEARCH(SUBSTITUTE(AM$1,RIGHT(AM$1,2),""),VLOOKUP($D131,素材!$1:$1016,COLUMN($F$1),FALSE))),VLOOKUP($C131,武器!$1:$998,COLUMN($O$1),FALSE)*VLOOKUP($D131,素材!$1:$1016,COLUMN($E$1),FALSE)/(LEN(VLOOKUP($D131,素材!$1:$1016,COLUMN($F$1),FALSE)) - LEN(SUBSTITUTE(VLOOKUP($D131,素材!$1:$1016,COLUMN($F$1),FALSE), "・", 0)) + 1), 0)</f>
        <v>0</v>
      </c>
      <c r="AN131">
        <f>IF(ISNUMBER(SEARCH(SUBSTITUTE(AN$1,RIGHT(AN$1,2),""),VLOOKUP($D131,素材!$1:$1016,COLUMN($F$1),FALSE))),VLOOKUP($C131,武器!$1:$998,COLUMN($O$1),FALSE)*VLOOKUP($D131,素材!$1:$1016,COLUMN($E$1),FALSE)/(LEN(VLOOKUP($D131,素材!$1:$1016,COLUMN($F$1),FALSE)) - LEN(SUBSTITUTE(VLOOKUP($D131,素材!$1:$1016,COLUMN($F$1),FALSE), "・", 0)) + 1), 0)</f>
        <v>0</v>
      </c>
      <c r="AO131">
        <f>IF(ISNUMBER(SEARCH(SUBSTITUTE(AO$1,RIGHT(AO$1,2),""),VLOOKUP($D131,素材!$1:$1016,COLUMN($F$1),FALSE))),VLOOKUP($C131,武器!$1:$998,COLUMN($O$1),FALSE)*VLOOKUP($D131,素材!$1:$1016,COLUMN($E$1),FALSE)/(LEN(VLOOKUP($D131,素材!$1:$1016,COLUMN($F$1),FALSE)) - LEN(SUBSTITUTE(VLOOKUP($D131,素材!$1:$1016,COLUMN($F$1),FALSE), "・", 0)) + 1), 0)</f>
        <v>0</v>
      </c>
      <c r="AP131">
        <f>IF(ISNUMBER(SEARCH(SUBSTITUTE(AP$1,RIGHT(AP$1,2),""),VLOOKUP($D131,素材!$1:$1016,COLUMN($F$1),FALSE))),VLOOKUP($C131,武器!$1:$998,COLUMN($O$1),FALSE)*VLOOKUP($D131,素材!$1:$1016,COLUMN($E$1),FALSE)/(LEN(VLOOKUP($D131,素材!$1:$1016,COLUMN($F$1),FALSE)) - LEN(SUBSTITUTE(VLOOKUP($D131,素材!$1:$1016,COLUMN($F$1),FALSE), "・", 0)) + 1), 0)</f>
        <v>0</v>
      </c>
      <c r="AQ131">
        <f>IF(ISNUMBER(SEARCH(SUBSTITUTE(AQ$1,RIGHT(AQ$1,2),""),VLOOKUP($D131,素材!$1:$1016,COLUMN($F$1),FALSE))),VLOOKUP($C131,武器!$1:$998,COLUMN($O$1),FALSE)*VLOOKUP($D131,素材!$1:$1016,COLUMN($E$1),FALSE)/(LEN(VLOOKUP($D131,素材!$1:$1016,COLUMN($F$1),FALSE)) - LEN(SUBSTITUTE(VLOOKUP($D131,素材!$1:$1016,COLUMN($F$1),FALSE), "・", 0)) + 1), 0)</f>
        <v>0</v>
      </c>
      <c r="AR131">
        <f>IF(ISNUMBER(SEARCH(SUBSTITUTE(AR$1,RIGHT(AR$1,2),""),VLOOKUP($D131,素材!$1:$1016,COLUMN($F$1),FALSE))),VLOOKUP($C131,武器!$1:$998,COLUMN($O$1),FALSE)*VLOOKUP($D131,素材!$1:$1016,COLUMN($E$1),FALSE)/(LEN(VLOOKUP($D131,素材!$1:$1016,COLUMN($F$1),FALSE)) - LEN(SUBSTITUTE(VLOOKUP($D131,素材!$1:$1016,COLUMN($F$1),FALSE), "・", 0)) + 1), 0)</f>
        <v>0</v>
      </c>
      <c r="AS131">
        <f>IF(ISNUMBER(SEARCH(SUBSTITUTE(AS$1,RIGHT(AS$1,2),""),VLOOKUP($D131,素材!$1:$1016,COLUMN($F$1),FALSE))),VLOOKUP($C131,武器!$1:$998,COLUMN($O$1),FALSE)*VLOOKUP($D131,素材!$1:$1016,COLUMN($E$1),FALSE)/(LEN(VLOOKUP($D131,素材!$1:$1016,COLUMN($F$1),FALSE)) - LEN(SUBSTITUTE(VLOOKUP($D131,素材!$1:$1016,COLUMN($F$1),FALSE), "・", 0)) + 1), 0)</f>
        <v>0</v>
      </c>
      <c r="AT131">
        <f>IF(ISNUMBER(SEARCH(SUBSTITUTE(AT$1,RIGHT(AT$1,2),""),VLOOKUP($D131,素材!$1:$1016,COLUMN($F$1),FALSE))),VLOOKUP($C131,武器!$1:$998,COLUMN($O$1),FALSE)*VLOOKUP($D131,素材!$1:$1016,COLUMN($E$1),FALSE)/(LEN(VLOOKUP($D131,素材!$1:$1016,COLUMN($F$1),FALSE)) - LEN(SUBSTITUTE(VLOOKUP($D131,素材!$1:$1016,COLUMN($F$1),FALSE), "・", 0)) + 1), 0)</f>
        <v>0</v>
      </c>
      <c r="AU131">
        <f>IF(ISNUMBER(SEARCH(SUBSTITUTE(AU$1,RIGHT(AU$1,2),""),VLOOKUP($D131,素材!$1:$1016,COLUMN($F$1),FALSE))),VLOOKUP($C131,武器!$1:$998,COLUMN($O$1),FALSE)*VLOOKUP($D131,素材!$1:$1016,COLUMN($E$1),FALSE)/(LEN(VLOOKUP($D131,素材!$1:$1016,COLUMN($F$1),FALSE)) - LEN(SUBSTITUTE(VLOOKUP($D131,素材!$1:$1016,COLUMN($F$1),FALSE), "・", 0)) + 1), 0)</f>
        <v>0</v>
      </c>
      <c r="AV131">
        <f>IF(ISNUMBER(SEARCH(SUBSTITUTE(AV$1,RIGHT(AV$1,2),""),VLOOKUP($D131,素材!$1:$1016,COLUMN($F$1),FALSE))),VLOOKUP($C131,武器!$1:$998,COLUMN($O$1),FALSE)*VLOOKUP($D131,素材!$1:$1016,COLUMN($E$1),FALSE)/(LEN(VLOOKUP($D131,素材!$1:$1016,COLUMN($F$1),FALSE)) - LEN(SUBSTITUTE(VLOOKUP($D131,素材!$1:$1016,COLUMN($F$1),FALSE), "・", 0)) + 1), 0)</f>
        <v>0</v>
      </c>
      <c r="AW131">
        <f>IF(ISNUMBER(SEARCH(SUBSTITUTE(AW$1,RIGHT(AW$1,2),""),VLOOKUP($D131,素材!$1:$1016,COLUMN($F$1),FALSE))),VLOOKUP($C131,武器!$1:$998,COLUMN($O$1),FALSE)*VLOOKUP($D131,素材!$1:$1016,COLUMN($E$1),FALSE)/(LEN(VLOOKUP($D131,素材!$1:$1016,COLUMN($F$1),FALSE)) - LEN(SUBSTITUTE(VLOOKUP($D131,素材!$1:$1016,COLUMN($F$1),FALSE), "・", 0)) + 1), 0)</f>
        <v>0</v>
      </c>
      <c r="AX131">
        <f>IF(ISNUMBER(SEARCH(SUBSTITUTE(AX$1,RIGHT(AX$1,2),""),VLOOKUP($D131,素材!$1:$1016,COLUMN($F$1),FALSE))),VLOOKUP($C131,武器!$1:$998,COLUMN($O$1),FALSE)*VLOOKUP($D131,素材!$1:$1016,COLUMN($E$1),FALSE)/(LEN(VLOOKUP($D131,素材!$1:$1016,COLUMN($F$1),FALSE)) - LEN(SUBSTITUTE(VLOOKUP($D131,素材!$1:$1016,COLUMN($F$1),FALSE), "・", 0)) + 1), 0)</f>
        <v>0</v>
      </c>
      <c r="AY131">
        <f>IF(ISNUMBER(SEARCH(SUBSTITUTE(AY$1,RIGHT(AY$1,2),""),VLOOKUP($D131,素材!$1:$1016,COLUMN($F$1),FALSE))),VLOOKUP($C131,武器!$1:$998,COLUMN($O$1),FALSE)*VLOOKUP($D131,素材!$1:$1016,COLUMN($E$1),FALSE)/(LEN(VLOOKUP($D131,素材!$1:$1016,COLUMN($F$1),FALSE)) - LEN(SUBSTITUTE(VLOOKUP($D131,素材!$1:$1016,COLUMN($F$1),FALSE), "・", 0)) + 1), 0)</f>
        <v>0</v>
      </c>
      <c r="AZ131">
        <f>IF(ISNUMBER(SEARCH(SUBSTITUTE(AZ$1,RIGHT(AZ$1,2),""),VLOOKUP($D131,素材!$1:$1016,COLUMN($F$1),FALSE))),VLOOKUP($C131,武器!$1:$998,COLUMN($O$1),FALSE)*VLOOKUP($D131,素材!$1:$1016,COLUMN($E$1),FALSE)/(LEN(VLOOKUP($D131,素材!$1:$1016,COLUMN($F$1),FALSE)) - LEN(SUBSTITUTE(VLOOKUP($D131,素材!$1:$1016,COLUMN($F$1),FALSE), "・", 0)) + 1), 0)</f>
        <v>0</v>
      </c>
      <c r="BA131">
        <f>IF(ISNUMBER(SEARCH(SUBSTITUTE(BA$1,RIGHT(BA$1,2),""),VLOOKUP($D131,素材!$1:$1016,COLUMN($F$1),FALSE))),VLOOKUP($C131,武器!$1:$998,COLUMN($O$1),FALSE)*VLOOKUP($D131,素材!$1:$1016,COLUMN($E$1),FALSE)/(LEN(VLOOKUP($D131,素材!$1:$1016,COLUMN($F$1),FALSE)) - LEN(SUBSTITUTE(VLOOKUP($D131,素材!$1:$1016,COLUMN($F$1),FALSE), "・", 0)) + 1), 0)</f>
        <v>0</v>
      </c>
      <c r="BB131">
        <f>IF(ISNUMBER(SEARCH(SUBSTITUTE(BB$1,RIGHT(BB$1,2),""),VLOOKUP($D131,素材!$1:$1016,COLUMN($F$1),FALSE))),VLOOKUP($C131,武器!$1:$998,COLUMN($O$1),FALSE)*VLOOKUP($D131,素材!$1:$1016,COLUMN($E$1),FALSE)/(LEN(VLOOKUP($D131,素材!$1:$1016,COLUMN($F$1),FALSE)) - LEN(SUBSTITUTE(VLOOKUP($D131,素材!$1:$1016,COLUMN($F$1),FALSE), "・", 0)) + 1), 0)</f>
        <v>0</v>
      </c>
      <c r="BC131">
        <f>IF(ISNUMBER(SEARCH(SUBSTITUTE(BC$1,RIGHT(BC$1,2),""),VLOOKUP($D131,素材!$1:$1016,COLUMN($F$1),FALSE))),VLOOKUP($C131,武器!$1:$998,COLUMN($O$1),FALSE)*VLOOKUP($D131,素材!$1:$1016,COLUMN($E$1),FALSE)/(LEN(VLOOKUP($D131,素材!$1:$1016,COLUMN($F$1),FALSE)) - LEN(SUBSTITUTE(VLOOKUP($D131,素材!$1:$1016,COLUMN($F$1),FALSE), "・", 0)) + 1), 0)</f>
        <v>0</v>
      </c>
      <c r="BD131">
        <f>IF(ISNUMBER(SEARCH(SUBSTITUTE(BD$1,RIGHT(BD$1,2),""),VLOOKUP($D131,素材!$1:$1016,COLUMN($F$1),FALSE))),VLOOKUP($C131,武器!$1:$998,COLUMN($O$1),FALSE)*VLOOKUP($D131,素材!$1:$1016,COLUMN($E$1),FALSE)/(LEN(VLOOKUP($D131,素材!$1:$1016,COLUMN($F$1),FALSE)) - LEN(SUBSTITUTE(VLOOKUP($D131,素材!$1:$1016,COLUMN($F$1),FALSE), "・", 0)) + 1), 0)</f>
        <v>0</v>
      </c>
      <c r="BE131">
        <f>IF(ISNUMBER(SEARCH(SUBSTITUTE(BE$1,RIGHT(BE$1,2),""),VLOOKUP($D131,素材!$1:$1016,COLUMN($F$1),FALSE))),VLOOKUP($C131,武器!$1:$998,COLUMN($O$1),FALSE)*VLOOKUP($D131,素材!$1:$1016,COLUMN($E$1),FALSE)/(LEN(VLOOKUP($D131,素材!$1:$1016,COLUMN($F$1),FALSE)) - LEN(SUBSTITUTE(VLOOKUP($D131,素材!$1:$1016,COLUMN($F$1),FALSE), "・", 0)) + 1), 0)</f>
        <v>0</v>
      </c>
      <c r="CL131">
        <f>SUM(G131:I131)</f>
        <v>0</v>
      </c>
      <c r="CM131" s="22" t="str">
        <f>IF(E131="武器",IF(J131-1&gt;SUM(G131:I131),"盾",IF(MAX(G131:I131)=G131,"切断",IF(MAX(G131:I131)=H131,"貫通",IF(MAX(G131:I131)=I131,"打撃","射撃")))),E131)&amp;".webp"</f>
        <v>体.webp</v>
      </c>
      <c r="CN131">
        <f>IFERROR(VLOOKUP($C131,武器!$1:$998,COLUMN(V$1),FALSE)*VLOOKUP($D131,素材!$1:$1016,COLUMN(N$1),FALSE)+IF(CI131="",0,VLOOKUP($CI131,装強!$1:$1008,COLUMN($CK$1),FALSE)),"")</f>
        <v>1500</v>
      </c>
      <c r="CO131" t="str">
        <f>VLOOKUP(D131,素材!$A:$O,COLUMN(素材!O$1),FALSE)</f>
        <v>高品質な加工を施した軽量の皮素材。軽量化により動きやすさを確保しつつ、適度な防御力を提供します。</v>
      </c>
      <c r="CP131" t="str">
        <f>VLOOKUP(C131,武器!$A:$W,COLUMN(武器!W$1),FALSE)</f>
        <v>HP 物理 魔法 体幹 出血 疲労 Cr</v>
      </c>
      <c r="CR131" t="str">
        <f t="shared" si="5"/>
        <v>e_131</v>
      </c>
      <c r="CS131">
        <f t="shared" si="6"/>
        <v>150000</v>
      </c>
    </row>
    <row r="132" spans="1:97" outlineLevel="1" x14ac:dyDescent="0.4">
      <c r="A132" t="str">
        <f t="shared" si="7"/>
        <v>軽皮の胴衣</v>
      </c>
      <c r="B132" t="str">
        <f>IFERROR(VLOOKUP($D132,素材!$1:$1016,COLUMN($B$1),FALSE)&amp;"・"&amp;VLOOKUP($C132,武器!$1:$998,COLUMN(B$1),FALSE),"")</f>
        <v>ライトレザー・ベスト</v>
      </c>
      <c r="C132" t="s">
        <v>207</v>
      </c>
      <c r="D132" s="24" t="s">
        <v>250</v>
      </c>
      <c r="E132" t="str">
        <f>IFERROR(VLOOKUP(C132,武器!$1:$998,COLUMN(C$1),FALSE),"")</f>
        <v>体</v>
      </c>
      <c r="F132">
        <f>IFERROR(ROUNDDOWN((VLOOKUP($C132,武器!$1:$998,COLUMN(D$1),FALSE)+IFERROR(VLOOKUP($CI132,装強!$1:$999,COLUMN(F$1),FALSE),0))*VLOOKUP($D132,素材!$1:$1016,COLUMN(D$1),FALSE),0),"")</f>
        <v>0</v>
      </c>
      <c r="G132">
        <f>IFERROR(ROUNDDOWN((VLOOKUP($C132,武器!$1:$998,COLUMN(E$1),FALSE)+IFERROR(VLOOKUP($CI132,装強!$1:$999,COLUMN(G$1),FALSE),0))*VLOOKUP($D132,素材!$1:$1016,COLUMN($E$1),FALSE),0),"")</f>
        <v>0</v>
      </c>
      <c r="H132">
        <f>IFERROR(ROUNDDOWN((VLOOKUP($C132,武器!$1:$998,COLUMN(F$1),FALSE)+IFERROR(VLOOKUP($CI132,装強!$1:$999,COLUMN(H$1),FALSE),0))*VLOOKUP($D132,素材!$1:$1016,COLUMN($E$1),FALSE),0),"")</f>
        <v>0</v>
      </c>
      <c r="I132">
        <f>IFERROR(ROUNDDOWN((VLOOKUP($C132,武器!$1:$998,COLUMN(G$1),FALSE)+IFERROR(VLOOKUP($CI132,装強!$1:$999,COLUMN(I$1),FALSE),0))*VLOOKUP($D132,素材!$1:$1016,COLUMN($E$1),FALSE),0),"")</f>
        <v>0</v>
      </c>
      <c r="J132">
        <f>IFERROR(ROUNDDOWN((VLOOKUP($C132,武器!$1:$998,COLUMN(H$1),FALSE)+IFERROR(VLOOKUP($CI132,装強!$1:$999,COLUMN(J$1),FALSE),0))*VLOOKUP($D132,素材!$1:$1016,COLUMN($E$1),FALSE),0),"")</f>
        <v>0</v>
      </c>
      <c r="K132">
        <f>IFERROR(ROUNDDOWN((VLOOKUP($C132,武器!$1:$998,COLUMN(I$1),FALSE)+IFERROR(VLOOKUP($CI132,装強!$1:$999,COLUMN(K$1),FALSE),0))*VLOOKUP($D132,素材!$1:$1016,COLUMN($E$1),FALSE),0),"")</f>
        <v>0</v>
      </c>
      <c r="L132" t="str">
        <f>IFERROR(VLOOKUP($D132,素材!$1:$1016,COLUMN($F$1),FALSE),"")</f>
        <v>-</v>
      </c>
      <c r="M132" t="str">
        <f>IFERROR(VLOOKUP($C132,武器!$1:$998,COLUMN(AA$1),FALSE)*VLOOKUP($D132,素材!$1:$1016,COLUMN($G$1),FALSE),"")</f>
        <v/>
      </c>
      <c r="N132">
        <f>IFERROR(VLOOKUP($C132,武器!$1:$998,COLUMN(I$1),FALSE),"")</f>
        <v>0</v>
      </c>
      <c r="O132" s="23" t="str">
        <f>IFERROR((VLOOKUP($C132,武器!$1:$998,COLUMN(K$1),FALSE)+VLOOKUP($D132,素材!$1:$1016,COLUMN(H$1),FALSE))*100+IFERROR(VLOOKUP($CI132,装強!$1:$999,COLUMN(O$1),FALSE),0),"")</f>
        <v/>
      </c>
      <c r="P132" s="23" t="str">
        <f>IFERROR((VLOOKUP($C132,武器!$1:$998,COLUMN(L$1),FALSE)+VLOOKUP($D132,素材!$1:$1016,COLUMN(I$1),FALSE))*100+IFERROR(VLOOKUP($CI132,装強!$1:$999,COLUMN(P$1),FALSE),0),"")</f>
        <v/>
      </c>
      <c r="Q132">
        <f>IFERROR(ROUNDUP(VLOOKUP($C132,武器!$1:$998,COLUMN(M$1),FALSE)*(VLOOKUP($D132,素材!$1:$1002,COLUMN(D$1),FALSE)/100),1),"")</f>
        <v>-1.9000000000000001</v>
      </c>
      <c r="R132">
        <f>IFERROR(ROUNDUP(VLOOKUP($C132,武器!$1:$998,COLUMN(N$1),FALSE)*(VLOOKUP($D132,素材!$1:$1002,COLUMN(D$1),FALSE)/100),1),"")</f>
        <v>0</v>
      </c>
      <c r="S132">
        <f>IFERROR(VLOOKUP($C132,武器!$1:$998,COLUMN(P$1),FALSE),"")</f>
        <v>0</v>
      </c>
      <c r="T132">
        <f>IFERROR(VLOOKUP($C132,武器!$1:$998,COLUMN(Q$1),FALSE),"")</f>
        <v>0</v>
      </c>
      <c r="U132">
        <f>IFERROR(VLOOKUP($C132,武器!$1:$998,COLUMN(R$1),FALSE),"")</f>
        <v>0</v>
      </c>
      <c r="V132">
        <f>IFERROR(VLOOKUP($C132,武器!$1:$998,COLUMN(Q$1),FALSE),"")</f>
        <v>0</v>
      </c>
      <c r="W132">
        <f>IFERROR(VLOOKUP($C132,武器!$1:$998,COLUMN(T$1),FALSE),"")</f>
        <v>0</v>
      </c>
      <c r="Y132">
        <f>IFERROR(VLOOKUP($C132,武器!$1:$998,COLUMN(U$1),FALSE),"")</f>
        <v>0</v>
      </c>
      <c r="Z132">
        <f>IFERROR(ROUNDUP(VLOOKUP($C132,武器!$1:$998,COLUMN(O$1),FALSE)*VLOOKUP($D132,素材!$1:$1016,COLUMN(E$1),FALSE),1),"")</f>
        <v>7.5</v>
      </c>
      <c r="AA132">
        <f>IF(ISNUMBER(SEARCH(SUBSTITUTE(AA$1,RIGHT(AA$1,2),""),VLOOKUP($D132,素材!$1:$1016,COLUMN($F$1),FALSE))),VLOOKUP($C132,武器!$1:$998,COLUMN($O$1),FALSE)*VLOOKUP($D132,素材!$1:$1016,COLUMN($E$1),FALSE)/(LEN(VLOOKUP($D132,素材!$1:$1016,COLUMN($F$1),FALSE)) - LEN(SUBSTITUTE(VLOOKUP($D132,素材!$1:$1016,COLUMN($F$1),FALSE), "・", 0)) + 1), 0)</f>
        <v>0</v>
      </c>
      <c r="AB132">
        <f>IF(ISNUMBER(SEARCH(SUBSTITUTE(AB$1,RIGHT(AB$1,2),""),VLOOKUP($D132,素材!$1:$1016,COLUMN($F$1),FALSE))),VLOOKUP($C132,武器!$1:$998,COLUMN($O$1),FALSE)*VLOOKUP($D132,素材!$1:$1016,COLUMN($E$1),FALSE)/(LEN(VLOOKUP($D132,素材!$1:$1016,COLUMN($F$1),FALSE)) - LEN(SUBSTITUTE(VLOOKUP($D132,素材!$1:$1016,COLUMN($F$1),FALSE), "・", 0)) + 1), 0)</f>
        <v>0</v>
      </c>
      <c r="AC132">
        <f>IF(ISNUMBER(SEARCH(SUBSTITUTE(AC$1,RIGHT(AC$1,2),""),VLOOKUP($D132,素材!$1:$1016,COLUMN($F$1),FALSE))),VLOOKUP($C132,武器!$1:$998,COLUMN($O$1),FALSE)*VLOOKUP($D132,素材!$1:$1016,COLUMN($E$1),FALSE)/(LEN(VLOOKUP($D132,素材!$1:$1016,COLUMN($F$1),FALSE)) - LEN(SUBSTITUTE(VLOOKUP($D132,素材!$1:$1016,COLUMN($F$1),FALSE), "・", 0)) + 1), 0)</f>
        <v>0</v>
      </c>
      <c r="AD132">
        <f>IF(ISNUMBER(SEARCH(SUBSTITUTE(AD$1,RIGHT(AD$1,2),""),VLOOKUP($D132,素材!$1:$1016,COLUMN($F$1),FALSE))),VLOOKUP($C132,武器!$1:$998,COLUMN($O$1),FALSE)*VLOOKUP($D132,素材!$1:$1016,COLUMN($E$1),FALSE)/(LEN(VLOOKUP($D132,素材!$1:$1016,COLUMN($F$1),FALSE)) - LEN(SUBSTITUTE(VLOOKUP($D132,素材!$1:$1016,COLUMN($F$1),FALSE), "・", 0)) + 1), 0)</f>
        <v>0</v>
      </c>
      <c r="AE132">
        <f>IF(ISNUMBER(SEARCH(SUBSTITUTE(AE$1,RIGHT(AE$1,2),""),VLOOKUP($D132,素材!$1:$1016,COLUMN($F$1),FALSE))),VLOOKUP($C132,武器!$1:$998,COLUMN($O$1),FALSE)*VLOOKUP($D132,素材!$1:$1016,COLUMN($E$1),FALSE)/(LEN(VLOOKUP($D132,素材!$1:$1016,COLUMN($F$1),FALSE)) - LEN(SUBSTITUTE(VLOOKUP($D132,素材!$1:$1016,COLUMN($F$1),FALSE), "・", 0)) + 1), 0)</f>
        <v>0</v>
      </c>
      <c r="AF132">
        <f>IF(ISNUMBER(SEARCH(SUBSTITUTE(AF$1,RIGHT(AF$1,2),""),VLOOKUP($D132,素材!$1:$1016,COLUMN($F$1),FALSE))),VLOOKUP($C132,武器!$1:$998,COLUMN($O$1),FALSE)*VLOOKUP($D132,素材!$1:$1016,COLUMN($E$1),FALSE)/(LEN(VLOOKUP($D132,素材!$1:$1016,COLUMN($F$1),FALSE)) - LEN(SUBSTITUTE(VLOOKUP($D132,素材!$1:$1016,COLUMN($F$1),FALSE), "・", 0)) + 1), 0)</f>
        <v>0</v>
      </c>
      <c r="AG132">
        <f>IF(ISNUMBER(SEARCH(SUBSTITUTE(AG$1,RIGHT(AG$1,2),""),VLOOKUP($D132,素材!$1:$1016,COLUMN($F$1),FALSE))),VLOOKUP($C132,武器!$1:$998,COLUMN($O$1),FALSE)*VLOOKUP($D132,素材!$1:$1016,COLUMN($E$1),FALSE)/(LEN(VLOOKUP($D132,素材!$1:$1016,COLUMN($F$1),FALSE)) - LEN(SUBSTITUTE(VLOOKUP($D132,素材!$1:$1016,COLUMN($F$1),FALSE), "・", 0)) + 1), 0)</f>
        <v>0</v>
      </c>
      <c r="AH132">
        <f>IF(ISNUMBER(SEARCH(SUBSTITUTE(AH$1,RIGHT(AH$1,2),""),VLOOKUP($D132,素材!$1:$1016,COLUMN($F$1),FALSE))),VLOOKUP($C132,武器!$1:$998,COLUMN($O$1),FALSE)*VLOOKUP($D132,素材!$1:$1016,COLUMN($E$1),FALSE)/(LEN(VLOOKUP($D132,素材!$1:$1016,COLUMN($F$1),FALSE)) - LEN(SUBSTITUTE(VLOOKUP($D132,素材!$1:$1016,COLUMN($F$1),FALSE), "・", 0)) + 1), 0)</f>
        <v>0</v>
      </c>
      <c r="AI132">
        <f>IF(ISNUMBER(SEARCH(SUBSTITUTE(AI$1,RIGHT(AI$1,2),""),VLOOKUP($D132,素材!$1:$1016,COLUMN($F$1),FALSE))),VLOOKUP($C132,武器!$1:$998,COLUMN($O$1),FALSE)*VLOOKUP($D132,素材!$1:$1016,COLUMN($E$1),FALSE)/(LEN(VLOOKUP($D132,素材!$1:$1016,COLUMN($F$1),FALSE)) - LEN(SUBSTITUTE(VLOOKUP($D132,素材!$1:$1016,COLUMN($F$1),FALSE), "・", 0)) + 1), 0)</f>
        <v>0</v>
      </c>
      <c r="AJ132">
        <f>IF(ISNUMBER(SEARCH(SUBSTITUTE(AJ$1,RIGHT(AJ$1,2),""),VLOOKUP($D132,素材!$1:$1016,COLUMN($F$1),FALSE))),VLOOKUP($C132,武器!$1:$998,COLUMN($O$1),FALSE)*VLOOKUP($D132,素材!$1:$1016,COLUMN($E$1),FALSE)/(LEN(VLOOKUP($D132,素材!$1:$1016,COLUMN($F$1),FALSE)) - LEN(SUBSTITUTE(VLOOKUP($D132,素材!$1:$1016,COLUMN($F$1),FALSE), "・", 0)) + 1), 0)</f>
        <v>0</v>
      </c>
      <c r="AK132">
        <f>IF(ISNUMBER(SEARCH(SUBSTITUTE(AK$1,RIGHT(AK$1,2),""),VLOOKUP($D132,素材!$1:$1016,COLUMN($F$1),FALSE))),VLOOKUP($C132,武器!$1:$998,COLUMN($O$1),FALSE)*VLOOKUP($D132,素材!$1:$1016,COLUMN($E$1),FALSE)/(LEN(VLOOKUP($D132,素材!$1:$1016,COLUMN($F$1),FALSE)) - LEN(SUBSTITUTE(VLOOKUP($D132,素材!$1:$1016,COLUMN($F$1),FALSE), "・", 0)) + 1), 0)</f>
        <v>0</v>
      </c>
      <c r="AL132">
        <f>IF(ISNUMBER(SEARCH(SUBSTITUTE(AL$1,RIGHT(AL$1,2),""),VLOOKUP($D132,素材!$1:$1016,COLUMN($F$1),FALSE))),VLOOKUP($C132,武器!$1:$998,COLUMN($O$1),FALSE)*VLOOKUP($D132,素材!$1:$1016,COLUMN($E$1),FALSE)/(LEN(VLOOKUP($D132,素材!$1:$1016,COLUMN($F$1),FALSE)) - LEN(SUBSTITUTE(VLOOKUP($D132,素材!$1:$1016,COLUMN($F$1),FALSE), "・", 0)) + 1), 0)</f>
        <v>0</v>
      </c>
      <c r="AM132">
        <f>IF(ISNUMBER(SEARCH(SUBSTITUTE(AM$1,RIGHT(AM$1,2),""),VLOOKUP($D132,素材!$1:$1016,COLUMN($F$1),FALSE))),VLOOKUP($C132,武器!$1:$998,COLUMN($O$1),FALSE)*VLOOKUP($D132,素材!$1:$1016,COLUMN($E$1),FALSE)/(LEN(VLOOKUP($D132,素材!$1:$1016,COLUMN($F$1),FALSE)) - LEN(SUBSTITUTE(VLOOKUP($D132,素材!$1:$1016,COLUMN($F$1),FALSE), "・", 0)) + 1), 0)</f>
        <v>0</v>
      </c>
      <c r="AN132">
        <f>IF(ISNUMBER(SEARCH(SUBSTITUTE(AN$1,RIGHT(AN$1,2),""),VLOOKUP($D132,素材!$1:$1016,COLUMN($F$1),FALSE))),VLOOKUP($C132,武器!$1:$998,COLUMN($O$1),FALSE)*VLOOKUP($D132,素材!$1:$1016,COLUMN($E$1),FALSE)/(LEN(VLOOKUP($D132,素材!$1:$1016,COLUMN($F$1),FALSE)) - LEN(SUBSTITUTE(VLOOKUP($D132,素材!$1:$1016,COLUMN($F$1),FALSE), "・", 0)) + 1), 0)</f>
        <v>0</v>
      </c>
      <c r="AO132">
        <f>IF(ISNUMBER(SEARCH(SUBSTITUTE(AO$1,RIGHT(AO$1,2),""),VLOOKUP($D132,素材!$1:$1016,COLUMN($F$1),FALSE))),VLOOKUP($C132,武器!$1:$998,COLUMN($O$1),FALSE)*VLOOKUP($D132,素材!$1:$1016,COLUMN($E$1),FALSE)/(LEN(VLOOKUP($D132,素材!$1:$1016,COLUMN($F$1),FALSE)) - LEN(SUBSTITUTE(VLOOKUP($D132,素材!$1:$1016,COLUMN($F$1),FALSE), "・", 0)) + 1), 0)</f>
        <v>0</v>
      </c>
      <c r="AP132">
        <f>IF(ISNUMBER(SEARCH(SUBSTITUTE(AP$1,RIGHT(AP$1,2),""),VLOOKUP($D132,素材!$1:$1016,COLUMN($F$1),FALSE))),VLOOKUP($C132,武器!$1:$998,COLUMN($O$1),FALSE)*VLOOKUP($D132,素材!$1:$1016,COLUMN($E$1),FALSE)/(LEN(VLOOKUP($D132,素材!$1:$1016,COLUMN($F$1),FALSE)) - LEN(SUBSTITUTE(VLOOKUP($D132,素材!$1:$1016,COLUMN($F$1),FALSE), "・", 0)) + 1), 0)</f>
        <v>0</v>
      </c>
      <c r="AQ132">
        <f>IF(ISNUMBER(SEARCH(SUBSTITUTE(AQ$1,RIGHT(AQ$1,2),""),VLOOKUP($D132,素材!$1:$1016,COLUMN($F$1),FALSE))),VLOOKUP($C132,武器!$1:$998,COLUMN($O$1),FALSE)*VLOOKUP($D132,素材!$1:$1016,COLUMN($E$1),FALSE)/(LEN(VLOOKUP($D132,素材!$1:$1016,COLUMN($F$1),FALSE)) - LEN(SUBSTITUTE(VLOOKUP($D132,素材!$1:$1016,COLUMN($F$1),FALSE), "・", 0)) + 1), 0)</f>
        <v>0</v>
      </c>
      <c r="AR132">
        <f>IF(ISNUMBER(SEARCH(SUBSTITUTE(AR$1,RIGHT(AR$1,2),""),VLOOKUP($D132,素材!$1:$1016,COLUMN($F$1),FALSE))),VLOOKUP($C132,武器!$1:$998,COLUMN($O$1),FALSE)*VLOOKUP($D132,素材!$1:$1016,COLUMN($E$1),FALSE)/(LEN(VLOOKUP($D132,素材!$1:$1016,COLUMN($F$1),FALSE)) - LEN(SUBSTITUTE(VLOOKUP($D132,素材!$1:$1016,COLUMN($F$1),FALSE), "・", 0)) + 1), 0)</f>
        <v>0</v>
      </c>
      <c r="AS132">
        <f>IF(ISNUMBER(SEARCH(SUBSTITUTE(AS$1,RIGHT(AS$1,2),""),VLOOKUP($D132,素材!$1:$1016,COLUMN($F$1),FALSE))),VLOOKUP($C132,武器!$1:$998,COLUMN($O$1),FALSE)*VLOOKUP($D132,素材!$1:$1016,COLUMN($E$1),FALSE)/(LEN(VLOOKUP($D132,素材!$1:$1016,COLUMN($F$1),FALSE)) - LEN(SUBSTITUTE(VLOOKUP($D132,素材!$1:$1016,COLUMN($F$1),FALSE), "・", 0)) + 1), 0)</f>
        <v>0</v>
      </c>
      <c r="AT132">
        <f>IF(ISNUMBER(SEARCH(SUBSTITUTE(AT$1,RIGHT(AT$1,2),""),VLOOKUP($D132,素材!$1:$1016,COLUMN($F$1),FALSE))),VLOOKUP($C132,武器!$1:$998,COLUMN($O$1),FALSE)*VLOOKUP($D132,素材!$1:$1016,COLUMN($E$1),FALSE)/(LEN(VLOOKUP($D132,素材!$1:$1016,COLUMN($F$1),FALSE)) - LEN(SUBSTITUTE(VLOOKUP($D132,素材!$1:$1016,COLUMN($F$1),FALSE), "・", 0)) + 1), 0)</f>
        <v>0</v>
      </c>
      <c r="AU132">
        <f>IF(ISNUMBER(SEARCH(SUBSTITUTE(AU$1,RIGHT(AU$1,2),""),VLOOKUP($D132,素材!$1:$1016,COLUMN($F$1),FALSE))),VLOOKUP($C132,武器!$1:$998,COLUMN($O$1),FALSE)*VLOOKUP($D132,素材!$1:$1016,COLUMN($E$1),FALSE)/(LEN(VLOOKUP($D132,素材!$1:$1016,COLUMN($F$1),FALSE)) - LEN(SUBSTITUTE(VLOOKUP($D132,素材!$1:$1016,COLUMN($F$1),FALSE), "・", 0)) + 1), 0)</f>
        <v>0</v>
      </c>
      <c r="AV132">
        <f>IF(ISNUMBER(SEARCH(SUBSTITUTE(AV$1,RIGHT(AV$1,2),""),VLOOKUP($D132,素材!$1:$1016,COLUMN($F$1),FALSE))),VLOOKUP($C132,武器!$1:$998,COLUMN($O$1),FALSE)*VLOOKUP($D132,素材!$1:$1016,COLUMN($E$1),FALSE)/(LEN(VLOOKUP($D132,素材!$1:$1016,COLUMN($F$1),FALSE)) - LEN(SUBSTITUTE(VLOOKUP($D132,素材!$1:$1016,COLUMN($F$1),FALSE), "・", 0)) + 1), 0)</f>
        <v>0</v>
      </c>
      <c r="AW132">
        <f>IF(ISNUMBER(SEARCH(SUBSTITUTE(AW$1,RIGHT(AW$1,2),""),VLOOKUP($D132,素材!$1:$1016,COLUMN($F$1),FALSE))),VLOOKUP($C132,武器!$1:$998,COLUMN($O$1),FALSE)*VLOOKUP($D132,素材!$1:$1016,COLUMN($E$1),FALSE)/(LEN(VLOOKUP($D132,素材!$1:$1016,COLUMN($F$1),FALSE)) - LEN(SUBSTITUTE(VLOOKUP($D132,素材!$1:$1016,COLUMN($F$1),FALSE), "・", 0)) + 1), 0)</f>
        <v>0</v>
      </c>
      <c r="AX132">
        <f>IF(ISNUMBER(SEARCH(SUBSTITUTE(AX$1,RIGHT(AX$1,2),""),VLOOKUP($D132,素材!$1:$1016,COLUMN($F$1),FALSE))),VLOOKUP($C132,武器!$1:$998,COLUMN($O$1),FALSE)*VLOOKUP($D132,素材!$1:$1016,COLUMN($E$1),FALSE)/(LEN(VLOOKUP($D132,素材!$1:$1016,COLUMN($F$1),FALSE)) - LEN(SUBSTITUTE(VLOOKUP($D132,素材!$1:$1016,COLUMN($F$1),FALSE), "・", 0)) + 1), 0)</f>
        <v>0</v>
      </c>
      <c r="AY132">
        <f>IF(ISNUMBER(SEARCH(SUBSTITUTE(AY$1,RIGHT(AY$1,2),""),VLOOKUP($D132,素材!$1:$1016,COLUMN($F$1),FALSE))),VLOOKUP($C132,武器!$1:$998,COLUMN($O$1),FALSE)*VLOOKUP($D132,素材!$1:$1016,COLUMN($E$1),FALSE)/(LEN(VLOOKUP($D132,素材!$1:$1016,COLUMN($F$1),FALSE)) - LEN(SUBSTITUTE(VLOOKUP($D132,素材!$1:$1016,COLUMN($F$1),FALSE), "・", 0)) + 1), 0)</f>
        <v>0</v>
      </c>
      <c r="AZ132">
        <f>IF(ISNUMBER(SEARCH(SUBSTITUTE(AZ$1,RIGHT(AZ$1,2),""),VLOOKUP($D132,素材!$1:$1016,COLUMN($F$1),FALSE))),VLOOKUP($C132,武器!$1:$998,COLUMN($O$1),FALSE)*VLOOKUP($D132,素材!$1:$1016,COLUMN($E$1),FALSE)/(LEN(VLOOKUP($D132,素材!$1:$1016,COLUMN($F$1),FALSE)) - LEN(SUBSTITUTE(VLOOKUP($D132,素材!$1:$1016,COLUMN($F$1),FALSE), "・", 0)) + 1), 0)</f>
        <v>0</v>
      </c>
      <c r="BA132">
        <f>IF(ISNUMBER(SEARCH(SUBSTITUTE(BA$1,RIGHT(BA$1,2),""),VLOOKUP($D132,素材!$1:$1016,COLUMN($F$1),FALSE))),VLOOKUP($C132,武器!$1:$998,COLUMN($O$1),FALSE)*VLOOKUP($D132,素材!$1:$1016,COLUMN($E$1),FALSE)/(LEN(VLOOKUP($D132,素材!$1:$1016,COLUMN($F$1),FALSE)) - LEN(SUBSTITUTE(VLOOKUP($D132,素材!$1:$1016,COLUMN($F$1),FALSE), "・", 0)) + 1), 0)</f>
        <v>0</v>
      </c>
      <c r="BB132">
        <f>IF(ISNUMBER(SEARCH(SUBSTITUTE(BB$1,RIGHT(BB$1,2),""),VLOOKUP($D132,素材!$1:$1016,COLUMN($F$1),FALSE))),VLOOKUP($C132,武器!$1:$998,COLUMN($O$1),FALSE)*VLOOKUP($D132,素材!$1:$1016,COLUMN($E$1),FALSE)/(LEN(VLOOKUP($D132,素材!$1:$1016,COLUMN($F$1),FALSE)) - LEN(SUBSTITUTE(VLOOKUP($D132,素材!$1:$1016,COLUMN($F$1),FALSE), "・", 0)) + 1), 0)</f>
        <v>0</v>
      </c>
      <c r="BC132">
        <f>IF(ISNUMBER(SEARCH(SUBSTITUTE(BC$1,RIGHT(BC$1,2),""),VLOOKUP($D132,素材!$1:$1016,COLUMN($F$1),FALSE))),VLOOKUP($C132,武器!$1:$998,COLUMN($O$1),FALSE)*VLOOKUP($D132,素材!$1:$1016,COLUMN($E$1),FALSE)/(LEN(VLOOKUP($D132,素材!$1:$1016,COLUMN($F$1),FALSE)) - LEN(SUBSTITUTE(VLOOKUP($D132,素材!$1:$1016,COLUMN($F$1),FALSE), "・", 0)) + 1), 0)</f>
        <v>0</v>
      </c>
      <c r="BD132">
        <f>IF(ISNUMBER(SEARCH(SUBSTITUTE(BD$1,RIGHT(BD$1,2),""),VLOOKUP($D132,素材!$1:$1016,COLUMN($F$1),FALSE))),VLOOKUP($C132,武器!$1:$998,COLUMN($O$1),FALSE)*VLOOKUP($D132,素材!$1:$1016,COLUMN($E$1),FALSE)/(LEN(VLOOKUP($D132,素材!$1:$1016,COLUMN($F$1),FALSE)) - LEN(SUBSTITUTE(VLOOKUP($D132,素材!$1:$1016,COLUMN($F$1),FALSE), "・", 0)) + 1), 0)</f>
        <v>0</v>
      </c>
      <c r="BE132">
        <f>IF(ISNUMBER(SEARCH(SUBSTITUTE(BE$1,RIGHT(BE$1,2),""),VLOOKUP($D132,素材!$1:$1016,COLUMN($F$1),FALSE))),VLOOKUP($C132,武器!$1:$998,COLUMN($O$1),FALSE)*VLOOKUP($D132,素材!$1:$1016,COLUMN($E$1),FALSE)/(LEN(VLOOKUP($D132,素材!$1:$1016,COLUMN($F$1),FALSE)) - LEN(SUBSTITUTE(VLOOKUP($D132,素材!$1:$1016,COLUMN($F$1),FALSE), "・", 0)) + 1), 0)</f>
        <v>0</v>
      </c>
      <c r="CL132">
        <f>SUM(G132:I132)</f>
        <v>0</v>
      </c>
      <c r="CM132" s="22" t="str">
        <f>IF(E132="武器",IF(J132-1&gt;SUM(G132:I132),"盾",IF(MAX(G132:I132)=G132,"切断",IF(MAX(G132:I132)=H132,"貫通",IF(MAX(G132:I132)=I132,"打撃","射撃")))),E132)&amp;".webp"</f>
        <v>体.webp</v>
      </c>
      <c r="CN132">
        <f>IFERROR(VLOOKUP($C132,武器!$1:$998,COLUMN(V$1),FALSE)*VLOOKUP($D132,素材!$1:$1016,COLUMN(N$1),FALSE)+IF(CI132="",0,VLOOKUP($CI132,装強!$1:$1008,COLUMN($CK$1),FALSE)),"")</f>
        <v>1250</v>
      </c>
      <c r="CO132" t="str">
        <f>VLOOKUP(D132,素材!$A:$O,COLUMN(素材!O$1),FALSE)</f>
        <v>高品質な加工を施した軽量の皮素材。軽量化により動きやすさを確保しつつ、適度な防御力を提供します。</v>
      </c>
      <c r="CP132" t="str">
        <f>VLOOKUP(C132,武器!$A:$W,COLUMN(武器!W$1),FALSE)</f>
        <v>HP 物理 魔法 体幹 出血 疲労 Cr</v>
      </c>
      <c r="CR132" t="str">
        <f t="shared" si="5"/>
        <v>e_132</v>
      </c>
      <c r="CS132">
        <f t="shared" si="6"/>
        <v>125000</v>
      </c>
    </row>
    <row r="133" spans="1:97" outlineLevel="1" x14ac:dyDescent="0.4">
      <c r="A133" t="str">
        <f>D133&amp;"の"&amp;C133</f>
        <v>軽皮の靴</v>
      </c>
      <c r="B133" t="str">
        <f>IFERROR(VLOOKUP($D133,素材!$1:$1016,COLUMN($B$1),FALSE)&amp;"・"&amp;VLOOKUP($C133,武器!$1:$998,COLUMN(B$1),FALSE),"")</f>
        <v>ライトレザー・ブーツ</v>
      </c>
      <c r="C133" t="s">
        <v>1293</v>
      </c>
      <c r="D133" s="24" t="s">
        <v>250</v>
      </c>
      <c r="E133" t="str">
        <f>IFERROR(VLOOKUP(C133,武器!$1:$998,COLUMN(C$1),FALSE),"")</f>
        <v>足</v>
      </c>
      <c r="F133">
        <f>IFERROR(ROUNDDOWN((VLOOKUP($C133,武器!$1:$998,COLUMN(D$1),FALSE)+IFERROR(VLOOKUP($CI133,装強!$1:$999,COLUMN(F$1),FALSE),0))*VLOOKUP($D133,素材!$1:$1016,COLUMN(D$1),FALSE),0),"")</f>
        <v>0</v>
      </c>
      <c r="G133">
        <f>IFERROR(ROUNDDOWN((VLOOKUP($C133,武器!$1:$998,COLUMN(E$1),FALSE)+IFERROR(VLOOKUP($CI133,装強!$1:$999,COLUMN(G$1),FALSE),0))*VLOOKUP($D133,素材!$1:$1016,COLUMN($E$1),FALSE),0),"")</f>
        <v>0</v>
      </c>
      <c r="H133">
        <f>IFERROR(ROUNDDOWN((VLOOKUP($C133,武器!$1:$998,COLUMN(F$1),FALSE)+IFERROR(VLOOKUP($CI133,装強!$1:$999,COLUMN(H$1),FALSE),0))*VLOOKUP($D133,素材!$1:$1016,COLUMN($E$1),FALSE),0),"")</f>
        <v>0</v>
      </c>
      <c r="I133">
        <f>IFERROR(ROUNDDOWN((VLOOKUP($C133,武器!$1:$998,COLUMN(G$1),FALSE)+IFERROR(VLOOKUP($CI133,装強!$1:$999,COLUMN(I$1),FALSE),0))*VLOOKUP($D133,素材!$1:$1016,COLUMN($E$1),FALSE),0),"")</f>
        <v>15</v>
      </c>
      <c r="J133">
        <f>IFERROR(ROUNDDOWN((VLOOKUP($C133,武器!$1:$998,COLUMN(H$1),FALSE)+IFERROR(VLOOKUP($CI133,装強!$1:$999,COLUMN(J$1),FALSE),0))*VLOOKUP($D133,素材!$1:$1016,COLUMN($E$1),FALSE),0),"")</f>
        <v>0</v>
      </c>
      <c r="K133">
        <f>IFERROR(ROUNDDOWN((VLOOKUP($C133,武器!$1:$998,COLUMN(I$1),FALSE)+IFERROR(VLOOKUP($CI133,装強!$1:$999,COLUMN(K$1),FALSE),0))*VLOOKUP($D133,素材!$1:$1016,COLUMN($E$1),FALSE),0),"")</f>
        <v>0</v>
      </c>
      <c r="L133" t="str">
        <f>IFERROR(VLOOKUP($D133,素材!$1:$1016,COLUMN($F$1),FALSE),"")</f>
        <v>-</v>
      </c>
      <c r="M133" t="str">
        <f>IFERROR(VLOOKUP($C133,武器!$1:$998,COLUMN(AA$1),FALSE)*VLOOKUP($D133,素材!$1:$1016,COLUMN($G$1),FALSE),"")</f>
        <v/>
      </c>
      <c r="N133">
        <f>IFERROR(VLOOKUP($C133,武器!$1:$998,COLUMN(I$1),FALSE),"")</f>
        <v>0</v>
      </c>
      <c r="O133" s="23" t="str">
        <f>IFERROR((VLOOKUP($C133,武器!$1:$998,COLUMN(K$1),FALSE)+VLOOKUP($D133,素材!$1:$1016,COLUMN(H$1),FALSE))*100+IFERROR(VLOOKUP($CI133,装強!$1:$999,COLUMN(O$1),FALSE),0),"")</f>
        <v/>
      </c>
      <c r="P133" s="23" t="str">
        <f>IFERROR((VLOOKUP($C133,武器!$1:$998,COLUMN(L$1),FALSE)+VLOOKUP($D133,素材!$1:$1016,COLUMN(I$1),FALSE))*100+IFERROR(VLOOKUP($CI133,装強!$1:$999,COLUMN(P$1),FALSE),0),"")</f>
        <v/>
      </c>
      <c r="Q133">
        <f>IFERROR(ROUNDUP(VLOOKUP($C133,武器!$1:$998,COLUMN(M$1),FALSE)*(VLOOKUP($D133,素材!$1:$1002,COLUMN(D$1),FALSE)/100),1),"")</f>
        <v>0</v>
      </c>
      <c r="R133">
        <f>IFERROR(ROUNDUP(VLOOKUP($C133,武器!$1:$998,COLUMN(N$1),FALSE)*(VLOOKUP($D133,素材!$1:$1002,COLUMN(D$1),FALSE)/100),1),"")</f>
        <v>0</v>
      </c>
      <c r="S133">
        <f>IFERROR(VLOOKUP($C133,武器!$1:$998,COLUMN(P$1),FALSE),"")</f>
        <v>0</v>
      </c>
      <c r="T133">
        <f>IFERROR(VLOOKUP($C133,武器!$1:$998,COLUMN(Q$1),FALSE),"")</f>
        <v>0</v>
      </c>
      <c r="U133">
        <f>IFERROR(VLOOKUP($C133,武器!$1:$998,COLUMN(R$1),FALSE),"")</f>
        <v>0</v>
      </c>
      <c r="V133">
        <f>IFERROR(VLOOKUP($C133,武器!$1:$998,COLUMN(Q$1),FALSE),"")</f>
        <v>0</v>
      </c>
      <c r="W133">
        <f>IFERROR(VLOOKUP($C133,武器!$1:$998,COLUMN(T$1),FALSE),"")</f>
        <v>0</v>
      </c>
      <c r="Y133" t="str">
        <f>IFERROR(VLOOKUP($C133,武器!$1:$998,COLUMN(U$1),FALSE),"")</f>
        <v>足</v>
      </c>
      <c r="Z133">
        <f>IFERROR(ROUNDUP(VLOOKUP($C133,武器!$1:$998,COLUMN(O$1),FALSE)*VLOOKUP($D133,素材!$1:$1016,COLUMN(E$1),FALSE),1),"")</f>
        <v>2.3000000000000003</v>
      </c>
      <c r="AA133">
        <f>IF(ISNUMBER(SEARCH(SUBSTITUTE(AA$1,RIGHT(AA$1,2),""),VLOOKUP($D133,素材!$1:$1016,COLUMN($F$1),FALSE))),VLOOKUP($C133,武器!$1:$998,COLUMN($O$1),FALSE)*VLOOKUP($D133,素材!$1:$1016,COLUMN($E$1),FALSE)/(LEN(VLOOKUP($D133,素材!$1:$1016,COLUMN($F$1),FALSE)) - LEN(SUBSTITUTE(VLOOKUP($D133,素材!$1:$1016,COLUMN($F$1),FALSE), "・", 0)) + 1), 0)</f>
        <v>0</v>
      </c>
      <c r="AB133">
        <f>IF(ISNUMBER(SEARCH(SUBSTITUTE(AB$1,RIGHT(AB$1,2),""),VLOOKUP($D133,素材!$1:$1016,COLUMN($F$1),FALSE))),VLOOKUP($C133,武器!$1:$998,COLUMN($O$1),FALSE)*VLOOKUP($D133,素材!$1:$1016,COLUMN($E$1),FALSE)/(LEN(VLOOKUP($D133,素材!$1:$1016,COLUMN($F$1),FALSE)) - LEN(SUBSTITUTE(VLOOKUP($D133,素材!$1:$1016,COLUMN($F$1),FALSE), "・", 0)) + 1), 0)</f>
        <v>0</v>
      </c>
      <c r="AC133">
        <f>IF(ISNUMBER(SEARCH(SUBSTITUTE(AC$1,RIGHT(AC$1,2),""),VLOOKUP($D133,素材!$1:$1016,COLUMN($F$1),FALSE))),VLOOKUP($C133,武器!$1:$998,COLUMN($O$1),FALSE)*VLOOKUP($D133,素材!$1:$1016,COLUMN($E$1),FALSE)/(LEN(VLOOKUP($D133,素材!$1:$1016,COLUMN($F$1),FALSE)) - LEN(SUBSTITUTE(VLOOKUP($D133,素材!$1:$1016,COLUMN($F$1),FALSE), "・", 0)) + 1), 0)</f>
        <v>0</v>
      </c>
      <c r="AD133">
        <f>IF(ISNUMBER(SEARCH(SUBSTITUTE(AD$1,RIGHT(AD$1,2),""),VLOOKUP($D133,素材!$1:$1016,COLUMN($F$1),FALSE))),VLOOKUP($C133,武器!$1:$998,COLUMN($O$1),FALSE)*VLOOKUP($D133,素材!$1:$1016,COLUMN($E$1),FALSE)/(LEN(VLOOKUP($D133,素材!$1:$1016,COLUMN($F$1),FALSE)) - LEN(SUBSTITUTE(VLOOKUP($D133,素材!$1:$1016,COLUMN($F$1),FALSE), "・", 0)) + 1), 0)</f>
        <v>0</v>
      </c>
      <c r="AE133">
        <f>IF(ISNUMBER(SEARCH(SUBSTITUTE(AE$1,RIGHT(AE$1,2),""),VLOOKUP($D133,素材!$1:$1016,COLUMN($F$1),FALSE))),VLOOKUP($C133,武器!$1:$998,COLUMN($O$1),FALSE)*VLOOKUP($D133,素材!$1:$1016,COLUMN($E$1),FALSE)/(LEN(VLOOKUP($D133,素材!$1:$1016,COLUMN($F$1),FALSE)) - LEN(SUBSTITUTE(VLOOKUP($D133,素材!$1:$1016,COLUMN($F$1),FALSE), "・", 0)) + 1), 0)</f>
        <v>0</v>
      </c>
      <c r="AF133">
        <f>IF(ISNUMBER(SEARCH(SUBSTITUTE(AF$1,RIGHT(AF$1,2),""),VLOOKUP($D133,素材!$1:$1016,COLUMN($F$1),FALSE))),VLOOKUP($C133,武器!$1:$998,COLUMN($O$1),FALSE)*VLOOKUP($D133,素材!$1:$1016,COLUMN($E$1),FALSE)/(LEN(VLOOKUP($D133,素材!$1:$1016,COLUMN($F$1),FALSE)) - LEN(SUBSTITUTE(VLOOKUP($D133,素材!$1:$1016,COLUMN($F$1),FALSE), "・", 0)) + 1), 0)</f>
        <v>0</v>
      </c>
      <c r="AG133">
        <f>IF(ISNUMBER(SEARCH(SUBSTITUTE(AG$1,RIGHT(AG$1,2),""),VLOOKUP($D133,素材!$1:$1016,COLUMN($F$1),FALSE))),VLOOKUP($C133,武器!$1:$998,COLUMN($O$1),FALSE)*VLOOKUP($D133,素材!$1:$1016,COLUMN($E$1),FALSE)/(LEN(VLOOKUP($D133,素材!$1:$1016,COLUMN($F$1),FALSE)) - LEN(SUBSTITUTE(VLOOKUP($D133,素材!$1:$1016,COLUMN($F$1),FALSE), "・", 0)) + 1), 0)</f>
        <v>0</v>
      </c>
      <c r="AH133">
        <f>IF(ISNUMBER(SEARCH(SUBSTITUTE(AH$1,RIGHT(AH$1,2),""),VLOOKUP($D133,素材!$1:$1016,COLUMN($F$1),FALSE))),VLOOKUP($C133,武器!$1:$998,COLUMN($O$1),FALSE)*VLOOKUP($D133,素材!$1:$1016,COLUMN($E$1),FALSE)/(LEN(VLOOKUP($D133,素材!$1:$1016,COLUMN($F$1),FALSE)) - LEN(SUBSTITUTE(VLOOKUP($D133,素材!$1:$1016,COLUMN($F$1),FALSE), "・", 0)) + 1), 0)</f>
        <v>0</v>
      </c>
      <c r="AI133">
        <f>IF(ISNUMBER(SEARCH(SUBSTITUTE(AI$1,RIGHT(AI$1,2),""),VLOOKUP($D133,素材!$1:$1016,COLUMN($F$1),FALSE))),VLOOKUP($C133,武器!$1:$998,COLUMN($O$1),FALSE)*VLOOKUP($D133,素材!$1:$1016,COLUMN($E$1),FALSE)/(LEN(VLOOKUP($D133,素材!$1:$1016,COLUMN($F$1),FALSE)) - LEN(SUBSTITUTE(VLOOKUP($D133,素材!$1:$1016,COLUMN($F$1),FALSE), "・", 0)) + 1), 0)</f>
        <v>0</v>
      </c>
      <c r="AJ133">
        <f>IF(ISNUMBER(SEARCH(SUBSTITUTE(AJ$1,RIGHT(AJ$1,2),""),VLOOKUP($D133,素材!$1:$1016,COLUMN($F$1),FALSE))),VLOOKUP($C133,武器!$1:$998,COLUMN($O$1),FALSE)*VLOOKUP($D133,素材!$1:$1016,COLUMN($E$1),FALSE)/(LEN(VLOOKUP($D133,素材!$1:$1016,COLUMN($F$1),FALSE)) - LEN(SUBSTITUTE(VLOOKUP($D133,素材!$1:$1016,COLUMN($F$1),FALSE), "・", 0)) + 1), 0)</f>
        <v>0</v>
      </c>
      <c r="AK133">
        <f>IF(ISNUMBER(SEARCH(SUBSTITUTE(AK$1,RIGHT(AK$1,2),""),VLOOKUP($D133,素材!$1:$1016,COLUMN($F$1),FALSE))),VLOOKUP($C133,武器!$1:$998,COLUMN($O$1),FALSE)*VLOOKUP($D133,素材!$1:$1016,COLUMN($E$1),FALSE)/(LEN(VLOOKUP($D133,素材!$1:$1016,COLUMN($F$1),FALSE)) - LEN(SUBSTITUTE(VLOOKUP($D133,素材!$1:$1016,COLUMN($F$1),FALSE), "・", 0)) + 1), 0)</f>
        <v>0</v>
      </c>
      <c r="AL133">
        <f>IF(ISNUMBER(SEARCH(SUBSTITUTE(AL$1,RIGHT(AL$1,2),""),VLOOKUP($D133,素材!$1:$1016,COLUMN($F$1),FALSE))),VLOOKUP($C133,武器!$1:$998,COLUMN($O$1),FALSE)*VLOOKUP($D133,素材!$1:$1016,COLUMN($E$1),FALSE)/(LEN(VLOOKUP($D133,素材!$1:$1016,COLUMN($F$1),FALSE)) - LEN(SUBSTITUTE(VLOOKUP($D133,素材!$1:$1016,COLUMN($F$1),FALSE), "・", 0)) + 1), 0)</f>
        <v>0</v>
      </c>
      <c r="AM133">
        <f>IF(ISNUMBER(SEARCH(SUBSTITUTE(AM$1,RIGHT(AM$1,2),""),VLOOKUP($D133,素材!$1:$1016,COLUMN($F$1),FALSE))),VLOOKUP($C133,武器!$1:$998,COLUMN($O$1),FALSE)*VLOOKUP($D133,素材!$1:$1016,COLUMN($E$1),FALSE)/(LEN(VLOOKUP($D133,素材!$1:$1016,COLUMN($F$1),FALSE)) - LEN(SUBSTITUTE(VLOOKUP($D133,素材!$1:$1016,COLUMN($F$1),FALSE), "・", 0)) + 1), 0)</f>
        <v>0</v>
      </c>
      <c r="AN133">
        <f>IF(ISNUMBER(SEARCH(SUBSTITUTE(AN$1,RIGHT(AN$1,2),""),VLOOKUP($D133,素材!$1:$1016,COLUMN($F$1),FALSE))),VLOOKUP($C133,武器!$1:$998,COLUMN($O$1),FALSE)*VLOOKUP($D133,素材!$1:$1016,COLUMN($E$1),FALSE)/(LEN(VLOOKUP($D133,素材!$1:$1016,COLUMN($F$1),FALSE)) - LEN(SUBSTITUTE(VLOOKUP($D133,素材!$1:$1016,COLUMN($F$1),FALSE), "・", 0)) + 1), 0)</f>
        <v>0</v>
      </c>
      <c r="AO133">
        <f>IF(ISNUMBER(SEARCH(SUBSTITUTE(AO$1,RIGHT(AO$1,2),""),VLOOKUP($D133,素材!$1:$1016,COLUMN($F$1),FALSE))),VLOOKUP($C133,武器!$1:$998,COLUMN($O$1),FALSE)*VLOOKUP($D133,素材!$1:$1016,COLUMN($E$1),FALSE)/(LEN(VLOOKUP($D133,素材!$1:$1016,COLUMN($F$1),FALSE)) - LEN(SUBSTITUTE(VLOOKUP($D133,素材!$1:$1016,COLUMN($F$1),FALSE), "・", 0)) + 1), 0)</f>
        <v>0</v>
      </c>
      <c r="AP133">
        <f>IF(ISNUMBER(SEARCH(SUBSTITUTE(AP$1,RIGHT(AP$1,2),""),VLOOKUP($D133,素材!$1:$1016,COLUMN($F$1),FALSE))),VLOOKUP($C133,武器!$1:$998,COLUMN($O$1),FALSE)*VLOOKUP($D133,素材!$1:$1016,COLUMN($E$1),FALSE)/(LEN(VLOOKUP($D133,素材!$1:$1016,COLUMN($F$1),FALSE)) - LEN(SUBSTITUTE(VLOOKUP($D133,素材!$1:$1016,COLUMN($F$1),FALSE), "・", 0)) + 1), 0)</f>
        <v>0</v>
      </c>
      <c r="AQ133">
        <f>IF(ISNUMBER(SEARCH(SUBSTITUTE(AQ$1,RIGHT(AQ$1,2),""),VLOOKUP($D133,素材!$1:$1016,COLUMN($F$1),FALSE))),VLOOKUP($C133,武器!$1:$998,COLUMN($O$1),FALSE)*VLOOKUP($D133,素材!$1:$1016,COLUMN($E$1),FALSE)/(LEN(VLOOKUP($D133,素材!$1:$1016,COLUMN($F$1),FALSE)) - LEN(SUBSTITUTE(VLOOKUP($D133,素材!$1:$1016,COLUMN($F$1),FALSE), "・", 0)) + 1), 0)</f>
        <v>0</v>
      </c>
      <c r="AR133">
        <f>IF(ISNUMBER(SEARCH(SUBSTITUTE(AR$1,RIGHT(AR$1,2),""),VLOOKUP($D133,素材!$1:$1016,COLUMN($F$1),FALSE))),VLOOKUP($C133,武器!$1:$998,COLUMN($O$1),FALSE)*VLOOKUP($D133,素材!$1:$1016,COLUMN($E$1),FALSE)/(LEN(VLOOKUP($D133,素材!$1:$1016,COLUMN($F$1),FALSE)) - LEN(SUBSTITUTE(VLOOKUP($D133,素材!$1:$1016,COLUMN($F$1),FALSE), "・", 0)) + 1), 0)</f>
        <v>0</v>
      </c>
      <c r="AS133">
        <f>IF(ISNUMBER(SEARCH(SUBSTITUTE(AS$1,RIGHT(AS$1,2),""),VLOOKUP($D133,素材!$1:$1016,COLUMN($F$1),FALSE))),VLOOKUP($C133,武器!$1:$998,COLUMN($O$1),FALSE)*VLOOKUP($D133,素材!$1:$1016,COLUMN($E$1),FALSE)/(LEN(VLOOKUP($D133,素材!$1:$1016,COLUMN($F$1),FALSE)) - LEN(SUBSTITUTE(VLOOKUP($D133,素材!$1:$1016,COLUMN($F$1),FALSE), "・", 0)) + 1), 0)</f>
        <v>0</v>
      </c>
      <c r="AT133">
        <f>IF(ISNUMBER(SEARCH(SUBSTITUTE(AT$1,RIGHT(AT$1,2),""),VLOOKUP($D133,素材!$1:$1016,COLUMN($F$1),FALSE))),VLOOKUP($C133,武器!$1:$998,COLUMN($O$1),FALSE)*VLOOKUP($D133,素材!$1:$1016,COLUMN($E$1),FALSE)/(LEN(VLOOKUP($D133,素材!$1:$1016,COLUMN($F$1),FALSE)) - LEN(SUBSTITUTE(VLOOKUP($D133,素材!$1:$1016,COLUMN($F$1),FALSE), "・", 0)) + 1), 0)</f>
        <v>0</v>
      </c>
      <c r="AU133">
        <f>IF(ISNUMBER(SEARCH(SUBSTITUTE(AU$1,RIGHT(AU$1,2),""),VLOOKUP($D133,素材!$1:$1016,COLUMN($F$1),FALSE))),VLOOKUP($C133,武器!$1:$998,COLUMN($O$1),FALSE)*VLOOKUP($D133,素材!$1:$1016,COLUMN($E$1),FALSE)/(LEN(VLOOKUP($D133,素材!$1:$1016,COLUMN($F$1),FALSE)) - LEN(SUBSTITUTE(VLOOKUP($D133,素材!$1:$1016,COLUMN($F$1),FALSE), "・", 0)) + 1), 0)</f>
        <v>0</v>
      </c>
      <c r="AV133">
        <f>IF(ISNUMBER(SEARCH(SUBSTITUTE(AV$1,RIGHT(AV$1,2),""),VLOOKUP($D133,素材!$1:$1016,COLUMN($F$1),FALSE))),VLOOKUP($C133,武器!$1:$998,COLUMN($O$1),FALSE)*VLOOKUP($D133,素材!$1:$1016,COLUMN($E$1),FALSE)/(LEN(VLOOKUP($D133,素材!$1:$1016,COLUMN($F$1),FALSE)) - LEN(SUBSTITUTE(VLOOKUP($D133,素材!$1:$1016,COLUMN($F$1),FALSE), "・", 0)) + 1), 0)</f>
        <v>0</v>
      </c>
      <c r="AW133">
        <f>IF(ISNUMBER(SEARCH(SUBSTITUTE(AW$1,RIGHT(AW$1,2),""),VLOOKUP($D133,素材!$1:$1016,COLUMN($F$1),FALSE))),VLOOKUP($C133,武器!$1:$998,COLUMN($O$1),FALSE)*VLOOKUP($D133,素材!$1:$1016,COLUMN($E$1),FALSE)/(LEN(VLOOKUP($D133,素材!$1:$1016,COLUMN($F$1),FALSE)) - LEN(SUBSTITUTE(VLOOKUP($D133,素材!$1:$1016,COLUMN($F$1),FALSE), "・", 0)) + 1), 0)</f>
        <v>0</v>
      </c>
      <c r="AX133">
        <f>IF(ISNUMBER(SEARCH(SUBSTITUTE(AX$1,RIGHT(AX$1,2),""),VLOOKUP($D133,素材!$1:$1016,COLUMN($F$1),FALSE))),VLOOKUP($C133,武器!$1:$998,COLUMN($O$1),FALSE)*VLOOKUP($D133,素材!$1:$1016,COLUMN($E$1),FALSE)/(LEN(VLOOKUP($D133,素材!$1:$1016,COLUMN($F$1),FALSE)) - LEN(SUBSTITUTE(VLOOKUP($D133,素材!$1:$1016,COLUMN($F$1),FALSE), "・", 0)) + 1), 0)</f>
        <v>0</v>
      </c>
      <c r="AY133">
        <f>IF(ISNUMBER(SEARCH(SUBSTITUTE(AY$1,RIGHT(AY$1,2),""),VLOOKUP($D133,素材!$1:$1016,COLUMN($F$1),FALSE))),VLOOKUP($C133,武器!$1:$998,COLUMN($O$1),FALSE)*VLOOKUP($D133,素材!$1:$1016,COLUMN($E$1),FALSE)/(LEN(VLOOKUP($D133,素材!$1:$1016,COLUMN($F$1),FALSE)) - LEN(SUBSTITUTE(VLOOKUP($D133,素材!$1:$1016,COLUMN($F$1),FALSE), "・", 0)) + 1), 0)</f>
        <v>0</v>
      </c>
      <c r="AZ133">
        <f>IF(ISNUMBER(SEARCH(SUBSTITUTE(AZ$1,RIGHT(AZ$1,2),""),VLOOKUP($D133,素材!$1:$1016,COLUMN($F$1),FALSE))),VLOOKUP($C133,武器!$1:$998,COLUMN($O$1),FALSE)*VLOOKUP($D133,素材!$1:$1016,COLUMN($E$1),FALSE)/(LEN(VLOOKUP($D133,素材!$1:$1016,COLUMN($F$1),FALSE)) - LEN(SUBSTITUTE(VLOOKUP($D133,素材!$1:$1016,COLUMN($F$1),FALSE), "・", 0)) + 1), 0)</f>
        <v>0</v>
      </c>
      <c r="BA133">
        <f>IF(ISNUMBER(SEARCH(SUBSTITUTE(BA$1,RIGHT(BA$1,2),""),VLOOKUP($D133,素材!$1:$1016,COLUMN($F$1),FALSE))),VLOOKUP($C133,武器!$1:$998,COLUMN($O$1),FALSE)*VLOOKUP($D133,素材!$1:$1016,COLUMN($E$1),FALSE)/(LEN(VLOOKUP($D133,素材!$1:$1016,COLUMN($F$1),FALSE)) - LEN(SUBSTITUTE(VLOOKUP($D133,素材!$1:$1016,COLUMN($F$1),FALSE), "・", 0)) + 1), 0)</f>
        <v>0</v>
      </c>
      <c r="BB133">
        <f>IF(ISNUMBER(SEARCH(SUBSTITUTE(BB$1,RIGHT(BB$1,2),""),VLOOKUP($D133,素材!$1:$1016,COLUMN($F$1),FALSE))),VLOOKUP($C133,武器!$1:$998,COLUMN($O$1),FALSE)*VLOOKUP($D133,素材!$1:$1016,COLUMN($E$1),FALSE)/(LEN(VLOOKUP($D133,素材!$1:$1016,COLUMN($F$1),FALSE)) - LEN(SUBSTITUTE(VLOOKUP($D133,素材!$1:$1016,COLUMN($F$1),FALSE), "・", 0)) + 1), 0)</f>
        <v>0</v>
      </c>
      <c r="BC133">
        <f>IF(ISNUMBER(SEARCH(SUBSTITUTE(BC$1,RIGHT(BC$1,2),""),VLOOKUP($D133,素材!$1:$1016,COLUMN($F$1),FALSE))),VLOOKUP($C133,武器!$1:$998,COLUMN($O$1),FALSE)*VLOOKUP($D133,素材!$1:$1016,COLUMN($E$1),FALSE)/(LEN(VLOOKUP($D133,素材!$1:$1016,COLUMN($F$1),FALSE)) - LEN(SUBSTITUTE(VLOOKUP($D133,素材!$1:$1016,COLUMN($F$1),FALSE), "・", 0)) + 1), 0)</f>
        <v>0</v>
      </c>
      <c r="BD133">
        <f>IF(ISNUMBER(SEARCH(SUBSTITUTE(BD$1,RIGHT(BD$1,2),""),VLOOKUP($D133,素材!$1:$1016,COLUMN($F$1),FALSE))),VLOOKUP($C133,武器!$1:$998,COLUMN($O$1),FALSE)*VLOOKUP($D133,素材!$1:$1016,COLUMN($E$1),FALSE)/(LEN(VLOOKUP($D133,素材!$1:$1016,COLUMN($F$1),FALSE)) - LEN(SUBSTITUTE(VLOOKUP($D133,素材!$1:$1016,COLUMN($F$1),FALSE), "・", 0)) + 1), 0)</f>
        <v>0</v>
      </c>
      <c r="BE133">
        <f>IF(ISNUMBER(SEARCH(SUBSTITUTE(BE$1,RIGHT(BE$1,2),""),VLOOKUP($D133,素材!$1:$1016,COLUMN($F$1),FALSE))),VLOOKUP($C133,武器!$1:$998,COLUMN($O$1),FALSE)*VLOOKUP($D133,素材!$1:$1016,COLUMN($E$1),FALSE)/(LEN(VLOOKUP($D133,素材!$1:$1016,COLUMN($F$1),FALSE)) - LEN(SUBSTITUTE(VLOOKUP($D133,素材!$1:$1016,COLUMN($F$1),FALSE), "・", 0)) + 1), 0)</f>
        <v>0</v>
      </c>
      <c r="CL133">
        <f>SUM(G133:I133)</f>
        <v>15</v>
      </c>
      <c r="CM133" s="22" t="str">
        <f>IF(E133="武器",IF(J133-1&gt;SUM(G133:I133),"盾",IF(MAX(G133:I133)=G133,"切断",IF(MAX(G133:I133)=H133,"貫通",IF(MAX(G133:I133)=I133,"打撃","射撃")))),E133)&amp;".webp"</f>
        <v>足.webp</v>
      </c>
      <c r="CN133">
        <f>IFERROR(VLOOKUP($C133,武器!$1:$998,COLUMN(V$1),FALSE)*VLOOKUP($D133,素材!$1:$1016,COLUMN(N$1),FALSE)+IF(CI133="",0,VLOOKUP($CI133,装強!$1:$1008,COLUMN($CK$1),FALSE)),"")</f>
        <v>500</v>
      </c>
      <c r="CO133" t="str">
        <f>VLOOKUP(D133,素材!$A:$O,COLUMN(素材!O$1),FALSE)</f>
        <v>高品質な加工を施した軽量の皮素材。軽量化により動きやすさを確保しつつ、適度な防御力を提供します。</v>
      </c>
      <c r="CP133" t="str">
        <f>VLOOKUP(C133,武器!$A:$W,COLUMN(武器!W$1),FALSE)</f>
        <v>速度 隠密 軽業 体幹</v>
      </c>
      <c r="CR133" t="str">
        <f t="shared" si="5"/>
        <v>e_133</v>
      </c>
      <c r="CS133">
        <f t="shared" si="6"/>
        <v>50000</v>
      </c>
    </row>
    <row r="134" spans="1:97" outlineLevel="1" x14ac:dyDescent="0.4">
      <c r="A134" t="str">
        <f t="shared" ref="A134" si="15">D134&amp;"の"&amp;C134</f>
        <v>魔獣皮の帽子</v>
      </c>
      <c r="B134" t="str">
        <f>IFERROR(VLOOKUP($D134,素材!$1:$1016,COLUMN($B$1),FALSE)&amp;"・"&amp;VLOOKUP($C134,武器!$1:$998,COLUMN(B$1),FALSE),"")</f>
        <v>マジックレザー・ハット</v>
      </c>
      <c r="C134" t="s">
        <v>1195</v>
      </c>
      <c r="D134" s="24" t="s">
        <v>202</v>
      </c>
      <c r="E134" t="str">
        <f>IFERROR(VLOOKUP(C134,武器!$1:$998,COLUMN(C$1),FALSE),"")</f>
        <v>頭</v>
      </c>
      <c r="F134">
        <f>IFERROR(ROUNDDOWN((VLOOKUP($C134,武器!$1:$998,COLUMN(D$1),FALSE)+IFERROR(VLOOKUP($CI134,装強!$1:$999,COLUMN(F$1),FALSE),0))*VLOOKUP($D134,素材!$1:$1016,COLUMN(D$1),FALSE),0),"")</f>
        <v>0</v>
      </c>
      <c r="G134">
        <f>IFERROR(ROUNDDOWN((VLOOKUP($C134,武器!$1:$998,COLUMN(E$1),FALSE)+IFERROR(VLOOKUP($CI134,装強!$1:$999,COLUMN(G$1),FALSE),0))*VLOOKUP($D134,素材!$1:$1016,COLUMN($E$1),FALSE),0),"")</f>
        <v>0</v>
      </c>
      <c r="H134">
        <f>IFERROR(ROUNDDOWN((VLOOKUP($C134,武器!$1:$998,COLUMN(F$1),FALSE)+IFERROR(VLOOKUP($CI134,装強!$1:$999,COLUMN(H$1),FALSE),0))*VLOOKUP($D134,素材!$1:$1016,COLUMN($E$1),FALSE),0),"")</f>
        <v>0</v>
      </c>
      <c r="I134">
        <f>IFERROR(ROUNDDOWN((VLOOKUP($C134,武器!$1:$998,COLUMN(G$1),FALSE)+IFERROR(VLOOKUP($CI134,装強!$1:$999,COLUMN(I$1),FALSE),0))*VLOOKUP($D134,素材!$1:$1016,COLUMN($E$1),FALSE),0),"")</f>
        <v>0</v>
      </c>
      <c r="J134">
        <f>IFERROR(ROUNDDOWN((VLOOKUP($C134,武器!$1:$998,COLUMN(H$1),FALSE)+IFERROR(VLOOKUP($CI134,装強!$1:$999,COLUMN(J$1),FALSE),0))*VLOOKUP($D134,素材!$1:$1016,COLUMN($E$1),FALSE),0),"")</f>
        <v>0</v>
      </c>
      <c r="K134">
        <f>IFERROR(ROUNDDOWN((VLOOKUP($C134,武器!$1:$998,COLUMN(I$1),FALSE)+IFERROR(VLOOKUP($CI134,装強!$1:$999,COLUMN(K$1),FALSE),0))*VLOOKUP($D134,素材!$1:$1016,COLUMN($E$1),FALSE),0),"")</f>
        <v>0</v>
      </c>
      <c r="L134" t="str">
        <f>IFERROR(VLOOKUP($D134,素材!$1:$1016,COLUMN($F$1),FALSE),"")</f>
        <v>魔法</v>
      </c>
      <c r="M134" t="str">
        <f>IFERROR(VLOOKUP($C134,武器!$1:$998,COLUMN(AA$1),FALSE)*VLOOKUP($D134,素材!$1:$1016,COLUMN($G$1),FALSE),"")</f>
        <v/>
      </c>
      <c r="N134">
        <f>IFERROR(VLOOKUP($C134,武器!$1:$998,COLUMN(I$1),FALSE),"")</f>
        <v>0</v>
      </c>
      <c r="O134" s="23" t="str">
        <f>IFERROR((VLOOKUP($C134,武器!$1:$998,COLUMN(K$1),FALSE)+VLOOKUP($D134,素材!$1:$1016,COLUMN(H$1),FALSE))*100+IFERROR(VLOOKUP($CI134,装強!$1:$999,COLUMN(O$1),FALSE),0),"")</f>
        <v/>
      </c>
      <c r="P134" s="23" t="str">
        <f>IFERROR((VLOOKUP($C134,武器!$1:$998,COLUMN(L$1),FALSE)+VLOOKUP($D134,素材!$1:$1016,COLUMN(I$1),FALSE))*100+IFERROR(VLOOKUP($CI134,装強!$1:$999,COLUMN(P$1),FALSE),0),"")</f>
        <v/>
      </c>
      <c r="Q134">
        <f>IFERROR(ROUNDUP(VLOOKUP($C134,武器!$1:$998,COLUMN(M$1),FALSE)*(VLOOKUP($D134,素材!$1:$1002,COLUMN(D$1),FALSE)/100),1),"")</f>
        <v>0</v>
      </c>
      <c r="R134">
        <f>IFERROR(ROUNDUP(VLOOKUP($C134,武器!$1:$998,COLUMN(N$1),FALSE)*(VLOOKUP($D134,素材!$1:$1002,COLUMN(D$1),FALSE)/100),1),"")</f>
        <v>0</v>
      </c>
      <c r="S134">
        <f>IFERROR(VLOOKUP($C134,武器!$1:$998,COLUMN(P$1),FALSE),"")</f>
        <v>0</v>
      </c>
      <c r="T134">
        <f>IFERROR(VLOOKUP($C134,武器!$1:$998,COLUMN(Q$1),FALSE),"")</f>
        <v>0</v>
      </c>
      <c r="U134">
        <f>IFERROR(VLOOKUP($C134,武器!$1:$998,COLUMN(R$1),FALSE),"")</f>
        <v>0</v>
      </c>
      <c r="V134">
        <f>IFERROR(VLOOKUP($C134,武器!$1:$998,COLUMN(Q$1),FALSE),"")</f>
        <v>0</v>
      </c>
      <c r="W134">
        <f>IFERROR(VLOOKUP($C134,武器!$1:$998,COLUMN(T$1),FALSE),"")</f>
        <v>0</v>
      </c>
      <c r="Y134">
        <f>IFERROR(VLOOKUP($C134,武器!$1:$998,COLUMN(U$1),FALSE),"")</f>
        <v>0</v>
      </c>
      <c r="Z134">
        <f>IFERROR(ROUNDUP(VLOOKUP($C134,武器!$1:$998,COLUMN(O$1),FALSE)*VLOOKUP($D134,素材!$1:$1016,COLUMN(E$1),FALSE),1),"")</f>
        <v>1.5</v>
      </c>
      <c r="AA134">
        <f>IF(ISNUMBER(SEARCH(SUBSTITUTE(AA$1,RIGHT(AA$1,2),""),VLOOKUP($D134,素材!$1:$1016,COLUMN($F$1),FALSE))),VLOOKUP($C134,武器!$1:$998,COLUMN($O$1),FALSE)*VLOOKUP($D134,素材!$1:$1016,COLUMN($E$1),FALSE)/(LEN(VLOOKUP($D134,素材!$1:$1016,COLUMN($F$1),FALSE)) - LEN(SUBSTITUTE(VLOOKUP($D134,素材!$1:$1016,COLUMN($F$1),FALSE), "・", 0)) + 1), 0)</f>
        <v>1.5</v>
      </c>
      <c r="AB134">
        <f>IF(ISNUMBER(SEARCH(SUBSTITUTE(AB$1,RIGHT(AB$1,2),""),VLOOKUP($D134,素材!$1:$1016,COLUMN($F$1),FALSE))),VLOOKUP($C134,武器!$1:$998,COLUMN($O$1),FALSE)*VLOOKUP($D134,素材!$1:$1016,COLUMN($E$1),FALSE)/(LEN(VLOOKUP($D134,素材!$1:$1016,COLUMN($F$1),FALSE)) - LEN(SUBSTITUTE(VLOOKUP($D134,素材!$1:$1016,COLUMN($F$1),FALSE), "・", 0)) + 1), 0)</f>
        <v>0</v>
      </c>
      <c r="AC134">
        <f>IF(ISNUMBER(SEARCH(SUBSTITUTE(AC$1,RIGHT(AC$1,2),""),VLOOKUP($D134,素材!$1:$1016,COLUMN($F$1),FALSE))),VLOOKUP($C134,武器!$1:$998,COLUMN($O$1),FALSE)*VLOOKUP($D134,素材!$1:$1016,COLUMN($E$1),FALSE)/(LEN(VLOOKUP($D134,素材!$1:$1016,COLUMN($F$1),FALSE)) - LEN(SUBSTITUTE(VLOOKUP($D134,素材!$1:$1016,COLUMN($F$1),FALSE), "・", 0)) + 1), 0)</f>
        <v>0</v>
      </c>
      <c r="AD134">
        <f>IF(ISNUMBER(SEARCH(SUBSTITUTE(AD$1,RIGHT(AD$1,2),""),VLOOKUP($D134,素材!$1:$1016,COLUMN($F$1),FALSE))),VLOOKUP($C134,武器!$1:$998,COLUMN($O$1),FALSE)*VLOOKUP($D134,素材!$1:$1016,COLUMN($E$1),FALSE)/(LEN(VLOOKUP($D134,素材!$1:$1016,COLUMN($F$1),FALSE)) - LEN(SUBSTITUTE(VLOOKUP($D134,素材!$1:$1016,COLUMN($F$1),FALSE), "・", 0)) + 1), 0)</f>
        <v>0</v>
      </c>
      <c r="AE134">
        <f>IF(ISNUMBER(SEARCH(SUBSTITUTE(AE$1,RIGHT(AE$1,2),""),VLOOKUP($D134,素材!$1:$1016,COLUMN($F$1),FALSE))),VLOOKUP($C134,武器!$1:$998,COLUMN($O$1),FALSE)*VLOOKUP($D134,素材!$1:$1016,COLUMN($E$1),FALSE)/(LEN(VLOOKUP($D134,素材!$1:$1016,COLUMN($F$1),FALSE)) - LEN(SUBSTITUTE(VLOOKUP($D134,素材!$1:$1016,COLUMN($F$1),FALSE), "・", 0)) + 1), 0)</f>
        <v>0</v>
      </c>
      <c r="AF134">
        <f>IF(ISNUMBER(SEARCH(SUBSTITUTE(AF$1,RIGHT(AF$1,2),""),VLOOKUP($D134,素材!$1:$1016,COLUMN($F$1),FALSE))),VLOOKUP($C134,武器!$1:$998,COLUMN($O$1),FALSE)*VLOOKUP($D134,素材!$1:$1016,COLUMN($E$1),FALSE)/(LEN(VLOOKUP($D134,素材!$1:$1016,COLUMN($F$1),FALSE)) - LEN(SUBSTITUTE(VLOOKUP($D134,素材!$1:$1016,COLUMN($F$1),FALSE), "・", 0)) + 1), 0)</f>
        <v>0</v>
      </c>
      <c r="AG134">
        <f>IF(ISNUMBER(SEARCH(SUBSTITUTE(AG$1,RIGHT(AG$1,2),""),VLOOKUP($D134,素材!$1:$1016,COLUMN($F$1),FALSE))),VLOOKUP($C134,武器!$1:$998,COLUMN($O$1),FALSE)*VLOOKUP($D134,素材!$1:$1016,COLUMN($E$1),FALSE)/(LEN(VLOOKUP($D134,素材!$1:$1016,COLUMN($F$1),FALSE)) - LEN(SUBSTITUTE(VLOOKUP($D134,素材!$1:$1016,COLUMN($F$1),FALSE), "・", 0)) + 1), 0)</f>
        <v>0</v>
      </c>
      <c r="AH134">
        <f>IF(ISNUMBER(SEARCH(SUBSTITUTE(AH$1,RIGHT(AH$1,2),""),VLOOKUP($D134,素材!$1:$1016,COLUMN($F$1),FALSE))),VLOOKUP($C134,武器!$1:$998,COLUMN($O$1),FALSE)*VLOOKUP($D134,素材!$1:$1016,COLUMN($E$1),FALSE)/(LEN(VLOOKUP($D134,素材!$1:$1016,COLUMN($F$1),FALSE)) - LEN(SUBSTITUTE(VLOOKUP($D134,素材!$1:$1016,COLUMN($F$1),FALSE), "・", 0)) + 1), 0)</f>
        <v>0</v>
      </c>
      <c r="AI134">
        <f>IF(ISNUMBER(SEARCH(SUBSTITUTE(AI$1,RIGHT(AI$1,2),""),VLOOKUP($D134,素材!$1:$1016,COLUMN($F$1),FALSE))),VLOOKUP($C134,武器!$1:$998,COLUMN($O$1),FALSE)*VLOOKUP($D134,素材!$1:$1016,COLUMN($E$1),FALSE)/(LEN(VLOOKUP($D134,素材!$1:$1016,COLUMN($F$1),FALSE)) - LEN(SUBSTITUTE(VLOOKUP($D134,素材!$1:$1016,COLUMN($F$1),FALSE), "・", 0)) + 1), 0)</f>
        <v>0</v>
      </c>
      <c r="AJ134">
        <f>IF(ISNUMBER(SEARCH(SUBSTITUTE(AJ$1,RIGHT(AJ$1,2),""),VLOOKUP($D134,素材!$1:$1016,COLUMN($F$1),FALSE))),VLOOKUP($C134,武器!$1:$998,COLUMN($O$1),FALSE)*VLOOKUP($D134,素材!$1:$1016,COLUMN($E$1),FALSE)/(LEN(VLOOKUP($D134,素材!$1:$1016,COLUMN($F$1),FALSE)) - LEN(SUBSTITUTE(VLOOKUP($D134,素材!$1:$1016,COLUMN($F$1),FALSE), "・", 0)) + 1), 0)</f>
        <v>0</v>
      </c>
      <c r="AK134">
        <f>IF(ISNUMBER(SEARCH(SUBSTITUTE(AK$1,RIGHT(AK$1,2),""),VLOOKUP($D134,素材!$1:$1016,COLUMN($F$1),FALSE))),VLOOKUP($C134,武器!$1:$998,COLUMN($O$1),FALSE)*VLOOKUP($D134,素材!$1:$1016,COLUMN($E$1),FALSE)/(LEN(VLOOKUP($D134,素材!$1:$1016,COLUMN($F$1),FALSE)) - LEN(SUBSTITUTE(VLOOKUP($D134,素材!$1:$1016,COLUMN($F$1),FALSE), "・", 0)) + 1), 0)</f>
        <v>0</v>
      </c>
      <c r="AL134">
        <f>IF(ISNUMBER(SEARCH(SUBSTITUTE(AL$1,RIGHT(AL$1,2),""),VLOOKUP($D134,素材!$1:$1016,COLUMN($F$1),FALSE))),VLOOKUP($C134,武器!$1:$998,COLUMN($O$1),FALSE)*VLOOKUP($D134,素材!$1:$1016,COLUMN($E$1),FALSE)/(LEN(VLOOKUP($D134,素材!$1:$1016,COLUMN($F$1),FALSE)) - LEN(SUBSTITUTE(VLOOKUP($D134,素材!$1:$1016,COLUMN($F$1),FALSE), "・", 0)) + 1), 0)</f>
        <v>0</v>
      </c>
      <c r="AM134">
        <f>IF(ISNUMBER(SEARCH(SUBSTITUTE(AM$1,RIGHT(AM$1,2),""),VLOOKUP($D134,素材!$1:$1016,COLUMN($F$1),FALSE))),VLOOKUP($C134,武器!$1:$998,COLUMN($O$1),FALSE)*VLOOKUP($D134,素材!$1:$1016,COLUMN($E$1),FALSE)/(LEN(VLOOKUP($D134,素材!$1:$1016,COLUMN($F$1),FALSE)) - LEN(SUBSTITUTE(VLOOKUP($D134,素材!$1:$1016,COLUMN($F$1),FALSE), "・", 0)) + 1), 0)</f>
        <v>0</v>
      </c>
      <c r="AN134">
        <f>IF(ISNUMBER(SEARCH(SUBSTITUTE(AN$1,RIGHT(AN$1,2),""),VLOOKUP($D134,素材!$1:$1016,COLUMN($F$1),FALSE))),VLOOKUP($C134,武器!$1:$998,COLUMN($O$1),FALSE)*VLOOKUP($D134,素材!$1:$1016,COLUMN($E$1),FALSE)/(LEN(VLOOKUP($D134,素材!$1:$1016,COLUMN($F$1),FALSE)) - LEN(SUBSTITUTE(VLOOKUP($D134,素材!$1:$1016,COLUMN($F$1),FALSE), "・", 0)) + 1), 0)</f>
        <v>0</v>
      </c>
      <c r="AO134">
        <f>IF(ISNUMBER(SEARCH(SUBSTITUTE(AO$1,RIGHT(AO$1,2),""),VLOOKUP($D134,素材!$1:$1016,COLUMN($F$1),FALSE))),VLOOKUP($C134,武器!$1:$998,COLUMN($O$1),FALSE)*VLOOKUP($D134,素材!$1:$1016,COLUMN($E$1),FALSE)/(LEN(VLOOKUP($D134,素材!$1:$1016,COLUMN($F$1),FALSE)) - LEN(SUBSTITUTE(VLOOKUP($D134,素材!$1:$1016,COLUMN($F$1),FALSE), "・", 0)) + 1), 0)</f>
        <v>0</v>
      </c>
      <c r="AP134">
        <f>IF(ISNUMBER(SEARCH(SUBSTITUTE(AP$1,RIGHT(AP$1,2),""),VLOOKUP($D134,素材!$1:$1016,COLUMN($F$1),FALSE))),VLOOKUP($C134,武器!$1:$998,COLUMN($O$1),FALSE)*VLOOKUP($D134,素材!$1:$1016,COLUMN($E$1),FALSE)/(LEN(VLOOKUP($D134,素材!$1:$1016,COLUMN($F$1),FALSE)) - LEN(SUBSTITUTE(VLOOKUP($D134,素材!$1:$1016,COLUMN($F$1),FALSE), "・", 0)) + 1), 0)</f>
        <v>0</v>
      </c>
      <c r="AQ134">
        <f>IF(ISNUMBER(SEARCH(SUBSTITUTE(AQ$1,RIGHT(AQ$1,2),""),VLOOKUP($D134,素材!$1:$1016,COLUMN($F$1),FALSE))),VLOOKUP($C134,武器!$1:$998,COLUMN($O$1),FALSE)*VLOOKUP($D134,素材!$1:$1016,COLUMN($E$1),FALSE)/(LEN(VLOOKUP($D134,素材!$1:$1016,COLUMN($F$1),FALSE)) - LEN(SUBSTITUTE(VLOOKUP($D134,素材!$1:$1016,COLUMN($F$1),FALSE), "・", 0)) + 1), 0)</f>
        <v>0</v>
      </c>
      <c r="AR134">
        <f>IF(ISNUMBER(SEARCH(SUBSTITUTE(AR$1,RIGHT(AR$1,2),""),VLOOKUP($D134,素材!$1:$1016,COLUMN($F$1),FALSE))),VLOOKUP($C134,武器!$1:$998,COLUMN($O$1),FALSE)*VLOOKUP($D134,素材!$1:$1016,COLUMN($E$1),FALSE)/(LEN(VLOOKUP($D134,素材!$1:$1016,COLUMN($F$1),FALSE)) - LEN(SUBSTITUTE(VLOOKUP($D134,素材!$1:$1016,COLUMN($F$1),FALSE), "・", 0)) + 1), 0)</f>
        <v>0</v>
      </c>
      <c r="AS134">
        <f>IF(ISNUMBER(SEARCH(SUBSTITUTE(AS$1,RIGHT(AS$1,2),""),VLOOKUP($D134,素材!$1:$1016,COLUMN($F$1),FALSE))),VLOOKUP($C134,武器!$1:$998,COLUMN($O$1),FALSE)*VLOOKUP($D134,素材!$1:$1016,COLUMN($E$1),FALSE)/(LEN(VLOOKUP($D134,素材!$1:$1016,COLUMN($F$1),FALSE)) - LEN(SUBSTITUTE(VLOOKUP($D134,素材!$1:$1016,COLUMN($F$1),FALSE), "・", 0)) + 1), 0)</f>
        <v>0</v>
      </c>
      <c r="AT134">
        <f>IF(ISNUMBER(SEARCH(SUBSTITUTE(AT$1,RIGHT(AT$1,2),""),VLOOKUP($D134,素材!$1:$1016,COLUMN($F$1),FALSE))),VLOOKUP($C134,武器!$1:$998,COLUMN($O$1),FALSE)*VLOOKUP($D134,素材!$1:$1016,COLUMN($E$1),FALSE)/(LEN(VLOOKUP($D134,素材!$1:$1016,COLUMN($F$1),FALSE)) - LEN(SUBSTITUTE(VLOOKUP($D134,素材!$1:$1016,COLUMN($F$1),FALSE), "・", 0)) + 1), 0)</f>
        <v>0</v>
      </c>
      <c r="AU134">
        <f>IF(ISNUMBER(SEARCH(SUBSTITUTE(AU$1,RIGHT(AU$1,2),""),VLOOKUP($D134,素材!$1:$1016,COLUMN($F$1),FALSE))),VLOOKUP($C134,武器!$1:$998,COLUMN($O$1),FALSE)*VLOOKUP($D134,素材!$1:$1016,COLUMN($E$1),FALSE)/(LEN(VLOOKUP($D134,素材!$1:$1016,COLUMN($F$1),FALSE)) - LEN(SUBSTITUTE(VLOOKUP($D134,素材!$1:$1016,COLUMN($F$1),FALSE), "・", 0)) + 1), 0)</f>
        <v>0</v>
      </c>
      <c r="AV134">
        <f>IF(ISNUMBER(SEARCH(SUBSTITUTE(AV$1,RIGHT(AV$1,2),""),VLOOKUP($D134,素材!$1:$1016,COLUMN($F$1),FALSE))),VLOOKUP($C134,武器!$1:$998,COLUMN($O$1),FALSE)*VLOOKUP($D134,素材!$1:$1016,COLUMN($E$1),FALSE)/(LEN(VLOOKUP($D134,素材!$1:$1016,COLUMN($F$1),FALSE)) - LEN(SUBSTITUTE(VLOOKUP($D134,素材!$1:$1016,COLUMN($F$1),FALSE), "・", 0)) + 1), 0)</f>
        <v>0</v>
      </c>
      <c r="AW134">
        <f>IF(ISNUMBER(SEARCH(SUBSTITUTE(AW$1,RIGHT(AW$1,2),""),VLOOKUP($D134,素材!$1:$1016,COLUMN($F$1),FALSE))),VLOOKUP($C134,武器!$1:$998,COLUMN($O$1),FALSE)*VLOOKUP($D134,素材!$1:$1016,COLUMN($E$1),FALSE)/(LEN(VLOOKUP($D134,素材!$1:$1016,COLUMN($F$1),FALSE)) - LEN(SUBSTITUTE(VLOOKUP($D134,素材!$1:$1016,COLUMN($F$1),FALSE), "・", 0)) + 1), 0)</f>
        <v>0</v>
      </c>
      <c r="AX134">
        <f>IF(ISNUMBER(SEARCH(SUBSTITUTE(AX$1,RIGHT(AX$1,2),""),VLOOKUP($D134,素材!$1:$1016,COLUMN($F$1),FALSE))),VLOOKUP($C134,武器!$1:$998,COLUMN($O$1),FALSE)*VLOOKUP($D134,素材!$1:$1016,COLUMN($E$1),FALSE)/(LEN(VLOOKUP($D134,素材!$1:$1016,COLUMN($F$1),FALSE)) - LEN(SUBSTITUTE(VLOOKUP($D134,素材!$1:$1016,COLUMN($F$1),FALSE), "・", 0)) + 1), 0)</f>
        <v>0</v>
      </c>
      <c r="AY134">
        <f>IF(ISNUMBER(SEARCH(SUBSTITUTE(AY$1,RIGHT(AY$1,2),""),VLOOKUP($D134,素材!$1:$1016,COLUMN($F$1),FALSE))),VLOOKUP($C134,武器!$1:$998,COLUMN($O$1),FALSE)*VLOOKUP($D134,素材!$1:$1016,COLUMN($E$1),FALSE)/(LEN(VLOOKUP($D134,素材!$1:$1016,COLUMN($F$1),FALSE)) - LEN(SUBSTITUTE(VLOOKUP($D134,素材!$1:$1016,COLUMN($F$1),FALSE), "・", 0)) + 1), 0)</f>
        <v>0</v>
      </c>
      <c r="AZ134">
        <f>IF(ISNUMBER(SEARCH(SUBSTITUTE(AZ$1,RIGHT(AZ$1,2),""),VLOOKUP($D134,素材!$1:$1016,COLUMN($F$1),FALSE))),VLOOKUP($C134,武器!$1:$998,COLUMN($O$1),FALSE)*VLOOKUP($D134,素材!$1:$1016,COLUMN($E$1),FALSE)/(LEN(VLOOKUP($D134,素材!$1:$1016,COLUMN($F$1),FALSE)) - LEN(SUBSTITUTE(VLOOKUP($D134,素材!$1:$1016,COLUMN($F$1),FALSE), "・", 0)) + 1), 0)</f>
        <v>0</v>
      </c>
      <c r="BA134">
        <f>IF(ISNUMBER(SEARCH(SUBSTITUTE(BA$1,RIGHT(BA$1,2),""),VLOOKUP($D134,素材!$1:$1016,COLUMN($F$1),FALSE))),VLOOKUP($C134,武器!$1:$998,COLUMN($O$1),FALSE)*VLOOKUP($D134,素材!$1:$1016,COLUMN($E$1),FALSE)/(LEN(VLOOKUP($D134,素材!$1:$1016,COLUMN($F$1),FALSE)) - LEN(SUBSTITUTE(VLOOKUP($D134,素材!$1:$1016,COLUMN($F$1),FALSE), "・", 0)) + 1), 0)</f>
        <v>0</v>
      </c>
      <c r="BB134">
        <f>IF(ISNUMBER(SEARCH(SUBSTITUTE(BB$1,RIGHT(BB$1,2),""),VLOOKUP($D134,素材!$1:$1016,COLUMN($F$1),FALSE))),VLOOKUP($C134,武器!$1:$998,COLUMN($O$1),FALSE)*VLOOKUP($D134,素材!$1:$1016,COLUMN($E$1),FALSE)/(LEN(VLOOKUP($D134,素材!$1:$1016,COLUMN($F$1),FALSE)) - LEN(SUBSTITUTE(VLOOKUP($D134,素材!$1:$1016,COLUMN($F$1),FALSE), "・", 0)) + 1), 0)</f>
        <v>0</v>
      </c>
      <c r="BC134">
        <f>IF(ISNUMBER(SEARCH(SUBSTITUTE(BC$1,RIGHT(BC$1,2),""),VLOOKUP($D134,素材!$1:$1016,COLUMN($F$1),FALSE))),VLOOKUP($C134,武器!$1:$998,COLUMN($O$1),FALSE)*VLOOKUP($D134,素材!$1:$1016,COLUMN($E$1),FALSE)/(LEN(VLOOKUP($D134,素材!$1:$1016,COLUMN($F$1),FALSE)) - LEN(SUBSTITUTE(VLOOKUP($D134,素材!$1:$1016,COLUMN($F$1),FALSE), "・", 0)) + 1), 0)</f>
        <v>1.5</v>
      </c>
      <c r="BD134">
        <f>IF(ISNUMBER(SEARCH(SUBSTITUTE(BD$1,RIGHT(BD$1,2),""),VLOOKUP($D134,素材!$1:$1016,COLUMN($F$1),FALSE))),VLOOKUP($C134,武器!$1:$998,COLUMN($O$1),FALSE)*VLOOKUP($D134,素材!$1:$1016,COLUMN($E$1),FALSE)/(LEN(VLOOKUP($D134,素材!$1:$1016,COLUMN($F$1),FALSE)) - LEN(SUBSTITUTE(VLOOKUP($D134,素材!$1:$1016,COLUMN($F$1),FALSE), "・", 0)) + 1), 0)</f>
        <v>0</v>
      </c>
      <c r="BE134">
        <f>IF(ISNUMBER(SEARCH(SUBSTITUTE(BE$1,RIGHT(BE$1,2),""),VLOOKUP($D134,素材!$1:$1016,COLUMN($F$1),FALSE))),VLOOKUP($C134,武器!$1:$998,COLUMN($O$1),FALSE)*VLOOKUP($D134,素材!$1:$1016,COLUMN($E$1),FALSE)/(LEN(VLOOKUP($D134,素材!$1:$1016,COLUMN($F$1),FALSE)) - LEN(SUBSTITUTE(VLOOKUP($D134,素材!$1:$1016,COLUMN($F$1),FALSE), "・", 0)) + 1), 0)</f>
        <v>0</v>
      </c>
      <c r="CL134">
        <f>SUM(G134:I134)</f>
        <v>0</v>
      </c>
      <c r="CM134" s="22" t="str">
        <f>IF(E134="武器",IF(J134-1&gt;SUM(G134:I134),"盾",IF(MAX(G134:I134)=G134,"切断",IF(MAX(G134:I134)=H134,"貫通",IF(MAX(G134:I134)=I134,"打撃","射撃")))),E134)&amp;".webp"</f>
        <v>頭.webp</v>
      </c>
      <c r="CN134">
        <f>IFERROR(VLOOKUP($C134,武器!$1:$998,COLUMN(V$1),FALSE)*VLOOKUP($D134,素材!$1:$1016,COLUMN(N$1),FALSE)+IF(CI134="",0,VLOOKUP($CI134,装強!$1:$1008,COLUMN($CK$1),FALSE)),"")</f>
        <v>1500</v>
      </c>
      <c r="CO134" t="str">
        <f>VLOOKUP(D134,素材!$A:$O,COLUMN(素材!O$1),FALSE)</f>
        <v>魔力を帯びた特殊な皮素材。魔法防御や属性耐性を強化する効果があり、高レベルの冒険者に重宝されます。</v>
      </c>
      <c r="CP134" t="str">
        <f>VLOOKUP(C134,武器!$A:$W,COLUMN(武器!W$1),FALSE)</f>
        <v>命中 魔防 Cr</v>
      </c>
      <c r="CR134" t="str">
        <f t="shared" si="5"/>
        <v>e_134</v>
      </c>
      <c r="CS134">
        <f t="shared" ref="CS134" si="16">CN134*100</f>
        <v>150000</v>
      </c>
    </row>
    <row r="135" spans="1:97" outlineLevel="1" x14ac:dyDescent="0.4">
      <c r="A135" t="str">
        <f t="shared" si="7"/>
        <v>魔獣皮の衣布</v>
      </c>
      <c r="B135" t="str">
        <f>IFERROR(VLOOKUP($D135,素材!$1:$1016,COLUMN($B$1),FALSE)&amp;"・"&amp;VLOOKUP($C135,武器!$1:$998,COLUMN(B$1),FALSE),"")</f>
        <v>マジックレザー・クロース</v>
      </c>
      <c r="C135" t="s">
        <v>247</v>
      </c>
      <c r="D135" s="24" t="s">
        <v>202</v>
      </c>
      <c r="E135" t="str">
        <f>IFERROR(VLOOKUP(C135,武器!$1:$998,COLUMN(C$1),FALSE),"")</f>
        <v>体</v>
      </c>
      <c r="F135">
        <f>IFERROR(ROUNDDOWN((VLOOKUP($C135,武器!$1:$998,COLUMN(D$1),FALSE)+IFERROR(VLOOKUP($CI135,装強!$1:$999,COLUMN(F$1),FALSE),0))*VLOOKUP($D135,素材!$1:$1016,COLUMN(D$1),FALSE),0),"")</f>
        <v>0</v>
      </c>
      <c r="G135">
        <f>IFERROR(ROUNDDOWN((VLOOKUP($C135,武器!$1:$998,COLUMN(E$1),FALSE)+IFERROR(VLOOKUP($CI135,装強!$1:$999,COLUMN(G$1),FALSE),0))*VLOOKUP($D135,素材!$1:$1016,COLUMN($E$1),FALSE),0),"")</f>
        <v>0</v>
      </c>
      <c r="H135">
        <f>IFERROR(ROUNDDOWN((VLOOKUP($C135,武器!$1:$998,COLUMN(F$1),FALSE)+IFERROR(VLOOKUP($CI135,装強!$1:$999,COLUMN(H$1),FALSE),0))*VLOOKUP($D135,素材!$1:$1016,COLUMN($E$1),FALSE),0),"")</f>
        <v>0</v>
      </c>
      <c r="I135">
        <f>IFERROR(ROUNDDOWN((VLOOKUP($C135,武器!$1:$998,COLUMN(G$1),FALSE)+IFERROR(VLOOKUP($CI135,装強!$1:$999,COLUMN(I$1),FALSE),0))*VLOOKUP($D135,素材!$1:$1016,COLUMN($E$1),FALSE),0),"")</f>
        <v>0</v>
      </c>
      <c r="J135">
        <f>IFERROR(ROUNDDOWN((VLOOKUP($C135,武器!$1:$998,COLUMN(H$1),FALSE)+IFERROR(VLOOKUP($CI135,装強!$1:$999,COLUMN(J$1),FALSE),0))*VLOOKUP($D135,素材!$1:$1016,COLUMN($E$1),FALSE),0),"")</f>
        <v>0</v>
      </c>
      <c r="K135">
        <f>IFERROR(ROUNDDOWN((VLOOKUP($C135,武器!$1:$998,COLUMN(I$1),FALSE)+IFERROR(VLOOKUP($CI135,装強!$1:$999,COLUMN(K$1),FALSE),0))*VLOOKUP($D135,素材!$1:$1016,COLUMN($E$1),FALSE),0),"")</f>
        <v>0</v>
      </c>
      <c r="L135" t="str">
        <f>IFERROR(VLOOKUP($D135,素材!$1:$1016,COLUMN($F$1),FALSE),"")</f>
        <v>魔法</v>
      </c>
      <c r="M135" t="str">
        <f>IFERROR(VLOOKUP($C135,武器!$1:$998,COLUMN(AA$1),FALSE)*VLOOKUP($D135,素材!$1:$1016,COLUMN($G$1),FALSE),"")</f>
        <v/>
      </c>
      <c r="N135">
        <f>IFERROR(VLOOKUP($C135,武器!$1:$998,COLUMN(I$1),FALSE),"")</f>
        <v>0</v>
      </c>
      <c r="O135" s="23" t="str">
        <f>IFERROR((VLOOKUP($C135,武器!$1:$998,COLUMN(K$1),FALSE)+VLOOKUP($D135,素材!$1:$1016,COLUMN(H$1),FALSE))*100+IFERROR(VLOOKUP($CI135,装強!$1:$999,COLUMN(O$1),FALSE),0),"")</f>
        <v/>
      </c>
      <c r="P135" s="23" t="str">
        <f>IFERROR((VLOOKUP($C135,武器!$1:$998,COLUMN(L$1),FALSE)+VLOOKUP($D135,素材!$1:$1016,COLUMN(I$1),FALSE))*100+IFERROR(VLOOKUP($CI135,装強!$1:$999,COLUMN(P$1),FALSE),0),"")</f>
        <v/>
      </c>
      <c r="Q135">
        <f>IFERROR(ROUNDUP(VLOOKUP($C135,武器!$1:$998,COLUMN(M$1),FALSE)*(VLOOKUP($D135,素材!$1:$1002,COLUMN(D$1),FALSE)/100),1),"")</f>
        <v>0</v>
      </c>
      <c r="R135">
        <f>IFERROR(ROUNDUP(VLOOKUP($C135,武器!$1:$998,COLUMN(N$1),FALSE)*(VLOOKUP($D135,素材!$1:$1002,COLUMN(D$1),FALSE)/100),1),"")</f>
        <v>0</v>
      </c>
      <c r="S135">
        <f>IFERROR(VLOOKUP($C135,武器!$1:$998,COLUMN(P$1),FALSE),"")</f>
        <v>0</v>
      </c>
      <c r="T135">
        <f>IFERROR(VLOOKUP($C135,武器!$1:$998,COLUMN(Q$1),FALSE),"")</f>
        <v>0</v>
      </c>
      <c r="U135">
        <f>IFERROR(VLOOKUP($C135,武器!$1:$998,COLUMN(R$1),FALSE),"")</f>
        <v>0</v>
      </c>
      <c r="V135">
        <f>IFERROR(VLOOKUP($C135,武器!$1:$998,COLUMN(Q$1),FALSE),"")</f>
        <v>0</v>
      </c>
      <c r="W135">
        <f>IFERROR(VLOOKUP($C135,武器!$1:$998,COLUMN(T$1),FALSE),"")</f>
        <v>0</v>
      </c>
      <c r="Y135">
        <f>IFERROR(VLOOKUP($C135,武器!$1:$998,COLUMN(U$1),FALSE),"")</f>
        <v>0</v>
      </c>
      <c r="Z135">
        <f>IFERROR(ROUNDUP(VLOOKUP($C135,武器!$1:$998,COLUMN(O$1),FALSE)*VLOOKUP($D135,素材!$1:$1016,COLUMN(E$1),FALSE),1),"")</f>
        <v>4.5</v>
      </c>
      <c r="AA135">
        <f>IF(ISNUMBER(SEARCH(SUBSTITUTE(AA$1,RIGHT(AA$1,2),""),VLOOKUP($D135,素材!$1:$1016,COLUMN($F$1),FALSE))),VLOOKUP($C135,武器!$1:$998,COLUMN($O$1),FALSE)*VLOOKUP($D135,素材!$1:$1016,COLUMN($E$1),FALSE)/(LEN(VLOOKUP($D135,素材!$1:$1016,COLUMN($F$1),FALSE)) - LEN(SUBSTITUTE(VLOOKUP($D135,素材!$1:$1016,COLUMN($F$1),FALSE), "・", 0)) + 1), 0)</f>
        <v>4.5</v>
      </c>
      <c r="AB135">
        <f>IF(ISNUMBER(SEARCH(SUBSTITUTE(AB$1,RIGHT(AB$1,2),""),VLOOKUP($D135,素材!$1:$1016,COLUMN($F$1),FALSE))),VLOOKUP($C135,武器!$1:$998,COLUMN($O$1),FALSE)*VLOOKUP($D135,素材!$1:$1016,COLUMN($E$1),FALSE)/(LEN(VLOOKUP($D135,素材!$1:$1016,COLUMN($F$1),FALSE)) - LEN(SUBSTITUTE(VLOOKUP($D135,素材!$1:$1016,COLUMN($F$1),FALSE), "・", 0)) + 1), 0)</f>
        <v>0</v>
      </c>
      <c r="AC135">
        <f>IF(ISNUMBER(SEARCH(SUBSTITUTE(AC$1,RIGHT(AC$1,2),""),VLOOKUP($D135,素材!$1:$1016,COLUMN($F$1),FALSE))),VLOOKUP($C135,武器!$1:$998,COLUMN($O$1),FALSE)*VLOOKUP($D135,素材!$1:$1016,COLUMN($E$1),FALSE)/(LEN(VLOOKUP($D135,素材!$1:$1016,COLUMN($F$1),FALSE)) - LEN(SUBSTITUTE(VLOOKUP($D135,素材!$1:$1016,COLUMN($F$1),FALSE), "・", 0)) + 1), 0)</f>
        <v>0</v>
      </c>
      <c r="AD135">
        <f>IF(ISNUMBER(SEARCH(SUBSTITUTE(AD$1,RIGHT(AD$1,2),""),VLOOKUP($D135,素材!$1:$1016,COLUMN($F$1),FALSE))),VLOOKUP($C135,武器!$1:$998,COLUMN($O$1),FALSE)*VLOOKUP($D135,素材!$1:$1016,COLUMN($E$1),FALSE)/(LEN(VLOOKUP($D135,素材!$1:$1016,COLUMN($F$1),FALSE)) - LEN(SUBSTITUTE(VLOOKUP($D135,素材!$1:$1016,COLUMN($F$1),FALSE), "・", 0)) + 1), 0)</f>
        <v>0</v>
      </c>
      <c r="AE135">
        <f>IF(ISNUMBER(SEARCH(SUBSTITUTE(AE$1,RIGHT(AE$1,2),""),VLOOKUP($D135,素材!$1:$1016,COLUMN($F$1),FALSE))),VLOOKUP($C135,武器!$1:$998,COLUMN($O$1),FALSE)*VLOOKUP($D135,素材!$1:$1016,COLUMN($E$1),FALSE)/(LEN(VLOOKUP($D135,素材!$1:$1016,COLUMN($F$1),FALSE)) - LEN(SUBSTITUTE(VLOOKUP($D135,素材!$1:$1016,COLUMN($F$1),FALSE), "・", 0)) + 1), 0)</f>
        <v>0</v>
      </c>
      <c r="AF135">
        <f>IF(ISNUMBER(SEARCH(SUBSTITUTE(AF$1,RIGHT(AF$1,2),""),VLOOKUP($D135,素材!$1:$1016,COLUMN($F$1),FALSE))),VLOOKUP($C135,武器!$1:$998,COLUMN($O$1),FALSE)*VLOOKUP($D135,素材!$1:$1016,COLUMN($E$1),FALSE)/(LEN(VLOOKUP($D135,素材!$1:$1016,COLUMN($F$1),FALSE)) - LEN(SUBSTITUTE(VLOOKUP($D135,素材!$1:$1016,COLUMN($F$1),FALSE), "・", 0)) + 1), 0)</f>
        <v>0</v>
      </c>
      <c r="AG135">
        <f>IF(ISNUMBER(SEARCH(SUBSTITUTE(AG$1,RIGHT(AG$1,2),""),VLOOKUP($D135,素材!$1:$1016,COLUMN($F$1),FALSE))),VLOOKUP($C135,武器!$1:$998,COLUMN($O$1),FALSE)*VLOOKUP($D135,素材!$1:$1016,COLUMN($E$1),FALSE)/(LEN(VLOOKUP($D135,素材!$1:$1016,COLUMN($F$1),FALSE)) - LEN(SUBSTITUTE(VLOOKUP($D135,素材!$1:$1016,COLUMN($F$1),FALSE), "・", 0)) + 1), 0)</f>
        <v>0</v>
      </c>
      <c r="AH135">
        <f>IF(ISNUMBER(SEARCH(SUBSTITUTE(AH$1,RIGHT(AH$1,2),""),VLOOKUP($D135,素材!$1:$1016,COLUMN($F$1),FALSE))),VLOOKUP($C135,武器!$1:$998,COLUMN($O$1),FALSE)*VLOOKUP($D135,素材!$1:$1016,COLUMN($E$1),FALSE)/(LEN(VLOOKUP($D135,素材!$1:$1016,COLUMN($F$1),FALSE)) - LEN(SUBSTITUTE(VLOOKUP($D135,素材!$1:$1016,COLUMN($F$1),FALSE), "・", 0)) + 1), 0)</f>
        <v>0</v>
      </c>
      <c r="AI135">
        <f>IF(ISNUMBER(SEARCH(SUBSTITUTE(AI$1,RIGHT(AI$1,2),""),VLOOKUP($D135,素材!$1:$1016,COLUMN($F$1),FALSE))),VLOOKUP($C135,武器!$1:$998,COLUMN($O$1),FALSE)*VLOOKUP($D135,素材!$1:$1016,COLUMN($E$1),FALSE)/(LEN(VLOOKUP($D135,素材!$1:$1016,COLUMN($F$1),FALSE)) - LEN(SUBSTITUTE(VLOOKUP($D135,素材!$1:$1016,COLUMN($F$1),FALSE), "・", 0)) + 1), 0)</f>
        <v>0</v>
      </c>
      <c r="AJ135">
        <f>IF(ISNUMBER(SEARCH(SUBSTITUTE(AJ$1,RIGHT(AJ$1,2),""),VLOOKUP($D135,素材!$1:$1016,COLUMN($F$1),FALSE))),VLOOKUP($C135,武器!$1:$998,COLUMN($O$1),FALSE)*VLOOKUP($D135,素材!$1:$1016,COLUMN($E$1),FALSE)/(LEN(VLOOKUP($D135,素材!$1:$1016,COLUMN($F$1),FALSE)) - LEN(SUBSTITUTE(VLOOKUP($D135,素材!$1:$1016,COLUMN($F$1),FALSE), "・", 0)) + 1), 0)</f>
        <v>0</v>
      </c>
      <c r="AK135">
        <f>IF(ISNUMBER(SEARCH(SUBSTITUTE(AK$1,RIGHT(AK$1,2),""),VLOOKUP($D135,素材!$1:$1016,COLUMN($F$1),FALSE))),VLOOKUP($C135,武器!$1:$998,COLUMN($O$1),FALSE)*VLOOKUP($D135,素材!$1:$1016,COLUMN($E$1),FALSE)/(LEN(VLOOKUP($D135,素材!$1:$1016,COLUMN($F$1),FALSE)) - LEN(SUBSTITUTE(VLOOKUP($D135,素材!$1:$1016,COLUMN($F$1),FALSE), "・", 0)) + 1), 0)</f>
        <v>0</v>
      </c>
      <c r="AL135">
        <f>IF(ISNUMBER(SEARCH(SUBSTITUTE(AL$1,RIGHT(AL$1,2),""),VLOOKUP($D135,素材!$1:$1016,COLUMN($F$1),FALSE))),VLOOKUP($C135,武器!$1:$998,COLUMN($O$1),FALSE)*VLOOKUP($D135,素材!$1:$1016,COLUMN($E$1),FALSE)/(LEN(VLOOKUP($D135,素材!$1:$1016,COLUMN($F$1),FALSE)) - LEN(SUBSTITUTE(VLOOKUP($D135,素材!$1:$1016,COLUMN($F$1),FALSE), "・", 0)) + 1), 0)</f>
        <v>0</v>
      </c>
      <c r="AM135">
        <f>IF(ISNUMBER(SEARCH(SUBSTITUTE(AM$1,RIGHT(AM$1,2),""),VLOOKUP($D135,素材!$1:$1016,COLUMN($F$1),FALSE))),VLOOKUP($C135,武器!$1:$998,COLUMN($O$1),FALSE)*VLOOKUP($D135,素材!$1:$1016,COLUMN($E$1),FALSE)/(LEN(VLOOKUP($D135,素材!$1:$1016,COLUMN($F$1),FALSE)) - LEN(SUBSTITUTE(VLOOKUP($D135,素材!$1:$1016,COLUMN($F$1),FALSE), "・", 0)) + 1), 0)</f>
        <v>0</v>
      </c>
      <c r="AN135">
        <f>IF(ISNUMBER(SEARCH(SUBSTITUTE(AN$1,RIGHT(AN$1,2),""),VLOOKUP($D135,素材!$1:$1016,COLUMN($F$1),FALSE))),VLOOKUP($C135,武器!$1:$998,COLUMN($O$1),FALSE)*VLOOKUP($D135,素材!$1:$1016,COLUMN($E$1),FALSE)/(LEN(VLOOKUP($D135,素材!$1:$1016,COLUMN($F$1),FALSE)) - LEN(SUBSTITUTE(VLOOKUP($D135,素材!$1:$1016,COLUMN($F$1),FALSE), "・", 0)) + 1), 0)</f>
        <v>0</v>
      </c>
      <c r="AO135">
        <f>IF(ISNUMBER(SEARCH(SUBSTITUTE(AO$1,RIGHT(AO$1,2),""),VLOOKUP($D135,素材!$1:$1016,COLUMN($F$1),FALSE))),VLOOKUP($C135,武器!$1:$998,COLUMN($O$1),FALSE)*VLOOKUP($D135,素材!$1:$1016,COLUMN($E$1),FALSE)/(LEN(VLOOKUP($D135,素材!$1:$1016,COLUMN($F$1),FALSE)) - LEN(SUBSTITUTE(VLOOKUP($D135,素材!$1:$1016,COLUMN($F$1),FALSE), "・", 0)) + 1), 0)</f>
        <v>0</v>
      </c>
      <c r="AP135">
        <f>IF(ISNUMBER(SEARCH(SUBSTITUTE(AP$1,RIGHT(AP$1,2),""),VLOOKUP($D135,素材!$1:$1016,COLUMN($F$1),FALSE))),VLOOKUP($C135,武器!$1:$998,COLUMN($O$1),FALSE)*VLOOKUP($D135,素材!$1:$1016,COLUMN($E$1),FALSE)/(LEN(VLOOKUP($D135,素材!$1:$1016,COLUMN($F$1),FALSE)) - LEN(SUBSTITUTE(VLOOKUP($D135,素材!$1:$1016,COLUMN($F$1),FALSE), "・", 0)) + 1), 0)</f>
        <v>0</v>
      </c>
      <c r="AQ135">
        <f>IF(ISNUMBER(SEARCH(SUBSTITUTE(AQ$1,RIGHT(AQ$1,2),""),VLOOKUP($D135,素材!$1:$1016,COLUMN($F$1),FALSE))),VLOOKUP($C135,武器!$1:$998,COLUMN($O$1),FALSE)*VLOOKUP($D135,素材!$1:$1016,COLUMN($E$1),FALSE)/(LEN(VLOOKUP($D135,素材!$1:$1016,COLUMN($F$1),FALSE)) - LEN(SUBSTITUTE(VLOOKUP($D135,素材!$1:$1016,COLUMN($F$1),FALSE), "・", 0)) + 1), 0)</f>
        <v>0</v>
      </c>
      <c r="AR135">
        <f>IF(ISNUMBER(SEARCH(SUBSTITUTE(AR$1,RIGHT(AR$1,2),""),VLOOKUP($D135,素材!$1:$1016,COLUMN($F$1),FALSE))),VLOOKUP($C135,武器!$1:$998,COLUMN($O$1),FALSE)*VLOOKUP($D135,素材!$1:$1016,COLUMN($E$1),FALSE)/(LEN(VLOOKUP($D135,素材!$1:$1016,COLUMN($F$1),FALSE)) - LEN(SUBSTITUTE(VLOOKUP($D135,素材!$1:$1016,COLUMN($F$1),FALSE), "・", 0)) + 1), 0)</f>
        <v>0</v>
      </c>
      <c r="AS135">
        <f>IF(ISNUMBER(SEARCH(SUBSTITUTE(AS$1,RIGHT(AS$1,2),""),VLOOKUP($D135,素材!$1:$1016,COLUMN($F$1),FALSE))),VLOOKUP($C135,武器!$1:$998,COLUMN($O$1),FALSE)*VLOOKUP($D135,素材!$1:$1016,COLUMN($E$1),FALSE)/(LEN(VLOOKUP($D135,素材!$1:$1016,COLUMN($F$1),FALSE)) - LEN(SUBSTITUTE(VLOOKUP($D135,素材!$1:$1016,COLUMN($F$1),FALSE), "・", 0)) + 1), 0)</f>
        <v>0</v>
      </c>
      <c r="AT135">
        <f>IF(ISNUMBER(SEARCH(SUBSTITUTE(AT$1,RIGHT(AT$1,2),""),VLOOKUP($D135,素材!$1:$1016,COLUMN($F$1),FALSE))),VLOOKUP($C135,武器!$1:$998,COLUMN($O$1),FALSE)*VLOOKUP($D135,素材!$1:$1016,COLUMN($E$1),FALSE)/(LEN(VLOOKUP($D135,素材!$1:$1016,COLUMN($F$1),FALSE)) - LEN(SUBSTITUTE(VLOOKUP($D135,素材!$1:$1016,COLUMN($F$1),FALSE), "・", 0)) + 1), 0)</f>
        <v>0</v>
      </c>
      <c r="AU135">
        <f>IF(ISNUMBER(SEARCH(SUBSTITUTE(AU$1,RIGHT(AU$1,2),""),VLOOKUP($D135,素材!$1:$1016,COLUMN($F$1),FALSE))),VLOOKUP($C135,武器!$1:$998,COLUMN($O$1),FALSE)*VLOOKUP($D135,素材!$1:$1016,COLUMN($E$1),FALSE)/(LEN(VLOOKUP($D135,素材!$1:$1016,COLUMN($F$1),FALSE)) - LEN(SUBSTITUTE(VLOOKUP($D135,素材!$1:$1016,COLUMN($F$1),FALSE), "・", 0)) + 1), 0)</f>
        <v>0</v>
      </c>
      <c r="AV135">
        <f>IF(ISNUMBER(SEARCH(SUBSTITUTE(AV$1,RIGHT(AV$1,2),""),VLOOKUP($D135,素材!$1:$1016,COLUMN($F$1),FALSE))),VLOOKUP($C135,武器!$1:$998,COLUMN($O$1),FALSE)*VLOOKUP($D135,素材!$1:$1016,COLUMN($E$1),FALSE)/(LEN(VLOOKUP($D135,素材!$1:$1016,COLUMN($F$1),FALSE)) - LEN(SUBSTITUTE(VLOOKUP($D135,素材!$1:$1016,COLUMN($F$1),FALSE), "・", 0)) + 1), 0)</f>
        <v>0</v>
      </c>
      <c r="AW135">
        <f>IF(ISNUMBER(SEARCH(SUBSTITUTE(AW$1,RIGHT(AW$1,2),""),VLOOKUP($D135,素材!$1:$1016,COLUMN($F$1),FALSE))),VLOOKUP($C135,武器!$1:$998,COLUMN($O$1),FALSE)*VLOOKUP($D135,素材!$1:$1016,COLUMN($E$1),FALSE)/(LEN(VLOOKUP($D135,素材!$1:$1016,COLUMN($F$1),FALSE)) - LEN(SUBSTITUTE(VLOOKUP($D135,素材!$1:$1016,COLUMN($F$1),FALSE), "・", 0)) + 1), 0)</f>
        <v>0</v>
      </c>
      <c r="AX135">
        <f>IF(ISNUMBER(SEARCH(SUBSTITUTE(AX$1,RIGHT(AX$1,2),""),VLOOKUP($D135,素材!$1:$1016,COLUMN($F$1),FALSE))),VLOOKUP($C135,武器!$1:$998,COLUMN($O$1),FALSE)*VLOOKUP($D135,素材!$1:$1016,COLUMN($E$1),FALSE)/(LEN(VLOOKUP($D135,素材!$1:$1016,COLUMN($F$1),FALSE)) - LEN(SUBSTITUTE(VLOOKUP($D135,素材!$1:$1016,COLUMN($F$1),FALSE), "・", 0)) + 1), 0)</f>
        <v>0</v>
      </c>
      <c r="AY135">
        <f>IF(ISNUMBER(SEARCH(SUBSTITUTE(AY$1,RIGHT(AY$1,2),""),VLOOKUP($D135,素材!$1:$1016,COLUMN($F$1),FALSE))),VLOOKUP($C135,武器!$1:$998,COLUMN($O$1),FALSE)*VLOOKUP($D135,素材!$1:$1016,COLUMN($E$1),FALSE)/(LEN(VLOOKUP($D135,素材!$1:$1016,COLUMN($F$1),FALSE)) - LEN(SUBSTITUTE(VLOOKUP($D135,素材!$1:$1016,COLUMN($F$1),FALSE), "・", 0)) + 1), 0)</f>
        <v>0</v>
      </c>
      <c r="AZ135">
        <f>IF(ISNUMBER(SEARCH(SUBSTITUTE(AZ$1,RIGHT(AZ$1,2),""),VLOOKUP($D135,素材!$1:$1016,COLUMN($F$1),FALSE))),VLOOKUP($C135,武器!$1:$998,COLUMN($O$1),FALSE)*VLOOKUP($D135,素材!$1:$1016,COLUMN($E$1),FALSE)/(LEN(VLOOKUP($D135,素材!$1:$1016,COLUMN($F$1),FALSE)) - LEN(SUBSTITUTE(VLOOKUP($D135,素材!$1:$1016,COLUMN($F$1),FALSE), "・", 0)) + 1), 0)</f>
        <v>0</v>
      </c>
      <c r="BA135">
        <f>IF(ISNUMBER(SEARCH(SUBSTITUTE(BA$1,RIGHT(BA$1,2),""),VLOOKUP($D135,素材!$1:$1016,COLUMN($F$1),FALSE))),VLOOKUP($C135,武器!$1:$998,COLUMN($O$1),FALSE)*VLOOKUP($D135,素材!$1:$1016,COLUMN($E$1),FALSE)/(LEN(VLOOKUP($D135,素材!$1:$1016,COLUMN($F$1),FALSE)) - LEN(SUBSTITUTE(VLOOKUP($D135,素材!$1:$1016,COLUMN($F$1),FALSE), "・", 0)) + 1), 0)</f>
        <v>0</v>
      </c>
      <c r="BB135">
        <f>IF(ISNUMBER(SEARCH(SUBSTITUTE(BB$1,RIGHT(BB$1,2),""),VLOOKUP($D135,素材!$1:$1016,COLUMN($F$1),FALSE))),VLOOKUP($C135,武器!$1:$998,COLUMN($O$1),FALSE)*VLOOKUP($D135,素材!$1:$1016,COLUMN($E$1),FALSE)/(LEN(VLOOKUP($D135,素材!$1:$1016,COLUMN($F$1),FALSE)) - LEN(SUBSTITUTE(VLOOKUP($D135,素材!$1:$1016,COLUMN($F$1),FALSE), "・", 0)) + 1), 0)</f>
        <v>0</v>
      </c>
      <c r="BC135">
        <f>IF(ISNUMBER(SEARCH(SUBSTITUTE(BC$1,RIGHT(BC$1,2),""),VLOOKUP($D135,素材!$1:$1016,COLUMN($F$1),FALSE))),VLOOKUP($C135,武器!$1:$998,COLUMN($O$1),FALSE)*VLOOKUP($D135,素材!$1:$1016,COLUMN($E$1),FALSE)/(LEN(VLOOKUP($D135,素材!$1:$1016,COLUMN($F$1),FALSE)) - LEN(SUBSTITUTE(VLOOKUP($D135,素材!$1:$1016,COLUMN($F$1),FALSE), "・", 0)) + 1), 0)</f>
        <v>4.5</v>
      </c>
      <c r="BD135">
        <f>IF(ISNUMBER(SEARCH(SUBSTITUTE(BD$1,RIGHT(BD$1,2),""),VLOOKUP($D135,素材!$1:$1016,COLUMN($F$1),FALSE))),VLOOKUP($C135,武器!$1:$998,COLUMN($O$1),FALSE)*VLOOKUP($D135,素材!$1:$1016,COLUMN($E$1),FALSE)/(LEN(VLOOKUP($D135,素材!$1:$1016,COLUMN($F$1),FALSE)) - LEN(SUBSTITUTE(VLOOKUP($D135,素材!$1:$1016,COLUMN($F$1),FALSE), "・", 0)) + 1), 0)</f>
        <v>0</v>
      </c>
      <c r="BE135">
        <f>IF(ISNUMBER(SEARCH(SUBSTITUTE(BE$1,RIGHT(BE$1,2),""),VLOOKUP($D135,素材!$1:$1016,COLUMN($F$1),FALSE))),VLOOKUP($C135,武器!$1:$998,COLUMN($O$1),FALSE)*VLOOKUP($D135,素材!$1:$1016,COLUMN($E$1),FALSE)/(LEN(VLOOKUP($D135,素材!$1:$1016,COLUMN($F$1),FALSE)) - LEN(SUBSTITUTE(VLOOKUP($D135,素材!$1:$1016,COLUMN($F$1),FALSE), "・", 0)) + 1), 0)</f>
        <v>0</v>
      </c>
      <c r="CL135">
        <f>SUM(G135:I135)</f>
        <v>0</v>
      </c>
      <c r="CM135" s="22" t="str">
        <f>IF(E135="武器",IF(J135-1&gt;SUM(G135:I135),"盾",IF(MAX(G135:I135)=G135,"切断",IF(MAX(G135:I135)=H135,"貫通",IF(MAX(G135:I135)=I135,"打撃","射撃")))),E135)&amp;".webp"</f>
        <v>体.webp</v>
      </c>
      <c r="CN135">
        <f>IFERROR(VLOOKUP($C135,武器!$1:$998,COLUMN(V$1),FALSE)*VLOOKUP($D135,素材!$1:$1016,COLUMN(N$1),FALSE)+IF(CI135="",0,VLOOKUP($CI135,装強!$1:$1008,COLUMN($CK$1),FALSE)),"")</f>
        <v>3000</v>
      </c>
      <c r="CO135" t="str">
        <f>VLOOKUP(D135,素材!$A:$O,COLUMN(素材!O$1),FALSE)</f>
        <v>魔力を帯びた特殊な皮素材。魔法防御や属性耐性を強化する効果があり、高レベルの冒険者に重宝されます。</v>
      </c>
      <c r="CP135" t="str">
        <f>VLOOKUP(C135,武器!$A:$W,COLUMN(武器!W$1),FALSE)</f>
        <v>HP 物理 魔法 体幹 出血 疲労 Cr</v>
      </c>
      <c r="CR135" t="str">
        <f t="shared" si="5"/>
        <v>e_135</v>
      </c>
      <c r="CS135">
        <f t="shared" si="6"/>
        <v>300000</v>
      </c>
    </row>
    <row r="136" spans="1:97" outlineLevel="1" x14ac:dyDescent="0.4">
      <c r="A136" t="str">
        <f t="shared" si="7"/>
        <v>魔獣皮の法衣</v>
      </c>
      <c r="B136" t="str">
        <f>IFERROR(VLOOKUP($D136,素材!$1:$1016,COLUMN($B$1),FALSE)&amp;"・"&amp;VLOOKUP($C136,武器!$1:$998,COLUMN(B$1),FALSE),"")</f>
        <v>マジックレザー・ローブ</v>
      </c>
      <c r="C136" t="s">
        <v>246</v>
      </c>
      <c r="D136" s="24" t="s">
        <v>202</v>
      </c>
      <c r="E136" t="str">
        <f>IFERROR(VLOOKUP(C136,武器!$1:$998,COLUMN(C$1),FALSE),"")</f>
        <v>体</v>
      </c>
      <c r="F136">
        <f>IFERROR(ROUNDDOWN((VLOOKUP($C136,武器!$1:$998,COLUMN(D$1),FALSE)+IFERROR(VLOOKUP($CI136,装強!$1:$999,COLUMN(F$1),FALSE),0))*VLOOKUP($D136,素材!$1:$1016,COLUMN(D$1),FALSE),0),"")</f>
        <v>0</v>
      </c>
      <c r="G136">
        <f>IFERROR(ROUNDDOWN((VLOOKUP($C136,武器!$1:$998,COLUMN(E$1),FALSE)+IFERROR(VLOOKUP($CI136,装強!$1:$999,COLUMN(G$1),FALSE),0))*VLOOKUP($D136,素材!$1:$1016,COLUMN($E$1),FALSE),0),"")</f>
        <v>0</v>
      </c>
      <c r="H136">
        <f>IFERROR(ROUNDDOWN((VLOOKUP($C136,武器!$1:$998,COLUMN(F$1),FALSE)+IFERROR(VLOOKUP($CI136,装強!$1:$999,COLUMN(H$1),FALSE),0))*VLOOKUP($D136,素材!$1:$1016,COLUMN($E$1),FALSE),0),"")</f>
        <v>0</v>
      </c>
      <c r="I136">
        <f>IFERROR(ROUNDDOWN((VLOOKUP($C136,武器!$1:$998,COLUMN(G$1),FALSE)+IFERROR(VLOOKUP($CI136,装強!$1:$999,COLUMN(I$1),FALSE),0))*VLOOKUP($D136,素材!$1:$1016,COLUMN($E$1),FALSE),0),"")</f>
        <v>0</v>
      </c>
      <c r="J136">
        <f>IFERROR(ROUNDDOWN((VLOOKUP($C136,武器!$1:$998,COLUMN(H$1),FALSE)+IFERROR(VLOOKUP($CI136,装強!$1:$999,COLUMN(J$1),FALSE),0))*VLOOKUP($D136,素材!$1:$1016,COLUMN($E$1),FALSE),0),"")</f>
        <v>0</v>
      </c>
      <c r="K136">
        <f>IFERROR(ROUNDDOWN((VLOOKUP($C136,武器!$1:$998,COLUMN(I$1),FALSE)+IFERROR(VLOOKUP($CI136,装強!$1:$999,COLUMN(K$1),FALSE),0))*VLOOKUP($D136,素材!$1:$1016,COLUMN($E$1),FALSE),0),"")</f>
        <v>0</v>
      </c>
      <c r="L136" t="str">
        <f>IFERROR(VLOOKUP($D136,素材!$1:$1016,COLUMN($F$1),FALSE),"")</f>
        <v>魔法</v>
      </c>
      <c r="M136" t="str">
        <f>IFERROR(VLOOKUP($C136,武器!$1:$998,COLUMN(AA$1),FALSE)*VLOOKUP($D136,素材!$1:$1016,COLUMN($G$1),FALSE),"")</f>
        <v/>
      </c>
      <c r="N136">
        <f>IFERROR(VLOOKUP($C136,武器!$1:$998,COLUMN(I$1),FALSE),"")</f>
        <v>0</v>
      </c>
      <c r="O136" s="23" t="str">
        <f>IFERROR((VLOOKUP($C136,武器!$1:$998,COLUMN(K$1),FALSE)+VLOOKUP($D136,素材!$1:$1016,COLUMN(H$1),FALSE))*100+IFERROR(VLOOKUP($CI136,装強!$1:$999,COLUMN(O$1),FALSE),0),"")</f>
        <v/>
      </c>
      <c r="P136" s="23" t="str">
        <f>IFERROR((VLOOKUP($C136,武器!$1:$998,COLUMN(L$1),FALSE)+VLOOKUP($D136,素材!$1:$1016,COLUMN(I$1),FALSE))*100+IFERROR(VLOOKUP($CI136,装強!$1:$999,COLUMN(P$1),FALSE),0),"")</f>
        <v/>
      </c>
      <c r="Q136">
        <f>IFERROR(ROUNDUP(VLOOKUP($C136,武器!$1:$998,COLUMN(M$1),FALSE)*(VLOOKUP($D136,素材!$1:$1002,COLUMN(D$1),FALSE)/100),1),"")</f>
        <v>0</v>
      </c>
      <c r="R136">
        <f>IFERROR(ROUNDUP(VLOOKUP($C136,武器!$1:$998,COLUMN(N$1),FALSE)*(VLOOKUP($D136,素材!$1:$1002,COLUMN(D$1),FALSE)/100),1),"")</f>
        <v>0</v>
      </c>
      <c r="S136">
        <f>IFERROR(VLOOKUP($C136,武器!$1:$998,COLUMN(P$1),FALSE),"")</f>
        <v>0</v>
      </c>
      <c r="T136">
        <f>IFERROR(VLOOKUP($C136,武器!$1:$998,COLUMN(Q$1),FALSE),"")</f>
        <v>0</v>
      </c>
      <c r="U136">
        <f>IFERROR(VLOOKUP($C136,武器!$1:$998,COLUMN(R$1),FALSE),"")</f>
        <v>0</v>
      </c>
      <c r="V136">
        <f>IFERROR(VLOOKUP($C136,武器!$1:$998,COLUMN(Q$1),FALSE),"")</f>
        <v>0</v>
      </c>
      <c r="W136">
        <f>IFERROR(VLOOKUP($C136,武器!$1:$998,COLUMN(T$1),FALSE),"")</f>
        <v>0</v>
      </c>
      <c r="Y136">
        <f>IFERROR(VLOOKUP($C136,武器!$1:$998,COLUMN(U$1),FALSE),"")</f>
        <v>0</v>
      </c>
      <c r="Z136">
        <f>IFERROR(ROUNDUP(VLOOKUP($C136,武器!$1:$998,COLUMN(O$1),FALSE)*VLOOKUP($D136,素材!$1:$1016,COLUMN(E$1),FALSE),1),"")</f>
        <v>3</v>
      </c>
      <c r="AA136">
        <f>IF(ISNUMBER(SEARCH(SUBSTITUTE(AA$1,RIGHT(AA$1,2),""),VLOOKUP($D136,素材!$1:$1016,COLUMN($F$1),FALSE))),VLOOKUP($C136,武器!$1:$998,COLUMN($O$1),FALSE)*VLOOKUP($D136,素材!$1:$1016,COLUMN($E$1),FALSE)/(LEN(VLOOKUP($D136,素材!$1:$1016,COLUMN($F$1),FALSE)) - LEN(SUBSTITUTE(VLOOKUP($D136,素材!$1:$1016,COLUMN($F$1),FALSE), "・", 0)) + 1), 0)</f>
        <v>3</v>
      </c>
      <c r="AB136">
        <f>IF(ISNUMBER(SEARCH(SUBSTITUTE(AB$1,RIGHT(AB$1,2),""),VLOOKUP($D136,素材!$1:$1016,COLUMN($F$1),FALSE))),VLOOKUP($C136,武器!$1:$998,COLUMN($O$1),FALSE)*VLOOKUP($D136,素材!$1:$1016,COLUMN($E$1),FALSE)/(LEN(VLOOKUP($D136,素材!$1:$1016,COLUMN($F$1),FALSE)) - LEN(SUBSTITUTE(VLOOKUP($D136,素材!$1:$1016,COLUMN($F$1),FALSE), "・", 0)) + 1), 0)</f>
        <v>0</v>
      </c>
      <c r="AC136">
        <f>IF(ISNUMBER(SEARCH(SUBSTITUTE(AC$1,RIGHT(AC$1,2),""),VLOOKUP($D136,素材!$1:$1016,COLUMN($F$1),FALSE))),VLOOKUP($C136,武器!$1:$998,COLUMN($O$1),FALSE)*VLOOKUP($D136,素材!$1:$1016,COLUMN($E$1),FALSE)/(LEN(VLOOKUP($D136,素材!$1:$1016,COLUMN($F$1),FALSE)) - LEN(SUBSTITUTE(VLOOKUP($D136,素材!$1:$1016,COLUMN($F$1),FALSE), "・", 0)) + 1), 0)</f>
        <v>0</v>
      </c>
      <c r="AD136">
        <f>IF(ISNUMBER(SEARCH(SUBSTITUTE(AD$1,RIGHT(AD$1,2),""),VLOOKUP($D136,素材!$1:$1016,COLUMN($F$1),FALSE))),VLOOKUP($C136,武器!$1:$998,COLUMN($O$1),FALSE)*VLOOKUP($D136,素材!$1:$1016,COLUMN($E$1),FALSE)/(LEN(VLOOKUP($D136,素材!$1:$1016,COLUMN($F$1),FALSE)) - LEN(SUBSTITUTE(VLOOKUP($D136,素材!$1:$1016,COLUMN($F$1),FALSE), "・", 0)) + 1), 0)</f>
        <v>0</v>
      </c>
      <c r="AE136">
        <f>IF(ISNUMBER(SEARCH(SUBSTITUTE(AE$1,RIGHT(AE$1,2),""),VLOOKUP($D136,素材!$1:$1016,COLUMN($F$1),FALSE))),VLOOKUP($C136,武器!$1:$998,COLUMN($O$1),FALSE)*VLOOKUP($D136,素材!$1:$1016,COLUMN($E$1),FALSE)/(LEN(VLOOKUP($D136,素材!$1:$1016,COLUMN($F$1),FALSE)) - LEN(SUBSTITUTE(VLOOKUP($D136,素材!$1:$1016,COLUMN($F$1),FALSE), "・", 0)) + 1), 0)</f>
        <v>0</v>
      </c>
      <c r="AF136">
        <f>IF(ISNUMBER(SEARCH(SUBSTITUTE(AF$1,RIGHT(AF$1,2),""),VLOOKUP($D136,素材!$1:$1016,COLUMN($F$1),FALSE))),VLOOKUP($C136,武器!$1:$998,COLUMN($O$1),FALSE)*VLOOKUP($D136,素材!$1:$1016,COLUMN($E$1),FALSE)/(LEN(VLOOKUP($D136,素材!$1:$1016,COLUMN($F$1),FALSE)) - LEN(SUBSTITUTE(VLOOKUP($D136,素材!$1:$1016,COLUMN($F$1),FALSE), "・", 0)) + 1), 0)</f>
        <v>0</v>
      </c>
      <c r="AG136">
        <f>IF(ISNUMBER(SEARCH(SUBSTITUTE(AG$1,RIGHT(AG$1,2),""),VLOOKUP($D136,素材!$1:$1016,COLUMN($F$1),FALSE))),VLOOKUP($C136,武器!$1:$998,COLUMN($O$1),FALSE)*VLOOKUP($D136,素材!$1:$1016,COLUMN($E$1),FALSE)/(LEN(VLOOKUP($D136,素材!$1:$1016,COLUMN($F$1),FALSE)) - LEN(SUBSTITUTE(VLOOKUP($D136,素材!$1:$1016,COLUMN($F$1),FALSE), "・", 0)) + 1), 0)</f>
        <v>0</v>
      </c>
      <c r="AH136">
        <f>IF(ISNUMBER(SEARCH(SUBSTITUTE(AH$1,RIGHT(AH$1,2),""),VLOOKUP($D136,素材!$1:$1016,COLUMN($F$1),FALSE))),VLOOKUP($C136,武器!$1:$998,COLUMN($O$1),FALSE)*VLOOKUP($D136,素材!$1:$1016,COLUMN($E$1),FALSE)/(LEN(VLOOKUP($D136,素材!$1:$1016,COLUMN($F$1),FALSE)) - LEN(SUBSTITUTE(VLOOKUP($D136,素材!$1:$1016,COLUMN($F$1),FALSE), "・", 0)) + 1), 0)</f>
        <v>0</v>
      </c>
      <c r="AI136">
        <f>IF(ISNUMBER(SEARCH(SUBSTITUTE(AI$1,RIGHT(AI$1,2),""),VLOOKUP($D136,素材!$1:$1016,COLUMN($F$1),FALSE))),VLOOKUP($C136,武器!$1:$998,COLUMN($O$1),FALSE)*VLOOKUP($D136,素材!$1:$1016,COLUMN($E$1),FALSE)/(LEN(VLOOKUP($D136,素材!$1:$1016,COLUMN($F$1),FALSE)) - LEN(SUBSTITUTE(VLOOKUP($D136,素材!$1:$1016,COLUMN($F$1),FALSE), "・", 0)) + 1), 0)</f>
        <v>0</v>
      </c>
      <c r="AJ136">
        <f>IF(ISNUMBER(SEARCH(SUBSTITUTE(AJ$1,RIGHT(AJ$1,2),""),VLOOKUP($D136,素材!$1:$1016,COLUMN($F$1),FALSE))),VLOOKUP($C136,武器!$1:$998,COLUMN($O$1),FALSE)*VLOOKUP($D136,素材!$1:$1016,COLUMN($E$1),FALSE)/(LEN(VLOOKUP($D136,素材!$1:$1016,COLUMN($F$1),FALSE)) - LEN(SUBSTITUTE(VLOOKUP($D136,素材!$1:$1016,COLUMN($F$1),FALSE), "・", 0)) + 1), 0)</f>
        <v>0</v>
      </c>
      <c r="AK136">
        <f>IF(ISNUMBER(SEARCH(SUBSTITUTE(AK$1,RIGHT(AK$1,2),""),VLOOKUP($D136,素材!$1:$1016,COLUMN($F$1),FALSE))),VLOOKUP($C136,武器!$1:$998,COLUMN($O$1),FALSE)*VLOOKUP($D136,素材!$1:$1016,COLUMN($E$1),FALSE)/(LEN(VLOOKUP($D136,素材!$1:$1016,COLUMN($F$1),FALSE)) - LEN(SUBSTITUTE(VLOOKUP($D136,素材!$1:$1016,COLUMN($F$1),FALSE), "・", 0)) + 1), 0)</f>
        <v>0</v>
      </c>
      <c r="AL136">
        <f>IF(ISNUMBER(SEARCH(SUBSTITUTE(AL$1,RIGHT(AL$1,2),""),VLOOKUP($D136,素材!$1:$1016,COLUMN($F$1),FALSE))),VLOOKUP($C136,武器!$1:$998,COLUMN($O$1),FALSE)*VLOOKUP($D136,素材!$1:$1016,COLUMN($E$1),FALSE)/(LEN(VLOOKUP($D136,素材!$1:$1016,COLUMN($F$1),FALSE)) - LEN(SUBSTITUTE(VLOOKUP($D136,素材!$1:$1016,COLUMN($F$1),FALSE), "・", 0)) + 1), 0)</f>
        <v>0</v>
      </c>
      <c r="AM136">
        <f>IF(ISNUMBER(SEARCH(SUBSTITUTE(AM$1,RIGHT(AM$1,2),""),VLOOKUP($D136,素材!$1:$1016,COLUMN($F$1),FALSE))),VLOOKUP($C136,武器!$1:$998,COLUMN($O$1),FALSE)*VLOOKUP($D136,素材!$1:$1016,COLUMN($E$1),FALSE)/(LEN(VLOOKUP($D136,素材!$1:$1016,COLUMN($F$1),FALSE)) - LEN(SUBSTITUTE(VLOOKUP($D136,素材!$1:$1016,COLUMN($F$1),FALSE), "・", 0)) + 1), 0)</f>
        <v>0</v>
      </c>
      <c r="AN136">
        <f>IF(ISNUMBER(SEARCH(SUBSTITUTE(AN$1,RIGHT(AN$1,2),""),VLOOKUP($D136,素材!$1:$1016,COLUMN($F$1),FALSE))),VLOOKUP($C136,武器!$1:$998,COLUMN($O$1),FALSE)*VLOOKUP($D136,素材!$1:$1016,COLUMN($E$1),FALSE)/(LEN(VLOOKUP($D136,素材!$1:$1016,COLUMN($F$1),FALSE)) - LEN(SUBSTITUTE(VLOOKUP($D136,素材!$1:$1016,COLUMN($F$1),FALSE), "・", 0)) + 1), 0)</f>
        <v>0</v>
      </c>
      <c r="AO136">
        <f>IF(ISNUMBER(SEARCH(SUBSTITUTE(AO$1,RIGHT(AO$1,2),""),VLOOKUP($D136,素材!$1:$1016,COLUMN($F$1),FALSE))),VLOOKUP($C136,武器!$1:$998,COLUMN($O$1),FALSE)*VLOOKUP($D136,素材!$1:$1016,COLUMN($E$1),FALSE)/(LEN(VLOOKUP($D136,素材!$1:$1016,COLUMN($F$1),FALSE)) - LEN(SUBSTITUTE(VLOOKUP($D136,素材!$1:$1016,COLUMN($F$1),FALSE), "・", 0)) + 1), 0)</f>
        <v>0</v>
      </c>
      <c r="AP136">
        <f>IF(ISNUMBER(SEARCH(SUBSTITUTE(AP$1,RIGHT(AP$1,2),""),VLOOKUP($D136,素材!$1:$1016,COLUMN($F$1),FALSE))),VLOOKUP($C136,武器!$1:$998,COLUMN($O$1),FALSE)*VLOOKUP($D136,素材!$1:$1016,COLUMN($E$1),FALSE)/(LEN(VLOOKUP($D136,素材!$1:$1016,COLUMN($F$1),FALSE)) - LEN(SUBSTITUTE(VLOOKUP($D136,素材!$1:$1016,COLUMN($F$1),FALSE), "・", 0)) + 1), 0)</f>
        <v>0</v>
      </c>
      <c r="AQ136">
        <f>IF(ISNUMBER(SEARCH(SUBSTITUTE(AQ$1,RIGHT(AQ$1,2),""),VLOOKUP($D136,素材!$1:$1016,COLUMN($F$1),FALSE))),VLOOKUP($C136,武器!$1:$998,COLUMN($O$1),FALSE)*VLOOKUP($D136,素材!$1:$1016,COLUMN($E$1),FALSE)/(LEN(VLOOKUP($D136,素材!$1:$1016,COLUMN($F$1),FALSE)) - LEN(SUBSTITUTE(VLOOKUP($D136,素材!$1:$1016,COLUMN($F$1),FALSE), "・", 0)) + 1), 0)</f>
        <v>0</v>
      </c>
      <c r="AR136">
        <f>IF(ISNUMBER(SEARCH(SUBSTITUTE(AR$1,RIGHT(AR$1,2),""),VLOOKUP($D136,素材!$1:$1016,COLUMN($F$1),FALSE))),VLOOKUP($C136,武器!$1:$998,COLUMN($O$1),FALSE)*VLOOKUP($D136,素材!$1:$1016,COLUMN($E$1),FALSE)/(LEN(VLOOKUP($D136,素材!$1:$1016,COLUMN($F$1),FALSE)) - LEN(SUBSTITUTE(VLOOKUP($D136,素材!$1:$1016,COLUMN($F$1),FALSE), "・", 0)) + 1), 0)</f>
        <v>0</v>
      </c>
      <c r="AS136">
        <f>IF(ISNUMBER(SEARCH(SUBSTITUTE(AS$1,RIGHT(AS$1,2),""),VLOOKUP($D136,素材!$1:$1016,COLUMN($F$1),FALSE))),VLOOKUP($C136,武器!$1:$998,COLUMN($O$1),FALSE)*VLOOKUP($D136,素材!$1:$1016,COLUMN($E$1),FALSE)/(LEN(VLOOKUP($D136,素材!$1:$1016,COLUMN($F$1),FALSE)) - LEN(SUBSTITUTE(VLOOKUP($D136,素材!$1:$1016,COLUMN($F$1),FALSE), "・", 0)) + 1), 0)</f>
        <v>0</v>
      </c>
      <c r="AT136">
        <f>IF(ISNUMBER(SEARCH(SUBSTITUTE(AT$1,RIGHT(AT$1,2),""),VLOOKUP($D136,素材!$1:$1016,COLUMN($F$1),FALSE))),VLOOKUP($C136,武器!$1:$998,COLUMN($O$1),FALSE)*VLOOKUP($D136,素材!$1:$1016,COLUMN($E$1),FALSE)/(LEN(VLOOKUP($D136,素材!$1:$1016,COLUMN($F$1),FALSE)) - LEN(SUBSTITUTE(VLOOKUP($D136,素材!$1:$1016,COLUMN($F$1),FALSE), "・", 0)) + 1), 0)</f>
        <v>0</v>
      </c>
      <c r="AU136">
        <f>IF(ISNUMBER(SEARCH(SUBSTITUTE(AU$1,RIGHT(AU$1,2),""),VLOOKUP($D136,素材!$1:$1016,COLUMN($F$1),FALSE))),VLOOKUP($C136,武器!$1:$998,COLUMN($O$1),FALSE)*VLOOKUP($D136,素材!$1:$1016,COLUMN($E$1),FALSE)/(LEN(VLOOKUP($D136,素材!$1:$1016,COLUMN($F$1),FALSE)) - LEN(SUBSTITUTE(VLOOKUP($D136,素材!$1:$1016,COLUMN($F$1),FALSE), "・", 0)) + 1), 0)</f>
        <v>0</v>
      </c>
      <c r="AV136">
        <f>IF(ISNUMBER(SEARCH(SUBSTITUTE(AV$1,RIGHT(AV$1,2),""),VLOOKUP($D136,素材!$1:$1016,COLUMN($F$1),FALSE))),VLOOKUP($C136,武器!$1:$998,COLUMN($O$1),FALSE)*VLOOKUP($D136,素材!$1:$1016,COLUMN($E$1),FALSE)/(LEN(VLOOKUP($D136,素材!$1:$1016,COLUMN($F$1),FALSE)) - LEN(SUBSTITUTE(VLOOKUP($D136,素材!$1:$1016,COLUMN($F$1),FALSE), "・", 0)) + 1), 0)</f>
        <v>0</v>
      </c>
      <c r="AW136">
        <f>IF(ISNUMBER(SEARCH(SUBSTITUTE(AW$1,RIGHT(AW$1,2),""),VLOOKUP($D136,素材!$1:$1016,COLUMN($F$1),FALSE))),VLOOKUP($C136,武器!$1:$998,COLUMN($O$1),FALSE)*VLOOKUP($D136,素材!$1:$1016,COLUMN($E$1),FALSE)/(LEN(VLOOKUP($D136,素材!$1:$1016,COLUMN($F$1),FALSE)) - LEN(SUBSTITUTE(VLOOKUP($D136,素材!$1:$1016,COLUMN($F$1),FALSE), "・", 0)) + 1), 0)</f>
        <v>0</v>
      </c>
      <c r="AX136">
        <f>IF(ISNUMBER(SEARCH(SUBSTITUTE(AX$1,RIGHT(AX$1,2),""),VLOOKUP($D136,素材!$1:$1016,COLUMN($F$1),FALSE))),VLOOKUP($C136,武器!$1:$998,COLUMN($O$1),FALSE)*VLOOKUP($D136,素材!$1:$1016,COLUMN($E$1),FALSE)/(LEN(VLOOKUP($D136,素材!$1:$1016,COLUMN($F$1),FALSE)) - LEN(SUBSTITUTE(VLOOKUP($D136,素材!$1:$1016,COLUMN($F$1),FALSE), "・", 0)) + 1), 0)</f>
        <v>0</v>
      </c>
      <c r="AY136">
        <f>IF(ISNUMBER(SEARCH(SUBSTITUTE(AY$1,RIGHT(AY$1,2),""),VLOOKUP($D136,素材!$1:$1016,COLUMN($F$1),FALSE))),VLOOKUP($C136,武器!$1:$998,COLUMN($O$1),FALSE)*VLOOKUP($D136,素材!$1:$1016,COLUMN($E$1),FALSE)/(LEN(VLOOKUP($D136,素材!$1:$1016,COLUMN($F$1),FALSE)) - LEN(SUBSTITUTE(VLOOKUP($D136,素材!$1:$1016,COLUMN($F$1),FALSE), "・", 0)) + 1), 0)</f>
        <v>0</v>
      </c>
      <c r="AZ136">
        <f>IF(ISNUMBER(SEARCH(SUBSTITUTE(AZ$1,RIGHT(AZ$1,2),""),VLOOKUP($D136,素材!$1:$1016,COLUMN($F$1),FALSE))),VLOOKUP($C136,武器!$1:$998,COLUMN($O$1),FALSE)*VLOOKUP($D136,素材!$1:$1016,COLUMN($E$1),FALSE)/(LEN(VLOOKUP($D136,素材!$1:$1016,COLUMN($F$1),FALSE)) - LEN(SUBSTITUTE(VLOOKUP($D136,素材!$1:$1016,COLUMN($F$1),FALSE), "・", 0)) + 1), 0)</f>
        <v>0</v>
      </c>
      <c r="BA136">
        <f>IF(ISNUMBER(SEARCH(SUBSTITUTE(BA$1,RIGHT(BA$1,2),""),VLOOKUP($D136,素材!$1:$1016,COLUMN($F$1),FALSE))),VLOOKUP($C136,武器!$1:$998,COLUMN($O$1),FALSE)*VLOOKUP($D136,素材!$1:$1016,COLUMN($E$1),FALSE)/(LEN(VLOOKUP($D136,素材!$1:$1016,COLUMN($F$1),FALSE)) - LEN(SUBSTITUTE(VLOOKUP($D136,素材!$1:$1016,COLUMN($F$1),FALSE), "・", 0)) + 1), 0)</f>
        <v>0</v>
      </c>
      <c r="BB136">
        <f>IF(ISNUMBER(SEARCH(SUBSTITUTE(BB$1,RIGHT(BB$1,2),""),VLOOKUP($D136,素材!$1:$1016,COLUMN($F$1),FALSE))),VLOOKUP($C136,武器!$1:$998,COLUMN($O$1),FALSE)*VLOOKUP($D136,素材!$1:$1016,COLUMN($E$1),FALSE)/(LEN(VLOOKUP($D136,素材!$1:$1016,COLUMN($F$1),FALSE)) - LEN(SUBSTITUTE(VLOOKUP($D136,素材!$1:$1016,COLUMN($F$1),FALSE), "・", 0)) + 1), 0)</f>
        <v>0</v>
      </c>
      <c r="BC136">
        <f>IF(ISNUMBER(SEARCH(SUBSTITUTE(BC$1,RIGHT(BC$1,2),""),VLOOKUP($D136,素材!$1:$1016,COLUMN($F$1),FALSE))),VLOOKUP($C136,武器!$1:$998,COLUMN($O$1),FALSE)*VLOOKUP($D136,素材!$1:$1016,COLUMN($E$1),FALSE)/(LEN(VLOOKUP($D136,素材!$1:$1016,COLUMN($F$1),FALSE)) - LEN(SUBSTITUTE(VLOOKUP($D136,素材!$1:$1016,COLUMN($F$1),FALSE), "・", 0)) + 1), 0)</f>
        <v>3</v>
      </c>
      <c r="BD136">
        <f>IF(ISNUMBER(SEARCH(SUBSTITUTE(BD$1,RIGHT(BD$1,2),""),VLOOKUP($D136,素材!$1:$1016,COLUMN($F$1),FALSE))),VLOOKUP($C136,武器!$1:$998,COLUMN($O$1),FALSE)*VLOOKUP($D136,素材!$1:$1016,COLUMN($E$1),FALSE)/(LEN(VLOOKUP($D136,素材!$1:$1016,COLUMN($F$1),FALSE)) - LEN(SUBSTITUTE(VLOOKUP($D136,素材!$1:$1016,COLUMN($F$1),FALSE), "・", 0)) + 1), 0)</f>
        <v>0</v>
      </c>
      <c r="BE136">
        <f>IF(ISNUMBER(SEARCH(SUBSTITUTE(BE$1,RIGHT(BE$1,2),""),VLOOKUP($D136,素材!$1:$1016,COLUMN($F$1),FALSE))),VLOOKUP($C136,武器!$1:$998,COLUMN($O$1),FALSE)*VLOOKUP($D136,素材!$1:$1016,COLUMN($E$1),FALSE)/(LEN(VLOOKUP($D136,素材!$1:$1016,COLUMN($F$1),FALSE)) - LEN(SUBSTITUTE(VLOOKUP($D136,素材!$1:$1016,COLUMN($F$1),FALSE), "・", 0)) + 1), 0)</f>
        <v>0</v>
      </c>
      <c r="CL136">
        <f>SUM(G136:I136)</f>
        <v>0</v>
      </c>
      <c r="CM136" s="22" t="str">
        <f>IF(E136="武器",IF(J136-1&gt;SUM(G136:I136),"盾",IF(MAX(G136:I136)=G136,"切断",IF(MAX(G136:I136)=H136,"貫通",IF(MAX(G136:I136)=I136,"打撃","射撃")))),E136)&amp;".webp"</f>
        <v>体.webp</v>
      </c>
      <c r="CN136">
        <f>IFERROR(VLOOKUP($C136,武器!$1:$998,COLUMN(V$1),FALSE)*VLOOKUP($D136,素材!$1:$1016,COLUMN(N$1),FALSE)+IF(CI136="",0,VLOOKUP($CI136,装強!$1:$1008,COLUMN($CK$1),FALSE)),"")</f>
        <v>3000</v>
      </c>
      <c r="CO136" t="str">
        <f>VLOOKUP(D136,素材!$A:$O,COLUMN(素材!O$1),FALSE)</f>
        <v>魔力を帯びた特殊な皮素材。魔法防御や属性耐性を強化する効果があり、高レベルの冒険者に重宝されます。</v>
      </c>
      <c r="CP136" t="str">
        <f>VLOOKUP(C136,武器!$A:$W,COLUMN(武器!W$1),FALSE)</f>
        <v>HP 物理 魔法 体幹 出血 疲労 Cr</v>
      </c>
      <c r="CR136" t="str">
        <f t="shared" si="5"/>
        <v>e_136</v>
      </c>
      <c r="CS136">
        <f t="shared" si="6"/>
        <v>300000</v>
      </c>
    </row>
    <row r="137" spans="1:97" outlineLevel="1" x14ac:dyDescent="0.4">
      <c r="A137" t="str">
        <f t="shared" si="7"/>
        <v>魔獣皮の鎧</v>
      </c>
      <c r="B137" t="str">
        <f>IFERROR(VLOOKUP($D137,素材!$1:$1016,COLUMN($B$1),FALSE)&amp;"・"&amp;VLOOKUP($C137,武器!$1:$998,COLUMN(B$1),FALSE),"")</f>
        <v>マジックレザー・アーマー</v>
      </c>
      <c r="C137" t="s">
        <v>208</v>
      </c>
      <c r="D137" s="24" t="s">
        <v>202</v>
      </c>
      <c r="E137" t="str">
        <f>IFERROR(VLOOKUP(C137,武器!$1:$998,COLUMN(C$1),FALSE),"")</f>
        <v>体</v>
      </c>
      <c r="F137">
        <f>IFERROR(ROUNDDOWN((VLOOKUP($C137,武器!$1:$998,COLUMN(D$1),FALSE)+IFERROR(VLOOKUP($CI137,装強!$1:$999,COLUMN(F$1),FALSE),0))*VLOOKUP($D137,素材!$1:$1016,COLUMN(D$1),FALSE),0),"")</f>
        <v>0</v>
      </c>
      <c r="G137">
        <f>IFERROR(ROUNDDOWN((VLOOKUP($C137,武器!$1:$998,COLUMN(E$1),FALSE)+IFERROR(VLOOKUP($CI137,装強!$1:$999,COLUMN(G$1),FALSE),0))*VLOOKUP($D137,素材!$1:$1016,COLUMN($E$1),FALSE),0),"")</f>
        <v>0</v>
      </c>
      <c r="H137">
        <f>IFERROR(ROUNDDOWN((VLOOKUP($C137,武器!$1:$998,COLUMN(F$1),FALSE)+IFERROR(VLOOKUP($CI137,装強!$1:$999,COLUMN(H$1),FALSE),0))*VLOOKUP($D137,素材!$1:$1016,COLUMN($E$1),FALSE),0),"")</f>
        <v>0</v>
      </c>
      <c r="I137">
        <f>IFERROR(ROUNDDOWN((VLOOKUP($C137,武器!$1:$998,COLUMN(G$1),FALSE)+IFERROR(VLOOKUP($CI137,装強!$1:$999,COLUMN(I$1),FALSE),0))*VLOOKUP($D137,素材!$1:$1016,COLUMN($E$1),FALSE),0),"")</f>
        <v>0</v>
      </c>
      <c r="J137">
        <f>IFERROR(ROUNDDOWN((VLOOKUP($C137,武器!$1:$998,COLUMN(H$1),FALSE)+IFERROR(VLOOKUP($CI137,装強!$1:$999,COLUMN(J$1),FALSE),0))*VLOOKUP($D137,素材!$1:$1016,COLUMN($E$1),FALSE),0),"")</f>
        <v>0</v>
      </c>
      <c r="K137">
        <f>IFERROR(ROUNDDOWN((VLOOKUP($C137,武器!$1:$998,COLUMN(I$1),FALSE)+IFERROR(VLOOKUP($CI137,装強!$1:$999,COLUMN(K$1),FALSE),0))*VLOOKUP($D137,素材!$1:$1016,COLUMN($E$1),FALSE),0),"")</f>
        <v>0</v>
      </c>
      <c r="L137" t="str">
        <f>IFERROR(VLOOKUP($D137,素材!$1:$1016,COLUMN($F$1),FALSE),"")</f>
        <v>魔法</v>
      </c>
      <c r="M137" t="str">
        <f>IFERROR(VLOOKUP($C137,武器!$1:$998,COLUMN(AA$1),FALSE)*VLOOKUP($D137,素材!$1:$1016,COLUMN($G$1),FALSE),"")</f>
        <v/>
      </c>
      <c r="N137">
        <f>IFERROR(VLOOKUP($C137,武器!$1:$998,COLUMN(I$1),FALSE),"")</f>
        <v>0</v>
      </c>
      <c r="O137" s="23" t="str">
        <f>IFERROR((VLOOKUP($C137,武器!$1:$998,COLUMN(K$1),FALSE)+VLOOKUP($D137,素材!$1:$1016,COLUMN(H$1),FALSE))*100+IFERROR(VLOOKUP($CI137,装強!$1:$999,COLUMN(O$1),FALSE),0),"")</f>
        <v/>
      </c>
      <c r="P137" s="23" t="str">
        <f>IFERROR((VLOOKUP($C137,武器!$1:$998,COLUMN(L$1),FALSE)+VLOOKUP($D137,素材!$1:$1016,COLUMN(I$1),FALSE))*100+IFERROR(VLOOKUP($CI137,装強!$1:$999,COLUMN(P$1),FALSE),0),"")</f>
        <v/>
      </c>
      <c r="Q137">
        <f>IFERROR(ROUNDUP(VLOOKUP($C137,武器!$1:$998,COLUMN(M$1),FALSE)*(VLOOKUP($D137,素材!$1:$1002,COLUMN(D$1),FALSE)/100),1),"")</f>
        <v>-11.299999999999999</v>
      </c>
      <c r="R137">
        <f>IFERROR(ROUNDUP(VLOOKUP($C137,武器!$1:$998,COLUMN(N$1),FALSE)*(VLOOKUP($D137,素材!$1:$1002,COLUMN(D$1),FALSE)/100),1),"")</f>
        <v>0</v>
      </c>
      <c r="S137">
        <f>IFERROR(VLOOKUP($C137,武器!$1:$998,COLUMN(P$1),FALSE),"")</f>
        <v>0</v>
      </c>
      <c r="T137">
        <f>IFERROR(VLOOKUP($C137,武器!$1:$998,COLUMN(Q$1),FALSE),"")</f>
        <v>0</v>
      </c>
      <c r="U137">
        <f>IFERROR(VLOOKUP($C137,武器!$1:$998,COLUMN(R$1),FALSE),"")</f>
        <v>0</v>
      </c>
      <c r="V137">
        <f>IFERROR(VLOOKUP($C137,武器!$1:$998,COLUMN(Q$1),FALSE),"")</f>
        <v>0</v>
      </c>
      <c r="W137">
        <f>IFERROR(VLOOKUP($C137,武器!$1:$998,COLUMN(T$1),FALSE),"")</f>
        <v>0</v>
      </c>
      <c r="Y137">
        <f>IFERROR(VLOOKUP($C137,武器!$1:$998,COLUMN(U$1),FALSE),"")</f>
        <v>0</v>
      </c>
      <c r="Z137">
        <f>IFERROR(ROUNDUP(VLOOKUP($C137,武器!$1:$998,COLUMN(O$1),FALSE)*VLOOKUP($D137,素材!$1:$1016,COLUMN(E$1),FALSE),1),"")</f>
        <v>10.5</v>
      </c>
      <c r="AA137">
        <f>IF(ISNUMBER(SEARCH(SUBSTITUTE(AA$1,RIGHT(AA$1,2),""),VLOOKUP($D137,素材!$1:$1016,COLUMN($F$1),FALSE))),VLOOKUP($C137,武器!$1:$998,COLUMN($O$1),FALSE)*VLOOKUP($D137,素材!$1:$1016,COLUMN($E$1),FALSE)/(LEN(VLOOKUP($D137,素材!$1:$1016,COLUMN($F$1),FALSE)) - LEN(SUBSTITUTE(VLOOKUP($D137,素材!$1:$1016,COLUMN($F$1),FALSE), "・", 0)) + 1), 0)</f>
        <v>10.5</v>
      </c>
      <c r="AB137">
        <f>IF(ISNUMBER(SEARCH(SUBSTITUTE(AB$1,RIGHT(AB$1,2),""),VLOOKUP($D137,素材!$1:$1016,COLUMN($F$1),FALSE))),VLOOKUP($C137,武器!$1:$998,COLUMN($O$1),FALSE)*VLOOKUP($D137,素材!$1:$1016,COLUMN($E$1),FALSE)/(LEN(VLOOKUP($D137,素材!$1:$1016,COLUMN($F$1),FALSE)) - LEN(SUBSTITUTE(VLOOKUP($D137,素材!$1:$1016,COLUMN($F$1),FALSE), "・", 0)) + 1), 0)</f>
        <v>0</v>
      </c>
      <c r="AC137">
        <f>IF(ISNUMBER(SEARCH(SUBSTITUTE(AC$1,RIGHT(AC$1,2),""),VLOOKUP($D137,素材!$1:$1016,COLUMN($F$1),FALSE))),VLOOKUP($C137,武器!$1:$998,COLUMN($O$1),FALSE)*VLOOKUP($D137,素材!$1:$1016,COLUMN($E$1),FALSE)/(LEN(VLOOKUP($D137,素材!$1:$1016,COLUMN($F$1),FALSE)) - LEN(SUBSTITUTE(VLOOKUP($D137,素材!$1:$1016,COLUMN($F$1),FALSE), "・", 0)) + 1), 0)</f>
        <v>0</v>
      </c>
      <c r="AD137">
        <f>IF(ISNUMBER(SEARCH(SUBSTITUTE(AD$1,RIGHT(AD$1,2),""),VLOOKUP($D137,素材!$1:$1016,COLUMN($F$1),FALSE))),VLOOKUP($C137,武器!$1:$998,COLUMN($O$1),FALSE)*VLOOKUP($D137,素材!$1:$1016,COLUMN($E$1),FALSE)/(LEN(VLOOKUP($D137,素材!$1:$1016,COLUMN($F$1),FALSE)) - LEN(SUBSTITUTE(VLOOKUP($D137,素材!$1:$1016,COLUMN($F$1),FALSE), "・", 0)) + 1), 0)</f>
        <v>0</v>
      </c>
      <c r="AE137">
        <f>IF(ISNUMBER(SEARCH(SUBSTITUTE(AE$1,RIGHT(AE$1,2),""),VLOOKUP($D137,素材!$1:$1016,COLUMN($F$1),FALSE))),VLOOKUP($C137,武器!$1:$998,COLUMN($O$1),FALSE)*VLOOKUP($D137,素材!$1:$1016,COLUMN($E$1),FALSE)/(LEN(VLOOKUP($D137,素材!$1:$1016,COLUMN($F$1),FALSE)) - LEN(SUBSTITUTE(VLOOKUP($D137,素材!$1:$1016,COLUMN($F$1),FALSE), "・", 0)) + 1), 0)</f>
        <v>0</v>
      </c>
      <c r="AF137">
        <f>IF(ISNUMBER(SEARCH(SUBSTITUTE(AF$1,RIGHT(AF$1,2),""),VLOOKUP($D137,素材!$1:$1016,COLUMN($F$1),FALSE))),VLOOKUP($C137,武器!$1:$998,COLUMN($O$1),FALSE)*VLOOKUP($D137,素材!$1:$1016,COLUMN($E$1),FALSE)/(LEN(VLOOKUP($D137,素材!$1:$1016,COLUMN($F$1),FALSE)) - LEN(SUBSTITUTE(VLOOKUP($D137,素材!$1:$1016,COLUMN($F$1),FALSE), "・", 0)) + 1), 0)</f>
        <v>0</v>
      </c>
      <c r="AG137">
        <f>IF(ISNUMBER(SEARCH(SUBSTITUTE(AG$1,RIGHT(AG$1,2),""),VLOOKUP($D137,素材!$1:$1016,COLUMN($F$1),FALSE))),VLOOKUP($C137,武器!$1:$998,COLUMN($O$1),FALSE)*VLOOKUP($D137,素材!$1:$1016,COLUMN($E$1),FALSE)/(LEN(VLOOKUP($D137,素材!$1:$1016,COLUMN($F$1),FALSE)) - LEN(SUBSTITUTE(VLOOKUP($D137,素材!$1:$1016,COLUMN($F$1),FALSE), "・", 0)) + 1), 0)</f>
        <v>0</v>
      </c>
      <c r="AH137">
        <f>IF(ISNUMBER(SEARCH(SUBSTITUTE(AH$1,RIGHT(AH$1,2),""),VLOOKUP($D137,素材!$1:$1016,COLUMN($F$1),FALSE))),VLOOKUP($C137,武器!$1:$998,COLUMN($O$1),FALSE)*VLOOKUP($D137,素材!$1:$1016,COLUMN($E$1),FALSE)/(LEN(VLOOKUP($D137,素材!$1:$1016,COLUMN($F$1),FALSE)) - LEN(SUBSTITUTE(VLOOKUP($D137,素材!$1:$1016,COLUMN($F$1),FALSE), "・", 0)) + 1), 0)</f>
        <v>0</v>
      </c>
      <c r="AI137">
        <f>IF(ISNUMBER(SEARCH(SUBSTITUTE(AI$1,RIGHT(AI$1,2),""),VLOOKUP($D137,素材!$1:$1016,COLUMN($F$1),FALSE))),VLOOKUP($C137,武器!$1:$998,COLUMN($O$1),FALSE)*VLOOKUP($D137,素材!$1:$1016,COLUMN($E$1),FALSE)/(LEN(VLOOKUP($D137,素材!$1:$1016,COLUMN($F$1),FALSE)) - LEN(SUBSTITUTE(VLOOKUP($D137,素材!$1:$1016,COLUMN($F$1),FALSE), "・", 0)) + 1), 0)</f>
        <v>0</v>
      </c>
      <c r="AJ137">
        <f>IF(ISNUMBER(SEARCH(SUBSTITUTE(AJ$1,RIGHT(AJ$1,2),""),VLOOKUP($D137,素材!$1:$1016,COLUMN($F$1),FALSE))),VLOOKUP($C137,武器!$1:$998,COLUMN($O$1),FALSE)*VLOOKUP($D137,素材!$1:$1016,COLUMN($E$1),FALSE)/(LEN(VLOOKUP($D137,素材!$1:$1016,COLUMN($F$1),FALSE)) - LEN(SUBSTITUTE(VLOOKUP($D137,素材!$1:$1016,COLUMN($F$1),FALSE), "・", 0)) + 1), 0)</f>
        <v>0</v>
      </c>
      <c r="AK137">
        <f>IF(ISNUMBER(SEARCH(SUBSTITUTE(AK$1,RIGHT(AK$1,2),""),VLOOKUP($D137,素材!$1:$1016,COLUMN($F$1),FALSE))),VLOOKUP($C137,武器!$1:$998,COLUMN($O$1),FALSE)*VLOOKUP($D137,素材!$1:$1016,COLUMN($E$1),FALSE)/(LEN(VLOOKUP($D137,素材!$1:$1016,COLUMN($F$1),FALSE)) - LEN(SUBSTITUTE(VLOOKUP($D137,素材!$1:$1016,COLUMN($F$1),FALSE), "・", 0)) + 1), 0)</f>
        <v>0</v>
      </c>
      <c r="AL137">
        <f>IF(ISNUMBER(SEARCH(SUBSTITUTE(AL$1,RIGHT(AL$1,2),""),VLOOKUP($D137,素材!$1:$1016,COLUMN($F$1),FALSE))),VLOOKUP($C137,武器!$1:$998,COLUMN($O$1),FALSE)*VLOOKUP($D137,素材!$1:$1016,COLUMN($E$1),FALSE)/(LEN(VLOOKUP($D137,素材!$1:$1016,COLUMN($F$1),FALSE)) - LEN(SUBSTITUTE(VLOOKUP($D137,素材!$1:$1016,COLUMN($F$1),FALSE), "・", 0)) + 1), 0)</f>
        <v>0</v>
      </c>
      <c r="AM137">
        <f>IF(ISNUMBER(SEARCH(SUBSTITUTE(AM$1,RIGHT(AM$1,2),""),VLOOKUP($D137,素材!$1:$1016,COLUMN($F$1),FALSE))),VLOOKUP($C137,武器!$1:$998,COLUMN($O$1),FALSE)*VLOOKUP($D137,素材!$1:$1016,COLUMN($E$1),FALSE)/(LEN(VLOOKUP($D137,素材!$1:$1016,COLUMN($F$1),FALSE)) - LEN(SUBSTITUTE(VLOOKUP($D137,素材!$1:$1016,COLUMN($F$1),FALSE), "・", 0)) + 1), 0)</f>
        <v>0</v>
      </c>
      <c r="AN137">
        <f>IF(ISNUMBER(SEARCH(SUBSTITUTE(AN$1,RIGHT(AN$1,2),""),VLOOKUP($D137,素材!$1:$1016,COLUMN($F$1),FALSE))),VLOOKUP($C137,武器!$1:$998,COLUMN($O$1),FALSE)*VLOOKUP($D137,素材!$1:$1016,COLUMN($E$1),FALSE)/(LEN(VLOOKUP($D137,素材!$1:$1016,COLUMN($F$1),FALSE)) - LEN(SUBSTITUTE(VLOOKUP($D137,素材!$1:$1016,COLUMN($F$1),FALSE), "・", 0)) + 1), 0)</f>
        <v>0</v>
      </c>
      <c r="AO137">
        <f>IF(ISNUMBER(SEARCH(SUBSTITUTE(AO$1,RIGHT(AO$1,2),""),VLOOKUP($D137,素材!$1:$1016,COLUMN($F$1),FALSE))),VLOOKUP($C137,武器!$1:$998,COLUMN($O$1),FALSE)*VLOOKUP($D137,素材!$1:$1016,COLUMN($E$1),FALSE)/(LEN(VLOOKUP($D137,素材!$1:$1016,COLUMN($F$1),FALSE)) - LEN(SUBSTITUTE(VLOOKUP($D137,素材!$1:$1016,COLUMN($F$1),FALSE), "・", 0)) + 1), 0)</f>
        <v>0</v>
      </c>
      <c r="AP137">
        <f>IF(ISNUMBER(SEARCH(SUBSTITUTE(AP$1,RIGHT(AP$1,2),""),VLOOKUP($D137,素材!$1:$1016,COLUMN($F$1),FALSE))),VLOOKUP($C137,武器!$1:$998,COLUMN($O$1),FALSE)*VLOOKUP($D137,素材!$1:$1016,COLUMN($E$1),FALSE)/(LEN(VLOOKUP($D137,素材!$1:$1016,COLUMN($F$1),FALSE)) - LEN(SUBSTITUTE(VLOOKUP($D137,素材!$1:$1016,COLUMN($F$1),FALSE), "・", 0)) + 1), 0)</f>
        <v>0</v>
      </c>
      <c r="AQ137">
        <f>IF(ISNUMBER(SEARCH(SUBSTITUTE(AQ$1,RIGHT(AQ$1,2),""),VLOOKUP($D137,素材!$1:$1016,COLUMN($F$1),FALSE))),VLOOKUP($C137,武器!$1:$998,COLUMN($O$1),FALSE)*VLOOKUP($D137,素材!$1:$1016,COLUMN($E$1),FALSE)/(LEN(VLOOKUP($D137,素材!$1:$1016,COLUMN($F$1),FALSE)) - LEN(SUBSTITUTE(VLOOKUP($D137,素材!$1:$1016,COLUMN($F$1),FALSE), "・", 0)) + 1), 0)</f>
        <v>0</v>
      </c>
      <c r="AR137">
        <f>IF(ISNUMBER(SEARCH(SUBSTITUTE(AR$1,RIGHT(AR$1,2),""),VLOOKUP($D137,素材!$1:$1016,COLUMN($F$1),FALSE))),VLOOKUP($C137,武器!$1:$998,COLUMN($O$1),FALSE)*VLOOKUP($D137,素材!$1:$1016,COLUMN($E$1),FALSE)/(LEN(VLOOKUP($D137,素材!$1:$1016,COLUMN($F$1),FALSE)) - LEN(SUBSTITUTE(VLOOKUP($D137,素材!$1:$1016,COLUMN($F$1),FALSE), "・", 0)) + 1), 0)</f>
        <v>0</v>
      </c>
      <c r="AS137">
        <f>IF(ISNUMBER(SEARCH(SUBSTITUTE(AS$1,RIGHT(AS$1,2),""),VLOOKUP($D137,素材!$1:$1016,COLUMN($F$1),FALSE))),VLOOKUP($C137,武器!$1:$998,COLUMN($O$1),FALSE)*VLOOKUP($D137,素材!$1:$1016,COLUMN($E$1),FALSE)/(LEN(VLOOKUP($D137,素材!$1:$1016,COLUMN($F$1),FALSE)) - LEN(SUBSTITUTE(VLOOKUP($D137,素材!$1:$1016,COLUMN($F$1),FALSE), "・", 0)) + 1), 0)</f>
        <v>0</v>
      </c>
      <c r="AT137">
        <f>IF(ISNUMBER(SEARCH(SUBSTITUTE(AT$1,RIGHT(AT$1,2),""),VLOOKUP($D137,素材!$1:$1016,COLUMN($F$1),FALSE))),VLOOKUP($C137,武器!$1:$998,COLUMN($O$1),FALSE)*VLOOKUP($D137,素材!$1:$1016,COLUMN($E$1),FALSE)/(LEN(VLOOKUP($D137,素材!$1:$1016,COLUMN($F$1),FALSE)) - LEN(SUBSTITUTE(VLOOKUP($D137,素材!$1:$1016,COLUMN($F$1),FALSE), "・", 0)) + 1), 0)</f>
        <v>0</v>
      </c>
      <c r="AU137">
        <f>IF(ISNUMBER(SEARCH(SUBSTITUTE(AU$1,RIGHT(AU$1,2),""),VLOOKUP($D137,素材!$1:$1016,COLUMN($F$1),FALSE))),VLOOKUP($C137,武器!$1:$998,COLUMN($O$1),FALSE)*VLOOKUP($D137,素材!$1:$1016,COLUMN($E$1),FALSE)/(LEN(VLOOKUP($D137,素材!$1:$1016,COLUMN($F$1),FALSE)) - LEN(SUBSTITUTE(VLOOKUP($D137,素材!$1:$1016,COLUMN($F$1),FALSE), "・", 0)) + 1), 0)</f>
        <v>0</v>
      </c>
      <c r="AV137">
        <f>IF(ISNUMBER(SEARCH(SUBSTITUTE(AV$1,RIGHT(AV$1,2),""),VLOOKUP($D137,素材!$1:$1016,COLUMN($F$1),FALSE))),VLOOKUP($C137,武器!$1:$998,COLUMN($O$1),FALSE)*VLOOKUP($D137,素材!$1:$1016,COLUMN($E$1),FALSE)/(LEN(VLOOKUP($D137,素材!$1:$1016,COLUMN($F$1),FALSE)) - LEN(SUBSTITUTE(VLOOKUP($D137,素材!$1:$1016,COLUMN($F$1),FALSE), "・", 0)) + 1), 0)</f>
        <v>0</v>
      </c>
      <c r="AW137">
        <f>IF(ISNUMBER(SEARCH(SUBSTITUTE(AW$1,RIGHT(AW$1,2),""),VLOOKUP($D137,素材!$1:$1016,COLUMN($F$1),FALSE))),VLOOKUP($C137,武器!$1:$998,COLUMN($O$1),FALSE)*VLOOKUP($D137,素材!$1:$1016,COLUMN($E$1),FALSE)/(LEN(VLOOKUP($D137,素材!$1:$1016,COLUMN($F$1),FALSE)) - LEN(SUBSTITUTE(VLOOKUP($D137,素材!$1:$1016,COLUMN($F$1),FALSE), "・", 0)) + 1), 0)</f>
        <v>0</v>
      </c>
      <c r="AX137">
        <f>IF(ISNUMBER(SEARCH(SUBSTITUTE(AX$1,RIGHT(AX$1,2),""),VLOOKUP($D137,素材!$1:$1016,COLUMN($F$1),FALSE))),VLOOKUP($C137,武器!$1:$998,COLUMN($O$1),FALSE)*VLOOKUP($D137,素材!$1:$1016,COLUMN($E$1),FALSE)/(LEN(VLOOKUP($D137,素材!$1:$1016,COLUMN($F$1),FALSE)) - LEN(SUBSTITUTE(VLOOKUP($D137,素材!$1:$1016,COLUMN($F$1),FALSE), "・", 0)) + 1), 0)</f>
        <v>0</v>
      </c>
      <c r="AY137">
        <f>IF(ISNUMBER(SEARCH(SUBSTITUTE(AY$1,RIGHT(AY$1,2),""),VLOOKUP($D137,素材!$1:$1016,COLUMN($F$1),FALSE))),VLOOKUP($C137,武器!$1:$998,COLUMN($O$1),FALSE)*VLOOKUP($D137,素材!$1:$1016,COLUMN($E$1),FALSE)/(LEN(VLOOKUP($D137,素材!$1:$1016,COLUMN($F$1),FALSE)) - LEN(SUBSTITUTE(VLOOKUP($D137,素材!$1:$1016,COLUMN($F$1),FALSE), "・", 0)) + 1), 0)</f>
        <v>0</v>
      </c>
      <c r="AZ137">
        <f>IF(ISNUMBER(SEARCH(SUBSTITUTE(AZ$1,RIGHT(AZ$1,2),""),VLOOKUP($D137,素材!$1:$1016,COLUMN($F$1),FALSE))),VLOOKUP($C137,武器!$1:$998,COLUMN($O$1),FALSE)*VLOOKUP($D137,素材!$1:$1016,COLUMN($E$1),FALSE)/(LEN(VLOOKUP($D137,素材!$1:$1016,COLUMN($F$1),FALSE)) - LEN(SUBSTITUTE(VLOOKUP($D137,素材!$1:$1016,COLUMN($F$1),FALSE), "・", 0)) + 1), 0)</f>
        <v>0</v>
      </c>
      <c r="BA137">
        <f>IF(ISNUMBER(SEARCH(SUBSTITUTE(BA$1,RIGHT(BA$1,2),""),VLOOKUP($D137,素材!$1:$1016,COLUMN($F$1),FALSE))),VLOOKUP($C137,武器!$1:$998,COLUMN($O$1),FALSE)*VLOOKUP($D137,素材!$1:$1016,COLUMN($E$1),FALSE)/(LEN(VLOOKUP($D137,素材!$1:$1016,COLUMN($F$1),FALSE)) - LEN(SUBSTITUTE(VLOOKUP($D137,素材!$1:$1016,COLUMN($F$1),FALSE), "・", 0)) + 1), 0)</f>
        <v>0</v>
      </c>
      <c r="BB137">
        <f>IF(ISNUMBER(SEARCH(SUBSTITUTE(BB$1,RIGHT(BB$1,2),""),VLOOKUP($D137,素材!$1:$1016,COLUMN($F$1),FALSE))),VLOOKUP($C137,武器!$1:$998,COLUMN($O$1),FALSE)*VLOOKUP($D137,素材!$1:$1016,COLUMN($E$1),FALSE)/(LEN(VLOOKUP($D137,素材!$1:$1016,COLUMN($F$1),FALSE)) - LEN(SUBSTITUTE(VLOOKUP($D137,素材!$1:$1016,COLUMN($F$1),FALSE), "・", 0)) + 1), 0)</f>
        <v>0</v>
      </c>
      <c r="BC137">
        <f>IF(ISNUMBER(SEARCH(SUBSTITUTE(BC$1,RIGHT(BC$1,2),""),VLOOKUP($D137,素材!$1:$1016,COLUMN($F$1),FALSE))),VLOOKUP($C137,武器!$1:$998,COLUMN($O$1),FALSE)*VLOOKUP($D137,素材!$1:$1016,COLUMN($E$1),FALSE)/(LEN(VLOOKUP($D137,素材!$1:$1016,COLUMN($F$1),FALSE)) - LEN(SUBSTITUTE(VLOOKUP($D137,素材!$1:$1016,COLUMN($F$1),FALSE), "・", 0)) + 1), 0)</f>
        <v>10.5</v>
      </c>
      <c r="BD137">
        <f>IF(ISNUMBER(SEARCH(SUBSTITUTE(BD$1,RIGHT(BD$1,2),""),VLOOKUP($D137,素材!$1:$1016,COLUMN($F$1),FALSE))),VLOOKUP($C137,武器!$1:$998,COLUMN($O$1),FALSE)*VLOOKUP($D137,素材!$1:$1016,COLUMN($E$1),FALSE)/(LEN(VLOOKUP($D137,素材!$1:$1016,COLUMN($F$1),FALSE)) - LEN(SUBSTITUTE(VLOOKUP($D137,素材!$1:$1016,COLUMN($F$1),FALSE), "・", 0)) + 1), 0)</f>
        <v>0</v>
      </c>
      <c r="BE137">
        <f>IF(ISNUMBER(SEARCH(SUBSTITUTE(BE$1,RIGHT(BE$1,2),""),VLOOKUP($D137,素材!$1:$1016,COLUMN($F$1),FALSE))),VLOOKUP($C137,武器!$1:$998,COLUMN($O$1),FALSE)*VLOOKUP($D137,素材!$1:$1016,COLUMN($E$1),FALSE)/(LEN(VLOOKUP($D137,素材!$1:$1016,COLUMN($F$1),FALSE)) - LEN(SUBSTITUTE(VLOOKUP($D137,素材!$1:$1016,COLUMN($F$1),FALSE), "・", 0)) + 1), 0)</f>
        <v>0</v>
      </c>
      <c r="CL137">
        <f>SUM(G137:I137)</f>
        <v>0</v>
      </c>
      <c r="CM137" s="22" t="str">
        <f>IF(E137="武器",IF(J137-1&gt;SUM(G137:I137),"盾",IF(MAX(G137:I137)=G137,"切断",IF(MAX(G137:I137)=H137,"貫通",IF(MAX(G137:I137)=I137,"打撃","射撃")))),E137)&amp;".webp"</f>
        <v>体.webp</v>
      </c>
      <c r="CN137">
        <f>IFERROR(VLOOKUP($C137,武器!$1:$998,COLUMN(V$1),FALSE)*VLOOKUP($D137,素材!$1:$1016,COLUMN(N$1),FALSE)+IF(CI137="",0,VLOOKUP($CI137,装強!$1:$1008,COLUMN($CK$1),FALSE)),"")</f>
        <v>4500</v>
      </c>
      <c r="CO137" t="str">
        <f>VLOOKUP(D137,素材!$A:$O,COLUMN(素材!O$1),FALSE)</f>
        <v>魔力を帯びた特殊な皮素材。魔法防御や属性耐性を強化する効果があり、高レベルの冒険者に重宝されます。</v>
      </c>
      <c r="CP137" t="str">
        <f>VLOOKUP(C137,武器!$A:$W,COLUMN(武器!W$1),FALSE)</f>
        <v>HP 物理 魔法 体幹 出血 疲労 Cr</v>
      </c>
      <c r="CR137" t="str">
        <f t="shared" si="5"/>
        <v>e_137</v>
      </c>
      <c r="CS137">
        <f t="shared" si="6"/>
        <v>450000</v>
      </c>
    </row>
    <row r="138" spans="1:97" outlineLevel="1" x14ac:dyDescent="0.4">
      <c r="A138" t="str">
        <f t="shared" ref="A138:A154" si="17">D138&amp;"の"&amp;C138</f>
        <v>魔獣皮の胴衣</v>
      </c>
      <c r="B138" t="str">
        <f>IFERROR(VLOOKUP($D138,素材!$1:$1016,COLUMN($B$1),FALSE)&amp;"・"&amp;VLOOKUP($C138,武器!$1:$998,COLUMN(B$1),FALSE),"")</f>
        <v>マジックレザー・ベスト</v>
      </c>
      <c r="C138" t="s">
        <v>207</v>
      </c>
      <c r="D138" s="24" t="s">
        <v>202</v>
      </c>
      <c r="E138" t="str">
        <f>IFERROR(VLOOKUP(C138,武器!$1:$998,COLUMN(C$1),FALSE),"")</f>
        <v>体</v>
      </c>
      <c r="F138">
        <f>IFERROR(ROUNDDOWN((VLOOKUP($C138,武器!$1:$998,COLUMN(D$1),FALSE)+IFERROR(VLOOKUP($CI138,装強!$1:$999,COLUMN(F$1),FALSE),0))*VLOOKUP($D138,素材!$1:$1016,COLUMN(D$1),FALSE),0),"")</f>
        <v>0</v>
      </c>
      <c r="G138">
        <f>IFERROR(ROUNDDOWN((VLOOKUP($C138,武器!$1:$998,COLUMN(E$1),FALSE)+IFERROR(VLOOKUP($CI138,装強!$1:$999,COLUMN(G$1),FALSE),0))*VLOOKUP($D138,素材!$1:$1016,COLUMN($E$1),FALSE),0),"")</f>
        <v>0</v>
      </c>
      <c r="H138">
        <f>IFERROR(ROUNDDOWN((VLOOKUP($C138,武器!$1:$998,COLUMN(F$1),FALSE)+IFERROR(VLOOKUP($CI138,装強!$1:$999,COLUMN(H$1),FALSE),0))*VLOOKUP($D138,素材!$1:$1016,COLUMN($E$1),FALSE),0),"")</f>
        <v>0</v>
      </c>
      <c r="I138">
        <f>IFERROR(ROUNDDOWN((VLOOKUP($C138,武器!$1:$998,COLUMN(G$1),FALSE)+IFERROR(VLOOKUP($CI138,装強!$1:$999,COLUMN(I$1),FALSE),0))*VLOOKUP($D138,素材!$1:$1016,COLUMN($E$1),FALSE),0),"")</f>
        <v>0</v>
      </c>
      <c r="J138">
        <f>IFERROR(ROUNDDOWN((VLOOKUP($C138,武器!$1:$998,COLUMN(H$1),FALSE)+IFERROR(VLOOKUP($CI138,装強!$1:$999,COLUMN(J$1),FALSE),0))*VLOOKUP($D138,素材!$1:$1016,COLUMN($E$1),FALSE),0),"")</f>
        <v>0</v>
      </c>
      <c r="K138">
        <f>IFERROR(ROUNDDOWN((VLOOKUP($C138,武器!$1:$998,COLUMN(I$1),FALSE)+IFERROR(VLOOKUP($CI138,装強!$1:$999,COLUMN(K$1),FALSE),0))*VLOOKUP($D138,素材!$1:$1016,COLUMN($E$1),FALSE),0),"")</f>
        <v>0</v>
      </c>
      <c r="L138" t="str">
        <f>IFERROR(VLOOKUP($D138,素材!$1:$1016,COLUMN($F$1),FALSE),"")</f>
        <v>魔法</v>
      </c>
      <c r="M138" t="str">
        <f>IFERROR(VLOOKUP($C138,武器!$1:$998,COLUMN(AA$1),FALSE)*VLOOKUP($D138,素材!$1:$1016,COLUMN($G$1),FALSE),"")</f>
        <v/>
      </c>
      <c r="N138">
        <f>IFERROR(VLOOKUP($C138,武器!$1:$998,COLUMN(I$1),FALSE),"")</f>
        <v>0</v>
      </c>
      <c r="O138" s="23" t="str">
        <f>IFERROR((VLOOKUP($C138,武器!$1:$998,COLUMN(K$1),FALSE)+VLOOKUP($D138,素材!$1:$1016,COLUMN(H$1),FALSE))*100+IFERROR(VLOOKUP($CI138,装強!$1:$999,COLUMN(O$1),FALSE),0),"")</f>
        <v/>
      </c>
      <c r="P138" s="23" t="str">
        <f>IFERROR((VLOOKUP($C138,武器!$1:$998,COLUMN(L$1),FALSE)+VLOOKUP($D138,素材!$1:$1016,COLUMN(I$1),FALSE))*100+IFERROR(VLOOKUP($CI138,装強!$1:$999,COLUMN(P$1),FALSE),0),"")</f>
        <v/>
      </c>
      <c r="Q138">
        <f>IFERROR(ROUNDUP(VLOOKUP($C138,武器!$1:$998,COLUMN(M$1),FALSE)*(VLOOKUP($D138,素材!$1:$1002,COLUMN(D$1),FALSE)/100),1),"")</f>
        <v>-5.6999999999999993</v>
      </c>
      <c r="R138">
        <f>IFERROR(ROUNDUP(VLOOKUP($C138,武器!$1:$998,COLUMN(N$1),FALSE)*(VLOOKUP($D138,素材!$1:$1002,COLUMN(D$1),FALSE)/100),1),"")</f>
        <v>0</v>
      </c>
      <c r="S138">
        <f>IFERROR(VLOOKUP($C138,武器!$1:$998,COLUMN(P$1),FALSE),"")</f>
        <v>0</v>
      </c>
      <c r="T138">
        <f>IFERROR(VLOOKUP($C138,武器!$1:$998,COLUMN(Q$1),FALSE),"")</f>
        <v>0</v>
      </c>
      <c r="U138">
        <f>IFERROR(VLOOKUP($C138,武器!$1:$998,COLUMN(R$1),FALSE),"")</f>
        <v>0</v>
      </c>
      <c r="V138">
        <f>IFERROR(VLOOKUP($C138,武器!$1:$998,COLUMN(Q$1),FALSE),"")</f>
        <v>0</v>
      </c>
      <c r="W138">
        <f>IFERROR(VLOOKUP($C138,武器!$1:$998,COLUMN(T$1),FALSE),"")</f>
        <v>0</v>
      </c>
      <c r="Y138">
        <f>IFERROR(VLOOKUP($C138,武器!$1:$998,COLUMN(U$1),FALSE),"")</f>
        <v>0</v>
      </c>
      <c r="Z138">
        <f>IFERROR(ROUNDUP(VLOOKUP($C138,武器!$1:$998,COLUMN(O$1),FALSE)*VLOOKUP($D138,素材!$1:$1016,COLUMN(E$1),FALSE),1),"")</f>
        <v>7.5</v>
      </c>
      <c r="AA138">
        <f>IF(ISNUMBER(SEARCH(SUBSTITUTE(AA$1,RIGHT(AA$1,2),""),VLOOKUP($D138,素材!$1:$1016,COLUMN($F$1),FALSE))),VLOOKUP($C138,武器!$1:$998,COLUMN($O$1),FALSE)*VLOOKUP($D138,素材!$1:$1016,COLUMN($E$1),FALSE)/(LEN(VLOOKUP($D138,素材!$1:$1016,COLUMN($F$1),FALSE)) - LEN(SUBSTITUTE(VLOOKUP($D138,素材!$1:$1016,COLUMN($F$1),FALSE), "・", 0)) + 1), 0)</f>
        <v>7.5</v>
      </c>
      <c r="AB138">
        <f>IF(ISNUMBER(SEARCH(SUBSTITUTE(AB$1,RIGHT(AB$1,2),""),VLOOKUP($D138,素材!$1:$1016,COLUMN($F$1),FALSE))),VLOOKUP($C138,武器!$1:$998,COLUMN($O$1),FALSE)*VLOOKUP($D138,素材!$1:$1016,COLUMN($E$1),FALSE)/(LEN(VLOOKUP($D138,素材!$1:$1016,COLUMN($F$1),FALSE)) - LEN(SUBSTITUTE(VLOOKUP($D138,素材!$1:$1016,COLUMN($F$1),FALSE), "・", 0)) + 1), 0)</f>
        <v>0</v>
      </c>
      <c r="AC138">
        <f>IF(ISNUMBER(SEARCH(SUBSTITUTE(AC$1,RIGHT(AC$1,2),""),VLOOKUP($D138,素材!$1:$1016,COLUMN($F$1),FALSE))),VLOOKUP($C138,武器!$1:$998,COLUMN($O$1),FALSE)*VLOOKUP($D138,素材!$1:$1016,COLUMN($E$1),FALSE)/(LEN(VLOOKUP($D138,素材!$1:$1016,COLUMN($F$1),FALSE)) - LEN(SUBSTITUTE(VLOOKUP($D138,素材!$1:$1016,COLUMN($F$1),FALSE), "・", 0)) + 1), 0)</f>
        <v>0</v>
      </c>
      <c r="AD138">
        <f>IF(ISNUMBER(SEARCH(SUBSTITUTE(AD$1,RIGHT(AD$1,2),""),VLOOKUP($D138,素材!$1:$1016,COLUMN($F$1),FALSE))),VLOOKUP($C138,武器!$1:$998,COLUMN($O$1),FALSE)*VLOOKUP($D138,素材!$1:$1016,COLUMN($E$1),FALSE)/(LEN(VLOOKUP($D138,素材!$1:$1016,COLUMN($F$1),FALSE)) - LEN(SUBSTITUTE(VLOOKUP($D138,素材!$1:$1016,COLUMN($F$1),FALSE), "・", 0)) + 1), 0)</f>
        <v>0</v>
      </c>
      <c r="AE138">
        <f>IF(ISNUMBER(SEARCH(SUBSTITUTE(AE$1,RIGHT(AE$1,2),""),VLOOKUP($D138,素材!$1:$1016,COLUMN($F$1),FALSE))),VLOOKUP($C138,武器!$1:$998,COLUMN($O$1),FALSE)*VLOOKUP($D138,素材!$1:$1016,COLUMN($E$1),FALSE)/(LEN(VLOOKUP($D138,素材!$1:$1016,COLUMN($F$1),FALSE)) - LEN(SUBSTITUTE(VLOOKUP($D138,素材!$1:$1016,COLUMN($F$1),FALSE), "・", 0)) + 1), 0)</f>
        <v>0</v>
      </c>
      <c r="AF138">
        <f>IF(ISNUMBER(SEARCH(SUBSTITUTE(AF$1,RIGHT(AF$1,2),""),VLOOKUP($D138,素材!$1:$1016,COLUMN($F$1),FALSE))),VLOOKUP($C138,武器!$1:$998,COLUMN($O$1),FALSE)*VLOOKUP($D138,素材!$1:$1016,COLUMN($E$1),FALSE)/(LEN(VLOOKUP($D138,素材!$1:$1016,COLUMN($F$1),FALSE)) - LEN(SUBSTITUTE(VLOOKUP($D138,素材!$1:$1016,COLUMN($F$1),FALSE), "・", 0)) + 1), 0)</f>
        <v>0</v>
      </c>
      <c r="AG138">
        <f>IF(ISNUMBER(SEARCH(SUBSTITUTE(AG$1,RIGHT(AG$1,2),""),VLOOKUP($D138,素材!$1:$1016,COLUMN($F$1),FALSE))),VLOOKUP($C138,武器!$1:$998,COLUMN($O$1),FALSE)*VLOOKUP($D138,素材!$1:$1016,COLUMN($E$1),FALSE)/(LEN(VLOOKUP($D138,素材!$1:$1016,COLUMN($F$1),FALSE)) - LEN(SUBSTITUTE(VLOOKUP($D138,素材!$1:$1016,COLUMN($F$1),FALSE), "・", 0)) + 1), 0)</f>
        <v>0</v>
      </c>
      <c r="AH138">
        <f>IF(ISNUMBER(SEARCH(SUBSTITUTE(AH$1,RIGHT(AH$1,2),""),VLOOKUP($D138,素材!$1:$1016,COLUMN($F$1),FALSE))),VLOOKUP($C138,武器!$1:$998,COLUMN($O$1),FALSE)*VLOOKUP($D138,素材!$1:$1016,COLUMN($E$1),FALSE)/(LEN(VLOOKUP($D138,素材!$1:$1016,COLUMN($F$1),FALSE)) - LEN(SUBSTITUTE(VLOOKUP($D138,素材!$1:$1016,COLUMN($F$1),FALSE), "・", 0)) + 1), 0)</f>
        <v>0</v>
      </c>
      <c r="AI138">
        <f>IF(ISNUMBER(SEARCH(SUBSTITUTE(AI$1,RIGHT(AI$1,2),""),VLOOKUP($D138,素材!$1:$1016,COLUMN($F$1),FALSE))),VLOOKUP($C138,武器!$1:$998,COLUMN($O$1),FALSE)*VLOOKUP($D138,素材!$1:$1016,COLUMN($E$1),FALSE)/(LEN(VLOOKUP($D138,素材!$1:$1016,COLUMN($F$1),FALSE)) - LEN(SUBSTITUTE(VLOOKUP($D138,素材!$1:$1016,COLUMN($F$1),FALSE), "・", 0)) + 1), 0)</f>
        <v>0</v>
      </c>
      <c r="AJ138">
        <f>IF(ISNUMBER(SEARCH(SUBSTITUTE(AJ$1,RIGHT(AJ$1,2),""),VLOOKUP($D138,素材!$1:$1016,COLUMN($F$1),FALSE))),VLOOKUP($C138,武器!$1:$998,COLUMN($O$1),FALSE)*VLOOKUP($D138,素材!$1:$1016,COLUMN($E$1),FALSE)/(LEN(VLOOKUP($D138,素材!$1:$1016,COLUMN($F$1),FALSE)) - LEN(SUBSTITUTE(VLOOKUP($D138,素材!$1:$1016,COLUMN($F$1),FALSE), "・", 0)) + 1), 0)</f>
        <v>0</v>
      </c>
      <c r="AK138">
        <f>IF(ISNUMBER(SEARCH(SUBSTITUTE(AK$1,RIGHT(AK$1,2),""),VLOOKUP($D138,素材!$1:$1016,COLUMN($F$1),FALSE))),VLOOKUP($C138,武器!$1:$998,COLUMN($O$1),FALSE)*VLOOKUP($D138,素材!$1:$1016,COLUMN($E$1),FALSE)/(LEN(VLOOKUP($D138,素材!$1:$1016,COLUMN($F$1),FALSE)) - LEN(SUBSTITUTE(VLOOKUP($D138,素材!$1:$1016,COLUMN($F$1),FALSE), "・", 0)) + 1), 0)</f>
        <v>0</v>
      </c>
      <c r="AL138">
        <f>IF(ISNUMBER(SEARCH(SUBSTITUTE(AL$1,RIGHT(AL$1,2),""),VLOOKUP($D138,素材!$1:$1016,COLUMN($F$1),FALSE))),VLOOKUP($C138,武器!$1:$998,COLUMN($O$1),FALSE)*VLOOKUP($D138,素材!$1:$1016,COLUMN($E$1),FALSE)/(LEN(VLOOKUP($D138,素材!$1:$1016,COLUMN($F$1),FALSE)) - LEN(SUBSTITUTE(VLOOKUP($D138,素材!$1:$1016,COLUMN($F$1),FALSE), "・", 0)) + 1), 0)</f>
        <v>0</v>
      </c>
      <c r="AM138">
        <f>IF(ISNUMBER(SEARCH(SUBSTITUTE(AM$1,RIGHT(AM$1,2),""),VLOOKUP($D138,素材!$1:$1016,COLUMN($F$1),FALSE))),VLOOKUP($C138,武器!$1:$998,COLUMN($O$1),FALSE)*VLOOKUP($D138,素材!$1:$1016,COLUMN($E$1),FALSE)/(LEN(VLOOKUP($D138,素材!$1:$1016,COLUMN($F$1),FALSE)) - LEN(SUBSTITUTE(VLOOKUP($D138,素材!$1:$1016,COLUMN($F$1),FALSE), "・", 0)) + 1), 0)</f>
        <v>0</v>
      </c>
      <c r="AN138">
        <f>IF(ISNUMBER(SEARCH(SUBSTITUTE(AN$1,RIGHT(AN$1,2),""),VLOOKUP($D138,素材!$1:$1016,COLUMN($F$1),FALSE))),VLOOKUP($C138,武器!$1:$998,COLUMN($O$1),FALSE)*VLOOKUP($D138,素材!$1:$1016,COLUMN($E$1),FALSE)/(LEN(VLOOKUP($D138,素材!$1:$1016,COLUMN($F$1),FALSE)) - LEN(SUBSTITUTE(VLOOKUP($D138,素材!$1:$1016,COLUMN($F$1),FALSE), "・", 0)) + 1), 0)</f>
        <v>0</v>
      </c>
      <c r="AO138">
        <f>IF(ISNUMBER(SEARCH(SUBSTITUTE(AO$1,RIGHT(AO$1,2),""),VLOOKUP($D138,素材!$1:$1016,COLUMN($F$1),FALSE))),VLOOKUP($C138,武器!$1:$998,COLUMN($O$1),FALSE)*VLOOKUP($D138,素材!$1:$1016,COLUMN($E$1),FALSE)/(LEN(VLOOKUP($D138,素材!$1:$1016,COLUMN($F$1),FALSE)) - LEN(SUBSTITUTE(VLOOKUP($D138,素材!$1:$1016,COLUMN($F$1),FALSE), "・", 0)) + 1), 0)</f>
        <v>0</v>
      </c>
      <c r="AP138">
        <f>IF(ISNUMBER(SEARCH(SUBSTITUTE(AP$1,RIGHT(AP$1,2),""),VLOOKUP($D138,素材!$1:$1016,COLUMN($F$1),FALSE))),VLOOKUP($C138,武器!$1:$998,COLUMN($O$1),FALSE)*VLOOKUP($D138,素材!$1:$1016,COLUMN($E$1),FALSE)/(LEN(VLOOKUP($D138,素材!$1:$1016,COLUMN($F$1),FALSE)) - LEN(SUBSTITUTE(VLOOKUP($D138,素材!$1:$1016,COLUMN($F$1),FALSE), "・", 0)) + 1), 0)</f>
        <v>0</v>
      </c>
      <c r="AQ138">
        <f>IF(ISNUMBER(SEARCH(SUBSTITUTE(AQ$1,RIGHT(AQ$1,2),""),VLOOKUP($D138,素材!$1:$1016,COLUMN($F$1),FALSE))),VLOOKUP($C138,武器!$1:$998,COLUMN($O$1),FALSE)*VLOOKUP($D138,素材!$1:$1016,COLUMN($E$1),FALSE)/(LEN(VLOOKUP($D138,素材!$1:$1016,COLUMN($F$1),FALSE)) - LEN(SUBSTITUTE(VLOOKUP($D138,素材!$1:$1016,COLUMN($F$1),FALSE), "・", 0)) + 1), 0)</f>
        <v>0</v>
      </c>
      <c r="AR138">
        <f>IF(ISNUMBER(SEARCH(SUBSTITUTE(AR$1,RIGHT(AR$1,2),""),VLOOKUP($D138,素材!$1:$1016,COLUMN($F$1),FALSE))),VLOOKUP($C138,武器!$1:$998,COLUMN($O$1),FALSE)*VLOOKUP($D138,素材!$1:$1016,COLUMN($E$1),FALSE)/(LEN(VLOOKUP($D138,素材!$1:$1016,COLUMN($F$1),FALSE)) - LEN(SUBSTITUTE(VLOOKUP($D138,素材!$1:$1016,COLUMN($F$1),FALSE), "・", 0)) + 1), 0)</f>
        <v>0</v>
      </c>
      <c r="AS138">
        <f>IF(ISNUMBER(SEARCH(SUBSTITUTE(AS$1,RIGHT(AS$1,2),""),VLOOKUP($D138,素材!$1:$1016,COLUMN($F$1),FALSE))),VLOOKUP($C138,武器!$1:$998,COLUMN($O$1),FALSE)*VLOOKUP($D138,素材!$1:$1016,COLUMN($E$1),FALSE)/(LEN(VLOOKUP($D138,素材!$1:$1016,COLUMN($F$1),FALSE)) - LEN(SUBSTITUTE(VLOOKUP($D138,素材!$1:$1016,COLUMN($F$1),FALSE), "・", 0)) + 1), 0)</f>
        <v>0</v>
      </c>
      <c r="AT138">
        <f>IF(ISNUMBER(SEARCH(SUBSTITUTE(AT$1,RIGHT(AT$1,2),""),VLOOKUP($D138,素材!$1:$1016,COLUMN($F$1),FALSE))),VLOOKUP($C138,武器!$1:$998,COLUMN($O$1),FALSE)*VLOOKUP($D138,素材!$1:$1016,COLUMN($E$1),FALSE)/(LEN(VLOOKUP($D138,素材!$1:$1016,COLUMN($F$1),FALSE)) - LEN(SUBSTITUTE(VLOOKUP($D138,素材!$1:$1016,COLUMN($F$1),FALSE), "・", 0)) + 1), 0)</f>
        <v>0</v>
      </c>
      <c r="AU138">
        <f>IF(ISNUMBER(SEARCH(SUBSTITUTE(AU$1,RIGHT(AU$1,2),""),VLOOKUP($D138,素材!$1:$1016,COLUMN($F$1),FALSE))),VLOOKUP($C138,武器!$1:$998,COLUMN($O$1),FALSE)*VLOOKUP($D138,素材!$1:$1016,COLUMN($E$1),FALSE)/(LEN(VLOOKUP($D138,素材!$1:$1016,COLUMN($F$1),FALSE)) - LEN(SUBSTITUTE(VLOOKUP($D138,素材!$1:$1016,COLUMN($F$1),FALSE), "・", 0)) + 1), 0)</f>
        <v>0</v>
      </c>
      <c r="AV138">
        <f>IF(ISNUMBER(SEARCH(SUBSTITUTE(AV$1,RIGHT(AV$1,2),""),VLOOKUP($D138,素材!$1:$1016,COLUMN($F$1),FALSE))),VLOOKUP($C138,武器!$1:$998,COLUMN($O$1),FALSE)*VLOOKUP($D138,素材!$1:$1016,COLUMN($E$1),FALSE)/(LEN(VLOOKUP($D138,素材!$1:$1016,COLUMN($F$1),FALSE)) - LEN(SUBSTITUTE(VLOOKUP($D138,素材!$1:$1016,COLUMN($F$1),FALSE), "・", 0)) + 1), 0)</f>
        <v>0</v>
      </c>
      <c r="AW138">
        <f>IF(ISNUMBER(SEARCH(SUBSTITUTE(AW$1,RIGHT(AW$1,2),""),VLOOKUP($D138,素材!$1:$1016,COLUMN($F$1),FALSE))),VLOOKUP($C138,武器!$1:$998,COLUMN($O$1),FALSE)*VLOOKUP($D138,素材!$1:$1016,COLUMN($E$1),FALSE)/(LEN(VLOOKUP($D138,素材!$1:$1016,COLUMN($F$1),FALSE)) - LEN(SUBSTITUTE(VLOOKUP($D138,素材!$1:$1016,COLUMN($F$1),FALSE), "・", 0)) + 1), 0)</f>
        <v>0</v>
      </c>
      <c r="AX138">
        <f>IF(ISNUMBER(SEARCH(SUBSTITUTE(AX$1,RIGHT(AX$1,2),""),VLOOKUP($D138,素材!$1:$1016,COLUMN($F$1),FALSE))),VLOOKUP($C138,武器!$1:$998,COLUMN($O$1),FALSE)*VLOOKUP($D138,素材!$1:$1016,COLUMN($E$1),FALSE)/(LEN(VLOOKUP($D138,素材!$1:$1016,COLUMN($F$1),FALSE)) - LEN(SUBSTITUTE(VLOOKUP($D138,素材!$1:$1016,COLUMN($F$1),FALSE), "・", 0)) + 1), 0)</f>
        <v>0</v>
      </c>
      <c r="AY138">
        <f>IF(ISNUMBER(SEARCH(SUBSTITUTE(AY$1,RIGHT(AY$1,2),""),VLOOKUP($D138,素材!$1:$1016,COLUMN($F$1),FALSE))),VLOOKUP($C138,武器!$1:$998,COLUMN($O$1),FALSE)*VLOOKUP($D138,素材!$1:$1016,COLUMN($E$1),FALSE)/(LEN(VLOOKUP($D138,素材!$1:$1016,COLUMN($F$1),FALSE)) - LEN(SUBSTITUTE(VLOOKUP($D138,素材!$1:$1016,COLUMN($F$1),FALSE), "・", 0)) + 1), 0)</f>
        <v>0</v>
      </c>
      <c r="AZ138">
        <f>IF(ISNUMBER(SEARCH(SUBSTITUTE(AZ$1,RIGHT(AZ$1,2),""),VLOOKUP($D138,素材!$1:$1016,COLUMN($F$1),FALSE))),VLOOKUP($C138,武器!$1:$998,COLUMN($O$1),FALSE)*VLOOKUP($D138,素材!$1:$1016,COLUMN($E$1),FALSE)/(LEN(VLOOKUP($D138,素材!$1:$1016,COLUMN($F$1),FALSE)) - LEN(SUBSTITUTE(VLOOKUP($D138,素材!$1:$1016,COLUMN($F$1),FALSE), "・", 0)) + 1), 0)</f>
        <v>0</v>
      </c>
      <c r="BA138">
        <f>IF(ISNUMBER(SEARCH(SUBSTITUTE(BA$1,RIGHT(BA$1,2),""),VLOOKUP($D138,素材!$1:$1016,COLUMN($F$1),FALSE))),VLOOKUP($C138,武器!$1:$998,COLUMN($O$1),FALSE)*VLOOKUP($D138,素材!$1:$1016,COLUMN($E$1),FALSE)/(LEN(VLOOKUP($D138,素材!$1:$1016,COLUMN($F$1),FALSE)) - LEN(SUBSTITUTE(VLOOKUP($D138,素材!$1:$1016,COLUMN($F$1),FALSE), "・", 0)) + 1), 0)</f>
        <v>0</v>
      </c>
      <c r="BB138">
        <f>IF(ISNUMBER(SEARCH(SUBSTITUTE(BB$1,RIGHT(BB$1,2),""),VLOOKUP($D138,素材!$1:$1016,COLUMN($F$1),FALSE))),VLOOKUP($C138,武器!$1:$998,COLUMN($O$1),FALSE)*VLOOKUP($D138,素材!$1:$1016,COLUMN($E$1),FALSE)/(LEN(VLOOKUP($D138,素材!$1:$1016,COLUMN($F$1),FALSE)) - LEN(SUBSTITUTE(VLOOKUP($D138,素材!$1:$1016,COLUMN($F$1),FALSE), "・", 0)) + 1), 0)</f>
        <v>0</v>
      </c>
      <c r="BC138">
        <f>IF(ISNUMBER(SEARCH(SUBSTITUTE(BC$1,RIGHT(BC$1,2),""),VLOOKUP($D138,素材!$1:$1016,COLUMN($F$1),FALSE))),VLOOKUP($C138,武器!$1:$998,COLUMN($O$1),FALSE)*VLOOKUP($D138,素材!$1:$1016,COLUMN($E$1),FALSE)/(LEN(VLOOKUP($D138,素材!$1:$1016,COLUMN($F$1),FALSE)) - LEN(SUBSTITUTE(VLOOKUP($D138,素材!$1:$1016,COLUMN($F$1),FALSE), "・", 0)) + 1), 0)</f>
        <v>7.5</v>
      </c>
      <c r="BD138">
        <f>IF(ISNUMBER(SEARCH(SUBSTITUTE(BD$1,RIGHT(BD$1,2),""),VLOOKUP($D138,素材!$1:$1016,COLUMN($F$1),FALSE))),VLOOKUP($C138,武器!$1:$998,COLUMN($O$1),FALSE)*VLOOKUP($D138,素材!$1:$1016,COLUMN($E$1),FALSE)/(LEN(VLOOKUP($D138,素材!$1:$1016,COLUMN($F$1),FALSE)) - LEN(SUBSTITUTE(VLOOKUP($D138,素材!$1:$1016,COLUMN($F$1),FALSE), "・", 0)) + 1), 0)</f>
        <v>0</v>
      </c>
      <c r="BE138">
        <f>IF(ISNUMBER(SEARCH(SUBSTITUTE(BE$1,RIGHT(BE$1,2),""),VLOOKUP($D138,素材!$1:$1016,COLUMN($F$1),FALSE))),VLOOKUP($C138,武器!$1:$998,COLUMN($O$1),FALSE)*VLOOKUP($D138,素材!$1:$1016,COLUMN($E$1),FALSE)/(LEN(VLOOKUP($D138,素材!$1:$1016,COLUMN($F$1),FALSE)) - LEN(SUBSTITUTE(VLOOKUP($D138,素材!$1:$1016,COLUMN($F$1),FALSE), "・", 0)) + 1), 0)</f>
        <v>0</v>
      </c>
      <c r="CL138">
        <f>SUM(G138:I138)</f>
        <v>0</v>
      </c>
      <c r="CM138" s="22" t="str">
        <f>IF(E138="武器",IF(J138-1&gt;SUM(G138:I138),"盾",IF(MAX(G138:I138)=G138,"切断",IF(MAX(G138:I138)=H138,"貫通",IF(MAX(G138:I138)=I138,"打撃","射撃")))),E138)&amp;".webp"</f>
        <v>体.webp</v>
      </c>
      <c r="CN138">
        <f>IFERROR(VLOOKUP($C138,武器!$1:$998,COLUMN(V$1),FALSE)*VLOOKUP($D138,素材!$1:$1016,COLUMN(N$1),FALSE)+IF(CI138="",0,VLOOKUP($CI138,装強!$1:$1008,COLUMN($CK$1),FALSE)),"")</f>
        <v>3750</v>
      </c>
      <c r="CO138" t="str">
        <f>VLOOKUP(D138,素材!$A:$O,COLUMN(素材!O$1),FALSE)</f>
        <v>魔力を帯びた特殊な皮素材。魔法防御や属性耐性を強化する効果があり、高レベルの冒険者に重宝されます。</v>
      </c>
      <c r="CP138" t="str">
        <f>VLOOKUP(C138,武器!$A:$W,COLUMN(武器!W$1),FALSE)</f>
        <v>HP 物理 魔法 体幹 出血 疲労 Cr</v>
      </c>
      <c r="CR138" t="str">
        <f t="shared" ref="CR138:CR205" si="18">"e_"&amp;ROW(CR138)</f>
        <v>e_138</v>
      </c>
      <c r="CS138">
        <f t="shared" si="6"/>
        <v>375000</v>
      </c>
    </row>
    <row r="139" spans="1:97" outlineLevel="1" x14ac:dyDescent="0.4">
      <c r="A139" t="str">
        <f>D139&amp;"の"&amp;C139</f>
        <v>魔獣皮の靴</v>
      </c>
      <c r="B139" t="str">
        <f>IFERROR(VLOOKUP($D139,素材!$1:$1016,COLUMN($B$1),FALSE)&amp;"・"&amp;VLOOKUP($C139,武器!$1:$998,COLUMN(B$1),FALSE),"")</f>
        <v>マジックレザー・ブーツ</v>
      </c>
      <c r="C139" t="s">
        <v>1293</v>
      </c>
      <c r="D139" s="24" t="s">
        <v>202</v>
      </c>
      <c r="E139" t="str">
        <f>IFERROR(VLOOKUP(C139,武器!$1:$998,COLUMN(C$1),FALSE),"")</f>
        <v>足</v>
      </c>
      <c r="F139">
        <f>IFERROR(ROUNDDOWN((VLOOKUP($C139,武器!$1:$998,COLUMN(D$1),FALSE)+IFERROR(VLOOKUP($CI139,装強!$1:$999,COLUMN(F$1),FALSE),0))*VLOOKUP($D139,素材!$1:$1016,COLUMN(D$1),FALSE),0),"")</f>
        <v>0</v>
      </c>
      <c r="G139">
        <f>IFERROR(ROUNDDOWN((VLOOKUP($C139,武器!$1:$998,COLUMN(E$1),FALSE)+IFERROR(VLOOKUP($CI139,装強!$1:$999,COLUMN(G$1),FALSE),0))*VLOOKUP($D139,素材!$1:$1016,COLUMN($E$1),FALSE),0),"")</f>
        <v>0</v>
      </c>
      <c r="H139">
        <f>IFERROR(ROUNDDOWN((VLOOKUP($C139,武器!$1:$998,COLUMN(F$1),FALSE)+IFERROR(VLOOKUP($CI139,装強!$1:$999,COLUMN(H$1),FALSE),0))*VLOOKUP($D139,素材!$1:$1016,COLUMN($E$1),FALSE),0),"")</f>
        <v>0</v>
      </c>
      <c r="I139">
        <f>IFERROR(ROUNDDOWN((VLOOKUP($C139,武器!$1:$998,COLUMN(G$1),FALSE)+IFERROR(VLOOKUP($CI139,装強!$1:$999,COLUMN(I$1),FALSE),0))*VLOOKUP($D139,素材!$1:$1016,COLUMN($E$1),FALSE),0),"")</f>
        <v>15</v>
      </c>
      <c r="J139">
        <f>IFERROR(ROUNDDOWN((VLOOKUP($C139,武器!$1:$998,COLUMN(H$1),FALSE)+IFERROR(VLOOKUP($CI139,装強!$1:$999,COLUMN(J$1),FALSE),0))*VLOOKUP($D139,素材!$1:$1016,COLUMN($E$1),FALSE),0),"")</f>
        <v>0</v>
      </c>
      <c r="K139">
        <f>IFERROR(ROUNDDOWN((VLOOKUP($C139,武器!$1:$998,COLUMN(I$1),FALSE)+IFERROR(VLOOKUP($CI139,装強!$1:$999,COLUMN(K$1),FALSE),0))*VLOOKUP($D139,素材!$1:$1016,COLUMN($E$1),FALSE),0),"")</f>
        <v>0</v>
      </c>
      <c r="L139" t="str">
        <f>IFERROR(VLOOKUP($D139,素材!$1:$1016,COLUMN($F$1),FALSE),"")</f>
        <v>魔法</v>
      </c>
      <c r="M139" t="str">
        <f>IFERROR(VLOOKUP($C139,武器!$1:$998,COLUMN(AA$1),FALSE)*VLOOKUP($D139,素材!$1:$1016,COLUMN($G$1),FALSE),"")</f>
        <v/>
      </c>
      <c r="N139">
        <f>IFERROR(VLOOKUP($C139,武器!$1:$998,COLUMN(I$1),FALSE),"")</f>
        <v>0</v>
      </c>
      <c r="O139" s="23" t="str">
        <f>IFERROR((VLOOKUP($C139,武器!$1:$998,COLUMN(K$1),FALSE)+VLOOKUP($D139,素材!$1:$1016,COLUMN(H$1),FALSE))*100+IFERROR(VLOOKUP($CI139,装強!$1:$999,COLUMN(O$1),FALSE),0),"")</f>
        <v/>
      </c>
      <c r="P139" s="23" t="str">
        <f>IFERROR((VLOOKUP($C139,武器!$1:$998,COLUMN(L$1),FALSE)+VLOOKUP($D139,素材!$1:$1016,COLUMN(I$1),FALSE))*100+IFERROR(VLOOKUP($CI139,装強!$1:$999,COLUMN(P$1),FALSE),0),"")</f>
        <v/>
      </c>
      <c r="Q139">
        <f>IFERROR(ROUNDUP(VLOOKUP($C139,武器!$1:$998,COLUMN(M$1),FALSE)*(VLOOKUP($D139,素材!$1:$1002,COLUMN(D$1),FALSE)/100),1),"")</f>
        <v>0</v>
      </c>
      <c r="R139">
        <f>IFERROR(ROUNDUP(VLOOKUP($C139,武器!$1:$998,COLUMN(N$1),FALSE)*(VLOOKUP($D139,素材!$1:$1002,COLUMN(D$1),FALSE)/100),1),"")</f>
        <v>0</v>
      </c>
      <c r="S139">
        <f>IFERROR(VLOOKUP($C139,武器!$1:$998,COLUMN(P$1),FALSE),"")</f>
        <v>0</v>
      </c>
      <c r="T139">
        <f>IFERROR(VLOOKUP($C139,武器!$1:$998,COLUMN(Q$1),FALSE),"")</f>
        <v>0</v>
      </c>
      <c r="U139">
        <f>IFERROR(VLOOKUP($C139,武器!$1:$998,COLUMN(R$1),FALSE),"")</f>
        <v>0</v>
      </c>
      <c r="V139">
        <f>IFERROR(VLOOKUP($C139,武器!$1:$998,COLUMN(Q$1),FALSE),"")</f>
        <v>0</v>
      </c>
      <c r="W139">
        <f>IFERROR(VLOOKUP($C139,武器!$1:$998,COLUMN(T$1),FALSE),"")</f>
        <v>0</v>
      </c>
      <c r="Y139" t="str">
        <f>IFERROR(VLOOKUP($C139,武器!$1:$998,COLUMN(U$1),FALSE),"")</f>
        <v>足</v>
      </c>
      <c r="Z139">
        <f>IFERROR(ROUNDUP(VLOOKUP($C139,武器!$1:$998,COLUMN(O$1),FALSE)*VLOOKUP($D139,素材!$1:$1016,COLUMN(E$1),FALSE),1),"")</f>
        <v>2.3000000000000003</v>
      </c>
      <c r="AA139">
        <f>IF(ISNUMBER(SEARCH(SUBSTITUTE(AA$1,RIGHT(AA$1,2),""),VLOOKUP($D139,素材!$1:$1016,COLUMN($F$1),FALSE))),VLOOKUP($C139,武器!$1:$998,COLUMN($O$1),FALSE)*VLOOKUP($D139,素材!$1:$1016,COLUMN($E$1),FALSE)/(LEN(VLOOKUP($D139,素材!$1:$1016,COLUMN($F$1),FALSE)) - LEN(SUBSTITUTE(VLOOKUP($D139,素材!$1:$1016,COLUMN($F$1),FALSE), "・", 0)) + 1), 0)</f>
        <v>2.25</v>
      </c>
      <c r="AB139">
        <f>IF(ISNUMBER(SEARCH(SUBSTITUTE(AB$1,RIGHT(AB$1,2),""),VLOOKUP($D139,素材!$1:$1016,COLUMN($F$1),FALSE))),VLOOKUP($C139,武器!$1:$998,COLUMN($O$1),FALSE)*VLOOKUP($D139,素材!$1:$1016,COLUMN($E$1),FALSE)/(LEN(VLOOKUP($D139,素材!$1:$1016,COLUMN($F$1),FALSE)) - LEN(SUBSTITUTE(VLOOKUP($D139,素材!$1:$1016,COLUMN($F$1),FALSE), "・", 0)) + 1), 0)</f>
        <v>0</v>
      </c>
      <c r="AC139">
        <f>IF(ISNUMBER(SEARCH(SUBSTITUTE(AC$1,RIGHT(AC$1,2),""),VLOOKUP($D139,素材!$1:$1016,COLUMN($F$1),FALSE))),VLOOKUP($C139,武器!$1:$998,COLUMN($O$1),FALSE)*VLOOKUP($D139,素材!$1:$1016,COLUMN($E$1),FALSE)/(LEN(VLOOKUP($D139,素材!$1:$1016,COLUMN($F$1),FALSE)) - LEN(SUBSTITUTE(VLOOKUP($D139,素材!$1:$1016,COLUMN($F$1),FALSE), "・", 0)) + 1), 0)</f>
        <v>0</v>
      </c>
      <c r="AD139">
        <f>IF(ISNUMBER(SEARCH(SUBSTITUTE(AD$1,RIGHT(AD$1,2),""),VLOOKUP($D139,素材!$1:$1016,COLUMN($F$1),FALSE))),VLOOKUP($C139,武器!$1:$998,COLUMN($O$1),FALSE)*VLOOKUP($D139,素材!$1:$1016,COLUMN($E$1),FALSE)/(LEN(VLOOKUP($D139,素材!$1:$1016,COLUMN($F$1),FALSE)) - LEN(SUBSTITUTE(VLOOKUP($D139,素材!$1:$1016,COLUMN($F$1),FALSE), "・", 0)) + 1), 0)</f>
        <v>0</v>
      </c>
      <c r="AE139">
        <f>IF(ISNUMBER(SEARCH(SUBSTITUTE(AE$1,RIGHT(AE$1,2),""),VLOOKUP($D139,素材!$1:$1016,COLUMN($F$1),FALSE))),VLOOKUP($C139,武器!$1:$998,COLUMN($O$1),FALSE)*VLOOKUP($D139,素材!$1:$1016,COLUMN($E$1),FALSE)/(LEN(VLOOKUP($D139,素材!$1:$1016,COLUMN($F$1),FALSE)) - LEN(SUBSTITUTE(VLOOKUP($D139,素材!$1:$1016,COLUMN($F$1),FALSE), "・", 0)) + 1), 0)</f>
        <v>0</v>
      </c>
      <c r="AF139">
        <f>IF(ISNUMBER(SEARCH(SUBSTITUTE(AF$1,RIGHT(AF$1,2),""),VLOOKUP($D139,素材!$1:$1016,COLUMN($F$1),FALSE))),VLOOKUP($C139,武器!$1:$998,COLUMN($O$1),FALSE)*VLOOKUP($D139,素材!$1:$1016,COLUMN($E$1),FALSE)/(LEN(VLOOKUP($D139,素材!$1:$1016,COLUMN($F$1),FALSE)) - LEN(SUBSTITUTE(VLOOKUP($D139,素材!$1:$1016,COLUMN($F$1),FALSE), "・", 0)) + 1), 0)</f>
        <v>0</v>
      </c>
      <c r="AG139">
        <f>IF(ISNUMBER(SEARCH(SUBSTITUTE(AG$1,RIGHT(AG$1,2),""),VLOOKUP($D139,素材!$1:$1016,COLUMN($F$1),FALSE))),VLOOKUP($C139,武器!$1:$998,COLUMN($O$1),FALSE)*VLOOKUP($D139,素材!$1:$1016,COLUMN($E$1),FALSE)/(LEN(VLOOKUP($D139,素材!$1:$1016,COLUMN($F$1),FALSE)) - LEN(SUBSTITUTE(VLOOKUP($D139,素材!$1:$1016,COLUMN($F$1),FALSE), "・", 0)) + 1), 0)</f>
        <v>0</v>
      </c>
      <c r="AH139">
        <f>IF(ISNUMBER(SEARCH(SUBSTITUTE(AH$1,RIGHT(AH$1,2),""),VLOOKUP($D139,素材!$1:$1016,COLUMN($F$1),FALSE))),VLOOKUP($C139,武器!$1:$998,COLUMN($O$1),FALSE)*VLOOKUP($D139,素材!$1:$1016,COLUMN($E$1),FALSE)/(LEN(VLOOKUP($D139,素材!$1:$1016,COLUMN($F$1),FALSE)) - LEN(SUBSTITUTE(VLOOKUP($D139,素材!$1:$1016,COLUMN($F$1),FALSE), "・", 0)) + 1), 0)</f>
        <v>0</v>
      </c>
      <c r="AI139">
        <f>IF(ISNUMBER(SEARCH(SUBSTITUTE(AI$1,RIGHT(AI$1,2),""),VLOOKUP($D139,素材!$1:$1016,COLUMN($F$1),FALSE))),VLOOKUP($C139,武器!$1:$998,COLUMN($O$1),FALSE)*VLOOKUP($D139,素材!$1:$1016,COLUMN($E$1),FALSE)/(LEN(VLOOKUP($D139,素材!$1:$1016,COLUMN($F$1),FALSE)) - LEN(SUBSTITUTE(VLOOKUP($D139,素材!$1:$1016,COLUMN($F$1),FALSE), "・", 0)) + 1), 0)</f>
        <v>0</v>
      </c>
      <c r="AJ139">
        <f>IF(ISNUMBER(SEARCH(SUBSTITUTE(AJ$1,RIGHT(AJ$1,2),""),VLOOKUP($D139,素材!$1:$1016,COLUMN($F$1),FALSE))),VLOOKUP($C139,武器!$1:$998,COLUMN($O$1),FALSE)*VLOOKUP($D139,素材!$1:$1016,COLUMN($E$1),FALSE)/(LEN(VLOOKUP($D139,素材!$1:$1016,COLUMN($F$1),FALSE)) - LEN(SUBSTITUTE(VLOOKUP($D139,素材!$1:$1016,COLUMN($F$1),FALSE), "・", 0)) + 1), 0)</f>
        <v>0</v>
      </c>
      <c r="AK139">
        <f>IF(ISNUMBER(SEARCH(SUBSTITUTE(AK$1,RIGHT(AK$1,2),""),VLOOKUP($D139,素材!$1:$1016,COLUMN($F$1),FALSE))),VLOOKUP($C139,武器!$1:$998,COLUMN($O$1),FALSE)*VLOOKUP($D139,素材!$1:$1016,COLUMN($E$1),FALSE)/(LEN(VLOOKUP($D139,素材!$1:$1016,COLUMN($F$1),FALSE)) - LEN(SUBSTITUTE(VLOOKUP($D139,素材!$1:$1016,COLUMN($F$1),FALSE), "・", 0)) + 1), 0)</f>
        <v>0</v>
      </c>
      <c r="AL139">
        <f>IF(ISNUMBER(SEARCH(SUBSTITUTE(AL$1,RIGHT(AL$1,2),""),VLOOKUP($D139,素材!$1:$1016,COLUMN($F$1),FALSE))),VLOOKUP($C139,武器!$1:$998,COLUMN($O$1),FALSE)*VLOOKUP($D139,素材!$1:$1016,COLUMN($E$1),FALSE)/(LEN(VLOOKUP($D139,素材!$1:$1016,COLUMN($F$1),FALSE)) - LEN(SUBSTITUTE(VLOOKUP($D139,素材!$1:$1016,COLUMN($F$1),FALSE), "・", 0)) + 1), 0)</f>
        <v>0</v>
      </c>
      <c r="AM139">
        <f>IF(ISNUMBER(SEARCH(SUBSTITUTE(AM$1,RIGHT(AM$1,2),""),VLOOKUP($D139,素材!$1:$1016,COLUMN($F$1),FALSE))),VLOOKUP($C139,武器!$1:$998,COLUMN($O$1),FALSE)*VLOOKUP($D139,素材!$1:$1016,COLUMN($E$1),FALSE)/(LEN(VLOOKUP($D139,素材!$1:$1016,COLUMN($F$1),FALSE)) - LEN(SUBSTITUTE(VLOOKUP($D139,素材!$1:$1016,COLUMN($F$1),FALSE), "・", 0)) + 1), 0)</f>
        <v>0</v>
      </c>
      <c r="AN139">
        <f>IF(ISNUMBER(SEARCH(SUBSTITUTE(AN$1,RIGHT(AN$1,2),""),VLOOKUP($D139,素材!$1:$1016,COLUMN($F$1),FALSE))),VLOOKUP($C139,武器!$1:$998,COLUMN($O$1),FALSE)*VLOOKUP($D139,素材!$1:$1016,COLUMN($E$1),FALSE)/(LEN(VLOOKUP($D139,素材!$1:$1016,COLUMN($F$1),FALSE)) - LEN(SUBSTITUTE(VLOOKUP($D139,素材!$1:$1016,COLUMN($F$1),FALSE), "・", 0)) + 1), 0)</f>
        <v>0</v>
      </c>
      <c r="AO139">
        <f>IF(ISNUMBER(SEARCH(SUBSTITUTE(AO$1,RIGHT(AO$1,2),""),VLOOKUP($D139,素材!$1:$1016,COLUMN($F$1),FALSE))),VLOOKUP($C139,武器!$1:$998,COLUMN($O$1),FALSE)*VLOOKUP($D139,素材!$1:$1016,COLUMN($E$1),FALSE)/(LEN(VLOOKUP($D139,素材!$1:$1016,COLUMN($F$1),FALSE)) - LEN(SUBSTITUTE(VLOOKUP($D139,素材!$1:$1016,COLUMN($F$1),FALSE), "・", 0)) + 1), 0)</f>
        <v>0</v>
      </c>
      <c r="AP139">
        <f>IF(ISNUMBER(SEARCH(SUBSTITUTE(AP$1,RIGHT(AP$1,2),""),VLOOKUP($D139,素材!$1:$1016,COLUMN($F$1),FALSE))),VLOOKUP($C139,武器!$1:$998,COLUMN($O$1),FALSE)*VLOOKUP($D139,素材!$1:$1016,COLUMN($E$1),FALSE)/(LEN(VLOOKUP($D139,素材!$1:$1016,COLUMN($F$1),FALSE)) - LEN(SUBSTITUTE(VLOOKUP($D139,素材!$1:$1016,COLUMN($F$1),FALSE), "・", 0)) + 1), 0)</f>
        <v>0</v>
      </c>
      <c r="AQ139">
        <f>IF(ISNUMBER(SEARCH(SUBSTITUTE(AQ$1,RIGHT(AQ$1,2),""),VLOOKUP($D139,素材!$1:$1016,COLUMN($F$1),FALSE))),VLOOKUP($C139,武器!$1:$998,COLUMN($O$1),FALSE)*VLOOKUP($D139,素材!$1:$1016,COLUMN($E$1),FALSE)/(LEN(VLOOKUP($D139,素材!$1:$1016,COLUMN($F$1),FALSE)) - LEN(SUBSTITUTE(VLOOKUP($D139,素材!$1:$1016,COLUMN($F$1),FALSE), "・", 0)) + 1), 0)</f>
        <v>0</v>
      </c>
      <c r="AR139">
        <f>IF(ISNUMBER(SEARCH(SUBSTITUTE(AR$1,RIGHT(AR$1,2),""),VLOOKUP($D139,素材!$1:$1016,COLUMN($F$1),FALSE))),VLOOKUP($C139,武器!$1:$998,COLUMN($O$1),FALSE)*VLOOKUP($D139,素材!$1:$1016,COLUMN($E$1),FALSE)/(LEN(VLOOKUP($D139,素材!$1:$1016,COLUMN($F$1),FALSE)) - LEN(SUBSTITUTE(VLOOKUP($D139,素材!$1:$1016,COLUMN($F$1),FALSE), "・", 0)) + 1), 0)</f>
        <v>0</v>
      </c>
      <c r="AS139">
        <f>IF(ISNUMBER(SEARCH(SUBSTITUTE(AS$1,RIGHT(AS$1,2),""),VLOOKUP($D139,素材!$1:$1016,COLUMN($F$1),FALSE))),VLOOKUP($C139,武器!$1:$998,COLUMN($O$1),FALSE)*VLOOKUP($D139,素材!$1:$1016,COLUMN($E$1),FALSE)/(LEN(VLOOKUP($D139,素材!$1:$1016,COLUMN($F$1),FALSE)) - LEN(SUBSTITUTE(VLOOKUP($D139,素材!$1:$1016,COLUMN($F$1),FALSE), "・", 0)) + 1), 0)</f>
        <v>0</v>
      </c>
      <c r="AT139">
        <f>IF(ISNUMBER(SEARCH(SUBSTITUTE(AT$1,RIGHT(AT$1,2),""),VLOOKUP($D139,素材!$1:$1016,COLUMN($F$1),FALSE))),VLOOKUP($C139,武器!$1:$998,COLUMN($O$1),FALSE)*VLOOKUP($D139,素材!$1:$1016,COLUMN($E$1),FALSE)/(LEN(VLOOKUP($D139,素材!$1:$1016,COLUMN($F$1),FALSE)) - LEN(SUBSTITUTE(VLOOKUP($D139,素材!$1:$1016,COLUMN($F$1),FALSE), "・", 0)) + 1), 0)</f>
        <v>0</v>
      </c>
      <c r="AU139">
        <f>IF(ISNUMBER(SEARCH(SUBSTITUTE(AU$1,RIGHT(AU$1,2),""),VLOOKUP($D139,素材!$1:$1016,COLUMN($F$1),FALSE))),VLOOKUP($C139,武器!$1:$998,COLUMN($O$1),FALSE)*VLOOKUP($D139,素材!$1:$1016,COLUMN($E$1),FALSE)/(LEN(VLOOKUP($D139,素材!$1:$1016,COLUMN($F$1),FALSE)) - LEN(SUBSTITUTE(VLOOKUP($D139,素材!$1:$1016,COLUMN($F$1),FALSE), "・", 0)) + 1), 0)</f>
        <v>0</v>
      </c>
      <c r="AV139">
        <f>IF(ISNUMBER(SEARCH(SUBSTITUTE(AV$1,RIGHT(AV$1,2),""),VLOOKUP($D139,素材!$1:$1016,COLUMN($F$1),FALSE))),VLOOKUP($C139,武器!$1:$998,COLUMN($O$1),FALSE)*VLOOKUP($D139,素材!$1:$1016,COLUMN($E$1),FALSE)/(LEN(VLOOKUP($D139,素材!$1:$1016,COLUMN($F$1),FALSE)) - LEN(SUBSTITUTE(VLOOKUP($D139,素材!$1:$1016,COLUMN($F$1),FALSE), "・", 0)) + 1), 0)</f>
        <v>0</v>
      </c>
      <c r="AW139">
        <f>IF(ISNUMBER(SEARCH(SUBSTITUTE(AW$1,RIGHT(AW$1,2),""),VLOOKUP($D139,素材!$1:$1016,COLUMN($F$1),FALSE))),VLOOKUP($C139,武器!$1:$998,COLUMN($O$1),FALSE)*VLOOKUP($D139,素材!$1:$1016,COLUMN($E$1),FALSE)/(LEN(VLOOKUP($D139,素材!$1:$1016,COLUMN($F$1),FALSE)) - LEN(SUBSTITUTE(VLOOKUP($D139,素材!$1:$1016,COLUMN($F$1),FALSE), "・", 0)) + 1), 0)</f>
        <v>0</v>
      </c>
      <c r="AX139">
        <f>IF(ISNUMBER(SEARCH(SUBSTITUTE(AX$1,RIGHT(AX$1,2),""),VLOOKUP($D139,素材!$1:$1016,COLUMN($F$1),FALSE))),VLOOKUP($C139,武器!$1:$998,COLUMN($O$1),FALSE)*VLOOKUP($D139,素材!$1:$1016,COLUMN($E$1),FALSE)/(LEN(VLOOKUP($D139,素材!$1:$1016,COLUMN($F$1),FALSE)) - LEN(SUBSTITUTE(VLOOKUP($D139,素材!$1:$1016,COLUMN($F$1),FALSE), "・", 0)) + 1), 0)</f>
        <v>0</v>
      </c>
      <c r="AY139">
        <f>IF(ISNUMBER(SEARCH(SUBSTITUTE(AY$1,RIGHT(AY$1,2),""),VLOOKUP($D139,素材!$1:$1016,COLUMN($F$1),FALSE))),VLOOKUP($C139,武器!$1:$998,COLUMN($O$1),FALSE)*VLOOKUP($D139,素材!$1:$1016,COLUMN($E$1),FALSE)/(LEN(VLOOKUP($D139,素材!$1:$1016,COLUMN($F$1),FALSE)) - LEN(SUBSTITUTE(VLOOKUP($D139,素材!$1:$1016,COLUMN($F$1),FALSE), "・", 0)) + 1), 0)</f>
        <v>0</v>
      </c>
      <c r="AZ139">
        <f>IF(ISNUMBER(SEARCH(SUBSTITUTE(AZ$1,RIGHT(AZ$1,2),""),VLOOKUP($D139,素材!$1:$1016,COLUMN($F$1),FALSE))),VLOOKUP($C139,武器!$1:$998,COLUMN($O$1),FALSE)*VLOOKUP($D139,素材!$1:$1016,COLUMN($E$1),FALSE)/(LEN(VLOOKUP($D139,素材!$1:$1016,COLUMN($F$1),FALSE)) - LEN(SUBSTITUTE(VLOOKUP($D139,素材!$1:$1016,COLUMN($F$1),FALSE), "・", 0)) + 1), 0)</f>
        <v>0</v>
      </c>
      <c r="BA139">
        <f>IF(ISNUMBER(SEARCH(SUBSTITUTE(BA$1,RIGHT(BA$1,2),""),VLOOKUP($D139,素材!$1:$1016,COLUMN($F$1),FALSE))),VLOOKUP($C139,武器!$1:$998,COLUMN($O$1),FALSE)*VLOOKUP($D139,素材!$1:$1016,COLUMN($E$1),FALSE)/(LEN(VLOOKUP($D139,素材!$1:$1016,COLUMN($F$1),FALSE)) - LEN(SUBSTITUTE(VLOOKUP($D139,素材!$1:$1016,COLUMN($F$1),FALSE), "・", 0)) + 1), 0)</f>
        <v>0</v>
      </c>
      <c r="BB139">
        <f>IF(ISNUMBER(SEARCH(SUBSTITUTE(BB$1,RIGHT(BB$1,2),""),VLOOKUP($D139,素材!$1:$1016,COLUMN($F$1),FALSE))),VLOOKUP($C139,武器!$1:$998,COLUMN($O$1),FALSE)*VLOOKUP($D139,素材!$1:$1016,COLUMN($E$1),FALSE)/(LEN(VLOOKUP($D139,素材!$1:$1016,COLUMN($F$1),FALSE)) - LEN(SUBSTITUTE(VLOOKUP($D139,素材!$1:$1016,COLUMN($F$1),FALSE), "・", 0)) + 1), 0)</f>
        <v>0</v>
      </c>
      <c r="BC139">
        <f>IF(ISNUMBER(SEARCH(SUBSTITUTE(BC$1,RIGHT(BC$1,2),""),VLOOKUP($D139,素材!$1:$1016,COLUMN($F$1),FALSE))),VLOOKUP($C139,武器!$1:$998,COLUMN($O$1),FALSE)*VLOOKUP($D139,素材!$1:$1016,COLUMN($E$1),FALSE)/(LEN(VLOOKUP($D139,素材!$1:$1016,COLUMN($F$1),FALSE)) - LEN(SUBSTITUTE(VLOOKUP($D139,素材!$1:$1016,COLUMN($F$1),FALSE), "・", 0)) + 1), 0)</f>
        <v>2.25</v>
      </c>
      <c r="BD139">
        <f>IF(ISNUMBER(SEARCH(SUBSTITUTE(BD$1,RIGHT(BD$1,2),""),VLOOKUP($D139,素材!$1:$1016,COLUMN($F$1),FALSE))),VLOOKUP($C139,武器!$1:$998,COLUMN($O$1),FALSE)*VLOOKUP($D139,素材!$1:$1016,COLUMN($E$1),FALSE)/(LEN(VLOOKUP($D139,素材!$1:$1016,COLUMN($F$1),FALSE)) - LEN(SUBSTITUTE(VLOOKUP($D139,素材!$1:$1016,COLUMN($F$1),FALSE), "・", 0)) + 1), 0)</f>
        <v>0</v>
      </c>
      <c r="BE139">
        <f>IF(ISNUMBER(SEARCH(SUBSTITUTE(BE$1,RIGHT(BE$1,2),""),VLOOKUP($D139,素材!$1:$1016,COLUMN($F$1),FALSE))),VLOOKUP($C139,武器!$1:$998,COLUMN($O$1),FALSE)*VLOOKUP($D139,素材!$1:$1016,COLUMN($E$1),FALSE)/(LEN(VLOOKUP($D139,素材!$1:$1016,COLUMN($F$1),FALSE)) - LEN(SUBSTITUTE(VLOOKUP($D139,素材!$1:$1016,COLUMN($F$1),FALSE), "・", 0)) + 1), 0)</f>
        <v>0</v>
      </c>
      <c r="CL139">
        <f>SUM(G139:I139)</f>
        <v>15</v>
      </c>
      <c r="CM139" s="22" t="str">
        <f>IF(E139="武器",IF(J139-1&gt;SUM(G139:I139),"盾",IF(MAX(G139:I139)=G139,"切断",IF(MAX(G139:I139)=H139,"貫通",IF(MAX(G139:I139)=I139,"打撃","射撃")))),E139)&amp;".webp"</f>
        <v>足.webp</v>
      </c>
      <c r="CN139">
        <f>IFERROR(VLOOKUP($C139,武器!$1:$998,COLUMN(V$1),FALSE)*VLOOKUP($D139,素材!$1:$1016,COLUMN(N$1),FALSE)+IF(CI139="",0,VLOOKUP($CI139,装強!$1:$1008,COLUMN($CK$1),FALSE)),"")</f>
        <v>1500</v>
      </c>
      <c r="CO139" t="str">
        <f>VLOOKUP(D139,素材!$A:$O,COLUMN(素材!O$1),FALSE)</f>
        <v>魔力を帯びた特殊な皮素材。魔法防御や属性耐性を強化する効果があり、高レベルの冒険者に重宝されます。</v>
      </c>
      <c r="CP139" t="str">
        <f>VLOOKUP(C139,武器!$A:$W,COLUMN(武器!W$1),FALSE)</f>
        <v>速度 隠密 軽業 体幹</v>
      </c>
      <c r="CR139" t="str">
        <f t="shared" si="5"/>
        <v>e_139</v>
      </c>
      <c r="CS139">
        <f t="shared" ref="CS139" si="19">CN139*100</f>
        <v>150000</v>
      </c>
    </row>
    <row r="140" spans="1:97" outlineLevel="1" x14ac:dyDescent="0.4">
      <c r="A140" t="str">
        <f t="shared" ref="A140" si="20">D140&amp;"の"&amp;C140</f>
        <v>雷蜥蜴の鱗の帽子</v>
      </c>
      <c r="B140" t="str">
        <f>IFERROR(VLOOKUP($D140,素材!$1:$1016,COLUMN($B$1),FALSE)&amp;"・"&amp;VLOOKUP($C140,武器!$1:$998,COLUMN(B$1),FALSE),"")</f>
        <v>サンダードレイクスケール・ハット</v>
      </c>
      <c r="C140" t="s">
        <v>1195</v>
      </c>
      <c r="D140" s="24" t="s">
        <v>249</v>
      </c>
      <c r="E140" t="str">
        <f>IFERROR(VLOOKUP(C140,武器!$1:$998,COLUMN(C$1),FALSE),"")</f>
        <v>頭</v>
      </c>
      <c r="F140">
        <f>IFERROR(ROUNDDOWN((VLOOKUP($C140,武器!$1:$998,COLUMN(D$1),FALSE)+IFERROR(VLOOKUP($CI140,装強!$1:$999,COLUMN(F$1),FALSE),0))*VLOOKUP($D140,素材!$1:$1016,COLUMN(D$1),FALSE),0),"")</f>
        <v>0</v>
      </c>
      <c r="G140">
        <f>IFERROR(ROUNDDOWN((VLOOKUP($C140,武器!$1:$998,COLUMN(E$1),FALSE)+IFERROR(VLOOKUP($CI140,装強!$1:$999,COLUMN(G$1),FALSE),0))*VLOOKUP($D140,素材!$1:$1016,COLUMN($E$1),FALSE),0),"")</f>
        <v>0</v>
      </c>
      <c r="H140">
        <f>IFERROR(ROUNDDOWN((VLOOKUP($C140,武器!$1:$998,COLUMN(F$1),FALSE)+IFERROR(VLOOKUP($CI140,装強!$1:$999,COLUMN(H$1),FALSE),0))*VLOOKUP($D140,素材!$1:$1016,COLUMN($E$1),FALSE),0),"")</f>
        <v>0</v>
      </c>
      <c r="I140">
        <f>IFERROR(ROUNDDOWN((VLOOKUP($C140,武器!$1:$998,COLUMN(G$1),FALSE)+IFERROR(VLOOKUP($CI140,装強!$1:$999,COLUMN(I$1),FALSE),0))*VLOOKUP($D140,素材!$1:$1016,COLUMN($E$1),FALSE),0),"")</f>
        <v>0</v>
      </c>
      <c r="J140">
        <f>IFERROR(ROUNDDOWN((VLOOKUP($C140,武器!$1:$998,COLUMN(H$1),FALSE)+IFERROR(VLOOKUP($CI140,装強!$1:$999,COLUMN(J$1),FALSE),0))*VLOOKUP($D140,素材!$1:$1016,COLUMN($E$1),FALSE),0),"")</f>
        <v>0</v>
      </c>
      <c r="K140">
        <f>IFERROR(ROUNDDOWN((VLOOKUP($C140,武器!$1:$998,COLUMN(I$1),FALSE)+IFERROR(VLOOKUP($CI140,装強!$1:$999,COLUMN(K$1),FALSE),0))*VLOOKUP($D140,素材!$1:$1016,COLUMN($E$1),FALSE),0),"")</f>
        <v>0</v>
      </c>
      <c r="L140" t="str">
        <f>IFERROR(VLOOKUP($D140,素材!$1:$1016,COLUMN($F$1),FALSE),"")</f>
        <v>雷</v>
      </c>
      <c r="M140">
        <f>IFERROR(VLOOKUP($C140,武器!$1:$998,COLUMN(AA$1),FALSE)*VLOOKUP($D140,素材!$1:$1016,COLUMN($G$1),FALSE),"")</f>
        <v>0</v>
      </c>
      <c r="N140">
        <f>IFERROR(VLOOKUP($C140,武器!$1:$998,COLUMN(I$1),FALSE),"")</f>
        <v>0</v>
      </c>
      <c r="O140" s="23" t="str">
        <f>IFERROR((VLOOKUP($C140,武器!$1:$998,COLUMN(K$1),FALSE)+VLOOKUP($D140,素材!$1:$1016,COLUMN(H$1),FALSE))*100+IFERROR(VLOOKUP($CI140,装強!$1:$999,COLUMN(O$1),FALSE),0),"")</f>
        <v/>
      </c>
      <c r="P140" s="23" t="str">
        <f>IFERROR((VLOOKUP($C140,武器!$1:$998,COLUMN(L$1),FALSE)+VLOOKUP($D140,素材!$1:$1016,COLUMN(I$1),FALSE))*100+IFERROR(VLOOKUP($CI140,装強!$1:$999,COLUMN(P$1),FALSE),0),"")</f>
        <v/>
      </c>
      <c r="Q140">
        <f>IFERROR(ROUNDUP(VLOOKUP($C140,武器!$1:$998,COLUMN(M$1),FALSE)*(VLOOKUP($D140,素材!$1:$1002,COLUMN(D$1),FALSE)/100),1),"")</f>
        <v>0</v>
      </c>
      <c r="R140">
        <f>IFERROR(ROUNDUP(VLOOKUP($C140,武器!$1:$998,COLUMN(N$1),FALSE)*(VLOOKUP($D140,素材!$1:$1002,COLUMN(D$1),FALSE)/100),1),"")</f>
        <v>0</v>
      </c>
      <c r="S140">
        <f>IFERROR(VLOOKUP($C140,武器!$1:$998,COLUMN(P$1),FALSE),"")</f>
        <v>0</v>
      </c>
      <c r="T140">
        <f>IFERROR(VLOOKUP($C140,武器!$1:$998,COLUMN(Q$1),FALSE),"")</f>
        <v>0</v>
      </c>
      <c r="U140">
        <f>IFERROR(VLOOKUP($C140,武器!$1:$998,COLUMN(R$1),FALSE),"")</f>
        <v>0</v>
      </c>
      <c r="V140">
        <f>IFERROR(VLOOKUP($C140,武器!$1:$998,COLUMN(Q$1),FALSE),"")</f>
        <v>0</v>
      </c>
      <c r="W140">
        <f>IFERROR(VLOOKUP($C140,武器!$1:$998,COLUMN(T$1),FALSE),"")</f>
        <v>0</v>
      </c>
      <c r="Y140">
        <f>IFERROR(VLOOKUP($C140,武器!$1:$998,COLUMN(U$1),FALSE),"")</f>
        <v>0</v>
      </c>
      <c r="Z140">
        <f>IFERROR(ROUNDUP(VLOOKUP($C140,武器!$1:$998,COLUMN(O$1),FALSE)*VLOOKUP($D140,素材!$1:$1016,COLUMN(E$1),FALSE),1),"")</f>
        <v>2.5</v>
      </c>
      <c r="AA140">
        <f>IF(ISNUMBER(SEARCH(SUBSTITUTE(AA$1,RIGHT(AA$1,2),""),VLOOKUP($D140,素材!$1:$1016,COLUMN($F$1),FALSE))),VLOOKUP($C140,武器!$1:$998,COLUMN($O$1),FALSE)*VLOOKUP($D140,素材!$1:$1016,COLUMN($E$1),FALSE)/(LEN(VLOOKUP($D140,素材!$1:$1016,COLUMN($F$1),FALSE)) - LEN(SUBSTITUTE(VLOOKUP($D140,素材!$1:$1016,COLUMN($F$1),FALSE), "・", 0)) + 1), 0)</f>
        <v>0</v>
      </c>
      <c r="AB140">
        <f>IF(ISNUMBER(SEARCH(SUBSTITUTE(AB$1,RIGHT(AB$1,2),""),VLOOKUP($D140,素材!$1:$1016,COLUMN($F$1),FALSE))),VLOOKUP($C140,武器!$1:$998,COLUMN($O$1),FALSE)*VLOOKUP($D140,素材!$1:$1016,COLUMN($E$1),FALSE)/(LEN(VLOOKUP($D140,素材!$1:$1016,COLUMN($F$1),FALSE)) - LEN(SUBSTITUTE(VLOOKUP($D140,素材!$1:$1016,COLUMN($F$1),FALSE), "・", 0)) + 1), 0)</f>
        <v>0</v>
      </c>
      <c r="AC140">
        <f>IF(ISNUMBER(SEARCH(SUBSTITUTE(AC$1,RIGHT(AC$1,2),""),VLOOKUP($D140,素材!$1:$1016,COLUMN($F$1),FALSE))),VLOOKUP($C140,武器!$1:$998,COLUMN($O$1),FALSE)*VLOOKUP($D140,素材!$1:$1016,COLUMN($E$1),FALSE)/(LEN(VLOOKUP($D140,素材!$1:$1016,COLUMN($F$1),FALSE)) - LEN(SUBSTITUTE(VLOOKUP($D140,素材!$1:$1016,COLUMN($F$1),FALSE), "・", 0)) + 1), 0)</f>
        <v>0</v>
      </c>
      <c r="AD140">
        <f>IF(ISNUMBER(SEARCH(SUBSTITUTE(AD$1,RIGHT(AD$1,2),""),VLOOKUP($D140,素材!$1:$1016,COLUMN($F$1),FALSE))),VLOOKUP($C140,武器!$1:$998,COLUMN($O$1),FALSE)*VLOOKUP($D140,素材!$1:$1016,COLUMN($E$1),FALSE)/(LEN(VLOOKUP($D140,素材!$1:$1016,COLUMN($F$1),FALSE)) - LEN(SUBSTITUTE(VLOOKUP($D140,素材!$1:$1016,COLUMN($F$1),FALSE), "・", 0)) + 1), 0)</f>
        <v>0</v>
      </c>
      <c r="AE140">
        <f>IF(ISNUMBER(SEARCH(SUBSTITUTE(AE$1,RIGHT(AE$1,2),""),VLOOKUP($D140,素材!$1:$1016,COLUMN($F$1),FALSE))),VLOOKUP($C140,武器!$1:$998,COLUMN($O$1),FALSE)*VLOOKUP($D140,素材!$1:$1016,COLUMN($E$1),FALSE)/(LEN(VLOOKUP($D140,素材!$1:$1016,COLUMN($F$1),FALSE)) - LEN(SUBSTITUTE(VLOOKUP($D140,素材!$1:$1016,COLUMN($F$1),FALSE), "・", 0)) + 1), 0)</f>
        <v>0</v>
      </c>
      <c r="AF140">
        <f>IF(ISNUMBER(SEARCH(SUBSTITUTE(AF$1,RIGHT(AF$1,2),""),VLOOKUP($D140,素材!$1:$1016,COLUMN($F$1),FALSE))),VLOOKUP($C140,武器!$1:$998,COLUMN($O$1),FALSE)*VLOOKUP($D140,素材!$1:$1016,COLUMN($E$1),FALSE)/(LEN(VLOOKUP($D140,素材!$1:$1016,COLUMN($F$1),FALSE)) - LEN(SUBSTITUTE(VLOOKUP($D140,素材!$1:$1016,COLUMN($F$1),FALSE), "・", 0)) + 1), 0)</f>
        <v>0</v>
      </c>
      <c r="AG140">
        <f>IF(ISNUMBER(SEARCH(SUBSTITUTE(AG$1,RIGHT(AG$1,2),""),VLOOKUP($D140,素材!$1:$1016,COLUMN($F$1),FALSE))),VLOOKUP($C140,武器!$1:$998,COLUMN($O$1),FALSE)*VLOOKUP($D140,素材!$1:$1016,COLUMN($E$1),FALSE)/(LEN(VLOOKUP($D140,素材!$1:$1016,COLUMN($F$1),FALSE)) - LEN(SUBSTITUTE(VLOOKUP($D140,素材!$1:$1016,COLUMN($F$1),FALSE), "・", 0)) + 1), 0)</f>
        <v>2.5</v>
      </c>
      <c r="AH140">
        <f>IF(ISNUMBER(SEARCH(SUBSTITUTE(AH$1,RIGHT(AH$1,2),""),VLOOKUP($D140,素材!$1:$1016,COLUMN($F$1),FALSE))),VLOOKUP($C140,武器!$1:$998,COLUMN($O$1),FALSE)*VLOOKUP($D140,素材!$1:$1016,COLUMN($E$1),FALSE)/(LEN(VLOOKUP($D140,素材!$1:$1016,COLUMN($F$1),FALSE)) - LEN(SUBSTITUTE(VLOOKUP($D140,素材!$1:$1016,COLUMN($F$1),FALSE), "・", 0)) + 1), 0)</f>
        <v>0</v>
      </c>
      <c r="AI140">
        <f>IF(ISNUMBER(SEARCH(SUBSTITUTE(AI$1,RIGHT(AI$1,2),""),VLOOKUP($D140,素材!$1:$1016,COLUMN($F$1),FALSE))),VLOOKUP($C140,武器!$1:$998,COLUMN($O$1),FALSE)*VLOOKUP($D140,素材!$1:$1016,COLUMN($E$1),FALSE)/(LEN(VLOOKUP($D140,素材!$1:$1016,COLUMN($F$1),FALSE)) - LEN(SUBSTITUTE(VLOOKUP($D140,素材!$1:$1016,COLUMN($F$1),FALSE), "・", 0)) + 1), 0)</f>
        <v>0</v>
      </c>
      <c r="AJ140">
        <f>IF(ISNUMBER(SEARCH(SUBSTITUTE(AJ$1,RIGHT(AJ$1,2),""),VLOOKUP($D140,素材!$1:$1016,COLUMN($F$1),FALSE))),VLOOKUP($C140,武器!$1:$998,COLUMN($O$1),FALSE)*VLOOKUP($D140,素材!$1:$1016,COLUMN($E$1),FALSE)/(LEN(VLOOKUP($D140,素材!$1:$1016,COLUMN($F$1),FALSE)) - LEN(SUBSTITUTE(VLOOKUP($D140,素材!$1:$1016,COLUMN($F$1),FALSE), "・", 0)) + 1), 0)</f>
        <v>0</v>
      </c>
      <c r="AK140">
        <f>IF(ISNUMBER(SEARCH(SUBSTITUTE(AK$1,RIGHT(AK$1,2),""),VLOOKUP($D140,素材!$1:$1016,COLUMN($F$1),FALSE))),VLOOKUP($C140,武器!$1:$998,COLUMN($O$1),FALSE)*VLOOKUP($D140,素材!$1:$1016,COLUMN($E$1),FALSE)/(LEN(VLOOKUP($D140,素材!$1:$1016,COLUMN($F$1),FALSE)) - LEN(SUBSTITUTE(VLOOKUP($D140,素材!$1:$1016,COLUMN($F$1),FALSE), "・", 0)) + 1), 0)</f>
        <v>0</v>
      </c>
      <c r="AL140">
        <f>IF(ISNUMBER(SEARCH(SUBSTITUTE(AL$1,RIGHT(AL$1,2),""),VLOOKUP($D140,素材!$1:$1016,COLUMN($F$1),FALSE))),VLOOKUP($C140,武器!$1:$998,COLUMN($O$1),FALSE)*VLOOKUP($D140,素材!$1:$1016,COLUMN($E$1),FALSE)/(LEN(VLOOKUP($D140,素材!$1:$1016,COLUMN($F$1),FALSE)) - LEN(SUBSTITUTE(VLOOKUP($D140,素材!$1:$1016,COLUMN($F$1),FALSE), "・", 0)) + 1), 0)</f>
        <v>0</v>
      </c>
      <c r="AM140">
        <f>IF(ISNUMBER(SEARCH(SUBSTITUTE(AM$1,RIGHT(AM$1,2),""),VLOOKUP($D140,素材!$1:$1016,COLUMN($F$1),FALSE))),VLOOKUP($C140,武器!$1:$998,COLUMN($O$1),FALSE)*VLOOKUP($D140,素材!$1:$1016,COLUMN($E$1),FALSE)/(LEN(VLOOKUP($D140,素材!$1:$1016,COLUMN($F$1),FALSE)) - LEN(SUBSTITUTE(VLOOKUP($D140,素材!$1:$1016,COLUMN($F$1),FALSE), "・", 0)) + 1), 0)</f>
        <v>0</v>
      </c>
      <c r="AN140">
        <f>IF(ISNUMBER(SEARCH(SUBSTITUTE(AN$1,RIGHT(AN$1,2),""),VLOOKUP($D140,素材!$1:$1016,COLUMN($F$1),FALSE))),VLOOKUP($C140,武器!$1:$998,COLUMN($O$1),FALSE)*VLOOKUP($D140,素材!$1:$1016,COLUMN($E$1),FALSE)/(LEN(VLOOKUP($D140,素材!$1:$1016,COLUMN($F$1),FALSE)) - LEN(SUBSTITUTE(VLOOKUP($D140,素材!$1:$1016,COLUMN($F$1),FALSE), "・", 0)) + 1), 0)</f>
        <v>0</v>
      </c>
      <c r="AO140">
        <f>IF(ISNUMBER(SEARCH(SUBSTITUTE(AO$1,RIGHT(AO$1,2),""),VLOOKUP($D140,素材!$1:$1016,COLUMN($F$1),FALSE))),VLOOKUP($C140,武器!$1:$998,COLUMN($O$1),FALSE)*VLOOKUP($D140,素材!$1:$1016,COLUMN($E$1),FALSE)/(LEN(VLOOKUP($D140,素材!$1:$1016,COLUMN($F$1),FALSE)) - LEN(SUBSTITUTE(VLOOKUP($D140,素材!$1:$1016,COLUMN($F$1),FALSE), "・", 0)) + 1), 0)</f>
        <v>0</v>
      </c>
      <c r="AP140">
        <f>IF(ISNUMBER(SEARCH(SUBSTITUTE(AP$1,RIGHT(AP$1,2),""),VLOOKUP($D140,素材!$1:$1016,COLUMN($F$1),FALSE))),VLOOKUP($C140,武器!$1:$998,COLUMN($O$1),FALSE)*VLOOKUP($D140,素材!$1:$1016,COLUMN($E$1),FALSE)/(LEN(VLOOKUP($D140,素材!$1:$1016,COLUMN($F$1),FALSE)) - LEN(SUBSTITUTE(VLOOKUP($D140,素材!$1:$1016,COLUMN($F$1),FALSE), "・", 0)) + 1), 0)</f>
        <v>0</v>
      </c>
      <c r="AQ140">
        <f>IF(ISNUMBER(SEARCH(SUBSTITUTE(AQ$1,RIGHT(AQ$1,2),""),VLOOKUP($D140,素材!$1:$1016,COLUMN($F$1),FALSE))),VLOOKUP($C140,武器!$1:$998,COLUMN($O$1),FALSE)*VLOOKUP($D140,素材!$1:$1016,COLUMN($E$1),FALSE)/(LEN(VLOOKUP($D140,素材!$1:$1016,COLUMN($F$1),FALSE)) - LEN(SUBSTITUTE(VLOOKUP($D140,素材!$1:$1016,COLUMN($F$1),FALSE), "・", 0)) + 1), 0)</f>
        <v>0</v>
      </c>
      <c r="AR140">
        <f>IF(ISNUMBER(SEARCH(SUBSTITUTE(AR$1,RIGHT(AR$1,2),""),VLOOKUP($D140,素材!$1:$1016,COLUMN($F$1),FALSE))),VLOOKUP($C140,武器!$1:$998,COLUMN($O$1),FALSE)*VLOOKUP($D140,素材!$1:$1016,COLUMN($E$1),FALSE)/(LEN(VLOOKUP($D140,素材!$1:$1016,COLUMN($F$1),FALSE)) - LEN(SUBSTITUTE(VLOOKUP($D140,素材!$1:$1016,COLUMN($F$1),FALSE), "・", 0)) + 1), 0)</f>
        <v>0</v>
      </c>
      <c r="AS140">
        <f>IF(ISNUMBER(SEARCH(SUBSTITUTE(AS$1,RIGHT(AS$1,2),""),VLOOKUP($D140,素材!$1:$1016,COLUMN($F$1),FALSE))),VLOOKUP($C140,武器!$1:$998,COLUMN($O$1),FALSE)*VLOOKUP($D140,素材!$1:$1016,COLUMN($E$1),FALSE)/(LEN(VLOOKUP($D140,素材!$1:$1016,COLUMN($F$1),FALSE)) - LEN(SUBSTITUTE(VLOOKUP($D140,素材!$1:$1016,COLUMN($F$1),FALSE), "・", 0)) + 1), 0)</f>
        <v>0</v>
      </c>
      <c r="AT140">
        <f>IF(ISNUMBER(SEARCH(SUBSTITUTE(AT$1,RIGHT(AT$1,2),""),VLOOKUP($D140,素材!$1:$1016,COLUMN($F$1),FALSE))),VLOOKUP($C140,武器!$1:$998,COLUMN($O$1),FALSE)*VLOOKUP($D140,素材!$1:$1016,COLUMN($E$1),FALSE)/(LEN(VLOOKUP($D140,素材!$1:$1016,COLUMN($F$1),FALSE)) - LEN(SUBSTITUTE(VLOOKUP($D140,素材!$1:$1016,COLUMN($F$1),FALSE), "・", 0)) + 1), 0)</f>
        <v>0</v>
      </c>
      <c r="AU140">
        <f>IF(ISNUMBER(SEARCH(SUBSTITUTE(AU$1,RIGHT(AU$1,2),""),VLOOKUP($D140,素材!$1:$1016,COLUMN($F$1),FALSE))),VLOOKUP($C140,武器!$1:$998,COLUMN($O$1),FALSE)*VLOOKUP($D140,素材!$1:$1016,COLUMN($E$1),FALSE)/(LEN(VLOOKUP($D140,素材!$1:$1016,COLUMN($F$1),FALSE)) - LEN(SUBSTITUTE(VLOOKUP($D140,素材!$1:$1016,COLUMN($F$1),FALSE), "・", 0)) + 1), 0)</f>
        <v>0</v>
      </c>
      <c r="AV140">
        <f>IF(ISNUMBER(SEARCH(SUBSTITUTE(AV$1,RIGHT(AV$1,2),""),VLOOKUP($D140,素材!$1:$1016,COLUMN($F$1),FALSE))),VLOOKUP($C140,武器!$1:$998,COLUMN($O$1),FALSE)*VLOOKUP($D140,素材!$1:$1016,COLUMN($E$1),FALSE)/(LEN(VLOOKUP($D140,素材!$1:$1016,COLUMN($F$1),FALSE)) - LEN(SUBSTITUTE(VLOOKUP($D140,素材!$1:$1016,COLUMN($F$1),FALSE), "・", 0)) + 1), 0)</f>
        <v>0</v>
      </c>
      <c r="AW140">
        <f>IF(ISNUMBER(SEARCH(SUBSTITUTE(AW$1,RIGHT(AW$1,2),""),VLOOKUP($D140,素材!$1:$1016,COLUMN($F$1),FALSE))),VLOOKUP($C140,武器!$1:$998,COLUMN($O$1),FALSE)*VLOOKUP($D140,素材!$1:$1016,COLUMN($E$1),FALSE)/(LEN(VLOOKUP($D140,素材!$1:$1016,COLUMN($F$1),FALSE)) - LEN(SUBSTITUTE(VLOOKUP($D140,素材!$1:$1016,COLUMN($F$1),FALSE), "・", 0)) + 1), 0)</f>
        <v>0</v>
      </c>
      <c r="AX140">
        <f>IF(ISNUMBER(SEARCH(SUBSTITUTE(AX$1,RIGHT(AX$1,2),""),VLOOKUP($D140,素材!$1:$1016,COLUMN($F$1),FALSE))),VLOOKUP($C140,武器!$1:$998,COLUMN($O$1),FALSE)*VLOOKUP($D140,素材!$1:$1016,COLUMN($E$1),FALSE)/(LEN(VLOOKUP($D140,素材!$1:$1016,COLUMN($F$1),FALSE)) - LEN(SUBSTITUTE(VLOOKUP($D140,素材!$1:$1016,COLUMN($F$1),FALSE), "・", 0)) + 1), 0)</f>
        <v>0</v>
      </c>
      <c r="AY140">
        <f>IF(ISNUMBER(SEARCH(SUBSTITUTE(AY$1,RIGHT(AY$1,2),""),VLOOKUP($D140,素材!$1:$1016,COLUMN($F$1),FALSE))),VLOOKUP($C140,武器!$1:$998,COLUMN($O$1),FALSE)*VLOOKUP($D140,素材!$1:$1016,COLUMN($E$1),FALSE)/(LEN(VLOOKUP($D140,素材!$1:$1016,COLUMN($F$1),FALSE)) - LEN(SUBSTITUTE(VLOOKUP($D140,素材!$1:$1016,COLUMN($F$1),FALSE), "・", 0)) + 1), 0)</f>
        <v>0</v>
      </c>
      <c r="AZ140">
        <f>IF(ISNUMBER(SEARCH(SUBSTITUTE(AZ$1,RIGHT(AZ$1,2),""),VLOOKUP($D140,素材!$1:$1016,COLUMN($F$1),FALSE))),VLOOKUP($C140,武器!$1:$998,COLUMN($O$1),FALSE)*VLOOKUP($D140,素材!$1:$1016,COLUMN($E$1),FALSE)/(LEN(VLOOKUP($D140,素材!$1:$1016,COLUMN($F$1),FALSE)) - LEN(SUBSTITUTE(VLOOKUP($D140,素材!$1:$1016,COLUMN($F$1),FALSE), "・", 0)) + 1), 0)</f>
        <v>0</v>
      </c>
      <c r="BA140">
        <f>IF(ISNUMBER(SEARCH(SUBSTITUTE(BA$1,RIGHT(BA$1,2),""),VLOOKUP($D140,素材!$1:$1016,COLUMN($F$1),FALSE))),VLOOKUP($C140,武器!$1:$998,COLUMN($O$1),FALSE)*VLOOKUP($D140,素材!$1:$1016,COLUMN($E$1),FALSE)/(LEN(VLOOKUP($D140,素材!$1:$1016,COLUMN($F$1),FALSE)) - LEN(SUBSTITUTE(VLOOKUP($D140,素材!$1:$1016,COLUMN($F$1),FALSE), "・", 0)) + 1), 0)</f>
        <v>0</v>
      </c>
      <c r="BB140">
        <f>IF(ISNUMBER(SEARCH(SUBSTITUTE(BB$1,RIGHT(BB$1,2),""),VLOOKUP($D140,素材!$1:$1016,COLUMN($F$1),FALSE))),VLOOKUP($C140,武器!$1:$998,COLUMN($O$1),FALSE)*VLOOKUP($D140,素材!$1:$1016,COLUMN($E$1),FALSE)/(LEN(VLOOKUP($D140,素材!$1:$1016,COLUMN($F$1),FALSE)) - LEN(SUBSTITUTE(VLOOKUP($D140,素材!$1:$1016,COLUMN($F$1),FALSE), "・", 0)) + 1), 0)</f>
        <v>0</v>
      </c>
      <c r="BC140">
        <f>IF(ISNUMBER(SEARCH(SUBSTITUTE(BC$1,RIGHT(BC$1,2),""),VLOOKUP($D140,素材!$1:$1016,COLUMN($F$1),FALSE))),VLOOKUP($C140,武器!$1:$998,COLUMN($O$1),FALSE)*VLOOKUP($D140,素材!$1:$1016,COLUMN($E$1),FALSE)/(LEN(VLOOKUP($D140,素材!$1:$1016,COLUMN($F$1),FALSE)) - LEN(SUBSTITUTE(VLOOKUP($D140,素材!$1:$1016,COLUMN($F$1),FALSE), "・", 0)) + 1), 0)</f>
        <v>0</v>
      </c>
      <c r="BD140">
        <f>IF(ISNUMBER(SEARCH(SUBSTITUTE(BD$1,RIGHT(BD$1,2),""),VLOOKUP($D140,素材!$1:$1016,COLUMN($F$1),FALSE))),VLOOKUP($C140,武器!$1:$998,COLUMN($O$1),FALSE)*VLOOKUP($D140,素材!$1:$1016,COLUMN($E$1),FALSE)/(LEN(VLOOKUP($D140,素材!$1:$1016,COLUMN($F$1),FALSE)) - LEN(SUBSTITUTE(VLOOKUP($D140,素材!$1:$1016,COLUMN($F$1),FALSE), "・", 0)) + 1), 0)</f>
        <v>0</v>
      </c>
      <c r="BE140">
        <f>IF(ISNUMBER(SEARCH(SUBSTITUTE(BE$1,RIGHT(BE$1,2),""),VLOOKUP($D140,素材!$1:$1016,COLUMN($F$1),FALSE))),VLOOKUP($C140,武器!$1:$998,COLUMN($O$1),FALSE)*VLOOKUP($D140,素材!$1:$1016,COLUMN($E$1),FALSE)/(LEN(VLOOKUP($D140,素材!$1:$1016,COLUMN($F$1),FALSE)) - LEN(SUBSTITUTE(VLOOKUP($D140,素材!$1:$1016,COLUMN($F$1),FALSE), "・", 0)) + 1), 0)</f>
        <v>0</v>
      </c>
      <c r="CL140">
        <f>SUM(G140:I140)</f>
        <v>0</v>
      </c>
      <c r="CM140" s="22" t="str">
        <f>IF(E140="武器",IF(J140-1&gt;SUM(G140:I140),"盾",IF(MAX(G140:I140)=G140,"切断",IF(MAX(G140:I140)=H140,"貫通",IF(MAX(G140:I140)=I140,"打撃","射撃")))),E140)&amp;".webp"</f>
        <v>頭.webp</v>
      </c>
      <c r="CN140">
        <f>IFERROR(VLOOKUP($C140,武器!$1:$998,COLUMN(V$1),FALSE)*VLOOKUP($D140,素材!$1:$1016,COLUMN(N$1),FALSE)+IF(CI140="",0,VLOOKUP($CI140,装強!$1:$1008,COLUMN($CK$1),FALSE)),"")</f>
        <v>5500</v>
      </c>
      <c r="CO140" t="str">
        <f>VLOOKUP(D140,素材!$A:$O,COLUMN(素材!O$1),FALSE)</f>
        <v>雷属性を持つドラゴン型生物から採取される鱗素材。雷属性攻撃への耐性を強化し、武器の電撃効果を高めることも可能です。</v>
      </c>
      <c r="CP140" t="str">
        <f>VLOOKUP(C140,武器!$A:$W,COLUMN(武器!W$1),FALSE)</f>
        <v>命中 魔防 Cr</v>
      </c>
      <c r="CR140" t="str">
        <f t="shared" si="18"/>
        <v>e_140</v>
      </c>
      <c r="CS140">
        <f t="shared" ref="CS140" si="21">CN140*100</f>
        <v>550000</v>
      </c>
    </row>
    <row r="141" spans="1:97" outlineLevel="1" x14ac:dyDescent="0.4">
      <c r="A141" t="str">
        <f t="shared" si="17"/>
        <v>雷蜥蜴の鱗の衣布</v>
      </c>
      <c r="B141" t="str">
        <f>IFERROR(VLOOKUP($D141,素材!$1:$1016,COLUMN($B$1),FALSE)&amp;"・"&amp;VLOOKUP($C141,武器!$1:$998,COLUMN(B$1),FALSE),"")</f>
        <v>サンダードレイクスケール・クロース</v>
      </c>
      <c r="C141" t="s">
        <v>247</v>
      </c>
      <c r="D141" s="24" t="s">
        <v>249</v>
      </c>
      <c r="E141" t="str">
        <f>IFERROR(VLOOKUP(C141,武器!$1:$998,COLUMN(C$1),FALSE),"")</f>
        <v>体</v>
      </c>
      <c r="F141">
        <f>IFERROR(ROUNDDOWN((VLOOKUP($C141,武器!$1:$998,COLUMN(D$1),FALSE)+IFERROR(VLOOKUP($CI141,装強!$1:$999,COLUMN(F$1),FALSE),0))*VLOOKUP($D141,素材!$1:$1016,COLUMN(D$1),FALSE),0),"")</f>
        <v>0</v>
      </c>
      <c r="G141">
        <f>IFERROR(ROUNDDOWN((VLOOKUP($C141,武器!$1:$998,COLUMN(E$1),FALSE)+IFERROR(VLOOKUP($CI141,装強!$1:$999,COLUMN(G$1),FALSE),0))*VLOOKUP($D141,素材!$1:$1016,COLUMN($E$1),FALSE),0),"")</f>
        <v>0</v>
      </c>
      <c r="H141">
        <f>IFERROR(ROUNDDOWN((VLOOKUP($C141,武器!$1:$998,COLUMN(F$1),FALSE)+IFERROR(VLOOKUP($CI141,装強!$1:$999,COLUMN(H$1),FALSE),0))*VLOOKUP($D141,素材!$1:$1016,COLUMN($E$1),FALSE),0),"")</f>
        <v>0</v>
      </c>
      <c r="I141">
        <f>IFERROR(ROUNDDOWN((VLOOKUP($C141,武器!$1:$998,COLUMN(G$1),FALSE)+IFERROR(VLOOKUP($CI141,装強!$1:$999,COLUMN(I$1),FALSE),0))*VLOOKUP($D141,素材!$1:$1016,COLUMN($E$1),FALSE),0),"")</f>
        <v>0</v>
      </c>
      <c r="J141">
        <f>IFERROR(ROUNDDOWN((VLOOKUP($C141,武器!$1:$998,COLUMN(H$1),FALSE)+IFERROR(VLOOKUP($CI141,装強!$1:$999,COLUMN(J$1),FALSE),0))*VLOOKUP($D141,素材!$1:$1016,COLUMN($E$1),FALSE),0),"")</f>
        <v>0</v>
      </c>
      <c r="K141">
        <f>IFERROR(ROUNDDOWN((VLOOKUP($C141,武器!$1:$998,COLUMN(I$1),FALSE)+IFERROR(VLOOKUP($CI141,装強!$1:$999,COLUMN(K$1),FALSE),0))*VLOOKUP($D141,素材!$1:$1016,COLUMN($E$1),FALSE),0),"")</f>
        <v>0</v>
      </c>
      <c r="L141" t="str">
        <f>IFERROR(VLOOKUP($D141,素材!$1:$1016,COLUMN($F$1),FALSE),"")</f>
        <v>雷</v>
      </c>
      <c r="M141">
        <f>IFERROR(VLOOKUP($C141,武器!$1:$998,COLUMN(AA$1),FALSE)*VLOOKUP($D141,素材!$1:$1016,COLUMN($G$1),FALSE),"")</f>
        <v>0</v>
      </c>
      <c r="N141">
        <f>IFERROR(VLOOKUP($C141,武器!$1:$998,COLUMN(I$1),FALSE),"")</f>
        <v>0</v>
      </c>
      <c r="O141" s="23" t="str">
        <f>IFERROR((VLOOKUP($C141,武器!$1:$998,COLUMN(K$1),FALSE)+VLOOKUP($D141,素材!$1:$1016,COLUMN(H$1),FALSE))*100+IFERROR(VLOOKUP($CI141,装強!$1:$999,COLUMN(O$1),FALSE),0),"")</f>
        <v/>
      </c>
      <c r="P141" s="23" t="str">
        <f>IFERROR((VLOOKUP($C141,武器!$1:$998,COLUMN(L$1),FALSE)+VLOOKUP($D141,素材!$1:$1016,COLUMN(I$1),FALSE))*100+IFERROR(VLOOKUP($CI141,装強!$1:$999,COLUMN(P$1),FALSE),0),"")</f>
        <v/>
      </c>
      <c r="Q141">
        <f>IFERROR(ROUNDUP(VLOOKUP($C141,武器!$1:$998,COLUMN(M$1),FALSE)*(VLOOKUP($D141,素材!$1:$1002,COLUMN(D$1),FALSE)/100),1),"")</f>
        <v>0</v>
      </c>
      <c r="R141">
        <f>IFERROR(ROUNDUP(VLOOKUP($C141,武器!$1:$998,COLUMN(N$1),FALSE)*(VLOOKUP($D141,素材!$1:$1002,COLUMN(D$1),FALSE)/100),1),"")</f>
        <v>0</v>
      </c>
      <c r="S141">
        <f>IFERROR(VLOOKUP($C141,武器!$1:$998,COLUMN(P$1),FALSE),"")</f>
        <v>0</v>
      </c>
      <c r="T141">
        <f>IFERROR(VLOOKUP($C141,武器!$1:$998,COLUMN(Q$1),FALSE),"")</f>
        <v>0</v>
      </c>
      <c r="U141">
        <f>IFERROR(VLOOKUP($C141,武器!$1:$998,COLUMN(R$1),FALSE),"")</f>
        <v>0</v>
      </c>
      <c r="V141">
        <f>IFERROR(VLOOKUP($C141,武器!$1:$998,COLUMN(Q$1),FALSE),"")</f>
        <v>0</v>
      </c>
      <c r="W141">
        <f>IFERROR(VLOOKUP($C141,武器!$1:$998,COLUMN(T$1),FALSE),"")</f>
        <v>0</v>
      </c>
      <c r="Y141">
        <f>IFERROR(VLOOKUP($C141,武器!$1:$998,COLUMN(U$1),FALSE),"")</f>
        <v>0</v>
      </c>
      <c r="Z141">
        <f>IFERROR(ROUNDUP(VLOOKUP($C141,武器!$1:$998,COLUMN(O$1),FALSE)*VLOOKUP($D141,素材!$1:$1016,COLUMN(E$1),FALSE),1),"")</f>
        <v>7.5</v>
      </c>
      <c r="AA141">
        <f>IF(ISNUMBER(SEARCH(SUBSTITUTE(AA$1,RIGHT(AA$1,2),""),VLOOKUP($D141,素材!$1:$1016,COLUMN($F$1),FALSE))),VLOOKUP($C141,武器!$1:$998,COLUMN($O$1),FALSE)*VLOOKUP($D141,素材!$1:$1016,COLUMN($E$1),FALSE)/(LEN(VLOOKUP($D141,素材!$1:$1016,COLUMN($F$1),FALSE)) - LEN(SUBSTITUTE(VLOOKUP($D141,素材!$1:$1016,COLUMN($F$1),FALSE), "・", 0)) + 1), 0)</f>
        <v>0</v>
      </c>
      <c r="AB141">
        <f>IF(ISNUMBER(SEARCH(SUBSTITUTE(AB$1,RIGHT(AB$1,2),""),VLOOKUP($D141,素材!$1:$1016,COLUMN($F$1),FALSE))),VLOOKUP($C141,武器!$1:$998,COLUMN($O$1),FALSE)*VLOOKUP($D141,素材!$1:$1016,COLUMN($E$1),FALSE)/(LEN(VLOOKUP($D141,素材!$1:$1016,COLUMN($F$1),FALSE)) - LEN(SUBSTITUTE(VLOOKUP($D141,素材!$1:$1016,COLUMN($F$1),FALSE), "・", 0)) + 1), 0)</f>
        <v>0</v>
      </c>
      <c r="AC141">
        <f>IF(ISNUMBER(SEARCH(SUBSTITUTE(AC$1,RIGHT(AC$1,2),""),VLOOKUP($D141,素材!$1:$1016,COLUMN($F$1),FALSE))),VLOOKUP($C141,武器!$1:$998,COLUMN($O$1),FALSE)*VLOOKUP($D141,素材!$1:$1016,COLUMN($E$1),FALSE)/(LEN(VLOOKUP($D141,素材!$1:$1016,COLUMN($F$1),FALSE)) - LEN(SUBSTITUTE(VLOOKUP($D141,素材!$1:$1016,COLUMN($F$1),FALSE), "・", 0)) + 1), 0)</f>
        <v>0</v>
      </c>
      <c r="AD141">
        <f>IF(ISNUMBER(SEARCH(SUBSTITUTE(AD$1,RIGHT(AD$1,2),""),VLOOKUP($D141,素材!$1:$1016,COLUMN($F$1),FALSE))),VLOOKUP($C141,武器!$1:$998,COLUMN($O$1),FALSE)*VLOOKUP($D141,素材!$1:$1016,COLUMN($E$1),FALSE)/(LEN(VLOOKUP($D141,素材!$1:$1016,COLUMN($F$1),FALSE)) - LEN(SUBSTITUTE(VLOOKUP($D141,素材!$1:$1016,COLUMN($F$1),FALSE), "・", 0)) + 1), 0)</f>
        <v>0</v>
      </c>
      <c r="AE141">
        <f>IF(ISNUMBER(SEARCH(SUBSTITUTE(AE$1,RIGHT(AE$1,2),""),VLOOKUP($D141,素材!$1:$1016,COLUMN($F$1),FALSE))),VLOOKUP($C141,武器!$1:$998,COLUMN($O$1),FALSE)*VLOOKUP($D141,素材!$1:$1016,COLUMN($E$1),FALSE)/(LEN(VLOOKUP($D141,素材!$1:$1016,COLUMN($F$1),FALSE)) - LEN(SUBSTITUTE(VLOOKUP($D141,素材!$1:$1016,COLUMN($F$1),FALSE), "・", 0)) + 1), 0)</f>
        <v>0</v>
      </c>
      <c r="AF141">
        <f>IF(ISNUMBER(SEARCH(SUBSTITUTE(AF$1,RIGHT(AF$1,2),""),VLOOKUP($D141,素材!$1:$1016,COLUMN($F$1),FALSE))),VLOOKUP($C141,武器!$1:$998,COLUMN($O$1),FALSE)*VLOOKUP($D141,素材!$1:$1016,COLUMN($E$1),FALSE)/(LEN(VLOOKUP($D141,素材!$1:$1016,COLUMN($F$1),FALSE)) - LEN(SUBSTITUTE(VLOOKUP($D141,素材!$1:$1016,COLUMN($F$1),FALSE), "・", 0)) + 1), 0)</f>
        <v>0</v>
      </c>
      <c r="AG141">
        <f>IF(ISNUMBER(SEARCH(SUBSTITUTE(AG$1,RIGHT(AG$1,2),""),VLOOKUP($D141,素材!$1:$1016,COLUMN($F$1),FALSE))),VLOOKUP($C141,武器!$1:$998,COLUMN($O$1),FALSE)*VLOOKUP($D141,素材!$1:$1016,COLUMN($E$1),FALSE)/(LEN(VLOOKUP($D141,素材!$1:$1016,COLUMN($F$1),FALSE)) - LEN(SUBSTITUTE(VLOOKUP($D141,素材!$1:$1016,COLUMN($F$1),FALSE), "・", 0)) + 1), 0)</f>
        <v>7.5</v>
      </c>
      <c r="AH141">
        <f>IF(ISNUMBER(SEARCH(SUBSTITUTE(AH$1,RIGHT(AH$1,2),""),VLOOKUP($D141,素材!$1:$1016,COLUMN($F$1),FALSE))),VLOOKUP($C141,武器!$1:$998,COLUMN($O$1),FALSE)*VLOOKUP($D141,素材!$1:$1016,COLUMN($E$1),FALSE)/(LEN(VLOOKUP($D141,素材!$1:$1016,COLUMN($F$1),FALSE)) - LEN(SUBSTITUTE(VLOOKUP($D141,素材!$1:$1016,COLUMN($F$1),FALSE), "・", 0)) + 1), 0)</f>
        <v>0</v>
      </c>
      <c r="AI141">
        <f>IF(ISNUMBER(SEARCH(SUBSTITUTE(AI$1,RIGHT(AI$1,2),""),VLOOKUP($D141,素材!$1:$1016,COLUMN($F$1),FALSE))),VLOOKUP($C141,武器!$1:$998,COLUMN($O$1),FALSE)*VLOOKUP($D141,素材!$1:$1016,COLUMN($E$1),FALSE)/(LEN(VLOOKUP($D141,素材!$1:$1016,COLUMN($F$1),FALSE)) - LEN(SUBSTITUTE(VLOOKUP($D141,素材!$1:$1016,COLUMN($F$1),FALSE), "・", 0)) + 1), 0)</f>
        <v>0</v>
      </c>
      <c r="AJ141">
        <f>IF(ISNUMBER(SEARCH(SUBSTITUTE(AJ$1,RIGHT(AJ$1,2),""),VLOOKUP($D141,素材!$1:$1016,COLUMN($F$1),FALSE))),VLOOKUP($C141,武器!$1:$998,COLUMN($O$1),FALSE)*VLOOKUP($D141,素材!$1:$1016,COLUMN($E$1),FALSE)/(LEN(VLOOKUP($D141,素材!$1:$1016,COLUMN($F$1),FALSE)) - LEN(SUBSTITUTE(VLOOKUP($D141,素材!$1:$1016,COLUMN($F$1),FALSE), "・", 0)) + 1), 0)</f>
        <v>0</v>
      </c>
      <c r="AK141">
        <f>IF(ISNUMBER(SEARCH(SUBSTITUTE(AK$1,RIGHT(AK$1,2),""),VLOOKUP($D141,素材!$1:$1016,COLUMN($F$1),FALSE))),VLOOKUP($C141,武器!$1:$998,COLUMN($O$1),FALSE)*VLOOKUP($D141,素材!$1:$1016,COLUMN($E$1),FALSE)/(LEN(VLOOKUP($D141,素材!$1:$1016,COLUMN($F$1),FALSE)) - LEN(SUBSTITUTE(VLOOKUP($D141,素材!$1:$1016,COLUMN($F$1),FALSE), "・", 0)) + 1), 0)</f>
        <v>0</v>
      </c>
      <c r="AL141">
        <f>IF(ISNUMBER(SEARCH(SUBSTITUTE(AL$1,RIGHT(AL$1,2),""),VLOOKUP($D141,素材!$1:$1016,COLUMN($F$1),FALSE))),VLOOKUP($C141,武器!$1:$998,COLUMN($O$1),FALSE)*VLOOKUP($D141,素材!$1:$1016,COLUMN($E$1),FALSE)/(LEN(VLOOKUP($D141,素材!$1:$1016,COLUMN($F$1),FALSE)) - LEN(SUBSTITUTE(VLOOKUP($D141,素材!$1:$1016,COLUMN($F$1),FALSE), "・", 0)) + 1), 0)</f>
        <v>0</v>
      </c>
      <c r="AM141">
        <f>IF(ISNUMBER(SEARCH(SUBSTITUTE(AM$1,RIGHT(AM$1,2),""),VLOOKUP($D141,素材!$1:$1016,COLUMN($F$1),FALSE))),VLOOKUP($C141,武器!$1:$998,COLUMN($O$1),FALSE)*VLOOKUP($D141,素材!$1:$1016,COLUMN($E$1),FALSE)/(LEN(VLOOKUP($D141,素材!$1:$1016,COLUMN($F$1),FALSE)) - LEN(SUBSTITUTE(VLOOKUP($D141,素材!$1:$1016,COLUMN($F$1),FALSE), "・", 0)) + 1), 0)</f>
        <v>0</v>
      </c>
      <c r="AN141">
        <f>IF(ISNUMBER(SEARCH(SUBSTITUTE(AN$1,RIGHT(AN$1,2),""),VLOOKUP($D141,素材!$1:$1016,COLUMN($F$1),FALSE))),VLOOKUP($C141,武器!$1:$998,COLUMN($O$1),FALSE)*VLOOKUP($D141,素材!$1:$1016,COLUMN($E$1),FALSE)/(LEN(VLOOKUP($D141,素材!$1:$1016,COLUMN($F$1),FALSE)) - LEN(SUBSTITUTE(VLOOKUP($D141,素材!$1:$1016,COLUMN($F$1),FALSE), "・", 0)) + 1), 0)</f>
        <v>0</v>
      </c>
      <c r="AO141">
        <f>IF(ISNUMBER(SEARCH(SUBSTITUTE(AO$1,RIGHT(AO$1,2),""),VLOOKUP($D141,素材!$1:$1016,COLUMN($F$1),FALSE))),VLOOKUP($C141,武器!$1:$998,COLUMN($O$1),FALSE)*VLOOKUP($D141,素材!$1:$1016,COLUMN($E$1),FALSE)/(LEN(VLOOKUP($D141,素材!$1:$1016,COLUMN($F$1),FALSE)) - LEN(SUBSTITUTE(VLOOKUP($D141,素材!$1:$1016,COLUMN($F$1),FALSE), "・", 0)) + 1), 0)</f>
        <v>0</v>
      </c>
      <c r="AP141">
        <f>IF(ISNUMBER(SEARCH(SUBSTITUTE(AP$1,RIGHT(AP$1,2),""),VLOOKUP($D141,素材!$1:$1016,COLUMN($F$1),FALSE))),VLOOKUP($C141,武器!$1:$998,COLUMN($O$1),FALSE)*VLOOKUP($D141,素材!$1:$1016,COLUMN($E$1),FALSE)/(LEN(VLOOKUP($D141,素材!$1:$1016,COLUMN($F$1),FALSE)) - LEN(SUBSTITUTE(VLOOKUP($D141,素材!$1:$1016,COLUMN($F$1),FALSE), "・", 0)) + 1), 0)</f>
        <v>0</v>
      </c>
      <c r="AQ141">
        <f>IF(ISNUMBER(SEARCH(SUBSTITUTE(AQ$1,RIGHT(AQ$1,2),""),VLOOKUP($D141,素材!$1:$1016,COLUMN($F$1),FALSE))),VLOOKUP($C141,武器!$1:$998,COLUMN($O$1),FALSE)*VLOOKUP($D141,素材!$1:$1016,COLUMN($E$1),FALSE)/(LEN(VLOOKUP($D141,素材!$1:$1016,COLUMN($F$1),FALSE)) - LEN(SUBSTITUTE(VLOOKUP($D141,素材!$1:$1016,COLUMN($F$1),FALSE), "・", 0)) + 1), 0)</f>
        <v>0</v>
      </c>
      <c r="AR141">
        <f>IF(ISNUMBER(SEARCH(SUBSTITUTE(AR$1,RIGHT(AR$1,2),""),VLOOKUP($D141,素材!$1:$1016,COLUMN($F$1),FALSE))),VLOOKUP($C141,武器!$1:$998,COLUMN($O$1),FALSE)*VLOOKUP($D141,素材!$1:$1016,COLUMN($E$1),FALSE)/(LEN(VLOOKUP($D141,素材!$1:$1016,COLUMN($F$1),FALSE)) - LEN(SUBSTITUTE(VLOOKUP($D141,素材!$1:$1016,COLUMN($F$1),FALSE), "・", 0)) + 1), 0)</f>
        <v>0</v>
      </c>
      <c r="AS141">
        <f>IF(ISNUMBER(SEARCH(SUBSTITUTE(AS$1,RIGHT(AS$1,2),""),VLOOKUP($D141,素材!$1:$1016,COLUMN($F$1),FALSE))),VLOOKUP($C141,武器!$1:$998,COLUMN($O$1),FALSE)*VLOOKUP($D141,素材!$1:$1016,COLUMN($E$1),FALSE)/(LEN(VLOOKUP($D141,素材!$1:$1016,COLUMN($F$1),FALSE)) - LEN(SUBSTITUTE(VLOOKUP($D141,素材!$1:$1016,COLUMN($F$1),FALSE), "・", 0)) + 1), 0)</f>
        <v>0</v>
      </c>
      <c r="AT141">
        <f>IF(ISNUMBER(SEARCH(SUBSTITUTE(AT$1,RIGHT(AT$1,2),""),VLOOKUP($D141,素材!$1:$1016,COLUMN($F$1),FALSE))),VLOOKUP($C141,武器!$1:$998,COLUMN($O$1),FALSE)*VLOOKUP($D141,素材!$1:$1016,COLUMN($E$1),FALSE)/(LEN(VLOOKUP($D141,素材!$1:$1016,COLUMN($F$1),FALSE)) - LEN(SUBSTITUTE(VLOOKUP($D141,素材!$1:$1016,COLUMN($F$1),FALSE), "・", 0)) + 1), 0)</f>
        <v>0</v>
      </c>
      <c r="AU141">
        <f>IF(ISNUMBER(SEARCH(SUBSTITUTE(AU$1,RIGHT(AU$1,2),""),VLOOKUP($D141,素材!$1:$1016,COLUMN($F$1),FALSE))),VLOOKUP($C141,武器!$1:$998,COLUMN($O$1),FALSE)*VLOOKUP($D141,素材!$1:$1016,COLUMN($E$1),FALSE)/(LEN(VLOOKUP($D141,素材!$1:$1016,COLUMN($F$1),FALSE)) - LEN(SUBSTITUTE(VLOOKUP($D141,素材!$1:$1016,COLUMN($F$1),FALSE), "・", 0)) + 1), 0)</f>
        <v>0</v>
      </c>
      <c r="AV141">
        <f>IF(ISNUMBER(SEARCH(SUBSTITUTE(AV$1,RIGHT(AV$1,2),""),VLOOKUP($D141,素材!$1:$1016,COLUMN($F$1),FALSE))),VLOOKUP($C141,武器!$1:$998,COLUMN($O$1),FALSE)*VLOOKUP($D141,素材!$1:$1016,COLUMN($E$1),FALSE)/(LEN(VLOOKUP($D141,素材!$1:$1016,COLUMN($F$1),FALSE)) - LEN(SUBSTITUTE(VLOOKUP($D141,素材!$1:$1016,COLUMN($F$1),FALSE), "・", 0)) + 1), 0)</f>
        <v>0</v>
      </c>
      <c r="AW141">
        <f>IF(ISNUMBER(SEARCH(SUBSTITUTE(AW$1,RIGHT(AW$1,2),""),VLOOKUP($D141,素材!$1:$1016,COLUMN($F$1),FALSE))),VLOOKUP($C141,武器!$1:$998,COLUMN($O$1),FALSE)*VLOOKUP($D141,素材!$1:$1016,COLUMN($E$1),FALSE)/(LEN(VLOOKUP($D141,素材!$1:$1016,COLUMN($F$1),FALSE)) - LEN(SUBSTITUTE(VLOOKUP($D141,素材!$1:$1016,COLUMN($F$1),FALSE), "・", 0)) + 1), 0)</f>
        <v>0</v>
      </c>
      <c r="AX141">
        <f>IF(ISNUMBER(SEARCH(SUBSTITUTE(AX$1,RIGHT(AX$1,2),""),VLOOKUP($D141,素材!$1:$1016,COLUMN($F$1),FALSE))),VLOOKUP($C141,武器!$1:$998,COLUMN($O$1),FALSE)*VLOOKUP($D141,素材!$1:$1016,COLUMN($E$1),FALSE)/(LEN(VLOOKUP($D141,素材!$1:$1016,COLUMN($F$1),FALSE)) - LEN(SUBSTITUTE(VLOOKUP($D141,素材!$1:$1016,COLUMN($F$1),FALSE), "・", 0)) + 1), 0)</f>
        <v>0</v>
      </c>
      <c r="AY141">
        <f>IF(ISNUMBER(SEARCH(SUBSTITUTE(AY$1,RIGHT(AY$1,2),""),VLOOKUP($D141,素材!$1:$1016,COLUMN($F$1),FALSE))),VLOOKUP($C141,武器!$1:$998,COLUMN($O$1),FALSE)*VLOOKUP($D141,素材!$1:$1016,COLUMN($E$1),FALSE)/(LEN(VLOOKUP($D141,素材!$1:$1016,COLUMN($F$1),FALSE)) - LEN(SUBSTITUTE(VLOOKUP($D141,素材!$1:$1016,COLUMN($F$1),FALSE), "・", 0)) + 1), 0)</f>
        <v>0</v>
      </c>
      <c r="AZ141">
        <f>IF(ISNUMBER(SEARCH(SUBSTITUTE(AZ$1,RIGHT(AZ$1,2),""),VLOOKUP($D141,素材!$1:$1016,COLUMN($F$1),FALSE))),VLOOKUP($C141,武器!$1:$998,COLUMN($O$1),FALSE)*VLOOKUP($D141,素材!$1:$1016,COLUMN($E$1),FALSE)/(LEN(VLOOKUP($D141,素材!$1:$1016,COLUMN($F$1),FALSE)) - LEN(SUBSTITUTE(VLOOKUP($D141,素材!$1:$1016,COLUMN($F$1),FALSE), "・", 0)) + 1), 0)</f>
        <v>0</v>
      </c>
      <c r="BA141">
        <f>IF(ISNUMBER(SEARCH(SUBSTITUTE(BA$1,RIGHT(BA$1,2),""),VLOOKUP($D141,素材!$1:$1016,COLUMN($F$1),FALSE))),VLOOKUP($C141,武器!$1:$998,COLUMN($O$1),FALSE)*VLOOKUP($D141,素材!$1:$1016,COLUMN($E$1),FALSE)/(LEN(VLOOKUP($D141,素材!$1:$1016,COLUMN($F$1),FALSE)) - LEN(SUBSTITUTE(VLOOKUP($D141,素材!$1:$1016,COLUMN($F$1),FALSE), "・", 0)) + 1), 0)</f>
        <v>0</v>
      </c>
      <c r="BB141">
        <f>IF(ISNUMBER(SEARCH(SUBSTITUTE(BB$1,RIGHT(BB$1,2),""),VLOOKUP($D141,素材!$1:$1016,COLUMN($F$1),FALSE))),VLOOKUP($C141,武器!$1:$998,COLUMN($O$1),FALSE)*VLOOKUP($D141,素材!$1:$1016,COLUMN($E$1),FALSE)/(LEN(VLOOKUP($D141,素材!$1:$1016,COLUMN($F$1),FALSE)) - LEN(SUBSTITUTE(VLOOKUP($D141,素材!$1:$1016,COLUMN($F$1),FALSE), "・", 0)) + 1), 0)</f>
        <v>0</v>
      </c>
      <c r="BC141">
        <f>IF(ISNUMBER(SEARCH(SUBSTITUTE(BC$1,RIGHT(BC$1,2),""),VLOOKUP($D141,素材!$1:$1016,COLUMN($F$1),FALSE))),VLOOKUP($C141,武器!$1:$998,COLUMN($O$1),FALSE)*VLOOKUP($D141,素材!$1:$1016,COLUMN($E$1),FALSE)/(LEN(VLOOKUP($D141,素材!$1:$1016,COLUMN($F$1),FALSE)) - LEN(SUBSTITUTE(VLOOKUP($D141,素材!$1:$1016,COLUMN($F$1),FALSE), "・", 0)) + 1), 0)</f>
        <v>0</v>
      </c>
      <c r="BD141">
        <f>IF(ISNUMBER(SEARCH(SUBSTITUTE(BD$1,RIGHT(BD$1,2),""),VLOOKUP($D141,素材!$1:$1016,COLUMN($F$1),FALSE))),VLOOKUP($C141,武器!$1:$998,COLUMN($O$1),FALSE)*VLOOKUP($D141,素材!$1:$1016,COLUMN($E$1),FALSE)/(LEN(VLOOKUP($D141,素材!$1:$1016,COLUMN($F$1),FALSE)) - LEN(SUBSTITUTE(VLOOKUP($D141,素材!$1:$1016,COLUMN($F$1),FALSE), "・", 0)) + 1), 0)</f>
        <v>0</v>
      </c>
      <c r="BE141">
        <f>IF(ISNUMBER(SEARCH(SUBSTITUTE(BE$1,RIGHT(BE$1,2),""),VLOOKUP($D141,素材!$1:$1016,COLUMN($F$1),FALSE))),VLOOKUP($C141,武器!$1:$998,COLUMN($O$1),FALSE)*VLOOKUP($D141,素材!$1:$1016,COLUMN($E$1),FALSE)/(LEN(VLOOKUP($D141,素材!$1:$1016,COLUMN($F$1),FALSE)) - LEN(SUBSTITUTE(VLOOKUP($D141,素材!$1:$1016,COLUMN($F$1),FALSE), "・", 0)) + 1), 0)</f>
        <v>0</v>
      </c>
      <c r="CL141">
        <f>SUM(G141:I141)</f>
        <v>0</v>
      </c>
      <c r="CM141" s="22" t="str">
        <f>IF(E141="武器",IF(J141-1&gt;SUM(G141:I141),"盾",IF(MAX(G141:I141)=G141,"切断",IF(MAX(G141:I141)=H141,"貫通",IF(MAX(G141:I141)=I141,"打撃","射撃")))),E141)&amp;".webp"</f>
        <v>体.webp</v>
      </c>
      <c r="CN141">
        <f>IFERROR(VLOOKUP($C141,武器!$1:$998,COLUMN(V$1),FALSE)*VLOOKUP($D141,素材!$1:$1016,COLUMN(N$1),FALSE)+IF(CI141="",0,VLOOKUP($CI141,装強!$1:$1008,COLUMN($CK$1),FALSE)),"")</f>
        <v>11000</v>
      </c>
      <c r="CO141" t="str">
        <f>VLOOKUP(D141,素材!$A:$O,COLUMN(素材!O$1),FALSE)</f>
        <v>雷属性を持つドラゴン型生物から採取される鱗素材。雷属性攻撃への耐性を強化し、武器の電撃効果を高めることも可能です。</v>
      </c>
      <c r="CP141" t="str">
        <f>VLOOKUP(C141,武器!$A:$W,COLUMN(武器!W$1),FALSE)</f>
        <v>HP 物理 魔法 体幹 出血 疲労 Cr</v>
      </c>
      <c r="CR141" t="str">
        <f t="shared" si="18"/>
        <v>e_141</v>
      </c>
      <c r="CS141">
        <f t="shared" ref="CS141:CS206" si="22">CN141*100</f>
        <v>1100000</v>
      </c>
    </row>
    <row r="142" spans="1:97" outlineLevel="1" x14ac:dyDescent="0.4">
      <c r="A142" t="str">
        <f t="shared" si="17"/>
        <v>雷蜥蜴の鱗の法衣</v>
      </c>
      <c r="B142" t="str">
        <f>IFERROR(VLOOKUP($D142,素材!$1:$1016,COLUMN($B$1),FALSE)&amp;"・"&amp;VLOOKUP($C142,武器!$1:$998,COLUMN(B$1),FALSE),"")</f>
        <v>サンダードレイクスケール・ローブ</v>
      </c>
      <c r="C142" t="s">
        <v>246</v>
      </c>
      <c r="D142" s="24" t="s">
        <v>249</v>
      </c>
      <c r="E142" t="str">
        <f>IFERROR(VLOOKUP(C142,武器!$1:$998,COLUMN(C$1),FALSE),"")</f>
        <v>体</v>
      </c>
      <c r="F142">
        <f>IFERROR(ROUNDDOWN((VLOOKUP($C142,武器!$1:$998,COLUMN(D$1),FALSE)+IFERROR(VLOOKUP($CI142,装強!$1:$999,COLUMN(F$1),FALSE),0))*VLOOKUP($D142,素材!$1:$1016,COLUMN(D$1),FALSE),0),"")</f>
        <v>0</v>
      </c>
      <c r="G142">
        <f>IFERROR(ROUNDDOWN((VLOOKUP($C142,武器!$1:$998,COLUMN(E$1),FALSE)+IFERROR(VLOOKUP($CI142,装強!$1:$999,COLUMN(G$1),FALSE),0))*VLOOKUP($D142,素材!$1:$1016,COLUMN($E$1),FALSE),0),"")</f>
        <v>0</v>
      </c>
      <c r="H142">
        <f>IFERROR(ROUNDDOWN((VLOOKUP($C142,武器!$1:$998,COLUMN(F$1),FALSE)+IFERROR(VLOOKUP($CI142,装強!$1:$999,COLUMN(H$1),FALSE),0))*VLOOKUP($D142,素材!$1:$1016,COLUMN($E$1),FALSE),0),"")</f>
        <v>0</v>
      </c>
      <c r="I142">
        <f>IFERROR(ROUNDDOWN((VLOOKUP($C142,武器!$1:$998,COLUMN(G$1),FALSE)+IFERROR(VLOOKUP($CI142,装強!$1:$999,COLUMN(I$1),FALSE),0))*VLOOKUP($D142,素材!$1:$1016,COLUMN($E$1),FALSE),0),"")</f>
        <v>0</v>
      </c>
      <c r="J142">
        <f>IFERROR(ROUNDDOWN((VLOOKUP($C142,武器!$1:$998,COLUMN(H$1),FALSE)+IFERROR(VLOOKUP($CI142,装強!$1:$999,COLUMN(J$1),FALSE),0))*VLOOKUP($D142,素材!$1:$1016,COLUMN($E$1),FALSE),0),"")</f>
        <v>0</v>
      </c>
      <c r="K142">
        <f>IFERROR(ROUNDDOWN((VLOOKUP($C142,武器!$1:$998,COLUMN(I$1),FALSE)+IFERROR(VLOOKUP($CI142,装強!$1:$999,COLUMN(K$1),FALSE),0))*VLOOKUP($D142,素材!$1:$1016,COLUMN($E$1),FALSE),0),"")</f>
        <v>0</v>
      </c>
      <c r="L142" t="str">
        <f>IFERROR(VLOOKUP($D142,素材!$1:$1016,COLUMN($F$1),FALSE),"")</f>
        <v>雷</v>
      </c>
      <c r="M142">
        <f>IFERROR(VLOOKUP($C142,武器!$1:$998,COLUMN(AA$1),FALSE)*VLOOKUP($D142,素材!$1:$1016,COLUMN($G$1),FALSE),"")</f>
        <v>0</v>
      </c>
      <c r="N142">
        <f>IFERROR(VLOOKUP($C142,武器!$1:$998,COLUMN(I$1),FALSE),"")</f>
        <v>0</v>
      </c>
      <c r="O142" s="23" t="str">
        <f>IFERROR((VLOOKUP($C142,武器!$1:$998,COLUMN(K$1),FALSE)+VLOOKUP($D142,素材!$1:$1016,COLUMN(H$1),FALSE))*100+IFERROR(VLOOKUP($CI142,装強!$1:$999,COLUMN(O$1),FALSE),0),"")</f>
        <v/>
      </c>
      <c r="P142" s="23" t="str">
        <f>IFERROR((VLOOKUP($C142,武器!$1:$998,COLUMN(L$1),FALSE)+VLOOKUP($D142,素材!$1:$1016,COLUMN(I$1),FALSE))*100+IFERROR(VLOOKUP($CI142,装強!$1:$999,COLUMN(P$1),FALSE),0),"")</f>
        <v/>
      </c>
      <c r="Q142">
        <f>IFERROR(ROUNDUP(VLOOKUP($C142,武器!$1:$998,COLUMN(M$1),FALSE)*(VLOOKUP($D142,素材!$1:$1002,COLUMN(D$1),FALSE)/100),1),"")</f>
        <v>0</v>
      </c>
      <c r="R142">
        <f>IFERROR(ROUNDUP(VLOOKUP($C142,武器!$1:$998,COLUMN(N$1),FALSE)*(VLOOKUP($D142,素材!$1:$1002,COLUMN(D$1),FALSE)/100),1),"")</f>
        <v>0</v>
      </c>
      <c r="S142">
        <f>IFERROR(VLOOKUP($C142,武器!$1:$998,COLUMN(P$1),FALSE),"")</f>
        <v>0</v>
      </c>
      <c r="T142">
        <f>IFERROR(VLOOKUP($C142,武器!$1:$998,COLUMN(Q$1),FALSE),"")</f>
        <v>0</v>
      </c>
      <c r="U142">
        <f>IFERROR(VLOOKUP($C142,武器!$1:$998,COLUMN(R$1),FALSE),"")</f>
        <v>0</v>
      </c>
      <c r="V142">
        <f>IFERROR(VLOOKUP($C142,武器!$1:$998,COLUMN(Q$1),FALSE),"")</f>
        <v>0</v>
      </c>
      <c r="W142">
        <f>IFERROR(VLOOKUP($C142,武器!$1:$998,COLUMN(T$1),FALSE),"")</f>
        <v>0</v>
      </c>
      <c r="Y142">
        <f>IFERROR(VLOOKUP($C142,武器!$1:$998,COLUMN(U$1),FALSE),"")</f>
        <v>0</v>
      </c>
      <c r="Z142">
        <f>IFERROR(ROUNDUP(VLOOKUP($C142,武器!$1:$998,COLUMN(O$1),FALSE)*VLOOKUP($D142,素材!$1:$1016,COLUMN(E$1),FALSE),1),"")</f>
        <v>5</v>
      </c>
      <c r="AA142">
        <f>IF(ISNUMBER(SEARCH(SUBSTITUTE(AA$1,RIGHT(AA$1,2),""),VLOOKUP($D142,素材!$1:$1016,COLUMN($F$1),FALSE))),VLOOKUP($C142,武器!$1:$998,COLUMN($O$1),FALSE)*VLOOKUP($D142,素材!$1:$1016,COLUMN($E$1),FALSE)/(LEN(VLOOKUP($D142,素材!$1:$1016,COLUMN($F$1),FALSE)) - LEN(SUBSTITUTE(VLOOKUP($D142,素材!$1:$1016,COLUMN($F$1),FALSE), "・", 0)) + 1), 0)</f>
        <v>0</v>
      </c>
      <c r="AB142">
        <f>IF(ISNUMBER(SEARCH(SUBSTITUTE(AB$1,RIGHT(AB$1,2),""),VLOOKUP($D142,素材!$1:$1016,COLUMN($F$1),FALSE))),VLOOKUP($C142,武器!$1:$998,COLUMN($O$1),FALSE)*VLOOKUP($D142,素材!$1:$1016,COLUMN($E$1),FALSE)/(LEN(VLOOKUP($D142,素材!$1:$1016,COLUMN($F$1),FALSE)) - LEN(SUBSTITUTE(VLOOKUP($D142,素材!$1:$1016,COLUMN($F$1),FALSE), "・", 0)) + 1), 0)</f>
        <v>0</v>
      </c>
      <c r="AC142">
        <f>IF(ISNUMBER(SEARCH(SUBSTITUTE(AC$1,RIGHT(AC$1,2),""),VLOOKUP($D142,素材!$1:$1016,COLUMN($F$1),FALSE))),VLOOKUP($C142,武器!$1:$998,COLUMN($O$1),FALSE)*VLOOKUP($D142,素材!$1:$1016,COLUMN($E$1),FALSE)/(LEN(VLOOKUP($D142,素材!$1:$1016,COLUMN($F$1),FALSE)) - LEN(SUBSTITUTE(VLOOKUP($D142,素材!$1:$1016,COLUMN($F$1),FALSE), "・", 0)) + 1), 0)</f>
        <v>0</v>
      </c>
      <c r="AD142">
        <f>IF(ISNUMBER(SEARCH(SUBSTITUTE(AD$1,RIGHT(AD$1,2),""),VLOOKUP($D142,素材!$1:$1016,COLUMN($F$1),FALSE))),VLOOKUP($C142,武器!$1:$998,COLUMN($O$1),FALSE)*VLOOKUP($D142,素材!$1:$1016,COLUMN($E$1),FALSE)/(LEN(VLOOKUP($D142,素材!$1:$1016,COLUMN($F$1),FALSE)) - LEN(SUBSTITUTE(VLOOKUP($D142,素材!$1:$1016,COLUMN($F$1),FALSE), "・", 0)) + 1), 0)</f>
        <v>0</v>
      </c>
      <c r="AE142">
        <f>IF(ISNUMBER(SEARCH(SUBSTITUTE(AE$1,RIGHT(AE$1,2),""),VLOOKUP($D142,素材!$1:$1016,COLUMN($F$1),FALSE))),VLOOKUP($C142,武器!$1:$998,COLUMN($O$1),FALSE)*VLOOKUP($D142,素材!$1:$1016,COLUMN($E$1),FALSE)/(LEN(VLOOKUP($D142,素材!$1:$1016,COLUMN($F$1),FALSE)) - LEN(SUBSTITUTE(VLOOKUP($D142,素材!$1:$1016,COLUMN($F$1),FALSE), "・", 0)) + 1), 0)</f>
        <v>0</v>
      </c>
      <c r="AF142">
        <f>IF(ISNUMBER(SEARCH(SUBSTITUTE(AF$1,RIGHT(AF$1,2),""),VLOOKUP($D142,素材!$1:$1016,COLUMN($F$1),FALSE))),VLOOKUP($C142,武器!$1:$998,COLUMN($O$1),FALSE)*VLOOKUP($D142,素材!$1:$1016,COLUMN($E$1),FALSE)/(LEN(VLOOKUP($D142,素材!$1:$1016,COLUMN($F$1),FALSE)) - LEN(SUBSTITUTE(VLOOKUP($D142,素材!$1:$1016,COLUMN($F$1),FALSE), "・", 0)) + 1), 0)</f>
        <v>0</v>
      </c>
      <c r="AG142">
        <f>IF(ISNUMBER(SEARCH(SUBSTITUTE(AG$1,RIGHT(AG$1,2),""),VLOOKUP($D142,素材!$1:$1016,COLUMN($F$1),FALSE))),VLOOKUP($C142,武器!$1:$998,COLUMN($O$1),FALSE)*VLOOKUP($D142,素材!$1:$1016,COLUMN($E$1),FALSE)/(LEN(VLOOKUP($D142,素材!$1:$1016,COLUMN($F$1),FALSE)) - LEN(SUBSTITUTE(VLOOKUP($D142,素材!$1:$1016,COLUMN($F$1),FALSE), "・", 0)) + 1), 0)</f>
        <v>5</v>
      </c>
      <c r="AH142">
        <f>IF(ISNUMBER(SEARCH(SUBSTITUTE(AH$1,RIGHT(AH$1,2),""),VLOOKUP($D142,素材!$1:$1016,COLUMN($F$1),FALSE))),VLOOKUP($C142,武器!$1:$998,COLUMN($O$1),FALSE)*VLOOKUP($D142,素材!$1:$1016,COLUMN($E$1),FALSE)/(LEN(VLOOKUP($D142,素材!$1:$1016,COLUMN($F$1),FALSE)) - LEN(SUBSTITUTE(VLOOKUP($D142,素材!$1:$1016,COLUMN($F$1),FALSE), "・", 0)) + 1), 0)</f>
        <v>0</v>
      </c>
      <c r="AI142">
        <f>IF(ISNUMBER(SEARCH(SUBSTITUTE(AI$1,RIGHT(AI$1,2),""),VLOOKUP($D142,素材!$1:$1016,COLUMN($F$1),FALSE))),VLOOKUP($C142,武器!$1:$998,COLUMN($O$1),FALSE)*VLOOKUP($D142,素材!$1:$1016,COLUMN($E$1),FALSE)/(LEN(VLOOKUP($D142,素材!$1:$1016,COLUMN($F$1),FALSE)) - LEN(SUBSTITUTE(VLOOKUP($D142,素材!$1:$1016,COLUMN($F$1),FALSE), "・", 0)) + 1), 0)</f>
        <v>0</v>
      </c>
      <c r="AJ142">
        <f>IF(ISNUMBER(SEARCH(SUBSTITUTE(AJ$1,RIGHT(AJ$1,2),""),VLOOKUP($D142,素材!$1:$1016,COLUMN($F$1),FALSE))),VLOOKUP($C142,武器!$1:$998,COLUMN($O$1),FALSE)*VLOOKUP($D142,素材!$1:$1016,COLUMN($E$1),FALSE)/(LEN(VLOOKUP($D142,素材!$1:$1016,COLUMN($F$1),FALSE)) - LEN(SUBSTITUTE(VLOOKUP($D142,素材!$1:$1016,COLUMN($F$1),FALSE), "・", 0)) + 1), 0)</f>
        <v>0</v>
      </c>
      <c r="AK142">
        <f>IF(ISNUMBER(SEARCH(SUBSTITUTE(AK$1,RIGHT(AK$1,2),""),VLOOKUP($D142,素材!$1:$1016,COLUMN($F$1),FALSE))),VLOOKUP($C142,武器!$1:$998,COLUMN($O$1),FALSE)*VLOOKUP($D142,素材!$1:$1016,COLUMN($E$1),FALSE)/(LEN(VLOOKUP($D142,素材!$1:$1016,COLUMN($F$1),FALSE)) - LEN(SUBSTITUTE(VLOOKUP($D142,素材!$1:$1016,COLUMN($F$1),FALSE), "・", 0)) + 1), 0)</f>
        <v>0</v>
      </c>
      <c r="AL142">
        <f>IF(ISNUMBER(SEARCH(SUBSTITUTE(AL$1,RIGHT(AL$1,2),""),VLOOKUP($D142,素材!$1:$1016,COLUMN($F$1),FALSE))),VLOOKUP($C142,武器!$1:$998,COLUMN($O$1),FALSE)*VLOOKUP($D142,素材!$1:$1016,COLUMN($E$1),FALSE)/(LEN(VLOOKUP($D142,素材!$1:$1016,COLUMN($F$1),FALSE)) - LEN(SUBSTITUTE(VLOOKUP($D142,素材!$1:$1016,COLUMN($F$1),FALSE), "・", 0)) + 1), 0)</f>
        <v>0</v>
      </c>
      <c r="AM142">
        <f>IF(ISNUMBER(SEARCH(SUBSTITUTE(AM$1,RIGHT(AM$1,2),""),VLOOKUP($D142,素材!$1:$1016,COLUMN($F$1),FALSE))),VLOOKUP($C142,武器!$1:$998,COLUMN($O$1),FALSE)*VLOOKUP($D142,素材!$1:$1016,COLUMN($E$1),FALSE)/(LEN(VLOOKUP($D142,素材!$1:$1016,COLUMN($F$1),FALSE)) - LEN(SUBSTITUTE(VLOOKUP($D142,素材!$1:$1016,COLUMN($F$1),FALSE), "・", 0)) + 1), 0)</f>
        <v>0</v>
      </c>
      <c r="AN142">
        <f>IF(ISNUMBER(SEARCH(SUBSTITUTE(AN$1,RIGHT(AN$1,2),""),VLOOKUP($D142,素材!$1:$1016,COLUMN($F$1),FALSE))),VLOOKUP($C142,武器!$1:$998,COLUMN($O$1),FALSE)*VLOOKUP($D142,素材!$1:$1016,COLUMN($E$1),FALSE)/(LEN(VLOOKUP($D142,素材!$1:$1016,COLUMN($F$1),FALSE)) - LEN(SUBSTITUTE(VLOOKUP($D142,素材!$1:$1016,COLUMN($F$1),FALSE), "・", 0)) + 1), 0)</f>
        <v>0</v>
      </c>
      <c r="AO142">
        <f>IF(ISNUMBER(SEARCH(SUBSTITUTE(AO$1,RIGHT(AO$1,2),""),VLOOKUP($D142,素材!$1:$1016,COLUMN($F$1),FALSE))),VLOOKUP($C142,武器!$1:$998,COLUMN($O$1),FALSE)*VLOOKUP($D142,素材!$1:$1016,COLUMN($E$1),FALSE)/(LEN(VLOOKUP($D142,素材!$1:$1016,COLUMN($F$1),FALSE)) - LEN(SUBSTITUTE(VLOOKUP($D142,素材!$1:$1016,COLUMN($F$1),FALSE), "・", 0)) + 1), 0)</f>
        <v>0</v>
      </c>
      <c r="AP142">
        <f>IF(ISNUMBER(SEARCH(SUBSTITUTE(AP$1,RIGHT(AP$1,2),""),VLOOKUP($D142,素材!$1:$1016,COLUMN($F$1),FALSE))),VLOOKUP($C142,武器!$1:$998,COLUMN($O$1),FALSE)*VLOOKUP($D142,素材!$1:$1016,COLUMN($E$1),FALSE)/(LEN(VLOOKUP($D142,素材!$1:$1016,COLUMN($F$1),FALSE)) - LEN(SUBSTITUTE(VLOOKUP($D142,素材!$1:$1016,COLUMN($F$1),FALSE), "・", 0)) + 1), 0)</f>
        <v>0</v>
      </c>
      <c r="AQ142">
        <f>IF(ISNUMBER(SEARCH(SUBSTITUTE(AQ$1,RIGHT(AQ$1,2),""),VLOOKUP($D142,素材!$1:$1016,COLUMN($F$1),FALSE))),VLOOKUP($C142,武器!$1:$998,COLUMN($O$1),FALSE)*VLOOKUP($D142,素材!$1:$1016,COLUMN($E$1),FALSE)/(LEN(VLOOKUP($D142,素材!$1:$1016,COLUMN($F$1),FALSE)) - LEN(SUBSTITUTE(VLOOKUP($D142,素材!$1:$1016,COLUMN($F$1),FALSE), "・", 0)) + 1), 0)</f>
        <v>0</v>
      </c>
      <c r="AR142">
        <f>IF(ISNUMBER(SEARCH(SUBSTITUTE(AR$1,RIGHT(AR$1,2),""),VLOOKUP($D142,素材!$1:$1016,COLUMN($F$1),FALSE))),VLOOKUP($C142,武器!$1:$998,COLUMN($O$1),FALSE)*VLOOKUP($D142,素材!$1:$1016,COLUMN($E$1),FALSE)/(LEN(VLOOKUP($D142,素材!$1:$1016,COLUMN($F$1),FALSE)) - LEN(SUBSTITUTE(VLOOKUP($D142,素材!$1:$1016,COLUMN($F$1),FALSE), "・", 0)) + 1), 0)</f>
        <v>0</v>
      </c>
      <c r="AS142">
        <f>IF(ISNUMBER(SEARCH(SUBSTITUTE(AS$1,RIGHT(AS$1,2),""),VLOOKUP($D142,素材!$1:$1016,COLUMN($F$1),FALSE))),VLOOKUP($C142,武器!$1:$998,COLUMN($O$1),FALSE)*VLOOKUP($D142,素材!$1:$1016,COLUMN($E$1),FALSE)/(LEN(VLOOKUP($D142,素材!$1:$1016,COLUMN($F$1),FALSE)) - LEN(SUBSTITUTE(VLOOKUP($D142,素材!$1:$1016,COLUMN($F$1),FALSE), "・", 0)) + 1), 0)</f>
        <v>0</v>
      </c>
      <c r="AT142">
        <f>IF(ISNUMBER(SEARCH(SUBSTITUTE(AT$1,RIGHT(AT$1,2),""),VLOOKUP($D142,素材!$1:$1016,COLUMN($F$1),FALSE))),VLOOKUP($C142,武器!$1:$998,COLUMN($O$1),FALSE)*VLOOKUP($D142,素材!$1:$1016,COLUMN($E$1),FALSE)/(LEN(VLOOKUP($D142,素材!$1:$1016,COLUMN($F$1),FALSE)) - LEN(SUBSTITUTE(VLOOKUP($D142,素材!$1:$1016,COLUMN($F$1),FALSE), "・", 0)) + 1), 0)</f>
        <v>0</v>
      </c>
      <c r="AU142">
        <f>IF(ISNUMBER(SEARCH(SUBSTITUTE(AU$1,RIGHT(AU$1,2),""),VLOOKUP($D142,素材!$1:$1016,COLUMN($F$1),FALSE))),VLOOKUP($C142,武器!$1:$998,COLUMN($O$1),FALSE)*VLOOKUP($D142,素材!$1:$1016,COLUMN($E$1),FALSE)/(LEN(VLOOKUP($D142,素材!$1:$1016,COLUMN($F$1),FALSE)) - LEN(SUBSTITUTE(VLOOKUP($D142,素材!$1:$1016,COLUMN($F$1),FALSE), "・", 0)) + 1), 0)</f>
        <v>0</v>
      </c>
      <c r="AV142">
        <f>IF(ISNUMBER(SEARCH(SUBSTITUTE(AV$1,RIGHT(AV$1,2),""),VLOOKUP($D142,素材!$1:$1016,COLUMN($F$1),FALSE))),VLOOKUP($C142,武器!$1:$998,COLUMN($O$1),FALSE)*VLOOKUP($D142,素材!$1:$1016,COLUMN($E$1),FALSE)/(LEN(VLOOKUP($D142,素材!$1:$1016,COLUMN($F$1),FALSE)) - LEN(SUBSTITUTE(VLOOKUP($D142,素材!$1:$1016,COLUMN($F$1),FALSE), "・", 0)) + 1), 0)</f>
        <v>0</v>
      </c>
      <c r="AW142">
        <f>IF(ISNUMBER(SEARCH(SUBSTITUTE(AW$1,RIGHT(AW$1,2),""),VLOOKUP($D142,素材!$1:$1016,COLUMN($F$1),FALSE))),VLOOKUP($C142,武器!$1:$998,COLUMN($O$1),FALSE)*VLOOKUP($D142,素材!$1:$1016,COLUMN($E$1),FALSE)/(LEN(VLOOKUP($D142,素材!$1:$1016,COLUMN($F$1),FALSE)) - LEN(SUBSTITUTE(VLOOKUP($D142,素材!$1:$1016,COLUMN($F$1),FALSE), "・", 0)) + 1), 0)</f>
        <v>0</v>
      </c>
      <c r="AX142">
        <f>IF(ISNUMBER(SEARCH(SUBSTITUTE(AX$1,RIGHT(AX$1,2),""),VLOOKUP($D142,素材!$1:$1016,COLUMN($F$1),FALSE))),VLOOKUP($C142,武器!$1:$998,COLUMN($O$1),FALSE)*VLOOKUP($D142,素材!$1:$1016,COLUMN($E$1),FALSE)/(LEN(VLOOKUP($D142,素材!$1:$1016,COLUMN($F$1),FALSE)) - LEN(SUBSTITUTE(VLOOKUP($D142,素材!$1:$1016,COLUMN($F$1),FALSE), "・", 0)) + 1), 0)</f>
        <v>0</v>
      </c>
      <c r="AY142">
        <f>IF(ISNUMBER(SEARCH(SUBSTITUTE(AY$1,RIGHT(AY$1,2),""),VLOOKUP($D142,素材!$1:$1016,COLUMN($F$1),FALSE))),VLOOKUP($C142,武器!$1:$998,COLUMN($O$1),FALSE)*VLOOKUP($D142,素材!$1:$1016,COLUMN($E$1),FALSE)/(LEN(VLOOKUP($D142,素材!$1:$1016,COLUMN($F$1),FALSE)) - LEN(SUBSTITUTE(VLOOKUP($D142,素材!$1:$1016,COLUMN($F$1),FALSE), "・", 0)) + 1), 0)</f>
        <v>0</v>
      </c>
      <c r="AZ142">
        <f>IF(ISNUMBER(SEARCH(SUBSTITUTE(AZ$1,RIGHT(AZ$1,2),""),VLOOKUP($D142,素材!$1:$1016,COLUMN($F$1),FALSE))),VLOOKUP($C142,武器!$1:$998,COLUMN($O$1),FALSE)*VLOOKUP($D142,素材!$1:$1016,COLUMN($E$1),FALSE)/(LEN(VLOOKUP($D142,素材!$1:$1016,COLUMN($F$1),FALSE)) - LEN(SUBSTITUTE(VLOOKUP($D142,素材!$1:$1016,COLUMN($F$1),FALSE), "・", 0)) + 1), 0)</f>
        <v>0</v>
      </c>
      <c r="BA142">
        <f>IF(ISNUMBER(SEARCH(SUBSTITUTE(BA$1,RIGHT(BA$1,2),""),VLOOKUP($D142,素材!$1:$1016,COLUMN($F$1),FALSE))),VLOOKUP($C142,武器!$1:$998,COLUMN($O$1),FALSE)*VLOOKUP($D142,素材!$1:$1016,COLUMN($E$1),FALSE)/(LEN(VLOOKUP($D142,素材!$1:$1016,COLUMN($F$1),FALSE)) - LEN(SUBSTITUTE(VLOOKUP($D142,素材!$1:$1016,COLUMN($F$1),FALSE), "・", 0)) + 1), 0)</f>
        <v>0</v>
      </c>
      <c r="BB142">
        <f>IF(ISNUMBER(SEARCH(SUBSTITUTE(BB$1,RIGHT(BB$1,2),""),VLOOKUP($D142,素材!$1:$1016,COLUMN($F$1),FALSE))),VLOOKUP($C142,武器!$1:$998,COLUMN($O$1),FALSE)*VLOOKUP($D142,素材!$1:$1016,COLUMN($E$1),FALSE)/(LEN(VLOOKUP($D142,素材!$1:$1016,COLUMN($F$1),FALSE)) - LEN(SUBSTITUTE(VLOOKUP($D142,素材!$1:$1016,COLUMN($F$1),FALSE), "・", 0)) + 1), 0)</f>
        <v>0</v>
      </c>
      <c r="BC142">
        <f>IF(ISNUMBER(SEARCH(SUBSTITUTE(BC$1,RIGHT(BC$1,2),""),VLOOKUP($D142,素材!$1:$1016,COLUMN($F$1),FALSE))),VLOOKUP($C142,武器!$1:$998,COLUMN($O$1),FALSE)*VLOOKUP($D142,素材!$1:$1016,COLUMN($E$1),FALSE)/(LEN(VLOOKUP($D142,素材!$1:$1016,COLUMN($F$1),FALSE)) - LEN(SUBSTITUTE(VLOOKUP($D142,素材!$1:$1016,COLUMN($F$1),FALSE), "・", 0)) + 1), 0)</f>
        <v>0</v>
      </c>
      <c r="BD142">
        <f>IF(ISNUMBER(SEARCH(SUBSTITUTE(BD$1,RIGHT(BD$1,2),""),VLOOKUP($D142,素材!$1:$1016,COLUMN($F$1),FALSE))),VLOOKUP($C142,武器!$1:$998,COLUMN($O$1),FALSE)*VLOOKUP($D142,素材!$1:$1016,COLUMN($E$1),FALSE)/(LEN(VLOOKUP($D142,素材!$1:$1016,COLUMN($F$1),FALSE)) - LEN(SUBSTITUTE(VLOOKUP($D142,素材!$1:$1016,COLUMN($F$1),FALSE), "・", 0)) + 1), 0)</f>
        <v>0</v>
      </c>
      <c r="BE142">
        <f>IF(ISNUMBER(SEARCH(SUBSTITUTE(BE$1,RIGHT(BE$1,2),""),VLOOKUP($D142,素材!$1:$1016,COLUMN($F$1),FALSE))),VLOOKUP($C142,武器!$1:$998,COLUMN($O$1),FALSE)*VLOOKUP($D142,素材!$1:$1016,COLUMN($E$1),FALSE)/(LEN(VLOOKUP($D142,素材!$1:$1016,COLUMN($F$1),FALSE)) - LEN(SUBSTITUTE(VLOOKUP($D142,素材!$1:$1016,COLUMN($F$1),FALSE), "・", 0)) + 1), 0)</f>
        <v>0</v>
      </c>
      <c r="CL142">
        <f>SUM(G142:I142)</f>
        <v>0</v>
      </c>
      <c r="CM142" s="22" t="str">
        <f>IF(E142="武器",IF(J142-1&gt;SUM(G142:I142),"盾",IF(MAX(G142:I142)=G142,"切断",IF(MAX(G142:I142)=H142,"貫通",IF(MAX(G142:I142)=I142,"打撃","射撃")))),E142)&amp;".webp"</f>
        <v>体.webp</v>
      </c>
      <c r="CN142">
        <f>IFERROR(VLOOKUP($C142,武器!$1:$998,COLUMN(V$1),FALSE)*VLOOKUP($D142,素材!$1:$1016,COLUMN(N$1),FALSE)+IF(CI142="",0,VLOOKUP($CI142,装強!$1:$1008,COLUMN($CK$1),FALSE)),"")</f>
        <v>11000</v>
      </c>
      <c r="CO142" t="str">
        <f>VLOOKUP(D142,素材!$A:$O,COLUMN(素材!O$1),FALSE)</f>
        <v>雷属性を持つドラゴン型生物から採取される鱗素材。雷属性攻撃への耐性を強化し、武器の電撃効果を高めることも可能です。</v>
      </c>
      <c r="CP142" t="str">
        <f>VLOOKUP(C142,武器!$A:$W,COLUMN(武器!W$1),FALSE)</f>
        <v>HP 物理 魔法 体幹 出血 疲労 Cr</v>
      </c>
      <c r="CR142" t="str">
        <f t="shared" si="18"/>
        <v>e_142</v>
      </c>
      <c r="CS142">
        <f t="shared" si="22"/>
        <v>1100000</v>
      </c>
    </row>
    <row r="143" spans="1:97" outlineLevel="1" x14ac:dyDescent="0.4">
      <c r="A143" t="str">
        <f t="shared" si="17"/>
        <v>雷蜥蜴の鱗の鎧</v>
      </c>
      <c r="B143" t="str">
        <f>IFERROR(VLOOKUP($D143,素材!$1:$1016,COLUMN($B$1),FALSE)&amp;"・"&amp;VLOOKUP($C143,武器!$1:$998,COLUMN(B$1),FALSE),"")</f>
        <v>サンダードレイクスケール・アーマー</v>
      </c>
      <c r="C143" t="s">
        <v>208</v>
      </c>
      <c r="D143" s="24" t="s">
        <v>249</v>
      </c>
      <c r="E143" t="str">
        <f>IFERROR(VLOOKUP(C143,武器!$1:$998,COLUMN(C$1),FALSE),"")</f>
        <v>体</v>
      </c>
      <c r="F143">
        <f>IFERROR(ROUNDDOWN((VLOOKUP($C143,武器!$1:$998,COLUMN(D$1),FALSE)+IFERROR(VLOOKUP($CI143,装強!$1:$999,COLUMN(F$1),FALSE),0))*VLOOKUP($D143,素材!$1:$1016,COLUMN(D$1),FALSE),0),"")</f>
        <v>0</v>
      </c>
      <c r="G143">
        <f>IFERROR(ROUNDDOWN((VLOOKUP($C143,武器!$1:$998,COLUMN(E$1),FALSE)+IFERROR(VLOOKUP($CI143,装強!$1:$999,COLUMN(G$1),FALSE),0))*VLOOKUP($D143,素材!$1:$1016,COLUMN($E$1),FALSE),0),"")</f>
        <v>0</v>
      </c>
      <c r="H143">
        <f>IFERROR(ROUNDDOWN((VLOOKUP($C143,武器!$1:$998,COLUMN(F$1),FALSE)+IFERROR(VLOOKUP($CI143,装強!$1:$999,COLUMN(H$1),FALSE),0))*VLOOKUP($D143,素材!$1:$1016,COLUMN($E$1),FALSE),0),"")</f>
        <v>0</v>
      </c>
      <c r="I143">
        <f>IFERROR(ROUNDDOWN((VLOOKUP($C143,武器!$1:$998,COLUMN(G$1),FALSE)+IFERROR(VLOOKUP($CI143,装強!$1:$999,COLUMN(I$1),FALSE),0))*VLOOKUP($D143,素材!$1:$1016,COLUMN($E$1),FALSE),0),"")</f>
        <v>0</v>
      </c>
      <c r="J143">
        <f>IFERROR(ROUNDDOWN((VLOOKUP($C143,武器!$1:$998,COLUMN(H$1),FALSE)+IFERROR(VLOOKUP($CI143,装強!$1:$999,COLUMN(J$1),FALSE),0))*VLOOKUP($D143,素材!$1:$1016,COLUMN($E$1),FALSE),0),"")</f>
        <v>0</v>
      </c>
      <c r="K143">
        <f>IFERROR(ROUNDDOWN((VLOOKUP($C143,武器!$1:$998,COLUMN(I$1),FALSE)+IFERROR(VLOOKUP($CI143,装強!$1:$999,COLUMN(K$1),FALSE),0))*VLOOKUP($D143,素材!$1:$1016,COLUMN($E$1),FALSE),0),"")</f>
        <v>0</v>
      </c>
      <c r="L143" t="str">
        <f>IFERROR(VLOOKUP($D143,素材!$1:$1016,COLUMN($F$1),FALSE),"")</f>
        <v>雷</v>
      </c>
      <c r="M143">
        <f>IFERROR(VLOOKUP($C143,武器!$1:$998,COLUMN(AA$1),FALSE)*VLOOKUP($D143,素材!$1:$1016,COLUMN($G$1),FALSE),"")</f>
        <v>0</v>
      </c>
      <c r="N143">
        <f>IFERROR(VLOOKUP($C143,武器!$1:$998,COLUMN(I$1),FALSE),"")</f>
        <v>0</v>
      </c>
      <c r="O143" s="23" t="str">
        <f>IFERROR((VLOOKUP($C143,武器!$1:$998,COLUMN(K$1),FALSE)+VLOOKUP($D143,素材!$1:$1016,COLUMN(H$1),FALSE))*100+IFERROR(VLOOKUP($CI143,装強!$1:$999,COLUMN(O$1),FALSE),0),"")</f>
        <v/>
      </c>
      <c r="P143" s="23" t="str">
        <f>IFERROR((VLOOKUP($C143,武器!$1:$998,COLUMN(L$1),FALSE)+VLOOKUP($D143,素材!$1:$1016,COLUMN(I$1),FALSE))*100+IFERROR(VLOOKUP($CI143,装強!$1:$999,COLUMN(P$1),FALSE),0),"")</f>
        <v/>
      </c>
      <c r="Q143">
        <f>IFERROR(ROUNDUP(VLOOKUP($C143,武器!$1:$998,COLUMN(M$1),FALSE)*(VLOOKUP($D143,素材!$1:$1002,COLUMN(D$1),FALSE)/100),1),"")</f>
        <v>-12</v>
      </c>
      <c r="R143">
        <f>IFERROR(ROUNDUP(VLOOKUP($C143,武器!$1:$998,COLUMN(N$1),FALSE)*(VLOOKUP($D143,素材!$1:$1002,COLUMN(D$1),FALSE)/100),1),"")</f>
        <v>0</v>
      </c>
      <c r="S143">
        <f>IFERROR(VLOOKUP($C143,武器!$1:$998,COLUMN(P$1),FALSE),"")</f>
        <v>0</v>
      </c>
      <c r="T143">
        <f>IFERROR(VLOOKUP($C143,武器!$1:$998,COLUMN(Q$1),FALSE),"")</f>
        <v>0</v>
      </c>
      <c r="U143">
        <f>IFERROR(VLOOKUP($C143,武器!$1:$998,COLUMN(R$1),FALSE),"")</f>
        <v>0</v>
      </c>
      <c r="V143">
        <f>IFERROR(VLOOKUP($C143,武器!$1:$998,COLUMN(Q$1),FALSE),"")</f>
        <v>0</v>
      </c>
      <c r="W143">
        <f>IFERROR(VLOOKUP($C143,武器!$1:$998,COLUMN(T$1),FALSE),"")</f>
        <v>0</v>
      </c>
      <c r="Y143">
        <f>IFERROR(VLOOKUP($C143,武器!$1:$998,COLUMN(U$1),FALSE),"")</f>
        <v>0</v>
      </c>
      <c r="Z143">
        <f>IFERROR(ROUNDUP(VLOOKUP($C143,武器!$1:$998,COLUMN(O$1),FALSE)*VLOOKUP($D143,素材!$1:$1016,COLUMN(E$1),FALSE),1),"")</f>
        <v>17.5</v>
      </c>
      <c r="AA143">
        <f>IF(ISNUMBER(SEARCH(SUBSTITUTE(AA$1,RIGHT(AA$1,2),""),VLOOKUP($D143,素材!$1:$1016,COLUMN($F$1),FALSE))),VLOOKUP($C143,武器!$1:$998,COLUMN($O$1),FALSE)*VLOOKUP($D143,素材!$1:$1016,COLUMN($E$1),FALSE)/(LEN(VLOOKUP($D143,素材!$1:$1016,COLUMN($F$1),FALSE)) - LEN(SUBSTITUTE(VLOOKUP($D143,素材!$1:$1016,COLUMN($F$1),FALSE), "・", 0)) + 1), 0)</f>
        <v>0</v>
      </c>
      <c r="AB143">
        <f>IF(ISNUMBER(SEARCH(SUBSTITUTE(AB$1,RIGHT(AB$1,2),""),VLOOKUP($D143,素材!$1:$1016,COLUMN($F$1),FALSE))),VLOOKUP($C143,武器!$1:$998,COLUMN($O$1),FALSE)*VLOOKUP($D143,素材!$1:$1016,COLUMN($E$1),FALSE)/(LEN(VLOOKUP($D143,素材!$1:$1016,COLUMN($F$1),FALSE)) - LEN(SUBSTITUTE(VLOOKUP($D143,素材!$1:$1016,COLUMN($F$1),FALSE), "・", 0)) + 1), 0)</f>
        <v>0</v>
      </c>
      <c r="AC143">
        <f>IF(ISNUMBER(SEARCH(SUBSTITUTE(AC$1,RIGHT(AC$1,2),""),VLOOKUP($D143,素材!$1:$1016,COLUMN($F$1),FALSE))),VLOOKUP($C143,武器!$1:$998,COLUMN($O$1),FALSE)*VLOOKUP($D143,素材!$1:$1016,COLUMN($E$1),FALSE)/(LEN(VLOOKUP($D143,素材!$1:$1016,COLUMN($F$1),FALSE)) - LEN(SUBSTITUTE(VLOOKUP($D143,素材!$1:$1016,COLUMN($F$1),FALSE), "・", 0)) + 1), 0)</f>
        <v>0</v>
      </c>
      <c r="AD143">
        <f>IF(ISNUMBER(SEARCH(SUBSTITUTE(AD$1,RIGHT(AD$1,2),""),VLOOKUP($D143,素材!$1:$1016,COLUMN($F$1),FALSE))),VLOOKUP($C143,武器!$1:$998,COLUMN($O$1),FALSE)*VLOOKUP($D143,素材!$1:$1016,COLUMN($E$1),FALSE)/(LEN(VLOOKUP($D143,素材!$1:$1016,COLUMN($F$1),FALSE)) - LEN(SUBSTITUTE(VLOOKUP($D143,素材!$1:$1016,COLUMN($F$1),FALSE), "・", 0)) + 1), 0)</f>
        <v>0</v>
      </c>
      <c r="AE143">
        <f>IF(ISNUMBER(SEARCH(SUBSTITUTE(AE$1,RIGHT(AE$1,2),""),VLOOKUP($D143,素材!$1:$1016,COLUMN($F$1),FALSE))),VLOOKUP($C143,武器!$1:$998,COLUMN($O$1),FALSE)*VLOOKUP($D143,素材!$1:$1016,COLUMN($E$1),FALSE)/(LEN(VLOOKUP($D143,素材!$1:$1016,COLUMN($F$1),FALSE)) - LEN(SUBSTITUTE(VLOOKUP($D143,素材!$1:$1016,COLUMN($F$1),FALSE), "・", 0)) + 1), 0)</f>
        <v>0</v>
      </c>
      <c r="AF143">
        <f>IF(ISNUMBER(SEARCH(SUBSTITUTE(AF$1,RIGHT(AF$1,2),""),VLOOKUP($D143,素材!$1:$1016,COLUMN($F$1),FALSE))),VLOOKUP($C143,武器!$1:$998,COLUMN($O$1),FALSE)*VLOOKUP($D143,素材!$1:$1016,COLUMN($E$1),FALSE)/(LEN(VLOOKUP($D143,素材!$1:$1016,COLUMN($F$1),FALSE)) - LEN(SUBSTITUTE(VLOOKUP($D143,素材!$1:$1016,COLUMN($F$1),FALSE), "・", 0)) + 1), 0)</f>
        <v>0</v>
      </c>
      <c r="AG143">
        <f>IF(ISNUMBER(SEARCH(SUBSTITUTE(AG$1,RIGHT(AG$1,2),""),VLOOKUP($D143,素材!$1:$1016,COLUMN($F$1),FALSE))),VLOOKUP($C143,武器!$1:$998,COLUMN($O$1),FALSE)*VLOOKUP($D143,素材!$1:$1016,COLUMN($E$1),FALSE)/(LEN(VLOOKUP($D143,素材!$1:$1016,COLUMN($F$1),FALSE)) - LEN(SUBSTITUTE(VLOOKUP($D143,素材!$1:$1016,COLUMN($F$1),FALSE), "・", 0)) + 1), 0)</f>
        <v>17.5</v>
      </c>
      <c r="AH143">
        <f>IF(ISNUMBER(SEARCH(SUBSTITUTE(AH$1,RIGHT(AH$1,2),""),VLOOKUP($D143,素材!$1:$1016,COLUMN($F$1),FALSE))),VLOOKUP($C143,武器!$1:$998,COLUMN($O$1),FALSE)*VLOOKUP($D143,素材!$1:$1016,COLUMN($E$1),FALSE)/(LEN(VLOOKUP($D143,素材!$1:$1016,COLUMN($F$1),FALSE)) - LEN(SUBSTITUTE(VLOOKUP($D143,素材!$1:$1016,COLUMN($F$1),FALSE), "・", 0)) + 1), 0)</f>
        <v>0</v>
      </c>
      <c r="AI143">
        <f>IF(ISNUMBER(SEARCH(SUBSTITUTE(AI$1,RIGHT(AI$1,2),""),VLOOKUP($D143,素材!$1:$1016,COLUMN($F$1),FALSE))),VLOOKUP($C143,武器!$1:$998,COLUMN($O$1),FALSE)*VLOOKUP($D143,素材!$1:$1016,COLUMN($E$1),FALSE)/(LEN(VLOOKUP($D143,素材!$1:$1016,COLUMN($F$1),FALSE)) - LEN(SUBSTITUTE(VLOOKUP($D143,素材!$1:$1016,COLUMN($F$1),FALSE), "・", 0)) + 1), 0)</f>
        <v>0</v>
      </c>
      <c r="AJ143">
        <f>IF(ISNUMBER(SEARCH(SUBSTITUTE(AJ$1,RIGHT(AJ$1,2),""),VLOOKUP($D143,素材!$1:$1016,COLUMN($F$1),FALSE))),VLOOKUP($C143,武器!$1:$998,COLUMN($O$1),FALSE)*VLOOKUP($D143,素材!$1:$1016,COLUMN($E$1),FALSE)/(LEN(VLOOKUP($D143,素材!$1:$1016,COLUMN($F$1),FALSE)) - LEN(SUBSTITUTE(VLOOKUP($D143,素材!$1:$1016,COLUMN($F$1),FALSE), "・", 0)) + 1), 0)</f>
        <v>0</v>
      </c>
      <c r="AK143">
        <f>IF(ISNUMBER(SEARCH(SUBSTITUTE(AK$1,RIGHT(AK$1,2),""),VLOOKUP($D143,素材!$1:$1016,COLUMN($F$1),FALSE))),VLOOKUP($C143,武器!$1:$998,COLUMN($O$1),FALSE)*VLOOKUP($D143,素材!$1:$1016,COLUMN($E$1),FALSE)/(LEN(VLOOKUP($D143,素材!$1:$1016,COLUMN($F$1),FALSE)) - LEN(SUBSTITUTE(VLOOKUP($D143,素材!$1:$1016,COLUMN($F$1),FALSE), "・", 0)) + 1), 0)</f>
        <v>0</v>
      </c>
      <c r="AL143">
        <f>IF(ISNUMBER(SEARCH(SUBSTITUTE(AL$1,RIGHT(AL$1,2),""),VLOOKUP($D143,素材!$1:$1016,COLUMN($F$1),FALSE))),VLOOKUP($C143,武器!$1:$998,COLUMN($O$1),FALSE)*VLOOKUP($D143,素材!$1:$1016,COLUMN($E$1),FALSE)/(LEN(VLOOKUP($D143,素材!$1:$1016,COLUMN($F$1),FALSE)) - LEN(SUBSTITUTE(VLOOKUP($D143,素材!$1:$1016,COLUMN($F$1),FALSE), "・", 0)) + 1), 0)</f>
        <v>0</v>
      </c>
      <c r="AM143">
        <f>IF(ISNUMBER(SEARCH(SUBSTITUTE(AM$1,RIGHT(AM$1,2),""),VLOOKUP($D143,素材!$1:$1016,COLUMN($F$1),FALSE))),VLOOKUP($C143,武器!$1:$998,COLUMN($O$1),FALSE)*VLOOKUP($D143,素材!$1:$1016,COLUMN($E$1),FALSE)/(LEN(VLOOKUP($D143,素材!$1:$1016,COLUMN($F$1),FALSE)) - LEN(SUBSTITUTE(VLOOKUP($D143,素材!$1:$1016,COLUMN($F$1),FALSE), "・", 0)) + 1), 0)</f>
        <v>0</v>
      </c>
      <c r="AN143">
        <f>IF(ISNUMBER(SEARCH(SUBSTITUTE(AN$1,RIGHT(AN$1,2),""),VLOOKUP($D143,素材!$1:$1016,COLUMN($F$1),FALSE))),VLOOKUP($C143,武器!$1:$998,COLUMN($O$1),FALSE)*VLOOKUP($D143,素材!$1:$1016,COLUMN($E$1),FALSE)/(LEN(VLOOKUP($D143,素材!$1:$1016,COLUMN($F$1),FALSE)) - LEN(SUBSTITUTE(VLOOKUP($D143,素材!$1:$1016,COLUMN($F$1),FALSE), "・", 0)) + 1), 0)</f>
        <v>0</v>
      </c>
      <c r="AO143">
        <f>IF(ISNUMBER(SEARCH(SUBSTITUTE(AO$1,RIGHT(AO$1,2),""),VLOOKUP($D143,素材!$1:$1016,COLUMN($F$1),FALSE))),VLOOKUP($C143,武器!$1:$998,COLUMN($O$1),FALSE)*VLOOKUP($D143,素材!$1:$1016,COLUMN($E$1),FALSE)/(LEN(VLOOKUP($D143,素材!$1:$1016,COLUMN($F$1),FALSE)) - LEN(SUBSTITUTE(VLOOKUP($D143,素材!$1:$1016,COLUMN($F$1),FALSE), "・", 0)) + 1), 0)</f>
        <v>0</v>
      </c>
      <c r="AP143">
        <f>IF(ISNUMBER(SEARCH(SUBSTITUTE(AP$1,RIGHT(AP$1,2),""),VLOOKUP($D143,素材!$1:$1016,COLUMN($F$1),FALSE))),VLOOKUP($C143,武器!$1:$998,COLUMN($O$1),FALSE)*VLOOKUP($D143,素材!$1:$1016,COLUMN($E$1),FALSE)/(LEN(VLOOKUP($D143,素材!$1:$1016,COLUMN($F$1),FALSE)) - LEN(SUBSTITUTE(VLOOKUP($D143,素材!$1:$1016,COLUMN($F$1),FALSE), "・", 0)) + 1), 0)</f>
        <v>0</v>
      </c>
      <c r="AQ143">
        <f>IF(ISNUMBER(SEARCH(SUBSTITUTE(AQ$1,RIGHT(AQ$1,2),""),VLOOKUP($D143,素材!$1:$1016,COLUMN($F$1),FALSE))),VLOOKUP($C143,武器!$1:$998,COLUMN($O$1),FALSE)*VLOOKUP($D143,素材!$1:$1016,COLUMN($E$1),FALSE)/(LEN(VLOOKUP($D143,素材!$1:$1016,COLUMN($F$1),FALSE)) - LEN(SUBSTITUTE(VLOOKUP($D143,素材!$1:$1016,COLUMN($F$1),FALSE), "・", 0)) + 1), 0)</f>
        <v>0</v>
      </c>
      <c r="AR143">
        <f>IF(ISNUMBER(SEARCH(SUBSTITUTE(AR$1,RIGHT(AR$1,2),""),VLOOKUP($D143,素材!$1:$1016,COLUMN($F$1),FALSE))),VLOOKUP($C143,武器!$1:$998,COLUMN($O$1),FALSE)*VLOOKUP($D143,素材!$1:$1016,COLUMN($E$1),FALSE)/(LEN(VLOOKUP($D143,素材!$1:$1016,COLUMN($F$1),FALSE)) - LEN(SUBSTITUTE(VLOOKUP($D143,素材!$1:$1016,COLUMN($F$1),FALSE), "・", 0)) + 1), 0)</f>
        <v>0</v>
      </c>
      <c r="AS143">
        <f>IF(ISNUMBER(SEARCH(SUBSTITUTE(AS$1,RIGHT(AS$1,2),""),VLOOKUP($D143,素材!$1:$1016,COLUMN($F$1),FALSE))),VLOOKUP($C143,武器!$1:$998,COLUMN($O$1),FALSE)*VLOOKUP($D143,素材!$1:$1016,COLUMN($E$1),FALSE)/(LEN(VLOOKUP($D143,素材!$1:$1016,COLUMN($F$1),FALSE)) - LEN(SUBSTITUTE(VLOOKUP($D143,素材!$1:$1016,COLUMN($F$1),FALSE), "・", 0)) + 1), 0)</f>
        <v>0</v>
      </c>
      <c r="AT143">
        <f>IF(ISNUMBER(SEARCH(SUBSTITUTE(AT$1,RIGHT(AT$1,2),""),VLOOKUP($D143,素材!$1:$1016,COLUMN($F$1),FALSE))),VLOOKUP($C143,武器!$1:$998,COLUMN($O$1),FALSE)*VLOOKUP($D143,素材!$1:$1016,COLUMN($E$1),FALSE)/(LEN(VLOOKUP($D143,素材!$1:$1016,COLUMN($F$1),FALSE)) - LEN(SUBSTITUTE(VLOOKUP($D143,素材!$1:$1016,COLUMN($F$1),FALSE), "・", 0)) + 1), 0)</f>
        <v>0</v>
      </c>
      <c r="AU143">
        <f>IF(ISNUMBER(SEARCH(SUBSTITUTE(AU$1,RIGHT(AU$1,2),""),VLOOKUP($D143,素材!$1:$1016,COLUMN($F$1),FALSE))),VLOOKUP($C143,武器!$1:$998,COLUMN($O$1),FALSE)*VLOOKUP($D143,素材!$1:$1016,COLUMN($E$1),FALSE)/(LEN(VLOOKUP($D143,素材!$1:$1016,COLUMN($F$1),FALSE)) - LEN(SUBSTITUTE(VLOOKUP($D143,素材!$1:$1016,COLUMN($F$1),FALSE), "・", 0)) + 1), 0)</f>
        <v>0</v>
      </c>
      <c r="AV143">
        <f>IF(ISNUMBER(SEARCH(SUBSTITUTE(AV$1,RIGHT(AV$1,2),""),VLOOKUP($D143,素材!$1:$1016,COLUMN($F$1),FALSE))),VLOOKUP($C143,武器!$1:$998,COLUMN($O$1),FALSE)*VLOOKUP($D143,素材!$1:$1016,COLUMN($E$1),FALSE)/(LEN(VLOOKUP($D143,素材!$1:$1016,COLUMN($F$1),FALSE)) - LEN(SUBSTITUTE(VLOOKUP($D143,素材!$1:$1016,COLUMN($F$1),FALSE), "・", 0)) + 1), 0)</f>
        <v>0</v>
      </c>
      <c r="AW143">
        <f>IF(ISNUMBER(SEARCH(SUBSTITUTE(AW$1,RIGHT(AW$1,2),""),VLOOKUP($D143,素材!$1:$1016,COLUMN($F$1),FALSE))),VLOOKUP($C143,武器!$1:$998,COLUMN($O$1),FALSE)*VLOOKUP($D143,素材!$1:$1016,COLUMN($E$1),FALSE)/(LEN(VLOOKUP($D143,素材!$1:$1016,COLUMN($F$1),FALSE)) - LEN(SUBSTITUTE(VLOOKUP($D143,素材!$1:$1016,COLUMN($F$1),FALSE), "・", 0)) + 1), 0)</f>
        <v>0</v>
      </c>
      <c r="AX143">
        <f>IF(ISNUMBER(SEARCH(SUBSTITUTE(AX$1,RIGHT(AX$1,2),""),VLOOKUP($D143,素材!$1:$1016,COLUMN($F$1),FALSE))),VLOOKUP($C143,武器!$1:$998,COLUMN($O$1),FALSE)*VLOOKUP($D143,素材!$1:$1016,COLUMN($E$1),FALSE)/(LEN(VLOOKUP($D143,素材!$1:$1016,COLUMN($F$1),FALSE)) - LEN(SUBSTITUTE(VLOOKUP($D143,素材!$1:$1016,COLUMN($F$1),FALSE), "・", 0)) + 1), 0)</f>
        <v>0</v>
      </c>
      <c r="AY143">
        <f>IF(ISNUMBER(SEARCH(SUBSTITUTE(AY$1,RIGHT(AY$1,2),""),VLOOKUP($D143,素材!$1:$1016,COLUMN($F$1),FALSE))),VLOOKUP($C143,武器!$1:$998,COLUMN($O$1),FALSE)*VLOOKUP($D143,素材!$1:$1016,COLUMN($E$1),FALSE)/(LEN(VLOOKUP($D143,素材!$1:$1016,COLUMN($F$1),FALSE)) - LEN(SUBSTITUTE(VLOOKUP($D143,素材!$1:$1016,COLUMN($F$1),FALSE), "・", 0)) + 1), 0)</f>
        <v>0</v>
      </c>
      <c r="AZ143">
        <f>IF(ISNUMBER(SEARCH(SUBSTITUTE(AZ$1,RIGHT(AZ$1,2),""),VLOOKUP($D143,素材!$1:$1016,COLUMN($F$1),FALSE))),VLOOKUP($C143,武器!$1:$998,COLUMN($O$1),FALSE)*VLOOKUP($D143,素材!$1:$1016,COLUMN($E$1),FALSE)/(LEN(VLOOKUP($D143,素材!$1:$1016,COLUMN($F$1),FALSE)) - LEN(SUBSTITUTE(VLOOKUP($D143,素材!$1:$1016,COLUMN($F$1),FALSE), "・", 0)) + 1), 0)</f>
        <v>0</v>
      </c>
      <c r="BA143">
        <f>IF(ISNUMBER(SEARCH(SUBSTITUTE(BA$1,RIGHT(BA$1,2),""),VLOOKUP($D143,素材!$1:$1016,COLUMN($F$1),FALSE))),VLOOKUP($C143,武器!$1:$998,COLUMN($O$1),FALSE)*VLOOKUP($D143,素材!$1:$1016,COLUMN($E$1),FALSE)/(LEN(VLOOKUP($D143,素材!$1:$1016,COLUMN($F$1),FALSE)) - LEN(SUBSTITUTE(VLOOKUP($D143,素材!$1:$1016,COLUMN($F$1),FALSE), "・", 0)) + 1), 0)</f>
        <v>0</v>
      </c>
      <c r="BB143">
        <f>IF(ISNUMBER(SEARCH(SUBSTITUTE(BB$1,RIGHT(BB$1,2),""),VLOOKUP($D143,素材!$1:$1016,COLUMN($F$1),FALSE))),VLOOKUP($C143,武器!$1:$998,COLUMN($O$1),FALSE)*VLOOKUP($D143,素材!$1:$1016,COLUMN($E$1),FALSE)/(LEN(VLOOKUP($D143,素材!$1:$1016,COLUMN($F$1),FALSE)) - LEN(SUBSTITUTE(VLOOKUP($D143,素材!$1:$1016,COLUMN($F$1),FALSE), "・", 0)) + 1), 0)</f>
        <v>0</v>
      </c>
      <c r="BC143">
        <f>IF(ISNUMBER(SEARCH(SUBSTITUTE(BC$1,RIGHT(BC$1,2),""),VLOOKUP($D143,素材!$1:$1016,COLUMN($F$1),FALSE))),VLOOKUP($C143,武器!$1:$998,COLUMN($O$1),FALSE)*VLOOKUP($D143,素材!$1:$1016,COLUMN($E$1),FALSE)/(LEN(VLOOKUP($D143,素材!$1:$1016,COLUMN($F$1),FALSE)) - LEN(SUBSTITUTE(VLOOKUP($D143,素材!$1:$1016,COLUMN($F$1),FALSE), "・", 0)) + 1), 0)</f>
        <v>0</v>
      </c>
      <c r="BD143">
        <f>IF(ISNUMBER(SEARCH(SUBSTITUTE(BD$1,RIGHT(BD$1,2),""),VLOOKUP($D143,素材!$1:$1016,COLUMN($F$1),FALSE))),VLOOKUP($C143,武器!$1:$998,COLUMN($O$1),FALSE)*VLOOKUP($D143,素材!$1:$1016,COLUMN($E$1),FALSE)/(LEN(VLOOKUP($D143,素材!$1:$1016,COLUMN($F$1),FALSE)) - LEN(SUBSTITUTE(VLOOKUP($D143,素材!$1:$1016,COLUMN($F$1),FALSE), "・", 0)) + 1), 0)</f>
        <v>0</v>
      </c>
      <c r="BE143">
        <f>IF(ISNUMBER(SEARCH(SUBSTITUTE(BE$1,RIGHT(BE$1,2),""),VLOOKUP($D143,素材!$1:$1016,COLUMN($F$1),FALSE))),VLOOKUP($C143,武器!$1:$998,COLUMN($O$1),FALSE)*VLOOKUP($D143,素材!$1:$1016,COLUMN($E$1),FALSE)/(LEN(VLOOKUP($D143,素材!$1:$1016,COLUMN($F$1),FALSE)) - LEN(SUBSTITUTE(VLOOKUP($D143,素材!$1:$1016,COLUMN($F$1),FALSE), "・", 0)) + 1), 0)</f>
        <v>0</v>
      </c>
      <c r="CL143">
        <f>SUM(G143:I143)</f>
        <v>0</v>
      </c>
      <c r="CM143" s="22" t="str">
        <f>IF(E143="武器",IF(J143-1&gt;SUM(G143:I143),"盾",IF(MAX(G143:I143)=G143,"切断",IF(MAX(G143:I143)=H143,"貫通",IF(MAX(G143:I143)=I143,"打撃","射撃")))),E143)&amp;".webp"</f>
        <v>体.webp</v>
      </c>
      <c r="CN143">
        <f>IFERROR(VLOOKUP($C143,武器!$1:$998,COLUMN(V$1),FALSE)*VLOOKUP($D143,素材!$1:$1016,COLUMN(N$1),FALSE)+IF(CI143="",0,VLOOKUP($CI143,装強!$1:$1008,COLUMN($CK$1),FALSE)),"")</f>
        <v>16500</v>
      </c>
      <c r="CO143" t="str">
        <f>VLOOKUP(D143,素材!$A:$O,COLUMN(素材!O$1),FALSE)</f>
        <v>雷属性を持つドラゴン型生物から採取される鱗素材。雷属性攻撃への耐性を強化し、武器の電撃効果を高めることも可能です。</v>
      </c>
      <c r="CP143" t="str">
        <f>VLOOKUP(C143,武器!$A:$W,COLUMN(武器!W$1),FALSE)</f>
        <v>HP 物理 魔法 体幹 出血 疲労 Cr</v>
      </c>
      <c r="CR143" t="str">
        <f t="shared" si="18"/>
        <v>e_143</v>
      </c>
      <c r="CS143">
        <f t="shared" si="22"/>
        <v>1650000</v>
      </c>
    </row>
    <row r="144" spans="1:97" outlineLevel="1" x14ac:dyDescent="0.4">
      <c r="A144" t="str">
        <f t="shared" si="17"/>
        <v>雷蜥蜴の鱗の胴衣</v>
      </c>
      <c r="B144" t="str">
        <f>IFERROR(VLOOKUP($D144,素材!$1:$1016,COLUMN($B$1),FALSE)&amp;"・"&amp;VLOOKUP($C144,武器!$1:$998,COLUMN(B$1),FALSE),"")</f>
        <v>サンダードレイクスケール・ベスト</v>
      </c>
      <c r="C144" t="s">
        <v>207</v>
      </c>
      <c r="D144" s="24" t="s">
        <v>249</v>
      </c>
      <c r="E144" t="str">
        <f>IFERROR(VLOOKUP(C144,武器!$1:$998,COLUMN(C$1),FALSE),"")</f>
        <v>体</v>
      </c>
      <c r="F144">
        <f>IFERROR(ROUNDDOWN((VLOOKUP($C144,武器!$1:$998,COLUMN(D$1),FALSE)+IFERROR(VLOOKUP($CI144,装強!$1:$999,COLUMN(F$1),FALSE),0))*VLOOKUP($D144,素材!$1:$1016,COLUMN(D$1),FALSE),0),"")</f>
        <v>0</v>
      </c>
      <c r="G144">
        <f>IFERROR(ROUNDDOWN((VLOOKUP($C144,武器!$1:$998,COLUMN(E$1),FALSE)+IFERROR(VLOOKUP($CI144,装強!$1:$999,COLUMN(G$1),FALSE),0))*VLOOKUP($D144,素材!$1:$1016,COLUMN($E$1),FALSE),0),"")</f>
        <v>0</v>
      </c>
      <c r="H144">
        <f>IFERROR(ROUNDDOWN((VLOOKUP($C144,武器!$1:$998,COLUMN(F$1),FALSE)+IFERROR(VLOOKUP($CI144,装強!$1:$999,COLUMN(H$1),FALSE),0))*VLOOKUP($D144,素材!$1:$1016,COLUMN($E$1),FALSE),0),"")</f>
        <v>0</v>
      </c>
      <c r="I144">
        <f>IFERROR(ROUNDDOWN((VLOOKUP($C144,武器!$1:$998,COLUMN(G$1),FALSE)+IFERROR(VLOOKUP($CI144,装強!$1:$999,COLUMN(I$1),FALSE),0))*VLOOKUP($D144,素材!$1:$1016,COLUMN($E$1),FALSE),0),"")</f>
        <v>0</v>
      </c>
      <c r="J144">
        <f>IFERROR(ROUNDDOWN((VLOOKUP($C144,武器!$1:$998,COLUMN(H$1),FALSE)+IFERROR(VLOOKUP($CI144,装強!$1:$999,COLUMN(J$1),FALSE),0))*VLOOKUP($D144,素材!$1:$1016,COLUMN($E$1),FALSE),0),"")</f>
        <v>0</v>
      </c>
      <c r="K144">
        <f>IFERROR(ROUNDDOWN((VLOOKUP($C144,武器!$1:$998,COLUMN(I$1),FALSE)+IFERROR(VLOOKUP($CI144,装強!$1:$999,COLUMN(K$1),FALSE),0))*VLOOKUP($D144,素材!$1:$1016,COLUMN($E$1),FALSE),0),"")</f>
        <v>0</v>
      </c>
      <c r="L144" t="str">
        <f>IFERROR(VLOOKUP($D144,素材!$1:$1016,COLUMN($F$1),FALSE),"")</f>
        <v>雷</v>
      </c>
      <c r="M144">
        <f>IFERROR(VLOOKUP($C144,武器!$1:$998,COLUMN(AA$1),FALSE)*VLOOKUP($D144,素材!$1:$1016,COLUMN($G$1),FALSE),"")</f>
        <v>0</v>
      </c>
      <c r="N144">
        <f>IFERROR(VLOOKUP($C144,武器!$1:$998,COLUMN(I$1),FALSE),"")</f>
        <v>0</v>
      </c>
      <c r="O144" s="23" t="str">
        <f>IFERROR((VLOOKUP($C144,武器!$1:$998,COLUMN(K$1),FALSE)+VLOOKUP($D144,素材!$1:$1016,COLUMN(H$1),FALSE))*100+IFERROR(VLOOKUP($CI144,装強!$1:$999,COLUMN(O$1),FALSE),0),"")</f>
        <v/>
      </c>
      <c r="P144" s="23" t="str">
        <f>IFERROR((VLOOKUP($C144,武器!$1:$998,COLUMN(L$1),FALSE)+VLOOKUP($D144,素材!$1:$1016,COLUMN(I$1),FALSE))*100+IFERROR(VLOOKUP($CI144,装強!$1:$999,COLUMN(P$1),FALSE),0),"")</f>
        <v/>
      </c>
      <c r="Q144">
        <f>IFERROR(ROUNDUP(VLOOKUP($C144,武器!$1:$998,COLUMN(M$1),FALSE)*(VLOOKUP($D144,素材!$1:$1002,COLUMN(D$1),FALSE)/100),1),"")</f>
        <v>-6</v>
      </c>
      <c r="R144">
        <f>IFERROR(ROUNDUP(VLOOKUP($C144,武器!$1:$998,COLUMN(N$1),FALSE)*(VLOOKUP($D144,素材!$1:$1002,COLUMN(D$1),FALSE)/100),1),"")</f>
        <v>0</v>
      </c>
      <c r="S144">
        <f>IFERROR(VLOOKUP($C144,武器!$1:$998,COLUMN(P$1),FALSE),"")</f>
        <v>0</v>
      </c>
      <c r="T144">
        <f>IFERROR(VLOOKUP($C144,武器!$1:$998,COLUMN(Q$1),FALSE),"")</f>
        <v>0</v>
      </c>
      <c r="U144">
        <f>IFERROR(VLOOKUP($C144,武器!$1:$998,COLUMN(R$1),FALSE),"")</f>
        <v>0</v>
      </c>
      <c r="V144">
        <f>IFERROR(VLOOKUP($C144,武器!$1:$998,COLUMN(Q$1),FALSE),"")</f>
        <v>0</v>
      </c>
      <c r="W144">
        <f>IFERROR(VLOOKUP($C144,武器!$1:$998,COLUMN(T$1),FALSE),"")</f>
        <v>0</v>
      </c>
      <c r="Y144">
        <f>IFERROR(VLOOKUP($C144,武器!$1:$998,COLUMN(U$1),FALSE),"")</f>
        <v>0</v>
      </c>
      <c r="Z144">
        <f>IFERROR(ROUNDUP(VLOOKUP($C144,武器!$1:$998,COLUMN(O$1),FALSE)*VLOOKUP($D144,素材!$1:$1016,COLUMN(E$1),FALSE),1),"")</f>
        <v>12.5</v>
      </c>
      <c r="AA144">
        <f>IF(ISNUMBER(SEARCH(SUBSTITUTE(AA$1,RIGHT(AA$1,2),""),VLOOKUP($D144,素材!$1:$1016,COLUMN($F$1),FALSE))),VLOOKUP($C144,武器!$1:$998,COLUMN($O$1),FALSE)*VLOOKUP($D144,素材!$1:$1016,COLUMN($E$1),FALSE)/(LEN(VLOOKUP($D144,素材!$1:$1016,COLUMN($F$1),FALSE)) - LEN(SUBSTITUTE(VLOOKUP($D144,素材!$1:$1016,COLUMN($F$1),FALSE), "・", 0)) + 1), 0)</f>
        <v>0</v>
      </c>
      <c r="AB144">
        <f>IF(ISNUMBER(SEARCH(SUBSTITUTE(AB$1,RIGHT(AB$1,2),""),VLOOKUP($D144,素材!$1:$1016,COLUMN($F$1),FALSE))),VLOOKUP($C144,武器!$1:$998,COLUMN($O$1),FALSE)*VLOOKUP($D144,素材!$1:$1016,COLUMN($E$1),FALSE)/(LEN(VLOOKUP($D144,素材!$1:$1016,COLUMN($F$1),FALSE)) - LEN(SUBSTITUTE(VLOOKUP($D144,素材!$1:$1016,COLUMN($F$1),FALSE), "・", 0)) + 1), 0)</f>
        <v>0</v>
      </c>
      <c r="AC144">
        <f>IF(ISNUMBER(SEARCH(SUBSTITUTE(AC$1,RIGHT(AC$1,2),""),VLOOKUP($D144,素材!$1:$1016,COLUMN($F$1),FALSE))),VLOOKUP($C144,武器!$1:$998,COLUMN($O$1),FALSE)*VLOOKUP($D144,素材!$1:$1016,COLUMN($E$1),FALSE)/(LEN(VLOOKUP($D144,素材!$1:$1016,COLUMN($F$1),FALSE)) - LEN(SUBSTITUTE(VLOOKUP($D144,素材!$1:$1016,COLUMN($F$1),FALSE), "・", 0)) + 1), 0)</f>
        <v>0</v>
      </c>
      <c r="AD144">
        <f>IF(ISNUMBER(SEARCH(SUBSTITUTE(AD$1,RIGHT(AD$1,2),""),VLOOKUP($D144,素材!$1:$1016,COLUMN($F$1),FALSE))),VLOOKUP($C144,武器!$1:$998,COLUMN($O$1),FALSE)*VLOOKUP($D144,素材!$1:$1016,COLUMN($E$1),FALSE)/(LEN(VLOOKUP($D144,素材!$1:$1016,COLUMN($F$1),FALSE)) - LEN(SUBSTITUTE(VLOOKUP($D144,素材!$1:$1016,COLUMN($F$1),FALSE), "・", 0)) + 1), 0)</f>
        <v>0</v>
      </c>
      <c r="AE144">
        <f>IF(ISNUMBER(SEARCH(SUBSTITUTE(AE$1,RIGHT(AE$1,2),""),VLOOKUP($D144,素材!$1:$1016,COLUMN($F$1),FALSE))),VLOOKUP($C144,武器!$1:$998,COLUMN($O$1),FALSE)*VLOOKUP($D144,素材!$1:$1016,COLUMN($E$1),FALSE)/(LEN(VLOOKUP($D144,素材!$1:$1016,COLUMN($F$1),FALSE)) - LEN(SUBSTITUTE(VLOOKUP($D144,素材!$1:$1016,COLUMN($F$1),FALSE), "・", 0)) + 1), 0)</f>
        <v>0</v>
      </c>
      <c r="AF144">
        <f>IF(ISNUMBER(SEARCH(SUBSTITUTE(AF$1,RIGHT(AF$1,2),""),VLOOKUP($D144,素材!$1:$1016,COLUMN($F$1),FALSE))),VLOOKUP($C144,武器!$1:$998,COLUMN($O$1),FALSE)*VLOOKUP($D144,素材!$1:$1016,COLUMN($E$1),FALSE)/(LEN(VLOOKUP($D144,素材!$1:$1016,COLUMN($F$1),FALSE)) - LEN(SUBSTITUTE(VLOOKUP($D144,素材!$1:$1016,COLUMN($F$1),FALSE), "・", 0)) + 1), 0)</f>
        <v>0</v>
      </c>
      <c r="AG144">
        <f>IF(ISNUMBER(SEARCH(SUBSTITUTE(AG$1,RIGHT(AG$1,2),""),VLOOKUP($D144,素材!$1:$1016,COLUMN($F$1),FALSE))),VLOOKUP($C144,武器!$1:$998,COLUMN($O$1),FALSE)*VLOOKUP($D144,素材!$1:$1016,COLUMN($E$1),FALSE)/(LEN(VLOOKUP($D144,素材!$1:$1016,COLUMN($F$1),FALSE)) - LEN(SUBSTITUTE(VLOOKUP($D144,素材!$1:$1016,COLUMN($F$1),FALSE), "・", 0)) + 1), 0)</f>
        <v>12.5</v>
      </c>
      <c r="AH144">
        <f>IF(ISNUMBER(SEARCH(SUBSTITUTE(AH$1,RIGHT(AH$1,2),""),VLOOKUP($D144,素材!$1:$1016,COLUMN($F$1),FALSE))),VLOOKUP($C144,武器!$1:$998,COLUMN($O$1),FALSE)*VLOOKUP($D144,素材!$1:$1016,COLUMN($E$1),FALSE)/(LEN(VLOOKUP($D144,素材!$1:$1016,COLUMN($F$1),FALSE)) - LEN(SUBSTITUTE(VLOOKUP($D144,素材!$1:$1016,COLUMN($F$1),FALSE), "・", 0)) + 1), 0)</f>
        <v>0</v>
      </c>
      <c r="AI144">
        <f>IF(ISNUMBER(SEARCH(SUBSTITUTE(AI$1,RIGHT(AI$1,2),""),VLOOKUP($D144,素材!$1:$1016,COLUMN($F$1),FALSE))),VLOOKUP($C144,武器!$1:$998,COLUMN($O$1),FALSE)*VLOOKUP($D144,素材!$1:$1016,COLUMN($E$1),FALSE)/(LEN(VLOOKUP($D144,素材!$1:$1016,COLUMN($F$1),FALSE)) - LEN(SUBSTITUTE(VLOOKUP($D144,素材!$1:$1016,COLUMN($F$1),FALSE), "・", 0)) + 1), 0)</f>
        <v>0</v>
      </c>
      <c r="AJ144">
        <f>IF(ISNUMBER(SEARCH(SUBSTITUTE(AJ$1,RIGHT(AJ$1,2),""),VLOOKUP($D144,素材!$1:$1016,COLUMN($F$1),FALSE))),VLOOKUP($C144,武器!$1:$998,COLUMN($O$1),FALSE)*VLOOKUP($D144,素材!$1:$1016,COLUMN($E$1),FALSE)/(LEN(VLOOKUP($D144,素材!$1:$1016,COLUMN($F$1),FALSE)) - LEN(SUBSTITUTE(VLOOKUP($D144,素材!$1:$1016,COLUMN($F$1),FALSE), "・", 0)) + 1), 0)</f>
        <v>0</v>
      </c>
      <c r="AK144">
        <f>IF(ISNUMBER(SEARCH(SUBSTITUTE(AK$1,RIGHT(AK$1,2),""),VLOOKUP($D144,素材!$1:$1016,COLUMN($F$1),FALSE))),VLOOKUP($C144,武器!$1:$998,COLUMN($O$1),FALSE)*VLOOKUP($D144,素材!$1:$1016,COLUMN($E$1),FALSE)/(LEN(VLOOKUP($D144,素材!$1:$1016,COLUMN($F$1),FALSE)) - LEN(SUBSTITUTE(VLOOKUP($D144,素材!$1:$1016,COLUMN($F$1),FALSE), "・", 0)) + 1), 0)</f>
        <v>0</v>
      </c>
      <c r="AL144">
        <f>IF(ISNUMBER(SEARCH(SUBSTITUTE(AL$1,RIGHT(AL$1,2),""),VLOOKUP($D144,素材!$1:$1016,COLUMN($F$1),FALSE))),VLOOKUP($C144,武器!$1:$998,COLUMN($O$1),FALSE)*VLOOKUP($D144,素材!$1:$1016,COLUMN($E$1),FALSE)/(LEN(VLOOKUP($D144,素材!$1:$1016,COLUMN($F$1),FALSE)) - LEN(SUBSTITUTE(VLOOKUP($D144,素材!$1:$1016,COLUMN($F$1),FALSE), "・", 0)) + 1), 0)</f>
        <v>0</v>
      </c>
      <c r="AM144">
        <f>IF(ISNUMBER(SEARCH(SUBSTITUTE(AM$1,RIGHT(AM$1,2),""),VLOOKUP($D144,素材!$1:$1016,COLUMN($F$1),FALSE))),VLOOKUP($C144,武器!$1:$998,COLUMN($O$1),FALSE)*VLOOKUP($D144,素材!$1:$1016,COLUMN($E$1),FALSE)/(LEN(VLOOKUP($D144,素材!$1:$1016,COLUMN($F$1),FALSE)) - LEN(SUBSTITUTE(VLOOKUP($D144,素材!$1:$1016,COLUMN($F$1),FALSE), "・", 0)) + 1), 0)</f>
        <v>0</v>
      </c>
      <c r="AN144">
        <f>IF(ISNUMBER(SEARCH(SUBSTITUTE(AN$1,RIGHT(AN$1,2),""),VLOOKUP($D144,素材!$1:$1016,COLUMN($F$1),FALSE))),VLOOKUP($C144,武器!$1:$998,COLUMN($O$1),FALSE)*VLOOKUP($D144,素材!$1:$1016,COLUMN($E$1),FALSE)/(LEN(VLOOKUP($D144,素材!$1:$1016,COLUMN($F$1),FALSE)) - LEN(SUBSTITUTE(VLOOKUP($D144,素材!$1:$1016,COLUMN($F$1),FALSE), "・", 0)) + 1), 0)</f>
        <v>0</v>
      </c>
      <c r="AO144">
        <f>IF(ISNUMBER(SEARCH(SUBSTITUTE(AO$1,RIGHT(AO$1,2),""),VLOOKUP($D144,素材!$1:$1016,COLUMN($F$1),FALSE))),VLOOKUP($C144,武器!$1:$998,COLUMN($O$1),FALSE)*VLOOKUP($D144,素材!$1:$1016,COLUMN($E$1),FALSE)/(LEN(VLOOKUP($D144,素材!$1:$1016,COLUMN($F$1),FALSE)) - LEN(SUBSTITUTE(VLOOKUP($D144,素材!$1:$1016,COLUMN($F$1),FALSE), "・", 0)) + 1), 0)</f>
        <v>0</v>
      </c>
      <c r="AP144">
        <f>IF(ISNUMBER(SEARCH(SUBSTITUTE(AP$1,RIGHT(AP$1,2),""),VLOOKUP($D144,素材!$1:$1016,COLUMN($F$1),FALSE))),VLOOKUP($C144,武器!$1:$998,COLUMN($O$1),FALSE)*VLOOKUP($D144,素材!$1:$1016,COLUMN($E$1),FALSE)/(LEN(VLOOKUP($D144,素材!$1:$1016,COLUMN($F$1),FALSE)) - LEN(SUBSTITUTE(VLOOKUP($D144,素材!$1:$1016,COLUMN($F$1),FALSE), "・", 0)) + 1), 0)</f>
        <v>0</v>
      </c>
      <c r="AQ144">
        <f>IF(ISNUMBER(SEARCH(SUBSTITUTE(AQ$1,RIGHT(AQ$1,2),""),VLOOKUP($D144,素材!$1:$1016,COLUMN($F$1),FALSE))),VLOOKUP($C144,武器!$1:$998,COLUMN($O$1),FALSE)*VLOOKUP($D144,素材!$1:$1016,COLUMN($E$1),FALSE)/(LEN(VLOOKUP($D144,素材!$1:$1016,COLUMN($F$1),FALSE)) - LEN(SUBSTITUTE(VLOOKUP($D144,素材!$1:$1016,COLUMN($F$1),FALSE), "・", 0)) + 1), 0)</f>
        <v>0</v>
      </c>
      <c r="AR144">
        <f>IF(ISNUMBER(SEARCH(SUBSTITUTE(AR$1,RIGHT(AR$1,2),""),VLOOKUP($D144,素材!$1:$1016,COLUMN($F$1),FALSE))),VLOOKUP($C144,武器!$1:$998,COLUMN($O$1),FALSE)*VLOOKUP($D144,素材!$1:$1016,COLUMN($E$1),FALSE)/(LEN(VLOOKUP($D144,素材!$1:$1016,COLUMN($F$1),FALSE)) - LEN(SUBSTITUTE(VLOOKUP($D144,素材!$1:$1016,COLUMN($F$1),FALSE), "・", 0)) + 1), 0)</f>
        <v>0</v>
      </c>
      <c r="AS144">
        <f>IF(ISNUMBER(SEARCH(SUBSTITUTE(AS$1,RIGHT(AS$1,2),""),VLOOKUP($D144,素材!$1:$1016,COLUMN($F$1),FALSE))),VLOOKUP($C144,武器!$1:$998,COLUMN($O$1),FALSE)*VLOOKUP($D144,素材!$1:$1016,COLUMN($E$1),FALSE)/(LEN(VLOOKUP($D144,素材!$1:$1016,COLUMN($F$1),FALSE)) - LEN(SUBSTITUTE(VLOOKUP($D144,素材!$1:$1016,COLUMN($F$1),FALSE), "・", 0)) + 1), 0)</f>
        <v>0</v>
      </c>
      <c r="AT144">
        <f>IF(ISNUMBER(SEARCH(SUBSTITUTE(AT$1,RIGHT(AT$1,2),""),VLOOKUP($D144,素材!$1:$1016,COLUMN($F$1),FALSE))),VLOOKUP($C144,武器!$1:$998,COLUMN($O$1),FALSE)*VLOOKUP($D144,素材!$1:$1016,COLUMN($E$1),FALSE)/(LEN(VLOOKUP($D144,素材!$1:$1016,COLUMN($F$1),FALSE)) - LEN(SUBSTITUTE(VLOOKUP($D144,素材!$1:$1016,COLUMN($F$1),FALSE), "・", 0)) + 1), 0)</f>
        <v>0</v>
      </c>
      <c r="AU144">
        <f>IF(ISNUMBER(SEARCH(SUBSTITUTE(AU$1,RIGHT(AU$1,2),""),VLOOKUP($D144,素材!$1:$1016,COLUMN($F$1),FALSE))),VLOOKUP($C144,武器!$1:$998,COLUMN($O$1),FALSE)*VLOOKUP($D144,素材!$1:$1016,COLUMN($E$1),FALSE)/(LEN(VLOOKUP($D144,素材!$1:$1016,COLUMN($F$1),FALSE)) - LEN(SUBSTITUTE(VLOOKUP($D144,素材!$1:$1016,COLUMN($F$1),FALSE), "・", 0)) + 1), 0)</f>
        <v>0</v>
      </c>
      <c r="AV144">
        <f>IF(ISNUMBER(SEARCH(SUBSTITUTE(AV$1,RIGHT(AV$1,2),""),VLOOKUP($D144,素材!$1:$1016,COLUMN($F$1),FALSE))),VLOOKUP($C144,武器!$1:$998,COLUMN($O$1),FALSE)*VLOOKUP($D144,素材!$1:$1016,COLUMN($E$1),FALSE)/(LEN(VLOOKUP($D144,素材!$1:$1016,COLUMN($F$1),FALSE)) - LEN(SUBSTITUTE(VLOOKUP($D144,素材!$1:$1016,COLUMN($F$1),FALSE), "・", 0)) + 1), 0)</f>
        <v>0</v>
      </c>
      <c r="AW144">
        <f>IF(ISNUMBER(SEARCH(SUBSTITUTE(AW$1,RIGHT(AW$1,2),""),VLOOKUP($D144,素材!$1:$1016,COLUMN($F$1),FALSE))),VLOOKUP($C144,武器!$1:$998,COLUMN($O$1),FALSE)*VLOOKUP($D144,素材!$1:$1016,COLUMN($E$1),FALSE)/(LEN(VLOOKUP($D144,素材!$1:$1016,COLUMN($F$1),FALSE)) - LEN(SUBSTITUTE(VLOOKUP($D144,素材!$1:$1016,COLUMN($F$1),FALSE), "・", 0)) + 1), 0)</f>
        <v>0</v>
      </c>
      <c r="AX144">
        <f>IF(ISNUMBER(SEARCH(SUBSTITUTE(AX$1,RIGHT(AX$1,2),""),VLOOKUP($D144,素材!$1:$1016,COLUMN($F$1),FALSE))),VLOOKUP($C144,武器!$1:$998,COLUMN($O$1),FALSE)*VLOOKUP($D144,素材!$1:$1016,COLUMN($E$1),FALSE)/(LEN(VLOOKUP($D144,素材!$1:$1016,COLUMN($F$1),FALSE)) - LEN(SUBSTITUTE(VLOOKUP($D144,素材!$1:$1016,COLUMN($F$1),FALSE), "・", 0)) + 1), 0)</f>
        <v>0</v>
      </c>
      <c r="AY144">
        <f>IF(ISNUMBER(SEARCH(SUBSTITUTE(AY$1,RIGHT(AY$1,2),""),VLOOKUP($D144,素材!$1:$1016,COLUMN($F$1),FALSE))),VLOOKUP($C144,武器!$1:$998,COLUMN($O$1),FALSE)*VLOOKUP($D144,素材!$1:$1016,COLUMN($E$1),FALSE)/(LEN(VLOOKUP($D144,素材!$1:$1016,COLUMN($F$1),FALSE)) - LEN(SUBSTITUTE(VLOOKUP($D144,素材!$1:$1016,COLUMN($F$1),FALSE), "・", 0)) + 1), 0)</f>
        <v>0</v>
      </c>
      <c r="AZ144">
        <f>IF(ISNUMBER(SEARCH(SUBSTITUTE(AZ$1,RIGHT(AZ$1,2),""),VLOOKUP($D144,素材!$1:$1016,COLUMN($F$1),FALSE))),VLOOKUP($C144,武器!$1:$998,COLUMN($O$1),FALSE)*VLOOKUP($D144,素材!$1:$1016,COLUMN($E$1),FALSE)/(LEN(VLOOKUP($D144,素材!$1:$1016,COLUMN($F$1),FALSE)) - LEN(SUBSTITUTE(VLOOKUP($D144,素材!$1:$1016,COLUMN($F$1),FALSE), "・", 0)) + 1), 0)</f>
        <v>0</v>
      </c>
      <c r="BA144">
        <f>IF(ISNUMBER(SEARCH(SUBSTITUTE(BA$1,RIGHT(BA$1,2),""),VLOOKUP($D144,素材!$1:$1016,COLUMN($F$1),FALSE))),VLOOKUP($C144,武器!$1:$998,COLUMN($O$1),FALSE)*VLOOKUP($D144,素材!$1:$1016,COLUMN($E$1),FALSE)/(LEN(VLOOKUP($D144,素材!$1:$1016,COLUMN($F$1),FALSE)) - LEN(SUBSTITUTE(VLOOKUP($D144,素材!$1:$1016,COLUMN($F$1),FALSE), "・", 0)) + 1), 0)</f>
        <v>0</v>
      </c>
      <c r="BB144">
        <f>IF(ISNUMBER(SEARCH(SUBSTITUTE(BB$1,RIGHT(BB$1,2),""),VLOOKUP($D144,素材!$1:$1016,COLUMN($F$1),FALSE))),VLOOKUP($C144,武器!$1:$998,COLUMN($O$1),FALSE)*VLOOKUP($D144,素材!$1:$1016,COLUMN($E$1),FALSE)/(LEN(VLOOKUP($D144,素材!$1:$1016,COLUMN($F$1),FALSE)) - LEN(SUBSTITUTE(VLOOKUP($D144,素材!$1:$1016,COLUMN($F$1),FALSE), "・", 0)) + 1), 0)</f>
        <v>0</v>
      </c>
      <c r="BC144">
        <f>IF(ISNUMBER(SEARCH(SUBSTITUTE(BC$1,RIGHT(BC$1,2),""),VLOOKUP($D144,素材!$1:$1016,COLUMN($F$1),FALSE))),VLOOKUP($C144,武器!$1:$998,COLUMN($O$1),FALSE)*VLOOKUP($D144,素材!$1:$1016,COLUMN($E$1),FALSE)/(LEN(VLOOKUP($D144,素材!$1:$1016,COLUMN($F$1),FALSE)) - LEN(SUBSTITUTE(VLOOKUP($D144,素材!$1:$1016,COLUMN($F$1),FALSE), "・", 0)) + 1), 0)</f>
        <v>0</v>
      </c>
      <c r="BD144">
        <f>IF(ISNUMBER(SEARCH(SUBSTITUTE(BD$1,RIGHT(BD$1,2),""),VLOOKUP($D144,素材!$1:$1016,COLUMN($F$1),FALSE))),VLOOKUP($C144,武器!$1:$998,COLUMN($O$1),FALSE)*VLOOKUP($D144,素材!$1:$1016,COLUMN($E$1),FALSE)/(LEN(VLOOKUP($D144,素材!$1:$1016,COLUMN($F$1),FALSE)) - LEN(SUBSTITUTE(VLOOKUP($D144,素材!$1:$1016,COLUMN($F$1),FALSE), "・", 0)) + 1), 0)</f>
        <v>0</v>
      </c>
      <c r="BE144">
        <f>IF(ISNUMBER(SEARCH(SUBSTITUTE(BE$1,RIGHT(BE$1,2),""),VLOOKUP($D144,素材!$1:$1016,COLUMN($F$1),FALSE))),VLOOKUP($C144,武器!$1:$998,COLUMN($O$1),FALSE)*VLOOKUP($D144,素材!$1:$1016,COLUMN($E$1),FALSE)/(LEN(VLOOKUP($D144,素材!$1:$1016,COLUMN($F$1),FALSE)) - LEN(SUBSTITUTE(VLOOKUP($D144,素材!$1:$1016,COLUMN($F$1),FALSE), "・", 0)) + 1), 0)</f>
        <v>0</v>
      </c>
      <c r="CL144">
        <f>SUM(G144:I144)</f>
        <v>0</v>
      </c>
      <c r="CM144" s="22" t="str">
        <f>IF(E144="武器",IF(J144-1&gt;SUM(G144:I144),"盾",IF(MAX(G144:I144)=G144,"切断",IF(MAX(G144:I144)=H144,"貫通",IF(MAX(G144:I144)=I144,"打撃","射撃")))),E144)&amp;".webp"</f>
        <v>体.webp</v>
      </c>
      <c r="CN144">
        <f>IFERROR(VLOOKUP($C144,武器!$1:$998,COLUMN(V$1),FALSE)*VLOOKUP($D144,素材!$1:$1016,COLUMN(N$1),FALSE)+IF(CI144="",0,VLOOKUP($CI144,装強!$1:$1008,COLUMN($CK$1),FALSE)),"")</f>
        <v>13750</v>
      </c>
      <c r="CO144" t="str">
        <f>VLOOKUP(D144,素材!$A:$O,COLUMN(素材!O$1),FALSE)</f>
        <v>雷属性を持つドラゴン型生物から採取される鱗素材。雷属性攻撃への耐性を強化し、武器の電撃効果を高めることも可能です。</v>
      </c>
      <c r="CP144" t="str">
        <f>VLOOKUP(C144,武器!$A:$W,COLUMN(武器!W$1),FALSE)</f>
        <v>HP 物理 魔法 体幹 出血 疲労 Cr</v>
      </c>
      <c r="CR144" t="str">
        <f t="shared" si="18"/>
        <v>e_144</v>
      </c>
      <c r="CS144">
        <f t="shared" si="22"/>
        <v>1375000</v>
      </c>
    </row>
    <row r="145" spans="1:97" outlineLevel="1" x14ac:dyDescent="0.4">
      <c r="A145" t="str">
        <f t="shared" ref="A145" si="23">D145&amp;"の"&amp;C145</f>
        <v>氷蜥蜴の鱗の帽子</v>
      </c>
      <c r="B145" t="str">
        <f>IFERROR(VLOOKUP($D145,素材!$1:$1016,COLUMN($B$1),FALSE)&amp;"・"&amp;VLOOKUP($C145,武器!$1:$998,COLUMN(B$1),FALSE),"")</f>
        <v>アイスドレイクスケール・ハット</v>
      </c>
      <c r="C145" t="s">
        <v>1195</v>
      </c>
      <c r="D145" s="24" t="s">
        <v>248</v>
      </c>
      <c r="E145" t="str">
        <f>IFERROR(VLOOKUP(C145,武器!$1:$998,COLUMN(C$1),FALSE),"")</f>
        <v>頭</v>
      </c>
      <c r="F145">
        <f>IFERROR(ROUNDDOWN((VLOOKUP($C145,武器!$1:$998,COLUMN(D$1),FALSE)+IFERROR(VLOOKUP($CI145,装強!$1:$999,COLUMN(F$1),FALSE),0))*VLOOKUP($D145,素材!$1:$1016,COLUMN(D$1),FALSE),0),"")</f>
        <v>0</v>
      </c>
      <c r="G145">
        <f>IFERROR(ROUNDDOWN((VLOOKUP($C145,武器!$1:$998,COLUMN(E$1),FALSE)+IFERROR(VLOOKUP($CI145,装強!$1:$999,COLUMN(G$1),FALSE),0))*VLOOKUP($D145,素材!$1:$1016,COLUMN($E$1),FALSE),0),"")</f>
        <v>0</v>
      </c>
      <c r="H145">
        <f>IFERROR(ROUNDDOWN((VLOOKUP($C145,武器!$1:$998,COLUMN(F$1),FALSE)+IFERROR(VLOOKUP($CI145,装強!$1:$999,COLUMN(H$1),FALSE),0))*VLOOKUP($D145,素材!$1:$1016,COLUMN($E$1),FALSE),0),"")</f>
        <v>0</v>
      </c>
      <c r="I145">
        <f>IFERROR(ROUNDDOWN((VLOOKUP($C145,武器!$1:$998,COLUMN(G$1),FALSE)+IFERROR(VLOOKUP($CI145,装強!$1:$999,COLUMN(I$1),FALSE),0))*VLOOKUP($D145,素材!$1:$1016,COLUMN($E$1),FALSE),0),"")</f>
        <v>0</v>
      </c>
      <c r="J145">
        <f>IFERROR(ROUNDDOWN((VLOOKUP($C145,武器!$1:$998,COLUMN(H$1),FALSE)+IFERROR(VLOOKUP($CI145,装強!$1:$999,COLUMN(J$1),FALSE),0))*VLOOKUP($D145,素材!$1:$1016,COLUMN($E$1),FALSE),0),"")</f>
        <v>0</v>
      </c>
      <c r="K145">
        <f>IFERROR(ROUNDDOWN((VLOOKUP($C145,武器!$1:$998,COLUMN(I$1),FALSE)+IFERROR(VLOOKUP($CI145,装強!$1:$999,COLUMN(K$1),FALSE),0))*VLOOKUP($D145,素材!$1:$1016,COLUMN($E$1),FALSE),0),"")</f>
        <v>0</v>
      </c>
      <c r="L145" t="str">
        <f>IFERROR(VLOOKUP($D145,素材!$1:$1016,COLUMN($F$1),FALSE),"")</f>
        <v>氷</v>
      </c>
      <c r="M145">
        <f>IFERROR(VLOOKUP($C145,武器!$1:$998,COLUMN(AA$1),FALSE)*VLOOKUP($D145,素材!$1:$1016,COLUMN($G$1),FALSE),"")</f>
        <v>0</v>
      </c>
      <c r="N145">
        <f>IFERROR(VLOOKUP($C145,武器!$1:$998,COLUMN(I$1),FALSE),"")</f>
        <v>0</v>
      </c>
      <c r="O145" s="23" t="str">
        <f>IFERROR((VLOOKUP($C145,武器!$1:$998,COLUMN(K$1),FALSE)+VLOOKUP($D145,素材!$1:$1016,COLUMN(H$1),FALSE))*100+IFERROR(VLOOKUP($CI145,装強!$1:$999,COLUMN(O$1),FALSE),0),"")</f>
        <v/>
      </c>
      <c r="P145" s="23" t="str">
        <f>IFERROR((VLOOKUP($C145,武器!$1:$998,COLUMN(L$1),FALSE)+VLOOKUP($D145,素材!$1:$1016,COLUMN(I$1),FALSE))*100+IFERROR(VLOOKUP($CI145,装強!$1:$999,COLUMN(P$1),FALSE),0),"")</f>
        <v/>
      </c>
      <c r="Q145">
        <f>IFERROR(ROUNDUP(VLOOKUP($C145,武器!$1:$998,COLUMN(M$1),FALSE)*(VLOOKUP($D145,素材!$1:$1002,COLUMN(D$1),FALSE)/100),1),"")</f>
        <v>0</v>
      </c>
      <c r="R145">
        <f>IFERROR(ROUNDUP(VLOOKUP($C145,武器!$1:$998,COLUMN(N$1),FALSE)*(VLOOKUP($D145,素材!$1:$1002,COLUMN(D$1),FALSE)/100),1),"")</f>
        <v>0</v>
      </c>
      <c r="S145">
        <f>IFERROR(VLOOKUP($C145,武器!$1:$998,COLUMN(P$1),FALSE),"")</f>
        <v>0</v>
      </c>
      <c r="T145">
        <f>IFERROR(VLOOKUP($C145,武器!$1:$998,COLUMN(Q$1),FALSE),"")</f>
        <v>0</v>
      </c>
      <c r="U145">
        <f>IFERROR(VLOOKUP($C145,武器!$1:$998,COLUMN(R$1),FALSE),"")</f>
        <v>0</v>
      </c>
      <c r="V145">
        <f>IFERROR(VLOOKUP($C145,武器!$1:$998,COLUMN(Q$1),FALSE),"")</f>
        <v>0</v>
      </c>
      <c r="W145">
        <f>IFERROR(VLOOKUP($C145,武器!$1:$998,COLUMN(T$1),FALSE),"")</f>
        <v>0</v>
      </c>
      <c r="Y145">
        <f>IFERROR(VLOOKUP($C145,武器!$1:$998,COLUMN(U$1),FALSE),"")</f>
        <v>0</v>
      </c>
      <c r="Z145">
        <f>IFERROR(ROUNDUP(VLOOKUP($C145,武器!$1:$998,COLUMN(O$1),FALSE)*VLOOKUP($D145,素材!$1:$1016,COLUMN(E$1),FALSE),1),"")</f>
        <v>2.5</v>
      </c>
      <c r="AA145">
        <f>IF(ISNUMBER(SEARCH(SUBSTITUTE(AA$1,RIGHT(AA$1,2),""),VLOOKUP($D145,素材!$1:$1016,COLUMN($F$1),FALSE))),VLOOKUP($C145,武器!$1:$998,COLUMN($O$1),FALSE)*VLOOKUP($D145,素材!$1:$1016,COLUMN($E$1),FALSE)/(LEN(VLOOKUP($D145,素材!$1:$1016,COLUMN($F$1),FALSE)) - LEN(SUBSTITUTE(VLOOKUP($D145,素材!$1:$1016,COLUMN($F$1),FALSE), "・", 0)) + 1), 0)</f>
        <v>0</v>
      </c>
      <c r="AB145">
        <f>IF(ISNUMBER(SEARCH(SUBSTITUTE(AB$1,RIGHT(AB$1,2),""),VLOOKUP($D145,素材!$1:$1016,COLUMN($F$1),FALSE))),VLOOKUP($C145,武器!$1:$998,COLUMN($O$1),FALSE)*VLOOKUP($D145,素材!$1:$1016,COLUMN($E$1),FALSE)/(LEN(VLOOKUP($D145,素材!$1:$1016,COLUMN($F$1),FALSE)) - LEN(SUBSTITUTE(VLOOKUP($D145,素材!$1:$1016,COLUMN($F$1),FALSE), "・", 0)) + 1), 0)</f>
        <v>0</v>
      </c>
      <c r="AC145">
        <f>IF(ISNUMBER(SEARCH(SUBSTITUTE(AC$1,RIGHT(AC$1,2),""),VLOOKUP($D145,素材!$1:$1016,COLUMN($F$1),FALSE))),VLOOKUP($C145,武器!$1:$998,COLUMN($O$1),FALSE)*VLOOKUP($D145,素材!$1:$1016,COLUMN($E$1),FALSE)/(LEN(VLOOKUP($D145,素材!$1:$1016,COLUMN($F$1),FALSE)) - LEN(SUBSTITUTE(VLOOKUP($D145,素材!$1:$1016,COLUMN($F$1),FALSE), "・", 0)) + 1), 0)</f>
        <v>0</v>
      </c>
      <c r="AD145">
        <f>IF(ISNUMBER(SEARCH(SUBSTITUTE(AD$1,RIGHT(AD$1,2),""),VLOOKUP($D145,素材!$1:$1016,COLUMN($F$1),FALSE))),VLOOKUP($C145,武器!$1:$998,COLUMN($O$1),FALSE)*VLOOKUP($D145,素材!$1:$1016,COLUMN($E$1),FALSE)/(LEN(VLOOKUP($D145,素材!$1:$1016,COLUMN($F$1),FALSE)) - LEN(SUBSTITUTE(VLOOKUP($D145,素材!$1:$1016,COLUMN($F$1),FALSE), "・", 0)) + 1), 0)</f>
        <v>0</v>
      </c>
      <c r="AE145">
        <f>IF(ISNUMBER(SEARCH(SUBSTITUTE(AE$1,RIGHT(AE$1,2),""),VLOOKUP($D145,素材!$1:$1016,COLUMN($F$1),FALSE))),VLOOKUP($C145,武器!$1:$998,COLUMN($O$1),FALSE)*VLOOKUP($D145,素材!$1:$1016,COLUMN($E$1),FALSE)/(LEN(VLOOKUP($D145,素材!$1:$1016,COLUMN($F$1),FALSE)) - LEN(SUBSTITUTE(VLOOKUP($D145,素材!$1:$1016,COLUMN($F$1),FALSE), "・", 0)) + 1), 0)</f>
        <v>0</v>
      </c>
      <c r="AF145">
        <f>IF(ISNUMBER(SEARCH(SUBSTITUTE(AF$1,RIGHT(AF$1,2),""),VLOOKUP($D145,素材!$1:$1016,COLUMN($F$1),FALSE))),VLOOKUP($C145,武器!$1:$998,COLUMN($O$1),FALSE)*VLOOKUP($D145,素材!$1:$1016,COLUMN($E$1),FALSE)/(LEN(VLOOKUP($D145,素材!$1:$1016,COLUMN($F$1),FALSE)) - LEN(SUBSTITUTE(VLOOKUP($D145,素材!$1:$1016,COLUMN($F$1),FALSE), "・", 0)) + 1), 0)</f>
        <v>2.5</v>
      </c>
      <c r="AG145">
        <f>IF(ISNUMBER(SEARCH(SUBSTITUTE(AG$1,RIGHT(AG$1,2),""),VLOOKUP($D145,素材!$1:$1016,COLUMN($F$1),FALSE))),VLOOKUP($C145,武器!$1:$998,COLUMN($O$1),FALSE)*VLOOKUP($D145,素材!$1:$1016,COLUMN($E$1),FALSE)/(LEN(VLOOKUP($D145,素材!$1:$1016,COLUMN($F$1),FALSE)) - LEN(SUBSTITUTE(VLOOKUP($D145,素材!$1:$1016,COLUMN($F$1),FALSE), "・", 0)) + 1), 0)</f>
        <v>0</v>
      </c>
      <c r="AH145">
        <f>IF(ISNUMBER(SEARCH(SUBSTITUTE(AH$1,RIGHT(AH$1,2),""),VLOOKUP($D145,素材!$1:$1016,COLUMN($F$1),FALSE))),VLOOKUP($C145,武器!$1:$998,COLUMN($O$1),FALSE)*VLOOKUP($D145,素材!$1:$1016,COLUMN($E$1),FALSE)/(LEN(VLOOKUP($D145,素材!$1:$1016,COLUMN($F$1),FALSE)) - LEN(SUBSTITUTE(VLOOKUP($D145,素材!$1:$1016,COLUMN($F$1),FALSE), "・", 0)) + 1), 0)</f>
        <v>0</v>
      </c>
      <c r="AI145">
        <f>IF(ISNUMBER(SEARCH(SUBSTITUTE(AI$1,RIGHT(AI$1,2),""),VLOOKUP($D145,素材!$1:$1016,COLUMN($F$1),FALSE))),VLOOKUP($C145,武器!$1:$998,COLUMN($O$1),FALSE)*VLOOKUP($D145,素材!$1:$1016,COLUMN($E$1),FALSE)/(LEN(VLOOKUP($D145,素材!$1:$1016,COLUMN($F$1),FALSE)) - LEN(SUBSTITUTE(VLOOKUP($D145,素材!$1:$1016,COLUMN($F$1),FALSE), "・", 0)) + 1), 0)</f>
        <v>0</v>
      </c>
      <c r="AJ145">
        <f>IF(ISNUMBER(SEARCH(SUBSTITUTE(AJ$1,RIGHT(AJ$1,2),""),VLOOKUP($D145,素材!$1:$1016,COLUMN($F$1),FALSE))),VLOOKUP($C145,武器!$1:$998,COLUMN($O$1),FALSE)*VLOOKUP($D145,素材!$1:$1016,COLUMN($E$1),FALSE)/(LEN(VLOOKUP($D145,素材!$1:$1016,COLUMN($F$1),FALSE)) - LEN(SUBSTITUTE(VLOOKUP($D145,素材!$1:$1016,COLUMN($F$1),FALSE), "・", 0)) + 1), 0)</f>
        <v>0</v>
      </c>
      <c r="AK145">
        <f>IF(ISNUMBER(SEARCH(SUBSTITUTE(AK$1,RIGHT(AK$1,2),""),VLOOKUP($D145,素材!$1:$1016,COLUMN($F$1),FALSE))),VLOOKUP($C145,武器!$1:$998,COLUMN($O$1),FALSE)*VLOOKUP($D145,素材!$1:$1016,COLUMN($E$1),FALSE)/(LEN(VLOOKUP($D145,素材!$1:$1016,COLUMN($F$1),FALSE)) - LEN(SUBSTITUTE(VLOOKUP($D145,素材!$1:$1016,COLUMN($F$1),FALSE), "・", 0)) + 1), 0)</f>
        <v>0</v>
      </c>
      <c r="AL145">
        <f>IF(ISNUMBER(SEARCH(SUBSTITUTE(AL$1,RIGHT(AL$1,2),""),VLOOKUP($D145,素材!$1:$1016,COLUMN($F$1),FALSE))),VLOOKUP($C145,武器!$1:$998,COLUMN($O$1),FALSE)*VLOOKUP($D145,素材!$1:$1016,COLUMN($E$1),FALSE)/(LEN(VLOOKUP($D145,素材!$1:$1016,COLUMN($F$1),FALSE)) - LEN(SUBSTITUTE(VLOOKUP($D145,素材!$1:$1016,COLUMN($F$1),FALSE), "・", 0)) + 1), 0)</f>
        <v>0</v>
      </c>
      <c r="AM145">
        <f>IF(ISNUMBER(SEARCH(SUBSTITUTE(AM$1,RIGHT(AM$1,2),""),VLOOKUP($D145,素材!$1:$1016,COLUMN($F$1),FALSE))),VLOOKUP($C145,武器!$1:$998,COLUMN($O$1),FALSE)*VLOOKUP($D145,素材!$1:$1016,COLUMN($E$1),FALSE)/(LEN(VLOOKUP($D145,素材!$1:$1016,COLUMN($F$1),FALSE)) - LEN(SUBSTITUTE(VLOOKUP($D145,素材!$1:$1016,COLUMN($F$1),FALSE), "・", 0)) + 1), 0)</f>
        <v>0</v>
      </c>
      <c r="AN145">
        <f>IF(ISNUMBER(SEARCH(SUBSTITUTE(AN$1,RIGHT(AN$1,2),""),VLOOKUP($D145,素材!$1:$1016,COLUMN($F$1),FALSE))),VLOOKUP($C145,武器!$1:$998,COLUMN($O$1),FALSE)*VLOOKUP($D145,素材!$1:$1016,COLUMN($E$1),FALSE)/(LEN(VLOOKUP($D145,素材!$1:$1016,COLUMN($F$1),FALSE)) - LEN(SUBSTITUTE(VLOOKUP($D145,素材!$1:$1016,COLUMN($F$1),FALSE), "・", 0)) + 1), 0)</f>
        <v>0</v>
      </c>
      <c r="AO145">
        <f>IF(ISNUMBER(SEARCH(SUBSTITUTE(AO$1,RIGHT(AO$1,2),""),VLOOKUP($D145,素材!$1:$1016,COLUMN($F$1),FALSE))),VLOOKUP($C145,武器!$1:$998,COLUMN($O$1),FALSE)*VLOOKUP($D145,素材!$1:$1016,COLUMN($E$1),FALSE)/(LEN(VLOOKUP($D145,素材!$1:$1016,COLUMN($F$1),FALSE)) - LEN(SUBSTITUTE(VLOOKUP($D145,素材!$1:$1016,COLUMN($F$1),FALSE), "・", 0)) + 1), 0)</f>
        <v>0</v>
      </c>
      <c r="AP145">
        <f>IF(ISNUMBER(SEARCH(SUBSTITUTE(AP$1,RIGHT(AP$1,2),""),VLOOKUP($D145,素材!$1:$1016,COLUMN($F$1),FALSE))),VLOOKUP($C145,武器!$1:$998,COLUMN($O$1),FALSE)*VLOOKUP($D145,素材!$1:$1016,COLUMN($E$1),FALSE)/(LEN(VLOOKUP($D145,素材!$1:$1016,COLUMN($F$1),FALSE)) - LEN(SUBSTITUTE(VLOOKUP($D145,素材!$1:$1016,COLUMN($F$1),FALSE), "・", 0)) + 1), 0)</f>
        <v>0</v>
      </c>
      <c r="AQ145">
        <f>IF(ISNUMBER(SEARCH(SUBSTITUTE(AQ$1,RIGHT(AQ$1,2),""),VLOOKUP($D145,素材!$1:$1016,COLUMN($F$1),FALSE))),VLOOKUP($C145,武器!$1:$998,COLUMN($O$1),FALSE)*VLOOKUP($D145,素材!$1:$1016,COLUMN($E$1),FALSE)/(LEN(VLOOKUP($D145,素材!$1:$1016,COLUMN($F$1),FALSE)) - LEN(SUBSTITUTE(VLOOKUP($D145,素材!$1:$1016,COLUMN($F$1),FALSE), "・", 0)) + 1), 0)</f>
        <v>0</v>
      </c>
      <c r="AR145">
        <f>IF(ISNUMBER(SEARCH(SUBSTITUTE(AR$1,RIGHT(AR$1,2),""),VLOOKUP($D145,素材!$1:$1016,COLUMN($F$1),FALSE))),VLOOKUP($C145,武器!$1:$998,COLUMN($O$1),FALSE)*VLOOKUP($D145,素材!$1:$1016,COLUMN($E$1),FALSE)/(LEN(VLOOKUP($D145,素材!$1:$1016,COLUMN($F$1),FALSE)) - LEN(SUBSTITUTE(VLOOKUP($D145,素材!$1:$1016,COLUMN($F$1),FALSE), "・", 0)) + 1), 0)</f>
        <v>0</v>
      </c>
      <c r="AS145">
        <f>IF(ISNUMBER(SEARCH(SUBSTITUTE(AS$1,RIGHT(AS$1,2),""),VLOOKUP($D145,素材!$1:$1016,COLUMN($F$1),FALSE))),VLOOKUP($C145,武器!$1:$998,COLUMN($O$1),FALSE)*VLOOKUP($D145,素材!$1:$1016,COLUMN($E$1),FALSE)/(LEN(VLOOKUP($D145,素材!$1:$1016,COLUMN($F$1),FALSE)) - LEN(SUBSTITUTE(VLOOKUP($D145,素材!$1:$1016,COLUMN($F$1),FALSE), "・", 0)) + 1), 0)</f>
        <v>0</v>
      </c>
      <c r="AT145">
        <f>IF(ISNUMBER(SEARCH(SUBSTITUTE(AT$1,RIGHT(AT$1,2),""),VLOOKUP($D145,素材!$1:$1016,COLUMN($F$1),FALSE))),VLOOKUP($C145,武器!$1:$998,COLUMN($O$1),FALSE)*VLOOKUP($D145,素材!$1:$1016,COLUMN($E$1),FALSE)/(LEN(VLOOKUP($D145,素材!$1:$1016,COLUMN($F$1),FALSE)) - LEN(SUBSTITUTE(VLOOKUP($D145,素材!$1:$1016,COLUMN($F$1),FALSE), "・", 0)) + 1), 0)</f>
        <v>0</v>
      </c>
      <c r="AU145">
        <f>IF(ISNUMBER(SEARCH(SUBSTITUTE(AU$1,RIGHT(AU$1,2),""),VLOOKUP($D145,素材!$1:$1016,COLUMN($F$1),FALSE))),VLOOKUP($C145,武器!$1:$998,COLUMN($O$1),FALSE)*VLOOKUP($D145,素材!$1:$1016,COLUMN($E$1),FALSE)/(LEN(VLOOKUP($D145,素材!$1:$1016,COLUMN($F$1),FALSE)) - LEN(SUBSTITUTE(VLOOKUP($D145,素材!$1:$1016,COLUMN($F$1),FALSE), "・", 0)) + 1), 0)</f>
        <v>0</v>
      </c>
      <c r="AV145">
        <f>IF(ISNUMBER(SEARCH(SUBSTITUTE(AV$1,RIGHT(AV$1,2),""),VLOOKUP($D145,素材!$1:$1016,COLUMN($F$1),FALSE))),VLOOKUP($C145,武器!$1:$998,COLUMN($O$1),FALSE)*VLOOKUP($D145,素材!$1:$1016,COLUMN($E$1),FALSE)/(LEN(VLOOKUP($D145,素材!$1:$1016,COLUMN($F$1),FALSE)) - LEN(SUBSTITUTE(VLOOKUP($D145,素材!$1:$1016,COLUMN($F$1),FALSE), "・", 0)) + 1), 0)</f>
        <v>0</v>
      </c>
      <c r="AW145">
        <f>IF(ISNUMBER(SEARCH(SUBSTITUTE(AW$1,RIGHT(AW$1,2),""),VLOOKUP($D145,素材!$1:$1016,COLUMN($F$1),FALSE))),VLOOKUP($C145,武器!$1:$998,COLUMN($O$1),FALSE)*VLOOKUP($D145,素材!$1:$1016,COLUMN($E$1),FALSE)/(LEN(VLOOKUP($D145,素材!$1:$1016,COLUMN($F$1),FALSE)) - LEN(SUBSTITUTE(VLOOKUP($D145,素材!$1:$1016,COLUMN($F$1),FALSE), "・", 0)) + 1), 0)</f>
        <v>0</v>
      </c>
      <c r="AX145">
        <f>IF(ISNUMBER(SEARCH(SUBSTITUTE(AX$1,RIGHT(AX$1,2),""),VLOOKUP($D145,素材!$1:$1016,COLUMN($F$1),FALSE))),VLOOKUP($C145,武器!$1:$998,COLUMN($O$1),FALSE)*VLOOKUP($D145,素材!$1:$1016,COLUMN($E$1),FALSE)/(LEN(VLOOKUP($D145,素材!$1:$1016,COLUMN($F$1),FALSE)) - LEN(SUBSTITUTE(VLOOKUP($D145,素材!$1:$1016,COLUMN($F$1),FALSE), "・", 0)) + 1), 0)</f>
        <v>0</v>
      </c>
      <c r="AY145">
        <f>IF(ISNUMBER(SEARCH(SUBSTITUTE(AY$1,RIGHT(AY$1,2),""),VLOOKUP($D145,素材!$1:$1016,COLUMN($F$1),FALSE))),VLOOKUP($C145,武器!$1:$998,COLUMN($O$1),FALSE)*VLOOKUP($D145,素材!$1:$1016,COLUMN($E$1),FALSE)/(LEN(VLOOKUP($D145,素材!$1:$1016,COLUMN($F$1),FALSE)) - LEN(SUBSTITUTE(VLOOKUP($D145,素材!$1:$1016,COLUMN($F$1),FALSE), "・", 0)) + 1), 0)</f>
        <v>0</v>
      </c>
      <c r="AZ145">
        <f>IF(ISNUMBER(SEARCH(SUBSTITUTE(AZ$1,RIGHT(AZ$1,2),""),VLOOKUP($D145,素材!$1:$1016,COLUMN($F$1),FALSE))),VLOOKUP($C145,武器!$1:$998,COLUMN($O$1),FALSE)*VLOOKUP($D145,素材!$1:$1016,COLUMN($E$1),FALSE)/(LEN(VLOOKUP($D145,素材!$1:$1016,COLUMN($F$1),FALSE)) - LEN(SUBSTITUTE(VLOOKUP($D145,素材!$1:$1016,COLUMN($F$1),FALSE), "・", 0)) + 1), 0)</f>
        <v>0</v>
      </c>
      <c r="BA145">
        <f>IF(ISNUMBER(SEARCH(SUBSTITUTE(BA$1,RIGHT(BA$1,2),""),VLOOKUP($D145,素材!$1:$1016,COLUMN($F$1),FALSE))),VLOOKUP($C145,武器!$1:$998,COLUMN($O$1),FALSE)*VLOOKUP($D145,素材!$1:$1016,COLUMN($E$1),FALSE)/(LEN(VLOOKUP($D145,素材!$1:$1016,COLUMN($F$1),FALSE)) - LEN(SUBSTITUTE(VLOOKUP($D145,素材!$1:$1016,COLUMN($F$1),FALSE), "・", 0)) + 1), 0)</f>
        <v>0</v>
      </c>
      <c r="BB145">
        <f>IF(ISNUMBER(SEARCH(SUBSTITUTE(BB$1,RIGHT(BB$1,2),""),VLOOKUP($D145,素材!$1:$1016,COLUMN($F$1),FALSE))),VLOOKUP($C145,武器!$1:$998,COLUMN($O$1),FALSE)*VLOOKUP($D145,素材!$1:$1016,COLUMN($E$1),FALSE)/(LEN(VLOOKUP($D145,素材!$1:$1016,COLUMN($F$1),FALSE)) - LEN(SUBSTITUTE(VLOOKUP($D145,素材!$1:$1016,COLUMN($F$1),FALSE), "・", 0)) + 1), 0)</f>
        <v>0</v>
      </c>
      <c r="BC145">
        <f>IF(ISNUMBER(SEARCH(SUBSTITUTE(BC$1,RIGHT(BC$1,2),""),VLOOKUP($D145,素材!$1:$1016,COLUMN($F$1),FALSE))),VLOOKUP($C145,武器!$1:$998,COLUMN($O$1),FALSE)*VLOOKUP($D145,素材!$1:$1016,COLUMN($E$1),FALSE)/(LEN(VLOOKUP($D145,素材!$1:$1016,COLUMN($F$1),FALSE)) - LEN(SUBSTITUTE(VLOOKUP($D145,素材!$1:$1016,COLUMN($F$1),FALSE), "・", 0)) + 1), 0)</f>
        <v>0</v>
      </c>
      <c r="BD145">
        <f>IF(ISNUMBER(SEARCH(SUBSTITUTE(BD$1,RIGHT(BD$1,2),""),VLOOKUP($D145,素材!$1:$1016,COLUMN($F$1),FALSE))),VLOOKUP($C145,武器!$1:$998,COLUMN($O$1),FALSE)*VLOOKUP($D145,素材!$1:$1016,COLUMN($E$1),FALSE)/(LEN(VLOOKUP($D145,素材!$1:$1016,COLUMN($F$1),FALSE)) - LEN(SUBSTITUTE(VLOOKUP($D145,素材!$1:$1016,COLUMN($F$1),FALSE), "・", 0)) + 1), 0)</f>
        <v>0</v>
      </c>
      <c r="BE145">
        <f>IF(ISNUMBER(SEARCH(SUBSTITUTE(BE$1,RIGHT(BE$1,2),""),VLOOKUP($D145,素材!$1:$1016,COLUMN($F$1),FALSE))),VLOOKUP($C145,武器!$1:$998,COLUMN($O$1),FALSE)*VLOOKUP($D145,素材!$1:$1016,COLUMN($E$1),FALSE)/(LEN(VLOOKUP($D145,素材!$1:$1016,COLUMN($F$1),FALSE)) - LEN(SUBSTITUTE(VLOOKUP($D145,素材!$1:$1016,COLUMN($F$1),FALSE), "・", 0)) + 1), 0)</f>
        <v>0</v>
      </c>
      <c r="CL145">
        <f>SUM(G145:I145)</f>
        <v>0</v>
      </c>
      <c r="CM145" s="22" t="str">
        <f>IF(E145="武器",IF(J145-1&gt;SUM(G145:I145),"盾",IF(MAX(G145:I145)=G145,"切断",IF(MAX(G145:I145)=H145,"貫通",IF(MAX(G145:I145)=I145,"打撃","射撃")))),E145)&amp;".webp"</f>
        <v>頭.webp</v>
      </c>
      <c r="CN145">
        <f>IFERROR(VLOOKUP($C145,武器!$1:$998,COLUMN(V$1),FALSE)*VLOOKUP($D145,素材!$1:$1016,COLUMN(N$1),FALSE)+IF(CI145="",0,VLOOKUP($CI145,装強!$1:$1008,COLUMN($CK$1),FALSE)),"")</f>
        <v>5500</v>
      </c>
      <c r="CO145" t="str">
        <f>VLOOKUP(D145,素材!$A:$O,COLUMN(素材!O$1),FALSE)</f>
        <v>氷属性を持つドラゴン型生物から採取される鱗素材。極寒の環境や冷気攻撃への対策として優れた性能を発揮します。</v>
      </c>
      <c r="CP145" t="str">
        <f>VLOOKUP(C145,武器!$A:$W,COLUMN(武器!W$1),FALSE)</f>
        <v>命中 魔防 Cr</v>
      </c>
      <c r="CR145" t="str">
        <f t="shared" si="18"/>
        <v>e_145</v>
      </c>
      <c r="CS145">
        <f t="shared" ref="CS145" si="24">CN145*100</f>
        <v>550000</v>
      </c>
    </row>
    <row r="146" spans="1:97" outlineLevel="1" x14ac:dyDescent="0.4">
      <c r="A146" t="str">
        <f t="shared" si="17"/>
        <v>氷蜥蜴の鱗の衣布</v>
      </c>
      <c r="B146" t="str">
        <f>IFERROR(VLOOKUP($D146,素材!$1:$1016,COLUMN($B$1),FALSE)&amp;"・"&amp;VLOOKUP($C146,武器!$1:$998,COLUMN(B$1),FALSE),"")</f>
        <v>アイスドレイクスケール・クロース</v>
      </c>
      <c r="C146" t="s">
        <v>247</v>
      </c>
      <c r="D146" s="24" t="s">
        <v>248</v>
      </c>
      <c r="E146" t="str">
        <f>IFERROR(VLOOKUP(C146,武器!$1:$998,COLUMN(C$1),FALSE),"")</f>
        <v>体</v>
      </c>
      <c r="F146">
        <f>IFERROR(ROUNDDOWN((VLOOKUP($C146,武器!$1:$998,COLUMN(D$1),FALSE)+IFERROR(VLOOKUP($CI146,装強!$1:$999,COLUMN(F$1),FALSE),0))*VLOOKUP($D146,素材!$1:$1016,COLUMN(D$1),FALSE),0),"")</f>
        <v>0</v>
      </c>
      <c r="G146">
        <f>IFERROR(ROUNDDOWN((VLOOKUP($C146,武器!$1:$998,COLUMN(E$1),FALSE)+IFERROR(VLOOKUP($CI146,装強!$1:$999,COLUMN(G$1),FALSE),0))*VLOOKUP($D146,素材!$1:$1016,COLUMN($E$1),FALSE),0),"")</f>
        <v>0</v>
      </c>
      <c r="H146">
        <f>IFERROR(ROUNDDOWN((VLOOKUP($C146,武器!$1:$998,COLUMN(F$1),FALSE)+IFERROR(VLOOKUP($CI146,装強!$1:$999,COLUMN(H$1),FALSE),0))*VLOOKUP($D146,素材!$1:$1016,COLUMN($E$1),FALSE),0),"")</f>
        <v>0</v>
      </c>
      <c r="I146">
        <f>IFERROR(ROUNDDOWN((VLOOKUP($C146,武器!$1:$998,COLUMN(G$1),FALSE)+IFERROR(VLOOKUP($CI146,装強!$1:$999,COLUMN(I$1),FALSE),0))*VLOOKUP($D146,素材!$1:$1016,COLUMN($E$1),FALSE),0),"")</f>
        <v>0</v>
      </c>
      <c r="J146">
        <f>IFERROR(ROUNDDOWN((VLOOKUP($C146,武器!$1:$998,COLUMN(H$1),FALSE)+IFERROR(VLOOKUP($CI146,装強!$1:$999,COLUMN(J$1),FALSE),0))*VLOOKUP($D146,素材!$1:$1016,COLUMN($E$1),FALSE),0),"")</f>
        <v>0</v>
      </c>
      <c r="K146">
        <f>IFERROR(ROUNDDOWN((VLOOKUP($C146,武器!$1:$998,COLUMN(I$1),FALSE)+IFERROR(VLOOKUP($CI146,装強!$1:$999,COLUMN(K$1),FALSE),0))*VLOOKUP($D146,素材!$1:$1016,COLUMN($E$1),FALSE),0),"")</f>
        <v>0</v>
      </c>
      <c r="L146" t="str">
        <f>IFERROR(VLOOKUP($D146,素材!$1:$1016,COLUMN($F$1),FALSE),"")</f>
        <v>氷</v>
      </c>
      <c r="M146">
        <f>IFERROR(VLOOKUP($C146,武器!$1:$998,COLUMN(AA$1),FALSE)*VLOOKUP($D146,素材!$1:$1016,COLUMN($G$1),FALSE),"")</f>
        <v>0</v>
      </c>
      <c r="N146">
        <f>IFERROR(VLOOKUP($C146,武器!$1:$998,COLUMN(I$1),FALSE),"")</f>
        <v>0</v>
      </c>
      <c r="O146" s="23" t="str">
        <f>IFERROR((VLOOKUP($C146,武器!$1:$998,COLUMN(K$1),FALSE)+VLOOKUP($D146,素材!$1:$1016,COLUMN(H$1),FALSE))*100+IFERROR(VLOOKUP($CI146,装強!$1:$999,COLUMN(O$1),FALSE),0),"")</f>
        <v/>
      </c>
      <c r="P146" s="23" t="str">
        <f>IFERROR((VLOOKUP($C146,武器!$1:$998,COLUMN(L$1),FALSE)+VLOOKUP($D146,素材!$1:$1016,COLUMN(I$1),FALSE))*100+IFERROR(VLOOKUP($CI146,装強!$1:$999,COLUMN(P$1),FALSE),0),"")</f>
        <v/>
      </c>
      <c r="Q146">
        <f>IFERROR(ROUNDUP(VLOOKUP($C146,武器!$1:$998,COLUMN(M$1),FALSE)*(VLOOKUP($D146,素材!$1:$1002,COLUMN(D$1),FALSE)/100),1),"")</f>
        <v>0</v>
      </c>
      <c r="R146">
        <f>IFERROR(ROUNDUP(VLOOKUP($C146,武器!$1:$998,COLUMN(N$1),FALSE)*(VLOOKUP($D146,素材!$1:$1002,COLUMN(D$1),FALSE)/100),1),"")</f>
        <v>0</v>
      </c>
      <c r="S146">
        <f>IFERROR(VLOOKUP($C146,武器!$1:$998,COLUMN(P$1),FALSE),"")</f>
        <v>0</v>
      </c>
      <c r="T146">
        <f>IFERROR(VLOOKUP($C146,武器!$1:$998,COLUMN(Q$1),FALSE),"")</f>
        <v>0</v>
      </c>
      <c r="U146">
        <f>IFERROR(VLOOKUP($C146,武器!$1:$998,COLUMN(R$1),FALSE),"")</f>
        <v>0</v>
      </c>
      <c r="V146">
        <f>IFERROR(VLOOKUP($C146,武器!$1:$998,COLUMN(Q$1),FALSE),"")</f>
        <v>0</v>
      </c>
      <c r="W146">
        <f>IFERROR(VLOOKUP($C146,武器!$1:$998,COLUMN(T$1),FALSE),"")</f>
        <v>0</v>
      </c>
      <c r="Y146">
        <f>IFERROR(VLOOKUP($C146,武器!$1:$998,COLUMN(U$1),FALSE),"")</f>
        <v>0</v>
      </c>
      <c r="Z146">
        <f>IFERROR(ROUNDUP(VLOOKUP($C146,武器!$1:$998,COLUMN(O$1),FALSE)*VLOOKUP($D146,素材!$1:$1016,COLUMN(E$1),FALSE),1),"")</f>
        <v>7.5</v>
      </c>
      <c r="AA146">
        <f>IF(ISNUMBER(SEARCH(SUBSTITUTE(AA$1,RIGHT(AA$1,2),""),VLOOKUP($D146,素材!$1:$1016,COLUMN($F$1),FALSE))),VLOOKUP($C146,武器!$1:$998,COLUMN($O$1),FALSE)*VLOOKUP($D146,素材!$1:$1016,COLUMN($E$1),FALSE)/(LEN(VLOOKUP($D146,素材!$1:$1016,COLUMN($F$1),FALSE)) - LEN(SUBSTITUTE(VLOOKUP($D146,素材!$1:$1016,COLUMN($F$1),FALSE), "・", 0)) + 1), 0)</f>
        <v>0</v>
      </c>
      <c r="AB146">
        <f>IF(ISNUMBER(SEARCH(SUBSTITUTE(AB$1,RIGHT(AB$1,2),""),VLOOKUP($D146,素材!$1:$1016,COLUMN($F$1),FALSE))),VLOOKUP($C146,武器!$1:$998,COLUMN($O$1),FALSE)*VLOOKUP($D146,素材!$1:$1016,COLUMN($E$1),FALSE)/(LEN(VLOOKUP($D146,素材!$1:$1016,COLUMN($F$1),FALSE)) - LEN(SUBSTITUTE(VLOOKUP($D146,素材!$1:$1016,COLUMN($F$1),FALSE), "・", 0)) + 1), 0)</f>
        <v>0</v>
      </c>
      <c r="AC146">
        <f>IF(ISNUMBER(SEARCH(SUBSTITUTE(AC$1,RIGHT(AC$1,2),""),VLOOKUP($D146,素材!$1:$1016,COLUMN($F$1),FALSE))),VLOOKUP($C146,武器!$1:$998,COLUMN($O$1),FALSE)*VLOOKUP($D146,素材!$1:$1016,COLUMN($E$1),FALSE)/(LEN(VLOOKUP($D146,素材!$1:$1016,COLUMN($F$1),FALSE)) - LEN(SUBSTITUTE(VLOOKUP($D146,素材!$1:$1016,COLUMN($F$1),FALSE), "・", 0)) + 1), 0)</f>
        <v>0</v>
      </c>
      <c r="AD146">
        <f>IF(ISNUMBER(SEARCH(SUBSTITUTE(AD$1,RIGHT(AD$1,2),""),VLOOKUP($D146,素材!$1:$1016,COLUMN($F$1),FALSE))),VLOOKUP($C146,武器!$1:$998,COLUMN($O$1),FALSE)*VLOOKUP($D146,素材!$1:$1016,COLUMN($E$1),FALSE)/(LEN(VLOOKUP($D146,素材!$1:$1016,COLUMN($F$1),FALSE)) - LEN(SUBSTITUTE(VLOOKUP($D146,素材!$1:$1016,COLUMN($F$1),FALSE), "・", 0)) + 1), 0)</f>
        <v>0</v>
      </c>
      <c r="AE146">
        <f>IF(ISNUMBER(SEARCH(SUBSTITUTE(AE$1,RIGHT(AE$1,2),""),VLOOKUP($D146,素材!$1:$1016,COLUMN($F$1),FALSE))),VLOOKUP($C146,武器!$1:$998,COLUMN($O$1),FALSE)*VLOOKUP($D146,素材!$1:$1016,COLUMN($E$1),FALSE)/(LEN(VLOOKUP($D146,素材!$1:$1016,COLUMN($F$1),FALSE)) - LEN(SUBSTITUTE(VLOOKUP($D146,素材!$1:$1016,COLUMN($F$1),FALSE), "・", 0)) + 1), 0)</f>
        <v>0</v>
      </c>
      <c r="AF146">
        <f>IF(ISNUMBER(SEARCH(SUBSTITUTE(AF$1,RIGHT(AF$1,2),""),VLOOKUP($D146,素材!$1:$1016,COLUMN($F$1),FALSE))),VLOOKUP($C146,武器!$1:$998,COLUMN($O$1),FALSE)*VLOOKUP($D146,素材!$1:$1016,COLUMN($E$1),FALSE)/(LEN(VLOOKUP($D146,素材!$1:$1016,COLUMN($F$1),FALSE)) - LEN(SUBSTITUTE(VLOOKUP($D146,素材!$1:$1016,COLUMN($F$1),FALSE), "・", 0)) + 1), 0)</f>
        <v>7.5</v>
      </c>
      <c r="AG146">
        <f>IF(ISNUMBER(SEARCH(SUBSTITUTE(AG$1,RIGHT(AG$1,2),""),VLOOKUP($D146,素材!$1:$1016,COLUMN($F$1),FALSE))),VLOOKUP($C146,武器!$1:$998,COLUMN($O$1),FALSE)*VLOOKUP($D146,素材!$1:$1016,COLUMN($E$1),FALSE)/(LEN(VLOOKUP($D146,素材!$1:$1016,COLUMN($F$1),FALSE)) - LEN(SUBSTITUTE(VLOOKUP($D146,素材!$1:$1016,COLUMN($F$1),FALSE), "・", 0)) + 1), 0)</f>
        <v>0</v>
      </c>
      <c r="AH146">
        <f>IF(ISNUMBER(SEARCH(SUBSTITUTE(AH$1,RIGHT(AH$1,2),""),VLOOKUP($D146,素材!$1:$1016,COLUMN($F$1),FALSE))),VLOOKUP($C146,武器!$1:$998,COLUMN($O$1),FALSE)*VLOOKUP($D146,素材!$1:$1016,COLUMN($E$1),FALSE)/(LEN(VLOOKUP($D146,素材!$1:$1016,COLUMN($F$1),FALSE)) - LEN(SUBSTITUTE(VLOOKUP($D146,素材!$1:$1016,COLUMN($F$1),FALSE), "・", 0)) + 1), 0)</f>
        <v>0</v>
      </c>
      <c r="AI146">
        <f>IF(ISNUMBER(SEARCH(SUBSTITUTE(AI$1,RIGHT(AI$1,2),""),VLOOKUP($D146,素材!$1:$1016,COLUMN($F$1),FALSE))),VLOOKUP($C146,武器!$1:$998,COLUMN($O$1),FALSE)*VLOOKUP($D146,素材!$1:$1016,COLUMN($E$1),FALSE)/(LEN(VLOOKUP($D146,素材!$1:$1016,COLUMN($F$1),FALSE)) - LEN(SUBSTITUTE(VLOOKUP($D146,素材!$1:$1016,COLUMN($F$1),FALSE), "・", 0)) + 1), 0)</f>
        <v>0</v>
      </c>
      <c r="AJ146">
        <f>IF(ISNUMBER(SEARCH(SUBSTITUTE(AJ$1,RIGHT(AJ$1,2),""),VLOOKUP($D146,素材!$1:$1016,COLUMN($F$1),FALSE))),VLOOKUP($C146,武器!$1:$998,COLUMN($O$1),FALSE)*VLOOKUP($D146,素材!$1:$1016,COLUMN($E$1),FALSE)/(LEN(VLOOKUP($D146,素材!$1:$1016,COLUMN($F$1),FALSE)) - LEN(SUBSTITUTE(VLOOKUP($D146,素材!$1:$1016,COLUMN($F$1),FALSE), "・", 0)) + 1), 0)</f>
        <v>0</v>
      </c>
      <c r="AK146">
        <f>IF(ISNUMBER(SEARCH(SUBSTITUTE(AK$1,RIGHT(AK$1,2),""),VLOOKUP($D146,素材!$1:$1016,COLUMN($F$1),FALSE))),VLOOKUP($C146,武器!$1:$998,COLUMN($O$1),FALSE)*VLOOKUP($D146,素材!$1:$1016,COLUMN($E$1),FALSE)/(LEN(VLOOKUP($D146,素材!$1:$1016,COLUMN($F$1),FALSE)) - LEN(SUBSTITUTE(VLOOKUP($D146,素材!$1:$1016,COLUMN($F$1),FALSE), "・", 0)) + 1), 0)</f>
        <v>0</v>
      </c>
      <c r="AL146">
        <f>IF(ISNUMBER(SEARCH(SUBSTITUTE(AL$1,RIGHT(AL$1,2),""),VLOOKUP($D146,素材!$1:$1016,COLUMN($F$1),FALSE))),VLOOKUP($C146,武器!$1:$998,COLUMN($O$1),FALSE)*VLOOKUP($D146,素材!$1:$1016,COLUMN($E$1),FALSE)/(LEN(VLOOKUP($D146,素材!$1:$1016,COLUMN($F$1),FALSE)) - LEN(SUBSTITUTE(VLOOKUP($D146,素材!$1:$1016,COLUMN($F$1),FALSE), "・", 0)) + 1), 0)</f>
        <v>0</v>
      </c>
      <c r="AM146">
        <f>IF(ISNUMBER(SEARCH(SUBSTITUTE(AM$1,RIGHT(AM$1,2),""),VLOOKUP($D146,素材!$1:$1016,COLUMN($F$1),FALSE))),VLOOKUP($C146,武器!$1:$998,COLUMN($O$1),FALSE)*VLOOKUP($D146,素材!$1:$1016,COLUMN($E$1),FALSE)/(LEN(VLOOKUP($D146,素材!$1:$1016,COLUMN($F$1),FALSE)) - LEN(SUBSTITUTE(VLOOKUP($D146,素材!$1:$1016,COLUMN($F$1),FALSE), "・", 0)) + 1), 0)</f>
        <v>0</v>
      </c>
      <c r="AN146">
        <f>IF(ISNUMBER(SEARCH(SUBSTITUTE(AN$1,RIGHT(AN$1,2),""),VLOOKUP($D146,素材!$1:$1016,COLUMN($F$1),FALSE))),VLOOKUP($C146,武器!$1:$998,COLUMN($O$1),FALSE)*VLOOKUP($D146,素材!$1:$1016,COLUMN($E$1),FALSE)/(LEN(VLOOKUP($D146,素材!$1:$1016,COLUMN($F$1),FALSE)) - LEN(SUBSTITUTE(VLOOKUP($D146,素材!$1:$1016,COLUMN($F$1),FALSE), "・", 0)) + 1), 0)</f>
        <v>0</v>
      </c>
      <c r="AO146">
        <f>IF(ISNUMBER(SEARCH(SUBSTITUTE(AO$1,RIGHT(AO$1,2),""),VLOOKUP($D146,素材!$1:$1016,COLUMN($F$1),FALSE))),VLOOKUP($C146,武器!$1:$998,COLUMN($O$1),FALSE)*VLOOKUP($D146,素材!$1:$1016,COLUMN($E$1),FALSE)/(LEN(VLOOKUP($D146,素材!$1:$1016,COLUMN($F$1),FALSE)) - LEN(SUBSTITUTE(VLOOKUP($D146,素材!$1:$1016,COLUMN($F$1),FALSE), "・", 0)) + 1), 0)</f>
        <v>0</v>
      </c>
      <c r="AP146">
        <f>IF(ISNUMBER(SEARCH(SUBSTITUTE(AP$1,RIGHT(AP$1,2),""),VLOOKUP($D146,素材!$1:$1016,COLUMN($F$1),FALSE))),VLOOKUP($C146,武器!$1:$998,COLUMN($O$1),FALSE)*VLOOKUP($D146,素材!$1:$1016,COLUMN($E$1),FALSE)/(LEN(VLOOKUP($D146,素材!$1:$1016,COLUMN($F$1),FALSE)) - LEN(SUBSTITUTE(VLOOKUP($D146,素材!$1:$1016,COLUMN($F$1),FALSE), "・", 0)) + 1), 0)</f>
        <v>0</v>
      </c>
      <c r="AQ146">
        <f>IF(ISNUMBER(SEARCH(SUBSTITUTE(AQ$1,RIGHT(AQ$1,2),""),VLOOKUP($D146,素材!$1:$1016,COLUMN($F$1),FALSE))),VLOOKUP($C146,武器!$1:$998,COLUMN($O$1),FALSE)*VLOOKUP($D146,素材!$1:$1016,COLUMN($E$1),FALSE)/(LEN(VLOOKUP($D146,素材!$1:$1016,COLUMN($F$1),FALSE)) - LEN(SUBSTITUTE(VLOOKUP($D146,素材!$1:$1016,COLUMN($F$1),FALSE), "・", 0)) + 1), 0)</f>
        <v>0</v>
      </c>
      <c r="AR146">
        <f>IF(ISNUMBER(SEARCH(SUBSTITUTE(AR$1,RIGHT(AR$1,2),""),VLOOKUP($D146,素材!$1:$1016,COLUMN($F$1),FALSE))),VLOOKUP($C146,武器!$1:$998,COLUMN($O$1),FALSE)*VLOOKUP($D146,素材!$1:$1016,COLUMN($E$1),FALSE)/(LEN(VLOOKUP($D146,素材!$1:$1016,COLUMN($F$1),FALSE)) - LEN(SUBSTITUTE(VLOOKUP($D146,素材!$1:$1016,COLUMN($F$1),FALSE), "・", 0)) + 1), 0)</f>
        <v>0</v>
      </c>
      <c r="AS146">
        <f>IF(ISNUMBER(SEARCH(SUBSTITUTE(AS$1,RIGHT(AS$1,2),""),VLOOKUP($D146,素材!$1:$1016,COLUMN($F$1),FALSE))),VLOOKUP($C146,武器!$1:$998,COLUMN($O$1),FALSE)*VLOOKUP($D146,素材!$1:$1016,COLUMN($E$1),FALSE)/(LEN(VLOOKUP($D146,素材!$1:$1016,COLUMN($F$1),FALSE)) - LEN(SUBSTITUTE(VLOOKUP($D146,素材!$1:$1016,COLUMN($F$1),FALSE), "・", 0)) + 1), 0)</f>
        <v>0</v>
      </c>
      <c r="AT146">
        <f>IF(ISNUMBER(SEARCH(SUBSTITUTE(AT$1,RIGHT(AT$1,2),""),VLOOKUP($D146,素材!$1:$1016,COLUMN($F$1),FALSE))),VLOOKUP($C146,武器!$1:$998,COLUMN($O$1),FALSE)*VLOOKUP($D146,素材!$1:$1016,COLUMN($E$1),FALSE)/(LEN(VLOOKUP($D146,素材!$1:$1016,COLUMN($F$1),FALSE)) - LEN(SUBSTITUTE(VLOOKUP($D146,素材!$1:$1016,COLUMN($F$1),FALSE), "・", 0)) + 1), 0)</f>
        <v>0</v>
      </c>
      <c r="AU146">
        <f>IF(ISNUMBER(SEARCH(SUBSTITUTE(AU$1,RIGHT(AU$1,2),""),VLOOKUP($D146,素材!$1:$1016,COLUMN($F$1),FALSE))),VLOOKUP($C146,武器!$1:$998,COLUMN($O$1),FALSE)*VLOOKUP($D146,素材!$1:$1016,COLUMN($E$1),FALSE)/(LEN(VLOOKUP($D146,素材!$1:$1016,COLUMN($F$1),FALSE)) - LEN(SUBSTITUTE(VLOOKUP($D146,素材!$1:$1016,COLUMN($F$1),FALSE), "・", 0)) + 1), 0)</f>
        <v>0</v>
      </c>
      <c r="AV146">
        <f>IF(ISNUMBER(SEARCH(SUBSTITUTE(AV$1,RIGHT(AV$1,2),""),VLOOKUP($D146,素材!$1:$1016,COLUMN($F$1),FALSE))),VLOOKUP($C146,武器!$1:$998,COLUMN($O$1),FALSE)*VLOOKUP($D146,素材!$1:$1016,COLUMN($E$1),FALSE)/(LEN(VLOOKUP($D146,素材!$1:$1016,COLUMN($F$1),FALSE)) - LEN(SUBSTITUTE(VLOOKUP($D146,素材!$1:$1016,COLUMN($F$1),FALSE), "・", 0)) + 1), 0)</f>
        <v>0</v>
      </c>
      <c r="AW146">
        <f>IF(ISNUMBER(SEARCH(SUBSTITUTE(AW$1,RIGHT(AW$1,2),""),VLOOKUP($D146,素材!$1:$1016,COLUMN($F$1),FALSE))),VLOOKUP($C146,武器!$1:$998,COLUMN($O$1),FALSE)*VLOOKUP($D146,素材!$1:$1016,COLUMN($E$1),FALSE)/(LEN(VLOOKUP($D146,素材!$1:$1016,COLUMN($F$1),FALSE)) - LEN(SUBSTITUTE(VLOOKUP($D146,素材!$1:$1016,COLUMN($F$1),FALSE), "・", 0)) + 1), 0)</f>
        <v>0</v>
      </c>
      <c r="AX146">
        <f>IF(ISNUMBER(SEARCH(SUBSTITUTE(AX$1,RIGHT(AX$1,2),""),VLOOKUP($D146,素材!$1:$1016,COLUMN($F$1),FALSE))),VLOOKUP($C146,武器!$1:$998,COLUMN($O$1),FALSE)*VLOOKUP($D146,素材!$1:$1016,COLUMN($E$1),FALSE)/(LEN(VLOOKUP($D146,素材!$1:$1016,COLUMN($F$1),FALSE)) - LEN(SUBSTITUTE(VLOOKUP($D146,素材!$1:$1016,COLUMN($F$1),FALSE), "・", 0)) + 1), 0)</f>
        <v>0</v>
      </c>
      <c r="AY146">
        <f>IF(ISNUMBER(SEARCH(SUBSTITUTE(AY$1,RIGHT(AY$1,2),""),VLOOKUP($D146,素材!$1:$1016,COLUMN($F$1),FALSE))),VLOOKUP($C146,武器!$1:$998,COLUMN($O$1),FALSE)*VLOOKUP($D146,素材!$1:$1016,COLUMN($E$1),FALSE)/(LEN(VLOOKUP($D146,素材!$1:$1016,COLUMN($F$1),FALSE)) - LEN(SUBSTITUTE(VLOOKUP($D146,素材!$1:$1016,COLUMN($F$1),FALSE), "・", 0)) + 1), 0)</f>
        <v>0</v>
      </c>
      <c r="AZ146">
        <f>IF(ISNUMBER(SEARCH(SUBSTITUTE(AZ$1,RIGHT(AZ$1,2),""),VLOOKUP($D146,素材!$1:$1016,COLUMN($F$1),FALSE))),VLOOKUP($C146,武器!$1:$998,COLUMN($O$1),FALSE)*VLOOKUP($D146,素材!$1:$1016,COLUMN($E$1),FALSE)/(LEN(VLOOKUP($D146,素材!$1:$1016,COLUMN($F$1),FALSE)) - LEN(SUBSTITUTE(VLOOKUP($D146,素材!$1:$1016,COLUMN($F$1),FALSE), "・", 0)) + 1), 0)</f>
        <v>0</v>
      </c>
      <c r="BA146">
        <f>IF(ISNUMBER(SEARCH(SUBSTITUTE(BA$1,RIGHT(BA$1,2),""),VLOOKUP($D146,素材!$1:$1016,COLUMN($F$1),FALSE))),VLOOKUP($C146,武器!$1:$998,COLUMN($O$1),FALSE)*VLOOKUP($D146,素材!$1:$1016,COLUMN($E$1),FALSE)/(LEN(VLOOKUP($D146,素材!$1:$1016,COLUMN($F$1),FALSE)) - LEN(SUBSTITUTE(VLOOKUP($D146,素材!$1:$1016,COLUMN($F$1),FALSE), "・", 0)) + 1), 0)</f>
        <v>0</v>
      </c>
      <c r="BB146">
        <f>IF(ISNUMBER(SEARCH(SUBSTITUTE(BB$1,RIGHT(BB$1,2),""),VLOOKUP($D146,素材!$1:$1016,COLUMN($F$1),FALSE))),VLOOKUP($C146,武器!$1:$998,COLUMN($O$1),FALSE)*VLOOKUP($D146,素材!$1:$1016,COLUMN($E$1),FALSE)/(LEN(VLOOKUP($D146,素材!$1:$1016,COLUMN($F$1),FALSE)) - LEN(SUBSTITUTE(VLOOKUP($D146,素材!$1:$1016,COLUMN($F$1),FALSE), "・", 0)) + 1), 0)</f>
        <v>0</v>
      </c>
      <c r="BC146">
        <f>IF(ISNUMBER(SEARCH(SUBSTITUTE(BC$1,RIGHT(BC$1,2),""),VLOOKUP($D146,素材!$1:$1016,COLUMN($F$1),FALSE))),VLOOKUP($C146,武器!$1:$998,COLUMN($O$1),FALSE)*VLOOKUP($D146,素材!$1:$1016,COLUMN($E$1),FALSE)/(LEN(VLOOKUP($D146,素材!$1:$1016,COLUMN($F$1),FALSE)) - LEN(SUBSTITUTE(VLOOKUP($D146,素材!$1:$1016,COLUMN($F$1),FALSE), "・", 0)) + 1), 0)</f>
        <v>0</v>
      </c>
      <c r="BD146">
        <f>IF(ISNUMBER(SEARCH(SUBSTITUTE(BD$1,RIGHT(BD$1,2),""),VLOOKUP($D146,素材!$1:$1016,COLUMN($F$1),FALSE))),VLOOKUP($C146,武器!$1:$998,COLUMN($O$1),FALSE)*VLOOKUP($D146,素材!$1:$1016,COLUMN($E$1),FALSE)/(LEN(VLOOKUP($D146,素材!$1:$1016,COLUMN($F$1),FALSE)) - LEN(SUBSTITUTE(VLOOKUP($D146,素材!$1:$1016,COLUMN($F$1),FALSE), "・", 0)) + 1), 0)</f>
        <v>0</v>
      </c>
      <c r="BE146">
        <f>IF(ISNUMBER(SEARCH(SUBSTITUTE(BE$1,RIGHT(BE$1,2),""),VLOOKUP($D146,素材!$1:$1016,COLUMN($F$1),FALSE))),VLOOKUP($C146,武器!$1:$998,COLUMN($O$1),FALSE)*VLOOKUP($D146,素材!$1:$1016,COLUMN($E$1),FALSE)/(LEN(VLOOKUP($D146,素材!$1:$1016,COLUMN($F$1),FALSE)) - LEN(SUBSTITUTE(VLOOKUP($D146,素材!$1:$1016,COLUMN($F$1),FALSE), "・", 0)) + 1), 0)</f>
        <v>0</v>
      </c>
      <c r="CL146">
        <f>SUM(G146:I146)</f>
        <v>0</v>
      </c>
      <c r="CM146" s="22" t="str">
        <f>IF(E146="武器",IF(J146-1&gt;SUM(G146:I146),"盾",IF(MAX(G146:I146)=G146,"切断",IF(MAX(G146:I146)=H146,"貫通",IF(MAX(G146:I146)=I146,"打撃","射撃")))),E146)&amp;".webp"</f>
        <v>体.webp</v>
      </c>
      <c r="CN146">
        <f>IFERROR(VLOOKUP($C146,武器!$1:$998,COLUMN(V$1),FALSE)*VLOOKUP($D146,素材!$1:$1016,COLUMN(N$1),FALSE)+IF(CI146="",0,VLOOKUP($CI146,装強!$1:$1008,COLUMN($CK$1),FALSE)),"")</f>
        <v>11000</v>
      </c>
      <c r="CO146" t="str">
        <f>VLOOKUP(D146,素材!$A:$O,COLUMN(素材!O$1),FALSE)</f>
        <v>氷属性を持つドラゴン型生物から採取される鱗素材。極寒の環境や冷気攻撃への対策として優れた性能を発揮します。</v>
      </c>
      <c r="CP146" t="str">
        <f>VLOOKUP(C146,武器!$A:$W,COLUMN(武器!W$1),FALSE)</f>
        <v>HP 物理 魔法 体幹 出血 疲労 Cr</v>
      </c>
      <c r="CR146" t="str">
        <f t="shared" si="18"/>
        <v>e_146</v>
      </c>
      <c r="CS146">
        <f t="shared" si="22"/>
        <v>1100000</v>
      </c>
    </row>
    <row r="147" spans="1:97" outlineLevel="1" x14ac:dyDescent="0.4">
      <c r="A147" t="str">
        <f t="shared" si="17"/>
        <v>氷蜥蜴の鱗の法衣</v>
      </c>
      <c r="B147" t="str">
        <f>IFERROR(VLOOKUP($D147,素材!$1:$1016,COLUMN($B$1),FALSE)&amp;"・"&amp;VLOOKUP($C147,武器!$1:$998,COLUMN(B$1),FALSE),"")</f>
        <v>アイスドレイクスケール・ローブ</v>
      </c>
      <c r="C147" t="s">
        <v>246</v>
      </c>
      <c r="D147" s="24" t="s">
        <v>248</v>
      </c>
      <c r="E147" t="str">
        <f>IFERROR(VLOOKUP(C147,武器!$1:$998,COLUMN(C$1),FALSE),"")</f>
        <v>体</v>
      </c>
      <c r="F147">
        <f>IFERROR(ROUNDDOWN((VLOOKUP($C147,武器!$1:$998,COLUMN(D$1),FALSE)+IFERROR(VLOOKUP($CI147,装強!$1:$999,COLUMN(F$1),FALSE),0))*VLOOKUP($D147,素材!$1:$1016,COLUMN(D$1),FALSE),0),"")</f>
        <v>0</v>
      </c>
      <c r="G147">
        <f>IFERROR(ROUNDDOWN((VLOOKUP($C147,武器!$1:$998,COLUMN(E$1),FALSE)+IFERROR(VLOOKUP($CI147,装強!$1:$999,COLUMN(G$1),FALSE),0))*VLOOKUP($D147,素材!$1:$1016,COLUMN($E$1),FALSE),0),"")</f>
        <v>0</v>
      </c>
      <c r="H147">
        <f>IFERROR(ROUNDDOWN((VLOOKUP($C147,武器!$1:$998,COLUMN(F$1),FALSE)+IFERROR(VLOOKUP($CI147,装強!$1:$999,COLUMN(H$1),FALSE),0))*VLOOKUP($D147,素材!$1:$1016,COLUMN($E$1),FALSE),0),"")</f>
        <v>0</v>
      </c>
      <c r="I147">
        <f>IFERROR(ROUNDDOWN((VLOOKUP($C147,武器!$1:$998,COLUMN(G$1),FALSE)+IFERROR(VLOOKUP($CI147,装強!$1:$999,COLUMN(I$1),FALSE),0))*VLOOKUP($D147,素材!$1:$1016,COLUMN($E$1),FALSE),0),"")</f>
        <v>0</v>
      </c>
      <c r="J147">
        <f>IFERROR(ROUNDDOWN((VLOOKUP($C147,武器!$1:$998,COLUMN(H$1),FALSE)+IFERROR(VLOOKUP($CI147,装強!$1:$999,COLUMN(J$1),FALSE),0))*VLOOKUP($D147,素材!$1:$1016,COLUMN($E$1),FALSE),0),"")</f>
        <v>0</v>
      </c>
      <c r="K147">
        <f>IFERROR(ROUNDDOWN((VLOOKUP($C147,武器!$1:$998,COLUMN(I$1),FALSE)+IFERROR(VLOOKUP($CI147,装強!$1:$999,COLUMN(K$1),FALSE),0))*VLOOKUP($D147,素材!$1:$1016,COLUMN($E$1),FALSE),0),"")</f>
        <v>0</v>
      </c>
      <c r="L147" t="str">
        <f>IFERROR(VLOOKUP($D147,素材!$1:$1016,COLUMN($F$1),FALSE),"")</f>
        <v>氷</v>
      </c>
      <c r="M147">
        <f>IFERROR(VLOOKUP($C147,武器!$1:$998,COLUMN(AA$1),FALSE)*VLOOKUP($D147,素材!$1:$1016,COLUMN($G$1),FALSE),"")</f>
        <v>0</v>
      </c>
      <c r="N147">
        <f>IFERROR(VLOOKUP($C147,武器!$1:$998,COLUMN(I$1),FALSE),"")</f>
        <v>0</v>
      </c>
      <c r="O147" s="23" t="str">
        <f>IFERROR((VLOOKUP($C147,武器!$1:$998,COLUMN(K$1),FALSE)+VLOOKUP($D147,素材!$1:$1016,COLUMN(H$1),FALSE))*100+IFERROR(VLOOKUP($CI147,装強!$1:$999,COLUMN(O$1),FALSE),0),"")</f>
        <v/>
      </c>
      <c r="P147" s="23" t="str">
        <f>IFERROR((VLOOKUP($C147,武器!$1:$998,COLUMN(L$1),FALSE)+VLOOKUP($D147,素材!$1:$1016,COLUMN(I$1),FALSE))*100+IFERROR(VLOOKUP($CI147,装強!$1:$999,COLUMN(P$1),FALSE),0),"")</f>
        <v/>
      </c>
      <c r="Q147">
        <f>IFERROR(ROUNDUP(VLOOKUP($C147,武器!$1:$998,COLUMN(M$1),FALSE)*(VLOOKUP($D147,素材!$1:$1002,COLUMN(D$1),FALSE)/100),1),"")</f>
        <v>0</v>
      </c>
      <c r="R147">
        <f>IFERROR(ROUNDUP(VLOOKUP($C147,武器!$1:$998,COLUMN(N$1),FALSE)*(VLOOKUP($D147,素材!$1:$1002,COLUMN(D$1),FALSE)/100),1),"")</f>
        <v>0</v>
      </c>
      <c r="S147">
        <f>IFERROR(VLOOKUP($C147,武器!$1:$998,COLUMN(P$1),FALSE),"")</f>
        <v>0</v>
      </c>
      <c r="T147">
        <f>IFERROR(VLOOKUP($C147,武器!$1:$998,COLUMN(Q$1),FALSE),"")</f>
        <v>0</v>
      </c>
      <c r="U147">
        <f>IFERROR(VLOOKUP($C147,武器!$1:$998,COLUMN(R$1),FALSE),"")</f>
        <v>0</v>
      </c>
      <c r="V147">
        <f>IFERROR(VLOOKUP($C147,武器!$1:$998,COLUMN(Q$1),FALSE),"")</f>
        <v>0</v>
      </c>
      <c r="W147">
        <f>IFERROR(VLOOKUP($C147,武器!$1:$998,COLUMN(T$1),FALSE),"")</f>
        <v>0</v>
      </c>
      <c r="Y147">
        <f>IFERROR(VLOOKUP($C147,武器!$1:$998,COLUMN(U$1),FALSE),"")</f>
        <v>0</v>
      </c>
      <c r="Z147">
        <f>IFERROR(ROUNDUP(VLOOKUP($C147,武器!$1:$998,COLUMN(O$1),FALSE)*VLOOKUP($D147,素材!$1:$1016,COLUMN(E$1),FALSE),1),"")</f>
        <v>5</v>
      </c>
      <c r="AA147">
        <f>IF(ISNUMBER(SEARCH(SUBSTITUTE(AA$1,RIGHT(AA$1,2),""),VLOOKUP($D147,素材!$1:$1016,COLUMN($F$1),FALSE))),VLOOKUP($C147,武器!$1:$998,COLUMN($O$1),FALSE)*VLOOKUP($D147,素材!$1:$1016,COLUMN($E$1),FALSE)/(LEN(VLOOKUP($D147,素材!$1:$1016,COLUMN($F$1),FALSE)) - LEN(SUBSTITUTE(VLOOKUP($D147,素材!$1:$1016,COLUMN($F$1),FALSE), "・", 0)) + 1), 0)</f>
        <v>0</v>
      </c>
      <c r="AB147">
        <f>IF(ISNUMBER(SEARCH(SUBSTITUTE(AB$1,RIGHT(AB$1,2),""),VLOOKUP($D147,素材!$1:$1016,COLUMN($F$1),FALSE))),VLOOKUP($C147,武器!$1:$998,COLUMN($O$1),FALSE)*VLOOKUP($D147,素材!$1:$1016,COLUMN($E$1),FALSE)/(LEN(VLOOKUP($D147,素材!$1:$1016,COLUMN($F$1),FALSE)) - LEN(SUBSTITUTE(VLOOKUP($D147,素材!$1:$1016,COLUMN($F$1),FALSE), "・", 0)) + 1), 0)</f>
        <v>0</v>
      </c>
      <c r="AC147">
        <f>IF(ISNUMBER(SEARCH(SUBSTITUTE(AC$1,RIGHT(AC$1,2),""),VLOOKUP($D147,素材!$1:$1016,COLUMN($F$1),FALSE))),VLOOKUP($C147,武器!$1:$998,COLUMN($O$1),FALSE)*VLOOKUP($D147,素材!$1:$1016,COLUMN($E$1),FALSE)/(LEN(VLOOKUP($D147,素材!$1:$1016,COLUMN($F$1),FALSE)) - LEN(SUBSTITUTE(VLOOKUP($D147,素材!$1:$1016,COLUMN($F$1),FALSE), "・", 0)) + 1), 0)</f>
        <v>0</v>
      </c>
      <c r="AD147">
        <f>IF(ISNUMBER(SEARCH(SUBSTITUTE(AD$1,RIGHT(AD$1,2),""),VLOOKUP($D147,素材!$1:$1016,COLUMN($F$1),FALSE))),VLOOKUP($C147,武器!$1:$998,COLUMN($O$1),FALSE)*VLOOKUP($D147,素材!$1:$1016,COLUMN($E$1),FALSE)/(LEN(VLOOKUP($D147,素材!$1:$1016,COLUMN($F$1),FALSE)) - LEN(SUBSTITUTE(VLOOKUP($D147,素材!$1:$1016,COLUMN($F$1),FALSE), "・", 0)) + 1), 0)</f>
        <v>0</v>
      </c>
      <c r="AE147">
        <f>IF(ISNUMBER(SEARCH(SUBSTITUTE(AE$1,RIGHT(AE$1,2),""),VLOOKUP($D147,素材!$1:$1016,COLUMN($F$1),FALSE))),VLOOKUP($C147,武器!$1:$998,COLUMN($O$1),FALSE)*VLOOKUP($D147,素材!$1:$1016,COLUMN($E$1),FALSE)/(LEN(VLOOKUP($D147,素材!$1:$1016,COLUMN($F$1),FALSE)) - LEN(SUBSTITUTE(VLOOKUP($D147,素材!$1:$1016,COLUMN($F$1),FALSE), "・", 0)) + 1), 0)</f>
        <v>0</v>
      </c>
      <c r="AF147">
        <f>IF(ISNUMBER(SEARCH(SUBSTITUTE(AF$1,RIGHT(AF$1,2),""),VLOOKUP($D147,素材!$1:$1016,COLUMN($F$1),FALSE))),VLOOKUP($C147,武器!$1:$998,COLUMN($O$1),FALSE)*VLOOKUP($D147,素材!$1:$1016,COLUMN($E$1),FALSE)/(LEN(VLOOKUP($D147,素材!$1:$1016,COLUMN($F$1),FALSE)) - LEN(SUBSTITUTE(VLOOKUP($D147,素材!$1:$1016,COLUMN($F$1),FALSE), "・", 0)) + 1), 0)</f>
        <v>5</v>
      </c>
      <c r="AG147">
        <f>IF(ISNUMBER(SEARCH(SUBSTITUTE(AG$1,RIGHT(AG$1,2),""),VLOOKUP($D147,素材!$1:$1016,COLUMN($F$1),FALSE))),VLOOKUP($C147,武器!$1:$998,COLUMN($O$1),FALSE)*VLOOKUP($D147,素材!$1:$1016,COLUMN($E$1),FALSE)/(LEN(VLOOKUP($D147,素材!$1:$1016,COLUMN($F$1),FALSE)) - LEN(SUBSTITUTE(VLOOKUP($D147,素材!$1:$1016,COLUMN($F$1),FALSE), "・", 0)) + 1), 0)</f>
        <v>0</v>
      </c>
      <c r="AH147">
        <f>IF(ISNUMBER(SEARCH(SUBSTITUTE(AH$1,RIGHT(AH$1,2),""),VLOOKUP($D147,素材!$1:$1016,COLUMN($F$1),FALSE))),VLOOKUP($C147,武器!$1:$998,COLUMN($O$1),FALSE)*VLOOKUP($D147,素材!$1:$1016,COLUMN($E$1),FALSE)/(LEN(VLOOKUP($D147,素材!$1:$1016,COLUMN($F$1),FALSE)) - LEN(SUBSTITUTE(VLOOKUP($D147,素材!$1:$1016,COLUMN($F$1),FALSE), "・", 0)) + 1), 0)</f>
        <v>0</v>
      </c>
      <c r="AI147">
        <f>IF(ISNUMBER(SEARCH(SUBSTITUTE(AI$1,RIGHT(AI$1,2),""),VLOOKUP($D147,素材!$1:$1016,COLUMN($F$1),FALSE))),VLOOKUP($C147,武器!$1:$998,COLUMN($O$1),FALSE)*VLOOKUP($D147,素材!$1:$1016,COLUMN($E$1),FALSE)/(LEN(VLOOKUP($D147,素材!$1:$1016,COLUMN($F$1),FALSE)) - LEN(SUBSTITUTE(VLOOKUP($D147,素材!$1:$1016,COLUMN($F$1),FALSE), "・", 0)) + 1), 0)</f>
        <v>0</v>
      </c>
      <c r="AJ147">
        <f>IF(ISNUMBER(SEARCH(SUBSTITUTE(AJ$1,RIGHT(AJ$1,2),""),VLOOKUP($D147,素材!$1:$1016,COLUMN($F$1),FALSE))),VLOOKUP($C147,武器!$1:$998,COLUMN($O$1),FALSE)*VLOOKUP($D147,素材!$1:$1016,COLUMN($E$1),FALSE)/(LEN(VLOOKUP($D147,素材!$1:$1016,COLUMN($F$1),FALSE)) - LEN(SUBSTITUTE(VLOOKUP($D147,素材!$1:$1016,COLUMN($F$1),FALSE), "・", 0)) + 1), 0)</f>
        <v>0</v>
      </c>
      <c r="AK147">
        <f>IF(ISNUMBER(SEARCH(SUBSTITUTE(AK$1,RIGHT(AK$1,2),""),VLOOKUP($D147,素材!$1:$1016,COLUMN($F$1),FALSE))),VLOOKUP($C147,武器!$1:$998,COLUMN($O$1),FALSE)*VLOOKUP($D147,素材!$1:$1016,COLUMN($E$1),FALSE)/(LEN(VLOOKUP($D147,素材!$1:$1016,COLUMN($F$1),FALSE)) - LEN(SUBSTITUTE(VLOOKUP($D147,素材!$1:$1016,COLUMN($F$1),FALSE), "・", 0)) + 1), 0)</f>
        <v>0</v>
      </c>
      <c r="AL147">
        <f>IF(ISNUMBER(SEARCH(SUBSTITUTE(AL$1,RIGHT(AL$1,2),""),VLOOKUP($D147,素材!$1:$1016,COLUMN($F$1),FALSE))),VLOOKUP($C147,武器!$1:$998,COLUMN($O$1),FALSE)*VLOOKUP($D147,素材!$1:$1016,COLUMN($E$1),FALSE)/(LEN(VLOOKUP($D147,素材!$1:$1016,COLUMN($F$1),FALSE)) - LEN(SUBSTITUTE(VLOOKUP($D147,素材!$1:$1016,COLUMN($F$1),FALSE), "・", 0)) + 1), 0)</f>
        <v>0</v>
      </c>
      <c r="AM147">
        <f>IF(ISNUMBER(SEARCH(SUBSTITUTE(AM$1,RIGHT(AM$1,2),""),VLOOKUP($D147,素材!$1:$1016,COLUMN($F$1),FALSE))),VLOOKUP($C147,武器!$1:$998,COLUMN($O$1),FALSE)*VLOOKUP($D147,素材!$1:$1016,COLUMN($E$1),FALSE)/(LEN(VLOOKUP($D147,素材!$1:$1016,COLUMN($F$1),FALSE)) - LEN(SUBSTITUTE(VLOOKUP($D147,素材!$1:$1016,COLUMN($F$1),FALSE), "・", 0)) + 1), 0)</f>
        <v>0</v>
      </c>
      <c r="AN147">
        <f>IF(ISNUMBER(SEARCH(SUBSTITUTE(AN$1,RIGHT(AN$1,2),""),VLOOKUP($D147,素材!$1:$1016,COLUMN($F$1),FALSE))),VLOOKUP($C147,武器!$1:$998,COLUMN($O$1),FALSE)*VLOOKUP($D147,素材!$1:$1016,COLUMN($E$1),FALSE)/(LEN(VLOOKUP($D147,素材!$1:$1016,COLUMN($F$1),FALSE)) - LEN(SUBSTITUTE(VLOOKUP($D147,素材!$1:$1016,COLUMN($F$1),FALSE), "・", 0)) + 1), 0)</f>
        <v>0</v>
      </c>
      <c r="AO147">
        <f>IF(ISNUMBER(SEARCH(SUBSTITUTE(AO$1,RIGHT(AO$1,2),""),VLOOKUP($D147,素材!$1:$1016,COLUMN($F$1),FALSE))),VLOOKUP($C147,武器!$1:$998,COLUMN($O$1),FALSE)*VLOOKUP($D147,素材!$1:$1016,COLUMN($E$1),FALSE)/(LEN(VLOOKUP($D147,素材!$1:$1016,COLUMN($F$1),FALSE)) - LEN(SUBSTITUTE(VLOOKUP($D147,素材!$1:$1016,COLUMN($F$1),FALSE), "・", 0)) + 1), 0)</f>
        <v>0</v>
      </c>
      <c r="AP147">
        <f>IF(ISNUMBER(SEARCH(SUBSTITUTE(AP$1,RIGHT(AP$1,2),""),VLOOKUP($D147,素材!$1:$1016,COLUMN($F$1),FALSE))),VLOOKUP($C147,武器!$1:$998,COLUMN($O$1),FALSE)*VLOOKUP($D147,素材!$1:$1016,COLUMN($E$1),FALSE)/(LEN(VLOOKUP($D147,素材!$1:$1016,COLUMN($F$1),FALSE)) - LEN(SUBSTITUTE(VLOOKUP($D147,素材!$1:$1016,COLUMN($F$1),FALSE), "・", 0)) + 1), 0)</f>
        <v>0</v>
      </c>
      <c r="AQ147">
        <f>IF(ISNUMBER(SEARCH(SUBSTITUTE(AQ$1,RIGHT(AQ$1,2),""),VLOOKUP($D147,素材!$1:$1016,COLUMN($F$1),FALSE))),VLOOKUP($C147,武器!$1:$998,COLUMN($O$1),FALSE)*VLOOKUP($D147,素材!$1:$1016,COLUMN($E$1),FALSE)/(LEN(VLOOKUP($D147,素材!$1:$1016,COLUMN($F$1),FALSE)) - LEN(SUBSTITUTE(VLOOKUP($D147,素材!$1:$1016,COLUMN($F$1),FALSE), "・", 0)) + 1), 0)</f>
        <v>0</v>
      </c>
      <c r="AR147">
        <f>IF(ISNUMBER(SEARCH(SUBSTITUTE(AR$1,RIGHT(AR$1,2),""),VLOOKUP($D147,素材!$1:$1016,COLUMN($F$1),FALSE))),VLOOKUP($C147,武器!$1:$998,COLUMN($O$1),FALSE)*VLOOKUP($D147,素材!$1:$1016,COLUMN($E$1),FALSE)/(LEN(VLOOKUP($D147,素材!$1:$1016,COLUMN($F$1),FALSE)) - LEN(SUBSTITUTE(VLOOKUP($D147,素材!$1:$1016,COLUMN($F$1),FALSE), "・", 0)) + 1), 0)</f>
        <v>0</v>
      </c>
      <c r="AS147">
        <f>IF(ISNUMBER(SEARCH(SUBSTITUTE(AS$1,RIGHT(AS$1,2),""),VLOOKUP($D147,素材!$1:$1016,COLUMN($F$1),FALSE))),VLOOKUP($C147,武器!$1:$998,COLUMN($O$1),FALSE)*VLOOKUP($D147,素材!$1:$1016,COLUMN($E$1),FALSE)/(LEN(VLOOKUP($D147,素材!$1:$1016,COLUMN($F$1),FALSE)) - LEN(SUBSTITUTE(VLOOKUP($D147,素材!$1:$1016,COLUMN($F$1),FALSE), "・", 0)) + 1), 0)</f>
        <v>0</v>
      </c>
      <c r="AT147">
        <f>IF(ISNUMBER(SEARCH(SUBSTITUTE(AT$1,RIGHT(AT$1,2),""),VLOOKUP($D147,素材!$1:$1016,COLUMN($F$1),FALSE))),VLOOKUP($C147,武器!$1:$998,COLUMN($O$1),FALSE)*VLOOKUP($D147,素材!$1:$1016,COLUMN($E$1),FALSE)/(LEN(VLOOKUP($D147,素材!$1:$1016,COLUMN($F$1),FALSE)) - LEN(SUBSTITUTE(VLOOKUP($D147,素材!$1:$1016,COLUMN($F$1),FALSE), "・", 0)) + 1), 0)</f>
        <v>0</v>
      </c>
      <c r="AU147">
        <f>IF(ISNUMBER(SEARCH(SUBSTITUTE(AU$1,RIGHT(AU$1,2),""),VLOOKUP($D147,素材!$1:$1016,COLUMN($F$1),FALSE))),VLOOKUP($C147,武器!$1:$998,COLUMN($O$1),FALSE)*VLOOKUP($D147,素材!$1:$1016,COLUMN($E$1),FALSE)/(LEN(VLOOKUP($D147,素材!$1:$1016,COLUMN($F$1),FALSE)) - LEN(SUBSTITUTE(VLOOKUP($D147,素材!$1:$1016,COLUMN($F$1),FALSE), "・", 0)) + 1), 0)</f>
        <v>0</v>
      </c>
      <c r="AV147">
        <f>IF(ISNUMBER(SEARCH(SUBSTITUTE(AV$1,RIGHT(AV$1,2),""),VLOOKUP($D147,素材!$1:$1016,COLUMN($F$1),FALSE))),VLOOKUP($C147,武器!$1:$998,COLUMN($O$1),FALSE)*VLOOKUP($D147,素材!$1:$1016,COLUMN($E$1),FALSE)/(LEN(VLOOKUP($D147,素材!$1:$1016,COLUMN($F$1),FALSE)) - LEN(SUBSTITUTE(VLOOKUP($D147,素材!$1:$1016,COLUMN($F$1),FALSE), "・", 0)) + 1), 0)</f>
        <v>0</v>
      </c>
      <c r="AW147">
        <f>IF(ISNUMBER(SEARCH(SUBSTITUTE(AW$1,RIGHT(AW$1,2),""),VLOOKUP($D147,素材!$1:$1016,COLUMN($F$1),FALSE))),VLOOKUP($C147,武器!$1:$998,COLUMN($O$1),FALSE)*VLOOKUP($D147,素材!$1:$1016,COLUMN($E$1),FALSE)/(LEN(VLOOKUP($D147,素材!$1:$1016,COLUMN($F$1),FALSE)) - LEN(SUBSTITUTE(VLOOKUP($D147,素材!$1:$1016,COLUMN($F$1),FALSE), "・", 0)) + 1), 0)</f>
        <v>0</v>
      </c>
      <c r="AX147">
        <f>IF(ISNUMBER(SEARCH(SUBSTITUTE(AX$1,RIGHT(AX$1,2),""),VLOOKUP($D147,素材!$1:$1016,COLUMN($F$1),FALSE))),VLOOKUP($C147,武器!$1:$998,COLUMN($O$1),FALSE)*VLOOKUP($D147,素材!$1:$1016,COLUMN($E$1),FALSE)/(LEN(VLOOKUP($D147,素材!$1:$1016,COLUMN($F$1),FALSE)) - LEN(SUBSTITUTE(VLOOKUP($D147,素材!$1:$1016,COLUMN($F$1),FALSE), "・", 0)) + 1), 0)</f>
        <v>0</v>
      </c>
      <c r="AY147">
        <f>IF(ISNUMBER(SEARCH(SUBSTITUTE(AY$1,RIGHT(AY$1,2),""),VLOOKUP($D147,素材!$1:$1016,COLUMN($F$1),FALSE))),VLOOKUP($C147,武器!$1:$998,COLUMN($O$1),FALSE)*VLOOKUP($D147,素材!$1:$1016,COLUMN($E$1),FALSE)/(LEN(VLOOKUP($D147,素材!$1:$1016,COLUMN($F$1),FALSE)) - LEN(SUBSTITUTE(VLOOKUP($D147,素材!$1:$1016,COLUMN($F$1),FALSE), "・", 0)) + 1), 0)</f>
        <v>0</v>
      </c>
      <c r="AZ147">
        <f>IF(ISNUMBER(SEARCH(SUBSTITUTE(AZ$1,RIGHT(AZ$1,2),""),VLOOKUP($D147,素材!$1:$1016,COLUMN($F$1),FALSE))),VLOOKUP($C147,武器!$1:$998,COLUMN($O$1),FALSE)*VLOOKUP($D147,素材!$1:$1016,COLUMN($E$1),FALSE)/(LEN(VLOOKUP($D147,素材!$1:$1016,COLUMN($F$1),FALSE)) - LEN(SUBSTITUTE(VLOOKUP($D147,素材!$1:$1016,COLUMN($F$1),FALSE), "・", 0)) + 1), 0)</f>
        <v>0</v>
      </c>
      <c r="BA147">
        <f>IF(ISNUMBER(SEARCH(SUBSTITUTE(BA$1,RIGHT(BA$1,2),""),VLOOKUP($D147,素材!$1:$1016,COLUMN($F$1),FALSE))),VLOOKUP($C147,武器!$1:$998,COLUMN($O$1),FALSE)*VLOOKUP($D147,素材!$1:$1016,COLUMN($E$1),FALSE)/(LEN(VLOOKUP($D147,素材!$1:$1016,COLUMN($F$1),FALSE)) - LEN(SUBSTITUTE(VLOOKUP($D147,素材!$1:$1016,COLUMN($F$1),FALSE), "・", 0)) + 1), 0)</f>
        <v>0</v>
      </c>
      <c r="BB147">
        <f>IF(ISNUMBER(SEARCH(SUBSTITUTE(BB$1,RIGHT(BB$1,2),""),VLOOKUP($D147,素材!$1:$1016,COLUMN($F$1),FALSE))),VLOOKUP($C147,武器!$1:$998,COLUMN($O$1),FALSE)*VLOOKUP($D147,素材!$1:$1016,COLUMN($E$1),FALSE)/(LEN(VLOOKUP($D147,素材!$1:$1016,COLUMN($F$1),FALSE)) - LEN(SUBSTITUTE(VLOOKUP($D147,素材!$1:$1016,COLUMN($F$1),FALSE), "・", 0)) + 1), 0)</f>
        <v>0</v>
      </c>
      <c r="BC147">
        <f>IF(ISNUMBER(SEARCH(SUBSTITUTE(BC$1,RIGHT(BC$1,2),""),VLOOKUP($D147,素材!$1:$1016,COLUMN($F$1),FALSE))),VLOOKUP($C147,武器!$1:$998,COLUMN($O$1),FALSE)*VLOOKUP($D147,素材!$1:$1016,COLUMN($E$1),FALSE)/(LEN(VLOOKUP($D147,素材!$1:$1016,COLUMN($F$1),FALSE)) - LEN(SUBSTITUTE(VLOOKUP($D147,素材!$1:$1016,COLUMN($F$1),FALSE), "・", 0)) + 1), 0)</f>
        <v>0</v>
      </c>
      <c r="BD147">
        <f>IF(ISNUMBER(SEARCH(SUBSTITUTE(BD$1,RIGHT(BD$1,2),""),VLOOKUP($D147,素材!$1:$1016,COLUMN($F$1),FALSE))),VLOOKUP($C147,武器!$1:$998,COLUMN($O$1),FALSE)*VLOOKUP($D147,素材!$1:$1016,COLUMN($E$1),FALSE)/(LEN(VLOOKUP($D147,素材!$1:$1016,COLUMN($F$1),FALSE)) - LEN(SUBSTITUTE(VLOOKUP($D147,素材!$1:$1016,COLUMN($F$1),FALSE), "・", 0)) + 1), 0)</f>
        <v>0</v>
      </c>
      <c r="BE147">
        <f>IF(ISNUMBER(SEARCH(SUBSTITUTE(BE$1,RIGHT(BE$1,2),""),VLOOKUP($D147,素材!$1:$1016,COLUMN($F$1),FALSE))),VLOOKUP($C147,武器!$1:$998,COLUMN($O$1),FALSE)*VLOOKUP($D147,素材!$1:$1016,COLUMN($E$1),FALSE)/(LEN(VLOOKUP($D147,素材!$1:$1016,COLUMN($F$1),FALSE)) - LEN(SUBSTITUTE(VLOOKUP($D147,素材!$1:$1016,COLUMN($F$1),FALSE), "・", 0)) + 1), 0)</f>
        <v>0</v>
      </c>
      <c r="CL147">
        <f>SUM(G147:I147)</f>
        <v>0</v>
      </c>
      <c r="CM147" s="22" t="str">
        <f>IF(E147="武器",IF(J147-1&gt;SUM(G147:I147),"盾",IF(MAX(G147:I147)=G147,"切断",IF(MAX(G147:I147)=H147,"貫通",IF(MAX(G147:I147)=I147,"打撃","射撃")))),E147)&amp;".webp"</f>
        <v>体.webp</v>
      </c>
      <c r="CN147">
        <f>IFERROR(VLOOKUP($C147,武器!$1:$998,COLUMN(V$1),FALSE)*VLOOKUP($D147,素材!$1:$1016,COLUMN(N$1),FALSE)+IF(CI147="",0,VLOOKUP($CI147,装強!$1:$1008,COLUMN($CK$1),FALSE)),"")</f>
        <v>11000</v>
      </c>
      <c r="CO147" t="str">
        <f>VLOOKUP(D147,素材!$A:$O,COLUMN(素材!O$1),FALSE)</f>
        <v>氷属性を持つドラゴン型生物から採取される鱗素材。極寒の環境や冷気攻撃への対策として優れた性能を発揮します。</v>
      </c>
      <c r="CP147" t="str">
        <f>VLOOKUP(C147,武器!$A:$W,COLUMN(武器!W$1),FALSE)</f>
        <v>HP 物理 魔法 体幹 出血 疲労 Cr</v>
      </c>
      <c r="CR147" t="str">
        <f t="shared" si="18"/>
        <v>e_147</v>
      </c>
      <c r="CS147">
        <f t="shared" si="22"/>
        <v>1100000</v>
      </c>
    </row>
    <row r="148" spans="1:97" outlineLevel="1" x14ac:dyDescent="0.4">
      <c r="A148" t="str">
        <f t="shared" si="17"/>
        <v>氷蜥蜴の鱗の鎧</v>
      </c>
      <c r="B148" t="str">
        <f>IFERROR(VLOOKUP($D148,素材!$1:$1016,COLUMN($B$1),FALSE)&amp;"・"&amp;VLOOKUP($C148,武器!$1:$998,COLUMN(B$1),FALSE),"")</f>
        <v>アイスドレイクスケール・アーマー</v>
      </c>
      <c r="C148" t="s">
        <v>208</v>
      </c>
      <c r="D148" s="24" t="s">
        <v>248</v>
      </c>
      <c r="E148" t="str">
        <f>IFERROR(VLOOKUP(C148,武器!$1:$998,COLUMN(C$1),FALSE),"")</f>
        <v>体</v>
      </c>
      <c r="F148">
        <f>IFERROR(ROUNDDOWN((VLOOKUP($C148,武器!$1:$998,COLUMN(D$1),FALSE)+IFERROR(VLOOKUP($CI148,装強!$1:$999,COLUMN(F$1),FALSE),0))*VLOOKUP($D148,素材!$1:$1016,COLUMN(D$1),FALSE),0),"")</f>
        <v>0</v>
      </c>
      <c r="G148">
        <f>IFERROR(ROUNDDOWN((VLOOKUP($C148,武器!$1:$998,COLUMN(E$1),FALSE)+IFERROR(VLOOKUP($CI148,装強!$1:$999,COLUMN(G$1),FALSE),0))*VLOOKUP($D148,素材!$1:$1016,COLUMN($E$1),FALSE),0),"")</f>
        <v>0</v>
      </c>
      <c r="H148">
        <f>IFERROR(ROUNDDOWN((VLOOKUP($C148,武器!$1:$998,COLUMN(F$1),FALSE)+IFERROR(VLOOKUP($CI148,装強!$1:$999,COLUMN(H$1),FALSE),0))*VLOOKUP($D148,素材!$1:$1016,COLUMN($E$1),FALSE),0),"")</f>
        <v>0</v>
      </c>
      <c r="I148">
        <f>IFERROR(ROUNDDOWN((VLOOKUP($C148,武器!$1:$998,COLUMN(G$1),FALSE)+IFERROR(VLOOKUP($CI148,装強!$1:$999,COLUMN(I$1),FALSE),0))*VLOOKUP($D148,素材!$1:$1016,COLUMN($E$1),FALSE),0),"")</f>
        <v>0</v>
      </c>
      <c r="J148">
        <f>IFERROR(ROUNDDOWN((VLOOKUP($C148,武器!$1:$998,COLUMN(H$1),FALSE)+IFERROR(VLOOKUP($CI148,装強!$1:$999,COLUMN(J$1),FALSE),0))*VLOOKUP($D148,素材!$1:$1016,COLUMN($E$1),FALSE),0),"")</f>
        <v>0</v>
      </c>
      <c r="K148">
        <f>IFERROR(ROUNDDOWN((VLOOKUP($C148,武器!$1:$998,COLUMN(I$1),FALSE)+IFERROR(VLOOKUP($CI148,装強!$1:$999,COLUMN(K$1),FALSE),0))*VLOOKUP($D148,素材!$1:$1016,COLUMN($E$1),FALSE),0),"")</f>
        <v>0</v>
      </c>
      <c r="L148" t="str">
        <f>IFERROR(VLOOKUP($D148,素材!$1:$1016,COLUMN($F$1),FALSE),"")</f>
        <v>氷</v>
      </c>
      <c r="M148">
        <f>IFERROR(VLOOKUP($C148,武器!$1:$998,COLUMN(AA$1),FALSE)*VLOOKUP($D148,素材!$1:$1016,COLUMN($G$1),FALSE),"")</f>
        <v>0</v>
      </c>
      <c r="N148">
        <f>IFERROR(VLOOKUP($C148,武器!$1:$998,COLUMN(I$1),FALSE),"")</f>
        <v>0</v>
      </c>
      <c r="O148" s="23" t="str">
        <f>IFERROR((VLOOKUP($C148,武器!$1:$998,COLUMN(K$1),FALSE)+VLOOKUP($D148,素材!$1:$1016,COLUMN(H$1),FALSE))*100+IFERROR(VLOOKUP($CI148,装強!$1:$999,COLUMN(O$1),FALSE),0),"")</f>
        <v/>
      </c>
      <c r="P148" s="23" t="str">
        <f>IFERROR((VLOOKUP($C148,武器!$1:$998,COLUMN(L$1),FALSE)+VLOOKUP($D148,素材!$1:$1016,COLUMN(I$1),FALSE))*100+IFERROR(VLOOKUP($CI148,装強!$1:$999,COLUMN(P$1),FALSE),0),"")</f>
        <v/>
      </c>
      <c r="Q148">
        <f>IFERROR(ROUNDUP(VLOOKUP($C148,武器!$1:$998,COLUMN(M$1),FALSE)*(VLOOKUP($D148,素材!$1:$1002,COLUMN(D$1),FALSE)/100),1),"")</f>
        <v>-12</v>
      </c>
      <c r="R148">
        <f>IFERROR(ROUNDUP(VLOOKUP($C148,武器!$1:$998,COLUMN(N$1),FALSE)*(VLOOKUP($D148,素材!$1:$1002,COLUMN(D$1),FALSE)/100),1),"")</f>
        <v>0</v>
      </c>
      <c r="S148">
        <f>IFERROR(VLOOKUP($C148,武器!$1:$998,COLUMN(P$1),FALSE),"")</f>
        <v>0</v>
      </c>
      <c r="T148">
        <f>IFERROR(VLOOKUP($C148,武器!$1:$998,COLUMN(Q$1),FALSE),"")</f>
        <v>0</v>
      </c>
      <c r="U148">
        <f>IFERROR(VLOOKUP($C148,武器!$1:$998,COLUMN(R$1),FALSE),"")</f>
        <v>0</v>
      </c>
      <c r="V148">
        <f>IFERROR(VLOOKUP($C148,武器!$1:$998,COLUMN(Q$1),FALSE),"")</f>
        <v>0</v>
      </c>
      <c r="W148">
        <f>IFERROR(VLOOKUP($C148,武器!$1:$998,COLUMN(T$1),FALSE),"")</f>
        <v>0</v>
      </c>
      <c r="Y148">
        <f>IFERROR(VLOOKUP($C148,武器!$1:$998,COLUMN(U$1),FALSE),"")</f>
        <v>0</v>
      </c>
      <c r="Z148">
        <f>IFERROR(ROUNDUP(VLOOKUP($C148,武器!$1:$998,COLUMN(O$1),FALSE)*VLOOKUP($D148,素材!$1:$1016,COLUMN(E$1),FALSE),1),"")</f>
        <v>17.5</v>
      </c>
      <c r="AA148">
        <f>IF(ISNUMBER(SEARCH(SUBSTITUTE(AA$1,RIGHT(AA$1,2),""),VLOOKUP($D148,素材!$1:$1016,COLUMN($F$1),FALSE))),VLOOKUP($C148,武器!$1:$998,COLUMN($O$1),FALSE)*VLOOKUP($D148,素材!$1:$1016,COLUMN($E$1),FALSE)/(LEN(VLOOKUP($D148,素材!$1:$1016,COLUMN($F$1),FALSE)) - LEN(SUBSTITUTE(VLOOKUP($D148,素材!$1:$1016,COLUMN($F$1),FALSE), "・", 0)) + 1), 0)</f>
        <v>0</v>
      </c>
      <c r="AB148">
        <f>IF(ISNUMBER(SEARCH(SUBSTITUTE(AB$1,RIGHT(AB$1,2),""),VLOOKUP($D148,素材!$1:$1016,COLUMN($F$1),FALSE))),VLOOKUP($C148,武器!$1:$998,COLUMN($O$1),FALSE)*VLOOKUP($D148,素材!$1:$1016,COLUMN($E$1),FALSE)/(LEN(VLOOKUP($D148,素材!$1:$1016,COLUMN($F$1),FALSE)) - LEN(SUBSTITUTE(VLOOKUP($D148,素材!$1:$1016,COLUMN($F$1),FALSE), "・", 0)) + 1), 0)</f>
        <v>0</v>
      </c>
      <c r="AC148">
        <f>IF(ISNUMBER(SEARCH(SUBSTITUTE(AC$1,RIGHT(AC$1,2),""),VLOOKUP($D148,素材!$1:$1016,COLUMN($F$1),FALSE))),VLOOKUP($C148,武器!$1:$998,COLUMN($O$1),FALSE)*VLOOKUP($D148,素材!$1:$1016,COLUMN($E$1),FALSE)/(LEN(VLOOKUP($D148,素材!$1:$1016,COLUMN($F$1),FALSE)) - LEN(SUBSTITUTE(VLOOKUP($D148,素材!$1:$1016,COLUMN($F$1),FALSE), "・", 0)) + 1), 0)</f>
        <v>0</v>
      </c>
      <c r="AD148">
        <f>IF(ISNUMBER(SEARCH(SUBSTITUTE(AD$1,RIGHT(AD$1,2),""),VLOOKUP($D148,素材!$1:$1016,COLUMN($F$1),FALSE))),VLOOKUP($C148,武器!$1:$998,COLUMN($O$1),FALSE)*VLOOKUP($D148,素材!$1:$1016,COLUMN($E$1),FALSE)/(LEN(VLOOKUP($D148,素材!$1:$1016,COLUMN($F$1),FALSE)) - LEN(SUBSTITUTE(VLOOKUP($D148,素材!$1:$1016,COLUMN($F$1),FALSE), "・", 0)) + 1), 0)</f>
        <v>0</v>
      </c>
      <c r="AE148">
        <f>IF(ISNUMBER(SEARCH(SUBSTITUTE(AE$1,RIGHT(AE$1,2),""),VLOOKUP($D148,素材!$1:$1016,COLUMN($F$1),FALSE))),VLOOKUP($C148,武器!$1:$998,COLUMN($O$1),FALSE)*VLOOKUP($D148,素材!$1:$1016,COLUMN($E$1),FALSE)/(LEN(VLOOKUP($D148,素材!$1:$1016,COLUMN($F$1),FALSE)) - LEN(SUBSTITUTE(VLOOKUP($D148,素材!$1:$1016,COLUMN($F$1),FALSE), "・", 0)) + 1), 0)</f>
        <v>0</v>
      </c>
      <c r="AF148">
        <f>IF(ISNUMBER(SEARCH(SUBSTITUTE(AF$1,RIGHT(AF$1,2),""),VLOOKUP($D148,素材!$1:$1016,COLUMN($F$1),FALSE))),VLOOKUP($C148,武器!$1:$998,COLUMN($O$1),FALSE)*VLOOKUP($D148,素材!$1:$1016,COLUMN($E$1),FALSE)/(LEN(VLOOKUP($D148,素材!$1:$1016,COLUMN($F$1),FALSE)) - LEN(SUBSTITUTE(VLOOKUP($D148,素材!$1:$1016,COLUMN($F$1),FALSE), "・", 0)) + 1), 0)</f>
        <v>17.5</v>
      </c>
      <c r="AG148">
        <f>IF(ISNUMBER(SEARCH(SUBSTITUTE(AG$1,RIGHT(AG$1,2),""),VLOOKUP($D148,素材!$1:$1016,COLUMN($F$1),FALSE))),VLOOKUP($C148,武器!$1:$998,COLUMN($O$1),FALSE)*VLOOKUP($D148,素材!$1:$1016,COLUMN($E$1),FALSE)/(LEN(VLOOKUP($D148,素材!$1:$1016,COLUMN($F$1),FALSE)) - LEN(SUBSTITUTE(VLOOKUP($D148,素材!$1:$1016,COLUMN($F$1),FALSE), "・", 0)) + 1), 0)</f>
        <v>0</v>
      </c>
      <c r="AH148">
        <f>IF(ISNUMBER(SEARCH(SUBSTITUTE(AH$1,RIGHT(AH$1,2),""),VLOOKUP($D148,素材!$1:$1016,COLUMN($F$1),FALSE))),VLOOKUP($C148,武器!$1:$998,COLUMN($O$1),FALSE)*VLOOKUP($D148,素材!$1:$1016,COLUMN($E$1),FALSE)/(LEN(VLOOKUP($D148,素材!$1:$1016,COLUMN($F$1),FALSE)) - LEN(SUBSTITUTE(VLOOKUP($D148,素材!$1:$1016,COLUMN($F$1),FALSE), "・", 0)) + 1), 0)</f>
        <v>0</v>
      </c>
      <c r="AI148">
        <f>IF(ISNUMBER(SEARCH(SUBSTITUTE(AI$1,RIGHT(AI$1,2),""),VLOOKUP($D148,素材!$1:$1016,COLUMN($F$1),FALSE))),VLOOKUP($C148,武器!$1:$998,COLUMN($O$1),FALSE)*VLOOKUP($D148,素材!$1:$1016,COLUMN($E$1),FALSE)/(LEN(VLOOKUP($D148,素材!$1:$1016,COLUMN($F$1),FALSE)) - LEN(SUBSTITUTE(VLOOKUP($D148,素材!$1:$1016,COLUMN($F$1),FALSE), "・", 0)) + 1), 0)</f>
        <v>0</v>
      </c>
      <c r="AJ148">
        <f>IF(ISNUMBER(SEARCH(SUBSTITUTE(AJ$1,RIGHT(AJ$1,2),""),VLOOKUP($D148,素材!$1:$1016,COLUMN($F$1),FALSE))),VLOOKUP($C148,武器!$1:$998,COLUMN($O$1),FALSE)*VLOOKUP($D148,素材!$1:$1016,COLUMN($E$1),FALSE)/(LEN(VLOOKUP($D148,素材!$1:$1016,COLUMN($F$1),FALSE)) - LEN(SUBSTITUTE(VLOOKUP($D148,素材!$1:$1016,COLUMN($F$1),FALSE), "・", 0)) + 1), 0)</f>
        <v>0</v>
      </c>
      <c r="AK148">
        <f>IF(ISNUMBER(SEARCH(SUBSTITUTE(AK$1,RIGHT(AK$1,2),""),VLOOKUP($D148,素材!$1:$1016,COLUMN($F$1),FALSE))),VLOOKUP($C148,武器!$1:$998,COLUMN($O$1),FALSE)*VLOOKUP($D148,素材!$1:$1016,COLUMN($E$1),FALSE)/(LEN(VLOOKUP($D148,素材!$1:$1016,COLUMN($F$1),FALSE)) - LEN(SUBSTITUTE(VLOOKUP($D148,素材!$1:$1016,COLUMN($F$1),FALSE), "・", 0)) + 1), 0)</f>
        <v>0</v>
      </c>
      <c r="AL148">
        <f>IF(ISNUMBER(SEARCH(SUBSTITUTE(AL$1,RIGHT(AL$1,2),""),VLOOKUP($D148,素材!$1:$1016,COLUMN($F$1),FALSE))),VLOOKUP($C148,武器!$1:$998,COLUMN($O$1),FALSE)*VLOOKUP($D148,素材!$1:$1016,COLUMN($E$1),FALSE)/(LEN(VLOOKUP($D148,素材!$1:$1016,COLUMN($F$1),FALSE)) - LEN(SUBSTITUTE(VLOOKUP($D148,素材!$1:$1016,COLUMN($F$1),FALSE), "・", 0)) + 1), 0)</f>
        <v>0</v>
      </c>
      <c r="AM148">
        <f>IF(ISNUMBER(SEARCH(SUBSTITUTE(AM$1,RIGHT(AM$1,2),""),VLOOKUP($D148,素材!$1:$1016,COLUMN($F$1),FALSE))),VLOOKUP($C148,武器!$1:$998,COLUMN($O$1),FALSE)*VLOOKUP($D148,素材!$1:$1016,COLUMN($E$1),FALSE)/(LEN(VLOOKUP($D148,素材!$1:$1016,COLUMN($F$1),FALSE)) - LEN(SUBSTITUTE(VLOOKUP($D148,素材!$1:$1016,COLUMN($F$1),FALSE), "・", 0)) + 1), 0)</f>
        <v>0</v>
      </c>
      <c r="AN148">
        <f>IF(ISNUMBER(SEARCH(SUBSTITUTE(AN$1,RIGHT(AN$1,2),""),VLOOKUP($D148,素材!$1:$1016,COLUMN($F$1),FALSE))),VLOOKUP($C148,武器!$1:$998,COLUMN($O$1),FALSE)*VLOOKUP($D148,素材!$1:$1016,COLUMN($E$1),FALSE)/(LEN(VLOOKUP($D148,素材!$1:$1016,COLUMN($F$1),FALSE)) - LEN(SUBSTITUTE(VLOOKUP($D148,素材!$1:$1016,COLUMN($F$1),FALSE), "・", 0)) + 1), 0)</f>
        <v>0</v>
      </c>
      <c r="AO148">
        <f>IF(ISNUMBER(SEARCH(SUBSTITUTE(AO$1,RIGHT(AO$1,2),""),VLOOKUP($D148,素材!$1:$1016,COLUMN($F$1),FALSE))),VLOOKUP($C148,武器!$1:$998,COLUMN($O$1),FALSE)*VLOOKUP($D148,素材!$1:$1016,COLUMN($E$1),FALSE)/(LEN(VLOOKUP($D148,素材!$1:$1016,COLUMN($F$1),FALSE)) - LEN(SUBSTITUTE(VLOOKUP($D148,素材!$1:$1016,COLUMN($F$1),FALSE), "・", 0)) + 1), 0)</f>
        <v>0</v>
      </c>
      <c r="AP148">
        <f>IF(ISNUMBER(SEARCH(SUBSTITUTE(AP$1,RIGHT(AP$1,2),""),VLOOKUP($D148,素材!$1:$1016,COLUMN($F$1),FALSE))),VLOOKUP($C148,武器!$1:$998,COLUMN($O$1),FALSE)*VLOOKUP($D148,素材!$1:$1016,COLUMN($E$1),FALSE)/(LEN(VLOOKUP($D148,素材!$1:$1016,COLUMN($F$1),FALSE)) - LEN(SUBSTITUTE(VLOOKUP($D148,素材!$1:$1016,COLUMN($F$1),FALSE), "・", 0)) + 1), 0)</f>
        <v>0</v>
      </c>
      <c r="AQ148">
        <f>IF(ISNUMBER(SEARCH(SUBSTITUTE(AQ$1,RIGHT(AQ$1,2),""),VLOOKUP($D148,素材!$1:$1016,COLUMN($F$1),FALSE))),VLOOKUP($C148,武器!$1:$998,COLUMN($O$1),FALSE)*VLOOKUP($D148,素材!$1:$1016,COLUMN($E$1),FALSE)/(LEN(VLOOKUP($D148,素材!$1:$1016,COLUMN($F$1),FALSE)) - LEN(SUBSTITUTE(VLOOKUP($D148,素材!$1:$1016,COLUMN($F$1),FALSE), "・", 0)) + 1), 0)</f>
        <v>0</v>
      </c>
      <c r="AR148">
        <f>IF(ISNUMBER(SEARCH(SUBSTITUTE(AR$1,RIGHT(AR$1,2),""),VLOOKUP($D148,素材!$1:$1016,COLUMN($F$1),FALSE))),VLOOKUP($C148,武器!$1:$998,COLUMN($O$1),FALSE)*VLOOKUP($D148,素材!$1:$1016,COLUMN($E$1),FALSE)/(LEN(VLOOKUP($D148,素材!$1:$1016,COLUMN($F$1),FALSE)) - LEN(SUBSTITUTE(VLOOKUP($D148,素材!$1:$1016,COLUMN($F$1),FALSE), "・", 0)) + 1), 0)</f>
        <v>0</v>
      </c>
      <c r="AS148">
        <f>IF(ISNUMBER(SEARCH(SUBSTITUTE(AS$1,RIGHT(AS$1,2),""),VLOOKUP($D148,素材!$1:$1016,COLUMN($F$1),FALSE))),VLOOKUP($C148,武器!$1:$998,COLUMN($O$1),FALSE)*VLOOKUP($D148,素材!$1:$1016,COLUMN($E$1),FALSE)/(LEN(VLOOKUP($D148,素材!$1:$1016,COLUMN($F$1),FALSE)) - LEN(SUBSTITUTE(VLOOKUP($D148,素材!$1:$1016,COLUMN($F$1),FALSE), "・", 0)) + 1), 0)</f>
        <v>0</v>
      </c>
      <c r="AT148">
        <f>IF(ISNUMBER(SEARCH(SUBSTITUTE(AT$1,RIGHT(AT$1,2),""),VLOOKUP($D148,素材!$1:$1016,COLUMN($F$1),FALSE))),VLOOKUP($C148,武器!$1:$998,COLUMN($O$1),FALSE)*VLOOKUP($D148,素材!$1:$1016,COLUMN($E$1),FALSE)/(LEN(VLOOKUP($D148,素材!$1:$1016,COLUMN($F$1),FALSE)) - LEN(SUBSTITUTE(VLOOKUP($D148,素材!$1:$1016,COLUMN($F$1),FALSE), "・", 0)) + 1), 0)</f>
        <v>0</v>
      </c>
      <c r="AU148">
        <f>IF(ISNUMBER(SEARCH(SUBSTITUTE(AU$1,RIGHT(AU$1,2),""),VLOOKUP($D148,素材!$1:$1016,COLUMN($F$1),FALSE))),VLOOKUP($C148,武器!$1:$998,COLUMN($O$1),FALSE)*VLOOKUP($D148,素材!$1:$1016,COLUMN($E$1),FALSE)/(LEN(VLOOKUP($D148,素材!$1:$1016,COLUMN($F$1),FALSE)) - LEN(SUBSTITUTE(VLOOKUP($D148,素材!$1:$1016,COLUMN($F$1),FALSE), "・", 0)) + 1), 0)</f>
        <v>0</v>
      </c>
      <c r="AV148">
        <f>IF(ISNUMBER(SEARCH(SUBSTITUTE(AV$1,RIGHT(AV$1,2),""),VLOOKUP($D148,素材!$1:$1016,COLUMN($F$1),FALSE))),VLOOKUP($C148,武器!$1:$998,COLUMN($O$1),FALSE)*VLOOKUP($D148,素材!$1:$1016,COLUMN($E$1),FALSE)/(LEN(VLOOKUP($D148,素材!$1:$1016,COLUMN($F$1),FALSE)) - LEN(SUBSTITUTE(VLOOKUP($D148,素材!$1:$1016,COLUMN($F$1),FALSE), "・", 0)) + 1), 0)</f>
        <v>0</v>
      </c>
      <c r="AW148">
        <f>IF(ISNUMBER(SEARCH(SUBSTITUTE(AW$1,RIGHT(AW$1,2),""),VLOOKUP($D148,素材!$1:$1016,COLUMN($F$1),FALSE))),VLOOKUP($C148,武器!$1:$998,COLUMN($O$1),FALSE)*VLOOKUP($D148,素材!$1:$1016,COLUMN($E$1),FALSE)/(LEN(VLOOKUP($D148,素材!$1:$1016,COLUMN($F$1),FALSE)) - LEN(SUBSTITUTE(VLOOKUP($D148,素材!$1:$1016,COLUMN($F$1),FALSE), "・", 0)) + 1), 0)</f>
        <v>0</v>
      </c>
      <c r="AX148">
        <f>IF(ISNUMBER(SEARCH(SUBSTITUTE(AX$1,RIGHT(AX$1,2),""),VLOOKUP($D148,素材!$1:$1016,COLUMN($F$1),FALSE))),VLOOKUP($C148,武器!$1:$998,COLUMN($O$1),FALSE)*VLOOKUP($D148,素材!$1:$1016,COLUMN($E$1),FALSE)/(LEN(VLOOKUP($D148,素材!$1:$1016,COLUMN($F$1),FALSE)) - LEN(SUBSTITUTE(VLOOKUP($D148,素材!$1:$1016,COLUMN($F$1),FALSE), "・", 0)) + 1), 0)</f>
        <v>0</v>
      </c>
      <c r="AY148">
        <f>IF(ISNUMBER(SEARCH(SUBSTITUTE(AY$1,RIGHT(AY$1,2),""),VLOOKUP($D148,素材!$1:$1016,COLUMN($F$1),FALSE))),VLOOKUP($C148,武器!$1:$998,COLUMN($O$1),FALSE)*VLOOKUP($D148,素材!$1:$1016,COLUMN($E$1),FALSE)/(LEN(VLOOKUP($D148,素材!$1:$1016,COLUMN($F$1),FALSE)) - LEN(SUBSTITUTE(VLOOKUP($D148,素材!$1:$1016,COLUMN($F$1),FALSE), "・", 0)) + 1), 0)</f>
        <v>0</v>
      </c>
      <c r="AZ148">
        <f>IF(ISNUMBER(SEARCH(SUBSTITUTE(AZ$1,RIGHT(AZ$1,2),""),VLOOKUP($D148,素材!$1:$1016,COLUMN($F$1),FALSE))),VLOOKUP($C148,武器!$1:$998,COLUMN($O$1),FALSE)*VLOOKUP($D148,素材!$1:$1016,COLUMN($E$1),FALSE)/(LEN(VLOOKUP($D148,素材!$1:$1016,COLUMN($F$1),FALSE)) - LEN(SUBSTITUTE(VLOOKUP($D148,素材!$1:$1016,COLUMN($F$1),FALSE), "・", 0)) + 1), 0)</f>
        <v>0</v>
      </c>
      <c r="BA148">
        <f>IF(ISNUMBER(SEARCH(SUBSTITUTE(BA$1,RIGHT(BA$1,2),""),VLOOKUP($D148,素材!$1:$1016,COLUMN($F$1),FALSE))),VLOOKUP($C148,武器!$1:$998,COLUMN($O$1),FALSE)*VLOOKUP($D148,素材!$1:$1016,COLUMN($E$1),FALSE)/(LEN(VLOOKUP($D148,素材!$1:$1016,COLUMN($F$1),FALSE)) - LEN(SUBSTITUTE(VLOOKUP($D148,素材!$1:$1016,COLUMN($F$1),FALSE), "・", 0)) + 1), 0)</f>
        <v>0</v>
      </c>
      <c r="BB148">
        <f>IF(ISNUMBER(SEARCH(SUBSTITUTE(BB$1,RIGHT(BB$1,2),""),VLOOKUP($D148,素材!$1:$1016,COLUMN($F$1),FALSE))),VLOOKUP($C148,武器!$1:$998,COLUMN($O$1),FALSE)*VLOOKUP($D148,素材!$1:$1016,COLUMN($E$1),FALSE)/(LEN(VLOOKUP($D148,素材!$1:$1016,COLUMN($F$1),FALSE)) - LEN(SUBSTITUTE(VLOOKUP($D148,素材!$1:$1016,COLUMN($F$1),FALSE), "・", 0)) + 1), 0)</f>
        <v>0</v>
      </c>
      <c r="BC148">
        <f>IF(ISNUMBER(SEARCH(SUBSTITUTE(BC$1,RIGHT(BC$1,2),""),VLOOKUP($D148,素材!$1:$1016,COLUMN($F$1),FALSE))),VLOOKUP($C148,武器!$1:$998,COLUMN($O$1),FALSE)*VLOOKUP($D148,素材!$1:$1016,COLUMN($E$1),FALSE)/(LEN(VLOOKUP($D148,素材!$1:$1016,COLUMN($F$1),FALSE)) - LEN(SUBSTITUTE(VLOOKUP($D148,素材!$1:$1016,COLUMN($F$1),FALSE), "・", 0)) + 1), 0)</f>
        <v>0</v>
      </c>
      <c r="BD148">
        <f>IF(ISNUMBER(SEARCH(SUBSTITUTE(BD$1,RIGHT(BD$1,2),""),VLOOKUP($D148,素材!$1:$1016,COLUMN($F$1),FALSE))),VLOOKUP($C148,武器!$1:$998,COLUMN($O$1),FALSE)*VLOOKUP($D148,素材!$1:$1016,COLUMN($E$1),FALSE)/(LEN(VLOOKUP($D148,素材!$1:$1016,COLUMN($F$1),FALSE)) - LEN(SUBSTITUTE(VLOOKUP($D148,素材!$1:$1016,COLUMN($F$1),FALSE), "・", 0)) + 1), 0)</f>
        <v>0</v>
      </c>
      <c r="BE148">
        <f>IF(ISNUMBER(SEARCH(SUBSTITUTE(BE$1,RIGHT(BE$1,2),""),VLOOKUP($D148,素材!$1:$1016,COLUMN($F$1),FALSE))),VLOOKUP($C148,武器!$1:$998,COLUMN($O$1),FALSE)*VLOOKUP($D148,素材!$1:$1016,COLUMN($E$1),FALSE)/(LEN(VLOOKUP($D148,素材!$1:$1016,COLUMN($F$1),FALSE)) - LEN(SUBSTITUTE(VLOOKUP($D148,素材!$1:$1016,COLUMN($F$1),FALSE), "・", 0)) + 1), 0)</f>
        <v>0</v>
      </c>
      <c r="CL148">
        <f>SUM(G148:I148)</f>
        <v>0</v>
      </c>
      <c r="CM148" s="22" t="str">
        <f>IF(E148="武器",IF(J148-1&gt;SUM(G148:I148),"盾",IF(MAX(G148:I148)=G148,"切断",IF(MAX(G148:I148)=H148,"貫通",IF(MAX(G148:I148)=I148,"打撃","射撃")))),E148)&amp;".webp"</f>
        <v>体.webp</v>
      </c>
      <c r="CN148">
        <f>IFERROR(VLOOKUP($C148,武器!$1:$998,COLUMN(V$1),FALSE)*VLOOKUP($D148,素材!$1:$1016,COLUMN(N$1),FALSE)+IF(CI148="",0,VLOOKUP($CI148,装強!$1:$1008,COLUMN($CK$1),FALSE)),"")</f>
        <v>16500</v>
      </c>
      <c r="CO148" t="str">
        <f>VLOOKUP(D148,素材!$A:$O,COLUMN(素材!O$1),FALSE)</f>
        <v>氷属性を持つドラゴン型生物から採取される鱗素材。極寒の環境や冷気攻撃への対策として優れた性能を発揮します。</v>
      </c>
      <c r="CP148" t="str">
        <f>VLOOKUP(C148,武器!$A:$W,COLUMN(武器!W$1),FALSE)</f>
        <v>HP 物理 魔法 体幹 出血 疲労 Cr</v>
      </c>
      <c r="CR148" t="str">
        <f t="shared" si="18"/>
        <v>e_148</v>
      </c>
      <c r="CS148">
        <f t="shared" si="22"/>
        <v>1650000</v>
      </c>
    </row>
    <row r="149" spans="1:97" outlineLevel="1" x14ac:dyDescent="0.4">
      <c r="A149" t="str">
        <f t="shared" si="17"/>
        <v>氷蜥蜴の鱗の胴衣</v>
      </c>
      <c r="B149" t="str">
        <f>IFERROR(VLOOKUP($D149,素材!$1:$1016,COLUMN($B$1),FALSE)&amp;"・"&amp;VLOOKUP($C149,武器!$1:$998,COLUMN(B$1),FALSE),"")</f>
        <v>アイスドレイクスケール・ベスト</v>
      </c>
      <c r="C149" t="s">
        <v>207</v>
      </c>
      <c r="D149" s="24" t="s">
        <v>248</v>
      </c>
      <c r="E149" t="str">
        <f>IFERROR(VLOOKUP(C149,武器!$1:$998,COLUMN(C$1),FALSE),"")</f>
        <v>体</v>
      </c>
      <c r="F149">
        <f>IFERROR(ROUNDDOWN((VLOOKUP($C149,武器!$1:$998,COLUMN(D$1),FALSE)+IFERROR(VLOOKUP($CI149,装強!$1:$999,COLUMN(F$1),FALSE),0))*VLOOKUP($D149,素材!$1:$1016,COLUMN(D$1),FALSE),0),"")</f>
        <v>0</v>
      </c>
      <c r="G149">
        <f>IFERROR(ROUNDDOWN((VLOOKUP($C149,武器!$1:$998,COLUMN(E$1),FALSE)+IFERROR(VLOOKUP($CI149,装強!$1:$999,COLUMN(G$1),FALSE),0))*VLOOKUP($D149,素材!$1:$1016,COLUMN($E$1),FALSE),0),"")</f>
        <v>0</v>
      </c>
      <c r="H149">
        <f>IFERROR(ROUNDDOWN((VLOOKUP($C149,武器!$1:$998,COLUMN(F$1),FALSE)+IFERROR(VLOOKUP($CI149,装強!$1:$999,COLUMN(H$1),FALSE),0))*VLOOKUP($D149,素材!$1:$1016,COLUMN($E$1),FALSE),0),"")</f>
        <v>0</v>
      </c>
      <c r="I149">
        <f>IFERROR(ROUNDDOWN((VLOOKUP($C149,武器!$1:$998,COLUMN(G$1),FALSE)+IFERROR(VLOOKUP($CI149,装強!$1:$999,COLUMN(I$1),FALSE),0))*VLOOKUP($D149,素材!$1:$1016,COLUMN($E$1),FALSE),0),"")</f>
        <v>0</v>
      </c>
      <c r="J149">
        <f>IFERROR(ROUNDDOWN((VLOOKUP($C149,武器!$1:$998,COLUMN(H$1),FALSE)+IFERROR(VLOOKUP($CI149,装強!$1:$999,COLUMN(J$1),FALSE),0))*VLOOKUP($D149,素材!$1:$1016,COLUMN($E$1),FALSE),0),"")</f>
        <v>0</v>
      </c>
      <c r="K149">
        <f>IFERROR(ROUNDDOWN((VLOOKUP($C149,武器!$1:$998,COLUMN(I$1),FALSE)+IFERROR(VLOOKUP($CI149,装強!$1:$999,COLUMN(K$1),FALSE),0))*VLOOKUP($D149,素材!$1:$1016,COLUMN($E$1),FALSE),0),"")</f>
        <v>0</v>
      </c>
      <c r="L149" t="str">
        <f>IFERROR(VLOOKUP($D149,素材!$1:$1016,COLUMN($F$1),FALSE),"")</f>
        <v>氷</v>
      </c>
      <c r="M149">
        <f>IFERROR(VLOOKUP($C149,武器!$1:$998,COLUMN(AA$1),FALSE)*VLOOKUP($D149,素材!$1:$1016,COLUMN($G$1),FALSE),"")</f>
        <v>0</v>
      </c>
      <c r="N149">
        <f>IFERROR(VLOOKUP($C149,武器!$1:$998,COLUMN(I$1),FALSE),"")</f>
        <v>0</v>
      </c>
      <c r="O149" s="23" t="str">
        <f>IFERROR((VLOOKUP($C149,武器!$1:$998,COLUMN(K$1),FALSE)+VLOOKUP($D149,素材!$1:$1016,COLUMN(H$1),FALSE))*100+IFERROR(VLOOKUP($CI149,装強!$1:$999,COLUMN(O$1),FALSE),0),"")</f>
        <v/>
      </c>
      <c r="P149" s="23" t="str">
        <f>IFERROR((VLOOKUP($C149,武器!$1:$998,COLUMN(L$1),FALSE)+VLOOKUP($D149,素材!$1:$1016,COLUMN(I$1),FALSE))*100+IFERROR(VLOOKUP($CI149,装強!$1:$999,COLUMN(P$1),FALSE),0),"")</f>
        <v/>
      </c>
      <c r="Q149">
        <f>IFERROR(ROUNDUP(VLOOKUP($C149,武器!$1:$998,COLUMN(M$1),FALSE)*(VLOOKUP($D149,素材!$1:$1002,COLUMN(D$1),FALSE)/100),1),"")</f>
        <v>-6</v>
      </c>
      <c r="R149">
        <f>IFERROR(ROUNDUP(VLOOKUP($C149,武器!$1:$998,COLUMN(N$1),FALSE)*(VLOOKUP($D149,素材!$1:$1002,COLUMN(D$1),FALSE)/100),1),"")</f>
        <v>0</v>
      </c>
      <c r="S149">
        <f>IFERROR(VLOOKUP($C149,武器!$1:$998,COLUMN(P$1),FALSE),"")</f>
        <v>0</v>
      </c>
      <c r="T149">
        <f>IFERROR(VLOOKUP($C149,武器!$1:$998,COLUMN(Q$1),FALSE),"")</f>
        <v>0</v>
      </c>
      <c r="U149">
        <f>IFERROR(VLOOKUP($C149,武器!$1:$998,COLUMN(R$1),FALSE),"")</f>
        <v>0</v>
      </c>
      <c r="V149">
        <f>IFERROR(VLOOKUP($C149,武器!$1:$998,COLUMN(Q$1),FALSE),"")</f>
        <v>0</v>
      </c>
      <c r="W149">
        <f>IFERROR(VLOOKUP($C149,武器!$1:$998,COLUMN(T$1),FALSE),"")</f>
        <v>0</v>
      </c>
      <c r="Y149">
        <f>IFERROR(VLOOKUP($C149,武器!$1:$998,COLUMN(U$1),FALSE),"")</f>
        <v>0</v>
      </c>
      <c r="Z149">
        <f>IFERROR(ROUNDUP(VLOOKUP($C149,武器!$1:$998,COLUMN(O$1),FALSE)*VLOOKUP($D149,素材!$1:$1016,COLUMN(E$1),FALSE),1),"")</f>
        <v>12.5</v>
      </c>
      <c r="AA149">
        <f>IF(ISNUMBER(SEARCH(SUBSTITUTE(AA$1,RIGHT(AA$1,2),""),VLOOKUP($D149,素材!$1:$1016,COLUMN($F$1),FALSE))),VLOOKUP($C149,武器!$1:$998,COLUMN($O$1),FALSE)*VLOOKUP($D149,素材!$1:$1016,COLUMN($E$1),FALSE)/(LEN(VLOOKUP($D149,素材!$1:$1016,COLUMN($F$1),FALSE)) - LEN(SUBSTITUTE(VLOOKUP($D149,素材!$1:$1016,COLUMN($F$1),FALSE), "・", 0)) + 1), 0)</f>
        <v>0</v>
      </c>
      <c r="AB149">
        <f>IF(ISNUMBER(SEARCH(SUBSTITUTE(AB$1,RIGHT(AB$1,2),""),VLOOKUP($D149,素材!$1:$1016,COLUMN($F$1),FALSE))),VLOOKUP($C149,武器!$1:$998,COLUMN($O$1),FALSE)*VLOOKUP($D149,素材!$1:$1016,COLUMN($E$1),FALSE)/(LEN(VLOOKUP($D149,素材!$1:$1016,COLUMN($F$1),FALSE)) - LEN(SUBSTITUTE(VLOOKUP($D149,素材!$1:$1016,COLUMN($F$1),FALSE), "・", 0)) + 1), 0)</f>
        <v>0</v>
      </c>
      <c r="AC149">
        <f>IF(ISNUMBER(SEARCH(SUBSTITUTE(AC$1,RIGHT(AC$1,2),""),VLOOKUP($D149,素材!$1:$1016,COLUMN($F$1),FALSE))),VLOOKUP($C149,武器!$1:$998,COLUMN($O$1),FALSE)*VLOOKUP($D149,素材!$1:$1016,COLUMN($E$1),FALSE)/(LEN(VLOOKUP($D149,素材!$1:$1016,COLUMN($F$1),FALSE)) - LEN(SUBSTITUTE(VLOOKUP($D149,素材!$1:$1016,COLUMN($F$1),FALSE), "・", 0)) + 1), 0)</f>
        <v>0</v>
      </c>
      <c r="AD149">
        <f>IF(ISNUMBER(SEARCH(SUBSTITUTE(AD$1,RIGHT(AD$1,2),""),VLOOKUP($D149,素材!$1:$1016,COLUMN($F$1),FALSE))),VLOOKUP($C149,武器!$1:$998,COLUMN($O$1),FALSE)*VLOOKUP($D149,素材!$1:$1016,COLUMN($E$1),FALSE)/(LEN(VLOOKUP($D149,素材!$1:$1016,COLUMN($F$1),FALSE)) - LEN(SUBSTITUTE(VLOOKUP($D149,素材!$1:$1016,COLUMN($F$1),FALSE), "・", 0)) + 1), 0)</f>
        <v>0</v>
      </c>
      <c r="AE149">
        <f>IF(ISNUMBER(SEARCH(SUBSTITUTE(AE$1,RIGHT(AE$1,2),""),VLOOKUP($D149,素材!$1:$1016,COLUMN($F$1),FALSE))),VLOOKUP($C149,武器!$1:$998,COLUMN($O$1),FALSE)*VLOOKUP($D149,素材!$1:$1016,COLUMN($E$1),FALSE)/(LEN(VLOOKUP($D149,素材!$1:$1016,COLUMN($F$1),FALSE)) - LEN(SUBSTITUTE(VLOOKUP($D149,素材!$1:$1016,COLUMN($F$1),FALSE), "・", 0)) + 1), 0)</f>
        <v>0</v>
      </c>
      <c r="AF149">
        <f>IF(ISNUMBER(SEARCH(SUBSTITUTE(AF$1,RIGHT(AF$1,2),""),VLOOKUP($D149,素材!$1:$1016,COLUMN($F$1),FALSE))),VLOOKUP($C149,武器!$1:$998,COLUMN($O$1),FALSE)*VLOOKUP($D149,素材!$1:$1016,COLUMN($E$1),FALSE)/(LEN(VLOOKUP($D149,素材!$1:$1016,COLUMN($F$1),FALSE)) - LEN(SUBSTITUTE(VLOOKUP($D149,素材!$1:$1016,COLUMN($F$1),FALSE), "・", 0)) + 1), 0)</f>
        <v>12.5</v>
      </c>
      <c r="AG149">
        <f>IF(ISNUMBER(SEARCH(SUBSTITUTE(AG$1,RIGHT(AG$1,2),""),VLOOKUP($D149,素材!$1:$1016,COLUMN($F$1),FALSE))),VLOOKUP($C149,武器!$1:$998,COLUMN($O$1),FALSE)*VLOOKUP($D149,素材!$1:$1016,COLUMN($E$1),FALSE)/(LEN(VLOOKUP($D149,素材!$1:$1016,COLUMN($F$1),FALSE)) - LEN(SUBSTITUTE(VLOOKUP($D149,素材!$1:$1016,COLUMN($F$1),FALSE), "・", 0)) + 1), 0)</f>
        <v>0</v>
      </c>
      <c r="AH149">
        <f>IF(ISNUMBER(SEARCH(SUBSTITUTE(AH$1,RIGHT(AH$1,2),""),VLOOKUP($D149,素材!$1:$1016,COLUMN($F$1),FALSE))),VLOOKUP($C149,武器!$1:$998,COLUMN($O$1),FALSE)*VLOOKUP($D149,素材!$1:$1016,COLUMN($E$1),FALSE)/(LEN(VLOOKUP($D149,素材!$1:$1016,COLUMN($F$1),FALSE)) - LEN(SUBSTITUTE(VLOOKUP($D149,素材!$1:$1016,COLUMN($F$1),FALSE), "・", 0)) + 1), 0)</f>
        <v>0</v>
      </c>
      <c r="AI149">
        <f>IF(ISNUMBER(SEARCH(SUBSTITUTE(AI$1,RIGHT(AI$1,2),""),VLOOKUP($D149,素材!$1:$1016,COLUMN($F$1),FALSE))),VLOOKUP($C149,武器!$1:$998,COLUMN($O$1),FALSE)*VLOOKUP($D149,素材!$1:$1016,COLUMN($E$1),FALSE)/(LEN(VLOOKUP($D149,素材!$1:$1016,COLUMN($F$1),FALSE)) - LEN(SUBSTITUTE(VLOOKUP($D149,素材!$1:$1016,COLUMN($F$1),FALSE), "・", 0)) + 1), 0)</f>
        <v>0</v>
      </c>
      <c r="AJ149">
        <f>IF(ISNUMBER(SEARCH(SUBSTITUTE(AJ$1,RIGHT(AJ$1,2),""),VLOOKUP($D149,素材!$1:$1016,COLUMN($F$1),FALSE))),VLOOKUP($C149,武器!$1:$998,COLUMN($O$1),FALSE)*VLOOKUP($D149,素材!$1:$1016,COLUMN($E$1),FALSE)/(LEN(VLOOKUP($D149,素材!$1:$1016,COLUMN($F$1),FALSE)) - LEN(SUBSTITUTE(VLOOKUP($D149,素材!$1:$1016,COLUMN($F$1),FALSE), "・", 0)) + 1), 0)</f>
        <v>0</v>
      </c>
      <c r="AK149">
        <f>IF(ISNUMBER(SEARCH(SUBSTITUTE(AK$1,RIGHT(AK$1,2),""),VLOOKUP($D149,素材!$1:$1016,COLUMN($F$1),FALSE))),VLOOKUP($C149,武器!$1:$998,COLUMN($O$1),FALSE)*VLOOKUP($D149,素材!$1:$1016,COLUMN($E$1),FALSE)/(LEN(VLOOKUP($D149,素材!$1:$1016,COLUMN($F$1),FALSE)) - LEN(SUBSTITUTE(VLOOKUP($D149,素材!$1:$1016,COLUMN($F$1),FALSE), "・", 0)) + 1), 0)</f>
        <v>0</v>
      </c>
      <c r="AL149">
        <f>IF(ISNUMBER(SEARCH(SUBSTITUTE(AL$1,RIGHT(AL$1,2),""),VLOOKUP($D149,素材!$1:$1016,COLUMN($F$1),FALSE))),VLOOKUP($C149,武器!$1:$998,COLUMN($O$1),FALSE)*VLOOKUP($D149,素材!$1:$1016,COLUMN($E$1),FALSE)/(LEN(VLOOKUP($D149,素材!$1:$1016,COLUMN($F$1),FALSE)) - LEN(SUBSTITUTE(VLOOKUP($D149,素材!$1:$1016,COLUMN($F$1),FALSE), "・", 0)) + 1), 0)</f>
        <v>0</v>
      </c>
      <c r="AM149">
        <f>IF(ISNUMBER(SEARCH(SUBSTITUTE(AM$1,RIGHT(AM$1,2),""),VLOOKUP($D149,素材!$1:$1016,COLUMN($F$1),FALSE))),VLOOKUP($C149,武器!$1:$998,COLUMN($O$1),FALSE)*VLOOKUP($D149,素材!$1:$1016,COLUMN($E$1),FALSE)/(LEN(VLOOKUP($D149,素材!$1:$1016,COLUMN($F$1),FALSE)) - LEN(SUBSTITUTE(VLOOKUP($D149,素材!$1:$1016,COLUMN($F$1),FALSE), "・", 0)) + 1), 0)</f>
        <v>0</v>
      </c>
      <c r="AN149">
        <f>IF(ISNUMBER(SEARCH(SUBSTITUTE(AN$1,RIGHT(AN$1,2),""),VLOOKUP($D149,素材!$1:$1016,COLUMN($F$1),FALSE))),VLOOKUP($C149,武器!$1:$998,COLUMN($O$1),FALSE)*VLOOKUP($D149,素材!$1:$1016,COLUMN($E$1),FALSE)/(LEN(VLOOKUP($D149,素材!$1:$1016,COLUMN($F$1),FALSE)) - LEN(SUBSTITUTE(VLOOKUP($D149,素材!$1:$1016,COLUMN($F$1),FALSE), "・", 0)) + 1), 0)</f>
        <v>0</v>
      </c>
      <c r="AO149">
        <f>IF(ISNUMBER(SEARCH(SUBSTITUTE(AO$1,RIGHT(AO$1,2),""),VLOOKUP($D149,素材!$1:$1016,COLUMN($F$1),FALSE))),VLOOKUP($C149,武器!$1:$998,COLUMN($O$1),FALSE)*VLOOKUP($D149,素材!$1:$1016,COLUMN($E$1),FALSE)/(LEN(VLOOKUP($D149,素材!$1:$1016,COLUMN($F$1),FALSE)) - LEN(SUBSTITUTE(VLOOKUP($D149,素材!$1:$1016,COLUMN($F$1),FALSE), "・", 0)) + 1), 0)</f>
        <v>0</v>
      </c>
      <c r="AP149">
        <f>IF(ISNUMBER(SEARCH(SUBSTITUTE(AP$1,RIGHT(AP$1,2),""),VLOOKUP($D149,素材!$1:$1016,COLUMN($F$1),FALSE))),VLOOKUP($C149,武器!$1:$998,COLUMN($O$1),FALSE)*VLOOKUP($D149,素材!$1:$1016,COLUMN($E$1),FALSE)/(LEN(VLOOKUP($D149,素材!$1:$1016,COLUMN($F$1),FALSE)) - LEN(SUBSTITUTE(VLOOKUP($D149,素材!$1:$1016,COLUMN($F$1),FALSE), "・", 0)) + 1), 0)</f>
        <v>0</v>
      </c>
      <c r="AQ149">
        <f>IF(ISNUMBER(SEARCH(SUBSTITUTE(AQ$1,RIGHT(AQ$1,2),""),VLOOKUP($D149,素材!$1:$1016,COLUMN($F$1),FALSE))),VLOOKUP($C149,武器!$1:$998,COLUMN($O$1),FALSE)*VLOOKUP($D149,素材!$1:$1016,COLUMN($E$1),FALSE)/(LEN(VLOOKUP($D149,素材!$1:$1016,COLUMN($F$1),FALSE)) - LEN(SUBSTITUTE(VLOOKUP($D149,素材!$1:$1016,COLUMN($F$1),FALSE), "・", 0)) + 1), 0)</f>
        <v>0</v>
      </c>
      <c r="AR149">
        <f>IF(ISNUMBER(SEARCH(SUBSTITUTE(AR$1,RIGHT(AR$1,2),""),VLOOKUP($D149,素材!$1:$1016,COLUMN($F$1),FALSE))),VLOOKUP($C149,武器!$1:$998,COLUMN($O$1),FALSE)*VLOOKUP($D149,素材!$1:$1016,COLUMN($E$1),FALSE)/(LEN(VLOOKUP($D149,素材!$1:$1016,COLUMN($F$1),FALSE)) - LEN(SUBSTITUTE(VLOOKUP($D149,素材!$1:$1016,COLUMN($F$1),FALSE), "・", 0)) + 1), 0)</f>
        <v>0</v>
      </c>
      <c r="AS149">
        <f>IF(ISNUMBER(SEARCH(SUBSTITUTE(AS$1,RIGHT(AS$1,2),""),VLOOKUP($D149,素材!$1:$1016,COLUMN($F$1),FALSE))),VLOOKUP($C149,武器!$1:$998,COLUMN($O$1),FALSE)*VLOOKUP($D149,素材!$1:$1016,COLUMN($E$1),FALSE)/(LEN(VLOOKUP($D149,素材!$1:$1016,COLUMN($F$1),FALSE)) - LEN(SUBSTITUTE(VLOOKUP($D149,素材!$1:$1016,COLUMN($F$1),FALSE), "・", 0)) + 1), 0)</f>
        <v>0</v>
      </c>
      <c r="AT149">
        <f>IF(ISNUMBER(SEARCH(SUBSTITUTE(AT$1,RIGHT(AT$1,2),""),VLOOKUP($D149,素材!$1:$1016,COLUMN($F$1),FALSE))),VLOOKUP($C149,武器!$1:$998,COLUMN($O$1),FALSE)*VLOOKUP($D149,素材!$1:$1016,COLUMN($E$1),FALSE)/(LEN(VLOOKUP($D149,素材!$1:$1016,COLUMN($F$1),FALSE)) - LEN(SUBSTITUTE(VLOOKUP($D149,素材!$1:$1016,COLUMN($F$1),FALSE), "・", 0)) + 1), 0)</f>
        <v>0</v>
      </c>
      <c r="AU149">
        <f>IF(ISNUMBER(SEARCH(SUBSTITUTE(AU$1,RIGHT(AU$1,2),""),VLOOKUP($D149,素材!$1:$1016,COLUMN($F$1),FALSE))),VLOOKUP($C149,武器!$1:$998,COLUMN($O$1),FALSE)*VLOOKUP($D149,素材!$1:$1016,COLUMN($E$1),FALSE)/(LEN(VLOOKUP($D149,素材!$1:$1016,COLUMN($F$1),FALSE)) - LEN(SUBSTITUTE(VLOOKUP($D149,素材!$1:$1016,COLUMN($F$1),FALSE), "・", 0)) + 1), 0)</f>
        <v>0</v>
      </c>
      <c r="AV149">
        <f>IF(ISNUMBER(SEARCH(SUBSTITUTE(AV$1,RIGHT(AV$1,2),""),VLOOKUP($D149,素材!$1:$1016,COLUMN($F$1),FALSE))),VLOOKUP($C149,武器!$1:$998,COLUMN($O$1),FALSE)*VLOOKUP($D149,素材!$1:$1016,COLUMN($E$1),FALSE)/(LEN(VLOOKUP($D149,素材!$1:$1016,COLUMN($F$1),FALSE)) - LEN(SUBSTITUTE(VLOOKUP($D149,素材!$1:$1016,COLUMN($F$1),FALSE), "・", 0)) + 1), 0)</f>
        <v>0</v>
      </c>
      <c r="AW149">
        <f>IF(ISNUMBER(SEARCH(SUBSTITUTE(AW$1,RIGHT(AW$1,2),""),VLOOKUP($D149,素材!$1:$1016,COLUMN($F$1),FALSE))),VLOOKUP($C149,武器!$1:$998,COLUMN($O$1),FALSE)*VLOOKUP($D149,素材!$1:$1016,COLUMN($E$1),FALSE)/(LEN(VLOOKUP($D149,素材!$1:$1016,COLUMN($F$1),FALSE)) - LEN(SUBSTITUTE(VLOOKUP($D149,素材!$1:$1016,COLUMN($F$1),FALSE), "・", 0)) + 1), 0)</f>
        <v>0</v>
      </c>
      <c r="AX149">
        <f>IF(ISNUMBER(SEARCH(SUBSTITUTE(AX$1,RIGHT(AX$1,2),""),VLOOKUP($D149,素材!$1:$1016,COLUMN($F$1),FALSE))),VLOOKUP($C149,武器!$1:$998,COLUMN($O$1),FALSE)*VLOOKUP($D149,素材!$1:$1016,COLUMN($E$1),FALSE)/(LEN(VLOOKUP($D149,素材!$1:$1016,COLUMN($F$1),FALSE)) - LEN(SUBSTITUTE(VLOOKUP($D149,素材!$1:$1016,COLUMN($F$1),FALSE), "・", 0)) + 1), 0)</f>
        <v>0</v>
      </c>
      <c r="AY149">
        <f>IF(ISNUMBER(SEARCH(SUBSTITUTE(AY$1,RIGHT(AY$1,2),""),VLOOKUP($D149,素材!$1:$1016,COLUMN($F$1),FALSE))),VLOOKUP($C149,武器!$1:$998,COLUMN($O$1),FALSE)*VLOOKUP($D149,素材!$1:$1016,COLUMN($E$1),FALSE)/(LEN(VLOOKUP($D149,素材!$1:$1016,COLUMN($F$1),FALSE)) - LEN(SUBSTITUTE(VLOOKUP($D149,素材!$1:$1016,COLUMN($F$1),FALSE), "・", 0)) + 1), 0)</f>
        <v>0</v>
      </c>
      <c r="AZ149">
        <f>IF(ISNUMBER(SEARCH(SUBSTITUTE(AZ$1,RIGHT(AZ$1,2),""),VLOOKUP($D149,素材!$1:$1016,COLUMN($F$1),FALSE))),VLOOKUP($C149,武器!$1:$998,COLUMN($O$1),FALSE)*VLOOKUP($D149,素材!$1:$1016,COLUMN($E$1),FALSE)/(LEN(VLOOKUP($D149,素材!$1:$1016,COLUMN($F$1),FALSE)) - LEN(SUBSTITUTE(VLOOKUP($D149,素材!$1:$1016,COLUMN($F$1),FALSE), "・", 0)) + 1), 0)</f>
        <v>0</v>
      </c>
      <c r="BA149">
        <f>IF(ISNUMBER(SEARCH(SUBSTITUTE(BA$1,RIGHT(BA$1,2),""),VLOOKUP($D149,素材!$1:$1016,COLUMN($F$1),FALSE))),VLOOKUP($C149,武器!$1:$998,COLUMN($O$1),FALSE)*VLOOKUP($D149,素材!$1:$1016,COLUMN($E$1),FALSE)/(LEN(VLOOKUP($D149,素材!$1:$1016,COLUMN($F$1),FALSE)) - LEN(SUBSTITUTE(VLOOKUP($D149,素材!$1:$1016,COLUMN($F$1),FALSE), "・", 0)) + 1), 0)</f>
        <v>0</v>
      </c>
      <c r="BB149">
        <f>IF(ISNUMBER(SEARCH(SUBSTITUTE(BB$1,RIGHT(BB$1,2),""),VLOOKUP($D149,素材!$1:$1016,COLUMN($F$1),FALSE))),VLOOKUP($C149,武器!$1:$998,COLUMN($O$1),FALSE)*VLOOKUP($D149,素材!$1:$1016,COLUMN($E$1),FALSE)/(LEN(VLOOKUP($D149,素材!$1:$1016,COLUMN($F$1),FALSE)) - LEN(SUBSTITUTE(VLOOKUP($D149,素材!$1:$1016,COLUMN($F$1),FALSE), "・", 0)) + 1), 0)</f>
        <v>0</v>
      </c>
      <c r="BC149">
        <f>IF(ISNUMBER(SEARCH(SUBSTITUTE(BC$1,RIGHT(BC$1,2),""),VLOOKUP($D149,素材!$1:$1016,COLUMN($F$1),FALSE))),VLOOKUP($C149,武器!$1:$998,COLUMN($O$1),FALSE)*VLOOKUP($D149,素材!$1:$1016,COLUMN($E$1),FALSE)/(LEN(VLOOKUP($D149,素材!$1:$1016,COLUMN($F$1),FALSE)) - LEN(SUBSTITUTE(VLOOKUP($D149,素材!$1:$1016,COLUMN($F$1),FALSE), "・", 0)) + 1), 0)</f>
        <v>0</v>
      </c>
      <c r="BD149">
        <f>IF(ISNUMBER(SEARCH(SUBSTITUTE(BD$1,RIGHT(BD$1,2),""),VLOOKUP($D149,素材!$1:$1016,COLUMN($F$1),FALSE))),VLOOKUP($C149,武器!$1:$998,COLUMN($O$1),FALSE)*VLOOKUP($D149,素材!$1:$1016,COLUMN($E$1),FALSE)/(LEN(VLOOKUP($D149,素材!$1:$1016,COLUMN($F$1),FALSE)) - LEN(SUBSTITUTE(VLOOKUP($D149,素材!$1:$1016,COLUMN($F$1),FALSE), "・", 0)) + 1), 0)</f>
        <v>0</v>
      </c>
      <c r="BE149">
        <f>IF(ISNUMBER(SEARCH(SUBSTITUTE(BE$1,RIGHT(BE$1,2),""),VLOOKUP($D149,素材!$1:$1016,COLUMN($F$1),FALSE))),VLOOKUP($C149,武器!$1:$998,COLUMN($O$1),FALSE)*VLOOKUP($D149,素材!$1:$1016,COLUMN($E$1),FALSE)/(LEN(VLOOKUP($D149,素材!$1:$1016,COLUMN($F$1),FALSE)) - LEN(SUBSTITUTE(VLOOKUP($D149,素材!$1:$1016,COLUMN($F$1),FALSE), "・", 0)) + 1), 0)</f>
        <v>0</v>
      </c>
      <c r="CL149">
        <f>SUM(G149:I149)</f>
        <v>0</v>
      </c>
      <c r="CM149" s="22" t="str">
        <f>IF(E149="武器",IF(J149-1&gt;SUM(G149:I149),"盾",IF(MAX(G149:I149)=G149,"切断",IF(MAX(G149:I149)=H149,"貫通",IF(MAX(G149:I149)=I149,"打撃","射撃")))),E149)&amp;".webp"</f>
        <v>体.webp</v>
      </c>
      <c r="CN149">
        <f>IFERROR(VLOOKUP($C149,武器!$1:$998,COLUMN(V$1),FALSE)*VLOOKUP($D149,素材!$1:$1016,COLUMN(N$1),FALSE)+IF(CI149="",0,VLOOKUP($CI149,装強!$1:$1008,COLUMN($CK$1),FALSE)),"")</f>
        <v>13750</v>
      </c>
      <c r="CO149" t="str">
        <f>VLOOKUP(D149,素材!$A:$O,COLUMN(素材!O$1),FALSE)</f>
        <v>氷属性を持つドラゴン型生物から採取される鱗素材。極寒の環境や冷気攻撃への対策として優れた性能を発揮します。</v>
      </c>
      <c r="CP149" t="str">
        <f>VLOOKUP(C149,武器!$A:$W,COLUMN(武器!W$1),FALSE)</f>
        <v>HP 物理 魔法 体幹 出血 疲労 Cr</v>
      </c>
      <c r="CR149" t="str">
        <f t="shared" si="18"/>
        <v>e_149</v>
      </c>
      <c r="CS149">
        <f t="shared" si="22"/>
        <v>1375000</v>
      </c>
    </row>
    <row r="150" spans="1:97" outlineLevel="1" x14ac:dyDescent="0.4">
      <c r="A150" t="str">
        <f t="shared" ref="A150" si="25">D150&amp;"の"&amp;C150</f>
        <v>炎蜥蜴の鱗の帽子</v>
      </c>
      <c r="B150" t="str">
        <f>IFERROR(VLOOKUP($D150,素材!$1:$1016,COLUMN($B$1),FALSE)&amp;"・"&amp;VLOOKUP($C150,武器!$1:$998,COLUMN(B$1),FALSE),"")</f>
        <v>ファイアドレイクスケール・ハット</v>
      </c>
      <c r="C150" t="s">
        <v>1195</v>
      </c>
      <c r="D150" s="24" t="s">
        <v>245</v>
      </c>
      <c r="E150" t="str">
        <f>IFERROR(VLOOKUP(C150,武器!$1:$998,COLUMN(C$1),FALSE),"")</f>
        <v>頭</v>
      </c>
      <c r="F150">
        <f>IFERROR(ROUNDDOWN((VLOOKUP($C150,武器!$1:$998,COLUMN(D$1),FALSE)+IFERROR(VLOOKUP($CI150,装強!$1:$999,COLUMN(F$1),FALSE),0))*VLOOKUP($D150,素材!$1:$1016,COLUMN(D$1),FALSE),0),"")</f>
        <v>0</v>
      </c>
      <c r="G150">
        <f>IFERROR(ROUNDDOWN((VLOOKUP($C150,武器!$1:$998,COLUMN(E$1),FALSE)+IFERROR(VLOOKUP($CI150,装強!$1:$999,COLUMN(G$1),FALSE),0))*VLOOKUP($D150,素材!$1:$1016,COLUMN($E$1),FALSE),0),"")</f>
        <v>0</v>
      </c>
      <c r="H150">
        <f>IFERROR(ROUNDDOWN((VLOOKUP($C150,武器!$1:$998,COLUMN(F$1),FALSE)+IFERROR(VLOOKUP($CI150,装強!$1:$999,COLUMN(H$1),FALSE),0))*VLOOKUP($D150,素材!$1:$1016,COLUMN($E$1),FALSE),0),"")</f>
        <v>0</v>
      </c>
      <c r="I150">
        <f>IFERROR(ROUNDDOWN((VLOOKUP($C150,武器!$1:$998,COLUMN(G$1),FALSE)+IFERROR(VLOOKUP($CI150,装強!$1:$999,COLUMN(I$1),FALSE),0))*VLOOKUP($D150,素材!$1:$1016,COLUMN($E$1),FALSE),0),"")</f>
        <v>0</v>
      </c>
      <c r="J150">
        <f>IFERROR(ROUNDDOWN((VLOOKUP($C150,武器!$1:$998,COLUMN(H$1),FALSE)+IFERROR(VLOOKUP($CI150,装強!$1:$999,COLUMN(J$1),FALSE),0))*VLOOKUP($D150,素材!$1:$1016,COLUMN($E$1),FALSE),0),"")</f>
        <v>0</v>
      </c>
      <c r="K150">
        <f>IFERROR(ROUNDDOWN((VLOOKUP($C150,武器!$1:$998,COLUMN(I$1),FALSE)+IFERROR(VLOOKUP($CI150,装強!$1:$999,COLUMN(K$1),FALSE),0))*VLOOKUP($D150,素材!$1:$1016,COLUMN($E$1),FALSE),0),"")</f>
        <v>0</v>
      </c>
      <c r="L150" t="str">
        <f>IFERROR(VLOOKUP($D150,素材!$1:$1016,COLUMN($F$1),FALSE),"")</f>
        <v>炎</v>
      </c>
      <c r="M150">
        <f>IFERROR(VLOOKUP($C150,武器!$1:$998,COLUMN(AA$1),FALSE)*VLOOKUP($D150,素材!$1:$1016,COLUMN($G$1),FALSE),"")</f>
        <v>0</v>
      </c>
      <c r="N150">
        <f>IFERROR(VLOOKUP($C150,武器!$1:$998,COLUMN(I$1),FALSE),"")</f>
        <v>0</v>
      </c>
      <c r="O150" s="23" t="str">
        <f>IFERROR((VLOOKUP($C150,武器!$1:$998,COLUMN(K$1),FALSE)+VLOOKUP($D150,素材!$1:$1016,COLUMN(H$1),FALSE))*100+IFERROR(VLOOKUP($CI150,装強!$1:$999,COLUMN(O$1),FALSE),0),"")</f>
        <v/>
      </c>
      <c r="P150" s="23" t="str">
        <f>IFERROR((VLOOKUP($C150,武器!$1:$998,COLUMN(L$1),FALSE)+VLOOKUP($D150,素材!$1:$1016,COLUMN(I$1),FALSE))*100+IFERROR(VLOOKUP($CI150,装強!$1:$999,COLUMN(P$1),FALSE),0),"")</f>
        <v/>
      </c>
      <c r="Q150">
        <f>IFERROR(ROUNDUP(VLOOKUP($C150,武器!$1:$998,COLUMN(M$1),FALSE)*(VLOOKUP($D150,素材!$1:$1002,COLUMN(D$1),FALSE)/100),1),"")</f>
        <v>0</v>
      </c>
      <c r="R150">
        <f>IFERROR(ROUNDUP(VLOOKUP($C150,武器!$1:$998,COLUMN(N$1),FALSE)*(VLOOKUP($D150,素材!$1:$1002,COLUMN(D$1),FALSE)/100),1),"")</f>
        <v>0</v>
      </c>
      <c r="S150">
        <f>IFERROR(VLOOKUP($C150,武器!$1:$998,COLUMN(P$1),FALSE),"")</f>
        <v>0</v>
      </c>
      <c r="T150">
        <f>IFERROR(VLOOKUP($C150,武器!$1:$998,COLUMN(Q$1),FALSE),"")</f>
        <v>0</v>
      </c>
      <c r="U150">
        <f>IFERROR(VLOOKUP($C150,武器!$1:$998,COLUMN(R$1),FALSE),"")</f>
        <v>0</v>
      </c>
      <c r="V150">
        <f>IFERROR(VLOOKUP($C150,武器!$1:$998,COLUMN(Q$1),FALSE),"")</f>
        <v>0</v>
      </c>
      <c r="W150">
        <f>IFERROR(VLOOKUP($C150,武器!$1:$998,COLUMN(T$1),FALSE),"")</f>
        <v>0</v>
      </c>
      <c r="Y150">
        <f>IFERROR(VLOOKUP($C150,武器!$1:$998,COLUMN(U$1),FALSE),"")</f>
        <v>0</v>
      </c>
      <c r="Z150">
        <f>IFERROR(ROUNDUP(VLOOKUP($C150,武器!$1:$998,COLUMN(O$1),FALSE)*VLOOKUP($D150,素材!$1:$1016,COLUMN(E$1),FALSE),1),"")</f>
        <v>2.5</v>
      </c>
      <c r="AA150">
        <f>IF(ISNUMBER(SEARCH(SUBSTITUTE(AA$1,RIGHT(AA$1,2),""),VLOOKUP($D150,素材!$1:$1016,COLUMN($F$1),FALSE))),VLOOKUP($C150,武器!$1:$998,COLUMN($O$1),FALSE)*VLOOKUP($D150,素材!$1:$1016,COLUMN($E$1),FALSE)/(LEN(VLOOKUP($D150,素材!$1:$1016,COLUMN($F$1),FALSE)) - LEN(SUBSTITUTE(VLOOKUP($D150,素材!$1:$1016,COLUMN($F$1),FALSE), "・", 0)) + 1), 0)</f>
        <v>0</v>
      </c>
      <c r="AB150">
        <f>IF(ISNUMBER(SEARCH(SUBSTITUTE(AB$1,RIGHT(AB$1,2),""),VLOOKUP($D150,素材!$1:$1016,COLUMN($F$1),FALSE))),VLOOKUP($C150,武器!$1:$998,COLUMN($O$1),FALSE)*VLOOKUP($D150,素材!$1:$1016,COLUMN($E$1),FALSE)/(LEN(VLOOKUP($D150,素材!$1:$1016,COLUMN($F$1),FALSE)) - LEN(SUBSTITUTE(VLOOKUP($D150,素材!$1:$1016,COLUMN($F$1),FALSE), "・", 0)) + 1), 0)</f>
        <v>0</v>
      </c>
      <c r="AC150">
        <f>IF(ISNUMBER(SEARCH(SUBSTITUTE(AC$1,RIGHT(AC$1,2),""),VLOOKUP($D150,素材!$1:$1016,COLUMN($F$1),FALSE))),VLOOKUP($C150,武器!$1:$998,COLUMN($O$1),FALSE)*VLOOKUP($D150,素材!$1:$1016,COLUMN($E$1),FALSE)/(LEN(VLOOKUP($D150,素材!$1:$1016,COLUMN($F$1),FALSE)) - LEN(SUBSTITUTE(VLOOKUP($D150,素材!$1:$1016,COLUMN($F$1),FALSE), "・", 0)) + 1), 0)</f>
        <v>0</v>
      </c>
      <c r="AD150">
        <f>IF(ISNUMBER(SEARCH(SUBSTITUTE(AD$1,RIGHT(AD$1,2),""),VLOOKUP($D150,素材!$1:$1016,COLUMN($F$1),FALSE))),VLOOKUP($C150,武器!$1:$998,COLUMN($O$1),FALSE)*VLOOKUP($D150,素材!$1:$1016,COLUMN($E$1),FALSE)/(LEN(VLOOKUP($D150,素材!$1:$1016,COLUMN($F$1),FALSE)) - LEN(SUBSTITUTE(VLOOKUP($D150,素材!$1:$1016,COLUMN($F$1),FALSE), "・", 0)) + 1), 0)</f>
        <v>0</v>
      </c>
      <c r="AE150">
        <f>IF(ISNUMBER(SEARCH(SUBSTITUTE(AE$1,RIGHT(AE$1,2),""),VLOOKUP($D150,素材!$1:$1016,COLUMN($F$1),FALSE))),VLOOKUP($C150,武器!$1:$998,COLUMN($O$1),FALSE)*VLOOKUP($D150,素材!$1:$1016,COLUMN($E$1),FALSE)/(LEN(VLOOKUP($D150,素材!$1:$1016,COLUMN($F$1),FALSE)) - LEN(SUBSTITUTE(VLOOKUP($D150,素材!$1:$1016,COLUMN($F$1),FALSE), "・", 0)) + 1), 0)</f>
        <v>2.5</v>
      </c>
      <c r="AF150">
        <f>IF(ISNUMBER(SEARCH(SUBSTITUTE(AF$1,RIGHT(AF$1,2),""),VLOOKUP($D150,素材!$1:$1016,COLUMN($F$1),FALSE))),VLOOKUP($C150,武器!$1:$998,COLUMN($O$1),FALSE)*VLOOKUP($D150,素材!$1:$1016,COLUMN($E$1),FALSE)/(LEN(VLOOKUP($D150,素材!$1:$1016,COLUMN($F$1),FALSE)) - LEN(SUBSTITUTE(VLOOKUP($D150,素材!$1:$1016,COLUMN($F$1),FALSE), "・", 0)) + 1), 0)</f>
        <v>0</v>
      </c>
      <c r="AG150">
        <f>IF(ISNUMBER(SEARCH(SUBSTITUTE(AG$1,RIGHT(AG$1,2),""),VLOOKUP($D150,素材!$1:$1016,COLUMN($F$1),FALSE))),VLOOKUP($C150,武器!$1:$998,COLUMN($O$1),FALSE)*VLOOKUP($D150,素材!$1:$1016,COLUMN($E$1),FALSE)/(LEN(VLOOKUP($D150,素材!$1:$1016,COLUMN($F$1),FALSE)) - LEN(SUBSTITUTE(VLOOKUP($D150,素材!$1:$1016,COLUMN($F$1),FALSE), "・", 0)) + 1), 0)</f>
        <v>0</v>
      </c>
      <c r="AH150">
        <f>IF(ISNUMBER(SEARCH(SUBSTITUTE(AH$1,RIGHT(AH$1,2),""),VLOOKUP($D150,素材!$1:$1016,COLUMN($F$1),FALSE))),VLOOKUP($C150,武器!$1:$998,COLUMN($O$1),FALSE)*VLOOKUP($D150,素材!$1:$1016,COLUMN($E$1),FALSE)/(LEN(VLOOKUP($D150,素材!$1:$1016,COLUMN($F$1),FALSE)) - LEN(SUBSTITUTE(VLOOKUP($D150,素材!$1:$1016,COLUMN($F$1),FALSE), "・", 0)) + 1), 0)</f>
        <v>0</v>
      </c>
      <c r="AI150">
        <f>IF(ISNUMBER(SEARCH(SUBSTITUTE(AI$1,RIGHT(AI$1,2),""),VLOOKUP($D150,素材!$1:$1016,COLUMN($F$1),FALSE))),VLOOKUP($C150,武器!$1:$998,COLUMN($O$1),FALSE)*VLOOKUP($D150,素材!$1:$1016,COLUMN($E$1),FALSE)/(LEN(VLOOKUP($D150,素材!$1:$1016,COLUMN($F$1),FALSE)) - LEN(SUBSTITUTE(VLOOKUP($D150,素材!$1:$1016,COLUMN($F$1),FALSE), "・", 0)) + 1), 0)</f>
        <v>0</v>
      </c>
      <c r="AJ150">
        <f>IF(ISNUMBER(SEARCH(SUBSTITUTE(AJ$1,RIGHT(AJ$1,2),""),VLOOKUP($D150,素材!$1:$1016,COLUMN($F$1),FALSE))),VLOOKUP($C150,武器!$1:$998,COLUMN($O$1),FALSE)*VLOOKUP($D150,素材!$1:$1016,COLUMN($E$1),FALSE)/(LEN(VLOOKUP($D150,素材!$1:$1016,COLUMN($F$1),FALSE)) - LEN(SUBSTITUTE(VLOOKUP($D150,素材!$1:$1016,COLUMN($F$1),FALSE), "・", 0)) + 1), 0)</f>
        <v>0</v>
      </c>
      <c r="AK150">
        <f>IF(ISNUMBER(SEARCH(SUBSTITUTE(AK$1,RIGHT(AK$1,2),""),VLOOKUP($D150,素材!$1:$1016,COLUMN($F$1),FALSE))),VLOOKUP($C150,武器!$1:$998,COLUMN($O$1),FALSE)*VLOOKUP($D150,素材!$1:$1016,COLUMN($E$1),FALSE)/(LEN(VLOOKUP($D150,素材!$1:$1016,COLUMN($F$1),FALSE)) - LEN(SUBSTITUTE(VLOOKUP($D150,素材!$1:$1016,COLUMN($F$1),FALSE), "・", 0)) + 1), 0)</f>
        <v>0</v>
      </c>
      <c r="AL150">
        <f>IF(ISNUMBER(SEARCH(SUBSTITUTE(AL$1,RIGHT(AL$1,2),""),VLOOKUP($D150,素材!$1:$1016,COLUMN($F$1),FALSE))),VLOOKUP($C150,武器!$1:$998,COLUMN($O$1),FALSE)*VLOOKUP($D150,素材!$1:$1016,COLUMN($E$1),FALSE)/(LEN(VLOOKUP($D150,素材!$1:$1016,COLUMN($F$1),FALSE)) - LEN(SUBSTITUTE(VLOOKUP($D150,素材!$1:$1016,COLUMN($F$1),FALSE), "・", 0)) + 1), 0)</f>
        <v>0</v>
      </c>
      <c r="AM150">
        <f>IF(ISNUMBER(SEARCH(SUBSTITUTE(AM$1,RIGHT(AM$1,2),""),VLOOKUP($D150,素材!$1:$1016,COLUMN($F$1),FALSE))),VLOOKUP($C150,武器!$1:$998,COLUMN($O$1),FALSE)*VLOOKUP($D150,素材!$1:$1016,COLUMN($E$1),FALSE)/(LEN(VLOOKUP($D150,素材!$1:$1016,COLUMN($F$1),FALSE)) - LEN(SUBSTITUTE(VLOOKUP($D150,素材!$1:$1016,COLUMN($F$1),FALSE), "・", 0)) + 1), 0)</f>
        <v>0</v>
      </c>
      <c r="AN150">
        <f>IF(ISNUMBER(SEARCH(SUBSTITUTE(AN$1,RIGHT(AN$1,2),""),VLOOKUP($D150,素材!$1:$1016,COLUMN($F$1),FALSE))),VLOOKUP($C150,武器!$1:$998,COLUMN($O$1),FALSE)*VLOOKUP($D150,素材!$1:$1016,COLUMN($E$1),FALSE)/(LEN(VLOOKUP($D150,素材!$1:$1016,COLUMN($F$1),FALSE)) - LEN(SUBSTITUTE(VLOOKUP($D150,素材!$1:$1016,COLUMN($F$1),FALSE), "・", 0)) + 1), 0)</f>
        <v>0</v>
      </c>
      <c r="AO150">
        <f>IF(ISNUMBER(SEARCH(SUBSTITUTE(AO$1,RIGHT(AO$1,2),""),VLOOKUP($D150,素材!$1:$1016,COLUMN($F$1),FALSE))),VLOOKUP($C150,武器!$1:$998,COLUMN($O$1),FALSE)*VLOOKUP($D150,素材!$1:$1016,COLUMN($E$1),FALSE)/(LEN(VLOOKUP($D150,素材!$1:$1016,COLUMN($F$1),FALSE)) - LEN(SUBSTITUTE(VLOOKUP($D150,素材!$1:$1016,COLUMN($F$1),FALSE), "・", 0)) + 1), 0)</f>
        <v>0</v>
      </c>
      <c r="AP150">
        <f>IF(ISNUMBER(SEARCH(SUBSTITUTE(AP$1,RIGHT(AP$1,2),""),VLOOKUP($D150,素材!$1:$1016,COLUMN($F$1),FALSE))),VLOOKUP($C150,武器!$1:$998,COLUMN($O$1),FALSE)*VLOOKUP($D150,素材!$1:$1016,COLUMN($E$1),FALSE)/(LEN(VLOOKUP($D150,素材!$1:$1016,COLUMN($F$1),FALSE)) - LEN(SUBSTITUTE(VLOOKUP($D150,素材!$1:$1016,COLUMN($F$1),FALSE), "・", 0)) + 1), 0)</f>
        <v>0</v>
      </c>
      <c r="AQ150">
        <f>IF(ISNUMBER(SEARCH(SUBSTITUTE(AQ$1,RIGHT(AQ$1,2),""),VLOOKUP($D150,素材!$1:$1016,COLUMN($F$1),FALSE))),VLOOKUP($C150,武器!$1:$998,COLUMN($O$1),FALSE)*VLOOKUP($D150,素材!$1:$1016,COLUMN($E$1),FALSE)/(LEN(VLOOKUP($D150,素材!$1:$1016,COLUMN($F$1),FALSE)) - LEN(SUBSTITUTE(VLOOKUP($D150,素材!$1:$1016,COLUMN($F$1),FALSE), "・", 0)) + 1), 0)</f>
        <v>0</v>
      </c>
      <c r="AR150">
        <f>IF(ISNUMBER(SEARCH(SUBSTITUTE(AR$1,RIGHT(AR$1,2),""),VLOOKUP($D150,素材!$1:$1016,COLUMN($F$1),FALSE))),VLOOKUP($C150,武器!$1:$998,COLUMN($O$1),FALSE)*VLOOKUP($D150,素材!$1:$1016,COLUMN($E$1),FALSE)/(LEN(VLOOKUP($D150,素材!$1:$1016,COLUMN($F$1),FALSE)) - LEN(SUBSTITUTE(VLOOKUP($D150,素材!$1:$1016,COLUMN($F$1),FALSE), "・", 0)) + 1), 0)</f>
        <v>0</v>
      </c>
      <c r="AS150">
        <f>IF(ISNUMBER(SEARCH(SUBSTITUTE(AS$1,RIGHT(AS$1,2),""),VLOOKUP($D150,素材!$1:$1016,COLUMN($F$1),FALSE))),VLOOKUP($C150,武器!$1:$998,COLUMN($O$1),FALSE)*VLOOKUP($D150,素材!$1:$1016,COLUMN($E$1),FALSE)/(LEN(VLOOKUP($D150,素材!$1:$1016,COLUMN($F$1),FALSE)) - LEN(SUBSTITUTE(VLOOKUP($D150,素材!$1:$1016,COLUMN($F$1),FALSE), "・", 0)) + 1), 0)</f>
        <v>0</v>
      </c>
      <c r="AT150">
        <f>IF(ISNUMBER(SEARCH(SUBSTITUTE(AT$1,RIGHT(AT$1,2),""),VLOOKUP($D150,素材!$1:$1016,COLUMN($F$1),FALSE))),VLOOKUP($C150,武器!$1:$998,COLUMN($O$1),FALSE)*VLOOKUP($D150,素材!$1:$1016,COLUMN($E$1),FALSE)/(LEN(VLOOKUP($D150,素材!$1:$1016,COLUMN($F$1),FALSE)) - LEN(SUBSTITUTE(VLOOKUP($D150,素材!$1:$1016,COLUMN($F$1),FALSE), "・", 0)) + 1), 0)</f>
        <v>0</v>
      </c>
      <c r="AU150">
        <f>IF(ISNUMBER(SEARCH(SUBSTITUTE(AU$1,RIGHT(AU$1,2),""),VLOOKUP($D150,素材!$1:$1016,COLUMN($F$1),FALSE))),VLOOKUP($C150,武器!$1:$998,COLUMN($O$1),FALSE)*VLOOKUP($D150,素材!$1:$1016,COLUMN($E$1),FALSE)/(LEN(VLOOKUP($D150,素材!$1:$1016,COLUMN($F$1),FALSE)) - LEN(SUBSTITUTE(VLOOKUP($D150,素材!$1:$1016,COLUMN($F$1),FALSE), "・", 0)) + 1), 0)</f>
        <v>0</v>
      </c>
      <c r="AV150">
        <f>IF(ISNUMBER(SEARCH(SUBSTITUTE(AV$1,RIGHT(AV$1,2),""),VLOOKUP($D150,素材!$1:$1016,COLUMN($F$1),FALSE))),VLOOKUP($C150,武器!$1:$998,COLUMN($O$1),FALSE)*VLOOKUP($D150,素材!$1:$1016,COLUMN($E$1),FALSE)/(LEN(VLOOKUP($D150,素材!$1:$1016,COLUMN($F$1),FALSE)) - LEN(SUBSTITUTE(VLOOKUP($D150,素材!$1:$1016,COLUMN($F$1),FALSE), "・", 0)) + 1), 0)</f>
        <v>0</v>
      </c>
      <c r="AW150">
        <f>IF(ISNUMBER(SEARCH(SUBSTITUTE(AW$1,RIGHT(AW$1,2),""),VLOOKUP($D150,素材!$1:$1016,COLUMN($F$1),FALSE))),VLOOKUP($C150,武器!$1:$998,COLUMN($O$1),FALSE)*VLOOKUP($D150,素材!$1:$1016,COLUMN($E$1),FALSE)/(LEN(VLOOKUP($D150,素材!$1:$1016,COLUMN($F$1),FALSE)) - LEN(SUBSTITUTE(VLOOKUP($D150,素材!$1:$1016,COLUMN($F$1),FALSE), "・", 0)) + 1), 0)</f>
        <v>0</v>
      </c>
      <c r="AX150">
        <f>IF(ISNUMBER(SEARCH(SUBSTITUTE(AX$1,RIGHT(AX$1,2),""),VLOOKUP($D150,素材!$1:$1016,COLUMN($F$1),FALSE))),VLOOKUP($C150,武器!$1:$998,COLUMN($O$1),FALSE)*VLOOKUP($D150,素材!$1:$1016,COLUMN($E$1),FALSE)/(LEN(VLOOKUP($D150,素材!$1:$1016,COLUMN($F$1),FALSE)) - LEN(SUBSTITUTE(VLOOKUP($D150,素材!$1:$1016,COLUMN($F$1),FALSE), "・", 0)) + 1), 0)</f>
        <v>0</v>
      </c>
      <c r="AY150">
        <f>IF(ISNUMBER(SEARCH(SUBSTITUTE(AY$1,RIGHT(AY$1,2),""),VLOOKUP($D150,素材!$1:$1016,COLUMN($F$1),FALSE))),VLOOKUP($C150,武器!$1:$998,COLUMN($O$1),FALSE)*VLOOKUP($D150,素材!$1:$1016,COLUMN($E$1),FALSE)/(LEN(VLOOKUP($D150,素材!$1:$1016,COLUMN($F$1),FALSE)) - LEN(SUBSTITUTE(VLOOKUP($D150,素材!$1:$1016,COLUMN($F$1),FALSE), "・", 0)) + 1), 0)</f>
        <v>0</v>
      </c>
      <c r="AZ150">
        <f>IF(ISNUMBER(SEARCH(SUBSTITUTE(AZ$1,RIGHT(AZ$1,2),""),VLOOKUP($D150,素材!$1:$1016,COLUMN($F$1),FALSE))),VLOOKUP($C150,武器!$1:$998,COLUMN($O$1),FALSE)*VLOOKUP($D150,素材!$1:$1016,COLUMN($E$1),FALSE)/(LEN(VLOOKUP($D150,素材!$1:$1016,COLUMN($F$1),FALSE)) - LEN(SUBSTITUTE(VLOOKUP($D150,素材!$1:$1016,COLUMN($F$1),FALSE), "・", 0)) + 1), 0)</f>
        <v>0</v>
      </c>
      <c r="BA150">
        <f>IF(ISNUMBER(SEARCH(SUBSTITUTE(BA$1,RIGHT(BA$1,2),""),VLOOKUP($D150,素材!$1:$1016,COLUMN($F$1),FALSE))),VLOOKUP($C150,武器!$1:$998,COLUMN($O$1),FALSE)*VLOOKUP($D150,素材!$1:$1016,COLUMN($E$1),FALSE)/(LEN(VLOOKUP($D150,素材!$1:$1016,COLUMN($F$1),FALSE)) - LEN(SUBSTITUTE(VLOOKUP($D150,素材!$1:$1016,COLUMN($F$1),FALSE), "・", 0)) + 1), 0)</f>
        <v>0</v>
      </c>
      <c r="BB150">
        <f>IF(ISNUMBER(SEARCH(SUBSTITUTE(BB$1,RIGHT(BB$1,2),""),VLOOKUP($D150,素材!$1:$1016,COLUMN($F$1),FALSE))),VLOOKUP($C150,武器!$1:$998,COLUMN($O$1),FALSE)*VLOOKUP($D150,素材!$1:$1016,COLUMN($E$1),FALSE)/(LEN(VLOOKUP($D150,素材!$1:$1016,COLUMN($F$1),FALSE)) - LEN(SUBSTITUTE(VLOOKUP($D150,素材!$1:$1016,COLUMN($F$1),FALSE), "・", 0)) + 1), 0)</f>
        <v>0</v>
      </c>
      <c r="BC150">
        <f>IF(ISNUMBER(SEARCH(SUBSTITUTE(BC$1,RIGHT(BC$1,2),""),VLOOKUP($D150,素材!$1:$1016,COLUMN($F$1),FALSE))),VLOOKUP($C150,武器!$1:$998,COLUMN($O$1),FALSE)*VLOOKUP($D150,素材!$1:$1016,COLUMN($E$1),FALSE)/(LEN(VLOOKUP($D150,素材!$1:$1016,COLUMN($F$1),FALSE)) - LEN(SUBSTITUTE(VLOOKUP($D150,素材!$1:$1016,COLUMN($F$1),FALSE), "・", 0)) + 1), 0)</f>
        <v>0</v>
      </c>
      <c r="BD150">
        <f>IF(ISNUMBER(SEARCH(SUBSTITUTE(BD$1,RIGHT(BD$1,2),""),VLOOKUP($D150,素材!$1:$1016,COLUMN($F$1),FALSE))),VLOOKUP($C150,武器!$1:$998,COLUMN($O$1),FALSE)*VLOOKUP($D150,素材!$1:$1016,COLUMN($E$1),FALSE)/(LEN(VLOOKUP($D150,素材!$1:$1016,COLUMN($F$1),FALSE)) - LEN(SUBSTITUTE(VLOOKUP($D150,素材!$1:$1016,COLUMN($F$1),FALSE), "・", 0)) + 1), 0)</f>
        <v>0</v>
      </c>
      <c r="BE150">
        <f>IF(ISNUMBER(SEARCH(SUBSTITUTE(BE$1,RIGHT(BE$1,2),""),VLOOKUP($D150,素材!$1:$1016,COLUMN($F$1),FALSE))),VLOOKUP($C150,武器!$1:$998,COLUMN($O$1),FALSE)*VLOOKUP($D150,素材!$1:$1016,COLUMN($E$1),FALSE)/(LEN(VLOOKUP($D150,素材!$1:$1016,COLUMN($F$1),FALSE)) - LEN(SUBSTITUTE(VLOOKUP($D150,素材!$1:$1016,COLUMN($F$1),FALSE), "・", 0)) + 1), 0)</f>
        <v>0</v>
      </c>
      <c r="CL150">
        <f>SUM(G150:I150)</f>
        <v>0</v>
      </c>
      <c r="CM150" s="22" t="str">
        <f>IF(E150="武器",IF(J150-1&gt;SUM(G150:I150),"盾",IF(MAX(G150:I150)=G150,"切断",IF(MAX(G150:I150)=H150,"貫通",IF(MAX(G150:I150)=I150,"打撃","射撃")))),E150)&amp;".webp"</f>
        <v>頭.webp</v>
      </c>
      <c r="CN150">
        <f>IFERROR(VLOOKUP($C150,武器!$1:$998,COLUMN(V$1),FALSE)*VLOOKUP($D150,素材!$1:$1016,COLUMN(N$1),FALSE)+IF(CI150="",0,VLOOKUP($CI150,装強!$1:$1008,COLUMN($CK$1),FALSE)),"")</f>
        <v>5500</v>
      </c>
      <c r="CO150" t="str">
        <f>VLOOKUP(D150,素材!$A:$O,COLUMN(素材!O$1),FALSE)</f>
        <v>炎属性を持つドラゴン型生物から採取される鱗素材。強力な炎属性防御を備えており、耐熱性が求められる場面で特に有用です。</v>
      </c>
      <c r="CP150" t="str">
        <f>VLOOKUP(C150,武器!$A:$W,COLUMN(武器!W$1),FALSE)</f>
        <v>命中 魔防 Cr</v>
      </c>
      <c r="CR150" t="str">
        <f t="shared" si="18"/>
        <v>e_150</v>
      </c>
      <c r="CS150">
        <f t="shared" ref="CS150" si="26">CN150*100</f>
        <v>550000</v>
      </c>
    </row>
    <row r="151" spans="1:97" outlineLevel="1" x14ac:dyDescent="0.4">
      <c r="A151" t="str">
        <f t="shared" si="17"/>
        <v>炎蜥蜴の鱗の衣布</v>
      </c>
      <c r="B151" t="str">
        <f>IFERROR(VLOOKUP($D151,素材!$1:$1016,COLUMN($B$1),FALSE)&amp;"・"&amp;VLOOKUP($C151,武器!$1:$998,COLUMN(B$1),FALSE),"")</f>
        <v>ファイアドレイクスケール・クロース</v>
      </c>
      <c r="C151" t="s">
        <v>247</v>
      </c>
      <c r="D151" s="24" t="s">
        <v>245</v>
      </c>
      <c r="E151" t="str">
        <f>IFERROR(VLOOKUP(C151,武器!$1:$998,COLUMN(C$1),FALSE),"")</f>
        <v>体</v>
      </c>
      <c r="F151">
        <f>IFERROR(ROUNDDOWN((VLOOKUP($C151,武器!$1:$998,COLUMN(D$1),FALSE)+IFERROR(VLOOKUP($CI151,装強!$1:$999,COLUMN(F$1),FALSE),0))*VLOOKUP($D151,素材!$1:$1016,COLUMN(D$1),FALSE),0),"")</f>
        <v>0</v>
      </c>
      <c r="G151">
        <f>IFERROR(ROUNDDOWN((VLOOKUP($C151,武器!$1:$998,COLUMN(E$1),FALSE)+IFERROR(VLOOKUP($CI151,装強!$1:$999,COLUMN(G$1),FALSE),0))*VLOOKUP($D151,素材!$1:$1016,COLUMN($E$1),FALSE),0),"")</f>
        <v>0</v>
      </c>
      <c r="H151">
        <f>IFERROR(ROUNDDOWN((VLOOKUP($C151,武器!$1:$998,COLUMN(F$1),FALSE)+IFERROR(VLOOKUP($CI151,装強!$1:$999,COLUMN(H$1),FALSE),0))*VLOOKUP($D151,素材!$1:$1016,COLUMN($E$1),FALSE),0),"")</f>
        <v>0</v>
      </c>
      <c r="I151">
        <f>IFERROR(ROUNDDOWN((VLOOKUP($C151,武器!$1:$998,COLUMN(G$1),FALSE)+IFERROR(VLOOKUP($CI151,装強!$1:$999,COLUMN(I$1),FALSE),0))*VLOOKUP($D151,素材!$1:$1016,COLUMN($E$1),FALSE),0),"")</f>
        <v>0</v>
      </c>
      <c r="J151">
        <f>IFERROR(ROUNDDOWN((VLOOKUP($C151,武器!$1:$998,COLUMN(H$1),FALSE)+IFERROR(VLOOKUP($CI151,装強!$1:$999,COLUMN(J$1),FALSE),0))*VLOOKUP($D151,素材!$1:$1016,COLUMN($E$1),FALSE),0),"")</f>
        <v>0</v>
      </c>
      <c r="K151">
        <f>IFERROR(ROUNDDOWN((VLOOKUP($C151,武器!$1:$998,COLUMN(I$1),FALSE)+IFERROR(VLOOKUP($CI151,装強!$1:$999,COLUMN(K$1),FALSE),0))*VLOOKUP($D151,素材!$1:$1016,COLUMN($E$1),FALSE),0),"")</f>
        <v>0</v>
      </c>
      <c r="L151" t="str">
        <f>IFERROR(VLOOKUP($D151,素材!$1:$1016,COLUMN($F$1),FALSE),"")</f>
        <v>炎</v>
      </c>
      <c r="M151">
        <f>IFERROR(VLOOKUP($C151,武器!$1:$998,COLUMN(AA$1),FALSE)*VLOOKUP($D151,素材!$1:$1016,COLUMN($G$1),FALSE),"")</f>
        <v>0</v>
      </c>
      <c r="N151">
        <f>IFERROR(VLOOKUP($C151,武器!$1:$998,COLUMN(I$1),FALSE),"")</f>
        <v>0</v>
      </c>
      <c r="O151" s="23" t="str">
        <f>IFERROR((VLOOKUP($C151,武器!$1:$998,COLUMN(K$1),FALSE)+VLOOKUP($D151,素材!$1:$1016,COLUMN(H$1),FALSE))*100+IFERROR(VLOOKUP($CI151,装強!$1:$999,COLUMN(O$1),FALSE),0),"")</f>
        <v/>
      </c>
      <c r="P151" s="23" t="str">
        <f>IFERROR((VLOOKUP($C151,武器!$1:$998,COLUMN(L$1),FALSE)+VLOOKUP($D151,素材!$1:$1016,COLUMN(I$1),FALSE))*100+IFERROR(VLOOKUP($CI151,装強!$1:$999,COLUMN(P$1),FALSE),0),"")</f>
        <v/>
      </c>
      <c r="Q151">
        <f>IFERROR(ROUNDUP(VLOOKUP($C151,武器!$1:$998,COLUMN(M$1),FALSE)*(VLOOKUP($D151,素材!$1:$1002,COLUMN(D$1),FALSE)/100),1),"")</f>
        <v>0</v>
      </c>
      <c r="R151">
        <f>IFERROR(ROUNDUP(VLOOKUP($C151,武器!$1:$998,COLUMN(N$1),FALSE)*(VLOOKUP($D151,素材!$1:$1002,COLUMN(D$1),FALSE)/100),1),"")</f>
        <v>0</v>
      </c>
      <c r="S151">
        <f>IFERROR(VLOOKUP($C151,武器!$1:$998,COLUMN(P$1),FALSE),"")</f>
        <v>0</v>
      </c>
      <c r="T151">
        <f>IFERROR(VLOOKUP($C151,武器!$1:$998,COLUMN(Q$1),FALSE),"")</f>
        <v>0</v>
      </c>
      <c r="U151">
        <f>IFERROR(VLOOKUP($C151,武器!$1:$998,COLUMN(R$1),FALSE),"")</f>
        <v>0</v>
      </c>
      <c r="V151">
        <f>IFERROR(VLOOKUP($C151,武器!$1:$998,COLUMN(Q$1),FALSE),"")</f>
        <v>0</v>
      </c>
      <c r="W151">
        <f>IFERROR(VLOOKUP($C151,武器!$1:$998,COLUMN(T$1),FALSE),"")</f>
        <v>0</v>
      </c>
      <c r="Y151">
        <f>IFERROR(VLOOKUP($C151,武器!$1:$998,COLUMN(U$1),FALSE),"")</f>
        <v>0</v>
      </c>
      <c r="Z151">
        <f>IFERROR(ROUNDUP(VLOOKUP($C151,武器!$1:$998,COLUMN(O$1),FALSE)*VLOOKUP($D151,素材!$1:$1016,COLUMN(E$1),FALSE),1),"")</f>
        <v>7.5</v>
      </c>
      <c r="AA151">
        <f>IF(ISNUMBER(SEARCH(SUBSTITUTE(AA$1,RIGHT(AA$1,2),""),VLOOKUP($D151,素材!$1:$1016,COLUMN($F$1),FALSE))),VLOOKUP($C151,武器!$1:$998,COLUMN($O$1),FALSE)*VLOOKUP($D151,素材!$1:$1016,COLUMN($E$1),FALSE)/(LEN(VLOOKUP($D151,素材!$1:$1016,COLUMN($F$1),FALSE)) - LEN(SUBSTITUTE(VLOOKUP($D151,素材!$1:$1016,COLUMN($F$1),FALSE), "・", 0)) + 1), 0)</f>
        <v>0</v>
      </c>
      <c r="AB151">
        <f>IF(ISNUMBER(SEARCH(SUBSTITUTE(AB$1,RIGHT(AB$1,2),""),VLOOKUP($D151,素材!$1:$1016,COLUMN($F$1),FALSE))),VLOOKUP($C151,武器!$1:$998,COLUMN($O$1),FALSE)*VLOOKUP($D151,素材!$1:$1016,COLUMN($E$1),FALSE)/(LEN(VLOOKUP($D151,素材!$1:$1016,COLUMN($F$1),FALSE)) - LEN(SUBSTITUTE(VLOOKUP($D151,素材!$1:$1016,COLUMN($F$1),FALSE), "・", 0)) + 1), 0)</f>
        <v>0</v>
      </c>
      <c r="AC151">
        <f>IF(ISNUMBER(SEARCH(SUBSTITUTE(AC$1,RIGHT(AC$1,2),""),VLOOKUP($D151,素材!$1:$1016,COLUMN($F$1),FALSE))),VLOOKUP($C151,武器!$1:$998,COLUMN($O$1),FALSE)*VLOOKUP($D151,素材!$1:$1016,COLUMN($E$1),FALSE)/(LEN(VLOOKUP($D151,素材!$1:$1016,COLUMN($F$1),FALSE)) - LEN(SUBSTITUTE(VLOOKUP($D151,素材!$1:$1016,COLUMN($F$1),FALSE), "・", 0)) + 1), 0)</f>
        <v>0</v>
      </c>
      <c r="AD151">
        <f>IF(ISNUMBER(SEARCH(SUBSTITUTE(AD$1,RIGHT(AD$1,2),""),VLOOKUP($D151,素材!$1:$1016,COLUMN($F$1),FALSE))),VLOOKUP($C151,武器!$1:$998,COLUMN($O$1),FALSE)*VLOOKUP($D151,素材!$1:$1016,COLUMN($E$1),FALSE)/(LEN(VLOOKUP($D151,素材!$1:$1016,COLUMN($F$1),FALSE)) - LEN(SUBSTITUTE(VLOOKUP($D151,素材!$1:$1016,COLUMN($F$1),FALSE), "・", 0)) + 1), 0)</f>
        <v>0</v>
      </c>
      <c r="AE151">
        <f>IF(ISNUMBER(SEARCH(SUBSTITUTE(AE$1,RIGHT(AE$1,2),""),VLOOKUP($D151,素材!$1:$1016,COLUMN($F$1),FALSE))),VLOOKUP($C151,武器!$1:$998,COLUMN($O$1),FALSE)*VLOOKUP($D151,素材!$1:$1016,COLUMN($E$1),FALSE)/(LEN(VLOOKUP($D151,素材!$1:$1016,COLUMN($F$1),FALSE)) - LEN(SUBSTITUTE(VLOOKUP($D151,素材!$1:$1016,COLUMN($F$1),FALSE), "・", 0)) + 1), 0)</f>
        <v>7.5</v>
      </c>
      <c r="AF151">
        <f>IF(ISNUMBER(SEARCH(SUBSTITUTE(AF$1,RIGHT(AF$1,2),""),VLOOKUP($D151,素材!$1:$1016,COLUMN($F$1),FALSE))),VLOOKUP($C151,武器!$1:$998,COLUMN($O$1),FALSE)*VLOOKUP($D151,素材!$1:$1016,COLUMN($E$1),FALSE)/(LEN(VLOOKUP($D151,素材!$1:$1016,COLUMN($F$1),FALSE)) - LEN(SUBSTITUTE(VLOOKUP($D151,素材!$1:$1016,COLUMN($F$1),FALSE), "・", 0)) + 1), 0)</f>
        <v>0</v>
      </c>
      <c r="AG151">
        <f>IF(ISNUMBER(SEARCH(SUBSTITUTE(AG$1,RIGHT(AG$1,2),""),VLOOKUP($D151,素材!$1:$1016,COLUMN($F$1),FALSE))),VLOOKUP($C151,武器!$1:$998,COLUMN($O$1),FALSE)*VLOOKUP($D151,素材!$1:$1016,COLUMN($E$1),FALSE)/(LEN(VLOOKUP($D151,素材!$1:$1016,COLUMN($F$1),FALSE)) - LEN(SUBSTITUTE(VLOOKUP($D151,素材!$1:$1016,COLUMN($F$1),FALSE), "・", 0)) + 1), 0)</f>
        <v>0</v>
      </c>
      <c r="AH151">
        <f>IF(ISNUMBER(SEARCH(SUBSTITUTE(AH$1,RIGHT(AH$1,2),""),VLOOKUP($D151,素材!$1:$1016,COLUMN($F$1),FALSE))),VLOOKUP($C151,武器!$1:$998,COLUMN($O$1),FALSE)*VLOOKUP($D151,素材!$1:$1016,COLUMN($E$1),FALSE)/(LEN(VLOOKUP($D151,素材!$1:$1016,COLUMN($F$1),FALSE)) - LEN(SUBSTITUTE(VLOOKUP($D151,素材!$1:$1016,COLUMN($F$1),FALSE), "・", 0)) + 1), 0)</f>
        <v>0</v>
      </c>
      <c r="AI151">
        <f>IF(ISNUMBER(SEARCH(SUBSTITUTE(AI$1,RIGHT(AI$1,2),""),VLOOKUP($D151,素材!$1:$1016,COLUMN($F$1),FALSE))),VLOOKUP($C151,武器!$1:$998,COLUMN($O$1),FALSE)*VLOOKUP($D151,素材!$1:$1016,COLUMN($E$1),FALSE)/(LEN(VLOOKUP($D151,素材!$1:$1016,COLUMN($F$1),FALSE)) - LEN(SUBSTITUTE(VLOOKUP($D151,素材!$1:$1016,COLUMN($F$1),FALSE), "・", 0)) + 1), 0)</f>
        <v>0</v>
      </c>
      <c r="AJ151">
        <f>IF(ISNUMBER(SEARCH(SUBSTITUTE(AJ$1,RIGHT(AJ$1,2),""),VLOOKUP($D151,素材!$1:$1016,COLUMN($F$1),FALSE))),VLOOKUP($C151,武器!$1:$998,COLUMN($O$1),FALSE)*VLOOKUP($D151,素材!$1:$1016,COLUMN($E$1),FALSE)/(LEN(VLOOKUP($D151,素材!$1:$1016,COLUMN($F$1),FALSE)) - LEN(SUBSTITUTE(VLOOKUP($D151,素材!$1:$1016,COLUMN($F$1),FALSE), "・", 0)) + 1), 0)</f>
        <v>0</v>
      </c>
      <c r="AK151">
        <f>IF(ISNUMBER(SEARCH(SUBSTITUTE(AK$1,RIGHT(AK$1,2),""),VLOOKUP($D151,素材!$1:$1016,COLUMN($F$1),FALSE))),VLOOKUP($C151,武器!$1:$998,COLUMN($O$1),FALSE)*VLOOKUP($D151,素材!$1:$1016,COLUMN($E$1),FALSE)/(LEN(VLOOKUP($D151,素材!$1:$1016,COLUMN($F$1),FALSE)) - LEN(SUBSTITUTE(VLOOKUP($D151,素材!$1:$1016,COLUMN($F$1),FALSE), "・", 0)) + 1), 0)</f>
        <v>0</v>
      </c>
      <c r="AL151">
        <f>IF(ISNUMBER(SEARCH(SUBSTITUTE(AL$1,RIGHT(AL$1,2),""),VLOOKUP($D151,素材!$1:$1016,COLUMN($F$1),FALSE))),VLOOKUP($C151,武器!$1:$998,COLUMN($O$1),FALSE)*VLOOKUP($D151,素材!$1:$1016,COLUMN($E$1),FALSE)/(LEN(VLOOKUP($D151,素材!$1:$1016,COLUMN($F$1),FALSE)) - LEN(SUBSTITUTE(VLOOKUP($D151,素材!$1:$1016,COLUMN($F$1),FALSE), "・", 0)) + 1), 0)</f>
        <v>0</v>
      </c>
      <c r="AM151">
        <f>IF(ISNUMBER(SEARCH(SUBSTITUTE(AM$1,RIGHT(AM$1,2),""),VLOOKUP($D151,素材!$1:$1016,COLUMN($F$1),FALSE))),VLOOKUP($C151,武器!$1:$998,COLUMN($O$1),FALSE)*VLOOKUP($D151,素材!$1:$1016,COLUMN($E$1),FALSE)/(LEN(VLOOKUP($D151,素材!$1:$1016,COLUMN($F$1),FALSE)) - LEN(SUBSTITUTE(VLOOKUP($D151,素材!$1:$1016,COLUMN($F$1),FALSE), "・", 0)) + 1), 0)</f>
        <v>0</v>
      </c>
      <c r="AN151">
        <f>IF(ISNUMBER(SEARCH(SUBSTITUTE(AN$1,RIGHT(AN$1,2),""),VLOOKUP($D151,素材!$1:$1016,COLUMN($F$1),FALSE))),VLOOKUP($C151,武器!$1:$998,COLUMN($O$1),FALSE)*VLOOKUP($D151,素材!$1:$1016,COLUMN($E$1),FALSE)/(LEN(VLOOKUP($D151,素材!$1:$1016,COLUMN($F$1),FALSE)) - LEN(SUBSTITUTE(VLOOKUP($D151,素材!$1:$1016,COLUMN($F$1),FALSE), "・", 0)) + 1), 0)</f>
        <v>0</v>
      </c>
      <c r="AO151">
        <f>IF(ISNUMBER(SEARCH(SUBSTITUTE(AO$1,RIGHT(AO$1,2),""),VLOOKUP($D151,素材!$1:$1016,COLUMN($F$1),FALSE))),VLOOKUP($C151,武器!$1:$998,COLUMN($O$1),FALSE)*VLOOKUP($D151,素材!$1:$1016,COLUMN($E$1),FALSE)/(LEN(VLOOKUP($D151,素材!$1:$1016,COLUMN($F$1),FALSE)) - LEN(SUBSTITUTE(VLOOKUP($D151,素材!$1:$1016,COLUMN($F$1),FALSE), "・", 0)) + 1), 0)</f>
        <v>0</v>
      </c>
      <c r="AP151">
        <f>IF(ISNUMBER(SEARCH(SUBSTITUTE(AP$1,RIGHT(AP$1,2),""),VLOOKUP($D151,素材!$1:$1016,COLUMN($F$1),FALSE))),VLOOKUP($C151,武器!$1:$998,COLUMN($O$1),FALSE)*VLOOKUP($D151,素材!$1:$1016,COLUMN($E$1),FALSE)/(LEN(VLOOKUP($D151,素材!$1:$1016,COLUMN($F$1),FALSE)) - LEN(SUBSTITUTE(VLOOKUP($D151,素材!$1:$1016,COLUMN($F$1),FALSE), "・", 0)) + 1), 0)</f>
        <v>0</v>
      </c>
      <c r="AQ151">
        <f>IF(ISNUMBER(SEARCH(SUBSTITUTE(AQ$1,RIGHT(AQ$1,2),""),VLOOKUP($D151,素材!$1:$1016,COLUMN($F$1),FALSE))),VLOOKUP($C151,武器!$1:$998,COLUMN($O$1),FALSE)*VLOOKUP($D151,素材!$1:$1016,COLUMN($E$1),FALSE)/(LEN(VLOOKUP($D151,素材!$1:$1016,COLUMN($F$1),FALSE)) - LEN(SUBSTITUTE(VLOOKUP($D151,素材!$1:$1016,COLUMN($F$1),FALSE), "・", 0)) + 1), 0)</f>
        <v>0</v>
      </c>
      <c r="AR151">
        <f>IF(ISNUMBER(SEARCH(SUBSTITUTE(AR$1,RIGHT(AR$1,2),""),VLOOKUP($D151,素材!$1:$1016,COLUMN($F$1),FALSE))),VLOOKUP($C151,武器!$1:$998,COLUMN($O$1),FALSE)*VLOOKUP($D151,素材!$1:$1016,COLUMN($E$1),FALSE)/(LEN(VLOOKUP($D151,素材!$1:$1016,COLUMN($F$1),FALSE)) - LEN(SUBSTITUTE(VLOOKUP($D151,素材!$1:$1016,COLUMN($F$1),FALSE), "・", 0)) + 1), 0)</f>
        <v>0</v>
      </c>
      <c r="AS151">
        <f>IF(ISNUMBER(SEARCH(SUBSTITUTE(AS$1,RIGHT(AS$1,2),""),VLOOKUP($D151,素材!$1:$1016,COLUMN($F$1),FALSE))),VLOOKUP($C151,武器!$1:$998,COLUMN($O$1),FALSE)*VLOOKUP($D151,素材!$1:$1016,COLUMN($E$1),FALSE)/(LEN(VLOOKUP($D151,素材!$1:$1016,COLUMN($F$1),FALSE)) - LEN(SUBSTITUTE(VLOOKUP($D151,素材!$1:$1016,COLUMN($F$1),FALSE), "・", 0)) + 1), 0)</f>
        <v>0</v>
      </c>
      <c r="AT151">
        <f>IF(ISNUMBER(SEARCH(SUBSTITUTE(AT$1,RIGHT(AT$1,2),""),VLOOKUP($D151,素材!$1:$1016,COLUMN($F$1),FALSE))),VLOOKUP($C151,武器!$1:$998,COLUMN($O$1),FALSE)*VLOOKUP($D151,素材!$1:$1016,COLUMN($E$1),FALSE)/(LEN(VLOOKUP($D151,素材!$1:$1016,COLUMN($F$1),FALSE)) - LEN(SUBSTITUTE(VLOOKUP($D151,素材!$1:$1016,COLUMN($F$1),FALSE), "・", 0)) + 1), 0)</f>
        <v>0</v>
      </c>
      <c r="AU151">
        <f>IF(ISNUMBER(SEARCH(SUBSTITUTE(AU$1,RIGHT(AU$1,2),""),VLOOKUP($D151,素材!$1:$1016,COLUMN($F$1),FALSE))),VLOOKUP($C151,武器!$1:$998,COLUMN($O$1),FALSE)*VLOOKUP($D151,素材!$1:$1016,COLUMN($E$1),FALSE)/(LEN(VLOOKUP($D151,素材!$1:$1016,COLUMN($F$1),FALSE)) - LEN(SUBSTITUTE(VLOOKUP($D151,素材!$1:$1016,COLUMN($F$1),FALSE), "・", 0)) + 1), 0)</f>
        <v>0</v>
      </c>
      <c r="AV151">
        <f>IF(ISNUMBER(SEARCH(SUBSTITUTE(AV$1,RIGHT(AV$1,2),""),VLOOKUP($D151,素材!$1:$1016,COLUMN($F$1),FALSE))),VLOOKUP($C151,武器!$1:$998,COLUMN($O$1),FALSE)*VLOOKUP($D151,素材!$1:$1016,COLUMN($E$1),FALSE)/(LEN(VLOOKUP($D151,素材!$1:$1016,COLUMN($F$1),FALSE)) - LEN(SUBSTITUTE(VLOOKUP($D151,素材!$1:$1016,COLUMN($F$1),FALSE), "・", 0)) + 1), 0)</f>
        <v>0</v>
      </c>
      <c r="AW151">
        <f>IF(ISNUMBER(SEARCH(SUBSTITUTE(AW$1,RIGHT(AW$1,2),""),VLOOKUP($D151,素材!$1:$1016,COLUMN($F$1),FALSE))),VLOOKUP($C151,武器!$1:$998,COLUMN($O$1),FALSE)*VLOOKUP($D151,素材!$1:$1016,COLUMN($E$1),FALSE)/(LEN(VLOOKUP($D151,素材!$1:$1016,COLUMN($F$1),FALSE)) - LEN(SUBSTITUTE(VLOOKUP($D151,素材!$1:$1016,COLUMN($F$1),FALSE), "・", 0)) + 1), 0)</f>
        <v>0</v>
      </c>
      <c r="AX151">
        <f>IF(ISNUMBER(SEARCH(SUBSTITUTE(AX$1,RIGHT(AX$1,2),""),VLOOKUP($D151,素材!$1:$1016,COLUMN($F$1),FALSE))),VLOOKUP($C151,武器!$1:$998,COLUMN($O$1),FALSE)*VLOOKUP($D151,素材!$1:$1016,COLUMN($E$1),FALSE)/(LEN(VLOOKUP($D151,素材!$1:$1016,COLUMN($F$1),FALSE)) - LEN(SUBSTITUTE(VLOOKUP($D151,素材!$1:$1016,COLUMN($F$1),FALSE), "・", 0)) + 1), 0)</f>
        <v>0</v>
      </c>
      <c r="AY151">
        <f>IF(ISNUMBER(SEARCH(SUBSTITUTE(AY$1,RIGHT(AY$1,2),""),VLOOKUP($D151,素材!$1:$1016,COLUMN($F$1),FALSE))),VLOOKUP($C151,武器!$1:$998,COLUMN($O$1),FALSE)*VLOOKUP($D151,素材!$1:$1016,COLUMN($E$1),FALSE)/(LEN(VLOOKUP($D151,素材!$1:$1016,COLUMN($F$1),FALSE)) - LEN(SUBSTITUTE(VLOOKUP($D151,素材!$1:$1016,COLUMN($F$1),FALSE), "・", 0)) + 1), 0)</f>
        <v>0</v>
      </c>
      <c r="AZ151">
        <f>IF(ISNUMBER(SEARCH(SUBSTITUTE(AZ$1,RIGHT(AZ$1,2),""),VLOOKUP($D151,素材!$1:$1016,COLUMN($F$1),FALSE))),VLOOKUP($C151,武器!$1:$998,COLUMN($O$1),FALSE)*VLOOKUP($D151,素材!$1:$1016,COLUMN($E$1),FALSE)/(LEN(VLOOKUP($D151,素材!$1:$1016,COLUMN($F$1),FALSE)) - LEN(SUBSTITUTE(VLOOKUP($D151,素材!$1:$1016,COLUMN($F$1),FALSE), "・", 0)) + 1), 0)</f>
        <v>0</v>
      </c>
      <c r="BA151">
        <f>IF(ISNUMBER(SEARCH(SUBSTITUTE(BA$1,RIGHT(BA$1,2),""),VLOOKUP($D151,素材!$1:$1016,COLUMN($F$1),FALSE))),VLOOKUP($C151,武器!$1:$998,COLUMN($O$1),FALSE)*VLOOKUP($D151,素材!$1:$1016,COLUMN($E$1),FALSE)/(LEN(VLOOKUP($D151,素材!$1:$1016,COLUMN($F$1),FALSE)) - LEN(SUBSTITUTE(VLOOKUP($D151,素材!$1:$1016,COLUMN($F$1),FALSE), "・", 0)) + 1), 0)</f>
        <v>0</v>
      </c>
      <c r="BB151">
        <f>IF(ISNUMBER(SEARCH(SUBSTITUTE(BB$1,RIGHT(BB$1,2),""),VLOOKUP($D151,素材!$1:$1016,COLUMN($F$1),FALSE))),VLOOKUP($C151,武器!$1:$998,COLUMN($O$1),FALSE)*VLOOKUP($D151,素材!$1:$1016,COLUMN($E$1),FALSE)/(LEN(VLOOKUP($D151,素材!$1:$1016,COLUMN($F$1),FALSE)) - LEN(SUBSTITUTE(VLOOKUP($D151,素材!$1:$1016,COLUMN($F$1),FALSE), "・", 0)) + 1), 0)</f>
        <v>0</v>
      </c>
      <c r="BC151">
        <f>IF(ISNUMBER(SEARCH(SUBSTITUTE(BC$1,RIGHT(BC$1,2),""),VLOOKUP($D151,素材!$1:$1016,COLUMN($F$1),FALSE))),VLOOKUP($C151,武器!$1:$998,COLUMN($O$1),FALSE)*VLOOKUP($D151,素材!$1:$1016,COLUMN($E$1),FALSE)/(LEN(VLOOKUP($D151,素材!$1:$1016,COLUMN($F$1),FALSE)) - LEN(SUBSTITUTE(VLOOKUP($D151,素材!$1:$1016,COLUMN($F$1),FALSE), "・", 0)) + 1), 0)</f>
        <v>0</v>
      </c>
      <c r="BD151">
        <f>IF(ISNUMBER(SEARCH(SUBSTITUTE(BD$1,RIGHT(BD$1,2),""),VLOOKUP($D151,素材!$1:$1016,COLUMN($F$1),FALSE))),VLOOKUP($C151,武器!$1:$998,COLUMN($O$1),FALSE)*VLOOKUP($D151,素材!$1:$1016,COLUMN($E$1),FALSE)/(LEN(VLOOKUP($D151,素材!$1:$1016,COLUMN($F$1),FALSE)) - LEN(SUBSTITUTE(VLOOKUP($D151,素材!$1:$1016,COLUMN($F$1),FALSE), "・", 0)) + 1), 0)</f>
        <v>0</v>
      </c>
      <c r="BE151">
        <f>IF(ISNUMBER(SEARCH(SUBSTITUTE(BE$1,RIGHT(BE$1,2),""),VLOOKUP($D151,素材!$1:$1016,COLUMN($F$1),FALSE))),VLOOKUP($C151,武器!$1:$998,COLUMN($O$1),FALSE)*VLOOKUP($D151,素材!$1:$1016,COLUMN($E$1),FALSE)/(LEN(VLOOKUP($D151,素材!$1:$1016,COLUMN($F$1),FALSE)) - LEN(SUBSTITUTE(VLOOKUP($D151,素材!$1:$1016,COLUMN($F$1),FALSE), "・", 0)) + 1), 0)</f>
        <v>0</v>
      </c>
      <c r="CL151">
        <f>SUM(G151:I151)</f>
        <v>0</v>
      </c>
      <c r="CM151" s="22" t="str">
        <f>IF(E151="武器",IF(J151-1&gt;SUM(G151:I151),"盾",IF(MAX(G151:I151)=G151,"切断",IF(MAX(G151:I151)=H151,"貫通",IF(MAX(G151:I151)=I151,"打撃","射撃")))),E151)&amp;".webp"</f>
        <v>体.webp</v>
      </c>
      <c r="CN151">
        <f>IFERROR(VLOOKUP($C151,武器!$1:$998,COLUMN(V$1),FALSE)*VLOOKUP($D151,素材!$1:$1016,COLUMN(N$1),FALSE)+IF(CI151="",0,VLOOKUP($CI151,装強!$1:$1008,COLUMN($CK$1),FALSE)),"")</f>
        <v>11000</v>
      </c>
      <c r="CO151" t="str">
        <f>VLOOKUP(D151,素材!$A:$O,COLUMN(素材!O$1),FALSE)</f>
        <v>炎属性を持つドラゴン型生物から採取される鱗素材。強力な炎属性防御を備えており、耐熱性が求められる場面で特に有用です。</v>
      </c>
      <c r="CP151" t="str">
        <f>VLOOKUP(C151,武器!$A:$W,COLUMN(武器!W$1),FALSE)</f>
        <v>HP 物理 魔法 体幹 出血 疲労 Cr</v>
      </c>
      <c r="CR151" t="str">
        <f t="shared" si="18"/>
        <v>e_151</v>
      </c>
      <c r="CS151">
        <f t="shared" si="22"/>
        <v>1100000</v>
      </c>
    </row>
    <row r="152" spans="1:97" outlineLevel="1" x14ac:dyDescent="0.4">
      <c r="A152" t="str">
        <f t="shared" si="17"/>
        <v>炎蜥蜴の鱗の法衣</v>
      </c>
      <c r="B152" t="str">
        <f>IFERROR(VLOOKUP($D152,素材!$1:$1016,COLUMN($B$1),FALSE)&amp;"・"&amp;VLOOKUP($C152,武器!$1:$998,COLUMN(B$1),FALSE),"")</f>
        <v>ファイアドレイクスケール・ローブ</v>
      </c>
      <c r="C152" t="s">
        <v>246</v>
      </c>
      <c r="D152" s="24" t="s">
        <v>245</v>
      </c>
      <c r="E152" t="str">
        <f>IFERROR(VLOOKUP(C152,武器!$1:$998,COLUMN(C$1),FALSE),"")</f>
        <v>体</v>
      </c>
      <c r="F152">
        <f>IFERROR(ROUNDDOWN((VLOOKUP($C152,武器!$1:$998,COLUMN(D$1),FALSE)+IFERROR(VLOOKUP($CI152,装強!$1:$999,COLUMN(F$1),FALSE),0))*VLOOKUP($D152,素材!$1:$1016,COLUMN(D$1),FALSE),0),"")</f>
        <v>0</v>
      </c>
      <c r="G152">
        <f>IFERROR(ROUNDDOWN((VLOOKUP($C152,武器!$1:$998,COLUMN(E$1),FALSE)+IFERROR(VLOOKUP($CI152,装強!$1:$999,COLUMN(G$1),FALSE),0))*VLOOKUP($D152,素材!$1:$1016,COLUMN($E$1),FALSE),0),"")</f>
        <v>0</v>
      </c>
      <c r="H152">
        <f>IFERROR(ROUNDDOWN((VLOOKUP($C152,武器!$1:$998,COLUMN(F$1),FALSE)+IFERROR(VLOOKUP($CI152,装強!$1:$999,COLUMN(H$1),FALSE),0))*VLOOKUP($D152,素材!$1:$1016,COLUMN($E$1),FALSE),0),"")</f>
        <v>0</v>
      </c>
      <c r="I152">
        <f>IFERROR(ROUNDDOWN((VLOOKUP($C152,武器!$1:$998,COLUMN(G$1),FALSE)+IFERROR(VLOOKUP($CI152,装強!$1:$999,COLUMN(I$1),FALSE),0))*VLOOKUP($D152,素材!$1:$1016,COLUMN($E$1),FALSE),0),"")</f>
        <v>0</v>
      </c>
      <c r="J152">
        <f>IFERROR(ROUNDDOWN((VLOOKUP($C152,武器!$1:$998,COLUMN(H$1),FALSE)+IFERROR(VLOOKUP($CI152,装強!$1:$999,COLUMN(J$1),FALSE),0))*VLOOKUP($D152,素材!$1:$1016,COLUMN($E$1),FALSE),0),"")</f>
        <v>0</v>
      </c>
      <c r="K152">
        <f>IFERROR(ROUNDDOWN((VLOOKUP($C152,武器!$1:$998,COLUMN(I$1),FALSE)+IFERROR(VLOOKUP($CI152,装強!$1:$999,COLUMN(K$1),FALSE),0))*VLOOKUP($D152,素材!$1:$1016,COLUMN($E$1),FALSE),0),"")</f>
        <v>0</v>
      </c>
      <c r="L152" t="str">
        <f>IFERROR(VLOOKUP($D152,素材!$1:$1016,COLUMN($F$1),FALSE),"")</f>
        <v>炎</v>
      </c>
      <c r="M152">
        <f>IFERROR(VLOOKUP($C152,武器!$1:$998,COLUMN(AA$1),FALSE)*VLOOKUP($D152,素材!$1:$1016,COLUMN($G$1),FALSE),"")</f>
        <v>0</v>
      </c>
      <c r="N152">
        <f>IFERROR(VLOOKUP($C152,武器!$1:$998,COLUMN(I$1),FALSE),"")</f>
        <v>0</v>
      </c>
      <c r="O152" s="23" t="str">
        <f>IFERROR((VLOOKUP($C152,武器!$1:$998,COLUMN(K$1),FALSE)+VLOOKUP($D152,素材!$1:$1016,COLUMN(H$1),FALSE))*100+IFERROR(VLOOKUP($CI152,装強!$1:$999,COLUMN(O$1),FALSE),0),"")</f>
        <v/>
      </c>
      <c r="P152" s="23" t="str">
        <f>IFERROR((VLOOKUP($C152,武器!$1:$998,COLUMN(L$1),FALSE)+VLOOKUP($D152,素材!$1:$1016,COLUMN(I$1),FALSE))*100+IFERROR(VLOOKUP($CI152,装強!$1:$999,COLUMN(P$1),FALSE),0),"")</f>
        <v/>
      </c>
      <c r="Q152">
        <f>IFERROR(ROUNDUP(VLOOKUP($C152,武器!$1:$998,COLUMN(M$1),FALSE)*(VLOOKUP($D152,素材!$1:$1002,COLUMN(D$1),FALSE)/100),1),"")</f>
        <v>0</v>
      </c>
      <c r="R152">
        <f>IFERROR(ROUNDUP(VLOOKUP($C152,武器!$1:$998,COLUMN(N$1),FALSE)*(VLOOKUP($D152,素材!$1:$1002,COLUMN(D$1),FALSE)/100),1),"")</f>
        <v>0</v>
      </c>
      <c r="S152">
        <f>IFERROR(VLOOKUP($C152,武器!$1:$998,COLUMN(P$1),FALSE),"")</f>
        <v>0</v>
      </c>
      <c r="T152">
        <f>IFERROR(VLOOKUP($C152,武器!$1:$998,COLUMN(Q$1),FALSE),"")</f>
        <v>0</v>
      </c>
      <c r="U152">
        <f>IFERROR(VLOOKUP($C152,武器!$1:$998,COLUMN(R$1),FALSE),"")</f>
        <v>0</v>
      </c>
      <c r="V152">
        <f>IFERROR(VLOOKUP($C152,武器!$1:$998,COLUMN(Q$1),FALSE),"")</f>
        <v>0</v>
      </c>
      <c r="W152">
        <f>IFERROR(VLOOKUP($C152,武器!$1:$998,COLUMN(T$1),FALSE),"")</f>
        <v>0</v>
      </c>
      <c r="Y152">
        <f>IFERROR(VLOOKUP($C152,武器!$1:$998,COLUMN(U$1),FALSE),"")</f>
        <v>0</v>
      </c>
      <c r="Z152">
        <f>IFERROR(ROUNDUP(VLOOKUP($C152,武器!$1:$998,COLUMN(O$1),FALSE)*VLOOKUP($D152,素材!$1:$1016,COLUMN(E$1),FALSE),1),"")</f>
        <v>5</v>
      </c>
      <c r="AA152">
        <f>IF(ISNUMBER(SEARCH(SUBSTITUTE(AA$1,RIGHT(AA$1,2),""),VLOOKUP($D152,素材!$1:$1016,COLUMN($F$1),FALSE))),VLOOKUP($C152,武器!$1:$998,COLUMN($O$1),FALSE)*VLOOKUP($D152,素材!$1:$1016,COLUMN($E$1),FALSE)/(LEN(VLOOKUP($D152,素材!$1:$1016,COLUMN($F$1),FALSE)) - LEN(SUBSTITUTE(VLOOKUP($D152,素材!$1:$1016,COLUMN($F$1),FALSE), "・", 0)) + 1), 0)</f>
        <v>0</v>
      </c>
      <c r="AB152">
        <f>IF(ISNUMBER(SEARCH(SUBSTITUTE(AB$1,RIGHT(AB$1,2),""),VLOOKUP($D152,素材!$1:$1016,COLUMN($F$1),FALSE))),VLOOKUP($C152,武器!$1:$998,COLUMN($O$1),FALSE)*VLOOKUP($D152,素材!$1:$1016,COLUMN($E$1),FALSE)/(LEN(VLOOKUP($D152,素材!$1:$1016,COLUMN($F$1),FALSE)) - LEN(SUBSTITUTE(VLOOKUP($D152,素材!$1:$1016,COLUMN($F$1),FALSE), "・", 0)) + 1), 0)</f>
        <v>0</v>
      </c>
      <c r="AC152">
        <f>IF(ISNUMBER(SEARCH(SUBSTITUTE(AC$1,RIGHT(AC$1,2),""),VLOOKUP($D152,素材!$1:$1016,COLUMN($F$1),FALSE))),VLOOKUP($C152,武器!$1:$998,COLUMN($O$1),FALSE)*VLOOKUP($D152,素材!$1:$1016,COLUMN($E$1),FALSE)/(LEN(VLOOKUP($D152,素材!$1:$1016,COLUMN($F$1),FALSE)) - LEN(SUBSTITUTE(VLOOKUP($D152,素材!$1:$1016,COLUMN($F$1),FALSE), "・", 0)) + 1), 0)</f>
        <v>0</v>
      </c>
      <c r="AD152">
        <f>IF(ISNUMBER(SEARCH(SUBSTITUTE(AD$1,RIGHT(AD$1,2),""),VLOOKUP($D152,素材!$1:$1016,COLUMN($F$1),FALSE))),VLOOKUP($C152,武器!$1:$998,COLUMN($O$1),FALSE)*VLOOKUP($D152,素材!$1:$1016,COLUMN($E$1),FALSE)/(LEN(VLOOKUP($D152,素材!$1:$1016,COLUMN($F$1),FALSE)) - LEN(SUBSTITUTE(VLOOKUP($D152,素材!$1:$1016,COLUMN($F$1),FALSE), "・", 0)) + 1), 0)</f>
        <v>0</v>
      </c>
      <c r="AE152">
        <f>IF(ISNUMBER(SEARCH(SUBSTITUTE(AE$1,RIGHT(AE$1,2),""),VLOOKUP($D152,素材!$1:$1016,COLUMN($F$1),FALSE))),VLOOKUP($C152,武器!$1:$998,COLUMN($O$1),FALSE)*VLOOKUP($D152,素材!$1:$1016,COLUMN($E$1),FALSE)/(LEN(VLOOKUP($D152,素材!$1:$1016,COLUMN($F$1),FALSE)) - LEN(SUBSTITUTE(VLOOKUP($D152,素材!$1:$1016,COLUMN($F$1),FALSE), "・", 0)) + 1), 0)</f>
        <v>5</v>
      </c>
      <c r="AF152">
        <f>IF(ISNUMBER(SEARCH(SUBSTITUTE(AF$1,RIGHT(AF$1,2),""),VLOOKUP($D152,素材!$1:$1016,COLUMN($F$1),FALSE))),VLOOKUP($C152,武器!$1:$998,COLUMN($O$1),FALSE)*VLOOKUP($D152,素材!$1:$1016,COLUMN($E$1),FALSE)/(LEN(VLOOKUP($D152,素材!$1:$1016,COLUMN($F$1),FALSE)) - LEN(SUBSTITUTE(VLOOKUP($D152,素材!$1:$1016,COLUMN($F$1),FALSE), "・", 0)) + 1), 0)</f>
        <v>0</v>
      </c>
      <c r="AG152">
        <f>IF(ISNUMBER(SEARCH(SUBSTITUTE(AG$1,RIGHT(AG$1,2),""),VLOOKUP($D152,素材!$1:$1016,COLUMN($F$1),FALSE))),VLOOKUP($C152,武器!$1:$998,COLUMN($O$1),FALSE)*VLOOKUP($D152,素材!$1:$1016,COLUMN($E$1),FALSE)/(LEN(VLOOKUP($D152,素材!$1:$1016,COLUMN($F$1),FALSE)) - LEN(SUBSTITUTE(VLOOKUP($D152,素材!$1:$1016,COLUMN($F$1),FALSE), "・", 0)) + 1), 0)</f>
        <v>0</v>
      </c>
      <c r="AH152">
        <f>IF(ISNUMBER(SEARCH(SUBSTITUTE(AH$1,RIGHT(AH$1,2),""),VLOOKUP($D152,素材!$1:$1016,COLUMN($F$1),FALSE))),VLOOKUP($C152,武器!$1:$998,COLUMN($O$1),FALSE)*VLOOKUP($D152,素材!$1:$1016,COLUMN($E$1),FALSE)/(LEN(VLOOKUP($D152,素材!$1:$1016,COLUMN($F$1),FALSE)) - LEN(SUBSTITUTE(VLOOKUP($D152,素材!$1:$1016,COLUMN($F$1),FALSE), "・", 0)) + 1), 0)</f>
        <v>0</v>
      </c>
      <c r="AI152">
        <f>IF(ISNUMBER(SEARCH(SUBSTITUTE(AI$1,RIGHT(AI$1,2),""),VLOOKUP($D152,素材!$1:$1016,COLUMN($F$1),FALSE))),VLOOKUP($C152,武器!$1:$998,COLUMN($O$1),FALSE)*VLOOKUP($D152,素材!$1:$1016,COLUMN($E$1),FALSE)/(LEN(VLOOKUP($D152,素材!$1:$1016,COLUMN($F$1),FALSE)) - LEN(SUBSTITUTE(VLOOKUP($D152,素材!$1:$1016,COLUMN($F$1),FALSE), "・", 0)) + 1), 0)</f>
        <v>0</v>
      </c>
      <c r="AJ152">
        <f>IF(ISNUMBER(SEARCH(SUBSTITUTE(AJ$1,RIGHT(AJ$1,2),""),VLOOKUP($D152,素材!$1:$1016,COLUMN($F$1),FALSE))),VLOOKUP($C152,武器!$1:$998,COLUMN($O$1),FALSE)*VLOOKUP($D152,素材!$1:$1016,COLUMN($E$1),FALSE)/(LEN(VLOOKUP($D152,素材!$1:$1016,COLUMN($F$1),FALSE)) - LEN(SUBSTITUTE(VLOOKUP($D152,素材!$1:$1016,COLUMN($F$1),FALSE), "・", 0)) + 1), 0)</f>
        <v>0</v>
      </c>
      <c r="AK152">
        <f>IF(ISNUMBER(SEARCH(SUBSTITUTE(AK$1,RIGHT(AK$1,2),""),VLOOKUP($D152,素材!$1:$1016,COLUMN($F$1),FALSE))),VLOOKUP($C152,武器!$1:$998,COLUMN($O$1),FALSE)*VLOOKUP($D152,素材!$1:$1016,COLUMN($E$1),FALSE)/(LEN(VLOOKUP($D152,素材!$1:$1016,COLUMN($F$1),FALSE)) - LEN(SUBSTITUTE(VLOOKUP($D152,素材!$1:$1016,COLUMN($F$1),FALSE), "・", 0)) + 1), 0)</f>
        <v>0</v>
      </c>
      <c r="AL152">
        <f>IF(ISNUMBER(SEARCH(SUBSTITUTE(AL$1,RIGHT(AL$1,2),""),VLOOKUP($D152,素材!$1:$1016,COLUMN($F$1),FALSE))),VLOOKUP($C152,武器!$1:$998,COLUMN($O$1),FALSE)*VLOOKUP($D152,素材!$1:$1016,COLUMN($E$1),FALSE)/(LEN(VLOOKUP($D152,素材!$1:$1016,COLUMN($F$1),FALSE)) - LEN(SUBSTITUTE(VLOOKUP($D152,素材!$1:$1016,COLUMN($F$1),FALSE), "・", 0)) + 1), 0)</f>
        <v>0</v>
      </c>
      <c r="AM152">
        <f>IF(ISNUMBER(SEARCH(SUBSTITUTE(AM$1,RIGHT(AM$1,2),""),VLOOKUP($D152,素材!$1:$1016,COLUMN($F$1),FALSE))),VLOOKUP($C152,武器!$1:$998,COLUMN($O$1),FALSE)*VLOOKUP($D152,素材!$1:$1016,COLUMN($E$1),FALSE)/(LEN(VLOOKUP($D152,素材!$1:$1016,COLUMN($F$1),FALSE)) - LEN(SUBSTITUTE(VLOOKUP($D152,素材!$1:$1016,COLUMN($F$1),FALSE), "・", 0)) + 1), 0)</f>
        <v>0</v>
      </c>
      <c r="AN152">
        <f>IF(ISNUMBER(SEARCH(SUBSTITUTE(AN$1,RIGHT(AN$1,2),""),VLOOKUP($D152,素材!$1:$1016,COLUMN($F$1),FALSE))),VLOOKUP($C152,武器!$1:$998,COLUMN($O$1),FALSE)*VLOOKUP($D152,素材!$1:$1016,COLUMN($E$1),FALSE)/(LEN(VLOOKUP($D152,素材!$1:$1016,COLUMN($F$1),FALSE)) - LEN(SUBSTITUTE(VLOOKUP($D152,素材!$1:$1016,COLUMN($F$1),FALSE), "・", 0)) + 1), 0)</f>
        <v>0</v>
      </c>
      <c r="AO152">
        <f>IF(ISNUMBER(SEARCH(SUBSTITUTE(AO$1,RIGHT(AO$1,2),""),VLOOKUP($D152,素材!$1:$1016,COLUMN($F$1),FALSE))),VLOOKUP($C152,武器!$1:$998,COLUMN($O$1),FALSE)*VLOOKUP($D152,素材!$1:$1016,COLUMN($E$1),FALSE)/(LEN(VLOOKUP($D152,素材!$1:$1016,COLUMN($F$1),FALSE)) - LEN(SUBSTITUTE(VLOOKUP($D152,素材!$1:$1016,COLUMN($F$1),FALSE), "・", 0)) + 1), 0)</f>
        <v>0</v>
      </c>
      <c r="AP152">
        <f>IF(ISNUMBER(SEARCH(SUBSTITUTE(AP$1,RIGHT(AP$1,2),""),VLOOKUP($D152,素材!$1:$1016,COLUMN($F$1),FALSE))),VLOOKUP($C152,武器!$1:$998,COLUMN($O$1),FALSE)*VLOOKUP($D152,素材!$1:$1016,COLUMN($E$1),FALSE)/(LEN(VLOOKUP($D152,素材!$1:$1016,COLUMN($F$1),FALSE)) - LEN(SUBSTITUTE(VLOOKUP($D152,素材!$1:$1016,COLUMN($F$1),FALSE), "・", 0)) + 1), 0)</f>
        <v>0</v>
      </c>
      <c r="AQ152">
        <f>IF(ISNUMBER(SEARCH(SUBSTITUTE(AQ$1,RIGHT(AQ$1,2),""),VLOOKUP($D152,素材!$1:$1016,COLUMN($F$1),FALSE))),VLOOKUP($C152,武器!$1:$998,COLUMN($O$1),FALSE)*VLOOKUP($D152,素材!$1:$1016,COLUMN($E$1),FALSE)/(LEN(VLOOKUP($D152,素材!$1:$1016,COLUMN($F$1),FALSE)) - LEN(SUBSTITUTE(VLOOKUP($D152,素材!$1:$1016,COLUMN($F$1),FALSE), "・", 0)) + 1), 0)</f>
        <v>0</v>
      </c>
      <c r="AR152">
        <f>IF(ISNUMBER(SEARCH(SUBSTITUTE(AR$1,RIGHT(AR$1,2),""),VLOOKUP($D152,素材!$1:$1016,COLUMN($F$1),FALSE))),VLOOKUP($C152,武器!$1:$998,COLUMN($O$1),FALSE)*VLOOKUP($D152,素材!$1:$1016,COLUMN($E$1),FALSE)/(LEN(VLOOKUP($D152,素材!$1:$1016,COLUMN($F$1),FALSE)) - LEN(SUBSTITUTE(VLOOKUP($D152,素材!$1:$1016,COLUMN($F$1),FALSE), "・", 0)) + 1), 0)</f>
        <v>0</v>
      </c>
      <c r="AS152">
        <f>IF(ISNUMBER(SEARCH(SUBSTITUTE(AS$1,RIGHT(AS$1,2),""),VLOOKUP($D152,素材!$1:$1016,COLUMN($F$1),FALSE))),VLOOKUP($C152,武器!$1:$998,COLUMN($O$1),FALSE)*VLOOKUP($D152,素材!$1:$1016,COLUMN($E$1),FALSE)/(LEN(VLOOKUP($D152,素材!$1:$1016,COLUMN($F$1),FALSE)) - LEN(SUBSTITUTE(VLOOKUP($D152,素材!$1:$1016,COLUMN($F$1),FALSE), "・", 0)) + 1), 0)</f>
        <v>0</v>
      </c>
      <c r="AT152">
        <f>IF(ISNUMBER(SEARCH(SUBSTITUTE(AT$1,RIGHT(AT$1,2),""),VLOOKUP($D152,素材!$1:$1016,COLUMN($F$1),FALSE))),VLOOKUP($C152,武器!$1:$998,COLUMN($O$1),FALSE)*VLOOKUP($D152,素材!$1:$1016,COLUMN($E$1),FALSE)/(LEN(VLOOKUP($D152,素材!$1:$1016,COLUMN($F$1),FALSE)) - LEN(SUBSTITUTE(VLOOKUP($D152,素材!$1:$1016,COLUMN($F$1),FALSE), "・", 0)) + 1), 0)</f>
        <v>0</v>
      </c>
      <c r="AU152">
        <f>IF(ISNUMBER(SEARCH(SUBSTITUTE(AU$1,RIGHT(AU$1,2),""),VLOOKUP($D152,素材!$1:$1016,COLUMN($F$1),FALSE))),VLOOKUP($C152,武器!$1:$998,COLUMN($O$1),FALSE)*VLOOKUP($D152,素材!$1:$1016,COLUMN($E$1),FALSE)/(LEN(VLOOKUP($D152,素材!$1:$1016,COLUMN($F$1),FALSE)) - LEN(SUBSTITUTE(VLOOKUP($D152,素材!$1:$1016,COLUMN($F$1),FALSE), "・", 0)) + 1), 0)</f>
        <v>0</v>
      </c>
      <c r="AV152">
        <f>IF(ISNUMBER(SEARCH(SUBSTITUTE(AV$1,RIGHT(AV$1,2),""),VLOOKUP($D152,素材!$1:$1016,COLUMN($F$1),FALSE))),VLOOKUP($C152,武器!$1:$998,COLUMN($O$1),FALSE)*VLOOKUP($D152,素材!$1:$1016,COLUMN($E$1),FALSE)/(LEN(VLOOKUP($D152,素材!$1:$1016,COLUMN($F$1),FALSE)) - LEN(SUBSTITUTE(VLOOKUP($D152,素材!$1:$1016,COLUMN($F$1),FALSE), "・", 0)) + 1), 0)</f>
        <v>0</v>
      </c>
      <c r="AW152">
        <f>IF(ISNUMBER(SEARCH(SUBSTITUTE(AW$1,RIGHT(AW$1,2),""),VLOOKUP($D152,素材!$1:$1016,COLUMN($F$1),FALSE))),VLOOKUP($C152,武器!$1:$998,COLUMN($O$1),FALSE)*VLOOKUP($D152,素材!$1:$1016,COLUMN($E$1),FALSE)/(LEN(VLOOKUP($D152,素材!$1:$1016,COLUMN($F$1),FALSE)) - LEN(SUBSTITUTE(VLOOKUP($D152,素材!$1:$1016,COLUMN($F$1),FALSE), "・", 0)) + 1), 0)</f>
        <v>0</v>
      </c>
      <c r="AX152">
        <f>IF(ISNUMBER(SEARCH(SUBSTITUTE(AX$1,RIGHT(AX$1,2),""),VLOOKUP($D152,素材!$1:$1016,COLUMN($F$1),FALSE))),VLOOKUP($C152,武器!$1:$998,COLUMN($O$1),FALSE)*VLOOKUP($D152,素材!$1:$1016,COLUMN($E$1),FALSE)/(LEN(VLOOKUP($D152,素材!$1:$1016,COLUMN($F$1),FALSE)) - LEN(SUBSTITUTE(VLOOKUP($D152,素材!$1:$1016,COLUMN($F$1),FALSE), "・", 0)) + 1), 0)</f>
        <v>0</v>
      </c>
      <c r="AY152">
        <f>IF(ISNUMBER(SEARCH(SUBSTITUTE(AY$1,RIGHT(AY$1,2),""),VLOOKUP($D152,素材!$1:$1016,COLUMN($F$1),FALSE))),VLOOKUP($C152,武器!$1:$998,COLUMN($O$1),FALSE)*VLOOKUP($D152,素材!$1:$1016,COLUMN($E$1),FALSE)/(LEN(VLOOKUP($D152,素材!$1:$1016,COLUMN($F$1),FALSE)) - LEN(SUBSTITUTE(VLOOKUP($D152,素材!$1:$1016,COLUMN($F$1),FALSE), "・", 0)) + 1), 0)</f>
        <v>0</v>
      </c>
      <c r="AZ152">
        <f>IF(ISNUMBER(SEARCH(SUBSTITUTE(AZ$1,RIGHT(AZ$1,2),""),VLOOKUP($D152,素材!$1:$1016,COLUMN($F$1),FALSE))),VLOOKUP($C152,武器!$1:$998,COLUMN($O$1),FALSE)*VLOOKUP($D152,素材!$1:$1016,COLUMN($E$1),FALSE)/(LEN(VLOOKUP($D152,素材!$1:$1016,COLUMN($F$1),FALSE)) - LEN(SUBSTITUTE(VLOOKUP($D152,素材!$1:$1016,COLUMN($F$1),FALSE), "・", 0)) + 1), 0)</f>
        <v>0</v>
      </c>
      <c r="BA152">
        <f>IF(ISNUMBER(SEARCH(SUBSTITUTE(BA$1,RIGHT(BA$1,2),""),VLOOKUP($D152,素材!$1:$1016,COLUMN($F$1),FALSE))),VLOOKUP($C152,武器!$1:$998,COLUMN($O$1),FALSE)*VLOOKUP($D152,素材!$1:$1016,COLUMN($E$1),FALSE)/(LEN(VLOOKUP($D152,素材!$1:$1016,COLUMN($F$1),FALSE)) - LEN(SUBSTITUTE(VLOOKUP($D152,素材!$1:$1016,COLUMN($F$1),FALSE), "・", 0)) + 1), 0)</f>
        <v>0</v>
      </c>
      <c r="BB152">
        <f>IF(ISNUMBER(SEARCH(SUBSTITUTE(BB$1,RIGHT(BB$1,2),""),VLOOKUP($D152,素材!$1:$1016,COLUMN($F$1),FALSE))),VLOOKUP($C152,武器!$1:$998,COLUMN($O$1),FALSE)*VLOOKUP($D152,素材!$1:$1016,COLUMN($E$1),FALSE)/(LEN(VLOOKUP($D152,素材!$1:$1016,COLUMN($F$1),FALSE)) - LEN(SUBSTITUTE(VLOOKUP($D152,素材!$1:$1016,COLUMN($F$1),FALSE), "・", 0)) + 1), 0)</f>
        <v>0</v>
      </c>
      <c r="BC152">
        <f>IF(ISNUMBER(SEARCH(SUBSTITUTE(BC$1,RIGHT(BC$1,2),""),VLOOKUP($D152,素材!$1:$1016,COLUMN($F$1),FALSE))),VLOOKUP($C152,武器!$1:$998,COLUMN($O$1),FALSE)*VLOOKUP($D152,素材!$1:$1016,COLUMN($E$1),FALSE)/(LEN(VLOOKUP($D152,素材!$1:$1016,COLUMN($F$1),FALSE)) - LEN(SUBSTITUTE(VLOOKUP($D152,素材!$1:$1016,COLUMN($F$1),FALSE), "・", 0)) + 1), 0)</f>
        <v>0</v>
      </c>
      <c r="BD152">
        <f>IF(ISNUMBER(SEARCH(SUBSTITUTE(BD$1,RIGHT(BD$1,2),""),VLOOKUP($D152,素材!$1:$1016,COLUMN($F$1),FALSE))),VLOOKUP($C152,武器!$1:$998,COLUMN($O$1),FALSE)*VLOOKUP($D152,素材!$1:$1016,COLUMN($E$1),FALSE)/(LEN(VLOOKUP($D152,素材!$1:$1016,COLUMN($F$1),FALSE)) - LEN(SUBSTITUTE(VLOOKUP($D152,素材!$1:$1016,COLUMN($F$1),FALSE), "・", 0)) + 1), 0)</f>
        <v>0</v>
      </c>
      <c r="BE152">
        <f>IF(ISNUMBER(SEARCH(SUBSTITUTE(BE$1,RIGHT(BE$1,2),""),VLOOKUP($D152,素材!$1:$1016,COLUMN($F$1),FALSE))),VLOOKUP($C152,武器!$1:$998,COLUMN($O$1),FALSE)*VLOOKUP($D152,素材!$1:$1016,COLUMN($E$1),FALSE)/(LEN(VLOOKUP($D152,素材!$1:$1016,COLUMN($F$1),FALSE)) - LEN(SUBSTITUTE(VLOOKUP($D152,素材!$1:$1016,COLUMN($F$1),FALSE), "・", 0)) + 1), 0)</f>
        <v>0</v>
      </c>
      <c r="CL152">
        <f>SUM(G152:I152)</f>
        <v>0</v>
      </c>
      <c r="CM152" s="22" t="str">
        <f>IF(E152="武器",IF(J152-1&gt;SUM(G152:I152),"盾",IF(MAX(G152:I152)=G152,"切断",IF(MAX(G152:I152)=H152,"貫通",IF(MAX(G152:I152)=I152,"打撃","射撃")))),E152)&amp;".webp"</f>
        <v>体.webp</v>
      </c>
      <c r="CN152">
        <f>IFERROR(VLOOKUP($C152,武器!$1:$998,COLUMN(V$1),FALSE)*VLOOKUP($D152,素材!$1:$1016,COLUMN(N$1),FALSE)+IF(CI152="",0,VLOOKUP($CI152,装強!$1:$1008,COLUMN($CK$1),FALSE)),"")</f>
        <v>11000</v>
      </c>
      <c r="CO152" t="str">
        <f>VLOOKUP(D152,素材!$A:$O,COLUMN(素材!O$1),FALSE)</f>
        <v>炎属性を持つドラゴン型生物から採取される鱗素材。強力な炎属性防御を備えており、耐熱性が求められる場面で特に有用です。</v>
      </c>
      <c r="CP152" t="str">
        <f>VLOOKUP(C152,武器!$A:$W,COLUMN(武器!W$1),FALSE)</f>
        <v>HP 物理 魔法 体幹 出血 疲労 Cr</v>
      </c>
      <c r="CR152" t="str">
        <f t="shared" si="18"/>
        <v>e_152</v>
      </c>
      <c r="CS152">
        <f t="shared" si="22"/>
        <v>1100000</v>
      </c>
    </row>
    <row r="153" spans="1:97" outlineLevel="1" x14ac:dyDescent="0.4">
      <c r="A153" t="str">
        <f t="shared" si="17"/>
        <v>炎蜥蜴の鱗の鎧</v>
      </c>
      <c r="B153" t="str">
        <f>IFERROR(VLOOKUP($D153,素材!$1:$1016,COLUMN($B$1),FALSE)&amp;"・"&amp;VLOOKUP($C153,武器!$1:$998,COLUMN(B$1),FALSE),"")</f>
        <v>ファイアドレイクスケール・アーマー</v>
      </c>
      <c r="C153" t="s">
        <v>208</v>
      </c>
      <c r="D153" s="24" t="s">
        <v>245</v>
      </c>
      <c r="E153" t="str">
        <f>IFERROR(VLOOKUP(C153,武器!$1:$998,COLUMN(C$1),FALSE),"")</f>
        <v>体</v>
      </c>
      <c r="F153">
        <f>IFERROR(ROUNDDOWN((VLOOKUP($C153,武器!$1:$998,COLUMN(D$1),FALSE)+IFERROR(VLOOKUP($CI153,装強!$1:$999,COLUMN(F$1),FALSE),0))*VLOOKUP($D153,素材!$1:$1016,COLUMN(D$1),FALSE),0),"")</f>
        <v>0</v>
      </c>
      <c r="G153">
        <f>IFERROR(ROUNDDOWN((VLOOKUP($C153,武器!$1:$998,COLUMN(E$1),FALSE)+IFERROR(VLOOKUP($CI153,装強!$1:$999,COLUMN(G$1),FALSE),0))*VLOOKUP($D153,素材!$1:$1016,COLUMN($E$1),FALSE),0),"")</f>
        <v>0</v>
      </c>
      <c r="H153">
        <f>IFERROR(ROUNDDOWN((VLOOKUP($C153,武器!$1:$998,COLUMN(F$1),FALSE)+IFERROR(VLOOKUP($CI153,装強!$1:$999,COLUMN(H$1),FALSE),0))*VLOOKUP($D153,素材!$1:$1016,COLUMN($E$1),FALSE),0),"")</f>
        <v>0</v>
      </c>
      <c r="I153">
        <f>IFERROR(ROUNDDOWN((VLOOKUP($C153,武器!$1:$998,COLUMN(G$1),FALSE)+IFERROR(VLOOKUP($CI153,装強!$1:$999,COLUMN(I$1),FALSE),0))*VLOOKUP($D153,素材!$1:$1016,COLUMN($E$1),FALSE),0),"")</f>
        <v>0</v>
      </c>
      <c r="J153">
        <f>IFERROR(ROUNDDOWN((VLOOKUP($C153,武器!$1:$998,COLUMN(H$1),FALSE)+IFERROR(VLOOKUP($CI153,装強!$1:$999,COLUMN(J$1),FALSE),0))*VLOOKUP($D153,素材!$1:$1016,COLUMN($E$1),FALSE),0),"")</f>
        <v>0</v>
      </c>
      <c r="K153">
        <f>IFERROR(ROUNDDOWN((VLOOKUP($C153,武器!$1:$998,COLUMN(I$1),FALSE)+IFERROR(VLOOKUP($CI153,装強!$1:$999,COLUMN(K$1),FALSE),0))*VLOOKUP($D153,素材!$1:$1016,COLUMN($E$1),FALSE),0),"")</f>
        <v>0</v>
      </c>
      <c r="L153" t="str">
        <f>IFERROR(VLOOKUP($D153,素材!$1:$1016,COLUMN($F$1),FALSE),"")</f>
        <v>炎</v>
      </c>
      <c r="M153">
        <f>IFERROR(VLOOKUP($C153,武器!$1:$998,COLUMN(AA$1),FALSE)*VLOOKUP($D153,素材!$1:$1016,COLUMN($G$1),FALSE),"")</f>
        <v>0</v>
      </c>
      <c r="N153">
        <f>IFERROR(VLOOKUP($C153,武器!$1:$998,COLUMN(I$1),FALSE),"")</f>
        <v>0</v>
      </c>
      <c r="O153" s="23" t="str">
        <f>IFERROR((VLOOKUP($C153,武器!$1:$998,COLUMN(K$1),FALSE)+VLOOKUP($D153,素材!$1:$1016,COLUMN(H$1),FALSE))*100+IFERROR(VLOOKUP($CI153,装強!$1:$999,COLUMN(O$1),FALSE),0),"")</f>
        <v/>
      </c>
      <c r="P153" s="23" t="str">
        <f>IFERROR((VLOOKUP($C153,武器!$1:$998,COLUMN(L$1),FALSE)+VLOOKUP($D153,素材!$1:$1016,COLUMN(I$1),FALSE))*100+IFERROR(VLOOKUP($CI153,装強!$1:$999,COLUMN(P$1),FALSE),0),"")</f>
        <v/>
      </c>
      <c r="Q153">
        <f>IFERROR(ROUNDUP(VLOOKUP($C153,武器!$1:$998,COLUMN(M$1),FALSE)*(VLOOKUP($D153,素材!$1:$1002,COLUMN(D$1),FALSE)/100),1),"")</f>
        <v>-12</v>
      </c>
      <c r="R153">
        <f>IFERROR(ROUNDUP(VLOOKUP($C153,武器!$1:$998,COLUMN(N$1),FALSE)*(VLOOKUP($D153,素材!$1:$1002,COLUMN(D$1),FALSE)/100),1),"")</f>
        <v>0</v>
      </c>
      <c r="S153">
        <f>IFERROR(VLOOKUP($C153,武器!$1:$998,COLUMN(P$1),FALSE),"")</f>
        <v>0</v>
      </c>
      <c r="T153">
        <f>IFERROR(VLOOKUP($C153,武器!$1:$998,COLUMN(Q$1),FALSE),"")</f>
        <v>0</v>
      </c>
      <c r="U153">
        <f>IFERROR(VLOOKUP($C153,武器!$1:$998,COLUMN(R$1),FALSE),"")</f>
        <v>0</v>
      </c>
      <c r="V153">
        <f>IFERROR(VLOOKUP($C153,武器!$1:$998,COLUMN(Q$1),FALSE),"")</f>
        <v>0</v>
      </c>
      <c r="W153">
        <f>IFERROR(VLOOKUP($C153,武器!$1:$998,COLUMN(T$1),FALSE),"")</f>
        <v>0</v>
      </c>
      <c r="Y153">
        <f>IFERROR(VLOOKUP($C153,武器!$1:$998,COLUMN(U$1),FALSE),"")</f>
        <v>0</v>
      </c>
      <c r="Z153">
        <f>IFERROR(ROUNDUP(VLOOKUP($C153,武器!$1:$998,COLUMN(O$1),FALSE)*VLOOKUP($D153,素材!$1:$1016,COLUMN(E$1),FALSE),1),"")</f>
        <v>17.5</v>
      </c>
      <c r="AA153">
        <f>IF(ISNUMBER(SEARCH(SUBSTITUTE(AA$1,RIGHT(AA$1,2),""),VLOOKUP($D153,素材!$1:$1016,COLUMN($F$1),FALSE))),VLOOKUP($C153,武器!$1:$998,COLUMN($O$1),FALSE)*VLOOKUP($D153,素材!$1:$1016,COLUMN($E$1),FALSE)/(LEN(VLOOKUP($D153,素材!$1:$1016,COLUMN($F$1),FALSE)) - LEN(SUBSTITUTE(VLOOKUP($D153,素材!$1:$1016,COLUMN($F$1),FALSE), "・", 0)) + 1), 0)</f>
        <v>0</v>
      </c>
      <c r="AB153">
        <f>IF(ISNUMBER(SEARCH(SUBSTITUTE(AB$1,RIGHT(AB$1,2),""),VLOOKUP($D153,素材!$1:$1016,COLUMN($F$1),FALSE))),VLOOKUP($C153,武器!$1:$998,COLUMN($O$1),FALSE)*VLOOKUP($D153,素材!$1:$1016,COLUMN($E$1),FALSE)/(LEN(VLOOKUP($D153,素材!$1:$1016,COLUMN($F$1),FALSE)) - LEN(SUBSTITUTE(VLOOKUP($D153,素材!$1:$1016,COLUMN($F$1),FALSE), "・", 0)) + 1), 0)</f>
        <v>0</v>
      </c>
      <c r="AC153">
        <f>IF(ISNUMBER(SEARCH(SUBSTITUTE(AC$1,RIGHT(AC$1,2),""),VLOOKUP($D153,素材!$1:$1016,COLUMN($F$1),FALSE))),VLOOKUP($C153,武器!$1:$998,COLUMN($O$1),FALSE)*VLOOKUP($D153,素材!$1:$1016,COLUMN($E$1),FALSE)/(LEN(VLOOKUP($D153,素材!$1:$1016,COLUMN($F$1),FALSE)) - LEN(SUBSTITUTE(VLOOKUP($D153,素材!$1:$1016,COLUMN($F$1),FALSE), "・", 0)) + 1), 0)</f>
        <v>0</v>
      </c>
      <c r="AD153">
        <f>IF(ISNUMBER(SEARCH(SUBSTITUTE(AD$1,RIGHT(AD$1,2),""),VLOOKUP($D153,素材!$1:$1016,COLUMN($F$1),FALSE))),VLOOKUP($C153,武器!$1:$998,COLUMN($O$1),FALSE)*VLOOKUP($D153,素材!$1:$1016,COLUMN($E$1),FALSE)/(LEN(VLOOKUP($D153,素材!$1:$1016,COLUMN($F$1),FALSE)) - LEN(SUBSTITUTE(VLOOKUP($D153,素材!$1:$1016,COLUMN($F$1),FALSE), "・", 0)) + 1), 0)</f>
        <v>0</v>
      </c>
      <c r="AE153">
        <f>IF(ISNUMBER(SEARCH(SUBSTITUTE(AE$1,RIGHT(AE$1,2),""),VLOOKUP($D153,素材!$1:$1016,COLUMN($F$1),FALSE))),VLOOKUP($C153,武器!$1:$998,COLUMN($O$1),FALSE)*VLOOKUP($D153,素材!$1:$1016,COLUMN($E$1),FALSE)/(LEN(VLOOKUP($D153,素材!$1:$1016,COLUMN($F$1),FALSE)) - LEN(SUBSTITUTE(VLOOKUP($D153,素材!$1:$1016,COLUMN($F$1),FALSE), "・", 0)) + 1), 0)</f>
        <v>17.5</v>
      </c>
      <c r="AF153">
        <f>IF(ISNUMBER(SEARCH(SUBSTITUTE(AF$1,RIGHT(AF$1,2),""),VLOOKUP($D153,素材!$1:$1016,COLUMN($F$1),FALSE))),VLOOKUP($C153,武器!$1:$998,COLUMN($O$1),FALSE)*VLOOKUP($D153,素材!$1:$1016,COLUMN($E$1),FALSE)/(LEN(VLOOKUP($D153,素材!$1:$1016,COLUMN($F$1),FALSE)) - LEN(SUBSTITUTE(VLOOKUP($D153,素材!$1:$1016,COLUMN($F$1),FALSE), "・", 0)) + 1), 0)</f>
        <v>0</v>
      </c>
      <c r="AG153">
        <f>IF(ISNUMBER(SEARCH(SUBSTITUTE(AG$1,RIGHT(AG$1,2),""),VLOOKUP($D153,素材!$1:$1016,COLUMN($F$1),FALSE))),VLOOKUP($C153,武器!$1:$998,COLUMN($O$1),FALSE)*VLOOKUP($D153,素材!$1:$1016,COLUMN($E$1),FALSE)/(LEN(VLOOKUP($D153,素材!$1:$1016,COLUMN($F$1),FALSE)) - LEN(SUBSTITUTE(VLOOKUP($D153,素材!$1:$1016,COLUMN($F$1),FALSE), "・", 0)) + 1), 0)</f>
        <v>0</v>
      </c>
      <c r="AH153">
        <f>IF(ISNUMBER(SEARCH(SUBSTITUTE(AH$1,RIGHT(AH$1,2),""),VLOOKUP($D153,素材!$1:$1016,COLUMN($F$1),FALSE))),VLOOKUP($C153,武器!$1:$998,COLUMN($O$1),FALSE)*VLOOKUP($D153,素材!$1:$1016,COLUMN($E$1),FALSE)/(LEN(VLOOKUP($D153,素材!$1:$1016,COLUMN($F$1),FALSE)) - LEN(SUBSTITUTE(VLOOKUP($D153,素材!$1:$1016,COLUMN($F$1),FALSE), "・", 0)) + 1), 0)</f>
        <v>0</v>
      </c>
      <c r="AI153">
        <f>IF(ISNUMBER(SEARCH(SUBSTITUTE(AI$1,RIGHT(AI$1,2),""),VLOOKUP($D153,素材!$1:$1016,COLUMN($F$1),FALSE))),VLOOKUP($C153,武器!$1:$998,COLUMN($O$1),FALSE)*VLOOKUP($D153,素材!$1:$1016,COLUMN($E$1),FALSE)/(LEN(VLOOKUP($D153,素材!$1:$1016,COLUMN($F$1),FALSE)) - LEN(SUBSTITUTE(VLOOKUP($D153,素材!$1:$1016,COLUMN($F$1),FALSE), "・", 0)) + 1), 0)</f>
        <v>0</v>
      </c>
      <c r="AJ153">
        <f>IF(ISNUMBER(SEARCH(SUBSTITUTE(AJ$1,RIGHT(AJ$1,2),""),VLOOKUP($D153,素材!$1:$1016,COLUMN($F$1),FALSE))),VLOOKUP($C153,武器!$1:$998,COLUMN($O$1),FALSE)*VLOOKUP($D153,素材!$1:$1016,COLUMN($E$1),FALSE)/(LEN(VLOOKUP($D153,素材!$1:$1016,COLUMN($F$1),FALSE)) - LEN(SUBSTITUTE(VLOOKUP($D153,素材!$1:$1016,COLUMN($F$1),FALSE), "・", 0)) + 1), 0)</f>
        <v>0</v>
      </c>
      <c r="AK153">
        <f>IF(ISNUMBER(SEARCH(SUBSTITUTE(AK$1,RIGHT(AK$1,2),""),VLOOKUP($D153,素材!$1:$1016,COLUMN($F$1),FALSE))),VLOOKUP($C153,武器!$1:$998,COLUMN($O$1),FALSE)*VLOOKUP($D153,素材!$1:$1016,COLUMN($E$1),FALSE)/(LEN(VLOOKUP($D153,素材!$1:$1016,COLUMN($F$1),FALSE)) - LEN(SUBSTITUTE(VLOOKUP($D153,素材!$1:$1016,COLUMN($F$1),FALSE), "・", 0)) + 1), 0)</f>
        <v>0</v>
      </c>
      <c r="AL153">
        <f>IF(ISNUMBER(SEARCH(SUBSTITUTE(AL$1,RIGHT(AL$1,2),""),VLOOKUP($D153,素材!$1:$1016,COLUMN($F$1),FALSE))),VLOOKUP($C153,武器!$1:$998,COLUMN($O$1),FALSE)*VLOOKUP($D153,素材!$1:$1016,COLUMN($E$1),FALSE)/(LEN(VLOOKUP($D153,素材!$1:$1016,COLUMN($F$1),FALSE)) - LEN(SUBSTITUTE(VLOOKUP($D153,素材!$1:$1016,COLUMN($F$1),FALSE), "・", 0)) + 1), 0)</f>
        <v>0</v>
      </c>
      <c r="AM153">
        <f>IF(ISNUMBER(SEARCH(SUBSTITUTE(AM$1,RIGHT(AM$1,2),""),VLOOKUP($D153,素材!$1:$1016,COLUMN($F$1),FALSE))),VLOOKUP($C153,武器!$1:$998,COLUMN($O$1),FALSE)*VLOOKUP($D153,素材!$1:$1016,COLUMN($E$1),FALSE)/(LEN(VLOOKUP($D153,素材!$1:$1016,COLUMN($F$1),FALSE)) - LEN(SUBSTITUTE(VLOOKUP($D153,素材!$1:$1016,COLUMN($F$1),FALSE), "・", 0)) + 1), 0)</f>
        <v>0</v>
      </c>
      <c r="AN153">
        <f>IF(ISNUMBER(SEARCH(SUBSTITUTE(AN$1,RIGHT(AN$1,2),""),VLOOKUP($D153,素材!$1:$1016,COLUMN($F$1),FALSE))),VLOOKUP($C153,武器!$1:$998,COLUMN($O$1),FALSE)*VLOOKUP($D153,素材!$1:$1016,COLUMN($E$1),FALSE)/(LEN(VLOOKUP($D153,素材!$1:$1016,COLUMN($F$1),FALSE)) - LEN(SUBSTITUTE(VLOOKUP($D153,素材!$1:$1016,COLUMN($F$1),FALSE), "・", 0)) + 1), 0)</f>
        <v>0</v>
      </c>
      <c r="AO153">
        <f>IF(ISNUMBER(SEARCH(SUBSTITUTE(AO$1,RIGHT(AO$1,2),""),VLOOKUP($D153,素材!$1:$1016,COLUMN($F$1),FALSE))),VLOOKUP($C153,武器!$1:$998,COLUMN($O$1),FALSE)*VLOOKUP($D153,素材!$1:$1016,COLUMN($E$1),FALSE)/(LEN(VLOOKUP($D153,素材!$1:$1016,COLUMN($F$1),FALSE)) - LEN(SUBSTITUTE(VLOOKUP($D153,素材!$1:$1016,COLUMN($F$1),FALSE), "・", 0)) + 1), 0)</f>
        <v>0</v>
      </c>
      <c r="AP153">
        <f>IF(ISNUMBER(SEARCH(SUBSTITUTE(AP$1,RIGHT(AP$1,2),""),VLOOKUP($D153,素材!$1:$1016,COLUMN($F$1),FALSE))),VLOOKUP($C153,武器!$1:$998,COLUMN($O$1),FALSE)*VLOOKUP($D153,素材!$1:$1016,COLUMN($E$1),FALSE)/(LEN(VLOOKUP($D153,素材!$1:$1016,COLUMN($F$1),FALSE)) - LEN(SUBSTITUTE(VLOOKUP($D153,素材!$1:$1016,COLUMN($F$1),FALSE), "・", 0)) + 1), 0)</f>
        <v>0</v>
      </c>
      <c r="AQ153">
        <f>IF(ISNUMBER(SEARCH(SUBSTITUTE(AQ$1,RIGHT(AQ$1,2),""),VLOOKUP($D153,素材!$1:$1016,COLUMN($F$1),FALSE))),VLOOKUP($C153,武器!$1:$998,COLUMN($O$1),FALSE)*VLOOKUP($D153,素材!$1:$1016,COLUMN($E$1),FALSE)/(LEN(VLOOKUP($D153,素材!$1:$1016,COLUMN($F$1),FALSE)) - LEN(SUBSTITUTE(VLOOKUP($D153,素材!$1:$1016,COLUMN($F$1),FALSE), "・", 0)) + 1), 0)</f>
        <v>0</v>
      </c>
      <c r="AR153">
        <f>IF(ISNUMBER(SEARCH(SUBSTITUTE(AR$1,RIGHT(AR$1,2),""),VLOOKUP($D153,素材!$1:$1016,COLUMN($F$1),FALSE))),VLOOKUP($C153,武器!$1:$998,COLUMN($O$1),FALSE)*VLOOKUP($D153,素材!$1:$1016,COLUMN($E$1),FALSE)/(LEN(VLOOKUP($D153,素材!$1:$1016,COLUMN($F$1),FALSE)) - LEN(SUBSTITUTE(VLOOKUP($D153,素材!$1:$1016,COLUMN($F$1),FALSE), "・", 0)) + 1), 0)</f>
        <v>0</v>
      </c>
      <c r="AS153">
        <f>IF(ISNUMBER(SEARCH(SUBSTITUTE(AS$1,RIGHT(AS$1,2),""),VLOOKUP($D153,素材!$1:$1016,COLUMN($F$1),FALSE))),VLOOKUP($C153,武器!$1:$998,COLUMN($O$1),FALSE)*VLOOKUP($D153,素材!$1:$1016,COLUMN($E$1),FALSE)/(LEN(VLOOKUP($D153,素材!$1:$1016,COLUMN($F$1),FALSE)) - LEN(SUBSTITUTE(VLOOKUP($D153,素材!$1:$1016,COLUMN($F$1),FALSE), "・", 0)) + 1), 0)</f>
        <v>0</v>
      </c>
      <c r="AT153">
        <f>IF(ISNUMBER(SEARCH(SUBSTITUTE(AT$1,RIGHT(AT$1,2),""),VLOOKUP($D153,素材!$1:$1016,COLUMN($F$1),FALSE))),VLOOKUP($C153,武器!$1:$998,COLUMN($O$1),FALSE)*VLOOKUP($D153,素材!$1:$1016,COLUMN($E$1),FALSE)/(LEN(VLOOKUP($D153,素材!$1:$1016,COLUMN($F$1),FALSE)) - LEN(SUBSTITUTE(VLOOKUP($D153,素材!$1:$1016,COLUMN($F$1),FALSE), "・", 0)) + 1), 0)</f>
        <v>0</v>
      </c>
      <c r="AU153">
        <f>IF(ISNUMBER(SEARCH(SUBSTITUTE(AU$1,RIGHT(AU$1,2),""),VLOOKUP($D153,素材!$1:$1016,COLUMN($F$1),FALSE))),VLOOKUP($C153,武器!$1:$998,COLUMN($O$1),FALSE)*VLOOKUP($D153,素材!$1:$1016,COLUMN($E$1),FALSE)/(LEN(VLOOKUP($D153,素材!$1:$1016,COLUMN($F$1),FALSE)) - LEN(SUBSTITUTE(VLOOKUP($D153,素材!$1:$1016,COLUMN($F$1),FALSE), "・", 0)) + 1), 0)</f>
        <v>0</v>
      </c>
      <c r="AV153">
        <f>IF(ISNUMBER(SEARCH(SUBSTITUTE(AV$1,RIGHT(AV$1,2),""),VLOOKUP($D153,素材!$1:$1016,COLUMN($F$1),FALSE))),VLOOKUP($C153,武器!$1:$998,COLUMN($O$1),FALSE)*VLOOKUP($D153,素材!$1:$1016,COLUMN($E$1),FALSE)/(LEN(VLOOKUP($D153,素材!$1:$1016,COLUMN($F$1),FALSE)) - LEN(SUBSTITUTE(VLOOKUP($D153,素材!$1:$1016,COLUMN($F$1),FALSE), "・", 0)) + 1), 0)</f>
        <v>0</v>
      </c>
      <c r="AW153">
        <f>IF(ISNUMBER(SEARCH(SUBSTITUTE(AW$1,RIGHT(AW$1,2),""),VLOOKUP($D153,素材!$1:$1016,COLUMN($F$1),FALSE))),VLOOKUP($C153,武器!$1:$998,COLUMN($O$1),FALSE)*VLOOKUP($D153,素材!$1:$1016,COLUMN($E$1),FALSE)/(LEN(VLOOKUP($D153,素材!$1:$1016,COLUMN($F$1),FALSE)) - LEN(SUBSTITUTE(VLOOKUP($D153,素材!$1:$1016,COLUMN($F$1),FALSE), "・", 0)) + 1), 0)</f>
        <v>0</v>
      </c>
      <c r="AX153">
        <f>IF(ISNUMBER(SEARCH(SUBSTITUTE(AX$1,RIGHT(AX$1,2),""),VLOOKUP($D153,素材!$1:$1016,COLUMN($F$1),FALSE))),VLOOKUP($C153,武器!$1:$998,COLUMN($O$1),FALSE)*VLOOKUP($D153,素材!$1:$1016,COLUMN($E$1),FALSE)/(LEN(VLOOKUP($D153,素材!$1:$1016,COLUMN($F$1),FALSE)) - LEN(SUBSTITUTE(VLOOKUP($D153,素材!$1:$1016,COLUMN($F$1),FALSE), "・", 0)) + 1), 0)</f>
        <v>0</v>
      </c>
      <c r="AY153">
        <f>IF(ISNUMBER(SEARCH(SUBSTITUTE(AY$1,RIGHT(AY$1,2),""),VLOOKUP($D153,素材!$1:$1016,COLUMN($F$1),FALSE))),VLOOKUP($C153,武器!$1:$998,COLUMN($O$1),FALSE)*VLOOKUP($D153,素材!$1:$1016,COLUMN($E$1),FALSE)/(LEN(VLOOKUP($D153,素材!$1:$1016,COLUMN($F$1),FALSE)) - LEN(SUBSTITUTE(VLOOKUP($D153,素材!$1:$1016,COLUMN($F$1),FALSE), "・", 0)) + 1), 0)</f>
        <v>0</v>
      </c>
      <c r="AZ153">
        <f>IF(ISNUMBER(SEARCH(SUBSTITUTE(AZ$1,RIGHT(AZ$1,2),""),VLOOKUP($D153,素材!$1:$1016,COLUMN($F$1),FALSE))),VLOOKUP($C153,武器!$1:$998,COLUMN($O$1),FALSE)*VLOOKUP($D153,素材!$1:$1016,COLUMN($E$1),FALSE)/(LEN(VLOOKUP($D153,素材!$1:$1016,COLUMN($F$1),FALSE)) - LEN(SUBSTITUTE(VLOOKUP($D153,素材!$1:$1016,COLUMN($F$1),FALSE), "・", 0)) + 1), 0)</f>
        <v>0</v>
      </c>
      <c r="BA153">
        <f>IF(ISNUMBER(SEARCH(SUBSTITUTE(BA$1,RIGHT(BA$1,2),""),VLOOKUP($D153,素材!$1:$1016,COLUMN($F$1),FALSE))),VLOOKUP($C153,武器!$1:$998,COLUMN($O$1),FALSE)*VLOOKUP($D153,素材!$1:$1016,COLUMN($E$1),FALSE)/(LEN(VLOOKUP($D153,素材!$1:$1016,COLUMN($F$1),FALSE)) - LEN(SUBSTITUTE(VLOOKUP($D153,素材!$1:$1016,COLUMN($F$1),FALSE), "・", 0)) + 1), 0)</f>
        <v>0</v>
      </c>
      <c r="BB153">
        <f>IF(ISNUMBER(SEARCH(SUBSTITUTE(BB$1,RIGHT(BB$1,2),""),VLOOKUP($D153,素材!$1:$1016,COLUMN($F$1),FALSE))),VLOOKUP($C153,武器!$1:$998,COLUMN($O$1),FALSE)*VLOOKUP($D153,素材!$1:$1016,COLUMN($E$1),FALSE)/(LEN(VLOOKUP($D153,素材!$1:$1016,COLUMN($F$1),FALSE)) - LEN(SUBSTITUTE(VLOOKUP($D153,素材!$1:$1016,COLUMN($F$1),FALSE), "・", 0)) + 1), 0)</f>
        <v>0</v>
      </c>
      <c r="BC153">
        <f>IF(ISNUMBER(SEARCH(SUBSTITUTE(BC$1,RIGHT(BC$1,2),""),VLOOKUP($D153,素材!$1:$1016,COLUMN($F$1),FALSE))),VLOOKUP($C153,武器!$1:$998,COLUMN($O$1),FALSE)*VLOOKUP($D153,素材!$1:$1016,COLUMN($E$1),FALSE)/(LEN(VLOOKUP($D153,素材!$1:$1016,COLUMN($F$1),FALSE)) - LEN(SUBSTITUTE(VLOOKUP($D153,素材!$1:$1016,COLUMN($F$1),FALSE), "・", 0)) + 1), 0)</f>
        <v>0</v>
      </c>
      <c r="BD153">
        <f>IF(ISNUMBER(SEARCH(SUBSTITUTE(BD$1,RIGHT(BD$1,2),""),VLOOKUP($D153,素材!$1:$1016,COLUMN($F$1),FALSE))),VLOOKUP($C153,武器!$1:$998,COLUMN($O$1),FALSE)*VLOOKUP($D153,素材!$1:$1016,COLUMN($E$1),FALSE)/(LEN(VLOOKUP($D153,素材!$1:$1016,COLUMN($F$1),FALSE)) - LEN(SUBSTITUTE(VLOOKUP($D153,素材!$1:$1016,COLUMN($F$1),FALSE), "・", 0)) + 1), 0)</f>
        <v>0</v>
      </c>
      <c r="BE153">
        <f>IF(ISNUMBER(SEARCH(SUBSTITUTE(BE$1,RIGHT(BE$1,2),""),VLOOKUP($D153,素材!$1:$1016,COLUMN($F$1),FALSE))),VLOOKUP($C153,武器!$1:$998,COLUMN($O$1),FALSE)*VLOOKUP($D153,素材!$1:$1016,COLUMN($E$1),FALSE)/(LEN(VLOOKUP($D153,素材!$1:$1016,COLUMN($F$1),FALSE)) - LEN(SUBSTITUTE(VLOOKUP($D153,素材!$1:$1016,COLUMN($F$1),FALSE), "・", 0)) + 1), 0)</f>
        <v>0</v>
      </c>
      <c r="CL153">
        <f>SUM(G153:I153)</f>
        <v>0</v>
      </c>
      <c r="CM153" s="22" t="str">
        <f>IF(E153="武器",IF(J153-1&gt;SUM(G153:I153),"盾",IF(MAX(G153:I153)=G153,"切断",IF(MAX(G153:I153)=H153,"貫通",IF(MAX(G153:I153)=I153,"打撃","射撃")))),E153)&amp;".webp"</f>
        <v>体.webp</v>
      </c>
      <c r="CN153">
        <f>IFERROR(VLOOKUP($C153,武器!$1:$998,COLUMN(V$1),FALSE)*VLOOKUP($D153,素材!$1:$1016,COLUMN(N$1),FALSE)+IF(CI153="",0,VLOOKUP($CI153,装強!$1:$1008,COLUMN($CK$1),FALSE)),"")</f>
        <v>16500</v>
      </c>
      <c r="CO153" t="str">
        <f>VLOOKUP(D153,素材!$A:$O,COLUMN(素材!O$1),FALSE)</f>
        <v>炎属性を持つドラゴン型生物から採取される鱗素材。強力な炎属性防御を備えており、耐熱性が求められる場面で特に有用です。</v>
      </c>
      <c r="CP153" t="str">
        <f>VLOOKUP(C153,武器!$A:$W,COLUMN(武器!W$1),FALSE)</f>
        <v>HP 物理 魔法 体幹 出血 疲労 Cr</v>
      </c>
      <c r="CR153" t="str">
        <f t="shared" si="18"/>
        <v>e_153</v>
      </c>
      <c r="CS153">
        <f t="shared" si="22"/>
        <v>1650000</v>
      </c>
    </row>
    <row r="154" spans="1:97" outlineLevel="1" x14ac:dyDescent="0.4">
      <c r="A154" t="str">
        <f t="shared" si="17"/>
        <v>炎蜥蜴の鱗の胴衣</v>
      </c>
      <c r="B154" t="str">
        <f>IFERROR(VLOOKUP($D154,素材!$1:$1016,COLUMN($B$1),FALSE)&amp;"・"&amp;VLOOKUP($C154,武器!$1:$998,COLUMN(B$1),FALSE),"")</f>
        <v>ファイアドレイクスケール・ベスト</v>
      </c>
      <c r="C154" t="s">
        <v>207</v>
      </c>
      <c r="D154" s="24" t="s">
        <v>245</v>
      </c>
      <c r="E154" t="str">
        <f>IFERROR(VLOOKUP(C154,武器!$1:$998,COLUMN(C$1),FALSE),"")</f>
        <v>体</v>
      </c>
      <c r="F154">
        <f>IFERROR(ROUNDDOWN((VLOOKUP($C154,武器!$1:$998,COLUMN(D$1),FALSE)+IFERROR(VLOOKUP($CI154,装強!$1:$999,COLUMN(F$1),FALSE),0))*VLOOKUP($D154,素材!$1:$1016,COLUMN(D$1),FALSE),0),"")</f>
        <v>0</v>
      </c>
      <c r="G154">
        <f>IFERROR(ROUNDDOWN((VLOOKUP($C154,武器!$1:$998,COLUMN(E$1),FALSE)+IFERROR(VLOOKUP($CI154,装強!$1:$999,COLUMN(G$1),FALSE),0))*VLOOKUP($D154,素材!$1:$1016,COLUMN($E$1),FALSE),0),"")</f>
        <v>0</v>
      </c>
      <c r="H154">
        <f>IFERROR(ROUNDDOWN((VLOOKUP($C154,武器!$1:$998,COLUMN(F$1),FALSE)+IFERROR(VLOOKUP($CI154,装強!$1:$999,COLUMN(H$1),FALSE),0))*VLOOKUP($D154,素材!$1:$1016,COLUMN($E$1),FALSE),0),"")</f>
        <v>0</v>
      </c>
      <c r="I154">
        <f>IFERROR(ROUNDDOWN((VLOOKUP($C154,武器!$1:$998,COLUMN(G$1),FALSE)+IFERROR(VLOOKUP($CI154,装強!$1:$999,COLUMN(I$1),FALSE),0))*VLOOKUP($D154,素材!$1:$1016,COLUMN($E$1),FALSE),0),"")</f>
        <v>0</v>
      </c>
      <c r="J154">
        <f>IFERROR(ROUNDDOWN((VLOOKUP($C154,武器!$1:$998,COLUMN(H$1),FALSE)+IFERROR(VLOOKUP($CI154,装強!$1:$999,COLUMN(J$1),FALSE),0))*VLOOKUP($D154,素材!$1:$1016,COLUMN($E$1),FALSE),0),"")</f>
        <v>0</v>
      </c>
      <c r="K154">
        <f>IFERROR(ROUNDDOWN((VLOOKUP($C154,武器!$1:$998,COLUMN(I$1),FALSE)+IFERROR(VLOOKUP($CI154,装強!$1:$999,COLUMN(K$1),FALSE),0))*VLOOKUP($D154,素材!$1:$1016,COLUMN($E$1),FALSE),0),"")</f>
        <v>0</v>
      </c>
      <c r="L154" t="str">
        <f>IFERROR(VLOOKUP($D154,素材!$1:$1016,COLUMN($F$1),FALSE),"")</f>
        <v>炎</v>
      </c>
      <c r="M154">
        <f>IFERROR(VLOOKUP($C154,武器!$1:$998,COLUMN(AA$1),FALSE)*VLOOKUP($D154,素材!$1:$1016,COLUMN($G$1),FALSE),"")</f>
        <v>0</v>
      </c>
      <c r="N154">
        <f>IFERROR(VLOOKUP($C154,武器!$1:$998,COLUMN(I$1),FALSE),"")</f>
        <v>0</v>
      </c>
      <c r="O154" s="23" t="str">
        <f>IFERROR((VLOOKUP($C154,武器!$1:$998,COLUMN(K$1),FALSE)+VLOOKUP($D154,素材!$1:$1016,COLUMN(H$1),FALSE))*100+IFERROR(VLOOKUP($CI154,装強!$1:$999,COLUMN(O$1),FALSE),0),"")</f>
        <v/>
      </c>
      <c r="P154" s="23" t="str">
        <f>IFERROR((VLOOKUP($C154,武器!$1:$998,COLUMN(L$1),FALSE)+VLOOKUP($D154,素材!$1:$1016,COLUMN(I$1),FALSE))*100+IFERROR(VLOOKUP($CI154,装強!$1:$999,COLUMN(P$1),FALSE),0),"")</f>
        <v/>
      </c>
      <c r="Q154">
        <f>IFERROR(ROUNDUP(VLOOKUP($C154,武器!$1:$998,COLUMN(M$1),FALSE)*(VLOOKUP($D154,素材!$1:$1002,COLUMN(D$1),FALSE)/100),1),"")</f>
        <v>-6</v>
      </c>
      <c r="R154">
        <f>IFERROR(ROUNDUP(VLOOKUP($C154,武器!$1:$998,COLUMN(N$1),FALSE)*(VLOOKUP($D154,素材!$1:$1002,COLUMN(D$1),FALSE)/100),1),"")</f>
        <v>0</v>
      </c>
      <c r="S154">
        <f>IFERROR(VLOOKUP($C154,武器!$1:$998,COLUMN(P$1),FALSE),"")</f>
        <v>0</v>
      </c>
      <c r="T154">
        <f>IFERROR(VLOOKUP($C154,武器!$1:$998,COLUMN(Q$1),FALSE),"")</f>
        <v>0</v>
      </c>
      <c r="U154">
        <f>IFERROR(VLOOKUP($C154,武器!$1:$998,COLUMN(R$1),FALSE),"")</f>
        <v>0</v>
      </c>
      <c r="V154">
        <f>IFERROR(VLOOKUP($C154,武器!$1:$998,COLUMN(Q$1),FALSE),"")</f>
        <v>0</v>
      </c>
      <c r="W154">
        <f>IFERROR(VLOOKUP($C154,武器!$1:$998,COLUMN(T$1),FALSE),"")</f>
        <v>0</v>
      </c>
      <c r="Y154">
        <f>IFERROR(VLOOKUP($C154,武器!$1:$998,COLUMN(U$1),FALSE),"")</f>
        <v>0</v>
      </c>
      <c r="Z154">
        <f>IFERROR(ROUNDUP(VLOOKUP($C154,武器!$1:$998,COLUMN(O$1),FALSE)*VLOOKUP($D154,素材!$1:$1016,COLUMN(E$1),FALSE),1),"")</f>
        <v>12.5</v>
      </c>
      <c r="AA154">
        <f>IF(ISNUMBER(SEARCH(SUBSTITUTE(AA$1,RIGHT(AA$1,2),""),VLOOKUP($D154,素材!$1:$1016,COLUMN($F$1),FALSE))),VLOOKUP($C154,武器!$1:$998,COLUMN($O$1),FALSE)*VLOOKUP($D154,素材!$1:$1016,COLUMN($E$1),FALSE)/(LEN(VLOOKUP($D154,素材!$1:$1016,COLUMN($F$1),FALSE)) - LEN(SUBSTITUTE(VLOOKUP($D154,素材!$1:$1016,COLUMN($F$1),FALSE), "・", 0)) + 1), 0)</f>
        <v>0</v>
      </c>
      <c r="AB154">
        <f>IF(ISNUMBER(SEARCH(SUBSTITUTE(AB$1,RIGHT(AB$1,2),""),VLOOKUP($D154,素材!$1:$1016,COLUMN($F$1),FALSE))),VLOOKUP($C154,武器!$1:$998,COLUMN($O$1),FALSE)*VLOOKUP($D154,素材!$1:$1016,COLUMN($E$1),FALSE)/(LEN(VLOOKUP($D154,素材!$1:$1016,COLUMN($F$1),FALSE)) - LEN(SUBSTITUTE(VLOOKUP($D154,素材!$1:$1016,COLUMN($F$1),FALSE), "・", 0)) + 1), 0)</f>
        <v>0</v>
      </c>
      <c r="AC154">
        <f>IF(ISNUMBER(SEARCH(SUBSTITUTE(AC$1,RIGHT(AC$1,2),""),VLOOKUP($D154,素材!$1:$1016,COLUMN($F$1),FALSE))),VLOOKUP($C154,武器!$1:$998,COLUMN($O$1),FALSE)*VLOOKUP($D154,素材!$1:$1016,COLUMN($E$1),FALSE)/(LEN(VLOOKUP($D154,素材!$1:$1016,COLUMN($F$1),FALSE)) - LEN(SUBSTITUTE(VLOOKUP($D154,素材!$1:$1016,COLUMN($F$1),FALSE), "・", 0)) + 1), 0)</f>
        <v>0</v>
      </c>
      <c r="AD154">
        <f>IF(ISNUMBER(SEARCH(SUBSTITUTE(AD$1,RIGHT(AD$1,2),""),VLOOKUP($D154,素材!$1:$1016,COLUMN($F$1),FALSE))),VLOOKUP($C154,武器!$1:$998,COLUMN($O$1),FALSE)*VLOOKUP($D154,素材!$1:$1016,COLUMN($E$1),FALSE)/(LEN(VLOOKUP($D154,素材!$1:$1016,COLUMN($F$1),FALSE)) - LEN(SUBSTITUTE(VLOOKUP($D154,素材!$1:$1016,COLUMN($F$1),FALSE), "・", 0)) + 1), 0)</f>
        <v>0</v>
      </c>
      <c r="AE154">
        <f>IF(ISNUMBER(SEARCH(SUBSTITUTE(AE$1,RIGHT(AE$1,2),""),VLOOKUP($D154,素材!$1:$1016,COLUMN($F$1),FALSE))),VLOOKUP($C154,武器!$1:$998,COLUMN($O$1),FALSE)*VLOOKUP($D154,素材!$1:$1016,COLUMN($E$1),FALSE)/(LEN(VLOOKUP($D154,素材!$1:$1016,COLUMN($F$1),FALSE)) - LEN(SUBSTITUTE(VLOOKUP($D154,素材!$1:$1016,COLUMN($F$1),FALSE), "・", 0)) + 1), 0)</f>
        <v>12.5</v>
      </c>
      <c r="AF154">
        <f>IF(ISNUMBER(SEARCH(SUBSTITUTE(AF$1,RIGHT(AF$1,2),""),VLOOKUP($D154,素材!$1:$1016,COLUMN($F$1),FALSE))),VLOOKUP($C154,武器!$1:$998,COLUMN($O$1),FALSE)*VLOOKUP($D154,素材!$1:$1016,COLUMN($E$1),FALSE)/(LEN(VLOOKUP($D154,素材!$1:$1016,COLUMN($F$1),FALSE)) - LEN(SUBSTITUTE(VLOOKUP($D154,素材!$1:$1016,COLUMN($F$1),FALSE), "・", 0)) + 1), 0)</f>
        <v>0</v>
      </c>
      <c r="AG154">
        <f>IF(ISNUMBER(SEARCH(SUBSTITUTE(AG$1,RIGHT(AG$1,2),""),VLOOKUP($D154,素材!$1:$1016,COLUMN($F$1),FALSE))),VLOOKUP($C154,武器!$1:$998,COLUMN($O$1),FALSE)*VLOOKUP($D154,素材!$1:$1016,COLUMN($E$1),FALSE)/(LEN(VLOOKUP($D154,素材!$1:$1016,COLUMN($F$1),FALSE)) - LEN(SUBSTITUTE(VLOOKUP($D154,素材!$1:$1016,COLUMN($F$1),FALSE), "・", 0)) + 1), 0)</f>
        <v>0</v>
      </c>
      <c r="AH154">
        <f>IF(ISNUMBER(SEARCH(SUBSTITUTE(AH$1,RIGHT(AH$1,2),""),VLOOKUP($D154,素材!$1:$1016,COLUMN($F$1),FALSE))),VLOOKUP($C154,武器!$1:$998,COLUMN($O$1),FALSE)*VLOOKUP($D154,素材!$1:$1016,COLUMN($E$1),FALSE)/(LEN(VLOOKUP($D154,素材!$1:$1016,COLUMN($F$1),FALSE)) - LEN(SUBSTITUTE(VLOOKUP($D154,素材!$1:$1016,COLUMN($F$1),FALSE), "・", 0)) + 1), 0)</f>
        <v>0</v>
      </c>
      <c r="AI154">
        <f>IF(ISNUMBER(SEARCH(SUBSTITUTE(AI$1,RIGHT(AI$1,2),""),VLOOKUP($D154,素材!$1:$1016,COLUMN($F$1),FALSE))),VLOOKUP($C154,武器!$1:$998,COLUMN($O$1),FALSE)*VLOOKUP($D154,素材!$1:$1016,COLUMN($E$1),FALSE)/(LEN(VLOOKUP($D154,素材!$1:$1016,COLUMN($F$1),FALSE)) - LEN(SUBSTITUTE(VLOOKUP($D154,素材!$1:$1016,COLUMN($F$1),FALSE), "・", 0)) + 1), 0)</f>
        <v>0</v>
      </c>
      <c r="AJ154">
        <f>IF(ISNUMBER(SEARCH(SUBSTITUTE(AJ$1,RIGHT(AJ$1,2),""),VLOOKUP($D154,素材!$1:$1016,COLUMN($F$1),FALSE))),VLOOKUP($C154,武器!$1:$998,COLUMN($O$1),FALSE)*VLOOKUP($D154,素材!$1:$1016,COLUMN($E$1),FALSE)/(LEN(VLOOKUP($D154,素材!$1:$1016,COLUMN($F$1),FALSE)) - LEN(SUBSTITUTE(VLOOKUP($D154,素材!$1:$1016,COLUMN($F$1),FALSE), "・", 0)) + 1), 0)</f>
        <v>0</v>
      </c>
      <c r="AK154">
        <f>IF(ISNUMBER(SEARCH(SUBSTITUTE(AK$1,RIGHT(AK$1,2),""),VLOOKUP($D154,素材!$1:$1016,COLUMN($F$1),FALSE))),VLOOKUP($C154,武器!$1:$998,COLUMN($O$1),FALSE)*VLOOKUP($D154,素材!$1:$1016,COLUMN($E$1),FALSE)/(LEN(VLOOKUP($D154,素材!$1:$1016,COLUMN($F$1),FALSE)) - LEN(SUBSTITUTE(VLOOKUP($D154,素材!$1:$1016,COLUMN($F$1),FALSE), "・", 0)) + 1), 0)</f>
        <v>0</v>
      </c>
      <c r="AL154">
        <f>IF(ISNUMBER(SEARCH(SUBSTITUTE(AL$1,RIGHT(AL$1,2),""),VLOOKUP($D154,素材!$1:$1016,COLUMN($F$1),FALSE))),VLOOKUP($C154,武器!$1:$998,COLUMN($O$1),FALSE)*VLOOKUP($D154,素材!$1:$1016,COLUMN($E$1),FALSE)/(LEN(VLOOKUP($D154,素材!$1:$1016,COLUMN($F$1),FALSE)) - LEN(SUBSTITUTE(VLOOKUP($D154,素材!$1:$1016,COLUMN($F$1),FALSE), "・", 0)) + 1), 0)</f>
        <v>0</v>
      </c>
      <c r="AM154">
        <f>IF(ISNUMBER(SEARCH(SUBSTITUTE(AM$1,RIGHT(AM$1,2),""),VLOOKUP($D154,素材!$1:$1016,COLUMN($F$1),FALSE))),VLOOKUP($C154,武器!$1:$998,COLUMN($O$1),FALSE)*VLOOKUP($D154,素材!$1:$1016,COLUMN($E$1),FALSE)/(LEN(VLOOKUP($D154,素材!$1:$1016,COLUMN($F$1),FALSE)) - LEN(SUBSTITUTE(VLOOKUP($D154,素材!$1:$1016,COLUMN($F$1),FALSE), "・", 0)) + 1), 0)</f>
        <v>0</v>
      </c>
      <c r="AN154">
        <f>IF(ISNUMBER(SEARCH(SUBSTITUTE(AN$1,RIGHT(AN$1,2),""),VLOOKUP($D154,素材!$1:$1016,COLUMN($F$1),FALSE))),VLOOKUP($C154,武器!$1:$998,COLUMN($O$1),FALSE)*VLOOKUP($D154,素材!$1:$1016,COLUMN($E$1),FALSE)/(LEN(VLOOKUP($D154,素材!$1:$1016,COLUMN($F$1),FALSE)) - LEN(SUBSTITUTE(VLOOKUP($D154,素材!$1:$1016,COLUMN($F$1),FALSE), "・", 0)) + 1), 0)</f>
        <v>0</v>
      </c>
      <c r="AO154">
        <f>IF(ISNUMBER(SEARCH(SUBSTITUTE(AO$1,RIGHT(AO$1,2),""),VLOOKUP($D154,素材!$1:$1016,COLUMN($F$1),FALSE))),VLOOKUP($C154,武器!$1:$998,COLUMN($O$1),FALSE)*VLOOKUP($D154,素材!$1:$1016,COLUMN($E$1),FALSE)/(LEN(VLOOKUP($D154,素材!$1:$1016,COLUMN($F$1),FALSE)) - LEN(SUBSTITUTE(VLOOKUP($D154,素材!$1:$1016,COLUMN($F$1),FALSE), "・", 0)) + 1), 0)</f>
        <v>0</v>
      </c>
      <c r="AP154">
        <f>IF(ISNUMBER(SEARCH(SUBSTITUTE(AP$1,RIGHT(AP$1,2),""),VLOOKUP($D154,素材!$1:$1016,COLUMN($F$1),FALSE))),VLOOKUP($C154,武器!$1:$998,COLUMN($O$1),FALSE)*VLOOKUP($D154,素材!$1:$1016,COLUMN($E$1),FALSE)/(LEN(VLOOKUP($D154,素材!$1:$1016,COLUMN($F$1),FALSE)) - LEN(SUBSTITUTE(VLOOKUP($D154,素材!$1:$1016,COLUMN($F$1),FALSE), "・", 0)) + 1), 0)</f>
        <v>0</v>
      </c>
      <c r="AQ154">
        <f>IF(ISNUMBER(SEARCH(SUBSTITUTE(AQ$1,RIGHT(AQ$1,2),""),VLOOKUP($D154,素材!$1:$1016,COLUMN($F$1),FALSE))),VLOOKUP($C154,武器!$1:$998,COLUMN($O$1),FALSE)*VLOOKUP($D154,素材!$1:$1016,COLUMN($E$1),FALSE)/(LEN(VLOOKUP($D154,素材!$1:$1016,COLUMN($F$1),FALSE)) - LEN(SUBSTITUTE(VLOOKUP($D154,素材!$1:$1016,COLUMN($F$1),FALSE), "・", 0)) + 1), 0)</f>
        <v>0</v>
      </c>
      <c r="AR154">
        <f>IF(ISNUMBER(SEARCH(SUBSTITUTE(AR$1,RIGHT(AR$1,2),""),VLOOKUP($D154,素材!$1:$1016,COLUMN($F$1),FALSE))),VLOOKUP($C154,武器!$1:$998,COLUMN($O$1),FALSE)*VLOOKUP($D154,素材!$1:$1016,COLUMN($E$1),FALSE)/(LEN(VLOOKUP($D154,素材!$1:$1016,COLUMN($F$1),FALSE)) - LEN(SUBSTITUTE(VLOOKUP($D154,素材!$1:$1016,COLUMN($F$1),FALSE), "・", 0)) + 1), 0)</f>
        <v>0</v>
      </c>
      <c r="AS154">
        <f>IF(ISNUMBER(SEARCH(SUBSTITUTE(AS$1,RIGHT(AS$1,2),""),VLOOKUP($D154,素材!$1:$1016,COLUMN($F$1),FALSE))),VLOOKUP($C154,武器!$1:$998,COLUMN($O$1),FALSE)*VLOOKUP($D154,素材!$1:$1016,COLUMN($E$1),FALSE)/(LEN(VLOOKUP($D154,素材!$1:$1016,COLUMN($F$1),FALSE)) - LEN(SUBSTITUTE(VLOOKUP($D154,素材!$1:$1016,COLUMN($F$1),FALSE), "・", 0)) + 1), 0)</f>
        <v>0</v>
      </c>
      <c r="AT154">
        <f>IF(ISNUMBER(SEARCH(SUBSTITUTE(AT$1,RIGHT(AT$1,2),""),VLOOKUP($D154,素材!$1:$1016,COLUMN($F$1),FALSE))),VLOOKUP($C154,武器!$1:$998,COLUMN($O$1),FALSE)*VLOOKUP($D154,素材!$1:$1016,COLUMN($E$1),FALSE)/(LEN(VLOOKUP($D154,素材!$1:$1016,COLUMN($F$1),FALSE)) - LEN(SUBSTITUTE(VLOOKUP($D154,素材!$1:$1016,COLUMN($F$1),FALSE), "・", 0)) + 1), 0)</f>
        <v>0</v>
      </c>
      <c r="AU154">
        <f>IF(ISNUMBER(SEARCH(SUBSTITUTE(AU$1,RIGHT(AU$1,2),""),VLOOKUP($D154,素材!$1:$1016,COLUMN($F$1),FALSE))),VLOOKUP($C154,武器!$1:$998,COLUMN($O$1),FALSE)*VLOOKUP($D154,素材!$1:$1016,COLUMN($E$1),FALSE)/(LEN(VLOOKUP($D154,素材!$1:$1016,COLUMN($F$1),FALSE)) - LEN(SUBSTITUTE(VLOOKUP($D154,素材!$1:$1016,COLUMN($F$1),FALSE), "・", 0)) + 1), 0)</f>
        <v>0</v>
      </c>
      <c r="AV154">
        <f>IF(ISNUMBER(SEARCH(SUBSTITUTE(AV$1,RIGHT(AV$1,2),""),VLOOKUP($D154,素材!$1:$1016,COLUMN($F$1),FALSE))),VLOOKUP($C154,武器!$1:$998,COLUMN($O$1),FALSE)*VLOOKUP($D154,素材!$1:$1016,COLUMN($E$1),FALSE)/(LEN(VLOOKUP($D154,素材!$1:$1016,COLUMN($F$1),FALSE)) - LEN(SUBSTITUTE(VLOOKUP($D154,素材!$1:$1016,COLUMN($F$1),FALSE), "・", 0)) + 1), 0)</f>
        <v>0</v>
      </c>
      <c r="AW154">
        <f>IF(ISNUMBER(SEARCH(SUBSTITUTE(AW$1,RIGHT(AW$1,2),""),VLOOKUP($D154,素材!$1:$1016,COLUMN($F$1),FALSE))),VLOOKUP($C154,武器!$1:$998,COLUMN($O$1),FALSE)*VLOOKUP($D154,素材!$1:$1016,COLUMN($E$1),FALSE)/(LEN(VLOOKUP($D154,素材!$1:$1016,COLUMN($F$1),FALSE)) - LEN(SUBSTITUTE(VLOOKUP($D154,素材!$1:$1016,COLUMN($F$1),FALSE), "・", 0)) + 1), 0)</f>
        <v>0</v>
      </c>
      <c r="AX154">
        <f>IF(ISNUMBER(SEARCH(SUBSTITUTE(AX$1,RIGHT(AX$1,2),""),VLOOKUP($D154,素材!$1:$1016,COLUMN($F$1),FALSE))),VLOOKUP($C154,武器!$1:$998,COLUMN($O$1),FALSE)*VLOOKUP($D154,素材!$1:$1016,COLUMN($E$1),FALSE)/(LEN(VLOOKUP($D154,素材!$1:$1016,COLUMN($F$1),FALSE)) - LEN(SUBSTITUTE(VLOOKUP($D154,素材!$1:$1016,COLUMN($F$1),FALSE), "・", 0)) + 1), 0)</f>
        <v>0</v>
      </c>
      <c r="AY154">
        <f>IF(ISNUMBER(SEARCH(SUBSTITUTE(AY$1,RIGHT(AY$1,2),""),VLOOKUP($D154,素材!$1:$1016,COLUMN($F$1),FALSE))),VLOOKUP($C154,武器!$1:$998,COLUMN($O$1),FALSE)*VLOOKUP($D154,素材!$1:$1016,COLUMN($E$1),FALSE)/(LEN(VLOOKUP($D154,素材!$1:$1016,COLUMN($F$1),FALSE)) - LEN(SUBSTITUTE(VLOOKUP($D154,素材!$1:$1016,COLUMN($F$1),FALSE), "・", 0)) + 1), 0)</f>
        <v>0</v>
      </c>
      <c r="AZ154">
        <f>IF(ISNUMBER(SEARCH(SUBSTITUTE(AZ$1,RIGHT(AZ$1,2),""),VLOOKUP($D154,素材!$1:$1016,COLUMN($F$1),FALSE))),VLOOKUP($C154,武器!$1:$998,COLUMN($O$1),FALSE)*VLOOKUP($D154,素材!$1:$1016,COLUMN($E$1),FALSE)/(LEN(VLOOKUP($D154,素材!$1:$1016,COLUMN($F$1),FALSE)) - LEN(SUBSTITUTE(VLOOKUP($D154,素材!$1:$1016,COLUMN($F$1),FALSE), "・", 0)) + 1), 0)</f>
        <v>0</v>
      </c>
      <c r="BA154">
        <f>IF(ISNUMBER(SEARCH(SUBSTITUTE(BA$1,RIGHT(BA$1,2),""),VLOOKUP($D154,素材!$1:$1016,COLUMN($F$1),FALSE))),VLOOKUP($C154,武器!$1:$998,COLUMN($O$1),FALSE)*VLOOKUP($D154,素材!$1:$1016,COLUMN($E$1),FALSE)/(LEN(VLOOKUP($D154,素材!$1:$1016,COLUMN($F$1),FALSE)) - LEN(SUBSTITUTE(VLOOKUP($D154,素材!$1:$1016,COLUMN($F$1),FALSE), "・", 0)) + 1), 0)</f>
        <v>0</v>
      </c>
      <c r="BB154">
        <f>IF(ISNUMBER(SEARCH(SUBSTITUTE(BB$1,RIGHT(BB$1,2),""),VLOOKUP($D154,素材!$1:$1016,COLUMN($F$1),FALSE))),VLOOKUP($C154,武器!$1:$998,COLUMN($O$1),FALSE)*VLOOKUP($D154,素材!$1:$1016,COLUMN($E$1),FALSE)/(LEN(VLOOKUP($D154,素材!$1:$1016,COLUMN($F$1),FALSE)) - LEN(SUBSTITUTE(VLOOKUP($D154,素材!$1:$1016,COLUMN($F$1),FALSE), "・", 0)) + 1), 0)</f>
        <v>0</v>
      </c>
      <c r="BC154">
        <f>IF(ISNUMBER(SEARCH(SUBSTITUTE(BC$1,RIGHT(BC$1,2),""),VLOOKUP($D154,素材!$1:$1016,COLUMN($F$1),FALSE))),VLOOKUP($C154,武器!$1:$998,COLUMN($O$1),FALSE)*VLOOKUP($D154,素材!$1:$1016,COLUMN($E$1),FALSE)/(LEN(VLOOKUP($D154,素材!$1:$1016,COLUMN($F$1),FALSE)) - LEN(SUBSTITUTE(VLOOKUP($D154,素材!$1:$1016,COLUMN($F$1),FALSE), "・", 0)) + 1), 0)</f>
        <v>0</v>
      </c>
      <c r="BD154">
        <f>IF(ISNUMBER(SEARCH(SUBSTITUTE(BD$1,RIGHT(BD$1,2),""),VLOOKUP($D154,素材!$1:$1016,COLUMN($F$1),FALSE))),VLOOKUP($C154,武器!$1:$998,COLUMN($O$1),FALSE)*VLOOKUP($D154,素材!$1:$1016,COLUMN($E$1),FALSE)/(LEN(VLOOKUP($D154,素材!$1:$1016,COLUMN($F$1),FALSE)) - LEN(SUBSTITUTE(VLOOKUP($D154,素材!$1:$1016,COLUMN($F$1),FALSE), "・", 0)) + 1), 0)</f>
        <v>0</v>
      </c>
      <c r="BE154">
        <f>IF(ISNUMBER(SEARCH(SUBSTITUTE(BE$1,RIGHT(BE$1,2),""),VLOOKUP($D154,素材!$1:$1016,COLUMN($F$1),FALSE))),VLOOKUP($C154,武器!$1:$998,COLUMN($O$1),FALSE)*VLOOKUP($D154,素材!$1:$1016,COLUMN($E$1),FALSE)/(LEN(VLOOKUP($D154,素材!$1:$1016,COLUMN($F$1),FALSE)) - LEN(SUBSTITUTE(VLOOKUP($D154,素材!$1:$1016,COLUMN($F$1),FALSE), "・", 0)) + 1), 0)</f>
        <v>0</v>
      </c>
      <c r="CL154">
        <f>SUM(G154:I154)</f>
        <v>0</v>
      </c>
      <c r="CM154" s="22" t="str">
        <f>IF(E154="武器",IF(J154-1&gt;SUM(G154:I154),"盾",IF(MAX(G154:I154)=G154,"切断",IF(MAX(G154:I154)=H154,"貫通",IF(MAX(G154:I154)=I154,"打撃","射撃")))),E154)&amp;".webp"</f>
        <v>体.webp</v>
      </c>
      <c r="CN154">
        <f>IFERROR(VLOOKUP($C154,武器!$1:$998,COLUMN(V$1),FALSE)*VLOOKUP($D154,素材!$1:$1016,COLUMN(N$1),FALSE)+IF(CI154="",0,VLOOKUP($CI154,装強!$1:$1008,COLUMN($CK$1),FALSE)),"")</f>
        <v>13750</v>
      </c>
      <c r="CO154" t="str">
        <f>VLOOKUP(D154,素材!$A:$O,COLUMN(素材!O$1),FALSE)</f>
        <v>炎属性を持つドラゴン型生物から採取される鱗素材。強力な炎属性防御を備えており、耐熱性が求められる場面で特に有用です。</v>
      </c>
      <c r="CP154" t="str">
        <f>VLOOKUP(C154,武器!$A:$W,COLUMN(武器!W$1),FALSE)</f>
        <v>HP 物理 魔法 体幹 出血 疲労 Cr</v>
      </c>
      <c r="CR154" t="str">
        <f t="shared" si="18"/>
        <v>e_154</v>
      </c>
      <c r="CS154">
        <f t="shared" si="22"/>
        <v>1375000</v>
      </c>
    </row>
    <row r="155" spans="1:97" outlineLevel="1" x14ac:dyDescent="0.4">
      <c r="D155" s="24"/>
      <c r="E155" t="str">
        <f>IFERROR(VLOOKUP(C155,武器!$1:$998,COLUMN(C$1),FALSE),"")</f>
        <v/>
      </c>
      <c r="F155" t="str">
        <f>IFERROR(ROUNDDOWN((VLOOKUP($C155,武器!$1:$998,COLUMN(D$1),FALSE)+IFERROR(VLOOKUP($CI155,装強!$1:$999,COLUMN(F$1),FALSE),0))*VLOOKUP($D155,素材!$1:$1016,COLUMN(D$1),FALSE),0),"")</f>
        <v/>
      </c>
      <c r="G155" t="str">
        <f>IFERROR(ROUNDDOWN((VLOOKUP($C155,武器!$1:$998,COLUMN(E$1),FALSE)+IFERROR(VLOOKUP($CI155,装強!$1:$999,COLUMN(G$1),FALSE),0))*VLOOKUP($D155,素材!$1:$1016,COLUMN($E$1),FALSE),0),"")</f>
        <v/>
      </c>
      <c r="H155" t="str">
        <f>IFERROR(ROUNDDOWN((VLOOKUP($C155,武器!$1:$998,COLUMN(F$1),FALSE)+IFERROR(VLOOKUP($CI155,装強!$1:$999,COLUMN(H$1),FALSE),0))*VLOOKUP($D155,素材!$1:$1016,COLUMN($E$1),FALSE),0),"")</f>
        <v/>
      </c>
      <c r="I155" t="str">
        <f>IFERROR(ROUNDDOWN((VLOOKUP($C155,武器!$1:$998,COLUMN(G$1),FALSE)+IFERROR(VLOOKUP($CI155,装強!$1:$999,COLUMN(I$1),FALSE),0))*VLOOKUP($D155,素材!$1:$1016,COLUMN($E$1),FALSE),0),"")</f>
        <v/>
      </c>
      <c r="J155" t="str">
        <f>IFERROR(ROUNDDOWN((VLOOKUP($C155,武器!$1:$998,COLUMN(H$1),FALSE)+IFERROR(VLOOKUP($CI155,装強!$1:$999,COLUMN(J$1),FALSE),0))*VLOOKUP($D155,素材!$1:$1016,COLUMN($E$1),FALSE),0),"")</f>
        <v/>
      </c>
      <c r="K155" t="str">
        <f>IFERROR(ROUNDDOWN((VLOOKUP($C155,武器!$1:$998,COLUMN(I$1),FALSE)+IFERROR(VLOOKUP($CI155,装強!$1:$999,COLUMN(K$1),FALSE),0))*VLOOKUP($D155,素材!$1:$1016,COLUMN($E$1),FALSE),0),"")</f>
        <v/>
      </c>
      <c r="L155" t="str">
        <f>IFERROR(VLOOKUP($D155,素材!$1:$1016,COLUMN($F$1),FALSE),"")</f>
        <v/>
      </c>
      <c r="M155" t="str">
        <f>IFERROR(VLOOKUP($C155,武器!$1:$998,COLUMN(AA$1),FALSE)*VLOOKUP($D155,素材!$1:$1016,COLUMN($G$1),FALSE),"")</f>
        <v/>
      </c>
      <c r="N155" t="str">
        <f>IFERROR(VLOOKUP($C155,武器!$1:$998,COLUMN(I$1),FALSE),"")</f>
        <v/>
      </c>
      <c r="O155" s="23" t="str">
        <f>IFERROR((VLOOKUP($C155,武器!$1:$998,COLUMN(K$1),FALSE)+VLOOKUP($D155,素材!$1:$1016,COLUMN(H$1),FALSE))*100+IFERROR(VLOOKUP($CI155,装強!$1:$999,COLUMN(O$1),FALSE),0),"")</f>
        <v/>
      </c>
      <c r="P155" s="23" t="str">
        <f>IFERROR((VLOOKUP($C155,武器!$1:$998,COLUMN(L$1),FALSE)+VLOOKUP($D155,素材!$1:$1016,COLUMN(I$1),FALSE))*100+IFERROR(VLOOKUP($CI155,装強!$1:$999,COLUMN(P$1),FALSE),0),"")</f>
        <v/>
      </c>
      <c r="Q155" t="str">
        <f>IFERROR(ROUNDUP(VLOOKUP($C155,武器!$1:$998,COLUMN(M$1),FALSE)*(VLOOKUP($D155,素材!$1:$1002,COLUMN(D$1),FALSE)/100),1),"")</f>
        <v/>
      </c>
      <c r="R155" t="str">
        <f>IFERROR(ROUNDUP(VLOOKUP($C155,武器!$1:$998,COLUMN(N$1),FALSE)*(VLOOKUP($D155,素材!$1:$1002,COLUMN(D$1),FALSE)/100),1),"")</f>
        <v/>
      </c>
      <c r="S155" t="str">
        <f>IFERROR(VLOOKUP($C155,武器!$1:$998,COLUMN(P$1),FALSE),"")</f>
        <v/>
      </c>
      <c r="T155" t="str">
        <f>IFERROR(VLOOKUP($C155,武器!$1:$998,COLUMN(Q$1),FALSE),"")</f>
        <v/>
      </c>
      <c r="U155" t="str">
        <f>IFERROR(VLOOKUP($C155,武器!$1:$998,COLUMN(R$1),FALSE),"")</f>
        <v/>
      </c>
      <c r="V155" t="str">
        <f>IFERROR(VLOOKUP($C155,武器!$1:$998,COLUMN(Q$1),FALSE),"")</f>
        <v/>
      </c>
      <c r="W155" t="str">
        <f>IFERROR(VLOOKUP($C155,武器!$1:$998,COLUMN(T$1),FALSE),"")</f>
        <v/>
      </c>
      <c r="Y155" t="str">
        <f>IFERROR(VLOOKUP($C155,武器!$1:$998,COLUMN(U$1),FALSE),"")</f>
        <v/>
      </c>
      <c r="Z155" t="str">
        <f>IFERROR(ROUNDUP(VLOOKUP($C155,武器!$1:$998,COLUMN(O$1),FALSE)*VLOOKUP($D155,素材!$1:$1016,COLUMN(E$1),FALSE),1),"")</f>
        <v/>
      </c>
      <c r="AA155">
        <f>IF(ISNUMBER(SEARCH(SUBSTITUTE(AA$1,RIGHT(AA$1,2),""),VLOOKUP($D155,素材!$1:$1016,COLUMN($F$1),FALSE))),VLOOKUP($C155,武器!$1:$998,COLUMN($O$1),FALSE)*VLOOKUP($D155,素材!$1:$1016,COLUMN($E$1),FALSE)/(LEN(VLOOKUP($D155,素材!$1:$1016,COLUMN($F$1),FALSE)) - LEN(SUBSTITUTE(VLOOKUP($D155,素材!$1:$1016,COLUMN($F$1),FALSE), "・", 0)) + 1), 0)</f>
        <v>0</v>
      </c>
      <c r="AB155">
        <f>IF(ISNUMBER(SEARCH(SUBSTITUTE(AB$1,RIGHT(AB$1,2),""),VLOOKUP($D155,素材!$1:$1016,COLUMN($F$1),FALSE))),VLOOKUP($C155,武器!$1:$998,COLUMN($O$1),FALSE)*VLOOKUP($D155,素材!$1:$1016,COLUMN($E$1),FALSE)/(LEN(VLOOKUP($D155,素材!$1:$1016,COLUMN($F$1),FALSE)) - LEN(SUBSTITUTE(VLOOKUP($D155,素材!$1:$1016,COLUMN($F$1),FALSE), "・", 0)) + 1), 0)</f>
        <v>0</v>
      </c>
      <c r="AC155">
        <f>IF(ISNUMBER(SEARCH(SUBSTITUTE(AC$1,RIGHT(AC$1,2),""),VLOOKUP($D155,素材!$1:$1016,COLUMN($F$1),FALSE))),VLOOKUP($C155,武器!$1:$998,COLUMN($O$1),FALSE)*VLOOKUP($D155,素材!$1:$1016,COLUMN($E$1),FALSE)/(LEN(VLOOKUP($D155,素材!$1:$1016,COLUMN($F$1),FALSE)) - LEN(SUBSTITUTE(VLOOKUP($D155,素材!$1:$1016,COLUMN($F$1),FALSE), "・", 0)) + 1), 0)</f>
        <v>0</v>
      </c>
      <c r="AD155">
        <f>IF(ISNUMBER(SEARCH(SUBSTITUTE(AD$1,RIGHT(AD$1,2),""),VLOOKUP($D155,素材!$1:$1016,COLUMN($F$1),FALSE))),VLOOKUP($C155,武器!$1:$998,COLUMN($O$1),FALSE)*VLOOKUP($D155,素材!$1:$1016,COLUMN($E$1),FALSE)/(LEN(VLOOKUP($D155,素材!$1:$1016,COLUMN($F$1),FALSE)) - LEN(SUBSTITUTE(VLOOKUP($D155,素材!$1:$1016,COLUMN($F$1),FALSE), "・", 0)) + 1), 0)</f>
        <v>0</v>
      </c>
      <c r="AE155">
        <f>IF(ISNUMBER(SEARCH(SUBSTITUTE(AE$1,RIGHT(AE$1,2),""),VLOOKUP($D155,素材!$1:$1016,COLUMN($F$1),FALSE))),VLOOKUP($C155,武器!$1:$998,COLUMN($O$1),FALSE)*VLOOKUP($D155,素材!$1:$1016,COLUMN($E$1),FALSE)/(LEN(VLOOKUP($D155,素材!$1:$1016,COLUMN($F$1),FALSE)) - LEN(SUBSTITUTE(VLOOKUP($D155,素材!$1:$1016,COLUMN($F$1),FALSE), "・", 0)) + 1), 0)</f>
        <v>0</v>
      </c>
      <c r="AF155">
        <f>IF(ISNUMBER(SEARCH(SUBSTITUTE(AF$1,RIGHT(AF$1,2),""),VLOOKUP($D155,素材!$1:$1016,COLUMN($F$1),FALSE))),VLOOKUP($C155,武器!$1:$998,COLUMN($O$1),FALSE)*VLOOKUP($D155,素材!$1:$1016,COLUMN($E$1),FALSE)/(LEN(VLOOKUP($D155,素材!$1:$1016,COLUMN($F$1),FALSE)) - LEN(SUBSTITUTE(VLOOKUP($D155,素材!$1:$1016,COLUMN($F$1),FALSE), "・", 0)) + 1), 0)</f>
        <v>0</v>
      </c>
      <c r="AG155">
        <f>IF(ISNUMBER(SEARCH(SUBSTITUTE(AG$1,RIGHT(AG$1,2),""),VLOOKUP($D155,素材!$1:$1016,COLUMN($F$1),FALSE))),VLOOKUP($C155,武器!$1:$998,COLUMN($O$1),FALSE)*VLOOKUP($D155,素材!$1:$1016,COLUMN($E$1),FALSE)/(LEN(VLOOKUP($D155,素材!$1:$1016,COLUMN($F$1),FALSE)) - LEN(SUBSTITUTE(VLOOKUP($D155,素材!$1:$1016,COLUMN($F$1),FALSE), "・", 0)) + 1), 0)</f>
        <v>0</v>
      </c>
      <c r="AH155">
        <f>IF(ISNUMBER(SEARCH(SUBSTITUTE(AH$1,RIGHT(AH$1,2),""),VLOOKUP($D155,素材!$1:$1016,COLUMN($F$1),FALSE))),VLOOKUP($C155,武器!$1:$998,COLUMN($O$1),FALSE)*VLOOKUP($D155,素材!$1:$1016,COLUMN($E$1),FALSE)/(LEN(VLOOKUP($D155,素材!$1:$1016,COLUMN($F$1),FALSE)) - LEN(SUBSTITUTE(VLOOKUP($D155,素材!$1:$1016,COLUMN($F$1),FALSE), "・", 0)) + 1), 0)</f>
        <v>0</v>
      </c>
      <c r="AI155">
        <f>IF(ISNUMBER(SEARCH(SUBSTITUTE(AI$1,RIGHT(AI$1,2),""),VLOOKUP($D155,素材!$1:$1016,COLUMN($F$1),FALSE))),VLOOKUP($C155,武器!$1:$998,COLUMN($O$1),FALSE)*VLOOKUP($D155,素材!$1:$1016,COLUMN($E$1),FALSE)/(LEN(VLOOKUP($D155,素材!$1:$1016,COLUMN($F$1),FALSE)) - LEN(SUBSTITUTE(VLOOKUP($D155,素材!$1:$1016,COLUMN($F$1),FALSE), "・", 0)) + 1), 0)</f>
        <v>0</v>
      </c>
      <c r="AJ155">
        <f>IF(ISNUMBER(SEARCH(SUBSTITUTE(AJ$1,RIGHT(AJ$1,2),""),VLOOKUP($D155,素材!$1:$1016,COLUMN($F$1),FALSE))),VLOOKUP($C155,武器!$1:$998,COLUMN($O$1),FALSE)*VLOOKUP($D155,素材!$1:$1016,COLUMN($E$1),FALSE)/(LEN(VLOOKUP($D155,素材!$1:$1016,COLUMN($F$1),FALSE)) - LEN(SUBSTITUTE(VLOOKUP($D155,素材!$1:$1016,COLUMN($F$1),FALSE), "・", 0)) + 1), 0)</f>
        <v>0</v>
      </c>
      <c r="AK155">
        <f>IF(ISNUMBER(SEARCH(SUBSTITUTE(AK$1,RIGHT(AK$1,2),""),VLOOKUP($D155,素材!$1:$1016,COLUMN($F$1),FALSE))),VLOOKUP($C155,武器!$1:$998,COLUMN($O$1),FALSE)*VLOOKUP($D155,素材!$1:$1016,COLUMN($E$1),FALSE)/(LEN(VLOOKUP($D155,素材!$1:$1016,COLUMN($F$1),FALSE)) - LEN(SUBSTITUTE(VLOOKUP($D155,素材!$1:$1016,COLUMN($F$1),FALSE), "・", 0)) + 1), 0)</f>
        <v>0</v>
      </c>
      <c r="AL155">
        <f>IF(ISNUMBER(SEARCH(SUBSTITUTE(AL$1,RIGHT(AL$1,2),""),VLOOKUP($D155,素材!$1:$1016,COLUMN($F$1),FALSE))),VLOOKUP($C155,武器!$1:$998,COLUMN($O$1),FALSE)*VLOOKUP($D155,素材!$1:$1016,COLUMN($E$1),FALSE)/(LEN(VLOOKUP($D155,素材!$1:$1016,COLUMN($F$1),FALSE)) - LEN(SUBSTITUTE(VLOOKUP($D155,素材!$1:$1016,COLUMN($F$1),FALSE), "・", 0)) + 1), 0)</f>
        <v>0</v>
      </c>
      <c r="AM155">
        <f>IF(ISNUMBER(SEARCH(SUBSTITUTE(AM$1,RIGHT(AM$1,2),""),VLOOKUP($D155,素材!$1:$1016,COLUMN($F$1),FALSE))),VLOOKUP($C155,武器!$1:$998,COLUMN($O$1),FALSE)*VLOOKUP($D155,素材!$1:$1016,COLUMN($E$1),FALSE)/(LEN(VLOOKUP($D155,素材!$1:$1016,COLUMN($F$1),FALSE)) - LEN(SUBSTITUTE(VLOOKUP($D155,素材!$1:$1016,COLUMN($F$1),FALSE), "・", 0)) + 1), 0)</f>
        <v>0</v>
      </c>
      <c r="AN155">
        <f>IF(ISNUMBER(SEARCH(SUBSTITUTE(AN$1,RIGHT(AN$1,2),""),VLOOKUP($D155,素材!$1:$1016,COLUMN($F$1),FALSE))),VLOOKUP($C155,武器!$1:$998,COLUMN($O$1),FALSE)*VLOOKUP($D155,素材!$1:$1016,COLUMN($E$1),FALSE)/(LEN(VLOOKUP($D155,素材!$1:$1016,COLUMN($F$1),FALSE)) - LEN(SUBSTITUTE(VLOOKUP($D155,素材!$1:$1016,COLUMN($F$1),FALSE), "・", 0)) + 1), 0)</f>
        <v>0</v>
      </c>
      <c r="AO155">
        <f>IF(ISNUMBER(SEARCH(SUBSTITUTE(AO$1,RIGHT(AO$1,2),""),VLOOKUP($D155,素材!$1:$1016,COLUMN($F$1),FALSE))),VLOOKUP($C155,武器!$1:$998,COLUMN($O$1),FALSE)*VLOOKUP($D155,素材!$1:$1016,COLUMN($E$1),FALSE)/(LEN(VLOOKUP($D155,素材!$1:$1016,COLUMN($F$1),FALSE)) - LEN(SUBSTITUTE(VLOOKUP($D155,素材!$1:$1016,COLUMN($F$1),FALSE), "・", 0)) + 1), 0)</f>
        <v>0</v>
      </c>
      <c r="AP155">
        <f>IF(ISNUMBER(SEARCH(SUBSTITUTE(AP$1,RIGHT(AP$1,2),""),VLOOKUP($D155,素材!$1:$1016,COLUMN($F$1),FALSE))),VLOOKUP($C155,武器!$1:$998,COLUMN($O$1),FALSE)*VLOOKUP($D155,素材!$1:$1016,COLUMN($E$1),FALSE)/(LEN(VLOOKUP($D155,素材!$1:$1016,COLUMN($F$1),FALSE)) - LEN(SUBSTITUTE(VLOOKUP($D155,素材!$1:$1016,COLUMN($F$1),FALSE), "・", 0)) + 1), 0)</f>
        <v>0</v>
      </c>
      <c r="AQ155">
        <f>IF(ISNUMBER(SEARCH(SUBSTITUTE(AQ$1,RIGHT(AQ$1,2),""),VLOOKUP($D155,素材!$1:$1016,COLUMN($F$1),FALSE))),VLOOKUP($C155,武器!$1:$998,COLUMN($O$1),FALSE)*VLOOKUP($D155,素材!$1:$1016,COLUMN($E$1),FALSE)/(LEN(VLOOKUP($D155,素材!$1:$1016,COLUMN($F$1),FALSE)) - LEN(SUBSTITUTE(VLOOKUP($D155,素材!$1:$1016,COLUMN($F$1),FALSE), "・", 0)) + 1), 0)</f>
        <v>0</v>
      </c>
      <c r="AR155">
        <f>IF(ISNUMBER(SEARCH(SUBSTITUTE(AR$1,RIGHT(AR$1,2),""),VLOOKUP($D155,素材!$1:$1016,COLUMN($F$1),FALSE))),VLOOKUP($C155,武器!$1:$998,COLUMN($O$1),FALSE)*VLOOKUP($D155,素材!$1:$1016,COLUMN($E$1),FALSE)/(LEN(VLOOKUP($D155,素材!$1:$1016,COLUMN($F$1),FALSE)) - LEN(SUBSTITUTE(VLOOKUP($D155,素材!$1:$1016,COLUMN($F$1),FALSE), "・", 0)) + 1), 0)</f>
        <v>0</v>
      </c>
      <c r="AS155">
        <f>IF(ISNUMBER(SEARCH(SUBSTITUTE(AS$1,RIGHT(AS$1,2),""),VLOOKUP($D155,素材!$1:$1016,COLUMN($F$1),FALSE))),VLOOKUP($C155,武器!$1:$998,COLUMN($O$1),FALSE)*VLOOKUP($D155,素材!$1:$1016,COLUMN($E$1),FALSE)/(LEN(VLOOKUP($D155,素材!$1:$1016,COLUMN($F$1),FALSE)) - LEN(SUBSTITUTE(VLOOKUP($D155,素材!$1:$1016,COLUMN($F$1),FALSE), "・", 0)) + 1), 0)</f>
        <v>0</v>
      </c>
      <c r="AT155">
        <f>IF(ISNUMBER(SEARCH(SUBSTITUTE(AT$1,RIGHT(AT$1,2),""),VLOOKUP($D155,素材!$1:$1016,COLUMN($F$1),FALSE))),VLOOKUP($C155,武器!$1:$998,COLUMN($O$1),FALSE)*VLOOKUP($D155,素材!$1:$1016,COLUMN($E$1),FALSE)/(LEN(VLOOKUP($D155,素材!$1:$1016,COLUMN($F$1),FALSE)) - LEN(SUBSTITUTE(VLOOKUP($D155,素材!$1:$1016,COLUMN($F$1),FALSE), "・", 0)) + 1), 0)</f>
        <v>0</v>
      </c>
      <c r="AU155">
        <f>IF(ISNUMBER(SEARCH(SUBSTITUTE(AU$1,RIGHT(AU$1,2),""),VLOOKUP($D155,素材!$1:$1016,COLUMN($F$1),FALSE))),VLOOKUP($C155,武器!$1:$998,COLUMN($O$1),FALSE)*VLOOKUP($D155,素材!$1:$1016,COLUMN($E$1),FALSE)/(LEN(VLOOKUP($D155,素材!$1:$1016,COLUMN($F$1),FALSE)) - LEN(SUBSTITUTE(VLOOKUP($D155,素材!$1:$1016,COLUMN($F$1),FALSE), "・", 0)) + 1), 0)</f>
        <v>0</v>
      </c>
      <c r="AV155">
        <f>IF(ISNUMBER(SEARCH(SUBSTITUTE(AV$1,RIGHT(AV$1,2),""),VLOOKUP($D155,素材!$1:$1016,COLUMN($F$1),FALSE))),VLOOKUP($C155,武器!$1:$998,COLUMN($O$1),FALSE)*VLOOKUP($D155,素材!$1:$1016,COLUMN($E$1),FALSE)/(LEN(VLOOKUP($D155,素材!$1:$1016,COLUMN($F$1),FALSE)) - LEN(SUBSTITUTE(VLOOKUP($D155,素材!$1:$1016,COLUMN($F$1),FALSE), "・", 0)) + 1), 0)</f>
        <v>0</v>
      </c>
      <c r="AW155">
        <f>IF(ISNUMBER(SEARCH(SUBSTITUTE(AW$1,RIGHT(AW$1,2),""),VLOOKUP($D155,素材!$1:$1016,COLUMN($F$1),FALSE))),VLOOKUP($C155,武器!$1:$998,COLUMN($O$1),FALSE)*VLOOKUP($D155,素材!$1:$1016,COLUMN($E$1),FALSE)/(LEN(VLOOKUP($D155,素材!$1:$1016,COLUMN($F$1),FALSE)) - LEN(SUBSTITUTE(VLOOKUP($D155,素材!$1:$1016,COLUMN($F$1),FALSE), "・", 0)) + 1), 0)</f>
        <v>0</v>
      </c>
      <c r="AX155">
        <f>IF(ISNUMBER(SEARCH(SUBSTITUTE(AX$1,RIGHT(AX$1,2),""),VLOOKUP($D155,素材!$1:$1016,COLUMN($F$1),FALSE))),VLOOKUP($C155,武器!$1:$998,COLUMN($O$1),FALSE)*VLOOKUP($D155,素材!$1:$1016,COLUMN($E$1),FALSE)/(LEN(VLOOKUP($D155,素材!$1:$1016,COLUMN($F$1),FALSE)) - LEN(SUBSTITUTE(VLOOKUP($D155,素材!$1:$1016,COLUMN($F$1),FALSE), "・", 0)) + 1), 0)</f>
        <v>0</v>
      </c>
      <c r="AY155">
        <f>IF(ISNUMBER(SEARCH(SUBSTITUTE(AY$1,RIGHT(AY$1,2),""),VLOOKUP($D155,素材!$1:$1016,COLUMN($F$1),FALSE))),VLOOKUP($C155,武器!$1:$998,COLUMN($O$1),FALSE)*VLOOKUP($D155,素材!$1:$1016,COLUMN($E$1),FALSE)/(LEN(VLOOKUP($D155,素材!$1:$1016,COLUMN($F$1),FALSE)) - LEN(SUBSTITUTE(VLOOKUP($D155,素材!$1:$1016,COLUMN($F$1),FALSE), "・", 0)) + 1), 0)</f>
        <v>0</v>
      </c>
      <c r="AZ155">
        <f>IF(ISNUMBER(SEARCH(SUBSTITUTE(AZ$1,RIGHT(AZ$1,2),""),VLOOKUP($D155,素材!$1:$1016,COLUMN($F$1),FALSE))),VLOOKUP($C155,武器!$1:$998,COLUMN($O$1),FALSE)*VLOOKUP($D155,素材!$1:$1016,COLUMN($E$1),FALSE)/(LEN(VLOOKUP($D155,素材!$1:$1016,COLUMN($F$1),FALSE)) - LEN(SUBSTITUTE(VLOOKUP($D155,素材!$1:$1016,COLUMN($F$1),FALSE), "・", 0)) + 1), 0)</f>
        <v>0</v>
      </c>
      <c r="BA155">
        <f>IF(ISNUMBER(SEARCH(SUBSTITUTE(BA$1,RIGHT(BA$1,2),""),VLOOKUP($D155,素材!$1:$1016,COLUMN($F$1),FALSE))),VLOOKUP($C155,武器!$1:$998,COLUMN($O$1),FALSE)*VLOOKUP($D155,素材!$1:$1016,COLUMN($E$1),FALSE)/(LEN(VLOOKUP($D155,素材!$1:$1016,COLUMN($F$1),FALSE)) - LEN(SUBSTITUTE(VLOOKUP($D155,素材!$1:$1016,COLUMN($F$1),FALSE), "・", 0)) + 1), 0)</f>
        <v>0</v>
      </c>
      <c r="BB155">
        <f>IF(ISNUMBER(SEARCH(SUBSTITUTE(BB$1,RIGHT(BB$1,2),""),VLOOKUP($D155,素材!$1:$1016,COLUMN($F$1),FALSE))),VLOOKUP($C155,武器!$1:$998,COLUMN($O$1),FALSE)*VLOOKUP($D155,素材!$1:$1016,COLUMN($E$1),FALSE)/(LEN(VLOOKUP($D155,素材!$1:$1016,COLUMN($F$1),FALSE)) - LEN(SUBSTITUTE(VLOOKUP($D155,素材!$1:$1016,COLUMN($F$1),FALSE), "・", 0)) + 1), 0)</f>
        <v>0</v>
      </c>
      <c r="BC155">
        <f>IF(ISNUMBER(SEARCH(SUBSTITUTE(BC$1,RIGHT(BC$1,2),""),VLOOKUP($D155,素材!$1:$1016,COLUMN($F$1),FALSE))),VLOOKUP($C155,武器!$1:$998,COLUMN($O$1),FALSE)*VLOOKUP($D155,素材!$1:$1016,COLUMN($E$1),FALSE)/(LEN(VLOOKUP($D155,素材!$1:$1016,COLUMN($F$1),FALSE)) - LEN(SUBSTITUTE(VLOOKUP($D155,素材!$1:$1016,COLUMN($F$1),FALSE), "・", 0)) + 1), 0)</f>
        <v>0</v>
      </c>
      <c r="BD155">
        <f>IF(ISNUMBER(SEARCH(SUBSTITUTE(BD$1,RIGHT(BD$1,2),""),VLOOKUP($D155,素材!$1:$1016,COLUMN($F$1),FALSE))),VLOOKUP($C155,武器!$1:$998,COLUMN($O$1),FALSE)*VLOOKUP($D155,素材!$1:$1016,COLUMN($E$1),FALSE)/(LEN(VLOOKUP($D155,素材!$1:$1016,COLUMN($F$1),FALSE)) - LEN(SUBSTITUTE(VLOOKUP($D155,素材!$1:$1016,COLUMN($F$1),FALSE), "・", 0)) + 1), 0)</f>
        <v>0</v>
      </c>
      <c r="BE155">
        <f>IF(ISNUMBER(SEARCH(SUBSTITUTE(BE$1,RIGHT(BE$1,2),""),VLOOKUP($D155,素材!$1:$1016,COLUMN($F$1),FALSE))),VLOOKUP($C155,武器!$1:$998,COLUMN($O$1),FALSE)*VLOOKUP($D155,素材!$1:$1016,COLUMN($E$1),FALSE)/(LEN(VLOOKUP($D155,素材!$1:$1016,COLUMN($F$1),FALSE)) - LEN(SUBSTITUTE(VLOOKUP($D155,素材!$1:$1016,COLUMN($F$1),FALSE), "・", 0)) + 1), 0)</f>
        <v>0</v>
      </c>
      <c r="CL155">
        <f>SUM(G155:I155)</f>
        <v>0</v>
      </c>
      <c r="CM155" s="22" t="str">
        <f>IF(E155="武器",IF(J155-1&gt;SUM(G155:I155),"盾",IF(MAX(G155:I155)=G155,"切断",IF(MAX(G155:I155)=H155,"貫通",IF(MAX(G155:I155)=I155,"打撃","射撃")))),E155)&amp;".webp"</f>
        <v>.webp</v>
      </c>
      <c r="CN155" t="str">
        <f>IFERROR(VLOOKUP($C155,武器!$1:$998,COLUMN(V$1),FALSE)*VLOOKUP($D155,素材!$1:$1016,COLUMN(N$1),FALSE)+IF(CI155="",0,VLOOKUP($CI155,装強!$1:$1008,COLUMN($CK$1),FALSE)),"")</f>
        <v/>
      </c>
      <c r="CO155" t="e">
        <f>VLOOKUP(D155,素材!$A:$O,COLUMN(素材!O$1),FALSE)</f>
        <v>#N/A</v>
      </c>
      <c r="CR155" t="str">
        <f t="shared" si="18"/>
        <v>e_155</v>
      </c>
      <c r="CS155" t="e">
        <f t="shared" si="22"/>
        <v>#VALUE!</v>
      </c>
    </row>
    <row r="156" spans="1:97" outlineLevel="1" x14ac:dyDescent="0.4">
      <c r="D156" s="24"/>
      <c r="E156" t="str">
        <f>IFERROR(VLOOKUP(C156,武器!$1:$998,COLUMN(C$1),FALSE),"")</f>
        <v/>
      </c>
      <c r="F156" t="str">
        <f>IFERROR(ROUNDDOWN((VLOOKUP($C156,武器!$1:$998,COLUMN(D$1),FALSE)+IFERROR(VLOOKUP($CI156,装強!$1:$999,COLUMN(F$1),FALSE),0))*VLOOKUP($D156,素材!$1:$1016,COLUMN(D$1),FALSE),0),"")</f>
        <v/>
      </c>
      <c r="G156" t="str">
        <f>IFERROR(ROUNDDOWN((VLOOKUP($C156,武器!$1:$998,COLUMN(E$1),FALSE)+IFERROR(VLOOKUP($CI156,装強!$1:$999,COLUMN(G$1),FALSE),0))*VLOOKUP($D156,素材!$1:$1016,COLUMN($E$1),FALSE),0),"")</f>
        <v/>
      </c>
      <c r="H156" t="str">
        <f>IFERROR(ROUNDDOWN((VLOOKUP($C156,武器!$1:$998,COLUMN(F$1),FALSE)+IFERROR(VLOOKUP($CI156,装強!$1:$999,COLUMN(H$1),FALSE),0))*VLOOKUP($D156,素材!$1:$1016,COLUMN($E$1),FALSE),0),"")</f>
        <v/>
      </c>
      <c r="I156" t="str">
        <f>IFERROR(ROUNDDOWN((VLOOKUP($C156,武器!$1:$998,COLUMN(G$1),FALSE)+IFERROR(VLOOKUP($CI156,装強!$1:$999,COLUMN(I$1),FALSE),0))*VLOOKUP($D156,素材!$1:$1016,COLUMN($E$1),FALSE),0),"")</f>
        <v/>
      </c>
      <c r="J156" t="str">
        <f>IFERROR(ROUNDDOWN((VLOOKUP($C156,武器!$1:$998,COLUMN(H$1),FALSE)+IFERROR(VLOOKUP($CI156,装強!$1:$999,COLUMN(J$1),FALSE),0))*VLOOKUP($D156,素材!$1:$1016,COLUMN($E$1),FALSE),0),"")</f>
        <v/>
      </c>
      <c r="K156" t="str">
        <f>IFERROR(ROUNDDOWN((VLOOKUP($C156,武器!$1:$998,COLUMN(I$1),FALSE)+IFERROR(VLOOKUP($CI156,装強!$1:$999,COLUMN(K$1),FALSE),0))*VLOOKUP($D156,素材!$1:$1016,COLUMN($E$1),FALSE),0),"")</f>
        <v/>
      </c>
      <c r="L156" t="str">
        <f>IFERROR(VLOOKUP($D156,素材!$1:$1016,COLUMN($F$1),FALSE),"")</f>
        <v/>
      </c>
      <c r="M156" t="str">
        <f>IFERROR(VLOOKUP($C156,武器!$1:$998,COLUMN(AA$1),FALSE)*VLOOKUP($D156,素材!$1:$1016,COLUMN($G$1),FALSE),"")</f>
        <v/>
      </c>
      <c r="N156" t="str">
        <f>IFERROR(VLOOKUP($C156,武器!$1:$998,COLUMN(I$1),FALSE),"")</f>
        <v/>
      </c>
      <c r="O156" s="23" t="str">
        <f>IFERROR((VLOOKUP($C156,武器!$1:$998,COLUMN(K$1),FALSE)+VLOOKUP($D156,素材!$1:$1016,COLUMN(H$1),FALSE))*100+IFERROR(VLOOKUP($CI156,装強!$1:$999,COLUMN(O$1),FALSE),0),"")</f>
        <v/>
      </c>
      <c r="P156" s="23" t="str">
        <f>IFERROR((VLOOKUP($C156,武器!$1:$998,COLUMN(L$1),FALSE)+VLOOKUP($D156,素材!$1:$1016,COLUMN(I$1),FALSE))*100+IFERROR(VLOOKUP($CI156,装強!$1:$999,COLUMN(P$1),FALSE),0),"")</f>
        <v/>
      </c>
      <c r="Q156" t="str">
        <f>IFERROR(ROUNDUP(VLOOKUP($C156,武器!$1:$998,COLUMN(M$1),FALSE)*(VLOOKUP($D156,素材!$1:$1002,COLUMN(D$1),FALSE)/100),1),"")</f>
        <v/>
      </c>
      <c r="R156" t="str">
        <f>IFERROR(ROUNDUP(VLOOKUP($C156,武器!$1:$998,COLUMN(N$1),FALSE)*(VLOOKUP($D156,素材!$1:$1002,COLUMN(D$1),FALSE)/100),1),"")</f>
        <v/>
      </c>
      <c r="S156" t="str">
        <f>IFERROR(VLOOKUP($C156,武器!$1:$998,COLUMN(P$1),FALSE),"")</f>
        <v/>
      </c>
      <c r="T156" t="str">
        <f>IFERROR(VLOOKUP($C156,武器!$1:$998,COLUMN(Q$1),FALSE),"")</f>
        <v/>
      </c>
      <c r="U156" t="str">
        <f>IFERROR(VLOOKUP($C156,武器!$1:$998,COLUMN(R$1),FALSE),"")</f>
        <v/>
      </c>
      <c r="V156" t="str">
        <f>IFERROR(VLOOKUP($C156,武器!$1:$998,COLUMN(Q$1),FALSE),"")</f>
        <v/>
      </c>
      <c r="W156" t="str">
        <f>IFERROR(VLOOKUP($C156,武器!$1:$998,COLUMN(T$1),FALSE),"")</f>
        <v/>
      </c>
      <c r="Y156" t="str">
        <f>IFERROR(VLOOKUP($C156,武器!$1:$998,COLUMN(U$1),FALSE),"")</f>
        <v/>
      </c>
      <c r="Z156" t="str">
        <f>IFERROR(ROUNDUP(VLOOKUP($C156,武器!$1:$998,COLUMN(O$1),FALSE)*VLOOKUP($D156,素材!$1:$1016,COLUMN(E$1),FALSE),1),"")</f>
        <v/>
      </c>
      <c r="AA156">
        <f>IF(ISNUMBER(SEARCH(SUBSTITUTE(AA$1,RIGHT(AA$1,2),""),VLOOKUP($D156,素材!$1:$1016,COLUMN($F$1),FALSE))),VLOOKUP($C156,武器!$1:$998,COLUMN($O$1),FALSE)*VLOOKUP($D156,素材!$1:$1016,COLUMN($E$1),FALSE)/(LEN(VLOOKUP($D156,素材!$1:$1016,COLUMN($F$1),FALSE)) - LEN(SUBSTITUTE(VLOOKUP($D156,素材!$1:$1016,COLUMN($F$1),FALSE), "・", 0)) + 1), 0)</f>
        <v>0</v>
      </c>
      <c r="AB156">
        <f>IF(ISNUMBER(SEARCH(SUBSTITUTE(AB$1,RIGHT(AB$1,2),""),VLOOKUP($D156,素材!$1:$1016,COLUMN($F$1),FALSE))),VLOOKUP($C156,武器!$1:$998,COLUMN($O$1),FALSE)*VLOOKUP($D156,素材!$1:$1016,COLUMN($E$1),FALSE)/(LEN(VLOOKUP($D156,素材!$1:$1016,COLUMN($F$1),FALSE)) - LEN(SUBSTITUTE(VLOOKUP($D156,素材!$1:$1016,COLUMN($F$1),FALSE), "・", 0)) + 1), 0)</f>
        <v>0</v>
      </c>
      <c r="AC156">
        <f>IF(ISNUMBER(SEARCH(SUBSTITUTE(AC$1,RIGHT(AC$1,2),""),VLOOKUP($D156,素材!$1:$1016,COLUMN($F$1),FALSE))),VLOOKUP($C156,武器!$1:$998,COLUMN($O$1),FALSE)*VLOOKUP($D156,素材!$1:$1016,COLUMN($E$1),FALSE)/(LEN(VLOOKUP($D156,素材!$1:$1016,COLUMN($F$1),FALSE)) - LEN(SUBSTITUTE(VLOOKUP($D156,素材!$1:$1016,COLUMN($F$1),FALSE), "・", 0)) + 1), 0)</f>
        <v>0</v>
      </c>
      <c r="AD156">
        <f>IF(ISNUMBER(SEARCH(SUBSTITUTE(AD$1,RIGHT(AD$1,2),""),VLOOKUP($D156,素材!$1:$1016,COLUMN($F$1),FALSE))),VLOOKUP($C156,武器!$1:$998,COLUMN($O$1),FALSE)*VLOOKUP($D156,素材!$1:$1016,COLUMN($E$1),FALSE)/(LEN(VLOOKUP($D156,素材!$1:$1016,COLUMN($F$1),FALSE)) - LEN(SUBSTITUTE(VLOOKUP($D156,素材!$1:$1016,COLUMN($F$1),FALSE), "・", 0)) + 1), 0)</f>
        <v>0</v>
      </c>
      <c r="AE156">
        <f>IF(ISNUMBER(SEARCH(SUBSTITUTE(AE$1,RIGHT(AE$1,2),""),VLOOKUP($D156,素材!$1:$1016,COLUMN($F$1),FALSE))),VLOOKUP($C156,武器!$1:$998,COLUMN($O$1),FALSE)*VLOOKUP($D156,素材!$1:$1016,COLUMN($E$1),FALSE)/(LEN(VLOOKUP($D156,素材!$1:$1016,COLUMN($F$1),FALSE)) - LEN(SUBSTITUTE(VLOOKUP($D156,素材!$1:$1016,COLUMN($F$1),FALSE), "・", 0)) + 1), 0)</f>
        <v>0</v>
      </c>
      <c r="AF156">
        <f>IF(ISNUMBER(SEARCH(SUBSTITUTE(AF$1,RIGHT(AF$1,2),""),VLOOKUP($D156,素材!$1:$1016,COLUMN($F$1),FALSE))),VLOOKUP($C156,武器!$1:$998,COLUMN($O$1),FALSE)*VLOOKUP($D156,素材!$1:$1016,COLUMN($E$1),FALSE)/(LEN(VLOOKUP($D156,素材!$1:$1016,COLUMN($F$1),FALSE)) - LEN(SUBSTITUTE(VLOOKUP($D156,素材!$1:$1016,COLUMN($F$1),FALSE), "・", 0)) + 1), 0)</f>
        <v>0</v>
      </c>
      <c r="AG156">
        <f>IF(ISNUMBER(SEARCH(SUBSTITUTE(AG$1,RIGHT(AG$1,2),""),VLOOKUP($D156,素材!$1:$1016,COLUMN($F$1),FALSE))),VLOOKUP($C156,武器!$1:$998,COLUMN($O$1),FALSE)*VLOOKUP($D156,素材!$1:$1016,COLUMN($E$1),FALSE)/(LEN(VLOOKUP($D156,素材!$1:$1016,COLUMN($F$1),FALSE)) - LEN(SUBSTITUTE(VLOOKUP($D156,素材!$1:$1016,COLUMN($F$1),FALSE), "・", 0)) + 1), 0)</f>
        <v>0</v>
      </c>
      <c r="AH156">
        <f>IF(ISNUMBER(SEARCH(SUBSTITUTE(AH$1,RIGHT(AH$1,2),""),VLOOKUP($D156,素材!$1:$1016,COLUMN($F$1),FALSE))),VLOOKUP($C156,武器!$1:$998,COLUMN($O$1),FALSE)*VLOOKUP($D156,素材!$1:$1016,COLUMN($E$1),FALSE)/(LEN(VLOOKUP($D156,素材!$1:$1016,COLUMN($F$1),FALSE)) - LEN(SUBSTITUTE(VLOOKUP($D156,素材!$1:$1016,COLUMN($F$1),FALSE), "・", 0)) + 1), 0)</f>
        <v>0</v>
      </c>
      <c r="AI156">
        <f>IF(ISNUMBER(SEARCH(SUBSTITUTE(AI$1,RIGHT(AI$1,2),""),VLOOKUP($D156,素材!$1:$1016,COLUMN($F$1),FALSE))),VLOOKUP($C156,武器!$1:$998,COLUMN($O$1),FALSE)*VLOOKUP($D156,素材!$1:$1016,COLUMN($E$1),FALSE)/(LEN(VLOOKUP($D156,素材!$1:$1016,COLUMN($F$1),FALSE)) - LEN(SUBSTITUTE(VLOOKUP($D156,素材!$1:$1016,COLUMN($F$1),FALSE), "・", 0)) + 1), 0)</f>
        <v>0</v>
      </c>
      <c r="AJ156">
        <f>IF(ISNUMBER(SEARCH(SUBSTITUTE(AJ$1,RIGHT(AJ$1,2),""),VLOOKUP($D156,素材!$1:$1016,COLUMN($F$1),FALSE))),VLOOKUP($C156,武器!$1:$998,COLUMN($O$1),FALSE)*VLOOKUP($D156,素材!$1:$1016,COLUMN($E$1),FALSE)/(LEN(VLOOKUP($D156,素材!$1:$1016,COLUMN($F$1),FALSE)) - LEN(SUBSTITUTE(VLOOKUP($D156,素材!$1:$1016,COLUMN($F$1),FALSE), "・", 0)) + 1), 0)</f>
        <v>0</v>
      </c>
      <c r="AK156">
        <f>IF(ISNUMBER(SEARCH(SUBSTITUTE(AK$1,RIGHT(AK$1,2),""),VLOOKUP($D156,素材!$1:$1016,COLUMN($F$1),FALSE))),VLOOKUP($C156,武器!$1:$998,COLUMN($O$1),FALSE)*VLOOKUP($D156,素材!$1:$1016,COLUMN($E$1),FALSE)/(LEN(VLOOKUP($D156,素材!$1:$1016,COLUMN($F$1),FALSE)) - LEN(SUBSTITUTE(VLOOKUP($D156,素材!$1:$1016,COLUMN($F$1),FALSE), "・", 0)) + 1), 0)</f>
        <v>0</v>
      </c>
      <c r="AL156">
        <f>IF(ISNUMBER(SEARCH(SUBSTITUTE(AL$1,RIGHT(AL$1,2),""),VLOOKUP($D156,素材!$1:$1016,COLUMN($F$1),FALSE))),VLOOKUP($C156,武器!$1:$998,COLUMN($O$1),FALSE)*VLOOKUP($D156,素材!$1:$1016,COLUMN($E$1),FALSE)/(LEN(VLOOKUP($D156,素材!$1:$1016,COLUMN($F$1),FALSE)) - LEN(SUBSTITUTE(VLOOKUP($D156,素材!$1:$1016,COLUMN($F$1),FALSE), "・", 0)) + 1), 0)</f>
        <v>0</v>
      </c>
      <c r="AM156">
        <f>IF(ISNUMBER(SEARCH(SUBSTITUTE(AM$1,RIGHT(AM$1,2),""),VLOOKUP($D156,素材!$1:$1016,COLUMN($F$1),FALSE))),VLOOKUP($C156,武器!$1:$998,COLUMN($O$1),FALSE)*VLOOKUP($D156,素材!$1:$1016,COLUMN($E$1),FALSE)/(LEN(VLOOKUP($D156,素材!$1:$1016,COLUMN($F$1),FALSE)) - LEN(SUBSTITUTE(VLOOKUP($D156,素材!$1:$1016,COLUMN($F$1),FALSE), "・", 0)) + 1), 0)</f>
        <v>0</v>
      </c>
      <c r="AN156">
        <f>IF(ISNUMBER(SEARCH(SUBSTITUTE(AN$1,RIGHT(AN$1,2),""),VLOOKUP($D156,素材!$1:$1016,COLUMN($F$1),FALSE))),VLOOKUP($C156,武器!$1:$998,COLUMN($O$1),FALSE)*VLOOKUP($D156,素材!$1:$1016,COLUMN($E$1),FALSE)/(LEN(VLOOKUP($D156,素材!$1:$1016,COLUMN($F$1),FALSE)) - LEN(SUBSTITUTE(VLOOKUP($D156,素材!$1:$1016,COLUMN($F$1),FALSE), "・", 0)) + 1), 0)</f>
        <v>0</v>
      </c>
      <c r="AO156">
        <f>IF(ISNUMBER(SEARCH(SUBSTITUTE(AO$1,RIGHT(AO$1,2),""),VLOOKUP($D156,素材!$1:$1016,COLUMN($F$1),FALSE))),VLOOKUP($C156,武器!$1:$998,COLUMN($O$1),FALSE)*VLOOKUP($D156,素材!$1:$1016,COLUMN($E$1),FALSE)/(LEN(VLOOKUP($D156,素材!$1:$1016,COLUMN($F$1),FALSE)) - LEN(SUBSTITUTE(VLOOKUP($D156,素材!$1:$1016,COLUMN($F$1),FALSE), "・", 0)) + 1), 0)</f>
        <v>0</v>
      </c>
      <c r="AP156">
        <f>IF(ISNUMBER(SEARCH(SUBSTITUTE(AP$1,RIGHT(AP$1,2),""),VLOOKUP($D156,素材!$1:$1016,COLUMN($F$1),FALSE))),VLOOKUP($C156,武器!$1:$998,COLUMN($O$1),FALSE)*VLOOKUP($D156,素材!$1:$1016,COLUMN($E$1),FALSE)/(LEN(VLOOKUP($D156,素材!$1:$1016,COLUMN($F$1),FALSE)) - LEN(SUBSTITUTE(VLOOKUP($D156,素材!$1:$1016,COLUMN($F$1),FALSE), "・", 0)) + 1), 0)</f>
        <v>0</v>
      </c>
      <c r="AQ156">
        <f>IF(ISNUMBER(SEARCH(SUBSTITUTE(AQ$1,RIGHT(AQ$1,2),""),VLOOKUP($D156,素材!$1:$1016,COLUMN($F$1),FALSE))),VLOOKUP($C156,武器!$1:$998,COLUMN($O$1),FALSE)*VLOOKUP($D156,素材!$1:$1016,COLUMN($E$1),FALSE)/(LEN(VLOOKUP($D156,素材!$1:$1016,COLUMN($F$1),FALSE)) - LEN(SUBSTITUTE(VLOOKUP($D156,素材!$1:$1016,COLUMN($F$1),FALSE), "・", 0)) + 1), 0)</f>
        <v>0</v>
      </c>
      <c r="AR156">
        <f>IF(ISNUMBER(SEARCH(SUBSTITUTE(AR$1,RIGHT(AR$1,2),""),VLOOKUP($D156,素材!$1:$1016,COLUMN($F$1),FALSE))),VLOOKUP($C156,武器!$1:$998,COLUMN($O$1),FALSE)*VLOOKUP($D156,素材!$1:$1016,COLUMN($E$1),FALSE)/(LEN(VLOOKUP($D156,素材!$1:$1016,COLUMN($F$1),FALSE)) - LEN(SUBSTITUTE(VLOOKUP($D156,素材!$1:$1016,COLUMN($F$1),FALSE), "・", 0)) + 1), 0)</f>
        <v>0</v>
      </c>
      <c r="AS156">
        <f>IF(ISNUMBER(SEARCH(SUBSTITUTE(AS$1,RIGHT(AS$1,2),""),VLOOKUP($D156,素材!$1:$1016,COLUMN($F$1),FALSE))),VLOOKUP($C156,武器!$1:$998,COLUMN($O$1),FALSE)*VLOOKUP($D156,素材!$1:$1016,COLUMN($E$1),FALSE)/(LEN(VLOOKUP($D156,素材!$1:$1016,COLUMN($F$1),FALSE)) - LEN(SUBSTITUTE(VLOOKUP($D156,素材!$1:$1016,COLUMN($F$1),FALSE), "・", 0)) + 1), 0)</f>
        <v>0</v>
      </c>
      <c r="AT156">
        <f>IF(ISNUMBER(SEARCH(SUBSTITUTE(AT$1,RIGHT(AT$1,2),""),VLOOKUP($D156,素材!$1:$1016,COLUMN($F$1),FALSE))),VLOOKUP($C156,武器!$1:$998,COLUMN($O$1),FALSE)*VLOOKUP($D156,素材!$1:$1016,COLUMN($E$1),FALSE)/(LEN(VLOOKUP($D156,素材!$1:$1016,COLUMN($F$1),FALSE)) - LEN(SUBSTITUTE(VLOOKUP($D156,素材!$1:$1016,COLUMN($F$1),FALSE), "・", 0)) + 1), 0)</f>
        <v>0</v>
      </c>
      <c r="AU156">
        <f>IF(ISNUMBER(SEARCH(SUBSTITUTE(AU$1,RIGHT(AU$1,2),""),VLOOKUP($D156,素材!$1:$1016,COLUMN($F$1),FALSE))),VLOOKUP($C156,武器!$1:$998,COLUMN($O$1),FALSE)*VLOOKUP($D156,素材!$1:$1016,COLUMN($E$1),FALSE)/(LEN(VLOOKUP($D156,素材!$1:$1016,COLUMN($F$1),FALSE)) - LEN(SUBSTITUTE(VLOOKUP($D156,素材!$1:$1016,COLUMN($F$1),FALSE), "・", 0)) + 1), 0)</f>
        <v>0</v>
      </c>
      <c r="AV156">
        <f>IF(ISNUMBER(SEARCH(SUBSTITUTE(AV$1,RIGHT(AV$1,2),""),VLOOKUP($D156,素材!$1:$1016,COLUMN($F$1),FALSE))),VLOOKUP($C156,武器!$1:$998,COLUMN($O$1),FALSE)*VLOOKUP($D156,素材!$1:$1016,COLUMN($E$1),FALSE)/(LEN(VLOOKUP($D156,素材!$1:$1016,COLUMN($F$1),FALSE)) - LEN(SUBSTITUTE(VLOOKUP($D156,素材!$1:$1016,COLUMN($F$1),FALSE), "・", 0)) + 1), 0)</f>
        <v>0</v>
      </c>
      <c r="AW156">
        <f>IF(ISNUMBER(SEARCH(SUBSTITUTE(AW$1,RIGHT(AW$1,2),""),VLOOKUP($D156,素材!$1:$1016,COLUMN($F$1),FALSE))),VLOOKUP($C156,武器!$1:$998,COLUMN($O$1),FALSE)*VLOOKUP($D156,素材!$1:$1016,COLUMN($E$1),FALSE)/(LEN(VLOOKUP($D156,素材!$1:$1016,COLUMN($F$1),FALSE)) - LEN(SUBSTITUTE(VLOOKUP($D156,素材!$1:$1016,COLUMN($F$1),FALSE), "・", 0)) + 1), 0)</f>
        <v>0</v>
      </c>
      <c r="AX156">
        <f>IF(ISNUMBER(SEARCH(SUBSTITUTE(AX$1,RIGHT(AX$1,2),""),VLOOKUP($D156,素材!$1:$1016,COLUMN($F$1),FALSE))),VLOOKUP($C156,武器!$1:$998,COLUMN($O$1),FALSE)*VLOOKUP($D156,素材!$1:$1016,COLUMN($E$1),FALSE)/(LEN(VLOOKUP($D156,素材!$1:$1016,COLUMN($F$1),FALSE)) - LEN(SUBSTITUTE(VLOOKUP($D156,素材!$1:$1016,COLUMN($F$1),FALSE), "・", 0)) + 1), 0)</f>
        <v>0</v>
      </c>
      <c r="AY156">
        <f>IF(ISNUMBER(SEARCH(SUBSTITUTE(AY$1,RIGHT(AY$1,2),""),VLOOKUP($D156,素材!$1:$1016,COLUMN($F$1),FALSE))),VLOOKUP($C156,武器!$1:$998,COLUMN($O$1),FALSE)*VLOOKUP($D156,素材!$1:$1016,COLUMN($E$1),FALSE)/(LEN(VLOOKUP($D156,素材!$1:$1016,COLUMN($F$1),FALSE)) - LEN(SUBSTITUTE(VLOOKUP($D156,素材!$1:$1016,COLUMN($F$1),FALSE), "・", 0)) + 1), 0)</f>
        <v>0</v>
      </c>
      <c r="AZ156">
        <f>IF(ISNUMBER(SEARCH(SUBSTITUTE(AZ$1,RIGHT(AZ$1,2),""),VLOOKUP($D156,素材!$1:$1016,COLUMN($F$1),FALSE))),VLOOKUP($C156,武器!$1:$998,COLUMN($O$1),FALSE)*VLOOKUP($D156,素材!$1:$1016,COLUMN($E$1),FALSE)/(LEN(VLOOKUP($D156,素材!$1:$1016,COLUMN($F$1),FALSE)) - LEN(SUBSTITUTE(VLOOKUP($D156,素材!$1:$1016,COLUMN($F$1),FALSE), "・", 0)) + 1), 0)</f>
        <v>0</v>
      </c>
      <c r="BA156">
        <f>IF(ISNUMBER(SEARCH(SUBSTITUTE(BA$1,RIGHT(BA$1,2),""),VLOOKUP($D156,素材!$1:$1016,COLUMN($F$1),FALSE))),VLOOKUP($C156,武器!$1:$998,COLUMN($O$1),FALSE)*VLOOKUP($D156,素材!$1:$1016,COLUMN($E$1),FALSE)/(LEN(VLOOKUP($D156,素材!$1:$1016,COLUMN($F$1),FALSE)) - LEN(SUBSTITUTE(VLOOKUP($D156,素材!$1:$1016,COLUMN($F$1),FALSE), "・", 0)) + 1), 0)</f>
        <v>0</v>
      </c>
      <c r="BB156">
        <f>IF(ISNUMBER(SEARCH(SUBSTITUTE(BB$1,RIGHT(BB$1,2),""),VLOOKUP($D156,素材!$1:$1016,COLUMN($F$1),FALSE))),VLOOKUP($C156,武器!$1:$998,COLUMN($O$1),FALSE)*VLOOKUP($D156,素材!$1:$1016,COLUMN($E$1),FALSE)/(LEN(VLOOKUP($D156,素材!$1:$1016,COLUMN($F$1),FALSE)) - LEN(SUBSTITUTE(VLOOKUP($D156,素材!$1:$1016,COLUMN($F$1),FALSE), "・", 0)) + 1), 0)</f>
        <v>0</v>
      </c>
      <c r="BC156">
        <f>IF(ISNUMBER(SEARCH(SUBSTITUTE(BC$1,RIGHT(BC$1,2),""),VLOOKUP($D156,素材!$1:$1016,COLUMN($F$1),FALSE))),VLOOKUP($C156,武器!$1:$998,COLUMN($O$1),FALSE)*VLOOKUP($D156,素材!$1:$1016,COLUMN($E$1),FALSE)/(LEN(VLOOKUP($D156,素材!$1:$1016,COLUMN($F$1),FALSE)) - LEN(SUBSTITUTE(VLOOKUP($D156,素材!$1:$1016,COLUMN($F$1),FALSE), "・", 0)) + 1), 0)</f>
        <v>0</v>
      </c>
      <c r="BD156">
        <f>IF(ISNUMBER(SEARCH(SUBSTITUTE(BD$1,RIGHT(BD$1,2),""),VLOOKUP($D156,素材!$1:$1016,COLUMN($F$1),FALSE))),VLOOKUP($C156,武器!$1:$998,COLUMN($O$1),FALSE)*VLOOKUP($D156,素材!$1:$1016,COLUMN($E$1),FALSE)/(LEN(VLOOKUP($D156,素材!$1:$1016,COLUMN($F$1),FALSE)) - LEN(SUBSTITUTE(VLOOKUP($D156,素材!$1:$1016,COLUMN($F$1),FALSE), "・", 0)) + 1), 0)</f>
        <v>0</v>
      </c>
      <c r="BE156">
        <f>IF(ISNUMBER(SEARCH(SUBSTITUTE(BE$1,RIGHT(BE$1,2),""),VLOOKUP($D156,素材!$1:$1016,COLUMN($F$1),FALSE))),VLOOKUP($C156,武器!$1:$998,COLUMN($O$1),FALSE)*VLOOKUP($D156,素材!$1:$1016,COLUMN($E$1),FALSE)/(LEN(VLOOKUP($D156,素材!$1:$1016,COLUMN($F$1),FALSE)) - LEN(SUBSTITUTE(VLOOKUP($D156,素材!$1:$1016,COLUMN($F$1),FALSE), "・", 0)) + 1), 0)</f>
        <v>0</v>
      </c>
      <c r="CL156">
        <f>SUM(G156:I156)</f>
        <v>0</v>
      </c>
      <c r="CM156" s="22" t="str">
        <f>IF(E156="武器",IF(J156-1&gt;SUM(G156:I156),"盾",IF(MAX(G156:I156)=G156,"切断",IF(MAX(G156:I156)=H156,"貫通",IF(MAX(G156:I156)=I156,"打撃","射撃")))),E156)&amp;".webp"</f>
        <v>.webp</v>
      </c>
      <c r="CN156" t="str">
        <f>IFERROR(VLOOKUP($C156,武器!$1:$998,COLUMN(V$1),FALSE)*VLOOKUP($D156,素材!$1:$1016,COLUMN(N$1),FALSE)+IF(CI156="",0,VLOOKUP($CI156,装強!$1:$1008,COLUMN($CK$1),FALSE)),"")</f>
        <v/>
      </c>
      <c r="CO156" t="e">
        <f>VLOOKUP(D156,素材!$A:$O,COLUMN(素材!O$1),FALSE)</f>
        <v>#N/A</v>
      </c>
      <c r="CR156" t="str">
        <f t="shared" si="18"/>
        <v>e_156</v>
      </c>
      <c r="CS156" t="e">
        <f t="shared" si="22"/>
        <v>#VALUE!</v>
      </c>
    </row>
    <row r="157" spans="1:97" outlineLevel="1" x14ac:dyDescent="0.4">
      <c r="D157" s="24"/>
      <c r="E157" t="str">
        <f>IFERROR(VLOOKUP(C157,武器!$1:$998,COLUMN(C$1),FALSE),"")</f>
        <v/>
      </c>
      <c r="F157" t="str">
        <f>IFERROR(ROUNDDOWN((VLOOKUP($C157,武器!$1:$998,COLUMN(D$1),FALSE)+IFERROR(VLOOKUP($CI157,装強!$1:$999,COLUMN(F$1),FALSE),0))*VLOOKUP($D157,素材!$1:$1016,COLUMN(D$1),FALSE),0),"")</f>
        <v/>
      </c>
      <c r="G157" t="str">
        <f>IFERROR(ROUNDDOWN((VLOOKUP($C157,武器!$1:$998,COLUMN(E$1),FALSE)+IFERROR(VLOOKUP($CI157,装強!$1:$999,COLUMN(G$1),FALSE),0))*VLOOKUP($D157,素材!$1:$1016,COLUMN($E$1),FALSE),0),"")</f>
        <v/>
      </c>
      <c r="H157" t="str">
        <f>IFERROR(ROUNDDOWN((VLOOKUP($C157,武器!$1:$998,COLUMN(F$1),FALSE)+IFERROR(VLOOKUP($CI157,装強!$1:$999,COLUMN(H$1),FALSE),0))*VLOOKUP($D157,素材!$1:$1016,COLUMN($E$1),FALSE),0),"")</f>
        <v/>
      </c>
      <c r="I157" t="str">
        <f>IFERROR(ROUNDDOWN((VLOOKUP($C157,武器!$1:$998,COLUMN(G$1),FALSE)+IFERROR(VLOOKUP($CI157,装強!$1:$999,COLUMN(I$1),FALSE),0))*VLOOKUP($D157,素材!$1:$1016,COLUMN($E$1),FALSE),0),"")</f>
        <v/>
      </c>
      <c r="J157" t="str">
        <f>IFERROR(ROUNDDOWN((VLOOKUP($C157,武器!$1:$998,COLUMN(H$1),FALSE)+IFERROR(VLOOKUP($CI157,装強!$1:$999,COLUMN(J$1),FALSE),0))*VLOOKUP($D157,素材!$1:$1016,COLUMN($E$1),FALSE),0),"")</f>
        <v/>
      </c>
      <c r="K157" t="str">
        <f>IFERROR(ROUNDDOWN((VLOOKUP($C157,武器!$1:$998,COLUMN(I$1),FALSE)+IFERROR(VLOOKUP($CI157,装強!$1:$999,COLUMN(K$1),FALSE),0))*VLOOKUP($D157,素材!$1:$1016,COLUMN($E$1),FALSE),0),"")</f>
        <v/>
      </c>
      <c r="L157" t="str">
        <f>IFERROR(VLOOKUP($D157,素材!$1:$1016,COLUMN($F$1),FALSE),"")</f>
        <v/>
      </c>
      <c r="M157" t="str">
        <f>IFERROR(VLOOKUP($C157,武器!$1:$998,COLUMN(AA$1),FALSE)*VLOOKUP($D157,素材!$1:$1016,COLUMN($G$1),FALSE),"")</f>
        <v/>
      </c>
      <c r="N157" t="str">
        <f>IFERROR(VLOOKUP($C157,武器!$1:$998,COLUMN(I$1),FALSE),"")</f>
        <v/>
      </c>
      <c r="O157" s="23" t="str">
        <f>IFERROR((VLOOKUP($C157,武器!$1:$998,COLUMN(K$1),FALSE)+VLOOKUP($D157,素材!$1:$1016,COLUMN(H$1),FALSE))*100+IFERROR(VLOOKUP($CI157,装強!$1:$999,COLUMN(O$1),FALSE),0),"")</f>
        <v/>
      </c>
      <c r="P157" s="23" t="str">
        <f>IFERROR((VLOOKUP($C157,武器!$1:$998,COLUMN(L$1),FALSE)+VLOOKUP($D157,素材!$1:$1016,COLUMN(I$1),FALSE))*100+IFERROR(VLOOKUP($CI157,装強!$1:$999,COLUMN(P$1),FALSE),0),"")</f>
        <v/>
      </c>
      <c r="Q157" t="str">
        <f>IFERROR(ROUNDUP(VLOOKUP($C157,武器!$1:$998,COLUMN(M$1),FALSE)*(VLOOKUP($D157,素材!$1:$1002,COLUMN(D$1),FALSE)/100),1),"")</f>
        <v/>
      </c>
      <c r="R157" t="str">
        <f>IFERROR(ROUNDUP(VLOOKUP($C157,武器!$1:$998,COLUMN(N$1),FALSE)*(VLOOKUP($D157,素材!$1:$1002,COLUMN(D$1),FALSE)/100),1),"")</f>
        <v/>
      </c>
      <c r="S157" t="str">
        <f>IFERROR(VLOOKUP($C157,武器!$1:$998,COLUMN(P$1),FALSE),"")</f>
        <v/>
      </c>
      <c r="T157" t="str">
        <f>IFERROR(VLOOKUP($C157,武器!$1:$998,COLUMN(Q$1),FALSE),"")</f>
        <v/>
      </c>
      <c r="U157" t="str">
        <f>IFERROR(VLOOKUP($C157,武器!$1:$998,COLUMN(R$1),FALSE),"")</f>
        <v/>
      </c>
      <c r="V157" t="str">
        <f>IFERROR(VLOOKUP($C157,武器!$1:$998,COLUMN(Q$1),FALSE),"")</f>
        <v/>
      </c>
      <c r="W157" t="str">
        <f>IFERROR(VLOOKUP($C157,武器!$1:$998,COLUMN(T$1),FALSE),"")</f>
        <v/>
      </c>
      <c r="Y157" t="str">
        <f>IFERROR(VLOOKUP($C157,武器!$1:$998,COLUMN(U$1),FALSE),"")</f>
        <v/>
      </c>
      <c r="Z157" t="str">
        <f>IFERROR(ROUNDUP(VLOOKUP($C157,武器!$1:$998,COLUMN(O$1),FALSE)*VLOOKUP($D157,素材!$1:$1016,COLUMN(E$1),FALSE),1),"")</f>
        <v/>
      </c>
      <c r="AA157">
        <f>IF(ISNUMBER(SEARCH(SUBSTITUTE(AA$1,RIGHT(AA$1,2),""),VLOOKUP($D157,素材!$1:$1016,COLUMN($F$1),FALSE))),VLOOKUP($C157,武器!$1:$998,COLUMN($O$1),FALSE)*VLOOKUP($D157,素材!$1:$1016,COLUMN($E$1),FALSE)/(LEN(VLOOKUP($D157,素材!$1:$1016,COLUMN($F$1),FALSE)) - LEN(SUBSTITUTE(VLOOKUP($D157,素材!$1:$1016,COLUMN($F$1),FALSE), "・", 0)) + 1), 0)</f>
        <v>0</v>
      </c>
      <c r="AB157">
        <f>IF(ISNUMBER(SEARCH(SUBSTITUTE(AB$1,RIGHT(AB$1,2),""),VLOOKUP($D157,素材!$1:$1016,COLUMN($F$1),FALSE))),VLOOKUP($C157,武器!$1:$998,COLUMN($O$1),FALSE)*VLOOKUP($D157,素材!$1:$1016,COLUMN($E$1),FALSE)/(LEN(VLOOKUP($D157,素材!$1:$1016,COLUMN($F$1),FALSE)) - LEN(SUBSTITUTE(VLOOKUP($D157,素材!$1:$1016,COLUMN($F$1),FALSE), "・", 0)) + 1), 0)</f>
        <v>0</v>
      </c>
      <c r="AC157">
        <f>IF(ISNUMBER(SEARCH(SUBSTITUTE(AC$1,RIGHT(AC$1,2),""),VLOOKUP($D157,素材!$1:$1016,COLUMN($F$1),FALSE))),VLOOKUP($C157,武器!$1:$998,COLUMN($O$1),FALSE)*VLOOKUP($D157,素材!$1:$1016,COLUMN($E$1),FALSE)/(LEN(VLOOKUP($D157,素材!$1:$1016,COLUMN($F$1),FALSE)) - LEN(SUBSTITUTE(VLOOKUP($D157,素材!$1:$1016,COLUMN($F$1),FALSE), "・", 0)) + 1), 0)</f>
        <v>0</v>
      </c>
      <c r="AD157">
        <f>IF(ISNUMBER(SEARCH(SUBSTITUTE(AD$1,RIGHT(AD$1,2),""),VLOOKUP($D157,素材!$1:$1016,COLUMN($F$1),FALSE))),VLOOKUP($C157,武器!$1:$998,COLUMN($O$1),FALSE)*VLOOKUP($D157,素材!$1:$1016,COLUMN($E$1),FALSE)/(LEN(VLOOKUP($D157,素材!$1:$1016,COLUMN($F$1),FALSE)) - LEN(SUBSTITUTE(VLOOKUP($D157,素材!$1:$1016,COLUMN($F$1),FALSE), "・", 0)) + 1), 0)</f>
        <v>0</v>
      </c>
      <c r="AE157">
        <f>IF(ISNUMBER(SEARCH(SUBSTITUTE(AE$1,RIGHT(AE$1,2),""),VLOOKUP($D157,素材!$1:$1016,COLUMN($F$1),FALSE))),VLOOKUP($C157,武器!$1:$998,COLUMN($O$1),FALSE)*VLOOKUP($D157,素材!$1:$1016,COLUMN($E$1),FALSE)/(LEN(VLOOKUP($D157,素材!$1:$1016,COLUMN($F$1),FALSE)) - LEN(SUBSTITUTE(VLOOKUP($D157,素材!$1:$1016,COLUMN($F$1),FALSE), "・", 0)) + 1), 0)</f>
        <v>0</v>
      </c>
      <c r="AF157">
        <f>IF(ISNUMBER(SEARCH(SUBSTITUTE(AF$1,RIGHT(AF$1,2),""),VLOOKUP($D157,素材!$1:$1016,COLUMN($F$1),FALSE))),VLOOKUP($C157,武器!$1:$998,COLUMN($O$1),FALSE)*VLOOKUP($D157,素材!$1:$1016,COLUMN($E$1),FALSE)/(LEN(VLOOKUP($D157,素材!$1:$1016,COLUMN($F$1),FALSE)) - LEN(SUBSTITUTE(VLOOKUP($D157,素材!$1:$1016,COLUMN($F$1),FALSE), "・", 0)) + 1), 0)</f>
        <v>0</v>
      </c>
      <c r="AG157">
        <f>IF(ISNUMBER(SEARCH(SUBSTITUTE(AG$1,RIGHT(AG$1,2),""),VLOOKUP($D157,素材!$1:$1016,COLUMN($F$1),FALSE))),VLOOKUP($C157,武器!$1:$998,COLUMN($O$1),FALSE)*VLOOKUP($D157,素材!$1:$1016,COLUMN($E$1),FALSE)/(LEN(VLOOKUP($D157,素材!$1:$1016,COLUMN($F$1),FALSE)) - LEN(SUBSTITUTE(VLOOKUP($D157,素材!$1:$1016,COLUMN($F$1),FALSE), "・", 0)) + 1), 0)</f>
        <v>0</v>
      </c>
      <c r="AH157">
        <f>IF(ISNUMBER(SEARCH(SUBSTITUTE(AH$1,RIGHT(AH$1,2),""),VLOOKUP($D157,素材!$1:$1016,COLUMN($F$1),FALSE))),VLOOKUP($C157,武器!$1:$998,COLUMN($O$1),FALSE)*VLOOKUP($D157,素材!$1:$1016,COLUMN($E$1),FALSE)/(LEN(VLOOKUP($D157,素材!$1:$1016,COLUMN($F$1),FALSE)) - LEN(SUBSTITUTE(VLOOKUP($D157,素材!$1:$1016,COLUMN($F$1),FALSE), "・", 0)) + 1), 0)</f>
        <v>0</v>
      </c>
      <c r="AI157">
        <f>IF(ISNUMBER(SEARCH(SUBSTITUTE(AI$1,RIGHT(AI$1,2),""),VLOOKUP($D157,素材!$1:$1016,COLUMN($F$1),FALSE))),VLOOKUP($C157,武器!$1:$998,COLUMN($O$1),FALSE)*VLOOKUP($D157,素材!$1:$1016,COLUMN($E$1),FALSE)/(LEN(VLOOKUP($D157,素材!$1:$1016,COLUMN($F$1),FALSE)) - LEN(SUBSTITUTE(VLOOKUP($D157,素材!$1:$1016,COLUMN($F$1),FALSE), "・", 0)) + 1), 0)</f>
        <v>0</v>
      </c>
      <c r="AJ157">
        <f>IF(ISNUMBER(SEARCH(SUBSTITUTE(AJ$1,RIGHT(AJ$1,2),""),VLOOKUP($D157,素材!$1:$1016,COLUMN($F$1),FALSE))),VLOOKUP($C157,武器!$1:$998,COLUMN($O$1),FALSE)*VLOOKUP($D157,素材!$1:$1016,COLUMN($E$1),FALSE)/(LEN(VLOOKUP($D157,素材!$1:$1016,COLUMN($F$1),FALSE)) - LEN(SUBSTITUTE(VLOOKUP($D157,素材!$1:$1016,COLUMN($F$1),FALSE), "・", 0)) + 1), 0)</f>
        <v>0</v>
      </c>
      <c r="AK157">
        <f>IF(ISNUMBER(SEARCH(SUBSTITUTE(AK$1,RIGHT(AK$1,2),""),VLOOKUP($D157,素材!$1:$1016,COLUMN($F$1),FALSE))),VLOOKUP($C157,武器!$1:$998,COLUMN($O$1),FALSE)*VLOOKUP($D157,素材!$1:$1016,COLUMN($E$1),FALSE)/(LEN(VLOOKUP($D157,素材!$1:$1016,COLUMN($F$1),FALSE)) - LEN(SUBSTITUTE(VLOOKUP($D157,素材!$1:$1016,COLUMN($F$1),FALSE), "・", 0)) + 1), 0)</f>
        <v>0</v>
      </c>
      <c r="AL157">
        <f>IF(ISNUMBER(SEARCH(SUBSTITUTE(AL$1,RIGHT(AL$1,2),""),VLOOKUP($D157,素材!$1:$1016,COLUMN($F$1),FALSE))),VLOOKUP($C157,武器!$1:$998,COLUMN($O$1),FALSE)*VLOOKUP($D157,素材!$1:$1016,COLUMN($E$1),FALSE)/(LEN(VLOOKUP($D157,素材!$1:$1016,COLUMN($F$1),FALSE)) - LEN(SUBSTITUTE(VLOOKUP($D157,素材!$1:$1016,COLUMN($F$1),FALSE), "・", 0)) + 1), 0)</f>
        <v>0</v>
      </c>
      <c r="AM157">
        <f>IF(ISNUMBER(SEARCH(SUBSTITUTE(AM$1,RIGHT(AM$1,2),""),VLOOKUP($D157,素材!$1:$1016,COLUMN($F$1),FALSE))),VLOOKUP($C157,武器!$1:$998,COLUMN($O$1),FALSE)*VLOOKUP($D157,素材!$1:$1016,COLUMN($E$1),FALSE)/(LEN(VLOOKUP($D157,素材!$1:$1016,COLUMN($F$1),FALSE)) - LEN(SUBSTITUTE(VLOOKUP($D157,素材!$1:$1016,COLUMN($F$1),FALSE), "・", 0)) + 1), 0)</f>
        <v>0</v>
      </c>
      <c r="AN157">
        <f>IF(ISNUMBER(SEARCH(SUBSTITUTE(AN$1,RIGHT(AN$1,2),""),VLOOKUP($D157,素材!$1:$1016,COLUMN($F$1),FALSE))),VLOOKUP($C157,武器!$1:$998,COLUMN($O$1),FALSE)*VLOOKUP($D157,素材!$1:$1016,COLUMN($E$1),FALSE)/(LEN(VLOOKUP($D157,素材!$1:$1016,COLUMN($F$1),FALSE)) - LEN(SUBSTITUTE(VLOOKUP($D157,素材!$1:$1016,COLUMN($F$1),FALSE), "・", 0)) + 1), 0)</f>
        <v>0</v>
      </c>
      <c r="AO157">
        <f>IF(ISNUMBER(SEARCH(SUBSTITUTE(AO$1,RIGHT(AO$1,2),""),VLOOKUP($D157,素材!$1:$1016,COLUMN($F$1),FALSE))),VLOOKUP($C157,武器!$1:$998,COLUMN($O$1),FALSE)*VLOOKUP($D157,素材!$1:$1016,COLUMN($E$1),FALSE)/(LEN(VLOOKUP($D157,素材!$1:$1016,COLUMN($F$1),FALSE)) - LEN(SUBSTITUTE(VLOOKUP($D157,素材!$1:$1016,COLUMN($F$1),FALSE), "・", 0)) + 1), 0)</f>
        <v>0</v>
      </c>
      <c r="AP157">
        <f>IF(ISNUMBER(SEARCH(SUBSTITUTE(AP$1,RIGHT(AP$1,2),""),VLOOKUP($D157,素材!$1:$1016,COLUMN($F$1),FALSE))),VLOOKUP($C157,武器!$1:$998,COLUMN($O$1),FALSE)*VLOOKUP($D157,素材!$1:$1016,COLUMN($E$1),FALSE)/(LEN(VLOOKUP($D157,素材!$1:$1016,COLUMN($F$1),FALSE)) - LEN(SUBSTITUTE(VLOOKUP($D157,素材!$1:$1016,COLUMN($F$1),FALSE), "・", 0)) + 1), 0)</f>
        <v>0</v>
      </c>
      <c r="AQ157">
        <f>IF(ISNUMBER(SEARCH(SUBSTITUTE(AQ$1,RIGHT(AQ$1,2),""),VLOOKUP($D157,素材!$1:$1016,COLUMN($F$1),FALSE))),VLOOKUP($C157,武器!$1:$998,COLUMN($O$1),FALSE)*VLOOKUP($D157,素材!$1:$1016,COLUMN($E$1),FALSE)/(LEN(VLOOKUP($D157,素材!$1:$1016,COLUMN($F$1),FALSE)) - LEN(SUBSTITUTE(VLOOKUP($D157,素材!$1:$1016,COLUMN($F$1),FALSE), "・", 0)) + 1), 0)</f>
        <v>0</v>
      </c>
      <c r="AR157">
        <f>IF(ISNUMBER(SEARCH(SUBSTITUTE(AR$1,RIGHT(AR$1,2),""),VLOOKUP($D157,素材!$1:$1016,COLUMN($F$1),FALSE))),VLOOKUP($C157,武器!$1:$998,COLUMN($O$1),FALSE)*VLOOKUP($D157,素材!$1:$1016,COLUMN($E$1),FALSE)/(LEN(VLOOKUP($D157,素材!$1:$1016,COLUMN($F$1),FALSE)) - LEN(SUBSTITUTE(VLOOKUP($D157,素材!$1:$1016,COLUMN($F$1),FALSE), "・", 0)) + 1), 0)</f>
        <v>0</v>
      </c>
      <c r="AS157">
        <f>IF(ISNUMBER(SEARCH(SUBSTITUTE(AS$1,RIGHT(AS$1,2),""),VLOOKUP($D157,素材!$1:$1016,COLUMN($F$1),FALSE))),VLOOKUP($C157,武器!$1:$998,COLUMN($O$1),FALSE)*VLOOKUP($D157,素材!$1:$1016,COLUMN($E$1),FALSE)/(LEN(VLOOKUP($D157,素材!$1:$1016,COLUMN($F$1),FALSE)) - LEN(SUBSTITUTE(VLOOKUP($D157,素材!$1:$1016,COLUMN($F$1),FALSE), "・", 0)) + 1), 0)</f>
        <v>0</v>
      </c>
      <c r="AT157">
        <f>IF(ISNUMBER(SEARCH(SUBSTITUTE(AT$1,RIGHT(AT$1,2),""),VLOOKUP($D157,素材!$1:$1016,COLUMN($F$1),FALSE))),VLOOKUP($C157,武器!$1:$998,COLUMN($O$1),FALSE)*VLOOKUP($D157,素材!$1:$1016,COLUMN($E$1),FALSE)/(LEN(VLOOKUP($D157,素材!$1:$1016,COLUMN($F$1),FALSE)) - LEN(SUBSTITUTE(VLOOKUP($D157,素材!$1:$1016,COLUMN($F$1),FALSE), "・", 0)) + 1), 0)</f>
        <v>0</v>
      </c>
      <c r="AU157">
        <f>IF(ISNUMBER(SEARCH(SUBSTITUTE(AU$1,RIGHT(AU$1,2),""),VLOOKUP($D157,素材!$1:$1016,COLUMN($F$1),FALSE))),VLOOKUP($C157,武器!$1:$998,COLUMN($O$1),FALSE)*VLOOKUP($D157,素材!$1:$1016,COLUMN($E$1),FALSE)/(LEN(VLOOKUP($D157,素材!$1:$1016,COLUMN($F$1),FALSE)) - LEN(SUBSTITUTE(VLOOKUP($D157,素材!$1:$1016,COLUMN($F$1),FALSE), "・", 0)) + 1), 0)</f>
        <v>0</v>
      </c>
      <c r="AV157">
        <f>IF(ISNUMBER(SEARCH(SUBSTITUTE(AV$1,RIGHT(AV$1,2),""),VLOOKUP($D157,素材!$1:$1016,COLUMN($F$1),FALSE))),VLOOKUP($C157,武器!$1:$998,COLUMN($O$1),FALSE)*VLOOKUP($D157,素材!$1:$1016,COLUMN($E$1),FALSE)/(LEN(VLOOKUP($D157,素材!$1:$1016,COLUMN($F$1),FALSE)) - LEN(SUBSTITUTE(VLOOKUP($D157,素材!$1:$1016,COLUMN($F$1),FALSE), "・", 0)) + 1), 0)</f>
        <v>0</v>
      </c>
      <c r="AW157">
        <f>IF(ISNUMBER(SEARCH(SUBSTITUTE(AW$1,RIGHT(AW$1,2),""),VLOOKUP($D157,素材!$1:$1016,COLUMN($F$1),FALSE))),VLOOKUP($C157,武器!$1:$998,COLUMN($O$1),FALSE)*VLOOKUP($D157,素材!$1:$1016,COLUMN($E$1),FALSE)/(LEN(VLOOKUP($D157,素材!$1:$1016,COLUMN($F$1),FALSE)) - LEN(SUBSTITUTE(VLOOKUP($D157,素材!$1:$1016,COLUMN($F$1),FALSE), "・", 0)) + 1), 0)</f>
        <v>0</v>
      </c>
      <c r="AX157">
        <f>IF(ISNUMBER(SEARCH(SUBSTITUTE(AX$1,RIGHT(AX$1,2),""),VLOOKUP($D157,素材!$1:$1016,COLUMN($F$1),FALSE))),VLOOKUP($C157,武器!$1:$998,COLUMN($O$1),FALSE)*VLOOKUP($D157,素材!$1:$1016,COLUMN($E$1),FALSE)/(LEN(VLOOKUP($D157,素材!$1:$1016,COLUMN($F$1),FALSE)) - LEN(SUBSTITUTE(VLOOKUP($D157,素材!$1:$1016,COLUMN($F$1),FALSE), "・", 0)) + 1), 0)</f>
        <v>0</v>
      </c>
      <c r="AY157">
        <f>IF(ISNUMBER(SEARCH(SUBSTITUTE(AY$1,RIGHT(AY$1,2),""),VLOOKUP($D157,素材!$1:$1016,COLUMN($F$1),FALSE))),VLOOKUP($C157,武器!$1:$998,COLUMN($O$1),FALSE)*VLOOKUP($D157,素材!$1:$1016,COLUMN($E$1),FALSE)/(LEN(VLOOKUP($D157,素材!$1:$1016,COLUMN($F$1),FALSE)) - LEN(SUBSTITUTE(VLOOKUP($D157,素材!$1:$1016,COLUMN($F$1),FALSE), "・", 0)) + 1), 0)</f>
        <v>0</v>
      </c>
      <c r="AZ157">
        <f>IF(ISNUMBER(SEARCH(SUBSTITUTE(AZ$1,RIGHT(AZ$1,2),""),VLOOKUP($D157,素材!$1:$1016,COLUMN($F$1),FALSE))),VLOOKUP($C157,武器!$1:$998,COLUMN($O$1),FALSE)*VLOOKUP($D157,素材!$1:$1016,COLUMN($E$1),FALSE)/(LEN(VLOOKUP($D157,素材!$1:$1016,COLUMN($F$1),FALSE)) - LEN(SUBSTITUTE(VLOOKUP($D157,素材!$1:$1016,COLUMN($F$1),FALSE), "・", 0)) + 1), 0)</f>
        <v>0</v>
      </c>
      <c r="BA157">
        <f>IF(ISNUMBER(SEARCH(SUBSTITUTE(BA$1,RIGHT(BA$1,2),""),VLOOKUP($D157,素材!$1:$1016,COLUMN($F$1),FALSE))),VLOOKUP($C157,武器!$1:$998,COLUMN($O$1),FALSE)*VLOOKUP($D157,素材!$1:$1016,COLUMN($E$1),FALSE)/(LEN(VLOOKUP($D157,素材!$1:$1016,COLUMN($F$1),FALSE)) - LEN(SUBSTITUTE(VLOOKUP($D157,素材!$1:$1016,COLUMN($F$1),FALSE), "・", 0)) + 1), 0)</f>
        <v>0</v>
      </c>
      <c r="BB157">
        <f>IF(ISNUMBER(SEARCH(SUBSTITUTE(BB$1,RIGHT(BB$1,2),""),VLOOKUP($D157,素材!$1:$1016,COLUMN($F$1),FALSE))),VLOOKUP($C157,武器!$1:$998,COLUMN($O$1),FALSE)*VLOOKUP($D157,素材!$1:$1016,COLUMN($E$1),FALSE)/(LEN(VLOOKUP($D157,素材!$1:$1016,COLUMN($F$1),FALSE)) - LEN(SUBSTITUTE(VLOOKUP($D157,素材!$1:$1016,COLUMN($F$1),FALSE), "・", 0)) + 1), 0)</f>
        <v>0</v>
      </c>
      <c r="BC157">
        <f>IF(ISNUMBER(SEARCH(SUBSTITUTE(BC$1,RIGHT(BC$1,2),""),VLOOKUP($D157,素材!$1:$1016,COLUMN($F$1),FALSE))),VLOOKUP($C157,武器!$1:$998,COLUMN($O$1),FALSE)*VLOOKUP($D157,素材!$1:$1016,COLUMN($E$1),FALSE)/(LEN(VLOOKUP($D157,素材!$1:$1016,COLUMN($F$1),FALSE)) - LEN(SUBSTITUTE(VLOOKUP($D157,素材!$1:$1016,COLUMN($F$1),FALSE), "・", 0)) + 1), 0)</f>
        <v>0</v>
      </c>
      <c r="BD157">
        <f>IF(ISNUMBER(SEARCH(SUBSTITUTE(BD$1,RIGHT(BD$1,2),""),VLOOKUP($D157,素材!$1:$1016,COLUMN($F$1),FALSE))),VLOOKUP($C157,武器!$1:$998,COLUMN($O$1),FALSE)*VLOOKUP($D157,素材!$1:$1016,COLUMN($E$1),FALSE)/(LEN(VLOOKUP($D157,素材!$1:$1016,COLUMN($F$1),FALSE)) - LEN(SUBSTITUTE(VLOOKUP($D157,素材!$1:$1016,COLUMN($F$1),FALSE), "・", 0)) + 1), 0)</f>
        <v>0</v>
      </c>
      <c r="BE157">
        <f>IF(ISNUMBER(SEARCH(SUBSTITUTE(BE$1,RIGHT(BE$1,2),""),VLOOKUP($D157,素材!$1:$1016,COLUMN($F$1),FALSE))),VLOOKUP($C157,武器!$1:$998,COLUMN($O$1),FALSE)*VLOOKUP($D157,素材!$1:$1016,COLUMN($E$1),FALSE)/(LEN(VLOOKUP($D157,素材!$1:$1016,COLUMN($F$1),FALSE)) - LEN(SUBSTITUTE(VLOOKUP($D157,素材!$1:$1016,COLUMN($F$1),FALSE), "・", 0)) + 1), 0)</f>
        <v>0</v>
      </c>
      <c r="CL157">
        <f>SUM(G157:I157)</f>
        <v>0</v>
      </c>
      <c r="CM157" s="22" t="str">
        <f>IF(E157="武器",IF(J157-1&gt;SUM(G157:I157),"盾",IF(MAX(G157:I157)=G157,"切断",IF(MAX(G157:I157)=H157,"貫通",IF(MAX(G157:I157)=I157,"打撃","射撃")))),E157)&amp;".webp"</f>
        <v>.webp</v>
      </c>
      <c r="CN157" t="str">
        <f>IFERROR(VLOOKUP($C157,武器!$1:$998,COLUMN(V$1),FALSE)*VLOOKUP($D157,素材!$1:$1016,COLUMN(N$1),FALSE)+IF(CI157="",0,VLOOKUP($CI157,装強!$1:$1008,COLUMN($CK$1),FALSE)),"")</f>
        <v/>
      </c>
      <c r="CO157" t="e">
        <f>VLOOKUP(D157,素材!$A:$O,COLUMN(素材!O$1),FALSE)</f>
        <v>#N/A</v>
      </c>
      <c r="CR157" t="str">
        <f t="shared" si="18"/>
        <v>e_157</v>
      </c>
      <c r="CS157" t="e">
        <f t="shared" si="22"/>
        <v>#VALUE!</v>
      </c>
    </row>
    <row r="158" spans="1:97" x14ac:dyDescent="0.4">
      <c r="A158" t="str">
        <f t="shared" ref="A158:A189" si="27">D158&amp;"の"&amp;C158</f>
        <v>黒鋼鉄の短刀</v>
      </c>
      <c r="B158" t="str">
        <f>IFERROR(VLOOKUP($D158,素材!$1:$1016,COLUMN($B$1),FALSE)&amp;"・"&amp;VLOOKUP($C158,武器!$1:$998,COLUMN(B$1),FALSE),"")</f>
        <v>ブラックスティール・ナイフ</v>
      </c>
      <c r="C158" s="24" t="s">
        <v>242</v>
      </c>
      <c r="D158" s="24" t="s">
        <v>244</v>
      </c>
      <c r="E158" t="str">
        <f>IFERROR(VLOOKUP(C158,武器!$1:$998,COLUMN(C$1),FALSE),"")</f>
        <v>武器</v>
      </c>
      <c r="F158">
        <f>IFERROR(ROUNDDOWN((VLOOKUP($C158,武器!$1:$998,COLUMN(D$1),FALSE)+IFERROR(VLOOKUP($CI158,装強!$1:$999,COLUMN(F$1),FALSE),0))*VLOOKUP($D158,素材!$1:$1016,COLUMN(D$1),FALSE),0),"")</f>
        <v>100</v>
      </c>
      <c r="G158">
        <f>IFERROR(ROUNDDOWN((VLOOKUP($C158,武器!$1:$998,COLUMN(E$1),FALSE)+IFERROR(VLOOKUP($CI158,装強!$1:$999,COLUMN(G$1),FALSE),0))*VLOOKUP($D158,素材!$1:$1016,COLUMN($E$1),FALSE),0),"")</f>
        <v>10</v>
      </c>
      <c r="H158">
        <f>IFERROR(ROUNDDOWN((VLOOKUP($C158,武器!$1:$998,COLUMN(F$1),FALSE)+IFERROR(VLOOKUP($CI158,装強!$1:$999,COLUMN(H$1),FALSE),0))*VLOOKUP($D158,素材!$1:$1016,COLUMN($E$1),FALSE),0),"")</f>
        <v>8</v>
      </c>
      <c r="I158">
        <f>IFERROR(ROUNDDOWN((VLOOKUP($C158,武器!$1:$998,COLUMN(G$1),FALSE)+IFERROR(VLOOKUP($CI158,装強!$1:$999,COLUMN(I$1),FALSE),0))*VLOOKUP($D158,素材!$1:$1016,COLUMN($E$1),FALSE),0),"")</f>
        <v>2</v>
      </c>
      <c r="J158">
        <f>IFERROR(ROUNDDOWN((VLOOKUP($C158,武器!$1:$998,COLUMN(H$1),FALSE)+IFERROR(VLOOKUP($CI158,装強!$1:$999,COLUMN(J$1),FALSE),0))*VLOOKUP($D158,素材!$1:$1016,COLUMN($E$1),FALSE),0),"")</f>
        <v>13</v>
      </c>
      <c r="K158">
        <f>IFERROR(ROUNDDOWN((VLOOKUP($C158,武器!$1:$998,COLUMN(I$1),FALSE)+IFERROR(VLOOKUP($CI158,装強!$1:$999,COLUMN(K$1),FALSE),0))*VLOOKUP($D158,素材!$1:$1016,COLUMN($E$1),FALSE),0),"")</f>
        <v>0</v>
      </c>
      <c r="L158" t="str">
        <f>IFERROR(VLOOKUP($D158,素材!$1:$1016,COLUMN($F$1),FALSE),"")</f>
        <v>雷</v>
      </c>
      <c r="M158">
        <f>IFERROR(VLOOKUP($C158,武器!$1:$998,COLUMN(AA$1),FALSE)*VLOOKUP($D158,素材!$1:$1016,COLUMN($G$1),FALSE),"")</f>
        <v>35</v>
      </c>
      <c r="N158">
        <f>IFERROR(VLOOKUP($C158,武器!$1:$998,COLUMN(I$1),FALSE),"")</f>
        <v>0</v>
      </c>
      <c r="O158" s="23">
        <f>IFERROR((VLOOKUP($C158,武器!$1:$998,COLUMN(K$1),FALSE)+VLOOKUP($D158,素材!$1:$1016,COLUMN(H$1),FALSE))*100+IFERROR(VLOOKUP($CI158,装強!$1:$999,COLUMN(O$1),FALSE),0),"")</f>
        <v>10</v>
      </c>
      <c r="P158" s="23">
        <f>IFERROR((VLOOKUP($C158,武器!$1:$998,COLUMN(L$1),FALSE)+VLOOKUP($D158,素材!$1:$1016,COLUMN(I$1),FALSE))*100+IFERROR(VLOOKUP($CI158,装強!$1:$999,COLUMN(P$1),FALSE),0),"")</f>
        <v>175</v>
      </c>
      <c r="Q158">
        <f>IFERROR(ROUNDUP(VLOOKUP($C158,武器!$1:$998,COLUMN(M$1),FALSE)*(VLOOKUP($D158,素材!$1:$1002,COLUMN(D$1),FALSE)/100),1),"")</f>
        <v>0</v>
      </c>
      <c r="R158">
        <f>IFERROR(ROUNDUP(VLOOKUP($C158,武器!$1:$998,COLUMN(N$1),FALSE)*(VLOOKUP($D158,素材!$1:$1002,COLUMN(D$1),FALSE)/100),1),"")</f>
        <v>0</v>
      </c>
      <c r="S158">
        <f>IFERROR(VLOOKUP($C158,武器!$1:$998,COLUMN(P$1),FALSE),"")</f>
        <v>0</v>
      </c>
      <c r="T158">
        <f>IFERROR(VLOOKUP($C158,武器!$1:$998,COLUMN(Q$1),FALSE),"")</f>
        <v>0</v>
      </c>
      <c r="U158">
        <f>IFERROR(VLOOKUP($C158,武器!$1:$998,COLUMN(R$1),FALSE),"")</f>
        <v>0</v>
      </c>
      <c r="V158">
        <f>IFERROR(VLOOKUP($C158,武器!$1:$998,COLUMN(Q$1),FALSE),"")</f>
        <v>0</v>
      </c>
      <c r="W158" t="str">
        <f>IFERROR(VLOOKUP($C158,武器!$1:$998,COLUMN(T$1),FALSE),"")</f>
        <v>A</v>
      </c>
      <c r="Y158" t="str">
        <f>IFERROR(VLOOKUP($C158,武器!$1:$998,COLUMN(U$1),FALSE),"")</f>
        <v>暗殺強化,片手適正Ⅱ</v>
      </c>
      <c r="Z158">
        <f>IFERROR(ROUNDUP(VLOOKUP($C158,武器!$1:$998,COLUMN(O$1),FALSE)*VLOOKUP($D158,素材!$1:$1016,COLUMN(E$1),FALSE),1),"")</f>
        <v>0</v>
      </c>
      <c r="AA158">
        <f>IF(ISNUMBER(SEARCH(SUBSTITUTE(AA$1,RIGHT(AA$1,2),""),VLOOKUP($D158,素材!$1:$1016,COLUMN($F$1),FALSE))),VLOOKUP($C158,武器!$1:$998,COLUMN($O$1),FALSE)*VLOOKUP($D158,素材!$1:$1016,COLUMN($E$1),FALSE)/(LEN(VLOOKUP($D158,素材!$1:$1016,COLUMN($F$1),FALSE)) - LEN(SUBSTITUTE(VLOOKUP($D158,素材!$1:$1016,COLUMN($F$1),FALSE), "・", 0)) + 1), 0)</f>
        <v>0</v>
      </c>
      <c r="AB158">
        <f>IF(ISNUMBER(SEARCH(SUBSTITUTE(AB$1,RIGHT(AB$1,2),""),VLOOKUP($D158,素材!$1:$1016,COLUMN($F$1),FALSE))),VLOOKUP($C158,武器!$1:$998,COLUMN($O$1),FALSE)*VLOOKUP($D158,素材!$1:$1016,COLUMN($E$1),FALSE)/(LEN(VLOOKUP($D158,素材!$1:$1016,COLUMN($F$1),FALSE)) - LEN(SUBSTITUTE(VLOOKUP($D158,素材!$1:$1016,COLUMN($F$1),FALSE), "・", 0)) + 1), 0)</f>
        <v>0</v>
      </c>
      <c r="AC158">
        <f>IF(ISNUMBER(SEARCH(SUBSTITUTE(AC$1,RIGHT(AC$1,2),""),VLOOKUP($D158,素材!$1:$1016,COLUMN($F$1),FALSE))),VLOOKUP($C158,武器!$1:$998,COLUMN($O$1),FALSE)*VLOOKUP($D158,素材!$1:$1016,COLUMN($E$1),FALSE)/(LEN(VLOOKUP($D158,素材!$1:$1016,COLUMN($F$1),FALSE)) - LEN(SUBSTITUTE(VLOOKUP($D158,素材!$1:$1016,COLUMN($F$1),FALSE), "・", 0)) + 1), 0)</f>
        <v>0</v>
      </c>
      <c r="AD158">
        <f>IF(ISNUMBER(SEARCH(SUBSTITUTE(AD$1,RIGHT(AD$1,2),""),VLOOKUP($D158,素材!$1:$1016,COLUMN($F$1),FALSE))),VLOOKUP($C158,武器!$1:$998,COLUMN($O$1),FALSE)*VLOOKUP($D158,素材!$1:$1016,COLUMN($E$1),FALSE)/(LEN(VLOOKUP($D158,素材!$1:$1016,COLUMN($F$1),FALSE)) - LEN(SUBSTITUTE(VLOOKUP($D158,素材!$1:$1016,COLUMN($F$1),FALSE), "・", 0)) + 1), 0)</f>
        <v>0</v>
      </c>
      <c r="AE158">
        <f>IF(ISNUMBER(SEARCH(SUBSTITUTE(AE$1,RIGHT(AE$1,2),""),VLOOKUP($D158,素材!$1:$1016,COLUMN($F$1),FALSE))),VLOOKUP($C158,武器!$1:$998,COLUMN($O$1),FALSE)*VLOOKUP($D158,素材!$1:$1016,COLUMN($E$1),FALSE)/(LEN(VLOOKUP($D158,素材!$1:$1016,COLUMN($F$1),FALSE)) - LEN(SUBSTITUTE(VLOOKUP($D158,素材!$1:$1016,COLUMN($F$1),FALSE), "・", 0)) + 1), 0)</f>
        <v>0</v>
      </c>
      <c r="AF158">
        <f>IF(ISNUMBER(SEARCH(SUBSTITUTE(AF$1,RIGHT(AF$1,2),""),VLOOKUP($D158,素材!$1:$1016,COLUMN($F$1),FALSE))),VLOOKUP($C158,武器!$1:$998,COLUMN($O$1),FALSE)*VLOOKUP($D158,素材!$1:$1016,COLUMN($E$1),FALSE)/(LEN(VLOOKUP($D158,素材!$1:$1016,COLUMN($F$1),FALSE)) - LEN(SUBSTITUTE(VLOOKUP($D158,素材!$1:$1016,COLUMN($F$1),FALSE), "・", 0)) + 1), 0)</f>
        <v>0</v>
      </c>
      <c r="AG158">
        <f>IF(ISNUMBER(SEARCH(SUBSTITUTE(AG$1,RIGHT(AG$1,2),""),VLOOKUP($D158,素材!$1:$1016,COLUMN($F$1),FALSE))),VLOOKUP($C158,武器!$1:$998,COLUMN($O$1),FALSE)*VLOOKUP($D158,素材!$1:$1016,COLUMN($E$1),FALSE)/(LEN(VLOOKUP($D158,素材!$1:$1016,COLUMN($F$1),FALSE)) - LEN(SUBSTITUTE(VLOOKUP($D158,素材!$1:$1016,COLUMN($F$1),FALSE), "・", 0)) + 1), 0)</f>
        <v>0</v>
      </c>
      <c r="AH158">
        <f>IF(ISNUMBER(SEARCH(SUBSTITUTE(AH$1,RIGHT(AH$1,2),""),VLOOKUP($D158,素材!$1:$1016,COLUMN($F$1),FALSE))),VLOOKUP($C158,武器!$1:$998,COLUMN($O$1),FALSE)*VLOOKUP($D158,素材!$1:$1016,COLUMN($E$1),FALSE)/(LEN(VLOOKUP($D158,素材!$1:$1016,COLUMN($F$1),FALSE)) - LEN(SUBSTITUTE(VLOOKUP($D158,素材!$1:$1016,COLUMN($F$1),FALSE), "・", 0)) + 1), 0)</f>
        <v>0</v>
      </c>
      <c r="AI158">
        <f>IF(ISNUMBER(SEARCH(SUBSTITUTE(AI$1,RIGHT(AI$1,2),""),VLOOKUP($D158,素材!$1:$1016,COLUMN($F$1),FALSE))),VLOOKUP($C158,武器!$1:$998,COLUMN($O$1),FALSE)*VLOOKUP($D158,素材!$1:$1016,COLUMN($E$1),FALSE)/(LEN(VLOOKUP($D158,素材!$1:$1016,COLUMN($F$1),FALSE)) - LEN(SUBSTITUTE(VLOOKUP($D158,素材!$1:$1016,COLUMN($F$1),FALSE), "・", 0)) + 1), 0)</f>
        <v>0</v>
      </c>
      <c r="AJ158">
        <f>IF(ISNUMBER(SEARCH(SUBSTITUTE(AJ$1,RIGHT(AJ$1,2),""),VLOOKUP($D158,素材!$1:$1016,COLUMN($F$1),FALSE))),VLOOKUP($C158,武器!$1:$998,COLUMN($O$1),FALSE)*VLOOKUP($D158,素材!$1:$1016,COLUMN($E$1),FALSE)/(LEN(VLOOKUP($D158,素材!$1:$1016,COLUMN($F$1),FALSE)) - LEN(SUBSTITUTE(VLOOKUP($D158,素材!$1:$1016,COLUMN($F$1),FALSE), "・", 0)) + 1), 0)</f>
        <v>0</v>
      </c>
      <c r="AK158">
        <f>IF(ISNUMBER(SEARCH(SUBSTITUTE(AK$1,RIGHT(AK$1,2),""),VLOOKUP($D158,素材!$1:$1016,COLUMN($F$1),FALSE))),VLOOKUP($C158,武器!$1:$998,COLUMN($O$1),FALSE)*VLOOKUP($D158,素材!$1:$1016,COLUMN($E$1),FALSE)/(LEN(VLOOKUP($D158,素材!$1:$1016,COLUMN($F$1),FALSE)) - LEN(SUBSTITUTE(VLOOKUP($D158,素材!$1:$1016,COLUMN($F$1),FALSE), "・", 0)) + 1), 0)</f>
        <v>0</v>
      </c>
      <c r="AL158">
        <f>IF(ISNUMBER(SEARCH(SUBSTITUTE(AL$1,RIGHT(AL$1,2),""),VLOOKUP($D158,素材!$1:$1016,COLUMN($F$1),FALSE))),VLOOKUP($C158,武器!$1:$998,COLUMN($O$1),FALSE)*VLOOKUP($D158,素材!$1:$1016,COLUMN($E$1),FALSE)/(LEN(VLOOKUP($D158,素材!$1:$1016,COLUMN($F$1),FALSE)) - LEN(SUBSTITUTE(VLOOKUP($D158,素材!$1:$1016,COLUMN($F$1),FALSE), "・", 0)) + 1), 0)</f>
        <v>0</v>
      </c>
      <c r="AM158">
        <f>IF(ISNUMBER(SEARCH(SUBSTITUTE(AM$1,RIGHT(AM$1,2),""),VLOOKUP($D158,素材!$1:$1016,COLUMN($F$1),FALSE))),VLOOKUP($C158,武器!$1:$998,COLUMN($O$1),FALSE)*VLOOKUP($D158,素材!$1:$1016,COLUMN($E$1),FALSE)/(LEN(VLOOKUP($D158,素材!$1:$1016,COLUMN($F$1),FALSE)) - LEN(SUBSTITUTE(VLOOKUP($D158,素材!$1:$1016,COLUMN($F$1),FALSE), "・", 0)) + 1), 0)</f>
        <v>0</v>
      </c>
      <c r="AN158">
        <f>IF(ISNUMBER(SEARCH(SUBSTITUTE(AN$1,RIGHT(AN$1,2),""),VLOOKUP($D158,素材!$1:$1016,COLUMN($F$1),FALSE))),VLOOKUP($C158,武器!$1:$998,COLUMN($O$1),FALSE)*VLOOKUP($D158,素材!$1:$1016,COLUMN($E$1),FALSE)/(LEN(VLOOKUP($D158,素材!$1:$1016,COLUMN($F$1),FALSE)) - LEN(SUBSTITUTE(VLOOKUP($D158,素材!$1:$1016,COLUMN($F$1),FALSE), "・", 0)) + 1), 0)</f>
        <v>0</v>
      </c>
      <c r="AO158">
        <f>IF(ISNUMBER(SEARCH(SUBSTITUTE(AO$1,RIGHT(AO$1,2),""),VLOOKUP($D158,素材!$1:$1016,COLUMN($F$1),FALSE))),VLOOKUP($C158,武器!$1:$998,COLUMN($O$1),FALSE)*VLOOKUP($D158,素材!$1:$1016,COLUMN($E$1),FALSE)/(LEN(VLOOKUP($D158,素材!$1:$1016,COLUMN($F$1),FALSE)) - LEN(SUBSTITUTE(VLOOKUP($D158,素材!$1:$1016,COLUMN($F$1),FALSE), "・", 0)) + 1), 0)</f>
        <v>0</v>
      </c>
      <c r="AP158">
        <f>IF(ISNUMBER(SEARCH(SUBSTITUTE(AP$1,RIGHT(AP$1,2),""),VLOOKUP($D158,素材!$1:$1016,COLUMN($F$1),FALSE))),VLOOKUP($C158,武器!$1:$998,COLUMN($O$1),FALSE)*VLOOKUP($D158,素材!$1:$1016,COLUMN($E$1),FALSE)/(LEN(VLOOKUP($D158,素材!$1:$1016,COLUMN($F$1),FALSE)) - LEN(SUBSTITUTE(VLOOKUP($D158,素材!$1:$1016,COLUMN($F$1),FALSE), "・", 0)) + 1), 0)</f>
        <v>0</v>
      </c>
      <c r="AQ158">
        <f>IF(ISNUMBER(SEARCH(SUBSTITUTE(AQ$1,RIGHT(AQ$1,2),""),VLOOKUP($D158,素材!$1:$1016,COLUMN($F$1),FALSE))),VLOOKUP($C158,武器!$1:$998,COLUMN($O$1),FALSE)*VLOOKUP($D158,素材!$1:$1016,COLUMN($E$1),FALSE)/(LEN(VLOOKUP($D158,素材!$1:$1016,COLUMN($F$1),FALSE)) - LEN(SUBSTITUTE(VLOOKUP($D158,素材!$1:$1016,COLUMN($F$1),FALSE), "・", 0)) + 1), 0)</f>
        <v>0</v>
      </c>
      <c r="AR158">
        <f>IF(ISNUMBER(SEARCH(SUBSTITUTE(AR$1,RIGHT(AR$1,2),""),VLOOKUP($D158,素材!$1:$1016,COLUMN($F$1),FALSE))),VLOOKUP($C158,武器!$1:$998,COLUMN($O$1),FALSE)*VLOOKUP($D158,素材!$1:$1016,COLUMN($E$1),FALSE)/(LEN(VLOOKUP($D158,素材!$1:$1016,COLUMN($F$1),FALSE)) - LEN(SUBSTITUTE(VLOOKUP($D158,素材!$1:$1016,COLUMN($F$1),FALSE), "・", 0)) + 1), 0)</f>
        <v>0</v>
      </c>
      <c r="AS158">
        <f>IF(ISNUMBER(SEARCH(SUBSTITUTE(AS$1,RIGHT(AS$1,2),""),VLOOKUP($D158,素材!$1:$1016,COLUMN($F$1),FALSE))),VLOOKUP($C158,武器!$1:$998,COLUMN($O$1),FALSE)*VLOOKUP($D158,素材!$1:$1016,COLUMN($E$1),FALSE)/(LEN(VLOOKUP($D158,素材!$1:$1016,COLUMN($F$1),FALSE)) - LEN(SUBSTITUTE(VLOOKUP($D158,素材!$1:$1016,COLUMN($F$1),FALSE), "・", 0)) + 1), 0)</f>
        <v>0</v>
      </c>
      <c r="AT158">
        <f>IF(ISNUMBER(SEARCH(SUBSTITUTE(AT$1,RIGHT(AT$1,2),""),VLOOKUP($D158,素材!$1:$1016,COLUMN($F$1),FALSE))),VLOOKUP($C158,武器!$1:$998,COLUMN($O$1),FALSE)*VLOOKUP($D158,素材!$1:$1016,COLUMN($E$1),FALSE)/(LEN(VLOOKUP($D158,素材!$1:$1016,COLUMN($F$1),FALSE)) - LEN(SUBSTITUTE(VLOOKUP($D158,素材!$1:$1016,COLUMN($F$1),FALSE), "・", 0)) + 1), 0)</f>
        <v>0</v>
      </c>
      <c r="AU158">
        <f>IF(ISNUMBER(SEARCH(SUBSTITUTE(AU$1,RIGHT(AU$1,2),""),VLOOKUP($D158,素材!$1:$1016,COLUMN($F$1),FALSE))),VLOOKUP($C158,武器!$1:$998,COLUMN($O$1),FALSE)*VLOOKUP($D158,素材!$1:$1016,COLUMN($E$1),FALSE)/(LEN(VLOOKUP($D158,素材!$1:$1016,COLUMN($F$1),FALSE)) - LEN(SUBSTITUTE(VLOOKUP($D158,素材!$1:$1016,COLUMN($F$1),FALSE), "・", 0)) + 1), 0)</f>
        <v>0</v>
      </c>
      <c r="AV158">
        <f>IF(ISNUMBER(SEARCH(SUBSTITUTE(AV$1,RIGHT(AV$1,2),""),VLOOKUP($D158,素材!$1:$1016,COLUMN($F$1),FALSE))),VLOOKUP($C158,武器!$1:$998,COLUMN($O$1),FALSE)*VLOOKUP($D158,素材!$1:$1016,COLUMN($E$1),FALSE)/(LEN(VLOOKUP($D158,素材!$1:$1016,COLUMN($F$1),FALSE)) - LEN(SUBSTITUTE(VLOOKUP($D158,素材!$1:$1016,COLUMN($F$1),FALSE), "・", 0)) + 1), 0)</f>
        <v>0</v>
      </c>
      <c r="AW158">
        <f>IF(ISNUMBER(SEARCH(SUBSTITUTE(AW$1,RIGHT(AW$1,2),""),VLOOKUP($D158,素材!$1:$1016,COLUMN($F$1),FALSE))),VLOOKUP($C158,武器!$1:$998,COLUMN($O$1),FALSE)*VLOOKUP($D158,素材!$1:$1016,COLUMN($E$1),FALSE)/(LEN(VLOOKUP($D158,素材!$1:$1016,COLUMN($F$1),FALSE)) - LEN(SUBSTITUTE(VLOOKUP($D158,素材!$1:$1016,COLUMN($F$1),FALSE), "・", 0)) + 1), 0)</f>
        <v>0</v>
      </c>
      <c r="AX158">
        <f>IF(ISNUMBER(SEARCH(SUBSTITUTE(AX$1,RIGHT(AX$1,2),""),VLOOKUP($D158,素材!$1:$1016,COLUMN($F$1),FALSE))),VLOOKUP($C158,武器!$1:$998,COLUMN($O$1),FALSE)*VLOOKUP($D158,素材!$1:$1016,COLUMN($E$1),FALSE)/(LEN(VLOOKUP($D158,素材!$1:$1016,COLUMN($F$1),FALSE)) - LEN(SUBSTITUTE(VLOOKUP($D158,素材!$1:$1016,COLUMN($F$1),FALSE), "・", 0)) + 1), 0)</f>
        <v>0</v>
      </c>
      <c r="AY158">
        <f>IF(ISNUMBER(SEARCH(SUBSTITUTE(AY$1,RIGHT(AY$1,2),""),VLOOKUP($D158,素材!$1:$1016,COLUMN($F$1),FALSE))),VLOOKUP($C158,武器!$1:$998,COLUMN($O$1),FALSE)*VLOOKUP($D158,素材!$1:$1016,COLUMN($E$1),FALSE)/(LEN(VLOOKUP($D158,素材!$1:$1016,COLUMN($F$1),FALSE)) - LEN(SUBSTITUTE(VLOOKUP($D158,素材!$1:$1016,COLUMN($F$1),FALSE), "・", 0)) + 1), 0)</f>
        <v>0</v>
      </c>
      <c r="AZ158">
        <f>IF(ISNUMBER(SEARCH(SUBSTITUTE(AZ$1,RIGHT(AZ$1,2),""),VLOOKUP($D158,素材!$1:$1016,COLUMN($F$1),FALSE))),VLOOKUP($C158,武器!$1:$998,COLUMN($O$1),FALSE)*VLOOKUP($D158,素材!$1:$1016,COLUMN($E$1),FALSE)/(LEN(VLOOKUP($D158,素材!$1:$1016,COLUMN($F$1),FALSE)) - LEN(SUBSTITUTE(VLOOKUP($D158,素材!$1:$1016,COLUMN($F$1),FALSE), "・", 0)) + 1), 0)</f>
        <v>0</v>
      </c>
      <c r="BA158">
        <f>IF(ISNUMBER(SEARCH(SUBSTITUTE(BA$1,RIGHT(BA$1,2),""),VLOOKUP($D158,素材!$1:$1016,COLUMN($F$1),FALSE))),VLOOKUP($C158,武器!$1:$998,COLUMN($O$1),FALSE)*VLOOKUP($D158,素材!$1:$1016,COLUMN($E$1),FALSE)/(LEN(VLOOKUP($D158,素材!$1:$1016,COLUMN($F$1),FALSE)) - LEN(SUBSTITUTE(VLOOKUP($D158,素材!$1:$1016,COLUMN($F$1),FALSE), "・", 0)) + 1), 0)</f>
        <v>0</v>
      </c>
      <c r="BB158">
        <f>IF(ISNUMBER(SEARCH(SUBSTITUTE(BB$1,RIGHT(BB$1,2),""),VLOOKUP($D158,素材!$1:$1016,COLUMN($F$1),FALSE))),VLOOKUP($C158,武器!$1:$998,COLUMN($O$1),FALSE)*VLOOKUP($D158,素材!$1:$1016,COLUMN($E$1),FALSE)/(LEN(VLOOKUP($D158,素材!$1:$1016,COLUMN($F$1),FALSE)) - LEN(SUBSTITUTE(VLOOKUP($D158,素材!$1:$1016,COLUMN($F$1),FALSE), "・", 0)) + 1), 0)</f>
        <v>0</v>
      </c>
      <c r="BC158">
        <f>IF(ISNUMBER(SEARCH(SUBSTITUTE(BC$1,RIGHT(BC$1,2),""),VLOOKUP($D158,素材!$1:$1016,COLUMN($F$1),FALSE))),VLOOKUP($C158,武器!$1:$998,COLUMN($O$1),FALSE)*VLOOKUP($D158,素材!$1:$1016,COLUMN($E$1),FALSE)/(LEN(VLOOKUP($D158,素材!$1:$1016,COLUMN($F$1),FALSE)) - LEN(SUBSTITUTE(VLOOKUP($D158,素材!$1:$1016,COLUMN($F$1),FALSE), "・", 0)) + 1), 0)</f>
        <v>0</v>
      </c>
      <c r="BD158">
        <f>IF(ISNUMBER(SEARCH(SUBSTITUTE(BD$1,RIGHT(BD$1,2),""),VLOOKUP($D158,素材!$1:$1016,COLUMN($F$1),FALSE))),VLOOKUP($C158,武器!$1:$998,COLUMN($O$1),FALSE)*VLOOKUP($D158,素材!$1:$1016,COLUMN($E$1),FALSE)/(LEN(VLOOKUP($D158,素材!$1:$1016,COLUMN($F$1),FALSE)) - LEN(SUBSTITUTE(VLOOKUP($D158,素材!$1:$1016,COLUMN($F$1),FALSE), "・", 0)) + 1), 0)</f>
        <v>0</v>
      </c>
      <c r="BE158">
        <f>IF(ISNUMBER(SEARCH(SUBSTITUTE(BE$1,RIGHT(BE$1,2),""),VLOOKUP($D158,素材!$1:$1016,COLUMN($F$1),FALSE))),VLOOKUP($C158,武器!$1:$998,COLUMN($O$1),FALSE)*VLOOKUP($D158,素材!$1:$1016,COLUMN($E$1),FALSE)/(LEN(VLOOKUP($D158,素材!$1:$1016,COLUMN($F$1),FALSE)) - LEN(SUBSTITUTE(VLOOKUP($D158,素材!$1:$1016,COLUMN($F$1),FALSE), "・", 0)) + 1), 0)</f>
        <v>0</v>
      </c>
      <c r="CL158">
        <f>SUM(G158:I158)</f>
        <v>20</v>
      </c>
      <c r="CM158" s="22" t="str">
        <f>IF(E158="武器",IF(J158-1&gt;SUM(G158:I158),"盾",IF(MAX(G158:I158)=G158,"切断",IF(MAX(G158:I158)=H158,"貫通",IF(MAX(G158:I158)=I158,"打撃","射撃")))),E158)&amp;".webp"</f>
        <v>切断.webp</v>
      </c>
      <c r="CN158">
        <f>IFERROR(VLOOKUP($C158,武器!$1:$998,COLUMN(V$1),FALSE)*VLOOKUP($D158,素材!$1:$1016,COLUMN(N$1),FALSE)+IF(CI158="",0,VLOOKUP($CI158,装強!$1:$1008,COLUMN($CK$1),FALSE)),"")</f>
        <v>1500</v>
      </c>
      <c r="CO158">
        <f>VLOOKUP(D158,素材!$A:$O,COLUMN(素材!O$1),FALSE)</f>
        <v>0</v>
      </c>
      <c r="CP158" t="str">
        <f>VLOOKUP(C158,武器!$A:$W,COLUMN(武器!W$1),FALSE)</f>
        <v>短刀。暗殺向けの武器で、軽量かつ片手操作に適する。Cr威力が高い</v>
      </c>
      <c r="CR158" t="str">
        <f t="shared" si="18"/>
        <v>e_158</v>
      </c>
      <c r="CS158">
        <f t="shared" si="22"/>
        <v>150000</v>
      </c>
    </row>
    <row r="159" spans="1:97" outlineLevel="1" x14ac:dyDescent="0.4">
      <c r="A159" t="str">
        <f t="shared" si="27"/>
        <v>黒鋼鉄の刀</v>
      </c>
      <c r="B159" t="str">
        <f>IFERROR(VLOOKUP($D159,素材!$1:$1016,COLUMN($B$1),FALSE)&amp;"・"&amp;VLOOKUP($C159,武器!$1:$998,COLUMN(B$1),FALSE),"")</f>
        <v>ブラックスティール・カタナ</v>
      </c>
      <c r="C159" s="24" t="s">
        <v>241</v>
      </c>
      <c r="D159" s="24" t="s">
        <v>244</v>
      </c>
      <c r="E159" t="str">
        <f>IFERROR(VLOOKUP(C159,武器!$1:$998,COLUMN(C$1),FALSE),"")</f>
        <v>武器</v>
      </c>
      <c r="F159">
        <f>IFERROR(ROUNDDOWN((VLOOKUP($C159,武器!$1:$998,COLUMN(D$1),FALSE)+IFERROR(VLOOKUP($CI159,装強!$1:$999,COLUMN(F$1),FALSE),0))*VLOOKUP($D159,素材!$1:$1016,COLUMN(D$1),FALSE),0),"")</f>
        <v>105</v>
      </c>
      <c r="G159">
        <f>IFERROR(ROUNDDOWN((VLOOKUP($C159,武器!$1:$998,COLUMN(E$1),FALSE)+IFERROR(VLOOKUP($CI159,装強!$1:$999,COLUMN(G$1),FALSE),0))*VLOOKUP($D159,素材!$1:$1016,COLUMN($E$1),FALSE),0),"")</f>
        <v>14</v>
      </c>
      <c r="H159">
        <f>IFERROR(ROUNDDOWN((VLOOKUP($C159,武器!$1:$998,COLUMN(F$1),FALSE)+IFERROR(VLOOKUP($CI159,装強!$1:$999,COLUMN(H$1),FALSE),0))*VLOOKUP($D159,素材!$1:$1016,COLUMN($E$1),FALSE),0),"")</f>
        <v>8</v>
      </c>
      <c r="I159">
        <f>IFERROR(ROUNDDOWN((VLOOKUP($C159,武器!$1:$998,COLUMN(G$1),FALSE)+IFERROR(VLOOKUP($CI159,装強!$1:$999,COLUMN(I$1),FALSE),0))*VLOOKUP($D159,素材!$1:$1016,COLUMN($E$1),FALSE),0),"")</f>
        <v>2</v>
      </c>
      <c r="J159">
        <f>IFERROR(ROUNDDOWN((VLOOKUP($C159,武器!$1:$998,COLUMN(H$1),FALSE)+IFERROR(VLOOKUP($CI159,装強!$1:$999,COLUMN(J$1),FALSE),0))*VLOOKUP($D159,素材!$1:$1016,COLUMN($E$1),FALSE),0),"")</f>
        <v>17</v>
      </c>
      <c r="K159">
        <f>IFERROR(ROUNDDOWN((VLOOKUP($C159,武器!$1:$998,COLUMN(I$1),FALSE)+IFERROR(VLOOKUP($CI159,装強!$1:$999,COLUMN(K$1),FALSE),0))*VLOOKUP($D159,素材!$1:$1016,COLUMN($E$1),FALSE),0),"")</f>
        <v>0</v>
      </c>
      <c r="L159" t="str">
        <f>IFERROR(VLOOKUP($D159,素材!$1:$1016,COLUMN($F$1),FALSE),"")</f>
        <v>雷</v>
      </c>
      <c r="M159">
        <f>IFERROR(VLOOKUP($C159,武器!$1:$998,COLUMN(AA$1),FALSE)*VLOOKUP($D159,素材!$1:$1016,COLUMN($G$1),FALSE),"")</f>
        <v>42</v>
      </c>
      <c r="N159">
        <f>IFERROR(VLOOKUP($C159,武器!$1:$998,COLUMN(I$1),FALSE),"")</f>
        <v>0</v>
      </c>
      <c r="O159" s="23">
        <f>IFERROR((VLOOKUP($C159,武器!$1:$998,COLUMN(K$1),FALSE)+VLOOKUP($D159,素材!$1:$1016,COLUMN(H$1),FALSE))*100+IFERROR(VLOOKUP($CI159,装強!$1:$999,COLUMN(O$1),FALSE),0),"")</f>
        <v>10</v>
      </c>
      <c r="P159" s="23">
        <f>IFERROR((VLOOKUP($C159,武器!$1:$998,COLUMN(L$1),FALSE)+VLOOKUP($D159,素材!$1:$1016,COLUMN(I$1),FALSE))*100+IFERROR(VLOOKUP($CI159,装強!$1:$999,COLUMN(P$1),FALSE),0),"")</f>
        <v>175</v>
      </c>
      <c r="Q159">
        <f>IFERROR(ROUNDUP(VLOOKUP($C159,武器!$1:$998,COLUMN(M$1),FALSE)*(VLOOKUP($D159,素材!$1:$1002,COLUMN(D$1),FALSE)/100),1),"")</f>
        <v>0</v>
      </c>
      <c r="R159">
        <f>IFERROR(ROUNDUP(VLOOKUP($C159,武器!$1:$998,COLUMN(N$1),FALSE)*(VLOOKUP($D159,素材!$1:$1002,COLUMN(D$1),FALSE)/100),1),"")</f>
        <v>0</v>
      </c>
      <c r="S159">
        <f>IFERROR(VLOOKUP($C159,武器!$1:$998,COLUMN(P$1),FALSE),"")</f>
        <v>0</v>
      </c>
      <c r="T159">
        <f>IFERROR(VLOOKUP($C159,武器!$1:$998,COLUMN(Q$1),FALSE),"")</f>
        <v>0</v>
      </c>
      <c r="U159">
        <f>IFERROR(VLOOKUP($C159,武器!$1:$998,COLUMN(R$1),FALSE),"")</f>
        <v>0</v>
      </c>
      <c r="V159">
        <f>IFERROR(VLOOKUP($C159,武器!$1:$998,COLUMN(Q$1),FALSE),"")</f>
        <v>0</v>
      </c>
      <c r="W159" t="str">
        <f>IFERROR(VLOOKUP($C159,武器!$1:$998,COLUMN(T$1),FALSE),"")</f>
        <v>A</v>
      </c>
      <c r="Y159">
        <f>IFERROR(VLOOKUP($C159,武器!$1:$998,COLUMN(U$1),FALSE),"")</f>
        <v>0</v>
      </c>
      <c r="Z159">
        <f>IFERROR(ROUNDUP(VLOOKUP($C159,武器!$1:$998,COLUMN(O$1),FALSE)*VLOOKUP($D159,素材!$1:$1016,COLUMN(E$1),FALSE),1),"")</f>
        <v>0</v>
      </c>
      <c r="AA159">
        <f>IF(ISNUMBER(SEARCH(SUBSTITUTE(AA$1,RIGHT(AA$1,2),""),VLOOKUP($D159,素材!$1:$1016,COLUMN($F$1),FALSE))),VLOOKUP($C159,武器!$1:$998,COLUMN($O$1),FALSE)*VLOOKUP($D159,素材!$1:$1016,COLUMN($E$1),FALSE)/(LEN(VLOOKUP($D159,素材!$1:$1016,COLUMN($F$1),FALSE)) - LEN(SUBSTITUTE(VLOOKUP($D159,素材!$1:$1016,COLUMN($F$1),FALSE), "・", 0)) + 1), 0)</f>
        <v>0</v>
      </c>
      <c r="AB159">
        <f>IF(ISNUMBER(SEARCH(SUBSTITUTE(AB$1,RIGHT(AB$1,2),""),VLOOKUP($D159,素材!$1:$1016,COLUMN($F$1),FALSE))),VLOOKUP($C159,武器!$1:$998,COLUMN($O$1),FALSE)*VLOOKUP($D159,素材!$1:$1016,COLUMN($E$1),FALSE)/(LEN(VLOOKUP($D159,素材!$1:$1016,COLUMN($F$1),FALSE)) - LEN(SUBSTITUTE(VLOOKUP($D159,素材!$1:$1016,COLUMN($F$1),FALSE), "・", 0)) + 1), 0)</f>
        <v>0</v>
      </c>
      <c r="AC159">
        <f>IF(ISNUMBER(SEARCH(SUBSTITUTE(AC$1,RIGHT(AC$1,2),""),VLOOKUP($D159,素材!$1:$1016,COLUMN($F$1),FALSE))),VLOOKUP($C159,武器!$1:$998,COLUMN($O$1),FALSE)*VLOOKUP($D159,素材!$1:$1016,COLUMN($E$1),FALSE)/(LEN(VLOOKUP($D159,素材!$1:$1016,COLUMN($F$1),FALSE)) - LEN(SUBSTITUTE(VLOOKUP($D159,素材!$1:$1016,COLUMN($F$1),FALSE), "・", 0)) + 1), 0)</f>
        <v>0</v>
      </c>
      <c r="AD159">
        <f>IF(ISNUMBER(SEARCH(SUBSTITUTE(AD$1,RIGHT(AD$1,2),""),VLOOKUP($D159,素材!$1:$1016,COLUMN($F$1),FALSE))),VLOOKUP($C159,武器!$1:$998,COLUMN($O$1),FALSE)*VLOOKUP($D159,素材!$1:$1016,COLUMN($E$1),FALSE)/(LEN(VLOOKUP($D159,素材!$1:$1016,COLUMN($F$1),FALSE)) - LEN(SUBSTITUTE(VLOOKUP($D159,素材!$1:$1016,COLUMN($F$1),FALSE), "・", 0)) + 1), 0)</f>
        <v>0</v>
      </c>
      <c r="AE159">
        <f>IF(ISNUMBER(SEARCH(SUBSTITUTE(AE$1,RIGHT(AE$1,2),""),VLOOKUP($D159,素材!$1:$1016,COLUMN($F$1),FALSE))),VLOOKUP($C159,武器!$1:$998,COLUMN($O$1),FALSE)*VLOOKUP($D159,素材!$1:$1016,COLUMN($E$1),FALSE)/(LEN(VLOOKUP($D159,素材!$1:$1016,COLUMN($F$1),FALSE)) - LEN(SUBSTITUTE(VLOOKUP($D159,素材!$1:$1016,COLUMN($F$1),FALSE), "・", 0)) + 1), 0)</f>
        <v>0</v>
      </c>
      <c r="AF159">
        <f>IF(ISNUMBER(SEARCH(SUBSTITUTE(AF$1,RIGHT(AF$1,2),""),VLOOKUP($D159,素材!$1:$1016,COLUMN($F$1),FALSE))),VLOOKUP($C159,武器!$1:$998,COLUMN($O$1),FALSE)*VLOOKUP($D159,素材!$1:$1016,COLUMN($E$1),FALSE)/(LEN(VLOOKUP($D159,素材!$1:$1016,COLUMN($F$1),FALSE)) - LEN(SUBSTITUTE(VLOOKUP($D159,素材!$1:$1016,COLUMN($F$1),FALSE), "・", 0)) + 1), 0)</f>
        <v>0</v>
      </c>
      <c r="AG159">
        <f>IF(ISNUMBER(SEARCH(SUBSTITUTE(AG$1,RIGHT(AG$1,2),""),VLOOKUP($D159,素材!$1:$1016,COLUMN($F$1),FALSE))),VLOOKUP($C159,武器!$1:$998,COLUMN($O$1),FALSE)*VLOOKUP($D159,素材!$1:$1016,COLUMN($E$1),FALSE)/(LEN(VLOOKUP($D159,素材!$1:$1016,COLUMN($F$1),FALSE)) - LEN(SUBSTITUTE(VLOOKUP($D159,素材!$1:$1016,COLUMN($F$1),FALSE), "・", 0)) + 1), 0)</f>
        <v>0</v>
      </c>
      <c r="AH159">
        <f>IF(ISNUMBER(SEARCH(SUBSTITUTE(AH$1,RIGHT(AH$1,2),""),VLOOKUP($D159,素材!$1:$1016,COLUMN($F$1),FALSE))),VLOOKUP($C159,武器!$1:$998,COLUMN($O$1),FALSE)*VLOOKUP($D159,素材!$1:$1016,COLUMN($E$1),FALSE)/(LEN(VLOOKUP($D159,素材!$1:$1016,COLUMN($F$1),FALSE)) - LEN(SUBSTITUTE(VLOOKUP($D159,素材!$1:$1016,COLUMN($F$1),FALSE), "・", 0)) + 1), 0)</f>
        <v>0</v>
      </c>
      <c r="AI159">
        <f>IF(ISNUMBER(SEARCH(SUBSTITUTE(AI$1,RIGHT(AI$1,2),""),VLOOKUP($D159,素材!$1:$1016,COLUMN($F$1),FALSE))),VLOOKUP($C159,武器!$1:$998,COLUMN($O$1),FALSE)*VLOOKUP($D159,素材!$1:$1016,COLUMN($E$1),FALSE)/(LEN(VLOOKUP($D159,素材!$1:$1016,COLUMN($F$1),FALSE)) - LEN(SUBSTITUTE(VLOOKUP($D159,素材!$1:$1016,COLUMN($F$1),FALSE), "・", 0)) + 1), 0)</f>
        <v>0</v>
      </c>
      <c r="AJ159">
        <f>IF(ISNUMBER(SEARCH(SUBSTITUTE(AJ$1,RIGHT(AJ$1,2),""),VLOOKUP($D159,素材!$1:$1016,COLUMN($F$1),FALSE))),VLOOKUP($C159,武器!$1:$998,COLUMN($O$1),FALSE)*VLOOKUP($D159,素材!$1:$1016,COLUMN($E$1),FALSE)/(LEN(VLOOKUP($D159,素材!$1:$1016,COLUMN($F$1),FALSE)) - LEN(SUBSTITUTE(VLOOKUP($D159,素材!$1:$1016,COLUMN($F$1),FALSE), "・", 0)) + 1), 0)</f>
        <v>0</v>
      </c>
      <c r="AK159">
        <f>IF(ISNUMBER(SEARCH(SUBSTITUTE(AK$1,RIGHT(AK$1,2),""),VLOOKUP($D159,素材!$1:$1016,COLUMN($F$1),FALSE))),VLOOKUP($C159,武器!$1:$998,COLUMN($O$1),FALSE)*VLOOKUP($D159,素材!$1:$1016,COLUMN($E$1),FALSE)/(LEN(VLOOKUP($D159,素材!$1:$1016,COLUMN($F$1),FALSE)) - LEN(SUBSTITUTE(VLOOKUP($D159,素材!$1:$1016,COLUMN($F$1),FALSE), "・", 0)) + 1), 0)</f>
        <v>0</v>
      </c>
      <c r="AL159">
        <f>IF(ISNUMBER(SEARCH(SUBSTITUTE(AL$1,RIGHT(AL$1,2),""),VLOOKUP($D159,素材!$1:$1016,COLUMN($F$1),FALSE))),VLOOKUP($C159,武器!$1:$998,COLUMN($O$1),FALSE)*VLOOKUP($D159,素材!$1:$1016,COLUMN($E$1),FALSE)/(LEN(VLOOKUP($D159,素材!$1:$1016,COLUMN($F$1),FALSE)) - LEN(SUBSTITUTE(VLOOKUP($D159,素材!$1:$1016,COLUMN($F$1),FALSE), "・", 0)) + 1), 0)</f>
        <v>0</v>
      </c>
      <c r="AM159">
        <f>IF(ISNUMBER(SEARCH(SUBSTITUTE(AM$1,RIGHT(AM$1,2),""),VLOOKUP($D159,素材!$1:$1016,COLUMN($F$1),FALSE))),VLOOKUP($C159,武器!$1:$998,COLUMN($O$1),FALSE)*VLOOKUP($D159,素材!$1:$1016,COLUMN($E$1),FALSE)/(LEN(VLOOKUP($D159,素材!$1:$1016,COLUMN($F$1),FALSE)) - LEN(SUBSTITUTE(VLOOKUP($D159,素材!$1:$1016,COLUMN($F$1),FALSE), "・", 0)) + 1), 0)</f>
        <v>0</v>
      </c>
      <c r="AN159">
        <f>IF(ISNUMBER(SEARCH(SUBSTITUTE(AN$1,RIGHT(AN$1,2),""),VLOOKUP($D159,素材!$1:$1016,COLUMN($F$1),FALSE))),VLOOKUP($C159,武器!$1:$998,COLUMN($O$1),FALSE)*VLOOKUP($D159,素材!$1:$1016,COLUMN($E$1),FALSE)/(LEN(VLOOKUP($D159,素材!$1:$1016,COLUMN($F$1),FALSE)) - LEN(SUBSTITUTE(VLOOKUP($D159,素材!$1:$1016,COLUMN($F$1),FALSE), "・", 0)) + 1), 0)</f>
        <v>0</v>
      </c>
      <c r="AO159">
        <f>IF(ISNUMBER(SEARCH(SUBSTITUTE(AO$1,RIGHT(AO$1,2),""),VLOOKUP($D159,素材!$1:$1016,COLUMN($F$1),FALSE))),VLOOKUP($C159,武器!$1:$998,COLUMN($O$1),FALSE)*VLOOKUP($D159,素材!$1:$1016,COLUMN($E$1),FALSE)/(LEN(VLOOKUP($D159,素材!$1:$1016,COLUMN($F$1),FALSE)) - LEN(SUBSTITUTE(VLOOKUP($D159,素材!$1:$1016,COLUMN($F$1),FALSE), "・", 0)) + 1), 0)</f>
        <v>0</v>
      </c>
      <c r="AP159">
        <f>IF(ISNUMBER(SEARCH(SUBSTITUTE(AP$1,RIGHT(AP$1,2),""),VLOOKUP($D159,素材!$1:$1016,COLUMN($F$1),FALSE))),VLOOKUP($C159,武器!$1:$998,COLUMN($O$1),FALSE)*VLOOKUP($D159,素材!$1:$1016,COLUMN($E$1),FALSE)/(LEN(VLOOKUP($D159,素材!$1:$1016,COLUMN($F$1),FALSE)) - LEN(SUBSTITUTE(VLOOKUP($D159,素材!$1:$1016,COLUMN($F$1),FALSE), "・", 0)) + 1), 0)</f>
        <v>0</v>
      </c>
      <c r="AQ159">
        <f>IF(ISNUMBER(SEARCH(SUBSTITUTE(AQ$1,RIGHT(AQ$1,2),""),VLOOKUP($D159,素材!$1:$1016,COLUMN($F$1),FALSE))),VLOOKUP($C159,武器!$1:$998,COLUMN($O$1),FALSE)*VLOOKUP($D159,素材!$1:$1016,COLUMN($E$1),FALSE)/(LEN(VLOOKUP($D159,素材!$1:$1016,COLUMN($F$1),FALSE)) - LEN(SUBSTITUTE(VLOOKUP($D159,素材!$1:$1016,COLUMN($F$1),FALSE), "・", 0)) + 1), 0)</f>
        <v>0</v>
      </c>
      <c r="AR159">
        <f>IF(ISNUMBER(SEARCH(SUBSTITUTE(AR$1,RIGHT(AR$1,2),""),VLOOKUP($D159,素材!$1:$1016,COLUMN($F$1),FALSE))),VLOOKUP($C159,武器!$1:$998,COLUMN($O$1),FALSE)*VLOOKUP($D159,素材!$1:$1016,COLUMN($E$1),FALSE)/(LEN(VLOOKUP($D159,素材!$1:$1016,COLUMN($F$1),FALSE)) - LEN(SUBSTITUTE(VLOOKUP($D159,素材!$1:$1016,COLUMN($F$1),FALSE), "・", 0)) + 1), 0)</f>
        <v>0</v>
      </c>
      <c r="AS159">
        <f>IF(ISNUMBER(SEARCH(SUBSTITUTE(AS$1,RIGHT(AS$1,2),""),VLOOKUP($D159,素材!$1:$1016,COLUMN($F$1),FALSE))),VLOOKUP($C159,武器!$1:$998,COLUMN($O$1),FALSE)*VLOOKUP($D159,素材!$1:$1016,COLUMN($E$1),FALSE)/(LEN(VLOOKUP($D159,素材!$1:$1016,COLUMN($F$1),FALSE)) - LEN(SUBSTITUTE(VLOOKUP($D159,素材!$1:$1016,COLUMN($F$1),FALSE), "・", 0)) + 1), 0)</f>
        <v>0</v>
      </c>
      <c r="AT159">
        <f>IF(ISNUMBER(SEARCH(SUBSTITUTE(AT$1,RIGHT(AT$1,2),""),VLOOKUP($D159,素材!$1:$1016,COLUMN($F$1),FALSE))),VLOOKUP($C159,武器!$1:$998,COLUMN($O$1),FALSE)*VLOOKUP($D159,素材!$1:$1016,COLUMN($E$1),FALSE)/(LEN(VLOOKUP($D159,素材!$1:$1016,COLUMN($F$1),FALSE)) - LEN(SUBSTITUTE(VLOOKUP($D159,素材!$1:$1016,COLUMN($F$1),FALSE), "・", 0)) + 1), 0)</f>
        <v>0</v>
      </c>
      <c r="AU159">
        <f>IF(ISNUMBER(SEARCH(SUBSTITUTE(AU$1,RIGHT(AU$1,2),""),VLOOKUP($D159,素材!$1:$1016,COLUMN($F$1),FALSE))),VLOOKUP($C159,武器!$1:$998,COLUMN($O$1),FALSE)*VLOOKUP($D159,素材!$1:$1016,COLUMN($E$1),FALSE)/(LEN(VLOOKUP($D159,素材!$1:$1016,COLUMN($F$1),FALSE)) - LEN(SUBSTITUTE(VLOOKUP($D159,素材!$1:$1016,COLUMN($F$1),FALSE), "・", 0)) + 1), 0)</f>
        <v>0</v>
      </c>
      <c r="AV159">
        <f>IF(ISNUMBER(SEARCH(SUBSTITUTE(AV$1,RIGHT(AV$1,2),""),VLOOKUP($D159,素材!$1:$1016,COLUMN($F$1),FALSE))),VLOOKUP($C159,武器!$1:$998,COLUMN($O$1),FALSE)*VLOOKUP($D159,素材!$1:$1016,COLUMN($E$1),FALSE)/(LEN(VLOOKUP($D159,素材!$1:$1016,COLUMN($F$1),FALSE)) - LEN(SUBSTITUTE(VLOOKUP($D159,素材!$1:$1016,COLUMN($F$1),FALSE), "・", 0)) + 1), 0)</f>
        <v>0</v>
      </c>
      <c r="AW159">
        <f>IF(ISNUMBER(SEARCH(SUBSTITUTE(AW$1,RIGHT(AW$1,2),""),VLOOKUP($D159,素材!$1:$1016,COLUMN($F$1),FALSE))),VLOOKUP($C159,武器!$1:$998,COLUMN($O$1),FALSE)*VLOOKUP($D159,素材!$1:$1016,COLUMN($E$1),FALSE)/(LEN(VLOOKUP($D159,素材!$1:$1016,COLUMN($F$1),FALSE)) - LEN(SUBSTITUTE(VLOOKUP($D159,素材!$1:$1016,COLUMN($F$1),FALSE), "・", 0)) + 1), 0)</f>
        <v>0</v>
      </c>
      <c r="AX159">
        <f>IF(ISNUMBER(SEARCH(SUBSTITUTE(AX$1,RIGHT(AX$1,2),""),VLOOKUP($D159,素材!$1:$1016,COLUMN($F$1),FALSE))),VLOOKUP($C159,武器!$1:$998,COLUMN($O$1),FALSE)*VLOOKUP($D159,素材!$1:$1016,COLUMN($E$1),FALSE)/(LEN(VLOOKUP($D159,素材!$1:$1016,COLUMN($F$1),FALSE)) - LEN(SUBSTITUTE(VLOOKUP($D159,素材!$1:$1016,COLUMN($F$1),FALSE), "・", 0)) + 1), 0)</f>
        <v>0</v>
      </c>
      <c r="AY159">
        <f>IF(ISNUMBER(SEARCH(SUBSTITUTE(AY$1,RIGHT(AY$1,2),""),VLOOKUP($D159,素材!$1:$1016,COLUMN($F$1),FALSE))),VLOOKUP($C159,武器!$1:$998,COLUMN($O$1),FALSE)*VLOOKUP($D159,素材!$1:$1016,COLUMN($E$1),FALSE)/(LEN(VLOOKUP($D159,素材!$1:$1016,COLUMN($F$1),FALSE)) - LEN(SUBSTITUTE(VLOOKUP($D159,素材!$1:$1016,COLUMN($F$1),FALSE), "・", 0)) + 1), 0)</f>
        <v>0</v>
      </c>
      <c r="AZ159">
        <f>IF(ISNUMBER(SEARCH(SUBSTITUTE(AZ$1,RIGHT(AZ$1,2),""),VLOOKUP($D159,素材!$1:$1016,COLUMN($F$1),FALSE))),VLOOKUP($C159,武器!$1:$998,COLUMN($O$1),FALSE)*VLOOKUP($D159,素材!$1:$1016,COLUMN($E$1),FALSE)/(LEN(VLOOKUP($D159,素材!$1:$1016,COLUMN($F$1),FALSE)) - LEN(SUBSTITUTE(VLOOKUP($D159,素材!$1:$1016,COLUMN($F$1),FALSE), "・", 0)) + 1), 0)</f>
        <v>0</v>
      </c>
      <c r="BA159">
        <f>IF(ISNUMBER(SEARCH(SUBSTITUTE(BA$1,RIGHT(BA$1,2),""),VLOOKUP($D159,素材!$1:$1016,COLUMN($F$1),FALSE))),VLOOKUP($C159,武器!$1:$998,COLUMN($O$1),FALSE)*VLOOKUP($D159,素材!$1:$1016,COLUMN($E$1),FALSE)/(LEN(VLOOKUP($D159,素材!$1:$1016,COLUMN($F$1),FALSE)) - LEN(SUBSTITUTE(VLOOKUP($D159,素材!$1:$1016,COLUMN($F$1),FALSE), "・", 0)) + 1), 0)</f>
        <v>0</v>
      </c>
      <c r="BB159">
        <f>IF(ISNUMBER(SEARCH(SUBSTITUTE(BB$1,RIGHT(BB$1,2),""),VLOOKUP($D159,素材!$1:$1016,COLUMN($F$1),FALSE))),VLOOKUP($C159,武器!$1:$998,COLUMN($O$1),FALSE)*VLOOKUP($D159,素材!$1:$1016,COLUMN($E$1),FALSE)/(LEN(VLOOKUP($D159,素材!$1:$1016,COLUMN($F$1),FALSE)) - LEN(SUBSTITUTE(VLOOKUP($D159,素材!$1:$1016,COLUMN($F$1),FALSE), "・", 0)) + 1), 0)</f>
        <v>0</v>
      </c>
      <c r="BC159">
        <f>IF(ISNUMBER(SEARCH(SUBSTITUTE(BC$1,RIGHT(BC$1,2),""),VLOOKUP($D159,素材!$1:$1016,COLUMN($F$1),FALSE))),VLOOKUP($C159,武器!$1:$998,COLUMN($O$1),FALSE)*VLOOKUP($D159,素材!$1:$1016,COLUMN($E$1),FALSE)/(LEN(VLOOKUP($D159,素材!$1:$1016,COLUMN($F$1),FALSE)) - LEN(SUBSTITUTE(VLOOKUP($D159,素材!$1:$1016,COLUMN($F$1),FALSE), "・", 0)) + 1), 0)</f>
        <v>0</v>
      </c>
      <c r="BD159">
        <f>IF(ISNUMBER(SEARCH(SUBSTITUTE(BD$1,RIGHT(BD$1,2),""),VLOOKUP($D159,素材!$1:$1016,COLUMN($F$1),FALSE))),VLOOKUP($C159,武器!$1:$998,COLUMN($O$1),FALSE)*VLOOKUP($D159,素材!$1:$1016,COLUMN($E$1),FALSE)/(LEN(VLOOKUP($D159,素材!$1:$1016,COLUMN($F$1),FALSE)) - LEN(SUBSTITUTE(VLOOKUP($D159,素材!$1:$1016,COLUMN($F$1),FALSE), "・", 0)) + 1), 0)</f>
        <v>0</v>
      </c>
      <c r="BE159">
        <f>IF(ISNUMBER(SEARCH(SUBSTITUTE(BE$1,RIGHT(BE$1,2),""),VLOOKUP($D159,素材!$1:$1016,COLUMN($F$1),FALSE))),VLOOKUP($C159,武器!$1:$998,COLUMN($O$1),FALSE)*VLOOKUP($D159,素材!$1:$1016,COLUMN($E$1),FALSE)/(LEN(VLOOKUP($D159,素材!$1:$1016,COLUMN($F$1),FALSE)) - LEN(SUBSTITUTE(VLOOKUP($D159,素材!$1:$1016,COLUMN($F$1),FALSE), "・", 0)) + 1), 0)</f>
        <v>0</v>
      </c>
      <c r="CL159">
        <f>SUM(G159:I159)</f>
        <v>24</v>
      </c>
      <c r="CM159" s="22" t="str">
        <f>IF(E159="武器",IF(J159-1&gt;SUM(G159:I159),"盾",IF(MAX(G159:I159)=G159,"切断",IF(MAX(G159:I159)=H159,"貫通",IF(MAX(G159:I159)=I159,"打撃","射撃")))),E159)&amp;".webp"</f>
        <v>切断.webp</v>
      </c>
      <c r="CN159">
        <f>IFERROR(VLOOKUP($C159,武器!$1:$998,COLUMN(V$1),FALSE)*VLOOKUP($D159,素材!$1:$1016,COLUMN(N$1),FALSE)+IF(CI159="",0,VLOOKUP($CI159,装強!$1:$1008,COLUMN($CK$1),FALSE)),"")</f>
        <v>3000</v>
      </c>
      <c r="CO159">
        <f>VLOOKUP(D159,素材!$A:$O,COLUMN(素材!O$1),FALSE)</f>
        <v>0</v>
      </c>
      <c r="CP159" t="str">
        <f>VLOOKUP(C159,武器!$A:$W,COLUMN(武器!W$1),FALSE)</f>
        <v>刀。切断力に優れた武器で、Cr威力が高い</v>
      </c>
      <c r="CR159" t="str">
        <f t="shared" si="18"/>
        <v>e_159</v>
      </c>
      <c r="CS159">
        <f t="shared" si="22"/>
        <v>300000</v>
      </c>
    </row>
    <row r="160" spans="1:97" outlineLevel="1" x14ac:dyDescent="0.4">
      <c r="A160" t="str">
        <f t="shared" si="27"/>
        <v>黒鋼鉄の剣</v>
      </c>
      <c r="B160" t="str">
        <f>IFERROR(VLOOKUP($D160,素材!$1:$1016,COLUMN($B$1),FALSE)&amp;"・"&amp;VLOOKUP($C160,武器!$1:$998,COLUMN(B$1),FALSE),"")</f>
        <v>ブラックスティール・ソード</v>
      </c>
      <c r="C160" s="24" t="s">
        <v>240</v>
      </c>
      <c r="D160" s="24" t="s">
        <v>244</v>
      </c>
      <c r="E160" t="str">
        <f>IFERROR(VLOOKUP(C160,武器!$1:$998,COLUMN(C$1),FALSE),"")</f>
        <v>武器</v>
      </c>
      <c r="F160">
        <f>IFERROR(ROUNDDOWN((VLOOKUP($C160,武器!$1:$998,COLUMN(D$1),FALSE)+IFERROR(VLOOKUP($CI160,装強!$1:$999,COLUMN(F$1),FALSE),0))*VLOOKUP($D160,素材!$1:$1016,COLUMN(D$1),FALSE),0),"")</f>
        <v>100</v>
      </c>
      <c r="G160">
        <f>IFERROR(ROUNDDOWN((VLOOKUP($C160,武器!$1:$998,COLUMN(E$1),FALSE)+IFERROR(VLOOKUP($CI160,装強!$1:$999,COLUMN(G$1),FALSE),0))*VLOOKUP($D160,素材!$1:$1016,COLUMN($E$1),FALSE),0),"")</f>
        <v>12</v>
      </c>
      <c r="H160">
        <f>IFERROR(ROUNDDOWN((VLOOKUP($C160,武器!$1:$998,COLUMN(F$1),FALSE)+IFERROR(VLOOKUP($CI160,装強!$1:$999,COLUMN(H$1),FALSE),0))*VLOOKUP($D160,素材!$1:$1016,COLUMN($E$1),FALSE),0),"")</f>
        <v>9</v>
      </c>
      <c r="I160">
        <f>IFERROR(ROUNDDOWN((VLOOKUP($C160,武器!$1:$998,COLUMN(G$1),FALSE)+IFERROR(VLOOKUP($CI160,装強!$1:$999,COLUMN(I$1),FALSE),0))*VLOOKUP($D160,素材!$1:$1016,COLUMN($E$1),FALSE),0),"")</f>
        <v>3</v>
      </c>
      <c r="J160">
        <f>IFERROR(ROUNDDOWN((VLOOKUP($C160,武器!$1:$998,COLUMN(H$1),FALSE)+IFERROR(VLOOKUP($CI160,装強!$1:$999,COLUMN(J$1),FALSE),0))*VLOOKUP($D160,素材!$1:$1016,COLUMN($E$1),FALSE),0),"")</f>
        <v>19</v>
      </c>
      <c r="K160">
        <f>IFERROR(ROUNDDOWN((VLOOKUP($C160,武器!$1:$998,COLUMN(I$1),FALSE)+IFERROR(VLOOKUP($CI160,装強!$1:$999,COLUMN(K$1),FALSE),0))*VLOOKUP($D160,素材!$1:$1016,COLUMN($E$1),FALSE),0),"")</f>
        <v>0</v>
      </c>
      <c r="L160" t="str">
        <f>IFERROR(VLOOKUP($D160,素材!$1:$1016,COLUMN($F$1),FALSE),"")</f>
        <v>雷</v>
      </c>
      <c r="M160">
        <f>IFERROR(VLOOKUP($C160,武器!$1:$998,COLUMN(AA$1),FALSE)*VLOOKUP($D160,素材!$1:$1016,COLUMN($G$1),FALSE),"")</f>
        <v>40.25</v>
      </c>
      <c r="N160">
        <f>IFERROR(VLOOKUP($C160,武器!$1:$998,COLUMN(I$1),FALSE),"")</f>
        <v>0</v>
      </c>
      <c r="O160" s="23">
        <f>IFERROR((VLOOKUP($C160,武器!$1:$998,COLUMN(K$1),FALSE)+VLOOKUP($D160,素材!$1:$1016,COLUMN(H$1),FALSE))*100+IFERROR(VLOOKUP($CI160,装強!$1:$999,COLUMN(O$1),FALSE),0),"")</f>
        <v>10</v>
      </c>
      <c r="P160" s="23">
        <f>IFERROR((VLOOKUP($C160,武器!$1:$998,COLUMN(L$1),FALSE)+VLOOKUP($D160,素材!$1:$1016,COLUMN(I$1),FALSE))*100+IFERROR(VLOOKUP($CI160,装強!$1:$999,COLUMN(P$1),FALSE),0),"")</f>
        <v>150</v>
      </c>
      <c r="Q160">
        <f>IFERROR(ROUNDUP(VLOOKUP($C160,武器!$1:$998,COLUMN(M$1),FALSE)*(VLOOKUP($D160,素材!$1:$1002,COLUMN(D$1),FALSE)/100),1),"")</f>
        <v>0</v>
      </c>
      <c r="R160">
        <f>IFERROR(ROUNDUP(VLOOKUP($C160,武器!$1:$998,COLUMN(N$1),FALSE)*(VLOOKUP($D160,素材!$1:$1002,COLUMN(D$1),FALSE)/100),1),"")</f>
        <v>0</v>
      </c>
      <c r="S160">
        <f>IFERROR(VLOOKUP($C160,武器!$1:$998,COLUMN(P$1),FALSE),"")</f>
        <v>0</v>
      </c>
      <c r="T160">
        <f>IFERROR(VLOOKUP($C160,武器!$1:$998,COLUMN(Q$1),FALSE),"")</f>
        <v>0</v>
      </c>
      <c r="U160">
        <f>IFERROR(VLOOKUP($C160,武器!$1:$998,COLUMN(R$1),FALSE),"")</f>
        <v>0</v>
      </c>
      <c r="V160">
        <f>IFERROR(VLOOKUP($C160,武器!$1:$998,COLUMN(Q$1),FALSE),"")</f>
        <v>0</v>
      </c>
      <c r="W160" t="str">
        <f>IFERROR(VLOOKUP($C160,武器!$1:$998,COLUMN(T$1),FALSE),"")</f>
        <v>A</v>
      </c>
      <c r="Y160" t="str">
        <f>IFERROR(VLOOKUP($C160,武器!$1:$998,COLUMN(U$1),FALSE),"")</f>
        <v>片手適正Ⅰ</v>
      </c>
      <c r="Z160">
        <f>IFERROR(ROUNDUP(VLOOKUP($C160,武器!$1:$998,COLUMN(O$1),FALSE)*VLOOKUP($D160,素材!$1:$1016,COLUMN(E$1),FALSE),1),"")</f>
        <v>0</v>
      </c>
      <c r="AA160">
        <f>IF(ISNUMBER(SEARCH(SUBSTITUTE(AA$1,RIGHT(AA$1,2),""),VLOOKUP($D160,素材!$1:$1016,COLUMN($F$1),FALSE))),VLOOKUP($C160,武器!$1:$998,COLUMN($O$1),FALSE)*VLOOKUP($D160,素材!$1:$1016,COLUMN($E$1),FALSE)/(LEN(VLOOKUP($D160,素材!$1:$1016,COLUMN($F$1),FALSE)) - LEN(SUBSTITUTE(VLOOKUP($D160,素材!$1:$1016,COLUMN($F$1),FALSE), "・", 0)) + 1), 0)</f>
        <v>0</v>
      </c>
      <c r="AB160">
        <f>IF(ISNUMBER(SEARCH(SUBSTITUTE(AB$1,RIGHT(AB$1,2),""),VLOOKUP($D160,素材!$1:$1016,COLUMN($F$1),FALSE))),VLOOKUP($C160,武器!$1:$998,COLUMN($O$1),FALSE)*VLOOKUP($D160,素材!$1:$1016,COLUMN($E$1),FALSE)/(LEN(VLOOKUP($D160,素材!$1:$1016,COLUMN($F$1),FALSE)) - LEN(SUBSTITUTE(VLOOKUP($D160,素材!$1:$1016,COLUMN($F$1),FALSE), "・", 0)) + 1), 0)</f>
        <v>0</v>
      </c>
      <c r="AC160">
        <f>IF(ISNUMBER(SEARCH(SUBSTITUTE(AC$1,RIGHT(AC$1,2),""),VLOOKUP($D160,素材!$1:$1016,COLUMN($F$1),FALSE))),VLOOKUP($C160,武器!$1:$998,COLUMN($O$1),FALSE)*VLOOKUP($D160,素材!$1:$1016,COLUMN($E$1),FALSE)/(LEN(VLOOKUP($D160,素材!$1:$1016,COLUMN($F$1),FALSE)) - LEN(SUBSTITUTE(VLOOKUP($D160,素材!$1:$1016,COLUMN($F$1),FALSE), "・", 0)) + 1), 0)</f>
        <v>0</v>
      </c>
      <c r="AD160">
        <f>IF(ISNUMBER(SEARCH(SUBSTITUTE(AD$1,RIGHT(AD$1,2),""),VLOOKUP($D160,素材!$1:$1016,COLUMN($F$1),FALSE))),VLOOKUP($C160,武器!$1:$998,COLUMN($O$1),FALSE)*VLOOKUP($D160,素材!$1:$1016,COLUMN($E$1),FALSE)/(LEN(VLOOKUP($D160,素材!$1:$1016,COLUMN($F$1),FALSE)) - LEN(SUBSTITUTE(VLOOKUP($D160,素材!$1:$1016,COLUMN($F$1),FALSE), "・", 0)) + 1), 0)</f>
        <v>0</v>
      </c>
      <c r="AE160">
        <f>IF(ISNUMBER(SEARCH(SUBSTITUTE(AE$1,RIGHT(AE$1,2),""),VLOOKUP($D160,素材!$1:$1016,COLUMN($F$1),FALSE))),VLOOKUP($C160,武器!$1:$998,COLUMN($O$1),FALSE)*VLOOKUP($D160,素材!$1:$1016,COLUMN($E$1),FALSE)/(LEN(VLOOKUP($D160,素材!$1:$1016,COLUMN($F$1),FALSE)) - LEN(SUBSTITUTE(VLOOKUP($D160,素材!$1:$1016,COLUMN($F$1),FALSE), "・", 0)) + 1), 0)</f>
        <v>0</v>
      </c>
      <c r="AF160">
        <f>IF(ISNUMBER(SEARCH(SUBSTITUTE(AF$1,RIGHT(AF$1,2),""),VLOOKUP($D160,素材!$1:$1016,COLUMN($F$1),FALSE))),VLOOKUP($C160,武器!$1:$998,COLUMN($O$1),FALSE)*VLOOKUP($D160,素材!$1:$1016,COLUMN($E$1),FALSE)/(LEN(VLOOKUP($D160,素材!$1:$1016,COLUMN($F$1),FALSE)) - LEN(SUBSTITUTE(VLOOKUP($D160,素材!$1:$1016,COLUMN($F$1),FALSE), "・", 0)) + 1), 0)</f>
        <v>0</v>
      </c>
      <c r="AG160">
        <f>IF(ISNUMBER(SEARCH(SUBSTITUTE(AG$1,RIGHT(AG$1,2),""),VLOOKUP($D160,素材!$1:$1016,COLUMN($F$1),FALSE))),VLOOKUP($C160,武器!$1:$998,COLUMN($O$1),FALSE)*VLOOKUP($D160,素材!$1:$1016,COLUMN($E$1),FALSE)/(LEN(VLOOKUP($D160,素材!$1:$1016,COLUMN($F$1),FALSE)) - LEN(SUBSTITUTE(VLOOKUP($D160,素材!$1:$1016,COLUMN($F$1),FALSE), "・", 0)) + 1), 0)</f>
        <v>0</v>
      </c>
      <c r="AH160">
        <f>IF(ISNUMBER(SEARCH(SUBSTITUTE(AH$1,RIGHT(AH$1,2),""),VLOOKUP($D160,素材!$1:$1016,COLUMN($F$1),FALSE))),VLOOKUP($C160,武器!$1:$998,COLUMN($O$1),FALSE)*VLOOKUP($D160,素材!$1:$1016,COLUMN($E$1),FALSE)/(LEN(VLOOKUP($D160,素材!$1:$1016,COLUMN($F$1),FALSE)) - LEN(SUBSTITUTE(VLOOKUP($D160,素材!$1:$1016,COLUMN($F$1),FALSE), "・", 0)) + 1), 0)</f>
        <v>0</v>
      </c>
      <c r="AI160">
        <f>IF(ISNUMBER(SEARCH(SUBSTITUTE(AI$1,RIGHT(AI$1,2),""),VLOOKUP($D160,素材!$1:$1016,COLUMN($F$1),FALSE))),VLOOKUP($C160,武器!$1:$998,COLUMN($O$1),FALSE)*VLOOKUP($D160,素材!$1:$1016,COLUMN($E$1),FALSE)/(LEN(VLOOKUP($D160,素材!$1:$1016,COLUMN($F$1),FALSE)) - LEN(SUBSTITUTE(VLOOKUP($D160,素材!$1:$1016,COLUMN($F$1),FALSE), "・", 0)) + 1), 0)</f>
        <v>0</v>
      </c>
      <c r="AJ160">
        <f>IF(ISNUMBER(SEARCH(SUBSTITUTE(AJ$1,RIGHT(AJ$1,2),""),VLOOKUP($D160,素材!$1:$1016,COLUMN($F$1),FALSE))),VLOOKUP($C160,武器!$1:$998,COLUMN($O$1),FALSE)*VLOOKUP($D160,素材!$1:$1016,COLUMN($E$1),FALSE)/(LEN(VLOOKUP($D160,素材!$1:$1016,COLUMN($F$1),FALSE)) - LEN(SUBSTITUTE(VLOOKUP($D160,素材!$1:$1016,COLUMN($F$1),FALSE), "・", 0)) + 1), 0)</f>
        <v>0</v>
      </c>
      <c r="AK160">
        <f>IF(ISNUMBER(SEARCH(SUBSTITUTE(AK$1,RIGHT(AK$1,2),""),VLOOKUP($D160,素材!$1:$1016,COLUMN($F$1),FALSE))),VLOOKUP($C160,武器!$1:$998,COLUMN($O$1),FALSE)*VLOOKUP($D160,素材!$1:$1016,COLUMN($E$1),FALSE)/(LEN(VLOOKUP($D160,素材!$1:$1016,COLUMN($F$1),FALSE)) - LEN(SUBSTITUTE(VLOOKUP($D160,素材!$1:$1016,COLUMN($F$1),FALSE), "・", 0)) + 1), 0)</f>
        <v>0</v>
      </c>
      <c r="AL160">
        <f>IF(ISNUMBER(SEARCH(SUBSTITUTE(AL$1,RIGHT(AL$1,2),""),VLOOKUP($D160,素材!$1:$1016,COLUMN($F$1),FALSE))),VLOOKUP($C160,武器!$1:$998,COLUMN($O$1),FALSE)*VLOOKUP($D160,素材!$1:$1016,COLUMN($E$1),FALSE)/(LEN(VLOOKUP($D160,素材!$1:$1016,COLUMN($F$1),FALSE)) - LEN(SUBSTITUTE(VLOOKUP($D160,素材!$1:$1016,COLUMN($F$1),FALSE), "・", 0)) + 1), 0)</f>
        <v>0</v>
      </c>
      <c r="AM160">
        <f>IF(ISNUMBER(SEARCH(SUBSTITUTE(AM$1,RIGHT(AM$1,2),""),VLOOKUP($D160,素材!$1:$1016,COLUMN($F$1),FALSE))),VLOOKUP($C160,武器!$1:$998,COLUMN($O$1),FALSE)*VLOOKUP($D160,素材!$1:$1016,COLUMN($E$1),FALSE)/(LEN(VLOOKUP($D160,素材!$1:$1016,COLUMN($F$1),FALSE)) - LEN(SUBSTITUTE(VLOOKUP($D160,素材!$1:$1016,COLUMN($F$1),FALSE), "・", 0)) + 1), 0)</f>
        <v>0</v>
      </c>
      <c r="AN160">
        <f>IF(ISNUMBER(SEARCH(SUBSTITUTE(AN$1,RIGHT(AN$1,2),""),VLOOKUP($D160,素材!$1:$1016,COLUMN($F$1),FALSE))),VLOOKUP($C160,武器!$1:$998,COLUMN($O$1),FALSE)*VLOOKUP($D160,素材!$1:$1016,COLUMN($E$1),FALSE)/(LEN(VLOOKUP($D160,素材!$1:$1016,COLUMN($F$1),FALSE)) - LEN(SUBSTITUTE(VLOOKUP($D160,素材!$1:$1016,COLUMN($F$1),FALSE), "・", 0)) + 1), 0)</f>
        <v>0</v>
      </c>
      <c r="AO160">
        <f>IF(ISNUMBER(SEARCH(SUBSTITUTE(AO$1,RIGHT(AO$1,2),""),VLOOKUP($D160,素材!$1:$1016,COLUMN($F$1),FALSE))),VLOOKUP($C160,武器!$1:$998,COLUMN($O$1),FALSE)*VLOOKUP($D160,素材!$1:$1016,COLUMN($E$1),FALSE)/(LEN(VLOOKUP($D160,素材!$1:$1016,COLUMN($F$1),FALSE)) - LEN(SUBSTITUTE(VLOOKUP($D160,素材!$1:$1016,COLUMN($F$1),FALSE), "・", 0)) + 1), 0)</f>
        <v>0</v>
      </c>
      <c r="AP160">
        <f>IF(ISNUMBER(SEARCH(SUBSTITUTE(AP$1,RIGHT(AP$1,2),""),VLOOKUP($D160,素材!$1:$1016,COLUMN($F$1),FALSE))),VLOOKUP($C160,武器!$1:$998,COLUMN($O$1),FALSE)*VLOOKUP($D160,素材!$1:$1016,COLUMN($E$1),FALSE)/(LEN(VLOOKUP($D160,素材!$1:$1016,COLUMN($F$1),FALSE)) - LEN(SUBSTITUTE(VLOOKUP($D160,素材!$1:$1016,COLUMN($F$1),FALSE), "・", 0)) + 1), 0)</f>
        <v>0</v>
      </c>
      <c r="AQ160">
        <f>IF(ISNUMBER(SEARCH(SUBSTITUTE(AQ$1,RIGHT(AQ$1,2),""),VLOOKUP($D160,素材!$1:$1016,COLUMN($F$1),FALSE))),VLOOKUP($C160,武器!$1:$998,COLUMN($O$1),FALSE)*VLOOKUP($D160,素材!$1:$1016,COLUMN($E$1),FALSE)/(LEN(VLOOKUP($D160,素材!$1:$1016,COLUMN($F$1),FALSE)) - LEN(SUBSTITUTE(VLOOKUP($D160,素材!$1:$1016,COLUMN($F$1),FALSE), "・", 0)) + 1), 0)</f>
        <v>0</v>
      </c>
      <c r="AR160">
        <f>IF(ISNUMBER(SEARCH(SUBSTITUTE(AR$1,RIGHT(AR$1,2),""),VLOOKUP($D160,素材!$1:$1016,COLUMN($F$1),FALSE))),VLOOKUP($C160,武器!$1:$998,COLUMN($O$1),FALSE)*VLOOKUP($D160,素材!$1:$1016,COLUMN($E$1),FALSE)/(LEN(VLOOKUP($D160,素材!$1:$1016,COLUMN($F$1),FALSE)) - LEN(SUBSTITUTE(VLOOKUP($D160,素材!$1:$1016,COLUMN($F$1),FALSE), "・", 0)) + 1), 0)</f>
        <v>0</v>
      </c>
      <c r="AS160">
        <f>IF(ISNUMBER(SEARCH(SUBSTITUTE(AS$1,RIGHT(AS$1,2),""),VLOOKUP($D160,素材!$1:$1016,COLUMN($F$1),FALSE))),VLOOKUP($C160,武器!$1:$998,COLUMN($O$1),FALSE)*VLOOKUP($D160,素材!$1:$1016,COLUMN($E$1),FALSE)/(LEN(VLOOKUP($D160,素材!$1:$1016,COLUMN($F$1),FALSE)) - LEN(SUBSTITUTE(VLOOKUP($D160,素材!$1:$1016,COLUMN($F$1),FALSE), "・", 0)) + 1), 0)</f>
        <v>0</v>
      </c>
      <c r="AT160">
        <f>IF(ISNUMBER(SEARCH(SUBSTITUTE(AT$1,RIGHT(AT$1,2),""),VLOOKUP($D160,素材!$1:$1016,COLUMN($F$1),FALSE))),VLOOKUP($C160,武器!$1:$998,COLUMN($O$1),FALSE)*VLOOKUP($D160,素材!$1:$1016,COLUMN($E$1),FALSE)/(LEN(VLOOKUP($D160,素材!$1:$1016,COLUMN($F$1),FALSE)) - LEN(SUBSTITUTE(VLOOKUP($D160,素材!$1:$1016,COLUMN($F$1),FALSE), "・", 0)) + 1), 0)</f>
        <v>0</v>
      </c>
      <c r="AU160">
        <f>IF(ISNUMBER(SEARCH(SUBSTITUTE(AU$1,RIGHT(AU$1,2),""),VLOOKUP($D160,素材!$1:$1016,COLUMN($F$1),FALSE))),VLOOKUP($C160,武器!$1:$998,COLUMN($O$1),FALSE)*VLOOKUP($D160,素材!$1:$1016,COLUMN($E$1),FALSE)/(LEN(VLOOKUP($D160,素材!$1:$1016,COLUMN($F$1),FALSE)) - LEN(SUBSTITUTE(VLOOKUP($D160,素材!$1:$1016,COLUMN($F$1),FALSE), "・", 0)) + 1), 0)</f>
        <v>0</v>
      </c>
      <c r="AV160">
        <f>IF(ISNUMBER(SEARCH(SUBSTITUTE(AV$1,RIGHT(AV$1,2),""),VLOOKUP($D160,素材!$1:$1016,COLUMN($F$1),FALSE))),VLOOKUP($C160,武器!$1:$998,COLUMN($O$1),FALSE)*VLOOKUP($D160,素材!$1:$1016,COLUMN($E$1),FALSE)/(LEN(VLOOKUP($D160,素材!$1:$1016,COLUMN($F$1),FALSE)) - LEN(SUBSTITUTE(VLOOKUP($D160,素材!$1:$1016,COLUMN($F$1),FALSE), "・", 0)) + 1), 0)</f>
        <v>0</v>
      </c>
      <c r="AW160">
        <f>IF(ISNUMBER(SEARCH(SUBSTITUTE(AW$1,RIGHT(AW$1,2),""),VLOOKUP($D160,素材!$1:$1016,COLUMN($F$1),FALSE))),VLOOKUP($C160,武器!$1:$998,COLUMN($O$1),FALSE)*VLOOKUP($D160,素材!$1:$1016,COLUMN($E$1),FALSE)/(LEN(VLOOKUP($D160,素材!$1:$1016,COLUMN($F$1),FALSE)) - LEN(SUBSTITUTE(VLOOKUP($D160,素材!$1:$1016,COLUMN($F$1),FALSE), "・", 0)) + 1), 0)</f>
        <v>0</v>
      </c>
      <c r="AX160">
        <f>IF(ISNUMBER(SEARCH(SUBSTITUTE(AX$1,RIGHT(AX$1,2),""),VLOOKUP($D160,素材!$1:$1016,COLUMN($F$1),FALSE))),VLOOKUP($C160,武器!$1:$998,COLUMN($O$1),FALSE)*VLOOKUP($D160,素材!$1:$1016,COLUMN($E$1),FALSE)/(LEN(VLOOKUP($D160,素材!$1:$1016,COLUMN($F$1),FALSE)) - LEN(SUBSTITUTE(VLOOKUP($D160,素材!$1:$1016,COLUMN($F$1),FALSE), "・", 0)) + 1), 0)</f>
        <v>0</v>
      </c>
      <c r="AY160">
        <f>IF(ISNUMBER(SEARCH(SUBSTITUTE(AY$1,RIGHT(AY$1,2),""),VLOOKUP($D160,素材!$1:$1016,COLUMN($F$1),FALSE))),VLOOKUP($C160,武器!$1:$998,COLUMN($O$1),FALSE)*VLOOKUP($D160,素材!$1:$1016,COLUMN($E$1),FALSE)/(LEN(VLOOKUP($D160,素材!$1:$1016,COLUMN($F$1),FALSE)) - LEN(SUBSTITUTE(VLOOKUP($D160,素材!$1:$1016,COLUMN($F$1),FALSE), "・", 0)) + 1), 0)</f>
        <v>0</v>
      </c>
      <c r="AZ160">
        <f>IF(ISNUMBER(SEARCH(SUBSTITUTE(AZ$1,RIGHT(AZ$1,2),""),VLOOKUP($D160,素材!$1:$1016,COLUMN($F$1),FALSE))),VLOOKUP($C160,武器!$1:$998,COLUMN($O$1),FALSE)*VLOOKUP($D160,素材!$1:$1016,COLUMN($E$1),FALSE)/(LEN(VLOOKUP($D160,素材!$1:$1016,COLUMN($F$1),FALSE)) - LEN(SUBSTITUTE(VLOOKUP($D160,素材!$1:$1016,COLUMN($F$1),FALSE), "・", 0)) + 1), 0)</f>
        <v>0</v>
      </c>
      <c r="BA160">
        <f>IF(ISNUMBER(SEARCH(SUBSTITUTE(BA$1,RIGHT(BA$1,2),""),VLOOKUP($D160,素材!$1:$1016,COLUMN($F$1),FALSE))),VLOOKUP($C160,武器!$1:$998,COLUMN($O$1),FALSE)*VLOOKUP($D160,素材!$1:$1016,COLUMN($E$1),FALSE)/(LEN(VLOOKUP($D160,素材!$1:$1016,COLUMN($F$1),FALSE)) - LEN(SUBSTITUTE(VLOOKUP($D160,素材!$1:$1016,COLUMN($F$1),FALSE), "・", 0)) + 1), 0)</f>
        <v>0</v>
      </c>
      <c r="BB160">
        <f>IF(ISNUMBER(SEARCH(SUBSTITUTE(BB$1,RIGHT(BB$1,2),""),VLOOKUP($D160,素材!$1:$1016,COLUMN($F$1),FALSE))),VLOOKUP($C160,武器!$1:$998,COLUMN($O$1),FALSE)*VLOOKUP($D160,素材!$1:$1016,COLUMN($E$1),FALSE)/(LEN(VLOOKUP($D160,素材!$1:$1016,COLUMN($F$1),FALSE)) - LEN(SUBSTITUTE(VLOOKUP($D160,素材!$1:$1016,COLUMN($F$1),FALSE), "・", 0)) + 1), 0)</f>
        <v>0</v>
      </c>
      <c r="BC160">
        <f>IF(ISNUMBER(SEARCH(SUBSTITUTE(BC$1,RIGHT(BC$1,2),""),VLOOKUP($D160,素材!$1:$1016,COLUMN($F$1),FALSE))),VLOOKUP($C160,武器!$1:$998,COLUMN($O$1),FALSE)*VLOOKUP($D160,素材!$1:$1016,COLUMN($E$1),FALSE)/(LEN(VLOOKUP($D160,素材!$1:$1016,COLUMN($F$1),FALSE)) - LEN(SUBSTITUTE(VLOOKUP($D160,素材!$1:$1016,COLUMN($F$1),FALSE), "・", 0)) + 1), 0)</f>
        <v>0</v>
      </c>
      <c r="BD160">
        <f>IF(ISNUMBER(SEARCH(SUBSTITUTE(BD$1,RIGHT(BD$1,2),""),VLOOKUP($D160,素材!$1:$1016,COLUMN($F$1),FALSE))),VLOOKUP($C160,武器!$1:$998,COLUMN($O$1),FALSE)*VLOOKUP($D160,素材!$1:$1016,COLUMN($E$1),FALSE)/(LEN(VLOOKUP($D160,素材!$1:$1016,COLUMN($F$1),FALSE)) - LEN(SUBSTITUTE(VLOOKUP($D160,素材!$1:$1016,COLUMN($F$1),FALSE), "・", 0)) + 1), 0)</f>
        <v>0</v>
      </c>
      <c r="BE160">
        <f>IF(ISNUMBER(SEARCH(SUBSTITUTE(BE$1,RIGHT(BE$1,2),""),VLOOKUP($D160,素材!$1:$1016,COLUMN($F$1),FALSE))),VLOOKUP($C160,武器!$1:$998,COLUMN($O$1),FALSE)*VLOOKUP($D160,素材!$1:$1016,COLUMN($E$1),FALSE)/(LEN(VLOOKUP($D160,素材!$1:$1016,COLUMN($F$1),FALSE)) - LEN(SUBSTITUTE(VLOOKUP($D160,素材!$1:$1016,COLUMN($F$1),FALSE), "・", 0)) + 1), 0)</f>
        <v>0</v>
      </c>
      <c r="CL160">
        <f>SUM(G160:I160)</f>
        <v>24</v>
      </c>
      <c r="CM160" s="22" t="str">
        <f>IF(E160="武器",IF(J160-1&gt;SUM(G160:I160),"盾",IF(MAX(G160:I160)=G160,"切断",IF(MAX(G160:I160)=H160,"貫通",IF(MAX(G160:I160)=I160,"打撃","射撃")))),E160)&amp;".webp"</f>
        <v>切断.webp</v>
      </c>
      <c r="CN160">
        <f>IFERROR(VLOOKUP($C160,武器!$1:$998,COLUMN(V$1),FALSE)*VLOOKUP($D160,素材!$1:$1016,COLUMN(N$1),FALSE)+IF(CI160="",0,VLOOKUP($CI160,装強!$1:$1008,COLUMN($CK$1),FALSE)),"")</f>
        <v>2250</v>
      </c>
      <c r="CO160">
        <f>VLOOKUP(D160,素材!$A:$O,COLUMN(素材!O$1),FALSE)</f>
        <v>0</v>
      </c>
      <c r="CP160" t="str">
        <f>VLOOKUP(C160,武器!$A:$W,COLUMN(武器!W$1),FALSE)</f>
        <v>剣。短い剣で片手で扱いやすく、初心者向けの武器。</v>
      </c>
      <c r="CR160" t="str">
        <f t="shared" si="18"/>
        <v>e_160</v>
      </c>
      <c r="CS160">
        <f t="shared" si="22"/>
        <v>225000</v>
      </c>
    </row>
    <row r="161" spans="1:97" outlineLevel="1" x14ac:dyDescent="0.4">
      <c r="A161" t="str">
        <f t="shared" si="27"/>
        <v>黒鋼鉄の広剣</v>
      </c>
      <c r="B161" t="str">
        <f>IFERROR(VLOOKUP($D161,素材!$1:$1016,COLUMN($B$1),FALSE)&amp;"・"&amp;VLOOKUP($C161,武器!$1:$998,COLUMN(B$1),FALSE),"")</f>
        <v>ブラックスティール・ブロードソード</v>
      </c>
      <c r="C161" s="24" t="s">
        <v>239</v>
      </c>
      <c r="D161" s="24" t="s">
        <v>244</v>
      </c>
      <c r="E161" t="str">
        <f>IFERROR(VLOOKUP(C161,武器!$1:$998,COLUMN(C$1),FALSE),"")</f>
        <v>武器</v>
      </c>
      <c r="F161">
        <f>IFERROR(ROUNDDOWN((VLOOKUP($C161,武器!$1:$998,COLUMN(D$1),FALSE)+IFERROR(VLOOKUP($CI161,装強!$1:$999,COLUMN(F$1),FALSE),0))*VLOOKUP($D161,素材!$1:$1016,COLUMN(D$1),FALSE),0),"")</f>
        <v>110</v>
      </c>
      <c r="G161">
        <f>IFERROR(ROUNDDOWN((VLOOKUP($C161,武器!$1:$998,COLUMN(E$1),FALSE)+IFERROR(VLOOKUP($CI161,装強!$1:$999,COLUMN(G$1),FALSE),0))*VLOOKUP($D161,素材!$1:$1016,COLUMN($E$1),FALSE),0),"")</f>
        <v>12</v>
      </c>
      <c r="H161">
        <f>IFERROR(ROUNDDOWN((VLOOKUP($C161,武器!$1:$998,COLUMN(F$1),FALSE)+IFERROR(VLOOKUP($CI161,装強!$1:$999,COLUMN(H$1),FALSE),0))*VLOOKUP($D161,素材!$1:$1016,COLUMN($E$1),FALSE),0),"")</f>
        <v>8</v>
      </c>
      <c r="I161">
        <f>IFERROR(ROUNDDOWN((VLOOKUP($C161,武器!$1:$998,COLUMN(G$1),FALSE)+IFERROR(VLOOKUP($CI161,装強!$1:$999,COLUMN(I$1),FALSE),0))*VLOOKUP($D161,素材!$1:$1016,COLUMN($E$1),FALSE),0),"")</f>
        <v>3</v>
      </c>
      <c r="J161">
        <f>IFERROR(ROUNDDOWN((VLOOKUP($C161,武器!$1:$998,COLUMN(H$1),FALSE)+IFERROR(VLOOKUP($CI161,装強!$1:$999,COLUMN(J$1),FALSE),0))*VLOOKUP($D161,素材!$1:$1016,COLUMN($E$1),FALSE),0),"")</f>
        <v>23</v>
      </c>
      <c r="K161">
        <f>IFERROR(ROUNDDOWN((VLOOKUP($C161,武器!$1:$998,COLUMN(I$1),FALSE)+IFERROR(VLOOKUP($CI161,装強!$1:$999,COLUMN(K$1),FALSE),0))*VLOOKUP($D161,素材!$1:$1016,COLUMN($E$1),FALSE),0),"")</f>
        <v>0</v>
      </c>
      <c r="L161" t="str">
        <f>IFERROR(VLOOKUP($D161,素材!$1:$1016,COLUMN($F$1),FALSE),"")</f>
        <v>雷</v>
      </c>
      <c r="M161">
        <f>IFERROR(VLOOKUP($C161,武器!$1:$998,COLUMN(AA$1),FALSE)*VLOOKUP($D161,素材!$1:$1016,COLUMN($G$1),FALSE),"")</f>
        <v>40.25</v>
      </c>
      <c r="N161">
        <f>IFERROR(VLOOKUP($C161,武器!$1:$998,COLUMN(I$1),FALSE),"")</f>
        <v>0</v>
      </c>
      <c r="O161" s="23">
        <f>IFERROR((VLOOKUP($C161,武器!$1:$998,COLUMN(K$1),FALSE)+VLOOKUP($D161,素材!$1:$1016,COLUMN(H$1),FALSE))*100+IFERROR(VLOOKUP($CI161,装強!$1:$999,COLUMN(O$1),FALSE),0),"")</f>
        <v>10</v>
      </c>
      <c r="P161" s="23">
        <f>IFERROR((VLOOKUP($C161,武器!$1:$998,COLUMN(L$1),FALSE)+VLOOKUP($D161,素材!$1:$1016,COLUMN(I$1),FALSE))*100+IFERROR(VLOOKUP($CI161,装強!$1:$999,COLUMN(P$1),FALSE),0),"")</f>
        <v>150</v>
      </c>
      <c r="Q161">
        <f>IFERROR(ROUNDUP(VLOOKUP($C161,武器!$1:$998,COLUMN(M$1),FALSE)*(VLOOKUP($D161,素材!$1:$1002,COLUMN(D$1),FALSE)/100),1),"")</f>
        <v>-2.5</v>
      </c>
      <c r="R161">
        <f>IFERROR(ROUNDUP(VLOOKUP($C161,武器!$1:$998,COLUMN(N$1),FALSE)*(VLOOKUP($D161,素材!$1:$1002,COLUMN(D$1),FALSE)/100),1),"")</f>
        <v>-2.5</v>
      </c>
      <c r="S161">
        <f>IFERROR(VLOOKUP($C161,武器!$1:$998,COLUMN(P$1),FALSE),"")</f>
        <v>0</v>
      </c>
      <c r="T161">
        <f>IFERROR(VLOOKUP($C161,武器!$1:$998,COLUMN(Q$1),FALSE),"")</f>
        <v>0</v>
      </c>
      <c r="U161">
        <f>IFERROR(VLOOKUP($C161,武器!$1:$998,COLUMN(R$1),FALSE),"")</f>
        <v>0</v>
      </c>
      <c r="V161">
        <f>IFERROR(VLOOKUP($C161,武器!$1:$998,COLUMN(Q$1),FALSE),"")</f>
        <v>0</v>
      </c>
      <c r="W161" t="str">
        <f>IFERROR(VLOOKUP($C161,武器!$1:$998,COLUMN(T$1),FALSE),"")</f>
        <v>A</v>
      </c>
      <c r="Y161">
        <f>IFERROR(VLOOKUP($C161,武器!$1:$998,COLUMN(U$1),FALSE),"")</f>
        <v>0</v>
      </c>
      <c r="Z161">
        <f>IFERROR(ROUNDUP(VLOOKUP($C161,武器!$1:$998,COLUMN(O$1),FALSE)*VLOOKUP($D161,素材!$1:$1016,COLUMN(E$1),FALSE),1),"")</f>
        <v>0</v>
      </c>
      <c r="AA161">
        <f>IF(ISNUMBER(SEARCH(SUBSTITUTE(AA$1,RIGHT(AA$1,2),""),VLOOKUP($D161,素材!$1:$1016,COLUMN($F$1),FALSE))),VLOOKUP($C161,武器!$1:$998,COLUMN($O$1),FALSE)*VLOOKUP($D161,素材!$1:$1016,COLUMN($E$1),FALSE)/(LEN(VLOOKUP($D161,素材!$1:$1016,COLUMN($F$1),FALSE)) - LEN(SUBSTITUTE(VLOOKUP($D161,素材!$1:$1016,COLUMN($F$1),FALSE), "・", 0)) + 1), 0)</f>
        <v>0</v>
      </c>
      <c r="AB161">
        <f>IF(ISNUMBER(SEARCH(SUBSTITUTE(AB$1,RIGHT(AB$1,2),""),VLOOKUP($D161,素材!$1:$1016,COLUMN($F$1),FALSE))),VLOOKUP($C161,武器!$1:$998,COLUMN($O$1),FALSE)*VLOOKUP($D161,素材!$1:$1016,COLUMN($E$1),FALSE)/(LEN(VLOOKUP($D161,素材!$1:$1016,COLUMN($F$1),FALSE)) - LEN(SUBSTITUTE(VLOOKUP($D161,素材!$1:$1016,COLUMN($F$1),FALSE), "・", 0)) + 1), 0)</f>
        <v>0</v>
      </c>
      <c r="AC161">
        <f>IF(ISNUMBER(SEARCH(SUBSTITUTE(AC$1,RIGHT(AC$1,2),""),VLOOKUP($D161,素材!$1:$1016,COLUMN($F$1),FALSE))),VLOOKUP($C161,武器!$1:$998,COLUMN($O$1),FALSE)*VLOOKUP($D161,素材!$1:$1016,COLUMN($E$1),FALSE)/(LEN(VLOOKUP($D161,素材!$1:$1016,COLUMN($F$1),FALSE)) - LEN(SUBSTITUTE(VLOOKUP($D161,素材!$1:$1016,COLUMN($F$1),FALSE), "・", 0)) + 1), 0)</f>
        <v>0</v>
      </c>
      <c r="AD161">
        <f>IF(ISNUMBER(SEARCH(SUBSTITUTE(AD$1,RIGHT(AD$1,2),""),VLOOKUP($D161,素材!$1:$1016,COLUMN($F$1),FALSE))),VLOOKUP($C161,武器!$1:$998,COLUMN($O$1),FALSE)*VLOOKUP($D161,素材!$1:$1016,COLUMN($E$1),FALSE)/(LEN(VLOOKUP($D161,素材!$1:$1016,COLUMN($F$1),FALSE)) - LEN(SUBSTITUTE(VLOOKUP($D161,素材!$1:$1016,COLUMN($F$1),FALSE), "・", 0)) + 1), 0)</f>
        <v>0</v>
      </c>
      <c r="AE161">
        <f>IF(ISNUMBER(SEARCH(SUBSTITUTE(AE$1,RIGHT(AE$1,2),""),VLOOKUP($D161,素材!$1:$1016,COLUMN($F$1),FALSE))),VLOOKUP($C161,武器!$1:$998,COLUMN($O$1),FALSE)*VLOOKUP($D161,素材!$1:$1016,COLUMN($E$1),FALSE)/(LEN(VLOOKUP($D161,素材!$1:$1016,COLUMN($F$1),FALSE)) - LEN(SUBSTITUTE(VLOOKUP($D161,素材!$1:$1016,COLUMN($F$1),FALSE), "・", 0)) + 1), 0)</f>
        <v>0</v>
      </c>
      <c r="AF161">
        <f>IF(ISNUMBER(SEARCH(SUBSTITUTE(AF$1,RIGHT(AF$1,2),""),VLOOKUP($D161,素材!$1:$1016,COLUMN($F$1),FALSE))),VLOOKUP($C161,武器!$1:$998,COLUMN($O$1),FALSE)*VLOOKUP($D161,素材!$1:$1016,COLUMN($E$1),FALSE)/(LEN(VLOOKUP($D161,素材!$1:$1016,COLUMN($F$1),FALSE)) - LEN(SUBSTITUTE(VLOOKUP($D161,素材!$1:$1016,COLUMN($F$1),FALSE), "・", 0)) + 1), 0)</f>
        <v>0</v>
      </c>
      <c r="AG161">
        <f>IF(ISNUMBER(SEARCH(SUBSTITUTE(AG$1,RIGHT(AG$1,2),""),VLOOKUP($D161,素材!$1:$1016,COLUMN($F$1),FALSE))),VLOOKUP($C161,武器!$1:$998,COLUMN($O$1),FALSE)*VLOOKUP($D161,素材!$1:$1016,COLUMN($E$1),FALSE)/(LEN(VLOOKUP($D161,素材!$1:$1016,COLUMN($F$1),FALSE)) - LEN(SUBSTITUTE(VLOOKUP($D161,素材!$1:$1016,COLUMN($F$1),FALSE), "・", 0)) + 1), 0)</f>
        <v>0</v>
      </c>
      <c r="AH161">
        <f>IF(ISNUMBER(SEARCH(SUBSTITUTE(AH$1,RIGHT(AH$1,2),""),VLOOKUP($D161,素材!$1:$1016,COLUMN($F$1),FALSE))),VLOOKUP($C161,武器!$1:$998,COLUMN($O$1),FALSE)*VLOOKUP($D161,素材!$1:$1016,COLUMN($E$1),FALSE)/(LEN(VLOOKUP($D161,素材!$1:$1016,COLUMN($F$1),FALSE)) - LEN(SUBSTITUTE(VLOOKUP($D161,素材!$1:$1016,COLUMN($F$1),FALSE), "・", 0)) + 1), 0)</f>
        <v>0</v>
      </c>
      <c r="AI161">
        <f>IF(ISNUMBER(SEARCH(SUBSTITUTE(AI$1,RIGHT(AI$1,2),""),VLOOKUP($D161,素材!$1:$1016,COLUMN($F$1),FALSE))),VLOOKUP($C161,武器!$1:$998,COLUMN($O$1),FALSE)*VLOOKUP($D161,素材!$1:$1016,COLUMN($E$1),FALSE)/(LEN(VLOOKUP($D161,素材!$1:$1016,COLUMN($F$1),FALSE)) - LEN(SUBSTITUTE(VLOOKUP($D161,素材!$1:$1016,COLUMN($F$1),FALSE), "・", 0)) + 1), 0)</f>
        <v>0</v>
      </c>
      <c r="AJ161">
        <f>IF(ISNUMBER(SEARCH(SUBSTITUTE(AJ$1,RIGHT(AJ$1,2),""),VLOOKUP($D161,素材!$1:$1016,COLUMN($F$1),FALSE))),VLOOKUP($C161,武器!$1:$998,COLUMN($O$1),FALSE)*VLOOKUP($D161,素材!$1:$1016,COLUMN($E$1),FALSE)/(LEN(VLOOKUP($D161,素材!$1:$1016,COLUMN($F$1),FALSE)) - LEN(SUBSTITUTE(VLOOKUP($D161,素材!$1:$1016,COLUMN($F$1),FALSE), "・", 0)) + 1), 0)</f>
        <v>0</v>
      </c>
      <c r="AK161">
        <f>IF(ISNUMBER(SEARCH(SUBSTITUTE(AK$1,RIGHT(AK$1,2),""),VLOOKUP($D161,素材!$1:$1016,COLUMN($F$1),FALSE))),VLOOKUP($C161,武器!$1:$998,COLUMN($O$1),FALSE)*VLOOKUP($D161,素材!$1:$1016,COLUMN($E$1),FALSE)/(LEN(VLOOKUP($D161,素材!$1:$1016,COLUMN($F$1),FALSE)) - LEN(SUBSTITUTE(VLOOKUP($D161,素材!$1:$1016,COLUMN($F$1),FALSE), "・", 0)) + 1), 0)</f>
        <v>0</v>
      </c>
      <c r="AL161">
        <f>IF(ISNUMBER(SEARCH(SUBSTITUTE(AL$1,RIGHT(AL$1,2),""),VLOOKUP($D161,素材!$1:$1016,COLUMN($F$1),FALSE))),VLOOKUP($C161,武器!$1:$998,COLUMN($O$1),FALSE)*VLOOKUP($D161,素材!$1:$1016,COLUMN($E$1),FALSE)/(LEN(VLOOKUP($D161,素材!$1:$1016,COLUMN($F$1),FALSE)) - LEN(SUBSTITUTE(VLOOKUP($D161,素材!$1:$1016,COLUMN($F$1),FALSE), "・", 0)) + 1), 0)</f>
        <v>0</v>
      </c>
      <c r="AM161">
        <f>IF(ISNUMBER(SEARCH(SUBSTITUTE(AM$1,RIGHT(AM$1,2),""),VLOOKUP($D161,素材!$1:$1016,COLUMN($F$1),FALSE))),VLOOKUP($C161,武器!$1:$998,COLUMN($O$1),FALSE)*VLOOKUP($D161,素材!$1:$1016,COLUMN($E$1),FALSE)/(LEN(VLOOKUP($D161,素材!$1:$1016,COLUMN($F$1),FALSE)) - LEN(SUBSTITUTE(VLOOKUP($D161,素材!$1:$1016,COLUMN($F$1),FALSE), "・", 0)) + 1), 0)</f>
        <v>0</v>
      </c>
      <c r="AN161">
        <f>IF(ISNUMBER(SEARCH(SUBSTITUTE(AN$1,RIGHT(AN$1,2),""),VLOOKUP($D161,素材!$1:$1016,COLUMN($F$1),FALSE))),VLOOKUP($C161,武器!$1:$998,COLUMN($O$1),FALSE)*VLOOKUP($D161,素材!$1:$1016,COLUMN($E$1),FALSE)/(LEN(VLOOKUP($D161,素材!$1:$1016,COLUMN($F$1),FALSE)) - LEN(SUBSTITUTE(VLOOKUP($D161,素材!$1:$1016,COLUMN($F$1),FALSE), "・", 0)) + 1), 0)</f>
        <v>0</v>
      </c>
      <c r="AO161">
        <f>IF(ISNUMBER(SEARCH(SUBSTITUTE(AO$1,RIGHT(AO$1,2),""),VLOOKUP($D161,素材!$1:$1016,COLUMN($F$1),FALSE))),VLOOKUP($C161,武器!$1:$998,COLUMN($O$1),FALSE)*VLOOKUP($D161,素材!$1:$1016,COLUMN($E$1),FALSE)/(LEN(VLOOKUP($D161,素材!$1:$1016,COLUMN($F$1),FALSE)) - LEN(SUBSTITUTE(VLOOKUP($D161,素材!$1:$1016,COLUMN($F$1),FALSE), "・", 0)) + 1), 0)</f>
        <v>0</v>
      </c>
      <c r="AP161">
        <f>IF(ISNUMBER(SEARCH(SUBSTITUTE(AP$1,RIGHT(AP$1,2),""),VLOOKUP($D161,素材!$1:$1016,COLUMN($F$1),FALSE))),VLOOKUP($C161,武器!$1:$998,COLUMN($O$1),FALSE)*VLOOKUP($D161,素材!$1:$1016,COLUMN($E$1),FALSE)/(LEN(VLOOKUP($D161,素材!$1:$1016,COLUMN($F$1),FALSE)) - LEN(SUBSTITUTE(VLOOKUP($D161,素材!$1:$1016,COLUMN($F$1),FALSE), "・", 0)) + 1), 0)</f>
        <v>0</v>
      </c>
      <c r="AQ161">
        <f>IF(ISNUMBER(SEARCH(SUBSTITUTE(AQ$1,RIGHT(AQ$1,2),""),VLOOKUP($D161,素材!$1:$1016,COLUMN($F$1),FALSE))),VLOOKUP($C161,武器!$1:$998,COLUMN($O$1),FALSE)*VLOOKUP($D161,素材!$1:$1016,COLUMN($E$1),FALSE)/(LEN(VLOOKUP($D161,素材!$1:$1016,COLUMN($F$1),FALSE)) - LEN(SUBSTITUTE(VLOOKUP($D161,素材!$1:$1016,COLUMN($F$1),FALSE), "・", 0)) + 1), 0)</f>
        <v>0</v>
      </c>
      <c r="AR161">
        <f>IF(ISNUMBER(SEARCH(SUBSTITUTE(AR$1,RIGHT(AR$1,2),""),VLOOKUP($D161,素材!$1:$1016,COLUMN($F$1),FALSE))),VLOOKUP($C161,武器!$1:$998,COLUMN($O$1),FALSE)*VLOOKUP($D161,素材!$1:$1016,COLUMN($E$1),FALSE)/(LEN(VLOOKUP($D161,素材!$1:$1016,COLUMN($F$1),FALSE)) - LEN(SUBSTITUTE(VLOOKUP($D161,素材!$1:$1016,COLUMN($F$1),FALSE), "・", 0)) + 1), 0)</f>
        <v>0</v>
      </c>
      <c r="AS161">
        <f>IF(ISNUMBER(SEARCH(SUBSTITUTE(AS$1,RIGHT(AS$1,2),""),VLOOKUP($D161,素材!$1:$1016,COLUMN($F$1),FALSE))),VLOOKUP($C161,武器!$1:$998,COLUMN($O$1),FALSE)*VLOOKUP($D161,素材!$1:$1016,COLUMN($E$1),FALSE)/(LEN(VLOOKUP($D161,素材!$1:$1016,COLUMN($F$1),FALSE)) - LEN(SUBSTITUTE(VLOOKUP($D161,素材!$1:$1016,COLUMN($F$1),FALSE), "・", 0)) + 1), 0)</f>
        <v>0</v>
      </c>
      <c r="AT161">
        <f>IF(ISNUMBER(SEARCH(SUBSTITUTE(AT$1,RIGHT(AT$1,2),""),VLOOKUP($D161,素材!$1:$1016,COLUMN($F$1),FALSE))),VLOOKUP($C161,武器!$1:$998,COLUMN($O$1),FALSE)*VLOOKUP($D161,素材!$1:$1016,COLUMN($E$1),FALSE)/(LEN(VLOOKUP($D161,素材!$1:$1016,COLUMN($F$1),FALSE)) - LEN(SUBSTITUTE(VLOOKUP($D161,素材!$1:$1016,COLUMN($F$1),FALSE), "・", 0)) + 1), 0)</f>
        <v>0</v>
      </c>
      <c r="AU161">
        <f>IF(ISNUMBER(SEARCH(SUBSTITUTE(AU$1,RIGHT(AU$1,2),""),VLOOKUP($D161,素材!$1:$1016,COLUMN($F$1),FALSE))),VLOOKUP($C161,武器!$1:$998,COLUMN($O$1),FALSE)*VLOOKUP($D161,素材!$1:$1016,COLUMN($E$1),FALSE)/(LEN(VLOOKUP($D161,素材!$1:$1016,COLUMN($F$1),FALSE)) - LEN(SUBSTITUTE(VLOOKUP($D161,素材!$1:$1016,COLUMN($F$1),FALSE), "・", 0)) + 1), 0)</f>
        <v>0</v>
      </c>
      <c r="AV161">
        <f>IF(ISNUMBER(SEARCH(SUBSTITUTE(AV$1,RIGHT(AV$1,2),""),VLOOKUP($D161,素材!$1:$1016,COLUMN($F$1),FALSE))),VLOOKUP($C161,武器!$1:$998,COLUMN($O$1),FALSE)*VLOOKUP($D161,素材!$1:$1016,COLUMN($E$1),FALSE)/(LEN(VLOOKUP($D161,素材!$1:$1016,COLUMN($F$1),FALSE)) - LEN(SUBSTITUTE(VLOOKUP($D161,素材!$1:$1016,COLUMN($F$1),FALSE), "・", 0)) + 1), 0)</f>
        <v>0</v>
      </c>
      <c r="AW161">
        <f>IF(ISNUMBER(SEARCH(SUBSTITUTE(AW$1,RIGHT(AW$1,2),""),VLOOKUP($D161,素材!$1:$1016,COLUMN($F$1),FALSE))),VLOOKUP($C161,武器!$1:$998,COLUMN($O$1),FALSE)*VLOOKUP($D161,素材!$1:$1016,COLUMN($E$1),FALSE)/(LEN(VLOOKUP($D161,素材!$1:$1016,COLUMN($F$1),FALSE)) - LEN(SUBSTITUTE(VLOOKUP($D161,素材!$1:$1016,COLUMN($F$1),FALSE), "・", 0)) + 1), 0)</f>
        <v>0</v>
      </c>
      <c r="AX161">
        <f>IF(ISNUMBER(SEARCH(SUBSTITUTE(AX$1,RIGHT(AX$1,2),""),VLOOKUP($D161,素材!$1:$1016,COLUMN($F$1),FALSE))),VLOOKUP($C161,武器!$1:$998,COLUMN($O$1),FALSE)*VLOOKUP($D161,素材!$1:$1016,COLUMN($E$1),FALSE)/(LEN(VLOOKUP($D161,素材!$1:$1016,COLUMN($F$1),FALSE)) - LEN(SUBSTITUTE(VLOOKUP($D161,素材!$1:$1016,COLUMN($F$1),FALSE), "・", 0)) + 1), 0)</f>
        <v>0</v>
      </c>
      <c r="AY161">
        <f>IF(ISNUMBER(SEARCH(SUBSTITUTE(AY$1,RIGHT(AY$1,2),""),VLOOKUP($D161,素材!$1:$1016,COLUMN($F$1),FALSE))),VLOOKUP($C161,武器!$1:$998,COLUMN($O$1),FALSE)*VLOOKUP($D161,素材!$1:$1016,COLUMN($E$1),FALSE)/(LEN(VLOOKUP($D161,素材!$1:$1016,COLUMN($F$1),FALSE)) - LEN(SUBSTITUTE(VLOOKUP($D161,素材!$1:$1016,COLUMN($F$1),FALSE), "・", 0)) + 1), 0)</f>
        <v>0</v>
      </c>
      <c r="AZ161">
        <f>IF(ISNUMBER(SEARCH(SUBSTITUTE(AZ$1,RIGHT(AZ$1,2),""),VLOOKUP($D161,素材!$1:$1016,COLUMN($F$1),FALSE))),VLOOKUP($C161,武器!$1:$998,COLUMN($O$1),FALSE)*VLOOKUP($D161,素材!$1:$1016,COLUMN($E$1),FALSE)/(LEN(VLOOKUP($D161,素材!$1:$1016,COLUMN($F$1),FALSE)) - LEN(SUBSTITUTE(VLOOKUP($D161,素材!$1:$1016,COLUMN($F$1),FALSE), "・", 0)) + 1), 0)</f>
        <v>0</v>
      </c>
      <c r="BA161">
        <f>IF(ISNUMBER(SEARCH(SUBSTITUTE(BA$1,RIGHT(BA$1,2),""),VLOOKUP($D161,素材!$1:$1016,COLUMN($F$1),FALSE))),VLOOKUP($C161,武器!$1:$998,COLUMN($O$1),FALSE)*VLOOKUP($D161,素材!$1:$1016,COLUMN($E$1),FALSE)/(LEN(VLOOKUP($D161,素材!$1:$1016,COLUMN($F$1),FALSE)) - LEN(SUBSTITUTE(VLOOKUP($D161,素材!$1:$1016,COLUMN($F$1),FALSE), "・", 0)) + 1), 0)</f>
        <v>0</v>
      </c>
      <c r="BB161">
        <f>IF(ISNUMBER(SEARCH(SUBSTITUTE(BB$1,RIGHT(BB$1,2),""),VLOOKUP($D161,素材!$1:$1016,COLUMN($F$1),FALSE))),VLOOKUP($C161,武器!$1:$998,COLUMN($O$1),FALSE)*VLOOKUP($D161,素材!$1:$1016,COLUMN($E$1),FALSE)/(LEN(VLOOKUP($D161,素材!$1:$1016,COLUMN($F$1),FALSE)) - LEN(SUBSTITUTE(VLOOKUP($D161,素材!$1:$1016,COLUMN($F$1),FALSE), "・", 0)) + 1), 0)</f>
        <v>0</v>
      </c>
      <c r="BC161">
        <f>IF(ISNUMBER(SEARCH(SUBSTITUTE(BC$1,RIGHT(BC$1,2),""),VLOOKUP($D161,素材!$1:$1016,COLUMN($F$1),FALSE))),VLOOKUP($C161,武器!$1:$998,COLUMN($O$1),FALSE)*VLOOKUP($D161,素材!$1:$1016,COLUMN($E$1),FALSE)/(LEN(VLOOKUP($D161,素材!$1:$1016,COLUMN($F$1),FALSE)) - LEN(SUBSTITUTE(VLOOKUP($D161,素材!$1:$1016,COLUMN($F$1),FALSE), "・", 0)) + 1), 0)</f>
        <v>0</v>
      </c>
      <c r="BD161">
        <f>IF(ISNUMBER(SEARCH(SUBSTITUTE(BD$1,RIGHT(BD$1,2),""),VLOOKUP($D161,素材!$1:$1016,COLUMN($F$1),FALSE))),VLOOKUP($C161,武器!$1:$998,COLUMN($O$1),FALSE)*VLOOKUP($D161,素材!$1:$1016,COLUMN($E$1),FALSE)/(LEN(VLOOKUP($D161,素材!$1:$1016,COLUMN($F$1),FALSE)) - LEN(SUBSTITUTE(VLOOKUP($D161,素材!$1:$1016,COLUMN($F$1),FALSE), "・", 0)) + 1), 0)</f>
        <v>0</v>
      </c>
      <c r="BE161">
        <f>IF(ISNUMBER(SEARCH(SUBSTITUTE(BE$1,RIGHT(BE$1,2),""),VLOOKUP($D161,素材!$1:$1016,COLUMN($F$1),FALSE))),VLOOKUP($C161,武器!$1:$998,COLUMN($O$1),FALSE)*VLOOKUP($D161,素材!$1:$1016,COLUMN($E$1),FALSE)/(LEN(VLOOKUP($D161,素材!$1:$1016,COLUMN($F$1),FALSE)) - LEN(SUBSTITUTE(VLOOKUP($D161,素材!$1:$1016,COLUMN($F$1),FALSE), "・", 0)) + 1), 0)</f>
        <v>0</v>
      </c>
      <c r="CL161">
        <f>SUM(G161:I161)</f>
        <v>23</v>
      </c>
      <c r="CM161" s="22" t="str">
        <f>IF(E161="武器",IF(J161-1&gt;SUM(G161:I161),"盾",IF(MAX(G161:I161)=G161,"切断",IF(MAX(G161:I161)=H161,"貫通",IF(MAX(G161:I161)=I161,"打撃","射撃")))),E161)&amp;".webp"</f>
        <v>切断.webp</v>
      </c>
      <c r="CN161">
        <f>IFERROR(VLOOKUP($C161,武器!$1:$998,COLUMN(V$1),FALSE)*VLOOKUP($D161,素材!$1:$1016,COLUMN(N$1),FALSE)+IF(CI161="",0,VLOOKUP($CI161,装強!$1:$1008,COLUMN($CK$1),FALSE)),"")</f>
        <v>3000</v>
      </c>
      <c r="CO161">
        <f>VLOOKUP(D161,素材!$A:$O,COLUMN(素材!O$1),FALSE)</f>
        <v>0</v>
      </c>
      <c r="CP161" t="str">
        <f>VLOOKUP(C161,武器!$A:$W,COLUMN(武器!W$1),FALSE)</f>
        <v>幅の広い剣。扱いにくいが攻撃と防御にも優れている。状況に合わせて立ち回ろう。</v>
      </c>
      <c r="CR161" t="str">
        <f t="shared" si="18"/>
        <v>e_161</v>
      </c>
      <c r="CS161">
        <f t="shared" si="22"/>
        <v>300000</v>
      </c>
    </row>
    <row r="162" spans="1:97" outlineLevel="1" x14ac:dyDescent="0.4">
      <c r="A162" t="str">
        <f t="shared" si="27"/>
        <v>黒鋼鉄の長剣</v>
      </c>
      <c r="B162" t="str">
        <f>IFERROR(VLOOKUP($D162,素材!$1:$1016,COLUMN($B$1),FALSE)&amp;"・"&amp;VLOOKUP($C162,武器!$1:$998,COLUMN(B$1),FALSE),"")</f>
        <v>ブラックスティール・ロングソード</v>
      </c>
      <c r="C162" s="24" t="s">
        <v>238</v>
      </c>
      <c r="D162" s="24" t="s">
        <v>244</v>
      </c>
      <c r="E162" t="str">
        <f>IFERROR(VLOOKUP(C162,武器!$1:$998,COLUMN(C$1),FALSE),"")</f>
        <v>武器</v>
      </c>
      <c r="F162">
        <f>IFERROR(ROUNDDOWN((VLOOKUP($C162,武器!$1:$998,COLUMN(D$1),FALSE)+IFERROR(VLOOKUP($CI162,装強!$1:$999,COLUMN(F$1),FALSE),0))*VLOOKUP($D162,素材!$1:$1016,COLUMN(D$1),FALSE),0),"")</f>
        <v>115</v>
      </c>
      <c r="G162">
        <f>IFERROR(ROUNDDOWN((VLOOKUP($C162,武器!$1:$998,COLUMN(E$1),FALSE)+IFERROR(VLOOKUP($CI162,装強!$1:$999,COLUMN(G$1),FALSE),0))*VLOOKUP($D162,素材!$1:$1016,COLUMN($E$1),FALSE),0),"")</f>
        <v>15</v>
      </c>
      <c r="H162">
        <f>IFERROR(ROUNDDOWN((VLOOKUP($C162,武器!$1:$998,COLUMN(F$1),FALSE)+IFERROR(VLOOKUP($CI162,装強!$1:$999,COLUMN(H$1),FALSE),0))*VLOOKUP($D162,素材!$1:$1016,COLUMN($E$1),FALSE),0),"")</f>
        <v>9</v>
      </c>
      <c r="I162">
        <f>IFERROR(ROUNDDOWN((VLOOKUP($C162,武器!$1:$998,COLUMN(G$1),FALSE)+IFERROR(VLOOKUP($CI162,装強!$1:$999,COLUMN(I$1),FALSE),0))*VLOOKUP($D162,素材!$1:$1016,COLUMN($E$1),FALSE),0),"")</f>
        <v>3</v>
      </c>
      <c r="J162">
        <f>IFERROR(ROUNDDOWN((VLOOKUP($C162,武器!$1:$998,COLUMN(H$1),FALSE)+IFERROR(VLOOKUP($CI162,装強!$1:$999,COLUMN(J$1),FALSE),0))*VLOOKUP($D162,素材!$1:$1016,COLUMN($E$1),FALSE),0),"")</f>
        <v>20</v>
      </c>
      <c r="K162">
        <f>IFERROR(ROUNDDOWN((VLOOKUP($C162,武器!$1:$998,COLUMN(I$1),FALSE)+IFERROR(VLOOKUP($CI162,装強!$1:$999,COLUMN(K$1),FALSE),0))*VLOOKUP($D162,素材!$1:$1016,COLUMN($E$1),FALSE),0),"")</f>
        <v>0</v>
      </c>
      <c r="L162" t="str">
        <f>IFERROR(VLOOKUP($D162,素材!$1:$1016,COLUMN($F$1),FALSE),"")</f>
        <v>雷</v>
      </c>
      <c r="M162">
        <f>IFERROR(VLOOKUP($C162,武器!$1:$998,COLUMN(AA$1),FALSE)*VLOOKUP($D162,素材!$1:$1016,COLUMN($G$1),FALSE),"")</f>
        <v>47.25</v>
      </c>
      <c r="N162">
        <f>IFERROR(VLOOKUP($C162,武器!$1:$998,COLUMN(I$1),FALSE),"")</f>
        <v>0</v>
      </c>
      <c r="O162" s="23">
        <f>IFERROR((VLOOKUP($C162,武器!$1:$998,COLUMN(K$1),FALSE)+VLOOKUP($D162,素材!$1:$1016,COLUMN(H$1),FALSE))*100+IFERROR(VLOOKUP($CI162,装強!$1:$999,COLUMN(O$1),FALSE),0),"")</f>
        <v>10</v>
      </c>
      <c r="P162" s="23">
        <f>IFERROR((VLOOKUP($C162,武器!$1:$998,COLUMN(L$1),FALSE)+VLOOKUP($D162,素材!$1:$1016,COLUMN(I$1),FALSE))*100+IFERROR(VLOOKUP($CI162,装強!$1:$999,COLUMN(P$1),FALSE),0),"")</f>
        <v>150</v>
      </c>
      <c r="Q162">
        <f>IFERROR(ROUNDUP(VLOOKUP($C162,武器!$1:$998,COLUMN(M$1),FALSE)*(VLOOKUP($D162,素材!$1:$1002,COLUMN(D$1),FALSE)/100),1),"")</f>
        <v>-2.5</v>
      </c>
      <c r="R162">
        <f>IFERROR(ROUNDUP(VLOOKUP($C162,武器!$1:$998,COLUMN(N$1),FALSE)*(VLOOKUP($D162,素材!$1:$1002,COLUMN(D$1),FALSE)/100),1),"")</f>
        <v>-2.5</v>
      </c>
      <c r="S162">
        <f>IFERROR(VLOOKUP($C162,武器!$1:$998,COLUMN(P$1),FALSE),"")</f>
        <v>0</v>
      </c>
      <c r="T162">
        <f>IFERROR(VLOOKUP($C162,武器!$1:$998,COLUMN(Q$1),FALSE),"")</f>
        <v>0</v>
      </c>
      <c r="U162">
        <f>IFERROR(VLOOKUP($C162,武器!$1:$998,COLUMN(R$1),FALSE),"")</f>
        <v>0</v>
      </c>
      <c r="V162">
        <f>IFERROR(VLOOKUP($C162,武器!$1:$998,COLUMN(Q$1),FALSE),"")</f>
        <v>0</v>
      </c>
      <c r="W162" t="str">
        <f>IFERROR(VLOOKUP($C162,武器!$1:$998,COLUMN(T$1),FALSE),"")</f>
        <v>A</v>
      </c>
      <c r="Y162">
        <f>IFERROR(VLOOKUP($C162,武器!$1:$998,COLUMN(U$1),FALSE),"")</f>
        <v>0</v>
      </c>
      <c r="Z162">
        <f>IFERROR(ROUNDUP(VLOOKUP($C162,武器!$1:$998,COLUMN(O$1),FALSE)*VLOOKUP($D162,素材!$1:$1016,COLUMN(E$1),FALSE),1),"")</f>
        <v>0</v>
      </c>
      <c r="AA162">
        <f>IF(ISNUMBER(SEARCH(SUBSTITUTE(AA$1,RIGHT(AA$1,2),""),VLOOKUP($D162,素材!$1:$1016,COLUMN($F$1),FALSE))),VLOOKUP($C162,武器!$1:$998,COLUMN($O$1),FALSE)*VLOOKUP($D162,素材!$1:$1016,COLUMN($E$1),FALSE)/(LEN(VLOOKUP($D162,素材!$1:$1016,COLUMN($F$1),FALSE)) - LEN(SUBSTITUTE(VLOOKUP($D162,素材!$1:$1016,COLUMN($F$1),FALSE), "・", 0)) + 1), 0)</f>
        <v>0</v>
      </c>
      <c r="AB162">
        <f>IF(ISNUMBER(SEARCH(SUBSTITUTE(AB$1,RIGHT(AB$1,2),""),VLOOKUP($D162,素材!$1:$1016,COLUMN($F$1),FALSE))),VLOOKUP($C162,武器!$1:$998,COLUMN($O$1),FALSE)*VLOOKUP($D162,素材!$1:$1016,COLUMN($E$1),FALSE)/(LEN(VLOOKUP($D162,素材!$1:$1016,COLUMN($F$1),FALSE)) - LEN(SUBSTITUTE(VLOOKUP($D162,素材!$1:$1016,COLUMN($F$1),FALSE), "・", 0)) + 1), 0)</f>
        <v>0</v>
      </c>
      <c r="AC162">
        <f>IF(ISNUMBER(SEARCH(SUBSTITUTE(AC$1,RIGHT(AC$1,2),""),VLOOKUP($D162,素材!$1:$1016,COLUMN($F$1),FALSE))),VLOOKUP($C162,武器!$1:$998,COLUMN($O$1),FALSE)*VLOOKUP($D162,素材!$1:$1016,COLUMN($E$1),FALSE)/(LEN(VLOOKUP($D162,素材!$1:$1016,COLUMN($F$1),FALSE)) - LEN(SUBSTITUTE(VLOOKUP($D162,素材!$1:$1016,COLUMN($F$1),FALSE), "・", 0)) + 1), 0)</f>
        <v>0</v>
      </c>
      <c r="AD162">
        <f>IF(ISNUMBER(SEARCH(SUBSTITUTE(AD$1,RIGHT(AD$1,2),""),VLOOKUP($D162,素材!$1:$1016,COLUMN($F$1),FALSE))),VLOOKUP($C162,武器!$1:$998,COLUMN($O$1),FALSE)*VLOOKUP($D162,素材!$1:$1016,COLUMN($E$1),FALSE)/(LEN(VLOOKUP($D162,素材!$1:$1016,COLUMN($F$1),FALSE)) - LEN(SUBSTITUTE(VLOOKUP($D162,素材!$1:$1016,COLUMN($F$1),FALSE), "・", 0)) + 1), 0)</f>
        <v>0</v>
      </c>
      <c r="AE162">
        <f>IF(ISNUMBER(SEARCH(SUBSTITUTE(AE$1,RIGHT(AE$1,2),""),VLOOKUP($D162,素材!$1:$1016,COLUMN($F$1),FALSE))),VLOOKUP($C162,武器!$1:$998,COLUMN($O$1),FALSE)*VLOOKUP($D162,素材!$1:$1016,COLUMN($E$1),FALSE)/(LEN(VLOOKUP($D162,素材!$1:$1016,COLUMN($F$1),FALSE)) - LEN(SUBSTITUTE(VLOOKUP($D162,素材!$1:$1016,COLUMN($F$1),FALSE), "・", 0)) + 1), 0)</f>
        <v>0</v>
      </c>
      <c r="AF162">
        <f>IF(ISNUMBER(SEARCH(SUBSTITUTE(AF$1,RIGHT(AF$1,2),""),VLOOKUP($D162,素材!$1:$1016,COLUMN($F$1),FALSE))),VLOOKUP($C162,武器!$1:$998,COLUMN($O$1),FALSE)*VLOOKUP($D162,素材!$1:$1016,COLUMN($E$1),FALSE)/(LEN(VLOOKUP($D162,素材!$1:$1016,COLUMN($F$1),FALSE)) - LEN(SUBSTITUTE(VLOOKUP($D162,素材!$1:$1016,COLUMN($F$1),FALSE), "・", 0)) + 1), 0)</f>
        <v>0</v>
      </c>
      <c r="AG162">
        <f>IF(ISNUMBER(SEARCH(SUBSTITUTE(AG$1,RIGHT(AG$1,2),""),VLOOKUP($D162,素材!$1:$1016,COLUMN($F$1),FALSE))),VLOOKUP($C162,武器!$1:$998,COLUMN($O$1),FALSE)*VLOOKUP($D162,素材!$1:$1016,COLUMN($E$1),FALSE)/(LEN(VLOOKUP($D162,素材!$1:$1016,COLUMN($F$1),FALSE)) - LEN(SUBSTITUTE(VLOOKUP($D162,素材!$1:$1016,COLUMN($F$1),FALSE), "・", 0)) + 1), 0)</f>
        <v>0</v>
      </c>
      <c r="AH162">
        <f>IF(ISNUMBER(SEARCH(SUBSTITUTE(AH$1,RIGHT(AH$1,2),""),VLOOKUP($D162,素材!$1:$1016,COLUMN($F$1),FALSE))),VLOOKUP($C162,武器!$1:$998,COLUMN($O$1),FALSE)*VLOOKUP($D162,素材!$1:$1016,COLUMN($E$1),FALSE)/(LEN(VLOOKUP($D162,素材!$1:$1016,COLUMN($F$1),FALSE)) - LEN(SUBSTITUTE(VLOOKUP($D162,素材!$1:$1016,COLUMN($F$1),FALSE), "・", 0)) + 1), 0)</f>
        <v>0</v>
      </c>
      <c r="AI162">
        <f>IF(ISNUMBER(SEARCH(SUBSTITUTE(AI$1,RIGHT(AI$1,2),""),VLOOKUP($D162,素材!$1:$1016,COLUMN($F$1),FALSE))),VLOOKUP($C162,武器!$1:$998,COLUMN($O$1),FALSE)*VLOOKUP($D162,素材!$1:$1016,COLUMN($E$1),FALSE)/(LEN(VLOOKUP($D162,素材!$1:$1016,COLUMN($F$1),FALSE)) - LEN(SUBSTITUTE(VLOOKUP($D162,素材!$1:$1016,COLUMN($F$1),FALSE), "・", 0)) + 1), 0)</f>
        <v>0</v>
      </c>
      <c r="AJ162">
        <f>IF(ISNUMBER(SEARCH(SUBSTITUTE(AJ$1,RIGHT(AJ$1,2),""),VLOOKUP($D162,素材!$1:$1016,COLUMN($F$1),FALSE))),VLOOKUP($C162,武器!$1:$998,COLUMN($O$1),FALSE)*VLOOKUP($D162,素材!$1:$1016,COLUMN($E$1),FALSE)/(LEN(VLOOKUP($D162,素材!$1:$1016,COLUMN($F$1),FALSE)) - LEN(SUBSTITUTE(VLOOKUP($D162,素材!$1:$1016,COLUMN($F$1),FALSE), "・", 0)) + 1), 0)</f>
        <v>0</v>
      </c>
      <c r="AK162">
        <f>IF(ISNUMBER(SEARCH(SUBSTITUTE(AK$1,RIGHT(AK$1,2),""),VLOOKUP($D162,素材!$1:$1016,COLUMN($F$1),FALSE))),VLOOKUP($C162,武器!$1:$998,COLUMN($O$1),FALSE)*VLOOKUP($D162,素材!$1:$1016,COLUMN($E$1),FALSE)/(LEN(VLOOKUP($D162,素材!$1:$1016,COLUMN($F$1),FALSE)) - LEN(SUBSTITUTE(VLOOKUP($D162,素材!$1:$1016,COLUMN($F$1),FALSE), "・", 0)) + 1), 0)</f>
        <v>0</v>
      </c>
      <c r="AL162">
        <f>IF(ISNUMBER(SEARCH(SUBSTITUTE(AL$1,RIGHT(AL$1,2),""),VLOOKUP($D162,素材!$1:$1016,COLUMN($F$1),FALSE))),VLOOKUP($C162,武器!$1:$998,COLUMN($O$1),FALSE)*VLOOKUP($D162,素材!$1:$1016,COLUMN($E$1),FALSE)/(LEN(VLOOKUP($D162,素材!$1:$1016,COLUMN($F$1),FALSE)) - LEN(SUBSTITUTE(VLOOKUP($D162,素材!$1:$1016,COLUMN($F$1),FALSE), "・", 0)) + 1), 0)</f>
        <v>0</v>
      </c>
      <c r="AM162">
        <f>IF(ISNUMBER(SEARCH(SUBSTITUTE(AM$1,RIGHT(AM$1,2),""),VLOOKUP($D162,素材!$1:$1016,COLUMN($F$1),FALSE))),VLOOKUP($C162,武器!$1:$998,COLUMN($O$1),FALSE)*VLOOKUP($D162,素材!$1:$1016,COLUMN($E$1),FALSE)/(LEN(VLOOKUP($D162,素材!$1:$1016,COLUMN($F$1),FALSE)) - LEN(SUBSTITUTE(VLOOKUP($D162,素材!$1:$1016,COLUMN($F$1),FALSE), "・", 0)) + 1), 0)</f>
        <v>0</v>
      </c>
      <c r="AN162">
        <f>IF(ISNUMBER(SEARCH(SUBSTITUTE(AN$1,RIGHT(AN$1,2),""),VLOOKUP($D162,素材!$1:$1016,COLUMN($F$1),FALSE))),VLOOKUP($C162,武器!$1:$998,COLUMN($O$1),FALSE)*VLOOKUP($D162,素材!$1:$1016,COLUMN($E$1),FALSE)/(LEN(VLOOKUP($D162,素材!$1:$1016,COLUMN($F$1),FALSE)) - LEN(SUBSTITUTE(VLOOKUP($D162,素材!$1:$1016,COLUMN($F$1),FALSE), "・", 0)) + 1), 0)</f>
        <v>0</v>
      </c>
      <c r="AO162">
        <f>IF(ISNUMBER(SEARCH(SUBSTITUTE(AO$1,RIGHT(AO$1,2),""),VLOOKUP($D162,素材!$1:$1016,COLUMN($F$1),FALSE))),VLOOKUP($C162,武器!$1:$998,COLUMN($O$1),FALSE)*VLOOKUP($D162,素材!$1:$1016,COLUMN($E$1),FALSE)/(LEN(VLOOKUP($D162,素材!$1:$1016,COLUMN($F$1),FALSE)) - LEN(SUBSTITUTE(VLOOKUP($D162,素材!$1:$1016,COLUMN($F$1),FALSE), "・", 0)) + 1), 0)</f>
        <v>0</v>
      </c>
      <c r="AP162">
        <f>IF(ISNUMBER(SEARCH(SUBSTITUTE(AP$1,RIGHT(AP$1,2),""),VLOOKUP($D162,素材!$1:$1016,COLUMN($F$1),FALSE))),VLOOKUP($C162,武器!$1:$998,COLUMN($O$1),FALSE)*VLOOKUP($D162,素材!$1:$1016,COLUMN($E$1),FALSE)/(LEN(VLOOKUP($D162,素材!$1:$1016,COLUMN($F$1),FALSE)) - LEN(SUBSTITUTE(VLOOKUP($D162,素材!$1:$1016,COLUMN($F$1),FALSE), "・", 0)) + 1), 0)</f>
        <v>0</v>
      </c>
      <c r="AQ162">
        <f>IF(ISNUMBER(SEARCH(SUBSTITUTE(AQ$1,RIGHT(AQ$1,2),""),VLOOKUP($D162,素材!$1:$1016,COLUMN($F$1),FALSE))),VLOOKUP($C162,武器!$1:$998,COLUMN($O$1),FALSE)*VLOOKUP($D162,素材!$1:$1016,COLUMN($E$1),FALSE)/(LEN(VLOOKUP($D162,素材!$1:$1016,COLUMN($F$1),FALSE)) - LEN(SUBSTITUTE(VLOOKUP($D162,素材!$1:$1016,COLUMN($F$1),FALSE), "・", 0)) + 1), 0)</f>
        <v>0</v>
      </c>
      <c r="AR162">
        <f>IF(ISNUMBER(SEARCH(SUBSTITUTE(AR$1,RIGHT(AR$1,2),""),VLOOKUP($D162,素材!$1:$1016,COLUMN($F$1),FALSE))),VLOOKUP($C162,武器!$1:$998,COLUMN($O$1),FALSE)*VLOOKUP($D162,素材!$1:$1016,COLUMN($E$1),FALSE)/(LEN(VLOOKUP($D162,素材!$1:$1016,COLUMN($F$1),FALSE)) - LEN(SUBSTITUTE(VLOOKUP($D162,素材!$1:$1016,COLUMN($F$1),FALSE), "・", 0)) + 1), 0)</f>
        <v>0</v>
      </c>
      <c r="AS162">
        <f>IF(ISNUMBER(SEARCH(SUBSTITUTE(AS$1,RIGHT(AS$1,2),""),VLOOKUP($D162,素材!$1:$1016,COLUMN($F$1),FALSE))),VLOOKUP($C162,武器!$1:$998,COLUMN($O$1),FALSE)*VLOOKUP($D162,素材!$1:$1016,COLUMN($E$1),FALSE)/(LEN(VLOOKUP($D162,素材!$1:$1016,COLUMN($F$1),FALSE)) - LEN(SUBSTITUTE(VLOOKUP($D162,素材!$1:$1016,COLUMN($F$1),FALSE), "・", 0)) + 1), 0)</f>
        <v>0</v>
      </c>
      <c r="AT162">
        <f>IF(ISNUMBER(SEARCH(SUBSTITUTE(AT$1,RIGHT(AT$1,2),""),VLOOKUP($D162,素材!$1:$1016,COLUMN($F$1),FALSE))),VLOOKUP($C162,武器!$1:$998,COLUMN($O$1),FALSE)*VLOOKUP($D162,素材!$1:$1016,COLUMN($E$1),FALSE)/(LEN(VLOOKUP($D162,素材!$1:$1016,COLUMN($F$1),FALSE)) - LEN(SUBSTITUTE(VLOOKUP($D162,素材!$1:$1016,COLUMN($F$1),FALSE), "・", 0)) + 1), 0)</f>
        <v>0</v>
      </c>
      <c r="AU162">
        <f>IF(ISNUMBER(SEARCH(SUBSTITUTE(AU$1,RIGHT(AU$1,2),""),VLOOKUP($D162,素材!$1:$1016,COLUMN($F$1),FALSE))),VLOOKUP($C162,武器!$1:$998,COLUMN($O$1),FALSE)*VLOOKUP($D162,素材!$1:$1016,COLUMN($E$1),FALSE)/(LEN(VLOOKUP($D162,素材!$1:$1016,COLUMN($F$1),FALSE)) - LEN(SUBSTITUTE(VLOOKUP($D162,素材!$1:$1016,COLUMN($F$1),FALSE), "・", 0)) + 1), 0)</f>
        <v>0</v>
      </c>
      <c r="AV162">
        <f>IF(ISNUMBER(SEARCH(SUBSTITUTE(AV$1,RIGHT(AV$1,2),""),VLOOKUP($D162,素材!$1:$1016,COLUMN($F$1),FALSE))),VLOOKUP($C162,武器!$1:$998,COLUMN($O$1),FALSE)*VLOOKUP($D162,素材!$1:$1016,COLUMN($E$1),FALSE)/(LEN(VLOOKUP($D162,素材!$1:$1016,COLUMN($F$1),FALSE)) - LEN(SUBSTITUTE(VLOOKUP($D162,素材!$1:$1016,COLUMN($F$1),FALSE), "・", 0)) + 1), 0)</f>
        <v>0</v>
      </c>
      <c r="AW162">
        <f>IF(ISNUMBER(SEARCH(SUBSTITUTE(AW$1,RIGHT(AW$1,2),""),VLOOKUP($D162,素材!$1:$1016,COLUMN($F$1),FALSE))),VLOOKUP($C162,武器!$1:$998,COLUMN($O$1),FALSE)*VLOOKUP($D162,素材!$1:$1016,COLUMN($E$1),FALSE)/(LEN(VLOOKUP($D162,素材!$1:$1016,COLUMN($F$1),FALSE)) - LEN(SUBSTITUTE(VLOOKUP($D162,素材!$1:$1016,COLUMN($F$1),FALSE), "・", 0)) + 1), 0)</f>
        <v>0</v>
      </c>
      <c r="AX162">
        <f>IF(ISNUMBER(SEARCH(SUBSTITUTE(AX$1,RIGHT(AX$1,2),""),VLOOKUP($D162,素材!$1:$1016,COLUMN($F$1),FALSE))),VLOOKUP($C162,武器!$1:$998,COLUMN($O$1),FALSE)*VLOOKUP($D162,素材!$1:$1016,COLUMN($E$1),FALSE)/(LEN(VLOOKUP($D162,素材!$1:$1016,COLUMN($F$1),FALSE)) - LEN(SUBSTITUTE(VLOOKUP($D162,素材!$1:$1016,COLUMN($F$1),FALSE), "・", 0)) + 1), 0)</f>
        <v>0</v>
      </c>
      <c r="AY162">
        <f>IF(ISNUMBER(SEARCH(SUBSTITUTE(AY$1,RIGHT(AY$1,2),""),VLOOKUP($D162,素材!$1:$1016,COLUMN($F$1),FALSE))),VLOOKUP($C162,武器!$1:$998,COLUMN($O$1),FALSE)*VLOOKUP($D162,素材!$1:$1016,COLUMN($E$1),FALSE)/(LEN(VLOOKUP($D162,素材!$1:$1016,COLUMN($F$1),FALSE)) - LEN(SUBSTITUTE(VLOOKUP($D162,素材!$1:$1016,COLUMN($F$1),FALSE), "・", 0)) + 1), 0)</f>
        <v>0</v>
      </c>
      <c r="AZ162">
        <f>IF(ISNUMBER(SEARCH(SUBSTITUTE(AZ$1,RIGHT(AZ$1,2),""),VLOOKUP($D162,素材!$1:$1016,COLUMN($F$1),FALSE))),VLOOKUP($C162,武器!$1:$998,COLUMN($O$1),FALSE)*VLOOKUP($D162,素材!$1:$1016,COLUMN($E$1),FALSE)/(LEN(VLOOKUP($D162,素材!$1:$1016,COLUMN($F$1),FALSE)) - LEN(SUBSTITUTE(VLOOKUP($D162,素材!$1:$1016,COLUMN($F$1),FALSE), "・", 0)) + 1), 0)</f>
        <v>0</v>
      </c>
      <c r="BA162">
        <f>IF(ISNUMBER(SEARCH(SUBSTITUTE(BA$1,RIGHT(BA$1,2),""),VLOOKUP($D162,素材!$1:$1016,COLUMN($F$1),FALSE))),VLOOKUP($C162,武器!$1:$998,COLUMN($O$1),FALSE)*VLOOKUP($D162,素材!$1:$1016,COLUMN($E$1),FALSE)/(LEN(VLOOKUP($D162,素材!$1:$1016,COLUMN($F$1),FALSE)) - LEN(SUBSTITUTE(VLOOKUP($D162,素材!$1:$1016,COLUMN($F$1),FALSE), "・", 0)) + 1), 0)</f>
        <v>0</v>
      </c>
      <c r="BB162">
        <f>IF(ISNUMBER(SEARCH(SUBSTITUTE(BB$1,RIGHT(BB$1,2),""),VLOOKUP($D162,素材!$1:$1016,COLUMN($F$1),FALSE))),VLOOKUP($C162,武器!$1:$998,COLUMN($O$1),FALSE)*VLOOKUP($D162,素材!$1:$1016,COLUMN($E$1),FALSE)/(LEN(VLOOKUP($D162,素材!$1:$1016,COLUMN($F$1),FALSE)) - LEN(SUBSTITUTE(VLOOKUP($D162,素材!$1:$1016,COLUMN($F$1),FALSE), "・", 0)) + 1), 0)</f>
        <v>0</v>
      </c>
      <c r="BC162">
        <f>IF(ISNUMBER(SEARCH(SUBSTITUTE(BC$1,RIGHT(BC$1,2),""),VLOOKUP($D162,素材!$1:$1016,COLUMN($F$1),FALSE))),VLOOKUP($C162,武器!$1:$998,COLUMN($O$1),FALSE)*VLOOKUP($D162,素材!$1:$1016,COLUMN($E$1),FALSE)/(LEN(VLOOKUP($D162,素材!$1:$1016,COLUMN($F$1),FALSE)) - LEN(SUBSTITUTE(VLOOKUP($D162,素材!$1:$1016,COLUMN($F$1),FALSE), "・", 0)) + 1), 0)</f>
        <v>0</v>
      </c>
      <c r="BD162">
        <f>IF(ISNUMBER(SEARCH(SUBSTITUTE(BD$1,RIGHT(BD$1,2),""),VLOOKUP($D162,素材!$1:$1016,COLUMN($F$1),FALSE))),VLOOKUP($C162,武器!$1:$998,COLUMN($O$1),FALSE)*VLOOKUP($D162,素材!$1:$1016,COLUMN($E$1),FALSE)/(LEN(VLOOKUP($D162,素材!$1:$1016,COLUMN($F$1),FALSE)) - LEN(SUBSTITUTE(VLOOKUP($D162,素材!$1:$1016,COLUMN($F$1),FALSE), "・", 0)) + 1), 0)</f>
        <v>0</v>
      </c>
      <c r="BE162">
        <f>IF(ISNUMBER(SEARCH(SUBSTITUTE(BE$1,RIGHT(BE$1,2),""),VLOOKUP($D162,素材!$1:$1016,COLUMN($F$1),FALSE))),VLOOKUP($C162,武器!$1:$998,COLUMN($O$1),FALSE)*VLOOKUP($D162,素材!$1:$1016,COLUMN($E$1),FALSE)/(LEN(VLOOKUP($D162,素材!$1:$1016,COLUMN($F$1),FALSE)) - LEN(SUBSTITUTE(VLOOKUP($D162,素材!$1:$1016,COLUMN($F$1),FALSE), "・", 0)) + 1), 0)</f>
        <v>0</v>
      </c>
      <c r="CL162">
        <f>SUM(G162:I162)</f>
        <v>27</v>
      </c>
      <c r="CM162" s="22" t="str">
        <f>IF(E162="武器",IF(J162-1&gt;SUM(G162:I162),"盾",IF(MAX(G162:I162)=G162,"切断",IF(MAX(G162:I162)=H162,"貫通",IF(MAX(G162:I162)=I162,"打撃","射撃")))),E162)&amp;".webp"</f>
        <v>切断.webp</v>
      </c>
      <c r="CN162">
        <f>IFERROR(VLOOKUP($C162,武器!$1:$998,COLUMN(V$1),FALSE)*VLOOKUP($D162,素材!$1:$1016,COLUMN(N$1),FALSE)+IF(CI162="",0,VLOOKUP($CI162,装強!$1:$1008,COLUMN($CK$1),FALSE)),"")</f>
        <v>3000</v>
      </c>
      <c r="CO162">
        <f>VLOOKUP(D162,素材!$A:$O,COLUMN(素材!O$1),FALSE)</f>
        <v>0</v>
      </c>
      <c r="CP162" t="str">
        <f>VLOOKUP(C162,武器!$A:$W,COLUMN(武器!W$1),FALSE)</f>
        <v>長剣。長く重い分扱いにくいが威力が高い。</v>
      </c>
      <c r="CR162" t="str">
        <f t="shared" si="18"/>
        <v>e_162</v>
      </c>
      <c r="CS162">
        <f t="shared" si="22"/>
        <v>300000</v>
      </c>
    </row>
    <row r="163" spans="1:97" outlineLevel="1" x14ac:dyDescent="0.4">
      <c r="A163" t="str">
        <f t="shared" si="27"/>
        <v>黒鋼鉄の大剣</v>
      </c>
      <c r="B163" t="str">
        <f>IFERROR(VLOOKUP($D163,素材!$1:$1016,COLUMN($B$1),FALSE)&amp;"・"&amp;VLOOKUP($C163,武器!$1:$998,COLUMN(B$1),FALSE),"")</f>
        <v>ブラックスティール・バスターソード</v>
      </c>
      <c r="C163" s="24" t="s">
        <v>237</v>
      </c>
      <c r="D163" s="24" t="s">
        <v>244</v>
      </c>
      <c r="E163" t="str">
        <f>IFERROR(VLOOKUP(C163,武器!$1:$998,COLUMN(C$1),FALSE),"")</f>
        <v>武器</v>
      </c>
      <c r="F163">
        <f>IFERROR(ROUNDDOWN((VLOOKUP($C163,武器!$1:$998,COLUMN(D$1),FALSE)+IFERROR(VLOOKUP($CI163,装強!$1:$999,COLUMN(F$1),FALSE),0))*VLOOKUP($D163,素材!$1:$1016,COLUMN(D$1),FALSE),0),"")</f>
        <v>125</v>
      </c>
      <c r="G163">
        <f>IFERROR(ROUNDDOWN((VLOOKUP($C163,武器!$1:$998,COLUMN(E$1),FALSE)+IFERROR(VLOOKUP($CI163,装強!$1:$999,COLUMN(G$1),FALSE),0))*VLOOKUP($D163,素材!$1:$1016,COLUMN($E$1),FALSE),0),"")</f>
        <v>18</v>
      </c>
      <c r="H163">
        <f>IFERROR(ROUNDDOWN((VLOOKUP($C163,武器!$1:$998,COLUMN(F$1),FALSE)+IFERROR(VLOOKUP($CI163,装強!$1:$999,COLUMN(H$1),FALSE),0))*VLOOKUP($D163,素材!$1:$1016,COLUMN($E$1),FALSE),0),"")</f>
        <v>9</v>
      </c>
      <c r="I163">
        <f>IFERROR(ROUNDDOWN((VLOOKUP($C163,武器!$1:$998,COLUMN(G$1),FALSE)+IFERROR(VLOOKUP($CI163,装強!$1:$999,COLUMN(I$1),FALSE),0))*VLOOKUP($D163,素材!$1:$1016,COLUMN($E$1),FALSE),0),"")</f>
        <v>4</v>
      </c>
      <c r="J163">
        <f>IFERROR(ROUNDDOWN((VLOOKUP($C163,武器!$1:$998,COLUMN(H$1),FALSE)+IFERROR(VLOOKUP($CI163,装強!$1:$999,COLUMN(J$1),FALSE),0))*VLOOKUP($D163,素材!$1:$1016,COLUMN($E$1),FALSE),0),"")</f>
        <v>22</v>
      </c>
      <c r="K163">
        <f>IFERROR(ROUNDDOWN((VLOOKUP($C163,武器!$1:$998,COLUMN(I$1),FALSE)+IFERROR(VLOOKUP($CI163,装強!$1:$999,COLUMN(K$1),FALSE),0))*VLOOKUP($D163,素材!$1:$1016,COLUMN($E$1),FALSE),0),"")</f>
        <v>0</v>
      </c>
      <c r="L163" t="str">
        <f>IFERROR(VLOOKUP($D163,素材!$1:$1016,COLUMN($F$1),FALSE),"")</f>
        <v>雷</v>
      </c>
      <c r="M163">
        <f>IFERROR(VLOOKUP($C163,武器!$1:$998,COLUMN(AA$1),FALSE)*VLOOKUP($D163,素材!$1:$1016,COLUMN($G$1),FALSE),"")</f>
        <v>54.25</v>
      </c>
      <c r="N163">
        <f>IFERROR(VLOOKUP($C163,武器!$1:$998,COLUMN(I$1),FALSE),"")</f>
        <v>0</v>
      </c>
      <c r="O163" s="23">
        <f>IFERROR((VLOOKUP($C163,武器!$1:$998,COLUMN(K$1),FALSE)+VLOOKUP($D163,素材!$1:$1016,COLUMN(H$1),FALSE))*100+IFERROR(VLOOKUP($CI163,装強!$1:$999,COLUMN(O$1),FALSE),0),"")</f>
        <v>10</v>
      </c>
      <c r="P163" s="23">
        <f>IFERROR((VLOOKUP($C163,武器!$1:$998,COLUMN(L$1),FALSE)+VLOOKUP($D163,素材!$1:$1016,COLUMN(I$1),FALSE))*100+IFERROR(VLOOKUP($CI163,装強!$1:$999,COLUMN(P$1),FALSE),0),"")</f>
        <v>150</v>
      </c>
      <c r="Q163">
        <f>IFERROR(ROUNDUP(VLOOKUP($C163,武器!$1:$998,COLUMN(M$1),FALSE)*(VLOOKUP($D163,素材!$1:$1002,COLUMN(D$1),FALSE)/100),1),"")</f>
        <v>-7.5</v>
      </c>
      <c r="R163">
        <f>IFERROR(ROUNDUP(VLOOKUP($C163,武器!$1:$998,COLUMN(N$1),FALSE)*(VLOOKUP($D163,素材!$1:$1002,COLUMN(D$1),FALSE)/100),1),"")</f>
        <v>-7.5</v>
      </c>
      <c r="S163">
        <f>IFERROR(VLOOKUP($C163,武器!$1:$998,COLUMN(P$1),FALSE),"")</f>
        <v>0</v>
      </c>
      <c r="T163">
        <f>IFERROR(VLOOKUP($C163,武器!$1:$998,COLUMN(Q$1),FALSE),"")</f>
        <v>0</v>
      </c>
      <c r="U163">
        <f>IFERROR(VLOOKUP($C163,武器!$1:$998,COLUMN(R$1),FALSE),"")</f>
        <v>0</v>
      </c>
      <c r="V163">
        <f>IFERROR(VLOOKUP($C163,武器!$1:$998,COLUMN(Q$1),FALSE),"")</f>
        <v>0</v>
      </c>
      <c r="W163" t="str">
        <f>IFERROR(VLOOKUP($C163,武器!$1:$998,COLUMN(T$1),FALSE),"")</f>
        <v>A</v>
      </c>
      <c r="Y163">
        <f>IFERROR(VLOOKUP($C163,武器!$1:$998,COLUMN(U$1),FALSE),"")</f>
        <v>0</v>
      </c>
      <c r="Z163">
        <f>IFERROR(ROUNDUP(VLOOKUP($C163,武器!$1:$998,COLUMN(O$1),FALSE)*VLOOKUP($D163,素材!$1:$1016,COLUMN(E$1),FALSE),1),"")</f>
        <v>0</v>
      </c>
      <c r="AA163">
        <f>IF(ISNUMBER(SEARCH(SUBSTITUTE(AA$1,RIGHT(AA$1,2),""),VLOOKUP($D163,素材!$1:$1016,COLUMN($F$1),FALSE))),VLOOKUP($C163,武器!$1:$998,COLUMN($O$1),FALSE)*VLOOKUP($D163,素材!$1:$1016,COLUMN($E$1),FALSE)/(LEN(VLOOKUP($D163,素材!$1:$1016,COLUMN($F$1),FALSE)) - LEN(SUBSTITUTE(VLOOKUP($D163,素材!$1:$1016,COLUMN($F$1),FALSE), "・", 0)) + 1), 0)</f>
        <v>0</v>
      </c>
      <c r="AB163">
        <f>IF(ISNUMBER(SEARCH(SUBSTITUTE(AB$1,RIGHT(AB$1,2),""),VLOOKUP($D163,素材!$1:$1016,COLUMN($F$1),FALSE))),VLOOKUP($C163,武器!$1:$998,COLUMN($O$1),FALSE)*VLOOKUP($D163,素材!$1:$1016,COLUMN($E$1),FALSE)/(LEN(VLOOKUP($D163,素材!$1:$1016,COLUMN($F$1),FALSE)) - LEN(SUBSTITUTE(VLOOKUP($D163,素材!$1:$1016,COLUMN($F$1),FALSE), "・", 0)) + 1), 0)</f>
        <v>0</v>
      </c>
      <c r="AC163">
        <f>IF(ISNUMBER(SEARCH(SUBSTITUTE(AC$1,RIGHT(AC$1,2),""),VLOOKUP($D163,素材!$1:$1016,COLUMN($F$1),FALSE))),VLOOKUP($C163,武器!$1:$998,COLUMN($O$1),FALSE)*VLOOKUP($D163,素材!$1:$1016,COLUMN($E$1),FALSE)/(LEN(VLOOKUP($D163,素材!$1:$1016,COLUMN($F$1),FALSE)) - LEN(SUBSTITUTE(VLOOKUP($D163,素材!$1:$1016,COLUMN($F$1),FALSE), "・", 0)) + 1), 0)</f>
        <v>0</v>
      </c>
      <c r="AD163">
        <f>IF(ISNUMBER(SEARCH(SUBSTITUTE(AD$1,RIGHT(AD$1,2),""),VLOOKUP($D163,素材!$1:$1016,COLUMN($F$1),FALSE))),VLOOKUP($C163,武器!$1:$998,COLUMN($O$1),FALSE)*VLOOKUP($D163,素材!$1:$1016,COLUMN($E$1),FALSE)/(LEN(VLOOKUP($D163,素材!$1:$1016,COLUMN($F$1),FALSE)) - LEN(SUBSTITUTE(VLOOKUP($D163,素材!$1:$1016,COLUMN($F$1),FALSE), "・", 0)) + 1), 0)</f>
        <v>0</v>
      </c>
      <c r="AE163">
        <f>IF(ISNUMBER(SEARCH(SUBSTITUTE(AE$1,RIGHT(AE$1,2),""),VLOOKUP($D163,素材!$1:$1016,COLUMN($F$1),FALSE))),VLOOKUP($C163,武器!$1:$998,COLUMN($O$1),FALSE)*VLOOKUP($D163,素材!$1:$1016,COLUMN($E$1),FALSE)/(LEN(VLOOKUP($D163,素材!$1:$1016,COLUMN($F$1),FALSE)) - LEN(SUBSTITUTE(VLOOKUP($D163,素材!$1:$1016,COLUMN($F$1),FALSE), "・", 0)) + 1), 0)</f>
        <v>0</v>
      </c>
      <c r="AF163">
        <f>IF(ISNUMBER(SEARCH(SUBSTITUTE(AF$1,RIGHT(AF$1,2),""),VLOOKUP($D163,素材!$1:$1016,COLUMN($F$1),FALSE))),VLOOKUP($C163,武器!$1:$998,COLUMN($O$1),FALSE)*VLOOKUP($D163,素材!$1:$1016,COLUMN($E$1),FALSE)/(LEN(VLOOKUP($D163,素材!$1:$1016,COLUMN($F$1),FALSE)) - LEN(SUBSTITUTE(VLOOKUP($D163,素材!$1:$1016,COLUMN($F$1),FALSE), "・", 0)) + 1), 0)</f>
        <v>0</v>
      </c>
      <c r="AG163">
        <f>IF(ISNUMBER(SEARCH(SUBSTITUTE(AG$1,RIGHT(AG$1,2),""),VLOOKUP($D163,素材!$1:$1016,COLUMN($F$1),FALSE))),VLOOKUP($C163,武器!$1:$998,COLUMN($O$1),FALSE)*VLOOKUP($D163,素材!$1:$1016,COLUMN($E$1),FALSE)/(LEN(VLOOKUP($D163,素材!$1:$1016,COLUMN($F$1),FALSE)) - LEN(SUBSTITUTE(VLOOKUP($D163,素材!$1:$1016,COLUMN($F$1),FALSE), "・", 0)) + 1), 0)</f>
        <v>0</v>
      </c>
      <c r="AH163">
        <f>IF(ISNUMBER(SEARCH(SUBSTITUTE(AH$1,RIGHT(AH$1,2),""),VLOOKUP($D163,素材!$1:$1016,COLUMN($F$1),FALSE))),VLOOKUP($C163,武器!$1:$998,COLUMN($O$1),FALSE)*VLOOKUP($D163,素材!$1:$1016,COLUMN($E$1),FALSE)/(LEN(VLOOKUP($D163,素材!$1:$1016,COLUMN($F$1),FALSE)) - LEN(SUBSTITUTE(VLOOKUP($D163,素材!$1:$1016,COLUMN($F$1),FALSE), "・", 0)) + 1), 0)</f>
        <v>0</v>
      </c>
      <c r="AI163">
        <f>IF(ISNUMBER(SEARCH(SUBSTITUTE(AI$1,RIGHT(AI$1,2),""),VLOOKUP($D163,素材!$1:$1016,COLUMN($F$1),FALSE))),VLOOKUP($C163,武器!$1:$998,COLUMN($O$1),FALSE)*VLOOKUP($D163,素材!$1:$1016,COLUMN($E$1),FALSE)/(LEN(VLOOKUP($D163,素材!$1:$1016,COLUMN($F$1),FALSE)) - LEN(SUBSTITUTE(VLOOKUP($D163,素材!$1:$1016,COLUMN($F$1),FALSE), "・", 0)) + 1), 0)</f>
        <v>0</v>
      </c>
      <c r="AJ163">
        <f>IF(ISNUMBER(SEARCH(SUBSTITUTE(AJ$1,RIGHT(AJ$1,2),""),VLOOKUP($D163,素材!$1:$1016,COLUMN($F$1),FALSE))),VLOOKUP($C163,武器!$1:$998,COLUMN($O$1),FALSE)*VLOOKUP($D163,素材!$1:$1016,COLUMN($E$1),FALSE)/(LEN(VLOOKUP($D163,素材!$1:$1016,COLUMN($F$1),FALSE)) - LEN(SUBSTITUTE(VLOOKUP($D163,素材!$1:$1016,COLUMN($F$1),FALSE), "・", 0)) + 1), 0)</f>
        <v>0</v>
      </c>
      <c r="AK163">
        <f>IF(ISNUMBER(SEARCH(SUBSTITUTE(AK$1,RIGHT(AK$1,2),""),VLOOKUP($D163,素材!$1:$1016,COLUMN($F$1),FALSE))),VLOOKUP($C163,武器!$1:$998,COLUMN($O$1),FALSE)*VLOOKUP($D163,素材!$1:$1016,COLUMN($E$1),FALSE)/(LEN(VLOOKUP($D163,素材!$1:$1016,COLUMN($F$1),FALSE)) - LEN(SUBSTITUTE(VLOOKUP($D163,素材!$1:$1016,COLUMN($F$1),FALSE), "・", 0)) + 1), 0)</f>
        <v>0</v>
      </c>
      <c r="AL163">
        <f>IF(ISNUMBER(SEARCH(SUBSTITUTE(AL$1,RIGHT(AL$1,2),""),VLOOKUP($D163,素材!$1:$1016,COLUMN($F$1),FALSE))),VLOOKUP($C163,武器!$1:$998,COLUMN($O$1),FALSE)*VLOOKUP($D163,素材!$1:$1016,COLUMN($E$1),FALSE)/(LEN(VLOOKUP($D163,素材!$1:$1016,COLUMN($F$1),FALSE)) - LEN(SUBSTITUTE(VLOOKUP($D163,素材!$1:$1016,COLUMN($F$1),FALSE), "・", 0)) + 1), 0)</f>
        <v>0</v>
      </c>
      <c r="AM163">
        <f>IF(ISNUMBER(SEARCH(SUBSTITUTE(AM$1,RIGHT(AM$1,2),""),VLOOKUP($D163,素材!$1:$1016,COLUMN($F$1),FALSE))),VLOOKUP($C163,武器!$1:$998,COLUMN($O$1),FALSE)*VLOOKUP($D163,素材!$1:$1016,COLUMN($E$1),FALSE)/(LEN(VLOOKUP($D163,素材!$1:$1016,COLUMN($F$1),FALSE)) - LEN(SUBSTITUTE(VLOOKUP($D163,素材!$1:$1016,COLUMN($F$1),FALSE), "・", 0)) + 1), 0)</f>
        <v>0</v>
      </c>
      <c r="AN163">
        <f>IF(ISNUMBER(SEARCH(SUBSTITUTE(AN$1,RIGHT(AN$1,2),""),VLOOKUP($D163,素材!$1:$1016,COLUMN($F$1),FALSE))),VLOOKUP($C163,武器!$1:$998,COLUMN($O$1),FALSE)*VLOOKUP($D163,素材!$1:$1016,COLUMN($E$1),FALSE)/(LEN(VLOOKUP($D163,素材!$1:$1016,COLUMN($F$1),FALSE)) - LEN(SUBSTITUTE(VLOOKUP($D163,素材!$1:$1016,COLUMN($F$1),FALSE), "・", 0)) + 1), 0)</f>
        <v>0</v>
      </c>
      <c r="AO163">
        <f>IF(ISNUMBER(SEARCH(SUBSTITUTE(AO$1,RIGHT(AO$1,2),""),VLOOKUP($D163,素材!$1:$1016,COLUMN($F$1),FALSE))),VLOOKUP($C163,武器!$1:$998,COLUMN($O$1),FALSE)*VLOOKUP($D163,素材!$1:$1016,COLUMN($E$1),FALSE)/(LEN(VLOOKUP($D163,素材!$1:$1016,COLUMN($F$1),FALSE)) - LEN(SUBSTITUTE(VLOOKUP($D163,素材!$1:$1016,COLUMN($F$1),FALSE), "・", 0)) + 1), 0)</f>
        <v>0</v>
      </c>
      <c r="AP163">
        <f>IF(ISNUMBER(SEARCH(SUBSTITUTE(AP$1,RIGHT(AP$1,2),""),VLOOKUP($D163,素材!$1:$1016,COLUMN($F$1),FALSE))),VLOOKUP($C163,武器!$1:$998,COLUMN($O$1),FALSE)*VLOOKUP($D163,素材!$1:$1016,COLUMN($E$1),FALSE)/(LEN(VLOOKUP($D163,素材!$1:$1016,COLUMN($F$1),FALSE)) - LEN(SUBSTITUTE(VLOOKUP($D163,素材!$1:$1016,COLUMN($F$1),FALSE), "・", 0)) + 1), 0)</f>
        <v>0</v>
      </c>
      <c r="AQ163">
        <f>IF(ISNUMBER(SEARCH(SUBSTITUTE(AQ$1,RIGHT(AQ$1,2),""),VLOOKUP($D163,素材!$1:$1016,COLUMN($F$1),FALSE))),VLOOKUP($C163,武器!$1:$998,COLUMN($O$1),FALSE)*VLOOKUP($D163,素材!$1:$1016,COLUMN($E$1),FALSE)/(LEN(VLOOKUP($D163,素材!$1:$1016,COLUMN($F$1),FALSE)) - LEN(SUBSTITUTE(VLOOKUP($D163,素材!$1:$1016,COLUMN($F$1),FALSE), "・", 0)) + 1), 0)</f>
        <v>0</v>
      </c>
      <c r="AR163">
        <f>IF(ISNUMBER(SEARCH(SUBSTITUTE(AR$1,RIGHT(AR$1,2),""),VLOOKUP($D163,素材!$1:$1016,COLUMN($F$1),FALSE))),VLOOKUP($C163,武器!$1:$998,COLUMN($O$1),FALSE)*VLOOKUP($D163,素材!$1:$1016,COLUMN($E$1),FALSE)/(LEN(VLOOKUP($D163,素材!$1:$1016,COLUMN($F$1),FALSE)) - LEN(SUBSTITUTE(VLOOKUP($D163,素材!$1:$1016,COLUMN($F$1),FALSE), "・", 0)) + 1), 0)</f>
        <v>0</v>
      </c>
      <c r="AS163">
        <f>IF(ISNUMBER(SEARCH(SUBSTITUTE(AS$1,RIGHT(AS$1,2),""),VLOOKUP($D163,素材!$1:$1016,COLUMN($F$1),FALSE))),VLOOKUP($C163,武器!$1:$998,COLUMN($O$1),FALSE)*VLOOKUP($D163,素材!$1:$1016,COLUMN($E$1),FALSE)/(LEN(VLOOKUP($D163,素材!$1:$1016,COLUMN($F$1),FALSE)) - LEN(SUBSTITUTE(VLOOKUP($D163,素材!$1:$1016,COLUMN($F$1),FALSE), "・", 0)) + 1), 0)</f>
        <v>0</v>
      </c>
      <c r="AT163">
        <f>IF(ISNUMBER(SEARCH(SUBSTITUTE(AT$1,RIGHT(AT$1,2),""),VLOOKUP($D163,素材!$1:$1016,COLUMN($F$1),FALSE))),VLOOKUP($C163,武器!$1:$998,COLUMN($O$1),FALSE)*VLOOKUP($D163,素材!$1:$1016,COLUMN($E$1),FALSE)/(LEN(VLOOKUP($D163,素材!$1:$1016,COLUMN($F$1),FALSE)) - LEN(SUBSTITUTE(VLOOKUP($D163,素材!$1:$1016,COLUMN($F$1),FALSE), "・", 0)) + 1), 0)</f>
        <v>0</v>
      </c>
      <c r="AU163">
        <f>IF(ISNUMBER(SEARCH(SUBSTITUTE(AU$1,RIGHT(AU$1,2),""),VLOOKUP($D163,素材!$1:$1016,COLUMN($F$1),FALSE))),VLOOKUP($C163,武器!$1:$998,COLUMN($O$1),FALSE)*VLOOKUP($D163,素材!$1:$1016,COLUMN($E$1),FALSE)/(LEN(VLOOKUP($D163,素材!$1:$1016,COLUMN($F$1),FALSE)) - LEN(SUBSTITUTE(VLOOKUP($D163,素材!$1:$1016,COLUMN($F$1),FALSE), "・", 0)) + 1), 0)</f>
        <v>0</v>
      </c>
      <c r="AV163">
        <f>IF(ISNUMBER(SEARCH(SUBSTITUTE(AV$1,RIGHT(AV$1,2),""),VLOOKUP($D163,素材!$1:$1016,COLUMN($F$1),FALSE))),VLOOKUP($C163,武器!$1:$998,COLUMN($O$1),FALSE)*VLOOKUP($D163,素材!$1:$1016,COLUMN($E$1),FALSE)/(LEN(VLOOKUP($D163,素材!$1:$1016,COLUMN($F$1),FALSE)) - LEN(SUBSTITUTE(VLOOKUP($D163,素材!$1:$1016,COLUMN($F$1),FALSE), "・", 0)) + 1), 0)</f>
        <v>0</v>
      </c>
      <c r="AW163">
        <f>IF(ISNUMBER(SEARCH(SUBSTITUTE(AW$1,RIGHT(AW$1,2),""),VLOOKUP($D163,素材!$1:$1016,COLUMN($F$1),FALSE))),VLOOKUP($C163,武器!$1:$998,COLUMN($O$1),FALSE)*VLOOKUP($D163,素材!$1:$1016,COLUMN($E$1),FALSE)/(LEN(VLOOKUP($D163,素材!$1:$1016,COLUMN($F$1),FALSE)) - LEN(SUBSTITUTE(VLOOKUP($D163,素材!$1:$1016,COLUMN($F$1),FALSE), "・", 0)) + 1), 0)</f>
        <v>0</v>
      </c>
      <c r="AX163">
        <f>IF(ISNUMBER(SEARCH(SUBSTITUTE(AX$1,RIGHT(AX$1,2),""),VLOOKUP($D163,素材!$1:$1016,COLUMN($F$1),FALSE))),VLOOKUP($C163,武器!$1:$998,COLUMN($O$1),FALSE)*VLOOKUP($D163,素材!$1:$1016,COLUMN($E$1),FALSE)/(LEN(VLOOKUP($D163,素材!$1:$1016,COLUMN($F$1),FALSE)) - LEN(SUBSTITUTE(VLOOKUP($D163,素材!$1:$1016,COLUMN($F$1),FALSE), "・", 0)) + 1), 0)</f>
        <v>0</v>
      </c>
      <c r="AY163">
        <f>IF(ISNUMBER(SEARCH(SUBSTITUTE(AY$1,RIGHT(AY$1,2),""),VLOOKUP($D163,素材!$1:$1016,COLUMN($F$1),FALSE))),VLOOKUP($C163,武器!$1:$998,COLUMN($O$1),FALSE)*VLOOKUP($D163,素材!$1:$1016,COLUMN($E$1),FALSE)/(LEN(VLOOKUP($D163,素材!$1:$1016,COLUMN($F$1),FALSE)) - LEN(SUBSTITUTE(VLOOKUP($D163,素材!$1:$1016,COLUMN($F$1),FALSE), "・", 0)) + 1), 0)</f>
        <v>0</v>
      </c>
      <c r="AZ163">
        <f>IF(ISNUMBER(SEARCH(SUBSTITUTE(AZ$1,RIGHT(AZ$1,2),""),VLOOKUP($D163,素材!$1:$1016,COLUMN($F$1),FALSE))),VLOOKUP($C163,武器!$1:$998,COLUMN($O$1),FALSE)*VLOOKUP($D163,素材!$1:$1016,COLUMN($E$1),FALSE)/(LEN(VLOOKUP($D163,素材!$1:$1016,COLUMN($F$1),FALSE)) - LEN(SUBSTITUTE(VLOOKUP($D163,素材!$1:$1016,COLUMN($F$1),FALSE), "・", 0)) + 1), 0)</f>
        <v>0</v>
      </c>
      <c r="BA163">
        <f>IF(ISNUMBER(SEARCH(SUBSTITUTE(BA$1,RIGHT(BA$1,2),""),VLOOKUP($D163,素材!$1:$1016,COLUMN($F$1),FALSE))),VLOOKUP($C163,武器!$1:$998,COLUMN($O$1),FALSE)*VLOOKUP($D163,素材!$1:$1016,COLUMN($E$1),FALSE)/(LEN(VLOOKUP($D163,素材!$1:$1016,COLUMN($F$1),FALSE)) - LEN(SUBSTITUTE(VLOOKUP($D163,素材!$1:$1016,COLUMN($F$1),FALSE), "・", 0)) + 1), 0)</f>
        <v>0</v>
      </c>
      <c r="BB163">
        <f>IF(ISNUMBER(SEARCH(SUBSTITUTE(BB$1,RIGHT(BB$1,2),""),VLOOKUP($D163,素材!$1:$1016,COLUMN($F$1),FALSE))),VLOOKUP($C163,武器!$1:$998,COLUMN($O$1),FALSE)*VLOOKUP($D163,素材!$1:$1016,COLUMN($E$1),FALSE)/(LEN(VLOOKUP($D163,素材!$1:$1016,COLUMN($F$1),FALSE)) - LEN(SUBSTITUTE(VLOOKUP($D163,素材!$1:$1016,COLUMN($F$1),FALSE), "・", 0)) + 1), 0)</f>
        <v>0</v>
      </c>
      <c r="BC163">
        <f>IF(ISNUMBER(SEARCH(SUBSTITUTE(BC$1,RIGHT(BC$1,2),""),VLOOKUP($D163,素材!$1:$1016,COLUMN($F$1),FALSE))),VLOOKUP($C163,武器!$1:$998,COLUMN($O$1),FALSE)*VLOOKUP($D163,素材!$1:$1016,COLUMN($E$1),FALSE)/(LEN(VLOOKUP($D163,素材!$1:$1016,COLUMN($F$1),FALSE)) - LEN(SUBSTITUTE(VLOOKUP($D163,素材!$1:$1016,COLUMN($F$1),FALSE), "・", 0)) + 1), 0)</f>
        <v>0</v>
      </c>
      <c r="BD163">
        <f>IF(ISNUMBER(SEARCH(SUBSTITUTE(BD$1,RIGHT(BD$1,2),""),VLOOKUP($D163,素材!$1:$1016,COLUMN($F$1),FALSE))),VLOOKUP($C163,武器!$1:$998,COLUMN($O$1),FALSE)*VLOOKUP($D163,素材!$1:$1016,COLUMN($E$1),FALSE)/(LEN(VLOOKUP($D163,素材!$1:$1016,COLUMN($F$1),FALSE)) - LEN(SUBSTITUTE(VLOOKUP($D163,素材!$1:$1016,COLUMN($F$1),FALSE), "・", 0)) + 1), 0)</f>
        <v>0</v>
      </c>
      <c r="BE163">
        <f>IF(ISNUMBER(SEARCH(SUBSTITUTE(BE$1,RIGHT(BE$1,2),""),VLOOKUP($D163,素材!$1:$1016,COLUMN($F$1),FALSE))),VLOOKUP($C163,武器!$1:$998,COLUMN($O$1),FALSE)*VLOOKUP($D163,素材!$1:$1016,COLUMN($E$1),FALSE)/(LEN(VLOOKUP($D163,素材!$1:$1016,COLUMN($F$1),FALSE)) - LEN(SUBSTITUTE(VLOOKUP($D163,素材!$1:$1016,COLUMN($F$1),FALSE), "・", 0)) + 1), 0)</f>
        <v>0</v>
      </c>
      <c r="CL163">
        <f>SUM(G163:I163)</f>
        <v>31</v>
      </c>
      <c r="CM163" s="22" t="str">
        <f>IF(E163="武器",IF(J163-1&gt;SUM(G163:I163),"盾",IF(MAX(G163:I163)=G163,"切断",IF(MAX(G163:I163)=H163,"貫通",IF(MAX(G163:I163)=I163,"打撃","射撃")))),E163)&amp;".webp"</f>
        <v>切断.webp</v>
      </c>
      <c r="CN163">
        <f>IFERROR(VLOOKUP($C163,武器!$1:$998,COLUMN(V$1),FALSE)*VLOOKUP($D163,素材!$1:$1016,COLUMN(N$1),FALSE)+IF(CI163="",0,VLOOKUP($CI163,装強!$1:$1008,COLUMN($CK$1),FALSE)),"")</f>
        <v>4500</v>
      </c>
      <c r="CO163">
        <f>VLOOKUP(D163,素材!$A:$O,COLUMN(素材!O$1),FALSE)</f>
        <v>0</v>
      </c>
      <c r="CP163" t="str">
        <f>VLOOKUP(C163,武器!$A:$W,COLUMN(武器!W$1),FALSE)</f>
        <v>大剣。非常に重いが威力が突出して高い武器。大きい分ガードにも向いている</v>
      </c>
      <c r="CR163" t="str">
        <f t="shared" si="18"/>
        <v>e_163</v>
      </c>
      <c r="CS163">
        <f t="shared" si="22"/>
        <v>450000</v>
      </c>
    </row>
    <row r="164" spans="1:97" outlineLevel="1" x14ac:dyDescent="0.4">
      <c r="A164" t="str">
        <f t="shared" si="27"/>
        <v>黒鋼鉄の細剣</v>
      </c>
      <c r="B164" t="str">
        <f>IFERROR(VLOOKUP($D164,素材!$1:$1016,COLUMN($B$1),FALSE)&amp;"・"&amp;VLOOKUP($C164,武器!$1:$998,COLUMN(B$1),FALSE),"")</f>
        <v>ブラックスティール・レイピア</v>
      </c>
      <c r="C164" s="24" t="s">
        <v>236</v>
      </c>
      <c r="D164" s="24" t="s">
        <v>244</v>
      </c>
      <c r="E164" t="str">
        <f>IFERROR(VLOOKUP(C164,武器!$1:$998,COLUMN(C$1),FALSE),"")</f>
        <v>武器</v>
      </c>
      <c r="F164">
        <f>IFERROR(ROUNDDOWN((VLOOKUP($C164,武器!$1:$998,COLUMN(D$1),FALSE)+IFERROR(VLOOKUP($CI164,装強!$1:$999,COLUMN(F$1),FALSE),0))*VLOOKUP($D164,素材!$1:$1016,COLUMN(D$1),FALSE),0),"")</f>
        <v>100</v>
      </c>
      <c r="G164">
        <f>IFERROR(ROUNDDOWN((VLOOKUP($C164,武器!$1:$998,COLUMN(E$1),FALSE)+IFERROR(VLOOKUP($CI164,装強!$1:$999,COLUMN(G$1),FALSE),0))*VLOOKUP($D164,素材!$1:$1016,COLUMN($E$1),FALSE),0),"")</f>
        <v>9</v>
      </c>
      <c r="H164">
        <f>IFERROR(ROUNDDOWN((VLOOKUP($C164,武器!$1:$998,COLUMN(F$1),FALSE)+IFERROR(VLOOKUP($CI164,装強!$1:$999,COLUMN(H$1),FALSE),0))*VLOOKUP($D164,素材!$1:$1016,COLUMN($E$1),FALSE),0),"")</f>
        <v>13</v>
      </c>
      <c r="I164">
        <f>IFERROR(ROUNDDOWN((VLOOKUP($C164,武器!$1:$998,COLUMN(G$1),FALSE)+IFERROR(VLOOKUP($CI164,装強!$1:$999,COLUMN(I$1),FALSE),0))*VLOOKUP($D164,素材!$1:$1016,COLUMN($E$1),FALSE),0),"")</f>
        <v>0</v>
      </c>
      <c r="J164">
        <f>IFERROR(ROUNDDOWN((VLOOKUP($C164,武器!$1:$998,COLUMN(H$1),FALSE)+IFERROR(VLOOKUP($CI164,装強!$1:$999,COLUMN(J$1),FALSE),0))*VLOOKUP($D164,素材!$1:$1016,COLUMN($E$1),FALSE),0),"")</f>
        <v>16</v>
      </c>
      <c r="K164">
        <f>IFERROR(ROUNDDOWN((VLOOKUP($C164,武器!$1:$998,COLUMN(I$1),FALSE)+IFERROR(VLOOKUP($CI164,装強!$1:$999,COLUMN(K$1),FALSE),0))*VLOOKUP($D164,素材!$1:$1016,COLUMN($E$1),FALSE),0),"")</f>
        <v>0</v>
      </c>
      <c r="L164" t="str">
        <f>IFERROR(VLOOKUP($D164,素材!$1:$1016,COLUMN($F$1),FALSE),"")</f>
        <v>雷</v>
      </c>
      <c r="M164">
        <f>IFERROR(VLOOKUP($C164,武器!$1:$998,COLUMN(AA$1),FALSE)*VLOOKUP($D164,素材!$1:$1016,COLUMN($G$1),FALSE),"")</f>
        <v>42</v>
      </c>
      <c r="N164">
        <f>IFERROR(VLOOKUP($C164,武器!$1:$998,COLUMN(I$1),FALSE),"")</f>
        <v>0</v>
      </c>
      <c r="O164" s="23">
        <f>IFERROR((VLOOKUP($C164,武器!$1:$998,COLUMN(K$1),FALSE)+VLOOKUP($D164,素材!$1:$1016,COLUMN(H$1),FALSE))*100+IFERROR(VLOOKUP($CI164,装強!$1:$999,COLUMN(O$1),FALSE),0),"")</f>
        <v>15</v>
      </c>
      <c r="P164" s="23">
        <f>IFERROR((VLOOKUP($C164,武器!$1:$998,COLUMN(L$1),FALSE)+VLOOKUP($D164,素材!$1:$1016,COLUMN(I$1),FALSE))*100+IFERROR(VLOOKUP($CI164,装強!$1:$999,COLUMN(P$1),FALSE),0),"")</f>
        <v>125</v>
      </c>
      <c r="Q164">
        <f>IFERROR(ROUNDUP(VLOOKUP($C164,武器!$1:$998,COLUMN(M$1),FALSE)*(VLOOKUP($D164,素材!$1:$1002,COLUMN(D$1),FALSE)/100),1),"")</f>
        <v>0</v>
      </c>
      <c r="R164">
        <f>IFERROR(ROUNDUP(VLOOKUP($C164,武器!$1:$998,COLUMN(N$1),FALSE)*(VLOOKUP($D164,素材!$1:$1002,COLUMN(D$1),FALSE)/100),1),"")</f>
        <v>0</v>
      </c>
      <c r="S164">
        <f>IFERROR(VLOOKUP($C164,武器!$1:$998,COLUMN(P$1),FALSE),"")</f>
        <v>0</v>
      </c>
      <c r="T164">
        <f>IFERROR(VLOOKUP($C164,武器!$1:$998,COLUMN(Q$1),FALSE),"")</f>
        <v>0</v>
      </c>
      <c r="U164">
        <f>IFERROR(VLOOKUP($C164,武器!$1:$998,COLUMN(R$1),FALSE),"")</f>
        <v>0</v>
      </c>
      <c r="V164">
        <f>IFERROR(VLOOKUP($C164,武器!$1:$998,COLUMN(Q$1),FALSE),"")</f>
        <v>0</v>
      </c>
      <c r="W164" t="str">
        <f>IFERROR(VLOOKUP($C164,武器!$1:$998,COLUMN(T$1),FALSE),"")</f>
        <v>A</v>
      </c>
      <c r="Y164" t="str">
        <f>IFERROR(VLOOKUP($C164,武器!$1:$998,COLUMN(U$1),FALSE),"")</f>
        <v>片手適正Ⅰ</v>
      </c>
      <c r="Z164">
        <f>IFERROR(ROUNDUP(VLOOKUP($C164,武器!$1:$998,COLUMN(O$1),FALSE)*VLOOKUP($D164,素材!$1:$1016,COLUMN(E$1),FALSE),1),"")</f>
        <v>0</v>
      </c>
      <c r="AA164">
        <f>IF(ISNUMBER(SEARCH(SUBSTITUTE(AA$1,RIGHT(AA$1,2),""),VLOOKUP($D164,素材!$1:$1016,COLUMN($F$1),FALSE))),VLOOKUP($C164,武器!$1:$998,COLUMN($O$1),FALSE)*VLOOKUP($D164,素材!$1:$1016,COLUMN($E$1),FALSE)/(LEN(VLOOKUP($D164,素材!$1:$1016,COLUMN($F$1),FALSE)) - LEN(SUBSTITUTE(VLOOKUP($D164,素材!$1:$1016,COLUMN($F$1),FALSE), "・", 0)) + 1), 0)</f>
        <v>0</v>
      </c>
      <c r="AB164">
        <f>IF(ISNUMBER(SEARCH(SUBSTITUTE(AB$1,RIGHT(AB$1,2),""),VLOOKUP($D164,素材!$1:$1016,COLUMN($F$1),FALSE))),VLOOKUP($C164,武器!$1:$998,COLUMN($O$1),FALSE)*VLOOKUP($D164,素材!$1:$1016,COLUMN($E$1),FALSE)/(LEN(VLOOKUP($D164,素材!$1:$1016,COLUMN($F$1),FALSE)) - LEN(SUBSTITUTE(VLOOKUP($D164,素材!$1:$1016,COLUMN($F$1),FALSE), "・", 0)) + 1), 0)</f>
        <v>0</v>
      </c>
      <c r="AC164">
        <f>IF(ISNUMBER(SEARCH(SUBSTITUTE(AC$1,RIGHT(AC$1,2),""),VLOOKUP($D164,素材!$1:$1016,COLUMN($F$1),FALSE))),VLOOKUP($C164,武器!$1:$998,COLUMN($O$1),FALSE)*VLOOKUP($D164,素材!$1:$1016,COLUMN($E$1),FALSE)/(LEN(VLOOKUP($D164,素材!$1:$1016,COLUMN($F$1),FALSE)) - LEN(SUBSTITUTE(VLOOKUP($D164,素材!$1:$1016,COLUMN($F$1),FALSE), "・", 0)) + 1), 0)</f>
        <v>0</v>
      </c>
      <c r="AD164">
        <f>IF(ISNUMBER(SEARCH(SUBSTITUTE(AD$1,RIGHT(AD$1,2),""),VLOOKUP($D164,素材!$1:$1016,COLUMN($F$1),FALSE))),VLOOKUP($C164,武器!$1:$998,COLUMN($O$1),FALSE)*VLOOKUP($D164,素材!$1:$1016,COLUMN($E$1),FALSE)/(LEN(VLOOKUP($D164,素材!$1:$1016,COLUMN($F$1),FALSE)) - LEN(SUBSTITUTE(VLOOKUP($D164,素材!$1:$1016,COLUMN($F$1),FALSE), "・", 0)) + 1), 0)</f>
        <v>0</v>
      </c>
      <c r="AE164">
        <f>IF(ISNUMBER(SEARCH(SUBSTITUTE(AE$1,RIGHT(AE$1,2),""),VLOOKUP($D164,素材!$1:$1016,COLUMN($F$1),FALSE))),VLOOKUP($C164,武器!$1:$998,COLUMN($O$1),FALSE)*VLOOKUP($D164,素材!$1:$1016,COLUMN($E$1),FALSE)/(LEN(VLOOKUP($D164,素材!$1:$1016,COLUMN($F$1),FALSE)) - LEN(SUBSTITUTE(VLOOKUP($D164,素材!$1:$1016,COLUMN($F$1),FALSE), "・", 0)) + 1), 0)</f>
        <v>0</v>
      </c>
      <c r="AF164">
        <f>IF(ISNUMBER(SEARCH(SUBSTITUTE(AF$1,RIGHT(AF$1,2),""),VLOOKUP($D164,素材!$1:$1016,COLUMN($F$1),FALSE))),VLOOKUP($C164,武器!$1:$998,COLUMN($O$1),FALSE)*VLOOKUP($D164,素材!$1:$1016,COLUMN($E$1),FALSE)/(LEN(VLOOKUP($D164,素材!$1:$1016,COLUMN($F$1),FALSE)) - LEN(SUBSTITUTE(VLOOKUP($D164,素材!$1:$1016,COLUMN($F$1),FALSE), "・", 0)) + 1), 0)</f>
        <v>0</v>
      </c>
      <c r="AG164">
        <f>IF(ISNUMBER(SEARCH(SUBSTITUTE(AG$1,RIGHT(AG$1,2),""),VLOOKUP($D164,素材!$1:$1016,COLUMN($F$1),FALSE))),VLOOKUP($C164,武器!$1:$998,COLUMN($O$1),FALSE)*VLOOKUP($D164,素材!$1:$1016,COLUMN($E$1),FALSE)/(LEN(VLOOKUP($D164,素材!$1:$1016,COLUMN($F$1),FALSE)) - LEN(SUBSTITUTE(VLOOKUP($D164,素材!$1:$1016,COLUMN($F$1),FALSE), "・", 0)) + 1), 0)</f>
        <v>0</v>
      </c>
      <c r="AH164">
        <f>IF(ISNUMBER(SEARCH(SUBSTITUTE(AH$1,RIGHT(AH$1,2),""),VLOOKUP($D164,素材!$1:$1016,COLUMN($F$1),FALSE))),VLOOKUP($C164,武器!$1:$998,COLUMN($O$1),FALSE)*VLOOKUP($D164,素材!$1:$1016,COLUMN($E$1),FALSE)/(LEN(VLOOKUP($D164,素材!$1:$1016,COLUMN($F$1),FALSE)) - LEN(SUBSTITUTE(VLOOKUP($D164,素材!$1:$1016,COLUMN($F$1),FALSE), "・", 0)) + 1), 0)</f>
        <v>0</v>
      </c>
      <c r="AI164">
        <f>IF(ISNUMBER(SEARCH(SUBSTITUTE(AI$1,RIGHT(AI$1,2),""),VLOOKUP($D164,素材!$1:$1016,COLUMN($F$1),FALSE))),VLOOKUP($C164,武器!$1:$998,COLUMN($O$1),FALSE)*VLOOKUP($D164,素材!$1:$1016,COLUMN($E$1),FALSE)/(LEN(VLOOKUP($D164,素材!$1:$1016,COLUMN($F$1),FALSE)) - LEN(SUBSTITUTE(VLOOKUP($D164,素材!$1:$1016,COLUMN($F$1),FALSE), "・", 0)) + 1), 0)</f>
        <v>0</v>
      </c>
      <c r="AJ164">
        <f>IF(ISNUMBER(SEARCH(SUBSTITUTE(AJ$1,RIGHT(AJ$1,2),""),VLOOKUP($D164,素材!$1:$1016,COLUMN($F$1),FALSE))),VLOOKUP($C164,武器!$1:$998,COLUMN($O$1),FALSE)*VLOOKUP($D164,素材!$1:$1016,COLUMN($E$1),FALSE)/(LEN(VLOOKUP($D164,素材!$1:$1016,COLUMN($F$1),FALSE)) - LEN(SUBSTITUTE(VLOOKUP($D164,素材!$1:$1016,COLUMN($F$1),FALSE), "・", 0)) + 1), 0)</f>
        <v>0</v>
      </c>
      <c r="AK164">
        <f>IF(ISNUMBER(SEARCH(SUBSTITUTE(AK$1,RIGHT(AK$1,2),""),VLOOKUP($D164,素材!$1:$1016,COLUMN($F$1),FALSE))),VLOOKUP($C164,武器!$1:$998,COLUMN($O$1),FALSE)*VLOOKUP($D164,素材!$1:$1016,COLUMN($E$1),FALSE)/(LEN(VLOOKUP($D164,素材!$1:$1016,COLUMN($F$1),FALSE)) - LEN(SUBSTITUTE(VLOOKUP($D164,素材!$1:$1016,COLUMN($F$1),FALSE), "・", 0)) + 1), 0)</f>
        <v>0</v>
      </c>
      <c r="AL164">
        <f>IF(ISNUMBER(SEARCH(SUBSTITUTE(AL$1,RIGHT(AL$1,2),""),VLOOKUP($D164,素材!$1:$1016,COLUMN($F$1),FALSE))),VLOOKUP($C164,武器!$1:$998,COLUMN($O$1),FALSE)*VLOOKUP($D164,素材!$1:$1016,COLUMN($E$1),FALSE)/(LEN(VLOOKUP($D164,素材!$1:$1016,COLUMN($F$1),FALSE)) - LEN(SUBSTITUTE(VLOOKUP($D164,素材!$1:$1016,COLUMN($F$1),FALSE), "・", 0)) + 1), 0)</f>
        <v>0</v>
      </c>
      <c r="AM164">
        <f>IF(ISNUMBER(SEARCH(SUBSTITUTE(AM$1,RIGHT(AM$1,2),""),VLOOKUP($D164,素材!$1:$1016,COLUMN($F$1),FALSE))),VLOOKUP($C164,武器!$1:$998,COLUMN($O$1),FALSE)*VLOOKUP($D164,素材!$1:$1016,COLUMN($E$1),FALSE)/(LEN(VLOOKUP($D164,素材!$1:$1016,COLUMN($F$1),FALSE)) - LEN(SUBSTITUTE(VLOOKUP($D164,素材!$1:$1016,COLUMN($F$1),FALSE), "・", 0)) + 1), 0)</f>
        <v>0</v>
      </c>
      <c r="AN164">
        <f>IF(ISNUMBER(SEARCH(SUBSTITUTE(AN$1,RIGHT(AN$1,2),""),VLOOKUP($D164,素材!$1:$1016,COLUMN($F$1),FALSE))),VLOOKUP($C164,武器!$1:$998,COLUMN($O$1),FALSE)*VLOOKUP($D164,素材!$1:$1016,COLUMN($E$1),FALSE)/(LEN(VLOOKUP($D164,素材!$1:$1016,COLUMN($F$1),FALSE)) - LEN(SUBSTITUTE(VLOOKUP($D164,素材!$1:$1016,COLUMN($F$1),FALSE), "・", 0)) + 1), 0)</f>
        <v>0</v>
      </c>
      <c r="AO164">
        <f>IF(ISNUMBER(SEARCH(SUBSTITUTE(AO$1,RIGHT(AO$1,2),""),VLOOKUP($D164,素材!$1:$1016,COLUMN($F$1),FALSE))),VLOOKUP($C164,武器!$1:$998,COLUMN($O$1),FALSE)*VLOOKUP($D164,素材!$1:$1016,COLUMN($E$1),FALSE)/(LEN(VLOOKUP($D164,素材!$1:$1016,COLUMN($F$1),FALSE)) - LEN(SUBSTITUTE(VLOOKUP($D164,素材!$1:$1016,COLUMN($F$1),FALSE), "・", 0)) + 1), 0)</f>
        <v>0</v>
      </c>
      <c r="AP164">
        <f>IF(ISNUMBER(SEARCH(SUBSTITUTE(AP$1,RIGHT(AP$1,2),""),VLOOKUP($D164,素材!$1:$1016,COLUMN($F$1),FALSE))),VLOOKUP($C164,武器!$1:$998,COLUMN($O$1),FALSE)*VLOOKUP($D164,素材!$1:$1016,COLUMN($E$1),FALSE)/(LEN(VLOOKUP($D164,素材!$1:$1016,COLUMN($F$1),FALSE)) - LEN(SUBSTITUTE(VLOOKUP($D164,素材!$1:$1016,COLUMN($F$1),FALSE), "・", 0)) + 1), 0)</f>
        <v>0</v>
      </c>
      <c r="AQ164">
        <f>IF(ISNUMBER(SEARCH(SUBSTITUTE(AQ$1,RIGHT(AQ$1,2),""),VLOOKUP($D164,素材!$1:$1016,COLUMN($F$1),FALSE))),VLOOKUP($C164,武器!$1:$998,COLUMN($O$1),FALSE)*VLOOKUP($D164,素材!$1:$1016,COLUMN($E$1),FALSE)/(LEN(VLOOKUP($D164,素材!$1:$1016,COLUMN($F$1),FALSE)) - LEN(SUBSTITUTE(VLOOKUP($D164,素材!$1:$1016,COLUMN($F$1),FALSE), "・", 0)) + 1), 0)</f>
        <v>0</v>
      </c>
      <c r="AR164">
        <f>IF(ISNUMBER(SEARCH(SUBSTITUTE(AR$1,RIGHT(AR$1,2),""),VLOOKUP($D164,素材!$1:$1016,COLUMN($F$1),FALSE))),VLOOKUP($C164,武器!$1:$998,COLUMN($O$1),FALSE)*VLOOKUP($D164,素材!$1:$1016,COLUMN($E$1),FALSE)/(LEN(VLOOKUP($D164,素材!$1:$1016,COLUMN($F$1),FALSE)) - LEN(SUBSTITUTE(VLOOKUP($D164,素材!$1:$1016,COLUMN($F$1),FALSE), "・", 0)) + 1), 0)</f>
        <v>0</v>
      </c>
      <c r="AS164">
        <f>IF(ISNUMBER(SEARCH(SUBSTITUTE(AS$1,RIGHT(AS$1,2),""),VLOOKUP($D164,素材!$1:$1016,COLUMN($F$1),FALSE))),VLOOKUP($C164,武器!$1:$998,COLUMN($O$1),FALSE)*VLOOKUP($D164,素材!$1:$1016,COLUMN($E$1),FALSE)/(LEN(VLOOKUP($D164,素材!$1:$1016,COLUMN($F$1),FALSE)) - LEN(SUBSTITUTE(VLOOKUP($D164,素材!$1:$1016,COLUMN($F$1),FALSE), "・", 0)) + 1), 0)</f>
        <v>0</v>
      </c>
      <c r="AT164">
        <f>IF(ISNUMBER(SEARCH(SUBSTITUTE(AT$1,RIGHT(AT$1,2),""),VLOOKUP($D164,素材!$1:$1016,COLUMN($F$1),FALSE))),VLOOKUP($C164,武器!$1:$998,COLUMN($O$1),FALSE)*VLOOKUP($D164,素材!$1:$1016,COLUMN($E$1),FALSE)/(LEN(VLOOKUP($D164,素材!$1:$1016,COLUMN($F$1),FALSE)) - LEN(SUBSTITUTE(VLOOKUP($D164,素材!$1:$1016,COLUMN($F$1),FALSE), "・", 0)) + 1), 0)</f>
        <v>0</v>
      </c>
      <c r="AU164">
        <f>IF(ISNUMBER(SEARCH(SUBSTITUTE(AU$1,RIGHT(AU$1,2),""),VLOOKUP($D164,素材!$1:$1016,COLUMN($F$1),FALSE))),VLOOKUP($C164,武器!$1:$998,COLUMN($O$1),FALSE)*VLOOKUP($D164,素材!$1:$1016,COLUMN($E$1),FALSE)/(LEN(VLOOKUP($D164,素材!$1:$1016,COLUMN($F$1),FALSE)) - LEN(SUBSTITUTE(VLOOKUP($D164,素材!$1:$1016,COLUMN($F$1),FALSE), "・", 0)) + 1), 0)</f>
        <v>0</v>
      </c>
      <c r="AV164">
        <f>IF(ISNUMBER(SEARCH(SUBSTITUTE(AV$1,RIGHT(AV$1,2),""),VLOOKUP($D164,素材!$1:$1016,COLUMN($F$1),FALSE))),VLOOKUP($C164,武器!$1:$998,COLUMN($O$1),FALSE)*VLOOKUP($D164,素材!$1:$1016,COLUMN($E$1),FALSE)/(LEN(VLOOKUP($D164,素材!$1:$1016,COLUMN($F$1),FALSE)) - LEN(SUBSTITUTE(VLOOKUP($D164,素材!$1:$1016,COLUMN($F$1),FALSE), "・", 0)) + 1), 0)</f>
        <v>0</v>
      </c>
      <c r="AW164">
        <f>IF(ISNUMBER(SEARCH(SUBSTITUTE(AW$1,RIGHT(AW$1,2),""),VLOOKUP($D164,素材!$1:$1016,COLUMN($F$1),FALSE))),VLOOKUP($C164,武器!$1:$998,COLUMN($O$1),FALSE)*VLOOKUP($D164,素材!$1:$1016,COLUMN($E$1),FALSE)/(LEN(VLOOKUP($D164,素材!$1:$1016,COLUMN($F$1),FALSE)) - LEN(SUBSTITUTE(VLOOKUP($D164,素材!$1:$1016,COLUMN($F$1),FALSE), "・", 0)) + 1), 0)</f>
        <v>0</v>
      </c>
      <c r="AX164">
        <f>IF(ISNUMBER(SEARCH(SUBSTITUTE(AX$1,RIGHT(AX$1,2),""),VLOOKUP($D164,素材!$1:$1016,COLUMN($F$1),FALSE))),VLOOKUP($C164,武器!$1:$998,COLUMN($O$1),FALSE)*VLOOKUP($D164,素材!$1:$1016,COLUMN($E$1),FALSE)/(LEN(VLOOKUP($D164,素材!$1:$1016,COLUMN($F$1),FALSE)) - LEN(SUBSTITUTE(VLOOKUP($D164,素材!$1:$1016,COLUMN($F$1),FALSE), "・", 0)) + 1), 0)</f>
        <v>0</v>
      </c>
      <c r="AY164">
        <f>IF(ISNUMBER(SEARCH(SUBSTITUTE(AY$1,RIGHT(AY$1,2),""),VLOOKUP($D164,素材!$1:$1016,COLUMN($F$1),FALSE))),VLOOKUP($C164,武器!$1:$998,COLUMN($O$1),FALSE)*VLOOKUP($D164,素材!$1:$1016,COLUMN($E$1),FALSE)/(LEN(VLOOKUP($D164,素材!$1:$1016,COLUMN($F$1),FALSE)) - LEN(SUBSTITUTE(VLOOKUP($D164,素材!$1:$1016,COLUMN($F$1),FALSE), "・", 0)) + 1), 0)</f>
        <v>0</v>
      </c>
      <c r="AZ164">
        <f>IF(ISNUMBER(SEARCH(SUBSTITUTE(AZ$1,RIGHT(AZ$1,2),""),VLOOKUP($D164,素材!$1:$1016,COLUMN($F$1),FALSE))),VLOOKUP($C164,武器!$1:$998,COLUMN($O$1),FALSE)*VLOOKUP($D164,素材!$1:$1016,COLUMN($E$1),FALSE)/(LEN(VLOOKUP($D164,素材!$1:$1016,COLUMN($F$1),FALSE)) - LEN(SUBSTITUTE(VLOOKUP($D164,素材!$1:$1016,COLUMN($F$1),FALSE), "・", 0)) + 1), 0)</f>
        <v>0</v>
      </c>
      <c r="BA164">
        <f>IF(ISNUMBER(SEARCH(SUBSTITUTE(BA$1,RIGHT(BA$1,2),""),VLOOKUP($D164,素材!$1:$1016,COLUMN($F$1),FALSE))),VLOOKUP($C164,武器!$1:$998,COLUMN($O$1),FALSE)*VLOOKUP($D164,素材!$1:$1016,COLUMN($E$1),FALSE)/(LEN(VLOOKUP($D164,素材!$1:$1016,COLUMN($F$1),FALSE)) - LEN(SUBSTITUTE(VLOOKUP($D164,素材!$1:$1016,COLUMN($F$1),FALSE), "・", 0)) + 1), 0)</f>
        <v>0</v>
      </c>
      <c r="BB164">
        <f>IF(ISNUMBER(SEARCH(SUBSTITUTE(BB$1,RIGHT(BB$1,2),""),VLOOKUP($D164,素材!$1:$1016,COLUMN($F$1),FALSE))),VLOOKUP($C164,武器!$1:$998,COLUMN($O$1),FALSE)*VLOOKUP($D164,素材!$1:$1016,COLUMN($E$1),FALSE)/(LEN(VLOOKUP($D164,素材!$1:$1016,COLUMN($F$1),FALSE)) - LEN(SUBSTITUTE(VLOOKUP($D164,素材!$1:$1016,COLUMN($F$1),FALSE), "・", 0)) + 1), 0)</f>
        <v>0</v>
      </c>
      <c r="BC164">
        <f>IF(ISNUMBER(SEARCH(SUBSTITUTE(BC$1,RIGHT(BC$1,2),""),VLOOKUP($D164,素材!$1:$1016,COLUMN($F$1),FALSE))),VLOOKUP($C164,武器!$1:$998,COLUMN($O$1),FALSE)*VLOOKUP($D164,素材!$1:$1016,COLUMN($E$1),FALSE)/(LEN(VLOOKUP($D164,素材!$1:$1016,COLUMN($F$1),FALSE)) - LEN(SUBSTITUTE(VLOOKUP($D164,素材!$1:$1016,COLUMN($F$1),FALSE), "・", 0)) + 1), 0)</f>
        <v>0</v>
      </c>
      <c r="BD164">
        <f>IF(ISNUMBER(SEARCH(SUBSTITUTE(BD$1,RIGHT(BD$1,2),""),VLOOKUP($D164,素材!$1:$1016,COLUMN($F$1),FALSE))),VLOOKUP($C164,武器!$1:$998,COLUMN($O$1),FALSE)*VLOOKUP($D164,素材!$1:$1016,COLUMN($E$1),FALSE)/(LEN(VLOOKUP($D164,素材!$1:$1016,COLUMN($F$1),FALSE)) - LEN(SUBSTITUTE(VLOOKUP($D164,素材!$1:$1016,COLUMN($F$1),FALSE), "・", 0)) + 1), 0)</f>
        <v>0</v>
      </c>
      <c r="BE164">
        <f>IF(ISNUMBER(SEARCH(SUBSTITUTE(BE$1,RIGHT(BE$1,2),""),VLOOKUP($D164,素材!$1:$1016,COLUMN($F$1),FALSE))),VLOOKUP($C164,武器!$1:$998,COLUMN($O$1),FALSE)*VLOOKUP($D164,素材!$1:$1016,COLUMN($E$1),FALSE)/(LEN(VLOOKUP($D164,素材!$1:$1016,COLUMN($F$1),FALSE)) - LEN(SUBSTITUTE(VLOOKUP($D164,素材!$1:$1016,COLUMN($F$1),FALSE), "・", 0)) + 1), 0)</f>
        <v>0</v>
      </c>
      <c r="CL164">
        <f>SUM(G164:I164)</f>
        <v>22</v>
      </c>
      <c r="CM164" s="22" t="str">
        <f>IF(E164="武器",IF(J164-1&gt;SUM(G164:I164),"盾",IF(MAX(G164:I164)=G164,"切断",IF(MAX(G164:I164)=H164,"貫通",IF(MAX(G164:I164)=I164,"打撃","射撃")))),E164)&amp;".webp"</f>
        <v>貫通.webp</v>
      </c>
      <c r="CN164">
        <f>IFERROR(VLOOKUP($C164,武器!$1:$998,COLUMN(V$1),FALSE)*VLOOKUP($D164,素材!$1:$1016,COLUMN(N$1),FALSE)+IF(CI164="",0,VLOOKUP($CI164,装強!$1:$1008,COLUMN($CK$1),FALSE)),"")</f>
        <v>3000</v>
      </c>
      <c r="CO164">
        <f>VLOOKUP(D164,素材!$A:$O,COLUMN(素材!O$1),FALSE)</f>
        <v>0</v>
      </c>
      <c r="CP164" t="str">
        <f>VLOOKUP(C164,武器!$A:$W,COLUMN(武器!W$1),FALSE)</f>
        <v>細剣。刺突に優れた武器でCr率が高い</v>
      </c>
      <c r="CR164" t="str">
        <f t="shared" si="18"/>
        <v>e_164</v>
      </c>
      <c r="CS164">
        <f t="shared" si="22"/>
        <v>300000</v>
      </c>
    </row>
    <row r="165" spans="1:97" outlineLevel="1" x14ac:dyDescent="0.4">
      <c r="A165" t="str">
        <f t="shared" si="27"/>
        <v>黒鋼鉄の刺剣</v>
      </c>
      <c r="B165" t="str">
        <f>IFERROR(VLOOKUP($D165,素材!$1:$1016,COLUMN($B$1),FALSE)&amp;"・"&amp;VLOOKUP($C165,武器!$1:$998,COLUMN(B$1),FALSE),"")</f>
        <v>ブラックスティール・スティレット</v>
      </c>
      <c r="C165" s="24" t="s">
        <v>235</v>
      </c>
      <c r="D165" s="24" t="s">
        <v>244</v>
      </c>
      <c r="E165" t="str">
        <f>IFERROR(VLOOKUP(C165,武器!$1:$998,COLUMN(C$1),FALSE),"")</f>
        <v>武器</v>
      </c>
      <c r="F165">
        <f>IFERROR(ROUNDDOWN((VLOOKUP($C165,武器!$1:$998,COLUMN(D$1),FALSE)+IFERROR(VLOOKUP($CI165,装強!$1:$999,COLUMN(F$1),FALSE),0))*VLOOKUP($D165,素材!$1:$1016,COLUMN(D$1),FALSE),0),"")</f>
        <v>110</v>
      </c>
      <c r="G165">
        <f>IFERROR(ROUNDDOWN((VLOOKUP($C165,武器!$1:$998,COLUMN(E$1),FALSE)+IFERROR(VLOOKUP($CI165,装強!$1:$999,COLUMN(G$1),FALSE),0))*VLOOKUP($D165,素材!$1:$1016,COLUMN($E$1),FALSE),0),"")</f>
        <v>4</v>
      </c>
      <c r="H165">
        <f>IFERROR(ROUNDDOWN((VLOOKUP($C165,武器!$1:$998,COLUMN(F$1),FALSE)+IFERROR(VLOOKUP($CI165,装強!$1:$999,COLUMN(H$1),FALSE),0))*VLOOKUP($D165,素材!$1:$1016,COLUMN($E$1),FALSE),0),"")</f>
        <v>18</v>
      </c>
      <c r="I165">
        <f>IFERROR(ROUNDDOWN((VLOOKUP($C165,武器!$1:$998,COLUMN(G$1),FALSE)+IFERROR(VLOOKUP($CI165,装強!$1:$999,COLUMN(I$1),FALSE),0))*VLOOKUP($D165,素材!$1:$1016,COLUMN($E$1),FALSE),0),"")</f>
        <v>0</v>
      </c>
      <c r="J165">
        <f>IFERROR(ROUNDDOWN((VLOOKUP($C165,武器!$1:$998,COLUMN(H$1),FALSE)+IFERROR(VLOOKUP($CI165,装強!$1:$999,COLUMN(J$1),FALSE),0))*VLOOKUP($D165,素材!$1:$1016,COLUMN($E$1),FALSE),0),"")</f>
        <v>17</v>
      </c>
      <c r="K165">
        <f>IFERROR(ROUNDDOWN((VLOOKUP($C165,武器!$1:$998,COLUMN(I$1),FALSE)+IFERROR(VLOOKUP($CI165,装強!$1:$999,COLUMN(K$1),FALSE),0))*VLOOKUP($D165,素材!$1:$1016,COLUMN($E$1),FALSE),0),"")</f>
        <v>0</v>
      </c>
      <c r="L165" t="str">
        <f>IFERROR(VLOOKUP($D165,素材!$1:$1016,COLUMN($F$1),FALSE),"")</f>
        <v>雷</v>
      </c>
      <c r="M165">
        <f>IFERROR(VLOOKUP($C165,武器!$1:$998,COLUMN(AA$1),FALSE)*VLOOKUP($D165,素材!$1:$1016,COLUMN($G$1),FALSE),"")</f>
        <v>38.5</v>
      </c>
      <c r="N165">
        <f>IFERROR(VLOOKUP($C165,武器!$1:$998,COLUMN(I$1),FALSE),"")</f>
        <v>0</v>
      </c>
      <c r="O165" s="23">
        <f>IFERROR((VLOOKUP($C165,武器!$1:$998,COLUMN(K$1),FALSE)+VLOOKUP($D165,素材!$1:$1016,COLUMN(H$1),FALSE))*100+IFERROR(VLOOKUP($CI165,装強!$1:$999,COLUMN(O$1),FALSE),0),"")</f>
        <v>10</v>
      </c>
      <c r="P165" s="23">
        <f>IFERROR((VLOOKUP($C165,武器!$1:$998,COLUMN(L$1),FALSE)+VLOOKUP($D165,素材!$1:$1016,COLUMN(I$1),FALSE))*100+IFERROR(VLOOKUP($CI165,装強!$1:$999,COLUMN(P$1),FALSE),0),"")</f>
        <v>150</v>
      </c>
      <c r="Q165">
        <f>IFERROR(ROUNDUP(VLOOKUP($C165,武器!$1:$998,COLUMN(M$1),FALSE)*(VLOOKUP($D165,素材!$1:$1002,COLUMN(D$1),FALSE)/100),1),"")</f>
        <v>0</v>
      </c>
      <c r="R165">
        <f>IFERROR(ROUNDUP(VLOOKUP($C165,武器!$1:$998,COLUMN(N$1),FALSE)*(VLOOKUP($D165,素材!$1:$1002,COLUMN(D$1),FALSE)/100),1),"")</f>
        <v>0</v>
      </c>
      <c r="S165">
        <f>IFERROR(VLOOKUP($C165,武器!$1:$998,COLUMN(P$1),FALSE),"")</f>
        <v>0</v>
      </c>
      <c r="T165">
        <f>IFERROR(VLOOKUP($C165,武器!$1:$998,COLUMN(Q$1),FALSE),"")</f>
        <v>0</v>
      </c>
      <c r="U165">
        <f>IFERROR(VLOOKUP($C165,武器!$1:$998,COLUMN(R$1),FALSE),"")</f>
        <v>0</v>
      </c>
      <c r="V165">
        <f>IFERROR(VLOOKUP($C165,武器!$1:$998,COLUMN(Q$1),FALSE),"")</f>
        <v>0</v>
      </c>
      <c r="W165" t="str">
        <f>IFERROR(VLOOKUP($C165,武器!$1:$998,COLUMN(T$1),FALSE),"")</f>
        <v>A</v>
      </c>
      <c r="Y165" t="str">
        <f>IFERROR(VLOOKUP($C165,武器!$1:$998,COLUMN(U$1),FALSE),"")</f>
        <v>片手適正Ⅰ</v>
      </c>
      <c r="Z165">
        <f>IFERROR(ROUNDUP(VLOOKUP($C165,武器!$1:$998,COLUMN(O$1),FALSE)*VLOOKUP($D165,素材!$1:$1016,COLUMN(E$1),FALSE),1),"")</f>
        <v>0</v>
      </c>
      <c r="AA165">
        <f>IF(ISNUMBER(SEARCH(SUBSTITUTE(AA$1,RIGHT(AA$1,2),""),VLOOKUP($D165,素材!$1:$1016,COLUMN($F$1),FALSE))),VLOOKUP($C165,武器!$1:$998,COLUMN($O$1),FALSE)*VLOOKUP($D165,素材!$1:$1016,COLUMN($E$1),FALSE)/(LEN(VLOOKUP($D165,素材!$1:$1016,COLUMN($F$1),FALSE)) - LEN(SUBSTITUTE(VLOOKUP($D165,素材!$1:$1016,COLUMN($F$1),FALSE), "・", 0)) + 1), 0)</f>
        <v>0</v>
      </c>
      <c r="AB165">
        <f>IF(ISNUMBER(SEARCH(SUBSTITUTE(AB$1,RIGHT(AB$1,2),""),VLOOKUP($D165,素材!$1:$1016,COLUMN($F$1),FALSE))),VLOOKUP($C165,武器!$1:$998,COLUMN($O$1),FALSE)*VLOOKUP($D165,素材!$1:$1016,COLUMN($E$1),FALSE)/(LEN(VLOOKUP($D165,素材!$1:$1016,COLUMN($F$1),FALSE)) - LEN(SUBSTITUTE(VLOOKUP($D165,素材!$1:$1016,COLUMN($F$1),FALSE), "・", 0)) + 1), 0)</f>
        <v>0</v>
      </c>
      <c r="AC165">
        <f>IF(ISNUMBER(SEARCH(SUBSTITUTE(AC$1,RIGHT(AC$1,2),""),VLOOKUP($D165,素材!$1:$1016,COLUMN($F$1),FALSE))),VLOOKUP($C165,武器!$1:$998,COLUMN($O$1),FALSE)*VLOOKUP($D165,素材!$1:$1016,COLUMN($E$1),FALSE)/(LEN(VLOOKUP($D165,素材!$1:$1016,COLUMN($F$1),FALSE)) - LEN(SUBSTITUTE(VLOOKUP($D165,素材!$1:$1016,COLUMN($F$1),FALSE), "・", 0)) + 1), 0)</f>
        <v>0</v>
      </c>
      <c r="AD165">
        <f>IF(ISNUMBER(SEARCH(SUBSTITUTE(AD$1,RIGHT(AD$1,2),""),VLOOKUP($D165,素材!$1:$1016,COLUMN($F$1),FALSE))),VLOOKUP($C165,武器!$1:$998,COLUMN($O$1),FALSE)*VLOOKUP($D165,素材!$1:$1016,COLUMN($E$1),FALSE)/(LEN(VLOOKUP($D165,素材!$1:$1016,COLUMN($F$1),FALSE)) - LEN(SUBSTITUTE(VLOOKUP($D165,素材!$1:$1016,COLUMN($F$1),FALSE), "・", 0)) + 1), 0)</f>
        <v>0</v>
      </c>
      <c r="AE165">
        <f>IF(ISNUMBER(SEARCH(SUBSTITUTE(AE$1,RIGHT(AE$1,2),""),VLOOKUP($D165,素材!$1:$1016,COLUMN($F$1),FALSE))),VLOOKUP($C165,武器!$1:$998,COLUMN($O$1),FALSE)*VLOOKUP($D165,素材!$1:$1016,COLUMN($E$1),FALSE)/(LEN(VLOOKUP($D165,素材!$1:$1016,COLUMN($F$1),FALSE)) - LEN(SUBSTITUTE(VLOOKUP($D165,素材!$1:$1016,COLUMN($F$1),FALSE), "・", 0)) + 1), 0)</f>
        <v>0</v>
      </c>
      <c r="AF165">
        <f>IF(ISNUMBER(SEARCH(SUBSTITUTE(AF$1,RIGHT(AF$1,2),""),VLOOKUP($D165,素材!$1:$1016,COLUMN($F$1),FALSE))),VLOOKUP($C165,武器!$1:$998,COLUMN($O$1),FALSE)*VLOOKUP($D165,素材!$1:$1016,COLUMN($E$1),FALSE)/(LEN(VLOOKUP($D165,素材!$1:$1016,COLUMN($F$1),FALSE)) - LEN(SUBSTITUTE(VLOOKUP($D165,素材!$1:$1016,COLUMN($F$1),FALSE), "・", 0)) + 1), 0)</f>
        <v>0</v>
      </c>
      <c r="AG165">
        <f>IF(ISNUMBER(SEARCH(SUBSTITUTE(AG$1,RIGHT(AG$1,2),""),VLOOKUP($D165,素材!$1:$1016,COLUMN($F$1),FALSE))),VLOOKUP($C165,武器!$1:$998,COLUMN($O$1),FALSE)*VLOOKUP($D165,素材!$1:$1016,COLUMN($E$1),FALSE)/(LEN(VLOOKUP($D165,素材!$1:$1016,COLUMN($F$1),FALSE)) - LEN(SUBSTITUTE(VLOOKUP($D165,素材!$1:$1016,COLUMN($F$1),FALSE), "・", 0)) + 1), 0)</f>
        <v>0</v>
      </c>
      <c r="AH165">
        <f>IF(ISNUMBER(SEARCH(SUBSTITUTE(AH$1,RIGHT(AH$1,2),""),VLOOKUP($D165,素材!$1:$1016,COLUMN($F$1),FALSE))),VLOOKUP($C165,武器!$1:$998,COLUMN($O$1),FALSE)*VLOOKUP($D165,素材!$1:$1016,COLUMN($E$1),FALSE)/(LEN(VLOOKUP($D165,素材!$1:$1016,COLUMN($F$1),FALSE)) - LEN(SUBSTITUTE(VLOOKUP($D165,素材!$1:$1016,COLUMN($F$1),FALSE), "・", 0)) + 1), 0)</f>
        <v>0</v>
      </c>
      <c r="AI165">
        <f>IF(ISNUMBER(SEARCH(SUBSTITUTE(AI$1,RIGHT(AI$1,2),""),VLOOKUP($D165,素材!$1:$1016,COLUMN($F$1),FALSE))),VLOOKUP($C165,武器!$1:$998,COLUMN($O$1),FALSE)*VLOOKUP($D165,素材!$1:$1016,COLUMN($E$1),FALSE)/(LEN(VLOOKUP($D165,素材!$1:$1016,COLUMN($F$1),FALSE)) - LEN(SUBSTITUTE(VLOOKUP($D165,素材!$1:$1016,COLUMN($F$1),FALSE), "・", 0)) + 1), 0)</f>
        <v>0</v>
      </c>
      <c r="AJ165">
        <f>IF(ISNUMBER(SEARCH(SUBSTITUTE(AJ$1,RIGHT(AJ$1,2),""),VLOOKUP($D165,素材!$1:$1016,COLUMN($F$1),FALSE))),VLOOKUP($C165,武器!$1:$998,COLUMN($O$1),FALSE)*VLOOKUP($D165,素材!$1:$1016,COLUMN($E$1),FALSE)/(LEN(VLOOKUP($D165,素材!$1:$1016,COLUMN($F$1),FALSE)) - LEN(SUBSTITUTE(VLOOKUP($D165,素材!$1:$1016,COLUMN($F$1),FALSE), "・", 0)) + 1), 0)</f>
        <v>0</v>
      </c>
      <c r="AK165">
        <f>IF(ISNUMBER(SEARCH(SUBSTITUTE(AK$1,RIGHT(AK$1,2),""),VLOOKUP($D165,素材!$1:$1016,COLUMN($F$1),FALSE))),VLOOKUP($C165,武器!$1:$998,COLUMN($O$1),FALSE)*VLOOKUP($D165,素材!$1:$1016,COLUMN($E$1),FALSE)/(LEN(VLOOKUP($D165,素材!$1:$1016,COLUMN($F$1),FALSE)) - LEN(SUBSTITUTE(VLOOKUP($D165,素材!$1:$1016,COLUMN($F$1),FALSE), "・", 0)) + 1), 0)</f>
        <v>0</v>
      </c>
      <c r="AL165">
        <f>IF(ISNUMBER(SEARCH(SUBSTITUTE(AL$1,RIGHT(AL$1,2),""),VLOOKUP($D165,素材!$1:$1016,COLUMN($F$1),FALSE))),VLOOKUP($C165,武器!$1:$998,COLUMN($O$1),FALSE)*VLOOKUP($D165,素材!$1:$1016,COLUMN($E$1),FALSE)/(LEN(VLOOKUP($D165,素材!$1:$1016,COLUMN($F$1),FALSE)) - LEN(SUBSTITUTE(VLOOKUP($D165,素材!$1:$1016,COLUMN($F$1),FALSE), "・", 0)) + 1), 0)</f>
        <v>0</v>
      </c>
      <c r="AM165">
        <f>IF(ISNUMBER(SEARCH(SUBSTITUTE(AM$1,RIGHT(AM$1,2),""),VLOOKUP($D165,素材!$1:$1016,COLUMN($F$1),FALSE))),VLOOKUP($C165,武器!$1:$998,COLUMN($O$1),FALSE)*VLOOKUP($D165,素材!$1:$1016,COLUMN($E$1),FALSE)/(LEN(VLOOKUP($D165,素材!$1:$1016,COLUMN($F$1),FALSE)) - LEN(SUBSTITUTE(VLOOKUP($D165,素材!$1:$1016,COLUMN($F$1),FALSE), "・", 0)) + 1), 0)</f>
        <v>0</v>
      </c>
      <c r="AN165">
        <f>IF(ISNUMBER(SEARCH(SUBSTITUTE(AN$1,RIGHT(AN$1,2),""),VLOOKUP($D165,素材!$1:$1016,COLUMN($F$1),FALSE))),VLOOKUP($C165,武器!$1:$998,COLUMN($O$1),FALSE)*VLOOKUP($D165,素材!$1:$1016,COLUMN($E$1),FALSE)/(LEN(VLOOKUP($D165,素材!$1:$1016,COLUMN($F$1),FALSE)) - LEN(SUBSTITUTE(VLOOKUP($D165,素材!$1:$1016,COLUMN($F$1),FALSE), "・", 0)) + 1), 0)</f>
        <v>0</v>
      </c>
      <c r="AO165">
        <f>IF(ISNUMBER(SEARCH(SUBSTITUTE(AO$1,RIGHT(AO$1,2),""),VLOOKUP($D165,素材!$1:$1016,COLUMN($F$1),FALSE))),VLOOKUP($C165,武器!$1:$998,COLUMN($O$1),FALSE)*VLOOKUP($D165,素材!$1:$1016,COLUMN($E$1),FALSE)/(LEN(VLOOKUP($D165,素材!$1:$1016,COLUMN($F$1),FALSE)) - LEN(SUBSTITUTE(VLOOKUP($D165,素材!$1:$1016,COLUMN($F$1),FALSE), "・", 0)) + 1), 0)</f>
        <v>0</v>
      </c>
      <c r="AP165">
        <f>IF(ISNUMBER(SEARCH(SUBSTITUTE(AP$1,RIGHT(AP$1,2),""),VLOOKUP($D165,素材!$1:$1016,COLUMN($F$1),FALSE))),VLOOKUP($C165,武器!$1:$998,COLUMN($O$1),FALSE)*VLOOKUP($D165,素材!$1:$1016,COLUMN($E$1),FALSE)/(LEN(VLOOKUP($D165,素材!$1:$1016,COLUMN($F$1),FALSE)) - LEN(SUBSTITUTE(VLOOKUP($D165,素材!$1:$1016,COLUMN($F$1),FALSE), "・", 0)) + 1), 0)</f>
        <v>0</v>
      </c>
      <c r="AQ165">
        <f>IF(ISNUMBER(SEARCH(SUBSTITUTE(AQ$1,RIGHT(AQ$1,2),""),VLOOKUP($D165,素材!$1:$1016,COLUMN($F$1),FALSE))),VLOOKUP($C165,武器!$1:$998,COLUMN($O$1),FALSE)*VLOOKUP($D165,素材!$1:$1016,COLUMN($E$1),FALSE)/(LEN(VLOOKUP($D165,素材!$1:$1016,COLUMN($F$1),FALSE)) - LEN(SUBSTITUTE(VLOOKUP($D165,素材!$1:$1016,COLUMN($F$1),FALSE), "・", 0)) + 1), 0)</f>
        <v>0</v>
      </c>
      <c r="AR165">
        <f>IF(ISNUMBER(SEARCH(SUBSTITUTE(AR$1,RIGHT(AR$1,2),""),VLOOKUP($D165,素材!$1:$1016,COLUMN($F$1),FALSE))),VLOOKUP($C165,武器!$1:$998,COLUMN($O$1),FALSE)*VLOOKUP($D165,素材!$1:$1016,COLUMN($E$1),FALSE)/(LEN(VLOOKUP($D165,素材!$1:$1016,COLUMN($F$1),FALSE)) - LEN(SUBSTITUTE(VLOOKUP($D165,素材!$1:$1016,COLUMN($F$1),FALSE), "・", 0)) + 1), 0)</f>
        <v>0</v>
      </c>
      <c r="AS165">
        <f>IF(ISNUMBER(SEARCH(SUBSTITUTE(AS$1,RIGHT(AS$1,2),""),VLOOKUP($D165,素材!$1:$1016,COLUMN($F$1),FALSE))),VLOOKUP($C165,武器!$1:$998,COLUMN($O$1),FALSE)*VLOOKUP($D165,素材!$1:$1016,COLUMN($E$1),FALSE)/(LEN(VLOOKUP($D165,素材!$1:$1016,COLUMN($F$1),FALSE)) - LEN(SUBSTITUTE(VLOOKUP($D165,素材!$1:$1016,COLUMN($F$1),FALSE), "・", 0)) + 1), 0)</f>
        <v>0</v>
      </c>
      <c r="AT165">
        <f>IF(ISNUMBER(SEARCH(SUBSTITUTE(AT$1,RIGHT(AT$1,2),""),VLOOKUP($D165,素材!$1:$1016,COLUMN($F$1),FALSE))),VLOOKUP($C165,武器!$1:$998,COLUMN($O$1),FALSE)*VLOOKUP($D165,素材!$1:$1016,COLUMN($E$1),FALSE)/(LEN(VLOOKUP($D165,素材!$1:$1016,COLUMN($F$1),FALSE)) - LEN(SUBSTITUTE(VLOOKUP($D165,素材!$1:$1016,COLUMN($F$1),FALSE), "・", 0)) + 1), 0)</f>
        <v>0</v>
      </c>
      <c r="AU165">
        <f>IF(ISNUMBER(SEARCH(SUBSTITUTE(AU$1,RIGHT(AU$1,2),""),VLOOKUP($D165,素材!$1:$1016,COLUMN($F$1),FALSE))),VLOOKUP($C165,武器!$1:$998,COLUMN($O$1),FALSE)*VLOOKUP($D165,素材!$1:$1016,COLUMN($E$1),FALSE)/(LEN(VLOOKUP($D165,素材!$1:$1016,COLUMN($F$1),FALSE)) - LEN(SUBSTITUTE(VLOOKUP($D165,素材!$1:$1016,COLUMN($F$1),FALSE), "・", 0)) + 1), 0)</f>
        <v>0</v>
      </c>
      <c r="AV165">
        <f>IF(ISNUMBER(SEARCH(SUBSTITUTE(AV$1,RIGHT(AV$1,2),""),VLOOKUP($D165,素材!$1:$1016,COLUMN($F$1),FALSE))),VLOOKUP($C165,武器!$1:$998,COLUMN($O$1),FALSE)*VLOOKUP($D165,素材!$1:$1016,COLUMN($E$1),FALSE)/(LEN(VLOOKUP($D165,素材!$1:$1016,COLUMN($F$1),FALSE)) - LEN(SUBSTITUTE(VLOOKUP($D165,素材!$1:$1016,COLUMN($F$1),FALSE), "・", 0)) + 1), 0)</f>
        <v>0</v>
      </c>
      <c r="AW165">
        <f>IF(ISNUMBER(SEARCH(SUBSTITUTE(AW$1,RIGHT(AW$1,2),""),VLOOKUP($D165,素材!$1:$1016,COLUMN($F$1),FALSE))),VLOOKUP($C165,武器!$1:$998,COLUMN($O$1),FALSE)*VLOOKUP($D165,素材!$1:$1016,COLUMN($E$1),FALSE)/(LEN(VLOOKUP($D165,素材!$1:$1016,COLUMN($F$1),FALSE)) - LEN(SUBSTITUTE(VLOOKUP($D165,素材!$1:$1016,COLUMN($F$1),FALSE), "・", 0)) + 1), 0)</f>
        <v>0</v>
      </c>
      <c r="AX165">
        <f>IF(ISNUMBER(SEARCH(SUBSTITUTE(AX$1,RIGHT(AX$1,2),""),VLOOKUP($D165,素材!$1:$1016,COLUMN($F$1),FALSE))),VLOOKUP($C165,武器!$1:$998,COLUMN($O$1),FALSE)*VLOOKUP($D165,素材!$1:$1016,COLUMN($E$1),FALSE)/(LEN(VLOOKUP($D165,素材!$1:$1016,COLUMN($F$1),FALSE)) - LEN(SUBSTITUTE(VLOOKUP($D165,素材!$1:$1016,COLUMN($F$1),FALSE), "・", 0)) + 1), 0)</f>
        <v>0</v>
      </c>
      <c r="AY165">
        <f>IF(ISNUMBER(SEARCH(SUBSTITUTE(AY$1,RIGHT(AY$1,2),""),VLOOKUP($D165,素材!$1:$1016,COLUMN($F$1),FALSE))),VLOOKUP($C165,武器!$1:$998,COLUMN($O$1),FALSE)*VLOOKUP($D165,素材!$1:$1016,COLUMN($E$1),FALSE)/(LEN(VLOOKUP($D165,素材!$1:$1016,COLUMN($F$1),FALSE)) - LEN(SUBSTITUTE(VLOOKUP($D165,素材!$1:$1016,COLUMN($F$1),FALSE), "・", 0)) + 1), 0)</f>
        <v>0</v>
      </c>
      <c r="AZ165">
        <f>IF(ISNUMBER(SEARCH(SUBSTITUTE(AZ$1,RIGHT(AZ$1,2),""),VLOOKUP($D165,素材!$1:$1016,COLUMN($F$1),FALSE))),VLOOKUP($C165,武器!$1:$998,COLUMN($O$1),FALSE)*VLOOKUP($D165,素材!$1:$1016,COLUMN($E$1),FALSE)/(LEN(VLOOKUP($D165,素材!$1:$1016,COLUMN($F$1),FALSE)) - LEN(SUBSTITUTE(VLOOKUP($D165,素材!$1:$1016,COLUMN($F$1),FALSE), "・", 0)) + 1), 0)</f>
        <v>0</v>
      </c>
      <c r="BA165">
        <f>IF(ISNUMBER(SEARCH(SUBSTITUTE(BA$1,RIGHT(BA$1,2),""),VLOOKUP($D165,素材!$1:$1016,COLUMN($F$1),FALSE))),VLOOKUP($C165,武器!$1:$998,COLUMN($O$1),FALSE)*VLOOKUP($D165,素材!$1:$1016,COLUMN($E$1),FALSE)/(LEN(VLOOKUP($D165,素材!$1:$1016,COLUMN($F$1),FALSE)) - LEN(SUBSTITUTE(VLOOKUP($D165,素材!$1:$1016,COLUMN($F$1),FALSE), "・", 0)) + 1), 0)</f>
        <v>0</v>
      </c>
      <c r="BB165">
        <f>IF(ISNUMBER(SEARCH(SUBSTITUTE(BB$1,RIGHT(BB$1,2),""),VLOOKUP($D165,素材!$1:$1016,COLUMN($F$1),FALSE))),VLOOKUP($C165,武器!$1:$998,COLUMN($O$1),FALSE)*VLOOKUP($D165,素材!$1:$1016,COLUMN($E$1),FALSE)/(LEN(VLOOKUP($D165,素材!$1:$1016,COLUMN($F$1),FALSE)) - LEN(SUBSTITUTE(VLOOKUP($D165,素材!$1:$1016,COLUMN($F$1),FALSE), "・", 0)) + 1), 0)</f>
        <v>0</v>
      </c>
      <c r="BC165">
        <f>IF(ISNUMBER(SEARCH(SUBSTITUTE(BC$1,RIGHT(BC$1,2),""),VLOOKUP($D165,素材!$1:$1016,COLUMN($F$1),FALSE))),VLOOKUP($C165,武器!$1:$998,COLUMN($O$1),FALSE)*VLOOKUP($D165,素材!$1:$1016,COLUMN($E$1),FALSE)/(LEN(VLOOKUP($D165,素材!$1:$1016,COLUMN($F$1),FALSE)) - LEN(SUBSTITUTE(VLOOKUP($D165,素材!$1:$1016,COLUMN($F$1),FALSE), "・", 0)) + 1), 0)</f>
        <v>0</v>
      </c>
      <c r="BD165">
        <f>IF(ISNUMBER(SEARCH(SUBSTITUTE(BD$1,RIGHT(BD$1,2),""),VLOOKUP($D165,素材!$1:$1016,COLUMN($F$1),FALSE))),VLOOKUP($C165,武器!$1:$998,COLUMN($O$1),FALSE)*VLOOKUP($D165,素材!$1:$1016,COLUMN($E$1),FALSE)/(LEN(VLOOKUP($D165,素材!$1:$1016,COLUMN($F$1),FALSE)) - LEN(SUBSTITUTE(VLOOKUP($D165,素材!$1:$1016,COLUMN($F$1),FALSE), "・", 0)) + 1), 0)</f>
        <v>0</v>
      </c>
      <c r="BE165">
        <f>IF(ISNUMBER(SEARCH(SUBSTITUTE(BE$1,RIGHT(BE$1,2),""),VLOOKUP($D165,素材!$1:$1016,COLUMN($F$1),FALSE))),VLOOKUP($C165,武器!$1:$998,COLUMN($O$1),FALSE)*VLOOKUP($D165,素材!$1:$1016,COLUMN($E$1),FALSE)/(LEN(VLOOKUP($D165,素材!$1:$1016,COLUMN($F$1),FALSE)) - LEN(SUBSTITUTE(VLOOKUP($D165,素材!$1:$1016,COLUMN($F$1),FALSE), "・", 0)) + 1), 0)</f>
        <v>0</v>
      </c>
      <c r="CL165">
        <f>SUM(G165:I165)</f>
        <v>22</v>
      </c>
      <c r="CM165" s="22" t="str">
        <f>IF(E165="武器",IF(J165-1&gt;SUM(G165:I165),"盾",IF(MAX(G165:I165)=G165,"切断",IF(MAX(G165:I165)=H165,"貫通",IF(MAX(G165:I165)=I165,"打撃","射撃")))),E165)&amp;".webp"</f>
        <v>貫通.webp</v>
      </c>
      <c r="CN165">
        <f>IFERROR(VLOOKUP($C165,武器!$1:$998,COLUMN(V$1),FALSE)*VLOOKUP($D165,素材!$1:$1016,COLUMN(N$1),FALSE)+IF(CI165="",0,VLOOKUP($CI165,装強!$1:$1008,COLUMN($CK$1),FALSE)),"")</f>
        <v>2250</v>
      </c>
      <c r="CO165">
        <f>VLOOKUP(D165,素材!$A:$O,COLUMN(素材!O$1),FALSE)</f>
        <v>0</v>
      </c>
      <c r="CP165" t="str">
        <f>VLOOKUP(C165,武器!$A:$W,COLUMN(武器!W$1),FALSE)</f>
        <v>刺剣。小型で精密な攻撃が可能な武器。</v>
      </c>
      <c r="CR165" t="str">
        <f t="shared" si="18"/>
        <v>e_165</v>
      </c>
      <c r="CS165">
        <f t="shared" si="22"/>
        <v>225000</v>
      </c>
    </row>
    <row r="166" spans="1:97" outlineLevel="1" x14ac:dyDescent="0.4">
      <c r="A166" t="str">
        <f t="shared" si="27"/>
        <v>黒鋼鉄の短槍</v>
      </c>
      <c r="B166" t="str">
        <f>IFERROR(VLOOKUP($D166,素材!$1:$1016,COLUMN($B$1),FALSE)&amp;"・"&amp;VLOOKUP($C166,武器!$1:$998,COLUMN(B$1),FALSE),"")</f>
        <v>ブラックスティール・ショートスピア</v>
      </c>
      <c r="C166" s="24" t="s">
        <v>234</v>
      </c>
      <c r="D166" s="24" t="s">
        <v>244</v>
      </c>
      <c r="E166" t="str">
        <f>IFERROR(VLOOKUP(C166,武器!$1:$998,COLUMN(C$1),FALSE),"")</f>
        <v>武器</v>
      </c>
      <c r="F166">
        <f>IFERROR(ROUNDDOWN((VLOOKUP($C166,武器!$1:$998,COLUMN(D$1),FALSE)+IFERROR(VLOOKUP($CI166,装強!$1:$999,COLUMN(F$1),FALSE),0))*VLOOKUP($D166,素材!$1:$1016,COLUMN(D$1),FALSE),0),"")</f>
        <v>105</v>
      </c>
      <c r="G166">
        <f>IFERROR(ROUNDDOWN((VLOOKUP($C166,武器!$1:$998,COLUMN(E$1),FALSE)+IFERROR(VLOOKUP($CI166,装強!$1:$999,COLUMN(G$1),FALSE),0))*VLOOKUP($D166,素材!$1:$1016,COLUMN($E$1),FALSE),0),"")</f>
        <v>8</v>
      </c>
      <c r="H166">
        <f>IFERROR(ROUNDDOWN((VLOOKUP($C166,武器!$1:$998,COLUMN(F$1),FALSE)+IFERROR(VLOOKUP($CI166,装強!$1:$999,COLUMN(H$1),FALSE),0))*VLOOKUP($D166,素材!$1:$1016,COLUMN($E$1),FALSE),0),"")</f>
        <v>14</v>
      </c>
      <c r="I166">
        <f>IFERROR(ROUNDDOWN((VLOOKUP($C166,武器!$1:$998,COLUMN(G$1),FALSE)+IFERROR(VLOOKUP($CI166,装強!$1:$999,COLUMN(I$1),FALSE),0))*VLOOKUP($D166,素材!$1:$1016,COLUMN($E$1),FALSE),0),"")</f>
        <v>3</v>
      </c>
      <c r="J166">
        <f>IFERROR(ROUNDDOWN((VLOOKUP($C166,武器!$1:$998,COLUMN(H$1),FALSE)+IFERROR(VLOOKUP($CI166,装強!$1:$999,COLUMN(J$1),FALSE),0))*VLOOKUP($D166,素材!$1:$1016,COLUMN($E$1),FALSE),0),"")</f>
        <v>17</v>
      </c>
      <c r="K166">
        <f>IFERROR(ROUNDDOWN((VLOOKUP($C166,武器!$1:$998,COLUMN(I$1),FALSE)+IFERROR(VLOOKUP($CI166,装強!$1:$999,COLUMN(K$1),FALSE),0))*VLOOKUP($D166,素材!$1:$1016,COLUMN($E$1),FALSE),0),"")</f>
        <v>0</v>
      </c>
      <c r="L166" t="str">
        <f>IFERROR(VLOOKUP($D166,素材!$1:$1016,COLUMN($F$1),FALSE),"")</f>
        <v>雷</v>
      </c>
      <c r="M166">
        <f>IFERROR(VLOOKUP($C166,武器!$1:$998,COLUMN(AA$1),FALSE)*VLOOKUP($D166,素材!$1:$1016,COLUMN($G$1),FALSE),"")</f>
        <v>43.75</v>
      </c>
      <c r="N166">
        <f>IFERROR(VLOOKUP($C166,武器!$1:$998,COLUMN(I$1),FALSE),"")</f>
        <v>0</v>
      </c>
      <c r="O166" s="23">
        <f>IFERROR((VLOOKUP($C166,武器!$1:$998,COLUMN(K$1),FALSE)+VLOOKUP($D166,素材!$1:$1016,COLUMN(H$1),FALSE))*100+IFERROR(VLOOKUP($CI166,装強!$1:$999,COLUMN(O$1),FALSE),0),"")</f>
        <v>10</v>
      </c>
      <c r="P166" s="23">
        <f>IFERROR((VLOOKUP($C166,武器!$1:$998,COLUMN(L$1),FALSE)+VLOOKUP($D166,素材!$1:$1016,COLUMN(I$1),FALSE))*100+IFERROR(VLOOKUP($CI166,装強!$1:$999,COLUMN(P$1),FALSE),0),"")</f>
        <v>150</v>
      </c>
      <c r="Q166">
        <f>IFERROR(ROUNDUP(VLOOKUP($C166,武器!$1:$998,COLUMN(M$1),FALSE)*(VLOOKUP($D166,素材!$1:$1002,COLUMN(D$1),FALSE)/100),1),"")</f>
        <v>0</v>
      </c>
      <c r="R166">
        <f>IFERROR(ROUNDUP(VLOOKUP($C166,武器!$1:$998,COLUMN(N$1),FALSE)*(VLOOKUP($D166,素材!$1:$1002,COLUMN(D$1),FALSE)/100),1),"")</f>
        <v>0</v>
      </c>
      <c r="S166">
        <f>IFERROR(VLOOKUP($C166,武器!$1:$998,COLUMN(P$1),FALSE),"")</f>
        <v>0</v>
      </c>
      <c r="T166">
        <f>IFERROR(VLOOKUP($C166,武器!$1:$998,COLUMN(Q$1),FALSE),"")</f>
        <v>0</v>
      </c>
      <c r="U166">
        <f>IFERROR(VLOOKUP($C166,武器!$1:$998,COLUMN(R$1),FALSE),"")</f>
        <v>0</v>
      </c>
      <c r="V166">
        <f>IFERROR(VLOOKUP($C166,武器!$1:$998,COLUMN(Q$1),FALSE),"")</f>
        <v>0</v>
      </c>
      <c r="W166" t="str">
        <f>IFERROR(VLOOKUP($C166,武器!$1:$998,COLUMN(T$1),FALSE),"")</f>
        <v>A</v>
      </c>
      <c r="Y166" t="str">
        <f>IFERROR(VLOOKUP($C166,武器!$1:$998,COLUMN(U$1),FALSE),"")</f>
        <v>投擲強化</v>
      </c>
      <c r="Z166">
        <f>IFERROR(ROUNDUP(VLOOKUP($C166,武器!$1:$998,COLUMN(O$1),FALSE)*VLOOKUP($D166,素材!$1:$1016,COLUMN(E$1),FALSE),1),"")</f>
        <v>0</v>
      </c>
      <c r="AA166">
        <f>IF(ISNUMBER(SEARCH(SUBSTITUTE(AA$1,RIGHT(AA$1,2),""),VLOOKUP($D166,素材!$1:$1016,COLUMN($F$1),FALSE))),VLOOKUP($C166,武器!$1:$998,COLUMN($O$1),FALSE)*VLOOKUP($D166,素材!$1:$1016,COLUMN($E$1),FALSE)/(LEN(VLOOKUP($D166,素材!$1:$1016,COLUMN($F$1),FALSE)) - LEN(SUBSTITUTE(VLOOKUP($D166,素材!$1:$1016,COLUMN($F$1),FALSE), "・", 0)) + 1), 0)</f>
        <v>0</v>
      </c>
      <c r="AB166">
        <f>IF(ISNUMBER(SEARCH(SUBSTITUTE(AB$1,RIGHT(AB$1,2),""),VLOOKUP($D166,素材!$1:$1016,COLUMN($F$1),FALSE))),VLOOKUP($C166,武器!$1:$998,COLUMN($O$1),FALSE)*VLOOKUP($D166,素材!$1:$1016,COLUMN($E$1),FALSE)/(LEN(VLOOKUP($D166,素材!$1:$1016,COLUMN($F$1),FALSE)) - LEN(SUBSTITUTE(VLOOKUP($D166,素材!$1:$1016,COLUMN($F$1),FALSE), "・", 0)) + 1), 0)</f>
        <v>0</v>
      </c>
      <c r="AC166">
        <f>IF(ISNUMBER(SEARCH(SUBSTITUTE(AC$1,RIGHT(AC$1,2),""),VLOOKUP($D166,素材!$1:$1016,COLUMN($F$1),FALSE))),VLOOKUP($C166,武器!$1:$998,COLUMN($O$1),FALSE)*VLOOKUP($D166,素材!$1:$1016,COLUMN($E$1),FALSE)/(LEN(VLOOKUP($D166,素材!$1:$1016,COLUMN($F$1),FALSE)) - LEN(SUBSTITUTE(VLOOKUP($D166,素材!$1:$1016,COLUMN($F$1),FALSE), "・", 0)) + 1), 0)</f>
        <v>0</v>
      </c>
      <c r="AD166">
        <f>IF(ISNUMBER(SEARCH(SUBSTITUTE(AD$1,RIGHT(AD$1,2),""),VLOOKUP($D166,素材!$1:$1016,COLUMN($F$1),FALSE))),VLOOKUP($C166,武器!$1:$998,COLUMN($O$1),FALSE)*VLOOKUP($D166,素材!$1:$1016,COLUMN($E$1),FALSE)/(LEN(VLOOKUP($D166,素材!$1:$1016,COLUMN($F$1),FALSE)) - LEN(SUBSTITUTE(VLOOKUP($D166,素材!$1:$1016,COLUMN($F$1),FALSE), "・", 0)) + 1), 0)</f>
        <v>0</v>
      </c>
      <c r="AE166">
        <f>IF(ISNUMBER(SEARCH(SUBSTITUTE(AE$1,RIGHT(AE$1,2),""),VLOOKUP($D166,素材!$1:$1016,COLUMN($F$1),FALSE))),VLOOKUP($C166,武器!$1:$998,COLUMN($O$1),FALSE)*VLOOKUP($D166,素材!$1:$1016,COLUMN($E$1),FALSE)/(LEN(VLOOKUP($D166,素材!$1:$1016,COLUMN($F$1),FALSE)) - LEN(SUBSTITUTE(VLOOKUP($D166,素材!$1:$1016,COLUMN($F$1),FALSE), "・", 0)) + 1), 0)</f>
        <v>0</v>
      </c>
      <c r="AF166">
        <f>IF(ISNUMBER(SEARCH(SUBSTITUTE(AF$1,RIGHT(AF$1,2),""),VLOOKUP($D166,素材!$1:$1016,COLUMN($F$1),FALSE))),VLOOKUP($C166,武器!$1:$998,COLUMN($O$1),FALSE)*VLOOKUP($D166,素材!$1:$1016,COLUMN($E$1),FALSE)/(LEN(VLOOKUP($D166,素材!$1:$1016,COLUMN($F$1),FALSE)) - LEN(SUBSTITUTE(VLOOKUP($D166,素材!$1:$1016,COLUMN($F$1),FALSE), "・", 0)) + 1), 0)</f>
        <v>0</v>
      </c>
      <c r="AG166">
        <f>IF(ISNUMBER(SEARCH(SUBSTITUTE(AG$1,RIGHT(AG$1,2),""),VLOOKUP($D166,素材!$1:$1016,COLUMN($F$1),FALSE))),VLOOKUP($C166,武器!$1:$998,COLUMN($O$1),FALSE)*VLOOKUP($D166,素材!$1:$1016,COLUMN($E$1),FALSE)/(LEN(VLOOKUP($D166,素材!$1:$1016,COLUMN($F$1),FALSE)) - LEN(SUBSTITUTE(VLOOKUP($D166,素材!$1:$1016,COLUMN($F$1),FALSE), "・", 0)) + 1), 0)</f>
        <v>0</v>
      </c>
      <c r="AH166">
        <f>IF(ISNUMBER(SEARCH(SUBSTITUTE(AH$1,RIGHT(AH$1,2),""),VLOOKUP($D166,素材!$1:$1016,COLUMN($F$1),FALSE))),VLOOKUP($C166,武器!$1:$998,COLUMN($O$1),FALSE)*VLOOKUP($D166,素材!$1:$1016,COLUMN($E$1),FALSE)/(LEN(VLOOKUP($D166,素材!$1:$1016,COLUMN($F$1),FALSE)) - LEN(SUBSTITUTE(VLOOKUP($D166,素材!$1:$1016,COLUMN($F$1),FALSE), "・", 0)) + 1), 0)</f>
        <v>0</v>
      </c>
      <c r="AI166">
        <f>IF(ISNUMBER(SEARCH(SUBSTITUTE(AI$1,RIGHT(AI$1,2),""),VLOOKUP($D166,素材!$1:$1016,COLUMN($F$1),FALSE))),VLOOKUP($C166,武器!$1:$998,COLUMN($O$1),FALSE)*VLOOKUP($D166,素材!$1:$1016,COLUMN($E$1),FALSE)/(LEN(VLOOKUP($D166,素材!$1:$1016,COLUMN($F$1),FALSE)) - LEN(SUBSTITUTE(VLOOKUP($D166,素材!$1:$1016,COLUMN($F$1),FALSE), "・", 0)) + 1), 0)</f>
        <v>0</v>
      </c>
      <c r="AJ166">
        <f>IF(ISNUMBER(SEARCH(SUBSTITUTE(AJ$1,RIGHT(AJ$1,2),""),VLOOKUP($D166,素材!$1:$1016,COLUMN($F$1),FALSE))),VLOOKUP($C166,武器!$1:$998,COLUMN($O$1),FALSE)*VLOOKUP($D166,素材!$1:$1016,COLUMN($E$1),FALSE)/(LEN(VLOOKUP($D166,素材!$1:$1016,COLUMN($F$1),FALSE)) - LEN(SUBSTITUTE(VLOOKUP($D166,素材!$1:$1016,COLUMN($F$1),FALSE), "・", 0)) + 1), 0)</f>
        <v>0</v>
      </c>
      <c r="AK166">
        <f>IF(ISNUMBER(SEARCH(SUBSTITUTE(AK$1,RIGHT(AK$1,2),""),VLOOKUP($D166,素材!$1:$1016,COLUMN($F$1),FALSE))),VLOOKUP($C166,武器!$1:$998,COLUMN($O$1),FALSE)*VLOOKUP($D166,素材!$1:$1016,COLUMN($E$1),FALSE)/(LEN(VLOOKUP($D166,素材!$1:$1016,COLUMN($F$1),FALSE)) - LEN(SUBSTITUTE(VLOOKUP($D166,素材!$1:$1016,COLUMN($F$1),FALSE), "・", 0)) + 1), 0)</f>
        <v>0</v>
      </c>
      <c r="AL166">
        <f>IF(ISNUMBER(SEARCH(SUBSTITUTE(AL$1,RIGHT(AL$1,2),""),VLOOKUP($D166,素材!$1:$1016,COLUMN($F$1),FALSE))),VLOOKUP($C166,武器!$1:$998,COLUMN($O$1),FALSE)*VLOOKUP($D166,素材!$1:$1016,COLUMN($E$1),FALSE)/(LEN(VLOOKUP($D166,素材!$1:$1016,COLUMN($F$1),FALSE)) - LEN(SUBSTITUTE(VLOOKUP($D166,素材!$1:$1016,COLUMN($F$1),FALSE), "・", 0)) + 1), 0)</f>
        <v>0</v>
      </c>
      <c r="AM166">
        <f>IF(ISNUMBER(SEARCH(SUBSTITUTE(AM$1,RIGHT(AM$1,2),""),VLOOKUP($D166,素材!$1:$1016,COLUMN($F$1),FALSE))),VLOOKUP($C166,武器!$1:$998,COLUMN($O$1),FALSE)*VLOOKUP($D166,素材!$1:$1016,COLUMN($E$1),FALSE)/(LEN(VLOOKUP($D166,素材!$1:$1016,COLUMN($F$1),FALSE)) - LEN(SUBSTITUTE(VLOOKUP($D166,素材!$1:$1016,COLUMN($F$1),FALSE), "・", 0)) + 1), 0)</f>
        <v>0</v>
      </c>
      <c r="AN166">
        <f>IF(ISNUMBER(SEARCH(SUBSTITUTE(AN$1,RIGHT(AN$1,2),""),VLOOKUP($D166,素材!$1:$1016,COLUMN($F$1),FALSE))),VLOOKUP($C166,武器!$1:$998,COLUMN($O$1),FALSE)*VLOOKUP($D166,素材!$1:$1016,COLUMN($E$1),FALSE)/(LEN(VLOOKUP($D166,素材!$1:$1016,COLUMN($F$1),FALSE)) - LEN(SUBSTITUTE(VLOOKUP($D166,素材!$1:$1016,COLUMN($F$1),FALSE), "・", 0)) + 1), 0)</f>
        <v>0</v>
      </c>
      <c r="AO166">
        <f>IF(ISNUMBER(SEARCH(SUBSTITUTE(AO$1,RIGHT(AO$1,2),""),VLOOKUP($D166,素材!$1:$1016,COLUMN($F$1),FALSE))),VLOOKUP($C166,武器!$1:$998,COLUMN($O$1),FALSE)*VLOOKUP($D166,素材!$1:$1016,COLUMN($E$1),FALSE)/(LEN(VLOOKUP($D166,素材!$1:$1016,COLUMN($F$1),FALSE)) - LEN(SUBSTITUTE(VLOOKUP($D166,素材!$1:$1016,COLUMN($F$1),FALSE), "・", 0)) + 1), 0)</f>
        <v>0</v>
      </c>
      <c r="AP166">
        <f>IF(ISNUMBER(SEARCH(SUBSTITUTE(AP$1,RIGHT(AP$1,2),""),VLOOKUP($D166,素材!$1:$1016,COLUMN($F$1),FALSE))),VLOOKUP($C166,武器!$1:$998,COLUMN($O$1),FALSE)*VLOOKUP($D166,素材!$1:$1016,COLUMN($E$1),FALSE)/(LEN(VLOOKUP($D166,素材!$1:$1016,COLUMN($F$1),FALSE)) - LEN(SUBSTITUTE(VLOOKUP($D166,素材!$1:$1016,COLUMN($F$1),FALSE), "・", 0)) + 1), 0)</f>
        <v>0</v>
      </c>
      <c r="AQ166">
        <f>IF(ISNUMBER(SEARCH(SUBSTITUTE(AQ$1,RIGHT(AQ$1,2),""),VLOOKUP($D166,素材!$1:$1016,COLUMN($F$1),FALSE))),VLOOKUP($C166,武器!$1:$998,COLUMN($O$1),FALSE)*VLOOKUP($D166,素材!$1:$1016,COLUMN($E$1),FALSE)/(LEN(VLOOKUP($D166,素材!$1:$1016,COLUMN($F$1),FALSE)) - LEN(SUBSTITUTE(VLOOKUP($D166,素材!$1:$1016,COLUMN($F$1),FALSE), "・", 0)) + 1), 0)</f>
        <v>0</v>
      </c>
      <c r="AR166">
        <f>IF(ISNUMBER(SEARCH(SUBSTITUTE(AR$1,RIGHT(AR$1,2),""),VLOOKUP($D166,素材!$1:$1016,COLUMN($F$1),FALSE))),VLOOKUP($C166,武器!$1:$998,COLUMN($O$1),FALSE)*VLOOKUP($D166,素材!$1:$1016,COLUMN($E$1),FALSE)/(LEN(VLOOKUP($D166,素材!$1:$1016,COLUMN($F$1),FALSE)) - LEN(SUBSTITUTE(VLOOKUP($D166,素材!$1:$1016,COLUMN($F$1),FALSE), "・", 0)) + 1), 0)</f>
        <v>0</v>
      </c>
      <c r="AS166">
        <f>IF(ISNUMBER(SEARCH(SUBSTITUTE(AS$1,RIGHT(AS$1,2),""),VLOOKUP($D166,素材!$1:$1016,COLUMN($F$1),FALSE))),VLOOKUP($C166,武器!$1:$998,COLUMN($O$1),FALSE)*VLOOKUP($D166,素材!$1:$1016,COLUMN($E$1),FALSE)/(LEN(VLOOKUP($D166,素材!$1:$1016,COLUMN($F$1),FALSE)) - LEN(SUBSTITUTE(VLOOKUP($D166,素材!$1:$1016,COLUMN($F$1),FALSE), "・", 0)) + 1), 0)</f>
        <v>0</v>
      </c>
      <c r="AT166">
        <f>IF(ISNUMBER(SEARCH(SUBSTITUTE(AT$1,RIGHT(AT$1,2),""),VLOOKUP($D166,素材!$1:$1016,COLUMN($F$1),FALSE))),VLOOKUP($C166,武器!$1:$998,COLUMN($O$1),FALSE)*VLOOKUP($D166,素材!$1:$1016,COLUMN($E$1),FALSE)/(LEN(VLOOKUP($D166,素材!$1:$1016,COLUMN($F$1),FALSE)) - LEN(SUBSTITUTE(VLOOKUP($D166,素材!$1:$1016,COLUMN($F$1),FALSE), "・", 0)) + 1), 0)</f>
        <v>0</v>
      </c>
      <c r="AU166">
        <f>IF(ISNUMBER(SEARCH(SUBSTITUTE(AU$1,RIGHT(AU$1,2),""),VLOOKUP($D166,素材!$1:$1016,COLUMN($F$1),FALSE))),VLOOKUP($C166,武器!$1:$998,COLUMN($O$1),FALSE)*VLOOKUP($D166,素材!$1:$1016,COLUMN($E$1),FALSE)/(LEN(VLOOKUP($D166,素材!$1:$1016,COLUMN($F$1),FALSE)) - LEN(SUBSTITUTE(VLOOKUP($D166,素材!$1:$1016,COLUMN($F$1),FALSE), "・", 0)) + 1), 0)</f>
        <v>0</v>
      </c>
      <c r="AV166">
        <f>IF(ISNUMBER(SEARCH(SUBSTITUTE(AV$1,RIGHT(AV$1,2),""),VLOOKUP($D166,素材!$1:$1016,COLUMN($F$1),FALSE))),VLOOKUP($C166,武器!$1:$998,COLUMN($O$1),FALSE)*VLOOKUP($D166,素材!$1:$1016,COLUMN($E$1),FALSE)/(LEN(VLOOKUP($D166,素材!$1:$1016,COLUMN($F$1),FALSE)) - LEN(SUBSTITUTE(VLOOKUP($D166,素材!$1:$1016,COLUMN($F$1),FALSE), "・", 0)) + 1), 0)</f>
        <v>0</v>
      </c>
      <c r="AW166">
        <f>IF(ISNUMBER(SEARCH(SUBSTITUTE(AW$1,RIGHT(AW$1,2),""),VLOOKUP($D166,素材!$1:$1016,COLUMN($F$1),FALSE))),VLOOKUP($C166,武器!$1:$998,COLUMN($O$1),FALSE)*VLOOKUP($D166,素材!$1:$1016,COLUMN($E$1),FALSE)/(LEN(VLOOKUP($D166,素材!$1:$1016,COLUMN($F$1),FALSE)) - LEN(SUBSTITUTE(VLOOKUP($D166,素材!$1:$1016,COLUMN($F$1),FALSE), "・", 0)) + 1), 0)</f>
        <v>0</v>
      </c>
      <c r="AX166">
        <f>IF(ISNUMBER(SEARCH(SUBSTITUTE(AX$1,RIGHT(AX$1,2),""),VLOOKUP($D166,素材!$1:$1016,COLUMN($F$1),FALSE))),VLOOKUP($C166,武器!$1:$998,COLUMN($O$1),FALSE)*VLOOKUP($D166,素材!$1:$1016,COLUMN($E$1),FALSE)/(LEN(VLOOKUP($D166,素材!$1:$1016,COLUMN($F$1),FALSE)) - LEN(SUBSTITUTE(VLOOKUP($D166,素材!$1:$1016,COLUMN($F$1),FALSE), "・", 0)) + 1), 0)</f>
        <v>0</v>
      </c>
      <c r="AY166">
        <f>IF(ISNUMBER(SEARCH(SUBSTITUTE(AY$1,RIGHT(AY$1,2),""),VLOOKUP($D166,素材!$1:$1016,COLUMN($F$1),FALSE))),VLOOKUP($C166,武器!$1:$998,COLUMN($O$1),FALSE)*VLOOKUP($D166,素材!$1:$1016,COLUMN($E$1),FALSE)/(LEN(VLOOKUP($D166,素材!$1:$1016,COLUMN($F$1),FALSE)) - LEN(SUBSTITUTE(VLOOKUP($D166,素材!$1:$1016,COLUMN($F$1),FALSE), "・", 0)) + 1), 0)</f>
        <v>0</v>
      </c>
      <c r="AZ166">
        <f>IF(ISNUMBER(SEARCH(SUBSTITUTE(AZ$1,RIGHT(AZ$1,2),""),VLOOKUP($D166,素材!$1:$1016,COLUMN($F$1),FALSE))),VLOOKUP($C166,武器!$1:$998,COLUMN($O$1),FALSE)*VLOOKUP($D166,素材!$1:$1016,COLUMN($E$1),FALSE)/(LEN(VLOOKUP($D166,素材!$1:$1016,COLUMN($F$1),FALSE)) - LEN(SUBSTITUTE(VLOOKUP($D166,素材!$1:$1016,COLUMN($F$1),FALSE), "・", 0)) + 1), 0)</f>
        <v>0</v>
      </c>
      <c r="BA166">
        <f>IF(ISNUMBER(SEARCH(SUBSTITUTE(BA$1,RIGHT(BA$1,2),""),VLOOKUP($D166,素材!$1:$1016,COLUMN($F$1),FALSE))),VLOOKUP($C166,武器!$1:$998,COLUMN($O$1),FALSE)*VLOOKUP($D166,素材!$1:$1016,COLUMN($E$1),FALSE)/(LEN(VLOOKUP($D166,素材!$1:$1016,COLUMN($F$1),FALSE)) - LEN(SUBSTITUTE(VLOOKUP($D166,素材!$1:$1016,COLUMN($F$1),FALSE), "・", 0)) + 1), 0)</f>
        <v>0</v>
      </c>
      <c r="BB166">
        <f>IF(ISNUMBER(SEARCH(SUBSTITUTE(BB$1,RIGHT(BB$1,2),""),VLOOKUP($D166,素材!$1:$1016,COLUMN($F$1),FALSE))),VLOOKUP($C166,武器!$1:$998,COLUMN($O$1),FALSE)*VLOOKUP($D166,素材!$1:$1016,COLUMN($E$1),FALSE)/(LEN(VLOOKUP($D166,素材!$1:$1016,COLUMN($F$1),FALSE)) - LEN(SUBSTITUTE(VLOOKUP($D166,素材!$1:$1016,COLUMN($F$1),FALSE), "・", 0)) + 1), 0)</f>
        <v>0</v>
      </c>
      <c r="BC166">
        <f>IF(ISNUMBER(SEARCH(SUBSTITUTE(BC$1,RIGHT(BC$1,2),""),VLOOKUP($D166,素材!$1:$1016,COLUMN($F$1),FALSE))),VLOOKUP($C166,武器!$1:$998,COLUMN($O$1),FALSE)*VLOOKUP($D166,素材!$1:$1016,COLUMN($E$1),FALSE)/(LEN(VLOOKUP($D166,素材!$1:$1016,COLUMN($F$1),FALSE)) - LEN(SUBSTITUTE(VLOOKUP($D166,素材!$1:$1016,COLUMN($F$1),FALSE), "・", 0)) + 1), 0)</f>
        <v>0</v>
      </c>
      <c r="BD166">
        <f>IF(ISNUMBER(SEARCH(SUBSTITUTE(BD$1,RIGHT(BD$1,2),""),VLOOKUP($D166,素材!$1:$1016,COLUMN($F$1),FALSE))),VLOOKUP($C166,武器!$1:$998,COLUMN($O$1),FALSE)*VLOOKUP($D166,素材!$1:$1016,COLUMN($E$1),FALSE)/(LEN(VLOOKUP($D166,素材!$1:$1016,COLUMN($F$1),FALSE)) - LEN(SUBSTITUTE(VLOOKUP($D166,素材!$1:$1016,COLUMN($F$1),FALSE), "・", 0)) + 1), 0)</f>
        <v>0</v>
      </c>
      <c r="BE166">
        <f>IF(ISNUMBER(SEARCH(SUBSTITUTE(BE$1,RIGHT(BE$1,2),""),VLOOKUP($D166,素材!$1:$1016,COLUMN($F$1),FALSE))),VLOOKUP($C166,武器!$1:$998,COLUMN($O$1),FALSE)*VLOOKUP($D166,素材!$1:$1016,COLUMN($E$1),FALSE)/(LEN(VLOOKUP($D166,素材!$1:$1016,COLUMN($F$1),FALSE)) - LEN(SUBSTITUTE(VLOOKUP($D166,素材!$1:$1016,COLUMN($F$1),FALSE), "・", 0)) + 1), 0)</f>
        <v>0</v>
      </c>
      <c r="CL166">
        <f>SUM(G166:I166)</f>
        <v>25</v>
      </c>
      <c r="CM166" s="22" t="str">
        <f>IF(E166="武器",IF(J166-1&gt;SUM(G166:I166),"盾",IF(MAX(G166:I166)=G166,"切断",IF(MAX(G166:I166)=H166,"貫通",IF(MAX(G166:I166)=I166,"打撃","射撃")))),E166)&amp;".webp"</f>
        <v>貫通.webp</v>
      </c>
      <c r="CN166">
        <f>IFERROR(VLOOKUP($C166,武器!$1:$998,COLUMN(V$1),FALSE)*VLOOKUP($D166,素材!$1:$1016,COLUMN(N$1),FALSE)+IF(CI166="",0,VLOOKUP($CI166,装強!$1:$1008,COLUMN($CK$1),FALSE)),"")</f>
        <v>2250</v>
      </c>
      <c r="CO166">
        <f>VLOOKUP(D166,素材!$A:$O,COLUMN(素材!O$1),FALSE)</f>
        <v>0</v>
      </c>
      <c r="CP166" t="str">
        <f>VLOOKUP(C166,武器!$A:$W,COLUMN(武器!W$1),FALSE)</f>
        <v>短槍。短く扱いやすい槍で、投擲にも対応。</v>
      </c>
      <c r="CR166" t="str">
        <f t="shared" si="18"/>
        <v>e_166</v>
      </c>
      <c r="CS166">
        <f t="shared" si="22"/>
        <v>225000</v>
      </c>
    </row>
    <row r="167" spans="1:97" outlineLevel="1" x14ac:dyDescent="0.4">
      <c r="A167" t="str">
        <f t="shared" si="27"/>
        <v>黒鋼鉄の槍</v>
      </c>
      <c r="B167" t="str">
        <f>IFERROR(VLOOKUP($D167,素材!$1:$1016,COLUMN($B$1),FALSE)&amp;"・"&amp;VLOOKUP($C167,武器!$1:$998,COLUMN(B$1),FALSE),"")</f>
        <v>ブラックスティール・スピア</v>
      </c>
      <c r="C167" s="24" t="s">
        <v>233</v>
      </c>
      <c r="D167" s="24" t="s">
        <v>244</v>
      </c>
      <c r="E167" t="str">
        <f>IFERROR(VLOOKUP(C167,武器!$1:$998,COLUMN(C$1),FALSE),"")</f>
        <v>武器</v>
      </c>
      <c r="F167">
        <f>IFERROR(ROUNDDOWN((VLOOKUP($C167,武器!$1:$998,COLUMN(D$1),FALSE)+IFERROR(VLOOKUP($CI167,装強!$1:$999,COLUMN(F$1),FALSE),0))*VLOOKUP($D167,素材!$1:$1016,COLUMN(D$1),FALSE),0),"")</f>
        <v>115</v>
      </c>
      <c r="G167">
        <f>IFERROR(ROUNDDOWN((VLOOKUP($C167,武器!$1:$998,COLUMN(E$1),FALSE)+IFERROR(VLOOKUP($CI167,装強!$1:$999,COLUMN(G$1),FALSE),0))*VLOOKUP($D167,素材!$1:$1016,COLUMN($E$1),FALSE),0),"")</f>
        <v>8</v>
      </c>
      <c r="H167">
        <f>IFERROR(ROUNDDOWN((VLOOKUP($C167,武器!$1:$998,COLUMN(F$1),FALSE)+IFERROR(VLOOKUP($CI167,装強!$1:$999,COLUMN(H$1),FALSE),0))*VLOOKUP($D167,素材!$1:$1016,COLUMN($E$1),FALSE),0),"")</f>
        <v>16</v>
      </c>
      <c r="I167">
        <f>IFERROR(ROUNDDOWN((VLOOKUP($C167,武器!$1:$998,COLUMN(G$1),FALSE)+IFERROR(VLOOKUP($CI167,装強!$1:$999,COLUMN(I$1),FALSE),0))*VLOOKUP($D167,素材!$1:$1016,COLUMN($E$1),FALSE),0),"")</f>
        <v>3</v>
      </c>
      <c r="J167">
        <f>IFERROR(ROUNDDOWN((VLOOKUP($C167,武器!$1:$998,COLUMN(H$1),FALSE)+IFERROR(VLOOKUP($CI167,装強!$1:$999,COLUMN(J$1),FALSE),0))*VLOOKUP($D167,素材!$1:$1016,COLUMN($E$1),FALSE),0),"")</f>
        <v>17</v>
      </c>
      <c r="K167">
        <f>IFERROR(ROUNDDOWN((VLOOKUP($C167,武器!$1:$998,COLUMN(I$1),FALSE)+IFERROR(VLOOKUP($CI167,装強!$1:$999,COLUMN(K$1),FALSE),0))*VLOOKUP($D167,素材!$1:$1016,COLUMN($E$1),FALSE),0),"")</f>
        <v>0</v>
      </c>
      <c r="L167" t="str">
        <f>IFERROR(VLOOKUP($D167,素材!$1:$1016,COLUMN($F$1),FALSE),"")</f>
        <v>雷</v>
      </c>
      <c r="M167">
        <f>IFERROR(VLOOKUP($C167,武器!$1:$998,COLUMN(AA$1),FALSE)*VLOOKUP($D167,素材!$1:$1016,COLUMN($G$1),FALSE),"")</f>
        <v>47.25</v>
      </c>
      <c r="N167">
        <f>IFERROR(VLOOKUP($C167,武器!$1:$998,COLUMN(I$1),FALSE),"")</f>
        <v>0</v>
      </c>
      <c r="O167" s="23">
        <f>IFERROR((VLOOKUP($C167,武器!$1:$998,COLUMN(K$1),FALSE)+VLOOKUP($D167,素材!$1:$1016,COLUMN(H$1),FALSE))*100+IFERROR(VLOOKUP($CI167,装強!$1:$999,COLUMN(O$1),FALSE),0),"")</f>
        <v>10</v>
      </c>
      <c r="P167" s="23">
        <f>IFERROR((VLOOKUP($C167,武器!$1:$998,COLUMN(L$1),FALSE)+VLOOKUP($D167,素材!$1:$1016,COLUMN(I$1),FALSE))*100+IFERROR(VLOOKUP($CI167,装強!$1:$999,COLUMN(P$1),FALSE),0),"")</f>
        <v>150</v>
      </c>
      <c r="Q167">
        <f>IFERROR(ROUNDUP(VLOOKUP($C167,武器!$1:$998,COLUMN(M$1),FALSE)*(VLOOKUP($D167,素材!$1:$1002,COLUMN(D$1),FALSE)/100),1),"")</f>
        <v>0</v>
      </c>
      <c r="R167">
        <f>IFERROR(ROUNDUP(VLOOKUP($C167,武器!$1:$998,COLUMN(N$1),FALSE)*(VLOOKUP($D167,素材!$1:$1002,COLUMN(D$1),FALSE)/100),1),"")</f>
        <v>-5</v>
      </c>
      <c r="S167">
        <f>IFERROR(VLOOKUP($C167,武器!$1:$998,COLUMN(P$1),FALSE),"")</f>
        <v>0</v>
      </c>
      <c r="T167">
        <f>IFERROR(VLOOKUP($C167,武器!$1:$998,COLUMN(Q$1),FALSE),"")</f>
        <v>0</v>
      </c>
      <c r="U167">
        <f>IFERROR(VLOOKUP($C167,武器!$1:$998,COLUMN(R$1),FALSE),"")</f>
        <v>0</v>
      </c>
      <c r="V167">
        <f>IFERROR(VLOOKUP($C167,武器!$1:$998,COLUMN(Q$1),FALSE),"")</f>
        <v>0</v>
      </c>
      <c r="W167" t="str">
        <f>IFERROR(VLOOKUP($C167,武器!$1:$998,COLUMN(T$1),FALSE),"")</f>
        <v>A</v>
      </c>
      <c r="Y167" t="str">
        <f>IFERROR(VLOOKUP($C167,武器!$1:$998,COLUMN(U$1),FALSE),"")</f>
        <v>投擲強化</v>
      </c>
      <c r="Z167">
        <f>IFERROR(ROUNDUP(VLOOKUP($C167,武器!$1:$998,COLUMN(O$1),FALSE)*VLOOKUP($D167,素材!$1:$1016,COLUMN(E$1),FALSE),1),"")</f>
        <v>0</v>
      </c>
      <c r="AA167">
        <f>IF(ISNUMBER(SEARCH(SUBSTITUTE(AA$1,RIGHT(AA$1,2),""),VLOOKUP($D167,素材!$1:$1016,COLUMN($F$1),FALSE))),VLOOKUP($C167,武器!$1:$998,COLUMN($O$1),FALSE)*VLOOKUP($D167,素材!$1:$1016,COLUMN($E$1),FALSE)/(LEN(VLOOKUP($D167,素材!$1:$1016,COLUMN($F$1),FALSE)) - LEN(SUBSTITUTE(VLOOKUP($D167,素材!$1:$1016,COLUMN($F$1),FALSE), "・", 0)) + 1), 0)</f>
        <v>0</v>
      </c>
      <c r="AB167">
        <f>IF(ISNUMBER(SEARCH(SUBSTITUTE(AB$1,RIGHT(AB$1,2),""),VLOOKUP($D167,素材!$1:$1016,COLUMN($F$1),FALSE))),VLOOKUP($C167,武器!$1:$998,COLUMN($O$1),FALSE)*VLOOKUP($D167,素材!$1:$1016,COLUMN($E$1),FALSE)/(LEN(VLOOKUP($D167,素材!$1:$1016,COLUMN($F$1),FALSE)) - LEN(SUBSTITUTE(VLOOKUP($D167,素材!$1:$1016,COLUMN($F$1),FALSE), "・", 0)) + 1), 0)</f>
        <v>0</v>
      </c>
      <c r="AC167">
        <f>IF(ISNUMBER(SEARCH(SUBSTITUTE(AC$1,RIGHT(AC$1,2),""),VLOOKUP($D167,素材!$1:$1016,COLUMN($F$1),FALSE))),VLOOKUP($C167,武器!$1:$998,COLUMN($O$1),FALSE)*VLOOKUP($D167,素材!$1:$1016,COLUMN($E$1),FALSE)/(LEN(VLOOKUP($D167,素材!$1:$1016,COLUMN($F$1),FALSE)) - LEN(SUBSTITUTE(VLOOKUP($D167,素材!$1:$1016,COLUMN($F$1),FALSE), "・", 0)) + 1), 0)</f>
        <v>0</v>
      </c>
      <c r="AD167">
        <f>IF(ISNUMBER(SEARCH(SUBSTITUTE(AD$1,RIGHT(AD$1,2),""),VLOOKUP($D167,素材!$1:$1016,COLUMN($F$1),FALSE))),VLOOKUP($C167,武器!$1:$998,COLUMN($O$1),FALSE)*VLOOKUP($D167,素材!$1:$1016,COLUMN($E$1),FALSE)/(LEN(VLOOKUP($D167,素材!$1:$1016,COLUMN($F$1),FALSE)) - LEN(SUBSTITUTE(VLOOKUP($D167,素材!$1:$1016,COLUMN($F$1),FALSE), "・", 0)) + 1), 0)</f>
        <v>0</v>
      </c>
      <c r="AE167">
        <f>IF(ISNUMBER(SEARCH(SUBSTITUTE(AE$1,RIGHT(AE$1,2),""),VLOOKUP($D167,素材!$1:$1016,COLUMN($F$1),FALSE))),VLOOKUP($C167,武器!$1:$998,COLUMN($O$1),FALSE)*VLOOKUP($D167,素材!$1:$1016,COLUMN($E$1),FALSE)/(LEN(VLOOKUP($D167,素材!$1:$1016,COLUMN($F$1),FALSE)) - LEN(SUBSTITUTE(VLOOKUP($D167,素材!$1:$1016,COLUMN($F$1),FALSE), "・", 0)) + 1), 0)</f>
        <v>0</v>
      </c>
      <c r="AF167">
        <f>IF(ISNUMBER(SEARCH(SUBSTITUTE(AF$1,RIGHT(AF$1,2),""),VLOOKUP($D167,素材!$1:$1016,COLUMN($F$1),FALSE))),VLOOKUP($C167,武器!$1:$998,COLUMN($O$1),FALSE)*VLOOKUP($D167,素材!$1:$1016,COLUMN($E$1),FALSE)/(LEN(VLOOKUP($D167,素材!$1:$1016,COLUMN($F$1),FALSE)) - LEN(SUBSTITUTE(VLOOKUP($D167,素材!$1:$1016,COLUMN($F$1),FALSE), "・", 0)) + 1), 0)</f>
        <v>0</v>
      </c>
      <c r="AG167">
        <f>IF(ISNUMBER(SEARCH(SUBSTITUTE(AG$1,RIGHT(AG$1,2),""),VLOOKUP($D167,素材!$1:$1016,COLUMN($F$1),FALSE))),VLOOKUP($C167,武器!$1:$998,COLUMN($O$1),FALSE)*VLOOKUP($D167,素材!$1:$1016,COLUMN($E$1),FALSE)/(LEN(VLOOKUP($D167,素材!$1:$1016,COLUMN($F$1),FALSE)) - LEN(SUBSTITUTE(VLOOKUP($D167,素材!$1:$1016,COLUMN($F$1),FALSE), "・", 0)) + 1), 0)</f>
        <v>0</v>
      </c>
      <c r="AH167">
        <f>IF(ISNUMBER(SEARCH(SUBSTITUTE(AH$1,RIGHT(AH$1,2),""),VLOOKUP($D167,素材!$1:$1016,COLUMN($F$1),FALSE))),VLOOKUP($C167,武器!$1:$998,COLUMN($O$1),FALSE)*VLOOKUP($D167,素材!$1:$1016,COLUMN($E$1),FALSE)/(LEN(VLOOKUP($D167,素材!$1:$1016,COLUMN($F$1),FALSE)) - LEN(SUBSTITUTE(VLOOKUP($D167,素材!$1:$1016,COLUMN($F$1),FALSE), "・", 0)) + 1), 0)</f>
        <v>0</v>
      </c>
      <c r="AI167">
        <f>IF(ISNUMBER(SEARCH(SUBSTITUTE(AI$1,RIGHT(AI$1,2),""),VLOOKUP($D167,素材!$1:$1016,COLUMN($F$1),FALSE))),VLOOKUP($C167,武器!$1:$998,COLUMN($O$1),FALSE)*VLOOKUP($D167,素材!$1:$1016,COLUMN($E$1),FALSE)/(LEN(VLOOKUP($D167,素材!$1:$1016,COLUMN($F$1),FALSE)) - LEN(SUBSTITUTE(VLOOKUP($D167,素材!$1:$1016,COLUMN($F$1),FALSE), "・", 0)) + 1), 0)</f>
        <v>0</v>
      </c>
      <c r="AJ167">
        <f>IF(ISNUMBER(SEARCH(SUBSTITUTE(AJ$1,RIGHT(AJ$1,2),""),VLOOKUP($D167,素材!$1:$1016,COLUMN($F$1),FALSE))),VLOOKUP($C167,武器!$1:$998,COLUMN($O$1),FALSE)*VLOOKUP($D167,素材!$1:$1016,COLUMN($E$1),FALSE)/(LEN(VLOOKUP($D167,素材!$1:$1016,COLUMN($F$1),FALSE)) - LEN(SUBSTITUTE(VLOOKUP($D167,素材!$1:$1016,COLUMN($F$1),FALSE), "・", 0)) + 1), 0)</f>
        <v>0</v>
      </c>
      <c r="AK167">
        <f>IF(ISNUMBER(SEARCH(SUBSTITUTE(AK$1,RIGHT(AK$1,2),""),VLOOKUP($D167,素材!$1:$1016,COLUMN($F$1),FALSE))),VLOOKUP($C167,武器!$1:$998,COLUMN($O$1),FALSE)*VLOOKUP($D167,素材!$1:$1016,COLUMN($E$1),FALSE)/(LEN(VLOOKUP($D167,素材!$1:$1016,COLUMN($F$1),FALSE)) - LEN(SUBSTITUTE(VLOOKUP($D167,素材!$1:$1016,COLUMN($F$1),FALSE), "・", 0)) + 1), 0)</f>
        <v>0</v>
      </c>
      <c r="AL167">
        <f>IF(ISNUMBER(SEARCH(SUBSTITUTE(AL$1,RIGHT(AL$1,2),""),VLOOKUP($D167,素材!$1:$1016,COLUMN($F$1),FALSE))),VLOOKUP($C167,武器!$1:$998,COLUMN($O$1),FALSE)*VLOOKUP($D167,素材!$1:$1016,COLUMN($E$1),FALSE)/(LEN(VLOOKUP($D167,素材!$1:$1016,COLUMN($F$1),FALSE)) - LEN(SUBSTITUTE(VLOOKUP($D167,素材!$1:$1016,COLUMN($F$1),FALSE), "・", 0)) + 1), 0)</f>
        <v>0</v>
      </c>
      <c r="AM167">
        <f>IF(ISNUMBER(SEARCH(SUBSTITUTE(AM$1,RIGHT(AM$1,2),""),VLOOKUP($D167,素材!$1:$1016,COLUMN($F$1),FALSE))),VLOOKUP($C167,武器!$1:$998,COLUMN($O$1),FALSE)*VLOOKUP($D167,素材!$1:$1016,COLUMN($E$1),FALSE)/(LEN(VLOOKUP($D167,素材!$1:$1016,COLUMN($F$1),FALSE)) - LEN(SUBSTITUTE(VLOOKUP($D167,素材!$1:$1016,COLUMN($F$1),FALSE), "・", 0)) + 1), 0)</f>
        <v>0</v>
      </c>
      <c r="AN167">
        <f>IF(ISNUMBER(SEARCH(SUBSTITUTE(AN$1,RIGHT(AN$1,2),""),VLOOKUP($D167,素材!$1:$1016,COLUMN($F$1),FALSE))),VLOOKUP($C167,武器!$1:$998,COLUMN($O$1),FALSE)*VLOOKUP($D167,素材!$1:$1016,COLUMN($E$1),FALSE)/(LEN(VLOOKUP($D167,素材!$1:$1016,COLUMN($F$1),FALSE)) - LEN(SUBSTITUTE(VLOOKUP($D167,素材!$1:$1016,COLUMN($F$1),FALSE), "・", 0)) + 1), 0)</f>
        <v>0</v>
      </c>
      <c r="AO167">
        <f>IF(ISNUMBER(SEARCH(SUBSTITUTE(AO$1,RIGHT(AO$1,2),""),VLOOKUP($D167,素材!$1:$1016,COLUMN($F$1),FALSE))),VLOOKUP($C167,武器!$1:$998,COLUMN($O$1),FALSE)*VLOOKUP($D167,素材!$1:$1016,COLUMN($E$1),FALSE)/(LEN(VLOOKUP($D167,素材!$1:$1016,COLUMN($F$1),FALSE)) - LEN(SUBSTITUTE(VLOOKUP($D167,素材!$1:$1016,COLUMN($F$1),FALSE), "・", 0)) + 1), 0)</f>
        <v>0</v>
      </c>
      <c r="AP167">
        <f>IF(ISNUMBER(SEARCH(SUBSTITUTE(AP$1,RIGHT(AP$1,2),""),VLOOKUP($D167,素材!$1:$1016,COLUMN($F$1),FALSE))),VLOOKUP($C167,武器!$1:$998,COLUMN($O$1),FALSE)*VLOOKUP($D167,素材!$1:$1016,COLUMN($E$1),FALSE)/(LEN(VLOOKUP($D167,素材!$1:$1016,COLUMN($F$1),FALSE)) - LEN(SUBSTITUTE(VLOOKUP($D167,素材!$1:$1016,COLUMN($F$1),FALSE), "・", 0)) + 1), 0)</f>
        <v>0</v>
      </c>
      <c r="AQ167">
        <f>IF(ISNUMBER(SEARCH(SUBSTITUTE(AQ$1,RIGHT(AQ$1,2),""),VLOOKUP($D167,素材!$1:$1016,COLUMN($F$1),FALSE))),VLOOKUP($C167,武器!$1:$998,COLUMN($O$1),FALSE)*VLOOKUP($D167,素材!$1:$1016,COLUMN($E$1),FALSE)/(LEN(VLOOKUP($D167,素材!$1:$1016,COLUMN($F$1),FALSE)) - LEN(SUBSTITUTE(VLOOKUP($D167,素材!$1:$1016,COLUMN($F$1),FALSE), "・", 0)) + 1), 0)</f>
        <v>0</v>
      </c>
      <c r="AR167">
        <f>IF(ISNUMBER(SEARCH(SUBSTITUTE(AR$1,RIGHT(AR$1,2),""),VLOOKUP($D167,素材!$1:$1016,COLUMN($F$1),FALSE))),VLOOKUP($C167,武器!$1:$998,COLUMN($O$1),FALSE)*VLOOKUP($D167,素材!$1:$1016,COLUMN($E$1),FALSE)/(LEN(VLOOKUP($D167,素材!$1:$1016,COLUMN($F$1),FALSE)) - LEN(SUBSTITUTE(VLOOKUP($D167,素材!$1:$1016,COLUMN($F$1),FALSE), "・", 0)) + 1), 0)</f>
        <v>0</v>
      </c>
      <c r="AS167">
        <f>IF(ISNUMBER(SEARCH(SUBSTITUTE(AS$1,RIGHT(AS$1,2),""),VLOOKUP($D167,素材!$1:$1016,COLUMN($F$1),FALSE))),VLOOKUP($C167,武器!$1:$998,COLUMN($O$1),FALSE)*VLOOKUP($D167,素材!$1:$1016,COLUMN($E$1),FALSE)/(LEN(VLOOKUP($D167,素材!$1:$1016,COLUMN($F$1),FALSE)) - LEN(SUBSTITUTE(VLOOKUP($D167,素材!$1:$1016,COLUMN($F$1),FALSE), "・", 0)) + 1), 0)</f>
        <v>0</v>
      </c>
      <c r="AT167">
        <f>IF(ISNUMBER(SEARCH(SUBSTITUTE(AT$1,RIGHT(AT$1,2),""),VLOOKUP($D167,素材!$1:$1016,COLUMN($F$1),FALSE))),VLOOKUP($C167,武器!$1:$998,COLUMN($O$1),FALSE)*VLOOKUP($D167,素材!$1:$1016,COLUMN($E$1),FALSE)/(LEN(VLOOKUP($D167,素材!$1:$1016,COLUMN($F$1),FALSE)) - LEN(SUBSTITUTE(VLOOKUP($D167,素材!$1:$1016,COLUMN($F$1),FALSE), "・", 0)) + 1), 0)</f>
        <v>0</v>
      </c>
      <c r="AU167">
        <f>IF(ISNUMBER(SEARCH(SUBSTITUTE(AU$1,RIGHT(AU$1,2),""),VLOOKUP($D167,素材!$1:$1016,COLUMN($F$1),FALSE))),VLOOKUP($C167,武器!$1:$998,COLUMN($O$1),FALSE)*VLOOKUP($D167,素材!$1:$1016,COLUMN($E$1),FALSE)/(LEN(VLOOKUP($D167,素材!$1:$1016,COLUMN($F$1),FALSE)) - LEN(SUBSTITUTE(VLOOKUP($D167,素材!$1:$1016,COLUMN($F$1),FALSE), "・", 0)) + 1), 0)</f>
        <v>0</v>
      </c>
      <c r="AV167">
        <f>IF(ISNUMBER(SEARCH(SUBSTITUTE(AV$1,RIGHT(AV$1,2),""),VLOOKUP($D167,素材!$1:$1016,COLUMN($F$1),FALSE))),VLOOKUP($C167,武器!$1:$998,COLUMN($O$1),FALSE)*VLOOKUP($D167,素材!$1:$1016,COLUMN($E$1),FALSE)/(LEN(VLOOKUP($D167,素材!$1:$1016,COLUMN($F$1),FALSE)) - LEN(SUBSTITUTE(VLOOKUP($D167,素材!$1:$1016,COLUMN($F$1),FALSE), "・", 0)) + 1), 0)</f>
        <v>0</v>
      </c>
      <c r="AW167">
        <f>IF(ISNUMBER(SEARCH(SUBSTITUTE(AW$1,RIGHT(AW$1,2),""),VLOOKUP($D167,素材!$1:$1016,COLUMN($F$1),FALSE))),VLOOKUP($C167,武器!$1:$998,COLUMN($O$1),FALSE)*VLOOKUP($D167,素材!$1:$1016,COLUMN($E$1),FALSE)/(LEN(VLOOKUP($D167,素材!$1:$1016,COLUMN($F$1),FALSE)) - LEN(SUBSTITUTE(VLOOKUP($D167,素材!$1:$1016,COLUMN($F$1),FALSE), "・", 0)) + 1), 0)</f>
        <v>0</v>
      </c>
      <c r="AX167">
        <f>IF(ISNUMBER(SEARCH(SUBSTITUTE(AX$1,RIGHT(AX$1,2),""),VLOOKUP($D167,素材!$1:$1016,COLUMN($F$1),FALSE))),VLOOKUP($C167,武器!$1:$998,COLUMN($O$1),FALSE)*VLOOKUP($D167,素材!$1:$1016,COLUMN($E$1),FALSE)/(LEN(VLOOKUP($D167,素材!$1:$1016,COLUMN($F$1),FALSE)) - LEN(SUBSTITUTE(VLOOKUP($D167,素材!$1:$1016,COLUMN($F$1),FALSE), "・", 0)) + 1), 0)</f>
        <v>0</v>
      </c>
      <c r="AY167">
        <f>IF(ISNUMBER(SEARCH(SUBSTITUTE(AY$1,RIGHT(AY$1,2),""),VLOOKUP($D167,素材!$1:$1016,COLUMN($F$1),FALSE))),VLOOKUP($C167,武器!$1:$998,COLUMN($O$1),FALSE)*VLOOKUP($D167,素材!$1:$1016,COLUMN($E$1),FALSE)/(LEN(VLOOKUP($D167,素材!$1:$1016,COLUMN($F$1),FALSE)) - LEN(SUBSTITUTE(VLOOKUP($D167,素材!$1:$1016,COLUMN($F$1),FALSE), "・", 0)) + 1), 0)</f>
        <v>0</v>
      </c>
      <c r="AZ167">
        <f>IF(ISNUMBER(SEARCH(SUBSTITUTE(AZ$1,RIGHT(AZ$1,2),""),VLOOKUP($D167,素材!$1:$1016,COLUMN($F$1),FALSE))),VLOOKUP($C167,武器!$1:$998,COLUMN($O$1),FALSE)*VLOOKUP($D167,素材!$1:$1016,COLUMN($E$1),FALSE)/(LEN(VLOOKUP($D167,素材!$1:$1016,COLUMN($F$1),FALSE)) - LEN(SUBSTITUTE(VLOOKUP($D167,素材!$1:$1016,COLUMN($F$1),FALSE), "・", 0)) + 1), 0)</f>
        <v>0</v>
      </c>
      <c r="BA167">
        <f>IF(ISNUMBER(SEARCH(SUBSTITUTE(BA$1,RIGHT(BA$1,2),""),VLOOKUP($D167,素材!$1:$1016,COLUMN($F$1),FALSE))),VLOOKUP($C167,武器!$1:$998,COLUMN($O$1),FALSE)*VLOOKUP($D167,素材!$1:$1016,COLUMN($E$1),FALSE)/(LEN(VLOOKUP($D167,素材!$1:$1016,COLUMN($F$1),FALSE)) - LEN(SUBSTITUTE(VLOOKUP($D167,素材!$1:$1016,COLUMN($F$1),FALSE), "・", 0)) + 1), 0)</f>
        <v>0</v>
      </c>
      <c r="BB167">
        <f>IF(ISNUMBER(SEARCH(SUBSTITUTE(BB$1,RIGHT(BB$1,2),""),VLOOKUP($D167,素材!$1:$1016,COLUMN($F$1),FALSE))),VLOOKUP($C167,武器!$1:$998,COLUMN($O$1),FALSE)*VLOOKUP($D167,素材!$1:$1016,COLUMN($E$1),FALSE)/(LEN(VLOOKUP($D167,素材!$1:$1016,COLUMN($F$1),FALSE)) - LEN(SUBSTITUTE(VLOOKUP($D167,素材!$1:$1016,COLUMN($F$1),FALSE), "・", 0)) + 1), 0)</f>
        <v>0</v>
      </c>
      <c r="BC167">
        <f>IF(ISNUMBER(SEARCH(SUBSTITUTE(BC$1,RIGHT(BC$1,2),""),VLOOKUP($D167,素材!$1:$1016,COLUMN($F$1),FALSE))),VLOOKUP($C167,武器!$1:$998,COLUMN($O$1),FALSE)*VLOOKUP($D167,素材!$1:$1016,COLUMN($E$1),FALSE)/(LEN(VLOOKUP($D167,素材!$1:$1016,COLUMN($F$1),FALSE)) - LEN(SUBSTITUTE(VLOOKUP($D167,素材!$1:$1016,COLUMN($F$1),FALSE), "・", 0)) + 1), 0)</f>
        <v>0</v>
      </c>
      <c r="BD167">
        <f>IF(ISNUMBER(SEARCH(SUBSTITUTE(BD$1,RIGHT(BD$1,2),""),VLOOKUP($D167,素材!$1:$1016,COLUMN($F$1),FALSE))),VLOOKUP($C167,武器!$1:$998,COLUMN($O$1),FALSE)*VLOOKUP($D167,素材!$1:$1016,COLUMN($E$1),FALSE)/(LEN(VLOOKUP($D167,素材!$1:$1016,COLUMN($F$1),FALSE)) - LEN(SUBSTITUTE(VLOOKUP($D167,素材!$1:$1016,COLUMN($F$1),FALSE), "・", 0)) + 1), 0)</f>
        <v>0</v>
      </c>
      <c r="BE167">
        <f>IF(ISNUMBER(SEARCH(SUBSTITUTE(BE$1,RIGHT(BE$1,2),""),VLOOKUP($D167,素材!$1:$1016,COLUMN($F$1),FALSE))),VLOOKUP($C167,武器!$1:$998,COLUMN($O$1),FALSE)*VLOOKUP($D167,素材!$1:$1016,COLUMN($E$1),FALSE)/(LEN(VLOOKUP($D167,素材!$1:$1016,COLUMN($F$1),FALSE)) - LEN(SUBSTITUTE(VLOOKUP($D167,素材!$1:$1016,COLUMN($F$1),FALSE), "・", 0)) + 1), 0)</f>
        <v>0</v>
      </c>
      <c r="CL167">
        <f>SUM(G167:I167)</f>
        <v>27</v>
      </c>
      <c r="CM167" s="22" t="str">
        <f>IF(E167="武器",IF(J167-1&gt;SUM(G167:I167),"盾",IF(MAX(G167:I167)=G167,"切断",IF(MAX(G167:I167)=H167,"貫通",IF(MAX(G167:I167)=I167,"打撃","射撃")))),E167)&amp;".webp"</f>
        <v>貫通.webp</v>
      </c>
      <c r="CN167">
        <f>IFERROR(VLOOKUP($C167,武器!$1:$998,COLUMN(V$1),FALSE)*VLOOKUP($D167,素材!$1:$1016,COLUMN(N$1),FALSE)+IF(CI167="",0,VLOOKUP($CI167,装強!$1:$1008,COLUMN($CK$1),FALSE)),"")</f>
        <v>3000</v>
      </c>
      <c r="CO167">
        <f>VLOOKUP(D167,素材!$A:$O,COLUMN(素材!O$1),FALSE)</f>
        <v>0</v>
      </c>
      <c r="CP167" t="str">
        <f>VLOOKUP(C167,武器!$A:$W,COLUMN(武器!W$1),FALSE)</f>
        <v>槍。リーチが長く、刺突に優れる武器。</v>
      </c>
      <c r="CR167" t="str">
        <f t="shared" si="18"/>
        <v>e_167</v>
      </c>
      <c r="CS167">
        <f t="shared" si="22"/>
        <v>300000</v>
      </c>
    </row>
    <row r="168" spans="1:97" outlineLevel="1" x14ac:dyDescent="0.4">
      <c r="A168" t="str">
        <f t="shared" si="27"/>
        <v>黒鋼鉄の騎士槍</v>
      </c>
      <c r="B168" t="str">
        <f>IFERROR(VLOOKUP($D168,素材!$1:$1016,COLUMN($B$1),FALSE)&amp;"・"&amp;VLOOKUP($C168,武器!$1:$998,COLUMN(B$1),FALSE),"")</f>
        <v>ブラックスティール・ランス</v>
      </c>
      <c r="C168" s="24" t="s">
        <v>232</v>
      </c>
      <c r="D168" s="24" t="s">
        <v>244</v>
      </c>
      <c r="E168" t="str">
        <f>IFERROR(VLOOKUP(C168,武器!$1:$998,COLUMN(C$1),FALSE),"")</f>
        <v>武器</v>
      </c>
      <c r="F168">
        <f>IFERROR(ROUNDDOWN((VLOOKUP($C168,武器!$1:$998,COLUMN(D$1),FALSE)+IFERROR(VLOOKUP($CI168,装強!$1:$999,COLUMN(F$1),FALSE),0))*VLOOKUP($D168,素材!$1:$1016,COLUMN(D$1),FALSE),0),"")</f>
        <v>115</v>
      </c>
      <c r="G168">
        <f>IFERROR(ROUNDDOWN((VLOOKUP($C168,武器!$1:$998,COLUMN(E$1),FALSE)+IFERROR(VLOOKUP($CI168,装強!$1:$999,COLUMN(G$1),FALSE),0))*VLOOKUP($D168,素材!$1:$1016,COLUMN($E$1),FALSE),0),"")</f>
        <v>0</v>
      </c>
      <c r="H168">
        <f>IFERROR(ROUNDDOWN((VLOOKUP($C168,武器!$1:$998,COLUMN(F$1),FALSE)+IFERROR(VLOOKUP($CI168,装強!$1:$999,COLUMN(H$1),FALSE),0))*VLOOKUP($D168,素材!$1:$1016,COLUMN($E$1),FALSE),0),"")</f>
        <v>19</v>
      </c>
      <c r="I168">
        <f>IFERROR(ROUNDDOWN((VLOOKUP($C168,武器!$1:$998,COLUMN(G$1),FALSE)+IFERROR(VLOOKUP($CI168,装強!$1:$999,COLUMN(I$1),FALSE),0))*VLOOKUP($D168,素材!$1:$1016,COLUMN($E$1),FALSE),0),"")</f>
        <v>9</v>
      </c>
      <c r="J168">
        <f>IFERROR(ROUNDDOWN((VLOOKUP($C168,武器!$1:$998,COLUMN(H$1),FALSE)+IFERROR(VLOOKUP($CI168,装強!$1:$999,COLUMN(J$1),FALSE),0))*VLOOKUP($D168,素材!$1:$1016,COLUMN($E$1),FALSE),0),"")</f>
        <v>20</v>
      </c>
      <c r="K168">
        <f>IFERROR(ROUNDDOWN((VLOOKUP($C168,武器!$1:$998,COLUMN(I$1),FALSE)+IFERROR(VLOOKUP($CI168,装強!$1:$999,COLUMN(K$1),FALSE),0))*VLOOKUP($D168,素材!$1:$1016,COLUMN($E$1),FALSE),0),"")</f>
        <v>0</v>
      </c>
      <c r="L168" t="str">
        <f>IFERROR(VLOOKUP($D168,素材!$1:$1016,COLUMN($F$1),FALSE),"")</f>
        <v>雷</v>
      </c>
      <c r="M168">
        <f>IFERROR(VLOOKUP($C168,武器!$1:$998,COLUMN(AA$1),FALSE)*VLOOKUP($D168,素材!$1:$1016,COLUMN($G$1),FALSE),"")</f>
        <v>49</v>
      </c>
      <c r="N168">
        <f>IFERROR(VLOOKUP($C168,武器!$1:$998,COLUMN(I$1),FALSE),"")</f>
        <v>0</v>
      </c>
      <c r="O168" s="23">
        <f>IFERROR((VLOOKUP($C168,武器!$1:$998,COLUMN(K$1),FALSE)+VLOOKUP($D168,素材!$1:$1016,COLUMN(H$1),FALSE))*100+IFERROR(VLOOKUP($CI168,装強!$1:$999,COLUMN(O$1),FALSE),0),"")</f>
        <v>5</v>
      </c>
      <c r="P168" s="23">
        <f>IFERROR((VLOOKUP($C168,武器!$1:$998,COLUMN(L$1),FALSE)+VLOOKUP($D168,素材!$1:$1016,COLUMN(I$1),FALSE))*100+IFERROR(VLOOKUP($CI168,装強!$1:$999,COLUMN(P$1),FALSE),0),"")</f>
        <v>175</v>
      </c>
      <c r="Q168">
        <f>IFERROR(ROUNDUP(VLOOKUP($C168,武器!$1:$998,COLUMN(M$1),FALSE)*(VLOOKUP($D168,素材!$1:$1002,COLUMN(D$1),FALSE)/100),1),"")</f>
        <v>-5</v>
      </c>
      <c r="R168">
        <f>IFERROR(ROUNDUP(VLOOKUP($C168,武器!$1:$998,COLUMN(N$1),FALSE)*(VLOOKUP($D168,素材!$1:$1002,COLUMN(D$1),FALSE)/100),1),"")</f>
        <v>-5</v>
      </c>
      <c r="S168">
        <f>IFERROR(VLOOKUP($C168,武器!$1:$998,COLUMN(P$1),FALSE),"")</f>
        <v>0</v>
      </c>
      <c r="T168">
        <f>IFERROR(VLOOKUP($C168,武器!$1:$998,COLUMN(Q$1),FALSE),"")</f>
        <v>0</v>
      </c>
      <c r="U168">
        <f>IFERROR(VLOOKUP($C168,武器!$1:$998,COLUMN(R$1),FALSE),"")</f>
        <v>0</v>
      </c>
      <c r="V168">
        <f>IFERROR(VLOOKUP($C168,武器!$1:$998,COLUMN(Q$1),FALSE),"")</f>
        <v>0</v>
      </c>
      <c r="W168" t="str">
        <f>IFERROR(VLOOKUP($C168,武器!$1:$998,COLUMN(T$1),FALSE),"")</f>
        <v>A</v>
      </c>
      <c r="Y168" t="str">
        <f>IFERROR(VLOOKUP($C168,武器!$1:$998,COLUMN(U$1),FALSE),"")</f>
        <v>突撃強化</v>
      </c>
      <c r="Z168">
        <f>IFERROR(ROUNDUP(VLOOKUP($C168,武器!$1:$998,COLUMN(O$1),FALSE)*VLOOKUP($D168,素材!$1:$1016,COLUMN(E$1),FALSE),1),"")</f>
        <v>0</v>
      </c>
      <c r="AA168">
        <f>IF(ISNUMBER(SEARCH(SUBSTITUTE(AA$1,RIGHT(AA$1,2),""),VLOOKUP($D168,素材!$1:$1016,COLUMN($F$1),FALSE))),VLOOKUP($C168,武器!$1:$998,COLUMN($O$1),FALSE)*VLOOKUP($D168,素材!$1:$1016,COLUMN($E$1),FALSE)/(LEN(VLOOKUP($D168,素材!$1:$1016,COLUMN($F$1),FALSE)) - LEN(SUBSTITUTE(VLOOKUP($D168,素材!$1:$1016,COLUMN($F$1),FALSE), "・", 0)) + 1), 0)</f>
        <v>0</v>
      </c>
      <c r="AB168">
        <f>IF(ISNUMBER(SEARCH(SUBSTITUTE(AB$1,RIGHT(AB$1,2),""),VLOOKUP($D168,素材!$1:$1016,COLUMN($F$1),FALSE))),VLOOKUP($C168,武器!$1:$998,COLUMN($O$1),FALSE)*VLOOKUP($D168,素材!$1:$1016,COLUMN($E$1),FALSE)/(LEN(VLOOKUP($D168,素材!$1:$1016,COLUMN($F$1),FALSE)) - LEN(SUBSTITUTE(VLOOKUP($D168,素材!$1:$1016,COLUMN($F$1),FALSE), "・", 0)) + 1), 0)</f>
        <v>0</v>
      </c>
      <c r="AC168">
        <f>IF(ISNUMBER(SEARCH(SUBSTITUTE(AC$1,RIGHT(AC$1,2),""),VLOOKUP($D168,素材!$1:$1016,COLUMN($F$1),FALSE))),VLOOKUP($C168,武器!$1:$998,COLUMN($O$1),FALSE)*VLOOKUP($D168,素材!$1:$1016,COLUMN($E$1),FALSE)/(LEN(VLOOKUP($D168,素材!$1:$1016,COLUMN($F$1),FALSE)) - LEN(SUBSTITUTE(VLOOKUP($D168,素材!$1:$1016,COLUMN($F$1),FALSE), "・", 0)) + 1), 0)</f>
        <v>0</v>
      </c>
      <c r="AD168">
        <f>IF(ISNUMBER(SEARCH(SUBSTITUTE(AD$1,RIGHT(AD$1,2),""),VLOOKUP($D168,素材!$1:$1016,COLUMN($F$1),FALSE))),VLOOKUP($C168,武器!$1:$998,COLUMN($O$1),FALSE)*VLOOKUP($D168,素材!$1:$1016,COLUMN($E$1),FALSE)/(LEN(VLOOKUP($D168,素材!$1:$1016,COLUMN($F$1),FALSE)) - LEN(SUBSTITUTE(VLOOKUP($D168,素材!$1:$1016,COLUMN($F$1),FALSE), "・", 0)) + 1), 0)</f>
        <v>0</v>
      </c>
      <c r="AE168">
        <f>IF(ISNUMBER(SEARCH(SUBSTITUTE(AE$1,RIGHT(AE$1,2),""),VLOOKUP($D168,素材!$1:$1016,COLUMN($F$1),FALSE))),VLOOKUP($C168,武器!$1:$998,COLUMN($O$1),FALSE)*VLOOKUP($D168,素材!$1:$1016,COLUMN($E$1),FALSE)/(LEN(VLOOKUP($D168,素材!$1:$1016,COLUMN($F$1),FALSE)) - LEN(SUBSTITUTE(VLOOKUP($D168,素材!$1:$1016,COLUMN($F$1),FALSE), "・", 0)) + 1), 0)</f>
        <v>0</v>
      </c>
      <c r="AF168">
        <f>IF(ISNUMBER(SEARCH(SUBSTITUTE(AF$1,RIGHT(AF$1,2),""),VLOOKUP($D168,素材!$1:$1016,COLUMN($F$1),FALSE))),VLOOKUP($C168,武器!$1:$998,COLUMN($O$1),FALSE)*VLOOKUP($D168,素材!$1:$1016,COLUMN($E$1),FALSE)/(LEN(VLOOKUP($D168,素材!$1:$1016,COLUMN($F$1),FALSE)) - LEN(SUBSTITUTE(VLOOKUP($D168,素材!$1:$1016,COLUMN($F$1),FALSE), "・", 0)) + 1), 0)</f>
        <v>0</v>
      </c>
      <c r="AG168">
        <f>IF(ISNUMBER(SEARCH(SUBSTITUTE(AG$1,RIGHT(AG$1,2),""),VLOOKUP($D168,素材!$1:$1016,COLUMN($F$1),FALSE))),VLOOKUP($C168,武器!$1:$998,COLUMN($O$1),FALSE)*VLOOKUP($D168,素材!$1:$1016,COLUMN($E$1),FALSE)/(LEN(VLOOKUP($D168,素材!$1:$1016,COLUMN($F$1),FALSE)) - LEN(SUBSTITUTE(VLOOKUP($D168,素材!$1:$1016,COLUMN($F$1),FALSE), "・", 0)) + 1), 0)</f>
        <v>0</v>
      </c>
      <c r="AH168">
        <f>IF(ISNUMBER(SEARCH(SUBSTITUTE(AH$1,RIGHT(AH$1,2),""),VLOOKUP($D168,素材!$1:$1016,COLUMN($F$1),FALSE))),VLOOKUP($C168,武器!$1:$998,COLUMN($O$1),FALSE)*VLOOKUP($D168,素材!$1:$1016,COLUMN($E$1),FALSE)/(LEN(VLOOKUP($D168,素材!$1:$1016,COLUMN($F$1),FALSE)) - LEN(SUBSTITUTE(VLOOKUP($D168,素材!$1:$1016,COLUMN($F$1),FALSE), "・", 0)) + 1), 0)</f>
        <v>0</v>
      </c>
      <c r="AI168">
        <f>IF(ISNUMBER(SEARCH(SUBSTITUTE(AI$1,RIGHT(AI$1,2),""),VLOOKUP($D168,素材!$1:$1016,COLUMN($F$1),FALSE))),VLOOKUP($C168,武器!$1:$998,COLUMN($O$1),FALSE)*VLOOKUP($D168,素材!$1:$1016,COLUMN($E$1),FALSE)/(LEN(VLOOKUP($D168,素材!$1:$1016,COLUMN($F$1),FALSE)) - LEN(SUBSTITUTE(VLOOKUP($D168,素材!$1:$1016,COLUMN($F$1),FALSE), "・", 0)) + 1), 0)</f>
        <v>0</v>
      </c>
      <c r="AJ168">
        <f>IF(ISNUMBER(SEARCH(SUBSTITUTE(AJ$1,RIGHT(AJ$1,2),""),VLOOKUP($D168,素材!$1:$1016,COLUMN($F$1),FALSE))),VLOOKUP($C168,武器!$1:$998,COLUMN($O$1),FALSE)*VLOOKUP($D168,素材!$1:$1016,COLUMN($E$1),FALSE)/(LEN(VLOOKUP($D168,素材!$1:$1016,COLUMN($F$1),FALSE)) - LEN(SUBSTITUTE(VLOOKUP($D168,素材!$1:$1016,COLUMN($F$1),FALSE), "・", 0)) + 1), 0)</f>
        <v>0</v>
      </c>
      <c r="AK168">
        <f>IF(ISNUMBER(SEARCH(SUBSTITUTE(AK$1,RIGHT(AK$1,2),""),VLOOKUP($D168,素材!$1:$1016,COLUMN($F$1),FALSE))),VLOOKUP($C168,武器!$1:$998,COLUMN($O$1),FALSE)*VLOOKUP($D168,素材!$1:$1016,COLUMN($E$1),FALSE)/(LEN(VLOOKUP($D168,素材!$1:$1016,COLUMN($F$1),FALSE)) - LEN(SUBSTITUTE(VLOOKUP($D168,素材!$1:$1016,COLUMN($F$1),FALSE), "・", 0)) + 1), 0)</f>
        <v>0</v>
      </c>
      <c r="AL168">
        <f>IF(ISNUMBER(SEARCH(SUBSTITUTE(AL$1,RIGHT(AL$1,2),""),VLOOKUP($D168,素材!$1:$1016,COLUMN($F$1),FALSE))),VLOOKUP($C168,武器!$1:$998,COLUMN($O$1),FALSE)*VLOOKUP($D168,素材!$1:$1016,COLUMN($E$1),FALSE)/(LEN(VLOOKUP($D168,素材!$1:$1016,COLUMN($F$1),FALSE)) - LEN(SUBSTITUTE(VLOOKUP($D168,素材!$1:$1016,COLUMN($F$1),FALSE), "・", 0)) + 1), 0)</f>
        <v>0</v>
      </c>
      <c r="AM168">
        <f>IF(ISNUMBER(SEARCH(SUBSTITUTE(AM$1,RIGHT(AM$1,2),""),VLOOKUP($D168,素材!$1:$1016,COLUMN($F$1),FALSE))),VLOOKUP($C168,武器!$1:$998,COLUMN($O$1),FALSE)*VLOOKUP($D168,素材!$1:$1016,COLUMN($E$1),FALSE)/(LEN(VLOOKUP($D168,素材!$1:$1016,COLUMN($F$1),FALSE)) - LEN(SUBSTITUTE(VLOOKUP($D168,素材!$1:$1016,COLUMN($F$1),FALSE), "・", 0)) + 1), 0)</f>
        <v>0</v>
      </c>
      <c r="AN168">
        <f>IF(ISNUMBER(SEARCH(SUBSTITUTE(AN$1,RIGHT(AN$1,2),""),VLOOKUP($D168,素材!$1:$1016,COLUMN($F$1),FALSE))),VLOOKUP($C168,武器!$1:$998,COLUMN($O$1),FALSE)*VLOOKUP($D168,素材!$1:$1016,COLUMN($E$1),FALSE)/(LEN(VLOOKUP($D168,素材!$1:$1016,COLUMN($F$1),FALSE)) - LEN(SUBSTITUTE(VLOOKUP($D168,素材!$1:$1016,COLUMN($F$1),FALSE), "・", 0)) + 1), 0)</f>
        <v>0</v>
      </c>
      <c r="AO168">
        <f>IF(ISNUMBER(SEARCH(SUBSTITUTE(AO$1,RIGHT(AO$1,2),""),VLOOKUP($D168,素材!$1:$1016,COLUMN($F$1),FALSE))),VLOOKUP($C168,武器!$1:$998,COLUMN($O$1),FALSE)*VLOOKUP($D168,素材!$1:$1016,COLUMN($E$1),FALSE)/(LEN(VLOOKUP($D168,素材!$1:$1016,COLUMN($F$1),FALSE)) - LEN(SUBSTITUTE(VLOOKUP($D168,素材!$1:$1016,COLUMN($F$1),FALSE), "・", 0)) + 1), 0)</f>
        <v>0</v>
      </c>
      <c r="AP168">
        <f>IF(ISNUMBER(SEARCH(SUBSTITUTE(AP$1,RIGHT(AP$1,2),""),VLOOKUP($D168,素材!$1:$1016,COLUMN($F$1),FALSE))),VLOOKUP($C168,武器!$1:$998,COLUMN($O$1),FALSE)*VLOOKUP($D168,素材!$1:$1016,COLUMN($E$1),FALSE)/(LEN(VLOOKUP($D168,素材!$1:$1016,COLUMN($F$1),FALSE)) - LEN(SUBSTITUTE(VLOOKUP($D168,素材!$1:$1016,COLUMN($F$1),FALSE), "・", 0)) + 1), 0)</f>
        <v>0</v>
      </c>
      <c r="AQ168">
        <f>IF(ISNUMBER(SEARCH(SUBSTITUTE(AQ$1,RIGHT(AQ$1,2),""),VLOOKUP($D168,素材!$1:$1016,COLUMN($F$1),FALSE))),VLOOKUP($C168,武器!$1:$998,COLUMN($O$1),FALSE)*VLOOKUP($D168,素材!$1:$1016,COLUMN($E$1),FALSE)/(LEN(VLOOKUP($D168,素材!$1:$1016,COLUMN($F$1),FALSE)) - LEN(SUBSTITUTE(VLOOKUP($D168,素材!$1:$1016,COLUMN($F$1),FALSE), "・", 0)) + 1), 0)</f>
        <v>0</v>
      </c>
      <c r="AR168">
        <f>IF(ISNUMBER(SEARCH(SUBSTITUTE(AR$1,RIGHT(AR$1,2),""),VLOOKUP($D168,素材!$1:$1016,COLUMN($F$1),FALSE))),VLOOKUP($C168,武器!$1:$998,COLUMN($O$1),FALSE)*VLOOKUP($D168,素材!$1:$1016,COLUMN($E$1),FALSE)/(LEN(VLOOKUP($D168,素材!$1:$1016,COLUMN($F$1),FALSE)) - LEN(SUBSTITUTE(VLOOKUP($D168,素材!$1:$1016,COLUMN($F$1),FALSE), "・", 0)) + 1), 0)</f>
        <v>0</v>
      </c>
      <c r="AS168">
        <f>IF(ISNUMBER(SEARCH(SUBSTITUTE(AS$1,RIGHT(AS$1,2),""),VLOOKUP($D168,素材!$1:$1016,COLUMN($F$1),FALSE))),VLOOKUP($C168,武器!$1:$998,COLUMN($O$1),FALSE)*VLOOKUP($D168,素材!$1:$1016,COLUMN($E$1),FALSE)/(LEN(VLOOKUP($D168,素材!$1:$1016,COLUMN($F$1),FALSE)) - LEN(SUBSTITUTE(VLOOKUP($D168,素材!$1:$1016,COLUMN($F$1),FALSE), "・", 0)) + 1), 0)</f>
        <v>0</v>
      </c>
      <c r="AT168">
        <f>IF(ISNUMBER(SEARCH(SUBSTITUTE(AT$1,RIGHT(AT$1,2),""),VLOOKUP($D168,素材!$1:$1016,COLUMN($F$1),FALSE))),VLOOKUP($C168,武器!$1:$998,COLUMN($O$1),FALSE)*VLOOKUP($D168,素材!$1:$1016,COLUMN($E$1),FALSE)/(LEN(VLOOKUP($D168,素材!$1:$1016,COLUMN($F$1),FALSE)) - LEN(SUBSTITUTE(VLOOKUP($D168,素材!$1:$1016,COLUMN($F$1),FALSE), "・", 0)) + 1), 0)</f>
        <v>0</v>
      </c>
      <c r="AU168">
        <f>IF(ISNUMBER(SEARCH(SUBSTITUTE(AU$1,RIGHT(AU$1,2),""),VLOOKUP($D168,素材!$1:$1016,COLUMN($F$1),FALSE))),VLOOKUP($C168,武器!$1:$998,COLUMN($O$1),FALSE)*VLOOKUP($D168,素材!$1:$1016,COLUMN($E$1),FALSE)/(LEN(VLOOKUP($D168,素材!$1:$1016,COLUMN($F$1),FALSE)) - LEN(SUBSTITUTE(VLOOKUP($D168,素材!$1:$1016,COLUMN($F$1),FALSE), "・", 0)) + 1), 0)</f>
        <v>0</v>
      </c>
      <c r="AV168">
        <f>IF(ISNUMBER(SEARCH(SUBSTITUTE(AV$1,RIGHT(AV$1,2),""),VLOOKUP($D168,素材!$1:$1016,COLUMN($F$1),FALSE))),VLOOKUP($C168,武器!$1:$998,COLUMN($O$1),FALSE)*VLOOKUP($D168,素材!$1:$1016,COLUMN($E$1),FALSE)/(LEN(VLOOKUP($D168,素材!$1:$1016,COLUMN($F$1),FALSE)) - LEN(SUBSTITUTE(VLOOKUP($D168,素材!$1:$1016,COLUMN($F$1),FALSE), "・", 0)) + 1), 0)</f>
        <v>0</v>
      </c>
      <c r="AW168">
        <f>IF(ISNUMBER(SEARCH(SUBSTITUTE(AW$1,RIGHT(AW$1,2),""),VLOOKUP($D168,素材!$1:$1016,COLUMN($F$1),FALSE))),VLOOKUP($C168,武器!$1:$998,COLUMN($O$1),FALSE)*VLOOKUP($D168,素材!$1:$1016,COLUMN($E$1),FALSE)/(LEN(VLOOKUP($D168,素材!$1:$1016,COLUMN($F$1),FALSE)) - LEN(SUBSTITUTE(VLOOKUP($D168,素材!$1:$1016,COLUMN($F$1),FALSE), "・", 0)) + 1), 0)</f>
        <v>0</v>
      </c>
      <c r="AX168">
        <f>IF(ISNUMBER(SEARCH(SUBSTITUTE(AX$1,RIGHT(AX$1,2),""),VLOOKUP($D168,素材!$1:$1016,COLUMN($F$1),FALSE))),VLOOKUP($C168,武器!$1:$998,COLUMN($O$1),FALSE)*VLOOKUP($D168,素材!$1:$1016,COLUMN($E$1),FALSE)/(LEN(VLOOKUP($D168,素材!$1:$1016,COLUMN($F$1),FALSE)) - LEN(SUBSTITUTE(VLOOKUP($D168,素材!$1:$1016,COLUMN($F$1),FALSE), "・", 0)) + 1), 0)</f>
        <v>0</v>
      </c>
      <c r="AY168">
        <f>IF(ISNUMBER(SEARCH(SUBSTITUTE(AY$1,RIGHT(AY$1,2),""),VLOOKUP($D168,素材!$1:$1016,COLUMN($F$1),FALSE))),VLOOKUP($C168,武器!$1:$998,COLUMN($O$1),FALSE)*VLOOKUP($D168,素材!$1:$1016,COLUMN($E$1),FALSE)/(LEN(VLOOKUP($D168,素材!$1:$1016,COLUMN($F$1),FALSE)) - LEN(SUBSTITUTE(VLOOKUP($D168,素材!$1:$1016,COLUMN($F$1),FALSE), "・", 0)) + 1), 0)</f>
        <v>0</v>
      </c>
      <c r="AZ168">
        <f>IF(ISNUMBER(SEARCH(SUBSTITUTE(AZ$1,RIGHT(AZ$1,2),""),VLOOKUP($D168,素材!$1:$1016,COLUMN($F$1),FALSE))),VLOOKUP($C168,武器!$1:$998,COLUMN($O$1),FALSE)*VLOOKUP($D168,素材!$1:$1016,COLUMN($E$1),FALSE)/(LEN(VLOOKUP($D168,素材!$1:$1016,COLUMN($F$1),FALSE)) - LEN(SUBSTITUTE(VLOOKUP($D168,素材!$1:$1016,COLUMN($F$1),FALSE), "・", 0)) + 1), 0)</f>
        <v>0</v>
      </c>
      <c r="BA168">
        <f>IF(ISNUMBER(SEARCH(SUBSTITUTE(BA$1,RIGHT(BA$1,2),""),VLOOKUP($D168,素材!$1:$1016,COLUMN($F$1),FALSE))),VLOOKUP($C168,武器!$1:$998,COLUMN($O$1),FALSE)*VLOOKUP($D168,素材!$1:$1016,COLUMN($E$1),FALSE)/(LEN(VLOOKUP($D168,素材!$1:$1016,COLUMN($F$1),FALSE)) - LEN(SUBSTITUTE(VLOOKUP($D168,素材!$1:$1016,COLUMN($F$1),FALSE), "・", 0)) + 1), 0)</f>
        <v>0</v>
      </c>
      <c r="BB168">
        <f>IF(ISNUMBER(SEARCH(SUBSTITUTE(BB$1,RIGHT(BB$1,2),""),VLOOKUP($D168,素材!$1:$1016,COLUMN($F$1),FALSE))),VLOOKUP($C168,武器!$1:$998,COLUMN($O$1),FALSE)*VLOOKUP($D168,素材!$1:$1016,COLUMN($E$1),FALSE)/(LEN(VLOOKUP($D168,素材!$1:$1016,COLUMN($F$1),FALSE)) - LEN(SUBSTITUTE(VLOOKUP($D168,素材!$1:$1016,COLUMN($F$1),FALSE), "・", 0)) + 1), 0)</f>
        <v>0</v>
      </c>
      <c r="BC168">
        <f>IF(ISNUMBER(SEARCH(SUBSTITUTE(BC$1,RIGHT(BC$1,2),""),VLOOKUP($D168,素材!$1:$1016,COLUMN($F$1),FALSE))),VLOOKUP($C168,武器!$1:$998,COLUMN($O$1),FALSE)*VLOOKUP($D168,素材!$1:$1016,COLUMN($E$1),FALSE)/(LEN(VLOOKUP($D168,素材!$1:$1016,COLUMN($F$1),FALSE)) - LEN(SUBSTITUTE(VLOOKUP($D168,素材!$1:$1016,COLUMN($F$1),FALSE), "・", 0)) + 1), 0)</f>
        <v>0</v>
      </c>
      <c r="BD168">
        <f>IF(ISNUMBER(SEARCH(SUBSTITUTE(BD$1,RIGHT(BD$1,2),""),VLOOKUP($D168,素材!$1:$1016,COLUMN($F$1),FALSE))),VLOOKUP($C168,武器!$1:$998,COLUMN($O$1),FALSE)*VLOOKUP($D168,素材!$1:$1016,COLUMN($E$1),FALSE)/(LEN(VLOOKUP($D168,素材!$1:$1016,COLUMN($F$1),FALSE)) - LEN(SUBSTITUTE(VLOOKUP($D168,素材!$1:$1016,COLUMN($F$1),FALSE), "・", 0)) + 1), 0)</f>
        <v>0</v>
      </c>
      <c r="BE168">
        <f>IF(ISNUMBER(SEARCH(SUBSTITUTE(BE$1,RIGHT(BE$1,2),""),VLOOKUP($D168,素材!$1:$1016,COLUMN($F$1),FALSE))),VLOOKUP($C168,武器!$1:$998,COLUMN($O$1),FALSE)*VLOOKUP($D168,素材!$1:$1016,COLUMN($E$1),FALSE)/(LEN(VLOOKUP($D168,素材!$1:$1016,COLUMN($F$1),FALSE)) - LEN(SUBSTITUTE(VLOOKUP($D168,素材!$1:$1016,COLUMN($F$1),FALSE), "・", 0)) + 1), 0)</f>
        <v>0</v>
      </c>
      <c r="CL168">
        <f>SUM(G168:I168)</f>
        <v>28</v>
      </c>
      <c r="CM168" s="22" t="str">
        <f>IF(E168="武器",IF(J168-1&gt;SUM(G168:I168),"盾",IF(MAX(G168:I168)=G168,"切断",IF(MAX(G168:I168)=H168,"貫通",IF(MAX(G168:I168)=I168,"打撃","射撃")))),E168)&amp;".webp"</f>
        <v>貫通.webp</v>
      </c>
      <c r="CN168">
        <f>IFERROR(VLOOKUP($C168,武器!$1:$998,COLUMN(V$1),FALSE)*VLOOKUP($D168,素材!$1:$1016,COLUMN(N$1),FALSE)+IF(CI168="",0,VLOOKUP($CI168,装強!$1:$1008,COLUMN($CK$1),FALSE)),"")</f>
        <v>4500</v>
      </c>
      <c r="CO168">
        <f>VLOOKUP(D168,素材!$A:$O,COLUMN(素材!O$1),FALSE)</f>
        <v>0</v>
      </c>
      <c r="CP168" t="str">
        <f>VLOOKUP(C168,武器!$A:$W,COLUMN(武器!W$1),FALSE)</f>
        <v>騎士槍。突撃に特化した武器で、高い攻撃力を誇る。</v>
      </c>
      <c r="CR168" t="str">
        <f t="shared" si="18"/>
        <v>e_168</v>
      </c>
      <c r="CS168">
        <f t="shared" si="22"/>
        <v>450000</v>
      </c>
    </row>
    <row r="169" spans="1:97" outlineLevel="1" x14ac:dyDescent="0.4">
      <c r="A169" t="str">
        <f t="shared" si="27"/>
        <v>黒鋼鉄の斧槍</v>
      </c>
      <c r="B169" t="str">
        <f>IFERROR(VLOOKUP($D169,素材!$1:$1016,COLUMN($B$1),FALSE)&amp;"・"&amp;VLOOKUP($C169,武器!$1:$998,COLUMN(B$1),FALSE),"")</f>
        <v>ブラックスティール・ハルバート</v>
      </c>
      <c r="C169" s="24" t="s">
        <v>231</v>
      </c>
      <c r="D169" s="24" t="s">
        <v>244</v>
      </c>
      <c r="E169" t="str">
        <f>IFERROR(VLOOKUP(C169,武器!$1:$998,COLUMN(C$1),FALSE),"")</f>
        <v>武器</v>
      </c>
      <c r="F169">
        <f>IFERROR(ROUNDDOWN((VLOOKUP($C169,武器!$1:$998,COLUMN(D$1),FALSE)+IFERROR(VLOOKUP($CI169,装強!$1:$999,COLUMN(F$1),FALSE),0))*VLOOKUP($D169,素材!$1:$1016,COLUMN(D$1),FALSE),0),"")</f>
        <v>110</v>
      </c>
      <c r="G169">
        <f>IFERROR(ROUNDDOWN((VLOOKUP($C169,武器!$1:$998,COLUMN(E$1),FALSE)+IFERROR(VLOOKUP($CI169,装強!$1:$999,COLUMN(G$1),FALSE),0))*VLOOKUP($D169,素材!$1:$1016,COLUMN($E$1),FALSE),0),"")</f>
        <v>8</v>
      </c>
      <c r="H169">
        <f>IFERROR(ROUNDDOWN((VLOOKUP($C169,武器!$1:$998,COLUMN(F$1),FALSE)+IFERROR(VLOOKUP($CI169,装強!$1:$999,COLUMN(H$1),FALSE),0))*VLOOKUP($D169,素材!$1:$1016,COLUMN($E$1),FALSE),0),"")</f>
        <v>10</v>
      </c>
      <c r="I169">
        <f>IFERROR(ROUNDDOWN((VLOOKUP($C169,武器!$1:$998,COLUMN(G$1),FALSE)+IFERROR(VLOOKUP($CI169,装強!$1:$999,COLUMN(I$1),FALSE),0))*VLOOKUP($D169,素材!$1:$1016,COLUMN($E$1),FALSE),0),"")</f>
        <v>6</v>
      </c>
      <c r="J169">
        <f>IFERROR(ROUNDDOWN((VLOOKUP($C169,武器!$1:$998,COLUMN(H$1),FALSE)+IFERROR(VLOOKUP($CI169,装強!$1:$999,COLUMN(J$1),FALSE),0))*VLOOKUP($D169,素材!$1:$1016,COLUMN($E$1),FALSE),0),"")</f>
        <v>19</v>
      </c>
      <c r="K169">
        <f>IFERROR(ROUNDDOWN((VLOOKUP($C169,武器!$1:$998,COLUMN(I$1),FALSE)+IFERROR(VLOOKUP($CI169,装強!$1:$999,COLUMN(K$1),FALSE),0))*VLOOKUP($D169,素材!$1:$1016,COLUMN($E$1),FALSE),0),"")</f>
        <v>0</v>
      </c>
      <c r="L169" t="str">
        <f>IFERROR(VLOOKUP($D169,素材!$1:$1016,COLUMN($F$1),FALSE),"")</f>
        <v>雷</v>
      </c>
      <c r="M169">
        <f>IFERROR(VLOOKUP($C169,武器!$1:$998,COLUMN(AA$1),FALSE)*VLOOKUP($D169,素材!$1:$1016,COLUMN($G$1),FALSE),"")</f>
        <v>42</v>
      </c>
      <c r="N169">
        <f>IFERROR(VLOOKUP($C169,武器!$1:$998,COLUMN(I$1),FALSE),"")</f>
        <v>0</v>
      </c>
      <c r="O169" s="23">
        <f>IFERROR((VLOOKUP($C169,武器!$1:$998,COLUMN(K$1),FALSE)+VLOOKUP($D169,素材!$1:$1016,COLUMN(H$1),FALSE))*100+IFERROR(VLOOKUP($CI169,装強!$1:$999,COLUMN(O$1),FALSE),0),"")</f>
        <v>10</v>
      </c>
      <c r="P169" s="23">
        <f>IFERROR((VLOOKUP($C169,武器!$1:$998,COLUMN(L$1),FALSE)+VLOOKUP($D169,素材!$1:$1016,COLUMN(I$1),FALSE))*100+IFERROR(VLOOKUP($CI169,装強!$1:$999,COLUMN(P$1),FALSE),0),"")</f>
        <v>150</v>
      </c>
      <c r="Q169">
        <f>IFERROR(ROUNDUP(VLOOKUP($C169,武器!$1:$998,COLUMN(M$1),FALSE)*(VLOOKUP($D169,素材!$1:$1002,COLUMN(D$1),FALSE)/100),1),"")</f>
        <v>-5</v>
      </c>
      <c r="R169">
        <f>IFERROR(ROUNDUP(VLOOKUP($C169,武器!$1:$998,COLUMN(N$1),FALSE)*(VLOOKUP($D169,素材!$1:$1002,COLUMN(D$1),FALSE)/100),1),"")</f>
        <v>-5</v>
      </c>
      <c r="S169">
        <f>IFERROR(VLOOKUP($C169,武器!$1:$998,COLUMN(P$1),FALSE),"")</f>
        <v>0</v>
      </c>
      <c r="T169">
        <f>IFERROR(VLOOKUP($C169,武器!$1:$998,COLUMN(Q$1),FALSE),"")</f>
        <v>0</v>
      </c>
      <c r="U169">
        <f>IFERROR(VLOOKUP($C169,武器!$1:$998,COLUMN(R$1),FALSE),"")</f>
        <v>0</v>
      </c>
      <c r="V169">
        <f>IFERROR(VLOOKUP($C169,武器!$1:$998,COLUMN(Q$1),FALSE),"")</f>
        <v>0</v>
      </c>
      <c r="W169" t="str">
        <f>IFERROR(VLOOKUP($C169,武器!$1:$998,COLUMN(T$1),FALSE),"")</f>
        <v>A</v>
      </c>
      <c r="Y169">
        <f>IFERROR(VLOOKUP($C169,武器!$1:$998,COLUMN(U$1),FALSE),"")</f>
        <v>0</v>
      </c>
      <c r="Z169">
        <f>IFERROR(ROUNDUP(VLOOKUP($C169,武器!$1:$998,COLUMN(O$1),FALSE)*VLOOKUP($D169,素材!$1:$1016,COLUMN(E$1),FALSE),1),"")</f>
        <v>0</v>
      </c>
      <c r="AA169">
        <f>IF(ISNUMBER(SEARCH(SUBSTITUTE(AA$1,RIGHT(AA$1,2),""),VLOOKUP($D169,素材!$1:$1016,COLUMN($F$1),FALSE))),VLOOKUP($C169,武器!$1:$998,COLUMN($O$1),FALSE)*VLOOKUP($D169,素材!$1:$1016,COLUMN($E$1),FALSE)/(LEN(VLOOKUP($D169,素材!$1:$1016,COLUMN($F$1),FALSE)) - LEN(SUBSTITUTE(VLOOKUP($D169,素材!$1:$1016,COLUMN($F$1),FALSE), "・", 0)) + 1), 0)</f>
        <v>0</v>
      </c>
      <c r="AB169">
        <f>IF(ISNUMBER(SEARCH(SUBSTITUTE(AB$1,RIGHT(AB$1,2),""),VLOOKUP($D169,素材!$1:$1016,COLUMN($F$1),FALSE))),VLOOKUP($C169,武器!$1:$998,COLUMN($O$1),FALSE)*VLOOKUP($D169,素材!$1:$1016,COLUMN($E$1),FALSE)/(LEN(VLOOKUP($D169,素材!$1:$1016,COLUMN($F$1),FALSE)) - LEN(SUBSTITUTE(VLOOKUP($D169,素材!$1:$1016,COLUMN($F$1),FALSE), "・", 0)) + 1), 0)</f>
        <v>0</v>
      </c>
      <c r="AC169">
        <f>IF(ISNUMBER(SEARCH(SUBSTITUTE(AC$1,RIGHT(AC$1,2),""),VLOOKUP($D169,素材!$1:$1016,COLUMN($F$1),FALSE))),VLOOKUP($C169,武器!$1:$998,COLUMN($O$1),FALSE)*VLOOKUP($D169,素材!$1:$1016,COLUMN($E$1),FALSE)/(LEN(VLOOKUP($D169,素材!$1:$1016,COLUMN($F$1),FALSE)) - LEN(SUBSTITUTE(VLOOKUP($D169,素材!$1:$1016,COLUMN($F$1),FALSE), "・", 0)) + 1), 0)</f>
        <v>0</v>
      </c>
      <c r="AD169">
        <f>IF(ISNUMBER(SEARCH(SUBSTITUTE(AD$1,RIGHT(AD$1,2),""),VLOOKUP($D169,素材!$1:$1016,COLUMN($F$1),FALSE))),VLOOKUP($C169,武器!$1:$998,COLUMN($O$1),FALSE)*VLOOKUP($D169,素材!$1:$1016,COLUMN($E$1),FALSE)/(LEN(VLOOKUP($D169,素材!$1:$1016,COLUMN($F$1),FALSE)) - LEN(SUBSTITUTE(VLOOKUP($D169,素材!$1:$1016,COLUMN($F$1),FALSE), "・", 0)) + 1), 0)</f>
        <v>0</v>
      </c>
      <c r="AE169">
        <f>IF(ISNUMBER(SEARCH(SUBSTITUTE(AE$1,RIGHT(AE$1,2),""),VLOOKUP($D169,素材!$1:$1016,COLUMN($F$1),FALSE))),VLOOKUP($C169,武器!$1:$998,COLUMN($O$1),FALSE)*VLOOKUP($D169,素材!$1:$1016,COLUMN($E$1),FALSE)/(LEN(VLOOKUP($D169,素材!$1:$1016,COLUMN($F$1),FALSE)) - LEN(SUBSTITUTE(VLOOKUP($D169,素材!$1:$1016,COLUMN($F$1),FALSE), "・", 0)) + 1), 0)</f>
        <v>0</v>
      </c>
      <c r="AF169">
        <f>IF(ISNUMBER(SEARCH(SUBSTITUTE(AF$1,RIGHT(AF$1,2),""),VLOOKUP($D169,素材!$1:$1016,COLUMN($F$1),FALSE))),VLOOKUP($C169,武器!$1:$998,COLUMN($O$1),FALSE)*VLOOKUP($D169,素材!$1:$1016,COLUMN($E$1),FALSE)/(LEN(VLOOKUP($D169,素材!$1:$1016,COLUMN($F$1),FALSE)) - LEN(SUBSTITUTE(VLOOKUP($D169,素材!$1:$1016,COLUMN($F$1),FALSE), "・", 0)) + 1), 0)</f>
        <v>0</v>
      </c>
      <c r="AG169">
        <f>IF(ISNUMBER(SEARCH(SUBSTITUTE(AG$1,RIGHT(AG$1,2),""),VLOOKUP($D169,素材!$1:$1016,COLUMN($F$1),FALSE))),VLOOKUP($C169,武器!$1:$998,COLUMN($O$1),FALSE)*VLOOKUP($D169,素材!$1:$1016,COLUMN($E$1),FALSE)/(LEN(VLOOKUP($D169,素材!$1:$1016,COLUMN($F$1),FALSE)) - LEN(SUBSTITUTE(VLOOKUP($D169,素材!$1:$1016,COLUMN($F$1),FALSE), "・", 0)) + 1), 0)</f>
        <v>0</v>
      </c>
      <c r="AH169">
        <f>IF(ISNUMBER(SEARCH(SUBSTITUTE(AH$1,RIGHT(AH$1,2),""),VLOOKUP($D169,素材!$1:$1016,COLUMN($F$1),FALSE))),VLOOKUP($C169,武器!$1:$998,COLUMN($O$1),FALSE)*VLOOKUP($D169,素材!$1:$1016,COLUMN($E$1),FALSE)/(LEN(VLOOKUP($D169,素材!$1:$1016,COLUMN($F$1),FALSE)) - LEN(SUBSTITUTE(VLOOKUP($D169,素材!$1:$1016,COLUMN($F$1),FALSE), "・", 0)) + 1), 0)</f>
        <v>0</v>
      </c>
      <c r="AI169">
        <f>IF(ISNUMBER(SEARCH(SUBSTITUTE(AI$1,RIGHT(AI$1,2),""),VLOOKUP($D169,素材!$1:$1016,COLUMN($F$1),FALSE))),VLOOKUP($C169,武器!$1:$998,COLUMN($O$1),FALSE)*VLOOKUP($D169,素材!$1:$1016,COLUMN($E$1),FALSE)/(LEN(VLOOKUP($D169,素材!$1:$1016,COLUMN($F$1),FALSE)) - LEN(SUBSTITUTE(VLOOKUP($D169,素材!$1:$1016,COLUMN($F$1),FALSE), "・", 0)) + 1), 0)</f>
        <v>0</v>
      </c>
      <c r="AJ169">
        <f>IF(ISNUMBER(SEARCH(SUBSTITUTE(AJ$1,RIGHT(AJ$1,2),""),VLOOKUP($D169,素材!$1:$1016,COLUMN($F$1),FALSE))),VLOOKUP($C169,武器!$1:$998,COLUMN($O$1),FALSE)*VLOOKUP($D169,素材!$1:$1016,COLUMN($E$1),FALSE)/(LEN(VLOOKUP($D169,素材!$1:$1016,COLUMN($F$1),FALSE)) - LEN(SUBSTITUTE(VLOOKUP($D169,素材!$1:$1016,COLUMN($F$1),FALSE), "・", 0)) + 1), 0)</f>
        <v>0</v>
      </c>
      <c r="AK169">
        <f>IF(ISNUMBER(SEARCH(SUBSTITUTE(AK$1,RIGHT(AK$1,2),""),VLOOKUP($D169,素材!$1:$1016,COLUMN($F$1),FALSE))),VLOOKUP($C169,武器!$1:$998,COLUMN($O$1),FALSE)*VLOOKUP($D169,素材!$1:$1016,COLUMN($E$1),FALSE)/(LEN(VLOOKUP($D169,素材!$1:$1016,COLUMN($F$1),FALSE)) - LEN(SUBSTITUTE(VLOOKUP($D169,素材!$1:$1016,COLUMN($F$1),FALSE), "・", 0)) + 1), 0)</f>
        <v>0</v>
      </c>
      <c r="AL169">
        <f>IF(ISNUMBER(SEARCH(SUBSTITUTE(AL$1,RIGHT(AL$1,2),""),VLOOKUP($D169,素材!$1:$1016,COLUMN($F$1),FALSE))),VLOOKUP($C169,武器!$1:$998,COLUMN($O$1),FALSE)*VLOOKUP($D169,素材!$1:$1016,COLUMN($E$1),FALSE)/(LEN(VLOOKUP($D169,素材!$1:$1016,COLUMN($F$1),FALSE)) - LEN(SUBSTITUTE(VLOOKUP($D169,素材!$1:$1016,COLUMN($F$1),FALSE), "・", 0)) + 1), 0)</f>
        <v>0</v>
      </c>
      <c r="AM169">
        <f>IF(ISNUMBER(SEARCH(SUBSTITUTE(AM$1,RIGHT(AM$1,2),""),VLOOKUP($D169,素材!$1:$1016,COLUMN($F$1),FALSE))),VLOOKUP($C169,武器!$1:$998,COLUMN($O$1),FALSE)*VLOOKUP($D169,素材!$1:$1016,COLUMN($E$1),FALSE)/(LEN(VLOOKUP($D169,素材!$1:$1016,COLUMN($F$1),FALSE)) - LEN(SUBSTITUTE(VLOOKUP($D169,素材!$1:$1016,COLUMN($F$1),FALSE), "・", 0)) + 1), 0)</f>
        <v>0</v>
      </c>
      <c r="AN169">
        <f>IF(ISNUMBER(SEARCH(SUBSTITUTE(AN$1,RIGHT(AN$1,2),""),VLOOKUP($D169,素材!$1:$1016,COLUMN($F$1),FALSE))),VLOOKUP($C169,武器!$1:$998,COLUMN($O$1),FALSE)*VLOOKUP($D169,素材!$1:$1016,COLUMN($E$1),FALSE)/(LEN(VLOOKUP($D169,素材!$1:$1016,COLUMN($F$1),FALSE)) - LEN(SUBSTITUTE(VLOOKUP($D169,素材!$1:$1016,COLUMN($F$1),FALSE), "・", 0)) + 1), 0)</f>
        <v>0</v>
      </c>
      <c r="AO169">
        <f>IF(ISNUMBER(SEARCH(SUBSTITUTE(AO$1,RIGHT(AO$1,2),""),VLOOKUP($D169,素材!$1:$1016,COLUMN($F$1),FALSE))),VLOOKUP($C169,武器!$1:$998,COLUMN($O$1),FALSE)*VLOOKUP($D169,素材!$1:$1016,COLUMN($E$1),FALSE)/(LEN(VLOOKUP($D169,素材!$1:$1016,COLUMN($F$1),FALSE)) - LEN(SUBSTITUTE(VLOOKUP($D169,素材!$1:$1016,COLUMN($F$1),FALSE), "・", 0)) + 1), 0)</f>
        <v>0</v>
      </c>
      <c r="AP169">
        <f>IF(ISNUMBER(SEARCH(SUBSTITUTE(AP$1,RIGHT(AP$1,2),""),VLOOKUP($D169,素材!$1:$1016,COLUMN($F$1),FALSE))),VLOOKUP($C169,武器!$1:$998,COLUMN($O$1),FALSE)*VLOOKUP($D169,素材!$1:$1016,COLUMN($E$1),FALSE)/(LEN(VLOOKUP($D169,素材!$1:$1016,COLUMN($F$1),FALSE)) - LEN(SUBSTITUTE(VLOOKUP($D169,素材!$1:$1016,COLUMN($F$1),FALSE), "・", 0)) + 1), 0)</f>
        <v>0</v>
      </c>
      <c r="AQ169">
        <f>IF(ISNUMBER(SEARCH(SUBSTITUTE(AQ$1,RIGHT(AQ$1,2),""),VLOOKUP($D169,素材!$1:$1016,COLUMN($F$1),FALSE))),VLOOKUP($C169,武器!$1:$998,COLUMN($O$1),FALSE)*VLOOKUP($D169,素材!$1:$1016,COLUMN($E$1),FALSE)/(LEN(VLOOKUP($D169,素材!$1:$1016,COLUMN($F$1),FALSE)) - LEN(SUBSTITUTE(VLOOKUP($D169,素材!$1:$1016,COLUMN($F$1),FALSE), "・", 0)) + 1), 0)</f>
        <v>0</v>
      </c>
      <c r="AR169">
        <f>IF(ISNUMBER(SEARCH(SUBSTITUTE(AR$1,RIGHT(AR$1,2),""),VLOOKUP($D169,素材!$1:$1016,COLUMN($F$1),FALSE))),VLOOKUP($C169,武器!$1:$998,COLUMN($O$1),FALSE)*VLOOKUP($D169,素材!$1:$1016,COLUMN($E$1),FALSE)/(LEN(VLOOKUP($D169,素材!$1:$1016,COLUMN($F$1),FALSE)) - LEN(SUBSTITUTE(VLOOKUP($D169,素材!$1:$1016,COLUMN($F$1),FALSE), "・", 0)) + 1), 0)</f>
        <v>0</v>
      </c>
      <c r="AS169">
        <f>IF(ISNUMBER(SEARCH(SUBSTITUTE(AS$1,RIGHT(AS$1,2),""),VLOOKUP($D169,素材!$1:$1016,COLUMN($F$1),FALSE))),VLOOKUP($C169,武器!$1:$998,COLUMN($O$1),FALSE)*VLOOKUP($D169,素材!$1:$1016,COLUMN($E$1),FALSE)/(LEN(VLOOKUP($D169,素材!$1:$1016,COLUMN($F$1),FALSE)) - LEN(SUBSTITUTE(VLOOKUP($D169,素材!$1:$1016,COLUMN($F$1),FALSE), "・", 0)) + 1), 0)</f>
        <v>0</v>
      </c>
      <c r="AT169">
        <f>IF(ISNUMBER(SEARCH(SUBSTITUTE(AT$1,RIGHT(AT$1,2),""),VLOOKUP($D169,素材!$1:$1016,COLUMN($F$1),FALSE))),VLOOKUP($C169,武器!$1:$998,COLUMN($O$1),FALSE)*VLOOKUP($D169,素材!$1:$1016,COLUMN($E$1),FALSE)/(LEN(VLOOKUP($D169,素材!$1:$1016,COLUMN($F$1),FALSE)) - LEN(SUBSTITUTE(VLOOKUP($D169,素材!$1:$1016,COLUMN($F$1),FALSE), "・", 0)) + 1), 0)</f>
        <v>0</v>
      </c>
      <c r="AU169">
        <f>IF(ISNUMBER(SEARCH(SUBSTITUTE(AU$1,RIGHT(AU$1,2),""),VLOOKUP($D169,素材!$1:$1016,COLUMN($F$1),FALSE))),VLOOKUP($C169,武器!$1:$998,COLUMN($O$1),FALSE)*VLOOKUP($D169,素材!$1:$1016,COLUMN($E$1),FALSE)/(LEN(VLOOKUP($D169,素材!$1:$1016,COLUMN($F$1),FALSE)) - LEN(SUBSTITUTE(VLOOKUP($D169,素材!$1:$1016,COLUMN($F$1),FALSE), "・", 0)) + 1), 0)</f>
        <v>0</v>
      </c>
      <c r="AV169">
        <f>IF(ISNUMBER(SEARCH(SUBSTITUTE(AV$1,RIGHT(AV$1,2),""),VLOOKUP($D169,素材!$1:$1016,COLUMN($F$1),FALSE))),VLOOKUP($C169,武器!$1:$998,COLUMN($O$1),FALSE)*VLOOKUP($D169,素材!$1:$1016,COLUMN($E$1),FALSE)/(LEN(VLOOKUP($D169,素材!$1:$1016,COLUMN($F$1),FALSE)) - LEN(SUBSTITUTE(VLOOKUP($D169,素材!$1:$1016,COLUMN($F$1),FALSE), "・", 0)) + 1), 0)</f>
        <v>0</v>
      </c>
      <c r="AW169">
        <f>IF(ISNUMBER(SEARCH(SUBSTITUTE(AW$1,RIGHT(AW$1,2),""),VLOOKUP($D169,素材!$1:$1016,COLUMN($F$1),FALSE))),VLOOKUP($C169,武器!$1:$998,COLUMN($O$1),FALSE)*VLOOKUP($D169,素材!$1:$1016,COLUMN($E$1),FALSE)/(LEN(VLOOKUP($D169,素材!$1:$1016,COLUMN($F$1),FALSE)) - LEN(SUBSTITUTE(VLOOKUP($D169,素材!$1:$1016,COLUMN($F$1),FALSE), "・", 0)) + 1), 0)</f>
        <v>0</v>
      </c>
      <c r="AX169">
        <f>IF(ISNUMBER(SEARCH(SUBSTITUTE(AX$1,RIGHT(AX$1,2),""),VLOOKUP($D169,素材!$1:$1016,COLUMN($F$1),FALSE))),VLOOKUP($C169,武器!$1:$998,COLUMN($O$1),FALSE)*VLOOKUP($D169,素材!$1:$1016,COLUMN($E$1),FALSE)/(LEN(VLOOKUP($D169,素材!$1:$1016,COLUMN($F$1),FALSE)) - LEN(SUBSTITUTE(VLOOKUP($D169,素材!$1:$1016,COLUMN($F$1),FALSE), "・", 0)) + 1), 0)</f>
        <v>0</v>
      </c>
      <c r="AY169">
        <f>IF(ISNUMBER(SEARCH(SUBSTITUTE(AY$1,RIGHT(AY$1,2),""),VLOOKUP($D169,素材!$1:$1016,COLUMN($F$1),FALSE))),VLOOKUP($C169,武器!$1:$998,COLUMN($O$1),FALSE)*VLOOKUP($D169,素材!$1:$1016,COLUMN($E$1),FALSE)/(LEN(VLOOKUP($D169,素材!$1:$1016,COLUMN($F$1),FALSE)) - LEN(SUBSTITUTE(VLOOKUP($D169,素材!$1:$1016,COLUMN($F$1),FALSE), "・", 0)) + 1), 0)</f>
        <v>0</v>
      </c>
      <c r="AZ169">
        <f>IF(ISNUMBER(SEARCH(SUBSTITUTE(AZ$1,RIGHT(AZ$1,2),""),VLOOKUP($D169,素材!$1:$1016,COLUMN($F$1),FALSE))),VLOOKUP($C169,武器!$1:$998,COLUMN($O$1),FALSE)*VLOOKUP($D169,素材!$1:$1016,COLUMN($E$1),FALSE)/(LEN(VLOOKUP($D169,素材!$1:$1016,COLUMN($F$1),FALSE)) - LEN(SUBSTITUTE(VLOOKUP($D169,素材!$1:$1016,COLUMN($F$1),FALSE), "・", 0)) + 1), 0)</f>
        <v>0</v>
      </c>
      <c r="BA169">
        <f>IF(ISNUMBER(SEARCH(SUBSTITUTE(BA$1,RIGHT(BA$1,2),""),VLOOKUP($D169,素材!$1:$1016,COLUMN($F$1),FALSE))),VLOOKUP($C169,武器!$1:$998,COLUMN($O$1),FALSE)*VLOOKUP($D169,素材!$1:$1016,COLUMN($E$1),FALSE)/(LEN(VLOOKUP($D169,素材!$1:$1016,COLUMN($F$1),FALSE)) - LEN(SUBSTITUTE(VLOOKUP($D169,素材!$1:$1016,COLUMN($F$1),FALSE), "・", 0)) + 1), 0)</f>
        <v>0</v>
      </c>
      <c r="BB169">
        <f>IF(ISNUMBER(SEARCH(SUBSTITUTE(BB$1,RIGHT(BB$1,2),""),VLOOKUP($D169,素材!$1:$1016,COLUMN($F$1),FALSE))),VLOOKUP($C169,武器!$1:$998,COLUMN($O$1),FALSE)*VLOOKUP($D169,素材!$1:$1016,COLUMN($E$1),FALSE)/(LEN(VLOOKUP($D169,素材!$1:$1016,COLUMN($F$1),FALSE)) - LEN(SUBSTITUTE(VLOOKUP($D169,素材!$1:$1016,COLUMN($F$1),FALSE), "・", 0)) + 1), 0)</f>
        <v>0</v>
      </c>
      <c r="BC169">
        <f>IF(ISNUMBER(SEARCH(SUBSTITUTE(BC$1,RIGHT(BC$1,2),""),VLOOKUP($D169,素材!$1:$1016,COLUMN($F$1),FALSE))),VLOOKUP($C169,武器!$1:$998,COLUMN($O$1),FALSE)*VLOOKUP($D169,素材!$1:$1016,COLUMN($E$1),FALSE)/(LEN(VLOOKUP($D169,素材!$1:$1016,COLUMN($F$1),FALSE)) - LEN(SUBSTITUTE(VLOOKUP($D169,素材!$1:$1016,COLUMN($F$1),FALSE), "・", 0)) + 1), 0)</f>
        <v>0</v>
      </c>
      <c r="BD169">
        <f>IF(ISNUMBER(SEARCH(SUBSTITUTE(BD$1,RIGHT(BD$1,2),""),VLOOKUP($D169,素材!$1:$1016,COLUMN($F$1),FALSE))),VLOOKUP($C169,武器!$1:$998,COLUMN($O$1),FALSE)*VLOOKUP($D169,素材!$1:$1016,COLUMN($E$1),FALSE)/(LEN(VLOOKUP($D169,素材!$1:$1016,COLUMN($F$1),FALSE)) - LEN(SUBSTITUTE(VLOOKUP($D169,素材!$1:$1016,COLUMN($F$1),FALSE), "・", 0)) + 1), 0)</f>
        <v>0</v>
      </c>
      <c r="BE169">
        <f>IF(ISNUMBER(SEARCH(SUBSTITUTE(BE$1,RIGHT(BE$1,2),""),VLOOKUP($D169,素材!$1:$1016,COLUMN($F$1),FALSE))),VLOOKUP($C169,武器!$1:$998,COLUMN($O$1),FALSE)*VLOOKUP($D169,素材!$1:$1016,COLUMN($E$1),FALSE)/(LEN(VLOOKUP($D169,素材!$1:$1016,COLUMN($F$1),FALSE)) - LEN(SUBSTITUTE(VLOOKUP($D169,素材!$1:$1016,COLUMN($F$1),FALSE), "・", 0)) + 1), 0)</f>
        <v>0</v>
      </c>
      <c r="CL169">
        <f>SUM(G169:I169)</f>
        <v>24</v>
      </c>
      <c r="CM169" s="22" t="str">
        <f>IF(E169="武器",IF(J169-1&gt;SUM(G169:I169),"盾",IF(MAX(G169:I169)=G169,"切断",IF(MAX(G169:I169)=H169,"貫通",IF(MAX(G169:I169)=I169,"打撃","射撃")))),E169)&amp;".webp"</f>
        <v>貫通.webp</v>
      </c>
      <c r="CN169">
        <f>IFERROR(VLOOKUP($C169,武器!$1:$998,COLUMN(V$1),FALSE)*VLOOKUP($D169,素材!$1:$1016,COLUMN(N$1),FALSE)+IF(CI169="",0,VLOOKUP($CI169,装強!$1:$1008,COLUMN($CK$1),FALSE)),"")</f>
        <v>3750</v>
      </c>
      <c r="CO169">
        <f>VLOOKUP(D169,素材!$A:$O,COLUMN(素材!O$1),FALSE)</f>
        <v>0</v>
      </c>
      <c r="CP169" t="str">
        <f>VLOOKUP(C169,武器!$A:$W,COLUMN(武器!W$1),FALSE)</f>
        <v>斧槍。全力時に威力が高く斬撃と突撃の両方に対応できる武器。</v>
      </c>
      <c r="CR169" t="str">
        <f t="shared" si="18"/>
        <v>e_169</v>
      </c>
      <c r="CS169">
        <f t="shared" si="22"/>
        <v>375000</v>
      </c>
    </row>
    <row r="170" spans="1:97" outlineLevel="1" x14ac:dyDescent="0.4">
      <c r="A170" t="str">
        <f t="shared" si="27"/>
        <v>黒鋼鉄の棍棒</v>
      </c>
      <c r="B170" t="str">
        <f>IFERROR(VLOOKUP($D170,素材!$1:$1016,COLUMN($B$1),FALSE)&amp;"・"&amp;VLOOKUP($C170,武器!$1:$998,COLUMN(B$1),FALSE),"")</f>
        <v>ブラックスティール・クラブ</v>
      </c>
      <c r="C170" s="24" t="s">
        <v>230</v>
      </c>
      <c r="D170" s="24" t="s">
        <v>244</v>
      </c>
      <c r="E170" t="str">
        <f>IFERROR(VLOOKUP(C170,武器!$1:$998,COLUMN(C$1),FALSE),"")</f>
        <v>武器</v>
      </c>
      <c r="F170">
        <f>IFERROR(ROUNDDOWN((VLOOKUP($C170,武器!$1:$998,COLUMN(D$1),FALSE)+IFERROR(VLOOKUP($CI170,装強!$1:$999,COLUMN(F$1),FALSE),0))*VLOOKUP($D170,素材!$1:$1016,COLUMN(D$1),FALSE),0),"")</f>
        <v>105</v>
      </c>
      <c r="G170">
        <f>IFERROR(ROUNDDOWN((VLOOKUP($C170,武器!$1:$998,COLUMN(E$1),FALSE)+IFERROR(VLOOKUP($CI170,装強!$1:$999,COLUMN(G$1),FALSE),0))*VLOOKUP($D170,素材!$1:$1016,COLUMN($E$1),FALSE),0),"")</f>
        <v>2</v>
      </c>
      <c r="H170">
        <f>IFERROR(ROUNDDOWN((VLOOKUP($C170,武器!$1:$998,COLUMN(F$1),FALSE)+IFERROR(VLOOKUP($CI170,装強!$1:$999,COLUMN(H$1),FALSE),0))*VLOOKUP($D170,素材!$1:$1016,COLUMN($E$1),FALSE),0),"")</f>
        <v>0</v>
      </c>
      <c r="I170">
        <f>IFERROR(ROUNDDOWN((VLOOKUP($C170,武器!$1:$998,COLUMN(G$1),FALSE)+IFERROR(VLOOKUP($CI170,装強!$1:$999,COLUMN(I$1),FALSE),0))*VLOOKUP($D170,素材!$1:$1016,COLUMN($E$1),FALSE),0),"")</f>
        <v>20</v>
      </c>
      <c r="J170">
        <f>IFERROR(ROUNDDOWN((VLOOKUP($C170,武器!$1:$998,COLUMN(H$1),FALSE)+IFERROR(VLOOKUP($CI170,装強!$1:$999,COLUMN(J$1),FALSE),0))*VLOOKUP($D170,素材!$1:$1016,COLUMN($E$1),FALSE),0),"")</f>
        <v>19</v>
      </c>
      <c r="K170">
        <f>IFERROR(ROUNDDOWN((VLOOKUP($C170,武器!$1:$998,COLUMN(I$1),FALSE)+IFERROR(VLOOKUP($CI170,装強!$1:$999,COLUMN(K$1),FALSE),0))*VLOOKUP($D170,素材!$1:$1016,COLUMN($E$1),FALSE),0),"")</f>
        <v>0</v>
      </c>
      <c r="L170" t="str">
        <f>IFERROR(VLOOKUP($D170,素材!$1:$1016,COLUMN($F$1),FALSE),"")</f>
        <v>雷</v>
      </c>
      <c r="M170">
        <f>IFERROR(VLOOKUP($C170,武器!$1:$998,COLUMN(AA$1),FALSE)*VLOOKUP($D170,素材!$1:$1016,COLUMN($G$1),FALSE),"")</f>
        <v>38.5</v>
      </c>
      <c r="N170">
        <f>IFERROR(VLOOKUP($C170,武器!$1:$998,COLUMN(I$1),FALSE),"")</f>
        <v>0</v>
      </c>
      <c r="O170" s="23">
        <f>IFERROR((VLOOKUP($C170,武器!$1:$998,COLUMN(K$1),FALSE)+VLOOKUP($D170,素材!$1:$1016,COLUMN(H$1),FALSE))*100+IFERROR(VLOOKUP($CI170,装強!$1:$999,COLUMN(O$1),FALSE),0),"")</f>
        <v>5</v>
      </c>
      <c r="P170" s="23">
        <f>IFERROR((VLOOKUP($C170,武器!$1:$998,COLUMN(L$1),FALSE)+VLOOKUP($D170,素材!$1:$1016,COLUMN(I$1),FALSE))*100+IFERROR(VLOOKUP($CI170,装強!$1:$999,COLUMN(P$1),FALSE),0),"")</f>
        <v>150</v>
      </c>
      <c r="Q170">
        <f>IFERROR(ROUNDUP(VLOOKUP($C170,武器!$1:$998,COLUMN(M$1),FALSE)*(VLOOKUP($D170,素材!$1:$1002,COLUMN(D$1),FALSE)/100),1),"")</f>
        <v>0</v>
      </c>
      <c r="R170">
        <f>IFERROR(ROUNDUP(VLOOKUP($C170,武器!$1:$998,COLUMN(N$1),FALSE)*(VLOOKUP($D170,素材!$1:$1002,COLUMN(D$1),FALSE)/100),1),"")</f>
        <v>0</v>
      </c>
      <c r="S170">
        <f>IFERROR(VLOOKUP($C170,武器!$1:$998,COLUMN(P$1),FALSE),"")</f>
        <v>0</v>
      </c>
      <c r="T170">
        <f>IFERROR(VLOOKUP($C170,武器!$1:$998,COLUMN(Q$1),FALSE),"")</f>
        <v>0</v>
      </c>
      <c r="U170">
        <f>IFERROR(VLOOKUP($C170,武器!$1:$998,COLUMN(R$1),FALSE),"")</f>
        <v>0</v>
      </c>
      <c r="V170">
        <f>IFERROR(VLOOKUP($C170,武器!$1:$998,COLUMN(Q$1),FALSE),"")</f>
        <v>0</v>
      </c>
      <c r="W170" t="str">
        <f>IFERROR(VLOOKUP($C170,武器!$1:$998,COLUMN(T$1),FALSE),"")</f>
        <v>A</v>
      </c>
      <c r="Y170" t="str">
        <f>IFERROR(VLOOKUP($C170,武器!$1:$998,COLUMN(U$1),FALSE),"")</f>
        <v>片手適性Ⅰ</v>
      </c>
      <c r="Z170">
        <f>IFERROR(ROUNDUP(VLOOKUP($C170,武器!$1:$998,COLUMN(O$1),FALSE)*VLOOKUP($D170,素材!$1:$1016,COLUMN(E$1),FALSE),1),"")</f>
        <v>0</v>
      </c>
      <c r="AA170">
        <f>IF(ISNUMBER(SEARCH(SUBSTITUTE(AA$1,RIGHT(AA$1,2),""),VLOOKUP($D170,素材!$1:$1016,COLUMN($F$1),FALSE))),VLOOKUP($C170,武器!$1:$998,COLUMN($O$1),FALSE)*VLOOKUP($D170,素材!$1:$1016,COLUMN($E$1),FALSE)/(LEN(VLOOKUP($D170,素材!$1:$1016,COLUMN($F$1),FALSE)) - LEN(SUBSTITUTE(VLOOKUP($D170,素材!$1:$1016,COLUMN($F$1),FALSE), "・", 0)) + 1), 0)</f>
        <v>0</v>
      </c>
      <c r="AB170">
        <f>IF(ISNUMBER(SEARCH(SUBSTITUTE(AB$1,RIGHT(AB$1,2),""),VLOOKUP($D170,素材!$1:$1016,COLUMN($F$1),FALSE))),VLOOKUP($C170,武器!$1:$998,COLUMN($O$1),FALSE)*VLOOKUP($D170,素材!$1:$1016,COLUMN($E$1),FALSE)/(LEN(VLOOKUP($D170,素材!$1:$1016,COLUMN($F$1),FALSE)) - LEN(SUBSTITUTE(VLOOKUP($D170,素材!$1:$1016,COLUMN($F$1),FALSE), "・", 0)) + 1), 0)</f>
        <v>0</v>
      </c>
      <c r="AC170">
        <f>IF(ISNUMBER(SEARCH(SUBSTITUTE(AC$1,RIGHT(AC$1,2),""),VLOOKUP($D170,素材!$1:$1016,COLUMN($F$1),FALSE))),VLOOKUP($C170,武器!$1:$998,COLUMN($O$1),FALSE)*VLOOKUP($D170,素材!$1:$1016,COLUMN($E$1),FALSE)/(LEN(VLOOKUP($D170,素材!$1:$1016,COLUMN($F$1),FALSE)) - LEN(SUBSTITUTE(VLOOKUP($D170,素材!$1:$1016,COLUMN($F$1),FALSE), "・", 0)) + 1), 0)</f>
        <v>0</v>
      </c>
      <c r="AD170">
        <f>IF(ISNUMBER(SEARCH(SUBSTITUTE(AD$1,RIGHT(AD$1,2),""),VLOOKUP($D170,素材!$1:$1016,COLUMN($F$1),FALSE))),VLOOKUP($C170,武器!$1:$998,COLUMN($O$1),FALSE)*VLOOKUP($D170,素材!$1:$1016,COLUMN($E$1),FALSE)/(LEN(VLOOKUP($D170,素材!$1:$1016,COLUMN($F$1),FALSE)) - LEN(SUBSTITUTE(VLOOKUP($D170,素材!$1:$1016,COLUMN($F$1),FALSE), "・", 0)) + 1), 0)</f>
        <v>0</v>
      </c>
      <c r="AE170">
        <f>IF(ISNUMBER(SEARCH(SUBSTITUTE(AE$1,RIGHT(AE$1,2),""),VLOOKUP($D170,素材!$1:$1016,COLUMN($F$1),FALSE))),VLOOKUP($C170,武器!$1:$998,COLUMN($O$1),FALSE)*VLOOKUP($D170,素材!$1:$1016,COLUMN($E$1),FALSE)/(LEN(VLOOKUP($D170,素材!$1:$1016,COLUMN($F$1),FALSE)) - LEN(SUBSTITUTE(VLOOKUP($D170,素材!$1:$1016,COLUMN($F$1),FALSE), "・", 0)) + 1), 0)</f>
        <v>0</v>
      </c>
      <c r="AF170">
        <f>IF(ISNUMBER(SEARCH(SUBSTITUTE(AF$1,RIGHT(AF$1,2),""),VLOOKUP($D170,素材!$1:$1016,COLUMN($F$1),FALSE))),VLOOKUP($C170,武器!$1:$998,COLUMN($O$1),FALSE)*VLOOKUP($D170,素材!$1:$1016,COLUMN($E$1),FALSE)/(LEN(VLOOKUP($D170,素材!$1:$1016,COLUMN($F$1),FALSE)) - LEN(SUBSTITUTE(VLOOKUP($D170,素材!$1:$1016,COLUMN($F$1),FALSE), "・", 0)) + 1), 0)</f>
        <v>0</v>
      </c>
      <c r="AG170">
        <f>IF(ISNUMBER(SEARCH(SUBSTITUTE(AG$1,RIGHT(AG$1,2),""),VLOOKUP($D170,素材!$1:$1016,COLUMN($F$1),FALSE))),VLOOKUP($C170,武器!$1:$998,COLUMN($O$1),FALSE)*VLOOKUP($D170,素材!$1:$1016,COLUMN($E$1),FALSE)/(LEN(VLOOKUP($D170,素材!$1:$1016,COLUMN($F$1),FALSE)) - LEN(SUBSTITUTE(VLOOKUP($D170,素材!$1:$1016,COLUMN($F$1),FALSE), "・", 0)) + 1), 0)</f>
        <v>0</v>
      </c>
      <c r="AH170">
        <f>IF(ISNUMBER(SEARCH(SUBSTITUTE(AH$1,RIGHT(AH$1,2),""),VLOOKUP($D170,素材!$1:$1016,COLUMN($F$1),FALSE))),VLOOKUP($C170,武器!$1:$998,COLUMN($O$1),FALSE)*VLOOKUP($D170,素材!$1:$1016,COLUMN($E$1),FALSE)/(LEN(VLOOKUP($D170,素材!$1:$1016,COLUMN($F$1),FALSE)) - LEN(SUBSTITUTE(VLOOKUP($D170,素材!$1:$1016,COLUMN($F$1),FALSE), "・", 0)) + 1), 0)</f>
        <v>0</v>
      </c>
      <c r="AI170">
        <f>IF(ISNUMBER(SEARCH(SUBSTITUTE(AI$1,RIGHT(AI$1,2),""),VLOOKUP($D170,素材!$1:$1016,COLUMN($F$1),FALSE))),VLOOKUP($C170,武器!$1:$998,COLUMN($O$1),FALSE)*VLOOKUP($D170,素材!$1:$1016,COLUMN($E$1),FALSE)/(LEN(VLOOKUP($D170,素材!$1:$1016,COLUMN($F$1),FALSE)) - LEN(SUBSTITUTE(VLOOKUP($D170,素材!$1:$1016,COLUMN($F$1),FALSE), "・", 0)) + 1), 0)</f>
        <v>0</v>
      </c>
      <c r="AJ170">
        <f>IF(ISNUMBER(SEARCH(SUBSTITUTE(AJ$1,RIGHT(AJ$1,2),""),VLOOKUP($D170,素材!$1:$1016,COLUMN($F$1),FALSE))),VLOOKUP($C170,武器!$1:$998,COLUMN($O$1),FALSE)*VLOOKUP($D170,素材!$1:$1016,COLUMN($E$1),FALSE)/(LEN(VLOOKUP($D170,素材!$1:$1016,COLUMN($F$1),FALSE)) - LEN(SUBSTITUTE(VLOOKUP($D170,素材!$1:$1016,COLUMN($F$1),FALSE), "・", 0)) + 1), 0)</f>
        <v>0</v>
      </c>
      <c r="AK170">
        <f>IF(ISNUMBER(SEARCH(SUBSTITUTE(AK$1,RIGHT(AK$1,2),""),VLOOKUP($D170,素材!$1:$1016,COLUMN($F$1),FALSE))),VLOOKUP($C170,武器!$1:$998,COLUMN($O$1),FALSE)*VLOOKUP($D170,素材!$1:$1016,COLUMN($E$1),FALSE)/(LEN(VLOOKUP($D170,素材!$1:$1016,COLUMN($F$1),FALSE)) - LEN(SUBSTITUTE(VLOOKUP($D170,素材!$1:$1016,COLUMN($F$1),FALSE), "・", 0)) + 1), 0)</f>
        <v>0</v>
      </c>
      <c r="AL170">
        <f>IF(ISNUMBER(SEARCH(SUBSTITUTE(AL$1,RIGHT(AL$1,2),""),VLOOKUP($D170,素材!$1:$1016,COLUMN($F$1),FALSE))),VLOOKUP($C170,武器!$1:$998,COLUMN($O$1),FALSE)*VLOOKUP($D170,素材!$1:$1016,COLUMN($E$1),FALSE)/(LEN(VLOOKUP($D170,素材!$1:$1016,COLUMN($F$1),FALSE)) - LEN(SUBSTITUTE(VLOOKUP($D170,素材!$1:$1016,COLUMN($F$1),FALSE), "・", 0)) + 1), 0)</f>
        <v>0</v>
      </c>
      <c r="AM170">
        <f>IF(ISNUMBER(SEARCH(SUBSTITUTE(AM$1,RIGHT(AM$1,2),""),VLOOKUP($D170,素材!$1:$1016,COLUMN($F$1),FALSE))),VLOOKUP($C170,武器!$1:$998,COLUMN($O$1),FALSE)*VLOOKUP($D170,素材!$1:$1016,COLUMN($E$1),FALSE)/(LEN(VLOOKUP($D170,素材!$1:$1016,COLUMN($F$1),FALSE)) - LEN(SUBSTITUTE(VLOOKUP($D170,素材!$1:$1016,COLUMN($F$1),FALSE), "・", 0)) + 1), 0)</f>
        <v>0</v>
      </c>
      <c r="AN170">
        <f>IF(ISNUMBER(SEARCH(SUBSTITUTE(AN$1,RIGHT(AN$1,2),""),VLOOKUP($D170,素材!$1:$1016,COLUMN($F$1),FALSE))),VLOOKUP($C170,武器!$1:$998,COLUMN($O$1),FALSE)*VLOOKUP($D170,素材!$1:$1016,COLUMN($E$1),FALSE)/(LEN(VLOOKUP($D170,素材!$1:$1016,COLUMN($F$1),FALSE)) - LEN(SUBSTITUTE(VLOOKUP($D170,素材!$1:$1016,COLUMN($F$1),FALSE), "・", 0)) + 1), 0)</f>
        <v>0</v>
      </c>
      <c r="AO170">
        <f>IF(ISNUMBER(SEARCH(SUBSTITUTE(AO$1,RIGHT(AO$1,2),""),VLOOKUP($D170,素材!$1:$1016,COLUMN($F$1),FALSE))),VLOOKUP($C170,武器!$1:$998,COLUMN($O$1),FALSE)*VLOOKUP($D170,素材!$1:$1016,COLUMN($E$1),FALSE)/(LEN(VLOOKUP($D170,素材!$1:$1016,COLUMN($F$1),FALSE)) - LEN(SUBSTITUTE(VLOOKUP($D170,素材!$1:$1016,COLUMN($F$1),FALSE), "・", 0)) + 1), 0)</f>
        <v>0</v>
      </c>
      <c r="AP170">
        <f>IF(ISNUMBER(SEARCH(SUBSTITUTE(AP$1,RIGHT(AP$1,2),""),VLOOKUP($D170,素材!$1:$1016,COLUMN($F$1),FALSE))),VLOOKUP($C170,武器!$1:$998,COLUMN($O$1),FALSE)*VLOOKUP($D170,素材!$1:$1016,COLUMN($E$1),FALSE)/(LEN(VLOOKUP($D170,素材!$1:$1016,COLUMN($F$1),FALSE)) - LEN(SUBSTITUTE(VLOOKUP($D170,素材!$1:$1016,COLUMN($F$1),FALSE), "・", 0)) + 1), 0)</f>
        <v>0</v>
      </c>
      <c r="AQ170">
        <f>IF(ISNUMBER(SEARCH(SUBSTITUTE(AQ$1,RIGHT(AQ$1,2),""),VLOOKUP($D170,素材!$1:$1016,COLUMN($F$1),FALSE))),VLOOKUP($C170,武器!$1:$998,COLUMN($O$1),FALSE)*VLOOKUP($D170,素材!$1:$1016,COLUMN($E$1),FALSE)/(LEN(VLOOKUP($D170,素材!$1:$1016,COLUMN($F$1),FALSE)) - LEN(SUBSTITUTE(VLOOKUP($D170,素材!$1:$1016,COLUMN($F$1),FALSE), "・", 0)) + 1), 0)</f>
        <v>0</v>
      </c>
      <c r="AR170">
        <f>IF(ISNUMBER(SEARCH(SUBSTITUTE(AR$1,RIGHT(AR$1,2),""),VLOOKUP($D170,素材!$1:$1016,COLUMN($F$1),FALSE))),VLOOKUP($C170,武器!$1:$998,COLUMN($O$1),FALSE)*VLOOKUP($D170,素材!$1:$1016,COLUMN($E$1),FALSE)/(LEN(VLOOKUP($D170,素材!$1:$1016,COLUMN($F$1),FALSE)) - LEN(SUBSTITUTE(VLOOKUP($D170,素材!$1:$1016,COLUMN($F$1),FALSE), "・", 0)) + 1), 0)</f>
        <v>0</v>
      </c>
      <c r="AS170">
        <f>IF(ISNUMBER(SEARCH(SUBSTITUTE(AS$1,RIGHT(AS$1,2),""),VLOOKUP($D170,素材!$1:$1016,COLUMN($F$1),FALSE))),VLOOKUP($C170,武器!$1:$998,COLUMN($O$1),FALSE)*VLOOKUP($D170,素材!$1:$1016,COLUMN($E$1),FALSE)/(LEN(VLOOKUP($D170,素材!$1:$1016,COLUMN($F$1),FALSE)) - LEN(SUBSTITUTE(VLOOKUP($D170,素材!$1:$1016,COLUMN($F$1),FALSE), "・", 0)) + 1), 0)</f>
        <v>0</v>
      </c>
      <c r="AT170">
        <f>IF(ISNUMBER(SEARCH(SUBSTITUTE(AT$1,RIGHT(AT$1,2),""),VLOOKUP($D170,素材!$1:$1016,COLUMN($F$1),FALSE))),VLOOKUP($C170,武器!$1:$998,COLUMN($O$1),FALSE)*VLOOKUP($D170,素材!$1:$1016,COLUMN($E$1),FALSE)/(LEN(VLOOKUP($D170,素材!$1:$1016,COLUMN($F$1),FALSE)) - LEN(SUBSTITUTE(VLOOKUP($D170,素材!$1:$1016,COLUMN($F$1),FALSE), "・", 0)) + 1), 0)</f>
        <v>0</v>
      </c>
      <c r="AU170">
        <f>IF(ISNUMBER(SEARCH(SUBSTITUTE(AU$1,RIGHT(AU$1,2),""),VLOOKUP($D170,素材!$1:$1016,COLUMN($F$1),FALSE))),VLOOKUP($C170,武器!$1:$998,COLUMN($O$1),FALSE)*VLOOKUP($D170,素材!$1:$1016,COLUMN($E$1),FALSE)/(LEN(VLOOKUP($D170,素材!$1:$1016,COLUMN($F$1),FALSE)) - LEN(SUBSTITUTE(VLOOKUP($D170,素材!$1:$1016,COLUMN($F$1),FALSE), "・", 0)) + 1), 0)</f>
        <v>0</v>
      </c>
      <c r="AV170">
        <f>IF(ISNUMBER(SEARCH(SUBSTITUTE(AV$1,RIGHT(AV$1,2),""),VLOOKUP($D170,素材!$1:$1016,COLUMN($F$1),FALSE))),VLOOKUP($C170,武器!$1:$998,COLUMN($O$1),FALSE)*VLOOKUP($D170,素材!$1:$1016,COLUMN($E$1),FALSE)/(LEN(VLOOKUP($D170,素材!$1:$1016,COLUMN($F$1),FALSE)) - LEN(SUBSTITUTE(VLOOKUP($D170,素材!$1:$1016,COLUMN($F$1),FALSE), "・", 0)) + 1), 0)</f>
        <v>0</v>
      </c>
      <c r="AW170">
        <f>IF(ISNUMBER(SEARCH(SUBSTITUTE(AW$1,RIGHT(AW$1,2),""),VLOOKUP($D170,素材!$1:$1016,COLUMN($F$1),FALSE))),VLOOKUP($C170,武器!$1:$998,COLUMN($O$1),FALSE)*VLOOKUP($D170,素材!$1:$1016,COLUMN($E$1),FALSE)/(LEN(VLOOKUP($D170,素材!$1:$1016,COLUMN($F$1),FALSE)) - LEN(SUBSTITUTE(VLOOKUP($D170,素材!$1:$1016,COLUMN($F$1),FALSE), "・", 0)) + 1), 0)</f>
        <v>0</v>
      </c>
      <c r="AX170">
        <f>IF(ISNUMBER(SEARCH(SUBSTITUTE(AX$1,RIGHT(AX$1,2),""),VLOOKUP($D170,素材!$1:$1016,COLUMN($F$1),FALSE))),VLOOKUP($C170,武器!$1:$998,COLUMN($O$1),FALSE)*VLOOKUP($D170,素材!$1:$1016,COLUMN($E$1),FALSE)/(LEN(VLOOKUP($D170,素材!$1:$1016,COLUMN($F$1),FALSE)) - LEN(SUBSTITUTE(VLOOKUP($D170,素材!$1:$1016,COLUMN($F$1),FALSE), "・", 0)) + 1), 0)</f>
        <v>0</v>
      </c>
      <c r="AY170">
        <f>IF(ISNUMBER(SEARCH(SUBSTITUTE(AY$1,RIGHT(AY$1,2),""),VLOOKUP($D170,素材!$1:$1016,COLUMN($F$1),FALSE))),VLOOKUP($C170,武器!$1:$998,COLUMN($O$1),FALSE)*VLOOKUP($D170,素材!$1:$1016,COLUMN($E$1),FALSE)/(LEN(VLOOKUP($D170,素材!$1:$1016,COLUMN($F$1),FALSE)) - LEN(SUBSTITUTE(VLOOKUP($D170,素材!$1:$1016,COLUMN($F$1),FALSE), "・", 0)) + 1), 0)</f>
        <v>0</v>
      </c>
      <c r="AZ170">
        <f>IF(ISNUMBER(SEARCH(SUBSTITUTE(AZ$1,RIGHT(AZ$1,2),""),VLOOKUP($D170,素材!$1:$1016,COLUMN($F$1),FALSE))),VLOOKUP($C170,武器!$1:$998,COLUMN($O$1),FALSE)*VLOOKUP($D170,素材!$1:$1016,COLUMN($E$1),FALSE)/(LEN(VLOOKUP($D170,素材!$1:$1016,COLUMN($F$1),FALSE)) - LEN(SUBSTITUTE(VLOOKUP($D170,素材!$1:$1016,COLUMN($F$1),FALSE), "・", 0)) + 1), 0)</f>
        <v>0</v>
      </c>
      <c r="BA170">
        <f>IF(ISNUMBER(SEARCH(SUBSTITUTE(BA$1,RIGHT(BA$1,2),""),VLOOKUP($D170,素材!$1:$1016,COLUMN($F$1),FALSE))),VLOOKUP($C170,武器!$1:$998,COLUMN($O$1),FALSE)*VLOOKUP($D170,素材!$1:$1016,COLUMN($E$1),FALSE)/(LEN(VLOOKUP($D170,素材!$1:$1016,COLUMN($F$1),FALSE)) - LEN(SUBSTITUTE(VLOOKUP($D170,素材!$1:$1016,COLUMN($F$1),FALSE), "・", 0)) + 1), 0)</f>
        <v>0</v>
      </c>
      <c r="BB170">
        <f>IF(ISNUMBER(SEARCH(SUBSTITUTE(BB$1,RIGHT(BB$1,2),""),VLOOKUP($D170,素材!$1:$1016,COLUMN($F$1),FALSE))),VLOOKUP($C170,武器!$1:$998,COLUMN($O$1),FALSE)*VLOOKUP($D170,素材!$1:$1016,COLUMN($E$1),FALSE)/(LEN(VLOOKUP($D170,素材!$1:$1016,COLUMN($F$1),FALSE)) - LEN(SUBSTITUTE(VLOOKUP($D170,素材!$1:$1016,COLUMN($F$1),FALSE), "・", 0)) + 1), 0)</f>
        <v>0</v>
      </c>
      <c r="BC170">
        <f>IF(ISNUMBER(SEARCH(SUBSTITUTE(BC$1,RIGHT(BC$1,2),""),VLOOKUP($D170,素材!$1:$1016,COLUMN($F$1),FALSE))),VLOOKUP($C170,武器!$1:$998,COLUMN($O$1),FALSE)*VLOOKUP($D170,素材!$1:$1016,COLUMN($E$1),FALSE)/(LEN(VLOOKUP($D170,素材!$1:$1016,COLUMN($F$1),FALSE)) - LEN(SUBSTITUTE(VLOOKUP($D170,素材!$1:$1016,COLUMN($F$1),FALSE), "・", 0)) + 1), 0)</f>
        <v>0</v>
      </c>
      <c r="BD170">
        <f>IF(ISNUMBER(SEARCH(SUBSTITUTE(BD$1,RIGHT(BD$1,2),""),VLOOKUP($D170,素材!$1:$1016,COLUMN($F$1),FALSE))),VLOOKUP($C170,武器!$1:$998,COLUMN($O$1),FALSE)*VLOOKUP($D170,素材!$1:$1016,COLUMN($E$1),FALSE)/(LEN(VLOOKUP($D170,素材!$1:$1016,COLUMN($F$1),FALSE)) - LEN(SUBSTITUTE(VLOOKUP($D170,素材!$1:$1016,COLUMN($F$1),FALSE), "・", 0)) + 1), 0)</f>
        <v>0</v>
      </c>
      <c r="BE170">
        <f>IF(ISNUMBER(SEARCH(SUBSTITUTE(BE$1,RIGHT(BE$1,2),""),VLOOKUP($D170,素材!$1:$1016,COLUMN($F$1),FALSE))),VLOOKUP($C170,武器!$1:$998,COLUMN($O$1),FALSE)*VLOOKUP($D170,素材!$1:$1016,COLUMN($E$1),FALSE)/(LEN(VLOOKUP($D170,素材!$1:$1016,COLUMN($F$1),FALSE)) - LEN(SUBSTITUTE(VLOOKUP($D170,素材!$1:$1016,COLUMN($F$1),FALSE), "・", 0)) + 1), 0)</f>
        <v>0</v>
      </c>
      <c r="CL170">
        <f>SUM(G170:I170)</f>
        <v>22</v>
      </c>
      <c r="CM170" s="22" t="str">
        <f>IF(E170="武器",IF(J170-1&gt;SUM(G170:I170),"盾",IF(MAX(G170:I170)=G170,"切断",IF(MAX(G170:I170)=H170,"貫通",IF(MAX(G170:I170)=I170,"打撃","射撃")))),E170)&amp;".webp"</f>
        <v>打撃.webp</v>
      </c>
      <c r="CN170">
        <f>IFERROR(VLOOKUP($C170,武器!$1:$998,COLUMN(V$1),FALSE)*VLOOKUP($D170,素材!$1:$1016,COLUMN(N$1),FALSE)+IF(CI170="",0,VLOOKUP($CI170,装強!$1:$1008,COLUMN($CK$1),FALSE)),"")</f>
        <v>2250</v>
      </c>
      <c r="CO170">
        <f>VLOOKUP(D170,素材!$A:$O,COLUMN(素材!O$1),FALSE)</f>
        <v>0</v>
      </c>
      <c r="CP170" t="str">
        <f>VLOOKUP(C170,武器!$A:$W,COLUMN(武器!W$1),FALSE)</f>
        <v>棍棒。打撃に特化したシンプルな武器。威力は低いがダメージ振れが少ない。</v>
      </c>
      <c r="CR170" t="str">
        <f t="shared" si="18"/>
        <v>e_170</v>
      </c>
      <c r="CS170">
        <f t="shared" si="22"/>
        <v>225000</v>
      </c>
    </row>
    <row r="171" spans="1:97" outlineLevel="1" x14ac:dyDescent="0.4">
      <c r="A171" t="str">
        <f t="shared" si="27"/>
        <v>黒鋼鉄の戦棍</v>
      </c>
      <c r="B171" t="str">
        <f>IFERROR(VLOOKUP($D171,素材!$1:$1016,COLUMN($B$1),FALSE)&amp;"・"&amp;VLOOKUP($C171,武器!$1:$998,COLUMN(B$1),FALSE),"")</f>
        <v>ブラックスティール・メイス</v>
      </c>
      <c r="C171" s="24" t="s">
        <v>229</v>
      </c>
      <c r="D171" s="24" t="s">
        <v>244</v>
      </c>
      <c r="E171" t="str">
        <f>IFERROR(VLOOKUP(C171,武器!$1:$998,COLUMN(C$1),FALSE),"")</f>
        <v>武器</v>
      </c>
      <c r="F171">
        <f>IFERROR(ROUNDDOWN((VLOOKUP($C171,武器!$1:$998,COLUMN(D$1),FALSE)+IFERROR(VLOOKUP($CI171,装強!$1:$999,COLUMN(F$1),FALSE),0))*VLOOKUP($D171,素材!$1:$1016,COLUMN(D$1),FALSE),0),"")</f>
        <v>110</v>
      </c>
      <c r="G171">
        <f>IFERROR(ROUNDDOWN((VLOOKUP($C171,武器!$1:$998,COLUMN(E$1),FALSE)+IFERROR(VLOOKUP($CI171,装強!$1:$999,COLUMN(G$1),FALSE),0))*VLOOKUP($D171,素材!$1:$1016,COLUMN($E$1),FALSE),0),"")</f>
        <v>0</v>
      </c>
      <c r="H171">
        <f>IFERROR(ROUNDDOWN((VLOOKUP($C171,武器!$1:$998,COLUMN(F$1),FALSE)+IFERROR(VLOOKUP($CI171,装強!$1:$999,COLUMN(H$1),FALSE),0))*VLOOKUP($D171,素材!$1:$1016,COLUMN($E$1),FALSE),0),"")</f>
        <v>0</v>
      </c>
      <c r="I171">
        <f>IFERROR(ROUNDDOWN((VLOOKUP($C171,武器!$1:$998,COLUMN(G$1),FALSE)+IFERROR(VLOOKUP($CI171,装強!$1:$999,COLUMN(I$1),FALSE),0))*VLOOKUP($D171,素材!$1:$1016,COLUMN($E$1),FALSE),0),"")</f>
        <v>23</v>
      </c>
      <c r="J171">
        <f>IFERROR(ROUNDDOWN((VLOOKUP($C171,武器!$1:$998,COLUMN(H$1),FALSE)+IFERROR(VLOOKUP($CI171,装強!$1:$999,COLUMN(J$1),FALSE),0))*VLOOKUP($D171,素材!$1:$1016,COLUMN($E$1),FALSE),0),"")</f>
        <v>19</v>
      </c>
      <c r="K171">
        <f>IFERROR(ROUNDDOWN((VLOOKUP($C171,武器!$1:$998,COLUMN(I$1),FALSE)+IFERROR(VLOOKUP($CI171,装強!$1:$999,COLUMN(K$1),FALSE),0))*VLOOKUP($D171,素材!$1:$1016,COLUMN($E$1),FALSE),0),"")</f>
        <v>0</v>
      </c>
      <c r="L171" t="str">
        <f>IFERROR(VLOOKUP($D171,素材!$1:$1016,COLUMN($F$1),FALSE),"")</f>
        <v>雷</v>
      </c>
      <c r="M171">
        <f>IFERROR(VLOOKUP($C171,武器!$1:$998,COLUMN(AA$1),FALSE)*VLOOKUP($D171,素材!$1:$1016,COLUMN($G$1),FALSE),"")</f>
        <v>40.25</v>
      </c>
      <c r="N171">
        <f>IFERROR(VLOOKUP($C171,武器!$1:$998,COLUMN(I$1),FALSE),"")</f>
        <v>0</v>
      </c>
      <c r="O171" s="23">
        <f>IFERROR((VLOOKUP($C171,武器!$1:$998,COLUMN(K$1),FALSE)+VLOOKUP($D171,素材!$1:$1016,COLUMN(H$1),FALSE))*100+IFERROR(VLOOKUP($CI171,装強!$1:$999,COLUMN(O$1),FALSE),0),"")</f>
        <v>15</v>
      </c>
      <c r="P171" s="23">
        <f>IFERROR((VLOOKUP($C171,武器!$1:$998,COLUMN(L$1),FALSE)+VLOOKUP($D171,素材!$1:$1016,COLUMN(I$1),FALSE))*100+IFERROR(VLOOKUP($CI171,装強!$1:$999,COLUMN(P$1),FALSE),0),"")</f>
        <v>125</v>
      </c>
      <c r="Q171">
        <f>IFERROR(ROUNDUP(VLOOKUP($C171,武器!$1:$998,COLUMN(M$1),FALSE)*(VLOOKUP($D171,素材!$1:$1002,COLUMN(D$1),FALSE)/100),1),"")</f>
        <v>0</v>
      </c>
      <c r="R171">
        <f>IFERROR(ROUNDUP(VLOOKUP($C171,武器!$1:$998,COLUMN(N$1),FALSE)*(VLOOKUP($D171,素材!$1:$1002,COLUMN(D$1),FALSE)/100),1),"")</f>
        <v>-2</v>
      </c>
      <c r="S171">
        <f>IFERROR(VLOOKUP($C171,武器!$1:$998,COLUMN(P$1),FALSE),"")</f>
        <v>0</v>
      </c>
      <c r="T171">
        <f>IFERROR(VLOOKUP($C171,武器!$1:$998,COLUMN(Q$1),FALSE),"")</f>
        <v>0</v>
      </c>
      <c r="U171">
        <f>IFERROR(VLOOKUP($C171,武器!$1:$998,COLUMN(R$1),FALSE),"")</f>
        <v>0</v>
      </c>
      <c r="V171">
        <f>IFERROR(VLOOKUP($C171,武器!$1:$998,COLUMN(Q$1),FALSE),"")</f>
        <v>0</v>
      </c>
      <c r="W171" t="str">
        <f>IFERROR(VLOOKUP($C171,武器!$1:$998,COLUMN(T$1),FALSE),"")</f>
        <v>A</v>
      </c>
      <c r="Y171">
        <f>IFERROR(VLOOKUP($C171,武器!$1:$998,COLUMN(U$1),FALSE),"")</f>
        <v>0</v>
      </c>
      <c r="Z171">
        <f>IFERROR(ROUNDUP(VLOOKUP($C171,武器!$1:$998,COLUMN(O$1),FALSE)*VLOOKUP($D171,素材!$1:$1016,COLUMN(E$1),FALSE),1),"")</f>
        <v>0</v>
      </c>
      <c r="AA171">
        <f>IF(ISNUMBER(SEARCH(SUBSTITUTE(AA$1,RIGHT(AA$1,2),""),VLOOKUP($D171,素材!$1:$1016,COLUMN($F$1),FALSE))),VLOOKUP($C171,武器!$1:$998,COLUMN($O$1),FALSE)*VLOOKUP($D171,素材!$1:$1016,COLUMN($E$1),FALSE)/(LEN(VLOOKUP($D171,素材!$1:$1016,COLUMN($F$1),FALSE)) - LEN(SUBSTITUTE(VLOOKUP($D171,素材!$1:$1016,COLUMN($F$1),FALSE), "・", 0)) + 1), 0)</f>
        <v>0</v>
      </c>
      <c r="AB171">
        <f>IF(ISNUMBER(SEARCH(SUBSTITUTE(AB$1,RIGHT(AB$1,2),""),VLOOKUP($D171,素材!$1:$1016,COLUMN($F$1),FALSE))),VLOOKUP($C171,武器!$1:$998,COLUMN($O$1),FALSE)*VLOOKUP($D171,素材!$1:$1016,COLUMN($E$1),FALSE)/(LEN(VLOOKUP($D171,素材!$1:$1016,COLUMN($F$1),FALSE)) - LEN(SUBSTITUTE(VLOOKUP($D171,素材!$1:$1016,COLUMN($F$1),FALSE), "・", 0)) + 1), 0)</f>
        <v>0</v>
      </c>
      <c r="AC171">
        <f>IF(ISNUMBER(SEARCH(SUBSTITUTE(AC$1,RIGHT(AC$1,2),""),VLOOKUP($D171,素材!$1:$1016,COLUMN($F$1),FALSE))),VLOOKUP($C171,武器!$1:$998,COLUMN($O$1),FALSE)*VLOOKUP($D171,素材!$1:$1016,COLUMN($E$1),FALSE)/(LEN(VLOOKUP($D171,素材!$1:$1016,COLUMN($F$1),FALSE)) - LEN(SUBSTITUTE(VLOOKUP($D171,素材!$1:$1016,COLUMN($F$1),FALSE), "・", 0)) + 1), 0)</f>
        <v>0</v>
      </c>
      <c r="AD171">
        <f>IF(ISNUMBER(SEARCH(SUBSTITUTE(AD$1,RIGHT(AD$1,2),""),VLOOKUP($D171,素材!$1:$1016,COLUMN($F$1),FALSE))),VLOOKUP($C171,武器!$1:$998,COLUMN($O$1),FALSE)*VLOOKUP($D171,素材!$1:$1016,COLUMN($E$1),FALSE)/(LEN(VLOOKUP($D171,素材!$1:$1016,COLUMN($F$1),FALSE)) - LEN(SUBSTITUTE(VLOOKUP($D171,素材!$1:$1016,COLUMN($F$1),FALSE), "・", 0)) + 1), 0)</f>
        <v>0</v>
      </c>
      <c r="AE171">
        <f>IF(ISNUMBER(SEARCH(SUBSTITUTE(AE$1,RIGHT(AE$1,2),""),VLOOKUP($D171,素材!$1:$1016,COLUMN($F$1),FALSE))),VLOOKUP($C171,武器!$1:$998,COLUMN($O$1),FALSE)*VLOOKUP($D171,素材!$1:$1016,COLUMN($E$1),FALSE)/(LEN(VLOOKUP($D171,素材!$1:$1016,COLUMN($F$1),FALSE)) - LEN(SUBSTITUTE(VLOOKUP($D171,素材!$1:$1016,COLUMN($F$1),FALSE), "・", 0)) + 1), 0)</f>
        <v>0</v>
      </c>
      <c r="AF171">
        <f>IF(ISNUMBER(SEARCH(SUBSTITUTE(AF$1,RIGHT(AF$1,2),""),VLOOKUP($D171,素材!$1:$1016,COLUMN($F$1),FALSE))),VLOOKUP($C171,武器!$1:$998,COLUMN($O$1),FALSE)*VLOOKUP($D171,素材!$1:$1016,COLUMN($E$1),FALSE)/(LEN(VLOOKUP($D171,素材!$1:$1016,COLUMN($F$1),FALSE)) - LEN(SUBSTITUTE(VLOOKUP($D171,素材!$1:$1016,COLUMN($F$1),FALSE), "・", 0)) + 1), 0)</f>
        <v>0</v>
      </c>
      <c r="AG171">
        <f>IF(ISNUMBER(SEARCH(SUBSTITUTE(AG$1,RIGHT(AG$1,2),""),VLOOKUP($D171,素材!$1:$1016,COLUMN($F$1),FALSE))),VLOOKUP($C171,武器!$1:$998,COLUMN($O$1),FALSE)*VLOOKUP($D171,素材!$1:$1016,COLUMN($E$1),FALSE)/(LEN(VLOOKUP($D171,素材!$1:$1016,COLUMN($F$1),FALSE)) - LEN(SUBSTITUTE(VLOOKUP($D171,素材!$1:$1016,COLUMN($F$1),FALSE), "・", 0)) + 1), 0)</f>
        <v>0</v>
      </c>
      <c r="AH171">
        <f>IF(ISNUMBER(SEARCH(SUBSTITUTE(AH$1,RIGHT(AH$1,2),""),VLOOKUP($D171,素材!$1:$1016,COLUMN($F$1),FALSE))),VLOOKUP($C171,武器!$1:$998,COLUMN($O$1),FALSE)*VLOOKUP($D171,素材!$1:$1016,COLUMN($E$1),FALSE)/(LEN(VLOOKUP($D171,素材!$1:$1016,COLUMN($F$1),FALSE)) - LEN(SUBSTITUTE(VLOOKUP($D171,素材!$1:$1016,COLUMN($F$1),FALSE), "・", 0)) + 1), 0)</f>
        <v>0</v>
      </c>
      <c r="AI171">
        <f>IF(ISNUMBER(SEARCH(SUBSTITUTE(AI$1,RIGHT(AI$1,2),""),VLOOKUP($D171,素材!$1:$1016,COLUMN($F$1),FALSE))),VLOOKUP($C171,武器!$1:$998,COLUMN($O$1),FALSE)*VLOOKUP($D171,素材!$1:$1016,COLUMN($E$1),FALSE)/(LEN(VLOOKUP($D171,素材!$1:$1016,COLUMN($F$1),FALSE)) - LEN(SUBSTITUTE(VLOOKUP($D171,素材!$1:$1016,COLUMN($F$1),FALSE), "・", 0)) + 1), 0)</f>
        <v>0</v>
      </c>
      <c r="AJ171">
        <f>IF(ISNUMBER(SEARCH(SUBSTITUTE(AJ$1,RIGHT(AJ$1,2),""),VLOOKUP($D171,素材!$1:$1016,COLUMN($F$1),FALSE))),VLOOKUP($C171,武器!$1:$998,COLUMN($O$1),FALSE)*VLOOKUP($D171,素材!$1:$1016,COLUMN($E$1),FALSE)/(LEN(VLOOKUP($D171,素材!$1:$1016,COLUMN($F$1),FALSE)) - LEN(SUBSTITUTE(VLOOKUP($D171,素材!$1:$1016,COLUMN($F$1),FALSE), "・", 0)) + 1), 0)</f>
        <v>0</v>
      </c>
      <c r="AK171">
        <f>IF(ISNUMBER(SEARCH(SUBSTITUTE(AK$1,RIGHT(AK$1,2),""),VLOOKUP($D171,素材!$1:$1016,COLUMN($F$1),FALSE))),VLOOKUP($C171,武器!$1:$998,COLUMN($O$1),FALSE)*VLOOKUP($D171,素材!$1:$1016,COLUMN($E$1),FALSE)/(LEN(VLOOKUP($D171,素材!$1:$1016,COLUMN($F$1),FALSE)) - LEN(SUBSTITUTE(VLOOKUP($D171,素材!$1:$1016,COLUMN($F$1),FALSE), "・", 0)) + 1), 0)</f>
        <v>0</v>
      </c>
      <c r="AL171">
        <f>IF(ISNUMBER(SEARCH(SUBSTITUTE(AL$1,RIGHT(AL$1,2),""),VLOOKUP($D171,素材!$1:$1016,COLUMN($F$1),FALSE))),VLOOKUP($C171,武器!$1:$998,COLUMN($O$1),FALSE)*VLOOKUP($D171,素材!$1:$1016,COLUMN($E$1),FALSE)/(LEN(VLOOKUP($D171,素材!$1:$1016,COLUMN($F$1),FALSE)) - LEN(SUBSTITUTE(VLOOKUP($D171,素材!$1:$1016,COLUMN($F$1),FALSE), "・", 0)) + 1), 0)</f>
        <v>0</v>
      </c>
      <c r="AM171">
        <f>IF(ISNUMBER(SEARCH(SUBSTITUTE(AM$1,RIGHT(AM$1,2),""),VLOOKUP($D171,素材!$1:$1016,COLUMN($F$1),FALSE))),VLOOKUP($C171,武器!$1:$998,COLUMN($O$1),FALSE)*VLOOKUP($D171,素材!$1:$1016,COLUMN($E$1),FALSE)/(LEN(VLOOKUP($D171,素材!$1:$1016,COLUMN($F$1),FALSE)) - LEN(SUBSTITUTE(VLOOKUP($D171,素材!$1:$1016,COLUMN($F$1),FALSE), "・", 0)) + 1), 0)</f>
        <v>0</v>
      </c>
      <c r="AN171">
        <f>IF(ISNUMBER(SEARCH(SUBSTITUTE(AN$1,RIGHT(AN$1,2),""),VLOOKUP($D171,素材!$1:$1016,COLUMN($F$1),FALSE))),VLOOKUP($C171,武器!$1:$998,COLUMN($O$1),FALSE)*VLOOKUP($D171,素材!$1:$1016,COLUMN($E$1),FALSE)/(LEN(VLOOKUP($D171,素材!$1:$1016,COLUMN($F$1),FALSE)) - LEN(SUBSTITUTE(VLOOKUP($D171,素材!$1:$1016,COLUMN($F$1),FALSE), "・", 0)) + 1), 0)</f>
        <v>0</v>
      </c>
      <c r="AO171">
        <f>IF(ISNUMBER(SEARCH(SUBSTITUTE(AO$1,RIGHT(AO$1,2),""),VLOOKUP($D171,素材!$1:$1016,COLUMN($F$1),FALSE))),VLOOKUP($C171,武器!$1:$998,COLUMN($O$1),FALSE)*VLOOKUP($D171,素材!$1:$1016,COLUMN($E$1),FALSE)/(LEN(VLOOKUP($D171,素材!$1:$1016,COLUMN($F$1),FALSE)) - LEN(SUBSTITUTE(VLOOKUP($D171,素材!$1:$1016,COLUMN($F$1),FALSE), "・", 0)) + 1), 0)</f>
        <v>0</v>
      </c>
      <c r="AP171">
        <f>IF(ISNUMBER(SEARCH(SUBSTITUTE(AP$1,RIGHT(AP$1,2),""),VLOOKUP($D171,素材!$1:$1016,COLUMN($F$1),FALSE))),VLOOKUP($C171,武器!$1:$998,COLUMN($O$1),FALSE)*VLOOKUP($D171,素材!$1:$1016,COLUMN($E$1),FALSE)/(LEN(VLOOKUP($D171,素材!$1:$1016,COLUMN($F$1),FALSE)) - LEN(SUBSTITUTE(VLOOKUP($D171,素材!$1:$1016,COLUMN($F$1),FALSE), "・", 0)) + 1), 0)</f>
        <v>0</v>
      </c>
      <c r="AQ171">
        <f>IF(ISNUMBER(SEARCH(SUBSTITUTE(AQ$1,RIGHT(AQ$1,2),""),VLOOKUP($D171,素材!$1:$1016,COLUMN($F$1),FALSE))),VLOOKUP($C171,武器!$1:$998,COLUMN($O$1),FALSE)*VLOOKUP($D171,素材!$1:$1016,COLUMN($E$1),FALSE)/(LEN(VLOOKUP($D171,素材!$1:$1016,COLUMN($F$1),FALSE)) - LEN(SUBSTITUTE(VLOOKUP($D171,素材!$1:$1016,COLUMN($F$1),FALSE), "・", 0)) + 1), 0)</f>
        <v>0</v>
      </c>
      <c r="AR171">
        <f>IF(ISNUMBER(SEARCH(SUBSTITUTE(AR$1,RIGHT(AR$1,2),""),VLOOKUP($D171,素材!$1:$1016,COLUMN($F$1),FALSE))),VLOOKUP($C171,武器!$1:$998,COLUMN($O$1),FALSE)*VLOOKUP($D171,素材!$1:$1016,COLUMN($E$1),FALSE)/(LEN(VLOOKUP($D171,素材!$1:$1016,COLUMN($F$1),FALSE)) - LEN(SUBSTITUTE(VLOOKUP($D171,素材!$1:$1016,COLUMN($F$1),FALSE), "・", 0)) + 1), 0)</f>
        <v>0</v>
      </c>
      <c r="AS171">
        <f>IF(ISNUMBER(SEARCH(SUBSTITUTE(AS$1,RIGHT(AS$1,2),""),VLOOKUP($D171,素材!$1:$1016,COLUMN($F$1),FALSE))),VLOOKUP($C171,武器!$1:$998,COLUMN($O$1),FALSE)*VLOOKUP($D171,素材!$1:$1016,COLUMN($E$1),FALSE)/(LEN(VLOOKUP($D171,素材!$1:$1016,COLUMN($F$1),FALSE)) - LEN(SUBSTITUTE(VLOOKUP($D171,素材!$1:$1016,COLUMN($F$1),FALSE), "・", 0)) + 1), 0)</f>
        <v>0</v>
      </c>
      <c r="AT171">
        <f>IF(ISNUMBER(SEARCH(SUBSTITUTE(AT$1,RIGHT(AT$1,2),""),VLOOKUP($D171,素材!$1:$1016,COLUMN($F$1),FALSE))),VLOOKUP($C171,武器!$1:$998,COLUMN($O$1),FALSE)*VLOOKUP($D171,素材!$1:$1016,COLUMN($E$1),FALSE)/(LEN(VLOOKUP($D171,素材!$1:$1016,COLUMN($F$1),FALSE)) - LEN(SUBSTITUTE(VLOOKUP($D171,素材!$1:$1016,COLUMN($F$1),FALSE), "・", 0)) + 1), 0)</f>
        <v>0</v>
      </c>
      <c r="AU171">
        <f>IF(ISNUMBER(SEARCH(SUBSTITUTE(AU$1,RIGHT(AU$1,2),""),VLOOKUP($D171,素材!$1:$1016,COLUMN($F$1),FALSE))),VLOOKUP($C171,武器!$1:$998,COLUMN($O$1),FALSE)*VLOOKUP($D171,素材!$1:$1016,COLUMN($E$1),FALSE)/(LEN(VLOOKUP($D171,素材!$1:$1016,COLUMN($F$1),FALSE)) - LEN(SUBSTITUTE(VLOOKUP($D171,素材!$1:$1016,COLUMN($F$1),FALSE), "・", 0)) + 1), 0)</f>
        <v>0</v>
      </c>
      <c r="AV171">
        <f>IF(ISNUMBER(SEARCH(SUBSTITUTE(AV$1,RIGHT(AV$1,2),""),VLOOKUP($D171,素材!$1:$1016,COLUMN($F$1),FALSE))),VLOOKUP($C171,武器!$1:$998,COLUMN($O$1),FALSE)*VLOOKUP($D171,素材!$1:$1016,COLUMN($E$1),FALSE)/(LEN(VLOOKUP($D171,素材!$1:$1016,COLUMN($F$1),FALSE)) - LEN(SUBSTITUTE(VLOOKUP($D171,素材!$1:$1016,COLUMN($F$1),FALSE), "・", 0)) + 1), 0)</f>
        <v>0</v>
      </c>
      <c r="AW171">
        <f>IF(ISNUMBER(SEARCH(SUBSTITUTE(AW$1,RIGHT(AW$1,2),""),VLOOKUP($D171,素材!$1:$1016,COLUMN($F$1),FALSE))),VLOOKUP($C171,武器!$1:$998,COLUMN($O$1),FALSE)*VLOOKUP($D171,素材!$1:$1016,COLUMN($E$1),FALSE)/(LEN(VLOOKUP($D171,素材!$1:$1016,COLUMN($F$1),FALSE)) - LEN(SUBSTITUTE(VLOOKUP($D171,素材!$1:$1016,COLUMN($F$1),FALSE), "・", 0)) + 1), 0)</f>
        <v>0</v>
      </c>
      <c r="AX171">
        <f>IF(ISNUMBER(SEARCH(SUBSTITUTE(AX$1,RIGHT(AX$1,2),""),VLOOKUP($D171,素材!$1:$1016,COLUMN($F$1),FALSE))),VLOOKUP($C171,武器!$1:$998,COLUMN($O$1),FALSE)*VLOOKUP($D171,素材!$1:$1016,COLUMN($E$1),FALSE)/(LEN(VLOOKUP($D171,素材!$1:$1016,COLUMN($F$1),FALSE)) - LEN(SUBSTITUTE(VLOOKUP($D171,素材!$1:$1016,COLUMN($F$1),FALSE), "・", 0)) + 1), 0)</f>
        <v>0</v>
      </c>
      <c r="AY171">
        <f>IF(ISNUMBER(SEARCH(SUBSTITUTE(AY$1,RIGHT(AY$1,2),""),VLOOKUP($D171,素材!$1:$1016,COLUMN($F$1),FALSE))),VLOOKUP($C171,武器!$1:$998,COLUMN($O$1),FALSE)*VLOOKUP($D171,素材!$1:$1016,COLUMN($E$1),FALSE)/(LEN(VLOOKUP($D171,素材!$1:$1016,COLUMN($F$1),FALSE)) - LEN(SUBSTITUTE(VLOOKUP($D171,素材!$1:$1016,COLUMN($F$1),FALSE), "・", 0)) + 1), 0)</f>
        <v>0</v>
      </c>
      <c r="AZ171">
        <f>IF(ISNUMBER(SEARCH(SUBSTITUTE(AZ$1,RIGHT(AZ$1,2),""),VLOOKUP($D171,素材!$1:$1016,COLUMN($F$1),FALSE))),VLOOKUP($C171,武器!$1:$998,COLUMN($O$1),FALSE)*VLOOKUP($D171,素材!$1:$1016,COLUMN($E$1),FALSE)/(LEN(VLOOKUP($D171,素材!$1:$1016,COLUMN($F$1),FALSE)) - LEN(SUBSTITUTE(VLOOKUP($D171,素材!$1:$1016,COLUMN($F$1),FALSE), "・", 0)) + 1), 0)</f>
        <v>0</v>
      </c>
      <c r="BA171">
        <f>IF(ISNUMBER(SEARCH(SUBSTITUTE(BA$1,RIGHT(BA$1,2),""),VLOOKUP($D171,素材!$1:$1016,COLUMN($F$1),FALSE))),VLOOKUP($C171,武器!$1:$998,COLUMN($O$1),FALSE)*VLOOKUP($D171,素材!$1:$1016,COLUMN($E$1),FALSE)/(LEN(VLOOKUP($D171,素材!$1:$1016,COLUMN($F$1),FALSE)) - LEN(SUBSTITUTE(VLOOKUP($D171,素材!$1:$1016,COLUMN($F$1),FALSE), "・", 0)) + 1), 0)</f>
        <v>0</v>
      </c>
      <c r="BB171">
        <f>IF(ISNUMBER(SEARCH(SUBSTITUTE(BB$1,RIGHT(BB$1,2),""),VLOOKUP($D171,素材!$1:$1016,COLUMN($F$1),FALSE))),VLOOKUP($C171,武器!$1:$998,COLUMN($O$1),FALSE)*VLOOKUP($D171,素材!$1:$1016,COLUMN($E$1),FALSE)/(LEN(VLOOKUP($D171,素材!$1:$1016,COLUMN($F$1),FALSE)) - LEN(SUBSTITUTE(VLOOKUP($D171,素材!$1:$1016,COLUMN($F$1),FALSE), "・", 0)) + 1), 0)</f>
        <v>0</v>
      </c>
      <c r="BC171">
        <f>IF(ISNUMBER(SEARCH(SUBSTITUTE(BC$1,RIGHT(BC$1,2),""),VLOOKUP($D171,素材!$1:$1016,COLUMN($F$1),FALSE))),VLOOKUP($C171,武器!$1:$998,COLUMN($O$1),FALSE)*VLOOKUP($D171,素材!$1:$1016,COLUMN($E$1),FALSE)/(LEN(VLOOKUP($D171,素材!$1:$1016,COLUMN($F$1),FALSE)) - LEN(SUBSTITUTE(VLOOKUP($D171,素材!$1:$1016,COLUMN($F$1),FALSE), "・", 0)) + 1), 0)</f>
        <v>0</v>
      </c>
      <c r="BD171">
        <f>IF(ISNUMBER(SEARCH(SUBSTITUTE(BD$1,RIGHT(BD$1,2),""),VLOOKUP($D171,素材!$1:$1016,COLUMN($F$1),FALSE))),VLOOKUP($C171,武器!$1:$998,COLUMN($O$1),FALSE)*VLOOKUP($D171,素材!$1:$1016,COLUMN($E$1),FALSE)/(LEN(VLOOKUP($D171,素材!$1:$1016,COLUMN($F$1),FALSE)) - LEN(SUBSTITUTE(VLOOKUP($D171,素材!$1:$1016,COLUMN($F$1),FALSE), "・", 0)) + 1), 0)</f>
        <v>0</v>
      </c>
      <c r="BE171">
        <f>IF(ISNUMBER(SEARCH(SUBSTITUTE(BE$1,RIGHT(BE$1,2),""),VLOOKUP($D171,素材!$1:$1016,COLUMN($F$1),FALSE))),VLOOKUP($C171,武器!$1:$998,COLUMN($O$1),FALSE)*VLOOKUP($D171,素材!$1:$1016,COLUMN($E$1),FALSE)/(LEN(VLOOKUP($D171,素材!$1:$1016,COLUMN($F$1),FALSE)) - LEN(SUBSTITUTE(VLOOKUP($D171,素材!$1:$1016,COLUMN($F$1),FALSE), "・", 0)) + 1), 0)</f>
        <v>0</v>
      </c>
      <c r="CL171">
        <f>SUM(G171:I171)</f>
        <v>23</v>
      </c>
      <c r="CM171" s="22" t="str">
        <f>IF(E171="武器",IF(J171-1&gt;SUM(G171:I171),"盾",IF(MAX(G171:I171)=G171,"切断",IF(MAX(G171:I171)=H171,"貫通",IF(MAX(G171:I171)=I171,"打撃","射撃")))),E171)&amp;".webp"</f>
        <v>打撃.webp</v>
      </c>
      <c r="CN171">
        <f>IFERROR(VLOOKUP($C171,武器!$1:$998,COLUMN(V$1),FALSE)*VLOOKUP($D171,素材!$1:$1016,COLUMN(N$1),FALSE)+IF(CI171="",0,VLOOKUP($CI171,装強!$1:$1008,COLUMN($CK$1),FALSE)),"")</f>
        <v>3000</v>
      </c>
      <c r="CO171">
        <f>VLOOKUP(D171,素材!$A:$O,COLUMN(素材!O$1),FALSE)</f>
        <v>0</v>
      </c>
      <c r="CP171" t="str">
        <f>VLOOKUP(C171,武器!$A:$W,COLUMN(武器!W$1),FALSE)</f>
        <v>戦棍。打撃に優れた武器。Cr率が高い</v>
      </c>
      <c r="CR171" t="str">
        <f t="shared" si="18"/>
        <v>e_171</v>
      </c>
      <c r="CS171">
        <f t="shared" si="22"/>
        <v>300000</v>
      </c>
    </row>
    <row r="172" spans="1:97" outlineLevel="1" x14ac:dyDescent="0.4">
      <c r="A172" t="str">
        <f t="shared" si="27"/>
        <v>黒鋼鉄の棘棍</v>
      </c>
      <c r="B172" t="str">
        <f>IFERROR(VLOOKUP($D172,素材!$1:$1016,COLUMN($B$1),FALSE)&amp;"・"&amp;VLOOKUP($C172,武器!$1:$998,COLUMN(B$1),FALSE),"")</f>
        <v>ブラックスティール・モーニングスター</v>
      </c>
      <c r="C172" t="s">
        <v>228</v>
      </c>
      <c r="D172" s="24" t="s">
        <v>244</v>
      </c>
      <c r="E172" t="str">
        <f>IFERROR(VLOOKUP(C172,武器!$1:$998,COLUMN(C$1),FALSE),"")</f>
        <v>武器</v>
      </c>
      <c r="F172">
        <f>IFERROR(ROUNDDOWN((VLOOKUP($C172,武器!$1:$998,COLUMN(D$1),FALSE)+IFERROR(VLOOKUP($CI172,装強!$1:$999,COLUMN(F$1),FALSE),0))*VLOOKUP($D172,素材!$1:$1016,COLUMN(D$1),FALSE),0),"")</f>
        <v>105</v>
      </c>
      <c r="G172">
        <f>IFERROR(ROUNDDOWN((VLOOKUP($C172,武器!$1:$998,COLUMN(E$1),FALSE)+IFERROR(VLOOKUP($CI172,装強!$1:$999,COLUMN(G$1),FALSE),0))*VLOOKUP($D172,素材!$1:$1016,COLUMN($E$1),FALSE),0),"")</f>
        <v>0</v>
      </c>
      <c r="H172">
        <f>IFERROR(ROUNDDOWN((VLOOKUP($C172,武器!$1:$998,COLUMN(F$1),FALSE)+IFERROR(VLOOKUP($CI172,装強!$1:$999,COLUMN(H$1),FALSE),0))*VLOOKUP($D172,素材!$1:$1016,COLUMN($E$1),FALSE),0),"")</f>
        <v>12</v>
      </c>
      <c r="I172">
        <f>IFERROR(ROUNDDOWN((VLOOKUP($C172,武器!$1:$998,COLUMN(G$1),FALSE)+IFERROR(VLOOKUP($CI172,装強!$1:$999,COLUMN(I$1),FALSE),0))*VLOOKUP($D172,素材!$1:$1016,COLUMN($E$1),FALSE),0),"")</f>
        <v>12</v>
      </c>
      <c r="J172">
        <f>IFERROR(ROUNDDOWN((VLOOKUP($C172,武器!$1:$998,COLUMN(H$1),FALSE)+IFERROR(VLOOKUP($CI172,装強!$1:$999,COLUMN(J$1),FALSE),0))*VLOOKUP($D172,素材!$1:$1016,COLUMN($E$1),FALSE),0),"")</f>
        <v>19</v>
      </c>
      <c r="K172">
        <f>IFERROR(ROUNDDOWN((VLOOKUP($C172,武器!$1:$998,COLUMN(I$1),FALSE)+IFERROR(VLOOKUP($CI172,装強!$1:$999,COLUMN(K$1),FALSE),0))*VLOOKUP($D172,素材!$1:$1016,COLUMN($E$1),FALSE),0),"")</f>
        <v>0</v>
      </c>
      <c r="L172" t="str">
        <f>IFERROR(VLOOKUP($D172,素材!$1:$1016,COLUMN($F$1),FALSE),"")</f>
        <v>雷</v>
      </c>
      <c r="M172">
        <f>IFERROR(VLOOKUP($C172,武器!$1:$998,COLUMN(AA$1),FALSE)*VLOOKUP($D172,素材!$1:$1016,COLUMN($G$1),FALSE),"")</f>
        <v>42</v>
      </c>
      <c r="N172">
        <f>IFERROR(VLOOKUP($C172,武器!$1:$998,COLUMN(I$1),FALSE),"")</f>
        <v>0</v>
      </c>
      <c r="O172" s="23">
        <f>IFERROR((VLOOKUP($C172,武器!$1:$998,COLUMN(K$1),FALSE)+VLOOKUP($D172,素材!$1:$1016,COLUMN(H$1),FALSE))*100+IFERROR(VLOOKUP($CI172,装強!$1:$999,COLUMN(O$1),FALSE),0),"")</f>
        <v>10</v>
      </c>
      <c r="P172" s="23">
        <f>IFERROR((VLOOKUP($C172,武器!$1:$998,COLUMN(L$1),FALSE)+VLOOKUP($D172,素材!$1:$1016,COLUMN(I$1),FALSE))*100+IFERROR(VLOOKUP($CI172,装強!$1:$999,COLUMN(P$1),FALSE),0),"")</f>
        <v>125</v>
      </c>
      <c r="Q172">
        <f>IFERROR(ROUNDUP(VLOOKUP($C172,武器!$1:$998,COLUMN(M$1),FALSE)*(VLOOKUP($D172,素材!$1:$1002,COLUMN(D$1),FALSE)/100),1),"")</f>
        <v>-2.5</v>
      </c>
      <c r="R172">
        <f>IFERROR(ROUNDUP(VLOOKUP($C172,武器!$1:$998,COLUMN(N$1),FALSE)*(VLOOKUP($D172,素材!$1:$1002,COLUMN(D$1),FALSE)/100),1),"")</f>
        <v>-2.5</v>
      </c>
      <c r="S172">
        <f>IFERROR(VLOOKUP($C172,武器!$1:$998,COLUMN(P$1),FALSE),"")</f>
        <v>0</v>
      </c>
      <c r="T172">
        <f>IFERROR(VLOOKUP($C172,武器!$1:$998,COLUMN(Q$1),FALSE),"")</f>
        <v>0</v>
      </c>
      <c r="U172">
        <f>IFERROR(VLOOKUP($C172,武器!$1:$998,COLUMN(R$1),FALSE),"")</f>
        <v>0</v>
      </c>
      <c r="V172">
        <f>IFERROR(VLOOKUP($C172,武器!$1:$998,COLUMN(Q$1),FALSE),"")</f>
        <v>0</v>
      </c>
      <c r="W172" t="str">
        <f>IFERROR(VLOOKUP($C172,武器!$1:$998,COLUMN(T$1),FALSE),"")</f>
        <v>A</v>
      </c>
      <c r="Y172">
        <f>IFERROR(VLOOKUP($C172,武器!$1:$998,COLUMN(U$1),FALSE),"")</f>
        <v>0</v>
      </c>
      <c r="Z172">
        <f>IFERROR(ROUNDUP(VLOOKUP($C172,武器!$1:$998,COLUMN(O$1),FALSE)*VLOOKUP($D172,素材!$1:$1016,COLUMN(E$1),FALSE),1),"")</f>
        <v>0</v>
      </c>
      <c r="AA172">
        <f>IF(ISNUMBER(SEARCH(SUBSTITUTE(AA$1,RIGHT(AA$1,2),""),VLOOKUP($D172,素材!$1:$1016,COLUMN($F$1),FALSE))),VLOOKUP($C172,武器!$1:$998,COLUMN($O$1),FALSE)*VLOOKUP($D172,素材!$1:$1016,COLUMN($E$1),FALSE)/(LEN(VLOOKUP($D172,素材!$1:$1016,COLUMN($F$1),FALSE)) - LEN(SUBSTITUTE(VLOOKUP($D172,素材!$1:$1016,COLUMN($F$1),FALSE), "・", 0)) + 1), 0)</f>
        <v>0</v>
      </c>
      <c r="AB172">
        <f>IF(ISNUMBER(SEARCH(SUBSTITUTE(AB$1,RIGHT(AB$1,2),""),VLOOKUP($D172,素材!$1:$1016,COLUMN($F$1),FALSE))),VLOOKUP($C172,武器!$1:$998,COLUMN($O$1),FALSE)*VLOOKUP($D172,素材!$1:$1016,COLUMN($E$1),FALSE)/(LEN(VLOOKUP($D172,素材!$1:$1016,COLUMN($F$1),FALSE)) - LEN(SUBSTITUTE(VLOOKUP($D172,素材!$1:$1016,COLUMN($F$1),FALSE), "・", 0)) + 1), 0)</f>
        <v>0</v>
      </c>
      <c r="AC172">
        <f>IF(ISNUMBER(SEARCH(SUBSTITUTE(AC$1,RIGHT(AC$1,2),""),VLOOKUP($D172,素材!$1:$1016,COLUMN($F$1),FALSE))),VLOOKUP($C172,武器!$1:$998,COLUMN($O$1),FALSE)*VLOOKUP($D172,素材!$1:$1016,COLUMN($E$1),FALSE)/(LEN(VLOOKUP($D172,素材!$1:$1016,COLUMN($F$1),FALSE)) - LEN(SUBSTITUTE(VLOOKUP($D172,素材!$1:$1016,COLUMN($F$1),FALSE), "・", 0)) + 1), 0)</f>
        <v>0</v>
      </c>
      <c r="AD172">
        <f>IF(ISNUMBER(SEARCH(SUBSTITUTE(AD$1,RIGHT(AD$1,2),""),VLOOKUP($D172,素材!$1:$1016,COLUMN($F$1),FALSE))),VLOOKUP($C172,武器!$1:$998,COLUMN($O$1),FALSE)*VLOOKUP($D172,素材!$1:$1016,COLUMN($E$1),FALSE)/(LEN(VLOOKUP($D172,素材!$1:$1016,COLUMN($F$1),FALSE)) - LEN(SUBSTITUTE(VLOOKUP($D172,素材!$1:$1016,COLUMN($F$1),FALSE), "・", 0)) + 1), 0)</f>
        <v>0</v>
      </c>
      <c r="AE172">
        <f>IF(ISNUMBER(SEARCH(SUBSTITUTE(AE$1,RIGHT(AE$1,2),""),VLOOKUP($D172,素材!$1:$1016,COLUMN($F$1),FALSE))),VLOOKUP($C172,武器!$1:$998,COLUMN($O$1),FALSE)*VLOOKUP($D172,素材!$1:$1016,COLUMN($E$1),FALSE)/(LEN(VLOOKUP($D172,素材!$1:$1016,COLUMN($F$1),FALSE)) - LEN(SUBSTITUTE(VLOOKUP($D172,素材!$1:$1016,COLUMN($F$1),FALSE), "・", 0)) + 1), 0)</f>
        <v>0</v>
      </c>
      <c r="AF172">
        <f>IF(ISNUMBER(SEARCH(SUBSTITUTE(AF$1,RIGHT(AF$1,2),""),VLOOKUP($D172,素材!$1:$1016,COLUMN($F$1),FALSE))),VLOOKUP($C172,武器!$1:$998,COLUMN($O$1),FALSE)*VLOOKUP($D172,素材!$1:$1016,COLUMN($E$1),FALSE)/(LEN(VLOOKUP($D172,素材!$1:$1016,COLUMN($F$1),FALSE)) - LEN(SUBSTITUTE(VLOOKUP($D172,素材!$1:$1016,COLUMN($F$1),FALSE), "・", 0)) + 1), 0)</f>
        <v>0</v>
      </c>
      <c r="AG172">
        <f>IF(ISNUMBER(SEARCH(SUBSTITUTE(AG$1,RIGHT(AG$1,2),""),VLOOKUP($D172,素材!$1:$1016,COLUMN($F$1),FALSE))),VLOOKUP($C172,武器!$1:$998,COLUMN($O$1),FALSE)*VLOOKUP($D172,素材!$1:$1016,COLUMN($E$1),FALSE)/(LEN(VLOOKUP($D172,素材!$1:$1016,COLUMN($F$1),FALSE)) - LEN(SUBSTITUTE(VLOOKUP($D172,素材!$1:$1016,COLUMN($F$1),FALSE), "・", 0)) + 1), 0)</f>
        <v>0</v>
      </c>
      <c r="AH172">
        <f>IF(ISNUMBER(SEARCH(SUBSTITUTE(AH$1,RIGHT(AH$1,2),""),VLOOKUP($D172,素材!$1:$1016,COLUMN($F$1),FALSE))),VLOOKUP($C172,武器!$1:$998,COLUMN($O$1),FALSE)*VLOOKUP($D172,素材!$1:$1016,COLUMN($E$1),FALSE)/(LEN(VLOOKUP($D172,素材!$1:$1016,COLUMN($F$1),FALSE)) - LEN(SUBSTITUTE(VLOOKUP($D172,素材!$1:$1016,COLUMN($F$1),FALSE), "・", 0)) + 1), 0)</f>
        <v>0</v>
      </c>
      <c r="AI172">
        <f>IF(ISNUMBER(SEARCH(SUBSTITUTE(AI$1,RIGHT(AI$1,2),""),VLOOKUP($D172,素材!$1:$1016,COLUMN($F$1),FALSE))),VLOOKUP($C172,武器!$1:$998,COLUMN($O$1),FALSE)*VLOOKUP($D172,素材!$1:$1016,COLUMN($E$1),FALSE)/(LEN(VLOOKUP($D172,素材!$1:$1016,COLUMN($F$1),FALSE)) - LEN(SUBSTITUTE(VLOOKUP($D172,素材!$1:$1016,COLUMN($F$1),FALSE), "・", 0)) + 1), 0)</f>
        <v>0</v>
      </c>
      <c r="AJ172">
        <f>IF(ISNUMBER(SEARCH(SUBSTITUTE(AJ$1,RIGHT(AJ$1,2),""),VLOOKUP($D172,素材!$1:$1016,COLUMN($F$1),FALSE))),VLOOKUP($C172,武器!$1:$998,COLUMN($O$1),FALSE)*VLOOKUP($D172,素材!$1:$1016,COLUMN($E$1),FALSE)/(LEN(VLOOKUP($D172,素材!$1:$1016,COLUMN($F$1),FALSE)) - LEN(SUBSTITUTE(VLOOKUP($D172,素材!$1:$1016,COLUMN($F$1),FALSE), "・", 0)) + 1), 0)</f>
        <v>0</v>
      </c>
      <c r="AK172">
        <f>IF(ISNUMBER(SEARCH(SUBSTITUTE(AK$1,RIGHT(AK$1,2),""),VLOOKUP($D172,素材!$1:$1016,COLUMN($F$1),FALSE))),VLOOKUP($C172,武器!$1:$998,COLUMN($O$1),FALSE)*VLOOKUP($D172,素材!$1:$1016,COLUMN($E$1),FALSE)/(LEN(VLOOKUP($D172,素材!$1:$1016,COLUMN($F$1),FALSE)) - LEN(SUBSTITUTE(VLOOKUP($D172,素材!$1:$1016,COLUMN($F$1),FALSE), "・", 0)) + 1), 0)</f>
        <v>0</v>
      </c>
      <c r="AL172">
        <f>IF(ISNUMBER(SEARCH(SUBSTITUTE(AL$1,RIGHT(AL$1,2),""),VLOOKUP($D172,素材!$1:$1016,COLUMN($F$1),FALSE))),VLOOKUP($C172,武器!$1:$998,COLUMN($O$1),FALSE)*VLOOKUP($D172,素材!$1:$1016,COLUMN($E$1),FALSE)/(LEN(VLOOKUP($D172,素材!$1:$1016,COLUMN($F$1),FALSE)) - LEN(SUBSTITUTE(VLOOKUP($D172,素材!$1:$1016,COLUMN($F$1),FALSE), "・", 0)) + 1), 0)</f>
        <v>0</v>
      </c>
      <c r="AM172">
        <f>IF(ISNUMBER(SEARCH(SUBSTITUTE(AM$1,RIGHT(AM$1,2),""),VLOOKUP($D172,素材!$1:$1016,COLUMN($F$1),FALSE))),VLOOKUP($C172,武器!$1:$998,COLUMN($O$1),FALSE)*VLOOKUP($D172,素材!$1:$1016,COLUMN($E$1),FALSE)/(LEN(VLOOKUP($D172,素材!$1:$1016,COLUMN($F$1),FALSE)) - LEN(SUBSTITUTE(VLOOKUP($D172,素材!$1:$1016,COLUMN($F$1),FALSE), "・", 0)) + 1), 0)</f>
        <v>0</v>
      </c>
      <c r="AN172">
        <f>IF(ISNUMBER(SEARCH(SUBSTITUTE(AN$1,RIGHT(AN$1,2),""),VLOOKUP($D172,素材!$1:$1016,COLUMN($F$1),FALSE))),VLOOKUP($C172,武器!$1:$998,COLUMN($O$1),FALSE)*VLOOKUP($D172,素材!$1:$1016,COLUMN($E$1),FALSE)/(LEN(VLOOKUP($D172,素材!$1:$1016,COLUMN($F$1),FALSE)) - LEN(SUBSTITUTE(VLOOKUP($D172,素材!$1:$1016,COLUMN($F$1),FALSE), "・", 0)) + 1), 0)</f>
        <v>0</v>
      </c>
      <c r="AO172">
        <f>IF(ISNUMBER(SEARCH(SUBSTITUTE(AO$1,RIGHT(AO$1,2),""),VLOOKUP($D172,素材!$1:$1016,COLUMN($F$1),FALSE))),VLOOKUP($C172,武器!$1:$998,COLUMN($O$1),FALSE)*VLOOKUP($D172,素材!$1:$1016,COLUMN($E$1),FALSE)/(LEN(VLOOKUP($D172,素材!$1:$1016,COLUMN($F$1),FALSE)) - LEN(SUBSTITUTE(VLOOKUP($D172,素材!$1:$1016,COLUMN($F$1),FALSE), "・", 0)) + 1), 0)</f>
        <v>0</v>
      </c>
      <c r="AP172">
        <f>IF(ISNUMBER(SEARCH(SUBSTITUTE(AP$1,RIGHT(AP$1,2),""),VLOOKUP($D172,素材!$1:$1016,COLUMN($F$1),FALSE))),VLOOKUP($C172,武器!$1:$998,COLUMN($O$1),FALSE)*VLOOKUP($D172,素材!$1:$1016,COLUMN($E$1),FALSE)/(LEN(VLOOKUP($D172,素材!$1:$1016,COLUMN($F$1),FALSE)) - LEN(SUBSTITUTE(VLOOKUP($D172,素材!$1:$1016,COLUMN($F$1),FALSE), "・", 0)) + 1), 0)</f>
        <v>0</v>
      </c>
      <c r="AQ172">
        <f>IF(ISNUMBER(SEARCH(SUBSTITUTE(AQ$1,RIGHT(AQ$1,2),""),VLOOKUP($D172,素材!$1:$1016,COLUMN($F$1),FALSE))),VLOOKUP($C172,武器!$1:$998,COLUMN($O$1),FALSE)*VLOOKUP($D172,素材!$1:$1016,COLUMN($E$1),FALSE)/(LEN(VLOOKUP($D172,素材!$1:$1016,COLUMN($F$1),FALSE)) - LEN(SUBSTITUTE(VLOOKUP($D172,素材!$1:$1016,COLUMN($F$1),FALSE), "・", 0)) + 1), 0)</f>
        <v>0</v>
      </c>
      <c r="AR172">
        <f>IF(ISNUMBER(SEARCH(SUBSTITUTE(AR$1,RIGHT(AR$1,2),""),VLOOKUP($D172,素材!$1:$1016,COLUMN($F$1),FALSE))),VLOOKUP($C172,武器!$1:$998,COLUMN($O$1),FALSE)*VLOOKUP($D172,素材!$1:$1016,COLUMN($E$1),FALSE)/(LEN(VLOOKUP($D172,素材!$1:$1016,COLUMN($F$1),FALSE)) - LEN(SUBSTITUTE(VLOOKUP($D172,素材!$1:$1016,COLUMN($F$1),FALSE), "・", 0)) + 1), 0)</f>
        <v>0</v>
      </c>
      <c r="AS172">
        <f>IF(ISNUMBER(SEARCH(SUBSTITUTE(AS$1,RIGHT(AS$1,2),""),VLOOKUP($D172,素材!$1:$1016,COLUMN($F$1),FALSE))),VLOOKUP($C172,武器!$1:$998,COLUMN($O$1),FALSE)*VLOOKUP($D172,素材!$1:$1016,COLUMN($E$1),FALSE)/(LEN(VLOOKUP($D172,素材!$1:$1016,COLUMN($F$1),FALSE)) - LEN(SUBSTITUTE(VLOOKUP($D172,素材!$1:$1016,COLUMN($F$1),FALSE), "・", 0)) + 1), 0)</f>
        <v>0</v>
      </c>
      <c r="AT172">
        <f>IF(ISNUMBER(SEARCH(SUBSTITUTE(AT$1,RIGHT(AT$1,2),""),VLOOKUP($D172,素材!$1:$1016,COLUMN($F$1),FALSE))),VLOOKUP($C172,武器!$1:$998,COLUMN($O$1),FALSE)*VLOOKUP($D172,素材!$1:$1016,COLUMN($E$1),FALSE)/(LEN(VLOOKUP($D172,素材!$1:$1016,COLUMN($F$1),FALSE)) - LEN(SUBSTITUTE(VLOOKUP($D172,素材!$1:$1016,COLUMN($F$1),FALSE), "・", 0)) + 1), 0)</f>
        <v>0</v>
      </c>
      <c r="AU172">
        <f>IF(ISNUMBER(SEARCH(SUBSTITUTE(AU$1,RIGHT(AU$1,2),""),VLOOKUP($D172,素材!$1:$1016,COLUMN($F$1),FALSE))),VLOOKUP($C172,武器!$1:$998,COLUMN($O$1),FALSE)*VLOOKUP($D172,素材!$1:$1016,COLUMN($E$1),FALSE)/(LEN(VLOOKUP($D172,素材!$1:$1016,COLUMN($F$1),FALSE)) - LEN(SUBSTITUTE(VLOOKUP($D172,素材!$1:$1016,COLUMN($F$1),FALSE), "・", 0)) + 1), 0)</f>
        <v>0</v>
      </c>
      <c r="AV172">
        <f>IF(ISNUMBER(SEARCH(SUBSTITUTE(AV$1,RIGHT(AV$1,2),""),VLOOKUP($D172,素材!$1:$1016,COLUMN($F$1),FALSE))),VLOOKUP($C172,武器!$1:$998,COLUMN($O$1),FALSE)*VLOOKUP($D172,素材!$1:$1016,COLUMN($E$1),FALSE)/(LEN(VLOOKUP($D172,素材!$1:$1016,COLUMN($F$1),FALSE)) - LEN(SUBSTITUTE(VLOOKUP($D172,素材!$1:$1016,COLUMN($F$1),FALSE), "・", 0)) + 1), 0)</f>
        <v>0</v>
      </c>
      <c r="AW172">
        <f>IF(ISNUMBER(SEARCH(SUBSTITUTE(AW$1,RIGHT(AW$1,2),""),VLOOKUP($D172,素材!$1:$1016,COLUMN($F$1),FALSE))),VLOOKUP($C172,武器!$1:$998,COLUMN($O$1),FALSE)*VLOOKUP($D172,素材!$1:$1016,COLUMN($E$1),FALSE)/(LEN(VLOOKUP($D172,素材!$1:$1016,COLUMN($F$1),FALSE)) - LEN(SUBSTITUTE(VLOOKUP($D172,素材!$1:$1016,COLUMN($F$1),FALSE), "・", 0)) + 1), 0)</f>
        <v>0</v>
      </c>
      <c r="AX172">
        <f>IF(ISNUMBER(SEARCH(SUBSTITUTE(AX$1,RIGHT(AX$1,2),""),VLOOKUP($D172,素材!$1:$1016,COLUMN($F$1),FALSE))),VLOOKUP($C172,武器!$1:$998,COLUMN($O$1),FALSE)*VLOOKUP($D172,素材!$1:$1016,COLUMN($E$1),FALSE)/(LEN(VLOOKUP($D172,素材!$1:$1016,COLUMN($F$1),FALSE)) - LEN(SUBSTITUTE(VLOOKUP($D172,素材!$1:$1016,COLUMN($F$1),FALSE), "・", 0)) + 1), 0)</f>
        <v>0</v>
      </c>
      <c r="AY172">
        <f>IF(ISNUMBER(SEARCH(SUBSTITUTE(AY$1,RIGHT(AY$1,2),""),VLOOKUP($D172,素材!$1:$1016,COLUMN($F$1),FALSE))),VLOOKUP($C172,武器!$1:$998,COLUMN($O$1),FALSE)*VLOOKUP($D172,素材!$1:$1016,COLUMN($E$1),FALSE)/(LEN(VLOOKUP($D172,素材!$1:$1016,COLUMN($F$1),FALSE)) - LEN(SUBSTITUTE(VLOOKUP($D172,素材!$1:$1016,COLUMN($F$1),FALSE), "・", 0)) + 1), 0)</f>
        <v>0</v>
      </c>
      <c r="AZ172">
        <f>IF(ISNUMBER(SEARCH(SUBSTITUTE(AZ$1,RIGHT(AZ$1,2),""),VLOOKUP($D172,素材!$1:$1016,COLUMN($F$1),FALSE))),VLOOKUP($C172,武器!$1:$998,COLUMN($O$1),FALSE)*VLOOKUP($D172,素材!$1:$1016,COLUMN($E$1),FALSE)/(LEN(VLOOKUP($D172,素材!$1:$1016,COLUMN($F$1),FALSE)) - LEN(SUBSTITUTE(VLOOKUP($D172,素材!$1:$1016,COLUMN($F$1),FALSE), "・", 0)) + 1), 0)</f>
        <v>0</v>
      </c>
      <c r="BA172">
        <f>IF(ISNUMBER(SEARCH(SUBSTITUTE(BA$1,RIGHT(BA$1,2),""),VLOOKUP($D172,素材!$1:$1016,COLUMN($F$1),FALSE))),VLOOKUP($C172,武器!$1:$998,COLUMN($O$1),FALSE)*VLOOKUP($D172,素材!$1:$1016,COLUMN($E$1),FALSE)/(LEN(VLOOKUP($D172,素材!$1:$1016,COLUMN($F$1),FALSE)) - LEN(SUBSTITUTE(VLOOKUP($D172,素材!$1:$1016,COLUMN($F$1),FALSE), "・", 0)) + 1), 0)</f>
        <v>0</v>
      </c>
      <c r="BB172">
        <f>IF(ISNUMBER(SEARCH(SUBSTITUTE(BB$1,RIGHT(BB$1,2),""),VLOOKUP($D172,素材!$1:$1016,COLUMN($F$1),FALSE))),VLOOKUP($C172,武器!$1:$998,COLUMN($O$1),FALSE)*VLOOKUP($D172,素材!$1:$1016,COLUMN($E$1),FALSE)/(LEN(VLOOKUP($D172,素材!$1:$1016,COLUMN($F$1),FALSE)) - LEN(SUBSTITUTE(VLOOKUP($D172,素材!$1:$1016,COLUMN($F$1),FALSE), "・", 0)) + 1), 0)</f>
        <v>0</v>
      </c>
      <c r="BC172">
        <f>IF(ISNUMBER(SEARCH(SUBSTITUTE(BC$1,RIGHT(BC$1,2),""),VLOOKUP($D172,素材!$1:$1016,COLUMN($F$1),FALSE))),VLOOKUP($C172,武器!$1:$998,COLUMN($O$1),FALSE)*VLOOKUP($D172,素材!$1:$1016,COLUMN($E$1),FALSE)/(LEN(VLOOKUP($D172,素材!$1:$1016,COLUMN($F$1),FALSE)) - LEN(SUBSTITUTE(VLOOKUP($D172,素材!$1:$1016,COLUMN($F$1),FALSE), "・", 0)) + 1), 0)</f>
        <v>0</v>
      </c>
      <c r="BD172">
        <f>IF(ISNUMBER(SEARCH(SUBSTITUTE(BD$1,RIGHT(BD$1,2),""),VLOOKUP($D172,素材!$1:$1016,COLUMN($F$1),FALSE))),VLOOKUP($C172,武器!$1:$998,COLUMN($O$1),FALSE)*VLOOKUP($D172,素材!$1:$1016,COLUMN($E$1),FALSE)/(LEN(VLOOKUP($D172,素材!$1:$1016,COLUMN($F$1),FALSE)) - LEN(SUBSTITUTE(VLOOKUP($D172,素材!$1:$1016,COLUMN($F$1),FALSE), "・", 0)) + 1), 0)</f>
        <v>0</v>
      </c>
      <c r="BE172">
        <f>IF(ISNUMBER(SEARCH(SUBSTITUTE(BE$1,RIGHT(BE$1,2),""),VLOOKUP($D172,素材!$1:$1016,COLUMN($F$1),FALSE))),VLOOKUP($C172,武器!$1:$998,COLUMN($O$1),FALSE)*VLOOKUP($D172,素材!$1:$1016,COLUMN($E$1),FALSE)/(LEN(VLOOKUP($D172,素材!$1:$1016,COLUMN($F$1),FALSE)) - LEN(SUBSTITUTE(VLOOKUP($D172,素材!$1:$1016,COLUMN($F$1),FALSE), "・", 0)) + 1), 0)</f>
        <v>0</v>
      </c>
      <c r="CL172">
        <f>SUM(G172:I172)</f>
        <v>24</v>
      </c>
      <c r="CM172" s="22" t="str">
        <f>IF(E172="武器",IF(J172-1&gt;SUM(G172:I172),"盾",IF(MAX(G172:I172)=G172,"切断",IF(MAX(G172:I172)=H172,"貫通",IF(MAX(G172:I172)=I172,"打撃","射撃")))),E172)&amp;".webp"</f>
        <v>貫通.webp</v>
      </c>
      <c r="CN172">
        <f>IFERROR(VLOOKUP($C172,武器!$1:$998,COLUMN(V$1),FALSE)*VLOOKUP($D172,素材!$1:$1016,COLUMN(N$1),FALSE)+IF(CI172="",0,VLOOKUP($CI172,装強!$1:$1008,COLUMN($CK$1),FALSE)),"")</f>
        <v>3000</v>
      </c>
      <c r="CO172">
        <f>VLOOKUP(D172,素材!$A:$O,COLUMN(素材!O$1),FALSE)</f>
        <v>0</v>
      </c>
      <c r="CP172" t="str">
        <f>VLOOKUP(C172,武器!$A:$W,COLUMN(武器!W$1),FALSE)</f>
        <v>棘棍。打撃と刺突を兼ね備えた武器。</v>
      </c>
      <c r="CR172" t="str">
        <f t="shared" si="18"/>
        <v>e_172</v>
      </c>
      <c r="CS172">
        <f t="shared" si="22"/>
        <v>300000</v>
      </c>
    </row>
    <row r="173" spans="1:97" outlineLevel="1" x14ac:dyDescent="0.4">
      <c r="A173" t="str">
        <f t="shared" si="27"/>
        <v>黒鋼鉄の鎚</v>
      </c>
      <c r="B173" t="str">
        <f>IFERROR(VLOOKUP($D173,素材!$1:$1016,COLUMN($B$1),FALSE)&amp;"・"&amp;VLOOKUP($C173,武器!$1:$998,COLUMN(B$1),FALSE),"")</f>
        <v>ブラックスティール・ハンマー</v>
      </c>
      <c r="C173" t="s">
        <v>227</v>
      </c>
      <c r="D173" s="24" t="s">
        <v>244</v>
      </c>
      <c r="E173" t="str">
        <f>IFERROR(VLOOKUP(C173,武器!$1:$998,COLUMN(C$1),FALSE),"")</f>
        <v>武器</v>
      </c>
      <c r="F173">
        <f>IFERROR(ROUNDDOWN((VLOOKUP($C173,武器!$1:$998,COLUMN(D$1),FALSE)+IFERROR(VLOOKUP($CI173,装強!$1:$999,COLUMN(F$1),FALSE),0))*VLOOKUP($D173,素材!$1:$1016,COLUMN(D$1),FALSE),0),"")</f>
        <v>110</v>
      </c>
      <c r="G173">
        <f>IFERROR(ROUNDDOWN((VLOOKUP($C173,武器!$1:$998,COLUMN(E$1),FALSE)+IFERROR(VLOOKUP($CI173,装強!$1:$999,COLUMN(G$1),FALSE),0))*VLOOKUP($D173,素材!$1:$1016,COLUMN($E$1),FALSE),0),"")</f>
        <v>0</v>
      </c>
      <c r="H173">
        <f>IFERROR(ROUNDDOWN((VLOOKUP($C173,武器!$1:$998,COLUMN(F$1),FALSE)+IFERROR(VLOOKUP($CI173,装強!$1:$999,COLUMN(H$1),FALSE),0))*VLOOKUP($D173,素材!$1:$1016,COLUMN($E$1),FALSE),0),"")</f>
        <v>0</v>
      </c>
      <c r="I173">
        <f>IFERROR(ROUNDDOWN((VLOOKUP($C173,武器!$1:$998,COLUMN(G$1),FALSE)+IFERROR(VLOOKUP($CI173,装強!$1:$999,COLUMN(I$1),FALSE),0))*VLOOKUP($D173,素材!$1:$1016,COLUMN($E$1),FALSE),0),"")</f>
        <v>22</v>
      </c>
      <c r="J173">
        <f>IFERROR(ROUNDDOWN((VLOOKUP($C173,武器!$1:$998,COLUMN(H$1),FALSE)+IFERROR(VLOOKUP($CI173,装強!$1:$999,COLUMN(J$1),FALSE),0))*VLOOKUP($D173,素材!$1:$1016,COLUMN($E$1),FALSE),0),"")</f>
        <v>19</v>
      </c>
      <c r="K173">
        <f>IFERROR(ROUNDDOWN((VLOOKUP($C173,武器!$1:$998,COLUMN(I$1),FALSE)+IFERROR(VLOOKUP($CI173,装強!$1:$999,COLUMN(K$1),FALSE),0))*VLOOKUP($D173,素材!$1:$1016,COLUMN($E$1),FALSE),0),"")</f>
        <v>0</v>
      </c>
      <c r="L173" t="str">
        <f>IFERROR(VLOOKUP($D173,素材!$1:$1016,COLUMN($F$1),FALSE),"")</f>
        <v>雷</v>
      </c>
      <c r="M173">
        <f>IFERROR(VLOOKUP($C173,武器!$1:$998,COLUMN(AA$1),FALSE)*VLOOKUP($D173,素材!$1:$1016,COLUMN($G$1),FALSE),"")</f>
        <v>38.5</v>
      </c>
      <c r="N173">
        <f>IFERROR(VLOOKUP($C173,武器!$1:$998,COLUMN(I$1),FALSE),"")</f>
        <v>0</v>
      </c>
      <c r="O173" s="23">
        <f>IFERROR((VLOOKUP($C173,武器!$1:$998,COLUMN(K$1),FALSE)+VLOOKUP($D173,素材!$1:$1016,COLUMN(H$1),FALSE))*100+IFERROR(VLOOKUP($CI173,装強!$1:$999,COLUMN(O$1),FALSE),0),"")</f>
        <v>10</v>
      </c>
      <c r="P173" s="23">
        <f>IFERROR((VLOOKUP($C173,武器!$1:$998,COLUMN(L$1),FALSE)+VLOOKUP($D173,素材!$1:$1016,COLUMN(I$1),FALSE))*100+IFERROR(VLOOKUP($CI173,装強!$1:$999,COLUMN(P$1),FALSE),0),"")</f>
        <v>150</v>
      </c>
      <c r="Q173">
        <f>IFERROR(ROUNDUP(VLOOKUP($C173,武器!$1:$998,COLUMN(M$1),FALSE)*(VLOOKUP($D173,素材!$1:$1002,COLUMN(D$1),FALSE)/100),1),"")</f>
        <v>-2.5</v>
      </c>
      <c r="R173">
        <f>IFERROR(ROUNDUP(VLOOKUP($C173,武器!$1:$998,COLUMN(N$1),FALSE)*(VLOOKUP($D173,素材!$1:$1002,COLUMN(D$1),FALSE)/100),1),"")</f>
        <v>0</v>
      </c>
      <c r="S173">
        <f>IFERROR(VLOOKUP($C173,武器!$1:$998,COLUMN(P$1),FALSE),"")</f>
        <v>0</v>
      </c>
      <c r="T173">
        <f>IFERROR(VLOOKUP($C173,武器!$1:$998,COLUMN(Q$1),FALSE),"")</f>
        <v>0</v>
      </c>
      <c r="U173">
        <f>IFERROR(VLOOKUP($C173,武器!$1:$998,COLUMN(R$1),FALSE),"")</f>
        <v>0</v>
      </c>
      <c r="V173">
        <f>IFERROR(VLOOKUP($C173,武器!$1:$998,COLUMN(Q$1),FALSE),"")</f>
        <v>0</v>
      </c>
      <c r="W173" t="str">
        <f>IFERROR(VLOOKUP($C173,武器!$1:$998,COLUMN(T$1),FALSE),"")</f>
        <v>A</v>
      </c>
      <c r="Y173" t="str">
        <f>IFERROR(VLOOKUP($C173,武器!$1:$998,COLUMN(U$1),FALSE),"")</f>
        <v>投擲強化</v>
      </c>
      <c r="Z173">
        <f>IFERROR(ROUNDUP(VLOOKUP($C173,武器!$1:$998,COLUMN(O$1),FALSE)*VLOOKUP($D173,素材!$1:$1016,COLUMN(E$1),FALSE),1),"")</f>
        <v>0</v>
      </c>
      <c r="AA173">
        <f>IF(ISNUMBER(SEARCH(SUBSTITUTE(AA$1,RIGHT(AA$1,2),""),VLOOKUP($D173,素材!$1:$1016,COLUMN($F$1),FALSE))),VLOOKUP($C173,武器!$1:$998,COLUMN($O$1),FALSE)*VLOOKUP($D173,素材!$1:$1016,COLUMN($E$1),FALSE)/(LEN(VLOOKUP($D173,素材!$1:$1016,COLUMN($F$1),FALSE)) - LEN(SUBSTITUTE(VLOOKUP($D173,素材!$1:$1016,COLUMN($F$1),FALSE), "・", 0)) + 1), 0)</f>
        <v>0</v>
      </c>
      <c r="AB173">
        <f>IF(ISNUMBER(SEARCH(SUBSTITUTE(AB$1,RIGHT(AB$1,2),""),VLOOKUP($D173,素材!$1:$1016,COLUMN($F$1),FALSE))),VLOOKUP($C173,武器!$1:$998,COLUMN($O$1),FALSE)*VLOOKUP($D173,素材!$1:$1016,COLUMN($E$1),FALSE)/(LEN(VLOOKUP($D173,素材!$1:$1016,COLUMN($F$1),FALSE)) - LEN(SUBSTITUTE(VLOOKUP($D173,素材!$1:$1016,COLUMN($F$1),FALSE), "・", 0)) + 1), 0)</f>
        <v>0</v>
      </c>
      <c r="AC173">
        <f>IF(ISNUMBER(SEARCH(SUBSTITUTE(AC$1,RIGHT(AC$1,2),""),VLOOKUP($D173,素材!$1:$1016,COLUMN($F$1),FALSE))),VLOOKUP($C173,武器!$1:$998,COLUMN($O$1),FALSE)*VLOOKUP($D173,素材!$1:$1016,COLUMN($E$1),FALSE)/(LEN(VLOOKUP($D173,素材!$1:$1016,COLUMN($F$1),FALSE)) - LEN(SUBSTITUTE(VLOOKUP($D173,素材!$1:$1016,COLUMN($F$1),FALSE), "・", 0)) + 1), 0)</f>
        <v>0</v>
      </c>
      <c r="AD173">
        <f>IF(ISNUMBER(SEARCH(SUBSTITUTE(AD$1,RIGHT(AD$1,2),""),VLOOKUP($D173,素材!$1:$1016,COLUMN($F$1),FALSE))),VLOOKUP($C173,武器!$1:$998,COLUMN($O$1),FALSE)*VLOOKUP($D173,素材!$1:$1016,COLUMN($E$1),FALSE)/(LEN(VLOOKUP($D173,素材!$1:$1016,COLUMN($F$1),FALSE)) - LEN(SUBSTITUTE(VLOOKUP($D173,素材!$1:$1016,COLUMN($F$1),FALSE), "・", 0)) + 1), 0)</f>
        <v>0</v>
      </c>
      <c r="AE173">
        <f>IF(ISNUMBER(SEARCH(SUBSTITUTE(AE$1,RIGHT(AE$1,2),""),VLOOKUP($D173,素材!$1:$1016,COLUMN($F$1),FALSE))),VLOOKUP($C173,武器!$1:$998,COLUMN($O$1),FALSE)*VLOOKUP($D173,素材!$1:$1016,COLUMN($E$1),FALSE)/(LEN(VLOOKUP($D173,素材!$1:$1016,COLUMN($F$1),FALSE)) - LEN(SUBSTITUTE(VLOOKUP($D173,素材!$1:$1016,COLUMN($F$1),FALSE), "・", 0)) + 1), 0)</f>
        <v>0</v>
      </c>
      <c r="AF173">
        <f>IF(ISNUMBER(SEARCH(SUBSTITUTE(AF$1,RIGHT(AF$1,2),""),VLOOKUP($D173,素材!$1:$1016,COLUMN($F$1),FALSE))),VLOOKUP($C173,武器!$1:$998,COLUMN($O$1),FALSE)*VLOOKUP($D173,素材!$1:$1016,COLUMN($E$1),FALSE)/(LEN(VLOOKUP($D173,素材!$1:$1016,COLUMN($F$1),FALSE)) - LEN(SUBSTITUTE(VLOOKUP($D173,素材!$1:$1016,COLUMN($F$1),FALSE), "・", 0)) + 1), 0)</f>
        <v>0</v>
      </c>
      <c r="AG173">
        <f>IF(ISNUMBER(SEARCH(SUBSTITUTE(AG$1,RIGHT(AG$1,2),""),VLOOKUP($D173,素材!$1:$1016,COLUMN($F$1),FALSE))),VLOOKUP($C173,武器!$1:$998,COLUMN($O$1),FALSE)*VLOOKUP($D173,素材!$1:$1016,COLUMN($E$1),FALSE)/(LEN(VLOOKUP($D173,素材!$1:$1016,COLUMN($F$1),FALSE)) - LEN(SUBSTITUTE(VLOOKUP($D173,素材!$1:$1016,COLUMN($F$1),FALSE), "・", 0)) + 1), 0)</f>
        <v>0</v>
      </c>
      <c r="AH173">
        <f>IF(ISNUMBER(SEARCH(SUBSTITUTE(AH$1,RIGHT(AH$1,2),""),VLOOKUP($D173,素材!$1:$1016,COLUMN($F$1),FALSE))),VLOOKUP($C173,武器!$1:$998,COLUMN($O$1),FALSE)*VLOOKUP($D173,素材!$1:$1016,COLUMN($E$1),FALSE)/(LEN(VLOOKUP($D173,素材!$1:$1016,COLUMN($F$1),FALSE)) - LEN(SUBSTITUTE(VLOOKUP($D173,素材!$1:$1016,COLUMN($F$1),FALSE), "・", 0)) + 1), 0)</f>
        <v>0</v>
      </c>
      <c r="AI173">
        <f>IF(ISNUMBER(SEARCH(SUBSTITUTE(AI$1,RIGHT(AI$1,2),""),VLOOKUP($D173,素材!$1:$1016,COLUMN($F$1),FALSE))),VLOOKUP($C173,武器!$1:$998,COLUMN($O$1),FALSE)*VLOOKUP($D173,素材!$1:$1016,COLUMN($E$1),FALSE)/(LEN(VLOOKUP($D173,素材!$1:$1016,COLUMN($F$1),FALSE)) - LEN(SUBSTITUTE(VLOOKUP($D173,素材!$1:$1016,COLUMN($F$1),FALSE), "・", 0)) + 1), 0)</f>
        <v>0</v>
      </c>
      <c r="AJ173">
        <f>IF(ISNUMBER(SEARCH(SUBSTITUTE(AJ$1,RIGHT(AJ$1,2),""),VLOOKUP($D173,素材!$1:$1016,COLUMN($F$1),FALSE))),VLOOKUP($C173,武器!$1:$998,COLUMN($O$1),FALSE)*VLOOKUP($D173,素材!$1:$1016,COLUMN($E$1),FALSE)/(LEN(VLOOKUP($D173,素材!$1:$1016,COLUMN($F$1),FALSE)) - LEN(SUBSTITUTE(VLOOKUP($D173,素材!$1:$1016,COLUMN($F$1),FALSE), "・", 0)) + 1), 0)</f>
        <v>0</v>
      </c>
      <c r="AK173">
        <f>IF(ISNUMBER(SEARCH(SUBSTITUTE(AK$1,RIGHT(AK$1,2),""),VLOOKUP($D173,素材!$1:$1016,COLUMN($F$1),FALSE))),VLOOKUP($C173,武器!$1:$998,COLUMN($O$1),FALSE)*VLOOKUP($D173,素材!$1:$1016,COLUMN($E$1),FALSE)/(LEN(VLOOKUP($D173,素材!$1:$1016,COLUMN($F$1),FALSE)) - LEN(SUBSTITUTE(VLOOKUP($D173,素材!$1:$1016,COLUMN($F$1),FALSE), "・", 0)) + 1), 0)</f>
        <v>0</v>
      </c>
      <c r="AL173">
        <f>IF(ISNUMBER(SEARCH(SUBSTITUTE(AL$1,RIGHT(AL$1,2),""),VLOOKUP($D173,素材!$1:$1016,COLUMN($F$1),FALSE))),VLOOKUP($C173,武器!$1:$998,COLUMN($O$1),FALSE)*VLOOKUP($D173,素材!$1:$1016,COLUMN($E$1),FALSE)/(LEN(VLOOKUP($D173,素材!$1:$1016,COLUMN($F$1),FALSE)) - LEN(SUBSTITUTE(VLOOKUP($D173,素材!$1:$1016,COLUMN($F$1),FALSE), "・", 0)) + 1), 0)</f>
        <v>0</v>
      </c>
      <c r="AM173">
        <f>IF(ISNUMBER(SEARCH(SUBSTITUTE(AM$1,RIGHT(AM$1,2),""),VLOOKUP($D173,素材!$1:$1016,COLUMN($F$1),FALSE))),VLOOKUP($C173,武器!$1:$998,COLUMN($O$1),FALSE)*VLOOKUP($D173,素材!$1:$1016,COLUMN($E$1),FALSE)/(LEN(VLOOKUP($D173,素材!$1:$1016,COLUMN($F$1),FALSE)) - LEN(SUBSTITUTE(VLOOKUP($D173,素材!$1:$1016,COLUMN($F$1),FALSE), "・", 0)) + 1), 0)</f>
        <v>0</v>
      </c>
      <c r="AN173">
        <f>IF(ISNUMBER(SEARCH(SUBSTITUTE(AN$1,RIGHT(AN$1,2),""),VLOOKUP($D173,素材!$1:$1016,COLUMN($F$1),FALSE))),VLOOKUP($C173,武器!$1:$998,COLUMN($O$1),FALSE)*VLOOKUP($D173,素材!$1:$1016,COLUMN($E$1),FALSE)/(LEN(VLOOKUP($D173,素材!$1:$1016,COLUMN($F$1),FALSE)) - LEN(SUBSTITUTE(VLOOKUP($D173,素材!$1:$1016,COLUMN($F$1),FALSE), "・", 0)) + 1), 0)</f>
        <v>0</v>
      </c>
      <c r="AO173">
        <f>IF(ISNUMBER(SEARCH(SUBSTITUTE(AO$1,RIGHT(AO$1,2),""),VLOOKUP($D173,素材!$1:$1016,COLUMN($F$1),FALSE))),VLOOKUP($C173,武器!$1:$998,COLUMN($O$1),FALSE)*VLOOKUP($D173,素材!$1:$1016,COLUMN($E$1),FALSE)/(LEN(VLOOKUP($D173,素材!$1:$1016,COLUMN($F$1),FALSE)) - LEN(SUBSTITUTE(VLOOKUP($D173,素材!$1:$1016,COLUMN($F$1),FALSE), "・", 0)) + 1), 0)</f>
        <v>0</v>
      </c>
      <c r="AP173">
        <f>IF(ISNUMBER(SEARCH(SUBSTITUTE(AP$1,RIGHT(AP$1,2),""),VLOOKUP($D173,素材!$1:$1016,COLUMN($F$1),FALSE))),VLOOKUP($C173,武器!$1:$998,COLUMN($O$1),FALSE)*VLOOKUP($D173,素材!$1:$1016,COLUMN($E$1),FALSE)/(LEN(VLOOKUP($D173,素材!$1:$1016,COLUMN($F$1),FALSE)) - LEN(SUBSTITUTE(VLOOKUP($D173,素材!$1:$1016,COLUMN($F$1),FALSE), "・", 0)) + 1), 0)</f>
        <v>0</v>
      </c>
      <c r="AQ173">
        <f>IF(ISNUMBER(SEARCH(SUBSTITUTE(AQ$1,RIGHT(AQ$1,2),""),VLOOKUP($D173,素材!$1:$1016,COLUMN($F$1),FALSE))),VLOOKUP($C173,武器!$1:$998,COLUMN($O$1),FALSE)*VLOOKUP($D173,素材!$1:$1016,COLUMN($E$1),FALSE)/(LEN(VLOOKUP($D173,素材!$1:$1016,COLUMN($F$1),FALSE)) - LEN(SUBSTITUTE(VLOOKUP($D173,素材!$1:$1016,COLUMN($F$1),FALSE), "・", 0)) + 1), 0)</f>
        <v>0</v>
      </c>
      <c r="AR173">
        <f>IF(ISNUMBER(SEARCH(SUBSTITUTE(AR$1,RIGHT(AR$1,2),""),VLOOKUP($D173,素材!$1:$1016,COLUMN($F$1),FALSE))),VLOOKUP($C173,武器!$1:$998,COLUMN($O$1),FALSE)*VLOOKUP($D173,素材!$1:$1016,COLUMN($E$1),FALSE)/(LEN(VLOOKUP($D173,素材!$1:$1016,COLUMN($F$1),FALSE)) - LEN(SUBSTITUTE(VLOOKUP($D173,素材!$1:$1016,COLUMN($F$1),FALSE), "・", 0)) + 1), 0)</f>
        <v>0</v>
      </c>
      <c r="AS173">
        <f>IF(ISNUMBER(SEARCH(SUBSTITUTE(AS$1,RIGHT(AS$1,2),""),VLOOKUP($D173,素材!$1:$1016,COLUMN($F$1),FALSE))),VLOOKUP($C173,武器!$1:$998,COLUMN($O$1),FALSE)*VLOOKUP($D173,素材!$1:$1016,COLUMN($E$1),FALSE)/(LEN(VLOOKUP($D173,素材!$1:$1016,COLUMN($F$1),FALSE)) - LEN(SUBSTITUTE(VLOOKUP($D173,素材!$1:$1016,COLUMN($F$1),FALSE), "・", 0)) + 1), 0)</f>
        <v>0</v>
      </c>
      <c r="AT173">
        <f>IF(ISNUMBER(SEARCH(SUBSTITUTE(AT$1,RIGHT(AT$1,2),""),VLOOKUP($D173,素材!$1:$1016,COLUMN($F$1),FALSE))),VLOOKUP($C173,武器!$1:$998,COLUMN($O$1),FALSE)*VLOOKUP($D173,素材!$1:$1016,COLUMN($E$1),FALSE)/(LEN(VLOOKUP($D173,素材!$1:$1016,COLUMN($F$1),FALSE)) - LEN(SUBSTITUTE(VLOOKUP($D173,素材!$1:$1016,COLUMN($F$1),FALSE), "・", 0)) + 1), 0)</f>
        <v>0</v>
      </c>
      <c r="AU173">
        <f>IF(ISNUMBER(SEARCH(SUBSTITUTE(AU$1,RIGHT(AU$1,2),""),VLOOKUP($D173,素材!$1:$1016,COLUMN($F$1),FALSE))),VLOOKUP($C173,武器!$1:$998,COLUMN($O$1),FALSE)*VLOOKUP($D173,素材!$1:$1016,COLUMN($E$1),FALSE)/(LEN(VLOOKUP($D173,素材!$1:$1016,COLUMN($F$1),FALSE)) - LEN(SUBSTITUTE(VLOOKUP($D173,素材!$1:$1016,COLUMN($F$1),FALSE), "・", 0)) + 1), 0)</f>
        <v>0</v>
      </c>
      <c r="AV173">
        <f>IF(ISNUMBER(SEARCH(SUBSTITUTE(AV$1,RIGHT(AV$1,2),""),VLOOKUP($D173,素材!$1:$1016,COLUMN($F$1),FALSE))),VLOOKUP($C173,武器!$1:$998,COLUMN($O$1),FALSE)*VLOOKUP($D173,素材!$1:$1016,COLUMN($E$1),FALSE)/(LEN(VLOOKUP($D173,素材!$1:$1016,COLUMN($F$1),FALSE)) - LEN(SUBSTITUTE(VLOOKUP($D173,素材!$1:$1016,COLUMN($F$1),FALSE), "・", 0)) + 1), 0)</f>
        <v>0</v>
      </c>
      <c r="AW173">
        <f>IF(ISNUMBER(SEARCH(SUBSTITUTE(AW$1,RIGHT(AW$1,2),""),VLOOKUP($D173,素材!$1:$1016,COLUMN($F$1),FALSE))),VLOOKUP($C173,武器!$1:$998,COLUMN($O$1),FALSE)*VLOOKUP($D173,素材!$1:$1016,COLUMN($E$1),FALSE)/(LEN(VLOOKUP($D173,素材!$1:$1016,COLUMN($F$1),FALSE)) - LEN(SUBSTITUTE(VLOOKUP($D173,素材!$1:$1016,COLUMN($F$1),FALSE), "・", 0)) + 1), 0)</f>
        <v>0</v>
      </c>
      <c r="AX173">
        <f>IF(ISNUMBER(SEARCH(SUBSTITUTE(AX$1,RIGHT(AX$1,2),""),VLOOKUP($D173,素材!$1:$1016,COLUMN($F$1),FALSE))),VLOOKUP($C173,武器!$1:$998,COLUMN($O$1),FALSE)*VLOOKUP($D173,素材!$1:$1016,COLUMN($E$1),FALSE)/(LEN(VLOOKUP($D173,素材!$1:$1016,COLUMN($F$1),FALSE)) - LEN(SUBSTITUTE(VLOOKUP($D173,素材!$1:$1016,COLUMN($F$1),FALSE), "・", 0)) + 1), 0)</f>
        <v>0</v>
      </c>
      <c r="AY173">
        <f>IF(ISNUMBER(SEARCH(SUBSTITUTE(AY$1,RIGHT(AY$1,2),""),VLOOKUP($D173,素材!$1:$1016,COLUMN($F$1),FALSE))),VLOOKUP($C173,武器!$1:$998,COLUMN($O$1),FALSE)*VLOOKUP($D173,素材!$1:$1016,COLUMN($E$1),FALSE)/(LEN(VLOOKUP($D173,素材!$1:$1016,COLUMN($F$1),FALSE)) - LEN(SUBSTITUTE(VLOOKUP($D173,素材!$1:$1016,COLUMN($F$1),FALSE), "・", 0)) + 1), 0)</f>
        <v>0</v>
      </c>
      <c r="AZ173">
        <f>IF(ISNUMBER(SEARCH(SUBSTITUTE(AZ$1,RIGHT(AZ$1,2),""),VLOOKUP($D173,素材!$1:$1016,COLUMN($F$1),FALSE))),VLOOKUP($C173,武器!$1:$998,COLUMN($O$1),FALSE)*VLOOKUP($D173,素材!$1:$1016,COLUMN($E$1),FALSE)/(LEN(VLOOKUP($D173,素材!$1:$1016,COLUMN($F$1),FALSE)) - LEN(SUBSTITUTE(VLOOKUP($D173,素材!$1:$1016,COLUMN($F$1),FALSE), "・", 0)) + 1), 0)</f>
        <v>0</v>
      </c>
      <c r="BA173">
        <f>IF(ISNUMBER(SEARCH(SUBSTITUTE(BA$1,RIGHT(BA$1,2),""),VLOOKUP($D173,素材!$1:$1016,COLUMN($F$1),FALSE))),VLOOKUP($C173,武器!$1:$998,COLUMN($O$1),FALSE)*VLOOKUP($D173,素材!$1:$1016,COLUMN($E$1),FALSE)/(LEN(VLOOKUP($D173,素材!$1:$1016,COLUMN($F$1),FALSE)) - LEN(SUBSTITUTE(VLOOKUP($D173,素材!$1:$1016,COLUMN($F$1),FALSE), "・", 0)) + 1), 0)</f>
        <v>0</v>
      </c>
      <c r="BB173">
        <f>IF(ISNUMBER(SEARCH(SUBSTITUTE(BB$1,RIGHT(BB$1,2),""),VLOOKUP($D173,素材!$1:$1016,COLUMN($F$1),FALSE))),VLOOKUP($C173,武器!$1:$998,COLUMN($O$1),FALSE)*VLOOKUP($D173,素材!$1:$1016,COLUMN($E$1),FALSE)/(LEN(VLOOKUP($D173,素材!$1:$1016,COLUMN($F$1),FALSE)) - LEN(SUBSTITUTE(VLOOKUP($D173,素材!$1:$1016,COLUMN($F$1),FALSE), "・", 0)) + 1), 0)</f>
        <v>0</v>
      </c>
      <c r="BC173">
        <f>IF(ISNUMBER(SEARCH(SUBSTITUTE(BC$1,RIGHT(BC$1,2),""),VLOOKUP($D173,素材!$1:$1016,COLUMN($F$1),FALSE))),VLOOKUP($C173,武器!$1:$998,COLUMN($O$1),FALSE)*VLOOKUP($D173,素材!$1:$1016,COLUMN($E$1),FALSE)/(LEN(VLOOKUP($D173,素材!$1:$1016,COLUMN($F$1),FALSE)) - LEN(SUBSTITUTE(VLOOKUP($D173,素材!$1:$1016,COLUMN($F$1),FALSE), "・", 0)) + 1), 0)</f>
        <v>0</v>
      </c>
      <c r="BD173">
        <f>IF(ISNUMBER(SEARCH(SUBSTITUTE(BD$1,RIGHT(BD$1,2),""),VLOOKUP($D173,素材!$1:$1016,COLUMN($F$1),FALSE))),VLOOKUP($C173,武器!$1:$998,COLUMN($O$1),FALSE)*VLOOKUP($D173,素材!$1:$1016,COLUMN($E$1),FALSE)/(LEN(VLOOKUP($D173,素材!$1:$1016,COLUMN($F$1),FALSE)) - LEN(SUBSTITUTE(VLOOKUP($D173,素材!$1:$1016,COLUMN($F$1),FALSE), "・", 0)) + 1), 0)</f>
        <v>0</v>
      </c>
      <c r="BE173">
        <f>IF(ISNUMBER(SEARCH(SUBSTITUTE(BE$1,RIGHT(BE$1,2),""),VLOOKUP($D173,素材!$1:$1016,COLUMN($F$1),FALSE))),VLOOKUP($C173,武器!$1:$998,COLUMN($O$1),FALSE)*VLOOKUP($D173,素材!$1:$1016,COLUMN($E$1),FALSE)/(LEN(VLOOKUP($D173,素材!$1:$1016,COLUMN($F$1),FALSE)) - LEN(SUBSTITUTE(VLOOKUP($D173,素材!$1:$1016,COLUMN($F$1),FALSE), "・", 0)) + 1), 0)</f>
        <v>0</v>
      </c>
      <c r="CL173">
        <f>SUM(G173:I173)</f>
        <v>22</v>
      </c>
      <c r="CM173" s="22" t="str">
        <f>IF(E173="武器",IF(J173-1&gt;SUM(G173:I173),"盾",IF(MAX(G173:I173)=G173,"切断",IF(MAX(G173:I173)=H173,"貫通",IF(MAX(G173:I173)=I173,"打撃","射撃")))),E173)&amp;".webp"</f>
        <v>打撃.webp</v>
      </c>
      <c r="CN173">
        <f>IFERROR(VLOOKUP($C173,武器!$1:$998,COLUMN(V$1),FALSE)*VLOOKUP($D173,素材!$1:$1016,COLUMN(N$1),FALSE)+IF(CI173="",0,VLOOKUP($CI173,装強!$1:$1008,COLUMN($CK$1),FALSE)),"")</f>
        <v>3000</v>
      </c>
      <c r="CO173">
        <f>VLOOKUP(D173,素材!$A:$O,COLUMN(素材!O$1),FALSE)</f>
        <v>0</v>
      </c>
      <c r="CP173" t="str">
        <f>VLOOKUP(C173,武器!$A:$W,COLUMN(武器!W$1),FALSE)</f>
        <v>鎚。打撃力に優れ、投擲にも対応。</v>
      </c>
      <c r="CR173" t="str">
        <f t="shared" si="18"/>
        <v>e_173</v>
      </c>
      <c r="CS173">
        <f t="shared" si="22"/>
        <v>300000</v>
      </c>
    </row>
    <row r="174" spans="1:97" outlineLevel="1" x14ac:dyDescent="0.4">
      <c r="A174" t="str">
        <f t="shared" si="27"/>
        <v>黒鋼鉄の戦鎚</v>
      </c>
      <c r="B174" t="str">
        <f>IFERROR(VLOOKUP($D174,素材!$1:$1016,COLUMN($B$1),FALSE)&amp;"・"&amp;VLOOKUP($C174,武器!$1:$998,COLUMN(B$1),FALSE),"")</f>
        <v>ブラックスティール・ウォーハンマー</v>
      </c>
      <c r="C174" t="s">
        <v>226</v>
      </c>
      <c r="D174" s="24" t="s">
        <v>244</v>
      </c>
      <c r="E174" t="str">
        <f>IFERROR(VLOOKUP(C174,武器!$1:$998,COLUMN(C$1),FALSE),"")</f>
        <v>武器</v>
      </c>
      <c r="F174">
        <f>IFERROR(ROUNDDOWN((VLOOKUP($C174,武器!$1:$998,COLUMN(D$1),FALSE)+IFERROR(VLOOKUP($CI174,装強!$1:$999,COLUMN(F$1),FALSE),0))*VLOOKUP($D174,素材!$1:$1016,COLUMN(D$1),FALSE),0),"")</f>
        <v>125</v>
      </c>
      <c r="G174">
        <f>IFERROR(ROUNDDOWN((VLOOKUP($C174,武器!$1:$998,COLUMN(E$1),FALSE)+IFERROR(VLOOKUP($CI174,装強!$1:$999,COLUMN(G$1),FALSE),0))*VLOOKUP($D174,素材!$1:$1016,COLUMN($E$1),FALSE),0),"")</f>
        <v>0</v>
      </c>
      <c r="H174">
        <f>IFERROR(ROUNDDOWN((VLOOKUP($C174,武器!$1:$998,COLUMN(F$1),FALSE)+IFERROR(VLOOKUP($CI174,装強!$1:$999,COLUMN(H$1),FALSE),0))*VLOOKUP($D174,素材!$1:$1016,COLUMN($E$1),FALSE),0),"")</f>
        <v>0</v>
      </c>
      <c r="I174">
        <f>IFERROR(ROUNDDOWN((VLOOKUP($C174,武器!$1:$998,COLUMN(G$1),FALSE)+IFERROR(VLOOKUP($CI174,装強!$1:$999,COLUMN(I$1),FALSE),0))*VLOOKUP($D174,素材!$1:$1016,COLUMN($E$1),FALSE),0),"")</f>
        <v>24</v>
      </c>
      <c r="J174">
        <f>IFERROR(ROUNDDOWN((VLOOKUP($C174,武器!$1:$998,COLUMN(H$1),FALSE)+IFERROR(VLOOKUP($CI174,装強!$1:$999,COLUMN(J$1),FALSE),0))*VLOOKUP($D174,素材!$1:$1016,COLUMN($E$1),FALSE),0),"")</f>
        <v>21</v>
      </c>
      <c r="K174">
        <f>IFERROR(ROUNDDOWN((VLOOKUP($C174,武器!$1:$998,COLUMN(I$1),FALSE)+IFERROR(VLOOKUP($CI174,装強!$1:$999,COLUMN(K$1),FALSE),0))*VLOOKUP($D174,素材!$1:$1016,COLUMN($E$1),FALSE),0),"")</f>
        <v>0</v>
      </c>
      <c r="L174" t="str">
        <f>IFERROR(VLOOKUP($D174,素材!$1:$1016,COLUMN($F$1),FALSE),"")</f>
        <v>雷</v>
      </c>
      <c r="M174">
        <f>IFERROR(VLOOKUP($C174,武器!$1:$998,COLUMN(AA$1),FALSE)*VLOOKUP($D174,素材!$1:$1016,COLUMN($G$1),FALSE),"")</f>
        <v>42</v>
      </c>
      <c r="N174">
        <f>IFERROR(VLOOKUP($C174,武器!$1:$998,COLUMN(I$1),FALSE),"")</f>
        <v>0</v>
      </c>
      <c r="O174" s="23">
        <f>IFERROR((VLOOKUP($C174,武器!$1:$998,COLUMN(K$1),FALSE)+VLOOKUP($D174,素材!$1:$1016,COLUMN(H$1),FALSE))*100+IFERROR(VLOOKUP($CI174,装強!$1:$999,COLUMN(O$1),FALSE),0),"")</f>
        <v>10</v>
      </c>
      <c r="P174" s="23">
        <f>IFERROR((VLOOKUP($C174,武器!$1:$998,COLUMN(L$1),FALSE)+VLOOKUP($D174,素材!$1:$1016,COLUMN(I$1),FALSE))*100+IFERROR(VLOOKUP($CI174,装強!$1:$999,COLUMN(P$1),FALSE),0),"")</f>
        <v>150</v>
      </c>
      <c r="Q174">
        <f>IFERROR(ROUNDUP(VLOOKUP($C174,武器!$1:$998,COLUMN(M$1),FALSE)*(VLOOKUP($D174,素材!$1:$1002,COLUMN(D$1),FALSE)/100),1),"")</f>
        <v>-5</v>
      </c>
      <c r="R174">
        <f>IFERROR(ROUNDUP(VLOOKUP($C174,武器!$1:$998,COLUMN(N$1),FALSE)*(VLOOKUP($D174,素材!$1:$1002,COLUMN(D$1),FALSE)/100),1),"")</f>
        <v>-5</v>
      </c>
      <c r="S174">
        <f>IFERROR(VLOOKUP($C174,武器!$1:$998,COLUMN(P$1),FALSE),"")</f>
        <v>0</v>
      </c>
      <c r="T174">
        <f>IFERROR(VLOOKUP($C174,武器!$1:$998,COLUMN(Q$1),FALSE),"")</f>
        <v>0</v>
      </c>
      <c r="U174">
        <f>IFERROR(VLOOKUP($C174,武器!$1:$998,COLUMN(R$1),FALSE),"")</f>
        <v>0</v>
      </c>
      <c r="V174">
        <f>IFERROR(VLOOKUP($C174,武器!$1:$998,COLUMN(Q$1),FALSE),"")</f>
        <v>0</v>
      </c>
      <c r="W174" t="str">
        <f>IFERROR(VLOOKUP($C174,武器!$1:$998,COLUMN(T$1),FALSE),"")</f>
        <v>A</v>
      </c>
      <c r="Y174">
        <f>IFERROR(VLOOKUP($C174,武器!$1:$998,COLUMN(U$1),FALSE),"")</f>
        <v>0</v>
      </c>
      <c r="Z174">
        <f>IFERROR(ROUNDUP(VLOOKUP($C174,武器!$1:$998,COLUMN(O$1),FALSE)*VLOOKUP($D174,素材!$1:$1016,COLUMN(E$1),FALSE),1),"")</f>
        <v>0</v>
      </c>
      <c r="AA174">
        <f>IF(ISNUMBER(SEARCH(SUBSTITUTE(AA$1,RIGHT(AA$1,2),""),VLOOKUP($D174,素材!$1:$1016,COLUMN($F$1),FALSE))),VLOOKUP($C174,武器!$1:$998,COLUMN($O$1),FALSE)*VLOOKUP($D174,素材!$1:$1016,COLUMN($E$1),FALSE)/(LEN(VLOOKUP($D174,素材!$1:$1016,COLUMN($F$1),FALSE)) - LEN(SUBSTITUTE(VLOOKUP($D174,素材!$1:$1016,COLUMN($F$1),FALSE), "・", 0)) + 1), 0)</f>
        <v>0</v>
      </c>
      <c r="AB174">
        <f>IF(ISNUMBER(SEARCH(SUBSTITUTE(AB$1,RIGHT(AB$1,2),""),VLOOKUP($D174,素材!$1:$1016,COLUMN($F$1),FALSE))),VLOOKUP($C174,武器!$1:$998,COLUMN($O$1),FALSE)*VLOOKUP($D174,素材!$1:$1016,COLUMN($E$1),FALSE)/(LEN(VLOOKUP($D174,素材!$1:$1016,COLUMN($F$1),FALSE)) - LEN(SUBSTITUTE(VLOOKUP($D174,素材!$1:$1016,COLUMN($F$1),FALSE), "・", 0)) + 1), 0)</f>
        <v>0</v>
      </c>
      <c r="AC174">
        <f>IF(ISNUMBER(SEARCH(SUBSTITUTE(AC$1,RIGHT(AC$1,2),""),VLOOKUP($D174,素材!$1:$1016,COLUMN($F$1),FALSE))),VLOOKUP($C174,武器!$1:$998,COLUMN($O$1),FALSE)*VLOOKUP($D174,素材!$1:$1016,COLUMN($E$1),FALSE)/(LEN(VLOOKUP($D174,素材!$1:$1016,COLUMN($F$1),FALSE)) - LEN(SUBSTITUTE(VLOOKUP($D174,素材!$1:$1016,COLUMN($F$1),FALSE), "・", 0)) + 1), 0)</f>
        <v>0</v>
      </c>
      <c r="AD174">
        <f>IF(ISNUMBER(SEARCH(SUBSTITUTE(AD$1,RIGHT(AD$1,2),""),VLOOKUP($D174,素材!$1:$1016,COLUMN($F$1),FALSE))),VLOOKUP($C174,武器!$1:$998,COLUMN($O$1),FALSE)*VLOOKUP($D174,素材!$1:$1016,COLUMN($E$1),FALSE)/(LEN(VLOOKUP($D174,素材!$1:$1016,COLUMN($F$1),FALSE)) - LEN(SUBSTITUTE(VLOOKUP($D174,素材!$1:$1016,COLUMN($F$1),FALSE), "・", 0)) + 1), 0)</f>
        <v>0</v>
      </c>
      <c r="AE174">
        <f>IF(ISNUMBER(SEARCH(SUBSTITUTE(AE$1,RIGHT(AE$1,2),""),VLOOKUP($D174,素材!$1:$1016,COLUMN($F$1),FALSE))),VLOOKUP($C174,武器!$1:$998,COLUMN($O$1),FALSE)*VLOOKUP($D174,素材!$1:$1016,COLUMN($E$1),FALSE)/(LEN(VLOOKUP($D174,素材!$1:$1016,COLUMN($F$1),FALSE)) - LEN(SUBSTITUTE(VLOOKUP($D174,素材!$1:$1016,COLUMN($F$1),FALSE), "・", 0)) + 1), 0)</f>
        <v>0</v>
      </c>
      <c r="AF174">
        <f>IF(ISNUMBER(SEARCH(SUBSTITUTE(AF$1,RIGHT(AF$1,2),""),VLOOKUP($D174,素材!$1:$1016,COLUMN($F$1),FALSE))),VLOOKUP($C174,武器!$1:$998,COLUMN($O$1),FALSE)*VLOOKUP($D174,素材!$1:$1016,COLUMN($E$1),FALSE)/(LEN(VLOOKUP($D174,素材!$1:$1016,COLUMN($F$1),FALSE)) - LEN(SUBSTITUTE(VLOOKUP($D174,素材!$1:$1016,COLUMN($F$1),FALSE), "・", 0)) + 1), 0)</f>
        <v>0</v>
      </c>
      <c r="AG174">
        <f>IF(ISNUMBER(SEARCH(SUBSTITUTE(AG$1,RIGHT(AG$1,2),""),VLOOKUP($D174,素材!$1:$1016,COLUMN($F$1),FALSE))),VLOOKUP($C174,武器!$1:$998,COLUMN($O$1),FALSE)*VLOOKUP($D174,素材!$1:$1016,COLUMN($E$1),FALSE)/(LEN(VLOOKUP($D174,素材!$1:$1016,COLUMN($F$1),FALSE)) - LEN(SUBSTITUTE(VLOOKUP($D174,素材!$1:$1016,COLUMN($F$1),FALSE), "・", 0)) + 1), 0)</f>
        <v>0</v>
      </c>
      <c r="AH174">
        <f>IF(ISNUMBER(SEARCH(SUBSTITUTE(AH$1,RIGHT(AH$1,2),""),VLOOKUP($D174,素材!$1:$1016,COLUMN($F$1),FALSE))),VLOOKUP($C174,武器!$1:$998,COLUMN($O$1),FALSE)*VLOOKUP($D174,素材!$1:$1016,COLUMN($E$1),FALSE)/(LEN(VLOOKUP($D174,素材!$1:$1016,COLUMN($F$1),FALSE)) - LEN(SUBSTITUTE(VLOOKUP($D174,素材!$1:$1016,COLUMN($F$1),FALSE), "・", 0)) + 1), 0)</f>
        <v>0</v>
      </c>
      <c r="AI174">
        <f>IF(ISNUMBER(SEARCH(SUBSTITUTE(AI$1,RIGHT(AI$1,2),""),VLOOKUP($D174,素材!$1:$1016,COLUMN($F$1),FALSE))),VLOOKUP($C174,武器!$1:$998,COLUMN($O$1),FALSE)*VLOOKUP($D174,素材!$1:$1016,COLUMN($E$1),FALSE)/(LEN(VLOOKUP($D174,素材!$1:$1016,COLUMN($F$1),FALSE)) - LEN(SUBSTITUTE(VLOOKUP($D174,素材!$1:$1016,COLUMN($F$1),FALSE), "・", 0)) + 1), 0)</f>
        <v>0</v>
      </c>
      <c r="AJ174">
        <f>IF(ISNUMBER(SEARCH(SUBSTITUTE(AJ$1,RIGHT(AJ$1,2),""),VLOOKUP($D174,素材!$1:$1016,COLUMN($F$1),FALSE))),VLOOKUP($C174,武器!$1:$998,COLUMN($O$1),FALSE)*VLOOKUP($D174,素材!$1:$1016,COLUMN($E$1),FALSE)/(LEN(VLOOKUP($D174,素材!$1:$1016,COLUMN($F$1),FALSE)) - LEN(SUBSTITUTE(VLOOKUP($D174,素材!$1:$1016,COLUMN($F$1),FALSE), "・", 0)) + 1), 0)</f>
        <v>0</v>
      </c>
      <c r="AK174">
        <f>IF(ISNUMBER(SEARCH(SUBSTITUTE(AK$1,RIGHT(AK$1,2),""),VLOOKUP($D174,素材!$1:$1016,COLUMN($F$1),FALSE))),VLOOKUP($C174,武器!$1:$998,COLUMN($O$1),FALSE)*VLOOKUP($D174,素材!$1:$1016,COLUMN($E$1),FALSE)/(LEN(VLOOKUP($D174,素材!$1:$1016,COLUMN($F$1),FALSE)) - LEN(SUBSTITUTE(VLOOKUP($D174,素材!$1:$1016,COLUMN($F$1),FALSE), "・", 0)) + 1), 0)</f>
        <v>0</v>
      </c>
      <c r="AL174">
        <f>IF(ISNUMBER(SEARCH(SUBSTITUTE(AL$1,RIGHT(AL$1,2),""),VLOOKUP($D174,素材!$1:$1016,COLUMN($F$1),FALSE))),VLOOKUP($C174,武器!$1:$998,COLUMN($O$1),FALSE)*VLOOKUP($D174,素材!$1:$1016,COLUMN($E$1),FALSE)/(LEN(VLOOKUP($D174,素材!$1:$1016,COLUMN($F$1),FALSE)) - LEN(SUBSTITUTE(VLOOKUP($D174,素材!$1:$1016,COLUMN($F$1),FALSE), "・", 0)) + 1), 0)</f>
        <v>0</v>
      </c>
      <c r="AM174">
        <f>IF(ISNUMBER(SEARCH(SUBSTITUTE(AM$1,RIGHT(AM$1,2),""),VLOOKUP($D174,素材!$1:$1016,COLUMN($F$1),FALSE))),VLOOKUP($C174,武器!$1:$998,COLUMN($O$1),FALSE)*VLOOKUP($D174,素材!$1:$1016,COLUMN($E$1),FALSE)/(LEN(VLOOKUP($D174,素材!$1:$1016,COLUMN($F$1),FALSE)) - LEN(SUBSTITUTE(VLOOKUP($D174,素材!$1:$1016,COLUMN($F$1),FALSE), "・", 0)) + 1), 0)</f>
        <v>0</v>
      </c>
      <c r="AN174">
        <f>IF(ISNUMBER(SEARCH(SUBSTITUTE(AN$1,RIGHT(AN$1,2),""),VLOOKUP($D174,素材!$1:$1016,COLUMN($F$1),FALSE))),VLOOKUP($C174,武器!$1:$998,COLUMN($O$1),FALSE)*VLOOKUP($D174,素材!$1:$1016,COLUMN($E$1),FALSE)/(LEN(VLOOKUP($D174,素材!$1:$1016,COLUMN($F$1),FALSE)) - LEN(SUBSTITUTE(VLOOKUP($D174,素材!$1:$1016,COLUMN($F$1),FALSE), "・", 0)) + 1), 0)</f>
        <v>0</v>
      </c>
      <c r="AO174">
        <f>IF(ISNUMBER(SEARCH(SUBSTITUTE(AO$1,RIGHT(AO$1,2),""),VLOOKUP($D174,素材!$1:$1016,COLUMN($F$1),FALSE))),VLOOKUP($C174,武器!$1:$998,COLUMN($O$1),FALSE)*VLOOKUP($D174,素材!$1:$1016,COLUMN($E$1),FALSE)/(LEN(VLOOKUP($D174,素材!$1:$1016,COLUMN($F$1),FALSE)) - LEN(SUBSTITUTE(VLOOKUP($D174,素材!$1:$1016,COLUMN($F$1),FALSE), "・", 0)) + 1), 0)</f>
        <v>0</v>
      </c>
      <c r="AP174">
        <f>IF(ISNUMBER(SEARCH(SUBSTITUTE(AP$1,RIGHT(AP$1,2),""),VLOOKUP($D174,素材!$1:$1016,COLUMN($F$1),FALSE))),VLOOKUP($C174,武器!$1:$998,COLUMN($O$1),FALSE)*VLOOKUP($D174,素材!$1:$1016,COLUMN($E$1),FALSE)/(LEN(VLOOKUP($D174,素材!$1:$1016,COLUMN($F$1),FALSE)) - LEN(SUBSTITUTE(VLOOKUP($D174,素材!$1:$1016,COLUMN($F$1),FALSE), "・", 0)) + 1), 0)</f>
        <v>0</v>
      </c>
      <c r="AQ174">
        <f>IF(ISNUMBER(SEARCH(SUBSTITUTE(AQ$1,RIGHT(AQ$1,2),""),VLOOKUP($D174,素材!$1:$1016,COLUMN($F$1),FALSE))),VLOOKUP($C174,武器!$1:$998,COLUMN($O$1),FALSE)*VLOOKUP($D174,素材!$1:$1016,COLUMN($E$1),FALSE)/(LEN(VLOOKUP($D174,素材!$1:$1016,COLUMN($F$1),FALSE)) - LEN(SUBSTITUTE(VLOOKUP($D174,素材!$1:$1016,COLUMN($F$1),FALSE), "・", 0)) + 1), 0)</f>
        <v>0</v>
      </c>
      <c r="AR174">
        <f>IF(ISNUMBER(SEARCH(SUBSTITUTE(AR$1,RIGHT(AR$1,2),""),VLOOKUP($D174,素材!$1:$1016,COLUMN($F$1),FALSE))),VLOOKUP($C174,武器!$1:$998,COLUMN($O$1),FALSE)*VLOOKUP($D174,素材!$1:$1016,COLUMN($E$1),FALSE)/(LEN(VLOOKUP($D174,素材!$1:$1016,COLUMN($F$1),FALSE)) - LEN(SUBSTITUTE(VLOOKUP($D174,素材!$1:$1016,COLUMN($F$1),FALSE), "・", 0)) + 1), 0)</f>
        <v>0</v>
      </c>
      <c r="AS174">
        <f>IF(ISNUMBER(SEARCH(SUBSTITUTE(AS$1,RIGHT(AS$1,2),""),VLOOKUP($D174,素材!$1:$1016,COLUMN($F$1),FALSE))),VLOOKUP($C174,武器!$1:$998,COLUMN($O$1),FALSE)*VLOOKUP($D174,素材!$1:$1016,COLUMN($E$1),FALSE)/(LEN(VLOOKUP($D174,素材!$1:$1016,COLUMN($F$1),FALSE)) - LEN(SUBSTITUTE(VLOOKUP($D174,素材!$1:$1016,COLUMN($F$1),FALSE), "・", 0)) + 1), 0)</f>
        <v>0</v>
      </c>
      <c r="AT174">
        <f>IF(ISNUMBER(SEARCH(SUBSTITUTE(AT$1,RIGHT(AT$1,2),""),VLOOKUP($D174,素材!$1:$1016,COLUMN($F$1),FALSE))),VLOOKUP($C174,武器!$1:$998,COLUMN($O$1),FALSE)*VLOOKUP($D174,素材!$1:$1016,COLUMN($E$1),FALSE)/(LEN(VLOOKUP($D174,素材!$1:$1016,COLUMN($F$1),FALSE)) - LEN(SUBSTITUTE(VLOOKUP($D174,素材!$1:$1016,COLUMN($F$1),FALSE), "・", 0)) + 1), 0)</f>
        <v>0</v>
      </c>
      <c r="AU174">
        <f>IF(ISNUMBER(SEARCH(SUBSTITUTE(AU$1,RIGHT(AU$1,2),""),VLOOKUP($D174,素材!$1:$1016,COLUMN($F$1),FALSE))),VLOOKUP($C174,武器!$1:$998,COLUMN($O$1),FALSE)*VLOOKUP($D174,素材!$1:$1016,COLUMN($E$1),FALSE)/(LEN(VLOOKUP($D174,素材!$1:$1016,COLUMN($F$1),FALSE)) - LEN(SUBSTITUTE(VLOOKUP($D174,素材!$1:$1016,COLUMN($F$1),FALSE), "・", 0)) + 1), 0)</f>
        <v>0</v>
      </c>
      <c r="AV174">
        <f>IF(ISNUMBER(SEARCH(SUBSTITUTE(AV$1,RIGHT(AV$1,2),""),VLOOKUP($D174,素材!$1:$1016,COLUMN($F$1),FALSE))),VLOOKUP($C174,武器!$1:$998,COLUMN($O$1),FALSE)*VLOOKUP($D174,素材!$1:$1016,COLUMN($E$1),FALSE)/(LEN(VLOOKUP($D174,素材!$1:$1016,COLUMN($F$1),FALSE)) - LEN(SUBSTITUTE(VLOOKUP($D174,素材!$1:$1016,COLUMN($F$1),FALSE), "・", 0)) + 1), 0)</f>
        <v>0</v>
      </c>
      <c r="AW174">
        <f>IF(ISNUMBER(SEARCH(SUBSTITUTE(AW$1,RIGHT(AW$1,2),""),VLOOKUP($D174,素材!$1:$1016,COLUMN($F$1),FALSE))),VLOOKUP($C174,武器!$1:$998,COLUMN($O$1),FALSE)*VLOOKUP($D174,素材!$1:$1016,COLUMN($E$1),FALSE)/(LEN(VLOOKUP($D174,素材!$1:$1016,COLUMN($F$1),FALSE)) - LEN(SUBSTITUTE(VLOOKUP($D174,素材!$1:$1016,COLUMN($F$1),FALSE), "・", 0)) + 1), 0)</f>
        <v>0</v>
      </c>
      <c r="AX174">
        <f>IF(ISNUMBER(SEARCH(SUBSTITUTE(AX$1,RIGHT(AX$1,2),""),VLOOKUP($D174,素材!$1:$1016,COLUMN($F$1),FALSE))),VLOOKUP($C174,武器!$1:$998,COLUMN($O$1),FALSE)*VLOOKUP($D174,素材!$1:$1016,COLUMN($E$1),FALSE)/(LEN(VLOOKUP($D174,素材!$1:$1016,COLUMN($F$1),FALSE)) - LEN(SUBSTITUTE(VLOOKUP($D174,素材!$1:$1016,COLUMN($F$1),FALSE), "・", 0)) + 1), 0)</f>
        <v>0</v>
      </c>
      <c r="AY174">
        <f>IF(ISNUMBER(SEARCH(SUBSTITUTE(AY$1,RIGHT(AY$1,2),""),VLOOKUP($D174,素材!$1:$1016,COLUMN($F$1),FALSE))),VLOOKUP($C174,武器!$1:$998,COLUMN($O$1),FALSE)*VLOOKUP($D174,素材!$1:$1016,COLUMN($E$1),FALSE)/(LEN(VLOOKUP($D174,素材!$1:$1016,COLUMN($F$1),FALSE)) - LEN(SUBSTITUTE(VLOOKUP($D174,素材!$1:$1016,COLUMN($F$1),FALSE), "・", 0)) + 1), 0)</f>
        <v>0</v>
      </c>
      <c r="AZ174">
        <f>IF(ISNUMBER(SEARCH(SUBSTITUTE(AZ$1,RIGHT(AZ$1,2),""),VLOOKUP($D174,素材!$1:$1016,COLUMN($F$1),FALSE))),VLOOKUP($C174,武器!$1:$998,COLUMN($O$1),FALSE)*VLOOKUP($D174,素材!$1:$1016,COLUMN($E$1),FALSE)/(LEN(VLOOKUP($D174,素材!$1:$1016,COLUMN($F$1),FALSE)) - LEN(SUBSTITUTE(VLOOKUP($D174,素材!$1:$1016,COLUMN($F$1),FALSE), "・", 0)) + 1), 0)</f>
        <v>0</v>
      </c>
      <c r="BA174">
        <f>IF(ISNUMBER(SEARCH(SUBSTITUTE(BA$1,RIGHT(BA$1,2),""),VLOOKUP($D174,素材!$1:$1016,COLUMN($F$1),FALSE))),VLOOKUP($C174,武器!$1:$998,COLUMN($O$1),FALSE)*VLOOKUP($D174,素材!$1:$1016,COLUMN($E$1),FALSE)/(LEN(VLOOKUP($D174,素材!$1:$1016,COLUMN($F$1),FALSE)) - LEN(SUBSTITUTE(VLOOKUP($D174,素材!$1:$1016,COLUMN($F$1),FALSE), "・", 0)) + 1), 0)</f>
        <v>0</v>
      </c>
      <c r="BB174">
        <f>IF(ISNUMBER(SEARCH(SUBSTITUTE(BB$1,RIGHT(BB$1,2),""),VLOOKUP($D174,素材!$1:$1016,COLUMN($F$1),FALSE))),VLOOKUP($C174,武器!$1:$998,COLUMN($O$1),FALSE)*VLOOKUP($D174,素材!$1:$1016,COLUMN($E$1),FALSE)/(LEN(VLOOKUP($D174,素材!$1:$1016,COLUMN($F$1),FALSE)) - LEN(SUBSTITUTE(VLOOKUP($D174,素材!$1:$1016,COLUMN($F$1),FALSE), "・", 0)) + 1), 0)</f>
        <v>0</v>
      </c>
      <c r="BC174">
        <f>IF(ISNUMBER(SEARCH(SUBSTITUTE(BC$1,RIGHT(BC$1,2),""),VLOOKUP($D174,素材!$1:$1016,COLUMN($F$1),FALSE))),VLOOKUP($C174,武器!$1:$998,COLUMN($O$1),FALSE)*VLOOKUP($D174,素材!$1:$1016,COLUMN($E$1),FALSE)/(LEN(VLOOKUP($D174,素材!$1:$1016,COLUMN($F$1),FALSE)) - LEN(SUBSTITUTE(VLOOKUP($D174,素材!$1:$1016,COLUMN($F$1),FALSE), "・", 0)) + 1), 0)</f>
        <v>0</v>
      </c>
      <c r="BD174">
        <f>IF(ISNUMBER(SEARCH(SUBSTITUTE(BD$1,RIGHT(BD$1,2),""),VLOOKUP($D174,素材!$1:$1016,COLUMN($F$1),FALSE))),VLOOKUP($C174,武器!$1:$998,COLUMN($O$1),FALSE)*VLOOKUP($D174,素材!$1:$1016,COLUMN($E$1),FALSE)/(LEN(VLOOKUP($D174,素材!$1:$1016,COLUMN($F$1),FALSE)) - LEN(SUBSTITUTE(VLOOKUP($D174,素材!$1:$1016,COLUMN($F$1),FALSE), "・", 0)) + 1), 0)</f>
        <v>0</v>
      </c>
      <c r="BE174">
        <f>IF(ISNUMBER(SEARCH(SUBSTITUTE(BE$1,RIGHT(BE$1,2),""),VLOOKUP($D174,素材!$1:$1016,COLUMN($F$1),FALSE))),VLOOKUP($C174,武器!$1:$998,COLUMN($O$1),FALSE)*VLOOKUP($D174,素材!$1:$1016,COLUMN($E$1),FALSE)/(LEN(VLOOKUP($D174,素材!$1:$1016,COLUMN($F$1),FALSE)) - LEN(SUBSTITUTE(VLOOKUP($D174,素材!$1:$1016,COLUMN($F$1),FALSE), "・", 0)) + 1), 0)</f>
        <v>0</v>
      </c>
      <c r="CL174">
        <f>SUM(G174:I174)</f>
        <v>24</v>
      </c>
      <c r="CM174" s="22" t="str">
        <f>IF(E174="武器",IF(J174-1&gt;SUM(G174:I174),"盾",IF(MAX(G174:I174)=G174,"切断",IF(MAX(G174:I174)=H174,"貫通",IF(MAX(G174:I174)=I174,"打撃","射撃")))),E174)&amp;".webp"</f>
        <v>打撃.webp</v>
      </c>
      <c r="CN174">
        <f>IFERROR(VLOOKUP($C174,武器!$1:$998,COLUMN(V$1),FALSE)*VLOOKUP($D174,素材!$1:$1016,COLUMN(N$1),FALSE)+IF(CI174="",0,VLOOKUP($CI174,装強!$1:$1008,COLUMN($CK$1),FALSE)),"")</f>
        <v>3750</v>
      </c>
      <c r="CO174">
        <f>VLOOKUP(D174,素材!$A:$O,COLUMN(素材!O$1),FALSE)</f>
        <v>0</v>
      </c>
      <c r="CP174" t="str">
        <f>VLOOKUP(C174,武器!$A:$W,COLUMN(武器!W$1),FALSE)</f>
        <v>戦鎚。重い打撃を与える強力な武器。</v>
      </c>
      <c r="CR174" t="str">
        <f t="shared" si="18"/>
        <v>e_174</v>
      </c>
      <c r="CS174">
        <f t="shared" si="22"/>
        <v>375000</v>
      </c>
    </row>
    <row r="175" spans="1:97" outlineLevel="1" x14ac:dyDescent="0.4">
      <c r="A175" t="str">
        <f t="shared" si="27"/>
        <v>黒鋼鉄の鎌</v>
      </c>
      <c r="B175" t="str">
        <f>IFERROR(VLOOKUP($D175,素材!$1:$1016,COLUMN($B$1),FALSE)&amp;"・"&amp;VLOOKUP($C175,武器!$1:$998,COLUMN(B$1),FALSE),"")</f>
        <v>ブラックスティール・シックル</v>
      </c>
      <c r="C175" t="s">
        <v>225</v>
      </c>
      <c r="D175" s="24" t="s">
        <v>244</v>
      </c>
      <c r="E175" t="str">
        <f>IFERROR(VLOOKUP(C175,武器!$1:$998,COLUMN(C$1),FALSE),"")</f>
        <v>武器</v>
      </c>
      <c r="F175">
        <f>IFERROR(ROUNDDOWN((VLOOKUP($C175,武器!$1:$998,COLUMN(D$1),FALSE)+IFERROR(VLOOKUP($CI175,装強!$1:$999,COLUMN(F$1),FALSE),0))*VLOOKUP($D175,素材!$1:$1016,COLUMN(D$1),FALSE),0),"")</f>
        <v>125</v>
      </c>
      <c r="G175">
        <f>IFERROR(ROUNDDOWN((VLOOKUP($C175,武器!$1:$998,COLUMN(E$1),FALSE)+IFERROR(VLOOKUP($CI175,装強!$1:$999,COLUMN(G$1),FALSE),0))*VLOOKUP($D175,素材!$1:$1016,COLUMN($E$1),FALSE),0),"")</f>
        <v>9</v>
      </c>
      <c r="H175">
        <f>IFERROR(ROUNDDOWN((VLOOKUP($C175,武器!$1:$998,COLUMN(F$1),FALSE)+IFERROR(VLOOKUP($CI175,装強!$1:$999,COLUMN(H$1),FALSE),0))*VLOOKUP($D175,素材!$1:$1016,COLUMN($E$1),FALSE),0),"")</f>
        <v>11</v>
      </c>
      <c r="I175">
        <f>IFERROR(ROUNDDOWN((VLOOKUP($C175,武器!$1:$998,COLUMN(G$1),FALSE)+IFERROR(VLOOKUP($CI175,装強!$1:$999,COLUMN(I$1),FALSE),0))*VLOOKUP($D175,素材!$1:$1016,COLUMN($E$1),FALSE),0),"")</f>
        <v>1</v>
      </c>
      <c r="J175">
        <f>IFERROR(ROUNDDOWN((VLOOKUP($C175,武器!$1:$998,COLUMN(H$1),FALSE)+IFERROR(VLOOKUP($CI175,装強!$1:$999,COLUMN(J$1),FALSE),0))*VLOOKUP($D175,素材!$1:$1016,COLUMN($E$1),FALSE),0),"")</f>
        <v>17</v>
      </c>
      <c r="K175">
        <f>IFERROR(ROUNDDOWN((VLOOKUP($C175,武器!$1:$998,COLUMN(I$1),FALSE)+IFERROR(VLOOKUP($CI175,装強!$1:$999,COLUMN(K$1),FALSE),0))*VLOOKUP($D175,素材!$1:$1016,COLUMN($E$1),FALSE),0),"")</f>
        <v>0</v>
      </c>
      <c r="L175" t="str">
        <f>IFERROR(VLOOKUP($D175,素材!$1:$1016,COLUMN($F$1),FALSE),"")</f>
        <v>雷</v>
      </c>
      <c r="M175">
        <f>IFERROR(VLOOKUP($C175,武器!$1:$998,COLUMN(AA$1),FALSE)*VLOOKUP($D175,素材!$1:$1016,COLUMN($G$1),FALSE),"")</f>
        <v>36.75</v>
      </c>
      <c r="N175">
        <f>IFERROR(VLOOKUP($C175,武器!$1:$998,COLUMN(I$1),FALSE),"")</f>
        <v>0</v>
      </c>
      <c r="O175" s="23">
        <f>IFERROR((VLOOKUP($C175,武器!$1:$998,COLUMN(K$1),FALSE)+VLOOKUP($D175,素材!$1:$1016,COLUMN(H$1),FALSE))*100+IFERROR(VLOOKUP($CI175,装強!$1:$999,COLUMN(O$1),FALSE),0),"")</f>
        <v>5</v>
      </c>
      <c r="P175" s="23">
        <f>IFERROR((VLOOKUP($C175,武器!$1:$998,COLUMN(L$1),FALSE)+VLOOKUP($D175,素材!$1:$1016,COLUMN(I$1),FALSE))*100+IFERROR(VLOOKUP($CI175,装強!$1:$999,COLUMN(P$1),FALSE),0),"")</f>
        <v>200</v>
      </c>
      <c r="Q175">
        <f>IFERROR(ROUNDUP(VLOOKUP($C175,武器!$1:$998,COLUMN(M$1),FALSE)*(VLOOKUP($D175,素材!$1:$1002,COLUMN(D$1),FALSE)/100),1),"")</f>
        <v>0</v>
      </c>
      <c r="R175">
        <f>IFERROR(ROUNDUP(VLOOKUP($C175,武器!$1:$998,COLUMN(N$1),FALSE)*(VLOOKUP($D175,素材!$1:$1002,COLUMN(D$1),FALSE)/100),1),"")</f>
        <v>0</v>
      </c>
      <c r="S175">
        <f>IFERROR(VLOOKUP($C175,武器!$1:$998,COLUMN(P$1),FALSE),"")</f>
        <v>0</v>
      </c>
      <c r="T175">
        <f>IFERROR(VLOOKUP($C175,武器!$1:$998,COLUMN(Q$1),FALSE),"")</f>
        <v>0</v>
      </c>
      <c r="U175">
        <f>IFERROR(VLOOKUP($C175,武器!$1:$998,COLUMN(R$1),FALSE),"")</f>
        <v>0</v>
      </c>
      <c r="V175">
        <f>IFERROR(VLOOKUP($C175,武器!$1:$998,COLUMN(Q$1),FALSE),"")</f>
        <v>0</v>
      </c>
      <c r="W175" t="str">
        <f>IFERROR(VLOOKUP($C175,武器!$1:$998,COLUMN(T$1),FALSE),"")</f>
        <v>A</v>
      </c>
      <c r="Y175" t="str">
        <f>IFERROR(VLOOKUP($C175,武器!$1:$998,COLUMN(U$1),FALSE),"")</f>
        <v>投擲強化、片手適性Ⅰ</v>
      </c>
      <c r="Z175">
        <f>IFERROR(ROUNDUP(VLOOKUP($C175,武器!$1:$998,COLUMN(O$1),FALSE)*VLOOKUP($D175,素材!$1:$1016,COLUMN(E$1),FALSE),1),"")</f>
        <v>0</v>
      </c>
      <c r="AA175">
        <f>IF(ISNUMBER(SEARCH(SUBSTITUTE(AA$1,RIGHT(AA$1,2),""),VLOOKUP($D175,素材!$1:$1016,COLUMN($F$1),FALSE))),VLOOKUP($C175,武器!$1:$998,COLUMN($O$1),FALSE)*VLOOKUP($D175,素材!$1:$1016,COLUMN($E$1),FALSE)/(LEN(VLOOKUP($D175,素材!$1:$1016,COLUMN($F$1),FALSE)) - LEN(SUBSTITUTE(VLOOKUP($D175,素材!$1:$1016,COLUMN($F$1),FALSE), "・", 0)) + 1), 0)</f>
        <v>0</v>
      </c>
      <c r="AB175">
        <f>IF(ISNUMBER(SEARCH(SUBSTITUTE(AB$1,RIGHT(AB$1,2),""),VLOOKUP($D175,素材!$1:$1016,COLUMN($F$1),FALSE))),VLOOKUP($C175,武器!$1:$998,COLUMN($O$1),FALSE)*VLOOKUP($D175,素材!$1:$1016,COLUMN($E$1),FALSE)/(LEN(VLOOKUP($D175,素材!$1:$1016,COLUMN($F$1),FALSE)) - LEN(SUBSTITUTE(VLOOKUP($D175,素材!$1:$1016,COLUMN($F$1),FALSE), "・", 0)) + 1), 0)</f>
        <v>0</v>
      </c>
      <c r="AC175">
        <f>IF(ISNUMBER(SEARCH(SUBSTITUTE(AC$1,RIGHT(AC$1,2),""),VLOOKUP($D175,素材!$1:$1016,COLUMN($F$1),FALSE))),VLOOKUP($C175,武器!$1:$998,COLUMN($O$1),FALSE)*VLOOKUP($D175,素材!$1:$1016,COLUMN($E$1),FALSE)/(LEN(VLOOKUP($D175,素材!$1:$1016,COLUMN($F$1),FALSE)) - LEN(SUBSTITUTE(VLOOKUP($D175,素材!$1:$1016,COLUMN($F$1),FALSE), "・", 0)) + 1), 0)</f>
        <v>0</v>
      </c>
      <c r="AD175">
        <f>IF(ISNUMBER(SEARCH(SUBSTITUTE(AD$1,RIGHT(AD$1,2),""),VLOOKUP($D175,素材!$1:$1016,COLUMN($F$1),FALSE))),VLOOKUP($C175,武器!$1:$998,COLUMN($O$1),FALSE)*VLOOKUP($D175,素材!$1:$1016,COLUMN($E$1),FALSE)/(LEN(VLOOKUP($D175,素材!$1:$1016,COLUMN($F$1),FALSE)) - LEN(SUBSTITUTE(VLOOKUP($D175,素材!$1:$1016,COLUMN($F$1),FALSE), "・", 0)) + 1), 0)</f>
        <v>0</v>
      </c>
      <c r="AE175">
        <f>IF(ISNUMBER(SEARCH(SUBSTITUTE(AE$1,RIGHT(AE$1,2),""),VLOOKUP($D175,素材!$1:$1016,COLUMN($F$1),FALSE))),VLOOKUP($C175,武器!$1:$998,COLUMN($O$1),FALSE)*VLOOKUP($D175,素材!$1:$1016,COLUMN($E$1),FALSE)/(LEN(VLOOKUP($D175,素材!$1:$1016,COLUMN($F$1),FALSE)) - LEN(SUBSTITUTE(VLOOKUP($D175,素材!$1:$1016,COLUMN($F$1),FALSE), "・", 0)) + 1), 0)</f>
        <v>0</v>
      </c>
      <c r="AF175">
        <f>IF(ISNUMBER(SEARCH(SUBSTITUTE(AF$1,RIGHT(AF$1,2),""),VLOOKUP($D175,素材!$1:$1016,COLUMN($F$1),FALSE))),VLOOKUP($C175,武器!$1:$998,COLUMN($O$1),FALSE)*VLOOKUP($D175,素材!$1:$1016,COLUMN($E$1),FALSE)/(LEN(VLOOKUP($D175,素材!$1:$1016,COLUMN($F$1),FALSE)) - LEN(SUBSTITUTE(VLOOKUP($D175,素材!$1:$1016,COLUMN($F$1),FALSE), "・", 0)) + 1), 0)</f>
        <v>0</v>
      </c>
      <c r="AG175">
        <f>IF(ISNUMBER(SEARCH(SUBSTITUTE(AG$1,RIGHT(AG$1,2),""),VLOOKUP($D175,素材!$1:$1016,COLUMN($F$1),FALSE))),VLOOKUP($C175,武器!$1:$998,COLUMN($O$1),FALSE)*VLOOKUP($D175,素材!$1:$1016,COLUMN($E$1),FALSE)/(LEN(VLOOKUP($D175,素材!$1:$1016,COLUMN($F$1),FALSE)) - LEN(SUBSTITUTE(VLOOKUP($D175,素材!$1:$1016,COLUMN($F$1),FALSE), "・", 0)) + 1), 0)</f>
        <v>0</v>
      </c>
      <c r="AH175">
        <f>IF(ISNUMBER(SEARCH(SUBSTITUTE(AH$1,RIGHT(AH$1,2),""),VLOOKUP($D175,素材!$1:$1016,COLUMN($F$1),FALSE))),VLOOKUP($C175,武器!$1:$998,COLUMN($O$1),FALSE)*VLOOKUP($D175,素材!$1:$1016,COLUMN($E$1),FALSE)/(LEN(VLOOKUP($D175,素材!$1:$1016,COLUMN($F$1),FALSE)) - LEN(SUBSTITUTE(VLOOKUP($D175,素材!$1:$1016,COLUMN($F$1),FALSE), "・", 0)) + 1), 0)</f>
        <v>0</v>
      </c>
      <c r="AI175">
        <f>IF(ISNUMBER(SEARCH(SUBSTITUTE(AI$1,RIGHT(AI$1,2),""),VLOOKUP($D175,素材!$1:$1016,COLUMN($F$1),FALSE))),VLOOKUP($C175,武器!$1:$998,COLUMN($O$1),FALSE)*VLOOKUP($D175,素材!$1:$1016,COLUMN($E$1),FALSE)/(LEN(VLOOKUP($D175,素材!$1:$1016,COLUMN($F$1),FALSE)) - LEN(SUBSTITUTE(VLOOKUP($D175,素材!$1:$1016,COLUMN($F$1),FALSE), "・", 0)) + 1), 0)</f>
        <v>0</v>
      </c>
      <c r="AJ175">
        <f>IF(ISNUMBER(SEARCH(SUBSTITUTE(AJ$1,RIGHT(AJ$1,2),""),VLOOKUP($D175,素材!$1:$1016,COLUMN($F$1),FALSE))),VLOOKUP($C175,武器!$1:$998,COLUMN($O$1),FALSE)*VLOOKUP($D175,素材!$1:$1016,COLUMN($E$1),FALSE)/(LEN(VLOOKUP($D175,素材!$1:$1016,COLUMN($F$1),FALSE)) - LEN(SUBSTITUTE(VLOOKUP($D175,素材!$1:$1016,COLUMN($F$1),FALSE), "・", 0)) + 1), 0)</f>
        <v>0</v>
      </c>
      <c r="AK175">
        <f>IF(ISNUMBER(SEARCH(SUBSTITUTE(AK$1,RIGHT(AK$1,2),""),VLOOKUP($D175,素材!$1:$1016,COLUMN($F$1),FALSE))),VLOOKUP($C175,武器!$1:$998,COLUMN($O$1),FALSE)*VLOOKUP($D175,素材!$1:$1016,COLUMN($E$1),FALSE)/(LEN(VLOOKUP($D175,素材!$1:$1016,COLUMN($F$1),FALSE)) - LEN(SUBSTITUTE(VLOOKUP($D175,素材!$1:$1016,COLUMN($F$1),FALSE), "・", 0)) + 1), 0)</f>
        <v>0</v>
      </c>
      <c r="AL175">
        <f>IF(ISNUMBER(SEARCH(SUBSTITUTE(AL$1,RIGHT(AL$1,2),""),VLOOKUP($D175,素材!$1:$1016,COLUMN($F$1),FALSE))),VLOOKUP($C175,武器!$1:$998,COLUMN($O$1),FALSE)*VLOOKUP($D175,素材!$1:$1016,COLUMN($E$1),FALSE)/(LEN(VLOOKUP($D175,素材!$1:$1016,COLUMN($F$1),FALSE)) - LEN(SUBSTITUTE(VLOOKUP($D175,素材!$1:$1016,COLUMN($F$1),FALSE), "・", 0)) + 1), 0)</f>
        <v>0</v>
      </c>
      <c r="AM175">
        <f>IF(ISNUMBER(SEARCH(SUBSTITUTE(AM$1,RIGHT(AM$1,2),""),VLOOKUP($D175,素材!$1:$1016,COLUMN($F$1),FALSE))),VLOOKUP($C175,武器!$1:$998,COLUMN($O$1),FALSE)*VLOOKUP($D175,素材!$1:$1016,COLUMN($E$1),FALSE)/(LEN(VLOOKUP($D175,素材!$1:$1016,COLUMN($F$1),FALSE)) - LEN(SUBSTITUTE(VLOOKUP($D175,素材!$1:$1016,COLUMN($F$1),FALSE), "・", 0)) + 1), 0)</f>
        <v>0</v>
      </c>
      <c r="AN175">
        <f>IF(ISNUMBER(SEARCH(SUBSTITUTE(AN$1,RIGHT(AN$1,2),""),VLOOKUP($D175,素材!$1:$1016,COLUMN($F$1),FALSE))),VLOOKUP($C175,武器!$1:$998,COLUMN($O$1),FALSE)*VLOOKUP($D175,素材!$1:$1016,COLUMN($E$1),FALSE)/(LEN(VLOOKUP($D175,素材!$1:$1016,COLUMN($F$1),FALSE)) - LEN(SUBSTITUTE(VLOOKUP($D175,素材!$1:$1016,COLUMN($F$1),FALSE), "・", 0)) + 1), 0)</f>
        <v>0</v>
      </c>
      <c r="AO175">
        <f>IF(ISNUMBER(SEARCH(SUBSTITUTE(AO$1,RIGHT(AO$1,2),""),VLOOKUP($D175,素材!$1:$1016,COLUMN($F$1),FALSE))),VLOOKUP($C175,武器!$1:$998,COLUMN($O$1),FALSE)*VLOOKUP($D175,素材!$1:$1016,COLUMN($E$1),FALSE)/(LEN(VLOOKUP($D175,素材!$1:$1016,COLUMN($F$1),FALSE)) - LEN(SUBSTITUTE(VLOOKUP($D175,素材!$1:$1016,COLUMN($F$1),FALSE), "・", 0)) + 1), 0)</f>
        <v>0</v>
      </c>
      <c r="AP175">
        <f>IF(ISNUMBER(SEARCH(SUBSTITUTE(AP$1,RIGHT(AP$1,2),""),VLOOKUP($D175,素材!$1:$1016,COLUMN($F$1),FALSE))),VLOOKUP($C175,武器!$1:$998,COLUMN($O$1),FALSE)*VLOOKUP($D175,素材!$1:$1016,COLUMN($E$1),FALSE)/(LEN(VLOOKUP($D175,素材!$1:$1016,COLUMN($F$1),FALSE)) - LEN(SUBSTITUTE(VLOOKUP($D175,素材!$1:$1016,COLUMN($F$1),FALSE), "・", 0)) + 1), 0)</f>
        <v>0</v>
      </c>
      <c r="AQ175">
        <f>IF(ISNUMBER(SEARCH(SUBSTITUTE(AQ$1,RIGHT(AQ$1,2),""),VLOOKUP($D175,素材!$1:$1016,COLUMN($F$1),FALSE))),VLOOKUP($C175,武器!$1:$998,COLUMN($O$1),FALSE)*VLOOKUP($D175,素材!$1:$1016,COLUMN($E$1),FALSE)/(LEN(VLOOKUP($D175,素材!$1:$1016,COLUMN($F$1),FALSE)) - LEN(SUBSTITUTE(VLOOKUP($D175,素材!$1:$1016,COLUMN($F$1),FALSE), "・", 0)) + 1), 0)</f>
        <v>0</v>
      </c>
      <c r="AR175">
        <f>IF(ISNUMBER(SEARCH(SUBSTITUTE(AR$1,RIGHT(AR$1,2),""),VLOOKUP($D175,素材!$1:$1016,COLUMN($F$1),FALSE))),VLOOKUP($C175,武器!$1:$998,COLUMN($O$1),FALSE)*VLOOKUP($D175,素材!$1:$1016,COLUMN($E$1),FALSE)/(LEN(VLOOKUP($D175,素材!$1:$1016,COLUMN($F$1),FALSE)) - LEN(SUBSTITUTE(VLOOKUP($D175,素材!$1:$1016,COLUMN($F$1),FALSE), "・", 0)) + 1), 0)</f>
        <v>0</v>
      </c>
      <c r="AS175">
        <f>IF(ISNUMBER(SEARCH(SUBSTITUTE(AS$1,RIGHT(AS$1,2),""),VLOOKUP($D175,素材!$1:$1016,COLUMN($F$1),FALSE))),VLOOKUP($C175,武器!$1:$998,COLUMN($O$1),FALSE)*VLOOKUP($D175,素材!$1:$1016,COLUMN($E$1),FALSE)/(LEN(VLOOKUP($D175,素材!$1:$1016,COLUMN($F$1),FALSE)) - LEN(SUBSTITUTE(VLOOKUP($D175,素材!$1:$1016,COLUMN($F$1),FALSE), "・", 0)) + 1), 0)</f>
        <v>0</v>
      </c>
      <c r="AT175">
        <f>IF(ISNUMBER(SEARCH(SUBSTITUTE(AT$1,RIGHT(AT$1,2),""),VLOOKUP($D175,素材!$1:$1016,COLUMN($F$1),FALSE))),VLOOKUP($C175,武器!$1:$998,COLUMN($O$1),FALSE)*VLOOKUP($D175,素材!$1:$1016,COLUMN($E$1),FALSE)/(LEN(VLOOKUP($D175,素材!$1:$1016,COLUMN($F$1),FALSE)) - LEN(SUBSTITUTE(VLOOKUP($D175,素材!$1:$1016,COLUMN($F$1),FALSE), "・", 0)) + 1), 0)</f>
        <v>0</v>
      </c>
      <c r="AU175">
        <f>IF(ISNUMBER(SEARCH(SUBSTITUTE(AU$1,RIGHT(AU$1,2),""),VLOOKUP($D175,素材!$1:$1016,COLUMN($F$1),FALSE))),VLOOKUP($C175,武器!$1:$998,COLUMN($O$1),FALSE)*VLOOKUP($D175,素材!$1:$1016,COLUMN($E$1),FALSE)/(LEN(VLOOKUP($D175,素材!$1:$1016,COLUMN($F$1),FALSE)) - LEN(SUBSTITUTE(VLOOKUP($D175,素材!$1:$1016,COLUMN($F$1),FALSE), "・", 0)) + 1), 0)</f>
        <v>0</v>
      </c>
      <c r="AV175">
        <f>IF(ISNUMBER(SEARCH(SUBSTITUTE(AV$1,RIGHT(AV$1,2),""),VLOOKUP($D175,素材!$1:$1016,COLUMN($F$1),FALSE))),VLOOKUP($C175,武器!$1:$998,COLUMN($O$1),FALSE)*VLOOKUP($D175,素材!$1:$1016,COLUMN($E$1),FALSE)/(LEN(VLOOKUP($D175,素材!$1:$1016,COLUMN($F$1),FALSE)) - LEN(SUBSTITUTE(VLOOKUP($D175,素材!$1:$1016,COLUMN($F$1),FALSE), "・", 0)) + 1), 0)</f>
        <v>0</v>
      </c>
      <c r="AW175">
        <f>IF(ISNUMBER(SEARCH(SUBSTITUTE(AW$1,RIGHT(AW$1,2),""),VLOOKUP($D175,素材!$1:$1016,COLUMN($F$1),FALSE))),VLOOKUP($C175,武器!$1:$998,COLUMN($O$1),FALSE)*VLOOKUP($D175,素材!$1:$1016,COLUMN($E$1),FALSE)/(LEN(VLOOKUP($D175,素材!$1:$1016,COLUMN($F$1),FALSE)) - LEN(SUBSTITUTE(VLOOKUP($D175,素材!$1:$1016,COLUMN($F$1),FALSE), "・", 0)) + 1), 0)</f>
        <v>0</v>
      </c>
      <c r="AX175">
        <f>IF(ISNUMBER(SEARCH(SUBSTITUTE(AX$1,RIGHT(AX$1,2),""),VLOOKUP($D175,素材!$1:$1016,COLUMN($F$1),FALSE))),VLOOKUP($C175,武器!$1:$998,COLUMN($O$1),FALSE)*VLOOKUP($D175,素材!$1:$1016,COLUMN($E$1),FALSE)/(LEN(VLOOKUP($D175,素材!$1:$1016,COLUMN($F$1),FALSE)) - LEN(SUBSTITUTE(VLOOKUP($D175,素材!$1:$1016,COLUMN($F$1),FALSE), "・", 0)) + 1), 0)</f>
        <v>0</v>
      </c>
      <c r="AY175">
        <f>IF(ISNUMBER(SEARCH(SUBSTITUTE(AY$1,RIGHT(AY$1,2),""),VLOOKUP($D175,素材!$1:$1016,COLUMN($F$1),FALSE))),VLOOKUP($C175,武器!$1:$998,COLUMN($O$1),FALSE)*VLOOKUP($D175,素材!$1:$1016,COLUMN($E$1),FALSE)/(LEN(VLOOKUP($D175,素材!$1:$1016,COLUMN($F$1),FALSE)) - LEN(SUBSTITUTE(VLOOKUP($D175,素材!$1:$1016,COLUMN($F$1),FALSE), "・", 0)) + 1), 0)</f>
        <v>0</v>
      </c>
      <c r="AZ175">
        <f>IF(ISNUMBER(SEARCH(SUBSTITUTE(AZ$1,RIGHT(AZ$1,2),""),VLOOKUP($D175,素材!$1:$1016,COLUMN($F$1),FALSE))),VLOOKUP($C175,武器!$1:$998,COLUMN($O$1),FALSE)*VLOOKUP($D175,素材!$1:$1016,COLUMN($E$1),FALSE)/(LEN(VLOOKUP($D175,素材!$1:$1016,COLUMN($F$1),FALSE)) - LEN(SUBSTITUTE(VLOOKUP($D175,素材!$1:$1016,COLUMN($F$1),FALSE), "・", 0)) + 1), 0)</f>
        <v>0</v>
      </c>
      <c r="BA175">
        <f>IF(ISNUMBER(SEARCH(SUBSTITUTE(BA$1,RIGHT(BA$1,2),""),VLOOKUP($D175,素材!$1:$1016,COLUMN($F$1),FALSE))),VLOOKUP($C175,武器!$1:$998,COLUMN($O$1),FALSE)*VLOOKUP($D175,素材!$1:$1016,COLUMN($E$1),FALSE)/(LEN(VLOOKUP($D175,素材!$1:$1016,COLUMN($F$1),FALSE)) - LEN(SUBSTITUTE(VLOOKUP($D175,素材!$1:$1016,COLUMN($F$1),FALSE), "・", 0)) + 1), 0)</f>
        <v>0</v>
      </c>
      <c r="BB175">
        <f>IF(ISNUMBER(SEARCH(SUBSTITUTE(BB$1,RIGHT(BB$1,2),""),VLOOKUP($D175,素材!$1:$1016,COLUMN($F$1),FALSE))),VLOOKUP($C175,武器!$1:$998,COLUMN($O$1),FALSE)*VLOOKUP($D175,素材!$1:$1016,COLUMN($E$1),FALSE)/(LEN(VLOOKUP($D175,素材!$1:$1016,COLUMN($F$1),FALSE)) - LEN(SUBSTITUTE(VLOOKUP($D175,素材!$1:$1016,COLUMN($F$1),FALSE), "・", 0)) + 1), 0)</f>
        <v>0</v>
      </c>
      <c r="BC175">
        <f>IF(ISNUMBER(SEARCH(SUBSTITUTE(BC$1,RIGHT(BC$1,2),""),VLOOKUP($D175,素材!$1:$1016,COLUMN($F$1),FALSE))),VLOOKUP($C175,武器!$1:$998,COLUMN($O$1),FALSE)*VLOOKUP($D175,素材!$1:$1016,COLUMN($E$1),FALSE)/(LEN(VLOOKUP($D175,素材!$1:$1016,COLUMN($F$1),FALSE)) - LEN(SUBSTITUTE(VLOOKUP($D175,素材!$1:$1016,COLUMN($F$1),FALSE), "・", 0)) + 1), 0)</f>
        <v>0</v>
      </c>
      <c r="BD175">
        <f>IF(ISNUMBER(SEARCH(SUBSTITUTE(BD$1,RIGHT(BD$1,2),""),VLOOKUP($D175,素材!$1:$1016,COLUMN($F$1),FALSE))),VLOOKUP($C175,武器!$1:$998,COLUMN($O$1),FALSE)*VLOOKUP($D175,素材!$1:$1016,COLUMN($E$1),FALSE)/(LEN(VLOOKUP($D175,素材!$1:$1016,COLUMN($F$1),FALSE)) - LEN(SUBSTITUTE(VLOOKUP($D175,素材!$1:$1016,COLUMN($F$1),FALSE), "・", 0)) + 1), 0)</f>
        <v>0</v>
      </c>
      <c r="BE175">
        <f>IF(ISNUMBER(SEARCH(SUBSTITUTE(BE$1,RIGHT(BE$1,2),""),VLOOKUP($D175,素材!$1:$1016,COLUMN($F$1),FALSE))),VLOOKUP($C175,武器!$1:$998,COLUMN($O$1),FALSE)*VLOOKUP($D175,素材!$1:$1016,COLUMN($E$1),FALSE)/(LEN(VLOOKUP($D175,素材!$1:$1016,COLUMN($F$1),FALSE)) - LEN(SUBSTITUTE(VLOOKUP($D175,素材!$1:$1016,COLUMN($F$1),FALSE), "・", 0)) + 1), 0)</f>
        <v>0</v>
      </c>
      <c r="CL175">
        <f>SUM(G175:I175)</f>
        <v>21</v>
      </c>
      <c r="CM175" s="22" t="str">
        <f>IF(E175="武器",IF(J175-1&gt;SUM(G175:I175),"盾",IF(MAX(G175:I175)=G175,"切断",IF(MAX(G175:I175)=H175,"貫通",IF(MAX(G175:I175)=I175,"打撃","射撃")))),E175)&amp;".webp"</f>
        <v>貫通.webp</v>
      </c>
      <c r="CN175">
        <f>IFERROR(VLOOKUP($C175,武器!$1:$998,COLUMN(V$1),FALSE)*VLOOKUP($D175,素材!$1:$1016,COLUMN(N$1),FALSE)+IF(CI175="",0,VLOOKUP($CI175,装強!$1:$1008,COLUMN($CK$1),FALSE)),"")</f>
        <v>3000</v>
      </c>
      <c r="CO175">
        <f>VLOOKUP(D175,素材!$A:$O,COLUMN(素材!O$1),FALSE)</f>
        <v>0</v>
      </c>
      <c r="CP175" t="str">
        <f>VLOOKUP(C175,武器!$A:$W,COLUMN(武器!W$1),FALSE)</f>
        <v>鎌。農具を転用した武器で、鋭い斬撃を与える。</v>
      </c>
      <c r="CR175" t="str">
        <f t="shared" si="18"/>
        <v>e_175</v>
      </c>
      <c r="CS175">
        <f t="shared" si="22"/>
        <v>300000</v>
      </c>
    </row>
    <row r="176" spans="1:97" outlineLevel="1" x14ac:dyDescent="0.4">
      <c r="A176" t="str">
        <f t="shared" si="27"/>
        <v>黒鋼鉄の戦斧</v>
      </c>
      <c r="B176" t="str">
        <f>IFERROR(VLOOKUP($D176,素材!$1:$1016,COLUMN($B$1),FALSE)&amp;"・"&amp;VLOOKUP($C176,武器!$1:$998,COLUMN(B$1),FALSE),"")</f>
        <v>ブラックスティール・バトルアックス</v>
      </c>
      <c r="C176" t="s">
        <v>224</v>
      </c>
      <c r="D176" s="24" t="s">
        <v>244</v>
      </c>
      <c r="E176" t="str">
        <f>IFERROR(VLOOKUP(C176,武器!$1:$998,COLUMN(C$1),FALSE),"")</f>
        <v>武器</v>
      </c>
      <c r="F176">
        <f>IFERROR(ROUNDDOWN((VLOOKUP($C176,武器!$1:$998,COLUMN(D$1),FALSE)+IFERROR(VLOOKUP($CI176,装強!$1:$999,COLUMN(F$1),FALSE),0))*VLOOKUP($D176,素材!$1:$1016,COLUMN(D$1),FALSE),0),"")</f>
        <v>115</v>
      </c>
      <c r="G176">
        <f>IFERROR(ROUNDDOWN((VLOOKUP($C176,武器!$1:$998,COLUMN(E$1),FALSE)+IFERROR(VLOOKUP($CI176,装強!$1:$999,COLUMN(G$1),FALSE),0))*VLOOKUP($D176,素材!$1:$1016,COLUMN($E$1),FALSE),0),"")</f>
        <v>19</v>
      </c>
      <c r="H176">
        <f>IFERROR(ROUNDDOWN((VLOOKUP($C176,武器!$1:$998,COLUMN(F$1),FALSE)+IFERROR(VLOOKUP($CI176,装強!$1:$999,COLUMN(H$1),FALSE),0))*VLOOKUP($D176,素材!$1:$1016,COLUMN($E$1),FALSE),0),"")</f>
        <v>0</v>
      </c>
      <c r="I176">
        <f>IFERROR(ROUNDDOWN((VLOOKUP($C176,武器!$1:$998,COLUMN(G$1),FALSE)+IFERROR(VLOOKUP($CI176,装強!$1:$999,COLUMN(I$1),FALSE),0))*VLOOKUP($D176,素材!$1:$1016,COLUMN($E$1),FALSE),0),"")</f>
        <v>6</v>
      </c>
      <c r="J176">
        <f>IFERROR(ROUNDDOWN((VLOOKUP($C176,武器!$1:$998,COLUMN(H$1),FALSE)+IFERROR(VLOOKUP($CI176,装強!$1:$999,COLUMN(J$1),FALSE),0))*VLOOKUP($D176,素材!$1:$1016,COLUMN($E$1),FALSE),0),"")</f>
        <v>20</v>
      </c>
      <c r="K176">
        <f>IFERROR(ROUNDDOWN((VLOOKUP($C176,武器!$1:$998,COLUMN(I$1),FALSE)+IFERROR(VLOOKUP($CI176,装強!$1:$999,COLUMN(K$1),FALSE),0))*VLOOKUP($D176,素材!$1:$1016,COLUMN($E$1),FALSE),0),"")</f>
        <v>0</v>
      </c>
      <c r="L176" t="str">
        <f>IFERROR(VLOOKUP($D176,素材!$1:$1016,COLUMN($F$1),FALSE),"")</f>
        <v>雷</v>
      </c>
      <c r="M176">
        <f>IFERROR(VLOOKUP($C176,武器!$1:$998,COLUMN(AA$1),FALSE)*VLOOKUP($D176,素材!$1:$1016,COLUMN($G$1),FALSE),"")</f>
        <v>43.75</v>
      </c>
      <c r="N176">
        <f>IFERROR(VLOOKUP($C176,武器!$1:$998,COLUMN(I$1),FALSE),"")</f>
        <v>0</v>
      </c>
      <c r="O176" s="23">
        <f>IFERROR((VLOOKUP($C176,武器!$1:$998,COLUMN(K$1),FALSE)+VLOOKUP($D176,素材!$1:$1016,COLUMN(H$1),FALSE))*100+IFERROR(VLOOKUP($CI176,装強!$1:$999,COLUMN(O$1),FALSE),0),"")</f>
        <v>5</v>
      </c>
      <c r="P176" s="23">
        <f>IFERROR((VLOOKUP($C176,武器!$1:$998,COLUMN(L$1),FALSE)+VLOOKUP($D176,素材!$1:$1016,COLUMN(I$1),FALSE))*100+IFERROR(VLOOKUP($CI176,装強!$1:$999,COLUMN(P$1),FALSE),0),"")</f>
        <v>175</v>
      </c>
      <c r="Q176">
        <f>IFERROR(ROUNDUP(VLOOKUP($C176,武器!$1:$998,COLUMN(M$1),FALSE)*(VLOOKUP($D176,素材!$1:$1002,COLUMN(D$1),FALSE)/100),1),"")</f>
        <v>-2.5</v>
      </c>
      <c r="R176">
        <f>IFERROR(ROUNDUP(VLOOKUP($C176,武器!$1:$998,COLUMN(N$1),FALSE)*(VLOOKUP($D176,素材!$1:$1002,COLUMN(D$1),FALSE)/100),1),"")</f>
        <v>0</v>
      </c>
      <c r="S176">
        <f>IFERROR(VLOOKUP($C176,武器!$1:$998,COLUMN(P$1),FALSE),"")</f>
        <v>0</v>
      </c>
      <c r="T176">
        <f>IFERROR(VLOOKUP($C176,武器!$1:$998,COLUMN(Q$1),FALSE),"")</f>
        <v>0</v>
      </c>
      <c r="U176">
        <f>IFERROR(VLOOKUP($C176,武器!$1:$998,COLUMN(R$1),FALSE),"")</f>
        <v>0</v>
      </c>
      <c r="V176">
        <f>IFERROR(VLOOKUP($C176,武器!$1:$998,COLUMN(Q$1),FALSE),"")</f>
        <v>0</v>
      </c>
      <c r="W176" t="str">
        <f>IFERROR(VLOOKUP($C176,武器!$1:$998,COLUMN(T$1),FALSE),"")</f>
        <v>A</v>
      </c>
      <c r="Y176">
        <f>IFERROR(VLOOKUP($C176,武器!$1:$998,COLUMN(U$1),FALSE),"")</f>
        <v>0</v>
      </c>
      <c r="Z176">
        <f>IFERROR(ROUNDUP(VLOOKUP($C176,武器!$1:$998,COLUMN(O$1),FALSE)*VLOOKUP($D176,素材!$1:$1016,COLUMN(E$1),FALSE),1),"")</f>
        <v>0</v>
      </c>
      <c r="AA176">
        <f>IF(ISNUMBER(SEARCH(SUBSTITUTE(AA$1,RIGHT(AA$1,2),""),VLOOKUP($D176,素材!$1:$1016,COLUMN($F$1),FALSE))),VLOOKUP($C176,武器!$1:$998,COLUMN($O$1),FALSE)*VLOOKUP($D176,素材!$1:$1016,COLUMN($E$1),FALSE)/(LEN(VLOOKUP($D176,素材!$1:$1016,COLUMN($F$1),FALSE)) - LEN(SUBSTITUTE(VLOOKUP($D176,素材!$1:$1016,COLUMN($F$1),FALSE), "・", 0)) + 1), 0)</f>
        <v>0</v>
      </c>
      <c r="AB176">
        <f>IF(ISNUMBER(SEARCH(SUBSTITUTE(AB$1,RIGHT(AB$1,2),""),VLOOKUP($D176,素材!$1:$1016,COLUMN($F$1),FALSE))),VLOOKUP($C176,武器!$1:$998,COLUMN($O$1),FALSE)*VLOOKUP($D176,素材!$1:$1016,COLUMN($E$1),FALSE)/(LEN(VLOOKUP($D176,素材!$1:$1016,COLUMN($F$1),FALSE)) - LEN(SUBSTITUTE(VLOOKUP($D176,素材!$1:$1016,COLUMN($F$1),FALSE), "・", 0)) + 1), 0)</f>
        <v>0</v>
      </c>
      <c r="AC176">
        <f>IF(ISNUMBER(SEARCH(SUBSTITUTE(AC$1,RIGHT(AC$1,2),""),VLOOKUP($D176,素材!$1:$1016,COLUMN($F$1),FALSE))),VLOOKUP($C176,武器!$1:$998,COLUMN($O$1),FALSE)*VLOOKUP($D176,素材!$1:$1016,COLUMN($E$1),FALSE)/(LEN(VLOOKUP($D176,素材!$1:$1016,COLUMN($F$1),FALSE)) - LEN(SUBSTITUTE(VLOOKUP($D176,素材!$1:$1016,COLUMN($F$1),FALSE), "・", 0)) + 1), 0)</f>
        <v>0</v>
      </c>
      <c r="AD176">
        <f>IF(ISNUMBER(SEARCH(SUBSTITUTE(AD$1,RIGHT(AD$1,2),""),VLOOKUP($D176,素材!$1:$1016,COLUMN($F$1),FALSE))),VLOOKUP($C176,武器!$1:$998,COLUMN($O$1),FALSE)*VLOOKUP($D176,素材!$1:$1016,COLUMN($E$1),FALSE)/(LEN(VLOOKUP($D176,素材!$1:$1016,COLUMN($F$1),FALSE)) - LEN(SUBSTITUTE(VLOOKUP($D176,素材!$1:$1016,COLUMN($F$1),FALSE), "・", 0)) + 1), 0)</f>
        <v>0</v>
      </c>
      <c r="AE176">
        <f>IF(ISNUMBER(SEARCH(SUBSTITUTE(AE$1,RIGHT(AE$1,2),""),VLOOKUP($D176,素材!$1:$1016,COLUMN($F$1),FALSE))),VLOOKUP($C176,武器!$1:$998,COLUMN($O$1),FALSE)*VLOOKUP($D176,素材!$1:$1016,COLUMN($E$1),FALSE)/(LEN(VLOOKUP($D176,素材!$1:$1016,COLUMN($F$1),FALSE)) - LEN(SUBSTITUTE(VLOOKUP($D176,素材!$1:$1016,COLUMN($F$1),FALSE), "・", 0)) + 1), 0)</f>
        <v>0</v>
      </c>
      <c r="AF176">
        <f>IF(ISNUMBER(SEARCH(SUBSTITUTE(AF$1,RIGHT(AF$1,2),""),VLOOKUP($D176,素材!$1:$1016,COLUMN($F$1),FALSE))),VLOOKUP($C176,武器!$1:$998,COLUMN($O$1),FALSE)*VLOOKUP($D176,素材!$1:$1016,COLUMN($E$1),FALSE)/(LEN(VLOOKUP($D176,素材!$1:$1016,COLUMN($F$1),FALSE)) - LEN(SUBSTITUTE(VLOOKUP($D176,素材!$1:$1016,COLUMN($F$1),FALSE), "・", 0)) + 1), 0)</f>
        <v>0</v>
      </c>
      <c r="AG176">
        <f>IF(ISNUMBER(SEARCH(SUBSTITUTE(AG$1,RIGHT(AG$1,2),""),VLOOKUP($D176,素材!$1:$1016,COLUMN($F$1),FALSE))),VLOOKUP($C176,武器!$1:$998,COLUMN($O$1),FALSE)*VLOOKUP($D176,素材!$1:$1016,COLUMN($E$1),FALSE)/(LEN(VLOOKUP($D176,素材!$1:$1016,COLUMN($F$1),FALSE)) - LEN(SUBSTITUTE(VLOOKUP($D176,素材!$1:$1016,COLUMN($F$1),FALSE), "・", 0)) + 1), 0)</f>
        <v>0</v>
      </c>
      <c r="AH176">
        <f>IF(ISNUMBER(SEARCH(SUBSTITUTE(AH$1,RIGHT(AH$1,2),""),VLOOKUP($D176,素材!$1:$1016,COLUMN($F$1),FALSE))),VLOOKUP($C176,武器!$1:$998,COLUMN($O$1),FALSE)*VLOOKUP($D176,素材!$1:$1016,COLUMN($E$1),FALSE)/(LEN(VLOOKUP($D176,素材!$1:$1016,COLUMN($F$1),FALSE)) - LEN(SUBSTITUTE(VLOOKUP($D176,素材!$1:$1016,COLUMN($F$1),FALSE), "・", 0)) + 1), 0)</f>
        <v>0</v>
      </c>
      <c r="AI176">
        <f>IF(ISNUMBER(SEARCH(SUBSTITUTE(AI$1,RIGHT(AI$1,2),""),VLOOKUP($D176,素材!$1:$1016,COLUMN($F$1),FALSE))),VLOOKUP($C176,武器!$1:$998,COLUMN($O$1),FALSE)*VLOOKUP($D176,素材!$1:$1016,COLUMN($E$1),FALSE)/(LEN(VLOOKUP($D176,素材!$1:$1016,COLUMN($F$1),FALSE)) - LEN(SUBSTITUTE(VLOOKUP($D176,素材!$1:$1016,COLUMN($F$1),FALSE), "・", 0)) + 1), 0)</f>
        <v>0</v>
      </c>
      <c r="AJ176">
        <f>IF(ISNUMBER(SEARCH(SUBSTITUTE(AJ$1,RIGHT(AJ$1,2),""),VLOOKUP($D176,素材!$1:$1016,COLUMN($F$1),FALSE))),VLOOKUP($C176,武器!$1:$998,COLUMN($O$1),FALSE)*VLOOKUP($D176,素材!$1:$1016,COLUMN($E$1),FALSE)/(LEN(VLOOKUP($D176,素材!$1:$1016,COLUMN($F$1),FALSE)) - LEN(SUBSTITUTE(VLOOKUP($D176,素材!$1:$1016,COLUMN($F$1),FALSE), "・", 0)) + 1), 0)</f>
        <v>0</v>
      </c>
      <c r="AK176">
        <f>IF(ISNUMBER(SEARCH(SUBSTITUTE(AK$1,RIGHT(AK$1,2),""),VLOOKUP($D176,素材!$1:$1016,COLUMN($F$1),FALSE))),VLOOKUP($C176,武器!$1:$998,COLUMN($O$1),FALSE)*VLOOKUP($D176,素材!$1:$1016,COLUMN($E$1),FALSE)/(LEN(VLOOKUP($D176,素材!$1:$1016,COLUMN($F$1),FALSE)) - LEN(SUBSTITUTE(VLOOKUP($D176,素材!$1:$1016,COLUMN($F$1),FALSE), "・", 0)) + 1), 0)</f>
        <v>0</v>
      </c>
      <c r="AL176">
        <f>IF(ISNUMBER(SEARCH(SUBSTITUTE(AL$1,RIGHT(AL$1,2),""),VLOOKUP($D176,素材!$1:$1016,COLUMN($F$1),FALSE))),VLOOKUP($C176,武器!$1:$998,COLUMN($O$1),FALSE)*VLOOKUP($D176,素材!$1:$1016,COLUMN($E$1),FALSE)/(LEN(VLOOKUP($D176,素材!$1:$1016,COLUMN($F$1),FALSE)) - LEN(SUBSTITUTE(VLOOKUP($D176,素材!$1:$1016,COLUMN($F$1),FALSE), "・", 0)) + 1), 0)</f>
        <v>0</v>
      </c>
      <c r="AM176">
        <f>IF(ISNUMBER(SEARCH(SUBSTITUTE(AM$1,RIGHT(AM$1,2),""),VLOOKUP($D176,素材!$1:$1016,COLUMN($F$1),FALSE))),VLOOKUP($C176,武器!$1:$998,COLUMN($O$1),FALSE)*VLOOKUP($D176,素材!$1:$1016,COLUMN($E$1),FALSE)/(LEN(VLOOKUP($D176,素材!$1:$1016,COLUMN($F$1),FALSE)) - LEN(SUBSTITUTE(VLOOKUP($D176,素材!$1:$1016,COLUMN($F$1),FALSE), "・", 0)) + 1), 0)</f>
        <v>0</v>
      </c>
      <c r="AN176">
        <f>IF(ISNUMBER(SEARCH(SUBSTITUTE(AN$1,RIGHT(AN$1,2),""),VLOOKUP($D176,素材!$1:$1016,COLUMN($F$1),FALSE))),VLOOKUP($C176,武器!$1:$998,COLUMN($O$1),FALSE)*VLOOKUP($D176,素材!$1:$1016,COLUMN($E$1),FALSE)/(LEN(VLOOKUP($D176,素材!$1:$1016,COLUMN($F$1),FALSE)) - LEN(SUBSTITUTE(VLOOKUP($D176,素材!$1:$1016,COLUMN($F$1),FALSE), "・", 0)) + 1), 0)</f>
        <v>0</v>
      </c>
      <c r="AO176">
        <f>IF(ISNUMBER(SEARCH(SUBSTITUTE(AO$1,RIGHT(AO$1,2),""),VLOOKUP($D176,素材!$1:$1016,COLUMN($F$1),FALSE))),VLOOKUP($C176,武器!$1:$998,COLUMN($O$1),FALSE)*VLOOKUP($D176,素材!$1:$1016,COLUMN($E$1),FALSE)/(LEN(VLOOKUP($D176,素材!$1:$1016,COLUMN($F$1),FALSE)) - LEN(SUBSTITUTE(VLOOKUP($D176,素材!$1:$1016,COLUMN($F$1),FALSE), "・", 0)) + 1), 0)</f>
        <v>0</v>
      </c>
      <c r="AP176">
        <f>IF(ISNUMBER(SEARCH(SUBSTITUTE(AP$1,RIGHT(AP$1,2),""),VLOOKUP($D176,素材!$1:$1016,COLUMN($F$1),FALSE))),VLOOKUP($C176,武器!$1:$998,COLUMN($O$1),FALSE)*VLOOKUP($D176,素材!$1:$1016,COLUMN($E$1),FALSE)/(LEN(VLOOKUP($D176,素材!$1:$1016,COLUMN($F$1),FALSE)) - LEN(SUBSTITUTE(VLOOKUP($D176,素材!$1:$1016,COLUMN($F$1),FALSE), "・", 0)) + 1), 0)</f>
        <v>0</v>
      </c>
      <c r="AQ176">
        <f>IF(ISNUMBER(SEARCH(SUBSTITUTE(AQ$1,RIGHT(AQ$1,2),""),VLOOKUP($D176,素材!$1:$1016,COLUMN($F$1),FALSE))),VLOOKUP($C176,武器!$1:$998,COLUMN($O$1),FALSE)*VLOOKUP($D176,素材!$1:$1016,COLUMN($E$1),FALSE)/(LEN(VLOOKUP($D176,素材!$1:$1016,COLUMN($F$1),FALSE)) - LEN(SUBSTITUTE(VLOOKUP($D176,素材!$1:$1016,COLUMN($F$1),FALSE), "・", 0)) + 1), 0)</f>
        <v>0</v>
      </c>
      <c r="AR176">
        <f>IF(ISNUMBER(SEARCH(SUBSTITUTE(AR$1,RIGHT(AR$1,2),""),VLOOKUP($D176,素材!$1:$1016,COLUMN($F$1),FALSE))),VLOOKUP($C176,武器!$1:$998,COLUMN($O$1),FALSE)*VLOOKUP($D176,素材!$1:$1016,COLUMN($E$1),FALSE)/(LEN(VLOOKUP($D176,素材!$1:$1016,COLUMN($F$1),FALSE)) - LEN(SUBSTITUTE(VLOOKUP($D176,素材!$1:$1016,COLUMN($F$1),FALSE), "・", 0)) + 1), 0)</f>
        <v>0</v>
      </c>
      <c r="AS176">
        <f>IF(ISNUMBER(SEARCH(SUBSTITUTE(AS$1,RIGHT(AS$1,2),""),VLOOKUP($D176,素材!$1:$1016,COLUMN($F$1),FALSE))),VLOOKUP($C176,武器!$1:$998,COLUMN($O$1),FALSE)*VLOOKUP($D176,素材!$1:$1016,COLUMN($E$1),FALSE)/(LEN(VLOOKUP($D176,素材!$1:$1016,COLUMN($F$1),FALSE)) - LEN(SUBSTITUTE(VLOOKUP($D176,素材!$1:$1016,COLUMN($F$1),FALSE), "・", 0)) + 1), 0)</f>
        <v>0</v>
      </c>
      <c r="AT176">
        <f>IF(ISNUMBER(SEARCH(SUBSTITUTE(AT$1,RIGHT(AT$1,2),""),VLOOKUP($D176,素材!$1:$1016,COLUMN($F$1),FALSE))),VLOOKUP($C176,武器!$1:$998,COLUMN($O$1),FALSE)*VLOOKUP($D176,素材!$1:$1016,COLUMN($E$1),FALSE)/(LEN(VLOOKUP($D176,素材!$1:$1016,COLUMN($F$1),FALSE)) - LEN(SUBSTITUTE(VLOOKUP($D176,素材!$1:$1016,COLUMN($F$1),FALSE), "・", 0)) + 1), 0)</f>
        <v>0</v>
      </c>
      <c r="AU176">
        <f>IF(ISNUMBER(SEARCH(SUBSTITUTE(AU$1,RIGHT(AU$1,2),""),VLOOKUP($D176,素材!$1:$1016,COLUMN($F$1),FALSE))),VLOOKUP($C176,武器!$1:$998,COLUMN($O$1),FALSE)*VLOOKUP($D176,素材!$1:$1016,COLUMN($E$1),FALSE)/(LEN(VLOOKUP($D176,素材!$1:$1016,COLUMN($F$1),FALSE)) - LEN(SUBSTITUTE(VLOOKUP($D176,素材!$1:$1016,COLUMN($F$1),FALSE), "・", 0)) + 1), 0)</f>
        <v>0</v>
      </c>
      <c r="AV176">
        <f>IF(ISNUMBER(SEARCH(SUBSTITUTE(AV$1,RIGHT(AV$1,2),""),VLOOKUP($D176,素材!$1:$1016,COLUMN($F$1),FALSE))),VLOOKUP($C176,武器!$1:$998,COLUMN($O$1),FALSE)*VLOOKUP($D176,素材!$1:$1016,COLUMN($E$1),FALSE)/(LEN(VLOOKUP($D176,素材!$1:$1016,COLUMN($F$1),FALSE)) - LEN(SUBSTITUTE(VLOOKUP($D176,素材!$1:$1016,COLUMN($F$1),FALSE), "・", 0)) + 1), 0)</f>
        <v>0</v>
      </c>
      <c r="AW176">
        <f>IF(ISNUMBER(SEARCH(SUBSTITUTE(AW$1,RIGHT(AW$1,2),""),VLOOKUP($D176,素材!$1:$1016,COLUMN($F$1),FALSE))),VLOOKUP($C176,武器!$1:$998,COLUMN($O$1),FALSE)*VLOOKUP($D176,素材!$1:$1016,COLUMN($E$1),FALSE)/(LEN(VLOOKUP($D176,素材!$1:$1016,COLUMN($F$1),FALSE)) - LEN(SUBSTITUTE(VLOOKUP($D176,素材!$1:$1016,COLUMN($F$1),FALSE), "・", 0)) + 1), 0)</f>
        <v>0</v>
      </c>
      <c r="AX176">
        <f>IF(ISNUMBER(SEARCH(SUBSTITUTE(AX$1,RIGHT(AX$1,2),""),VLOOKUP($D176,素材!$1:$1016,COLUMN($F$1),FALSE))),VLOOKUP($C176,武器!$1:$998,COLUMN($O$1),FALSE)*VLOOKUP($D176,素材!$1:$1016,COLUMN($E$1),FALSE)/(LEN(VLOOKUP($D176,素材!$1:$1016,COLUMN($F$1),FALSE)) - LEN(SUBSTITUTE(VLOOKUP($D176,素材!$1:$1016,COLUMN($F$1),FALSE), "・", 0)) + 1), 0)</f>
        <v>0</v>
      </c>
      <c r="AY176">
        <f>IF(ISNUMBER(SEARCH(SUBSTITUTE(AY$1,RIGHT(AY$1,2),""),VLOOKUP($D176,素材!$1:$1016,COLUMN($F$1),FALSE))),VLOOKUP($C176,武器!$1:$998,COLUMN($O$1),FALSE)*VLOOKUP($D176,素材!$1:$1016,COLUMN($E$1),FALSE)/(LEN(VLOOKUP($D176,素材!$1:$1016,COLUMN($F$1),FALSE)) - LEN(SUBSTITUTE(VLOOKUP($D176,素材!$1:$1016,COLUMN($F$1),FALSE), "・", 0)) + 1), 0)</f>
        <v>0</v>
      </c>
      <c r="AZ176">
        <f>IF(ISNUMBER(SEARCH(SUBSTITUTE(AZ$1,RIGHT(AZ$1,2),""),VLOOKUP($D176,素材!$1:$1016,COLUMN($F$1),FALSE))),VLOOKUP($C176,武器!$1:$998,COLUMN($O$1),FALSE)*VLOOKUP($D176,素材!$1:$1016,COLUMN($E$1),FALSE)/(LEN(VLOOKUP($D176,素材!$1:$1016,COLUMN($F$1),FALSE)) - LEN(SUBSTITUTE(VLOOKUP($D176,素材!$1:$1016,COLUMN($F$1),FALSE), "・", 0)) + 1), 0)</f>
        <v>0</v>
      </c>
      <c r="BA176">
        <f>IF(ISNUMBER(SEARCH(SUBSTITUTE(BA$1,RIGHT(BA$1,2),""),VLOOKUP($D176,素材!$1:$1016,COLUMN($F$1),FALSE))),VLOOKUP($C176,武器!$1:$998,COLUMN($O$1),FALSE)*VLOOKUP($D176,素材!$1:$1016,COLUMN($E$1),FALSE)/(LEN(VLOOKUP($D176,素材!$1:$1016,COLUMN($F$1),FALSE)) - LEN(SUBSTITUTE(VLOOKUP($D176,素材!$1:$1016,COLUMN($F$1),FALSE), "・", 0)) + 1), 0)</f>
        <v>0</v>
      </c>
      <c r="BB176">
        <f>IF(ISNUMBER(SEARCH(SUBSTITUTE(BB$1,RIGHT(BB$1,2),""),VLOOKUP($D176,素材!$1:$1016,COLUMN($F$1),FALSE))),VLOOKUP($C176,武器!$1:$998,COLUMN($O$1),FALSE)*VLOOKUP($D176,素材!$1:$1016,COLUMN($E$1),FALSE)/(LEN(VLOOKUP($D176,素材!$1:$1016,COLUMN($F$1),FALSE)) - LEN(SUBSTITUTE(VLOOKUP($D176,素材!$1:$1016,COLUMN($F$1),FALSE), "・", 0)) + 1), 0)</f>
        <v>0</v>
      </c>
      <c r="BC176">
        <f>IF(ISNUMBER(SEARCH(SUBSTITUTE(BC$1,RIGHT(BC$1,2),""),VLOOKUP($D176,素材!$1:$1016,COLUMN($F$1),FALSE))),VLOOKUP($C176,武器!$1:$998,COLUMN($O$1),FALSE)*VLOOKUP($D176,素材!$1:$1016,COLUMN($E$1),FALSE)/(LEN(VLOOKUP($D176,素材!$1:$1016,COLUMN($F$1),FALSE)) - LEN(SUBSTITUTE(VLOOKUP($D176,素材!$1:$1016,COLUMN($F$1),FALSE), "・", 0)) + 1), 0)</f>
        <v>0</v>
      </c>
      <c r="BD176">
        <f>IF(ISNUMBER(SEARCH(SUBSTITUTE(BD$1,RIGHT(BD$1,2),""),VLOOKUP($D176,素材!$1:$1016,COLUMN($F$1),FALSE))),VLOOKUP($C176,武器!$1:$998,COLUMN($O$1),FALSE)*VLOOKUP($D176,素材!$1:$1016,COLUMN($E$1),FALSE)/(LEN(VLOOKUP($D176,素材!$1:$1016,COLUMN($F$1),FALSE)) - LEN(SUBSTITUTE(VLOOKUP($D176,素材!$1:$1016,COLUMN($F$1),FALSE), "・", 0)) + 1), 0)</f>
        <v>0</v>
      </c>
      <c r="BE176">
        <f>IF(ISNUMBER(SEARCH(SUBSTITUTE(BE$1,RIGHT(BE$1,2),""),VLOOKUP($D176,素材!$1:$1016,COLUMN($F$1),FALSE))),VLOOKUP($C176,武器!$1:$998,COLUMN($O$1),FALSE)*VLOOKUP($D176,素材!$1:$1016,COLUMN($E$1),FALSE)/(LEN(VLOOKUP($D176,素材!$1:$1016,COLUMN($F$1),FALSE)) - LEN(SUBSTITUTE(VLOOKUP($D176,素材!$1:$1016,COLUMN($F$1),FALSE), "・", 0)) + 1), 0)</f>
        <v>0</v>
      </c>
      <c r="CL176">
        <f>SUM(G176:I176)</f>
        <v>25</v>
      </c>
      <c r="CM176" s="22" t="str">
        <f>IF(E176="武器",IF(J176-1&gt;SUM(G176:I176),"盾",IF(MAX(G176:I176)=G176,"切断",IF(MAX(G176:I176)=H176,"貫通",IF(MAX(G176:I176)=I176,"打撃","射撃")))),E176)&amp;".webp"</f>
        <v>切断.webp</v>
      </c>
      <c r="CN176">
        <f>IFERROR(VLOOKUP($C176,武器!$1:$998,COLUMN(V$1),FALSE)*VLOOKUP($D176,素材!$1:$1016,COLUMN(N$1),FALSE)+IF(CI176="",0,VLOOKUP($CI176,装強!$1:$1008,COLUMN($CK$1),FALSE)),"")</f>
        <v>3000</v>
      </c>
      <c r="CO176">
        <f>VLOOKUP(D176,素材!$A:$O,COLUMN(素材!O$1),FALSE)</f>
        <v>0</v>
      </c>
      <c r="CP176" t="str">
        <f>VLOOKUP(C176,武器!$A:$W,COLUMN(武器!W$1),FALSE)</f>
        <v>戦斧。攻撃力が高く、重いが信頼性がある武器。</v>
      </c>
      <c r="CR176" t="str">
        <f t="shared" si="18"/>
        <v>e_176</v>
      </c>
      <c r="CS176">
        <f t="shared" si="22"/>
        <v>300000</v>
      </c>
    </row>
    <row r="177" spans="1:97" outlineLevel="1" x14ac:dyDescent="0.4">
      <c r="A177" t="str">
        <f t="shared" si="27"/>
        <v>黒鋼鉄の鞭</v>
      </c>
      <c r="B177" t="str">
        <f>IFERROR(VLOOKUP($D177,素材!$1:$1016,COLUMN($B$1),FALSE)&amp;"・"&amp;VLOOKUP($C177,武器!$1:$998,COLUMN(B$1),FALSE),"")</f>
        <v>ブラックスティール・ウィップ</v>
      </c>
      <c r="C177" t="s">
        <v>223</v>
      </c>
      <c r="D177" s="24" t="s">
        <v>244</v>
      </c>
      <c r="E177" t="str">
        <f>IFERROR(VLOOKUP(C177,武器!$1:$998,COLUMN(C$1),FALSE),"")</f>
        <v>武器</v>
      </c>
      <c r="F177">
        <f>IFERROR(ROUNDDOWN((VLOOKUP($C177,武器!$1:$998,COLUMN(D$1),FALSE)+IFERROR(VLOOKUP($CI177,装強!$1:$999,COLUMN(F$1),FALSE),0))*VLOOKUP($D177,素材!$1:$1016,COLUMN(D$1),FALSE),0),"")</f>
        <v>105</v>
      </c>
      <c r="G177">
        <f>IFERROR(ROUNDDOWN((VLOOKUP($C177,武器!$1:$998,COLUMN(E$1),FALSE)+IFERROR(VLOOKUP($CI177,装強!$1:$999,COLUMN(G$1),FALSE),0))*VLOOKUP($D177,素材!$1:$1016,COLUMN($E$1),FALSE),0),"")</f>
        <v>18</v>
      </c>
      <c r="H177">
        <f>IFERROR(ROUNDDOWN((VLOOKUP($C177,武器!$1:$998,COLUMN(F$1),FALSE)+IFERROR(VLOOKUP($CI177,装強!$1:$999,COLUMN(H$1),FALSE),0))*VLOOKUP($D177,素材!$1:$1016,COLUMN($E$1),FALSE),0),"")</f>
        <v>0</v>
      </c>
      <c r="I177">
        <f>IFERROR(ROUNDDOWN((VLOOKUP($C177,武器!$1:$998,COLUMN(G$1),FALSE)+IFERROR(VLOOKUP($CI177,装強!$1:$999,COLUMN(I$1),FALSE),0))*VLOOKUP($D177,素材!$1:$1016,COLUMN($E$1),FALSE),0),"")</f>
        <v>4</v>
      </c>
      <c r="J177">
        <f>IFERROR(ROUNDDOWN((VLOOKUP($C177,武器!$1:$998,COLUMN(H$1),FALSE)+IFERROR(VLOOKUP($CI177,装強!$1:$999,COLUMN(J$1),FALSE),0))*VLOOKUP($D177,素材!$1:$1016,COLUMN($E$1),FALSE),0),"")</f>
        <v>11</v>
      </c>
      <c r="K177">
        <f>IFERROR(ROUNDDOWN((VLOOKUP($C177,武器!$1:$998,COLUMN(I$1),FALSE)+IFERROR(VLOOKUP($CI177,装強!$1:$999,COLUMN(K$1),FALSE),0))*VLOOKUP($D177,素材!$1:$1016,COLUMN($E$1),FALSE),0),"")</f>
        <v>0</v>
      </c>
      <c r="L177" t="str">
        <f>IFERROR(VLOOKUP($D177,素材!$1:$1016,COLUMN($F$1),FALSE),"")</f>
        <v>雷</v>
      </c>
      <c r="M177">
        <f>IFERROR(VLOOKUP($C177,武器!$1:$998,COLUMN(AA$1),FALSE)*VLOOKUP($D177,素材!$1:$1016,COLUMN($G$1),FALSE),"")</f>
        <v>38.5</v>
      </c>
      <c r="N177">
        <f>IFERROR(VLOOKUP($C177,武器!$1:$998,COLUMN(I$1),FALSE),"")</f>
        <v>0</v>
      </c>
      <c r="O177" s="23">
        <f>IFERROR((VLOOKUP($C177,武器!$1:$998,COLUMN(K$1),FALSE)+VLOOKUP($D177,素材!$1:$1016,COLUMN(H$1),FALSE))*100+IFERROR(VLOOKUP($CI177,装強!$1:$999,COLUMN(O$1),FALSE),0),"")</f>
        <v>10</v>
      </c>
      <c r="P177" s="23">
        <f>IFERROR((VLOOKUP($C177,武器!$1:$998,COLUMN(L$1),FALSE)+VLOOKUP($D177,素材!$1:$1016,COLUMN(I$1),FALSE))*100+IFERROR(VLOOKUP($CI177,装強!$1:$999,COLUMN(P$1),FALSE),0),"")</f>
        <v>150</v>
      </c>
      <c r="Q177">
        <f>IFERROR(ROUNDUP(VLOOKUP($C177,武器!$1:$998,COLUMN(M$1),FALSE)*(VLOOKUP($D177,素材!$1:$1002,COLUMN(D$1),FALSE)/100),1),"")</f>
        <v>0</v>
      </c>
      <c r="R177">
        <f>IFERROR(ROUNDUP(VLOOKUP($C177,武器!$1:$998,COLUMN(N$1),FALSE)*(VLOOKUP($D177,素材!$1:$1002,COLUMN(D$1),FALSE)/100),1),"")</f>
        <v>0</v>
      </c>
      <c r="S177">
        <f>IFERROR(VLOOKUP($C177,武器!$1:$998,COLUMN(P$1),FALSE),"")</f>
        <v>1</v>
      </c>
      <c r="T177">
        <f>IFERROR(VLOOKUP($C177,武器!$1:$998,COLUMN(Q$1),FALSE),"")</f>
        <v>0</v>
      </c>
      <c r="U177">
        <f>IFERROR(VLOOKUP($C177,武器!$1:$998,COLUMN(R$1),FALSE),"")</f>
        <v>0</v>
      </c>
      <c r="V177">
        <f>IFERROR(VLOOKUP($C177,武器!$1:$998,COLUMN(Q$1),FALSE),"")</f>
        <v>0</v>
      </c>
      <c r="W177" t="str">
        <f>IFERROR(VLOOKUP($C177,武器!$1:$998,COLUMN(T$1),FALSE),"")</f>
        <v>A</v>
      </c>
      <c r="Y177">
        <f>IFERROR(VLOOKUP($C177,武器!$1:$998,COLUMN(U$1),FALSE),"")</f>
        <v>0</v>
      </c>
      <c r="Z177">
        <f>IFERROR(ROUNDUP(VLOOKUP($C177,武器!$1:$998,COLUMN(O$1),FALSE)*VLOOKUP($D177,素材!$1:$1016,COLUMN(E$1),FALSE),1),"")</f>
        <v>0</v>
      </c>
      <c r="AA177">
        <f>IF(ISNUMBER(SEARCH(SUBSTITUTE(AA$1,RIGHT(AA$1,2),""),VLOOKUP($D177,素材!$1:$1016,COLUMN($F$1),FALSE))),VLOOKUP($C177,武器!$1:$998,COLUMN($O$1),FALSE)*VLOOKUP($D177,素材!$1:$1016,COLUMN($E$1),FALSE)/(LEN(VLOOKUP($D177,素材!$1:$1016,COLUMN($F$1),FALSE)) - LEN(SUBSTITUTE(VLOOKUP($D177,素材!$1:$1016,COLUMN($F$1),FALSE), "・", 0)) + 1), 0)</f>
        <v>0</v>
      </c>
      <c r="AB177">
        <f>IF(ISNUMBER(SEARCH(SUBSTITUTE(AB$1,RIGHT(AB$1,2),""),VLOOKUP($D177,素材!$1:$1016,COLUMN($F$1),FALSE))),VLOOKUP($C177,武器!$1:$998,COLUMN($O$1),FALSE)*VLOOKUP($D177,素材!$1:$1016,COLUMN($E$1),FALSE)/(LEN(VLOOKUP($D177,素材!$1:$1016,COLUMN($F$1),FALSE)) - LEN(SUBSTITUTE(VLOOKUP($D177,素材!$1:$1016,COLUMN($F$1),FALSE), "・", 0)) + 1), 0)</f>
        <v>0</v>
      </c>
      <c r="AC177">
        <f>IF(ISNUMBER(SEARCH(SUBSTITUTE(AC$1,RIGHT(AC$1,2),""),VLOOKUP($D177,素材!$1:$1016,COLUMN($F$1),FALSE))),VLOOKUP($C177,武器!$1:$998,COLUMN($O$1),FALSE)*VLOOKUP($D177,素材!$1:$1016,COLUMN($E$1),FALSE)/(LEN(VLOOKUP($D177,素材!$1:$1016,COLUMN($F$1),FALSE)) - LEN(SUBSTITUTE(VLOOKUP($D177,素材!$1:$1016,COLUMN($F$1),FALSE), "・", 0)) + 1), 0)</f>
        <v>0</v>
      </c>
      <c r="AD177">
        <f>IF(ISNUMBER(SEARCH(SUBSTITUTE(AD$1,RIGHT(AD$1,2),""),VLOOKUP($D177,素材!$1:$1016,COLUMN($F$1),FALSE))),VLOOKUP($C177,武器!$1:$998,COLUMN($O$1),FALSE)*VLOOKUP($D177,素材!$1:$1016,COLUMN($E$1),FALSE)/(LEN(VLOOKUP($D177,素材!$1:$1016,COLUMN($F$1),FALSE)) - LEN(SUBSTITUTE(VLOOKUP($D177,素材!$1:$1016,COLUMN($F$1),FALSE), "・", 0)) + 1), 0)</f>
        <v>0</v>
      </c>
      <c r="AE177">
        <f>IF(ISNUMBER(SEARCH(SUBSTITUTE(AE$1,RIGHT(AE$1,2),""),VLOOKUP($D177,素材!$1:$1016,COLUMN($F$1),FALSE))),VLOOKUP($C177,武器!$1:$998,COLUMN($O$1),FALSE)*VLOOKUP($D177,素材!$1:$1016,COLUMN($E$1),FALSE)/(LEN(VLOOKUP($D177,素材!$1:$1016,COLUMN($F$1),FALSE)) - LEN(SUBSTITUTE(VLOOKUP($D177,素材!$1:$1016,COLUMN($F$1),FALSE), "・", 0)) + 1), 0)</f>
        <v>0</v>
      </c>
      <c r="AF177">
        <f>IF(ISNUMBER(SEARCH(SUBSTITUTE(AF$1,RIGHT(AF$1,2),""),VLOOKUP($D177,素材!$1:$1016,COLUMN($F$1),FALSE))),VLOOKUP($C177,武器!$1:$998,COLUMN($O$1),FALSE)*VLOOKUP($D177,素材!$1:$1016,COLUMN($E$1),FALSE)/(LEN(VLOOKUP($D177,素材!$1:$1016,COLUMN($F$1),FALSE)) - LEN(SUBSTITUTE(VLOOKUP($D177,素材!$1:$1016,COLUMN($F$1),FALSE), "・", 0)) + 1), 0)</f>
        <v>0</v>
      </c>
      <c r="AG177">
        <f>IF(ISNUMBER(SEARCH(SUBSTITUTE(AG$1,RIGHT(AG$1,2),""),VLOOKUP($D177,素材!$1:$1016,COLUMN($F$1),FALSE))),VLOOKUP($C177,武器!$1:$998,COLUMN($O$1),FALSE)*VLOOKUP($D177,素材!$1:$1016,COLUMN($E$1),FALSE)/(LEN(VLOOKUP($D177,素材!$1:$1016,COLUMN($F$1),FALSE)) - LEN(SUBSTITUTE(VLOOKUP($D177,素材!$1:$1016,COLUMN($F$1),FALSE), "・", 0)) + 1), 0)</f>
        <v>0</v>
      </c>
      <c r="AH177">
        <f>IF(ISNUMBER(SEARCH(SUBSTITUTE(AH$1,RIGHT(AH$1,2),""),VLOOKUP($D177,素材!$1:$1016,COLUMN($F$1),FALSE))),VLOOKUP($C177,武器!$1:$998,COLUMN($O$1),FALSE)*VLOOKUP($D177,素材!$1:$1016,COLUMN($E$1),FALSE)/(LEN(VLOOKUP($D177,素材!$1:$1016,COLUMN($F$1),FALSE)) - LEN(SUBSTITUTE(VLOOKUP($D177,素材!$1:$1016,COLUMN($F$1),FALSE), "・", 0)) + 1), 0)</f>
        <v>0</v>
      </c>
      <c r="AI177">
        <f>IF(ISNUMBER(SEARCH(SUBSTITUTE(AI$1,RIGHT(AI$1,2),""),VLOOKUP($D177,素材!$1:$1016,COLUMN($F$1),FALSE))),VLOOKUP($C177,武器!$1:$998,COLUMN($O$1),FALSE)*VLOOKUP($D177,素材!$1:$1016,COLUMN($E$1),FALSE)/(LEN(VLOOKUP($D177,素材!$1:$1016,COLUMN($F$1),FALSE)) - LEN(SUBSTITUTE(VLOOKUP($D177,素材!$1:$1016,COLUMN($F$1),FALSE), "・", 0)) + 1), 0)</f>
        <v>0</v>
      </c>
      <c r="AJ177">
        <f>IF(ISNUMBER(SEARCH(SUBSTITUTE(AJ$1,RIGHT(AJ$1,2),""),VLOOKUP($D177,素材!$1:$1016,COLUMN($F$1),FALSE))),VLOOKUP($C177,武器!$1:$998,COLUMN($O$1),FALSE)*VLOOKUP($D177,素材!$1:$1016,COLUMN($E$1),FALSE)/(LEN(VLOOKUP($D177,素材!$1:$1016,COLUMN($F$1),FALSE)) - LEN(SUBSTITUTE(VLOOKUP($D177,素材!$1:$1016,COLUMN($F$1),FALSE), "・", 0)) + 1), 0)</f>
        <v>0</v>
      </c>
      <c r="AK177">
        <f>IF(ISNUMBER(SEARCH(SUBSTITUTE(AK$1,RIGHT(AK$1,2),""),VLOOKUP($D177,素材!$1:$1016,COLUMN($F$1),FALSE))),VLOOKUP($C177,武器!$1:$998,COLUMN($O$1),FALSE)*VLOOKUP($D177,素材!$1:$1016,COLUMN($E$1),FALSE)/(LEN(VLOOKUP($D177,素材!$1:$1016,COLUMN($F$1),FALSE)) - LEN(SUBSTITUTE(VLOOKUP($D177,素材!$1:$1016,COLUMN($F$1),FALSE), "・", 0)) + 1), 0)</f>
        <v>0</v>
      </c>
      <c r="AL177">
        <f>IF(ISNUMBER(SEARCH(SUBSTITUTE(AL$1,RIGHT(AL$1,2),""),VLOOKUP($D177,素材!$1:$1016,COLUMN($F$1),FALSE))),VLOOKUP($C177,武器!$1:$998,COLUMN($O$1),FALSE)*VLOOKUP($D177,素材!$1:$1016,COLUMN($E$1),FALSE)/(LEN(VLOOKUP($D177,素材!$1:$1016,COLUMN($F$1),FALSE)) - LEN(SUBSTITUTE(VLOOKUP($D177,素材!$1:$1016,COLUMN($F$1),FALSE), "・", 0)) + 1), 0)</f>
        <v>0</v>
      </c>
      <c r="AM177">
        <f>IF(ISNUMBER(SEARCH(SUBSTITUTE(AM$1,RIGHT(AM$1,2),""),VLOOKUP($D177,素材!$1:$1016,COLUMN($F$1),FALSE))),VLOOKUP($C177,武器!$1:$998,COLUMN($O$1),FALSE)*VLOOKUP($D177,素材!$1:$1016,COLUMN($E$1),FALSE)/(LEN(VLOOKUP($D177,素材!$1:$1016,COLUMN($F$1),FALSE)) - LEN(SUBSTITUTE(VLOOKUP($D177,素材!$1:$1016,COLUMN($F$1),FALSE), "・", 0)) + 1), 0)</f>
        <v>0</v>
      </c>
      <c r="AN177">
        <f>IF(ISNUMBER(SEARCH(SUBSTITUTE(AN$1,RIGHT(AN$1,2),""),VLOOKUP($D177,素材!$1:$1016,COLUMN($F$1),FALSE))),VLOOKUP($C177,武器!$1:$998,COLUMN($O$1),FALSE)*VLOOKUP($D177,素材!$1:$1016,COLUMN($E$1),FALSE)/(LEN(VLOOKUP($D177,素材!$1:$1016,COLUMN($F$1),FALSE)) - LEN(SUBSTITUTE(VLOOKUP($D177,素材!$1:$1016,COLUMN($F$1),FALSE), "・", 0)) + 1), 0)</f>
        <v>0</v>
      </c>
      <c r="AO177">
        <f>IF(ISNUMBER(SEARCH(SUBSTITUTE(AO$1,RIGHT(AO$1,2),""),VLOOKUP($D177,素材!$1:$1016,COLUMN($F$1),FALSE))),VLOOKUP($C177,武器!$1:$998,COLUMN($O$1),FALSE)*VLOOKUP($D177,素材!$1:$1016,COLUMN($E$1),FALSE)/(LEN(VLOOKUP($D177,素材!$1:$1016,COLUMN($F$1),FALSE)) - LEN(SUBSTITUTE(VLOOKUP($D177,素材!$1:$1016,COLUMN($F$1),FALSE), "・", 0)) + 1), 0)</f>
        <v>0</v>
      </c>
      <c r="AP177">
        <f>IF(ISNUMBER(SEARCH(SUBSTITUTE(AP$1,RIGHT(AP$1,2),""),VLOOKUP($D177,素材!$1:$1016,COLUMN($F$1),FALSE))),VLOOKUP($C177,武器!$1:$998,COLUMN($O$1),FALSE)*VLOOKUP($D177,素材!$1:$1016,COLUMN($E$1),FALSE)/(LEN(VLOOKUP($D177,素材!$1:$1016,COLUMN($F$1),FALSE)) - LEN(SUBSTITUTE(VLOOKUP($D177,素材!$1:$1016,COLUMN($F$1),FALSE), "・", 0)) + 1), 0)</f>
        <v>0</v>
      </c>
      <c r="AQ177">
        <f>IF(ISNUMBER(SEARCH(SUBSTITUTE(AQ$1,RIGHT(AQ$1,2),""),VLOOKUP($D177,素材!$1:$1016,COLUMN($F$1),FALSE))),VLOOKUP($C177,武器!$1:$998,COLUMN($O$1),FALSE)*VLOOKUP($D177,素材!$1:$1016,COLUMN($E$1),FALSE)/(LEN(VLOOKUP($D177,素材!$1:$1016,COLUMN($F$1),FALSE)) - LEN(SUBSTITUTE(VLOOKUP($D177,素材!$1:$1016,COLUMN($F$1),FALSE), "・", 0)) + 1), 0)</f>
        <v>0</v>
      </c>
      <c r="AR177">
        <f>IF(ISNUMBER(SEARCH(SUBSTITUTE(AR$1,RIGHT(AR$1,2),""),VLOOKUP($D177,素材!$1:$1016,COLUMN($F$1),FALSE))),VLOOKUP($C177,武器!$1:$998,COLUMN($O$1),FALSE)*VLOOKUP($D177,素材!$1:$1016,COLUMN($E$1),FALSE)/(LEN(VLOOKUP($D177,素材!$1:$1016,COLUMN($F$1),FALSE)) - LEN(SUBSTITUTE(VLOOKUP($D177,素材!$1:$1016,COLUMN($F$1),FALSE), "・", 0)) + 1), 0)</f>
        <v>0</v>
      </c>
      <c r="AS177">
        <f>IF(ISNUMBER(SEARCH(SUBSTITUTE(AS$1,RIGHT(AS$1,2),""),VLOOKUP($D177,素材!$1:$1016,COLUMN($F$1),FALSE))),VLOOKUP($C177,武器!$1:$998,COLUMN($O$1),FALSE)*VLOOKUP($D177,素材!$1:$1016,COLUMN($E$1),FALSE)/(LEN(VLOOKUP($D177,素材!$1:$1016,COLUMN($F$1),FALSE)) - LEN(SUBSTITUTE(VLOOKUP($D177,素材!$1:$1016,COLUMN($F$1),FALSE), "・", 0)) + 1), 0)</f>
        <v>0</v>
      </c>
      <c r="AT177">
        <f>IF(ISNUMBER(SEARCH(SUBSTITUTE(AT$1,RIGHT(AT$1,2),""),VLOOKUP($D177,素材!$1:$1016,COLUMN($F$1),FALSE))),VLOOKUP($C177,武器!$1:$998,COLUMN($O$1),FALSE)*VLOOKUP($D177,素材!$1:$1016,COLUMN($E$1),FALSE)/(LEN(VLOOKUP($D177,素材!$1:$1016,COLUMN($F$1),FALSE)) - LEN(SUBSTITUTE(VLOOKUP($D177,素材!$1:$1016,COLUMN($F$1),FALSE), "・", 0)) + 1), 0)</f>
        <v>0</v>
      </c>
      <c r="AU177">
        <f>IF(ISNUMBER(SEARCH(SUBSTITUTE(AU$1,RIGHT(AU$1,2),""),VLOOKUP($D177,素材!$1:$1016,COLUMN($F$1),FALSE))),VLOOKUP($C177,武器!$1:$998,COLUMN($O$1),FALSE)*VLOOKUP($D177,素材!$1:$1016,COLUMN($E$1),FALSE)/(LEN(VLOOKUP($D177,素材!$1:$1016,COLUMN($F$1),FALSE)) - LEN(SUBSTITUTE(VLOOKUP($D177,素材!$1:$1016,COLUMN($F$1),FALSE), "・", 0)) + 1), 0)</f>
        <v>0</v>
      </c>
      <c r="AV177">
        <f>IF(ISNUMBER(SEARCH(SUBSTITUTE(AV$1,RIGHT(AV$1,2),""),VLOOKUP($D177,素材!$1:$1016,COLUMN($F$1),FALSE))),VLOOKUP($C177,武器!$1:$998,COLUMN($O$1),FALSE)*VLOOKUP($D177,素材!$1:$1016,COLUMN($E$1),FALSE)/(LEN(VLOOKUP($D177,素材!$1:$1016,COLUMN($F$1),FALSE)) - LEN(SUBSTITUTE(VLOOKUP($D177,素材!$1:$1016,COLUMN($F$1),FALSE), "・", 0)) + 1), 0)</f>
        <v>0</v>
      </c>
      <c r="AW177">
        <f>IF(ISNUMBER(SEARCH(SUBSTITUTE(AW$1,RIGHT(AW$1,2),""),VLOOKUP($D177,素材!$1:$1016,COLUMN($F$1),FALSE))),VLOOKUP($C177,武器!$1:$998,COLUMN($O$1),FALSE)*VLOOKUP($D177,素材!$1:$1016,COLUMN($E$1),FALSE)/(LEN(VLOOKUP($D177,素材!$1:$1016,COLUMN($F$1),FALSE)) - LEN(SUBSTITUTE(VLOOKUP($D177,素材!$1:$1016,COLUMN($F$1),FALSE), "・", 0)) + 1), 0)</f>
        <v>0</v>
      </c>
      <c r="AX177">
        <f>IF(ISNUMBER(SEARCH(SUBSTITUTE(AX$1,RIGHT(AX$1,2),""),VLOOKUP($D177,素材!$1:$1016,COLUMN($F$1),FALSE))),VLOOKUP($C177,武器!$1:$998,COLUMN($O$1),FALSE)*VLOOKUP($D177,素材!$1:$1016,COLUMN($E$1),FALSE)/(LEN(VLOOKUP($D177,素材!$1:$1016,COLUMN($F$1),FALSE)) - LEN(SUBSTITUTE(VLOOKUP($D177,素材!$1:$1016,COLUMN($F$1),FALSE), "・", 0)) + 1), 0)</f>
        <v>0</v>
      </c>
      <c r="AY177">
        <f>IF(ISNUMBER(SEARCH(SUBSTITUTE(AY$1,RIGHT(AY$1,2),""),VLOOKUP($D177,素材!$1:$1016,COLUMN($F$1),FALSE))),VLOOKUP($C177,武器!$1:$998,COLUMN($O$1),FALSE)*VLOOKUP($D177,素材!$1:$1016,COLUMN($E$1),FALSE)/(LEN(VLOOKUP($D177,素材!$1:$1016,COLUMN($F$1),FALSE)) - LEN(SUBSTITUTE(VLOOKUP($D177,素材!$1:$1016,COLUMN($F$1),FALSE), "・", 0)) + 1), 0)</f>
        <v>0</v>
      </c>
      <c r="AZ177">
        <f>IF(ISNUMBER(SEARCH(SUBSTITUTE(AZ$1,RIGHT(AZ$1,2),""),VLOOKUP($D177,素材!$1:$1016,COLUMN($F$1),FALSE))),VLOOKUP($C177,武器!$1:$998,COLUMN($O$1),FALSE)*VLOOKUP($D177,素材!$1:$1016,COLUMN($E$1),FALSE)/(LEN(VLOOKUP($D177,素材!$1:$1016,COLUMN($F$1),FALSE)) - LEN(SUBSTITUTE(VLOOKUP($D177,素材!$1:$1016,COLUMN($F$1),FALSE), "・", 0)) + 1), 0)</f>
        <v>0</v>
      </c>
      <c r="BA177">
        <f>IF(ISNUMBER(SEARCH(SUBSTITUTE(BA$1,RIGHT(BA$1,2),""),VLOOKUP($D177,素材!$1:$1016,COLUMN($F$1),FALSE))),VLOOKUP($C177,武器!$1:$998,COLUMN($O$1),FALSE)*VLOOKUP($D177,素材!$1:$1016,COLUMN($E$1),FALSE)/(LEN(VLOOKUP($D177,素材!$1:$1016,COLUMN($F$1),FALSE)) - LEN(SUBSTITUTE(VLOOKUP($D177,素材!$1:$1016,COLUMN($F$1),FALSE), "・", 0)) + 1), 0)</f>
        <v>0</v>
      </c>
      <c r="BB177">
        <f>IF(ISNUMBER(SEARCH(SUBSTITUTE(BB$1,RIGHT(BB$1,2),""),VLOOKUP($D177,素材!$1:$1016,COLUMN($F$1),FALSE))),VLOOKUP($C177,武器!$1:$998,COLUMN($O$1),FALSE)*VLOOKUP($D177,素材!$1:$1016,COLUMN($E$1),FALSE)/(LEN(VLOOKUP($D177,素材!$1:$1016,COLUMN($F$1),FALSE)) - LEN(SUBSTITUTE(VLOOKUP($D177,素材!$1:$1016,COLUMN($F$1),FALSE), "・", 0)) + 1), 0)</f>
        <v>0</v>
      </c>
      <c r="BC177">
        <f>IF(ISNUMBER(SEARCH(SUBSTITUTE(BC$1,RIGHT(BC$1,2),""),VLOOKUP($D177,素材!$1:$1016,COLUMN($F$1),FALSE))),VLOOKUP($C177,武器!$1:$998,COLUMN($O$1),FALSE)*VLOOKUP($D177,素材!$1:$1016,COLUMN($E$1),FALSE)/(LEN(VLOOKUP($D177,素材!$1:$1016,COLUMN($F$1),FALSE)) - LEN(SUBSTITUTE(VLOOKUP($D177,素材!$1:$1016,COLUMN($F$1),FALSE), "・", 0)) + 1), 0)</f>
        <v>0</v>
      </c>
      <c r="BD177">
        <f>IF(ISNUMBER(SEARCH(SUBSTITUTE(BD$1,RIGHT(BD$1,2),""),VLOOKUP($D177,素材!$1:$1016,COLUMN($F$1),FALSE))),VLOOKUP($C177,武器!$1:$998,COLUMN($O$1),FALSE)*VLOOKUP($D177,素材!$1:$1016,COLUMN($E$1),FALSE)/(LEN(VLOOKUP($D177,素材!$1:$1016,COLUMN($F$1),FALSE)) - LEN(SUBSTITUTE(VLOOKUP($D177,素材!$1:$1016,COLUMN($F$1),FALSE), "・", 0)) + 1), 0)</f>
        <v>0</v>
      </c>
      <c r="BE177">
        <f>IF(ISNUMBER(SEARCH(SUBSTITUTE(BE$1,RIGHT(BE$1,2),""),VLOOKUP($D177,素材!$1:$1016,COLUMN($F$1),FALSE))),VLOOKUP($C177,武器!$1:$998,COLUMN($O$1),FALSE)*VLOOKUP($D177,素材!$1:$1016,COLUMN($E$1),FALSE)/(LEN(VLOOKUP($D177,素材!$1:$1016,COLUMN($F$1),FALSE)) - LEN(SUBSTITUTE(VLOOKUP($D177,素材!$1:$1016,COLUMN($F$1),FALSE), "・", 0)) + 1), 0)</f>
        <v>0</v>
      </c>
      <c r="CL177">
        <f>SUM(G177:I177)</f>
        <v>22</v>
      </c>
      <c r="CM177" s="22" t="str">
        <f>IF(E177="武器",IF(J177-1&gt;SUM(G177:I177),"盾",IF(MAX(G177:I177)=G177,"切断",IF(MAX(G177:I177)=H177,"貫通",IF(MAX(G177:I177)=I177,"打撃","射撃")))),E177)&amp;".webp"</f>
        <v>切断.webp</v>
      </c>
      <c r="CN177">
        <f>IFERROR(VLOOKUP($C177,武器!$1:$998,COLUMN(V$1),FALSE)*VLOOKUP($D177,素材!$1:$1016,COLUMN(N$1),FALSE)+IF(CI177="",0,VLOOKUP($CI177,装強!$1:$1008,COLUMN($CK$1),FALSE)),"")</f>
        <v>3750</v>
      </c>
      <c r="CO177">
        <f>VLOOKUP(D177,素材!$A:$O,COLUMN(素材!O$1),FALSE)</f>
        <v>0</v>
      </c>
      <c r="CP177" t="str">
        <f>VLOOKUP(C177,武器!$A:$W,COLUMN(武器!W$1),FALSE)</f>
        <v>鞭。リーチが長く、敵を絡め取る戦闘に適する。</v>
      </c>
      <c r="CR177" t="str">
        <f t="shared" si="18"/>
        <v>e_177</v>
      </c>
      <c r="CS177">
        <f t="shared" si="22"/>
        <v>375000</v>
      </c>
    </row>
    <row r="178" spans="1:97" outlineLevel="1" x14ac:dyDescent="0.4">
      <c r="A178" t="str">
        <f t="shared" si="27"/>
        <v>黒鋼鉄の丸盾</v>
      </c>
      <c r="B178" t="str">
        <f>IFERROR(VLOOKUP($D178,素材!$1:$1016,COLUMN($B$1),FALSE)&amp;"・"&amp;VLOOKUP($C178,武器!$1:$998,COLUMN(B$1),FALSE),"")</f>
        <v>ブラックスティール・バックラー</v>
      </c>
      <c r="C178" t="s">
        <v>222</v>
      </c>
      <c r="D178" s="24" t="s">
        <v>244</v>
      </c>
      <c r="E178" t="str">
        <f>IFERROR(VLOOKUP(C178,武器!$1:$998,COLUMN(C$1),FALSE),"")</f>
        <v>盾</v>
      </c>
      <c r="F178">
        <f>IFERROR(ROUNDDOWN((VLOOKUP($C178,武器!$1:$998,COLUMN(D$1),FALSE)+IFERROR(VLOOKUP($CI178,装強!$1:$999,COLUMN(F$1),FALSE),0))*VLOOKUP($D178,素材!$1:$1016,COLUMN(D$1),FALSE),0),"")</f>
        <v>100</v>
      </c>
      <c r="G178">
        <f>IFERROR(ROUNDDOWN((VLOOKUP($C178,武器!$1:$998,COLUMN(E$1),FALSE)+IFERROR(VLOOKUP($CI178,装強!$1:$999,COLUMN(G$1),FALSE),0))*VLOOKUP($D178,素材!$1:$1016,COLUMN($E$1),FALSE),0),"")</f>
        <v>8</v>
      </c>
      <c r="H178">
        <f>IFERROR(ROUNDDOWN((VLOOKUP($C178,武器!$1:$998,COLUMN(F$1),FALSE)+IFERROR(VLOOKUP($CI178,装強!$1:$999,COLUMN(H$1),FALSE),0))*VLOOKUP($D178,素材!$1:$1016,COLUMN($E$1),FALSE),0),"")</f>
        <v>0</v>
      </c>
      <c r="I178">
        <f>IFERROR(ROUNDDOWN((VLOOKUP($C178,武器!$1:$998,COLUMN(G$1),FALSE)+IFERROR(VLOOKUP($CI178,装強!$1:$999,COLUMN(I$1),FALSE),0))*VLOOKUP($D178,素材!$1:$1016,COLUMN($E$1),FALSE),0),"")</f>
        <v>8</v>
      </c>
      <c r="J178">
        <f>IFERROR(ROUNDDOWN((VLOOKUP($C178,武器!$1:$998,COLUMN(H$1),FALSE)+IFERROR(VLOOKUP($CI178,装強!$1:$999,COLUMN(J$1),FALSE),0))*VLOOKUP($D178,素材!$1:$1016,COLUMN($E$1),FALSE),0),"")</f>
        <v>23</v>
      </c>
      <c r="K178">
        <f>IFERROR(ROUNDDOWN((VLOOKUP($C178,武器!$1:$998,COLUMN(I$1),FALSE)+IFERROR(VLOOKUP($CI178,装強!$1:$999,COLUMN(K$1),FALSE),0))*VLOOKUP($D178,素材!$1:$1016,COLUMN($E$1),FALSE),0),"")</f>
        <v>0</v>
      </c>
      <c r="L178" t="str">
        <f>IFERROR(VLOOKUP($D178,素材!$1:$1016,COLUMN($F$1),FALSE),"")</f>
        <v>雷</v>
      </c>
      <c r="M178">
        <f>IFERROR(VLOOKUP($C178,武器!$1:$998,COLUMN(AA$1),FALSE)*VLOOKUP($D178,素材!$1:$1016,COLUMN($G$1),FALSE),"")</f>
        <v>28</v>
      </c>
      <c r="N178">
        <f>IFERROR(VLOOKUP($C178,武器!$1:$998,COLUMN(I$1),FALSE),"")</f>
        <v>0</v>
      </c>
      <c r="O178" s="23">
        <f>IFERROR((VLOOKUP($C178,武器!$1:$998,COLUMN(K$1),FALSE)+VLOOKUP($D178,素材!$1:$1016,COLUMN(H$1),FALSE))*100+IFERROR(VLOOKUP($CI178,装強!$1:$999,COLUMN(O$1),FALSE),0),"")</f>
        <v>5</v>
      </c>
      <c r="P178" s="23">
        <f>IFERROR((VLOOKUP($C178,武器!$1:$998,COLUMN(L$1),FALSE)+VLOOKUP($D178,素材!$1:$1016,COLUMN(I$1),FALSE))*100+IFERROR(VLOOKUP($CI178,装強!$1:$999,COLUMN(P$1),FALSE),0),"")</f>
        <v>125</v>
      </c>
      <c r="Q178">
        <f>IFERROR(ROUNDUP(VLOOKUP($C178,武器!$1:$998,COLUMN(M$1),FALSE)*(VLOOKUP($D178,素材!$1:$1002,COLUMN(D$1),FALSE)/100),1),"")</f>
        <v>0</v>
      </c>
      <c r="R178">
        <f>IFERROR(ROUNDUP(VLOOKUP($C178,武器!$1:$998,COLUMN(N$1),FALSE)*(VLOOKUP($D178,素材!$1:$1002,COLUMN(D$1),FALSE)/100),1),"")</f>
        <v>0</v>
      </c>
      <c r="S178">
        <f>IFERROR(VLOOKUP($C178,武器!$1:$998,COLUMN(P$1),FALSE),"")</f>
        <v>0</v>
      </c>
      <c r="T178">
        <f>IFERROR(VLOOKUP($C178,武器!$1:$998,COLUMN(Q$1),FALSE),"")</f>
        <v>0</v>
      </c>
      <c r="U178">
        <f>IFERROR(VLOOKUP($C178,武器!$1:$998,COLUMN(R$1),FALSE),"")</f>
        <v>0</v>
      </c>
      <c r="V178">
        <f>IFERROR(VLOOKUP($C178,武器!$1:$998,COLUMN(Q$1),FALSE),"")</f>
        <v>0</v>
      </c>
      <c r="W178" t="str">
        <f>IFERROR(VLOOKUP($C178,武器!$1:$998,COLUMN(T$1),FALSE),"")</f>
        <v>A</v>
      </c>
      <c r="Y178" t="str">
        <f>IFERROR(VLOOKUP($C178,武器!$1:$998,COLUMN(U$1),FALSE),"")</f>
        <v>投擲強化,片手適性Ⅱ</v>
      </c>
      <c r="Z178">
        <f>IFERROR(ROUNDUP(VLOOKUP($C178,武器!$1:$998,COLUMN(O$1),FALSE)*VLOOKUP($D178,素材!$1:$1016,COLUMN(E$1),FALSE),1),"")</f>
        <v>0</v>
      </c>
      <c r="AA178">
        <f>IF(ISNUMBER(SEARCH(SUBSTITUTE(AA$1,RIGHT(AA$1,2),""),VLOOKUP($D178,素材!$1:$1016,COLUMN($F$1),FALSE))),VLOOKUP($C178,武器!$1:$998,COLUMN($O$1),FALSE)*VLOOKUP($D178,素材!$1:$1016,COLUMN($E$1),FALSE)/(LEN(VLOOKUP($D178,素材!$1:$1016,COLUMN($F$1),FALSE)) - LEN(SUBSTITUTE(VLOOKUP($D178,素材!$1:$1016,COLUMN($F$1),FALSE), "・", 0)) + 1), 0)</f>
        <v>0</v>
      </c>
      <c r="AB178">
        <f>IF(ISNUMBER(SEARCH(SUBSTITUTE(AB$1,RIGHT(AB$1,2),""),VLOOKUP($D178,素材!$1:$1016,COLUMN($F$1),FALSE))),VLOOKUP($C178,武器!$1:$998,COLUMN($O$1),FALSE)*VLOOKUP($D178,素材!$1:$1016,COLUMN($E$1),FALSE)/(LEN(VLOOKUP($D178,素材!$1:$1016,COLUMN($F$1),FALSE)) - LEN(SUBSTITUTE(VLOOKUP($D178,素材!$1:$1016,COLUMN($F$1),FALSE), "・", 0)) + 1), 0)</f>
        <v>0</v>
      </c>
      <c r="AC178">
        <f>IF(ISNUMBER(SEARCH(SUBSTITUTE(AC$1,RIGHT(AC$1,2),""),VLOOKUP($D178,素材!$1:$1016,COLUMN($F$1),FALSE))),VLOOKUP($C178,武器!$1:$998,COLUMN($O$1),FALSE)*VLOOKUP($D178,素材!$1:$1016,COLUMN($E$1),FALSE)/(LEN(VLOOKUP($D178,素材!$1:$1016,COLUMN($F$1),FALSE)) - LEN(SUBSTITUTE(VLOOKUP($D178,素材!$1:$1016,COLUMN($F$1),FALSE), "・", 0)) + 1), 0)</f>
        <v>0</v>
      </c>
      <c r="AD178">
        <f>IF(ISNUMBER(SEARCH(SUBSTITUTE(AD$1,RIGHT(AD$1,2),""),VLOOKUP($D178,素材!$1:$1016,COLUMN($F$1),FALSE))),VLOOKUP($C178,武器!$1:$998,COLUMN($O$1),FALSE)*VLOOKUP($D178,素材!$1:$1016,COLUMN($E$1),FALSE)/(LEN(VLOOKUP($D178,素材!$1:$1016,COLUMN($F$1),FALSE)) - LEN(SUBSTITUTE(VLOOKUP($D178,素材!$1:$1016,COLUMN($F$1),FALSE), "・", 0)) + 1), 0)</f>
        <v>0</v>
      </c>
      <c r="AE178">
        <f>IF(ISNUMBER(SEARCH(SUBSTITUTE(AE$1,RIGHT(AE$1,2),""),VLOOKUP($D178,素材!$1:$1016,COLUMN($F$1),FALSE))),VLOOKUP($C178,武器!$1:$998,COLUMN($O$1),FALSE)*VLOOKUP($D178,素材!$1:$1016,COLUMN($E$1),FALSE)/(LEN(VLOOKUP($D178,素材!$1:$1016,COLUMN($F$1),FALSE)) - LEN(SUBSTITUTE(VLOOKUP($D178,素材!$1:$1016,COLUMN($F$1),FALSE), "・", 0)) + 1), 0)</f>
        <v>0</v>
      </c>
      <c r="AF178">
        <f>IF(ISNUMBER(SEARCH(SUBSTITUTE(AF$1,RIGHT(AF$1,2),""),VLOOKUP($D178,素材!$1:$1016,COLUMN($F$1),FALSE))),VLOOKUP($C178,武器!$1:$998,COLUMN($O$1),FALSE)*VLOOKUP($D178,素材!$1:$1016,COLUMN($E$1),FALSE)/(LEN(VLOOKUP($D178,素材!$1:$1016,COLUMN($F$1),FALSE)) - LEN(SUBSTITUTE(VLOOKUP($D178,素材!$1:$1016,COLUMN($F$1),FALSE), "・", 0)) + 1), 0)</f>
        <v>0</v>
      </c>
      <c r="AG178">
        <f>IF(ISNUMBER(SEARCH(SUBSTITUTE(AG$1,RIGHT(AG$1,2),""),VLOOKUP($D178,素材!$1:$1016,COLUMN($F$1),FALSE))),VLOOKUP($C178,武器!$1:$998,COLUMN($O$1),FALSE)*VLOOKUP($D178,素材!$1:$1016,COLUMN($E$1),FALSE)/(LEN(VLOOKUP($D178,素材!$1:$1016,COLUMN($F$1),FALSE)) - LEN(SUBSTITUTE(VLOOKUP($D178,素材!$1:$1016,COLUMN($F$1),FALSE), "・", 0)) + 1), 0)</f>
        <v>0</v>
      </c>
      <c r="AH178">
        <f>IF(ISNUMBER(SEARCH(SUBSTITUTE(AH$1,RIGHT(AH$1,2),""),VLOOKUP($D178,素材!$1:$1016,COLUMN($F$1),FALSE))),VLOOKUP($C178,武器!$1:$998,COLUMN($O$1),FALSE)*VLOOKUP($D178,素材!$1:$1016,COLUMN($E$1),FALSE)/(LEN(VLOOKUP($D178,素材!$1:$1016,COLUMN($F$1),FALSE)) - LEN(SUBSTITUTE(VLOOKUP($D178,素材!$1:$1016,COLUMN($F$1),FALSE), "・", 0)) + 1), 0)</f>
        <v>0</v>
      </c>
      <c r="AI178">
        <f>IF(ISNUMBER(SEARCH(SUBSTITUTE(AI$1,RIGHT(AI$1,2),""),VLOOKUP($D178,素材!$1:$1016,COLUMN($F$1),FALSE))),VLOOKUP($C178,武器!$1:$998,COLUMN($O$1),FALSE)*VLOOKUP($D178,素材!$1:$1016,COLUMN($E$1),FALSE)/(LEN(VLOOKUP($D178,素材!$1:$1016,COLUMN($F$1),FALSE)) - LEN(SUBSTITUTE(VLOOKUP($D178,素材!$1:$1016,COLUMN($F$1),FALSE), "・", 0)) + 1), 0)</f>
        <v>0</v>
      </c>
      <c r="AJ178">
        <f>IF(ISNUMBER(SEARCH(SUBSTITUTE(AJ$1,RIGHT(AJ$1,2),""),VLOOKUP($D178,素材!$1:$1016,COLUMN($F$1),FALSE))),VLOOKUP($C178,武器!$1:$998,COLUMN($O$1),FALSE)*VLOOKUP($D178,素材!$1:$1016,COLUMN($E$1),FALSE)/(LEN(VLOOKUP($D178,素材!$1:$1016,COLUMN($F$1),FALSE)) - LEN(SUBSTITUTE(VLOOKUP($D178,素材!$1:$1016,COLUMN($F$1),FALSE), "・", 0)) + 1), 0)</f>
        <v>0</v>
      </c>
      <c r="AK178">
        <f>IF(ISNUMBER(SEARCH(SUBSTITUTE(AK$1,RIGHT(AK$1,2),""),VLOOKUP($D178,素材!$1:$1016,COLUMN($F$1),FALSE))),VLOOKUP($C178,武器!$1:$998,COLUMN($O$1),FALSE)*VLOOKUP($D178,素材!$1:$1016,COLUMN($E$1),FALSE)/(LEN(VLOOKUP($D178,素材!$1:$1016,COLUMN($F$1),FALSE)) - LEN(SUBSTITUTE(VLOOKUP($D178,素材!$1:$1016,COLUMN($F$1),FALSE), "・", 0)) + 1), 0)</f>
        <v>0</v>
      </c>
      <c r="AL178">
        <f>IF(ISNUMBER(SEARCH(SUBSTITUTE(AL$1,RIGHT(AL$1,2),""),VLOOKUP($D178,素材!$1:$1016,COLUMN($F$1),FALSE))),VLOOKUP($C178,武器!$1:$998,COLUMN($O$1),FALSE)*VLOOKUP($D178,素材!$1:$1016,COLUMN($E$1),FALSE)/(LEN(VLOOKUP($D178,素材!$1:$1016,COLUMN($F$1),FALSE)) - LEN(SUBSTITUTE(VLOOKUP($D178,素材!$1:$1016,COLUMN($F$1),FALSE), "・", 0)) + 1), 0)</f>
        <v>0</v>
      </c>
      <c r="AM178">
        <f>IF(ISNUMBER(SEARCH(SUBSTITUTE(AM$1,RIGHT(AM$1,2),""),VLOOKUP($D178,素材!$1:$1016,COLUMN($F$1),FALSE))),VLOOKUP($C178,武器!$1:$998,COLUMN($O$1),FALSE)*VLOOKUP($D178,素材!$1:$1016,COLUMN($E$1),FALSE)/(LEN(VLOOKUP($D178,素材!$1:$1016,COLUMN($F$1),FALSE)) - LEN(SUBSTITUTE(VLOOKUP($D178,素材!$1:$1016,COLUMN($F$1),FALSE), "・", 0)) + 1), 0)</f>
        <v>0</v>
      </c>
      <c r="AN178">
        <f>IF(ISNUMBER(SEARCH(SUBSTITUTE(AN$1,RIGHT(AN$1,2),""),VLOOKUP($D178,素材!$1:$1016,COLUMN($F$1),FALSE))),VLOOKUP($C178,武器!$1:$998,COLUMN($O$1),FALSE)*VLOOKUP($D178,素材!$1:$1016,COLUMN($E$1),FALSE)/(LEN(VLOOKUP($D178,素材!$1:$1016,COLUMN($F$1),FALSE)) - LEN(SUBSTITUTE(VLOOKUP($D178,素材!$1:$1016,COLUMN($F$1),FALSE), "・", 0)) + 1), 0)</f>
        <v>0</v>
      </c>
      <c r="AO178">
        <f>IF(ISNUMBER(SEARCH(SUBSTITUTE(AO$1,RIGHT(AO$1,2),""),VLOOKUP($D178,素材!$1:$1016,COLUMN($F$1),FALSE))),VLOOKUP($C178,武器!$1:$998,COLUMN($O$1),FALSE)*VLOOKUP($D178,素材!$1:$1016,COLUMN($E$1),FALSE)/(LEN(VLOOKUP($D178,素材!$1:$1016,COLUMN($F$1),FALSE)) - LEN(SUBSTITUTE(VLOOKUP($D178,素材!$1:$1016,COLUMN($F$1),FALSE), "・", 0)) + 1), 0)</f>
        <v>0</v>
      </c>
      <c r="AP178">
        <f>IF(ISNUMBER(SEARCH(SUBSTITUTE(AP$1,RIGHT(AP$1,2),""),VLOOKUP($D178,素材!$1:$1016,COLUMN($F$1),FALSE))),VLOOKUP($C178,武器!$1:$998,COLUMN($O$1),FALSE)*VLOOKUP($D178,素材!$1:$1016,COLUMN($E$1),FALSE)/(LEN(VLOOKUP($D178,素材!$1:$1016,COLUMN($F$1),FALSE)) - LEN(SUBSTITUTE(VLOOKUP($D178,素材!$1:$1016,COLUMN($F$1),FALSE), "・", 0)) + 1), 0)</f>
        <v>0</v>
      </c>
      <c r="AQ178">
        <f>IF(ISNUMBER(SEARCH(SUBSTITUTE(AQ$1,RIGHT(AQ$1,2),""),VLOOKUP($D178,素材!$1:$1016,COLUMN($F$1),FALSE))),VLOOKUP($C178,武器!$1:$998,COLUMN($O$1),FALSE)*VLOOKUP($D178,素材!$1:$1016,COLUMN($E$1),FALSE)/(LEN(VLOOKUP($D178,素材!$1:$1016,COLUMN($F$1),FALSE)) - LEN(SUBSTITUTE(VLOOKUP($D178,素材!$1:$1016,COLUMN($F$1),FALSE), "・", 0)) + 1), 0)</f>
        <v>0</v>
      </c>
      <c r="AR178">
        <f>IF(ISNUMBER(SEARCH(SUBSTITUTE(AR$1,RIGHT(AR$1,2),""),VLOOKUP($D178,素材!$1:$1016,COLUMN($F$1),FALSE))),VLOOKUP($C178,武器!$1:$998,COLUMN($O$1),FALSE)*VLOOKUP($D178,素材!$1:$1016,COLUMN($E$1),FALSE)/(LEN(VLOOKUP($D178,素材!$1:$1016,COLUMN($F$1),FALSE)) - LEN(SUBSTITUTE(VLOOKUP($D178,素材!$1:$1016,COLUMN($F$1),FALSE), "・", 0)) + 1), 0)</f>
        <v>0</v>
      </c>
      <c r="AS178">
        <f>IF(ISNUMBER(SEARCH(SUBSTITUTE(AS$1,RIGHT(AS$1,2),""),VLOOKUP($D178,素材!$1:$1016,COLUMN($F$1),FALSE))),VLOOKUP($C178,武器!$1:$998,COLUMN($O$1),FALSE)*VLOOKUP($D178,素材!$1:$1016,COLUMN($E$1),FALSE)/(LEN(VLOOKUP($D178,素材!$1:$1016,COLUMN($F$1),FALSE)) - LEN(SUBSTITUTE(VLOOKUP($D178,素材!$1:$1016,COLUMN($F$1),FALSE), "・", 0)) + 1), 0)</f>
        <v>0</v>
      </c>
      <c r="AT178">
        <f>IF(ISNUMBER(SEARCH(SUBSTITUTE(AT$1,RIGHT(AT$1,2),""),VLOOKUP($D178,素材!$1:$1016,COLUMN($F$1),FALSE))),VLOOKUP($C178,武器!$1:$998,COLUMN($O$1),FALSE)*VLOOKUP($D178,素材!$1:$1016,COLUMN($E$1),FALSE)/(LEN(VLOOKUP($D178,素材!$1:$1016,COLUMN($F$1),FALSE)) - LEN(SUBSTITUTE(VLOOKUP($D178,素材!$1:$1016,COLUMN($F$1),FALSE), "・", 0)) + 1), 0)</f>
        <v>0</v>
      </c>
      <c r="AU178">
        <f>IF(ISNUMBER(SEARCH(SUBSTITUTE(AU$1,RIGHT(AU$1,2),""),VLOOKUP($D178,素材!$1:$1016,COLUMN($F$1),FALSE))),VLOOKUP($C178,武器!$1:$998,COLUMN($O$1),FALSE)*VLOOKUP($D178,素材!$1:$1016,COLUMN($E$1),FALSE)/(LEN(VLOOKUP($D178,素材!$1:$1016,COLUMN($F$1),FALSE)) - LEN(SUBSTITUTE(VLOOKUP($D178,素材!$1:$1016,COLUMN($F$1),FALSE), "・", 0)) + 1), 0)</f>
        <v>0</v>
      </c>
      <c r="AV178">
        <f>IF(ISNUMBER(SEARCH(SUBSTITUTE(AV$1,RIGHT(AV$1,2),""),VLOOKUP($D178,素材!$1:$1016,COLUMN($F$1),FALSE))),VLOOKUP($C178,武器!$1:$998,COLUMN($O$1),FALSE)*VLOOKUP($D178,素材!$1:$1016,COLUMN($E$1),FALSE)/(LEN(VLOOKUP($D178,素材!$1:$1016,COLUMN($F$1),FALSE)) - LEN(SUBSTITUTE(VLOOKUP($D178,素材!$1:$1016,COLUMN($F$1),FALSE), "・", 0)) + 1), 0)</f>
        <v>0</v>
      </c>
      <c r="AW178">
        <f>IF(ISNUMBER(SEARCH(SUBSTITUTE(AW$1,RIGHT(AW$1,2),""),VLOOKUP($D178,素材!$1:$1016,COLUMN($F$1),FALSE))),VLOOKUP($C178,武器!$1:$998,COLUMN($O$1),FALSE)*VLOOKUP($D178,素材!$1:$1016,COLUMN($E$1),FALSE)/(LEN(VLOOKUP($D178,素材!$1:$1016,COLUMN($F$1),FALSE)) - LEN(SUBSTITUTE(VLOOKUP($D178,素材!$1:$1016,COLUMN($F$1),FALSE), "・", 0)) + 1), 0)</f>
        <v>0</v>
      </c>
      <c r="AX178">
        <f>IF(ISNUMBER(SEARCH(SUBSTITUTE(AX$1,RIGHT(AX$1,2),""),VLOOKUP($D178,素材!$1:$1016,COLUMN($F$1),FALSE))),VLOOKUP($C178,武器!$1:$998,COLUMN($O$1),FALSE)*VLOOKUP($D178,素材!$1:$1016,COLUMN($E$1),FALSE)/(LEN(VLOOKUP($D178,素材!$1:$1016,COLUMN($F$1),FALSE)) - LEN(SUBSTITUTE(VLOOKUP($D178,素材!$1:$1016,COLUMN($F$1),FALSE), "・", 0)) + 1), 0)</f>
        <v>0</v>
      </c>
      <c r="AY178">
        <f>IF(ISNUMBER(SEARCH(SUBSTITUTE(AY$1,RIGHT(AY$1,2),""),VLOOKUP($D178,素材!$1:$1016,COLUMN($F$1),FALSE))),VLOOKUP($C178,武器!$1:$998,COLUMN($O$1),FALSE)*VLOOKUP($D178,素材!$1:$1016,COLUMN($E$1),FALSE)/(LEN(VLOOKUP($D178,素材!$1:$1016,COLUMN($F$1),FALSE)) - LEN(SUBSTITUTE(VLOOKUP($D178,素材!$1:$1016,COLUMN($F$1),FALSE), "・", 0)) + 1), 0)</f>
        <v>0</v>
      </c>
      <c r="AZ178">
        <f>IF(ISNUMBER(SEARCH(SUBSTITUTE(AZ$1,RIGHT(AZ$1,2),""),VLOOKUP($D178,素材!$1:$1016,COLUMN($F$1),FALSE))),VLOOKUP($C178,武器!$1:$998,COLUMN($O$1),FALSE)*VLOOKUP($D178,素材!$1:$1016,COLUMN($E$1),FALSE)/(LEN(VLOOKUP($D178,素材!$1:$1016,COLUMN($F$1),FALSE)) - LEN(SUBSTITUTE(VLOOKUP($D178,素材!$1:$1016,COLUMN($F$1),FALSE), "・", 0)) + 1), 0)</f>
        <v>0</v>
      </c>
      <c r="BA178">
        <f>IF(ISNUMBER(SEARCH(SUBSTITUTE(BA$1,RIGHT(BA$1,2),""),VLOOKUP($D178,素材!$1:$1016,COLUMN($F$1),FALSE))),VLOOKUP($C178,武器!$1:$998,COLUMN($O$1),FALSE)*VLOOKUP($D178,素材!$1:$1016,COLUMN($E$1),FALSE)/(LEN(VLOOKUP($D178,素材!$1:$1016,COLUMN($F$1),FALSE)) - LEN(SUBSTITUTE(VLOOKUP($D178,素材!$1:$1016,COLUMN($F$1),FALSE), "・", 0)) + 1), 0)</f>
        <v>0</v>
      </c>
      <c r="BB178">
        <f>IF(ISNUMBER(SEARCH(SUBSTITUTE(BB$1,RIGHT(BB$1,2),""),VLOOKUP($D178,素材!$1:$1016,COLUMN($F$1),FALSE))),VLOOKUP($C178,武器!$1:$998,COLUMN($O$1),FALSE)*VLOOKUP($D178,素材!$1:$1016,COLUMN($E$1),FALSE)/(LEN(VLOOKUP($D178,素材!$1:$1016,COLUMN($F$1),FALSE)) - LEN(SUBSTITUTE(VLOOKUP($D178,素材!$1:$1016,COLUMN($F$1),FALSE), "・", 0)) + 1), 0)</f>
        <v>0</v>
      </c>
      <c r="BC178">
        <f>IF(ISNUMBER(SEARCH(SUBSTITUTE(BC$1,RIGHT(BC$1,2),""),VLOOKUP($D178,素材!$1:$1016,COLUMN($F$1),FALSE))),VLOOKUP($C178,武器!$1:$998,COLUMN($O$1),FALSE)*VLOOKUP($D178,素材!$1:$1016,COLUMN($E$1),FALSE)/(LEN(VLOOKUP($D178,素材!$1:$1016,COLUMN($F$1),FALSE)) - LEN(SUBSTITUTE(VLOOKUP($D178,素材!$1:$1016,COLUMN($F$1),FALSE), "・", 0)) + 1), 0)</f>
        <v>0</v>
      </c>
      <c r="BD178">
        <f>IF(ISNUMBER(SEARCH(SUBSTITUTE(BD$1,RIGHT(BD$1,2),""),VLOOKUP($D178,素材!$1:$1016,COLUMN($F$1),FALSE))),VLOOKUP($C178,武器!$1:$998,COLUMN($O$1),FALSE)*VLOOKUP($D178,素材!$1:$1016,COLUMN($E$1),FALSE)/(LEN(VLOOKUP($D178,素材!$1:$1016,COLUMN($F$1),FALSE)) - LEN(SUBSTITUTE(VLOOKUP($D178,素材!$1:$1016,COLUMN($F$1),FALSE), "・", 0)) + 1), 0)</f>
        <v>0</v>
      </c>
      <c r="BE178">
        <f>IF(ISNUMBER(SEARCH(SUBSTITUTE(BE$1,RIGHT(BE$1,2),""),VLOOKUP($D178,素材!$1:$1016,COLUMN($F$1),FALSE))),VLOOKUP($C178,武器!$1:$998,COLUMN($O$1),FALSE)*VLOOKUP($D178,素材!$1:$1016,COLUMN($E$1),FALSE)/(LEN(VLOOKUP($D178,素材!$1:$1016,COLUMN($F$1),FALSE)) - LEN(SUBSTITUTE(VLOOKUP($D178,素材!$1:$1016,COLUMN($F$1),FALSE), "・", 0)) + 1), 0)</f>
        <v>0</v>
      </c>
      <c r="CL178">
        <f>SUM(G178:I178)</f>
        <v>16</v>
      </c>
      <c r="CM178" s="22" t="str">
        <f>IF(E178="武器",IF(J178-1&gt;SUM(G178:I178),"盾",IF(MAX(G178:I178)=G178,"切断",IF(MAX(G178:I178)=H178,"貫通",IF(MAX(G178:I178)=I178,"打撃","射撃")))),E178)&amp;".webp"</f>
        <v>盾.webp</v>
      </c>
      <c r="CN178">
        <f>IFERROR(VLOOKUP($C178,武器!$1:$998,COLUMN(V$1),FALSE)*VLOOKUP($D178,素材!$1:$1016,COLUMN(N$1),FALSE)+IF(CI178="",0,VLOOKUP($CI178,装強!$1:$1008,COLUMN($CK$1),FALSE)),"")</f>
        <v>2250</v>
      </c>
      <c r="CO178">
        <f>VLOOKUP(D178,素材!$A:$O,COLUMN(素材!O$1),FALSE)</f>
        <v>0</v>
      </c>
      <c r="CP178" t="str">
        <f>VLOOKUP(C178,武器!$A:$W,COLUMN(武器!W$1),FALSE)</f>
        <v>丸盾。軽量で投擲にも使える盾。</v>
      </c>
      <c r="CR178" t="str">
        <f t="shared" si="18"/>
        <v>e_178</v>
      </c>
      <c r="CS178">
        <f t="shared" si="22"/>
        <v>225000</v>
      </c>
    </row>
    <row r="179" spans="1:97" outlineLevel="1" x14ac:dyDescent="0.4">
      <c r="A179" t="str">
        <f t="shared" si="27"/>
        <v>黒鋼鉄の盾</v>
      </c>
      <c r="B179" t="str">
        <f>IFERROR(VLOOKUP($D179,素材!$1:$1016,COLUMN($B$1),FALSE)&amp;"・"&amp;VLOOKUP($C179,武器!$1:$998,COLUMN(B$1),FALSE),"")</f>
        <v>ブラックスティール・シールド</v>
      </c>
      <c r="C179" t="s">
        <v>221</v>
      </c>
      <c r="D179" s="24" t="s">
        <v>244</v>
      </c>
      <c r="E179" t="str">
        <f>IFERROR(VLOOKUP(C179,武器!$1:$998,COLUMN(C$1),FALSE),"")</f>
        <v>盾</v>
      </c>
      <c r="F179">
        <f>IFERROR(ROUNDDOWN((VLOOKUP($C179,武器!$1:$998,COLUMN(D$1),FALSE)+IFERROR(VLOOKUP($CI179,装強!$1:$999,COLUMN(F$1),FALSE),0))*VLOOKUP($D179,素材!$1:$1016,COLUMN(D$1),FALSE),0),"")</f>
        <v>100</v>
      </c>
      <c r="G179">
        <f>IFERROR(ROUNDDOWN((VLOOKUP($C179,武器!$1:$998,COLUMN(E$1),FALSE)+IFERROR(VLOOKUP($CI179,装強!$1:$999,COLUMN(G$1),FALSE),0))*VLOOKUP($D179,素材!$1:$1016,COLUMN($E$1),FALSE),0),"")</f>
        <v>0</v>
      </c>
      <c r="H179">
        <f>IFERROR(ROUNDDOWN((VLOOKUP($C179,武器!$1:$998,COLUMN(F$1),FALSE)+IFERROR(VLOOKUP($CI179,装強!$1:$999,COLUMN(H$1),FALSE),0))*VLOOKUP($D179,素材!$1:$1016,COLUMN($E$1),FALSE),0),"")</f>
        <v>0</v>
      </c>
      <c r="I179">
        <f>IFERROR(ROUNDDOWN((VLOOKUP($C179,武器!$1:$998,COLUMN(G$1),FALSE)+IFERROR(VLOOKUP($CI179,装強!$1:$999,COLUMN(I$1),FALSE),0))*VLOOKUP($D179,素材!$1:$1016,COLUMN($E$1),FALSE),0),"")</f>
        <v>16</v>
      </c>
      <c r="J179">
        <f>IFERROR(ROUNDDOWN((VLOOKUP($C179,武器!$1:$998,COLUMN(H$1),FALSE)+IFERROR(VLOOKUP($CI179,装強!$1:$999,COLUMN(J$1),FALSE),0))*VLOOKUP($D179,素材!$1:$1016,COLUMN($E$1),FALSE),0),"")</f>
        <v>25</v>
      </c>
      <c r="K179">
        <f>IFERROR(ROUNDDOWN((VLOOKUP($C179,武器!$1:$998,COLUMN(I$1),FALSE)+IFERROR(VLOOKUP($CI179,装強!$1:$999,COLUMN(K$1),FALSE),0))*VLOOKUP($D179,素材!$1:$1016,COLUMN($E$1),FALSE),0),"")</f>
        <v>0</v>
      </c>
      <c r="L179" t="str">
        <f>IFERROR(VLOOKUP($D179,素材!$1:$1016,COLUMN($F$1),FALSE),"")</f>
        <v>雷</v>
      </c>
      <c r="M179">
        <f>IFERROR(VLOOKUP($C179,武器!$1:$998,COLUMN(AA$1),FALSE)*VLOOKUP($D179,素材!$1:$1016,COLUMN($G$1),FALSE),"")</f>
        <v>28</v>
      </c>
      <c r="N179">
        <f>IFERROR(VLOOKUP($C179,武器!$1:$998,COLUMN(I$1),FALSE),"")</f>
        <v>0</v>
      </c>
      <c r="O179" s="23">
        <f>IFERROR((VLOOKUP($C179,武器!$1:$998,COLUMN(K$1),FALSE)+VLOOKUP($D179,素材!$1:$1016,COLUMN(H$1),FALSE))*100+IFERROR(VLOOKUP($CI179,装強!$1:$999,COLUMN(O$1),FALSE),0),"")</f>
        <v>5</v>
      </c>
      <c r="P179" s="23">
        <f>IFERROR((VLOOKUP($C179,武器!$1:$998,COLUMN(L$1),FALSE)+VLOOKUP($D179,素材!$1:$1016,COLUMN(I$1),FALSE))*100+IFERROR(VLOOKUP($CI179,装強!$1:$999,COLUMN(P$1),FALSE),0),"")</f>
        <v>125</v>
      </c>
      <c r="Q179">
        <f>IFERROR(ROUNDUP(VLOOKUP($C179,武器!$1:$998,COLUMN(M$1),FALSE)*(VLOOKUP($D179,素材!$1:$1002,COLUMN(D$1),FALSE)/100),1),"")</f>
        <v>0</v>
      </c>
      <c r="R179">
        <f>IFERROR(ROUNDUP(VLOOKUP($C179,武器!$1:$998,COLUMN(N$1),FALSE)*(VLOOKUP($D179,素材!$1:$1002,COLUMN(D$1),FALSE)/100),1),"")</f>
        <v>0</v>
      </c>
      <c r="S179">
        <f>IFERROR(VLOOKUP($C179,武器!$1:$998,COLUMN(P$1),FALSE),"")</f>
        <v>0</v>
      </c>
      <c r="T179">
        <f>IFERROR(VLOOKUP($C179,武器!$1:$998,COLUMN(Q$1),FALSE),"")</f>
        <v>0</v>
      </c>
      <c r="U179">
        <f>IFERROR(VLOOKUP($C179,武器!$1:$998,COLUMN(R$1),FALSE),"")</f>
        <v>0</v>
      </c>
      <c r="V179">
        <f>IFERROR(VLOOKUP($C179,武器!$1:$998,COLUMN(Q$1),FALSE),"")</f>
        <v>0</v>
      </c>
      <c r="W179" t="str">
        <f>IFERROR(VLOOKUP($C179,武器!$1:$998,COLUMN(T$1),FALSE),"")</f>
        <v>A</v>
      </c>
      <c r="Y179" t="str">
        <f>IFERROR(VLOOKUP($C179,武器!$1:$998,COLUMN(U$1),FALSE),"")</f>
        <v>片手適性Ⅱ</v>
      </c>
      <c r="Z179">
        <f>IFERROR(ROUNDUP(VLOOKUP($C179,武器!$1:$998,COLUMN(O$1),FALSE)*VLOOKUP($D179,素材!$1:$1016,COLUMN(E$1),FALSE),1),"")</f>
        <v>0</v>
      </c>
      <c r="AA179">
        <f>IF(ISNUMBER(SEARCH(SUBSTITUTE(AA$1,RIGHT(AA$1,2),""),VLOOKUP($D179,素材!$1:$1016,COLUMN($F$1),FALSE))),VLOOKUP($C179,武器!$1:$998,COLUMN($O$1),FALSE)*VLOOKUP($D179,素材!$1:$1016,COLUMN($E$1),FALSE)/(LEN(VLOOKUP($D179,素材!$1:$1016,COLUMN($F$1),FALSE)) - LEN(SUBSTITUTE(VLOOKUP($D179,素材!$1:$1016,COLUMN($F$1),FALSE), "・", 0)) + 1), 0)</f>
        <v>0</v>
      </c>
      <c r="AB179">
        <f>IF(ISNUMBER(SEARCH(SUBSTITUTE(AB$1,RIGHT(AB$1,2),""),VLOOKUP($D179,素材!$1:$1016,COLUMN($F$1),FALSE))),VLOOKUP($C179,武器!$1:$998,COLUMN($O$1),FALSE)*VLOOKUP($D179,素材!$1:$1016,COLUMN($E$1),FALSE)/(LEN(VLOOKUP($D179,素材!$1:$1016,COLUMN($F$1),FALSE)) - LEN(SUBSTITUTE(VLOOKUP($D179,素材!$1:$1016,COLUMN($F$1),FALSE), "・", 0)) + 1), 0)</f>
        <v>0</v>
      </c>
      <c r="AC179">
        <f>IF(ISNUMBER(SEARCH(SUBSTITUTE(AC$1,RIGHT(AC$1,2),""),VLOOKUP($D179,素材!$1:$1016,COLUMN($F$1),FALSE))),VLOOKUP($C179,武器!$1:$998,COLUMN($O$1),FALSE)*VLOOKUP($D179,素材!$1:$1016,COLUMN($E$1),FALSE)/(LEN(VLOOKUP($D179,素材!$1:$1016,COLUMN($F$1),FALSE)) - LEN(SUBSTITUTE(VLOOKUP($D179,素材!$1:$1016,COLUMN($F$1),FALSE), "・", 0)) + 1), 0)</f>
        <v>0</v>
      </c>
      <c r="AD179">
        <f>IF(ISNUMBER(SEARCH(SUBSTITUTE(AD$1,RIGHT(AD$1,2),""),VLOOKUP($D179,素材!$1:$1016,COLUMN($F$1),FALSE))),VLOOKUP($C179,武器!$1:$998,COLUMN($O$1),FALSE)*VLOOKUP($D179,素材!$1:$1016,COLUMN($E$1),FALSE)/(LEN(VLOOKUP($D179,素材!$1:$1016,COLUMN($F$1),FALSE)) - LEN(SUBSTITUTE(VLOOKUP($D179,素材!$1:$1016,COLUMN($F$1),FALSE), "・", 0)) + 1), 0)</f>
        <v>0</v>
      </c>
      <c r="AE179">
        <f>IF(ISNUMBER(SEARCH(SUBSTITUTE(AE$1,RIGHT(AE$1,2),""),VLOOKUP($D179,素材!$1:$1016,COLUMN($F$1),FALSE))),VLOOKUP($C179,武器!$1:$998,COLUMN($O$1),FALSE)*VLOOKUP($D179,素材!$1:$1016,COLUMN($E$1),FALSE)/(LEN(VLOOKUP($D179,素材!$1:$1016,COLUMN($F$1),FALSE)) - LEN(SUBSTITUTE(VLOOKUP($D179,素材!$1:$1016,COLUMN($F$1),FALSE), "・", 0)) + 1), 0)</f>
        <v>0</v>
      </c>
      <c r="AF179">
        <f>IF(ISNUMBER(SEARCH(SUBSTITUTE(AF$1,RIGHT(AF$1,2),""),VLOOKUP($D179,素材!$1:$1016,COLUMN($F$1),FALSE))),VLOOKUP($C179,武器!$1:$998,COLUMN($O$1),FALSE)*VLOOKUP($D179,素材!$1:$1016,COLUMN($E$1),FALSE)/(LEN(VLOOKUP($D179,素材!$1:$1016,COLUMN($F$1),FALSE)) - LEN(SUBSTITUTE(VLOOKUP($D179,素材!$1:$1016,COLUMN($F$1),FALSE), "・", 0)) + 1), 0)</f>
        <v>0</v>
      </c>
      <c r="AG179">
        <f>IF(ISNUMBER(SEARCH(SUBSTITUTE(AG$1,RIGHT(AG$1,2),""),VLOOKUP($D179,素材!$1:$1016,COLUMN($F$1),FALSE))),VLOOKUP($C179,武器!$1:$998,COLUMN($O$1),FALSE)*VLOOKUP($D179,素材!$1:$1016,COLUMN($E$1),FALSE)/(LEN(VLOOKUP($D179,素材!$1:$1016,COLUMN($F$1),FALSE)) - LEN(SUBSTITUTE(VLOOKUP($D179,素材!$1:$1016,COLUMN($F$1),FALSE), "・", 0)) + 1), 0)</f>
        <v>0</v>
      </c>
      <c r="AH179">
        <f>IF(ISNUMBER(SEARCH(SUBSTITUTE(AH$1,RIGHT(AH$1,2),""),VLOOKUP($D179,素材!$1:$1016,COLUMN($F$1),FALSE))),VLOOKUP($C179,武器!$1:$998,COLUMN($O$1),FALSE)*VLOOKUP($D179,素材!$1:$1016,COLUMN($E$1),FALSE)/(LEN(VLOOKUP($D179,素材!$1:$1016,COLUMN($F$1),FALSE)) - LEN(SUBSTITUTE(VLOOKUP($D179,素材!$1:$1016,COLUMN($F$1),FALSE), "・", 0)) + 1), 0)</f>
        <v>0</v>
      </c>
      <c r="AI179">
        <f>IF(ISNUMBER(SEARCH(SUBSTITUTE(AI$1,RIGHT(AI$1,2),""),VLOOKUP($D179,素材!$1:$1016,COLUMN($F$1),FALSE))),VLOOKUP($C179,武器!$1:$998,COLUMN($O$1),FALSE)*VLOOKUP($D179,素材!$1:$1016,COLUMN($E$1),FALSE)/(LEN(VLOOKUP($D179,素材!$1:$1016,COLUMN($F$1),FALSE)) - LEN(SUBSTITUTE(VLOOKUP($D179,素材!$1:$1016,COLUMN($F$1),FALSE), "・", 0)) + 1), 0)</f>
        <v>0</v>
      </c>
      <c r="AJ179">
        <f>IF(ISNUMBER(SEARCH(SUBSTITUTE(AJ$1,RIGHT(AJ$1,2),""),VLOOKUP($D179,素材!$1:$1016,COLUMN($F$1),FALSE))),VLOOKUP($C179,武器!$1:$998,COLUMN($O$1),FALSE)*VLOOKUP($D179,素材!$1:$1016,COLUMN($E$1),FALSE)/(LEN(VLOOKUP($D179,素材!$1:$1016,COLUMN($F$1),FALSE)) - LEN(SUBSTITUTE(VLOOKUP($D179,素材!$1:$1016,COLUMN($F$1),FALSE), "・", 0)) + 1), 0)</f>
        <v>0</v>
      </c>
      <c r="AK179">
        <f>IF(ISNUMBER(SEARCH(SUBSTITUTE(AK$1,RIGHT(AK$1,2),""),VLOOKUP($D179,素材!$1:$1016,COLUMN($F$1),FALSE))),VLOOKUP($C179,武器!$1:$998,COLUMN($O$1),FALSE)*VLOOKUP($D179,素材!$1:$1016,COLUMN($E$1),FALSE)/(LEN(VLOOKUP($D179,素材!$1:$1016,COLUMN($F$1),FALSE)) - LEN(SUBSTITUTE(VLOOKUP($D179,素材!$1:$1016,COLUMN($F$1),FALSE), "・", 0)) + 1), 0)</f>
        <v>0</v>
      </c>
      <c r="AL179">
        <f>IF(ISNUMBER(SEARCH(SUBSTITUTE(AL$1,RIGHT(AL$1,2),""),VLOOKUP($D179,素材!$1:$1016,COLUMN($F$1),FALSE))),VLOOKUP($C179,武器!$1:$998,COLUMN($O$1),FALSE)*VLOOKUP($D179,素材!$1:$1016,COLUMN($E$1),FALSE)/(LEN(VLOOKUP($D179,素材!$1:$1016,COLUMN($F$1),FALSE)) - LEN(SUBSTITUTE(VLOOKUP($D179,素材!$1:$1016,COLUMN($F$1),FALSE), "・", 0)) + 1), 0)</f>
        <v>0</v>
      </c>
      <c r="AM179">
        <f>IF(ISNUMBER(SEARCH(SUBSTITUTE(AM$1,RIGHT(AM$1,2),""),VLOOKUP($D179,素材!$1:$1016,COLUMN($F$1),FALSE))),VLOOKUP($C179,武器!$1:$998,COLUMN($O$1),FALSE)*VLOOKUP($D179,素材!$1:$1016,COLUMN($E$1),FALSE)/(LEN(VLOOKUP($D179,素材!$1:$1016,COLUMN($F$1),FALSE)) - LEN(SUBSTITUTE(VLOOKUP($D179,素材!$1:$1016,COLUMN($F$1),FALSE), "・", 0)) + 1), 0)</f>
        <v>0</v>
      </c>
      <c r="AN179">
        <f>IF(ISNUMBER(SEARCH(SUBSTITUTE(AN$1,RIGHT(AN$1,2),""),VLOOKUP($D179,素材!$1:$1016,COLUMN($F$1),FALSE))),VLOOKUP($C179,武器!$1:$998,COLUMN($O$1),FALSE)*VLOOKUP($D179,素材!$1:$1016,COLUMN($E$1),FALSE)/(LEN(VLOOKUP($D179,素材!$1:$1016,COLUMN($F$1),FALSE)) - LEN(SUBSTITUTE(VLOOKUP($D179,素材!$1:$1016,COLUMN($F$1),FALSE), "・", 0)) + 1), 0)</f>
        <v>0</v>
      </c>
      <c r="AO179">
        <f>IF(ISNUMBER(SEARCH(SUBSTITUTE(AO$1,RIGHT(AO$1,2),""),VLOOKUP($D179,素材!$1:$1016,COLUMN($F$1),FALSE))),VLOOKUP($C179,武器!$1:$998,COLUMN($O$1),FALSE)*VLOOKUP($D179,素材!$1:$1016,COLUMN($E$1),FALSE)/(LEN(VLOOKUP($D179,素材!$1:$1016,COLUMN($F$1),FALSE)) - LEN(SUBSTITUTE(VLOOKUP($D179,素材!$1:$1016,COLUMN($F$1),FALSE), "・", 0)) + 1), 0)</f>
        <v>0</v>
      </c>
      <c r="AP179">
        <f>IF(ISNUMBER(SEARCH(SUBSTITUTE(AP$1,RIGHT(AP$1,2),""),VLOOKUP($D179,素材!$1:$1016,COLUMN($F$1),FALSE))),VLOOKUP($C179,武器!$1:$998,COLUMN($O$1),FALSE)*VLOOKUP($D179,素材!$1:$1016,COLUMN($E$1),FALSE)/(LEN(VLOOKUP($D179,素材!$1:$1016,COLUMN($F$1),FALSE)) - LEN(SUBSTITUTE(VLOOKUP($D179,素材!$1:$1016,COLUMN($F$1),FALSE), "・", 0)) + 1), 0)</f>
        <v>0</v>
      </c>
      <c r="AQ179">
        <f>IF(ISNUMBER(SEARCH(SUBSTITUTE(AQ$1,RIGHT(AQ$1,2),""),VLOOKUP($D179,素材!$1:$1016,COLUMN($F$1),FALSE))),VLOOKUP($C179,武器!$1:$998,COLUMN($O$1),FALSE)*VLOOKUP($D179,素材!$1:$1016,COLUMN($E$1),FALSE)/(LEN(VLOOKUP($D179,素材!$1:$1016,COLUMN($F$1),FALSE)) - LEN(SUBSTITUTE(VLOOKUP($D179,素材!$1:$1016,COLUMN($F$1),FALSE), "・", 0)) + 1), 0)</f>
        <v>0</v>
      </c>
      <c r="AR179">
        <f>IF(ISNUMBER(SEARCH(SUBSTITUTE(AR$1,RIGHT(AR$1,2),""),VLOOKUP($D179,素材!$1:$1016,COLUMN($F$1),FALSE))),VLOOKUP($C179,武器!$1:$998,COLUMN($O$1),FALSE)*VLOOKUP($D179,素材!$1:$1016,COLUMN($E$1),FALSE)/(LEN(VLOOKUP($D179,素材!$1:$1016,COLUMN($F$1),FALSE)) - LEN(SUBSTITUTE(VLOOKUP($D179,素材!$1:$1016,COLUMN($F$1),FALSE), "・", 0)) + 1), 0)</f>
        <v>0</v>
      </c>
      <c r="AS179">
        <f>IF(ISNUMBER(SEARCH(SUBSTITUTE(AS$1,RIGHT(AS$1,2),""),VLOOKUP($D179,素材!$1:$1016,COLUMN($F$1),FALSE))),VLOOKUP($C179,武器!$1:$998,COLUMN($O$1),FALSE)*VLOOKUP($D179,素材!$1:$1016,COLUMN($E$1),FALSE)/(LEN(VLOOKUP($D179,素材!$1:$1016,COLUMN($F$1),FALSE)) - LEN(SUBSTITUTE(VLOOKUP($D179,素材!$1:$1016,COLUMN($F$1),FALSE), "・", 0)) + 1), 0)</f>
        <v>0</v>
      </c>
      <c r="AT179">
        <f>IF(ISNUMBER(SEARCH(SUBSTITUTE(AT$1,RIGHT(AT$1,2),""),VLOOKUP($D179,素材!$1:$1016,COLUMN($F$1),FALSE))),VLOOKUP($C179,武器!$1:$998,COLUMN($O$1),FALSE)*VLOOKUP($D179,素材!$1:$1016,COLUMN($E$1),FALSE)/(LEN(VLOOKUP($D179,素材!$1:$1016,COLUMN($F$1),FALSE)) - LEN(SUBSTITUTE(VLOOKUP($D179,素材!$1:$1016,COLUMN($F$1),FALSE), "・", 0)) + 1), 0)</f>
        <v>0</v>
      </c>
      <c r="AU179">
        <f>IF(ISNUMBER(SEARCH(SUBSTITUTE(AU$1,RIGHT(AU$1,2),""),VLOOKUP($D179,素材!$1:$1016,COLUMN($F$1),FALSE))),VLOOKUP($C179,武器!$1:$998,COLUMN($O$1),FALSE)*VLOOKUP($D179,素材!$1:$1016,COLUMN($E$1),FALSE)/(LEN(VLOOKUP($D179,素材!$1:$1016,COLUMN($F$1),FALSE)) - LEN(SUBSTITUTE(VLOOKUP($D179,素材!$1:$1016,COLUMN($F$1),FALSE), "・", 0)) + 1), 0)</f>
        <v>0</v>
      </c>
      <c r="AV179">
        <f>IF(ISNUMBER(SEARCH(SUBSTITUTE(AV$1,RIGHT(AV$1,2),""),VLOOKUP($D179,素材!$1:$1016,COLUMN($F$1),FALSE))),VLOOKUP($C179,武器!$1:$998,COLUMN($O$1),FALSE)*VLOOKUP($D179,素材!$1:$1016,COLUMN($E$1),FALSE)/(LEN(VLOOKUP($D179,素材!$1:$1016,COLUMN($F$1),FALSE)) - LEN(SUBSTITUTE(VLOOKUP($D179,素材!$1:$1016,COLUMN($F$1),FALSE), "・", 0)) + 1), 0)</f>
        <v>0</v>
      </c>
      <c r="AW179">
        <f>IF(ISNUMBER(SEARCH(SUBSTITUTE(AW$1,RIGHT(AW$1,2),""),VLOOKUP($D179,素材!$1:$1016,COLUMN($F$1),FALSE))),VLOOKUP($C179,武器!$1:$998,COLUMN($O$1),FALSE)*VLOOKUP($D179,素材!$1:$1016,COLUMN($E$1),FALSE)/(LEN(VLOOKUP($D179,素材!$1:$1016,COLUMN($F$1),FALSE)) - LEN(SUBSTITUTE(VLOOKUP($D179,素材!$1:$1016,COLUMN($F$1),FALSE), "・", 0)) + 1), 0)</f>
        <v>0</v>
      </c>
      <c r="AX179">
        <f>IF(ISNUMBER(SEARCH(SUBSTITUTE(AX$1,RIGHT(AX$1,2),""),VLOOKUP($D179,素材!$1:$1016,COLUMN($F$1),FALSE))),VLOOKUP($C179,武器!$1:$998,COLUMN($O$1),FALSE)*VLOOKUP($D179,素材!$1:$1016,COLUMN($E$1),FALSE)/(LEN(VLOOKUP($D179,素材!$1:$1016,COLUMN($F$1),FALSE)) - LEN(SUBSTITUTE(VLOOKUP($D179,素材!$1:$1016,COLUMN($F$1),FALSE), "・", 0)) + 1), 0)</f>
        <v>0</v>
      </c>
      <c r="AY179">
        <f>IF(ISNUMBER(SEARCH(SUBSTITUTE(AY$1,RIGHT(AY$1,2),""),VLOOKUP($D179,素材!$1:$1016,COLUMN($F$1),FALSE))),VLOOKUP($C179,武器!$1:$998,COLUMN($O$1),FALSE)*VLOOKUP($D179,素材!$1:$1016,COLUMN($E$1),FALSE)/(LEN(VLOOKUP($D179,素材!$1:$1016,COLUMN($F$1),FALSE)) - LEN(SUBSTITUTE(VLOOKUP($D179,素材!$1:$1016,COLUMN($F$1),FALSE), "・", 0)) + 1), 0)</f>
        <v>0</v>
      </c>
      <c r="AZ179">
        <f>IF(ISNUMBER(SEARCH(SUBSTITUTE(AZ$1,RIGHT(AZ$1,2),""),VLOOKUP($D179,素材!$1:$1016,COLUMN($F$1),FALSE))),VLOOKUP($C179,武器!$1:$998,COLUMN($O$1),FALSE)*VLOOKUP($D179,素材!$1:$1016,COLUMN($E$1),FALSE)/(LEN(VLOOKUP($D179,素材!$1:$1016,COLUMN($F$1),FALSE)) - LEN(SUBSTITUTE(VLOOKUP($D179,素材!$1:$1016,COLUMN($F$1),FALSE), "・", 0)) + 1), 0)</f>
        <v>0</v>
      </c>
      <c r="BA179">
        <f>IF(ISNUMBER(SEARCH(SUBSTITUTE(BA$1,RIGHT(BA$1,2),""),VLOOKUP($D179,素材!$1:$1016,COLUMN($F$1),FALSE))),VLOOKUP($C179,武器!$1:$998,COLUMN($O$1),FALSE)*VLOOKUP($D179,素材!$1:$1016,COLUMN($E$1),FALSE)/(LEN(VLOOKUP($D179,素材!$1:$1016,COLUMN($F$1),FALSE)) - LEN(SUBSTITUTE(VLOOKUP($D179,素材!$1:$1016,COLUMN($F$1),FALSE), "・", 0)) + 1), 0)</f>
        <v>0</v>
      </c>
      <c r="BB179">
        <f>IF(ISNUMBER(SEARCH(SUBSTITUTE(BB$1,RIGHT(BB$1,2),""),VLOOKUP($D179,素材!$1:$1016,COLUMN($F$1),FALSE))),VLOOKUP($C179,武器!$1:$998,COLUMN($O$1),FALSE)*VLOOKUP($D179,素材!$1:$1016,COLUMN($E$1),FALSE)/(LEN(VLOOKUP($D179,素材!$1:$1016,COLUMN($F$1),FALSE)) - LEN(SUBSTITUTE(VLOOKUP($D179,素材!$1:$1016,COLUMN($F$1),FALSE), "・", 0)) + 1), 0)</f>
        <v>0</v>
      </c>
      <c r="BC179">
        <f>IF(ISNUMBER(SEARCH(SUBSTITUTE(BC$1,RIGHT(BC$1,2),""),VLOOKUP($D179,素材!$1:$1016,COLUMN($F$1),FALSE))),VLOOKUP($C179,武器!$1:$998,COLUMN($O$1),FALSE)*VLOOKUP($D179,素材!$1:$1016,COLUMN($E$1),FALSE)/(LEN(VLOOKUP($D179,素材!$1:$1016,COLUMN($F$1),FALSE)) - LEN(SUBSTITUTE(VLOOKUP($D179,素材!$1:$1016,COLUMN($F$1),FALSE), "・", 0)) + 1), 0)</f>
        <v>0</v>
      </c>
      <c r="BD179">
        <f>IF(ISNUMBER(SEARCH(SUBSTITUTE(BD$1,RIGHT(BD$1,2),""),VLOOKUP($D179,素材!$1:$1016,COLUMN($F$1),FALSE))),VLOOKUP($C179,武器!$1:$998,COLUMN($O$1),FALSE)*VLOOKUP($D179,素材!$1:$1016,COLUMN($E$1),FALSE)/(LEN(VLOOKUP($D179,素材!$1:$1016,COLUMN($F$1),FALSE)) - LEN(SUBSTITUTE(VLOOKUP($D179,素材!$1:$1016,COLUMN($F$1),FALSE), "・", 0)) + 1), 0)</f>
        <v>0</v>
      </c>
      <c r="BE179">
        <f>IF(ISNUMBER(SEARCH(SUBSTITUTE(BE$1,RIGHT(BE$1,2),""),VLOOKUP($D179,素材!$1:$1016,COLUMN($F$1),FALSE))),VLOOKUP($C179,武器!$1:$998,COLUMN($O$1),FALSE)*VLOOKUP($D179,素材!$1:$1016,COLUMN($E$1),FALSE)/(LEN(VLOOKUP($D179,素材!$1:$1016,COLUMN($F$1),FALSE)) - LEN(SUBSTITUTE(VLOOKUP($D179,素材!$1:$1016,COLUMN($F$1),FALSE), "・", 0)) + 1), 0)</f>
        <v>0</v>
      </c>
      <c r="CL179">
        <f>SUM(G179:I179)</f>
        <v>16</v>
      </c>
      <c r="CM179" s="22" t="str">
        <f>IF(E179="武器",IF(J179-1&gt;SUM(G179:I179),"盾",IF(MAX(G179:I179)=G179,"切断",IF(MAX(G179:I179)=H179,"貫通",IF(MAX(G179:I179)=I179,"打撃","射撃")))),E179)&amp;".webp"</f>
        <v>盾.webp</v>
      </c>
      <c r="CN179">
        <f>IFERROR(VLOOKUP($C179,武器!$1:$998,COLUMN(V$1),FALSE)*VLOOKUP($D179,素材!$1:$1016,COLUMN(N$1),FALSE)+IF(CI179="",0,VLOOKUP($CI179,装強!$1:$1008,COLUMN($CK$1),FALSE)),"")</f>
        <v>2250</v>
      </c>
      <c r="CO179">
        <f>VLOOKUP(D179,素材!$A:$O,COLUMN(素材!O$1),FALSE)</f>
        <v>0</v>
      </c>
      <c r="CP179" t="str">
        <f>VLOOKUP(C179,武器!$A:$W,COLUMN(武器!W$1),FALSE)</f>
        <v>盾。防御力が高く、汎用性がある防具。</v>
      </c>
      <c r="CR179" t="str">
        <f t="shared" si="18"/>
        <v>e_179</v>
      </c>
      <c r="CS179">
        <f t="shared" si="22"/>
        <v>225000</v>
      </c>
    </row>
    <row r="180" spans="1:97" outlineLevel="1" x14ac:dyDescent="0.4">
      <c r="A180" t="str">
        <f t="shared" si="27"/>
        <v>黒鋼鉄の丸大盾</v>
      </c>
      <c r="B180" t="str">
        <f>IFERROR(VLOOKUP($D180,素材!$1:$1016,COLUMN($B$1),FALSE)&amp;"・"&amp;VLOOKUP($C180,武器!$1:$998,COLUMN(B$1),FALSE),"")</f>
        <v>ブラックスティール・ラウンドシールド</v>
      </c>
      <c r="C180" t="s">
        <v>220</v>
      </c>
      <c r="D180" s="24" t="s">
        <v>244</v>
      </c>
      <c r="E180" t="str">
        <f>IFERROR(VLOOKUP(C180,武器!$1:$998,COLUMN(C$1),FALSE),"")</f>
        <v>盾</v>
      </c>
      <c r="F180">
        <f>IFERROR(ROUNDDOWN((VLOOKUP($C180,武器!$1:$998,COLUMN(D$1),FALSE)+IFERROR(VLOOKUP($CI180,装強!$1:$999,COLUMN(F$1),FALSE),0))*VLOOKUP($D180,素材!$1:$1016,COLUMN(D$1),FALSE),0),"")</f>
        <v>110</v>
      </c>
      <c r="G180">
        <f>IFERROR(ROUNDDOWN((VLOOKUP($C180,武器!$1:$998,COLUMN(E$1),FALSE)+IFERROR(VLOOKUP($CI180,装強!$1:$999,COLUMN(G$1),FALSE),0))*VLOOKUP($D180,素材!$1:$1016,COLUMN($E$1),FALSE),0),"")</f>
        <v>9</v>
      </c>
      <c r="H180">
        <f>IFERROR(ROUNDDOWN((VLOOKUP($C180,武器!$1:$998,COLUMN(F$1),FALSE)+IFERROR(VLOOKUP($CI180,装強!$1:$999,COLUMN(H$1),FALSE),0))*VLOOKUP($D180,素材!$1:$1016,COLUMN($E$1),FALSE),0),"")</f>
        <v>0</v>
      </c>
      <c r="I180">
        <f>IFERROR(ROUNDDOWN((VLOOKUP($C180,武器!$1:$998,COLUMN(G$1),FALSE)+IFERROR(VLOOKUP($CI180,装強!$1:$999,COLUMN(I$1),FALSE),0))*VLOOKUP($D180,素材!$1:$1016,COLUMN($E$1),FALSE),0),"")</f>
        <v>9</v>
      </c>
      <c r="J180">
        <f>IFERROR(ROUNDDOWN((VLOOKUP($C180,武器!$1:$998,COLUMN(H$1),FALSE)+IFERROR(VLOOKUP($CI180,装強!$1:$999,COLUMN(J$1),FALSE),0))*VLOOKUP($D180,素材!$1:$1016,COLUMN($E$1),FALSE),0),"")</f>
        <v>25</v>
      </c>
      <c r="K180">
        <f>IFERROR(ROUNDDOWN((VLOOKUP($C180,武器!$1:$998,COLUMN(I$1),FALSE)+IFERROR(VLOOKUP($CI180,装強!$1:$999,COLUMN(K$1),FALSE),0))*VLOOKUP($D180,素材!$1:$1016,COLUMN($E$1),FALSE),0),"")</f>
        <v>0</v>
      </c>
      <c r="L180" t="str">
        <f>IFERROR(VLOOKUP($D180,素材!$1:$1016,COLUMN($F$1),FALSE),"")</f>
        <v>雷</v>
      </c>
      <c r="M180">
        <f>IFERROR(VLOOKUP($C180,武器!$1:$998,COLUMN(AA$1),FALSE)*VLOOKUP($D180,素材!$1:$1016,COLUMN($G$1),FALSE),"")</f>
        <v>31.5</v>
      </c>
      <c r="N180">
        <f>IFERROR(VLOOKUP($C180,武器!$1:$998,COLUMN(I$1),FALSE),"")</f>
        <v>0</v>
      </c>
      <c r="O180" s="23">
        <f>IFERROR((VLOOKUP($C180,武器!$1:$998,COLUMN(K$1),FALSE)+VLOOKUP($D180,素材!$1:$1016,COLUMN(H$1),FALSE))*100+IFERROR(VLOOKUP($CI180,装強!$1:$999,COLUMN(O$1),FALSE),0),"")</f>
        <v>5</v>
      </c>
      <c r="P180" s="23">
        <f>IFERROR((VLOOKUP($C180,武器!$1:$998,COLUMN(L$1),FALSE)+VLOOKUP($D180,素材!$1:$1016,COLUMN(I$1),FALSE))*100+IFERROR(VLOOKUP($CI180,装強!$1:$999,COLUMN(P$1),FALSE),0),"")</f>
        <v>125</v>
      </c>
      <c r="Q180">
        <f>IFERROR(ROUNDUP(VLOOKUP($C180,武器!$1:$998,COLUMN(M$1),FALSE)*(VLOOKUP($D180,素材!$1:$1002,COLUMN(D$1),FALSE)/100),1),"")</f>
        <v>-5</v>
      </c>
      <c r="R180">
        <f>IFERROR(ROUNDUP(VLOOKUP($C180,武器!$1:$998,COLUMN(N$1),FALSE)*(VLOOKUP($D180,素材!$1:$1002,COLUMN(D$1),FALSE)/100),1),"")</f>
        <v>0</v>
      </c>
      <c r="S180">
        <f>IFERROR(VLOOKUP($C180,武器!$1:$998,COLUMN(P$1),FALSE),"")</f>
        <v>0</v>
      </c>
      <c r="T180">
        <f>IFERROR(VLOOKUP($C180,武器!$1:$998,COLUMN(Q$1),FALSE),"")</f>
        <v>0</v>
      </c>
      <c r="U180">
        <f>IFERROR(VLOOKUP($C180,武器!$1:$998,COLUMN(R$1),FALSE),"")</f>
        <v>0</v>
      </c>
      <c r="V180">
        <f>IFERROR(VLOOKUP($C180,武器!$1:$998,COLUMN(Q$1),FALSE),"")</f>
        <v>0</v>
      </c>
      <c r="W180" t="str">
        <f>IFERROR(VLOOKUP($C180,武器!$1:$998,COLUMN(T$1),FALSE),"")</f>
        <v>A</v>
      </c>
      <c r="Y180" t="str">
        <f>IFERROR(VLOOKUP($C180,武器!$1:$998,COLUMN(U$1),FALSE),"")</f>
        <v>投擲強化,片手適正Ⅰ</v>
      </c>
      <c r="Z180">
        <f>IFERROR(ROUNDUP(VLOOKUP($C180,武器!$1:$998,COLUMN(O$1),FALSE)*VLOOKUP($D180,素材!$1:$1016,COLUMN(E$1),FALSE),1),"")</f>
        <v>0</v>
      </c>
      <c r="AA180">
        <f>IF(ISNUMBER(SEARCH(SUBSTITUTE(AA$1,RIGHT(AA$1,2),""),VLOOKUP($D180,素材!$1:$1016,COLUMN($F$1),FALSE))),VLOOKUP($C180,武器!$1:$998,COLUMN($O$1),FALSE)*VLOOKUP($D180,素材!$1:$1016,COLUMN($E$1),FALSE)/(LEN(VLOOKUP($D180,素材!$1:$1016,COLUMN($F$1),FALSE)) - LEN(SUBSTITUTE(VLOOKUP($D180,素材!$1:$1016,COLUMN($F$1),FALSE), "・", 0)) + 1), 0)</f>
        <v>0</v>
      </c>
      <c r="AB180">
        <f>IF(ISNUMBER(SEARCH(SUBSTITUTE(AB$1,RIGHT(AB$1,2),""),VLOOKUP($D180,素材!$1:$1016,COLUMN($F$1),FALSE))),VLOOKUP($C180,武器!$1:$998,COLUMN($O$1),FALSE)*VLOOKUP($D180,素材!$1:$1016,COLUMN($E$1),FALSE)/(LEN(VLOOKUP($D180,素材!$1:$1016,COLUMN($F$1),FALSE)) - LEN(SUBSTITUTE(VLOOKUP($D180,素材!$1:$1016,COLUMN($F$1),FALSE), "・", 0)) + 1), 0)</f>
        <v>0</v>
      </c>
      <c r="AC180">
        <f>IF(ISNUMBER(SEARCH(SUBSTITUTE(AC$1,RIGHT(AC$1,2),""),VLOOKUP($D180,素材!$1:$1016,COLUMN($F$1),FALSE))),VLOOKUP($C180,武器!$1:$998,COLUMN($O$1),FALSE)*VLOOKUP($D180,素材!$1:$1016,COLUMN($E$1),FALSE)/(LEN(VLOOKUP($D180,素材!$1:$1016,COLUMN($F$1),FALSE)) - LEN(SUBSTITUTE(VLOOKUP($D180,素材!$1:$1016,COLUMN($F$1),FALSE), "・", 0)) + 1), 0)</f>
        <v>0</v>
      </c>
      <c r="AD180">
        <f>IF(ISNUMBER(SEARCH(SUBSTITUTE(AD$1,RIGHT(AD$1,2),""),VLOOKUP($D180,素材!$1:$1016,COLUMN($F$1),FALSE))),VLOOKUP($C180,武器!$1:$998,COLUMN($O$1),FALSE)*VLOOKUP($D180,素材!$1:$1016,COLUMN($E$1),FALSE)/(LEN(VLOOKUP($D180,素材!$1:$1016,COLUMN($F$1),FALSE)) - LEN(SUBSTITUTE(VLOOKUP($D180,素材!$1:$1016,COLUMN($F$1),FALSE), "・", 0)) + 1), 0)</f>
        <v>0</v>
      </c>
      <c r="AE180">
        <f>IF(ISNUMBER(SEARCH(SUBSTITUTE(AE$1,RIGHT(AE$1,2),""),VLOOKUP($D180,素材!$1:$1016,COLUMN($F$1),FALSE))),VLOOKUP($C180,武器!$1:$998,COLUMN($O$1),FALSE)*VLOOKUP($D180,素材!$1:$1016,COLUMN($E$1),FALSE)/(LEN(VLOOKUP($D180,素材!$1:$1016,COLUMN($F$1),FALSE)) - LEN(SUBSTITUTE(VLOOKUP($D180,素材!$1:$1016,COLUMN($F$1),FALSE), "・", 0)) + 1), 0)</f>
        <v>0</v>
      </c>
      <c r="AF180">
        <f>IF(ISNUMBER(SEARCH(SUBSTITUTE(AF$1,RIGHT(AF$1,2),""),VLOOKUP($D180,素材!$1:$1016,COLUMN($F$1),FALSE))),VLOOKUP($C180,武器!$1:$998,COLUMN($O$1),FALSE)*VLOOKUP($D180,素材!$1:$1016,COLUMN($E$1),FALSE)/(LEN(VLOOKUP($D180,素材!$1:$1016,COLUMN($F$1),FALSE)) - LEN(SUBSTITUTE(VLOOKUP($D180,素材!$1:$1016,COLUMN($F$1),FALSE), "・", 0)) + 1), 0)</f>
        <v>0</v>
      </c>
      <c r="AG180">
        <f>IF(ISNUMBER(SEARCH(SUBSTITUTE(AG$1,RIGHT(AG$1,2),""),VLOOKUP($D180,素材!$1:$1016,COLUMN($F$1),FALSE))),VLOOKUP($C180,武器!$1:$998,COLUMN($O$1),FALSE)*VLOOKUP($D180,素材!$1:$1016,COLUMN($E$1),FALSE)/(LEN(VLOOKUP($D180,素材!$1:$1016,COLUMN($F$1),FALSE)) - LEN(SUBSTITUTE(VLOOKUP($D180,素材!$1:$1016,COLUMN($F$1),FALSE), "・", 0)) + 1), 0)</f>
        <v>0</v>
      </c>
      <c r="AH180">
        <f>IF(ISNUMBER(SEARCH(SUBSTITUTE(AH$1,RIGHT(AH$1,2),""),VLOOKUP($D180,素材!$1:$1016,COLUMN($F$1),FALSE))),VLOOKUP($C180,武器!$1:$998,COLUMN($O$1),FALSE)*VLOOKUP($D180,素材!$1:$1016,COLUMN($E$1),FALSE)/(LEN(VLOOKUP($D180,素材!$1:$1016,COLUMN($F$1),FALSE)) - LEN(SUBSTITUTE(VLOOKUP($D180,素材!$1:$1016,COLUMN($F$1),FALSE), "・", 0)) + 1), 0)</f>
        <v>0</v>
      </c>
      <c r="AI180">
        <f>IF(ISNUMBER(SEARCH(SUBSTITUTE(AI$1,RIGHT(AI$1,2),""),VLOOKUP($D180,素材!$1:$1016,COLUMN($F$1),FALSE))),VLOOKUP($C180,武器!$1:$998,COLUMN($O$1),FALSE)*VLOOKUP($D180,素材!$1:$1016,COLUMN($E$1),FALSE)/(LEN(VLOOKUP($D180,素材!$1:$1016,COLUMN($F$1),FALSE)) - LEN(SUBSTITUTE(VLOOKUP($D180,素材!$1:$1016,COLUMN($F$1),FALSE), "・", 0)) + 1), 0)</f>
        <v>0</v>
      </c>
      <c r="AJ180">
        <f>IF(ISNUMBER(SEARCH(SUBSTITUTE(AJ$1,RIGHT(AJ$1,2),""),VLOOKUP($D180,素材!$1:$1016,COLUMN($F$1),FALSE))),VLOOKUP($C180,武器!$1:$998,COLUMN($O$1),FALSE)*VLOOKUP($D180,素材!$1:$1016,COLUMN($E$1),FALSE)/(LEN(VLOOKUP($D180,素材!$1:$1016,COLUMN($F$1),FALSE)) - LEN(SUBSTITUTE(VLOOKUP($D180,素材!$1:$1016,COLUMN($F$1),FALSE), "・", 0)) + 1), 0)</f>
        <v>0</v>
      </c>
      <c r="AK180">
        <f>IF(ISNUMBER(SEARCH(SUBSTITUTE(AK$1,RIGHT(AK$1,2),""),VLOOKUP($D180,素材!$1:$1016,COLUMN($F$1),FALSE))),VLOOKUP($C180,武器!$1:$998,COLUMN($O$1),FALSE)*VLOOKUP($D180,素材!$1:$1016,COLUMN($E$1),FALSE)/(LEN(VLOOKUP($D180,素材!$1:$1016,COLUMN($F$1),FALSE)) - LEN(SUBSTITUTE(VLOOKUP($D180,素材!$1:$1016,COLUMN($F$1),FALSE), "・", 0)) + 1), 0)</f>
        <v>0</v>
      </c>
      <c r="AL180">
        <f>IF(ISNUMBER(SEARCH(SUBSTITUTE(AL$1,RIGHT(AL$1,2),""),VLOOKUP($D180,素材!$1:$1016,COLUMN($F$1),FALSE))),VLOOKUP($C180,武器!$1:$998,COLUMN($O$1),FALSE)*VLOOKUP($D180,素材!$1:$1016,COLUMN($E$1),FALSE)/(LEN(VLOOKUP($D180,素材!$1:$1016,COLUMN($F$1),FALSE)) - LEN(SUBSTITUTE(VLOOKUP($D180,素材!$1:$1016,COLUMN($F$1),FALSE), "・", 0)) + 1), 0)</f>
        <v>0</v>
      </c>
      <c r="AM180">
        <f>IF(ISNUMBER(SEARCH(SUBSTITUTE(AM$1,RIGHT(AM$1,2),""),VLOOKUP($D180,素材!$1:$1016,COLUMN($F$1),FALSE))),VLOOKUP($C180,武器!$1:$998,COLUMN($O$1),FALSE)*VLOOKUP($D180,素材!$1:$1016,COLUMN($E$1),FALSE)/(LEN(VLOOKUP($D180,素材!$1:$1016,COLUMN($F$1),FALSE)) - LEN(SUBSTITUTE(VLOOKUP($D180,素材!$1:$1016,COLUMN($F$1),FALSE), "・", 0)) + 1), 0)</f>
        <v>0</v>
      </c>
      <c r="AN180">
        <f>IF(ISNUMBER(SEARCH(SUBSTITUTE(AN$1,RIGHT(AN$1,2),""),VLOOKUP($D180,素材!$1:$1016,COLUMN($F$1),FALSE))),VLOOKUP($C180,武器!$1:$998,COLUMN($O$1),FALSE)*VLOOKUP($D180,素材!$1:$1016,COLUMN($E$1),FALSE)/(LEN(VLOOKUP($D180,素材!$1:$1016,COLUMN($F$1),FALSE)) - LEN(SUBSTITUTE(VLOOKUP($D180,素材!$1:$1016,COLUMN($F$1),FALSE), "・", 0)) + 1), 0)</f>
        <v>0</v>
      </c>
      <c r="AO180">
        <f>IF(ISNUMBER(SEARCH(SUBSTITUTE(AO$1,RIGHT(AO$1,2),""),VLOOKUP($D180,素材!$1:$1016,COLUMN($F$1),FALSE))),VLOOKUP($C180,武器!$1:$998,COLUMN($O$1),FALSE)*VLOOKUP($D180,素材!$1:$1016,COLUMN($E$1),FALSE)/(LEN(VLOOKUP($D180,素材!$1:$1016,COLUMN($F$1),FALSE)) - LEN(SUBSTITUTE(VLOOKUP($D180,素材!$1:$1016,COLUMN($F$1),FALSE), "・", 0)) + 1), 0)</f>
        <v>0</v>
      </c>
      <c r="AP180">
        <f>IF(ISNUMBER(SEARCH(SUBSTITUTE(AP$1,RIGHT(AP$1,2),""),VLOOKUP($D180,素材!$1:$1016,COLUMN($F$1),FALSE))),VLOOKUP($C180,武器!$1:$998,COLUMN($O$1),FALSE)*VLOOKUP($D180,素材!$1:$1016,COLUMN($E$1),FALSE)/(LEN(VLOOKUP($D180,素材!$1:$1016,COLUMN($F$1),FALSE)) - LEN(SUBSTITUTE(VLOOKUP($D180,素材!$1:$1016,COLUMN($F$1),FALSE), "・", 0)) + 1), 0)</f>
        <v>0</v>
      </c>
      <c r="AQ180">
        <f>IF(ISNUMBER(SEARCH(SUBSTITUTE(AQ$1,RIGHT(AQ$1,2),""),VLOOKUP($D180,素材!$1:$1016,COLUMN($F$1),FALSE))),VLOOKUP($C180,武器!$1:$998,COLUMN($O$1),FALSE)*VLOOKUP($D180,素材!$1:$1016,COLUMN($E$1),FALSE)/(LEN(VLOOKUP($D180,素材!$1:$1016,COLUMN($F$1),FALSE)) - LEN(SUBSTITUTE(VLOOKUP($D180,素材!$1:$1016,COLUMN($F$1),FALSE), "・", 0)) + 1), 0)</f>
        <v>0</v>
      </c>
      <c r="AR180">
        <f>IF(ISNUMBER(SEARCH(SUBSTITUTE(AR$1,RIGHT(AR$1,2),""),VLOOKUP($D180,素材!$1:$1016,COLUMN($F$1),FALSE))),VLOOKUP($C180,武器!$1:$998,COLUMN($O$1),FALSE)*VLOOKUP($D180,素材!$1:$1016,COLUMN($E$1),FALSE)/(LEN(VLOOKUP($D180,素材!$1:$1016,COLUMN($F$1),FALSE)) - LEN(SUBSTITUTE(VLOOKUP($D180,素材!$1:$1016,COLUMN($F$1),FALSE), "・", 0)) + 1), 0)</f>
        <v>0</v>
      </c>
      <c r="AS180">
        <f>IF(ISNUMBER(SEARCH(SUBSTITUTE(AS$1,RIGHT(AS$1,2),""),VLOOKUP($D180,素材!$1:$1016,COLUMN($F$1),FALSE))),VLOOKUP($C180,武器!$1:$998,COLUMN($O$1),FALSE)*VLOOKUP($D180,素材!$1:$1016,COLUMN($E$1),FALSE)/(LEN(VLOOKUP($D180,素材!$1:$1016,COLUMN($F$1),FALSE)) - LEN(SUBSTITUTE(VLOOKUP($D180,素材!$1:$1016,COLUMN($F$1),FALSE), "・", 0)) + 1), 0)</f>
        <v>0</v>
      </c>
      <c r="AT180">
        <f>IF(ISNUMBER(SEARCH(SUBSTITUTE(AT$1,RIGHT(AT$1,2),""),VLOOKUP($D180,素材!$1:$1016,COLUMN($F$1),FALSE))),VLOOKUP($C180,武器!$1:$998,COLUMN($O$1),FALSE)*VLOOKUP($D180,素材!$1:$1016,COLUMN($E$1),FALSE)/(LEN(VLOOKUP($D180,素材!$1:$1016,COLUMN($F$1),FALSE)) - LEN(SUBSTITUTE(VLOOKUP($D180,素材!$1:$1016,COLUMN($F$1),FALSE), "・", 0)) + 1), 0)</f>
        <v>0</v>
      </c>
      <c r="AU180">
        <f>IF(ISNUMBER(SEARCH(SUBSTITUTE(AU$1,RIGHT(AU$1,2),""),VLOOKUP($D180,素材!$1:$1016,COLUMN($F$1),FALSE))),VLOOKUP($C180,武器!$1:$998,COLUMN($O$1),FALSE)*VLOOKUP($D180,素材!$1:$1016,COLUMN($E$1),FALSE)/(LEN(VLOOKUP($D180,素材!$1:$1016,COLUMN($F$1),FALSE)) - LEN(SUBSTITUTE(VLOOKUP($D180,素材!$1:$1016,COLUMN($F$1),FALSE), "・", 0)) + 1), 0)</f>
        <v>0</v>
      </c>
      <c r="AV180">
        <f>IF(ISNUMBER(SEARCH(SUBSTITUTE(AV$1,RIGHT(AV$1,2),""),VLOOKUP($D180,素材!$1:$1016,COLUMN($F$1),FALSE))),VLOOKUP($C180,武器!$1:$998,COLUMN($O$1),FALSE)*VLOOKUP($D180,素材!$1:$1016,COLUMN($E$1),FALSE)/(LEN(VLOOKUP($D180,素材!$1:$1016,COLUMN($F$1),FALSE)) - LEN(SUBSTITUTE(VLOOKUP($D180,素材!$1:$1016,COLUMN($F$1),FALSE), "・", 0)) + 1), 0)</f>
        <v>0</v>
      </c>
      <c r="AW180">
        <f>IF(ISNUMBER(SEARCH(SUBSTITUTE(AW$1,RIGHT(AW$1,2),""),VLOOKUP($D180,素材!$1:$1016,COLUMN($F$1),FALSE))),VLOOKUP($C180,武器!$1:$998,COLUMN($O$1),FALSE)*VLOOKUP($D180,素材!$1:$1016,COLUMN($E$1),FALSE)/(LEN(VLOOKUP($D180,素材!$1:$1016,COLUMN($F$1),FALSE)) - LEN(SUBSTITUTE(VLOOKUP($D180,素材!$1:$1016,COLUMN($F$1),FALSE), "・", 0)) + 1), 0)</f>
        <v>0</v>
      </c>
      <c r="AX180">
        <f>IF(ISNUMBER(SEARCH(SUBSTITUTE(AX$1,RIGHT(AX$1,2),""),VLOOKUP($D180,素材!$1:$1016,COLUMN($F$1),FALSE))),VLOOKUP($C180,武器!$1:$998,COLUMN($O$1),FALSE)*VLOOKUP($D180,素材!$1:$1016,COLUMN($E$1),FALSE)/(LEN(VLOOKUP($D180,素材!$1:$1016,COLUMN($F$1),FALSE)) - LEN(SUBSTITUTE(VLOOKUP($D180,素材!$1:$1016,COLUMN($F$1),FALSE), "・", 0)) + 1), 0)</f>
        <v>0</v>
      </c>
      <c r="AY180">
        <f>IF(ISNUMBER(SEARCH(SUBSTITUTE(AY$1,RIGHT(AY$1,2),""),VLOOKUP($D180,素材!$1:$1016,COLUMN($F$1),FALSE))),VLOOKUP($C180,武器!$1:$998,COLUMN($O$1),FALSE)*VLOOKUP($D180,素材!$1:$1016,COLUMN($E$1),FALSE)/(LEN(VLOOKUP($D180,素材!$1:$1016,COLUMN($F$1),FALSE)) - LEN(SUBSTITUTE(VLOOKUP($D180,素材!$1:$1016,COLUMN($F$1),FALSE), "・", 0)) + 1), 0)</f>
        <v>0</v>
      </c>
      <c r="AZ180">
        <f>IF(ISNUMBER(SEARCH(SUBSTITUTE(AZ$1,RIGHT(AZ$1,2),""),VLOOKUP($D180,素材!$1:$1016,COLUMN($F$1),FALSE))),VLOOKUP($C180,武器!$1:$998,COLUMN($O$1),FALSE)*VLOOKUP($D180,素材!$1:$1016,COLUMN($E$1),FALSE)/(LEN(VLOOKUP($D180,素材!$1:$1016,COLUMN($F$1),FALSE)) - LEN(SUBSTITUTE(VLOOKUP($D180,素材!$1:$1016,COLUMN($F$1),FALSE), "・", 0)) + 1), 0)</f>
        <v>0</v>
      </c>
      <c r="BA180">
        <f>IF(ISNUMBER(SEARCH(SUBSTITUTE(BA$1,RIGHT(BA$1,2),""),VLOOKUP($D180,素材!$1:$1016,COLUMN($F$1),FALSE))),VLOOKUP($C180,武器!$1:$998,COLUMN($O$1),FALSE)*VLOOKUP($D180,素材!$1:$1016,COLUMN($E$1),FALSE)/(LEN(VLOOKUP($D180,素材!$1:$1016,COLUMN($F$1),FALSE)) - LEN(SUBSTITUTE(VLOOKUP($D180,素材!$1:$1016,COLUMN($F$1),FALSE), "・", 0)) + 1), 0)</f>
        <v>0</v>
      </c>
      <c r="BB180">
        <f>IF(ISNUMBER(SEARCH(SUBSTITUTE(BB$1,RIGHT(BB$1,2),""),VLOOKUP($D180,素材!$1:$1016,COLUMN($F$1),FALSE))),VLOOKUP($C180,武器!$1:$998,COLUMN($O$1),FALSE)*VLOOKUP($D180,素材!$1:$1016,COLUMN($E$1),FALSE)/(LEN(VLOOKUP($D180,素材!$1:$1016,COLUMN($F$1),FALSE)) - LEN(SUBSTITUTE(VLOOKUP($D180,素材!$1:$1016,COLUMN($F$1),FALSE), "・", 0)) + 1), 0)</f>
        <v>0</v>
      </c>
      <c r="BC180">
        <f>IF(ISNUMBER(SEARCH(SUBSTITUTE(BC$1,RIGHT(BC$1,2),""),VLOOKUP($D180,素材!$1:$1016,COLUMN($F$1),FALSE))),VLOOKUP($C180,武器!$1:$998,COLUMN($O$1),FALSE)*VLOOKUP($D180,素材!$1:$1016,COLUMN($E$1),FALSE)/(LEN(VLOOKUP($D180,素材!$1:$1016,COLUMN($F$1),FALSE)) - LEN(SUBSTITUTE(VLOOKUP($D180,素材!$1:$1016,COLUMN($F$1),FALSE), "・", 0)) + 1), 0)</f>
        <v>0</v>
      </c>
      <c r="BD180">
        <f>IF(ISNUMBER(SEARCH(SUBSTITUTE(BD$1,RIGHT(BD$1,2),""),VLOOKUP($D180,素材!$1:$1016,COLUMN($F$1),FALSE))),VLOOKUP($C180,武器!$1:$998,COLUMN($O$1),FALSE)*VLOOKUP($D180,素材!$1:$1016,COLUMN($E$1),FALSE)/(LEN(VLOOKUP($D180,素材!$1:$1016,COLUMN($F$1),FALSE)) - LEN(SUBSTITUTE(VLOOKUP($D180,素材!$1:$1016,COLUMN($F$1),FALSE), "・", 0)) + 1), 0)</f>
        <v>0</v>
      </c>
      <c r="BE180">
        <f>IF(ISNUMBER(SEARCH(SUBSTITUTE(BE$1,RIGHT(BE$1,2),""),VLOOKUP($D180,素材!$1:$1016,COLUMN($F$1),FALSE))),VLOOKUP($C180,武器!$1:$998,COLUMN($O$1),FALSE)*VLOOKUP($D180,素材!$1:$1016,COLUMN($E$1),FALSE)/(LEN(VLOOKUP($D180,素材!$1:$1016,COLUMN($F$1),FALSE)) - LEN(SUBSTITUTE(VLOOKUP($D180,素材!$1:$1016,COLUMN($F$1),FALSE), "・", 0)) + 1), 0)</f>
        <v>0</v>
      </c>
      <c r="CL180">
        <f>SUM(G180:I180)</f>
        <v>18</v>
      </c>
      <c r="CM180" s="22" t="str">
        <f>IF(E180="武器",IF(J180-1&gt;SUM(G180:I180),"盾",IF(MAX(G180:I180)=G180,"切断",IF(MAX(G180:I180)=H180,"貫通",IF(MAX(G180:I180)=I180,"打撃","射撃")))),E180)&amp;".webp"</f>
        <v>盾.webp</v>
      </c>
      <c r="CN180">
        <f>IFERROR(VLOOKUP($C180,武器!$1:$998,COLUMN(V$1),FALSE)*VLOOKUP($D180,素材!$1:$1016,COLUMN(N$1),FALSE)+IF(CI180="",0,VLOOKUP($CI180,装強!$1:$1008,COLUMN($CK$1),FALSE)),"")</f>
        <v>3000</v>
      </c>
      <c r="CO180">
        <f>VLOOKUP(D180,素材!$A:$O,COLUMN(素材!O$1),FALSE)</f>
        <v>0</v>
      </c>
      <c r="CP180" t="str">
        <f>VLOOKUP(C180,武器!$A:$W,COLUMN(武器!W$1),FALSE)</f>
        <v>丸大盾。防御範囲が広く、投擲も可能。</v>
      </c>
      <c r="CR180" t="str">
        <f t="shared" si="18"/>
        <v>e_180</v>
      </c>
      <c r="CS180">
        <f t="shared" si="22"/>
        <v>300000</v>
      </c>
    </row>
    <row r="181" spans="1:97" outlineLevel="1" x14ac:dyDescent="0.4">
      <c r="A181" t="str">
        <f t="shared" si="27"/>
        <v>黒鋼鉄の大盾</v>
      </c>
      <c r="B181" t="str">
        <f>IFERROR(VLOOKUP($D181,素材!$1:$1016,COLUMN($B$1),FALSE)&amp;"・"&amp;VLOOKUP($C181,武器!$1:$998,COLUMN(B$1),FALSE),"")</f>
        <v>ブラックスティール・ラージシールド</v>
      </c>
      <c r="C181" t="s">
        <v>219</v>
      </c>
      <c r="D181" s="24" t="s">
        <v>244</v>
      </c>
      <c r="E181" t="str">
        <f>IFERROR(VLOOKUP(C181,武器!$1:$998,COLUMN(C$1),FALSE),"")</f>
        <v>盾</v>
      </c>
      <c r="F181">
        <f>IFERROR(ROUNDDOWN((VLOOKUP($C181,武器!$1:$998,COLUMN(D$1),FALSE)+IFERROR(VLOOKUP($CI181,装強!$1:$999,COLUMN(F$1),FALSE),0))*VLOOKUP($D181,素材!$1:$1016,COLUMN(D$1),FALSE),0),"")</f>
        <v>115</v>
      </c>
      <c r="G181">
        <f>IFERROR(ROUNDDOWN((VLOOKUP($C181,武器!$1:$998,COLUMN(E$1),FALSE)+IFERROR(VLOOKUP($CI181,装強!$1:$999,COLUMN(G$1),FALSE),0))*VLOOKUP($D181,素材!$1:$1016,COLUMN($E$1),FALSE),0),"")</f>
        <v>0</v>
      </c>
      <c r="H181">
        <f>IFERROR(ROUNDDOWN((VLOOKUP($C181,武器!$1:$998,COLUMN(F$1),FALSE)+IFERROR(VLOOKUP($CI181,装強!$1:$999,COLUMN(H$1),FALSE),0))*VLOOKUP($D181,素材!$1:$1016,COLUMN($E$1),FALSE),0),"")</f>
        <v>0</v>
      </c>
      <c r="I181">
        <f>IFERROR(ROUNDDOWN((VLOOKUP($C181,武器!$1:$998,COLUMN(G$1),FALSE)+IFERROR(VLOOKUP($CI181,装強!$1:$999,COLUMN(I$1),FALSE),0))*VLOOKUP($D181,素材!$1:$1016,COLUMN($E$1),FALSE),0),"")</f>
        <v>17</v>
      </c>
      <c r="J181">
        <f>IFERROR(ROUNDDOWN((VLOOKUP($C181,武器!$1:$998,COLUMN(H$1),FALSE)+IFERROR(VLOOKUP($CI181,装強!$1:$999,COLUMN(J$1),FALSE),0))*VLOOKUP($D181,素材!$1:$1016,COLUMN($E$1),FALSE),0),"")</f>
        <v>27</v>
      </c>
      <c r="K181">
        <f>IFERROR(ROUNDDOWN((VLOOKUP($C181,武器!$1:$998,COLUMN(I$1),FALSE)+IFERROR(VLOOKUP($CI181,装強!$1:$999,COLUMN(K$1),FALSE),0))*VLOOKUP($D181,素材!$1:$1016,COLUMN($E$1),FALSE),0),"")</f>
        <v>0</v>
      </c>
      <c r="L181" t="str">
        <f>IFERROR(VLOOKUP($D181,素材!$1:$1016,COLUMN($F$1),FALSE),"")</f>
        <v>雷</v>
      </c>
      <c r="M181">
        <f>IFERROR(VLOOKUP($C181,武器!$1:$998,COLUMN(AA$1),FALSE)*VLOOKUP($D181,素材!$1:$1016,COLUMN($G$1),FALSE),"")</f>
        <v>29.75</v>
      </c>
      <c r="N181">
        <f>IFERROR(VLOOKUP($C181,武器!$1:$998,COLUMN(I$1),FALSE),"")</f>
        <v>0</v>
      </c>
      <c r="O181" s="23">
        <f>IFERROR((VLOOKUP($C181,武器!$1:$998,COLUMN(K$1),FALSE)+VLOOKUP($D181,素材!$1:$1016,COLUMN(H$1),FALSE))*100+IFERROR(VLOOKUP($CI181,装強!$1:$999,COLUMN(O$1),FALSE),0),"")</f>
        <v>5</v>
      </c>
      <c r="P181" s="23">
        <f>IFERROR((VLOOKUP($C181,武器!$1:$998,COLUMN(L$1),FALSE)+VLOOKUP($D181,素材!$1:$1016,COLUMN(I$1),FALSE))*100+IFERROR(VLOOKUP($CI181,装強!$1:$999,COLUMN(P$1),FALSE),0),"")</f>
        <v>125</v>
      </c>
      <c r="Q181">
        <f>IFERROR(ROUNDUP(VLOOKUP($C181,武器!$1:$998,COLUMN(M$1),FALSE)*(VLOOKUP($D181,素材!$1:$1002,COLUMN(D$1),FALSE)/100),1),"")</f>
        <v>-5</v>
      </c>
      <c r="R181">
        <f>IFERROR(ROUNDUP(VLOOKUP($C181,武器!$1:$998,COLUMN(N$1),FALSE)*(VLOOKUP($D181,素材!$1:$1002,COLUMN(D$1),FALSE)/100),1),"")</f>
        <v>0</v>
      </c>
      <c r="S181">
        <f>IFERROR(VLOOKUP($C181,武器!$1:$998,COLUMN(P$1),FALSE),"")</f>
        <v>0</v>
      </c>
      <c r="T181">
        <f>IFERROR(VLOOKUP($C181,武器!$1:$998,COLUMN(Q$1),FALSE),"")</f>
        <v>0</v>
      </c>
      <c r="U181">
        <f>IFERROR(VLOOKUP($C181,武器!$1:$998,COLUMN(R$1),FALSE),"")</f>
        <v>0</v>
      </c>
      <c r="V181">
        <f>IFERROR(VLOOKUP($C181,武器!$1:$998,COLUMN(Q$1),FALSE),"")</f>
        <v>0</v>
      </c>
      <c r="W181" t="str">
        <f>IFERROR(VLOOKUP($C181,武器!$1:$998,COLUMN(T$1),FALSE),"")</f>
        <v>A</v>
      </c>
      <c r="Y181" t="str">
        <f>IFERROR(VLOOKUP($C181,武器!$1:$998,COLUMN(U$1),FALSE),"")</f>
        <v>片手適正Ⅰ</v>
      </c>
      <c r="Z181">
        <f>IFERROR(ROUNDUP(VLOOKUP($C181,武器!$1:$998,COLUMN(O$1),FALSE)*VLOOKUP($D181,素材!$1:$1016,COLUMN(E$1),FALSE),1),"")</f>
        <v>0</v>
      </c>
      <c r="AA181">
        <f>IF(ISNUMBER(SEARCH(SUBSTITUTE(AA$1,RIGHT(AA$1,2),""),VLOOKUP($D181,素材!$1:$1016,COLUMN($F$1),FALSE))),VLOOKUP($C181,武器!$1:$998,COLUMN($O$1),FALSE)*VLOOKUP($D181,素材!$1:$1016,COLUMN($E$1),FALSE)/(LEN(VLOOKUP($D181,素材!$1:$1016,COLUMN($F$1),FALSE)) - LEN(SUBSTITUTE(VLOOKUP($D181,素材!$1:$1016,COLUMN($F$1),FALSE), "・", 0)) + 1), 0)</f>
        <v>0</v>
      </c>
      <c r="AB181">
        <f>IF(ISNUMBER(SEARCH(SUBSTITUTE(AB$1,RIGHT(AB$1,2),""),VLOOKUP($D181,素材!$1:$1016,COLUMN($F$1),FALSE))),VLOOKUP($C181,武器!$1:$998,COLUMN($O$1),FALSE)*VLOOKUP($D181,素材!$1:$1016,COLUMN($E$1),FALSE)/(LEN(VLOOKUP($D181,素材!$1:$1016,COLUMN($F$1),FALSE)) - LEN(SUBSTITUTE(VLOOKUP($D181,素材!$1:$1016,COLUMN($F$1),FALSE), "・", 0)) + 1), 0)</f>
        <v>0</v>
      </c>
      <c r="AC181">
        <f>IF(ISNUMBER(SEARCH(SUBSTITUTE(AC$1,RIGHT(AC$1,2),""),VLOOKUP($D181,素材!$1:$1016,COLUMN($F$1),FALSE))),VLOOKUP($C181,武器!$1:$998,COLUMN($O$1),FALSE)*VLOOKUP($D181,素材!$1:$1016,COLUMN($E$1),FALSE)/(LEN(VLOOKUP($D181,素材!$1:$1016,COLUMN($F$1),FALSE)) - LEN(SUBSTITUTE(VLOOKUP($D181,素材!$1:$1016,COLUMN($F$1),FALSE), "・", 0)) + 1), 0)</f>
        <v>0</v>
      </c>
      <c r="AD181">
        <f>IF(ISNUMBER(SEARCH(SUBSTITUTE(AD$1,RIGHT(AD$1,2),""),VLOOKUP($D181,素材!$1:$1016,COLUMN($F$1),FALSE))),VLOOKUP($C181,武器!$1:$998,COLUMN($O$1),FALSE)*VLOOKUP($D181,素材!$1:$1016,COLUMN($E$1),FALSE)/(LEN(VLOOKUP($D181,素材!$1:$1016,COLUMN($F$1),FALSE)) - LEN(SUBSTITUTE(VLOOKUP($D181,素材!$1:$1016,COLUMN($F$1),FALSE), "・", 0)) + 1), 0)</f>
        <v>0</v>
      </c>
      <c r="AE181">
        <f>IF(ISNUMBER(SEARCH(SUBSTITUTE(AE$1,RIGHT(AE$1,2),""),VLOOKUP($D181,素材!$1:$1016,COLUMN($F$1),FALSE))),VLOOKUP($C181,武器!$1:$998,COLUMN($O$1),FALSE)*VLOOKUP($D181,素材!$1:$1016,COLUMN($E$1),FALSE)/(LEN(VLOOKUP($D181,素材!$1:$1016,COLUMN($F$1),FALSE)) - LEN(SUBSTITUTE(VLOOKUP($D181,素材!$1:$1016,COLUMN($F$1),FALSE), "・", 0)) + 1), 0)</f>
        <v>0</v>
      </c>
      <c r="AF181">
        <f>IF(ISNUMBER(SEARCH(SUBSTITUTE(AF$1,RIGHT(AF$1,2),""),VLOOKUP($D181,素材!$1:$1016,COLUMN($F$1),FALSE))),VLOOKUP($C181,武器!$1:$998,COLUMN($O$1),FALSE)*VLOOKUP($D181,素材!$1:$1016,COLUMN($E$1),FALSE)/(LEN(VLOOKUP($D181,素材!$1:$1016,COLUMN($F$1),FALSE)) - LEN(SUBSTITUTE(VLOOKUP($D181,素材!$1:$1016,COLUMN($F$1),FALSE), "・", 0)) + 1), 0)</f>
        <v>0</v>
      </c>
      <c r="AG181">
        <f>IF(ISNUMBER(SEARCH(SUBSTITUTE(AG$1,RIGHT(AG$1,2),""),VLOOKUP($D181,素材!$1:$1016,COLUMN($F$1),FALSE))),VLOOKUP($C181,武器!$1:$998,COLUMN($O$1),FALSE)*VLOOKUP($D181,素材!$1:$1016,COLUMN($E$1),FALSE)/(LEN(VLOOKUP($D181,素材!$1:$1016,COLUMN($F$1),FALSE)) - LEN(SUBSTITUTE(VLOOKUP($D181,素材!$1:$1016,COLUMN($F$1),FALSE), "・", 0)) + 1), 0)</f>
        <v>0</v>
      </c>
      <c r="AH181">
        <f>IF(ISNUMBER(SEARCH(SUBSTITUTE(AH$1,RIGHT(AH$1,2),""),VLOOKUP($D181,素材!$1:$1016,COLUMN($F$1),FALSE))),VLOOKUP($C181,武器!$1:$998,COLUMN($O$1),FALSE)*VLOOKUP($D181,素材!$1:$1016,COLUMN($E$1),FALSE)/(LEN(VLOOKUP($D181,素材!$1:$1016,COLUMN($F$1),FALSE)) - LEN(SUBSTITUTE(VLOOKUP($D181,素材!$1:$1016,COLUMN($F$1),FALSE), "・", 0)) + 1), 0)</f>
        <v>0</v>
      </c>
      <c r="AI181">
        <f>IF(ISNUMBER(SEARCH(SUBSTITUTE(AI$1,RIGHT(AI$1,2),""),VLOOKUP($D181,素材!$1:$1016,COLUMN($F$1),FALSE))),VLOOKUP($C181,武器!$1:$998,COLUMN($O$1),FALSE)*VLOOKUP($D181,素材!$1:$1016,COLUMN($E$1),FALSE)/(LEN(VLOOKUP($D181,素材!$1:$1016,COLUMN($F$1),FALSE)) - LEN(SUBSTITUTE(VLOOKUP($D181,素材!$1:$1016,COLUMN($F$1),FALSE), "・", 0)) + 1), 0)</f>
        <v>0</v>
      </c>
      <c r="AJ181">
        <f>IF(ISNUMBER(SEARCH(SUBSTITUTE(AJ$1,RIGHT(AJ$1,2),""),VLOOKUP($D181,素材!$1:$1016,COLUMN($F$1),FALSE))),VLOOKUP($C181,武器!$1:$998,COLUMN($O$1),FALSE)*VLOOKUP($D181,素材!$1:$1016,COLUMN($E$1),FALSE)/(LEN(VLOOKUP($D181,素材!$1:$1016,COLUMN($F$1),FALSE)) - LEN(SUBSTITUTE(VLOOKUP($D181,素材!$1:$1016,COLUMN($F$1),FALSE), "・", 0)) + 1), 0)</f>
        <v>0</v>
      </c>
      <c r="AK181">
        <f>IF(ISNUMBER(SEARCH(SUBSTITUTE(AK$1,RIGHT(AK$1,2),""),VLOOKUP($D181,素材!$1:$1016,COLUMN($F$1),FALSE))),VLOOKUP($C181,武器!$1:$998,COLUMN($O$1),FALSE)*VLOOKUP($D181,素材!$1:$1016,COLUMN($E$1),FALSE)/(LEN(VLOOKUP($D181,素材!$1:$1016,COLUMN($F$1),FALSE)) - LEN(SUBSTITUTE(VLOOKUP($D181,素材!$1:$1016,COLUMN($F$1),FALSE), "・", 0)) + 1), 0)</f>
        <v>0</v>
      </c>
      <c r="AL181">
        <f>IF(ISNUMBER(SEARCH(SUBSTITUTE(AL$1,RIGHT(AL$1,2),""),VLOOKUP($D181,素材!$1:$1016,COLUMN($F$1),FALSE))),VLOOKUP($C181,武器!$1:$998,COLUMN($O$1),FALSE)*VLOOKUP($D181,素材!$1:$1016,COLUMN($E$1),FALSE)/(LEN(VLOOKUP($D181,素材!$1:$1016,COLUMN($F$1),FALSE)) - LEN(SUBSTITUTE(VLOOKUP($D181,素材!$1:$1016,COLUMN($F$1),FALSE), "・", 0)) + 1), 0)</f>
        <v>0</v>
      </c>
      <c r="AM181">
        <f>IF(ISNUMBER(SEARCH(SUBSTITUTE(AM$1,RIGHT(AM$1,2),""),VLOOKUP($D181,素材!$1:$1016,COLUMN($F$1),FALSE))),VLOOKUP($C181,武器!$1:$998,COLUMN($O$1),FALSE)*VLOOKUP($D181,素材!$1:$1016,COLUMN($E$1),FALSE)/(LEN(VLOOKUP($D181,素材!$1:$1016,COLUMN($F$1),FALSE)) - LEN(SUBSTITUTE(VLOOKUP($D181,素材!$1:$1016,COLUMN($F$1),FALSE), "・", 0)) + 1), 0)</f>
        <v>0</v>
      </c>
      <c r="AN181">
        <f>IF(ISNUMBER(SEARCH(SUBSTITUTE(AN$1,RIGHT(AN$1,2),""),VLOOKUP($D181,素材!$1:$1016,COLUMN($F$1),FALSE))),VLOOKUP($C181,武器!$1:$998,COLUMN($O$1),FALSE)*VLOOKUP($D181,素材!$1:$1016,COLUMN($E$1),FALSE)/(LEN(VLOOKUP($D181,素材!$1:$1016,COLUMN($F$1),FALSE)) - LEN(SUBSTITUTE(VLOOKUP($D181,素材!$1:$1016,COLUMN($F$1),FALSE), "・", 0)) + 1), 0)</f>
        <v>0</v>
      </c>
      <c r="AO181">
        <f>IF(ISNUMBER(SEARCH(SUBSTITUTE(AO$1,RIGHT(AO$1,2),""),VLOOKUP($D181,素材!$1:$1016,COLUMN($F$1),FALSE))),VLOOKUP($C181,武器!$1:$998,COLUMN($O$1),FALSE)*VLOOKUP($D181,素材!$1:$1016,COLUMN($E$1),FALSE)/(LEN(VLOOKUP($D181,素材!$1:$1016,COLUMN($F$1),FALSE)) - LEN(SUBSTITUTE(VLOOKUP($D181,素材!$1:$1016,COLUMN($F$1),FALSE), "・", 0)) + 1), 0)</f>
        <v>0</v>
      </c>
      <c r="AP181">
        <f>IF(ISNUMBER(SEARCH(SUBSTITUTE(AP$1,RIGHT(AP$1,2),""),VLOOKUP($D181,素材!$1:$1016,COLUMN($F$1),FALSE))),VLOOKUP($C181,武器!$1:$998,COLUMN($O$1),FALSE)*VLOOKUP($D181,素材!$1:$1016,COLUMN($E$1),FALSE)/(LEN(VLOOKUP($D181,素材!$1:$1016,COLUMN($F$1),FALSE)) - LEN(SUBSTITUTE(VLOOKUP($D181,素材!$1:$1016,COLUMN($F$1),FALSE), "・", 0)) + 1), 0)</f>
        <v>0</v>
      </c>
      <c r="AQ181">
        <f>IF(ISNUMBER(SEARCH(SUBSTITUTE(AQ$1,RIGHT(AQ$1,2),""),VLOOKUP($D181,素材!$1:$1016,COLUMN($F$1),FALSE))),VLOOKUP($C181,武器!$1:$998,COLUMN($O$1),FALSE)*VLOOKUP($D181,素材!$1:$1016,COLUMN($E$1),FALSE)/(LEN(VLOOKUP($D181,素材!$1:$1016,COLUMN($F$1),FALSE)) - LEN(SUBSTITUTE(VLOOKUP($D181,素材!$1:$1016,COLUMN($F$1),FALSE), "・", 0)) + 1), 0)</f>
        <v>0</v>
      </c>
      <c r="AR181">
        <f>IF(ISNUMBER(SEARCH(SUBSTITUTE(AR$1,RIGHT(AR$1,2),""),VLOOKUP($D181,素材!$1:$1016,COLUMN($F$1),FALSE))),VLOOKUP($C181,武器!$1:$998,COLUMN($O$1),FALSE)*VLOOKUP($D181,素材!$1:$1016,COLUMN($E$1),FALSE)/(LEN(VLOOKUP($D181,素材!$1:$1016,COLUMN($F$1),FALSE)) - LEN(SUBSTITUTE(VLOOKUP($D181,素材!$1:$1016,COLUMN($F$1),FALSE), "・", 0)) + 1), 0)</f>
        <v>0</v>
      </c>
      <c r="AS181">
        <f>IF(ISNUMBER(SEARCH(SUBSTITUTE(AS$1,RIGHT(AS$1,2),""),VLOOKUP($D181,素材!$1:$1016,COLUMN($F$1),FALSE))),VLOOKUP($C181,武器!$1:$998,COLUMN($O$1),FALSE)*VLOOKUP($D181,素材!$1:$1016,COLUMN($E$1),FALSE)/(LEN(VLOOKUP($D181,素材!$1:$1016,COLUMN($F$1),FALSE)) - LEN(SUBSTITUTE(VLOOKUP($D181,素材!$1:$1016,COLUMN($F$1),FALSE), "・", 0)) + 1), 0)</f>
        <v>0</v>
      </c>
      <c r="AT181">
        <f>IF(ISNUMBER(SEARCH(SUBSTITUTE(AT$1,RIGHT(AT$1,2),""),VLOOKUP($D181,素材!$1:$1016,COLUMN($F$1),FALSE))),VLOOKUP($C181,武器!$1:$998,COLUMN($O$1),FALSE)*VLOOKUP($D181,素材!$1:$1016,COLUMN($E$1),FALSE)/(LEN(VLOOKUP($D181,素材!$1:$1016,COLUMN($F$1),FALSE)) - LEN(SUBSTITUTE(VLOOKUP($D181,素材!$1:$1016,COLUMN($F$1),FALSE), "・", 0)) + 1), 0)</f>
        <v>0</v>
      </c>
      <c r="AU181">
        <f>IF(ISNUMBER(SEARCH(SUBSTITUTE(AU$1,RIGHT(AU$1,2),""),VLOOKUP($D181,素材!$1:$1016,COLUMN($F$1),FALSE))),VLOOKUP($C181,武器!$1:$998,COLUMN($O$1),FALSE)*VLOOKUP($D181,素材!$1:$1016,COLUMN($E$1),FALSE)/(LEN(VLOOKUP($D181,素材!$1:$1016,COLUMN($F$1),FALSE)) - LEN(SUBSTITUTE(VLOOKUP($D181,素材!$1:$1016,COLUMN($F$1),FALSE), "・", 0)) + 1), 0)</f>
        <v>0</v>
      </c>
      <c r="AV181">
        <f>IF(ISNUMBER(SEARCH(SUBSTITUTE(AV$1,RIGHT(AV$1,2),""),VLOOKUP($D181,素材!$1:$1016,COLUMN($F$1),FALSE))),VLOOKUP($C181,武器!$1:$998,COLUMN($O$1),FALSE)*VLOOKUP($D181,素材!$1:$1016,COLUMN($E$1),FALSE)/(LEN(VLOOKUP($D181,素材!$1:$1016,COLUMN($F$1),FALSE)) - LEN(SUBSTITUTE(VLOOKUP($D181,素材!$1:$1016,COLUMN($F$1),FALSE), "・", 0)) + 1), 0)</f>
        <v>0</v>
      </c>
      <c r="AW181">
        <f>IF(ISNUMBER(SEARCH(SUBSTITUTE(AW$1,RIGHT(AW$1,2),""),VLOOKUP($D181,素材!$1:$1016,COLUMN($F$1),FALSE))),VLOOKUP($C181,武器!$1:$998,COLUMN($O$1),FALSE)*VLOOKUP($D181,素材!$1:$1016,COLUMN($E$1),FALSE)/(LEN(VLOOKUP($D181,素材!$1:$1016,COLUMN($F$1),FALSE)) - LEN(SUBSTITUTE(VLOOKUP($D181,素材!$1:$1016,COLUMN($F$1),FALSE), "・", 0)) + 1), 0)</f>
        <v>0</v>
      </c>
      <c r="AX181">
        <f>IF(ISNUMBER(SEARCH(SUBSTITUTE(AX$1,RIGHT(AX$1,2),""),VLOOKUP($D181,素材!$1:$1016,COLUMN($F$1),FALSE))),VLOOKUP($C181,武器!$1:$998,COLUMN($O$1),FALSE)*VLOOKUP($D181,素材!$1:$1016,COLUMN($E$1),FALSE)/(LEN(VLOOKUP($D181,素材!$1:$1016,COLUMN($F$1),FALSE)) - LEN(SUBSTITUTE(VLOOKUP($D181,素材!$1:$1016,COLUMN($F$1),FALSE), "・", 0)) + 1), 0)</f>
        <v>0</v>
      </c>
      <c r="AY181">
        <f>IF(ISNUMBER(SEARCH(SUBSTITUTE(AY$1,RIGHT(AY$1,2),""),VLOOKUP($D181,素材!$1:$1016,COLUMN($F$1),FALSE))),VLOOKUP($C181,武器!$1:$998,COLUMN($O$1),FALSE)*VLOOKUP($D181,素材!$1:$1016,COLUMN($E$1),FALSE)/(LEN(VLOOKUP($D181,素材!$1:$1016,COLUMN($F$1),FALSE)) - LEN(SUBSTITUTE(VLOOKUP($D181,素材!$1:$1016,COLUMN($F$1),FALSE), "・", 0)) + 1), 0)</f>
        <v>0</v>
      </c>
      <c r="AZ181">
        <f>IF(ISNUMBER(SEARCH(SUBSTITUTE(AZ$1,RIGHT(AZ$1,2),""),VLOOKUP($D181,素材!$1:$1016,COLUMN($F$1),FALSE))),VLOOKUP($C181,武器!$1:$998,COLUMN($O$1),FALSE)*VLOOKUP($D181,素材!$1:$1016,COLUMN($E$1),FALSE)/(LEN(VLOOKUP($D181,素材!$1:$1016,COLUMN($F$1),FALSE)) - LEN(SUBSTITUTE(VLOOKUP($D181,素材!$1:$1016,COLUMN($F$1),FALSE), "・", 0)) + 1), 0)</f>
        <v>0</v>
      </c>
      <c r="BA181">
        <f>IF(ISNUMBER(SEARCH(SUBSTITUTE(BA$1,RIGHT(BA$1,2),""),VLOOKUP($D181,素材!$1:$1016,COLUMN($F$1),FALSE))),VLOOKUP($C181,武器!$1:$998,COLUMN($O$1),FALSE)*VLOOKUP($D181,素材!$1:$1016,COLUMN($E$1),FALSE)/(LEN(VLOOKUP($D181,素材!$1:$1016,COLUMN($F$1),FALSE)) - LEN(SUBSTITUTE(VLOOKUP($D181,素材!$1:$1016,COLUMN($F$1),FALSE), "・", 0)) + 1), 0)</f>
        <v>0</v>
      </c>
      <c r="BB181">
        <f>IF(ISNUMBER(SEARCH(SUBSTITUTE(BB$1,RIGHT(BB$1,2),""),VLOOKUP($D181,素材!$1:$1016,COLUMN($F$1),FALSE))),VLOOKUP($C181,武器!$1:$998,COLUMN($O$1),FALSE)*VLOOKUP($D181,素材!$1:$1016,COLUMN($E$1),FALSE)/(LEN(VLOOKUP($D181,素材!$1:$1016,COLUMN($F$1),FALSE)) - LEN(SUBSTITUTE(VLOOKUP($D181,素材!$1:$1016,COLUMN($F$1),FALSE), "・", 0)) + 1), 0)</f>
        <v>0</v>
      </c>
      <c r="BC181">
        <f>IF(ISNUMBER(SEARCH(SUBSTITUTE(BC$1,RIGHT(BC$1,2),""),VLOOKUP($D181,素材!$1:$1016,COLUMN($F$1),FALSE))),VLOOKUP($C181,武器!$1:$998,COLUMN($O$1),FALSE)*VLOOKUP($D181,素材!$1:$1016,COLUMN($E$1),FALSE)/(LEN(VLOOKUP($D181,素材!$1:$1016,COLUMN($F$1),FALSE)) - LEN(SUBSTITUTE(VLOOKUP($D181,素材!$1:$1016,COLUMN($F$1),FALSE), "・", 0)) + 1), 0)</f>
        <v>0</v>
      </c>
      <c r="BD181">
        <f>IF(ISNUMBER(SEARCH(SUBSTITUTE(BD$1,RIGHT(BD$1,2),""),VLOOKUP($D181,素材!$1:$1016,COLUMN($F$1),FALSE))),VLOOKUP($C181,武器!$1:$998,COLUMN($O$1),FALSE)*VLOOKUP($D181,素材!$1:$1016,COLUMN($E$1),FALSE)/(LEN(VLOOKUP($D181,素材!$1:$1016,COLUMN($F$1),FALSE)) - LEN(SUBSTITUTE(VLOOKUP($D181,素材!$1:$1016,COLUMN($F$1),FALSE), "・", 0)) + 1), 0)</f>
        <v>0</v>
      </c>
      <c r="BE181">
        <f>IF(ISNUMBER(SEARCH(SUBSTITUTE(BE$1,RIGHT(BE$1,2),""),VLOOKUP($D181,素材!$1:$1016,COLUMN($F$1),FALSE))),VLOOKUP($C181,武器!$1:$998,COLUMN($O$1),FALSE)*VLOOKUP($D181,素材!$1:$1016,COLUMN($E$1),FALSE)/(LEN(VLOOKUP($D181,素材!$1:$1016,COLUMN($F$1),FALSE)) - LEN(SUBSTITUTE(VLOOKUP($D181,素材!$1:$1016,COLUMN($F$1),FALSE), "・", 0)) + 1), 0)</f>
        <v>0</v>
      </c>
      <c r="CL181">
        <f>SUM(G181:I181)</f>
        <v>17</v>
      </c>
      <c r="CM181" s="22" t="str">
        <f>IF(E181="武器",IF(J181-1&gt;SUM(G181:I181),"盾",IF(MAX(G181:I181)=G181,"切断",IF(MAX(G181:I181)=H181,"貫通",IF(MAX(G181:I181)=I181,"打撃","射撃")))),E181)&amp;".webp"</f>
        <v>盾.webp</v>
      </c>
      <c r="CN181">
        <f>IFERROR(VLOOKUP($C181,武器!$1:$998,COLUMN(V$1),FALSE)*VLOOKUP($D181,素材!$1:$1016,COLUMN(N$1),FALSE)+IF(CI181="",0,VLOOKUP($CI181,装強!$1:$1008,COLUMN($CK$1),FALSE)),"")</f>
        <v>3000</v>
      </c>
      <c r="CO181">
        <f>VLOOKUP(D181,素材!$A:$O,COLUMN(素材!O$1),FALSE)</f>
        <v>0</v>
      </c>
      <c r="CP181" t="str">
        <f>VLOOKUP(C181,武器!$A:$W,COLUMN(武器!W$1),FALSE)</f>
        <v>大盾。さらに大きな盾で、高い防御力を持つ。</v>
      </c>
      <c r="CR181" t="str">
        <f t="shared" si="18"/>
        <v>e_181</v>
      </c>
      <c r="CS181">
        <f t="shared" si="22"/>
        <v>300000</v>
      </c>
    </row>
    <row r="182" spans="1:97" outlineLevel="1" x14ac:dyDescent="0.4">
      <c r="A182" t="str">
        <f t="shared" si="27"/>
        <v>黒鋼鉄の短弓</v>
      </c>
      <c r="B182" t="str">
        <f>IFERROR(VLOOKUP($D182,素材!$1:$1016,COLUMN($B$1),FALSE)&amp;"・"&amp;VLOOKUP($C182,武器!$1:$998,COLUMN(B$1),FALSE),"")</f>
        <v>ブラックスティール・ボウ</v>
      </c>
      <c r="C182" t="s">
        <v>218</v>
      </c>
      <c r="D182" s="24" t="s">
        <v>244</v>
      </c>
      <c r="E182" t="str">
        <f>IFERROR(VLOOKUP(C182,武器!$1:$998,COLUMN(C$1),FALSE),"")</f>
        <v>武器</v>
      </c>
      <c r="F182">
        <f>IFERROR(ROUNDDOWN((VLOOKUP($C182,武器!$1:$998,COLUMN(D$1),FALSE)+IFERROR(VLOOKUP($CI182,装強!$1:$999,COLUMN(F$1),FALSE),0))*VLOOKUP($D182,素材!$1:$1016,COLUMN(D$1),FALSE),0),"")</f>
        <v>110</v>
      </c>
      <c r="G182">
        <f>IFERROR(ROUNDDOWN((VLOOKUP($C182,武器!$1:$998,COLUMN(E$1),FALSE)+IFERROR(VLOOKUP($CI182,装強!$1:$999,COLUMN(G$1),FALSE),0))*VLOOKUP($D182,素材!$1:$1016,COLUMN($E$1),FALSE),0),"")</f>
        <v>5</v>
      </c>
      <c r="H182">
        <f>IFERROR(ROUNDDOWN((VLOOKUP($C182,武器!$1:$998,COLUMN(F$1),FALSE)+IFERROR(VLOOKUP($CI182,装強!$1:$999,COLUMN(H$1),FALSE),0))*VLOOKUP($D182,素材!$1:$1016,COLUMN($E$1),FALSE),0),"")</f>
        <v>5</v>
      </c>
      <c r="I182">
        <f>IFERROR(ROUNDDOWN((VLOOKUP($C182,武器!$1:$998,COLUMN(G$1),FALSE)+IFERROR(VLOOKUP($CI182,装強!$1:$999,COLUMN(I$1),FALSE),0))*VLOOKUP($D182,素材!$1:$1016,COLUMN($E$1),FALSE),0),"")</f>
        <v>0</v>
      </c>
      <c r="J182">
        <f>IFERROR(ROUNDDOWN((VLOOKUP($C182,武器!$1:$998,COLUMN(H$1),FALSE)+IFERROR(VLOOKUP($CI182,装強!$1:$999,COLUMN(J$1),FALSE),0))*VLOOKUP($D182,素材!$1:$1016,COLUMN($E$1),FALSE),0),"")</f>
        <v>0</v>
      </c>
      <c r="K182">
        <f>IFERROR(ROUNDDOWN((VLOOKUP($C182,武器!$1:$998,COLUMN(I$1),FALSE)+IFERROR(VLOOKUP($CI182,装強!$1:$999,COLUMN(K$1),FALSE),0))*VLOOKUP($D182,素材!$1:$1016,COLUMN($E$1),FALSE),0),"")</f>
        <v>20</v>
      </c>
      <c r="L182" t="str">
        <f>IFERROR(VLOOKUP($D182,素材!$1:$1016,COLUMN($F$1),FALSE),"")</f>
        <v>雷</v>
      </c>
      <c r="M182">
        <f>IFERROR(VLOOKUP($C182,武器!$1:$998,COLUMN(AA$1),FALSE)*VLOOKUP($D182,素材!$1:$1016,COLUMN($G$1),FALSE),"")</f>
        <v>35</v>
      </c>
      <c r="N182">
        <f>IFERROR(VLOOKUP($C182,武器!$1:$998,COLUMN(I$1),FALSE),"")</f>
        <v>1</v>
      </c>
      <c r="O182" s="23">
        <f>IFERROR((VLOOKUP($C182,武器!$1:$998,COLUMN(K$1),FALSE)+VLOOKUP($D182,素材!$1:$1016,COLUMN(H$1),FALSE))*100+IFERROR(VLOOKUP($CI182,装強!$1:$999,COLUMN(O$1),FALSE),0),"")</f>
        <v>10</v>
      </c>
      <c r="P182" s="23">
        <f>IFERROR((VLOOKUP($C182,武器!$1:$998,COLUMN(L$1),FALSE)+VLOOKUP($D182,素材!$1:$1016,COLUMN(I$1),FALSE))*100+IFERROR(VLOOKUP($CI182,装強!$1:$999,COLUMN(P$1),FALSE),0),"")</f>
        <v>130</v>
      </c>
      <c r="Q182">
        <f>IFERROR(ROUNDUP(VLOOKUP($C182,武器!$1:$998,COLUMN(M$1),FALSE)*(VLOOKUP($D182,素材!$1:$1002,COLUMN(D$1),FALSE)/100),1),"")</f>
        <v>-2.5</v>
      </c>
      <c r="R182">
        <f>IFERROR(ROUNDUP(VLOOKUP($C182,武器!$1:$998,COLUMN(N$1),FALSE)*(VLOOKUP($D182,素材!$1:$1002,COLUMN(D$1),FALSE)/100),1),"")</f>
        <v>0</v>
      </c>
      <c r="S182">
        <f>IFERROR(VLOOKUP($C182,武器!$1:$998,COLUMN(P$1),FALSE),"")</f>
        <v>2</v>
      </c>
      <c r="T182">
        <f>IFERROR(VLOOKUP($C182,武器!$1:$998,COLUMN(Q$1),FALSE),"")</f>
        <v>0</v>
      </c>
      <c r="U182">
        <f>IFERROR(VLOOKUP($C182,武器!$1:$998,COLUMN(R$1),FALSE),"")</f>
        <v>0</v>
      </c>
      <c r="V182">
        <f>IFERROR(VLOOKUP($C182,武器!$1:$998,COLUMN(Q$1),FALSE),"")</f>
        <v>0</v>
      </c>
      <c r="W182" t="str">
        <f>IFERROR(VLOOKUP($C182,武器!$1:$998,COLUMN(T$1),FALSE),"")</f>
        <v>A</v>
      </c>
      <c r="Y182">
        <f>IFERROR(VLOOKUP($C182,武器!$1:$998,COLUMN(U$1),FALSE),"")</f>
        <v>0</v>
      </c>
      <c r="Z182">
        <f>IFERROR(ROUNDUP(VLOOKUP($C182,武器!$1:$998,COLUMN(O$1),FALSE)*VLOOKUP($D182,素材!$1:$1016,COLUMN(E$1),FALSE),1),"")</f>
        <v>0</v>
      </c>
      <c r="AA182">
        <f>IF(ISNUMBER(SEARCH(SUBSTITUTE(AA$1,RIGHT(AA$1,2),""),VLOOKUP($D182,素材!$1:$1016,COLUMN($F$1),FALSE))),VLOOKUP($C182,武器!$1:$998,COLUMN($O$1),FALSE)*VLOOKUP($D182,素材!$1:$1016,COLUMN($E$1),FALSE)/(LEN(VLOOKUP($D182,素材!$1:$1016,COLUMN($F$1),FALSE)) - LEN(SUBSTITUTE(VLOOKUP($D182,素材!$1:$1016,COLUMN($F$1),FALSE), "・", 0)) + 1), 0)</f>
        <v>0</v>
      </c>
      <c r="AB182">
        <f>IF(ISNUMBER(SEARCH(SUBSTITUTE(AB$1,RIGHT(AB$1,2),""),VLOOKUP($D182,素材!$1:$1016,COLUMN($F$1),FALSE))),VLOOKUP($C182,武器!$1:$998,COLUMN($O$1),FALSE)*VLOOKUP($D182,素材!$1:$1016,COLUMN($E$1),FALSE)/(LEN(VLOOKUP($D182,素材!$1:$1016,COLUMN($F$1),FALSE)) - LEN(SUBSTITUTE(VLOOKUP($D182,素材!$1:$1016,COLUMN($F$1),FALSE), "・", 0)) + 1), 0)</f>
        <v>0</v>
      </c>
      <c r="AC182">
        <f>IF(ISNUMBER(SEARCH(SUBSTITUTE(AC$1,RIGHT(AC$1,2),""),VLOOKUP($D182,素材!$1:$1016,COLUMN($F$1),FALSE))),VLOOKUP($C182,武器!$1:$998,COLUMN($O$1),FALSE)*VLOOKUP($D182,素材!$1:$1016,COLUMN($E$1),FALSE)/(LEN(VLOOKUP($D182,素材!$1:$1016,COLUMN($F$1),FALSE)) - LEN(SUBSTITUTE(VLOOKUP($D182,素材!$1:$1016,COLUMN($F$1),FALSE), "・", 0)) + 1), 0)</f>
        <v>0</v>
      </c>
      <c r="AD182">
        <f>IF(ISNUMBER(SEARCH(SUBSTITUTE(AD$1,RIGHT(AD$1,2),""),VLOOKUP($D182,素材!$1:$1016,COLUMN($F$1),FALSE))),VLOOKUP($C182,武器!$1:$998,COLUMN($O$1),FALSE)*VLOOKUP($D182,素材!$1:$1016,COLUMN($E$1),FALSE)/(LEN(VLOOKUP($D182,素材!$1:$1016,COLUMN($F$1),FALSE)) - LEN(SUBSTITUTE(VLOOKUP($D182,素材!$1:$1016,COLUMN($F$1),FALSE), "・", 0)) + 1), 0)</f>
        <v>0</v>
      </c>
      <c r="AE182">
        <f>IF(ISNUMBER(SEARCH(SUBSTITUTE(AE$1,RIGHT(AE$1,2),""),VLOOKUP($D182,素材!$1:$1016,COLUMN($F$1),FALSE))),VLOOKUP($C182,武器!$1:$998,COLUMN($O$1),FALSE)*VLOOKUP($D182,素材!$1:$1016,COLUMN($E$1),FALSE)/(LEN(VLOOKUP($D182,素材!$1:$1016,COLUMN($F$1),FALSE)) - LEN(SUBSTITUTE(VLOOKUP($D182,素材!$1:$1016,COLUMN($F$1),FALSE), "・", 0)) + 1), 0)</f>
        <v>0</v>
      </c>
      <c r="AF182">
        <f>IF(ISNUMBER(SEARCH(SUBSTITUTE(AF$1,RIGHT(AF$1,2),""),VLOOKUP($D182,素材!$1:$1016,COLUMN($F$1),FALSE))),VLOOKUP($C182,武器!$1:$998,COLUMN($O$1),FALSE)*VLOOKUP($D182,素材!$1:$1016,COLUMN($E$1),FALSE)/(LEN(VLOOKUP($D182,素材!$1:$1016,COLUMN($F$1),FALSE)) - LEN(SUBSTITUTE(VLOOKUP($D182,素材!$1:$1016,COLUMN($F$1),FALSE), "・", 0)) + 1), 0)</f>
        <v>0</v>
      </c>
      <c r="AG182">
        <f>IF(ISNUMBER(SEARCH(SUBSTITUTE(AG$1,RIGHT(AG$1,2),""),VLOOKUP($D182,素材!$1:$1016,COLUMN($F$1),FALSE))),VLOOKUP($C182,武器!$1:$998,COLUMN($O$1),FALSE)*VLOOKUP($D182,素材!$1:$1016,COLUMN($E$1),FALSE)/(LEN(VLOOKUP($D182,素材!$1:$1016,COLUMN($F$1),FALSE)) - LEN(SUBSTITUTE(VLOOKUP($D182,素材!$1:$1016,COLUMN($F$1),FALSE), "・", 0)) + 1), 0)</f>
        <v>0</v>
      </c>
      <c r="AH182">
        <f>IF(ISNUMBER(SEARCH(SUBSTITUTE(AH$1,RIGHT(AH$1,2),""),VLOOKUP($D182,素材!$1:$1016,COLUMN($F$1),FALSE))),VLOOKUP($C182,武器!$1:$998,COLUMN($O$1),FALSE)*VLOOKUP($D182,素材!$1:$1016,COLUMN($E$1),FALSE)/(LEN(VLOOKUP($D182,素材!$1:$1016,COLUMN($F$1),FALSE)) - LEN(SUBSTITUTE(VLOOKUP($D182,素材!$1:$1016,COLUMN($F$1),FALSE), "・", 0)) + 1), 0)</f>
        <v>0</v>
      </c>
      <c r="AI182">
        <f>IF(ISNUMBER(SEARCH(SUBSTITUTE(AI$1,RIGHT(AI$1,2),""),VLOOKUP($D182,素材!$1:$1016,COLUMN($F$1),FALSE))),VLOOKUP($C182,武器!$1:$998,COLUMN($O$1),FALSE)*VLOOKUP($D182,素材!$1:$1016,COLUMN($E$1),FALSE)/(LEN(VLOOKUP($D182,素材!$1:$1016,COLUMN($F$1),FALSE)) - LEN(SUBSTITUTE(VLOOKUP($D182,素材!$1:$1016,COLUMN($F$1),FALSE), "・", 0)) + 1), 0)</f>
        <v>0</v>
      </c>
      <c r="AJ182">
        <f>IF(ISNUMBER(SEARCH(SUBSTITUTE(AJ$1,RIGHT(AJ$1,2),""),VLOOKUP($D182,素材!$1:$1016,COLUMN($F$1),FALSE))),VLOOKUP($C182,武器!$1:$998,COLUMN($O$1),FALSE)*VLOOKUP($D182,素材!$1:$1016,COLUMN($E$1),FALSE)/(LEN(VLOOKUP($D182,素材!$1:$1016,COLUMN($F$1),FALSE)) - LEN(SUBSTITUTE(VLOOKUP($D182,素材!$1:$1016,COLUMN($F$1),FALSE), "・", 0)) + 1), 0)</f>
        <v>0</v>
      </c>
      <c r="AK182">
        <f>IF(ISNUMBER(SEARCH(SUBSTITUTE(AK$1,RIGHT(AK$1,2),""),VLOOKUP($D182,素材!$1:$1016,COLUMN($F$1),FALSE))),VLOOKUP($C182,武器!$1:$998,COLUMN($O$1),FALSE)*VLOOKUP($D182,素材!$1:$1016,COLUMN($E$1),FALSE)/(LEN(VLOOKUP($D182,素材!$1:$1016,COLUMN($F$1),FALSE)) - LEN(SUBSTITUTE(VLOOKUP($D182,素材!$1:$1016,COLUMN($F$1),FALSE), "・", 0)) + 1), 0)</f>
        <v>0</v>
      </c>
      <c r="AL182">
        <f>IF(ISNUMBER(SEARCH(SUBSTITUTE(AL$1,RIGHT(AL$1,2),""),VLOOKUP($D182,素材!$1:$1016,COLUMN($F$1),FALSE))),VLOOKUP($C182,武器!$1:$998,COLUMN($O$1),FALSE)*VLOOKUP($D182,素材!$1:$1016,COLUMN($E$1),FALSE)/(LEN(VLOOKUP($D182,素材!$1:$1016,COLUMN($F$1),FALSE)) - LEN(SUBSTITUTE(VLOOKUP($D182,素材!$1:$1016,COLUMN($F$1),FALSE), "・", 0)) + 1), 0)</f>
        <v>0</v>
      </c>
      <c r="AM182">
        <f>IF(ISNUMBER(SEARCH(SUBSTITUTE(AM$1,RIGHT(AM$1,2),""),VLOOKUP($D182,素材!$1:$1016,COLUMN($F$1),FALSE))),VLOOKUP($C182,武器!$1:$998,COLUMN($O$1),FALSE)*VLOOKUP($D182,素材!$1:$1016,COLUMN($E$1),FALSE)/(LEN(VLOOKUP($D182,素材!$1:$1016,COLUMN($F$1),FALSE)) - LEN(SUBSTITUTE(VLOOKUP($D182,素材!$1:$1016,COLUMN($F$1),FALSE), "・", 0)) + 1), 0)</f>
        <v>0</v>
      </c>
      <c r="AN182">
        <f>IF(ISNUMBER(SEARCH(SUBSTITUTE(AN$1,RIGHT(AN$1,2),""),VLOOKUP($D182,素材!$1:$1016,COLUMN($F$1),FALSE))),VLOOKUP($C182,武器!$1:$998,COLUMN($O$1),FALSE)*VLOOKUP($D182,素材!$1:$1016,COLUMN($E$1),FALSE)/(LEN(VLOOKUP($D182,素材!$1:$1016,COLUMN($F$1),FALSE)) - LEN(SUBSTITUTE(VLOOKUP($D182,素材!$1:$1016,COLUMN($F$1),FALSE), "・", 0)) + 1), 0)</f>
        <v>0</v>
      </c>
      <c r="AO182">
        <f>IF(ISNUMBER(SEARCH(SUBSTITUTE(AO$1,RIGHT(AO$1,2),""),VLOOKUP($D182,素材!$1:$1016,COLUMN($F$1),FALSE))),VLOOKUP($C182,武器!$1:$998,COLUMN($O$1),FALSE)*VLOOKUP($D182,素材!$1:$1016,COLUMN($E$1),FALSE)/(LEN(VLOOKUP($D182,素材!$1:$1016,COLUMN($F$1),FALSE)) - LEN(SUBSTITUTE(VLOOKUP($D182,素材!$1:$1016,COLUMN($F$1),FALSE), "・", 0)) + 1), 0)</f>
        <v>0</v>
      </c>
      <c r="AP182">
        <f>IF(ISNUMBER(SEARCH(SUBSTITUTE(AP$1,RIGHT(AP$1,2),""),VLOOKUP($D182,素材!$1:$1016,COLUMN($F$1),FALSE))),VLOOKUP($C182,武器!$1:$998,COLUMN($O$1),FALSE)*VLOOKUP($D182,素材!$1:$1016,COLUMN($E$1),FALSE)/(LEN(VLOOKUP($D182,素材!$1:$1016,COLUMN($F$1),FALSE)) - LEN(SUBSTITUTE(VLOOKUP($D182,素材!$1:$1016,COLUMN($F$1),FALSE), "・", 0)) + 1), 0)</f>
        <v>0</v>
      </c>
      <c r="AQ182">
        <f>IF(ISNUMBER(SEARCH(SUBSTITUTE(AQ$1,RIGHT(AQ$1,2),""),VLOOKUP($D182,素材!$1:$1016,COLUMN($F$1),FALSE))),VLOOKUP($C182,武器!$1:$998,COLUMN($O$1),FALSE)*VLOOKUP($D182,素材!$1:$1016,COLUMN($E$1),FALSE)/(LEN(VLOOKUP($D182,素材!$1:$1016,COLUMN($F$1),FALSE)) - LEN(SUBSTITUTE(VLOOKUP($D182,素材!$1:$1016,COLUMN($F$1),FALSE), "・", 0)) + 1), 0)</f>
        <v>0</v>
      </c>
      <c r="AR182">
        <f>IF(ISNUMBER(SEARCH(SUBSTITUTE(AR$1,RIGHT(AR$1,2),""),VLOOKUP($D182,素材!$1:$1016,COLUMN($F$1),FALSE))),VLOOKUP($C182,武器!$1:$998,COLUMN($O$1),FALSE)*VLOOKUP($D182,素材!$1:$1016,COLUMN($E$1),FALSE)/(LEN(VLOOKUP($D182,素材!$1:$1016,COLUMN($F$1),FALSE)) - LEN(SUBSTITUTE(VLOOKUP($D182,素材!$1:$1016,COLUMN($F$1),FALSE), "・", 0)) + 1), 0)</f>
        <v>0</v>
      </c>
      <c r="AS182">
        <f>IF(ISNUMBER(SEARCH(SUBSTITUTE(AS$1,RIGHT(AS$1,2),""),VLOOKUP($D182,素材!$1:$1016,COLUMN($F$1),FALSE))),VLOOKUP($C182,武器!$1:$998,COLUMN($O$1),FALSE)*VLOOKUP($D182,素材!$1:$1016,COLUMN($E$1),FALSE)/(LEN(VLOOKUP($D182,素材!$1:$1016,COLUMN($F$1),FALSE)) - LEN(SUBSTITUTE(VLOOKUP($D182,素材!$1:$1016,COLUMN($F$1),FALSE), "・", 0)) + 1), 0)</f>
        <v>0</v>
      </c>
      <c r="AT182">
        <f>IF(ISNUMBER(SEARCH(SUBSTITUTE(AT$1,RIGHT(AT$1,2),""),VLOOKUP($D182,素材!$1:$1016,COLUMN($F$1),FALSE))),VLOOKUP($C182,武器!$1:$998,COLUMN($O$1),FALSE)*VLOOKUP($D182,素材!$1:$1016,COLUMN($E$1),FALSE)/(LEN(VLOOKUP($D182,素材!$1:$1016,COLUMN($F$1),FALSE)) - LEN(SUBSTITUTE(VLOOKUP($D182,素材!$1:$1016,COLUMN($F$1),FALSE), "・", 0)) + 1), 0)</f>
        <v>0</v>
      </c>
      <c r="AU182">
        <f>IF(ISNUMBER(SEARCH(SUBSTITUTE(AU$1,RIGHT(AU$1,2),""),VLOOKUP($D182,素材!$1:$1016,COLUMN($F$1),FALSE))),VLOOKUP($C182,武器!$1:$998,COLUMN($O$1),FALSE)*VLOOKUP($D182,素材!$1:$1016,COLUMN($E$1),FALSE)/(LEN(VLOOKUP($D182,素材!$1:$1016,COLUMN($F$1),FALSE)) - LEN(SUBSTITUTE(VLOOKUP($D182,素材!$1:$1016,COLUMN($F$1),FALSE), "・", 0)) + 1), 0)</f>
        <v>0</v>
      </c>
      <c r="AV182">
        <f>IF(ISNUMBER(SEARCH(SUBSTITUTE(AV$1,RIGHT(AV$1,2),""),VLOOKUP($D182,素材!$1:$1016,COLUMN($F$1),FALSE))),VLOOKUP($C182,武器!$1:$998,COLUMN($O$1),FALSE)*VLOOKUP($D182,素材!$1:$1016,COLUMN($E$1),FALSE)/(LEN(VLOOKUP($D182,素材!$1:$1016,COLUMN($F$1),FALSE)) - LEN(SUBSTITUTE(VLOOKUP($D182,素材!$1:$1016,COLUMN($F$1),FALSE), "・", 0)) + 1), 0)</f>
        <v>0</v>
      </c>
      <c r="AW182">
        <f>IF(ISNUMBER(SEARCH(SUBSTITUTE(AW$1,RIGHT(AW$1,2),""),VLOOKUP($D182,素材!$1:$1016,COLUMN($F$1),FALSE))),VLOOKUP($C182,武器!$1:$998,COLUMN($O$1),FALSE)*VLOOKUP($D182,素材!$1:$1016,COLUMN($E$1),FALSE)/(LEN(VLOOKUP($D182,素材!$1:$1016,COLUMN($F$1),FALSE)) - LEN(SUBSTITUTE(VLOOKUP($D182,素材!$1:$1016,COLUMN($F$1),FALSE), "・", 0)) + 1), 0)</f>
        <v>0</v>
      </c>
      <c r="AX182">
        <f>IF(ISNUMBER(SEARCH(SUBSTITUTE(AX$1,RIGHT(AX$1,2),""),VLOOKUP($D182,素材!$1:$1016,COLUMN($F$1),FALSE))),VLOOKUP($C182,武器!$1:$998,COLUMN($O$1),FALSE)*VLOOKUP($D182,素材!$1:$1016,COLUMN($E$1),FALSE)/(LEN(VLOOKUP($D182,素材!$1:$1016,COLUMN($F$1),FALSE)) - LEN(SUBSTITUTE(VLOOKUP($D182,素材!$1:$1016,COLUMN($F$1),FALSE), "・", 0)) + 1), 0)</f>
        <v>0</v>
      </c>
      <c r="AY182">
        <f>IF(ISNUMBER(SEARCH(SUBSTITUTE(AY$1,RIGHT(AY$1,2),""),VLOOKUP($D182,素材!$1:$1016,COLUMN($F$1),FALSE))),VLOOKUP($C182,武器!$1:$998,COLUMN($O$1),FALSE)*VLOOKUP($D182,素材!$1:$1016,COLUMN($E$1),FALSE)/(LEN(VLOOKUP($D182,素材!$1:$1016,COLUMN($F$1),FALSE)) - LEN(SUBSTITUTE(VLOOKUP($D182,素材!$1:$1016,COLUMN($F$1),FALSE), "・", 0)) + 1), 0)</f>
        <v>0</v>
      </c>
      <c r="AZ182">
        <f>IF(ISNUMBER(SEARCH(SUBSTITUTE(AZ$1,RIGHT(AZ$1,2),""),VLOOKUP($D182,素材!$1:$1016,COLUMN($F$1),FALSE))),VLOOKUP($C182,武器!$1:$998,COLUMN($O$1),FALSE)*VLOOKUP($D182,素材!$1:$1016,COLUMN($E$1),FALSE)/(LEN(VLOOKUP($D182,素材!$1:$1016,COLUMN($F$1),FALSE)) - LEN(SUBSTITUTE(VLOOKUP($D182,素材!$1:$1016,COLUMN($F$1),FALSE), "・", 0)) + 1), 0)</f>
        <v>0</v>
      </c>
      <c r="BA182">
        <f>IF(ISNUMBER(SEARCH(SUBSTITUTE(BA$1,RIGHT(BA$1,2),""),VLOOKUP($D182,素材!$1:$1016,COLUMN($F$1),FALSE))),VLOOKUP($C182,武器!$1:$998,COLUMN($O$1),FALSE)*VLOOKUP($D182,素材!$1:$1016,COLUMN($E$1),FALSE)/(LEN(VLOOKUP($D182,素材!$1:$1016,COLUMN($F$1),FALSE)) - LEN(SUBSTITUTE(VLOOKUP($D182,素材!$1:$1016,COLUMN($F$1),FALSE), "・", 0)) + 1), 0)</f>
        <v>0</v>
      </c>
      <c r="BB182">
        <f>IF(ISNUMBER(SEARCH(SUBSTITUTE(BB$1,RIGHT(BB$1,2),""),VLOOKUP($D182,素材!$1:$1016,COLUMN($F$1),FALSE))),VLOOKUP($C182,武器!$1:$998,COLUMN($O$1),FALSE)*VLOOKUP($D182,素材!$1:$1016,COLUMN($E$1),FALSE)/(LEN(VLOOKUP($D182,素材!$1:$1016,COLUMN($F$1),FALSE)) - LEN(SUBSTITUTE(VLOOKUP($D182,素材!$1:$1016,COLUMN($F$1),FALSE), "・", 0)) + 1), 0)</f>
        <v>0</v>
      </c>
      <c r="BC182">
        <f>IF(ISNUMBER(SEARCH(SUBSTITUTE(BC$1,RIGHT(BC$1,2),""),VLOOKUP($D182,素材!$1:$1016,COLUMN($F$1),FALSE))),VLOOKUP($C182,武器!$1:$998,COLUMN($O$1),FALSE)*VLOOKUP($D182,素材!$1:$1016,COLUMN($E$1),FALSE)/(LEN(VLOOKUP($D182,素材!$1:$1016,COLUMN($F$1),FALSE)) - LEN(SUBSTITUTE(VLOOKUP($D182,素材!$1:$1016,COLUMN($F$1),FALSE), "・", 0)) + 1), 0)</f>
        <v>0</v>
      </c>
      <c r="BD182">
        <f>IF(ISNUMBER(SEARCH(SUBSTITUTE(BD$1,RIGHT(BD$1,2),""),VLOOKUP($D182,素材!$1:$1016,COLUMN($F$1),FALSE))),VLOOKUP($C182,武器!$1:$998,COLUMN($O$1),FALSE)*VLOOKUP($D182,素材!$1:$1016,COLUMN($E$1),FALSE)/(LEN(VLOOKUP($D182,素材!$1:$1016,COLUMN($F$1),FALSE)) - LEN(SUBSTITUTE(VLOOKUP($D182,素材!$1:$1016,COLUMN($F$1),FALSE), "・", 0)) + 1), 0)</f>
        <v>0</v>
      </c>
      <c r="BE182">
        <f>IF(ISNUMBER(SEARCH(SUBSTITUTE(BE$1,RIGHT(BE$1,2),""),VLOOKUP($D182,素材!$1:$1016,COLUMN($F$1),FALSE))),VLOOKUP($C182,武器!$1:$998,COLUMN($O$1),FALSE)*VLOOKUP($D182,素材!$1:$1016,COLUMN($E$1),FALSE)/(LEN(VLOOKUP($D182,素材!$1:$1016,COLUMN($F$1),FALSE)) - LEN(SUBSTITUTE(VLOOKUP($D182,素材!$1:$1016,COLUMN($F$1),FALSE), "・", 0)) + 1), 0)</f>
        <v>0</v>
      </c>
      <c r="CL182">
        <f>SUM(G182:I182)</f>
        <v>10</v>
      </c>
      <c r="CM182" s="22" t="str">
        <f>IF(E182="武器",IF(J182-1&gt;SUM(G182:I182),"盾",IF(MAX(G182:I182)=G182,"切断",IF(MAX(G182:I182)=H182,"貫通",IF(MAX(G182:I182)=I182,"打撃","射撃")))),E182)&amp;".webp"</f>
        <v>切断.webp</v>
      </c>
      <c r="CN182">
        <f>IFERROR(VLOOKUP($C182,武器!$1:$998,COLUMN(V$1),FALSE)*VLOOKUP($D182,素材!$1:$1016,COLUMN(N$1),FALSE)+IF(CI182="",0,VLOOKUP($CI182,装強!$1:$1008,COLUMN($CK$1),FALSE)),"")</f>
        <v>2250</v>
      </c>
      <c r="CO182">
        <f>VLOOKUP(D182,素材!$A:$O,COLUMN(素材!O$1),FALSE)</f>
        <v>0</v>
      </c>
      <c r="CP182" t="str">
        <f>VLOOKUP(C182,武器!$A:$W,COLUMN(武器!W$1),FALSE)</f>
        <v>短弓。軽量で扱いやすい遠距離武器。</v>
      </c>
      <c r="CR182" t="str">
        <f t="shared" si="18"/>
        <v>e_182</v>
      </c>
      <c r="CS182">
        <f t="shared" si="22"/>
        <v>225000</v>
      </c>
    </row>
    <row r="183" spans="1:97" outlineLevel="1" x14ac:dyDescent="0.4">
      <c r="A183" t="str">
        <f t="shared" si="27"/>
        <v>黒鋼鉄の長弓</v>
      </c>
      <c r="B183" t="str">
        <f>IFERROR(VLOOKUP($D183,素材!$1:$1016,COLUMN($B$1),FALSE)&amp;"・"&amp;VLOOKUP($C183,武器!$1:$998,COLUMN(B$1),FALSE),"")</f>
        <v>ブラックスティール・ロングボウ</v>
      </c>
      <c r="C183" t="s">
        <v>217</v>
      </c>
      <c r="D183" s="24" t="s">
        <v>244</v>
      </c>
      <c r="E183" t="str">
        <f>IFERROR(VLOOKUP(C183,武器!$1:$998,COLUMN(C$1),FALSE),"")</f>
        <v>武器</v>
      </c>
      <c r="F183">
        <f>IFERROR(ROUNDDOWN((VLOOKUP($C183,武器!$1:$998,COLUMN(D$1),FALSE)+IFERROR(VLOOKUP($CI183,装強!$1:$999,COLUMN(F$1),FALSE),0))*VLOOKUP($D183,素材!$1:$1016,COLUMN(D$1),FALSE),0),"")</f>
        <v>120</v>
      </c>
      <c r="G183">
        <f>IFERROR(ROUNDDOWN((VLOOKUP($C183,武器!$1:$998,COLUMN(E$1),FALSE)+IFERROR(VLOOKUP($CI183,装強!$1:$999,COLUMN(G$1),FALSE),0))*VLOOKUP($D183,素材!$1:$1016,COLUMN($E$1),FALSE),0),"")</f>
        <v>5</v>
      </c>
      <c r="H183">
        <f>IFERROR(ROUNDDOWN((VLOOKUP($C183,武器!$1:$998,COLUMN(F$1),FALSE)+IFERROR(VLOOKUP($CI183,装強!$1:$999,COLUMN(H$1),FALSE),0))*VLOOKUP($D183,素材!$1:$1016,COLUMN($E$1),FALSE),0),"")</f>
        <v>5</v>
      </c>
      <c r="I183">
        <f>IFERROR(ROUNDDOWN((VLOOKUP($C183,武器!$1:$998,COLUMN(G$1),FALSE)+IFERROR(VLOOKUP($CI183,装強!$1:$999,COLUMN(I$1),FALSE),0))*VLOOKUP($D183,素材!$1:$1016,COLUMN($E$1),FALSE),0),"")</f>
        <v>0</v>
      </c>
      <c r="J183">
        <f>IFERROR(ROUNDDOWN((VLOOKUP($C183,武器!$1:$998,COLUMN(H$1),FALSE)+IFERROR(VLOOKUP($CI183,装強!$1:$999,COLUMN(J$1),FALSE),0))*VLOOKUP($D183,素材!$1:$1016,COLUMN($E$1),FALSE),0),"")</f>
        <v>0</v>
      </c>
      <c r="K183">
        <f>IFERROR(ROUNDDOWN((VLOOKUP($C183,武器!$1:$998,COLUMN(I$1),FALSE)+IFERROR(VLOOKUP($CI183,装強!$1:$999,COLUMN(K$1),FALSE),0))*VLOOKUP($D183,素材!$1:$1016,COLUMN($E$1),FALSE),0),"")</f>
        <v>23</v>
      </c>
      <c r="L183" t="str">
        <f>IFERROR(VLOOKUP($D183,素材!$1:$1016,COLUMN($F$1),FALSE),"")</f>
        <v>雷</v>
      </c>
      <c r="M183">
        <f>IFERROR(VLOOKUP($C183,武器!$1:$998,COLUMN(AA$1),FALSE)*VLOOKUP($D183,素材!$1:$1016,COLUMN($G$1),FALSE),"")</f>
        <v>40.25</v>
      </c>
      <c r="N183">
        <f>IFERROR(VLOOKUP($C183,武器!$1:$998,COLUMN(I$1),FALSE),"")</f>
        <v>1.1499999999999999</v>
      </c>
      <c r="O183" s="23">
        <f>IFERROR((VLOOKUP($C183,武器!$1:$998,COLUMN(K$1),FALSE)+VLOOKUP($D183,素材!$1:$1016,COLUMN(H$1),FALSE))*100+IFERROR(VLOOKUP($CI183,装強!$1:$999,COLUMN(O$1),FALSE),0),"")</f>
        <v>10</v>
      </c>
      <c r="P183" s="23">
        <f>IFERROR((VLOOKUP($C183,武器!$1:$998,COLUMN(L$1),FALSE)+VLOOKUP($D183,素材!$1:$1016,COLUMN(I$1),FALSE))*100+IFERROR(VLOOKUP($CI183,装強!$1:$999,COLUMN(P$1),FALSE),0),"")</f>
        <v>130</v>
      </c>
      <c r="Q183">
        <f>IFERROR(ROUNDUP(VLOOKUP($C183,武器!$1:$998,COLUMN(M$1),FALSE)*(VLOOKUP($D183,素材!$1:$1002,COLUMN(D$1),FALSE)/100),1),"")</f>
        <v>-5</v>
      </c>
      <c r="R183">
        <f>IFERROR(ROUNDUP(VLOOKUP($C183,武器!$1:$998,COLUMN(N$1),FALSE)*(VLOOKUP($D183,素材!$1:$1002,COLUMN(D$1),FALSE)/100),1),"")</f>
        <v>-2.5</v>
      </c>
      <c r="S183">
        <f>IFERROR(VLOOKUP($C183,武器!$1:$998,COLUMN(P$1),FALSE),"")</f>
        <v>2</v>
      </c>
      <c r="T183">
        <f>IFERROR(VLOOKUP($C183,武器!$1:$998,COLUMN(Q$1),FALSE),"")</f>
        <v>0</v>
      </c>
      <c r="U183">
        <f>IFERROR(VLOOKUP($C183,武器!$1:$998,COLUMN(R$1),FALSE),"")</f>
        <v>0</v>
      </c>
      <c r="V183">
        <f>IFERROR(VLOOKUP($C183,武器!$1:$998,COLUMN(Q$1),FALSE),"")</f>
        <v>0</v>
      </c>
      <c r="W183" t="str">
        <f>IFERROR(VLOOKUP($C183,武器!$1:$998,COLUMN(T$1),FALSE),"")</f>
        <v>A</v>
      </c>
      <c r="Y183">
        <f>IFERROR(VLOOKUP($C183,武器!$1:$998,COLUMN(U$1),FALSE),"")</f>
        <v>0</v>
      </c>
      <c r="Z183">
        <f>IFERROR(ROUNDUP(VLOOKUP($C183,武器!$1:$998,COLUMN(O$1),FALSE)*VLOOKUP($D183,素材!$1:$1016,COLUMN(E$1),FALSE),1),"")</f>
        <v>0</v>
      </c>
      <c r="AA183">
        <f>IF(ISNUMBER(SEARCH(SUBSTITUTE(AA$1,RIGHT(AA$1,2),""),VLOOKUP($D183,素材!$1:$1016,COLUMN($F$1),FALSE))),VLOOKUP($C183,武器!$1:$998,COLUMN($O$1),FALSE)*VLOOKUP($D183,素材!$1:$1016,COLUMN($E$1),FALSE)/(LEN(VLOOKUP($D183,素材!$1:$1016,COLUMN($F$1),FALSE)) - LEN(SUBSTITUTE(VLOOKUP($D183,素材!$1:$1016,COLUMN($F$1),FALSE), "・", 0)) + 1), 0)</f>
        <v>0</v>
      </c>
      <c r="AB183">
        <f>IF(ISNUMBER(SEARCH(SUBSTITUTE(AB$1,RIGHT(AB$1,2),""),VLOOKUP($D183,素材!$1:$1016,COLUMN($F$1),FALSE))),VLOOKUP($C183,武器!$1:$998,COLUMN($O$1),FALSE)*VLOOKUP($D183,素材!$1:$1016,COLUMN($E$1),FALSE)/(LEN(VLOOKUP($D183,素材!$1:$1016,COLUMN($F$1),FALSE)) - LEN(SUBSTITUTE(VLOOKUP($D183,素材!$1:$1016,COLUMN($F$1),FALSE), "・", 0)) + 1), 0)</f>
        <v>0</v>
      </c>
      <c r="AC183">
        <f>IF(ISNUMBER(SEARCH(SUBSTITUTE(AC$1,RIGHT(AC$1,2),""),VLOOKUP($D183,素材!$1:$1016,COLUMN($F$1),FALSE))),VLOOKUP($C183,武器!$1:$998,COLUMN($O$1),FALSE)*VLOOKUP($D183,素材!$1:$1016,COLUMN($E$1),FALSE)/(LEN(VLOOKUP($D183,素材!$1:$1016,COLUMN($F$1),FALSE)) - LEN(SUBSTITUTE(VLOOKUP($D183,素材!$1:$1016,COLUMN($F$1),FALSE), "・", 0)) + 1), 0)</f>
        <v>0</v>
      </c>
      <c r="AD183">
        <f>IF(ISNUMBER(SEARCH(SUBSTITUTE(AD$1,RIGHT(AD$1,2),""),VLOOKUP($D183,素材!$1:$1016,COLUMN($F$1),FALSE))),VLOOKUP($C183,武器!$1:$998,COLUMN($O$1),FALSE)*VLOOKUP($D183,素材!$1:$1016,COLUMN($E$1),FALSE)/(LEN(VLOOKUP($D183,素材!$1:$1016,COLUMN($F$1),FALSE)) - LEN(SUBSTITUTE(VLOOKUP($D183,素材!$1:$1016,COLUMN($F$1),FALSE), "・", 0)) + 1), 0)</f>
        <v>0</v>
      </c>
      <c r="AE183">
        <f>IF(ISNUMBER(SEARCH(SUBSTITUTE(AE$1,RIGHT(AE$1,2),""),VLOOKUP($D183,素材!$1:$1016,COLUMN($F$1),FALSE))),VLOOKUP($C183,武器!$1:$998,COLUMN($O$1),FALSE)*VLOOKUP($D183,素材!$1:$1016,COLUMN($E$1),FALSE)/(LEN(VLOOKUP($D183,素材!$1:$1016,COLUMN($F$1),FALSE)) - LEN(SUBSTITUTE(VLOOKUP($D183,素材!$1:$1016,COLUMN($F$1),FALSE), "・", 0)) + 1), 0)</f>
        <v>0</v>
      </c>
      <c r="AF183">
        <f>IF(ISNUMBER(SEARCH(SUBSTITUTE(AF$1,RIGHT(AF$1,2),""),VLOOKUP($D183,素材!$1:$1016,COLUMN($F$1),FALSE))),VLOOKUP($C183,武器!$1:$998,COLUMN($O$1),FALSE)*VLOOKUP($D183,素材!$1:$1016,COLUMN($E$1),FALSE)/(LEN(VLOOKUP($D183,素材!$1:$1016,COLUMN($F$1),FALSE)) - LEN(SUBSTITUTE(VLOOKUP($D183,素材!$1:$1016,COLUMN($F$1),FALSE), "・", 0)) + 1), 0)</f>
        <v>0</v>
      </c>
      <c r="AG183">
        <f>IF(ISNUMBER(SEARCH(SUBSTITUTE(AG$1,RIGHT(AG$1,2),""),VLOOKUP($D183,素材!$1:$1016,COLUMN($F$1),FALSE))),VLOOKUP($C183,武器!$1:$998,COLUMN($O$1),FALSE)*VLOOKUP($D183,素材!$1:$1016,COLUMN($E$1),FALSE)/(LEN(VLOOKUP($D183,素材!$1:$1016,COLUMN($F$1),FALSE)) - LEN(SUBSTITUTE(VLOOKUP($D183,素材!$1:$1016,COLUMN($F$1),FALSE), "・", 0)) + 1), 0)</f>
        <v>0</v>
      </c>
      <c r="AH183">
        <f>IF(ISNUMBER(SEARCH(SUBSTITUTE(AH$1,RIGHT(AH$1,2),""),VLOOKUP($D183,素材!$1:$1016,COLUMN($F$1),FALSE))),VLOOKUP($C183,武器!$1:$998,COLUMN($O$1),FALSE)*VLOOKUP($D183,素材!$1:$1016,COLUMN($E$1),FALSE)/(LEN(VLOOKUP($D183,素材!$1:$1016,COLUMN($F$1),FALSE)) - LEN(SUBSTITUTE(VLOOKUP($D183,素材!$1:$1016,COLUMN($F$1),FALSE), "・", 0)) + 1), 0)</f>
        <v>0</v>
      </c>
      <c r="AI183">
        <f>IF(ISNUMBER(SEARCH(SUBSTITUTE(AI$1,RIGHT(AI$1,2),""),VLOOKUP($D183,素材!$1:$1016,COLUMN($F$1),FALSE))),VLOOKUP($C183,武器!$1:$998,COLUMN($O$1),FALSE)*VLOOKUP($D183,素材!$1:$1016,COLUMN($E$1),FALSE)/(LEN(VLOOKUP($D183,素材!$1:$1016,COLUMN($F$1),FALSE)) - LEN(SUBSTITUTE(VLOOKUP($D183,素材!$1:$1016,COLUMN($F$1),FALSE), "・", 0)) + 1), 0)</f>
        <v>0</v>
      </c>
      <c r="AJ183">
        <f>IF(ISNUMBER(SEARCH(SUBSTITUTE(AJ$1,RIGHT(AJ$1,2),""),VLOOKUP($D183,素材!$1:$1016,COLUMN($F$1),FALSE))),VLOOKUP($C183,武器!$1:$998,COLUMN($O$1),FALSE)*VLOOKUP($D183,素材!$1:$1016,COLUMN($E$1),FALSE)/(LEN(VLOOKUP($D183,素材!$1:$1016,COLUMN($F$1),FALSE)) - LEN(SUBSTITUTE(VLOOKUP($D183,素材!$1:$1016,COLUMN($F$1),FALSE), "・", 0)) + 1), 0)</f>
        <v>0</v>
      </c>
      <c r="AK183">
        <f>IF(ISNUMBER(SEARCH(SUBSTITUTE(AK$1,RIGHT(AK$1,2),""),VLOOKUP($D183,素材!$1:$1016,COLUMN($F$1),FALSE))),VLOOKUP($C183,武器!$1:$998,COLUMN($O$1),FALSE)*VLOOKUP($D183,素材!$1:$1016,COLUMN($E$1),FALSE)/(LEN(VLOOKUP($D183,素材!$1:$1016,COLUMN($F$1),FALSE)) - LEN(SUBSTITUTE(VLOOKUP($D183,素材!$1:$1016,COLUMN($F$1),FALSE), "・", 0)) + 1), 0)</f>
        <v>0</v>
      </c>
      <c r="AL183">
        <f>IF(ISNUMBER(SEARCH(SUBSTITUTE(AL$1,RIGHT(AL$1,2),""),VLOOKUP($D183,素材!$1:$1016,COLUMN($F$1),FALSE))),VLOOKUP($C183,武器!$1:$998,COLUMN($O$1),FALSE)*VLOOKUP($D183,素材!$1:$1016,COLUMN($E$1),FALSE)/(LEN(VLOOKUP($D183,素材!$1:$1016,COLUMN($F$1),FALSE)) - LEN(SUBSTITUTE(VLOOKUP($D183,素材!$1:$1016,COLUMN($F$1),FALSE), "・", 0)) + 1), 0)</f>
        <v>0</v>
      </c>
      <c r="AM183">
        <f>IF(ISNUMBER(SEARCH(SUBSTITUTE(AM$1,RIGHT(AM$1,2),""),VLOOKUP($D183,素材!$1:$1016,COLUMN($F$1),FALSE))),VLOOKUP($C183,武器!$1:$998,COLUMN($O$1),FALSE)*VLOOKUP($D183,素材!$1:$1016,COLUMN($E$1),FALSE)/(LEN(VLOOKUP($D183,素材!$1:$1016,COLUMN($F$1),FALSE)) - LEN(SUBSTITUTE(VLOOKUP($D183,素材!$1:$1016,COLUMN($F$1),FALSE), "・", 0)) + 1), 0)</f>
        <v>0</v>
      </c>
      <c r="AN183">
        <f>IF(ISNUMBER(SEARCH(SUBSTITUTE(AN$1,RIGHT(AN$1,2),""),VLOOKUP($D183,素材!$1:$1016,COLUMN($F$1),FALSE))),VLOOKUP($C183,武器!$1:$998,COLUMN($O$1),FALSE)*VLOOKUP($D183,素材!$1:$1016,COLUMN($E$1),FALSE)/(LEN(VLOOKUP($D183,素材!$1:$1016,COLUMN($F$1),FALSE)) - LEN(SUBSTITUTE(VLOOKUP($D183,素材!$1:$1016,COLUMN($F$1),FALSE), "・", 0)) + 1), 0)</f>
        <v>0</v>
      </c>
      <c r="AO183">
        <f>IF(ISNUMBER(SEARCH(SUBSTITUTE(AO$1,RIGHT(AO$1,2),""),VLOOKUP($D183,素材!$1:$1016,COLUMN($F$1),FALSE))),VLOOKUP($C183,武器!$1:$998,COLUMN($O$1),FALSE)*VLOOKUP($D183,素材!$1:$1016,COLUMN($E$1),FALSE)/(LEN(VLOOKUP($D183,素材!$1:$1016,COLUMN($F$1),FALSE)) - LEN(SUBSTITUTE(VLOOKUP($D183,素材!$1:$1016,COLUMN($F$1),FALSE), "・", 0)) + 1), 0)</f>
        <v>0</v>
      </c>
      <c r="AP183">
        <f>IF(ISNUMBER(SEARCH(SUBSTITUTE(AP$1,RIGHT(AP$1,2),""),VLOOKUP($D183,素材!$1:$1016,COLUMN($F$1),FALSE))),VLOOKUP($C183,武器!$1:$998,COLUMN($O$1),FALSE)*VLOOKUP($D183,素材!$1:$1016,COLUMN($E$1),FALSE)/(LEN(VLOOKUP($D183,素材!$1:$1016,COLUMN($F$1),FALSE)) - LEN(SUBSTITUTE(VLOOKUP($D183,素材!$1:$1016,COLUMN($F$1),FALSE), "・", 0)) + 1), 0)</f>
        <v>0</v>
      </c>
      <c r="AQ183">
        <f>IF(ISNUMBER(SEARCH(SUBSTITUTE(AQ$1,RIGHT(AQ$1,2),""),VLOOKUP($D183,素材!$1:$1016,COLUMN($F$1),FALSE))),VLOOKUP($C183,武器!$1:$998,COLUMN($O$1),FALSE)*VLOOKUP($D183,素材!$1:$1016,COLUMN($E$1),FALSE)/(LEN(VLOOKUP($D183,素材!$1:$1016,COLUMN($F$1),FALSE)) - LEN(SUBSTITUTE(VLOOKUP($D183,素材!$1:$1016,COLUMN($F$1),FALSE), "・", 0)) + 1), 0)</f>
        <v>0</v>
      </c>
      <c r="AR183">
        <f>IF(ISNUMBER(SEARCH(SUBSTITUTE(AR$1,RIGHT(AR$1,2),""),VLOOKUP($D183,素材!$1:$1016,COLUMN($F$1),FALSE))),VLOOKUP($C183,武器!$1:$998,COLUMN($O$1),FALSE)*VLOOKUP($D183,素材!$1:$1016,COLUMN($E$1),FALSE)/(LEN(VLOOKUP($D183,素材!$1:$1016,COLUMN($F$1),FALSE)) - LEN(SUBSTITUTE(VLOOKUP($D183,素材!$1:$1016,COLUMN($F$1),FALSE), "・", 0)) + 1), 0)</f>
        <v>0</v>
      </c>
      <c r="AS183">
        <f>IF(ISNUMBER(SEARCH(SUBSTITUTE(AS$1,RIGHT(AS$1,2),""),VLOOKUP($D183,素材!$1:$1016,COLUMN($F$1),FALSE))),VLOOKUP($C183,武器!$1:$998,COLUMN($O$1),FALSE)*VLOOKUP($D183,素材!$1:$1016,COLUMN($E$1),FALSE)/(LEN(VLOOKUP($D183,素材!$1:$1016,COLUMN($F$1),FALSE)) - LEN(SUBSTITUTE(VLOOKUP($D183,素材!$1:$1016,COLUMN($F$1),FALSE), "・", 0)) + 1), 0)</f>
        <v>0</v>
      </c>
      <c r="AT183">
        <f>IF(ISNUMBER(SEARCH(SUBSTITUTE(AT$1,RIGHT(AT$1,2),""),VLOOKUP($D183,素材!$1:$1016,COLUMN($F$1),FALSE))),VLOOKUP($C183,武器!$1:$998,COLUMN($O$1),FALSE)*VLOOKUP($D183,素材!$1:$1016,COLUMN($E$1),FALSE)/(LEN(VLOOKUP($D183,素材!$1:$1016,COLUMN($F$1),FALSE)) - LEN(SUBSTITUTE(VLOOKUP($D183,素材!$1:$1016,COLUMN($F$1),FALSE), "・", 0)) + 1), 0)</f>
        <v>0</v>
      </c>
      <c r="AU183">
        <f>IF(ISNUMBER(SEARCH(SUBSTITUTE(AU$1,RIGHT(AU$1,2),""),VLOOKUP($D183,素材!$1:$1016,COLUMN($F$1),FALSE))),VLOOKUP($C183,武器!$1:$998,COLUMN($O$1),FALSE)*VLOOKUP($D183,素材!$1:$1016,COLUMN($E$1),FALSE)/(LEN(VLOOKUP($D183,素材!$1:$1016,COLUMN($F$1),FALSE)) - LEN(SUBSTITUTE(VLOOKUP($D183,素材!$1:$1016,COLUMN($F$1),FALSE), "・", 0)) + 1), 0)</f>
        <v>0</v>
      </c>
      <c r="AV183">
        <f>IF(ISNUMBER(SEARCH(SUBSTITUTE(AV$1,RIGHT(AV$1,2),""),VLOOKUP($D183,素材!$1:$1016,COLUMN($F$1),FALSE))),VLOOKUP($C183,武器!$1:$998,COLUMN($O$1),FALSE)*VLOOKUP($D183,素材!$1:$1016,COLUMN($E$1),FALSE)/(LEN(VLOOKUP($D183,素材!$1:$1016,COLUMN($F$1),FALSE)) - LEN(SUBSTITUTE(VLOOKUP($D183,素材!$1:$1016,COLUMN($F$1),FALSE), "・", 0)) + 1), 0)</f>
        <v>0</v>
      </c>
      <c r="AW183">
        <f>IF(ISNUMBER(SEARCH(SUBSTITUTE(AW$1,RIGHT(AW$1,2),""),VLOOKUP($D183,素材!$1:$1016,COLUMN($F$1),FALSE))),VLOOKUP($C183,武器!$1:$998,COLUMN($O$1),FALSE)*VLOOKUP($D183,素材!$1:$1016,COLUMN($E$1),FALSE)/(LEN(VLOOKUP($D183,素材!$1:$1016,COLUMN($F$1),FALSE)) - LEN(SUBSTITUTE(VLOOKUP($D183,素材!$1:$1016,COLUMN($F$1),FALSE), "・", 0)) + 1), 0)</f>
        <v>0</v>
      </c>
      <c r="AX183">
        <f>IF(ISNUMBER(SEARCH(SUBSTITUTE(AX$1,RIGHT(AX$1,2),""),VLOOKUP($D183,素材!$1:$1016,COLUMN($F$1),FALSE))),VLOOKUP($C183,武器!$1:$998,COLUMN($O$1),FALSE)*VLOOKUP($D183,素材!$1:$1016,COLUMN($E$1),FALSE)/(LEN(VLOOKUP($D183,素材!$1:$1016,COLUMN($F$1),FALSE)) - LEN(SUBSTITUTE(VLOOKUP($D183,素材!$1:$1016,COLUMN($F$1),FALSE), "・", 0)) + 1), 0)</f>
        <v>0</v>
      </c>
      <c r="AY183">
        <f>IF(ISNUMBER(SEARCH(SUBSTITUTE(AY$1,RIGHT(AY$1,2),""),VLOOKUP($D183,素材!$1:$1016,COLUMN($F$1),FALSE))),VLOOKUP($C183,武器!$1:$998,COLUMN($O$1),FALSE)*VLOOKUP($D183,素材!$1:$1016,COLUMN($E$1),FALSE)/(LEN(VLOOKUP($D183,素材!$1:$1016,COLUMN($F$1),FALSE)) - LEN(SUBSTITUTE(VLOOKUP($D183,素材!$1:$1016,COLUMN($F$1),FALSE), "・", 0)) + 1), 0)</f>
        <v>0</v>
      </c>
      <c r="AZ183">
        <f>IF(ISNUMBER(SEARCH(SUBSTITUTE(AZ$1,RIGHT(AZ$1,2),""),VLOOKUP($D183,素材!$1:$1016,COLUMN($F$1),FALSE))),VLOOKUP($C183,武器!$1:$998,COLUMN($O$1),FALSE)*VLOOKUP($D183,素材!$1:$1016,COLUMN($E$1),FALSE)/(LEN(VLOOKUP($D183,素材!$1:$1016,COLUMN($F$1),FALSE)) - LEN(SUBSTITUTE(VLOOKUP($D183,素材!$1:$1016,COLUMN($F$1),FALSE), "・", 0)) + 1), 0)</f>
        <v>0</v>
      </c>
      <c r="BA183">
        <f>IF(ISNUMBER(SEARCH(SUBSTITUTE(BA$1,RIGHT(BA$1,2),""),VLOOKUP($D183,素材!$1:$1016,COLUMN($F$1),FALSE))),VLOOKUP($C183,武器!$1:$998,COLUMN($O$1),FALSE)*VLOOKUP($D183,素材!$1:$1016,COLUMN($E$1),FALSE)/(LEN(VLOOKUP($D183,素材!$1:$1016,COLUMN($F$1),FALSE)) - LEN(SUBSTITUTE(VLOOKUP($D183,素材!$1:$1016,COLUMN($F$1),FALSE), "・", 0)) + 1), 0)</f>
        <v>0</v>
      </c>
      <c r="BB183">
        <f>IF(ISNUMBER(SEARCH(SUBSTITUTE(BB$1,RIGHT(BB$1,2),""),VLOOKUP($D183,素材!$1:$1016,COLUMN($F$1),FALSE))),VLOOKUP($C183,武器!$1:$998,COLUMN($O$1),FALSE)*VLOOKUP($D183,素材!$1:$1016,COLUMN($E$1),FALSE)/(LEN(VLOOKUP($D183,素材!$1:$1016,COLUMN($F$1),FALSE)) - LEN(SUBSTITUTE(VLOOKUP($D183,素材!$1:$1016,COLUMN($F$1),FALSE), "・", 0)) + 1), 0)</f>
        <v>0</v>
      </c>
      <c r="BC183">
        <f>IF(ISNUMBER(SEARCH(SUBSTITUTE(BC$1,RIGHT(BC$1,2),""),VLOOKUP($D183,素材!$1:$1016,COLUMN($F$1),FALSE))),VLOOKUP($C183,武器!$1:$998,COLUMN($O$1),FALSE)*VLOOKUP($D183,素材!$1:$1016,COLUMN($E$1),FALSE)/(LEN(VLOOKUP($D183,素材!$1:$1016,COLUMN($F$1),FALSE)) - LEN(SUBSTITUTE(VLOOKUP($D183,素材!$1:$1016,COLUMN($F$1),FALSE), "・", 0)) + 1), 0)</f>
        <v>0</v>
      </c>
      <c r="BD183">
        <f>IF(ISNUMBER(SEARCH(SUBSTITUTE(BD$1,RIGHT(BD$1,2),""),VLOOKUP($D183,素材!$1:$1016,COLUMN($F$1),FALSE))),VLOOKUP($C183,武器!$1:$998,COLUMN($O$1),FALSE)*VLOOKUP($D183,素材!$1:$1016,COLUMN($E$1),FALSE)/(LEN(VLOOKUP($D183,素材!$1:$1016,COLUMN($F$1),FALSE)) - LEN(SUBSTITUTE(VLOOKUP($D183,素材!$1:$1016,COLUMN($F$1),FALSE), "・", 0)) + 1), 0)</f>
        <v>0</v>
      </c>
      <c r="BE183">
        <f>IF(ISNUMBER(SEARCH(SUBSTITUTE(BE$1,RIGHT(BE$1,2),""),VLOOKUP($D183,素材!$1:$1016,COLUMN($F$1),FALSE))),VLOOKUP($C183,武器!$1:$998,COLUMN($O$1),FALSE)*VLOOKUP($D183,素材!$1:$1016,COLUMN($E$1),FALSE)/(LEN(VLOOKUP($D183,素材!$1:$1016,COLUMN($F$1),FALSE)) - LEN(SUBSTITUTE(VLOOKUP($D183,素材!$1:$1016,COLUMN($F$1),FALSE), "・", 0)) + 1), 0)</f>
        <v>0</v>
      </c>
      <c r="CL183">
        <f>SUM(G183:I183)</f>
        <v>10</v>
      </c>
      <c r="CM183" s="22" t="str">
        <f>IF(E183="武器",IF(J183-1&gt;SUM(G183:I183),"盾",IF(MAX(G183:I183)=G183,"切断",IF(MAX(G183:I183)=H183,"貫通",IF(MAX(G183:I183)=I183,"打撃","射撃")))),E183)&amp;".webp"</f>
        <v>切断.webp</v>
      </c>
      <c r="CN183">
        <f>IFERROR(VLOOKUP($C183,武器!$1:$998,COLUMN(V$1),FALSE)*VLOOKUP($D183,素材!$1:$1016,COLUMN(N$1),FALSE)+IF(CI183="",0,VLOOKUP($CI183,装強!$1:$1008,COLUMN($CK$1),FALSE)),"")</f>
        <v>3000</v>
      </c>
      <c r="CO183">
        <f>VLOOKUP(D183,素材!$A:$O,COLUMN(素材!O$1),FALSE)</f>
        <v>0</v>
      </c>
      <c r="CP183" t="str">
        <f>VLOOKUP(C183,武器!$A:$W,COLUMN(武器!W$1),FALSE)</f>
        <v>長弓。射程が長く、高い威力を持つ。</v>
      </c>
      <c r="CR183" t="str">
        <f t="shared" si="18"/>
        <v>e_183</v>
      </c>
      <c r="CS183">
        <f t="shared" si="22"/>
        <v>300000</v>
      </c>
    </row>
    <row r="184" spans="1:97" outlineLevel="1" x14ac:dyDescent="0.4">
      <c r="A184" t="str">
        <f t="shared" si="27"/>
        <v>黒鋼鉄の杖</v>
      </c>
      <c r="B184" t="str">
        <f>IFERROR(VLOOKUP($D184,素材!$1:$1016,COLUMN($B$1),FALSE)&amp;"・"&amp;VLOOKUP($C184,武器!$1:$998,COLUMN(B$1),FALSE),"")</f>
        <v>ブラックスティール・ロッド</v>
      </c>
      <c r="C184" t="s">
        <v>216</v>
      </c>
      <c r="D184" s="24" t="s">
        <v>244</v>
      </c>
      <c r="E184" t="str">
        <f>IFERROR(VLOOKUP(C184,武器!$1:$998,COLUMN(C$1),FALSE),"")</f>
        <v>杖</v>
      </c>
      <c r="F184">
        <f>IFERROR(ROUNDDOWN((VLOOKUP($C184,武器!$1:$998,COLUMN(D$1),FALSE)+IFERROR(VLOOKUP($CI184,装強!$1:$999,COLUMN(F$1),FALSE),0))*VLOOKUP($D184,素材!$1:$1016,COLUMN(D$1),FALSE),0),"")</f>
        <v>110</v>
      </c>
      <c r="G184">
        <f>IFERROR(ROUNDDOWN((VLOOKUP($C184,武器!$1:$998,COLUMN(E$1),FALSE)+IFERROR(VLOOKUP($CI184,装強!$1:$999,COLUMN(G$1),FALSE),0))*VLOOKUP($D184,素材!$1:$1016,COLUMN($E$1),FALSE),0),"")</f>
        <v>0</v>
      </c>
      <c r="H184">
        <f>IFERROR(ROUNDDOWN((VLOOKUP($C184,武器!$1:$998,COLUMN(F$1),FALSE)+IFERROR(VLOOKUP($CI184,装強!$1:$999,COLUMN(H$1),FALSE),0))*VLOOKUP($D184,素材!$1:$1016,COLUMN($E$1),FALSE),0),"")</f>
        <v>5</v>
      </c>
      <c r="I184">
        <f>IFERROR(ROUNDDOWN((VLOOKUP($C184,武器!$1:$998,COLUMN(G$1),FALSE)+IFERROR(VLOOKUP($CI184,装強!$1:$999,COLUMN(I$1),FALSE),0))*VLOOKUP($D184,素材!$1:$1016,COLUMN($E$1),FALSE),0),"")</f>
        <v>14</v>
      </c>
      <c r="J184">
        <f>IFERROR(ROUNDDOWN((VLOOKUP($C184,武器!$1:$998,COLUMN(H$1),FALSE)+IFERROR(VLOOKUP($CI184,装強!$1:$999,COLUMN(J$1),FALSE),0))*VLOOKUP($D184,素材!$1:$1016,COLUMN($E$1),FALSE),0),"")</f>
        <v>18</v>
      </c>
      <c r="K184">
        <f>IFERROR(ROUNDDOWN((VLOOKUP($C184,武器!$1:$998,COLUMN(I$1),FALSE)+IFERROR(VLOOKUP($CI184,装強!$1:$999,COLUMN(K$1),FALSE),0))*VLOOKUP($D184,素材!$1:$1016,COLUMN($E$1),FALSE),0),"")</f>
        <v>0</v>
      </c>
      <c r="L184" t="str">
        <f>IFERROR(VLOOKUP($D184,素材!$1:$1016,COLUMN($F$1),FALSE),"")</f>
        <v>雷</v>
      </c>
      <c r="M184">
        <f>IFERROR(VLOOKUP($C184,武器!$1:$998,COLUMN(AA$1),FALSE)*VLOOKUP($D184,素材!$1:$1016,COLUMN($G$1),FALSE),"")</f>
        <v>33.25</v>
      </c>
      <c r="N184">
        <f>IFERROR(VLOOKUP($C184,武器!$1:$998,COLUMN(I$1),FALSE),"")</f>
        <v>0</v>
      </c>
      <c r="O184" s="23">
        <f>IFERROR((VLOOKUP($C184,武器!$1:$998,COLUMN(K$1),FALSE)+VLOOKUP($D184,素材!$1:$1016,COLUMN(H$1),FALSE))*100+IFERROR(VLOOKUP($CI184,装強!$1:$999,COLUMN(O$1),FALSE),0),"")</f>
        <v>5</v>
      </c>
      <c r="P184" s="23">
        <f>IFERROR((VLOOKUP($C184,武器!$1:$998,COLUMN(L$1),FALSE)+VLOOKUP($D184,素材!$1:$1016,COLUMN(I$1),FALSE))*100+IFERROR(VLOOKUP($CI184,装強!$1:$999,COLUMN(P$1),FALSE),0),"")</f>
        <v>150</v>
      </c>
      <c r="Q184">
        <f>IFERROR(ROUNDUP(VLOOKUP($C184,武器!$1:$998,COLUMN(M$1),FALSE)*(VLOOKUP($D184,素材!$1:$1002,COLUMN(D$1),FALSE)/100),1),"")</f>
        <v>0</v>
      </c>
      <c r="R184">
        <f>IFERROR(ROUNDUP(VLOOKUP($C184,武器!$1:$998,COLUMN(N$1),FALSE)*(VLOOKUP($D184,素材!$1:$1002,COLUMN(D$1),FALSE)/100),1),"")</f>
        <v>0</v>
      </c>
      <c r="S184">
        <f>IFERROR(VLOOKUP($C184,武器!$1:$998,COLUMN(P$1),FALSE),"")</f>
        <v>0</v>
      </c>
      <c r="T184">
        <f>IFERROR(VLOOKUP($C184,武器!$1:$998,COLUMN(Q$1),FALSE),"")</f>
        <v>0</v>
      </c>
      <c r="U184">
        <f>IFERROR(VLOOKUP($C184,武器!$1:$998,COLUMN(R$1),FALSE),"")</f>
        <v>0</v>
      </c>
      <c r="V184">
        <f>IFERROR(VLOOKUP($C184,武器!$1:$998,COLUMN(Q$1),FALSE),"")</f>
        <v>0</v>
      </c>
      <c r="W184" t="str">
        <f>IFERROR(VLOOKUP($C184,武器!$1:$998,COLUMN(T$1),FALSE),"")</f>
        <v>A</v>
      </c>
      <c r="Y184" t="str">
        <f>IFERROR(VLOOKUP($C184,武器!$1:$998,COLUMN(U$1),FALSE),"")</f>
        <v>魔法無詠唱Ⅱ</v>
      </c>
      <c r="Z184">
        <f>IFERROR(ROUNDUP(VLOOKUP($C184,武器!$1:$998,COLUMN(O$1),FALSE)*VLOOKUP($D184,素材!$1:$1016,COLUMN(E$1),FALSE),1),"")</f>
        <v>0</v>
      </c>
      <c r="AA184">
        <f>IF(ISNUMBER(SEARCH(SUBSTITUTE(AA$1,RIGHT(AA$1,2),""),VLOOKUP($D184,素材!$1:$1016,COLUMN($F$1),FALSE))),VLOOKUP($C184,武器!$1:$998,COLUMN($O$1),FALSE)*VLOOKUP($D184,素材!$1:$1016,COLUMN($E$1),FALSE)/(LEN(VLOOKUP($D184,素材!$1:$1016,COLUMN($F$1),FALSE)) - LEN(SUBSTITUTE(VLOOKUP($D184,素材!$1:$1016,COLUMN($F$1),FALSE), "・", 0)) + 1), 0)</f>
        <v>0</v>
      </c>
      <c r="AB184">
        <f>IF(ISNUMBER(SEARCH(SUBSTITUTE(AB$1,RIGHT(AB$1,2),""),VLOOKUP($D184,素材!$1:$1016,COLUMN($F$1),FALSE))),VLOOKUP($C184,武器!$1:$998,COLUMN($O$1),FALSE)*VLOOKUP($D184,素材!$1:$1016,COLUMN($E$1),FALSE)/(LEN(VLOOKUP($D184,素材!$1:$1016,COLUMN($F$1),FALSE)) - LEN(SUBSTITUTE(VLOOKUP($D184,素材!$1:$1016,COLUMN($F$1),FALSE), "・", 0)) + 1), 0)</f>
        <v>0</v>
      </c>
      <c r="AC184">
        <f>IF(ISNUMBER(SEARCH(SUBSTITUTE(AC$1,RIGHT(AC$1,2),""),VLOOKUP($D184,素材!$1:$1016,COLUMN($F$1),FALSE))),VLOOKUP($C184,武器!$1:$998,COLUMN($O$1),FALSE)*VLOOKUP($D184,素材!$1:$1016,COLUMN($E$1),FALSE)/(LEN(VLOOKUP($D184,素材!$1:$1016,COLUMN($F$1),FALSE)) - LEN(SUBSTITUTE(VLOOKUP($D184,素材!$1:$1016,COLUMN($F$1),FALSE), "・", 0)) + 1), 0)</f>
        <v>0</v>
      </c>
      <c r="AD184">
        <f>IF(ISNUMBER(SEARCH(SUBSTITUTE(AD$1,RIGHT(AD$1,2),""),VLOOKUP($D184,素材!$1:$1016,COLUMN($F$1),FALSE))),VLOOKUP($C184,武器!$1:$998,COLUMN($O$1),FALSE)*VLOOKUP($D184,素材!$1:$1016,COLUMN($E$1),FALSE)/(LEN(VLOOKUP($D184,素材!$1:$1016,COLUMN($F$1),FALSE)) - LEN(SUBSTITUTE(VLOOKUP($D184,素材!$1:$1016,COLUMN($F$1),FALSE), "・", 0)) + 1), 0)</f>
        <v>0</v>
      </c>
      <c r="AE184">
        <f>IF(ISNUMBER(SEARCH(SUBSTITUTE(AE$1,RIGHT(AE$1,2),""),VLOOKUP($D184,素材!$1:$1016,COLUMN($F$1),FALSE))),VLOOKUP($C184,武器!$1:$998,COLUMN($O$1),FALSE)*VLOOKUP($D184,素材!$1:$1016,COLUMN($E$1),FALSE)/(LEN(VLOOKUP($D184,素材!$1:$1016,COLUMN($F$1),FALSE)) - LEN(SUBSTITUTE(VLOOKUP($D184,素材!$1:$1016,COLUMN($F$1),FALSE), "・", 0)) + 1), 0)</f>
        <v>0</v>
      </c>
      <c r="AF184">
        <f>IF(ISNUMBER(SEARCH(SUBSTITUTE(AF$1,RIGHT(AF$1,2),""),VLOOKUP($D184,素材!$1:$1016,COLUMN($F$1),FALSE))),VLOOKUP($C184,武器!$1:$998,COLUMN($O$1),FALSE)*VLOOKUP($D184,素材!$1:$1016,COLUMN($E$1),FALSE)/(LEN(VLOOKUP($D184,素材!$1:$1016,COLUMN($F$1),FALSE)) - LEN(SUBSTITUTE(VLOOKUP($D184,素材!$1:$1016,COLUMN($F$1),FALSE), "・", 0)) + 1), 0)</f>
        <v>0</v>
      </c>
      <c r="AG184">
        <f>IF(ISNUMBER(SEARCH(SUBSTITUTE(AG$1,RIGHT(AG$1,2),""),VLOOKUP($D184,素材!$1:$1016,COLUMN($F$1),FALSE))),VLOOKUP($C184,武器!$1:$998,COLUMN($O$1),FALSE)*VLOOKUP($D184,素材!$1:$1016,COLUMN($E$1),FALSE)/(LEN(VLOOKUP($D184,素材!$1:$1016,COLUMN($F$1),FALSE)) - LEN(SUBSTITUTE(VLOOKUP($D184,素材!$1:$1016,COLUMN($F$1),FALSE), "・", 0)) + 1), 0)</f>
        <v>0</v>
      </c>
      <c r="AH184">
        <f>IF(ISNUMBER(SEARCH(SUBSTITUTE(AH$1,RIGHT(AH$1,2),""),VLOOKUP($D184,素材!$1:$1016,COLUMN($F$1),FALSE))),VLOOKUP($C184,武器!$1:$998,COLUMN($O$1),FALSE)*VLOOKUP($D184,素材!$1:$1016,COLUMN($E$1),FALSE)/(LEN(VLOOKUP($D184,素材!$1:$1016,COLUMN($F$1),FALSE)) - LEN(SUBSTITUTE(VLOOKUP($D184,素材!$1:$1016,COLUMN($F$1),FALSE), "・", 0)) + 1), 0)</f>
        <v>0</v>
      </c>
      <c r="AI184">
        <f>IF(ISNUMBER(SEARCH(SUBSTITUTE(AI$1,RIGHT(AI$1,2),""),VLOOKUP($D184,素材!$1:$1016,COLUMN($F$1),FALSE))),VLOOKUP($C184,武器!$1:$998,COLUMN($O$1),FALSE)*VLOOKUP($D184,素材!$1:$1016,COLUMN($E$1),FALSE)/(LEN(VLOOKUP($D184,素材!$1:$1016,COLUMN($F$1),FALSE)) - LEN(SUBSTITUTE(VLOOKUP($D184,素材!$1:$1016,COLUMN($F$1),FALSE), "・", 0)) + 1), 0)</f>
        <v>0</v>
      </c>
      <c r="AJ184">
        <f>IF(ISNUMBER(SEARCH(SUBSTITUTE(AJ$1,RIGHT(AJ$1,2),""),VLOOKUP($D184,素材!$1:$1016,COLUMN($F$1),FALSE))),VLOOKUP($C184,武器!$1:$998,COLUMN($O$1),FALSE)*VLOOKUP($D184,素材!$1:$1016,COLUMN($E$1),FALSE)/(LEN(VLOOKUP($D184,素材!$1:$1016,COLUMN($F$1),FALSE)) - LEN(SUBSTITUTE(VLOOKUP($D184,素材!$1:$1016,COLUMN($F$1),FALSE), "・", 0)) + 1), 0)</f>
        <v>0</v>
      </c>
      <c r="AK184">
        <f>IF(ISNUMBER(SEARCH(SUBSTITUTE(AK$1,RIGHT(AK$1,2),""),VLOOKUP($D184,素材!$1:$1016,COLUMN($F$1),FALSE))),VLOOKUP($C184,武器!$1:$998,COLUMN($O$1),FALSE)*VLOOKUP($D184,素材!$1:$1016,COLUMN($E$1),FALSE)/(LEN(VLOOKUP($D184,素材!$1:$1016,COLUMN($F$1),FALSE)) - LEN(SUBSTITUTE(VLOOKUP($D184,素材!$1:$1016,COLUMN($F$1),FALSE), "・", 0)) + 1), 0)</f>
        <v>0</v>
      </c>
      <c r="AL184">
        <f>IF(ISNUMBER(SEARCH(SUBSTITUTE(AL$1,RIGHT(AL$1,2),""),VLOOKUP($D184,素材!$1:$1016,COLUMN($F$1),FALSE))),VLOOKUP($C184,武器!$1:$998,COLUMN($O$1),FALSE)*VLOOKUP($D184,素材!$1:$1016,COLUMN($E$1),FALSE)/(LEN(VLOOKUP($D184,素材!$1:$1016,COLUMN($F$1),FALSE)) - LEN(SUBSTITUTE(VLOOKUP($D184,素材!$1:$1016,COLUMN($F$1),FALSE), "・", 0)) + 1), 0)</f>
        <v>0</v>
      </c>
      <c r="AM184">
        <f>IF(ISNUMBER(SEARCH(SUBSTITUTE(AM$1,RIGHT(AM$1,2),""),VLOOKUP($D184,素材!$1:$1016,COLUMN($F$1),FALSE))),VLOOKUP($C184,武器!$1:$998,COLUMN($O$1),FALSE)*VLOOKUP($D184,素材!$1:$1016,COLUMN($E$1),FALSE)/(LEN(VLOOKUP($D184,素材!$1:$1016,COLUMN($F$1),FALSE)) - LEN(SUBSTITUTE(VLOOKUP($D184,素材!$1:$1016,COLUMN($F$1),FALSE), "・", 0)) + 1), 0)</f>
        <v>0</v>
      </c>
      <c r="AN184">
        <f>IF(ISNUMBER(SEARCH(SUBSTITUTE(AN$1,RIGHT(AN$1,2),""),VLOOKUP($D184,素材!$1:$1016,COLUMN($F$1),FALSE))),VLOOKUP($C184,武器!$1:$998,COLUMN($O$1),FALSE)*VLOOKUP($D184,素材!$1:$1016,COLUMN($E$1),FALSE)/(LEN(VLOOKUP($D184,素材!$1:$1016,COLUMN($F$1),FALSE)) - LEN(SUBSTITUTE(VLOOKUP($D184,素材!$1:$1016,COLUMN($F$1),FALSE), "・", 0)) + 1), 0)</f>
        <v>0</v>
      </c>
      <c r="AO184">
        <f>IF(ISNUMBER(SEARCH(SUBSTITUTE(AO$1,RIGHT(AO$1,2),""),VLOOKUP($D184,素材!$1:$1016,COLUMN($F$1),FALSE))),VLOOKUP($C184,武器!$1:$998,COLUMN($O$1),FALSE)*VLOOKUP($D184,素材!$1:$1016,COLUMN($E$1),FALSE)/(LEN(VLOOKUP($D184,素材!$1:$1016,COLUMN($F$1),FALSE)) - LEN(SUBSTITUTE(VLOOKUP($D184,素材!$1:$1016,COLUMN($F$1),FALSE), "・", 0)) + 1), 0)</f>
        <v>0</v>
      </c>
      <c r="AP184">
        <f>IF(ISNUMBER(SEARCH(SUBSTITUTE(AP$1,RIGHT(AP$1,2),""),VLOOKUP($D184,素材!$1:$1016,COLUMN($F$1),FALSE))),VLOOKUP($C184,武器!$1:$998,COLUMN($O$1),FALSE)*VLOOKUP($D184,素材!$1:$1016,COLUMN($E$1),FALSE)/(LEN(VLOOKUP($D184,素材!$1:$1016,COLUMN($F$1),FALSE)) - LEN(SUBSTITUTE(VLOOKUP($D184,素材!$1:$1016,COLUMN($F$1),FALSE), "・", 0)) + 1), 0)</f>
        <v>0</v>
      </c>
      <c r="AQ184">
        <f>IF(ISNUMBER(SEARCH(SUBSTITUTE(AQ$1,RIGHT(AQ$1,2),""),VLOOKUP($D184,素材!$1:$1016,COLUMN($F$1),FALSE))),VLOOKUP($C184,武器!$1:$998,COLUMN($O$1),FALSE)*VLOOKUP($D184,素材!$1:$1016,COLUMN($E$1),FALSE)/(LEN(VLOOKUP($D184,素材!$1:$1016,COLUMN($F$1),FALSE)) - LEN(SUBSTITUTE(VLOOKUP($D184,素材!$1:$1016,COLUMN($F$1),FALSE), "・", 0)) + 1), 0)</f>
        <v>0</v>
      </c>
      <c r="AR184">
        <f>IF(ISNUMBER(SEARCH(SUBSTITUTE(AR$1,RIGHT(AR$1,2),""),VLOOKUP($D184,素材!$1:$1016,COLUMN($F$1),FALSE))),VLOOKUP($C184,武器!$1:$998,COLUMN($O$1),FALSE)*VLOOKUP($D184,素材!$1:$1016,COLUMN($E$1),FALSE)/(LEN(VLOOKUP($D184,素材!$1:$1016,COLUMN($F$1),FALSE)) - LEN(SUBSTITUTE(VLOOKUP($D184,素材!$1:$1016,COLUMN($F$1),FALSE), "・", 0)) + 1), 0)</f>
        <v>0</v>
      </c>
      <c r="AS184">
        <f>IF(ISNUMBER(SEARCH(SUBSTITUTE(AS$1,RIGHT(AS$1,2),""),VLOOKUP($D184,素材!$1:$1016,COLUMN($F$1),FALSE))),VLOOKUP($C184,武器!$1:$998,COLUMN($O$1),FALSE)*VLOOKUP($D184,素材!$1:$1016,COLUMN($E$1),FALSE)/(LEN(VLOOKUP($D184,素材!$1:$1016,COLUMN($F$1),FALSE)) - LEN(SUBSTITUTE(VLOOKUP($D184,素材!$1:$1016,COLUMN($F$1),FALSE), "・", 0)) + 1), 0)</f>
        <v>0</v>
      </c>
      <c r="AT184">
        <f>IF(ISNUMBER(SEARCH(SUBSTITUTE(AT$1,RIGHT(AT$1,2),""),VLOOKUP($D184,素材!$1:$1016,COLUMN($F$1),FALSE))),VLOOKUP($C184,武器!$1:$998,COLUMN($O$1),FALSE)*VLOOKUP($D184,素材!$1:$1016,COLUMN($E$1),FALSE)/(LEN(VLOOKUP($D184,素材!$1:$1016,COLUMN($F$1),FALSE)) - LEN(SUBSTITUTE(VLOOKUP($D184,素材!$1:$1016,COLUMN($F$1),FALSE), "・", 0)) + 1), 0)</f>
        <v>0</v>
      </c>
      <c r="AU184">
        <f>IF(ISNUMBER(SEARCH(SUBSTITUTE(AU$1,RIGHT(AU$1,2),""),VLOOKUP($D184,素材!$1:$1016,COLUMN($F$1),FALSE))),VLOOKUP($C184,武器!$1:$998,COLUMN($O$1),FALSE)*VLOOKUP($D184,素材!$1:$1016,COLUMN($E$1),FALSE)/(LEN(VLOOKUP($D184,素材!$1:$1016,COLUMN($F$1),FALSE)) - LEN(SUBSTITUTE(VLOOKUP($D184,素材!$1:$1016,COLUMN($F$1),FALSE), "・", 0)) + 1), 0)</f>
        <v>0</v>
      </c>
      <c r="AV184">
        <f>IF(ISNUMBER(SEARCH(SUBSTITUTE(AV$1,RIGHT(AV$1,2),""),VLOOKUP($D184,素材!$1:$1016,COLUMN($F$1),FALSE))),VLOOKUP($C184,武器!$1:$998,COLUMN($O$1),FALSE)*VLOOKUP($D184,素材!$1:$1016,COLUMN($E$1),FALSE)/(LEN(VLOOKUP($D184,素材!$1:$1016,COLUMN($F$1),FALSE)) - LEN(SUBSTITUTE(VLOOKUP($D184,素材!$1:$1016,COLUMN($F$1),FALSE), "・", 0)) + 1), 0)</f>
        <v>0</v>
      </c>
      <c r="AW184">
        <f>IF(ISNUMBER(SEARCH(SUBSTITUTE(AW$1,RIGHT(AW$1,2),""),VLOOKUP($D184,素材!$1:$1016,COLUMN($F$1),FALSE))),VLOOKUP($C184,武器!$1:$998,COLUMN($O$1),FALSE)*VLOOKUP($D184,素材!$1:$1016,COLUMN($E$1),FALSE)/(LEN(VLOOKUP($D184,素材!$1:$1016,COLUMN($F$1),FALSE)) - LEN(SUBSTITUTE(VLOOKUP($D184,素材!$1:$1016,COLUMN($F$1),FALSE), "・", 0)) + 1), 0)</f>
        <v>0</v>
      </c>
      <c r="AX184">
        <f>IF(ISNUMBER(SEARCH(SUBSTITUTE(AX$1,RIGHT(AX$1,2),""),VLOOKUP($D184,素材!$1:$1016,COLUMN($F$1),FALSE))),VLOOKUP($C184,武器!$1:$998,COLUMN($O$1),FALSE)*VLOOKUP($D184,素材!$1:$1016,COLUMN($E$1),FALSE)/(LEN(VLOOKUP($D184,素材!$1:$1016,COLUMN($F$1),FALSE)) - LEN(SUBSTITUTE(VLOOKUP($D184,素材!$1:$1016,COLUMN($F$1),FALSE), "・", 0)) + 1), 0)</f>
        <v>0</v>
      </c>
      <c r="AY184">
        <f>IF(ISNUMBER(SEARCH(SUBSTITUTE(AY$1,RIGHT(AY$1,2),""),VLOOKUP($D184,素材!$1:$1016,COLUMN($F$1),FALSE))),VLOOKUP($C184,武器!$1:$998,COLUMN($O$1),FALSE)*VLOOKUP($D184,素材!$1:$1016,COLUMN($E$1),FALSE)/(LEN(VLOOKUP($D184,素材!$1:$1016,COLUMN($F$1),FALSE)) - LEN(SUBSTITUTE(VLOOKUP($D184,素材!$1:$1016,COLUMN($F$1),FALSE), "・", 0)) + 1), 0)</f>
        <v>0</v>
      </c>
      <c r="AZ184">
        <f>IF(ISNUMBER(SEARCH(SUBSTITUTE(AZ$1,RIGHT(AZ$1,2),""),VLOOKUP($D184,素材!$1:$1016,COLUMN($F$1),FALSE))),VLOOKUP($C184,武器!$1:$998,COLUMN($O$1),FALSE)*VLOOKUP($D184,素材!$1:$1016,COLUMN($E$1),FALSE)/(LEN(VLOOKUP($D184,素材!$1:$1016,COLUMN($F$1),FALSE)) - LEN(SUBSTITUTE(VLOOKUP($D184,素材!$1:$1016,COLUMN($F$1),FALSE), "・", 0)) + 1), 0)</f>
        <v>0</v>
      </c>
      <c r="BA184">
        <f>IF(ISNUMBER(SEARCH(SUBSTITUTE(BA$1,RIGHT(BA$1,2),""),VLOOKUP($D184,素材!$1:$1016,COLUMN($F$1),FALSE))),VLOOKUP($C184,武器!$1:$998,COLUMN($O$1),FALSE)*VLOOKUP($D184,素材!$1:$1016,COLUMN($E$1),FALSE)/(LEN(VLOOKUP($D184,素材!$1:$1016,COLUMN($F$1),FALSE)) - LEN(SUBSTITUTE(VLOOKUP($D184,素材!$1:$1016,COLUMN($F$1),FALSE), "・", 0)) + 1), 0)</f>
        <v>0</v>
      </c>
      <c r="BB184">
        <f>IF(ISNUMBER(SEARCH(SUBSTITUTE(BB$1,RIGHT(BB$1,2),""),VLOOKUP($D184,素材!$1:$1016,COLUMN($F$1),FALSE))),VLOOKUP($C184,武器!$1:$998,COLUMN($O$1),FALSE)*VLOOKUP($D184,素材!$1:$1016,COLUMN($E$1),FALSE)/(LEN(VLOOKUP($D184,素材!$1:$1016,COLUMN($F$1),FALSE)) - LEN(SUBSTITUTE(VLOOKUP($D184,素材!$1:$1016,COLUMN($F$1),FALSE), "・", 0)) + 1), 0)</f>
        <v>0</v>
      </c>
      <c r="BC184">
        <f>IF(ISNUMBER(SEARCH(SUBSTITUTE(BC$1,RIGHT(BC$1,2),""),VLOOKUP($D184,素材!$1:$1016,COLUMN($F$1),FALSE))),VLOOKUP($C184,武器!$1:$998,COLUMN($O$1),FALSE)*VLOOKUP($D184,素材!$1:$1016,COLUMN($E$1),FALSE)/(LEN(VLOOKUP($D184,素材!$1:$1016,COLUMN($F$1),FALSE)) - LEN(SUBSTITUTE(VLOOKUP($D184,素材!$1:$1016,COLUMN($F$1),FALSE), "・", 0)) + 1), 0)</f>
        <v>0</v>
      </c>
      <c r="BD184">
        <f>IF(ISNUMBER(SEARCH(SUBSTITUTE(BD$1,RIGHT(BD$1,2),""),VLOOKUP($D184,素材!$1:$1016,COLUMN($F$1),FALSE))),VLOOKUP($C184,武器!$1:$998,COLUMN($O$1),FALSE)*VLOOKUP($D184,素材!$1:$1016,COLUMN($E$1),FALSE)/(LEN(VLOOKUP($D184,素材!$1:$1016,COLUMN($F$1),FALSE)) - LEN(SUBSTITUTE(VLOOKUP($D184,素材!$1:$1016,COLUMN($F$1),FALSE), "・", 0)) + 1), 0)</f>
        <v>0</v>
      </c>
      <c r="BE184">
        <f>IF(ISNUMBER(SEARCH(SUBSTITUTE(BE$1,RIGHT(BE$1,2),""),VLOOKUP($D184,素材!$1:$1016,COLUMN($F$1),FALSE))),VLOOKUP($C184,武器!$1:$998,COLUMN($O$1),FALSE)*VLOOKUP($D184,素材!$1:$1016,COLUMN($E$1),FALSE)/(LEN(VLOOKUP($D184,素材!$1:$1016,COLUMN($F$1),FALSE)) - LEN(SUBSTITUTE(VLOOKUP($D184,素材!$1:$1016,COLUMN($F$1),FALSE), "・", 0)) + 1), 0)</f>
        <v>0</v>
      </c>
      <c r="CL184">
        <f>SUM(G184:I184)</f>
        <v>19</v>
      </c>
      <c r="CM184" s="22" t="str">
        <f>IF(E184="武器",IF(J184-1&gt;SUM(G184:I184),"盾",IF(MAX(G184:I184)=G184,"切断",IF(MAX(G184:I184)=H184,"貫通",IF(MAX(G184:I184)=I184,"打撃","射撃")))),E184)&amp;".webp"</f>
        <v>杖.webp</v>
      </c>
      <c r="CN184">
        <f>IFERROR(VLOOKUP($C184,武器!$1:$998,COLUMN(V$1),FALSE)*VLOOKUP($D184,素材!$1:$1016,COLUMN(N$1),FALSE)+IF(CI184="",0,VLOOKUP($CI184,装強!$1:$1008,COLUMN($CK$1),FALSE)),"")</f>
        <v>3000</v>
      </c>
      <c r="CO184">
        <f>VLOOKUP(D184,素材!$A:$O,COLUMN(素材!O$1),FALSE)</f>
        <v>0</v>
      </c>
      <c r="CP184" t="str">
        <f>VLOOKUP(C184,武器!$A:$W,COLUMN(武器!W$1),FALSE)</f>
        <v>杖。バランスの取れた魔法武器。</v>
      </c>
      <c r="CR184" t="str">
        <f t="shared" si="18"/>
        <v>e_184</v>
      </c>
      <c r="CS184">
        <f t="shared" si="22"/>
        <v>300000</v>
      </c>
    </row>
    <row r="185" spans="1:97" outlineLevel="1" x14ac:dyDescent="0.4">
      <c r="A185" t="str">
        <f t="shared" si="27"/>
        <v>黒鋼鉄の長杖</v>
      </c>
      <c r="B185" t="str">
        <f>IFERROR(VLOOKUP($D185,素材!$1:$1016,COLUMN($B$1),FALSE)&amp;"・"&amp;VLOOKUP($C185,武器!$1:$998,COLUMN(B$1),FALSE),"")</f>
        <v>ブラックスティール・スタッフ</v>
      </c>
      <c r="C185" t="s">
        <v>215</v>
      </c>
      <c r="D185" s="24" t="s">
        <v>244</v>
      </c>
      <c r="E185" t="str">
        <f>IFERROR(VLOOKUP(C185,武器!$1:$998,COLUMN(C$1),FALSE),"")</f>
        <v>杖</v>
      </c>
      <c r="F185">
        <f>IFERROR(ROUNDDOWN((VLOOKUP($C185,武器!$1:$998,COLUMN(D$1),FALSE)+IFERROR(VLOOKUP($CI185,装強!$1:$999,COLUMN(F$1),FALSE),0))*VLOOKUP($D185,素材!$1:$1016,COLUMN(D$1),FALSE),0),"")</f>
        <v>115</v>
      </c>
      <c r="G185">
        <f>IFERROR(ROUNDDOWN((VLOOKUP($C185,武器!$1:$998,COLUMN(E$1),FALSE)+IFERROR(VLOOKUP($CI185,装強!$1:$999,COLUMN(G$1),FALSE),0))*VLOOKUP($D185,素材!$1:$1016,COLUMN($E$1),FALSE),0),"")</f>
        <v>0</v>
      </c>
      <c r="H185">
        <f>IFERROR(ROUNDDOWN((VLOOKUP($C185,武器!$1:$998,COLUMN(F$1),FALSE)+IFERROR(VLOOKUP($CI185,装強!$1:$999,COLUMN(H$1),FALSE),0))*VLOOKUP($D185,素材!$1:$1016,COLUMN($E$1),FALSE),0),"")</f>
        <v>6</v>
      </c>
      <c r="I185">
        <f>IFERROR(ROUNDDOWN((VLOOKUP($C185,武器!$1:$998,COLUMN(G$1),FALSE)+IFERROR(VLOOKUP($CI185,装強!$1:$999,COLUMN(I$1),FALSE),0))*VLOOKUP($D185,素材!$1:$1016,COLUMN($E$1),FALSE),0),"")</f>
        <v>16</v>
      </c>
      <c r="J185">
        <f>IFERROR(ROUNDDOWN((VLOOKUP($C185,武器!$1:$998,COLUMN(H$1),FALSE)+IFERROR(VLOOKUP($CI185,装強!$1:$999,COLUMN(J$1),FALSE),0))*VLOOKUP($D185,素材!$1:$1016,COLUMN($E$1),FALSE),0),"")</f>
        <v>19</v>
      </c>
      <c r="K185">
        <f>IFERROR(ROUNDDOWN((VLOOKUP($C185,武器!$1:$998,COLUMN(I$1),FALSE)+IFERROR(VLOOKUP($CI185,装強!$1:$999,COLUMN(K$1),FALSE),0))*VLOOKUP($D185,素材!$1:$1016,COLUMN($E$1),FALSE),0),"")</f>
        <v>0</v>
      </c>
      <c r="L185" t="str">
        <f>IFERROR(VLOOKUP($D185,素材!$1:$1016,COLUMN($F$1),FALSE),"")</f>
        <v>雷</v>
      </c>
      <c r="M185">
        <f>IFERROR(VLOOKUP($C185,武器!$1:$998,COLUMN(AA$1),FALSE)*VLOOKUP($D185,素材!$1:$1016,COLUMN($G$1),FALSE),"")</f>
        <v>38.5</v>
      </c>
      <c r="N185">
        <f>IFERROR(VLOOKUP($C185,武器!$1:$998,COLUMN(I$1),FALSE),"")</f>
        <v>0</v>
      </c>
      <c r="O185" s="23">
        <f>IFERROR((VLOOKUP($C185,武器!$1:$998,COLUMN(K$1),FALSE)+VLOOKUP($D185,素材!$1:$1016,COLUMN(H$1),FALSE))*100+IFERROR(VLOOKUP($CI185,装強!$1:$999,COLUMN(O$1),FALSE),0),"")</f>
        <v>5</v>
      </c>
      <c r="P185" s="23">
        <f>IFERROR((VLOOKUP($C185,武器!$1:$998,COLUMN(L$1),FALSE)+VLOOKUP($D185,素材!$1:$1016,COLUMN(I$1),FALSE))*100+IFERROR(VLOOKUP($CI185,装強!$1:$999,COLUMN(P$1),FALSE),0),"")</f>
        <v>150</v>
      </c>
      <c r="Q185">
        <f>IFERROR(ROUNDUP(VLOOKUP($C185,武器!$1:$998,COLUMN(M$1),FALSE)*(VLOOKUP($D185,素材!$1:$1002,COLUMN(D$1),FALSE)/100),1),"")</f>
        <v>-4</v>
      </c>
      <c r="R185">
        <f>IFERROR(ROUNDUP(VLOOKUP($C185,武器!$1:$998,COLUMN(N$1),FALSE)*(VLOOKUP($D185,素材!$1:$1002,COLUMN(D$1),FALSE)/100),1),"")</f>
        <v>-4</v>
      </c>
      <c r="S185">
        <f>IFERROR(VLOOKUP($C185,武器!$1:$998,COLUMN(P$1),FALSE),"")</f>
        <v>0</v>
      </c>
      <c r="T185">
        <f>IFERROR(VLOOKUP($C185,武器!$1:$998,COLUMN(Q$1),FALSE),"")</f>
        <v>0</v>
      </c>
      <c r="U185">
        <f>IFERROR(VLOOKUP($C185,武器!$1:$998,COLUMN(R$1),FALSE),"")</f>
        <v>0</v>
      </c>
      <c r="V185">
        <f>IFERROR(VLOOKUP($C185,武器!$1:$998,COLUMN(Q$1),FALSE),"")</f>
        <v>0</v>
      </c>
      <c r="W185" t="str">
        <f>IFERROR(VLOOKUP($C185,武器!$1:$998,COLUMN(T$1),FALSE),"")</f>
        <v>A</v>
      </c>
      <c r="Y185" t="str">
        <f>IFERROR(VLOOKUP($C185,武器!$1:$998,COLUMN(U$1),FALSE),"")</f>
        <v>魔法無詠唱Ⅲ</v>
      </c>
      <c r="Z185">
        <f>IFERROR(ROUNDUP(VLOOKUP($C185,武器!$1:$998,COLUMN(O$1),FALSE)*VLOOKUP($D185,素材!$1:$1016,COLUMN(E$1),FALSE),1),"")</f>
        <v>0</v>
      </c>
      <c r="AA185">
        <f>IF(ISNUMBER(SEARCH(SUBSTITUTE(AA$1,RIGHT(AA$1,2),""),VLOOKUP($D185,素材!$1:$1016,COLUMN($F$1),FALSE))),VLOOKUP($C185,武器!$1:$998,COLUMN($O$1),FALSE)*VLOOKUP($D185,素材!$1:$1016,COLUMN($E$1),FALSE)/(LEN(VLOOKUP($D185,素材!$1:$1016,COLUMN($F$1),FALSE)) - LEN(SUBSTITUTE(VLOOKUP($D185,素材!$1:$1016,COLUMN($F$1),FALSE), "・", 0)) + 1), 0)</f>
        <v>0</v>
      </c>
      <c r="AB185">
        <f>IF(ISNUMBER(SEARCH(SUBSTITUTE(AB$1,RIGHT(AB$1,2),""),VLOOKUP($D185,素材!$1:$1016,COLUMN($F$1),FALSE))),VLOOKUP($C185,武器!$1:$998,COLUMN($O$1),FALSE)*VLOOKUP($D185,素材!$1:$1016,COLUMN($E$1),FALSE)/(LEN(VLOOKUP($D185,素材!$1:$1016,COLUMN($F$1),FALSE)) - LEN(SUBSTITUTE(VLOOKUP($D185,素材!$1:$1016,COLUMN($F$1),FALSE), "・", 0)) + 1), 0)</f>
        <v>0</v>
      </c>
      <c r="AC185">
        <f>IF(ISNUMBER(SEARCH(SUBSTITUTE(AC$1,RIGHT(AC$1,2),""),VLOOKUP($D185,素材!$1:$1016,COLUMN($F$1),FALSE))),VLOOKUP($C185,武器!$1:$998,COLUMN($O$1),FALSE)*VLOOKUP($D185,素材!$1:$1016,COLUMN($E$1),FALSE)/(LEN(VLOOKUP($D185,素材!$1:$1016,COLUMN($F$1),FALSE)) - LEN(SUBSTITUTE(VLOOKUP($D185,素材!$1:$1016,COLUMN($F$1),FALSE), "・", 0)) + 1), 0)</f>
        <v>0</v>
      </c>
      <c r="AD185">
        <f>IF(ISNUMBER(SEARCH(SUBSTITUTE(AD$1,RIGHT(AD$1,2),""),VLOOKUP($D185,素材!$1:$1016,COLUMN($F$1),FALSE))),VLOOKUP($C185,武器!$1:$998,COLUMN($O$1),FALSE)*VLOOKUP($D185,素材!$1:$1016,COLUMN($E$1),FALSE)/(LEN(VLOOKUP($D185,素材!$1:$1016,COLUMN($F$1),FALSE)) - LEN(SUBSTITUTE(VLOOKUP($D185,素材!$1:$1016,COLUMN($F$1),FALSE), "・", 0)) + 1), 0)</f>
        <v>0</v>
      </c>
      <c r="AE185">
        <f>IF(ISNUMBER(SEARCH(SUBSTITUTE(AE$1,RIGHT(AE$1,2),""),VLOOKUP($D185,素材!$1:$1016,COLUMN($F$1),FALSE))),VLOOKUP($C185,武器!$1:$998,COLUMN($O$1),FALSE)*VLOOKUP($D185,素材!$1:$1016,COLUMN($E$1),FALSE)/(LEN(VLOOKUP($D185,素材!$1:$1016,COLUMN($F$1),FALSE)) - LEN(SUBSTITUTE(VLOOKUP($D185,素材!$1:$1016,COLUMN($F$1),FALSE), "・", 0)) + 1), 0)</f>
        <v>0</v>
      </c>
      <c r="AF185">
        <f>IF(ISNUMBER(SEARCH(SUBSTITUTE(AF$1,RIGHT(AF$1,2),""),VLOOKUP($D185,素材!$1:$1016,COLUMN($F$1),FALSE))),VLOOKUP($C185,武器!$1:$998,COLUMN($O$1),FALSE)*VLOOKUP($D185,素材!$1:$1016,COLUMN($E$1),FALSE)/(LEN(VLOOKUP($D185,素材!$1:$1016,COLUMN($F$1),FALSE)) - LEN(SUBSTITUTE(VLOOKUP($D185,素材!$1:$1016,COLUMN($F$1),FALSE), "・", 0)) + 1), 0)</f>
        <v>0</v>
      </c>
      <c r="AG185">
        <f>IF(ISNUMBER(SEARCH(SUBSTITUTE(AG$1,RIGHT(AG$1,2),""),VLOOKUP($D185,素材!$1:$1016,COLUMN($F$1),FALSE))),VLOOKUP($C185,武器!$1:$998,COLUMN($O$1),FALSE)*VLOOKUP($D185,素材!$1:$1016,COLUMN($E$1),FALSE)/(LEN(VLOOKUP($D185,素材!$1:$1016,COLUMN($F$1),FALSE)) - LEN(SUBSTITUTE(VLOOKUP($D185,素材!$1:$1016,COLUMN($F$1),FALSE), "・", 0)) + 1), 0)</f>
        <v>0</v>
      </c>
      <c r="AH185">
        <f>IF(ISNUMBER(SEARCH(SUBSTITUTE(AH$1,RIGHT(AH$1,2),""),VLOOKUP($D185,素材!$1:$1016,COLUMN($F$1),FALSE))),VLOOKUP($C185,武器!$1:$998,COLUMN($O$1),FALSE)*VLOOKUP($D185,素材!$1:$1016,COLUMN($E$1),FALSE)/(LEN(VLOOKUP($D185,素材!$1:$1016,COLUMN($F$1),FALSE)) - LEN(SUBSTITUTE(VLOOKUP($D185,素材!$1:$1016,COLUMN($F$1),FALSE), "・", 0)) + 1), 0)</f>
        <v>0</v>
      </c>
      <c r="AI185">
        <f>IF(ISNUMBER(SEARCH(SUBSTITUTE(AI$1,RIGHT(AI$1,2),""),VLOOKUP($D185,素材!$1:$1016,COLUMN($F$1),FALSE))),VLOOKUP($C185,武器!$1:$998,COLUMN($O$1),FALSE)*VLOOKUP($D185,素材!$1:$1016,COLUMN($E$1),FALSE)/(LEN(VLOOKUP($D185,素材!$1:$1016,COLUMN($F$1),FALSE)) - LEN(SUBSTITUTE(VLOOKUP($D185,素材!$1:$1016,COLUMN($F$1),FALSE), "・", 0)) + 1), 0)</f>
        <v>0</v>
      </c>
      <c r="AJ185">
        <f>IF(ISNUMBER(SEARCH(SUBSTITUTE(AJ$1,RIGHT(AJ$1,2),""),VLOOKUP($D185,素材!$1:$1016,COLUMN($F$1),FALSE))),VLOOKUP($C185,武器!$1:$998,COLUMN($O$1),FALSE)*VLOOKUP($D185,素材!$1:$1016,COLUMN($E$1),FALSE)/(LEN(VLOOKUP($D185,素材!$1:$1016,COLUMN($F$1),FALSE)) - LEN(SUBSTITUTE(VLOOKUP($D185,素材!$1:$1016,COLUMN($F$1),FALSE), "・", 0)) + 1), 0)</f>
        <v>0</v>
      </c>
      <c r="AK185">
        <f>IF(ISNUMBER(SEARCH(SUBSTITUTE(AK$1,RIGHT(AK$1,2),""),VLOOKUP($D185,素材!$1:$1016,COLUMN($F$1),FALSE))),VLOOKUP($C185,武器!$1:$998,COLUMN($O$1),FALSE)*VLOOKUP($D185,素材!$1:$1016,COLUMN($E$1),FALSE)/(LEN(VLOOKUP($D185,素材!$1:$1016,COLUMN($F$1),FALSE)) - LEN(SUBSTITUTE(VLOOKUP($D185,素材!$1:$1016,COLUMN($F$1),FALSE), "・", 0)) + 1), 0)</f>
        <v>0</v>
      </c>
      <c r="AL185">
        <f>IF(ISNUMBER(SEARCH(SUBSTITUTE(AL$1,RIGHT(AL$1,2),""),VLOOKUP($D185,素材!$1:$1016,COLUMN($F$1),FALSE))),VLOOKUP($C185,武器!$1:$998,COLUMN($O$1),FALSE)*VLOOKUP($D185,素材!$1:$1016,COLUMN($E$1),FALSE)/(LEN(VLOOKUP($D185,素材!$1:$1016,COLUMN($F$1),FALSE)) - LEN(SUBSTITUTE(VLOOKUP($D185,素材!$1:$1016,COLUMN($F$1),FALSE), "・", 0)) + 1), 0)</f>
        <v>0</v>
      </c>
      <c r="AM185">
        <f>IF(ISNUMBER(SEARCH(SUBSTITUTE(AM$1,RIGHT(AM$1,2),""),VLOOKUP($D185,素材!$1:$1016,COLUMN($F$1),FALSE))),VLOOKUP($C185,武器!$1:$998,COLUMN($O$1),FALSE)*VLOOKUP($D185,素材!$1:$1016,COLUMN($E$1),FALSE)/(LEN(VLOOKUP($D185,素材!$1:$1016,COLUMN($F$1),FALSE)) - LEN(SUBSTITUTE(VLOOKUP($D185,素材!$1:$1016,COLUMN($F$1),FALSE), "・", 0)) + 1), 0)</f>
        <v>0</v>
      </c>
      <c r="AN185">
        <f>IF(ISNUMBER(SEARCH(SUBSTITUTE(AN$1,RIGHT(AN$1,2),""),VLOOKUP($D185,素材!$1:$1016,COLUMN($F$1),FALSE))),VLOOKUP($C185,武器!$1:$998,COLUMN($O$1),FALSE)*VLOOKUP($D185,素材!$1:$1016,COLUMN($E$1),FALSE)/(LEN(VLOOKUP($D185,素材!$1:$1016,COLUMN($F$1),FALSE)) - LEN(SUBSTITUTE(VLOOKUP($D185,素材!$1:$1016,COLUMN($F$1),FALSE), "・", 0)) + 1), 0)</f>
        <v>0</v>
      </c>
      <c r="AO185">
        <f>IF(ISNUMBER(SEARCH(SUBSTITUTE(AO$1,RIGHT(AO$1,2),""),VLOOKUP($D185,素材!$1:$1016,COLUMN($F$1),FALSE))),VLOOKUP($C185,武器!$1:$998,COLUMN($O$1),FALSE)*VLOOKUP($D185,素材!$1:$1016,COLUMN($E$1),FALSE)/(LEN(VLOOKUP($D185,素材!$1:$1016,COLUMN($F$1),FALSE)) - LEN(SUBSTITUTE(VLOOKUP($D185,素材!$1:$1016,COLUMN($F$1),FALSE), "・", 0)) + 1), 0)</f>
        <v>0</v>
      </c>
      <c r="AP185">
        <f>IF(ISNUMBER(SEARCH(SUBSTITUTE(AP$1,RIGHT(AP$1,2),""),VLOOKUP($D185,素材!$1:$1016,COLUMN($F$1),FALSE))),VLOOKUP($C185,武器!$1:$998,COLUMN($O$1),FALSE)*VLOOKUP($D185,素材!$1:$1016,COLUMN($E$1),FALSE)/(LEN(VLOOKUP($D185,素材!$1:$1016,COLUMN($F$1),FALSE)) - LEN(SUBSTITUTE(VLOOKUP($D185,素材!$1:$1016,COLUMN($F$1),FALSE), "・", 0)) + 1), 0)</f>
        <v>0</v>
      </c>
      <c r="AQ185">
        <f>IF(ISNUMBER(SEARCH(SUBSTITUTE(AQ$1,RIGHT(AQ$1,2),""),VLOOKUP($D185,素材!$1:$1016,COLUMN($F$1),FALSE))),VLOOKUP($C185,武器!$1:$998,COLUMN($O$1),FALSE)*VLOOKUP($D185,素材!$1:$1016,COLUMN($E$1),FALSE)/(LEN(VLOOKUP($D185,素材!$1:$1016,COLUMN($F$1),FALSE)) - LEN(SUBSTITUTE(VLOOKUP($D185,素材!$1:$1016,COLUMN($F$1),FALSE), "・", 0)) + 1), 0)</f>
        <v>0</v>
      </c>
      <c r="AR185">
        <f>IF(ISNUMBER(SEARCH(SUBSTITUTE(AR$1,RIGHT(AR$1,2),""),VLOOKUP($D185,素材!$1:$1016,COLUMN($F$1),FALSE))),VLOOKUP($C185,武器!$1:$998,COLUMN($O$1),FALSE)*VLOOKUP($D185,素材!$1:$1016,COLUMN($E$1),FALSE)/(LEN(VLOOKUP($D185,素材!$1:$1016,COLUMN($F$1),FALSE)) - LEN(SUBSTITUTE(VLOOKUP($D185,素材!$1:$1016,COLUMN($F$1),FALSE), "・", 0)) + 1), 0)</f>
        <v>0</v>
      </c>
      <c r="AS185">
        <f>IF(ISNUMBER(SEARCH(SUBSTITUTE(AS$1,RIGHT(AS$1,2),""),VLOOKUP($D185,素材!$1:$1016,COLUMN($F$1),FALSE))),VLOOKUP($C185,武器!$1:$998,COLUMN($O$1),FALSE)*VLOOKUP($D185,素材!$1:$1016,COLUMN($E$1),FALSE)/(LEN(VLOOKUP($D185,素材!$1:$1016,COLUMN($F$1),FALSE)) - LEN(SUBSTITUTE(VLOOKUP($D185,素材!$1:$1016,COLUMN($F$1),FALSE), "・", 0)) + 1), 0)</f>
        <v>0</v>
      </c>
      <c r="AT185">
        <f>IF(ISNUMBER(SEARCH(SUBSTITUTE(AT$1,RIGHT(AT$1,2),""),VLOOKUP($D185,素材!$1:$1016,COLUMN($F$1),FALSE))),VLOOKUP($C185,武器!$1:$998,COLUMN($O$1),FALSE)*VLOOKUP($D185,素材!$1:$1016,COLUMN($E$1),FALSE)/(LEN(VLOOKUP($D185,素材!$1:$1016,COLUMN($F$1),FALSE)) - LEN(SUBSTITUTE(VLOOKUP($D185,素材!$1:$1016,COLUMN($F$1),FALSE), "・", 0)) + 1), 0)</f>
        <v>0</v>
      </c>
      <c r="AU185">
        <f>IF(ISNUMBER(SEARCH(SUBSTITUTE(AU$1,RIGHT(AU$1,2),""),VLOOKUP($D185,素材!$1:$1016,COLUMN($F$1),FALSE))),VLOOKUP($C185,武器!$1:$998,COLUMN($O$1),FALSE)*VLOOKUP($D185,素材!$1:$1016,COLUMN($E$1),FALSE)/(LEN(VLOOKUP($D185,素材!$1:$1016,COLUMN($F$1),FALSE)) - LEN(SUBSTITUTE(VLOOKUP($D185,素材!$1:$1016,COLUMN($F$1),FALSE), "・", 0)) + 1), 0)</f>
        <v>0</v>
      </c>
      <c r="AV185">
        <f>IF(ISNUMBER(SEARCH(SUBSTITUTE(AV$1,RIGHT(AV$1,2),""),VLOOKUP($D185,素材!$1:$1016,COLUMN($F$1),FALSE))),VLOOKUP($C185,武器!$1:$998,COLUMN($O$1),FALSE)*VLOOKUP($D185,素材!$1:$1016,COLUMN($E$1),FALSE)/(LEN(VLOOKUP($D185,素材!$1:$1016,COLUMN($F$1),FALSE)) - LEN(SUBSTITUTE(VLOOKUP($D185,素材!$1:$1016,COLUMN($F$1),FALSE), "・", 0)) + 1), 0)</f>
        <v>0</v>
      </c>
      <c r="AW185">
        <f>IF(ISNUMBER(SEARCH(SUBSTITUTE(AW$1,RIGHT(AW$1,2),""),VLOOKUP($D185,素材!$1:$1016,COLUMN($F$1),FALSE))),VLOOKUP($C185,武器!$1:$998,COLUMN($O$1),FALSE)*VLOOKUP($D185,素材!$1:$1016,COLUMN($E$1),FALSE)/(LEN(VLOOKUP($D185,素材!$1:$1016,COLUMN($F$1),FALSE)) - LEN(SUBSTITUTE(VLOOKUP($D185,素材!$1:$1016,COLUMN($F$1),FALSE), "・", 0)) + 1), 0)</f>
        <v>0</v>
      </c>
      <c r="AX185">
        <f>IF(ISNUMBER(SEARCH(SUBSTITUTE(AX$1,RIGHT(AX$1,2),""),VLOOKUP($D185,素材!$1:$1016,COLUMN($F$1),FALSE))),VLOOKUP($C185,武器!$1:$998,COLUMN($O$1),FALSE)*VLOOKUP($D185,素材!$1:$1016,COLUMN($E$1),FALSE)/(LEN(VLOOKUP($D185,素材!$1:$1016,COLUMN($F$1),FALSE)) - LEN(SUBSTITUTE(VLOOKUP($D185,素材!$1:$1016,COLUMN($F$1),FALSE), "・", 0)) + 1), 0)</f>
        <v>0</v>
      </c>
      <c r="AY185">
        <f>IF(ISNUMBER(SEARCH(SUBSTITUTE(AY$1,RIGHT(AY$1,2),""),VLOOKUP($D185,素材!$1:$1016,COLUMN($F$1),FALSE))),VLOOKUP($C185,武器!$1:$998,COLUMN($O$1),FALSE)*VLOOKUP($D185,素材!$1:$1016,COLUMN($E$1),FALSE)/(LEN(VLOOKUP($D185,素材!$1:$1016,COLUMN($F$1),FALSE)) - LEN(SUBSTITUTE(VLOOKUP($D185,素材!$1:$1016,COLUMN($F$1),FALSE), "・", 0)) + 1), 0)</f>
        <v>0</v>
      </c>
      <c r="AZ185">
        <f>IF(ISNUMBER(SEARCH(SUBSTITUTE(AZ$1,RIGHT(AZ$1,2),""),VLOOKUP($D185,素材!$1:$1016,COLUMN($F$1),FALSE))),VLOOKUP($C185,武器!$1:$998,COLUMN($O$1),FALSE)*VLOOKUP($D185,素材!$1:$1016,COLUMN($E$1),FALSE)/(LEN(VLOOKUP($D185,素材!$1:$1016,COLUMN($F$1),FALSE)) - LEN(SUBSTITUTE(VLOOKUP($D185,素材!$1:$1016,COLUMN($F$1),FALSE), "・", 0)) + 1), 0)</f>
        <v>0</v>
      </c>
      <c r="BA185">
        <f>IF(ISNUMBER(SEARCH(SUBSTITUTE(BA$1,RIGHT(BA$1,2),""),VLOOKUP($D185,素材!$1:$1016,COLUMN($F$1),FALSE))),VLOOKUP($C185,武器!$1:$998,COLUMN($O$1),FALSE)*VLOOKUP($D185,素材!$1:$1016,COLUMN($E$1),FALSE)/(LEN(VLOOKUP($D185,素材!$1:$1016,COLUMN($F$1),FALSE)) - LEN(SUBSTITUTE(VLOOKUP($D185,素材!$1:$1016,COLUMN($F$1),FALSE), "・", 0)) + 1), 0)</f>
        <v>0</v>
      </c>
      <c r="BB185">
        <f>IF(ISNUMBER(SEARCH(SUBSTITUTE(BB$1,RIGHT(BB$1,2),""),VLOOKUP($D185,素材!$1:$1016,COLUMN($F$1),FALSE))),VLOOKUP($C185,武器!$1:$998,COLUMN($O$1),FALSE)*VLOOKUP($D185,素材!$1:$1016,COLUMN($E$1),FALSE)/(LEN(VLOOKUP($D185,素材!$1:$1016,COLUMN($F$1),FALSE)) - LEN(SUBSTITUTE(VLOOKUP($D185,素材!$1:$1016,COLUMN($F$1),FALSE), "・", 0)) + 1), 0)</f>
        <v>0</v>
      </c>
      <c r="BC185">
        <f>IF(ISNUMBER(SEARCH(SUBSTITUTE(BC$1,RIGHT(BC$1,2),""),VLOOKUP($D185,素材!$1:$1016,COLUMN($F$1),FALSE))),VLOOKUP($C185,武器!$1:$998,COLUMN($O$1),FALSE)*VLOOKUP($D185,素材!$1:$1016,COLUMN($E$1),FALSE)/(LEN(VLOOKUP($D185,素材!$1:$1016,COLUMN($F$1),FALSE)) - LEN(SUBSTITUTE(VLOOKUP($D185,素材!$1:$1016,COLUMN($F$1),FALSE), "・", 0)) + 1), 0)</f>
        <v>0</v>
      </c>
      <c r="BD185">
        <f>IF(ISNUMBER(SEARCH(SUBSTITUTE(BD$1,RIGHT(BD$1,2),""),VLOOKUP($D185,素材!$1:$1016,COLUMN($F$1),FALSE))),VLOOKUP($C185,武器!$1:$998,COLUMN($O$1),FALSE)*VLOOKUP($D185,素材!$1:$1016,COLUMN($E$1),FALSE)/(LEN(VLOOKUP($D185,素材!$1:$1016,COLUMN($F$1),FALSE)) - LEN(SUBSTITUTE(VLOOKUP($D185,素材!$1:$1016,COLUMN($F$1),FALSE), "・", 0)) + 1), 0)</f>
        <v>0</v>
      </c>
      <c r="BE185">
        <f>IF(ISNUMBER(SEARCH(SUBSTITUTE(BE$1,RIGHT(BE$1,2),""),VLOOKUP($D185,素材!$1:$1016,COLUMN($F$1),FALSE))),VLOOKUP($C185,武器!$1:$998,COLUMN($O$1),FALSE)*VLOOKUP($D185,素材!$1:$1016,COLUMN($E$1),FALSE)/(LEN(VLOOKUP($D185,素材!$1:$1016,COLUMN($F$1),FALSE)) - LEN(SUBSTITUTE(VLOOKUP($D185,素材!$1:$1016,COLUMN($F$1),FALSE), "・", 0)) + 1), 0)</f>
        <v>0</v>
      </c>
      <c r="CL185">
        <f>SUM(G185:I185)</f>
        <v>22</v>
      </c>
      <c r="CM185" s="22" t="str">
        <f>IF(E185="武器",IF(J185-1&gt;SUM(G185:I185),"盾",IF(MAX(G185:I185)=G185,"切断",IF(MAX(G185:I185)=H185,"貫通",IF(MAX(G185:I185)=I185,"打撃","射撃")))),E185)&amp;".webp"</f>
        <v>杖.webp</v>
      </c>
      <c r="CN185">
        <f>IFERROR(VLOOKUP($C185,武器!$1:$998,COLUMN(V$1),FALSE)*VLOOKUP($D185,素材!$1:$1016,COLUMN(N$1),FALSE)+IF(CI185="",0,VLOOKUP($CI185,装強!$1:$1008,COLUMN($CK$1),FALSE)),"")</f>
        <v>4500</v>
      </c>
      <c r="CO185">
        <f>VLOOKUP(D185,素材!$A:$O,COLUMN(素材!O$1),FALSE)</f>
        <v>0</v>
      </c>
      <c r="CP185" t="str">
        <f>VLOOKUP(C185,武器!$A:$W,COLUMN(武器!W$1),FALSE)</f>
        <v>長杖。強力な魔法を扱える杖だが、重い。</v>
      </c>
      <c r="CR185" t="str">
        <f t="shared" si="18"/>
        <v>e_185</v>
      </c>
      <c r="CS185">
        <f t="shared" si="22"/>
        <v>450000</v>
      </c>
    </row>
    <row r="186" spans="1:97" outlineLevel="1" x14ac:dyDescent="0.4">
      <c r="A186" t="str">
        <f t="shared" si="27"/>
        <v>黒鋼鉄の軽射出弓</v>
      </c>
      <c r="B186" t="str">
        <f>IFERROR(VLOOKUP($D186,素材!$1:$1016,COLUMN($B$1),FALSE)&amp;"・"&amp;VLOOKUP($C186,武器!$1:$998,COLUMN(B$1),FALSE),"")</f>
        <v>ブラックスティール・ライトクロスボウ</v>
      </c>
      <c r="C186" t="s">
        <v>214</v>
      </c>
      <c r="D186" s="24" t="s">
        <v>244</v>
      </c>
      <c r="E186" t="str">
        <f>IFERROR(VLOOKUP(C186,武器!$1:$998,COLUMN(C$1),FALSE),"")</f>
        <v>銃</v>
      </c>
      <c r="F186">
        <f>IFERROR(ROUNDDOWN((VLOOKUP($C186,武器!$1:$998,COLUMN(D$1),FALSE)+IFERROR(VLOOKUP($CI186,装強!$1:$999,COLUMN(F$1),FALSE),0))*VLOOKUP($D186,素材!$1:$1016,COLUMN(D$1),FALSE),0),"")</f>
        <v>0</v>
      </c>
      <c r="G186">
        <f>IFERROR(ROUNDDOWN((VLOOKUP($C186,武器!$1:$998,COLUMN(E$1),FALSE)+IFERROR(VLOOKUP($CI186,装強!$1:$999,COLUMN(G$1),FALSE),0))*VLOOKUP($D186,素材!$1:$1016,COLUMN($E$1),FALSE),0),"")</f>
        <v>0</v>
      </c>
      <c r="H186">
        <f>IFERROR(ROUNDDOWN((VLOOKUP($C186,武器!$1:$998,COLUMN(F$1),FALSE)+IFERROR(VLOOKUP($CI186,装強!$1:$999,COLUMN(H$1),FALSE),0))*VLOOKUP($D186,素材!$1:$1016,COLUMN($E$1),FALSE),0),"")</f>
        <v>0</v>
      </c>
      <c r="I186">
        <f>IFERROR(ROUNDDOWN((VLOOKUP($C186,武器!$1:$998,COLUMN(G$1),FALSE)+IFERROR(VLOOKUP($CI186,装強!$1:$999,COLUMN(I$1),FALSE),0))*VLOOKUP($D186,素材!$1:$1016,COLUMN($E$1),FALSE),0),"")</f>
        <v>0</v>
      </c>
      <c r="J186">
        <f>IFERROR(ROUNDDOWN((VLOOKUP($C186,武器!$1:$998,COLUMN(H$1),FALSE)+IFERROR(VLOOKUP($CI186,装強!$1:$999,COLUMN(J$1),FALSE),0))*VLOOKUP($D186,素材!$1:$1016,COLUMN($E$1),FALSE),0),"")</f>
        <v>0</v>
      </c>
      <c r="K186">
        <f>IFERROR(ROUNDDOWN((VLOOKUP($C186,武器!$1:$998,COLUMN(I$1),FALSE)+IFERROR(VLOOKUP($CI186,装強!$1:$999,COLUMN(K$1),FALSE),0))*VLOOKUP($D186,素材!$1:$1016,COLUMN($E$1),FALSE),0),"")</f>
        <v>54</v>
      </c>
      <c r="L186" t="str">
        <f>IFERROR(VLOOKUP($D186,素材!$1:$1016,COLUMN($F$1),FALSE),"")</f>
        <v>雷</v>
      </c>
      <c r="M186">
        <f>IFERROR(VLOOKUP($C186,武器!$1:$998,COLUMN(AA$1),FALSE)*VLOOKUP($D186,素材!$1:$1016,COLUMN($G$1),FALSE),"")</f>
        <v>47.25</v>
      </c>
      <c r="N186">
        <f>IFERROR(VLOOKUP($C186,武器!$1:$998,COLUMN(I$1),FALSE),"")</f>
        <v>2.7</v>
      </c>
      <c r="O186" s="23">
        <f>IFERROR((VLOOKUP($C186,武器!$1:$998,COLUMN(K$1),FALSE)+VLOOKUP($D186,素材!$1:$1016,COLUMN(H$1),FALSE))*100+IFERROR(VLOOKUP($CI186,装強!$1:$999,COLUMN(O$1),FALSE),0),"")</f>
        <v>10</v>
      </c>
      <c r="P186" s="23">
        <f>IFERROR((VLOOKUP($C186,武器!$1:$998,COLUMN(L$1),FALSE)+VLOOKUP($D186,素材!$1:$1016,COLUMN(I$1),FALSE))*100+IFERROR(VLOOKUP($CI186,装強!$1:$999,COLUMN(P$1),FALSE),0),"")</f>
        <v>150</v>
      </c>
      <c r="Q186">
        <f>IFERROR(ROUNDUP(VLOOKUP($C186,武器!$1:$998,COLUMN(M$1),FALSE)*(VLOOKUP($D186,素材!$1:$1002,COLUMN(D$1),FALSE)/100),1),"")</f>
        <v>0</v>
      </c>
      <c r="R186">
        <f>IFERROR(ROUNDUP(VLOOKUP($C186,武器!$1:$998,COLUMN(N$1),FALSE)*(VLOOKUP($D186,素材!$1:$1002,COLUMN(D$1),FALSE)/100),1),"")</f>
        <v>0</v>
      </c>
      <c r="S186">
        <f>IFERROR(VLOOKUP($C186,武器!$1:$998,COLUMN(P$1),FALSE),"")</f>
        <v>0</v>
      </c>
      <c r="T186">
        <f>IFERROR(VLOOKUP($C186,武器!$1:$998,COLUMN(Q$1),FALSE),"")</f>
        <v>1</v>
      </c>
      <c r="U186">
        <f>IFERROR(VLOOKUP($C186,武器!$1:$998,COLUMN(R$1),FALSE),"")</f>
        <v>1</v>
      </c>
      <c r="V186">
        <f>IFERROR(VLOOKUP($C186,武器!$1:$998,COLUMN(Q$1),FALSE),"")</f>
        <v>1</v>
      </c>
      <c r="W186" t="str">
        <f>IFERROR(VLOOKUP($C186,武器!$1:$998,COLUMN(T$1),FALSE),"")</f>
        <v>Q</v>
      </c>
      <c r="Y186">
        <f>IFERROR(VLOOKUP($C186,武器!$1:$998,COLUMN(U$1),FALSE),"")</f>
        <v>0</v>
      </c>
      <c r="Z186">
        <f>IFERROR(ROUNDUP(VLOOKUP($C186,武器!$1:$998,COLUMN(O$1),FALSE)*VLOOKUP($D186,素材!$1:$1016,COLUMN(E$1),FALSE),1),"")</f>
        <v>0</v>
      </c>
      <c r="AA186">
        <f>IF(ISNUMBER(SEARCH(SUBSTITUTE(AA$1,RIGHT(AA$1,2),""),VLOOKUP($D186,素材!$1:$1016,COLUMN($F$1),FALSE))),VLOOKUP($C186,武器!$1:$998,COLUMN($O$1),FALSE)*VLOOKUP($D186,素材!$1:$1016,COLUMN($E$1),FALSE)/(LEN(VLOOKUP($D186,素材!$1:$1016,COLUMN($F$1),FALSE)) - LEN(SUBSTITUTE(VLOOKUP($D186,素材!$1:$1016,COLUMN($F$1),FALSE), "・", 0)) + 1), 0)</f>
        <v>0</v>
      </c>
      <c r="AB186">
        <f>IF(ISNUMBER(SEARCH(SUBSTITUTE(AB$1,RIGHT(AB$1,2),""),VLOOKUP($D186,素材!$1:$1016,COLUMN($F$1),FALSE))),VLOOKUP($C186,武器!$1:$998,COLUMN($O$1),FALSE)*VLOOKUP($D186,素材!$1:$1016,COLUMN($E$1),FALSE)/(LEN(VLOOKUP($D186,素材!$1:$1016,COLUMN($F$1),FALSE)) - LEN(SUBSTITUTE(VLOOKUP($D186,素材!$1:$1016,COLUMN($F$1),FALSE), "・", 0)) + 1), 0)</f>
        <v>0</v>
      </c>
      <c r="AC186">
        <f>IF(ISNUMBER(SEARCH(SUBSTITUTE(AC$1,RIGHT(AC$1,2),""),VLOOKUP($D186,素材!$1:$1016,COLUMN($F$1),FALSE))),VLOOKUP($C186,武器!$1:$998,COLUMN($O$1),FALSE)*VLOOKUP($D186,素材!$1:$1016,COLUMN($E$1),FALSE)/(LEN(VLOOKUP($D186,素材!$1:$1016,COLUMN($F$1),FALSE)) - LEN(SUBSTITUTE(VLOOKUP($D186,素材!$1:$1016,COLUMN($F$1),FALSE), "・", 0)) + 1), 0)</f>
        <v>0</v>
      </c>
      <c r="AD186">
        <f>IF(ISNUMBER(SEARCH(SUBSTITUTE(AD$1,RIGHT(AD$1,2),""),VLOOKUP($D186,素材!$1:$1016,COLUMN($F$1),FALSE))),VLOOKUP($C186,武器!$1:$998,COLUMN($O$1),FALSE)*VLOOKUP($D186,素材!$1:$1016,COLUMN($E$1),FALSE)/(LEN(VLOOKUP($D186,素材!$1:$1016,COLUMN($F$1),FALSE)) - LEN(SUBSTITUTE(VLOOKUP($D186,素材!$1:$1016,COLUMN($F$1),FALSE), "・", 0)) + 1), 0)</f>
        <v>0</v>
      </c>
      <c r="AE186">
        <f>IF(ISNUMBER(SEARCH(SUBSTITUTE(AE$1,RIGHT(AE$1,2),""),VLOOKUP($D186,素材!$1:$1016,COLUMN($F$1),FALSE))),VLOOKUP($C186,武器!$1:$998,COLUMN($O$1),FALSE)*VLOOKUP($D186,素材!$1:$1016,COLUMN($E$1),FALSE)/(LEN(VLOOKUP($D186,素材!$1:$1016,COLUMN($F$1),FALSE)) - LEN(SUBSTITUTE(VLOOKUP($D186,素材!$1:$1016,COLUMN($F$1),FALSE), "・", 0)) + 1), 0)</f>
        <v>0</v>
      </c>
      <c r="AF186">
        <f>IF(ISNUMBER(SEARCH(SUBSTITUTE(AF$1,RIGHT(AF$1,2),""),VLOOKUP($D186,素材!$1:$1016,COLUMN($F$1),FALSE))),VLOOKUP($C186,武器!$1:$998,COLUMN($O$1),FALSE)*VLOOKUP($D186,素材!$1:$1016,COLUMN($E$1),FALSE)/(LEN(VLOOKUP($D186,素材!$1:$1016,COLUMN($F$1),FALSE)) - LEN(SUBSTITUTE(VLOOKUP($D186,素材!$1:$1016,COLUMN($F$1),FALSE), "・", 0)) + 1), 0)</f>
        <v>0</v>
      </c>
      <c r="AG186">
        <f>IF(ISNUMBER(SEARCH(SUBSTITUTE(AG$1,RIGHT(AG$1,2),""),VLOOKUP($D186,素材!$1:$1016,COLUMN($F$1),FALSE))),VLOOKUP($C186,武器!$1:$998,COLUMN($O$1),FALSE)*VLOOKUP($D186,素材!$1:$1016,COLUMN($E$1),FALSE)/(LEN(VLOOKUP($D186,素材!$1:$1016,COLUMN($F$1),FALSE)) - LEN(SUBSTITUTE(VLOOKUP($D186,素材!$1:$1016,COLUMN($F$1),FALSE), "・", 0)) + 1), 0)</f>
        <v>0</v>
      </c>
      <c r="AH186">
        <f>IF(ISNUMBER(SEARCH(SUBSTITUTE(AH$1,RIGHT(AH$1,2),""),VLOOKUP($D186,素材!$1:$1016,COLUMN($F$1),FALSE))),VLOOKUP($C186,武器!$1:$998,COLUMN($O$1),FALSE)*VLOOKUP($D186,素材!$1:$1016,COLUMN($E$1),FALSE)/(LEN(VLOOKUP($D186,素材!$1:$1016,COLUMN($F$1),FALSE)) - LEN(SUBSTITUTE(VLOOKUP($D186,素材!$1:$1016,COLUMN($F$1),FALSE), "・", 0)) + 1), 0)</f>
        <v>0</v>
      </c>
      <c r="AI186">
        <f>IF(ISNUMBER(SEARCH(SUBSTITUTE(AI$1,RIGHT(AI$1,2),""),VLOOKUP($D186,素材!$1:$1016,COLUMN($F$1),FALSE))),VLOOKUP($C186,武器!$1:$998,COLUMN($O$1),FALSE)*VLOOKUP($D186,素材!$1:$1016,COLUMN($E$1),FALSE)/(LEN(VLOOKUP($D186,素材!$1:$1016,COLUMN($F$1),FALSE)) - LEN(SUBSTITUTE(VLOOKUP($D186,素材!$1:$1016,COLUMN($F$1),FALSE), "・", 0)) + 1), 0)</f>
        <v>0</v>
      </c>
      <c r="AJ186">
        <f>IF(ISNUMBER(SEARCH(SUBSTITUTE(AJ$1,RIGHT(AJ$1,2),""),VLOOKUP($D186,素材!$1:$1016,COLUMN($F$1),FALSE))),VLOOKUP($C186,武器!$1:$998,COLUMN($O$1),FALSE)*VLOOKUP($D186,素材!$1:$1016,COLUMN($E$1),FALSE)/(LEN(VLOOKUP($D186,素材!$1:$1016,COLUMN($F$1),FALSE)) - LEN(SUBSTITUTE(VLOOKUP($D186,素材!$1:$1016,COLUMN($F$1),FALSE), "・", 0)) + 1), 0)</f>
        <v>0</v>
      </c>
      <c r="AK186">
        <f>IF(ISNUMBER(SEARCH(SUBSTITUTE(AK$1,RIGHT(AK$1,2),""),VLOOKUP($D186,素材!$1:$1016,COLUMN($F$1),FALSE))),VLOOKUP($C186,武器!$1:$998,COLUMN($O$1),FALSE)*VLOOKUP($D186,素材!$1:$1016,COLUMN($E$1),FALSE)/(LEN(VLOOKUP($D186,素材!$1:$1016,COLUMN($F$1),FALSE)) - LEN(SUBSTITUTE(VLOOKUP($D186,素材!$1:$1016,COLUMN($F$1),FALSE), "・", 0)) + 1), 0)</f>
        <v>0</v>
      </c>
      <c r="AL186">
        <f>IF(ISNUMBER(SEARCH(SUBSTITUTE(AL$1,RIGHT(AL$1,2),""),VLOOKUP($D186,素材!$1:$1016,COLUMN($F$1),FALSE))),VLOOKUP($C186,武器!$1:$998,COLUMN($O$1),FALSE)*VLOOKUP($D186,素材!$1:$1016,COLUMN($E$1),FALSE)/(LEN(VLOOKUP($D186,素材!$1:$1016,COLUMN($F$1),FALSE)) - LEN(SUBSTITUTE(VLOOKUP($D186,素材!$1:$1016,COLUMN($F$1),FALSE), "・", 0)) + 1), 0)</f>
        <v>0</v>
      </c>
      <c r="AM186">
        <f>IF(ISNUMBER(SEARCH(SUBSTITUTE(AM$1,RIGHT(AM$1,2),""),VLOOKUP($D186,素材!$1:$1016,COLUMN($F$1),FALSE))),VLOOKUP($C186,武器!$1:$998,COLUMN($O$1),FALSE)*VLOOKUP($D186,素材!$1:$1016,COLUMN($E$1),FALSE)/(LEN(VLOOKUP($D186,素材!$1:$1016,COLUMN($F$1),FALSE)) - LEN(SUBSTITUTE(VLOOKUP($D186,素材!$1:$1016,COLUMN($F$1),FALSE), "・", 0)) + 1), 0)</f>
        <v>0</v>
      </c>
      <c r="AN186">
        <f>IF(ISNUMBER(SEARCH(SUBSTITUTE(AN$1,RIGHT(AN$1,2),""),VLOOKUP($D186,素材!$1:$1016,COLUMN($F$1),FALSE))),VLOOKUP($C186,武器!$1:$998,COLUMN($O$1),FALSE)*VLOOKUP($D186,素材!$1:$1016,COLUMN($E$1),FALSE)/(LEN(VLOOKUP($D186,素材!$1:$1016,COLUMN($F$1),FALSE)) - LEN(SUBSTITUTE(VLOOKUP($D186,素材!$1:$1016,COLUMN($F$1),FALSE), "・", 0)) + 1), 0)</f>
        <v>0</v>
      </c>
      <c r="AO186">
        <f>IF(ISNUMBER(SEARCH(SUBSTITUTE(AO$1,RIGHT(AO$1,2),""),VLOOKUP($D186,素材!$1:$1016,COLUMN($F$1),FALSE))),VLOOKUP($C186,武器!$1:$998,COLUMN($O$1),FALSE)*VLOOKUP($D186,素材!$1:$1016,COLUMN($E$1),FALSE)/(LEN(VLOOKUP($D186,素材!$1:$1016,COLUMN($F$1),FALSE)) - LEN(SUBSTITUTE(VLOOKUP($D186,素材!$1:$1016,COLUMN($F$1),FALSE), "・", 0)) + 1), 0)</f>
        <v>0</v>
      </c>
      <c r="AP186">
        <f>IF(ISNUMBER(SEARCH(SUBSTITUTE(AP$1,RIGHT(AP$1,2),""),VLOOKUP($D186,素材!$1:$1016,COLUMN($F$1),FALSE))),VLOOKUP($C186,武器!$1:$998,COLUMN($O$1),FALSE)*VLOOKUP($D186,素材!$1:$1016,COLUMN($E$1),FALSE)/(LEN(VLOOKUP($D186,素材!$1:$1016,COLUMN($F$1),FALSE)) - LEN(SUBSTITUTE(VLOOKUP($D186,素材!$1:$1016,COLUMN($F$1),FALSE), "・", 0)) + 1), 0)</f>
        <v>0</v>
      </c>
      <c r="AQ186">
        <f>IF(ISNUMBER(SEARCH(SUBSTITUTE(AQ$1,RIGHT(AQ$1,2),""),VLOOKUP($D186,素材!$1:$1016,COLUMN($F$1),FALSE))),VLOOKUP($C186,武器!$1:$998,COLUMN($O$1),FALSE)*VLOOKUP($D186,素材!$1:$1016,COLUMN($E$1),FALSE)/(LEN(VLOOKUP($D186,素材!$1:$1016,COLUMN($F$1),FALSE)) - LEN(SUBSTITUTE(VLOOKUP($D186,素材!$1:$1016,COLUMN($F$1),FALSE), "・", 0)) + 1), 0)</f>
        <v>0</v>
      </c>
      <c r="AR186">
        <f>IF(ISNUMBER(SEARCH(SUBSTITUTE(AR$1,RIGHT(AR$1,2),""),VLOOKUP($D186,素材!$1:$1016,COLUMN($F$1),FALSE))),VLOOKUP($C186,武器!$1:$998,COLUMN($O$1),FALSE)*VLOOKUP($D186,素材!$1:$1016,COLUMN($E$1),FALSE)/(LEN(VLOOKUP($D186,素材!$1:$1016,COLUMN($F$1),FALSE)) - LEN(SUBSTITUTE(VLOOKUP($D186,素材!$1:$1016,COLUMN($F$1),FALSE), "・", 0)) + 1), 0)</f>
        <v>0</v>
      </c>
      <c r="AS186">
        <f>IF(ISNUMBER(SEARCH(SUBSTITUTE(AS$1,RIGHT(AS$1,2),""),VLOOKUP($D186,素材!$1:$1016,COLUMN($F$1),FALSE))),VLOOKUP($C186,武器!$1:$998,COLUMN($O$1),FALSE)*VLOOKUP($D186,素材!$1:$1016,COLUMN($E$1),FALSE)/(LEN(VLOOKUP($D186,素材!$1:$1016,COLUMN($F$1),FALSE)) - LEN(SUBSTITUTE(VLOOKUP($D186,素材!$1:$1016,COLUMN($F$1),FALSE), "・", 0)) + 1), 0)</f>
        <v>0</v>
      </c>
      <c r="AT186">
        <f>IF(ISNUMBER(SEARCH(SUBSTITUTE(AT$1,RIGHT(AT$1,2),""),VLOOKUP($D186,素材!$1:$1016,COLUMN($F$1),FALSE))),VLOOKUP($C186,武器!$1:$998,COLUMN($O$1),FALSE)*VLOOKUP($D186,素材!$1:$1016,COLUMN($E$1),FALSE)/(LEN(VLOOKUP($D186,素材!$1:$1016,COLUMN($F$1),FALSE)) - LEN(SUBSTITUTE(VLOOKUP($D186,素材!$1:$1016,COLUMN($F$1),FALSE), "・", 0)) + 1), 0)</f>
        <v>0</v>
      </c>
      <c r="AU186">
        <f>IF(ISNUMBER(SEARCH(SUBSTITUTE(AU$1,RIGHT(AU$1,2),""),VLOOKUP($D186,素材!$1:$1016,COLUMN($F$1),FALSE))),VLOOKUP($C186,武器!$1:$998,COLUMN($O$1),FALSE)*VLOOKUP($D186,素材!$1:$1016,COLUMN($E$1),FALSE)/(LEN(VLOOKUP($D186,素材!$1:$1016,COLUMN($F$1),FALSE)) - LEN(SUBSTITUTE(VLOOKUP($D186,素材!$1:$1016,COLUMN($F$1),FALSE), "・", 0)) + 1), 0)</f>
        <v>0</v>
      </c>
      <c r="AV186">
        <f>IF(ISNUMBER(SEARCH(SUBSTITUTE(AV$1,RIGHT(AV$1,2),""),VLOOKUP($D186,素材!$1:$1016,COLUMN($F$1),FALSE))),VLOOKUP($C186,武器!$1:$998,COLUMN($O$1),FALSE)*VLOOKUP($D186,素材!$1:$1016,COLUMN($E$1),FALSE)/(LEN(VLOOKUP($D186,素材!$1:$1016,COLUMN($F$1),FALSE)) - LEN(SUBSTITUTE(VLOOKUP($D186,素材!$1:$1016,COLUMN($F$1),FALSE), "・", 0)) + 1), 0)</f>
        <v>0</v>
      </c>
      <c r="AW186">
        <f>IF(ISNUMBER(SEARCH(SUBSTITUTE(AW$1,RIGHT(AW$1,2),""),VLOOKUP($D186,素材!$1:$1016,COLUMN($F$1),FALSE))),VLOOKUP($C186,武器!$1:$998,COLUMN($O$1),FALSE)*VLOOKUP($D186,素材!$1:$1016,COLUMN($E$1),FALSE)/(LEN(VLOOKUP($D186,素材!$1:$1016,COLUMN($F$1),FALSE)) - LEN(SUBSTITUTE(VLOOKUP($D186,素材!$1:$1016,COLUMN($F$1),FALSE), "・", 0)) + 1), 0)</f>
        <v>0</v>
      </c>
      <c r="AX186">
        <f>IF(ISNUMBER(SEARCH(SUBSTITUTE(AX$1,RIGHT(AX$1,2),""),VLOOKUP($D186,素材!$1:$1016,COLUMN($F$1),FALSE))),VLOOKUP($C186,武器!$1:$998,COLUMN($O$1),FALSE)*VLOOKUP($D186,素材!$1:$1016,COLUMN($E$1),FALSE)/(LEN(VLOOKUP($D186,素材!$1:$1016,COLUMN($F$1),FALSE)) - LEN(SUBSTITUTE(VLOOKUP($D186,素材!$1:$1016,COLUMN($F$1),FALSE), "・", 0)) + 1), 0)</f>
        <v>0</v>
      </c>
      <c r="AY186">
        <f>IF(ISNUMBER(SEARCH(SUBSTITUTE(AY$1,RIGHT(AY$1,2),""),VLOOKUP($D186,素材!$1:$1016,COLUMN($F$1),FALSE))),VLOOKUP($C186,武器!$1:$998,COLUMN($O$1),FALSE)*VLOOKUP($D186,素材!$1:$1016,COLUMN($E$1),FALSE)/(LEN(VLOOKUP($D186,素材!$1:$1016,COLUMN($F$1),FALSE)) - LEN(SUBSTITUTE(VLOOKUP($D186,素材!$1:$1016,COLUMN($F$1),FALSE), "・", 0)) + 1), 0)</f>
        <v>0</v>
      </c>
      <c r="AZ186">
        <f>IF(ISNUMBER(SEARCH(SUBSTITUTE(AZ$1,RIGHT(AZ$1,2),""),VLOOKUP($D186,素材!$1:$1016,COLUMN($F$1),FALSE))),VLOOKUP($C186,武器!$1:$998,COLUMN($O$1),FALSE)*VLOOKUP($D186,素材!$1:$1016,COLUMN($E$1),FALSE)/(LEN(VLOOKUP($D186,素材!$1:$1016,COLUMN($F$1),FALSE)) - LEN(SUBSTITUTE(VLOOKUP($D186,素材!$1:$1016,COLUMN($F$1),FALSE), "・", 0)) + 1), 0)</f>
        <v>0</v>
      </c>
      <c r="BA186">
        <f>IF(ISNUMBER(SEARCH(SUBSTITUTE(BA$1,RIGHT(BA$1,2),""),VLOOKUP($D186,素材!$1:$1016,COLUMN($F$1),FALSE))),VLOOKUP($C186,武器!$1:$998,COLUMN($O$1),FALSE)*VLOOKUP($D186,素材!$1:$1016,COLUMN($E$1),FALSE)/(LEN(VLOOKUP($D186,素材!$1:$1016,COLUMN($F$1),FALSE)) - LEN(SUBSTITUTE(VLOOKUP($D186,素材!$1:$1016,COLUMN($F$1),FALSE), "・", 0)) + 1), 0)</f>
        <v>0</v>
      </c>
      <c r="BB186">
        <f>IF(ISNUMBER(SEARCH(SUBSTITUTE(BB$1,RIGHT(BB$1,2),""),VLOOKUP($D186,素材!$1:$1016,COLUMN($F$1),FALSE))),VLOOKUP($C186,武器!$1:$998,COLUMN($O$1),FALSE)*VLOOKUP($D186,素材!$1:$1016,COLUMN($E$1),FALSE)/(LEN(VLOOKUP($D186,素材!$1:$1016,COLUMN($F$1),FALSE)) - LEN(SUBSTITUTE(VLOOKUP($D186,素材!$1:$1016,COLUMN($F$1),FALSE), "・", 0)) + 1), 0)</f>
        <v>0</v>
      </c>
      <c r="BC186">
        <f>IF(ISNUMBER(SEARCH(SUBSTITUTE(BC$1,RIGHT(BC$1,2),""),VLOOKUP($D186,素材!$1:$1016,COLUMN($F$1),FALSE))),VLOOKUP($C186,武器!$1:$998,COLUMN($O$1),FALSE)*VLOOKUP($D186,素材!$1:$1016,COLUMN($E$1),FALSE)/(LEN(VLOOKUP($D186,素材!$1:$1016,COLUMN($F$1),FALSE)) - LEN(SUBSTITUTE(VLOOKUP($D186,素材!$1:$1016,COLUMN($F$1),FALSE), "・", 0)) + 1), 0)</f>
        <v>0</v>
      </c>
      <c r="BD186">
        <f>IF(ISNUMBER(SEARCH(SUBSTITUTE(BD$1,RIGHT(BD$1,2),""),VLOOKUP($D186,素材!$1:$1016,COLUMN($F$1),FALSE))),VLOOKUP($C186,武器!$1:$998,COLUMN($O$1),FALSE)*VLOOKUP($D186,素材!$1:$1016,COLUMN($E$1),FALSE)/(LEN(VLOOKUP($D186,素材!$1:$1016,COLUMN($F$1),FALSE)) - LEN(SUBSTITUTE(VLOOKUP($D186,素材!$1:$1016,COLUMN($F$1),FALSE), "・", 0)) + 1), 0)</f>
        <v>0</v>
      </c>
      <c r="BE186">
        <f>IF(ISNUMBER(SEARCH(SUBSTITUTE(BE$1,RIGHT(BE$1,2),""),VLOOKUP($D186,素材!$1:$1016,COLUMN($F$1),FALSE))),VLOOKUP($C186,武器!$1:$998,COLUMN($O$1),FALSE)*VLOOKUP($D186,素材!$1:$1016,COLUMN($E$1),FALSE)/(LEN(VLOOKUP($D186,素材!$1:$1016,COLUMN($F$1),FALSE)) - LEN(SUBSTITUTE(VLOOKUP($D186,素材!$1:$1016,COLUMN($F$1),FALSE), "・", 0)) + 1), 0)</f>
        <v>0</v>
      </c>
      <c r="CL186">
        <f>SUM(G186:I186)</f>
        <v>0</v>
      </c>
      <c r="CM186" s="22" t="str">
        <f>IF(E186="武器",IF(J186-1&gt;SUM(G186:I186),"盾",IF(MAX(G186:I186)=G186,"切断",IF(MAX(G186:I186)=H186,"貫通",IF(MAX(G186:I186)=I186,"打撃","射撃")))),E186)&amp;".webp"</f>
        <v>銃.webp</v>
      </c>
      <c r="CN186">
        <f>IFERROR(VLOOKUP($C186,武器!$1:$998,COLUMN(V$1),FALSE)*VLOOKUP($D186,素材!$1:$1016,COLUMN(N$1),FALSE)+IF(CI186="",0,VLOOKUP($CI186,装強!$1:$1008,COLUMN($CK$1),FALSE)),"")</f>
        <v>3750</v>
      </c>
      <c r="CO186">
        <f>VLOOKUP(D186,素材!$A:$O,COLUMN(素材!O$1),FALSE)</f>
        <v>0</v>
      </c>
      <c r="CP186" t="str">
        <f>VLOOKUP(C186,武器!$A:$W,COLUMN(武器!W$1),FALSE)</f>
        <v/>
      </c>
      <c r="CR186" t="str">
        <f t="shared" si="18"/>
        <v>e_186</v>
      </c>
      <c r="CS186">
        <f t="shared" si="22"/>
        <v>375000</v>
      </c>
    </row>
    <row r="187" spans="1:97" outlineLevel="1" x14ac:dyDescent="0.4">
      <c r="A187" t="str">
        <f t="shared" si="27"/>
        <v>黒鋼鉄の射出弓</v>
      </c>
      <c r="B187" t="str">
        <f>IFERROR(VLOOKUP($D187,素材!$1:$1016,COLUMN($B$1),FALSE)&amp;"・"&amp;VLOOKUP($C187,武器!$1:$998,COLUMN(B$1),FALSE),"")</f>
        <v>ブラックスティール・クロスボウ</v>
      </c>
      <c r="C187" t="s">
        <v>213</v>
      </c>
      <c r="D187" s="24" t="s">
        <v>244</v>
      </c>
      <c r="E187" t="str">
        <f>IFERROR(VLOOKUP(C187,武器!$1:$998,COLUMN(C$1),FALSE),"")</f>
        <v>銃</v>
      </c>
      <c r="F187">
        <f>IFERROR(ROUNDDOWN((VLOOKUP($C187,武器!$1:$998,COLUMN(D$1),FALSE)+IFERROR(VLOOKUP($CI187,装強!$1:$999,COLUMN(F$1),FALSE),0))*VLOOKUP($D187,素材!$1:$1016,COLUMN(D$1),FALSE),0),"")</f>
        <v>0</v>
      </c>
      <c r="G187">
        <f>IFERROR(ROUNDDOWN((VLOOKUP($C187,武器!$1:$998,COLUMN(E$1),FALSE)+IFERROR(VLOOKUP($CI187,装強!$1:$999,COLUMN(G$1),FALSE),0))*VLOOKUP($D187,素材!$1:$1016,COLUMN($E$1),FALSE),0),"")</f>
        <v>0</v>
      </c>
      <c r="H187">
        <f>IFERROR(ROUNDDOWN((VLOOKUP($C187,武器!$1:$998,COLUMN(F$1),FALSE)+IFERROR(VLOOKUP($CI187,装強!$1:$999,COLUMN(H$1),FALSE),0))*VLOOKUP($D187,素材!$1:$1016,COLUMN($E$1),FALSE),0),"")</f>
        <v>0</v>
      </c>
      <c r="I187">
        <f>IFERROR(ROUNDDOWN((VLOOKUP($C187,武器!$1:$998,COLUMN(G$1),FALSE)+IFERROR(VLOOKUP($CI187,装強!$1:$999,COLUMN(I$1),FALSE),0))*VLOOKUP($D187,素材!$1:$1016,COLUMN($E$1),FALSE),0),"")</f>
        <v>0</v>
      </c>
      <c r="J187">
        <f>IFERROR(ROUNDDOWN((VLOOKUP($C187,武器!$1:$998,COLUMN(H$1),FALSE)+IFERROR(VLOOKUP($CI187,装強!$1:$999,COLUMN(J$1),FALSE),0))*VLOOKUP($D187,素材!$1:$1016,COLUMN($E$1),FALSE),0),"")</f>
        <v>0</v>
      </c>
      <c r="K187">
        <f>IFERROR(ROUNDDOWN((VLOOKUP($C187,武器!$1:$998,COLUMN(I$1),FALSE)+IFERROR(VLOOKUP($CI187,装強!$1:$999,COLUMN(K$1),FALSE),0))*VLOOKUP($D187,素材!$1:$1016,COLUMN($E$1),FALSE),0),"")</f>
        <v>78</v>
      </c>
      <c r="L187" t="str">
        <f>IFERROR(VLOOKUP($D187,素材!$1:$1016,COLUMN($F$1),FALSE),"")</f>
        <v>雷</v>
      </c>
      <c r="M187">
        <f>IFERROR(VLOOKUP($C187,武器!$1:$998,COLUMN(AA$1),FALSE)*VLOOKUP($D187,素材!$1:$1016,COLUMN($G$1),FALSE),"")</f>
        <v>0</v>
      </c>
      <c r="N187">
        <f>IFERROR(VLOOKUP($C187,武器!$1:$998,COLUMN(I$1),FALSE),"")</f>
        <v>3.9</v>
      </c>
      <c r="O187" s="23">
        <f>IFERROR((VLOOKUP($C187,武器!$1:$998,COLUMN(K$1),FALSE)+VLOOKUP($D187,素材!$1:$1016,COLUMN(H$1),FALSE))*100+IFERROR(VLOOKUP($CI187,装強!$1:$999,COLUMN(O$1),FALSE),0),"")</f>
        <v>10</v>
      </c>
      <c r="P187" s="23">
        <f>IFERROR((VLOOKUP($C187,武器!$1:$998,COLUMN(L$1),FALSE)+VLOOKUP($D187,素材!$1:$1016,COLUMN(I$1),FALSE))*100+IFERROR(VLOOKUP($CI187,装強!$1:$999,COLUMN(P$1),FALSE),0),"")</f>
        <v>150</v>
      </c>
      <c r="Q187">
        <f>IFERROR(ROUNDUP(VLOOKUP($C187,武器!$1:$998,COLUMN(M$1),FALSE)*(VLOOKUP($D187,素材!$1:$1002,COLUMN(D$1),FALSE)/100),1),"")</f>
        <v>0</v>
      </c>
      <c r="R187">
        <f>IFERROR(ROUNDUP(VLOOKUP($C187,武器!$1:$998,COLUMN(N$1),FALSE)*(VLOOKUP($D187,素材!$1:$1002,COLUMN(D$1),FALSE)/100),1),"")</f>
        <v>0</v>
      </c>
      <c r="S187">
        <f>IFERROR(VLOOKUP($C187,武器!$1:$998,COLUMN(P$1),FALSE),"")</f>
        <v>0</v>
      </c>
      <c r="T187">
        <f>IFERROR(VLOOKUP($C187,武器!$1:$998,COLUMN(Q$1),FALSE),"")</f>
        <v>1</v>
      </c>
      <c r="U187">
        <f>IFERROR(VLOOKUP($C187,武器!$1:$998,COLUMN(R$1),FALSE),"")</f>
        <v>1</v>
      </c>
      <c r="V187">
        <f>IFERROR(VLOOKUP($C187,武器!$1:$998,COLUMN(Q$1),FALSE),"")</f>
        <v>1</v>
      </c>
      <c r="W187" t="str">
        <f>IFERROR(VLOOKUP($C187,武器!$1:$998,COLUMN(T$1),FALSE),"")</f>
        <v>S</v>
      </c>
      <c r="Y187">
        <f>IFERROR(VLOOKUP($C187,武器!$1:$998,COLUMN(U$1),FALSE),"")</f>
        <v>0</v>
      </c>
      <c r="Z187">
        <f>IFERROR(ROUNDUP(VLOOKUP($C187,武器!$1:$998,COLUMN(O$1),FALSE)*VLOOKUP($D187,素材!$1:$1016,COLUMN(E$1),FALSE),1),"")</f>
        <v>0</v>
      </c>
      <c r="AA187">
        <f>IF(ISNUMBER(SEARCH(SUBSTITUTE(AA$1,RIGHT(AA$1,2),""),VLOOKUP($D187,素材!$1:$1016,COLUMN($F$1),FALSE))),VLOOKUP($C187,武器!$1:$998,COLUMN($O$1),FALSE)*VLOOKUP($D187,素材!$1:$1016,COLUMN($E$1),FALSE)/(LEN(VLOOKUP($D187,素材!$1:$1016,COLUMN($F$1),FALSE)) - LEN(SUBSTITUTE(VLOOKUP($D187,素材!$1:$1016,COLUMN($F$1),FALSE), "・", 0)) + 1), 0)</f>
        <v>0</v>
      </c>
      <c r="AB187">
        <f>IF(ISNUMBER(SEARCH(SUBSTITUTE(AB$1,RIGHT(AB$1,2),""),VLOOKUP($D187,素材!$1:$1016,COLUMN($F$1),FALSE))),VLOOKUP($C187,武器!$1:$998,COLUMN($O$1),FALSE)*VLOOKUP($D187,素材!$1:$1016,COLUMN($E$1),FALSE)/(LEN(VLOOKUP($D187,素材!$1:$1016,COLUMN($F$1),FALSE)) - LEN(SUBSTITUTE(VLOOKUP($D187,素材!$1:$1016,COLUMN($F$1),FALSE), "・", 0)) + 1), 0)</f>
        <v>0</v>
      </c>
      <c r="AC187">
        <f>IF(ISNUMBER(SEARCH(SUBSTITUTE(AC$1,RIGHT(AC$1,2),""),VLOOKUP($D187,素材!$1:$1016,COLUMN($F$1),FALSE))),VLOOKUP($C187,武器!$1:$998,COLUMN($O$1),FALSE)*VLOOKUP($D187,素材!$1:$1016,COLUMN($E$1),FALSE)/(LEN(VLOOKUP($D187,素材!$1:$1016,COLUMN($F$1),FALSE)) - LEN(SUBSTITUTE(VLOOKUP($D187,素材!$1:$1016,COLUMN($F$1),FALSE), "・", 0)) + 1), 0)</f>
        <v>0</v>
      </c>
      <c r="AD187">
        <f>IF(ISNUMBER(SEARCH(SUBSTITUTE(AD$1,RIGHT(AD$1,2),""),VLOOKUP($D187,素材!$1:$1016,COLUMN($F$1),FALSE))),VLOOKUP($C187,武器!$1:$998,COLUMN($O$1),FALSE)*VLOOKUP($D187,素材!$1:$1016,COLUMN($E$1),FALSE)/(LEN(VLOOKUP($D187,素材!$1:$1016,COLUMN($F$1),FALSE)) - LEN(SUBSTITUTE(VLOOKUP($D187,素材!$1:$1016,COLUMN($F$1),FALSE), "・", 0)) + 1), 0)</f>
        <v>0</v>
      </c>
      <c r="AE187">
        <f>IF(ISNUMBER(SEARCH(SUBSTITUTE(AE$1,RIGHT(AE$1,2),""),VLOOKUP($D187,素材!$1:$1016,COLUMN($F$1),FALSE))),VLOOKUP($C187,武器!$1:$998,COLUMN($O$1),FALSE)*VLOOKUP($D187,素材!$1:$1016,COLUMN($E$1),FALSE)/(LEN(VLOOKUP($D187,素材!$1:$1016,COLUMN($F$1),FALSE)) - LEN(SUBSTITUTE(VLOOKUP($D187,素材!$1:$1016,COLUMN($F$1),FALSE), "・", 0)) + 1), 0)</f>
        <v>0</v>
      </c>
      <c r="AF187">
        <f>IF(ISNUMBER(SEARCH(SUBSTITUTE(AF$1,RIGHT(AF$1,2),""),VLOOKUP($D187,素材!$1:$1016,COLUMN($F$1),FALSE))),VLOOKUP($C187,武器!$1:$998,COLUMN($O$1),FALSE)*VLOOKUP($D187,素材!$1:$1016,COLUMN($E$1),FALSE)/(LEN(VLOOKUP($D187,素材!$1:$1016,COLUMN($F$1),FALSE)) - LEN(SUBSTITUTE(VLOOKUP($D187,素材!$1:$1016,COLUMN($F$1),FALSE), "・", 0)) + 1), 0)</f>
        <v>0</v>
      </c>
      <c r="AG187">
        <f>IF(ISNUMBER(SEARCH(SUBSTITUTE(AG$1,RIGHT(AG$1,2),""),VLOOKUP($D187,素材!$1:$1016,COLUMN($F$1),FALSE))),VLOOKUP($C187,武器!$1:$998,COLUMN($O$1),FALSE)*VLOOKUP($D187,素材!$1:$1016,COLUMN($E$1),FALSE)/(LEN(VLOOKUP($D187,素材!$1:$1016,COLUMN($F$1),FALSE)) - LEN(SUBSTITUTE(VLOOKUP($D187,素材!$1:$1016,COLUMN($F$1),FALSE), "・", 0)) + 1), 0)</f>
        <v>0</v>
      </c>
      <c r="AH187">
        <f>IF(ISNUMBER(SEARCH(SUBSTITUTE(AH$1,RIGHT(AH$1,2),""),VLOOKUP($D187,素材!$1:$1016,COLUMN($F$1),FALSE))),VLOOKUP($C187,武器!$1:$998,COLUMN($O$1),FALSE)*VLOOKUP($D187,素材!$1:$1016,COLUMN($E$1),FALSE)/(LEN(VLOOKUP($D187,素材!$1:$1016,COLUMN($F$1),FALSE)) - LEN(SUBSTITUTE(VLOOKUP($D187,素材!$1:$1016,COLUMN($F$1),FALSE), "・", 0)) + 1), 0)</f>
        <v>0</v>
      </c>
      <c r="AI187">
        <f>IF(ISNUMBER(SEARCH(SUBSTITUTE(AI$1,RIGHT(AI$1,2),""),VLOOKUP($D187,素材!$1:$1016,COLUMN($F$1),FALSE))),VLOOKUP($C187,武器!$1:$998,COLUMN($O$1),FALSE)*VLOOKUP($D187,素材!$1:$1016,COLUMN($E$1),FALSE)/(LEN(VLOOKUP($D187,素材!$1:$1016,COLUMN($F$1),FALSE)) - LEN(SUBSTITUTE(VLOOKUP($D187,素材!$1:$1016,COLUMN($F$1),FALSE), "・", 0)) + 1), 0)</f>
        <v>0</v>
      </c>
      <c r="AJ187">
        <f>IF(ISNUMBER(SEARCH(SUBSTITUTE(AJ$1,RIGHT(AJ$1,2),""),VLOOKUP($D187,素材!$1:$1016,COLUMN($F$1),FALSE))),VLOOKUP($C187,武器!$1:$998,COLUMN($O$1),FALSE)*VLOOKUP($D187,素材!$1:$1016,COLUMN($E$1),FALSE)/(LEN(VLOOKUP($D187,素材!$1:$1016,COLUMN($F$1),FALSE)) - LEN(SUBSTITUTE(VLOOKUP($D187,素材!$1:$1016,COLUMN($F$1),FALSE), "・", 0)) + 1), 0)</f>
        <v>0</v>
      </c>
      <c r="AK187">
        <f>IF(ISNUMBER(SEARCH(SUBSTITUTE(AK$1,RIGHT(AK$1,2),""),VLOOKUP($D187,素材!$1:$1016,COLUMN($F$1),FALSE))),VLOOKUP($C187,武器!$1:$998,COLUMN($O$1),FALSE)*VLOOKUP($D187,素材!$1:$1016,COLUMN($E$1),FALSE)/(LEN(VLOOKUP($D187,素材!$1:$1016,COLUMN($F$1),FALSE)) - LEN(SUBSTITUTE(VLOOKUP($D187,素材!$1:$1016,COLUMN($F$1),FALSE), "・", 0)) + 1), 0)</f>
        <v>0</v>
      </c>
      <c r="AL187">
        <f>IF(ISNUMBER(SEARCH(SUBSTITUTE(AL$1,RIGHT(AL$1,2),""),VLOOKUP($D187,素材!$1:$1016,COLUMN($F$1),FALSE))),VLOOKUP($C187,武器!$1:$998,COLUMN($O$1),FALSE)*VLOOKUP($D187,素材!$1:$1016,COLUMN($E$1),FALSE)/(LEN(VLOOKUP($D187,素材!$1:$1016,COLUMN($F$1),FALSE)) - LEN(SUBSTITUTE(VLOOKUP($D187,素材!$1:$1016,COLUMN($F$1),FALSE), "・", 0)) + 1), 0)</f>
        <v>0</v>
      </c>
      <c r="AM187">
        <f>IF(ISNUMBER(SEARCH(SUBSTITUTE(AM$1,RIGHT(AM$1,2),""),VLOOKUP($D187,素材!$1:$1016,COLUMN($F$1),FALSE))),VLOOKUP($C187,武器!$1:$998,COLUMN($O$1),FALSE)*VLOOKUP($D187,素材!$1:$1016,COLUMN($E$1),FALSE)/(LEN(VLOOKUP($D187,素材!$1:$1016,COLUMN($F$1),FALSE)) - LEN(SUBSTITUTE(VLOOKUP($D187,素材!$1:$1016,COLUMN($F$1),FALSE), "・", 0)) + 1), 0)</f>
        <v>0</v>
      </c>
      <c r="AN187">
        <f>IF(ISNUMBER(SEARCH(SUBSTITUTE(AN$1,RIGHT(AN$1,2),""),VLOOKUP($D187,素材!$1:$1016,COLUMN($F$1),FALSE))),VLOOKUP($C187,武器!$1:$998,COLUMN($O$1),FALSE)*VLOOKUP($D187,素材!$1:$1016,COLUMN($E$1),FALSE)/(LEN(VLOOKUP($D187,素材!$1:$1016,COLUMN($F$1),FALSE)) - LEN(SUBSTITUTE(VLOOKUP($D187,素材!$1:$1016,COLUMN($F$1),FALSE), "・", 0)) + 1), 0)</f>
        <v>0</v>
      </c>
      <c r="AO187">
        <f>IF(ISNUMBER(SEARCH(SUBSTITUTE(AO$1,RIGHT(AO$1,2),""),VLOOKUP($D187,素材!$1:$1016,COLUMN($F$1),FALSE))),VLOOKUP($C187,武器!$1:$998,COLUMN($O$1),FALSE)*VLOOKUP($D187,素材!$1:$1016,COLUMN($E$1),FALSE)/(LEN(VLOOKUP($D187,素材!$1:$1016,COLUMN($F$1),FALSE)) - LEN(SUBSTITUTE(VLOOKUP($D187,素材!$1:$1016,COLUMN($F$1),FALSE), "・", 0)) + 1), 0)</f>
        <v>0</v>
      </c>
      <c r="AP187">
        <f>IF(ISNUMBER(SEARCH(SUBSTITUTE(AP$1,RIGHT(AP$1,2),""),VLOOKUP($D187,素材!$1:$1016,COLUMN($F$1),FALSE))),VLOOKUP($C187,武器!$1:$998,COLUMN($O$1),FALSE)*VLOOKUP($D187,素材!$1:$1016,COLUMN($E$1),FALSE)/(LEN(VLOOKUP($D187,素材!$1:$1016,COLUMN($F$1),FALSE)) - LEN(SUBSTITUTE(VLOOKUP($D187,素材!$1:$1016,COLUMN($F$1),FALSE), "・", 0)) + 1), 0)</f>
        <v>0</v>
      </c>
      <c r="AQ187">
        <f>IF(ISNUMBER(SEARCH(SUBSTITUTE(AQ$1,RIGHT(AQ$1,2),""),VLOOKUP($D187,素材!$1:$1016,COLUMN($F$1),FALSE))),VLOOKUP($C187,武器!$1:$998,COLUMN($O$1),FALSE)*VLOOKUP($D187,素材!$1:$1016,COLUMN($E$1),FALSE)/(LEN(VLOOKUP($D187,素材!$1:$1016,COLUMN($F$1),FALSE)) - LEN(SUBSTITUTE(VLOOKUP($D187,素材!$1:$1016,COLUMN($F$1),FALSE), "・", 0)) + 1), 0)</f>
        <v>0</v>
      </c>
      <c r="AR187">
        <f>IF(ISNUMBER(SEARCH(SUBSTITUTE(AR$1,RIGHT(AR$1,2),""),VLOOKUP($D187,素材!$1:$1016,COLUMN($F$1),FALSE))),VLOOKUP($C187,武器!$1:$998,COLUMN($O$1),FALSE)*VLOOKUP($D187,素材!$1:$1016,COLUMN($E$1),FALSE)/(LEN(VLOOKUP($D187,素材!$1:$1016,COLUMN($F$1),FALSE)) - LEN(SUBSTITUTE(VLOOKUP($D187,素材!$1:$1016,COLUMN($F$1),FALSE), "・", 0)) + 1), 0)</f>
        <v>0</v>
      </c>
      <c r="AS187">
        <f>IF(ISNUMBER(SEARCH(SUBSTITUTE(AS$1,RIGHT(AS$1,2),""),VLOOKUP($D187,素材!$1:$1016,COLUMN($F$1),FALSE))),VLOOKUP($C187,武器!$1:$998,COLUMN($O$1),FALSE)*VLOOKUP($D187,素材!$1:$1016,COLUMN($E$1),FALSE)/(LEN(VLOOKUP($D187,素材!$1:$1016,COLUMN($F$1),FALSE)) - LEN(SUBSTITUTE(VLOOKUP($D187,素材!$1:$1016,COLUMN($F$1),FALSE), "・", 0)) + 1), 0)</f>
        <v>0</v>
      </c>
      <c r="AT187">
        <f>IF(ISNUMBER(SEARCH(SUBSTITUTE(AT$1,RIGHT(AT$1,2),""),VLOOKUP($D187,素材!$1:$1016,COLUMN($F$1),FALSE))),VLOOKUP($C187,武器!$1:$998,COLUMN($O$1),FALSE)*VLOOKUP($D187,素材!$1:$1016,COLUMN($E$1),FALSE)/(LEN(VLOOKUP($D187,素材!$1:$1016,COLUMN($F$1),FALSE)) - LEN(SUBSTITUTE(VLOOKUP($D187,素材!$1:$1016,COLUMN($F$1),FALSE), "・", 0)) + 1), 0)</f>
        <v>0</v>
      </c>
      <c r="AU187">
        <f>IF(ISNUMBER(SEARCH(SUBSTITUTE(AU$1,RIGHT(AU$1,2),""),VLOOKUP($D187,素材!$1:$1016,COLUMN($F$1),FALSE))),VLOOKUP($C187,武器!$1:$998,COLUMN($O$1),FALSE)*VLOOKUP($D187,素材!$1:$1016,COLUMN($E$1),FALSE)/(LEN(VLOOKUP($D187,素材!$1:$1016,COLUMN($F$1),FALSE)) - LEN(SUBSTITUTE(VLOOKUP($D187,素材!$1:$1016,COLUMN($F$1),FALSE), "・", 0)) + 1), 0)</f>
        <v>0</v>
      </c>
      <c r="AV187">
        <f>IF(ISNUMBER(SEARCH(SUBSTITUTE(AV$1,RIGHT(AV$1,2),""),VLOOKUP($D187,素材!$1:$1016,COLUMN($F$1),FALSE))),VLOOKUP($C187,武器!$1:$998,COLUMN($O$1),FALSE)*VLOOKUP($D187,素材!$1:$1016,COLUMN($E$1),FALSE)/(LEN(VLOOKUP($D187,素材!$1:$1016,COLUMN($F$1),FALSE)) - LEN(SUBSTITUTE(VLOOKUP($D187,素材!$1:$1016,COLUMN($F$1),FALSE), "・", 0)) + 1), 0)</f>
        <v>0</v>
      </c>
      <c r="AW187">
        <f>IF(ISNUMBER(SEARCH(SUBSTITUTE(AW$1,RIGHT(AW$1,2),""),VLOOKUP($D187,素材!$1:$1016,COLUMN($F$1),FALSE))),VLOOKUP($C187,武器!$1:$998,COLUMN($O$1),FALSE)*VLOOKUP($D187,素材!$1:$1016,COLUMN($E$1),FALSE)/(LEN(VLOOKUP($D187,素材!$1:$1016,COLUMN($F$1),FALSE)) - LEN(SUBSTITUTE(VLOOKUP($D187,素材!$1:$1016,COLUMN($F$1),FALSE), "・", 0)) + 1), 0)</f>
        <v>0</v>
      </c>
      <c r="AX187">
        <f>IF(ISNUMBER(SEARCH(SUBSTITUTE(AX$1,RIGHT(AX$1,2),""),VLOOKUP($D187,素材!$1:$1016,COLUMN($F$1),FALSE))),VLOOKUP($C187,武器!$1:$998,COLUMN($O$1),FALSE)*VLOOKUP($D187,素材!$1:$1016,COLUMN($E$1),FALSE)/(LEN(VLOOKUP($D187,素材!$1:$1016,COLUMN($F$1),FALSE)) - LEN(SUBSTITUTE(VLOOKUP($D187,素材!$1:$1016,COLUMN($F$1),FALSE), "・", 0)) + 1), 0)</f>
        <v>0</v>
      </c>
      <c r="AY187">
        <f>IF(ISNUMBER(SEARCH(SUBSTITUTE(AY$1,RIGHT(AY$1,2),""),VLOOKUP($D187,素材!$1:$1016,COLUMN($F$1),FALSE))),VLOOKUP($C187,武器!$1:$998,COLUMN($O$1),FALSE)*VLOOKUP($D187,素材!$1:$1016,COLUMN($E$1),FALSE)/(LEN(VLOOKUP($D187,素材!$1:$1016,COLUMN($F$1),FALSE)) - LEN(SUBSTITUTE(VLOOKUP($D187,素材!$1:$1016,COLUMN($F$1),FALSE), "・", 0)) + 1), 0)</f>
        <v>0</v>
      </c>
      <c r="AZ187">
        <f>IF(ISNUMBER(SEARCH(SUBSTITUTE(AZ$1,RIGHT(AZ$1,2),""),VLOOKUP($D187,素材!$1:$1016,COLUMN($F$1),FALSE))),VLOOKUP($C187,武器!$1:$998,COLUMN($O$1),FALSE)*VLOOKUP($D187,素材!$1:$1016,COLUMN($E$1),FALSE)/(LEN(VLOOKUP($D187,素材!$1:$1016,COLUMN($F$1),FALSE)) - LEN(SUBSTITUTE(VLOOKUP($D187,素材!$1:$1016,COLUMN($F$1),FALSE), "・", 0)) + 1), 0)</f>
        <v>0</v>
      </c>
      <c r="BA187">
        <f>IF(ISNUMBER(SEARCH(SUBSTITUTE(BA$1,RIGHT(BA$1,2),""),VLOOKUP($D187,素材!$1:$1016,COLUMN($F$1),FALSE))),VLOOKUP($C187,武器!$1:$998,COLUMN($O$1),FALSE)*VLOOKUP($D187,素材!$1:$1016,COLUMN($E$1),FALSE)/(LEN(VLOOKUP($D187,素材!$1:$1016,COLUMN($F$1),FALSE)) - LEN(SUBSTITUTE(VLOOKUP($D187,素材!$1:$1016,COLUMN($F$1),FALSE), "・", 0)) + 1), 0)</f>
        <v>0</v>
      </c>
      <c r="BB187">
        <f>IF(ISNUMBER(SEARCH(SUBSTITUTE(BB$1,RIGHT(BB$1,2),""),VLOOKUP($D187,素材!$1:$1016,COLUMN($F$1),FALSE))),VLOOKUP($C187,武器!$1:$998,COLUMN($O$1),FALSE)*VLOOKUP($D187,素材!$1:$1016,COLUMN($E$1),FALSE)/(LEN(VLOOKUP($D187,素材!$1:$1016,COLUMN($F$1),FALSE)) - LEN(SUBSTITUTE(VLOOKUP($D187,素材!$1:$1016,COLUMN($F$1),FALSE), "・", 0)) + 1), 0)</f>
        <v>0</v>
      </c>
      <c r="BC187">
        <f>IF(ISNUMBER(SEARCH(SUBSTITUTE(BC$1,RIGHT(BC$1,2),""),VLOOKUP($D187,素材!$1:$1016,COLUMN($F$1),FALSE))),VLOOKUP($C187,武器!$1:$998,COLUMN($O$1),FALSE)*VLOOKUP($D187,素材!$1:$1016,COLUMN($E$1),FALSE)/(LEN(VLOOKUP($D187,素材!$1:$1016,COLUMN($F$1),FALSE)) - LEN(SUBSTITUTE(VLOOKUP($D187,素材!$1:$1016,COLUMN($F$1),FALSE), "・", 0)) + 1), 0)</f>
        <v>0</v>
      </c>
      <c r="BD187">
        <f>IF(ISNUMBER(SEARCH(SUBSTITUTE(BD$1,RIGHT(BD$1,2),""),VLOOKUP($D187,素材!$1:$1016,COLUMN($F$1),FALSE))),VLOOKUP($C187,武器!$1:$998,COLUMN($O$1),FALSE)*VLOOKUP($D187,素材!$1:$1016,COLUMN($E$1),FALSE)/(LEN(VLOOKUP($D187,素材!$1:$1016,COLUMN($F$1),FALSE)) - LEN(SUBSTITUTE(VLOOKUP($D187,素材!$1:$1016,COLUMN($F$1),FALSE), "・", 0)) + 1), 0)</f>
        <v>0</v>
      </c>
      <c r="BE187">
        <f>IF(ISNUMBER(SEARCH(SUBSTITUTE(BE$1,RIGHT(BE$1,2),""),VLOOKUP($D187,素材!$1:$1016,COLUMN($F$1),FALSE))),VLOOKUP($C187,武器!$1:$998,COLUMN($O$1),FALSE)*VLOOKUP($D187,素材!$1:$1016,COLUMN($E$1),FALSE)/(LEN(VLOOKUP($D187,素材!$1:$1016,COLUMN($F$1),FALSE)) - LEN(SUBSTITUTE(VLOOKUP($D187,素材!$1:$1016,COLUMN($F$1),FALSE), "・", 0)) + 1), 0)</f>
        <v>0</v>
      </c>
      <c r="CL187">
        <f>SUM(G187:I187)</f>
        <v>0</v>
      </c>
      <c r="CM187" s="22" t="str">
        <f>IF(E187="武器",IF(J187-1&gt;SUM(G187:I187),"盾",IF(MAX(G187:I187)=G187,"切断",IF(MAX(G187:I187)=H187,"貫通",IF(MAX(G187:I187)=I187,"打撃","射撃")))),E187)&amp;".webp"</f>
        <v>銃.webp</v>
      </c>
      <c r="CN187">
        <f>IFERROR(VLOOKUP($C187,武器!$1:$998,COLUMN(V$1),FALSE)*VLOOKUP($D187,素材!$1:$1016,COLUMN(N$1),FALSE)+IF(CI187="",0,VLOOKUP($CI187,装強!$1:$1008,COLUMN($CK$1),FALSE)),"")</f>
        <v>4500</v>
      </c>
      <c r="CO187">
        <f>VLOOKUP(D187,素材!$A:$O,COLUMN(素材!O$1),FALSE)</f>
        <v>0</v>
      </c>
      <c r="CP187" t="str">
        <f>VLOOKUP(C187,武器!$A:$W,COLUMN(武器!W$1),FALSE)</f>
        <v/>
      </c>
      <c r="CR187" t="str">
        <f t="shared" si="18"/>
        <v>e_187</v>
      </c>
      <c r="CS187">
        <f t="shared" si="22"/>
        <v>450000</v>
      </c>
    </row>
    <row r="188" spans="1:97" outlineLevel="1" x14ac:dyDescent="0.4">
      <c r="A188" t="str">
        <f t="shared" si="27"/>
        <v>黒鋼鉄の回転式拳銃</v>
      </c>
      <c r="B188" t="str">
        <f>IFERROR(VLOOKUP($D188,素材!$1:$1016,COLUMN($B$1),FALSE)&amp;"・"&amp;VLOOKUP($C188,武器!$1:$998,COLUMN(B$1),FALSE),"")</f>
        <v>ブラックスティール・リボルバー</v>
      </c>
      <c r="C188" t="s">
        <v>212</v>
      </c>
      <c r="D188" s="24" t="s">
        <v>244</v>
      </c>
      <c r="E188" t="str">
        <f>IFERROR(VLOOKUP(C188,武器!$1:$998,COLUMN(C$1),FALSE),"")</f>
        <v>銃</v>
      </c>
      <c r="F188">
        <f>IFERROR(ROUNDDOWN((VLOOKUP($C188,武器!$1:$998,COLUMN(D$1),FALSE)+IFERROR(VLOOKUP($CI188,装強!$1:$999,COLUMN(F$1),FALSE),0))*VLOOKUP($D188,素材!$1:$1016,COLUMN(D$1),FALSE),0),"")</f>
        <v>0</v>
      </c>
      <c r="G188">
        <f>IFERROR(ROUNDDOWN((VLOOKUP($C188,武器!$1:$998,COLUMN(E$1),FALSE)+IFERROR(VLOOKUP($CI188,装強!$1:$999,COLUMN(G$1),FALSE),0))*VLOOKUP($D188,素材!$1:$1016,COLUMN($E$1),FALSE),0),"")</f>
        <v>0</v>
      </c>
      <c r="H188">
        <f>IFERROR(ROUNDDOWN((VLOOKUP($C188,武器!$1:$998,COLUMN(F$1),FALSE)+IFERROR(VLOOKUP($CI188,装強!$1:$999,COLUMN(H$1),FALSE),0))*VLOOKUP($D188,素材!$1:$1016,COLUMN($E$1),FALSE),0),"")</f>
        <v>0</v>
      </c>
      <c r="I188">
        <f>IFERROR(ROUNDDOWN((VLOOKUP($C188,武器!$1:$998,COLUMN(G$1),FALSE)+IFERROR(VLOOKUP($CI188,装強!$1:$999,COLUMN(I$1),FALSE),0))*VLOOKUP($D188,素材!$1:$1016,COLUMN($E$1),FALSE),0),"")</f>
        <v>0</v>
      </c>
      <c r="J188">
        <f>IFERROR(ROUNDDOWN((VLOOKUP($C188,武器!$1:$998,COLUMN(H$1),FALSE)+IFERROR(VLOOKUP($CI188,装強!$1:$999,COLUMN(J$1),FALSE),0))*VLOOKUP($D188,素材!$1:$1016,COLUMN($E$1),FALSE),0),"")</f>
        <v>0</v>
      </c>
      <c r="K188">
        <f>IFERROR(ROUNDDOWN((VLOOKUP($C188,武器!$1:$998,COLUMN(I$1),FALSE)+IFERROR(VLOOKUP($CI188,装強!$1:$999,COLUMN(K$1),FALSE),0))*VLOOKUP($D188,素材!$1:$1016,COLUMN($E$1),FALSE),0),"")</f>
        <v>51</v>
      </c>
      <c r="L188" t="str">
        <f>IFERROR(VLOOKUP($D188,素材!$1:$1016,COLUMN($F$1),FALSE),"")</f>
        <v>雷</v>
      </c>
      <c r="M188">
        <f>IFERROR(VLOOKUP($C188,武器!$1:$998,COLUMN(AA$1),FALSE)*VLOOKUP($D188,素材!$1:$1016,COLUMN($G$1),FALSE),"")</f>
        <v>0</v>
      </c>
      <c r="N188">
        <f>IFERROR(VLOOKUP($C188,武器!$1:$998,COLUMN(I$1),FALSE),"")</f>
        <v>2.5700000000000003</v>
      </c>
      <c r="O188" s="23">
        <f>IFERROR((VLOOKUP($C188,武器!$1:$998,COLUMN(K$1),FALSE)+VLOOKUP($D188,素材!$1:$1016,COLUMN(H$1),FALSE))*100+IFERROR(VLOOKUP($CI188,装強!$1:$999,COLUMN(O$1),FALSE),0),"")</f>
        <v>10</v>
      </c>
      <c r="P188" s="23">
        <f>IFERROR((VLOOKUP($C188,武器!$1:$998,COLUMN(L$1),FALSE)+VLOOKUP($D188,素材!$1:$1016,COLUMN(I$1),FALSE))*100+IFERROR(VLOOKUP($CI188,装強!$1:$999,COLUMN(P$1),FALSE),0),"")</f>
        <v>140</v>
      </c>
      <c r="Q188">
        <f>IFERROR(ROUNDUP(VLOOKUP($C188,武器!$1:$998,COLUMN(M$1),FALSE)*(VLOOKUP($D188,素材!$1:$1002,COLUMN(D$1),FALSE)/100),1),"")</f>
        <v>0</v>
      </c>
      <c r="R188">
        <f>IFERROR(ROUNDUP(VLOOKUP($C188,武器!$1:$998,COLUMN(N$1),FALSE)*(VLOOKUP($D188,素材!$1:$1002,COLUMN(D$1),FALSE)/100),1),"")</f>
        <v>-15</v>
      </c>
      <c r="S188">
        <f>IFERROR(VLOOKUP($C188,武器!$1:$998,COLUMN(P$1),FALSE),"")</f>
        <v>0</v>
      </c>
      <c r="T188">
        <f>IFERROR(VLOOKUP($C188,武器!$1:$998,COLUMN(Q$1),FALSE),"")</f>
        <v>2</v>
      </c>
      <c r="U188">
        <f>IFERROR(VLOOKUP($C188,武器!$1:$998,COLUMN(R$1),FALSE),"")</f>
        <v>6</v>
      </c>
      <c r="V188">
        <f>IFERROR(VLOOKUP($C188,武器!$1:$998,COLUMN(Q$1),FALSE),"")</f>
        <v>2</v>
      </c>
      <c r="W188">
        <f>IFERROR(VLOOKUP($C188,武器!$1:$998,COLUMN(T$1),FALSE),"")</f>
        <v>0</v>
      </c>
      <c r="Y188">
        <f>IFERROR(VLOOKUP($C188,武器!$1:$998,COLUMN(U$1),FALSE),"")</f>
        <v>0</v>
      </c>
      <c r="Z188">
        <f>IFERROR(ROUNDUP(VLOOKUP($C188,武器!$1:$998,COLUMN(O$1),FALSE)*VLOOKUP($D188,素材!$1:$1016,COLUMN(E$1),FALSE),1),"")</f>
        <v>0</v>
      </c>
      <c r="AA188">
        <f>IF(ISNUMBER(SEARCH(SUBSTITUTE(AA$1,RIGHT(AA$1,2),""),VLOOKUP($D188,素材!$1:$1016,COLUMN($F$1),FALSE))),VLOOKUP($C188,武器!$1:$998,COLUMN($O$1),FALSE)*VLOOKUP($D188,素材!$1:$1016,COLUMN($E$1),FALSE)/(LEN(VLOOKUP($D188,素材!$1:$1016,COLUMN($F$1),FALSE)) - LEN(SUBSTITUTE(VLOOKUP($D188,素材!$1:$1016,COLUMN($F$1),FALSE), "・", 0)) + 1), 0)</f>
        <v>0</v>
      </c>
      <c r="AB188">
        <f>IF(ISNUMBER(SEARCH(SUBSTITUTE(AB$1,RIGHT(AB$1,2),""),VLOOKUP($D188,素材!$1:$1016,COLUMN($F$1),FALSE))),VLOOKUP($C188,武器!$1:$998,COLUMN($O$1),FALSE)*VLOOKUP($D188,素材!$1:$1016,COLUMN($E$1),FALSE)/(LEN(VLOOKUP($D188,素材!$1:$1016,COLUMN($F$1),FALSE)) - LEN(SUBSTITUTE(VLOOKUP($D188,素材!$1:$1016,COLUMN($F$1),FALSE), "・", 0)) + 1), 0)</f>
        <v>0</v>
      </c>
      <c r="AC188">
        <f>IF(ISNUMBER(SEARCH(SUBSTITUTE(AC$1,RIGHT(AC$1,2),""),VLOOKUP($D188,素材!$1:$1016,COLUMN($F$1),FALSE))),VLOOKUP($C188,武器!$1:$998,COLUMN($O$1),FALSE)*VLOOKUP($D188,素材!$1:$1016,COLUMN($E$1),FALSE)/(LEN(VLOOKUP($D188,素材!$1:$1016,COLUMN($F$1),FALSE)) - LEN(SUBSTITUTE(VLOOKUP($D188,素材!$1:$1016,COLUMN($F$1),FALSE), "・", 0)) + 1), 0)</f>
        <v>0</v>
      </c>
      <c r="AD188">
        <f>IF(ISNUMBER(SEARCH(SUBSTITUTE(AD$1,RIGHT(AD$1,2),""),VLOOKUP($D188,素材!$1:$1016,COLUMN($F$1),FALSE))),VLOOKUP($C188,武器!$1:$998,COLUMN($O$1),FALSE)*VLOOKUP($D188,素材!$1:$1016,COLUMN($E$1),FALSE)/(LEN(VLOOKUP($D188,素材!$1:$1016,COLUMN($F$1),FALSE)) - LEN(SUBSTITUTE(VLOOKUP($D188,素材!$1:$1016,COLUMN($F$1),FALSE), "・", 0)) + 1), 0)</f>
        <v>0</v>
      </c>
      <c r="AE188">
        <f>IF(ISNUMBER(SEARCH(SUBSTITUTE(AE$1,RIGHT(AE$1,2),""),VLOOKUP($D188,素材!$1:$1016,COLUMN($F$1),FALSE))),VLOOKUP($C188,武器!$1:$998,COLUMN($O$1),FALSE)*VLOOKUP($D188,素材!$1:$1016,COLUMN($E$1),FALSE)/(LEN(VLOOKUP($D188,素材!$1:$1016,COLUMN($F$1),FALSE)) - LEN(SUBSTITUTE(VLOOKUP($D188,素材!$1:$1016,COLUMN($F$1),FALSE), "・", 0)) + 1), 0)</f>
        <v>0</v>
      </c>
      <c r="AF188">
        <f>IF(ISNUMBER(SEARCH(SUBSTITUTE(AF$1,RIGHT(AF$1,2),""),VLOOKUP($D188,素材!$1:$1016,COLUMN($F$1),FALSE))),VLOOKUP($C188,武器!$1:$998,COLUMN($O$1),FALSE)*VLOOKUP($D188,素材!$1:$1016,COLUMN($E$1),FALSE)/(LEN(VLOOKUP($D188,素材!$1:$1016,COLUMN($F$1),FALSE)) - LEN(SUBSTITUTE(VLOOKUP($D188,素材!$1:$1016,COLUMN($F$1),FALSE), "・", 0)) + 1), 0)</f>
        <v>0</v>
      </c>
      <c r="AG188">
        <f>IF(ISNUMBER(SEARCH(SUBSTITUTE(AG$1,RIGHT(AG$1,2),""),VLOOKUP($D188,素材!$1:$1016,COLUMN($F$1),FALSE))),VLOOKUP($C188,武器!$1:$998,COLUMN($O$1),FALSE)*VLOOKUP($D188,素材!$1:$1016,COLUMN($E$1),FALSE)/(LEN(VLOOKUP($D188,素材!$1:$1016,COLUMN($F$1),FALSE)) - LEN(SUBSTITUTE(VLOOKUP($D188,素材!$1:$1016,COLUMN($F$1),FALSE), "・", 0)) + 1), 0)</f>
        <v>0</v>
      </c>
      <c r="AH188">
        <f>IF(ISNUMBER(SEARCH(SUBSTITUTE(AH$1,RIGHT(AH$1,2),""),VLOOKUP($D188,素材!$1:$1016,COLUMN($F$1),FALSE))),VLOOKUP($C188,武器!$1:$998,COLUMN($O$1),FALSE)*VLOOKUP($D188,素材!$1:$1016,COLUMN($E$1),FALSE)/(LEN(VLOOKUP($D188,素材!$1:$1016,COLUMN($F$1),FALSE)) - LEN(SUBSTITUTE(VLOOKUP($D188,素材!$1:$1016,COLUMN($F$1),FALSE), "・", 0)) + 1), 0)</f>
        <v>0</v>
      </c>
      <c r="AI188">
        <f>IF(ISNUMBER(SEARCH(SUBSTITUTE(AI$1,RIGHT(AI$1,2),""),VLOOKUP($D188,素材!$1:$1016,COLUMN($F$1),FALSE))),VLOOKUP($C188,武器!$1:$998,COLUMN($O$1),FALSE)*VLOOKUP($D188,素材!$1:$1016,COLUMN($E$1),FALSE)/(LEN(VLOOKUP($D188,素材!$1:$1016,COLUMN($F$1),FALSE)) - LEN(SUBSTITUTE(VLOOKUP($D188,素材!$1:$1016,COLUMN($F$1),FALSE), "・", 0)) + 1), 0)</f>
        <v>0</v>
      </c>
      <c r="AJ188">
        <f>IF(ISNUMBER(SEARCH(SUBSTITUTE(AJ$1,RIGHT(AJ$1,2),""),VLOOKUP($D188,素材!$1:$1016,COLUMN($F$1),FALSE))),VLOOKUP($C188,武器!$1:$998,COLUMN($O$1),FALSE)*VLOOKUP($D188,素材!$1:$1016,COLUMN($E$1),FALSE)/(LEN(VLOOKUP($D188,素材!$1:$1016,COLUMN($F$1),FALSE)) - LEN(SUBSTITUTE(VLOOKUP($D188,素材!$1:$1016,COLUMN($F$1),FALSE), "・", 0)) + 1), 0)</f>
        <v>0</v>
      </c>
      <c r="AK188">
        <f>IF(ISNUMBER(SEARCH(SUBSTITUTE(AK$1,RIGHT(AK$1,2),""),VLOOKUP($D188,素材!$1:$1016,COLUMN($F$1),FALSE))),VLOOKUP($C188,武器!$1:$998,COLUMN($O$1),FALSE)*VLOOKUP($D188,素材!$1:$1016,COLUMN($E$1),FALSE)/(LEN(VLOOKUP($D188,素材!$1:$1016,COLUMN($F$1),FALSE)) - LEN(SUBSTITUTE(VLOOKUP($D188,素材!$1:$1016,COLUMN($F$1),FALSE), "・", 0)) + 1), 0)</f>
        <v>0</v>
      </c>
      <c r="AL188">
        <f>IF(ISNUMBER(SEARCH(SUBSTITUTE(AL$1,RIGHT(AL$1,2),""),VLOOKUP($D188,素材!$1:$1016,COLUMN($F$1),FALSE))),VLOOKUP($C188,武器!$1:$998,COLUMN($O$1),FALSE)*VLOOKUP($D188,素材!$1:$1016,COLUMN($E$1),FALSE)/(LEN(VLOOKUP($D188,素材!$1:$1016,COLUMN($F$1),FALSE)) - LEN(SUBSTITUTE(VLOOKUP($D188,素材!$1:$1016,COLUMN($F$1),FALSE), "・", 0)) + 1), 0)</f>
        <v>0</v>
      </c>
      <c r="AM188">
        <f>IF(ISNUMBER(SEARCH(SUBSTITUTE(AM$1,RIGHT(AM$1,2),""),VLOOKUP($D188,素材!$1:$1016,COLUMN($F$1),FALSE))),VLOOKUP($C188,武器!$1:$998,COLUMN($O$1),FALSE)*VLOOKUP($D188,素材!$1:$1016,COLUMN($E$1),FALSE)/(LEN(VLOOKUP($D188,素材!$1:$1016,COLUMN($F$1),FALSE)) - LEN(SUBSTITUTE(VLOOKUP($D188,素材!$1:$1016,COLUMN($F$1),FALSE), "・", 0)) + 1), 0)</f>
        <v>0</v>
      </c>
      <c r="AN188">
        <f>IF(ISNUMBER(SEARCH(SUBSTITUTE(AN$1,RIGHT(AN$1,2),""),VLOOKUP($D188,素材!$1:$1016,COLUMN($F$1),FALSE))),VLOOKUP($C188,武器!$1:$998,COLUMN($O$1),FALSE)*VLOOKUP($D188,素材!$1:$1016,COLUMN($E$1),FALSE)/(LEN(VLOOKUP($D188,素材!$1:$1016,COLUMN($F$1),FALSE)) - LEN(SUBSTITUTE(VLOOKUP($D188,素材!$1:$1016,COLUMN($F$1),FALSE), "・", 0)) + 1), 0)</f>
        <v>0</v>
      </c>
      <c r="AO188">
        <f>IF(ISNUMBER(SEARCH(SUBSTITUTE(AO$1,RIGHT(AO$1,2),""),VLOOKUP($D188,素材!$1:$1016,COLUMN($F$1),FALSE))),VLOOKUP($C188,武器!$1:$998,COLUMN($O$1),FALSE)*VLOOKUP($D188,素材!$1:$1016,COLUMN($E$1),FALSE)/(LEN(VLOOKUP($D188,素材!$1:$1016,COLUMN($F$1),FALSE)) - LEN(SUBSTITUTE(VLOOKUP($D188,素材!$1:$1016,COLUMN($F$1),FALSE), "・", 0)) + 1), 0)</f>
        <v>0</v>
      </c>
      <c r="AP188">
        <f>IF(ISNUMBER(SEARCH(SUBSTITUTE(AP$1,RIGHT(AP$1,2),""),VLOOKUP($D188,素材!$1:$1016,COLUMN($F$1),FALSE))),VLOOKUP($C188,武器!$1:$998,COLUMN($O$1),FALSE)*VLOOKUP($D188,素材!$1:$1016,COLUMN($E$1),FALSE)/(LEN(VLOOKUP($D188,素材!$1:$1016,COLUMN($F$1),FALSE)) - LEN(SUBSTITUTE(VLOOKUP($D188,素材!$1:$1016,COLUMN($F$1),FALSE), "・", 0)) + 1), 0)</f>
        <v>0</v>
      </c>
      <c r="AQ188">
        <f>IF(ISNUMBER(SEARCH(SUBSTITUTE(AQ$1,RIGHT(AQ$1,2),""),VLOOKUP($D188,素材!$1:$1016,COLUMN($F$1),FALSE))),VLOOKUP($C188,武器!$1:$998,COLUMN($O$1),FALSE)*VLOOKUP($D188,素材!$1:$1016,COLUMN($E$1),FALSE)/(LEN(VLOOKUP($D188,素材!$1:$1016,COLUMN($F$1),FALSE)) - LEN(SUBSTITUTE(VLOOKUP($D188,素材!$1:$1016,COLUMN($F$1),FALSE), "・", 0)) + 1), 0)</f>
        <v>0</v>
      </c>
      <c r="AR188">
        <f>IF(ISNUMBER(SEARCH(SUBSTITUTE(AR$1,RIGHT(AR$1,2),""),VLOOKUP($D188,素材!$1:$1016,COLUMN($F$1),FALSE))),VLOOKUP($C188,武器!$1:$998,COLUMN($O$1),FALSE)*VLOOKUP($D188,素材!$1:$1016,COLUMN($E$1),FALSE)/(LEN(VLOOKUP($D188,素材!$1:$1016,COLUMN($F$1),FALSE)) - LEN(SUBSTITUTE(VLOOKUP($D188,素材!$1:$1016,COLUMN($F$1),FALSE), "・", 0)) + 1), 0)</f>
        <v>0</v>
      </c>
      <c r="AS188">
        <f>IF(ISNUMBER(SEARCH(SUBSTITUTE(AS$1,RIGHT(AS$1,2),""),VLOOKUP($D188,素材!$1:$1016,COLUMN($F$1),FALSE))),VLOOKUP($C188,武器!$1:$998,COLUMN($O$1),FALSE)*VLOOKUP($D188,素材!$1:$1016,COLUMN($E$1),FALSE)/(LEN(VLOOKUP($D188,素材!$1:$1016,COLUMN($F$1),FALSE)) - LEN(SUBSTITUTE(VLOOKUP($D188,素材!$1:$1016,COLUMN($F$1),FALSE), "・", 0)) + 1), 0)</f>
        <v>0</v>
      </c>
      <c r="AT188">
        <f>IF(ISNUMBER(SEARCH(SUBSTITUTE(AT$1,RIGHT(AT$1,2),""),VLOOKUP($D188,素材!$1:$1016,COLUMN($F$1),FALSE))),VLOOKUP($C188,武器!$1:$998,COLUMN($O$1),FALSE)*VLOOKUP($D188,素材!$1:$1016,COLUMN($E$1),FALSE)/(LEN(VLOOKUP($D188,素材!$1:$1016,COLUMN($F$1),FALSE)) - LEN(SUBSTITUTE(VLOOKUP($D188,素材!$1:$1016,COLUMN($F$1),FALSE), "・", 0)) + 1), 0)</f>
        <v>0</v>
      </c>
      <c r="AU188">
        <f>IF(ISNUMBER(SEARCH(SUBSTITUTE(AU$1,RIGHT(AU$1,2),""),VLOOKUP($D188,素材!$1:$1016,COLUMN($F$1),FALSE))),VLOOKUP($C188,武器!$1:$998,COLUMN($O$1),FALSE)*VLOOKUP($D188,素材!$1:$1016,COLUMN($E$1),FALSE)/(LEN(VLOOKUP($D188,素材!$1:$1016,COLUMN($F$1),FALSE)) - LEN(SUBSTITUTE(VLOOKUP($D188,素材!$1:$1016,COLUMN($F$1),FALSE), "・", 0)) + 1), 0)</f>
        <v>0</v>
      </c>
      <c r="AV188">
        <f>IF(ISNUMBER(SEARCH(SUBSTITUTE(AV$1,RIGHT(AV$1,2),""),VLOOKUP($D188,素材!$1:$1016,COLUMN($F$1),FALSE))),VLOOKUP($C188,武器!$1:$998,COLUMN($O$1),FALSE)*VLOOKUP($D188,素材!$1:$1016,COLUMN($E$1),FALSE)/(LEN(VLOOKUP($D188,素材!$1:$1016,COLUMN($F$1),FALSE)) - LEN(SUBSTITUTE(VLOOKUP($D188,素材!$1:$1016,COLUMN($F$1),FALSE), "・", 0)) + 1), 0)</f>
        <v>0</v>
      </c>
      <c r="AW188">
        <f>IF(ISNUMBER(SEARCH(SUBSTITUTE(AW$1,RIGHT(AW$1,2),""),VLOOKUP($D188,素材!$1:$1016,COLUMN($F$1),FALSE))),VLOOKUP($C188,武器!$1:$998,COLUMN($O$1),FALSE)*VLOOKUP($D188,素材!$1:$1016,COLUMN($E$1),FALSE)/(LEN(VLOOKUP($D188,素材!$1:$1016,COLUMN($F$1),FALSE)) - LEN(SUBSTITUTE(VLOOKUP($D188,素材!$1:$1016,COLUMN($F$1),FALSE), "・", 0)) + 1), 0)</f>
        <v>0</v>
      </c>
      <c r="AX188">
        <f>IF(ISNUMBER(SEARCH(SUBSTITUTE(AX$1,RIGHT(AX$1,2),""),VLOOKUP($D188,素材!$1:$1016,COLUMN($F$1),FALSE))),VLOOKUP($C188,武器!$1:$998,COLUMN($O$1),FALSE)*VLOOKUP($D188,素材!$1:$1016,COLUMN($E$1),FALSE)/(LEN(VLOOKUP($D188,素材!$1:$1016,COLUMN($F$1),FALSE)) - LEN(SUBSTITUTE(VLOOKUP($D188,素材!$1:$1016,COLUMN($F$1),FALSE), "・", 0)) + 1), 0)</f>
        <v>0</v>
      </c>
      <c r="AY188">
        <f>IF(ISNUMBER(SEARCH(SUBSTITUTE(AY$1,RIGHT(AY$1,2),""),VLOOKUP($D188,素材!$1:$1016,COLUMN($F$1),FALSE))),VLOOKUP($C188,武器!$1:$998,COLUMN($O$1),FALSE)*VLOOKUP($D188,素材!$1:$1016,COLUMN($E$1),FALSE)/(LEN(VLOOKUP($D188,素材!$1:$1016,COLUMN($F$1),FALSE)) - LEN(SUBSTITUTE(VLOOKUP($D188,素材!$1:$1016,COLUMN($F$1),FALSE), "・", 0)) + 1), 0)</f>
        <v>0</v>
      </c>
      <c r="AZ188">
        <f>IF(ISNUMBER(SEARCH(SUBSTITUTE(AZ$1,RIGHT(AZ$1,2),""),VLOOKUP($D188,素材!$1:$1016,COLUMN($F$1),FALSE))),VLOOKUP($C188,武器!$1:$998,COLUMN($O$1),FALSE)*VLOOKUP($D188,素材!$1:$1016,COLUMN($E$1),FALSE)/(LEN(VLOOKUP($D188,素材!$1:$1016,COLUMN($F$1),FALSE)) - LEN(SUBSTITUTE(VLOOKUP($D188,素材!$1:$1016,COLUMN($F$1),FALSE), "・", 0)) + 1), 0)</f>
        <v>0</v>
      </c>
      <c r="BA188">
        <f>IF(ISNUMBER(SEARCH(SUBSTITUTE(BA$1,RIGHT(BA$1,2),""),VLOOKUP($D188,素材!$1:$1016,COLUMN($F$1),FALSE))),VLOOKUP($C188,武器!$1:$998,COLUMN($O$1),FALSE)*VLOOKUP($D188,素材!$1:$1016,COLUMN($E$1),FALSE)/(LEN(VLOOKUP($D188,素材!$1:$1016,COLUMN($F$1),FALSE)) - LEN(SUBSTITUTE(VLOOKUP($D188,素材!$1:$1016,COLUMN($F$1),FALSE), "・", 0)) + 1), 0)</f>
        <v>0</v>
      </c>
      <c r="BB188">
        <f>IF(ISNUMBER(SEARCH(SUBSTITUTE(BB$1,RIGHT(BB$1,2),""),VLOOKUP($D188,素材!$1:$1016,COLUMN($F$1),FALSE))),VLOOKUP($C188,武器!$1:$998,COLUMN($O$1),FALSE)*VLOOKUP($D188,素材!$1:$1016,COLUMN($E$1),FALSE)/(LEN(VLOOKUP($D188,素材!$1:$1016,COLUMN($F$1),FALSE)) - LEN(SUBSTITUTE(VLOOKUP($D188,素材!$1:$1016,COLUMN($F$1),FALSE), "・", 0)) + 1), 0)</f>
        <v>0</v>
      </c>
      <c r="BC188">
        <f>IF(ISNUMBER(SEARCH(SUBSTITUTE(BC$1,RIGHT(BC$1,2),""),VLOOKUP($D188,素材!$1:$1016,COLUMN($F$1),FALSE))),VLOOKUP($C188,武器!$1:$998,COLUMN($O$1),FALSE)*VLOOKUP($D188,素材!$1:$1016,COLUMN($E$1),FALSE)/(LEN(VLOOKUP($D188,素材!$1:$1016,COLUMN($F$1),FALSE)) - LEN(SUBSTITUTE(VLOOKUP($D188,素材!$1:$1016,COLUMN($F$1),FALSE), "・", 0)) + 1), 0)</f>
        <v>0</v>
      </c>
      <c r="BD188">
        <f>IF(ISNUMBER(SEARCH(SUBSTITUTE(BD$1,RIGHT(BD$1,2),""),VLOOKUP($D188,素材!$1:$1016,COLUMN($F$1),FALSE))),VLOOKUP($C188,武器!$1:$998,COLUMN($O$1),FALSE)*VLOOKUP($D188,素材!$1:$1016,COLUMN($E$1),FALSE)/(LEN(VLOOKUP($D188,素材!$1:$1016,COLUMN($F$1),FALSE)) - LEN(SUBSTITUTE(VLOOKUP($D188,素材!$1:$1016,COLUMN($F$1),FALSE), "・", 0)) + 1), 0)</f>
        <v>0</v>
      </c>
      <c r="BE188">
        <f>IF(ISNUMBER(SEARCH(SUBSTITUTE(BE$1,RIGHT(BE$1,2),""),VLOOKUP($D188,素材!$1:$1016,COLUMN($F$1),FALSE))),VLOOKUP($C188,武器!$1:$998,COLUMN($O$1),FALSE)*VLOOKUP($D188,素材!$1:$1016,COLUMN($E$1),FALSE)/(LEN(VLOOKUP($D188,素材!$1:$1016,COLUMN($F$1),FALSE)) - LEN(SUBSTITUTE(VLOOKUP($D188,素材!$1:$1016,COLUMN($F$1),FALSE), "・", 0)) + 1), 0)</f>
        <v>0</v>
      </c>
      <c r="CL188">
        <f>SUM(G188:I188)</f>
        <v>0</v>
      </c>
      <c r="CM188" s="22" t="str">
        <f>IF(E188="武器",IF(J188-1&gt;SUM(G188:I188),"盾",IF(MAX(G188:I188)=G188,"切断",IF(MAX(G188:I188)=H188,"貫通",IF(MAX(G188:I188)=I188,"打撃","射撃")))),E188)&amp;".webp"</f>
        <v>銃.webp</v>
      </c>
      <c r="CN188">
        <f>IFERROR(VLOOKUP($C188,武器!$1:$998,COLUMN(V$1),FALSE)*VLOOKUP($D188,素材!$1:$1016,COLUMN(N$1),FALSE)+IF(CI188="",0,VLOOKUP($CI188,装強!$1:$1008,COLUMN($CK$1),FALSE)),"")</f>
        <v>3000</v>
      </c>
      <c r="CO188">
        <f>VLOOKUP(D188,素材!$A:$O,COLUMN(素材!O$1),FALSE)</f>
        <v>0</v>
      </c>
      <c r="CP188" t="str">
        <f>VLOOKUP(C188,武器!$A:$W,COLUMN(武器!W$1),FALSE)</f>
        <v/>
      </c>
      <c r="CR188" t="str">
        <f t="shared" si="18"/>
        <v>e_188</v>
      </c>
      <c r="CS188">
        <f t="shared" si="22"/>
        <v>300000</v>
      </c>
    </row>
    <row r="189" spans="1:97" outlineLevel="1" x14ac:dyDescent="0.4">
      <c r="A189" t="str">
        <f t="shared" si="27"/>
        <v>黒鋼鉄の拳銃</v>
      </c>
      <c r="B189" t="str">
        <f>IFERROR(VLOOKUP($D189,素材!$1:$1016,COLUMN($B$1),FALSE)&amp;"・"&amp;VLOOKUP($C189,武器!$1:$998,COLUMN(B$1),FALSE),"")</f>
        <v>ブラックスティール・ハンドガン</v>
      </c>
      <c r="C189" t="s">
        <v>211</v>
      </c>
      <c r="D189" s="24" t="s">
        <v>244</v>
      </c>
      <c r="E189" t="str">
        <f>IFERROR(VLOOKUP(C189,武器!$1:$998,COLUMN(C$1),FALSE),"")</f>
        <v>銃</v>
      </c>
      <c r="F189">
        <f>IFERROR(ROUNDDOWN((VLOOKUP($C189,武器!$1:$998,COLUMN(D$1),FALSE)+IFERROR(VLOOKUP($CI189,装強!$1:$999,COLUMN(F$1),FALSE),0))*VLOOKUP($D189,素材!$1:$1016,COLUMN(D$1),FALSE),0),"")</f>
        <v>0</v>
      </c>
      <c r="G189">
        <f>IFERROR(ROUNDDOWN((VLOOKUP($C189,武器!$1:$998,COLUMN(E$1),FALSE)+IFERROR(VLOOKUP($CI189,装強!$1:$999,COLUMN(G$1),FALSE),0))*VLOOKUP($D189,素材!$1:$1016,COLUMN($E$1),FALSE),0),"")</f>
        <v>0</v>
      </c>
      <c r="H189">
        <f>IFERROR(ROUNDDOWN((VLOOKUP($C189,武器!$1:$998,COLUMN(F$1),FALSE)+IFERROR(VLOOKUP($CI189,装強!$1:$999,COLUMN(H$1),FALSE),0))*VLOOKUP($D189,素材!$1:$1016,COLUMN($E$1),FALSE),0),"")</f>
        <v>0</v>
      </c>
      <c r="I189">
        <f>IFERROR(ROUNDDOWN((VLOOKUP($C189,武器!$1:$998,COLUMN(G$1),FALSE)+IFERROR(VLOOKUP($CI189,装強!$1:$999,COLUMN(I$1),FALSE),0))*VLOOKUP($D189,素材!$1:$1016,COLUMN($E$1),FALSE),0),"")</f>
        <v>0</v>
      </c>
      <c r="J189">
        <f>IFERROR(ROUNDDOWN((VLOOKUP($C189,武器!$1:$998,COLUMN(H$1),FALSE)+IFERROR(VLOOKUP($CI189,装強!$1:$999,COLUMN(J$1),FALSE),0))*VLOOKUP($D189,素材!$1:$1016,COLUMN($E$1),FALSE),0),"")</f>
        <v>0</v>
      </c>
      <c r="K189">
        <f>IFERROR(ROUNDDOWN((VLOOKUP($C189,武器!$1:$998,COLUMN(I$1),FALSE)+IFERROR(VLOOKUP($CI189,装強!$1:$999,COLUMN(K$1),FALSE),0))*VLOOKUP($D189,素材!$1:$1016,COLUMN($E$1),FALSE),0),"")</f>
        <v>36</v>
      </c>
      <c r="L189" t="str">
        <f>IFERROR(VLOOKUP($D189,素材!$1:$1016,COLUMN($F$1),FALSE),"")</f>
        <v>雷</v>
      </c>
      <c r="M189">
        <f>IFERROR(VLOOKUP($C189,武器!$1:$998,COLUMN(AA$1),FALSE)*VLOOKUP($D189,素材!$1:$1016,COLUMN($G$1),FALSE),"")</f>
        <v>0</v>
      </c>
      <c r="N189">
        <f>IFERROR(VLOOKUP($C189,武器!$1:$998,COLUMN(I$1),FALSE),"")</f>
        <v>1.8</v>
      </c>
      <c r="O189" s="23">
        <f>IFERROR((VLOOKUP($C189,武器!$1:$998,COLUMN(K$1),FALSE)+VLOOKUP($D189,素材!$1:$1016,COLUMN(H$1),FALSE))*100+IFERROR(VLOOKUP($CI189,装強!$1:$999,COLUMN(O$1),FALSE),0),"")</f>
        <v>15</v>
      </c>
      <c r="P189" s="23">
        <f>IFERROR((VLOOKUP($C189,武器!$1:$998,COLUMN(L$1),FALSE)+VLOOKUP($D189,素材!$1:$1016,COLUMN(I$1),FALSE))*100+IFERROR(VLOOKUP($CI189,装強!$1:$999,COLUMN(P$1),FALSE),0),"")</f>
        <v>175</v>
      </c>
      <c r="Q189">
        <f>IFERROR(ROUNDUP(VLOOKUP($C189,武器!$1:$998,COLUMN(M$1),FALSE)*(VLOOKUP($D189,素材!$1:$1002,COLUMN(D$1),FALSE)/100),1),"")</f>
        <v>0</v>
      </c>
      <c r="R189">
        <f>IFERROR(ROUNDUP(VLOOKUP($C189,武器!$1:$998,COLUMN(N$1),FALSE)*(VLOOKUP($D189,素材!$1:$1002,COLUMN(D$1),FALSE)/100),1),"")</f>
        <v>0</v>
      </c>
      <c r="S189">
        <f>IFERROR(VLOOKUP($C189,武器!$1:$998,COLUMN(P$1),FALSE),"")</f>
        <v>0</v>
      </c>
      <c r="T189">
        <f>IFERROR(VLOOKUP($C189,武器!$1:$998,COLUMN(Q$1),FALSE),"")</f>
        <v>3</v>
      </c>
      <c r="U189">
        <f>IFERROR(VLOOKUP($C189,武器!$1:$998,COLUMN(R$1),FALSE),"")</f>
        <v>1</v>
      </c>
      <c r="V189">
        <f>IFERROR(VLOOKUP($C189,武器!$1:$998,COLUMN(Q$1),FALSE),"")</f>
        <v>3</v>
      </c>
      <c r="W189">
        <f>IFERROR(VLOOKUP($C189,武器!$1:$998,COLUMN(T$1),FALSE),"")</f>
        <v>0</v>
      </c>
      <c r="Y189">
        <f>IFERROR(VLOOKUP($C189,武器!$1:$998,COLUMN(U$1),FALSE),"")</f>
        <v>0</v>
      </c>
      <c r="Z189">
        <f>IFERROR(ROUNDUP(VLOOKUP($C189,武器!$1:$998,COLUMN(O$1),FALSE)*VLOOKUP($D189,素材!$1:$1016,COLUMN(E$1),FALSE),1),"")</f>
        <v>0</v>
      </c>
      <c r="AA189">
        <f>IF(ISNUMBER(SEARCH(SUBSTITUTE(AA$1,RIGHT(AA$1,2),""),VLOOKUP($D189,素材!$1:$1016,COLUMN($F$1),FALSE))),VLOOKUP($C189,武器!$1:$998,COLUMN($O$1),FALSE)*VLOOKUP($D189,素材!$1:$1016,COLUMN($E$1),FALSE)/(LEN(VLOOKUP($D189,素材!$1:$1016,COLUMN($F$1),FALSE)) - LEN(SUBSTITUTE(VLOOKUP($D189,素材!$1:$1016,COLUMN($F$1),FALSE), "・", 0)) + 1), 0)</f>
        <v>0</v>
      </c>
      <c r="AB189">
        <f>IF(ISNUMBER(SEARCH(SUBSTITUTE(AB$1,RIGHT(AB$1,2),""),VLOOKUP($D189,素材!$1:$1016,COLUMN($F$1),FALSE))),VLOOKUP($C189,武器!$1:$998,COLUMN($O$1),FALSE)*VLOOKUP($D189,素材!$1:$1016,COLUMN($E$1),FALSE)/(LEN(VLOOKUP($D189,素材!$1:$1016,COLUMN($F$1),FALSE)) - LEN(SUBSTITUTE(VLOOKUP($D189,素材!$1:$1016,COLUMN($F$1),FALSE), "・", 0)) + 1), 0)</f>
        <v>0</v>
      </c>
      <c r="AC189">
        <f>IF(ISNUMBER(SEARCH(SUBSTITUTE(AC$1,RIGHT(AC$1,2),""),VLOOKUP($D189,素材!$1:$1016,COLUMN($F$1),FALSE))),VLOOKUP($C189,武器!$1:$998,COLUMN($O$1),FALSE)*VLOOKUP($D189,素材!$1:$1016,COLUMN($E$1),FALSE)/(LEN(VLOOKUP($D189,素材!$1:$1016,COLUMN($F$1),FALSE)) - LEN(SUBSTITUTE(VLOOKUP($D189,素材!$1:$1016,COLUMN($F$1),FALSE), "・", 0)) + 1), 0)</f>
        <v>0</v>
      </c>
      <c r="AD189">
        <f>IF(ISNUMBER(SEARCH(SUBSTITUTE(AD$1,RIGHT(AD$1,2),""),VLOOKUP($D189,素材!$1:$1016,COLUMN($F$1),FALSE))),VLOOKUP($C189,武器!$1:$998,COLUMN($O$1),FALSE)*VLOOKUP($D189,素材!$1:$1016,COLUMN($E$1),FALSE)/(LEN(VLOOKUP($D189,素材!$1:$1016,COLUMN($F$1),FALSE)) - LEN(SUBSTITUTE(VLOOKUP($D189,素材!$1:$1016,COLUMN($F$1),FALSE), "・", 0)) + 1), 0)</f>
        <v>0</v>
      </c>
      <c r="AE189">
        <f>IF(ISNUMBER(SEARCH(SUBSTITUTE(AE$1,RIGHT(AE$1,2),""),VLOOKUP($D189,素材!$1:$1016,COLUMN($F$1),FALSE))),VLOOKUP($C189,武器!$1:$998,COLUMN($O$1),FALSE)*VLOOKUP($D189,素材!$1:$1016,COLUMN($E$1),FALSE)/(LEN(VLOOKUP($D189,素材!$1:$1016,COLUMN($F$1),FALSE)) - LEN(SUBSTITUTE(VLOOKUP($D189,素材!$1:$1016,COLUMN($F$1),FALSE), "・", 0)) + 1), 0)</f>
        <v>0</v>
      </c>
      <c r="AF189">
        <f>IF(ISNUMBER(SEARCH(SUBSTITUTE(AF$1,RIGHT(AF$1,2),""),VLOOKUP($D189,素材!$1:$1016,COLUMN($F$1),FALSE))),VLOOKUP($C189,武器!$1:$998,COLUMN($O$1),FALSE)*VLOOKUP($D189,素材!$1:$1016,COLUMN($E$1),FALSE)/(LEN(VLOOKUP($D189,素材!$1:$1016,COLUMN($F$1),FALSE)) - LEN(SUBSTITUTE(VLOOKUP($D189,素材!$1:$1016,COLUMN($F$1),FALSE), "・", 0)) + 1), 0)</f>
        <v>0</v>
      </c>
      <c r="AG189">
        <f>IF(ISNUMBER(SEARCH(SUBSTITUTE(AG$1,RIGHT(AG$1,2),""),VLOOKUP($D189,素材!$1:$1016,COLUMN($F$1),FALSE))),VLOOKUP($C189,武器!$1:$998,COLUMN($O$1),FALSE)*VLOOKUP($D189,素材!$1:$1016,COLUMN($E$1),FALSE)/(LEN(VLOOKUP($D189,素材!$1:$1016,COLUMN($F$1),FALSE)) - LEN(SUBSTITUTE(VLOOKUP($D189,素材!$1:$1016,COLUMN($F$1),FALSE), "・", 0)) + 1), 0)</f>
        <v>0</v>
      </c>
      <c r="AH189">
        <f>IF(ISNUMBER(SEARCH(SUBSTITUTE(AH$1,RIGHT(AH$1,2),""),VLOOKUP($D189,素材!$1:$1016,COLUMN($F$1),FALSE))),VLOOKUP($C189,武器!$1:$998,COLUMN($O$1),FALSE)*VLOOKUP($D189,素材!$1:$1016,COLUMN($E$1),FALSE)/(LEN(VLOOKUP($D189,素材!$1:$1016,COLUMN($F$1),FALSE)) - LEN(SUBSTITUTE(VLOOKUP($D189,素材!$1:$1016,COLUMN($F$1),FALSE), "・", 0)) + 1), 0)</f>
        <v>0</v>
      </c>
      <c r="AI189">
        <f>IF(ISNUMBER(SEARCH(SUBSTITUTE(AI$1,RIGHT(AI$1,2),""),VLOOKUP($D189,素材!$1:$1016,COLUMN($F$1),FALSE))),VLOOKUP($C189,武器!$1:$998,COLUMN($O$1),FALSE)*VLOOKUP($D189,素材!$1:$1016,COLUMN($E$1),FALSE)/(LEN(VLOOKUP($D189,素材!$1:$1016,COLUMN($F$1),FALSE)) - LEN(SUBSTITUTE(VLOOKUP($D189,素材!$1:$1016,COLUMN($F$1),FALSE), "・", 0)) + 1), 0)</f>
        <v>0</v>
      </c>
      <c r="AJ189">
        <f>IF(ISNUMBER(SEARCH(SUBSTITUTE(AJ$1,RIGHT(AJ$1,2),""),VLOOKUP($D189,素材!$1:$1016,COLUMN($F$1),FALSE))),VLOOKUP($C189,武器!$1:$998,COLUMN($O$1),FALSE)*VLOOKUP($D189,素材!$1:$1016,COLUMN($E$1),FALSE)/(LEN(VLOOKUP($D189,素材!$1:$1016,COLUMN($F$1),FALSE)) - LEN(SUBSTITUTE(VLOOKUP($D189,素材!$1:$1016,COLUMN($F$1),FALSE), "・", 0)) + 1), 0)</f>
        <v>0</v>
      </c>
      <c r="AK189">
        <f>IF(ISNUMBER(SEARCH(SUBSTITUTE(AK$1,RIGHT(AK$1,2),""),VLOOKUP($D189,素材!$1:$1016,COLUMN($F$1),FALSE))),VLOOKUP($C189,武器!$1:$998,COLUMN($O$1),FALSE)*VLOOKUP($D189,素材!$1:$1016,COLUMN($E$1),FALSE)/(LEN(VLOOKUP($D189,素材!$1:$1016,COLUMN($F$1),FALSE)) - LEN(SUBSTITUTE(VLOOKUP($D189,素材!$1:$1016,COLUMN($F$1),FALSE), "・", 0)) + 1), 0)</f>
        <v>0</v>
      </c>
      <c r="AL189">
        <f>IF(ISNUMBER(SEARCH(SUBSTITUTE(AL$1,RIGHT(AL$1,2),""),VLOOKUP($D189,素材!$1:$1016,COLUMN($F$1),FALSE))),VLOOKUP($C189,武器!$1:$998,COLUMN($O$1),FALSE)*VLOOKUP($D189,素材!$1:$1016,COLUMN($E$1),FALSE)/(LEN(VLOOKUP($D189,素材!$1:$1016,COLUMN($F$1),FALSE)) - LEN(SUBSTITUTE(VLOOKUP($D189,素材!$1:$1016,COLUMN($F$1),FALSE), "・", 0)) + 1), 0)</f>
        <v>0</v>
      </c>
      <c r="AM189">
        <f>IF(ISNUMBER(SEARCH(SUBSTITUTE(AM$1,RIGHT(AM$1,2),""),VLOOKUP($D189,素材!$1:$1016,COLUMN($F$1),FALSE))),VLOOKUP($C189,武器!$1:$998,COLUMN($O$1),FALSE)*VLOOKUP($D189,素材!$1:$1016,COLUMN($E$1),FALSE)/(LEN(VLOOKUP($D189,素材!$1:$1016,COLUMN($F$1),FALSE)) - LEN(SUBSTITUTE(VLOOKUP($D189,素材!$1:$1016,COLUMN($F$1),FALSE), "・", 0)) + 1), 0)</f>
        <v>0</v>
      </c>
      <c r="AN189">
        <f>IF(ISNUMBER(SEARCH(SUBSTITUTE(AN$1,RIGHT(AN$1,2),""),VLOOKUP($D189,素材!$1:$1016,COLUMN($F$1),FALSE))),VLOOKUP($C189,武器!$1:$998,COLUMN($O$1),FALSE)*VLOOKUP($D189,素材!$1:$1016,COLUMN($E$1),FALSE)/(LEN(VLOOKUP($D189,素材!$1:$1016,COLUMN($F$1),FALSE)) - LEN(SUBSTITUTE(VLOOKUP($D189,素材!$1:$1016,COLUMN($F$1),FALSE), "・", 0)) + 1), 0)</f>
        <v>0</v>
      </c>
      <c r="AO189">
        <f>IF(ISNUMBER(SEARCH(SUBSTITUTE(AO$1,RIGHT(AO$1,2),""),VLOOKUP($D189,素材!$1:$1016,COLUMN($F$1),FALSE))),VLOOKUP($C189,武器!$1:$998,COLUMN($O$1),FALSE)*VLOOKUP($D189,素材!$1:$1016,COLUMN($E$1),FALSE)/(LEN(VLOOKUP($D189,素材!$1:$1016,COLUMN($F$1),FALSE)) - LEN(SUBSTITUTE(VLOOKUP($D189,素材!$1:$1016,COLUMN($F$1),FALSE), "・", 0)) + 1), 0)</f>
        <v>0</v>
      </c>
      <c r="AP189">
        <f>IF(ISNUMBER(SEARCH(SUBSTITUTE(AP$1,RIGHT(AP$1,2),""),VLOOKUP($D189,素材!$1:$1016,COLUMN($F$1),FALSE))),VLOOKUP($C189,武器!$1:$998,COLUMN($O$1),FALSE)*VLOOKUP($D189,素材!$1:$1016,COLUMN($E$1),FALSE)/(LEN(VLOOKUP($D189,素材!$1:$1016,COLUMN($F$1),FALSE)) - LEN(SUBSTITUTE(VLOOKUP($D189,素材!$1:$1016,COLUMN($F$1),FALSE), "・", 0)) + 1), 0)</f>
        <v>0</v>
      </c>
      <c r="AQ189">
        <f>IF(ISNUMBER(SEARCH(SUBSTITUTE(AQ$1,RIGHT(AQ$1,2),""),VLOOKUP($D189,素材!$1:$1016,COLUMN($F$1),FALSE))),VLOOKUP($C189,武器!$1:$998,COLUMN($O$1),FALSE)*VLOOKUP($D189,素材!$1:$1016,COLUMN($E$1),FALSE)/(LEN(VLOOKUP($D189,素材!$1:$1016,COLUMN($F$1),FALSE)) - LEN(SUBSTITUTE(VLOOKUP($D189,素材!$1:$1016,COLUMN($F$1),FALSE), "・", 0)) + 1), 0)</f>
        <v>0</v>
      </c>
      <c r="AR189">
        <f>IF(ISNUMBER(SEARCH(SUBSTITUTE(AR$1,RIGHT(AR$1,2),""),VLOOKUP($D189,素材!$1:$1016,COLUMN($F$1),FALSE))),VLOOKUP($C189,武器!$1:$998,COLUMN($O$1),FALSE)*VLOOKUP($D189,素材!$1:$1016,COLUMN($E$1),FALSE)/(LEN(VLOOKUP($D189,素材!$1:$1016,COLUMN($F$1),FALSE)) - LEN(SUBSTITUTE(VLOOKUP($D189,素材!$1:$1016,COLUMN($F$1),FALSE), "・", 0)) + 1), 0)</f>
        <v>0</v>
      </c>
      <c r="AS189">
        <f>IF(ISNUMBER(SEARCH(SUBSTITUTE(AS$1,RIGHT(AS$1,2),""),VLOOKUP($D189,素材!$1:$1016,COLUMN($F$1),FALSE))),VLOOKUP($C189,武器!$1:$998,COLUMN($O$1),FALSE)*VLOOKUP($D189,素材!$1:$1016,COLUMN($E$1),FALSE)/(LEN(VLOOKUP($D189,素材!$1:$1016,COLUMN($F$1),FALSE)) - LEN(SUBSTITUTE(VLOOKUP($D189,素材!$1:$1016,COLUMN($F$1),FALSE), "・", 0)) + 1), 0)</f>
        <v>0</v>
      </c>
      <c r="AT189">
        <f>IF(ISNUMBER(SEARCH(SUBSTITUTE(AT$1,RIGHT(AT$1,2),""),VLOOKUP($D189,素材!$1:$1016,COLUMN($F$1),FALSE))),VLOOKUP($C189,武器!$1:$998,COLUMN($O$1),FALSE)*VLOOKUP($D189,素材!$1:$1016,COLUMN($E$1),FALSE)/(LEN(VLOOKUP($D189,素材!$1:$1016,COLUMN($F$1),FALSE)) - LEN(SUBSTITUTE(VLOOKUP($D189,素材!$1:$1016,COLUMN($F$1),FALSE), "・", 0)) + 1), 0)</f>
        <v>0</v>
      </c>
      <c r="AU189">
        <f>IF(ISNUMBER(SEARCH(SUBSTITUTE(AU$1,RIGHT(AU$1,2),""),VLOOKUP($D189,素材!$1:$1016,COLUMN($F$1),FALSE))),VLOOKUP($C189,武器!$1:$998,COLUMN($O$1),FALSE)*VLOOKUP($D189,素材!$1:$1016,COLUMN($E$1),FALSE)/(LEN(VLOOKUP($D189,素材!$1:$1016,COLUMN($F$1),FALSE)) - LEN(SUBSTITUTE(VLOOKUP($D189,素材!$1:$1016,COLUMN($F$1),FALSE), "・", 0)) + 1), 0)</f>
        <v>0</v>
      </c>
      <c r="AV189">
        <f>IF(ISNUMBER(SEARCH(SUBSTITUTE(AV$1,RIGHT(AV$1,2),""),VLOOKUP($D189,素材!$1:$1016,COLUMN($F$1),FALSE))),VLOOKUP($C189,武器!$1:$998,COLUMN($O$1),FALSE)*VLOOKUP($D189,素材!$1:$1016,COLUMN($E$1),FALSE)/(LEN(VLOOKUP($D189,素材!$1:$1016,COLUMN($F$1),FALSE)) - LEN(SUBSTITUTE(VLOOKUP($D189,素材!$1:$1016,COLUMN($F$1),FALSE), "・", 0)) + 1), 0)</f>
        <v>0</v>
      </c>
      <c r="AW189">
        <f>IF(ISNUMBER(SEARCH(SUBSTITUTE(AW$1,RIGHT(AW$1,2),""),VLOOKUP($D189,素材!$1:$1016,COLUMN($F$1),FALSE))),VLOOKUP($C189,武器!$1:$998,COLUMN($O$1),FALSE)*VLOOKUP($D189,素材!$1:$1016,COLUMN($E$1),FALSE)/(LEN(VLOOKUP($D189,素材!$1:$1016,COLUMN($F$1),FALSE)) - LEN(SUBSTITUTE(VLOOKUP($D189,素材!$1:$1016,COLUMN($F$1),FALSE), "・", 0)) + 1), 0)</f>
        <v>0</v>
      </c>
      <c r="AX189">
        <f>IF(ISNUMBER(SEARCH(SUBSTITUTE(AX$1,RIGHT(AX$1,2),""),VLOOKUP($D189,素材!$1:$1016,COLUMN($F$1),FALSE))),VLOOKUP($C189,武器!$1:$998,COLUMN($O$1),FALSE)*VLOOKUP($D189,素材!$1:$1016,COLUMN($E$1),FALSE)/(LEN(VLOOKUP($D189,素材!$1:$1016,COLUMN($F$1),FALSE)) - LEN(SUBSTITUTE(VLOOKUP($D189,素材!$1:$1016,COLUMN($F$1),FALSE), "・", 0)) + 1), 0)</f>
        <v>0</v>
      </c>
      <c r="AY189">
        <f>IF(ISNUMBER(SEARCH(SUBSTITUTE(AY$1,RIGHT(AY$1,2),""),VLOOKUP($D189,素材!$1:$1016,COLUMN($F$1),FALSE))),VLOOKUP($C189,武器!$1:$998,COLUMN($O$1),FALSE)*VLOOKUP($D189,素材!$1:$1016,COLUMN($E$1),FALSE)/(LEN(VLOOKUP($D189,素材!$1:$1016,COLUMN($F$1),FALSE)) - LEN(SUBSTITUTE(VLOOKUP($D189,素材!$1:$1016,COLUMN($F$1),FALSE), "・", 0)) + 1), 0)</f>
        <v>0</v>
      </c>
      <c r="AZ189">
        <f>IF(ISNUMBER(SEARCH(SUBSTITUTE(AZ$1,RIGHT(AZ$1,2),""),VLOOKUP($D189,素材!$1:$1016,COLUMN($F$1),FALSE))),VLOOKUP($C189,武器!$1:$998,COLUMN($O$1),FALSE)*VLOOKUP($D189,素材!$1:$1016,COLUMN($E$1),FALSE)/(LEN(VLOOKUP($D189,素材!$1:$1016,COLUMN($F$1),FALSE)) - LEN(SUBSTITUTE(VLOOKUP($D189,素材!$1:$1016,COLUMN($F$1),FALSE), "・", 0)) + 1), 0)</f>
        <v>0</v>
      </c>
      <c r="BA189">
        <f>IF(ISNUMBER(SEARCH(SUBSTITUTE(BA$1,RIGHT(BA$1,2),""),VLOOKUP($D189,素材!$1:$1016,COLUMN($F$1),FALSE))),VLOOKUP($C189,武器!$1:$998,COLUMN($O$1),FALSE)*VLOOKUP($D189,素材!$1:$1016,COLUMN($E$1),FALSE)/(LEN(VLOOKUP($D189,素材!$1:$1016,COLUMN($F$1),FALSE)) - LEN(SUBSTITUTE(VLOOKUP($D189,素材!$1:$1016,COLUMN($F$1),FALSE), "・", 0)) + 1), 0)</f>
        <v>0</v>
      </c>
      <c r="BB189">
        <f>IF(ISNUMBER(SEARCH(SUBSTITUTE(BB$1,RIGHT(BB$1,2),""),VLOOKUP($D189,素材!$1:$1016,COLUMN($F$1),FALSE))),VLOOKUP($C189,武器!$1:$998,COLUMN($O$1),FALSE)*VLOOKUP($D189,素材!$1:$1016,COLUMN($E$1),FALSE)/(LEN(VLOOKUP($D189,素材!$1:$1016,COLUMN($F$1),FALSE)) - LEN(SUBSTITUTE(VLOOKUP($D189,素材!$1:$1016,COLUMN($F$1),FALSE), "・", 0)) + 1), 0)</f>
        <v>0</v>
      </c>
      <c r="BC189">
        <f>IF(ISNUMBER(SEARCH(SUBSTITUTE(BC$1,RIGHT(BC$1,2),""),VLOOKUP($D189,素材!$1:$1016,COLUMN($F$1),FALSE))),VLOOKUP($C189,武器!$1:$998,COLUMN($O$1),FALSE)*VLOOKUP($D189,素材!$1:$1016,COLUMN($E$1),FALSE)/(LEN(VLOOKUP($D189,素材!$1:$1016,COLUMN($F$1),FALSE)) - LEN(SUBSTITUTE(VLOOKUP($D189,素材!$1:$1016,COLUMN($F$1),FALSE), "・", 0)) + 1), 0)</f>
        <v>0</v>
      </c>
      <c r="BD189">
        <f>IF(ISNUMBER(SEARCH(SUBSTITUTE(BD$1,RIGHT(BD$1,2),""),VLOOKUP($D189,素材!$1:$1016,COLUMN($F$1),FALSE))),VLOOKUP($C189,武器!$1:$998,COLUMN($O$1),FALSE)*VLOOKUP($D189,素材!$1:$1016,COLUMN($E$1),FALSE)/(LEN(VLOOKUP($D189,素材!$1:$1016,COLUMN($F$1),FALSE)) - LEN(SUBSTITUTE(VLOOKUP($D189,素材!$1:$1016,COLUMN($F$1),FALSE), "・", 0)) + 1), 0)</f>
        <v>0</v>
      </c>
      <c r="BE189">
        <f>IF(ISNUMBER(SEARCH(SUBSTITUTE(BE$1,RIGHT(BE$1,2),""),VLOOKUP($D189,素材!$1:$1016,COLUMN($F$1),FALSE))),VLOOKUP($C189,武器!$1:$998,COLUMN($O$1),FALSE)*VLOOKUP($D189,素材!$1:$1016,COLUMN($E$1),FALSE)/(LEN(VLOOKUP($D189,素材!$1:$1016,COLUMN($F$1),FALSE)) - LEN(SUBSTITUTE(VLOOKUP($D189,素材!$1:$1016,COLUMN($F$1),FALSE), "・", 0)) + 1), 0)</f>
        <v>0</v>
      </c>
      <c r="CL189">
        <f>SUM(G189:I189)</f>
        <v>0</v>
      </c>
      <c r="CM189" s="22" t="str">
        <f>IF(E189="武器",IF(J189-1&gt;SUM(G189:I189),"盾",IF(MAX(G189:I189)=G189,"切断",IF(MAX(G189:I189)=H189,"貫通",IF(MAX(G189:I189)=I189,"打撃","射撃")))),E189)&amp;".webp"</f>
        <v>銃.webp</v>
      </c>
      <c r="CN189">
        <f>IFERROR(VLOOKUP($C189,武器!$1:$998,COLUMN(V$1),FALSE)*VLOOKUP($D189,素材!$1:$1016,COLUMN(N$1),FALSE)+IF(CI189="",0,VLOOKUP($CI189,装強!$1:$1008,COLUMN($CK$1),FALSE)),"")</f>
        <v>3000</v>
      </c>
      <c r="CO189">
        <f>VLOOKUP(D189,素材!$A:$O,COLUMN(素材!O$1),FALSE)</f>
        <v>0</v>
      </c>
      <c r="CP189" t="str">
        <f>VLOOKUP(C189,武器!$A:$W,COLUMN(武器!W$1),FALSE)</f>
        <v/>
      </c>
      <c r="CR189" t="str">
        <f t="shared" si="18"/>
        <v>e_189</v>
      </c>
      <c r="CS189">
        <f t="shared" si="22"/>
        <v>300000</v>
      </c>
    </row>
    <row r="190" spans="1:97" outlineLevel="1" x14ac:dyDescent="0.4">
      <c r="A190" t="str">
        <f t="shared" ref="A190:A221" si="28">D190&amp;"の"&amp;C190</f>
        <v>黒鋼鉄の面兜</v>
      </c>
      <c r="B190" t="str">
        <f>IFERROR(VLOOKUP($D190,素材!$1:$1016,COLUMN($B$1),FALSE)&amp;"・"&amp;VLOOKUP($C190,武器!$1:$998,COLUMN(B$1),FALSE),"")</f>
        <v>ブラックスティール・バイザーヘルム</v>
      </c>
      <c r="C190" t="s">
        <v>210</v>
      </c>
      <c r="D190" s="24" t="s">
        <v>244</v>
      </c>
      <c r="E190" t="str">
        <f>IFERROR(VLOOKUP(C190,武器!$1:$998,COLUMN(C$1),FALSE),"")</f>
        <v>頭</v>
      </c>
      <c r="F190">
        <f>IFERROR(ROUNDDOWN((VLOOKUP($C190,武器!$1:$998,COLUMN(D$1),FALSE)+IFERROR(VLOOKUP($CI190,装強!$1:$999,COLUMN(F$1),FALSE),0))*VLOOKUP($D190,素材!$1:$1016,COLUMN(D$1),FALSE),0),"")</f>
        <v>0</v>
      </c>
      <c r="G190">
        <f>IFERROR(ROUNDDOWN((VLOOKUP($C190,武器!$1:$998,COLUMN(E$1),FALSE)+IFERROR(VLOOKUP($CI190,装強!$1:$999,COLUMN(G$1),FALSE),0))*VLOOKUP($D190,素材!$1:$1016,COLUMN($E$1),FALSE),0),"")</f>
        <v>0</v>
      </c>
      <c r="H190">
        <f>IFERROR(ROUNDDOWN((VLOOKUP($C190,武器!$1:$998,COLUMN(F$1),FALSE)+IFERROR(VLOOKUP($CI190,装強!$1:$999,COLUMN(H$1),FALSE),0))*VLOOKUP($D190,素材!$1:$1016,COLUMN($E$1),FALSE),0),"")</f>
        <v>0</v>
      </c>
      <c r="I190">
        <f>IFERROR(ROUNDDOWN((VLOOKUP($C190,武器!$1:$998,COLUMN(G$1),FALSE)+IFERROR(VLOOKUP($CI190,装強!$1:$999,COLUMN(I$1),FALSE),0))*VLOOKUP($D190,素材!$1:$1016,COLUMN($E$1),FALSE),0),"")</f>
        <v>17</v>
      </c>
      <c r="J190">
        <f>IFERROR(ROUNDDOWN((VLOOKUP($C190,武器!$1:$998,COLUMN(H$1),FALSE)+IFERROR(VLOOKUP($CI190,装強!$1:$999,COLUMN(J$1),FALSE),0))*VLOOKUP($D190,素材!$1:$1016,COLUMN($E$1),FALSE),0),"")</f>
        <v>0</v>
      </c>
      <c r="K190">
        <f>IFERROR(ROUNDDOWN((VLOOKUP($C190,武器!$1:$998,COLUMN(I$1),FALSE)+IFERROR(VLOOKUP($CI190,装強!$1:$999,COLUMN(K$1),FALSE),0))*VLOOKUP($D190,素材!$1:$1016,COLUMN($E$1),FALSE),0),"")</f>
        <v>0</v>
      </c>
      <c r="L190" t="str">
        <f>IFERROR(VLOOKUP($D190,素材!$1:$1016,COLUMN($F$1),FALSE),"")</f>
        <v>雷</v>
      </c>
      <c r="M190">
        <f>IFERROR(VLOOKUP($C190,武器!$1:$998,COLUMN(AA$1),FALSE)*VLOOKUP($D190,素材!$1:$1016,COLUMN($G$1),FALSE),"")</f>
        <v>0</v>
      </c>
      <c r="N190">
        <f>IFERROR(VLOOKUP($C190,武器!$1:$998,COLUMN(I$1),FALSE),"")</f>
        <v>0</v>
      </c>
      <c r="O190" s="23">
        <f>IFERROR((VLOOKUP($C190,武器!$1:$998,COLUMN(K$1),FALSE)+VLOOKUP($D190,素材!$1:$1016,COLUMN(H$1),FALSE))*100+IFERROR(VLOOKUP($CI190,装強!$1:$999,COLUMN(O$1),FALSE),0),"")</f>
        <v>5</v>
      </c>
      <c r="P190" s="23">
        <f>IFERROR((VLOOKUP($C190,武器!$1:$998,COLUMN(L$1),FALSE)+VLOOKUP($D190,素材!$1:$1016,COLUMN(I$1),FALSE))*100+IFERROR(VLOOKUP($CI190,装強!$1:$999,COLUMN(P$1),FALSE),0),"")</f>
        <v>125</v>
      </c>
      <c r="Q190">
        <f>IFERROR(ROUNDUP(VLOOKUP($C190,武器!$1:$998,COLUMN(M$1),FALSE)*(VLOOKUP($D190,素材!$1:$1002,COLUMN(D$1),FALSE)/100),1),"")</f>
        <v>-7.5</v>
      </c>
      <c r="R190">
        <f>IFERROR(ROUNDUP(VLOOKUP($C190,武器!$1:$998,COLUMN(N$1),FALSE)*(VLOOKUP($D190,素材!$1:$1002,COLUMN(D$1),FALSE)/100),1),"")</f>
        <v>0</v>
      </c>
      <c r="S190">
        <f>IFERROR(VLOOKUP($C190,武器!$1:$998,COLUMN(P$1),FALSE),"")</f>
        <v>0</v>
      </c>
      <c r="T190">
        <f>IFERROR(VLOOKUP($C190,武器!$1:$998,COLUMN(Q$1),FALSE),"")</f>
        <v>0</v>
      </c>
      <c r="U190">
        <f>IFERROR(VLOOKUP($C190,武器!$1:$998,COLUMN(R$1),FALSE),"")</f>
        <v>0</v>
      </c>
      <c r="V190">
        <f>IFERROR(VLOOKUP($C190,武器!$1:$998,COLUMN(Q$1),FALSE),"")</f>
        <v>0</v>
      </c>
      <c r="W190">
        <f>IFERROR(VLOOKUP($C190,武器!$1:$998,COLUMN(T$1),FALSE),"")</f>
        <v>0</v>
      </c>
      <c r="Y190">
        <f>IFERROR(VLOOKUP($C190,武器!$1:$998,COLUMN(U$1),FALSE),"")</f>
        <v>0</v>
      </c>
      <c r="Z190">
        <f>IFERROR(ROUNDUP(VLOOKUP($C190,武器!$1:$998,COLUMN(O$1),FALSE)*VLOOKUP($D190,素材!$1:$1016,COLUMN(E$1),FALSE),1),"")</f>
        <v>7</v>
      </c>
      <c r="AA190">
        <f>IF(ISNUMBER(SEARCH(SUBSTITUTE(AA$1,RIGHT(AA$1,2),""),VLOOKUP($D190,素材!$1:$1016,COLUMN($F$1),FALSE))),VLOOKUP($C190,武器!$1:$998,COLUMN($O$1),FALSE)*VLOOKUP($D190,素材!$1:$1016,COLUMN($E$1),FALSE)/(LEN(VLOOKUP($D190,素材!$1:$1016,COLUMN($F$1),FALSE)) - LEN(SUBSTITUTE(VLOOKUP($D190,素材!$1:$1016,COLUMN($F$1),FALSE), "・", 0)) + 1), 0)</f>
        <v>0</v>
      </c>
      <c r="AB190">
        <f>IF(ISNUMBER(SEARCH(SUBSTITUTE(AB$1,RIGHT(AB$1,2),""),VLOOKUP($D190,素材!$1:$1016,COLUMN($F$1),FALSE))),VLOOKUP($C190,武器!$1:$998,COLUMN($O$1),FALSE)*VLOOKUP($D190,素材!$1:$1016,COLUMN($E$1),FALSE)/(LEN(VLOOKUP($D190,素材!$1:$1016,COLUMN($F$1),FALSE)) - LEN(SUBSTITUTE(VLOOKUP($D190,素材!$1:$1016,COLUMN($F$1),FALSE), "・", 0)) + 1), 0)</f>
        <v>0</v>
      </c>
      <c r="AC190">
        <f>IF(ISNUMBER(SEARCH(SUBSTITUTE(AC$1,RIGHT(AC$1,2),""),VLOOKUP($D190,素材!$1:$1016,COLUMN($F$1),FALSE))),VLOOKUP($C190,武器!$1:$998,COLUMN($O$1),FALSE)*VLOOKUP($D190,素材!$1:$1016,COLUMN($E$1),FALSE)/(LEN(VLOOKUP($D190,素材!$1:$1016,COLUMN($F$1),FALSE)) - LEN(SUBSTITUTE(VLOOKUP($D190,素材!$1:$1016,COLUMN($F$1),FALSE), "・", 0)) + 1), 0)</f>
        <v>0</v>
      </c>
      <c r="AD190">
        <f>IF(ISNUMBER(SEARCH(SUBSTITUTE(AD$1,RIGHT(AD$1,2),""),VLOOKUP($D190,素材!$1:$1016,COLUMN($F$1),FALSE))),VLOOKUP($C190,武器!$1:$998,COLUMN($O$1),FALSE)*VLOOKUP($D190,素材!$1:$1016,COLUMN($E$1),FALSE)/(LEN(VLOOKUP($D190,素材!$1:$1016,COLUMN($F$1),FALSE)) - LEN(SUBSTITUTE(VLOOKUP($D190,素材!$1:$1016,COLUMN($F$1),FALSE), "・", 0)) + 1), 0)</f>
        <v>0</v>
      </c>
      <c r="AE190">
        <f>IF(ISNUMBER(SEARCH(SUBSTITUTE(AE$1,RIGHT(AE$1,2),""),VLOOKUP($D190,素材!$1:$1016,COLUMN($F$1),FALSE))),VLOOKUP($C190,武器!$1:$998,COLUMN($O$1),FALSE)*VLOOKUP($D190,素材!$1:$1016,COLUMN($E$1),FALSE)/(LEN(VLOOKUP($D190,素材!$1:$1016,COLUMN($F$1),FALSE)) - LEN(SUBSTITUTE(VLOOKUP($D190,素材!$1:$1016,COLUMN($F$1),FALSE), "・", 0)) + 1), 0)</f>
        <v>0</v>
      </c>
      <c r="AF190">
        <f>IF(ISNUMBER(SEARCH(SUBSTITUTE(AF$1,RIGHT(AF$1,2),""),VLOOKUP($D190,素材!$1:$1016,COLUMN($F$1),FALSE))),VLOOKUP($C190,武器!$1:$998,COLUMN($O$1),FALSE)*VLOOKUP($D190,素材!$1:$1016,COLUMN($E$1),FALSE)/(LEN(VLOOKUP($D190,素材!$1:$1016,COLUMN($F$1),FALSE)) - LEN(SUBSTITUTE(VLOOKUP($D190,素材!$1:$1016,COLUMN($F$1),FALSE), "・", 0)) + 1), 0)</f>
        <v>0</v>
      </c>
      <c r="AG190">
        <f>IF(ISNUMBER(SEARCH(SUBSTITUTE(AG$1,RIGHT(AG$1,2),""),VLOOKUP($D190,素材!$1:$1016,COLUMN($F$1),FALSE))),VLOOKUP($C190,武器!$1:$998,COLUMN($O$1),FALSE)*VLOOKUP($D190,素材!$1:$1016,COLUMN($E$1),FALSE)/(LEN(VLOOKUP($D190,素材!$1:$1016,COLUMN($F$1),FALSE)) - LEN(SUBSTITUTE(VLOOKUP($D190,素材!$1:$1016,COLUMN($F$1),FALSE), "・", 0)) + 1), 0)</f>
        <v>7</v>
      </c>
      <c r="AH190">
        <f>IF(ISNUMBER(SEARCH(SUBSTITUTE(AH$1,RIGHT(AH$1,2),""),VLOOKUP($D190,素材!$1:$1016,COLUMN($F$1),FALSE))),VLOOKUP($C190,武器!$1:$998,COLUMN($O$1),FALSE)*VLOOKUP($D190,素材!$1:$1016,COLUMN($E$1),FALSE)/(LEN(VLOOKUP($D190,素材!$1:$1016,COLUMN($F$1),FALSE)) - LEN(SUBSTITUTE(VLOOKUP($D190,素材!$1:$1016,COLUMN($F$1),FALSE), "・", 0)) + 1), 0)</f>
        <v>0</v>
      </c>
      <c r="AI190">
        <f>IF(ISNUMBER(SEARCH(SUBSTITUTE(AI$1,RIGHT(AI$1,2),""),VLOOKUP($D190,素材!$1:$1016,COLUMN($F$1),FALSE))),VLOOKUP($C190,武器!$1:$998,COLUMN($O$1),FALSE)*VLOOKUP($D190,素材!$1:$1016,COLUMN($E$1),FALSE)/(LEN(VLOOKUP($D190,素材!$1:$1016,COLUMN($F$1),FALSE)) - LEN(SUBSTITUTE(VLOOKUP($D190,素材!$1:$1016,COLUMN($F$1),FALSE), "・", 0)) + 1), 0)</f>
        <v>0</v>
      </c>
      <c r="AJ190">
        <f>IF(ISNUMBER(SEARCH(SUBSTITUTE(AJ$1,RIGHT(AJ$1,2),""),VLOOKUP($D190,素材!$1:$1016,COLUMN($F$1),FALSE))),VLOOKUP($C190,武器!$1:$998,COLUMN($O$1),FALSE)*VLOOKUP($D190,素材!$1:$1016,COLUMN($E$1),FALSE)/(LEN(VLOOKUP($D190,素材!$1:$1016,COLUMN($F$1),FALSE)) - LEN(SUBSTITUTE(VLOOKUP($D190,素材!$1:$1016,COLUMN($F$1),FALSE), "・", 0)) + 1), 0)</f>
        <v>0</v>
      </c>
      <c r="AK190">
        <f>IF(ISNUMBER(SEARCH(SUBSTITUTE(AK$1,RIGHT(AK$1,2),""),VLOOKUP($D190,素材!$1:$1016,COLUMN($F$1),FALSE))),VLOOKUP($C190,武器!$1:$998,COLUMN($O$1),FALSE)*VLOOKUP($D190,素材!$1:$1016,COLUMN($E$1),FALSE)/(LEN(VLOOKUP($D190,素材!$1:$1016,COLUMN($F$1),FALSE)) - LEN(SUBSTITUTE(VLOOKUP($D190,素材!$1:$1016,COLUMN($F$1),FALSE), "・", 0)) + 1), 0)</f>
        <v>0</v>
      </c>
      <c r="AL190">
        <f>IF(ISNUMBER(SEARCH(SUBSTITUTE(AL$1,RIGHT(AL$1,2),""),VLOOKUP($D190,素材!$1:$1016,COLUMN($F$1),FALSE))),VLOOKUP($C190,武器!$1:$998,COLUMN($O$1),FALSE)*VLOOKUP($D190,素材!$1:$1016,COLUMN($E$1),FALSE)/(LEN(VLOOKUP($D190,素材!$1:$1016,COLUMN($F$1),FALSE)) - LEN(SUBSTITUTE(VLOOKUP($D190,素材!$1:$1016,COLUMN($F$1),FALSE), "・", 0)) + 1), 0)</f>
        <v>0</v>
      </c>
      <c r="AM190">
        <f>IF(ISNUMBER(SEARCH(SUBSTITUTE(AM$1,RIGHT(AM$1,2),""),VLOOKUP($D190,素材!$1:$1016,COLUMN($F$1),FALSE))),VLOOKUP($C190,武器!$1:$998,COLUMN($O$1),FALSE)*VLOOKUP($D190,素材!$1:$1016,COLUMN($E$1),FALSE)/(LEN(VLOOKUP($D190,素材!$1:$1016,COLUMN($F$1),FALSE)) - LEN(SUBSTITUTE(VLOOKUP($D190,素材!$1:$1016,COLUMN($F$1),FALSE), "・", 0)) + 1), 0)</f>
        <v>0</v>
      </c>
      <c r="AN190">
        <f>IF(ISNUMBER(SEARCH(SUBSTITUTE(AN$1,RIGHT(AN$1,2),""),VLOOKUP($D190,素材!$1:$1016,COLUMN($F$1),FALSE))),VLOOKUP($C190,武器!$1:$998,COLUMN($O$1),FALSE)*VLOOKUP($D190,素材!$1:$1016,COLUMN($E$1),FALSE)/(LEN(VLOOKUP($D190,素材!$1:$1016,COLUMN($F$1),FALSE)) - LEN(SUBSTITUTE(VLOOKUP($D190,素材!$1:$1016,COLUMN($F$1),FALSE), "・", 0)) + 1), 0)</f>
        <v>0</v>
      </c>
      <c r="AO190">
        <f>IF(ISNUMBER(SEARCH(SUBSTITUTE(AO$1,RIGHT(AO$1,2),""),VLOOKUP($D190,素材!$1:$1016,COLUMN($F$1),FALSE))),VLOOKUP($C190,武器!$1:$998,COLUMN($O$1),FALSE)*VLOOKUP($D190,素材!$1:$1016,COLUMN($E$1),FALSE)/(LEN(VLOOKUP($D190,素材!$1:$1016,COLUMN($F$1),FALSE)) - LEN(SUBSTITUTE(VLOOKUP($D190,素材!$1:$1016,COLUMN($F$1),FALSE), "・", 0)) + 1), 0)</f>
        <v>0</v>
      </c>
      <c r="AP190">
        <f>IF(ISNUMBER(SEARCH(SUBSTITUTE(AP$1,RIGHT(AP$1,2),""),VLOOKUP($D190,素材!$1:$1016,COLUMN($F$1),FALSE))),VLOOKUP($C190,武器!$1:$998,COLUMN($O$1),FALSE)*VLOOKUP($D190,素材!$1:$1016,COLUMN($E$1),FALSE)/(LEN(VLOOKUP($D190,素材!$1:$1016,COLUMN($F$1),FALSE)) - LEN(SUBSTITUTE(VLOOKUP($D190,素材!$1:$1016,COLUMN($F$1),FALSE), "・", 0)) + 1), 0)</f>
        <v>0</v>
      </c>
      <c r="AQ190">
        <f>IF(ISNUMBER(SEARCH(SUBSTITUTE(AQ$1,RIGHT(AQ$1,2),""),VLOOKUP($D190,素材!$1:$1016,COLUMN($F$1),FALSE))),VLOOKUP($C190,武器!$1:$998,COLUMN($O$1),FALSE)*VLOOKUP($D190,素材!$1:$1016,COLUMN($E$1),FALSE)/(LEN(VLOOKUP($D190,素材!$1:$1016,COLUMN($F$1),FALSE)) - LEN(SUBSTITUTE(VLOOKUP($D190,素材!$1:$1016,COLUMN($F$1),FALSE), "・", 0)) + 1), 0)</f>
        <v>0</v>
      </c>
      <c r="AR190">
        <f>IF(ISNUMBER(SEARCH(SUBSTITUTE(AR$1,RIGHT(AR$1,2),""),VLOOKUP($D190,素材!$1:$1016,COLUMN($F$1),FALSE))),VLOOKUP($C190,武器!$1:$998,COLUMN($O$1),FALSE)*VLOOKUP($D190,素材!$1:$1016,COLUMN($E$1),FALSE)/(LEN(VLOOKUP($D190,素材!$1:$1016,COLUMN($F$1),FALSE)) - LEN(SUBSTITUTE(VLOOKUP($D190,素材!$1:$1016,COLUMN($F$1),FALSE), "・", 0)) + 1), 0)</f>
        <v>0</v>
      </c>
      <c r="AS190">
        <f>IF(ISNUMBER(SEARCH(SUBSTITUTE(AS$1,RIGHT(AS$1,2),""),VLOOKUP($D190,素材!$1:$1016,COLUMN($F$1),FALSE))),VLOOKUP($C190,武器!$1:$998,COLUMN($O$1),FALSE)*VLOOKUP($D190,素材!$1:$1016,COLUMN($E$1),FALSE)/(LEN(VLOOKUP($D190,素材!$1:$1016,COLUMN($F$1),FALSE)) - LEN(SUBSTITUTE(VLOOKUP($D190,素材!$1:$1016,COLUMN($F$1),FALSE), "・", 0)) + 1), 0)</f>
        <v>0</v>
      </c>
      <c r="AT190">
        <f>IF(ISNUMBER(SEARCH(SUBSTITUTE(AT$1,RIGHT(AT$1,2),""),VLOOKUP($D190,素材!$1:$1016,COLUMN($F$1),FALSE))),VLOOKUP($C190,武器!$1:$998,COLUMN($O$1),FALSE)*VLOOKUP($D190,素材!$1:$1016,COLUMN($E$1),FALSE)/(LEN(VLOOKUP($D190,素材!$1:$1016,COLUMN($F$1),FALSE)) - LEN(SUBSTITUTE(VLOOKUP($D190,素材!$1:$1016,COLUMN($F$1),FALSE), "・", 0)) + 1), 0)</f>
        <v>0</v>
      </c>
      <c r="AU190">
        <f>IF(ISNUMBER(SEARCH(SUBSTITUTE(AU$1,RIGHT(AU$1,2),""),VLOOKUP($D190,素材!$1:$1016,COLUMN($F$1),FALSE))),VLOOKUP($C190,武器!$1:$998,COLUMN($O$1),FALSE)*VLOOKUP($D190,素材!$1:$1016,COLUMN($E$1),FALSE)/(LEN(VLOOKUP($D190,素材!$1:$1016,COLUMN($F$1),FALSE)) - LEN(SUBSTITUTE(VLOOKUP($D190,素材!$1:$1016,COLUMN($F$1),FALSE), "・", 0)) + 1), 0)</f>
        <v>0</v>
      </c>
      <c r="AV190">
        <f>IF(ISNUMBER(SEARCH(SUBSTITUTE(AV$1,RIGHT(AV$1,2),""),VLOOKUP($D190,素材!$1:$1016,COLUMN($F$1),FALSE))),VLOOKUP($C190,武器!$1:$998,COLUMN($O$1),FALSE)*VLOOKUP($D190,素材!$1:$1016,COLUMN($E$1),FALSE)/(LEN(VLOOKUP($D190,素材!$1:$1016,COLUMN($F$1),FALSE)) - LEN(SUBSTITUTE(VLOOKUP($D190,素材!$1:$1016,COLUMN($F$1),FALSE), "・", 0)) + 1), 0)</f>
        <v>0</v>
      </c>
      <c r="AW190">
        <f>IF(ISNUMBER(SEARCH(SUBSTITUTE(AW$1,RIGHT(AW$1,2),""),VLOOKUP($D190,素材!$1:$1016,COLUMN($F$1),FALSE))),VLOOKUP($C190,武器!$1:$998,COLUMN($O$1),FALSE)*VLOOKUP($D190,素材!$1:$1016,COLUMN($E$1),FALSE)/(LEN(VLOOKUP($D190,素材!$1:$1016,COLUMN($F$1),FALSE)) - LEN(SUBSTITUTE(VLOOKUP($D190,素材!$1:$1016,COLUMN($F$1),FALSE), "・", 0)) + 1), 0)</f>
        <v>0</v>
      </c>
      <c r="AX190">
        <f>IF(ISNUMBER(SEARCH(SUBSTITUTE(AX$1,RIGHT(AX$1,2),""),VLOOKUP($D190,素材!$1:$1016,COLUMN($F$1),FALSE))),VLOOKUP($C190,武器!$1:$998,COLUMN($O$1),FALSE)*VLOOKUP($D190,素材!$1:$1016,COLUMN($E$1),FALSE)/(LEN(VLOOKUP($D190,素材!$1:$1016,COLUMN($F$1),FALSE)) - LEN(SUBSTITUTE(VLOOKUP($D190,素材!$1:$1016,COLUMN($F$1),FALSE), "・", 0)) + 1), 0)</f>
        <v>0</v>
      </c>
      <c r="AY190">
        <f>IF(ISNUMBER(SEARCH(SUBSTITUTE(AY$1,RIGHT(AY$1,2),""),VLOOKUP($D190,素材!$1:$1016,COLUMN($F$1),FALSE))),VLOOKUP($C190,武器!$1:$998,COLUMN($O$1),FALSE)*VLOOKUP($D190,素材!$1:$1016,COLUMN($E$1),FALSE)/(LEN(VLOOKUP($D190,素材!$1:$1016,COLUMN($F$1),FALSE)) - LEN(SUBSTITUTE(VLOOKUP($D190,素材!$1:$1016,COLUMN($F$1),FALSE), "・", 0)) + 1), 0)</f>
        <v>0</v>
      </c>
      <c r="AZ190">
        <f>IF(ISNUMBER(SEARCH(SUBSTITUTE(AZ$1,RIGHT(AZ$1,2),""),VLOOKUP($D190,素材!$1:$1016,COLUMN($F$1),FALSE))),VLOOKUP($C190,武器!$1:$998,COLUMN($O$1),FALSE)*VLOOKUP($D190,素材!$1:$1016,COLUMN($E$1),FALSE)/(LEN(VLOOKUP($D190,素材!$1:$1016,COLUMN($F$1),FALSE)) - LEN(SUBSTITUTE(VLOOKUP($D190,素材!$1:$1016,COLUMN($F$1),FALSE), "・", 0)) + 1), 0)</f>
        <v>0</v>
      </c>
      <c r="BA190">
        <f>IF(ISNUMBER(SEARCH(SUBSTITUTE(BA$1,RIGHT(BA$1,2),""),VLOOKUP($D190,素材!$1:$1016,COLUMN($F$1),FALSE))),VLOOKUP($C190,武器!$1:$998,COLUMN($O$1),FALSE)*VLOOKUP($D190,素材!$1:$1016,COLUMN($E$1),FALSE)/(LEN(VLOOKUP($D190,素材!$1:$1016,COLUMN($F$1),FALSE)) - LEN(SUBSTITUTE(VLOOKUP($D190,素材!$1:$1016,COLUMN($F$1),FALSE), "・", 0)) + 1), 0)</f>
        <v>0</v>
      </c>
      <c r="BB190">
        <f>IF(ISNUMBER(SEARCH(SUBSTITUTE(BB$1,RIGHT(BB$1,2),""),VLOOKUP($D190,素材!$1:$1016,COLUMN($F$1),FALSE))),VLOOKUP($C190,武器!$1:$998,COLUMN($O$1),FALSE)*VLOOKUP($D190,素材!$1:$1016,COLUMN($E$1),FALSE)/(LEN(VLOOKUP($D190,素材!$1:$1016,COLUMN($F$1),FALSE)) - LEN(SUBSTITUTE(VLOOKUP($D190,素材!$1:$1016,COLUMN($F$1),FALSE), "・", 0)) + 1), 0)</f>
        <v>0</v>
      </c>
      <c r="BC190">
        <f>IF(ISNUMBER(SEARCH(SUBSTITUTE(BC$1,RIGHT(BC$1,2),""),VLOOKUP($D190,素材!$1:$1016,COLUMN($F$1),FALSE))),VLOOKUP($C190,武器!$1:$998,COLUMN($O$1),FALSE)*VLOOKUP($D190,素材!$1:$1016,COLUMN($E$1),FALSE)/(LEN(VLOOKUP($D190,素材!$1:$1016,COLUMN($F$1),FALSE)) - LEN(SUBSTITUTE(VLOOKUP($D190,素材!$1:$1016,COLUMN($F$1),FALSE), "・", 0)) + 1), 0)</f>
        <v>0</v>
      </c>
      <c r="BD190">
        <f>IF(ISNUMBER(SEARCH(SUBSTITUTE(BD$1,RIGHT(BD$1,2),""),VLOOKUP($D190,素材!$1:$1016,COLUMN($F$1),FALSE))),VLOOKUP($C190,武器!$1:$998,COLUMN($O$1),FALSE)*VLOOKUP($D190,素材!$1:$1016,COLUMN($E$1),FALSE)/(LEN(VLOOKUP($D190,素材!$1:$1016,COLUMN($F$1),FALSE)) - LEN(SUBSTITUTE(VLOOKUP($D190,素材!$1:$1016,COLUMN($F$1),FALSE), "・", 0)) + 1), 0)</f>
        <v>0</v>
      </c>
      <c r="BE190">
        <f>IF(ISNUMBER(SEARCH(SUBSTITUTE(BE$1,RIGHT(BE$1,2),""),VLOOKUP($D190,素材!$1:$1016,COLUMN($F$1),FALSE))),VLOOKUP($C190,武器!$1:$998,COLUMN($O$1),FALSE)*VLOOKUP($D190,素材!$1:$1016,COLUMN($E$1),FALSE)/(LEN(VLOOKUP($D190,素材!$1:$1016,COLUMN($F$1),FALSE)) - LEN(SUBSTITUTE(VLOOKUP($D190,素材!$1:$1016,COLUMN($F$1),FALSE), "・", 0)) + 1), 0)</f>
        <v>0</v>
      </c>
      <c r="CL190">
        <f>SUM(G190:I190)</f>
        <v>17</v>
      </c>
      <c r="CM190" s="22" t="str">
        <f>IF(E190="武器",IF(J190-1&gt;SUM(G190:I190),"盾",IF(MAX(G190:I190)=G190,"切断",IF(MAX(G190:I190)=H190,"貫通",IF(MAX(G190:I190)=I190,"打撃","射撃")))),E190)&amp;".webp"</f>
        <v>頭.webp</v>
      </c>
      <c r="CN190">
        <f>IFERROR(VLOOKUP($C190,武器!$1:$998,COLUMN(V$1),FALSE)*VLOOKUP($D190,素材!$1:$1016,COLUMN(N$1),FALSE)+IF(CI190="",0,VLOOKUP($CI190,装強!$1:$1008,COLUMN($CK$1),FALSE)),"")</f>
        <v>3000</v>
      </c>
      <c r="CO190">
        <f>VLOOKUP(D190,素材!$A:$O,COLUMN(素材!O$1),FALSE)</f>
        <v>0</v>
      </c>
      <c r="CP190" t="str">
        <f>VLOOKUP(C190,武器!$A:$W,COLUMN(武器!W$1),FALSE)</f>
        <v>命中 魔防 Cr</v>
      </c>
      <c r="CR190" t="str">
        <f t="shared" si="18"/>
        <v>e_190</v>
      </c>
      <c r="CS190">
        <f t="shared" si="22"/>
        <v>300000</v>
      </c>
    </row>
    <row r="191" spans="1:97" outlineLevel="1" x14ac:dyDescent="0.4">
      <c r="A191" t="str">
        <f t="shared" si="28"/>
        <v>黒鋼鉄の兜</v>
      </c>
      <c r="B191" t="str">
        <f>IFERROR(VLOOKUP($D191,素材!$1:$1016,COLUMN($B$1),FALSE)&amp;"・"&amp;VLOOKUP($C191,武器!$1:$998,COLUMN(B$1),FALSE),"")</f>
        <v>ブラックスティール・ヘルム</v>
      </c>
      <c r="C191" t="s">
        <v>209</v>
      </c>
      <c r="D191" s="24" t="s">
        <v>244</v>
      </c>
      <c r="E191" t="str">
        <f>IFERROR(VLOOKUP(C191,武器!$1:$998,COLUMN(C$1),FALSE),"")</f>
        <v>頭</v>
      </c>
      <c r="F191">
        <f>IFERROR(ROUNDDOWN((VLOOKUP($C191,武器!$1:$998,COLUMN(D$1),FALSE)+IFERROR(VLOOKUP($CI191,装強!$1:$999,COLUMN(F$1),FALSE),0))*VLOOKUP($D191,素材!$1:$1016,COLUMN(D$1),FALSE),0),"")</f>
        <v>0</v>
      </c>
      <c r="G191">
        <f>IFERROR(ROUNDDOWN((VLOOKUP($C191,武器!$1:$998,COLUMN(E$1),FALSE)+IFERROR(VLOOKUP($CI191,装強!$1:$999,COLUMN(G$1),FALSE),0))*VLOOKUP($D191,素材!$1:$1016,COLUMN($E$1),FALSE),0),"")</f>
        <v>0</v>
      </c>
      <c r="H191">
        <f>IFERROR(ROUNDDOWN((VLOOKUP($C191,武器!$1:$998,COLUMN(F$1),FALSE)+IFERROR(VLOOKUP($CI191,装強!$1:$999,COLUMN(H$1),FALSE),0))*VLOOKUP($D191,素材!$1:$1016,COLUMN($E$1),FALSE),0),"")</f>
        <v>0</v>
      </c>
      <c r="I191">
        <f>IFERROR(ROUNDDOWN((VLOOKUP($C191,武器!$1:$998,COLUMN(G$1),FALSE)+IFERROR(VLOOKUP($CI191,装強!$1:$999,COLUMN(I$1),FALSE),0))*VLOOKUP($D191,素材!$1:$1016,COLUMN($E$1),FALSE),0),"")</f>
        <v>17</v>
      </c>
      <c r="J191">
        <f>IFERROR(ROUNDDOWN((VLOOKUP($C191,武器!$1:$998,COLUMN(H$1),FALSE)+IFERROR(VLOOKUP($CI191,装強!$1:$999,COLUMN(J$1),FALSE),0))*VLOOKUP($D191,素材!$1:$1016,COLUMN($E$1),FALSE),0),"")</f>
        <v>0</v>
      </c>
      <c r="K191">
        <f>IFERROR(ROUNDDOWN((VLOOKUP($C191,武器!$1:$998,COLUMN(I$1),FALSE)+IFERROR(VLOOKUP($CI191,装強!$1:$999,COLUMN(K$1),FALSE),0))*VLOOKUP($D191,素材!$1:$1016,COLUMN($E$1),FALSE),0),"")</f>
        <v>0</v>
      </c>
      <c r="L191" t="str">
        <f>IFERROR(VLOOKUP($D191,素材!$1:$1016,COLUMN($F$1),FALSE),"")</f>
        <v>雷</v>
      </c>
      <c r="M191">
        <f>IFERROR(VLOOKUP($C191,武器!$1:$998,COLUMN(AA$1),FALSE)*VLOOKUP($D191,素材!$1:$1016,COLUMN($G$1),FALSE),"")</f>
        <v>0</v>
      </c>
      <c r="N191">
        <f>IFERROR(VLOOKUP($C191,武器!$1:$998,COLUMN(I$1),FALSE),"")</f>
        <v>0</v>
      </c>
      <c r="O191" s="23">
        <f>IFERROR((VLOOKUP($C191,武器!$1:$998,COLUMN(K$1),FALSE)+VLOOKUP($D191,素材!$1:$1016,COLUMN(H$1),FALSE))*100+IFERROR(VLOOKUP($CI191,装強!$1:$999,COLUMN(O$1),FALSE),0),"")</f>
        <v>5</v>
      </c>
      <c r="P191" s="23">
        <f>IFERROR((VLOOKUP($C191,武器!$1:$998,COLUMN(L$1),FALSE)+VLOOKUP($D191,素材!$1:$1016,COLUMN(I$1),FALSE))*100+IFERROR(VLOOKUP($CI191,装強!$1:$999,COLUMN(P$1),FALSE),0),"")</f>
        <v>125</v>
      </c>
      <c r="Q191">
        <f>IFERROR(ROUNDUP(VLOOKUP($C191,武器!$1:$998,COLUMN(M$1),FALSE)*(VLOOKUP($D191,素材!$1:$1002,COLUMN(D$1),FALSE)/100),1),"")</f>
        <v>-5</v>
      </c>
      <c r="R191">
        <f>IFERROR(ROUNDUP(VLOOKUP($C191,武器!$1:$998,COLUMN(N$1),FALSE)*(VLOOKUP($D191,素材!$1:$1002,COLUMN(D$1),FALSE)/100),1),"")</f>
        <v>0</v>
      </c>
      <c r="S191">
        <f>IFERROR(VLOOKUP($C191,武器!$1:$998,COLUMN(P$1),FALSE),"")</f>
        <v>0</v>
      </c>
      <c r="T191">
        <f>IFERROR(VLOOKUP($C191,武器!$1:$998,COLUMN(Q$1),FALSE),"")</f>
        <v>0</v>
      </c>
      <c r="U191">
        <f>IFERROR(VLOOKUP($C191,武器!$1:$998,COLUMN(R$1),FALSE),"")</f>
        <v>0</v>
      </c>
      <c r="V191">
        <f>IFERROR(VLOOKUP($C191,武器!$1:$998,COLUMN(Q$1),FALSE),"")</f>
        <v>0</v>
      </c>
      <c r="W191">
        <f>IFERROR(VLOOKUP($C191,武器!$1:$998,COLUMN(T$1),FALSE),"")</f>
        <v>0</v>
      </c>
      <c r="Y191">
        <f>IFERROR(VLOOKUP($C191,武器!$1:$998,COLUMN(U$1),FALSE),"")</f>
        <v>0</v>
      </c>
      <c r="Z191">
        <f>IFERROR(ROUNDUP(VLOOKUP($C191,武器!$1:$998,COLUMN(O$1),FALSE)*VLOOKUP($D191,素材!$1:$1016,COLUMN(E$1),FALSE),1),"")</f>
        <v>4</v>
      </c>
      <c r="AA191">
        <f>IF(ISNUMBER(SEARCH(SUBSTITUTE(AA$1,RIGHT(AA$1,2),""),VLOOKUP($D191,素材!$1:$1016,COLUMN($F$1),FALSE))),VLOOKUP($C191,武器!$1:$998,COLUMN($O$1),FALSE)*VLOOKUP($D191,素材!$1:$1016,COLUMN($E$1),FALSE)/(LEN(VLOOKUP($D191,素材!$1:$1016,COLUMN($F$1),FALSE)) - LEN(SUBSTITUTE(VLOOKUP($D191,素材!$1:$1016,COLUMN($F$1),FALSE), "・", 0)) + 1), 0)</f>
        <v>0</v>
      </c>
      <c r="AB191">
        <f>IF(ISNUMBER(SEARCH(SUBSTITUTE(AB$1,RIGHT(AB$1,2),""),VLOOKUP($D191,素材!$1:$1016,COLUMN($F$1),FALSE))),VLOOKUP($C191,武器!$1:$998,COLUMN($O$1),FALSE)*VLOOKUP($D191,素材!$1:$1016,COLUMN($E$1),FALSE)/(LEN(VLOOKUP($D191,素材!$1:$1016,COLUMN($F$1),FALSE)) - LEN(SUBSTITUTE(VLOOKUP($D191,素材!$1:$1016,COLUMN($F$1),FALSE), "・", 0)) + 1), 0)</f>
        <v>0</v>
      </c>
      <c r="AC191">
        <f>IF(ISNUMBER(SEARCH(SUBSTITUTE(AC$1,RIGHT(AC$1,2),""),VLOOKUP($D191,素材!$1:$1016,COLUMN($F$1),FALSE))),VLOOKUP($C191,武器!$1:$998,COLUMN($O$1),FALSE)*VLOOKUP($D191,素材!$1:$1016,COLUMN($E$1),FALSE)/(LEN(VLOOKUP($D191,素材!$1:$1016,COLUMN($F$1),FALSE)) - LEN(SUBSTITUTE(VLOOKUP($D191,素材!$1:$1016,COLUMN($F$1),FALSE), "・", 0)) + 1), 0)</f>
        <v>0</v>
      </c>
      <c r="AD191">
        <f>IF(ISNUMBER(SEARCH(SUBSTITUTE(AD$1,RIGHT(AD$1,2),""),VLOOKUP($D191,素材!$1:$1016,COLUMN($F$1),FALSE))),VLOOKUP($C191,武器!$1:$998,COLUMN($O$1),FALSE)*VLOOKUP($D191,素材!$1:$1016,COLUMN($E$1),FALSE)/(LEN(VLOOKUP($D191,素材!$1:$1016,COLUMN($F$1),FALSE)) - LEN(SUBSTITUTE(VLOOKUP($D191,素材!$1:$1016,COLUMN($F$1),FALSE), "・", 0)) + 1), 0)</f>
        <v>0</v>
      </c>
      <c r="AE191">
        <f>IF(ISNUMBER(SEARCH(SUBSTITUTE(AE$1,RIGHT(AE$1,2),""),VLOOKUP($D191,素材!$1:$1016,COLUMN($F$1),FALSE))),VLOOKUP($C191,武器!$1:$998,COLUMN($O$1),FALSE)*VLOOKUP($D191,素材!$1:$1016,COLUMN($E$1),FALSE)/(LEN(VLOOKUP($D191,素材!$1:$1016,COLUMN($F$1),FALSE)) - LEN(SUBSTITUTE(VLOOKUP($D191,素材!$1:$1016,COLUMN($F$1),FALSE), "・", 0)) + 1), 0)</f>
        <v>0</v>
      </c>
      <c r="AF191">
        <f>IF(ISNUMBER(SEARCH(SUBSTITUTE(AF$1,RIGHT(AF$1,2),""),VLOOKUP($D191,素材!$1:$1016,COLUMN($F$1),FALSE))),VLOOKUP($C191,武器!$1:$998,COLUMN($O$1),FALSE)*VLOOKUP($D191,素材!$1:$1016,COLUMN($E$1),FALSE)/(LEN(VLOOKUP($D191,素材!$1:$1016,COLUMN($F$1),FALSE)) - LEN(SUBSTITUTE(VLOOKUP($D191,素材!$1:$1016,COLUMN($F$1),FALSE), "・", 0)) + 1), 0)</f>
        <v>0</v>
      </c>
      <c r="AG191">
        <f>IF(ISNUMBER(SEARCH(SUBSTITUTE(AG$1,RIGHT(AG$1,2),""),VLOOKUP($D191,素材!$1:$1016,COLUMN($F$1),FALSE))),VLOOKUP($C191,武器!$1:$998,COLUMN($O$1),FALSE)*VLOOKUP($D191,素材!$1:$1016,COLUMN($E$1),FALSE)/(LEN(VLOOKUP($D191,素材!$1:$1016,COLUMN($F$1),FALSE)) - LEN(SUBSTITUTE(VLOOKUP($D191,素材!$1:$1016,COLUMN($F$1),FALSE), "・", 0)) + 1), 0)</f>
        <v>4</v>
      </c>
      <c r="AH191">
        <f>IF(ISNUMBER(SEARCH(SUBSTITUTE(AH$1,RIGHT(AH$1,2),""),VLOOKUP($D191,素材!$1:$1016,COLUMN($F$1),FALSE))),VLOOKUP($C191,武器!$1:$998,COLUMN($O$1),FALSE)*VLOOKUP($D191,素材!$1:$1016,COLUMN($E$1),FALSE)/(LEN(VLOOKUP($D191,素材!$1:$1016,COLUMN($F$1),FALSE)) - LEN(SUBSTITUTE(VLOOKUP($D191,素材!$1:$1016,COLUMN($F$1),FALSE), "・", 0)) + 1), 0)</f>
        <v>0</v>
      </c>
      <c r="AI191">
        <f>IF(ISNUMBER(SEARCH(SUBSTITUTE(AI$1,RIGHT(AI$1,2),""),VLOOKUP($D191,素材!$1:$1016,COLUMN($F$1),FALSE))),VLOOKUP($C191,武器!$1:$998,COLUMN($O$1),FALSE)*VLOOKUP($D191,素材!$1:$1016,COLUMN($E$1),FALSE)/(LEN(VLOOKUP($D191,素材!$1:$1016,COLUMN($F$1),FALSE)) - LEN(SUBSTITUTE(VLOOKUP($D191,素材!$1:$1016,COLUMN($F$1),FALSE), "・", 0)) + 1), 0)</f>
        <v>0</v>
      </c>
      <c r="AJ191">
        <f>IF(ISNUMBER(SEARCH(SUBSTITUTE(AJ$1,RIGHT(AJ$1,2),""),VLOOKUP($D191,素材!$1:$1016,COLUMN($F$1),FALSE))),VLOOKUP($C191,武器!$1:$998,COLUMN($O$1),FALSE)*VLOOKUP($D191,素材!$1:$1016,COLUMN($E$1),FALSE)/(LEN(VLOOKUP($D191,素材!$1:$1016,COLUMN($F$1),FALSE)) - LEN(SUBSTITUTE(VLOOKUP($D191,素材!$1:$1016,COLUMN($F$1),FALSE), "・", 0)) + 1), 0)</f>
        <v>0</v>
      </c>
      <c r="AK191">
        <f>IF(ISNUMBER(SEARCH(SUBSTITUTE(AK$1,RIGHT(AK$1,2),""),VLOOKUP($D191,素材!$1:$1016,COLUMN($F$1),FALSE))),VLOOKUP($C191,武器!$1:$998,COLUMN($O$1),FALSE)*VLOOKUP($D191,素材!$1:$1016,COLUMN($E$1),FALSE)/(LEN(VLOOKUP($D191,素材!$1:$1016,COLUMN($F$1),FALSE)) - LEN(SUBSTITUTE(VLOOKUP($D191,素材!$1:$1016,COLUMN($F$1),FALSE), "・", 0)) + 1), 0)</f>
        <v>0</v>
      </c>
      <c r="AL191">
        <f>IF(ISNUMBER(SEARCH(SUBSTITUTE(AL$1,RIGHT(AL$1,2),""),VLOOKUP($D191,素材!$1:$1016,COLUMN($F$1),FALSE))),VLOOKUP($C191,武器!$1:$998,COLUMN($O$1),FALSE)*VLOOKUP($D191,素材!$1:$1016,COLUMN($E$1),FALSE)/(LEN(VLOOKUP($D191,素材!$1:$1016,COLUMN($F$1),FALSE)) - LEN(SUBSTITUTE(VLOOKUP($D191,素材!$1:$1016,COLUMN($F$1),FALSE), "・", 0)) + 1), 0)</f>
        <v>0</v>
      </c>
      <c r="AM191">
        <f>IF(ISNUMBER(SEARCH(SUBSTITUTE(AM$1,RIGHT(AM$1,2),""),VLOOKUP($D191,素材!$1:$1016,COLUMN($F$1),FALSE))),VLOOKUP($C191,武器!$1:$998,COLUMN($O$1),FALSE)*VLOOKUP($D191,素材!$1:$1016,COLUMN($E$1),FALSE)/(LEN(VLOOKUP($D191,素材!$1:$1016,COLUMN($F$1),FALSE)) - LEN(SUBSTITUTE(VLOOKUP($D191,素材!$1:$1016,COLUMN($F$1),FALSE), "・", 0)) + 1), 0)</f>
        <v>0</v>
      </c>
      <c r="AN191">
        <f>IF(ISNUMBER(SEARCH(SUBSTITUTE(AN$1,RIGHT(AN$1,2),""),VLOOKUP($D191,素材!$1:$1016,COLUMN($F$1),FALSE))),VLOOKUP($C191,武器!$1:$998,COLUMN($O$1),FALSE)*VLOOKUP($D191,素材!$1:$1016,COLUMN($E$1),FALSE)/(LEN(VLOOKUP($D191,素材!$1:$1016,COLUMN($F$1),FALSE)) - LEN(SUBSTITUTE(VLOOKUP($D191,素材!$1:$1016,COLUMN($F$1),FALSE), "・", 0)) + 1), 0)</f>
        <v>0</v>
      </c>
      <c r="AO191">
        <f>IF(ISNUMBER(SEARCH(SUBSTITUTE(AO$1,RIGHT(AO$1,2),""),VLOOKUP($D191,素材!$1:$1016,COLUMN($F$1),FALSE))),VLOOKUP($C191,武器!$1:$998,COLUMN($O$1),FALSE)*VLOOKUP($D191,素材!$1:$1016,COLUMN($E$1),FALSE)/(LEN(VLOOKUP($D191,素材!$1:$1016,COLUMN($F$1),FALSE)) - LEN(SUBSTITUTE(VLOOKUP($D191,素材!$1:$1016,COLUMN($F$1),FALSE), "・", 0)) + 1), 0)</f>
        <v>0</v>
      </c>
      <c r="AP191">
        <f>IF(ISNUMBER(SEARCH(SUBSTITUTE(AP$1,RIGHT(AP$1,2),""),VLOOKUP($D191,素材!$1:$1016,COLUMN($F$1),FALSE))),VLOOKUP($C191,武器!$1:$998,COLUMN($O$1),FALSE)*VLOOKUP($D191,素材!$1:$1016,COLUMN($E$1),FALSE)/(LEN(VLOOKUP($D191,素材!$1:$1016,COLUMN($F$1),FALSE)) - LEN(SUBSTITUTE(VLOOKUP($D191,素材!$1:$1016,COLUMN($F$1),FALSE), "・", 0)) + 1), 0)</f>
        <v>0</v>
      </c>
      <c r="AQ191">
        <f>IF(ISNUMBER(SEARCH(SUBSTITUTE(AQ$1,RIGHT(AQ$1,2),""),VLOOKUP($D191,素材!$1:$1016,COLUMN($F$1),FALSE))),VLOOKUP($C191,武器!$1:$998,COLUMN($O$1),FALSE)*VLOOKUP($D191,素材!$1:$1016,COLUMN($E$1),FALSE)/(LEN(VLOOKUP($D191,素材!$1:$1016,COLUMN($F$1),FALSE)) - LEN(SUBSTITUTE(VLOOKUP($D191,素材!$1:$1016,COLUMN($F$1),FALSE), "・", 0)) + 1), 0)</f>
        <v>0</v>
      </c>
      <c r="AR191">
        <f>IF(ISNUMBER(SEARCH(SUBSTITUTE(AR$1,RIGHT(AR$1,2),""),VLOOKUP($D191,素材!$1:$1016,COLUMN($F$1),FALSE))),VLOOKUP($C191,武器!$1:$998,COLUMN($O$1),FALSE)*VLOOKUP($D191,素材!$1:$1016,COLUMN($E$1),FALSE)/(LEN(VLOOKUP($D191,素材!$1:$1016,COLUMN($F$1),FALSE)) - LEN(SUBSTITUTE(VLOOKUP($D191,素材!$1:$1016,COLUMN($F$1),FALSE), "・", 0)) + 1), 0)</f>
        <v>0</v>
      </c>
      <c r="AS191">
        <f>IF(ISNUMBER(SEARCH(SUBSTITUTE(AS$1,RIGHT(AS$1,2),""),VLOOKUP($D191,素材!$1:$1016,COLUMN($F$1),FALSE))),VLOOKUP($C191,武器!$1:$998,COLUMN($O$1),FALSE)*VLOOKUP($D191,素材!$1:$1016,COLUMN($E$1),FALSE)/(LEN(VLOOKUP($D191,素材!$1:$1016,COLUMN($F$1),FALSE)) - LEN(SUBSTITUTE(VLOOKUP($D191,素材!$1:$1016,COLUMN($F$1),FALSE), "・", 0)) + 1), 0)</f>
        <v>0</v>
      </c>
      <c r="AT191">
        <f>IF(ISNUMBER(SEARCH(SUBSTITUTE(AT$1,RIGHT(AT$1,2),""),VLOOKUP($D191,素材!$1:$1016,COLUMN($F$1),FALSE))),VLOOKUP($C191,武器!$1:$998,COLUMN($O$1),FALSE)*VLOOKUP($D191,素材!$1:$1016,COLUMN($E$1),FALSE)/(LEN(VLOOKUP($D191,素材!$1:$1016,COLUMN($F$1),FALSE)) - LEN(SUBSTITUTE(VLOOKUP($D191,素材!$1:$1016,COLUMN($F$1),FALSE), "・", 0)) + 1), 0)</f>
        <v>0</v>
      </c>
      <c r="AU191">
        <f>IF(ISNUMBER(SEARCH(SUBSTITUTE(AU$1,RIGHT(AU$1,2),""),VLOOKUP($D191,素材!$1:$1016,COLUMN($F$1),FALSE))),VLOOKUP($C191,武器!$1:$998,COLUMN($O$1),FALSE)*VLOOKUP($D191,素材!$1:$1016,COLUMN($E$1),FALSE)/(LEN(VLOOKUP($D191,素材!$1:$1016,COLUMN($F$1),FALSE)) - LEN(SUBSTITUTE(VLOOKUP($D191,素材!$1:$1016,COLUMN($F$1),FALSE), "・", 0)) + 1), 0)</f>
        <v>0</v>
      </c>
      <c r="AV191">
        <f>IF(ISNUMBER(SEARCH(SUBSTITUTE(AV$1,RIGHT(AV$1,2),""),VLOOKUP($D191,素材!$1:$1016,COLUMN($F$1),FALSE))),VLOOKUP($C191,武器!$1:$998,COLUMN($O$1),FALSE)*VLOOKUP($D191,素材!$1:$1016,COLUMN($E$1),FALSE)/(LEN(VLOOKUP($D191,素材!$1:$1016,COLUMN($F$1),FALSE)) - LEN(SUBSTITUTE(VLOOKUP($D191,素材!$1:$1016,COLUMN($F$1),FALSE), "・", 0)) + 1), 0)</f>
        <v>0</v>
      </c>
      <c r="AW191">
        <f>IF(ISNUMBER(SEARCH(SUBSTITUTE(AW$1,RIGHT(AW$1,2),""),VLOOKUP($D191,素材!$1:$1016,COLUMN($F$1),FALSE))),VLOOKUP($C191,武器!$1:$998,COLUMN($O$1),FALSE)*VLOOKUP($D191,素材!$1:$1016,COLUMN($E$1),FALSE)/(LEN(VLOOKUP($D191,素材!$1:$1016,COLUMN($F$1),FALSE)) - LEN(SUBSTITUTE(VLOOKUP($D191,素材!$1:$1016,COLUMN($F$1),FALSE), "・", 0)) + 1), 0)</f>
        <v>0</v>
      </c>
      <c r="AX191">
        <f>IF(ISNUMBER(SEARCH(SUBSTITUTE(AX$1,RIGHT(AX$1,2),""),VLOOKUP($D191,素材!$1:$1016,COLUMN($F$1),FALSE))),VLOOKUP($C191,武器!$1:$998,COLUMN($O$1),FALSE)*VLOOKUP($D191,素材!$1:$1016,COLUMN($E$1),FALSE)/(LEN(VLOOKUP($D191,素材!$1:$1016,COLUMN($F$1),FALSE)) - LEN(SUBSTITUTE(VLOOKUP($D191,素材!$1:$1016,COLUMN($F$1),FALSE), "・", 0)) + 1), 0)</f>
        <v>0</v>
      </c>
      <c r="AY191">
        <f>IF(ISNUMBER(SEARCH(SUBSTITUTE(AY$1,RIGHT(AY$1,2),""),VLOOKUP($D191,素材!$1:$1016,COLUMN($F$1),FALSE))),VLOOKUP($C191,武器!$1:$998,COLUMN($O$1),FALSE)*VLOOKUP($D191,素材!$1:$1016,COLUMN($E$1),FALSE)/(LEN(VLOOKUP($D191,素材!$1:$1016,COLUMN($F$1),FALSE)) - LEN(SUBSTITUTE(VLOOKUP($D191,素材!$1:$1016,COLUMN($F$1),FALSE), "・", 0)) + 1), 0)</f>
        <v>0</v>
      </c>
      <c r="AZ191">
        <f>IF(ISNUMBER(SEARCH(SUBSTITUTE(AZ$1,RIGHT(AZ$1,2),""),VLOOKUP($D191,素材!$1:$1016,COLUMN($F$1),FALSE))),VLOOKUP($C191,武器!$1:$998,COLUMN($O$1),FALSE)*VLOOKUP($D191,素材!$1:$1016,COLUMN($E$1),FALSE)/(LEN(VLOOKUP($D191,素材!$1:$1016,COLUMN($F$1),FALSE)) - LEN(SUBSTITUTE(VLOOKUP($D191,素材!$1:$1016,COLUMN($F$1),FALSE), "・", 0)) + 1), 0)</f>
        <v>0</v>
      </c>
      <c r="BA191">
        <f>IF(ISNUMBER(SEARCH(SUBSTITUTE(BA$1,RIGHT(BA$1,2),""),VLOOKUP($D191,素材!$1:$1016,COLUMN($F$1),FALSE))),VLOOKUP($C191,武器!$1:$998,COLUMN($O$1),FALSE)*VLOOKUP($D191,素材!$1:$1016,COLUMN($E$1),FALSE)/(LEN(VLOOKUP($D191,素材!$1:$1016,COLUMN($F$1),FALSE)) - LEN(SUBSTITUTE(VLOOKUP($D191,素材!$1:$1016,COLUMN($F$1),FALSE), "・", 0)) + 1), 0)</f>
        <v>0</v>
      </c>
      <c r="BB191">
        <f>IF(ISNUMBER(SEARCH(SUBSTITUTE(BB$1,RIGHT(BB$1,2),""),VLOOKUP($D191,素材!$1:$1016,COLUMN($F$1),FALSE))),VLOOKUP($C191,武器!$1:$998,COLUMN($O$1),FALSE)*VLOOKUP($D191,素材!$1:$1016,COLUMN($E$1),FALSE)/(LEN(VLOOKUP($D191,素材!$1:$1016,COLUMN($F$1),FALSE)) - LEN(SUBSTITUTE(VLOOKUP($D191,素材!$1:$1016,COLUMN($F$1),FALSE), "・", 0)) + 1), 0)</f>
        <v>0</v>
      </c>
      <c r="BC191">
        <f>IF(ISNUMBER(SEARCH(SUBSTITUTE(BC$1,RIGHT(BC$1,2),""),VLOOKUP($D191,素材!$1:$1016,COLUMN($F$1),FALSE))),VLOOKUP($C191,武器!$1:$998,COLUMN($O$1),FALSE)*VLOOKUP($D191,素材!$1:$1016,COLUMN($E$1),FALSE)/(LEN(VLOOKUP($D191,素材!$1:$1016,COLUMN($F$1),FALSE)) - LEN(SUBSTITUTE(VLOOKUP($D191,素材!$1:$1016,COLUMN($F$1),FALSE), "・", 0)) + 1), 0)</f>
        <v>0</v>
      </c>
      <c r="BD191">
        <f>IF(ISNUMBER(SEARCH(SUBSTITUTE(BD$1,RIGHT(BD$1,2),""),VLOOKUP($D191,素材!$1:$1016,COLUMN($F$1),FALSE))),VLOOKUP($C191,武器!$1:$998,COLUMN($O$1),FALSE)*VLOOKUP($D191,素材!$1:$1016,COLUMN($E$1),FALSE)/(LEN(VLOOKUP($D191,素材!$1:$1016,COLUMN($F$1),FALSE)) - LEN(SUBSTITUTE(VLOOKUP($D191,素材!$1:$1016,COLUMN($F$1),FALSE), "・", 0)) + 1), 0)</f>
        <v>0</v>
      </c>
      <c r="BE191">
        <f>IF(ISNUMBER(SEARCH(SUBSTITUTE(BE$1,RIGHT(BE$1,2),""),VLOOKUP($D191,素材!$1:$1016,COLUMN($F$1),FALSE))),VLOOKUP($C191,武器!$1:$998,COLUMN($O$1),FALSE)*VLOOKUP($D191,素材!$1:$1016,COLUMN($E$1),FALSE)/(LEN(VLOOKUP($D191,素材!$1:$1016,COLUMN($F$1),FALSE)) - LEN(SUBSTITUTE(VLOOKUP($D191,素材!$1:$1016,COLUMN($F$1),FALSE), "・", 0)) + 1), 0)</f>
        <v>0</v>
      </c>
      <c r="CL191">
        <f>SUM(G191:I191)</f>
        <v>17</v>
      </c>
      <c r="CM191" s="22" t="str">
        <f>IF(E191="武器",IF(J191-1&gt;SUM(G191:I191),"盾",IF(MAX(G191:I191)=G191,"切断",IF(MAX(G191:I191)=H191,"貫通",IF(MAX(G191:I191)=I191,"打撃","射撃")))),E191)&amp;".webp"</f>
        <v>頭.webp</v>
      </c>
      <c r="CN191">
        <f>IFERROR(VLOOKUP($C191,武器!$1:$998,COLUMN(V$1),FALSE)*VLOOKUP($D191,素材!$1:$1016,COLUMN(N$1),FALSE)+IF(CI191="",0,VLOOKUP($CI191,装強!$1:$1008,COLUMN($CK$1),FALSE)),"")</f>
        <v>2250</v>
      </c>
      <c r="CO191">
        <f>VLOOKUP(D191,素材!$A:$O,COLUMN(素材!O$1),FALSE)</f>
        <v>0</v>
      </c>
      <c r="CP191" t="str">
        <f>VLOOKUP(C191,武器!$A:$W,COLUMN(武器!W$1),FALSE)</f>
        <v>命中 魔防 Cr</v>
      </c>
      <c r="CR191" t="str">
        <f t="shared" si="18"/>
        <v>e_191</v>
      </c>
      <c r="CS191">
        <f t="shared" si="22"/>
        <v>225000</v>
      </c>
    </row>
    <row r="192" spans="1:97" outlineLevel="1" x14ac:dyDescent="0.4">
      <c r="A192" t="str">
        <f t="shared" si="28"/>
        <v>黒鋼鉄の鎧</v>
      </c>
      <c r="B192" t="str">
        <f>IFERROR(VLOOKUP($D192,素材!$1:$1016,COLUMN($B$1),FALSE)&amp;"・"&amp;VLOOKUP($C192,武器!$1:$998,COLUMN(B$1),FALSE),"")</f>
        <v>ブラックスティール・アーマー</v>
      </c>
      <c r="C192" t="s">
        <v>208</v>
      </c>
      <c r="D192" s="24" t="s">
        <v>244</v>
      </c>
      <c r="E192" t="str">
        <f>IFERROR(VLOOKUP(C192,武器!$1:$998,COLUMN(C$1),FALSE),"")</f>
        <v>体</v>
      </c>
      <c r="F192">
        <f>IFERROR(ROUNDDOWN((VLOOKUP($C192,武器!$1:$998,COLUMN(D$1),FALSE)+IFERROR(VLOOKUP($CI192,装強!$1:$999,COLUMN(F$1),FALSE),0))*VLOOKUP($D192,素材!$1:$1016,COLUMN(D$1),FALSE),0),"")</f>
        <v>0</v>
      </c>
      <c r="G192">
        <f>IFERROR(ROUNDDOWN((VLOOKUP($C192,武器!$1:$998,COLUMN(E$1),FALSE)+IFERROR(VLOOKUP($CI192,装強!$1:$999,COLUMN(G$1),FALSE),0))*VLOOKUP($D192,素材!$1:$1016,COLUMN($E$1),FALSE),0),"")</f>
        <v>0</v>
      </c>
      <c r="H192">
        <f>IFERROR(ROUNDDOWN((VLOOKUP($C192,武器!$1:$998,COLUMN(F$1),FALSE)+IFERROR(VLOOKUP($CI192,装強!$1:$999,COLUMN(H$1),FALSE),0))*VLOOKUP($D192,素材!$1:$1016,COLUMN($E$1),FALSE),0),"")</f>
        <v>0</v>
      </c>
      <c r="I192">
        <f>IFERROR(ROUNDDOWN((VLOOKUP($C192,武器!$1:$998,COLUMN(G$1),FALSE)+IFERROR(VLOOKUP($CI192,装強!$1:$999,COLUMN(I$1),FALSE),0))*VLOOKUP($D192,素材!$1:$1016,COLUMN($E$1),FALSE),0),"")</f>
        <v>0</v>
      </c>
      <c r="J192">
        <f>IFERROR(ROUNDDOWN((VLOOKUP($C192,武器!$1:$998,COLUMN(H$1),FALSE)+IFERROR(VLOOKUP($CI192,装強!$1:$999,COLUMN(J$1),FALSE),0))*VLOOKUP($D192,素材!$1:$1016,COLUMN($E$1),FALSE),0),"")</f>
        <v>0</v>
      </c>
      <c r="K192">
        <f>IFERROR(ROUNDDOWN((VLOOKUP($C192,武器!$1:$998,COLUMN(I$1),FALSE)+IFERROR(VLOOKUP($CI192,装強!$1:$999,COLUMN(K$1),FALSE),0))*VLOOKUP($D192,素材!$1:$1016,COLUMN($E$1),FALSE),0),"")</f>
        <v>0</v>
      </c>
      <c r="L192" t="str">
        <f>IFERROR(VLOOKUP($D192,素材!$1:$1016,COLUMN($F$1),FALSE),"")</f>
        <v>雷</v>
      </c>
      <c r="M192">
        <f>IFERROR(VLOOKUP($C192,武器!$1:$998,COLUMN(AA$1),FALSE)*VLOOKUP($D192,素材!$1:$1016,COLUMN($G$1),FALSE),"")</f>
        <v>0</v>
      </c>
      <c r="N192">
        <f>IFERROR(VLOOKUP($C192,武器!$1:$998,COLUMN(I$1),FALSE),"")</f>
        <v>0</v>
      </c>
      <c r="O192" s="23">
        <f>IFERROR((VLOOKUP($C192,武器!$1:$998,COLUMN(K$1),FALSE)+VLOOKUP($D192,素材!$1:$1016,COLUMN(H$1),FALSE))*100+IFERROR(VLOOKUP($CI192,装強!$1:$999,COLUMN(O$1),FALSE),0),"")</f>
        <v>0</v>
      </c>
      <c r="P192" s="23">
        <f>IFERROR((VLOOKUP($C192,武器!$1:$998,COLUMN(L$1),FALSE)+VLOOKUP($D192,素材!$1:$1016,COLUMN(I$1),FALSE))*100+IFERROR(VLOOKUP($CI192,装強!$1:$999,COLUMN(P$1),FALSE),0),"")</f>
        <v>0</v>
      </c>
      <c r="Q192">
        <f>IFERROR(ROUNDUP(VLOOKUP($C192,武器!$1:$998,COLUMN(M$1),FALSE)*(VLOOKUP($D192,素材!$1:$1002,COLUMN(D$1),FALSE)/100),1),"")</f>
        <v>-15</v>
      </c>
      <c r="R192">
        <f>IFERROR(ROUNDUP(VLOOKUP($C192,武器!$1:$998,COLUMN(N$1),FALSE)*(VLOOKUP($D192,素材!$1:$1002,COLUMN(D$1),FALSE)/100),1),"")</f>
        <v>0</v>
      </c>
      <c r="S192">
        <f>IFERROR(VLOOKUP($C192,武器!$1:$998,COLUMN(P$1),FALSE),"")</f>
        <v>0</v>
      </c>
      <c r="T192">
        <f>IFERROR(VLOOKUP($C192,武器!$1:$998,COLUMN(Q$1),FALSE),"")</f>
        <v>0</v>
      </c>
      <c r="U192">
        <f>IFERROR(VLOOKUP($C192,武器!$1:$998,COLUMN(R$1),FALSE),"")</f>
        <v>0</v>
      </c>
      <c r="V192">
        <f>IFERROR(VLOOKUP($C192,武器!$1:$998,COLUMN(Q$1),FALSE),"")</f>
        <v>0</v>
      </c>
      <c r="W192">
        <f>IFERROR(VLOOKUP($C192,武器!$1:$998,COLUMN(T$1),FALSE),"")</f>
        <v>0</v>
      </c>
      <c r="Y192">
        <f>IFERROR(VLOOKUP($C192,武器!$1:$998,COLUMN(U$1),FALSE),"")</f>
        <v>0</v>
      </c>
      <c r="Z192">
        <f>IFERROR(ROUNDUP(VLOOKUP($C192,武器!$1:$998,COLUMN(O$1),FALSE)*VLOOKUP($D192,素材!$1:$1016,COLUMN(E$1),FALSE),1),"")</f>
        <v>14</v>
      </c>
      <c r="AA192">
        <f>IF(ISNUMBER(SEARCH(SUBSTITUTE(AA$1,RIGHT(AA$1,2),""),VLOOKUP($D192,素材!$1:$1016,COLUMN($F$1),FALSE))),VLOOKUP($C192,武器!$1:$998,COLUMN($O$1),FALSE)*VLOOKUP($D192,素材!$1:$1016,COLUMN($E$1),FALSE)/(LEN(VLOOKUP($D192,素材!$1:$1016,COLUMN($F$1),FALSE)) - LEN(SUBSTITUTE(VLOOKUP($D192,素材!$1:$1016,COLUMN($F$1),FALSE), "・", 0)) + 1), 0)</f>
        <v>0</v>
      </c>
      <c r="AB192">
        <f>IF(ISNUMBER(SEARCH(SUBSTITUTE(AB$1,RIGHT(AB$1,2),""),VLOOKUP($D192,素材!$1:$1016,COLUMN($F$1),FALSE))),VLOOKUP($C192,武器!$1:$998,COLUMN($O$1),FALSE)*VLOOKUP($D192,素材!$1:$1016,COLUMN($E$1),FALSE)/(LEN(VLOOKUP($D192,素材!$1:$1016,COLUMN($F$1),FALSE)) - LEN(SUBSTITUTE(VLOOKUP($D192,素材!$1:$1016,COLUMN($F$1),FALSE), "・", 0)) + 1), 0)</f>
        <v>0</v>
      </c>
      <c r="AC192">
        <f>IF(ISNUMBER(SEARCH(SUBSTITUTE(AC$1,RIGHT(AC$1,2),""),VLOOKUP($D192,素材!$1:$1016,COLUMN($F$1),FALSE))),VLOOKUP($C192,武器!$1:$998,COLUMN($O$1),FALSE)*VLOOKUP($D192,素材!$1:$1016,COLUMN($E$1),FALSE)/(LEN(VLOOKUP($D192,素材!$1:$1016,COLUMN($F$1),FALSE)) - LEN(SUBSTITUTE(VLOOKUP($D192,素材!$1:$1016,COLUMN($F$1),FALSE), "・", 0)) + 1), 0)</f>
        <v>0</v>
      </c>
      <c r="AD192">
        <f>IF(ISNUMBER(SEARCH(SUBSTITUTE(AD$1,RIGHT(AD$1,2),""),VLOOKUP($D192,素材!$1:$1016,COLUMN($F$1),FALSE))),VLOOKUP($C192,武器!$1:$998,COLUMN($O$1),FALSE)*VLOOKUP($D192,素材!$1:$1016,COLUMN($E$1),FALSE)/(LEN(VLOOKUP($D192,素材!$1:$1016,COLUMN($F$1),FALSE)) - LEN(SUBSTITUTE(VLOOKUP($D192,素材!$1:$1016,COLUMN($F$1),FALSE), "・", 0)) + 1), 0)</f>
        <v>0</v>
      </c>
      <c r="AE192">
        <f>IF(ISNUMBER(SEARCH(SUBSTITUTE(AE$1,RIGHT(AE$1,2),""),VLOOKUP($D192,素材!$1:$1016,COLUMN($F$1),FALSE))),VLOOKUP($C192,武器!$1:$998,COLUMN($O$1),FALSE)*VLOOKUP($D192,素材!$1:$1016,COLUMN($E$1),FALSE)/(LEN(VLOOKUP($D192,素材!$1:$1016,COLUMN($F$1),FALSE)) - LEN(SUBSTITUTE(VLOOKUP($D192,素材!$1:$1016,COLUMN($F$1),FALSE), "・", 0)) + 1), 0)</f>
        <v>0</v>
      </c>
      <c r="AF192">
        <f>IF(ISNUMBER(SEARCH(SUBSTITUTE(AF$1,RIGHT(AF$1,2),""),VLOOKUP($D192,素材!$1:$1016,COLUMN($F$1),FALSE))),VLOOKUP($C192,武器!$1:$998,COLUMN($O$1),FALSE)*VLOOKUP($D192,素材!$1:$1016,COLUMN($E$1),FALSE)/(LEN(VLOOKUP($D192,素材!$1:$1016,COLUMN($F$1),FALSE)) - LEN(SUBSTITUTE(VLOOKUP($D192,素材!$1:$1016,COLUMN($F$1),FALSE), "・", 0)) + 1), 0)</f>
        <v>0</v>
      </c>
      <c r="AG192">
        <f>IF(ISNUMBER(SEARCH(SUBSTITUTE(AG$1,RIGHT(AG$1,2),""),VLOOKUP($D192,素材!$1:$1016,COLUMN($F$1),FALSE))),VLOOKUP($C192,武器!$1:$998,COLUMN($O$1),FALSE)*VLOOKUP($D192,素材!$1:$1016,COLUMN($E$1),FALSE)/(LEN(VLOOKUP($D192,素材!$1:$1016,COLUMN($F$1),FALSE)) - LEN(SUBSTITUTE(VLOOKUP($D192,素材!$1:$1016,COLUMN($F$1),FALSE), "・", 0)) + 1), 0)</f>
        <v>14</v>
      </c>
      <c r="AH192">
        <f>IF(ISNUMBER(SEARCH(SUBSTITUTE(AH$1,RIGHT(AH$1,2),""),VLOOKUP($D192,素材!$1:$1016,COLUMN($F$1),FALSE))),VLOOKUP($C192,武器!$1:$998,COLUMN($O$1),FALSE)*VLOOKUP($D192,素材!$1:$1016,COLUMN($E$1),FALSE)/(LEN(VLOOKUP($D192,素材!$1:$1016,COLUMN($F$1),FALSE)) - LEN(SUBSTITUTE(VLOOKUP($D192,素材!$1:$1016,COLUMN($F$1),FALSE), "・", 0)) + 1), 0)</f>
        <v>0</v>
      </c>
      <c r="AI192">
        <f>IF(ISNUMBER(SEARCH(SUBSTITUTE(AI$1,RIGHT(AI$1,2),""),VLOOKUP($D192,素材!$1:$1016,COLUMN($F$1),FALSE))),VLOOKUP($C192,武器!$1:$998,COLUMN($O$1),FALSE)*VLOOKUP($D192,素材!$1:$1016,COLUMN($E$1),FALSE)/(LEN(VLOOKUP($D192,素材!$1:$1016,COLUMN($F$1),FALSE)) - LEN(SUBSTITUTE(VLOOKUP($D192,素材!$1:$1016,COLUMN($F$1),FALSE), "・", 0)) + 1), 0)</f>
        <v>0</v>
      </c>
      <c r="AJ192">
        <f>IF(ISNUMBER(SEARCH(SUBSTITUTE(AJ$1,RIGHT(AJ$1,2),""),VLOOKUP($D192,素材!$1:$1016,COLUMN($F$1),FALSE))),VLOOKUP($C192,武器!$1:$998,COLUMN($O$1),FALSE)*VLOOKUP($D192,素材!$1:$1016,COLUMN($E$1),FALSE)/(LEN(VLOOKUP($D192,素材!$1:$1016,COLUMN($F$1),FALSE)) - LEN(SUBSTITUTE(VLOOKUP($D192,素材!$1:$1016,COLUMN($F$1),FALSE), "・", 0)) + 1), 0)</f>
        <v>0</v>
      </c>
      <c r="AK192">
        <f>IF(ISNUMBER(SEARCH(SUBSTITUTE(AK$1,RIGHT(AK$1,2),""),VLOOKUP($D192,素材!$1:$1016,COLUMN($F$1),FALSE))),VLOOKUP($C192,武器!$1:$998,COLUMN($O$1),FALSE)*VLOOKUP($D192,素材!$1:$1016,COLUMN($E$1),FALSE)/(LEN(VLOOKUP($D192,素材!$1:$1016,COLUMN($F$1),FALSE)) - LEN(SUBSTITUTE(VLOOKUP($D192,素材!$1:$1016,COLUMN($F$1),FALSE), "・", 0)) + 1), 0)</f>
        <v>0</v>
      </c>
      <c r="AL192">
        <f>IF(ISNUMBER(SEARCH(SUBSTITUTE(AL$1,RIGHT(AL$1,2),""),VLOOKUP($D192,素材!$1:$1016,COLUMN($F$1),FALSE))),VLOOKUP($C192,武器!$1:$998,COLUMN($O$1),FALSE)*VLOOKUP($D192,素材!$1:$1016,COLUMN($E$1),FALSE)/(LEN(VLOOKUP($D192,素材!$1:$1016,COLUMN($F$1),FALSE)) - LEN(SUBSTITUTE(VLOOKUP($D192,素材!$1:$1016,COLUMN($F$1),FALSE), "・", 0)) + 1), 0)</f>
        <v>0</v>
      </c>
      <c r="AM192">
        <f>IF(ISNUMBER(SEARCH(SUBSTITUTE(AM$1,RIGHT(AM$1,2),""),VLOOKUP($D192,素材!$1:$1016,COLUMN($F$1),FALSE))),VLOOKUP($C192,武器!$1:$998,COLUMN($O$1),FALSE)*VLOOKUP($D192,素材!$1:$1016,COLUMN($E$1),FALSE)/(LEN(VLOOKUP($D192,素材!$1:$1016,COLUMN($F$1),FALSE)) - LEN(SUBSTITUTE(VLOOKUP($D192,素材!$1:$1016,COLUMN($F$1),FALSE), "・", 0)) + 1), 0)</f>
        <v>0</v>
      </c>
      <c r="AN192">
        <f>IF(ISNUMBER(SEARCH(SUBSTITUTE(AN$1,RIGHT(AN$1,2),""),VLOOKUP($D192,素材!$1:$1016,COLUMN($F$1),FALSE))),VLOOKUP($C192,武器!$1:$998,COLUMN($O$1),FALSE)*VLOOKUP($D192,素材!$1:$1016,COLUMN($E$1),FALSE)/(LEN(VLOOKUP($D192,素材!$1:$1016,COLUMN($F$1),FALSE)) - LEN(SUBSTITUTE(VLOOKUP($D192,素材!$1:$1016,COLUMN($F$1),FALSE), "・", 0)) + 1), 0)</f>
        <v>0</v>
      </c>
      <c r="AO192">
        <f>IF(ISNUMBER(SEARCH(SUBSTITUTE(AO$1,RIGHT(AO$1,2),""),VLOOKUP($D192,素材!$1:$1016,COLUMN($F$1),FALSE))),VLOOKUP($C192,武器!$1:$998,COLUMN($O$1),FALSE)*VLOOKUP($D192,素材!$1:$1016,COLUMN($E$1),FALSE)/(LEN(VLOOKUP($D192,素材!$1:$1016,COLUMN($F$1),FALSE)) - LEN(SUBSTITUTE(VLOOKUP($D192,素材!$1:$1016,COLUMN($F$1),FALSE), "・", 0)) + 1), 0)</f>
        <v>0</v>
      </c>
      <c r="AP192">
        <f>IF(ISNUMBER(SEARCH(SUBSTITUTE(AP$1,RIGHT(AP$1,2),""),VLOOKUP($D192,素材!$1:$1016,COLUMN($F$1),FALSE))),VLOOKUP($C192,武器!$1:$998,COLUMN($O$1),FALSE)*VLOOKUP($D192,素材!$1:$1016,COLUMN($E$1),FALSE)/(LEN(VLOOKUP($D192,素材!$1:$1016,COLUMN($F$1),FALSE)) - LEN(SUBSTITUTE(VLOOKUP($D192,素材!$1:$1016,COLUMN($F$1),FALSE), "・", 0)) + 1), 0)</f>
        <v>0</v>
      </c>
      <c r="AQ192">
        <f>IF(ISNUMBER(SEARCH(SUBSTITUTE(AQ$1,RIGHT(AQ$1,2),""),VLOOKUP($D192,素材!$1:$1016,COLUMN($F$1),FALSE))),VLOOKUP($C192,武器!$1:$998,COLUMN($O$1),FALSE)*VLOOKUP($D192,素材!$1:$1016,COLUMN($E$1),FALSE)/(LEN(VLOOKUP($D192,素材!$1:$1016,COLUMN($F$1),FALSE)) - LEN(SUBSTITUTE(VLOOKUP($D192,素材!$1:$1016,COLUMN($F$1),FALSE), "・", 0)) + 1), 0)</f>
        <v>0</v>
      </c>
      <c r="AR192">
        <f>IF(ISNUMBER(SEARCH(SUBSTITUTE(AR$1,RIGHT(AR$1,2),""),VLOOKUP($D192,素材!$1:$1016,COLUMN($F$1),FALSE))),VLOOKUP($C192,武器!$1:$998,COLUMN($O$1),FALSE)*VLOOKUP($D192,素材!$1:$1016,COLUMN($E$1),FALSE)/(LEN(VLOOKUP($D192,素材!$1:$1016,COLUMN($F$1),FALSE)) - LEN(SUBSTITUTE(VLOOKUP($D192,素材!$1:$1016,COLUMN($F$1),FALSE), "・", 0)) + 1), 0)</f>
        <v>0</v>
      </c>
      <c r="AS192">
        <f>IF(ISNUMBER(SEARCH(SUBSTITUTE(AS$1,RIGHT(AS$1,2),""),VLOOKUP($D192,素材!$1:$1016,COLUMN($F$1),FALSE))),VLOOKUP($C192,武器!$1:$998,COLUMN($O$1),FALSE)*VLOOKUP($D192,素材!$1:$1016,COLUMN($E$1),FALSE)/(LEN(VLOOKUP($D192,素材!$1:$1016,COLUMN($F$1),FALSE)) - LEN(SUBSTITUTE(VLOOKUP($D192,素材!$1:$1016,COLUMN($F$1),FALSE), "・", 0)) + 1), 0)</f>
        <v>0</v>
      </c>
      <c r="AT192">
        <f>IF(ISNUMBER(SEARCH(SUBSTITUTE(AT$1,RIGHT(AT$1,2),""),VLOOKUP($D192,素材!$1:$1016,COLUMN($F$1),FALSE))),VLOOKUP($C192,武器!$1:$998,COLUMN($O$1),FALSE)*VLOOKUP($D192,素材!$1:$1016,COLUMN($E$1),FALSE)/(LEN(VLOOKUP($D192,素材!$1:$1016,COLUMN($F$1),FALSE)) - LEN(SUBSTITUTE(VLOOKUP($D192,素材!$1:$1016,COLUMN($F$1),FALSE), "・", 0)) + 1), 0)</f>
        <v>0</v>
      </c>
      <c r="AU192">
        <f>IF(ISNUMBER(SEARCH(SUBSTITUTE(AU$1,RIGHT(AU$1,2),""),VLOOKUP($D192,素材!$1:$1016,COLUMN($F$1),FALSE))),VLOOKUP($C192,武器!$1:$998,COLUMN($O$1),FALSE)*VLOOKUP($D192,素材!$1:$1016,COLUMN($E$1),FALSE)/(LEN(VLOOKUP($D192,素材!$1:$1016,COLUMN($F$1),FALSE)) - LEN(SUBSTITUTE(VLOOKUP($D192,素材!$1:$1016,COLUMN($F$1),FALSE), "・", 0)) + 1), 0)</f>
        <v>0</v>
      </c>
      <c r="AV192">
        <f>IF(ISNUMBER(SEARCH(SUBSTITUTE(AV$1,RIGHT(AV$1,2),""),VLOOKUP($D192,素材!$1:$1016,COLUMN($F$1),FALSE))),VLOOKUP($C192,武器!$1:$998,COLUMN($O$1),FALSE)*VLOOKUP($D192,素材!$1:$1016,COLUMN($E$1),FALSE)/(LEN(VLOOKUP($D192,素材!$1:$1016,COLUMN($F$1),FALSE)) - LEN(SUBSTITUTE(VLOOKUP($D192,素材!$1:$1016,COLUMN($F$1),FALSE), "・", 0)) + 1), 0)</f>
        <v>0</v>
      </c>
      <c r="AW192">
        <f>IF(ISNUMBER(SEARCH(SUBSTITUTE(AW$1,RIGHT(AW$1,2),""),VLOOKUP($D192,素材!$1:$1016,COLUMN($F$1),FALSE))),VLOOKUP($C192,武器!$1:$998,COLUMN($O$1),FALSE)*VLOOKUP($D192,素材!$1:$1016,COLUMN($E$1),FALSE)/(LEN(VLOOKUP($D192,素材!$1:$1016,COLUMN($F$1),FALSE)) - LEN(SUBSTITUTE(VLOOKUP($D192,素材!$1:$1016,COLUMN($F$1),FALSE), "・", 0)) + 1), 0)</f>
        <v>0</v>
      </c>
      <c r="AX192">
        <f>IF(ISNUMBER(SEARCH(SUBSTITUTE(AX$1,RIGHT(AX$1,2),""),VLOOKUP($D192,素材!$1:$1016,COLUMN($F$1),FALSE))),VLOOKUP($C192,武器!$1:$998,COLUMN($O$1),FALSE)*VLOOKUP($D192,素材!$1:$1016,COLUMN($E$1),FALSE)/(LEN(VLOOKUP($D192,素材!$1:$1016,COLUMN($F$1),FALSE)) - LEN(SUBSTITUTE(VLOOKUP($D192,素材!$1:$1016,COLUMN($F$1),FALSE), "・", 0)) + 1), 0)</f>
        <v>0</v>
      </c>
      <c r="AY192">
        <f>IF(ISNUMBER(SEARCH(SUBSTITUTE(AY$1,RIGHT(AY$1,2),""),VLOOKUP($D192,素材!$1:$1016,COLUMN($F$1),FALSE))),VLOOKUP($C192,武器!$1:$998,COLUMN($O$1),FALSE)*VLOOKUP($D192,素材!$1:$1016,COLUMN($E$1),FALSE)/(LEN(VLOOKUP($D192,素材!$1:$1016,COLUMN($F$1),FALSE)) - LEN(SUBSTITUTE(VLOOKUP($D192,素材!$1:$1016,COLUMN($F$1),FALSE), "・", 0)) + 1), 0)</f>
        <v>0</v>
      </c>
      <c r="AZ192">
        <f>IF(ISNUMBER(SEARCH(SUBSTITUTE(AZ$1,RIGHT(AZ$1,2),""),VLOOKUP($D192,素材!$1:$1016,COLUMN($F$1),FALSE))),VLOOKUP($C192,武器!$1:$998,COLUMN($O$1),FALSE)*VLOOKUP($D192,素材!$1:$1016,COLUMN($E$1),FALSE)/(LEN(VLOOKUP($D192,素材!$1:$1016,COLUMN($F$1),FALSE)) - LEN(SUBSTITUTE(VLOOKUP($D192,素材!$1:$1016,COLUMN($F$1),FALSE), "・", 0)) + 1), 0)</f>
        <v>0</v>
      </c>
      <c r="BA192">
        <f>IF(ISNUMBER(SEARCH(SUBSTITUTE(BA$1,RIGHT(BA$1,2),""),VLOOKUP($D192,素材!$1:$1016,COLUMN($F$1),FALSE))),VLOOKUP($C192,武器!$1:$998,COLUMN($O$1),FALSE)*VLOOKUP($D192,素材!$1:$1016,COLUMN($E$1),FALSE)/(LEN(VLOOKUP($D192,素材!$1:$1016,COLUMN($F$1),FALSE)) - LEN(SUBSTITUTE(VLOOKUP($D192,素材!$1:$1016,COLUMN($F$1),FALSE), "・", 0)) + 1), 0)</f>
        <v>0</v>
      </c>
      <c r="BB192">
        <f>IF(ISNUMBER(SEARCH(SUBSTITUTE(BB$1,RIGHT(BB$1,2),""),VLOOKUP($D192,素材!$1:$1016,COLUMN($F$1),FALSE))),VLOOKUP($C192,武器!$1:$998,COLUMN($O$1),FALSE)*VLOOKUP($D192,素材!$1:$1016,COLUMN($E$1),FALSE)/(LEN(VLOOKUP($D192,素材!$1:$1016,COLUMN($F$1),FALSE)) - LEN(SUBSTITUTE(VLOOKUP($D192,素材!$1:$1016,COLUMN($F$1),FALSE), "・", 0)) + 1), 0)</f>
        <v>0</v>
      </c>
      <c r="BC192">
        <f>IF(ISNUMBER(SEARCH(SUBSTITUTE(BC$1,RIGHT(BC$1,2),""),VLOOKUP($D192,素材!$1:$1016,COLUMN($F$1),FALSE))),VLOOKUP($C192,武器!$1:$998,COLUMN($O$1),FALSE)*VLOOKUP($D192,素材!$1:$1016,COLUMN($E$1),FALSE)/(LEN(VLOOKUP($D192,素材!$1:$1016,COLUMN($F$1),FALSE)) - LEN(SUBSTITUTE(VLOOKUP($D192,素材!$1:$1016,COLUMN($F$1),FALSE), "・", 0)) + 1), 0)</f>
        <v>0</v>
      </c>
      <c r="BD192">
        <f>IF(ISNUMBER(SEARCH(SUBSTITUTE(BD$1,RIGHT(BD$1,2),""),VLOOKUP($D192,素材!$1:$1016,COLUMN($F$1),FALSE))),VLOOKUP($C192,武器!$1:$998,COLUMN($O$1),FALSE)*VLOOKUP($D192,素材!$1:$1016,COLUMN($E$1),FALSE)/(LEN(VLOOKUP($D192,素材!$1:$1016,COLUMN($F$1),FALSE)) - LEN(SUBSTITUTE(VLOOKUP($D192,素材!$1:$1016,COLUMN($F$1),FALSE), "・", 0)) + 1), 0)</f>
        <v>0</v>
      </c>
      <c r="BE192">
        <f>IF(ISNUMBER(SEARCH(SUBSTITUTE(BE$1,RIGHT(BE$1,2),""),VLOOKUP($D192,素材!$1:$1016,COLUMN($F$1),FALSE))),VLOOKUP($C192,武器!$1:$998,COLUMN($O$1),FALSE)*VLOOKUP($D192,素材!$1:$1016,COLUMN($E$1),FALSE)/(LEN(VLOOKUP($D192,素材!$1:$1016,COLUMN($F$1),FALSE)) - LEN(SUBSTITUTE(VLOOKUP($D192,素材!$1:$1016,COLUMN($F$1),FALSE), "・", 0)) + 1), 0)</f>
        <v>0</v>
      </c>
      <c r="CL192">
        <f>SUM(G192:I192)</f>
        <v>0</v>
      </c>
      <c r="CM192" s="22" t="str">
        <f>IF(E192="武器",IF(J192-1&gt;SUM(G192:I192),"盾",IF(MAX(G192:I192)=G192,"切断",IF(MAX(G192:I192)=H192,"貫通",IF(MAX(G192:I192)=I192,"打撃","射撃")))),E192)&amp;".webp"</f>
        <v>体.webp</v>
      </c>
      <c r="CN192">
        <f>IFERROR(VLOOKUP($C192,武器!$1:$998,COLUMN(V$1),FALSE)*VLOOKUP($D192,素材!$1:$1016,COLUMN(N$1),FALSE)+IF(CI192="",0,VLOOKUP($CI192,装強!$1:$1008,COLUMN($CK$1),FALSE)),"")</f>
        <v>4500</v>
      </c>
      <c r="CO192">
        <f>VLOOKUP(D192,素材!$A:$O,COLUMN(素材!O$1),FALSE)</f>
        <v>0</v>
      </c>
      <c r="CP192" t="str">
        <f>VLOOKUP(C192,武器!$A:$W,COLUMN(武器!W$1),FALSE)</f>
        <v>HP 物理 魔法 体幹 出血 疲労 Cr</v>
      </c>
      <c r="CR192" t="str">
        <f t="shared" si="18"/>
        <v>e_192</v>
      </c>
      <c r="CS192">
        <f t="shared" si="22"/>
        <v>450000</v>
      </c>
    </row>
    <row r="193" spans="1:97" outlineLevel="1" x14ac:dyDescent="0.4">
      <c r="A193" t="str">
        <f t="shared" si="28"/>
        <v>黒鋼鉄の胴衣</v>
      </c>
      <c r="B193" t="str">
        <f>IFERROR(VLOOKUP($D193,素材!$1:$1016,COLUMN($B$1),FALSE)&amp;"・"&amp;VLOOKUP($C193,武器!$1:$998,COLUMN(B$1),FALSE),"")</f>
        <v>ブラックスティール・ベスト</v>
      </c>
      <c r="C193" t="s">
        <v>207</v>
      </c>
      <c r="D193" s="24" t="s">
        <v>244</v>
      </c>
      <c r="E193" t="str">
        <f>IFERROR(VLOOKUP(C193,武器!$1:$998,COLUMN(C$1),FALSE),"")</f>
        <v>体</v>
      </c>
      <c r="F193">
        <f>IFERROR(ROUNDDOWN((VLOOKUP($C193,武器!$1:$998,COLUMN(D$1),FALSE)+IFERROR(VLOOKUP($CI193,装強!$1:$999,COLUMN(F$1),FALSE),0))*VLOOKUP($D193,素材!$1:$1016,COLUMN(D$1),FALSE),0),"")</f>
        <v>0</v>
      </c>
      <c r="G193">
        <f>IFERROR(ROUNDDOWN((VLOOKUP($C193,武器!$1:$998,COLUMN(E$1),FALSE)+IFERROR(VLOOKUP($CI193,装強!$1:$999,COLUMN(G$1),FALSE),0))*VLOOKUP($D193,素材!$1:$1016,COLUMN($E$1),FALSE),0),"")</f>
        <v>0</v>
      </c>
      <c r="H193">
        <f>IFERROR(ROUNDDOWN((VLOOKUP($C193,武器!$1:$998,COLUMN(F$1),FALSE)+IFERROR(VLOOKUP($CI193,装強!$1:$999,COLUMN(H$1),FALSE),0))*VLOOKUP($D193,素材!$1:$1016,COLUMN($E$1),FALSE),0),"")</f>
        <v>0</v>
      </c>
      <c r="I193">
        <f>IFERROR(ROUNDDOWN((VLOOKUP($C193,武器!$1:$998,COLUMN(G$1),FALSE)+IFERROR(VLOOKUP($CI193,装強!$1:$999,COLUMN(I$1),FALSE),0))*VLOOKUP($D193,素材!$1:$1016,COLUMN($E$1),FALSE),0),"")</f>
        <v>0</v>
      </c>
      <c r="J193">
        <f>IFERROR(ROUNDDOWN((VLOOKUP($C193,武器!$1:$998,COLUMN(H$1),FALSE)+IFERROR(VLOOKUP($CI193,装強!$1:$999,COLUMN(J$1),FALSE),0))*VLOOKUP($D193,素材!$1:$1016,COLUMN($E$1),FALSE),0),"")</f>
        <v>0</v>
      </c>
      <c r="K193">
        <f>IFERROR(ROUNDDOWN((VLOOKUP($C193,武器!$1:$998,COLUMN(I$1),FALSE)+IFERROR(VLOOKUP($CI193,装強!$1:$999,COLUMN(K$1),FALSE),0))*VLOOKUP($D193,素材!$1:$1016,COLUMN($E$1),FALSE),0),"")</f>
        <v>0</v>
      </c>
      <c r="L193" t="str">
        <f>IFERROR(VLOOKUP($D193,素材!$1:$1016,COLUMN($F$1),FALSE),"")</f>
        <v>雷</v>
      </c>
      <c r="M193">
        <f>IFERROR(VLOOKUP($C193,武器!$1:$998,COLUMN(AA$1),FALSE)*VLOOKUP($D193,素材!$1:$1016,COLUMN($G$1),FALSE),"")</f>
        <v>0</v>
      </c>
      <c r="N193">
        <f>IFERROR(VLOOKUP($C193,武器!$1:$998,COLUMN(I$1),FALSE),"")</f>
        <v>0</v>
      </c>
      <c r="O193" s="23">
        <f>IFERROR((VLOOKUP($C193,武器!$1:$998,COLUMN(K$1),FALSE)+VLOOKUP($D193,素材!$1:$1016,COLUMN(H$1),FALSE))*100+IFERROR(VLOOKUP($CI193,装強!$1:$999,COLUMN(O$1),FALSE),0),"")</f>
        <v>0</v>
      </c>
      <c r="P193" s="23">
        <f>IFERROR((VLOOKUP($C193,武器!$1:$998,COLUMN(L$1),FALSE)+VLOOKUP($D193,素材!$1:$1016,COLUMN(I$1),FALSE))*100+IFERROR(VLOOKUP($CI193,装強!$1:$999,COLUMN(P$1),FALSE),0),"")</f>
        <v>0</v>
      </c>
      <c r="Q193">
        <f>IFERROR(ROUNDUP(VLOOKUP($C193,武器!$1:$998,COLUMN(M$1),FALSE)*(VLOOKUP($D193,素材!$1:$1002,COLUMN(D$1),FALSE)/100),1),"")</f>
        <v>-7.5</v>
      </c>
      <c r="R193">
        <f>IFERROR(ROUNDUP(VLOOKUP($C193,武器!$1:$998,COLUMN(N$1),FALSE)*(VLOOKUP($D193,素材!$1:$1002,COLUMN(D$1),FALSE)/100),1),"")</f>
        <v>0</v>
      </c>
      <c r="S193">
        <f>IFERROR(VLOOKUP($C193,武器!$1:$998,COLUMN(P$1),FALSE),"")</f>
        <v>0</v>
      </c>
      <c r="T193">
        <f>IFERROR(VLOOKUP($C193,武器!$1:$998,COLUMN(Q$1),FALSE),"")</f>
        <v>0</v>
      </c>
      <c r="U193">
        <f>IFERROR(VLOOKUP($C193,武器!$1:$998,COLUMN(R$1),FALSE),"")</f>
        <v>0</v>
      </c>
      <c r="V193">
        <f>IFERROR(VLOOKUP($C193,武器!$1:$998,COLUMN(Q$1),FALSE),"")</f>
        <v>0</v>
      </c>
      <c r="W193">
        <f>IFERROR(VLOOKUP($C193,武器!$1:$998,COLUMN(T$1),FALSE),"")</f>
        <v>0</v>
      </c>
      <c r="Y193">
        <f>IFERROR(VLOOKUP($C193,武器!$1:$998,COLUMN(U$1),FALSE),"")</f>
        <v>0</v>
      </c>
      <c r="Z193">
        <f>IFERROR(ROUNDUP(VLOOKUP($C193,武器!$1:$998,COLUMN(O$1),FALSE)*VLOOKUP($D193,素材!$1:$1016,COLUMN(E$1),FALSE),1),"")</f>
        <v>10</v>
      </c>
      <c r="AA193">
        <f>IF(ISNUMBER(SEARCH(SUBSTITUTE(AA$1,RIGHT(AA$1,2),""),VLOOKUP($D193,素材!$1:$1016,COLUMN($F$1),FALSE))),VLOOKUP($C193,武器!$1:$998,COLUMN($O$1),FALSE)*VLOOKUP($D193,素材!$1:$1016,COLUMN($E$1),FALSE)/(LEN(VLOOKUP($D193,素材!$1:$1016,COLUMN($F$1),FALSE)) - LEN(SUBSTITUTE(VLOOKUP($D193,素材!$1:$1016,COLUMN($F$1),FALSE), "・", 0)) + 1), 0)</f>
        <v>0</v>
      </c>
      <c r="AB193">
        <f>IF(ISNUMBER(SEARCH(SUBSTITUTE(AB$1,RIGHT(AB$1,2),""),VLOOKUP($D193,素材!$1:$1016,COLUMN($F$1),FALSE))),VLOOKUP($C193,武器!$1:$998,COLUMN($O$1),FALSE)*VLOOKUP($D193,素材!$1:$1016,COLUMN($E$1),FALSE)/(LEN(VLOOKUP($D193,素材!$1:$1016,COLUMN($F$1),FALSE)) - LEN(SUBSTITUTE(VLOOKUP($D193,素材!$1:$1016,COLUMN($F$1),FALSE), "・", 0)) + 1), 0)</f>
        <v>0</v>
      </c>
      <c r="AC193">
        <f>IF(ISNUMBER(SEARCH(SUBSTITUTE(AC$1,RIGHT(AC$1,2),""),VLOOKUP($D193,素材!$1:$1016,COLUMN($F$1),FALSE))),VLOOKUP($C193,武器!$1:$998,COLUMN($O$1),FALSE)*VLOOKUP($D193,素材!$1:$1016,COLUMN($E$1),FALSE)/(LEN(VLOOKUP($D193,素材!$1:$1016,COLUMN($F$1),FALSE)) - LEN(SUBSTITUTE(VLOOKUP($D193,素材!$1:$1016,COLUMN($F$1),FALSE), "・", 0)) + 1), 0)</f>
        <v>0</v>
      </c>
      <c r="AD193">
        <f>IF(ISNUMBER(SEARCH(SUBSTITUTE(AD$1,RIGHT(AD$1,2),""),VLOOKUP($D193,素材!$1:$1016,COLUMN($F$1),FALSE))),VLOOKUP($C193,武器!$1:$998,COLUMN($O$1),FALSE)*VLOOKUP($D193,素材!$1:$1016,COLUMN($E$1),FALSE)/(LEN(VLOOKUP($D193,素材!$1:$1016,COLUMN($F$1),FALSE)) - LEN(SUBSTITUTE(VLOOKUP($D193,素材!$1:$1016,COLUMN($F$1),FALSE), "・", 0)) + 1), 0)</f>
        <v>0</v>
      </c>
      <c r="AE193">
        <f>IF(ISNUMBER(SEARCH(SUBSTITUTE(AE$1,RIGHT(AE$1,2),""),VLOOKUP($D193,素材!$1:$1016,COLUMN($F$1),FALSE))),VLOOKUP($C193,武器!$1:$998,COLUMN($O$1),FALSE)*VLOOKUP($D193,素材!$1:$1016,COLUMN($E$1),FALSE)/(LEN(VLOOKUP($D193,素材!$1:$1016,COLUMN($F$1),FALSE)) - LEN(SUBSTITUTE(VLOOKUP($D193,素材!$1:$1016,COLUMN($F$1),FALSE), "・", 0)) + 1), 0)</f>
        <v>0</v>
      </c>
      <c r="AF193">
        <f>IF(ISNUMBER(SEARCH(SUBSTITUTE(AF$1,RIGHT(AF$1,2),""),VLOOKUP($D193,素材!$1:$1016,COLUMN($F$1),FALSE))),VLOOKUP($C193,武器!$1:$998,COLUMN($O$1),FALSE)*VLOOKUP($D193,素材!$1:$1016,COLUMN($E$1),FALSE)/(LEN(VLOOKUP($D193,素材!$1:$1016,COLUMN($F$1),FALSE)) - LEN(SUBSTITUTE(VLOOKUP($D193,素材!$1:$1016,COLUMN($F$1),FALSE), "・", 0)) + 1), 0)</f>
        <v>0</v>
      </c>
      <c r="AG193">
        <f>IF(ISNUMBER(SEARCH(SUBSTITUTE(AG$1,RIGHT(AG$1,2),""),VLOOKUP($D193,素材!$1:$1016,COLUMN($F$1),FALSE))),VLOOKUP($C193,武器!$1:$998,COLUMN($O$1),FALSE)*VLOOKUP($D193,素材!$1:$1016,COLUMN($E$1),FALSE)/(LEN(VLOOKUP($D193,素材!$1:$1016,COLUMN($F$1),FALSE)) - LEN(SUBSTITUTE(VLOOKUP($D193,素材!$1:$1016,COLUMN($F$1),FALSE), "・", 0)) + 1), 0)</f>
        <v>10</v>
      </c>
      <c r="AH193">
        <f>IF(ISNUMBER(SEARCH(SUBSTITUTE(AH$1,RIGHT(AH$1,2),""),VLOOKUP($D193,素材!$1:$1016,COLUMN($F$1),FALSE))),VLOOKUP($C193,武器!$1:$998,COLUMN($O$1),FALSE)*VLOOKUP($D193,素材!$1:$1016,COLUMN($E$1),FALSE)/(LEN(VLOOKUP($D193,素材!$1:$1016,COLUMN($F$1),FALSE)) - LEN(SUBSTITUTE(VLOOKUP($D193,素材!$1:$1016,COLUMN($F$1),FALSE), "・", 0)) + 1), 0)</f>
        <v>0</v>
      </c>
      <c r="AI193">
        <f>IF(ISNUMBER(SEARCH(SUBSTITUTE(AI$1,RIGHT(AI$1,2),""),VLOOKUP($D193,素材!$1:$1016,COLUMN($F$1),FALSE))),VLOOKUP($C193,武器!$1:$998,COLUMN($O$1),FALSE)*VLOOKUP($D193,素材!$1:$1016,COLUMN($E$1),FALSE)/(LEN(VLOOKUP($D193,素材!$1:$1016,COLUMN($F$1),FALSE)) - LEN(SUBSTITUTE(VLOOKUP($D193,素材!$1:$1016,COLUMN($F$1),FALSE), "・", 0)) + 1), 0)</f>
        <v>0</v>
      </c>
      <c r="AJ193">
        <f>IF(ISNUMBER(SEARCH(SUBSTITUTE(AJ$1,RIGHT(AJ$1,2),""),VLOOKUP($D193,素材!$1:$1016,COLUMN($F$1),FALSE))),VLOOKUP($C193,武器!$1:$998,COLUMN($O$1),FALSE)*VLOOKUP($D193,素材!$1:$1016,COLUMN($E$1),FALSE)/(LEN(VLOOKUP($D193,素材!$1:$1016,COLUMN($F$1),FALSE)) - LEN(SUBSTITUTE(VLOOKUP($D193,素材!$1:$1016,COLUMN($F$1),FALSE), "・", 0)) + 1), 0)</f>
        <v>0</v>
      </c>
      <c r="AK193">
        <f>IF(ISNUMBER(SEARCH(SUBSTITUTE(AK$1,RIGHT(AK$1,2),""),VLOOKUP($D193,素材!$1:$1016,COLUMN($F$1),FALSE))),VLOOKUP($C193,武器!$1:$998,COLUMN($O$1),FALSE)*VLOOKUP($D193,素材!$1:$1016,COLUMN($E$1),FALSE)/(LEN(VLOOKUP($D193,素材!$1:$1016,COLUMN($F$1),FALSE)) - LEN(SUBSTITUTE(VLOOKUP($D193,素材!$1:$1016,COLUMN($F$1),FALSE), "・", 0)) + 1), 0)</f>
        <v>0</v>
      </c>
      <c r="AL193">
        <f>IF(ISNUMBER(SEARCH(SUBSTITUTE(AL$1,RIGHT(AL$1,2),""),VLOOKUP($D193,素材!$1:$1016,COLUMN($F$1),FALSE))),VLOOKUP($C193,武器!$1:$998,COLUMN($O$1),FALSE)*VLOOKUP($D193,素材!$1:$1016,COLUMN($E$1),FALSE)/(LEN(VLOOKUP($D193,素材!$1:$1016,COLUMN($F$1),FALSE)) - LEN(SUBSTITUTE(VLOOKUP($D193,素材!$1:$1016,COLUMN($F$1),FALSE), "・", 0)) + 1), 0)</f>
        <v>0</v>
      </c>
      <c r="AM193">
        <f>IF(ISNUMBER(SEARCH(SUBSTITUTE(AM$1,RIGHT(AM$1,2),""),VLOOKUP($D193,素材!$1:$1016,COLUMN($F$1),FALSE))),VLOOKUP($C193,武器!$1:$998,COLUMN($O$1),FALSE)*VLOOKUP($D193,素材!$1:$1016,COLUMN($E$1),FALSE)/(LEN(VLOOKUP($D193,素材!$1:$1016,COLUMN($F$1),FALSE)) - LEN(SUBSTITUTE(VLOOKUP($D193,素材!$1:$1016,COLUMN($F$1),FALSE), "・", 0)) + 1), 0)</f>
        <v>0</v>
      </c>
      <c r="AN193">
        <f>IF(ISNUMBER(SEARCH(SUBSTITUTE(AN$1,RIGHT(AN$1,2),""),VLOOKUP($D193,素材!$1:$1016,COLUMN($F$1),FALSE))),VLOOKUP($C193,武器!$1:$998,COLUMN($O$1),FALSE)*VLOOKUP($D193,素材!$1:$1016,COLUMN($E$1),FALSE)/(LEN(VLOOKUP($D193,素材!$1:$1016,COLUMN($F$1),FALSE)) - LEN(SUBSTITUTE(VLOOKUP($D193,素材!$1:$1016,COLUMN($F$1),FALSE), "・", 0)) + 1), 0)</f>
        <v>0</v>
      </c>
      <c r="AO193">
        <f>IF(ISNUMBER(SEARCH(SUBSTITUTE(AO$1,RIGHT(AO$1,2),""),VLOOKUP($D193,素材!$1:$1016,COLUMN($F$1),FALSE))),VLOOKUP($C193,武器!$1:$998,COLUMN($O$1),FALSE)*VLOOKUP($D193,素材!$1:$1016,COLUMN($E$1),FALSE)/(LEN(VLOOKUP($D193,素材!$1:$1016,COLUMN($F$1),FALSE)) - LEN(SUBSTITUTE(VLOOKUP($D193,素材!$1:$1016,COLUMN($F$1),FALSE), "・", 0)) + 1), 0)</f>
        <v>0</v>
      </c>
      <c r="AP193">
        <f>IF(ISNUMBER(SEARCH(SUBSTITUTE(AP$1,RIGHT(AP$1,2),""),VLOOKUP($D193,素材!$1:$1016,COLUMN($F$1),FALSE))),VLOOKUP($C193,武器!$1:$998,COLUMN($O$1),FALSE)*VLOOKUP($D193,素材!$1:$1016,COLUMN($E$1),FALSE)/(LEN(VLOOKUP($D193,素材!$1:$1016,COLUMN($F$1),FALSE)) - LEN(SUBSTITUTE(VLOOKUP($D193,素材!$1:$1016,COLUMN($F$1),FALSE), "・", 0)) + 1), 0)</f>
        <v>0</v>
      </c>
      <c r="AQ193">
        <f>IF(ISNUMBER(SEARCH(SUBSTITUTE(AQ$1,RIGHT(AQ$1,2),""),VLOOKUP($D193,素材!$1:$1016,COLUMN($F$1),FALSE))),VLOOKUP($C193,武器!$1:$998,COLUMN($O$1),FALSE)*VLOOKUP($D193,素材!$1:$1016,COLUMN($E$1),FALSE)/(LEN(VLOOKUP($D193,素材!$1:$1016,COLUMN($F$1),FALSE)) - LEN(SUBSTITUTE(VLOOKUP($D193,素材!$1:$1016,COLUMN($F$1),FALSE), "・", 0)) + 1), 0)</f>
        <v>0</v>
      </c>
      <c r="AR193">
        <f>IF(ISNUMBER(SEARCH(SUBSTITUTE(AR$1,RIGHT(AR$1,2),""),VLOOKUP($D193,素材!$1:$1016,COLUMN($F$1),FALSE))),VLOOKUP($C193,武器!$1:$998,COLUMN($O$1),FALSE)*VLOOKUP($D193,素材!$1:$1016,COLUMN($E$1),FALSE)/(LEN(VLOOKUP($D193,素材!$1:$1016,COLUMN($F$1),FALSE)) - LEN(SUBSTITUTE(VLOOKUP($D193,素材!$1:$1016,COLUMN($F$1),FALSE), "・", 0)) + 1), 0)</f>
        <v>0</v>
      </c>
      <c r="AS193">
        <f>IF(ISNUMBER(SEARCH(SUBSTITUTE(AS$1,RIGHT(AS$1,2),""),VLOOKUP($D193,素材!$1:$1016,COLUMN($F$1),FALSE))),VLOOKUP($C193,武器!$1:$998,COLUMN($O$1),FALSE)*VLOOKUP($D193,素材!$1:$1016,COLUMN($E$1),FALSE)/(LEN(VLOOKUP($D193,素材!$1:$1016,COLUMN($F$1),FALSE)) - LEN(SUBSTITUTE(VLOOKUP($D193,素材!$1:$1016,COLUMN($F$1),FALSE), "・", 0)) + 1), 0)</f>
        <v>0</v>
      </c>
      <c r="AT193">
        <f>IF(ISNUMBER(SEARCH(SUBSTITUTE(AT$1,RIGHT(AT$1,2),""),VLOOKUP($D193,素材!$1:$1016,COLUMN($F$1),FALSE))),VLOOKUP($C193,武器!$1:$998,COLUMN($O$1),FALSE)*VLOOKUP($D193,素材!$1:$1016,COLUMN($E$1),FALSE)/(LEN(VLOOKUP($D193,素材!$1:$1016,COLUMN($F$1),FALSE)) - LEN(SUBSTITUTE(VLOOKUP($D193,素材!$1:$1016,COLUMN($F$1),FALSE), "・", 0)) + 1), 0)</f>
        <v>0</v>
      </c>
      <c r="AU193">
        <f>IF(ISNUMBER(SEARCH(SUBSTITUTE(AU$1,RIGHT(AU$1,2),""),VLOOKUP($D193,素材!$1:$1016,COLUMN($F$1),FALSE))),VLOOKUP($C193,武器!$1:$998,COLUMN($O$1),FALSE)*VLOOKUP($D193,素材!$1:$1016,COLUMN($E$1),FALSE)/(LEN(VLOOKUP($D193,素材!$1:$1016,COLUMN($F$1),FALSE)) - LEN(SUBSTITUTE(VLOOKUP($D193,素材!$1:$1016,COLUMN($F$1),FALSE), "・", 0)) + 1), 0)</f>
        <v>0</v>
      </c>
      <c r="AV193">
        <f>IF(ISNUMBER(SEARCH(SUBSTITUTE(AV$1,RIGHT(AV$1,2),""),VLOOKUP($D193,素材!$1:$1016,COLUMN($F$1),FALSE))),VLOOKUP($C193,武器!$1:$998,COLUMN($O$1),FALSE)*VLOOKUP($D193,素材!$1:$1016,COLUMN($E$1),FALSE)/(LEN(VLOOKUP($D193,素材!$1:$1016,COLUMN($F$1),FALSE)) - LEN(SUBSTITUTE(VLOOKUP($D193,素材!$1:$1016,COLUMN($F$1),FALSE), "・", 0)) + 1), 0)</f>
        <v>0</v>
      </c>
      <c r="AW193">
        <f>IF(ISNUMBER(SEARCH(SUBSTITUTE(AW$1,RIGHT(AW$1,2),""),VLOOKUP($D193,素材!$1:$1016,COLUMN($F$1),FALSE))),VLOOKUP($C193,武器!$1:$998,COLUMN($O$1),FALSE)*VLOOKUP($D193,素材!$1:$1016,COLUMN($E$1),FALSE)/(LEN(VLOOKUP($D193,素材!$1:$1016,COLUMN($F$1),FALSE)) - LEN(SUBSTITUTE(VLOOKUP($D193,素材!$1:$1016,COLUMN($F$1),FALSE), "・", 0)) + 1), 0)</f>
        <v>0</v>
      </c>
      <c r="AX193">
        <f>IF(ISNUMBER(SEARCH(SUBSTITUTE(AX$1,RIGHT(AX$1,2),""),VLOOKUP($D193,素材!$1:$1016,COLUMN($F$1),FALSE))),VLOOKUP($C193,武器!$1:$998,COLUMN($O$1),FALSE)*VLOOKUP($D193,素材!$1:$1016,COLUMN($E$1),FALSE)/(LEN(VLOOKUP($D193,素材!$1:$1016,COLUMN($F$1),FALSE)) - LEN(SUBSTITUTE(VLOOKUP($D193,素材!$1:$1016,COLUMN($F$1),FALSE), "・", 0)) + 1), 0)</f>
        <v>0</v>
      </c>
      <c r="AY193">
        <f>IF(ISNUMBER(SEARCH(SUBSTITUTE(AY$1,RIGHT(AY$1,2),""),VLOOKUP($D193,素材!$1:$1016,COLUMN($F$1),FALSE))),VLOOKUP($C193,武器!$1:$998,COLUMN($O$1),FALSE)*VLOOKUP($D193,素材!$1:$1016,COLUMN($E$1),FALSE)/(LEN(VLOOKUP($D193,素材!$1:$1016,COLUMN($F$1),FALSE)) - LEN(SUBSTITUTE(VLOOKUP($D193,素材!$1:$1016,COLUMN($F$1),FALSE), "・", 0)) + 1), 0)</f>
        <v>0</v>
      </c>
      <c r="AZ193">
        <f>IF(ISNUMBER(SEARCH(SUBSTITUTE(AZ$1,RIGHT(AZ$1,2),""),VLOOKUP($D193,素材!$1:$1016,COLUMN($F$1),FALSE))),VLOOKUP($C193,武器!$1:$998,COLUMN($O$1),FALSE)*VLOOKUP($D193,素材!$1:$1016,COLUMN($E$1),FALSE)/(LEN(VLOOKUP($D193,素材!$1:$1016,COLUMN($F$1),FALSE)) - LEN(SUBSTITUTE(VLOOKUP($D193,素材!$1:$1016,COLUMN($F$1),FALSE), "・", 0)) + 1), 0)</f>
        <v>0</v>
      </c>
      <c r="BA193">
        <f>IF(ISNUMBER(SEARCH(SUBSTITUTE(BA$1,RIGHT(BA$1,2),""),VLOOKUP($D193,素材!$1:$1016,COLUMN($F$1),FALSE))),VLOOKUP($C193,武器!$1:$998,COLUMN($O$1),FALSE)*VLOOKUP($D193,素材!$1:$1016,COLUMN($E$1),FALSE)/(LEN(VLOOKUP($D193,素材!$1:$1016,COLUMN($F$1),FALSE)) - LEN(SUBSTITUTE(VLOOKUP($D193,素材!$1:$1016,COLUMN($F$1),FALSE), "・", 0)) + 1), 0)</f>
        <v>0</v>
      </c>
      <c r="BB193">
        <f>IF(ISNUMBER(SEARCH(SUBSTITUTE(BB$1,RIGHT(BB$1,2),""),VLOOKUP($D193,素材!$1:$1016,COLUMN($F$1),FALSE))),VLOOKUP($C193,武器!$1:$998,COLUMN($O$1),FALSE)*VLOOKUP($D193,素材!$1:$1016,COLUMN($E$1),FALSE)/(LEN(VLOOKUP($D193,素材!$1:$1016,COLUMN($F$1),FALSE)) - LEN(SUBSTITUTE(VLOOKUP($D193,素材!$1:$1016,COLUMN($F$1),FALSE), "・", 0)) + 1), 0)</f>
        <v>0</v>
      </c>
      <c r="BC193">
        <f>IF(ISNUMBER(SEARCH(SUBSTITUTE(BC$1,RIGHT(BC$1,2),""),VLOOKUP($D193,素材!$1:$1016,COLUMN($F$1),FALSE))),VLOOKUP($C193,武器!$1:$998,COLUMN($O$1),FALSE)*VLOOKUP($D193,素材!$1:$1016,COLUMN($E$1),FALSE)/(LEN(VLOOKUP($D193,素材!$1:$1016,COLUMN($F$1),FALSE)) - LEN(SUBSTITUTE(VLOOKUP($D193,素材!$1:$1016,COLUMN($F$1),FALSE), "・", 0)) + 1), 0)</f>
        <v>0</v>
      </c>
      <c r="BD193">
        <f>IF(ISNUMBER(SEARCH(SUBSTITUTE(BD$1,RIGHT(BD$1,2),""),VLOOKUP($D193,素材!$1:$1016,COLUMN($F$1),FALSE))),VLOOKUP($C193,武器!$1:$998,COLUMN($O$1),FALSE)*VLOOKUP($D193,素材!$1:$1016,COLUMN($E$1),FALSE)/(LEN(VLOOKUP($D193,素材!$1:$1016,COLUMN($F$1),FALSE)) - LEN(SUBSTITUTE(VLOOKUP($D193,素材!$1:$1016,COLUMN($F$1),FALSE), "・", 0)) + 1), 0)</f>
        <v>0</v>
      </c>
      <c r="BE193">
        <f>IF(ISNUMBER(SEARCH(SUBSTITUTE(BE$1,RIGHT(BE$1,2),""),VLOOKUP($D193,素材!$1:$1016,COLUMN($F$1),FALSE))),VLOOKUP($C193,武器!$1:$998,COLUMN($O$1),FALSE)*VLOOKUP($D193,素材!$1:$1016,COLUMN($E$1),FALSE)/(LEN(VLOOKUP($D193,素材!$1:$1016,COLUMN($F$1),FALSE)) - LEN(SUBSTITUTE(VLOOKUP($D193,素材!$1:$1016,COLUMN($F$1),FALSE), "・", 0)) + 1), 0)</f>
        <v>0</v>
      </c>
      <c r="CL193">
        <f>SUM(G193:I193)</f>
        <v>0</v>
      </c>
      <c r="CM193" s="22" t="str">
        <f>IF(E193="武器",IF(J193-1&gt;SUM(G193:I193),"盾",IF(MAX(G193:I193)=G193,"切断",IF(MAX(G193:I193)=H193,"貫通",IF(MAX(G193:I193)=I193,"打撃","射撃")))),E193)&amp;".webp"</f>
        <v>体.webp</v>
      </c>
      <c r="CN193">
        <f>IFERROR(VLOOKUP($C193,武器!$1:$998,COLUMN(V$1),FALSE)*VLOOKUP($D193,素材!$1:$1016,COLUMN(N$1),FALSE)+IF(CI193="",0,VLOOKUP($CI193,装強!$1:$1008,COLUMN($CK$1),FALSE)),"")</f>
        <v>3750</v>
      </c>
      <c r="CO193">
        <f>VLOOKUP(D193,素材!$A:$O,COLUMN(素材!O$1),FALSE)</f>
        <v>0</v>
      </c>
      <c r="CP193" t="str">
        <f>VLOOKUP(C193,武器!$A:$W,COLUMN(武器!W$1),FALSE)</f>
        <v>HP 物理 魔法 体幹 出血 疲労 Cr</v>
      </c>
      <c r="CR193" t="str">
        <f t="shared" si="18"/>
        <v>e_193</v>
      </c>
      <c r="CS193">
        <f t="shared" si="22"/>
        <v>375000</v>
      </c>
    </row>
    <row r="194" spans="1:97" outlineLevel="1" x14ac:dyDescent="0.4">
      <c r="A194" t="str">
        <f t="shared" si="28"/>
        <v>黒鋼鉄の靴</v>
      </c>
      <c r="B194" t="str">
        <f>IFERROR(VLOOKUP($D194,素材!$1:$1016,COLUMN($B$1),FALSE)&amp;"・"&amp;VLOOKUP($C194,武器!$1:$998,COLUMN(B$1),FALSE),"")</f>
        <v>ブラックスティール・ブーツ</v>
      </c>
      <c r="C194" t="s">
        <v>206</v>
      </c>
      <c r="D194" s="24" t="s">
        <v>244</v>
      </c>
      <c r="E194" t="str">
        <f>IFERROR(VLOOKUP(C194,武器!$1:$998,COLUMN(C$1),FALSE),"")</f>
        <v>足</v>
      </c>
      <c r="F194">
        <f>IFERROR(ROUNDDOWN((VLOOKUP($C194,武器!$1:$998,COLUMN(D$1),FALSE)+IFERROR(VLOOKUP($CI194,装強!$1:$999,COLUMN(F$1),FALSE),0))*VLOOKUP($D194,素材!$1:$1016,COLUMN(D$1),FALSE),0),"")</f>
        <v>0</v>
      </c>
      <c r="G194">
        <f>IFERROR(ROUNDDOWN((VLOOKUP($C194,武器!$1:$998,COLUMN(E$1),FALSE)+IFERROR(VLOOKUP($CI194,装強!$1:$999,COLUMN(G$1),FALSE),0))*VLOOKUP($D194,素材!$1:$1016,COLUMN($E$1),FALSE),0),"")</f>
        <v>0</v>
      </c>
      <c r="H194">
        <f>IFERROR(ROUNDDOWN((VLOOKUP($C194,武器!$1:$998,COLUMN(F$1),FALSE)+IFERROR(VLOOKUP($CI194,装強!$1:$999,COLUMN(H$1),FALSE),0))*VLOOKUP($D194,素材!$1:$1016,COLUMN($E$1),FALSE),0),"")</f>
        <v>0</v>
      </c>
      <c r="I194">
        <f>IFERROR(ROUNDDOWN((VLOOKUP($C194,武器!$1:$998,COLUMN(G$1),FALSE)+IFERROR(VLOOKUP($CI194,装強!$1:$999,COLUMN(I$1),FALSE),0))*VLOOKUP($D194,素材!$1:$1016,COLUMN($E$1),FALSE),0),"")</f>
        <v>20</v>
      </c>
      <c r="J194">
        <f>IFERROR(ROUNDDOWN((VLOOKUP($C194,武器!$1:$998,COLUMN(H$1),FALSE)+IFERROR(VLOOKUP($CI194,装強!$1:$999,COLUMN(J$1),FALSE),0))*VLOOKUP($D194,素材!$1:$1016,COLUMN($E$1),FALSE),0),"")</f>
        <v>0</v>
      </c>
      <c r="K194">
        <f>IFERROR(ROUNDDOWN((VLOOKUP($C194,武器!$1:$998,COLUMN(I$1),FALSE)+IFERROR(VLOOKUP($CI194,装強!$1:$999,COLUMN(K$1),FALSE),0))*VLOOKUP($D194,素材!$1:$1016,COLUMN($E$1),FALSE),0),"")</f>
        <v>0</v>
      </c>
      <c r="L194" t="str">
        <f>IFERROR(VLOOKUP($D194,素材!$1:$1016,COLUMN($F$1),FALSE),"")</f>
        <v>雷</v>
      </c>
      <c r="M194">
        <f>IFERROR(VLOOKUP($C194,武器!$1:$998,COLUMN(AA$1),FALSE)*VLOOKUP($D194,素材!$1:$1016,COLUMN($G$1),FALSE),"")</f>
        <v>0</v>
      </c>
      <c r="N194">
        <f>IFERROR(VLOOKUP($C194,武器!$1:$998,COLUMN(I$1),FALSE),"")</f>
        <v>0</v>
      </c>
      <c r="O194" s="23">
        <f>IFERROR((VLOOKUP($C194,武器!$1:$998,COLUMN(K$1),FALSE)+VLOOKUP($D194,素材!$1:$1016,COLUMN(H$1),FALSE))*100+IFERROR(VLOOKUP($CI194,装強!$1:$999,COLUMN(O$1),FALSE),0),"")</f>
        <v>10</v>
      </c>
      <c r="P194" s="23">
        <f>IFERROR((VLOOKUP($C194,武器!$1:$998,COLUMN(L$1),FALSE)+VLOOKUP($D194,素材!$1:$1016,COLUMN(I$1),FALSE))*100+IFERROR(VLOOKUP($CI194,装強!$1:$999,COLUMN(P$1),FALSE),0),"")</f>
        <v>150</v>
      </c>
      <c r="Q194">
        <f>IFERROR(ROUNDUP(VLOOKUP($C194,武器!$1:$998,COLUMN(M$1),FALSE)*(VLOOKUP($D194,素材!$1:$1002,COLUMN(D$1),FALSE)/100),1),"")</f>
        <v>0</v>
      </c>
      <c r="R194">
        <f>IFERROR(ROUNDUP(VLOOKUP($C194,武器!$1:$998,COLUMN(N$1),FALSE)*(VLOOKUP($D194,素材!$1:$1002,COLUMN(D$1),FALSE)/100),1),"")</f>
        <v>0</v>
      </c>
      <c r="S194">
        <f>IFERROR(VLOOKUP($C194,武器!$1:$998,COLUMN(P$1),FALSE),"")</f>
        <v>0</v>
      </c>
      <c r="T194">
        <f>IFERROR(VLOOKUP($C194,武器!$1:$998,COLUMN(Q$1),FALSE),"")</f>
        <v>0</v>
      </c>
      <c r="U194">
        <f>IFERROR(VLOOKUP($C194,武器!$1:$998,COLUMN(R$1),FALSE),"")</f>
        <v>0</v>
      </c>
      <c r="V194">
        <f>IFERROR(VLOOKUP($C194,武器!$1:$998,COLUMN(Q$1),FALSE),"")</f>
        <v>0</v>
      </c>
      <c r="W194">
        <f>IFERROR(VLOOKUP($C194,武器!$1:$998,COLUMN(T$1),FALSE),"")</f>
        <v>0</v>
      </c>
      <c r="Y194" t="str">
        <f>IFERROR(VLOOKUP($C194,武器!$1:$998,COLUMN(U$1),FALSE),"")</f>
        <v>足</v>
      </c>
      <c r="Z194">
        <f>IFERROR(ROUNDUP(VLOOKUP($C194,武器!$1:$998,COLUMN(O$1),FALSE)*VLOOKUP($D194,素材!$1:$1016,COLUMN(E$1),FALSE),1),"")</f>
        <v>3</v>
      </c>
      <c r="AA194">
        <f>IF(ISNUMBER(SEARCH(SUBSTITUTE(AA$1,RIGHT(AA$1,2),""),VLOOKUP($D194,素材!$1:$1016,COLUMN($F$1),FALSE))),VLOOKUP($C194,武器!$1:$998,COLUMN($O$1),FALSE)*VLOOKUP($D194,素材!$1:$1016,COLUMN($E$1),FALSE)/(LEN(VLOOKUP($D194,素材!$1:$1016,COLUMN($F$1),FALSE)) - LEN(SUBSTITUTE(VLOOKUP($D194,素材!$1:$1016,COLUMN($F$1),FALSE), "・", 0)) + 1), 0)</f>
        <v>0</v>
      </c>
      <c r="AB194">
        <f>IF(ISNUMBER(SEARCH(SUBSTITUTE(AB$1,RIGHT(AB$1,2),""),VLOOKUP($D194,素材!$1:$1016,COLUMN($F$1),FALSE))),VLOOKUP($C194,武器!$1:$998,COLUMN($O$1),FALSE)*VLOOKUP($D194,素材!$1:$1016,COLUMN($E$1),FALSE)/(LEN(VLOOKUP($D194,素材!$1:$1016,COLUMN($F$1),FALSE)) - LEN(SUBSTITUTE(VLOOKUP($D194,素材!$1:$1016,COLUMN($F$1),FALSE), "・", 0)) + 1), 0)</f>
        <v>0</v>
      </c>
      <c r="AC194">
        <f>IF(ISNUMBER(SEARCH(SUBSTITUTE(AC$1,RIGHT(AC$1,2),""),VLOOKUP($D194,素材!$1:$1016,COLUMN($F$1),FALSE))),VLOOKUP($C194,武器!$1:$998,COLUMN($O$1),FALSE)*VLOOKUP($D194,素材!$1:$1016,COLUMN($E$1),FALSE)/(LEN(VLOOKUP($D194,素材!$1:$1016,COLUMN($F$1),FALSE)) - LEN(SUBSTITUTE(VLOOKUP($D194,素材!$1:$1016,COLUMN($F$1),FALSE), "・", 0)) + 1), 0)</f>
        <v>0</v>
      </c>
      <c r="AD194">
        <f>IF(ISNUMBER(SEARCH(SUBSTITUTE(AD$1,RIGHT(AD$1,2),""),VLOOKUP($D194,素材!$1:$1016,COLUMN($F$1),FALSE))),VLOOKUP($C194,武器!$1:$998,COLUMN($O$1),FALSE)*VLOOKUP($D194,素材!$1:$1016,COLUMN($E$1),FALSE)/(LEN(VLOOKUP($D194,素材!$1:$1016,COLUMN($F$1),FALSE)) - LEN(SUBSTITUTE(VLOOKUP($D194,素材!$1:$1016,COLUMN($F$1),FALSE), "・", 0)) + 1), 0)</f>
        <v>0</v>
      </c>
      <c r="AE194">
        <f>IF(ISNUMBER(SEARCH(SUBSTITUTE(AE$1,RIGHT(AE$1,2),""),VLOOKUP($D194,素材!$1:$1016,COLUMN($F$1),FALSE))),VLOOKUP($C194,武器!$1:$998,COLUMN($O$1),FALSE)*VLOOKUP($D194,素材!$1:$1016,COLUMN($E$1),FALSE)/(LEN(VLOOKUP($D194,素材!$1:$1016,COLUMN($F$1),FALSE)) - LEN(SUBSTITUTE(VLOOKUP($D194,素材!$1:$1016,COLUMN($F$1),FALSE), "・", 0)) + 1), 0)</f>
        <v>0</v>
      </c>
      <c r="AF194">
        <f>IF(ISNUMBER(SEARCH(SUBSTITUTE(AF$1,RIGHT(AF$1,2),""),VLOOKUP($D194,素材!$1:$1016,COLUMN($F$1),FALSE))),VLOOKUP($C194,武器!$1:$998,COLUMN($O$1),FALSE)*VLOOKUP($D194,素材!$1:$1016,COLUMN($E$1),FALSE)/(LEN(VLOOKUP($D194,素材!$1:$1016,COLUMN($F$1),FALSE)) - LEN(SUBSTITUTE(VLOOKUP($D194,素材!$1:$1016,COLUMN($F$1),FALSE), "・", 0)) + 1), 0)</f>
        <v>0</v>
      </c>
      <c r="AG194">
        <f>IF(ISNUMBER(SEARCH(SUBSTITUTE(AG$1,RIGHT(AG$1,2),""),VLOOKUP($D194,素材!$1:$1016,COLUMN($F$1),FALSE))),VLOOKUP($C194,武器!$1:$998,COLUMN($O$1),FALSE)*VLOOKUP($D194,素材!$1:$1016,COLUMN($E$1),FALSE)/(LEN(VLOOKUP($D194,素材!$1:$1016,COLUMN($F$1),FALSE)) - LEN(SUBSTITUTE(VLOOKUP($D194,素材!$1:$1016,COLUMN($F$1),FALSE), "・", 0)) + 1), 0)</f>
        <v>3</v>
      </c>
      <c r="AH194">
        <f>IF(ISNUMBER(SEARCH(SUBSTITUTE(AH$1,RIGHT(AH$1,2),""),VLOOKUP($D194,素材!$1:$1016,COLUMN($F$1),FALSE))),VLOOKUP($C194,武器!$1:$998,COLUMN($O$1),FALSE)*VLOOKUP($D194,素材!$1:$1016,COLUMN($E$1),FALSE)/(LEN(VLOOKUP($D194,素材!$1:$1016,COLUMN($F$1),FALSE)) - LEN(SUBSTITUTE(VLOOKUP($D194,素材!$1:$1016,COLUMN($F$1),FALSE), "・", 0)) + 1), 0)</f>
        <v>0</v>
      </c>
      <c r="AI194">
        <f>IF(ISNUMBER(SEARCH(SUBSTITUTE(AI$1,RIGHT(AI$1,2),""),VLOOKUP($D194,素材!$1:$1016,COLUMN($F$1),FALSE))),VLOOKUP($C194,武器!$1:$998,COLUMN($O$1),FALSE)*VLOOKUP($D194,素材!$1:$1016,COLUMN($E$1),FALSE)/(LEN(VLOOKUP($D194,素材!$1:$1016,COLUMN($F$1),FALSE)) - LEN(SUBSTITUTE(VLOOKUP($D194,素材!$1:$1016,COLUMN($F$1),FALSE), "・", 0)) + 1), 0)</f>
        <v>0</v>
      </c>
      <c r="AJ194">
        <f>IF(ISNUMBER(SEARCH(SUBSTITUTE(AJ$1,RIGHT(AJ$1,2),""),VLOOKUP($D194,素材!$1:$1016,COLUMN($F$1),FALSE))),VLOOKUP($C194,武器!$1:$998,COLUMN($O$1),FALSE)*VLOOKUP($D194,素材!$1:$1016,COLUMN($E$1),FALSE)/(LEN(VLOOKUP($D194,素材!$1:$1016,COLUMN($F$1),FALSE)) - LEN(SUBSTITUTE(VLOOKUP($D194,素材!$1:$1016,COLUMN($F$1),FALSE), "・", 0)) + 1), 0)</f>
        <v>0</v>
      </c>
      <c r="AK194">
        <f>IF(ISNUMBER(SEARCH(SUBSTITUTE(AK$1,RIGHT(AK$1,2),""),VLOOKUP($D194,素材!$1:$1016,COLUMN($F$1),FALSE))),VLOOKUP($C194,武器!$1:$998,COLUMN($O$1),FALSE)*VLOOKUP($D194,素材!$1:$1016,COLUMN($E$1),FALSE)/(LEN(VLOOKUP($D194,素材!$1:$1016,COLUMN($F$1),FALSE)) - LEN(SUBSTITUTE(VLOOKUP($D194,素材!$1:$1016,COLUMN($F$1),FALSE), "・", 0)) + 1), 0)</f>
        <v>0</v>
      </c>
      <c r="AL194">
        <f>IF(ISNUMBER(SEARCH(SUBSTITUTE(AL$1,RIGHT(AL$1,2),""),VLOOKUP($D194,素材!$1:$1016,COLUMN($F$1),FALSE))),VLOOKUP($C194,武器!$1:$998,COLUMN($O$1),FALSE)*VLOOKUP($D194,素材!$1:$1016,COLUMN($E$1),FALSE)/(LEN(VLOOKUP($D194,素材!$1:$1016,COLUMN($F$1),FALSE)) - LEN(SUBSTITUTE(VLOOKUP($D194,素材!$1:$1016,COLUMN($F$1),FALSE), "・", 0)) + 1), 0)</f>
        <v>0</v>
      </c>
      <c r="AM194">
        <f>IF(ISNUMBER(SEARCH(SUBSTITUTE(AM$1,RIGHT(AM$1,2),""),VLOOKUP($D194,素材!$1:$1016,COLUMN($F$1),FALSE))),VLOOKUP($C194,武器!$1:$998,COLUMN($O$1),FALSE)*VLOOKUP($D194,素材!$1:$1016,COLUMN($E$1),FALSE)/(LEN(VLOOKUP($D194,素材!$1:$1016,COLUMN($F$1),FALSE)) - LEN(SUBSTITUTE(VLOOKUP($D194,素材!$1:$1016,COLUMN($F$1),FALSE), "・", 0)) + 1), 0)</f>
        <v>0</v>
      </c>
      <c r="AN194">
        <f>IF(ISNUMBER(SEARCH(SUBSTITUTE(AN$1,RIGHT(AN$1,2),""),VLOOKUP($D194,素材!$1:$1016,COLUMN($F$1),FALSE))),VLOOKUP($C194,武器!$1:$998,COLUMN($O$1),FALSE)*VLOOKUP($D194,素材!$1:$1016,COLUMN($E$1),FALSE)/(LEN(VLOOKUP($D194,素材!$1:$1016,COLUMN($F$1),FALSE)) - LEN(SUBSTITUTE(VLOOKUP($D194,素材!$1:$1016,COLUMN($F$1),FALSE), "・", 0)) + 1), 0)</f>
        <v>0</v>
      </c>
      <c r="AO194">
        <f>IF(ISNUMBER(SEARCH(SUBSTITUTE(AO$1,RIGHT(AO$1,2),""),VLOOKUP($D194,素材!$1:$1016,COLUMN($F$1),FALSE))),VLOOKUP($C194,武器!$1:$998,COLUMN($O$1),FALSE)*VLOOKUP($D194,素材!$1:$1016,COLUMN($E$1),FALSE)/(LEN(VLOOKUP($D194,素材!$1:$1016,COLUMN($F$1),FALSE)) - LEN(SUBSTITUTE(VLOOKUP($D194,素材!$1:$1016,COLUMN($F$1),FALSE), "・", 0)) + 1), 0)</f>
        <v>0</v>
      </c>
      <c r="AP194">
        <f>IF(ISNUMBER(SEARCH(SUBSTITUTE(AP$1,RIGHT(AP$1,2),""),VLOOKUP($D194,素材!$1:$1016,COLUMN($F$1),FALSE))),VLOOKUP($C194,武器!$1:$998,COLUMN($O$1),FALSE)*VLOOKUP($D194,素材!$1:$1016,COLUMN($E$1),FALSE)/(LEN(VLOOKUP($D194,素材!$1:$1016,COLUMN($F$1),FALSE)) - LEN(SUBSTITUTE(VLOOKUP($D194,素材!$1:$1016,COLUMN($F$1),FALSE), "・", 0)) + 1), 0)</f>
        <v>0</v>
      </c>
      <c r="AQ194">
        <f>IF(ISNUMBER(SEARCH(SUBSTITUTE(AQ$1,RIGHT(AQ$1,2),""),VLOOKUP($D194,素材!$1:$1016,COLUMN($F$1),FALSE))),VLOOKUP($C194,武器!$1:$998,COLUMN($O$1),FALSE)*VLOOKUP($D194,素材!$1:$1016,COLUMN($E$1),FALSE)/(LEN(VLOOKUP($D194,素材!$1:$1016,COLUMN($F$1),FALSE)) - LEN(SUBSTITUTE(VLOOKUP($D194,素材!$1:$1016,COLUMN($F$1),FALSE), "・", 0)) + 1), 0)</f>
        <v>0</v>
      </c>
      <c r="AR194">
        <f>IF(ISNUMBER(SEARCH(SUBSTITUTE(AR$1,RIGHT(AR$1,2),""),VLOOKUP($D194,素材!$1:$1016,COLUMN($F$1),FALSE))),VLOOKUP($C194,武器!$1:$998,COLUMN($O$1),FALSE)*VLOOKUP($D194,素材!$1:$1016,COLUMN($E$1),FALSE)/(LEN(VLOOKUP($D194,素材!$1:$1016,COLUMN($F$1),FALSE)) - LEN(SUBSTITUTE(VLOOKUP($D194,素材!$1:$1016,COLUMN($F$1),FALSE), "・", 0)) + 1), 0)</f>
        <v>0</v>
      </c>
      <c r="AS194">
        <f>IF(ISNUMBER(SEARCH(SUBSTITUTE(AS$1,RIGHT(AS$1,2),""),VLOOKUP($D194,素材!$1:$1016,COLUMN($F$1),FALSE))),VLOOKUP($C194,武器!$1:$998,COLUMN($O$1),FALSE)*VLOOKUP($D194,素材!$1:$1016,COLUMN($E$1),FALSE)/(LEN(VLOOKUP($D194,素材!$1:$1016,COLUMN($F$1),FALSE)) - LEN(SUBSTITUTE(VLOOKUP($D194,素材!$1:$1016,COLUMN($F$1),FALSE), "・", 0)) + 1), 0)</f>
        <v>0</v>
      </c>
      <c r="AT194">
        <f>IF(ISNUMBER(SEARCH(SUBSTITUTE(AT$1,RIGHT(AT$1,2),""),VLOOKUP($D194,素材!$1:$1016,COLUMN($F$1),FALSE))),VLOOKUP($C194,武器!$1:$998,COLUMN($O$1),FALSE)*VLOOKUP($D194,素材!$1:$1016,COLUMN($E$1),FALSE)/(LEN(VLOOKUP($D194,素材!$1:$1016,COLUMN($F$1),FALSE)) - LEN(SUBSTITUTE(VLOOKUP($D194,素材!$1:$1016,COLUMN($F$1),FALSE), "・", 0)) + 1), 0)</f>
        <v>0</v>
      </c>
      <c r="AU194">
        <f>IF(ISNUMBER(SEARCH(SUBSTITUTE(AU$1,RIGHT(AU$1,2),""),VLOOKUP($D194,素材!$1:$1016,COLUMN($F$1),FALSE))),VLOOKUP($C194,武器!$1:$998,COLUMN($O$1),FALSE)*VLOOKUP($D194,素材!$1:$1016,COLUMN($E$1),FALSE)/(LEN(VLOOKUP($D194,素材!$1:$1016,COLUMN($F$1),FALSE)) - LEN(SUBSTITUTE(VLOOKUP($D194,素材!$1:$1016,COLUMN($F$1),FALSE), "・", 0)) + 1), 0)</f>
        <v>0</v>
      </c>
      <c r="AV194">
        <f>IF(ISNUMBER(SEARCH(SUBSTITUTE(AV$1,RIGHT(AV$1,2),""),VLOOKUP($D194,素材!$1:$1016,COLUMN($F$1),FALSE))),VLOOKUP($C194,武器!$1:$998,COLUMN($O$1),FALSE)*VLOOKUP($D194,素材!$1:$1016,COLUMN($E$1),FALSE)/(LEN(VLOOKUP($D194,素材!$1:$1016,COLUMN($F$1),FALSE)) - LEN(SUBSTITUTE(VLOOKUP($D194,素材!$1:$1016,COLUMN($F$1),FALSE), "・", 0)) + 1), 0)</f>
        <v>0</v>
      </c>
      <c r="AW194">
        <f>IF(ISNUMBER(SEARCH(SUBSTITUTE(AW$1,RIGHT(AW$1,2),""),VLOOKUP($D194,素材!$1:$1016,COLUMN($F$1),FALSE))),VLOOKUP($C194,武器!$1:$998,COLUMN($O$1),FALSE)*VLOOKUP($D194,素材!$1:$1016,COLUMN($E$1),FALSE)/(LEN(VLOOKUP($D194,素材!$1:$1016,COLUMN($F$1),FALSE)) - LEN(SUBSTITUTE(VLOOKUP($D194,素材!$1:$1016,COLUMN($F$1),FALSE), "・", 0)) + 1), 0)</f>
        <v>0</v>
      </c>
      <c r="AX194">
        <f>IF(ISNUMBER(SEARCH(SUBSTITUTE(AX$1,RIGHT(AX$1,2),""),VLOOKUP($D194,素材!$1:$1016,COLUMN($F$1),FALSE))),VLOOKUP($C194,武器!$1:$998,COLUMN($O$1),FALSE)*VLOOKUP($D194,素材!$1:$1016,COLUMN($E$1),FALSE)/(LEN(VLOOKUP($D194,素材!$1:$1016,COLUMN($F$1),FALSE)) - LEN(SUBSTITUTE(VLOOKUP($D194,素材!$1:$1016,COLUMN($F$1),FALSE), "・", 0)) + 1), 0)</f>
        <v>0</v>
      </c>
      <c r="AY194">
        <f>IF(ISNUMBER(SEARCH(SUBSTITUTE(AY$1,RIGHT(AY$1,2),""),VLOOKUP($D194,素材!$1:$1016,COLUMN($F$1),FALSE))),VLOOKUP($C194,武器!$1:$998,COLUMN($O$1),FALSE)*VLOOKUP($D194,素材!$1:$1016,COLUMN($E$1),FALSE)/(LEN(VLOOKUP($D194,素材!$1:$1016,COLUMN($F$1),FALSE)) - LEN(SUBSTITUTE(VLOOKUP($D194,素材!$1:$1016,COLUMN($F$1),FALSE), "・", 0)) + 1), 0)</f>
        <v>0</v>
      </c>
      <c r="AZ194">
        <f>IF(ISNUMBER(SEARCH(SUBSTITUTE(AZ$1,RIGHT(AZ$1,2),""),VLOOKUP($D194,素材!$1:$1016,COLUMN($F$1),FALSE))),VLOOKUP($C194,武器!$1:$998,COLUMN($O$1),FALSE)*VLOOKUP($D194,素材!$1:$1016,COLUMN($E$1),FALSE)/(LEN(VLOOKUP($D194,素材!$1:$1016,COLUMN($F$1),FALSE)) - LEN(SUBSTITUTE(VLOOKUP($D194,素材!$1:$1016,COLUMN($F$1),FALSE), "・", 0)) + 1), 0)</f>
        <v>0</v>
      </c>
      <c r="BA194">
        <f>IF(ISNUMBER(SEARCH(SUBSTITUTE(BA$1,RIGHT(BA$1,2),""),VLOOKUP($D194,素材!$1:$1016,COLUMN($F$1),FALSE))),VLOOKUP($C194,武器!$1:$998,COLUMN($O$1),FALSE)*VLOOKUP($D194,素材!$1:$1016,COLUMN($E$1),FALSE)/(LEN(VLOOKUP($D194,素材!$1:$1016,COLUMN($F$1),FALSE)) - LEN(SUBSTITUTE(VLOOKUP($D194,素材!$1:$1016,COLUMN($F$1),FALSE), "・", 0)) + 1), 0)</f>
        <v>0</v>
      </c>
      <c r="BB194">
        <f>IF(ISNUMBER(SEARCH(SUBSTITUTE(BB$1,RIGHT(BB$1,2),""),VLOOKUP($D194,素材!$1:$1016,COLUMN($F$1),FALSE))),VLOOKUP($C194,武器!$1:$998,COLUMN($O$1),FALSE)*VLOOKUP($D194,素材!$1:$1016,COLUMN($E$1),FALSE)/(LEN(VLOOKUP($D194,素材!$1:$1016,COLUMN($F$1),FALSE)) - LEN(SUBSTITUTE(VLOOKUP($D194,素材!$1:$1016,COLUMN($F$1),FALSE), "・", 0)) + 1), 0)</f>
        <v>0</v>
      </c>
      <c r="BC194">
        <f>IF(ISNUMBER(SEARCH(SUBSTITUTE(BC$1,RIGHT(BC$1,2),""),VLOOKUP($D194,素材!$1:$1016,COLUMN($F$1),FALSE))),VLOOKUP($C194,武器!$1:$998,COLUMN($O$1),FALSE)*VLOOKUP($D194,素材!$1:$1016,COLUMN($E$1),FALSE)/(LEN(VLOOKUP($D194,素材!$1:$1016,COLUMN($F$1),FALSE)) - LEN(SUBSTITUTE(VLOOKUP($D194,素材!$1:$1016,COLUMN($F$1),FALSE), "・", 0)) + 1), 0)</f>
        <v>0</v>
      </c>
      <c r="BD194">
        <f>IF(ISNUMBER(SEARCH(SUBSTITUTE(BD$1,RIGHT(BD$1,2),""),VLOOKUP($D194,素材!$1:$1016,COLUMN($F$1),FALSE))),VLOOKUP($C194,武器!$1:$998,COLUMN($O$1),FALSE)*VLOOKUP($D194,素材!$1:$1016,COLUMN($E$1),FALSE)/(LEN(VLOOKUP($D194,素材!$1:$1016,COLUMN($F$1),FALSE)) - LEN(SUBSTITUTE(VLOOKUP($D194,素材!$1:$1016,COLUMN($F$1),FALSE), "・", 0)) + 1), 0)</f>
        <v>0</v>
      </c>
      <c r="BE194">
        <f>IF(ISNUMBER(SEARCH(SUBSTITUTE(BE$1,RIGHT(BE$1,2),""),VLOOKUP($D194,素材!$1:$1016,COLUMN($F$1),FALSE))),VLOOKUP($C194,武器!$1:$998,COLUMN($O$1),FALSE)*VLOOKUP($D194,素材!$1:$1016,COLUMN($E$1),FALSE)/(LEN(VLOOKUP($D194,素材!$1:$1016,COLUMN($F$1),FALSE)) - LEN(SUBSTITUTE(VLOOKUP($D194,素材!$1:$1016,COLUMN($F$1),FALSE), "・", 0)) + 1), 0)</f>
        <v>0</v>
      </c>
      <c r="CL194">
        <f>SUM(G194:I194)</f>
        <v>20</v>
      </c>
      <c r="CM194" s="22" t="str">
        <f>IF(E194="武器",IF(J194-1&gt;SUM(G194:I194),"盾",IF(MAX(G194:I194)=G194,"切断",IF(MAX(G194:I194)=H194,"貫通",IF(MAX(G194:I194)=I194,"打撃","射撃")))),E194)&amp;".webp"</f>
        <v>足.webp</v>
      </c>
      <c r="CN194">
        <f>IFERROR(VLOOKUP($C194,武器!$1:$998,COLUMN(V$1),FALSE)*VLOOKUP($D194,素材!$1:$1016,COLUMN(N$1),FALSE)+IF(CI194="",0,VLOOKUP($CI194,装強!$1:$1008,COLUMN($CK$1),FALSE)),"")</f>
        <v>1500</v>
      </c>
      <c r="CO194">
        <f>VLOOKUP(D194,素材!$A:$O,COLUMN(素材!O$1),FALSE)</f>
        <v>0</v>
      </c>
      <c r="CP194" t="str">
        <f>VLOOKUP(C194,武器!$A:$W,COLUMN(武器!W$1),FALSE)</f>
        <v>速度 隠密 軽業 体幹</v>
      </c>
      <c r="CR194" t="str">
        <f t="shared" si="18"/>
        <v>e_194</v>
      </c>
      <c r="CS194">
        <f t="shared" si="22"/>
        <v>150000</v>
      </c>
    </row>
    <row r="195" spans="1:97" outlineLevel="1" x14ac:dyDescent="0.4">
      <c r="A195" t="str">
        <f t="shared" si="28"/>
        <v>冷気鉄の短刀</v>
      </c>
      <c r="B195" t="str">
        <f>IFERROR(VLOOKUP($D195,素材!$1:$1016,COLUMN($B$1),FALSE)&amp;"・"&amp;VLOOKUP($C195,武器!$1:$998,COLUMN(B$1),FALSE),"")</f>
        <v>ドゥララン・ナイフ</v>
      </c>
      <c r="C195" s="24" t="s">
        <v>242</v>
      </c>
      <c r="D195" s="24" t="s">
        <v>243</v>
      </c>
      <c r="E195" t="str">
        <f>IFERROR(VLOOKUP(C195,武器!$1:$998,COLUMN(C$1),FALSE),"")</f>
        <v>武器</v>
      </c>
      <c r="F195">
        <f>IFERROR(ROUNDDOWN((VLOOKUP($C195,武器!$1:$998,COLUMN(D$1),FALSE)+IFERROR(VLOOKUP($CI195,装強!$1:$999,COLUMN(F$1),FALSE),0))*VLOOKUP($D195,素材!$1:$1016,COLUMN(D$1),FALSE),0),"")</f>
        <v>100</v>
      </c>
      <c r="G195">
        <f>IFERROR(ROUNDDOWN((VLOOKUP($C195,武器!$1:$998,COLUMN(E$1),FALSE)+IFERROR(VLOOKUP($CI195,装強!$1:$999,COLUMN(G$1),FALSE),0))*VLOOKUP($D195,素材!$1:$1016,COLUMN($E$1),FALSE),0),"")</f>
        <v>10</v>
      </c>
      <c r="H195">
        <f>IFERROR(ROUNDDOWN((VLOOKUP($C195,武器!$1:$998,COLUMN(F$1),FALSE)+IFERROR(VLOOKUP($CI195,装強!$1:$999,COLUMN(H$1),FALSE),0))*VLOOKUP($D195,素材!$1:$1016,COLUMN($E$1),FALSE),0),"")</f>
        <v>8</v>
      </c>
      <c r="I195">
        <f>IFERROR(ROUNDDOWN((VLOOKUP($C195,武器!$1:$998,COLUMN(G$1),FALSE)+IFERROR(VLOOKUP($CI195,装強!$1:$999,COLUMN(I$1),FALSE),0))*VLOOKUP($D195,素材!$1:$1016,COLUMN($E$1),FALSE),0),"")</f>
        <v>2</v>
      </c>
      <c r="J195">
        <f>IFERROR(ROUNDDOWN((VLOOKUP($C195,武器!$1:$998,COLUMN(H$1),FALSE)+IFERROR(VLOOKUP($CI195,装強!$1:$999,COLUMN(J$1),FALSE),0))*VLOOKUP($D195,素材!$1:$1016,COLUMN($E$1),FALSE),0),"")</f>
        <v>13</v>
      </c>
      <c r="K195">
        <f>IFERROR(ROUNDDOWN((VLOOKUP($C195,武器!$1:$998,COLUMN(I$1),FALSE)+IFERROR(VLOOKUP($CI195,装強!$1:$999,COLUMN(K$1),FALSE),0))*VLOOKUP($D195,素材!$1:$1016,COLUMN($E$1),FALSE),0),"")</f>
        <v>0</v>
      </c>
      <c r="L195" t="str">
        <f>IFERROR(VLOOKUP($D195,素材!$1:$1016,COLUMN($F$1),FALSE),"")</f>
        <v>氷</v>
      </c>
      <c r="M195">
        <f>IFERROR(VLOOKUP($C195,武器!$1:$998,COLUMN(AA$1),FALSE)*VLOOKUP($D195,素材!$1:$1016,COLUMN($G$1),FALSE),"")</f>
        <v>35</v>
      </c>
      <c r="N195">
        <f>IFERROR(VLOOKUP($C195,武器!$1:$998,COLUMN(I$1),FALSE),"")</f>
        <v>0</v>
      </c>
      <c r="O195" s="23">
        <f>IFERROR((VLOOKUP($C195,武器!$1:$998,COLUMN(K$1),FALSE)+VLOOKUP($D195,素材!$1:$1016,COLUMN(H$1),FALSE))*100+IFERROR(VLOOKUP($CI195,装強!$1:$999,COLUMN(O$1),FALSE),0),"")</f>
        <v>10</v>
      </c>
      <c r="P195" s="23">
        <f>IFERROR((VLOOKUP($C195,武器!$1:$998,COLUMN(L$1),FALSE)+VLOOKUP($D195,素材!$1:$1016,COLUMN(I$1),FALSE))*100+IFERROR(VLOOKUP($CI195,装強!$1:$999,COLUMN(P$1),FALSE),0),"")</f>
        <v>175</v>
      </c>
      <c r="Q195">
        <f>IFERROR(ROUNDUP(VLOOKUP($C195,武器!$1:$998,COLUMN(M$1),FALSE)*(VLOOKUP($D195,素材!$1:$1002,COLUMN(D$1),FALSE)/100),1),"")</f>
        <v>0</v>
      </c>
      <c r="R195">
        <f>IFERROR(ROUNDUP(VLOOKUP($C195,武器!$1:$998,COLUMN(N$1),FALSE)*(VLOOKUP($D195,素材!$1:$1002,COLUMN(D$1),FALSE)/100),1),"")</f>
        <v>0</v>
      </c>
      <c r="S195">
        <f>IFERROR(VLOOKUP($C195,武器!$1:$998,COLUMN(P$1),FALSE),"")</f>
        <v>0</v>
      </c>
      <c r="T195">
        <f>IFERROR(VLOOKUP($C195,武器!$1:$998,COLUMN(Q$1),FALSE),"")</f>
        <v>0</v>
      </c>
      <c r="U195">
        <f>IFERROR(VLOOKUP($C195,武器!$1:$998,COLUMN(R$1),FALSE),"")</f>
        <v>0</v>
      </c>
      <c r="V195">
        <f>IFERROR(VLOOKUP($C195,武器!$1:$998,COLUMN(Q$1),FALSE),"")</f>
        <v>0</v>
      </c>
      <c r="W195" t="str">
        <f>IFERROR(VLOOKUP($C195,武器!$1:$998,COLUMN(T$1),FALSE),"")</f>
        <v>A</v>
      </c>
      <c r="Y195" t="str">
        <f>IFERROR(VLOOKUP($C195,武器!$1:$998,COLUMN(U$1),FALSE),"")</f>
        <v>暗殺強化,片手適正Ⅱ</v>
      </c>
      <c r="Z195">
        <f>IFERROR(ROUNDUP(VLOOKUP($C195,武器!$1:$998,COLUMN(O$1),FALSE)*VLOOKUP($D195,素材!$1:$1016,COLUMN(E$1),FALSE),1),"")</f>
        <v>0</v>
      </c>
      <c r="AA195">
        <f>IF(ISNUMBER(SEARCH(SUBSTITUTE(AA$1,RIGHT(AA$1,2),""),VLOOKUP($D195,素材!$1:$1016,COLUMN($F$1),FALSE))),VLOOKUP($C195,武器!$1:$998,COLUMN($O$1),FALSE)*VLOOKUP($D195,素材!$1:$1016,COLUMN($E$1),FALSE)/(LEN(VLOOKUP($D195,素材!$1:$1016,COLUMN($F$1),FALSE)) - LEN(SUBSTITUTE(VLOOKUP($D195,素材!$1:$1016,COLUMN($F$1),FALSE), "・", 0)) + 1), 0)</f>
        <v>0</v>
      </c>
      <c r="AB195">
        <f>IF(ISNUMBER(SEARCH(SUBSTITUTE(AB$1,RIGHT(AB$1,2),""),VLOOKUP($D195,素材!$1:$1016,COLUMN($F$1),FALSE))),VLOOKUP($C195,武器!$1:$998,COLUMN($O$1),FALSE)*VLOOKUP($D195,素材!$1:$1016,COLUMN($E$1),FALSE)/(LEN(VLOOKUP($D195,素材!$1:$1016,COLUMN($F$1),FALSE)) - LEN(SUBSTITUTE(VLOOKUP($D195,素材!$1:$1016,COLUMN($F$1),FALSE), "・", 0)) + 1), 0)</f>
        <v>0</v>
      </c>
      <c r="AC195">
        <f>IF(ISNUMBER(SEARCH(SUBSTITUTE(AC$1,RIGHT(AC$1,2),""),VLOOKUP($D195,素材!$1:$1016,COLUMN($F$1),FALSE))),VLOOKUP($C195,武器!$1:$998,COLUMN($O$1),FALSE)*VLOOKUP($D195,素材!$1:$1016,COLUMN($E$1),FALSE)/(LEN(VLOOKUP($D195,素材!$1:$1016,COLUMN($F$1),FALSE)) - LEN(SUBSTITUTE(VLOOKUP($D195,素材!$1:$1016,COLUMN($F$1),FALSE), "・", 0)) + 1), 0)</f>
        <v>0</v>
      </c>
      <c r="AD195">
        <f>IF(ISNUMBER(SEARCH(SUBSTITUTE(AD$1,RIGHT(AD$1,2),""),VLOOKUP($D195,素材!$1:$1016,COLUMN($F$1),FALSE))),VLOOKUP($C195,武器!$1:$998,COLUMN($O$1),FALSE)*VLOOKUP($D195,素材!$1:$1016,COLUMN($E$1),FALSE)/(LEN(VLOOKUP($D195,素材!$1:$1016,COLUMN($F$1),FALSE)) - LEN(SUBSTITUTE(VLOOKUP($D195,素材!$1:$1016,COLUMN($F$1),FALSE), "・", 0)) + 1), 0)</f>
        <v>0</v>
      </c>
      <c r="AE195">
        <f>IF(ISNUMBER(SEARCH(SUBSTITUTE(AE$1,RIGHT(AE$1,2),""),VLOOKUP($D195,素材!$1:$1016,COLUMN($F$1),FALSE))),VLOOKUP($C195,武器!$1:$998,COLUMN($O$1),FALSE)*VLOOKUP($D195,素材!$1:$1016,COLUMN($E$1),FALSE)/(LEN(VLOOKUP($D195,素材!$1:$1016,COLUMN($F$1),FALSE)) - LEN(SUBSTITUTE(VLOOKUP($D195,素材!$1:$1016,COLUMN($F$1),FALSE), "・", 0)) + 1), 0)</f>
        <v>0</v>
      </c>
      <c r="AF195">
        <f>IF(ISNUMBER(SEARCH(SUBSTITUTE(AF$1,RIGHT(AF$1,2),""),VLOOKUP($D195,素材!$1:$1016,COLUMN($F$1),FALSE))),VLOOKUP($C195,武器!$1:$998,COLUMN($O$1),FALSE)*VLOOKUP($D195,素材!$1:$1016,COLUMN($E$1),FALSE)/(LEN(VLOOKUP($D195,素材!$1:$1016,COLUMN($F$1),FALSE)) - LEN(SUBSTITUTE(VLOOKUP($D195,素材!$1:$1016,COLUMN($F$1),FALSE), "・", 0)) + 1), 0)</f>
        <v>0</v>
      </c>
      <c r="AG195">
        <f>IF(ISNUMBER(SEARCH(SUBSTITUTE(AG$1,RIGHT(AG$1,2),""),VLOOKUP($D195,素材!$1:$1016,COLUMN($F$1),FALSE))),VLOOKUP($C195,武器!$1:$998,COLUMN($O$1),FALSE)*VLOOKUP($D195,素材!$1:$1016,COLUMN($E$1),FALSE)/(LEN(VLOOKUP($D195,素材!$1:$1016,COLUMN($F$1),FALSE)) - LEN(SUBSTITUTE(VLOOKUP($D195,素材!$1:$1016,COLUMN($F$1),FALSE), "・", 0)) + 1), 0)</f>
        <v>0</v>
      </c>
      <c r="AH195">
        <f>IF(ISNUMBER(SEARCH(SUBSTITUTE(AH$1,RIGHT(AH$1,2),""),VLOOKUP($D195,素材!$1:$1016,COLUMN($F$1),FALSE))),VLOOKUP($C195,武器!$1:$998,COLUMN($O$1),FALSE)*VLOOKUP($D195,素材!$1:$1016,COLUMN($E$1),FALSE)/(LEN(VLOOKUP($D195,素材!$1:$1016,COLUMN($F$1),FALSE)) - LEN(SUBSTITUTE(VLOOKUP($D195,素材!$1:$1016,COLUMN($F$1),FALSE), "・", 0)) + 1), 0)</f>
        <v>0</v>
      </c>
      <c r="AI195">
        <f>IF(ISNUMBER(SEARCH(SUBSTITUTE(AI$1,RIGHT(AI$1,2),""),VLOOKUP($D195,素材!$1:$1016,COLUMN($F$1),FALSE))),VLOOKUP($C195,武器!$1:$998,COLUMN($O$1),FALSE)*VLOOKUP($D195,素材!$1:$1016,COLUMN($E$1),FALSE)/(LEN(VLOOKUP($D195,素材!$1:$1016,COLUMN($F$1),FALSE)) - LEN(SUBSTITUTE(VLOOKUP($D195,素材!$1:$1016,COLUMN($F$1),FALSE), "・", 0)) + 1), 0)</f>
        <v>0</v>
      </c>
      <c r="AJ195">
        <f>IF(ISNUMBER(SEARCH(SUBSTITUTE(AJ$1,RIGHT(AJ$1,2),""),VLOOKUP($D195,素材!$1:$1016,COLUMN($F$1),FALSE))),VLOOKUP($C195,武器!$1:$998,COLUMN($O$1),FALSE)*VLOOKUP($D195,素材!$1:$1016,COLUMN($E$1),FALSE)/(LEN(VLOOKUP($D195,素材!$1:$1016,COLUMN($F$1),FALSE)) - LEN(SUBSTITUTE(VLOOKUP($D195,素材!$1:$1016,COLUMN($F$1),FALSE), "・", 0)) + 1), 0)</f>
        <v>0</v>
      </c>
      <c r="AK195">
        <f>IF(ISNUMBER(SEARCH(SUBSTITUTE(AK$1,RIGHT(AK$1,2),""),VLOOKUP($D195,素材!$1:$1016,COLUMN($F$1),FALSE))),VLOOKUP($C195,武器!$1:$998,COLUMN($O$1),FALSE)*VLOOKUP($D195,素材!$1:$1016,COLUMN($E$1),FALSE)/(LEN(VLOOKUP($D195,素材!$1:$1016,COLUMN($F$1),FALSE)) - LEN(SUBSTITUTE(VLOOKUP($D195,素材!$1:$1016,COLUMN($F$1),FALSE), "・", 0)) + 1), 0)</f>
        <v>0</v>
      </c>
      <c r="AL195">
        <f>IF(ISNUMBER(SEARCH(SUBSTITUTE(AL$1,RIGHT(AL$1,2),""),VLOOKUP($D195,素材!$1:$1016,COLUMN($F$1),FALSE))),VLOOKUP($C195,武器!$1:$998,COLUMN($O$1),FALSE)*VLOOKUP($D195,素材!$1:$1016,COLUMN($E$1),FALSE)/(LEN(VLOOKUP($D195,素材!$1:$1016,COLUMN($F$1),FALSE)) - LEN(SUBSTITUTE(VLOOKUP($D195,素材!$1:$1016,COLUMN($F$1),FALSE), "・", 0)) + 1), 0)</f>
        <v>0</v>
      </c>
      <c r="AM195">
        <f>IF(ISNUMBER(SEARCH(SUBSTITUTE(AM$1,RIGHT(AM$1,2),""),VLOOKUP($D195,素材!$1:$1016,COLUMN($F$1),FALSE))),VLOOKUP($C195,武器!$1:$998,COLUMN($O$1),FALSE)*VLOOKUP($D195,素材!$1:$1016,COLUMN($E$1),FALSE)/(LEN(VLOOKUP($D195,素材!$1:$1016,COLUMN($F$1),FALSE)) - LEN(SUBSTITUTE(VLOOKUP($D195,素材!$1:$1016,COLUMN($F$1),FALSE), "・", 0)) + 1), 0)</f>
        <v>0</v>
      </c>
      <c r="AN195">
        <f>IF(ISNUMBER(SEARCH(SUBSTITUTE(AN$1,RIGHT(AN$1,2),""),VLOOKUP($D195,素材!$1:$1016,COLUMN($F$1),FALSE))),VLOOKUP($C195,武器!$1:$998,COLUMN($O$1),FALSE)*VLOOKUP($D195,素材!$1:$1016,COLUMN($E$1),FALSE)/(LEN(VLOOKUP($D195,素材!$1:$1016,COLUMN($F$1),FALSE)) - LEN(SUBSTITUTE(VLOOKUP($D195,素材!$1:$1016,COLUMN($F$1),FALSE), "・", 0)) + 1), 0)</f>
        <v>0</v>
      </c>
      <c r="AO195">
        <f>IF(ISNUMBER(SEARCH(SUBSTITUTE(AO$1,RIGHT(AO$1,2),""),VLOOKUP($D195,素材!$1:$1016,COLUMN($F$1),FALSE))),VLOOKUP($C195,武器!$1:$998,COLUMN($O$1),FALSE)*VLOOKUP($D195,素材!$1:$1016,COLUMN($E$1),FALSE)/(LEN(VLOOKUP($D195,素材!$1:$1016,COLUMN($F$1),FALSE)) - LEN(SUBSTITUTE(VLOOKUP($D195,素材!$1:$1016,COLUMN($F$1),FALSE), "・", 0)) + 1), 0)</f>
        <v>0</v>
      </c>
      <c r="AP195">
        <f>IF(ISNUMBER(SEARCH(SUBSTITUTE(AP$1,RIGHT(AP$1,2),""),VLOOKUP($D195,素材!$1:$1016,COLUMN($F$1),FALSE))),VLOOKUP($C195,武器!$1:$998,COLUMN($O$1),FALSE)*VLOOKUP($D195,素材!$1:$1016,COLUMN($E$1),FALSE)/(LEN(VLOOKUP($D195,素材!$1:$1016,COLUMN($F$1),FALSE)) - LEN(SUBSTITUTE(VLOOKUP($D195,素材!$1:$1016,COLUMN($F$1),FALSE), "・", 0)) + 1), 0)</f>
        <v>0</v>
      </c>
      <c r="AQ195">
        <f>IF(ISNUMBER(SEARCH(SUBSTITUTE(AQ$1,RIGHT(AQ$1,2),""),VLOOKUP($D195,素材!$1:$1016,COLUMN($F$1),FALSE))),VLOOKUP($C195,武器!$1:$998,COLUMN($O$1),FALSE)*VLOOKUP($D195,素材!$1:$1016,COLUMN($E$1),FALSE)/(LEN(VLOOKUP($D195,素材!$1:$1016,COLUMN($F$1),FALSE)) - LEN(SUBSTITUTE(VLOOKUP($D195,素材!$1:$1016,COLUMN($F$1),FALSE), "・", 0)) + 1), 0)</f>
        <v>0</v>
      </c>
      <c r="AR195">
        <f>IF(ISNUMBER(SEARCH(SUBSTITUTE(AR$1,RIGHT(AR$1,2),""),VLOOKUP($D195,素材!$1:$1016,COLUMN($F$1),FALSE))),VLOOKUP($C195,武器!$1:$998,COLUMN($O$1),FALSE)*VLOOKUP($D195,素材!$1:$1016,COLUMN($E$1),FALSE)/(LEN(VLOOKUP($D195,素材!$1:$1016,COLUMN($F$1),FALSE)) - LEN(SUBSTITUTE(VLOOKUP($D195,素材!$1:$1016,COLUMN($F$1),FALSE), "・", 0)) + 1), 0)</f>
        <v>0</v>
      </c>
      <c r="AS195">
        <f>IF(ISNUMBER(SEARCH(SUBSTITUTE(AS$1,RIGHT(AS$1,2),""),VLOOKUP($D195,素材!$1:$1016,COLUMN($F$1),FALSE))),VLOOKUP($C195,武器!$1:$998,COLUMN($O$1),FALSE)*VLOOKUP($D195,素材!$1:$1016,COLUMN($E$1),FALSE)/(LEN(VLOOKUP($D195,素材!$1:$1016,COLUMN($F$1),FALSE)) - LEN(SUBSTITUTE(VLOOKUP($D195,素材!$1:$1016,COLUMN($F$1),FALSE), "・", 0)) + 1), 0)</f>
        <v>0</v>
      </c>
      <c r="AT195">
        <f>IF(ISNUMBER(SEARCH(SUBSTITUTE(AT$1,RIGHT(AT$1,2),""),VLOOKUP($D195,素材!$1:$1016,COLUMN($F$1),FALSE))),VLOOKUP($C195,武器!$1:$998,COLUMN($O$1),FALSE)*VLOOKUP($D195,素材!$1:$1016,COLUMN($E$1),FALSE)/(LEN(VLOOKUP($D195,素材!$1:$1016,COLUMN($F$1),FALSE)) - LEN(SUBSTITUTE(VLOOKUP($D195,素材!$1:$1016,COLUMN($F$1),FALSE), "・", 0)) + 1), 0)</f>
        <v>0</v>
      </c>
      <c r="AU195">
        <f>IF(ISNUMBER(SEARCH(SUBSTITUTE(AU$1,RIGHT(AU$1,2),""),VLOOKUP($D195,素材!$1:$1016,COLUMN($F$1),FALSE))),VLOOKUP($C195,武器!$1:$998,COLUMN($O$1),FALSE)*VLOOKUP($D195,素材!$1:$1016,COLUMN($E$1),FALSE)/(LEN(VLOOKUP($D195,素材!$1:$1016,COLUMN($F$1),FALSE)) - LEN(SUBSTITUTE(VLOOKUP($D195,素材!$1:$1016,COLUMN($F$1),FALSE), "・", 0)) + 1), 0)</f>
        <v>0</v>
      </c>
      <c r="AV195">
        <f>IF(ISNUMBER(SEARCH(SUBSTITUTE(AV$1,RIGHT(AV$1,2),""),VLOOKUP($D195,素材!$1:$1016,COLUMN($F$1),FALSE))),VLOOKUP($C195,武器!$1:$998,COLUMN($O$1),FALSE)*VLOOKUP($D195,素材!$1:$1016,COLUMN($E$1),FALSE)/(LEN(VLOOKUP($D195,素材!$1:$1016,COLUMN($F$1),FALSE)) - LEN(SUBSTITUTE(VLOOKUP($D195,素材!$1:$1016,COLUMN($F$1),FALSE), "・", 0)) + 1), 0)</f>
        <v>0</v>
      </c>
      <c r="AW195">
        <f>IF(ISNUMBER(SEARCH(SUBSTITUTE(AW$1,RIGHT(AW$1,2),""),VLOOKUP($D195,素材!$1:$1016,COLUMN($F$1),FALSE))),VLOOKUP($C195,武器!$1:$998,COLUMN($O$1),FALSE)*VLOOKUP($D195,素材!$1:$1016,COLUMN($E$1),FALSE)/(LEN(VLOOKUP($D195,素材!$1:$1016,COLUMN($F$1),FALSE)) - LEN(SUBSTITUTE(VLOOKUP($D195,素材!$1:$1016,COLUMN($F$1),FALSE), "・", 0)) + 1), 0)</f>
        <v>0</v>
      </c>
      <c r="AX195">
        <f>IF(ISNUMBER(SEARCH(SUBSTITUTE(AX$1,RIGHT(AX$1,2),""),VLOOKUP($D195,素材!$1:$1016,COLUMN($F$1),FALSE))),VLOOKUP($C195,武器!$1:$998,COLUMN($O$1),FALSE)*VLOOKUP($D195,素材!$1:$1016,COLUMN($E$1),FALSE)/(LEN(VLOOKUP($D195,素材!$1:$1016,COLUMN($F$1),FALSE)) - LEN(SUBSTITUTE(VLOOKUP($D195,素材!$1:$1016,COLUMN($F$1),FALSE), "・", 0)) + 1), 0)</f>
        <v>0</v>
      </c>
      <c r="AY195">
        <f>IF(ISNUMBER(SEARCH(SUBSTITUTE(AY$1,RIGHT(AY$1,2),""),VLOOKUP($D195,素材!$1:$1016,COLUMN($F$1),FALSE))),VLOOKUP($C195,武器!$1:$998,COLUMN($O$1),FALSE)*VLOOKUP($D195,素材!$1:$1016,COLUMN($E$1),FALSE)/(LEN(VLOOKUP($D195,素材!$1:$1016,COLUMN($F$1),FALSE)) - LEN(SUBSTITUTE(VLOOKUP($D195,素材!$1:$1016,COLUMN($F$1),FALSE), "・", 0)) + 1), 0)</f>
        <v>0</v>
      </c>
      <c r="AZ195">
        <f>IF(ISNUMBER(SEARCH(SUBSTITUTE(AZ$1,RIGHT(AZ$1,2),""),VLOOKUP($D195,素材!$1:$1016,COLUMN($F$1),FALSE))),VLOOKUP($C195,武器!$1:$998,COLUMN($O$1),FALSE)*VLOOKUP($D195,素材!$1:$1016,COLUMN($E$1),FALSE)/(LEN(VLOOKUP($D195,素材!$1:$1016,COLUMN($F$1),FALSE)) - LEN(SUBSTITUTE(VLOOKUP($D195,素材!$1:$1016,COLUMN($F$1),FALSE), "・", 0)) + 1), 0)</f>
        <v>0</v>
      </c>
      <c r="BA195">
        <f>IF(ISNUMBER(SEARCH(SUBSTITUTE(BA$1,RIGHT(BA$1,2),""),VLOOKUP($D195,素材!$1:$1016,COLUMN($F$1),FALSE))),VLOOKUP($C195,武器!$1:$998,COLUMN($O$1),FALSE)*VLOOKUP($D195,素材!$1:$1016,COLUMN($E$1),FALSE)/(LEN(VLOOKUP($D195,素材!$1:$1016,COLUMN($F$1),FALSE)) - LEN(SUBSTITUTE(VLOOKUP($D195,素材!$1:$1016,COLUMN($F$1),FALSE), "・", 0)) + 1), 0)</f>
        <v>0</v>
      </c>
      <c r="BB195">
        <f>IF(ISNUMBER(SEARCH(SUBSTITUTE(BB$1,RIGHT(BB$1,2),""),VLOOKUP($D195,素材!$1:$1016,COLUMN($F$1),FALSE))),VLOOKUP($C195,武器!$1:$998,COLUMN($O$1),FALSE)*VLOOKUP($D195,素材!$1:$1016,COLUMN($E$1),FALSE)/(LEN(VLOOKUP($D195,素材!$1:$1016,COLUMN($F$1),FALSE)) - LEN(SUBSTITUTE(VLOOKUP($D195,素材!$1:$1016,COLUMN($F$1),FALSE), "・", 0)) + 1), 0)</f>
        <v>0</v>
      </c>
      <c r="BC195">
        <f>IF(ISNUMBER(SEARCH(SUBSTITUTE(BC$1,RIGHT(BC$1,2),""),VLOOKUP($D195,素材!$1:$1016,COLUMN($F$1),FALSE))),VLOOKUP($C195,武器!$1:$998,COLUMN($O$1),FALSE)*VLOOKUP($D195,素材!$1:$1016,COLUMN($E$1),FALSE)/(LEN(VLOOKUP($D195,素材!$1:$1016,COLUMN($F$1),FALSE)) - LEN(SUBSTITUTE(VLOOKUP($D195,素材!$1:$1016,COLUMN($F$1),FALSE), "・", 0)) + 1), 0)</f>
        <v>0</v>
      </c>
      <c r="BD195">
        <f>IF(ISNUMBER(SEARCH(SUBSTITUTE(BD$1,RIGHT(BD$1,2),""),VLOOKUP($D195,素材!$1:$1016,COLUMN($F$1),FALSE))),VLOOKUP($C195,武器!$1:$998,COLUMN($O$1),FALSE)*VLOOKUP($D195,素材!$1:$1016,COLUMN($E$1),FALSE)/(LEN(VLOOKUP($D195,素材!$1:$1016,COLUMN($F$1),FALSE)) - LEN(SUBSTITUTE(VLOOKUP($D195,素材!$1:$1016,COLUMN($F$1),FALSE), "・", 0)) + 1), 0)</f>
        <v>0</v>
      </c>
      <c r="BE195">
        <f>IF(ISNUMBER(SEARCH(SUBSTITUTE(BE$1,RIGHT(BE$1,2),""),VLOOKUP($D195,素材!$1:$1016,COLUMN($F$1),FALSE))),VLOOKUP($C195,武器!$1:$998,COLUMN($O$1),FALSE)*VLOOKUP($D195,素材!$1:$1016,COLUMN($E$1),FALSE)/(LEN(VLOOKUP($D195,素材!$1:$1016,COLUMN($F$1),FALSE)) - LEN(SUBSTITUTE(VLOOKUP($D195,素材!$1:$1016,COLUMN($F$1),FALSE), "・", 0)) + 1), 0)</f>
        <v>0</v>
      </c>
      <c r="CL195">
        <f>SUM(G195:I195)</f>
        <v>20</v>
      </c>
      <c r="CM195" s="22" t="str">
        <f>IF(E195="武器",IF(J195-1&gt;SUM(G195:I195),"盾",IF(MAX(G195:I195)=G195,"切断",IF(MAX(G195:I195)=H195,"貫通",IF(MAX(G195:I195)=I195,"打撃","射撃")))),E195)&amp;".webp"</f>
        <v>切断.webp</v>
      </c>
      <c r="CN195">
        <f>IFERROR(VLOOKUP($C195,武器!$1:$998,COLUMN(V$1),FALSE)*VLOOKUP($D195,素材!$1:$1016,COLUMN(N$1),FALSE)+IF(CI195="",0,VLOOKUP($CI195,装強!$1:$1008,COLUMN($CK$1),FALSE)),"")</f>
        <v>1500</v>
      </c>
      <c r="CO195">
        <f>VLOOKUP(D195,素材!$A:$O,COLUMN(素材!O$1),FALSE)</f>
        <v>0</v>
      </c>
      <c r="CP195" t="str">
        <f>VLOOKUP(C195,武器!$A:$W,COLUMN(武器!W$1),FALSE)</f>
        <v>短刀。暗殺向けの武器で、軽量かつ片手操作に適する。Cr威力が高い</v>
      </c>
      <c r="CR195" t="str">
        <f t="shared" si="18"/>
        <v>e_195</v>
      </c>
      <c r="CS195">
        <f t="shared" si="22"/>
        <v>150000</v>
      </c>
    </row>
    <row r="196" spans="1:97" outlineLevel="1" x14ac:dyDescent="0.4">
      <c r="A196" t="str">
        <f t="shared" si="28"/>
        <v>冷気鉄の刀</v>
      </c>
      <c r="B196" t="str">
        <f>IFERROR(VLOOKUP($D196,素材!$1:$1016,COLUMN($B$1),FALSE)&amp;"・"&amp;VLOOKUP($C196,武器!$1:$998,COLUMN(B$1),FALSE),"")</f>
        <v>ドゥララン・カタナ</v>
      </c>
      <c r="C196" s="24" t="s">
        <v>241</v>
      </c>
      <c r="D196" s="24" t="s">
        <v>243</v>
      </c>
      <c r="E196" t="str">
        <f>IFERROR(VLOOKUP(C196,武器!$1:$998,COLUMN(C$1),FALSE),"")</f>
        <v>武器</v>
      </c>
      <c r="F196">
        <f>IFERROR(ROUNDDOWN((VLOOKUP($C196,武器!$1:$998,COLUMN(D$1),FALSE)+IFERROR(VLOOKUP($CI196,装強!$1:$999,COLUMN(F$1),FALSE),0))*VLOOKUP($D196,素材!$1:$1016,COLUMN(D$1),FALSE),0),"")</f>
        <v>105</v>
      </c>
      <c r="G196">
        <f>IFERROR(ROUNDDOWN((VLOOKUP($C196,武器!$1:$998,COLUMN(E$1),FALSE)+IFERROR(VLOOKUP($CI196,装強!$1:$999,COLUMN(G$1),FALSE),0))*VLOOKUP($D196,素材!$1:$1016,COLUMN($E$1),FALSE),0),"")</f>
        <v>14</v>
      </c>
      <c r="H196">
        <f>IFERROR(ROUNDDOWN((VLOOKUP($C196,武器!$1:$998,COLUMN(F$1),FALSE)+IFERROR(VLOOKUP($CI196,装強!$1:$999,COLUMN(H$1),FALSE),0))*VLOOKUP($D196,素材!$1:$1016,COLUMN($E$1),FALSE),0),"")</f>
        <v>8</v>
      </c>
      <c r="I196">
        <f>IFERROR(ROUNDDOWN((VLOOKUP($C196,武器!$1:$998,COLUMN(G$1),FALSE)+IFERROR(VLOOKUP($CI196,装強!$1:$999,COLUMN(I$1),FALSE),0))*VLOOKUP($D196,素材!$1:$1016,COLUMN($E$1),FALSE),0),"")</f>
        <v>2</v>
      </c>
      <c r="J196">
        <f>IFERROR(ROUNDDOWN((VLOOKUP($C196,武器!$1:$998,COLUMN(H$1),FALSE)+IFERROR(VLOOKUP($CI196,装強!$1:$999,COLUMN(J$1),FALSE),0))*VLOOKUP($D196,素材!$1:$1016,COLUMN($E$1),FALSE),0),"")</f>
        <v>17</v>
      </c>
      <c r="K196">
        <f>IFERROR(ROUNDDOWN((VLOOKUP($C196,武器!$1:$998,COLUMN(I$1),FALSE)+IFERROR(VLOOKUP($CI196,装強!$1:$999,COLUMN(K$1),FALSE),0))*VLOOKUP($D196,素材!$1:$1016,COLUMN($E$1),FALSE),0),"")</f>
        <v>0</v>
      </c>
      <c r="L196" t="str">
        <f>IFERROR(VLOOKUP($D196,素材!$1:$1016,COLUMN($F$1),FALSE),"")</f>
        <v>氷</v>
      </c>
      <c r="M196">
        <f>IFERROR(VLOOKUP($C196,武器!$1:$998,COLUMN(AA$1),FALSE)*VLOOKUP($D196,素材!$1:$1016,COLUMN($G$1),FALSE),"")</f>
        <v>42</v>
      </c>
      <c r="N196">
        <f>IFERROR(VLOOKUP($C196,武器!$1:$998,COLUMN(I$1),FALSE),"")</f>
        <v>0</v>
      </c>
      <c r="O196" s="23">
        <f>IFERROR((VLOOKUP($C196,武器!$1:$998,COLUMN(K$1),FALSE)+VLOOKUP($D196,素材!$1:$1016,COLUMN(H$1),FALSE))*100+IFERROR(VLOOKUP($CI196,装強!$1:$999,COLUMN(O$1),FALSE),0),"")</f>
        <v>10</v>
      </c>
      <c r="P196" s="23">
        <f>IFERROR((VLOOKUP($C196,武器!$1:$998,COLUMN(L$1),FALSE)+VLOOKUP($D196,素材!$1:$1016,COLUMN(I$1),FALSE))*100+IFERROR(VLOOKUP($CI196,装強!$1:$999,COLUMN(P$1),FALSE),0),"")</f>
        <v>175</v>
      </c>
      <c r="Q196">
        <f>IFERROR(ROUNDUP(VLOOKUP($C196,武器!$1:$998,COLUMN(M$1),FALSE)*(VLOOKUP($D196,素材!$1:$1002,COLUMN(D$1),FALSE)/100),1),"")</f>
        <v>0</v>
      </c>
      <c r="R196">
        <f>IFERROR(ROUNDUP(VLOOKUP($C196,武器!$1:$998,COLUMN(N$1),FALSE)*(VLOOKUP($D196,素材!$1:$1002,COLUMN(D$1),FALSE)/100),1),"")</f>
        <v>0</v>
      </c>
      <c r="S196">
        <f>IFERROR(VLOOKUP($C196,武器!$1:$998,COLUMN(P$1),FALSE),"")</f>
        <v>0</v>
      </c>
      <c r="T196">
        <f>IFERROR(VLOOKUP($C196,武器!$1:$998,COLUMN(Q$1),FALSE),"")</f>
        <v>0</v>
      </c>
      <c r="U196">
        <f>IFERROR(VLOOKUP($C196,武器!$1:$998,COLUMN(R$1),FALSE),"")</f>
        <v>0</v>
      </c>
      <c r="V196">
        <f>IFERROR(VLOOKUP($C196,武器!$1:$998,COLUMN(Q$1),FALSE),"")</f>
        <v>0</v>
      </c>
      <c r="W196" t="str">
        <f>IFERROR(VLOOKUP($C196,武器!$1:$998,COLUMN(T$1),FALSE),"")</f>
        <v>A</v>
      </c>
      <c r="Y196">
        <f>IFERROR(VLOOKUP($C196,武器!$1:$998,COLUMN(U$1),FALSE),"")</f>
        <v>0</v>
      </c>
      <c r="Z196">
        <f>IFERROR(ROUNDUP(VLOOKUP($C196,武器!$1:$998,COLUMN(O$1),FALSE)*VLOOKUP($D196,素材!$1:$1016,COLUMN(E$1),FALSE),1),"")</f>
        <v>0</v>
      </c>
      <c r="AA196">
        <f>IF(ISNUMBER(SEARCH(SUBSTITUTE(AA$1,RIGHT(AA$1,2),""),VLOOKUP($D196,素材!$1:$1016,COLUMN($F$1),FALSE))),VLOOKUP($C196,武器!$1:$998,COLUMN($O$1),FALSE)*VLOOKUP($D196,素材!$1:$1016,COLUMN($E$1),FALSE)/(LEN(VLOOKUP($D196,素材!$1:$1016,COLUMN($F$1),FALSE)) - LEN(SUBSTITUTE(VLOOKUP($D196,素材!$1:$1016,COLUMN($F$1),FALSE), "・", 0)) + 1), 0)</f>
        <v>0</v>
      </c>
      <c r="AB196">
        <f>IF(ISNUMBER(SEARCH(SUBSTITUTE(AB$1,RIGHT(AB$1,2),""),VLOOKUP($D196,素材!$1:$1016,COLUMN($F$1),FALSE))),VLOOKUP($C196,武器!$1:$998,COLUMN($O$1),FALSE)*VLOOKUP($D196,素材!$1:$1016,COLUMN($E$1),FALSE)/(LEN(VLOOKUP($D196,素材!$1:$1016,COLUMN($F$1),FALSE)) - LEN(SUBSTITUTE(VLOOKUP($D196,素材!$1:$1016,COLUMN($F$1),FALSE), "・", 0)) + 1), 0)</f>
        <v>0</v>
      </c>
      <c r="AC196">
        <f>IF(ISNUMBER(SEARCH(SUBSTITUTE(AC$1,RIGHT(AC$1,2),""),VLOOKUP($D196,素材!$1:$1016,COLUMN($F$1),FALSE))),VLOOKUP($C196,武器!$1:$998,COLUMN($O$1),FALSE)*VLOOKUP($D196,素材!$1:$1016,COLUMN($E$1),FALSE)/(LEN(VLOOKUP($D196,素材!$1:$1016,COLUMN($F$1),FALSE)) - LEN(SUBSTITUTE(VLOOKUP($D196,素材!$1:$1016,COLUMN($F$1),FALSE), "・", 0)) + 1), 0)</f>
        <v>0</v>
      </c>
      <c r="AD196">
        <f>IF(ISNUMBER(SEARCH(SUBSTITUTE(AD$1,RIGHT(AD$1,2),""),VLOOKUP($D196,素材!$1:$1016,COLUMN($F$1),FALSE))),VLOOKUP($C196,武器!$1:$998,COLUMN($O$1),FALSE)*VLOOKUP($D196,素材!$1:$1016,COLUMN($E$1),FALSE)/(LEN(VLOOKUP($D196,素材!$1:$1016,COLUMN($F$1),FALSE)) - LEN(SUBSTITUTE(VLOOKUP($D196,素材!$1:$1016,COLUMN($F$1),FALSE), "・", 0)) + 1), 0)</f>
        <v>0</v>
      </c>
      <c r="AE196">
        <f>IF(ISNUMBER(SEARCH(SUBSTITUTE(AE$1,RIGHT(AE$1,2),""),VLOOKUP($D196,素材!$1:$1016,COLUMN($F$1),FALSE))),VLOOKUP($C196,武器!$1:$998,COLUMN($O$1),FALSE)*VLOOKUP($D196,素材!$1:$1016,COLUMN($E$1),FALSE)/(LEN(VLOOKUP($D196,素材!$1:$1016,COLUMN($F$1),FALSE)) - LEN(SUBSTITUTE(VLOOKUP($D196,素材!$1:$1016,COLUMN($F$1),FALSE), "・", 0)) + 1), 0)</f>
        <v>0</v>
      </c>
      <c r="AF196">
        <f>IF(ISNUMBER(SEARCH(SUBSTITUTE(AF$1,RIGHT(AF$1,2),""),VLOOKUP($D196,素材!$1:$1016,COLUMN($F$1),FALSE))),VLOOKUP($C196,武器!$1:$998,COLUMN($O$1),FALSE)*VLOOKUP($D196,素材!$1:$1016,COLUMN($E$1),FALSE)/(LEN(VLOOKUP($D196,素材!$1:$1016,COLUMN($F$1),FALSE)) - LEN(SUBSTITUTE(VLOOKUP($D196,素材!$1:$1016,COLUMN($F$1),FALSE), "・", 0)) + 1), 0)</f>
        <v>0</v>
      </c>
      <c r="AG196">
        <f>IF(ISNUMBER(SEARCH(SUBSTITUTE(AG$1,RIGHT(AG$1,2),""),VLOOKUP($D196,素材!$1:$1016,COLUMN($F$1),FALSE))),VLOOKUP($C196,武器!$1:$998,COLUMN($O$1),FALSE)*VLOOKUP($D196,素材!$1:$1016,COLUMN($E$1),FALSE)/(LEN(VLOOKUP($D196,素材!$1:$1016,COLUMN($F$1),FALSE)) - LEN(SUBSTITUTE(VLOOKUP($D196,素材!$1:$1016,COLUMN($F$1),FALSE), "・", 0)) + 1), 0)</f>
        <v>0</v>
      </c>
      <c r="AH196">
        <f>IF(ISNUMBER(SEARCH(SUBSTITUTE(AH$1,RIGHT(AH$1,2),""),VLOOKUP($D196,素材!$1:$1016,COLUMN($F$1),FALSE))),VLOOKUP($C196,武器!$1:$998,COLUMN($O$1),FALSE)*VLOOKUP($D196,素材!$1:$1016,COLUMN($E$1),FALSE)/(LEN(VLOOKUP($D196,素材!$1:$1016,COLUMN($F$1),FALSE)) - LEN(SUBSTITUTE(VLOOKUP($D196,素材!$1:$1016,COLUMN($F$1),FALSE), "・", 0)) + 1), 0)</f>
        <v>0</v>
      </c>
      <c r="AI196">
        <f>IF(ISNUMBER(SEARCH(SUBSTITUTE(AI$1,RIGHT(AI$1,2),""),VLOOKUP($D196,素材!$1:$1016,COLUMN($F$1),FALSE))),VLOOKUP($C196,武器!$1:$998,COLUMN($O$1),FALSE)*VLOOKUP($D196,素材!$1:$1016,COLUMN($E$1),FALSE)/(LEN(VLOOKUP($D196,素材!$1:$1016,COLUMN($F$1),FALSE)) - LEN(SUBSTITUTE(VLOOKUP($D196,素材!$1:$1016,COLUMN($F$1),FALSE), "・", 0)) + 1), 0)</f>
        <v>0</v>
      </c>
      <c r="AJ196">
        <f>IF(ISNUMBER(SEARCH(SUBSTITUTE(AJ$1,RIGHT(AJ$1,2),""),VLOOKUP($D196,素材!$1:$1016,COLUMN($F$1),FALSE))),VLOOKUP($C196,武器!$1:$998,COLUMN($O$1),FALSE)*VLOOKUP($D196,素材!$1:$1016,COLUMN($E$1),FALSE)/(LEN(VLOOKUP($D196,素材!$1:$1016,COLUMN($F$1),FALSE)) - LEN(SUBSTITUTE(VLOOKUP($D196,素材!$1:$1016,COLUMN($F$1),FALSE), "・", 0)) + 1), 0)</f>
        <v>0</v>
      </c>
      <c r="AK196">
        <f>IF(ISNUMBER(SEARCH(SUBSTITUTE(AK$1,RIGHT(AK$1,2),""),VLOOKUP($D196,素材!$1:$1016,COLUMN($F$1),FALSE))),VLOOKUP($C196,武器!$1:$998,COLUMN($O$1),FALSE)*VLOOKUP($D196,素材!$1:$1016,COLUMN($E$1),FALSE)/(LEN(VLOOKUP($D196,素材!$1:$1016,COLUMN($F$1),FALSE)) - LEN(SUBSTITUTE(VLOOKUP($D196,素材!$1:$1016,COLUMN($F$1),FALSE), "・", 0)) + 1), 0)</f>
        <v>0</v>
      </c>
      <c r="AL196">
        <f>IF(ISNUMBER(SEARCH(SUBSTITUTE(AL$1,RIGHT(AL$1,2),""),VLOOKUP($D196,素材!$1:$1016,COLUMN($F$1),FALSE))),VLOOKUP($C196,武器!$1:$998,COLUMN($O$1),FALSE)*VLOOKUP($D196,素材!$1:$1016,COLUMN($E$1),FALSE)/(LEN(VLOOKUP($D196,素材!$1:$1016,COLUMN($F$1),FALSE)) - LEN(SUBSTITUTE(VLOOKUP($D196,素材!$1:$1016,COLUMN($F$1),FALSE), "・", 0)) + 1), 0)</f>
        <v>0</v>
      </c>
      <c r="AM196">
        <f>IF(ISNUMBER(SEARCH(SUBSTITUTE(AM$1,RIGHT(AM$1,2),""),VLOOKUP($D196,素材!$1:$1016,COLUMN($F$1),FALSE))),VLOOKUP($C196,武器!$1:$998,COLUMN($O$1),FALSE)*VLOOKUP($D196,素材!$1:$1016,COLUMN($E$1),FALSE)/(LEN(VLOOKUP($D196,素材!$1:$1016,COLUMN($F$1),FALSE)) - LEN(SUBSTITUTE(VLOOKUP($D196,素材!$1:$1016,COLUMN($F$1),FALSE), "・", 0)) + 1), 0)</f>
        <v>0</v>
      </c>
      <c r="AN196">
        <f>IF(ISNUMBER(SEARCH(SUBSTITUTE(AN$1,RIGHT(AN$1,2),""),VLOOKUP($D196,素材!$1:$1016,COLUMN($F$1),FALSE))),VLOOKUP($C196,武器!$1:$998,COLUMN($O$1),FALSE)*VLOOKUP($D196,素材!$1:$1016,COLUMN($E$1),FALSE)/(LEN(VLOOKUP($D196,素材!$1:$1016,COLUMN($F$1),FALSE)) - LEN(SUBSTITUTE(VLOOKUP($D196,素材!$1:$1016,COLUMN($F$1),FALSE), "・", 0)) + 1), 0)</f>
        <v>0</v>
      </c>
      <c r="AO196">
        <f>IF(ISNUMBER(SEARCH(SUBSTITUTE(AO$1,RIGHT(AO$1,2),""),VLOOKUP($D196,素材!$1:$1016,COLUMN($F$1),FALSE))),VLOOKUP($C196,武器!$1:$998,COLUMN($O$1),FALSE)*VLOOKUP($D196,素材!$1:$1016,COLUMN($E$1),FALSE)/(LEN(VLOOKUP($D196,素材!$1:$1016,COLUMN($F$1),FALSE)) - LEN(SUBSTITUTE(VLOOKUP($D196,素材!$1:$1016,COLUMN($F$1),FALSE), "・", 0)) + 1), 0)</f>
        <v>0</v>
      </c>
      <c r="AP196">
        <f>IF(ISNUMBER(SEARCH(SUBSTITUTE(AP$1,RIGHT(AP$1,2),""),VLOOKUP($D196,素材!$1:$1016,COLUMN($F$1),FALSE))),VLOOKUP($C196,武器!$1:$998,COLUMN($O$1),FALSE)*VLOOKUP($D196,素材!$1:$1016,COLUMN($E$1),FALSE)/(LEN(VLOOKUP($D196,素材!$1:$1016,COLUMN($F$1),FALSE)) - LEN(SUBSTITUTE(VLOOKUP($D196,素材!$1:$1016,COLUMN($F$1),FALSE), "・", 0)) + 1), 0)</f>
        <v>0</v>
      </c>
      <c r="AQ196">
        <f>IF(ISNUMBER(SEARCH(SUBSTITUTE(AQ$1,RIGHT(AQ$1,2),""),VLOOKUP($D196,素材!$1:$1016,COLUMN($F$1),FALSE))),VLOOKUP($C196,武器!$1:$998,COLUMN($O$1),FALSE)*VLOOKUP($D196,素材!$1:$1016,COLUMN($E$1),FALSE)/(LEN(VLOOKUP($D196,素材!$1:$1016,COLUMN($F$1),FALSE)) - LEN(SUBSTITUTE(VLOOKUP($D196,素材!$1:$1016,COLUMN($F$1),FALSE), "・", 0)) + 1), 0)</f>
        <v>0</v>
      </c>
      <c r="AR196">
        <f>IF(ISNUMBER(SEARCH(SUBSTITUTE(AR$1,RIGHT(AR$1,2),""),VLOOKUP($D196,素材!$1:$1016,COLUMN($F$1),FALSE))),VLOOKUP($C196,武器!$1:$998,COLUMN($O$1),FALSE)*VLOOKUP($D196,素材!$1:$1016,COLUMN($E$1),FALSE)/(LEN(VLOOKUP($D196,素材!$1:$1016,COLUMN($F$1),FALSE)) - LEN(SUBSTITUTE(VLOOKUP($D196,素材!$1:$1016,COLUMN($F$1),FALSE), "・", 0)) + 1), 0)</f>
        <v>0</v>
      </c>
      <c r="AS196">
        <f>IF(ISNUMBER(SEARCH(SUBSTITUTE(AS$1,RIGHT(AS$1,2),""),VLOOKUP($D196,素材!$1:$1016,COLUMN($F$1),FALSE))),VLOOKUP($C196,武器!$1:$998,COLUMN($O$1),FALSE)*VLOOKUP($D196,素材!$1:$1016,COLUMN($E$1),FALSE)/(LEN(VLOOKUP($D196,素材!$1:$1016,COLUMN($F$1),FALSE)) - LEN(SUBSTITUTE(VLOOKUP($D196,素材!$1:$1016,COLUMN($F$1),FALSE), "・", 0)) + 1), 0)</f>
        <v>0</v>
      </c>
      <c r="AT196">
        <f>IF(ISNUMBER(SEARCH(SUBSTITUTE(AT$1,RIGHT(AT$1,2),""),VLOOKUP($D196,素材!$1:$1016,COLUMN($F$1),FALSE))),VLOOKUP($C196,武器!$1:$998,COLUMN($O$1),FALSE)*VLOOKUP($D196,素材!$1:$1016,COLUMN($E$1),FALSE)/(LEN(VLOOKUP($D196,素材!$1:$1016,COLUMN($F$1),FALSE)) - LEN(SUBSTITUTE(VLOOKUP($D196,素材!$1:$1016,COLUMN($F$1),FALSE), "・", 0)) + 1), 0)</f>
        <v>0</v>
      </c>
      <c r="AU196">
        <f>IF(ISNUMBER(SEARCH(SUBSTITUTE(AU$1,RIGHT(AU$1,2),""),VLOOKUP($D196,素材!$1:$1016,COLUMN($F$1),FALSE))),VLOOKUP($C196,武器!$1:$998,COLUMN($O$1),FALSE)*VLOOKUP($D196,素材!$1:$1016,COLUMN($E$1),FALSE)/(LEN(VLOOKUP($D196,素材!$1:$1016,COLUMN($F$1),FALSE)) - LEN(SUBSTITUTE(VLOOKUP($D196,素材!$1:$1016,COLUMN($F$1),FALSE), "・", 0)) + 1), 0)</f>
        <v>0</v>
      </c>
      <c r="AV196">
        <f>IF(ISNUMBER(SEARCH(SUBSTITUTE(AV$1,RIGHT(AV$1,2),""),VLOOKUP($D196,素材!$1:$1016,COLUMN($F$1),FALSE))),VLOOKUP($C196,武器!$1:$998,COLUMN($O$1),FALSE)*VLOOKUP($D196,素材!$1:$1016,COLUMN($E$1),FALSE)/(LEN(VLOOKUP($D196,素材!$1:$1016,COLUMN($F$1),FALSE)) - LEN(SUBSTITUTE(VLOOKUP($D196,素材!$1:$1016,COLUMN($F$1),FALSE), "・", 0)) + 1), 0)</f>
        <v>0</v>
      </c>
      <c r="AW196">
        <f>IF(ISNUMBER(SEARCH(SUBSTITUTE(AW$1,RIGHT(AW$1,2),""),VLOOKUP($D196,素材!$1:$1016,COLUMN($F$1),FALSE))),VLOOKUP($C196,武器!$1:$998,COLUMN($O$1),FALSE)*VLOOKUP($D196,素材!$1:$1016,COLUMN($E$1),FALSE)/(LEN(VLOOKUP($D196,素材!$1:$1016,COLUMN($F$1),FALSE)) - LEN(SUBSTITUTE(VLOOKUP($D196,素材!$1:$1016,COLUMN($F$1),FALSE), "・", 0)) + 1), 0)</f>
        <v>0</v>
      </c>
      <c r="AX196">
        <f>IF(ISNUMBER(SEARCH(SUBSTITUTE(AX$1,RIGHT(AX$1,2),""),VLOOKUP($D196,素材!$1:$1016,COLUMN($F$1),FALSE))),VLOOKUP($C196,武器!$1:$998,COLUMN($O$1),FALSE)*VLOOKUP($D196,素材!$1:$1016,COLUMN($E$1),FALSE)/(LEN(VLOOKUP($D196,素材!$1:$1016,COLUMN($F$1),FALSE)) - LEN(SUBSTITUTE(VLOOKUP($D196,素材!$1:$1016,COLUMN($F$1),FALSE), "・", 0)) + 1), 0)</f>
        <v>0</v>
      </c>
      <c r="AY196">
        <f>IF(ISNUMBER(SEARCH(SUBSTITUTE(AY$1,RIGHT(AY$1,2),""),VLOOKUP($D196,素材!$1:$1016,COLUMN($F$1),FALSE))),VLOOKUP($C196,武器!$1:$998,COLUMN($O$1),FALSE)*VLOOKUP($D196,素材!$1:$1016,COLUMN($E$1),FALSE)/(LEN(VLOOKUP($D196,素材!$1:$1016,COLUMN($F$1),FALSE)) - LEN(SUBSTITUTE(VLOOKUP($D196,素材!$1:$1016,COLUMN($F$1),FALSE), "・", 0)) + 1), 0)</f>
        <v>0</v>
      </c>
      <c r="AZ196">
        <f>IF(ISNUMBER(SEARCH(SUBSTITUTE(AZ$1,RIGHT(AZ$1,2),""),VLOOKUP($D196,素材!$1:$1016,COLUMN($F$1),FALSE))),VLOOKUP($C196,武器!$1:$998,COLUMN($O$1),FALSE)*VLOOKUP($D196,素材!$1:$1016,COLUMN($E$1),FALSE)/(LEN(VLOOKUP($D196,素材!$1:$1016,COLUMN($F$1),FALSE)) - LEN(SUBSTITUTE(VLOOKUP($D196,素材!$1:$1016,COLUMN($F$1),FALSE), "・", 0)) + 1), 0)</f>
        <v>0</v>
      </c>
      <c r="BA196">
        <f>IF(ISNUMBER(SEARCH(SUBSTITUTE(BA$1,RIGHT(BA$1,2),""),VLOOKUP($D196,素材!$1:$1016,COLUMN($F$1),FALSE))),VLOOKUP($C196,武器!$1:$998,COLUMN($O$1),FALSE)*VLOOKUP($D196,素材!$1:$1016,COLUMN($E$1),FALSE)/(LEN(VLOOKUP($D196,素材!$1:$1016,COLUMN($F$1),FALSE)) - LEN(SUBSTITUTE(VLOOKUP($D196,素材!$1:$1016,COLUMN($F$1),FALSE), "・", 0)) + 1), 0)</f>
        <v>0</v>
      </c>
      <c r="BB196">
        <f>IF(ISNUMBER(SEARCH(SUBSTITUTE(BB$1,RIGHT(BB$1,2),""),VLOOKUP($D196,素材!$1:$1016,COLUMN($F$1),FALSE))),VLOOKUP($C196,武器!$1:$998,COLUMN($O$1),FALSE)*VLOOKUP($D196,素材!$1:$1016,COLUMN($E$1),FALSE)/(LEN(VLOOKUP($D196,素材!$1:$1016,COLUMN($F$1),FALSE)) - LEN(SUBSTITUTE(VLOOKUP($D196,素材!$1:$1016,COLUMN($F$1),FALSE), "・", 0)) + 1), 0)</f>
        <v>0</v>
      </c>
      <c r="BC196">
        <f>IF(ISNUMBER(SEARCH(SUBSTITUTE(BC$1,RIGHT(BC$1,2),""),VLOOKUP($D196,素材!$1:$1016,COLUMN($F$1),FALSE))),VLOOKUP($C196,武器!$1:$998,COLUMN($O$1),FALSE)*VLOOKUP($D196,素材!$1:$1016,COLUMN($E$1),FALSE)/(LEN(VLOOKUP($D196,素材!$1:$1016,COLUMN($F$1),FALSE)) - LEN(SUBSTITUTE(VLOOKUP($D196,素材!$1:$1016,COLUMN($F$1),FALSE), "・", 0)) + 1), 0)</f>
        <v>0</v>
      </c>
      <c r="BD196">
        <f>IF(ISNUMBER(SEARCH(SUBSTITUTE(BD$1,RIGHT(BD$1,2),""),VLOOKUP($D196,素材!$1:$1016,COLUMN($F$1),FALSE))),VLOOKUP($C196,武器!$1:$998,COLUMN($O$1),FALSE)*VLOOKUP($D196,素材!$1:$1016,COLUMN($E$1),FALSE)/(LEN(VLOOKUP($D196,素材!$1:$1016,COLUMN($F$1),FALSE)) - LEN(SUBSTITUTE(VLOOKUP($D196,素材!$1:$1016,COLUMN($F$1),FALSE), "・", 0)) + 1), 0)</f>
        <v>0</v>
      </c>
      <c r="BE196">
        <f>IF(ISNUMBER(SEARCH(SUBSTITUTE(BE$1,RIGHT(BE$1,2),""),VLOOKUP($D196,素材!$1:$1016,COLUMN($F$1),FALSE))),VLOOKUP($C196,武器!$1:$998,COLUMN($O$1),FALSE)*VLOOKUP($D196,素材!$1:$1016,COLUMN($E$1),FALSE)/(LEN(VLOOKUP($D196,素材!$1:$1016,COLUMN($F$1),FALSE)) - LEN(SUBSTITUTE(VLOOKUP($D196,素材!$1:$1016,COLUMN($F$1),FALSE), "・", 0)) + 1), 0)</f>
        <v>0</v>
      </c>
      <c r="CL196">
        <f>SUM(G196:I196)</f>
        <v>24</v>
      </c>
      <c r="CM196" s="22" t="str">
        <f>IF(E196="武器",IF(J196-1&gt;SUM(G196:I196),"盾",IF(MAX(G196:I196)=G196,"切断",IF(MAX(G196:I196)=H196,"貫通",IF(MAX(G196:I196)=I196,"打撃","射撃")))),E196)&amp;".webp"</f>
        <v>切断.webp</v>
      </c>
      <c r="CN196">
        <f>IFERROR(VLOOKUP($C196,武器!$1:$998,COLUMN(V$1),FALSE)*VLOOKUP($D196,素材!$1:$1016,COLUMN(N$1),FALSE)+IF(CI196="",0,VLOOKUP($CI196,装強!$1:$1008,COLUMN($CK$1),FALSE)),"")</f>
        <v>3000</v>
      </c>
      <c r="CO196">
        <f>VLOOKUP(D196,素材!$A:$O,COLUMN(素材!O$1),FALSE)</f>
        <v>0</v>
      </c>
      <c r="CP196" t="str">
        <f>VLOOKUP(C196,武器!$A:$W,COLUMN(武器!W$1),FALSE)</f>
        <v>刀。切断力に優れた武器で、Cr威力が高い</v>
      </c>
      <c r="CR196" t="str">
        <f t="shared" si="18"/>
        <v>e_196</v>
      </c>
      <c r="CS196">
        <f t="shared" si="22"/>
        <v>300000</v>
      </c>
    </row>
    <row r="197" spans="1:97" outlineLevel="1" x14ac:dyDescent="0.4">
      <c r="A197" t="str">
        <f t="shared" si="28"/>
        <v>冷気鉄の剣</v>
      </c>
      <c r="B197" t="str">
        <f>IFERROR(VLOOKUP($D197,素材!$1:$1016,COLUMN($B$1),FALSE)&amp;"・"&amp;VLOOKUP($C197,武器!$1:$998,COLUMN(B$1),FALSE),"")</f>
        <v>ドゥララン・ソード</v>
      </c>
      <c r="C197" s="24" t="s">
        <v>240</v>
      </c>
      <c r="D197" s="24" t="s">
        <v>243</v>
      </c>
      <c r="E197" t="str">
        <f>IFERROR(VLOOKUP(C197,武器!$1:$998,COLUMN(C$1),FALSE),"")</f>
        <v>武器</v>
      </c>
      <c r="F197">
        <f>IFERROR(ROUNDDOWN((VLOOKUP($C197,武器!$1:$998,COLUMN(D$1),FALSE)+IFERROR(VLOOKUP($CI197,装強!$1:$999,COLUMN(F$1),FALSE),0))*VLOOKUP($D197,素材!$1:$1016,COLUMN(D$1),FALSE),0),"")</f>
        <v>100</v>
      </c>
      <c r="G197">
        <f>IFERROR(ROUNDDOWN((VLOOKUP($C197,武器!$1:$998,COLUMN(E$1),FALSE)+IFERROR(VLOOKUP($CI197,装強!$1:$999,COLUMN(G$1),FALSE),0))*VLOOKUP($D197,素材!$1:$1016,COLUMN($E$1),FALSE),0),"")</f>
        <v>12</v>
      </c>
      <c r="H197">
        <f>IFERROR(ROUNDDOWN((VLOOKUP($C197,武器!$1:$998,COLUMN(F$1),FALSE)+IFERROR(VLOOKUP($CI197,装強!$1:$999,COLUMN(H$1),FALSE),0))*VLOOKUP($D197,素材!$1:$1016,COLUMN($E$1),FALSE),0),"")</f>
        <v>9</v>
      </c>
      <c r="I197">
        <f>IFERROR(ROUNDDOWN((VLOOKUP($C197,武器!$1:$998,COLUMN(G$1),FALSE)+IFERROR(VLOOKUP($CI197,装強!$1:$999,COLUMN(I$1),FALSE),0))*VLOOKUP($D197,素材!$1:$1016,COLUMN($E$1),FALSE),0),"")</f>
        <v>3</v>
      </c>
      <c r="J197">
        <f>IFERROR(ROUNDDOWN((VLOOKUP($C197,武器!$1:$998,COLUMN(H$1),FALSE)+IFERROR(VLOOKUP($CI197,装強!$1:$999,COLUMN(J$1),FALSE),0))*VLOOKUP($D197,素材!$1:$1016,COLUMN($E$1),FALSE),0),"")</f>
        <v>19</v>
      </c>
      <c r="K197">
        <f>IFERROR(ROUNDDOWN((VLOOKUP($C197,武器!$1:$998,COLUMN(I$1),FALSE)+IFERROR(VLOOKUP($CI197,装強!$1:$999,COLUMN(K$1),FALSE),0))*VLOOKUP($D197,素材!$1:$1016,COLUMN($E$1),FALSE),0),"")</f>
        <v>0</v>
      </c>
      <c r="L197" t="str">
        <f>IFERROR(VLOOKUP($D197,素材!$1:$1016,COLUMN($F$1),FALSE),"")</f>
        <v>氷</v>
      </c>
      <c r="M197">
        <f>IFERROR(VLOOKUP($C197,武器!$1:$998,COLUMN(AA$1),FALSE)*VLOOKUP($D197,素材!$1:$1016,COLUMN($G$1),FALSE),"")</f>
        <v>40.25</v>
      </c>
      <c r="N197">
        <f>IFERROR(VLOOKUP($C197,武器!$1:$998,COLUMN(I$1),FALSE),"")</f>
        <v>0</v>
      </c>
      <c r="O197" s="23">
        <f>IFERROR((VLOOKUP($C197,武器!$1:$998,COLUMN(K$1),FALSE)+VLOOKUP($D197,素材!$1:$1016,COLUMN(H$1),FALSE))*100+IFERROR(VLOOKUP($CI197,装強!$1:$999,COLUMN(O$1),FALSE),0),"")</f>
        <v>10</v>
      </c>
      <c r="P197" s="23">
        <f>IFERROR((VLOOKUP($C197,武器!$1:$998,COLUMN(L$1),FALSE)+VLOOKUP($D197,素材!$1:$1016,COLUMN(I$1),FALSE))*100+IFERROR(VLOOKUP($CI197,装強!$1:$999,COLUMN(P$1),FALSE),0),"")</f>
        <v>150</v>
      </c>
      <c r="Q197">
        <f>IFERROR(ROUNDUP(VLOOKUP($C197,武器!$1:$998,COLUMN(M$1),FALSE)*(VLOOKUP($D197,素材!$1:$1002,COLUMN(D$1),FALSE)/100),1),"")</f>
        <v>0</v>
      </c>
      <c r="R197">
        <f>IFERROR(ROUNDUP(VLOOKUP($C197,武器!$1:$998,COLUMN(N$1),FALSE)*(VLOOKUP($D197,素材!$1:$1002,COLUMN(D$1),FALSE)/100),1),"")</f>
        <v>0</v>
      </c>
      <c r="S197">
        <f>IFERROR(VLOOKUP($C197,武器!$1:$998,COLUMN(P$1),FALSE),"")</f>
        <v>0</v>
      </c>
      <c r="T197">
        <f>IFERROR(VLOOKUP($C197,武器!$1:$998,COLUMN(Q$1),FALSE),"")</f>
        <v>0</v>
      </c>
      <c r="U197">
        <f>IFERROR(VLOOKUP($C197,武器!$1:$998,COLUMN(R$1),FALSE),"")</f>
        <v>0</v>
      </c>
      <c r="V197">
        <f>IFERROR(VLOOKUP($C197,武器!$1:$998,COLUMN(Q$1),FALSE),"")</f>
        <v>0</v>
      </c>
      <c r="W197" t="str">
        <f>IFERROR(VLOOKUP($C197,武器!$1:$998,COLUMN(T$1),FALSE),"")</f>
        <v>A</v>
      </c>
      <c r="Y197" t="str">
        <f>IFERROR(VLOOKUP($C197,武器!$1:$998,COLUMN(U$1),FALSE),"")</f>
        <v>片手適正Ⅰ</v>
      </c>
      <c r="Z197">
        <f>IFERROR(ROUNDUP(VLOOKUP($C197,武器!$1:$998,COLUMN(O$1),FALSE)*VLOOKUP($D197,素材!$1:$1016,COLUMN(E$1),FALSE),1),"")</f>
        <v>0</v>
      </c>
      <c r="AA197">
        <f>IF(ISNUMBER(SEARCH(SUBSTITUTE(AA$1,RIGHT(AA$1,2),""),VLOOKUP($D197,素材!$1:$1016,COLUMN($F$1),FALSE))),VLOOKUP($C197,武器!$1:$998,COLUMN($O$1),FALSE)*VLOOKUP($D197,素材!$1:$1016,COLUMN($E$1),FALSE)/(LEN(VLOOKUP($D197,素材!$1:$1016,COLUMN($F$1),FALSE)) - LEN(SUBSTITUTE(VLOOKUP($D197,素材!$1:$1016,COLUMN($F$1),FALSE), "・", 0)) + 1), 0)</f>
        <v>0</v>
      </c>
      <c r="AB197">
        <f>IF(ISNUMBER(SEARCH(SUBSTITUTE(AB$1,RIGHT(AB$1,2),""),VLOOKUP($D197,素材!$1:$1016,COLUMN($F$1),FALSE))),VLOOKUP($C197,武器!$1:$998,COLUMN($O$1),FALSE)*VLOOKUP($D197,素材!$1:$1016,COLUMN($E$1),FALSE)/(LEN(VLOOKUP($D197,素材!$1:$1016,COLUMN($F$1),FALSE)) - LEN(SUBSTITUTE(VLOOKUP($D197,素材!$1:$1016,COLUMN($F$1),FALSE), "・", 0)) + 1), 0)</f>
        <v>0</v>
      </c>
      <c r="AC197">
        <f>IF(ISNUMBER(SEARCH(SUBSTITUTE(AC$1,RIGHT(AC$1,2),""),VLOOKUP($D197,素材!$1:$1016,COLUMN($F$1),FALSE))),VLOOKUP($C197,武器!$1:$998,COLUMN($O$1),FALSE)*VLOOKUP($D197,素材!$1:$1016,COLUMN($E$1),FALSE)/(LEN(VLOOKUP($D197,素材!$1:$1016,COLUMN($F$1),FALSE)) - LEN(SUBSTITUTE(VLOOKUP($D197,素材!$1:$1016,COLUMN($F$1),FALSE), "・", 0)) + 1), 0)</f>
        <v>0</v>
      </c>
      <c r="AD197">
        <f>IF(ISNUMBER(SEARCH(SUBSTITUTE(AD$1,RIGHT(AD$1,2),""),VLOOKUP($D197,素材!$1:$1016,COLUMN($F$1),FALSE))),VLOOKUP($C197,武器!$1:$998,COLUMN($O$1),FALSE)*VLOOKUP($D197,素材!$1:$1016,COLUMN($E$1),FALSE)/(LEN(VLOOKUP($D197,素材!$1:$1016,COLUMN($F$1),FALSE)) - LEN(SUBSTITUTE(VLOOKUP($D197,素材!$1:$1016,COLUMN($F$1),FALSE), "・", 0)) + 1), 0)</f>
        <v>0</v>
      </c>
      <c r="AE197">
        <f>IF(ISNUMBER(SEARCH(SUBSTITUTE(AE$1,RIGHT(AE$1,2),""),VLOOKUP($D197,素材!$1:$1016,COLUMN($F$1),FALSE))),VLOOKUP($C197,武器!$1:$998,COLUMN($O$1),FALSE)*VLOOKUP($D197,素材!$1:$1016,COLUMN($E$1),FALSE)/(LEN(VLOOKUP($D197,素材!$1:$1016,COLUMN($F$1),FALSE)) - LEN(SUBSTITUTE(VLOOKUP($D197,素材!$1:$1016,COLUMN($F$1),FALSE), "・", 0)) + 1), 0)</f>
        <v>0</v>
      </c>
      <c r="AF197">
        <f>IF(ISNUMBER(SEARCH(SUBSTITUTE(AF$1,RIGHT(AF$1,2),""),VLOOKUP($D197,素材!$1:$1016,COLUMN($F$1),FALSE))),VLOOKUP($C197,武器!$1:$998,COLUMN($O$1),FALSE)*VLOOKUP($D197,素材!$1:$1016,COLUMN($E$1),FALSE)/(LEN(VLOOKUP($D197,素材!$1:$1016,COLUMN($F$1),FALSE)) - LEN(SUBSTITUTE(VLOOKUP($D197,素材!$1:$1016,COLUMN($F$1),FALSE), "・", 0)) + 1), 0)</f>
        <v>0</v>
      </c>
      <c r="AG197">
        <f>IF(ISNUMBER(SEARCH(SUBSTITUTE(AG$1,RIGHT(AG$1,2),""),VLOOKUP($D197,素材!$1:$1016,COLUMN($F$1),FALSE))),VLOOKUP($C197,武器!$1:$998,COLUMN($O$1),FALSE)*VLOOKUP($D197,素材!$1:$1016,COLUMN($E$1),FALSE)/(LEN(VLOOKUP($D197,素材!$1:$1016,COLUMN($F$1),FALSE)) - LEN(SUBSTITUTE(VLOOKUP($D197,素材!$1:$1016,COLUMN($F$1),FALSE), "・", 0)) + 1), 0)</f>
        <v>0</v>
      </c>
      <c r="AH197">
        <f>IF(ISNUMBER(SEARCH(SUBSTITUTE(AH$1,RIGHT(AH$1,2),""),VLOOKUP($D197,素材!$1:$1016,COLUMN($F$1),FALSE))),VLOOKUP($C197,武器!$1:$998,COLUMN($O$1),FALSE)*VLOOKUP($D197,素材!$1:$1016,COLUMN($E$1),FALSE)/(LEN(VLOOKUP($D197,素材!$1:$1016,COLUMN($F$1),FALSE)) - LEN(SUBSTITUTE(VLOOKUP($D197,素材!$1:$1016,COLUMN($F$1),FALSE), "・", 0)) + 1), 0)</f>
        <v>0</v>
      </c>
      <c r="AI197">
        <f>IF(ISNUMBER(SEARCH(SUBSTITUTE(AI$1,RIGHT(AI$1,2),""),VLOOKUP($D197,素材!$1:$1016,COLUMN($F$1),FALSE))),VLOOKUP($C197,武器!$1:$998,COLUMN($O$1),FALSE)*VLOOKUP($D197,素材!$1:$1016,COLUMN($E$1),FALSE)/(LEN(VLOOKUP($D197,素材!$1:$1016,COLUMN($F$1),FALSE)) - LEN(SUBSTITUTE(VLOOKUP($D197,素材!$1:$1016,COLUMN($F$1),FALSE), "・", 0)) + 1), 0)</f>
        <v>0</v>
      </c>
      <c r="AJ197">
        <f>IF(ISNUMBER(SEARCH(SUBSTITUTE(AJ$1,RIGHT(AJ$1,2),""),VLOOKUP($D197,素材!$1:$1016,COLUMN($F$1),FALSE))),VLOOKUP($C197,武器!$1:$998,COLUMN($O$1),FALSE)*VLOOKUP($D197,素材!$1:$1016,COLUMN($E$1),FALSE)/(LEN(VLOOKUP($D197,素材!$1:$1016,COLUMN($F$1),FALSE)) - LEN(SUBSTITUTE(VLOOKUP($D197,素材!$1:$1016,COLUMN($F$1),FALSE), "・", 0)) + 1), 0)</f>
        <v>0</v>
      </c>
      <c r="AK197">
        <f>IF(ISNUMBER(SEARCH(SUBSTITUTE(AK$1,RIGHT(AK$1,2),""),VLOOKUP($D197,素材!$1:$1016,COLUMN($F$1),FALSE))),VLOOKUP($C197,武器!$1:$998,COLUMN($O$1),FALSE)*VLOOKUP($D197,素材!$1:$1016,COLUMN($E$1),FALSE)/(LEN(VLOOKUP($D197,素材!$1:$1016,COLUMN($F$1),FALSE)) - LEN(SUBSTITUTE(VLOOKUP($D197,素材!$1:$1016,COLUMN($F$1),FALSE), "・", 0)) + 1), 0)</f>
        <v>0</v>
      </c>
      <c r="AL197">
        <f>IF(ISNUMBER(SEARCH(SUBSTITUTE(AL$1,RIGHT(AL$1,2),""),VLOOKUP($D197,素材!$1:$1016,COLUMN($F$1),FALSE))),VLOOKUP($C197,武器!$1:$998,COLUMN($O$1),FALSE)*VLOOKUP($D197,素材!$1:$1016,COLUMN($E$1),FALSE)/(LEN(VLOOKUP($D197,素材!$1:$1016,COLUMN($F$1),FALSE)) - LEN(SUBSTITUTE(VLOOKUP($D197,素材!$1:$1016,COLUMN($F$1),FALSE), "・", 0)) + 1), 0)</f>
        <v>0</v>
      </c>
      <c r="AM197">
        <f>IF(ISNUMBER(SEARCH(SUBSTITUTE(AM$1,RIGHT(AM$1,2),""),VLOOKUP($D197,素材!$1:$1016,COLUMN($F$1),FALSE))),VLOOKUP($C197,武器!$1:$998,COLUMN($O$1),FALSE)*VLOOKUP($D197,素材!$1:$1016,COLUMN($E$1),FALSE)/(LEN(VLOOKUP($D197,素材!$1:$1016,COLUMN($F$1),FALSE)) - LEN(SUBSTITUTE(VLOOKUP($D197,素材!$1:$1016,COLUMN($F$1),FALSE), "・", 0)) + 1), 0)</f>
        <v>0</v>
      </c>
      <c r="AN197">
        <f>IF(ISNUMBER(SEARCH(SUBSTITUTE(AN$1,RIGHT(AN$1,2),""),VLOOKUP($D197,素材!$1:$1016,COLUMN($F$1),FALSE))),VLOOKUP($C197,武器!$1:$998,COLUMN($O$1),FALSE)*VLOOKUP($D197,素材!$1:$1016,COLUMN($E$1),FALSE)/(LEN(VLOOKUP($D197,素材!$1:$1016,COLUMN($F$1),FALSE)) - LEN(SUBSTITUTE(VLOOKUP($D197,素材!$1:$1016,COLUMN($F$1),FALSE), "・", 0)) + 1), 0)</f>
        <v>0</v>
      </c>
      <c r="AO197">
        <f>IF(ISNUMBER(SEARCH(SUBSTITUTE(AO$1,RIGHT(AO$1,2),""),VLOOKUP($D197,素材!$1:$1016,COLUMN($F$1),FALSE))),VLOOKUP($C197,武器!$1:$998,COLUMN($O$1),FALSE)*VLOOKUP($D197,素材!$1:$1016,COLUMN($E$1),FALSE)/(LEN(VLOOKUP($D197,素材!$1:$1016,COLUMN($F$1),FALSE)) - LEN(SUBSTITUTE(VLOOKUP($D197,素材!$1:$1016,COLUMN($F$1),FALSE), "・", 0)) + 1), 0)</f>
        <v>0</v>
      </c>
      <c r="AP197">
        <f>IF(ISNUMBER(SEARCH(SUBSTITUTE(AP$1,RIGHT(AP$1,2),""),VLOOKUP($D197,素材!$1:$1016,COLUMN($F$1),FALSE))),VLOOKUP($C197,武器!$1:$998,COLUMN($O$1),FALSE)*VLOOKUP($D197,素材!$1:$1016,COLUMN($E$1),FALSE)/(LEN(VLOOKUP($D197,素材!$1:$1016,COLUMN($F$1),FALSE)) - LEN(SUBSTITUTE(VLOOKUP($D197,素材!$1:$1016,COLUMN($F$1),FALSE), "・", 0)) + 1), 0)</f>
        <v>0</v>
      </c>
      <c r="AQ197">
        <f>IF(ISNUMBER(SEARCH(SUBSTITUTE(AQ$1,RIGHT(AQ$1,2),""),VLOOKUP($D197,素材!$1:$1016,COLUMN($F$1),FALSE))),VLOOKUP($C197,武器!$1:$998,COLUMN($O$1),FALSE)*VLOOKUP($D197,素材!$1:$1016,COLUMN($E$1),FALSE)/(LEN(VLOOKUP($D197,素材!$1:$1016,COLUMN($F$1),FALSE)) - LEN(SUBSTITUTE(VLOOKUP($D197,素材!$1:$1016,COLUMN($F$1),FALSE), "・", 0)) + 1), 0)</f>
        <v>0</v>
      </c>
      <c r="AR197">
        <f>IF(ISNUMBER(SEARCH(SUBSTITUTE(AR$1,RIGHT(AR$1,2),""),VLOOKUP($D197,素材!$1:$1016,COLUMN($F$1),FALSE))),VLOOKUP($C197,武器!$1:$998,COLUMN($O$1),FALSE)*VLOOKUP($D197,素材!$1:$1016,COLUMN($E$1),FALSE)/(LEN(VLOOKUP($D197,素材!$1:$1016,COLUMN($F$1),FALSE)) - LEN(SUBSTITUTE(VLOOKUP($D197,素材!$1:$1016,COLUMN($F$1),FALSE), "・", 0)) + 1), 0)</f>
        <v>0</v>
      </c>
      <c r="AS197">
        <f>IF(ISNUMBER(SEARCH(SUBSTITUTE(AS$1,RIGHT(AS$1,2),""),VLOOKUP($D197,素材!$1:$1016,COLUMN($F$1),FALSE))),VLOOKUP($C197,武器!$1:$998,COLUMN($O$1),FALSE)*VLOOKUP($D197,素材!$1:$1016,COLUMN($E$1),FALSE)/(LEN(VLOOKUP($D197,素材!$1:$1016,COLUMN($F$1),FALSE)) - LEN(SUBSTITUTE(VLOOKUP($D197,素材!$1:$1016,COLUMN($F$1),FALSE), "・", 0)) + 1), 0)</f>
        <v>0</v>
      </c>
      <c r="AT197">
        <f>IF(ISNUMBER(SEARCH(SUBSTITUTE(AT$1,RIGHT(AT$1,2),""),VLOOKUP($D197,素材!$1:$1016,COLUMN($F$1),FALSE))),VLOOKUP($C197,武器!$1:$998,COLUMN($O$1),FALSE)*VLOOKUP($D197,素材!$1:$1016,COLUMN($E$1),FALSE)/(LEN(VLOOKUP($D197,素材!$1:$1016,COLUMN($F$1),FALSE)) - LEN(SUBSTITUTE(VLOOKUP($D197,素材!$1:$1016,COLUMN($F$1),FALSE), "・", 0)) + 1), 0)</f>
        <v>0</v>
      </c>
      <c r="AU197">
        <f>IF(ISNUMBER(SEARCH(SUBSTITUTE(AU$1,RIGHT(AU$1,2),""),VLOOKUP($D197,素材!$1:$1016,COLUMN($F$1),FALSE))),VLOOKUP($C197,武器!$1:$998,COLUMN($O$1),FALSE)*VLOOKUP($D197,素材!$1:$1016,COLUMN($E$1),FALSE)/(LEN(VLOOKUP($D197,素材!$1:$1016,COLUMN($F$1),FALSE)) - LEN(SUBSTITUTE(VLOOKUP($D197,素材!$1:$1016,COLUMN($F$1),FALSE), "・", 0)) + 1), 0)</f>
        <v>0</v>
      </c>
      <c r="AV197">
        <f>IF(ISNUMBER(SEARCH(SUBSTITUTE(AV$1,RIGHT(AV$1,2),""),VLOOKUP($D197,素材!$1:$1016,COLUMN($F$1),FALSE))),VLOOKUP($C197,武器!$1:$998,COLUMN($O$1),FALSE)*VLOOKUP($D197,素材!$1:$1016,COLUMN($E$1),FALSE)/(LEN(VLOOKUP($D197,素材!$1:$1016,COLUMN($F$1),FALSE)) - LEN(SUBSTITUTE(VLOOKUP($D197,素材!$1:$1016,COLUMN($F$1),FALSE), "・", 0)) + 1), 0)</f>
        <v>0</v>
      </c>
      <c r="AW197">
        <f>IF(ISNUMBER(SEARCH(SUBSTITUTE(AW$1,RIGHT(AW$1,2),""),VLOOKUP($D197,素材!$1:$1016,COLUMN($F$1),FALSE))),VLOOKUP($C197,武器!$1:$998,COLUMN($O$1),FALSE)*VLOOKUP($D197,素材!$1:$1016,COLUMN($E$1),FALSE)/(LEN(VLOOKUP($D197,素材!$1:$1016,COLUMN($F$1),FALSE)) - LEN(SUBSTITUTE(VLOOKUP($D197,素材!$1:$1016,COLUMN($F$1),FALSE), "・", 0)) + 1), 0)</f>
        <v>0</v>
      </c>
      <c r="AX197">
        <f>IF(ISNUMBER(SEARCH(SUBSTITUTE(AX$1,RIGHT(AX$1,2),""),VLOOKUP($D197,素材!$1:$1016,COLUMN($F$1),FALSE))),VLOOKUP($C197,武器!$1:$998,COLUMN($O$1),FALSE)*VLOOKUP($D197,素材!$1:$1016,COLUMN($E$1),FALSE)/(LEN(VLOOKUP($D197,素材!$1:$1016,COLUMN($F$1),FALSE)) - LEN(SUBSTITUTE(VLOOKUP($D197,素材!$1:$1016,COLUMN($F$1),FALSE), "・", 0)) + 1), 0)</f>
        <v>0</v>
      </c>
      <c r="AY197">
        <f>IF(ISNUMBER(SEARCH(SUBSTITUTE(AY$1,RIGHT(AY$1,2),""),VLOOKUP($D197,素材!$1:$1016,COLUMN($F$1),FALSE))),VLOOKUP($C197,武器!$1:$998,COLUMN($O$1),FALSE)*VLOOKUP($D197,素材!$1:$1016,COLUMN($E$1),FALSE)/(LEN(VLOOKUP($D197,素材!$1:$1016,COLUMN($F$1),FALSE)) - LEN(SUBSTITUTE(VLOOKUP($D197,素材!$1:$1016,COLUMN($F$1),FALSE), "・", 0)) + 1), 0)</f>
        <v>0</v>
      </c>
      <c r="AZ197">
        <f>IF(ISNUMBER(SEARCH(SUBSTITUTE(AZ$1,RIGHT(AZ$1,2),""),VLOOKUP($D197,素材!$1:$1016,COLUMN($F$1),FALSE))),VLOOKUP($C197,武器!$1:$998,COLUMN($O$1),FALSE)*VLOOKUP($D197,素材!$1:$1016,COLUMN($E$1),FALSE)/(LEN(VLOOKUP($D197,素材!$1:$1016,COLUMN($F$1),FALSE)) - LEN(SUBSTITUTE(VLOOKUP($D197,素材!$1:$1016,COLUMN($F$1),FALSE), "・", 0)) + 1), 0)</f>
        <v>0</v>
      </c>
      <c r="BA197">
        <f>IF(ISNUMBER(SEARCH(SUBSTITUTE(BA$1,RIGHT(BA$1,2),""),VLOOKUP($D197,素材!$1:$1016,COLUMN($F$1),FALSE))),VLOOKUP($C197,武器!$1:$998,COLUMN($O$1),FALSE)*VLOOKUP($D197,素材!$1:$1016,COLUMN($E$1),FALSE)/(LEN(VLOOKUP($D197,素材!$1:$1016,COLUMN($F$1),FALSE)) - LEN(SUBSTITUTE(VLOOKUP($D197,素材!$1:$1016,COLUMN($F$1),FALSE), "・", 0)) + 1), 0)</f>
        <v>0</v>
      </c>
      <c r="BB197">
        <f>IF(ISNUMBER(SEARCH(SUBSTITUTE(BB$1,RIGHT(BB$1,2),""),VLOOKUP($D197,素材!$1:$1016,COLUMN($F$1),FALSE))),VLOOKUP($C197,武器!$1:$998,COLUMN($O$1),FALSE)*VLOOKUP($D197,素材!$1:$1016,COLUMN($E$1),FALSE)/(LEN(VLOOKUP($D197,素材!$1:$1016,COLUMN($F$1),FALSE)) - LEN(SUBSTITUTE(VLOOKUP($D197,素材!$1:$1016,COLUMN($F$1),FALSE), "・", 0)) + 1), 0)</f>
        <v>0</v>
      </c>
      <c r="BC197">
        <f>IF(ISNUMBER(SEARCH(SUBSTITUTE(BC$1,RIGHT(BC$1,2),""),VLOOKUP($D197,素材!$1:$1016,COLUMN($F$1),FALSE))),VLOOKUP($C197,武器!$1:$998,COLUMN($O$1),FALSE)*VLOOKUP($D197,素材!$1:$1016,COLUMN($E$1),FALSE)/(LEN(VLOOKUP($D197,素材!$1:$1016,COLUMN($F$1),FALSE)) - LEN(SUBSTITUTE(VLOOKUP($D197,素材!$1:$1016,COLUMN($F$1),FALSE), "・", 0)) + 1), 0)</f>
        <v>0</v>
      </c>
      <c r="BD197">
        <f>IF(ISNUMBER(SEARCH(SUBSTITUTE(BD$1,RIGHT(BD$1,2),""),VLOOKUP($D197,素材!$1:$1016,COLUMN($F$1),FALSE))),VLOOKUP($C197,武器!$1:$998,COLUMN($O$1),FALSE)*VLOOKUP($D197,素材!$1:$1016,COLUMN($E$1),FALSE)/(LEN(VLOOKUP($D197,素材!$1:$1016,COLUMN($F$1),FALSE)) - LEN(SUBSTITUTE(VLOOKUP($D197,素材!$1:$1016,COLUMN($F$1),FALSE), "・", 0)) + 1), 0)</f>
        <v>0</v>
      </c>
      <c r="BE197">
        <f>IF(ISNUMBER(SEARCH(SUBSTITUTE(BE$1,RIGHT(BE$1,2),""),VLOOKUP($D197,素材!$1:$1016,COLUMN($F$1),FALSE))),VLOOKUP($C197,武器!$1:$998,COLUMN($O$1),FALSE)*VLOOKUP($D197,素材!$1:$1016,COLUMN($E$1),FALSE)/(LEN(VLOOKUP($D197,素材!$1:$1016,COLUMN($F$1),FALSE)) - LEN(SUBSTITUTE(VLOOKUP($D197,素材!$1:$1016,COLUMN($F$1),FALSE), "・", 0)) + 1), 0)</f>
        <v>0</v>
      </c>
      <c r="CL197">
        <f>SUM(G197:I197)</f>
        <v>24</v>
      </c>
      <c r="CM197" s="22" t="str">
        <f>IF(E197="武器",IF(J197-1&gt;SUM(G197:I197),"盾",IF(MAX(G197:I197)=G197,"切断",IF(MAX(G197:I197)=H197,"貫通",IF(MAX(G197:I197)=I197,"打撃","射撃")))),E197)&amp;".webp"</f>
        <v>切断.webp</v>
      </c>
      <c r="CN197">
        <f>IFERROR(VLOOKUP($C197,武器!$1:$998,COLUMN(V$1),FALSE)*VLOOKUP($D197,素材!$1:$1016,COLUMN(N$1),FALSE)+IF(CI197="",0,VLOOKUP($CI197,装強!$1:$1008,COLUMN($CK$1),FALSE)),"")</f>
        <v>2250</v>
      </c>
      <c r="CO197">
        <f>VLOOKUP(D197,素材!$A:$O,COLUMN(素材!O$1),FALSE)</f>
        <v>0</v>
      </c>
      <c r="CP197" t="str">
        <f>VLOOKUP(C197,武器!$A:$W,COLUMN(武器!W$1),FALSE)</f>
        <v>剣。短い剣で片手で扱いやすく、初心者向けの武器。</v>
      </c>
      <c r="CR197" t="str">
        <f t="shared" si="18"/>
        <v>e_197</v>
      </c>
      <c r="CS197">
        <f t="shared" si="22"/>
        <v>225000</v>
      </c>
    </row>
    <row r="198" spans="1:97" outlineLevel="1" x14ac:dyDescent="0.4">
      <c r="A198" t="str">
        <f t="shared" si="28"/>
        <v>冷気鉄の広剣</v>
      </c>
      <c r="B198" t="str">
        <f>IFERROR(VLOOKUP($D198,素材!$1:$1016,COLUMN($B$1),FALSE)&amp;"・"&amp;VLOOKUP($C198,武器!$1:$998,COLUMN(B$1),FALSE),"")</f>
        <v>ドゥララン・ブロードソード</v>
      </c>
      <c r="C198" s="24" t="s">
        <v>239</v>
      </c>
      <c r="D198" s="24" t="s">
        <v>243</v>
      </c>
      <c r="E198" t="str">
        <f>IFERROR(VLOOKUP(C198,武器!$1:$998,COLUMN(C$1),FALSE),"")</f>
        <v>武器</v>
      </c>
      <c r="F198">
        <f>IFERROR(ROUNDDOWN((VLOOKUP($C198,武器!$1:$998,COLUMN(D$1),FALSE)+IFERROR(VLOOKUP($CI198,装強!$1:$999,COLUMN(F$1),FALSE),0))*VLOOKUP($D198,素材!$1:$1016,COLUMN(D$1),FALSE),0),"")</f>
        <v>110</v>
      </c>
      <c r="G198">
        <f>IFERROR(ROUNDDOWN((VLOOKUP($C198,武器!$1:$998,COLUMN(E$1),FALSE)+IFERROR(VLOOKUP($CI198,装強!$1:$999,COLUMN(G$1),FALSE),0))*VLOOKUP($D198,素材!$1:$1016,COLUMN($E$1),FALSE),0),"")</f>
        <v>12</v>
      </c>
      <c r="H198">
        <f>IFERROR(ROUNDDOWN((VLOOKUP($C198,武器!$1:$998,COLUMN(F$1),FALSE)+IFERROR(VLOOKUP($CI198,装強!$1:$999,COLUMN(H$1),FALSE),0))*VLOOKUP($D198,素材!$1:$1016,COLUMN($E$1),FALSE),0),"")</f>
        <v>8</v>
      </c>
      <c r="I198">
        <f>IFERROR(ROUNDDOWN((VLOOKUP($C198,武器!$1:$998,COLUMN(G$1),FALSE)+IFERROR(VLOOKUP($CI198,装強!$1:$999,COLUMN(I$1),FALSE),0))*VLOOKUP($D198,素材!$1:$1016,COLUMN($E$1),FALSE),0),"")</f>
        <v>3</v>
      </c>
      <c r="J198">
        <f>IFERROR(ROUNDDOWN((VLOOKUP($C198,武器!$1:$998,COLUMN(H$1),FALSE)+IFERROR(VLOOKUP($CI198,装強!$1:$999,COLUMN(J$1),FALSE),0))*VLOOKUP($D198,素材!$1:$1016,COLUMN($E$1),FALSE),0),"")</f>
        <v>23</v>
      </c>
      <c r="K198">
        <f>IFERROR(ROUNDDOWN((VLOOKUP($C198,武器!$1:$998,COLUMN(I$1),FALSE)+IFERROR(VLOOKUP($CI198,装強!$1:$999,COLUMN(K$1),FALSE),0))*VLOOKUP($D198,素材!$1:$1016,COLUMN($E$1),FALSE),0),"")</f>
        <v>0</v>
      </c>
      <c r="L198" t="str">
        <f>IFERROR(VLOOKUP($D198,素材!$1:$1016,COLUMN($F$1),FALSE),"")</f>
        <v>氷</v>
      </c>
      <c r="M198">
        <f>IFERROR(VLOOKUP($C198,武器!$1:$998,COLUMN(AA$1),FALSE)*VLOOKUP($D198,素材!$1:$1016,COLUMN($G$1),FALSE),"")</f>
        <v>40.25</v>
      </c>
      <c r="N198">
        <f>IFERROR(VLOOKUP($C198,武器!$1:$998,COLUMN(I$1),FALSE),"")</f>
        <v>0</v>
      </c>
      <c r="O198" s="23">
        <f>IFERROR((VLOOKUP($C198,武器!$1:$998,COLUMN(K$1),FALSE)+VLOOKUP($D198,素材!$1:$1016,COLUMN(H$1),FALSE))*100+IFERROR(VLOOKUP($CI198,装強!$1:$999,COLUMN(O$1),FALSE),0),"")</f>
        <v>10</v>
      </c>
      <c r="P198" s="23">
        <f>IFERROR((VLOOKUP($C198,武器!$1:$998,COLUMN(L$1),FALSE)+VLOOKUP($D198,素材!$1:$1016,COLUMN(I$1),FALSE))*100+IFERROR(VLOOKUP($CI198,装強!$1:$999,COLUMN(P$1),FALSE),0),"")</f>
        <v>150</v>
      </c>
      <c r="Q198">
        <f>IFERROR(ROUNDUP(VLOOKUP($C198,武器!$1:$998,COLUMN(M$1),FALSE)*(VLOOKUP($D198,素材!$1:$1002,COLUMN(D$1),FALSE)/100),1),"")</f>
        <v>-2.5</v>
      </c>
      <c r="R198">
        <f>IFERROR(ROUNDUP(VLOOKUP($C198,武器!$1:$998,COLUMN(N$1),FALSE)*(VLOOKUP($D198,素材!$1:$1002,COLUMN(D$1),FALSE)/100),1),"")</f>
        <v>-2.5</v>
      </c>
      <c r="S198">
        <f>IFERROR(VLOOKUP($C198,武器!$1:$998,COLUMN(P$1),FALSE),"")</f>
        <v>0</v>
      </c>
      <c r="T198">
        <f>IFERROR(VLOOKUP($C198,武器!$1:$998,COLUMN(Q$1),FALSE),"")</f>
        <v>0</v>
      </c>
      <c r="U198">
        <f>IFERROR(VLOOKUP($C198,武器!$1:$998,COLUMN(R$1),FALSE),"")</f>
        <v>0</v>
      </c>
      <c r="V198">
        <f>IFERROR(VLOOKUP($C198,武器!$1:$998,COLUMN(Q$1),FALSE),"")</f>
        <v>0</v>
      </c>
      <c r="W198" t="str">
        <f>IFERROR(VLOOKUP($C198,武器!$1:$998,COLUMN(T$1),FALSE),"")</f>
        <v>A</v>
      </c>
      <c r="Y198">
        <f>IFERROR(VLOOKUP($C198,武器!$1:$998,COLUMN(U$1),FALSE),"")</f>
        <v>0</v>
      </c>
      <c r="Z198">
        <f>IFERROR(ROUNDUP(VLOOKUP($C198,武器!$1:$998,COLUMN(O$1),FALSE)*VLOOKUP($D198,素材!$1:$1016,COLUMN(E$1),FALSE),1),"")</f>
        <v>0</v>
      </c>
      <c r="AA198">
        <f>IF(ISNUMBER(SEARCH(SUBSTITUTE(AA$1,RIGHT(AA$1,2),""),VLOOKUP($D198,素材!$1:$1016,COLUMN($F$1),FALSE))),VLOOKUP($C198,武器!$1:$998,COLUMN($O$1),FALSE)*VLOOKUP($D198,素材!$1:$1016,COLUMN($E$1),FALSE)/(LEN(VLOOKUP($D198,素材!$1:$1016,COLUMN($F$1),FALSE)) - LEN(SUBSTITUTE(VLOOKUP($D198,素材!$1:$1016,COLUMN($F$1),FALSE), "・", 0)) + 1), 0)</f>
        <v>0</v>
      </c>
      <c r="AB198">
        <f>IF(ISNUMBER(SEARCH(SUBSTITUTE(AB$1,RIGHT(AB$1,2),""),VLOOKUP($D198,素材!$1:$1016,COLUMN($F$1),FALSE))),VLOOKUP($C198,武器!$1:$998,COLUMN($O$1),FALSE)*VLOOKUP($D198,素材!$1:$1016,COLUMN($E$1),FALSE)/(LEN(VLOOKUP($D198,素材!$1:$1016,COLUMN($F$1),FALSE)) - LEN(SUBSTITUTE(VLOOKUP($D198,素材!$1:$1016,COLUMN($F$1),FALSE), "・", 0)) + 1), 0)</f>
        <v>0</v>
      </c>
      <c r="AC198">
        <f>IF(ISNUMBER(SEARCH(SUBSTITUTE(AC$1,RIGHT(AC$1,2),""),VLOOKUP($D198,素材!$1:$1016,COLUMN($F$1),FALSE))),VLOOKUP($C198,武器!$1:$998,COLUMN($O$1),FALSE)*VLOOKUP($D198,素材!$1:$1016,COLUMN($E$1),FALSE)/(LEN(VLOOKUP($D198,素材!$1:$1016,COLUMN($F$1),FALSE)) - LEN(SUBSTITUTE(VLOOKUP($D198,素材!$1:$1016,COLUMN($F$1),FALSE), "・", 0)) + 1), 0)</f>
        <v>0</v>
      </c>
      <c r="AD198">
        <f>IF(ISNUMBER(SEARCH(SUBSTITUTE(AD$1,RIGHT(AD$1,2),""),VLOOKUP($D198,素材!$1:$1016,COLUMN($F$1),FALSE))),VLOOKUP($C198,武器!$1:$998,COLUMN($O$1),FALSE)*VLOOKUP($D198,素材!$1:$1016,COLUMN($E$1),FALSE)/(LEN(VLOOKUP($D198,素材!$1:$1016,COLUMN($F$1),FALSE)) - LEN(SUBSTITUTE(VLOOKUP($D198,素材!$1:$1016,COLUMN($F$1),FALSE), "・", 0)) + 1), 0)</f>
        <v>0</v>
      </c>
      <c r="AE198">
        <f>IF(ISNUMBER(SEARCH(SUBSTITUTE(AE$1,RIGHT(AE$1,2),""),VLOOKUP($D198,素材!$1:$1016,COLUMN($F$1),FALSE))),VLOOKUP($C198,武器!$1:$998,COLUMN($O$1),FALSE)*VLOOKUP($D198,素材!$1:$1016,COLUMN($E$1),FALSE)/(LEN(VLOOKUP($D198,素材!$1:$1016,COLUMN($F$1),FALSE)) - LEN(SUBSTITUTE(VLOOKUP($D198,素材!$1:$1016,COLUMN($F$1),FALSE), "・", 0)) + 1), 0)</f>
        <v>0</v>
      </c>
      <c r="AF198">
        <f>IF(ISNUMBER(SEARCH(SUBSTITUTE(AF$1,RIGHT(AF$1,2),""),VLOOKUP($D198,素材!$1:$1016,COLUMN($F$1),FALSE))),VLOOKUP($C198,武器!$1:$998,COLUMN($O$1),FALSE)*VLOOKUP($D198,素材!$1:$1016,COLUMN($E$1),FALSE)/(LEN(VLOOKUP($D198,素材!$1:$1016,COLUMN($F$1),FALSE)) - LEN(SUBSTITUTE(VLOOKUP($D198,素材!$1:$1016,COLUMN($F$1),FALSE), "・", 0)) + 1), 0)</f>
        <v>0</v>
      </c>
      <c r="AG198">
        <f>IF(ISNUMBER(SEARCH(SUBSTITUTE(AG$1,RIGHT(AG$1,2),""),VLOOKUP($D198,素材!$1:$1016,COLUMN($F$1),FALSE))),VLOOKUP($C198,武器!$1:$998,COLUMN($O$1),FALSE)*VLOOKUP($D198,素材!$1:$1016,COLUMN($E$1),FALSE)/(LEN(VLOOKUP($D198,素材!$1:$1016,COLUMN($F$1),FALSE)) - LEN(SUBSTITUTE(VLOOKUP($D198,素材!$1:$1016,COLUMN($F$1),FALSE), "・", 0)) + 1), 0)</f>
        <v>0</v>
      </c>
      <c r="AH198">
        <f>IF(ISNUMBER(SEARCH(SUBSTITUTE(AH$1,RIGHT(AH$1,2),""),VLOOKUP($D198,素材!$1:$1016,COLUMN($F$1),FALSE))),VLOOKUP($C198,武器!$1:$998,COLUMN($O$1),FALSE)*VLOOKUP($D198,素材!$1:$1016,COLUMN($E$1),FALSE)/(LEN(VLOOKUP($D198,素材!$1:$1016,COLUMN($F$1),FALSE)) - LEN(SUBSTITUTE(VLOOKUP($D198,素材!$1:$1016,COLUMN($F$1),FALSE), "・", 0)) + 1), 0)</f>
        <v>0</v>
      </c>
      <c r="AI198">
        <f>IF(ISNUMBER(SEARCH(SUBSTITUTE(AI$1,RIGHT(AI$1,2),""),VLOOKUP($D198,素材!$1:$1016,COLUMN($F$1),FALSE))),VLOOKUP($C198,武器!$1:$998,COLUMN($O$1),FALSE)*VLOOKUP($D198,素材!$1:$1016,COLUMN($E$1),FALSE)/(LEN(VLOOKUP($D198,素材!$1:$1016,COLUMN($F$1),FALSE)) - LEN(SUBSTITUTE(VLOOKUP($D198,素材!$1:$1016,COLUMN($F$1),FALSE), "・", 0)) + 1), 0)</f>
        <v>0</v>
      </c>
      <c r="AJ198">
        <f>IF(ISNUMBER(SEARCH(SUBSTITUTE(AJ$1,RIGHT(AJ$1,2),""),VLOOKUP($D198,素材!$1:$1016,COLUMN($F$1),FALSE))),VLOOKUP($C198,武器!$1:$998,COLUMN($O$1),FALSE)*VLOOKUP($D198,素材!$1:$1016,COLUMN($E$1),FALSE)/(LEN(VLOOKUP($D198,素材!$1:$1016,COLUMN($F$1),FALSE)) - LEN(SUBSTITUTE(VLOOKUP($D198,素材!$1:$1016,COLUMN($F$1),FALSE), "・", 0)) + 1), 0)</f>
        <v>0</v>
      </c>
      <c r="AK198">
        <f>IF(ISNUMBER(SEARCH(SUBSTITUTE(AK$1,RIGHT(AK$1,2),""),VLOOKUP($D198,素材!$1:$1016,COLUMN($F$1),FALSE))),VLOOKUP($C198,武器!$1:$998,COLUMN($O$1),FALSE)*VLOOKUP($D198,素材!$1:$1016,COLUMN($E$1),FALSE)/(LEN(VLOOKUP($D198,素材!$1:$1016,COLUMN($F$1),FALSE)) - LEN(SUBSTITUTE(VLOOKUP($D198,素材!$1:$1016,COLUMN($F$1),FALSE), "・", 0)) + 1), 0)</f>
        <v>0</v>
      </c>
      <c r="AL198">
        <f>IF(ISNUMBER(SEARCH(SUBSTITUTE(AL$1,RIGHT(AL$1,2),""),VLOOKUP($D198,素材!$1:$1016,COLUMN($F$1),FALSE))),VLOOKUP($C198,武器!$1:$998,COLUMN($O$1),FALSE)*VLOOKUP($D198,素材!$1:$1016,COLUMN($E$1),FALSE)/(LEN(VLOOKUP($D198,素材!$1:$1016,COLUMN($F$1),FALSE)) - LEN(SUBSTITUTE(VLOOKUP($D198,素材!$1:$1016,COLUMN($F$1),FALSE), "・", 0)) + 1), 0)</f>
        <v>0</v>
      </c>
      <c r="AM198">
        <f>IF(ISNUMBER(SEARCH(SUBSTITUTE(AM$1,RIGHT(AM$1,2),""),VLOOKUP($D198,素材!$1:$1016,COLUMN($F$1),FALSE))),VLOOKUP($C198,武器!$1:$998,COLUMN($O$1),FALSE)*VLOOKUP($D198,素材!$1:$1016,COLUMN($E$1),FALSE)/(LEN(VLOOKUP($D198,素材!$1:$1016,COLUMN($F$1),FALSE)) - LEN(SUBSTITUTE(VLOOKUP($D198,素材!$1:$1016,COLUMN($F$1),FALSE), "・", 0)) + 1), 0)</f>
        <v>0</v>
      </c>
      <c r="AN198">
        <f>IF(ISNUMBER(SEARCH(SUBSTITUTE(AN$1,RIGHT(AN$1,2),""),VLOOKUP($D198,素材!$1:$1016,COLUMN($F$1),FALSE))),VLOOKUP($C198,武器!$1:$998,COLUMN($O$1),FALSE)*VLOOKUP($D198,素材!$1:$1016,COLUMN($E$1),FALSE)/(LEN(VLOOKUP($D198,素材!$1:$1016,COLUMN($F$1),FALSE)) - LEN(SUBSTITUTE(VLOOKUP($D198,素材!$1:$1016,COLUMN($F$1),FALSE), "・", 0)) + 1), 0)</f>
        <v>0</v>
      </c>
      <c r="AO198">
        <f>IF(ISNUMBER(SEARCH(SUBSTITUTE(AO$1,RIGHT(AO$1,2),""),VLOOKUP($D198,素材!$1:$1016,COLUMN($F$1),FALSE))),VLOOKUP($C198,武器!$1:$998,COLUMN($O$1),FALSE)*VLOOKUP($D198,素材!$1:$1016,COLUMN($E$1),FALSE)/(LEN(VLOOKUP($D198,素材!$1:$1016,COLUMN($F$1),FALSE)) - LEN(SUBSTITUTE(VLOOKUP($D198,素材!$1:$1016,COLUMN($F$1),FALSE), "・", 0)) + 1), 0)</f>
        <v>0</v>
      </c>
      <c r="AP198">
        <f>IF(ISNUMBER(SEARCH(SUBSTITUTE(AP$1,RIGHT(AP$1,2),""),VLOOKUP($D198,素材!$1:$1016,COLUMN($F$1),FALSE))),VLOOKUP($C198,武器!$1:$998,COLUMN($O$1),FALSE)*VLOOKUP($D198,素材!$1:$1016,COLUMN($E$1),FALSE)/(LEN(VLOOKUP($D198,素材!$1:$1016,COLUMN($F$1),FALSE)) - LEN(SUBSTITUTE(VLOOKUP($D198,素材!$1:$1016,COLUMN($F$1),FALSE), "・", 0)) + 1), 0)</f>
        <v>0</v>
      </c>
      <c r="AQ198">
        <f>IF(ISNUMBER(SEARCH(SUBSTITUTE(AQ$1,RIGHT(AQ$1,2),""),VLOOKUP($D198,素材!$1:$1016,COLUMN($F$1),FALSE))),VLOOKUP($C198,武器!$1:$998,COLUMN($O$1),FALSE)*VLOOKUP($D198,素材!$1:$1016,COLUMN($E$1),FALSE)/(LEN(VLOOKUP($D198,素材!$1:$1016,COLUMN($F$1),FALSE)) - LEN(SUBSTITUTE(VLOOKUP($D198,素材!$1:$1016,COLUMN($F$1),FALSE), "・", 0)) + 1), 0)</f>
        <v>0</v>
      </c>
      <c r="AR198">
        <f>IF(ISNUMBER(SEARCH(SUBSTITUTE(AR$1,RIGHT(AR$1,2),""),VLOOKUP($D198,素材!$1:$1016,COLUMN($F$1),FALSE))),VLOOKUP($C198,武器!$1:$998,COLUMN($O$1),FALSE)*VLOOKUP($D198,素材!$1:$1016,COLUMN($E$1),FALSE)/(LEN(VLOOKUP($D198,素材!$1:$1016,COLUMN($F$1),FALSE)) - LEN(SUBSTITUTE(VLOOKUP($D198,素材!$1:$1016,COLUMN($F$1),FALSE), "・", 0)) + 1), 0)</f>
        <v>0</v>
      </c>
      <c r="AS198">
        <f>IF(ISNUMBER(SEARCH(SUBSTITUTE(AS$1,RIGHT(AS$1,2),""),VLOOKUP($D198,素材!$1:$1016,COLUMN($F$1),FALSE))),VLOOKUP($C198,武器!$1:$998,COLUMN($O$1),FALSE)*VLOOKUP($D198,素材!$1:$1016,COLUMN($E$1),FALSE)/(LEN(VLOOKUP($D198,素材!$1:$1016,COLUMN($F$1),FALSE)) - LEN(SUBSTITUTE(VLOOKUP($D198,素材!$1:$1016,COLUMN($F$1),FALSE), "・", 0)) + 1), 0)</f>
        <v>0</v>
      </c>
      <c r="AT198">
        <f>IF(ISNUMBER(SEARCH(SUBSTITUTE(AT$1,RIGHT(AT$1,2),""),VLOOKUP($D198,素材!$1:$1016,COLUMN($F$1),FALSE))),VLOOKUP($C198,武器!$1:$998,COLUMN($O$1),FALSE)*VLOOKUP($D198,素材!$1:$1016,COLUMN($E$1),FALSE)/(LEN(VLOOKUP($D198,素材!$1:$1016,COLUMN($F$1),FALSE)) - LEN(SUBSTITUTE(VLOOKUP($D198,素材!$1:$1016,COLUMN($F$1),FALSE), "・", 0)) + 1), 0)</f>
        <v>0</v>
      </c>
      <c r="AU198">
        <f>IF(ISNUMBER(SEARCH(SUBSTITUTE(AU$1,RIGHT(AU$1,2),""),VLOOKUP($D198,素材!$1:$1016,COLUMN($F$1),FALSE))),VLOOKUP($C198,武器!$1:$998,COLUMN($O$1),FALSE)*VLOOKUP($D198,素材!$1:$1016,COLUMN($E$1),FALSE)/(LEN(VLOOKUP($D198,素材!$1:$1016,COLUMN($F$1),FALSE)) - LEN(SUBSTITUTE(VLOOKUP($D198,素材!$1:$1016,COLUMN($F$1),FALSE), "・", 0)) + 1), 0)</f>
        <v>0</v>
      </c>
      <c r="AV198">
        <f>IF(ISNUMBER(SEARCH(SUBSTITUTE(AV$1,RIGHT(AV$1,2),""),VLOOKUP($D198,素材!$1:$1016,COLUMN($F$1),FALSE))),VLOOKUP($C198,武器!$1:$998,COLUMN($O$1),FALSE)*VLOOKUP($D198,素材!$1:$1016,COLUMN($E$1),FALSE)/(LEN(VLOOKUP($D198,素材!$1:$1016,COLUMN($F$1),FALSE)) - LEN(SUBSTITUTE(VLOOKUP($D198,素材!$1:$1016,COLUMN($F$1),FALSE), "・", 0)) + 1), 0)</f>
        <v>0</v>
      </c>
      <c r="AW198">
        <f>IF(ISNUMBER(SEARCH(SUBSTITUTE(AW$1,RIGHT(AW$1,2),""),VLOOKUP($D198,素材!$1:$1016,COLUMN($F$1),FALSE))),VLOOKUP($C198,武器!$1:$998,COLUMN($O$1),FALSE)*VLOOKUP($D198,素材!$1:$1016,COLUMN($E$1),FALSE)/(LEN(VLOOKUP($D198,素材!$1:$1016,COLUMN($F$1),FALSE)) - LEN(SUBSTITUTE(VLOOKUP($D198,素材!$1:$1016,COLUMN($F$1),FALSE), "・", 0)) + 1), 0)</f>
        <v>0</v>
      </c>
      <c r="AX198">
        <f>IF(ISNUMBER(SEARCH(SUBSTITUTE(AX$1,RIGHT(AX$1,2),""),VLOOKUP($D198,素材!$1:$1016,COLUMN($F$1),FALSE))),VLOOKUP($C198,武器!$1:$998,COLUMN($O$1),FALSE)*VLOOKUP($D198,素材!$1:$1016,COLUMN($E$1),FALSE)/(LEN(VLOOKUP($D198,素材!$1:$1016,COLUMN($F$1),FALSE)) - LEN(SUBSTITUTE(VLOOKUP($D198,素材!$1:$1016,COLUMN($F$1),FALSE), "・", 0)) + 1), 0)</f>
        <v>0</v>
      </c>
      <c r="AY198">
        <f>IF(ISNUMBER(SEARCH(SUBSTITUTE(AY$1,RIGHT(AY$1,2),""),VLOOKUP($D198,素材!$1:$1016,COLUMN($F$1),FALSE))),VLOOKUP($C198,武器!$1:$998,COLUMN($O$1),FALSE)*VLOOKUP($D198,素材!$1:$1016,COLUMN($E$1),FALSE)/(LEN(VLOOKUP($D198,素材!$1:$1016,COLUMN($F$1),FALSE)) - LEN(SUBSTITUTE(VLOOKUP($D198,素材!$1:$1016,COLUMN($F$1),FALSE), "・", 0)) + 1), 0)</f>
        <v>0</v>
      </c>
      <c r="AZ198">
        <f>IF(ISNUMBER(SEARCH(SUBSTITUTE(AZ$1,RIGHT(AZ$1,2),""),VLOOKUP($D198,素材!$1:$1016,COLUMN($F$1),FALSE))),VLOOKUP($C198,武器!$1:$998,COLUMN($O$1),FALSE)*VLOOKUP($D198,素材!$1:$1016,COLUMN($E$1),FALSE)/(LEN(VLOOKUP($D198,素材!$1:$1016,COLUMN($F$1),FALSE)) - LEN(SUBSTITUTE(VLOOKUP($D198,素材!$1:$1016,COLUMN($F$1),FALSE), "・", 0)) + 1), 0)</f>
        <v>0</v>
      </c>
      <c r="BA198">
        <f>IF(ISNUMBER(SEARCH(SUBSTITUTE(BA$1,RIGHT(BA$1,2),""),VLOOKUP($D198,素材!$1:$1016,COLUMN($F$1),FALSE))),VLOOKUP($C198,武器!$1:$998,COLUMN($O$1),FALSE)*VLOOKUP($D198,素材!$1:$1016,COLUMN($E$1),FALSE)/(LEN(VLOOKUP($D198,素材!$1:$1016,COLUMN($F$1),FALSE)) - LEN(SUBSTITUTE(VLOOKUP($D198,素材!$1:$1016,COLUMN($F$1),FALSE), "・", 0)) + 1), 0)</f>
        <v>0</v>
      </c>
      <c r="BB198">
        <f>IF(ISNUMBER(SEARCH(SUBSTITUTE(BB$1,RIGHT(BB$1,2),""),VLOOKUP($D198,素材!$1:$1016,COLUMN($F$1),FALSE))),VLOOKUP($C198,武器!$1:$998,COLUMN($O$1),FALSE)*VLOOKUP($D198,素材!$1:$1016,COLUMN($E$1),FALSE)/(LEN(VLOOKUP($D198,素材!$1:$1016,COLUMN($F$1),FALSE)) - LEN(SUBSTITUTE(VLOOKUP($D198,素材!$1:$1016,COLUMN($F$1),FALSE), "・", 0)) + 1), 0)</f>
        <v>0</v>
      </c>
      <c r="BC198">
        <f>IF(ISNUMBER(SEARCH(SUBSTITUTE(BC$1,RIGHT(BC$1,2),""),VLOOKUP($D198,素材!$1:$1016,COLUMN($F$1),FALSE))),VLOOKUP($C198,武器!$1:$998,COLUMN($O$1),FALSE)*VLOOKUP($D198,素材!$1:$1016,COLUMN($E$1),FALSE)/(LEN(VLOOKUP($D198,素材!$1:$1016,COLUMN($F$1),FALSE)) - LEN(SUBSTITUTE(VLOOKUP($D198,素材!$1:$1016,COLUMN($F$1),FALSE), "・", 0)) + 1), 0)</f>
        <v>0</v>
      </c>
      <c r="BD198">
        <f>IF(ISNUMBER(SEARCH(SUBSTITUTE(BD$1,RIGHT(BD$1,2),""),VLOOKUP($D198,素材!$1:$1016,COLUMN($F$1),FALSE))),VLOOKUP($C198,武器!$1:$998,COLUMN($O$1),FALSE)*VLOOKUP($D198,素材!$1:$1016,COLUMN($E$1),FALSE)/(LEN(VLOOKUP($D198,素材!$1:$1016,COLUMN($F$1),FALSE)) - LEN(SUBSTITUTE(VLOOKUP($D198,素材!$1:$1016,COLUMN($F$1),FALSE), "・", 0)) + 1), 0)</f>
        <v>0</v>
      </c>
      <c r="BE198">
        <f>IF(ISNUMBER(SEARCH(SUBSTITUTE(BE$1,RIGHT(BE$1,2),""),VLOOKUP($D198,素材!$1:$1016,COLUMN($F$1),FALSE))),VLOOKUP($C198,武器!$1:$998,COLUMN($O$1),FALSE)*VLOOKUP($D198,素材!$1:$1016,COLUMN($E$1),FALSE)/(LEN(VLOOKUP($D198,素材!$1:$1016,COLUMN($F$1),FALSE)) - LEN(SUBSTITUTE(VLOOKUP($D198,素材!$1:$1016,COLUMN($F$1),FALSE), "・", 0)) + 1), 0)</f>
        <v>0</v>
      </c>
      <c r="CL198">
        <f>SUM(G198:I198)</f>
        <v>23</v>
      </c>
      <c r="CM198" s="22" t="str">
        <f>IF(E198="武器",IF(J198-1&gt;SUM(G198:I198),"盾",IF(MAX(G198:I198)=G198,"切断",IF(MAX(G198:I198)=H198,"貫通",IF(MAX(G198:I198)=I198,"打撃","射撃")))),E198)&amp;".webp"</f>
        <v>切断.webp</v>
      </c>
      <c r="CN198">
        <f>IFERROR(VLOOKUP($C198,武器!$1:$998,COLUMN(V$1),FALSE)*VLOOKUP($D198,素材!$1:$1016,COLUMN(N$1),FALSE)+IF(CI198="",0,VLOOKUP($CI198,装強!$1:$1008,COLUMN($CK$1),FALSE)),"")</f>
        <v>3000</v>
      </c>
      <c r="CO198">
        <f>VLOOKUP(D198,素材!$A:$O,COLUMN(素材!O$1),FALSE)</f>
        <v>0</v>
      </c>
      <c r="CP198" t="str">
        <f>VLOOKUP(C198,武器!$A:$W,COLUMN(武器!W$1),FALSE)</f>
        <v>幅の広い剣。扱いにくいが攻撃と防御にも優れている。状況に合わせて立ち回ろう。</v>
      </c>
      <c r="CR198" t="str">
        <f t="shared" si="18"/>
        <v>e_198</v>
      </c>
      <c r="CS198">
        <f t="shared" si="22"/>
        <v>300000</v>
      </c>
    </row>
    <row r="199" spans="1:97" outlineLevel="1" x14ac:dyDescent="0.4">
      <c r="A199" t="str">
        <f t="shared" si="28"/>
        <v>冷気鉄の長剣</v>
      </c>
      <c r="B199" t="str">
        <f>IFERROR(VLOOKUP($D199,素材!$1:$1016,COLUMN($B$1),FALSE)&amp;"・"&amp;VLOOKUP($C199,武器!$1:$998,COLUMN(B$1),FALSE),"")</f>
        <v>ドゥララン・ロングソード</v>
      </c>
      <c r="C199" s="24" t="s">
        <v>238</v>
      </c>
      <c r="D199" s="24" t="s">
        <v>243</v>
      </c>
      <c r="E199" t="str">
        <f>IFERROR(VLOOKUP(C199,武器!$1:$998,COLUMN(C$1),FALSE),"")</f>
        <v>武器</v>
      </c>
      <c r="F199">
        <f>IFERROR(ROUNDDOWN((VLOOKUP($C199,武器!$1:$998,COLUMN(D$1),FALSE)+IFERROR(VLOOKUP($CI199,装強!$1:$999,COLUMN(F$1),FALSE),0))*VLOOKUP($D199,素材!$1:$1016,COLUMN(D$1),FALSE),0),"")</f>
        <v>115</v>
      </c>
      <c r="G199">
        <f>IFERROR(ROUNDDOWN((VLOOKUP($C199,武器!$1:$998,COLUMN(E$1),FALSE)+IFERROR(VLOOKUP($CI199,装強!$1:$999,COLUMN(G$1),FALSE),0))*VLOOKUP($D199,素材!$1:$1016,COLUMN($E$1),FALSE),0),"")</f>
        <v>15</v>
      </c>
      <c r="H199">
        <f>IFERROR(ROUNDDOWN((VLOOKUP($C199,武器!$1:$998,COLUMN(F$1),FALSE)+IFERROR(VLOOKUP($CI199,装強!$1:$999,COLUMN(H$1),FALSE),0))*VLOOKUP($D199,素材!$1:$1016,COLUMN($E$1),FALSE),0),"")</f>
        <v>9</v>
      </c>
      <c r="I199">
        <f>IFERROR(ROUNDDOWN((VLOOKUP($C199,武器!$1:$998,COLUMN(G$1),FALSE)+IFERROR(VLOOKUP($CI199,装強!$1:$999,COLUMN(I$1),FALSE),0))*VLOOKUP($D199,素材!$1:$1016,COLUMN($E$1),FALSE),0),"")</f>
        <v>3</v>
      </c>
      <c r="J199">
        <f>IFERROR(ROUNDDOWN((VLOOKUP($C199,武器!$1:$998,COLUMN(H$1),FALSE)+IFERROR(VLOOKUP($CI199,装強!$1:$999,COLUMN(J$1),FALSE),0))*VLOOKUP($D199,素材!$1:$1016,COLUMN($E$1),FALSE),0),"")</f>
        <v>20</v>
      </c>
      <c r="K199">
        <f>IFERROR(ROUNDDOWN((VLOOKUP($C199,武器!$1:$998,COLUMN(I$1),FALSE)+IFERROR(VLOOKUP($CI199,装強!$1:$999,COLUMN(K$1),FALSE),0))*VLOOKUP($D199,素材!$1:$1016,COLUMN($E$1),FALSE),0),"")</f>
        <v>0</v>
      </c>
      <c r="L199" t="str">
        <f>IFERROR(VLOOKUP($D199,素材!$1:$1016,COLUMN($F$1),FALSE),"")</f>
        <v>氷</v>
      </c>
      <c r="M199">
        <f>IFERROR(VLOOKUP($C199,武器!$1:$998,COLUMN(AA$1),FALSE)*VLOOKUP($D199,素材!$1:$1016,COLUMN($G$1),FALSE),"")</f>
        <v>47.25</v>
      </c>
      <c r="N199">
        <f>IFERROR(VLOOKUP($C199,武器!$1:$998,COLUMN(I$1),FALSE),"")</f>
        <v>0</v>
      </c>
      <c r="O199" s="23">
        <f>IFERROR((VLOOKUP($C199,武器!$1:$998,COLUMN(K$1),FALSE)+VLOOKUP($D199,素材!$1:$1016,COLUMN(H$1),FALSE))*100+IFERROR(VLOOKUP($CI199,装強!$1:$999,COLUMN(O$1),FALSE),0),"")</f>
        <v>10</v>
      </c>
      <c r="P199" s="23">
        <f>IFERROR((VLOOKUP($C199,武器!$1:$998,COLUMN(L$1),FALSE)+VLOOKUP($D199,素材!$1:$1016,COLUMN(I$1),FALSE))*100+IFERROR(VLOOKUP($CI199,装強!$1:$999,COLUMN(P$1),FALSE),0),"")</f>
        <v>150</v>
      </c>
      <c r="Q199">
        <f>IFERROR(ROUNDUP(VLOOKUP($C199,武器!$1:$998,COLUMN(M$1),FALSE)*(VLOOKUP($D199,素材!$1:$1002,COLUMN(D$1),FALSE)/100),1),"")</f>
        <v>-2.5</v>
      </c>
      <c r="R199">
        <f>IFERROR(ROUNDUP(VLOOKUP($C199,武器!$1:$998,COLUMN(N$1),FALSE)*(VLOOKUP($D199,素材!$1:$1002,COLUMN(D$1),FALSE)/100),1),"")</f>
        <v>-2.5</v>
      </c>
      <c r="S199">
        <f>IFERROR(VLOOKUP($C199,武器!$1:$998,COLUMN(P$1),FALSE),"")</f>
        <v>0</v>
      </c>
      <c r="T199">
        <f>IFERROR(VLOOKUP($C199,武器!$1:$998,COLUMN(Q$1),FALSE),"")</f>
        <v>0</v>
      </c>
      <c r="U199">
        <f>IFERROR(VLOOKUP($C199,武器!$1:$998,COLUMN(R$1),FALSE),"")</f>
        <v>0</v>
      </c>
      <c r="V199">
        <f>IFERROR(VLOOKUP($C199,武器!$1:$998,COLUMN(Q$1),FALSE),"")</f>
        <v>0</v>
      </c>
      <c r="W199" t="str">
        <f>IFERROR(VLOOKUP($C199,武器!$1:$998,COLUMN(T$1),FALSE),"")</f>
        <v>A</v>
      </c>
      <c r="Y199">
        <f>IFERROR(VLOOKUP($C199,武器!$1:$998,COLUMN(U$1),FALSE),"")</f>
        <v>0</v>
      </c>
      <c r="Z199">
        <f>IFERROR(ROUNDUP(VLOOKUP($C199,武器!$1:$998,COLUMN(O$1),FALSE)*VLOOKUP($D199,素材!$1:$1016,COLUMN(E$1),FALSE),1),"")</f>
        <v>0</v>
      </c>
      <c r="AA199">
        <f>IF(ISNUMBER(SEARCH(SUBSTITUTE(AA$1,RIGHT(AA$1,2),""),VLOOKUP($D199,素材!$1:$1016,COLUMN($F$1),FALSE))),VLOOKUP($C199,武器!$1:$998,COLUMN($O$1),FALSE)*VLOOKUP($D199,素材!$1:$1016,COLUMN($E$1),FALSE)/(LEN(VLOOKUP($D199,素材!$1:$1016,COLUMN($F$1),FALSE)) - LEN(SUBSTITUTE(VLOOKUP($D199,素材!$1:$1016,COLUMN($F$1),FALSE), "・", 0)) + 1), 0)</f>
        <v>0</v>
      </c>
      <c r="AB199">
        <f>IF(ISNUMBER(SEARCH(SUBSTITUTE(AB$1,RIGHT(AB$1,2),""),VLOOKUP($D199,素材!$1:$1016,COLUMN($F$1),FALSE))),VLOOKUP($C199,武器!$1:$998,COLUMN($O$1),FALSE)*VLOOKUP($D199,素材!$1:$1016,COLUMN($E$1),FALSE)/(LEN(VLOOKUP($D199,素材!$1:$1016,COLUMN($F$1),FALSE)) - LEN(SUBSTITUTE(VLOOKUP($D199,素材!$1:$1016,COLUMN($F$1),FALSE), "・", 0)) + 1), 0)</f>
        <v>0</v>
      </c>
      <c r="AC199">
        <f>IF(ISNUMBER(SEARCH(SUBSTITUTE(AC$1,RIGHT(AC$1,2),""),VLOOKUP($D199,素材!$1:$1016,COLUMN($F$1),FALSE))),VLOOKUP($C199,武器!$1:$998,COLUMN($O$1),FALSE)*VLOOKUP($D199,素材!$1:$1016,COLUMN($E$1),FALSE)/(LEN(VLOOKUP($D199,素材!$1:$1016,COLUMN($F$1),FALSE)) - LEN(SUBSTITUTE(VLOOKUP($D199,素材!$1:$1016,COLUMN($F$1),FALSE), "・", 0)) + 1), 0)</f>
        <v>0</v>
      </c>
      <c r="AD199">
        <f>IF(ISNUMBER(SEARCH(SUBSTITUTE(AD$1,RIGHT(AD$1,2),""),VLOOKUP($D199,素材!$1:$1016,COLUMN($F$1),FALSE))),VLOOKUP($C199,武器!$1:$998,COLUMN($O$1),FALSE)*VLOOKUP($D199,素材!$1:$1016,COLUMN($E$1),FALSE)/(LEN(VLOOKUP($D199,素材!$1:$1016,COLUMN($F$1),FALSE)) - LEN(SUBSTITUTE(VLOOKUP($D199,素材!$1:$1016,COLUMN($F$1),FALSE), "・", 0)) + 1), 0)</f>
        <v>0</v>
      </c>
      <c r="AE199">
        <f>IF(ISNUMBER(SEARCH(SUBSTITUTE(AE$1,RIGHT(AE$1,2),""),VLOOKUP($D199,素材!$1:$1016,COLUMN($F$1),FALSE))),VLOOKUP($C199,武器!$1:$998,COLUMN($O$1),FALSE)*VLOOKUP($D199,素材!$1:$1016,COLUMN($E$1),FALSE)/(LEN(VLOOKUP($D199,素材!$1:$1016,COLUMN($F$1),FALSE)) - LEN(SUBSTITUTE(VLOOKUP($D199,素材!$1:$1016,COLUMN($F$1),FALSE), "・", 0)) + 1), 0)</f>
        <v>0</v>
      </c>
      <c r="AF199">
        <f>IF(ISNUMBER(SEARCH(SUBSTITUTE(AF$1,RIGHT(AF$1,2),""),VLOOKUP($D199,素材!$1:$1016,COLUMN($F$1),FALSE))),VLOOKUP($C199,武器!$1:$998,COLUMN($O$1),FALSE)*VLOOKUP($D199,素材!$1:$1016,COLUMN($E$1),FALSE)/(LEN(VLOOKUP($D199,素材!$1:$1016,COLUMN($F$1),FALSE)) - LEN(SUBSTITUTE(VLOOKUP($D199,素材!$1:$1016,COLUMN($F$1),FALSE), "・", 0)) + 1), 0)</f>
        <v>0</v>
      </c>
      <c r="AG199">
        <f>IF(ISNUMBER(SEARCH(SUBSTITUTE(AG$1,RIGHT(AG$1,2),""),VLOOKUP($D199,素材!$1:$1016,COLUMN($F$1),FALSE))),VLOOKUP($C199,武器!$1:$998,COLUMN($O$1),FALSE)*VLOOKUP($D199,素材!$1:$1016,COLUMN($E$1),FALSE)/(LEN(VLOOKUP($D199,素材!$1:$1016,COLUMN($F$1),FALSE)) - LEN(SUBSTITUTE(VLOOKUP($D199,素材!$1:$1016,COLUMN($F$1),FALSE), "・", 0)) + 1), 0)</f>
        <v>0</v>
      </c>
      <c r="AH199">
        <f>IF(ISNUMBER(SEARCH(SUBSTITUTE(AH$1,RIGHT(AH$1,2),""),VLOOKUP($D199,素材!$1:$1016,COLUMN($F$1),FALSE))),VLOOKUP($C199,武器!$1:$998,COLUMN($O$1),FALSE)*VLOOKUP($D199,素材!$1:$1016,COLUMN($E$1),FALSE)/(LEN(VLOOKUP($D199,素材!$1:$1016,COLUMN($F$1),FALSE)) - LEN(SUBSTITUTE(VLOOKUP($D199,素材!$1:$1016,COLUMN($F$1),FALSE), "・", 0)) + 1), 0)</f>
        <v>0</v>
      </c>
      <c r="AI199">
        <f>IF(ISNUMBER(SEARCH(SUBSTITUTE(AI$1,RIGHT(AI$1,2),""),VLOOKUP($D199,素材!$1:$1016,COLUMN($F$1),FALSE))),VLOOKUP($C199,武器!$1:$998,COLUMN($O$1),FALSE)*VLOOKUP($D199,素材!$1:$1016,COLUMN($E$1),FALSE)/(LEN(VLOOKUP($D199,素材!$1:$1016,COLUMN($F$1),FALSE)) - LEN(SUBSTITUTE(VLOOKUP($D199,素材!$1:$1016,COLUMN($F$1),FALSE), "・", 0)) + 1), 0)</f>
        <v>0</v>
      </c>
      <c r="AJ199">
        <f>IF(ISNUMBER(SEARCH(SUBSTITUTE(AJ$1,RIGHT(AJ$1,2),""),VLOOKUP($D199,素材!$1:$1016,COLUMN($F$1),FALSE))),VLOOKUP($C199,武器!$1:$998,COLUMN($O$1),FALSE)*VLOOKUP($D199,素材!$1:$1016,COLUMN($E$1),FALSE)/(LEN(VLOOKUP($D199,素材!$1:$1016,COLUMN($F$1),FALSE)) - LEN(SUBSTITUTE(VLOOKUP($D199,素材!$1:$1016,COLUMN($F$1),FALSE), "・", 0)) + 1), 0)</f>
        <v>0</v>
      </c>
      <c r="AK199">
        <f>IF(ISNUMBER(SEARCH(SUBSTITUTE(AK$1,RIGHT(AK$1,2),""),VLOOKUP($D199,素材!$1:$1016,COLUMN($F$1),FALSE))),VLOOKUP($C199,武器!$1:$998,COLUMN($O$1),FALSE)*VLOOKUP($D199,素材!$1:$1016,COLUMN($E$1),FALSE)/(LEN(VLOOKUP($D199,素材!$1:$1016,COLUMN($F$1),FALSE)) - LEN(SUBSTITUTE(VLOOKUP($D199,素材!$1:$1016,COLUMN($F$1),FALSE), "・", 0)) + 1), 0)</f>
        <v>0</v>
      </c>
      <c r="AL199">
        <f>IF(ISNUMBER(SEARCH(SUBSTITUTE(AL$1,RIGHT(AL$1,2),""),VLOOKUP($D199,素材!$1:$1016,COLUMN($F$1),FALSE))),VLOOKUP($C199,武器!$1:$998,COLUMN($O$1),FALSE)*VLOOKUP($D199,素材!$1:$1016,COLUMN($E$1),FALSE)/(LEN(VLOOKUP($D199,素材!$1:$1016,COLUMN($F$1),FALSE)) - LEN(SUBSTITUTE(VLOOKUP($D199,素材!$1:$1016,COLUMN($F$1),FALSE), "・", 0)) + 1), 0)</f>
        <v>0</v>
      </c>
      <c r="AM199">
        <f>IF(ISNUMBER(SEARCH(SUBSTITUTE(AM$1,RIGHT(AM$1,2),""),VLOOKUP($D199,素材!$1:$1016,COLUMN($F$1),FALSE))),VLOOKUP($C199,武器!$1:$998,COLUMN($O$1),FALSE)*VLOOKUP($D199,素材!$1:$1016,COLUMN($E$1),FALSE)/(LEN(VLOOKUP($D199,素材!$1:$1016,COLUMN($F$1),FALSE)) - LEN(SUBSTITUTE(VLOOKUP($D199,素材!$1:$1016,COLUMN($F$1),FALSE), "・", 0)) + 1), 0)</f>
        <v>0</v>
      </c>
      <c r="AN199">
        <f>IF(ISNUMBER(SEARCH(SUBSTITUTE(AN$1,RIGHT(AN$1,2),""),VLOOKUP($D199,素材!$1:$1016,COLUMN($F$1),FALSE))),VLOOKUP($C199,武器!$1:$998,COLUMN($O$1),FALSE)*VLOOKUP($D199,素材!$1:$1016,COLUMN($E$1),FALSE)/(LEN(VLOOKUP($D199,素材!$1:$1016,COLUMN($F$1),FALSE)) - LEN(SUBSTITUTE(VLOOKUP($D199,素材!$1:$1016,COLUMN($F$1),FALSE), "・", 0)) + 1), 0)</f>
        <v>0</v>
      </c>
      <c r="AO199">
        <f>IF(ISNUMBER(SEARCH(SUBSTITUTE(AO$1,RIGHT(AO$1,2),""),VLOOKUP($D199,素材!$1:$1016,COLUMN($F$1),FALSE))),VLOOKUP($C199,武器!$1:$998,COLUMN($O$1),FALSE)*VLOOKUP($D199,素材!$1:$1016,COLUMN($E$1),FALSE)/(LEN(VLOOKUP($D199,素材!$1:$1016,COLUMN($F$1),FALSE)) - LEN(SUBSTITUTE(VLOOKUP($D199,素材!$1:$1016,COLUMN($F$1),FALSE), "・", 0)) + 1), 0)</f>
        <v>0</v>
      </c>
      <c r="AP199">
        <f>IF(ISNUMBER(SEARCH(SUBSTITUTE(AP$1,RIGHT(AP$1,2),""),VLOOKUP($D199,素材!$1:$1016,COLUMN($F$1),FALSE))),VLOOKUP($C199,武器!$1:$998,COLUMN($O$1),FALSE)*VLOOKUP($D199,素材!$1:$1016,COLUMN($E$1),FALSE)/(LEN(VLOOKUP($D199,素材!$1:$1016,COLUMN($F$1),FALSE)) - LEN(SUBSTITUTE(VLOOKUP($D199,素材!$1:$1016,COLUMN($F$1),FALSE), "・", 0)) + 1), 0)</f>
        <v>0</v>
      </c>
      <c r="AQ199">
        <f>IF(ISNUMBER(SEARCH(SUBSTITUTE(AQ$1,RIGHT(AQ$1,2),""),VLOOKUP($D199,素材!$1:$1016,COLUMN($F$1),FALSE))),VLOOKUP($C199,武器!$1:$998,COLUMN($O$1),FALSE)*VLOOKUP($D199,素材!$1:$1016,COLUMN($E$1),FALSE)/(LEN(VLOOKUP($D199,素材!$1:$1016,COLUMN($F$1),FALSE)) - LEN(SUBSTITUTE(VLOOKUP($D199,素材!$1:$1016,COLUMN($F$1),FALSE), "・", 0)) + 1), 0)</f>
        <v>0</v>
      </c>
      <c r="AR199">
        <f>IF(ISNUMBER(SEARCH(SUBSTITUTE(AR$1,RIGHT(AR$1,2),""),VLOOKUP($D199,素材!$1:$1016,COLUMN($F$1),FALSE))),VLOOKUP($C199,武器!$1:$998,COLUMN($O$1),FALSE)*VLOOKUP($D199,素材!$1:$1016,COLUMN($E$1),FALSE)/(LEN(VLOOKUP($D199,素材!$1:$1016,COLUMN($F$1),FALSE)) - LEN(SUBSTITUTE(VLOOKUP($D199,素材!$1:$1016,COLUMN($F$1),FALSE), "・", 0)) + 1), 0)</f>
        <v>0</v>
      </c>
      <c r="AS199">
        <f>IF(ISNUMBER(SEARCH(SUBSTITUTE(AS$1,RIGHT(AS$1,2),""),VLOOKUP($D199,素材!$1:$1016,COLUMN($F$1),FALSE))),VLOOKUP($C199,武器!$1:$998,COLUMN($O$1),FALSE)*VLOOKUP($D199,素材!$1:$1016,COLUMN($E$1),FALSE)/(LEN(VLOOKUP($D199,素材!$1:$1016,COLUMN($F$1),FALSE)) - LEN(SUBSTITUTE(VLOOKUP($D199,素材!$1:$1016,COLUMN($F$1),FALSE), "・", 0)) + 1), 0)</f>
        <v>0</v>
      </c>
      <c r="AT199">
        <f>IF(ISNUMBER(SEARCH(SUBSTITUTE(AT$1,RIGHT(AT$1,2),""),VLOOKUP($D199,素材!$1:$1016,COLUMN($F$1),FALSE))),VLOOKUP($C199,武器!$1:$998,COLUMN($O$1),FALSE)*VLOOKUP($D199,素材!$1:$1016,COLUMN($E$1),FALSE)/(LEN(VLOOKUP($D199,素材!$1:$1016,COLUMN($F$1),FALSE)) - LEN(SUBSTITUTE(VLOOKUP($D199,素材!$1:$1016,COLUMN($F$1),FALSE), "・", 0)) + 1), 0)</f>
        <v>0</v>
      </c>
      <c r="AU199">
        <f>IF(ISNUMBER(SEARCH(SUBSTITUTE(AU$1,RIGHT(AU$1,2),""),VLOOKUP($D199,素材!$1:$1016,COLUMN($F$1),FALSE))),VLOOKUP($C199,武器!$1:$998,COLUMN($O$1),FALSE)*VLOOKUP($D199,素材!$1:$1016,COLUMN($E$1),FALSE)/(LEN(VLOOKUP($D199,素材!$1:$1016,COLUMN($F$1),FALSE)) - LEN(SUBSTITUTE(VLOOKUP($D199,素材!$1:$1016,COLUMN($F$1),FALSE), "・", 0)) + 1), 0)</f>
        <v>0</v>
      </c>
      <c r="AV199">
        <f>IF(ISNUMBER(SEARCH(SUBSTITUTE(AV$1,RIGHT(AV$1,2),""),VLOOKUP($D199,素材!$1:$1016,COLUMN($F$1),FALSE))),VLOOKUP($C199,武器!$1:$998,COLUMN($O$1),FALSE)*VLOOKUP($D199,素材!$1:$1016,COLUMN($E$1),FALSE)/(LEN(VLOOKUP($D199,素材!$1:$1016,COLUMN($F$1),FALSE)) - LEN(SUBSTITUTE(VLOOKUP($D199,素材!$1:$1016,COLUMN($F$1),FALSE), "・", 0)) + 1), 0)</f>
        <v>0</v>
      </c>
      <c r="AW199">
        <f>IF(ISNUMBER(SEARCH(SUBSTITUTE(AW$1,RIGHT(AW$1,2),""),VLOOKUP($D199,素材!$1:$1016,COLUMN($F$1),FALSE))),VLOOKUP($C199,武器!$1:$998,COLUMN($O$1),FALSE)*VLOOKUP($D199,素材!$1:$1016,COLUMN($E$1),FALSE)/(LEN(VLOOKUP($D199,素材!$1:$1016,COLUMN($F$1),FALSE)) - LEN(SUBSTITUTE(VLOOKUP($D199,素材!$1:$1016,COLUMN($F$1),FALSE), "・", 0)) + 1), 0)</f>
        <v>0</v>
      </c>
      <c r="AX199">
        <f>IF(ISNUMBER(SEARCH(SUBSTITUTE(AX$1,RIGHT(AX$1,2),""),VLOOKUP($D199,素材!$1:$1016,COLUMN($F$1),FALSE))),VLOOKUP($C199,武器!$1:$998,COLUMN($O$1),FALSE)*VLOOKUP($D199,素材!$1:$1016,COLUMN($E$1),FALSE)/(LEN(VLOOKUP($D199,素材!$1:$1016,COLUMN($F$1),FALSE)) - LEN(SUBSTITUTE(VLOOKUP($D199,素材!$1:$1016,COLUMN($F$1),FALSE), "・", 0)) + 1), 0)</f>
        <v>0</v>
      </c>
      <c r="AY199">
        <f>IF(ISNUMBER(SEARCH(SUBSTITUTE(AY$1,RIGHT(AY$1,2),""),VLOOKUP($D199,素材!$1:$1016,COLUMN($F$1),FALSE))),VLOOKUP($C199,武器!$1:$998,COLUMN($O$1),FALSE)*VLOOKUP($D199,素材!$1:$1016,COLUMN($E$1),FALSE)/(LEN(VLOOKUP($D199,素材!$1:$1016,COLUMN($F$1),FALSE)) - LEN(SUBSTITUTE(VLOOKUP($D199,素材!$1:$1016,COLUMN($F$1),FALSE), "・", 0)) + 1), 0)</f>
        <v>0</v>
      </c>
      <c r="AZ199">
        <f>IF(ISNUMBER(SEARCH(SUBSTITUTE(AZ$1,RIGHT(AZ$1,2),""),VLOOKUP($D199,素材!$1:$1016,COLUMN($F$1),FALSE))),VLOOKUP($C199,武器!$1:$998,COLUMN($O$1),FALSE)*VLOOKUP($D199,素材!$1:$1016,COLUMN($E$1),FALSE)/(LEN(VLOOKUP($D199,素材!$1:$1016,COLUMN($F$1),FALSE)) - LEN(SUBSTITUTE(VLOOKUP($D199,素材!$1:$1016,COLUMN($F$1),FALSE), "・", 0)) + 1), 0)</f>
        <v>0</v>
      </c>
      <c r="BA199">
        <f>IF(ISNUMBER(SEARCH(SUBSTITUTE(BA$1,RIGHT(BA$1,2),""),VLOOKUP($D199,素材!$1:$1016,COLUMN($F$1),FALSE))),VLOOKUP($C199,武器!$1:$998,COLUMN($O$1),FALSE)*VLOOKUP($D199,素材!$1:$1016,COLUMN($E$1),FALSE)/(LEN(VLOOKUP($D199,素材!$1:$1016,COLUMN($F$1),FALSE)) - LEN(SUBSTITUTE(VLOOKUP($D199,素材!$1:$1016,COLUMN($F$1),FALSE), "・", 0)) + 1), 0)</f>
        <v>0</v>
      </c>
      <c r="BB199">
        <f>IF(ISNUMBER(SEARCH(SUBSTITUTE(BB$1,RIGHT(BB$1,2),""),VLOOKUP($D199,素材!$1:$1016,COLUMN($F$1),FALSE))),VLOOKUP($C199,武器!$1:$998,COLUMN($O$1),FALSE)*VLOOKUP($D199,素材!$1:$1016,COLUMN($E$1),FALSE)/(LEN(VLOOKUP($D199,素材!$1:$1016,COLUMN($F$1),FALSE)) - LEN(SUBSTITUTE(VLOOKUP($D199,素材!$1:$1016,COLUMN($F$1),FALSE), "・", 0)) + 1), 0)</f>
        <v>0</v>
      </c>
      <c r="BC199">
        <f>IF(ISNUMBER(SEARCH(SUBSTITUTE(BC$1,RIGHT(BC$1,2),""),VLOOKUP($D199,素材!$1:$1016,COLUMN($F$1),FALSE))),VLOOKUP($C199,武器!$1:$998,COLUMN($O$1),FALSE)*VLOOKUP($D199,素材!$1:$1016,COLUMN($E$1),FALSE)/(LEN(VLOOKUP($D199,素材!$1:$1016,COLUMN($F$1),FALSE)) - LEN(SUBSTITUTE(VLOOKUP($D199,素材!$1:$1016,COLUMN($F$1),FALSE), "・", 0)) + 1), 0)</f>
        <v>0</v>
      </c>
      <c r="BD199">
        <f>IF(ISNUMBER(SEARCH(SUBSTITUTE(BD$1,RIGHT(BD$1,2),""),VLOOKUP($D199,素材!$1:$1016,COLUMN($F$1),FALSE))),VLOOKUP($C199,武器!$1:$998,COLUMN($O$1),FALSE)*VLOOKUP($D199,素材!$1:$1016,COLUMN($E$1),FALSE)/(LEN(VLOOKUP($D199,素材!$1:$1016,COLUMN($F$1),FALSE)) - LEN(SUBSTITUTE(VLOOKUP($D199,素材!$1:$1016,COLUMN($F$1),FALSE), "・", 0)) + 1), 0)</f>
        <v>0</v>
      </c>
      <c r="BE199">
        <f>IF(ISNUMBER(SEARCH(SUBSTITUTE(BE$1,RIGHT(BE$1,2),""),VLOOKUP($D199,素材!$1:$1016,COLUMN($F$1),FALSE))),VLOOKUP($C199,武器!$1:$998,COLUMN($O$1),FALSE)*VLOOKUP($D199,素材!$1:$1016,COLUMN($E$1),FALSE)/(LEN(VLOOKUP($D199,素材!$1:$1016,COLUMN($F$1),FALSE)) - LEN(SUBSTITUTE(VLOOKUP($D199,素材!$1:$1016,COLUMN($F$1),FALSE), "・", 0)) + 1), 0)</f>
        <v>0</v>
      </c>
      <c r="CL199">
        <f>SUM(G199:I199)</f>
        <v>27</v>
      </c>
      <c r="CM199" s="22" t="str">
        <f>IF(E199="武器",IF(J199-1&gt;SUM(G199:I199),"盾",IF(MAX(G199:I199)=G199,"切断",IF(MAX(G199:I199)=H199,"貫通",IF(MAX(G199:I199)=I199,"打撃","射撃")))),E199)&amp;".webp"</f>
        <v>切断.webp</v>
      </c>
      <c r="CN199">
        <f>IFERROR(VLOOKUP($C199,武器!$1:$998,COLUMN(V$1),FALSE)*VLOOKUP($D199,素材!$1:$1016,COLUMN(N$1),FALSE)+IF(CI199="",0,VLOOKUP($CI199,装強!$1:$1008,COLUMN($CK$1),FALSE)),"")</f>
        <v>3000</v>
      </c>
      <c r="CO199">
        <f>VLOOKUP(D199,素材!$A:$O,COLUMN(素材!O$1),FALSE)</f>
        <v>0</v>
      </c>
      <c r="CP199" t="str">
        <f>VLOOKUP(C199,武器!$A:$W,COLUMN(武器!W$1),FALSE)</f>
        <v>長剣。長く重い分扱いにくいが威力が高い。</v>
      </c>
      <c r="CR199" t="str">
        <f t="shared" si="18"/>
        <v>e_199</v>
      </c>
      <c r="CS199">
        <f t="shared" si="22"/>
        <v>300000</v>
      </c>
    </row>
    <row r="200" spans="1:97" outlineLevel="1" x14ac:dyDescent="0.4">
      <c r="A200" t="str">
        <f t="shared" si="28"/>
        <v>冷気鉄の大剣</v>
      </c>
      <c r="B200" t="str">
        <f>IFERROR(VLOOKUP($D200,素材!$1:$1016,COLUMN($B$1),FALSE)&amp;"・"&amp;VLOOKUP($C200,武器!$1:$998,COLUMN(B$1),FALSE),"")</f>
        <v>ドゥララン・バスターソード</v>
      </c>
      <c r="C200" s="24" t="s">
        <v>237</v>
      </c>
      <c r="D200" s="24" t="s">
        <v>243</v>
      </c>
      <c r="E200" t="str">
        <f>IFERROR(VLOOKUP(C200,武器!$1:$998,COLUMN(C$1),FALSE),"")</f>
        <v>武器</v>
      </c>
      <c r="F200">
        <f>IFERROR(ROUNDDOWN((VLOOKUP($C200,武器!$1:$998,COLUMN(D$1),FALSE)+IFERROR(VLOOKUP($CI200,装強!$1:$999,COLUMN(F$1),FALSE),0))*VLOOKUP($D200,素材!$1:$1016,COLUMN(D$1),FALSE),0),"")</f>
        <v>125</v>
      </c>
      <c r="G200">
        <f>IFERROR(ROUNDDOWN((VLOOKUP($C200,武器!$1:$998,COLUMN(E$1),FALSE)+IFERROR(VLOOKUP($CI200,装強!$1:$999,COLUMN(G$1),FALSE),0))*VLOOKUP($D200,素材!$1:$1016,COLUMN($E$1),FALSE),0),"")</f>
        <v>18</v>
      </c>
      <c r="H200">
        <f>IFERROR(ROUNDDOWN((VLOOKUP($C200,武器!$1:$998,COLUMN(F$1),FALSE)+IFERROR(VLOOKUP($CI200,装強!$1:$999,COLUMN(H$1),FALSE),0))*VLOOKUP($D200,素材!$1:$1016,COLUMN($E$1),FALSE),0),"")</f>
        <v>9</v>
      </c>
      <c r="I200">
        <f>IFERROR(ROUNDDOWN((VLOOKUP($C200,武器!$1:$998,COLUMN(G$1),FALSE)+IFERROR(VLOOKUP($CI200,装強!$1:$999,COLUMN(I$1),FALSE),0))*VLOOKUP($D200,素材!$1:$1016,COLUMN($E$1),FALSE),0),"")</f>
        <v>4</v>
      </c>
      <c r="J200">
        <f>IFERROR(ROUNDDOWN((VLOOKUP($C200,武器!$1:$998,COLUMN(H$1),FALSE)+IFERROR(VLOOKUP($CI200,装強!$1:$999,COLUMN(J$1),FALSE),0))*VLOOKUP($D200,素材!$1:$1016,COLUMN($E$1),FALSE),0),"")</f>
        <v>22</v>
      </c>
      <c r="K200">
        <f>IFERROR(ROUNDDOWN((VLOOKUP($C200,武器!$1:$998,COLUMN(I$1),FALSE)+IFERROR(VLOOKUP($CI200,装強!$1:$999,COLUMN(K$1),FALSE),0))*VLOOKUP($D200,素材!$1:$1016,COLUMN($E$1),FALSE),0),"")</f>
        <v>0</v>
      </c>
      <c r="L200" t="str">
        <f>IFERROR(VLOOKUP($D200,素材!$1:$1016,COLUMN($F$1),FALSE),"")</f>
        <v>氷</v>
      </c>
      <c r="M200">
        <f>IFERROR(VLOOKUP($C200,武器!$1:$998,COLUMN(AA$1),FALSE)*VLOOKUP($D200,素材!$1:$1016,COLUMN($G$1),FALSE),"")</f>
        <v>54.25</v>
      </c>
      <c r="N200">
        <f>IFERROR(VLOOKUP($C200,武器!$1:$998,COLUMN(I$1),FALSE),"")</f>
        <v>0</v>
      </c>
      <c r="O200" s="23">
        <f>IFERROR((VLOOKUP($C200,武器!$1:$998,COLUMN(K$1),FALSE)+VLOOKUP($D200,素材!$1:$1016,COLUMN(H$1),FALSE))*100+IFERROR(VLOOKUP($CI200,装強!$1:$999,COLUMN(O$1),FALSE),0),"")</f>
        <v>10</v>
      </c>
      <c r="P200" s="23">
        <f>IFERROR((VLOOKUP($C200,武器!$1:$998,COLUMN(L$1),FALSE)+VLOOKUP($D200,素材!$1:$1016,COLUMN(I$1),FALSE))*100+IFERROR(VLOOKUP($CI200,装強!$1:$999,COLUMN(P$1),FALSE),0),"")</f>
        <v>150</v>
      </c>
      <c r="Q200">
        <f>IFERROR(ROUNDUP(VLOOKUP($C200,武器!$1:$998,COLUMN(M$1),FALSE)*(VLOOKUP($D200,素材!$1:$1002,COLUMN(D$1),FALSE)/100),1),"")</f>
        <v>-7.5</v>
      </c>
      <c r="R200">
        <f>IFERROR(ROUNDUP(VLOOKUP($C200,武器!$1:$998,COLUMN(N$1),FALSE)*(VLOOKUP($D200,素材!$1:$1002,COLUMN(D$1),FALSE)/100),1),"")</f>
        <v>-7.5</v>
      </c>
      <c r="S200">
        <f>IFERROR(VLOOKUP($C200,武器!$1:$998,COLUMN(P$1),FALSE),"")</f>
        <v>0</v>
      </c>
      <c r="T200">
        <f>IFERROR(VLOOKUP($C200,武器!$1:$998,COLUMN(Q$1),FALSE),"")</f>
        <v>0</v>
      </c>
      <c r="U200">
        <f>IFERROR(VLOOKUP($C200,武器!$1:$998,COLUMN(R$1),FALSE),"")</f>
        <v>0</v>
      </c>
      <c r="V200">
        <f>IFERROR(VLOOKUP($C200,武器!$1:$998,COLUMN(Q$1),FALSE),"")</f>
        <v>0</v>
      </c>
      <c r="W200" t="str">
        <f>IFERROR(VLOOKUP($C200,武器!$1:$998,COLUMN(T$1),FALSE),"")</f>
        <v>A</v>
      </c>
      <c r="Y200">
        <f>IFERROR(VLOOKUP($C200,武器!$1:$998,COLUMN(U$1),FALSE),"")</f>
        <v>0</v>
      </c>
      <c r="Z200">
        <f>IFERROR(ROUNDUP(VLOOKUP($C200,武器!$1:$998,COLUMN(O$1),FALSE)*VLOOKUP($D200,素材!$1:$1016,COLUMN(E$1),FALSE),1),"")</f>
        <v>0</v>
      </c>
      <c r="AA200">
        <f>IF(ISNUMBER(SEARCH(SUBSTITUTE(AA$1,RIGHT(AA$1,2),""),VLOOKUP($D200,素材!$1:$1016,COLUMN($F$1),FALSE))),VLOOKUP($C200,武器!$1:$998,COLUMN($O$1),FALSE)*VLOOKUP($D200,素材!$1:$1016,COLUMN($E$1),FALSE)/(LEN(VLOOKUP($D200,素材!$1:$1016,COLUMN($F$1),FALSE)) - LEN(SUBSTITUTE(VLOOKUP($D200,素材!$1:$1016,COLUMN($F$1),FALSE), "・", 0)) + 1), 0)</f>
        <v>0</v>
      </c>
      <c r="AB200">
        <f>IF(ISNUMBER(SEARCH(SUBSTITUTE(AB$1,RIGHT(AB$1,2),""),VLOOKUP($D200,素材!$1:$1016,COLUMN($F$1),FALSE))),VLOOKUP($C200,武器!$1:$998,COLUMN($O$1),FALSE)*VLOOKUP($D200,素材!$1:$1016,COLUMN($E$1),FALSE)/(LEN(VLOOKUP($D200,素材!$1:$1016,COLUMN($F$1),FALSE)) - LEN(SUBSTITUTE(VLOOKUP($D200,素材!$1:$1016,COLUMN($F$1),FALSE), "・", 0)) + 1), 0)</f>
        <v>0</v>
      </c>
      <c r="AC200">
        <f>IF(ISNUMBER(SEARCH(SUBSTITUTE(AC$1,RIGHT(AC$1,2),""),VLOOKUP($D200,素材!$1:$1016,COLUMN($F$1),FALSE))),VLOOKUP($C200,武器!$1:$998,COLUMN($O$1),FALSE)*VLOOKUP($D200,素材!$1:$1016,COLUMN($E$1),FALSE)/(LEN(VLOOKUP($D200,素材!$1:$1016,COLUMN($F$1),FALSE)) - LEN(SUBSTITUTE(VLOOKUP($D200,素材!$1:$1016,COLUMN($F$1),FALSE), "・", 0)) + 1), 0)</f>
        <v>0</v>
      </c>
      <c r="AD200">
        <f>IF(ISNUMBER(SEARCH(SUBSTITUTE(AD$1,RIGHT(AD$1,2),""),VLOOKUP($D200,素材!$1:$1016,COLUMN($F$1),FALSE))),VLOOKUP($C200,武器!$1:$998,COLUMN($O$1),FALSE)*VLOOKUP($D200,素材!$1:$1016,COLUMN($E$1),FALSE)/(LEN(VLOOKUP($D200,素材!$1:$1016,COLUMN($F$1),FALSE)) - LEN(SUBSTITUTE(VLOOKUP($D200,素材!$1:$1016,COLUMN($F$1),FALSE), "・", 0)) + 1), 0)</f>
        <v>0</v>
      </c>
      <c r="AE200">
        <f>IF(ISNUMBER(SEARCH(SUBSTITUTE(AE$1,RIGHT(AE$1,2),""),VLOOKUP($D200,素材!$1:$1016,COLUMN($F$1),FALSE))),VLOOKUP($C200,武器!$1:$998,COLUMN($O$1),FALSE)*VLOOKUP($D200,素材!$1:$1016,COLUMN($E$1),FALSE)/(LEN(VLOOKUP($D200,素材!$1:$1016,COLUMN($F$1),FALSE)) - LEN(SUBSTITUTE(VLOOKUP($D200,素材!$1:$1016,COLUMN($F$1),FALSE), "・", 0)) + 1), 0)</f>
        <v>0</v>
      </c>
      <c r="AF200">
        <f>IF(ISNUMBER(SEARCH(SUBSTITUTE(AF$1,RIGHT(AF$1,2),""),VLOOKUP($D200,素材!$1:$1016,COLUMN($F$1),FALSE))),VLOOKUP($C200,武器!$1:$998,COLUMN($O$1),FALSE)*VLOOKUP($D200,素材!$1:$1016,COLUMN($E$1),FALSE)/(LEN(VLOOKUP($D200,素材!$1:$1016,COLUMN($F$1),FALSE)) - LEN(SUBSTITUTE(VLOOKUP($D200,素材!$1:$1016,COLUMN($F$1),FALSE), "・", 0)) + 1), 0)</f>
        <v>0</v>
      </c>
      <c r="AG200">
        <f>IF(ISNUMBER(SEARCH(SUBSTITUTE(AG$1,RIGHT(AG$1,2),""),VLOOKUP($D200,素材!$1:$1016,COLUMN($F$1),FALSE))),VLOOKUP($C200,武器!$1:$998,COLUMN($O$1),FALSE)*VLOOKUP($D200,素材!$1:$1016,COLUMN($E$1),FALSE)/(LEN(VLOOKUP($D200,素材!$1:$1016,COLUMN($F$1),FALSE)) - LEN(SUBSTITUTE(VLOOKUP($D200,素材!$1:$1016,COLUMN($F$1),FALSE), "・", 0)) + 1), 0)</f>
        <v>0</v>
      </c>
      <c r="AH200">
        <f>IF(ISNUMBER(SEARCH(SUBSTITUTE(AH$1,RIGHT(AH$1,2),""),VLOOKUP($D200,素材!$1:$1016,COLUMN($F$1),FALSE))),VLOOKUP($C200,武器!$1:$998,COLUMN($O$1),FALSE)*VLOOKUP($D200,素材!$1:$1016,COLUMN($E$1),FALSE)/(LEN(VLOOKUP($D200,素材!$1:$1016,COLUMN($F$1),FALSE)) - LEN(SUBSTITUTE(VLOOKUP($D200,素材!$1:$1016,COLUMN($F$1),FALSE), "・", 0)) + 1), 0)</f>
        <v>0</v>
      </c>
      <c r="AI200">
        <f>IF(ISNUMBER(SEARCH(SUBSTITUTE(AI$1,RIGHT(AI$1,2),""),VLOOKUP($D200,素材!$1:$1016,COLUMN($F$1),FALSE))),VLOOKUP($C200,武器!$1:$998,COLUMN($O$1),FALSE)*VLOOKUP($D200,素材!$1:$1016,COLUMN($E$1),FALSE)/(LEN(VLOOKUP($D200,素材!$1:$1016,COLUMN($F$1),FALSE)) - LEN(SUBSTITUTE(VLOOKUP($D200,素材!$1:$1016,COLUMN($F$1),FALSE), "・", 0)) + 1), 0)</f>
        <v>0</v>
      </c>
      <c r="AJ200">
        <f>IF(ISNUMBER(SEARCH(SUBSTITUTE(AJ$1,RIGHT(AJ$1,2),""),VLOOKUP($D200,素材!$1:$1016,COLUMN($F$1),FALSE))),VLOOKUP($C200,武器!$1:$998,COLUMN($O$1),FALSE)*VLOOKUP($D200,素材!$1:$1016,COLUMN($E$1),FALSE)/(LEN(VLOOKUP($D200,素材!$1:$1016,COLUMN($F$1),FALSE)) - LEN(SUBSTITUTE(VLOOKUP($D200,素材!$1:$1016,COLUMN($F$1),FALSE), "・", 0)) + 1), 0)</f>
        <v>0</v>
      </c>
      <c r="AK200">
        <f>IF(ISNUMBER(SEARCH(SUBSTITUTE(AK$1,RIGHT(AK$1,2),""),VLOOKUP($D200,素材!$1:$1016,COLUMN($F$1),FALSE))),VLOOKUP($C200,武器!$1:$998,COLUMN($O$1),FALSE)*VLOOKUP($D200,素材!$1:$1016,COLUMN($E$1),FALSE)/(LEN(VLOOKUP($D200,素材!$1:$1016,COLUMN($F$1),FALSE)) - LEN(SUBSTITUTE(VLOOKUP($D200,素材!$1:$1016,COLUMN($F$1),FALSE), "・", 0)) + 1), 0)</f>
        <v>0</v>
      </c>
      <c r="AL200">
        <f>IF(ISNUMBER(SEARCH(SUBSTITUTE(AL$1,RIGHT(AL$1,2),""),VLOOKUP($D200,素材!$1:$1016,COLUMN($F$1),FALSE))),VLOOKUP($C200,武器!$1:$998,COLUMN($O$1),FALSE)*VLOOKUP($D200,素材!$1:$1016,COLUMN($E$1),FALSE)/(LEN(VLOOKUP($D200,素材!$1:$1016,COLUMN($F$1),FALSE)) - LEN(SUBSTITUTE(VLOOKUP($D200,素材!$1:$1016,COLUMN($F$1),FALSE), "・", 0)) + 1), 0)</f>
        <v>0</v>
      </c>
      <c r="AM200">
        <f>IF(ISNUMBER(SEARCH(SUBSTITUTE(AM$1,RIGHT(AM$1,2),""),VLOOKUP($D200,素材!$1:$1016,COLUMN($F$1),FALSE))),VLOOKUP($C200,武器!$1:$998,COLUMN($O$1),FALSE)*VLOOKUP($D200,素材!$1:$1016,COLUMN($E$1),FALSE)/(LEN(VLOOKUP($D200,素材!$1:$1016,COLUMN($F$1),FALSE)) - LEN(SUBSTITUTE(VLOOKUP($D200,素材!$1:$1016,COLUMN($F$1),FALSE), "・", 0)) + 1), 0)</f>
        <v>0</v>
      </c>
      <c r="AN200">
        <f>IF(ISNUMBER(SEARCH(SUBSTITUTE(AN$1,RIGHT(AN$1,2),""),VLOOKUP($D200,素材!$1:$1016,COLUMN($F$1),FALSE))),VLOOKUP($C200,武器!$1:$998,COLUMN($O$1),FALSE)*VLOOKUP($D200,素材!$1:$1016,COLUMN($E$1),FALSE)/(LEN(VLOOKUP($D200,素材!$1:$1016,COLUMN($F$1),FALSE)) - LEN(SUBSTITUTE(VLOOKUP($D200,素材!$1:$1016,COLUMN($F$1),FALSE), "・", 0)) + 1), 0)</f>
        <v>0</v>
      </c>
      <c r="AO200">
        <f>IF(ISNUMBER(SEARCH(SUBSTITUTE(AO$1,RIGHT(AO$1,2),""),VLOOKUP($D200,素材!$1:$1016,COLUMN($F$1),FALSE))),VLOOKUP($C200,武器!$1:$998,COLUMN($O$1),FALSE)*VLOOKUP($D200,素材!$1:$1016,COLUMN($E$1),FALSE)/(LEN(VLOOKUP($D200,素材!$1:$1016,COLUMN($F$1),FALSE)) - LEN(SUBSTITUTE(VLOOKUP($D200,素材!$1:$1016,COLUMN($F$1),FALSE), "・", 0)) + 1), 0)</f>
        <v>0</v>
      </c>
      <c r="AP200">
        <f>IF(ISNUMBER(SEARCH(SUBSTITUTE(AP$1,RIGHT(AP$1,2),""),VLOOKUP($D200,素材!$1:$1016,COLUMN($F$1),FALSE))),VLOOKUP($C200,武器!$1:$998,COLUMN($O$1),FALSE)*VLOOKUP($D200,素材!$1:$1016,COLUMN($E$1),FALSE)/(LEN(VLOOKUP($D200,素材!$1:$1016,COLUMN($F$1),FALSE)) - LEN(SUBSTITUTE(VLOOKUP($D200,素材!$1:$1016,COLUMN($F$1),FALSE), "・", 0)) + 1), 0)</f>
        <v>0</v>
      </c>
      <c r="AQ200">
        <f>IF(ISNUMBER(SEARCH(SUBSTITUTE(AQ$1,RIGHT(AQ$1,2),""),VLOOKUP($D200,素材!$1:$1016,COLUMN($F$1),FALSE))),VLOOKUP($C200,武器!$1:$998,COLUMN($O$1),FALSE)*VLOOKUP($D200,素材!$1:$1016,COLUMN($E$1),FALSE)/(LEN(VLOOKUP($D200,素材!$1:$1016,COLUMN($F$1),FALSE)) - LEN(SUBSTITUTE(VLOOKUP($D200,素材!$1:$1016,COLUMN($F$1),FALSE), "・", 0)) + 1), 0)</f>
        <v>0</v>
      </c>
      <c r="AR200">
        <f>IF(ISNUMBER(SEARCH(SUBSTITUTE(AR$1,RIGHT(AR$1,2),""),VLOOKUP($D200,素材!$1:$1016,COLUMN($F$1),FALSE))),VLOOKUP($C200,武器!$1:$998,COLUMN($O$1),FALSE)*VLOOKUP($D200,素材!$1:$1016,COLUMN($E$1),FALSE)/(LEN(VLOOKUP($D200,素材!$1:$1016,COLUMN($F$1),FALSE)) - LEN(SUBSTITUTE(VLOOKUP($D200,素材!$1:$1016,COLUMN($F$1),FALSE), "・", 0)) + 1), 0)</f>
        <v>0</v>
      </c>
      <c r="AS200">
        <f>IF(ISNUMBER(SEARCH(SUBSTITUTE(AS$1,RIGHT(AS$1,2),""),VLOOKUP($D200,素材!$1:$1016,COLUMN($F$1),FALSE))),VLOOKUP($C200,武器!$1:$998,COLUMN($O$1),FALSE)*VLOOKUP($D200,素材!$1:$1016,COLUMN($E$1),FALSE)/(LEN(VLOOKUP($D200,素材!$1:$1016,COLUMN($F$1),FALSE)) - LEN(SUBSTITUTE(VLOOKUP($D200,素材!$1:$1016,COLUMN($F$1),FALSE), "・", 0)) + 1), 0)</f>
        <v>0</v>
      </c>
      <c r="AT200">
        <f>IF(ISNUMBER(SEARCH(SUBSTITUTE(AT$1,RIGHT(AT$1,2),""),VLOOKUP($D200,素材!$1:$1016,COLUMN($F$1),FALSE))),VLOOKUP($C200,武器!$1:$998,COLUMN($O$1),FALSE)*VLOOKUP($D200,素材!$1:$1016,COLUMN($E$1),FALSE)/(LEN(VLOOKUP($D200,素材!$1:$1016,COLUMN($F$1),FALSE)) - LEN(SUBSTITUTE(VLOOKUP($D200,素材!$1:$1016,COLUMN($F$1),FALSE), "・", 0)) + 1), 0)</f>
        <v>0</v>
      </c>
      <c r="AU200">
        <f>IF(ISNUMBER(SEARCH(SUBSTITUTE(AU$1,RIGHT(AU$1,2),""),VLOOKUP($D200,素材!$1:$1016,COLUMN($F$1),FALSE))),VLOOKUP($C200,武器!$1:$998,COLUMN($O$1),FALSE)*VLOOKUP($D200,素材!$1:$1016,COLUMN($E$1),FALSE)/(LEN(VLOOKUP($D200,素材!$1:$1016,COLUMN($F$1),FALSE)) - LEN(SUBSTITUTE(VLOOKUP($D200,素材!$1:$1016,COLUMN($F$1),FALSE), "・", 0)) + 1), 0)</f>
        <v>0</v>
      </c>
      <c r="AV200">
        <f>IF(ISNUMBER(SEARCH(SUBSTITUTE(AV$1,RIGHT(AV$1,2),""),VLOOKUP($D200,素材!$1:$1016,COLUMN($F$1),FALSE))),VLOOKUP($C200,武器!$1:$998,COLUMN($O$1),FALSE)*VLOOKUP($D200,素材!$1:$1016,COLUMN($E$1),FALSE)/(LEN(VLOOKUP($D200,素材!$1:$1016,COLUMN($F$1),FALSE)) - LEN(SUBSTITUTE(VLOOKUP($D200,素材!$1:$1016,COLUMN($F$1),FALSE), "・", 0)) + 1), 0)</f>
        <v>0</v>
      </c>
      <c r="AW200">
        <f>IF(ISNUMBER(SEARCH(SUBSTITUTE(AW$1,RIGHT(AW$1,2),""),VLOOKUP($D200,素材!$1:$1016,COLUMN($F$1),FALSE))),VLOOKUP($C200,武器!$1:$998,COLUMN($O$1),FALSE)*VLOOKUP($D200,素材!$1:$1016,COLUMN($E$1),FALSE)/(LEN(VLOOKUP($D200,素材!$1:$1016,COLUMN($F$1),FALSE)) - LEN(SUBSTITUTE(VLOOKUP($D200,素材!$1:$1016,COLUMN($F$1),FALSE), "・", 0)) + 1), 0)</f>
        <v>0</v>
      </c>
      <c r="AX200">
        <f>IF(ISNUMBER(SEARCH(SUBSTITUTE(AX$1,RIGHT(AX$1,2),""),VLOOKUP($D200,素材!$1:$1016,COLUMN($F$1),FALSE))),VLOOKUP($C200,武器!$1:$998,COLUMN($O$1),FALSE)*VLOOKUP($D200,素材!$1:$1016,COLUMN($E$1),FALSE)/(LEN(VLOOKUP($D200,素材!$1:$1016,COLUMN($F$1),FALSE)) - LEN(SUBSTITUTE(VLOOKUP($D200,素材!$1:$1016,COLUMN($F$1),FALSE), "・", 0)) + 1), 0)</f>
        <v>0</v>
      </c>
      <c r="AY200">
        <f>IF(ISNUMBER(SEARCH(SUBSTITUTE(AY$1,RIGHT(AY$1,2),""),VLOOKUP($D200,素材!$1:$1016,COLUMN($F$1),FALSE))),VLOOKUP($C200,武器!$1:$998,COLUMN($O$1),FALSE)*VLOOKUP($D200,素材!$1:$1016,COLUMN($E$1),FALSE)/(LEN(VLOOKUP($D200,素材!$1:$1016,COLUMN($F$1),FALSE)) - LEN(SUBSTITUTE(VLOOKUP($D200,素材!$1:$1016,COLUMN($F$1),FALSE), "・", 0)) + 1), 0)</f>
        <v>0</v>
      </c>
      <c r="AZ200">
        <f>IF(ISNUMBER(SEARCH(SUBSTITUTE(AZ$1,RIGHT(AZ$1,2),""),VLOOKUP($D200,素材!$1:$1016,COLUMN($F$1),FALSE))),VLOOKUP($C200,武器!$1:$998,COLUMN($O$1),FALSE)*VLOOKUP($D200,素材!$1:$1016,COLUMN($E$1),FALSE)/(LEN(VLOOKUP($D200,素材!$1:$1016,COLUMN($F$1),FALSE)) - LEN(SUBSTITUTE(VLOOKUP($D200,素材!$1:$1016,COLUMN($F$1),FALSE), "・", 0)) + 1), 0)</f>
        <v>0</v>
      </c>
      <c r="BA200">
        <f>IF(ISNUMBER(SEARCH(SUBSTITUTE(BA$1,RIGHT(BA$1,2),""),VLOOKUP($D200,素材!$1:$1016,COLUMN($F$1),FALSE))),VLOOKUP($C200,武器!$1:$998,COLUMN($O$1),FALSE)*VLOOKUP($D200,素材!$1:$1016,COLUMN($E$1),FALSE)/(LEN(VLOOKUP($D200,素材!$1:$1016,COLUMN($F$1),FALSE)) - LEN(SUBSTITUTE(VLOOKUP($D200,素材!$1:$1016,COLUMN($F$1),FALSE), "・", 0)) + 1), 0)</f>
        <v>0</v>
      </c>
      <c r="BB200">
        <f>IF(ISNUMBER(SEARCH(SUBSTITUTE(BB$1,RIGHT(BB$1,2),""),VLOOKUP($D200,素材!$1:$1016,COLUMN($F$1),FALSE))),VLOOKUP($C200,武器!$1:$998,COLUMN($O$1),FALSE)*VLOOKUP($D200,素材!$1:$1016,COLUMN($E$1),FALSE)/(LEN(VLOOKUP($D200,素材!$1:$1016,COLUMN($F$1),FALSE)) - LEN(SUBSTITUTE(VLOOKUP($D200,素材!$1:$1016,COLUMN($F$1),FALSE), "・", 0)) + 1), 0)</f>
        <v>0</v>
      </c>
      <c r="BC200">
        <f>IF(ISNUMBER(SEARCH(SUBSTITUTE(BC$1,RIGHT(BC$1,2),""),VLOOKUP($D200,素材!$1:$1016,COLUMN($F$1),FALSE))),VLOOKUP($C200,武器!$1:$998,COLUMN($O$1),FALSE)*VLOOKUP($D200,素材!$1:$1016,COLUMN($E$1),FALSE)/(LEN(VLOOKUP($D200,素材!$1:$1016,COLUMN($F$1),FALSE)) - LEN(SUBSTITUTE(VLOOKUP($D200,素材!$1:$1016,COLUMN($F$1),FALSE), "・", 0)) + 1), 0)</f>
        <v>0</v>
      </c>
      <c r="BD200">
        <f>IF(ISNUMBER(SEARCH(SUBSTITUTE(BD$1,RIGHT(BD$1,2),""),VLOOKUP($D200,素材!$1:$1016,COLUMN($F$1),FALSE))),VLOOKUP($C200,武器!$1:$998,COLUMN($O$1),FALSE)*VLOOKUP($D200,素材!$1:$1016,COLUMN($E$1),FALSE)/(LEN(VLOOKUP($D200,素材!$1:$1016,COLUMN($F$1),FALSE)) - LEN(SUBSTITUTE(VLOOKUP($D200,素材!$1:$1016,COLUMN($F$1),FALSE), "・", 0)) + 1), 0)</f>
        <v>0</v>
      </c>
      <c r="BE200">
        <f>IF(ISNUMBER(SEARCH(SUBSTITUTE(BE$1,RIGHT(BE$1,2),""),VLOOKUP($D200,素材!$1:$1016,COLUMN($F$1),FALSE))),VLOOKUP($C200,武器!$1:$998,COLUMN($O$1),FALSE)*VLOOKUP($D200,素材!$1:$1016,COLUMN($E$1),FALSE)/(LEN(VLOOKUP($D200,素材!$1:$1016,COLUMN($F$1),FALSE)) - LEN(SUBSTITUTE(VLOOKUP($D200,素材!$1:$1016,COLUMN($F$1),FALSE), "・", 0)) + 1), 0)</f>
        <v>0</v>
      </c>
      <c r="CL200">
        <f>SUM(G200:I200)</f>
        <v>31</v>
      </c>
      <c r="CM200" s="22" t="str">
        <f>IF(E200="武器",IF(J200-1&gt;SUM(G200:I200),"盾",IF(MAX(G200:I200)=G200,"切断",IF(MAX(G200:I200)=H200,"貫通",IF(MAX(G200:I200)=I200,"打撃","射撃")))),E200)&amp;".webp"</f>
        <v>切断.webp</v>
      </c>
      <c r="CN200">
        <f>IFERROR(VLOOKUP($C200,武器!$1:$998,COLUMN(V$1),FALSE)*VLOOKUP($D200,素材!$1:$1016,COLUMN(N$1),FALSE)+IF(CI200="",0,VLOOKUP($CI200,装強!$1:$1008,COLUMN($CK$1),FALSE)),"")</f>
        <v>4500</v>
      </c>
      <c r="CO200">
        <f>VLOOKUP(D200,素材!$A:$O,COLUMN(素材!O$1),FALSE)</f>
        <v>0</v>
      </c>
      <c r="CP200" t="str">
        <f>VLOOKUP(C200,武器!$A:$W,COLUMN(武器!W$1),FALSE)</f>
        <v>大剣。非常に重いが威力が突出して高い武器。大きい分ガードにも向いている</v>
      </c>
      <c r="CR200" t="str">
        <f t="shared" si="18"/>
        <v>e_200</v>
      </c>
      <c r="CS200">
        <f t="shared" si="22"/>
        <v>450000</v>
      </c>
    </row>
    <row r="201" spans="1:97" outlineLevel="1" x14ac:dyDescent="0.4">
      <c r="A201" t="str">
        <f t="shared" si="28"/>
        <v>冷気鉄の細剣</v>
      </c>
      <c r="B201" t="str">
        <f>IFERROR(VLOOKUP($D201,素材!$1:$1016,COLUMN($B$1),FALSE)&amp;"・"&amp;VLOOKUP($C201,武器!$1:$998,COLUMN(B$1),FALSE),"")</f>
        <v>ドゥララン・レイピア</v>
      </c>
      <c r="C201" s="24" t="s">
        <v>236</v>
      </c>
      <c r="D201" s="24" t="s">
        <v>243</v>
      </c>
      <c r="E201" t="str">
        <f>IFERROR(VLOOKUP(C201,武器!$1:$998,COLUMN(C$1),FALSE),"")</f>
        <v>武器</v>
      </c>
      <c r="F201">
        <f>IFERROR(ROUNDDOWN((VLOOKUP($C201,武器!$1:$998,COLUMN(D$1),FALSE)+IFERROR(VLOOKUP($CI201,装強!$1:$999,COLUMN(F$1),FALSE),0))*VLOOKUP($D201,素材!$1:$1016,COLUMN(D$1),FALSE),0),"")</f>
        <v>100</v>
      </c>
      <c r="G201">
        <f>IFERROR(ROUNDDOWN((VLOOKUP($C201,武器!$1:$998,COLUMN(E$1),FALSE)+IFERROR(VLOOKUP($CI201,装強!$1:$999,COLUMN(G$1),FALSE),0))*VLOOKUP($D201,素材!$1:$1016,COLUMN($E$1),FALSE),0),"")</f>
        <v>9</v>
      </c>
      <c r="H201">
        <f>IFERROR(ROUNDDOWN((VLOOKUP($C201,武器!$1:$998,COLUMN(F$1),FALSE)+IFERROR(VLOOKUP($CI201,装強!$1:$999,COLUMN(H$1),FALSE),0))*VLOOKUP($D201,素材!$1:$1016,COLUMN($E$1),FALSE),0),"")</f>
        <v>13</v>
      </c>
      <c r="I201">
        <f>IFERROR(ROUNDDOWN((VLOOKUP($C201,武器!$1:$998,COLUMN(G$1),FALSE)+IFERROR(VLOOKUP($CI201,装強!$1:$999,COLUMN(I$1),FALSE),0))*VLOOKUP($D201,素材!$1:$1016,COLUMN($E$1),FALSE),0),"")</f>
        <v>0</v>
      </c>
      <c r="J201">
        <f>IFERROR(ROUNDDOWN((VLOOKUP($C201,武器!$1:$998,COLUMN(H$1),FALSE)+IFERROR(VLOOKUP($CI201,装強!$1:$999,COLUMN(J$1),FALSE),0))*VLOOKUP($D201,素材!$1:$1016,COLUMN($E$1),FALSE),0),"")</f>
        <v>16</v>
      </c>
      <c r="K201">
        <f>IFERROR(ROUNDDOWN((VLOOKUP($C201,武器!$1:$998,COLUMN(I$1),FALSE)+IFERROR(VLOOKUP($CI201,装強!$1:$999,COLUMN(K$1),FALSE),0))*VLOOKUP($D201,素材!$1:$1016,COLUMN($E$1),FALSE),0),"")</f>
        <v>0</v>
      </c>
      <c r="L201" t="str">
        <f>IFERROR(VLOOKUP($D201,素材!$1:$1016,COLUMN($F$1),FALSE),"")</f>
        <v>氷</v>
      </c>
      <c r="M201">
        <f>IFERROR(VLOOKUP($C201,武器!$1:$998,COLUMN(AA$1),FALSE)*VLOOKUP($D201,素材!$1:$1016,COLUMN($G$1),FALSE),"")</f>
        <v>42</v>
      </c>
      <c r="N201">
        <f>IFERROR(VLOOKUP($C201,武器!$1:$998,COLUMN(I$1),FALSE),"")</f>
        <v>0</v>
      </c>
      <c r="O201" s="23">
        <f>IFERROR((VLOOKUP($C201,武器!$1:$998,COLUMN(K$1),FALSE)+VLOOKUP($D201,素材!$1:$1016,COLUMN(H$1),FALSE))*100+IFERROR(VLOOKUP($CI201,装強!$1:$999,COLUMN(O$1),FALSE),0),"")</f>
        <v>15</v>
      </c>
      <c r="P201" s="23">
        <f>IFERROR((VLOOKUP($C201,武器!$1:$998,COLUMN(L$1),FALSE)+VLOOKUP($D201,素材!$1:$1016,COLUMN(I$1),FALSE))*100+IFERROR(VLOOKUP($CI201,装強!$1:$999,COLUMN(P$1),FALSE),0),"")</f>
        <v>125</v>
      </c>
      <c r="Q201">
        <f>IFERROR(ROUNDUP(VLOOKUP($C201,武器!$1:$998,COLUMN(M$1),FALSE)*(VLOOKUP($D201,素材!$1:$1002,COLUMN(D$1),FALSE)/100),1),"")</f>
        <v>0</v>
      </c>
      <c r="R201">
        <f>IFERROR(ROUNDUP(VLOOKUP($C201,武器!$1:$998,COLUMN(N$1),FALSE)*(VLOOKUP($D201,素材!$1:$1002,COLUMN(D$1),FALSE)/100),1),"")</f>
        <v>0</v>
      </c>
      <c r="S201">
        <f>IFERROR(VLOOKUP($C201,武器!$1:$998,COLUMN(P$1),FALSE),"")</f>
        <v>0</v>
      </c>
      <c r="T201">
        <f>IFERROR(VLOOKUP($C201,武器!$1:$998,COLUMN(Q$1),FALSE),"")</f>
        <v>0</v>
      </c>
      <c r="U201">
        <f>IFERROR(VLOOKUP($C201,武器!$1:$998,COLUMN(R$1),FALSE),"")</f>
        <v>0</v>
      </c>
      <c r="V201">
        <f>IFERROR(VLOOKUP($C201,武器!$1:$998,COLUMN(Q$1),FALSE),"")</f>
        <v>0</v>
      </c>
      <c r="W201" t="str">
        <f>IFERROR(VLOOKUP($C201,武器!$1:$998,COLUMN(T$1),FALSE),"")</f>
        <v>A</v>
      </c>
      <c r="Y201" t="str">
        <f>IFERROR(VLOOKUP($C201,武器!$1:$998,COLUMN(U$1),FALSE),"")</f>
        <v>片手適正Ⅰ</v>
      </c>
      <c r="Z201">
        <f>IFERROR(ROUNDUP(VLOOKUP($C201,武器!$1:$998,COLUMN(O$1),FALSE)*VLOOKUP($D201,素材!$1:$1016,COLUMN(E$1),FALSE),1),"")</f>
        <v>0</v>
      </c>
      <c r="AA201">
        <f>IF(ISNUMBER(SEARCH(SUBSTITUTE(AA$1,RIGHT(AA$1,2),""),VLOOKUP($D201,素材!$1:$1016,COLUMN($F$1),FALSE))),VLOOKUP($C201,武器!$1:$998,COLUMN($O$1),FALSE)*VLOOKUP($D201,素材!$1:$1016,COLUMN($E$1),FALSE)/(LEN(VLOOKUP($D201,素材!$1:$1016,COLUMN($F$1),FALSE)) - LEN(SUBSTITUTE(VLOOKUP($D201,素材!$1:$1016,COLUMN($F$1),FALSE), "・", 0)) + 1), 0)</f>
        <v>0</v>
      </c>
      <c r="AB201">
        <f>IF(ISNUMBER(SEARCH(SUBSTITUTE(AB$1,RIGHT(AB$1,2),""),VLOOKUP($D201,素材!$1:$1016,COLUMN($F$1),FALSE))),VLOOKUP($C201,武器!$1:$998,COLUMN($O$1),FALSE)*VLOOKUP($D201,素材!$1:$1016,COLUMN($E$1),FALSE)/(LEN(VLOOKUP($D201,素材!$1:$1016,COLUMN($F$1),FALSE)) - LEN(SUBSTITUTE(VLOOKUP($D201,素材!$1:$1016,COLUMN($F$1),FALSE), "・", 0)) + 1), 0)</f>
        <v>0</v>
      </c>
      <c r="AC201">
        <f>IF(ISNUMBER(SEARCH(SUBSTITUTE(AC$1,RIGHT(AC$1,2),""),VLOOKUP($D201,素材!$1:$1016,COLUMN($F$1),FALSE))),VLOOKUP($C201,武器!$1:$998,COLUMN($O$1),FALSE)*VLOOKUP($D201,素材!$1:$1016,COLUMN($E$1),FALSE)/(LEN(VLOOKUP($D201,素材!$1:$1016,COLUMN($F$1),FALSE)) - LEN(SUBSTITUTE(VLOOKUP($D201,素材!$1:$1016,COLUMN($F$1),FALSE), "・", 0)) + 1), 0)</f>
        <v>0</v>
      </c>
      <c r="AD201">
        <f>IF(ISNUMBER(SEARCH(SUBSTITUTE(AD$1,RIGHT(AD$1,2),""),VLOOKUP($D201,素材!$1:$1016,COLUMN($F$1),FALSE))),VLOOKUP($C201,武器!$1:$998,COLUMN($O$1),FALSE)*VLOOKUP($D201,素材!$1:$1016,COLUMN($E$1),FALSE)/(LEN(VLOOKUP($D201,素材!$1:$1016,COLUMN($F$1),FALSE)) - LEN(SUBSTITUTE(VLOOKUP($D201,素材!$1:$1016,COLUMN($F$1),FALSE), "・", 0)) + 1), 0)</f>
        <v>0</v>
      </c>
      <c r="AE201">
        <f>IF(ISNUMBER(SEARCH(SUBSTITUTE(AE$1,RIGHT(AE$1,2),""),VLOOKUP($D201,素材!$1:$1016,COLUMN($F$1),FALSE))),VLOOKUP($C201,武器!$1:$998,COLUMN($O$1),FALSE)*VLOOKUP($D201,素材!$1:$1016,COLUMN($E$1),FALSE)/(LEN(VLOOKUP($D201,素材!$1:$1016,COLUMN($F$1),FALSE)) - LEN(SUBSTITUTE(VLOOKUP($D201,素材!$1:$1016,COLUMN($F$1),FALSE), "・", 0)) + 1), 0)</f>
        <v>0</v>
      </c>
      <c r="AF201">
        <f>IF(ISNUMBER(SEARCH(SUBSTITUTE(AF$1,RIGHT(AF$1,2),""),VLOOKUP($D201,素材!$1:$1016,COLUMN($F$1),FALSE))),VLOOKUP($C201,武器!$1:$998,COLUMN($O$1),FALSE)*VLOOKUP($D201,素材!$1:$1016,COLUMN($E$1),FALSE)/(LEN(VLOOKUP($D201,素材!$1:$1016,COLUMN($F$1),FALSE)) - LEN(SUBSTITUTE(VLOOKUP($D201,素材!$1:$1016,COLUMN($F$1),FALSE), "・", 0)) + 1), 0)</f>
        <v>0</v>
      </c>
      <c r="AG201">
        <f>IF(ISNUMBER(SEARCH(SUBSTITUTE(AG$1,RIGHT(AG$1,2),""),VLOOKUP($D201,素材!$1:$1016,COLUMN($F$1),FALSE))),VLOOKUP($C201,武器!$1:$998,COLUMN($O$1),FALSE)*VLOOKUP($D201,素材!$1:$1016,COLUMN($E$1),FALSE)/(LEN(VLOOKUP($D201,素材!$1:$1016,COLUMN($F$1),FALSE)) - LEN(SUBSTITUTE(VLOOKUP($D201,素材!$1:$1016,COLUMN($F$1),FALSE), "・", 0)) + 1), 0)</f>
        <v>0</v>
      </c>
      <c r="AH201">
        <f>IF(ISNUMBER(SEARCH(SUBSTITUTE(AH$1,RIGHT(AH$1,2),""),VLOOKUP($D201,素材!$1:$1016,COLUMN($F$1),FALSE))),VLOOKUP($C201,武器!$1:$998,COLUMN($O$1),FALSE)*VLOOKUP($D201,素材!$1:$1016,COLUMN($E$1),FALSE)/(LEN(VLOOKUP($D201,素材!$1:$1016,COLUMN($F$1),FALSE)) - LEN(SUBSTITUTE(VLOOKUP($D201,素材!$1:$1016,COLUMN($F$1),FALSE), "・", 0)) + 1), 0)</f>
        <v>0</v>
      </c>
      <c r="AI201">
        <f>IF(ISNUMBER(SEARCH(SUBSTITUTE(AI$1,RIGHT(AI$1,2),""),VLOOKUP($D201,素材!$1:$1016,COLUMN($F$1),FALSE))),VLOOKUP($C201,武器!$1:$998,COLUMN($O$1),FALSE)*VLOOKUP($D201,素材!$1:$1016,COLUMN($E$1),FALSE)/(LEN(VLOOKUP($D201,素材!$1:$1016,COLUMN($F$1),FALSE)) - LEN(SUBSTITUTE(VLOOKUP($D201,素材!$1:$1016,COLUMN($F$1),FALSE), "・", 0)) + 1), 0)</f>
        <v>0</v>
      </c>
      <c r="AJ201">
        <f>IF(ISNUMBER(SEARCH(SUBSTITUTE(AJ$1,RIGHT(AJ$1,2),""),VLOOKUP($D201,素材!$1:$1016,COLUMN($F$1),FALSE))),VLOOKUP($C201,武器!$1:$998,COLUMN($O$1),FALSE)*VLOOKUP($D201,素材!$1:$1016,COLUMN($E$1),FALSE)/(LEN(VLOOKUP($D201,素材!$1:$1016,COLUMN($F$1),FALSE)) - LEN(SUBSTITUTE(VLOOKUP($D201,素材!$1:$1016,COLUMN($F$1),FALSE), "・", 0)) + 1), 0)</f>
        <v>0</v>
      </c>
      <c r="AK201">
        <f>IF(ISNUMBER(SEARCH(SUBSTITUTE(AK$1,RIGHT(AK$1,2),""),VLOOKUP($D201,素材!$1:$1016,COLUMN($F$1),FALSE))),VLOOKUP($C201,武器!$1:$998,COLUMN($O$1),FALSE)*VLOOKUP($D201,素材!$1:$1016,COLUMN($E$1),FALSE)/(LEN(VLOOKUP($D201,素材!$1:$1016,COLUMN($F$1),FALSE)) - LEN(SUBSTITUTE(VLOOKUP($D201,素材!$1:$1016,COLUMN($F$1),FALSE), "・", 0)) + 1), 0)</f>
        <v>0</v>
      </c>
      <c r="AL201">
        <f>IF(ISNUMBER(SEARCH(SUBSTITUTE(AL$1,RIGHT(AL$1,2),""),VLOOKUP($D201,素材!$1:$1016,COLUMN($F$1),FALSE))),VLOOKUP($C201,武器!$1:$998,COLUMN($O$1),FALSE)*VLOOKUP($D201,素材!$1:$1016,COLUMN($E$1),FALSE)/(LEN(VLOOKUP($D201,素材!$1:$1016,COLUMN($F$1),FALSE)) - LEN(SUBSTITUTE(VLOOKUP($D201,素材!$1:$1016,COLUMN($F$1),FALSE), "・", 0)) + 1), 0)</f>
        <v>0</v>
      </c>
      <c r="AM201">
        <f>IF(ISNUMBER(SEARCH(SUBSTITUTE(AM$1,RIGHT(AM$1,2),""),VLOOKUP($D201,素材!$1:$1016,COLUMN($F$1),FALSE))),VLOOKUP($C201,武器!$1:$998,COLUMN($O$1),FALSE)*VLOOKUP($D201,素材!$1:$1016,COLUMN($E$1),FALSE)/(LEN(VLOOKUP($D201,素材!$1:$1016,COLUMN($F$1),FALSE)) - LEN(SUBSTITUTE(VLOOKUP($D201,素材!$1:$1016,COLUMN($F$1),FALSE), "・", 0)) + 1), 0)</f>
        <v>0</v>
      </c>
      <c r="AN201">
        <f>IF(ISNUMBER(SEARCH(SUBSTITUTE(AN$1,RIGHT(AN$1,2),""),VLOOKUP($D201,素材!$1:$1016,COLUMN($F$1),FALSE))),VLOOKUP($C201,武器!$1:$998,COLUMN($O$1),FALSE)*VLOOKUP($D201,素材!$1:$1016,COLUMN($E$1),FALSE)/(LEN(VLOOKUP($D201,素材!$1:$1016,COLUMN($F$1),FALSE)) - LEN(SUBSTITUTE(VLOOKUP($D201,素材!$1:$1016,COLUMN($F$1),FALSE), "・", 0)) + 1), 0)</f>
        <v>0</v>
      </c>
      <c r="AO201">
        <f>IF(ISNUMBER(SEARCH(SUBSTITUTE(AO$1,RIGHT(AO$1,2),""),VLOOKUP($D201,素材!$1:$1016,COLUMN($F$1),FALSE))),VLOOKUP($C201,武器!$1:$998,COLUMN($O$1),FALSE)*VLOOKUP($D201,素材!$1:$1016,COLUMN($E$1),FALSE)/(LEN(VLOOKUP($D201,素材!$1:$1016,COLUMN($F$1),FALSE)) - LEN(SUBSTITUTE(VLOOKUP($D201,素材!$1:$1016,COLUMN($F$1),FALSE), "・", 0)) + 1), 0)</f>
        <v>0</v>
      </c>
      <c r="AP201">
        <f>IF(ISNUMBER(SEARCH(SUBSTITUTE(AP$1,RIGHT(AP$1,2),""),VLOOKUP($D201,素材!$1:$1016,COLUMN($F$1),FALSE))),VLOOKUP($C201,武器!$1:$998,COLUMN($O$1),FALSE)*VLOOKUP($D201,素材!$1:$1016,COLUMN($E$1),FALSE)/(LEN(VLOOKUP($D201,素材!$1:$1016,COLUMN($F$1),FALSE)) - LEN(SUBSTITUTE(VLOOKUP($D201,素材!$1:$1016,COLUMN($F$1),FALSE), "・", 0)) + 1), 0)</f>
        <v>0</v>
      </c>
      <c r="AQ201">
        <f>IF(ISNUMBER(SEARCH(SUBSTITUTE(AQ$1,RIGHT(AQ$1,2),""),VLOOKUP($D201,素材!$1:$1016,COLUMN($F$1),FALSE))),VLOOKUP($C201,武器!$1:$998,COLUMN($O$1),FALSE)*VLOOKUP($D201,素材!$1:$1016,COLUMN($E$1),FALSE)/(LEN(VLOOKUP($D201,素材!$1:$1016,COLUMN($F$1),FALSE)) - LEN(SUBSTITUTE(VLOOKUP($D201,素材!$1:$1016,COLUMN($F$1),FALSE), "・", 0)) + 1), 0)</f>
        <v>0</v>
      </c>
      <c r="AR201">
        <f>IF(ISNUMBER(SEARCH(SUBSTITUTE(AR$1,RIGHT(AR$1,2),""),VLOOKUP($D201,素材!$1:$1016,COLUMN($F$1),FALSE))),VLOOKUP($C201,武器!$1:$998,COLUMN($O$1),FALSE)*VLOOKUP($D201,素材!$1:$1016,COLUMN($E$1),FALSE)/(LEN(VLOOKUP($D201,素材!$1:$1016,COLUMN($F$1),FALSE)) - LEN(SUBSTITUTE(VLOOKUP($D201,素材!$1:$1016,COLUMN($F$1),FALSE), "・", 0)) + 1), 0)</f>
        <v>0</v>
      </c>
      <c r="AS201">
        <f>IF(ISNUMBER(SEARCH(SUBSTITUTE(AS$1,RIGHT(AS$1,2),""),VLOOKUP($D201,素材!$1:$1016,COLUMN($F$1),FALSE))),VLOOKUP($C201,武器!$1:$998,COLUMN($O$1),FALSE)*VLOOKUP($D201,素材!$1:$1016,COLUMN($E$1),FALSE)/(LEN(VLOOKUP($D201,素材!$1:$1016,COLUMN($F$1),FALSE)) - LEN(SUBSTITUTE(VLOOKUP($D201,素材!$1:$1016,COLUMN($F$1),FALSE), "・", 0)) + 1), 0)</f>
        <v>0</v>
      </c>
      <c r="AT201">
        <f>IF(ISNUMBER(SEARCH(SUBSTITUTE(AT$1,RIGHT(AT$1,2),""),VLOOKUP($D201,素材!$1:$1016,COLUMN($F$1),FALSE))),VLOOKUP($C201,武器!$1:$998,COLUMN($O$1),FALSE)*VLOOKUP($D201,素材!$1:$1016,COLUMN($E$1),FALSE)/(LEN(VLOOKUP($D201,素材!$1:$1016,COLUMN($F$1),FALSE)) - LEN(SUBSTITUTE(VLOOKUP($D201,素材!$1:$1016,COLUMN($F$1),FALSE), "・", 0)) + 1), 0)</f>
        <v>0</v>
      </c>
      <c r="AU201">
        <f>IF(ISNUMBER(SEARCH(SUBSTITUTE(AU$1,RIGHT(AU$1,2),""),VLOOKUP($D201,素材!$1:$1016,COLUMN($F$1),FALSE))),VLOOKUP($C201,武器!$1:$998,COLUMN($O$1),FALSE)*VLOOKUP($D201,素材!$1:$1016,COLUMN($E$1),FALSE)/(LEN(VLOOKUP($D201,素材!$1:$1016,COLUMN($F$1),FALSE)) - LEN(SUBSTITUTE(VLOOKUP($D201,素材!$1:$1016,COLUMN($F$1),FALSE), "・", 0)) + 1), 0)</f>
        <v>0</v>
      </c>
      <c r="AV201">
        <f>IF(ISNUMBER(SEARCH(SUBSTITUTE(AV$1,RIGHT(AV$1,2),""),VLOOKUP($D201,素材!$1:$1016,COLUMN($F$1),FALSE))),VLOOKUP($C201,武器!$1:$998,COLUMN($O$1),FALSE)*VLOOKUP($D201,素材!$1:$1016,COLUMN($E$1),FALSE)/(LEN(VLOOKUP($D201,素材!$1:$1016,COLUMN($F$1),FALSE)) - LEN(SUBSTITUTE(VLOOKUP($D201,素材!$1:$1016,COLUMN($F$1),FALSE), "・", 0)) + 1), 0)</f>
        <v>0</v>
      </c>
      <c r="AW201">
        <f>IF(ISNUMBER(SEARCH(SUBSTITUTE(AW$1,RIGHT(AW$1,2),""),VLOOKUP($D201,素材!$1:$1016,COLUMN($F$1),FALSE))),VLOOKUP($C201,武器!$1:$998,COLUMN($O$1),FALSE)*VLOOKUP($D201,素材!$1:$1016,COLUMN($E$1),FALSE)/(LEN(VLOOKUP($D201,素材!$1:$1016,COLUMN($F$1),FALSE)) - LEN(SUBSTITUTE(VLOOKUP($D201,素材!$1:$1016,COLUMN($F$1),FALSE), "・", 0)) + 1), 0)</f>
        <v>0</v>
      </c>
      <c r="AX201">
        <f>IF(ISNUMBER(SEARCH(SUBSTITUTE(AX$1,RIGHT(AX$1,2),""),VLOOKUP($D201,素材!$1:$1016,COLUMN($F$1),FALSE))),VLOOKUP($C201,武器!$1:$998,COLUMN($O$1),FALSE)*VLOOKUP($D201,素材!$1:$1016,COLUMN($E$1),FALSE)/(LEN(VLOOKUP($D201,素材!$1:$1016,COLUMN($F$1),FALSE)) - LEN(SUBSTITUTE(VLOOKUP($D201,素材!$1:$1016,COLUMN($F$1),FALSE), "・", 0)) + 1), 0)</f>
        <v>0</v>
      </c>
      <c r="AY201">
        <f>IF(ISNUMBER(SEARCH(SUBSTITUTE(AY$1,RIGHT(AY$1,2),""),VLOOKUP($D201,素材!$1:$1016,COLUMN($F$1),FALSE))),VLOOKUP($C201,武器!$1:$998,COLUMN($O$1),FALSE)*VLOOKUP($D201,素材!$1:$1016,COLUMN($E$1),FALSE)/(LEN(VLOOKUP($D201,素材!$1:$1016,COLUMN($F$1),FALSE)) - LEN(SUBSTITUTE(VLOOKUP($D201,素材!$1:$1016,COLUMN($F$1),FALSE), "・", 0)) + 1), 0)</f>
        <v>0</v>
      </c>
      <c r="AZ201">
        <f>IF(ISNUMBER(SEARCH(SUBSTITUTE(AZ$1,RIGHT(AZ$1,2),""),VLOOKUP($D201,素材!$1:$1016,COLUMN($F$1),FALSE))),VLOOKUP($C201,武器!$1:$998,COLUMN($O$1),FALSE)*VLOOKUP($D201,素材!$1:$1016,COLUMN($E$1),FALSE)/(LEN(VLOOKUP($D201,素材!$1:$1016,COLUMN($F$1),FALSE)) - LEN(SUBSTITUTE(VLOOKUP($D201,素材!$1:$1016,COLUMN($F$1),FALSE), "・", 0)) + 1), 0)</f>
        <v>0</v>
      </c>
      <c r="BA201">
        <f>IF(ISNUMBER(SEARCH(SUBSTITUTE(BA$1,RIGHT(BA$1,2),""),VLOOKUP($D201,素材!$1:$1016,COLUMN($F$1),FALSE))),VLOOKUP($C201,武器!$1:$998,COLUMN($O$1),FALSE)*VLOOKUP($D201,素材!$1:$1016,COLUMN($E$1),FALSE)/(LEN(VLOOKUP($D201,素材!$1:$1016,COLUMN($F$1),FALSE)) - LEN(SUBSTITUTE(VLOOKUP($D201,素材!$1:$1016,COLUMN($F$1),FALSE), "・", 0)) + 1), 0)</f>
        <v>0</v>
      </c>
      <c r="BB201">
        <f>IF(ISNUMBER(SEARCH(SUBSTITUTE(BB$1,RIGHT(BB$1,2),""),VLOOKUP($D201,素材!$1:$1016,COLUMN($F$1),FALSE))),VLOOKUP($C201,武器!$1:$998,COLUMN($O$1),FALSE)*VLOOKUP($D201,素材!$1:$1016,COLUMN($E$1),FALSE)/(LEN(VLOOKUP($D201,素材!$1:$1016,COLUMN($F$1),FALSE)) - LEN(SUBSTITUTE(VLOOKUP($D201,素材!$1:$1016,COLUMN($F$1),FALSE), "・", 0)) + 1), 0)</f>
        <v>0</v>
      </c>
      <c r="BC201">
        <f>IF(ISNUMBER(SEARCH(SUBSTITUTE(BC$1,RIGHT(BC$1,2),""),VLOOKUP($D201,素材!$1:$1016,COLUMN($F$1),FALSE))),VLOOKUP($C201,武器!$1:$998,COLUMN($O$1),FALSE)*VLOOKUP($D201,素材!$1:$1016,COLUMN($E$1),FALSE)/(LEN(VLOOKUP($D201,素材!$1:$1016,COLUMN($F$1),FALSE)) - LEN(SUBSTITUTE(VLOOKUP($D201,素材!$1:$1016,COLUMN($F$1),FALSE), "・", 0)) + 1), 0)</f>
        <v>0</v>
      </c>
      <c r="BD201">
        <f>IF(ISNUMBER(SEARCH(SUBSTITUTE(BD$1,RIGHT(BD$1,2),""),VLOOKUP($D201,素材!$1:$1016,COLUMN($F$1),FALSE))),VLOOKUP($C201,武器!$1:$998,COLUMN($O$1),FALSE)*VLOOKUP($D201,素材!$1:$1016,COLUMN($E$1),FALSE)/(LEN(VLOOKUP($D201,素材!$1:$1016,COLUMN($F$1),FALSE)) - LEN(SUBSTITUTE(VLOOKUP($D201,素材!$1:$1016,COLUMN($F$1),FALSE), "・", 0)) + 1), 0)</f>
        <v>0</v>
      </c>
      <c r="BE201">
        <f>IF(ISNUMBER(SEARCH(SUBSTITUTE(BE$1,RIGHT(BE$1,2),""),VLOOKUP($D201,素材!$1:$1016,COLUMN($F$1),FALSE))),VLOOKUP($C201,武器!$1:$998,COLUMN($O$1),FALSE)*VLOOKUP($D201,素材!$1:$1016,COLUMN($E$1),FALSE)/(LEN(VLOOKUP($D201,素材!$1:$1016,COLUMN($F$1),FALSE)) - LEN(SUBSTITUTE(VLOOKUP($D201,素材!$1:$1016,COLUMN($F$1),FALSE), "・", 0)) + 1), 0)</f>
        <v>0</v>
      </c>
      <c r="CL201">
        <f>SUM(G201:I201)</f>
        <v>22</v>
      </c>
      <c r="CM201" s="22" t="str">
        <f>IF(E201="武器",IF(J201-1&gt;SUM(G201:I201),"盾",IF(MAX(G201:I201)=G201,"切断",IF(MAX(G201:I201)=H201,"貫通",IF(MAX(G201:I201)=I201,"打撃","射撃")))),E201)&amp;".webp"</f>
        <v>貫通.webp</v>
      </c>
      <c r="CN201">
        <f>IFERROR(VLOOKUP($C201,武器!$1:$998,COLUMN(V$1),FALSE)*VLOOKUP($D201,素材!$1:$1016,COLUMN(N$1),FALSE)+IF(CI201="",0,VLOOKUP($CI201,装強!$1:$1008,COLUMN($CK$1),FALSE)),"")</f>
        <v>3000</v>
      </c>
      <c r="CO201">
        <f>VLOOKUP(D201,素材!$A:$O,COLUMN(素材!O$1),FALSE)</f>
        <v>0</v>
      </c>
      <c r="CP201" t="str">
        <f>VLOOKUP(C201,武器!$A:$W,COLUMN(武器!W$1),FALSE)</f>
        <v>細剣。刺突に優れた武器でCr率が高い</v>
      </c>
      <c r="CR201" t="str">
        <f t="shared" si="18"/>
        <v>e_201</v>
      </c>
      <c r="CS201">
        <f t="shared" si="22"/>
        <v>300000</v>
      </c>
    </row>
    <row r="202" spans="1:97" outlineLevel="1" x14ac:dyDescent="0.4">
      <c r="A202" t="str">
        <f t="shared" si="28"/>
        <v>冷気鉄の刺剣</v>
      </c>
      <c r="B202" t="str">
        <f>IFERROR(VLOOKUP($D202,素材!$1:$1016,COLUMN($B$1),FALSE)&amp;"・"&amp;VLOOKUP($C202,武器!$1:$998,COLUMN(B$1),FALSE),"")</f>
        <v>ドゥララン・スティレット</v>
      </c>
      <c r="C202" s="24" t="s">
        <v>235</v>
      </c>
      <c r="D202" s="24" t="s">
        <v>243</v>
      </c>
      <c r="E202" t="str">
        <f>IFERROR(VLOOKUP(C202,武器!$1:$998,COLUMN(C$1),FALSE),"")</f>
        <v>武器</v>
      </c>
      <c r="F202">
        <f>IFERROR(ROUNDDOWN((VLOOKUP($C202,武器!$1:$998,COLUMN(D$1),FALSE)+IFERROR(VLOOKUP($CI202,装強!$1:$999,COLUMN(F$1),FALSE),0))*VLOOKUP($D202,素材!$1:$1016,COLUMN(D$1),FALSE),0),"")</f>
        <v>110</v>
      </c>
      <c r="G202">
        <f>IFERROR(ROUNDDOWN((VLOOKUP($C202,武器!$1:$998,COLUMN(E$1),FALSE)+IFERROR(VLOOKUP($CI202,装強!$1:$999,COLUMN(G$1),FALSE),0))*VLOOKUP($D202,素材!$1:$1016,COLUMN($E$1),FALSE),0),"")</f>
        <v>4</v>
      </c>
      <c r="H202">
        <f>IFERROR(ROUNDDOWN((VLOOKUP($C202,武器!$1:$998,COLUMN(F$1),FALSE)+IFERROR(VLOOKUP($CI202,装強!$1:$999,COLUMN(H$1),FALSE),0))*VLOOKUP($D202,素材!$1:$1016,COLUMN($E$1),FALSE),0),"")</f>
        <v>18</v>
      </c>
      <c r="I202">
        <f>IFERROR(ROUNDDOWN((VLOOKUP($C202,武器!$1:$998,COLUMN(G$1),FALSE)+IFERROR(VLOOKUP($CI202,装強!$1:$999,COLUMN(I$1),FALSE),0))*VLOOKUP($D202,素材!$1:$1016,COLUMN($E$1),FALSE),0),"")</f>
        <v>0</v>
      </c>
      <c r="J202">
        <f>IFERROR(ROUNDDOWN((VLOOKUP($C202,武器!$1:$998,COLUMN(H$1),FALSE)+IFERROR(VLOOKUP($CI202,装強!$1:$999,COLUMN(J$1),FALSE),0))*VLOOKUP($D202,素材!$1:$1016,COLUMN($E$1),FALSE),0),"")</f>
        <v>17</v>
      </c>
      <c r="K202">
        <f>IFERROR(ROUNDDOWN((VLOOKUP($C202,武器!$1:$998,COLUMN(I$1),FALSE)+IFERROR(VLOOKUP($CI202,装強!$1:$999,COLUMN(K$1),FALSE),0))*VLOOKUP($D202,素材!$1:$1016,COLUMN($E$1),FALSE),0),"")</f>
        <v>0</v>
      </c>
      <c r="L202" t="str">
        <f>IFERROR(VLOOKUP($D202,素材!$1:$1016,COLUMN($F$1),FALSE),"")</f>
        <v>氷</v>
      </c>
      <c r="M202">
        <f>IFERROR(VLOOKUP($C202,武器!$1:$998,COLUMN(AA$1),FALSE)*VLOOKUP($D202,素材!$1:$1016,COLUMN($G$1),FALSE),"")</f>
        <v>38.5</v>
      </c>
      <c r="N202">
        <f>IFERROR(VLOOKUP($C202,武器!$1:$998,COLUMN(I$1),FALSE),"")</f>
        <v>0</v>
      </c>
      <c r="O202" s="23">
        <f>IFERROR((VLOOKUP($C202,武器!$1:$998,COLUMN(K$1),FALSE)+VLOOKUP($D202,素材!$1:$1016,COLUMN(H$1),FALSE))*100+IFERROR(VLOOKUP($CI202,装強!$1:$999,COLUMN(O$1),FALSE),0),"")</f>
        <v>10</v>
      </c>
      <c r="P202" s="23">
        <f>IFERROR((VLOOKUP($C202,武器!$1:$998,COLUMN(L$1),FALSE)+VLOOKUP($D202,素材!$1:$1016,COLUMN(I$1),FALSE))*100+IFERROR(VLOOKUP($CI202,装強!$1:$999,COLUMN(P$1),FALSE),0),"")</f>
        <v>150</v>
      </c>
      <c r="Q202">
        <f>IFERROR(ROUNDUP(VLOOKUP($C202,武器!$1:$998,COLUMN(M$1),FALSE)*(VLOOKUP($D202,素材!$1:$1002,COLUMN(D$1),FALSE)/100),1),"")</f>
        <v>0</v>
      </c>
      <c r="R202">
        <f>IFERROR(ROUNDUP(VLOOKUP($C202,武器!$1:$998,COLUMN(N$1),FALSE)*(VLOOKUP($D202,素材!$1:$1002,COLUMN(D$1),FALSE)/100),1),"")</f>
        <v>0</v>
      </c>
      <c r="S202">
        <f>IFERROR(VLOOKUP($C202,武器!$1:$998,COLUMN(P$1),FALSE),"")</f>
        <v>0</v>
      </c>
      <c r="T202">
        <f>IFERROR(VLOOKUP($C202,武器!$1:$998,COLUMN(Q$1),FALSE),"")</f>
        <v>0</v>
      </c>
      <c r="U202">
        <f>IFERROR(VLOOKUP($C202,武器!$1:$998,COLUMN(R$1),FALSE),"")</f>
        <v>0</v>
      </c>
      <c r="V202">
        <f>IFERROR(VLOOKUP($C202,武器!$1:$998,COLUMN(Q$1),FALSE),"")</f>
        <v>0</v>
      </c>
      <c r="W202" t="str">
        <f>IFERROR(VLOOKUP($C202,武器!$1:$998,COLUMN(T$1),FALSE),"")</f>
        <v>A</v>
      </c>
      <c r="Y202" t="str">
        <f>IFERROR(VLOOKUP($C202,武器!$1:$998,COLUMN(U$1),FALSE),"")</f>
        <v>片手適正Ⅰ</v>
      </c>
      <c r="Z202">
        <f>IFERROR(ROUNDUP(VLOOKUP($C202,武器!$1:$998,COLUMN(O$1),FALSE)*VLOOKUP($D202,素材!$1:$1016,COLUMN(E$1),FALSE),1),"")</f>
        <v>0</v>
      </c>
      <c r="AA202">
        <f>IF(ISNUMBER(SEARCH(SUBSTITUTE(AA$1,RIGHT(AA$1,2),""),VLOOKUP($D202,素材!$1:$1016,COLUMN($F$1),FALSE))),VLOOKUP($C202,武器!$1:$998,COLUMN($O$1),FALSE)*VLOOKUP($D202,素材!$1:$1016,COLUMN($E$1),FALSE)/(LEN(VLOOKUP($D202,素材!$1:$1016,COLUMN($F$1),FALSE)) - LEN(SUBSTITUTE(VLOOKUP($D202,素材!$1:$1016,COLUMN($F$1),FALSE), "・", 0)) + 1), 0)</f>
        <v>0</v>
      </c>
      <c r="AB202">
        <f>IF(ISNUMBER(SEARCH(SUBSTITUTE(AB$1,RIGHT(AB$1,2),""),VLOOKUP($D202,素材!$1:$1016,COLUMN($F$1),FALSE))),VLOOKUP($C202,武器!$1:$998,COLUMN($O$1),FALSE)*VLOOKUP($D202,素材!$1:$1016,COLUMN($E$1),FALSE)/(LEN(VLOOKUP($D202,素材!$1:$1016,COLUMN($F$1),FALSE)) - LEN(SUBSTITUTE(VLOOKUP($D202,素材!$1:$1016,COLUMN($F$1),FALSE), "・", 0)) + 1), 0)</f>
        <v>0</v>
      </c>
      <c r="AC202">
        <f>IF(ISNUMBER(SEARCH(SUBSTITUTE(AC$1,RIGHT(AC$1,2),""),VLOOKUP($D202,素材!$1:$1016,COLUMN($F$1),FALSE))),VLOOKUP($C202,武器!$1:$998,COLUMN($O$1),FALSE)*VLOOKUP($D202,素材!$1:$1016,COLUMN($E$1),FALSE)/(LEN(VLOOKUP($D202,素材!$1:$1016,COLUMN($F$1),FALSE)) - LEN(SUBSTITUTE(VLOOKUP($D202,素材!$1:$1016,COLUMN($F$1),FALSE), "・", 0)) + 1), 0)</f>
        <v>0</v>
      </c>
      <c r="AD202">
        <f>IF(ISNUMBER(SEARCH(SUBSTITUTE(AD$1,RIGHT(AD$1,2),""),VLOOKUP($D202,素材!$1:$1016,COLUMN($F$1),FALSE))),VLOOKUP($C202,武器!$1:$998,COLUMN($O$1),FALSE)*VLOOKUP($D202,素材!$1:$1016,COLUMN($E$1),FALSE)/(LEN(VLOOKUP($D202,素材!$1:$1016,COLUMN($F$1),FALSE)) - LEN(SUBSTITUTE(VLOOKUP($D202,素材!$1:$1016,COLUMN($F$1),FALSE), "・", 0)) + 1), 0)</f>
        <v>0</v>
      </c>
      <c r="AE202">
        <f>IF(ISNUMBER(SEARCH(SUBSTITUTE(AE$1,RIGHT(AE$1,2),""),VLOOKUP($D202,素材!$1:$1016,COLUMN($F$1),FALSE))),VLOOKUP($C202,武器!$1:$998,COLUMN($O$1),FALSE)*VLOOKUP($D202,素材!$1:$1016,COLUMN($E$1),FALSE)/(LEN(VLOOKUP($D202,素材!$1:$1016,COLUMN($F$1),FALSE)) - LEN(SUBSTITUTE(VLOOKUP($D202,素材!$1:$1016,COLUMN($F$1),FALSE), "・", 0)) + 1), 0)</f>
        <v>0</v>
      </c>
      <c r="AF202">
        <f>IF(ISNUMBER(SEARCH(SUBSTITUTE(AF$1,RIGHT(AF$1,2),""),VLOOKUP($D202,素材!$1:$1016,COLUMN($F$1),FALSE))),VLOOKUP($C202,武器!$1:$998,COLUMN($O$1),FALSE)*VLOOKUP($D202,素材!$1:$1016,COLUMN($E$1),FALSE)/(LEN(VLOOKUP($D202,素材!$1:$1016,COLUMN($F$1),FALSE)) - LEN(SUBSTITUTE(VLOOKUP($D202,素材!$1:$1016,COLUMN($F$1),FALSE), "・", 0)) + 1), 0)</f>
        <v>0</v>
      </c>
      <c r="AG202">
        <f>IF(ISNUMBER(SEARCH(SUBSTITUTE(AG$1,RIGHT(AG$1,2),""),VLOOKUP($D202,素材!$1:$1016,COLUMN($F$1),FALSE))),VLOOKUP($C202,武器!$1:$998,COLUMN($O$1),FALSE)*VLOOKUP($D202,素材!$1:$1016,COLUMN($E$1),FALSE)/(LEN(VLOOKUP($D202,素材!$1:$1016,COLUMN($F$1),FALSE)) - LEN(SUBSTITUTE(VLOOKUP($D202,素材!$1:$1016,COLUMN($F$1),FALSE), "・", 0)) + 1), 0)</f>
        <v>0</v>
      </c>
      <c r="AH202">
        <f>IF(ISNUMBER(SEARCH(SUBSTITUTE(AH$1,RIGHT(AH$1,2),""),VLOOKUP($D202,素材!$1:$1016,COLUMN($F$1),FALSE))),VLOOKUP($C202,武器!$1:$998,COLUMN($O$1),FALSE)*VLOOKUP($D202,素材!$1:$1016,COLUMN($E$1),FALSE)/(LEN(VLOOKUP($D202,素材!$1:$1016,COLUMN($F$1),FALSE)) - LEN(SUBSTITUTE(VLOOKUP($D202,素材!$1:$1016,COLUMN($F$1),FALSE), "・", 0)) + 1), 0)</f>
        <v>0</v>
      </c>
      <c r="AI202">
        <f>IF(ISNUMBER(SEARCH(SUBSTITUTE(AI$1,RIGHT(AI$1,2),""),VLOOKUP($D202,素材!$1:$1016,COLUMN($F$1),FALSE))),VLOOKUP($C202,武器!$1:$998,COLUMN($O$1),FALSE)*VLOOKUP($D202,素材!$1:$1016,COLUMN($E$1),FALSE)/(LEN(VLOOKUP($D202,素材!$1:$1016,COLUMN($F$1),FALSE)) - LEN(SUBSTITUTE(VLOOKUP($D202,素材!$1:$1016,COLUMN($F$1),FALSE), "・", 0)) + 1), 0)</f>
        <v>0</v>
      </c>
      <c r="AJ202">
        <f>IF(ISNUMBER(SEARCH(SUBSTITUTE(AJ$1,RIGHT(AJ$1,2),""),VLOOKUP($D202,素材!$1:$1016,COLUMN($F$1),FALSE))),VLOOKUP($C202,武器!$1:$998,COLUMN($O$1),FALSE)*VLOOKUP($D202,素材!$1:$1016,COLUMN($E$1),FALSE)/(LEN(VLOOKUP($D202,素材!$1:$1016,COLUMN($F$1),FALSE)) - LEN(SUBSTITUTE(VLOOKUP($D202,素材!$1:$1016,COLUMN($F$1),FALSE), "・", 0)) + 1), 0)</f>
        <v>0</v>
      </c>
      <c r="AK202">
        <f>IF(ISNUMBER(SEARCH(SUBSTITUTE(AK$1,RIGHT(AK$1,2),""),VLOOKUP($D202,素材!$1:$1016,COLUMN($F$1),FALSE))),VLOOKUP($C202,武器!$1:$998,COLUMN($O$1),FALSE)*VLOOKUP($D202,素材!$1:$1016,COLUMN($E$1),FALSE)/(LEN(VLOOKUP($D202,素材!$1:$1016,COLUMN($F$1),FALSE)) - LEN(SUBSTITUTE(VLOOKUP($D202,素材!$1:$1016,COLUMN($F$1),FALSE), "・", 0)) + 1), 0)</f>
        <v>0</v>
      </c>
      <c r="AL202">
        <f>IF(ISNUMBER(SEARCH(SUBSTITUTE(AL$1,RIGHT(AL$1,2),""),VLOOKUP($D202,素材!$1:$1016,COLUMN($F$1),FALSE))),VLOOKUP($C202,武器!$1:$998,COLUMN($O$1),FALSE)*VLOOKUP($D202,素材!$1:$1016,COLUMN($E$1),FALSE)/(LEN(VLOOKUP($D202,素材!$1:$1016,COLUMN($F$1),FALSE)) - LEN(SUBSTITUTE(VLOOKUP($D202,素材!$1:$1016,COLUMN($F$1),FALSE), "・", 0)) + 1), 0)</f>
        <v>0</v>
      </c>
      <c r="AM202">
        <f>IF(ISNUMBER(SEARCH(SUBSTITUTE(AM$1,RIGHT(AM$1,2),""),VLOOKUP($D202,素材!$1:$1016,COLUMN($F$1),FALSE))),VLOOKUP($C202,武器!$1:$998,COLUMN($O$1),FALSE)*VLOOKUP($D202,素材!$1:$1016,COLUMN($E$1),FALSE)/(LEN(VLOOKUP($D202,素材!$1:$1016,COLUMN($F$1),FALSE)) - LEN(SUBSTITUTE(VLOOKUP($D202,素材!$1:$1016,COLUMN($F$1),FALSE), "・", 0)) + 1), 0)</f>
        <v>0</v>
      </c>
      <c r="AN202">
        <f>IF(ISNUMBER(SEARCH(SUBSTITUTE(AN$1,RIGHT(AN$1,2),""),VLOOKUP($D202,素材!$1:$1016,COLUMN($F$1),FALSE))),VLOOKUP($C202,武器!$1:$998,COLUMN($O$1),FALSE)*VLOOKUP($D202,素材!$1:$1016,COLUMN($E$1),FALSE)/(LEN(VLOOKUP($D202,素材!$1:$1016,COLUMN($F$1),FALSE)) - LEN(SUBSTITUTE(VLOOKUP($D202,素材!$1:$1016,COLUMN($F$1),FALSE), "・", 0)) + 1), 0)</f>
        <v>0</v>
      </c>
      <c r="AO202">
        <f>IF(ISNUMBER(SEARCH(SUBSTITUTE(AO$1,RIGHT(AO$1,2),""),VLOOKUP($D202,素材!$1:$1016,COLUMN($F$1),FALSE))),VLOOKUP($C202,武器!$1:$998,COLUMN($O$1),FALSE)*VLOOKUP($D202,素材!$1:$1016,COLUMN($E$1),FALSE)/(LEN(VLOOKUP($D202,素材!$1:$1016,COLUMN($F$1),FALSE)) - LEN(SUBSTITUTE(VLOOKUP($D202,素材!$1:$1016,COLUMN($F$1),FALSE), "・", 0)) + 1), 0)</f>
        <v>0</v>
      </c>
      <c r="AP202">
        <f>IF(ISNUMBER(SEARCH(SUBSTITUTE(AP$1,RIGHT(AP$1,2),""),VLOOKUP($D202,素材!$1:$1016,COLUMN($F$1),FALSE))),VLOOKUP($C202,武器!$1:$998,COLUMN($O$1),FALSE)*VLOOKUP($D202,素材!$1:$1016,COLUMN($E$1),FALSE)/(LEN(VLOOKUP($D202,素材!$1:$1016,COLUMN($F$1),FALSE)) - LEN(SUBSTITUTE(VLOOKUP($D202,素材!$1:$1016,COLUMN($F$1),FALSE), "・", 0)) + 1), 0)</f>
        <v>0</v>
      </c>
      <c r="AQ202">
        <f>IF(ISNUMBER(SEARCH(SUBSTITUTE(AQ$1,RIGHT(AQ$1,2),""),VLOOKUP($D202,素材!$1:$1016,COLUMN($F$1),FALSE))),VLOOKUP($C202,武器!$1:$998,COLUMN($O$1),FALSE)*VLOOKUP($D202,素材!$1:$1016,COLUMN($E$1),FALSE)/(LEN(VLOOKUP($D202,素材!$1:$1016,COLUMN($F$1),FALSE)) - LEN(SUBSTITUTE(VLOOKUP($D202,素材!$1:$1016,COLUMN($F$1),FALSE), "・", 0)) + 1), 0)</f>
        <v>0</v>
      </c>
      <c r="AR202">
        <f>IF(ISNUMBER(SEARCH(SUBSTITUTE(AR$1,RIGHT(AR$1,2),""),VLOOKUP($D202,素材!$1:$1016,COLUMN($F$1),FALSE))),VLOOKUP($C202,武器!$1:$998,COLUMN($O$1),FALSE)*VLOOKUP($D202,素材!$1:$1016,COLUMN($E$1),FALSE)/(LEN(VLOOKUP($D202,素材!$1:$1016,COLUMN($F$1),FALSE)) - LEN(SUBSTITUTE(VLOOKUP($D202,素材!$1:$1016,COLUMN($F$1),FALSE), "・", 0)) + 1), 0)</f>
        <v>0</v>
      </c>
      <c r="AS202">
        <f>IF(ISNUMBER(SEARCH(SUBSTITUTE(AS$1,RIGHT(AS$1,2),""),VLOOKUP($D202,素材!$1:$1016,COLUMN($F$1),FALSE))),VLOOKUP($C202,武器!$1:$998,COLUMN($O$1),FALSE)*VLOOKUP($D202,素材!$1:$1016,COLUMN($E$1),FALSE)/(LEN(VLOOKUP($D202,素材!$1:$1016,COLUMN($F$1),FALSE)) - LEN(SUBSTITUTE(VLOOKUP($D202,素材!$1:$1016,COLUMN($F$1),FALSE), "・", 0)) + 1), 0)</f>
        <v>0</v>
      </c>
      <c r="AT202">
        <f>IF(ISNUMBER(SEARCH(SUBSTITUTE(AT$1,RIGHT(AT$1,2),""),VLOOKUP($D202,素材!$1:$1016,COLUMN($F$1),FALSE))),VLOOKUP($C202,武器!$1:$998,COLUMN($O$1),FALSE)*VLOOKUP($D202,素材!$1:$1016,COLUMN($E$1),FALSE)/(LEN(VLOOKUP($D202,素材!$1:$1016,COLUMN($F$1),FALSE)) - LEN(SUBSTITUTE(VLOOKUP($D202,素材!$1:$1016,COLUMN($F$1),FALSE), "・", 0)) + 1), 0)</f>
        <v>0</v>
      </c>
      <c r="AU202">
        <f>IF(ISNUMBER(SEARCH(SUBSTITUTE(AU$1,RIGHT(AU$1,2),""),VLOOKUP($D202,素材!$1:$1016,COLUMN($F$1),FALSE))),VLOOKUP($C202,武器!$1:$998,COLUMN($O$1),FALSE)*VLOOKUP($D202,素材!$1:$1016,COLUMN($E$1),FALSE)/(LEN(VLOOKUP($D202,素材!$1:$1016,COLUMN($F$1),FALSE)) - LEN(SUBSTITUTE(VLOOKUP($D202,素材!$1:$1016,COLUMN($F$1),FALSE), "・", 0)) + 1), 0)</f>
        <v>0</v>
      </c>
      <c r="AV202">
        <f>IF(ISNUMBER(SEARCH(SUBSTITUTE(AV$1,RIGHT(AV$1,2),""),VLOOKUP($D202,素材!$1:$1016,COLUMN($F$1),FALSE))),VLOOKUP($C202,武器!$1:$998,COLUMN($O$1),FALSE)*VLOOKUP($D202,素材!$1:$1016,COLUMN($E$1),FALSE)/(LEN(VLOOKUP($D202,素材!$1:$1016,COLUMN($F$1),FALSE)) - LEN(SUBSTITUTE(VLOOKUP($D202,素材!$1:$1016,COLUMN($F$1),FALSE), "・", 0)) + 1), 0)</f>
        <v>0</v>
      </c>
      <c r="AW202">
        <f>IF(ISNUMBER(SEARCH(SUBSTITUTE(AW$1,RIGHT(AW$1,2),""),VLOOKUP($D202,素材!$1:$1016,COLUMN($F$1),FALSE))),VLOOKUP($C202,武器!$1:$998,COLUMN($O$1),FALSE)*VLOOKUP($D202,素材!$1:$1016,COLUMN($E$1),FALSE)/(LEN(VLOOKUP($D202,素材!$1:$1016,COLUMN($F$1),FALSE)) - LEN(SUBSTITUTE(VLOOKUP($D202,素材!$1:$1016,COLUMN($F$1),FALSE), "・", 0)) + 1), 0)</f>
        <v>0</v>
      </c>
      <c r="AX202">
        <f>IF(ISNUMBER(SEARCH(SUBSTITUTE(AX$1,RIGHT(AX$1,2),""),VLOOKUP($D202,素材!$1:$1016,COLUMN($F$1),FALSE))),VLOOKUP($C202,武器!$1:$998,COLUMN($O$1),FALSE)*VLOOKUP($D202,素材!$1:$1016,COLUMN($E$1),FALSE)/(LEN(VLOOKUP($D202,素材!$1:$1016,COLUMN($F$1),FALSE)) - LEN(SUBSTITUTE(VLOOKUP($D202,素材!$1:$1016,COLUMN($F$1),FALSE), "・", 0)) + 1), 0)</f>
        <v>0</v>
      </c>
      <c r="AY202">
        <f>IF(ISNUMBER(SEARCH(SUBSTITUTE(AY$1,RIGHT(AY$1,2),""),VLOOKUP($D202,素材!$1:$1016,COLUMN($F$1),FALSE))),VLOOKUP($C202,武器!$1:$998,COLUMN($O$1),FALSE)*VLOOKUP($D202,素材!$1:$1016,COLUMN($E$1),FALSE)/(LEN(VLOOKUP($D202,素材!$1:$1016,COLUMN($F$1),FALSE)) - LEN(SUBSTITUTE(VLOOKUP($D202,素材!$1:$1016,COLUMN($F$1),FALSE), "・", 0)) + 1), 0)</f>
        <v>0</v>
      </c>
      <c r="AZ202">
        <f>IF(ISNUMBER(SEARCH(SUBSTITUTE(AZ$1,RIGHT(AZ$1,2),""),VLOOKUP($D202,素材!$1:$1016,COLUMN($F$1),FALSE))),VLOOKUP($C202,武器!$1:$998,COLUMN($O$1),FALSE)*VLOOKUP($D202,素材!$1:$1016,COLUMN($E$1),FALSE)/(LEN(VLOOKUP($D202,素材!$1:$1016,COLUMN($F$1),FALSE)) - LEN(SUBSTITUTE(VLOOKUP($D202,素材!$1:$1016,COLUMN($F$1),FALSE), "・", 0)) + 1), 0)</f>
        <v>0</v>
      </c>
      <c r="BA202">
        <f>IF(ISNUMBER(SEARCH(SUBSTITUTE(BA$1,RIGHT(BA$1,2),""),VLOOKUP($D202,素材!$1:$1016,COLUMN($F$1),FALSE))),VLOOKUP($C202,武器!$1:$998,COLUMN($O$1),FALSE)*VLOOKUP($D202,素材!$1:$1016,COLUMN($E$1),FALSE)/(LEN(VLOOKUP($D202,素材!$1:$1016,COLUMN($F$1),FALSE)) - LEN(SUBSTITUTE(VLOOKUP($D202,素材!$1:$1016,COLUMN($F$1),FALSE), "・", 0)) + 1), 0)</f>
        <v>0</v>
      </c>
      <c r="BB202">
        <f>IF(ISNUMBER(SEARCH(SUBSTITUTE(BB$1,RIGHT(BB$1,2),""),VLOOKUP($D202,素材!$1:$1016,COLUMN($F$1),FALSE))),VLOOKUP($C202,武器!$1:$998,COLUMN($O$1),FALSE)*VLOOKUP($D202,素材!$1:$1016,COLUMN($E$1),FALSE)/(LEN(VLOOKUP($D202,素材!$1:$1016,COLUMN($F$1),FALSE)) - LEN(SUBSTITUTE(VLOOKUP($D202,素材!$1:$1016,COLUMN($F$1),FALSE), "・", 0)) + 1), 0)</f>
        <v>0</v>
      </c>
      <c r="BC202">
        <f>IF(ISNUMBER(SEARCH(SUBSTITUTE(BC$1,RIGHT(BC$1,2),""),VLOOKUP($D202,素材!$1:$1016,COLUMN($F$1),FALSE))),VLOOKUP($C202,武器!$1:$998,COLUMN($O$1),FALSE)*VLOOKUP($D202,素材!$1:$1016,COLUMN($E$1),FALSE)/(LEN(VLOOKUP($D202,素材!$1:$1016,COLUMN($F$1),FALSE)) - LEN(SUBSTITUTE(VLOOKUP($D202,素材!$1:$1016,COLUMN($F$1),FALSE), "・", 0)) + 1), 0)</f>
        <v>0</v>
      </c>
      <c r="BD202">
        <f>IF(ISNUMBER(SEARCH(SUBSTITUTE(BD$1,RIGHT(BD$1,2),""),VLOOKUP($D202,素材!$1:$1016,COLUMN($F$1),FALSE))),VLOOKUP($C202,武器!$1:$998,COLUMN($O$1),FALSE)*VLOOKUP($D202,素材!$1:$1016,COLUMN($E$1),FALSE)/(LEN(VLOOKUP($D202,素材!$1:$1016,COLUMN($F$1),FALSE)) - LEN(SUBSTITUTE(VLOOKUP($D202,素材!$1:$1016,COLUMN($F$1),FALSE), "・", 0)) + 1), 0)</f>
        <v>0</v>
      </c>
      <c r="BE202">
        <f>IF(ISNUMBER(SEARCH(SUBSTITUTE(BE$1,RIGHT(BE$1,2),""),VLOOKUP($D202,素材!$1:$1016,COLUMN($F$1),FALSE))),VLOOKUP($C202,武器!$1:$998,COLUMN($O$1),FALSE)*VLOOKUP($D202,素材!$1:$1016,COLUMN($E$1),FALSE)/(LEN(VLOOKUP($D202,素材!$1:$1016,COLUMN($F$1),FALSE)) - LEN(SUBSTITUTE(VLOOKUP($D202,素材!$1:$1016,COLUMN($F$1),FALSE), "・", 0)) + 1), 0)</f>
        <v>0</v>
      </c>
      <c r="CL202">
        <f>SUM(G202:I202)</f>
        <v>22</v>
      </c>
      <c r="CM202" s="22" t="str">
        <f>IF(E202="武器",IF(J202-1&gt;SUM(G202:I202),"盾",IF(MAX(G202:I202)=G202,"切断",IF(MAX(G202:I202)=H202,"貫通",IF(MAX(G202:I202)=I202,"打撃","射撃")))),E202)&amp;".webp"</f>
        <v>貫通.webp</v>
      </c>
      <c r="CN202">
        <f>IFERROR(VLOOKUP($C202,武器!$1:$998,COLUMN(V$1),FALSE)*VLOOKUP($D202,素材!$1:$1016,COLUMN(N$1),FALSE)+IF(CI202="",0,VLOOKUP($CI202,装強!$1:$1008,COLUMN($CK$1),FALSE)),"")</f>
        <v>2250</v>
      </c>
      <c r="CO202">
        <f>VLOOKUP(D202,素材!$A:$O,COLUMN(素材!O$1),FALSE)</f>
        <v>0</v>
      </c>
      <c r="CP202" t="str">
        <f>VLOOKUP(C202,武器!$A:$W,COLUMN(武器!W$1),FALSE)</f>
        <v>刺剣。小型で精密な攻撃が可能な武器。</v>
      </c>
      <c r="CR202" t="str">
        <f t="shared" si="18"/>
        <v>e_202</v>
      </c>
      <c r="CS202">
        <f t="shared" si="22"/>
        <v>225000</v>
      </c>
    </row>
    <row r="203" spans="1:97" outlineLevel="1" x14ac:dyDescent="0.4">
      <c r="A203" t="str">
        <f t="shared" si="28"/>
        <v>冷気鉄の短槍</v>
      </c>
      <c r="B203" t="str">
        <f>IFERROR(VLOOKUP($D203,素材!$1:$1016,COLUMN($B$1),FALSE)&amp;"・"&amp;VLOOKUP($C203,武器!$1:$998,COLUMN(B$1),FALSE),"")</f>
        <v>ドゥララン・ショートスピア</v>
      </c>
      <c r="C203" s="24" t="s">
        <v>234</v>
      </c>
      <c r="D203" s="24" t="s">
        <v>243</v>
      </c>
      <c r="E203" t="str">
        <f>IFERROR(VLOOKUP(C203,武器!$1:$998,COLUMN(C$1),FALSE),"")</f>
        <v>武器</v>
      </c>
      <c r="F203">
        <f>IFERROR(ROUNDDOWN((VLOOKUP($C203,武器!$1:$998,COLUMN(D$1),FALSE)+IFERROR(VLOOKUP($CI203,装強!$1:$999,COLUMN(F$1),FALSE),0))*VLOOKUP($D203,素材!$1:$1016,COLUMN(D$1),FALSE),0),"")</f>
        <v>105</v>
      </c>
      <c r="G203">
        <f>IFERROR(ROUNDDOWN((VLOOKUP($C203,武器!$1:$998,COLUMN(E$1),FALSE)+IFERROR(VLOOKUP($CI203,装強!$1:$999,COLUMN(G$1),FALSE),0))*VLOOKUP($D203,素材!$1:$1016,COLUMN($E$1),FALSE),0),"")</f>
        <v>8</v>
      </c>
      <c r="H203">
        <f>IFERROR(ROUNDDOWN((VLOOKUP($C203,武器!$1:$998,COLUMN(F$1),FALSE)+IFERROR(VLOOKUP($CI203,装強!$1:$999,COLUMN(H$1),FALSE),0))*VLOOKUP($D203,素材!$1:$1016,COLUMN($E$1),FALSE),0),"")</f>
        <v>14</v>
      </c>
      <c r="I203">
        <f>IFERROR(ROUNDDOWN((VLOOKUP($C203,武器!$1:$998,COLUMN(G$1),FALSE)+IFERROR(VLOOKUP($CI203,装強!$1:$999,COLUMN(I$1),FALSE),0))*VLOOKUP($D203,素材!$1:$1016,COLUMN($E$1),FALSE),0),"")</f>
        <v>3</v>
      </c>
      <c r="J203">
        <f>IFERROR(ROUNDDOWN((VLOOKUP($C203,武器!$1:$998,COLUMN(H$1),FALSE)+IFERROR(VLOOKUP($CI203,装強!$1:$999,COLUMN(J$1),FALSE),0))*VLOOKUP($D203,素材!$1:$1016,COLUMN($E$1),FALSE),0),"")</f>
        <v>17</v>
      </c>
      <c r="K203">
        <f>IFERROR(ROUNDDOWN((VLOOKUP($C203,武器!$1:$998,COLUMN(I$1),FALSE)+IFERROR(VLOOKUP($CI203,装強!$1:$999,COLUMN(K$1),FALSE),0))*VLOOKUP($D203,素材!$1:$1016,COLUMN($E$1),FALSE),0),"")</f>
        <v>0</v>
      </c>
      <c r="L203" t="str">
        <f>IFERROR(VLOOKUP($D203,素材!$1:$1016,COLUMN($F$1),FALSE),"")</f>
        <v>氷</v>
      </c>
      <c r="M203">
        <f>IFERROR(VLOOKUP($C203,武器!$1:$998,COLUMN(AA$1),FALSE)*VLOOKUP($D203,素材!$1:$1016,COLUMN($G$1),FALSE),"")</f>
        <v>43.75</v>
      </c>
      <c r="N203">
        <f>IFERROR(VLOOKUP($C203,武器!$1:$998,COLUMN(I$1),FALSE),"")</f>
        <v>0</v>
      </c>
      <c r="O203" s="23">
        <f>IFERROR((VLOOKUP($C203,武器!$1:$998,COLUMN(K$1),FALSE)+VLOOKUP($D203,素材!$1:$1016,COLUMN(H$1),FALSE))*100+IFERROR(VLOOKUP($CI203,装強!$1:$999,COLUMN(O$1),FALSE),0),"")</f>
        <v>10</v>
      </c>
      <c r="P203" s="23">
        <f>IFERROR((VLOOKUP($C203,武器!$1:$998,COLUMN(L$1),FALSE)+VLOOKUP($D203,素材!$1:$1016,COLUMN(I$1),FALSE))*100+IFERROR(VLOOKUP($CI203,装強!$1:$999,COLUMN(P$1),FALSE),0),"")</f>
        <v>150</v>
      </c>
      <c r="Q203">
        <f>IFERROR(ROUNDUP(VLOOKUP($C203,武器!$1:$998,COLUMN(M$1),FALSE)*(VLOOKUP($D203,素材!$1:$1002,COLUMN(D$1),FALSE)/100),1),"")</f>
        <v>0</v>
      </c>
      <c r="R203">
        <f>IFERROR(ROUNDUP(VLOOKUP($C203,武器!$1:$998,COLUMN(N$1),FALSE)*(VLOOKUP($D203,素材!$1:$1002,COLUMN(D$1),FALSE)/100),1),"")</f>
        <v>0</v>
      </c>
      <c r="S203">
        <f>IFERROR(VLOOKUP($C203,武器!$1:$998,COLUMN(P$1),FALSE),"")</f>
        <v>0</v>
      </c>
      <c r="T203">
        <f>IFERROR(VLOOKUP($C203,武器!$1:$998,COLUMN(Q$1),FALSE),"")</f>
        <v>0</v>
      </c>
      <c r="U203">
        <f>IFERROR(VLOOKUP($C203,武器!$1:$998,COLUMN(R$1),FALSE),"")</f>
        <v>0</v>
      </c>
      <c r="V203">
        <f>IFERROR(VLOOKUP($C203,武器!$1:$998,COLUMN(Q$1),FALSE),"")</f>
        <v>0</v>
      </c>
      <c r="W203" t="str">
        <f>IFERROR(VLOOKUP($C203,武器!$1:$998,COLUMN(T$1),FALSE),"")</f>
        <v>A</v>
      </c>
      <c r="Y203" t="str">
        <f>IFERROR(VLOOKUP($C203,武器!$1:$998,COLUMN(U$1),FALSE),"")</f>
        <v>投擲強化</v>
      </c>
      <c r="Z203">
        <f>IFERROR(ROUNDUP(VLOOKUP($C203,武器!$1:$998,COLUMN(O$1),FALSE)*VLOOKUP($D203,素材!$1:$1016,COLUMN(E$1),FALSE),1),"")</f>
        <v>0</v>
      </c>
      <c r="AA203">
        <f>IF(ISNUMBER(SEARCH(SUBSTITUTE(AA$1,RIGHT(AA$1,2),""),VLOOKUP($D203,素材!$1:$1016,COLUMN($F$1),FALSE))),VLOOKUP($C203,武器!$1:$998,COLUMN($O$1),FALSE)*VLOOKUP($D203,素材!$1:$1016,COLUMN($E$1),FALSE)/(LEN(VLOOKUP($D203,素材!$1:$1016,COLUMN($F$1),FALSE)) - LEN(SUBSTITUTE(VLOOKUP($D203,素材!$1:$1016,COLUMN($F$1),FALSE), "・", 0)) + 1), 0)</f>
        <v>0</v>
      </c>
      <c r="AB203">
        <f>IF(ISNUMBER(SEARCH(SUBSTITUTE(AB$1,RIGHT(AB$1,2),""),VLOOKUP($D203,素材!$1:$1016,COLUMN($F$1),FALSE))),VLOOKUP($C203,武器!$1:$998,COLUMN($O$1),FALSE)*VLOOKUP($D203,素材!$1:$1016,COLUMN($E$1),FALSE)/(LEN(VLOOKUP($D203,素材!$1:$1016,COLUMN($F$1),FALSE)) - LEN(SUBSTITUTE(VLOOKUP($D203,素材!$1:$1016,COLUMN($F$1),FALSE), "・", 0)) + 1), 0)</f>
        <v>0</v>
      </c>
      <c r="AC203">
        <f>IF(ISNUMBER(SEARCH(SUBSTITUTE(AC$1,RIGHT(AC$1,2),""),VLOOKUP($D203,素材!$1:$1016,COLUMN($F$1),FALSE))),VLOOKUP($C203,武器!$1:$998,COLUMN($O$1),FALSE)*VLOOKUP($D203,素材!$1:$1016,COLUMN($E$1),FALSE)/(LEN(VLOOKUP($D203,素材!$1:$1016,COLUMN($F$1),FALSE)) - LEN(SUBSTITUTE(VLOOKUP($D203,素材!$1:$1016,COLUMN($F$1),FALSE), "・", 0)) + 1), 0)</f>
        <v>0</v>
      </c>
      <c r="AD203">
        <f>IF(ISNUMBER(SEARCH(SUBSTITUTE(AD$1,RIGHT(AD$1,2),""),VLOOKUP($D203,素材!$1:$1016,COLUMN($F$1),FALSE))),VLOOKUP($C203,武器!$1:$998,COLUMN($O$1),FALSE)*VLOOKUP($D203,素材!$1:$1016,COLUMN($E$1),FALSE)/(LEN(VLOOKUP($D203,素材!$1:$1016,COLUMN($F$1),FALSE)) - LEN(SUBSTITUTE(VLOOKUP($D203,素材!$1:$1016,COLUMN($F$1),FALSE), "・", 0)) + 1), 0)</f>
        <v>0</v>
      </c>
      <c r="AE203">
        <f>IF(ISNUMBER(SEARCH(SUBSTITUTE(AE$1,RIGHT(AE$1,2),""),VLOOKUP($D203,素材!$1:$1016,COLUMN($F$1),FALSE))),VLOOKUP($C203,武器!$1:$998,COLUMN($O$1),FALSE)*VLOOKUP($D203,素材!$1:$1016,COLUMN($E$1),FALSE)/(LEN(VLOOKUP($D203,素材!$1:$1016,COLUMN($F$1),FALSE)) - LEN(SUBSTITUTE(VLOOKUP($D203,素材!$1:$1016,COLUMN($F$1),FALSE), "・", 0)) + 1), 0)</f>
        <v>0</v>
      </c>
      <c r="AF203">
        <f>IF(ISNUMBER(SEARCH(SUBSTITUTE(AF$1,RIGHT(AF$1,2),""),VLOOKUP($D203,素材!$1:$1016,COLUMN($F$1),FALSE))),VLOOKUP($C203,武器!$1:$998,COLUMN($O$1),FALSE)*VLOOKUP($D203,素材!$1:$1016,COLUMN($E$1),FALSE)/(LEN(VLOOKUP($D203,素材!$1:$1016,COLUMN($F$1),FALSE)) - LEN(SUBSTITUTE(VLOOKUP($D203,素材!$1:$1016,COLUMN($F$1),FALSE), "・", 0)) + 1), 0)</f>
        <v>0</v>
      </c>
      <c r="AG203">
        <f>IF(ISNUMBER(SEARCH(SUBSTITUTE(AG$1,RIGHT(AG$1,2),""),VLOOKUP($D203,素材!$1:$1016,COLUMN($F$1),FALSE))),VLOOKUP($C203,武器!$1:$998,COLUMN($O$1),FALSE)*VLOOKUP($D203,素材!$1:$1016,COLUMN($E$1),FALSE)/(LEN(VLOOKUP($D203,素材!$1:$1016,COLUMN($F$1),FALSE)) - LEN(SUBSTITUTE(VLOOKUP($D203,素材!$1:$1016,COLUMN($F$1),FALSE), "・", 0)) + 1), 0)</f>
        <v>0</v>
      </c>
      <c r="AH203">
        <f>IF(ISNUMBER(SEARCH(SUBSTITUTE(AH$1,RIGHT(AH$1,2),""),VLOOKUP($D203,素材!$1:$1016,COLUMN($F$1),FALSE))),VLOOKUP($C203,武器!$1:$998,COLUMN($O$1),FALSE)*VLOOKUP($D203,素材!$1:$1016,COLUMN($E$1),FALSE)/(LEN(VLOOKUP($D203,素材!$1:$1016,COLUMN($F$1),FALSE)) - LEN(SUBSTITUTE(VLOOKUP($D203,素材!$1:$1016,COLUMN($F$1),FALSE), "・", 0)) + 1), 0)</f>
        <v>0</v>
      </c>
      <c r="AI203">
        <f>IF(ISNUMBER(SEARCH(SUBSTITUTE(AI$1,RIGHT(AI$1,2),""),VLOOKUP($D203,素材!$1:$1016,COLUMN($F$1),FALSE))),VLOOKUP($C203,武器!$1:$998,COLUMN($O$1),FALSE)*VLOOKUP($D203,素材!$1:$1016,COLUMN($E$1),FALSE)/(LEN(VLOOKUP($D203,素材!$1:$1016,COLUMN($F$1),FALSE)) - LEN(SUBSTITUTE(VLOOKUP($D203,素材!$1:$1016,COLUMN($F$1),FALSE), "・", 0)) + 1), 0)</f>
        <v>0</v>
      </c>
      <c r="AJ203">
        <f>IF(ISNUMBER(SEARCH(SUBSTITUTE(AJ$1,RIGHT(AJ$1,2),""),VLOOKUP($D203,素材!$1:$1016,COLUMN($F$1),FALSE))),VLOOKUP($C203,武器!$1:$998,COLUMN($O$1),FALSE)*VLOOKUP($D203,素材!$1:$1016,COLUMN($E$1),FALSE)/(LEN(VLOOKUP($D203,素材!$1:$1016,COLUMN($F$1),FALSE)) - LEN(SUBSTITUTE(VLOOKUP($D203,素材!$1:$1016,COLUMN($F$1),FALSE), "・", 0)) + 1), 0)</f>
        <v>0</v>
      </c>
      <c r="AK203">
        <f>IF(ISNUMBER(SEARCH(SUBSTITUTE(AK$1,RIGHT(AK$1,2),""),VLOOKUP($D203,素材!$1:$1016,COLUMN($F$1),FALSE))),VLOOKUP($C203,武器!$1:$998,COLUMN($O$1),FALSE)*VLOOKUP($D203,素材!$1:$1016,COLUMN($E$1),FALSE)/(LEN(VLOOKUP($D203,素材!$1:$1016,COLUMN($F$1),FALSE)) - LEN(SUBSTITUTE(VLOOKUP($D203,素材!$1:$1016,COLUMN($F$1),FALSE), "・", 0)) + 1), 0)</f>
        <v>0</v>
      </c>
      <c r="AL203">
        <f>IF(ISNUMBER(SEARCH(SUBSTITUTE(AL$1,RIGHT(AL$1,2),""),VLOOKUP($D203,素材!$1:$1016,COLUMN($F$1),FALSE))),VLOOKUP($C203,武器!$1:$998,COLUMN($O$1),FALSE)*VLOOKUP($D203,素材!$1:$1016,COLUMN($E$1),FALSE)/(LEN(VLOOKUP($D203,素材!$1:$1016,COLUMN($F$1),FALSE)) - LEN(SUBSTITUTE(VLOOKUP($D203,素材!$1:$1016,COLUMN($F$1),FALSE), "・", 0)) + 1), 0)</f>
        <v>0</v>
      </c>
      <c r="AM203">
        <f>IF(ISNUMBER(SEARCH(SUBSTITUTE(AM$1,RIGHT(AM$1,2),""),VLOOKUP($D203,素材!$1:$1016,COLUMN($F$1),FALSE))),VLOOKUP($C203,武器!$1:$998,COLUMN($O$1),FALSE)*VLOOKUP($D203,素材!$1:$1016,COLUMN($E$1),FALSE)/(LEN(VLOOKUP($D203,素材!$1:$1016,COLUMN($F$1),FALSE)) - LEN(SUBSTITUTE(VLOOKUP($D203,素材!$1:$1016,COLUMN($F$1),FALSE), "・", 0)) + 1), 0)</f>
        <v>0</v>
      </c>
      <c r="AN203">
        <f>IF(ISNUMBER(SEARCH(SUBSTITUTE(AN$1,RIGHT(AN$1,2),""),VLOOKUP($D203,素材!$1:$1016,COLUMN($F$1),FALSE))),VLOOKUP($C203,武器!$1:$998,COLUMN($O$1),FALSE)*VLOOKUP($D203,素材!$1:$1016,COLUMN($E$1),FALSE)/(LEN(VLOOKUP($D203,素材!$1:$1016,COLUMN($F$1),FALSE)) - LEN(SUBSTITUTE(VLOOKUP($D203,素材!$1:$1016,COLUMN($F$1),FALSE), "・", 0)) + 1), 0)</f>
        <v>0</v>
      </c>
      <c r="AO203">
        <f>IF(ISNUMBER(SEARCH(SUBSTITUTE(AO$1,RIGHT(AO$1,2),""),VLOOKUP($D203,素材!$1:$1016,COLUMN($F$1),FALSE))),VLOOKUP($C203,武器!$1:$998,COLUMN($O$1),FALSE)*VLOOKUP($D203,素材!$1:$1016,COLUMN($E$1),FALSE)/(LEN(VLOOKUP($D203,素材!$1:$1016,COLUMN($F$1),FALSE)) - LEN(SUBSTITUTE(VLOOKUP($D203,素材!$1:$1016,COLUMN($F$1),FALSE), "・", 0)) + 1), 0)</f>
        <v>0</v>
      </c>
      <c r="AP203">
        <f>IF(ISNUMBER(SEARCH(SUBSTITUTE(AP$1,RIGHT(AP$1,2),""),VLOOKUP($D203,素材!$1:$1016,COLUMN($F$1),FALSE))),VLOOKUP($C203,武器!$1:$998,COLUMN($O$1),FALSE)*VLOOKUP($D203,素材!$1:$1016,COLUMN($E$1),FALSE)/(LEN(VLOOKUP($D203,素材!$1:$1016,COLUMN($F$1),FALSE)) - LEN(SUBSTITUTE(VLOOKUP($D203,素材!$1:$1016,COLUMN($F$1),FALSE), "・", 0)) + 1), 0)</f>
        <v>0</v>
      </c>
      <c r="AQ203">
        <f>IF(ISNUMBER(SEARCH(SUBSTITUTE(AQ$1,RIGHT(AQ$1,2),""),VLOOKUP($D203,素材!$1:$1016,COLUMN($F$1),FALSE))),VLOOKUP($C203,武器!$1:$998,COLUMN($O$1),FALSE)*VLOOKUP($D203,素材!$1:$1016,COLUMN($E$1),FALSE)/(LEN(VLOOKUP($D203,素材!$1:$1016,COLUMN($F$1),FALSE)) - LEN(SUBSTITUTE(VLOOKUP($D203,素材!$1:$1016,COLUMN($F$1),FALSE), "・", 0)) + 1), 0)</f>
        <v>0</v>
      </c>
      <c r="AR203">
        <f>IF(ISNUMBER(SEARCH(SUBSTITUTE(AR$1,RIGHT(AR$1,2),""),VLOOKUP($D203,素材!$1:$1016,COLUMN($F$1),FALSE))),VLOOKUP($C203,武器!$1:$998,COLUMN($O$1),FALSE)*VLOOKUP($D203,素材!$1:$1016,COLUMN($E$1),FALSE)/(LEN(VLOOKUP($D203,素材!$1:$1016,COLUMN($F$1),FALSE)) - LEN(SUBSTITUTE(VLOOKUP($D203,素材!$1:$1016,COLUMN($F$1),FALSE), "・", 0)) + 1), 0)</f>
        <v>0</v>
      </c>
      <c r="AS203">
        <f>IF(ISNUMBER(SEARCH(SUBSTITUTE(AS$1,RIGHT(AS$1,2),""),VLOOKUP($D203,素材!$1:$1016,COLUMN($F$1),FALSE))),VLOOKUP($C203,武器!$1:$998,COLUMN($O$1),FALSE)*VLOOKUP($D203,素材!$1:$1016,COLUMN($E$1),FALSE)/(LEN(VLOOKUP($D203,素材!$1:$1016,COLUMN($F$1),FALSE)) - LEN(SUBSTITUTE(VLOOKUP($D203,素材!$1:$1016,COLUMN($F$1),FALSE), "・", 0)) + 1), 0)</f>
        <v>0</v>
      </c>
      <c r="AT203">
        <f>IF(ISNUMBER(SEARCH(SUBSTITUTE(AT$1,RIGHT(AT$1,2),""),VLOOKUP($D203,素材!$1:$1016,COLUMN($F$1),FALSE))),VLOOKUP($C203,武器!$1:$998,COLUMN($O$1),FALSE)*VLOOKUP($D203,素材!$1:$1016,COLUMN($E$1),FALSE)/(LEN(VLOOKUP($D203,素材!$1:$1016,COLUMN($F$1),FALSE)) - LEN(SUBSTITUTE(VLOOKUP($D203,素材!$1:$1016,COLUMN($F$1),FALSE), "・", 0)) + 1), 0)</f>
        <v>0</v>
      </c>
      <c r="AU203">
        <f>IF(ISNUMBER(SEARCH(SUBSTITUTE(AU$1,RIGHT(AU$1,2),""),VLOOKUP($D203,素材!$1:$1016,COLUMN($F$1),FALSE))),VLOOKUP($C203,武器!$1:$998,COLUMN($O$1),FALSE)*VLOOKUP($D203,素材!$1:$1016,COLUMN($E$1),FALSE)/(LEN(VLOOKUP($D203,素材!$1:$1016,COLUMN($F$1),FALSE)) - LEN(SUBSTITUTE(VLOOKUP($D203,素材!$1:$1016,COLUMN($F$1),FALSE), "・", 0)) + 1), 0)</f>
        <v>0</v>
      </c>
      <c r="AV203">
        <f>IF(ISNUMBER(SEARCH(SUBSTITUTE(AV$1,RIGHT(AV$1,2),""),VLOOKUP($D203,素材!$1:$1016,COLUMN($F$1),FALSE))),VLOOKUP($C203,武器!$1:$998,COLUMN($O$1),FALSE)*VLOOKUP($D203,素材!$1:$1016,COLUMN($E$1),FALSE)/(LEN(VLOOKUP($D203,素材!$1:$1016,COLUMN($F$1),FALSE)) - LEN(SUBSTITUTE(VLOOKUP($D203,素材!$1:$1016,COLUMN($F$1),FALSE), "・", 0)) + 1), 0)</f>
        <v>0</v>
      </c>
      <c r="AW203">
        <f>IF(ISNUMBER(SEARCH(SUBSTITUTE(AW$1,RIGHT(AW$1,2),""),VLOOKUP($D203,素材!$1:$1016,COLUMN($F$1),FALSE))),VLOOKUP($C203,武器!$1:$998,COLUMN($O$1),FALSE)*VLOOKUP($D203,素材!$1:$1016,COLUMN($E$1),FALSE)/(LEN(VLOOKUP($D203,素材!$1:$1016,COLUMN($F$1),FALSE)) - LEN(SUBSTITUTE(VLOOKUP($D203,素材!$1:$1016,COLUMN($F$1),FALSE), "・", 0)) + 1), 0)</f>
        <v>0</v>
      </c>
      <c r="AX203">
        <f>IF(ISNUMBER(SEARCH(SUBSTITUTE(AX$1,RIGHT(AX$1,2),""),VLOOKUP($D203,素材!$1:$1016,COLUMN($F$1),FALSE))),VLOOKUP($C203,武器!$1:$998,COLUMN($O$1),FALSE)*VLOOKUP($D203,素材!$1:$1016,COLUMN($E$1),FALSE)/(LEN(VLOOKUP($D203,素材!$1:$1016,COLUMN($F$1),FALSE)) - LEN(SUBSTITUTE(VLOOKUP($D203,素材!$1:$1016,COLUMN($F$1),FALSE), "・", 0)) + 1), 0)</f>
        <v>0</v>
      </c>
      <c r="AY203">
        <f>IF(ISNUMBER(SEARCH(SUBSTITUTE(AY$1,RIGHT(AY$1,2),""),VLOOKUP($D203,素材!$1:$1016,COLUMN($F$1),FALSE))),VLOOKUP($C203,武器!$1:$998,COLUMN($O$1),FALSE)*VLOOKUP($D203,素材!$1:$1016,COLUMN($E$1),FALSE)/(LEN(VLOOKUP($D203,素材!$1:$1016,COLUMN($F$1),FALSE)) - LEN(SUBSTITUTE(VLOOKUP($D203,素材!$1:$1016,COLUMN($F$1),FALSE), "・", 0)) + 1), 0)</f>
        <v>0</v>
      </c>
      <c r="AZ203">
        <f>IF(ISNUMBER(SEARCH(SUBSTITUTE(AZ$1,RIGHT(AZ$1,2),""),VLOOKUP($D203,素材!$1:$1016,COLUMN($F$1),FALSE))),VLOOKUP($C203,武器!$1:$998,COLUMN($O$1),FALSE)*VLOOKUP($D203,素材!$1:$1016,COLUMN($E$1),FALSE)/(LEN(VLOOKUP($D203,素材!$1:$1016,COLUMN($F$1),FALSE)) - LEN(SUBSTITUTE(VLOOKUP($D203,素材!$1:$1016,COLUMN($F$1),FALSE), "・", 0)) + 1), 0)</f>
        <v>0</v>
      </c>
      <c r="BA203">
        <f>IF(ISNUMBER(SEARCH(SUBSTITUTE(BA$1,RIGHT(BA$1,2),""),VLOOKUP($D203,素材!$1:$1016,COLUMN($F$1),FALSE))),VLOOKUP($C203,武器!$1:$998,COLUMN($O$1),FALSE)*VLOOKUP($D203,素材!$1:$1016,COLUMN($E$1),FALSE)/(LEN(VLOOKUP($D203,素材!$1:$1016,COLUMN($F$1),FALSE)) - LEN(SUBSTITUTE(VLOOKUP($D203,素材!$1:$1016,COLUMN($F$1),FALSE), "・", 0)) + 1), 0)</f>
        <v>0</v>
      </c>
      <c r="BB203">
        <f>IF(ISNUMBER(SEARCH(SUBSTITUTE(BB$1,RIGHT(BB$1,2),""),VLOOKUP($D203,素材!$1:$1016,COLUMN($F$1),FALSE))),VLOOKUP($C203,武器!$1:$998,COLUMN($O$1),FALSE)*VLOOKUP($D203,素材!$1:$1016,COLUMN($E$1),FALSE)/(LEN(VLOOKUP($D203,素材!$1:$1016,COLUMN($F$1),FALSE)) - LEN(SUBSTITUTE(VLOOKUP($D203,素材!$1:$1016,COLUMN($F$1),FALSE), "・", 0)) + 1), 0)</f>
        <v>0</v>
      </c>
      <c r="BC203">
        <f>IF(ISNUMBER(SEARCH(SUBSTITUTE(BC$1,RIGHT(BC$1,2),""),VLOOKUP($D203,素材!$1:$1016,COLUMN($F$1),FALSE))),VLOOKUP($C203,武器!$1:$998,COLUMN($O$1),FALSE)*VLOOKUP($D203,素材!$1:$1016,COLUMN($E$1),FALSE)/(LEN(VLOOKUP($D203,素材!$1:$1016,COLUMN($F$1),FALSE)) - LEN(SUBSTITUTE(VLOOKUP($D203,素材!$1:$1016,COLUMN($F$1),FALSE), "・", 0)) + 1), 0)</f>
        <v>0</v>
      </c>
      <c r="BD203">
        <f>IF(ISNUMBER(SEARCH(SUBSTITUTE(BD$1,RIGHT(BD$1,2),""),VLOOKUP($D203,素材!$1:$1016,COLUMN($F$1),FALSE))),VLOOKUP($C203,武器!$1:$998,COLUMN($O$1),FALSE)*VLOOKUP($D203,素材!$1:$1016,COLUMN($E$1),FALSE)/(LEN(VLOOKUP($D203,素材!$1:$1016,COLUMN($F$1),FALSE)) - LEN(SUBSTITUTE(VLOOKUP($D203,素材!$1:$1016,COLUMN($F$1),FALSE), "・", 0)) + 1), 0)</f>
        <v>0</v>
      </c>
      <c r="BE203">
        <f>IF(ISNUMBER(SEARCH(SUBSTITUTE(BE$1,RIGHT(BE$1,2),""),VLOOKUP($D203,素材!$1:$1016,COLUMN($F$1),FALSE))),VLOOKUP($C203,武器!$1:$998,COLUMN($O$1),FALSE)*VLOOKUP($D203,素材!$1:$1016,COLUMN($E$1),FALSE)/(LEN(VLOOKUP($D203,素材!$1:$1016,COLUMN($F$1),FALSE)) - LEN(SUBSTITUTE(VLOOKUP($D203,素材!$1:$1016,COLUMN($F$1),FALSE), "・", 0)) + 1), 0)</f>
        <v>0</v>
      </c>
      <c r="CL203">
        <f>SUM(G203:I203)</f>
        <v>25</v>
      </c>
      <c r="CM203" s="22" t="str">
        <f>IF(E203="武器",IF(J203-1&gt;SUM(G203:I203),"盾",IF(MAX(G203:I203)=G203,"切断",IF(MAX(G203:I203)=H203,"貫通",IF(MAX(G203:I203)=I203,"打撃","射撃")))),E203)&amp;".webp"</f>
        <v>貫通.webp</v>
      </c>
      <c r="CN203">
        <f>IFERROR(VLOOKUP($C203,武器!$1:$998,COLUMN(V$1),FALSE)*VLOOKUP($D203,素材!$1:$1016,COLUMN(N$1),FALSE)+IF(CI203="",0,VLOOKUP($CI203,装強!$1:$1008,COLUMN($CK$1),FALSE)),"")</f>
        <v>2250</v>
      </c>
      <c r="CO203">
        <f>VLOOKUP(D203,素材!$A:$O,COLUMN(素材!O$1),FALSE)</f>
        <v>0</v>
      </c>
      <c r="CP203" t="str">
        <f>VLOOKUP(C203,武器!$A:$W,COLUMN(武器!W$1),FALSE)</f>
        <v>短槍。短く扱いやすい槍で、投擲にも対応。</v>
      </c>
      <c r="CR203" t="str">
        <f t="shared" si="18"/>
        <v>e_203</v>
      </c>
      <c r="CS203">
        <f t="shared" si="22"/>
        <v>225000</v>
      </c>
    </row>
    <row r="204" spans="1:97" outlineLevel="1" x14ac:dyDescent="0.4">
      <c r="A204" t="str">
        <f t="shared" si="28"/>
        <v>冷気鉄の槍</v>
      </c>
      <c r="B204" t="str">
        <f>IFERROR(VLOOKUP($D204,素材!$1:$1016,COLUMN($B$1),FALSE)&amp;"・"&amp;VLOOKUP($C204,武器!$1:$998,COLUMN(B$1),FALSE),"")</f>
        <v>ドゥララン・スピア</v>
      </c>
      <c r="C204" s="24" t="s">
        <v>233</v>
      </c>
      <c r="D204" s="24" t="s">
        <v>243</v>
      </c>
      <c r="E204" t="str">
        <f>IFERROR(VLOOKUP(C204,武器!$1:$998,COLUMN(C$1),FALSE),"")</f>
        <v>武器</v>
      </c>
      <c r="F204">
        <f>IFERROR(ROUNDDOWN((VLOOKUP($C204,武器!$1:$998,COLUMN(D$1),FALSE)+IFERROR(VLOOKUP($CI204,装強!$1:$999,COLUMN(F$1),FALSE),0))*VLOOKUP($D204,素材!$1:$1016,COLUMN(D$1),FALSE),0),"")</f>
        <v>115</v>
      </c>
      <c r="G204">
        <f>IFERROR(ROUNDDOWN((VLOOKUP($C204,武器!$1:$998,COLUMN(E$1),FALSE)+IFERROR(VLOOKUP($CI204,装強!$1:$999,COLUMN(G$1),FALSE),0))*VLOOKUP($D204,素材!$1:$1016,COLUMN($E$1),FALSE),0),"")</f>
        <v>8</v>
      </c>
      <c r="H204">
        <f>IFERROR(ROUNDDOWN((VLOOKUP($C204,武器!$1:$998,COLUMN(F$1),FALSE)+IFERROR(VLOOKUP($CI204,装強!$1:$999,COLUMN(H$1),FALSE),0))*VLOOKUP($D204,素材!$1:$1016,COLUMN($E$1),FALSE),0),"")</f>
        <v>16</v>
      </c>
      <c r="I204">
        <f>IFERROR(ROUNDDOWN((VLOOKUP($C204,武器!$1:$998,COLUMN(G$1),FALSE)+IFERROR(VLOOKUP($CI204,装強!$1:$999,COLUMN(I$1),FALSE),0))*VLOOKUP($D204,素材!$1:$1016,COLUMN($E$1),FALSE),0),"")</f>
        <v>3</v>
      </c>
      <c r="J204">
        <f>IFERROR(ROUNDDOWN((VLOOKUP($C204,武器!$1:$998,COLUMN(H$1),FALSE)+IFERROR(VLOOKUP($CI204,装強!$1:$999,COLUMN(J$1),FALSE),0))*VLOOKUP($D204,素材!$1:$1016,COLUMN($E$1),FALSE),0),"")</f>
        <v>17</v>
      </c>
      <c r="K204">
        <f>IFERROR(ROUNDDOWN((VLOOKUP($C204,武器!$1:$998,COLUMN(I$1),FALSE)+IFERROR(VLOOKUP($CI204,装強!$1:$999,COLUMN(K$1),FALSE),0))*VLOOKUP($D204,素材!$1:$1016,COLUMN($E$1),FALSE),0),"")</f>
        <v>0</v>
      </c>
      <c r="L204" t="str">
        <f>IFERROR(VLOOKUP($D204,素材!$1:$1016,COLUMN($F$1),FALSE),"")</f>
        <v>氷</v>
      </c>
      <c r="M204">
        <f>IFERROR(VLOOKUP($C204,武器!$1:$998,COLUMN(AA$1),FALSE)*VLOOKUP($D204,素材!$1:$1016,COLUMN($G$1),FALSE),"")</f>
        <v>47.25</v>
      </c>
      <c r="N204">
        <f>IFERROR(VLOOKUP($C204,武器!$1:$998,COLUMN(I$1),FALSE),"")</f>
        <v>0</v>
      </c>
      <c r="O204" s="23">
        <f>IFERROR((VLOOKUP($C204,武器!$1:$998,COLUMN(K$1),FALSE)+VLOOKUP($D204,素材!$1:$1016,COLUMN(H$1),FALSE))*100+IFERROR(VLOOKUP($CI204,装強!$1:$999,COLUMN(O$1),FALSE),0),"")</f>
        <v>10</v>
      </c>
      <c r="P204" s="23">
        <f>IFERROR((VLOOKUP($C204,武器!$1:$998,COLUMN(L$1),FALSE)+VLOOKUP($D204,素材!$1:$1016,COLUMN(I$1),FALSE))*100+IFERROR(VLOOKUP($CI204,装強!$1:$999,COLUMN(P$1),FALSE),0),"")</f>
        <v>150</v>
      </c>
      <c r="Q204">
        <f>IFERROR(ROUNDUP(VLOOKUP($C204,武器!$1:$998,COLUMN(M$1),FALSE)*(VLOOKUP($D204,素材!$1:$1002,COLUMN(D$1),FALSE)/100),1),"")</f>
        <v>0</v>
      </c>
      <c r="R204">
        <f>IFERROR(ROUNDUP(VLOOKUP($C204,武器!$1:$998,COLUMN(N$1),FALSE)*(VLOOKUP($D204,素材!$1:$1002,COLUMN(D$1),FALSE)/100),1),"")</f>
        <v>-5</v>
      </c>
      <c r="S204">
        <f>IFERROR(VLOOKUP($C204,武器!$1:$998,COLUMN(P$1),FALSE),"")</f>
        <v>0</v>
      </c>
      <c r="T204">
        <f>IFERROR(VLOOKUP($C204,武器!$1:$998,COLUMN(Q$1),FALSE),"")</f>
        <v>0</v>
      </c>
      <c r="U204">
        <f>IFERROR(VLOOKUP($C204,武器!$1:$998,COLUMN(R$1),FALSE),"")</f>
        <v>0</v>
      </c>
      <c r="V204">
        <f>IFERROR(VLOOKUP($C204,武器!$1:$998,COLUMN(Q$1),FALSE),"")</f>
        <v>0</v>
      </c>
      <c r="W204" t="str">
        <f>IFERROR(VLOOKUP($C204,武器!$1:$998,COLUMN(T$1),FALSE),"")</f>
        <v>A</v>
      </c>
      <c r="Y204" t="str">
        <f>IFERROR(VLOOKUP($C204,武器!$1:$998,COLUMN(U$1),FALSE),"")</f>
        <v>投擲強化</v>
      </c>
      <c r="Z204">
        <f>IFERROR(ROUNDUP(VLOOKUP($C204,武器!$1:$998,COLUMN(O$1),FALSE)*VLOOKUP($D204,素材!$1:$1016,COLUMN(E$1),FALSE),1),"")</f>
        <v>0</v>
      </c>
      <c r="AA204">
        <f>IF(ISNUMBER(SEARCH(SUBSTITUTE(AA$1,RIGHT(AA$1,2),""),VLOOKUP($D204,素材!$1:$1016,COLUMN($F$1),FALSE))),VLOOKUP($C204,武器!$1:$998,COLUMN($O$1),FALSE)*VLOOKUP($D204,素材!$1:$1016,COLUMN($E$1),FALSE)/(LEN(VLOOKUP($D204,素材!$1:$1016,COLUMN($F$1),FALSE)) - LEN(SUBSTITUTE(VLOOKUP($D204,素材!$1:$1016,COLUMN($F$1),FALSE), "・", 0)) + 1), 0)</f>
        <v>0</v>
      </c>
      <c r="AB204">
        <f>IF(ISNUMBER(SEARCH(SUBSTITUTE(AB$1,RIGHT(AB$1,2),""),VLOOKUP($D204,素材!$1:$1016,COLUMN($F$1),FALSE))),VLOOKUP($C204,武器!$1:$998,COLUMN($O$1),FALSE)*VLOOKUP($D204,素材!$1:$1016,COLUMN($E$1),FALSE)/(LEN(VLOOKUP($D204,素材!$1:$1016,COLUMN($F$1),FALSE)) - LEN(SUBSTITUTE(VLOOKUP($D204,素材!$1:$1016,COLUMN($F$1),FALSE), "・", 0)) + 1), 0)</f>
        <v>0</v>
      </c>
      <c r="AC204">
        <f>IF(ISNUMBER(SEARCH(SUBSTITUTE(AC$1,RIGHT(AC$1,2),""),VLOOKUP($D204,素材!$1:$1016,COLUMN($F$1),FALSE))),VLOOKUP($C204,武器!$1:$998,COLUMN($O$1),FALSE)*VLOOKUP($D204,素材!$1:$1016,COLUMN($E$1),FALSE)/(LEN(VLOOKUP($D204,素材!$1:$1016,COLUMN($F$1),FALSE)) - LEN(SUBSTITUTE(VLOOKUP($D204,素材!$1:$1016,COLUMN($F$1),FALSE), "・", 0)) + 1), 0)</f>
        <v>0</v>
      </c>
      <c r="AD204">
        <f>IF(ISNUMBER(SEARCH(SUBSTITUTE(AD$1,RIGHT(AD$1,2),""),VLOOKUP($D204,素材!$1:$1016,COLUMN($F$1),FALSE))),VLOOKUP($C204,武器!$1:$998,COLUMN($O$1),FALSE)*VLOOKUP($D204,素材!$1:$1016,COLUMN($E$1),FALSE)/(LEN(VLOOKUP($D204,素材!$1:$1016,COLUMN($F$1),FALSE)) - LEN(SUBSTITUTE(VLOOKUP($D204,素材!$1:$1016,COLUMN($F$1),FALSE), "・", 0)) + 1), 0)</f>
        <v>0</v>
      </c>
      <c r="AE204">
        <f>IF(ISNUMBER(SEARCH(SUBSTITUTE(AE$1,RIGHT(AE$1,2),""),VLOOKUP($D204,素材!$1:$1016,COLUMN($F$1),FALSE))),VLOOKUP($C204,武器!$1:$998,COLUMN($O$1),FALSE)*VLOOKUP($D204,素材!$1:$1016,COLUMN($E$1),FALSE)/(LEN(VLOOKUP($D204,素材!$1:$1016,COLUMN($F$1),FALSE)) - LEN(SUBSTITUTE(VLOOKUP($D204,素材!$1:$1016,COLUMN($F$1),FALSE), "・", 0)) + 1), 0)</f>
        <v>0</v>
      </c>
      <c r="AF204">
        <f>IF(ISNUMBER(SEARCH(SUBSTITUTE(AF$1,RIGHT(AF$1,2),""),VLOOKUP($D204,素材!$1:$1016,COLUMN($F$1),FALSE))),VLOOKUP($C204,武器!$1:$998,COLUMN($O$1),FALSE)*VLOOKUP($D204,素材!$1:$1016,COLUMN($E$1),FALSE)/(LEN(VLOOKUP($D204,素材!$1:$1016,COLUMN($F$1),FALSE)) - LEN(SUBSTITUTE(VLOOKUP($D204,素材!$1:$1016,COLUMN($F$1),FALSE), "・", 0)) + 1), 0)</f>
        <v>0</v>
      </c>
      <c r="AG204">
        <f>IF(ISNUMBER(SEARCH(SUBSTITUTE(AG$1,RIGHT(AG$1,2),""),VLOOKUP($D204,素材!$1:$1016,COLUMN($F$1),FALSE))),VLOOKUP($C204,武器!$1:$998,COLUMN($O$1),FALSE)*VLOOKUP($D204,素材!$1:$1016,COLUMN($E$1),FALSE)/(LEN(VLOOKUP($D204,素材!$1:$1016,COLUMN($F$1),FALSE)) - LEN(SUBSTITUTE(VLOOKUP($D204,素材!$1:$1016,COLUMN($F$1),FALSE), "・", 0)) + 1), 0)</f>
        <v>0</v>
      </c>
      <c r="AH204">
        <f>IF(ISNUMBER(SEARCH(SUBSTITUTE(AH$1,RIGHT(AH$1,2),""),VLOOKUP($D204,素材!$1:$1016,COLUMN($F$1),FALSE))),VLOOKUP($C204,武器!$1:$998,COLUMN($O$1),FALSE)*VLOOKUP($D204,素材!$1:$1016,COLUMN($E$1),FALSE)/(LEN(VLOOKUP($D204,素材!$1:$1016,COLUMN($F$1),FALSE)) - LEN(SUBSTITUTE(VLOOKUP($D204,素材!$1:$1016,COLUMN($F$1),FALSE), "・", 0)) + 1), 0)</f>
        <v>0</v>
      </c>
      <c r="AI204">
        <f>IF(ISNUMBER(SEARCH(SUBSTITUTE(AI$1,RIGHT(AI$1,2),""),VLOOKUP($D204,素材!$1:$1016,COLUMN($F$1),FALSE))),VLOOKUP($C204,武器!$1:$998,COLUMN($O$1),FALSE)*VLOOKUP($D204,素材!$1:$1016,COLUMN($E$1),FALSE)/(LEN(VLOOKUP($D204,素材!$1:$1016,COLUMN($F$1),FALSE)) - LEN(SUBSTITUTE(VLOOKUP($D204,素材!$1:$1016,COLUMN($F$1),FALSE), "・", 0)) + 1), 0)</f>
        <v>0</v>
      </c>
      <c r="AJ204">
        <f>IF(ISNUMBER(SEARCH(SUBSTITUTE(AJ$1,RIGHT(AJ$1,2),""),VLOOKUP($D204,素材!$1:$1016,COLUMN($F$1),FALSE))),VLOOKUP($C204,武器!$1:$998,COLUMN($O$1),FALSE)*VLOOKUP($D204,素材!$1:$1016,COLUMN($E$1),FALSE)/(LEN(VLOOKUP($D204,素材!$1:$1016,COLUMN($F$1),FALSE)) - LEN(SUBSTITUTE(VLOOKUP($D204,素材!$1:$1016,COLUMN($F$1),FALSE), "・", 0)) + 1), 0)</f>
        <v>0</v>
      </c>
      <c r="AK204">
        <f>IF(ISNUMBER(SEARCH(SUBSTITUTE(AK$1,RIGHT(AK$1,2),""),VLOOKUP($D204,素材!$1:$1016,COLUMN($F$1),FALSE))),VLOOKUP($C204,武器!$1:$998,COLUMN($O$1),FALSE)*VLOOKUP($D204,素材!$1:$1016,COLUMN($E$1),FALSE)/(LEN(VLOOKUP($D204,素材!$1:$1016,COLUMN($F$1),FALSE)) - LEN(SUBSTITUTE(VLOOKUP($D204,素材!$1:$1016,COLUMN($F$1),FALSE), "・", 0)) + 1), 0)</f>
        <v>0</v>
      </c>
      <c r="AL204">
        <f>IF(ISNUMBER(SEARCH(SUBSTITUTE(AL$1,RIGHT(AL$1,2),""),VLOOKUP($D204,素材!$1:$1016,COLUMN($F$1),FALSE))),VLOOKUP($C204,武器!$1:$998,COLUMN($O$1),FALSE)*VLOOKUP($D204,素材!$1:$1016,COLUMN($E$1),FALSE)/(LEN(VLOOKUP($D204,素材!$1:$1016,COLUMN($F$1),FALSE)) - LEN(SUBSTITUTE(VLOOKUP($D204,素材!$1:$1016,COLUMN($F$1),FALSE), "・", 0)) + 1), 0)</f>
        <v>0</v>
      </c>
      <c r="AM204">
        <f>IF(ISNUMBER(SEARCH(SUBSTITUTE(AM$1,RIGHT(AM$1,2),""),VLOOKUP($D204,素材!$1:$1016,COLUMN($F$1),FALSE))),VLOOKUP($C204,武器!$1:$998,COLUMN($O$1),FALSE)*VLOOKUP($D204,素材!$1:$1016,COLUMN($E$1),FALSE)/(LEN(VLOOKUP($D204,素材!$1:$1016,COLUMN($F$1),FALSE)) - LEN(SUBSTITUTE(VLOOKUP($D204,素材!$1:$1016,COLUMN($F$1),FALSE), "・", 0)) + 1), 0)</f>
        <v>0</v>
      </c>
      <c r="AN204">
        <f>IF(ISNUMBER(SEARCH(SUBSTITUTE(AN$1,RIGHT(AN$1,2),""),VLOOKUP($D204,素材!$1:$1016,COLUMN($F$1),FALSE))),VLOOKUP($C204,武器!$1:$998,COLUMN($O$1),FALSE)*VLOOKUP($D204,素材!$1:$1016,COLUMN($E$1),FALSE)/(LEN(VLOOKUP($D204,素材!$1:$1016,COLUMN($F$1),FALSE)) - LEN(SUBSTITUTE(VLOOKUP($D204,素材!$1:$1016,COLUMN($F$1),FALSE), "・", 0)) + 1), 0)</f>
        <v>0</v>
      </c>
      <c r="AO204">
        <f>IF(ISNUMBER(SEARCH(SUBSTITUTE(AO$1,RIGHT(AO$1,2),""),VLOOKUP($D204,素材!$1:$1016,COLUMN($F$1),FALSE))),VLOOKUP($C204,武器!$1:$998,COLUMN($O$1),FALSE)*VLOOKUP($D204,素材!$1:$1016,COLUMN($E$1),FALSE)/(LEN(VLOOKUP($D204,素材!$1:$1016,COLUMN($F$1),FALSE)) - LEN(SUBSTITUTE(VLOOKUP($D204,素材!$1:$1016,COLUMN($F$1),FALSE), "・", 0)) + 1), 0)</f>
        <v>0</v>
      </c>
      <c r="AP204">
        <f>IF(ISNUMBER(SEARCH(SUBSTITUTE(AP$1,RIGHT(AP$1,2),""),VLOOKUP($D204,素材!$1:$1016,COLUMN($F$1),FALSE))),VLOOKUP($C204,武器!$1:$998,COLUMN($O$1),FALSE)*VLOOKUP($D204,素材!$1:$1016,COLUMN($E$1),FALSE)/(LEN(VLOOKUP($D204,素材!$1:$1016,COLUMN($F$1),FALSE)) - LEN(SUBSTITUTE(VLOOKUP($D204,素材!$1:$1016,COLUMN($F$1),FALSE), "・", 0)) + 1), 0)</f>
        <v>0</v>
      </c>
      <c r="AQ204">
        <f>IF(ISNUMBER(SEARCH(SUBSTITUTE(AQ$1,RIGHT(AQ$1,2),""),VLOOKUP($D204,素材!$1:$1016,COLUMN($F$1),FALSE))),VLOOKUP($C204,武器!$1:$998,COLUMN($O$1),FALSE)*VLOOKUP($D204,素材!$1:$1016,COLUMN($E$1),FALSE)/(LEN(VLOOKUP($D204,素材!$1:$1016,COLUMN($F$1),FALSE)) - LEN(SUBSTITUTE(VLOOKUP($D204,素材!$1:$1016,COLUMN($F$1),FALSE), "・", 0)) + 1), 0)</f>
        <v>0</v>
      </c>
      <c r="AR204">
        <f>IF(ISNUMBER(SEARCH(SUBSTITUTE(AR$1,RIGHT(AR$1,2),""),VLOOKUP($D204,素材!$1:$1016,COLUMN($F$1),FALSE))),VLOOKUP($C204,武器!$1:$998,COLUMN($O$1),FALSE)*VLOOKUP($D204,素材!$1:$1016,COLUMN($E$1),FALSE)/(LEN(VLOOKUP($D204,素材!$1:$1016,COLUMN($F$1),FALSE)) - LEN(SUBSTITUTE(VLOOKUP($D204,素材!$1:$1016,COLUMN($F$1),FALSE), "・", 0)) + 1), 0)</f>
        <v>0</v>
      </c>
      <c r="AS204">
        <f>IF(ISNUMBER(SEARCH(SUBSTITUTE(AS$1,RIGHT(AS$1,2),""),VLOOKUP($D204,素材!$1:$1016,COLUMN($F$1),FALSE))),VLOOKUP($C204,武器!$1:$998,COLUMN($O$1),FALSE)*VLOOKUP($D204,素材!$1:$1016,COLUMN($E$1),FALSE)/(LEN(VLOOKUP($D204,素材!$1:$1016,COLUMN($F$1),FALSE)) - LEN(SUBSTITUTE(VLOOKUP($D204,素材!$1:$1016,COLUMN($F$1),FALSE), "・", 0)) + 1), 0)</f>
        <v>0</v>
      </c>
      <c r="AT204">
        <f>IF(ISNUMBER(SEARCH(SUBSTITUTE(AT$1,RIGHT(AT$1,2),""),VLOOKUP($D204,素材!$1:$1016,COLUMN($F$1),FALSE))),VLOOKUP($C204,武器!$1:$998,COLUMN($O$1),FALSE)*VLOOKUP($D204,素材!$1:$1016,COLUMN($E$1),FALSE)/(LEN(VLOOKUP($D204,素材!$1:$1016,COLUMN($F$1),FALSE)) - LEN(SUBSTITUTE(VLOOKUP($D204,素材!$1:$1016,COLUMN($F$1),FALSE), "・", 0)) + 1), 0)</f>
        <v>0</v>
      </c>
      <c r="AU204">
        <f>IF(ISNUMBER(SEARCH(SUBSTITUTE(AU$1,RIGHT(AU$1,2),""),VLOOKUP($D204,素材!$1:$1016,COLUMN($F$1),FALSE))),VLOOKUP($C204,武器!$1:$998,COLUMN($O$1),FALSE)*VLOOKUP($D204,素材!$1:$1016,COLUMN($E$1),FALSE)/(LEN(VLOOKUP($D204,素材!$1:$1016,COLUMN($F$1),FALSE)) - LEN(SUBSTITUTE(VLOOKUP($D204,素材!$1:$1016,COLUMN($F$1),FALSE), "・", 0)) + 1), 0)</f>
        <v>0</v>
      </c>
      <c r="AV204">
        <f>IF(ISNUMBER(SEARCH(SUBSTITUTE(AV$1,RIGHT(AV$1,2),""),VLOOKUP($D204,素材!$1:$1016,COLUMN($F$1),FALSE))),VLOOKUP($C204,武器!$1:$998,COLUMN($O$1),FALSE)*VLOOKUP($D204,素材!$1:$1016,COLUMN($E$1),FALSE)/(LEN(VLOOKUP($D204,素材!$1:$1016,COLUMN($F$1),FALSE)) - LEN(SUBSTITUTE(VLOOKUP($D204,素材!$1:$1016,COLUMN($F$1),FALSE), "・", 0)) + 1), 0)</f>
        <v>0</v>
      </c>
      <c r="AW204">
        <f>IF(ISNUMBER(SEARCH(SUBSTITUTE(AW$1,RIGHT(AW$1,2),""),VLOOKUP($D204,素材!$1:$1016,COLUMN($F$1),FALSE))),VLOOKUP($C204,武器!$1:$998,COLUMN($O$1),FALSE)*VLOOKUP($D204,素材!$1:$1016,COLUMN($E$1),FALSE)/(LEN(VLOOKUP($D204,素材!$1:$1016,COLUMN($F$1),FALSE)) - LEN(SUBSTITUTE(VLOOKUP($D204,素材!$1:$1016,COLUMN($F$1),FALSE), "・", 0)) + 1), 0)</f>
        <v>0</v>
      </c>
      <c r="AX204">
        <f>IF(ISNUMBER(SEARCH(SUBSTITUTE(AX$1,RIGHT(AX$1,2),""),VLOOKUP($D204,素材!$1:$1016,COLUMN($F$1),FALSE))),VLOOKUP($C204,武器!$1:$998,COLUMN($O$1),FALSE)*VLOOKUP($D204,素材!$1:$1016,COLUMN($E$1),FALSE)/(LEN(VLOOKUP($D204,素材!$1:$1016,COLUMN($F$1),FALSE)) - LEN(SUBSTITUTE(VLOOKUP($D204,素材!$1:$1016,COLUMN($F$1),FALSE), "・", 0)) + 1), 0)</f>
        <v>0</v>
      </c>
      <c r="AY204">
        <f>IF(ISNUMBER(SEARCH(SUBSTITUTE(AY$1,RIGHT(AY$1,2),""),VLOOKUP($D204,素材!$1:$1016,COLUMN($F$1),FALSE))),VLOOKUP($C204,武器!$1:$998,COLUMN($O$1),FALSE)*VLOOKUP($D204,素材!$1:$1016,COLUMN($E$1),FALSE)/(LEN(VLOOKUP($D204,素材!$1:$1016,COLUMN($F$1),FALSE)) - LEN(SUBSTITUTE(VLOOKUP($D204,素材!$1:$1016,COLUMN($F$1),FALSE), "・", 0)) + 1), 0)</f>
        <v>0</v>
      </c>
      <c r="AZ204">
        <f>IF(ISNUMBER(SEARCH(SUBSTITUTE(AZ$1,RIGHT(AZ$1,2),""),VLOOKUP($D204,素材!$1:$1016,COLUMN($F$1),FALSE))),VLOOKUP($C204,武器!$1:$998,COLUMN($O$1),FALSE)*VLOOKUP($D204,素材!$1:$1016,COLUMN($E$1),FALSE)/(LEN(VLOOKUP($D204,素材!$1:$1016,COLUMN($F$1),FALSE)) - LEN(SUBSTITUTE(VLOOKUP($D204,素材!$1:$1016,COLUMN($F$1),FALSE), "・", 0)) + 1), 0)</f>
        <v>0</v>
      </c>
      <c r="BA204">
        <f>IF(ISNUMBER(SEARCH(SUBSTITUTE(BA$1,RIGHT(BA$1,2),""),VLOOKUP($D204,素材!$1:$1016,COLUMN($F$1),FALSE))),VLOOKUP($C204,武器!$1:$998,COLUMN($O$1),FALSE)*VLOOKUP($D204,素材!$1:$1016,COLUMN($E$1),FALSE)/(LEN(VLOOKUP($D204,素材!$1:$1016,COLUMN($F$1),FALSE)) - LEN(SUBSTITUTE(VLOOKUP($D204,素材!$1:$1016,COLUMN($F$1),FALSE), "・", 0)) + 1), 0)</f>
        <v>0</v>
      </c>
      <c r="BB204">
        <f>IF(ISNUMBER(SEARCH(SUBSTITUTE(BB$1,RIGHT(BB$1,2),""),VLOOKUP($D204,素材!$1:$1016,COLUMN($F$1),FALSE))),VLOOKUP($C204,武器!$1:$998,COLUMN($O$1),FALSE)*VLOOKUP($D204,素材!$1:$1016,COLUMN($E$1),FALSE)/(LEN(VLOOKUP($D204,素材!$1:$1016,COLUMN($F$1),FALSE)) - LEN(SUBSTITUTE(VLOOKUP($D204,素材!$1:$1016,COLUMN($F$1),FALSE), "・", 0)) + 1), 0)</f>
        <v>0</v>
      </c>
      <c r="BC204">
        <f>IF(ISNUMBER(SEARCH(SUBSTITUTE(BC$1,RIGHT(BC$1,2),""),VLOOKUP($D204,素材!$1:$1016,COLUMN($F$1),FALSE))),VLOOKUP($C204,武器!$1:$998,COLUMN($O$1),FALSE)*VLOOKUP($D204,素材!$1:$1016,COLUMN($E$1),FALSE)/(LEN(VLOOKUP($D204,素材!$1:$1016,COLUMN($F$1),FALSE)) - LEN(SUBSTITUTE(VLOOKUP($D204,素材!$1:$1016,COLUMN($F$1),FALSE), "・", 0)) + 1), 0)</f>
        <v>0</v>
      </c>
      <c r="BD204">
        <f>IF(ISNUMBER(SEARCH(SUBSTITUTE(BD$1,RIGHT(BD$1,2),""),VLOOKUP($D204,素材!$1:$1016,COLUMN($F$1),FALSE))),VLOOKUP($C204,武器!$1:$998,COLUMN($O$1),FALSE)*VLOOKUP($D204,素材!$1:$1016,COLUMN($E$1),FALSE)/(LEN(VLOOKUP($D204,素材!$1:$1016,COLUMN($F$1),FALSE)) - LEN(SUBSTITUTE(VLOOKUP($D204,素材!$1:$1016,COLUMN($F$1),FALSE), "・", 0)) + 1), 0)</f>
        <v>0</v>
      </c>
      <c r="BE204">
        <f>IF(ISNUMBER(SEARCH(SUBSTITUTE(BE$1,RIGHT(BE$1,2),""),VLOOKUP($D204,素材!$1:$1016,COLUMN($F$1),FALSE))),VLOOKUP($C204,武器!$1:$998,COLUMN($O$1),FALSE)*VLOOKUP($D204,素材!$1:$1016,COLUMN($E$1),FALSE)/(LEN(VLOOKUP($D204,素材!$1:$1016,COLUMN($F$1),FALSE)) - LEN(SUBSTITUTE(VLOOKUP($D204,素材!$1:$1016,COLUMN($F$1),FALSE), "・", 0)) + 1), 0)</f>
        <v>0</v>
      </c>
      <c r="CL204">
        <f>SUM(G204:I204)</f>
        <v>27</v>
      </c>
      <c r="CM204" s="22" t="str">
        <f>IF(E204="武器",IF(J204-1&gt;SUM(G204:I204),"盾",IF(MAX(G204:I204)=G204,"切断",IF(MAX(G204:I204)=H204,"貫通",IF(MAX(G204:I204)=I204,"打撃","射撃")))),E204)&amp;".webp"</f>
        <v>貫通.webp</v>
      </c>
      <c r="CN204">
        <f>IFERROR(VLOOKUP($C204,武器!$1:$998,COLUMN(V$1),FALSE)*VLOOKUP($D204,素材!$1:$1016,COLUMN(N$1),FALSE)+IF(CI204="",0,VLOOKUP($CI204,装強!$1:$1008,COLUMN($CK$1),FALSE)),"")</f>
        <v>3000</v>
      </c>
      <c r="CO204">
        <f>VLOOKUP(D204,素材!$A:$O,COLUMN(素材!O$1),FALSE)</f>
        <v>0</v>
      </c>
      <c r="CP204" t="str">
        <f>VLOOKUP(C204,武器!$A:$W,COLUMN(武器!W$1),FALSE)</f>
        <v>槍。リーチが長く、刺突に優れる武器。</v>
      </c>
      <c r="CR204" t="str">
        <f t="shared" si="18"/>
        <v>e_204</v>
      </c>
      <c r="CS204">
        <f t="shared" si="22"/>
        <v>300000</v>
      </c>
    </row>
    <row r="205" spans="1:97" outlineLevel="1" x14ac:dyDescent="0.4">
      <c r="A205" t="str">
        <f t="shared" si="28"/>
        <v>冷気鉄の騎士槍</v>
      </c>
      <c r="B205" t="str">
        <f>IFERROR(VLOOKUP($D205,素材!$1:$1016,COLUMN($B$1),FALSE)&amp;"・"&amp;VLOOKUP($C205,武器!$1:$998,COLUMN(B$1),FALSE),"")</f>
        <v>ドゥララン・ランス</v>
      </c>
      <c r="C205" s="24" t="s">
        <v>232</v>
      </c>
      <c r="D205" s="24" t="s">
        <v>243</v>
      </c>
      <c r="E205" t="str">
        <f>IFERROR(VLOOKUP(C205,武器!$1:$998,COLUMN(C$1),FALSE),"")</f>
        <v>武器</v>
      </c>
      <c r="F205">
        <f>IFERROR(ROUNDDOWN((VLOOKUP($C205,武器!$1:$998,COLUMN(D$1),FALSE)+IFERROR(VLOOKUP($CI205,装強!$1:$999,COLUMN(F$1),FALSE),0))*VLOOKUP($D205,素材!$1:$1016,COLUMN(D$1),FALSE),0),"")</f>
        <v>115</v>
      </c>
      <c r="G205">
        <f>IFERROR(ROUNDDOWN((VLOOKUP($C205,武器!$1:$998,COLUMN(E$1),FALSE)+IFERROR(VLOOKUP($CI205,装強!$1:$999,COLUMN(G$1),FALSE),0))*VLOOKUP($D205,素材!$1:$1016,COLUMN($E$1),FALSE),0),"")</f>
        <v>0</v>
      </c>
      <c r="H205">
        <f>IFERROR(ROUNDDOWN((VLOOKUP($C205,武器!$1:$998,COLUMN(F$1),FALSE)+IFERROR(VLOOKUP($CI205,装強!$1:$999,COLUMN(H$1),FALSE),0))*VLOOKUP($D205,素材!$1:$1016,COLUMN($E$1),FALSE),0),"")</f>
        <v>19</v>
      </c>
      <c r="I205">
        <f>IFERROR(ROUNDDOWN((VLOOKUP($C205,武器!$1:$998,COLUMN(G$1),FALSE)+IFERROR(VLOOKUP($CI205,装強!$1:$999,COLUMN(I$1),FALSE),0))*VLOOKUP($D205,素材!$1:$1016,COLUMN($E$1),FALSE),0),"")</f>
        <v>9</v>
      </c>
      <c r="J205">
        <f>IFERROR(ROUNDDOWN((VLOOKUP($C205,武器!$1:$998,COLUMN(H$1),FALSE)+IFERROR(VLOOKUP($CI205,装強!$1:$999,COLUMN(J$1),FALSE),0))*VLOOKUP($D205,素材!$1:$1016,COLUMN($E$1),FALSE),0),"")</f>
        <v>20</v>
      </c>
      <c r="K205">
        <f>IFERROR(ROUNDDOWN((VLOOKUP($C205,武器!$1:$998,COLUMN(I$1),FALSE)+IFERROR(VLOOKUP($CI205,装強!$1:$999,COLUMN(K$1),FALSE),0))*VLOOKUP($D205,素材!$1:$1016,COLUMN($E$1),FALSE),0),"")</f>
        <v>0</v>
      </c>
      <c r="L205" t="str">
        <f>IFERROR(VLOOKUP($D205,素材!$1:$1016,COLUMN($F$1),FALSE),"")</f>
        <v>氷</v>
      </c>
      <c r="M205">
        <f>IFERROR(VLOOKUP($C205,武器!$1:$998,COLUMN(AA$1),FALSE)*VLOOKUP($D205,素材!$1:$1016,COLUMN($G$1),FALSE),"")</f>
        <v>49</v>
      </c>
      <c r="N205">
        <f>IFERROR(VLOOKUP($C205,武器!$1:$998,COLUMN(I$1),FALSE),"")</f>
        <v>0</v>
      </c>
      <c r="O205" s="23">
        <f>IFERROR((VLOOKUP($C205,武器!$1:$998,COLUMN(K$1),FALSE)+VLOOKUP($D205,素材!$1:$1016,COLUMN(H$1),FALSE))*100+IFERROR(VLOOKUP($CI205,装強!$1:$999,COLUMN(O$1),FALSE),0),"")</f>
        <v>5</v>
      </c>
      <c r="P205" s="23">
        <f>IFERROR((VLOOKUP($C205,武器!$1:$998,COLUMN(L$1),FALSE)+VLOOKUP($D205,素材!$1:$1016,COLUMN(I$1),FALSE))*100+IFERROR(VLOOKUP($CI205,装強!$1:$999,COLUMN(P$1),FALSE),0),"")</f>
        <v>175</v>
      </c>
      <c r="Q205">
        <f>IFERROR(ROUNDUP(VLOOKUP($C205,武器!$1:$998,COLUMN(M$1),FALSE)*(VLOOKUP($D205,素材!$1:$1002,COLUMN(D$1),FALSE)/100),1),"")</f>
        <v>-5</v>
      </c>
      <c r="R205">
        <f>IFERROR(ROUNDUP(VLOOKUP($C205,武器!$1:$998,COLUMN(N$1),FALSE)*(VLOOKUP($D205,素材!$1:$1002,COLUMN(D$1),FALSE)/100),1),"")</f>
        <v>-5</v>
      </c>
      <c r="S205">
        <f>IFERROR(VLOOKUP($C205,武器!$1:$998,COLUMN(P$1),FALSE),"")</f>
        <v>0</v>
      </c>
      <c r="T205">
        <f>IFERROR(VLOOKUP($C205,武器!$1:$998,COLUMN(Q$1),FALSE),"")</f>
        <v>0</v>
      </c>
      <c r="U205">
        <f>IFERROR(VLOOKUP($C205,武器!$1:$998,COLUMN(R$1),FALSE),"")</f>
        <v>0</v>
      </c>
      <c r="V205">
        <f>IFERROR(VLOOKUP($C205,武器!$1:$998,COLUMN(Q$1),FALSE),"")</f>
        <v>0</v>
      </c>
      <c r="W205" t="str">
        <f>IFERROR(VLOOKUP($C205,武器!$1:$998,COLUMN(T$1),FALSE),"")</f>
        <v>A</v>
      </c>
      <c r="Y205" t="str">
        <f>IFERROR(VLOOKUP($C205,武器!$1:$998,COLUMN(U$1),FALSE),"")</f>
        <v>突撃強化</v>
      </c>
      <c r="Z205">
        <f>IFERROR(ROUNDUP(VLOOKUP($C205,武器!$1:$998,COLUMN(O$1),FALSE)*VLOOKUP($D205,素材!$1:$1016,COLUMN(E$1),FALSE),1),"")</f>
        <v>0</v>
      </c>
      <c r="AA205">
        <f>IF(ISNUMBER(SEARCH(SUBSTITUTE(AA$1,RIGHT(AA$1,2),""),VLOOKUP($D205,素材!$1:$1016,COLUMN($F$1),FALSE))),VLOOKUP($C205,武器!$1:$998,COLUMN($O$1),FALSE)*VLOOKUP($D205,素材!$1:$1016,COLUMN($E$1),FALSE)/(LEN(VLOOKUP($D205,素材!$1:$1016,COLUMN($F$1),FALSE)) - LEN(SUBSTITUTE(VLOOKUP($D205,素材!$1:$1016,COLUMN($F$1),FALSE), "・", 0)) + 1), 0)</f>
        <v>0</v>
      </c>
      <c r="AB205">
        <f>IF(ISNUMBER(SEARCH(SUBSTITUTE(AB$1,RIGHT(AB$1,2),""),VLOOKUP($D205,素材!$1:$1016,COLUMN($F$1),FALSE))),VLOOKUP($C205,武器!$1:$998,COLUMN($O$1),FALSE)*VLOOKUP($D205,素材!$1:$1016,COLUMN($E$1),FALSE)/(LEN(VLOOKUP($D205,素材!$1:$1016,COLUMN($F$1),FALSE)) - LEN(SUBSTITUTE(VLOOKUP($D205,素材!$1:$1016,COLUMN($F$1),FALSE), "・", 0)) + 1), 0)</f>
        <v>0</v>
      </c>
      <c r="AC205">
        <f>IF(ISNUMBER(SEARCH(SUBSTITUTE(AC$1,RIGHT(AC$1,2),""),VLOOKUP($D205,素材!$1:$1016,COLUMN($F$1),FALSE))),VLOOKUP($C205,武器!$1:$998,COLUMN($O$1),FALSE)*VLOOKUP($D205,素材!$1:$1016,COLUMN($E$1),FALSE)/(LEN(VLOOKUP($D205,素材!$1:$1016,COLUMN($F$1),FALSE)) - LEN(SUBSTITUTE(VLOOKUP($D205,素材!$1:$1016,COLUMN($F$1),FALSE), "・", 0)) + 1), 0)</f>
        <v>0</v>
      </c>
      <c r="AD205">
        <f>IF(ISNUMBER(SEARCH(SUBSTITUTE(AD$1,RIGHT(AD$1,2),""),VLOOKUP($D205,素材!$1:$1016,COLUMN($F$1),FALSE))),VLOOKUP($C205,武器!$1:$998,COLUMN($O$1),FALSE)*VLOOKUP($D205,素材!$1:$1016,COLUMN($E$1),FALSE)/(LEN(VLOOKUP($D205,素材!$1:$1016,COLUMN($F$1),FALSE)) - LEN(SUBSTITUTE(VLOOKUP($D205,素材!$1:$1016,COLUMN($F$1),FALSE), "・", 0)) + 1), 0)</f>
        <v>0</v>
      </c>
      <c r="AE205">
        <f>IF(ISNUMBER(SEARCH(SUBSTITUTE(AE$1,RIGHT(AE$1,2),""),VLOOKUP($D205,素材!$1:$1016,COLUMN($F$1),FALSE))),VLOOKUP($C205,武器!$1:$998,COLUMN($O$1),FALSE)*VLOOKUP($D205,素材!$1:$1016,COLUMN($E$1),FALSE)/(LEN(VLOOKUP($D205,素材!$1:$1016,COLUMN($F$1),FALSE)) - LEN(SUBSTITUTE(VLOOKUP($D205,素材!$1:$1016,COLUMN($F$1),FALSE), "・", 0)) + 1), 0)</f>
        <v>0</v>
      </c>
      <c r="AF205">
        <f>IF(ISNUMBER(SEARCH(SUBSTITUTE(AF$1,RIGHT(AF$1,2),""),VLOOKUP($D205,素材!$1:$1016,COLUMN($F$1),FALSE))),VLOOKUP($C205,武器!$1:$998,COLUMN($O$1),FALSE)*VLOOKUP($D205,素材!$1:$1016,COLUMN($E$1),FALSE)/(LEN(VLOOKUP($D205,素材!$1:$1016,COLUMN($F$1),FALSE)) - LEN(SUBSTITUTE(VLOOKUP($D205,素材!$1:$1016,COLUMN($F$1),FALSE), "・", 0)) + 1), 0)</f>
        <v>0</v>
      </c>
      <c r="AG205">
        <f>IF(ISNUMBER(SEARCH(SUBSTITUTE(AG$1,RIGHT(AG$1,2),""),VLOOKUP($D205,素材!$1:$1016,COLUMN($F$1),FALSE))),VLOOKUP($C205,武器!$1:$998,COLUMN($O$1),FALSE)*VLOOKUP($D205,素材!$1:$1016,COLUMN($E$1),FALSE)/(LEN(VLOOKUP($D205,素材!$1:$1016,COLUMN($F$1),FALSE)) - LEN(SUBSTITUTE(VLOOKUP($D205,素材!$1:$1016,COLUMN($F$1),FALSE), "・", 0)) + 1), 0)</f>
        <v>0</v>
      </c>
      <c r="AH205">
        <f>IF(ISNUMBER(SEARCH(SUBSTITUTE(AH$1,RIGHT(AH$1,2),""),VLOOKUP($D205,素材!$1:$1016,COLUMN($F$1),FALSE))),VLOOKUP($C205,武器!$1:$998,COLUMN($O$1),FALSE)*VLOOKUP($D205,素材!$1:$1016,COLUMN($E$1),FALSE)/(LEN(VLOOKUP($D205,素材!$1:$1016,COLUMN($F$1),FALSE)) - LEN(SUBSTITUTE(VLOOKUP($D205,素材!$1:$1016,COLUMN($F$1),FALSE), "・", 0)) + 1), 0)</f>
        <v>0</v>
      </c>
      <c r="AI205">
        <f>IF(ISNUMBER(SEARCH(SUBSTITUTE(AI$1,RIGHT(AI$1,2),""),VLOOKUP($D205,素材!$1:$1016,COLUMN($F$1),FALSE))),VLOOKUP($C205,武器!$1:$998,COLUMN($O$1),FALSE)*VLOOKUP($D205,素材!$1:$1016,COLUMN($E$1),FALSE)/(LEN(VLOOKUP($D205,素材!$1:$1016,COLUMN($F$1),FALSE)) - LEN(SUBSTITUTE(VLOOKUP($D205,素材!$1:$1016,COLUMN($F$1),FALSE), "・", 0)) + 1), 0)</f>
        <v>0</v>
      </c>
      <c r="AJ205">
        <f>IF(ISNUMBER(SEARCH(SUBSTITUTE(AJ$1,RIGHT(AJ$1,2),""),VLOOKUP($D205,素材!$1:$1016,COLUMN($F$1),FALSE))),VLOOKUP($C205,武器!$1:$998,COLUMN($O$1),FALSE)*VLOOKUP($D205,素材!$1:$1016,COLUMN($E$1),FALSE)/(LEN(VLOOKUP($D205,素材!$1:$1016,COLUMN($F$1),FALSE)) - LEN(SUBSTITUTE(VLOOKUP($D205,素材!$1:$1016,COLUMN($F$1),FALSE), "・", 0)) + 1), 0)</f>
        <v>0</v>
      </c>
      <c r="AK205">
        <f>IF(ISNUMBER(SEARCH(SUBSTITUTE(AK$1,RIGHT(AK$1,2),""),VLOOKUP($D205,素材!$1:$1016,COLUMN($F$1),FALSE))),VLOOKUP($C205,武器!$1:$998,COLUMN($O$1),FALSE)*VLOOKUP($D205,素材!$1:$1016,COLUMN($E$1),FALSE)/(LEN(VLOOKUP($D205,素材!$1:$1016,COLUMN($F$1),FALSE)) - LEN(SUBSTITUTE(VLOOKUP($D205,素材!$1:$1016,COLUMN($F$1),FALSE), "・", 0)) + 1), 0)</f>
        <v>0</v>
      </c>
      <c r="AL205">
        <f>IF(ISNUMBER(SEARCH(SUBSTITUTE(AL$1,RIGHT(AL$1,2),""),VLOOKUP($D205,素材!$1:$1016,COLUMN($F$1),FALSE))),VLOOKUP($C205,武器!$1:$998,COLUMN($O$1),FALSE)*VLOOKUP($D205,素材!$1:$1016,COLUMN($E$1),FALSE)/(LEN(VLOOKUP($D205,素材!$1:$1016,COLUMN($F$1),FALSE)) - LEN(SUBSTITUTE(VLOOKUP($D205,素材!$1:$1016,COLUMN($F$1),FALSE), "・", 0)) + 1), 0)</f>
        <v>0</v>
      </c>
      <c r="AM205">
        <f>IF(ISNUMBER(SEARCH(SUBSTITUTE(AM$1,RIGHT(AM$1,2),""),VLOOKUP($D205,素材!$1:$1016,COLUMN($F$1),FALSE))),VLOOKUP($C205,武器!$1:$998,COLUMN($O$1),FALSE)*VLOOKUP($D205,素材!$1:$1016,COLUMN($E$1),FALSE)/(LEN(VLOOKUP($D205,素材!$1:$1016,COLUMN($F$1),FALSE)) - LEN(SUBSTITUTE(VLOOKUP($D205,素材!$1:$1016,COLUMN($F$1),FALSE), "・", 0)) + 1), 0)</f>
        <v>0</v>
      </c>
      <c r="AN205">
        <f>IF(ISNUMBER(SEARCH(SUBSTITUTE(AN$1,RIGHT(AN$1,2),""),VLOOKUP($D205,素材!$1:$1016,COLUMN($F$1),FALSE))),VLOOKUP($C205,武器!$1:$998,COLUMN($O$1),FALSE)*VLOOKUP($D205,素材!$1:$1016,COLUMN($E$1),FALSE)/(LEN(VLOOKUP($D205,素材!$1:$1016,COLUMN($F$1),FALSE)) - LEN(SUBSTITUTE(VLOOKUP($D205,素材!$1:$1016,COLUMN($F$1),FALSE), "・", 0)) + 1), 0)</f>
        <v>0</v>
      </c>
      <c r="AO205">
        <f>IF(ISNUMBER(SEARCH(SUBSTITUTE(AO$1,RIGHT(AO$1,2),""),VLOOKUP($D205,素材!$1:$1016,COLUMN($F$1),FALSE))),VLOOKUP($C205,武器!$1:$998,COLUMN($O$1),FALSE)*VLOOKUP($D205,素材!$1:$1016,COLUMN($E$1),FALSE)/(LEN(VLOOKUP($D205,素材!$1:$1016,COLUMN($F$1),FALSE)) - LEN(SUBSTITUTE(VLOOKUP($D205,素材!$1:$1016,COLUMN($F$1),FALSE), "・", 0)) + 1), 0)</f>
        <v>0</v>
      </c>
      <c r="AP205">
        <f>IF(ISNUMBER(SEARCH(SUBSTITUTE(AP$1,RIGHT(AP$1,2),""),VLOOKUP($D205,素材!$1:$1016,COLUMN($F$1),FALSE))),VLOOKUP($C205,武器!$1:$998,COLUMN($O$1),FALSE)*VLOOKUP($D205,素材!$1:$1016,COLUMN($E$1),FALSE)/(LEN(VLOOKUP($D205,素材!$1:$1016,COLUMN($F$1),FALSE)) - LEN(SUBSTITUTE(VLOOKUP($D205,素材!$1:$1016,COLUMN($F$1),FALSE), "・", 0)) + 1), 0)</f>
        <v>0</v>
      </c>
      <c r="AQ205">
        <f>IF(ISNUMBER(SEARCH(SUBSTITUTE(AQ$1,RIGHT(AQ$1,2),""),VLOOKUP($D205,素材!$1:$1016,COLUMN($F$1),FALSE))),VLOOKUP($C205,武器!$1:$998,COLUMN($O$1),FALSE)*VLOOKUP($D205,素材!$1:$1016,COLUMN($E$1),FALSE)/(LEN(VLOOKUP($D205,素材!$1:$1016,COLUMN($F$1),FALSE)) - LEN(SUBSTITUTE(VLOOKUP($D205,素材!$1:$1016,COLUMN($F$1),FALSE), "・", 0)) + 1), 0)</f>
        <v>0</v>
      </c>
      <c r="AR205">
        <f>IF(ISNUMBER(SEARCH(SUBSTITUTE(AR$1,RIGHT(AR$1,2),""),VLOOKUP($D205,素材!$1:$1016,COLUMN($F$1),FALSE))),VLOOKUP($C205,武器!$1:$998,COLUMN($O$1),FALSE)*VLOOKUP($D205,素材!$1:$1016,COLUMN($E$1),FALSE)/(LEN(VLOOKUP($D205,素材!$1:$1016,COLUMN($F$1),FALSE)) - LEN(SUBSTITUTE(VLOOKUP($D205,素材!$1:$1016,COLUMN($F$1),FALSE), "・", 0)) + 1), 0)</f>
        <v>0</v>
      </c>
      <c r="AS205">
        <f>IF(ISNUMBER(SEARCH(SUBSTITUTE(AS$1,RIGHT(AS$1,2),""),VLOOKUP($D205,素材!$1:$1016,COLUMN($F$1),FALSE))),VLOOKUP($C205,武器!$1:$998,COLUMN($O$1),FALSE)*VLOOKUP($D205,素材!$1:$1016,COLUMN($E$1),FALSE)/(LEN(VLOOKUP($D205,素材!$1:$1016,COLUMN($F$1),FALSE)) - LEN(SUBSTITUTE(VLOOKUP($D205,素材!$1:$1016,COLUMN($F$1),FALSE), "・", 0)) + 1), 0)</f>
        <v>0</v>
      </c>
      <c r="AT205">
        <f>IF(ISNUMBER(SEARCH(SUBSTITUTE(AT$1,RIGHT(AT$1,2),""),VLOOKUP($D205,素材!$1:$1016,COLUMN($F$1),FALSE))),VLOOKUP($C205,武器!$1:$998,COLUMN($O$1),FALSE)*VLOOKUP($D205,素材!$1:$1016,COLUMN($E$1),FALSE)/(LEN(VLOOKUP($D205,素材!$1:$1016,COLUMN($F$1),FALSE)) - LEN(SUBSTITUTE(VLOOKUP($D205,素材!$1:$1016,COLUMN($F$1),FALSE), "・", 0)) + 1), 0)</f>
        <v>0</v>
      </c>
      <c r="AU205">
        <f>IF(ISNUMBER(SEARCH(SUBSTITUTE(AU$1,RIGHT(AU$1,2),""),VLOOKUP($D205,素材!$1:$1016,COLUMN($F$1),FALSE))),VLOOKUP($C205,武器!$1:$998,COLUMN($O$1),FALSE)*VLOOKUP($D205,素材!$1:$1016,COLUMN($E$1),FALSE)/(LEN(VLOOKUP($D205,素材!$1:$1016,COLUMN($F$1),FALSE)) - LEN(SUBSTITUTE(VLOOKUP($D205,素材!$1:$1016,COLUMN($F$1),FALSE), "・", 0)) + 1), 0)</f>
        <v>0</v>
      </c>
      <c r="AV205">
        <f>IF(ISNUMBER(SEARCH(SUBSTITUTE(AV$1,RIGHT(AV$1,2),""),VLOOKUP($D205,素材!$1:$1016,COLUMN($F$1),FALSE))),VLOOKUP($C205,武器!$1:$998,COLUMN($O$1),FALSE)*VLOOKUP($D205,素材!$1:$1016,COLUMN($E$1),FALSE)/(LEN(VLOOKUP($D205,素材!$1:$1016,COLUMN($F$1),FALSE)) - LEN(SUBSTITUTE(VLOOKUP($D205,素材!$1:$1016,COLUMN($F$1),FALSE), "・", 0)) + 1), 0)</f>
        <v>0</v>
      </c>
      <c r="AW205">
        <f>IF(ISNUMBER(SEARCH(SUBSTITUTE(AW$1,RIGHT(AW$1,2),""),VLOOKUP($D205,素材!$1:$1016,COLUMN($F$1),FALSE))),VLOOKUP($C205,武器!$1:$998,COLUMN($O$1),FALSE)*VLOOKUP($D205,素材!$1:$1016,COLUMN($E$1),FALSE)/(LEN(VLOOKUP($D205,素材!$1:$1016,COLUMN($F$1),FALSE)) - LEN(SUBSTITUTE(VLOOKUP($D205,素材!$1:$1016,COLUMN($F$1),FALSE), "・", 0)) + 1), 0)</f>
        <v>0</v>
      </c>
      <c r="AX205">
        <f>IF(ISNUMBER(SEARCH(SUBSTITUTE(AX$1,RIGHT(AX$1,2),""),VLOOKUP($D205,素材!$1:$1016,COLUMN($F$1),FALSE))),VLOOKUP($C205,武器!$1:$998,COLUMN($O$1),FALSE)*VLOOKUP($D205,素材!$1:$1016,COLUMN($E$1),FALSE)/(LEN(VLOOKUP($D205,素材!$1:$1016,COLUMN($F$1),FALSE)) - LEN(SUBSTITUTE(VLOOKUP($D205,素材!$1:$1016,COLUMN($F$1),FALSE), "・", 0)) + 1), 0)</f>
        <v>0</v>
      </c>
      <c r="AY205">
        <f>IF(ISNUMBER(SEARCH(SUBSTITUTE(AY$1,RIGHT(AY$1,2),""),VLOOKUP($D205,素材!$1:$1016,COLUMN($F$1),FALSE))),VLOOKUP($C205,武器!$1:$998,COLUMN($O$1),FALSE)*VLOOKUP($D205,素材!$1:$1016,COLUMN($E$1),FALSE)/(LEN(VLOOKUP($D205,素材!$1:$1016,COLUMN($F$1),FALSE)) - LEN(SUBSTITUTE(VLOOKUP($D205,素材!$1:$1016,COLUMN($F$1),FALSE), "・", 0)) + 1), 0)</f>
        <v>0</v>
      </c>
      <c r="AZ205">
        <f>IF(ISNUMBER(SEARCH(SUBSTITUTE(AZ$1,RIGHT(AZ$1,2),""),VLOOKUP($D205,素材!$1:$1016,COLUMN($F$1),FALSE))),VLOOKUP($C205,武器!$1:$998,COLUMN($O$1),FALSE)*VLOOKUP($D205,素材!$1:$1016,COLUMN($E$1),FALSE)/(LEN(VLOOKUP($D205,素材!$1:$1016,COLUMN($F$1),FALSE)) - LEN(SUBSTITUTE(VLOOKUP($D205,素材!$1:$1016,COLUMN($F$1),FALSE), "・", 0)) + 1), 0)</f>
        <v>0</v>
      </c>
      <c r="BA205">
        <f>IF(ISNUMBER(SEARCH(SUBSTITUTE(BA$1,RIGHT(BA$1,2),""),VLOOKUP($D205,素材!$1:$1016,COLUMN($F$1),FALSE))),VLOOKUP($C205,武器!$1:$998,COLUMN($O$1),FALSE)*VLOOKUP($D205,素材!$1:$1016,COLUMN($E$1),FALSE)/(LEN(VLOOKUP($D205,素材!$1:$1016,COLUMN($F$1),FALSE)) - LEN(SUBSTITUTE(VLOOKUP($D205,素材!$1:$1016,COLUMN($F$1),FALSE), "・", 0)) + 1), 0)</f>
        <v>0</v>
      </c>
      <c r="BB205">
        <f>IF(ISNUMBER(SEARCH(SUBSTITUTE(BB$1,RIGHT(BB$1,2),""),VLOOKUP($D205,素材!$1:$1016,COLUMN($F$1),FALSE))),VLOOKUP($C205,武器!$1:$998,COLUMN($O$1),FALSE)*VLOOKUP($D205,素材!$1:$1016,COLUMN($E$1),FALSE)/(LEN(VLOOKUP($D205,素材!$1:$1016,COLUMN($F$1),FALSE)) - LEN(SUBSTITUTE(VLOOKUP($D205,素材!$1:$1016,COLUMN($F$1),FALSE), "・", 0)) + 1), 0)</f>
        <v>0</v>
      </c>
      <c r="BC205">
        <f>IF(ISNUMBER(SEARCH(SUBSTITUTE(BC$1,RIGHT(BC$1,2),""),VLOOKUP($D205,素材!$1:$1016,COLUMN($F$1),FALSE))),VLOOKUP($C205,武器!$1:$998,COLUMN($O$1),FALSE)*VLOOKUP($D205,素材!$1:$1016,COLUMN($E$1),FALSE)/(LEN(VLOOKUP($D205,素材!$1:$1016,COLUMN($F$1),FALSE)) - LEN(SUBSTITUTE(VLOOKUP($D205,素材!$1:$1016,COLUMN($F$1),FALSE), "・", 0)) + 1), 0)</f>
        <v>0</v>
      </c>
      <c r="BD205">
        <f>IF(ISNUMBER(SEARCH(SUBSTITUTE(BD$1,RIGHT(BD$1,2),""),VLOOKUP($D205,素材!$1:$1016,COLUMN($F$1),FALSE))),VLOOKUP($C205,武器!$1:$998,COLUMN($O$1),FALSE)*VLOOKUP($D205,素材!$1:$1016,COLUMN($E$1),FALSE)/(LEN(VLOOKUP($D205,素材!$1:$1016,COLUMN($F$1),FALSE)) - LEN(SUBSTITUTE(VLOOKUP($D205,素材!$1:$1016,COLUMN($F$1),FALSE), "・", 0)) + 1), 0)</f>
        <v>0</v>
      </c>
      <c r="BE205">
        <f>IF(ISNUMBER(SEARCH(SUBSTITUTE(BE$1,RIGHT(BE$1,2),""),VLOOKUP($D205,素材!$1:$1016,COLUMN($F$1),FALSE))),VLOOKUP($C205,武器!$1:$998,COLUMN($O$1),FALSE)*VLOOKUP($D205,素材!$1:$1016,COLUMN($E$1),FALSE)/(LEN(VLOOKUP($D205,素材!$1:$1016,COLUMN($F$1),FALSE)) - LEN(SUBSTITUTE(VLOOKUP($D205,素材!$1:$1016,COLUMN($F$1),FALSE), "・", 0)) + 1), 0)</f>
        <v>0</v>
      </c>
      <c r="CL205">
        <f>SUM(G205:I205)</f>
        <v>28</v>
      </c>
      <c r="CM205" s="22" t="str">
        <f>IF(E205="武器",IF(J205-1&gt;SUM(G205:I205),"盾",IF(MAX(G205:I205)=G205,"切断",IF(MAX(G205:I205)=H205,"貫通",IF(MAX(G205:I205)=I205,"打撃","射撃")))),E205)&amp;".webp"</f>
        <v>貫通.webp</v>
      </c>
      <c r="CN205">
        <f>IFERROR(VLOOKUP($C205,武器!$1:$998,COLUMN(V$1),FALSE)*VLOOKUP($D205,素材!$1:$1016,COLUMN(N$1),FALSE)+IF(CI205="",0,VLOOKUP($CI205,装強!$1:$1008,COLUMN($CK$1),FALSE)),"")</f>
        <v>4500</v>
      </c>
      <c r="CO205">
        <f>VLOOKUP(D205,素材!$A:$O,COLUMN(素材!O$1),FALSE)</f>
        <v>0</v>
      </c>
      <c r="CP205" t="str">
        <f>VLOOKUP(C205,武器!$A:$W,COLUMN(武器!W$1),FALSE)</f>
        <v>騎士槍。突撃に特化した武器で、高い攻撃力を誇る。</v>
      </c>
      <c r="CR205" t="str">
        <f t="shared" si="18"/>
        <v>e_205</v>
      </c>
      <c r="CS205">
        <f t="shared" si="22"/>
        <v>450000</v>
      </c>
    </row>
    <row r="206" spans="1:97" outlineLevel="1" x14ac:dyDescent="0.4">
      <c r="A206" t="str">
        <f t="shared" si="28"/>
        <v>冷気鉄の斧槍</v>
      </c>
      <c r="B206" t="str">
        <f>IFERROR(VLOOKUP($D206,素材!$1:$1016,COLUMN($B$1),FALSE)&amp;"・"&amp;VLOOKUP($C206,武器!$1:$998,COLUMN(B$1),FALSE),"")</f>
        <v>ドゥララン・ハルバート</v>
      </c>
      <c r="C206" s="24" t="s">
        <v>231</v>
      </c>
      <c r="D206" s="24" t="s">
        <v>243</v>
      </c>
      <c r="E206" t="str">
        <f>IFERROR(VLOOKUP(C206,武器!$1:$998,COLUMN(C$1),FALSE),"")</f>
        <v>武器</v>
      </c>
      <c r="F206">
        <f>IFERROR(ROUNDDOWN((VLOOKUP($C206,武器!$1:$998,COLUMN(D$1),FALSE)+IFERROR(VLOOKUP($CI206,装強!$1:$999,COLUMN(F$1),FALSE),0))*VLOOKUP($D206,素材!$1:$1016,COLUMN(D$1),FALSE),0),"")</f>
        <v>110</v>
      </c>
      <c r="G206">
        <f>IFERROR(ROUNDDOWN((VLOOKUP($C206,武器!$1:$998,COLUMN(E$1),FALSE)+IFERROR(VLOOKUP($CI206,装強!$1:$999,COLUMN(G$1),FALSE),0))*VLOOKUP($D206,素材!$1:$1016,COLUMN($E$1),FALSE),0),"")</f>
        <v>8</v>
      </c>
      <c r="H206">
        <f>IFERROR(ROUNDDOWN((VLOOKUP($C206,武器!$1:$998,COLUMN(F$1),FALSE)+IFERROR(VLOOKUP($CI206,装強!$1:$999,COLUMN(H$1),FALSE),0))*VLOOKUP($D206,素材!$1:$1016,COLUMN($E$1),FALSE),0),"")</f>
        <v>10</v>
      </c>
      <c r="I206">
        <f>IFERROR(ROUNDDOWN((VLOOKUP($C206,武器!$1:$998,COLUMN(G$1),FALSE)+IFERROR(VLOOKUP($CI206,装強!$1:$999,COLUMN(I$1),FALSE),0))*VLOOKUP($D206,素材!$1:$1016,COLUMN($E$1),FALSE),0),"")</f>
        <v>6</v>
      </c>
      <c r="J206">
        <f>IFERROR(ROUNDDOWN((VLOOKUP($C206,武器!$1:$998,COLUMN(H$1),FALSE)+IFERROR(VLOOKUP($CI206,装強!$1:$999,COLUMN(J$1),FALSE),0))*VLOOKUP($D206,素材!$1:$1016,COLUMN($E$1),FALSE),0),"")</f>
        <v>19</v>
      </c>
      <c r="K206">
        <f>IFERROR(ROUNDDOWN((VLOOKUP($C206,武器!$1:$998,COLUMN(I$1),FALSE)+IFERROR(VLOOKUP($CI206,装強!$1:$999,COLUMN(K$1),FALSE),0))*VLOOKUP($D206,素材!$1:$1016,COLUMN($E$1),FALSE),0),"")</f>
        <v>0</v>
      </c>
      <c r="L206" t="str">
        <f>IFERROR(VLOOKUP($D206,素材!$1:$1016,COLUMN($F$1),FALSE),"")</f>
        <v>氷</v>
      </c>
      <c r="M206">
        <f>IFERROR(VLOOKUP($C206,武器!$1:$998,COLUMN(AA$1),FALSE)*VLOOKUP($D206,素材!$1:$1016,COLUMN($G$1),FALSE),"")</f>
        <v>42</v>
      </c>
      <c r="N206">
        <f>IFERROR(VLOOKUP($C206,武器!$1:$998,COLUMN(I$1),FALSE),"")</f>
        <v>0</v>
      </c>
      <c r="O206" s="23">
        <f>IFERROR((VLOOKUP($C206,武器!$1:$998,COLUMN(K$1),FALSE)+VLOOKUP($D206,素材!$1:$1016,COLUMN(H$1),FALSE))*100+IFERROR(VLOOKUP($CI206,装強!$1:$999,COLUMN(O$1),FALSE),0),"")</f>
        <v>10</v>
      </c>
      <c r="P206" s="23">
        <f>IFERROR((VLOOKUP($C206,武器!$1:$998,COLUMN(L$1),FALSE)+VLOOKUP($D206,素材!$1:$1016,COLUMN(I$1),FALSE))*100+IFERROR(VLOOKUP($CI206,装強!$1:$999,COLUMN(P$1),FALSE),0),"")</f>
        <v>150</v>
      </c>
      <c r="Q206">
        <f>IFERROR(ROUNDUP(VLOOKUP($C206,武器!$1:$998,COLUMN(M$1),FALSE)*(VLOOKUP($D206,素材!$1:$1002,COLUMN(D$1),FALSE)/100),1),"")</f>
        <v>-5</v>
      </c>
      <c r="R206">
        <f>IFERROR(ROUNDUP(VLOOKUP($C206,武器!$1:$998,COLUMN(N$1),FALSE)*(VLOOKUP($D206,素材!$1:$1002,COLUMN(D$1),FALSE)/100),1),"")</f>
        <v>-5</v>
      </c>
      <c r="S206">
        <f>IFERROR(VLOOKUP($C206,武器!$1:$998,COLUMN(P$1),FALSE),"")</f>
        <v>0</v>
      </c>
      <c r="T206">
        <f>IFERROR(VLOOKUP($C206,武器!$1:$998,COLUMN(Q$1),FALSE),"")</f>
        <v>0</v>
      </c>
      <c r="U206">
        <f>IFERROR(VLOOKUP($C206,武器!$1:$998,COLUMN(R$1),FALSE),"")</f>
        <v>0</v>
      </c>
      <c r="V206">
        <f>IFERROR(VLOOKUP($C206,武器!$1:$998,COLUMN(Q$1),FALSE),"")</f>
        <v>0</v>
      </c>
      <c r="W206" t="str">
        <f>IFERROR(VLOOKUP($C206,武器!$1:$998,COLUMN(T$1),FALSE),"")</f>
        <v>A</v>
      </c>
      <c r="Y206">
        <f>IFERROR(VLOOKUP($C206,武器!$1:$998,COLUMN(U$1),FALSE),"")</f>
        <v>0</v>
      </c>
      <c r="Z206">
        <f>IFERROR(ROUNDUP(VLOOKUP($C206,武器!$1:$998,COLUMN(O$1),FALSE)*VLOOKUP($D206,素材!$1:$1016,COLUMN(E$1),FALSE),1),"")</f>
        <v>0</v>
      </c>
      <c r="AA206">
        <f>IF(ISNUMBER(SEARCH(SUBSTITUTE(AA$1,RIGHT(AA$1,2),""),VLOOKUP($D206,素材!$1:$1016,COLUMN($F$1),FALSE))),VLOOKUP($C206,武器!$1:$998,COLUMN($O$1),FALSE)*VLOOKUP($D206,素材!$1:$1016,COLUMN($E$1),FALSE)/(LEN(VLOOKUP($D206,素材!$1:$1016,COLUMN($F$1),FALSE)) - LEN(SUBSTITUTE(VLOOKUP($D206,素材!$1:$1016,COLUMN($F$1),FALSE), "・", 0)) + 1), 0)</f>
        <v>0</v>
      </c>
      <c r="AB206">
        <f>IF(ISNUMBER(SEARCH(SUBSTITUTE(AB$1,RIGHT(AB$1,2),""),VLOOKUP($D206,素材!$1:$1016,COLUMN($F$1),FALSE))),VLOOKUP($C206,武器!$1:$998,COLUMN($O$1),FALSE)*VLOOKUP($D206,素材!$1:$1016,COLUMN($E$1),FALSE)/(LEN(VLOOKUP($D206,素材!$1:$1016,COLUMN($F$1),FALSE)) - LEN(SUBSTITUTE(VLOOKUP($D206,素材!$1:$1016,COLUMN($F$1),FALSE), "・", 0)) + 1), 0)</f>
        <v>0</v>
      </c>
      <c r="AC206">
        <f>IF(ISNUMBER(SEARCH(SUBSTITUTE(AC$1,RIGHT(AC$1,2),""),VLOOKUP($D206,素材!$1:$1016,COLUMN($F$1),FALSE))),VLOOKUP($C206,武器!$1:$998,COLUMN($O$1),FALSE)*VLOOKUP($D206,素材!$1:$1016,COLUMN($E$1),FALSE)/(LEN(VLOOKUP($D206,素材!$1:$1016,COLUMN($F$1),FALSE)) - LEN(SUBSTITUTE(VLOOKUP($D206,素材!$1:$1016,COLUMN($F$1),FALSE), "・", 0)) + 1), 0)</f>
        <v>0</v>
      </c>
      <c r="AD206">
        <f>IF(ISNUMBER(SEARCH(SUBSTITUTE(AD$1,RIGHT(AD$1,2),""),VLOOKUP($D206,素材!$1:$1016,COLUMN($F$1),FALSE))),VLOOKUP($C206,武器!$1:$998,COLUMN($O$1),FALSE)*VLOOKUP($D206,素材!$1:$1016,COLUMN($E$1),FALSE)/(LEN(VLOOKUP($D206,素材!$1:$1016,COLUMN($F$1),FALSE)) - LEN(SUBSTITUTE(VLOOKUP($D206,素材!$1:$1016,COLUMN($F$1),FALSE), "・", 0)) + 1), 0)</f>
        <v>0</v>
      </c>
      <c r="AE206">
        <f>IF(ISNUMBER(SEARCH(SUBSTITUTE(AE$1,RIGHT(AE$1,2),""),VLOOKUP($D206,素材!$1:$1016,COLUMN($F$1),FALSE))),VLOOKUP($C206,武器!$1:$998,COLUMN($O$1),FALSE)*VLOOKUP($D206,素材!$1:$1016,COLUMN($E$1),FALSE)/(LEN(VLOOKUP($D206,素材!$1:$1016,COLUMN($F$1),FALSE)) - LEN(SUBSTITUTE(VLOOKUP($D206,素材!$1:$1016,COLUMN($F$1),FALSE), "・", 0)) + 1), 0)</f>
        <v>0</v>
      </c>
      <c r="AF206">
        <f>IF(ISNUMBER(SEARCH(SUBSTITUTE(AF$1,RIGHT(AF$1,2),""),VLOOKUP($D206,素材!$1:$1016,COLUMN($F$1),FALSE))),VLOOKUP($C206,武器!$1:$998,COLUMN($O$1),FALSE)*VLOOKUP($D206,素材!$1:$1016,COLUMN($E$1),FALSE)/(LEN(VLOOKUP($D206,素材!$1:$1016,COLUMN($F$1),FALSE)) - LEN(SUBSTITUTE(VLOOKUP($D206,素材!$1:$1016,COLUMN($F$1),FALSE), "・", 0)) + 1), 0)</f>
        <v>0</v>
      </c>
      <c r="AG206">
        <f>IF(ISNUMBER(SEARCH(SUBSTITUTE(AG$1,RIGHT(AG$1,2),""),VLOOKUP($D206,素材!$1:$1016,COLUMN($F$1),FALSE))),VLOOKUP($C206,武器!$1:$998,COLUMN($O$1),FALSE)*VLOOKUP($D206,素材!$1:$1016,COLUMN($E$1),FALSE)/(LEN(VLOOKUP($D206,素材!$1:$1016,COLUMN($F$1),FALSE)) - LEN(SUBSTITUTE(VLOOKUP($D206,素材!$1:$1016,COLUMN($F$1),FALSE), "・", 0)) + 1), 0)</f>
        <v>0</v>
      </c>
      <c r="AH206">
        <f>IF(ISNUMBER(SEARCH(SUBSTITUTE(AH$1,RIGHT(AH$1,2),""),VLOOKUP($D206,素材!$1:$1016,COLUMN($F$1),FALSE))),VLOOKUP($C206,武器!$1:$998,COLUMN($O$1),FALSE)*VLOOKUP($D206,素材!$1:$1016,COLUMN($E$1),FALSE)/(LEN(VLOOKUP($D206,素材!$1:$1016,COLUMN($F$1),FALSE)) - LEN(SUBSTITUTE(VLOOKUP($D206,素材!$1:$1016,COLUMN($F$1),FALSE), "・", 0)) + 1), 0)</f>
        <v>0</v>
      </c>
      <c r="AI206">
        <f>IF(ISNUMBER(SEARCH(SUBSTITUTE(AI$1,RIGHT(AI$1,2),""),VLOOKUP($D206,素材!$1:$1016,COLUMN($F$1),FALSE))),VLOOKUP($C206,武器!$1:$998,COLUMN($O$1),FALSE)*VLOOKUP($D206,素材!$1:$1016,COLUMN($E$1),FALSE)/(LEN(VLOOKUP($D206,素材!$1:$1016,COLUMN($F$1),FALSE)) - LEN(SUBSTITUTE(VLOOKUP($D206,素材!$1:$1016,COLUMN($F$1),FALSE), "・", 0)) + 1), 0)</f>
        <v>0</v>
      </c>
      <c r="AJ206">
        <f>IF(ISNUMBER(SEARCH(SUBSTITUTE(AJ$1,RIGHT(AJ$1,2),""),VLOOKUP($D206,素材!$1:$1016,COLUMN($F$1),FALSE))),VLOOKUP($C206,武器!$1:$998,COLUMN($O$1),FALSE)*VLOOKUP($D206,素材!$1:$1016,COLUMN($E$1),FALSE)/(LEN(VLOOKUP($D206,素材!$1:$1016,COLUMN($F$1),FALSE)) - LEN(SUBSTITUTE(VLOOKUP($D206,素材!$1:$1016,COLUMN($F$1),FALSE), "・", 0)) + 1), 0)</f>
        <v>0</v>
      </c>
      <c r="AK206">
        <f>IF(ISNUMBER(SEARCH(SUBSTITUTE(AK$1,RIGHT(AK$1,2),""),VLOOKUP($D206,素材!$1:$1016,COLUMN($F$1),FALSE))),VLOOKUP($C206,武器!$1:$998,COLUMN($O$1),FALSE)*VLOOKUP($D206,素材!$1:$1016,COLUMN($E$1),FALSE)/(LEN(VLOOKUP($D206,素材!$1:$1016,COLUMN($F$1),FALSE)) - LEN(SUBSTITUTE(VLOOKUP($D206,素材!$1:$1016,COLUMN($F$1),FALSE), "・", 0)) + 1), 0)</f>
        <v>0</v>
      </c>
      <c r="AL206">
        <f>IF(ISNUMBER(SEARCH(SUBSTITUTE(AL$1,RIGHT(AL$1,2),""),VLOOKUP($D206,素材!$1:$1016,COLUMN($F$1),FALSE))),VLOOKUP($C206,武器!$1:$998,COLUMN($O$1),FALSE)*VLOOKUP($D206,素材!$1:$1016,COLUMN($E$1),FALSE)/(LEN(VLOOKUP($D206,素材!$1:$1016,COLUMN($F$1),FALSE)) - LEN(SUBSTITUTE(VLOOKUP($D206,素材!$1:$1016,COLUMN($F$1),FALSE), "・", 0)) + 1), 0)</f>
        <v>0</v>
      </c>
      <c r="AM206">
        <f>IF(ISNUMBER(SEARCH(SUBSTITUTE(AM$1,RIGHT(AM$1,2),""),VLOOKUP($D206,素材!$1:$1016,COLUMN($F$1),FALSE))),VLOOKUP($C206,武器!$1:$998,COLUMN($O$1),FALSE)*VLOOKUP($D206,素材!$1:$1016,COLUMN($E$1),FALSE)/(LEN(VLOOKUP($D206,素材!$1:$1016,COLUMN($F$1),FALSE)) - LEN(SUBSTITUTE(VLOOKUP($D206,素材!$1:$1016,COLUMN($F$1),FALSE), "・", 0)) + 1), 0)</f>
        <v>0</v>
      </c>
      <c r="AN206">
        <f>IF(ISNUMBER(SEARCH(SUBSTITUTE(AN$1,RIGHT(AN$1,2),""),VLOOKUP($D206,素材!$1:$1016,COLUMN($F$1),FALSE))),VLOOKUP($C206,武器!$1:$998,COLUMN($O$1),FALSE)*VLOOKUP($D206,素材!$1:$1016,COLUMN($E$1),FALSE)/(LEN(VLOOKUP($D206,素材!$1:$1016,COLUMN($F$1),FALSE)) - LEN(SUBSTITUTE(VLOOKUP($D206,素材!$1:$1016,COLUMN($F$1),FALSE), "・", 0)) + 1), 0)</f>
        <v>0</v>
      </c>
      <c r="AO206">
        <f>IF(ISNUMBER(SEARCH(SUBSTITUTE(AO$1,RIGHT(AO$1,2),""),VLOOKUP($D206,素材!$1:$1016,COLUMN($F$1),FALSE))),VLOOKUP($C206,武器!$1:$998,COLUMN($O$1),FALSE)*VLOOKUP($D206,素材!$1:$1016,COLUMN($E$1),FALSE)/(LEN(VLOOKUP($D206,素材!$1:$1016,COLUMN($F$1),FALSE)) - LEN(SUBSTITUTE(VLOOKUP($D206,素材!$1:$1016,COLUMN($F$1),FALSE), "・", 0)) + 1), 0)</f>
        <v>0</v>
      </c>
      <c r="AP206">
        <f>IF(ISNUMBER(SEARCH(SUBSTITUTE(AP$1,RIGHT(AP$1,2),""),VLOOKUP($D206,素材!$1:$1016,COLUMN($F$1),FALSE))),VLOOKUP($C206,武器!$1:$998,COLUMN($O$1),FALSE)*VLOOKUP($D206,素材!$1:$1016,COLUMN($E$1),FALSE)/(LEN(VLOOKUP($D206,素材!$1:$1016,COLUMN($F$1),FALSE)) - LEN(SUBSTITUTE(VLOOKUP($D206,素材!$1:$1016,COLUMN($F$1),FALSE), "・", 0)) + 1), 0)</f>
        <v>0</v>
      </c>
      <c r="AQ206">
        <f>IF(ISNUMBER(SEARCH(SUBSTITUTE(AQ$1,RIGHT(AQ$1,2),""),VLOOKUP($D206,素材!$1:$1016,COLUMN($F$1),FALSE))),VLOOKUP($C206,武器!$1:$998,COLUMN($O$1),FALSE)*VLOOKUP($D206,素材!$1:$1016,COLUMN($E$1),FALSE)/(LEN(VLOOKUP($D206,素材!$1:$1016,COLUMN($F$1),FALSE)) - LEN(SUBSTITUTE(VLOOKUP($D206,素材!$1:$1016,COLUMN($F$1),FALSE), "・", 0)) + 1), 0)</f>
        <v>0</v>
      </c>
      <c r="AR206">
        <f>IF(ISNUMBER(SEARCH(SUBSTITUTE(AR$1,RIGHT(AR$1,2),""),VLOOKUP($D206,素材!$1:$1016,COLUMN($F$1),FALSE))),VLOOKUP($C206,武器!$1:$998,COLUMN($O$1),FALSE)*VLOOKUP($D206,素材!$1:$1016,COLUMN($E$1),FALSE)/(LEN(VLOOKUP($D206,素材!$1:$1016,COLUMN($F$1),FALSE)) - LEN(SUBSTITUTE(VLOOKUP($D206,素材!$1:$1016,COLUMN($F$1),FALSE), "・", 0)) + 1), 0)</f>
        <v>0</v>
      </c>
      <c r="AS206">
        <f>IF(ISNUMBER(SEARCH(SUBSTITUTE(AS$1,RIGHT(AS$1,2),""),VLOOKUP($D206,素材!$1:$1016,COLUMN($F$1),FALSE))),VLOOKUP($C206,武器!$1:$998,COLUMN($O$1),FALSE)*VLOOKUP($D206,素材!$1:$1016,COLUMN($E$1),FALSE)/(LEN(VLOOKUP($D206,素材!$1:$1016,COLUMN($F$1),FALSE)) - LEN(SUBSTITUTE(VLOOKUP($D206,素材!$1:$1016,COLUMN($F$1),FALSE), "・", 0)) + 1), 0)</f>
        <v>0</v>
      </c>
      <c r="AT206">
        <f>IF(ISNUMBER(SEARCH(SUBSTITUTE(AT$1,RIGHT(AT$1,2),""),VLOOKUP($D206,素材!$1:$1016,COLUMN($F$1),FALSE))),VLOOKUP($C206,武器!$1:$998,COLUMN($O$1),FALSE)*VLOOKUP($D206,素材!$1:$1016,COLUMN($E$1),FALSE)/(LEN(VLOOKUP($D206,素材!$1:$1016,COLUMN($F$1),FALSE)) - LEN(SUBSTITUTE(VLOOKUP($D206,素材!$1:$1016,COLUMN($F$1),FALSE), "・", 0)) + 1), 0)</f>
        <v>0</v>
      </c>
      <c r="AU206">
        <f>IF(ISNUMBER(SEARCH(SUBSTITUTE(AU$1,RIGHT(AU$1,2),""),VLOOKUP($D206,素材!$1:$1016,COLUMN($F$1),FALSE))),VLOOKUP($C206,武器!$1:$998,COLUMN($O$1),FALSE)*VLOOKUP($D206,素材!$1:$1016,COLUMN($E$1),FALSE)/(LEN(VLOOKUP($D206,素材!$1:$1016,COLUMN($F$1),FALSE)) - LEN(SUBSTITUTE(VLOOKUP($D206,素材!$1:$1016,COLUMN($F$1),FALSE), "・", 0)) + 1), 0)</f>
        <v>0</v>
      </c>
      <c r="AV206">
        <f>IF(ISNUMBER(SEARCH(SUBSTITUTE(AV$1,RIGHT(AV$1,2),""),VLOOKUP($D206,素材!$1:$1016,COLUMN($F$1),FALSE))),VLOOKUP($C206,武器!$1:$998,COLUMN($O$1),FALSE)*VLOOKUP($D206,素材!$1:$1016,COLUMN($E$1),FALSE)/(LEN(VLOOKUP($D206,素材!$1:$1016,COLUMN($F$1),FALSE)) - LEN(SUBSTITUTE(VLOOKUP($D206,素材!$1:$1016,COLUMN($F$1),FALSE), "・", 0)) + 1), 0)</f>
        <v>0</v>
      </c>
      <c r="AW206">
        <f>IF(ISNUMBER(SEARCH(SUBSTITUTE(AW$1,RIGHT(AW$1,2),""),VLOOKUP($D206,素材!$1:$1016,COLUMN($F$1),FALSE))),VLOOKUP($C206,武器!$1:$998,COLUMN($O$1),FALSE)*VLOOKUP($D206,素材!$1:$1016,COLUMN($E$1),FALSE)/(LEN(VLOOKUP($D206,素材!$1:$1016,COLUMN($F$1),FALSE)) - LEN(SUBSTITUTE(VLOOKUP($D206,素材!$1:$1016,COLUMN($F$1),FALSE), "・", 0)) + 1), 0)</f>
        <v>0</v>
      </c>
      <c r="AX206">
        <f>IF(ISNUMBER(SEARCH(SUBSTITUTE(AX$1,RIGHT(AX$1,2),""),VLOOKUP($D206,素材!$1:$1016,COLUMN($F$1),FALSE))),VLOOKUP($C206,武器!$1:$998,COLUMN($O$1),FALSE)*VLOOKUP($D206,素材!$1:$1016,COLUMN($E$1),FALSE)/(LEN(VLOOKUP($D206,素材!$1:$1016,COLUMN($F$1),FALSE)) - LEN(SUBSTITUTE(VLOOKUP($D206,素材!$1:$1016,COLUMN($F$1),FALSE), "・", 0)) + 1), 0)</f>
        <v>0</v>
      </c>
      <c r="AY206">
        <f>IF(ISNUMBER(SEARCH(SUBSTITUTE(AY$1,RIGHT(AY$1,2),""),VLOOKUP($D206,素材!$1:$1016,COLUMN($F$1),FALSE))),VLOOKUP($C206,武器!$1:$998,COLUMN($O$1),FALSE)*VLOOKUP($D206,素材!$1:$1016,COLUMN($E$1),FALSE)/(LEN(VLOOKUP($D206,素材!$1:$1016,COLUMN($F$1),FALSE)) - LEN(SUBSTITUTE(VLOOKUP($D206,素材!$1:$1016,COLUMN($F$1),FALSE), "・", 0)) + 1), 0)</f>
        <v>0</v>
      </c>
      <c r="AZ206">
        <f>IF(ISNUMBER(SEARCH(SUBSTITUTE(AZ$1,RIGHT(AZ$1,2),""),VLOOKUP($D206,素材!$1:$1016,COLUMN($F$1),FALSE))),VLOOKUP($C206,武器!$1:$998,COLUMN($O$1),FALSE)*VLOOKUP($D206,素材!$1:$1016,COLUMN($E$1),FALSE)/(LEN(VLOOKUP($D206,素材!$1:$1016,COLUMN($F$1),FALSE)) - LEN(SUBSTITUTE(VLOOKUP($D206,素材!$1:$1016,COLUMN($F$1),FALSE), "・", 0)) + 1), 0)</f>
        <v>0</v>
      </c>
      <c r="BA206">
        <f>IF(ISNUMBER(SEARCH(SUBSTITUTE(BA$1,RIGHT(BA$1,2),""),VLOOKUP($D206,素材!$1:$1016,COLUMN($F$1),FALSE))),VLOOKUP($C206,武器!$1:$998,COLUMN($O$1),FALSE)*VLOOKUP($D206,素材!$1:$1016,COLUMN($E$1),FALSE)/(LEN(VLOOKUP($D206,素材!$1:$1016,COLUMN($F$1),FALSE)) - LEN(SUBSTITUTE(VLOOKUP($D206,素材!$1:$1016,COLUMN($F$1),FALSE), "・", 0)) + 1), 0)</f>
        <v>0</v>
      </c>
      <c r="BB206">
        <f>IF(ISNUMBER(SEARCH(SUBSTITUTE(BB$1,RIGHT(BB$1,2),""),VLOOKUP($D206,素材!$1:$1016,COLUMN($F$1),FALSE))),VLOOKUP($C206,武器!$1:$998,COLUMN($O$1),FALSE)*VLOOKUP($D206,素材!$1:$1016,COLUMN($E$1),FALSE)/(LEN(VLOOKUP($D206,素材!$1:$1016,COLUMN($F$1),FALSE)) - LEN(SUBSTITUTE(VLOOKUP($D206,素材!$1:$1016,COLUMN($F$1),FALSE), "・", 0)) + 1), 0)</f>
        <v>0</v>
      </c>
      <c r="BC206">
        <f>IF(ISNUMBER(SEARCH(SUBSTITUTE(BC$1,RIGHT(BC$1,2),""),VLOOKUP($D206,素材!$1:$1016,COLUMN($F$1),FALSE))),VLOOKUP($C206,武器!$1:$998,COLUMN($O$1),FALSE)*VLOOKUP($D206,素材!$1:$1016,COLUMN($E$1),FALSE)/(LEN(VLOOKUP($D206,素材!$1:$1016,COLUMN($F$1),FALSE)) - LEN(SUBSTITUTE(VLOOKUP($D206,素材!$1:$1016,COLUMN($F$1),FALSE), "・", 0)) + 1), 0)</f>
        <v>0</v>
      </c>
      <c r="BD206">
        <f>IF(ISNUMBER(SEARCH(SUBSTITUTE(BD$1,RIGHT(BD$1,2),""),VLOOKUP($D206,素材!$1:$1016,COLUMN($F$1),FALSE))),VLOOKUP($C206,武器!$1:$998,COLUMN($O$1),FALSE)*VLOOKUP($D206,素材!$1:$1016,COLUMN($E$1),FALSE)/(LEN(VLOOKUP($D206,素材!$1:$1016,COLUMN($F$1),FALSE)) - LEN(SUBSTITUTE(VLOOKUP($D206,素材!$1:$1016,COLUMN($F$1),FALSE), "・", 0)) + 1), 0)</f>
        <v>0</v>
      </c>
      <c r="BE206">
        <f>IF(ISNUMBER(SEARCH(SUBSTITUTE(BE$1,RIGHT(BE$1,2),""),VLOOKUP($D206,素材!$1:$1016,COLUMN($F$1),FALSE))),VLOOKUP($C206,武器!$1:$998,COLUMN($O$1),FALSE)*VLOOKUP($D206,素材!$1:$1016,COLUMN($E$1),FALSE)/(LEN(VLOOKUP($D206,素材!$1:$1016,COLUMN($F$1),FALSE)) - LEN(SUBSTITUTE(VLOOKUP($D206,素材!$1:$1016,COLUMN($F$1),FALSE), "・", 0)) + 1), 0)</f>
        <v>0</v>
      </c>
      <c r="CL206">
        <f>SUM(G206:I206)</f>
        <v>24</v>
      </c>
      <c r="CM206" s="22" t="str">
        <f>IF(E206="武器",IF(J206-1&gt;SUM(G206:I206),"盾",IF(MAX(G206:I206)=G206,"切断",IF(MAX(G206:I206)=H206,"貫通",IF(MAX(G206:I206)=I206,"打撃","射撃")))),E206)&amp;".webp"</f>
        <v>貫通.webp</v>
      </c>
      <c r="CN206">
        <f>IFERROR(VLOOKUP($C206,武器!$1:$998,COLUMN(V$1),FALSE)*VLOOKUP($D206,素材!$1:$1016,COLUMN(N$1),FALSE)+IF(CI206="",0,VLOOKUP($CI206,装強!$1:$1008,COLUMN($CK$1),FALSE)),"")</f>
        <v>3750</v>
      </c>
      <c r="CO206">
        <f>VLOOKUP(D206,素材!$A:$O,COLUMN(素材!O$1),FALSE)</f>
        <v>0</v>
      </c>
      <c r="CP206" t="str">
        <f>VLOOKUP(C206,武器!$A:$W,COLUMN(武器!W$1),FALSE)</f>
        <v>斧槍。全力時に威力が高く斬撃と突撃の両方に対応できる武器。</v>
      </c>
      <c r="CR206" t="str">
        <f t="shared" ref="CR206:CR269" si="29">"e_"&amp;ROW(CR206)</f>
        <v>e_206</v>
      </c>
      <c r="CS206">
        <f t="shared" si="22"/>
        <v>375000</v>
      </c>
    </row>
    <row r="207" spans="1:97" outlineLevel="1" x14ac:dyDescent="0.4">
      <c r="A207" t="str">
        <f t="shared" si="28"/>
        <v>冷気鉄の棍棒</v>
      </c>
      <c r="B207" t="str">
        <f>IFERROR(VLOOKUP($D207,素材!$1:$1016,COLUMN($B$1),FALSE)&amp;"・"&amp;VLOOKUP($C207,武器!$1:$998,COLUMN(B$1),FALSE),"")</f>
        <v>ドゥララン・クラブ</v>
      </c>
      <c r="C207" s="24" t="s">
        <v>230</v>
      </c>
      <c r="D207" s="24" t="s">
        <v>243</v>
      </c>
      <c r="E207" t="str">
        <f>IFERROR(VLOOKUP(C207,武器!$1:$998,COLUMN(C$1),FALSE),"")</f>
        <v>武器</v>
      </c>
      <c r="F207">
        <f>IFERROR(ROUNDDOWN((VLOOKUP($C207,武器!$1:$998,COLUMN(D$1),FALSE)+IFERROR(VLOOKUP($CI207,装強!$1:$999,COLUMN(F$1),FALSE),0))*VLOOKUP($D207,素材!$1:$1016,COLUMN(D$1),FALSE),0),"")</f>
        <v>105</v>
      </c>
      <c r="G207">
        <f>IFERROR(ROUNDDOWN((VLOOKUP($C207,武器!$1:$998,COLUMN(E$1),FALSE)+IFERROR(VLOOKUP($CI207,装強!$1:$999,COLUMN(G$1),FALSE),0))*VLOOKUP($D207,素材!$1:$1016,COLUMN($E$1),FALSE),0),"")</f>
        <v>2</v>
      </c>
      <c r="H207">
        <f>IFERROR(ROUNDDOWN((VLOOKUP($C207,武器!$1:$998,COLUMN(F$1),FALSE)+IFERROR(VLOOKUP($CI207,装強!$1:$999,COLUMN(H$1),FALSE),0))*VLOOKUP($D207,素材!$1:$1016,COLUMN($E$1),FALSE),0),"")</f>
        <v>0</v>
      </c>
      <c r="I207">
        <f>IFERROR(ROUNDDOWN((VLOOKUP($C207,武器!$1:$998,COLUMN(G$1),FALSE)+IFERROR(VLOOKUP($CI207,装強!$1:$999,COLUMN(I$1),FALSE),0))*VLOOKUP($D207,素材!$1:$1016,COLUMN($E$1),FALSE),0),"")</f>
        <v>20</v>
      </c>
      <c r="J207">
        <f>IFERROR(ROUNDDOWN((VLOOKUP($C207,武器!$1:$998,COLUMN(H$1),FALSE)+IFERROR(VLOOKUP($CI207,装強!$1:$999,COLUMN(J$1),FALSE),0))*VLOOKUP($D207,素材!$1:$1016,COLUMN($E$1),FALSE),0),"")</f>
        <v>19</v>
      </c>
      <c r="K207">
        <f>IFERROR(ROUNDDOWN((VLOOKUP($C207,武器!$1:$998,COLUMN(I$1),FALSE)+IFERROR(VLOOKUP($CI207,装強!$1:$999,COLUMN(K$1),FALSE),0))*VLOOKUP($D207,素材!$1:$1016,COLUMN($E$1),FALSE),0),"")</f>
        <v>0</v>
      </c>
      <c r="L207" t="str">
        <f>IFERROR(VLOOKUP($D207,素材!$1:$1016,COLUMN($F$1),FALSE),"")</f>
        <v>氷</v>
      </c>
      <c r="M207">
        <f>IFERROR(VLOOKUP($C207,武器!$1:$998,COLUMN(AA$1),FALSE)*VLOOKUP($D207,素材!$1:$1016,COLUMN($G$1),FALSE),"")</f>
        <v>38.5</v>
      </c>
      <c r="N207">
        <f>IFERROR(VLOOKUP($C207,武器!$1:$998,COLUMN(I$1),FALSE),"")</f>
        <v>0</v>
      </c>
      <c r="O207" s="23">
        <f>IFERROR((VLOOKUP($C207,武器!$1:$998,COLUMN(K$1),FALSE)+VLOOKUP($D207,素材!$1:$1016,COLUMN(H$1),FALSE))*100+IFERROR(VLOOKUP($CI207,装強!$1:$999,COLUMN(O$1),FALSE),0),"")</f>
        <v>5</v>
      </c>
      <c r="P207" s="23">
        <f>IFERROR((VLOOKUP($C207,武器!$1:$998,COLUMN(L$1),FALSE)+VLOOKUP($D207,素材!$1:$1016,COLUMN(I$1),FALSE))*100+IFERROR(VLOOKUP($CI207,装強!$1:$999,COLUMN(P$1),FALSE),0),"")</f>
        <v>150</v>
      </c>
      <c r="Q207">
        <f>IFERROR(ROUNDUP(VLOOKUP($C207,武器!$1:$998,COLUMN(M$1),FALSE)*(VLOOKUP($D207,素材!$1:$1002,COLUMN(D$1),FALSE)/100),1),"")</f>
        <v>0</v>
      </c>
      <c r="R207">
        <f>IFERROR(ROUNDUP(VLOOKUP($C207,武器!$1:$998,COLUMN(N$1),FALSE)*(VLOOKUP($D207,素材!$1:$1002,COLUMN(D$1),FALSE)/100),1),"")</f>
        <v>0</v>
      </c>
      <c r="S207">
        <f>IFERROR(VLOOKUP($C207,武器!$1:$998,COLUMN(P$1),FALSE),"")</f>
        <v>0</v>
      </c>
      <c r="T207">
        <f>IFERROR(VLOOKUP($C207,武器!$1:$998,COLUMN(Q$1),FALSE),"")</f>
        <v>0</v>
      </c>
      <c r="U207">
        <f>IFERROR(VLOOKUP($C207,武器!$1:$998,COLUMN(R$1),FALSE),"")</f>
        <v>0</v>
      </c>
      <c r="V207">
        <f>IFERROR(VLOOKUP($C207,武器!$1:$998,COLUMN(Q$1),FALSE),"")</f>
        <v>0</v>
      </c>
      <c r="W207" t="str">
        <f>IFERROR(VLOOKUP($C207,武器!$1:$998,COLUMN(T$1),FALSE),"")</f>
        <v>A</v>
      </c>
      <c r="Y207" t="str">
        <f>IFERROR(VLOOKUP($C207,武器!$1:$998,COLUMN(U$1),FALSE),"")</f>
        <v>片手適性Ⅰ</v>
      </c>
      <c r="Z207">
        <f>IFERROR(ROUNDUP(VLOOKUP($C207,武器!$1:$998,COLUMN(O$1),FALSE)*VLOOKUP($D207,素材!$1:$1016,COLUMN(E$1),FALSE),1),"")</f>
        <v>0</v>
      </c>
      <c r="AA207">
        <f>IF(ISNUMBER(SEARCH(SUBSTITUTE(AA$1,RIGHT(AA$1,2),""),VLOOKUP($D207,素材!$1:$1016,COLUMN($F$1),FALSE))),VLOOKUP($C207,武器!$1:$998,COLUMN($O$1),FALSE)*VLOOKUP($D207,素材!$1:$1016,COLUMN($E$1),FALSE)/(LEN(VLOOKUP($D207,素材!$1:$1016,COLUMN($F$1),FALSE)) - LEN(SUBSTITUTE(VLOOKUP($D207,素材!$1:$1016,COLUMN($F$1),FALSE), "・", 0)) + 1), 0)</f>
        <v>0</v>
      </c>
      <c r="AB207">
        <f>IF(ISNUMBER(SEARCH(SUBSTITUTE(AB$1,RIGHT(AB$1,2),""),VLOOKUP($D207,素材!$1:$1016,COLUMN($F$1),FALSE))),VLOOKUP($C207,武器!$1:$998,COLUMN($O$1),FALSE)*VLOOKUP($D207,素材!$1:$1016,COLUMN($E$1),FALSE)/(LEN(VLOOKUP($D207,素材!$1:$1016,COLUMN($F$1),FALSE)) - LEN(SUBSTITUTE(VLOOKUP($D207,素材!$1:$1016,COLUMN($F$1),FALSE), "・", 0)) + 1), 0)</f>
        <v>0</v>
      </c>
      <c r="AC207">
        <f>IF(ISNUMBER(SEARCH(SUBSTITUTE(AC$1,RIGHT(AC$1,2),""),VLOOKUP($D207,素材!$1:$1016,COLUMN($F$1),FALSE))),VLOOKUP($C207,武器!$1:$998,COLUMN($O$1),FALSE)*VLOOKUP($D207,素材!$1:$1016,COLUMN($E$1),FALSE)/(LEN(VLOOKUP($D207,素材!$1:$1016,COLUMN($F$1),FALSE)) - LEN(SUBSTITUTE(VLOOKUP($D207,素材!$1:$1016,COLUMN($F$1),FALSE), "・", 0)) + 1), 0)</f>
        <v>0</v>
      </c>
      <c r="AD207">
        <f>IF(ISNUMBER(SEARCH(SUBSTITUTE(AD$1,RIGHT(AD$1,2),""),VLOOKUP($D207,素材!$1:$1016,COLUMN($F$1),FALSE))),VLOOKUP($C207,武器!$1:$998,COLUMN($O$1),FALSE)*VLOOKUP($D207,素材!$1:$1016,COLUMN($E$1),FALSE)/(LEN(VLOOKUP($D207,素材!$1:$1016,COLUMN($F$1),FALSE)) - LEN(SUBSTITUTE(VLOOKUP($D207,素材!$1:$1016,COLUMN($F$1),FALSE), "・", 0)) + 1), 0)</f>
        <v>0</v>
      </c>
      <c r="AE207">
        <f>IF(ISNUMBER(SEARCH(SUBSTITUTE(AE$1,RIGHT(AE$1,2),""),VLOOKUP($D207,素材!$1:$1016,COLUMN($F$1),FALSE))),VLOOKUP($C207,武器!$1:$998,COLUMN($O$1),FALSE)*VLOOKUP($D207,素材!$1:$1016,COLUMN($E$1),FALSE)/(LEN(VLOOKUP($D207,素材!$1:$1016,COLUMN($F$1),FALSE)) - LEN(SUBSTITUTE(VLOOKUP($D207,素材!$1:$1016,COLUMN($F$1),FALSE), "・", 0)) + 1), 0)</f>
        <v>0</v>
      </c>
      <c r="AF207">
        <f>IF(ISNUMBER(SEARCH(SUBSTITUTE(AF$1,RIGHT(AF$1,2),""),VLOOKUP($D207,素材!$1:$1016,COLUMN($F$1),FALSE))),VLOOKUP($C207,武器!$1:$998,COLUMN($O$1),FALSE)*VLOOKUP($D207,素材!$1:$1016,COLUMN($E$1),FALSE)/(LEN(VLOOKUP($D207,素材!$1:$1016,COLUMN($F$1),FALSE)) - LEN(SUBSTITUTE(VLOOKUP($D207,素材!$1:$1016,COLUMN($F$1),FALSE), "・", 0)) + 1), 0)</f>
        <v>0</v>
      </c>
      <c r="AG207">
        <f>IF(ISNUMBER(SEARCH(SUBSTITUTE(AG$1,RIGHT(AG$1,2),""),VLOOKUP($D207,素材!$1:$1016,COLUMN($F$1),FALSE))),VLOOKUP($C207,武器!$1:$998,COLUMN($O$1),FALSE)*VLOOKUP($D207,素材!$1:$1016,COLUMN($E$1),FALSE)/(LEN(VLOOKUP($D207,素材!$1:$1016,COLUMN($F$1),FALSE)) - LEN(SUBSTITUTE(VLOOKUP($D207,素材!$1:$1016,COLUMN($F$1),FALSE), "・", 0)) + 1), 0)</f>
        <v>0</v>
      </c>
      <c r="AH207">
        <f>IF(ISNUMBER(SEARCH(SUBSTITUTE(AH$1,RIGHT(AH$1,2),""),VLOOKUP($D207,素材!$1:$1016,COLUMN($F$1),FALSE))),VLOOKUP($C207,武器!$1:$998,COLUMN($O$1),FALSE)*VLOOKUP($D207,素材!$1:$1016,COLUMN($E$1),FALSE)/(LEN(VLOOKUP($D207,素材!$1:$1016,COLUMN($F$1),FALSE)) - LEN(SUBSTITUTE(VLOOKUP($D207,素材!$1:$1016,COLUMN($F$1),FALSE), "・", 0)) + 1), 0)</f>
        <v>0</v>
      </c>
      <c r="AI207">
        <f>IF(ISNUMBER(SEARCH(SUBSTITUTE(AI$1,RIGHT(AI$1,2),""),VLOOKUP($D207,素材!$1:$1016,COLUMN($F$1),FALSE))),VLOOKUP($C207,武器!$1:$998,COLUMN($O$1),FALSE)*VLOOKUP($D207,素材!$1:$1016,COLUMN($E$1),FALSE)/(LEN(VLOOKUP($D207,素材!$1:$1016,COLUMN($F$1),FALSE)) - LEN(SUBSTITUTE(VLOOKUP($D207,素材!$1:$1016,COLUMN($F$1),FALSE), "・", 0)) + 1), 0)</f>
        <v>0</v>
      </c>
      <c r="AJ207">
        <f>IF(ISNUMBER(SEARCH(SUBSTITUTE(AJ$1,RIGHT(AJ$1,2),""),VLOOKUP($D207,素材!$1:$1016,COLUMN($F$1),FALSE))),VLOOKUP($C207,武器!$1:$998,COLUMN($O$1),FALSE)*VLOOKUP($D207,素材!$1:$1016,COLUMN($E$1),FALSE)/(LEN(VLOOKUP($D207,素材!$1:$1016,COLUMN($F$1),FALSE)) - LEN(SUBSTITUTE(VLOOKUP($D207,素材!$1:$1016,COLUMN($F$1),FALSE), "・", 0)) + 1), 0)</f>
        <v>0</v>
      </c>
      <c r="AK207">
        <f>IF(ISNUMBER(SEARCH(SUBSTITUTE(AK$1,RIGHT(AK$1,2),""),VLOOKUP($D207,素材!$1:$1016,COLUMN($F$1),FALSE))),VLOOKUP($C207,武器!$1:$998,COLUMN($O$1),FALSE)*VLOOKUP($D207,素材!$1:$1016,COLUMN($E$1),FALSE)/(LEN(VLOOKUP($D207,素材!$1:$1016,COLUMN($F$1),FALSE)) - LEN(SUBSTITUTE(VLOOKUP($D207,素材!$1:$1016,COLUMN($F$1),FALSE), "・", 0)) + 1), 0)</f>
        <v>0</v>
      </c>
      <c r="AL207">
        <f>IF(ISNUMBER(SEARCH(SUBSTITUTE(AL$1,RIGHT(AL$1,2),""),VLOOKUP($D207,素材!$1:$1016,COLUMN($F$1),FALSE))),VLOOKUP($C207,武器!$1:$998,COLUMN($O$1),FALSE)*VLOOKUP($D207,素材!$1:$1016,COLUMN($E$1),FALSE)/(LEN(VLOOKUP($D207,素材!$1:$1016,COLUMN($F$1),FALSE)) - LEN(SUBSTITUTE(VLOOKUP($D207,素材!$1:$1016,COLUMN($F$1),FALSE), "・", 0)) + 1), 0)</f>
        <v>0</v>
      </c>
      <c r="AM207">
        <f>IF(ISNUMBER(SEARCH(SUBSTITUTE(AM$1,RIGHT(AM$1,2),""),VLOOKUP($D207,素材!$1:$1016,COLUMN($F$1),FALSE))),VLOOKUP($C207,武器!$1:$998,COLUMN($O$1),FALSE)*VLOOKUP($D207,素材!$1:$1016,COLUMN($E$1),FALSE)/(LEN(VLOOKUP($D207,素材!$1:$1016,COLUMN($F$1),FALSE)) - LEN(SUBSTITUTE(VLOOKUP($D207,素材!$1:$1016,COLUMN($F$1),FALSE), "・", 0)) + 1), 0)</f>
        <v>0</v>
      </c>
      <c r="AN207">
        <f>IF(ISNUMBER(SEARCH(SUBSTITUTE(AN$1,RIGHT(AN$1,2),""),VLOOKUP($D207,素材!$1:$1016,COLUMN($F$1),FALSE))),VLOOKUP($C207,武器!$1:$998,COLUMN($O$1),FALSE)*VLOOKUP($D207,素材!$1:$1016,COLUMN($E$1),FALSE)/(LEN(VLOOKUP($D207,素材!$1:$1016,COLUMN($F$1),FALSE)) - LEN(SUBSTITUTE(VLOOKUP($D207,素材!$1:$1016,COLUMN($F$1),FALSE), "・", 0)) + 1), 0)</f>
        <v>0</v>
      </c>
      <c r="AO207">
        <f>IF(ISNUMBER(SEARCH(SUBSTITUTE(AO$1,RIGHT(AO$1,2),""),VLOOKUP($D207,素材!$1:$1016,COLUMN($F$1),FALSE))),VLOOKUP($C207,武器!$1:$998,COLUMN($O$1),FALSE)*VLOOKUP($D207,素材!$1:$1016,COLUMN($E$1),FALSE)/(LEN(VLOOKUP($D207,素材!$1:$1016,COLUMN($F$1),FALSE)) - LEN(SUBSTITUTE(VLOOKUP($D207,素材!$1:$1016,COLUMN($F$1),FALSE), "・", 0)) + 1), 0)</f>
        <v>0</v>
      </c>
      <c r="AP207">
        <f>IF(ISNUMBER(SEARCH(SUBSTITUTE(AP$1,RIGHT(AP$1,2),""),VLOOKUP($D207,素材!$1:$1016,COLUMN($F$1),FALSE))),VLOOKUP($C207,武器!$1:$998,COLUMN($O$1),FALSE)*VLOOKUP($D207,素材!$1:$1016,COLUMN($E$1),FALSE)/(LEN(VLOOKUP($D207,素材!$1:$1016,COLUMN($F$1),FALSE)) - LEN(SUBSTITUTE(VLOOKUP($D207,素材!$1:$1016,COLUMN($F$1),FALSE), "・", 0)) + 1), 0)</f>
        <v>0</v>
      </c>
      <c r="AQ207">
        <f>IF(ISNUMBER(SEARCH(SUBSTITUTE(AQ$1,RIGHT(AQ$1,2),""),VLOOKUP($D207,素材!$1:$1016,COLUMN($F$1),FALSE))),VLOOKUP($C207,武器!$1:$998,COLUMN($O$1),FALSE)*VLOOKUP($D207,素材!$1:$1016,COLUMN($E$1),FALSE)/(LEN(VLOOKUP($D207,素材!$1:$1016,COLUMN($F$1),FALSE)) - LEN(SUBSTITUTE(VLOOKUP($D207,素材!$1:$1016,COLUMN($F$1),FALSE), "・", 0)) + 1), 0)</f>
        <v>0</v>
      </c>
      <c r="AR207">
        <f>IF(ISNUMBER(SEARCH(SUBSTITUTE(AR$1,RIGHT(AR$1,2),""),VLOOKUP($D207,素材!$1:$1016,COLUMN($F$1),FALSE))),VLOOKUP($C207,武器!$1:$998,COLUMN($O$1),FALSE)*VLOOKUP($D207,素材!$1:$1016,COLUMN($E$1),FALSE)/(LEN(VLOOKUP($D207,素材!$1:$1016,COLUMN($F$1),FALSE)) - LEN(SUBSTITUTE(VLOOKUP($D207,素材!$1:$1016,COLUMN($F$1),FALSE), "・", 0)) + 1), 0)</f>
        <v>0</v>
      </c>
      <c r="AS207">
        <f>IF(ISNUMBER(SEARCH(SUBSTITUTE(AS$1,RIGHT(AS$1,2),""),VLOOKUP($D207,素材!$1:$1016,COLUMN($F$1),FALSE))),VLOOKUP($C207,武器!$1:$998,COLUMN($O$1),FALSE)*VLOOKUP($D207,素材!$1:$1016,COLUMN($E$1),FALSE)/(LEN(VLOOKUP($D207,素材!$1:$1016,COLUMN($F$1),FALSE)) - LEN(SUBSTITUTE(VLOOKUP($D207,素材!$1:$1016,COLUMN($F$1),FALSE), "・", 0)) + 1), 0)</f>
        <v>0</v>
      </c>
      <c r="AT207">
        <f>IF(ISNUMBER(SEARCH(SUBSTITUTE(AT$1,RIGHT(AT$1,2),""),VLOOKUP($D207,素材!$1:$1016,COLUMN($F$1),FALSE))),VLOOKUP($C207,武器!$1:$998,COLUMN($O$1),FALSE)*VLOOKUP($D207,素材!$1:$1016,COLUMN($E$1),FALSE)/(LEN(VLOOKUP($D207,素材!$1:$1016,COLUMN($F$1),FALSE)) - LEN(SUBSTITUTE(VLOOKUP($D207,素材!$1:$1016,COLUMN($F$1),FALSE), "・", 0)) + 1), 0)</f>
        <v>0</v>
      </c>
      <c r="AU207">
        <f>IF(ISNUMBER(SEARCH(SUBSTITUTE(AU$1,RIGHT(AU$1,2),""),VLOOKUP($D207,素材!$1:$1016,COLUMN($F$1),FALSE))),VLOOKUP($C207,武器!$1:$998,COLUMN($O$1),FALSE)*VLOOKUP($D207,素材!$1:$1016,COLUMN($E$1),FALSE)/(LEN(VLOOKUP($D207,素材!$1:$1016,COLUMN($F$1),FALSE)) - LEN(SUBSTITUTE(VLOOKUP($D207,素材!$1:$1016,COLUMN($F$1),FALSE), "・", 0)) + 1), 0)</f>
        <v>0</v>
      </c>
      <c r="AV207">
        <f>IF(ISNUMBER(SEARCH(SUBSTITUTE(AV$1,RIGHT(AV$1,2),""),VLOOKUP($D207,素材!$1:$1016,COLUMN($F$1),FALSE))),VLOOKUP($C207,武器!$1:$998,COLUMN($O$1),FALSE)*VLOOKUP($D207,素材!$1:$1016,COLUMN($E$1),FALSE)/(LEN(VLOOKUP($D207,素材!$1:$1016,COLUMN($F$1),FALSE)) - LEN(SUBSTITUTE(VLOOKUP($D207,素材!$1:$1016,COLUMN($F$1),FALSE), "・", 0)) + 1), 0)</f>
        <v>0</v>
      </c>
      <c r="AW207">
        <f>IF(ISNUMBER(SEARCH(SUBSTITUTE(AW$1,RIGHT(AW$1,2),""),VLOOKUP($D207,素材!$1:$1016,COLUMN($F$1),FALSE))),VLOOKUP($C207,武器!$1:$998,COLUMN($O$1),FALSE)*VLOOKUP($D207,素材!$1:$1016,COLUMN($E$1),FALSE)/(LEN(VLOOKUP($D207,素材!$1:$1016,COLUMN($F$1),FALSE)) - LEN(SUBSTITUTE(VLOOKUP($D207,素材!$1:$1016,COLUMN($F$1),FALSE), "・", 0)) + 1), 0)</f>
        <v>0</v>
      </c>
      <c r="AX207">
        <f>IF(ISNUMBER(SEARCH(SUBSTITUTE(AX$1,RIGHT(AX$1,2),""),VLOOKUP($D207,素材!$1:$1016,COLUMN($F$1),FALSE))),VLOOKUP($C207,武器!$1:$998,COLUMN($O$1),FALSE)*VLOOKUP($D207,素材!$1:$1016,COLUMN($E$1),FALSE)/(LEN(VLOOKUP($D207,素材!$1:$1016,COLUMN($F$1),FALSE)) - LEN(SUBSTITUTE(VLOOKUP($D207,素材!$1:$1016,COLUMN($F$1),FALSE), "・", 0)) + 1), 0)</f>
        <v>0</v>
      </c>
      <c r="AY207">
        <f>IF(ISNUMBER(SEARCH(SUBSTITUTE(AY$1,RIGHT(AY$1,2),""),VLOOKUP($D207,素材!$1:$1016,COLUMN($F$1),FALSE))),VLOOKUP($C207,武器!$1:$998,COLUMN($O$1),FALSE)*VLOOKUP($D207,素材!$1:$1016,COLUMN($E$1),FALSE)/(LEN(VLOOKUP($D207,素材!$1:$1016,COLUMN($F$1),FALSE)) - LEN(SUBSTITUTE(VLOOKUP($D207,素材!$1:$1016,COLUMN($F$1),FALSE), "・", 0)) + 1), 0)</f>
        <v>0</v>
      </c>
      <c r="AZ207">
        <f>IF(ISNUMBER(SEARCH(SUBSTITUTE(AZ$1,RIGHT(AZ$1,2),""),VLOOKUP($D207,素材!$1:$1016,COLUMN($F$1),FALSE))),VLOOKUP($C207,武器!$1:$998,COLUMN($O$1),FALSE)*VLOOKUP($D207,素材!$1:$1016,COLUMN($E$1),FALSE)/(LEN(VLOOKUP($D207,素材!$1:$1016,COLUMN($F$1),FALSE)) - LEN(SUBSTITUTE(VLOOKUP($D207,素材!$1:$1016,COLUMN($F$1),FALSE), "・", 0)) + 1), 0)</f>
        <v>0</v>
      </c>
      <c r="BA207">
        <f>IF(ISNUMBER(SEARCH(SUBSTITUTE(BA$1,RIGHT(BA$1,2),""),VLOOKUP($D207,素材!$1:$1016,COLUMN($F$1),FALSE))),VLOOKUP($C207,武器!$1:$998,COLUMN($O$1),FALSE)*VLOOKUP($D207,素材!$1:$1016,COLUMN($E$1),FALSE)/(LEN(VLOOKUP($D207,素材!$1:$1016,COLUMN($F$1),FALSE)) - LEN(SUBSTITUTE(VLOOKUP($D207,素材!$1:$1016,COLUMN($F$1),FALSE), "・", 0)) + 1), 0)</f>
        <v>0</v>
      </c>
      <c r="BB207">
        <f>IF(ISNUMBER(SEARCH(SUBSTITUTE(BB$1,RIGHT(BB$1,2),""),VLOOKUP($D207,素材!$1:$1016,COLUMN($F$1),FALSE))),VLOOKUP($C207,武器!$1:$998,COLUMN($O$1),FALSE)*VLOOKUP($D207,素材!$1:$1016,COLUMN($E$1),FALSE)/(LEN(VLOOKUP($D207,素材!$1:$1016,COLUMN($F$1),FALSE)) - LEN(SUBSTITUTE(VLOOKUP($D207,素材!$1:$1016,COLUMN($F$1),FALSE), "・", 0)) + 1), 0)</f>
        <v>0</v>
      </c>
      <c r="BC207">
        <f>IF(ISNUMBER(SEARCH(SUBSTITUTE(BC$1,RIGHT(BC$1,2),""),VLOOKUP($D207,素材!$1:$1016,COLUMN($F$1),FALSE))),VLOOKUP($C207,武器!$1:$998,COLUMN($O$1),FALSE)*VLOOKUP($D207,素材!$1:$1016,COLUMN($E$1),FALSE)/(LEN(VLOOKUP($D207,素材!$1:$1016,COLUMN($F$1),FALSE)) - LEN(SUBSTITUTE(VLOOKUP($D207,素材!$1:$1016,COLUMN($F$1),FALSE), "・", 0)) + 1), 0)</f>
        <v>0</v>
      </c>
      <c r="BD207">
        <f>IF(ISNUMBER(SEARCH(SUBSTITUTE(BD$1,RIGHT(BD$1,2),""),VLOOKUP($D207,素材!$1:$1016,COLUMN($F$1),FALSE))),VLOOKUP($C207,武器!$1:$998,COLUMN($O$1),FALSE)*VLOOKUP($D207,素材!$1:$1016,COLUMN($E$1),FALSE)/(LEN(VLOOKUP($D207,素材!$1:$1016,COLUMN($F$1),FALSE)) - LEN(SUBSTITUTE(VLOOKUP($D207,素材!$1:$1016,COLUMN($F$1),FALSE), "・", 0)) + 1), 0)</f>
        <v>0</v>
      </c>
      <c r="BE207">
        <f>IF(ISNUMBER(SEARCH(SUBSTITUTE(BE$1,RIGHT(BE$1,2),""),VLOOKUP($D207,素材!$1:$1016,COLUMN($F$1),FALSE))),VLOOKUP($C207,武器!$1:$998,COLUMN($O$1),FALSE)*VLOOKUP($D207,素材!$1:$1016,COLUMN($E$1),FALSE)/(LEN(VLOOKUP($D207,素材!$1:$1016,COLUMN($F$1),FALSE)) - LEN(SUBSTITUTE(VLOOKUP($D207,素材!$1:$1016,COLUMN($F$1),FALSE), "・", 0)) + 1), 0)</f>
        <v>0</v>
      </c>
      <c r="CL207">
        <f>SUM(G207:I207)</f>
        <v>22</v>
      </c>
      <c r="CM207" s="22" t="str">
        <f>IF(E207="武器",IF(J207-1&gt;SUM(G207:I207),"盾",IF(MAX(G207:I207)=G207,"切断",IF(MAX(G207:I207)=H207,"貫通",IF(MAX(G207:I207)=I207,"打撃","射撃")))),E207)&amp;".webp"</f>
        <v>打撃.webp</v>
      </c>
      <c r="CN207">
        <f>IFERROR(VLOOKUP($C207,武器!$1:$998,COLUMN(V$1),FALSE)*VLOOKUP($D207,素材!$1:$1016,COLUMN(N$1),FALSE)+IF(CI207="",0,VLOOKUP($CI207,装強!$1:$1008,COLUMN($CK$1),FALSE)),"")</f>
        <v>2250</v>
      </c>
      <c r="CO207">
        <f>VLOOKUP(D207,素材!$A:$O,COLUMN(素材!O$1),FALSE)</f>
        <v>0</v>
      </c>
      <c r="CP207" t="str">
        <f>VLOOKUP(C207,武器!$A:$W,COLUMN(武器!W$1),FALSE)</f>
        <v>棍棒。打撃に特化したシンプルな武器。威力は低いがダメージ振れが少ない。</v>
      </c>
      <c r="CR207" t="str">
        <f t="shared" si="29"/>
        <v>e_207</v>
      </c>
      <c r="CS207">
        <f t="shared" ref="CS207:CS270" si="30">CN207*100</f>
        <v>225000</v>
      </c>
    </row>
    <row r="208" spans="1:97" outlineLevel="1" x14ac:dyDescent="0.4">
      <c r="A208" t="str">
        <f t="shared" si="28"/>
        <v>冷気鉄の戦棍</v>
      </c>
      <c r="B208" t="str">
        <f>IFERROR(VLOOKUP($D208,素材!$1:$1016,COLUMN($B$1),FALSE)&amp;"・"&amp;VLOOKUP($C208,武器!$1:$998,COLUMN(B$1),FALSE),"")</f>
        <v>ドゥララン・メイス</v>
      </c>
      <c r="C208" s="24" t="s">
        <v>229</v>
      </c>
      <c r="D208" s="24" t="s">
        <v>243</v>
      </c>
      <c r="E208" t="str">
        <f>IFERROR(VLOOKUP(C208,武器!$1:$998,COLUMN(C$1),FALSE),"")</f>
        <v>武器</v>
      </c>
      <c r="F208">
        <f>IFERROR(ROUNDDOWN((VLOOKUP($C208,武器!$1:$998,COLUMN(D$1),FALSE)+IFERROR(VLOOKUP($CI208,装強!$1:$999,COLUMN(F$1),FALSE),0))*VLOOKUP($D208,素材!$1:$1016,COLUMN(D$1),FALSE),0),"")</f>
        <v>110</v>
      </c>
      <c r="G208">
        <f>IFERROR(ROUNDDOWN((VLOOKUP($C208,武器!$1:$998,COLUMN(E$1),FALSE)+IFERROR(VLOOKUP($CI208,装強!$1:$999,COLUMN(G$1),FALSE),0))*VLOOKUP($D208,素材!$1:$1016,COLUMN($E$1),FALSE),0),"")</f>
        <v>0</v>
      </c>
      <c r="H208">
        <f>IFERROR(ROUNDDOWN((VLOOKUP($C208,武器!$1:$998,COLUMN(F$1),FALSE)+IFERROR(VLOOKUP($CI208,装強!$1:$999,COLUMN(H$1),FALSE),0))*VLOOKUP($D208,素材!$1:$1016,COLUMN($E$1),FALSE),0),"")</f>
        <v>0</v>
      </c>
      <c r="I208">
        <f>IFERROR(ROUNDDOWN((VLOOKUP($C208,武器!$1:$998,COLUMN(G$1),FALSE)+IFERROR(VLOOKUP($CI208,装強!$1:$999,COLUMN(I$1),FALSE),0))*VLOOKUP($D208,素材!$1:$1016,COLUMN($E$1),FALSE),0),"")</f>
        <v>23</v>
      </c>
      <c r="J208">
        <f>IFERROR(ROUNDDOWN((VLOOKUP($C208,武器!$1:$998,COLUMN(H$1),FALSE)+IFERROR(VLOOKUP($CI208,装強!$1:$999,COLUMN(J$1),FALSE),0))*VLOOKUP($D208,素材!$1:$1016,COLUMN($E$1),FALSE),0),"")</f>
        <v>19</v>
      </c>
      <c r="K208">
        <f>IFERROR(ROUNDDOWN((VLOOKUP($C208,武器!$1:$998,COLUMN(I$1),FALSE)+IFERROR(VLOOKUP($CI208,装強!$1:$999,COLUMN(K$1),FALSE),0))*VLOOKUP($D208,素材!$1:$1016,COLUMN($E$1),FALSE),0),"")</f>
        <v>0</v>
      </c>
      <c r="L208" t="str">
        <f>IFERROR(VLOOKUP($D208,素材!$1:$1016,COLUMN($F$1),FALSE),"")</f>
        <v>氷</v>
      </c>
      <c r="M208">
        <f>IFERROR(VLOOKUP($C208,武器!$1:$998,COLUMN(AA$1),FALSE)*VLOOKUP($D208,素材!$1:$1016,COLUMN($G$1),FALSE),"")</f>
        <v>40.25</v>
      </c>
      <c r="N208">
        <f>IFERROR(VLOOKUP($C208,武器!$1:$998,COLUMN(I$1),FALSE),"")</f>
        <v>0</v>
      </c>
      <c r="O208" s="23">
        <f>IFERROR((VLOOKUP($C208,武器!$1:$998,COLUMN(K$1),FALSE)+VLOOKUP($D208,素材!$1:$1016,COLUMN(H$1),FALSE))*100+IFERROR(VLOOKUP($CI208,装強!$1:$999,COLUMN(O$1),FALSE),0),"")</f>
        <v>15</v>
      </c>
      <c r="P208" s="23">
        <f>IFERROR((VLOOKUP($C208,武器!$1:$998,COLUMN(L$1),FALSE)+VLOOKUP($D208,素材!$1:$1016,COLUMN(I$1),FALSE))*100+IFERROR(VLOOKUP($CI208,装強!$1:$999,COLUMN(P$1),FALSE),0),"")</f>
        <v>125</v>
      </c>
      <c r="Q208">
        <f>IFERROR(ROUNDUP(VLOOKUP($C208,武器!$1:$998,COLUMN(M$1),FALSE)*(VLOOKUP($D208,素材!$1:$1002,COLUMN(D$1),FALSE)/100),1),"")</f>
        <v>0</v>
      </c>
      <c r="R208">
        <f>IFERROR(ROUNDUP(VLOOKUP($C208,武器!$1:$998,COLUMN(N$1),FALSE)*(VLOOKUP($D208,素材!$1:$1002,COLUMN(D$1),FALSE)/100),1),"")</f>
        <v>-2</v>
      </c>
      <c r="S208">
        <f>IFERROR(VLOOKUP($C208,武器!$1:$998,COLUMN(P$1),FALSE),"")</f>
        <v>0</v>
      </c>
      <c r="T208">
        <f>IFERROR(VLOOKUP($C208,武器!$1:$998,COLUMN(Q$1),FALSE),"")</f>
        <v>0</v>
      </c>
      <c r="U208">
        <f>IFERROR(VLOOKUP($C208,武器!$1:$998,COLUMN(R$1),FALSE),"")</f>
        <v>0</v>
      </c>
      <c r="V208">
        <f>IFERROR(VLOOKUP($C208,武器!$1:$998,COLUMN(Q$1),FALSE),"")</f>
        <v>0</v>
      </c>
      <c r="W208" t="str">
        <f>IFERROR(VLOOKUP($C208,武器!$1:$998,COLUMN(T$1),FALSE),"")</f>
        <v>A</v>
      </c>
      <c r="Y208">
        <f>IFERROR(VLOOKUP($C208,武器!$1:$998,COLUMN(U$1),FALSE),"")</f>
        <v>0</v>
      </c>
      <c r="Z208">
        <f>IFERROR(ROUNDUP(VLOOKUP($C208,武器!$1:$998,COLUMN(O$1),FALSE)*VLOOKUP($D208,素材!$1:$1016,COLUMN(E$1),FALSE),1),"")</f>
        <v>0</v>
      </c>
      <c r="AA208">
        <f>IF(ISNUMBER(SEARCH(SUBSTITUTE(AA$1,RIGHT(AA$1,2),""),VLOOKUP($D208,素材!$1:$1016,COLUMN($F$1),FALSE))),VLOOKUP($C208,武器!$1:$998,COLUMN($O$1),FALSE)*VLOOKUP($D208,素材!$1:$1016,COLUMN($E$1),FALSE)/(LEN(VLOOKUP($D208,素材!$1:$1016,COLUMN($F$1),FALSE)) - LEN(SUBSTITUTE(VLOOKUP($D208,素材!$1:$1016,COLUMN($F$1),FALSE), "・", 0)) + 1), 0)</f>
        <v>0</v>
      </c>
      <c r="AB208">
        <f>IF(ISNUMBER(SEARCH(SUBSTITUTE(AB$1,RIGHT(AB$1,2),""),VLOOKUP($D208,素材!$1:$1016,COLUMN($F$1),FALSE))),VLOOKUP($C208,武器!$1:$998,COLUMN($O$1),FALSE)*VLOOKUP($D208,素材!$1:$1016,COLUMN($E$1),FALSE)/(LEN(VLOOKUP($D208,素材!$1:$1016,COLUMN($F$1),FALSE)) - LEN(SUBSTITUTE(VLOOKUP($D208,素材!$1:$1016,COLUMN($F$1),FALSE), "・", 0)) + 1), 0)</f>
        <v>0</v>
      </c>
      <c r="AC208">
        <f>IF(ISNUMBER(SEARCH(SUBSTITUTE(AC$1,RIGHT(AC$1,2),""),VLOOKUP($D208,素材!$1:$1016,COLUMN($F$1),FALSE))),VLOOKUP($C208,武器!$1:$998,COLUMN($O$1),FALSE)*VLOOKUP($D208,素材!$1:$1016,COLUMN($E$1),FALSE)/(LEN(VLOOKUP($D208,素材!$1:$1016,COLUMN($F$1),FALSE)) - LEN(SUBSTITUTE(VLOOKUP($D208,素材!$1:$1016,COLUMN($F$1),FALSE), "・", 0)) + 1), 0)</f>
        <v>0</v>
      </c>
      <c r="AD208">
        <f>IF(ISNUMBER(SEARCH(SUBSTITUTE(AD$1,RIGHT(AD$1,2),""),VLOOKUP($D208,素材!$1:$1016,COLUMN($F$1),FALSE))),VLOOKUP($C208,武器!$1:$998,COLUMN($O$1),FALSE)*VLOOKUP($D208,素材!$1:$1016,COLUMN($E$1),FALSE)/(LEN(VLOOKUP($D208,素材!$1:$1016,COLUMN($F$1),FALSE)) - LEN(SUBSTITUTE(VLOOKUP($D208,素材!$1:$1016,COLUMN($F$1),FALSE), "・", 0)) + 1), 0)</f>
        <v>0</v>
      </c>
      <c r="AE208">
        <f>IF(ISNUMBER(SEARCH(SUBSTITUTE(AE$1,RIGHT(AE$1,2),""),VLOOKUP($D208,素材!$1:$1016,COLUMN($F$1),FALSE))),VLOOKUP($C208,武器!$1:$998,COLUMN($O$1),FALSE)*VLOOKUP($D208,素材!$1:$1016,COLUMN($E$1),FALSE)/(LEN(VLOOKUP($D208,素材!$1:$1016,COLUMN($F$1),FALSE)) - LEN(SUBSTITUTE(VLOOKUP($D208,素材!$1:$1016,COLUMN($F$1),FALSE), "・", 0)) + 1), 0)</f>
        <v>0</v>
      </c>
      <c r="AF208">
        <f>IF(ISNUMBER(SEARCH(SUBSTITUTE(AF$1,RIGHT(AF$1,2),""),VLOOKUP($D208,素材!$1:$1016,COLUMN($F$1),FALSE))),VLOOKUP($C208,武器!$1:$998,COLUMN($O$1),FALSE)*VLOOKUP($D208,素材!$1:$1016,COLUMN($E$1),FALSE)/(LEN(VLOOKUP($D208,素材!$1:$1016,COLUMN($F$1),FALSE)) - LEN(SUBSTITUTE(VLOOKUP($D208,素材!$1:$1016,COLUMN($F$1),FALSE), "・", 0)) + 1), 0)</f>
        <v>0</v>
      </c>
      <c r="AG208">
        <f>IF(ISNUMBER(SEARCH(SUBSTITUTE(AG$1,RIGHT(AG$1,2),""),VLOOKUP($D208,素材!$1:$1016,COLUMN($F$1),FALSE))),VLOOKUP($C208,武器!$1:$998,COLUMN($O$1),FALSE)*VLOOKUP($D208,素材!$1:$1016,COLUMN($E$1),FALSE)/(LEN(VLOOKUP($D208,素材!$1:$1016,COLUMN($F$1),FALSE)) - LEN(SUBSTITUTE(VLOOKUP($D208,素材!$1:$1016,COLUMN($F$1),FALSE), "・", 0)) + 1), 0)</f>
        <v>0</v>
      </c>
      <c r="AH208">
        <f>IF(ISNUMBER(SEARCH(SUBSTITUTE(AH$1,RIGHT(AH$1,2),""),VLOOKUP($D208,素材!$1:$1016,COLUMN($F$1),FALSE))),VLOOKUP($C208,武器!$1:$998,COLUMN($O$1),FALSE)*VLOOKUP($D208,素材!$1:$1016,COLUMN($E$1),FALSE)/(LEN(VLOOKUP($D208,素材!$1:$1016,COLUMN($F$1),FALSE)) - LEN(SUBSTITUTE(VLOOKUP($D208,素材!$1:$1016,COLUMN($F$1),FALSE), "・", 0)) + 1), 0)</f>
        <v>0</v>
      </c>
      <c r="AI208">
        <f>IF(ISNUMBER(SEARCH(SUBSTITUTE(AI$1,RIGHT(AI$1,2),""),VLOOKUP($D208,素材!$1:$1016,COLUMN($F$1),FALSE))),VLOOKUP($C208,武器!$1:$998,COLUMN($O$1),FALSE)*VLOOKUP($D208,素材!$1:$1016,COLUMN($E$1),FALSE)/(LEN(VLOOKUP($D208,素材!$1:$1016,COLUMN($F$1),FALSE)) - LEN(SUBSTITUTE(VLOOKUP($D208,素材!$1:$1016,COLUMN($F$1),FALSE), "・", 0)) + 1), 0)</f>
        <v>0</v>
      </c>
      <c r="AJ208">
        <f>IF(ISNUMBER(SEARCH(SUBSTITUTE(AJ$1,RIGHT(AJ$1,2),""),VLOOKUP($D208,素材!$1:$1016,COLUMN($F$1),FALSE))),VLOOKUP($C208,武器!$1:$998,COLUMN($O$1),FALSE)*VLOOKUP($D208,素材!$1:$1016,COLUMN($E$1),FALSE)/(LEN(VLOOKUP($D208,素材!$1:$1016,COLUMN($F$1),FALSE)) - LEN(SUBSTITUTE(VLOOKUP($D208,素材!$1:$1016,COLUMN($F$1),FALSE), "・", 0)) + 1), 0)</f>
        <v>0</v>
      </c>
      <c r="AK208">
        <f>IF(ISNUMBER(SEARCH(SUBSTITUTE(AK$1,RIGHT(AK$1,2),""),VLOOKUP($D208,素材!$1:$1016,COLUMN($F$1),FALSE))),VLOOKUP($C208,武器!$1:$998,COLUMN($O$1),FALSE)*VLOOKUP($D208,素材!$1:$1016,COLUMN($E$1),FALSE)/(LEN(VLOOKUP($D208,素材!$1:$1016,COLUMN($F$1),FALSE)) - LEN(SUBSTITUTE(VLOOKUP($D208,素材!$1:$1016,COLUMN($F$1),FALSE), "・", 0)) + 1), 0)</f>
        <v>0</v>
      </c>
      <c r="AL208">
        <f>IF(ISNUMBER(SEARCH(SUBSTITUTE(AL$1,RIGHT(AL$1,2),""),VLOOKUP($D208,素材!$1:$1016,COLUMN($F$1),FALSE))),VLOOKUP($C208,武器!$1:$998,COLUMN($O$1),FALSE)*VLOOKUP($D208,素材!$1:$1016,COLUMN($E$1),FALSE)/(LEN(VLOOKUP($D208,素材!$1:$1016,COLUMN($F$1),FALSE)) - LEN(SUBSTITUTE(VLOOKUP($D208,素材!$1:$1016,COLUMN($F$1),FALSE), "・", 0)) + 1), 0)</f>
        <v>0</v>
      </c>
      <c r="AM208">
        <f>IF(ISNUMBER(SEARCH(SUBSTITUTE(AM$1,RIGHT(AM$1,2),""),VLOOKUP($D208,素材!$1:$1016,COLUMN($F$1),FALSE))),VLOOKUP($C208,武器!$1:$998,COLUMN($O$1),FALSE)*VLOOKUP($D208,素材!$1:$1016,COLUMN($E$1),FALSE)/(LEN(VLOOKUP($D208,素材!$1:$1016,COLUMN($F$1),FALSE)) - LEN(SUBSTITUTE(VLOOKUP($D208,素材!$1:$1016,COLUMN($F$1),FALSE), "・", 0)) + 1), 0)</f>
        <v>0</v>
      </c>
      <c r="AN208">
        <f>IF(ISNUMBER(SEARCH(SUBSTITUTE(AN$1,RIGHT(AN$1,2),""),VLOOKUP($D208,素材!$1:$1016,COLUMN($F$1),FALSE))),VLOOKUP($C208,武器!$1:$998,COLUMN($O$1),FALSE)*VLOOKUP($D208,素材!$1:$1016,COLUMN($E$1),FALSE)/(LEN(VLOOKUP($D208,素材!$1:$1016,COLUMN($F$1),FALSE)) - LEN(SUBSTITUTE(VLOOKUP($D208,素材!$1:$1016,COLUMN($F$1),FALSE), "・", 0)) + 1), 0)</f>
        <v>0</v>
      </c>
      <c r="AO208">
        <f>IF(ISNUMBER(SEARCH(SUBSTITUTE(AO$1,RIGHT(AO$1,2),""),VLOOKUP($D208,素材!$1:$1016,COLUMN($F$1),FALSE))),VLOOKUP($C208,武器!$1:$998,COLUMN($O$1),FALSE)*VLOOKUP($D208,素材!$1:$1016,COLUMN($E$1),FALSE)/(LEN(VLOOKUP($D208,素材!$1:$1016,COLUMN($F$1),FALSE)) - LEN(SUBSTITUTE(VLOOKUP($D208,素材!$1:$1016,COLUMN($F$1),FALSE), "・", 0)) + 1), 0)</f>
        <v>0</v>
      </c>
      <c r="AP208">
        <f>IF(ISNUMBER(SEARCH(SUBSTITUTE(AP$1,RIGHT(AP$1,2),""),VLOOKUP($D208,素材!$1:$1016,COLUMN($F$1),FALSE))),VLOOKUP($C208,武器!$1:$998,COLUMN($O$1),FALSE)*VLOOKUP($D208,素材!$1:$1016,COLUMN($E$1),FALSE)/(LEN(VLOOKUP($D208,素材!$1:$1016,COLUMN($F$1),FALSE)) - LEN(SUBSTITUTE(VLOOKUP($D208,素材!$1:$1016,COLUMN($F$1),FALSE), "・", 0)) + 1), 0)</f>
        <v>0</v>
      </c>
      <c r="AQ208">
        <f>IF(ISNUMBER(SEARCH(SUBSTITUTE(AQ$1,RIGHT(AQ$1,2),""),VLOOKUP($D208,素材!$1:$1016,COLUMN($F$1),FALSE))),VLOOKUP($C208,武器!$1:$998,COLUMN($O$1),FALSE)*VLOOKUP($D208,素材!$1:$1016,COLUMN($E$1),FALSE)/(LEN(VLOOKUP($D208,素材!$1:$1016,COLUMN($F$1),FALSE)) - LEN(SUBSTITUTE(VLOOKUP($D208,素材!$1:$1016,COLUMN($F$1),FALSE), "・", 0)) + 1), 0)</f>
        <v>0</v>
      </c>
      <c r="AR208">
        <f>IF(ISNUMBER(SEARCH(SUBSTITUTE(AR$1,RIGHT(AR$1,2),""),VLOOKUP($D208,素材!$1:$1016,COLUMN($F$1),FALSE))),VLOOKUP($C208,武器!$1:$998,COLUMN($O$1),FALSE)*VLOOKUP($D208,素材!$1:$1016,COLUMN($E$1),FALSE)/(LEN(VLOOKUP($D208,素材!$1:$1016,COLUMN($F$1),FALSE)) - LEN(SUBSTITUTE(VLOOKUP($D208,素材!$1:$1016,COLUMN($F$1),FALSE), "・", 0)) + 1), 0)</f>
        <v>0</v>
      </c>
      <c r="AS208">
        <f>IF(ISNUMBER(SEARCH(SUBSTITUTE(AS$1,RIGHT(AS$1,2),""),VLOOKUP($D208,素材!$1:$1016,COLUMN($F$1),FALSE))),VLOOKUP($C208,武器!$1:$998,COLUMN($O$1),FALSE)*VLOOKUP($D208,素材!$1:$1016,COLUMN($E$1),FALSE)/(LEN(VLOOKUP($D208,素材!$1:$1016,COLUMN($F$1),FALSE)) - LEN(SUBSTITUTE(VLOOKUP($D208,素材!$1:$1016,COLUMN($F$1),FALSE), "・", 0)) + 1), 0)</f>
        <v>0</v>
      </c>
      <c r="AT208">
        <f>IF(ISNUMBER(SEARCH(SUBSTITUTE(AT$1,RIGHT(AT$1,2),""),VLOOKUP($D208,素材!$1:$1016,COLUMN($F$1),FALSE))),VLOOKUP($C208,武器!$1:$998,COLUMN($O$1),FALSE)*VLOOKUP($D208,素材!$1:$1016,COLUMN($E$1),FALSE)/(LEN(VLOOKUP($D208,素材!$1:$1016,COLUMN($F$1),FALSE)) - LEN(SUBSTITUTE(VLOOKUP($D208,素材!$1:$1016,COLUMN($F$1),FALSE), "・", 0)) + 1), 0)</f>
        <v>0</v>
      </c>
      <c r="AU208">
        <f>IF(ISNUMBER(SEARCH(SUBSTITUTE(AU$1,RIGHT(AU$1,2),""),VLOOKUP($D208,素材!$1:$1016,COLUMN($F$1),FALSE))),VLOOKUP($C208,武器!$1:$998,COLUMN($O$1),FALSE)*VLOOKUP($D208,素材!$1:$1016,COLUMN($E$1),FALSE)/(LEN(VLOOKUP($D208,素材!$1:$1016,COLUMN($F$1),FALSE)) - LEN(SUBSTITUTE(VLOOKUP($D208,素材!$1:$1016,COLUMN($F$1),FALSE), "・", 0)) + 1), 0)</f>
        <v>0</v>
      </c>
      <c r="AV208">
        <f>IF(ISNUMBER(SEARCH(SUBSTITUTE(AV$1,RIGHT(AV$1,2),""),VLOOKUP($D208,素材!$1:$1016,COLUMN($F$1),FALSE))),VLOOKUP($C208,武器!$1:$998,COLUMN($O$1),FALSE)*VLOOKUP($D208,素材!$1:$1016,COLUMN($E$1),FALSE)/(LEN(VLOOKUP($D208,素材!$1:$1016,COLUMN($F$1),FALSE)) - LEN(SUBSTITUTE(VLOOKUP($D208,素材!$1:$1016,COLUMN($F$1),FALSE), "・", 0)) + 1), 0)</f>
        <v>0</v>
      </c>
      <c r="AW208">
        <f>IF(ISNUMBER(SEARCH(SUBSTITUTE(AW$1,RIGHT(AW$1,2),""),VLOOKUP($D208,素材!$1:$1016,COLUMN($F$1),FALSE))),VLOOKUP($C208,武器!$1:$998,COLUMN($O$1),FALSE)*VLOOKUP($D208,素材!$1:$1016,COLUMN($E$1),FALSE)/(LEN(VLOOKUP($D208,素材!$1:$1016,COLUMN($F$1),FALSE)) - LEN(SUBSTITUTE(VLOOKUP($D208,素材!$1:$1016,COLUMN($F$1),FALSE), "・", 0)) + 1), 0)</f>
        <v>0</v>
      </c>
      <c r="AX208">
        <f>IF(ISNUMBER(SEARCH(SUBSTITUTE(AX$1,RIGHT(AX$1,2),""),VLOOKUP($D208,素材!$1:$1016,COLUMN($F$1),FALSE))),VLOOKUP($C208,武器!$1:$998,COLUMN($O$1),FALSE)*VLOOKUP($D208,素材!$1:$1016,COLUMN($E$1),FALSE)/(LEN(VLOOKUP($D208,素材!$1:$1016,COLUMN($F$1),FALSE)) - LEN(SUBSTITUTE(VLOOKUP($D208,素材!$1:$1016,COLUMN($F$1),FALSE), "・", 0)) + 1), 0)</f>
        <v>0</v>
      </c>
      <c r="AY208">
        <f>IF(ISNUMBER(SEARCH(SUBSTITUTE(AY$1,RIGHT(AY$1,2),""),VLOOKUP($D208,素材!$1:$1016,COLUMN($F$1),FALSE))),VLOOKUP($C208,武器!$1:$998,COLUMN($O$1),FALSE)*VLOOKUP($D208,素材!$1:$1016,COLUMN($E$1),FALSE)/(LEN(VLOOKUP($D208,素材!$1:$1016,COLUMN($F$1),FALSE)) - LEN(SUBSTITUTE(VLOOKUP($D208,素材!$1:$1016,COLUMN($F$1),FALSE), "・", 0)) + 1), 0)</f>
        <v>0</v>
      </c>
      <c r="AZ208">
        <f>IF(ISNUMBER(SEARCH(SUBSTITUTE(AZ$1,RIGHT(AZ$1,2),""),VLOOKUP($D208,素材!$1:$1016,COLUMN($F$1),FALSE))),VLOOKUP($C208,武器!$1:$998,COLUMN($O$1),FALSE)*VLOOKUP($D208,素材!$1:$1016,COLUMN($E$1),FALSE)/(LEN(VLOOKUP($D208,素材!$1:$1016,COLUMN($F$1),FALSE)) - LEN(SUBSTITUTE(VLOOKUP($D208,素材!$1:$1016,COLUMN($F$1),FALSE), "・", 0)) + 1), 0)</f>
        <v>0</v>
      </c>
      <c r="BA208">
        <f>IF(ISNUMBER(SEARCH(SUBSTITUTE(BA$1,RIGHT(BA$1,2),""),VLOOKUP($D208,素材!$1:$1016,COLUMN($F$1),FALSE))),VLOOKUP($C208,武器!$1:$998,COLUMN($O$1),FALSE)*VLOOKUP($D208,素材!$1:$1016,COLUMN($E$1),FALSE)/(LEN(VLOOKUP($D208,素材!$1:$1016,COLUMN($F$1),FALSE)) - LEN(SUBSTITUTE(VLOOKUP($D208,素材!$1:$1016,COLUMN($F$1),FALSE), "・", 0)) + 1), 0)</f>
        <v>0</v>
      </c>
      <c r="BB208">
        <f>IF(ISNUMBER(SEARCH(SUBSTITUTE(BB$1,RIGHT(BB$1,2),""),VLOOKUP($D208,素材!$1:$1016,COLUMN($F$1),FALSE))),VLOOKUP($C208,武器!$1:$998,COLUMN($O$1),FALSE)*VLOOKUP($D208,素材!$1:$1016,COLUMN($E$1),FALSE)/(LEN(VLOOKUP($D208,素材!$1:$1016,COLUMN($F$1),FALSE)) - LEN(SUBSTITUTE(VLOOKUP($D208,素材!$1:$1016,COLUMN($F$1),FALSE), "・", 0)) + 1), 0)</f>
        <v>0</v>
      </c>
      <c r="BC208">
        <f>IF(ISNUMBER(SEARCH(SUBSTITUTE(BC$1,RIGHT(BC$1,2),""),VLOOKUP($D208,素材!$1:$1016,COLUMN($F$1),FALSE))),VLOOKUP($C208,武器!$1:$998,COLUMN($O$1),FALSE)*VLOOKUP($D208,素材!$1:$1016,COLUMN($E$1),FALSE)/(LEN(VLOOKUP($D208,素材!$1:$1016,COLUMN($F$1),FALSE)) - LEN(SUBSTITUTE(VLOOKUP($D208,素材!$1:$1016,COLUMN($F$1),FALSE), "・", 0)) + 1), 0)</f>
        <v>0</v>
      </c>
      <c r="BD208">
        <f>IF(ISNUMBER(SEARCH(SUBSTITUTE(BD$1,RIGHT(BD$1,2),""),VLOOKUP($D208,素材!$1:$1016,COLUMN($F$1),FALSE))),VLOOKUP($C208,武器!$1:$998,COLUMN($O$1),FALSE)*VLOOKUP($D208,素材!$1:$1016,COLUMN($E$1),FALSE)/(LEN(VLOOKUP($D208,素材!$1:$1016,COLUMN($F$1),FALSE)) - LEN(SUBSTITUTE(VLOOKUP($D208,素材!$1:$1016,COLUMN($F$1),FALSE), "・", 0)) + 1), 0)</f>
        <v>0</v>
      </c>
      <c r="BE208">
        <f>IF(ISNUMBER(SEARCH(SUBSTITUTE(BE$1,RIGHT(BE$1,2),""),VLOOKUP($D208,素材!$1:$1016,COLUMN($F$1),FALSE))),VLOOKUP($C208,武器!$1:$998,COLUMN($O$1),FALSE)*VLOOKUP($D208,素材!$1:$1016,COLUMN($E$1),FALSE)/(LEN(VLOOKUP($D208,素材!$1:$1016,COLUMN($F$1),FALSE)) - LEN(SUBSTITUTE(VLOOKUP($D208,素材!$1:$1016,COLUMN($F$1),FALSE), "・", 0)) + 1), 0)</f>
        <v>0</v>
      </c>
      <c r="CL208">
        <f>SUM(G208:I208)</f>
        <v>23</v>
      </c>
      <c r="CM208" s="22" t="str">
        <f>IF(E208="武器",IF(J208-1&gt;SUM(G208:I208),"盾",IF(MAX(G208:I208)=G208,"切断",IF(MAX(G208:I208)=H208,"貫通",IF(MAX(G208:I208)=I208,"打撃","射撃")))),E208)&amp;".webp"</f>
        <v>打撃.webp</v>
      </c>
      <c r="CN208">
        <f>IFERROR(VLOOKUP($C208,武器!$1:$998,COLUMN(V$1),FALSE)*VLOOKUP($D208,素材!$1:$1016,COLUMN(N$1),FALSE)+IF(CI208="",0,VLOOKUP($CI208,装強!$1:$1008,COLUMN($CK$1),FALSE)),"")</f>
        <v>3000</v>
      </c>
      <c r="CO208">
        <f>VLOOKUP(D208,素材!$A:$O,COLUMN(素材!O$1),FALSE)</f>
        <v>0</v>
      </c>
      <c r="CP208" t="str">
        <f>VLOOKUP(C208,武器!$A:$W,COLUMN(武器!W$1),FALSE)</f>
        <v>戦棍。打撃に優れた武器。Cr率が高い</v>
      </c>
      <c r="CR208" t="str">
        <f t="shared" si="29"/>
        <v>e_208</v>
      </c>
      <c r="CS208">
        <f t="shared" si="30"/>
        <v>300000</v>
      </c>
    </row>
    <row r="209" spans="1:97" outlineLevel="1" x14ac:dyDescent="0.4">
      <c r="A209" t="str">
        <f t="shared" si="28"/>
        <v>冷気鉄の棘棍</v>
      </c>
      <c r="B209" t="str">
        <f>IFERROR(VLOOKUP($D209,素材!$1:$1016,COLUMN($B$1),FALSE)&amp;"・"&amp;VLOOKUP($C209,武器!$1:$998,COLUMN(B$1),FALSE),"")</f>
        <v>ドゥララン・モーニングスター</v>
      </c>
      <c r="C209" t="s">
        <v>228</v>
      </c>
      <c r="D209" s="24" t="s">
        <v>243</v>
      </c>
      <c r="E209" t="str">
        <f>IFERROR(VLOOKUP(C209,武器!$1:$998,COLUMN(C$1),FALSE),"")</f>
        <v>武器</v>
      </c>
      <c r="F209">
        <f>IFERROR(ROUNDDOWN((VLOOKUP($C209,武器!$1:$998,COLUMN(D$1),FALSE)+IFERROR(VLOOKUP($CI209,装強!$1:$999,COLUMN(F$1),FALSE),0))*VLOOKUP($D209,素材!$1:$1016,COLUMN(D$1),FALSE),0),"")</f>
        <v>105</v>
      </c>
      <c r="G209">
        <f>IFERROR(ROUNDDOWN((VLOOKUP($C209,武器!$1:$998,COLUMN(E$1),FALSE)+IFERROR(VLOOKUP($CI209,装強!$1:$999,COLUMN(G$1),FALSE),0))*VLOOKUP($D209,素材!$1:$1016,COLUMN($E$1),FALSE),0),"")</f>
        <v>0</v>
      </c>
      <c r="H209">
        <f>IFERROR(ROUNDDOWN((VLOOKUP($C209,武器!$1:$998,COLUMN(F$1),FALSE)+IFERROR(VLOOKUP($CI209,装強!$1:$999,COLUMN(H$1),FALSE),0))*VLOOKUP($D209,素材!$1:$1016,COLUMN($E$1),FALSE),0),"")</f>
        <v>12</v>
      </c>
      <c r="I209">
        <f>IFERROR(ROUNDDOWN((VLOOKUP($C209,武器!$1:$998,COLUMN(G$1),FALSE)+IFERROR(VLOOKUP($CI209,装強!$1:$999,COLUMN(I$1),FALSE),0))*VLOOKUP($D209,素材!$1:$1016,COLUMN($E$1),FALSE),0),"")</f>
        <v>12</v>
      </c>
      <c r="J209">
        <f>IFERROR(ROUNDDOWN((VLOOKUP($C209,武器!$1:$998,COLUMN(H$1),FALSE)+IFERROR(VLOOKUP($CI209,装強!$1:$999,COLUMN(J$1),FALSE),0))*VLOOKUP($D209,素材!$1:$1016,COLUMN($E$1),FALSE),0),"")</f>
        <v>19</v>
      </c>
      <c r="K209">
        <f>IFERROR(ROUNDDOWN((VLOOKUP($C209,武器!$1:$998,COLUMN(I$1),FALSE)+IFERROR(VLOOKUP($CI209,装強!$1:$999,COLUMN(K$1),FALSE),0))*VLOOKUP($D209,素材!$1:$1016,COLUMN($E$1),FALSE),0),"")</f>
        <v>0</v>
      </c>
      <c r="L209" t="str">
        <f>IFERROR(VLOOKUP($D209,素材!$1:$1016,COLUMN($F$1),FALSE),"")</f>
        <v>氷</v>
      </c>
      <c r="M209">
        <f>IFERROR(VLOOKUP($C209,武器!$1:$998,COLUMN(AA$1),FALSE)*VLOOKUP($D209,素材!$1:$1016,COLUMN($G$1),FALSE),"")</f>
        <v>42</v>
      </c>
      <c r="N209">
        <f>IFERROR(VLOOKUP($C209,武器!$1:$998,COLUMN(I$1),FALSE),"")</f>
        <v>0</v>
      </c>
      <c r="O209" s="23">
        <f>IFERROR((VLOOKUP($C209,武器!$1:$998,COLUMN(K$1),FALSE)+VLOOKUP($D209,素材!$1:$1016,COLUMN(H$1),FALSE))*100+IFERROR(VLOOKUP($CI209,装強!$1:$999,COLUMN(O$1),FALSE),0),"")</f>
        <v>10</v>
      </c>
      <c r="P209" s="23">
        <f>IFERROR((VLOOKUP($C209,武器!$1:$998,COLUMN(L$1),FALSE)+VLOOKUP($D209,素材!$1:$1016,COLUMN(I$1),FALSE))*100+IFERROR(VLOOKUP($CI209,装強!$1:$999,COLUMN(P$1),FALSE),0),"")</f>
        <v>125</v>
      </c>
      <c r="Q209">
        <f>IFERROR(ROUNDUP(VLOOKUP($C209,武器!$1:$998,COLUMN(M$1),FALSE)*(VLOOKUP($D209,素材!$1:$1002,COLUMN(D$1),FALSE)/100),1),"")</f>
        <v>-2.5</v>
      </c>
      <c r="R209">
        <f>IFERROR(ROUNDUP(VLOOKUP($C209,武器!$1:$998,COLUMN(N$1),FALSE)*(VLOOKUP($D209,素材!$1:$1002,COLUMN(D$1),FALSE)/100),1),"")</f>
        <v>-2.5</v>
      </c>
      <c r="S209">
        <f>IFERROR(VLOOKUP($C209,武器!$1:$998,COLUMN(P$1),FALSE),"")</f>
        <v>0</v>
      </c>
      <c r="T209">
        <f>IFERROR(VLOOKUP($C209,武器!$1:$998,COLUMN(Q$1),FALSE),"")</f>
        <v>0</v>
      </c>
      <c r="U209">
        <f>IFERROR(VLOOKUP($C209,武器!$1:$998,COLUMN(R$1),FALSE),"")</f>
        <v>0</v>
      </c>
      <c r="V209">
        <f>IFERROR(VLOOKUP($C209,武器!$1:$998,COLUMN(Q$1),FALSE),"")</f>
        <v>0</v>
      </c>
      <c r="W209" t="str">
        <f>IFERROR(VLOOKUP($C209,武器!$1:$998,COLUMN(T$1),FALSE),"")</f>
        <v>A</v>
      </c>
      <c r="Y209">
        <f>IFERROR(VLOOKUP($C209,武器!$1:$998,COLUMN(U$1),FALSE),"")</f>
        <v>0</v>
      </c>
      <c r="Z209">
        <f>IFERROR(ROUNDUP(VLOOKUP($C209,武器!$1:$998,COLUMN(O$1),FALSE)*VLOOKUP($D209,素材!$1:$1016,COLUMN(E$1),FALSE),1),"")</f>
        <v>0</v>
      </c>
      <c r="AA209">
        <f>IF(ISNUMBER(SEARCH(SUBSTITUTE(AA$1,RIGHT(AA$1,2),""),VLOOKUP($D209,素材!$1:$1016,COLUMN($F$1),FALSE))),VLOOKUP($C209,武器!$1:$998,COLUMN($O$1),FALSE)*VLOOKUP($D209,素材!$1:$1016,COLUMN($E$1),FALSE)/(LEN(VLOOKUP($D209,素材!$1:$1016,COLUMN($F$1),FALSE)) - LEN(SUBSTITUTE(VLOOKUP($D209,素材!$1:$1016,COLUMN($F$1),FALSE), "・", 0)) + 1), 0)</f>
        <v>0</v>
      </c>
      <c r="AB209">
        <f>IF(ISNUMBER(SEARCH(SUBSTITUTE(AB$1,RIGHT(AB$1,2),""),VLOOKUP($D209,素材!$1:$1016,COLUMN($F$1),FALSE))),VLOOKUP($C209,武器!$1:$998,COLUMN($O$1),FALSE)*VLOOKUP($D209,素材!$1:$1016,COLUMN($E$1),FALSE)/(LEN(VLOOKUP($D209,素材!$1:$1016,COLUMN($F$1),FALSE)) - LEN(SUBSTITUTE(VLOOKUP($D209,素材!$1:$1016,COLUMN($F$1),FALSE), "・", 0)) + 1), 0)</f>
        <v>0</v>
      </c>
      <c r="AC209">
        <f>IF(ISNUMBER(SEARCH(SUBSTITUTE(AC$1,RIGHT(AC$1,2),""),VLOOKUP($D209,素材!$1:$1016,COLUMN($F$1),FALSE))),VLOOKUP($C209,武器!$1:$998,COLUMN($O$1),FALSE)*VLOOKUP($D209,素材!$1:$1016,COLUMN($E$1),FALSE)/(LEN(VLOOKUP($D209,素材!$1:$1016,COLUMN($F$1),FALSE)) - LEN(SUBSTITUTE(VLOOKUP($D209,素材!$1:$1016,COLUMN($F$1),FALSE), "・", 0)) + 1), 0)</f>
        <v>0</v>
      </c>
      <c r="AD209">
        <f>IF(ISNUMBER(SEARCH(SUBSTITUTE(AD$1,RIGHT(AD$1,2),""),VLOOKUP($D209,素材!$1:$1016,COLUMN($F$1),FALSE))),VLOOKUP($C209,武器!$1:$998,COLUMN($O$1),FALSE)*VLOOKUP($D209,素材!$1:$1016,COLUMN($E$1),FALSE)/(LEN(VLOOKUP($D209,素材!$1:$1016,COLUMN($F$1),FALSE)) - LEN(SUBSTITUTE(VLOOKUP($D209,素材!$1:$1016,COLUMN($F$1),FALSE), "・", 0)) + 1), 0)</f>
        <v>0</v>
      </c>
      <c r="AE209">
        <f>IF(ISNUMBER(SEARCH(SUBSTITUTE(AE$1,RIGHT(AE$1,2),""),VLOOKUP($D209,素材!$1:$1016,COLUMN($F$1),FALSE))),VLOOKUP($C209,武器!$1:$998,COLUMN($O$1),FALSE)*VLOOKUP($D209,素材!$1:$1016,COLUMN($E$1),FALSE)/(LEN(VLOOKUP($D209,素材!$1:$1016,COLUMN($F$1),FALSE)) - LEN(SUBSTITUTE(VLOOKUP($D209,素材!$1:$1016,COLUMN($F$1),FALSE), "・", 0)) + 1), 0)</f>
        <v>0</v>
      </c>
      <c r="AF209">
        <f>IF(ISNUMBER(SEARCH(SUBSTITUTE(AF$1,RIGHT(AF$1,2),""),VLOOKUP($D209,素材!$1:$1016,COLUMN($F$1),FALSE))),VLOOKUP($C209,武器!$1:$998,COLUMN($O$1),FALSE)*VLOOKUP($D209,素材!$1:$1016,COLUMN($E$1),FALSE)/(LEN(VLOOKUP($D209,素材!$1:$1016,COLUMN($F$1),FALSE)) - LEN(SUBSTITUTE(VLOOKUP($D209,素材!$1:$1016,COLUMN($F$1),FALSE), "・", 0)) + 1), 0)</f>
        <v>0</v>
      </c>
      <c r="AG209">
        <f>IF(ISNUMBER(SEARCH(SUBSTITUTE(AG$1,RIGHT(AG$1,2),""),VLOOKUP($D209,素材!$1:$1016,COLUMN($F$1),FALSE))),VLOOKUP($C209,武器!$1:$998,COLUMN($O$1),FALSE)*VLOOKUP($D209,素材!$1:$1016,COLUMN($E$1),FALSE)/(LEN(VLOOKUP($D209,素材!$1:$1016,COLUMN($F$1),FALSE)) - LEN(SUBSTITUTE(VLOOKUP($D209,素材!$1:$1016,COLUMN($F$1),FALSE), "・", 0)) + 1), 0)</f>
        <v>0</v>
      </c>
      <c r="AH209">
        <f>IF(ISNUMBER(SEARCH(SUBSTITUTE(AH$1,RIGHT(AH$1,2),""),VLOOKUP($D209,素材!$1:$1016,COLUMN($F$1),FALSE))),VLOOKUP($C209,武器!$1:$998,COLUMN($O$1),FALSE)*VLOOKUP($D209,素材!$1:$1016,COLUMN($E$1),FALSE)/(LEN(VLOOKUP($D209,素材!$1:$1016,COLUMN($F$1),FALSE)) - LEN(SUBSTITUTE(VLOOKUP($D209,素材!$1:$1016,COLUMN($F$1),FALSE), "・", 0)) + 1), 0)</f>
        <v>0</v>
      </c>
      <c r="AI209">
        <f>IF(ISNUMBER(SEARCH(SUBSTITUTE(AI$1,RIGHT(AI$1,2),""),VLOOKUP($D209,素材!$1:$1016,COLUMN($F$1),FALSE))),VLOOKUP($C209,武器!$1:$998,COLUMN($O$1),FALSE)*VLOOKUP($D209,素材!$1:$1016,COLUMN($E$1),FALSE)/(LEN(VLOOKUP($D209,素材!$1:$1016,COLUMN($F$1),FALSE)) - LEN(SUBSTITUTE(VLOOKUP($D209,素材!$1:$1016,COLUMN($F$1),FALSE), "・", 0)) + 1), 0)</f>
        <v>0</v>
      </c>
      <c r="AJ209">
        <f>IF(ISNUMBER(SEARCH(SUBSTITUTE(AJ$1,RIGHT(AJ$1,2),""),VLOOKUP($D209,素材!$1:$1016,COLUMN($F$1),FALSE))),VLOOKUP($C209,武器!$1:$998,COLUMN($O$1),FALSE)*VLOOKUP($D209,素材!$1:$1016,COLUMN($E$1),FALSE)/(LEN(VLOOKUP($D209,素材!$1:$1016,COLUMN($F$1),FALSE)) - LEN(SUBSTITUTE(VLOOKUP($D209,素材!$1:$1016,COLUMN($F$1),FALSE), "・", 0)) + 1), 0)</f>
        <v>0</v>
      </c>
      <c r="AK209">
        <f>IF(ISNUMBER(SEARCH(SUBSTITUTE(AK$1,RIGHT(AK$1,2),""),VLOOKUP($D209,素材!$1:$1016,COLUMN($F$1),FALSE))),VLOOKUP($C209,武器!$1:$998,COLUMN($O$1),FALSE)*VLOOKUP($D209,素材!$1:$1016,COLUMN($E$1),FALSE)/(LEN(VLOOKUP($D209,素材!$1:$1016,COLUMN($F$1),FALSE)) - LEN(SUBSTITUTE(VLOOKUP($D209,素材!$1:$1016,COLUMN($F$1),FALSE), "・", 0)) + 1), 0)</f>
        <v>0</v>
      </c>
      <c r="AL209">
        <f>IF(ISNUMBER(SEARCH(SUBSTITUTE(AL$1,RIGHT(AL$1,2),""),VLOOKUP($D209,素材!$1:$1016,COLUMN($F$1),FALSE))),VLOOKUP($C209,武器!$1:$998,COLUMN($O$1),FALSE)*VLOOKUP($D209,素材!$1:$1016,COLUMN($E$1),FALSE)/(LEN(VLOOKUP($D209,素材!$1:$1016,COLUMN($F$1),FALSE)) - LEN(SUBSTITUTE(VLOOKUP($D209,素材!$1:$1016,COLUMN($F$1),FALSE), "・", 0)) + 1), 0)</f>
        <v>0</v>
      </c>
      <c r="AM209">
        <f>IF(ISNUMBER(SEARCH(SUBSTITUTE(AM$1,RIGHT(AM$1,2),""),VLOOKUP($D209,素材!$1:$1016,COLUMN($F$1),FALSE))),VLOOKUP($C209,武器!$1:$998,COLUMN($O$1),FALSE)*VLOOKUP($D209,素材!$1:$1016,COLUMN($E$1),FALSE)/(LEN(VLOOKUP($D209,素材!$1:$1016,COLUMN($F$1),FALSE)) - LEN(SUBSTITUTE(VLOOKUP($D209,素材!$1:$1016,COLUMN($F$1),FALSE), "・", 0)) + 1), 0)</f>
        <v>0</v>
      </c>
      <c r="AN209">
        <f>IF(ISNUMBER(SEARCH(SUBSTITUTE(AN$1,RIGHT(AN$1,2),""),VLOOKUP($D209,素材!$1:$1016,COLUMN($F$1),FALSE))),VLOOKUP($C209,武器!$1:$998,COLUMN($O$1),FALSE)*VLOOKUP($D209,素材!$1:$1016,COLUMN($E$1),FALSE)/(LEN(VLOOKUP($D209,素材!$1:$1016,COLUMN($F$1),FALSE)) - LEN(SUBSTITUTE(VLOOKUP($D209,素材!$1:$1016,COLUMN($F$1),FALSE), "・", 0)) + 1), 0)</f>
        <v>0</v>
      </c>
      <c r="AO209">
        <f>IF(ISNUMBER(SEARCH(SUBSTITUTE(AO$1,RIGHT(AO$1,2),""),VLOOKUP($D209,素材!$1:$1016,COLUMN($F$1),FALSE))),VLOOKUP($C209,武器!$1:$998,COLUMN($O$1),FALSE)*VLOOKUP($D209,素材!$1:$1016,COLUMN($E$1),FALSE)/(LEN(VLOOKUP($D209,素材!$1:$1016,COLUMN($F$1),FALSE)) - LEN(SUBSTITUTE(VLOOKUP($D209,素材!$1:$1016,COLUMN($F$1),FALSE), "・", 0)) + 1), 0)</f>
        <v>0</v>
      </c>
      <c r="AP209">
        <f>IF(ISNUMBER(SEARCH(SUBSTITUTE(AP$1,RIGHT(AP$1,2),""),VLOOKUP($D209,素材!$1:$1016,COLUMN($F$1),FALSE))),VLOOKUP($C209,武器!$1:$998,COLUMN($O$1),FALSE)*VLOOKUP($D209,素材!$1:$1016,COLUMN($E$1),FALSE)/(LEN(VLOOKUP($D209,素材!$1:$1016,COLUMN($F$1),FALSE)) - LEN(SUBSTITUTE(VLOOKUP($D209,素材!$1:$1016,COLUMN($F$1),FALSE), "・", 0)) + 1), 0)</f>
        <v>0</v>
      </c>
      <c r="AQ209">
        <f>IF(ISNUMBER(SEARCH(SUBSTITUTE(AQ$1,RIGHT(AQ$1,2),""),VLOOKUP($D209,素材!$1:$1016,COLUMN($F$1),FALSE))),VLOOKUP($C209,武器!$1:$998,COLUMN($O$1),FALSE)*VLOOKUP($D209,素材!$1:$1016,COLUMN($E$1),FALSE)/(LEN(VLOOKUP($D209,素材!$1:$1016,COLUMN($F$1),FALSE)) - LEN(SUBSTITUTE(VLOOKUP($D209,素材!$1:$1016,COLUMN($F$1),FALSE), "・", 0)) + 1), 0)</f>
        <v>0</v>
      </c>
      <c r="AR209">
        <f>IF(ISNUMBER(SEARCH(SUBSTITUTE(AR$1,RIGHT(AR$1,2),""),VLOOKUP($D209,素材!$1:$1016,COLUMN($F$1),FALSE))),VLOOKUP($C209,武器!$1:$998,COLUMN($O$1),FALSE)*VLOOKUP($D209,素材!$1:$1016,COLUMN($E$1),FALSE)/(LEN(VLOOKUP($D209,素材!$1:$1016,COLUMN($F$1),FALSE)) - LEN(SUBSTITUTE(VLOOKUP($D209,素材!$1:$1016,COLUMN($F$1),FALSE), "・", 0)) + 1), 0)</f>
        <v>0</v>
      </c>
      <c r="AS209">
        <f>IF(ISNUMBER(SEARCH(SUBSTITUTE(AS$1,RIGHT(AS$1,2),""),VLOOKUP($D209,素材!$1:$1016,COLUMN($F$1),FALSE))),VLOOKUP($C209,武器!$1:$998,COLUMN($O$1),FALSE)*VLOOKUP($D209,素材!$1:$1016,COLUMN($E$1),FALSE)/(LEN(VLOOKUP($D209,素材!$1:$1016,COLUMN($F$1),FALSE)) - LEN(SUBSTITUTE(VLOOKUP($D209,素材!$1:$1016,COLUMN($F$1),FALSE), "・", 0)) + 1), 0)</f>
        <v>0</v>
      </c>
      <c r="AT209">
        <f>IF(ISNUMBER(SEARCH(SUBSTITUTE(AT$1,RIGHT(AT$1,2),""),VLOOKUP($D209,素材!$1:$1016,COLUMN($F$1),FALSE))),VLOOKUP($C209,武器!$1:$998,COLUMN($O$1),FALSE)*VLOOKUP($D209,素材!$1:$1016,COLUMN($E$1),FALSE)/(LEN(VLOOKUP($D209,素材!$1:$1016,COLUMN($F$1),FALSE)) - LEN(SUBSTITUTE(VLOOKUP($D209,素材!$1:$1016,COLUMN($F$1),FALSE), "・", 0)) + 1), 0)</f>
        <v>0</v>
      </c>
      <c r="AU209">
        <f>IF(ISNUMBER(SEARCH(SUBSTITUTE(AU$1,RIGHT(AU$1,2),""),VLOOKUP($D209,素材!$1:$1016,COLUMN($F$1),FALSE))),VLOOKUP($C209,武器!$1:$998,COLUMN($O$1),FALSE)*VLOOKUP($D209,素材!$1:$1016,COLUMN($E$1),FALSE)/(LEN(VLOOKUP($D209,素材!$1:$1016,COLUMN($F$1),FALSE)) - LEN(SUBSTITUTE(VLOOKUP($D209,素材!$1:$1016,COLUMN($F$1),FALSE), "・", 0)) + 1), 0)</f>
        <v>0</v>
      </c>
      <c r="AV209">
        <f>IF(ISNUMBER(SEARCH(SUBSTITUTE(AV$1,RIGHT(AV$1,2),""),VLOOKUP($D209,素材!$1:$1016,COLUMN($F$1),FALSE))),VLOOKUP($C209,武器!$1:$998,COLUMN($O$1),FALSE)*VLOOKUP($D209,素材!$1:$1016,COLUMN($E$1),FALSE)/(LEN(VLOOKUP($D209,素材!$1:$1016,COLUMN($F$1),FALSE)) - LEN(SUBSTITUTE(VLOOKUP($D209,素材!$1:$1016,COLUMN($F$1),FALSE), "・", 0)) + 1), 0)</f>
        <v>0</v>
      </c>
      <c r="AW209">
        <f>IF(ISNUMBER(SEARCH(SUBSTITUTE(AW$1,RIGHT(AW$1,2),""),VLOOKUP($D209,素材!$1:$1016,COLUMN($F$1),FALSE))),VLOOKUP($C209,武器!$1:$998,COLUMN($O$1),FALSE)*VLOOKUP($D209,素材!$1:$1016,COLUMN($E$1),FALSE)/(LEN(VLOOKUP($D209,素材!$1:$1016,COLUMN($F$1),FALSE)) - LEN(SUBSTITUTE(VLOOKUP($D209,素材!$1:$1016,COLUMN($F$1),FALSE), "・", 0)) + 1), 0)</f>
        <v>0</v>
      </c>
      <c r="AX209">
        <f>IF(ISNUMBER(SEARCH(SUBSTITUTE(AX$1,RIGHT(AX$1,2),""),VLOOKUP($D209,素材!$1:$1016,COLUMN($F$1),FALSE))),VLOOKUP($C209,武器!$1:$998,COLUMN($O$1),FALSE)*VLOOKUP($D209,素材!$1:$1016,COLUMN($E$1),FALSE)/(LEN(VLOOKUP($D209,素材!$1:$1016,COLUMN($F$1),FALSE)) - LEN(SUBSTITUTE(VLOOKUP($D209,素材!$1:$1016,COLUMN($F$1),FALSE), "・", 0)) + 1), 0)</f>
        <v>0</v>
      </c>
      <c r="AY209">
        <f>IF(ISNUMBER(SEARCH(SUBSTITUTE(AY$1,RIGHT(AY$1,2),""),VLOOKUP($D209,素材!$1:$1016,COLUMN($F$1),FALSE))),VLOOKUP($C209,武器!$1:$998,COLUMN($O$1),FALSE)*VLOOKUP($D209,素材!$1:$1016,COLUMN($E$1),FALSE)/(LEN(VLOOKUP($D209,素材!$1:$1016,COLUMN($F$1),FALSE)) - LEN(SUBSTITUTE(VLOOKUP($D209,素材!$1:$1016,COLUMN($F$1),FALSE), "・", 0)) + 1), 0)</f>
        <v>0</v>
      </c>
      <c r="AZ209">
        <f>IF(ISNUMBER(SEARCH(SUBSTITUTE(AZ$1,RIGHT(AZ$1,2),""),VLOOKUP($D209,素材!$1:$1016,COLUMN($F$1),FALSE))),VLOOKUP($C209,武器!$1:$998,COLUMN($O$1),FALSE)*VLOOKUP($D209,素材!$1:$1016,COLUMN($E$1),FALSE)/(LEN(VLOOKUP($D209,素材!$1:$1016,COLUMN($F$1),FALSE)) - LEN(SUBSTITUTE(VLOOKUP($D209,素材!$1:$1016,COLUMN($F$1),FALSE), "・", 0)) + 1), 0)</f>
        <v>0</v>
      </c>
      <c r="BA209">
        <f>IF(ISNUMBER(SEARCH(SUBSTITUTE(BA$1,RIGHT(BA$1,2),""),VLOOKUP($D209,素材!$1:$1016,COLUMN($F$1),FALSE))),VLOOKUP($C209,武器!$1:$998,COLUMN($O$1),FALSE)*VLOOKUP($D209,素材!$1:$1016,COLUMN($E$1),FALSE)/(LEN(VLOOKUP($D209,素材!$1:$1016,COLUMN($F$1),FALSE)) - LEN(SUBSTITUTE(VLOOKUP($D209,素材!$1:$1016,COLUMN($F$1),FALSE), "・", 0)) + 1), 0)</f>
        <v>0</v>
      </c>
      <c r="BB209">
        <f>IF(ISNUMBER(SEARCH(SUBSTITUTE(BB$1,RIGHT(BB$1,2),""),VLOOKUP($D209,素材!$1:$1016,COLUMN($F$1),FALSE))),VLOOKUP($C209,武器!$1:$998,COLUMN($O$1),FALSE)*VLOOKUP($D209,素材!$1:$1016,COLUMN($E$1),FALSE)/(LEN(VLOOKUP($D209,素材!$1:$1016,COLUMN($F$1),FALSE)) - LEN(SUBSTITUTE(VLOOKUP($D209,素材!$1:$1016,COLUMN($F$1),FALSE), "・", 0)) + 1), 0)</f>
        <v>0</v>
      </c>
      <c r="BC209">
        <f>IF(ISNUMBER(SEARCH(SUBSTITUTE(BC$1,RIGHT(BC$1,2),""),VLOOKUP($D209,素材!$1:$1016,COLUMN($F$1),FALSE))),VLOOKUP($C209,武器!$1:$998,COLUMN($O$1),FALSE)*VLOOKUP($D209,素材!$1:$1016,COLUMN($E$1),FALSE)/(LEN(VLOOKUP($D209,素材!$1:$1016,COLUMN($F$1),FALSE)) - LEN(SUBSTITUTE(VLOOKUP($D209,素材!$1:$1016,COLUMN($F$1),FALSE), "・", 0)) + 1), 0)</f>
        <v>0</v>
      </c>
      <c r="BD209">
        <f>IF(ISNUMBER(SEARCH(SUBSTITUTE(BD$1,RIGHT(BD$1,2),""),VLOOKUP($D209,素材!$1:$1016,COLUMN($F$1),FALSE))),VLOOKUP($C209,武器!$1:$998,COLUMN($O$1),FALSE)*VLOOKUP($D209,素材!$1:$1016,COLUMN($E$1),FALSE)/(LEN(VLOOKUP($D209,素材!$1:$1016,COLUMN($F$1),FALSE)) - LEN(SUBSTITUTE(VLOOKUP($D209,素材!$1:$1016,COLUMN($F$1),FALSE), "・", 0)) + 1), 0)</f>
        <v>0</v>
      </c>
      <c r="BE209">
        <f>IF(ISNUMBER(SEARCH(SUBSTITUTE(BE$1,RIGHT(BE$1,2),""),VLOOKUP($D209,素材!$1:$1016,COLUMN($F$1),FALSE))),VLOOKUP($C209,武器!$1:$998,COLUMN($O$1),FALSE)*VLOOKUP($D209,素材!$1:$1016,COLUMN($E$1),FALSE)/(LEN(VLOOKUP($D209,素材!$1:$1016,COLUMN($F$1),FALSE)) - LEN(SUBSTITUTE(VLOOKUP($D209,素材!$1:$1016,COLUMN($F$1),FALSE), "・", 0)) + 1), 0)</f>
        <v>0</v>
      </c>
      <c r="CL209">
        <f>SUM(G209:I209)</f>
        <v>24</v>
      </c>
      <c r="CM209" s="22" t="str">
        <f>IF(E209="武器",IF(J209-1&gt;SUM(G209:I209),"盾",IF(MAX(G209:I209)=G209,"切断",IF(MAX(G209:I209)=H209,"貫通",IF(MAX(G209:I209)=I209,"打撃","射撃")))),E209)&amp;".webp"</f>
        <v>貫通.webp</v>
      </c>
      <c r="CN209">
        <f>IFERROR(VLOOKUP($C209,武器!$1:$998,COLUMN(V$1),FALSE)*VLOOKUP($D209,素材!$1:$1016,COLUMN(N$1),FALSE)+IF(CI209="",0,VLOOKUP($CI209,装強!$1:$1008,COLUMN($CK$1),FALSE)),"")</f>
        <v>3000</v>
      </c>
      <c r="CO209">
        <f>VLOOKUP(D209,素材!$A:$O,COLUMN(素材!O$1),FALSE)</f>
        <v>0</v>
      </c>
      <c r="CP209" t="str">
        <f>VLOOKUP(C209,武器!$A:$W,COLUMN(武器!W$1),FALSE)</f>
        <v>棘棍。打撃と刺突を兼ね備えた武器。</v>
      </c>
      <c r="CR209" t="str">
        <f t="shared" si="29"/>
        <v>e_209</v>
      </c>
      <c r="CS209">
        <f t="shared" si="30"/>
        <v>300000</v>
      </c>
    </row>
    <row r="210" spans="1:97" outlineLevel="1" x14ac:dyDescent="0.4">
      <c r="A210" t="str">
        <f t="shared" si="28"/>
        <v>冷気鉄の鎚</v>
      </c>
      <c r="B210" t="str">
        <f>IFERROR(VLOOKUP($D210,素材!$1:$1016,COLUMN($B$1),FALSE)&amp;"・"&amp;VLOOKUP($C210,武器!$1:$998,COLUMN(B$1),FALSE),"")</f>
        <v>ドゥララン・ハンマー</v>
      </c>
      <c r="C210" t="s">
        <v>227</v>
      </c>
      <c r="D210" s="24" t="s">
        <v>243</v>
      </c>
      <c r="E210" t="str">
        <f>IFERROR(VLOOKUP(C210,武器!$1:$998,COLUMN(C$1),FALSE),"")</f>
        <v>武器</v>
      </c>
      <c r="F210">
        <f>IFERROR(ROUNDDOWN((VLOOKUP($C210,武器!$1:$998,COLUMN(D$1),FALSE)+IFERROR(VLOOKUP($CI210,装強!$1:$999,COLUMN(F$1),FALSE),0))*VLOOKUP($D210,素材!$1:$1016,COLUMN(D$1),FALSE),0),"")</f>
        <v>110</v>
      </c>
      <c r="G210">
        <f>IFERROR(ROUNDDOWN((VLOOKUP($C210,武器!$1:$998,COLUMN(E$1),FALSE)+IFERROR(VLOOKUP($CI210,装強!$1:$999,COLUMN(G$1),FALSE),0))*VLOOKUP($D210,素材!$1:$1016,COLUMN($E$1),FALSE),0),"")</f>
        <v>0</v>
      </c>
      <c r="H210">
        <f>IFERROR(ROUNDDOWN((VLOOKUP($C210,武器!$1:$998,COLUMN(F$1),FALSE)+IFERROR(VLOOKUP($CI210,装強!$1:$999,COLUMN(H$1),FALSE),0))*VLOOKUP($D210,素材!$1:$1016,COLUMN($E$1),FALSE),0),"")</f>
        <v>0</v>
      </c>
      <c r="I210">
        <f>IFERROR(ROUNDDOWN((VLOOKUP($C210,武器!$1:$998,COLUMN(G$1),FALSE)+IFERROR(VLOOKUP($CI210,装強!$1:$999,COLUMN(I$1),FALSE),0))*VLOOKUP($D210,素材!$1:$1016,COLUMN($E$1),FALSE),0),"")</f>
        <v>22</v>
      </c>
      <c r="J210">
        <f>IFERROR(ROUNDDOWN((VLOOKUP($C210,武器!$1:$998,COLUMN(H$1),FALSE)+IFERROR(VLOOKUP($CI210,装強!$1:$999,COLUMN(J$1),FALSE),0))*VLOOKUP($D210,素材!$1:$1016,COLUMN($E$1),FALSE),0),"")</f>
        <v>19</v>
      </c>
      <c r="K210">
        <f>IFERROR(ROUNDDOWN((VLOOKUP($C210,武器!$1:$998,COLUMN(I$1),FALSE)+IFERROR(VLOOKUP($CI210,装強!$1:$999,COLUMN(K$1),FALSE),0))*VLOOKUP($D210,素材!$1:$1016,COLUMN($E$1),FALSE),0),"")</f>
        <v>0</v>
      </c>
      <c r="L210" t="str">
        <f>IFERROR(VLOOKUP($D210,素材!$1:$1016,COLUMN($F$1),FALSE),"")</f>
        <v>氷</v>
      </c>
      <c r="M210">
        <f>IFERROR(VLOOKUP($C210,武器!$1:$998,COLUMN(AA$1),FALSE)*VLOOKUP($D210,素材!$1:$1016,COLUMN($G$1),FALSE),"")</f>
        <v>38.5</v>
      </c>
      <c r="N210">
        <f>IFERROR(VLOOKUP($C210,武器!$1:$998,COLUMN(I$1),FALSE),"")</f>
        <v>0</v>
      </c>
      <c r="O210" s="23">
        <f>IFERROR((VLOOKUP($C210,武器!$1:$998,COLUMN(K$1),FALSE)+VLOOKUP($D210,素材!$1:$1016,COLUMN(H$1),FALSE))*100+IFERROR(VLOOKUP($CI210,装強!$1:$999,COLUMN(O$1),FALSE),0),"")</f>
        <v>10</v>
      </c>
      <c r="P210" s="23">
        <f>IFERROR((VLOOKUP($C210,武器!$1:$998,COLUMN(L$1),FALSE)+VLOOKUP($D210,素材!$1:$1016,COLUMN(I$1),FALSE))*100+IFERROR(VLOOKUP($CI210,装強!$1:$999,COLUMN(P$1),FALSE),0),"")</f>
        <v>150</v>
      </c>
      <c r="Q210">
        <f>IFERROR(ROUNDUP(VLOOKUP($C210,武器!$1:$998,COLUMN(M$1),FALSE)*(VLOOKUP($D210,素材!$1:$1002,COLUMN(D$1),FALSE)/100),1),"")</f>
        <v>-2.5</v>
      </c>
      <c r="R210">
        <f>IFERROR(ROUNDUP(VLOOKUP($C210,武器!$1:$998,COLUMN(N$1),FALSE)*(VLOOKUP($D210,素材!$1:$1002,COLUMN(D$1),FALSE)/100),1),"")</f>
        <v>0</v>
      </c>
      <c r="S210">
        <f>IFERROR(VLOOKUP($C210,武器!$1:$998,COLUMN(P$1),FALSE),"")</f>
        <v>0</v>
      </c>
      <c r="T210">
        <f>IFERROR(VLOOKUP($C210,武器!$1:$998,COLUMN(Q$1),FALSE),"")</f>
        <v>0</v>
      </c>
      <c r="U210">
        <f>IFERROR(VLOOKUP($C210,武器!$1:$998,COLUMN(R$1),FALSE),"")</f>
        <v>0</v>
      </c>
      <c r="V210">
        <f>IFERROR(VLOOKUP($C210,武器!$1:$998,COLUMN(Q$1),FALSE),"")</f>
        <v>0</v>
      </c>
      <c r="W210" t="str">
        <f>IFERROR(VLOOKUP($C210,武器!$1:$998,COLUMN(T$1),FALSE),"")</f>
        <v>A</v>
      </c>
      <c r="Y210" t="str">
        <f>IFERROR(VLOOKUP($C210,武器!$1:$998,COLUMN(U$1),FALSE),"")</f>
        <v>投擲強化</v>
      </c>
      <c r="Z210">
        <f>IFERROR(ROUNDUP(VLOOKUP($C210,武器!$1:$998,COLUMN(O$1),FALSE)*VLOOKUP($D210,素材!$1:$1016,COLUMN(E$1),FALSE),1),"")</f>
        <v>0</v>
      </c>
      <c r="AA210">
        <f>IF(ISNUMBER(SEARCH(SUBSTITUTE(AA$1,RIGHT(AA$1,2),""),VLOOKUP($D210,素材!$1:$1016,COLUMN($F$1),FALSE))),VLOOKUP($C210,武器!$1:$998,COLUMN($O$1),FALSE)*VLOOKUP($D210,素材!$1:$1016,COLUMN($E$1),FALSE)/(LEN(VLOOKUP($D210,素材!$1:$1016,COLUMN($F$1),FALSE)) - LEN(SUBSTITUTE(VLOOKUP($D210,素材!$1:$1016,COLUMN($F$1),FALSE), "・", 0)) + 1), 0)</f>
        <v>0</v>
      </c>
      <c r="AB210">
        <f>IF(ISNUMBER(SEARCH(SUBSTITUTE(AB$1,RIGHT(AB$1,2),""),VLOOKUP($D210,素材!$1:$1016,COLUMN($F$1),FALSE))),VLOOKUP($C210,武器!$1:$998,COLUMN($O$1),FALSE)*VLOOKUP($D210,素材!$1:$1016,COLUMN($E$1),FALSE)/(LEN(VLOOKUP($D210,素材!$1:$1016,COLUMN($F$1),FALSE)) - LEN(SUBSTITUTE(VLOOKUP($D210,素材!$1:$1016,COLUMN($F$1),FALSE), "・", 0)) + 1), 0)</f>
        <v>0</v>
      </c>
      <c r="AC210">
        <f>IF(ISNUMBER(SEARCH(SUBSTITUTE(AC$1,RIGHT(AC$1,2),""),VLOOKUP($D210,素材!$1:$1016,COLUMN($F$1),FALSE))),VLOOKUP($C210,武器!$1:$998,COLUMN($O$1),FALSE)*VLOOKUP($D210,素材!$1:$1016,COLUMN($E$1),FALSE)/(LEN(VLOOKUP($D210,素材!$1:$1016,COLUMN($F$1),FALSE)) - LEN(SUBSTITUTE(VLOOKUP($D210,素材!$1:$1016,COLUMN($F$1),FALSE), "・", 0)) + 1), 0)</f>
        <v>0</v>
      </c>
      <c r="AD210">
        <f>IF(ISNUMBER(SEARCH(SUBSTITUTE(AD$1,RIGHT(AD$1,2),""),VLOOKUP($D210,素材!$1:$1016,COLUMN($F$1),FALSE))),VLOOKUP($C210,武器!$1:$998,COLUMN($O$1),FALSE)*VLOOKUP($D210,素材!$1:$1016,COLUMN($E$1),FALSE)/(LEN(VLOOKUP($D210,素材!$1:$1016,COLUMN($F$1),FALSE)) - LEN(SUBSTITUTE(VLOOKUP($D210,素材!$1:$1016,COLUMN($F$1),FALSE), "・", 0)) + 1), 0)</f>
        <v>0</v>
      </c>
      <c r="AE210">
        <f>IF(ISNUMBER(SEARCH(SUBSTITUTE(AE$1,RIGHT(AE$1,2),""),VLOOKUP($D210,素材!$1:$1016,COLUMN($F$1),FALSE))),VLOOKUP($C210,武器!$1:$998,COLUMN($O$1),FALSE)*VLOOKUP($D210,素材!$1:$1016,COLUMN($E$1),FALSE)/(LEN(VLOOKUP($D210,素材!$1:$1016,COLUMN($F$1),FALSE)) - LEN(SUBSTITUTE(VLOOKUP($D210,素材!$1:$1016,COLUMN($F$1),FALSE), "・", 0)) + 1), 0)</f>
        <v>0</v>
      </c>
      <c r="AF210">
        <f>IF(ISNUMBER(SEARCH(SUBSTITUTE(AF$1,RIGHT(AF$1,2),""),VLOOKUP($D210,素材!$1:$1016,COLUMN($F$1),FALSE))),VLOOKUP($C210,武器!$1:$998,COLUMN($O$1),FALSE)*VLOOKUP($D210,素材!$1:$1016,COLUMN($E$1),FALSE)/(LEN(VLOOKUP($D210,素材!$1:$1016,COLUMN($F$1),FALSE)) - LEN(SUBSTITUTE(VLOOKUP($D210,素材!$1:$1016,COLUMN($F$1),FALSE), "・", 0)) + 1), 0)</f>
        <v>0</v>
      </c>
      <c r="AG210">
        <f>IF(ISNUMBER(SEARCH(SUBSTITUTE(AG$1,RIGHT(AG$1,2),""),VLOOKUP($D210,素材!$1:$1016,COLUMN($F$1),FALSE))),VLOOKUP($C210,武器!$1:$998,COLUMN($O$1),FALSE)*VLOOKUP($D210,素材!$1:$1016,COLUMN($E$1),FALSE)/(LEN(VLOOKUP($D210,素材!$1:$1016,COLUMN($F$1),FALSE)) - LEN(SUBSTITUTE(VLOOKUP($D210,素材!$1:$1016,COLUMN($F$1),FALSE), "・", 0)) + 1), 0)</f>
        <v>0</v>
      </c>
      <c r="AH210">
        <f>IF(ISNUMBER(SEARCH(SUBSTITUTE(AH$1,RIGHT(AH$1,2),""),VLOOKUP($D210,素材!$1:$1016,COLUMN($F$1),FALSE))),VLOOKUP($C210,武器!$1:$998,COLUMN($O$1),FALSE)*VLOOKUP($D210,素材!$1:$1016,COLUMN($E$1),FALSE)/(LEN(VLOOKUP($D210,素材!$1:$1016,COLUMN($F$1),FALSE)) - LEN(SUBSTITUTE(VLOOKUP($D210,素材!$1:$1016,COLUMN($F$1),FALSE), "・", 0)) + 1), 0)</f>
        <v>0</v>
      </c>
      <c r="AI210">
        <f>IF(ISNUMBER(SEARCH(SUBSTITUTE(AI$1,RIGHT(AI$1,2),""),VLOOKUP($D210,素材!$1:$1016,COLUMN($F$1),FALSE))),VLOOKUP($C210,武器!$1:$998,COLUMN($O$1),FALSE)*VLOOKUP($D210,素材!$1:$1016,COLUMN($E$1),FALSE)/(LEN(VLOOKUP($D210,素材!$1:$1016,COLUMN($F$1),FALSE)) - LEN(SUBSTITUTE(VLOOKUP($D210,素材!$1:$1016,COLUMN($F$1),FALSE), "・", 0)) + 1), 0)</f>
        <v>0</v>
      </c>
      <c r="AJ210">
        <f>IF(ISNUMBER(SEARCH(SUBSTITUTE(AJ$1,RIGHT(AJ$1,2),""),VLOOKUP($D210,素材!$1:$1016,COLUMN($F$1),FALSE))),VLOOKUP($C210,武器!$1:$998,COLUMN($O$1),FALSE)*VLOOKUP($D210,素材!$1:$1016,COLUMN($E$1),FALSE)/(LEN(VLOOKUP($D210,素材!$1:$1016,COLUMN($F$1),FALSE)) - LEN(SUBSTITUTE(VLOOKUP($D210,素材!$1:$1016,COLUMN($F$1),FALSE), "・", 0)) + 1), 0)</f>
        <v>0</v>
      </c>
      <c r="AK210">
        <f>IF(ISNUMBER(SEARCH(SUBSTITUTE(AK$1,RIGHT(AK$1,2),""),VLOOKUP($D210,素材!$1:$1016,COLUMN($F$1),FALSE))),VLOOKUP($C210,武器!$1:$998,COLUMN($O$1),FALSE)*VLOOKUP($D210,素材!$1:$1016,COLUMN($E$1),FALSE)/(LEN(VLOOKUP($D210,素材!$1:$1016,COLUMN($F$1),FALSE)) - LEN(SUBSTITUTE(VLOOKUP($D210,素材!$1:$1016,COLUMN($F$1),FALSE), "・", 0)) + 1), 0)</f>
        <v>0</v>
      </c>
      <c r="AL210">
        <f>IF(ISNUMBER(SEARCH(SUBSTITUTE(AL$1,RIGHT(AL$1,2),""),VLOOKUP($D210,素材!$1:$1016,COLUMN($F$1),FALSE))),VLOOKUP($C210,武器!$1:$998,COLUMN($O$1),FALSE)*VLOOKUP($D210,素材!$1:$1016,COLUMN($E$1),FALSE)/(LEN(VLOOKUP($D210,素材!$1:$1016,COLUMN($F$1),FALSE)) - LEN(SUBSTITUTE(VLOOKUP($D210,素材!$1:$1016,COLUMN($F$1),FALSE), "・", 0)) + 1), 0)</f>
        <v>0</v>
      </c>
      <c r="AM210">
        <f>IF(ISNUMBER(SEARCH(SUBSTITUTE(AM$1,RIGHT(AM$1,2),""),VLOOKUP($D210,素材!$1:$1016,COLUMN($F$1),FALSE))),VLOOKUP($C210,武器!$1:$998,COLUMN($O$1),FALSE)*VLOOKUP($D210,素材!$1:$1016,COLUMN($E$1),FALSE)/(LEN(VLOOKUP($D210,素材!$1:$1016,COLUMN($F$1),FALSE)) - LEN(SUBSTITUTE(VLOOKUP($D210,素材!$1:$1016,COLUMN($F$1),FALSE), "・", 0)) + 1), 0)</f>
        <v>0</v>
      </c>
      <c r="AN210">
        <f>IF(ISNUMBER(SEARCH(SUBSTITUTE(AN$1,RIGHT(AN$1,2),""),VLOOKUP($D210,素材!$1:$1016,COLUMN($F$1),FALSE))),VLOOKUP($C210,武器!$1:$998,COLUMN($O$1),FALSE)*VLOOKUP($D210,素材!$1:$1016,COLUMN($E$1),FALSE)/(LEN(VLOOKUP($D210,素材!$1:$1016,COLUMN($F$1),FALSE)) - LEN(SUBSTITUTE(VLOOKUP($D210,素材!$1:$1016,COLUMN($F$1),FALSE), "・", 0)) + 1), 0)</f>
        <v>0</v>
      </c>
      <c r="AO210">
        <f>IF(ISNUMBER(SEARCH(SUBSTITUTE(AO$1,RIGHT(AO$1,2),""),VLOOKUP($D210,素材!$1:$1016,COLUMN($F$1),FALSE))),VLOOKUP($C210,武器!$1:$998,COLUMN($O$1),FALSE)*VLOOKUP($D210,素材!$1:$1016,COLUMN($E$1),FALSE)/(LEN(VLOOKUP($D210,素材!$1:$1016,COLUMN($F$1),FALSE)) - LEN(SUBSTITUTE(VLOOKUP($D210,素材!$1:$1016,COLUMN($F$1),FALSE), "・", 0)) + 1), 0)</f>
        <v>0</v>
      </c>
      <c r="AP210">
        <f>IF(ISNUMBER(SEARCH(SUBSTITUTE(AP$1,RIGHT(AP$1,2),""),VLOOKUP($D210,素材!$1:$1016,COLUMN($F$1),FALSE))),VLOOKUP($C210,武器!$1:$998,COLUMN($O$1),FALSE)*VLOOKUP($D210,素材!$1:$1016,COLUMN($E$1),FALSE)/(LEN(VLOOKUP($D210,素材!$1:$1016,COLUMN($F$1),FALSE)) - LEN(SUBSTITUTE(VLOOKUP($D210,素材!$1:$1016,COLUMN($F$1),FALSE), "・", 0)) + 1), 0)</f>
        <v>0</v>
      </c>
      <c r="AQ210">
        <f>IF(ISNUMBER(SEARCH(SUBSTITUTE(AQ$1,RIGHT(AQ$1,2),""),VLOOKUP($D210,素材!$1:$1016,COLUMN($F$1),FALSE))),VLOOKUP($C210,武器!$1:$998,COLUMN($O$1),FALSE)*VLOOKUP($D210,素材!$1:$1016,COLUMN($E$1),FALSE)/(LEN(VLOOKUP($D210,素材!$1:$1016,COLUMN($F$1),FALSE)) - LEN(SUBSTITUTE(VLOOKUP($D210,素材!$1:$1016,COLUMN($F$1),FALSE), "・", 0)) + 1), 0)</f>
        <v>0</v>
      </c>
      <c r="AR210">
        <f>IF(ISNUMBER(SEARCH(SUBSTITUTE(AR$1,RIGHT(AR$1,2),""),VLOOKUP($D210,素材!$1:$1016,COLUMN($F$1),FALSE))),VLOOKUP($C210,武器!$1:$998,COLUMN($O$1),FALSE)*VLOOKUP($D210,素材!$1:$1016,COLUMN($E$1),FALSE)/(LEN(VLOOKUP($D210,素材!$1:$1016,COLUMN($F$1),FALSE)) - LEN(SUBSTITUTE(VLOOKUP($D210,素材!$1:$1016,COLUMN($F$1),FALSE), "・", 0)) + 1), 0)</f>
        <v>0</v>
      </c>
      <c r="AS210">
        <f>IF(ISNUMBER(SEARCH(SUBSTITUTE(AS$1,RIGHT(AS$1,2),""),VLOOKUP($D210,素材!$1:$1016,COLUMN($F$1),FALSE))),VLOOKUP($C210,武器!$1:$998,COLUMN($O$1),FALSE)*VLOOKUP($D210,素材!$1:$1016,COLUMN($E$1),FALSE)/(LEN(VLOOKUP($D210,素材!$1:$1016,COLUMN($F$1),FALSE)) - LEN(SUBSTITUTE(VLOOKUP($D210,素材!$1:$1016,COLUMN($F$1),FALSE), "・", 0)) + 1), 0)</f>
        <v>0</v>
      </c>
      <c r="AT210">
        <f>IF(ISNUMBER(SEARCH(SUBSTITUTE(AT$1,RIGHT(AT$1,2),""),VLOOKUP($D210,素材!$1:$1016,COLUMN($F$1),FALSE))),VLOOKUP($C210,武器!$1:$998,COLUMN($O$1),FALSE)*VLOOKUP($D210,素材!$1:$1016,COLUMN($E$1),FALSE)/(LEN(VLOOKUP($D210,素材!$1:$1016,COLUMN($F$1),FALSE)) - LEN(SUBSTITUTE(VLOOKUP($D210,素材!$1:$1016,COLUMN($F$1),FALSE), "・", 0)) + 1), 0)</f>
        <v>0</v>
      </c>
      <c r="AU210">
        <f>IF(ISNUMBER(SEARCH(SUBSTITUTE(AU$1,RIGHT(AU$1,2),""),VLOOKUP($D210,素材!$1:$1016,COLUMN($F$1),FALSE))),VLOOKUP($C210,武器!$1:$998,COLUMN($O$1),FALSE)*VLOOKUP($D210,素材!$1:$1016,COLUMN($E$1),FALSE)/(LEN(VLOOKUP($D210,素材!$1:$1016,COLUMN($F$1),FALSE)) - LEN(SUBSTITUTE(VLOOKUP($D210,素材!$1:$1016,COLUMN($F$1),FALSE), "・", 0)) + 1), 0)</f>
        <v>0</v>
      </c>
      <c r="AV210">
        <f>IF(ISNUMBER(SEARCH(SUBSTITUTE(AV$1,RIGHT(AV$1,2),""),VLOOKUP($D210,素材!$1:$1016,COLUMN($F$1),FALSE))),VLOOKUP($C210,武器!$1:$998,COLUMN($O$1),FALSE)*VLOOKUP($D210,素材!$1:$1016,COLUMN($E$1),FALSE)/(LEN(VLOOKUP($D210,素材!$1:$1016,COLUMN($F$1),FALSE)) - LEN(SUBSTITUTE(VLOOKUP($D210,素材!$1:$1016,COLUMN($F$1),FALSE), "・", 0)) + 1), 0)</f>
        <v>0</v>
      </c>
      <c r="AW210">
        <f>IF(ISNUMBER(SEARCH(SUBSTITUTE(AW$1,RIGHT(AW$1,2),""),VLOOKUP($D210,素材!$1:$1016,COLUMN($F$1),FALSE))),VLOOKUP($C210,武器!$1:$998,COLUMN($O$1),FALSE)*VLOOKUP($D210,素材!$1:$1016,COLUMN($E$1),FALSE)/(LEN(VLOOKUP($D210,素材!$1:$1016,COLUMN($F$1),FALSE)) - LEN(SUBSTITUTE(VLOOKUP($D210,素材!$1:$1016,COLUMN($F$1),FALSE), "・", 0)) + 1), 0)</f>
        <v>0</v>
      </c>
      <c r="AX210">
        <f>IF(ISNUMBER(SEARCH(SUBSTITUTE(AX$1,RIGHT(AX$1,2),""),VLOOKUP($D210,素材!$1:$1016,COLUMN($F$1),FALSE))),VLOOKUP($C210,武器!$1:$998,COLUMN($O$1),FALSE)*VLOOKUP($D210,素材!$1:$1016,COLUMN($E$1),FALSE)/(LEN(VLOOKUP($D210,素材!$1:$1016,COLUMN($F$1),FALSE)) - LEN(SUBSTITUTE(VLOOKUP($D210,素材!$1:$1016,COLUMN($F$1),FALSE), "・", 0)) + 1), 0)</f>
        <v>0</v>
      </c>
      <c r="AY210">
        <f>IF(ISNUMBER(SEARCH(SUBSTITUTE(AY$1,RIGHT(AY$1,2),""),VLOOKUP($D210,素材!$1:$1016,COLUMN($F$1),FALSE))),VLOOKUP($C210,武器!$1:$998,COLUMN($O$1),FALSE)*VLOOKUP($D210,素材!$1:$1016,COLUMN($E$1),FALSE)/(LEN(VLOOKUP($D210,素材!$1:$1016,COLUMN($F$1),FALSE)) - LEN(SUBSTITUTE(VLOOKUP($D210,素材!$1:$1016,COLUMN($F$1),FALSE), "・", 0)) + 1), 0)</f>
        <v>0</v>
      </c>
      <c r="AZ210">
        <f>IF(ISNUMBER(SEARCH(SUBSTITUTE(AZ$1,RIGHT(AZ$1,2),""),VLOOKUP($D210,素材!$1:$1016,COLUMN($F$1),FALSE))),VLOOKUP($C210,武器!$1:$998,COLUMN($O$1),FALSE)*VLOOKUP($D210,素材!$1:$1016,COLUMN($E$1),FALSE)/(LEN(VLOOKUP($D210,素材!$1:$1016,COLUMN($F$1),FALSE)) - LEN(SUBSTITUTE(VLOOKUP($D210,素材!$1:$1016,COLUMN($F$1),FALSE), "・", 0)) + 1), 0)</f>
        <v>0</v>
      </c>
      <c r="BA210">
        <f>IF(ISNUMBER(SEARCH(SUBSTITUTE(BA$1,RIGHT(BA$1,2),""),VLOOKUP($D210,素材!$1:$1016,COLUMN($F$1),FALSE))),VLOOKUP($C210,武器!$1:$998,COLUMN($O$1),FALSE)*VLOOKUP($D210,素材!$1:$1016,COLUMN($E$1),FALSE)/(LEN(VLOOKUP($D210,素材!$1:$1016,COLUMN($F$1),FALSE)) - LEN(SUBSTITUTE(VLOOKUP($D210,素材!$1:$1016,COLUMN($F$1),FALSE), "・", 0)) + 1), 0)</f>
        <v>0</v>
      </c>
      <c r="BB210">
        <f>IF(ISNUMBER(SEARCH(SUBSTITUTE(BB$1,RIGHT(BB$1,2),""),VLOOKUP($D210,素材!$1:$1016,COLUMN($F$1),FALSE))),VLOOKUP($C210,武器!$1:$998,COLUMN($O$1),FALSE)*VLOOKUP($D210,素材!$1:$1016,COLUMN($E$1),FALSE)/(LEN(VLOOKUP($D210,素材!$1:$1016,COLUMN($F$1),FALSE)) - LEN(SUBSTITUTE(VLOOKUP($D210,素材!$1:$1016,COLUMN($F$1),FALSE), "・", 0)) + 1), 0)</f>
        <v>0</v>
      </c>
      <c r="BC210">
        <f>IF(ISNUMBER(SEARCH(SUBSTITUTE(BC$1,RIGHT(BC$1,2),""),VLOOKUP($D210,素材!$1:$1016,COLUMN($F$1),FALSE))),VLOOKUP($C210,武器!$1:$998,COLUMN($O$1),FALSE)*VLOOKUP($D210,素材!$1:$1016,COLUMN($E$1),FALSE)/(LEN(VLOOKUP($D210,素材!$1:$1016,COLUMN($F$1),FALSE)) - LEN(SUBSTITUTE(VLOOKUP($D210,素材!$1:$1016,COLUMN($F$1),FALSE), "・", 0)) + 1), 0)</f>
        <v>0</v>
      </c>
      <c r="BD210">
        <f>IF(ISNUMBER(SEARCH(SUBSTITUTE(BD$1,RIGHT(BD$1,2),""),VLOOKUP($D210,素材!$1:$1016,COLUMN($F$1),FALSE))),VLOOKUP($C210,武器!$1:$998,COLUMN($O$1),FALSE)*VLOOKUP($D210,素材!$1:$1016,COLUMN($E$1),FALSE)/(LEN(VLOOKUP($D210,素材!$1:$1016,COLUMN($F$1),FALSE)) - LEN(SUBSTITUTE(VLOOKUP($D210,素材!$1:$1016,COLUMN($F$1),FALSE), "・", 0)) + 1), 0)</f>
        <v>0</v>
      </c>
      <c r="BE210">
        <f>IF(ISNUMBER(SEARCH(SUBSTITUTE(BE$1,RIGHT(BE$1,2),""),VLOOKUP($D210,素材!$1:$1016,COLUMN($F$1),FALSE))),VLOOKUP($C210,武器!$1:$998,COLUMN($O$1),FALSE)*VLOOKUP($D210,素材!$1:$1016,COLUMN($E$1),FALSE)/(LEN(VLOOKUP($D210,素材!$1:$1016,COLUMN($F$1),FALSE)) - LEN(SUBSTITUTE(VLOOKUP($D210,素材!$1:$1016,COLUMN($F$1),FALSE), "・", 0)) + 1), 0)</f>
        <v>0</v>
      </c>
      <c r="CL210">
        <f>SUM(G210:I210)</f>
        <v>22</v>
      </c>
      <c r="CM210" s="22" t="str">
        <f>IF(E210="武器",IF(J210-1&gt;SUM(G210:I210),"盾",IF(MAX(G210:I210)=G210,"切断",IF(MAX(G210:I210)=H210,"貫通",IF(MAX(G210:I210)=I210,"打撃","射撃")))),E210)&amp;".webp"</f>
        <v>打撃.webp</v>
      </c>
      <c r="CN210">
        <f>IFERROR(VLOOKUP($C210,武器!$1:$998,COLUMN(V$1),FALSE)*VLOOKUP($D210,素材!$1:$1016,COLUMN(N$1),FALSE)+IF(CI210="",0,VLOOKUP($CI210,装強!$1:$1008,COLUMN($CK$1),FALSE)),"")</f>
        <v>3000</v>
      </c>
      <c r="CO210">
        <f>VLOOKUP(D210,素材!$A:$O,COLUMN(素材!O$1),FALSE)</f>
        <v>0</v>
      </c>
      <c r="CP210" t="str">
        <f>VLOOKUP(C210,武器!$A:$W,COLUMN(武器!W$1),FALSE)</f>
        <v>鎚。打撃力に優れ、投擲にも対応。</v>
      </c>
      <c r="CR210" t="str">
        <f t="shared" si="29"/>
        <v>e_210</v>
      </c>
      <c r="CS210">
        <f t="shared" si="30"/>
        <v>300000</v>
      </c>
    </row>
    <row r="211" spans="1:97" outlineLevel="1" x14ac:dyDescent="0.4">
      <c r="A211" t="str">
        <f t="shared" si="28"/>
        <v>冷気鉄の戦鎚</v>
      </c>
      <c r="B211" t="str">
        <f>IFERROR(VLOOKUP($D211,素材!$1:$1016,COLUMN($B$1),FALSE)&amp;"・"&amp;VLOOKUP($C211,武器!$1:$998,COLUMN(B$1),FALSE),"")</f>
        <v>ドゥララン・ウォーハンマー</v>
      </c>
      <c r="C211" t="s">
        <v>226</v>
      </c>
      <c r="D211" s="24" t="s">
        <v>243</v>
      </c>
      <c r="E211" t="str">
        <f>IFERROR(VLOOKUP(C211,武器!$1:$998,COLUMN(C$1),FALSE),"")</f>
        <v>武器</v>
      </c>
      <c r="F211">
        <f>IFERROR(ROUNDDOWN((VLOOKUP($C211,武器!$1:$998,COLUMN(D$1),FALSE)+IFERROR(VLOOKUP($CI211,装強!$1:$999,COLUMN(F$1),FALSE),0))*VLOOKUP($D211,素材!$1:$1016,COLUMN(D$1),FALSE),0),"")</f>
        <v>125</v>
      </c>
      <c r="G211">
        <f>IFERROR(ROUNDDOWN((VLOOKUP($C211,武器!$1:$998,COLUMN(E$1),FALSE)+IFERROR(VLOOKUP($CI211,装強!$1:$999,COLUMN(G$1),FALSE),0))*VLOOKUP($D211,素材!$1:$1016,COLUMN($E$1),FALSE),0),"")</f>
        <v>0</v>
      </c>
      <c r="H211">
        <f>IFERROR(ROUNDDOWN((VLOOKUP($C211,武器!$1:$998,COLUMN(F$1),FALSE)+IFERROR(VLOOKUP($CI211,装強!$1:$999,COLUMN(H$1),FALSE),0))*VLOOKUP($D211,素材!$1:$1016,COLUMN($E$1),FALSE),0),"")</f>
        <v>0</v>
      </c>
      <c r="I211">
        <f>IFERROR(ROUNDDOWN((VLOOKUP($C211,武器!$1:$998,COLUMN(G$1),FALSE)+IFERROR(VLOOKUP($CI211,装強!$1:$999,COLUMN(I$1),FALSE),0))*VLOOKUP($D211,素材!$1:$1016,COLUMN($E$1),FALSE),0),"")</f>
        <v>24</v>
      </c>
      <c r="J211">
        <f>IFERROR(ROUNDDOWN((VLOOKUP($C211,武器!$1:$998,COLUMN(H$1),FALSE)+IFERROR(VLOOKUP($CI211,装強!$1:$999,COLUMN(J$1),FALSE),0))*VLOOKUP($D211,素材!$1:$1016,COLUMN($E$1),FALSE),0),"")</f>
        <v>21</v>
      </c>
      <c r="K211">
        <f>IFERROR(ROUNDDOWN((VLOOKUP($C211,武器!$1:$998,COLUMN(I$1),FALSE)+IFERROR(VLOOKUP($CI211,装強!$1:$999,COLUMN(K$1),FALSE),0))*VLOOKUP($D211,素材!$1:$1016,COLUMN($E$1),FALSE),0),"")</f>
        <v>0</v>
      </c>
      <c r="L211" t="str">
        <f>IFERROR(VLOOKUP($D211,素材!$1:$1016,COLUMN($F$1),FALSE),"")</f>
        <v>氷</v>
      </c>
      <c r="M211">
        <f>IFERROR(VLOOKUP($C211,武器!$1:$998,COLUMN(AA$1),FALSE)*VLOOKUP($D211,素材!$1:$1016,COLUMN($G$1),FALSE),"")</f>
        <v>42</v>
      </c>
      <c r="N211">
        <f>IFERROR(VLOOKUP($C211,武器!$1:$998,COLUMN(I$1),FALSE),"")</f>
        <v>0</v>
      </c>
      <c r="O211" s="23">
        <f>IFERROR((VLOOKUP($C211,武器!$1:$998,COLUMN(K$1),FALSE)+VLOOKUP($D211,素材!$1:$1016,COLUMN(H$1),FALSE))*100+IFERROR(VLOOKUP($CI211,装強!$1:$999,COLUMN(O$1),FALSE),0),"")</f>
        <v>10</v>
      </c>
      <c r="P211" s="23">
        <f>IFERROR((VLOOKUP($C211,武器!$1:$998,COLUMN(L$1),FALSE)+VLOOKUP($D211,素材!$1:$1016,COLUMN(I$1),FALSE))*100+IFERROR(VLOOKUP($CI211,装強!$1:$999,COLUMN(P$1),FALSE),0),"")</f>
        <v>150</v>
      </c>
      <c r="Q211">
        <f>IFERROR(ROUNDUP(VLOOKUP($C211,武器!$1:$998,COLUMN(M$1),FALSE)*(VLOOKUP($D211,素材!$1:$1002,COLUMN(D$1),FALSE)/100),1),"")</f>
        <v>-5</v>
      </c>
      <c r="R211">
        <f>IFERROR(ROUNDUP(VLOOKUP($C211,武器!$1:$998,COLUMN(N$1),FALSE)*(VLOOKUP($D211,素材!$1:$1002,COLUMN(D$1),FALSE)/100),1),"")</f>
        <v>-5</v>
      </c>
      <c r="S211">
        <f>IFERROR(VLOOKUP($C211,武器!$1:$998,COLUMN(P$1),FALSE),"")</f>
        <v>0</v>
      </c>
      <c r="T211">
        <f>IFERROR(VLOOKUP($C211,武器!$1:$998,COLUMN(Q$1),FALSE),"")</f>
        <v>0</v>
      </c>
      <c r="U211">
        <f>IFERROR(VLOOKUP($C211,武器!$1:$998,COLUMN(R$1),FALSE),"")</f>
        <v>0</v>
      </c>
      <c r="V211">
        <f>IFERROR(VLOOKUP($C211,武器!$1:$998,COLUMN(Q$1),FALSE),"")</f>
        <v>0</v>
      </c>
      <c r="W211" t="str">
        <f>IFERROR(VLOOKUP($C211,武器!$1:$998,COLUMN(T$1),FALSE),"")</f>
        <v>A</v>
      </c>
      <c r="Y211">
        <f>IFERROR(VLOOKUP($C211,武器!$1:$998,COLUMN(U$1),FALSE),"")</f>
        <v>0</v>
      </c>
      <c r="Z211">
        <f>IFERROR(ROUNDUP(VLOOKUP($C211,武器!$1:$998,COLUMN(O$1),FALSE)*VLOOKUP($D211,素材!$1:$1016,COLUMN(E$1),FALSE),1),"")</f>
        <v>0</v>
      </c>
      <c r="AA211">
        <f>IF(ISNUMBER(SEARCH(SUBSTITUTE(AA$1,RIGHT(AA$1,2),""),VLOOKUP($D211,素材!$1:$1016,COLUMN($F$1),FALSE))),VLOOKUP($C211,武器!$1:$998,COLUMN($O$1),FALSE)*VLOOKUP($D211,素材!$1:$1016,COLUMN($E$1),FALSE)/(LEN(VLOOKUP($D211,素材!$1:$1016,COLUMN($F$1),FALSE)) - LEN(SUBSTITUTE(VLOOKUP($D211,素材!$1:$1016,COLUMN($F$1),FALSE), "・", 0)) + 1), 0)</f>
        <v>0</v>
      </c>
      <c r="AB211">
        <f>IF(ISNUMBER(SEARCH(SUBSTITUTE(AB$1,RIGHT(AB$1,2),""),VLOOKUP($D211,素材!$1:$1016,COLUMN($F$1),FALSE))),VLOOKUP($C211,武器!$1:$998,COLUMN($O$1),FALSE)*VLOOKUP($D211,素材!$1:$1016,COLUMN($E$1),FALSE)/(LEN(VLOOKUP($D211,素材!$1:$1016,COLUMN($F$1),FALSE)) - LEN(SUBSTITUTE(VLOOKUP($D211,素材!$1:$1016,COLUMN($F$1),FALSE), "・", 0)) + 1), 0)</f>
        <v>0</v>
      </c>
      <c r="AC211">
        <f>IF(ISNUMBER(SEARCH(SUBSTITUTE(AC$1,RIGHT(AC$1,2),""),VLOOKUP($D211,素材!$1:$1016,COLUMN($F$1),FALSE))),VLOOKUP($C211,武器!$1:$998,COLUMN($O$1),FALSE)*VLOOKUP($D211,素材!$1:$1016,COLUMN($E$1),FALSE)/(LEN(VLOOKUP($D211,素材!$1:$1016,COLUMN($F$1),FALSE)) - LEN(SUBSTITUTE(VLOOKUP($D211,素材!$1:$1016,COLUMN($F$1),FALSE), "・", 0)) + 1), 0)</f>
        <v>0</v>
      </c>
      <c r="AD211">
        <f>IF(ISNUMBER(SEARCH(SUBSTITUTE(AD$1,RIGHT(AD$1,2),""),VLOOKUP($D211,素材!$1:$1016,COLUMN($F$1),FALSE))),VLOOKUP($C211,武器!$1:$998,COLUMN($O$1),FALSE)*VLOOKUP($D211,素材!$1:$1016,COLUMN($E$1),FALSE)/(LEN(VLOOKUP($D211,素材!$1:$1016,COLUMN($F$1),FALSE)) - LEN(SUBSTITUTE(VLOOKUP($D211,素材!$1:$1016,COLUMN($F$1),FALSE), "・", 0)) + 1), 0)</f>
        <v>0</v>
      </c>
      <c r="AE211">
        <f>IF(ISNUMBER(SEARCH(SUBSTITUTE(AE$1,RIGHT(AE$1,2),""),VLOOKUP($D211,素材!$1:$1016,COLUMN($F$1),FALSE))),VLOOKUP($C211,武器!$1:$998,COLUMN($O$1),FALSE)*VLOOKUP($D211,素材!$1:$1016,COLUMN($E$1),FALSE)/(LEN(VLOOKUP($D211,素材!$1:$1016,COLUMN($F$1),FALSE)) - LEN(SUBSTITUTE(VLOOKUP($D211,素材!$1:$1016,COLUMN($F$1),FALSE), "・", 0)) + 1), 0)</f>
        <v>0</v>
      </c>
      <c r="AF211">
        <f>IF(ISNUMBER(SEARCH(SUBSTITUTE(AF$1,RIGHT(AF$1,2),""),VLOOKUP($D211,素材!$1:$1016,COLUMN($F$1),FALSE))),VLOOKUP($C211,武器!$1:$998,COLUMN($O$1),FALSE)*VLOOKUP($D211,素材!$1:$1016,COLUMN($E$1),FALSE)/(LEN(VLOOKUP($D211,素材!$1:$1016,COLUMN($F$1),FALSE)) - LEN(SUBSTITUTE(VLOOKUP($D211,素材!$1:$1016,COLUMN($F$1),FALSE), "・", 0)) + 1), 0)</f>
        <v>0</v>
      </c>
      <c r="AG211">
        <f>IF(ISNUMBER(SEARCH(SUBSTITUTE(AG$1,RIGHT(AG$1,2),""),VLOOKUP($D211,素材!$1:$1016,COLUMN($F$1),FALSE))),VLOOKUP($C211,武器!$1:$998,COLUMN($O$1),FALSE)*VLOOKUP($D211,素材!$1:$1016,COLUMN($E$1),FALSE)/(LEN(VLOOKUP($D211,素材!$1:$1016,COLUMN($F$1),FALSE)) - LEN(SUBSTITUTE(VLOOKUP($D211,素材!$1:$1016,COLUMN($F$1),FALSE), "・", 0)) + 1), 0)</f>
        <v>0</v>
      </c>
      <c r="AH211">
        <f>IF(ISNUMBER(SEARCH(SUBSTITUTE(AH$1,RIGHT(AH$1,2),""),VLOOKUP($D211,素材!$1:$1016,COLUMN($F$1),FALSE))),VLOOKUP($C211,武器!$1:$998,COLUMN($O$1),FALSE)*VLOOKUP($D211,素材!$1:$1016,COLUMN($E$1),FALSE)/(LEN(VLOOKUP($D211,素材!$1:$1016,COLUMN($F$1),FALSE)) - LEN(SUBSTITUTE(VLOOKUP($D211,素材!$1:$1016,COLUMN($F$1),FALSE), "・", 0)) + 1), 0)</f>
        <v>0</v>
      </c>
      <c r="AI211">
        <f>IF(ISNUMBER(SEARCH(SUBSTITUTE(AI$1,RIGHT(AI$1,2),""),VLOOKUP($D211,素材!$1:$1016,COLUMN($F$1),FALSE))),VLOOKUP($C211,武器!$1:$998,COLUMN($O$1),FALSE)*VLOOKUP($D211,素材!$1:$1016,COLUMN($E$1),FALSE)/(LEN(VLOOKUP($D211,素材!$1:$1016,COLUMN($F$1),FALSE)) - LEN(SUBSTITUTE(VLOOKUP($D211,素材!$1:$1016,COLUMN($F$1),FALSE), "・", 0)) + 1), 0)</f>
        <v>0</v>
      </c>
      <c r="AJ211">
        <f>IF(ISNUMBER(SEARCH(SUBSTITUTE(AJ$1,RIGHT(AJ$1,2),""),VLOOKUP($D211,素材!$1:$1016,COLUMN($F$1),FALSE))),VLOOKUP($C211,武器!$1:$998,COLUMN($O$1),FALSE)*VLOOKUP($D211,素材!$1:$1016,COLUMN($E$1),FALSE)/(LEN(VLOOKUP($D211,素材!$1:$1016,COLUMN($F$1),FALSE)) - LEN(SUBSTITUTE(VLOOKUP($D211,素材!$1:$1016,COLUMN($F$1),FALSE), "・", 0)) + 1), 0)</f>
        <v>0</v>
      </c>
      <c r="AK211">
        <f>IF(ISNUMBER(SEARCH(SUBSTITUTE(AK$1,RIGHT(AK$1,2),""),VLOOKUP($D211,素材!$1:$1016,COLUMN($F$1),FALSE))),VLOOKUP($C211,武器!$1:$998,COLUMN($O$1),FALSE)*VLOOKUP($D211,素材!$1:$1016,COLUMN($E$1),FALSE)/(LEN(VLOOKUP($D211,素材!$1:$1016,COLUMN($F$1),FALSE)) - LEN(SUBSTITUTE(VLOOKUP($D211,素材!$1:$1016,COLUMN($F$1),FALSE), "・", 0)) + 1), 0)</f>
        <v>0</v>
      </c>
      <c r="AL211">
        <f>IF(ISNUMBER(SEARCH(SUBSTITUTE(AL$1,RIGHT(AL$1,2),""),VLOOKUP($D211,素材!$1:$1016,COLUMN($F$1),FALSE))),VLOOKUP($C211,武器!$1:$998,COLUMN($O$1),FALSE)*VLOOKUP($D211,素材!$1:$1016,COLUMN($E$1),FALSE)/(LEN(VLOOKUP($D211,素材!$1:$1016,COLUMN($F$1),FALSE)) - LEN(SUBSTITUTE(VLOOKUP($D211,素材!$1:$1016,COLUMN($F$1),FALSE), "・", 0)) + 1), 0)</f>
        <v>0</v>
      </c>
      <c r="AM211">
        <f>IF(ISNUMBER(SEARCH(SUBSTITUTE(AM$1,RIGHT(AM$1,2),""),VLOOKUP($D211,素材!$1:$1016,COLUMN($F$1),FALSE))),VLOOKUP($C211,武器!$1:$998,COLUMN($O$1),FALSE)*VLOOKUP($D211,素材!$1:$1016,COLUMN($E$1),FALSE)/(LEN(VLOOKUP($D211,素材!$1:$1016,COLUMN($F$1),FALSE)) - LEN(SUBSTITUTE(VLOOKUP($D211,素材!$1:$1016,COLUMN($F$1),FALSE), "・", 0)) + 1), 0)</f>
        <v>0</v>
      </c>
      <c r="AN211">
        <f>IF(ISNUMBER(SEARCH(SUBSTITUTE(AN$1,RIGHT(AN$1,2),""),VLOOKUP($D211,素材!$1:$1016,COLUMN($F$1),FALSE))),VLOOKUP($C211,武器!$1:$998,COLUMN($O$1),FALSE)*VLOOKUP($D211,素材!$1:$1016,COLUMN($E$1),FALSE)/(LEN(VLOOKUP($D211,素材!$1:$1016,COLUMN($F$1),FALSE)) - LEN(SUBSTITUTE(VLOOKUP($D211,素材!$1:$1016,COLUMN($F$1),FALSE), "・", 0)) + 1), 0)</f>
        <v>0</v>
      </c>
      <c r="AO211">
        <f>IF(ISNUMBER(SEARCH(SUBSTITUTE(AO$1,RIGHT(AO$1,2),""),VLOOKUP($D211,素材!$1:$1016,COLUMN($F$1),FALSE))),VLOOKUP($C211,武器!$1:$998,COLUMN($O$1),FALSE)*VLOOKUP($D211,素材!$1:$1016,COLUMN($E$1),FALSE)/(LEN(VLOOKUP($D211,素材!$1:$1016,COLUMN($F$1),FALSE)) - LEN(SUBSTITUTE(VLOOKUP($D211,素材!$1:$1016,COLUMN($F$1),FALSE), "・", 0)) + 1), 0)</f>
        <v>0</v>
      </c>
      <c r="AP211">
        <f>IF(ISNUMBER(SEARCH(SUBSTITUTE(AP$1,RIGHT(AP$1,2),""),VLOOKUP($D211,素材!$1:$1016,COLUMN($F$1),FALSE))),VLOOKUP($C211,武器!$1:$998,COLUMN($O$1),FALSE)*VLOOKUP($D211,素材!$1:$1016,COLUMN($E$1),FALSE)/(LEN(VLOOKUP($D211,素材!$1:$1016,COLUMN($F$1),FALSE)) - LEN(SUBSTITUTE(VLOOKUP($D211,素材!$1:$1016,COLUMN($F$1),FALSE), "・", 0)) + 1), 0)</f>
        <v>0</v>
      </c>
      <c r="AQ211">
        <f>IF(ISNUMBER(SEARCH(SUBSTITUTE(AQ$1,RIGHT(AQ$1,2),""),VLOOKUP($D211,素材!$1:$1016,COLUMN($F$1),FALSE))),VLOOKUP($C211,武器!$1:$998,COLUMN($O$1),FALSE)*VLOOKUP($D211,素材!$1:$1016,COLUMN($E$1),FALSE)/(LEN(VLOOKUP($D211,素材!$1:$1016,COLUMN($F$1),FALSE)) - LEN(SUBSTITUTE(VLOOKUP($D211,素材!$1:$1016,COLUMN($F$1),FALSE), "・", 0)) + 1), 0)</f>
        <v>0</v>
      </c>
      <c r="AR211">
        <f>IF(ISNUMBER(SEARCH(SUBSTITUTE(AR$1,RIGHT(AR$1,2),""),VLOOKUP($D211,素材!$1:$1016,COLUMN($F$1),FALSE))),VLOOKUP($C211,武器!$1:$998,COLUMN($O$1),FALSE)*VLOOKUP($D211,素材!$1:$1016,COLUMN($E$1),FALSE)/(LEN(VLOOKUP($D211,素材!$1:$1016,COLUMN($F$1),FALSE)) - LEN(SUBSTITUTE(VLOOKUP($D211,素材!$1:$1016,COLUMN($F$1),FALSE), "・", 0)) + 1), 0)</f>
        <v>0</v>
      </c>
      <c r="AS211">
        <f>IF(ISNUMBER(SEARCH(SUBSTITUTE(AS$1,RIGHT(AS$1,2),""),VLOOKUP($D211,素材!$1:$1016,COLUMN($F$1),FALSE))),VLOOKUP($C211,武器!$1:$998,COLUMN($O$1),FALSE)*VLOOKUP($D211,素材!$1:$1016,COLUMN($E$1),FALSE)/(LEN(VLOOKUP($D211,素材!$1:$1016,COLUMN($F$1),FALSE)) - LEN(SUBSTITUTE(VLOOKUP($D211,素材!$1:$1016,COLUMN($F$1),FALSE), "・", 0)) + 1), 0)</f>
        <v>0</v>
      </c>
      <c r="AT211">
        <f>IF(ISNUMBER(SEARCH(SUBSTITUTE(AT$1,RIGHT(AT$1,2),""),VLOOKUP($D211,素材!$1:$1016,COLUMN($F$1),FALSE))),VLOOKUP($C211,武器!$1:$998,COLUMN($O$1),FALSE)*VLOOKUP($D211,素材!$1:$1016,COLUMN($E$1),FALSE)/(LEN(VLOOKUP($D211,素材!$1:$1016,COLUMN($F$1),FALSE)) - LEN(SUBSTITUTE(VLOOKUP($D211,素材!$1:$1016,COLUMN($F$1),FALSE), "・", 0)) + 1), 0)</f>
        <v>0</v>
      </c>
      <c r="AU211">
        <f>IF(ISNUMBER(SEARCH(SUBSTITUTE(AU$1,RIGHT(AU$1,2),""),VLOOKUP($D211,素材!$1:$1016,COLUMN($F$1),FALSE))),VLOOKUP($C211,武器!$1:$998,COLUMN($O$1),FALSE)*VLOOKUP($D211,素材!$1:$1016,COLUMN($E$1),FALSE)/(LEN(VLOOKUP($D211,素材!$1:$1016,COLUMN($F$1),FALSE)) - LEN(SUBSTITUTE(VLOOKUP($D211,素材!$1:$1016,COLUMN($F$1),FALSE), "・", 0)) + 1), 0)</f>
        <v>0</v>
      </c>
      <c r="AV211">
        <f>IF(ISNUMBER(SEARCH(SUBSTITUTE(AV$1,RIGHT(AV$1,2),""),VLOOKUP($D211,素材!$1:$1016,COLUMN($F$1),FALSE))),VLOOKUP($C211,武器!$1:$998,COLUMN($O$1),FALSE)*VLOOKUP($D211,素材!$1:$1016,COLUMN($E$1),FALSE)/(LEN(VLOOKUP($D211,素材!$1:$1016,COLUMN($F$1),FALSE)) - LEN(SUBSTITUTE(VLOOKUP($D211,素材!$1:$1016,COLUMN($F$1),FALSE), "・", 0)) + 1), 0)</f>
        <v>0</v>
      </c>
      <c r="AW211">
        <f>IF(ISNUMBER(SEARCH(SUBSTITUTE(AW$1,RIGHT(AW$1,2),""),VLOOKUP($D211,素材!$1:$1016,COLUMN($F$1),FALSE))),VLOOKUP($C211,武器!$1:$998,COLUMN($O$1),FALSE)*VLOOKUP($D211,素材!$1:$1016,COLUMN($E$1),FALSE)/(LEN(VLOOKUP($D211,素材!$1:$1016,COLUMN($F$1),FALSE)) - LEN(SUBSTITUTE(VLOOKUP($D211,素材!$1:$1016,COLUMN($F$1),FALSE), "・", 0)) + 1), 0)</f>
        <v>0</v>
      </c>
      <c r="AX211">
        <f>IF(ISNUMBER(SEARCH(SUBSTITUTE(AX$1,RIGHT(AX$1,2),""),VLOOKUP($D211,素材!$1:$1016,COLUMN($F$1),FALSE))),VLOOKUP($C211,武器!$1:$998,COLUMN($O$1),FALSE)*VLOOKUP($D211,素材!$1:$1016,COLUMN($E$1),FALSE)/(LEN(VLOOKUP($D211,素材!$1:$1016,COLUMN($F$1),FALSE)) - LEN(SUBSTITUTE(VLOOKUP($D211,素材!$1:$1016,COLUMN($F$1),FALSE), "・", 0)) + 1), 0)</f>
        <v>0</v>
      </c>
      <c r="AY211">
        <f>IF(ISNUMBER(SEARCH(SUBSTITUTE(AY$1,RIGHT(AY$1,2),""),VLOOKUP($D211,素材!$1:$1016,COLUMN($F$1),FALSE))),VLOOKUP($C211,武器!$1:$998,COLUMN($O$1),FALSE)*VLOOKUP($D211,素材!$1:$1016,COLUMN($E$1),FALSE)/(LEN(VLOOKUP($D211,素材!$1:$1016,COLUMN($F$1),FALSE)) - LEN(SUBSTITUTE(VLOOKUP($D211,素材!$1:$1016,COLUMN($F$1),FALSE), "・", 0)) + 1), 0)</f>
        <v>0</v>
      </c>
      <c r="AZ211">
        <f>IF(ISNUMBER(SEARCH(SUBSTITUTE(AZ$1,RIGHT(AZ$1,2),""),VLOOKUP($D211,素材!$1:$1016,COLUMN($F$1),FALSE))),VLOOKUP($C211,武器!$1:$998,COLUMN($O$1),FALSE)*VLOOKUP($D211,素材!$1:$1016,COLUMN($E$1),FALSE)/(LEN(VLOOKUP($D211,素材!$1:$1016,COLUMN($F$1),FALSE)) - LEN(SUBSTITUTE(VLOOKUP($D211,素材!$1:$1016,COLUMN($F$1),FALSE), "・", 0)) + 1), 0)</f>
        <v>0</v>
      </c>
      <c r="BA211">
        <f>IF(ISNUMBER(SEARCH(SUBSTITUTE(BA$1,RIGHT(BA$1,2),""),VLOOKUP($D211,素材!$1:$1016,COLUMN($F$1),FALSE))),VLOOKUP($C211,武器!$1:$998,COLUMN($O$1),FALSE)*VLOOKUP($D211,素材!$1:$1016,COLUMN($E$1),FALSE)/(LEN(VLOOKUP($D211,素材!$1:$1016,COLUMN($F$1),FALSE)) - LEN(SUBSTITUTE(VLOOKUP($D211,素材!$1:$1016,COLUMN($F$1),FALSE), "・", 0)) + 1), 0)</f>
        <v>0</v>
      </c>
      <c r="BB211">
        <f>IF(ISNUMBER(SEARCH(SUBSTITUTE(BB$1,RIGHT(BB$1,2),""),VLOOKUP($D211,素材!$1:$1016,COLUMN($F$1),FALSE))),VLOOKUP($C211,武器!$1:$998,COLUMN($O$1),FALSE)*VLOOKUP($D211,素材!$1:$1016,COLUMN($E$1),FALSE)/(LEN(VLOOKUP($D211,素材!$1:$1016,COLUMN($F$1),FALSE)) - LEN(SUBSTITUTE(VLOOKUP($D211,素材!$1:$1016,COLUMN($F$1),FALSE), "・", 0)) + 1), 0)</f>
        <v>0</v>
      </c>
      <c r="BC211">
        <f>IF(ISNUMBER(SEARCH(SUBSTITUTE(BC$1,RIGHT(BC$1,2),""),VLOOKUP($D211,素材!$1:$1016,COLUMN($F$1),FALSE))),VLOOKUP($C211,武器!$1:$998,COLUMN($O$1),FALSE)*VLOOKUP($D211,素材!$1:$1016,COLUMN($E$1),FALSE)/(LEN(VLOOKUP($D211,素材!$1:$1016,COLUMN($F$1),FALSE)) - LEN(SUBSTITUTE(VLOOKUP($D211,素材!$1:$1016,COLUMN($F$1),FALSE), "・", 0)) + 1), 0)</f>
        <v>0</v>
      </c>
      <c r="BD211">
        <f>IF(ISNUMBER(SEARCH(SUBSTITUTE(BD$1,RIGHT(BD$1,2),""),VLOOKUP($D211,素材!$1:$1016,COLUMN($F$1),FALSE))),VLOOKUP($C211,武器!$1:$998,COLUMN($O$1),FALSE)*VLOOKUP($D211,素材!$1:$1016,COLUMN($E$1),FALSE)/(LEN(VLOOKUP($D211,素材!$1:$1016,COLUMN($F$1),FALSE)) - LEN(SUBSTITUTE(VLOOKUP($D211,素材!$1:$1016,COLUMN($F$1),FALSE), "・", 0)) + 1), 0)</f>
        <v>0</v>
      </c>
      <c r="BE211">
        <f>IF(ISNUMBER(SEARCH(SUBSTITUTE(BE$1,RIGHT(BE$1,2),""),VLOOKUP($D211,素材!$1:$1016,COLUMN($F$1),FALSE))),VLOOKUP($C211,武器!$1:$998,COLUMN($O$1),FALSE)*VLOOKUP($D211,素材!$1:$1016,COLUMN($E$1),FALSE)/(LEN(VLOOKUP($D211,素材!$1:$1016,COLUMN($F$1),FALSE)) - LEN(SUBSTITUTE(VLOOKUP($D211,素材!$1:$1016,COLUMN($F$1),FALSE), "・", 0)) + 1), 0)</f>
        <v>0</v>
      </c>
      <c r="CL211">
        <f>SUM(G211:I211)</f>
        <v>24</v>
      </c>
      <c r="CM211" s="22" t="str">
        <f>IF(E211="武器",IF(J211-1&gt;SUM(G211:I211),"盾",IF(MAX(G211:I211)=G211,"切断",IF(MAX(G211:I211)=H211,"貫通",IF(MAX(G211:I211)=I211,"打撃","射撃")))),E211)&amp;".webp"</f>
        <v>打撃.webp</v>
      </c>
      <c r="CN211">
        <f>IFERROR(VLOOKUP($C211,武器!$1:$998,COLUMN(V$1),FALSE)*VLOOKUP($D211,素材!$1:$1016,COLUMN(N$1),FALSE)+IF(CI211="",0,VLOOKUP($CI211,装強!$1:$1008,COLUMN($CK$1),FALSE)),"")</f>
        <v>3750</v>
      </c>
      <c r="CO211">
        <f>VLOOKUP(D211,素材!$A:$O,COLUMN(素材!O$1),FALSE)</f>
        <v>0</v>
      </c>
      <c r="CP211" t="str">
        <f>VLOOKUP(C211,武器!$A:$W,COLUMN(武器!W$1),FALSE)</f>
        <v>戦鎚。重い打撃を与える強力な武器。</v>
      </c>
      <c r="CR211" t="str">
        <f t="shared" si="29"/>
        <v>e_211</v>
      </c>
      <c r="CS211">
        <f t="shared" si="30"/>
        <v>375000</v>
      </c>
    </row>
    <row r="212" spans="1:97" outlineLevel="1" x14ac:dyDescent="0.4">
      <c r="A212" t="str">
        <f t="shared" si="28"/>
        <v>冷気鉄の鎌</v>
      </c>
      <c r="B212" t="str">
        <f>IFERROR(VLOOKUP($D212,素材!$1:$1016,COLUMN($B$1),FALSE)&amp;"・"&amp;VLOOKUP($C212,武器!$1:$998,COLUMN(B$1),FALSE),"")</f>
        <v>ドゥララン・シックル</v>
      </c>
      <c r="C212" t="s">
        <v>225</v>
      </c>
      <c r="D212" s="24" t="s">
        <v>243</v>
      </c>
      <c r="E212" t="str">
        <f>IFERROR(VLOOKUP(C212,武器!$1:$998,COLUMN(C$1),FALSE),"")</f>
        <v>武器</v>
      </c>
      <c r="F212">
        <f>IFERROR(ROUNDDOWN((VLOOKUP($C212,武器!$1:$998,COLUMN(D$1),FALSE)+IFERROR(VLOOKUP($CI212,装強!$1:$999,COLUMN(F$1),FALSE),0))*VLOOKUP($D212,素材!$1:$1016,COLUMN(D$1),FALSE),0),"")</f>
        <v>125</v>
      </c>
      <c r="G212">
        <f>IFERROR(ROUNDDOWN((VLOOKUP($C212,武器!$1:$998,COLUMN(E$1),FALSE)+IFERROR(VLOOKUP($CI212,装強!$1:$999,COLUMN(G$1),FALSE),0))*VLOOKUP($D212,素材!$1:$1016,COLUMN($E$1),FALSE),0),"")</f>
        <v>9</v>
      </c>
      <c r="H212">
        <f>IFERROR(ROUNDDOWN((VLOOKUP($C212,武器!$1:$998,COLUMN(F$1),FALSE)+IFERROR(VLOOKUP($CI212,装強!$1:$999,COLUMN(H$1),FALSE),0))*VLOOKUP($D212,素材!$1:$1016,COLUMN($E$1),FALSE),0),"")</f>
        <v>11</v>
      </c>
      <c r="I212">
        <f>IFERROR(ROUNDDOWN((VLOOKUP($C212,武器!$1:$998,COLUMN(G$1),FALSE)+IFERROR(VLOOKUP($CI212,装強!$1:$999,COLUMN(I$1),FALSE),0))*VLOOKUP($D212,素材!$1:$1016,COLUMN($E$1),FALSE),0),"")</f>
        <v>1</v>
      </c>
      <c r="J212">
        <f>IFERROR(ROUNDDOWN((VLOOKUP($C212,武器!$1:$998,COLUMN(H$1),FALSE)+IFERROR(VLOOKUP($CI212,装強!$1:$999,COLUMN(J$1),FALSE),0))*VLOOKUP($D212,素材!$1:$1016,COLUMN($E$1),FALSE),0),"")</f>
        <v>17</v>
      </c>
      <c r="K212">
        <f>IFERROR(ROUNDDOWN((VLOOKUP($C212,武器!$1:$998,COLUMN(I$1),FALSE)+IFERROR(VLOOKUP($CI212,装強!$1:$999,COLUMN(K$1),FALSE),0))*VLOOKUP($D212,素材!$1:$1016,COLUMN($E$1),FALSE),0),"")</f>
        <v>0</v>
      </c>
      <c r="L212" t="str">
        <f>IFERROR(VLOOKUP($D212,素材!$1:$1016,COLUMN($F$1),FALSE),"")</f>
        <v>氷</v>
      </c>
      <c r="M212">
        <f>IFERROR(VLOOKUP($C212,武器!$1:$998,COLUMN(AA$1),FALSE)*VLOOKUP($D212,素材!$1:$1016,COLUMN($G$1),FALSE),"")</f>
        <v>36.75</v>
      </c>
      <c r="N212">
        <f>IFERROR(VLOOKUP($C212,武器!$1:$998,COLUMN(I$1),FALSE),"")</f>
        <v>0</v>
      </c>
      <c r="O212" s="23">
        <f>IFERROR((VLOOKUP($C212,武器!$1:$998,COLUMN(K$1),FALSE)+VLOOKUP($D212,素材!$1:$1016,COLUMN(H$1),FALSE))*100+IFERROR(VLOOKUP($CI212,装強!$1:$999,COLUMN(O$1),FALSE),0),"")</f>
        <v>5</v>
      </c>
      <c r="P212" s="23">
        <f>IFERROR((VLOOKUP($C212,武器!$1:$998,COLUMN(L$1),FALSE)+VLOOKUP($D212,素材!$1:$1016,COLUMN(I$1),FALSE))*100+IFERROR(VLOOKUP($CI212,装強!$1:$999,COLUMN(P$1),FALSE),0),"")</f>
        <v>200</v>
      </c>
      <c r="Q212">
        <f>IFERROR(ROUNDUP(VLOOKUP($C212,武器!$1:$998,COLUMN(M$1),FALSE)*(VLOOKUP($D212,素材!$1:$1002,COLUMN(D$1),FALSE)/100),1),"")</f>
        <v>0</v>
      </c>
      <c r="R212">
        <f>IFERROR(ROUNDUP(VLOOKUP($C212,武器!$1:$998,COLUMN(N$1),FALSE)*(VLOOKUP($D212,素材!$1:$1002,COLUMN(D$1),FALSE)/100),1),"")</f>
        <v>0</v>
      </c>
      <c r="S212">
        <f>IFERROR(VLOOKUP($C212,武器!$1:$998,COLUMN(P$1),FALSE),"")</f>
        <v>0</v>
      </c>
      <c r="T212">
        <f>IFERROR(VLOOKUP($C212,武器!$1:$998,COLUMN(Q$1),FALSE),"")</f>
        <v>0</v>
      </c>
      <c r="U212">
        <f>IFERROR(VLOOKUP($C212,武器!$1:$998,COLUMN(R$1),FALSE),"")</f>
        <v>0</v>
      </c>
      <c r="V212">
        <f>IFERROR(VLOOKUP($C212,武器!$1:$998,COLUMN(Q$1),FALSE),"")</f>
        <v>0</v>
      </c>
      <c r="W212" t="str">
        <f>IFERROR(VLOOKUP($C212,武器!$1:$998,COLUMN(T$1),FALSE),"")</f>
        <v>A</v>
      </c>
      <c r="Y212" t="str">
        <f>IFERROR(VLOOKUP($C212,武器!$1:$998,COLUMN(U$1),FALSE),"")</f>
        <v>投擲強化、片手適性Ⅰ</v>
      </c>
      <c r="Z212">
        <f>IFERROR(ROUNDUP(VLOOKUP($C212,武器!$1:$998,COLUMN(O$1),FALSE)*VLOOKUP($D212,素材!$1:$1016,COLUMN(E$1),FALSE),1),"")</f>
        <v>0</v>
      </c>
      <c r="AA212">
        <f>IF(ISNUMBER(SEARCH(SUBSTITUTE(AA$1,RIGHT(AA$1,2),""),VLOOKUP($D212,素材!$1:$1016,COLUMN($F$1),FALSE))),VLOOKUP($C212,武器!$1:$998,COLUMN($O$1),FALSE)*VLOOKUP($D212,素材!$1:$1016,COLUMN($E$1),FALSE)/(LEN(VLOOKUP($D212,素材!$1:$1016,COLUMN($F$1),FALSE)) - LEN(SUBSTITUTE(VLOOKUP($D212,素材!$1:$1016,COLUMN($F$1),FALSE), "・", 0)) + 1), 0)</f>
        <v>0</v>
      </c>
      <c r="AB212">
        <f>IF(ISNUMBER(SEARCH(SUBSTITUTE(AB$1,RIGHT(AB$1,2),""),VLOOKUP($D212,素材!$1:$1016,COLUMN($F$1),FALSE))),VLOOKUP($C212,武器!$1:$998,COLUMN($O$1),FALSE)*VLOOKUP($D212,素材!$1:$1016,COLUMN($E$1),FALSE)/(LEN(VLOOKUP($D212,素材!$1:$1016,COLUMN($F$1),FALSE)) - LEN(SUBSTITUTE(VLOOKUP($D212,素材!$1:$1016,COLUMN($F$1),FALSE), "・", 0)) + 1), 0)</f>
        <v>0</v>
      </c>
      <c r="AC212">
        <f>IF(ISNUMBER(SEARCH(SUBSTITUTE(AC$1,RIGHT(AC$1,2),""),VLOOKUP($D212,素材!$1:$1016,COLUMN($F$1),FALSE))),VLOOKUP($C212,武器!$1:$998,COLUMN($O$1),FALSE)*VLOOKUP($D212,素材!$1:$1016,COLUMN($E$1),FALSE)/(LEN(VLOOKUP($D212,素材!$1:$1016,COLUMN($F$1),FALSE)) - LEN(SUBSTITUTE(VLOOKUP($D212,素材!$1:$1016,COLUMN($F$1),FALSE), "・", 0)) + 1), 0)</f>
        <v>0</v>
      </c>
      <c r="AD212">
        <f>IF(ISNUMBER(SEARCH(SUBSTITUTE(AD$1,RIGHT(AD$1,2),""),VLOOKUP($D212,素材!$1:$1016,COLUMN($F$1),FALSE))),VLOOKUP($C212,武器!$1:$998,COLUMN($O$1),FALSE)*VLOOKUP($D212,素材!$1:$1016,COLUMN($E$1),FALSE)/(LEN(VLOOKUP($D212,素材!$1:$1016,COLUMN($F$1),FALSE)) - LEN(SUBSTITUTE(VLOOKUP($D212,素材!$1:$1016,COLUMN($F$1),FALSE), "・", 0)) + 1), 0)</f>
        <v>0</v>
      </c>
      <c r="AE212">
        <f>IF(ISNUMBER(SEARCH(SUBSTITUTE(AE$1,RIGHT(AE$1,2),""),VLOOKUP($D212,素材!$1:$1016,COLUMN($F$1),FALSE))),VLOOKUP($C212,武器!$1:$998,COLUMN($O$1),FALSE)*VLOOKUP($D212,素材!$1:$1016,COLUMN($E$1),FALSE)/(LEN(VLOOKUP($D212,素材!$1:$1016,COLUMN($F$1),FALSE)) - LEN(SUBSTITUTE(VLOOKUP($D212,素材!$1:$1016,COLUMN($F$1),FALSE), "・", 0)) + 1), 0)</f>
        <v>0</v>
      </c>
      <c r="AF212">
        <f>IF(ISNUMBER(SEARCH(SUBSTITUTE(AF$1,RIGHT(AF$1,2),""),VLOOKUP($D212,素材!$1:$1016,COLUMN($F$1),FALSE))),VLOOKUP($C212,武器!$1:$998,COLUMN($O$1),FALSE)*VLOOKUP($D212,素材!$1:$1016,COLUMN($E$1),FALSE)/(LEN(VLOOKUP($D212,素材!$1:$1016,COLUMN($F$1),FALSE)) - LEN(SUBSTITUTE(VLOOKUP($D212,素材!$1:$1016,COLUMN($F$1),FALSE), "・", 0)) + 1), 0)</f>
        <v>0</v>
      </c>
      <c r="AG212">
        <f>IF(ISNUMBER(SEARCH(SUBSTITUTE(AG$1,RIGHT(AG$1,2),""),VLOOKUP($D212,素材!$1:$1016,COLUMN($F$1),FALSE))),VLOOKUP($C212,武器!$1:$998,COLUMN($O$1),FALSE)*VLOOKUP($D212,素材!$1:$1016,COLUMN($E$1),FALSE)/(LEN(VLOOKUP($D212,素材!$1:$1016,COLUMN($F$1),FALSE)) - LEN(SUBSTITUTE(VLOOKUP($D212,素材!$1:$1016,COLUMN($F$1),FALSE), "・", 0)) + 1), 0)</f>
        <v>0</v>
      </c>
      <c r="AH212">
        <f>IF(ISNUMBER(SEARCH(SUBSTITUTE(AH$1,RIGHT(AH$1,2),""),VLOOKUP($D212,素材!$1:$1016,COLUMN($F$1),FALSE))),VLOOKUP($C212,武器!$1:$998,COLUMN($O$1),FALSE)*VLOOKUP($D212,素材!$1:$1016,COLUMN($E$1),FALSE)/(LEN(VLOOKUP($D212,素材!$1:$1016,COLUMN($F$1),FALSE)) - LEN(SUBSTITUTE(VLOOKUP($D212,素材!$1:$1016,COLUMN($F$1),FALSE), "・", 0)) + 1), 0)</f>
        <v>0</v>
      </c>
      <c r="AI212">
        <f>IF(ISNUMBER(SEARCH(SUBSTITUTE(AI$1,RIGHT(AI$1,2),""),VLOOKUP($D212,素材!$1:$1016,COLUMN($F$1),FALSE))),VLOOKUP($C212,武器!$1:$998,COLUMN($O$1),FALSE)*VLOOKUP($D212,素材!$1:$1016,COLUMN($E$1),FALSE)/(LEN(VLOOKUP($D212,素材!$1:$1016,COLUMN($F$1),FALSE)) - LEN(SUBSTITUTE(VLOOKUP($D212,素材!$1:$1016,COLUMN($F$1),FALSE), "・", 0)) + 1), 0)</f>
        <v>0</v>
      </c>
      <c r="AJ212">
        <f>IF(ISNUMBER(SEARCH(SUBSTITUTE(AJ$1,RIGHT(AJ$1,2),""),VLOOKUP($D212,素材!$1:$1016,COLUMN($F$1),FALSE))),VLOOKUP($C212,武器!$1:$998,COLUMN($O$1),FALSE)*VLOOKUP($D212,素材!$1:$1016,COLUMN($E$1),FALSE)/(LEN(VLOOKUP($D212,素材!$1:$1016,COLUMN($F$1),FALSE)) - LEN(SUBSTITUTE(VLOOKUP($D212,素材!$1:$1016,COLUMN($F$1),FALSE), "・", 0)) + 1), 0)</f>
        <v>0</v>
      </c>
      <c r="AK212">
        <f>IF(ISNUMBER(SEARCH(SUBSTITUTE(AK$1,RIGHT(AK$1,2),""),VLOOKUP($D212,素材!$1:$1016,COLUMN($F$1),FALSE))),VLOOKUP($C212,武器!$1:$998,COLUMN($O$1),FALSE)*VLOOKUP($D212,素材!$1:$1016,COLUMN($E$1),FALSE)/(LEN(VLOOKUP($D212,素材!$1:$1016,COLUMN($F$1),FALSE)) - LEN(SUBSTITUTE(VLOOKUP($D212,素材!$1:$1016,COLUMN($F$1),FALSE), "・", 0)) + 1), 0)</f>
        <v>0</v>
      </c>
      <c r="AL212">
        <f>IF(ISNUMBER(SEARCH(SUBSTITUTE(AL$1,RIGHT(AL$1,2),""),VLOOKUP($D212,素材!$1:$1016,COLUMN($F$1),FALSE))),VLOOKUP($C212,武器!$1:$998,COLUMN($O$1),FALSE)*VLOOKUP($D212,素材!$1:$1016,COLUMN($E$1),FALSE)/(LEN(VLOOKUP($D212,素材!$1:$1016,COLUMN($F$1),FALSE)) - LEN(SUBSTITUTE(VLOOKUP($D212,素材!$1:$1016,COLUMN($F$1),FALSE), "・", 0)) + 1), 0)</f>
        <v>0</v>
      </c>
      <c r="AM212">
        <f>IF(ISNUMBER(SEARCH(SUBSTITUTE(AM$1,RIGHT(AM$1,2),""),VLOOKUP($D212,素材!$1:$1016,COLUMN($F$1),FALSE))),VLOOKUP($C212,武器!$1:$998,COLUMN($O$1),FALSE)*VLOOKUP($D212,素材!$1:$1016,COLUMN($E$1),FALSE)/(LEN(VLOOKUP($D212,素材!$1:$1016,COLUMN($F$1),FALSE)) - LEN(SUBSTITUTE(VLOOKUP($D212,素材!$1:$1016,COLUMN($F$1),FALSE), "・", 0)) + 1), 0)</f>
        <v>0</v>
      </c>
      <c r="AN212">
        <f>IF(ISNUMBER(SEARCH(SUBSTITUTE(AN$1,RIGHT(AN$1,2),""),VLOOKUP($D212,素材!$1:$1016,COLUMN($F$1),FALSE))),VLOOKUP($C212,武器!$1:$998,COLUMN($O$1),FALSE)*VLOOKUP($D212,素材!$1:$1016,COLUMN($E$1),FALSE)/(LEN(VLOOKUP($D212,素材!$1:$1016,COLUMN($F$1),FALSE)) - LEN(SUBSTITUTE(VLOOKUP($D212,素材!$1:$1016,COLUMN($F$1),FALSE), "・", 0)) + 1), 0)</f>
        <v>0</v>
      </c>
      <c r="AO212">
        <f>IF(ISNUMBER(SEARCH(SUBSTITUTE(AO$1,RIGHT(AO$1,2),""),VLOOKUP($D212,素材!$1:$1016,COLUMN($F$1),FALSE))),VLOOKUP($C212,武器!$1:$998,COLUMN($O$1),FALSE)*VLOOKUP($D212,素材!$1:$1016,COLUMN($E$1),FALSE)/(LEN(VLOOKUP($D212,素材!$1:$1016,COLUMN($F$1),FALSE)) - LEN(SUBSTITUTE(VLOOKUP($D212,素材!$1:$1016,COLUMN($F$1),FALSE), "・", 0)) + 1), 0)</f>
        <v>0</v>
      </c>
      <c r="AP212">
        <f>IF(ISNUMBER(SEARCH(SUBSTITUTE(AP$1,RIGHT(AP$1,2),""),VLOOKUP($D212,素材!$1:$1016,COLUMN($F$1),FALSE))),VLOOKUP($C212,武器!$1:$998,COLUMN($O$1),FALSE)*VLOOKUP($D212,素材!$1:$1016,COLUMN($E$1),FALSE)/(LEN(VLOOKUP($D212,素材!$1:$1016,COLUMN($F$1),FALSE)) - LEN(SUBSTITUTE(VLOOKUP($D212,素材!$1:$1016,COLUMN($F$1),FALSE), "・", 0)) + 1), 0)</f>
        <v>0</v>
      </c>
      <c r="AQ212">
        <f>IF(ISNUMBER(SEARCH(SUBSTITUTE(AQ$1,RIGHT(AQ$1,2),""),VLOOKUP($D212,素材!$1:$1016,COLUMN($F$1),FALSE))),VLOOKUP($C212,武器!$1:$998,COLUMN($O$1),FALSE)*VLOOKUP($D212,素材!$1:$1016,COLUMN($E$1),FALSE)/(LEN(VLOOKUP($D212,素材!$1:$1016,COLUMN($F$1),FALSE)) - LEN(SUBSTITUTE(VLOOKUP($D212,素材!$1:$1016,COLUMN($F$1),FALSE), "・", 0)) + 1), 0)</f>
        <v>0</v>
      </c>
      <c r="AR212">
        <f>IF(ISNUMBER(SEARCH(SUBSTITUTE(AR$1,RIGHT(AR$1,2),""),VLOOKUP($D212,素材!$1:$1016,COLUMN($F$1),FALSE))),VLOOKUP($C212,武器!$1:$998,COLUMN($O$1),FALSE)*VLOOKUP($D212,素材!$1:$1016,COLUMN($E$1),FALSE)/(LEN(VLOOKUP($D212,素材!$1:$1016,COLUMN($F$1),FALSE)) - LEN(SUBSTITUTE(VLOOKUP($D212,素材!$1:$1016,COLUMN($F$1),FALSE), "・", 0)) + 1), 0)</f>
        <v>0</v>
      </c>
      <c r="AS212">
        <f>IF(ISNUMBER(SEARCH(SUBSTITUTE(AS$1,RIGHT(AS$1,2),""),VLOOKUP($D212,素材!$1:$1016,COLUMN($F$1),FALSE))),VLOOKUP($C212,武器!$1:$998,COLUMN($O$1),FALSE)*VLOOKUP($D212,素材!$1:$1016,COLUMN($E$1),FALSE)/(LEN(VLOOKUP($D212,素材!$1:$1016,COLUMN($F$1),FALSE)) - LEN(SUBSTITUTE(VLOOKUP($D212,素材!$1:$1016,COLUMN($F$1),FALSE), "・", 0)) + 1), 0)</f>
        <v>0</v>
      </c>
      <c r="AT212">
        <f>IF(ISNUMBER(SEARCH(SUBSTITUTE(AT$1,RIGHT(AT$1,2),""),VLOOKUP($D212,素材!$1:$1016,COLUMN($F$1),FALSE))),VLOOKUP($C212,武器!$1:$998,COLUMN($O$1),FALSE)*VLOOKUP($D212,素材!$1:$1016,COLUMN($E$1),FALSE)/(LEN(VLOOKUP($D212,素材!$1:$1016,COLUMN($F$1),FALSE)) - LEN(SUBSTITUTE(VLOOKUP($D212,素材!$1:$1016,COLUMN($F$1),FALSE), "・", 0)) + 1), 0)</f>
        <v>0</v>
      </c>
      <c r="AU212">
        <f>IF(ISNUMBER(SEARCH(SUBSTITUTE(AU$1,RIGHT(AU$1,2),""),VLOOKUP($D212,素材!$1:$1016,COLUMN($F$1),FALSE))),VLOOKUP($C212,武器!$1:$998,COLUMN($O$1),FALSE)*VLOOKUP($D212,素材!$1:$1016,COLUMN($E$1),FALSE)/(LEN(VLOOKUP($D212,素材!$1:$1016,COLUMN($F$1),FALSE)) - LEN(SUBSTITUTE(VLOOKUP($D212,素材!$1:$1016,COLUMN($F$1),FALSE), "・", 0)) + 1), 0)</f>
        <v>0</v>
      </c>
      <c r="AV212">
        <f>IF(ISNUMBER(SEARCH(SUBSTITUTE(AV$1,RIGHT(AV$1,2),""),VLOOKUP($D212,素材!$1:$1016,COLUMN($F$1),FALSE))),VLOOKUP($C212,武器!$1:$998,COLUMN($O$1),FALSE)*VLOOKUP($D212,素材!$1:$1016,COLUMN($E$1),FALSE)/(LEN(VLOOKUP($D212,素材!$1:$1016,COLUMN($F$1),FALSE)) - LEN(SUBSTITUTE(VLOOKUP($D212,素材!$1:$1016,COLUMN($F$1),FALSE), "・", 0)) + 1), 0)</f>
        <v>0</v>
      </c>
      <c r="AW212">
        <f>IF(ISNUMBER(SEARCH(SUBSTITUTE(AW$1,RIGHT(AW$1,2),""),VLOOKUP($D212,素材!$1:$1016,COLUMN($F$1),FALSE))),VLOOKUP($C212,武器!$1:$998,COLUMN($O$1),FALSE)*VLOOKUP($D212,素材!$1:$1016,COLUMN($E$1),FALSE)/(LEN(VLOOKUP($D212,素材!$1:$1016,COLUMN($F$1),FALSE)) - LEN(SUBSTITUTE(VLOOKUP($D212,素材!$1:$1016,COLUMN($F$1),FALSE), "・", 0)) + 1), 0)</f>
        <v>0</v>
      </c>
      <c r="AX212">
        <f>IF(ISNUMBER(SEARCH(SUBSTITUTE(AX$1,RIGHT(AX$1,2),""),VLOOKUP($D212,素材!$1:$1016,COLUMN($F$1),FALSE))),VLOOKUP($C212,武器!$1:$998,COLUMN($O$1),FALSE)*VLOOKUP($D212,素材!$1:$1016,COLUMN($E$1),FALSE)/(LEN(VLOOKUP($D212,素材!$1:$1016,COLUMN($F$1),FALSE)) - LEN(SUBSTITUTE(VLOOKUP($D212,素材!$1:$1016,COLUMN($F$1),FALSE), "・", 0)) + 1), 0)</f>
        <v>0</v>
      </c>
      <c r="AY212">
        <f>IF(ISNUMBER(SEARCH(SUBSTITUTE(AY$1,RIGHT(AY$1,2),""),VLOOKUP($D212,素材!$1:$1016,COLUMN($F$1),FALSE))),VLOOKUP($C212,武器!$1:$998,COLUMN($O$1),FALSE)*VLOOKUP($D212,素材!$1:$1016,COLUMN($E$1),FALSE)/(LEN(VLOOKUP($D212,素材!$1:$1016,COLUMN($F$1),FALSE)) - LEN(SUBSTITUTE(VLOOKUP($D212,素材!$1:$1016,COLUMN($F$1),FALSE), "・", 0)) + 1), 0)</f>
        <v>0</v>
      </c>
      <c r="AZ212">
        <f>IF(ISNUMBER(SEARCH(SUBSTITUTE(AZ$1,RIGHT(AZ$1,2),""),VLOOKUP($D212,素材!$1:$1016,COLUMN($F$1),FALSE))),VLOOKUP($C212,武器!$1:$998,COLUMN($O$1),FALSE)*VLOOKUP($D212,素材!$1:$1016,COLUMN($E$1),FALSE)/(LEN(VLOOKUP($D212,素材!$1:$1016,COLUMN($F$1),FALSE)) - LEN(SUBSTITUTE(VLOOKUP($D212,素材!$1:$1016,COLUMN($F$1),FALSE), "・", 0)) + 1), 0)</f>
        <v>0</v>
      </c>
      <c r="BA212">
        <f>IF(ISNUMBER(SEARCH(SUBSTITUTE(BA$1,RIGHT(BA$1,2),""),VLOOKUP($D212,素材!$1:$1016,COLUMN($F$1),FALSE))),VLOOKUP($C212,武器!$1:$998,COLUMN($O$1),FALSE)*VLOOKUP($D212,素材!$1:$1016,COLUMN($E$1),FALSE)/(LEN(VLOOKUP($D212,素材!$1:$1016,COLUMN($F$1),FALSE)) - LEN(SUBSTITUTE(VLOOKUP($D212,素材!$1:$1016,COLUMN($F$1),FALSE), "・", 0)) + 1), 0)</f>
        <v>0</v>
      </c>
      <c r="BB212">
        <f>IF(ISNUMBER(SEARCH(SUBSTITUTE(BB$1,RIGHT(BB$1,2),""),VLOOKUP($D212,素材!$1:$1016,COLUMN($F$1),FALSE))),VLOOKUP($C212,武器!$1:$998,COLUMN($O$1),FALSE)*VLOOKUP($D212,素材!$1:$1016,COLUMN($E$1),FALSE)/(LEN(VLOOKUP($D212,素材!$1:$1016,COLUMN($F$1),FALSE)) - LEN(SUBSTITUTE(VLOOKUP($D212,素材!$1:$1016,COLUMN($F$1),FALSE), "・", 0)) + 1), 0)</f>
        <v>0</v>
      </c>
      <c r="BC212">
        <f>IF(ISNUMBER(SEARCH(SUBSTITUTE(BC$1,RIGHT(BC$1,2),""),VLOOKUP($D212,素材!$1:$1016,COLUMN($F$1),FALSE))),VLOOKUP($C212,武器!$1:$998,COLUMN($O$1),FALSE)*VLOOKUP($D212,素材!$1:$1016,COLUMN($E$1),FALSE)/(LEN(VLOOKUP($D212,素材!$1:$1016,COLUMN($F$1),FALSE)) - LEN(SUBSTITUTE(VLOOKUP($D212,素材!$1:$1016,COLUMN($F$1),FALSE), "・", 0)) + 1), 0)</f>
        <v>0</v>
      </c>
      <c r="BD212">
        <f>IF(ISNUMBER(SEARCH(SUBSTITUTE(BD$1,RIGHT(BD$1,2),""),VLOOKUP($D212,素材!$1:$1016,COLUMN($F$1),FALSE))),VLOOKUP($C212,武器!$1:$998,COLUMN($O$1),FALSE)*VLOOKUP($D212,素材!$1:$1016,COLUMN($E$1),FALSE)/(LEN(VLOOKUP($D212,素材!$1:$1016,COLUMN($F$1),FALSE)) - LEN(SUBSTITUTE(VLOOKUP($D212,素材!$1:$1016,COLUMN($F$1),FALSE), "・", 0)) + 1), 0)</f>
        <v>0</v>
      </c>
      <c r="BE212">
        <f>IF(ISNUMBER(SEARCH(SUBSTITUTE(BE$1,RIGHT(BE$1,2),""),VLOOKUP($D212,素材!$1:$1016,COLUMN($F$1),FALSE))),VLOOKUP($C212,武器!$1:$998,COLUMN($O$1),FALSE)*VLOOKUP($D212,素材!$1:$1016,COLUMN($E$1),FALSE)/(LEN(VLOOKUP($D212,素材!$1:$1016,COLUMN($F$1),FALSE)) - LEN(SUBSTITUTE(VLOOKUP($D212,素材!$1:$1016,COLUMN($F$1),FALSE), "・", 0)) + 1), 0)</f>
        <v>0</v>
      </c>
      <c r="CL212">
        <f>SUM(G212:I212)</f>
        <v>21</v>
      </c>
      <c r="CM212" s="22" t="str">
        <f>IF(E212="武器",IF(J212-1&gt;SUM(G212:I212),"盾",IF(MAX(G212:I212)=G212,"切断",IF(MAX(G212:I212)=H212,"貫通",IF(MAX(G212:I212)=I212,"打撃","射撃")))),E212)&amp;".webp"</f>
        <v>貫通.webp</v>
      </c>
      <c r="CN212">
        <f>IFERROR(VLOOKUP($C212,武器!$1:$998,COLUMN(V$1),FALSE)*VLOOKUP($D212,素材!$1:$1016,COLUMN(N$1),FALSE)+IF(CI212="",0,VLOOKUP($CI212,装強!$1:$1008,COLUMN($CK$1),FALSE)),"")</f>
        <v>3000</v>
      </c>
      <c r="CO212">
        <f>VLOOKUP(D212,素材!$A:$O,COLUMN(素材!O$1),FALSE)</f>
        <v>0</v>
      </c>
      <c r="CP212" t="str">
        <f>VLOOKUP(C212,武器!$A:$W,COLUMN(武器!W$1),FALSE)</f>
        <v>鎌。農具を転用した武器で、鋭い斬撃を与える。</v>
      </c>
      <c r="CR212" t="str">
        <f t="shared" si="29"/>
        <v>e_212</v>
      </c>
      <c r="CS212">
        <f t="shared" si="30"/>
        <v>300000</v>
      </c>
    </row>
    <row r="213" spans="1:97" outlineLevel="1" x14ac:dyDescent="0.4">
      <c r="A213" t="str">
        <f t="shared" si="28"/>
        <v>冷気鉄の戦斧</v>
      </c>
      <c r="B213" t="str">
        <f>IFERROR(VLOOKUP($D213,素材!$1:$1016,COLUMN($B$1),FALSE)&amp;"・"&amp;VLOOKUP($C213,武器!$1:$998,COLUMN(B$1),FALSE),"")</f>
        <v>ドゥララン・バトルアックス</v>
      </c>
      <c r="C213" t="s">
        <v>224</v>
      </c>
      <c r="D213" s="24" t="s">
        <v>243</v>
      </c>
      <c r="E213" t="str">
        <f>IFERROR(VLOOKUP(C213,武器!$1:$998,COLUMN(C$1),FALSE),"")</f>
        <v>武器</v>
      </c>
      <c r="F213">
        <f>IFERROR(ROUNDDOWN((VLOOKUP($C213,武器!$1:$998,COLUMN(D$1),FALSE)+IFERROR(VLOOKUP($CI213,装強!$1:$999,COLUMN(F$1),FALSE),0))*VLOOKUP($D213,素材!$1:$1016,COLUMN(D$1),FALSE),0),"")</f>
        <v>115</v>
      </c>
      <c r="G213">
        <f>IFERROR(ROUNDDOWN((VLOOKUP($C213,武器!$1:$998,COLUMN(E$1),FALSE)+IFERROR(VLOOKUP($CI213,装強!$1:$999,COLUMN(G$1),FALSE),0))*VLOOKUP($D213,素材!$1:$1016,COLUMN($E$1),FALSE),0),"")</f>
        <v>19</v>
      </c>
      <c r="H213">
        <f>IFERROR(ROUNDDOWN((VLOOKUP($C213,武器!$1:$998,COLUMN(F$1),FALSE)+IFERROR(VLOOKUP($CI213,装強!$1:$999,COLUMN(H$1),FALSE),0))*VLOOKUP($D213,素材!$1:$1016,COLUMN($E$1),FALSE),0),"")</f>
        <v>0</v>
      </c>
      <c r="I213">
        <f>IFERROR(ROUNDDOWN((VLOOKUP($C213,武器!$1:$998,COLUMN(G$1),FALSE)+IFERROR(VLOOKUP($CI213,装強!$1:$999,COLUMN(I$1),FALSE),0))*VLOOKUP($D213,素材!$1:$1016,COLUMN($E$1),FALSE),0),"")</f>
        <v>6</v>
      </c>
      <c r="J213">
        <f>IFERROR(ROUNDDOWN((VLOOKUP($C213,武器!$1:$998,COLUMN(H$1),FALSE)+IFERROR(VLOOKUP($CI213,装強!$1:$999,COLUMN(J$1),FALSE),0))*VLOOKUP($D213,素材!$1:$1016,COLUMN($E$1),FALSE),0),"")</f>
        <v>20</v>
      </c>
      <c r="K213">
        <f>IFERROR(ROUNDDOWN((VLOOKUP($C213,武器!$1:$998,COLUMN(I$1),FALSE)+IFERROR(VLOOKUP($CI213,装強!$1:$999,COLUMN(K$1),FALSE),0))*VLOOKUP($D213,素材!$1:$1016,COLUMN($E$1),FALSE),0),"")</f>
        <v>0</v>
      </c>
      <c r="L213" t="str">
        <f>IFERROR(VLOOKUP($D213,素材!$1:$1016,COLUMN($F$1),FALSE),"")</f>
        <v>氷</v>
      </c>
      <c r="M213">
        <f>IFERROR(VLOOKUP($C213,武器!$1:$998,COLUMN(AA$1),FALSE)*VLOOKUP($D213,素材!$1:$1016,COLUMN($G$1),FALSE),"")</f>
        <v>43.75</v>
      </c>
      <c r="N213">
        <f>IFERROR(VLOOKUP($C213,武器!$1:$998,COLUMN(I$1),FALSE),"")</f>
        <v>0</v>
      </c>
      <c r="O213" s="23">
        <f>IFERROR((VLOOKUP($C213,武器!$1:$998,COLUMN(K$1),FALSE)+VLOOKUP($D213,素材!$1:$1016,COLUMN(H$1),FALSE))*100+IFERROR(VLOOKUP($CI213,装強!$1:$999,COLUMN(O$1),FALSE),0),"")</f>
        <v>5</v>
      </c>
      <c r="P213" s="23">
        <f>IFERROR((VLOOKUP($C213,武器!$1:$998,COLUMN(L$1),FALSE)+VLOOKUP($D213,素材!$1:$1016,COLUMN(I$1),FALSE))*100+IFERROR(VLOOKUP($CI213,装強!$1:$999,COLUMN(P$1),FALSE),0),"")</f>
        <v>175</v>
      </c>
      <c r="Q213">
        <f>IFERROR(ROUNDUP(VLOOKUP($C213,武器!$1:$998,COLUMN(M$1),FALSE)*(VLOOKUP($D213,素材!$1:$1002,COLUMN(D$1),FALSE)/100),1),"")</f>
        <v>-2.5</v>
      </c>
      <c r="R213">
        <f>IFERROR(ROUNDUP(VLOOKUP($C213,武器!$1:$998,COLUMN(N$1),FALSE)*(VLOOKUP($D213,素材!$1:$1002,COLUMN(D$1),FALSE)/100),1),"")</f>
        <v>0</v>
      </c>
      <c r="S213">
        <f>IFERROR(VLOOKUP($C213,武器!$1:$998,COLUMN(P$1),FALSE),"")</f>
        <v>0</v>
      </c>
      <c r="T213">
        <f>IFERROR(VLOOKUP($C213,武器!$1:$998,COLUMN(Q$1),FALSE),"")</f>
        <v>0</v>
      </c>
      <c r="U213">
        <f>IFERROR(VLOOKUP($C213,武器!$1:$998,COLUMN(R$1),FALSE),"")</f>
        <v>0</v>
      </c>
      <c r="V213">
        <f>IFERROR(VLOOKUP($C213,武器!$1:$998,COLUMN(Q$1),FALSE),"")</f>
        <v>0</v>
      </c>
      <c r="W213" t="str">
        <f>IFERROR(VLOOKUP($C213,武器!$1:$998,COLUMN(T$1),FALSE),"")</f>
        <v>A</v>
      </c>
      <c r="Y213">
        <f>IFERROR(VLOOKUP($C213,武器!$1:$998,COLUMN(U$1),FALSE),"")</f>
        <v>0</v>
      </c>
      <c r="Z213">
        <f>IFERROR(ROUNDUP(VLOOKUP($C213,武器!$1:$998,COLUMN(O$1),FALSE)*VLOOKUP($D213,素材!$1:$1016,COLUMN(E$1),FALSE),1),"")</f>
        <v>0</v>
      </c>
      <c r="AA213">
        <f>IF(ISNUMBER(SEARCH(SUBSTITUTE(AA$1,RIGHT(AA$1,2),""),VLOOKUP($D213,素材!$1:$1016,COLUMN($F$1),FALSE))),VLOOKUP($C213,武器!$1:$998,COLUMN($O$1),FALSE)*VLOOKUP($D213,素材!$1:$1016,COLUMN($E$1),FALSE)/(LEN(VLOOKUP($D213,素材!$1:$1016,COLUMN($F$1),FALSE)) - LEN(SUBSTITUTE(VLOOKUP($D213,素材!$1:$1016,COLUMN($F$1),FALSE), "・", 0)) + 1), 0)</f>
        <v>0</v>
      </c>
      <c r="AB213">
        <f>IF(ISNUMBER(SEARCH(SUBSTITUTE(AB$1,RIGHT(AB$1,2),""),VLOOKUP($D213,素材!$1:$1016,COLUMN($F$1),FALSE))),VLOOKUP($C213,武器!$1:$998,COLUMN($O$1),FALSE)*VLOOKUP($D213,素材!$1:$1016,COLUMN($E$1),FALSE)/(LEN(VLOOKUP($D213,素材!$1:$1016,COLUMN($F$1),FALSE)) - LEN(SUBSTITUTE(VLOOKUP($D213,素材!$1:$1016,COLUMN($F$1),FALSE), "・", 0)) + 1), 0)</f>
        <v>0</v>
      </c>
      <c r="AC213">
        <f>IF(ISNUMBER(SEARCH(SUBSTITUTE(AC$1,RIGHT(AC$1,2),""),VLOOKUP($D213,素材!$1:$1016,COLUMN($F$1),FALSE))),VLOOKUP($C213,武器!$1:$998,COLUMN($O$1),FALSE)*VLOOKUP($D213,素材!$1:$1016,COLUMN($E$1),FALSE)/(LEN(VLOOKUP($D213,素材!$1:$1016,COLUMN($F$1),FALSE)) - LEN(SUBSTITUTE(VLOOKUP($D213,素材!$1:$1016,COLUMN($F$1),FALSE), "・", 0)) + 1), 0)</f>
        <v>0</v>
      </c>
      <c r="AD213">
        <f>IF(ISNUMBER(SEARCH(SUBSTITUTE(AD$1,RIGHT(AD$1,2),""),VLOOKUP($D213,素材!$1:$1016,COLUMN($F$1),FALSE))),VLOOKUP($C213,武器!$1:$998,COLUMN($O$1),FALSE)*VLOOKUP($D213,素材!$1:$1016,COLUMN($E$1),FALSE)/(LEN(VLOOKUP($D213,素材!$1:$1016,COLUMN($F$1),FALSE)) - LEN(SUBSTITUTE(VLOOKUP($D213,素材!$1:$1016,COLUMN($F$1),FALSE), "・", 0)) + 1), 0)</f>
        <v>0</v>
      </c>
      <c r="AE213">
        <f>IF(ISNUMBER(SEARCH(SUBSTITUTE(AE$1,RIGHT(AE$1,2),""),VLOOKUP($D213,素材!$1:$1016,COLUMN($F$1),FALSE))),VLOOKUP($C213,武器!$1:$998,COLUMN($O$1),FALSE)*VLOOKUP($D213,素材!$1:$1016,COLUMN($E$1),FALSE)/(LEN(VLOOKUP($D213,素材!$1:$1016,COLUMN($F$1),FALSE)) - LEN(SUBSTITUTE(VLOOKUP($D213,素材!$1:$1016,COLUMN($F$1),FALSE), "・", 0)) + 1), 0)</f>
        <v>0</v>
      </c>
      <c r="AF213">
        <f>IF(ISNUMBER(SEARCH(SUBSTITUTE(AF$1,RIGHT(AF$1,2),""),VLOOKUP($D213,素材!$1:$1016,COLUMN($F$1),FALSE))),VLOOKUP($C213,武器!$1:$998,COLUMN($O$1),FALSE)*VLOOKUP($D213,素材!$1:$1016,COLUMN($E$1),FALSE)/(LEN(VLOOKUP($D213,素材!$1:$1016,COLUMN($F$1),FALSE)) - LEN(SUBSTITUTE(VLOOKUP($D213,素材!$1:$1016,COLUMN($F$1),FALSE), "・", 0)) + 1), 0)</f>
        <v>0</v>
      </c>
      <c r="AG213">
        <f>IF(ISNUMBER(SEARCH(SUBSTITUTE(AG$1,RIGHT(AG$1,2),""),VLOOKUP($D213,素材!$1:$1016,COLUMN($F$1),FALSE))),VLOOKUP($C213,武器!$1:$998,COLUMN($O$1),FALSE)*VLOOKUP($D213,素材!$1:$1016,COLUMN($E$1),FALSE)/(LEN(VLOOKUP($D213,素材!$1:$1016,COLUMN($F$1),FALSE)) - LEN(SUBSTITUTE(VLOOKUP($D213,素材!$1:$1016,COLUMN($F$1),FALSE), "・", 0)) + 1), 0)</f>
        <v>0</v>
      </c>
      <c r="AH213">
        <f>IF(ISNUMBER(SEARCH(SUBSTITUTE(AH$1,RIGHT(AH$1,2),""),VLOOKUP($D213,素材!$1:$1016,COLUMN($F$1),FALSE))),VLOOKUP($C213,武器!$1:$998,COLUMN($O$1),FALSE)*VLOOKUP($D213,素材!$1:$1016,COLUMN($E$1),FALSE)/(LEN(VLOOKUP($D213,素材!$1:$1016,COLUMN($F$1),FALSE)) - LEN(SUBSTITUTE(VLOOKUP($D213,素材!$1:$1016,COLUMN($F$1),FALSE), "・", 0)) + 1), 0)</f>
        <v>0</v>
      </c>
      <c r="AI213">
        <f>IF(ISNUMBER(SEARCH(SUBSTITUTE(AI$1,RIGHT(AI$1,2),""),VLOOKUP($D213,素材!$1:$1016,COLUMN($F$1),FALSE))),VLOOKUP($C213,武器!$1:$998,COLUMN($O$1),FALSE)*VLOOKUP($D213,素材!$1:$1016,COLUMN($E$1),FALSE)/(LEN(VLOOKUP($D213,素材!$1:$1016,COLUMN($F$1),FALSE)) - LEN(SUBSTITUTE(VLOOKUP($D213,素材!$1:$1016,COLUMN($F$1),FALSE), "・", 0)) + 1), 0)</f>
        <v>0</v>
      </c>
      <c r="AJ213">
        <f>IF(ISNUMBER(SEARCH(SUBSTITUTE(AJ$1,RIGHT(AJ$1,2),""),VLOOKUP($D213,素材!$1:$1016,COLUMN($F$1),FALSE))),VLOOKUP($C213,武器!$1:$998,COLUMN($O$1),FALSE)*VLOOKUP($D213,素材!$1:$1016,COLUMN($E$1),FALSE)/(LEN(VLOOKUP($D213,素材!$1:$1016,COLUMN($F$1),FALSE)) - LEN(SUBSTITUTE(VLOOKUP($D213,素材!$1:$1016,COLUMN($F$1),FALSE), "・", 0)) + 1), 0)</f>
        <v>0</v>
      </c>
      <c r="AK213">
        <f>IF(ISNUMBER(SEARCH(SUBSTITUTE(AK$1,RIGHT(AK$1,2),""),VLOOKUP($D213,素材!$1:$1016,COLUMN($F$1),FALSE))),VLOOKUP($C213,武器!$1:$998,COLUMN($O$1),FALSE)*VLOOKUP($D213,素材!$1:$1016,COLUMN($E$1),FALSE)/(LEN(VLOOKUP($D213,素材!$1:$1016,COLUMN($F$1),FALSE)) - LEN(SUBSTITUTE(VLOOKUP($D213,素材!$1:$1016,COLUMN($F$1),FALSE), "・", 0)) + 1), 0)</f>
        <v>0</v>
      </c>
      <c r="AL213">
        <f>IF(ISNUMBER(SEARCH(SUBSTITUTE(AL$1,RIGHT(AL$1,2),""),VLOOKUP($D213,素材!$1:$1016,COLUMN($F$1),FALSE))),VLOOKUP($C213,武器!$1:$998,COLUMN($O$1),FALSE)*VLOOKUP($D213,素材!$1:$1016,COLUMN($E$1),FALSE)/(LEN(VLOOKUP($D213,素材!$1:$1016,COLUMN($F$1),FALSE)) - LEN(SUBSTITUTE(VLOOKUP($D213,素材!$1:$1016,COLUMN($F$1),FALSE), "・", 0)) + 1), 0)</f>
        <v>0</v>
      </c>
      <c r="AM213">
        <f>IF(ISNUMBER(SEARCH(SUBSTITUTE(AM$1,RIGHT(AM$1,2),""),VLOOKUP($D213,素材!$1:$1016,COLUMN($F$1),FALSE))),VLOOKUP($C213,武器!$1:$998,COLUMN($O$1),FALSE)*VLOOKUP($D213,素材!$1:$1016,COLUMN($E$1),FALSE)/(LEN(VLOOKUP($D213,素材!$1:$1016,COLUMN($F$1),FALSE)) - LEN(SUBSTITUTE(VLOOKUP($D213,素材!$1:$1016,COLUMN($F$1),FALSE), "・", 0)) + 1), 0)</f>
        <v>0</v>
      </c>
      <c r="AN213">
        <f>IF(ISNUMBER(SEARCH(SUBSTITUTE(AN$1,RIGHT(AN$1,2),""),VLOOKUP($D213,素材!$1:$1016,COLUMN($F$1),FALSE))),VLOOKUP($C213,武器!$1:$998,COLUMN($O$1),FALSE)*VLOOKUP($D213,素材!$1:$1016,COLUMN($E$1),FALSE)/(LEN(VLOOKUP($D213,素材!$1:$1016,COLUMN($F$1),FALSE)) - LEN(SUBSTITUTE(VLOOKUP($D213,素材!$1:$1016,COLUMN($F$1),FALSE), "・", 0)) + 1), 0)</f>
        <v>0</v>
      </c>
      <c r="AO213">
        <f>IF(ISNUMBER(SEARCH(SUBSTITUTE(AO$1,RIGHT(AO$1,2),""),VLOOKUP($D213,素材!$1:$1016,COLUMN($F$1),FALSE))),VLOOKUP($C213,武器!$1:$998,COLUMN($O$1),FALSE)*VLOOKUP($D213,素材!$1:$1016,COLUMN($E$1),FALSE)/(LEN(VLOOKUP($D213,素材!$1:$1016,COLUMN($F$1),FALSE)) - LEN(SUBSTITUTE(VLOOKUP($D213,素材!$1:$1016,COLUMN($F$1),FALSE), "・", 0)) + 1), 0)</f>
        <v>0</v>
      </c>
      <c r="AP213">
        <f>IF(ISNUMBER(SEARCH(SUBSTITUTE(AP$1,RIGHT(AP$1,2),""),VLOOKUP($D213,素材!$1:$1016,COLUMN($F$1),FALSE))),VLOOKUP($C213,武器!$1:$998,COLUMN($O$1),FALSE)*VLOOKUP($D213,素材!$1:$1016,COLUMN($E$1),FALSE)/(LEN(VLOOKUP($D213,素材!$1:$1016,COLUMN($F$1),FALSE)) - LEN(SUBSTITUTE(VLOOKUP($D213,素材!$1:$1016,COLUMN($F$1),FALSE), "・", 0)) + 1), 0)</f>
        <v>0</v>
      </c>
      <c r="AQ213">
        <f>IF(ISNUMBER(SEARCH(SUBSTITUTE(AQ$1,RIGHT(AQ$1,2),""),VLOOKUP($D213,素材!$1:$1016,COLUMN($F$1),FALSE))),VLOOKUP($C213,武器!$1:$998,COLUMN($O$1),FALSE)*VLOOKUP($D213,素材!$1:$1016,COLUMN($E$1),FALSE)/(LEN(VLOOKUP($D213,素材!$1:$1016,COLUMN($F$1),FALSE)) - LEN(SUBSTITUTE(VLOOKUP($D213,素材!$1:$1016,COLUMN($F$1),FALSE), "・", 0)) + 1), 0)</f>
        <v>0</v>
      </c>
      <c r="AR213">
        <f>IF(ISNUMBER(SEARCH(SUBSTITUTE(AR$1,RIGHT(AR$1,2),""),VLOOKUP($D213,素材!$1:$1016,COLUMN($F$1),FALSE))),VLOOKUP($C213,武器!$1:$998,COLUMN($O$1),FALSE)*VLOOKUP($D213,素材!$1:$1016,COLUMN($E$1),FALSE)/(LEN(VLOOKUP($D213,素材!$1:$1016,COLUMN($F$1),FALSE)) - LEN(SUBSTITUTE(VLOOKUP($D213,素材!$1:$1016,COLUMN($F$1),FALSE), "・", 0)) + 1), 0)</f>
        <v>0</v>
      </c>
      <c r="AS213">
        <f>IF(ISNUMBER(SEARCH(SUBSTITUTE(AS$1,RIGHT(AS$1,2),""),VLOOKUP($D213,素材!$1:$1016,COLUMN($F$1),FALSE))),VLOOKUP($C213,武器!$1:$998,COLUMN($O$1),FALSE)*VLOOKUP($D213,素材!$1:$1016,COLUMN($E$1),FALSE)/(LEN(VLOOKUP($D213,素材!$1:$1016,COLUMN($F$1),FALSE)) - LEN(SUBSTITUTE(VLOOKUP($D213,素材!$1:$1016,COLUMN($F$1),FALSE), "・", 0)) + 1), 0)</f>
        <v>0</v>
      </c>
      <c r="AT213">
        <f>IF(ISNUMBER(SEARCH(SUBSTITUTE(AT$1,RIGHT(AT$1,2),""),VLOOKUP($D213,素材!$1:$1016,COLUMN($F$1),FALSE))),VLOOKUP($C213,武器!$1:$998,COLUMN($O$1),FALSE)*VLOOKUP($D213,素材!$1:$1016,COLUMN($E$1),FALSE)/(LEN(VLOOKUP($D213,素材!$1:$1016,COLUMN($F$1),FALSE)) - LEN(SUBSTITUTE(VLOOKUP($D213,素材!$1:$1016,COLUMN($F$1),FALSE), "・", 0)) + 1), 0)</f>
        <v>0</v>
      </c>
      <c r="AU213">
        <f>IF(ISNUMBER(SEARCH(SUBSTITUTE(AU$1,RIGHT(AU$1,2),""),VLOOKUP($D213,素材!$1:$1016,COLUMN($F$1),FALSE))),VLOOKUP($C213,武器!$1:$998,COLUMN($O$1),FALSE)*VLOOKUP($D213,素材!$1:$1016,COLUMN($E$1),FALSE)/(LEN(VLOOKUP($D213,素材!$1:$1016,COLUMN($F$1),FALSE)) - LEN(SUBSTITUTE(VLOOKUP($D213,素材!$1:$1016,COLUMN($F$1),FALSE), "・", 0)) + 1), 0)</f>
        <v>0</v>
      </c>
      <c r="AV213">
        <f>IF(ISNUMBER(SEARCH(SUBSTITUTE(AV$1,RIGHT(AV$1,2),""),VLOOKUP($D213,素材!$1:$1016,COLUMN($F$1),FALSE))),VLOOKUP($C213,武器!$1:$998,COLUMN($O$1),FALSE)*VLOOKUP($D213,素材!$1:$1016,COLUMN($E$1),FALSE)/(LEN(VLOOKUP($D213,素材!$1:$1016,COLUMN($F$1),FALSE)) - LEN(SUBSTITUTE(VLOOKUP($D213,素材!$1:$1016,COLUMN($F$1),FALSE), "・", 0)) + 1), 0)</f>
        <v>0</v>
      </c>
      <c r="AW213">
        <f>IF(ISNUMBER(SEARCH(SUBSTITUTE(AW$1,RIGHT(AW$1,2),""),VLOOKUP($D213,素材!$1:$1016,COLUMN($F$1),FALSE))),VLOOKUP($C213,武器!$1:$998,COLUMN($O$1),FALSE)*VLOOKUP($D213,素材!$1:$1016,COLUMN($E$1),FALSE)/(LEN(VLOOKUP($D213,素材!$1:$1016,COLUMN($F$1),FALSE)) - LEN(SUBSTITUTE(VLOOKUP($D213,素材!$1:$1016,COLUMN($F$1),FALSE), "・", 0)) + 1), 0)</f>
        <v>0</v>
      </c>
      <c r="AX213">
        <f>IF(ISNUMBER(SEARCH(SUBSTITUTE(AX$1,RIGHT(AX$1,2),""),VLOOKUP($D213,素材!$1:$1016,COLUMN($F$1),FALSE))),VLOOKUP($C213,武器!$1:$998,COLUMN($O$1),FALSE)*VLOOKUP($D213,素材!$1:$1016,COLUMN($E$1),FALSE)/(LEN(VLOOKUP($D213,素材!$1:$1016,COLUMN($F$1),FALSE)) - LEN(SUBSTITUTE(VLOOKUP($D213,素材!$1:$1016,COLUMN($F$1),FALSE), "・", 0)) + 1), 0)</f>
        <v>0</v>
      </c>
      <c r="AY213">
        <f>IF(ISNUMBER(SEARCH(SUBSTITUTE(AY$1,RIGHT(AY$1,2),""),VLOOKUP($D213,素材!$1:$1016,COLUMN($F$1),FALSE))),VLOOKUP($C213,武器!$1:$998,COLUMN($O$1),FALSE)*VLOOKUP($D213,素材!$1:$1016,COLUMN($E$1),FALSE)/(LEN(VLOOKUP($D213,素材!$1:$1016,COLUMN($F$1),FALSE)) - LEN(SUBSTITUTE(VLOOKUP($D213,素材!$1:$1016,COLUMN($F$1),FALSE), "・", 0)) + 1), 0)</f>
        <v>0</v>
      </c>
      <c r="AZ213">
        <f>IF(ISNUMBER(SEARCH(SUBSTITUTE(AZ$1,RIGHT(AZ$1,2),""),VLOOKUP($D213,素材!$1:$1016,COLUMN($F$1),FALSE))),VLOOKUP($C213,武器!$1:$998,COLUMN($O$1),FALSE)*VLOOKUP($D213,素材!$1:$1016,COLUMN($E$1),FALSE)/(LEN(VLOOKUP($D213,素材!$1:$1016,COLUMN($F$1),FALSE)) - LEN(SUBSTITUTE(VLOOKUP($D213,素材!$1:$1016,COLUMN($F$1),FALSE), "・", 0)) + 1), 0)</f>
        <v>0</v>
      </c>
      <c r="BA213">
        <f>IF(ISNUMBER(SEARCH(SUBSTITUTE(BA$1,RIGHT(BA$1,2),""),VLOOKUP($D213,素材!$1:$1016,COLUMN($F$1),FALSE))),VLOOKUP($C213,武器!$1:$998,COLUMN($O$1),FALSE)*VLOOKUP($D213,素材!$1:$1016,COLUMN($E$1),FALSE)/(LEN(VLOOKUP($D213,素材!$1:$1016,COLUMN($F$1),FALSE)) - LEN(SUBSTITUTE(VLOOKUP($D213,素材!$1:$1016,COLUMN($F$1),FALSE), "・", 0)) + 1), 0)</f>
        <v>0</v>
      </c>
      <c r="BB213">
        <f>IF(ISNUMBER(SEARCH(SUBSTITUTE(BB$1,RIGHT(BB$1,2),""),VLOOKUP($D213,素材!$1:$1016,COLUMN($F$1),FALSE))),VLOOKUP($C213,武器!$1:$998,COLUMN($O$1),FALSE)*VLOOKUP($D213,素材!$1:$1016,COLUMN($E$1),FALSE)/(LEN(VLOOKUP($D213,素材!$1:$1016,COLUMN($F$1),FALSE)) - LEN(SUBSTITUTE(VLOOKUP($D213,素材!$1:$1016,COLUMN($F$1),FALSE), "・", 0)) + 1), 0)</f>
        <v>0</v>
      </c>
      <c r="BC213">
        <f>IF(ISNUMBER(SEARCH(SUBSTITUTE(BC$1,RIGHT(BC$1,2),""),VLOOKUP($D213,素材!$1:$1016,COLUMN($F$1),FALSE))),VLOOKUP($C213,武器!$1:$998,COLUMN($O$1),FALSE)*VLOOKUP($D213,素材!$1:$1016,COLUMN($E$1),FALSE)/(LEN(VLOOKUP($D213,素材!$1:$1016,COLUMN($F$1),FALSE)) - LEN(SUBSTITUTE(VLOOKUP($D213,素材!$1:$1016,COLUMN($F$1),FALSE), "・", 0)) + 1), 0)</f>
        <v>0</v>
      </c>
      <c r="BD213">
        <f>IF(ISNUMBER(SEARCH(SUBSTITUTE(BD$1,RIGHT(BD$1,2),""),VLOOKUP($D213,素材!$1:$1016,COLUMN($F$1),FALSE))),VLOOKUP($C213,武器!$1:$998,COLUMN($O$1),FALSE)*VLOOKUP($D213,素材!$1:$1016,COLUMN($E$1),FALSE)/(LEN(VLOOKUP($D213,素材!$1:$1016,COLUMN($F$1),FALSE)) - LEN(SUBSTITUTE(VLOOKUP($D213,素材!$1:$1016,COLUMN($F$1),FALSE), "・", 0)) + 1), 0)</f>
        <v>0</v>
      </c>
      <c r="BE213">
        <f>IF(ISNUMBER(SEARCH(SUBSTITUTE(BE$1,RIGHT(BE$1,2),""),VLOOKUP($D213,素材!$1:$1016,COLUMN($F$1),FALSE))),VLOOKUP($C213,武器!$1:$998,COLUMN($O$1),FALSE)*VLOOKUP($D213,素材!$1:$1016,COLUMN($E$1),FALSE)/(LEN(VLOOKUP($D213,素材!$1:$1016,COLUMN($F$1),FALSE)) - LEN(SUBSTITUTE(VLOOKUP($D213,素材!$1:$1016,COLUMN($F$1),FALSE), "・", 0)) + 1), 0)</f>
        <v>0</v>
      </c>
      <c r="CL213">
        <f>SUM(G213:I213)</f>
        <v>25</v>
      </c>
      <c r="CM213" s="22" t="str">
        <f>IF(E213="武器",IF(J213-1&gt;SUM(G213:I213),"盾",IF(MAX(G213:I213)=G213,"切断",IF(MAX(G213:I213)=H213,"貫通",IF(MAX(G213:I213)=I213,"打撃","射撃")))),E213)&amp;".webp"</f>
        <v>切断.webp</v>
      </c>
      <c r="CN213">
        <f>IFERROR(VLOOKUP($C213,武器!$1:$998,COLUMN(V$1),FALSE)*VLOOKUP($D213,素材!$1:$1016,COLUMN(N$1),FALSE)+IF(CI213="",0,VLOOKUP($CI213,装強!$1:$1008,COLUMN($CK$1),FALSE)),"")</f>
        <v>3000</v>
      </c>
      <c r="CO213">
        <f>VLOOKUP(D213,素材!$A:$O,COLUMN(素材!O$1),FALSE)</f>
        <v>0</v>
      </c>
      <c r="CP213" t="str">
        <f>VLOOKUP(C213,武器!$A:$W,COLUMN(武器!W$1),FALSE)</f>
        <v>戦斧。攻撃力が高く、重いが信頼性がある武器。</v>
      </c>
      <c r="CR213" t="str">
        <f t="shared" si="29"/>
        <v>e_213</v>
      </c>
      <c r="CS213">
        <f t="shared" si="30"/>
        <v>300000</v>
      </c>
    </row>
    <row r="214" spans="1:97" outlineLevel="1" x14ac:dyDescent="0.4">
      <c r="A214" t="str">
        <f t="shared" si="28"/>
        <v>冷気鉄の鞭</v>
      </c>
      <c r="B214" t="str">
        <f>IFERROR(VLOOKUP($D214,素材!$1:$1016,COLUMN($B$1),FALSE)&amp;"・"&amp;VLOOKUP($C214,武器!$1:$998,COLUMN(B$1),FALSE),"")</f>
        <v>ドゥララン・ウィップ</v>
      </c>
      <c r="C214" t="s">
        <v>223</v>
      </c>
      <c r="D214" s="24" t="s">
        <v>243</v>
      </c>
      <c r="E214" t="str">
        <f>IFERROR(VLOOKUP(C214,武器!$1:$998,COLUMN(C$1),FALSE),"")</f>
        <v>武器</v>
      </c>
      <c r="F214">
        <f>IFERROR(ROUNDDOWN((VLOOKUP($C214,武器!$1:$998,COLUMN(D$1),FALSE)+IFERROR(VLOOKUP($CI214,装強!$1:$999,COLUMN(F$1),FALSE),0))*VLOOKUP($D214,素材!$1:$1016,COLUMN(D$1),FALSE),0),"")</f>
        <v>105</v>
      </c>
      <c r="G214">
        <f>IFERROR(ROUNDDOWN((VLOOKUP($C214,武器!$1:$998,COLUMN(E$1),FALSE)+IFERROR(VLOOKUP($CI214,装強!$1:$999,COLUMN(G$1),FALSE),0))*VLOOKUP($D214,素材!$1:$1016,COLUMN($E$1),FALSE),0),"")</f>
        <v>18</v>
      </c>
      <c r="H214">
        <f>IFERROR(ROUNDDOWN((VLOOKUP($C214,武器!$1:$998,COLUMN(F$1),FALSE)+IFERROR(VLOOKUP($CI214,装強!$1:$999,COLUMN(H$1),FALSE),0))*VLOOKUP($D214,素材!$1:$1016,COLUMN($E$1),FALSE),0),"")</f>
        <v>0</v>
      </c>
      <c r="I214">
        <f>IFERROR(ROUNDDOWN((VLOOKUP($C214,武器!$1:$998,COLUMN(G$1),FALSE)+IFERROR(VLOOKUP($CI214,装強!$1:$999,COLUMN(I$1),FALSE),0))*VLOOKUP($D214,素材!$1:$1016,COLUMN($E$1),FALSE),0),"")</f>
        <v>4</v>
      </c>
      <c r="J214">
        <f>IFERROR(ROUNDDOWN((VLOOKUP($C214,武器!$1:$998,COLUMN(H$1),FALSE)+IFERROR(VLOOKUP($CI214,装強!$1:$999,COLUMN(J$1),FALSE),0))*VLOOKUP($D214,素材!$1:$1016,COLUMN($E$1),FALSE),0),"")</f>
        <v>11</v>
      </c>
      <c r="K214">
        <f>IFERROR(ROUNDDOWN((VLOOKUP($C214,武器!$1:$998,COLUMN(I$1),FALSE)+IFERROR(VLOOKUP($CI214,装強!$1:$999,COLUMN(K$1),FALSE),0))*VLOOKUP($D214,素材!$1:$1016,COLUMN($E$1),FALSE),0),"")</f>
        <v>0</v>
      </c>
      <c r="L214" t="str">
        <f>IFERROR(VLOOKUP($D214,素材!$1:$1016,COLUMN($F$1),FALSE),"")</f>
        <v>氷</v>
      </c>
      <c r="M214">
        <f>IFERROR(VLOOKUP($C214,武器!$1:$998,COLUMN(AA$1),FALSE)*VLOOKUP($D214,素材!$1:$1016,COLUMN($G$1),FALSE),"")</f>
        <v>38.5</v>
      </c>
      <c r="N214">
        <f>IFERROR(VLOOKUP($C214,武器!$1:$998,COLUMN(I$1),FALSE),"")</f>
        <v>0</v>
      </c>
      <c r="O214" s="23">
        <f>IFERROR((VLOOKUP($C214,武器!$1:$998,COLUMN(K$1),FALSE)+VLOOKUP($D214,素材!$1:$1016,COLUMN(H$1),FALSE))*100+IFERROR(VLOOKUP($CI214,装強!$1:$999,COLUMN(O$1),FALSE),0),"")</f>
        <v>10</v>
      </c>
      <c r="P214" s="23">
        <f>IFERROR((VLOOKUP($C214,武器!$1:$998,COLUMN(L$1),FALSE)+VLOOKUP($D214,素材!$1:$1016,COLUMN(I$1),FALSE))*100+IFERROR(VLOOKUP($CI214,装強!$1:$999,COLUMN(P$1),FALSE),0),"")</f>
        <v>150</v>
      </c>
      <c r="Q214">
        <f>IFERROR(ROUNDUP(VLOOKUP($C214,武器!$1:$998,COLUMN(M$1),FALSE)*(VLOOKUP($D214,素材!$1:$1002,COLUMN(D$1),FALSE)/100),1),"")</f>
        <v>0</v>
      </c>
      <c r="R214">
        <f>IFERROR(ROUNDUP(VLOOKUP($C214,武器!$1:$998,COLUMN(N$1),FALSE)*(VLOOKUP($D214,素材!$1:$1002,COLUMN(D$1),FALSE)/100),1),"")</f>
        <v>0</v>
      </c>
      <c r="S214">
        <f>IFERROR(VLOOKUP($C214,武器!$1:$998,COLUMN(P$1),FALSE),"")</f>
        <v>1</v>
      </c>
      <c r="T214">
        <f>IFERROR(VLOOKUP($C214,武器!$1:$998,COLUMN(Q$1),FALSE),"")</f>
        <v>0</v>
      </c>
      <c r="U214">
        <f>IFERROR(VLOOKUP($C214,武器!$1:$998,COLUMN(R$1),FALSE),"")</f>
        <v>0</v>
      </c>
      <c r="V214">
        <f>IFERROR(VLOOKUP($C214,武器!$1:$998,COLUMN(Q$1),FALSE),"")</f>
        <v>0</v>
      </c>
      <c r="W214" t="str">
        <f>IFERROR(VLOOKUP($C214,武器!$1:$998,COLUMN(T$1),FALSE),"")</f>
        <v>A</v>
      </c>
      <c r="Y214">
        <f>IFERROR(VLOOKUP($C214,武器!$1:$998,COLUMN(U$1),FALSE),"")</f>
        <v>0</v>
      </c>
      <c r="Z214">
        <f>IFERROR(ROUNDUP(VLOOKUP($C214,武器!$1:$998,COLUMN(O$1),FALSE)*VLOOKUP($D214,素材!$1:$1016,COLUMN(E$1),FALSE),1),"")</f>
        <v>0</v>
      </c>
      <c r="AA214">
        <f>IF(ISNUMBER(SEARCH(SUBSTITUTE(AA$1,RIGHT(AA$1,2),""),VLOOKUP($D214,素材!$1:$1016,COLUMN($F$1),FALSE))),VLOOKUP($C214,武器!$1:$998,COLUMN($O$1),FALSE)*VLOOKUP($D214,素材!$1:$1016,COLUMN($E$1),FALSE)/(LEN(VLOOKUP($D214,素材!$1:$1016,COLUMN($F$1),FALSE)) - LEN(SUBSTITUTE(VLOOKUP($D214,素材!$1:$1016,COLUMN($F$1),FALSE), "・", 0)) + 1), 0)</f>
        <v>0</v>
      </c>
      <c r="AB214">
        <f>IF(ISNUMBER(SEARCH(SUBSTITUTE(AB$1,RIGHT(AB$1,2),""),VLOOKUP($D214,素材!$1:$1016,COLUMN($F$1),FALSE))),VLOOKUP($C214,武器!$1:$998,COLUMN($O$1),FALSE)*VLOOKUP($D214,素材!$1:$1016,COLUMN($E$1),FALSE)/(LEN(VLOOKUP($D214,素材!$1:$1016,COLUMN($F$1),FALSE)) - LEN(SUBSTITUTE(VLOOKUP($D214,素材!$1:$1016,COLUMN($F$1),FALSE), "・", 0)) + 1), 0)</f>
        <v>0</v>
      </c>
      <c r="AC214">
        <f>IF(ISNUMBER(SEARCH(SUBSTITUTE(AC$1,RIGHT(AC$1,2),""),VLOOKUP($D214,素材!$1:$1016,COLUMN($F$1),FALSE))),VLOOKUP($C214,武器!$1:$998,COLUMN($O$1),FALSE)*VLOOKUP($D214,素材!$1:$1016,COLUMN($E$1),FALSE)/(LEN(VLOOKUP($D214,素材!$1:$1016,COLUMN($F$1),FALSE)) - LEN(SUBSTITUTE(VLOOKUP($D214,素材!$1:$1016,COLUMN($F$1),FALSE), "・", 0)) + 1), 0)</f>
        <v>0</v>
      </c>
      <c r="AD214">
        <f>IF(ISNUMBER(SEARCH(SUBSTITUTE(AD$1,RIGHT(AD$1,2),""),VLOOKUP($D214,素材!$1:$1016,COLUMN($F$1),FALSE))),VLOOKUP($C214,武器!$1:$998,COLUMN($O$1),FALSE)*VLOOKUP($D214,素材!$1:$1016,COLUMN($E$1),FALSE)/(LEN(VLOOKUP($D214,素材!$1:$1016,COLUMN($F$1),FALSE)) - LEN(SUBSTITUTE(VLOOKUP($D214,素材!$1:$1016,COLUMN($F$1),FALSE), "・", 0)) + 1), 0)</f>
        <v>0</v>
      </c>
      <c r="AE214">
        <f>IF(ISNUMBER(SEARCH(SUBSTITUTE(AE$1,RIGHT(AE$1,2),""),VLOOKUP($D214,素材!$1:$1016,COLUMN($F$1),FALSE))),VLOOKUP($C214,武器!$1:$998,COLUMN($O$1),FALSE)*VLOOKUP($D214,素材!$1:$1016,COLUMN($E$1),FALSE)/(LEN(VLOOKUP($D214,素材!$1:$1016,COLUMN($F$1),FALSE)) - LEN(SUBSTITUTE(VLOOKUP($D214,素材!$1:$1016,COLUMN($F$1),FALSE), "・", 0)) + 1), 0)</f>
        <v>0</v>
      </c>
      <c r="AF214">
        <f>IF(ISNUMBER(SEARCH(SUBSTITUTE(AF$1,RIGHT(AF$1,2),""),VLOOKUP($D214,素材!$1:$1016,COLUMN($F$1),FALSE))),VLOOKUP($C214,武器!$1:$998,COLUMN($O$1),FALSE)*VLOOKUP($D214,素材!$1:$1016,COLUMN($E$1),FALSE)/(LEN(VLOOKUP($D214,素材!$1:$1016,COLUMN($F$1),FALSE)) - LEN(SUBSTITUTE(VLOOKUP($D214,素材!$1:$1016,COLUMN($F$1),FALSE), "・", 0)) + 1), 0)</f>
        <v>0</v>
      </c>
      <c r="AG214">
        <f>IF(ISNUMBER(SEARCH(SUBSTITUTE(AG$1,RIGHT(AG$1,2),""),VLOOKUP($D214,素材!$1:$1016,COLUMN($F$1),FALSE))),VLOOKUP($C214,武器!$1:$998,COLUMN($O$1),FALSE)*VLOOKUP($D214,素材!$1:$1016,COLUMN($E$1),FALSE)/(LEN(VLOOKUP($D214,素材!$1:$1016,COLUMN($F$1),FALSE)) - LEN(SUBSTITUTE(VLOOKUP($D214,素材!$1:$1016,COLUMN($F$1),FALSE), "・", 0)) + 1), 0)</f>
        <v>0</v>
      </c>
      <c r="AH214">
        <f>IF(ISNUMBER(SEARCH(SUBSTITUTE(AH$1,RIGHT(AH$1,2),""),VLOOKUP($D214,素材!$1:$1016,COLUMN($F$1),FALSE))),VLOOKUP($C214,武器!$1:$998,COLUMN($O$1),FALSE)*VLOOKUP($D214,素材!$1:$1016,COLUMN($E$1),FALSE)/(LEN(VLOOKUP($D214,素材!$1:$1016,COLUMN($F$1),FALSE)) - LEN(SUBSTITUTE(VLOOKUP($D214,素材!$1:$1016,COLUMN($F$1),FALSE), "・", 0)) + 1), 0)</f>
        <v>0</v>
      </c>
      <c r="AI214">
        <f>IF(ISNUMBER(SEARCH(SUBSTITUTE(AI$1,RIGHT(AI$1,2),""),VLOOKUP($D214,素材!$1:$1016,COLUMN($F$1),FALSE))),VLOOKUP($C214,武器!$1:$998,COLUMN($O$1),FALSE)*VLOOKUP($D214,素材!$1:$1016,COLUMN($E$1),FALSE)/(LEN(VLOOKUP($D214,素材!$1:$1016,COLUMN($F$1),FALSE)) - LEN(SUBSTITUTE(VLOOKUP($D214,素材!$1:$1016,COLUMN($F$1),FALSE), "・", 0)) + 1), 0)</f>
        <v>0</v>
      </c>
      <c r="AJ214">
        <f>IF(ISNUMBER(SEARCH(SUBSTITUTE(AJ$1,RIGHT(AJ$1,2),""),VLOOKUP($D214,素材!$1:$1016,COLUMN($F$1),FALSE))),VLOOKUP($C214,武器!$1:$998,COLUMN($O$1),FALSE)*VLOOKUP($D214,素材!$1:$1016,COLUMN($E$1),FALSE)/(LEN(VLOOKUP($D214,素材!$1:$1016,COLUMN($F$1),FALSE)) - LEN(SUBSTITUTE(VLOOKUP($D214,素材!$1:$1016,COLUMN($F$1),FALSE), "・", 0)) + 1), 0)</f>
        <v>0</v>
      </c>
      <c r="AK214">
        <f>IF(ISNUMBER(SEARCH(SUBSTITUTE(AK$1,RIGHT(AK$1,2),""),VLOOKUP($D214,素材!$1:$1016,COLUMN($F$1),FALSE))),VLOOKUP($C214,武器!$1:$998,COLUMN($O$1),FALSE)*VLOOKUP($D214,素材!$1:$1016,COLUMN($E$1),FALSE)/(LEN(VLOOKUP($D214,素材!$1:$1016,COLUMN($F$1),FALSE)) - LEN(SUBSTITUTE(VLOOKUP($D214,素材!$1:$1016,COLUMN($F$1),FALSE), "・", 0)) + 1), 0)</f>
        <v>0</v>
      </c>
      <c r="AL214">
        <f>IF(ISNUMBER(SEARCH(SUBSTITUTE(AL$1,RIGHT(AL$1,2),""),VLOOKUP($D214,素材!$1:$1016,COLUMN($F$1),FALSE))),VLOOKUP($C214,武器!$1:$998,COLUMN($O$1),FALSE)*VLOOKUP($D214,素材!$1:$1016,COLUMN($E$1),FALSE)/(LEN(VLOOKUP($D214,素材!$1:$1016,COLUMN($F$1),FALSE)) - LEN(SUBSTITUTE(VLOOKUP($D214,素材!$1:$1016,COLUMN($F$1),FALSE), "・", 0)) + 1), 0)</f>
        <v>0</v>
      </c>
      <c r="AM214">
        <f>IF(ISNUMBER(SEARCH(SUBSTITUTE(AM$1,RIGHT(AM$1,2),""),VLOOKUP($D214,素材!$1:$1016,COLUMN($F$1),FALSE))),VLOOKUP($C214,武器!$1:$998,COLUMN($O$1),FALSE)*VLOOKUP($D214,素材!$1:$1016,COLUMN($E$1),FALSE)/(LEN(VLOOKUP($D214,素材!$1:$1016,COLUMN($F$1),FALSE)) - LEN(SUBSTITUTE(VLOOKUP($D214,素材!$1:$1016,COLUMN($F$1),FALSE), "・", 0)) + 1), 0)</f>
        <v>0</v>
      </c>
      <c r="AN214">
        <f>IF(ISNUMBER(SEARCH(SUBSTITUTE(AN$1,RIGHT(AN$1,2),""),VLOOKUP($D214,素材!$1:$1016,COLUMN($F$1),FALSE))),VLOOKUP($C214,武器!$1:$998,COLUMN($O$1),FALSE)*VLOOKUP($D214,素材!$1:$1016,COLUMN($E$1),FALSE)/(LEN(VLOOKUP($D214,素材!$1:$1016,COLUMN($F$1),FALSE)) - LEN(SUBSTITUTE(VLOOKUP($D214,素材!$1:$1016,COLUMN($F$1),FALSE), "・", 0)) + 1), 0)</f>
        <v>0</v>
      </c>
      <c r="AO214">
        <f>IF(ISNUMBER(SEARCH(SUBSTITUTE(AO$1,RIGHT(AO$1,2),""),VLOOKUP($D214,素材!$1:$1016,COLUMN($F$1),FALSE))),VLOOKUP($C214,武器!$1:$998,COLUMN($O$1),FALSE)*VLOOKUP($D214,素材!$1:$1016,COLUMN($E$1),FALSE)/(LEN(VLOOKUP($D214,素材!$1:$1016,COLUMN($F$1),FALSE)) - LEN(SUBSTITUTE(VLOOKUP($D214,素材!$1:$1016,COLUMN($F$1),FALSE), "・", 0)) + 1), 0)</f>
        <v>0</v>
      </c>
      <c r="AP214">
        <f>IF(ISNUMBER(SEARCH(SUBSTITUTE(AP$1,RIGHT(AP$1,2),""),VLOOKUP($D214,素材!$1:$1016,COLUMN($F$1),FALSE))),VLOOKUP($C214,武器!$1:$998,COLUMN($O$1),FALSE)*VLOOKUP($D214,素材!$1:$1016,COLUMN($E$1),FALSE)/(LEN(VLOOKUP($D214,素材!$1:$1016,COLUMN($F$1),FALSE)) - LEN(SUBSTITUTE(VLOOKUP($D214,素材!$1:$1016,COLUMN($F$1),FALSE), "・", 0)) + 1), 0)</f>
        <v>0</v>
      </c>
      <c r="AQ214">
        <f>IF(ISNUMBER(SEARCH(SUBSTITUTE(AQ$1,RIGHT(AQ$1,2),""),VLOOKUP($D214,素材!$1:$1016,COLUMN($F$1),FALSE))),VLOOKUP($C214,武器!$1:$998,COLUMN($O$1),FALSE)*VLOOKUP($D214,素材!$1:$1016,COLUMN($E$1),FALSE)/(LEN(VLOOKUP($D214,素材!$1:$1016,COLUMN($F$1),FALSE)) - LEN(SUBSTITUTE(VLOOKUP($D214,素材!$1:$1016,COLUMN($F$1),FALSE), "・", 0)) + 1), 0)</f>
        <v>0</v>
      </c>
      <c r="AR214">
        <f>IF(ISNUMBER(SEARCH(SUBSTITUTE(AR$1,RIGHT(AR$1,2),""),VLOOKUP($D214,素材!$1:$1016,COLUMN($F$1),FALSE))),VLOOKUP($C214,武器!$1:$998,COLUMN($O$1),FALSE)*VLOOKUP($D214,素材!$1:$1016,COLUMN($E$1),FALSE)/(LEN(VLOOKUP($D214,素材!$1:$1016,COLUMN($F$1),FALSE)) - LEN(SUBSTITUTE(VLOOKUP($D214,素材!$1:$1016,COLUMN($F$1),FALSE), "・", 0)) + 1), 0)</f>
        <v>0</v>
      </c>
      <c r="AS214">
        <f>IF(ISNUMBER(SEARCH(SUBSTITUTE(AS$1,RIGHT(AS$1,2),""),VLOOKUP($D214,素材!$1:$1016,COLUMN($F$1),FALSE))),VLOOKUP($C214,武器!$1:$998,COLUMN($O$1),FALSE)*VLOOKUP($D214,素材!$1:$1016,COLUMN($E$1),FALSE)/(LEN(VLOOKUP($D214,素材!$1:$1016,COLUMN($F$1),FALSE)) - LEN(SUBSTITUTE(VLOOKUP($D214,素材!$1:$1016,COLUMN($F$1),FALSE), "・", 0)) + 1), 0)</f>
        <v>0</v>
      </c>
      <c r="AT214">
        <f>IF(ISNUMBER(SEARCH(SUBSTITUTE(AT$1,RIGHT(AT$1,2),""),VLOOKUP($D214,素材!$1:$1016,COLUMN($F$1),FALSE))),VLOOKUP($C214,武器!$1:$998,COLUMN($O$1),FALSE)*VLOOKUP($D214,素材!$1:$1016,COLUMN($E$1),FALSE)/(LEN(VLOOKUP($D214,素材!$1:$1016,COLUMN($F$1),FALSE)) - LEN(SUBSTITUTE(VLOOKUP($D214,素材!$1:$1016,COLUMN($F$1),FALSE), "・", 0)) + 1), 0)</f>
        <v>0</v>
      </c>
      <c r="AU214">
        <f>IF(ISNUMBER(SEARCH(SUBSTITUTE(AU$1,RIGHT(AU$1,2),""),VLOOKUP($D214,素材!$1:$1016,COLUMN($F$1),FALSE))),VLOOKUP($C214,武器!$1:$998,COLUMN($O$1),FALSE)*VLOOKUP($D214,素材!$1:$1016,COLUMN($E$1),FALSE)/(LEN(VLOOKUP($D214,素材!$1:$1016,COLUMN($F$1),FALSE)) - LEN(SUBSTITUTE(VLOOKUP($D214,素材!$1:$1016,COLUMN($F$1),FALSE), "・", 0)) + 1), 0)</f>
        <v>0</v>
      </c>
      <c r="AV214">
        <f>IF(ISNUMBER(SEARCH(SUBSTITUTE(AV$1,RIGHT(AV$1,2),""),VLOOKUP($D214,素材!$1:$1016,COLUMN($F$1),FALSE))),VLOOKUP($C214,武器!$1:$998,COLUMN($O$1),FALSE)*VLOOKUP($D214,素材!$1:$1016,COLUMN($E$1),FALSE)/(LEN(VLOOKUP($D214,素材!$1:$1016,COLUMN($F$1),FALSE)) - LEN(SUBSTITUTE(VLOOKUP($D214,素材!$1:$1016,COLUMN($F$1),FALSE), "・", 0)) + 1), 0)</f>
        <v>0</v>
      </c>
      <c r="AW214">
        <f>IF(ISNUMBER(SEARCH(SUBSTITUTE(AW$1,RIGHT(AW$1,2),""),VLOOKUP($D214,素材!$1:$1016,COLUMN($F$1),FALSE))),VLOOKUP($C214,武器!$1:$998,COLUMN($O$1),FALSE)*VLOOKUP($D214,素材!$1:$1016,COLUMN($E$1),FALSE)/(LEN(VLOOKUP($D214,素材!$1:$1016,COLUMN($F$1),FALSE)) - LEN(SUBSTITUTE(VLOOKUP($D214,素材!$1:$1016,COLUMN($F$1),FALSE), "・", 0)) + 1), 0)</f>
        <v>0</v>
      </c>
      <c r="AX214">
        <f>IF(ISNUMBER(SEARCH(SUBSTITUTE(AX$1,RIGHT(AX$1,2),""),VLOOKUP($D214,素材!$1:$1016,COLUMN($F$1),FALSE))),VLOOKUP($C214,武器!$1:$998,COLUMN($O$1),FALSE)*VLOOKUP($D214,素材!$1:$1016,COLUMN($E$1),FALSE)/(LEN(VLOOKUP($D214,素材!$1:$1016,COLUMN($F$1),FALSE)) - LEN(SUBSTITUTE(VLOOKUP($D214,素材!$1:$1016,COLUMN($F$1),FALSE), "・", 0)) + 1), 0)</f>
        <v>0</v>
      </c>
      <c r="AY214">
        <f>IF(ISNUMBER(SEARCH(SUBSTITUTE(AY$1,RIGHT(AY$1,2),""),VLOOKUP($D214,素材!$1:$1016,COLUMN($F$1),FALSE))),VLOOKUP($C214,武器!$1:$998,COLUMN($O$1),FALSE)*VLOOKUP($D214,素材!$1:$1016,COLUMN($E$1),FALSE)/(LEN(VLOOKUP($D214,素材!$1:$1016,COLUMN($F$1),FALSE)) - LEN(SUBSTITUTE(VLOOKUP($D214,素材!$1:$1016,COLUMN($F$1),FALSE), "・", 0)) + 1), 0)</f>
        <v>0</v>
      </c>
      <c r="AZ214">
        <f>IF(ISNUMBER(SEARCH(SUBSTITUTE(AZ$1,RIGHT(AZ$1,2),""),VLOOKUP($D214,素材!$1:$1016,COLUMN($F$1),FALSE))),VLOOKUP($C214,武器!$1:$998,COLUMN($O$1),FALSE)*VLOOKUP($D214,素材!$1:$1016,COLUMN($E$1),FALSE)/(LEN(VLOOKUP($D214,素材!$1:$1016,COLUMN($F$1),FALSE)) - LEN(SUBSTITUTE(VLOOKUP($D214,素材!$1:$1016,COLUMN($F$1),FALSE), "・", 0)) + 1), 0)</f>
        <v>0</v>
      </c>
      <c r="BA214">
        <f>IF(ISNUMBER(SEARCH(SUBSTITUTE(BA$1,RIGHT(BA$1,2),""),VLOOKUP($D214,素材!$1:$1016,COLUMN($F$1),FALSE))),VLOOKUP($C214,武器!$1:$998,COLUMN($O$1),FALSE)*VLOOKUP($D214,素材!$1:$1016,COLUMN($E$1),FALSE)/(LEN(VLOOKUP($D214,素材!$1:$1016,COLUMN($F$1),FALSE)) - LEN(SUBSTITUTE(VLOOKUP($D214,素材!$1:$1016,COLUMN($F$1),FALSE), "・", 0)) + 1), 0)</f>
        <v>0</v>
      </c>
      <c r="BB214">
        <f>IF(ISNUMBER(SEARCH(SUBSTITUTE(BB$1,RIGHT(BB$1,2),""),VLOOKUP($D214,素材!$1:$1016,COLUMN($F$1),FALSE))),VLOOKUP($C214,武器!$1:$998,COLUMN($O$1),FALSE)*VLOOKUP($D214,素材!$1:$1016,COLUMN($E$1),FALSE)/(LEN(VLOOKUP($D214,素材!$1:$1016,COLUMN($F$1),FALSE)) - LEN(SUBSTITUTE(VLOOKUP($D214,素材!$1:$1016,COLUMN($F$1),FALSE), "・", 0)) + 1), 0)</f>
        <v>0</v>
      </c>
      <c r="BC214">
        <f>IF(ISNUMBER(SEARCH(SUBSTITUTE(BC$1,RIGHT(BC$1,2),""),VLOOKUP($D214,素材!$1:$1016,COLUMN($F$1),FALSE))),VLOOKUP($C214,武器!$1:$998,COLUMN($O$1),FALSE)*VLOOKUP($D214,素材!$1:$1016,COLUMN($E$1),FALSE)/(LEN(VLOOKUP($D214,素材!$1:$1016,COLUMN($F$1),FALSE)) - LEN(SUBSTITUTE(VLOOKUP($D214,素材!$1:$1016,COLUMN($F$1),FALSE), "・", 0)) + 1), 0)</f>
        <v>0</v>
      </c>
      <c r="BD214">
        <f>IF(ISNUMBER(SEARCH(SUBSTITUTE(BD$1,RIGHT(BD$1,2),""),VLOOKUP($D214,素材!$1:$1016,COLUMN($F$1),FALSE))),VLOOKUP($C214,武器!$1:$998,COLUMN($O$1),FALSE)*VLOOKUP($D214,素材!$1:$1016,COLUMN($E$1),FALSE)/(LEN(VLOOKUP($D214,素材!$1:$1016,COLUMN($F$1),FALSE)) - LEN(SUBSTITUTE(VLOOKUP($D214,素材!$1:$1016,COLUMN($F$1),FALSE), "・", 0)) + 1), 0)</f>
        <v>0</v>
      </c>
      <c r="BE214">
        <f>IF(ISNUMBER(SEARCH(SUBSTITUTE(BE$1,RIGHT(BE$1,2),""),VLOOKUP($D214,素材!$1:$1016,COLUMN($F$1),FALSE))),VLOOKUP($C214,武器!$1:$998,COLUMN($O$1),FALSE)*VLOOKUP($D214,素材!$1:$1016,COLUMN($E$1),FALSE)/(LEN(VLOOKUP($D214,素材!$1:$1016,COLUMN($F$1),FALSE)) - LEN(SUBSTITUTE(VLOOKUP($D214,素材!$1:$1016,COLUMN($F$1),FALSE), "・", 0)) + 1), 0)</f>
        <v>0</v>
      </c>
      <c r="CL214">
        <f>SUM(G214:I214)</f>
        <v>22</v>
      </c>
      <c r="CM214" s="22" t="str">
        <f>IF(E214="武器",IF(J214-1&gt;SUM(G214:I214),"盾",IF(MAX(G214:I214)=G214,"切断",IF(MAX(G214:I214)=H214,"貫通",IF(MAX(G214:I214)=I214,"打撃","射撃")))),E214)&amp;".webp"</f>
        <v>切断.webp</v>
      </c>
      <c r="CN214">
        <f>IFERROR(VLOOKUP($C214,武器!$1:$998,COLUMN(V$1),FALSE)*VLOOKUP($D214,素材!$1:$1016,COLUMN(N$1),FALSE)+IF(CI214="",0,VLOOKUP($CI214,装強!$1:$1008,COLUMN($CK$1),FALSE)),"")</f>
        <v>3750</v>
      </c>
      <c r="CO214">
        <f>VLOOKUP(D214,素材!$A:$O,COLUMN(素材!O$1),FALSE)</f>
        <v>0</v>
      </c>
      <c r="CP214" t="str">
        <f>VLOOKUP(C214,武器!$A:$W,COLUMN(武器!W$1),FALSE)</f>
        <v>鞭。リーチが長く、敵を絡め取る戦闘に適する。</v>
      </c>
      <c r="CR214" t="str">
        <f t="shared" si="29"/>
        <v>e_214</v>
      </c>
      <c r="CS214">
        <f t="shared" si="30"/>
        <v>375000</v>
      </c>
    </row>
    <row r="215" spans="1:97" outlineLevel="1" x14ac:dyDescent="0.4">
      <c r="A215" t="str">
        <f t="shared" si="28"/>
        <v>冷気鉄の丸盾</v>
      </c>
      <c r="B215" t="str">
        <f>IFERROR(VLOOKUP($D215,素材!$1:$1016,COLUMN($B$1),FALSE)&amp;"・"&amp;VLOOKUP($C215,武器!$1:$998,COLUMN(B$1),FALSE),"")</f>
        <v>ドゥララン・バックラー</v>
      </c>
      <c r="C215" t="s">
        <v>222</v>
      </c>
      <c r="D215" s="24" t="s">
        <v>243</v>
      </c>
      <c r="E215" t="str">
        <f>IFERROR(VLOOKUP(C215,武器!$1:$998,COLUMN(C$1),FALSE),"")</f>
        <v>盾</v>
      </c>
      <c r="F215">
        <f>IFERROR(ROUNDDOWN((VLOOKUP($C215,武器!$1:$998,COLUMN(D$1),FALSE)+IFERROR(VLOOKUP($CI215,装強!$1:$999,COLUMN(F$1),FALSE),0))*VLOOKUP($D215,素材!$1:$1016,COLUMN(D$1),FALSE),0),"")</f>
        <v>100</v>
      </c>
      <c r="G215">
        <f>IFERROR(ROUNDDOWN((VLOOKUP($C215,武器!$1:$998,COLUMN(E$1),FALSE)+IFERROR(VLOOKUP($CI215,装強!$1:$999,COLUMN(G$1),FALSE),0))*VLOOKUP($D215,素材!$1:$1016,COLUMN($E$1),FALSE),0),"")</f>
        <v>8</v>
      </c>
      <c r="H215">
        <f>IFERROR(ROUNDDOWN((VLOOKUP($C215,武器!$1:$998,COLUMN(F$1),FALSE)+IFERROR(VLOOKUP($CI215,装強!$1:$999,COLUMN(H$1),FALSE),0))*VLOOKUP($D215,素材!$1:$1016,COLUMN($E$1),FALSE),0),"")</f>
        <v>0</v>
      </c>
      <c r="I215">
        <f>IFERROR(ROUNDDOWN((VLOOKUP($C215,武器!$1:$998,COLUMN(G$1),FALSE)+IFERROR(VLOOKUP($CI215,装強!$1:$999,COLUMN(I$1),FALSE),0))*VLOOKUP($D215,素材!$1:$1016,COLUMN($E$1),FALSE),0),"")</f>
        <v>8</v>
      </c>
      <c r="J215">
        <f>IFERROR(ROUNDDOWN((VLOOKUP($C215,武器!$1:$998,COLUMN(H$1),FALSE)+IFERROR(VLOOKUP($CI215,装強!$1:$999,COLUMN(J$1),FALSE),0))*VLOOKUP($D215,素材!$1:$1016,COLUMN($E$1),FALSE),0),"")</f>
        <v>23</v>
      </c>
      <c r="K215">
        <f>IFERROR(ROUNDDOWN((VLOOKUP($C215,武器!$1:$998,COLUMN(I$1),FALSE)+IFERROR(VLOOKUP($CI215,装強!$1:$999,COLUMN(K$1),FALSE),0))*VLOOKUP($D215,素材!$1:$1016,COLUMN($E$1),FALSE),0),"")</f>
        <v>0</v>
      </c>
      <c r="L215" t="str">
        <f>IFERROR(VLOOKUP($D215,素材!$1:$1016,COLUMN($F$1),FALSE),"")</f>
        <v>氷</v>
      </c>
      <c r="M215">
        <f>IFERROR(VLOOKUP($C215,武器!$1:$998,COLUMN(AA$1),FALSE)*VLOOKUP($D215,素材!$1:$1016,COLUMN($G$1),FALSE),"")</f>
        <v>28</v>
      </c>
      <c r="N215">
        <f>IFERROR(VLOOKUP($C215,武器!$1:$998,COLUMN(I$1),FALSE),"")</f>
        <v>0</v>
      </c>
      <c r="O215" s="23">
        <f>IFERROR((VLOOKUP($C215,武器!$1:$998,COLUMN(K$1),FALSE)+VLOOKUP($D215,素材!$1:$1016,COLUMN(H$1),FALSE))*100+IFERROR(VLOOKUP($CI215,装強!$1:$999,COLUMN(O$1),FALSE),0),"")</f>
        <v>5</v>
      </c>
      <c r="P215" s="23">
        <f>IFERROR((VLOOKUP($C215,武器!$1:$998,COLUMN(L$1),FALSE)+VLOOKUP($D215,素材!$1:$1016,COLUMN(I$1),FALSE))*100+IFERROR(VLOOKUP($CI215,装強!$1:$999,COLUMN(P$1),FALSE),0),"")</f>
        <v>125</v>
      </c>
      <c r="Q215">
        <f>IFERROR(ROUNDUP(VLOOKUP($C215,武器!$1:$998,COLUMN(M$1),FALSE)*(VLOOKUP($D215,素材!$1:$1002,COLUMN(D$1),FALSE)/100),1),"")</f>
        <v>0</v>
      </c>
      <c r="R215">
        <f>IFERROR(ROUNDUP(VLOOKUP($C215,武器!$1:$998,COLUMN(N$1),FALSE)*(VLOOKUP($D215,素材!$1:$1002,COLUMN(D$1),FALSE)/100),1),"")</f>
        <v>0</v>
      </c>
      <c r="S215">
        <f>IFERROR(VLOOKUP($C215,武器!$1:$998,COLUMN(P$1),FALSE),"")</f>
        <v>0</v>
      </c>
      <c r="T215">
        <f>IFERROR(VLOOKUP($C215,武器!$1:$998,COLUMN(Q$1),FALSE),"")</f>
        <v>0</v>
      </c>
      <c r="U215">
        <f>IFERROR(VLOOKUP($C215,武器!$1:$998,COLUMN(R$1),FALSE),"")</f>
        <v>0</v>
      </c>
      <c r="V215">
        <f>IFERROR(VLOOKUP($C215,武器!$1:$998,COLUMN(Q$1),FALSE),"")</f>
        <v>0</v>
      </c>
      <c r="W215" t="str">
        <f>IFERROR(VLOOKUP($C215,武器!$1:$998,COLUMN(T$1),FALSE),"")</f>
        <v>A</v>
      </c>
      <c r="Y215" t="str">
        <f>IFERROR(VLOOKUP($C215,武器!$1:$998,COLUMN(U$1),FALSE),"")</f>
        <v>投擲強化,片手適性Ⅱ</v>
      </c>
      <c r="Z215">
        <f>IFERROR(ROUNDUP(VLOOKUP($C215,武器!$1:$998,COLUMN(O$1),FALSE)*VLOOKUP($D215,素材!$1:$1016,COLUMN(E$1),FALSE),1),"")</f>
        <v>0</v>
      </c>
      <c r="AA215">
        <f>IF(ISNUMBER(SEARCH(SUBSTITUTE(AA$1,RIGHT(AA$1,2),""),VLOOKUP($D215,素材!$1:$1016,COLUMN($F$1),FALSE))),VLOOKUP($C215,武器!$1:$998,COLUMN($O$1),FALSE)*VLOOKUP($D215,素材!$1:$1016,COLUMN($E$1),FALSE)/(LEN(VLOOKUP($D215,素材!$1:$1016,COLUMN($F$1),FALSE)) - LEN(SUBSTITUTE(VLOOKUP($D215,素材!$1:$1016,COLUMN($F$1),FALSE), "・", 0)) + 1), 0)</f>
        <v>0</v>
      </c>
      <c r="AB215">
        <f>IF(ISNUMBER(SEARCH(SUBSTITUTE(AB$1,RIGHT(AB$1,2),""),VLOOKUP($D215,素材!$1:$1016,COLUMN($F$1),FALSE))),VLOOKUP($C215,武器!$1:$998,COLUMN($O$1),FALSE)*VLOOKUP($D215,素材!$1:$1016,COLUMN($E$1),FALSE)/(LEN(VLOOKUP($D215,素材!$1:$1016,COLUMN($F$1),FALSE)) - LEN(SUBSTITUTE(VLOOKUP($D215,素材!$1:$1016,COLUMN($F$1),FALSE), "・", 0)) + 1), 0)</f>
        <v>0</v>
      </c>
      <c r="AC215">
        <f>IF(ISNUMBER(SEARCH(SUBSTITUTE(AC$1,RIGHT(AC$1,2),""),VLOOKUP($D215,素材!$1:$1016,COLUMN($F$1),FALSE))),VLOOKUP($C215,武器!$1:$998,COLUMN($O$1),FALSE)*VLOOKUP($D215,素材!$1:$1016,COLUMN($E$1),FALSE)/(LEN(VLOOKUP($D215,素材!$1:$1016,COLUMN($F$1),FALSE)) - LEN(SUBSTITUTE(VLOOKUP($D215,素材!$1:$1016,COLUMN($F$1),FALSE), "・", 0)) + 1), 0)</f>
        <v>0</v>
      </c>
      <c r="AD215">
        <f>IF(ISNUMBER(SEARCH(SUBSTITUTE(AD$1,RIGHT(AD$1,2),""),VLOOKUP($D215,素材!$1:$1016,COLUMN($F$1),FALSE))),VLOOKUP($C215,武器!$1:$998,COLUMN($O$1),FALSE)*VLOOKUP($D215,素材!$1:$1016,COLUMN($E$1),FALSE)/(LEN(VLOOKUP($D215,素材!$1:$1016,COLUMN($F$1),FALSE)) - LEN(SUBSTITUTE(VLOOKUP($D215,素材!$1:$1016,COLUMN($F$1),FALSE), "・", 0)) + 1), 0)</f>
        <v>0</v>
      </c>
      <c r="AE215">
        <f>IF(ISNUMBER(SEARCH(SUBSTITUTE(AE$1,RIGHT(AE$1,2),""),VLOOKUP($D215,素材!$1:$1016,COLUMN($F$1),FALSE))),VLOOKUP($C215,武器!$1:$998,COLUMN($O$1),FALSE)*VLOOKUP($D215,素材!$1:$1016,COLUMN($E$1),FALSE)/(LEN(VLOOKUP($D215,素材!$1:$1016,COLUMN($F$1),FALSE)) - LEN(SUBSTITUTE(VLOOKUP($D215,素材!$1:$1016,COLUMN($F$1),FALSE), "・", 0)) + 1), 0)</f>
        <v>0</v>
      </c>
      <c r="AF215">
        <f>IF(ISNUMBER(SEARCH(SUBSTITUTE(AF$1,RIGHT(AF$1,2),""),VLOOKUP($D215,素材!$1:$1016,COLUMN($F$1),FALSE))),VLOOKUP($C215,武器!$1:$998,COLUMN($O$1),FALSE)*VLOOKUP($D215,素材!$1:$1016,COLUMN($E$1),FALSE)/(LEN(VLOOKUP($D215,素材!$1:$1016,COLUMN($F$1),FALSE)) - LEN(SUBSTITUTE(VLOOKUP($D215,素材!$1:$1016,COLUMN($F$1),FALSE), "・", 0)) + 1), 0)</f>
        <v>0</v>
      </c>
      <c r="AG215">
        <f>IF(ISNUMBER(SEARCH(SUBSTITUTE(AG$1,RIGHT(AG$1,2),""),VLOOKUP($D215,素材!$1:$1016,COLUMN($F$1),FALSE))),VLOOKUP($C215,武器!$1:$998,COLUMN($O$1),FALSE)*VLOOKUP($D215,素材!$1:$1016,COLUMN($E$1),FALSE)/(LEN(VLOOKUP($D215,素材!$1:$1016,COLUMN($F$1),FALSE)) - LEN(SUBSTITUTE(VLOOKUP($D215,素材!$1:$1016,COLUMN($F$1),FALSE), "・", 0)) + 1), 0)</f>
        <v>0</v>
      </c>
      <c r="AH215">
        <f>IF(ISNUMBER(SEARCH(SUBSTITUTE(AH$1,RIGHT(AH$1,2),""),VLOOKUP($D215,素材!$1:$1016,COLUMN($F$1),FALSE))),VLOOKUP($C215,武器!$1:$998,COLUMN($O$1),FALSE)*VLOOKUP($D215,素材!$1:$1016,COLUMN($E$1),FALSE)/(LEN(VLOOKUP($D215,素材!$1:$1016,COLUMN($F$1),FALSE)) - LEN(SUBSTITUTE(VLOOKUP($D215,素材!$1:$1016,COLUMN($F$1),FALSE), "・", 0)) + 1), 0)</f>
        <v>0</v>
      </c>
      <c r="AI215">
        <f>IF(ISNUMBER(SEARCH(SUBSTITUTE(AI$1,RIGHT(AI$1,2),""),VLOOKUP($D215,素材!$1:$1016,COLUMN($F$1),FALSE))),VLOOKUP($C215,武器!$1:$998,COLUMN($O$1),FALSE)*VLOOKUP($D215,素材!$1:$1016,COLUMN($E$1),FALSE)/(LEN(VLOOKUP($D215,素材!$1:$1016,COLUMN($F$1),FALSE)) - LEN(SUBSTITUTE(VLOOKUP($D215,素材!$1:$1016,COLUMN($F$1),FALSE), "・", 0)) + 1), 0)</f>
        <v>0</v>
      </c>
      <c r="AJ215">
        <f>IF(ISNUMBER(SEARCH(SUBSTITUTE(AJ$1,RIGHT(AJ$1,2),""),VLOOKUP($D215,素材!$1:$1016,COLUMN($F$1),FALSE))),VLOOKUP($C215,武器!$1:$998,COLUMN($O$1),FALSE)*VLOOKUP($D215,素材!$1:$1016,COLUMN($E$1),FALSE)/(LEN(VLOOKUP($D215,素材!$1:$1016,COLUMN($F$1),FALSE)) - LEN(SUBSTITUTE(VLOOKUP($D215,素材!$1:$1016,COLUMN($F$1),FALSE), "・", 0)) + 1), 0)</f>
        <v>0</v>
      </c>
      <c r="AK215">
        <f>IF(ISNUMBER(SEARCH(SUBSTITUTE(AK$1,RIGHT(AK$1,2),""),VLOOKUP($D215,素材!$1:$1016,COLUMN($F$1),FALSE))),VLOOKUP($C215,武器!$1:$998,COLUMN($O$1),FALSE)*VLOOKUP($D215,素材!$1:$1016,COLUMN($E$1),FALSE)/(LEN(VLOOKUP($D215,素材!$1:$1016,COLUMN($F$1),FALSE)) - LEN(SUBSTITUTE(VLOOKUP($D215,素材!$1:$1016,COLUMN($F$1),FALSE), "・", 0)) + 1), 0)</f>
        <v>0</v>
      </c>
      <c r="AL215">
        <f>IF(ISNUMBER(SEARCH(SUBSTITUTE(AL$1,RIGHT(AL$1,2),""),VLOOKUP($D215,素材!$1:$1016,COLUMN($F$1),FALSE))),VLOOKUP($C215,武器!$1:$998,COLUMN($O$1),FALSE)*VLOOKUP($D215,素材!$1:$1016,COLUMN($E$1),FALSE)/(LEN(VLOOKUP($D215,素材!$1:$1016,COLUMN($F$1),FALSE)) - LEN(SUBSTITUTE(VLOOKUP($D215,素材!$1:$1016,COLUMN($F$1),FALSE), "・", 0)) + 1), 0)</f>
        <v>0</v>
      </c>
      <c r="AM215">
        <f>IF(ISNUMBER(SEARCH(SUBSTITUTE(AM$1,RIGHT(AM$1,2),""),VLOOKUP($D215,素材!$1:$1016,COLUMN($F$1),FALSE))),VLOOKUP($C215,武器!$1:$998,COLUMN($O$1),FALSE)*VLOOKUP($D215,素材!$1:$1016,COLUMN($E$1),FALSE)/(LEN(VLOOKUP($D215,素材!$1:$1016,COLUMN($F$1),FALSE)) - LEN(SUBSTITUTE(VLOOKUP($D215,素材!$1:$1016,COLUMN($F$1),FALSE), "・", 0)) + 1), 0)</f>
        <v>0</v>
      </c>
      <c r="AN215">
        <f>IF(ISNUMBER(SEARCH(SUBSTITUTE(AN$1,RIGHT(AN$1,2),""),VLOOKUP($D215,素材!$1:$1016,COLUMN($F$1),FALSE))),VLOOKUP($C215,武器!$1:$998,COLUMN($O$1),FALSE)*VLOOKUP($D215,素材!$1:$1016,COLUMN($E$1),FALSE)/(LEN(VLOOKUP($D215,素材!$1:$1016,COLUMN($F$1),FALSE)) - LEN(SUBSTITUTE(VLOOKUP($D215,素材!$1:$1016,COLUMN($F$1),FALSE), "・", 0)) + 1), 0)</f>
        <v>0</v>
      </c>
      <c r="AO215">
        <f>IF(ISNUMBER(SEARCH(SUBSTITUTE(AO$1,RIGHT(AO$1,2),""),VLOOKUP($D215,素材!$1:$1016,COLUMN($F$1),FALSE))),VLOOKUP($C215,武器!$1:$998,COLUMN($O$1),FALSE)*VLOOKUP($D215,素材!$1:$1016,COLUMN($E$1),FALSE)/(LEN(VLOOKUP($D215,素材!$1:$1016,COLUMN($F$1),FALSE)) - LEN(SUBSTITUTE(VLOOKUP($D215,素材!$1:$1016,COLUMN($F$1),FALSE), "・", 0)) + 1), 0)</f>
        <v>0</v>
      </c>
      <c r="AP215">
        <f>IF(ISNUMBER(SEARCH(SUBSTITUTE(AP$1,RIGHT(AP$1,2),""),VLOOKUP($D215,素材!$1:$1016,COLUMN($F$1),FALSE))),VLOOKUP($C215,武器!$1:$998,COLUMN($O$1),FALSE)*VLOOKUP($D215,素材!$1:$1016,COLUMN($E$1),FALSE)/(LEN(VLOOKUP($D215,素材!$1:$1016,COLUMN($F$1),FALSE)) - LEN(SUBSTITUTE(VLOOKUP($D215,素材!$1:$1016,COLUMN($F$1),FALSE), "・", 0)) + 1), 0)</f>
        <v>0</v>
      </c>
      <c r="AQ215">
        <f>IF(ISNUMBER(SEARCH(SUBSTITUTE(AQ$1,RIGHT(AQ$1,2),""),VLOOKUP($D215,素材!$1:$1016,COLUMN($F$1),FALSE))),VLOOKUP($C215,武器!$1:$998,COLUMN($O$1),FALSE)*VLOOKUP($D215,素材!$1:$1016,COLUMN($E$1),FALSE)/(LEN(VLOOKUP($D215,素材!$1:$1016,COLUMN($F$1),FALSE)) - LEN(SUBSTITUTE(VLOOKUP($D215,素材!$1:$1016,COLUMN($F$1),FALSE), "・", 0)) + 1), 0)</f>
        <v>0</v>
      </c>
      <c r="AR215">
        <f>IF(ISNUMBER(SEARCH(SUBSTITUTE(AR$1,RIGHT(AR$1,2),""),VLOOKUP($D215,素材!$1:$1016,COLUMN($F$1),FALSE))),VLOOKUP($C215,武器!$1:$998,COLUMN($O$1),FALSE)*VLOOKUP($D215,素材!$1:$1016,COLUMN($E$1),FALSE)/(LEN(VLOOKUP($D215,素材!$1:$1016,COLUMN($F$1),FALSE)) - LEN(SUBSTITUTE(VLOOKUP($D215,素材!$1:$1016,COLUMN($F$1),FALSE), "・", 0)) + 1), 0)</f>
        <v>0</v>
      </c>
      <c r="AS215">
        <f>IF(ISNUMBER(SEARCH(SUBSTITUTE(AS$1,RIGHT(AS$1,2),""),VLOOKUP($D215,素材!$1:$1016,COLUMN($F$1),FALSE))),VLOOKUP($C215,武器!$1:$998,COLUMN($O$1),FALSE)*VLOOKUP($D215,素材!$1:$1016,COLUMN($E$1),FALSE)/(LEN(VLOOKUP($D215,素材!$1:$1016,COLUMN($F$1),FALSE)) - LEN(SUBSTITUTE(VLOOKUP($D215,素材!$1:$1016,COLUMN($F$1),FALSE), "・", 0)) + 1), 0)</f>
        <v>0</v>
      </c>
      <c r="AT215">
        <f>IF(ISNUMBER(SEARCH(SUBSTITUTE(AT$1,RIGHT(AT$1,2),""),VLOOKUP($D215,素材!$1:$1016,COLUMN($F$1),FALSE))),VLOOKUP($C215,武器!$1:$998,COLUMN($O$1),FALSE)*VLOOKUP($D215,素材!$1:$1016,COLUMN($E$1),FALSE)/(LEN(VLOOKUP($D215,素材!$1:$1016,COLUMN($F$1),FALSE)) - LEN(SUBSTITUTE(VLOOKUP($D215,素材!$1:$1016,COLUMN($F$1),FALSE), "・", 0)) + 1), 0)</f>
        <v>0</v>
      </c>
      <c r="AU215">
        <f>IF(ISNUMBER(SEARCH(SUBSTITUTE(AU$1,RIGHT(AU$1,2),""),VLOOKUP($D215,素材!$1:$1016,COLUMN($F$1),FALSE))),VLOOKUP($C215,武器!$1:$998,COLUMN($O$1),FALSE)*VLOOKUP($D215,素材!$1:$1016,COLUMN($E$1),FALSE)/(LEN(VLOOKUP($D215,素材!$1:$1016,COLUMN($F$1),FALSE)) - LEN(SUBSTITUTE(VLOOKUP($D215,素材!$1:$1016,COLUMN($F$1),FALSE), "・", 0)) + 1), 0)</f>
        <v>0</v>
      </c>
      <c r="AV215">
        <f>IF(ISNUMBER(SEARCH(SUBSTITUTE(AV$1,RIGHT(AV$1,2),""),VLOOKUP($D215,素材!$1:$1016,COLUMN($F$1),FALSE))),VLOOKUP($C215,武器!$1:$998,COLUMN($O$1),FALSE)*VLOOKUP($D215,素材!$1:$1016,COLUMN($E$1),FALSE)/(LEN(VLOOKUP($D215,素材!$1:$1016,COLUMN($F$1),FALSE)) - LEN(SUBSTITUTE(VLOOKUP($D215,素材!$1:$1016,COLUMN($F$1),FALSE), "・", 0)) + 1), 0)</f>
        <v>0</v>
      </c>
      <c r="AW215">
        <f>IF(ISNUMBER(SEARCH(SUBSTITUTE(AW$1,RIGHT(AW$1,2),""),VLOOKUP($D215,素材!$1:$1016,COLUMN($F$1),FALSE))),VLOOKUP($C215,武器!$1:$998,COLUMN($O$1),FALSE)*VLOOKUP($D215,素材!$1:$1016,COLUMN($E$1),FALSE)/(LEN(VLOOKUP($D215,素材!$1:$1016,COLUMN($F$1),FALSE)) - LEN(SUBSTITUTE(VLOOKUP($D215,素材!$1:$1016,COLUMN($F$1),FALSE), "・", 0)) + 1), 0)</f>
        <v>0</v>
      </c>
      <c r="AX215">
        <f>IF(ISNUMBER(SEARCH(SUBSTITUTE(AX$1,RIGHT(AX$1,2),""),VLOOKUP($D215,素材!$1:$1016,COLUMN($F$1),FALSE))),VLOOKUP($C215,武器!$1:$998,COLUMN($O$1),FALSE)*VLOOKUP($D215,素材!$1:$1016,COLUMN($E$1),FALSE)/(LEN(VLOOKUP($D215,素材!$1:$1016,COLUMN($F$1),FALSE)) - LEN(SUBSTITUTE(VLOOKUP($D215,素材!$1:$1016,COLUMN($F$1),FALSE), "・", 0)) + 1), 0)</f>
        <v>0</v>
      </c>
      <c r="AY215">
        <f>IF(ISNUMBER(SEARCH(SUBSTITUTE(AY$1,RIGHT(AY$1,2),""),VLOOKUP($D215,素材!$1:$1016,COLUMN($F$1),FALSE))),VLOOKUP($C215,武器!$1:$998,COLUMN($O$1),FALSE)*VLOOKUP($D215,素材!$1:$1016,COLUMN($E$1),FALSE)/(LEN(VLOOKUP($D215,素材!$1:$1016,COLUMN($F$1),FALSE)) - LEN(SUBSTITUTE(VLOOKUP($D215,素材!$1:$1016,COLUMN($F$1),FALSE), "・", 0)) + 1), 0)</f>
        <v>0</v>
      </c>
      <c r="AZ215">
        <f>IF(ISNUMBER(SEARCH(SUBSTITUTE(AZ$1,RIGHT(AZ$1,2),""),VLOOKUP($D215,素材!$1:$1016,COLUMN($F$1),FALSE))),VLOOKUP($C215,武器!$1:$998,COLUMN($O$1),FALSE)*VLOOKUP($D215,素材!$1:$1016,COLUMN($E$1),FALSE)/(LEN(VLOOKUP($D215,素材!$1:$1016,COLUMN($F$1),FALSE)) - LEN(SUBSTITUTE(VLOOKUP($D215,素材!$1:$1016,COLUMN($F$1),FALSE), "・", 0)) + 1), 0)</f>
        <v>0</v>
      </c>
      <c r="BA215">
        <f>IF(ISNUMBER(SEARCH(SUBSTITUTE(BA$1,RIGHT(BA$1,2),""),VLOOKUP($D215,素材!$1:$1016,COLUMN($F$1),FALSE))),VLOOKUP($C215,武器!$1:$998,COLUMN($O$1),FALSE)*VLOOKUP($D215,素材!$1:$1016,COLUMN($E$1),FALSE)/(LEN(VLOOKUP($D215,素材!$1:$1016,COLUMN($F$1),FALSE)) - LEN(SUBSTITUTE(VLOOKUP($D215,素材!$1:$1016,COLUMN($F$1),FALSE), "・", 0)) + 1), 0)</f>
        <v>0</v>
      </c>
      <c r="BB215">
        <f>IF(ISNUMBER(SEARCH(SUBSTITUTE(BB$1,RIGHT(BB$1,2),""),VLOOKUP($D215,素材!$1:$1016,COLUMN($F$1),FALSE))),VLOOKUP($C215,武器!$1:$998,COLUMN($O$1),FALSE)*VLOOKUP($D215,素材!$1:$1016,COLUMN($E$1),FALSE)/(LEN(VLOOKUP($D215,素材!$1:$1016,COLUMN($F$1),FALSE)) - LEN(SUBSTITUTE(VLOOKUP($D215,素材!$1:$1016,COLUMN($F$1),FALSE), "・", 0)) + 1), 0)</f>
        <v>0</v>
      </c>
      <c r="BC215">
        <f>IF(ISNUMBER(SEARCH(SUBSTITUTE(BC$1,RIGHT(BC$1,2),""),VLOOKUP($D215,素材!$1:$1016,COLUMN($F$1),FALSE))),VLOOKUP($C215,武器!$1:$998,COLUMN($O$1),FALSE)*VLOOKUP($D215,素材!$1:$1016,COLUMN($E$1),FALSE)/(LEN(VLOOKUP($D215,素材!$1:$1016,COLUMN($F$1),FALSE)) - LEN(SUBSTITUTE(VLOOKUP($D215,素材!$1:$1016,COLUMN($F$1),FALSE), "・", 0)) + 1), 0)</f>
        <v>0</v>
      </c>
      <c r="BD215">
        <f>IF(ISNUMBER(SEARCH(SUBSTITUTE(BD$1,RIGHT(BD$1,2),""),VLOOKUP($D215,素材!$1:$1016,COLUMN($F$1),FALSE))),VLOOKUP($C215,武器!$1:$998,COLUMN($O$1),FALSE)*VLOOKUP($D215,素材!$1:$1016,COLUMN($E$1),FALSE)/(LEN(VLOOKUP($D215,素材!$1:$1016,COLUMN($F$1),FALSE)) - LEN(SUBSTITUTE(VLOOKUP($D215,素材!$1:$1016,COLUMN($F$1),FALSE), "・", 0)) + 1), 0)</f>
        <v>0</v>
      </c>
      <c r="BE215">
        <f>IF(ISNUMBER(SEARCH(SUBSTITUTE(BE$1,RIGHT(BE$1,2),""),VLOOKUP($D215,素材!$1:$1016,COLUMN($F$1),FALSE))),VLOOKUP($C215,武器!$1:$998,COLUMN($O$1),FALSE)*VLOOKUP($D215,素材!$1:$1016,COLUMN($E$1),FALSE)/(LEN(VLOOKUP($D215,素材!$1:$1016,COLUMN($F$1),FALSE)) - LEN(SUBSTITUTE(VLOOKUP($D215,素材!$1:$1016,COLUMN($F$1),FALSE), "・", 0)) + 1), 0)</f>
        <v>0</v>
      </c>
      <c r="CL215">
        <f>SUM(G215:I215)</f>
        <v>16</v>
      </c>
      <c r="CM215" s="22" t="str">
        <f>IF(E215="武器",IF(J215-1&gt;SUM(G215:I215),"盾",IF(MAX(G215:I215)=G215,"切断",IF(MAX(G215:I215)=H215,"貫通",IF(MAX(G215:I215)=I215,"打撃","射撃")))),E215)&amp;".webp"</f>
        <v>盾.webp</v>
      </c>
      <c r="CN215">
        <f>IFERROR(VLOOKUP($C215,武器!$1:$998,COLUMN(V$1),FALSE)*VLOOKUP($D215,素材!$1:$1016,COLUMN(N$1),FALSE)+IF(CI215="",0,VLOOKUP($CI215,装強!$1:$1008,COLUMN($CK$1),FALSE)),"")</f>
        <v>2250</v>
      </c>
      <c r="CO215">
        <f>VLOOKUP(D215,素材!$A:$O,COLUMN(素材!O$1),FALSE)</f>
        <v>0</v>
      </c>
      <c r="CP215" t="str">
        <f>VLOOKUP(C215,武器!$A:$W,COLUMN(武器!W$1),FALSE)</f>
        <v>丸盾。軽量で投擲にも使える盾。</v>
      </c>
      <c r="CR215" t="str">
        <f t="shared" si="29"/>
        <v>e_215</v>
      </c>
      <c r="CS215">
        <f t="shared" si="30"/>
        <v>225000</v>
      </c>
    </row>
    <row r="216" spans="1:97" outlineLevel="1" x14ac:dyDescent="0.4">
      <c r="A216" t="str">
        <f t="shared" si="28"/>
        <v>冷気鉄の盾</v>
      </c>
      <c r="B216" t="str">
        <f>IFERROR(VLOOKUP($D216,素材!$1:$1016,COLUMN($B$1),FALSE)&amp;"・"&amp;VLOOKUP($C216,武器!$1:$998,COLUMN(B$1),FALSE),"")</f>
        <v>ドゥララン・シールド</v>
      </c>
      <c r="C216" t="s">
        <v>221</v>
      </c>
      <c r="D216" s="24" t="s">
        <v>243</v>
      </c>
      <c r="E216" t="str">
        <f>IFERROR(VLOOKUP(C216,武器!$1:$998,COLUMN(C$1),FALSE),"")</f>
        <v>盾</v>
      </c>
      <c r="F216">
        <f>IFERROR(ROUNDDOWN((VLOOKUP($C216,武器!$1:$998,COLUMN(D$1),FALSE)+IFERROR(VLOOKUP($CI216,装強!$1:$999,COLUMN(F$1),FALSE),0))*VLOOKUP($D216,素材!$1:$1016,COLUMN(D$1),FALSE),0),"")</f>
        <v>100</v>
      </c>
      <c r="G216">
        <f>IFERROR(ROUNDDOWN((VLOOKUP($C216,武器!$1:$998,COLUMN(E$1),FALSE)+IFERROR(VLOOKUP($CI216,装強!$1:$999,COLUMN(G$1),FALSE),0))*VLOOKUP($D216,素材!$1:$1016,COLUMN($E$1),FALSE),0),"")</f>
        <v>0</v>
      </c>
      <c r="H216">
        <f>IFERROR(ROUNDDOWN((VLOOKUP($C216,武器!$1:$998,COLUMN(F$1),FALSE)+IFERROR(VLOOKUP($CI216,装強!$1:$999,COLUMN(H$1),FALSE),0))*VLOOKUP($D216,素材!$1:$1016,COLUMN($E$1),FALSE),0),"")</f>
        <v>0</v>
      </c>
      <c r="I216">
        <f>IFERROR(ROUNDDOWN((VLOOKUP($C216,武器!$1:$998,COLUMN(G$1),FALSE)+IFERROR(VLOOKUP($CI216,装強!$1:$999,COLUMN(I$1),FALSE),0))*VLOOKUP($D216,素材!$1:$1016,COLUMN($E$1),FALSE),0),"")</f>
        <v>16</v>
      </c>
      <c r="J216">
        <f>IFERROR(ROUNDDOWN((VLOOKUP($C216,武器!$1:$998,COLUMN(H$1),FALSE)+IFERROR(VLOOKUP($CI216,装強!$1:$999,COLUMN(J$1),FALSE),0))*VLOOKUP($D216,素材!$1:$1016,COLUMN($E$1),FALSE),0),"")</f>
        <v>25</v>
      </c>
      <c r="K216">
        <f>IFERROR(ROUNDDOWN((VLOOKUP($C216,武器!$1:$998,COLUMN(I$1),FALSE)+IFERROR(VLOOKUP($CI216,装強!$1:$999,COLUMN(K$1),FALSE),0))*VLOOKUP($D216,素材!$1:$1016,COLUMN($E$1),FALSE),0),"")</f>
        <v>0</v>
      </c>
      <c r="L216" t="str">
        <f>IFERROR(VLOOKUP($D216,素材!$1:$1016,COLUMN($F$1),FALSE),"")</f>
        <v>氷</v>
      </c>
      <c r="M216">
        <f>IFERROR(VLOOKUP($C216,武器!$1:$998,COLUMN(AA$1),FALSE)*VLOOKUP($D216,素材!$1:$1016,COLUMN($G$1),FALSE),"")</f>
        <v>28</v>
      </c>
      <c r="N216">
        <f>IFERROR(VLOOKUP($C216,武器!$1:$998,COLUMN(I$1),FALSE),"")</f>
        <v>0</v>
      </c>
      <c r="O216" s="23">
        <f>IFERROR((VLOOKUP($C216,武器!$1:$998,COLUMN(K$1),FALSE)+VLOOKUP($D216,素材!$1:$1016,COLUMN(H$1),FALSE))*100+IFERROR(VLOOKUP($CI216,装強!$1:$999,COLUMN(O$1),FALSE),0),"")</f>
        <v>5</v>
      </c>
      <c r="P216" s="23">
        <f>IFERROR((VLOOKUP($C216,武器!$1:$998,COLUMN(L$1),FALSE)+VLOOKUP($D216,素材!$1:$1016,COLUMN(I$1),FALSE))*100+IFERROR(VLOOKUP($CI216,装強!$1:$999,COLUMN(P$1),FALSE),0),"")</f>
        <v>125</v>
      </c>
      <c r="Q216">
        <f>IFERROR(ROUNDUP(VLOOKUP($C216,武器!$1:$998,COLUMN(M$1),FALSE)*(VLOOKUP($D216,素材!$1:$1002,COLUMN(D$1),FALSE)/100),1),"")</f>
        <v>0</v>
      </c>
      <c r="R216">
        <f>IFERROR(ROUNDUP(VLOOKUP($C216,武器!$1:$998,COLUMN(N$1),FALSE)*(VLOOKUP($D216,素材!$1:$1002,COLUMN(D$1),FALSE)/100),1),"")</f>
        <v>0</v>
      </c>
      <c r="S216">
        <f>IFERROR(VLOOKUP($C216,武器!$1:$998,COLUMN(P$1),FALSE),"")</f>
        <v>0</v>
      </c>
      <c r="T216">
        <f>IFERROR(VLOOKUP($C216,武器!$1:$998,COLUMN(Q$1),FALSE),"")</f>
        <v>0</v>
      </c>
      <c r="U216">
        <f>IFERROR(VLOOKUP($C216,武器!$1:$998,COLUMN(R$1),FALSE),"")</f>
        <v>0</v>
      </c>
      <c r="V216">
        <f>IFERROR(VLOOKUP($C216,武器!$1:$998,COLUMN(Q$1),FALSE),"")</f>
        <v>0</v>
      </c>
      <c r="W216" t="str">
        <f>IFERROR(VLOOKUP($C216,武器!$1:$998,COLUMN(T$1),FALSE),"")</f>
        <v>A</v>
      </c>
      <c r="Y216" t="str">
        <f>IFERROR(VLOOKUP($C216,武器!$1:$998,COLUMN(U$1),FALSE),"")</f>
        <v>片手適性Ⅱ</v>
      </c>
      <c r="Z216">
        <f>IFERROR(ROUNDUP(VLOOKUP($C216,武器!$1:$998,COLUMN(O$1),FALSE)*VLOOKUP($D216,素材!$1:$1016,COLUMN(E$1),FALSE),1),"")</f>
        <v>0</v>
      </c>
      <c r="AA216">
        <f>IF(ISNUMBER(SEARCH(SUBSTITUTE(AA$1,RIGHT(AA$1,2),""),VLOOKUP($D216,素材!$1:$1016,COLUMN($F$1),FALSE))),VLOOKUP($C216,武器!$1:$998,COLUMN($O$1),FALSE)*VLOOKUP($D216,素材!$1:$1016,COLUMN($E$1),FALSE)/(LEN(VLOOKUP($D216,素材!$1:$1016,COLUMN($F$1),FALSE)) - LEN(SUBSTITUTE(VLOOKUP($D216,素材!$1:$1016,COLUMN($F$1),FALSE), "・", 0)) + 1), 0)</f>
        <v>0</v>
      </c>
      <c r="AB216">
        <f>IF(ISNUMBER(SEARCH(SUBSTITUTE(AB$1,RIGHT(AB$1,2),""),VLOOKUP($D216,素材!$1:$1016,COLUMN($F$1),FALSE))),VLOOKUP($C216,武器!$1:$998,COLUMN($O$1),FALSE)*VLOOKUP($D216,素材!$1:$1016,COLUMN($E$1),FALSE)/(LEN(VLOOKUP($D216,素材!$1:$1016,COLUMN($F$1),FALSE)) - LEN(SUBSTITUTE(VLOOKUP($D216,素材!$1:$1016,COLUMN($F$1),FALSE), "・", 0)) + 1), 0)</f>
        <v>0</v>
      </c>
      <c r="AC216">
        <f>IF(ISNUMBER(SEARCH(SUBSTITUTE(AC$1,RIGHT(AC$1,2),""),VLOOKUP($D216,素材!$1:$1016,COLUMN($F$1),FALSE))),VLOOKUP($C216,武器!$1:$998,COLUMN($O$1),FALSE)*VLOOKUP($D216,素材!$1:$1016,COLUMN($E$1),FALSE)/(LEN(VLOOKUP($D216,素材!$1:$1016,COLUMN($F$1),FALSE)) - LEN(SUBSTITUTE(VLOOKUP($D216,素材!$1:$1016,COLUMN($F$1),FALSE), "・", 0)) + 1), 0)</f>
        <v>0</v>
      </c>
      <c r="AD216">
        <f>IF(ISNUMBER(SEARCH(SUBSTITUTE(AD$1,RIGHT(AD$1,2),""),VLOOKUP($D216,素材!$1:$1016,COLUMN($F$1),FALSE))),VLOOKUP($C216,武器!$1:$998,COLUMN($O$1),FALSE)*VLOOKUP($D216,素材!$1:$1016,COLUMN($E$1),FALSE)/(LEN(VLOOKUP($D216,素材!$1:$1016,COLUMN($F$1),FALSE)) - LEN(SUBSTITUTE(VLOOKUP($D216,素材!$1:$1016,COLUMN($F$1),FALSE), "・", 0)) + 1), 0)</f>
        <v>0</v>
      </c>
      <c r="AE216">
        <f>IF(ISNUMBER(SEARCH(SUBSTITUTE(AE$1,RIGHT(AE$1,2),""),VLOOKUP($D216,素材!$1:$1016,COLUMN($F$1),FALSE))),VLOOKUP($C216,武器!$1:$998,COLUMN($O$1),FALSE)*VLOOKUP($D216,素材!$1:$1016,COLUMN($E$1),FALSE)/(LEN(VLOOKUP($D216,素材!$1:$1016,COLUMN($F$1),FALSE)) - LEN(SUBSTITUTE(VLOOKUP($D216,素材!$1:$1016,COLUMN($F$1),FALSE), "・", 0)) + 1), 0)</f>
        <v>0</v>
      </c>
      <c r="AF216">
        <f>IF(ISNUMBER(SEARCH(SUBSTITUTE(AF$1,RIGHT(AF$1,2),""),VLOOKUP($D216,素材!$1:$1016,COLUMN($F$1),FALSE))),VLOOKUP($C216,武器!$1:$998,COLUMN($O$1),FALSE)*VLOOKUP($D216,素材!$1:$1016,COLUMN($E$1),FALSE)/(LEN(VLOOKUP($D216,素材!$1:$1016,COLUMN($F$1),FALSE)) - LEN(SUBSTITUTE(VLOOKUP($D216,素材!$1:$1016,COLUMN($F$1),FALSE), "・", 0)) + 1), 0)</f>
        <v>0</v>
      </c>
      <c r="AG216">
        <f>IF(ISNUMBER(SEARCH(SUBSTITUTE(AG$1,RIGHT(AG$1,2),""),VLOOKUP($D216,素材!$1:$1016,COLUMN($F$1),FALSE))),VLOOKUP($C216,武器!$1:$998,COLUMN($O$1),FALSE)*VLOOKUP($D216,素材!$1:$1016,COLUMN($E$1),FALSE)/(LEN(VLOOKUP($D216,素材!$1:$1016,COLUMN($F$1),FALSE)) - LEN(SUBSTITUTE(VLOOKUP($D216,素材!$1:$1016,COLUMN($F$1),FALSE), "・", 0)) + 1), 0)</f>
        <v>0</v>
      </c>
      <c r="AH216">
        <f>IF(ISNUMBER(SEARCH(SUBSTITUTE(AH$1,RIGHT(AH$1,2),""),VLOOKUP($D216,素材!$1:$1016,COLUMN($F$1),FALSE))),VLOOKUP($C216,武器!$1:$998,COLUMN($O$1),FALSE)*VLOOKUP($D216,素材!$1:$1016,COLUMN($E$1),FALSE)/(LEN(VLOOKUP($D216,素材!$1:$1016,COLUMN($F$1),FALSE)) - LEN(SUBSTITUTE(VLOOKUP($D216,素材!$1:$1016,COLUMN($F$1),FALSE), "・", 0)) + 1), 0)</f>
        <v>0</v>
      </c>
      <c r="AI216">
        <f>IF(ISNUMBER(SEARCH(SUBSTITUTE(AI$1,RIGHT(AI$1,2),""),VLOOKUP($D216,素材!$1:$1016,COLUMN($F$1),FALSE))),VLOOKUP($C216,武器!$1:$998,COLUMN($O$1),FALSE)*VLOOKUP($D216,素材!$1:$1016,COLUMN($E$1),FALSE)/(LEN(VLOOKUP($D216,素材!$1:$1016,COLUMN($F$1),FALSE)) - LEN(SUBSTITUTE(VLOOKUP($D216,素材!$1:$1016,COLUMN($F$1),FALSE), "・", 0)) + 1), 0)</f>
        <v>0</v>
      </c>
      <c r="AJ216">
        <f>IF(ISNUMBER(SEARCH(SUBSTITUTE(AJ$1,RIGHT(AJ$1,2),""),VLOOKUP($D216,素材!$1:$1016,COLUMN($F$1),FALSE))),VLOOKUP($C216,武器!$1:$998,COLUMN($O$1),FALSE)*VLOOKUP($D216,素材!$1:$1016,COLUMN($E$1),FALSE)/(LEN(VLOOKUP($D216,素材!$1:$1016,COLUMN($F$1),FALSE)) - LEN(SUBSTITUTE(VLOOKUP($D216,素材!$1:$1016,COLUMN($F$1),FALSE), "・", 0)) + 1), 0)</f>
        <v>0</v>
      </c>
      <c r="AK216">
        <f>IF(ISNUMBER(SEARCH(SUBSTITUTE(AK$1,RIGHT(AK$1,2),""),VLOOKUP($D216,素材!$1:$1016,COLUMN($F$1),FALSE))),VLOOKUP($C216,武器!$1:$998,COLUMN($O$1),FALSE)*VLOOKUP($D216,素材!$1:$1016,COLUMN($E$1),FALSE)/(LEN(VLOOKUP($D216,素材!$1:$1016,COLUMN($F$1),FALSE)) - LEN(SUBSTITUTE(VLOOKUP($D216,素材!$1:$1016,COLUMN($F$1),FALSE), "・", 0)) + 1), 0)</f>
        <v>0</v>
      </c>
      <c r="AL216">
        <f>IF(ISNUMBER(SEARCH(SUBSTITUTE(AL$1,RIGHT(AL$1,2),""),VLOOKUP($D216,素材!$1:$1016,COLUMN($F$1),FALSE))),VLOOKUP($C216,武器!$1:$998,COLUMN($O$1),FALSE)*VLOOKUP($D216,素材!$1:$1016,COLUMN($E$1),FALSE)/(LEN(VLOOKUP($D216,素材!$1:$1016,COLUMN($F$1),FALSE)) - LEN(SUBSTITUTE(VLOOKUP($D216,素材!$1:$1016,COLUMN($F$1),FALSE), "・", 0)) + 1), 0)</f>
        <v>0</v>
      </c>
      <c r="AM216">
        <f>IF(ISNUMBER(SEARCH(SUBSTITUTE(AM$1,RIGHT(AM$1,2),""),VLOOKUP($D216,素材!$1:$1016,COLUMN($F$1),FALSE))),VLOOKUP($C216,武器!$1:$998,COLUMN($O$1),FALSE)*VLOOKUP($D216,素材!$1:$1016,COLUMN($E$1),FALSE)/(LEN(VLOOKUP($D216,素材!$1:$1016,COLUMN($F$1),FALSE)) - LEN(SUBSTITUTE(VLOOKUP($D216,素材!$1:$1016,COLUMN($F$1),FALSE), "・", 0)) + 1), 0)</f>
        <v>0</v>
      </c>
      <c r="AN216">
        <f>IF(ISNUMBER(SEARCH(SUBSTITUTE(AN$1,RIGHT(AN$1,2),""),VLOOKUP($D216,素材!$1:$1016,COLUMN($F$1),FALSE))),VLOOKUP($C216,武器!$1:$998,COLUMN($O$1),FALSE)*VLOOKUP($D216,素材!$1:$1016,COLUMN($E$1),FALSE)/(LEN(VLOOKUP($D216,素材!$1:$1016,COLUMN($F$1),FALSE)) - LEN(SUBSTITUTE(VLOOKUP($D216,素材!$1:$1016,COLUMN($F$1),FALSE), "・", 0)) + 1), 0)</f>
        <v>0</v>
      </c>
      <c r="AO216">
        <f>IF(ISNUMBER(SEARCH(SUBSTITUTE(AO$1,RIGHT(AO$1,2),""),VLOOKUP($D216,素材!$1:$1016,COLUMN($F$1),FALSE))),VLOOKUP($C216,武器!$1:$998,COLUMN($O$1),FALSE)*VLOOKUP($D216,素材!$1:$1016,COLUMN($E$1),FALSE)/(LEN(VLOOKUP($D216,素材!$1:$1016,COLUMN($F$1),FALSE)) - LEN(SUBSTITUTE(VLOOKUP($D216,素材!$1:$1016,COLUMN($F$1),FALSE), "・", 0)) + 1), 0)</f>
        <v>0</v>
      </c>
      <c r="AP216">
        <f>IF(ISNUMBER(SEARCH(SUBSTITUTE(AP$1,RIGHT(AP$1,2),""),VLOOKUP($D216,素材!$1:$1016,COLUMN($F$1),FALSE))),VLOOKUP($C216,武器!$1:$998,COLUMN($O$1),FALSE)*VLOOKUP($D216,素材!$1:$1016,COLUMN($E$1),FALSE)/(LEN(VLOOKUP($D216,素材!$1:$1016,COLUMN($F$1),FALSE)) - LEN(SUBSTITUTE(VLOOKUP($D216,素材!$1:$1016,COLUMN($F$1),FALSE), "・", 0)) + 1), 0)</f>
        <v>0</v>
      </c>
      <c r="AQ216">
        <f>IF(ISNUMBER(SEARCH(SUBSTITUTE(AQ$1,RIGHT(AQ$1,2),""),VLOOKUP($D216,素材!$1:$1016,COLUMN($F$1),FALSE))),VLOOKUP($C216,武器!$1:$998,COLUMN($O$1),FALSE)*VLOOKUP($D216,素材!$1:$1016,COLUMN($E$1),FALSE)/(LEN(VLOOKUP($D216,素材!$1:$1016,COLUMN($F$1),FALSE)) - LEN(SUBSTITUTE(VLOOKUP($D216,素材!$1:$1016,COLUMN($F$1),FALSE), "・", 0)) + 1), 0)</f>
        <v>0</v>
      </c>
      <c r="AR216">
        <f>IF(ISNUMBER(SEARCH(SUBSTITUTE(AR$1,RIGHT(AR$1,2),""),VLOOKUP($D216,素材!$1:$1016,COLUMN($F$1),FALSE))),VLOOKUP($C216,武器!$1:$998,COLUMN($O$1),FALSE)*VLOOKUP($D216,素材!$1:$1016,COLUMN($E$1),FALSE)/(LEN(VLOOKUP($D216,素材!$1:$1016,COLUMN($F$1),FALSE)) - LEN(SUBSTITUTE(VLOOKUP($D216,素材!$1:$1016,COLUMN($F$1),FALSE), "・", 0)) + 1), 0)</f>
        <v>0</v>
      </c>
      <c r="AS216">
        <f>IF(ISNUMBER(SEARCH(SUBSTITUTE(AS$1,RIGHT(AS$1,2),""),VLOOKUP($D216,素材!$1:$1016,COLUMN($F$1),FALSE))),VLOOKUP($C216,武器!$1:$998,COLUMN($O$1),FALSE)*VLOOKUP($D216,素材!$1:$1016,COLUMN($E$1),FALSE)/(LEN(VLOOKUP($D216,素材!$1:$1016,COLUMN($F$1),FALSE)) - LEN(SUBSTITUTE(VLOOKUP($D216,素材!$1:$1016,COLUMN($F$1),FALSE), "・", 0)) + 1), 0)</f>
        <v>0</v>
      </c>
      <c r="AT216">
        <f>IF(ISNUMBER(SEARCH(SUBSTITUTE(AT$1,RIGHT(AT$1,2),""),VLOOKUP($D216,素材!$1:$1016,COLUMN($F$1),FALSE))),VLOOKUP($C216,武器!$1:$998,COLUMN($O$1),FALSE)*VLOOKUP($D216,素材!$1:$1016,COLUMN($E$1),FALSE)/(LEN(VLOOKUP($D216,素材!$1:$1016,COLUMN($F$1),FALSE)) - LEN(SUBSTITUTE(VLOOKUP($D216,素材!$1:$1016,COLUMN($F$1),FALSE), "・", 0)) + 1), 0)</f>
        <v>0</v>
      </c>
      <c r="AU216">
        <f>IF(ISNUMBER(SEARCH(SUBSTITUTE(AU$1,RIGHT(AU$1,2),""),VLOOKUP($D216,素材!$1:$1016,COLUMN($F$1),FALSE))),VLOOKUP($C216,武器!$1:$998,COLUMN($O$1),FALSE)*VLOOKUP($D216,素材!$1:$1016,COLUMN($E$1),FALSE)/(LEN(VLOOKUP($D216,素材!$1:$1016,COLUMN($F$1),FALSE)) - LEN(SUBSTITUTE(VLOOKUP($D216,素材!$1:$1016,COLUMN($F$1),FALSE), "・", 0)) + 1), 0)</f>
        <v>0</v>
      </c>
      <c r="AV216">
        <f>IF(ISNUMBER(SEARCH(SUBSTITUTE(AV$1,RIGHT(AV$1,2),""),VLOOKUP($D216,素材!$1:$1016,COLUMN($F$1),FALSE))),VLOOKUP($C216,武器!$1:$998,COLUMN($O$1),FALSE)*VLOOKUP($D216,素材!$1:$1016,COLUMN($E$1),FALSE)/(LEN(VLOOKUP($D216,素材!$1:$1016,COLUMN($F$1),FALSE)) - LEN(SUBSTITUTE(VLOOKUP($D216,素材!$1:$1016,COLUMN($F$1),FALSE), "・", 0)) + 1), 0)</f>
        <v>0</v>
      </c>
      <c r="AW216">
        <f>IF(ISNUMBER(SEARCH(SUBSTITUTE(AW$1,RIGHT(AW$1,2),""),VLOOKUP($D216,素材!$1:$1016,COLUMN($F$1),FALSE))),VLOOKUP($C216,武器!$1:$998,COLUMN($O$1),FALSE)*VLOOKUP($D216,素材!$1:$1016,COLUMN($E$1),FALSE)/(LEN(VLOOKUP($D216,素材!$1:$1016,COLUMN($F$1),FALSE)) - LEN(SUBSTITUTE(VLOOKUP($D216,素材!$1:$1016,COLUMN($F$1),FALSE), "・", 0)) + 1), 0)</f>
        <v>0</v>
      </c>
      <c r="AX216">
        <f>IF(ISNUMBER(SEARCH(SUBSTITUTE(AX$1,RIGHT(AX$1,2),""),VLOOKUP($D216,素材!$1:$1016,COLUMN($F$1),FALSE))),VLOOKUP($C216,武器!$1:$998,COLUMN($O$1),FALSE)*VLOOKUP($D216,素材!$1:$1016,COLUMN($E$1),FALSE)/(LEN(VLOOKUP($D216,素材!$1:$1016,COLUMN($F$1),FALSE)) - LEN(SUBSTITUTE(VLOOKUP($D216,素材!$1:$1016,COLUMN($F$1),FALSE), "・", 0)) + 1), 0)</f>
        <v>0</v>
      </c>
      <c r="AY216">
        <f>IF(ISNUMBER(SEARCH(SUBSTITUTE(AY$1,RIGHT(AY$1,2),""),VLOOKUP($D216,素材!$1:$1016,COLUMN($F$1),FALSE))),VLOOKUP($C216,武器!$1:$998,COLUMN($O$1),FALSE)*VLOOKUP($D216,素材!$1:$1016,COLUMN($E$1),FALSE)/(LEN(VLOOKUP($D216,素材!$1:$1016,COLUMN($F$1),FALSE)) - LEN(SUBSTITUTE(VLOOKUP($D216,素材!$1:$1016,COLUMN($F$1),FALSE), "・", 0)) + 1), 0)</f>
        <v>0</v>
      </c>
      <c r="AZ216">
        <f>IF(ISNUMBER(SEARCH(SUBSTITUTE(AZ$1,RIGHT(AZ$1,2),""),VLOOKUP($D216,素材!$1:$1016,COLUMN($F$1),FALSE))),VLOOKUP($C216,武器!$1:$998,COLUMN($O$1),FALSE)*VLOOKUP($D216,素材!$1:$1016,COLUMN($E$1),FALSE)/(LEN(VLOOKUP($D216,素材!$1:$1016,COLUMN($F$1),FALSE)) - LEN(SUBSTITUTE(VLOOKUP($D216,素材!$1:$1016,COLUMN($F$1),FALSE), "・", 0)) + 1), 0)</f>
        <v>0</v>
      </c>
      <c r="BA216">
        <f>IF(ISNUMBER(SEARCH(SUBSTITUTE(BA$1,RIGHT(BA$1,2),""),VLOOKUP($D216,素材!$1:$1016,COLUMN($F$1),FALSE))),VLOOKUP($C216,武器!$1:$998,COLUMN($O$1),FALSE)*VLOOKUP($D216,素材!$1:$1016,COLUMN($E$1),FALSE)/(LEN(VLOOKUP($D216,素材!$1:$1016,COLUMN($F$1),FALSE)) - LEN(SUBSTITUTE(VLOOKUP($D216,素材!$1:$1016,COLUMN($F$1),FALSE), "・", 0)) + 1), 0)</f>
        <v>0</v>
      </c>
      <c r="BB216">
        <f>IF(ISNUMBER(SEARCH(SUBSTITUTE(BB$1,RIGHT(BB$1,2),""),VLOOKUP($D216,素材!$1:$1016,COLUMN($F$1),FALSE))),VLOOKUP($C216,武器!$1:$998,COLUMN($O$1),FALSE)*VLOOKUP($D216,素材!$1:$1016,COLUMN($E$1),FALSE)/(LEN(VLOOKUP($D216,素材!$1:$1016,COLUMN($F$1),FALSE)) - LEN(SUBSTITUTE(VLOOKUP($D216,素材!$1:$1016,COLUMN($F$1),FALSE), "・", 0)) + 1), 0)</f>
        <v>0</v>
      </c>
      <c r="BC216">
        <f>IF(ISNUMBER(SEARCH(SUBSTITUTE(BC$1,RIGHT(BC$1,2),""),VLOOKUP($D216,素材!$1:$1016,COLUMN($F$1),FALSE))),VLOOKUP($C216,武器!$1:$998,COLUMN($O$1),FALSE)*VLOOKUP($D216,素材!$1:$1016,COLUMN($E$1),FALSE)/(LEN(VLOOKUP($D216,素材!$1:$1016,COLUMN($F$1),FALSE)) - LEN(SUBSTITUTE(VLOOKUP($D216,素材!$1:$1016,COLUMN($F$1),FALSE), "・", 0)) + 1), 0)</f>
        <v>0</v>
      </c>
      <c r="BD216">
        <f>IF(ISNUMBER(SEARCH(SUBSTITUTE(BD$1,RIGHT(BD$1,2),""),VLOOKUP($D216,素材!$1:$1016,COLUMN($F$1),FALSE))),VLOOKUP($C216,武器!$1:$998,COLUMN($O$1),FALSE)*VLOOKUP($D216,素材!$1:$1016,COLUMN($E$1),FALSE)/(LEN(VLOOKUP($D216,素材!$1:$1016,COLUMN($F$1),FALSE)) - LEN(SUBSTITUTE(VLOOKUP($D216,素材!$1:$1016,COLUMN($F$1),FALSE), "・", 0)) + 1), 0)</f>
        <v>0</v>
      </c>
      <c r="BE216">
        <f>IF(ISNUMBER(SEARCH(SUBSTITUTE(BE$1,RIGHT(BE$1,2),""),VLOOKUP($D216,素材!$1:$1016,COLUMN($F$1),FALSE))),VLOOKUP($C216,武器!$1:$998,COLUMN($O$1),FALSE)*VLOOKUP($D216,素材!$1:$1016,COLUMN($E$1),FALSE)/(LEN(VLOOKUP($D216,素材!$1:$1016,COLUMN($F$1),FALSE)) - LEN(SUBSTITUTE(VLOOKUP($D216,素材!$1:$1016,COLUMN($F$1),FALSE), "・", 0)) + 1), 0)</f>
        <v>0</v>
      </c>
      <c r="CL216">
        <f>SUM(G216:I216)</f>
        <v>16</v>
      </c>
      <c r="CM216" s="22" t="str">
        <f>IF(E216="武器",IF(J216-1&gt;SUM(G216:I216),"盾",IF(MAX(G216:I216)=G216,"切断",IF(MAX(G216:I216)=H216,"貫通",IF(MAX(G216:I216)=I216,"打撃","射撃")))),E216)&amp;".webp"</f>
        <v>盾.webp</v>
      </c>
      <c r="CN216">
        <f>IFERROR(VLOOKUP($C216,武器!$1:$998,COLUMN(V$1),FALSE)*VLOOKUP($D216,素材!$1:$1016,COLUMN(N$1),FALSE)+IF(CI216="",0,VLOOKUP($CI216,装強!$1:$1008,COLUMN($CK$1),FALSE)),"")</f>
        <v>2250</v>
      </c>
      <c r="CO216">
        <f>VLOOKUP(D216,素材!$A:$O,COLUMN(素材!O$1),FALSE)</f>
        <v>0</v>
      </c>
      <c r="CP216" t="str">
        <f>VLOOKUP(C216,武器!$A:$W,COLUMN(武器!W$1),FALSE)</f>
        <v>盾。防御力が高く、汎用性がある防具。</v>
      </c>
      <c r="CR216" t="str">
        <f t="shared" si="29"/>
        <v>e_216</v>
      </c>
      <c r="CS216">
        <f t="shared" si="30"/>
        <v>225000</v>
      </c>
    </row>
    <row r="217" spans="1:97" outlineLevel="1" x14ac:dyDescent="0.4">
      <c r="A217" t="str">
        <f t="shared" si="28"/>
        <v>冷気鉄の丸大盾</v>
      </c>
      <c r="B217" t="str">
        <f>IFERROR(VLOOKUP($D217,素材!$1:$1016,COLUMN($B$1),FALSE)&amp;"・"&amp;VLOOKUP($C217,武器!$1:$998,COLUMN(B$1),FALSE),"")</f>
        <v>ドゥララン・ラウンドシールド</v>
      </c>
      <c r="C217" t="s">
        <v>220</v>
      </c>
      <c r="D217" s="24" t="s">
        <v>243</v>
      </c>
      <c r="E217" t="str">
        <f>IFERROR(VLOOKUP(C217,武器!$1:$998,COLUMN(C$1),FALSE),"")</f>
        <v>盾</v>
      </c>
      <c r="F217">
        <f>IFERROR(ROUNDDOWN((VLOOKUP($C217,武器!$1:$998,COLUMN(D$1),FALSE)+IFERROR(VLOOKUP($CI217,装強!$1:$999,COLUMN(F$1),FALSE),0))*VLOOKUP($D217,素材!$1:$1016,COLUMN(D$1),FALSE),0),"")</f>
        <v>110</v>
      </c>
      <c r="G217">
        <f>IFERROR(ROUNDDOWN((VLOOKUP($C217,武器!$1:$998,COLUMN(E$1),FALSE)+IFERROR(VLOOKUP($CI217,装強!$1:$999,COLUMN(G$1),FALSE),0))*VLOOKUP($D217,素材!$1:$1016,COLUMN($E$1),FALSE),0),"")</f>
        <v>9</v>
      </c>
      <c r="H217">
        <f>IFERROR(ROUNDDOWN((VLOOKUP($C217,武器!$1:$998,COLUMN(F$1),FALSE)+IFERROR(VLOOKUP($CI217,装強!$1:$999,COLUMN(H$1),FALSE),0))*VLOOKUP($D217,素材!$1:$1016,COLUMN($E$1),FALSE),0),"")</f>
        <v>0</v>
      </c>
      <c r="I217">
        <f>IFERROR(ROUNDDOWN((VLOOKUP($C217,武器!$1:$998,COLUMN(G$1),FALSE)+IFERROR(VLOOKUP($CI217,装強!$1:$999,COLUMN(I$1),FALSE),0))*VLOOKUP($D217,素材!$1:$1016,COLUMN($E$1),FALSE),0),"")</f>
        <v>9</v>
      </c>
      <c r="J217">
        <f>IFERROR(ROUNDDOWN((VLOOKUP($C217,武器!$1:$998,COLUMN(H$1),FALSE)+IFERROR(VLOOKUP($CI217,装強!$1:$999,COLUMN(J$1),FALSE),0))*VLOOKUP($D217,素材!$1:$1016,COLUMN($E$1),FALSE),0),"")</f>
        <v>25</v>
      </c>
      <c r="K217">
        <f>IFERROR(ROUNDDOWN((VLOOKUP($C217,武器!$1:$998,COLUMN(I$1),FALSE)+IFERROR(VLOOKUP($CI217,装強!$1:$999,COLUMN(K$1),FALSE),0))*VLOOKUP($D217,素材!$1:$1016,COLUMN($E$1),FALSE),0),"")</f>
        <v>0</v>
      </c>
      <c r="L217" t="str">
        <f>IFERROR(VLOOKUP($D217,素材!$1:$1016,COLUMN($F$1),FALSE),"")</f>
        <v>氷</v>
      </c>
      <c r="M217">
        <f>IFERROR(VLOOKUP($C217,武器!$1:$998,COLUMN(AA$1),FALSE)*VLOOKUP($D217,素材!$1:$1016,COLUMN($G$1),FALSE),"")</f>
        <v>31.5</v>
      </c>
      <c r="N217">
        <f>IFERROR(VLOOKUP($C217,武器!$1:$998,COLUMN(I$1),FALSE),"")</f>
        <v>0</v>
      </c>
      <c r="O217" s="23">
        <f>IFERROR((VLOOKUP($C217,武器!$1:$998,COLUMN(K$1),FALSE)+VLOOKUP($D217,素材!$1:$1016,COLUMN(H$1),FALSE))*100+IFERROR(VLOOKUP($CI217,装強!$1:$999,COLUMN(O$1),FALSE),0),"")</f>
        <v>5</v>
      </c>
      <c r="P217" s="23">
        <f>IFERROR((VLOOKUP($C217,武器!$1:$998,COLUMN(L$1),FALSE)+VLOOKUP($D217,素材!$1:$1016,COLUMN(I$1),FALSE))*100+IFERROR(VLOOKUP($CI217,装強!$1:$999,COLUMN(P$1),FALSE),0),"")</f>
        <v>125</v>
      </c>
      <c r="Q217">
        <f>IFERROR(ROUNDUP(VLOOKUP($C217,武器!$1:$998,COLUMN(M$1),FALSE)*(VLOOKUP($D217,素材!$1:$1002,COLUMN(D$1),FALSE)/100),1),"")</f>
        <v>-5</v>
      </c>
      <c r="R217">
        <f>IFERROR(ROUNDUP(VLOOKUP($C217,武器!$1:$998,COLUMN(N$1),FALSE)*(VLOOKUP($D217,素材!$1:$1002,COLUMN(D$1),FALSE)/100),1),"")</f>
        <v>0</v>
      </c>
      <c r="S217">
        <f>IFERROR(VLOOKUP($C217,武器!$1:$998,COLUMN(P$1),FALSE),"")</f>
        <v>0</v>
      </c>
      <c r="T217">
        <f>IFERROR(VLOOKUP($C217,武器!$1:$998,COLUMN(Q$1),FALSE),"")</f>
        <v>0</v>
      </c>
      <c r="U217">
        <f>IFERROR(VLOOKUP($C217,武器!$1:$998,COLUMN(R$1),FALSE),"")</f>
        <v>0</v>
      </c>
      <c r="V217">
        <f>IFERROR(VLOOKUP($C217,武器!$1:$998,COLUMN(Q$1),FALSE),"")</f>
        <v>0</v>
      </c>
      <c r="W217" t="str">
        <f>IFERROR(VLOOKUP($C217,武器!$1:$998,COLUMN(T$1),FALSE),"")</f>
        <v>A</v>
      </c>
      <c r="Y217" t="str">
        <f>IFERROR(VLOOKUP($C217,武器!$1:$998,COLUMN(U$1),FALSE),"")</f>
        <v>投擲強化,片手適正Ⅰ</v>
      </c>
      <c r="Z217">
        <f>IFERROR(ROUNDUP(VLOOKUP($C217,武器!$1:$998,COLUMN(O$1),FALSE)*VLOOKUP($D217,素材!$1:$1016,COLUMN(E$1),FALSE),1),"")</f>
        <v>0</v>
      </c>
      <c r="AA217">
        <f>IF(ISNUMBER(SEARCH(SUBSTITUTE(AA$1,RIGHT(AA$1,2),""),VLOOKUP($D217,素材!$1:$1016,COLUMN($F$1),FALSE))),VLOOKUP($C217,武器!$1:$998,COLUMN($O$1),FALSE)*VLOOKUP($D217,素材!$1:$1016,COLUMN($E$1),FALSE)/(LEN(VLOOKUP($D217,素材!$1:$1016,COLUMN($F$1),FALSE)) - LEN(SUBSTITUTE(VLOOKUP($D217,素材!$1:$1016,COLUMN($F$1),FALSE), "・", 0)) + 1), 0)</f>
        <v>0</v>
      </c>
      <c r="AB217">
        <f>IF(ISNUMBER(SEARCH(SUBSTITUTE(AB$1,RIGHT(AB$1,2),""),VLOOKUP($D217,素材!$1:$1016,COLUMN($F$1),FALSE))),VLOOKUP($C217,武器!$1:$998,COLUMN($O$1),FALSE)*VLOOKUP($D217,素材!$1:$1016,COLUMN($E$1),FALSE)/(LEN(VLOOKUP($D217,素材!$1:$1016,COLUMN($F$1),FALSE)) - LEN(SUBSTITUTE(VLOOKUP($D217,素材!$1:$1016,COLUMN($F$1),FALSE), "・", 0)) + 1), 0)</f>
        <v>0</v>
      </c>
      <c r="AC217">
        <f>IF(ISNUMBER(SEARCH(SUBSTITUTE(AC$1,RIGHT(AC$1,2),""),VLOOKUP($D217,素材!$1:$1016,COLUMN($F$1),FALSE))),VLOOKUP($C217,武器!$1:$998,COLUMN($O$1),FALSE)*VLOOKUP($D217,素材!$1:$1016,COLUMN($E$1),FALSE)/(LEN(VLOOKUP($D217,素材!$1:$1016,COLUMN($F$1),FALSE)) - LEN(SUBSTITUTE(VLOOKUP($D217,素材!$1:$1016,COLUMN($F$1),FALSE), "・", 0)) + 1), 0)</f>
        <v>0</v>
      </c>
      <c r="AD217">
        <f>IF(ISNUMBER(SEARCH(SUBSTITUTE(AD$1,RIGHT(AD$1,2),""),VLOOKUP($D217,素材!$1:$1016,COLUMN($F$1),FALSE))),VLOOKUP($C217,武器!$1:$998,COLUMN($O$1),FALSE)*VLOOKUP($D217,素材!$1:$1016,COLUMN($E$1),FALSE)/(LEN(VLOOKUP($D217,素材!$1:$1016,COLUMN($F$1),FALSE)) - LEN(SUBSTITUTE(VLOOKUP($D217,素材!$1:$1016,COLUMN($F$1),FALSE), "・", 0)) + 1), 0)</f>
        <v>0</v>
      </c>
      <c r="AE217">
        <f>IF(ISNUMBER(SEARCH(SUBSTITUTE(AE$1,RIGHT(AE$1,2),""),VLOOKUP($D217,素材!$1:$1016,COLUMN($F$1),FALSE))),VLOOKUP($C217,武器!$1:$998,COLUMN($O$1),FALSE)*VLOOKUP($D217,素材!$1:$1016,COLUMN($E$1),FALSE)/(LEN(VLOOKUP($D217,素材!$1:$1016,COLUMN($F$1),FALSE)) - LEN(SUBSTITUTE(VLOOKUP($D217,素材!$1:$1016,COLUMN($F$1),FALSE), "・", 0)) + 1), 0)</f>
        <v>0</v>
      </c>
      <c r="AF217">
        <f>IF(ISNUMBER(SEARCH(SUBSTITUTE(AF$1,RIGHT(AF$1,2),""),VLOOKUP($D217,素材!$1:$1016,COLUMN($F$1),FALSE))),VLOOKUP($C217,武器!$1:$998,COLUMN($O$1),FALSE)*VLOOKUP($D217,素材!$1:$1016,COLUMN($E$1),FALSE)/(LEN(VLOOKUP($D217,素材!$1:$1016,COLUMN($F$1),FALSE)) - LEN(SUBSTITUTE(VLOOKUP($D217,素材!$1:$1016,COLUMN($F$1),FALSE), "・", 0)) + 1), 0)</f>
        <v>0</v>
      </c>
      <c r="AG217">
        <f>IF(ISNUMBER(SEARCH(SUBSTITUTE(AG$1,RIGHT(AG$1,2),""),VLOOKUP($D217,素材!$1:$1016,COLUMN($F$1),FALSE))),VLOOKUP($C217,武器!$1:$998,COLUMN($O$1),FALSE)*VLOOKUP($D217,素材!$1:$1016,COLUMN($E$1),FALSE)/(LEN(VLOOKUP($D217,素材!$1:$1016,COLUMN($F$1),FALSE)) - LEN(SUBSTITUTE(VLOOKUP($D217,素材!$1:$1016,COLUMN($F$1),FALSE), "・", 0)) + 1), 0)</f>
        <v>0</v>
      </c>
      <c r="AH217">
        <f>IF(ISNUMBER(SEARCH(SUBSTITUTE(AH$1,RIGHT(AH$1,2),""),VLOOKUP($D217,素材!$1:$1016,COLUMN($F$1),FALSE))),VLOOKUP($C217,武器!$1:$998,COLUMN($O$1),FALSE)*VLOOKUP($D217,素材!$1:$1016,COLUMN($E$1),FALSE)/(LEN(VLOOKUP($D217,素材!$1:$1016,COLUMN($F$1),FALSE)) - LEN(SUBSTITUTE(VLOOKUP($D217,素材!$1:$1016,COLUMN($F$1),FALSE), "・", 0)) + 1), 0)</f>
        <v>0</v>
      </c>
      <c r="AI217">
        <f>IF(ISNUMBER(SEARCH(SUBSTITUTE(AI$1,RIGHT(AI$1,2),""),VLOOKUP($D217,素材!$1:$1016,COLUMN($F$1),FALSE))),VLOOKUP($C217,武器!$1:$998,COLUMN($O$1),FALSE)*VLOOKUP($D217,素材!$1:$1016,COLUMN($E$1),FALSE)/(LEN(VLOOKUP($D217,素材!$1:$1016,COLUMN($F$1),FALSE)) - LEN(SUBSTITUTE(VLOOKUP($D217,素材!$1:$1016,COLUMN($F$1),FALSE), "・", 0)) + 1), 0)</f>
        <v>0</v>
      </c>
      <c r="AJ217">
        <f>IF(ISNUMBER(SEARCH(SUBSTITUTE(AJ$1,RIGHT(AJ$1,2),""),VLOOKUP($D217,素材!$1:$1016,COLUMN($F$1),FALSE))),VLOOKUP($C217,武器!$1:$998,COLUMN($O$1),FALSE)*VLOOKUP($D217,素材!$1:$1016,COLUMN($E$1),FALSE)/(LEN(VLOOKUP($D217,素材!$1:$1016,COLUMN($F$1),FALSE)) - LEN(SUBSTITUTE(VLOOKUP($D217,素材!$1:$1016,COLUMN($F$1),FALSE), "・", 0)) + 1), 0)</f>
        <v>0</v>
      </c>
      <c r="AK217">
        <f>IF(ISNUMBER(SEARCH(SUBSTITUTE(AK$1,RIGHT(AK$1,2),""),VLOOKUP($D217,素材!$1:$1016,COLUMN($F$1),FALSE))),VLOOKUP($C217,武器!$1:$998,COLUMN($O$1),FALSE)*VLOOKUP($D217,素材!$1:$1016,COLUMN($E$1),FALSE)/(LEN(VLOOKUP($D217,素材!$1:$1016,COLUMN($F$1),FALSE)) - LEN(SUBSTITUTE(VLOOKUP($D217,素材!$1:$1016,COLUMN($F$1),FALSE), "・", 0)) + 1), 0)</f>
        <v>0</v>
      </c>
      <c r="AL217">
        <f>IF(ISNUMBER(SEARCH(SUBSTITUTE(AL$1,RIGHT(AL$1,2),""),VLOOKUP($D217,素材!$1:$1016,COLUMN($F$1),FALSE))),VLOOKUP($C217,武器!$1:$998,COLUMN($O$1),FALSE)*VLOOKUP($D217,素材!$1:$1016,COLUMN($E$1),FALSE)/(LEN(VLOOKUP($D217,素材!$1:$1016,COLUMN($F$1),FALSE)) - LEN(SUBSTITUTE(VLOOKUP($D217,素材!$1:$1016,COLUMN($F$1),FALSE), "・", 0)) + 1), 0)</f>
        <v>0</v>
      </c>
      <c r="AM217">
        <f>IF(ISNUMBER(SEARCH(SUBSTITUTE(AM$1,RIGHT(AM$1,2),""),VLOOKUP($D217,素材!$1:$1016,COLUMN($F$1),FALSE))),VLOOKUP($C217,武器!$1:$998,COLUMN($O$1),FALSE)*VLOOKUP($D217,素材!$1:$1016,COLUMN($E$1),FALSE)/(LEN(VLOOKUP($D217,素材!$1:$1016,COLUMN($F$1),FALSE)) - LEN(SUBSTITUTE(VLOOKUP($D217,素材!$1:$1016,COLUMN($F$1),FALSE), "・", 0)) + 1), 0)</f>
        <v>0</v>
      </c>
      <c r="AN217">
        <f>IF(ISNUMBER(SEARCH(SUBSTITUTE(AN$1,RIGHT(AN$1,2),""),VLOOKUP($D217,素材!$1:$1016,COLUMN($F$1),FALSE))),VLOOKUP($C217,武器!$1:$998,COLUMN($O$1),FALSE)*VLOOKUP($D217,素材!$1:$1016,COLUMN($E$1),FALSE)/(LEN(VLOOKUP($D217,素材!$1:$1016,COLUMN($F$1),FALSE)) - LEN(SUBSTITUTE(VLOOKUP($D217,素材!$1:$1016,COLUMN($F$1),FALSE), "・", 0)) + 1), 0)</f>
        <v>0</v>
      </c>
      <c r="AO217">
        <f>IF(ISNUMBER(SEARCH(SUBSTITUTE(AO$1,RIGHT(AO$1,2),""),VLOOKUP($D217,素材!$1:$1016,COLUMN($F$1),FALSE))),VLOOKUP($C217,武器!$1:$998,COLUMN($O$1),FALSE)*VLOOKUP($D217,素材!$1:$1016,COLUMN($E$1),FALSE)/(LEN(VLOOKUP($D217,素材!$1:$1016,COLUMN($F$1),FALSE)) - LEN(SUBSTITUTE(VLOOKUP($D217,素材!$1:$1016,COLUMN($F$1),FALSE), "・", 0)) + 1), 0)</f>
        <v>0</v>
      </c>
      <c r="AP217">
        <f>IF(ISNUMBER(SEARCH(SUBSTITUTE(AP$1,RIGHT(AP$1,2),""),VLOOKUP($D217,素材!$1:$1016,COLUMN($F$1),FALSE))),VLOOKUP($C217,武器!$1:$998,COLUMN($O$1),FALSE)*VLOOKUP($D217,素材!$1:$1016,COLUMN($E$1),FALSE)/(LEN(VLOOKUP($D217,素材!$1:$1016,COLUMN($F$1),FALSE)) - LEN(SUBSTITUTE(VLOOKUP($D217,素材!$1:$1016,COLUMN($F$1),FALSE), "・", 0)) + 1), 0)</f>
        <v>0</v>
      </c>
      <c r="AQ217">
        <f>IF(ISNUMBER(SEARCH(SUBSTITUTE(AQ$1,RIGHT(AQ$1,2),""),VLOOKUP($D217,素材!$1:$1016,COLUMN($F$1),FALSE))),VLOOKUP($C217,武器!$1:$998,COLUMN($O$1),FALSE)*VLOOKUP($D217,素材!$1:$1016,COLUMN($E$1),FALSE)/(LEN(VLOOKUP($D217,素材!$1:$1016,COLUMN($F$1),FALSE)) - LEN(SUBSTITUTE(VLOOKUP($D217,素材!$1:$1016,COLUMN($F$1),FALSE), "・", 0)) + 1), 0)</f>
        <v>0</v>
      </c>
      <c r="AR217">
        <f>IF(ISNUMBER(SEARCH(SUBSTITUTE(AR$1,RIGHT(AR$1,2),""),VLOOKUP($D217,素材!$1:$1016,COLUMN($F$1),FALSE))),VLOOKUP($C217,武器!$1:$998,COLUMN($O$1),FALSE)*VLOOKUP($D217,素材!$1:$1016,COLUMN($E$1),FALSE)/(LEN(VLOOKUP($D217,素材!$1:$1016,COLUMN($F$1),FALSE)) - LEN(SUBSTITUTE(VLOOKUP($D217,素材!$1:$1016,COLUMN($F$1),FALSE), "・", 0)) + 1), 0)</f>
        <v>0</v>
      </c>
      <c r="AS217">
        <f>IF(ISNUMBER(SEARCH(SUBSTITUTE(AS$1,RIGHT(AS$1,2),""),VLOOKUP($D217,素材!$1:$1016,COLUMN($F$1),FALSE))),VLOOKUP($C217,武器!$1:$998,COLUMN($O$1),FALSE)*VLOOKUP($D217,素材!$1:$1016,COLUMN($E$1),FALSE)/(LEN(VLOOKUP($D217,素材!$1:$1016,COLUMN($F$1),FALSE)) - LEN(SUBSTITUTE(VLOOKUP($D217,素材!$1:$1016,COLUMN($F$1),FALSE), "・", 0)) + 1), 0)</f>
        <v>0</v>
      </c>
      <c r="AT217">
        <f>IF(ISNUMBER(SEARCH(SUBSTITUTE(AT$1,RIGHT(AT$1,2),""),VLOOKUP($D217,素材!$1:$1016,COLUMN($F$1),FALSE))),VLOOKUP($C217,武器!$1:$998,COLUMN($O$1),FALSE)*VLOOKUP($D217,素材!$1:$1016,COLUMN($E$1),FALSE)/(LEN(VLOOKUP($D217,素材!$1:$1016,COLUMN($F$1),FALSE)) - LEN(SUBSTITUTE(VLOOKUP($D217,素材!$1:$1016,COLUMN($F$1),FALSE), "・", 0)) + 1), 0)</f>
        <v>0</v>
      </c>
      <c r="AU217">
        <f>IF(ISNUMBER(SEARCH(SUBSTITUTE(AU$1,RIGHT(AU$1,2),""),VLOOKUP($D217,素材!$1:$1016,COLUMN($F$1),FALSE))),VLOOKUP($C217,武器!$1:$998,COLUMN($O$1),FALSE)*VLOOKUP($D217,素材!$1:$1016,COLUMN($E$1),FALSE)/(LEN(VLOOKUP($D217,素材!$1:$1016,COLUMN($F$1),FALSE)) - LEN(SUBSTITUTE(VLOOKUP($D217,素材!$1:$1016,COLUMN($F$1),FALSE), "・", 0)) + 1), 0)</f>
        <v>0</v>
      </c>
      <c r="AV217">
        <f>IF(ISNUMBER(SEARCH(SUBSTITUTE(AV$1,RIGHT(AV$1,2),""),VLOOKUP($D217,素材!$1:$1016,COLUMN($F$1),FALSE))),VLOOKUP($C217,武器!$1:$998,COLUMN($O$1),FALSE)*VLOOKUP($D217,素材!$1:$1016,COLUMN($E$1),FALSE)/(LEN(VLOOKUP($D217,素材!$1:$1016,COLUMN($F$1),FALSE)) - LEN(SUBSTITUTE(VLOOKUP($D217,素材!$1:$1016,COLUMN($F$1),FALSE), "・", 0)) + 1), 0)</f>
        <v>0</v>
      </c>
      <c r="AW217">
        <f>IF(ISNUMBER(SEARCH(SUBSTITUTE(AW$1,RIGHT(AW$1,2),""),VLOOKUP($D217,素材!$1:$1016,COLUMN($F$1),FALSE))),VLOOKUP($C217,武器!$1:$998,COLUMN($O$1),FALSE)*VLOOKUP($D217,素材!$1:$1016,COLUMN($E$1),FALSE)/(LEN(VLOOKUP($D217,素材!$1:$1016,COLUMN($F$1),FALSE)) - LEN(SUBSTITUTE(VLOOKUP($D217,素材!$1:$1016,COLUMN($F$1),FALSE), "・", 0)) + 1), 0)</f>
        <v>0</v>
      </c>
      <c r="AX217">
        <f>IF(ISNUMBER(SEARCH(SUBSTITUTE(AX$1,RIGHT(AX$1,2),""),VLOOKUP($D217,素材!$1:$1016,COLUMN($F$1),FALSE))),VLOOKUP($C217,武器!$1:$998,COLUMN($O$1),FALSE)*VLOOKUP($D217,素材!$1:$1016,COLUMN($E$1),FALSE)/(LEN(VLOOKUP($D217,素材!$1:$1016,COLUMN($F$1),FALSE)) - LEN(SUBSTITUTE(VLOOKUP($D217,素材!$1:$1016,COLUMN($F$1),FALSE), "・", 0)) + 1), 0)</f>
        <v>0</v>
      </c>
      <c r="AY217">
        <f>IF(ISNUMBER(SEARCH(SUBSTITUTE(AY$1,RIGHT(AY$1,2),""),VLOOKUP($D217,素材!$1:$1016,COLUMN($F$1),FALSE))),VLOOKUP($C217,武器!$1:$998,COLUMN($O$1),FALSE)*VLOOKUP($D217,素材!$1:$1016,COLUMN($E$1),FALSE)/(LEN(VLOOKUP($D217,素材!$1:$1016,COLUMN($F$1),FALSE)) - LEN(SUBSTITUTE(VLOOKUP($D217,素材!$1:$1016,COLUMN($F$1),FALSE), "・", 0)) + 1), 0)</f>
        <v>0</v>
      </c>
      <c r="AZ217">
        <f>IF(ISNUMBER(SEARCH(SUBSTITUTE(AZ$1,RIGHT(AZ$1,2),""),VLOOKUP($D217,素材!$1:$1016,COLUMN($F$1),FALSE))),VLOOKUP($C217,武器!$1:$998,COLUMN($O$1),FALSE)*VLOOKUP($D217,素材!$1:$1016,COLUMN($E$1),FALSE)/(LEN(VLOOKUP($D217,素材!$1:$1016,COLUMN($F$1),FALSE)) - LEN(SUBSTITUTE(VLOOKUP($D217,素材!$1:$1016,COLUMN($F$1),FALSE), "・", 0)) + 1), 0)</f>
        <v>0</v>
      </c>
      <c r="BA217">
        <f>IF(ISNUMBER(SEARCH(SUBSTITUTE(BA$1,RIGHT(BA$1,2),""),VLOOKUP($D217,素材!$1:$1016,COLUMN($F$1),FALSE))),VLOOKUP($C217,武器!$1:$998,COLUMN($O$1),FALSE)*VLOOKUP($D217,素材!$1:$1016,COLUMN($E$1),FALSE)/(LEN(VLOOKUP($D217,素材!$1:$1016,COLUMN($F$1),FALSE)) - LEN(SUBSTITUTE(VLOOKUP($D217,素材!$1:$1016,COLUMN($F$1),FALSE), "・", 0)) + 1), 0)</f>
        <v>0</v>
      </c>
      <c r="BB217">
        <f>IF(ISNUMBER(SEARCH(SUBSTITUTE(BB$1,RIGHT(BB$1,2),""),VLOOKUP($D217,素材!$1:$1016,COLUMN($F$1),FALSE))),VLOOKUP($C217,武器!$1:$998,COLUMN($O$1),FALSE)*VLOOKUP($D217,素材!$1:$1016,COLUMN($E$1),FALSE)/(LEN(VLOOKUP($D217,素材!$1:$1016,COLUMN($F$1),FALSE)) - LEN(SUBSTITUTE(VLOOKUP($D217,素材!$1:$1016,COLUMN($F$1),FALSE), "・", 0)) + 1), 0)</f>
        <v>0</v>
      </c>
      <c r="BC217">
        <f>IF(ISNUMBER(SEARCH(SUBSTITUTE(BC$1,RIGHT(BC$1,2),""),VLOOKUP($D217,素材!$1:$1016,COLUMN($F$1),FALSE))),VLOOKUP($C217,武器!$1:$998,COLUMN($O$1),FALSE)*VLOOKUP($D217,素材!$1:$1016,COLUMN($E$1),FALSE)/(LEN(VLOOKUP($D217,素材!$1:$1016,COLUMN($F$1),FALSE)) - LEN(SUBSTITUTE(VLOOKUP($D217,素材!$1:$1016,COLUMN($F$1),FALSE), "・", 0)) + 1), 0)</f>
        <v>0</v>
      </c>
      <c r="BD217">
        <f>IF(ISNUMBER(SEARCH(SUBSTITUTE(BD$1,RIGHT(BD$1,2),""),VLOOKUP($D217,素材!$1:$1016,COLUMN($F$1),FALSE))),VLOOKUP($C217,武器!$1:$998,COLUMN($O$1),FALSE)*VLOOKUP($D217,素材!$1:$1016,COLUMN($E$1),FALSE)/(LEN(VLOOKUP($D217,素材!$1:$1016,COLUMN($F$1),FALSE)) - LEN(SUBSTITUTE(VLOOKUP($D217,素材!$1:$1016,COLUMN($F$1),FALSE), "・", 0)) + 1), 0)</f>
        <v>0</v>
      </c>
      <c r="BE217">
        <f>IF(ISNUMBER(SEARCH(SUBSTITUTE(BE$1,RIGHT(BE$1,2),""),VLOOKUP($D217,素材!$1:$1016,COLUMN($F$1),FALSE))),VLOOKUP($C217,武器!$1:$998,COLUMN($O$1),FALSE)*VLOOKUP($D217,素材!$1:$1016,COLUMN($E$1),FALSE)/(LEN(VLOOKUP($D217,素材!$1:$1016,COLUMN($F$1),FALSE)) - LEN(SUBSTITUTE(VLOOKUP($D217,素材!$1:$1016,COLUMN($F$1),FALSE), "・", 0)) + 1), 0)</f>
        <v>0</v>
      </c>
      <c r="CL217">
        <f>SUM(G217:I217)</f>
        <v>18</v>
      </c>
      <c r="CM217" s="22" t="str">
        <f>IF(E217="武器",IF(J217-1&gt;SUM(G217:I217),"盾",IF(MAX(G217:I217)=G217,"切断",IF(MAX(G217:I217)=H217,"貫通",IF(MAX(G217:I217)=I217,"打撃","射撃")))),E217)&amp;".webp"</f>
        <v>盾.webp</v>
      </c>
      <c r="CN217">
        <f>IFERROR(VLOOKUP($C217,武器!$1:$998,COLUMN(V$1),FALSE)*VLOOKUP($D217,素材!$1:$1016,COLUMN(N$1),FALSE)+IF(CI217="",0,VLOOKUP($CI217,装強!$1:$1008,COLUMN($CK$1),FALSE)),"")</f>
        <v>3000</v>
      </c>
      <c r="CO217">
        <f>VLOOKUP(D217,素材!$A:$O,COLUMN(素材!O$1),FALSE)</f>
        <v>0</v>
      </c>
      <c r="CP217" t="str">
        <f>VLOOKUP(C217,武器!$A:$W,COLUMN(武器!W$1),FALSE)</f>
        <v>丸大盾。防御範囲が広く、投擲も可能。</v>
      </c>
      <c r="CR217" t="str">
        <f t="shared" si="29"/>
        <v>e_217</v>
      </c>
      <c r="CS217">
        <f t="shared" si="30"/>
        <v>300000</v>
      </c>
    </row>
    <row r="218" spans="1:97" outlineLevel="1" x14ac:dyDescent="0.4">
      <c r="A218" t="str">
        <f t="shared" si="28"/>
        <v>冷気鉄の大盾</v>
      </c>
      <c r="B218" t="str">
        <f>IFERROR(VLOOKUP($D218,素材!$1:$1016,COLUMN($B$1),FALSE)&amp;"・"&amp;VLOOKUP($C218,武器!$1:$998,COLUMN(B$1),FALSE),"")</f>
        <v>ドゥララン・ラージシールド</v>
      </c>
      <c r="C218" t="s">
        <v>219</v>
      </c>
      <c r="D218" s="24" t="s">
        <v>243</v>
      </c>
      <c r="E218" t="str">
        <f>IFERROR(VLOOKUP(C218,武器!$1:$998,COLUMN(C$1),FALSE),"")</f>
        <v>盾</v>
      </c>
      <c r="F218">
        <f>IFERROR(ROUNDDOWN((VLOOKUP($C218,武器!$1:$998,COLUMN(D$1),FALSE)+IFERROR(VLOOKUP($CI218,装強!$1:$999,COLUMN(F$1),FALSE),0))*VLOOKUP($D218,素材!$1:$1016,COLUMN(D$1),FALSE),0),"")</f>
        <v>115</v>
      </c>
      <c r="G218">
        <f>IFERROR(ROUNDDOWN((VLOOKUP($C218,武器!$1:$998,COLUMN(E$1),FALSE)+IFERROR(VLOOKUP($CI218,装強!$1:$999,COLUMN(G$1),FALSE),0))*VLOOKUP($D218,素材!$1:$1016,COLUMN($E$1),FALSE),0),"")</f>
        <v>0</v>
      </c>
      <c r="H218">
        <f>IFERROR(ROUNDDOWN((VLOOKUP($C218,武器!$1:$998,COLUMN(F$1),FALSE)+IFERROR(VLOOKUP($CI218,装強!$1:$999,COLUMN(H$1),FALSE),0))*VLOOKUP($D218,素材!$1:$1016,COLUMN($E$1),FALSE),0),"")</f>
        <v>0</v>
      </c>
      <c r="I218">
        <f>IFERROR(ROUNDDOWN((VLOOKUP($C218,武器!$1:$998,COLUMN(G$1),FALSE)+IFERROR(VLOOKUP($CI218,装強!$1:$999,COLUMN(I$1),FALSE),0))*VLOOKUP($D218,素材!$1:$1016,COLUMN($E$1),FALSE),0),"")</f>
        <v>17</v>
      </c>
      <c r="J218">
        <f>IFERROR(ROUNDDOWN((VLOOKUP($C218,武器!$1:$998,COLUMN(H$1),FALSE)+IFERROR(VLOOKUP($CI218,装強!$1:$999,COLUMN(J$1),FALSE),0))*VLOOKUP($D218,素材!$1:$1016,COLUMN($E$1),FALSE),0),"")</f>
        <v>27</v>
      </c>
      <c r="K218">
        <f>IFERROR(ROUNDDOWN((VLOOKUP($C218,武器!$1:$998,COLUMN(I$1),FALSE)+IFERROR(VLOOKUP($CI218,装強!$1:$999,COLUMN(K$1),FALSE),0))*VLOOKUP($D218,素材!$1:$1016,COLUMN($E$1),FALSE),0),"")</f>
        <v>0</v>
      </c>
      <c r="L218" t="str">
        <f>IFERROR(VLOOKUP($D218,素材!$1:$1016,COLUMN($F$1),FALSE),"")</f>
        <v>氷</v>
      </c>
      <c r="M218">
        <f>IFERROR(VLOOKUP($C218,武器!$1:$998,COLUMN(AA$1),FALSE)*VLOOKUP($D218,素材!$1:$1016,COLUMN($G$1),FALSE),"")</f>
        <v>29.75</v>
      </c>
      <c r="N218">
        <f>IFERROR(VLOOKUP($C218,武器!$1:$998,COLUMN(I$1),FALSE),"")</f>
        <v>0</v>
      </c>
      <c r="O218" s="23">
        <f>IFERROR((VLOOKUP($C218,武器!$1:$998,COLUMN(K$1),FALSE)+VLOOKUP($D218,素材!$1:$1016,COLUMN(H$1),FALSE))*100+IFERROR(VLOOKUP($CI218,装強!$1:$999,COLUMN(O$1),FALSE),0),"")</f>
        <v>5</v>
      </c>
      <c r="P218" s="23">
        <f>IFERROR((VLOOKUP($C218,武器!$1:$998,COLUMN(L$1),FALSE)+VLOOKUP($D218,素材!$1:$1016,COLUMN(I$1),FALSE))*100+IFERROR(VLOOKUP($CI218,装強!$1:$999,COLUMN(P$1),FALSE),0),"")</f>
        <v>125</v>
      </c>
      <c r="Q218">
        <f>IFERROR(ROUNDUP(VLOOKUP($C218,武器!$1:$998,COLUMN(M$1),FALSE)*(VLOOKUP($D218,素材!$1:$1002,COLUMN(D$1),FALSE)/100),1),"")</f>
        <v>-5</v>
      </c>
      <c r="R218">
        <f>IFERROR(ROUNDUP(VLOOKUP($C218,武器!$1:$998,COLUMN(N$1),FALSE)*(VLOOKUP($D218,素材!$1:$1002,COLUMN(D$1),FALSE)/100),1),"")</f>
        <v>0</v>
      </c>
      <c r="S218">
        <f>IFERROR(VLOOKUP($C218,武器!$1:$998,COLUMN(P$1),FALSE),"")</f>
        <v>0</v>
      </c>
      <c r="T218">
        <f>IFERROR(VLOOKUP($C218,武器!$1:$998,COLUMN(Q$1),FALSE),"")</f>
        <v>0</v>
      </c>
      <c r="U218">
        <f>IFERROR(VLOOKUP($C218,武器!$1:$998,COLUMN(R$1),FALSE),"")</f>
        <v>0</v>
      </c>
      <c r="V218">
        <f>IFERROR(VLOOKUP($C218,武器!$1:$998,COLUMN(Q$1),FALSE),"")</f>
        <v>0</v>
      </c>
      <c r="W218" t="str">
        <f>IFERROR(VLOOKUP($C218,武器!$1:$998,COLUMN(T$1),FALSE),"")</f>
        <v>A</v>
      </c>
      <c r="Y218" t="str">
        <f>IFERROR(VLOOKUP($C218,武器!$1:$998,COLUMN(U$1),FALSE),"")</f>
        <v>片手適正Ⅰ</v>
      </c>
      <c r="Z218">
        <f>IFERROR(ROUNDUP(VLOOKUP($C218,武器!$1:$998,COLUMN(O$1),FALSE)*VLOOKUP($D218,素材!$1:$1016,COLUMN(E$1),FALSE),1),"")</f>
        <v>0</v>
      </c>
      <c r="AA218">
        <f>IF(ISNUMBER(SEARCH(SUBSTITUTE(AA$1,RIGHT(AA$1,2),""),VLOOKUP($D218,素材!$1:$1016,COLUMN($F$1),FALSE))),VLOOKUP($C218,武器!$1:$998,COLUMN($O$1),FALSE)*VLOOKUP($D218,素材!$1:$1016,COLUMN($E$1),FALSE)/(LEN(VLOOKUP($D218,素材!$1:$1016,COLUMN($F$1),FALSE)) - LEN(SUBSTITUTE(VLOOKUP($D218,素材!$1:$1016,COLUMN($F$1),FALSE), "・", 0)) + 1), 0)</f>
        <v>0</v>
      </c>
      <c r="AB218">
        <f>IF(ISNUMBER(SEARCH(SUBSTITUTE(AB$1,RIGHT(AB$1,2),""),VLOOKUP($D218,素材!$1:$1016,COLUMN($F$1),FALSE))),VLOOKUP($C218,武器!$1:$998,COLUMN($O$1),FALSE)*VLOOKUP($D218,素材!$1:$1016,COLUMN($E$1),FALSE)/(LEN(VLOOKUP($D218,素材!$1:$1016,COLUMN($F$1),FALSE)) - LEN(SUBSTITUTE(VLOOKUP($D218,素材!$1:$1016,COLUMN($F$1),FALSE), "・", 0)) + 1), 0)</f>
        <v>0</v>
      </c>
      <c r="AC218">
        <f>IF(ISNUMBER(SEARCH(SUBSTITUTE(AC$1,RIGHT(AC$1,2),""),VLOOKUP($D218,素材!$1:$1016,COLUMN($F$1),FALSE))),VLOOKUP($C218,武器!$1:$998,COLUMN($O$1),FALSE)*VLOOKUP($D218,素材!$1:$1016,COLUMN($E$1),FALSE)/(LEN(VLOOKUP($D218,素材!$1:$1016,COLUMN($F$1),FALSE)) - LEN(SUBSTITUTE(VLOOKUP($D218,素材!$1:$1016,COLUMN($F$1),FALSE), "・", 0)) + 1), 0)</f>
        <v>0</v>
      </c>
      <c r="AD218">
        <f>IF(ISNUMBER(SEARCH(SUBSTITUTE(AD$1,RIGHT(AD$1,2),""),VLOOKUP($D218,素材!$1:$1016,COLUMN($F$1),FALSE))),VLOOKUP($C218,武器!$1:$998,COLUMN($O$1),FALSE)*VLOOKUP($D218,素材!$1:$1016,COLUMN($E$1),FALSE)/(LEN(VLOOKUP($D218,素材!$1:$1016,COLUMN($F$1),FALSE)) - LEN(SUBSTITUTE(VLOOKUP($D218,素材!$1:$1016,COLUMN($F$1),FALSE), "・", 0)) + 1), 0)</f>
        <v>0</v>
      </c>
      <c r="AE218">
        <f>IF(ISNUMBER(SEARCH(SUBSTITUTE(AE$1,RIGHT(AE$1,2),""),VLOOKUP($D218,素材!$1:$1016,COLUMN($F$1),FALSE))),VLOOKUP($C218,武器!$1:$998,COLUMN($O$1),FALSE)*VLOOKUP($D218,素材!$1:$1016,COLUMN($E$1),FALSE)/(LEN(VLOOKUP($D218,素材!$1:$1016,COLUMN($F$1),FALSE)) - LEN(SUBSTITUTE(VLOOKUP($D218,素材!$1:$1016,COLUMN($F$1),FALSE), "・", 0)) + 1), 0)</f>
        <v>0</v>
      </c>
      <c r="AF218">
        <f>IF(ISNUMBER(SEARCH(SUBSTITUTE(AF$1,RIGHT(AF$1,2),""),VLOOKUP($D218,素材!$1:$1016,COLUMN($F$1),FALSE))),VLOOKUP($C218,武器!$1:$998,COLUMN($O$1),FALSE)*VLOOKUP($D218,素材!$1:$1016,COLUMN($E$1),FALSE)/(LEN(VLOOKUP($D218,素材!$1:$1016,COLUMN($F$1),FALSE)) - LEN(SUBSTITUTE(VLOOKUP($D218,素材!$1:$1016,COLUMN($F$1),FALSE), "・", 0)) + 1), 0)</f>
        <v>0</v>
      </c>
      <c r="AG218">
        <f>IF(ISNUMBER(SEARCH(SUBSTITUTE(AG$1,RIGHT(AG$1,2),""),VLOOKUP($D218,素材!$1:$1016,COLUMN($F$1),FALSE))),VLOOKUP($C218,武器!$1:$998,COLUMN($O$1),FALSE)*VLOOKUP($D218,素材!$1:$1016,COLUMN($E$1),FALSE)/(LEN(VLOOKUP($D218,素材!$1:$1016,COLUMN($F$1),FALSE)) - LEN(SUBSTITUTE(VLOOKUP($D218,素材!$1:$1016,COLUMN($F$1),FALSE), "・", 0)) + 1), 0)</f>
        <v>0</v>
      </c>
      <c r="AH218">
        <f>IF(ISNUMBER(SEARCH(SUBSTITUTE(AH$1,RIGHT(AH$1,2),""),VLOOKUP($D218,素材!$1:$1016,COLUMN($F$1),FALSE))),VLOOKUP($C218,武器!$1:$998,COLUMN($O$1),FALSE)*VLOOKUP($D218,素材!$1:$1016,COLUMN($E$1),FALSE)/(LEN(VLOOKUP($D218,素材!$1:$1016,COLUMN($F$1),FALSE)) - LEN(SUBSTITUTE(VLOOKUP($D218,素材!$1:$1016,COLUMN($F$1),FALSE), "・", 0)) + 1), 0)</f>
        <v>0</v>
      </c>
      <c r="AI218">
        <f>IF(ISNUMBER(SEARCH(SUBSTITUTE(AI$1,RIGHT(AI$1,2),""),VLOOKUP($D218,素材!$1:$1016,COLUMN($F$1),FALSE))),VLOOKUP($C218,武器!$1:$998,COLUMN($O$1),FALSE)*VLOOKUP($D218,素材!$1:$1016,COLUMN($E$1),FALSE)/(LEN(VLOOKUP($D218,素材!$1:$1016,COLUMN($F$1),FALSE)) - LEN(SUBSTITUTE(VLOOKUP($D218,素材!$1:$1016,COLUMN($F$1),FALSE), "・", 0)) + 1), 0)</f>
        <v>0</v>
      </c>
      <c r="AJ218">
        <f>IF(ISNUMBER(SEARCH(SUBSTITUTE(AJ$1,RIGHT(AJ$1,2),""),VLOOKUP($D218,素材!$1:$1016,COLUMN($F$1),FALSE))),VLOOKUP($C218,武器!$1:$998,COLUMN($O$1),FALSE)*VLOOKUP($D218,素材!$1:$1016,COLUMN($E$1),FALSE)/(LEN(VLOOKUP($D218,素材!$1:$1016,COLUMN($F$1),FALSE)) - LEN(SUBSTITUTE(VLOOKUP($D218,素材!$1:$1016,COLUMN($F$1),FALSE), "・", 0)) + 1), 0)</f>
        <v>0</v>
      </c>
      <c r="AK218">
        <f>IF(ISNUMBER(SEARCH(SUBSTITUTE(AK$1,RIGHT(AK$1,2),""),VLOOKUP($D218,素材!$1:$1016,COLUMN($F$1),FALSE))),VLOOKUP($C218,武器!$1:$998,COLUMN($O$1),FALSE)*VLOOKUP($D218,素材!$1:$1016,COLUMN($E$1),FALSE)/(LEN(VLOOKUP($D218,素材!$1:$1016,COLUMN($F$1),FALSE)) - LEN(SUBSTITUTE(VLOOKUP($D218,素材!$1:$1016,COLUMN($F$1),FALSE), "・", 0)) + 1), 0)</f>
        <v>0</v>
      </c>
      <c r="AL218">
        <f>IF(ISNUMBER(SEARCH(SUBSTITUTE(AL$1,RIGHT(AL$1,2),""),VLOOKUP($D218,素材!$1:$1016,COLUMN($F$1),FALSE))),VLOOKUP($C218,武器!$1:$998,COLUMN($O$1),FALSE)*VLOOKUP($D218,素材!$1:$1016,COLUMN($E$1),FALSE)/(LEN(VLOOKUP($D218,素材!$1:$1016,COLUMN($F$1),FALSE)) - LEN(SUBSTITUTE(VLOOKUP($D218,素材!$1:$1016,COLUMN($F$1),FALSE), "・", 0)) + 1), 0)</f>
        <v>0</v>
      </c>
      <c r="AM218">
        <f>IF(ISNUMBER(SEARCH(SUBSTITUTE(AM$1,RIGHT(AM$1,2),""),VLOOKUP($D218,素材!$1:$1016,COLUMN($F$1),FALSE))),VLOOKUP($C218,武器!$1:$998,COLUMN($O$1),FALSE)*VLOOKUP($D218,素材!$1:$1016,COLUMN($E$1),FALSE)/(LEN(VLOOKUP($D218,素材!$1:$1016,COLUMN($F$1),FALSE)) - LEN(SUBSTITUTE(VLOOKUP($D218,素材!$1:$1016,COLUMN($F$1),FALSE), "・", 0)) + 1), 0)</f>
        <v>0</v>
      </c>
      <c r="AN218">
        <f>IF(ISNUMBER(SEARCH(SUBSTITUTE(AN$1,RIGHT(AN$1,2),""),VLOOKUP($D218,素材!$1:$1016,COLUMN($F$1),FALSE))),VLOOKUP($C218,武器!$1:$998,COLUMN($O$1),FALSE)*VLOOKUP($D218,素材!$1:$1016,COLUMN($E$1),FALSE)/(LEN(VLOOKUP($D218,素材!$1:$1016,COLUMN($F$1),FALSE)) - LEN(SUBSTITUTE(VLOOKUP($D218,素材!$1:$1016,COLUMN($F$1),FALSE), "・", 0)) + 1), 0)</f>
        <v>0</v>
      </c>
      <c r="AO218">
        <f>IF(ISNUMBER(SEARCH(SUBSTITUTE(AO$1,RIGHT(AO$1,2),""),VLOOKUP($D218,素材!$1:$1016,COLUMN($F$1),FALSE))),VLOOKUP($C218,武器!$1:$998,COLUMN($O$1),FALSE)*VLOOKUP($D218,素材!$1:$1016,COLUMN($E$1),FALSE)/(LEN(VLOOKUP($D218,素材!$1:$1016,COLUMN($F$1),FALSE)) - LEN(SUBSTITUTE(VLOOKUP($D218,素材!$1:$1016,COLUMN($F$1),FALSE), "・", 0)) + 1), 0)</f>
        <v>0</v>
      </c>
      <c r="AP218">
        <f>IF(ISNUMBER(SEARCH(SUBSTITUTE(AP$1,RIGHT(AP$1,2),""),VLOOKUP($D218,素材!$1:$1016,COLUMN($F$1),FALSE))),VLOOKUP($C218,武器!$1:$998,COLUMN($O$1),FALSE)*VLOOKUP($D218,素材!$1:$1016,COLUMN($E$1),FALSE)/(LEN(VLOOKUP($D218,素材!$1:$1016,COLUMN($F$1),FALSE)) - LEN(SUBSTITUTE(VLOOKUP($D218,素材!$1:$1016,COLUMN($F$1),FALSE), "・", 0)) + 1), 0)</f>
        <v>0</v>
      </c>
      <c r="AQ218">
        <f>IF(ISNUMBER(SEARCH(SUBSTITUTE(AQ$1,RIGHT(AQ$1,2),""),VLOOKUP($D218,素材!$1:$1016,COLUMN($F$1),FALSE))),VLOOKUP($C218,武器!$1:$998,COLUMN($O$1),FALSE)*VLOOKUP($D218,素材!$1:$1016,COLUMN($E$1),FALSE)/(LEN(VLOOKUP($D218,素材!$1:$1016,COLUMN($F$1),FALSE)) - LEN(SUBSTITUTE(VLOOKUP($D218,素材!$1:$1016,COLUMN($F$1),FALSE), "・", 0)) + 1), 0)</f>
        <v>0</v>
      </c>
      <c r="AR218">
        <f>IF(ISNUMBER(SEARCH(SUBSTITUTE(AR$1,RIGHT(AR$1,2),""),VLOOKUP($D218,素材!$1:$1016,COLUMN($F$1),FALSE))),VLOOKUP($C218,武器!$1:$998,COLUMN($O$1),FALSE)*VLOOKUP($D218,素材!$1:$1016,COLUMN($E$1),FALSE)/(LEN(VLOOKUP($D218,素材!$1:$1016,COLUMN($F$1),FALSE)) - LEN(SUBSTITUTE(VLOOKUP($D218,素材!$1:$1016,COLUMN($F$1),FALSE), "・", 0)) + 1), 0)</f>
        <v>0</v>
      </c>
      <c r="AS218">
        <f>IF(ISNUMBER(SEARCH(SUBSTITUTE(AS$1,RIGHT(AS$1,2),""),VLOOKUP($D218,素材!$1:$1016,COLUMN($F$1),FALSE))),VLOOKUP($C218,武器!$1:$998,COLUMN($O$1),FALSE)*VLOOKUP($D218,素材!$1:$1016,COLUMN($E$1),FALSE)/(LEN(VLOOKUP($D218,素材!$1:$1016,COLUMN($F$1),FALSE)) - LEN(SUBSTITUTE(VLOOKUP($D218,素材!$1:$1016,COLUMN($F$1),FALSE), "・", 0)) + 1), 0)</f>
        <v>0</v>
      </c>
      <c r="AT218">
        <f>IF(ISNUMBER(SEARCH(SUBSTITUTE(AT$1,RIGHT(AT$1,2),""),VLOOKUP($D218,素材!$1:$1016,COLUMN($F$1),FALSE))),VLOOKUP($C218,武器!$1:$998,COLUMN($O$1),FALSE)*VLOOKUP($D218,素材!$1:$1016,COLUMN($E$1),FALSE)/(LEN(VLOOKUP($D218,素材!$1:$1016,COLUMN($F$1),FALSE)) - LEN(SUBSTITUTE(VLOOKUP($D218,素材!$1:$1016,COLUMN($F$1),FALSE), "・", 0)) + 1), 0)</f>
        <v>0</v>
      </c>
      <c r="AU218">
        <f>IF(ISNUMBER(SEARCH(SUBSTITUTE(AU$1,RIGHT(AU$1,2),""),VLOOKUP($D218,素材!$1:$1016,COLUMN($F$1),FALSE))),VLOOKUP($C218,武器!$1:$998,COLUMN($O$1),FALSE)*VLOOKUP($D218,素材!$1:$1016,COLUMN($E$1),FALSE)/(LEN(VLOOKUP($D218,素材!$1:$1016,COLUMN($F$1),FALSE)) - LEN(SUBSTITUTE(VLOOKUP($D218,素材!$1:$1016,COLUMN($F$1),FALSE), "・", 0)) + 1), 0)</f>
        <v>0</v>
      </c>
      <c r="AV218">
        <f>IF(ISNUMBER(SEARCH(SUBSTITUTE(AV$1,RIGHT(AV$1,2),""),VLOOKUP($D218,素材!$1:$1016,COLUMN($F$1),FALSE))),VLOOKUP($C218,武器!$1:$998,COLUMN($O$1),FALSE)*VLOOKUP($D218,素材!$1:$1016,COLUMN($E$1),FALSE)/(LEN(VLOOKUP($D218,素材!$1:$1016,COLUMN($F$1),FALSE)) - LEN(SUBSTITUTE(VLOOKUP($D218,素材!$1:$1016,COLUMN($F$1),FALSE), "・", 0)) + 1), 0)</f>
        <v>0</v>
      </c>
      <c r="AW218">
        <f>IF(ISNUMBER(SEARCH(SUBSTITUTE(AW$1,RIGHT(AW$1,2),""),VLOOKUP($D218,素材!$1:$1016,COLUMN($F$1),FALSE))),VLOOKUP($C218,武器!$1:$998,COLUMN($O$1),FALSE)*VLOOKUP($D218,素材!$1:$1016,COLUMN($E$1),FALSE)/(LEN(VLOOKUP($D218,素材!$1:$1016,COLUMN($F$1),FALSE)) - LEN(SUBSTITUTE(VLOOKUP($D218,素材!$1:$1016,COLUMN($F$1),FALSE), "・", 0)) + 1), 0)</f>
        <v>0</v>
      </c>
      <c r="AX218">
        <f>IF(ISNUMBER(SEARCH(SUBSTITUTE(AX$1,RIGHT(AX$1,2),""),VLOOKUP($D218,素材!$1:$1016,COLUMN($F$1),FALSE))),VLOOKUP($C218,武器!$1:$998,COLUMN($O$1),FALSE)*VLOOKUP($D218,素材!$1:$1016,COLUMN($E$1),FALSE)/(LEN(VLOOKUP($D218,素材!$1:$1016,COLUMN($F$1),FALSE)) - LEN(SUBSTITUTE(VLOOKUP($D218,素材!$1:$1016,COLUMN($F$1),FALSE), "・", 0)) + 1), 0)</f>
        <v>0</v>
      </c>
      <c r="AY218">
        <f>IF(ISNUMBER(SEARCH(SUBSTITUTE(AY$1,RIGHT(AY$1,2),""),VLOOKUP($D218,素材!$1:$1016,COLUMN($F$1),FALSE))),VLOOKUP($C218,武器!$1:$998,COLUMN($O$1),FALSE)*VLOOKUP($D218,素材!$1:$1016,COLUMN($E$1),FALSE)/(LEN(VLOOKUP($D218,素材!$1:$1016,COLUMN($F$1),FALSE)) - LEN(SUBSTITUTE(VLOOKUP($D218,素材!$1:$1016,COLUMN($F$1),FALSE), "・", 0)) + 1), 0)</f>
        <v>0</v>
      </c>
      <c r="AZ218">
        <f>IF(ISNUMBER(SEARCH(SUBSTITUTE(AZ$1,RIGHT(AZ$1,2),""),VLOOKUP($D218,素材!$1:$1016,COLUMN($F$1),FALSE))),VLOOKUP($C218,武器!$1:$998,COLUMN($O$1),FALSE)*VLOOKUP($D218,素材!$1:$1016,COLUMN($E$1),FALSE)/(LEN(VLOOKUP($D218,素材!$1:$1016,COLUMN($F$1),FALSE)) - LEN(SUBSTITUTE(VLOOKUP($D218,素材!$1:$1016,COLUMN($F$1),FALSE), "・", 0)) + 1), 0)</f>
        <v>0</v>
      </c>
      <c r="BA218">
        <f>IF(ISNUMBER(SEARCH(SUBSTITUTE(BA$1,RIGHT(BA$1,2),""),VLOOKUP($D218,素材!$1:$1016,COLUMN($F$1),FALSE))),VLOOKUP($C218,武器!$1:$998,COLUMN($O$1),FALSE)*VLOOKUP($D218,素材!$1:$1016,COLUMN($E$1),FALSE)/(LEN(VLOOKUP($D218,素材!$1:$1016,COLUMN($F$1),FALSE)) - LEN(SUBSTITUTE(VLOOKUP($D218,素材!$1:$1016,COLUMN($F$1),FALSE), "・", 0)) + 1), 0)</f>
        <v>0</v>
      </c>
      <c r="BB218">
        <f>IF(ISNUMBER(SEARCH(SUBSTITUTE(BB$1,RIGHT(BB$1,2),""),VLOOKUP($D218,素材!$1:$1016,COLUMN($F$1),FALSE))),VLOOKUP($C218,武器!$1:$998,COLUMN($O$1),FALSE)*VLOOKUP($D218,素材!$1:$1016,COLUMN($E$1),FALSE)/(LEN(VLOOKUP($D218,素材!$1:$1016,COLUMN($F$1),FALSE)) - LEN(SUBSTITUTE(VLOOKUP($D218,素材!$1:$1016,COLUMN($F$1),FALSE), "・", 0)) + 1), 0)</f>
        <v>0</v>
      </c>
      <c r="BC218">
        <f>IF(ISNUMBER(SEARCH(SUBSTITUTE(BC$1,RIGHT(BC$1,2),""),VLOOKUP($D218,素材!$1:$1016,COLUMN($F$1),FALSE))),VLOOKUP($C218,武器!$1:$998,COLUMN($O$1),FALSE)*VLOOKUP($D218,素材!$1:$1016,COLUMN($E$1),FALSE)/(LEN(VLOOKUP($D218,素材!$1:$1016,COLUMN($F$1),FALSE)) - LEN(SUBSTITUTE(VLOOKUP($D218,素材!$1:$1016,COLUMN($F$1),FALSE), "・", 0)) + 1), 0)</f>
        <v>0</v>
      </c>
      <c r="BD218">
        <f>IF(ISNUMBER(SEARCH(SUBSTITUTE(BD$1,RIGHT(BD$1,2),""),VLOOKUP($D218,素材!$1:$1016,COLUMN($F$1),FALSE))),VLOOKUP($C218,武器!$1:$998,COLUMN($O$1),FALSE)*VLOOKUP($D218,素材!$1:$1016,COLUMN($E$1),FALSE)/(LEN(VLOOKUP($D218,素材!$1:$1016,COLUMN($F$1),FALSE)) - LEN(SUBSTITUTE(VLOOKUP($D218,素材!$1:$1016,COLUMN($F$1),FALSE), "・", 0)) + 1), 0)</f>
        <v>0</v>
      </c>
      <c r="BE218">
        <f>IF(ISNUMBER(SEARCH(SUBSTITUTE(BE$1,RIGHT(BE$1,2),""),VLOOKUP($D218,素材!$1:$1016,COLUMN($F$1),FALSE))),VLOOKUP($C218,武器!$1:$998,COLUMN($O$1),FALSE)*VLOOKUP($D218,素材!$1:$1016,COLUMN($E$1),FALSE)/(LEN(VLOOKUP($D218,素材!$1:$1016,COLUMN($F$1),FALSE)) - LEN(SUBSTITUTE(VLOOKUP($D218,素材!$1:$1016,COLUMN($F$1),FALSE), "・", 0)) + 1), 0)</f>
        <v>0</v>
      </c>
      <c r="CL218">
        <f>SUM(G218:I218)</f>
        <v>17</v>
      </c>
      <c r="CM218" s="22" t="str">
        <f>IF(E218="武器",IF(J218-1&gt;SUM(G218:I218),"盾",IF(MAX(G218:I218)=G218,"切断",IF(MAX(G218:I218)=H218,"貫通",IF(MAX(G218:I218)=I218,"打撃","射撃")))),E218)&amp;".webp"</f>
        <v>盾.webp</v>
      </c>
      <c r="CN218">
        <f>IFERROR(VLOOKUP($C218,武器!$1:$998,COLUMN(V$1),FALSE)*VLOOKUP($D218,素材!$1:$1016,COLUMN(N$1),FALSE)+IF(CI218="",0,VLOOKUP($CI218,装強!$1:$1008,COLUMN($CK$1),FALSE)),"")</f>
        <v>3000</v>
      </c>
      <c r="CO218">
        <f>VLOOKUP(D218,素材!$A:$O,COLUMN(素材!O$1),FALSE)</f>
        <v>0</v>
      </c>
      <c r="CP218" t="str">
        <f>VLOOKUP(C218,武器!$A:$W,COLUMN(武器!W$1),FALSE)</f>
        <v>大盾。さらに大きな盾で、高い防御力を持つ。</v>
      </c>
      <c r="CR218" t="str">
        <f t="shared" si="29"/>
        <v>e_218</v>
      </c>
      <c r="CS218">
        <f t="shared" si="30"/>
        <v>300000</v>
      </c>
    </row>
    <row r="219" spans="1:97" outlineLevel="1" x14ac:dyDescent="0.4">
      <c r="A219" t="str">
        <f t="shared" si="28"/>
        <v>冷気鉄の短弓</v>
      </c>
      <c r="B219" t="str">
        <f>IFERROR(VLOOKUP($D219,素材!$1:$1016,COLUMN($B$1),FALSE)&amp;"・"&amp;VLOOKUP($C219,武器!$1:$998,COLUMN(B$1),FALSE),"")</f>
        <v>ドゥララン・ボウ</v>
      </c>
      <c r="C219" t="s">
        <v>218</v>
      </c>
      <c r="D219" s="24" t="s">
        <v>243</v>
      </c>
      <c r="E219" t="str">
        <f>IFERROR(VLOOKUP(C219,武器!$1:$998,COLUMN(C$1),FALSE),"")</f>
        <v>武器</v>
      </c>
      <c r="F219">
        <f>IFERROR(ROUNDDOWN((VLOOKUP($C219,武器!$1:$998,COLUMN(D$1),FALSE)+IFERROR(VLOOKUP($CI219,装強!$1:$999,COLUMN(F$1),FALSE),0))*VLOOKUP($D219,素材!$1:$1016,COLUMN(D$1),FALSE),0),"")</f>
        <v>110</v>
      </c>
      <c r="G219">
        <f>IFERROR(ROUNDDOWN((VLOOKUP($C219,武器!$1:$998,COLUMN(E$1),FALSE)+IFERROR(VLOOKUP($CI219,装強!$1:$999,COLUMN(G$1),FALSE),0))*VLOOKUP($D219,素材!$1:$1016,COLUMN($E$1),FALSE),0),"")</f>
        <v>5</v>
      </c>
      <c r="H219">
        <f>IFERROR(ROUNDDOWN((VLOOKUP($C219,武器!$1:$998,COLUMN(F$1),FALSE)+IFERROR(VLOOKUP($CI219,装強!$1:$999,COLUMN(H$1),FALSE),0))*VLOOKUP($D219,素材!$1:$1016,COLUMN($E$1),FALSE),0),"")</f>
        <v>5</v>
      </c>
      <c r="I219">
        <f>IFERROR(ROUNDDOWN((VLOOKUP($C219,武器!$1:$998,COLUMN(G$1),FALSE)+IFERROR(VLOOKUP($CI219,装強!$1:$999,COLUMN(I$1),FALSE),0))*VLOOKUP($D219,素材!$1:$1016,COLUMN($E$1),FALSE),0),"")</f>
        <v>0</v>
      </c>
      <c r="J219">
        <f>IFERROR(ROUNDDOWN((VLOOKUP($C219,武器!$1:$998,COLUMN(H$1),FALSE)+IFERROR(VLOOKUP($CI219,装強!$1:$999,COLUMN(J$1),FALSE),0))*VLOOKUP($D219,素材!$1:$1016,COLUMN($E$1),FALSE),0),"")</f>
        <v>0</v>
      </c>
      <c r="K219">
        <f>IFERROR(ROUNDDOWN((VLOOKUP($C219,武器!$1:$998,COLUMN(I$1),FALSE)+IFERROR(VLOOKUP($CI219,装強!$1:$999,COLUMN(K$1),FALSE),0))*VLOOKUP($D219,素材!$1:$1016,COLUMN($E$1),FALSE),0),"")</f>
        <v>20</v>
      </c>
      <c r="L219" t="str">
        <f>IFERROR(VLOOKUP($D219,素材!$1:$1016,COLUMN($F$1),FALSE),"")</f>
        <v>氷</v>
      </c>
      <c r="M219">
        <f>IFERROR(VLOOKUP($C219,武器!$1:$998,COLUMN(AA$1),FALSE)*VLOOKUP($D219,素材!$1:$1016,COLUMN($G$1),FALSE),"")</f>
        <v>35</v>
      </c>
      <c r="N219">
        <f>IFERROR(VLOOKUP($C219,武器!$1:$998,COLUMN(I$1),FALSE),"")</f>
        <v>1</v>
      </c>
      <c r="O219" s="23">
        <f>IFERROR((VLOOKUP($C219,武器!$1:$998,COLUMN(K$1),FALSE)+VLOOKUP($D219,素材!$1:$1016,COLUMN(H$1),FALSE))*100+IFERROR(VLOOKUP($CI219,装強!$1:$999,COLUMN(O$1),FALSE),0),"")</f>
        <v>10</v>
      </c>
      <c r="P219" s="23">
        <f>IFERROR((VLOOKUP($C219,武器!$1:$998,COLUMN(L$1),FALSE)+VLOOKUP($D219,素材!$1:$1016,COLUMN(I$1),FALSE))*100+IFERROR(VLOOKUP($CI219,装強!$1:$999,COLUMN(P$1),FALSE),0),"")</f>
        <v>130</v>
      </c>
      <c r="Q219">
        <f>IFERROR(ROUNDUP(VLOOKUP($C219,武器!$1:$998,COLUMN(M$1),FALSE)*(VLOOKUP($D219,素材!$1:$1002,COLUMN(D$1),FALSE)/100),1),"")</f>
        <v>-2.5</v>
      </c>
      <c r="R219">
        <f>IFERROR(ROUNDUP(VLOOKUP($C219,武器!$1:$998,COLUMN(N$1),FALSE)*(VLOOKUP($D219,素材!$1:$1002,COLUMN(D$1),FALSE)/100),1),"")</f>
        <v>0</v>
      </c>
      <c r="S219">
        <f>IFERROR(VLOOKUP($C219,武器!$1:$998,COLUMN(P$1),FALSE),"")</f>
        <v>2</v>
      </c>
      <c r="T219">
        <f>IFERROR(VLOOKUP($C219,武器!$1:$998,COLUMN(Q$1),FALSE),"")</f>
        <v>0</v>
      </c>
      <c r="U219">
        <f>IFERROR(VLOOKUP($C219,武器!$1:$998,COLUMN(R$1),FALSE),"")</f>
        <v>0</v>
      </c>
      <c r="V219">
        <f>IFERROR(VLOOKUP($C219,武器!$1:$998,COLUMN(Q$1),FALSE),"")</f>
        <v>0</v>
      </c>
      <c r="W219" t="str">
        <f>IFERROR(VLOOKUP($C219,武器!$1:$998,COLUMN(T$1),FALSE),"")</f>
        <v>A</v>
      </c>
      <c r="Y219">
        <f>IFERROR(VLOOKUP($C219,武器!$1:$998,COLUMN(U$1),FALSE),"")</f>
        <v>0</v>
      </c>
      <c r="Z219">
        <f>IFERROR(ROUNDUP(VLOOKUP($C219,武器!$1:$998,COLUMN(O$1),FALSE)*VLOOKUP($D219,素材!$1:$1016,COLUMN(E$1),FALSE),1),"")</f>
        <v>0</v>
      </c>
      <c r="AA219">
        <f>IF(ISNUMBER(SEARCH(SUBSTITUTE(AA$1,RIGHT(AA$1,2),""),VLOOKUP($D219,素材!$1:$1016,COLUMN($F$1),FALSE))),VLOOKUP($C219,武器!$1:$998,COLUMN($O$1),FALSE)*VLOOKUP($D219,素材!$1:$1016,COLUMN($E$1),FALSE)/(LEN(VLOOKUP($D219,素材!$1:$1016,COLUMN($F$1),FALSE)) - LEN(SUBSTITUTE(VLOOKUP($D219,素材!$1:$1016,COLUMN($F$1),FALSE), "・", 0)) + 1), 0)</f>
        <v>0</v>
      </c>
      <c r="AB219">
        <f>IF(ISNUMBER(SEARCH(SUBSTITUTE(AB$1,RIGHT(AB$1,2),""),VLOOKUP($D219,素材!$1:$1016,COLUMN($F$1),FALSE))),VLOOKUP($C219,武器!$1:$998,COLUMN($O$1),FALSE)*VLOOKUP($D219,素材!$1:$1016,COLUMN($E$1),FALSE)/(LEN(VLOOKUP($D219,素材!$1:$1016,COLUMN($F$1),FALSE)) - LEN(SUBSTITUTE(VLOOKUP($D219,素材!$1:$1016,COLUMN($F$1),FALSE), "・", 0)) + 1), 0)</f>
        <v>0</v>
      </c>
      <c r="AC219">
        <f>IF(ISNUMBER(SEARCH(SUBSTITUTE(AC$1,RIGHT(AC$1,2),""),VLOOKUP($D219,素材!$1:$1016,COLUMN($F$1),FALSE))),VLOOKUP($C219,武器!$1:$998,COLUMN($O$1),FALSE)*VLOOKUP($D219,素材!$1:$1016,COLUMN($E$1),FALSE)/(LEN(VLOOKUP($D219,素材!$1:$1016,COLUMN($F$1),FALSE)) - LEN(SUBSTITUTE(VLOOKUP($D219,素材!$1:$1016,COLUMN($F$1),FALSE), "・", 0)) + 1), 0)</f>
        <v>0</v>
      </c>
      <c r="AD219">
        <f>IF(ISNUMBER(SEARCH(SUBSTITUTE(AD$1,RIGHT(AD$1,2),""),VLOOKUP($D219,素材!$1:$1016,COLUMN($F$1),FALSE))),VLOOKUP($C219,武器!$1:$998,COLUMN($O$1),FALSE)*VLOOKUP($D219,素材!$1:$1016,COLUMN($E$1),FALSE)/(LEN(VLOOKUP($D219,素材!$1:$1016,COLUMN($F$1),FALSE)) - LEN(SUBSTITUTE(VLOOKUP($D219,素材!$1:$1016,COLUMN($F$1),FALSE), "・", 0)) + 1), 0)</f>
        <v>0</v>
      </c>
      <c r="AE219">
        <f>IF(ISNUMBER(SEARCH(SUBSTITUTE(AE$1,RIGHT(AE$1,2),""),VLOOKUP($D219,素材!$1:$1016,COLUMN($F$1),FALSE))),VLOOKUP($C219,武器!$1:$998,COLUMN($O$1),FALSE)*VLOOKUP($D219,素材!$1:$1016,COLUMN($E$1),FALSE)/(LEN(VLOOKUP($D219,素材!$1:$1016,COLUMN($F$1),FALSE)) - LEN(SUBSTITUTE(VLOOKUP($D219,素材!$1:$1016,COLUMN($F$1),FALSE), "・", 0)) + 1), 0)</f>
        <v>0</v>
      </c>
      <c r="AF219">
        <f>IF(ISNUMBER(SEARCH(SUBSTITUTE(AF$1,RIGHT(AF$1,2),""),VLOOKUP($D219,素材!$1:$1016,COLUMN($F$1),FALSE))),VLOOKUP($C219,武器!$1:$998,COLUMN($O$1),FALSE)*VLOOKUP($D219,素材!$1:$1016,COLUMN($E$1),FALSE)/(LEN(VLOOKUP($D219,素材!$1:$1016,COLUMN($F$1),FALSE)) - LEN(SUBSTITUTE(VLOOKUP($D219,素材!$1:$1016,COLUMN($F$1),FALSE), "・", 0)) + 1), 0)</f>
        <v>0</v>
      </c>
      <c r="AG219">
        <f>IF(ISNUMBER(SEARCH(SUBSTITUTE(AG$1,RIGHT(AG$1,2),""),VLOOKUP($D219,素材!$1:$1016,COLUMN($F$1),FALSE))),VLOOKUP($C219,武器!$1:$998,COLUMN($O$1),FALSE)*VLOOKUP($D219,素材!$1:$1016,COLUMN($E$1),FALSE)/(LEN(VLOOKUP($D219,素材!$1:$1016,COLUMN($F$1),FALSE)) - LEN(SUBSTITUTE(VLOOKUP($D219,素材!$1:$1016,COLUMN($F$1),FALSE), "・", 0)) + 1), 0)</f>
        <v>0</v>
      </c>
      <c r="AH219">
        <f>IF(ISNUMBER(SEARCH(SUBSTITUTE(AH$1,RIGHT(AH$1,2),""),VLOOKUP($D219,素材!$1:$1016,COLUMN($F$1),FALSE))),VLOOKUP($C219,武器!$1:$998,COLUMN($O$1),FALSE)*VLOOKUP($D219,素材!$1:$1016,COLUMN($E$1),FALSE)/(LEN(VLOOKUP($D219,素材!$1:$1016,COLUMN($F$1),FALSE)) - LEN(SUBSTITUTE(VLOOKUP($D219,素材!$1:$1016,COLUMN($F$1),FALSE), "・", 0)) + 1), 0)</f>
        <v>0</v>
      </c>
      <c r="AI219">
        <f>IF(ISNUMBER(SEARCH(SUBSTITUTE(AI$1,RIGHT(AI$1,2),""),VLOOKUP($D219,素材!$1:$1016,COLUMN($F$1),FALSE))),VLOOKUP($C219,武器!$1:$998,COLUMN($O$1),FALSE)*VLOOKUP($D219,素材!$1:$1016,COLUMN($E$1),FALSE)/(LEN(VLOOKUP($D219,素材!$1:$1016,COLUMN($F$1),FALSE)) - LEN(SUBSTITUTE(VLOOKUP($D219,素材!$1:$1016,COLUMN($F$1),FALSE), "・", 0)) + 1), 0)</f>
        <v>0</v>
      </c>
      <c r="AJ219">
        <f>IF(ISNUMBER(SEARCH(SUBSTITUTE(AJ$1,RIGHT(AJ$1,2),""),VLOOKUP($D219,素材!$1:$1016,COLUMN($F$1),FALSE))),VLOOKUP($C219,武器!$1:$998,COLUMN($O$1),FALSE)*VLOOKUP($D219,素材!$1:$1016,COLUMN($E$1),FALSE)/(LEN(VLOOKUP($D219,素材!$1:$1016,COLUMN($F$1),FALSE)) - LEN(SUBSTITUTE(VLOOKUP($D219,素材!$1:$1016,COLUMN($F$1),FALSE), "・", 0)) + 1), 0)</f>
        <v>0</v>
      </c>
      <c r="AK219">
        <f>IF(ISNUMBER(SEARCH(SUBSTITUTE(AK$1,RIGHT(AK$1,2),""),VLOOKUP($D219,素材!$1:$1016,COLUMN($F$1),FALSE))),VLOOKUP($C219,武器!$1:$998,COLUMN($O$1),FALSE)*VLOOKUP($D219,素材!$1:$1016,COLUMN($E$1),FALSE)/(LEN(VLOOKUP($D219,素材!$1:$1016,COLUMN($F$1),FALSE)) - LEN(SUBSTITUTE(VLOOKUP($D219,素材!$1:$1016,COLUMN($F$1),FALSE), "・", 0)) + 1), 0)</f>
        <v>0</v>
      </c>
      <c r="AL219">
        <f>IF(ISNUMBER(SEARCH(SUBSTITUTE(AL$1,RIGHT(AL$1,2),""),VLOOKUP($D219,素材!$1:$1016,COLUMN($F$1),FALSE))),VLOOKUP($C219,武器!$1:$998,COLUMN($O$1),FALSE)*VLOOKUP($D219,素材!$1:$1016,COLUMN($E$1),FALSE)/(LEN(VLOOKUP($D219,素材!$1:$1016,COLUMN($F$1),FALSE)) - LEN(SUBSTITUTE(VLOOKUP($D219,素材!$1:$1016,COLUMN($F$1),FALSE), "・", 0)) + 1), 0)</f>
        <v>0</v>
      </c>
      <c r="AM219">
        <f>IF(ISNUMBER(SEARCH(SUBSTITUTE(AM$1,RIGHT(AM$1,2),""),VLOOKUP($D219,素材!$1:$1016,COLUMN($F$1),FALSE))),VLOOKUP($C219,武器!$1:$998,COLUMN($O$1),FALSE)*VLOOKUP($D219,素材!$1:$1016,COLUMN($E$1),FALSE)/(LEN(VLOOKUP($D219,素材!$1:$1016,COLUMN($F$1),FALSE)) - LEN(SUBSTITUTE(VLOOKUP($D219,素材!$1:$1016,COLUMN($F$1),FALSE), "・", 0)) + 1), 0)</f>
        <v>0</v>
      </c>
      <c r="AN219">
        <f>IF(ISNUMBER(SEARCH(SUBSTITUTE(AN$1,RIGHT(AN$1,2),""),VLOOKUP($D219,素材!$1:$1016,COLUMN($F$1),FALSE))),VLOOKUP($C219,武器!$1:$998,COLUMN($O$1),FALSE)*VLOOKUP($D219,素材!$1:$1016,COLUMN($E$1),FALSE)/(LEN(VLOOKUP($D219,素材!$1:$1016,COLUMN($F$1),FALSE)) - LEN(SUBSTITUTE(VLOOKUP($D219,素材!$1:$1016,COLUMN($F$1),FALSE), "・", 0)) + 1), 0)</f>
        <v>0</v>
      </c>
      <c r="AO219">
        <f>IF(ISNUMBER(SEARCH(SUBSTITUTE(AO$1,RIGHT(AO$1,2),""),VLOOKUP($D219,素材!$1:$1016,COLUMN($F$1),FALSE))),VLOOKUP($C219,武器!$1:$998,COLUMN($O$1),FALSE)*VLOOKUP($D219,素材!$1:$1016,COLUMN($E$1),FALSE)/(LEN(VLOOKUP($D219,素材!$1:$1016,COLUMN($F$1),FALSE)) - LEN(SUBSTITUTE(VLOOKUP($D219,素材!$1:$1016,COLUMN($F$1),FALSE), "・", 0)) + 1), 0)</f>
        <v>0</v>
      </c>
      <c r="AP219">
        <f>IF(ISNUMBER(SEARCH(SUBSTITUTE(AP$1,RIGHT(AP$1,2),""),VLOOKUP($D219,素材!$1:$1016,COLUMN($F$1),FALSE))),VLOOKUP($C219,武器!$1:$998,COLUMN($O$1),FALSE)*VLOOKUP($D219,素材!$1:$1016,COLUMN($E$1),FALSE)/(LEN(VLOOKUP($D219,素材!$1:$1016,COLUMN($F$1),FALSE)) - LEN(SUBSTITUTE(VLOOKUP($D219,素材!$1:$1016,COLUMN($F$1),FALSE), "・", 0)) + 1), 0)</f>
        <v>0</v>
      </c>
      <c r="AQ219">
        <f>IF(ISNUMBER(SEARCH(SUBSTITUTE(AQ$1,RIGHT(AQ$1,2),""),VLOOKUP($D219,素材!$1:$1016,COLUMN($F$1),FALSE))),VLOOKUP($C219,武器!$1:$998,COLUMN($O$1),FALSE)*VLOOKUP($D219,素材!$1:$1016,COLUMN($E$1),FALSE)/(LEN(VLOOKUP($D219,素材!$1:$1016,COLUMN($F$1),FALSE)) - LEN(SUBSTITUTE(VLOOKUP($D219,素材!$1:$1016,COLUMN($F$1),FALSE), "・", 0)) + 1), 0)</f>
        <v>0</v>
      </c>
      <c r="AR219">
        <f>IF(ISNUMBER(SEARCH(SUBSTITUTE(AR$1,RIGHT(AR$1,2),""),VLOOKUP($D219,素材!$1:$1016,COLUMN($F$1),FALSE))),VLOOKUP($C219,武器!$1:$998,COLUMN($O$1),FALSE)*VLOOKUP($D219,素材!$1:$1016,COLUMN($E$1),FALSE)/(LEN(VLOOKUP($D219,素材!$1:$1016,COLUMN($F$1),FALSE)) - LEN(SUBSTITUTE(VLOOKUP($D219,素材!$1:$1016,COLUMN($F$1),FALSE), "・", 0)) + 1), 0)</f>
        <v>0</v>
      </c>
      <c r="AS219">
        <f>IF(ISNUMBER(SEARCH(SUBSTITUTE(AS$1,RIGHT(AS$1,2),""),VLOOKUP($D219,素材!$1:$1016,COLUMN($F$1),FALSE))),VLOOKUP($C219,武器!$1:$998,COLUMN($O$1),FALSE)*VLOOKUP($D219,素材!$1:$1016,COLUMN($E$1),FALSE)/(LEN(VLOOKUP($D219,素材!$1:$1016,COLUMN($F$1),FALSE)) - LEN(SUBSTITUTE(VLOOKUP($D219,素材!$1:$1016,COLUMN($F$1),FALSE), "・", 0)) + 1), 0)</f>
        <v>0</v>
      </c>
      <c r="AT219">
        <f>IF(ISNUMBER(SEARCH(SUBSTITUTE(AT$1,RIGHT(AT$1,2),""),VLOOKUP($D219,素材!$1:$1016,COLUMN($F$1),FALSE))),VLOOKUP($C219,武器!$1:$998,COLUMN($O$1),FALSE)*VLOOKUP($D219,素材!$1:$1016,COLUMN($E$1),FALSE)/(LEN(VLOOKUP($D219,素材!$1:$1016,COLUMN($F$1),FALSE)) - LEN(SUBSTITUTE(VLOOKUP($D219,素材!$1:$1016,COLUMN($F$1),FALSE), "・", 0)) + 1), 0)</f>
        <v>0</v>
      </c>
      <c r="AU219">
        <f>IF(ISNUMBER(SEARCH(SUBSTITUTE(AU$1,RIGHT(AU$1,2),""),VLOOKUP($D219,素材!$1:$1016,COLUMN($F$1),FALSE))),VLOOKUP($C219,武器!$1:$998,COLUMN($O$1),FALSE)*VLOOKUP($D219,素材!$1:$1016,COLUMN($E$1),FALSE)/(LEN(VLOOKUP($D219,素材!$1:$1016,COLUMN($F$1),FALSE)) - LEN(SUBSTITUTE(VLOOKUP($D219,素材!$1:$1016,COLUMN($F$1),FALSE), "・", 0)) + 1), 0)</f>
        <v>0</v>
      </c>
      <c r="AV219">
        <f>IF(ISNUMBER(SEARCH(SUBSTITUTE(AV$1,RIGHT(AV$1,2),""),VLOOKUP($D219,素材!$1:$1016,COLUMN($F$1),FALSE))),VLOOKUP($C219,武器!$1:$998,COLUMN($O$1),FALSE)*VLOOKUP($D219,素材!$1:$1016,COLUMN($E$1),FALSE)/(LEN(VLOOKUP($D219,素材!$1:$1016,COLUMN($F$1),FALSE)) - LEN(SUBSTITUTE(VLOOKUP($D219,素材!$1:$1016,COLUMN($F$1),FALSE), "・", 0)) + 1), 0)</f>
        <v>0</v>
      </c>
      <c r="AW219">
        <f>IF(ISNUMBER(SEARCH(SUBSTITUTE(AW$1,RIGHT(AW$1,2),""),VLOOKUP($D219,素材!$1:$1016,COLUMN($F$1),FALSE))),VLOOKUP($C219,武器!$1:$998,COLUMN($O$1),FALSE)*VLOOKUP($D219,素材!$1:$1016,COLUMN($E$1),FALSE)/(LEN(VLOOKUP($D219,素材!$1:$1016,COLUMN($F$1),FALSE)) - LEN(SUBSTITUTE(VLOOKUP($D219,素材!$1:$1016,COLUMN($F$1),FALSE), "・", 0)) + 1), 0)</f>
        <v>0</v>
      </c>
      <c r="AX219">
        <f>IF(ISNUMBER(SEARCH(SUBSTITUTE(AX$1,RIGHT(AX$1,2),""),VLOOKUP($D219,素材!$1:$1016,COLUMN($F$1),FALSE))),VLOOKUP($C219,武器!$1:$998,COLUMN($O$1),FALSE)*VLOOKUP($D219,素材!$1:$1016,COLUMN($E$1),FALSE)/(LEN(VLOOKUP($D219,素材!$1:$1016,COLUMN($F$1),FALSE)) - LEN(SUBSTITUTE(VLOOKUP($D219,素材!$1:$1016,COLUMN($F$1),FALSE), "・", 0)) + 1), 0)</f>
        <v>0</v>
      </c>
      <c r="AY219">
        <f>IF(ISNUMBER(SEARCH(SUBSTITUTE(AY$1,RIGHT(AY$1,2),""),VLOOKUP($D219,素材!$1:$1016,COLUMN($F$1),FALSE))),VLOOKUP($C219,武器!$1:$998,COLUMN($O$1),FALSE)*VLOOKUP($D219,素材!$1:$1016,COLUMN($E$1),FALSE)/(LEN(VLOOKUP($D219,素材!$1:$1016,COLUMN($F$1),FALSE)) - LEN(SUBSTITUTE(VLOOKUP($D219,素材!$1:$1016,COLUMN($F$1),FALSE), "・", 0)) + 1), 0)</f>
        <v>0</v>
      </c>
      <c r="AZ219">
        <f>IF(ISNUMBER(SEARCH(SUBSTITUTE(AZ$1,RIGHT(AZ$1,2),""),VLOOKUP($D219,素材!$1:$1016,COLUMN($F$1),FALSE))),VLOOKUP($C219,武器!$1:$998,COLUMN($O$1),FALSE)*VLOOKUP($D219,素材!$1:$1016,COLUMN($E$1),FALSE)/(LEN(VLOOKUP($D219,素材!$1:$1016,COLUMN($F$1),FALSE)) - LEN(SUBSTITUTE(VLOOKUP($D219,素材!$1:$1016,COLUMN($F$1),FALSE), "・", 0)) + 1), 0)</f>
        <v>0</v>
      </c>
      <c r="BA219">
        <f>IF(ISNUMBER(SEARCH(SUBSTITUTE(BA$1,RIGHT(BA$1,2),""),VLOOKUP($D219,素材!$1:$1016,COLUMN($F$1),FALSE))),VLOOKUP($C219,武器!$1:$998,COLUMN($O$1),FALSE)*VLOOKUP($D219,素材!$1:$1016,COLUMN($E$1),FALSE)/(LEN(VLOOKUP($D219,素材!$1:$1016,COLUMN($F$1),FALSE)) - LEN(SUBSTITUTE(VLOOKUP($D219,素材!$1:$1016,COLUMN($F$1),FALSE), "・", 0)) + 1), 0)</f>
        <v>0</v>
      </c>
      <c r="BB219">
        <f>IF(ISNUMBER(SEARCH(SUBSTITUTE(BB$1,RIGHT(BB$1,2),""),VLOOKUP($D219,素材!$1:$1016,COLUMN($F$1),FALSE))),VLOOKUP($C219,武器!$1:$998,COLUMN($O$1),FALSE)*VLOOKUP($D219,素材!$1:$1016,COLUMN($E$1),FALSE)/(LEN(VLOOKUP($D219,素材!$1:$1016,COLUMN($F$1),FALSE)) - LEN(SUBSTITUTE(VLOOKUP($D219,素材!$1:$1016,COLUMN($F$1),FALSE), "・", 0)) + 1), 0)</f>
        <v>0</v>
      </c>
      <c r="BC219">
        <f>IF(ISNUMBER(SEARCH(SUBSTITUTE(BC$1,RIGHT(BC$1,2),""),VLOOKUP($D219,素材!$1:$1016,COLUMN($F$1),FALSE))),VLOOKUP($C219,武器!$1:$998,COLUMN($O$1),FALSE)*VLOOKUP($D219,素材!$1:$1016,COLUMN($E$1),FALSE)/(LEN(VLOOKUP($D219,素材!$1:$1016,COLUMN($F$1),FALSE)) - LEN(SUBSTITUTE(VLOOKUP($D219,素材!$1:$1016,COLUMN($F$1),FALSE), "・", 0)) + 1), 0)</f>
        <v>0</v>
      </c>
      <c r="BD219">
        <f>IF(ISNUMBER(SEARCH(SUBSTITUTE(BD$1,RIGHT(BD$1,2),""),VLOOKUP($D219,素材!$1:$1016,COLUMN($F$1),FALSE))),VLOOKUP($C219,武器!$1:$998,COLUMN($O$1),FALSE)*VLOOKUP($D219,素材!$1:$1016,COLUMN($E$1),FALSE)/(LEN(VLOOKUP($D219,素材!$1:$1016,COLUMN($F$1),FALSE)) - LEN(SUBSTITUTE(VLOOKUP($D219,素材!$1:$1016,COLUMN($F$1),FALSE), "・", 0)) + 1), 0)</f>
        <v>0</v>
      </c>
      <c r="BE219">
        <f>IF(ISNUMBER(SEARCH(SUBSTITUTE(BE$1,RIGHT(BE$1,2),""),VLOOKUP($D219,素材!$1:$1016,COLUMN($F$1),FALSE))),VLOOKUP($C219,武器!$1:$998,COLUMN($O$1),FALSE)*VLOOKUP($D219,素材!$1:$1016,COLUMN($E$1),FALSE)/(LEN(VLOOKUP($D219,素材!$1:$1016,COLUMN($F$1),FALSE)) - LEN(SUBSTITUTE(VLOOKUP($D219,素材!$1:$1016,COLUMN($F$1),FALSE), "・", 0)) + 1), 0)</f>
        <v>0</v>
      </c>
      <c r="CL219">
        <f>SUM(G219:I219)</f>
        <v>10</v>
      </c>
      <c r="CM219" s="22" t="str">
        <f>IF(E219="武器",IF(J219-1&gt;SUM(G219:I219),"盾",IF(MAX(G219:I219)=G219,"切断",IF(MAX(G219:I219)=H219,"貫通",IF(MAX(G219:I219)=I219,"打撃","射撃")))),E219)&amp;".webp"</f>
        <v>切断.webp</v>
      </c>
      <c r="CN219">
        <f>IFERROR(VLOOKUP($C219,武器!$1:$998,COLUMN(V$1),FALSE)*VLOOKUP($D219,素材!$1:$1016,COLUMN(N$1),FALSE)+IF(CI219="",0,VLOOKUP($CI219,装強!$1:$1008,COLUMN($CK$1),FALSE)),"")</f>
        <v>2250</v>
      </c>
      <c r="CO219">
        <f>VLOOKUP(D219,素材!$A:$O,COLUMN(素材!O$1),FALSE)</f>
        <v>0</v>
      </c>
      <c r="CP219" t="str">
        <f>VLOOKUP(C219,武器!$A:$W,COLUMN(武器!W$1),FALSE)</f>
        <v>短弓。軽量で扱いやすい遠距離武器。</v>
      </c>
      <c r="CR219" t="str">
        <f t="shared" si="29"/>
        <v>e_219</v>
      </c>
      <c r="CS219">
        <f t="shared" si="30"/>
        <v>225000</v>
      </c>
    </row>
    <row r="220" spans="1:97" outlineLevel="1" x14ac:dyDescent="0.4">
      <c r="A220" t="str">
        <f t="shared" si="28"/>
        <v>冷気鉄の長弓</v>
      </c>
      <c r="B220" t="str">
        <f>IFERROR(VLOOKUP($D220,素材!$1:$1016,COLUMN($B$1),FALSE)&amp;"・"&amp;VLOOKUP($C220,武器!$1:$998,COLUMN(B$1),FALSE),"")</f>
        <v>ドゥララン・ロングボウ</v>
      </c>
      <c r="C220" t="s">
        <v>217</v>
      </c>
      <c r="D220" s="24" t="s">
        <v>243</v>
      </c>
      <c r="E220" t="str">
        <f>IFERROR(VLOOKUP(C220,武器!$1:$998,COLUMN(C$1),FALSE),"")</f>
        <v>武器</v>
      </c>
      <c r="F220">
        <f>IFERROR(ROUNDDOWN((VLOOKUP($C220,武器!$1:$998,COLUMN(D$1),FALSE)+IFERROR(VLOOKUP($CI220,装強!$1:$999,COLUMN(F$1),FALSE),0))*VLOOKUP($D220,素材!$1:$1016,COLUMN(D$1),FALSE),0),"")</f>
        <v>120</v>
      </c>
      <c r="G220">
        <f>IFERROR(ROUNDDOWN((VLOOKUP($C220,武器!$1:$998,COLUMN(E$1),FALSE)+IFERROR(VLOOKUP($CI220,装強!$1:$999,COLUMN(G$1),FALSE),0))*VLOOKUP($D220,素材!$1:$1016,COLUMN($E$1),FALSE),0),"")</f>
        <v>5</v>
      </c>
      <c r="H220">
        <f>IFERROR(ROUNDDOWN((VLOOKUP($C220,武器!$1:$998,COLUMN(F$1),FALSE)+IFERROR(VLOOKUP($CI220,装強!$1:$999,COLUMN(H$1),FALSE),0))*VLOOKUP($D220,素材!$1:$1016,COLUMN($E$1),FALSE),0),"")</f>
        <v>5</v>
      </c>
      <c r="I220">
        <f>IFERROR(ROUNDDOWN((VLOOKUP($C220,武器!$1:$998,COLUMN(G$1),FALSE)+IFERROR(VLOOKUP($CI220,装強!$1:$999,COLUMN(I$1),FALSE),0))*VLOOKUP($D220,素材!$1:$1016,COLUMN($E$1),FALSE),0),"")</f>
        <v>0</v>
      </c>
      <c r="J220">
        <f>IFERROR(ROUNDDOWN((VLOOKUP($C220,武器!$1:$998,COLUMN(H$1),FALSE)+IFERROR(VLOOKUP($CI220,装強!$1:$999,COLUMN(J$1),FALSE),0))*VLOOKUP($D220,素材!$1:$1016,COLUMN($E$1),FALSE),0),"")</f>
        <v>0</v>
      </c>
      <c r="K220">
        <f>IFERROR(ROUNDDOWN((VLOOKUP($C220,武器!$1:$998,COLUMN(I$1),FALSE)+IFERROR(VLOOKUP($CI220,装強!$1:$999,COLUMN(K$1),FALSE),0))*VLOOKUP($D220,素材!$1:$1016,COLUMN($E$1),FALSE),0),"")</f>
        <v>23</v>
      </c>
      <c r="L220" t="str">
        <f>IFERROR(VLOOKUP($D220,素材!$1:$1016,COLUMN($F$1),FALSE),"")</f>
        <v>氷</v>
      </c>
      <c r="M220">
        <f>IFERROR(VLOOKUP($C220,武器!$1:$998,COLUMN(AA$1),FALSE)*VLOOKUP($D220,素材!$1:$1016,COLUMN($G$1),FALSE),"")</f>
        <v>40.25</v>
      </c>
      <c r="N220">
        <f>IFERROR(VLOOKUP($C220,武器!$1:$998,COLUMN(I$1),FALSE),"")</f>
        <v>1.1499999999999999</v>
      </c>
      <c r="O220" s="23">
        <f>IFERROR((VLOOKUP($C220,武器!$1:$998,COLUMN(K$1),FALSE)+VLOOKUP($D220,素材!$1:$1016,COLUMN(H$1),FALSE))*100+IFERROR(VLOOKUP($CI220,装強!$1:$999,COLUMN(O$1),FALSE),0),"")</f>
        <v>10</v>
      </c>
      <c r="P220" s="23">
        <f>IFERROR((VLOOKUP($C220,武器!$1:$998,COLUMN(L$1),FALSE)+VLOOKUP($D220,素材!$1:$1016,COLUMN(I$1),FALSE))*100+IFERROR(VLOOKUP($CI220,装強!$1:$999,COLUMN(P$1),FALSE),0),"")</f>
        <v>130</v>
      </c>
      <c r="Q220">
        <f>IFERROR(ROUNDUP(VLOOKUP($C220,武器!$1:$998,COLUMN(M$1),FALSE)*(VLOOKUP($D220,素材!$1:$1002,COLUMN(D$1),FALSE)/100),1),"")</f>
        <v>-5</v>
      </c>
      <c r="R220">
        <f>IFERROR(ROUNDUP(VLOOKUP($C220,武器!$1:$998,COLUMN(N$1),FALSE)*(VLOOKUP($D220,素材!$1:$1002,COLUMN(D$1),FALSE)/100),1),"")</f>
        <v>-2.5</v>
      </c>
      <c r="S220">
        <f>IFERROR(VLOOKUP($C220,武器!$1:$998,COLUMN(P$1),FALSE),"")</f>
        <v>2</v>
      </c>
      <c r="T220">
        <f>IFERROR(VLOOKUP($C220,武器!$1:$998,COLUMN(Q$1),FALSE),"")</f>
        <v>0</v>
      </c>
      <c r="U220">
        <f>IFERROR(VLOOKUP($C220,武器!$1:$998,COLUMN(R$1),FALSE),"")</f>
        <v>0</v>
      </c>
      <c r="V220">
        <f>IFERROR(VLOOKUP($C220,武器!$1:$998,COLUMN(Q$1),FALSE),"")</f>
        <v>0</v>
      </c>
      <c r="W220" t="str">
        <f>IFERROR(VLOOKUP($C220,武器!$1:$998,COLUMN(T$1),FALSE),"")</f>
        <v>A</v>
      </c>
      <c r="Y220">
        <f>IFERROR(VLOOKUP($C220,武器!$1:$998,COLUMN(U$1),FALSE),"")</f>
        <v>0</v>
      </c>
      <c r="Z220">
        <f>IFERROR(ROUNDUP(VLOOKUP($C220,武器!$1:$998,COLUMN(O$1),FALSE)*VLOOKUP($D220,素材!$1:$1016,COLUMN(E$1),FALSE),1),"")</f>
        <v>0</v>
      </c>
      <c r="AA220">
        <f>IF(ISNUMBER(SEARCH(SUBSTITUTE(AA$1,RIGHT(AA$1,2),""),VLOOKUP($D220,素材!$1:$1016,COLUMN($F$1),FALSE))),VLOOKUP($C220,武器!$1:$998,COLUMN($O$1),FALSE)*VLOOKUP($D220,素材!$1:$1016,COLUMN($E$1),FALSE)/(LEN(VLOOKUP($D220,素材!$1:$1016,COLUMN($F$1),FALSE)) - LEN(SUBSTITUTE(VLOOKUP($D220,素材!$1:$1016,COLUMN($F$1),FALSE), "・", 0)) + 1), 0)</f>
        <v>0</v>
      </c>
      <c r="AB220">
        <f>IF(ISNUMBER(SEARCH(SUBSTITUTE(AB$1,RIGHT(AB$1,2),""),VLOOKUP($D220,素材!$1:$1016,COLUMN($F$1),FALSE))),VLOOKUP($C220,武器!$1:$998,COLUMN($O$1),FALSE)*VLOOKUP($D220,素材!$1:$1016,COLUMN($E$1),FALSE)/(LEN(VLOOKUP($D220,素材!$1:$1016,COLUMN($F$1),FALSE)) - LEN(SUBSTITUTE(VLOOKUP($D220,素材!$1:$1016,COLUMN($F$1),FALSE), "・", 0)) + 1), 0)</f>
        <v>0</v>
      </c>
      <c r="AC220">
        <f>IF(ISNUMBER(SEARCH(SUBSTITUTE(AC$1,RIGHT(AC$1,2),""),VLOOKUP($D220,素材!$1:$1016,COLUMN($F$1),FALSE))),VLOOKUP($C220,武器!$1:$998,COLUMN($O$1),FALSE)*VLOOKUP($D220,素材!$1:$1016,COLUMN($E$1),FALSE)/(LEN(VLOOKUP($D220,素材!$1:$1016,COLUMN($F$1),FALSE)) - LEN(SUBSTITUTE(VLOOKUP($D220,素材!$1:$1016,COLUMN($F$1),FALSE), "・", 0)) + 1), 0)</f>
        <v>0</v>
      </c>
      <c r="AD220">
        <f>IF(ISNUMBER(SEARCH(SUBSTITUTE(AD$1,RIGHT(AD$1,2),""),VLOOKUP($D220,素材!$1:$1016,COLUMN($F$1),FALSE))),VLOOKUP($C220,武器!$1:$998,COLUMN($O$1),FALSE)*VLOOKUP($D220,素材!$1:$1016,COLUMN($E$1),FALSE)/(LEN(VLOOKUP($D220,素材!$1:$1016,COLUMN($F$1),FALSE)) - LEN(SUBSTITUTE(VLOOKUP($D220,素材!$1:$1016,COLUMN($F$1),FALSE), "・", 0)) + 1), 0)</f>
        <v>0</v>
      </c>
      <c r="AE220">
        <f>IF(ISNUMBER(SEARCH(SUBSTITUTE(AE$1,RIGHT(AE$1,2),""),VLOOKUP($D220,素材!$1:$1016,COLUMN($F$1),FALSE))),VLOOKUP($C220,武器!$1:$998,COLUMN($O$1),FALSE)*VLOOKUP($D220,素材!$1:$1016,COLUMN($E$1),FALSE)/(LEN(VLOOKUP($D220,素材!$1:$1016,COLUMN($F$1),FALSE)) - LEN(SUBSTITUTE(VLOOKUP($D220,素材!$1:$1016,COLUMN($F$1),FALSE), "・", 0)) + 1), 0)</f>
        <v>0</v>
      </c>
      <c r="AF220">
        <f>IF(ISNUMBER(SEARCH(SUBSTITUTE(AF$1,RIGHT(AF$1,2),""),VLOOKUP($D220,素材!$1:$1016,COLUMN($F$1),FALSE))),VLOOKUP($C220,武器!$1:$998,COLUMN($O$1),FALSE)*VLOOKUP($D220,素材!$1:$1016,COLUMN($E$1),FALSE)/(LEN(VLOOKUP($D220,素材!$1:$1016,COLUMN($F$1),FALSE)) - LEN(SUBSTITUTE(VLOOKUP($D220,素材!$1:$1016,COLUMN($F$1),FALSE), "・", 0)) + 1), 0)</f>
        <v>0</v>
      </c>
      <c r="AG220">
        <f>IF(ISNUMBER(SEARCH(SUBSTITUTE(AG$1,RIGHT(AG$1,2),""),VLOOKUP($D220,素材!$1:$1016,COLUMN($F$1),FALSE))),VLOOKUP($C220,武器!$1:$998,COLUMN($O$1),FALSE)*VLOOKUP($D220,素材!$1:$1016,COLUMN($E$1),FALSE)/(LEN(VLOOKUP($D220,素材!$1:$1016,COLUMN($F$1),FALSE)) - LEN(SUBSTITUTE(VLOOKUP($D220,素材!$1:$1016,COLUMN($F$1),FALSE), "・", 0)) + 1), 0)</f>
        <v>0</v>
      </c>
      <c r="AH220">
        <f>IF(ISNUMBER(SEARCH(SUBSTITUTE(AH$1,RIGHT(AH$1,2),""),VLOOKUP($D220,素材!$1:$1016,COLUMN($F$1),FALSE))),VLOOKUP($C220,武器!$1:$998,COLUMN($O$1),FALSE)*VLOOKUP($D220,素材!$1:$1016,COLUMN($E$1),FALSE)/(LEN(VLOOKUP($D220,素材!$1:$1016,COLUMN($F$1),FALSE)) - LEN(SUBSTITUTE(VLOOKUP($D220,素材!$1:$1016,COLUMN($F$1),FALSE), "・", 0)) + 1), 0)</f>
        <v>0</v>
      </c>
      <c r="AI220">
        <f>IF(ISNUMBER(SEARCH(SUBSTITUTE(AI$1,RIGHT(AI$1,2),""),VLOOKUP($D220,素材!$1:$1016,COLUMN($F$1),FALSE))),VLOOKUP($C220,武器!$1:$998,COLUMN($O$1),FALSE)*VLOOKUP($D220,素材!$1:$1016,COLUMN($E$1),FALSE)/(LEN(VLOOKUP($D220,素材!$1:$1016,COLUMN($F$1),FALSE)) - LEN(SUBSTITUTE(VLOOKUP($D220,素材!$1:$1016,COLUMN($F$1),FALSE), "・", 0)) + 1), 0)</f>
        <v>0</v>
      </c>
      <c r="AJ220">
        <f>IF(ISNUMBER(SEARCH(SUBSTITUTE(AJ$1,RIGHT(AJ$1,2),""),VLOOKUP($D220,素材!$1:$1016,COLUMN($F$1),FALSE))),VLOOKUP($C220,武器!$1:$998,COLUMN($O$1),FALSE)*VLOOKUP($D220,素材!$1:$1016,COLUMN($E$1),FALSE)/(LEN(VLOOKUP($D220,素材!$1:$1016,COLUMN($F$1),FALSE)) - LEN(SUBSTITUTE(VLOOKUP($D220,素材!$1:$1016,COLUMN($F$1),FALSE), "・", 0)) + 1), 0)</f>
        <v>0</v>
      </c>
      <c r="AK220">
        <f>IF(ISNUMBER(SEARCH(SUBSTITUTE(AK$1,RIGHT(AK$1,2),""),VLOOKUP($D220,素材!$1:$1016,COLUMN($F$1),FALSE))),VLOOKUP($C220,武器!$1:$998,COLUMN($O$1),FALSE)*VLOOKUP($D220,素材!$1:$1016,COLUMN($E$1),FALSE)/(LEN(VLOOKUP($D220,素材!$1:$1016,COLUMN($F$1),FALSE)) - LEN(SUBSTITUTE(VLOOKUP($D220,素材!$1:$1016,COLUMN($F$1),FALSE), "・", 0)) + 1), 0)</f>
        <v>0</v>
      </c>
      <c r="AL220">
        <f>IF(ISNUMBER(SEARCH(SUBSTITUTE(AL$1,RIGHT(AL$1,2),""),VLOOKUP($D220,素材!$1:$1016,COLUMN($F$1),FALSE))),VLOOKUP($C220,武器!$1:$998,COLUMN($O$1),FALSE)*VLOOKUP($D220,素材!$1:$1016,COLUMN($E$1),FALSE)/(LEN(VLOOKUP($D220,素材!$1:$1016,COLUMN($F$1),FALSE)) - LEN(SUBSTITUTE(VLOOKUP($D220,素材!$1:$1016,COLUMN($F$1),FALSE), "・", 0)) + 1), 0)</f>
        <v>0</v>
      </c>
      <c r="AM220">
        <f>IF(ISNUMBER(SEARCH(SUBSTITUTE(AM$1,RIGHT(AM$1,2),""),VLOOKUP($D220,素材!$1:$1016,COLUMN($F$1),FALSE))),VLOOKUP($C220,武器!$1:$998,COLUMN($O$1),FALSE)*VLOOKUP($D220,素材!$1:$1016,COLUMN($E$1),FALSE)/(LEN(VLOOKUP($D220,素材!$1:$1016,COLUMN($F$1),FALSE)) - LEN(SUBSTITUTE(VLOOKUP($D220,素材!$1:$1016,COLUMN($F$1),FALSE), "・", 0)) + 1), 0)</f>
        <v>0</v>
      </c>
      <c r="AN220">
        <f>IF(ISNUMBER(SEARCH(SUBSTITUTE(AN$1,RIGHT(AN$1,2),""),VLOOKUP($D220,素材!$1:$1016,COLUMN($F$1),FALSE))),VLOOKUP($C220,武器!$1:$998,COLUMN($O$1),FALSE)*VLOOKUP($D220,素材!$1:$1016,COLUMN($E$1),FALSE)/(LEN(VLOOKUP($D220,素材!$1:$1016,COLUMN($F$1),FALSE)) - LEN(SUBSTITUTE(VLOOKUP($D220,素材!$1:$1016,COLUMN($F$1),FALSE), "・", 0)) + 1), 0)</f>
        <v>0</v>
      </c>
      <c r="AO220">
        <f>IF(ISNUMBER(SEARCH(SUBSTITUTE(AO$1,RIGHT(AO$1,2),""),VLOOKUP($D220,素材!$1:$1016,COLUMN($F$1),FALSE))),VLOOKUP($C220,武器!$1:$998,COLUMN($O$1),FALSE)*VLOOKUP($D220,素材!$1:$1016,COLUMN($E$1),FALSE)/(LEN(VLOOKUP($D220,素材!$1:$1016,COLUMN($F$1),FALSE)) - LEN(SUBSTITUTE(VLOOKUP($D220,素材!$1:$1016,COLUMN($F$1),FALSE), "・", 0)) + 1), 0)</f>
        <v>0</v>
      </c>
      <c r="AP220">
        <f>IF(ISNUMBER(SEARCH(SUBSTITUTE(AP$1,RIGHT(AP$1,2),""),VLOOKUP($D220,素材!$1:$1016,COLUMN($F$1),FALSE))),VLOOKUP($C220,武器!$1:$998,COLUMN($O$1),FALSE)*VLOOKUP($D220,素材!$1:$1016,COLUMN($E$1),FALSE)/(LEN(VLOOKUP($D220,素材!$1:$1016,COLUMN($F$1),FALSE)) - LEN(SUBSTITUTE(VLOOKUP($D220,素材!$1:$1016,COLUMN($F$1),FALSE), "・", 0)) + 1), 0)</f>
        <v>0</v>
      </c>
      <c r="AQ220">
        <f>IF(ISNUMBER(SEARCH(SUBSTITUTE(AQ$1,RIGHT(AQ$1,2),""),VLOOKUP($D220,素材!$1:$1016,COLUMN($F$1),FALSE))),VLOOKUP($C220,武器!$1:$998,COLUMN($O$1),FALSE)*VLOOKUP($D220,素材!$1:$1016,COLUMN($E$1),FALSE)/(LEN(VLOOKUP($D220,素材!$1:$1016,COLUMN($F$1),FALSE)) - LEN(SUBSTITUTE(VLOOKUP($D220,素材!$1:$1016,COLUMN($F$1),FALSE), "・", 0)) + 1), 0)</f>
        <v>0</v>
      </c>
      <c r="AR220">
        <f>IF(ISNUMBER(SEARCH(SUBSTITUTE(AR$1,RIGHT(AR$1,2),""),VLOOKUP($D220,素材!$1:$1016,COLUMN($F$1),FALSE))),VLOOKUP($C220,武器!$1:$998,COLUMN($O$1),FALSE)*VLOOKUP($D220,素材!$1:$1016,COLUMN($E$1),FALSE)/(LEN(VLOOKUP($D220,素材!$1:$1016,COLUMN($F$1),FALSE)) - LEN(SUBSTITUTE(VLOOKUP($D220,素材!$1:$1016,COLUMN($F$1),FALSE), "・", 0)) + 1), 0)</f>
        <v>0</v>
      </c>
      <c r="AS220">
        <f>IF(ISNUMBER(SEARCH(SUBSTITUTE(AS$1,RIGHT(AS$1,2),""),VLOOKUP($D220,素材!$1:$1016,COLUMN($F$1),FALSE))),VLOOKUP($C220,武器!$1:$998,COLUMN($O$1),FALSE)*VLOOKUP($D220,素材!$1:$1016,COLUMN($E$1),FALSE)/(LEN(VLOOKUP($D220,素材!$1:$1016,COLUMN($F$1),FALSE)) - LEN(SUBSTITUTE(VLOOKUP($D220,素材!$1:$1016,COLUMN($F$1),FALSE), "・", 0)) + 1), 0)</f>
        <v>0</v>
      </c>
      <c r="AT220">
        <f>IF(ISNUMBER(SEARCH(SUBSTITUTE(AT$1,RIGHT(AT$1,2),""),VLOOKUP($D220,素材!$1:$1016,COLUMN($F$1),FALSE))),VLOOKUP($C220,武器!$1:$998,COLUMN($O$1),FALSE)*VLOOKUP($D220,素材!$1:$1016,COLUMN($E$1),FALSE)/(LEN(VLOOKUP($D220,素材!$1:$1016,COLUMN($F$1),FALSE)) - LEN(SUBSTITUTE(VLOOKUP($D220,素材!$1:$1016,COLUMN($F$1),FALSE), "・", 0)) + 1), 0)</f>
        <v>0</v>
      </c>
      <c r="AU220">
        <f>IF(ISNUMBER(SEARCH(SUBSTITUTE(AU$1,RIGHT(AU$1,2),""),VLOOKUP($D220,素材!$1:$1016,COLUMN($F$1),FALSE))),VLOOKUP($C220,武器!$1:$998,COLUMN($O$1),FALSE)*VLOOKUP($D220,素材!$1:$1016,COLUMN($E$1),FALSE)/(LEN(VLOOKUP($D220,素材!$1:$1016,COLUMN($F$1),FALSE)) - LEN(SUBSTITUTE(VLOOKUP($D220,素材!$1:$1016,COLUMN($F$1),FALSE), "・", 0)) + 1), 0)</f>
        <v>0</v>
      </c>
      <c r="AV220">
        <f>IF(ISNUMBER(SEARCH(SUBSTITUTE(AV$1,RIGHT(AV$1,2),""),VLOOKUP($D220,素材!$1:$1016,COLUMN($F$1),FALSE))),VLOOKUP($C220,武器!$1:$998,COLUMN($O$1),FALSE)*VLOOKUP($D220,素材!$1:$1016,COLUMN($E$1),FALSE)/(LEN(VLOOKUP($D220,素材!$1:$1016,COLUMN($F$1),FALSE)) - LEN(SUBSTITUTE(VLOOKUP($D220,素材!$1:$1016,COLUMN($F$1),FALSE), "・", 0)) + 1), 0)</f>
        <v>0</v>
      </c>
      <c r="AW220">
        <f>IF(ISNUMBER(SEARCH(SUBSTITUTE(AW$1,RIGHT(AW$1,2),""),VLOOKUP($D220,素材!$1:$1016,COLUMN($F$1),FALSE))),VLOOKUP($C220,武器!$1:$998,COLUMN($O$1),FALSE)*VLOOKUP($D220,素材!$1:$1016,COLUMN($E$1),FALSE)/(LEN(VLOOKUP($D220,素材!$1:$1016,COLUMN($F$1),FALSE)) - LEN(SUBSTITUTE(VLOOKUP($D220,素材!$1:$1016,COLUMN($F$1),FALSE), "・", 0)) + 1), 0)</f>
        <v>0</v>
      </c>
      <c r="AX220">
        <f>IF(ISNUMBER(SEARCH(SUBSTITUTE(AX$1,RIGHT(AX$1,2),""),VLOOKUP($D220,素材!$1:$1016,COLUMN($F$1),FALSE))),VLOOKUP($C220,武器!$1:$998,COLUMN($O$1),FALSE)*VLOOKUP($D220,素材!$1:$1016,COLUMN($E$1),FALSE)/(LEN(VLOOKUP($D220,素材!$1:$1016,COLUMN($F$1),FALSE)) - LEN(SUBSTITUTE(VLOOKUP($D220,素材!$1:$1016,COLUMN($F$1),FALSE), "・", 0)) + 1), 0)</f>
        <v>0</v>
      </c>
      <c r="AY220">
        <f>IF(ISNUMBER(SEARCH(SUBSTITUTE(AY$1,RIGHT(AY$1,2),""),VLOOKUP($D220,素材!$1:$1016,COLUMN($F$1),FALSE))),VLOOKUP($C220,武器!$1:$998,COLUMN($O$1),FALSE)*VLOOKUP($D220,素材!$1:$1016,COLUMN($E$1),FALSE)/(LEN(VLOOKUP($D220,素材!$1:$1016,COLUMN($F$1),FALSE)) - LEN(SUBSTITUTE(VLOOKUP($D220,素材!$1:$1016,COLUMN($F$1),FALSE), "・", 0)) + 1), 0)</f>
        <v>0</v>
      </c>
      <c r="AZ220">
        <f>IF(ISNUMBER(SEARCH(SUBSTITUTE(AZ$1,RIGHT(AZ$1,2),""),VLOOKUP($D220,素材!$1:$1016,COLUMN($F$1),FALSE))),VLOOKUP($C220,武器!$1:$998,COLUMN($O$1),FALSE)*VLOOKUP($D220,素材!$1:$1016,COLUMN($E$1),FALSE)/(LEN(VLOOKUP($D220,素材!$1:$1016,COLUMN($F$1),FALSE)) - LEN(SUBSTITUTE(VLOOKUP($D220,素材!$1:$1016,COLUMN($F$1),FALSE), "・", 0)) + 1), 0)</f>
        <v>0</v>
      </c>
      <c r="BA220">
        <f>IF(ISNUMBER(SEARCH(SUBSTITUTE(BA$1,RIGHT(BA$1,2),""),VLOOKUP($D220,素材!$1:$1016,COLUMN($F$1),FALSE))),VLOOKUP($C220,武器!$1:$998,COLUMN($O$1),FALSE)*VLOOKUP($D220,素材!$1:$1016,COLUMN($E$1),FALSE)/(LEN(VLOOKUP($D220,素材!$1:$1016,COLUMN($F$1),FALSE)) - LEN(SUBSTITUTE(VLOOKUP($D220,素材!$1:$1016,COLUMN($F$1),FALSE), "・", 0)) + 1), 0)</f>
        <v>0</v>
      </c>
      <c r="BB220">
        <f>IF(ISNUMBER(SEARCH(SUBSTITUTE(BB$1,RIGHT(BB$1,2),""),VLOOKUP($D220,素材!$1:$1016,COLUMN($F$1),FALSE))),VLOOKUP($C220,武器!$1:$998,COLUMN($O$1),FALSE)*VLOOKUP($D220,素材!$1:$1016,COLUMN($E$1),FALSE)/(LEN(VLOOKUP($D220,素材!$1:$1016,COLUMN($F$1),FALSE)) - LEN(SUBSTITUTE(VLOOKUP($D220,素材!$1:$1016,COLUMN($F$1),FALSE), "・", 0)) + 1), 0)</f>
        <v>0</v>
      </c>
      <c r="BC220">
        <f>IF(ISNUMBER(SEARCH(SUBSTITUTE(BC$1,RIGHT(BC$1,2),""),VLOOKUP($D220,素材!$1:$1016,COLUMN($F$1),FALSE))),VLOOKUP($C220,武器!$1:$998,COLUMN($O$1),FALSE)*VLOOKUP($D220,素材!$1:$1016,COLUMN($E$1),FALSE)/(LEN(VLOOKUP($D220,素材!$1:$1016,COLUMN($F$1),FALSE)) - LEN(SUBSTITUTE(VLOOKUP($D220,素材!$1:$1016,COLUMN($F$1),FALSE), "・", 0)) + 1), 0)</f>
        <v>0</v>
      </c>
      <c r="BD220">
        <f>IF(ISNUMBER(SEARCH(SUBSTITUTE(BD$1,RIGHT(BD$1,2),""),VLOOKUP($D220,素材!$1:$1016,COLUMN($F$1),FALSE))),VLOOKUP($C220,武器!$1:$998,COLUMN($O$1),FALSE)*VLOOKUP($D220,素材!$1:$1016,COLUMN($E$1),FALSE)/(LEN(VLOOKUP($D220,素材!$1:$1016,COLUMN($F$1),FALSE)) - LEN(SUBSTITUTE(VLOOKUP($D220,素材!$1:$1016,COLUMN($F$1),FALSE), "・", 0)) + 1), 0)</f>
        <v>0</v>
      </c>
      <c r="BE220">
        <f>IF(ISNUMBER(SEARCH(SUBSTITUTE(BE$1,RIGHT(BE$1,2),""),VLOOKUP($D220,素材!$1:$1016,COLUMN($F$1),FALSE))),VLOOKUP($C220,武器!$1:$998,COLUMN($O$1),FALSE)*VLOOKUP($D220,素材!$1:$1016,COLUMN($E$1),FALSE)/(LEN(VLOOKUP($D220,素材!$1:$1016,COLUMN($F$1),FALSE)) - LEN(SUBSTITUTE(VLOOKUP($D220,素材!$1:$1016,COLUMN($F$1),FALSE), "・", 0)) + 1), 0)</f>
        <v>0</v>
      </c>
      <c r="CL220">
        <f>SUM(G220:I220)</f>
        <v>10</v>
      </c>
      <c r="CM220" s="22" t="str">
        <f>IF(E220="武器",IF(J220-1&gt;SUM(G220:I220),"盾",IF(MAX(G220:I220)=G220,"切断",IF(MAX(G220:I220)=H220,"貫通",IF(MAX(G220:I220)=I220,"打撃","射撃")))),E220)&amp;".webp"</f>
        <v>切断.webp</v>
      </c>
      <c r="CN220">
        <f>IFERROR(VLOOKUP($C220,武器!$1:$998,COLUMN(V$1),FALSE)*VLOOKUP($D220,素材!$1:$1016,COLUMN(N$1),FALSE)+IF(CI220="",0,VLOOKUP($CI220,装強!$1:$1008,COLUMN($CK$1),FALSE)),"")</f>
        <v>3000</v>
      </c>
      <c r="CO220">
        <f>VLOOKUP(D220,素材!$A:$O,COLUMN(素材!O$1),FALSE)</f>
        <v>0</v>
      </c>
      <c r="CP220" t="str">
        <f>VLOOKUP(C220,武器!$A:$W,COLUMN(武器!W$1),FALSE)</f>
        <v>長弓。射程が長く、高い威力を持つ。</v>
      </c>
      <c r="CR220" t="str">
        <f t="shared" si="29"/>
        <v>e_220</v>
      </c>
      <c r="CS220">
        <f t="shared" si="30"/>
        <v>300000</v>
      </c>
    </row>
    <row r="221" spans="1:97" outlineLevel="1" x14ac:dyDescent="0.4">
      <c r="A221" t="str">
        <f t="shared" si="28"/>
        <v>冷気鉄の杖</v>
      </c>
      <c r="B221" t="str">
        <f>IFERROR(VLOOKUP($D221,素材!$1:$1016,COLUMN($B$1),FALSE)&amp;"・"&amp;VLOOKUP($C221,武器!$1:$998,COLUMN(B$1),FALSE),"")</f>
        <v>ドゥララン・ロッド</v>
      </c>
      <c r="C221" t="s">
        <v>216</v>
      </c>
      <c r="D221" s="24" t="s">
        <v>243</v>
      </c>
      <c r="E221" t="str">
        <f>IFERROR(VLOOKUP(C221,武器!$1:$998,COLUMN(C$1),FALSE),"")</f>
        <v>杖</v>
      </c>
      <c r="F221">
        <f>IFERROR(ROUNDDOWN((VLOOKUP($C221,武器!$1:$998,COLUMN(D$1),FALSE)+IFERROR(VLOOKUP($CI221,装強!$1:$999,COLUMN(F$1),FALSE),0))*VLOOKUP($D221,素材!$1:$1016,COLUMN(D$1),FALSE),0),"")</f>
        <v>110</v>
      </c>
      <c r="G221">
        <f>IFERROR(ROUNDDOWN((VLOOKUP($C221,武器!$1:$998,COLUMN(E$1),FALSE)+IFERROR(VLOOKUP($CI221,装強!$1:$999,COLUMN(G$1),FALSE),0))*VLOOKUP($D221,素材!$1:$1016,COLUMN($E$1),FALSE),0),"")</f>
        <v>0</v>
      </c>
      <c r="H221">
        <f>IFERROR(ROUNDDOWN((VLOOKUP($C221,武器!$1:$998,COLUMN(F$1),FALSE)+IFERROR(VLOOKUP($CI221,装強!$1:$999,COLUMN(H$1),FALSE),0))*VLOOKUP($D221,素材!$1:$1016,COLUMN($E$1),FALSE),0),"")</f>
        <v>5</v>
      </c>
      <c r="I221">
        <f>IFERROR(ROUNDDOWN((VLOOKUP($C221,武器!$1:$998,COLUMN(G$1),FALSE)+IFERROR(VLOOKUP($CI221,装強!$1:$999,COLUMN(I$1),FALSE),0))*VLOOKUP($D221,素材!$1:$1016,COLUMN($E$1),FALSE),0),"")</f>
        <v>14</v>
      </c>
      <c r="J221">
        <f>IFERROR(ROUNDDOWN((VLOOKUP($C221,武器!$1:$998,COLUMN(H$1),FALSE)+IFERROR(VLOOKUP($CI221,装強!$1:$999,COLUMN(J$1),FALSE),0))*VLOOKUP($D221,素材!$1:$1016,COLUMN($E$1),FALSE),0),"")</f>
        <v>18</v>
      </c>
      <c r="K221">
        <f>IFERROR(ROUNDDOWN((VLOOKUP($C221,武器!$1:$998,COLUMN(I$1),FALSE)+IFERROR(VLOOKUP($CI221,装強!$1:$999,COLUMN(K$1),FALSE),0))*VLOOKUP($D221,素材!$1:$1016,COLUMN($E$1),FALSE),0),"")</f>
        <v>0</v>
      </c>
      <c r="L221" t="str">
        <f>IFERROR(VLOOKUP($D221,素材!$1:$1016,COLUMN($F$1),FALSE),"")</f>
        <v>氷</v>
      </c>
      <c r="M221">
        <f>IFERROR(VLOOKUP($C221,武器!$1:$998,COLUMN(AA$1),FALSE)*VLOOKUP($D221,素材!$1:$1016,COLUMN($G$1),FALSE),"")</f>
        <v>33.25</v>
      </c>
      <c r="N221">
        <f>IFERROR(VLOOKUP($C221,武器!$1:$998,COLUMN(I$1),FALSE),"")</f>
        <v>0</v>
      </c>
      <c r="O221" s="23">
        <f>IFERROR((VLOOKUP($C221,武器!$1:$998,COLUMN(K$1),FALSE)+VLOOKUP($D221,素材!$1:$1016,COLUMN(H$1),FALSE))*100+IFERROR(VLOOKUP($CI221,装強!$1:$999,COLUMN(O$1),FALSE),0),"")</f>
        <v>5</v>
      </c>
      <c r="P221" s="23">
        <f>IFERROR((VLOOKUP($C221,武器!$1:$998,COLUMN(L$1),FALSE)+VLOOKUP($D221,素材!$1:$1016,COLUMN(I$1),FALSE))*100+IFERROR(VLOOKUP($CI221,装強!$1:$999,COLUMN(P$1),FALSE),0),"")</f>
        <v>150</v>
      </c>
      <c r="Q221">
        <f>IFERROR(ROUNDUP(VLOOKUP($C221,武器!$1:$998,COLUMN(M$1),FALSE)*(VLOOKUP($D221,素材!$1:$1002,COLUMN(D$1),FALSE)/100),1),"")</f>
        <v>0</v>
      </c>
      <c r="R221">
        <f>IFERROR(ROUNDUP(VLOOKUP($C221,武器!$1:$998,COLUMN(N$1),FALSE)*(VLOOKUP($D221,素材!$1:$1002,COLUMN(D$1),FALSE)/100),1),"")</f>
        <v>0</v>
      </c>
      <c r="S221">
        <f>IFERROR(VLOOKUP($C221,武器!$1:$998,COLUMN(P$1),FALSE),"")</f>
        <v>0</v>
      </c>
      <c r="T221">
        <f>IFERROR(VLOOKUP($C221,武器!$1:$998,COLUMN(Q$1),FALSE),"")</f>
        <v>0</v>
      </c>
      <c r="U221">
        <f>IFERROR(VLOOKUP($C221,武器!$1:$998,COLUMN(R$1),FALSE),"")</f>
        <v>0</v>
      </c>
      <c r="V221">
        <f>IFERROR(VLOOKUP($C221,武器!$1:$998,COLUMN(Q$1),FALSE),"")</f>
        <v>0</v>
      </c>
      <c r="W221" t="str">
        <f>IFERROR(VLOOKUP($C221,武器!$1:$998,COLUMN(T$1),FALSE),"")</f>
        <v>A</v>
      </c>
      <c r="Y221" t="str">
        <f>IFERROR(VLOOKUP($C221,武器!$1:$998,COLUMN(U$1),FALSE),"")</f>
        <v>魔法無詠唱Ⅱ</v>
      </c>
      <c r="Z221">
        <f>IFERROR(ROUNDUP(VLOOKUP($C221,武器!$1:$998,COLUMN(O$1),FALSE)*VLOOKUP($D221,素材!$1:$1016,COLUMN(E$1),FALSE),1),"")</f>
        <v>0</v>
      </c>
      <c r="AA221">
        <f>IF(ISNUMBER(SEARCH(SUBSTITUTE(AA$1,RIGHT(AA$1,2),""),VLOOKUP($D221,素材!$1:$1016,COLUMN($F$1),FALSE))),VLOOKUP($C221,武器!$1:$998,COLUMN($O$1),FALSE)*VLOOKUP($D221,素材!$1:$1016,COLUMN($E$1),FALSE)/(LEN(VLOOKUP($D221,素材!$1:$1016,COLUMN($F$1),FALSE)) - LEN(SUBSTITUTE(VLOOKUP($D221,素材!$1:$1016,COLUMN($F$1),FALSE), "・", 0)) + 1), 0)</f>
        <v>0</v>
      </c>
      <c r="AB221">
        <f>IF(ISNUMBER(SEARCH(SUBSTITUTE(AB$1,RIGHT(AB$1,2),""),VLOOKUP($D221,素材!$1:$1016,COLUMN($F$1),FALSE))),VLOOKUP($C221,武器!$1:$998,COLUMN($O$1),FALSE)*VLOOKUP($D221,素材!$1:$1016,COLUMN($E$1),FALSE)/(LEN(VLOOKUP($D221,素材!$1:$1016,COLUMN($F$1),FALSE)) - LEN(SUBSTITUTE(VLOOKUP($D221,素材!$1:$1016,COLUMN($F$1),FALSE), "・", 0)) + 1), 0)</f>
        <v>0</v>
      </c>
      <c r="AC221">
        <f>IF(ISNUMBER(SEARCH(SUBSTITUTE(AC$1,RIGHT(AC$1,2),""),VLOOKUP($D221,素材!$1:$1016,COLUMN($F$1),FALSE))),VLOOKUP($C221,武器!$1:$998,COLUMN($O$1),FALSE)*VLOOKUP($D221,素材!$1:$1016,COLUMN($E$1),FALSE)/(LEN(VLOOKUP($D221,素材!$1:$1016,COLUMN($F$1),FALSE)) - LEN(SUBSTITUTE(VLOOKUP($D221,素材!$1:$1016,COLUMN($F$1),FALSE), "・", 0)) + 1), 0)</f>
        <v>0</v>
      </c>
      <c r="AD221">
        <f>IF(ISNUMBER(SEARCH(SUBSTITUTE(AD$1,RIGHT(AD$1,2),""),VLOOKUP($D221,素材!$1:$1016,COLUMN($F$1),FALSE))),VLOOKUP($C221,武器!$1:$998,COLUMN($O$1),FALSE)*VLOOKUP($D221,素材!$1:$1016,COLUMN($E$1),FALSE)/(LEN(VLOOKUP($D221,素材!$1:$1016,COLUMN($F$1),FALSE)) - LEN(SUBSTITUTE(VLOOKUP($D221,素材!$1:$1016,COLUMN($F$1),FALSE), "・", 0)) + 1), 0)</f>
        <v>0</v>
      </c>
      <c r="AE221">
        <f>IF(ISNUMBER(SEARCH(SUBSTITUTE(AE$1,RIGHT(AE$1,2),""),VLOOKUP($D221,素材!$1:$1016,COLUMN($F$1),FALSE))),VLOOKUP($C221,武器!$1:$998,COLUMN($O$1),FALSE)*VLOOKUP($D221,素材!$1:$1016,COLUMN($E$1),FALSE)/(LEN(VLOOKUP($D221,素材!$1:$1016,COLUMN($F$1),FALSE)) - LEN(SUBSTITUTE(VLOOKUP($D221,素材!$1:$1016,COLUMN($F$1),FALSE), "・", 0)) + 1), 0)</f>
        <v>0</v>
      </c>
      <c r="AF221">
        <f>IF(ISNUMBER(SEARCH(SUBSTITUTE(AF$1,RIGHT(AF$1,2),""),VLOOKUP($D221,素材!$1:$1016,COLUMN($F$1),FALSE))),VLOOKUP($C221,武器!$1:$998,COLUMN($O$1),FALSE)*VLOOKUP($D221,素材!$1:$1016,COLUMN($E$1),FALSE)/(LEN(VLOOKUP($D221,素材!$1:$1016,COLUMN($F$1),FALSE)) - LEN(SUBSTITUTE(VLOOKUP($D221,素材!$1:$1016,COLUMN($F$1),FALSE), "・", 0)) + 1), 0)</f>
        <v>0</v>
      </c>
      <c r="AG221">
        <f>IF(ISNUMBER(SEARCH(SUBSTITUTE(AG$1,RIGHT(AG$1,2),""),VLOOKUP($D221,素材!$1:$1016,COLUMN($F$1),FALSE))),VLOOKUP($C221,武器!$1:$998,COLUMN($O$1),FALSE)*VLOOKUP($D221,素材!$1:$1016,COLUMN($E$1),FALSE)/(LEN(VLOOKUP($D221,素材!$1:$1016,COLUMN($F$1),FALSE)) - LEN(SUBSTITUTE(VLOOKUP($D221,素材!$1:$1016,COLUMN($F$1),FALSE), "・", 0)) + 1), 0)</f>
        <v>0</v>
      </c>
      <c r="AH221">
        <f>IF(ISNUMBER(SEARCH(SUBSTITUTE(AH$1,RIGHT(AH$1,2),""),VLOOKUP($D221,素材!$1:$1016,COLUMN($F$1),FALSE))),VLOOKUP($C221,武器!$1:$998,COLUMN($O$1),FALSE)*VLOOKUP($D221,素材!$1:$1016,COLUMN($E$1),FALSE)/(LEN(VLOOKUP($D221,素材!$1:$1016,COLUMN($F$1),FALSE)) - LEN(SUBSTITUTE(VLOOKUP($D221,素材!$1:$1016,COLUMN($F$1),FALSE), "・", 0)) + 1), 0)</f>
        <v>0</v>
      </c>
      <c r="AI221">
        <f>IF(ISNUMBER(SEARCH(SUBSTITUTE(AI$1,RIGHT(AI$1,2),""),VLOOKUP($D221,素材!$1:$1016,COLUMN($F$1),FALSE))),VLOOKUP($C221,武器!$1:$998,COLUMN($O$1),FALSE)*VLOOKUP($D221,素材!$1:$1016,COLUMN($E$1),FALSE)/(LEN(VLOOKUP($D221,素材!$1:$1016,COLUMN($F$1),FALSE)) - LEN(SUBSTITUTE(VLOOKUP($D221,素材!$1:$1016,COLUMN($F$1),FALSE), "・", 0)) + 1), 0)</f>
        <v>0</v>
      </c>
      <c r="AJ221">
        <f>IF(ISNUMBER(SEARCH(SUBSTITUTE(AJ$1,RIGHT(AJ$1,2),""),VLOOKUP($D221,素材!$1:$1016,COLUMN($F$1),FALSE))),VLOOKUP($C221,武器!$1:$998,COLUMN($O$1),FALSE)*VLOOKUP($D221,素材!$1:$1016,COLUMN($E$1),FALSE)/(LEN(VLOOKUP($D221,素材!$1:$1016,COLUMN($F$1),FALSE)) - LEN(SUBSTITUTE(VLOOKUP($D221,素材!$1:$1016,COLUMN($F$1),FALSE), "・", 0)) + 1), 0)</f>
        <v>0</v>
      </c>
      <c r="AK221">
        <f>IF(ISNUMBER(SEARCH(SUBSTITUTE(AK$1,RIGHT(AK$1,2),""),VLOOKUP($D221,素材!$1:$1016,COLUMN($F$1),FALSE))),VLOOKUP($C221,武器!$1:$998,COLUMN($O$1),FALSE)*VLOOKUP($D221,素材!$1:$1016,COLUMN($E$1),FALSE)/(LEN(VLOOKUP($D221,素材!$1:$1016,COLUMN($F$1),FALSE)) - LEN(SUBSTITUTE(VLOOKUP($D221,素材!$1:$1016,COLUMN($F$1),FALSE), "・", 0)) + 1), 0)</f>
        <v>0</v>
      </c>
      <c r="AL221">
        <f>IF(ISNUMBER(SEARCH(SUBSTITUTE(AL$1,RIGHT(AL$1,2),""),VLOOKUP($D221,素材!$1:$1016,COLUMN($F$1),FALSE))),VLOOKUP($C221,武器!$1:$998,COLUMN($O$1),FALSE)*VLOOKUP($D221,素材!$1:$1016,COLUMN($E$1),FALSE)/(LEN(VLOOKUP($D221,素材!$1:$1016,COLUMN($F$1),FALSE)) - LEN(SUBSTITUTE(VLOOKUP($D221,素材!$1:$1016,COLUMN($F$1),FALSE), "・", 0)) + 1), 0)</f>
        <v>0</v>
      </c>
      <c r="AM221">
        <f>IF(ISNUMBER(SEARCH(SUBSTITUTE(AM$1,RIGHT(AM$1,2),""),VLOOKUP($D221,素材!$1:$1016,COLUMN($F$1),FALSE))),VLOOKUP($C221,武器!$1:$998,COLUMN($O$1),FALSE)*VLOOKUP($D221,素材!$1:$1016,COLUMN($E$1),FALSE)/(LEN(VLOOKUP($D221,素材!$1:$1016,COLUMN($F$1),FALSE)) - LEN(SUBSTITUTE(VLOOKUP($D221,素材!$1:$1016,COLUMN($F$1),FALSE), "・", 0)) + 1), 0)</f>
        <v>0</v>
      </c>
      <c r="AN221">
        <f>IF(ISNUMBER(SEARCH(SUBSTITUTE(AN$1,RIGHT(AN$1,2),""),VLOOKUP($D221,素材!$1:$1016,COLUMN($F$1),FALSE))),VLOOKUP($C221,武器!$1:$998,COLUMN($O$1),FALSE)*VLOOKUP($D221,素材!$1:$1016,COLUMN($E$1),FALSE)/(LEN(VLOOKUP($D221,素材!$1:$1016,COLUMN($F$1),FALSE)) - LEN(SUBSTITUTE(VLOOKUP($D221,素材!$1:$1016,COLUMN($F$1),FALSE), "・", 0)) + 1), 0)</f>
        <v>0</v>
      </c>
      <c r="AO221">
        <f>IF(ISNUMBER(SEARCH(SUBSTITUTE(AO$1,RIGHT(AO$1,2),""),VLOOKUP($D221,素材!$1:$1016,COLUMN($F$1),FALSE))),VLOOKUP($C221,武器!$1:$998,COLUMN($O$1),FALSE)*VLOOKUP($D221,素材!$1:$1016,COLUMN($E$1),FALSE)/(LEN(VLOOKUP($D221,素材!$1:$1016,COLUMN($F$1),FALSE)) - LEN(SUBSTITUTE(VLOOKUP($D221,素材!$1:$1016,COLUMN($F$1),FALSE), "・", 0)) + 1), 0)</f>
        <v>0</v>
      </c>
      <c r="AP221">
        <f>IF(ISNUMBER(SEARCH(SUBSTITUTE(AP$1,RIGHT(AP$1,2),""),VLOOKUP($D221,素材!$1:$1016,COLUMN($F$1),FALSE))),VLOOKUP($C221,武器!$1:$998,COLUMN($O$1),FALSE)*VLOOKUP($D221,素材!$1:$1016,COLUMN($E$1),FALSE)/(LEN(VLOOKUP($D221,素材!$1:$1016,COLUMN($F$1),FALSE)) - LEN(SUBSTITUTE(VLOOKUP($D221,素材!$1:$1016,COLUMN($F$1),FALSE), "・", 0)) + 1), 0)</f>
        <v>0</v>
      </c>
      <c r="AQ221">
        <f>IF(ISNUMBER(SEARCH(SUBSTITUTE(AQ$1,RIGHT(AQ$1,2),""),VLOOKUP($D221,素材!$1:$1016,COLUMN($F$1),FALSE))),VLOOKUP($C221,武器!$1:$998,COLUMN($O$1),FALSE)*VLOOKUP($D221,素材!$1:$1016,COLUMN($E$1),FALSE)/(LEN(VLOOKUP($D221,素材!$1:$1016,COLUMN($F$1),FALSE)) - LEN(SUBSTITUTE(VLOOKUP($D221,素材!$1:$1016,COLUMN($F$1),FALSE), "・", 0)) + 1), 0)</f>
        <v>0</v>
      </c>
      <c r="AR221">
        <f>IF(ISNUMBER(SEARCH(SUBSTITUTE(AR$1,RIGHT(AR$1,2),""),VLOOKUP($D221,素材!$1:$1016,COLUMN($F$1),FALSE))),VLOOKUP($C221,武器!$1:$998,COLUMN($O$1),FALSE)*VLOOKUP($D221,素材!$1:$1016,COLUMN($E$1),FALSE)/(LEN(VLOOKUP($D221,素材!$1:$1016,COLUMN($F$1),FALSE)) - LEN(SUBSTITUTE(VLOOKUP($D221,素材!$1:$1016,COLUMN($F$1),FALSE), "・", 0)) + 1), 0)</f>
        <v>0</v>
      </c>
      <c r="AS221">
        <f>IF(ISNUMBER(SEARCH(SUBSTITUTE(AS$1,RIGHT(AS$1,2),""),VLOOKUP($D221,素材!$1:$1016,COLUMN($F$1),FALSE))),VLOOKUP($C221,武器!$1:$998,COLUMN($O$1),FALSE)*VLOOKUP($D221,素材!$1:$1016,COLUMN($E$1),FALSE)/(LEN(VLOOKUP($D221,素材!$1:$1016,COLUMN($F$1),FALSE)) - LEN(SUBSTITUTE(VLOOKUP($D221,素材!$1:$1016,COLUMN($F$1),FALSE), "・", 0)) + 1), 0)</f>
        <v>0</v>
      </c>
      <c r="AT221">
        <f>IF(ISNUMBER(SEARCH(SUBSTITUTE(AT$1,RIGHT(AT$1,2),""),VLOOKUP($D221,素材!$1:$1016,COLUMN($F$1),FALSE))),VLOOKUP($C221,武器!$1:$998,COLUMN($O$1),FALSE)*VLOOKUP($D221,素材!$1:$1016,COLUMN($E$1),FALSE)/(LEN(VLOOKUP($D221,素材!$1:$1016,COLUMN($F$1),FALSE)) - LEN(SUBSTITUTE(VLOOKUP($D221,素材!$1:$1016,COLUMN($F$1),FALSE), "・", 0)) + 1), 0)</f>
        <v>0</v>
      </c>
      <c r="AU221">
        <f>IF(ISNUMBER(SEARCH(SUBSTITUTE(AU$1,RIGHT(AU$1,2),""),VLOOKUP($D221,素材!$1:$1016,COLUMN($F$1),FALSE))),VLOOKUP($C221,武器!$1:$998,COLUMN($O$1),FALSE)*VLOOKUP($D221,素材!$1:$1016,COLUMN($E$1),FALSE)/(LEN(VLOOKUP($D221,素材!$1:$1016,COLUMN($F$1),FALSE)) - LEN(SUBSTITUTE(VLOOKUP($D221,素材!$1:$1016,COLUMN($F$1),FALSE), "・", 0)) + 1), 0)</f>
        <v>0</v>
      </c>
      <c r="AV221">
        <f>IF(ISNUMBER(SEARCH(SUBSTITUTE(AV$1,RIGHT(AV$1,2),""),VLOOKUP($D221,素材!$1:$1016,COLUMN($F$1),FALSE))),VLOOKUP($C221,武器!$1:$998,COLUMN($O$1),FALSE)*VLOOKUP($D221,素材!$1:$1016,COLUMN($E$1),FALSE)/(LEN(VLOOKUP($D221,素材!$1:$1016,COLUMN($F$1),FALSE)) - LEN(SUBSTITUTE(VLOOKUP($D221,素材!$1:$1016,COLUMN($F$1),FALSE), "・", 0)) + 1), 0)</f>
        <v>0</v>
      </c>
      <c r="AW221">
        <f>IF(ISNUMBER(SEARCH(SUBSTITUTE(AW$1,RIGHT(AW$1,2),""),VLOOKUP($D221,素材!$1:$1016,COLUMN($F$1),FALSE))),VLOOKUP($C221,武器!$1:$998,COLUMN($O$1),FALSE)*VLOOKUP($D221,素材!$1:$1016,COLUMN($E$1),FALSE)/(LEN(VLOOKUP($D221,素材!$1:$1016,COLUMN($F$1),FALSE)) - LEN(SUBSTITUTE(VLOOKUP($D221,素材!$1:$1016,COLUMN($F$1),FALSE), "・", 0)) + 1), 0)</f>
        <v>0</v>
      </c>
      <c r="AX221">
        <f>IF(ISNUMBER(SEARCH(SUBSTITUTE(AX$1,RIGHT(AX$1,2),""),VLOOKUP($D221,素材!$1:$1016,COLUMN($F$1),FALSE))),VLOOKUP($C221,武器!$1:$998,COLUMN($O$1),FALSE)*VLOOKUP($D221,素材!$1:$1016,COLUMN($E$1),FALSE)/(LEN(VLOOKUP($D221,素材!$1:$1016,COLUMN($F$1),FALSE)) - LEN(SUBSTITUTE(VLOOKUP($D221,素材!$1:$1016,COLUMN($F$1),FALSE), "・", 0)) + 1), 0)</f>
        <v>0</v>
      </c>
      <c r="AY221">
        <f>IF(ISNUMBER(SEARCH(SUBSTITUTE(AY$1,RIGHT(AY$1,2),""),VLOOKUP($D221,素材!$1:$1016,COLUMN($F$1),FALSE))),VLOOKUP($C221,武器!$1:$998,COLUMN($O$1),FALSE)*VLOOKUP($D221,素材!$1:$1016,COLUMN($E$1),FALSE)/(LEN(VLOOKUP($D221,素材!$1:$1016,COLUMN($F$1),FALSE)) - LEN(SUBSTITUTE(VLOOKUP($D221,素材!$1:$1016,COLUMN($F$1),FALSE), "・", 0)) + 1), 0)</f>
        <v>0</v>
      </c>
      <c r="AZ221">
        <f>IF(ISNUMBER(SEARCH(SUBSTITUTE(AZ$1,RIGHT(AZ$1,2),""),VLOOKUP($D221,素材!$1:$1016,COLUMN($F$1),FALSE))),VLOOKUP($C221,武器!$1:$998,COLUMN($O$1),FALSE)*VLOOKUP($D221,素材!$1:$1016,COLUMN($E$1),FALSE)/(LEN(VLOOKUP($D221,素材!$1:$1016,COLUMN($F$1),FALSE)) - LEN(SUBSTITUTE(VLOOKUP($D221,素材!$1:$1016,COLUMN($F$1),FALSE), "・", 0)) + 1), 0)</f>
        <v>0</v>
      </c>
      <c r="BA221">
        <f>IF(ISNUMBER(SEARCH(SUBSTITUTE(BA$1,RIGHT(BA$1,2),""),VLOOKUP($D221,素材!$1:$1016,COLUMN($F$1),FALSE))),VLOOKUP($C221,武器!$1:$998,COLUMN($O$1),FALSE)*VLOOKUP($D221,素材!$1:$1016,COLUMN($E$1),FALSE)/(LEN(VLOOKUP($D221,素材!$1:$1016,COLUMN($F$1),FALSE)) - LEN(SUBSTITUTE(VLOOKUP($D221,素材!$1:$1016,COLUMN($F$1),FALSE), "・", 0)) + 1), 0)</f>
        <v>0</v>
      </c>
      <c r="BB221">
        <f>IF(ISNUMBER(SEARCH(SUBSTITUTE(BB$1,RIGHT(BB$1,2),""),VLOOKUP($D221,素材!$1:$1016,COLUMN($F$1),FALSE))),VLOOKUP($C221,武器!$1:$998,COLUMN($O$1),FALSE)*VLOOKUP($D221,素材!$1:$1016,COLUMN($E$1),FALSE)/(LEN(VLOOKUP($D221,素材!$1:$1016,COLUMN($F$1),FALSE)) - LEN(SUBSTITUTE(VLOOKUP($D221,素材!$1:$1016,COLUMN($F$1),FALSE), "・", 0)) + 1), 0)</f>
        <v>0</v>
      </c>
      <c r="BC221">
        <f>IF(ISNUMBER(SEARCH(SUBSTITUTE(BC$1,RIGHT(BC$1,2),""),VLOOKUP($D221,素材!$1:$1016,COLUMN($F$1),FALSE))),VLOOKUP($C221,武器!$1:$998,COLUMN($O$1),FALSE)*VLOOKUP($D221,素材!$1:$1016,COLUMN($E$1),FALSE)/(LEN(VLOOKUP($D221,素材!$1:$1016,COLUMN($F$1),FALSE)) - LEN(SUBSTITUTE(VLOOKUP($D221,素材!$1:$1016,COLUMN($F$1),FALSE), "・", 0)) + 1), 0)</f>
        <v>0</v>
      </c>
      <c r="BD221">
        <f>IF(ISNUMBER(SEARCH(SUBSTITUTE(BD$1,RIGHT(BD$1,2),""),VLOOKUP($D221,素材!$1:$1016,COLUMN($F$1),FALSE))),VLOOKUP($C221,武器!$1:$998,COLUMN($O$1),FALSE)*VLOOKUP($D221,素材!$1:$1016,COLUMN($E$1),FALSE)/(LEN(VLOOKUP($D221,素材!$1:$1016,COLUMN($F$1),FALSE)) - LEN(SUBSTITUTE(VLOOKUP($D221,素材!$1:$1016,COLUMN($F$1),FALSE), "・", 0)) + 1), 0)</f>
        <v>0</v>
      </c>
      <c r="BE221">
        <f>IF(ISNUMBER(SEARCH(SUBSTITUTE(BE$1,RIGHT(BE$1,2),""),VLOOKUP($D221,素材!$1:$1016,COLUMN($F$1),FALSE))),VLOOKUP($C221,武器!$1:$998,COLUMN($O$1),FALSE)*VLOOKUP($D221,素材!$1:$1016,COLUMN($E$1),FALSE)/(LEN(VLOOKUP($D221,素材!$1:$1016,COLUMN($F$1),FALSE)) - LEN(SUBSTITUTE(VLOOKUP($D221,素材!$1:$1016,COLUMN($F$1),FALSE), "・", 0)) + 1), 0)</f>
        <v>0</v>
      </c>
      <c r="CL221">
        <f>SUM(G221:I221)</f>
        <v>19</v>
      </c>
      <c r="CM221" s="22" t="str">
        <f>IF(E221="武器",IF(J221-1&gt;SUM(G221:I221),"盾",IF(MAX(G221:I221)=G221,"切断",IF(MAX(G221:I221)=H221,"貫通",IF(MAX(G221:I221)=I221,"打撃","射撃")))),E221)&amp;".webp"</f>
        <v>杖.webp</v>
      </c>
      <c r="CN221">
        <f>IFERROR(VLOOKUP($C221,武器!$1:$998,COLUMN(V$1),FALSE)*VLOOKUP($D221,素材!$1:$1016,COLUMN(N$1),FALSE)+IF(CI221="",0,VLOOKUP($CI221,装強!$1:$1008,COLUMN($CK$1),FALSE)),"")</f>
        <v>3000</v>
      </c>
      <c r="CO221">
        <f>VLOOKUP(D221,素材!$A:$O,COLUMN(素材!O$1),FALSE)</f>
        <v>0</v>
      </c>
      <c r="CP221" t="str">
        <f>VLOOKUP(C221,武器!$A:$W,COLUMN(武器!W$1),FALSE)</f>
        <v>杖。バランスの取れた魔法武器。</v>
      </c>
      <c r="CR221" t="str">
        <f t="shared" si="29"/>
        <v>e_221</v>
      </c>
      <c r="CS221">
        <f t="shared" si="30"/>
        <v>300000</v>
      </c>
    </row>
    <row r="222" spans="1:97" outlineLevel="1" x14ac:dyDescent="0.4">
      <c r="A222" t="str">
        <f t="shared" ref="A222:A253" si="31">D222&amp;"の"&amp;C222</f>
        <v>冷気鉄の長杖</v>
      </c>
      <c r="B222" t="str">
        <f>IFERROR(VLOOKUP($D222,素材!$1:$1016,COLUMN($B$1),FALSE)&amp;"・"&amp;VLOOKUP($C222,武器!$1:$998,COLUMN(B$1),FALSE),"")</f>
        <v>ドゥララン・スタッフ</v>
      </c>
      <c r="C222" t="s">
        <v>215</v>
      </c>
      <c r="D222" s="24" t="s">
        <v>243</v>
      </c>
      <c r="E222" t="str">
        <f>IFERROR(VLOOKUP(C222,武器!$1:$998,COLUMN(C$1),FALSE),"")</f>
        <v>杖</v>
      </c>
      <c r="F222">
        <f>IFERROR(ROUNDDOWN((VLOOKUP($C222,武器!$1:$998,COLUMN(D$1),FALSE)+IFERROR(VLOOKUP($CI222,装強!$1:$999,COLUMN(F$1),FALSE),0))*VLOOKUP($D222,素材!$1:$1016,COLUMN(D$1),FALSE),0),"")</f>
        <v>115</v>
      </c>
      <c r="G222">
        <f>IFERROR(ROUNDDOWN((VLOOKUP($C222,武器!$1:$998,COLUMN(E$1),FALSE)+IFERROR(VLOOKUP($CI222,装強!$1:$999,COLUMN(G$1),FALSE),0))*VLOOKUP($D222,素材!$1:$1016,COLUMN($E$1),FALSE),0),"")</f>
        <v>0</v>
      </c>
      <c r="H222">
        <f>IFERROR(ROUNDDOWN((VLOOKUP($C222,武器!$1:$998,COLUMN(F$1),FALSE)+IFERROR(VLOOKUP($CI222,装強!$1:$999,COLUMN(H$1),FALSE),0))*VLOOKUP($D222,素材!$1:$1016,COLUMN($E$1),FALSE),0),"")</f>
        <v>6</v>
      </c>
      <c r="I222">
        <f>IFERROR(ROUNDDOWN((VLOOKUP($C222,武器!$1:$998,COLUMN(G$1),FALSE)+IFERROR(VLOOKUP($CI222,装強!$1:$999,COLUMN(I$1),FALSE),0))*VLOOKUP($D222,素材!$1:$1016,COLUMN($E$1),FALSE),0),"")</f>
        <v>16</v>
      </c>
      <c r="J222">
        <f>IFERROR(ROUNDDOWN((VLOOKUP($C222,武器!$1:$998,COLUMN(H$1),FALSE)+IFERROR(VLOOKUP($CI222,装強!$1:$999,COLUMN(J$1),FALSE),0))*VLOOKUP($D222,素材!$1:$1016,COLUMN($E$1),FALSE),0),"")</f>
        <v>19</v>
      </c>
      <c r="K222">
        <f>IFERROR(ROUNDDOWN((VLOOKUP($C222,武器!$1:$998,COLUMN(I$1),FALSE)+IFERROR(VLOOKUP($CI222,装強!$1:$999,COLUMN(K$1),FALSE),0))*VLOOKUP($D222,素材!$1:$1016,COLUMN($E$1),FALSE),0),"")</f>
        <v>0</v>
      </c>
      <c r="L222" t="str">
        <f>IFERROR(VLOOKUP($D222,素材!$1:$1016,COLUMN($F$1),FALSE),"")</f>
        <v>氷</v>
      </c>
      <c r="M222">
        <f>IFERROR(VLOOKUP($C222,武器!$1:$998,COLUMN(AA$1),FALSE)*VLOOKUP($D222,素材!$1:$1016,COLUMN($G$1),FALSE),"")</f>
        <v>38.5</v>
      </c>
      <c r="N222">
        <f>IFERROR(VLOOKUP($C222,武器!$1:$998,COLUMN(I$1),FALSE),"")</f>
        <v>0</v>
      </c>
      <c r="O222" s="23">
        <f>IFERROR((VLOOKUP($C222,武器!$1:$998,COLUMN(K$1),FALSE)+VLOOKUP($D222,素材!$1:$1016,COLUMN(H$1),FALSE))*100+IFERROR(VLOOKUP($CI222,装強!$1:$999,COLUMN(O$1),FALSE),0),"")</f>
        <v>5</v>
      </c>
      <c r="P222" s="23">
        <f>IFERROR((VLOOKUP($C222,武器!$1:$998,COLUMN(L$1),FALSE)+VLOOKUP($D222,素材!$1:$1016,COLUMN(I$1),FALSE))*100+IFERROR(VLOOKUP($CI222,装強!$1:$999,COLUMN(P$1),FALSE),0),"")</f>
        <v>150</v>
      </c>
      <c r="Q222">
        <f>IFERROR(ROUNDUP(VLOOKUP($C222,武器!$1:$998,COLUMN(M$1),FALSE)*(VLOOKUP($D222,素材!$1:$1002,COLUMN(D$1),FALSE)/100),1),"")</f>
        <v>-4</v>
      </c>
      <c r="R222">
        <f>IFERROR(ROUNDUP(VLOOKUP($C222,武器!$1:$998,COLUMN(N$1),FALSE)*(VLOOKUP($D222,素材!$1:$1002,COLUMN(D$1),FALSE)/100),1),"")</f>
        <v>-4</v>
      </c>
      <c r="S222">
        <f>IFERROR(VLOOKUP($C222,武器!$1:$998,COLUMN(P$1),FALSE),"")</f>
        <v>0</v>
      </c>
      <c r="T222">
        <f>IFERROR(VLOOKUP($C222,武器!$1:$998,COLUMN(Q$1),FALSE),"")</f>
        <v>0</v>
      </c>
      <c r="U222">
        <f>IFERROR(VLOOKUP($C222,武器!$1:$998,COLUMN(R$1),FALSE),"")</f>
        <v>0</v>
      </c>
      <c r="V222">
        <f>IFERROR(VLOOKUP($C222,武器!$1:$998,COLUMN(Q$1),FALSE),"")</f>
        <v>0</v>
      </c>
      <c r="W222" t="str">
        <f>IFERROR(VLOOKUP($C222,武器!$1:$998,COLUMN(T$1),FALSE),"")</f>
        <v>A</v>
      </c>
      <c r="Y222" t="str">
        <f>IFERROR(VLOOKUP($C222,武器!$1:$998,COLUMN(U$1),FALSE),"")</f>
        <v>魔法無詠唱Ⅲ</v>
      </c>
      <c r="Z222">
        <f>IFERROR(ROUNDUP(VLOOKUP($C222,武器!$1:$998,COLUMN(O$1),FALSE)*VLOOKUP($D222,素材!$1:$1016,COLUMN(E$1),FALSE),1),"")</f>
        <v>0</v>
      </c>
      <c r="AA222">
        <f>IF(ISNUMBER(SEARCH(SUBSTITUTE(AA$1,RIGHT(AA$1,2),""),VLOOKUP($D222,素材!$1:$1016,COLUMN($F$1),FALSE))),VLOOKUP($C222,武器!$1:$998,COLUMN($O$1),FALSE)*VLOOKUP($D222,素材!$1:$1016,COLUMN($E$1),FALSE)/(LEN(VLOOKUP($D222,素材!$1:$1016,COLUMN($F$1),FALSE)) - LEN(SUBSTITUTE(VLOOKUP($D222,素材!$1:$1016,COLUMN($F$1),FALSE), "・", 0)) + 1), 0)</f>
        <v>0</v>
      </c>
      <c r="AB222">
        <f>IF(ISNUMBER(SEARCH(SUBSTITUTE(AB$1,RIGHT(AB$1,2),""),VLOOKUP($D222,素材!$1:$1016,COLUMN($F$1),FALSE))),VLOOKUP($C222,武器!$1:$998,COLUMN($O$1),FALSE)*VLOOKUP($D222,素材!$1:$1016,COLUMN($E$1),FALSE)/(LEN(VLOOKUP($D222,素材!$1:$1016,COLUMN($F$1),FALSE)) - LEN(SUBSTITUTE(VLOOKUP($D222,素材!$1:$1016,COLUMN($F$1),FALSE), "・", 0)) + 1), 0)</f>
        <v>0</v>
      </c>
      <c r="AC222">
        <f>IF(ISNUMBER(SEARCH(SUBSTITUTE(AC$1,RIGHT(AC$1,2),""),VLOOKUP($D222,素材!$1:$1016,COLUMN($F$1),FALSE))),VLOOKUP($C222,武器!$1:$998,COLUMN($O$1),FALSE)*VLOOKUP($D222,素材!$1:$1016,COLUMN($E$1),FALSE)/(LEN(VLOOKUP($D222,素材!$1:$1016,COLUMN($F$1),FALSE)) - LEN(SUBSTITUTE(VLOOKUP($D222,素材!$1:$1016,COLUMN($F$1),FALSE), "・", 0)) + 1), 0)</f>
        <v>0</v>
      </c>
      <c r="AD222">
        <f>IF(ISNUMBER(SEARCH(SUBSTITUTE(AD$1,RIGHT(AD$1,2),""),VLOOKUP($D222,素材!$1:$1016,COLUMN($F$1),FALSE))),VLOOKUP($C222,武器!$1:$998,COLUMN($O$1),FALSE)*VLOOKUP($D222,素材!$1:$1016,COLUMN($E$1),FALSE)/(LEN(VLOOKUP($D222,素材!$1:$1016,COLUMN($F$1),FALSE)) - LEN(SUBSTITUTE(VLOOKUP($D222,素材!$1:$1016,COLUMN($F$1),FALSE), "・", 0)) + 1), 0)</f>
        <v>0</v>
      </c>
      <c r="AE222">
        <f>IF(ISNUMBER(SEARCH(SUBSTITUTE(AE$1,RIGHT(AE$1,2),""),VLOOKUP($D222,素材!$1:$1016,COLUMN($F$1),FALSE))),VLOOKUP($C222,武器!$1:$998,COLUMN($O$1),FALSE)*VLOOKUP($D222,素材!$1:$1016,COLUMN($E$1),FALSE)/(LEN(VLOOKUP($D222,素材!$1:$1016,COLUMN($F$1),FALSE)) - LEN(SUBSTITUTE(VLOOKUP($D222,素材!$1:$1016,COLUMN($F$1),FALSE), "・", 0)) + 1), 0)</f>
        <v>0</v>
      </c>
      <c r="AF222">
        <f>IF(ISNUMBER(SEARCH(SUBSTITUTE(AF$1,RIGHT(AF$1,2),""),VLOOKUP($D222,素材!$1:$1016,COLUMN($F$1),FALSE))),VLOOKUP($C222,武器!$1:$998,COLUMN($O$1),FALSE)*VLOOKUP($D222,素材!$1:$1016,COLUMN($E$1),FALSE)/(LEN(VLOOKUP($D222,素材!$1:$1016,COLUMN($F$1),FALSE)) - LEN(SUBSTITUTE(VLOOKUP($D222,素材!$1:$1016,COLUMN($F$1),FALSE), "・", 0)) + 1), 0)</f>
        <v>0</v>
      </c>
      <c r="AG222">
        <f>IF(ISNUMBER(SEARCH(SUBSTITUTE(AG$1,RIGHT(AG$1,2),""),VLOOKUP($D222,素材!$1:$1016,COLUMN($F$1),FALSE))),VLOOKUP($C222,武器!$1:$998,COLUMN($O$1),FALSE)*VLOOKUP($D222,素材!$1:$1016,COLUMN($E$1),FALSE)/(LEN(VLOOKUP($D222,素材!$1:$1016,COLUMN($F$1),FALSE)) - LEN(SUBSTITUTE(VLOOKUP($D222,素材!$1:$1016,COLUMN($F$1),FALSE), "・", 0)) + 1), 0)</f>
        <v>0</v>
      </c>
      <c r="AH222">
        <f>IF(ISNUMBER(SEARCH(SUBSTITUTE(AH$1,RIGHT(AH$1,2),""),VLOOKUP($D222,素材!$1:$1016,COLUMN($F$1),FALSE))),VLOOKUP($C222,武器!$1:$998,COLUMN($O$1),FALSE)*VLOOKUP($D222,素材!$1:$1016,COLUMN($E$1),FALSE)/(LEN(VLOOKUP($D222,素材!$1:$1016,COLUMN($F$1),FALSE)) - LEN(SUBSTITUTE(VLOOKUP($D222,素材!$1:$1016,COLUMN($F$1),FALSE), "・", 0)) + 1), 0)</f>
        <v>0</v>
      </c>
      <c r="AI222">
        <f>IF(ISNUMBER(SEARCH(SUBSTITUTE(AI$1,RIGHT(AI$1,2),""),VLOOKUP($D222,素材!$1:$1016,COLUMN($F$1),FALSE))),VLOOKUP($C222,武器!$1:$998,COLUMN($O$1),FALSE)*VLOOKUP($D222,素材!$1:$1016,COLUMN($E$1),FALSE)/(LEN(VLOOKUP($D222,素材!$1:$1016,COLUMN($F$1),FALSE)) - LEN(SUBSTITUTE(VLOOKUP($D222,素材!$1:$1016,COLUMN($F$1),FALSE), "・", 0)) + 1), 0)</f>
        <v>0</v>
      </c>
      <c r="AJ222">
        <f>IF(ISNUMBER(SEARCH(SUBSTITUTE(AJ$1,RIGHT(AJ$1,2),""),VLOOKUP($D222,素材!$1:$1016,COLUMN($F$1),FALSE))),VLOOKUP($C222,武器!$1:$998,COLUMN($O$1),FALSE)*VLOOKUP($D222,素材!$1:$1016,COLUMN($E$1),FALSE)/(LEN(VLOOKUP($D222,素材!$1:$1016,COLUMN($F$1),FALSE)) - LEN(SUBSTITUTE(VLOOKUP($D222,素材!$1:$1016,COLUMN($F$1),FALSE), "・", 0)) + 1), 0)</f>
        <v>0</v>
      </c>
      <c r="AK222">
        <f>IF(ISNUMBER(SEARCH(SUBSTITUTE(AK$1,RIGHT(AK$1,2),""),VLOOKUP($D222,素材!$1:$1016,COLUMN($F$1),FALSE))),VLOOKUP($C222,武器!$1:$998,COLUMN($O$1),FALSE)*VLOOKUP($D222,素材!$1:$1016,COLUMN($E$1),FALSE)/(LEN(VLOOKUP($D222,素材!$1:$1016,COLUMN($F$1),FALSE)) - LEN(SUBSTITUTE(VLOOKUP($D222,素材!$1:$1016,COLUMN($F$1),FALSE), "・", 0)) + 1), 0)</f>
        <v>0</v>
      </c>
      <c r="AL222">
        <f>IF(ISNUMBER(SEARCH(SUBSTITUTE(AL$1,RIGHT(AL$1,2),""),VLOOKUP($D222,素材!$1:$1016,COLUMN($F$1),FALSE))),VLOOKUP($C222,武器!$1:$998,COLUMN($O$1),FALSE)*VLOOKUP($D222,素材!$1:$1016,COLUMN($E$1),FALSE)/(LEN(VLOOKUP($D222,素材!$1:$1016,COLUMN($F$1),FALSE)) - LEN(SUBSTITUTE(VLOOKUP($D222,素材!$1:$1016,COLUMN($F$1),FALSE), "・", 0)) + 1), 0)</f>
        <v>0</v>
      </c>
      <c r="AM222">
        <f>IF(ISNUMBER(SEARCH(SUBSTITUTE(AM$1,RIGHT(AM$1,2),""),VLOOKUP($D222,素材!$1:$1016,COLUMN($F$1),FALSE))),VLOOKUP($C222,武器!$1:$998,COLUMN($O$1),FALSE)*VLOOKUP($D222,素材!$1:$1016,COLUMN($E$1),FALSE)/(LEN(VLOOKUP($D222,素材!$1:$1016,COLUMN($F$1),FALSE)) - LEN(SUBSTITUTE(VLOOKUP($D222,素材!$1:$1016,COLUMN($F$1),FALSE), "・", 0)) + 1), 0)</f>
        <v>0</v>
      </c>
      <c r="AN222">
        <f>IF(ISNUMBER(SEARCH(SUBSTITUTE(AN$1,RIGHT(AN$1,2),""),VLOOKUP($D222,素材!$1:$1016,COLUMN($F$1),FALSE))),VLOOKUP($C222,武器!$1:$998,COLUMN($O$1),FALSE)*VLOOKUP($D222,素材!$1:$1016,COLUMN($E$1),FALSE)/(LEN(VLOOKUP($D222,素材!$1:$1016,COLUMN($F$1),FALSE)) - LEN(SUBSTITUTE(VLOOKUP($D222,素材!$1:$1016,COLUMN($F$1),FALSE), "・", 0)) + 1), 0)</f>
        <v>0</v>
      </c>
      <c r="AO222">
        <f>IF(ISNUMBER(SEARCH(SUBSTITUTE(AO$1,RIGHT(AO$1,2),""),VLOOKUP($D222,素材!$1:$1016,COLUMN($F$1),FALSE))),VLOOKUP($C222,武器!$1:$998,COLUMN($O$1),FALSE)*VLOOKUP($D222,素材!$1:$1016,COLUMN($E$1),FALSE)/(LEN(VLOOKUP($D222,素材!$1:$1016,COLUMN($F$1),FALSE)) - LEN(SUBSTITUTE(VLOOKUP($D222,素材!$1:$1016,COLUMN($F$1),FALSE), "・", 0)) + 1), 0)</f>
        <v>0</v>
      </c>
      <c r="AP222">
        <f>IF(ISNUMBER(SEARCH(SUBSTITUTE(AP$1,RIGHT(AP$1,2),""),VLOOKUP($D222,素材!$1:$1016,COLUMN($F$1),FALSE))),VLOOKUP($C222,武器!$1:$998,COLUMN($O$1),FALSE)*VLOOKUP($D222,素材!$1:$1016,COLUMN($E$1),FALSE)/(LEN(VLOOKUP($D222,素材!$1:$1016,COLUMN($F$1),FALSE)) - LEN(SUBSTITUTE(VLOOKUP($D222,素材!$1:$1016,COLUMN($F$1),FALSE), "・", 0)) + 1), 0)</f>
        <v>0</v>
      </c>
      <c r="AQ222">
        <f>IF(ISNUMBER(SEARCH(SUBSTITUTE(AQ$1,RIGHT(AQ$1,2),""),VLOOKUP($D222,素材!$1:$1016,COLUMN($F$1),FALSE))),VLOOKUP($C222,武器!$1:$998,COLUMN($O$1),FALSE)*VLOOKUP($D222,素材!$1:$1016,COLUMN($E$1),FALSE)/(LEN(VLOOKUP($D222,素材!$1:$1016,COLUMN($F$1),FALSE)) - LEN(SUBSTITUTE(VLOOKUP($D222,素材!$1:$1016,COLUMN($F$1),FALSE), "・", 0)) + 1), 0)</f>
        <v>0</v>
      </c>
      <c r="AR222">
        <f>IF(ISNUMBER(SEARCH(SUBSTITUTE(AR$1,RIGHT(AR$1,2),""),VLOOKUP($D222,素材!$1:$1016,COLUMN($F$1),FALSE))),VLOOKUP($C222,武器!$1:$998,COLUMN($O$1),FALSE)*VLOOKUP($D222,素材!$1:$1016,COLUMN($E$1),FALSE)/(LEN(VLOOKUP($D222,素材!$1:$1016,COLUMN($F$1),FALSE)) - LEN(SUBSTITUTE(VLOOKUP($D222,素材!$1:$1016,COLUMN($F$1),FALSE), "・", 0)) + 1), 0)</f>
        <v>0</v>
      </c>
      <c r="AS222">
        <f>IF(ISNUMBER(SEARCH(SUBSTITUTE(AS$1,RIGHT(AS$1,2),""),VLOOKUP($D222,素材!$1:$1016,COLUMN($F$1),FALSE))),VLOOKUP($C222,武器!$1:$998,COLUMN($O$1),FALSE)*VLOOKUP($D222,素材!$1:$1016,COLUMN($E$1),FALSE)/(LEN(VLOOKUP($D222,素材!$1:$1016,COLUMN($F$1),FALSE)) - LEN(SUBSTITUTE(VLOOKUP($D222,素材!$1:$1016,COLUMN($F$1),FALSE), "・", 0)) + 1), 0)</f>
        <v>0</v>
      </c>
      <c r="AT222">
        <f>IF(ISNUMBER(SEARCH(SUBSTITUTE(AT$1,RIGHT(AT$1,2),""),VLOOKUP($D222,素材!$1:$1016,COLUMN($F$1),FALSE))),VLOOKUP($C222,武器!$1:$998,COLUMN($O$1),FALSE)*VLOOKUP($D222,素材!$1:$1016,COLUMN($E$1),FALSE)/(LEN(VLOOKUP($D222,素材!$1:$1016,COLUMN($F$1),FALSE)) - LEN(SUBSTITUTE(VLOOKUP($D222,素材!$1:$1016,COLUMN($F$1),FALSE), "・", 0)) + 1), 0)</f>
        <v>0</v>
      </c>
      <c r="AU222">
        <f>IF(ISNUMBER(SEARCH(SUBSTITUTE(AU$1,RIGHT(AU$1,2),""),VLOOKUP($D222,素材!$1:$1016,COLUMN($F$1),FALSE))),VLOOKUP($C222,武器!$1:$998,COLUMN($O$1),FALSE)*VLOOKUP($D222,素材!$1:$1016,COLUMN($E$1),FALSE)/(LEN(VLOOKUP($D222,素材!$1:$1016,COLUMN($F$1),FALSE)) - LEN(SUBSTITUTE(VLOOKUP($D222,素材!$1:$1016,COLUMN($F$1),FALSE), "・", 0)) + 1), 0)</f>
        <v>0</v>
      </c>
      <c r="AV222">
        <f>IF(ISNUMBER(SEARCH(SUBSTITUTE(AV$1,RIGHT(AV$1,2),""),VLOOKUP($D222,素材!$1:$1016,COLUMN($F$1),FALSE))),VLOOKUP($C222,武器!$1:$998,COLUMN($O$1),FALSE)*VLOOKUP($D222,素材!$1:$1016,COLUMN($E$1),FALSE)/(LEN(VLOOKUP($D222,素材!$1:$1016,COLUMN($F$1),FALSE)) - LEN(SUBSTITUTE(VLOOKUP($D222,素材!$1:$1016,COLUMN($F$1),FALSE), "・", 0)) + 1), 0)</f>
        <v>0</v>
      </c>
      <c r="AW222">
        <f>IF(ISNUMBER(SEARCH(SUBSTITUTE(AW$1,RIGHT(AW$1,2),""),VLOOKUP($D222,素材!$1:$1016,COLUMN($F$1),FALSE))),VLOOKUP($C222,武器!$1:$998,COLUMN($O$1),FALSE)*VLOOKUP($D222,素材!$1:$1016,COLUMN($E$1),FALSE)/(LEN(VLOOKUP($D222,素材!$1:$1016,COLUMN($F$1),FALSE)) - LEN(SUBSTITUTE(VLOOKUP($D222,素材!$1:$1016,COLUMN($F$1),FALSE), "・", 0)) + 1), 0)</f>
        <v>0</v>
      </c>
      <c r="AX222">
        <f>IF(ISNUMBER(SEARCH(SUBSTITUTE(AX$1,RIGHT(AX$1,2),""),VLOOKUP($D222,素材!$1:$1016,COLUMN($F$1),FALSE))),VLOOKUP($C222,武器!$1:$998,COLUMN($O$1),FALSE)*VLOOKUP($D222,素材!$1:$1016,COLUMN($E$1),FALSE)/(LEN(VLOOKUP($D222,素材!$1:$1016,COLUMN($F$1),FALSE)) - LEN(SUBSTITUTE(VLOOKUP($D222,素材!$1:$1016,COLUMN($F$1),FALSE), "・", 0)) + 1), 0)</f>
        <v>0</v>
      </c>
      <c r="AY222">
        <f>IF(ISNUMBER(SEARCH(SUBSTITUTE(AY$1,RIGHT(AY$1,2),""),VLOOKUP($D222,素材!$1:$1016,COLUMN($F$1),FALSE))),VLOOKUP($C222,武器!$1:$998,COLUMN($O$1),FALSE)*VLOOKUP($D222,素材!$1:$1016,COLUMN($E$1),FALSE)/(LEN(VLOOKUP($D222,素材!$1:$1016,COLUMN($F$1),FALSE)) - LEN(SUBSTITUTE(VLOOKUP($D222,素材!$1:$1016,COLUMN($F$1),FALSE), "・", 0)) + 1), 0)</f>
        <v>0</v>
      </c>
      <c r="AZ222">
        <f>IF(ISNUMBER(SEARCH(SUBSTITUTE(AZ$1,RIGHT(AZ$1,2),""),VLOOKUP($D222,素材!$1:$1016,COLUMN($F$1),FALSE))),VLOOKUP($C222,武器!$1:$998,COLUMN($O$1),FALSE)*VLOOKUP($D222,素材!$1:$1016,COLUMN($E$1),FALSE)/(LEN(VLOOKUP($D222,素材!$1:$1016,COLUMN($F$1),FALSE)) - LEN(SUBSTITUTE(VLOOKUP($D222,素材!$1:$1016,COLUMN($F$1),FALSE), "・", 0)) + 1), 0)</f>
        <v>0</v>
      </c>
      <c r="BA222">
        <f>IF(ISNUMBER(SEARCH(SUBSTITUTE(BA$1,RIGHT(BA$1,2),""),VLOOKUP($D222,素材!$1:$1016,COLUMN($F$1),FALSE))),VLOOKUP($C222,武器!$1:$998,COLUMN($O$1),FALSE)*VLOOKUP($D222,素材!$1:$1016,COLUMN($E$1),FALSE)/(LEN(VLOOKUP($D222,素材!$1:$1016,COLUMN($F$1),FALSE)) - LEN(SUBSTITUTE(VLOOKUP($D222,素材!$1:$1016,COLUMN($F$1),FALSE), "・", 0)) + 1), 0)</f>
        <v>0</v>
      </c>
      <c r="BB222">
        <f>IF(ISNUMBER(SEARCH(SUBSTITUTE(BB$1,RIGHT(BB$1,2),""),VLOOKUP($D222,素材!$1:$1016,COLUMN($F$1),FALSE))),VLOOKUP($C222,武器!$1:$998,COLUMN($O$1),FALSE)*VLOOKUP($D222,素材!$1:$1016,COLUMN($E$1),FALSE)/(LEN(VLOOKUP($D222,素材!$1:$1016,COLUMN($F$1),FALSE)) - LEN(SUBSTITUTE(VLOOKUP($D222,素材!$1:$1016,COLUMN($F$1),FALSE), "・", 0)) + 1), 0)</f>
        <v>0</v>
      </c>
      <c r="BC222">
        <f>IF(ISNUMBER(SEARCH(SUBSTITUTE(BC$1,RIGHT(BC$1,2),""),VLOOKUP($D222,素材!$1:$1016,COLUMN($F$1),FALSE))),VLOOKUP($C222,武器!$1:$998,COLUMN($O$1),FALSE)*VLOOKUP($D222,素材!$1:$1016,COLUMN($E$1),FALSE)/(LEN(VLOOKUP($D222,素材!$1:$1016,COLUMN($F$1),FALSE)) - LEN(SUBSTITUTE(VLOOKUP($D222,素材!$1:$1016,COLUMN($F$1),FALSE), "・", 0)) + 1), 0)</f>
        <v>0</v>
      </c>
      <c r="BD222">
        <f>IF(ISNUMBER(SEARCH(SUBSTITUTE(BD$1,RIGHT(BD$1,2),""),VLOOKUP($D222,素材!$1:$1016,COLUMN($F$1),FALSE))),VLOOKUP($C222,武器!$1:$998,COLUMN($O$1),FALSE)*VLOOKUP($D222,素材!$1:$1016,COLUMN($E$1),FALSE)/(LEN(VLOOKUP($D222,素材!$1:$1016,COLUMN($F$1),FALSE)) - LEN(SUBSTITUTE(VLOOKUP($D222,素材!$1:$1016,COLUMN($F$1),FALSE), "・", 0)) + 1), 0)</f>
        <v>0</v>
      </c>
      <c r="BE222">
        <f>IF(ISNUMBER(SEARCH(SUBSTITUTE(BE$1,RIGHT(BE$1,2),""),VLOOKUP($D222,素材!$1:$1016,COLUMN($F$1),FALSE))),VLOOKUP($C222,武器!$1:$998,COLUMN($O$1),FALSE)*VLOOKUP($D222,素材!$1:$1016,COLUMN($E$1),FALSE)/(LEN(VLOOKUP($D222,素材!$1:$1016,COLUMN($F$1),FALSE)) - LEN(SUBSTITUTE(VLOOKUP($D222,素材!$1:$1016,COLUMN($F$1),FALSE), "・", 0)) + 1), 0)</f>
        <v>0</v>
      </c>
      <c r="CL222">
        <f>SUM(G222:I222)</f>
        <v>22</v>
      </c>
      <c r="CM222" s="22" t="str">
        <f>IF(E222="武器",IF(J222-1&gt;SUM(G222:I222),"盾",IF(MAX(G222:I222)=G222,"切断",IF(MAX(G222:I222)=H222,"貫通",IF(MAX(G222:I222)=I222,"打撃","射撃")))),E222)&amp;".webp"</f>
        <v>杖.webp</v>
      </c>
      <c r="CN222">
        <f>IFERROR(VLOOKUP($C222,武器!$1:$998,COLUMN(V$1),FALSE)*VLOOKUP($D222,素材!$1:$1016,COLUMN(N$1),FALSE)+IF(CI222="",0,VLOOKUP($CI222,装強!$1:$1008,COLUMN($CK$1),FALSE)),"")</f>
        <v>4500</v>
      </c>
      <c r="CO222">
        <f>VLOOKUP(D222,素材!$A:$O,COLUMN(素材!O$1),FALSE)</f>
        <v>0</v>
      </c>
      <c r="CP222" t="str">
        <f>VLOOKUP(C222,武器!$A:$W,COLUMN(武器!W$1),FALSE)</f>
        <v>長杖。強力な魔法を扱える杖だが、重い。</v>
      </c>
      <c r="CR222" t="str">
        <f t="shared" si="29"/>
        <v>e_222</v>
      </c>
      <c r="CS222">
        <f t="shared" si="30"/>
        <v>450000</v>
      </c>
    </row>
    <row r="223" spans="1:97" outlineLevel="1" x14ac:dyDescent="0.4">
      <c r="A223" t="str">
        <f t="shared" si="31"/>
        <v>冷気鉄の軽射出弓</v>
      </c>
      <c r="B223" t="str">
        <f>IFERROR(VLOOKUP($D223,素材!$1:$1016,COLUMN($B$1),FALSE)&amp;"・"&amp;VLOOKUP($C223,武器!$1:$998,COLUMN(B$1),FALSE),"")</f>
        <v>ドゥララン・ライトクロスボウ</v>
      </c>
      <c r="C223" t="s">
        <v>214</v>
      </c>
      <c r="D223" s="24" t="s">
        <v>243</v>
      </c>
      <c r="E223" t="str">
        <f>IFERROR(VLOOKUP(C223,武器!$1:$998,COLUMN(C$1),FALSE),"")</f>
        <v>銃</v>
      </c>
      <c r="F223">
        <f>IFERROR(ROUNDDOWN((VLOOKUP($C223,武器!$1:$998,COLUMN(D$1),FALSE)+IFERROR(VLOOKUP($CI223,装強!$1:$999,COLUMN(F$1),FALSE),0))*VLOOKUP($D223,素材!$1:$1016,COLUMN(D$1),FALSE),0),"")</f>
        <v>0</v>
      </c>
      <c r="G223">
        <f>IFERROR(ROUNDDOWN((VLOOKUP($C223,武器!$1:$998,COLUMN(E$1),FALSE)+IFERROR(VLOOKUP($CI223,装強!$1:$999,COLUMN(G$1),FALSE),0))*VLOOKUP($D223,素材!$1:$1016,COLUMN($E$1),FALSE),0),"")</f>
        <v>0</v>
      </c>
      <c r="H223">
        <f>IFERROR(ROUNDDOWN((VLOOKUP($C223,武器!$1:$998,COLUMN(F$1),FALSE)+IFERROR(VLOOKUP($CI223,装強!$1:$999,COLUMN(H$1),FALSE),0))*VLOOKUP($D223,素材!$1:$1016,COLUMN($E$1),FALSE),0),"")</f>
        <v>0</v>
      </c>
      <c r="I223">
        <f>IFERROR(ROUNDDOWN((VLOOKUP($C223,武器!$1:$998,COLUMN(G$1),FALSE)+IFERROR(VLOOKUP($CI223,装強!$1:$999,COLUMN(I$1),FALSE),0))*VLOOKUP($D223,素材!$1:$1016,COLUMN($E$1),FALSE),0),"")</f>
        <v>0</v>
      </c>
      <c r="J223">
        <f>IFERROR(ROUNDDOWN((VLOOKUP($C223,武器!$1:$998,COLUMN(H$1),FALSE)+IFERROR(VLOOKUP($CI223,装強!$1:$999,COLUMN(J$1),FALSE),0))*VLOOKUP($D223,素材!$1:$1016,COLUMN($E$1),FALSE),0),"")</f>
        <v>0</v>
      </c>
      <c r="K223">
        <f>IFERROR(ROUNDDOWN((VLOOKUP($C223,武器!$1:$998,COLUMN(I$1),FALSE)+IFERROR(VLOOKUP($CI223,装強!$1:$999,COLUMN(K$1),FALSE),0))*VLOOKUP($D223,素材!$1:$1016,COLUMN($E$1),FALSE),0),"")</f>
        <v>54</v>
      </c>
      <c r="L223" t="str">
        <f>IFERROR(VLOOKUP($D223,素材!$1:$1016,COLUMN($F$1),FALSE),"")</f>
        <v>氷</v>
      </c>
      <c r="M223">
        <f>IFERROR(VLOOKUP($C223,武器!$1:$998,COLUMN(AA$1),FALSE)*VLOOKUP($D223,素材!$1:$1016,COLUMN($G$1),FALSE),"")</f>
        <v>47.25</v>
      </c>
      <c r="N223">
        <f>IFERROR(VLOOKUP($C223,武器!$1:$998,COLUMN(I$1),FALSE),"")</f>
        <v>2.7</v>
      </c>
      <c r="O223" s="23">
        <f>IFERROR((VLOOKUP($C223,武器!$1:$998,COLUMN(K$1),FALSE)+VLOOKUP($D223,素材!$1:$1016,COLUMN(H$1),FALSE))*100+IFERROR(VLOOKUP($CI223,装強!$1:$999,COLUMN(O$1),FALSE),0),"")</f>
        <v>10</v>
      </c>
      <c r="P223" s="23">
        <f>IFERROR((VLOOKUP($C223,武器!$1:$998,COLUMN(L$1),FALSE)+VLOOKUP($D223,素材!$1:$1016,COLUMN(I$1),FALSE))*100+IFERROR(VLOOKUP($CI223,装強!$1:$999,COLUMN(P$1),FALSE),0),"")</f>
        <v>150</v>
      </c>
      <c r="Q223">
        <f>IFERROR(ROUNDUP(VLOOKUP($C223,武器!$1:$998,COLUMN(M$1),FALSE)*(VLOOKUP($D223,素材!$1:$1002,COLUMN(D$1),FALSE)/100),1),"")</f>
        <v>0</v>
      </c>
      <c r="R223">
        <f>IFERROR(ROUNDUP(VLOOKUP($C223,武器!$1:$998,COLUMN(N$1),FALSE)*(VLOOKUP($D223,素材!$1:$1002,COLUMN(D$1),FALSE)/100),1),"")</f>
        <v>0</v>
      </c>
      <c r="S223">
        <f>IFERROR(VLOOKUP($C223,武器!$1:$998,COLUMN(P$1),FALSE),"")</f>
        <v>0</v>
      </c>
      <c r="T223">
        <f>IFERROR(VLOOKUP($C223,武器!$1:$998,COLUMN(Q$1),FALSE),"")</f>
        <v>1</v>
      </c>
      <c r="U223">
        <f>IFERROR(VLOOKUP($C223,武器!$1:$998,COLUMN(R$1),FALSE),"")</f>
        <v>1</v>
      </c>
      <c r="V223">
        <f>IFERROR(VLOOKUP($C223,武器!$1:$998,COLUMN(Q$1),FALSE),"")</f>
        <v>1</v>
      </c>
      <c r="W223" t="str">
        <f>IFERROR(VLOOKUP($C223,武器!$1:$998,COLUMN(T$1),FALSE),"")</f>
        <v>Q</v>
      </c>
      <c r="Y223">
        <f>IFERROR(VLOOKUP($C223,武器!$1:$998,COLUMN(U$1),FALSE),"")</f>
        <v>0</v>
      </c>
      <c r="Z223">
        <f>IFERROR(ROUNDUP(VLOOKUP($C223,武器!$1:$998,COLUMN(O$1),FALSE)*VLOOKUP($D223,素材!$1:$1016,COLUMN(E$1),FALSE),1),"")</f>
        <v>0</v>
      </c>
      <c r="AA223">
        <f>IF(ISNUMBER(SEARCH(SUBSTITUTE(AA$1,RIGHT(AA$1,2),""),VLOOKUP($D223,素材!$1:$1016,COLUMN($F$1),FALSE))),VLOOKUP($C223,武器!$1:$998,COLUMN($O$1),FALSE)*VLOOKUP($D223,素材!$1:$1016,COLUMN($E$1),FALSE)/(LEN(VLOOKUP($D223,素材!$1:$1016,COLUMN($F$1),FALSE)) - LEN(SUBSTITUTE(VLOOKUP($D223,素材!$1:$1016,COLUMN($F$1),FALSE), "・", 0)) + 1), 0)</f>
        <v>0</v>
      </c>
      <c r="AB223">
        <f>IF(ISNUMBER(SEARCH(SUBSTITUTE(AB$1,RIGHT(AB$1,2),""),VLOOKUP($D223,素材!$1:$1016,COLUMN($F$1),FALSE))),VLOOKUP($C223,武器!$1:$998,COLUMN($O$1),FALSE)*VLOOKUP($D223,素材!$1:$1016,COLUMN($E$1),FALSE)/(LEN(VLOOKUP($D223,素材!$1:$1016,COLUMN($F$1),FALSE)) - LEN(SUBSTITUTE(VLOOKUP($D223,素材!$1:$1016,COLUMN($F$1),FALSE), "・", 0)) + 1), 0)</f>
        <v>0</v>
      </c>
      <c r="AC223">
        <f>IF(ISNUMBER(SEARCH(SUBSTITUTE(AC$1,RIGHT(AC$1,2),""),VLOOKUP($D223,素材!$1:$1016,COLUMN($F$1),FALSE))),VLOOKUP($C223,武器!$1:$998,COLUMN($O$1),FALSE)*VLOOKUP($D223,素材!$1:$1016,COLUMN($E$1),FALSE)/(LEN(VLOOKUP($D223,素材!$1:$1016,COLUMN($F$1),FALSE)) - LEN(SUBSTITUTE(VLOOKUP($D223,素材!$1:$1016,COLUMN($F$1),FALSE), "・", 0)) + 1), 0)</f>
        <v>0</v>
      </c>
      <c r="AD223">
        <f>IF(ISNUMBER(SEARCH(SUBSTITUTE(AD$1,RIGHT(AD$1,2),""),VLOOKUP($D223,素材!$1:$1016,COLUMN($F$1),FALSE))),VLOOKUP($C223,武器!$1:$998,COLUMN($O$1),FALSE)*VLOOKUP($D223,素材!$1:$1016,COLUMN($E$1),FALSE)/(LEN(VLOOKUP($D223,素材!$1:$1016,COLUMN($F$1),FALSE)) - LEN(SUBSTITUTE(VLOOKUP($D223,素材!$1:$1016,COLUMN($F$1),FALSE), "・", 0)) + 1), 0)</f>
        <v>0</v>
      </c>
      <c r="AE223">
        <f>IF(ISNUMBER(SEARCH(SUBSTITUTE(AE$1,RIGHT(AE$1,2),""),VLOOKUP($D223,素材!$1:$1016,COLUMN($F$1),FALSE))),VLOOKUP($C223,武器!$1:$998,COLUMN($O$1),FALSE)*VLOOKUP($D223,素材!$1:$1016,COLUMN($E$1),FALSE)/(LEN(VLOOKUP($D223,素材!$1:$1016,COLUMN($F$1),FALSE)) - LEN(SUBSTITUTE(VLOOKUP($D223,素材!$1:$1016,COLUMN($F$1),FALSE), "・", 0)) + 1), 0)</f>
        <v>0</v>
      </c>
      <c r="AF223">
        <f>IF(ISNUMBER(SEARCH(SUBSTITUTE(AF$1,RIGHT(AF$1,2),""),VLOOKUP($D223,素材!$1:$1016,COLUMN($F$1),FALSE))),VLOOKUP($C223,武器!$1:$998,COLUMN($O$1),FALSE)*VLOOKUP($D223,素材!$1:$1016,COLUMN($E$1),FALSE)/(LEN(VLOOKUP($D223,素材!$1:$1016,COLUMN($F$1),FALSE)) - LEN(SUBSTITUTE(VLOOKUP($D223,素材!$1:$1016,COLUMN($F$1),FALSE), "・", 0)) + 1), 0)</f>
        <v>0</v>
      </c>
      <c r="AG223">
        <f>IF(ISNUMBER(SEARCH(SUBSTITUTE(AG$1,RIGHT(AG$1,2),""),VLOOKUP($D223,素材!$1:$1016,COLUMN($F$1),FALSE))),VLOOKUP($C223,武器!$1:$998,COLUMN($O$1),FALSE)*VLOOKUP($D223,素材!$1:$1016,COLUMN($E$1),FALSE)/(LEN(VLOOKUP($D223,素材!$1:$1016,COLUMN($F$1),FALSE)) - LEN(SUBSTITUTE(VLOOKUP($D223,素材!$1:$1016,COLUMN($F$1),FALSE), "・", 0)) + 1), 0)</f>
        <v>0</v>
      </c>
      <c r="AH223">
        <f>IF(ISNUMBER(SEARCH(SUBSTITUTE(AH$1,RIGHT(AH$1,2),""),VLOOKUP($D223,素材!$1:$1016,COLUMN($F$1),FALSE))),VLOOKUP($C223,武器!$1:$998,COLUMN($O$1),FALSE)*VLOOKUP($D223,素材!$1:$1016,COLUMN($E$1),FALSE)/(LEN(VLOOKUP($D223,素材!$1:$1016,COLUMN($F$1),FALSE)) - LEN(SUBSTITUTE(VLOOKUP($D223,素材!$1:$1016,COLUMN($F$1),FALSE), "・", 0)) + 1), 0)</f>
        <v>0</v>
      </c>
      <c r="AI223">
        <f>IF(ISNUMBER(SEARCH(SUBSTITUTE(AI$1,RIGHT(AI$1,2),""),VLOOKUP($D223,素材!$1:$1016,COLUMN($F$1),FALSE))),VLOOKUP($C223,武器!$1:$998,COLUMN($O$1),FALSE)*VLOOKUP($D223,素材!$1:$1016,COLUMN($E$1),FALSE)/(LEN(VLOOKUP($D223,素材!$1:$1016,COLUMN($F$1),FALSE)) - LEN(SUBSTITUTE(VLOOKUP($D223,素材!$1:$1016,COLUMN($F$1),FALSE), "・", 0)) + 1), 0)</f>
        <v>0</v>
      </c>
      <c r="AJ223">
        <f>IF(ISNUMBER(SEARCH(SUBSTITUTE(AJ$1,RIGHT(AJ$1,2),""),VLOOKUP($D223,素材!$1:$1016,COLUMN($F$1),FALSE))),VLOOKUP($C223,武器!$1:$998,COLUMN($O$1),FALSE)*VLOOKUP($D223,素材!$1:$1016,COLUMN($E$1),FALSE)/(LEN(VLOOKUP($D223,素材!$1:$1016,COLUMN($F$1),FALSE)) - LEN(SUBSTITUTE(VLOOKUP($D223,素材!$1:$1016,COLUMN($F$1),FALSE), "・", 0)) + 1), 0)</f>
        <v>0</v>
      </c>
      <c r="AK223">
        <f>IF(ISNUMBER(SEARCH(SUBSTITUTE(AK$1,RIGHT(AK$1,2),""),VLOOKUP($D223,素材!$1:$1016,COLUMN($F$1),FALSE))),VLOOKUP($C223,武器!$1:$998,COLUMN($O$1),FALSE)*VLOOKUP($D223,素材!$1:$1016,COLUMN($E$1),FALSE)/(LEN(VLOOKUP($D223,素材!$1:$1016,COLUMN($F$1),FALSE)) - LEN(SUBSTITUTE(VLOOKUP($D223,素材!$1:$1016,COLUMN($F$1),FALSE), "・", 0)) + 1), 0)</f>
        <v>0</v>
      </c>
      <c r="AL223">
        <f>IF(ISNUMBER(SEARCH(SUBSTITUTE(AL$1,RIGHT(AL$1,2),""),VLOOKUP($D223,素材!$1:$1016,COLUMN($F$1),FALSE))),VLOOKUP($C223,武器!$1:$998,COLUMN($O$1),FALSE)*VLOOKUP($D223,素材!$1:$1016,COLUMN($E$1),FALSE)/(LEN(VLOOKUP($D223,素材!$1:$1016,COLUMN($F$1),FALSE)) - LEN(SUBSTITUTE(VLOOKUP($D223,素材!$1:$1016,COLUMN($F$1),FALSE), "・", 0)) + 1), 0)</f>
        <v>0</v>
      </c>
      <c r="AM223">
        <f>IF(ISNUMBER(SEARCH(SUBSTITUTE(AM$1,RIGHT(AM$1,2),""),VLOOKUP($D223,素材!$1:$1016,COLUMN($F$1),FALSE))),VLOOKUP($C223,武器!$1:$998,COLUMN($O$1),FALSE)*VLOOKUP($D223,素材!$1:$1016,COLUMN($E$1),FALSE)/(LEN(VLOOKUP($D223,素材!$1:$1016,COLUMN($F$1),FALSE)) - LEN(SUBSTITUTE(VLOOKUP($D223,素材!$1:$1016,COLUMN($F$1),FALSE), "・", 0)) + 1), 0)</f>
        <v>0</v>
      </c>
      <c r="AN223">
        <f>IF(ISNUMBER(SEARCH(SUBSTITUTE(AN$1,RIGHT(AN$1,2),""),VLOOKUP($D223,素材!$1:$1016,COLUMN($F$1),FALSE))),VLOOKUP($C223,武器!$1:$998,COLUMN($O$1),FALSE)*VLOOKUP($D223,素材!$1:$1016,COLUMN($E$1),FALSE)/(LEN(VLOOKUP($D223,素材!$1:$1016,COLUMN($F$1),FALSE)) - LEN(SUBSTITUTE(VLOOKUP($D223,素材!$1:$1016,COLUMN($F$1),FALSE), "・", 0)) + 1), 0)</f>
        <v>0</v>
      </c>
      <c r="AO223">
        <f>IF(ISNUMBER(SEARCH(SUBSTITUTE(AO$1,RIGHT(AO$1,2),""),VLOOKUP($D223,素材!$1:$1016,COLUMN($F$1),FALSE))),VLOOKUP($C223,武器!$1:$998,COLUMN($O$1),FALSE)*VLOOKUP($D223,素材!$1:$1016,COLUMN($E$1),FALSE)/(LEN(VLOOKUP($D223,素材!$1:$1016,COLUMN($F$1),FALSE)) - LEN(SUBSTITUTE(VLOOKUP($D223,素材!$1:$1016,COLUMN($F$1),FALSE), "・", 0)) + 1), 0)</f>
        <v>0</v>
      </c>
      <c r="AP223">
        <f>IF(ISNUMBER(SEARCH(SUBSTITUTE(AP$1,RIGHT(AP$1,2),""),VLOOKUP($D223,素材!$1:$1016,COLUMN($F$1),FALSE))),VLOOKUP($C223,武器!$1:$998,COLUMN($O$1),FALSE)*VLOOKUP($D223,素材!$1:$1016,COLUMN($E$1),FALSE)/(LEN(VLOOKUP($D223,素材!$1:$1016,COLUMN($F$1),FALSE)) - LEN(SUBSTITUTE(VLOOKUP($D223,素材!$1:$1016,COLUMN($F$1),FALSE), "・", 0)) + 1), 0)</f>
        <v>0</v>
      </c>
      <c r="AQ223">
        <f>IF(ISNUMBER(SEARCH(SUBSTITUTE(AQ$1,RIGHT(AQ$1,2),""),VLOOKUP($D223,素材!$1:$1016,COLUMN($F$1),FALSE))),VLOOKUP($C223,武器!$1:$998,COLUMN($O$1),FALSE)*VLOOKUP($D223,素材!$1:$1016,COLUMN($E$1),FALSE)/(LEN(VLOOKUP($D223,素材!$1:$1016,COLUMN($F$1),FALSE)) - LEN(SUBSTITUTE(VLOOKUP($D223,素材!$1:$1016,COLUMN($F$1),FALSE), "・", 0)) + 1), 0)</f>
        <v>0</v>
      </c>
      <c r="AR223">
        <f>IF(ISNUMBER(SEARCH(SUBSTITUTE(AR$1,RIGHT(AR$1,2),""),VLOOKUP($D223,素材!$1:$1016,COLUMN($F$1),FALSE))),VLOOKUP($C223,武器!$1:$998,COLUMN($O$1),FALSE)*VLOOKUP($D223,素材!$1:$1016,COLUMN($E$1),FALSE)/(LEN(VLOOKUP($D223,素材!$1:$1016,COLUMN($F$1),FALSE)) - LEN(SUBSTITUTE(VLOOKUP($D223,素材!$1:$1016,COLUMN($F$1),FALSE), "・", 0)) + 1), 0)</f>
        <v>0</v>
      </c>
      <c r="AS223">
        <f>IF(ISNUMBER(SEARCH(SUBSTITUTE(AS$1,RIGHT(AS$1,2),""),VLOOKUP($D223,素材!$1:$1016,COLUMN($F$1),FALSE))),VLOOKUP($C223,武器!$1:$998,COLUMN($O$1),FALSE)*VLOOKUP($D223,素材!$1:$1016,COLUMN($E$1),FALSE)/(LEN(VLOOKUP($D223,素材!$1:$1016,COLUMN($F$1),FALSE)) - LEN(SUBSTITUTE(VLOOKUP($D223,素材!$1:$1016,COLUMN($F$1),FALSE), "・", 0)) + 1), 0)</f>
        <v>0</v>
      </c>
      <c r="AT223">
        <f>IF(ISNUMBER(SEARCH(SUBSTITUTE(AT$1,RIGHT(AT$1,2),""),VLOOKUP($D223,素材!$1:$1016,COLUMN($F$1),FALSE))),VLOOKUP($C223,武器!$1:$998,COLUMN($O$1),FALSE)*VLOOKUP($D223,素材!$1:$1016,COLUMN($E$1),FALSE)/(LEN(VLOOKUP($D223,素材!$1:$1016,COLUMN($F$1),FALSE)) - LEN(SUBSTITUTE(VLOOKUP($D223,素材!$1:$1016,COLUMN($F$1),FALSE), "・", 0)) + 1), 0)</f>
        <v>0</v>
      </c>
      <c r="AU223">
        <f>IF(ISNUMBER(SEARCH(SUBSTITUTE(AU$1,RIGHT(AU$1,2),""),VLOOKUP($D223,素材!$1:$1016,COLUMN($F$1),FALSE))),VLOOKUP($C223,武器!$1:$998,COLUMN($O$1),FALSE)*VLOOKUP($D223,素材!$1:$1016,COLUMN($E$1),FALSE)/(LEN(VLOOKUP($D223,素材!$1:$1016,COLUMN($F$1),FALSE)) - LEN(SUBSTITUTE(VLOOKUP($D223,素材!$1:$1016,COLUMN($F$1),FALSE), "・", 0)) + 1), 0)</f>
        <v>0</v>
      </c>
      <c r="AV223">
        <f>IF(ISNUMBER(SEARCH(SUBSTITUTE(AV$1,RIGHT(AV$1,2),""),VLOOKUP($D223,素材!$1:$1016,COLUMN($F$1),FALSE))),VLOOKUP($C223,武器!$1:$998,COLUMN($O$1),FALSE)*VLOOKUP($D223,素材!$1:$1016,COLUMN($E$1),FALSE)/(LEN(VLOOKUP($D223,素材!$1:$1016,COLUMN($F$1),FALSE)) - LEN(SUBSTITUTE(VLOOKUP($D223,素材!$1:$1016,COLUMN($F$1),FALSE), "・", 0)) + 1), 0)</f>
        <v>0</v>
      </c>
      <c r="AW223">
        <f>IF(ISNUMBER(SEARCH(SUBSTITUTE(AW$1,RIGHT(AW$1,2),""),VLOOKUP($D223,素材!$1:$1016,COLUMN($F$1),FALSE))),VLOOKUP($C223,武器!$1:$998,COLUMN($O$1),FALSE)*VLOOKUP($D223,素材!$1:$1016,COLUMN($E$1),FALSE)/(LEN(VLOOKUP($D223,素材!$1:$1016,COLUMN($F$1),FALSE)) - LEN(SUBSTITUTE(VLOOKUP($D223,素材!$1:$1016,COLUMN($F$1),FALSE), "・", 0)) + 1), 0)</f>
        <v>0</v>
      </c>
      <c r="AX223">
        <f>IF(ISNUMBER(SEARCH(SUBSTITUTE(AX$1,RIGHT(AX$1,2),""),VLOOKUP($D223,素材!$1:$1016,COLUMN($F$1),FALSE))),VLOOKUP($C223,武器!$1:$998,COLUMN($O$1),FALSE)*VLOOKUP($D223,素材!$1:$1016,COLUMN($E$1),FALSE)/(LEN(VLOOKUP($D223,素材!$1:$1016,COLUMN($F$1),FALSE)) - LEN(SUBSTITUTE(VLOOKUP($D223,素材!$1:$1016,COLUMN($F$1),FALSE), "・", 0)) + 1), 0)</f>
        <v>0</v>
      </c>
      <c r="AY223">
        <f>IF(ISNUMBER(SEARCH(SUBSTITUTE(AY$1,RIGHT(AY$1,2),""),VLOOKUP($D223,素材!$1:$1016,COLUMN($F$1),FALSE))),VLOOKUP($C223,武器!$1:$998,COLUMN($O$1),FALSE)*VLOOKUP($D223,素材!$1:$1016,COLUMN($E$1),FALSE)/(LEN(VLOOKUP($D223,素材!$1:$1016,COLUMN($F$1),FALSE)) - LEN(SUBSTITUTE(VLOOKUP($D223,素材!$1:$1016,COLUMN($F$1),FALSE), "・", 0)) + 1), 0)</f>
        <v>0</v>
      </c>
      <c r="AZ223">
        <f>IF(ISNUMBER(SEARCH(SUBSTITUTE(AZ$1,RIGHT(AZ$1,2),""),VLOOKUP($D223,素材!$1:$1016,COLUMN($F$1),FALSE))),VLOOKUP($C223,武器!$1:$998,COLUMN($O$1),FALSE)*VLOOKUP($D223,素材!$1:$1016,COLUMN($E$1),FALSE)/(LEN(VLOOKUP($D223,素材!$1:$1016,COLUMN($F$1),FALSE)) - LEN(SUBSTITUTE(VLOOKUP($D223,素材!$1:$1016,COLUMN($F$1),FALSE), "・", 0)) + 1), 0)</f>
        <v>0</v>
      </c>
      <c r="BA223">
        <f>IF(ISNUMBER(SEARCH(SUBSTITUTE(BA$1,RIGHT(BA$1,2),""),VLOOKUP($D223,素材!$1:$1016,COLUMN($F$1),FALSE))),VLOOKUP($C223,武器!$1:$998,COLUMN($O$1),FALSE)*VLOOKUP($D223,素材!$1:$1016,COLUMN($E$1),FALSE)/(LEN(VLOOKUP($D223,素材!$1:$1016,COLUMN($F$1),FALSE)) - LEN(SUBSTITUTE(VLOOKUP($D223,素材!$1:$1016,COLUMN($F$1),FALSE), "・", 0)) + 1), 0)</f>
        <v>0</v>
      </c>
      <c r="BB223">
        <f>IF(ISNUMBER(SEARCH(SUBSTITUTE(BB$1,RIGHT(BB$1,2),""),VLOOKUP($D223,素材!$1:$1016,COLUMN($F$1),FALSE))),VLOOKUP($C223,武器!$1:$998,COLUMN($O$1),FALSE)*VLOOKUP($D223,素材!$1:$1016,COLUMN($E$1),FALSE)/(LEN(VLOOKUP($D223,素材!$1:$1016,COLUMN($F$1),FALSE)) - LEN(SUBSTITUTE(VLOOKUP($D223,素材!$1:$1016,COLUMN($F$1),FALSE), "・", 0)) + 1), 0)</f>
        <v>0</v>
      </c>
      <c r="BC223">
        <f>IF(ISNUMBER(SEARCH(SUBSTITUTE(BC$1,RIGHT(BC$1,2),""),VLOOKUP($D223,素材!$1:$1016,COLUMN($F$1),FALSE))),VLOOKUP($C223,武器!$1:$998,COLUMN($O$1),FALSE)*VLOOKUP($D223,素材!$1:$1016,COLUMN($E$1),FALSE)/(LEN(VLOOKUP($D223,素材!$1:$1016,COLUMN($F$1),FALSE)) - LEN(SUBSTITUTE(VLOOKUP($D223,素材!$1:$1016,COLUMN($F$1),FALSE), "・", 0)) + 1), 0)</f>
        <v>0</v>
      </c>
      <c r="BD223">
        <f>IF(ISNUMBER(SEARCH(SUBSTITUTE(BD$1,RIGHT(BD$1,2),""),VLOOKUP($D223,素材!$1:$1016,COLUMN($F$1),FALSE))),VLOOKUP($C223,武器!$1:$998,COLUMN($O$1),FALSE)*VLOOKUP($D223,素材!$1:$1016,COLUMN($E$1),FALSE)/(LEN(VLOOKUP($D223,素材!$1:$1016,COLUMN($F$1),FALSE)) - LEN(SUBSTITUTE(VLOOKUP($D223,素材!$1:$1016,COLUMN($F$1),FALSE), "・", 0)) + 1), 0)</f>
        <v>0</v>
      </c>
      <c r="BE223">
        <f>IF(ISNUMBER(SEARCH(SUBSTITUTE(BE$1,RIGHT(BE$1,2),""),VLOOKUP($D223,素材!$1:$1016,COLUMN($F$1),FALSE))),VLOOKUP($C223,武器!$1:$998,COLUMN($O$1),FALSE)*VLOOKUP($D223,素材!$1:$1016,COLUMN($E$1),FALSE)/(LEN(VLOOKUP($D223,素材!$1:$1016,COLUMN($F$1),FALSE)) - LEN(SUBSTITUTE(VLOOKUP($D223,素材!$1:$1016,COLUMN($F$1),FALSE), "・", 0)) + 1), 0)</f>
        <v>0</v>
      </c>
      <c r="CL223">
        <f>SUM(G223:I223)</f>
        <v>0</v>
      </c>
      <c r="CM223" s="22" t="str">
        <f>IF(E223="武器",IF(J223-1&gt;SUM(G223:I223),"盾",IF(MAX(G223:I223)=G223,"切断",IF(MAX(G223:I223)=H223,"貫通",IF(MAX(G223:I223)=I223,"打撃","射撃")))),E223)&amp;".webp"</f>
        <v>銃.webp</v>
      </c>
      <c r="CN223">
        <f>IFERROR(VLOOKUP($C223,武器!$1:$998,COLUMN(V$1),FALSE)*VLOOKUP($D223,素材!$1:$1016,COLUMN(N$1),FALSE)+IF(CI223="",0,VLOOKUP($CI223,装強!$1:$1008,COLUMN($CK$1),FALSE)),"")</f>
        <v>3750</v>
      </c>
      <c r="CO223">
        <f>VLOOKUP(D223,素材!$A:$O,COLUMN(素材!O$1),FALSE)</f>
        <v>0</v>
      </c>
      <c r="CP223" t="str">
        <f>VLOOKUP(C223,武器!$A:$W,COLUMN(武器!W$1),FALSE)</f>
        <v/>
      </c>
      <c r="CR223" t="str">
        <f t="shared" si="29"/>
        <v>e_223</v>
      </c>
      <c r="CS223">
        <f t="shared" si="30"/>
        <v>375000</v>
      </c>
    </row>
    <row r="224" spans="1:97" outlineLevel="1" x14ac:dyDescent="0.4">
      <c r="A224" t="str">
        <f t="shared" si="31"/>
        <v>冷気鉄の射出弓</v>
      </c>
      <c r="B224" t="str">
        <f>IFERROR(VLOOKUP($D224,素材!$1:$1016,COLUMN($B$1),FALSE)&amp;"・"&amp;VLOOKUP($C224,武器!$1:$998,COLUMN(B$1),FALSE),"")</f>
        <v>ドゥララン・クロスボウ</v>
      </c>
      <c r="C224" t="s">
        <v>213</v>
      </c>
      <c r="D224" s="24" t="s">
        <v>243</v>
      </c>
      <c r="E224" t="str">
        <f>IFERROR(VLOOKUP(C224,武器!$1:$998,COLUMN(C$1),FALSE),"")</f>
        <v>銃</v>
      </c>
      <c r="F224">
        <f>IFERROR(ROUNDDOWN((VLOOKUP($C224,武器!$1:$998,COLUMN(D$1),FALSE)+IFERROR(VLOOKUP($CI224,装強!$1:$999,COLUMN(F$1),FALSE),0))*VLOOKUP($D224,素材!$1:$1016,COLUMN(D$1),FALSE),0),"")</f>
        <v>0</v>
      </c>
      <c r="G224">
        <f>IFERROR(ROUNDDOWN((VLOOKUP($C224,武器!$1:$998,COLUMN(E$1),FALSE)+IFERROR(VLOOKUP($CI224,装強!$1:$999,COLUMN(G$1),FALSE),0))*VLOOKUP($D224,素材!$1:$1016,COLUMN($E$1),FALSE),0),"")</f>
        <v>0</v>
      </c>
      <c r="H224">
        <f>IFERROR(ROUNDDOWN((VLOOKUP($C224,武器!$1:$998,COLUMN(F$1),FALSE)+IFERROR(VLOOKUP($CI224,装強!$1:$999,COLUMN(H$1),FALSE),0))*VLOOKUP($D224,素材!$1:$1016,COLUMN($E$1),FALSE),0),"")</f>
        <v>0</v>
      </c>
      <c r="I224">
        <f>IFERROR(ROUNDDOWN((VLOOKUP($C224,武器!$1:$998,COLUMN(G$1),FALSE)+IFERROR(VLOOKUP($CI224,装強!$1:$999,COLUMN(I$1),FALSE),0))*VLOOKUP($D224,素材!$1:$1016,COLUMN($E$1),FALSE),0),"")</f>
        <v>0</v>
      </c>
      <c r="J224">
        <f>IFERROR(ROUNDDOWN((VLOOKUP($C224,武器!$1:$998,COLUMN(H$1),FALSE)+IFERROR(VLOOKUP($CI224,装強!$1:$999,COLUMN(J$1),FALSE),0))*VLOOKUP($D224,素材!$1:$1016,COLUMN($E$1),FALSE),0),"")</f>
        <v>0</v>
      </c>
      <c r="K224">
        <f>IFERROR(ROUNDDOWN((VLOOKUP($C224,武器!$1:$998,COLUMN(I$1),FALSE)+IFERROR(VLOOKUP($CI224,装強!$1:$999,COLUMN(K$1),FALSE),0))*VLOOKUP($D224,素材!$1:$1016,COLUMN($E$1),FALSE),0),"")</f>
        <v>78</v>
      </c>
      <c r="L224" t="str">
        <f>IFERROR(VLOOKUP($D224,素材!$1:$1016,COLUMN($F$1),FALSE),"")</f>
        <v>氷</v>
      </c>
      <c r="M224">
        <f>IFERROR(VLOOKUP($C224,武器!$1:$998,COLUMN(AA$1),FALSE)*VLOOKUP($D224,素材!$1:$1016,COLUMN($G$1),FALSE),"")</f>
        <v>0</v>
      </c>
      <c r="N224">
        <f>IFERROR(VLOOKUP($C224,武器!$1:$998,COLUMN(I$1),FALSE),"")</f>
        <v>3.9</v>
      </c>
      <c r="O224" s="23">
        <f>IFERROR((VLOOKUP($C224,武器!$1:$998,COLUMN(K$1),FALSE)+VLOOKUP($D224,素材!$1:$1016,COLUMN(H$1),FALSE))*100+IFERROR(VLOOKUP($CI224,装強!$1:$999,COLUMN(O$1),FALSE),0),"")</f>
        <v>10</v>
      </c>
      <c r="P224" s="23">
        <f>IFERROR((VLOOKUP($C224,武器!$1:$998,COLUMN(L$1),FALSE)+VLOOKUP($D224,素材!$1:$1016,COLUMN(I$1),FALSE))*100+IFERROR(VLOOKUP($CI224,装強!$1:$999,COLUMN(P$1),FALSE),0),"")</f>
        <v>150</v>
      </c>
      <c r="Q224">
        <f>IFERROR(ROUNDUP(VLOOKUP($C224,武器!$1:$998,COLUMN(M$1),FALSE)*(VLOOKUP($D224,素材!$1:$1002,COLUMN(D$1),FALSE)/100),1),"")</f>
        <v>0</v>
      </c>
      <c r="R224">
        <f>IFERROR(ROUNDUP(VLOOKUP($C224,武器!$1:$998,COLUMN(N$1),FALSE)*(VLOOKUP($D224,素材!$1:$1002,COLUMN(D$1),FALSE)/100),1),"")</f>
        <v>0</v>
      </c>
      <c r="S224">
        <f>IFERROR(VLOOKUP($C224,武器!$1:$998,COLUMN(P$1),FALSE),"")</f>
        <v>0</v>
      </c>
      <c r="T224">
        <f>IFERROR(VLOOKUP($C224,武器!$1:$998,COLUMN(Q$1),FALSE),"")</f>
        <v>1</v>
      </c>
      <c r="U224">
        <f>IFERROR(VLOOKUP($C224,武器!$1:$998,COLUMN(R$1),FALSE),"")</f>
        <v>1</v>
      </c>
      <c r="V224">
        <f>IFERROR(VLOOKUP($C224,武器!$1:$998,COLUMN(Q$1),FALSE),"")</f>
        <v>1</v>
      </c>
      <c r="W224" t="str">
        <f>IFERROR(VLOOKUP($C224,武器!$1:$998,COLUMN(T$1),FALSE),"")</f>
        <v>S</v>
      </c>
      <c r="Y224">
        <f>IFERROR(VLOOKUP($C224,武器!$1:$998,COLUMN(U$1),FALSE),"")</f>
        <v>0</v>
      </c>
      <c r="Z224">
        <f>IFERROR(ROUNDUP(VLOOKUP($C224,武器!$1:$998,COLUMN(O$1),FALSE)*VLOOKUP($D224,素材!$1:$1016,COLUMN(E$1),FALSE),1),"")</f>
        <v>0</v>
      </c>
      <c r="AA224">
        <f>IF(ISNUMBER(SEARCH(SUBSTITUTE(AA$1,RIGHT(AA$1,2),""),VLOOKUP($D224,素材!$1:$1016,COLUMN($F$1),FALSE))),VLOOKUP($C224,武器!$1:$998,COLUMN($O$1),FALSE)*VLOOKUP($D224,素材!$1:$1016,COLUMN($E$1),FALSE)/(LEN(VLOOKUP($D224,素材!$1:$1016,COLUMN($F$1),FALSE)) - LEN(SUBSTITUTE(VLOOKUP($D224,素材!$1:$1016,COLUMN($F$1),FALSE), "・", 0)) + 1), 0)</f>
        <v>0</v>
      </c>
      <c r="AB224">
        <f>IF(ISNUMBER(SEARCH(SUBSTITUTE(AB$1,RIGHT(AB$1,2),""),VLOOKUP($D224,素材!$1:$1016,COLUMN($F$1),FALSE))),VLOOKUP($C224,武器!$1:$998,COLUMN($O$1),FALSE)*VLOOKUP($D224,素材!$1:$1016,COLUMN($E$1),FALSE)/(LEN(VLOOKUP($D224,素材!$1:$1016,COLUMN($F$1),FALSE)) - LEN(SUBSTITUTE(VLOOKUP($D224,素材!$1:$1016,COLUMN($F$1),FALSE), "・", 0)) + 1), 0)</f>
        <v>0</v>
      </c>
      <c r="AC224">
        <f>IF(ISNUMBER(SEARCH(SUBSTITUTE(AC$1,RIGHT(AC$1,2),""),VLOOKUP($D224,素材!$1:$1016,COLUMN($F$1),FALSE))),VLOOKUP($C224,武器!$1:$998,COLUMN($O$1),FALSE)*VLOOKUP($D224,素材!$1:$1016,COLUMN($E$1),FALSE)/(LEN(VLOOKUP($D224,素材!$1:$1016,COLUMN($F$1),FALSE)) - LEN(SUBSTITUTE(VLOOKUP($D224,素材!$1:$1016,COLUMN($F$1),FALSE), "・", 0)) + 1), 0)</f>
        <v>0</v>
      </c>
      <c r="AD224">
        <f>IF(ISNUMBER(SEARCH(SUBSTITUTE(AD$1,RIGHT(AD$1,2),""),VLOOKUP($D224,素材!$1:$1016,COLUMN($F$1),FALSE))),VLOOKUP($C224,武器!$1:$998,COLUMN($O$1),FALSE)*VLOOKUP($D224,素材!$1:$1016,COLUMN($E$1),FALSE)/(LEN(VLOOKUP($D224,素材!$1:$1016,COLUMN($F$1),FALSE)) - LEN(SUBSTITUTE(VLOOKUP($D224,素材!$1:$1016,COLUMN($F$1),FALSE), "・", 0)) + 1), 0)</f>
        <v>0</v>
      </c>
      <c r="AE224">
        <f>IF(ISNUMBER(SEARCH(SUBSTITUTE(AE$1,RIGHT(AE$1,2),""),VLOOKUP($D224,素材!$1:$1016,COLUMN($F$1),FALSE))),VLOOKUP($C224,武器!$1:$998,COLUMN($O$1),FALSE)*VLOOKUP($D224,素材!$1:$1016,COLUMN($E$1),FALSE)/(LEN(VLOOKUP($D224,素材!$1:$1016,COLUMN($F$1),FALSE)) - LEN(SUBSTITUTE(VLOOKUP($D224,素材!$1:$1016,COLUMN($F$1),FALSE), "・", 0)) + 1), 0)</f>
        <v>0</v>
      </c>
      <c r="AF224">
        <f>IF(ISNUMBER(SEARCH(SUBSTITUTE(AF$1,RIGHT(AF$1,2),""),VLOOKUP($D224,素材!$1:$1016,COLUMN($F$1),FALSE))),VLOOKUP($C224,武器!$1:$998,COLUMN($O$1),FALSE)*VLOOKUP($D224,素材!$1:$1016,COLUMN($E$1),FALSE)/(LEN(VLOOKUP($D224,素材!$1:$1016,COLUMN($F$1),FALSE)) - LEN(SUBSTITUTE(VLOOKUP($D224,素材!$1:$1016,COLUMN($F$1),FALSE), "・", 0)) + 1), 0)</f>
        <v>0</v>
      </c>
      <c r="AG224">
        <f>IF(ISNUMBER(SEARCH(SUBSTITUTE(AG$1,RIGHT(AG$1,2),""),VLOOKUP($D224,素材!$1:$1016,COLUMN($F$1),FALSE))),VLOOKUP($C224,武器!$1:$998,COLUMN($O$1),FALSE)*VLOOKUP($D224,素材!$1:$1016,COLUMN($E$1),FALSE)/(LEN(VLOOKUP($D224,素材!$1:$1016,COLUMN($F$1),FALSE)) - LEN(SUBSTITUTE(VLOOKUP($D224,素材!$1:$1016,COLUMN($F$1),FALSE), "・", 0)) + 1), 0)</f>
        <v>0</v>
      </c>
      <c r="AH224">
        <f>IF(ISNUMBER(SEARCH(SUBSTITUTE(AH$1,RIGHT(AH$1,2),""),VLOOKUP($D224,素材!$1:$1016,COLUMN($F$1),FALSE))),VLOOKUP($C224,武器!$1:$998,COLUMN($O$1),FALSE)*VLOOKUP($D224,素材!$1:$1016,COLUMN($E$1),FALSE)/(LEN(VLOOKUP($D224,素材!$1:$1016,COLUMN($F$1),FALSE)) - LEN(SUBSTITUTE(VLOOKUP($D224,素材!$1:$1016,COLUMN($F$1),FALSE), "・", 0)) + 1), 0)</f>
        <v>0</v>
      </c>
      <c r="AI224">
        <f>IF(ISNUMBER(SEARCH(SUBSTITUTE(AI$1,RIGHT(AI$1,2),""),VLOOKUP($D224,素材!$1:$1016,COLUMN($F$1),FALSE))),VLOOKUP($C224,武器!$1:$998,COLUMN($O$1),FALSE)*VLOOKUP($D224,素材!$1:$1016,COLUMN($E$1),FALSE)/(LEN(VLOOKUP($D224,素材!$1:$1016,COLUMN($F$1),FALSE)) - LEN(SUBSTITUTE(VLOOKUP($D224,素材!$1:$1016,COLUMN($F$1),FALSE), "・", 0)) + 1), 0)</f>
        <v>0</v>
      </c>
      <c r="AJ224">
        <f>IF(ISNUMBER(SEARCH(SUBSTITUTE(AJ$1,RIGHT(AJ$1,2),""),VLOOKUP($D224,素材!$1:$1016,COLUMN($F$1),FALSE))),VLOOKUP($C224,武器!$1:$998,COLUMN($O$1),FALSE)*VLOOKUP($D224,素材!$1:$1016,COLUMN($E$1),FALSE)/(LEN(VLOOKUP($D224,素材!$1:$1016,COLUMN($F$1),FALSE)) - LEN(SUBSTITUTE(VLOOKUP($D224,素材!$1:$1016,COLUMN($F$1),FALSE), "・", 0)) + 1), 0)</f>
        <v>0</v>
      </c>
      <c r="AK224">
        <f>IF(ISNUMBER(SEARCH(SUBSTITUTE(AK$1,RIGHT(AK$1,2),""),VLOOKUP($D224,素材!$1:$1016,COLUMN($F$1),FALSE))),VLOOKUP($C224,武器!$1:$998,COLUMN($O$1),FALSE)*VLOOKUP($D224,素材!$1:$1016,COLUMN($E$1),FALSE)/(LEN(VLOOKUP($D224,素材!$1:$1016,COLUMN($F$1),FALSE)) - LEN(SUBSTITUTE(VLOOKUP($D224,素材!$1:$1016,COLUMN($F$1),FALSE), "・", 0)) + 1), 0)</f>
        <v>0</v>
      </c>
      <c r="AL224">
        <f>IF(ISNUMBER(SEARCH(SUBSTITUTE(AL$1,RIGHT(AL$1,2),""),VLOOKUP($D224,素材!$1:$1016,COLUMN($F$1),FALSE))),VLOOKUP($C224,武器!$1:$998,COLUMN($O$1),FALSE)*VLOOKUP($D224,素材!$1:$1016,COLUMN($E$1),FALSE)/(LEN(VLOOKUP($D224,素材!$1:$1016,COLUMN($F$1),FALSE)) - LEN(SUBSTITUTE(VLOOKUP($D224,素材!$1:$1016,COLUMN($F$1),FALSE), "・", 0)) + 1), 0)</f>
        <v>0</v>
      </c>
      <c r="AM224">
        <f>IF(ISNUMBER(SEARCH(SUBSTITUTE(AM$1,RIGHT(AM$1,2),""),VLOOKUP($D224,素材!$1:$1016,COLUMN($F$1),FALSE))),VLOOKUP($C224,武器!$1:$998,COLUMN($O$1),FALSE)*VLOOKUP($D224,素材!$1:$1016,COLUMN($E$1),FALSE)/(LEN(VLOOKUP($D224,素材!$1:$1016,COLUMN($F$1),FALSE)) - LEN(SUBSTITUTE(VLOOKUP($D224,素材!$1:$1016,COLUMN($F$1),FALSE), "・", 0)) + 1), 0)</f>
        <v>0</v>
      </c>
      <c r="AN224">
        <f>IF(ISNUMBER(SEARCH(SUBSTITUTE(AN$1,RIGHT(AN$1,2),""),VLOOKUP($D224,素材!$1:$1016,COLUMN($F$1),FALSE))),VLOOKUP($C224,武器!$1:$998,COLUMN($O$1),FALSE)*VLOOKUP($D224,素材!$1:$1016,COLUMN($E$1),FALSE)/(LEN(VLOOKUP($D224,素材!$1:$1016,COLUMN($F$1),FALSE)) - LEN(SUBSTITUTE(VLOOKUP($D224,素材!$1:$1016,COLUMN($F$1),FALSE), "・", 0)) + 1), 0)</f>
        <v>0</v>
      </c>
      <c r="AO224">
        <f>IF(ISNUMBER(SEARCH(SUBSTITUTE(AO$1,RIGHT(AO$1,2),""),VLOOKUP($D224,素材!$1:$1016,COLUMN($F$1),FALSE))),VLOOKUP($C224,武器!$1:$998,COLUMN($O$1),FALSE)*VLOOKUP($D224,素材!$1:$1016,COLUMN($E$1),FALSE)/(LEN(VLOOKUP($D224,素材!$1:$1016,COLUMN($F$1),FALSE)) - LEN(SUBSTITUTE(VLOOKUP($D224,素材!$1:$1016,COLUMN($F$1),FALSE), "・", 0)) + 1), 0)</f>
        <v>0</v>
      </c>
      <c r="AP224">
        <f>IF(ISNUMBER(SEARCH(SUBSTITUTE(AP$1,RIGHT(AP$1,2),""),VLOOKUP($D224,素材!$1:$1016,COLUMN($F$1),FALSE))),VLOOKUP($C224,武器!$1:$998,COLUMN($O$1),FALSE)*VLOOKUP($D224,素材!$1:$1016,COLUMN($E$1),FALSE)/(LEN(VLOOKUP($D224,素材!$1:$1016,COLUMN($F$1),FALSE)) - LEN(SUBSTITUTE(VLOOKUP($D224,素材!$1:$1016,COLUMN($F$1),FALSE), "・", 0)) + 1), 0)</f>
        <v>0</v>
      </c>
      <c r="AQ224">
        <f>IF(ISNUMBER(SEARCH(SUBSTITUTE(AQ$1,RIGHT(AQ$1,2),""),VLOOKUP($D224,素材!$1:$1016,COLUMN($F$1),FALSE))),VLOOKUP($C224,武器!$1:$998,COLUMN($O$1),FALSE)*VLOOKUP($D224,素材!$1:$1016,COLUMN($E$1),FALSE)/(LEN(VLOOKUP($D224,素材!$1:$1016,COLUMN($F$1),FALSE)) - LEN(SUBSTITUTE(VLOOKUP($D224,素材!$1:$1016,COLUMN($F$1),FALSE), "・", 0)) + 1), 0)</f>
        <v>0</v>
      </c>
      <c r="AR224">
        <f>IF(ISNUMBER(SEARCH(SUBSTITUTE(AR$1,RIGHT(AR$1,2),""),VLOOKUP($D224,素材!$1:$1016,COLUMN($F$1),FALSE))),VLOOKUP($C224,武器!$1:$998,COLUMN($O$1),FALSE)*VLOOKUP($D224,素材!$1:$1016,COLUMN($E$1),FALSE)/(LEN(VLOOKUP($D224,素材!$1:$1016,COLUMN($F$1),FALSE)) - LEN(SUBSTITUTE(VLOOKUP($D224,素材!$1:$1016,COLUMN($F$1),FALSE), "・", 0)) + 1), 0)</f>
        <v>0</v>
      </c>
      <c r="AS224">
        <f>IF(ISNUMBER(SEARCH(SUBSTITUTE(AS$1,RIGHT(AS$1,2),""),VLOOKUP($D224,素材!$1:$1016,COLUMN($F$1),FALSE))),VLOOKUP($C224,武器!$1:$998,COLUMN($O$1),FALSE)*VLOOKUP($D224,素材!$1:$1016,COLUMN($E$1),FALSE)/(LEN(VLOOKUP($D224,素材!$1:$1016,COLUMN($F$1),FALSE)) - LEN(SUBSTITUTE(VLOOKUP($D224,素材!$1:$1016,COLUMN($F$1),FALSE), "・", 0)) + 1), 0)</f>
        <v>0</v>
      </c>
      <c r="AT224">
        <f>IF(ISNUMBER(SEARCH(SUBSTITUTE(AT$1,RIGHT(AT$1,2),""),VLOOKUP($D224,素材!$1:$1016,COLUMN($F$1),FALSE))),VLOOKUP($C224,武器!$1:$998,COLUMN($O$1),FALSE)*VLOOKUP($D224,素材!$1:$1016,COLUMN($E$1),FALSE)/(LEN(VLOOKUP($D224,素材!$1:$1016,COLUMN($F$1),FALSE)) - LEN(SUBSTITUTE(VLOOKUP($D224,素材!$1:$1016,COLUMN($F$1),FALSE), "・", 0)) + 1), 0)</f>
        <v>0</v>
      </c>
      <c r="AU224">
        <f>IF(ISNUMBER(SEARCH(SUBSTITUTE(AU$1,RIGHT(AU$1,2),""),VLOOKUP($D224,素材!$1:$1016,COLUMN($F$1),FALSE))),VLOOKUP($C224,武器!$1:$998,COLUMN($O$1),FALSE)*VLOOKUP($D224,素材!$1:$1016,COLUMN($E$1),FALSE)/(LEN(VLOOKUP($D224,素材!$1:$1016,COLUMN($F$1),FALSE)) - LEN(SUBSTITUTE(VLOOKUP($D224,素材!$1:$1016,COLUMN($F$1),FALSE), "・", 0)) + 1), 0)</f>
        <v>0</v>
      </c>
      <c r="AV224">
        <f>IF(ISNUMBER(SEARCH(SUBSTITUTE(AV$1,RIGHT(AV$1,2),""),VLOOKUP($D224,素材!$1:$1016,COLUMN($F$1),FALSE))),VLOOKUP($C224,武器!$1:$998,COLUMN($O$1),FALSE)*VLOOKUP($D224,素材!$1:$1016,COLUMN($E$1),FALSE)/(LEN(VLOOKUP($D224,素材!$1:$1016,COLUMN($F$1),FALSE)) - LEN(SUBSTITUTE(VLOOKUP($D224,素材!$1:$1016,COLUMN($F$1),FALSE), "・", 0)) + 1), 0)</f>
        <v>0</v>
      </c>
      <c r="AW224">
        <f>IF(ISNUMBER(SEARCH(SUBSTITUTE(AW$1,RIGHT(AW$1,2),""),VLOOKUP($D224,素材!$1:$1016,COLUMN($F$1),FALSE))),VLOOKUP($C224,武器!$1:$998,COLUMN($O$1),FALSE)*VLOOKUP($D224,素材!$1:$1016,COLUMN($E$1),FALSE)/(LEN(VLOOKUP($D224,素材!$1:$1016,COLUMN($F$1),FALSE)) - LEN(SUBSTITUTE(VLOOKUP($D224,素材!$1:$1016,COLUMN($F$1),FALSE), "・", 0)) + 1), 0)</f>
        <v>0</v>
      </c>
      <c r="AX224">
        <f>IF(ISNUMBER(SEARCH(SUBSTITUTE(AX$1,RIGHT(AX$1,2),""),VLOOKUP($D224,素材!$1:$1016,COLUMN($F$1),FALSE))),VLOOKUP($C224,武器!$1:$998,COLUMN($O$1),FALSE)*VLOOKUP($D224,素材!$1:$1016,COLUMN($E$1),FALSE)/(LEN(VLOOKUP($D224,素材!$1:$1016,COLUMN($F$1),FALSE)) - LEN(SUBSTITUTE(VLOOKUP($D224,素材!$1:$1016,COLUMN($F$1),FALSE), "・", 0)) + 1), 0)</f>
        <v>0</v>
      </c>
      <c r="AY224">
        <f>IF(ISNUMBER(SEARCH(SUBSTITUTE(AY$1,RIGHT(AY$1,2),""),VLOOKUP($D224,素材!$1:$1016,COLUMN($F$1),FALSE))),VLOOKUP($C224,武器!$1:$998,COLUMN($O$1),FALSE)*VLOOKUP($D224,素材!$1:$1016,COLUMN($E$1),FALSE)/(LEN(VLOOKUP($D224,素材!$1:$1016,COLUMN($F$1),FALSE)) - LEN(SUBSTITUTE(VLOOKUP($D224,素材!$1:$1016,COLUMN($F$1),FALSE), "・", 0)) + 1), 0)</f>
        <v>0</v>
      </c>
      <c r="AZ224">
        <f>IF(ISNUMBER(SEARCH(SUBSTITUTE(AZ$1,RIGHT(AZ$1,2),""),VLOOKUP($D224,素材!$1:$1016,COLUMN($F$1),FALSE))),VLOOKUP($C224,武器!$1:$998,COLUMN($O$1),FALSE)*VLOOKUP($D224,素材!$1:$1016,COLUMN($E$1),FALSE)/(LEN(VLOOKUP($D224,素材!$1:$1016,COLUMN($F$1),FALSE)) - LEN(SUBSTITUTE(VLOOKUP($D224,素材!$1:$1016,COLUMN($F$1),FALSE), "・", 0)) + 1), 0)</f>
        <v>0</v>
      </c>
      <c r="BA224">
        <f>IF(ISNUMBER(SEARCH(SUBSTITUTE(BA$1,RIGHT(BA$1,2),""),VLOOKUP($D224,素材!$1:$1016,COLUMN($F$1),FALSE))),VLOOKUP($C224,武器!$1:$998,COLUMN($O$1),FALSE)*VLOOKUP($D224,素材!$1:$1016,COLUMN($E$1),FALSE)/(LEN(VLOOKUP($D224,素材!$1:$1016,COLUMN($F$1),FALSE)) - LEN(SUBSTITUTE(VLOOKUP($D224,素材!$1:$1016,COLUMN($F$1),FALSE), "・", 0)) + 1), 0)</f>
        <v>0</v>
      </c>
      <c r="BB224">
        <f>IF(ISNUMBER(SEARCH(SUBSTITUTE(BB$1,RIGHT(BB$1,2),""),VLOOKUP($D224,素材!$1:$1016,COLUMN($F$1),FALSE))),VLOOKUP($C224,武器!$1:$998,COLUMN($O$1),FALSE)*VLOOKUP($D224,素材!$1:$1016,COLUMN($E$1),FALSE)/(LEN(VLOOKUP($D224,素材!$1:$1016,COLUMN($F$1),FALSE)) - LEN(SUBSTITUTE(VLOOKUP($D224,素材!$1:$1016,COLUMN($F$1),FALSE), "・", 0)) + 1), 0)</f>
        <v>0</v>
      </c>
      <c r="BC224">
        <f>IF(ISNUMBER(SEARCH(SUBSTITUTE(BC$1,RIGHT(BC$1,2),""),VLOOKUP($D224,素材!$1:$1016,COLUMN($F$1),FALSE))),VLOOKUP($C224,武器!$1:$998,COLUMN($O$1),FALSE)*VLOOKUP($D224,素材!$1:$1016,COLUMN($E$1),FALSE)/(LEN(VLOOKUP($D224,素材!$1:$1016,COLUMN($F$1),FALSE)) - LEN(SUBSTITUTE(VLOOKUP($D224,素材!$1:$1016,COLUMN($F$1),FALSE), "・", 0)) + 1), 0)</f>
        <v>0</v>
      </c>
      <c r="BD224">
        <f>IF(ISNUMBER(SEARCH(SUBSTITUTE(BD$1,RIGHT(BD$1,2),""),VLOOKUP($D224,素材!$1:$1016,COLUMN($F$1),FALSE))),VLOOKUP($C224,武器!$1:$998,COLUMN($O$1),FALSE)*VLOOKUP($D224,素材!$1:$1016,COLUMN($E$1),FALSE)/(LEN(VLOOKUP($D224,素材!$1:$1016,COLUMN($F$1),FALSE)) - LEN(SUBSTITUTE(VLOOKUP($D224,素材!$1:$1016,COLUMN($F$1),FALSE), "・", 0)) + 1), 0)</f>
        <v>0</v>
      </c>
      <c r="BE224">
        <f>IF(ISNUMBER(SEARCH(SUBSTITUTE(BE$1,RIGHT(BE$1,2),""),VLOOKUP($D224,素材!$1:$1016,COLUMN($F$1),FALSE))),VLOOKUP($C224,武器!$1:$998,COLUMN($O$1),FALSE)*VLOOKUP($D224,素材!$1:$1016,COLUMN($E$1),FALSE)/(LEN(VLOOKUP($D224,素材!$1:$1016,COLUMN($F$1),FALSE)) - LEN(SUBSTITUTE(VLOOKUP($D224,素材!$1:$1016,COLUMN($F$1),FALSE), "・", 0)) + 1), 0)</f>
        <v>0</v>
      </c>
      <c r="CL224">
        <f>SUM(G224:I224)</f>
        <v>0</v>
      </c>
      <c r="CM224" s="22" t="str">
        <f>IF(E224="武器",IF(J224-1&gt;SUM(G224:I224),"盾",IF(MAX(G224:I224)=G224,"切断",IF(MAX(G224:I224)=H224,"貫通",IF(MAX(G224:I224)=I224,"打撃","射撃")))),E224)&amp;".webp"</f>
        <v>銃.webp</v>
      </c>
      <c r="CN224">
        <f>IFERROR(VLOOKUP($C224,武器!$1:$998,COLUMN(V$1),FALSE)*VLOOKUP($D224,素材!$1:$1016,COLUMN(N$1),FALSE)+IF(CI224="",0,VLOOKUP($CI224,装強!$1:$1008,COLUMN($CK$1),FALSE)),"")</f>
        <v>4500</v>
      </c>
      <c r="CO224">
        <f>VLOOKUP(D224,素材!$A:$O,COLUMN(素材!O$1),FALSE)</f>
        <v>0</v>
      </c>
      <c r="CP224" t="str">
        <f>VLOOKUP(C224,武器!$A:$W,COLUMN(武器!W$1),FALSE)</f>
        <v/>
      </c>
      <c r="CR224" t="str">
        <f t="shared" si="29"/>
        <v>e_224</v>
      </c>
      <c r="CS224">
        <f t="shared" si="30"/>
        <v>450000</v>
      </c>
    </row>
    <row r="225" spans="1:97" outlineLevel="1" x14ac:dyDescent="0.4">
      <c r="A225" t="str">
        <f t="shared" si="31"/>
        <v>冷気鉄の回転式拳銃</v>
      </c>
      <c r="B225" t="str">
        <f>IFERROR(VLOOKUP($D225,素材!$1:$1016,COLUMN($B$1),FALSE)&amp;"・"&amp;VLOOKUP($C225,武器!$1:$998,COLUMN(B$1),FALSE),"")</f>
        <v>ドゥララン・リボルバー</v>
      </c>
      <c r="C225" t="s">
        <v>212</v>
      </c>
      <c r="D225" s="24" t="s">
        <v>243</v>
      </c>
      <c r="E225" t="str">
        <f>IFERROR(VLOOKUP(C225,武器!$1:$998,COLUMN(C$1),FALSE),"")</f>
        <v>銃</v>
      </c>
      <c r="F225">
        <f>IFERROR(ROUNDDOWN((VLOOKUP($C225,武器!$1:$998,COLUMN(D$1),FALSE)+IFERROR(VLOOKUP($CI225,装強!$1:$999,COLUMN(F$1),FALSE),0))*VLOOKUP($D225,素材!$1:$1016,COLUMN(D$1),FALSE),0),"")</f>
        <v>0</v>
      </c>
      <c r="G225">
        <f>IFERROR(ROUNDDOWN((VLOOKUP($C225,武器!$1:$998,COLUMN(E$1),FALSE)+IFERROR(VLOOKUP($CI225,装強!$1:$999,COLUMN(G$1),FALSE),0))*VLOOKUP($D225,素材!$1:$1016,COLUMN($E$1),FALSE),0),"")</f>
        <v>0</v>
      </c>
      <c r="H225">
        <f>IFERROR(ROUNDDOWN((VLOOKUP($C225,武器!$1:$998,COLUMN(F$1),FALSE)+IFERROR(VLOOKUP($CI225,装強!$1:$999,COLUMN(H$1),FALSE),0))*VLOOKUP($D225,素材!$1:$1016,COLUMN($E$1),FALSE),0),"")</f>
        <v>0</v>
      </c>
      <c r="I225">
        <f>IFERROR(ROUNDDOWN((VLOOKUP($C225,武器!$1:$998,COLUMN(G$1),FALSE)+IFERROR(VLOOKUP($CI225,装強!$1:$999,COLUMN(I$1),FALSE),0))*VLOOKUP($D225,素材!$1:$1016,COLUMN($E$1),FALSE),0),"")</f>
        <v>0</v>
      </c>
      <c r="J225">
        <f>IFERROR(ROUNDDOWN((VLOOKUP($C225,武器!$1:$998,COLUMN(H$1),FALSE)+IFERROR(VLOOKUP($CI225,装強!$1:$999,COLUMN(J$1),FALSE),0))*VLOOKUP($D225,素材!$1:$1016,COLUMN($E$1),FALSE),0),"")</f>
        <v>0</v>
      </c>
      <c r="K225">
        <f>IFERROR(ROUNDDOWN((VLOOKUP($C225,武器!$1:$998,COLUMN(I$1),FALSE)+IFERROR(VLOOKUP($CI225,装強!$1:$999,COLUMN(K$1),FALSE),0))*VLOOKUP($D225,素材!$1:$1016,COLUMN($E$1),FALSE),0),"")</f>
        <v>51</v>
      </c>
      <c r="L225" t="str">
        <f>IFERROR(VLOOKUP($D225,素材!$1:$1016,COLUMN($F$1),FALSE),"")</f>
        <v>氷</v>
      </c>
      <c r="M225">
        <f>IFERROR(VLOOKUP($C225,武器!$1:$998,COLUMN(AA$1),FALSE)*VLOOKUP($D225,素材!$1:$1016,COLUMN($G$1),FALSE),"")</f>
        <v>0</v>
      </c>
      <c r="N225">
        <f>IFERROR(VLOOKUP($C225,武器!$1:$998,COLUMN(I$1),FALSE),"")</f>
        <v>2.5700000000000003</v>
      </c>
      <c r="O225" s="23">
        <f>IFERROR((VLOOKUP($C225,武器!$1:$998,COLUMN(K$1),FALSE)+VLOOKUP($D225,素材!$1:$1016,COLUMN(H$1),FALSE))*100+IFERROR(VLOOKUP($CI225,装強!$1:$999,COLUMN(O$1),FALSE),0),"")</f>
        <v>10</v>
      </c>
      <c r="P225" s="23">
        <f>IFERROR((VLOOKUP($C225,武器!$1:$998,COLUMN(L$1),FALSE)+VLOOKUP($D225,素材!$1:$1016,COLUMN(I$1),FALSE))*100+IFERROR(VLOOKUP($CI225,装強!$1:$999,COLUMN(P$1),FALSE),0),"")</f>
        <v>140</v>
      </c>
      <c r="Q225">
        <f>IFERROR(ROUNDUP(VLOOKUP($C225,武器!$1:$998,COLUMN(M$1),FALSE)*(VLOOKUP($D225,素材!$1:$1002,COLUMN(D$1),FALSE)/100),1),"")</f>
        <v>0</v>
      </c>
      <c r="R225">
        <f>IFERROR(ROUNDUP(VLOOKUP($C225,武器!$1:$998,COLUMN(N$1),FALSE)*(VLOOKUP($D225,素材!$1:$1002,COLUMN(D$1),FALSE)/100),1),"")</f>
        <v>-15</v>
      </c>
      <c r="S225">
        <f>IFERROR(VLOOKUP($C225,武器!$1:$998,COLUMN(P$1),FALSE),"")</f>
        <v>0</v>
      </c>
      <c r="T225">
        <f>IFERROR(VLOOKUP($C225,武器!$1:$998,COLUMN(Q$1),FALSE),"")</f>
        <v>2</v>
      </c>
      <c r="U225">
        <f>IFERROR(VLOOKUP($C225,武器!$1:$998,COLUMN(R$1),FALSE),"")</f>
        <v>6</v>
      </c>
      <c r="V225">
        <f>IFERROR(VLOOKUP($C225,武器!$1:$998,COLUMN(Q$1),FALSE),"")</f>
        <v>2</v>
      </c>
      <c r="W225">
        <f>IFERROR(VLOOKUP($C225,武器!$1:$998,COLUMN(T$1),FALSE),"")</f>
        <v>0</v>
      </c>
      <c r="Y225">
        <f>IFERROR(VLOOKUP($C225,武器!$1:$998,COLUMN(U$1),FALSE),"")</f>
        <v>0</v>
      </c>
      <c r="Z225">
        <f>IFERROR(ROUNDUP(VLOOKUP($C225,武器!$1:$998,COLUMN(O$1),FALSE)*VLOOKUP($D225,素材!$1:$1016,COLUMN(E$1),FALSE),1),"")</f>
        <v>0</v>
      </c>
      <c r="AA225">
        <f>IF(ISNUMBER(SEARCH(SUBSTITUTE(AA$1,RIGHT(AA$1,2),""),VLOOKUP($D225,素材!$1:$1016,COLUMN($F$1),FALSE))),VLOOKUP($C225,武器!$1:$998,COLUMN($O$1),FALSE)*VLOOKUP($D225,素材!$1:$1016,COLUMN($E$1),FALSE)/(LEN(VLOOKUP($D225,素材!$1:$1016,COLUMN($F$1),FALSE)) - LEN(SUBSTITUTE(VLOOKUP($D225,素材!$1:$1016,COLUMN($F$1),FALSE), "・", 0)) + 1), 0)</f>
        <v>0</v>
      </c>
      <c r="AB225">
        <f>IF(ISNUMBER(SEARCH(SUBSTITUTE(AB$1,RIGHT(AB$1,2),""),VLOOKUP($D225,素材!$1:$1016,COLUMN($F$1),FALSE))),VLOOKUP($C225,武器!$1:$998,COLUMN($O$1),FALSE)*VLOOKUP($D225,素材!$1:$1016,COLUMN($E$1),FALSE)/(LEN(VLOOKUP($D225,素材!$1:$1016,COLUMN($F$1),FALSE)) - LEN(SUBSTITUTE(VLOOKUP($D225,素材!$1:$1016,COLUMN($F$1),FALSE), "・", 0)) + 1), 0)</f>
        <v>0</v>
      </c>
      <c r="AC225">
        <f>IF(ISNUMBER(SEARCH(SUBSTITUTE(AC$1,RIGHT(AC$1,2),""),VLOOKUP($D225,素材!$1:$1016,COLUMN($F$1),FALSE))),VLOOKUP($C225,武器!$1:$998,COLUMN($O$1),FALSE)*VLOOKUP($D225,素材!$1:$1016,COLUMN($E$1),FALSE)/(LEN(VLOOKUP($D225,素材!$1:$1016,COLUMN($F$1),FALSE)) - LEN(SUBSTITUTE(VLOOKUP($D225,素材!$1:$1016,COLUMN($F$1),FALSE), "・", 0)) + 1), 0)</f>
        <v>0</v>
      </c>
      <c r="AD225">
        <f>IF(ISNUMBER(SEARCH(SUBSTITUTE(AD$1,RIGHT(AD$1,2),""),VLOOKUP($D225,素材!$1:$1016,COLUMN($F$1),FALSE))),VLOOKUP($C225,武器!$1:$998,COLUMN($O$1),FALSE)*VLOOKUP($D225,素材!$1:$1016,COLUMN($E$1),FALSE)/(LEN(VLOOKUP($D225,素材!$1:$1016,COLUMN($F$1),FALSE)) - LEN(SUBSTITUTE(VLOOKUP($D225,素材!$1:$1016,COLUMN($F$1),FALSE), "・", 0)) + 1), 0)</f>
        <v>0</v>
      </c>
      <c r="AE225">
        <f>IF(ISNUMBER(SEARCH(SUBSTITUTE(AE$1,RIGHT(AE$1,2),""),VLOOKUP($D225,素材!$1:$1016,COLUMN($F$1),FALSE))),VLOOKUP($C225,武器!$1:$998,COLUMN($O$1),FALSE)*VLOOKUP($D225,素材!$1:$1016,COLUMN($E$1),FALSE)/(LEN(VLOOKUP($D225,素材!$1:$1016,COLUMN($F$1),FALSE)) - LEN(SUBSTITUTE(VLOOKUP($D225,素材!$1:$1016,COLUMN($F$1),FALSE), "・", 0)) + 1), 0)</f>
        <v>0</v>
      </c>
      <c r="AF225">
        <f>IF(ISNUMBER(SEARCH(SUBSTITUTE(AF$1,RIGHT(AF$1,2),""),VLOOKUP($D225,素材!$1:$1016,COLUMN($F$1),FALSE))),VLOOKUP($C225,武器!$1:$998,COLUMN($O$1),FALSE)*VLOOKUP($D225,素材!$1:$1016,COLUMN($E$1),FALSE)/(LEN(VLOOKUP($D225,素材!$1:$1016,COLUMN($F$1),FALSE)) - LEN(SUBSTITUTE(VLOOKUP($D225,素材!$1:$1016,COLUMN($F$1),FALSE), "・", 0)) + 1), 0)</f>
        <v>0</v>
      </c>
      <c r="AG225">
        <f>IF(ISNUMBER(SEARCH(SUBSTITUTE(AG$1,RIGHT(AG$1,2),""),VLOOKUP($D225,素材!$1:$1016,COLUMN($F$1),FALSE))),VLOOKUP($C225,武器!$1:$998,COLUMN($O$1),FALSE)*VLOOKUP($D225,素材!$1:$1016,COLUMN($E$1),FALSE)/(LEN(VLOOKUP($D225,素材!$1:$1016,COLUMN($F$1),FALSE)) - LEN(SUBSTITUTE(VLOOKUP($D225,素材!$1:$1016,COLUMN($F$1),FALSE), "・", 0)) + 1), 0)</f>
        <v>0</v>
      </c>
      <c r="AH225">
        <f>IF(ISNUMBER(SEARCH(SUBSTITUTE(AH$1,RIGHT(AH$1,2),""),VLOOKUP($D225,素材!$1:$1016,COLUMN($F$1),FALSE))),VLOOKUP($C225,武器!$1:$998,COLUMN($O$1),FALSE)*VLOOKUP($D225,素材!$1:$1016,COLUMN($E$1),FALSE)/(LEN(VLOOKUP($D225,素材!$1:$1016,COLUMN($F$1),FALSE)) - LEN(SUBSTITUTE(VLOOKUP($D225,素材!$1:$1016,COLUMN($F$1),FALSE), "・", 0)) + 1), 0)</f>
        <v>0</v>
      </c>
      <c r="AI225">
        <f>IF(ISNUMBER(SEARCH(SUBSTITUTE(AI$1,RIGHT(AI$1,2),""),VLOOKUP($D225,素材!$1:$1016,COLUMN($F$1),FALSE))),VLOOKUP($C225,武器!$1:$998,COLUMN($O$1),FALSE)*VLOOKUP($D225,素材!$1:$1016,COLUMN($E$1),FALSE)/(LEN(VLOOKUP($D225,素材!$1:$1016,COLUMN($F$1),FALSE)) - LEN(SUBSTITUTE(VLOOKUP($D225,素材!$1:$1016,COLUMN($F$1),FALSE), "・", 0)) + 1), 0)</f>
        <v>0</v>
      </c>
      <c r="AJ225">
        <f>IF(ISNUMBER(SEARCH(SUBSTITUTE(AJ$1,RIGHT(AJ$1,2),""),VLOOKUP($D225,素材!$1:$1016,COLUMN($F$1),FALSE))),VLOOKUP($C225,武器!$1:$998,COLUMN($O$1),FALSE)*VLOOKUP($D225,素材!$1:$1016,COLUMN($E$1),FALSE)/(LEN(VLOOKUP($D225,素材!$1:$1016,COLUMN($F$1),FALSE)) - LEN(SUBSTITUTE(VLOOKUP($D225,素材!$1:$1016,COLUMN($F$1),FALSE), "・", 0)) + 1), 0)</f>
        <v>0</v>
      </c>
      <c r="AK225">
        <f>IF(ISNUMBER(SEARCH(SUBSTITUTE(AK$1,RIGHT(AK$1,2),""),VLOOKUP($D225,素材!$1:$1016,COLUMN($F$1),FALSE))),VLOOKUP($C225,武器!$1:$998,COLUMN($O$1),FALSE)*VLOOKUP($D225,素材!$1:$1016,COLUMN($E$1),FALSE)/(LEN(VLOOKUP($D225,素材!$1:$1016,COLUMN($F$1),FALSE)) - LEN(SUBSTITUTE(VLOOKUP($D225,素材!$1:$1016,COLUMN($F$1),FALSE), "・", 0)) + 1), 0)</f>
        <v>0</v>
      </c>
      <c r="AL225">
        <f>IF(ISNUMBER(SEARCH(SUBSTITUTE(AL$1,RIGHT(AL$1,2),""),VLOOKUP($D225,素材!$1:$1016,COLUMN($F$1),FALSE))),VLOOKUP($C225,武器!$1:$998,COLUMN($O$1),FALSE)*VLOOKUP($D225,素材!$1:$1016,COLUMN($E$1),FALSE)/(LEN(VLOOKUP($D225,素材!$1:$1016,COLUMN($F$1),FALSE)) - LEN(SUBSTITUTE(VLOOKUP($D225,素材!$1:$1016,COLUMN($F$1),FALSE), "・", 0)) + 1), 0)</f>
        <v>0</v>
      </c>
      <c r="AM225">
        <f>IF(ISNUMBER(SEARCH(SUBSTITUTE(AM$1,RIGHT(AM$1,2),""),VLOOKUP($D225,素材!$1:$1016,COLUMN($F$1),FALSE))),VLOOKUP($C225,武器!$1:$998,COLUMN($O$1),FALSE)*VLOOKUP($D225,素材!$1:$1016,COLUMN($E$1),FALSE)/(LEN(VLOOKUP($D225,素材!$1:$1016,COLUMN($F$1),FALSE)) - LEN(SUBSTITUTE(VLOOKUP($D225,素材!$1:$1016,COLUMN($F$1),FALSE), "・", 0)) + 1), 0)</f>
        <v>0</v>
      </c>
      <c r="AN225">
        <f>IF(ISNUMBER(SEARCH(SUBSTITUTE(AN$1,RIGHT(AN$1,2),""),VLOOKUP($D225,素材!$1:$1016,COLUMN($F$1),FALSE))),VLOOKUP($C225,武器!$1:$998,COLUMN($O$1),FALSE)*VLOOKUP($D225,素材!$1:$1016,COLUMN($E$1),FALSE)/(LEN(VLOOKUP($D225,素材!$1:$1016,COLUMN($F$1),FALSE)) - LEN(SUBSTITUTE(VLOOKUP($D225,素材!$1:$1016,COLUMN($F$1),FALSE), "・", 0)) + 1), 0)</f>
        <v>0</v>
      </c>
      <c r="AO225">
        <f>IF(ISNUMBER(SEARCH(SUBSTITUTE(AO$1,RIGHT(AO$1,2),""),VLOOKUP($D225,素材!$1:$1016,COLUMN($F$1),FALSE))),VLOOKUP($C225,武器!$1:$998,COLUMN($O$1),FALSE)*VLOOKUP($D225,素材!$1:$1016,COLUMN($E$1),FALSE)/(LEN(VLOOKUP($D225,素材!$1:$1016,COLUMN($F$1),FALSE)) - LEN(SUBSTITUTE(VLOOKUP($D225,素材!$1:$1016,COLUMN($F$1),FALSE), "・", 0)) + 1), 0)</f>
        <v>0</v>
      </c>
      <c r="AP225">
        <f>IF(ISNUMBER(SEARCH(SUBSTITUTE(AP$1,RIGHT(AP$1,2),""),VLOOKUP($D225,素材!$1:$1016,COLUMN($F$1),FALSE))),VLOOKUP($C225,武器!$1:$998,COLUMN($O$1),FALSE)*VLOOKUP($D225,素材!$1:$1016,COLUMN($E$1),FALSE)/(LEN(VLOOKUP($D225,素材!$1:$1016,COLUMN($F$1),FALSE)) - LEN(SUBSTITUTE(VLOOKUP($D225,素材!$1:$1016,COLUMN($F$1),FALSE), "・", 0)) + 1), 0)</f>
        <v>0</v>
      </c>
      <c r="AQ225">
        <f>IF(ISNUMBER(SEARCH(SUBSTITUTE(AQ$1,RIGHT(AQ$1,2),""),VLOOKUP($D225,素材!$1:$1016,COLUMN($F$1),FALSE))),VLOOKUP($C225,武器!$1:$998,COLUMN($O$1),FALSE)*VLOOKUP($D225,素材!$1:$1016,COLUMN($E$1),FALSE)/(LEN(VLOOKUP($D225,素材!$1:$1016,COLUMN($F$1),FALSE)) - LEN(SUBSTITUTE(VLOOKUP($D225,素材!$1:$1016,COLUMN($F$1),FALSE), "・", 0)) + 1), 0)</f>
        <v>0</v>
      </c>
      <c r="AR225">
        <f>IF(ISNUMBER(SEARCH(SUBSTITUTE(AR$1,RIGHT(AR$1,2),""),VLOOKUP($D225,素材!$1:$1016,COLUMN($F$1),FALSE))),VLOOKUP($C225,武器!$1:$998,COLUMN($O$1),FALSE)*VLOOKUP($D225,素材!$1:$1016,COLUMN($E$1),FALSE)/(LEN(VLOOKUP($D225,素材!$1:$1016,COLUMN($F$1),FALSE)) - LEN(SUBSTITUTE(VLOOKUP($D225,素材!$1:$1016,COLUMN($F$1),FALSE), "・", 0)) + 1), 0)</f>
        <v>0</v>
      </c>
      <c r="AS225">
        <f>IF(ISNUMBER(SEARCH(SUBSTITUTE(AS$1,RIGHT(AS$1,2),""),VLOOKUP($D225,素材!$1:$1016,COLUMN($F$1),FALSE))),VLOOKUP($C225,武器!$1:$998,COLUMN($O$1),FALSE)*VLOOKUP($D225,素材!$1:$1016,COLUMN($E$1),FALSE)/(LEN(VLOOKUP($D225,素材!$1:$1016,COLUMN($F$1),FALSE)) - LEN(SUBSTITUTE(VLOOKUP($D225,素材!$1:$1016,COLUMN($F$1),FALSE), "・", 0)) + 1), 0)</f>
        <v>0</v>
      </c>
      <c r="AT225">
        <f>IF(ISNUMBER(SEARCH(SUBSTITUTE(AT$1,RIGHT(AT$1,2),""),VLOOKUP($D225,素材!$1:$1016,COLUMN($F$1),FALSE))),VLOOKUP($C225,武器!$1:$998,COLUMN($O$1),FALSE)*VLOOKUP($D225,素材!$1:$1016,COLUMN($E$1),FALSE)/(LEN(VLOOKUP($D225,素材!$1:$1016,COLUMN($F$1),FALSE)) - LEN(SUBSTITUTE(VLOOKUP($D225,素材!$1:$1016,COLUMN($F$1),FALSE), "・", 0)) + 1), 0)</f>
        <v>0</v>
      </c>
      <c r="AU225">
        <f>IF(ISNUMBER(SEARCH(SUBSTITUTE(AU$1,RIGHT(AU$1,2),""),VLOOKUP($D225,素材!$1:$1016,COLUMN($F$1),FALSE))),VLOOKUP($C225,武器!$1:$998,COLUMN($O$1),FALSE)*VLOOKUP($D225,素材!$1:$1016,COLUMN($E$1),FALSE)/(LEN(VLOOKUP($D225,素材!$1:$1016,COLUMN($F$1),FALSE)) - LEN(SUBSTITUTE(VLOOKUP($D225,素材!$1:$1016,COLUMN($F$1),FALSE), "・", 0)) + 1), 0)</f>
        <v>0</v>
      </c>
      <c r="AV225">
        <f>IF(ISNUMBER(SEARCH(SUBSTITUTE(AV$1,RIGHT(AV$1,2),""),VLOOKUP($D225,素材!$1:$1016,COLUMN($F$1),FALSE))),VLOOKUP($C225,武器!$1:$998,COLUMN($O$1),FALSE)*VLOOKUP($D225,素材!$1:$1016,COLUMN($E$1),FALSE)/(LEN(VLOOKUP($D225,素材!$1:$1016,COLUMN($F$1),FALSE)) - LEN(SUBSTITUTE(VLOOKUP($D225,素材!$1:$1016,COLUMN($F$1),FALSE), "・", 0)) + 1), 0)</f>
        <v>0</v>
      </c>
      <c r="AW225">
        <f>IF(ISNUMBER(SEARCH(SUBSTITUTE(AW$1,RIGHT(AW$1,2),""),VLOOKUP($D225,素材!$1:$1016,COLUMN($F$1),FALSE))),VLOOKUP($C225,武器!$1:$998,COLUMN($O$1),FALSE)*VLOOKUP($D225,素材!$1:$1016,COLUMN($E$1),FALSE)/(LEN(VLOOKUP($D225,素材!$1:$1016,COLUMN($F$1),FALSE)) - LEN(SUBSTITUTE(VLOOKUP($D225,素材!$1:$1016,COLUMN($F$1),FALSE), "・", 0)) + 1), 0)</f>
        <v>0</v>
      </c>
      <c r="AX225">
        <f>IF(ISNUMBER(SEARCH(SUBSTITUTE(AX$1,RIGHT(AX$1,2),""),VLOOKUP($D225,素材!$1:$1016,COLUMN($F$1),FALSE))),VLOOKUP($C225,武器!$1:$998,COLUMN($O$1),FALSE)*VLOOKUP($D225,素材!$1:$1016,COLUMN($E$1),FALSE)/(LEN(VLOOKUP($D225,素材!$1:$1016,COLUMN($F$1),FALSE)) - LEN(SUBSTITUTE(VLOOKUP($D225,素材!$1:$1016,COLUMN($F$1),FALSE), "・", 0)) + 1), 0)</f>
        <v>0</v>
      </c>
      <c r="AY225">
        <f>IF(ISNUMBER(SEARCH(SUBSTITUTE(AY$1,RIGHT(AY$1,2),""),VLOOKUP($D225,素材!$1:$1016,COLUMN($F$1),FALSE))),VLOOKUP($C225,武器!$1:$998,COLUMN($O$1),FALSE)*VLOOKUP($D225,素材!$1:$1016,COLUMN($E$1),FALSE)/(LEN(VLOOKUP($D225,素材!$1:$1016,COLUMN($F$1),FALSE)) - LEN(SUBSTITUTE(VLOOKUP($D225,素材!$1:$1016,COLUMN($F$1),FALSE), "・", 0)) + 1), 0)</f>
        <v>0</v>
      </c>
      <c r="AZ225">
        <f>IF(ISNUMBER(SEARCH(SUBSTITUTE(AZ$1,RIGHT(AZ$1,2),""),VLOOKUP($D225,素材!$1:$1016,COLUMN($F$1),FALSE))),VLOOKUP($C225,武器!$1:$998,COLUMN($O$1),FALSE)*VLOOKUP($D225,素材!$1:$1016,COLUMN($E$1),FALSE)/(LEN(VLOOKUP($D225,素材!$1:$1016,COLUMN($F$1),FALSE)) - LEN(SUBSTITUTE(VLOOKUP($D225,素材!$1:$1016,COLUMN($F$1),FALSE), "・", 0)) + 1), 0)</f>
        <v>0</v>
      </c>
      <c r="BA225">
        <f>IF(ISNUMBER(SEARCH(SUBSTITUTE(BA$1,RIGHT(BA$1,2),""),VLOOKUP($D225,素材!$1:$1016,COLUMN($F$1),FALSE))),VLOOKUP($C225,武器!$1:$998,COLUMN($O$1),FALSE)*VLOOKUP($D225,素材!$1:$1016,COLUMN($E$1),FALSE)/(LEN(VLOOKUP($D225,素材!$1:$1016,COLUMN($F$1),FALSE)) - LEN(SUBSTITUTE(VLOOKUP($D225,素材!$1:$1016,COLUMN($F$1),FALSE), "・", 0)) + 1), 0)</f>
        <v>0</v>
      </c>
      <c r="BB225">
        <f>IF(ISNUMBER(SEARCH(SUBSTITUTE(BB$1,RIGHT(BB$1,2),""),VLOOKUP($D225,素材!$1:$1016,COLUMN($F$1),FALSE))),VLOOKUP($C225,武器!$1:$998,COLUMN($O$1),FALSE)*VLOOKUP($D225,素材!$1:$1016,COLUMN($E$1),FALSE)/(LEN(VLOOKUP($D225,素材!$1:$1016,COLUMN($F$1),FALSE)) - LEN(SUBSTITUTE(VLOOKUP($D225,素材!$1:$1016,COLUMN($F$1),FALSE), "・", 0)) + 1), 0)</f>
        <v>0</v>
      </c>
      <c r="BC225">
        <f>IF(ISNUMBER(SEARCH(SUBSTITUTE(BC$1,RIGHT(BC$1,2),""),VLOOKUP($D225,素材!$1:$1016,COLUMN($F$1),FALSE))),VLOOKUP($C225,武器!$1:$998,COLUMN($O$1),FALSE)*VLOOKUP($D225,素材!$1:$1016,COLUMN($E$1),FALSE)/(LEN(VLOOKUP($D225,素材!$1:$1016,COLUMN($F$1),FALSE)) - LEN(SUBSTITUTE(VLOOKUP($D225,素材!$1:$1016,COLUMN($F$1),FALSE), "・", 0)) + 1), 0)</f>
        <v>0</v>
      </c>
      <c r="BD225">
        <f>IF(ISNUMBER(SEARCH(SUBSTITUTE(BD$1,RIGHT(BD$1,2),""),VLOOKUP($D225,素材!$1:$1016,COLUMN($F$1),FALSE))),VLOOKUP($C225,武器!$1:$998,COLUMN($O$1),FALSE)*VLOOKUP($D225,素材!$1:$1016,COLUMN($E$1),FALSE)/(LEN(VLOOKUP($D225,素材!$1:$1016,COLUMN($F$1),FALSE)) - LEN(SUBSTITUTE(VLOOKUP($D225,素材!$1:$1016,COLUMN($F$1),FALSE), "・", 0)) + 1), 0)</f>
        <v>0</v>
      </c>
      <c r="BE225">
        <f>IF(ISNUMBER(SEARCH(SUBSTITUTE(BE$1,RIGHT(BE$1,2),""),VLOOKUP($D225,素材!$1:$1016,COLUMN($F$1),FALSE))),VLOOKUP($C225,武器!$1:$998,COLUMN($O$1),FALSE)*VLOOKUP($D225,素材!$1:$1016,COLUMN($E$1),FALSE)/(LEN(VLOOKUP($D225,素材!$1:$1016,COLUMN($F$1),FALSE)) - LEN(SUBSTITUTE(VLOOKUP($D225,素材!$1:$1016,COLUMN($F$1),FALSE), "・", 0)) + 1), 0)</f>
        <v>0</v>
      </c>
      <c r="CL225">
        <f>SUM(G225:I225)</f>
        <v>0</v>
      </c>
      <c r="CM225" s="22" t="str">
        <f>IF(E225="武器",IF(J225-1&gt;SUM(G225:I225),"盾",IF(MAX(G225:I225)=G225,"切断",IF(MAX(G225:I225)=H225,"貫通",IF(MAX(G225:I225)=I225,"打撃","射撃")))),E225)&amp;".webp"</f>
        <v>銃.webp</v>
      </c>
      <c r="CN225">
        <f>IFERROR(VLOOKUP($C225,武器!$1:$998,COLUMN(V$1),FALSE)*VLOOKUP($D225,素材!$1:$1016,COLUMN(N$1),FALSE)+IF(CI225="",0,VLOOKUP($CI225,装強!$1:$1008,COLUMN($CK$1),FALSE)),"")</f>
        <v>3000</v>
      </c>
      <c r="CO225">
        <f>VLOOKUP(D225,素材!$A:$O,COLUMN(素材!O$1),FALSE)</f>
        <v>0</v>
      </c>
      <c r="CP225" t="str">
        <f>VLOOKUP(C225,武器!$A:$W,COLUMN(武器!W$1),FALSE)</f>
        <v/>
      </c>
      <c r="CR225" t="str">
        <f t="shared" si="29"/>
        <v>e_225</v>
      </c>
      <c r="CS225">
        <f t="shared" si="30"/>
        <v>300000</v>
      </c>
    </row>
    <row r="226" spans="1:97" outlineLevel="1" x14ac:dyDescent="0.4">
      <c r="A226" t="str">
        <f t="shared" si="31"/>
        <v>冷気鉄の拳銃</v>
      </c>
      <c r="B226" t="str">
        <f>IFERROR(VLOOKUP($D226,素材!$1:$1016,COLUMN($B$1),FALSE)&amp;"・"&amp;VLOOKUP($C226,武器!$1:$998,COLUMN(B$1),FALSE),"")</f>
        <v>ドゥララン・ハンドガン</v>
      </c>
      <c r="C226" t="s">
        <v>211</v>
      </c>
      <c r="D226" s="24" t="s">
        <v>243</v>
      </c>
      <c r="E226" t="str">
        <f>IFERROR(VLOOKUP(C226,武器!$1:$998,COLUMN(C$1),FALSE),"")</f>
        <v>銃</v>
      </c>
      <c r="F226">
        <f>IFERROR(ROUNDDOWN((VLOOKUP($C226,武器!$1:$998,COLUMN(D$1),FALSE)+IFERROR(VLOOKUP($CI226,装強!$1:$999,COLUMN(F$1),FALSE),0))*VLOOKUP($D226,素材!$1:$1016,COLUMN(D$1),FALSE),0),"")</f>
        <v>0</v>
      </c>
      <c r="G226">
        <f>IFERROR(ROUNDDOWN((VLOOKUP($C226,武器!$1:$998,COLUMN(E$1),FALSE)+IFERROR(VLOOKUP($CI226,装強!$1:$999,COLUMN(G$1),FALSE),0))*VLOOKUP($D226,素材!$1:$1016,COLUMN($E$1),FALSE),0),"")</f>
        <v>0</v>
      </c>
      <c r="H226">
        <f>IFERROR(ROUNDDOWN((VLOOKUP($C226,武器!$1:$998,COLUMN(F$1),FALSE)+IFERROR(VLOOKUP($CI226,装強!$1:$999,COLUMN(H$1),FALSE),0))*VLOOKUP($D226,素材!$1:$1016,COLUMN($E$1),FALSE),0),"")</f>
        <v>0</v>
      </c>
      <c r="I226">
        <f>IFERROR(ROUNDDOWN((VLOOKUP($C226,武器!$1:$998,COLUMN(G$1),FALSE)+IFERROR(VLOOKUP($CI226,装強!$1:$999,COLUMN(I$1),FALSE),0))*VLOOKUP($D226,素材!$1:$1016,COLUMN($E$1),FALSE),0),"")</f>
        <v>0</v>
      </c>
      <c r="J226">
        <f>IFERROR(ROUNDDOWN((VLOOKUP($C226,武器!$1:$998,COLUMN(H$1),FALSE)+IFERROR(VLOOKUP($CI226,装強!$1:$999,COLUMN(J$1),FALSE),0))*VLOOKUP($D226,素材!$1:$1016,COLUMN($E$1),FALSE),0),"")</f>
        <v>0</v>
      </c>
      <c r="K226">
        <f>IFERROR(ROUNDDOWN((VLOOKUP($C226,武器!$1:$998,COLUMN(I$1),FALSE)+IFERROR(VLOOKUP($CI226,装強!$1:$999,COLUMN(K$1),FALSE),0))*VLOOKUP($D226,素材!$1:$1016,COLUMN($E$1),FALSE),0),"")</f>
        <v>36</v>
      </c>
      <c r="L226" t="str">
        <f>IFERROR(VLOOKUP($D226,素材!$1:$1016,COLUMN($F$1),FALSE),"")</f>
        <v>氷</v>
      </c>
      <c r="M226">
        <f>IFERROR(VLOOKUP($C226,武器!$1:$998,COLUMN(AA$1),FALSE)*VLOOKUP($D226,素材!$1:$1016,COLUMN($G$1),FALSE),"")</f>
        <v>0</v>
      </c>
      <c r="N226">
        <f>IFERROR(VLOOKUP($C226,武器!$1:$998,COLUMN(I$1),FALSE),"")</f>
        <v>1.8</v>
      </c>
      <c r="O226" s="23">
        <f>IFERROR((VLOOKUP($C226,武器!$1:$998,COLUMN(K$1),FALSE)+VLOOKUP($D226,素材!$1:$1016,COLUMN(H$1),FALSE))*100+IFERROR(VLOOKUP($CI226,装強!$1:$999,COLUMN(O$1),FALSE),0),"")</f>
        <v>15</v>
      </c>
      <c r="P226" s="23">
        <f>IFERROR((VLOOKUP($C226,武器!$1:$998,COLUMN(L$1),FALSE)+VLOOKUP($D226,素材!$1:$1016,COLUMN(I$1),FALSE))*100+IFERROR(VLOOKUP($CI226,装強!$1:$999,COLUMN(P$1),FALSE),0),"")</f>
        <v>175</v>
      </c>
      <c r="Q226">
        <f>IFERROR(ROUNDUP(VLOOKUP($C226,武器!$1:$998,COLUMN(M$1),FALSE)*(VLOOKUP($D226,素材!$1:$1002,COLUMN(D$1),FALSE)/100),1),"")</f>
        <v>0</v>
      </c>
      <c r="R226">
        <f>IFERROR(ROUNDUP(VLOOKUP($C226,武器!$1:$998,COLUMN(N$1),FALSE)*(VLOOKUP($D226,素材!$1:$1002,COLUMN(D$1),FALSE)/100),1),"")</f>
        <v>0</v>
      </c>
      <c r="S226">
        <f>IFERROR(VLOOKUP($C226,武器!$1:$998,COLUMN(P$1),FALSE),"")</f>
        <v>0</v>
      </c>
      <c r="T226">
        <f>IFERROR(VLOOKUP($C226,武器!$1:$998,COLUMN(Q$1),FALSE),"")</f>
        <v>3</v>
      </c>
      <c r="U226">
        <f>IFERROR(VLOOKUP($C226,武器!$1:$998,COLUMN(R$1),FALSE),"")</f>
        <v>1</v>
      </c>
      <c r="V226">
        <f>IFERROR(VLOOKUP($C226,武器!$1:$998,COLUMN(Q$1),FALSE),"")</f>
        <v>3</v>
      </c>
      <c r="W226">
        <f>IFERROR(VLOOKUP($C226,武器!$1:$998,COLUMN(T$1),FALSE),"")</f>
        <v>0</v>
      </c>
      <c r="Y226">
        <f>IFERROR(VLOOKUP($C226,武器!$1:$998,COLUMN(U$1),FALSE),"")</f>
        <v>0</v>
      </c>
      <c r="Z226">
        <f>IFERROR(ROUNDUP(VLOOKUP($C226,武器!$1:$998,COLUMN(O$1),FALSE)*VLOOKUP($D226,素材!$1:$1016,COLUMN(E$1),FALSE),1),"")</f>
        <v>0</v>
      </c>
      <c r="AA226">
        <f>IF(ISNUMBER(SEARCH(SUBSTITUTE(AA$1,RIGHT(AA$1,2),""),VLOOKUP($D226,素材!$1:$1016,COLUMN($F$1),FALSE))),VLOOKUP($C226,武器!$1:$998,COLUMN($O$1),FALSE)*VLOOKUP($D226,素材!$1:$1016,COLUMN($E$1),FALSE)/(LEN(VLOOKUP($D226,素材!$1:$1016,COLUMN($F$1),FALSE)) - LEN(SUBSTITUTE(VLOOKUP($D226,素材!$1:$1016,COLUMN($F$1),FALSE), "・", 0)) + 1), 0)</f>
        <v>0</v>
      </c>
      <c r="AB226">
        <f>IF(ISNUMBER(SEARCH(SUBSTITUTE(AB$1,RIGHT(AB$1,2),""),VLOOKUP($D226,素材!$1:$1016,COLUMN($F$1),FALSE))),VLOOKUP($C226,武器!$1:$998,COLUMN($O$1),FALSE)*VLOOKUP($D226,素材!$1:$1016,COLUMN($E$1),FALSE)/(LEN(VLOOKUP($D226,素材!$1:$1016,COLUMN($F$1),FALSE)) - LEN(SUBSTITUTE(VLOOKUP($D226,素材!$1:$1016,COLUMN($F$1),FALSE), "・", 0)) + 1), 0)</f>
        <v>0</v>
      </c>
      <c r="AC226">
        <f>IF(ISNUMBER(SEARCH(SUBSTITUTE(AC$1,RIGHT(AC$1,2),""),VLOOKUP($D226,素材!$1:$1016,COLUMN($F$1),FALSE))),VLOOKUP($C226,武器!$1:$998,COLUMN($O$1),FALSE)*VLOOKUP($D226,素材!$1:$1016,COLUMN($E$1),FALSE)/(LEN(VLOOKUP($D226,素材!$1:$1016,COLUMN($F$1),FALSE)) - LEN(SUBSTITUTE(VLOOKUP($D226,素材!$1:$1016,COLUMN($F$1),FALSE), "・", 0)) + 1), 0)</f>
        <v>0</v>
      </c>
      <c r="AD226">
        <f>IF(ISNUMBER(SEARCH(SUBSTITUTE(AD$1,RIGHT(AD$1,2),""),VLOOKUP($D226,素材!$1:$1016,COLUMN($F$1),FALSE))),VLOOKUP($C226,武器!$1:$998,COLUMN($O$1),FALSE)*VLOOKUP($D226,素材!$1:$1016,COLUMN($E$1),FALSE)/(LEN(VLOOKUP($D226,素材!$1:$1016,COLUMN($F$1),FALSE)) - LEN(SUBSTITUTE(VLOOKUP($D226,素材!$1:$1016,COLUMN($F$1),FALSE), "・", 0)) + 1), 0)</f>
        <v>0</v>
      </c>
      <c r="AE226">
        <f>IF(ISNUMBER(SEARCH(SUBSTITUTE(AE$1,RIGHT(AE$1,2),""),VLOOKUP($D226,素材!$1:$1016,COLUMN($F$1),FALSE))),VLOOKUP($C226,武器!$1:$998,COLUMN($O$1),FALSE)*VLOOKUP($D226,素材!$1:$1016,COLUMN($E$1),FALSE)/(LEN(VLOOKUP($D226,素材!$1:$1016,COLUMN($F$1),FALSE)) - LEN(SUBSTITUTE(VLOOKUP($D226,素材!$1:$1016,COLUMN($F$1),FALSE), "・", 0)) + 1), 0)</f>
        <v>0</v>
      </c>
      <c r="AF226">
        <f>IF(ISNUMBER(SEARCH(SUBSTITUTE(AF$1,RIGHT(AF$1,2),""),VLOOKUP($D226,素材!$1:$1016,COLUMN($F$1),FALSE))),VLOOKUP($C226,武器!$1:$998,COLUMN($O$1),FALSE)*VLOOKUP($D226,素材!$1:$1016,COLUMN($E$1),FALSE)/(LEN(VLOOKUP($D226,素材!$1:$1016,COLUMN($F$1),FALSE)) - LEN(SUBSTITUTE(VLOOKUP($D226,素材!$1:$1016,COLUMN($F$1),FALSE), "・", 0)) + 1), 0)</f>
        <v>0</v>
      </c>
      <c r="AG226">
        <f>IF(ISNUMBER(SEARCH(SUBSTITUTE(AG$1,RIGHT(AG$1,2),""),VLOOKUP($D226,素材!$1:$1016,COLUMN($F$1),FALSE))),VLOOKUP($C226,武器!$1:$998,COLUMN($O$1),FALSE)*VLOOKUP($D226,素材!$1:$1016,COLUMN($E$1),FALSE)/(LEN(VLOOKUP($D226,素材!$1:$1016,COLUMN($F$1),FALSE)) - LEN(SUBSTITUTE(VLOOKUP($D226,素材!$1:$1016,COLUMN($F$1),FALSE), "・", 0)) + 1), 0)</f>
        <v>0</v>
      </c>
      <c r="AH226">
        <f>IF(ISNUMBER(SEARCH(SUBSTITUTE(AH$1,RIGHT(AH$1,2),""),VLOOKUP($D226,素材!$1:$1016,COLUMN($F$1),FALSE))),VLOOKUP($C226,武器!$1:$998,COLUMN($O$1),FALSE)*VLOOKUP($D226,素材!$1:$1016,COLUMN($E$1),FALSE)/(LEN(VLOOKUP($D226,素材!$1:$1016,COLUMN($F$1),FALSE)) - LEN(SUBSTITUTE(VLOOKUP($D226,素材!$1:$1016,COLUMN($F$1),FALSE), "・", 0)) + 1), 0)</f>
        <v>0</v>
      </c>
      <c r="AI226">
        <f>IF(ISNUMBER(SEARCH(SUBSTITUTE(AI$1,RIGHT(AI$1,2),""),VLOOKUP($D226,素材!$1:$1016,COLUMN($F$1),FALSE))),VLOOKUP($C226,武器!$1:$998,COLUMN($O$1),FALSE)*VLOOKUP($D226,素材!$1:$1016,COLUMN($E$1),FALSE)/(LEN(VLOOKUP($D226,素材!$1:$1016,COLUMN($F$1),FALSE)) - LEN(SUBSTITUTE(VLOOKUP($D226,素材!$1:$1016,COLUMN($F$1),FALSE), "・", 0)) + 1), 0)</f>
        <v>0</v>
      </c>
      <c r="AJ226">
        <f>IF(ISNUMBER(SEARCH(SUBSTITUTE(AJ$1,RIGHT(AJ$1,2),""),VLOOKUP($D226,素材!$1:$1016,COLUMN($F$1),FALSE))),VLOOKUP($C226,武器!$1:$998,COLUMN($O$1),FALSE)*VLOOKUP($D226,素材!$1:$1016,COLUMN($E$1),FALSE)/(LEN(VLOOKUP($D226,素材!$1:$1016,COLUMN($F$1),FALSE)) - LEN(SUBSTITUTE(VLOOKUP($D226,素材!$1:$1016,COLUMN($F$1),FALSE), "・", 0)) + 1), 0)</f>
        <v>0</v>
      </c>
      <c r="AK226">
        <f>IF(ISNUMBER(SEARCH(SUBSTITUTE(AK$1,RIGHT(AK$1,2),""),VLOOKUP($D226,素材!$1:$1016,COLUMN($F$1),FALSE))),VLOOKUP($C226,武器!$1:$998,COLUMN($O$1),FALSE)*VLOOKUP($D226,素材!$1:$1016,COLUMN($E$1),FALSE)/(LEN(VLOOKUP($D226,素材!$1:$1016,COLUMN($F$1),FALSE)) - LEN(SUBSTITUTE(VLOOKUP($D226,素材!$1:$1016,COLUMN($F$1),FALSE), "・", 0)) + 1), 0)</f>
        <v>0</v>
      </c>
      <c r="AL226">
        <f>IF(ISNUMBER(SEARCH(SUBSTITUTE(AL$1,RIGHT(AL$1,2),""),VLOOKUP($D226,素材!$1:$1016,COLUMN($F$1),FALSE))),VLOOKUP($C226,武器!$1:$998,COLUMN($O$1),FALSE)*VLOOKUP($D226,素材!$1:$1016,COLUMN($E$1),FALSE)/(LEN(VLOOKUP($D226,素材!$1:$1016,COLUMN($F$1),FALSE)) - LEN(SUBSTITUTE(VLOOKUP($D226,素材!$1:$1016,COLUMN($F$1),FALSE), "・", 0)) + 1), 0)</f>
        <v>0</v>
      </c>
      <c r="AM226">
        <f>IF(ISNUMBER(SEARCH(SUBSTITUTE(AM$1,RIGHT(AM$1,2),""),VLOOKUP($D226,素材!$1:$1016,COLUMN($F$1),FALSE))),VLOOKUP($C226,武器!$1:$998,COLUMN($O$1),FALSE)*VLOOKUP($D226,素材!$1:$1016,COLUMN($E$1),FALSE)/(LEN(VLOOKUP($D226,素材!$1:$1016,COLUMN($F$1),FALSE)) - LEN(SUBSTITUTE(VLOOKUP($D226,素材!$1:$1016,COLUMN($F$1),FALSE), "・", 0)) + 1), 0)</f>
        <v>0</v>
      </c>
      <c r="AN226">
        <f>IF(ISNUMBER(SEARCH(SUBSTITUTE(AN$1,RIGHT(AN$1,2),""),VLOOKUP($D226,素材!$1:$1016,COLUMN($F$1),FALSE))),VLOOKUP($C226,武器!$1:$998,COLUMN($O$1),FALSE)*VLOOKUP($D226,素材!$1:$1016,COLUMN($E$1),FALSE)/(LEN(VLOOKUP($D226,素材!$1:$1016,COLUMN($F$1),FALSE)) - LEN(SUBSTITUTE(VLOOKUP($D226,素材!$1:$1016,COLUMN($F$1),FALSE), "・", 0)) + 1), 0)</f>
        <v>0</v>
      </c>
      <c r="AO226">
        <f>IF(ISNUMBER(SEARCH(SUBSTITUTE(AO$1,RIGHT(AO$1,2),""),VLOOKUP($D226,素材!$1:$1016,COLUMN($F$1),FALSE))),VLOOKUP($C226,武器!$1:$998,COLUMN($O$1),FALSE)*VLOOKUP($D226,素材!$1:$1016,COLUMN($E$1),FALSE)/(LEN(VLOOKUP($D226,素材!$1:$1016,COLUMN($F$1),FALSE)) - LEN(SUBSTITUTE(VLOOKUP($D226,素材!$1:$1016,COLUMN($F$1),FALSE), "・", 0)) + 1), 0)</f>
        <v>0</v>
      </c>
      <c r="AP226">
        <f>IF(ISNUMBER(SEARCH(SUBSTITUTE(AP$1,RIGHT(AP$1,2),""),VLOOKUP($D226,素材!$1:$1016,COLUMN($F$1),FALSE))),VLOOKUP($C226,武器!$1:$998,COLUMN($O$1),FALSE)*VLOOKUP($D226,素材!$1:$1016,COLUMN($E$1),FALSE)/(LEN(VLOOKUP($D226,素材!$1:$1016,COLUMN($F$1),FALSE)) - LEN(SUBSTITUTE(VLOOKUP($D226,素材!$1:$1016,COLUMN($F$1),FALSE), "・", 0)) + 1), 0)</f>
        <v>0</v>
      </c>
      <c r="AQ226">
        <f>IF(ISNUMBER(SEARCH(SUBSTITUTE(AQ$1,RIGHT(AQ$1,2),""),VLOOKUP($D226,素材!$1:$1016,COLUMN($F$1),FALSE))),VLOOKUP($C226,武器!$1:$998,COLUMN($O$1),FALSE)*VLOOKUP($D226,素材!$1:$1016,COLUMN($E$1),FALSE)/(LEN(VLOOKUP($D226,素材!$1:$1016,COLUMN($F$1),FALSE)) - LEN(SUBSTITUTE(VLOOKUP($D226,素材!$1:$1016,COLUMN($F$1),FALSE), "・", 0)) + 1), 0)</f>
        <v>0</v>
      </c>
      <c r="AR226">
        <f>IF(ISNUMBER(SEARCH(SUBSTITUTE(AR$1,RIGHT(AR$1,2),""),VLOOKUP($D226,素材!$1:$1016,COLUMN($F$1),FALSE))),VLOOKUP($C226,武器!$1:$998,COLUMN($O$1),FALSE)*VLOOKUP($D226,素材!$1:$1016,COLUMN($E$1),FALSE)/(LEN(VLOOKUP($D226,素材!$1:$1016,COLUMN($F$1),FALSE)) - LEN(SUBSTITUTE(VLOOKUP($D226,素材!$1:$1016,COLUMN($F$1),FALSE), "・", 0)) + 1), 0)</f>
        <v>0</v>
      </c>
      <c r="AS226">
        <f>IF(ISNUMBER(SEARCH(SUBSTITUTE(AS$1,RIGHT(AS$1,2),""),VLOOKUP($D226,素材!$1:$1016,COLUMN($F$1),FALSE))),VLOOKUP($C226,武器!$1:$998,COLUMN($O$1),FALSE)*VLOOKUP($D226,素材!$1:$1016,COLUMN($E$1),FALSE)/(LEN(VLOOKUP($D226,素材!$1:$1016,COLUMN($F$1),FALSE)) - LEN(SUBSTITUTE(VLOOKUP($D226,素材!$1:$1016,COLUMN($F$1),FALSE), "・", 0)) + 1), 0)</f>
        <v>0</v>
      </c>
      <c r="AT226">
        <f>IF(ISNUMBER(SEARCH(SUBSTITUTE(AT$1,RIGHT(AT$1,2),""),VLOOKUP($D226,素材!$1:$1016,COLUMN($F$1),FALSE))),VLOOKUP($C226,武器!$1:$998,COLUMN($O$1),FALSE)*VLOOKUP($D226,素材!$1:$1016,COLUMN($E$1),FALSE)/(LEN(VLOOKUP($D226,素材!$1:$1016,COLUMN($F$1),FALSE)) - LEN(SUBSTITUTE(VLOOKUP($D226,素材!$1:$1016,COLUMN($F$1),FALSE), "・", 0)) + 1), 0)</f>
        <v>0</v>
      </c>
      <c r="AU226">
        <f>IF(ISNUMBER(SEARCH(SUBSTITUTE(AU$1,RIGHT(AU$1,2),""),VLOOKUP($D226,素材!$1:$1016,COLUMN($F$1),FALSE))),VLOOKUP($C226,武器!$1:$998,COLUMN($O$1),FALSE)*VLOOKUP($D226,素材!$1:$1016,COLUMN($E$1),FALSE)/(LEN(VLOOKUP($D226,素材!$1:$1016,COLUMN($F$1),FALSE)) - LEN(SUBSTITUTE(VLOOKUP($D226,素材!$1:$1016,COLUMN($F$1),FALSE), "・", 0)) + 1), 0)</f>
        <v>0</v>
      </c>
      <c r="AV226">
        <f>IF(ISNUMBER(SEARCH(SUBSTITUTE(AV$1,RIGHT(AV$1,2),""),VLOOKUP($D226,素材!$1:$1016,COLUMN($F$1),FALSE))),VLOOKUP($C226,武器!$1:$998,COLUMN($O$1),FALSE)*VLOOKUP($D226,素材!$1:$1016,COLUMN($E$1),FALSE)/(LEN(VLOOKUP($D226,素材!$1:$1016,COLUMN($F$1),FALSE)) - LEN(SUBSTITUTE(VLOOKUP($D226,素材!$1:$1016,COLUMN($F$1),FALSE), "・", 0)) + 1), 0)</f>
        <v>0</v>
      </c>
      <c r="AW226">
        <f>IF(ISNUMBER(SEARCH(SUBSTITUTE(AW$1,RIGHT(AW$1,2),""),VLOOKUP($D226,素材!$1:$1016,COLUMN($F$1),FALSE))),VLOOKUP($C226,武器!$1:$998,COLUMN($O$1),FALSE)*VLOOKUP($D226,素材!$1:$1016,COLUMN($E$1),FALSE)/(LEN(VLOOKUP($D226,素材!$1:$1016,COLUMN($F$1),FALSE)) - LEN(SUBSTITUTE(VLOOKUP($D226,素材!$1:$1016,COLUMN($F$1),FALSE), "・", 0)) + 1), 0)</f>
        <v>0</v>
      </c>
      <c r="AX226">
        <f>IF(ISNUMBER(SEARCH(SUBSTITUTE(AX$1,RIGHT(AX$1,2),""),VLOOKUP($D226,素材!$1:$1016,COLUMN($F$1),FALSE))),VLOOKUP($C226,武器!$1:$998,COLUMN($O$1),FALSE)*VLOOKUP($D226,素材!$1:$1016,COLUMN($E$1),FALSE)/(LEN(VLOOKUP($D226,素材!$1:$1016,COLUMN($F$1),FALSE)) - LEN(SUBSTITUTE(VLOOKUP($D226,素材!$1:$1016,COLUMN($F$1),FALSE), "・", 0)) + 1), 0)</f>
        <v>0</v>
      </c>
      <c r="AY226">
        <f>IF(ISNUMBER(SEARCH(SUBSTITUTE(AY$1,RIGHT(AY$1,2),""),VLOOKUP($D226,素材!$1:$1016,COLUMN($F$1),FALSE))),VLOOKUP($C226,武器!$1:$998,COLUMN($O$1),FALSE)*VLOOKUP($D226,素材!$1:$1016,COLUMN($E$1),FALSE)/(LEN(VLOOKUP($D226,素材!$1:$1016,COLUMN($F$1),FALSE)) - LEN(SUBSTITUTE(VLOOKUP($D226,素材!$1:$1016,COLUMN($F$1),FALSE), "・", 0)) + 1), 0)</f>
        <v>0</v>
      </c>
      <c r="AZ226">
        <f>IF(ISNUMBER(SEARCH(SUBSTITUTE(AZ$1,RIGHT(AZ$1,2),""),VLOOKUP($D226,素材!$1:$1016,COLUMN($F$1),FALSE))),VLOOKUP($C226,武器!$1:$998,COLUMN($O$1),FALSE)*VLOOKUP($D226,素材!$1:$1016,COLUMN($E$1),FALSE)/(LEN(VLOOKUP($D226,素材!$1:$1016,COLUMN($F$1),FALSE)) - LEN(SUBSTITUTE(VLOOKUP($D226,素材!$1:$1016,COLUMN($F$1),FALSE), "・", 0)) + 1), 0)</f>
        <v>0</v>
      </c>
      <c r="BA226">
        <f>IF(ISNUMBER(SEARCH(SUBSTITUTE(BA$1,RIGHT(BA$1,2),""),VLOOKUP($D226,素材!$1:$1016,COLUMN($F$1),FALSE))),VLOOKUP($C226,武器!$1:$998,COLUMN($O$1),FALSE)*VLOOKUP($D226,素材!$1:$1016,COLUMN($E$1),FALSE)/(LEN(VLOOKUP($D226,素材!$1:$1016,COLUMN($F$1),FALSE)) - LEN(SUBSTITUTE(VLOOKUP($D226,素材!$1:$1016,COLUMN($F$1),FALSE), "・", 0)) + 1), 0)</f>
        <v>0</v>
      </c>
      <c r="BB226">
        <f>IF(ISNUMBER(SEARCH(SUBSTITUTE(BB$1,RIGHT(BB$1,2),""),VLOOKUP($D226,素材!$1:$1016,COLUMN($F$1),FALSE))),VLOOKUP($C226,武器!$1:$998,COLUMN($O$1),FALSE)*VLOOKUP($D226,素材!$1:$1016,COLUMN($E$1),FALSE)/(LEN(VLOOKUP($D226,素材!$1:$1016,COLUMN($F$1),FALSE)) - LEN(SUBSTITUTE(VLOOKUP($D226,素材!$1:$1016,COLUMN($F$1),FALSE), "・", 0)) + 1), 0)</f>
        <v>0</v>
      </c>
      <c r="BC226">
        <f>IF(ISNUMBER(SEARCH(SUBSTITUTE(BC$1,RIGHT(BC$1,2),""),VLOOKUP($D226,素材!$1:$1016,COLUMN($F$1),FALSE))),VLOOKUP($C226,武器!$1:$998,COLUMN($O$1),FALSE)*VLOOKUP($D226,素材!$1:$1016,COLUMN($E$1),FALSE)/(LEN(VLOOKUP($D226,素材!$1:$1016,COLUMN($F$1),FALSE)) - LEN(SUBSTITUTE(VLOOKUP($D226,素材!$1:$1016,COLUMN($F$1),FALSE), "・", 0)) + 1), 0)</f>
        <v>0</v>
      </c>
      <c r="BD226">
        <f>IF(ISNUMBER(SEARCH(SUBSTITUTE(BD$1,RIGHT(BD$1,2),""),VLOOKUP($D226,素材!$1:$1016,COLUMN($F$1),FALSE))),VLOOKUP($C226,武器!$1:$998,COLUMN($O$1),FALSE)*VLOOKUP($D226,素材!$1:$1016,COLUMN($E$1),FALSE)/(LEN(VLOOKUP($D226,素材!$1:$1016,COLUMN($F$1),FALSE)) - LEN(SUBSTITUTE(VLOOKUP($D226,素材!$1:$1016,COLUMN($F$1),FALSE), "・", 0)) + 1), 0)</f>
        <v>0</v>
      </c>
      <c r="BE226">
        <f>IF(ISNUMBER(SEARCH(SUBSTITUTE(BE$1,RIGHT(BE$1,2),""),VLOOKUP($D226,素材!$1:$1016,COLUMN($F$1),FALSE))),VLOOKUP($C226,武器!$1:$998,COLUMN($O$1),FALSE)*VLOOKUP($D226,素材!$1:$1016,COLUMN($E$1),FALSE)/(LEN(VLOOKUP($D226,素材!$1:$1016,COLUMN($F$1),FALSE)) - LEN(SUBSTITUTE(VLOOKUP($D226,素材!$1:$1016,COLUMN($F$1),FALSE), "・", 0)) + 1), 0)</f>
        <v>0</v>
      </c>
      <c r="CL226">
        <f>SUM(G226:I226)</f>
        <v>0</v>
      </c>
      <c r="CM226" s="22" t="str">
        <f>IF(E226="武器",IF(J226-1&gt;SUM(G226:I226),"盾",IF(MAX(G226:I226)=G226,"切断",IF(MAX(G226:I226)=H226,"貫通",IF(MAX(G226:I226)=I226,"打撃","射撃")))),E226)&amp;".webp"</f>
        <v>銃.webp</v>
      </c>
      <c r="CN226">
        <f>IFERROR(VLOOKUP($C226,武器!$1:$998,COLUMN(V$1),FALSE)*VLOOKUP($D226,素材!$1:$1016,COLUMN(N$1),FALSE)+IF(CI226="",0,VLOOKUP($CI226,装強!$1:$1008,COLUMN($CK$1),FALSE)),"")</f>
        <v>3000</v>
      </c>
      <c r="CO226">
        <f>VLOOKUP(D226,素材!$A:$O,COLUMN(素材!O$1),FALSE)</f>
        <v>0</v>
      </c>
      <c r="CP226" t="str">
        <f>VLOOKUP(C226,武器!$A:$W,COLUMN(武器!W$1),FALSE)</f>
        <v/>
      </c>
      <c r="CR226" t="str">
        <f t="shared" si="29"/>
        <v>e_226</v>
      </c>
      <c r="CS226">
        <f t="shared" si="30"/>
        <v>300000</v>
      </c>
    </row>
    <row r="227" spans="1:97" outlineLevel="1" x14ac:dyDescent="0.4">
      <c r="A227" t="str">
        <f t="shared" si="31"/>
        <v>冷気鉄の面兜</v>
      </c>
      <c r="B227" t="str">
        <f>IFERROR(VLOOKUP($D227,素材!$1:$1016,COLUMN($B$1),FALSE)&amp;"・"&amp;VLOOKUP($C227,武器!$1:$998,COLUMN(B$1),FALSE),"")</f>
        <v>ドゥララン・バイザーヘルム</v>
      </c>
      <c r="C227" t="s">
        <v>210</v>
      </c>
      <c r="D227" s="24" t="s">
        <v>243</v>
      </c>
      <c r="E227" t="str">
        <f>IFERROR(VLOOKUP(C227,武器!$1:$998,COLUMN(C$1),FALSE),"")</f>
        <v>頭</v>
      </c>
      <c r="F227">
        <f>IFERROR(ROUNDDOWN((VLOOKUP($C227,武器!$1:$998,COLUMN(D$1),FALSE)+IFERROR(VLOOKUP($CI227,装強!$1:$999,COLUMN(F$1),FALSE),0))*VLOOKUP($D227,素材!$1:$1016,COLUMN(D$1),FALSE),0),"")</f>
        <v>0</v>
      </c>
      <c r="G227">
        <f>IFERROR(ROUNDDOWN((VLOOKUP($C227,武器!$1:$998,COLUMN(E$1),FALSE)+IFERROR(VLOOKUP($CI227,装強!$1:$999,COLUMN(G$1),FALSE),0))*VLOOKUP($D227,素材!$1:$1016,COLUMN($E$1),FALSE),0),"")</f>
        <v>0</v>
      </c>
      <c r="H227">
        <f>IFERROR(ROUNDDOWN((VLOOKUP($C227,武器!$1:$998,COLUMN(F$1),FALSE)+IFERROR(VLOOKUP($CI227,装強!$1:$999,COLUMN(H$1),FALSE),0))*VLOOKUP($D227,素材!$1:$1016,COLUMN($E$1),FALSE),0),"")</f>
        <v>0</v>
      </c>
      <c r="I227">
        <f>IFERROR(ROUNDDOWN((VLOOKUP($C227,武器!$1:$998,COLUMN(G$1),FALSE)+IFERROR(VLOOKUP($CI227,装強!$1:$999,COLUMN(I$1),FALSE),0))*VLOOKUP($D227,素材!$1:$1016,COLUMN($E$1),FALSE),0),"")</f>
        <v>17</v>
      </c>
      <c r="J227">
        <f>IFERROR(ROUNDDOWN((VLOOKUP($C227,武器!$1:$998,COLUMN(H$1),FALSE)+IFERROR(VLOOKUP($CI227,装強!$1:$999,COLUMN(J$1),FALSE),0))*VLOOKUP($D227,素材!$1:$1016,COLUMN($E$1),FALSE),0),"")</f>
        <v>0</v>
      </c>
      <c r="K227">
        <f>IFERROR(ROUNDDOWN((VLOOKUP($C227,武器!$1:$998,COLUMN(I$1),FALSE)+IFERROR(VLOOKUP($CI227,装強!$1:$999,COLUMN(K$1),FALSE),0))*VLOOKUP($D227,素材!$1:$1016,COLUMN($E$1),FALSE),0),"")</f>
        <v>0</v>
      </c>
      <c r="L227" t="str">
        <f>IFERROR(VLOOKUP($D227,素材!$1:$1016,COLUMN($F$1),FALSE),"")</f>
        <v>氷</v>
      </c>
      <c r="M227">
        <f>IFERROR(VLOOKUP($C227,武器!$1:$998,COLUMN(AA$1),FALSE)*VLOOKUP($D227,素材!$1:$1016,COLUMN($G$1),FALSE),"")</f>
        <v>0</v>
      </c>
      <c r="N227">
        <f>IFERROR(VLOOKUP($C227,武器!$1:$998,COLUMN(I$1),FALSE),"")</f>
        <v>0</v>
      </c>
      <c r="O227" s="23">
        <f>IFERROR((VLOOKUP($C227,武器!$1:$998,COLUMN(K$1),FALSE)+VLOOKUP($D227,素材!$1:$1016,COLUMN(H$1),FALSE))*100+IFERROR(VLOOKUP($CI227,装強!$1:$999,COLUMN(O$1),FALSE),0),"")</f>
        <v>5</v>
      </c>
      <c r="P227" s="23">
        <f>IFERROR((VLOOKUP($C227,武器!$1:$998,COLUMN(L$1),FALSE)+VLOOKUP($D227,素材!$1:$1016,COLUMN(I$1),FALSE))*100+IFERROR(VLOOKUP($CI227,装強!$1:$999,COLUMN(P$1),FALSE),0),"")</f>
        <v>125</v>
      </c>
      <c r="Q227">
        <f>IFERROR(ROUNDUP(VLOOKUP($C227,武器!$1:$998,COLUMN(M$1),FALSE)*(VLOOKUP($D227,素材!$1:$1002,COLUMN(D$1),FALSE)/100),1),"")</f>
        <v>-7.5</v>
      </c>
      <c r="R227">
        <f>IFERROR(ROUNDUP(VLOOKUP($C227,武器!$1:$998,COLUMN(N$1),FALSE)*(VLOOKUP($D227,素材!$1:$1002,COLUMN(D$1),FALSE)/100),1),"")</f>
        <v>0</v>
      </c>
      <c r="S227">
        <f>IFERROR(VLOOKUP($C227,武器!$1:$998,COLUMN(P$1),FALSE),"")</f>
        <v>0</v>
      </c>
      <c r="T227">
        <f>IFERROR(VLOOKUP($C227,武器!$1:$998,COLUMN(Q$1),FALSE),"")</f>
        <v>0</v>
      </c>
      <c r="U227">
        <f>IFERROR(VLOOKUP($C227,武器!$1:$998,COLUMN(R$1),FALSE),"")</f>
        <v>0</v>
      </c>
      <c r="V227">
        <f>IFERROR(VLOOKUP($C227,武器!$1:$998,COLUMN(Q$1),FALSE),"")</f>
        <v>0</v>
      </c>
      <c r="W227">
        <f>IFERROR(VLOOKUP($C227,武器!$1:$998,COLUMN(T$1),FALSE),"")</f>
        <v>0</v>
      </c>
      <c r="Y227">
        <f>IFERROR(VLOOKUP($C227,武器!$1:$998,COLUMN(U$1),FALSE),"")</f>
        <v>0</v>
      </c>
      <c r="Z227">
        <f>IFERROR(ROUNDUP(VLOOKUP($C227,武器!$1:$998,COLUMN(O$1),FALSE)*VLOOKUP($D227,素材!$1:$1016,COLUMN(E$1),FALSE),1),"")</f>
        <v>7</v>
      </c>
      <c r="AA227">
        <f>IF(ISNUMBER(SEARCH(SUBSTITUTE(AA$1,RIGHT(AA$1,2),""),VLOOKUP($D227,素材!$1:$1016,COLUMN($F$1),FALSE))),VLOOKUP($C227,武器!$1:$998,COLUMN($O$1),FALSE)*VLOOKUP($D227,素材!$1:$1016,COLUMN($E$1),FALSE)/(LEN(VLOOKUP($D227,素材!$1:$1016,COLUMN($F$1),FALSE)) - LEN(SUBSTITUTE(VLOOKUP($D227,素材!$1:$1016,COLUMN($F$1),FALSE), "・", 0)) + 1), 0)</f>
        <v>0</v>
      </c>
      <c r="AB227">
        <f>IF(ISNUMBER(SEARCH(SUBSTITUTE(AB$1,RIGHT(AB$1,2),""),VLOOKUP($D227,素材!$1:$1016,COLUMN($F$1),FALSE))),VLOOKUP($C227,武器!$1:$998,COLUMN($O$1),FALSE)*VLOOKUP($D227,素材!$1:$1016,COLUMN($E$1),FALSE)/(LEN(VLOOKUP($D227,素材!$1:$1016,COLUMN($F$1),FALSE)) - LEN(SUBSTITUTE(VLOOKUP($D227,素材!$1:$1016,COLUMN($F$1),FALSE), "・", 0)) + 1), 0)</f>
        <v>0</v>
      </c>
      <c r="AC227">
        <f>IF(ISNUMBER(SEARCH(SUBSTITUTE(AC$1,RIGHT(AC$1,2),""),VLOOKUP($D227,素材!$1:$1016,COLUMN($F$1),FALSE))),VLOOKUP($C227,武器!$1:$998,COLUMN($O$1),FALSE)*VLOOKUP($D227,素材!$1:$1016,COLUMN($E$1),FALSE)/(LEN(VLOOKUP($D227,素材!$1:$1016,COLUMN($F$1),FALSE)) - LEN(SUBSTITUTE(VLOOKUP($D227,素材!$1:$1016,COLUMN($F$1),FALSE), "・", 0)) + 1), 0)</f>
        <v>0</v>
      </c>
      <c r="AD227">
        <f>IF(ISNUMBER(SEARCH(SUBSTITUTE(AD$1,RIGHT(AD$1,2),""),VLOOKUP($D227,素材!$1:$1016,COLUMN($F$1),FALSE))),VLOOKUP($C227,武器!$1:$998,COLUMN($O$1),FALSE)*VLOOKUP($D227,素材!$1:$1016,COLUMN($E$1),FALSE)/(LEN(VLOOKUP($D227,素材!$1:$1016,COLUMN($F$1),FALSE)) - LEN(SUBSTITUTE(VLOOKUP($D227,素材!$1:$1016,COLUMN($F$1),FALSE), "・", 0)) + 1), 0)</f>
        <v>0</v>
      </c>
      <c r="AE227">
        <f>IF(ISNUMBER(SEARCH(SUBSTITUTE(AE$1,RIGHT(AE$1,2),""),VLOOKUP($D227,素材!$1:$1016,COLUMN($F$1),FALSE))),VLOOKUP($C227,武器!$1:$998,COLUMN($O$1),FALSE)*VLOOKUP($D227,素材!$1:$1016,COLUMN($E$1),FALSE)/(LEN(VLOOKUP($D227,素材!$1:$1016,COLUMN($F$1),FALSE)) - LEN(SUBSTITUTE(VLOOKUP($D227,素材!$1:$1016,COLUMN($F$1),FALSE), "・", 0)) + 1), 0)</f>
        <v>0</v>
      </c>
      <c r="AF227">
        <f>IF(ISNUMBER(SEARCH(SUBSTITUTE(AF$1,RIGHT(AF$1,2),""),VLOOKUP($D227,素材!$1:$1016,COLUMN($F$1),FALSE))),VLOOKUP($C227,武器!$1:$998,COLUMN($O$1),FALSE)*VLOOKUP($D227,素材!$1:$1016,COLUMN($E$1),FALSE)/(LEN(VLOOKUP($D227,素材!$1:$1016,COLUMN($F$1),FALSE)) - LEN(SUBSTITUTE(VLOOKUP($D227,素材!$1:$1016,COLUMN($F$1),FALSE), "・", 0)) + 1), 0)</f>
        <v>7</v>
      </c>
      <c r="AG227">
        <f>IF(ISNUMBER(SEARCH(SUBSTITUTE(AG$1,RIGHT(AG$1,2),""),VLOOKUP($D227,素材!$1:$1016,COLUMN($F$1),FALSE))),VLOOKUP($C227,武器!$1:$998,COLUMN($O$1),FALSE)*VLOOKUP($D227,素材!$1:$1016,COLUMN($E$1),FALSE)/(LEN(VLOOKUP($D227,素材!$1:$1016,COLUMN($F$1),FALSE)) - LEN(SUBSTITUTE(VLOOKUP($D227,素材!$1:$1016,COLUMN($F$1),FALSE), "・", 0)) + 1), 0)</f>
        <v>0</v>
      </c>
      <c r="AH227">
        <f>IF(ISNUMBER(SEARCH(SUBSTITUTE(AH$1,RIGHT(AH$1,2),""),VLOOKUP($D227,素材!$1:$1016,COLUMN($F$1),FALSE))),VLOOKUP($C227,武器!$1:$998,COLUMN($O$1),FALSE)*VLOOKUP($D227,素材!$1:$1016,COLUMN($E$1),FALSE)/(LEN(VLOOKUP($D227,素材!$1:$1016,COLUMN($F$1),FALSE)) - LEN(SUBSTITUTE(VLOOKUP($D227,素材!$1:$1016,COLUMN($F$1),FALSE), "・", 0)) + 1), 0)</f>
        <v>0</v>
      </c>
      <c r="AI227">
        <f>IF(ISNUMBER(SEARCH(SUBSTITUTE(AI$1,RIGHT(AI$1,2),""),VLOOKUP($D227,素材!$1:$1016,COLUMN($F$1),FALSE))),VLOOKUP($C227,武器!$1:$998,COLUMN($O$1),FALSE)*VLOOKUP($D227,素材!$1:$1016,COLUMN($E$1),FALSE)/(LEN(VLOOKUP($D227,素材!$1:$1016,COLUMN($F$1),FALSE)) - LEN(SUBSTITUTE(VLOOKUP($D227,素材!$1:$1016,COLUMN($F$1),FALSE), "・", 0)) + 1), 0)</f>
        <v>0</v>
      </c>
      <c r="AJ227">
        <f>IF(ISNUMBER(SEARCH(SUBSTITUTE(AJ$1,RIGHT(AJ$1,2),""),VLOOKUP($D227,素材!$1:$1016,COLUMN($F$1),FALSE))),VLOOKUP($C227,武器!$1:$998,COLUMN($O$1),FALSE)*VLOOKUP($D227,素材!$1:$1016,COLUMN($E$1),FALSE)/(LEN(VLOOKUP($D227,素材!$1:$1016,COLUMN($F$1),FALSE)) - LEN(SUBSTITUTE(VLOOKUP($D227,素材!$1:$1016,COLUMN($F$1),FALSE), "・", 0)) + 1), 0)</f>
        <v>0</v>
      </c>
      <c r="AK227">
        <f>IF(ISNUMBER(SEARCH(SUBSTITUTE(AK$1,RIGHT(AK$1,2),""),VLOOKUP($D227,素材!$1:$1016,COLUMN($F$1),FALSE))),VLOOKUP($C227,武器!$1:$998,COLUMN($O$1),FALSE)*VLOOKUP($D227,素材!$1:$1016,COLUMN($E$1),FALSE)/(LEN(VLOOKUP($D227,素材!$1:$1016,COLUMN($F$1),FALSE)) - LEN(SUBSTITUTE(VLOOKUP($D227,素材!$1:$1016,COLUMN($F$1),FALSE), "・", 0)) + 1), 0)</f>
        <v>0</v>
      </c>
      <c r="AL227">
        <f>IF(ISNUMBER(SEARCH(SUBSTITUTE(AL$1,RIGHT(AL$1,2),""),VLOOKUP($D227,素材!$1:$1016,COLUMN($F$1),FALSE))),VLOOKUP($C227,武器!$1:$998,COLUMN($O$1),FALSE)*VLOOKUP($D227,素材!$1:$1016,COLUMN($E$1),FALSE)/(LEN(VLOOKUP($D227,素材!$1:$1016,COLUMN($F$1),FALSE)) - LEN(SUBSTITUTE(VLOOKUP($D227,素材!$1:$1016,COLUMN($F$1),FALSE), "・", 0)) + 1), 0)</f>
        <v>0</v>
      </c>
      <c r="AM227">
        <f>IF(ISNUMBER(SEARCH(SUBSTITUTE(AM$1,RIGHT(AM$1,2),""),VLOOKUP($D227,素材!$1:$1016,COLUMN($F$1),FALSE))),VLOOKUP($C227,武器!$1:$998,COLUMN($O$1),FALSE)*VLOOKUP($D227,素材!$1:$1016,COLUMN($E$1),FALSE)/(LEN(VLOOKUP($D227,素材!$1:$1016,COLUMN($F$1),FALSE)) - LEN(SUBSTITUTE(VLOOKUP($D227,素材!$1:$1016,COLUMN($F$1),FALSE), "・", 0)) + 1), 0)</f>
        <v>0</v>
      </c>
      <c r="AN227">
        <f>IF(ISNUMBER(SEARCH(SUBSTITUTE(AN$1,RIGHT(AN$1,2),""),VLOOKUP($D227,素材!$1:$1016,COLUMN($F$1),FALSE))),VLOOKUP($C227,武器!$1:$998,COLUMN($O$1),FALSE)*VLOOKUP($D227,素材!$1:$1016,COLUMN($E$1),FALSE)/(LEN(VLOOKUP($D227,素材!$1:$1016,COLUMN($F$1),FALSE)) - LEN(SUBSTITUTE(VLOOKUP($D227,素材!$1:$1016,COLUMN($F$1),FALSE), "・", 0)) + 1), 0)</f>
        <v>0</v>
      </c>
      <c r="AO227">
        <f>IF(ISNUMBER(SEARCH(SUBSTITUTE(AO$1,RIGHT(AO$1,2),""),VLOOKUP($D227,素材!$1:$1016,COLUMN($F$1),FALSE))),VLOOKUP($C227,武器!$1:$998,COLUMN($O$1),FALSE)*VLOOKUP($D227,素材!$1:$1016,COLUMN($E$1),FALSE)/(LEN(VLOOKUP($D227,素材!$1:$1016,COLUMN($F$1),FALSE)) - LEN(SUBSTITUTE(VLOOKUP($D227,素材!$1:$1016,COLUMN($F$1),FALSE), "・", 0)) + 1), 0)</f>
        <v>0</v>
      </c>
      <c r="AP227">
        <f>IF(ISNUMBER(SEARCH(SUBSTITUTE(AP$1,RIGHT(AP$1,2),""),VLOOKUP($D227,素材!$1:$1016,COLUMN($F$1),FALSE))),VLOOKUP($C227,武器!$1:$998,COLUMN($O$1),FALSE)*VLOOKUP($D227,素材!$1:$1016,COLUMN($E$1),FALSE)/(LEN(VLOOKUP($D227,素材!$1:$1016,COLUMN($F$1),FALSE)) - LEN(SUBSTITUTE(VLOOKUP($D227,素材!$1:$1016,COLUMN($F$1),FALSE), "・", 0)) + 1), 0)</f>
        <v>0</v>
      </c>
      <c r="AQ227">
        <f>IF(ISNUMBER(SEARCH(SUBSTITUTE(AQ$1,RIGHT(AQ$1,2),""),VLOOKUP($D227,素材!$1:$1016,COLUMN($F$1),FALSE))),VLOOKUP($C227,武器!$1:$998,COLUMN($O$1),FALSE)*VLOOKUP($D227,素材!$1:$1016,COLUMN($E$1),FALSE)/(LEN(VLOOKUP($D227,素材!$1:$1016,COLUMN($F$1),FALSE)) - LEN(SUBSTITUTE(VLOOKUP($D227,素材!$1:$1016,COLUMN($F$1),FALSE), "・", 0)) + 1), 0)</f>
        <v>0</v>
      </c>
      <c r="AR227">
        <f>IF(ISNUMBER(SEARCH(SUBSTITUTE(AR$1,RIGHT(AR$1,2),""),VLOOKUP($D227,素材!$1:$1016,COLUMN($F$1),FALSE))),VLOOKUP($C227,武器!$1:$998,COLUMN($O$1),FALSE)*VLOOKUP($D227,素材!$1:$1016,COLUMN($E$1),FALSE)/(LEN(VLOOKUP($D227,素材!$1:$1016,COLUMN($F$1),FALSE)) - LEN(SUBSTITUTE(VLOOKUP($D227,素材!$1:$1016,COLUMN($F$1),FALSE), "・", 0)) + 1), 0)</f>
        <v>0</v>
      </c>
      <c r="AS227">
        <f>IF(ISNUMBER(SEARCH(SUBSTITUTE(AS$1,RIGHT(AS$1,2),""),VLOOKUP($D227,素材!$1:$1016,COLUMN($F$1),FALSE))),VLOOKUP($C227,武器!$1:$998,COLUMN($O$1),FALSE)*VLOOKUP($D227,素材!$1:$1016,COLUMN($E$1),FALSE)/(LEN(VLOOKUP($D227,素材!$1:$1016,COLUMN($F$1),FALSE)) - LEN(SUBSTITUTE(VLOOKUP($D227,素材!$1:$1016,COLUMN($F$1),FALSE), "・", 0)) + 1), 0)</f>
        <v>0</v>
      </c>
      <c r="AT227">
        <f>IF(ISNUMBER(SEARCH(SUBSTITUTE(AT$1,RIGHT(AT$1,2),""),VLOOKUP($D227,素材!$1:$1016,COLUMN($F$1),FALSE))),VLOOKUP($C227,武器!$1:$998,COLUMN($O$1),FALSE)*VLOOKUP($D227,素材!$1:$1016,COLUMN($E$1),FALSE)/(LEN(VLOOKUP($D227,素材!$1:$1016,COLUMN($F$1),FALSE)) - LEN(SUBSTITUTE(VLOOKUP($D227,素材!$1:$1016,COLUMN($F$1),FALSE), "・", 0)) + 1), 0)</f>
        <v>0</v>
      </c>
      <c r="AU227">
        <f>IF(ISNUMBER(SEARCH(SUBSTITUTE(AU$1,RIGHT(AU$1,2),""),VLOOKUP($D227,素材!$1:$1016,COLUMN($F$1),FALSE))),VLOOKUP($C227,武器!$1:$998,COLUMN($O$1),FALSE)*VLOOKUP($D227,素材!$1:$1016,COLUMN($E$1),FALSE)/(LEN(VLOOKUP($D227,素材!$1:$1016,COLUMN($F$1),FALSE)) - LEN(SUBSTITUTE(VLOOKUP($D227,素材!$1:$1016,COLUMN($F$1),FALSE), "・", 0)) + 1), 0)</f>
        <v>0</v>
      </c>
      <c r="AV227">
        <f>IF(ISNUMBER(SEARCH(SUBSTITUTE(AV$1,RIGHT(AV$1,2),""),VLOOKUP($D227,素材!$1:$1016,COLUMN($F$1),FALSE))),VLOOKUP($C227,武器!$1:$998,COLUMN($O$1),FALSE)*VLOOKUP($D227,素材!$1:$1016,COLUMN($E$1),FALSE)/(LEN(VLOOKUP($D227,素材!$1:$1016,COLUMN($F$1),FALSE)) - LEN(SUBSTITUTE(VLOOKUP($D227,素材!$1:$1016,COLUMN($F$1),FALSE), "・", 0)) + 1), 0)</f>
        <v>0</v>
      </c>
      <c r="AW227">
        <f>IF(ISNUMBER(SEARCH(SUBSTITUTE(AW$1,RIGHT(AW$1,2),""),VLOOKUP($D227,素材!$1:$1016,COLUMN($F$1),FALSE))),VLOOKUP($C227,武器!$1:$998,COLUMN($O$1),FALSE)*VLOOKUP($D227,素材!$1:$1016,COLUMN($E$1),FALSE)/(LEN(VLOOKUP($D227,素材!$1:$1016,COLUMN($F$1),FALSE)) - LEN(SUBSTITUTE(VLOOKUP($D227,素材!$1:$1016,COLUMN($F$1),FALSE), "・", 0)) + 1), 0)</f>
        <v>0</v>
      </c>
      <c r="AX227">
        <f>IF(ISNUMBER(SEARCH(SUBSTITUTE(AX$1,RIGHT(AX$1,2),""),VLOOKUP($D227,素材!$1:$1016,COLUMN($F$1),FALSE))),VLOOKUP($C227,武器!$1:$998,COLUMN($O$1),FALSE)*VLOOKUP($D227,素材!$1:$1016,COLUMN($E$1),FALSE)/(LEN(VLOOKUP($D227,素材!$1:$1016,COLUMN($F$1),FALSE)) - LEN(SUBSTITUTE(VLOOKUP($D227,素材!$1:$1016,COLUMN($F$1),FALSE), "・", 0)) + 1), 0)</f>
        <v>0</v>
      </c>
      <c r="AY227">
        <f>IF(ISNUMBER(SEARCH(SUBSTITUTE(AY$1,RIGHT(AY$1,2),""),VLOOKUP($D227,素材!$1:$1016,COLUMN($F$1),FALSE))),VLOOKUP($C227,武器!$1:$998,COLUMN($O$1),FALSE)*VLOOKUP($D227,素材!$1:$1016,COLUMN($E$1),FALSE)/(LEN(VLOOKUP($D227,素材!$1:$1016,COLUMN($F$1),FALSE)) - LEN(SUBSTITUTE(VLOOKUP($D227,素材!$1:$1016,COLUMN($F$1),FALSE), "・", 0)) + 1), 0)</f>
        <v>0</v>
      </c>
      <c r="AZ227">
        <f>IF(ISNUMBER(SEARCH(SUBSTITUTE(AZ$1,RIGHT(AZ$1,2),""),VLOOKUP($D227,素材!$1:$1016,COLUMN($F$1),FALSE))),VLOOKUP($C227,武器!$1:$998,COLUMN($O$1),FALSE)*VLOOKUP($D227,素材!$1:$1016,COLUMN($E$1),FALSE)/(LEN(VLOOKUP($D227,素材!$1:$1016,COLUMN($F$1),FALSE)) - LEN(SUBSTITUTE(VLOOKUP($D227,素材!$1:$1016,COLUMN($F$1),FALSE), "・", 0)) + 1), 0)</f>
        <v>0</v>
      </c>
      <c r="BA227">
        <f>IF(ISNUMBER(SEARCH(SUBSTITUTE(BA$1,RIGHT(BA$1,2),""),VLOOKUP($D227,素材!$1:$1016,COLUMN($F$1),FALSE))),VLOOKUP($C227,武器!$1:$998,COLUMN($O$1),FALSE)*VLOOKUP($D227,素材!$1:$1016,COLUMN($E$1),FALSE)/(LEN(VLOOKUP($D227,素材!$1:$1016,COLUMN($F$1),FALSE)) - LEN(SUBSTITUTE(VLOOKUP($D227,素材!$1:$1016,COLUMN($F$1),FALSE), "・", 0)) + 1), 0)</f>
        <v>0</v>
      </c>
      <c r="BB227">
        <f>IF(ISNUMBER(SEARCH(SUBSTITUTE(BB$1,RIGHT(BB$1,2),""),VLOOKUP($D227,素材!$1:$1016,COLUMN($F$1),FALSE))),VLOOKUP($C227,武器!$1:$998,COLUMN($O$1),FALSE)*VLOOKUP($D227,素材!$1:$1016,COLUMN($E$1),FALSE)/(LEN(VLOOKUP($D227,素材!$1:$1016,COLUMN($F$1),FALSE)) - LEN(SUBSTITUTE(VLOOKUP($D227,素材!$1:$1016,COLUMN($F$1),FALSE), "・", 0)) + 1), 0)</f>
        <v>0</v>
      </c>
      <c r="BC227">
        <f>IF(ISNUMBER(SEARCH(SUBSTITUTE(BC$1,RIGHT(BC$1,2),""),VLOOKUP($D227,素材!$1:$1016,COLUMN($F$1),FALSE))),VLOOKUP($C227,武器!$1:$998,COLUMN($O$1),FALSE)*VLOOKUP($D227,素材!$1:$1016,COLUMN($E$1),FALSE)/(LEN(VLOOKUP($D227,素材!$1:$1016,COLUMN($F$1),FALSE)) - LEN(SUBSTITUTE(VLOOKUP($D227,素材!$1:$1016,COLUMN($F$1),FALSE), "・", 0)) + 1), 0)</f>
        <v>0</v>
      </c>
      <c r="BD227">
        <f>IF(ISNUMBER(SEARCH(SUBSTITUTE(BD$1,RIGHT(BD$1,2),""),VLOOKUP($D227,素材!$1:$1016,COLUMN($F$1),FALSE))),VLOOKUP($C227,武器!$1:$998,COLUMN($O$1),FALSE)*VLOOKUP($D227,素材!$1:$1016,COLUMN($E$1),FALSE)/(LEN(VLOOKUP($D227,素材!$1:$1016,COLUMN($F$1),FALSE)) - LEN(SUBSTITUTE(VLOOKUP($D227,素材!$1:$1016,COLUMN($F$1),FALSE), "・", 0)) + 1), 0)</f>
        <v>0</v>
      </c>
      <c r="BE227">
        <f>IF(ISNUMBER(SEARCH(SUBSTITUTE(BE$1,RIGHT(BE$1,2),""),VLOOKUP($D227,素材!$1:$1016,COLUMN($F$1),FALSE))),VLOOKUP($C227,武器!$1:$998,COLUMN($O$1),FALSE)*VLOOKUP($D227,素材!$1:$1016,COLUMN($E$1),FALSE)/(LEN(VLOOKUP($D227,素材!$1:$1016,COLUMN($F$1),FALSE)) - LEN(SUBSTITUTE(VLOOKUP($D227,素材!$1:$1016,COLUMN($F$1),FALSE), "・", 0)) + 1), 0)</f>
        <v>0</v>
      </c>
      <c r="CL227">
        <f>SUM(G227:I227)</f>
        <v>17</v>
      </c>
      <c r="CM227" s="22" t="str">
        <f>IF(E227="武器",IF(J227-1&gt;SUM(G227:I227),"盾",IF(MAX(G227:I227)=G227,"切断",IF(MAX(G227:I227)=H227,"貫通",IF(MAX(G227:I227)=I227,"打撃","射撃")))),E227)&amp;".webp"</f>
        <v>頭.webp</v>
      </c>
      <c r="CN227">
        <f>IFERROR(VLOOKUP($C227,武器!$1:$998,COLUMN(V$1),FALSE)*VLOOKUP($D227,素材!$1:$1016,COLUMN(N$1),FALSE)+IF(CI227="",0,VLOOKUP($CI227,装強!$1:$1008,COLUMN($CK$1),FALSE)),"")</f>
        <v>3000</v>
      </c>
      <c r="CO227">
        <f>VLOOKUP(D227,素材!$A:$O,COLUMN(素材!O$1),FALSE)</f>
        <v>0</v>
      </c>
      <c r="CP227" t="str">
        <f>VLOOKUP(C227,武器!$A:$W,COLUMN(武器!W$1),FALSE)</f>
        <v>命中 魔防 Cr</v>
      </c>
      <c r="CR227" t="str">
        <f t="shared" si="29"/>
        <v>e_227</v>
      </c>
      <c r="CS227">
        <f t="shared" si="30"/>
        <v>300000</v>
      </c>
    </row>
    <row r="228" spans="1:97" outlineLevel="1" x14ac:dyDescent="0.4">
      <c r="A228" t="str">
        <f t="shared" si="31"/>
        <v>冷気鉄の兜</v>
      </c>
      <c r="B228" t="str">
        <f>IFERROR(VLOOKUP($D228,素材!$1:$1016,COLUMN($B$1),FALSE)&amp;"・"&amp;VLOOKUP($C228,武器!$1:$998,COLUMN(B$1),FALSE),"")</f>
        <v>ドゥララン・ヘルム</v>
      </c>
      <c r="C228" t="s">
        <v>209</v>
      </c>
      <c r="D228" s="24" t="s">
        <v>243</v>
      </c>
      <c r="E228" t="str">
        <f>IFERROR(VLOOKUP(C228,武器!$1:$998,COLUMN(C$1),FALSE),"")</f>
        <v>頭</v>
      </c>
      <c r="F228">
        <f>IFERROR(ROUNDDOWN((VLOOKUP($C228,武器!$1:$998,COLUMN(D$1),FALSE)+IFERROR(VLOOKUP($CI228,装強!$1:$999,COLUMN(F$1),FALSE),0))*VLOOKUP($D228,素材!$1:$1016,COLUMN(D$1),FALSE),0),"")</f>
        <v>0</v>
      </c>
      <c r="G228">
        <f>IFERROR(ROUNDDOWN((VLOOKUP($C228,武器!$1:$998,COLUMN(E$1),FALSE)+IFERROR(VLOOKUP($CI228,装強!$1:$999,COLUMN(G$1),FALSE),0))*VLOOKUP($D228,素材!$1:$1016,COLUMN($E$1),FALSE),0),"")</f>
        <v>0</v>
      </c>
      <c r="H228">
        <f>IFERROR(ROUNDDOWN((VLOOKUP($C228,武器!$1:$998,COLUMN(F$1),FALSE)+IFERROR(VLOOKUP($CI228,装強!$1:$999,COLUMN(H$1),FALSE),0))*VLOOKUP($D228,素材!$1:$1016,COLUMN($E$1),FALSE),0),"")</f>
        <v>0</v>
      </c>
      <c r="I228">
        <f>IFERROR(ROUNDDOWN((VLOOKUP($C228,武器!$1:$998,COLUMN(G$1),FALSE)+IFERROR(VLOOKUP($CI228,装強!$1:$999,COLUMN(I$1),FALSE),0))*VLOOKUP($D228,素材!$1:$1016,COLUMN($E$1),FALSE),0),"")</f>
        <v>17</v>
      </c>
      <c r="J228">
        <f>IFERROR(ROUNDDOWN((VLOOKUP($C228,武器!$1:$998,COLUMN(H$1),FALSE)+IFERROR(VLOOKUP($CI228,装強!$1:$999,COLUMN(J$1),FALSE),0))*VLOOKUP($D228,素材!$1:$1016,COLUMN($E$1),FALSE),0),"")</f>
        <v>0</v>
      </c>
      <c r="K228">
        <f>IFERROR(ROUNDDOWN((VLOOKUP($C228,武器!$1:$998,COLUMN(I$1),FALSE)+IFERROR(VLOOKUP($CI228,装強!$1:$999,COLUMN(K$1),FALSE),0))*VLOOKUP($D228,素材!$1:$1016,COLUMN($E$1),FALSE),0),"")</f>
        <v>0</v>
      </c>
      <c r="L228" t="str">
        <f>IFERROR(VLOOKUP($D228,素材!$1:$1016,COLUMN($F$1),FALSE),"")</f>
        <v>氷</v>
      </c>
      <c r="M228">
        <f>IFERROR(VLOOKUP($C228,武器!$1:$998,COLUMN(AA$1),FALSE)*VLOOKUP($D228,素材!$1:$1016,COLUMN($G$1),FALSE),"")</f>
        <v>0</v>
      </c>
      <c r="N228">
        <f>IFERROR(VLOOKUP($C228,武器!$1:$998,COLUMN(I$1),FALSE),"")</f>
        <v>0</v>
      </c>
      <c r="O228" s="23">
        <f>IFERROR((VLOOKUP($C228,武器!$1:$998,COLUMN(K$1),FALSE)+VLOOKUP($D228,素材!$1:$1016,COLUMN(H$1),FALSE))*100+IFERROR(VLOOKUP($CI228,装強!$1:$999,COLUMN(O$1),FALSE),0),"")</f>
        <v>5</v>
      </c>
      <c r="P228" s="23">
        <f>IFERROR((VLOOKUP($C228,武器!$1:$998,COLUMN(L$1),FALSE)+VLOOKUP($D228,素材!$1:$1016,COLUMN(I$1),FALSE))*100+IFERROR(VLOOKUP($CI228,装強!$1:$999,COLUMN(P$1),FALSE),0),"")</f>
        <v>125</v>
      </c>
      <c r="Q228">
        <f>IFERROR(ROUNDUP(VLOOKUP($C228,武器!$1:$998,COLUMN(M$1),FALSE)*(VLOOKUP($D228,素材!$1:$1002,COLUMN(D$1),FALSE)/100),1),"")</f>
        <v>-5</v>
      </c>
      <c r="R228">
        <f>IFERROR(ROUNDUP(VLOOKUP($C228,武器!$1:$998,COLUMN(N$1),FALSE)*(VLOOKUP($D228,素材!$1:$1002,COLUMN(D$1),FALSE)/100),1),"")</f>
        <v>0</v>
      </c>
      <c r="S228">
        <f>IFERROR(VLOOKUP($C228,武器!$1:$998,COLUMN(P$1),FALSE),"")</f>
        <v>0</v>
      </c>
      <c r="T228">
        <f>IFERROR(VLOOKUP($C228,武器!$1:$998,COLUMN(Q$1),FALSE),"")</f>
        <v>0</v>
      </c>
      <c r="U228">
        <f>IFERROR(VLOOKUP($C228,武器!$1:$998,COLUMN(R$1),FALSE),"")</f>
        <v>0</v>
      </c>
      <c r="V228">
        <f>IFERROR(VLOOKUP($C228,武器!$1:$998,COLUMN(Q$1),FALSE),"")</f>
        <v>0</v>
      </c>
      <c r="W228">
        <f>IFERROR(VLOOKUP($C228,武器!$1:$998,COLUMN(T$1),FALSE),"")</f>
        <v>0</v>
      </c>
      <c r="Y228">
        <f>IFERROR(VLOOKUP($C228,武器!$1:$998,COLUMN(U$1),FALSE),"")</f>
        <v>0</v>
      </c>
      <c r="Z228">
        <f>IFERROR(ROUNDUP(VLOOKUP($C228,武器!$1:$998,COLUMN(O$1),FALSE)*VLOOKUP($D228,素材!$1:$1016,COLUMN(E$1),FALSE),1),"")</f>
        <v>4</v>
      </c>
      <c r="AA228">
        <f>IF(ISNUMBER(SEARCH(SUBSTITUTE(AA$1,RIGHT(AA$1,2),""),VLOOKUP($D228,素材!$1:$1016,COLUMN($F$1),FALSE))),VLOOKUP($C228,武器!$1:$998,COLUMN($O$1),FALSE)*VLOOKUP($D228,素材!$1:$1016,COLUMN($E$1),FALSE)/(LEN(VLOOKUP($D228,素材!$1:$1016,COLUMN($F$1),FALSE)) - LEN(SUBSTITUTE(VLOOKUP($D228,素材!$1:$1016,COLUMN($F$1),FALSE), "・", 0)) + 1), 0)</f>
        <v>0</v>
      </c>
      <c r="AB228">
        <f>IF(ISNUMBER(SEARCH(SUBSTITUTE(AB$1,RIGHT(AB$1,2),""),VLOOKUP($D228,素材!$1:$1016,COLUMN($F$1),FALSE))),VLOOKUP($C228,武器!$1:$998,COLUMN($O$1),FALSE)*VLOOKUP($D228,素材!$1:$1016,COLUMN($E$1),FALSE)/(LEN(VLOOKUP($D228,素材!$1:$1016,COLUMN($F$1),FALSE)) - LEN(SUBSTITUTE(VLOOKUP($D228,素材!$1:$1016,COLUMN($F$1),FALSE), "・", 0)) + 1), 0)</f>
        <v>0</v>
      </c>
      <c r="AC228">
        <f>IF(ISNUMBER(SEARCH(SUBSTITUTE(AC$1,RIGHT(AC$1,2),""),VLOOKUP($D228,素材!$1:$1016,COLUMN($F$1),FALSE))),VLOOKUP($C228,武器!$1:$998,COLUMN($O$1),FALSE)*VLOOKUP($D228,素材!$1:$1016,COLUMN($E$1),FALSE)/(LEN(VLOOKUP($D228,素材!$1:$1016,COLUMN($F$1),FALSE)) - LEN(SUBSTITUTE(VLOOKUP($D228,素材!$1:$1016,COLUMN($F$1),FALSE), "・", 0)) + 1), 0)</f>
        <v>0</v>
      </c>
      <c r="AD228">
        <f>IF(ISNUMBER(SEARCH(SUBSTITUTE(AD$1,RIGHT(AD$1,2),""),VLOOKUP($D228,素材!$1:$1016,COLUMN($F$1),FALSE))),VLOOKUP($C228,武器!$1:$998,COLUMN($O$1),FALSE)*VLOOKUP($D228,素材!$1:$1016,COLUMN($E$1),FALSE)/(LEN(VLOOKUP($D228,素材!$1:$1016,COLUMN($F$1),FALSE)) - LEN(SUBSTITUTE(VLOOKUP($D228,素材!$1:$1016,COLUMN($F$1),FALSE), "・", 0)) + 1), 0)</f>
        <v>0</v>
      </c>
      <c r="AE228">
        <f>IF(ISNUMBER(SEARCH(SUBSTITUTE(AE$1,RIGHT(AE$1,2),""),VLOOKUP($D228,素材!$1:$1016,COLUMN($F$1),FALSE))),VLOOKUP($C228,武器!$1:$998,COLUMN($O$1),FALSE)*VLOOKUP($D228,素材!$1:$1016,COLUMN($E$1),FALSE)/(LEN(VLOOKUP($D228,素材!$1:$1016,COLUMN($F$1),FALSE)) - LEN(SUBSTITUTE(VLOOKUP($D228,素材!$1:$1016,COLUMN($F$1),FALSE), "・", 0)) + 1), 0)</f>
        <v>0</v>
      </c>
      <c r="AF228">
        <f>IF(ISNUMBER(SEARCH(SUBSTITUTE(AF$1,RIGHT(AF$1,2),""),VLOOKUP($D228,素材!$1:$1016,COLUMN($F$1),FALSE))),VLOOKUP($C228,武器!$1:$998,COLUMN($O$1),FALSE)*VLOOKUP($D228,素材!$1:$1016,COLUMN($E$1),FALSE)/(LEN(VLOOKUP($D228,素材!$1:$1016,COLUMN($F$1),FALSE)) - LEN(SUBSTITUTE(VLOOKUP($D228,素材!$1:$1016,COLUMN($F$1),FALSE), "・", 0)) + 1), 0)</f>
        <v>4</v>
      </c>
      <c r="AG228">
        <f>IF(ISNUMBER(SEARCH(SUBSTITUTE(AG$1,RIGHT(AG$1,2),""),VLOOKUP($D228,素材!$1:$1016,COLUMN($F$1),FALSE))),VLOOKUP($C228,武器!$1:$998,COLUMN($O$1),FALSE)*VLOOKUP($D228,素材!$1:$1016,COLUMN($E$1),FALSE)/(LEN(VLOOKUP($D228,素材!$1:$1016,COLUMN($F$1),FALSE)) - LEN(SUBSTITUTE(VLOOKUP($D228,素材!$1:$1016,COLUMN($F$1),FALSE), "・", 0)) + 1), 0)</f>
        <v>0</v>
      </c>
      <c r="AH228">
        <f>IF(ISNUMBER(SEARCH(SUBSTITUTE(AH$1,RIGHT(AH$1,2),""),VLOOKUP($D228,素材!$1:$1016,COLUMN($F$1),FALSE))),VLOOKUP($C228,武器!$1:$998,COLUMN($O$1),FALSE)*VLOOKUP($D228,素材!$1:$1016,COLUMN($E$1),FALSE)/(LEN(VLOOKUP($D228,素材!$1:$1016,COLUMN($F$1),FALSE)) - LEN(SUBSTITUTE(VLOOKUP($D228,素材!$1:$1016,COLUMN($F$1),FALSE), "・", 0)) + 1), 0)</f>
        <v>0</v>
      </c>
      <c r="AI228">
        <f>IF(ISNUMBER(SEARCH(SUBSTITUTE(AI$1,RIGHT(AI$1,2),""),VLOOKUP($D228,素材!$1:$1016,COLUMN($F$1),FALSE))),VLOOKUP($C228,武器!$1:$998,COLUMN($O$1),FALSE)*VLOOKUP($D228,素材!$1:$1016,COLUMN($E$1),FALSE)/(LEN(VLOOKUP($D228,素材!$1:$1016,COLUMN($F$1),FALSE)) - LEN(SUBSTITUTE(VLOOKUP($D228,素材!$1:$1016,COLUMN($F$1),FALSE), "・", 0)) + 1), 0)</f>
        <v>0</v>
      </c>
      <c r="AJ228">
        <f>IF(ISNUMBER(SEARCH(SUBSTITUTE(AJ$1,RIGHT(AJ$1,2),""),VLOOKUP($D228,素材!$1:$1016,COLUMN($F$1),FALSE))),VLOOKUP($C228,武器!$1:$998,COLUMN($O$1),FALSE)*VLOOKUP($D228,素材!$1:$1016,COLUMN($E$1),FALSE)/(LEN(VLOOKUP($D228,素材!$1:$1016,COLUMN($F$1),FALSE)) - LEN(SUBSTITUTE(VLOOKUP($D228,素材!$1:$1016,COLUMN($F$1),FALSE), "・", 0)) + 1), 0)</f>
        <v>0</v>
      </c>
      <c r="AK228">
        <f>IF(ISNUMBER(SEARCH(SUBSTITUTE(AK$1,RIGHT(AK$1,2),""),VLOOKUP($D228,素材!$1:$1016,COLUMN($F$1),FALSE))),VLOOKUP($C228,武器!$1:$998,COLUMN($O$1),FALSE)*VLOOKUP($D228,素材!$1:$1016,COLUMN($E$1),FALSE)/(LEN(VLOOKUP($D228,素材!$1:$1016,COLUMN($F$1),FALSE)) - LEN(SUBSTITUTE(VLOOKUP($D228,素材!$1:$1016,COLUMN($F$1),FALSE), "・", 0)) + 1), 0)</f>
        <v>0</v>
      </c>
      <c r="AL228">
        <f>IF(ISNUMBER(SEARCH(SUBSTITUTE(AL$1,RIGHT(AL$1,2),""),VLOOKUP($D228,素材!$1:$1016,COLUMN($F$1),FALSE))),VLOOKUP($C228,武器!$1:$998,COLUMN($O$1),FALSE)*VLOOKUP($D228,素材!$1:$1016,COLUMN($E$1),FALSE)/(LEN(VLOOKUP($D228,素材!$1:$1016,COLUMN($F$1),FALSE)) - LEN(SUBSTITUTE(VLOOKUP($D228,素材!$1:$1016,COLUMN($F$1),FALSE), "・", 0)) + 1), 0)</f>
        <v>0</v>
      </c>
      <c r="AM228">
        <f>IF(ISNUMBER(SEARCH(SUBSTITUTE(AM$1,RIGHT(AM$1,2),""),VLOOKUP($D228,素材!$1:$1016,COLUMN($F$1),FALSE))),VLOOKUP($C228,武器!$1:$998,COLUMN($O$1),FALSE)*VLOOKUP($D228,素材!$1:$1016,COLUMN($E$1),FALSE)/(LEN(VLOOKUP($D228,素材!$1:$1016,COLUMN($F$1),FALSE)) - LEN(SUBSTITUTE(VLOOKUP($D228,素材!$1:$1016,COLUMN($F$1),FALSE), "・", 0)) + 1), 0)</f>
        <v>0</v>
      </c>
      <c r="AN228">
        <f>IF(ISNUMBER(SEARCH(SUBSTITUTE(AN$1,RIGHT(AN$1,2),""),VLOOKUP($D228,素材!$1:$1016,COLUMN($F$1),FALSE))),VLOOKUP($C228,武器!$1:$998,COLUMN($O$1),FALSE)*VLOOKUP($D228,素材!$1:$1016,COLUMN($E$1),FALSE)/(LEN(VLOOKUP($D228,素材!$1:$1016,COLUMN($F$1),FALSE)) - LEN(SUBSTITUTE(VLOOKUP($D228,素材!$1:$1016,COLUMN($F$1),FALSE), "・", 0)) + 1), 0)</f>
        <v>0</v>
      </c>
      <c r="AO228">
        <f>IF(ISNUMBER(SEARCH(SUBSTITUTE(AO$1,RIGHT(AO$1,2),""),VLOOKUP($D228,素材!$1:$1016,COLUMN($F$1),FALSE))),VLOOKUP($C228,武器!$1:$998,COLUMN($O$1),FALSE)*VLOOKUP($D228,素材!$1:$1016,COLUMN($E$1),FALSE)/(LEN(VLOOKUP($D228,素材!$1:$1016,COLUMN($F$1),FALSE)) - LEN(SUBSTITUTE(VLOOKUP($D228,素材!$1:$1016,COLUMN($F$1),FALSE), "・", 0)) + 1), 0)</f>
        <v>0</v>
      </c>
      <c r="AP228">
        <f>IF(ISNUMBER(SEARCH(SUBSTITUTE(AP$1,RIGHT(AP$1,2),""),VLOOKUP($D228,素材!$1:$1016,COLUMN($F$1),FALSE))),VLOOKUP($C228,武器!$1:$998,COLUMN($O$1),FALSE)*VLOOKUP($D228,素材!$1:$1016,COLUMN($E$1),FALSE)/(LEN(VLOOKUP($D228,素材!$1:$1016,COLUMN($F$1),FALSE)) - LEN(SUBSTITUTE(VLOOKUP($D228,素材!$1:$1016,COLUMN($F$1),FALSE), "・", 0)) + 1), 0)</f>
        <v>0</v>
      </c>
      <c r="AQ228">
        <f>IF(ISNUMBER(SEARCH(SUBSTITUTE(AQ$1,RIGHT(AQ$1,2),""),VLOOKUP($D228,素材!$1:$1016,COLUMN($F$1),FALSE))),VLOOKUP($C228,武器!$1:$998,COLUMN($O$1),FALSE)*VLOOKUP($D228,素材!$1:$1016,COLUMN($E$1),FALSE)/(LEN(VLOOKUP($D228,素材!$1:$1016,COLUMN($F$1),FALSE)) - LEN(SUBSTITUTE(VLOOKUP($D228,素材!$1:$1016,COLUMN($F$1),FALSE), "・", 0)) + 1), 0)</f>
        <v>0</v>
      </c>
      <c r="AR228">
        <f>IF(ISNUMBER(SEARCH(SUBSTITUTE(AR$1,RIGHT(AR$1,2),""),VLOOKUP($D228,素材!$1:$1016,COLUMN($F$1),FALSE))),VLOOKUP($C228,武器!$1:$998,COLUMN($O$1),FALSE)*VLOOKUP($D228,素材!$1:$1016,COLUMN($E$1),FALSE)/(LEN(VLOOKUP($D228,素材!$1:$1016,COLUMN($F$1),FALSE)) - LEN(SUBSTITUTE(VLOOKUP($D228,素材!$1:$1016,COLUMN($F$1),FALSE), "・", 0)) + 1), 0)</f>
        <v>0</v>
      </c>
      <c r="AS228">
        <f>IF(ISNUMBER(SEARCH(SUBSTITUTE(AS$1,RIGHT(AS$1,2),""),VLOOKUP($D228,素材!$1:$1016,COLUMN($F$1),FALSE))),VLOOKUP($C228,武器!$1:$998,COLUMN($O$1),FALSE)*VLOOKUP($D228,素材!$1:$1016,COLUMN($E$1),FALSE)/(LEN(VLOOKUP($D228,素材!$1:$1016,COLUMN($F$1),FALSE)) - LEN(SUBSTITUTE(VLOOKUP($D228,素材!$1:$1016,COLUMN($F$1),FALSE), "・", 0)) + 1), 0)</f>
        <v>0</v>
      </c>
      <c r="AT228">
        <f>IF(ISNUMBER(SEARCH(SUBSTITUTE(AT$1,RIGHT(AT$1,2),""),VLOOKUP($D228,素材!$1:$1016,COLUMN($F$1),FALSE))),VLOOKUP($C228,武器!$1:$998,COLUMN($O$1),FALSE)*VLOOKUP($D228,素材!$1:$1016,COLUMN($E$1),FALSE)/(LEN(VLOOKUP($D228,素材!$1:$1016,COLUMN($F$1),FALSE)) - LEN(SUBSTITUTE(VLOOKUP($D228,素材!$1:$1016,COLUMN($F$1),FALSE), "・", 0)) + 1), 0)</f>
        <v>0</v>
      </c>
      <c r="AU228">
        <f>IF(ISNUMBER(SEARCH(SUBSTITUTE(AU$1,RIGHT(AU$1,2),""),VLOOKUP($D228,素材!$1:$1016,COLUMN($F$1),FALSE))),VLOOKUP($C228,武器!$1:$998,COLUMN($O$1),FALSE)*VLOOKUP($D228,素材!$1:$1016,COLUMN($E$1),FALSE)/(LEN(VLOOKUP($D228,素材!$1:$1016,COLUMN($F$1),FALSE)) - LEN(SUBSTITUTE(VLOOKUP($D228,素材!$1:$1016,COLUMN($F$1),FALSE), "・", 0)) + 1), 0)</f>
        <v>0</v>
      </c>
      <c r="AV228">
        <f>IF(ISNUMBER(SEARCH(SUBSTITUTE(AV$1,RIGHT(AV$1,2),""),VLOOKUP($D228,素材!$1:$1016,COLUMN($F$1),FALSE))),VLOOKUP($C228,武器!$1:$998,COLUMN($O$1),FALSE)*VLOOKUP($D228,素材!$1:$1016,COLUMN($E$1),FALSE)/(LEN(VLOOKUP($D228,素材!$1:$1016,COLUMN($F$1),FALSE)) - LEN(SUBSTITUTE(VLOOKUP($D228,素材!$1:$1016,COLUMN($F$1),FALSE), "・", 0)) + 1), 0)</f>
        <v>0</v>
      </c>
      <c r="AW228">
        <f>IF(ISNUMBER(SEARCH(SUBSTITUTE(AW$1,RIGHT(AW$1,2),""),VLOOKUP($D228,素材!$1:$1016,COLUMN($F$1),FALSE))),VLOOKUP($C228,武器!$1:$998,COLUMN($O$1),FALSE)*VLOOKUP($D228,素材!$1:$1016,COLUMN($E$1),FALSE)/(LEN(VLOOKUP($D228,素材!$1:$1016,COLUMN($F$1),FALSE)) - LEN(SUBSTITUTE(VLOOKUP($D228,素材!$1:$1016,COLUMN($F$1),FALSE), "・", 0)) + 1), 0)</f>
        <v>0</v>
      </c>
      <c r="AX228">
        <f>IF(ISNUMBER(SEARCH(SUBSTITUTE(AX$1,RIGHT(AX$1,2),""),VLOOKUP($D228,素材!$1:$1016,COLUMN($F$1),FALSE))),VLOOKUP($C228,武器!$1:$998,COLUMN($O$1),FALSE)*VLOOKUP($D228,素材!$1:$1016,COLUMN($E$1),FALSE)/(LEN(VLOOKUP($D228,素材!$1:$1016,COLUMN($F$1),FALSE)) - LEN(SUBSTITUTE(VLOOKUP($D228,素材!$1:$1016,COLUMN($F$1),FALSE), "・", 0)) + 1), 0)</f>
        <v>0</v>
      </c>
      <c r="AY228">
        <f>IF(ISNUMBER(SEARCH(SUBSTITUTE(AY$1,RIGHT(AY$1,2),""),VLOOKUP($D228,素材!$1:$1016,COLUMN($F$1),FALSE))),VLOOKUP($C228,武器!$1:$998,COLUMN($O$1),FALSE)*VLOOKUP($D228,素材!$1:$1016,COLUMN($E$1),FALSE)/(LEN(VLOOKUP($D228,素材!$1:$1016,COLUMN($F$1),FALSE)) - LEN(SUBSTITUTE(VLOOKUP($D228,素材!$1:$1016,COLUMN($F$1),FALSE), "・", 0)) + 1), 0)</f>
        <v>0</v>
      </c>
      <c r="AZ228">
        <f>IF(ISNUMBER(SEARCH(SUBSTITUTE(AZ$1,RIGHT(AZ$1,2),""),VLOOKUP($D228,素材!$1:$1016,COLUMN($F$1),FALSE))),VLOOKUP($C228,武器!$1:$998,COLUMN($O$1),FALSE)*VLOOKUP($D228,素材!$1:$1016,COLUMN($E$1),FALSE)/(LEN(VLOOKUP($D228,素材!$1:$1016,COLUMN($F$1),FALSE)) - LEN(SUBSTITUTE(VLOOKUP($D228,素材!$1:$1016,COLUMN($F$1),FALSE), "・", 0)) + 1), 0)</f>
        <v>0</v>
      </c>
      <c r="BA228">
        <f>IF(ISNUMBER(SEARCH(SUBSTITUTE(BA$1,RIGHT(BA$1,2),""),VLOOKUP($D228,素材!$1:$1016,COLUMN($F$1),FALSE))),VLOOKUP($C228,武器!$1:$998,COLUMN($O$1),FALSE)*VLOOKUP($D228,素材!$1:$1016,COLUMN($E$1),FALSE)/(LEN(VLOOKUP($D228,素材!$1:$1016,COLUMN($F$1),FALSE)) - LEN(SUBSTITUTE(VLOOKUP($D228,素材!$1:$1016,COLUMN($F$1),FALSE), "・", 0)) + 1), 0)</f>
        <v>0</v>
      </c>
      <c r="BB228">
        <f>IF(ISNUMBER(SEARCH(SUBSTITUTE(BB$1,RIGHT(BB$1,2),""),VLOOKUP($D228,素材!$1:$1016,COLUMN($F$1),FALSE))),VLOOKUP($C228,武器!$1:$998,COLUMN($O$1),FALSE)*VLOOKUP($D228,素材!$1:$1016,COLUMN($E$1),FALSE)/(LEN(VLOOKUP($D228,素材!$1:$1016,COLUMN($F$1),FALSE)) - LEN(SUBSTITUTE(VLOOKUP($D228,素材!$1:$1016,COLUMN($F$1),FALSE), "・", 0)) + 1), 0)</f>
        <v>0</v>
      </c>
      <c r="BC228">
        <f>IF(ISNUMBER(SEARCH(SUBSTITUTE(BC$1,RIGHT(BC$1,2),""),VLOOKUP($D228,素材!$1:$1016,COLUMN($F$1),FALSE))),VLOOKUP($C228,武器!$1:$998,COLUMN($O$1),FALSE)*VLOOKUP($D228,素材!$1:$1016,COLUMN($E$1),FALSE)/(LEN(VLOOKUP($D228,素材!$1:$1016,COLUMN($F$1),FALSE)) - LEN(SUBSTITUTE(VLOOKUP($D228,素材!$1:$1016,COLUMN($F$1),FALSE), "・", 0)) + 1), 0)</f>
        <v>0</v>
      </c>
      <c r="BD228">
        <f>IF(ISNUMBER(SEARCH(SUBSTITUTE(BD$1,RIGHT(BD$1,2),""),VLOOKUP($D228,素材!$1:$1016,COLUMN($F$1),FALSE))),VLOOKUP($C228,武器!$1:$998,COLUMN($O$1),FALSE)*VLOOKUP($D228,素材!$1:$1016,COLUMN($E$1),FALSE)/(LEN(VLOOKUP($D228,素材!$1:$1016,COLUMN($F$1),FALSE)) - LEN(SUBSTITUTE(VLOOKUP($D228,素材!$1:$1016,COLUMN($F$1),FALSE), "・", 0)) + 1), 0)</f>
        <v>0</v>
      </c>
      <c r="BE228">
        <f>IF(ISNUMBER(SEARCH(SUBSTITUTE(BE$1,RIGHT(BE$1,2),""),VLOOKUP($D228,素材!$1:$1016,COLUMN($F$1),FALSE))),VLOOKUP($C228,武器!$1:$998,COLUMN($O$1),FALSE)*VLOOKUP($D228,素材!$1:$1016,COLUMN($E$1),FALSE)/(LEN(VLOOKUP($D228,素材!$1:$1016,COLUMN($F$1),FALSE)) - LEN(SUBSTITUTE(VLOOKUP($D228,素材!$1:$1016,COLUMN($F$1),FALSE), "・", 0)) + 1), 0)</f>
        <v>0</v>
      </c>
      <c r="CL228">
        <f>SUM(G228:I228)</f>
        <v>17</v>
      </c>
      <c r="CM228" s="22" t="str">
        <f>IF(E228="武器",IF(J228-1&gt;SUM(G228:I228),"盾",IF(MAX(G228:I228)=G228,"切断",IF(MAX(G228:I228)=H228,"貫通",IF(MAX(G228:I228)=I228,"打撃","射撃")))),E228)&amp;".webp"</f>
        <v>頭.webp</v>
      </c>
      <c r="CN228">
        <f>IFERROR(VLOOKUP($C228,武器!$1:$998,COLUMN(V$1),FALSE)*VLOOKUP($D228,素材!$1:$1016,COLUMN(N$1),FALSE)+IF(CI228="",0,VLOOKUP($CI228,装強!$1:$1008,COLUMN($CK$1),FALSE)),"")</f>
        <v>2250</v>
      </c>
      <c r="CO228">
        <f>VLOOKUP(D228,素材!$A:$O,COLUMN(素材!O$1),FALSE)</f>
        <v>0</v>
      </c>
      <c r="CP228" t="str">
        <f>VLOOKUP(C228,武器!$A:$W,COLUMN(武器!W$1),FALSE)</f>
        <v>命中 魔防 Cr</v>
      </c>
      <c r="CR228" t="str">
        <f t="shared" si="29"/>
        <v>e_228</v>
      </c>
      <c r="CS228">
        <f t="shared" si="30"/>
        <v>225000</v>
      </c>
    </row>
    <row r="229" spans="1:97" outlineLevel="1" x14ac:dyDescent="0.4">
      <c r="A229" t="str">
        <f t="shared" si="31"/>
        <v>冷気鉄の鎧</v>
      </c>
      <c r="B229" t="str">
        <f>IFERROR(VLOOKUP($D229,素材!$1:$1016,COLUMN($B$1),FALSE)&amp;"・"&amp;VLOOKUP($C229,武器!$1:$998,COLUMN(B$1),FALSE),"")</f>
        <v>ドゥララン・アーマー</v>
      </c>
      <c r="C229" t="s">
        <v>208</v>
      </c>
      <c r="D229" s="24" t="s">
        <v>243</v>
      </c>
      <c r="E229" t="str">
        <f>IFERROR(VLOOKUP(C229,武器!$1:$998,COLUMN(C$1),FALSE),"")</f>
        <v>体</v>
      </c>
      <c r="F229">
        <f>IFERROR(ROUNDDOWN((VLOOKUP($C229,武器!$1:$998,COLUMN(D$1),FALSE)+IFERROR(VLOOKUP($CI229,装強!$1:$999,COLUMN(F$1),FALSE),0))*VLOOKUP($D229,素材!$1:$1016,COLUMN(D$1),FALSE),0),"")</f>
        <v>0</v>
      </c>
      <c r="G229">
        <f>IFERROR(ROUNDDOWN((VLOOKUP($C229,武器!$1:$998,COLUMN(E$1),FALSE)+IFERROR(VLOOKUP($CI229,装強!$1:$999,COLUMN(G$1),FALSE),0))*VLOOKUP($D229,素材!$1:$1016,COLUMN($E$1),FALSE),0),"")</f>
        <v>0</v>
      </c>
      <c r="H229">
        <f>IFERROR(ROUNDDOWN((VLOOKUP($C229,武器!$1:$998,COLUMN(F$1),FALSE)+IFERROR(VLOOKUP($CI229,装強!$1:$999,COLUMN(H$1),FALSE),0))*VLOOKUP($D229,素材!$1:$1016,COLUMN($E$1),FALSE),0),"")</f>
        <v>0</v>
      </c>
      <c r="I229">
        <f>IFERROR(ROUNDDOWN((VLOOKUP($C229,武器!$1:$998,COLUMN(G$1),FALSE)+IFERROR(VLOOKUP($CI229,装強!$1:$999,COLUMN(I$1),FALSE),0))*VLOOKUP($D229,素材!$1:$1016,COLUMN($E$1),FALSE),0),"")</f>
        <v>0</v>
      </c>
      <c r="J229">
        <f>IFERROR(ROUNDDOWN((VLOOKUP($C229,武器!$1:$998,COLUMN(H$1),FALSE)+IFERROR(VLOOKUP($CI229,装強!$1:$999,COLUMN(J$1),FALSE),0))*VLOOKUP($D229,素材!$1:$1016,COLUMN($E$1),FALSE),0),"")</f>
        <v>0</v>
      </c>
      <c r="K229">
        <f>IFERROR(ROUNDDOWN((VLOOKUP($C229,武器!$1:$998,COLUMN(I$1),FALSE)+IFERROR(VLOOKUP($CI229,装強!$1:$999,COLUMN(K$1),FALSE),0))*VLOOKUP($D229,素材!$1:$1016,COLUMN($E$1),FALSE),0),"")</f>
        <v>0</v>
      </c>
      <c r="L229" t="str">
        <f>IFERROR(VLOOKUP($D229,素材!$1:$1016,COLUMN($F$1),FALSE),"")</f>
        <v>氷</v>
      </c>
      <c r="M229">
        <f>IFERROR(VLOOKUP($C229,武器!$1:$998,COLUMN(AA$1),FALSE)*VLOOKUP($D229,素材!$1:$1016,COLUMN($G$1),FALSE),"")</f>
        <v>0</v>
      </c>
      <c r="N229">
        <f>IFERROR(VLOOKUP($C229,武器!$1:$998,COLUMN(I$1),FALSE),"")</f>
        <v>0</v>
      </c>
      <c r="O229" s="23">
        <f>IFERROR((VLOOKUP($C229,武器!$1:$998,COLUMN(K$1),FALSE)+VLOOKUP($D229,素材!$1:$1016,COLUMN(H$1),FALSE))*100+IFERROR(VLOOKUP($CI229,装強!$1:$999,COLUMN(O$1),FALSE),0),"")</f>
        <v>0</v>
      </c>
      <c r="P229" s="23">
        <f>IFERROR((VLOOKUP($C229,武器!$1:$998,COLUMN(L$1),FALSE)+VLOOKUP($D229,素材!$1:$1016,COLUMN(I$1),FALSE))*100+IFERROR(VLOOKUP($CI229,装強!$1:$999,COLUMN(P$1),FALSE),0),"")</f>
        <v>0</v>
      </c>
      <c r="Q229">
        <f>IFERROR(ROUNDUP(VLOOKUP($C229,武器!$1:$998,COLUMN(M$1),FALSE)*(VLOOKUP($D229,素材!$1:$1002,COLUMN(D$1),FALSE)/100),1),"")</f>
        <v>-15</v>
      </c>
      <c r="R229">
        <f>IFERROR(ROUNDUP(VLOOKUP($C229,武器!$1:$998,COLUMN(N$1),FALSE)*(VLOOKUP($D229,素材!$1:$1002,COLUMN(D$1),FALSE)/100),1),"")</f>
        <v>0</v>
      </c>
      <c r="S229">
        <f>IFERROR(VLOOKUP($C229,武器!$1:$998,COLUMN(P$1),FALSE),"")</f>
        <v>0</v>
      </c>
      <c r="T229">
        <f>IFERROR(VLOOKUP($C229,武器!$1:$998,COLUMN(Q$1),FALSE),"")</f>
        <v>0</v>
      </c>
      <c r="U229">
        <f>IFERROR(VLOOKUP($C229,武器!$1:$998,COLUMN(R$1),FALSE),"")</f>
        <v>0</v>
      </c>
      <c r="V229">
        <f>IFERROR(VLOOKUP($C229,武器!$1:$998,COLUMN(Q$1),FALSE),"")</f>
        <v>0</v>
      </c>
      <c r="W229">
        <f>IFERROR(VLOOKUP($C229,武器!$1:$998,COLUMN(T$1),FALSE),"")</f>
        <v>0</v>
      </c>
      <c r="Y229">
        <f>IFERROR(VLOOKUP($C229,武器!$1:$998,COLUMN(U$1),FALSE),"")</f>
        <v>0</v>
      </c>
      <c r="Z229">
        <f>IFERROR(ROUNDUP(VLOOKUP($C229,武器!$1:$998,COLUMN(O$1),FALSE)*VLOOKUP($D229,素材!$1:$1016,COLUMN(E$1),FALSE),1),"")</f>
        <v>14</v>
      </c>
      <c r="AA229">
        <f>IF(ISNUMBER(SEARCH(SUBSTITUTE(AA$1,RIGHT(AA$1,2),""),VLOOKUP($D229,素材!$1:$1016,COLUMN($F$1),FALSE))),VLOOKUP($C229,武器!$1:$998,COLUMN($O$1),FALSE)*VLOOKUP($D229,素材!$1:$1016,COLUMN($E$1),FALSE)/(LEN(VLOOKUP($D229,素材!$1:$1016,COLUMN($F$1),FALSE)) - LEN(SUBSTITUTE(VLOOKUP($D229,素材!$1:$1016,COLUMN($F$1),FALSE), "・", 0)) + 1), 0)</f>
        <v>0</v>
      </c>
      <c r="AB229">
        <f>IF(ISNUMBER(SEARCH(SUBSTITUTE(AB$1,RIGHT(AB$1,2),""),VLOOKUP($D229,素材!$1:$1016,COLUMN($F$1),FALSE))),VLOOKUP($C229,武器!$1:$998,COLUMN($O$1),FALSE)*VLOOKUP($D229,素材!$1:$1016,COLUMN($E$1),FALSE)/(LEN(VLOOKUP($D229,素材!$1:$1016,COLUMN($F$1),FALSE)) - LEN(SUBSTITUTE(VLOOKUP($D229,素材!$1:$1016,COLUMN($F$1),FALSE), "・", 0)) + 1), 0)</f>
        <v>0</v>
      </c>
      <c r="AC229">
        <f>IF(ISNUMBER(SEARCH(SUBSTITUTE(AC$1,RIGHT(AC$1,2),""),VLOOKUP($D229,素材!$1:$1016,COLUMN($F$1),FALSE))),VLOOKUP($C229,武器!$1:$998,COLUMN($O$1),FALSE)*VLOOKUP($D229,素材!$1:$1016,COLUMN($E$1),FALSE)/(LEN(VLOOKUP($D229,素材!$1:$1016,COLUMN($F$1),FALSE)) - LEN(SUBSTITUTE(VLOOKUP($D229,素材!$1:$1016,COLUMN($F$1),FALSE), "・", 0)) + 1), 0)</f>
        <v>0</v>
      </c>
      <c r="AD229">
        <f>IF(ISNUMBER(SEARCH(SUBSTITUTE(AD$1,RIGHT(AD$1,2),""),VLOOKUP($D229,素材!$1:$1016,COLUMN($F$1),FALSE))),VLOOKUP($C229,武器!$1:$998,COLUMN($O$1),FALSE)*VLOOKUP($D229,素材!$1:$1016,COLUMN($E$1),FALSE)/(LEN(VLOOKUP($D229,素材!$1:$1016,COLUMN($F$1),FALSE)) - LEN(SUBSTITUTE(VLOOKUP($D229,素材!$1:$1016,COLUMN($F$1),FALSE), "・", 0)) + 1), 0)</f>
        <v>0</v>
      </c>
      <c r="AE229">
        <f>IF(ISNUMBER(SEARCH(SUBSTITUTE(AE$1,RIGHT(AE$1,2),""),VLOOKUP($D229,素材!$1:$1016,COLUMN($F$1),FALSE))),VLOOKUP($C229,武器!$1:$998,COLUMN($O$1),FALSE)*VLOOKUP($D229,素材!$1:$1016,COLUMN($E$1),FALSE)/(LEN(VLOOKUP($D229,素材!$1:$1016,COLUMN($F$1),FALSE)) - LEN(SUBSTITUTE(VLOOKUP($D229,素材!$1:$1016,COLUMN($F$1),FALSE), "・", 0)) + 1), 0)</f>
        <v>0</v>
      </c>
      <c r="AF229">
        <f>IF(ISNUMBER(SEARCH(SUBSTITUTE(AF$1,RIGHT(AF$1,2),""),VLOOKUP($D229,素材!$1:$1016,COLUMN($F$1),FALSE))),VLOOKUP($C229,武器!$1:$998,COLUMN($O$1),FALSE)*VLOOKUP($D229,素材!$1:$1016,COLUMN($E$1),FALSE)/(LEN(VLOOKUP($D229,素材!$1:$1016,COLUMN($F$1),FALSE)) - LEN(SUBSTITUTE(VLOOKUP($D229,素材!$1:$1016,COLUMN($F$1),FALSE), "・", 0)) + 1), 0)</f>
        <v>14</v>
      </c>
      <c r="AG229">
        <f>IF(ISNUMBER(SEARCH(SUBSTITUTE(AG$1,RIGHT(AG$1,2),""),VLOOKUP($D229,素材!$1:$1016,COLUMN($F$1),FALSE))),VLOOKUP($C229,武器!$1:$998,COLUMN($O$1),FALSE)*VLOOKUP($D229,素材!$1:$1016,COLUMN($E$1),FALSE)/(LEN(VLOOKUP($D229,素材!$1:$1016,COLUMN($F$1),FALSE)) - LEN(SUBSTITUTE(VLOOKUP($D229,素材!$1:$1016,COLUMN($F$1),FALSE), "・", 0)) + 1), 0)</f>
        <v>0</v>
      </c>
      <c r="AH229">
        <f>IF(ISNUMBER(SEARCH(SUBSTITUTE(AH$1,RIGHT(AH$1,2),""),VLOOKUP($D229,素材!$1:$1016,COLUMN($F$1),FALSE))),VLOOKUP($C229,武器!$1:$998,COLUMN($O$1),FALSE)*VLOOKUP($D229,素材!$1:$1016,COLUMN($E$1),FALSE)/(LEN(VLOOKUP($D229,素材!$1:$1016,COLUMN($F$1),FALSE)) - LEN(SUBSTITUTE(VLOOKUP($D229,素材!$1:$1016,COLUMN($F$1),FALSE), "・", 0)) + 1), 0)</f>
        <v>0</v>
      </c>
      <c r="AI229">
        <f>IF(ISNUMBER(SEARCH(SUBSTITUTE(AI$1,RIGHT(AI$1,2),""),VLOOKUP($D229,素材!$1:$1016,COLUMN($F$1),FALSE))),VLOOKUP($C229,武器!$1:$998,COLUMN($O$1),FALSE)*VLOOKUP($D229,素材!$1:$1016,COLUMN($E$1),FALSE)/(LEN(VLOOKUP($D229,素材!$1:$1016,COLUMN($F$1),FALSE)) - LEN(SUBSTITUTE(VLOOKUP($D229,素材!$1:$1016,COLUMN($F$1),FALSE), "・", 0)) + 1), 0)</f>
        <v>0</v>
      </c>
      <c r="AJ229">
        <f>IF(ISNUMBER(SEARCH(SUBSTITUTE(AJ$1,RIGHT(AJ$1,2),""),VLOOKUP($D229,素材!$1:$1016,COLUMN($F$1),FALSE))),VLOOKUP($C229,武器!$1:$998,COLUMN($O$1),FALSE)*VLOOKUP($D229,素材!$1:$1016,COLUMN($E$1),FALSE)/(LEN(VLOOKUP($D229,素材!$1:$1016,COLUMN($F$1),FALSE)) - LEN(SUBSTITUTE(VLOOKUP($D229,素材!$1:$1016,COLUMN($F$1),FALSE), "・", 0)) + 1), 0)</f>
        <v>0</v>
      </c>
      <c r="AK229">
        <f>IF(ISNUMBER(SEARCH(SUBSTITUTE(AK$1,RIGHT(AK$1,2),""),VLOOKUP($D229,素材!$1:$1016,COLUMN($F$1),FALSE))),VLOOKUP($C229,武器!$1:$998,COLUMN($O$1),FALSE)*VLOOKUP($D229,素材!$1:$1016,COLUMN($E$1),FALSE)/(LEN(VLOOKUP($D229,素材!$1:$1016,COLUMN($F$1),FALSE)) - LEN(SUBSTITUTE(VLOOKUP($D229,素材!$1:$1016,COLUMN($F$1),FALSE), "・", 0)) + 1), 0)</f>
        <v>0</v>
      </c>
      <c r="AL229">
        <f>IF(ISNUMBER(SEARCH(SUBSTITUTE(AL$1,RIGHT(AL$1,2),""),VLOOKUP($D229,素材!$1:$1016,COLUMN($F$1),FALSE))),VLOOKUP($C229,武器!$1:$998,COLUMN($O$1),FALSE)*VLOOKUP($D229,素材!$1:$1016,COLUMN($E$1),FALSE)/(LEN(VLOOKUP($D229,素材!$1:$1016,COLUMN($F$1),FALSE)) - LEN(SUBSTITUTE(VLOOKUP($D229,素材!$1:$1016,COLUMN($F$1),FALSE), "・", 0)) + 1), 0)</f>
        <v>0</v>
      </c>
      <c r="AM229">
        <f>IF(ISNUMBER(SEARCH(SUBSTITUTE(AM$1,RIGHT(AM$1,2),""),VLOOKUP($D229,素材!$1:$1016,COLUMN($F$1),FALSE))),VLOOKUP($C229,武器!$1:$998,COLUMN($O$1),FALSE)*VLOOKUP($D229,素材!$1:$1016,COLUMN($E$1),FALSE)/(LEN(VLOOKUP($D229,素材!$1:$1016,COLUMN($F$1),FALSE)) - LEN(SUBSTITUTE(VLOOKUP($D229,素材!$1:$1016,COLUMN($F$1),FALSE), "・", 0)) + 1), 0)</f>
        <v>0</v>
      </c>
      <c r="AN229">
        <f>IF(ISNUMBER(SEARCH(SUBSTITUTE(AN$1,RIGHT(AN$1,2),""),VLOOKUP($D229,素材!$1:$1016,COLUMN($F$1),FALSE))),VLOOKUP($C229,武器!$1:$998,COLUMN($O$1),FALSE)*VLOOKUP($D229,素材!$1:$1016,COLUMN($E$1),FALSE)/(LEN(VLOOKUP($D229,素材!$1:$1016,COLUMN($F$1),FALSE)) - LEN(SUBSTITUTE(VLOOKUP($D229,素材!$1:$1016,COLUMN($F$1),FALSE), "・", 0)) + 1), 0)</f>
        <v>0</v>
      </c>
      <c r="AO229">
        <f>IF(ISNUMBER(SEARCH(SUBSTITUTE(AO$1,RIGHT(AO$1,2),""),VLOOKUP($D229,素材!$1:$1016,COLUMN($F$1),FALSE))),VLOOKUP($C229,武器!$1:$998,COLUMN($O$1),FALSE)*VLOOKUP($D229,素材!$1:$1016,COLUMN($E$1),FALSE)/(LEN(VLOOKUP($D229,素材!$1:$1016,COLUMN($F$1),FALSE)) - LEN(SUBSTITUTE(VLOOKUP($D229,素材!$1:$1016,COLUMN($F$1),FALSE), "・", 0)) + 1), 0)</f>
        <v>0</v>
      </c>
      <c r="AP229">
        <f>IF(ISNUMBER(SEARCH(SUBSTITUTE(AP$1,RIGHT(AP$1,2),""),VLOOKUP($D229,素材!$1:$1016,COLUMN($F$1),FALSE))),VLOOKUP($C229,武器!$1:$998,COLUMN($O$1),FALSE)*VLOOKUP($D229,素材!$1:$1016,COLUMN($E$1),FALSE)/(LEN(VLOOKUP($D229,素材!$1:$1016,COLUMN($F$1),FALSE)) - LEN(SUBSTITUTE(VLOOKUP($D229,素材!$1:$1016,COLUMN($F$1),FALSE), "・", 0)) + 1), 0)</f>
        <v>0</v>
      </c>
      <c r="AQ229">
        <f>IF(ISNUMBER(SEARCH(SUBSTITUTE(AQ$1,RIGHT(AQ$1,2),""),VLOOKUP($D229,素材!$1:$1016,COLUMN($F$1),FALSE))),VLOOKUP($C229,武器!$1:$998,COLUMN($O$1),FALSE)*VLOOKUP($D229,素材!$1:$1016,COLUMN($E$1),FALSE)/(LEN(VLOOKUP($D229,素材!$1:$1016,COLUMN($F$1),FALSE)) - LEN(SUBSTITUTE(VLOOKUP($D229,素材!$1:$1016,COLUMN($F$1),FALSE), "・", 0)) + 1), 0)</f>
        <v>0</v>
      </c>
      <c r="AR229">
        <f>IF(ISNUMBER(SEARCH(SUBSTITUTE(AR$1,RIGHT(AR$1,2),""),VLOOKUP($D229,素材!$1:$1016,COLUMN($F$1),FALSE))),VLOOKUP($C229,武器!$1:$998,COLUMN($O$1),FALSE)*VLOOKUP($D229,素材!$1:$1016,COLUMN($E$1),FALSE)/(LEN(VLOOKUP($D229,素材!$1:$1016,COLUMN($F$1),FALSE)) - LEN(SUBSTITUTE(VLOOKUP($D229,素材!$1:$1016,COLUMN($F$1),FALSE), "・", 0)) + 1), 0)</f>
        <v>0</v>
      </c>
      <c r="AS229">
        <f>IF(ISNUMBER(SEARCH(SUBSTITUTE(AS$1,RIGHT(AS$1,2),""),VLOOKUP($D229,素材!$1:$1016,COLUMN($F$1),FALSE))),VLOOKUP($C229,武器!$1:$998,COLUMN($O$1),FALSE)*VLOOKUP($D229,素材!$1:$1016,COLUMN($E$1),FALSE)/(LEN(VLOOKUP($D229,素材!$1:$1016,COLUMN($F$1),FALSE)) - LEN(SUBSTITUTE(VLOOKUP($D229,素材!$1:$1016,COLUMN($F$1),FALSE), "・", 0)) + 1), 0)</f>
        <v>0</v>
      </c>
      <c r="AT229">
        <f>IF(ISNUMBER(SEARCH(SUBSTITUTE(AT$1,RIGHT(AT$1,2),""),VLOOKUP($D229,素材!$1:$1016,COLUMN($F$1),FALSE))),VLOOKUP($C229,武器!$1:$998,COLUMN($O$1),FALSE)*VLOOKUP($D229,素材!$1:$1016,COLUMN($E$1),FALSE)/(LEN(VLOOKUP($D229,素材!$1:$1016,COLUMN($F$1),FALSE)) - LEN(SUBSTITUTE(VLOOKUP($D229,素材!$1:$1016,COLUMN($F$1),FALSE), "・", 0)) + 1), 0)</f>
        <v>0</v>
      </c>
      <c r="AU229">
        <f>IF(ISNUMBER(SEARCH(SUBSTITUTE(AU$1,RIGHT(AU$1,2),""),VLOOKUP($D229,素材!$1:$1016,COLUMN($F$1),FALSE))),VLOOKUP($C229,武器!$1:$998,COLUMN($O$1),FALSE)*VLOOKUP($D229,素材!$1:$1016,COLUMN($E$1),FALSE)/(LEN(VLOOKUP($D229,素材!$1:$1016,COLUMN($F$1),FALSE)) - LEN(SUBSTITUTE(VLOOKUP($D229,素材!$1:$1016,COLUMN($F$1),FALSE), "・", 0)) + 1), 0)</f>
        <v>0</v>
      </c>
      <c r="AV229">
        <f>IF(ISNUMBER(SEARCH(SUBSTITUTE(AV$1,RIGHT(AV$1,2),""),VLOOKUP($D229,素材!$1:$1016,COLUMN($F$1),FALSE))),VLOOKUP($C229,武器!$1:$998,COLUMN($O$1),FALSE)*VLOOKUP($D229,素材!$1:$1016,COLUMN($E$1),FALSE)/(LEN(VLOOKUP($D229,素材!$1:$1016,COLUMN($F$1),FALSE)) - LEN(SUBSTITUTE(VLOOKUP($D229,素材!$1:$1016,COLUMN($F$1),FALSE), "・", 0)) + 1), 0)</f>
        <v>0</v>
      </c>
      <c r="AW229">
        <f>IF(ISNUMBER(SEARCH(SUBSTITUTE(AW$1,RIGHT(AW$1,2),""),VLOOKUP($D229,素材!$1:$1016,COLUMN($F$1),FALSE))),VLOOKUP($C229,武器!$1:$998,COLUMN($O$1),FALSE)*VLOOKUP($D229,素材!$1:$1016,COLUMN($E$1),FALSE)/(LEN(VLOOKUP($D229,素材!$1:$1016,COLUMN($F$1),FALSE)) - LEN(SUBSTITUTE(VLOOKUP($D229,素材!$1:$1016,COLUMN($F$1),FALSE), "・", 0)) + 1), 0)</f>
        <v>0</v>
      </c>
      <c r="AX229">
        <f>IF(ISNUMBER(SEARCH(SUBSTITUTE(AX$1,RIGHT(AX$1,2),""),VLOOKUP($D229,素材!$1:$1016,COLUMN($F$1),FALSE))),VLOOKUP($C229,武器!$1:$998,COLUMN($O$1),FALSE)*VLOOKUP($D229,素材!$1:$1016,COLUMN($E$1),FALSE)/(LEN(VLOOKUP($D229,素材!$1:$1016,COLUMN($F$1),FALSE)) - LEN(SUBSTITUTE(VLOOKUP($D229,素材!$1:$1016,COLUMN($F$1),FALSE), "・", 0)) + 1), 0)</f>
        <v>0</v>
      </c>
      <c r="AY229">
        <f>IF(ISNUMBER(SEARCH(SUBSTITUTE(AY$1,RIGHT(AY$1,2),""),VLOOKUP($D229,素材!$1:$1016,COLUMN($F$1),FALSE))),VLOOKUP($C229,武器!$1:$998,COLUMN($O$1),FALSE)*VLOOKUP($D229,素材!$1:$1016,COLUMN($E$1),FALSE)/(LEN(VLOOKUP($D229,素材!$1:$1016,COLUMN($F$1),FALSE)) - LEN(SUBSTITUTE(VLOOKUP($D229,素材!$1:$1016,COLUMN($F$1),FALSE), "・", 0)) + 1), 0)</f>
        <v>0</v>
      </c>
      <c r="AZ229">
        <f>IF(ISNUMBER(SEARCH(SUBSTITUTE(AZ$1,RIGHT(AZ$1,2),""),VLOOKUP($D229,素材!$1:$1016,COLUMN($F$1),FALSE))),VLOOKUP($C229,武器!$1:$998,COLUMN($O$1),FALSE)*VLOOKUP($D229,素材!$1:$1016,COLUMN($E$1),FALSE)/(LEN(VLOOKUP($D229,素材!$1:$1016,COLUMN($F$1),FALSE)) - LEN(SUBSTITUTE(VLOOKUP($D229,素材!$1:$1016,COLUMN($F$1),FALSE), "・", 0)) + 1), 0)</f>
        <v>0</v>
      </c>
      <c r="BA229">
        <f>IF(ISNUMBER(SEARCH(SUBSTITUTE(BA$1,RIGHT(BA$1,2),""),VLOOKUP($D229,素材!$1:$1016,COLUMN($F$1),FALSE))),VLOOKUP($C229,武器!$1:$998,COLUMN($O$1),FALSE)*VLOOKUP($D229,素材!$1:$1016,COLUMN($E$1),FALSE)/(LEN(VLOOKUP($D229,素材!$1:$1016,COLUMN($F$1),FALSE)) - LEN(SUBSTITUTE(VLOOKUP($D229,素材!$1:$1016,COLUMN($F$1),FALSE), "・", 0)) + 1), 0)</f>
        <v>0</v>
      </c>
      <c r="BB229">
        <f>IF(ISNUMBER(SEARCH(SUBSTITUTE(BB$1,RIGHT(BB$1,2),""),VLOOKUP($D229,素材!$1:$1016,COLUMN($F$1),FALSE))),VLOOKUP($C229,武器!$1:$998,COLUMN($O$1),FALSE)*VLOOKUP($D229,素材!$1:$1016,COLUMN($E$1),FALSE)/(LEN(VLOOKUP($D229,素材!$1:$1016,COLUMN($F$1),FALSE)) - LEN(SUBSTITUTE(VLOOKUP($D229,素材!$1:$1016,COLUMN($F$1),FALSE), "・", 0)) + 1), 0)</f>
        <v>0</v>
      </c>
      <c r="BC229">
        <f>IF(ISNUMBER(SEARCH(SUBSTITUTE(BC$1,RIGHT(BC$1,2),""),VLOOKUP($D229,素材!$1:$1016,COLUMN($F$1),FALSE))),VLOOKUP($C229,武器!$1:$998,COLUMN($O$1),FALSE)*VLOOKUP($D229,素材!$1:$1016,COLUMN($E$1),FALSE)/(LEN(VLOOKUP($D229,素材!$1:$1016,COLUMN($F$1),FALSE)) - LEN(SUBSTITUTE(VLOOKUP($D229,素材!$1:$1016,COLUMN($F$1),FALSE), "・", 0)) + 1), 0)</f>
        <v>0</v>
      </c>
      <c r="BD229">
        <f>IF(ISNUMBER(SEARCH(SUBSTITUTE(BD$1,RIGHT(BD$1,2),""),VLOOKUP($D229,素材!$1:$1016,COLUMN($F$1),FALSE))),VLOOKUP($C229,武器!$1:$998,COLUMN($O$1),FALSE)*VLOOKUP($D229,素材!$1:$1016,COLUMN($E$1),FALSE)/(LEN(VLOOKUP($D229,素材!$1:$1016,COLUMN($F$1),FALSE)) - LEN(SUBSTITUTE(VLOOKUP($D229,素材!$1:$1016,COLUMN($F$1),FALSE), "・", 0)) + 1), 0)</f>
        <v>0</v>
      </c>
      <c r="BE229">
        <f>IF(ISNUMBER(SEARCH(SUBSTITUTE(BE$1,RIGHT(BE$1,2),""),VLOOKUP($D229,素材!$1:$1016,COLUMN($F$1),FALSE))),VLOOKUP($C229,武器!$1:$998,COLUMN($O$1),FALSE)*VLOOKUP($D229,素材!$1:$1016,COLUMN($E$1),FALSE)/(LEN(VLOOKUP($D229,素材!$1:$1016,COLUMN($F$1),FALSE)) - LEN(SUBSTITUTE(VLOOKUP($D229,素材!$1:$1016,COLUMN($F$1),FALSE), "・", 0)) + 1), 0)</f>
        <v>0</v>
      </c>
      <c r="CL229">
        <f>SUM(G229:I229)</f>
        <v>0</v>
      </c>
      <c r="CM229" s="22" t="str">
        <f>IF(E229="武器",IF(J229-1&gt;SUM(G229:I229),"盾",IF(MAX(G229:I229)=G229,"切断",IF(MAX(G229:I229)=H229,"貫通",IF(MAX(G229:I229)=I229,"打撃","射撃")))),E229)&amp;".webp"</f>
        <v>体.webp</v>
      </c>
      <c r="CN229">
        <f>IFERROR(VLOOKUP($C229,武器!$1:$998,COLUMN(V$1),FALSE)*VLOOKUP($D229,素材!$1:$1016,COLUMN(N$1),FALSE)+IF(CI229="",0,VLOOKUP($CI229,装強!$1:$1008,COLUMN($CK$1),FALSE)),"")</f>
        <v>4500</v>
      </c>
      <c r="CO229">
        <f>VLOOKUP(D229,素材!$A:$O,COLUMN(素材!O$1),FALSE)</f>
        <v>0</v>
      </c>
      <c r="CP229" t="str">
        <f>VLOOKUP(C229,武器!$A:$W,COLUMN(武器!W$1),FALSE)</f>
        <v>HP 物理 魔法 体幹 出血 疲労 Cr</v>
      </c>
      <c r="CR229" t="str">
        <f t="shared" si="29"/>
        <v>e_229</v>
      </c>
      <c r="CS229">
        <f t="shared" si="30"/>
        <v>450000</v>
      </c>
    </row>
    <row r="230" spans="1:97" outlineLevel="1" x14ac:dyDescent="0.4">
      <c r="A230" t="str">
        <f t="shared" si="31"/>
        <v>冷気鉄の胴衣</v>
      </c>
      <c r="B230" t="str">
        <f>IFERROR(VLOOKUP($D230,素材!$1:$1016,COLUMN($B$1),FALSE)&amp;"・"&amp;VLOOKUP($C230,武器!$1:$998,COLUMN(B$1),FALSE),"")</f>
        <v>ドゥララン・ベスト</v>
      </c>
      <c r="C230" t="s">
        <v>207</v>
      </c>
      <c r="D230" s="24" t="s">
        <v>243</v>
      </c>
      <c r="E230" t="str">
        <f>IFERROR(VLOOKUP(C230,武器!$1:$998,COLUMN(C$1),FALSE),"")</f>
        <v>体</v>
      </c>
      <c r="F230">
        <f>IFERROR(ROUNDDOWN((VLOOKUP($C230,武器!$1:$998,COLUMN(D$1),FALSE)+IFERROR(VLOOKUP($CI230,装強!$1:$999,COLUMN(F$1),FALSE),0))*VLOOKUP($D230,素材!$1:$1016,COLUMN(D$1),FALSE),0),"")</f>
        <v>0</v>
      </c>
      <c r="G230">
        <f>IFERROR(ROUNDDOWN((VLOOKUP($C230,武器!$1:$998,COLUMN(E$1),FALSE)+IFERROR(VLOOKUP($CI230,装強!$1:$999,COLUMN(G$1),FALSE),0))*VLOOKUP($D230,素材!$1:$1016,COLUMN($E$1),FALSE),0),"")</f>
        <v>0</v>
      </c>
      <c r="H230">
        <f>IFERROR(ROUNDDOWN((VLOOKUP($C230,武器!$1:$998,COLUMN(F$1),FALSE)+IFERROR(VLOOKUP($CI230,装強!$1:$999,COLUMN(H$1),FALSE),0))*VLOOKUP($D230,素材!$1:$1016,COLUMN($E$1),FALSE),0),"")</f>
        <v>0</v>
      </c>
      <c r="I230">
        <f>IFERROR(ROUNDDOWN((VLOOKUP($C230,武器!$1:$998,COLUMN(G$1),FALSE)+IFERROR(VLOOKUP($CI230,装強!$1:$999,COLUMN(I$1),FALSE),0))*VLOOKUP($D230,素材!$1:$1016,COLUMN($E$1),FALSE),0),"")</f>
        <v>0</v>
      </c>
      <c r="J230">
        <f>IFERROR(ROUNDDOWN((VLOOKUP($C230,武器!$1:$998,COLUMN(H$1),FALSE)+IFERROR(VLOOKUP($CI230,装強!$1:$999,COLUMN(J$1),FALSE),0))*VLOOKUP($D230,素材!$1:$1016,COLUMN($E$1),FALSE),0),"")</f>
        <v>0</v>
      </c>
      <c r="K230">
        <f>IFERROR(ROUNDDOWN((VLOOKUP($C230,武器!$1:$998,COLUMN(I$1),FALSE)+IFERROR(VLOOKUP($CI230,装強!$1:$999,COLUMN(K$1),FALSE),0))*VLOOKUP($D230,素材!$1:$1016,COLUMN($E$1),FALSE),0),"")</f>
        <v>0</v>
      </c>
      <c r="L230" t="str">
        <f>IFERROR(VLOOKUP($D230,素材!$1:$1016,COLUMN($F$1),FALSE),"")</f>
        <v>氷</v>
      </c>
      <c r="M230">
        <f>IFERROR(VLOOKUP($C230,武器!$1:$998,COLUMN(AA$1),FALSE)*VLOOKUP($D230,素材!$1:$1016,COLUMN($G$1),FALSE),"")</f>
        <v>0</v>
      </c>
      <c r="N230">
        <f>IFERROR(VLOOKUP($C230,武器!$1:$998,COLUMN(I$1),FALSE),"")</f>
        <v>0</v>
      </c>
      <c r="O230" s="23">
        <f>IFERROR((VLOOKUP($C230,武器!$1:$998,COLUMN(K$1),FALSE)+VLOOKUP($D230,素材!$1:$1016,COLUMN(H$1),FALSE))*100+IFERROR(VLOOKUP($CI230,装強!$1:$999,COLUMN(O$1),FALSE),0),"")</f>
        <v>0</v>
      </c>
      <c r="P230" s="23">
        <f>IFERROR((VLOOKUP($C230,武器!$1:$998,COLUMN(L$1),FALSE)+VLOOKUP($D230,素材!$1:$1016,COLUMN(I$1),FALSE))*100+IFERROR(VLOOKUP($CI230,装強!$1:$999,COLUMN(P$1),FALSE),0),"")</f>
        <v>0</v>
      </c>
      <c r="Q230">
        <f>IFERROR(ROUNDUP(VLOOKUP($C230,武器!$1:$998,COLUMN(M$1),FALSE)*(VLOOKUP($D230,素材!$1:$1002,COLUMN(D$1),FALSE)/100),1),"")</f>
        <v>-7.5</v>
      </c>
      <c r="R230">
        <f>IFERROR(ROUNDUP(VLOOKUP($C230,武器!$1:$998,COLUMN(N$1),FALSE)*(VLOOKUP($D230,素材!$1:$1002,COLUMN(D$1),FALSE)/100),1),"")</f>
        <v>0</v>
      </c>
      <c r="S230">
        <f>IFERROR(VLOOKUP($C230,武器!$1:$998,COLUMN(P$1),FALSE),"")</f>
        <v>0</v>
      </c>
      <c r="T230">
        <f>IFERROR(VLOOKUP($C230,武器!$1:$998,COLUMN(Q$1),FALSE),"")</f>
        <v>0</v>
      </c>
      <c r="U230">
        <f>IFERROR(VLOOKUP($C230,武器!$1:$998,COLUMN(R$1),FALSE),"")</f>
        <v>0</v>
      </c>
      <c r="V230">
        <f>IFERROR(VLOOKUP($C230,武器!$1:$998,COLUMN(Q$1),FALSE),"")</f>
        <v>0</v>
      </c>
      <c r="W230">
        <f>IFERROR(VLOOKUP($C230,武器!$1:$998,COLUMN(T$1),FALSE),"")</f>
        <v>0</v>
      </c>
      <c r="Y230">
        <f>IFERROR(VLOOKUP($C230,武器!$1:$998,COLUMN(U$1),FALSE),"")</f>
        <v>0</v>
      </c>
      <c r="Z230">
        <f>IFERROR(ROUNDUP(VLOOKUP($C230,武器!$1:$998,COLUMN(O$1),FALSE)*VLOOKUP($D230,素材!$1:$1016,COLUMN(E$1),FALSE),1),"")</f>
        <v>10</v>
      </c>
      <c r="AA230">
        <f>IF(ISNUMBER(SEARCH(SUBSTITUTE(AA$1,RIGHT(AA$1,2),""),VLOOKUP($D230,素材!$1:$1016,COLUMN($F$1),FALSE))),VLOOKUP($C230,武器!$1:$998,COLUMN($O$1),FALSE)*VLOOKUP($D230,素材!$1:$1016,COLUMN($E$1),FALSE)/(LEN(VLOOKUP($D230,素材!$1:$1016,COLUMN($F$1),FALSE)) - LEN(SUBSTITUTE(VLOOKUP($D230,素材!$1:$1016,COLUMN($F$1),FALSE), "・", 0)) + 1), 0)</f>
        <v>0</v>
      </c>
      <c r="AB230">
        <f>IF(ISNUMBER(SEARCH(SUBSTITUTE(AB$1,RIGHT(AB$1,2),""),VLOOKUP($D230,素材!$1:$1016,COLUMN($F$1),FALSE))),VLOOKUP($C230,武器!$1:$998,COLUMN($O$1),FALSE)*VLOOKUP($D230,素材!$1:$1016,COLUMN($E$1),FALSE)/(LEN(VLOOKUP($D230,素材!$1:$1016,COLUMN($F$1),FALSE)) - LEN(SUBSTITUTE(VLOOKUP($D230,素材!$1:$1016,COLUMN($F$1),FALSE), "・", 0)) + 1), 0)</f>
        <v>0</v>
      </c>
      <c r="AC230">
        <f>IF(ISNUMBER(SEARCH(SUBSTITUTE(AC$1,RIGHT(AC$1,2),""),VLOOKUP($D230,素材!$1:$1016,COLUMN($F$1),FALSE))),VLOOKUP($C230,武器!$1:$998,COLUMN($O$1),FALSE)*VLOOKUP($D230,素材!$1:$1016,COLUMN($E$1),FALSE)/(LEN(VLOOKUP($D230,素材!$1:$1016,COLUMN($F$1),FALSE)) - LEN(SUBSTITUTE(VLOOKUP($D230,素材!$1:$1016,COLUMN($F$1),FALSE), "・", 0)) + 1), 0)</f>
        <v>0</v>
      </c>
      <c r="AD230">
        <f>IF(ISNUMBER(SEARCH(SUBSTITUTE(AD$1,RIGHT(AD$1,2),""),VLOOKUP($D230,素材!$1:$1016,COLUMN($F$1),FALSE))),VLOOKUP($C230,武器!$1:$998,COLUMN($O$1),FALSE)*VLOOKUP($D230,素材!$1:$1016,COLUMN($E$1),FALSE)/(LEN(VLOOKUP($D230,素材!$1:$1016,COLUMN($F$1),FALSE)) - LEN(SUBSTITUTE(VLOOKUP($D230,素材!$1:$1016,COLUMN($F$1),FALSE), "・", 0)) + 1), 0)</f>
        <v>0</v>
      </c>
      <c r="AE230">
        <f>IF(ISNUMBER(SEARCH(SUBSTITUTE(AE$1,RIGHT(AE$1,2),""),VLOOKUP($D230,素材!$1:$1016,COLUMN($F$1),FALSE))),VLOOKUP($C230,武器!$1:$998,COLUMN($O$1),FALSE)*VLOOKUP($D230,素材!$1:$1016,COLUMN($E$1),FALSE)/(LEN(VLOOKUP($D230,素材!$1:$1016,COLUMN($F$1),FALSE)) - LEN(SUBSTITUTE(VLOOKUP($D230,素材!$1:$1016,COLUMN($F$1),FALSE), "・", 0)) + 1), 0)</f>
        <v>0</v>
      </c>
      <c r="AF230">
        <f>IF(ISNUMBER(SEARCH(SUBSTITUTE(AF$1,RIGHT(AF$1,2),""),VLOOKUP($D230,素材!$1:$1016,COLUMN($F$1),FALSE))),VLOOKUP($C230,武器!$1:$998,COLUMN($O$1),FALSE)*VLOOKUP($D230,素材!$1:$1016,COLUMN($E$1),FALSE)/(LEN(VLOOKUP($D230,素材!$1:$1016,COLUMN($F$1),FALSE)) - LEN(SUBSTITUTE(VLOOKUP($D230,素材!$1:$1016,COLUMN($F$1),FALSE), "・", 0)) + 1), 0)</f>
        <v>10</v>
      </c>
      <c r="AG230">
        <f>IF(ISNUMBER(SEARCH(SUBSTITUTE(AG$1,RIGHT(AG$1,2),""),VLOOKUP($D230,素材!$1:$1016,COLUMN($F$1),FALSE))),VLOOKUP($C230,武器!$1:$998,COLUMN($O$1),FALSE)*VLOOKUP($D230,素材!$1:$1016,COLUMN($E$1),FALSE)/(LEN(VLOOKUP($D230,素材!$1:$1016,COLUMN($F$1),FALSE)) - LEN(SUBSTITUTE(VLOOKUP($D230,素材!$1:$1016,COLUMN($F$1),FALSE), "・", 0)) + 1), 0)</f>
        <v>0</v>
      </c>
      <c r="AH230">
        <f>IF(ISNUMBER(SEARCH(SUBSTITUTE(AH$1,RIGHT(AH$1,2),""),VLOOKUP($D230,素材!$1:$1016,COLUMN($F$1),FALSE))),VLOOKUP($C230,武器!$1:$998,COLUMN($O$1),FALSE)*VLOOKUP($D230,素材!$1:$1016,COLUMN($E$1),FALSE)/(LEN(VLOOKUP($D230,素材!$1:$1016,COLUMN($F$1),FALSE)) - LEN(SUBSTITUTE(VLOOKUP($D230,素材!$1:$1016,COLUMN($F$1),FALSE), "・", 0)) + 1), 0)</f>
        <v>0</v>
      </c>
      <c r="AI230">
        <f>IF(ISNUMBER(SEARCH(SUBSTITUTE(AI$1,RIGHT(AI$1,2),""),VLOOKUP($D230,素材!$1:$1016,COLUMN($F$1),FALSE))),VLOOKUP($C230,武器!$1:$998,COLUMN($O$1),FALSE)*VLOOKUP($D230,素材!$1:$1016,COLUMN($E$1),FALSE)/(LEN(VLOOKUP($D230,素材!$1:$1016,COLUMN($F$1),FALSE)) - LEN(SUBSTITUTE(VLOOKUP($D230,素材!$1:$1016,COLUMN($F$1),FALSE), "・", 0)) + 1), 0)</f>
        <v>0</v>
      </c>
      <c r="AJ230">
        <f>IF(ISNUMBER(SEARCH(SUBSTITUTE(AJ$1,RIGHT(AJ$1,2),""),VLOOKUP($D230,素材!$1:$1016,COLUMN($F$1),FALSE))),VLOOKUP($C230,武器!$1:$998,COLUMN($O$1),FALSE)*VLOOKUP($D230,素材!$1:$1016,COLUMN($E$1),FALSE)/(LEN(VLOOKUP($D230,素材!$1:$1016,COLUMN($F$1),FALSE)) - LEN(SUBSTITUTE(VLOOKUP($D230,素材!$1:$1016,COLUMN($F$1),FALSE), "・", 0)) + 1), 0)</f>
        <v>0</v>
      </c>
      <c r="AK230">
        <f>IF(ISNUMBER(SEARCH(SUBSTITUTE(AK$1,RIGHT(AK$1,2),""),VLOOKUP($D230,素材!$1:$1016,COLUMN($F$1),FALSE))),VLOOKUP($C230,武器!$1:$998,COLUMN($O$1),FALSE)*VLOOKUP($D230,素材!$1:$1016,COLUMN($E$1),FALSE)/(LEN(VLOOKUP($D230,素材!$1:$1016,COLUMN($F$1),FALSE)) - LEN(SUBSTITUTE(VLOOKUP($D230,素材!$1:$1016,COLUMN($F$1),FALSE), "・", 0)) + 1), 0)</f>
        <v>0</v>
      </c>
      <c r="AL230">
        <f>IF(ISNUMBER(SEARCH(SUBSTITUTE(AL$1,RIGHT(AL$1,2),""),VLOOKUP($D230,素材!$1:$1016,COLUMN($F$1),FALSE))),VLOOKUP($C230,武器!$1:$998,COLUMN($O$1),FALSE)*VLOOKUP($D230,素材!$1:$1016,COLUMN($E$1),FALSE)/(LEN(VLOOKUP($D230,素材!$1:$1016,COLUMN($F$1),FALSE)) - LEN(SUBSTITUTE(VLOOKUP($D230,素材!$1:$1016,COLUMN($F$1),FALSE), "・", 0)) + 1), 0)</f>
        <v>0</v>
      </c>
      <c r="AM230">
        <f>IF(ISNUMBER(SEARCH(SUBSTITUTE(AM$1,RIGHT(AM$1,2),""),VLOOKUP($D230,素材!$1:$1016,COLUMN($F$1),FALSE))),VLOOKUP($C230,武器!$1:$998,COLUMN($O$1),FALSE)*VLOOKUP($D230,素材!$1:$1016,COLUMN($E$1),FALSE)/(LEN(VLOOKUP($D230,素材!$1:$1016,COLUMN($F$1),FALSE)) - LEN(SUBSTITUTE(VLOOKUP($D230,素材!$1:$1016,COLUMN($F$1),FALSE), "・", 0)) + 1), 0)</f>
        <v>0</v>
      </c>
      <c r="AN230">
        <f>IF(ISNUMBER(SEARCH(SUBSTITUTE(AN$1,RIGHT(AN$1,2),""),VLOOKUP($D230,素材!$1:$1016,COLUMN($F$1),FALSE))),VLOOKUP($C230,武器!$1:$998,COLUMN($O$1),FALSE)*VLOOKUP($D230,素材!$1:$1016,COLUMN($E$1),FALSE)/(LEN(VLOOKUP($D230,素材!$1:$1016,COLUMN($F$1),FALSE)) - LEN(SUBSTITUTE(VLOOKUP($D230,素材!$1:$1016,COLUMN($F$1),FALSE), "・", 0)) + 1), 0)</f>
        <v>0</v>
      </c>
      <c r="AO230">
        <f>IF(ISNUMBER(SEARCH(SUBSTITUTE(AO$1,RIGHT(AO$1,2),""),VLOOKUP($D230,素材!$1:$1016,COLUMN($F$1),FALSE))),VLOOKUP($C230,武器!$1:$998,COLUMN($O$1),FALSE)*VLOOKUP($D230,素材!$1:$1016,COLUMN($E$1),FALSE)/(LEN(VLOOKUP($D230,素材!$1:$1016,COLUMN($F$1),FALSE)) - LEN(SUBSTITUTE(VLOOKUP($D230,素材!$1:$1016,COLUMN($F$1),FALSE), "・", 0)) + 1), 0)</f>
        <v>0</v>
      </c>
      <c r="AP230">
        <f>IF(ISNUMBER(SEARCH(SUBSTITUTE(AP$1,RIGHT(AP$1,2),""),VLOOKUP($D230,素材!$1:$1016,COLUMN($F$1),FALSE))),VLOOKUP($C230,武器!$1:$998,COLUMN($O$1),FALSE)*VLOOKUP($D230,素材!$1:$1016,COLUMN($E$1),FALSE)/(LEN(VLOOKUP($D230,素材!$1:$1016,COLUMN($F$1),FALSE)) - LEN(SUBSTITUTE(VLOOKUP($D230,素材!$1:$1016,COLUMN($F$1),FALSE), "・", 0)) + 1), 0)</f>
        <v>0</v>
      </c>
      <c r="AQ230">
        <f>IF(ISNUMBER(SEARCH(SUBSTITUTE(AQ$1,RIGHT(AQ$1,2),""),VLOOKUP($D230,素材!$1:$1016,COLUMN($F$1),FALSE))),VLOOKUP($C230,武器!$1:$998,COLUMN($O$1),FALSE)*VLOOKUP($D230,素材!$1:$1016,COLUMN($E$1),FALSE)/(LEN(VLOOKUP($D230,素材!$1:$1016,COLUMN($F$1),FALSE)) - LEN(SUBSTITUTE(VLOOKUP($D230,素材!$1:$1016,COLUMN($F$1),FALSE), "・", 0)) + 1), 0)</f>
        <v>0</v>
      </c>
      <c r="AR230">
        <f>IF(ISNUMBER(SEARCH(SUBSTITUTE(AR$1,RIGHT(AR$1,2),""),VLOOKUP($D230,素材!$1:$1016,COLUMN($F$1),FALSE))),VLOOKUP($C230,武器!$1:$998,COLUMN($O$1),FALSE)*VLOOKUP($D230,素材!$1:$1016,COLUMN($E$1),FALSE)/(LEN(VLOOKUP($D230,素材!$1:$1016,COLUMN($F$1),FALSE)) - LEN(SUBSTITUTE(VLOOKUP($D230,素材!$1:$1016,COLUMN($F$1),FALSE), "・", 0)) + 1), 0)</f>
        <v>0</v>
      </c>
      <c r="AS230">
        <f>IF(ISNUMBER(SEARCH(SUBSTITUTE(AS$1,RIGHT(AS$1,2),""),VLOOKUP($D230,素材!$1:$1016,COLUMN($F$1),FALSE))),VLOOKUP($C230,武器!$1:$998,COLUMN($O$1),FALSE)*VLOOKUP($D230,素材!$1:$1016,COLUMN($E$1),FALSE)/(LEN(VLOOKUP($D230,素材!$1:$1016,COLUMN($F$1),FALSE)) - LEN(SUBSTITUTE(VLOOKUP($D230,素材!$1:$1016,COLUMN($F$1),FALSE), "・", 0)) + 1), 0)</f>
        <v>0</v>
      </c>
      <c r="AT230">
        <f>IF(ISNUMBER(SEARCH(SUBSTITUTE(AT$1,RIGHT(AT$1,2),""),VLOOKUP($D230,素材!$1:$1016,COLUMN($F$1),FALSE))),VLOOKUP($C230,武器!$1:$998,COLUMN($O$1),FALSE)*VLOOKUP($D230,素材!$1:$1016,COLUMN($E$1),FALSE)/(LEN(VLOOKUP($D230,素材!$1:$1016,COLUMN($F$1),FALSE)) - LEN(SUBSTITUTE(VLOOKUP($D230,素材!$1:$1016,COLUMN($F$1),FALSE), "・", 0)) + 1), 0)</f>
        <v>0</v>
      </c>
      <c r="AU230">
        <f>IF(ISNUMBER(SEARCH(SUBSTITUTE(AU$1,RIGHT(AU$1,2),""),VLOOKUP($D230,素材!$1:$1016,COLUMN($F$1),FALSE))),VLOOKUP($C230,武器!$1:$998,COLUMN($O$1),FALSE)*VLOOKUP($D230,素材!$1:$1016,COLUMN($E$1),FALSE)/(LEN(VLOOKUP($D230,素材!$1:$1016,COLUMN($F$1),FALSE)) - LEN(SUBSTITUTE(VLOOKUP($D230,素材!$1:$1016,COLUMN($F$1),FALSE), "・", 0)) + 1), 0)</f>
        <v>0</v>
      </c>
      <c r="AV230">
        <f>IF(ISNUMBER(SEARCH(SUBSTITUTE(AV$1,RIGHT(AV$1,2),""),VLOOKUP($D230,素材!$1:$1016,COLUMN($F$1),FALSE))),VLOOKUP($C230,武器!$1:$998,COLUMN($O$1),FALSE)*VLOOKUP($D230,素材!$1:$1016,COLUMN($E$1),FALSE)/(LEN(VLOOKUP($D230,素材!$1:$1016,COLUMN($F$1),FALSE)) - LEN(SUBSTITUTE(VLOOKUP($D230,素材!$1:$1016,COLUMN($F$1),FALSE), "・", 0)) + 1), 0)</f>
        <v>0</v>
      </c>
      <c r="AW230">
        <f>IF(ISNUMBER(SEARCH(SUBSTITUTE(AW$1,RIGHT(AW$1,2),""),VLOOKUP($D230,素材!$1:$1016,COLUMN($F$1),FALSE))),VLOOKUP($C230,武器!$1:$998,COLUMN($O$1),FALSE)*VLOOKUP($D230,素材!$1:$1016,COLUMN($E$1),FALSE)/(LEN(VLOOKUP($D230,素材!$1:$1016,COLUMN($F$1),FALSE)) - LEN(SUBSTITUTE(VLOOKUP($D230,素材!$1:$1016,COLUMN($F$1),FALSE), "・", 0)) + 1), 0)</f>
        <v>0</v>
      </c>
      <c r="AX230">
        <f>IF(ISNUMBER(SEARCH(SUBSTITUTE(AX$1,RIGHT(AX$1,2),""),VLOOKUP($D230,素材!$1:$1016,COLUMN($F$1),FALSE))),VLOOKUP($C230,武器!$1:$998,COLUMN($O$1),FALSE)*VLOOKUP($D230,素材!$1:$1016,COLUMN($E$1),FALSE)/(LEN(VLOOKUP($D230,素材!$1:$1016,COLUMN($F$1),FALSE)) - LEN(SUBSTITUTE(VLOOKUP($D230,素材!$1:$1016,COLUMN($F$1),FALSE), "・", 0)) + 1), 0)</f>
        <v>0</v>
      </c>
      <c r="AY230">
        <f>IF(ISNUMBER(SEARCH(SUBSTITUTE(AY$1,RIGHT(AY$1,2),""),VLOOKUP($D230,素材!$1:$1016,COLUMN($F$1),FALSE))),VLOOKUP($C230,武器!$1:$998,COLUMN($O$1),FALSE)*VLOOKUP($D230,素材!$1:$1016,COLUMN($E$1),FALSE)/(LEN(VLOOKUP($D230,素材!$1:$1016,COLUMN($F$1),FALSE)) - LEN(SUBSTITUTE(VLOOKUP($D230,素材!$1:$1016,COLUMN($F$1),FALSE), "・", 0)) + 1), 0)</f>
        <v>0</v>
      </c>
      <c r="AZ230">
        <f>IF(ISNUMBER(SEARCH(SUBSTITUTE(AZ$1,RIGHT(AZ$1,2),""),VLOOKUP($D230,素材!$1:$1016,COLUMN($F$1),FALSE))),VLOOKUP($C230,武器!$1:$998,COLUMN($O$1),FALSE)*VLOOKUP($D230,素材!$1:$1016,COLUMN($E$1),FALSE)/(LEN(VLOOKUP($D230,素材!$1:$1016,COLUMN($F$1),FALSE)) - LEN(SUBSTITUTE(VLOOKUP($D230,素材!$1:$1016,COLUMN($F$1),FALSE), "・", 0)) + 1), 0)</f>
        <v>0</v>
      </c>
      <c r="BA230">
        <f>IF(ISNUMBER(SEARCH(SUBSTITUTE(BA$1,RIGHT(BA$1,2),""),VLOOKUP($D230,素材!$1:$1016,COLUMN($F$1),FALSE))),VLOOKUP($C230,武器!$1:$998,COLUMN($O$1),FALSE)*VLOOKUP($D230,素材!$1:$1016,COLUMN($E$1),FALSE)/(LEN(VLOOKUP($D230,素材!$1:$1016,COLUMN($F$1),FALSE)) - LEN(SUBSTITUTE(VLOOKUP($D230,素材!$1:$1016,COLUMN($F$1),FALSE), "・", 0)) + 1), 0)</f>
        <v>0</v>
      </c>
      <c r="BB230">
        <f>IF(ISNUMBER(SEARCH(SUBSTITUTE(BB$1,RIGHT(BB$1,2),""),VLOOKUP($D230,素材!$1:$1016,COLUMN($F$1),FALSE))),VLOOKUP($C230,武器!$1:$998,COLUMN($O$1),FALSE)*VLOOKUP($D230,素材!$1:$1016,COLUMN($E$1),FALSE)/(LEN(VLOOKUP($D230,素材!$1:$1016,COLUMN($F$1),FALSE)) - LEN(SUBSTITUTE(VLOOKUP($D230,素材!$1:$1016,COLUMN($F$1),FALSE), "・", 0)) + 1), 0)</f>
        <v>0</v>
      </c>
      <c r="BC230">
        <f>IF(ISNUMBER(SEARCH(SUBSTITUTE(BC$1,RIGHT(BC$1,2),""),VLOOKUP($D230,素材!$1:$1016,COLUMN($F$1),FALSE))),VLOOKUP($C230,武器!$1:$998,COLUMN($O$1),FALSE)*VLOOKUP($D230,素材!$1:$1016,COLUMN($E$1),FALSE)/(LEN(VLOOKUP($D230,素材!$1:$1016,COLUMN($F$1),FALSE)) - LEN(SUBSTITUTE(VLOOKUP($D230,素材!$1:$1016,COLUMN($F$1),FALSE), "・", 0)) + 1), 0)</f>
        <v>0</v>
      </c>
      <c r="BD230">
        <f>IF(ISNUMBER(SEARCH(SUBSTITUTE(BD$1,RIGHT(BD$1,2),""),VLOOKUP($D230,素材!$1:$1016,COLUMN($F$1),FALSE))),VLOOKUP($C230,武器!$1:$998,COLUMN($O$1),FALSE)*VLOOKUP($D230,素材!$1:$1016,COLUMN($E$1),FALSE)/(LEN(VLOOKUP($D230,素材!$1:$1016,COLUMN($F$1),FALSE)) - LEN(SUBSTITUTE(VLOOKUP($D230,素材!$1:$1016,COLUMN($F$1),FALSE), "・", 0)) + 1), 0)</f>
        <v>0</v>
      </c>
      <c r="BE230">
        <f>IF(ISNUMBER(SEARCH(SUBSTITUTE(BE$1,RIGHT(BE$1,2),""),VLOOKUP($D230,素材!$1:$1016,COLUMN($F$1),FALSE))),VLOOKUP($C230,武器!$1:$998,COLUMN($O$1),FALSE)*VLOOKUP($D230,素材!$1:$1016,COLUMN($E$1),FALSE)/(LEN(VLOOKUP($D230,素材!$1:$1016,COLUMN($F$1),FALSE)) - LEN(SUBSTITUTE(VLOOKUP($D230,素材!$1:$1016,COLUMN($F$1),FALSE), "・", 0)) + 1), 0)</f>
        <v>0</v>
      </c>
      <c r="CL230">
        <f>SUM(G230:I230)</f>
        <v>0</v>
      </c>
      <c r="CM230" s="22" t="str">
        <f>IF(E230="武器",IF(J230-1&gt;SUM(G230:I230),"盾",IF(MAX(G230:I230)=G230,"切断",IF(MAX(G230:I230)=H230,"貫通",IF(MAX(G230:I230)=I230,"打撃","射撃")))),E230)&amp;".webp"</f>
        <v>体.webp</v>
      </c>
      <c r="CN230">
        <f>IFERROR(VLOOKUP($C230,武器!$1:$998,COLUMN(V$1),FALSE)*VLOOKUP($D230,素材!$1:$1016,COLUMN(N$1),FALSE)+IF(CI230="",0,VLOOKUP($CI230,装強!$1:$1008,COLUMN($CK$1),FALSE)),"")</f>
        <v>3750</v>
      </c>
      <c r="CO230">
        <f>VLOOKUP(D230,素材!$A:$O,COLUMN(素材!O$1),FALSE)</f>
        <v>0</v>
      </c>
      <c r="CP230" t="str">
        <f>VLOOKUP(C230,武器!$A:$W,COLUMN(武器!W$1),FALSE)</f>
        <v>HP 物理 魔法 体幹 出血 疲労 Cr</v>
      </c>
      <c r="CR230" t="str">
        <f t="shared" si="29"/>
        <v>e_230</v>
      </c>
      <c r="CS230">
        <f t="shared" si="30"/>
        <v>375000</v>
      </c>
    </row>
    <row r="231" spans="1:97" outlineLevel="1" x14ac:dyDescent="0.4">
      <c r="A231" t="str">
        <f t="shared" si="31"/>
        <v>冷気鉄の靴</v>
      </c>
      <c r="B231" t="str">
        <f>IFERROR(VLOOKUP($D231,素材!$1:$1016,COLUMN($B$1),FALSE)&amp;"・"&amp;VLOOKUP($C231,武器!$1:$998,COLUMN(B$1),FALSE),"")</f>
        <v>ドゥララン・ブーツ</v>
      </c>
      <c r="C231" t="s">
        <v>206</v>
      </c>
      <c r="D231" s="24" t="s">
        <v>243</v>
      </c>
      <c r="E231" t="str">
        <f>IFERROR(VLOOKUP(C231,武器!$1:$998,COLUMN(C$1),FALSE),"")</f>
        <v>足</v>
      </c>
      <c r="F231">
        <f>IFERROR(ROUNDDOWN((VLOOKUP($C231,武器!$1:$998,COLUMN(D$1),FALSE)+IFERROR(VLOOKUP($CI231,装強!$1:$999,COLUMN(F$1),FALSE),0))*VLOOKUP($D231,素材!$1:$1016,COLUMN(D$1),FALSE),0),"")</f>
        <v>0</v>
      </c>
      <c r="G231">
        <f>IFERROR(ROUNDDOWN((VLOOKUP($C231,武器!$1:$998,COLUMN(E$1),FALSE)+IFERROR(VLOOKUP($CI231,装強!$1:$999,COLUMN(G$1),FALSE),0))*VLOOKUP($D231,素材!$1:$1016,COLUMN($E$1),FALSE),0),"")</f>
        <v>0</v>
      </c>
      <c r="H231">
        <f>IFERROR(ROUNDDOWN((VLOOKUP($C231,武器!$1:$998,COLUMN(F$1),FALSE)+IFERROR(VLOOKUP($CI231,装強!$1:$999,COLUMN(H$1),FALSE),0))*VLOOKUP($D231,素材!$1:$1016,COLUMN($E$1),FALSE),0),"")</f>
        <v>0</v>
      </c>
      <c r="I231">
        <f>IFERROR(ROUNDDOWN((VLOOKUP($C231,武器!$1:$998,COLUMN(G$1),FALSE)+IFERROR(VLOOKUP($CI231,装強!$1:$999,COLUMN(I$1),FALSE),0))*VLOOKUP($D231,素材!$1:$1016,COLUMN($E$1),FALSE),0),"")</f>
        <v>20</v>
      </c>
      <c r="J231">
        <f>IFERROR(ROUNDDOWN((VLOOKUP($C231,武器!$1:$998,COLUMN(H$1),FALSE)+IFERROR(VLOOKUP($CI231,装強!$1:$999,COLUMN(J$1),FALSE),0))*VLOOKUP($D231,素材!$1:$1016,COLUMN($E$1),FALSE),0),"")</f>
        <v>0</v>
      </c>
      <c r="K231">
        <f>IFERROR(ROUNDDOWN((VLOOKUP($C231,武器!$1:$998,COLUMN(I$1),FALSE)+IFERROR(VLOOKUP($CI231,装強!$1:$999,COLUMN(K$1),FALSE),0))*VLOOKUP($D231,素材!$1:$1016,COLUMN($E$1),FALSE),0),"")</f>
        <v>0</v>
      </c>
      <c r="L231" t="str">
        <f>IFERROR(VLOOKUP($D231,素材!$1:$1016,COLUMN($F$1),FALSE),"")</f>
        <v>氷</v>
      </c>
      <c r="M231">
        <f>IFERROR(VLOOKUP($C231,武器!$1:$998,COLUMN(AA$1),FALSE)*VLOOKUP($D231,素材!$1:$1016,COLUMN($G$1),FALSE),"")</f>
        <v>0</v>
      </c>
      <c r="N231">
        <f>IFERROR(VLOOKUP($C231,武器!$1:$998,COLUMN(I$1),FALSE),"")</f>
        <v>0</v>
      </c>
      <c r="O231" s="23">
        <f>IFERROR((VLOOKUP($C231,武器!$1:$998,COLUMN(K$1),FALSE)+VLOOKUP($D231,素材!$1:$1016,COLUMN(H$1),FALSE))*100+IFERROR(VLOOKUP($CI231,装強!$1:$999,COLUMN(O$1),FALSE),0),"")</f>
        <v>10</v>
      </c>
      <c r="P231" s="23">
        <f>IFERROR((VLOOKUP($C231,武器!$1:$998,COLUMN(L$1),FALSE)+VLOOKUP($D231,素材!$1:$1016,COLUMN(I$1),FALSE))*100+IFERROR(VLOOKUP($CI231,装強!$1:$999,COLUMN(P$1),FALSE),0),"")</f>
        <v>150</v>
      </c>
      <c r="Q231">
        <f>IFERROR(ROUNDUP(VLOOKUP($C231,武器!$1:$998,COLUMN(M$1),FALSE)*(VLOOKUP($D231,素材!$1:$1002,COLUMN(D$1),FALSE)/100),1),"")</f>
        <v>0</v>
      </c>
      <c r="R231">
        <f>IFERROR(ROUNDUP(VLOOKUP($C231,武器!$1:$998,COLUMN(N$1),FALSE)*(VLOOKUP($D231,素材!$1:$1002,COLUMN(D$1),FALSE)/100),1),"")</f>
        <v>0</v>
      </c>
      <c r="S231">
        <f>IFERROR(VLOOKUP($C231,武器!$1:$998,COLUMN(P$1),FALSE),"")</f>
        <v>0</v>
      </c>
      <c r="T231">
        <f>IFERROR(VLOOKUP($C231,武器!$1:$998,COLUMN(Q$1),FALSE),"")</f>
        <v>0</v>
      </c>
      <c r="U231">
        <f>IFERROR(VLOOKUP($C231,武器!$1:$998,COLUMN(R$1),FALSE),"")</f>
        <v>0</v>
      </c>
      <c r="V231">
        <f>IFERROR(VLOOKUP($C231,武器!$1:$998,COLUMN(Q$1),FALSE),"")</f>
        <v>0</v>
      </c>
      <c r="W231">
        <f>IFERROR(VLOOKUP($C231,武器!$1:$998,COLUMN(T$1),FALSE),"")</f>
        <v>0</v>
      </c>
      <c r="Y231" t="str">
        <f>IFERROR(VLOOKUP($C231,武器!$1:$998,COLUMN(U$1),FALSE),"")</f>
        <v>足</v>
      </c>
      <c r="Z231">
        <f>IFERROR(ROUNDUP(VLOOKUP($C231,武器!$1:$998,COLUMN(O$1),FALSE)*VLOOKUP($D231,素材!$1:$1016,COLUMN(E$1),FALSE),1),"")</f>
        <v>3</v>
      </c>
      <c r="AA231">
        <f>IF(ISNUMBER(SEARCH(SUBSTITUTE(AA$1,RIGHT(AA$1,2),""),VLOOKUP($D231,素材!$1:$1016,COLUMN($F$1),FALSE))),VLOOKUP($C231,武器!$1:$998,COLUMN($O$1),FALSE)*VLOOKUP($D231,素材!$1:$1016,COLUMN($E$1),FALSE)/(LEN(VLOOKUP($D231,素材!$1:$1016,COLUMN($F$1),FALSE)) - LEN(SUBSTITUTE(VLOOKUP($D231,素材!$1:$1016,COLUMN($F$1),FALSE), "・", 0)) + 1), 0)</f>
        <v>0</v>
      </c>
      <c r="AB231">
        <f>IF(ISNUMBER(SEARCH(SUBSTITUTE(AB$1,RIGHT(AB$1,2),""),VLOOKUP($D231,素材!$1:$1016,COLUMN($F$1),FALSE))),VLOOKUP($C231,武器!$1:$998,COLUMN($O$1),FALSE)*VLOOKUP($D231,素材!$1:$1016,COLUMN($E$1),FALSE)/(LEN(VLOOKUP($D231,素材!$1:$1016,COLUMN($F$1),FALSE)) - LEN(SUBSTITUTE(VLOOKUP($D231,素材!$1:$1016,COLUMN($F$1),FALSE), "・", 0)) + 1), 0)</f>
        <v>0</v>
      </c>
      <c r="AC231">
        <f>IF(ISNUMBER(SEARCH(SUBSTITUTE(AC$1,RIGHT(AC$1,2),""),VLOOKUP($D231,素材!$1:$1016,COLUMN($F$1),FALSE))),VLOOKUP($C231,武器!$1:$998,COLUMN($O$1),FALSE)*VLOOKUP($D231,素材!$1:$1016,COLUMN($E$1),FALSE)/(LEN(VLOOKUP($D231,素材!$1:$1016,COLUMN($F$1),FALSE)) - LEN(SUBSTITUTE(VLOOKUP($D231,素材!$1:$1016,COLUMN($F$1),FALSE), "・", 0)) + 1), 0)</f>
        <v>0</v>
      </c>
      <c r="AD231">
        <f>IF(ISNUMBER(SEARCH(SUBSTITUTE(AD$1,RIGHT(AD$1,2),""),VLOOKUP($D231,素材!$1:$1016,COLUMN($F$1),FALSE))),VLOOKUP($C231,武器!$1:$998,COLUMN($O$1),FALSE)*VLOOKUP($D231,素材!$1:$1016,COLUMN($E$1),FALSE)/(LEN(VLOOKUP($D231,素材!$1:$1016,COLUMN($F$1),FALSE)) - LEN(SUBSTITUTE(VLOOKUP($D231,素材!$1:$1016,COLUMN($F$1),FALSE), "・", 0)) + 1), 0)</f>
        <v>0</v>
      </c>
      <c r="AE231">
        <f>IF(ISNUMBER(SEARCH(SUBSTITUTE(AE$1,RIGHT(AE$1,2),""),VLOOKUP($D231,素材!$1:$1016,COLUMN($F$1),FALSE))),VLOOKUP($C231,武器!$1:$998,COLUMN($O$1),FALSE)*VLOOKUP($D231,素材!$1:$1016,COLUMN($E$1),FALSE)/(LEN(VLOOKUP($D231,素材!$1:$1016,COLUMN($F$1),FALSE)) - LEN(SUBSTITUTE(VLOOKUP($D231,素材!$1:$1016,COLUMN($F$1),FALSE), "・", 0)) + 1), 0)</f>
        <v>0</v>
      </c>
      <c r="AF231">
        <f>IF(ISNUMBER(SEARCH(SUBSTITUTE(AF$1,RIGHT(AF$1,2),""),VLOOKUP($D231,素材!$1:$1016,COLUMN($F$1),FALSE))),VLOOKUP($C231,武器!$1:$998,COLUMN($O$1),FALSE)*VLOOKUP($D231,素材!$1:$1016,COLUMN($E$1),FALSE)/(LEN(VLOOKUP($D231,素材!$1:$1016,COLUMN($F$1),FALSE)) - LEN(SUBSTITUTE(VLOOKUP($D231,素材!$1:$1016,COLUMN($F$1),FALSE), "・", 0)) + 1), 0)</f>
        <v>3</v>
      </c>
      <c r="AG231">
        <f>IF(ISNUMBER(SEARCH(SUBSTITUTE(AG$1,RIGHT(AG$1,2),""),VLOOKUP($D231,素材!$1:$1016,COLUMN($F$1),FALSE))),VLOOKUP($C231,武器!$1:$998,COLUMN($O$1),FALSE)*VLOOKUP($D231,素材!$1:$1016,COLUMN($E$1),FALSE)/(LEN(VLOOKUP($D231,素材!$1:$1016,COLUMN($F$1),FALSE)) - LEN(SUBSTITUTE(VLOOKUP($D231,素材!$1:$1016,COLUMN($F$1),FALSE), "・", 0)) + 1), 0)</f>
        <v>0</v>
      </c>
      <c r="AH231">
        <f>IF(ISNUMBER(SEARCH(SUBSTITUTE(AH$1,RIGHT(AH$1,2),""),VLOOKUP($D231,素材!$1:$1016,COLUMN($F$1),FALSE))),VLOOKUP($C231,武器!$1:$998,COLUMN($O$1),FALSE)*VLOOKUP($D231,素材!$1:$1016,COLUMN($E$1),FALSE)/(LEN(VLOOKUP($D231,素材!$1:$1016,COLUMN($F$1),FALSE)) - LEN(SUBSTITUTE(VLOOKUP($D231,素材!$1:$1016,COLUMN($F$1),FALSE), "・", 0)) + 1), 0)</f>
        <v>0</v>
      </c>
      <c r="AI231">
        <f>IF(ISNUMBER(SEARCH(SUBSTITUTE(AI$1,RIGHT(AI$1,2),""),VLOOKUP($D231,素材!$1:$1016,COLUMN($F$1),FALSE))),VLOOKUP($C231,武器!$1:$998,COLUMN($O$1),FALSE)*VLOOKUP($D231,素材!$1:$1016,COLUMN($E$1),FALSE)/(LEN(VLOOKUP($D231,素材!$1:$1016,COLUMN($F$1),FALSE)) - LEN(SUBSTITUTE(VLOOKUP($D231,素材!$1:$1016,COLUMN($F$1),FALSE), "・", 0)) + 1), 0)</f>
        <v>0</v>
      </c>
      <c r="AJ231">
        <f>IF(ISNUMBER(SEARCH(SUBSTITUTE(AJ$1,RIGHT(AJ$1,2),""),VLOOKUP($D231,素材!$1:$1016,COLUMN($F$1),FALSE))),VLOOKUP($C231,武器!$1:$998,COLUMN($O$1),FALSE)*VLOOKUP($D231,素材!$1:$1016,COLUMN($E$1),FALSE)/(LEN(VLOOKUP($D231,素材!$1:$1016,COLUMN($F$1),FALSE)) - LEN(SUBSTITUTE(VLOOKUP($D231,素材!$1:$1016,COLUMN($F$1),FALSE), "・", 0)) + 1), 0)</f>
        <v>0</v>
      </c>
      <c r="AK231">
        <f>IF(ISNUMBER(SEARCH(SUBSTITUTE(AK$1,RIGHT(AK$1,2),""),VLOOKUP($D231,素材!$1:$1016,COLUMN($F$1),FALSE))),VLOOKUP($C231,武器!$1:$998,COLUMN($O$1),FALSE)*VLOOKUP($D231,素材!$1:$1016,COLUMN($E$1),FALSE)/(LEN(VLOOKUP($D231,素材!$1:$1016,COLUMN($F$1),FALSE)) - LEN(SUBSTITUTE(VLOOKUP($D231,素材!$1:$1016,COLUMN($F$1),FALSE), "・", 0)) + 1), 0)</f>
        <v>0</v>
      </c>
      <c r="AL231">
        <f>IF(ISNUMBER(SEARCH(SUBSTITUTE(AL$1,RIGHT(AL$1,2),""),VLOOKUP($D231,素材!$1:$1016,COLUMN($F$1),FALSE))),VLOOKUP($C231,武器!$1:$998,COLUMN($O$1),FALSE)*VLOOKUP($D231,素材!$1:$1016,COLUMN($E$1),FALSE)/(LEN(VLOOKUP($D231,素材!$1:$1016,COLUMN($F$1),FALSE)) - LEN(SUBSTITUTE(VLOOKUP($D231,素材!$1:$1016,COLUMN($F$1),FALSE), "・", 0)) + 1), 0)</f>
        <v>0</v>
      </c>
      <c r="AM231">
        <f>IF(ISNUMBER(SEARCH(SUBSTITUTE(AM$1,RIGHT(AM$1,2),""),VLOOKUP($D231,素材!$1:$1016,COLUMN($F$1),FALSE))),VLOOKUP($C231,武器!$1:$998,COLUMN($O$1),FALSE)*VLOOKUP($D231,素材!$1:$1016,COLUMN($E$1),FALSE)/(LEN(VLOOKUP($D231,素材!$1:$1016,COLUMN($F$1),FALSE)) - LEN(SUBSTITUTE(VLOOKUP($D231,素材!$1:$1016,COLUMN($F$1),FALSE), "・", 0)) + 1), 0)</f>
        <v>0</v>
      </c>
      <c r="AN231">
        <f>IF(ISNUMBER(SEARCH(SUBSTITUTE(AN$1,RIGHT(AN$1,2),""),VLOOKUP($D231,素材!$1:$1016,COLUMN($F$1),FALSE))),VLOOKUP($C231,武器!$1:$998,COLUMN($O$1),FALSE)*VLOOKUP($D231,素材!$1:$1016,COLUMN($E$1),FALSE)/(LEN(VLOOKUP($D231,素材!$1:$1016,COLUMN($F$1),FALSE)) - LEN(SUBSTITUTE(VLOOKUP($D231,素材!$1:$1016,COLUMN($F$1),FALSE), "・", 0)) + 1), 0)</f>
        <v>0</v>
      </c>
      <c r="AO231">
        <f>IF(ISNUMBER(SEARCH(SUBSTITUTE(AO$1,RIGHT(AO$1,2),""),VLOOKUP($D231,素材!$1:$1016,COLUMN($F$1),FALSE))),VLOOKUP($C231,武器!$1:$998,COLUMN($O$1),FALSE)*VLOOKUP($D231,素材!$1:$1016,COLUMN($E$1),FALSE)/(LEN(VLOOKUP($D231,素材!$1:$1016,COLUMN($F$1),FALSE)) - LEN(SUBSTITUTE(VLOOKUP($D231,素材!$1:$1016,COLUMN($F$1),FALSE), "・", 0)) + 1), 0)</f>
        <v>0</v>
      </c>
      <c r="AP231">
        <f>IF(ISNUMBER(SEARCH(SUBSTITUTE(AP$1,RIGHT(AP$1,2),""),VLOOKUP($D231,素材!$1:$1016,COLUMN($F$1),FALSE))),VLOOKUP($C231,武器!$1:$998,COLUMN($O$1),FALSE)*VLOOKUP($D231,素材!$1:$1016,COLUMN($E$1),FALSE)/(LEN(VLOOKUP($D231,素材!$1:$1016,COLUMN($F$1),FALSE)) - LEN(SUBSTITUTE(VLOOKUP($D231,素材!$1:$1016,COLUMN($F$1),FALSE), "・", 0)) + 1), 0)</f>
        <v>0</v>
      </c>
      <c r="AQ231">
        <f>IF(ISNUMBER(SEARCH(SUBSTITUTE(AQ$1,RIGHT(AQ$1,2),""),VLOOKUP($D231,素材!$1:$1016,COLUMN($F$1),FALSE))),VLOOKUP($C231,武器!$1:$998,COLUMN($O$1),FALSE)*VLOOKUP($D231,素材!$1:$1016,COLUMN($E$1),FALSE)/(LEN(VLOOKUP($D231,素材!$1:$1016,COLUMN($F$1),FALSE)) - LEN(SUBSTITUTE(VLOOKUP($D231,素材!$1:$1016,COLUMN($F$1),FALSE), "・", 0)) + 1), 0)</f>
        <v>0</v>
      </c>
      <c r="AR231">
        <f>IF(ISNUMBER(SEARCH(SUBSTITUTE(AR$1,RIGHT(AR$1,2),""),VLOOKUP($D231,素材!$1:$1016,COLUMN($F$1),FALSE))),VLOOKUP($C231,武器!$1:$998,COLUMN($O$1),FALSE)*VLOOKUP($D231,素材!$1:$1016,COLUMN($E$1),FALSE)/(LEN(VLOOKUP($D231,素材!$1:$1016,COLUMN($F$1),FALSE)) - LEN(SUBSTITUTE(VLOOKUP($D231,素材!$1:$1016,COLUMN($F$1),FALSE), "・", 0)) + 1), 0)</f>
        <v>0</v>
      </c>
      <c r="AS231">
        <f>IF(ISNUMBER(SEARCH(SUBSTITUTE(AS$1,RIGHT(AS$1,2),""),VLOOKUP($D231,素材!$1:$1016,COLUMN($F$1),FALSE))),VLOOKUP($C231,武器!$1:$998,COLUMN($O$1),FALSE)*VLOOKUP($D231,素材!$1:$1016,COLUMN($E$1),FALSE)/(LEN(VLOOKUP($D231,素材!$1:$1016,COLUMN($F$1),FALSE)) - LEN(SUBSTITUTE(VLOOKUP($D231,素材!$1:$1016,COLUMN($F$1),FALSE), "・", 0)) + 1), 0)</f>
        <v>0</v>
      </c>
      <c r="AT231">
        <f>IF(ISNUMBER(SEARCH(SUBSTITUTE(AT$1,RIGHT(AT$1,2),""),VLOOKUP($D231,素材!$1:$1016,COLUMN($F$1),FALSE))),VLOOKUP($C231,武器!$1:$998,COLUMN($O$1),FALSE)*VLOOKUP($D231,素材!$1:$1016,COLUMN($E$1),FALSE)/(LEN(VLOOKUP($D231,素材!$1:$1016,COLUMN($F$1),FALSE)) - LEN(SUBSTITUTE(VLOOKUP($D231,素材!$1:$1016,COLUMN($F$1),FALSE), "・", 0)) + 1), 0)</f>
        <v>0</v>
      </c>
      <c r="AU231">
        <f>IF(ISNUMBER(SEARCH(SUBSTITUTE(AU$1,RIGHT(AU$1,2),""),VLOOKUP($D231,素材!$1:$1016,COLUMN($F$1),FALSE))),VLOOKUP($C231,武器!$1:$998,COLUMN($O$1),FALSE)*VLOOKUP($D231,素材!$1:$1016,COLUMN($E$1),FALSE)/(LEN(VLOOKUP($D231,素材!$1:$1016,COLUMN($F$1),FALSE)) - LEN(SUBSTITUTE(VLOOKUP($D231,素材!$1:$1016,COLUMN($F$1),FALSE), "・", 0)) + 1), 0)</f>
        <v>0</v>
      </c>
      <c r="AV231">
        <f>IF(ISNUMBER(SEARCH(SUBSTITUTE(AV$1,RIGHT(AV$1,2),""),VLOOKUP($D231,素材!$1:$1016,COLUMN($F$1),FALSE))),VLOOKUP($C231,武器!$1:$998,COLUMN($O$1),FALSE)*VLOOKUP($D231,素材!$1:$1016,COLUMN($E$1),FALSE)/(LEN(VLOOKUP($D231,素材!$1:$1016,COLUMN($F$1),FALSE)) - LEN(SUBSTITUTE(VLOOKUP($D231,素材!$1:$1016,COLUMN($F$1),FALSE), "・", 0)) + 1), 0)</f>
        <v>0</v>
      </c>
      <c r="AW231">
        <f>IF(ISNUMBER(SEARCH(SUBSTITUTE(AW$1,RIGHT(AW$1,2),""),VLOOKUP($D231,素材!$1:$1016,COLUMN($F$1),FALSE))),VLOOKUP($C231,武器!$1:$998,COLUMN($O$1),FALSE)*VLOOKUP($D231,素材!$1:$1016,COLUMN($E$1),FALSE)/(LEN(VLOOKUP($D231,素材!$1:$1016,COLUMN($F$1),FALSE)) - LEN(SUBSTITUTE(VLOOKUP($D231,素材!$1:$1016,COLUMN($F$1),FALSE), "・", 0)) + 1), 0)</f>
        <v>0</v>
      </c>
      <c r="AX231">
        <f>IF(ISNUMBER(SEARCH(SUBSTITUTE(AX$1,RIGHT(AX$1,2),""),VLOOKUP($D231,素材!$1:$1016,COLUMN($F$1),FALSE))),VLOOKUP($C231,武器!$1:$998,COLUMN($O$1),FALSE)*VLOOKUP($D231,素材!$1:$1016,COLUMN($E$1),FALSE)/(LEN(VLOOKUP($D231,素材!$1:$1016,COLUMN($F$1),FALSE)) - LEN(SUBSTITUTE(VLOOKUP($D231,素材!$1:$1016,COLUMN($F$1),FALSE), "・", 0)) + 1), 0)</f>
        <v>0</v>
      </c>
      <c r="AY231">
        <f>IF(ISNUMBER(SEARCH(SUBSTITUTE(AY$1,RIGHT(AY$1,2),""),VLOOKUP($D231,素材!$1:$1016,COLUMN($F$1),FALSE))),VLOOKUP($C231,武器!$1:$998,COLUMN($O$1),FALSE)*VLOOKUP($D231,素材!$1:$1016,COLUMN($E$1),FALSE)/(LEN(VLOOKUP($D231,素材!$1:$1016,COLUMN($F$1),FALSE)) - LEN(SUBSTITUTE(VLOOKUP($D231,素材!$1:$1016,COLUMN($F$1),FALSE), "・", 0)) + 1), 0)</f>
        <v>0</v>
      </c>
      <c r="AZ231">
        <f>IF(ISNUMBER(SEARCH(SUBSTITUTE(AZ$1,RIGHT(AZ$1,2),""),VLOOKUP($D231,素材!$1:$1016,COLUMN($F$1),FALSE))),VLOOKUP($C231,武器!$1:$998,COLUMN($O$1),FALSE)*VLOOKUP($D231,素材!$1:$1016,COLUMN($E$1),FALSE)/(LEN(VLOOKUP($D231,素材!$1:$1016,COLUMN($F$1),FALSE)) - LEN(SUBSTITUTE(VLOOKUP($D231,素材!$1:$1016,COLUMN($F$1),FALSE), "・", 0)) + 1), 0)</f>
        <v>0</v>
      </c>
      <c r="BA231">
        <f>IF(ISNUMBER(SEARCH(SUBSTITUTE(BA$1,RIGHT(BA$1,2),""),VLOOKUP($D231,素材!$1:$1016,COLUMN($F$1),FALSE))),VLOOKUP($C231,武器!$1:$998,COLUMN($O$1),FALSE)*VLOOKUP($D231,素材!$1:$1016,COLUMN($E$1),FALSE)/(LEN(VLOOKUP($D231,素材!$1:$1016,COLUMN($F$1),FALSE)) - LEN(SUBSTITUTE(VLOOKUP($D231,素材!$1:$1016,COLUMN($F$1),FALSE), "・", 0)) + 1), 0)</f>
        <v>0</v>
      </c>
      <c r="BB231">
        <f>IF(ISNUMBER(SEARCH(SUBSTITUTE(BB$1,RIGHT(BB$1,2),""),VLOOKUP($D231,素材!$1:$1016,COLUMN($F$1),FALSE))),VLOOKUP($C231,武器!$1:$998,COLUMN($O$1),FALSE)*VLOOKUP($D231,素材!$1:$1016,COLUMN($E$1),FALSE)/(LEN(VLOOKUP($D231,素材!$1:$1016,COLUMN($F$1),FALSE)) - LEN(SUBSTITUTE(VLOOKUP($D231,素材!$1:$1016,COLUMN($F$1),FALSE), "・", 0)) + 1), 0)</f>
        <v>0</v>
      </c>
      <c r="BC231">
        <f>IF(ISNUMBER(SEARCH(SUBSTITUTE(BC$1,RIGHT(BC$1,2),""),VLOOKUP($D231,素材!$1:$1016,COLUMN($F$1),FALSE))),VLOOKUP($C231,武器!$1:$998,COLUMN($O$1),FALSE)*VLOOKUP($D231,素材!$1:$1016,COLUMN($E$1),FALSE)/(LEN(VLOOKUP($D231,素材!$1:$1016,COLUMN($F$1),FALSE)) - LEN(SUBSTITUTE(VLOOKUP($D231,素材!$1:$1016,COLUMN($F$1),FALSE), "・", 0)) + 1), 0)</f>
        <v>0</v>
      </c>
      <c r="BD231">
        <f>IF(ISNUMBER(SEARCH(SUBSTITUTE(BD$1,RIGHT(BD$1,2),""),VLOOKUP($D231,素材!$1:$1016,COLUMN($F$1),FALSE))),VLOOKUP($C231,武器!$1:$998,COLUMN($O$1),FALSE)*VLOOKUP($D231,素材!$1:$1016,COLUMN($E$1),FALSE)/(LEN(VLOOKUP($D231,素材!$1:$1016,COLUMN($F$1),FALSE)) - LEN(SUBSTITUTE(VLOOKUP($D231,素材!$1:$1016,COLUMN($F$1),FALSE), "・", 0)) + 1), 0)</f>
        <v>0</v>
      </c>
      <c r="BE231">
        <f>IF(ISNUMBER(SEARCH(SUBSTITUTE(BE$1,RIGHT(BE$1,2),""),VLOOKUP($D231,素材!$1:$1016,COLUMN($F$1),FALSE))),VLOOKUP($C231,武器!$1:$998,COLUMN($O$1),FALSE)*VLOOKUP($D231,素材!$1:$1016,COLUMN($E$1),FALSE)/(LEN(VLOOKUP($D231,素材!$1:$1016,COLUMN($F$1),FALSE)) - LEN(SUBSTITUTE(VLOOKUP($D231,素材!$1:$1016,COLUMN($F$1),FALSE), "・", 0)) + 1), 0)</f>
        <v>0</v>
      </c>
      <c r="CL231">
        <f>SUM(G231:I231)</f>
        <v>20</v>
      </c>
      <c r="CM231" s="22" t="str">
        <f>IF(E231="武器",IF(J231-1&gt;SUM(G231:I231),"盾",IF(MAX(G231:I231)=G231,"切断",IF(MAX(G231:I231)=H231,"貫通",IF(MAX(G231:I231)=I231,"打撃","射撃")))),E231)&amp;".webp"</f>
        <v>足.webp</v>
      </c>
      <c r="CN231">
        <f>IFERROR(VLOOKUP($C231,武器!$1:$998,COLUMN(V$1),FALSE)*VLOOKUP($D231,素材!$1:$1016,COLUMN(N$1),FALSE)+IF(CI231="",0,VLOOKUP($CI231,装強!$1:$1008,COLUMN($CK$1),FALSE)),"")</f>
        <v>1500</v>
      </c>
      <c r="CO231">
        <f>VLOOKUP(D231,素材!$A:$O,COLUMN(素材!O$1),FALSE)</f>
        <v>0</v>
      </c>
      <c r="CP231" t="str">
        <f>VLOOKUP(C231,武器!$A:$W,COLUMN(武器!W$1),FALSE)</f>
        <v>速度 隠密 軽業 体幹</v>
      </c>
      <c r="CR231" t="str">
        <f t="shared" si="29"/>
        <v>e_231</v>
      </c>
      <c r="CS231">
        <f t="shared" si="30"/>
        <v>150000</v>
      </c>
    </row>
    <row r="232" spans="1:97" outlineLevel="1" x14ac:dyDescent="0.4">
      <c r="A232" t="str">
        <f t="shared" si="31"/>
        <v>熱鉄の短刀</v>
      </c>
      <c r="B232" t="str">
        <f>IFERROR(VLOOKUP($D232,素材!$1:$1016,COLUMN($B$1),FALSE)&amp;"・"&amp;VLOOKUP($C232,武器!$1:$998,COLUMN(B$1),FALSE),"")</f>
        <v>ヒートスティール・ナイフ</v>
      </c>
      <c r="C232" s="24" t="s">
        <v>242</v>
      </c>
      <c r="D232" s="24" t="s">
        <v>205</v>
      </c>
      <c r="E232" t="str">
        <f>IFERROR(VLOOKUP(C232,武器!$1:$998,COLUMN(C$1),FALSE),"")</f>
        <v>武器</v>
      </c>
      <c r="F232">
        <f>IFERROR(ROUNDDOWN((VLOOKUP($C232,武器!$1:$998,COLUMN(D$1),FALSE)+IFERROR(VLOOKUP($CI232,装強!$1:$999,COLUMN(F$1),FALSE),0))*VLOOKUP($D232,素材!$1:$1016,COLUMN(D$1),FALSE),0),"")</f>
        <v>100</v>
      </c>
      <c r="G232">
        <f>IFERROR(ROUNDDOWN((VLOOKUP($C232,武器!$1:$998,COLUMN(E$1),FALSE)+IFERROR(VLOOKUP($CI232,装強!$1:$999,COLUMN(G$1),FALSE),0))*VLOOKUP($D232,素材!$1:$1016,COLUMN($E$1),FALSE),0),"")</f>
        <v>10</v>
      </c>
      <c r="H232">
        <f>IFERROR(ROUNDDOWN((VLOOKUP($C232,武器!$1:$998,COLUMN(F$1),FALSE)+IFERROR(VLOOKUP($CI232,装強!$1:$999,COLUMN(H$1),FALSE),0))*VLOOKUP($D232,素材!$1:$1016,COLUMN($E$1),FALSE),0),"")</f>
        <v>8</v>
      </c>
      <c r="I232">
        <f>IFERROR(ROUNDDOWN((VLOOKUP($C232,武器!$1:$998,COLUMN(G$1),FALSE)+IFERROR(VLOOKUP($CI232,装強!$1:$999,COLUMN(I$1),FALSE),0))*VLOOKUP($D232,素材!$1:$1016,COLUMN($E$1),FALSE),0),"")</f>
        <v>2</v>
      </c>
      <c r="J232">
        <f>IFERROR(ROUNDDOWN((VLOOKUP($C232,武器!$1:$998,COLUMN(H$1),FALSE)+IFERROR(VLOOKUP($CI232,装強!$1:$999,COLUMN(J$1),FALSE),0))*VLOOKUP($D232,素材!$1:$1016,COLUMN($E$1),FALSE),0),"")</f>
        <v>13</v>
      </c>
      <c r="K232">
        <f>IFERROR(ROUNDDOWN((VLOOKUP($C232,武器!$1:$998,COLUMN(I$1),FALSE)+IFERROR(VLOOKUP($CI232,装強!$1:$999,COLUMN(K$1),FALSE),0))*VLOOKUP($D232,素材!$1:$1016,COLUMN($E$1),FALSE),0),"")</f>
        <v>0</v>
      </c>
      <c r="L232" t="str">
        <f>IFERROR(VLOOKUP($D232,素材!$1:$1016,COLUMN($F$1),FALSE),"")</f>
        <v>炎</v>
      </c>
      <c r="M232">
        <f>IFERROR(VLOOKUP($C232,武器!$1:$998,COLUMN(AA$1),FALSE)*VLOOKUP($D232,素材!$1:$1016,COLUMN($G$1),FALSE),"")</f>
        <v>35</v>
      </c>
      <c r="N232">
        <f>IFERROR(VLOOKUP($C232,武器!$1:$998,COLUMN(I$1),FALSE),"")</f>
        <v>0</v>
      </c>
      <c r="O232" s="23">
        <f>IFERROR((VLOOKUP($C232,武器!$1:$998,COLUMN(K$1),FALSE)+VLOOKUP($D232,素材!$1:$1016,COLUMN(H$1),FALSE))*100+IFERROR(VLOOKUP($CI232,装強!$1:$999,COLUMN(O$1),FALSE),0),"")</f>
        <v>10</v>
      </c>
      <c r="P232" s="23">
        <f>IFERROR((VLOOKUP($C232,武器!$1:$998,COLUMN(L$1),FALSE)+VLOOKUP($D232,素材!$1:$1016,COLUMN(I$1),FALSE))*100+IFERROR(VLOOKUP($CI232,装強!$1:$999,COLUMN(P$1),FALSE),0),"")</f>
        <v>175</v>
      </c>
      <c r="Q232">
        <f>IFERROR(ROUNDUP(VLOOKUP($C232,武器!$1:$998,COLUMN(M$1),FALSE)*(VLOOKUP($D232,素材!$1:$1002,COLUMN(D$1),FALSE)/100),1),"")</f>
        <v>0</v>
      </c>
      <c r="R232">
        <f>IFERROR(ROUNDUP(VLOOKUP($C232,武器!$1:$998,COLUMN(N$1),FALSE)*(VLOOKUP($D232,素材!$1:$1002,COLUMN(D$1),FALSE)/100),1),"")</f>
        <v>0</v>
      </c>
      <c r="S232">
        <f>IFERROR(VLOOKUP($C232,武器!$1:$998,COLUMN(P$1),FALSE),"")</f>
        <v>0</v>
      </c>
      <c r="T232">
        <f>IFERROR(VLOOKUP($C232,武器!$1:$998,COLUMN(Q$1),FALSE),"")</f>
        <v>0</v>
      </c>
      <c r="U232">
        <f>IFERROR(VLOOKUP($C232,武器!$1:$998,COLUMN(R$1),FALSE),"")</f>
        <v>0</v>
      </c>
      <c r="V232">
        <f>IFERROR(VLOOKUP($C232,武器!$1:$998,COLUMN(Q$1),FALSE),"")</f>
        <v>0</v>
      </c>
      <c r="W232" t="str">
        <f>IFERROR(VLOOKUP($C232,武器!$1:$998,COLUMN(T$1),FALSE),"")</f>
        <v>A</v>
      </c>
      <c r="Y232" t="str">
        <f>IFERROR(VLOOKUP($C232,武器!$1:$998,COLUMN(U$1),FALSE),"")</f>
        <v>暗殺強化,片手適正Ⅱ</v>
      </c>
      <c r="Z232">
        <f>IFERROR(ROUNDUP(VLOOKUP($C232,武器!$1:$998,COLUMN(O$1),FALSE)*VLOOKUP($D232,素材!$1:$1016,COLUMN(E$1),FALSE),1),"")</f>
        <v>0</v>
      </c>
      <c r="AA232">
        <f>IF(ISNUMBER(SEARCH(SUBSTITUTE(AA$1,RIGHT(AA$1,2),""),VLOOKUP($D232,素材!$1:$1016,COLUMN($F$1),FALSE))),VLOOKUP($C232,武器!$1:$998,COLUMN($O$1),FALSE)*VLOOKUP($D232,素材!$1:$1016,COLUMN($E$1),FALSE)/(LEN(VLOOKUP($D232,素材!$1:$1016,COLUMN($F$1),FALSE)) - LEN(SUBSTITUTE(VLOOKUP($D232,素材!$1:$1016,COLUMN($F$1),FALSE), "・", 0)) + 1), 0)</f>
        <v>0</v>
      </c>
      <c r="AB232">
        <f>IF(ISNUMBER(SEARCH(SUBSTITUTE(AB$1,RIGHT(AB$1,2),""),VLOOKUP($D232,素材!$1:$1016,COLUMN($F$1),FALSE))),VLOOKUP($C232,武器!$1:$998,COLUMN($O$1),FALSE)*VLOOKUP($D232,素材!$1:$1016,COLUMN($E$1),FALSE)/(LEN(VLOOKUP($D232,素材!$1:$1016,COLUMN($F$1),FALSE)) - LEN(SUBSTITUTE(VLOOKUP($D232,素材!$1:$1016,COLUMN($F$1),FALSE), "・", 0)) + 1), 0)</f>
        <v>0</v>
      </c>
      <c r="AC232">
        <f>IF(ISNUMBER(SEARCH(SUBSTITUTE(AC$1,RIGHT(AC$1,2),""),VLOOKUP($D232,素材!$1:$1016,COLUMN($F$1),FALSE))),VLOOKUP($C232,武器!$1:$998,COLUMN($O$1),FALSE)*VLOOKUP($D232,素材!$1:$1016,COLUMN($E$1),FALSE)/(LEN(VLOOKUP($D232,素材!$1:$1016,COLUMN($F$1),FALSE)) - LEN(SUBSTITUTE(VLOOKUP($D232,素材!$1:$1016,COLUMN($F$1),FALSE), "・", 0)) + 1), 0)</f>
        <v>0</v>
      </c>
      <c r="AD232">
        <f>IF(ISNUMBER(SEARCH(SUBSTITUTE(AD$1,RIGHT(AD$1,2),""),VLOOKUP($D232,素材!$1:$1016,COLUMN($F$1),FALSE))),VLOOKUP($C232,武器!$1:$998,COLUMN($O$1),FALSE)*VLOOKUP($D232,素材!$1:$1016,COLUMN($E$1),FALSE)/(LEN(VLOOKUP($D232,素材!$1:$1016,COLUMN($F$1),FALSE)) - LEN(SUBSTITUTE(VLOOKUP($D232,素材!$1:$1016,COLUMN($F$1),FALSE), "・", 0)) + 1), 0)</f>
        <v>0</v>
      </c>
      <c r="AE232">
        <f>IF(ISNUMBER(SEARCH(SUBSTITUTE(AE$1,RIGHT(AE$1,2),""),VLOOKUP($D232,素材!$1:$1016,COLUMN($F$1),FALSE))),VLOOKUP($C232,武器!$1:$998,COLUMN($O$1),FALSE)*VLOOKUP($D232,素材!$1:$1016,COLUMN($E$1),FALSE)/(LEN(VLOOKUP($D232,素材!$1:$1016,COLUMN($F$1),FALSE)) - LEN(SUBSTITUTE(VLOOKUP($D232,素材!$1:$1016,COLUMN($F$1),FALSE), "・", 0)) + 1), 0)</f>
        <v>0</v>
      </c>
      <c r="AF232">
        <f>IF(ISNUMBER(SEARCH(SUBSTITUTE(AF$1,RIGHT(AF$1,2),""),VLOOKUP($D232,素材!$1:$1016,COLUMN($F$1),FALSE))),VLOOKUP($C232,武器!$1:$998,COLUMN($O$1),FALSE)*VLOOKUP($D232,素材!$1:$1016,COLUMN($E$1),FALSE)/(LEN(VLOOKUP($D232,素材!$1:$1016,COLUMN($F$1),FALSE)) - LEN(SUBSTITUTE(VLOOKUP($D232,素材!$1:$1016,COLUMN($F$1),FALSE), "・", 0)) + 1), 0)</f>
        <v>0</v>
      </c>
      <c r="AG232">
        <f>IF(ISNUMBER(SEARCH(SUBSTITUTE(AG$1,RIGHT(AG$1,2),""),VLOOKUP($D232,素材!$1:$1016,COLUMN($F$1),FALSE))),VLOOKUP($C232,武器!$1:$998,COLUMN($O$1),FALSE)*VLOOKUP($D232,素材!$1:$1016,COLUMN($E$1),FALSE)/(LEN(VLOOKUP($D232,素材!$1:$1016,COLUMN($F$1),FALSE)) - LEN(SUBSTITUTE(VLOOKUP($D232,素材!$1:$1016,COLUMN($F$1),FALSE), "・", 0)) + 1), 0)</f>
        <v>0</v>
      </c>
      <c r="AH232">
        <f>IF(ISNUMBER(SEARCH(SUBSTITUTE(AH$1,RIGHT(AH$1,2),""),VLOOKUP($D232,素材!$1:$1016,COLUMN($F$1),FALSE))),VLOOKUP($C232,武器!$1:$998,COLUMN($O$1),FALSE)*VLOOKUP($D232,素材!$1:$1016,COLUMN($E$1),FALSE)/(LEN(VLOOKUP($D232,素材!$1:$1016,COLUMN($F$1),FALSE)) - LEN(SUBSTITUTE(VLOOKUP($D232,素材!$1:$1016,COLUMN($F$1),FALSE), "・", 0)) + 1), 0)</f>
        <v>0</v>
      </c>
      <c r="AI232">
        <f>IF(ISNUMBER(SEARCH(SUBSTITUTE(AI$1,RIGHT(AI$1,2),""),VLOOKUP($D232,素材!$1:$1016,COLUMN($F$1),FALSE))),VLOOKUP($C232,武器!$1:$998,COLUMN($O$1),FALSE)*VLOOKUP($D232,素材!$1:$1016,COLUMN($E$1),FALSE)/(LEN(VLOOKUP($D232,素材!$1:$1016,COLUMN($F$1),FALSE)) - LEN(SUBSTITUTE(VLOOKUP($D232,素材!$1:$1016,COLUMN($F$1),FALSE), "・", 0)) + 1), 0)</f>
        <v>0</v>
      </c>
      <c r="AJ232">
        <f>IF(ISNUMBER(SEARCH(SUBSTITUTE(AJ$1,RIGHT(AJ$1,2),""),VLOOKUP($D232,素材!$1:$1016,COLUMN($F$1),FALSE))),VLOOKUP($C232,武器!$1:$998,COLUMN($O$1),FALSE)*VLOOKUP($D232,素材!$1:$1016,COLUMN($E$1),FALSE)/(LEN(VLOOKUP($D232,素材!$1:$1016,COLUMN($F$1),FALSE)) - LEN(SUBSTITUTE(VLOOKUP($D232,素材!$1:$1016,COLUMN($F$1),FALSE), "・", 0)) + 1), 0)</f>
        <v>0</v>
      </c>
      <c r="AK232">
        <f>IF(ISNUMBER(SEARCH(SUBSTITUTE(AK$1,RIGHT(AK$1,2),""),VLOOKUP($D232,素材!$1:$1016,COLUMN($F$1),FALSE))),VLOOKUP($C232,武器!$1:$998,COLUMN($O$1),FALSE)*VLOOKUP($D232,素材!$1:$1016,COLUMN($E$1),FALSE)/(LEN(VLOOKUP($D232,素材!$1:$1016,COLUMN($F$1),FALSE)) - LEN(SUBSTITUTE(VLOOKUP($D232,素材!$1:$1016,COLUMN($F$1),FALSE), "・", 0)) + 1), 0)</f>
        <v>0</v>
      </c>
      <c r="AL232">
        <f>IF(ISNUMBER(SEARCH(SUBSTITUTE(AL$1,RIGHT(AL$1,2),""),VLOOKUP($D232,素材!$1:$1016,COLUMN($F$1),FALSE))),VLOOKUP($C232,武器!$1:$998,COLUMN($O$1),FALSE)*VLOOKUP($D232,素材!$1:$1016,COLUMN($E$1),FALSE)/(LEN(VLOOKUP($D232,素材!$1:$1016,COLUMN($F$1),FALSE)) - LEN(SUBSTITUTE(VLOOKUP($D232,素材!$1:$1016,COLUMN($F$1),FALSE), "・", 0)) + 1), 0)</f>
        <v>0</v>
      </c>
      <c r="AM232">
        <f>IF(ISNUMBER(SEARCH(SUBSTITUTE(AM$1,RIGHT(AM$1,2),""),VLOOKUP($D232,素材!$1:$1016,COLUMN($F$1),FALSE))),VLOOKUP($C232,武器!$1:$998,COLUMN($O$1),FALSE)*VLOOKUP($D232,素材!$1:$1016,COLUMN($E$1),FALSE)/(LEN(VLOOKUP($D232,素材!$1:$1016,COLUMN($F$1),FALSE)) - LEN(SUBSTITUTE(VLOOKUP($D232,素材!$1:$1016,COLUMN($F$1),FALSE), "・", 0)) + 1), 0)</f>
        <v>0</v>
      </c>
      <c r="AN232">
        <f>IF(ISNUMBER(SEARCH(SUBSTITUTE(AN$1,RIGHT(AN$1,2),""),VLOOKUP($D232,素材!$1:$1016,COLUMN($F$1),FALSE))),VLOOKUP($C232,武器!$1:$998,COLUMN($O$1),FALSE)*VLOOKUP($D232,素材!$1:$1016,COLUMN($E$1),FALSE)/(LEN(VLOOKUP($D232,素材!$1:$1016,COLUMN($F$1),FALSE)) - LEN(SUBSTITUTE(VLOOKUP($D232,素材!$1:$1016,COLUMN($F$1),FALSE), "・", 0)) + 1), 0)</f>
        <v>0</v>
      </c>
      <c r="AO232">
        <f>IF(ISNUMBER(SEARCH(SUBSTITUTE(AO$1,RIGHT(AO$1,2),""),VLOOKUP($D232,素材!$1:$1016,COLUMN($F$1),FALSE))),VLOOKUP($C232,武器!$1:$998,COLUMN($O$1),FALSE)*VLOOKUP($D232,素材!$1:$1016,COLUMN($E$1),FALSE)/(LEN(VLOOKUP($D232,素材!$1:$1016,COLUMN($F$1),FALSE)) - LEN(SUBSTITUTE(VLOOKUP($D232,素材!$1:$1016,COLUMN($F$1),FALSE), "・", 0)) + 1), 0)</f>
        <v>0</v>
      </c>
      <c r="AP232">
        <f>IF(ISNUMBER(SEARCH(SUBSTITUTE(AP$1,RIGHT(AP$1,2),""),VLOOKUP($D232,素材!$1:$1016,COLUMN($F$1),FALSE))),VLOOKUP($C232,武器!$1:$998,COLUMN($O$1),FALSE)*VLOOKUP($D232,素材!$1:$1016,COLUMN($E$1),FALSE)/(LEN(VLOOKUP($D232,素材!$1:$1016,COLUMN($F$1),FALSE)) - LEN(SUBSTITUTE(VLOOKUP($D232,素材!$1:$1016,COLUMN($F$1),FALSE), "・", 0)) + 1), 0)</f>
        <v>0</v>
      </c>
      <c r="AQ232">
        <f>IF(ISNUMBER(SEARCH(SUBSTITUTE(AQ$1,RIGHT(AQ$1,2),""),VLOOKUP($D232,素材!$1:$1016,COLUMN($F$1),FALSE))),VLOOKUP($C232,武器!$1:$998,COLUMN($O$1),FALSE)*VLOOKUP($D232,素材!$1:$1016,COLUMN($E$1),FALSE)/(LEN(VLOOKUP($D232,素材!$1:$1016,COLUMN($F$1),FALSE)) - LEN(SUBSTITUTE(VLOOKUP($D232,素材!$1:$1016,COLUMN($F$1),FALSE), "・", 0)) + 1), 0)</f>
        <v>0</v>
      </c>
      <c r="AR232">
        <f>IF(ISNUMBER(SEARCH(SUBSTITUTE(AR$1,RIGHT(AR$1,2),""),VLOOKUP($D232,素材!$1:$1016,COLUMN($F$1),FALSE))),VLOOKUP($C232,武器!$1:$998,COLUMN($O$1),FALSE)*VLOOKUP($D232,素材!$1:$1016,COLUMN($E$1),FALSE)/(LEN(VLOOKUP($D232,素材!$1:$1016,COLUMN($F$1),FALSE)) - LEN(SUBSTITUTE(VLOOKUP($D232,素材!$1:$1016,COLUMN($F$1),FALSE), "・", 0)) + 1), 0)</f>
        <v>0</v>
      </c>
      <c r="AS232">
        <f>IF(ISNUMBER(SEARCH(SUBSTITUTE(AS$1,RIGHT(AS$1,2),""),VLOOKUP($D232,素材!$1:$1016,COLUMN($F$1),FALSE))),VLOOKUP($C232,武器!$1:$998,COLUMN($O$1),FALSE)*VLOOKUP($D232,素材!$1:$1016,COLUMN($E$1),FALSE)/(LEN(VLOOKUP($D232,素材!$1:$1016,COLUMN($F$1),FALSE)) - LEN(SUBSTITUTE(VLOOKUP($D232,素材!$1:$1016,COLUMN($F$1),FALSE), "・", 0)) + 1), 0)</f>
        <v>0</v>
      </c>
      <c r="AT232">
        <f>IF(ISNUMBER(SEARCH(SUBSTITUTE(AT$1,RIGHT(AT$1,2),""),VLOOKUP($D232,素材!$1:$1016,COLUMN($F$1),FALSE))),VLOOKUP($C232,武器!$1:$998,COLUMN($O$1),FALSE)*VLOOKUP($D232,素材!$1:$1016,COLUMN($E$1),FALSE)/(LEN(VLOOKUP($D232,素材!$1:$1016,COLUMN($F$1),FALSE)) - LEN(SUBSTITUTE(VLOOKUP($D232,素材!$1:$1016,COLUMN($F$1),FALSE), "・", 0)) + 1), 0)</f>
        <v>0</v>
      </c>
      <c r="AU232">
        <f>IF(ISNUMBER(SEARCH(SUBSTITUTE(AU$1,RIGHT(AU$1,2),""),VLOOKUP($D232,素材!$1:$1016,COLUMN($F$1),FALSE))),VLOOKUP($C232,武器!$1:$998,COLUMN($O$1),FALSE)*VLOOKUP($D232,素材!$1:$1016,COLUMN($E$1),FALSE)/(LEN(VLOOKUP($D232,素材!$1:$1016,COLUMN($F$1),FALSE)) - LEN(SUBSTITUTE(VLOOKUP($D232,素材!$1:$1016,COLUMN($F$1),FALSE), "・", 0)) + 1), 0)</f>
        <v>0</v>
      </c>
      <c r="AV232">
        <f>IF(ISNUMBER(SEARCH(SUBSTITUTE(AV$1,RIGHT(AV$1,2),""),VLOOKUP($D232,素材!$1:$1016,COLUMN($F$1),FALSE))),VLOOKUP($C232,武器!$1:$998,COLUMN($O$1),FALSE)*VLOOKUP($D232,素材!$1:$1016,COLUMN($E$1),FALSE)/(LEN(VLOOKUP($D232,素材!$1:$1016,COLUMN($F$1),FALSE)) - LEN(SUBSTITUTE(VLOOKUP($D232,素材!$1:$1016,COLUMN($F$1),FALSE), "・", 0)) + 1), 0)</f>
        <v>0</v>
      </c>
      <c r="AW232">
        <f>IF(ISNUMBER(SEARCH(SUBSTITUTE(AW$1,RIGHT(AW$1,2),""),VLOOKUP($D232,素材!$1:$1016,COLUMN($F$1),FALSE))),VLOOKUP($C232,武器!$1:$998,COLUMN($O$1),FALSE)*VLOOKUP($D232,素材!$1:$1016,COLUMN($E$1),FALSE)/(LEN(VLOOKUP($D232,素材!$1:$1016,COLUMN($F$1),FALSE)) - LEN(SUBSTITUTE(VLOOKUP($D232,素材!$1:$1016,COLUMN($F$1),FALSE), "・", 0)) + 1), 0)</f>
        <v>0</v>
      </c>
      <c r="AX232">
        <f>IF(ISNUMBER(SEARCH(SUBSTITUTE(AX$1,RIGHT(AX$1,2),""),VLOOKUP($D232,素材!$1:$1016,COLUMN($F$1),FALSE))),VLOOKUP($C232,武器!$1:$998,COLUMN($O$1),FALSE)*VLOOKUP($D232,素材!$1:$1016,COLUMN($E$1),FALSE)/(LEN(VLOOKUP($D232,素材!$1:$1016,COLUMN($F$1),FALSE)) - LEN(SUBSTITUTE(VLOOKUP($D232,素材!$1:$1016,COLUMN($F$1),FALSE), "・", 0)) + 1), 0)</f>
        <v>0</v>
      </c>
      <c r="AY232">
        <f>IF(ISNUMBER(SEARCH(SUBSTITUTE(AY$1,RIGHT(AY$1,2),""),VLOOKUP($D232,素材!$1:$1016,COLUMN($F$1),FALSE))),VLOOKUP($C232,武器!$1:$998,COLUMN($O$1),FALSE)*VLOOKUP($D232,素材!$1:$1016,COLUMN($E$1),FALSE)/(LEN(VLOOKUP($D232,素材!$1:$1016,COLUMN($F$1),FALSE)) - LEN(SUBSTITUTE(VLOOKUP($D232,素材!$1:$1016,COLUMN($F$1),FALSE), "・", 0)) + 1), 0)</f>
        <v>0</v>
      </c>
      <c r="AZ232">
        <f>IF(ISNUMBER(SEARCH(SUBSTITUTE(AZ$1,RIGHT(AZ$1,2),""),VLOOKUP($D232,素材!$1:$1016,COLUMN($F$1),FALSE))),VLOOKUP($C232,武器!$1:$998,COLUMN($O$1),FALSE)*VLOOKUP($D232,素材!$1:$1016,COLUMN($E$1),FALSE)/(LEN(VLOOKUP($D232,素材!$1:$1016,COLUMN($F$1),FALSE)) - LEN(SUBSTITUTE(VLOOKUP($D232,素材!$1:$1016,COLUMN($F$1),FALSE), "・", 0)) + 1), 0)</f>
        <v>0</v>
      </c>
      <c r="BA232">
        <f>IF(ISNUMBER(SEARCH(SUBSTITUTE(BA$1,RIGHT(BA$1,2),""),VLOOKUP($D232,素材!$1:$1016,COLUMN($F$1),FALSE))),VLOOKUP($C232,武器!$1:$998,COLUMN($O$1),FALSE)*VLOOKUP($D232,素材!$1:$1016,COLUMN($E$1),FALSE)/(LEN(VLOOKUP($D232,素材!$1:$1016,COLUMN($F$1),FALSE)) - LEN(SUBSTITUTE(VLOOKUP($D232,素材!$1:$1016,COLUMN($F$1),FALSE), "・", 0)) + 1), 0)</f>
        <v>0</v>
      </c>
      <c r="BB232">
        <f>IF(ISNUMBER(SEARCH(SUBSTITUTE(BB$1,RIGHT(BB$1,2),""),VLOOKUP($D232,素材!$1:$1016,COLUMN($F$1),FALSE))),VLOOKUP($C232,武器!$1:$998,COLUMN($O$1),FALSE)*VLOOKUP($D232,素材!$1:$1016,COLUMN($E$1),FALSE)/(LEN(VLOOKUP($D232,素材!$1:$1016,COLUMN($F$1),FALSE)) - LEN(SUBSTITUTE(VLOOKUP($D232,素材!$1:$1016,COLUMN($F$1),FALSE), "・", 0)) + 1), 0)</f>
        <v>0</v>
      </c>
      <c r="BC232">
        <f>IF(ISNUMBER(SEARCH(SUBSTITUTE(BC$1,RIGHT(BC$1,2),""),VLOOKUP($D232,素材!$1:$1016,COLUMN($F$1),FALSE))),VLOOKUP($C232,武器!$1:$998,COLUMN($O$1),FALSE)*VLOOKUP($D232,素材!$1:$1016,COLUMN($E$1),FALSE)/(LEN(VLOOKUP($D232,素材!$1:$1016,COLUMN($F$1),FALSE)) - LEN(SUBSTITUTE(VLOOKUP($D232,素材!$1:$1016,COLUMN($F$1),FALSE), "・", 0)) + 1), 0)</f>
        <v>0</v>
      </c>
      <c r="BD232">
        <f>IF(ISNUMBER(SEARCH(SUBSTITUTE(BD$1,RIGHT(BD$1,2),""),VLOOKUP($D232,素材!$1:$1016,COLUMN($F$1),FALSE))),VLOOKUP($C232,武器!$1:$998,COLUMN($O$1),FALSE)*VLOOKUP($D232,素材!$1:$1016,COLUMN($E$1),FALSE)/(LEN(VLOOKUP($D232,素材!$1:$1016,COLUMN($F$1),FALSE)) - LEN(SUBSTITUTE(VLOOKUP($D232,素材!$1:$1016,COLUMN($F$1),FALSE), "・", 0)) + 1), 0)</f>
        <v>0</v>
      </c>
      <c r="BE232">
        <f>IF(ISNUMBER(SEARCH(SUBSTITUTE(BE$1,RIGHT(BE$1,2),""),VLOOKUP($D232,素材!$1:$1016,COLUMN($F$1),FALSE))),VLOOKUP($C232,武器!$1:$998,COLUMN($O$1),FALSE)*VLOOKUP($D232,素材!$1:$1016,COLUMN($E$1),FALSE)/(LEN(VLOOKUP($D232,素材!$1:$1016,COLUMN($F$1),FALSE)) - LEN(SUBSTITUTE(VLOOKUP($D232,素材!$1:$1016,COLUMN($F$1),FALSE), "・", 0)) + 1), 0)</f>
        <v>0</v>
      </c>
      <c r="CL232">
        <f>SUM(G232:I232)</f>
        <v>20</v>
      </c>
      <c r="CM232" s="22" t="str">
        <f>IF(E232="武器",IF(J232-1&gt;SUM(G232:I232),"盾",IF(MAX(G232:I232)=G232,"切断",IF(MAX(G232:I232)=H232,"貫通",IF(MAX(G232:I232)=I232,"打撃","射撃")))),E232)&amp;".webp"</f>
        <v>切断.webp</v>
      </c>
      <c r="CN232">
        <f>IFERROR(VLOOKUP($C232,武器!$1:$998,COLUMN(V$1),FALSE)*VLOOKUP($D232,素材!$1:$1016,COLUMN(N$1),FALSE)+IF(CI232="",0,VLOOKUP($CI232,装強!$1:$1008,COLUMN($CK$1),FALSE)),"")</f>
        <v>1500</v>
      </c>
      <c r="CO232">
        <f>VLOOKUP(D232,素材!$A:$O,COLUMN(素材!O$1),FALSE)</f>
        <v>0</v>
      </c>
      <c r="CP232" t="str">
        <f>VLOOKUP(C232,武器!$A:$W,COLUMN(武器!W$1),FALSE)</f>
        <v>短刀。暗殺向けの武器で、軽量かつ片手操作に適する。Cr威力が高い</v>
      </c>
      <c r="CR232" t="str">
        <f t="shared" si="29"/>
        <v>e_232</v>
      </c>
      <c r="CS232">
        <f t="shared" si="30"/>
        <v>150000</v>
      </c>
    </row>
    <row r="233" spans="1:97" outlineLevel="1" x14ac:dyDescent="0.4">
      <c r="A233" t="str">
        <f t="shared" si="31"/>
        <v>熱鉄の刀</v>
      </c>
      <c r="B233" t="str">
        <f>IFERROR(VLOOKUP($D233,素材!$1:$1016,COLUMN($B$1),FALSE)&amp;"・"&amp;VLOOKUP($C233,武器!$1:$998,COLUMN(B$1),FALSE),"")</f>
        <v>ヒートスティール・カタナ</v>
      </c>
      <c r="C233" s="24" t="s">
        <v>241</v>
      </c>
      <c r="D233" s="24" t="s">
        <v>205</v>
      </c>
      <c r="E233" t="str">
        <f>IFERROR(VLOOKUP(C233,武器!$1:$998,COLUMN(C$1),FALSE),"")</f>
        <v>武器</v>
      </c>
      <c r="F233">
        <f>IFERROR(ROUNDDOWN((VLOOKUP($C233,武器!$1:$998,COLUMN(D$1),FALSE)+IFERROR(VLOOKUP($CI233,装強!$1:$999,COLUMN(F$1),FALSE),0))*VLOOKUP($D233,素材!$1:$1016,COLUMN(D$1),FALSE),0),"")</f>
        <v>105</v>
      </c>
      <c r="G233">
        <f>IFERROR(ROUNDDOWN((VLOOKUP($C233,武器!$1:$998,COLUMN(E$1),FALSE)+IFERROR(VLOOKUP($CI233,装強!$1:$999,COLUMN(G$1),FALSE),0))*VLOOKUP($D233,素材!$1:$1016,COLUMN($E$1),FALSE),0),"")</f>
        <v>14</v>
      </c>
      <c r="H233">
        <f>IFERROR(ROUNDDOWN((VLOOKUP($C233,武器!$1:$998,COLUMN(F$1),FALSE)+IFERROR(VLOOKUP($CI233,装強!$1:$999,COLUMN(H$1),FALSE),0))*VLOOKUP($D233,素材!$1:$1016,COLUMN($E$1),FALSE),0),"")</f>
        <v>8</v>
      </c>
      <c r="I233">
        <f>IFERROR(ROUNDDOWN((VLOOKUP($C233,武器!$1:$998,COLUMN(G$1),FALSE)+IFERROR(VLOOKUP($CI233,装強!$1:$999,COLUMN(I$1),FALSE),0))*VLOOKUP($D233,素材!$1:$1016,COLUMN($E$1),FALSE),0),"")</f>
        <v>2</v>
      </c>
      <c r="J233">
        <f>IFERROR(ROUNDDOWN((VLOOKUP($C233,武器!$1:$998,COLUMN(H$1),FALSE)+IFERROR(VLOOKUP($CI233,装強!$1:$999,COLUMN(J$1),FALSE),0))*VLOOKUP($D233,素材!$1:$1016,COLUMN($E$1),FALSE),0),"")</f>
        <v>17</v>
      </c>
      <c r="K233">
        <f>IFERROR(ROUNDDOWN((VLOOKUP($C233,武器!$1:$998,COLUMN(I$1),FALSE)+IFERROR(VLOOKUP($CI233,装強!$1:$999,COLUMN(K$1),FALSE),0))*VLOOKUP($D233,素材!$1:$1016,COLUMN($E$1),FALSE),0),"")</f>
        <v>0</v>
      </c>
      <c r="L233" t="str">
        <f>IFERROR(VLOOKUP($D233,素材!$1:$1016,COLUMN($F$1),FALSE),"")</f>
        <v>炎</v>
      </c>
      <c r="M233">
        <f>IFERROR(VLOOKUP($C233,武器!$1:$998,COLUMN(AA$1),FALSE)*VLOOKUP($D233,素材!$1:$1016,COLUMN($G$1),FALSE),"")</f>
        <v>42</v>
      </c>
      <c r="N233">
        <f>IFERROR(VLOOKUP($C233,武器!$1:$998,COLUMN(I$1),FALSE),"")</f>
        <v>0</v>
      </c>
      <c r="O233" s="23">
        <f>IFERROR((VLOOKUP($C233,武器!$1:$998,COLUMN(K$1),FALSE)+VLOOKUP($D233,素材!$1:$1016,COLUMN(H$1),FALSE))*100+IFERROR(VLOOKUP($CI233,装強!$1:$999,COLUMN(O$1),FALSE),0),"")</f>
        <v>10</v>
      </c>
      <c r="P233" s="23">
        <f>IFERROR((VLOOKUP($C233,武器!$1:$998,COLUMN(L$1),FALSE)+VLOOKUP($D233,素材!$1:$1016,COLUMN(I$1),FALSE))*100+IFERROR(VLOOKUP($CI233,装強!$1:$999,COLUMN(P$1),FALSE),0),"")</f>
        <v>175</v>
      </c>
      <c r="Q233">
        <f>IFERROR(ROUNDUP(VLOOKUP($C233,武器!$1:$998,COLUMN(M$1),FALSE)*(VLOOKUP($D233,素材!$1:$1002,COLUMN(D$1),FALSE)/100),1),"")</f>
        <v>0</v>
      </c>
      <c r="R233">
        <f>IFERROR(ROUNDUP(VLOOKUP($C233,武器!$1:$998,COLUMN(N$1),FALSE)*(VLOOKUP($D233,素材!$1:$1002,COLUMN(D$1),FALSE)/100),1),"")</f>
        <v>0</v>
      </c>
      <c r="S233">
        <f>IFERROR(VLOOKUP($C233,武器!$1:$998,COLUMN(P$1),FALSE),"")</f>
        <v>0</v>
      </c>
      <c r="T233">
        <f>IFERROR(VLOOKUP($C233,武器!$1:$998,COLUMN(Q$1),FALSE),"")</f>
        <v>0</v>
      </c>
      <c r="U233">
        <f>IFERROR(VLOOKUP($C233,武器!$1:$998,COLUMN(R$1),FALSE),"")</f>
        <v>0</v>
      </c>
      <c r="V233">
        <f>IFERROR(VLOOKUP($C233,武器!$1:$998,COLUMN(Q$1),FALSE),"")</f>
        <v>0</v>
      </c>
      <c r="W233" t="str">
        <f>IFERROR(VLOOKUP($C233,武器!$1:$998,COLUMN(T$1),FALSE),"")</f>
        <v>A</v>
      </c>
      <c r="Y233">
        <f>IFERROR(VLOOKUP($C233,武器!$1:$998,COLUMN(U$1),FALSE),"")</f>
        <v>0</v>
      </c>
      <c r="Z233">
        <f>IFERROR(ROUNDUP(VLOOKUP($C233,武器!$1:$998,COLUMN(O$1),FALSE)*VLOOKUP($D233,素材!$1:$1016,COLUMN(E$1),FALSE),1),"")</f>
        <v>0</v>
      </c>
      <c r="AA233">
        <f>IF(ISNUMBER(SEARCH(SUBSTITUTE(AA$1,RIGHT(AA$1,2),""),VLOOKUP($D233,素材!$1:$1016,COLUMN($F$1),FALSE))),VLOOKUP($C233,武器!$1:$998,COLUMN($O$1),FALSE)*VLOOKUP($D233,素材!$1:$1016,COLUMN($E$1),FALSE)/(LEN(VLOOKUP($D233,素材!$1:$1016,COLUMN($F$1),FALSE)) - LEN(SUBSTITUTE(VLOOKUP($D233,素材!$1:$1016,COLUMN($F$1),FALSE), "・", 0)) + 1), 0)</f>
        <v>0</v>
      </c>
      <c r="AB233">
        <f>IF(ISNUMBER(SEARCH(SUBSTITUTE(AB$1,RIGHT(AB$1,2),""),VLOOKUP($D233,素材!$1:$1016,COLUMN($F$1),FALSE))),VLOOKUP($C233,武器!$1:$998,COLUMN($O$1),FALSE)*VLOOKUP($D233,素材!$1:$1016,COLUMN($E$1),FALSE)/(LEN(VLOOKUP($D233,素材!$1:$1016,COLUMN($F$1),FALSE)) - LEN(SUBSTITUTE(VLOOKUP($D233,素材!$1:$1016,COLUMN($F$1),FALSE), "・", 0)) + 1), 0)</f>
        <v>0</v>
      </c>
      <c r="AC233">
        <f>IF(ISNUMBER(SEARCH(SUBSTITUTE(AC$1,RIGHT(AC$1,2),""),VLOOKUP($D233,素材!$1:$1016,COLUMN($F$1),FALSE))),VLOOKUP($C233,武器!$1:$998,COLUMN($O$1),FALSE)*VLOOKUP($D233,素材!$1:$1016,COLUMN($E$1),FALSE)/(LEN(VLOOKUP($D233,素材!$1:$1016,COLUMN($F$1),FALSE)) - LEN(SUBSTITUTE(VLOOKUP($D233,素材!$1:$1016,COLUMN($F$1),FALSE), "・", 0)) + 1), 0)</f>
        <v>0</v>
      </c>
      <c r="AD233">
        <f>IF(ISNUMBER(SEARCH(SUBSTITUTE(AD$1,RIGHT(AD$1,2),""),VLOOKUP($D233,素材!$1:$1016,COLUMN($F$1),FALSE))),VLOOKUP($C233,武器!$1:$998,COLUMN($O$1),FALSE)*VLOOKUP($D233,素材!$1:$1016,COLUMN($E$1),FALSE)/(LEN(VLOOKUP($D233,素材!$1:$1016,COLUMN($F$1),FALSE)) - LEN(SUBSTITUTE(VLOOKUP($D233,素材!$1:$1016,COLUMN($F$1),FALSE), "・", 0)) + 1), 0)</f>
        <v>0</v>
      </c>
      <c r="AE233">
        <f>IF(ISNUMBER(SEARCH(SUBSTITUTE(AE$1,RIGHT(AE$1,2),""),VLOOKUP($D233,素材!$1:$1016,COLUMN($F$1),FALSE))),VLOOKUP($C233,武器!$1:$998,COLUMN($O$1),FALSE)*VLOOKUP($D233,素材!$1:$1016,COLUMN($E$1),FALSE)/(LEN(VLOOKUP($D233,素材!$1:$1016,COLUMN($F$1),FALSE)) - LEN(SUBSTITUTE(VLOOKUP($D233,素材!$1:$1016,COLUMN($F$1),FALSE), "・", 0)) + 1), 0)</f>
        <v>0</v>
      </c>
      <c r="AF233">
        <f>IF(ISNUMBER(SEARCH(SUBSTITUTE(AF$1,RIGHT(AF$1,2),""),VLOOKUP($D233,素材!$1:$1016,COLUMN($F$1),FALSE))),VLOOKUP($C233,武器!$1:$998,COLUMN($O$1),FALSE)*VLOOKUP($D233,素材!$1:$1016,COLUMN($E$1),FALSE)/(LEN(VLOOKUP($D233,素材!$1:$1016,COLUMN($F$1),FALSE)) - LEN(SUBSTITUTE(VLOOKUP($D233,素材!$1:$1016,COLUMN($F$1),FALSE), "・", 0)) + 1), 0)</f>
        <v>0</v>
      </c>
      <c r="AG233">
        <f>IF(ISNUMBER(SEARCH(SUBSTITUTE(AG$1,RIGHT(AG$1,2),""),VLOOKUP($D233,素材!$1:$1016,COLUMN($F$1),FALSE))),VLOOKUP($C233,武器!$1:$998,COLUMN($O$1),FALSE)*VLOOKUP($D233,素材!$1:$1016,COLUMN($E$1),FALSE)/(LEN(VLOOKUP($D233,素材!$1:$1016,COLUMN($F$1),FALSE)) - LEN(SUBSTITUTE(VLOOKUP($D233,素材!$1:$1016,COLUMN($F$1),FALSE), "・", 0)) + 1), 0)</f>
        <v>0</v>
      </c>
      <c r="AH233">
        <f>IF(ISNUMBER(SEARCH(SUBSTITUTE(AH$1,RIGHT(AH$1,2),""),VLOOKUP($D233,素材!$1:$1016,COLUMN($F$1),FALSE))),VLOOKUP($C233,武器!$1:$998,COLUMN($O$1),FALSE)*VLOOKUP($D233,素材!$1:$1016,COLUMN($E$1),FALSE)/(LEN(VLOOKUP($D233,素材!$1:$1016,COLUMN($F$1),FALSE)) - LEN(SUBSTITUTE(VLOOKUP($D233,素材!$1:$1016,COLUMN($F$1),FALSE), "・", 0)) + 1), 0)</f>
        <v>0</v>
      </c>
      <c r="AI233">
        <f>IF(ISNUMBER(SEARCH(SUBSTITUTE(AI$1,RIGHT(AI$1,2),""),VLOOKUP($D233,素材!$1:$1016,COLUMN($F$1),FALSE))),VLOOKUP($C233,武器!$1:$998,COLUMN($O$1),FALSE)*VLOOKUP($D233,素材!$1:$1016,COLUMN($E$1),FALSE)/(LEN(VLOOKUP($D233,素材!$1:$1016,COLUMN($F$1),FALSE)) - LEN(SUBSTITUTE(VLOOKUP($D233,素材!$1:$1016,COLUMN($F$1),FALSE), "・", 0)) + 1), 0)</f>
        <v>0</v>
      </c>
      <c r="AJ233">
        <f>IF(ISNUMBER(SEARCH(SUBSTITUTE(AJ$1,RIGHT(AJ$1,2),""),VLOOKUP($D233,素材!$1:$1016,COLUMN($F$1),FALSE))),VLOOKUP($C233,武器!$1:$998,COLUMN($O$1),FALSE)*VLOOKUP($D233,素材!$1:$1016,COLUMN($E$1),FALSE)/(LEN(VLOOKUP($D233,素材!$1:$1016,COLUMN($F$1),FALSE)) - LEN(SUBSTITUTE(VLOOKUP($D233,素材!$1:$1016,COLUMN($F$1),FALSE), "・", 0)) + 1), 0)</f>
        <v>0</v>
      </c>
      <c r="AK233">
        <f>IF(ISNUMBER(SEARCH(SUBSTITUTE(AK$1,RIGHT(AK$1,2),""),VLOOKUP($D233,素材!$1:$1016,COLUMN($F$1),FALSE))),VLOOKUP($C233,武器!$1:$998,COLUMN($O$1),FALSE)*VLOOKUP($D233,素材!$1:$1016,COLUMN($E$1),FALSE)/(LEN(VLOOKUP($D233,素材!$1:$1016,COLUMN($F$1),FALSE)) - LEN(SUBSTITUTE(VLOOKUP($D233,素材!$1:$1016,COLUMN($F$1),FALSE), "・", 0)) + 1), 0)</f>
        <v>0</v>
      </c>
      <c r="AL233">
        <f>IF(ISNUMBER(SEARCH(SUBSTITUTE(AL$1,RIGHT(AL$1,2),""),VLOOKUP($D233,素材!$1:$1016,COLUMN($F$1),FALSE))),VLOOKUP($C233,武器!$1:$998,COLUMN($O$1),FALSE)*VLOOKUP($D233,素材!$1:$1016,COLUMN($E$1),FALSE)/(LEN(VLOOKUP($D233,素材!$1:$1016,COLUMN($F$1),FALSE)) - LEN(SUBSTITUTE(VLOOKUP($D233,素材!$1:$1016,COLUMN($F$1),FALSE), "・", 0)) + 1), 0)</f>
        <v>0</v>
      </c>
      <c r="AM233">
        <f>IF(ISNUMBER(SEARCH(SUBSTITUTE(AM$1,RIGHT(AM$1,2),""),VLOOKUP($D233,素材!$1:$1016,COLUMN($F$1),FALSE))),VLOOKUP($C233,武器!$1:$998,COLUMN($O$1),FALSE)*VLOOKUP($D233,素材!$1:$1016,COLUMN($E$1),FALSE)/(LEN(VLOOKUP($D233,素材!$1:$1016,COLUMN($F$1),FALSE)) - LEN(SUBSTITUTE(VLOOKUP($D233,素材!$1:$1016,COLUMN($F$1),FALSE), "・", 0)) + 1), 0)</f>
        <v>0</v>
      </c>
      <c r="AN233">
        <f>IF(ISNUMBER(SEARCH(SUBSTITUTE(AN$1,RIGHT(AN$1,2),""),VLOOKUP($D233,素材!$1:$1016,COLUMN($F$1),FALSE))),VLOOKUP($C233,武器!$1:$998,COLUMN($O$1),FALSE)*VLOOKUP($D233,素材!$1:$1016,COLUMN($E$1),FALSE)/(LEN(VLOOKUP($D233,素材!$1:$1016,COLUMN($F$1),FALSE)) - LEN(SUBSTITUTE(VLOOKUP($D233,素材!$1:$1016,COLUMN($F$1),FALSE), "・", 0)) + 1), 0)</f>
        <v>0</v>
      </c>
      <c r="AO233">
        <f>IF(ISNUMBER(SEARCH(SUBSTITUTE(AO$1,RIGHT(AO$1,2),""),VLOOKUP($D233,素材!$1:$1016,COLUMN($F$1),FALSE))),VLOOKUP($C233,武器!$1:$998,COLUMN($O$1),FALSE)*VLOOKUP($D233,素材!$1:$1016,COLUMN($E$1),FALSE)/(LEN(VLOOKUP($D233,素材!$1:$1016,COLUMN($F$1),FALSE)) - LEN(SUBSTITUTE(VLOOKUP($D233,素材!$1:$1016,COLUMN($F$1),FALSE), "・", 0)) + 1), 0)</f>
        <v>0</v>
      </c>
      <c r="AP233">
        <f>IF(ISNUMBER(SEARCH(SUBSTITUTE(AP$1,RIGHT(AP$1,2),""),VLOOKUP($D233,素材!$1:$1016,COLUMN($F$1),FALSE))),VLOOKUP($C233,武器!$1:$998,COLUMN($O$1),FALSE)*VLOOKUP($D233,素材!$1:$1016,COLUMN($E$1),FALSE)/(LEN(VLOOKUP($D233,素材!$1:$1016,COLUMN($F$1),FALSE)) - LEN(SUBSTITUTE(VLOOKUP($D233,素材!$1:$1016,COLUMN($F$1),FALSE), "・", 0)) + 1), 0)</f>
        <v>0</v>
      </c>
      <c r="AQ233">
        <f>IF(ISNUMBER(SEARCH(SUBSTITUTE(AQ$1,RIGHT(AQ$1,2),""),VLOOKUP($D233,素材!$1:$1016,COLUMN($F$1),FALSE))),VLOOKUP($C233,武器!$1:$998,COLUMN($O$1),FALSE)*VLOOKUP($D233,素材!$1:$1016,COLUMN($E$1),FALSE)/(LEN(VLOOKUP($D233,素材!$1:$1016,COLUMN($F$1),FALSE)) - LEN(SUBSTITUTE(VLOOKUP($D233,素材!$1:$1016,COLUMN($F$1),FALSE), "・", 0)) + 1), 0)</f>
        <v>0</v>
      </c>
      <c r="AR233">
        <f>IF(ISNUMBER(SEARCH(SUBSTITUTE(AR$1,RIGHT(AR$1,2),""),VLOOKUP($D233,素材!$1:$1016,COLUMN($F$1),FALSE))),VLOOKUP($C233,武器!$1:$998,COLUMN($O$1),FALSE)*VLOOKUP($D233,素材!$1:$1016,COLUMN($E$1),FALSE)/(LEN(VLOOKUP($D233,素材!$1:$1016,COLUMN($F$1),FALSE)) - LEN(SUBSTITUTE(VLOOKUP($D233,素材!$1:$1016,COLUMN($F$1),FALSE), "・", 0)) + 1), 0)</f>
        <v>0</v>
      </c>
      <c r="AS233">
        <f>IF(ISNUMBER(SEARCH(SUBSTITUTE(AS$1,RIGHT(AS$1,2),""),VLOOKUP($D233,素材!$1:$1016,COLUMN($F$1),FALSE))),VLOOKUP($C233,武器!$1:$998,COLUMN($O$1),FALSE)*VLOOKUP($D233,素材!$1:$1016,COLUMN($E$1),FALSE)/(LEN(VLOOKUP($D233,素材!$1:$1016,COLUMN($F$1),FALSE)) - LEN(SUBSTITUTE(VLOOKUP($D233,素材!$1:$1016,COLUMN($F$1),FALSE), "・", 0)) + 1), 0)</f>
        <v>0</v>
      </c>
      <c r="AT233">
        <f>IF(ISNUMBER(SEARCH(SUBSTITUTE(AT$1,RIGHT(AT$1,2),""),VLOOKUP($D233,素材!$1:$1016,COLUMN($F$1),FALSE))),VLOOKUP($C233,武器!$1:$998,COLUMN($O$1),FALSE)*VLOOKUP($D233,素材!$1:$1016,COLUMN($E$1),FALSE)/(LEN(VLOOKUP($D233,素材!$1:$1016,COLUMN($F$1),FALSE)) - LEN(SUBSTITUTE(VLOOKUP($D233,素材!$1:$1016,COLUMN($F$1),FALSE), "・", 0)) + 1), 0)</f>
        <v>0</v>
      </c>
      <c r="AU233">
        <f>IF(ISNUMBER(SEARCH(SUBSTITUTE(AU$1,RIGHT(AU$1,2),""),VLOOKUP($D233,素材!$1:$1016,COLUMN($F$1),FALSE))),VLOOKUP($C233,武器!$1:$998,COLUMN($O$1),FALSE)*VLOOKUP($D233,素材!$1:$1016,COLUMN($E$1),FALSE)/(LEN(VLOOKUP($D233,素材!$1:$1016,COLUMN($F$1),FALSE)) - LEN(SUBSTITUTE(VLOOKUP($D233,素材!$1:$1016,COLUMN($F$1),FALSE), "・", 0)) + 1), 0)</f>
        <v>0</v>
      </c>
      <c r="AV233">
        <f>IF(ISNUMBER(SEARCH(SUBSTITUTE(AV$1,RIGHT(AV$1,2),""),VLOOKUP($D233,素材!$1:$1016,COLUMN($F$1),FALSE))),VLOOKUP($C233,武器!$1:$998,COLUMN($O$1),FALSE)*VLOOKUP($D233,素材!$1:$1016,COLUMN($E$1),FALSE)/(LEN(VLOOKUP($D233,素材!$1:$1016,COLUMN($F$1),FALSE)) - LEN(SUBSTITUTE(VLOOKUP($D233,素材!$1:$1016,COLUMN($F$1),FALSE), "・", 0)) + 1), 0)</f>
        <v>0</v>
      </c>
      <c r="AW233">
        <f>IF(ISNUMBER(SEARCH(SUBSTITUTE(AW$1,RIGHT(AW$1,2),""),VLOOKUP($D233,素材!$1:$1016,COLUMN($F$1),FALSE))),VLOOKUP($C233,武器!$1:$998,COLUMN($O$1),FALSE)*VLOOKUP($D233,素材!$1:$1016,COLUMN($E$1),FALSE)/(LEN(VLOOKUP($D233,素材!$1:$1016,COLUMN($F$1),FALSE)) - LEN(SUBSTITUTE(VLOOKUP($D233,素材!$1:$1016,COLUMN($F$1),FALSE), "・", 0)) + 1), 0)</f>
        <v>0</v>
      </c>
      <c r="AX233">
        <f>IF(ISNUMBER(SEARCH(SUBSTITUTE(AX$1,RIGHT(AX$1,2),""),VLOOKUP($D233,素材!$1:$1016,COLUMN($F$1),FALSE))),VLOOKUP($C233,武器!$1:$998,COLUMN($O$1),FALSE)*VLOOKUP($D233,素材!$1:$1016,COLUMN($E$1),FALSE)/(LEN(VLOOKUP($D233,素材!$1:$1016,COLUMN($F$1),FALSE)) - LEN(SUBSTITUTE(VLOOKUP($D233,素材!$1:$1016,COLUMN($F$1),FALSE), "・", 0)) + 1), 0)</f>
        <v>0</v>
      </c>
      <c r="AY233">
        <f>IF(ISNUMBER(SEARCH(SUBSTITUTE(AY$1,RIGHT(AY$1,2),""),VLOOKUP($D233,素材!$1:$1016,COLUMN($F$1),FALSE))),VLOOKUP($C233,武器!$1:$998,COLUMN($O$1),FALSE)*VLOOKUP($D233,素材!$1:$1016,COLUMN($E$1),FALSE)/(LEN(VLOOKUP($D233,素材!$1:$1016,COLUMN($F$1),FALSE)) - LEN(SUBSTITUTE(VLOOKUP($D233,素材!$1:$1016,COLUMN($F$1),FALSE), "・", 0)) + 1), 0)</f>
        <v>0</v>
      </c>
      <c r="AZ233">
        <f>IF(ISNUMBER(SEARCH(SUBSTITUTE(AZ$1,RIGHT(AZ$1,2),""),VLOOKUP($D233,素材!$1:$1016,COLUMN($F$1),FALSE))),VLOOKUP($C233,武器!$1:$998,COLUMN($O$1),FALSE)*VLOOKUP($D233,素材!$1:$1016,COLUMN($E$1),FALSE)/(LEN(VLOOKUP($D233,素材!$1:$1016,COLUMN($F$1),FALSE)) - LEN(SUBSTITUTE(VLOOKUP($D233,素材!$1:$1016,COLUMN($F$1),FALSE), "・", 0)) + 1), 0)</f>
        <v>0</v>
      </c>
      <c r="BA233">
        <f>IF(ISNUMBER(SEARCH(SUBSTITUTE(BA$1,RIGHT(BA$1,2),""),VLOOKUP($D233,素材!$1:$1016,COLUMN($F$1),FALSE))),VLOOKUP($C233,武器!$1:$998,COLUMN($O$1),FALSE)*VLOOKUP($D233,素材!$1:$1016,COLUMN($E$1),FALSE)/(LEN(VLOOKUP($D233,素材!$1:$1016,COLUMN($F$1),FALSE)) - LEN(SUBSTITUTE(VLOOKUP($D233,素材!$1:$1016,COLUMN($F$1),FALSE), "・", 0)) + 1), 0)</f>
        <v>0</v>
      </c>
      <c r="BB233">
        <f>IF(ISNUMBER(SEARCH(SUBSTITUTE(BB$1,RIGHT(BB$1,2),""),VLOOKUP($D233,素材!$1:$1016,COLUMN($F$1),FALSE))),VLOOKUP($C233,武器!$1:$998,COLUMN($O$1),FALSE)*VLOOKUP($D233,素材!$1:$1016,COLUMN($E$1),FALSE)/(LEN(VLOOKUP($D233,素材!$1:$1016,COLUMN($F$1),FALSE)) - LEN(SUBSTITUTE(VLOOKUP($D233,素材!$1:$1016,COLUMN($F$1),FALSE), "・", 0)) + 1), 0)</f>
        <v>0</v>
      </c>
      <c r="BC233">
        <f>IF(ISNUMBER(SEARCH(SUBSTITUTE(BC$1,RIGHT(BC$1,2),""),VLOOKUP($D233,素材!$1:$1016,COLUMN($F$1),FALSE))),VLOOKUP($C233,武器!$1:$998,COLUMN($O$1),FALSE)*VLOOKUP($D233,素材!$1:$1016,COLUMN($E$1),FALSE)/(LEN(VLOOKUP($D233,素材!$1:$1016,COLUMN($F$1),FALSE)) - LEN(SUBSTITUTE(VLOOKUP($D233,素材!$1:$1016,COLUMN($F$1),FALSE), "・", 0)) + 1), 0)</f>
        <v>0</v>
      </c>
      <c r="BD233">
        <f>IF(ISNUMBER(SEARCH(SUBSTITUTE(BD$1,RIGHT(BD$1,2),""),VLOOKUP($D233,素材!$1:$1016,COLUMN($F$1),FALSE))),VLOOKUP($C233,武器!$1:$998,COLUMN($O$1),FALSE)*VLOOKUP($D233,素材!$1:$1016,COLUMN($E$1),FALSE)/(LEN(VLOOKUP($D233,素材!$1:$1016,COLUMN($F$1),FALSE)) - LEN(SUBSTITUTE(VLOOKUP($D233,素材!$1:$1016,COLUMN($F$1),FALSE), "・", 0)) + 1), 0)</f>
        <v>0</v>
      </c>
      <c r="BE233">
        <f>IF(ISNUMBER(SEARCH(SUBSTITUTE(BE$1,RIGHT(BE$1,2),""),VLOOKUP($D233,素材!$1:$1016,COLUMN($F$1),FALSE))),VLOOKUP($C233,武器!$1:$998,COLUMN($O$1),FALSE)*VLOOKUP($D233,素材!$1:$1016,COLUMN($E$1),FALSE)/(LEN(VLOOKUP($D233,素材!$1:$1016,COLUMN($F$1),FALSE)) - LEN(SUBSTITUTE(VLOOKUP($D233,素材!$1:$1016,COLUMN($F$1),FALSE), "・", 0)) + 1), 0)</f>
        <v>0</v>
      </c>
      <c r="CL233">
        <f>SUM(G233:I233)</f>
        <v>24</v>
      </c>
      <c r="CM233" s="22" t="str">
        <f>IF(E233="武器",IF(J233-1&gt;SUM(G233:I233),"盾",IF(MAX(G233:I233)=G233,"切断",IF(MAX(G233:I233)=H233,"貫通",IF(MAX(G233:I233)=I233,"打撃","射撃")))),E233)&amp;".webp"</f>
        <v>切断.webp</v>
      </c>
      <c r="CN233">
        <f>IFERROR(VLOOKUP($C233,武器!$1:$998,COLUMN(V$1),FALSE)*VLOOKUP($D233,素材!$1:$1016,COLUMN(N$1),FALSE)+IF(CI233="",0,VLOOKUP($CI233,装強!$1:$1008,COLUMN($CK$1),FALSE)),"")</f>
        <v>3000</v>
      </c>
      <c r="CO233">
        <f>VLOOKUP(D233,素材!$A:$O,COLUMN(素材!O$1),FALSE)</f>
        <v>0</v>
      </c>
      <c r="CP233" t="str">
        <f>VLOOKUP(C233,武器!$A:$W,COLUMN(武器!W$1),FALSE)</f>
        <v>刀。切断力に優れた武器で、Cr威力が高い</v>
      </c>
      <c r="CR233" t="str">
        <f t="shared" si="29"/>
        <v>e_233</v>
      </c>
      <c r="CS233">
        <f t="shared" si="30"/>
        <v>300000</v>
      </c>
    </row>
    <row r="234" spans="1:97" outlineLevel="1" x14ac:dyDescent="0.4">
      <c r="A234" t="str">
        <f t="shared" si="31"/>
        <v>熱鉄の剣</v>
      </c>
      <c r="B234" t="str">
        <f>IFERROR(VLOOKUP($D234,素材!$1:$1016,COLUMN($B$1),FALSE)&amp;"・"&amp;VLOOKUP($C234,武器!$1:$998,COLUMN(B$1),FALSE),"")</f>
        <v>ヒートスティール・ソード</v>
      </c>
      <c r="C234" s="24" t="s">
        <v>240</v>
      </c>
      <c r="D234" s="24" t="s">
        <v>205</v>
      </c>
      <c r="E234" t="str">
        <f>IFERROR(VLOOKUP(C234,武器!$1:$998,COLUMN(C$1),FALSE),"")</f>
        <v>武器</v>
      </c>
      <c r="F234">
        <f>IFERROR(ROUNDDOWN((VLOOKUP($C234,武器!$1:$998,COLUMN(D$1),FALSE)+IFERROR(VLOOKUP($CI234,装強!$1:$999,COLUMN(F$1),FALSE),0))*VLOOKUP($D234,素材!$1:$1016,COLUMN(D$1),FALSE),0),"")</f>
        <v>100</v>
      </c>
      <c r="G234">
        <f>IFERROR(ROUNDDOWN((VLOOKUP($C234,武器!$1:$998,COLUMN(E$1),FALSE)+IFERROR(VLOOKUP($CI234,装強!$1:$999,COLUMN(G$1),FALSE),0))*VLOOKUP($D234,素材!$1:$1016,COLUMN($E$1),FALSE),0),"")</f>
        <v>12</v>
      </c>
      <c r="H234">
        <f>IFERROR(ROUNDDOWN((VLOOKUP($C234,武器!$1:$998,COLUMN(F$1),FALSE)+IFERROR(VLOOKUP($CI234,装強!$1:$999,COLUMN(H$1),FALSE),0))*VLOOKUP($D234,素材!$1:$1016,COLUMN($E$1),FALSE),0),"")</f>
        <v>9</v>
      </c>
      <c r="I234">
        <f>IFERROR(ROUNDDOWN((VLOOKUP($C234,武器!$1:$998,COLUMN(G$1),FALSE)+IFERROR(VLOOKUP($CI234,装強!$1:$999,COLUMN(I$1),FALSE),0))*VLOOKUP($D234,素材!$1:$1016,COLUMN($E$1),FALSE),0),"")</f>
        <v>3</v>
      </c>
      <c r="J234">
        <f>IFERROR(ROUNDDOWN((VLOOKUP($C234,武器!$1:$998,COLUMN(H$1),FALSE)+IFERROR(VLOOKUP($CI234,装強!$1:$999,COLUMN(J$1),FALSE),0))*VLOOKUP($D234,素材!$1:$1016,COLUMN($E$1),FALSE),0),"")</f>
        <v>19</v>
      </c>
      <c r="K234">
        <f>IFERROR(ROUNDDOWN((VLOOKUP($C234,武器!$1:$998,COLUMN(I$1),FALSE)+IFERROR(VLOOKUP($CI234,装強!$1:$999,COLUMN(K$1),FALSE),0))*VLOOKUP($D234,素材!$1:$1016,COLUMN($E$1),FALSE),0),"")</f>
        <v>0</v>
      </c>
      <c r="L234" t="str">
        <f>IFERROR(VLOOKUP($D234,素材!$1:$1016,COLUMN($F$1),FALSE),"")</f>
        <v>炎</v>
      </c>
      <c r="M234">
        <f>IFERROR(VLOOKUP($C234,武器!$1:$998,COLUMN(AA$1),FALSE)*VLOOKUP($D234,素材!$1:$1016,COLUMN($G$1),FALSE),"")</f>
        <v>40.25</v>
      </c>
      <c r="N234">
        <f>IFERROR(VLOOKUP($C234,武器!$1:$998,COLUMN(I$1),FALSE),"")</f>
        <v>0</v>
      </c>
      <c r="O234" s="23">
        <f>IFERROR((VLOOKUP($C234,武器!$1:$998,COLUMN(K$1),FALSE)+VLOOKUP($D234,素材!$1:$1016,COLUMN(H$1),FALSE))*100+IFERROR(VLOOKUP($CI234,装強!$1:$999,COLUMN(O$1),FALSE),0),"")</f>
        <v>10</v>
      </c>
      <c r="P234" s="23">
        <f>IFERROR((VLOOKUP($C234,武器!$1:$998,COLUMN(L$1),FALSE)+VLOOKUP($D234,素材!$1:$1016,COLUMN(I$1),FALSE))*100+IFERROR(VLOOKUP($CI234,装強!$1:$999,COLUMN(P$1),FALSE),0),"")</f>
        <v>150</v>
      </c>
      <c r="Q234">
        <f>IFERROR(ROUNDUP(VLOOKUP($C234,武器!$1:$998,COLUMN(M$1),FALSE)*(VLOOKUP($D234,素材!$1:$1002,COLUMN(D$1),FALSE)/100),1),"")</f>
        <v>0</v>
      </c>
      <c r="R234">
        <f>IFERROR(ROUNDUP(VLOOKUP($C234,武器!$1:$998,COLUMN(N$1),FALSE)*(VLOOKUP($D234,素材!$1:$1002,COLUMN(D$1),FALSE)/100),1),"")</f>
        <v>0</v>
      </c>
      <c r="S234">
        <f>IFERROR(VLOOKUP($C234,武器!$1:$998,COLUMN(P$1),FALSE),"")</f>
        <v>0</v>
      </c>
      <c r="T234">
        <f>IFERROR(VLOOKUP($C234,武器!$1:$998,COLUMN(Q$1),FALSE),"")</f>
        <v>0</v>
      </c>
      <c r="U234">
        <f>IFERROR(VLOOKUP($C234,武器!$1:$998,COLUMN(R$1),FALSE),"")</f>
        <v>0</v>
      </c>
      <c r="V234">
        <f>IFERROR(VLOOKUP($C234,武器!$1:$998,COLUMN(Q$1),FALSE),"")</f>
        <v>0</v>
      </c>
      <c r="W234" t="str">
        <f>IFERROR(VLOOKUP($C234,武器!$1:$998,COLUMN(T$1),FALSE),"")</f>
        <v>A</v>
      </c>
      <c r="Y234" t="str">
        <f>IFERROR(VLOOKUP($C234,武器!$1:$998,COLUMN(U$1),FALSE),"")</f>
        <v>片手適正Ⅰ</v>
      </c>
      <c r="Z234">
        <f>IFERROR(ROUNDUP(VLOOKUP($C234,武器!$1:$998,COLUMN(O$1),FALSE)*VLOOKUP($D234,素材!$1:$1016,COLUMN(E$1),FALSE),1),"")</f>
        <v>0</v>
      </c>
      <c r="AA234">
        <f>IF(ISNUMBER(SEARCH(SUBSTITUTE(AA$1,RIGHT(AA$1,2),""),VLOOKUP($D234,素材!$1:$1016,COLUMN($F$1),FALSE))),VLOOKUP($C234,武器!$1:$998,COLUMN($O$1),FALSE)*VLOOKUP($D234,素材!$1:$1016,COLUMN($E$1),FALSE)/(LEN(VLOOKUP($D234,素材!$1:$1016,COLUMN($F$1),FALSE)) - LEN(SUBSTITUTE(VLOOKUP($D234,素材!$1:$1016,COLUMN($F$1),FALSE), "・", 0)) + 1), 0)</f>
        <v>0</v>
      </c>
      <c r="AB234">
        <f>IF(ISNUMBER(SEARCH(SUBSTITUTE(AB$1,RIGHT(AB$1,2),""),VLOOKUP($D234,素材!$1:$1016,COLUMN($F$1),FALSE))),VLOOKUP($C234,武器!$1:$998,COLUMN($O$1),FALSE)*VLOOKUP($D234,素材!$1:$1016,COLUMN($E$1),FALSE)/(LEN(VLOOKUP($D234,素材!$1:$1016,COLUMN($F$1),FALSE)) - LEN(SUBSTITUTE(VLOOKUP($D234,素材!$1:$1016,COLUMN($F$1),FALSE), "・", 0)) + 1), 0)</f>
        <v>0</v>
      </c>
      <c r="AC234">
        <f>IF(ISNUMBER(SEARCH(SUBSTITUTE(AC$1,RIGHT(AC$1,2),""),VLOOKUP($D234,素材!$1:$1016,COLUMN($F$1),FALSE))),VLOOKUP($C234,武器!$1:$998,COLUMN($O$1),FALSE)*VLOOKUP($D234,素材!$1:$1016,COLUMN($E$1),FALSE)/(LEN(VLOOKUP($D234,素材!$1:$1016,COLUMN($F$1),FALSE)) - LEN(SUBSTITUTE(VLOOKUP($D234,素材!$1:$1016,COLUMN($F$1),FALSE), "・", 0)) + 1), 0)</f>
        <v>0</v>
      </c>
      <c r="AD234">
        <f>IF(ISNUMBER(SEARCH(SUBSTITUTE(AD$1,RIGHT(AD$1,2),""),VLOOKUP($D234,素材!$1:$1016,COLUMN($F$1),FALSE))),VLOOKUP($C234,武器!$1:$998,COLUMN($O$1),FALSE)*VLOOKUP($D234,素材!$1:$1016,COLUMN($E$1),FALSE)/(LEN(VLOOKUP($D234,素材!$1:$1016,COLUMN($F$1),FALSE)) - LEN(SUBSTITUTE(VLOOKUP($D234,素材!$1:$1016,COLUMN($F$1),FALSE), "・", 0)) + 1), 0)</f>
        <v>0</v>
      </c>
      <c r="AE234">
        <f>IF(ISNUMBER(SEARCH(SUBSTITUTE(AE$1,RIGHT(AE$1,2),""),VLOOKUP($D234,素材!$1:$1016,COLUMN($F$1),FALSE))),VLOOKUP($C234,武器!$1:$998,COLUMN($O$1),FALSE)*VLOOKUP($D234,素材!$1:$1016,COLUMN($E$1),FALSE)/(LEN(VLOOKUP($D234,素材!$1:$1016,COLUMN($F$1),FALSE)) - LEN(SUBSTITUTE(VLOOKUP($D234,素材!$1:$1016,COLUMN($F$1),FALSE), "・", 0)) + 1), 0)</f>
        <v>0</v>
      </c>
      <c r="AF234">
        <f>IF(ISNUMBER(SEARCH(SUBSTITUTE(AF$1,RIGHT(AF$1,2),""),VLOOKUP($D234,素材!$1:$1016,COLUMN($F$1),FALSE))),VLOOKUP($C234,武器!$1:$998,COLUMN($O$1),FALSE)*VLOOKUP($D234,素材!$1:$1016,COLUMN($E$1),FALSE)/(LEN(VLOOKUP($D234,素材!$1:$1016,COLUMN($F$1),FALSE)) - LEN(SUBSTITUTE(VLOOKUP($D234,素材!$1:$1016,COLUMN($F$1),FALSE), "・", 0)) + 1), 0)</f>
        <v>0</v>
      </c>
      <c r="AG234">
        <f>IF(ISNUMBER(SEARCH(SUBSTITUTE(AG$1,RIGHT(AG$1,2),""),VLOOKUP($D234,素材!$1:$1016,COLUMN($F$1),FALSE))),VLOOKUP($C234,武器!$1:$998,COLUMN($O$1),FALSE)*VLOOKUP($D234,素材!$1:$1016,COLUMN($E$1),FALSE)/(LEN(VLOOKUP($D234,素材!$1:$1016,COLUMN($F$1),FALSE)) - LEN(SUBSTITUTE(VLOOKUP($D234,素材!$1:$1016,COLUMN($F$1),FALSE), "・", 0)) + 1), 0)</f>
        <v>0</v>
      </c>
      <c r="AH234">
        <f>IF(ISNUMBER(SEARCH(SUBSTITUTE(AH$1,RIGHT(AH$1,2),""),VLOOKUP($D234,素材!$1:$1016,COLUMN($F$1),FALSE))),VLOOKUP($C234,武器!$1:$998,COLUMN($O$1),FALSE)*VLOOKUP($D234,素材!$1:$1016,COLUMN($E$1),FALSE)/(LEN(VLOOKUP($D234,素材!$1:$1016,COLUMN($F$1),FALSE)) - LEN(SUBSTITUTE(VLOOKUP($D234,素材!$1:$1016,COLUMN($F$1),FALSE), "・", 0)) + 1), 0)</f>
        <v>0</v>
      </c>
      <c r="AI234">
        <f>IF(ISNUMBER(SEARCH(SUBSTITUTE(AI$1,RIGHT(AI$1,2),""),VLOOKUP($D234,素材!$1:$1016,COLUMN($F$1),FALSE))),VLOOKUP($C234,武器!$1:$998,COLUMN($O$1),FALSE)*VLOOKUP($D234,素材!$1:$1016,COLUMN($E$1),FALSE)/(LEN(VLOOKUP($D234,素材!$1:$1016,COLUMN($F$1),FALSE)) - LEN(SUBSTITUTE(VLOOKUP($D234,素材!$1:$1016,COLUMN($F$1),FALSE), "・", 0)) + 1), 0)</f>
        <v>0</v>
      </c>
      <c r="AJ234">
        <f>IF(ISNUMBER(SEARCH(SUBSTITUTE(AJ$1,RIGHT(AJ$1,2),""),VLOOKUP($D234,素材!$1:$1016,COLUMN($F$1),FALSE))),VLOOKUP($C234,武器!$1:$998,COLUMN($O$1),FALSE)*VLOOKUP($D234,素材!$1:$1016,COLUMN($E$1),FALSE)/(LEN(VLOOKUP($D234,素材!$1:$1016,COLUMN($F$1),FALSE)) - LEN(SUBSTITUTE(VLOOKUP($D234,素材!$1:$1016,COLUMN($F$1),FALSE), "・", 0)) + 1), 0)</f>
        <v>0</v>
      </c>
      <c r="AK234">
        <f>IF(ISNUMBER(SEARCH(SUBSTITUTE(AK$1,RIGHT(AK$1,2),""),VLOOKUP($D234,素材!$1:$1016,COLUMN($F$1),FALSE))),VLOOKUP($C234,武器!$1:$998,COLUMN($O$1),FALSE)*VLOOKUP($D234,素材!$1:$1016,COLUMN($E$1),FALSE)/(LEN(VLOOKUP($D234,素材!$1:$1016,COLUMN($F$1),FALSE)) - LEN(SUBSTITUTE(VLOOKUP($D234,素材!$1:$1016,COLUMN($F$1),FALSE), "・", 0)) + 1), 0)</f>
        <v>0</v>
      </c>
      <c r="AL234">
        <f>IF(ISNUMBER(SEARCH(SUBSTITUTE(AL$1,RIGHT(AL$1,2),""),VLOOKUP($D234,素材!$1:$1016,COLUMN($F$1),FALSE))),VLOOKUP($C234,武器!$1:$998,COLUMN($O$1),FALSE)*VLOOKUP($D234,素材!$1:$1016,COLUMN($E$1),FALSE)/(LEN(VLOOKUP($D234,素材!$1:$1016,COLUMN($F$1),FALSE)) - LEN(SUBSTITUTE(VLOOKUP($D234,素材!$1:$1016,COLUMN($F$1),FALSE), "・", 0)) + 1), 0)</f>
        <v>0</v>
      </c>
      <c r="AM234">
        <f>IF(ISNUMBER(SEARCH(SUBSTITUTE(AM$1,RIGHT(AM$1,2),""),VLOOKUP($D234,素材!$1:$1016,COLUMN($F$1),FALSE))),VLOOKUP($C234,武器!$1:$998,COLUMN($O$1),FALSE)*VLOOKUP($D234,素材!$1:$1016,COLUMN($E$1),FALSE)/(LEN(VLOOKUP($D234,素材!$1:$1016,COLUMN($F$1),FALSE)) - LEN(SUBSTITUTE(VLOOKUP($D234,素材!$1:$1016,COLUMN($F$1),FALSE), "・", 0)) + 1), 0)</f>
        <v>0</v>
      </c>
      <c r="AN234">
        <f>IF(ISNUMBER(SEARCH(SUBSTITUTE(AN$1,RIGHT(AN$1,2),""),VLOOKUP($D234,素材!$1:$1016,COLUMN($F$1),FALSE))),VLOOKUP($C234,武器!$1:$998,COLUMN($O$1),FALSE)*VLOOKUP($D234,素材!$1:$1016,COLUMN($E$1),FALSE)/(LEN(VLOOKUP($D234,素材!$1:$1016,COLUMN($F$1),FALSE)) - LEN(SUBSTITUTE(VLOOKUP($D234,素材!$1:$1016,COLUMN($F$1),FALSE), "・", 0)) + 1), 0)</f>
        <v>0</v>
      </c>
      <c r="AO234">
        <f>IF(ISNUMBER(SEARCH(SUBSTITUTE(AO$1,RIGHT(AO$1,2),""),VLOOKUP($D234,素材!$1:$1016,COLUMN($F$1),FALSE))),VLOOKUP($C234,武器!$1:$998,COLUMN($O$1),FALSE)*VLOOKUP($D234,素材!$1:$1016,COLUMN($E$1),FALSE)/(LEN(VLOOKUP($D234,素材!$1:$1016,COLUMN($F$1),FALSE)) - LEN(SUBSTITUTE(VLOOKUP($D234,素材!$1:$1016,COLUMN($F$1),FALSE), "・", 0)) + 1), 0)</f>
        <v>0</v>
      </c>
      <c r="AP234">
        <f>IF(ISNUMBER(SEARCH(SUBSTITUTE(AP$1,RIGHT(AP$1,2),""),VLOOKUP($D234,素材!$1:$1016,COLUMN($F$1),FALSE))),VLOOKUP($C234,武器!$1:$998,COLUMN($O$1),FALSE)*VLOOKUP($D234,素材!$1:$1016,COLUMN($E$1),FALSE)/(LEN(VLOOKUP($D234,素材!$1:$1016,COLUMN($F$1),FALSE)) - LEN(SUBSTITUTE(VLOOKUP($D234,素材!$1:$1016,COLUMN($F$1),FALSE), "・", 0)) + 1), 0)</f>
        <v>0</v>
      </c>
      <c r="AQ234">
        <f>IF(ISNUMBER(SEARCH(SUBSTITUTE(AQ$1,RIGHT(AQ$1,2),""),VLOOKUP($D234,素材!$1:$1016,COLUMN($F$1),FALSE))),VLOOKUP($C234,武器!$1:$998,COLUMN($O$1),FALSE)*VLOOKUP($D234,素材!$1:$1016,COLUMN($E$1),FALSE)/(LEN(VLOOKUP($D234,素材!$1:$1016,COLUMN($F$1),FALSE)) - LEN(SUBSTITUTE(VLOOKUP($D234,素材!$1:$1016,COLUMN($F$1),FALSE), "・", 0)) + 1), 0)</f>
        <v>0</v>
      </c>
      <c r="AR234">
        <f>IF(ISNUMBER(SEARCH(SUBSTITUTE(AR$1,RIGHT(AR$1,2),""),VLOOKUP($D234,素材!$1:$1016,COLUMN($F$1),FALSE))),VLOOKUP($C234,武器!$1:$998,COLUMN($O$1),FALSE)*VLOOKUP($D234,素材!$1:$1016,COLUMN($E$1),FALSE)/(LEN(VLOOKUP($D234,素材!$1:$1016,COLUMN($F$1),FALSE)) - LEN(SUBSTITUTE(VLOOKUP($D234,素材!$1:$1016,COLUMN($F$1),FALSE), "・", 0)) + 1), 0)</f>
        <v>0</v>
      </c>
      <c r="AS234">
        <f>IF(ISNUMBER(SEARCH(SUBSTITUTE(AS$1,RIGHT(AS$1,2),""),VLOOKUP($D234,素材!$1:$1016,COLUMN($F$1),FALSE))),VLOOKUP($C234,武器!$1:$998,COLUMN($O$1),FALSE)*VLOOKUP($D234,素材!$1:$1016,COLUMN($E$1),FALSE)/(LEN(VLOOKUP($D234,素材!$1:$1016,COLUMN($F$1),FALSE)) - LEN(SUBSTITUTE(VLOOKUP($D234,素材!$1:$1016,COLUMN($F$1),FALSE), "・", 0)) + 1), 0)</f>
        <v>0</v>
      </c>
      <c r="AT234">
        <f>IF(ISNUMBER(SEARCH(SUBSTITUTE(AT$1,RIGHT(AT$1,2),""),VLOOKUP($D234,素材!$1:$1016,COLUMN($F$1),FALSE))),VLOOKUP($C234,武器!$1:$998,COLUMN($O$1),FALSE)*VLOOKUP($D234,素材!$1:$1016,COLUMN($E$1),FALSE)/(LEN(VLOOKUP($D234,素材!$1:$1016,COLUMN($F$1),FALSE)) - LEN(SUBSTITUTE(VLOOKUP($D234,素材!$1:$1016,COLUMN($F$1),FALSE), "・", 0)) + 1), 0)</f>
        <v>0</v>
      </c>
      <c r="AU234">
        <f>IF(ISNUMBER(SEARCH(SUBSTITUTE(AU$1,RIGHT(AU$1,2),""),VLOOKUP($D234,素材!$1:$1016,COLUMN($F$1),FALSE))),VLOOKUP($C234,武器!$1:$998,COLUMN($O$1),FALSE)*VLOOKUP($D234,素材!$1:$1016,COLUMN($E$1),FALSE)/(LEN(VLOOKUP($D234,素材!$1:$1016,COLUMN($F$1),FALSE)) - LEN(SUBSTITUTE(VLOOKUP($D234,素材!$1:$1016,COLUMN($F$1),FALSE), "・", 0)) + 1), 0)</f>
        <v>0</v>
      </c>
      <c r="AV234">
        <f>IF(ISNUMBER(SEARCH(SUBSTITUTE(AV$1,RIGHT(AV$1,2),""),VLOOKUP($D234,素材!$1:$1016,COLUMN($F$1),FALSE))),VLOOKUP($C234,武器!$1:$998,COLUMN($O$1),FALSE)*VLOOKUP($D234,素材!$1:$1016,COLUMN($E$1),FALSE)/(LEN(VLOOKUP($D234,素材!$1:$1016,COLUMN($F$1),FALSE)) - LEN(SUBSTITUTE(VLOOKUP($D234,素材!$1:$1016,COLUMN($F$1),FALSE), "・", 0)) + 1), 0)</f>
        <v>0</v>
      </c>
      <c r="AW234">
        <f>IF(ISNUMBER(SEARCH(SUBSTITUTE(AW$1,RIGHT(AW$1,2),""),VLOOKUP($D234,素材!$1:$1016,COLUMN($F$1),FALSE))),VLOOKUP($C234,武器!$1:$998,COLUMN($O$1),FALSE)*VLOOKUP($D234,素材!$1:$1016,COLUMN($E$1),FALSE)/(LEN(VLOOKUP($D234,素材!$1:$1016,COLUMN($F$1),FALSE)) - LEN(SUBSTITUTE(VLOOKUP($D234,素材!$1:$1016,COLUMN($F$1),FALSE), "・", 0)) + 1), 0)</f>
        <v>0</v>
      </c>
      <c r="AX234">
        <f>IF(ISNUMBER(SEARCH(SUBSTITUTE(AX$1,RIGHT(AX$1,2),""),VLOOKUP($D234,素材!$1:$1016,COLUMN($F$1),FALSE))),VLOOKUP($C234,武器!$1:$998,COLUMN($O$1),FALSE)*VLOOKUP($D234,素材!$1:$1016,COLUMN($E$1),FALSE)/(LEN(VLOOKUP($D234,素材!$1:$1016,COLUMN($F$1),FALSE)) - LEN(SUBSTITUTE(VLOOKUP($D234,素材!$1:$1016,COLUMN($F$1),FALSE), "・", 0)) + 1), 0)</f>
        <v>0</v>
      </c>
      <c r="AY234">
        <f>IF(ISNUMBER(SEARCH(SUBSTITUTE(AY$1,RIGHT(AY$1,2),""),VLOOKUP($D234,素材!$1:$1016,COLUMN($F$1),FALSE))),VLOOKUP($C234,武器!$1:$998,COLUMN($O$1),FALSE)*VLOOKUP($D234,素材!$1:$1016,COLUMN($E$1),FALSE)/(LEN(VLOOKUP($D234,素材!$1:$1016,COLUMN($F$1),FALSE)) - LEN(SUBSTITUTE(VLOOKUP($D234,素材!$1:$1016,COLUMN($F$1),FALSE), "・", 0)) + 1), 0)</f>
        <v>0</v>
      </c>
      <c r="AZ234">
        <f>IF(ISNUMBER(SEARCH(SUBSTITUTE(AZ$1,RIGHT(AZ$1,2),""),VLOOKUP($D234,素材!$1:$1016,COLUMN($F$1),FALSE))),VLOOKUP($C234,武器!$1:$998,COLUMN($O$1),FALSE)*VLOOKUP($D234,素材!$1:$1016,COLUMN($E$1),FALSE)/(LEN(VLOOKUP($D234,素材!$1:$1016,COLUMN($F$1),FALSE)) - LEN(SUBSTITUTE(VLOOKUP($D234,素材!$1:$1016,COLUMN($F$1),FALSE), "・", 0)) + 1), 0)</f>
        <v>0</v>
      </c>
      <c r="BA234">
        <f>IF(ISNUMBER(SEARCH(SUBSTITUTE(BA$1,RIGHT(BA$1,2),""),VLOOKUP($D234,素材!$1:$1016,COLUMN($F$1),FALSE))),VLOOKUP($C234,武器!$1:$998,COLUMN($O$1),FALSE)*VLOOKUP($D234,素材!$1:$1016,COLUMN($E$1),FALSE)/(LEN(VLOOKUP($D234,素材!$1:$1016,COLUMN($F$1),FALSE)) - LEN(SUBSTITUTE(VLOOKUP($D234,素材!$1:$1016,COLUMN($F$1),FALSE), "・", 0)) + 1), 0)</f>
        <v>0</v>
      </c>
      <c r="BB234">
        <f>IF(ISNUMBER(SEARCH(SUBSTITUTE(BB$1,RIGHT(BB$1,2),""),VLOOKUP($D234,素材!$1:$1016,COLUMN($F$1),FALSE))),VLOOKUP($C234,武器!$1:$998,COLUMN($O$1),FALSE)*VLOOKUP($D234,素材!$1:$1016,COLUMN($E$1),FALSE)/(LEN(VLOOKUP($D234,素材!$1:$1016,COLUMN($F$1),FALSE)) - LEN(SUBSTITUTE(VLOOKUP($D234,素材!$1:$1016,COLUMN($F$1),FALSE), "・", 0)) + 1), 0)</f>
        <v>0</v>
      </c>
      <c r="BC234">
        <f>IF(ISNUMBER(SEARCH(SUBSTITUTE(BC$1,RIGHT(BC$1,2),""),VLOOKUP($D234,素材!$1:$1016,COLUMN($F$1),FALSE))),VLOOKUP($C234,武器!$1:$998,COLUMN($O$1),FALSE)*VLOOKUP($D234,素材!$1:$1016,COLUMN($E$1),FALSE)/(LEN(VLOOKUP($D234,素材!$1:$1016,COLUMN($F$1),FALSE)) - LEN(SUBSTITUTE(VLOOKUP($D234,素材!$1:$1016,COLUMN($F$1),FALSE), "・", 0)) + 1), 0)</f>
        <v>0</v>
      </c>
      <c r="BD234">
        <f>IF(ISNUMBER(SEARCH(SUBSTITUTE(BD$1,RIGHT(BD$1,2),""),VLOOKUP($D234,素材!$1:$1016,COLUMN($F$1),FALSE))),VLOOKUP($C234,武器!$1:$998,COLUMN($O$1),FALSE)*VLOOKUP($D234,素材!$1:$1016,COLUMN($E$1),FALSE)/(LEN(VLOOKUP($D234,素材!$1:$1016,COLUMN($F$1),FALSE)) - LEN(SUBSTITUTE(VLOOKUP($D234,素材!$1:$1016,COLUMN($F$1),FALSE), "・", 0)) + 1), 0)</f>
        <v>0</v>
      </c>
      <c r="BE234">
        <f>IF(ISNUMBER(SEARCH(SUBSTITUTE(BE$1,RIGHT(BE$1,2),""),VLOOKUP($D234,素材!$1:$1016,COLUMN($F$1),FALSE))),VLOOKUP($C234,武器!$1:$998,COLUMN($O$1),FALSE)*VLOOKUP($D234,素材!$1:$1016,COLUMN($E$1),FALSE)/(LEN(VLOOKUP($D234,素材!$1:$1016,COLUMN($F$1),FALSE)) - LEN(SUBSTITUTE(VLOOKUP($D234,素材!$1:$1016,COLUMN($F$1),FALSE), "・", 0)) + 1), 0)</f>
        <v>0</v>
      </c>
      <c r="CL234">
        <f>SUM(G234:I234)</f>
        <v>24</v>
      </c>
      <c r="CM234" s="22" t="str">
        <f>IF(E234="武器",IF(J234-1&gt;SUM(G234:I234),"盾",IF(MAX(G234:I234)=G234,"切断",IF(MAX(G234:I234)=H234,"貫通",IF(MAX(G234:I234)=I234,"打撃","射撃")))),E234)&amp;".webp"</f>
        <v>切断.webp</v>
      </c>
      <c r="CN234">
        <f>IFERROR(VLOOKUP($C234,武器!$1:$998,COLUMN(V$1),FALSE)*VLOOKUP($D234,素材!$1:$1016,COLUMN(N$1),FALSE)+IF(CI234="",0,VLOOKUP($CI234,装強!$1:$1008,COLUMN($CK$1),FALSE)),"")</f>
        <v>2250</v>
      </c>
      <c r="CO234">
        <f>VLOOKUP(D234,素材!$A:$O,COLUMN(素材!O$1),FALSE)</f>
        <v>0</v>
      </c>
      <c r="CP234" t="str">
        <f>VLOOKUP(C234,武器!$A:$W,COLUMN(武器!W$1),FALSE)</f>
        <v>剣。短い剣で片手で扱いやすく、初心者向けの武器。</v>
      </c>
      <c r="CR234" t="str">
        <f t="shared" si="29"/>
        <v>e_234</v>
      </c>
      <c r="CS234">
        <f t="shared" si="30"/>
        <v>225000</v>
      </c>
    </row>
    <row r="235" spans="1:97" outlineLevel="1" x14ac:dyDescent="0.4">
      <c r="A235" t="str">
        <f t="shared" si="31"/>
        <v>熱鉄の広剣</v>
      </c>
      <c r="B235" t="str">
        <f>IFERROR(VLOOKUP($D235,素材!$1:$1016,COLUMN($B$1),FALSE)&amp;"・"&amp;VLOOKUP($C235,武器!$1:$998,COLUMN(B$1),FALSE),"")</f>
        <v>ヒートスティール・ブロードソード</v>
      </c>
      <c r="C235" s="24" t="s">
        <v>239</v>
      </c>
      <c r="D235" s="24" t="s">
        <v>205</v>
      </c>
      <c r="E235" t="str">
        <f>IFERROR(VLOOKUP(C235,武器!$1:$998,COLUMN(C$1),FALSE),"")</f>
        <v>武器</v>
      </c>
      <c r="F235">
        <f>IFERROR(ROUNDDOWN((VLOOKUP($C235,武器!$1:$998,COLUMN(D$1),FALSE)+IFERROR(VLOOKUP($CI235,装強!$1:$999,COLUMN(F$1),FALSE),0))*VLOOKUP($D235,素材!$1:$1016,COLUMN(D$1),FALSE),0),"")</f>
        <v>110</v>
      </c>
      <c r="G235">
        <f>IFERROR(ROUNDDOWN((VLOOKUP($C235,武器!$1:$998,COLUMN(E$1),FALSE)+IFERROR(VLOOKUP($CI235,装強!$1:$999,COLUMN(G$1),FALSE),0))*VLOOKUP($D235,素材!$1:$1016,COLUMN($E$1),FALSE),0),"")</f>
        <v>12</v>
      </c>
      <c r="H235">
        <f>IFERROR(ROUNDDOWN((VLOOKUP($C235,武器!$1:$998,COLUMN(F$1),FALSE)+IFERROR(VLOOKUP($CI235,装強!$1:$999,COLUMN(H$1),FALSE),0))*VLOOKUP($D235,素材!$1:$1016,COLUMN($E$1),FALSE),0),"")</f>
        <v>8</v>
      </c>
      <c r="I235">
        <f>IFERROR(ROUNDDOWN((VLOOKUP($C235,武器!$1:$998,COLUMN(G$1),FALSE)+IFERROR(VLOOKUP($CI235,装強!$1:$999,COLUMN(I$1),FALSE),0))*VLOOKUP($D235,素材!$1:$1016,COLUMN($E$1),FALSE),0),"")</f>
        <v>3</v>
      </c>
      <c r="J235">
        <f>IFERROR(ROUNDDOWN((VLOOKUP($C235,武器!$1:$998,COLUMN(H$1),FALSE)+IFERROR(VLOOKUP($CI235,装強!$1:$999,COLUMN(J$1),FALSE),0))*VLOOKUP($D235,素材!$1:$1016,COLUMN($E$1),FALSE),0),"")</f>
        <v>23</v>
      </c>
      <c r="K235">
        <f>IFERROR(ROUNDDOWN((VLOOKUP($C235,武器!$1:$998,COLUMN(I$1),FALSE)+IFERROR(VLOOKUP($CI235,装強!$1:$999,COLUMN(K$1),FALSE),0))*VLOOKUP($D235,素材!$1:$1016,COLUMN($E$1),FALSE),0),"")</f>
        <v>0</v>
      </c>
      <c r="L235" t="str">
        <f>IFERROR(VLOOKUP($D235,素材!$1:$1016,COLUMN($F$1),FALSE),"")</f>
        <v>炎</v>
      </c>
      <c r="M235">
        <f>IFERROR(VLOOKUP($C235,武器!$1:$998,COLUMN(AA$1),FALSE)*VLOOKUP($D235,素材!$1:$1016,COLUMN($G$1),FALSE),"")</f>
        <v>40.25</v>
      </c>
      <c r="N235">
        <f>IFERROR(VLOOKUP($C235,武器!$1:$998,COLUMN(I$1),FALSE),"")</f>
        <v>0</v>
      </c>
      <c r="O235" s="23">
        <f>IFERROR((VLOOKUP($C235,武器!$1:$998,COLUMN(K$1),FALSE)+VLOOKUP($D235,素材!$1:$1016,COLUMN(H$1),FALSE))*100+IFERROR(VLOOKUP($CI235,装強!$1:$999,COLUMN(O$1),FALSE),0),"")</f>
        <v>10</v>
      </c>
      <c r="P235" s="23">
        <f>IFERROR((VLOOKUP($C235,武器!$1:$998,COLUMN(L$1),FALSE)+VLOOKUP($D235,素材!$1:$1016,COLUMN(I$1),FALSE))*100+IFERROR(VLOOKUP($CI235,装強!$1:$999,COLUMN(P$1),FALSE),0),"")</f>
        <v>150</v>
      </c>
      <c r="Q235">
        <f>IFERROR(ROUNDUP(VLOOKUP($C235,武器!$1:$998,COLUMN(M$1),FALSE)*(VLOOKUP($D235,素材!$1:$1002,COLUMN(D$1),FALSE)/100),1),"")</f>
        <v>-2.5</v>
      </c>
      <c r="R235">
        <f>IFERROR(ROUNDUP(VLOOKUP($C235,武器!$1:$998,COLUMN(N$1),FALSE)*(VLOOKUP($D235,素材!$1:$1002,COLUMN(D$1),FALSE)/100),1),"")</f>
        <v>-2.5</v>
      </c>
      <c r="S235">
        <f>IFERROR(VLOOKUP($C235,武器!$1:$998,COLUMN(P$1),FALSE),"")</f>
        <v>0</v>
      </c>
      <c r="T235">
        <f>IFERROR(VLOOKUP($C235,武器!$1:$998,COLUMN(Q$1),FALSE),"")</f>
        <v>0</v>
      </c>
      <c r="U235">
        <f>IFERROR(VLOOKUP($C235,武器!$1:$998,COLUMN(R$1),FALSE),"")</f>
        <v>0</v>
      </c>
      <c r="V235">
        <f>IFERROR(VLOOKUP($C235,武器!$1:$998,COLUMN(Q$1),FALSE),"")</f>
        <v>0</v>
      </c>
      <c r="W235" t="str">
        <f>IFERROR(VLOOKUP($C235,武器!$1:$998,COLUMN(T$1),FALSE),"")</f>
        <v>A</v>
      </c>
      <c r="Y235">
        <f>IFERROR(VLOOKUP($C235,武器!$1:$998,COLUMN(U$1),FALSE),"")</f>
        <v>0</v>
      </c>
      <c r="Z235">
        <f>IFERROR(ROUNDUP(VLOOKUP($C235,武器!$1:$998,COLUMN(O$1),FALSE)*VLOOKUP($D235,素材!$1:$1016,COLUMN(E$1),FALSE),1),"")</f>
        <v>0</v>
      </c>
      <c r="AA235">
        <f>IF(ISNUMBER(SEARCH(SUBSTITUTE(AA$1,RIGHT(AA$1,2),""),VLOOKUP($D235,素材!$1:$1016,COLUMN($F$1),FALSE))),VLOOKUP($C235,武器!$1:$998,COLUMN($O$1),FALSE)*VLOOKUP($D235,素材!$1:$1016,COLUMN($E$1),FALSE)/(LEN(VLOOKUP($D235,素材!$1:$1016,COLUMN($F$1),FALSE)) - LEN(SUBSTITUTE(VLOOKUP($D235,素材!$1:$1016,COLUMN($F$1),FALSE), "・", 0)) + 1), 0)</f>
        <v>0</v>
      </c>
      <c r="AB235">
        <f>IF(ISNUMBER(SEARCH(SUBSTITUTE(AB$1,RIGHT(AB$1,2),""),VLOOKUP($D235,素材!$1:$1016,COLUMN($F$1),FALSE))),VLOOKUP($C235,武器!$1:$998,COLUMN($O$1),FALSE)*VLOOKUP($D235,素材!$1:$1016,COLUMN($E$1),FALSE)/(LEN(VLOOKUP($D235,素材!$1:$1016,COLUMN($F$1),FALSE)) - LEN(SUBSTITUTE(VLOOKUP($D235,素材!$1:$1016,COLUMN($F$1),FALSE), "・", 0)) + 1), 0)</f>
        <v>0</v>
      </c>
      <c r="AC235">
        <f>IF(ISNUMBER(SEARCH(SUBSTITUTE(AC$1,RIGHT(AC$1,2),""),VLOOKUP($D235,素材!$1:$1016,COLUMN($F$1),FALSE))),VLOOKUP($C235,武器!$1:$998,COLUMN($O$1),FALSE)*VLOOKUP($D235,素材!$1:$1016,COLUMN($E$1),FALSE)/(LEN(VLOOKUP($D235,素材!$1:$1016,COLUMN($F$1),FALSE)) - LEN(SUBSTITUTE(VLOOKUP($D235,素材!$1:$1016,COLUMN($F$1),FALSE), "・", 0)) + 1), 0)</f>
        <v>0</v>
      </c>
      <c r="AD235">
        <f>IF(ISNUMBER(SEARCH(SUBSTITUTE(AD$1,RIGHT(AD$1,2),""),VLOOKUP($D235,素材!$1:$1016,COLUMN($F$1),FALSE))),VLOOKUP($C235,武器!$1:$998,COLUMN($O$1),FALSE)*VLOOKUP($D235,素材!$1:$1016,COLUMN($E$1),FALSE)/(LEN(VLOOKUP($D235,素材!$1:$1016,COLUMN($F$1),FALSE)) - LEN(SUBSTITUTE(VLOOKUP($D235,素材!$1:$1016,COLUMN($F$1),FALSE), "・", 0)) + 1), 0)</f>
        <v>0</v>
      </c>
      <c r="AE235">
        <f>IF(ISNUMBER(SEARCH(SUBSTITUTE(AE$1,RIGHT(AE$1,2),""),VLOOKUP($D235,素材!$1:$1016,COLUMN($F$1),FALSE))),VLOOKUP($C235,武器!$1:$998,COLUMN($O$1),FALSE)*VLOOKUP($D235,素材!$1:$1016,COLUMN($E$1),FALSE)/(LEN(VLOOKUP($D235,素材!$1:$1016,COLUMN($F$1),FALSE)) - LEN(SUBSTITUTE(VLOOKUP($D235,素材!$1:$1016,COLUMN($F$1),FALSE), "・", 0)) + 1), 0)</f>
        <v>0</v>
      </c>
      <c r="AF235">
        <f>IF(ISNUMBER(SEARCH(SUBSTITUTE(AF$1,RIGHT(AF$1,2),""),VLOOKUP($D235,素材!$1:$1016,COLUMN($F$1),FALSE))),VLOOKUP($C235,武器!$1:$998,COLUMN($O$1),FALSE)*VLOOKUP($D235,素材!$1:$1016,COLUMN($E$1),FALSE)/(LEN(VLOOKUP($D235,素材!$1:$1016,COLUMN($F$1),FALSE)) - LEN(SUBSTITUTE(VLOOKUP($D235,素材!$1:$1016,COLUMN($F$1),FALSE), "・", 0)) + 1), 0)</f>
        <v>0</v>
      </c>
      <c r="AG235">
        <f>IF(ISNUMBER(SEARCH(SUBSTITUTE(AG$1,RIGHT(AG$1,2),""),VLOOKUP($D235,素材!$1:$1016,COLUMN($F$1),FALSE))),VLOOKUP($C235,武器!$1:$998,COLUMN($O$1),FALSE)*VLOOKUP($D235,素材!$1:$1016,COLUMN($E$1),FALSE)/(LEN(VLOOKUP($D235,素材!$1:$1016,COLUMN($F$1),FALSE)) - LEN(SUBSTITUTE(VLOOKUP($D235,素材!$1:$1016,COLUMN($F$1),FALSE), "・", 0)) + 1), 0)</f>
        <v>0</v>
      </c>
      <c r="AH235">
        <f>IF(ISNUMBER(SEARCH(SUBSTITUTE(AH$1,RIGHT(AH$1,2),""),VLOOKUP($D235,素材!$1:$1016,COLUMN($F$1),FALSE))),VLOOKUP($C235,武器!$1:$998,COLUMN($O$1),FALSE)*VLOOKUP($D235,素材!$1:$1016,COLUMN($E$1),FALSE)/(LEN(VLOOKUP($D235,素材!$1:$1016,COLUMN($F$1),FALSE)) - LEN(SUBSTITUTE(VLOOKUP($D235,素材!$1:$1016,COLUMN($F$1),FALSE), "・", 0)) + 1), 0)</f>
        <v>0</v>
      </c>
      <c r="AI235">
        <f>IF(ISNUMBER(SEARCH(SUBSTITUTE(AI$1,RIGHT(AI$1,2),""),VLOOKUP($D235,素材!$1:$1016,COLUMN($F$1),FALSE))),VLOOKUP($C235,武器!$1:$998,COLUMN($O$1),FALSE)*VLOOKUP($D235,素材!$1:$1016,COLUMN($E$1),FALSE)/(LEN(VLOOKUP($D235,素材!$1:$1016,COLUMN($F$1),FALSE)) - LEN(SUBSTITUTE(VLOOKUP($D235,素材!$1:$1016,COLUMN($F$1),FALSE), "・", 0)) + 1), 0)</f>
        <v>0</v>
      </c>
      <c r="AJ235">
        <f>IF(ISNUMBER(SEARCH(SUBSTITUTE(AJ$1,RIGHT(AJ$1,2),""),VLOOKUP($D235,素材!$1:$1016,COLUMN($F$1),FALSE))),VLOOKUP($C235,武器!$1:$998,COLUMN($O$1),FALSE)*VLOOKUP($D235,素材!$1:$1016,COLUMN($E$1),FALSE)/(LEN(VLOOKUP($D235,素材!$1:$1016,COLUMN($F$1),FALSE)) - LEN(SUBSTITUTE(VLOOKUP($D235,素材!$1:$1016,COLUMN($F$1),FALSE), "・", 0)) + 1), 0)</f>
        <v>0</v>
      </c>
      <c r="AK235">
        <f>IF(ISNUMBER(SEARCH(SUBSTITUTE(AK$1,RIGHT(AK$1,2),""),VLOOKUP($D235,素材!$1:$1016,COLUMN($F$1),FALSE))),VLOOKUP($C235,武器!$1:$998,COLUMN($O$1),FALSE)*VLOOKUP($D235,素材!$1:$1016,COLUMN($E$1),FALSE)/(LEN(VLOOKUP($D235,素材!$1:$1016,COLUMN($F$1),FALSE)) - LEN(SUBSTITUTE(VLOOKUP($D235,素材!$1:$1016,COLUMN($F$1),FALSE), "・", 0)) + 1), 0)</f>
        <v>0</v>
      </c>
      <c r="AL235">
        <f>IF(ISNUMBER(SEARCH(SUBSTITUTE(AL$1,RIGHT(AL$1,2),""),VLOOKUP($D235,素材!$1:$1016,COLUMN($F$1),FALSE))),VLOOKUP($C235,武器!$1:$998,COLUMN($O$1),FALSE)*VLOOKUP($D235,素材!$1:$1016,COLUMN($E$1),FALSE)/(LEN(VLOOKUP($D235,素材!$1:$1016,COLUMN($F$1),FALSE)) - LEN(SUBSTITUTE(VLOOKUP($D235,素材!$1:$1016,COLUMN($F$1),FALSE), "・", 0)) + 1), 0)</f>
        <v>0</v>
      </c>
      <c r="AM235">
        <f>IF(ISNUMBER(SEARCH(SUBSTITUTE(AM$1,RIGHT(AM$1,2),""),VLOOKUP($D235,素材!$1:$1016,COLUMN($F$1),FALSE))),VLOOKUP($C235,武器!$1:$998,COLUMN($O$1),FALSE)*VLOOKUP($D235,素材!$1:$1016,COLUMN($E$1),FALSE)/(LEN(VLOOKUP($D235,素材!$1:$1016,COLUMN($F$1),FALSE)) - LEN(SUBSTITUTE(VLOOKUP($D235,素材!$1:$1016,COLUMN($F$1),FALSE), "・", 0)) + 1), 0)</f>
        <v>0</v>
      </c>
      <c r="AN235">
        <f>IF(ISNUMBER(SEARCH(SUBSTITUTE(AN$1,RIGHT(AN$1,2),""),VLOOKUP($D235,素材!$1:$1016,COLUMN($F$1),FALSE))),VLOOKUP($C235,武器!$1:$998,COLUMN($O$1),FALSE)*VLOOKUP($D235,素材!$1:$1016,COLUMN($E$1),FALSE)/(LEN(VLOOKUP($D235,素材!$1:$1016,COLUMN($F$1),FALSE)) - LEN(SUBSTITUTE(VLOOKUP($D235,素材!$1:$1016,COLUMN($F$1),FALSE), "・", 0)) + 1), 0)</f>
        <v>0</v>
      </c>
      <c r="AO235">
        <f>IF(ISNUMBER(SEARCH(SUBSTITUTE(AO$1,RIGHT(AO$1,2),""),VLOOKUP($D235,素材!$1:$1016,COLUMN($F$1),FALSE))),VLOOKUP($C235,武器!$1:$998,COLUMN($O$1),FALSE)*VLOOKUP($D235,素材!$1:$1016,COLUMN($E$1),FALSE)/(LEN(VLOOKUP($D235,素材!$1:$1016,COLUMN($F$1),FALSE)) - LEN(SUBSTITUTE(VLOOKUP($D235,素材!$1:$1016,COLUMN($F$1),FALSE), "・", 0)) + 1), 0)</f>
        <v>0</v>
      </c>
      <c r="AP235">
        <f>IF(ISNUMBER(SEARCH(SUBSTITUTE(AP$1,RIGHT(AP$1,2),""),VLOOKUP($D235,素材!$1:$1016,COLUMN($F$1),FALSE))),VLOOKUP($C235,武器!$1:$998,COLUMN($O$1),FALSE)*VLOOKUP($D235,素材!$1:$1016,COLUMN($E$1),FALSE)/(LEN(VLOOKUP($D235,素材!$1:$1016,COLUMN($F$1),FALSE)) - LEN(SUBSTITUTE(VLOOKUP($D235,素材!$1:$1016,COLUMN($F$1),FALSE), "・", 0)) + 1), 0)</f>
        <v>0</v>
      </c>
      <c r="AQ235">
        <f>IF(ISNUMBER(SEARCH(SUBSTITUTE(AQ$1,RIGHT(AQ$1,2),""),VLOOKUP($D235,素材!$1:$1016,COLUMN($F$1),FALSE))),VLOOKUP($C235,武器!$1:$998,COLUMN($O$1),FALSE)*VLOOKUP($D235,素材!$1:$1016,COLUMN($E$1),FALSE)/(LEN(VLOOKUP($D235,素材!$1:$1016,COLUMN($F$1),FALSE)) - LEN(SUBSTITUTE(VLOOKUP($D235,素材!$1:$1016,COLUMN($F$1),FALSE), "・", 0)) + 1), 0)</f>
        <v>0</v>
      </c>
      <c r="AR235">
        <f>IF(ISNUMBER(SEARCH(SUBSTITUTE(AR$1,RIGHT(AR$1,2),""),VLOOKUP($D235,素材!$1:$1016,COLUMN($F$1),FALSE))),VLOOKUP($C235,武器!$1:$998,COLUMN($O$1),FALSE)*VLOOKUP($D235,素材!$1:$1016,COLUMN($E$1),FALSE)/(LEN(VLOOKUP($D235,素材!$1:$1016,COLUMN($F$1),FALSE)) - LEN(SUBSTITUTE(VLOOKUP($D235,素材!$1:$1016,COLUMN($F$1),FALSE), "・", 0)) + 1), 0)</f>
        <v>0</v>
      </c>
      <c r="AS235">
        <f>IF(ISNUMBER(SEARCH(SUBSTITUTE(AS$1,RIGHT(AS$1,2),""),VLOOKUP($D235,素材!$1:$1016,COLUMN($F$1),FALSE))),VLOOKUP($C235,武器!$1:$998,COLUMN($O$1),FALSE)*VLOOKUP($D235,素材!$1:$1016,COLUMN($E$1),FALSE)/(LEN(VLOOKUP($D235,素材!$1:$1016,COLUMN($F$1),FALSE)) - LEN(SUBSTITUTE(VLOOKUP($D235,素材!$1:$1016,COLUMN($F$1),FALSE), "・", 0)) + 1), 0)</f>
        <v>0</v>
      </c>
      <c r="AT235">
        <f>IF(ISNUMBER(SEARCH(SUBSTITUTE(AT$1,RIGHT(AT$1,2),""),VLOOKUP($D235,素材!$1:$1016,COLUMN($F$1),FALSE))),VLOOKUP($C235,武器!$1:$998,COLUMN($O$1),FALSE)*VLOOKUP($D235,素材!$1:$1016,COLUMN($E$1),FALSE)/(LEN(VLOOKUP($D235,素材!$1:$1016,COLUMN($F$1),FALSE)) - LEN(SUBSTITUTE(VLOOKUP($D235,素材!$1:$1016,COLUMN($F$1),FALSE), "・", 0)) + 1), 0)</f>
        <v>0</v>
      </c>
      <c r="AU235">
        <f>IF(ISNUMBER(SEARCH(SUBSTITUTE(AU$1,RIGHT(AU$1,2),""),VLOOKUP($D235,素材!$1:$1016,COLUMN($F$1),FALSE))),VLOOKUP($C235,武器!$1:$998,COLUMN($O$1),FALSE)*VLOOKUP($D235,素材!$1:$1016,COLUMN($E$1),FALSE)/(LEN(VLOOKUP($D235,素材!$1:$1016,COLUMN($F$1),FALSE)) - LEN(SUBSTITUTE(VLOOKUP($D235,素材!$1:$1016,COLUMN($F$1),FALSE), "・", 0)) + 1), 0)</f>
        <v>0</v>
      </c>
      <c r="AV235">
        <f>IF(ISNUMBER(SEARCH(SUBSTITUTE(AV$1,RIGHT(AV$1,2),""),VLOOKUP($D235,素材!$1:$1016,COLUMN($F$1),FALSE))),VLOOKUP($C235,武器!$1:$998,COLUMN($O$1),FALSE)*VLOOKUP($D235,素材!$1:$1016,COLUMN($E$1),FALSE)/(LEN(VLOOKUP($D235,素材!$1:$1016,COLUMN($F$1),FALSE)) - LEN(SUBSTITUTE(VLOOKUP($D235,素材!$1:$1016,COLUMN($F$1),FALSE), "・", 0)) + 1), 0)</f>
        <v>0</v>
      </c>
      <c r="AW235">
        <f>IF(ISNUMBER(SEARCH(SUBSTITUTE(AW$1,RIGHT(AW$1,2),""),VLOOKUP($D235,素材!$1:$1016,COLUMN($F$1),FALSE))),VLOOKUP($C235,武器!$1:$998,COLUMN($O$1),FALSE)*VLOOKUP($D235,素材!$1:$1016,COLUMN($E$1),FALSE)/(LEN(VLOOKUP($D235,素材!$1:$1016,COLUMN($F$1),FALSE)) - LEN(SUBSTITUTE(VLOOKUP($D235,素材!$1:$1016,COLUMN($F$1),FALSE), "・", 0)) + 1), 0)</f>
        <v>0</v>
      </c>
      <c r="AX235">
        <f>IF(ISNUMBER(SEARCH(SUBSTITUTE(AX$1,RIGHT(AX$1,2),""),VLOOKUP($D235,素材!$1:$1016,COLUMN($F$1),FALSE))),VLOOKUP($C235,武器!$1:$998,COLUMN($O$1),FALSE)*VLOOKUP($D235,素材!$1:$1016,COLUMN($E$1),FALSE)/(LEN(VLOOKUP($D235,素材!$1:$1016,COLUMN($F$1),FALSE)) - LEN(SUBSTITUTE(VLOOKUP($D235,素材!$1:$1016,COLUMN($F$1),FALSE), "・", 0)) + 1), 0)</f>
        <v>0</v>
      </c>
      <c r="AY235">
        <f>IF(ISNUMBER(SEARCH(SUBSTITUTE(AY$1,RIGHT(AY$1,2),""),VLOOKUP($D235,素材!$1:$1016,COLUMN($F$1),FALSE))),VLOOKUP($C235,武器!$1:$998,COLUMN($O$1),FALSE)*VLOOKUP($D235,素材!$1:$1016,COLUMN($E$1),FALSE)/(LEN(VLOOKUP($D235,素材!$1:$1016,COLUMN($F$1),FALSE)) - LEN(SUBSTITUTE(VLOOKUP($D235,素材!$1:$1016,COLUMN($F$1),FALSE), "・", 0)) + 1), 0)</f>
        <v>0</v>
      </c>
      <c r="AZ235">
        <f>IF(ISNUMBER(SEARCH(SUBSTITUTE(AZ$1,RIGHT(AZ$1,2),""),VLOOKUP($D235,素材!$1:$1016,COLUMN($F$1),FALSE))),VLOOKUP($C235,武器!$1:$998,COLUMN($O$1),FALSE)*VLOOKUP($D235,素材!$1:$1016,COLUMN($E$1),FALSE)/(LEN(VLOOKUP($D235,素材!$1:$1016,COLUMN($F$1),FALSE)) - LEN(SUBSTITUTE(VLOOKUP($D235,素材!$1:$1016,COLUMN($F$1),FALSE), "・", 0)) + 1), 0)</f>
        <v>0</v>
      </c>
      <c r="BA235">
        <f>IF(ISNUMBER(SEARCH(SUBSTITUTE(BA$1,RIGHT(BA$1,2),""),VLOOKUP($D235,素材!$1:$1016,COLUMN($F$1),FALSE))),VLOOKUP($C235,武器!$1:$998,COLUMN($O$1),FALSE)*VLOOKUP($D235,素材!$1:$1016,COLUMN($E$1),FALSE)/(LEN(VLOOKUP($D235,素材!$1:$1016,COLUMN($F$1),FALSE)) - LEN(SUBSTITUTE(VLOOKUP($D235,素材!$1:$1016,COLUMN($F$1),FALSE), "・", 0)) + 1), 0)</f>
        <v>0</v>
      </c>
      <c r="BB235">
        <f>IF(ISNUMBER(SEARCH(SUBSTITUTE(BB$1,RIGHT(BB$1,2),""),VLOOKUP($D235,素材!$1:$1016,COLUMN($F$1),FALSE))),VLOOKUP($C235,武器!$1:$998,COLUMN($O$1),FALSE)*VLOOKUP($D235,素材!$1:$1016,COLUMN($E$1),FALSE)/(LEN(VLOOKUP($D235,素材!$1:$1016,COLUMN($F$1),FALSE)) - LEN(SUBSTITUTE(VLOOKUP($D235,素材!$1:$1016,COLUMN($F$1),FALSE), "・", 0)) + 1), 0)</f>
        <v>0</v>
      </c>
      <c r="BC235">
        <f>IF(ISNUMBER(SEARCH(SUBSTITUTE(BC$1,RIGHT(BC$1,2),""),VLOOKUP($D235,素材!$1:$1016,COLUMN($F$1),FALSE))),VLOOKUP($C235,武器!$1:$998,COLUMN($O$1),FALSE)*VLOOKUP($D235,素材!$1:$1016,COLUMN($E$1),FALSE)/(LEN(VLOOKUP($D235,素材!$1:$1016,COLUMN($F$1),FALSE)) - LEN(SUBSTITUTE(VLOOKUP($D235,素材!$1:$1016,COLUMN($F$1),FALSE), "・", 0)) + 1), 0)</f>
        <v>0</v>
      </c>
      <c r="BD235">
        <f>IF(ISNUMBER(SEARCH(SUBSTITUTE(BD$1,RIGHT(BD$1,2),""),VLOOKUP($D235,素材!$1:$1016,COLUMN($F$1),FALSE))),VLOOKUP($C235,武器!$1:$998,COLUMN($O$1),FALSE)*VLOOKUP($D235,素材!$1:$1016,COLUMN($E$1),FALSE)/(LEN(VLOOKUP($D235,素材!$1:$1016,COLUMN($F$1),FALSE)) - LEN(SUBSTITUTE(VLOOKUP($D235,素材!$1:$1016,COLUMN($F$1),FALSE), "・", 0)) + 1), 0)</f>
        <v>0</v>
      </c>
      <c r="BE235">
        <f>IF(ISNUMBER(SEARCH(SUBSTITUTE(BE$1,RIGHT(BE$1,2),""),VLOOKUP($D235,素材!$1:$1016,COLUMN($F$1),FALSE))),VLOOKUP($C235,武器!$1:$998,COLUMN($O$1),FALSE)*VLOOKUP($D235,素材!$1:$1016,COLUMN($E$1),FALSE)/(LEN(VLOOKUP($D235,素材!$1:$1016,COLUMN($F$1),FALSE)) - LEN(SUBSTITUTE(VLOOKUP($D235,素材!$1:$1016,COLUMN($F$1),FALSE), "・", 0)) + 1), 0)</f>
        <v>0</v>
      </c>
      <c r="CL235">
        <f>SUM(G235:I235)</f>
        <v>23</v>
      </c>
      <c r="CM235" s="22" t="str">
        <f>IF(E235="武器",IF(J235-1&gt;SUM(G235:I235),"盾",IF(MAX(G235:I235)=G235,"切断",IF(MAX(G235:I235)=H235,"貫通",IF(MAX(G235:I235)=I235,"打撃","射撃")))),E235)&amp;".webp"</f>
        <v>切断.webp</v>
      </c>
      <c r="CN235">
        <f>IFERROR(VLOOKUP($C235,武器!$1:$998,COLUMN(V$1),FALSE)*VLOOKUP($D235,素材!$1:$1016,COLUMN(N$1),FALSE)+IF(CI235="",0,VLOOKUP($CI235,装強!$1:$1008,COLUMN($CK$1),FALSE)),"")</f>
        <v>3000</v>
      </c>
      <c r="CO235">
        <f>VLOOKUP(D235,素材!$A:$O,COLUMN(素材!O$1),FALSE)</f>
        <v>0</v>
      </c>
      <c r="CP235" t="str">
        <f>VLOOKUP(C235,武器!$A:$W,COLUMN(武器!W$1),FALSE)</f>
        <v>幅の広い剣。扱いにくいが攻撃と防御にも優れている。状況に合わせて立ち回ろう。</v>
      </c>
      <c r="CR235" t="str">
        <f t="shared" si="29"/>
        <v>e_235</v>
      </c>
      <c r="CS235">
        <f t="shared" si="30"/>
        <v>300000</v>
      </c>
    </row>
    <row r="236" spans="1:97" outlineLevel="1" x14ac:dyDescent="0.4">
      <c r="A236" t="str">
        <f t="shared" si="31"/>
        <v>熱鉄の長剣</v>
      </c>
      <c r="B236" t="str">
        <f>IFERROR(VLOOKUP($D236,素材!$1:$1016,COLUMN($B$1),FALSE)&amp;"・"&amp;VLOOKUP($C236,武器!$1:$998,COLUMN(B$1),FALSE),"")</f>
        <v>ヒートスティール・ロングソード</v>
      </c>
      <c r="C236" s="24" t="s">
        <v>238</v>
      </c>
      <c r="D236" s="24" t="s">
        <v>205</v>
      </c>
      <c r="E236" t="str">
        <f>IFERROR(VLOOKUP(C236,武器!$1:$998,COLUMN(C$1),FALSE),"")</f>
        <v>武器</v>
      </c>
      <c r="F236">
        <f>IFERROR(ROUNDDOWN((VLOOKUP($C236,武器!$1:$998,COLUMN(D$1),FALSE)+IFERROR(VLOOKUP($CI236,装強!$1:$999,COLUMN(F$1),FALSE),0))*VLOOKUP($D236,素材!$1:$1016,COLUMN(D$1),FALSE),0),"")</f>
        <v>115</v>
      </c>
      <c r="G236">
        <f>IFERROR(ROUNDDOWN((VLOOKUP($C236,武器!$1:$998,COLUMN(E$1),FALSE)+IFERROR(VLOOKUP($CI236,装強!$1:$999,COLUMN(G$1),FALSE),0))*VLOOKUP($D236,素材!$1:$1016,COLUMN($E$1),FALSE),0),"")</f>
        <v>15</v>
      </c>
      <c r="H236">
        <f>IFERROR(ROUNDDOWN((VLOOKUP($C236,武器!$1:$998,COLUMN(F$1),FALSE)+IFERROR(VLOOKUP($CI236,装強!$1:$999,COLUMN(H$1),FALSE),0))*VLOOKUP($D236,素材!$1:$1016,COLUMN($E$1),FALSE),0),"")</f>
        <v>9</v>
      </c>
      <c r="I236">
        <f>IFERROR(ROUNDDOWN((VLOOKUP($C236,武器!$1:$998,COLUMN(G$1),FALSE)+IFERROR(VLOOKUP($CI236,装強!$1:$999,COLUMN(I$1),FALSE),0))*VLOOKUP($D236,素材!$1:$1016,COLUMN($E$1),FALSE),0),"")</f>
        <v>3</v>
      </c>
      <c r="J236">
        <f>IFERROR(ROUNDDOWN((VLOOKUP($C236,武器!$1:$998,COLUMN(H$1),FALSE)+IFERROR(VLOOKUP($CI236,装強!$1:$999,COLUMN(J$1),FALSE),0))*VLOOKUP($D236,素材!$1:$1016,COLUMN($E$1),FALSE),0),"")</f>
        <v>20</v>
      </c>
      <c r="K236">
        <f>IFERROR(ROUNDDOWN((VLOOKUP($C236,武器!$1:$998,COLUMN(I$1),FALSE)+IFERROR(VLOOKUP($CI236,装強!$1:$999,COLUMN(K$1),FALSE),0))*VLOOKUP($D236,素材!$1:$1016,COLUMN($E$1),FALSE),0),"")</f>
        <v>0</v>
      </c>
      <c r="L236" t="str">
        <f>IFERROR(VLOOKUP($D236,素材!$1:$1016,COLUMN($F$1),FALSE),"")</f>
        <v>炎</v>
      </c>
      <c r="M236">
        <f>IFERROR(VLOOKUP($C236,武器!$1:$998,COLUMN(AA$1),FALSE)*VLOOKUP($D236,素材!$1:$1016,COLUMN($G$1),FALSE),"")</f>
        <v>47.25</v>
      </c>
      <c r="N236">
        <f>IFERROR(VLOOKUP($C236,武器!$1:$998,COLUMN(I$1),FALSE),"")</f>
        <v>0</v>
      </c>
      <c r="O236" s="23">
        <f>IFERROR((VLOOKUP($C236,武器!$1:$998,COLUMN(K$1),FALSE)+VLOOKUP($D236,素材!$1:$1016,COLUMN(H$1),FALSE))*100+IFERROR(VLOOKUP($CI236,装強!$1:$999,COLUMN(O$1),FALSE),0),"")</f>
        <v>10</v>
      </c>
      <c r="P236" s="23">
        <f>IFERROR((VLOOKUP($C236,武器!$1:$998,COLUMN(L$1),FALSE)+VLOOKUP($D236,素材!$1:$1016,COLUMN(I$1),FALSE))*100+IFERROR(VLOOKUP($CI236,装強!$1:$999,COLUMN(P$1),FALSE),0),"")</f>
        <v>150</v>
      </c>
      <c r="Q236">
        <f>IFERROR(ROUNDUP(VLOOKUP($C236,武器!$1:$998,COLUMN(M$1),FALSE)*(VLOOKUP($D236,素材!$1:$1002,COLUMN(D$1),FALSE)/100),1),"")</f>
        <v>-2.5</v>
      </c>
      <c r="R236">
        <f>IFERROR(ROUNDUP(VLOOKUP($C236,武器!$1:$998,COLUMN(N$1),FALSE)*(VLOOKUP($D236,素材!$1:$1002,COLUMN(D$1),FALSE)/100),1),"")</f>
        <v>-2.5</v>
      </c>
      <c r="S236">
        <f>IFERROR(VLOOKUP($C236,武器!$1:$998,COLUMN(P$1),FALSE),"")</f>
        <v>0</v>
      </c>
      <c r="T236">
        <f>IFERROR(VLOOKUP($C236,武器!$1:$998,COLUMN(Q$1),FALSE),"")</f>
        <v>0</v>
      </c>
      <c r="U236">
        <f>IFERROR(VLOOKUP($C236,武器!$1:$998,COLUMN(R$1),FALSE),"")</f>
        <v>0</v>
      </c>
      <c r="V236">
        <f>IFERROR(VLOOKUP($C236,武器!$1:$998,COLUMN(Q$1),FALSE),"")</f>
        <v>0</v>
      </c>
      <c r="W236" t="str">
        <f>IFERROR(VLOOKUP($C236,武器!$1:$998,COLUMN(T$1),FALSE),"")</f>
        <v>A</v>
      </c>
      <c r="Y236">
        <f>IFERROR(VLOOKUP($C236,武器!$1:$998,COLUMN(U$1),FALSE),"")</f>
        <v>0</v>
      </c>
      <c r="Z236">
        <f>IFERROR(ROUNDUP(VLOOKUP($C236,武器!$1:$998,COLUMN(O$1),FALSE)*VLOOKUP($D236,素材!$1:$1016,COLUMN(E$1),FALSE),1),"")</f>
        <v>0</v>
      </c>
      <c r="AA236">
        <f>IF(ISNUMBER(SEARCH(SUBSTITUTE(AA$1,RIGHT(AA$1,2),""),VLOOKUP($D236,素材!$1:$1016,COLUMN($F$1),FALSE))),VLOOKUP($C236,武器!$1:$998,COLUMN($O$1),FALSE)*VLOOKUP($D236,素材!$1:$1016,COLUMN($E$1),FALSE)/(LEN(VLOOKUP($D236,素材!$1:$1016,COLUMN($F$1),FALSE)) - LEN(SUBSTITUTE(VLOOKUP($D236,素材!$1:$1016,COLUMN($F$1),FALSE), "・", 0)) + 1), 0)</f>
        <v>0</v>
      </c>
      <c r="AB236">
        <f>IF(ISNUMBER(SEARCH(SUBSTITUTE(AB$1,RIGHT(AB$1,2),""),VLOOKUP($D236,素材!$1:$1016,COLUMN($F$1),FALSE))),VLOOKUP($C236,武器!$1:$998,COLUMN($O$1),FALSE)*VLOOKUP($D236,素材!$1:$1016,COLUMN($E$1),FALSE)/(LEN(VLOOKUP($D236,素材!$1:$1016,COLUMN($F$1),FALSE)) - LEN(SUBSTITUTE(VLOOKUP($D236,素材!$1:$1016,COLUMN($F$1),FALSE), "・", 0)) + 1), 0)</f>
        <v>0</v>
      </c>
      <c r="AC236">
        <f>IF(ISNUMBER(SEARCH(SUBSTITUTE(AC$1,RIGHT(AC$1,2),""),VLOOKUP($D236,素材!$1:$1016,COLUMN($F$1),FALSE))),VLOOKUP($C236,武器!$1:$998,COLUMN($O$1),FALSE)*VLOOKUP($D236,素材!$1:$1016,COLUMN($E$1),FALSE)/(LEN(VLOOKUP($D236,素材!$1:$1016,COLUMN($F$1),FALSE)) - LEN(SUBSTITUTE(VLOOKUP($D236,素材!$1:$1016,COLUMN($F$1),FALSE), "・", 0)) + 1), 0)</f>
        <v>0</v>
      </c>
      <c r="AD236">
        <f>IF(ISNUMBER(SEARCH(SUBSTITUTE(AD$1,RIGHT(AD$1,2),""),VLOOKUP($D236,素材!$1:$1016,COLUMN($F$1),FALSE))),VLOOKUP($C236,武器!$1:$998,COLUMN($O$1),FALSE)*VLOOKUP($D236,素材!$1:$1016,COLUMN($E$1),FALSE)/(LEN(VLOOKUP($D236,素材!$1:$1016,COLUMN($F$1),FALSE)) - LEN(SUBSTITUTE(VLOOKUP($D236,素材!$1:$1016,COLUMN($F$1),FALSE), "・", 0)) + 1), 0)</f>
        <v>0</v>
      </c>
      <c r="AE236">
        <f>IF(ISNUMBER(SEARCH(SUBSTITUTE(AE$1,RIGHT(AE$1,2),""),VLOOKUP($D236,素材!$1:$1016,COLUMN($F$1),FALSE))),VLOOKUP($C236,武器!$1:$998,COLUMN($O$1),FALSE)*VLOOKUP($D236,素材!$1:$1016,COLUMN($E$1),FALSE)/(LEN(VLOOKUP($D236,素材!$1:$1016,COLUMN($F$1),FALSE)) - LEN(SUBSTITUTE(VLOOKUP($D236,素材!$1:$1016,COLUMN($F$1),FALSE), "・", 0)) + 1), 0)</f>
        <v>0</v>
      </c>
      <c r="AF236">
        <f>IF(ISNUMBER(SEARCH(SUBSTITUTE(AF$1,RIGHT(AF$1,2),""),VLOOKUP($D236,素材!$1:$1016,COLUMN($F$1),FALSE))),VLOOKUP($C236,武器!$1:$998,COLUMN($O$1),FALSE)*VLOOKUP($D236,素材!$1:$1016,COLUMN($E$1),FALSE)/(LEN(VLOOKUP($D236,素材!$1:$1016,COLUMN($F$1),FALSE)) - LEN(SUBSTITUTE(VLOOKUP($D236,素材!$1:$1016,COLUMN($F$1),FALSE), "・", 0)) + 1), 0)</f>
        <v>0</v>
      </c>
      <c r="AG236">
        <f>IF(ISNUMBER(SEARCH(SUBSTITUTE(AG$1,RIGHT(AG$1,2),""),VLOOKUP($D236,素材!$1:$1016,COLUMN($F$1),FALSE))),VLOOKUP($C236,武器!$1:$998,COLUMN($O$1),FALSE)*VLOOKUP($D236,素材!$1:$1016,COLUMN($E$1),FALSE)/(LEN(VLOOKUP($D236,素材!$1:$1016,COLUMN($F$1),FALSE)) - LEN(SUBSTITUTE(VLOOKUP($D236,素材!$1:$1016,COLUMN($F$1),FALSE), "・", 0)) + 1), 0)</f>
        <v>0</v>
      </c>
      <c r="AH236">
        <f>IF(ISNUMBER(SEARCH(SUBSTITUTE(AH$1,RIGHT(AH$1,2),""),VLOOKUP($D236,素材!$1:$1016,COLUMN($F$1),FALSE))),VLOOKUP($C236,武器!$1:$998,COLUMN($O$1),FALSE)*VLOOKUP($D236,素材!$1:$1016,COLUMN($E$1),FALSE)/(LEN(VLOOKUP($D236,素材!$1:$1016,COLUMN($F$1),FALSE)) - LEN(SUBSTITUTE(VLOOKUP($D236,素材!$1:$1016,COLUMN($F$1),FALSE), "・", 0)) + 1), 0)</f>
        <v>0</v>
      </c>
      <c r="AI236">
        <f>IF(ISNUMBER(SEARCH(SUBSTITUTE(AI$1,RIGHT(AI$1,2),""),VLOOKUP($D236,素材!$1:$1016,COLUMN($F$1),FALSE))),VLOOKUP($C236,武器!$1:$998,COLUMN($O$1),FALSE)*VLOOKUP($D236,素材!$1:$1016,COLUMN($E$1),FALSE)/(LEN(VLOOKUP($D236,素材!$1:$1016,COLUMN($F$1),FALSE)) - LEN(SUBSTITUTE(VLOOKUP($D236,素材!$1:$1016,COLUMN($F$1),FALSE), "・", 0)) + 1), 0)</f>
        <v>0</v>
      </c>
      <c r="AJ236">
        <f>IF(ISNUMBER(SEARCH(SUBSTITUTE(AJ$1,RIGHT(AJ$1,2),""),VLOOKUP($D236,素材!$1:$1016,COLUMN($F$1),FALSE))),VLOOKUP($C236,武器!$1:$998,COLUMN($O$1),FALSE)*VLOOKUP($D236,素材!$1:$1016,COLUMN($E$1),FALSE)/(LEN(VLOOKUP($D236,素材!$1:$1016,COLUMN($F$1),FALSE)) - LEN(SUBSTITUTE(VLOOKUP($D236,素材!$1:$1016,COLUMN($F$1),FALSE), "・", 0)) + 1), 0)</f>
        <v>0</v>
      </c>
      <c r="AK236">
        <f>IF(ISNUMBER(SEARCH(SUBSTITUTE(AK$1,RIGHT(AK$1,2),""),VLOOKUP($D236,素材!$1:$1016,COLUMN($F$1),FALSE))),VLOOKUP($C236,武器!$1:$998,COLUMN($O$1),FALSE)*VLOOKUP($D236,素材!$1:$1016,COLUMN($E$1),FALSE)/(LEN(VLOOKUP($D236,素材!$1:$1016,COLUMN($F$1),FALSE)) - LEN(SUBSTITUTE(VLOOKUP($D236,素材!$1:$1016,COLUMN($F$1),FALSE), "・", 0)) + 1), 0)</f>
        <v>0</v>
      </c>
      <c r="AL236">
        <f>IF(ISNUMBER(SEARCH(SUBSTITUTE(AL$1,RIGHT(AL$1,2),""),VLOOKUP($D236,素材!$1:$1016,COLUMN($F$1),FALSE))),VLOOKUP($C236,武器!$1:$998,COLUMN($O$1),FALSE)*VLOOKUP($D236,素材!$1:$1016,COLUMN($E$1),FALSE)/(LEN(VLOOKUP($D236,素材!$1:$1016,COLUMN($F$1),FALSE)) - LEN(SUBSTITUTE(VLOOKUP($D236,素材!$1:$1016,COLUMN($F$1),FALSE), "・", 0)) + 1), 0)</f>
        <v>0</v>
      </c>
      <c r="AM236">
        <f>IF(ISNUMBER(SEARCH(SUBSTITUTE(AM$1,RIGHT(AM$1,2),""),VLOOKUP($D236,素材!$1:$1016,COLUMN($F$1),FALSE))),VLOOKUP($C236,武器!$1:$998,COLUMN($O$1),FALSE)*VLOOKUP($D236,素材!$1:$1016,COLUMN($E$1),FALSE)/(LEN(VLOOKUP($D236,素材!$1:$1016,COLUMN($F$1),FALSE)) - LEN(SUBSTITUTE(VLOOKUP($D236,素材!$1:$1016,COLUMN($F$1),FALSE), "・", 0)) + 1), 0)</f>
        <v>0</v>
      </c>
      <c r="AN236">
        <f>IF(ISNUMBER(SEARCH(SUBSTITUTE(AN$1,RIGHT(AN$1,2),""),VLOOKUP($D236,素材!$1:$1016,COLUMN($F$1),FALSE))),VLOOKUP($C236,武器!$1:$998,COLUMN($O$1),FALSE)*VLOOKUP($D236,素材!$1:$1016,COLUMN($E$1),FALSE)/(LEN(VLOOKUP($D236,素材!$1:$1016,COLUMN($F$1),FALSE)) - LEN(SUBSTITUTE(VLOOKUP($D236,素材!$1:$1016,COLUMN($F$1),FALSE), "・", 0)) + 1), 0)</f>
        <v>0</v>
      </c>
      <c r="AO236">
        <f>IF(ISNUMBER(SEARCH(SUBSTITUTE(AO$1,RIGHT(AO$1,2),""),VLOOKUP($D236,素材!$1:$1016,COLUMN($F$1),FALSE))),VLOOKUP($C236,武器!$1:$998,COLUMN($O$1),FALSE)*VLOOKUP($D236,素材!$1:$1016,COLUMN($E$1),FALSE)/(LEN(VLOOKUP($D236,素材!$1:$1016,COLUMN($F$1),FALSE)) - LEN(SUBSTITUTE(VLOOKUP($D236,素材!$1:$1016,COLUMN($F$1),FALSE), "・", 0)) + 1), 0)</f>
        <v>0</v>
      </c>
      <c r="AP236">
        <f>IF(ISNUMBER(SEARCH(SUBSTITUTE(AP$1,RIGHT(AP$1,2),""),VLOOKUP($D236,素材!$1:$1016,COLUMN($F$1),FALSE))),VLOOKUP($C236,武器!$1:$998,COLUMN($O$1),FALSE)*VLOOKUP($D236,素材!$1:$1016,COLUMN($E$1),FALSE)/(LEN(VLOOKUP($D236,素材!$1:$1016,COLUMN($F$1),FALSE)) - LEN(SUBSTITUTE(VLOOKUP($D236,素材!$1:$1016,COLUMN($F$1),FALSE), "・", 0)) + 1), 0)</f>
        <v>0</v>
      </c>
      <c r="AQ236">
        <f>IF(ISNUMBER(SEARCH(SUBSTITUTE(AQ$1,RIGHT(AQ$1,2),""),VLOOKUP($D236,素材!$1:$1016,COLUMN($F$1),FALSE))),VLOOKUP($C236,武器!$1:$998,COLUMN($O$1),FALSE)*VLOOKUP($D236,素材!$1:$1016,COLUMN($E$1),FALSE)/(LEN(VLOOKUP($D236,素材!$1:$1016,COLUMN($F$1),FALSE)) - LEN(SUBSTITUTE(VLOOKUP($D236,素材!$1:$1016,COLUMN($F$1),FALSE), "・", 0)) + 1), 0)</f>
        <v>0</v>
      </c>
      <c r="AR236">
        <f>IF(ISNUMBER(SEARCH(SUBSTITUTE(AR$1,RIGHT(AR$1,2),""),VLOOKUP($D236,素材!$1:$1016,COLUMN($F$1),FALSE))),VLOOKUP($C236,武器!$1:$998,COLUMN($O$1),FALSE)*VLOOKUP($D236,素材!$1:$1016,COLUMN($E$1),FALSE)/(LEN(VLOOKUP($D236,素材!$1:$1016,COLUMN($F$1),FALSE)) - LEN(SUBSTITUTE(VLOOKUP($D236,素材!$1:$1016,COLUMN($F$1),FALSE), "・", 0)) + 1), 0)</f>
        <v>0</v>
      </c>
      <c r="AS236">
        <f>IF(ISNUMBER(SEARCH(SUBSTITUTE(AS$1,RIGHT(AS$1,2),""),VLOOKUP($D236,素材!$1:$1016,COLUMN($F$1),FALSE))),VLOOKUP($C236,武器!$1:$998,COLUMN($O$1),FALSE)*VLOOKUP($D236,素材!$1:$1016,COLUMN($E$1),FALSE)/(LEN(VLOOKUP($D236,素材!$1:$1016,COLUMN($F$1),FALSE)) - LEN(SUBSTITUTE(VLOOKUP($D236,素材!$1:$1016,COLUMN($F$1),FALSE), "・", 0)) + 1), 0)</f>
        <v>0</v>
      </c>
      <c r="AT236">
        <f>IF(ISNUMBER(SEARCH(SUBSTITUTE(AT$1,RIGHT(AT$1,2),""),VLOOKUP($D236,素材!$1:$1016,COLUMN($F$1),FALSE))),VLOOKUP($C236,武器!$1:$998,COLUMN($O$1),FALSE)*VLOOKUP($D236,素材!$1:$1016,COLUMN($E$1),FALSE)/(LEN(VLOOKUP($D236,素材!$1:$1016,COLUMN($F$1),FALSE)) - LEN(SUBSTITUTE(VLOOKUP($D236,素材!$1:$1016,COLUMN($F$1),FALSE), "・", 0)) + 1), 0)</f>
        <v>0</v>
      </c>
      <c r="AU236">
        <f>IF(ISNUMBER(SEARCH(SUBSTITUTE(AU$1,RIGHT(AU$1,2),""),VLOOKUP($D236,素材!$1:$1016,COLUMN($F$1),FALSE))),VLOOKUP($C236,武器!$1:$998,COLUMN($O$1),FALSE)*VLOOKUP($D236,素材!$1:$1016,COLUMN($E$1),FALSE)/(LEN(VLOOKUP($D236,素材!$1:$1016,COLUMN($F$1),FALSE)) - LEN(SUBSTITUTE(VLOOKUP($D236,素材!$1:$1016,COLUMN($F$1),FALSE), "・", 0)) + 1), 0)</f>
        <v>0</v>
      </c>
      <c r="AV236">
        <f>IF(ISNUMBER(SEARCH(SUBSTITUTE(AV$1,RIGHT(AV$1,2),""),VLOOKUP($D236,素材!$1:$1016,COLUMN($F$1),FALSE))),VLOOKUP($C236,武器!$1:$998,COLUMN($O$1),FALSE)*VLOOKUP($D236,素材!$1:$1016,COLUMN($E$1),FALSE)/(LEN(VLOOKUP($D236,素材!$1:$1016,COLUMN($F$1),FALSE)) - LEN(SUBSTITUTE(VLOOKUP($D236,素材!$1:$1016,COLUMN($F$1),FALSE), "・", 0)) + 1), 0)</f>
        <v>0</v>
      </c>
      <c r="AW236">
        <f>IF(ISNUMBER(SEARCH(SUBSTITUTE(AW$1,RIGHT(AW$1,2),""),VLOOKUP($D236,素材!$1:$1016,COLUMN($F$1),FALSE))),VLOOKUP($C236,武器!$1:$998,COLUMN($O$1),FALSE)*VLOOKUP($D236,素材!$1:$1016,COLUMN($E$1),FALSE)/(LEN(VLOOKUP($D236,素材!$1:$1016,COLUMN($F$1),FALSE)) - LEN(SUBSTITUTE(VLOOKUP($D236,素材!$1:$1016,COLUMN($F$1),FALSE), "・", 0)) + 1), 0)</f>
        <v>0</v>
      </c>
      <c r="AX236">
        <f>IF(ISNUMBER(SEARCH(SUBSTITUTE(AX$1,RIGHT(AX$1,2),""),VLOOKUP($D236,素材!$1:$1016,COLUMN($F$1),FALSE))),VLOOKUP($C236,武器!$1:$998,COLUMN($O$1),FALSE)*VLOOKUP($D236,素材!$1:$1016,COLUMN($E$1),FALSE)/(LEN(VLOOKUP($D236,素材!$1:$1016,COLUMN($F$1),FALSE)) - LEN(SUBSTITUTE(VLOOKUP($D236,素材!$1:$1016,COLUMN($F$1),FALSE), "・", 0)) + 1), 0)</f>
        <v>0</v>
      </c>
      <c r="AY236">
        <f>IF(ISNUMBER(SEARCH(SUBSTITUTE(AY$1,RIGHT(AY$1,2),""),VLOOKUP($D236,素材!$1:$1016,COLUMN($F$1),FALSE))),VLOOKUP($C236,武器!$1:$998,COLUMN($O$1),FALSE)*VLOOKUP($D236,素材!$1:$1016,COLUMN($E$1),FALSE)/(LEN(VLOOKUP($D236,素材!$1:$1016,COLUMN($F$1),FALSE)) - LEN(SUBSTITUTE(VLOOKUP($D236,素材!$1:$1016,COLUMN($F$1),FALSE), "・", 0)) + 1), 0)</f>
        <v>0</v>
      </c>
      <c r="AZ236">
        <f>IF(ISNUMBER(SEARCH(SUBSTITUTE(AZ$1,RIGHT(AZ$1,2),""),VLOOKUP($D236,素材!$1:$1016,COLUMN($F$1),FALSE))),VLOOKUP($C236,武器!$1:$998,COLUMN($O$1),FALSE)*VLOOKUP($D236,素材!$1:$1016,COLUMN($E$1),FALSE)/(LEN(VLOOKUP($D236,素材!$1:$1016,COLUMN($F$1),FALSE)) - LEN(SUBSTITUTE(VLOOKUP($D236,素材!$1:$1016,COLUMN($F$1),FALSE), "・", 0)) + 1), 0)</f>
        <v>0</v>
      </c>
      <c r="BA236">
        <f>IF(ISNUMBER(SEARCH(SUBSTITUTE(BA$1,RIGHT(BA$1,2),""),VLOOKUP($D236,素材!$1:$1016,COLUMN($F$1),FALSE))),VLOOKUP($C236,武器!$1:$998,COLUMN($O$1),FALSE)*VLOOKUP($D236,素材!$1:$1016,COLUMN($E$1),FALSE)/(LEN(VLOOKUP($D236,素材!$1:$1016,COLUMN($F$1),FALSE)) - LEN(SUBSTITUTE(VLOOKUP($D236,素材!$1:$1016,COLUMN($F$1),FALSE), "・", 0)) + 1), 0)</f>
        <v>0</v>
      </c>
      <c r="BB236">
        <f>IF(ISNUMBER(SEARCH(SUBSTITUTE(BB$1,RIGHT(BB$1,2),""),VLOOKUP($D236,素材!$1:$1016,COLUMN($F$1),FALSE))),VLOOKUP($C236,武器!$1:$998,COLUMN($O$1),FALSE)*VLOOKUP($D236,素材!$1:$1016,COLUMN($E$1),FALSE)/(LEN(VLOOKUP($D236,素材!$1:$1016,COLUMN($F$1),FALSE)) - LEN(SUBSTITUTE(VLOOKUP($D236,素材!$1:$1016,COLUMN($F$1),FALSE), "・", 0)) + 1), 0)</f>
        <v>0</v>
      </c>
      <c r="BC236">
        <f>IF(ISNUMBER(SEARCH(SUBSTITUTE(BC$1,RIGHT(BC$1,2),""),VLOOKUP($D236,素材!$1:$1016,COLUMN($F$1),FALSE))),VLOOKUP($C236,武器!$1:$998,COLUMN($O$1),FALSE)*VLOOKUP($D236,素材!$1:$1016,COLUMN($E$1),FALSE)/(LEN(VLOOKUP($D236,素材!$1:$1016,COLUMN($F$1),FALSE)) - LEN(SUBSTITUTE(VLOOKUP($D236,素材!$1:$1016,COLUMN($F$1),FALSE), "・", 0)) + 1), 0)</f>
        <v>0</v>
      </c>
      <c r="BD236">
        <f>IF(ISNUMBER(SEARCH(SUBSTITUTE(BD$1,RIGHT(BD$1,2),""),VLOOKUP($D236,素材!$1:$1016,COLUMN($F$1),FALSE))),VLOOKUP($C236,武器!$1:$998,COLUMN($O$1),FALSE)*VLOOKUP($D236,素材!$1:$1016,COLUMN($E$1),FALSE)/(LEN(VLOOKUP($D236,素材!$1:$1016,COLUMN($F$1),FALSE)) - LEN(SUBSTITUTE(VLOOKUP($D236,素材!$1:$1016,COLUMN($F$1),FALSE), "・", 0)) + 1), 0)</f>
        <v>0</v>
      </c>
      <c r="BE236">
        <f>IF(ISNUMBER(SEARCH(SUBSTITUTE(BE$1,RIGHT(BE$1,2),""),VLOOKUP($D236,素材!$1:$1016,COLUMN($F$1),FALSE))),VLOOKUP($C236,武器!$1:$998,COLUMN($O$1),FALSE)*VLOOKUP($D236,素材!$1:$1016,COLUMN($E$1),FALSE)/(LEN(VLOOKUP($D236,素材!$1:$1016,COLUMN($F$1),FALSE)) - LEN(SUBSTITUTE(VLOOKUP($D236,素材!$1:$1016,COLUMN($F$1),FALSE), "・", 0)) + 1), 0)</f>
        <v>0</v>
      </c>
      <c r="CL236">
        <f>SUM(G236:I236)</f>
        <v>27</v>
      </c>
      <c r="CM236" s="22" t="str">
        <f>IF(E236="武器",IF(J236-1&gt;SUM(G236:I236),"盾",IF(MAX(G236:I236)=G236,"切断",IF(MAX(G236:I236)=H236,"貫通",IF(MAX(G236:I236)=I236,"打撃","射撃")))),E236)&amp;".webp"</f>
        <v>切断.webp</v>
      </c>
      <c r="CN236">
        <f>IFERROR(VLOOKUP($C236,武器!$1:$998,COLUMN(V$1),FALSE)*VLOOKUP($D236,素材!$1:$1016,COLUMN(N$1),FALSE)+IF(CI236="",0,VLOOKUP($CI236,装強!$1:$1008,COLUMN($CK$1),FALSE)),"")</f>
        <v>3000</v>
      </c>
      <c r="CO236">
        <f>VLOOKUP(D236,素材!$A:$O,COLUMN(素材!O$1),FALSE)</f>
        <v>0</v>
      </c>
      <c r="CP236" t="str">
        <f>VLOOKUP(C236,武器!$A:$W,COLUMN(武器!W$1),FALSE)</f>
        <v>長剣。長く重い分扱いにくいが威力が高い。</v>
      </c>
      <c r="CR236" t="str">
        <f t="shared" si="29"/>
        <v>e_236</v>
      </c>
      <c r="CS236">
        <f t="shared" si="30"/>
        <v>300000</v>
      </c>
    </row>
    <row r="237" spans="1:97" outlineLevel="1" x14ac:dyDescent="0.4">
      <c r="A237" t="str">
        <f t="shared" si="31"/>
        <v>熱鉄の大剣</v>
      </c>
      <c r="B237" t="str">
        <f>IFERROR(VLOOKUP($D237,素材!$1:$1016,COLUMN($B$1),FALSE)&amp;"・"&amp;VLOOKUP($C237,武器!$1:$998,COLUMN(B$1),FALSE),"")</f>
        <v>ヒートスティール・バスターソード</v>
      </c>
      <c r="C237" s="24" t="s">
        <v>237</v>
      </c>
      <c r="D237" s="24" t="s">
        <v>205</v>
      </c>
      <c r="E237" t="str">
        <f>IFERROR(VLOOKUP(C237,武器!$1:$998,COLUMN(C$1),FALSE),"")</f>
        <v>武器</v>
      </c>
      <c r="F237">
        <f>IFERROR(ROUNDDOWN((VLOOKUP($C237,武器!$1:$998,COLUMN(D$1),FALSE)+IFERROR(VLOOKUP($CI237,装強!$1:$999,COLUMN(F$1),FALSE),0))*VLOOKUP($D237,素材!$1:$1016,COLUMN(D$1),FALSE),0),"")</f>
        <v>125</v>
      </c>
      <c r="G237">
        <f>IFERROR(ROUNDDOWN((VLOOKUP($C237,武器!$1:$998,COLUMN(E$1),FALSE)+IFERROR(VLOOKUP($CI237,装強!$1:$999,COLUMN(G$1),FALSE),0))*VLOOKUP($D237,素材!$1:$1016,COLUMN($E$1),FALSE),0),"")</f>
        <v>18</v>
      </c>
      <c r="H237">
        <f>IFERROR(ROUNDDOWN((VLOOKUP($C237,武器!$1:$998,COLUMN(F$1),FALSE)+IFERROR(VLOOKUP($CI237,装強!$1:$999,COLUMN(H$1),FALSE),0))*VLOOKUP($D237,素材!$1:$1016,COLUMN($E$1),FALSE),0),"")</f>
        <v>9</v>
      </c>
      <c r="I237">
        <f>IFERROR(ROUNDDOWN((VLOOKUP($C237,武器!$1:$998,COLUMN(G$1),FALSE)+IFERROR(VLOOKUP($CI237,装強!$1:$999,COLUMN(I$1),FALSE),0))*VLOOKUP($D237,素材!$1:$1016,COLUMN($E$1),FALSE),0),"")</f>
        <v>4</v>
      </c>
      <c r="J237">
        <f>IFERROR(ROUNDDOWN((VLOOKUP($C237,武器!$1:$998,COLUMN(H$1),FALSE)+IFERROR(VLOOKUP($CI237,装強!$1:$999,COLUMN(J$1),FALSE),0))*VLOOKUP($D237,素材!$1:$1016,COLUMN($E$1),FALSE),0),"")</f>
        <v>22</v>
      </c>
      <c r="K237">
        <f>IFERROR(ROUNDDOWN((VLOOKUP($C237,武器!$1:$998,COLUMN(I$1),FALSE)+IFERROR(VLOOKUP($CI237,装強!$1:$999,COLUMN(K$1),FALSE),0))*VLOOKUP($D237,素材!$1:$1016,COLUMN($E$1),FALSE),0),"")</f>
        <v>0</v>
      </c>
      <c r="L237" t="str">
        <f>IFERROR(VLOOKUP($D237,素材!$1:$1016,COLUMN($F$1),FALSE),"")</f>
        <v>炎</v>
      </c>
      <c r="M237">
        <f>IFERROR(VLOOKUP($C237,武器!$1:$998,COLUMN(AA$1),FALSE)*VLOOKUP($D237,素材!$1:$1016,COLUMN($G$1),FALSE),"")</f>
        <v>54.25</v>
      </c>
      <c r="N237">
        <f>IFERROR(VLOOKUP($C237,武器!$1:$998,COLUMN(I$1),FALSE),"")</f>
        <v>0</v>
      </c>
      <c r="O237" s="23">
        <f>IFERROR((VLOOKUP($C237,武器!$1:$998,COLUMN(K$1),FALSE)+VLOOKUP($D237,素材!$1:$1016,COLUMN(H$1),FALSE))*100+IFERROR(VLOOKUP($CI237,装強!$1:$999,COLUMN(O$1),FALSE),0),"")</f>
        <v>10</v>
      </c>
      <c r="P237" s="23">
        <f>IFERROR((VLOOKUP($C237,武器!$1:$998,COLUMN(L$1),FALSE)+VLOOKUP($D237,素材!$1:$1016,COLUMN(I$1),FALSE))*100+IFERROR(VLOOKUP($CI237,装強!$1:$999,COLUMN(P$1),FALSE),0),"")</f>
        <v>150</v>
      </c>
      <c r="Q237">
        <f>IFERROR(ROUNDUP(VLOOKUP($C237,武器!$1:$998,COLUMN(M$1),FALSE)*(VLOOKUP($D237,素材!$1:$1002,COLUMN(D$1),FALSE)/100),1),"")</f>
        <v>-7.5</v>
      </c>
      <c r="R237">
        <f>IFERROR(ROUNDUP(VLOOKUP($C237,武器!$1:$998,COLUMN(N$1),FALSE)*(VLOOKUP($D237,素材!$1:$1002,COLUMN(D$1),FALSE)/100),1),"")</f>
        <v>-7.5</v>
      </c>
      <c r="S237">
        <f>IFERROR(VLOOKUP($C237,武器!$1:$998,COLUMN(P$1),FALSE),"")</f>
        <v>0</v>
      </c>
      <c r="T237">
        <f>IFERROR(VLOOKUP($C237,武器!$1:$998,COLUMN(Q$1),FALSE),"")</f>
        <v>0</v>
      </c>
      <c r="U237">
        <f>IFERROR(VLOOKUP($C237,武器!$1:$998,COLUMN(R$1),FALSE),"")</f>
        <v>0</v>
      </c>
      <c r="V237">
        <f>IFERROR(VLOOKUP($C237,武器!$1:$998,COLUMN(Q$1),FALSE),"")</f>
        <v>0</v>
      </c>
      <c r="W237" t="str">
        <f>IFERROR(VLOOKUP($C237,武器!$1:$998,COLUMN(T$1),FALSE),"")</f>
        <v>A</v>
      </c>
      <c r="Y237">
        <f>IFERROR(VLOOKUP($C237,武器!$1:$998,COLUMN(U$1),FALSE),"")</f>
        <v>0</v>
      </c>
      <c r="Z237">
        <f>IFERROR(ROUNDUP(VLOOKUP($C237,武器!$1:$998,COLUMN(O$1),FALSE)*VLOOKUP($D237,素材!$1:$1016,COLUMN(E$1),FALSE),1),"")</f>
        <v>0</v>
      </c>
      <c r="AA237">
        <f>IF(ISNUMBER(SEARCH(SUBSTITUTE(AA$1,RIGHT(AA$1,2),""),VLOOKUP($D237,素材!$1:$1016,COLUMN($F$1),FALSE))),VLOOKUP($C237,武器!$1:$998,COLUMN($O$1),FALSE)*VLOOKUP($D237,素材!$1:$1016,COLUMN($E$1),FALSE)/(LEN(VLOOKUP($D237,素材!$1:$1016,COLUMN($F$1),FALSE)) - LEN(SUBSTITUTE(VLOOKUP($D237,素材!$1:$1016,COLUMN($F$1),FALSE), "・", 0)) + 1), 0)</f>
        <v>0</v>
      </c>
      <c r="AB237">
        <f>IF(ISNUMBER(SEARCH(SUBSTITUTE(AB$1,RIGHT(AB$1,2),""),VLOOKUP($D237,素材!$1:$1016,COLUMN($F$1),FALSE))),VLOOKUP($C237,武器!$1:$998,COLUMN($O$1),FALSE)*VLOOKUP($D237,素材!$1:$1016,COLUMN($E$1),FALSE)/(LEN(VLOOKUP($D237,素材!$1:$1016,COLUMN($F$1),FALSE)) - LEN(SUBSTITUTE(VLOOKUP($D237,素材!$1:$1016,COLUMN($F$1),FALSE), "・", 0)) + 1), 0)</f>
        <v>0</v>
      </c>
      <c r="AC237">
        <f>IF(ISNUMBER(SEARCH(SUBSTITUTE(AC$1,RIGHT(AC$1,2),""),VLOOKUP($D237,素材!$1:$1016,COLUMN($F$1),FALSE))),VLOOKUP($C237,武器!$1:$998,COLUMN($O$1),FALSE)*VLOOKUP($D237,素材!$1:$1016,COLUMN($E$1),FALSE)/(LEN(VLOOKUP($D237,素材!$1:$1016,COLUMN($F$1),FALSE)) - LEN(SUBSTITUTE(VLOOKUP($D237,素材!$1:$1016,COLUMN($F$1),FALSE), "・", 0)) + 1), 0)</f>
        <v>0</v>
      </c>
      <c r="AD237">
        <f>IF(ISNUMBER(SEARCH(SUBSTITUTE(AD$1,RIGHT(AD$1,2),""),VLOOKUP($D237,素材!$1:$1016,COLUMN($F$1),FALSE))),VLOOKUP($C237,武器!$1:$998,COLUMN($O$1),FALSE)*VLOOKUP($D237,素材!$1:$1016,COLUMN($E$1),FALSE)/(LEN(VLOOKUP($D237,素材!$1:$1016,COLUMN($F$1),FALSE)) - LEN(SUBSTITUTE(VLOOKUP($D237,素材!$1:$1016,COLUMN($F$1),FALSE), "・", 0)) + 1), 0)</f>
        <v>0</v>
      </c>
      <c r="AE237">
        <f>IF(ISNUMBER(SEARCH(SUBSTITUTE(AE$1,RIGHT(AE$1,2),""),VLOOKUP($D237,素材!$1:$1016,COLUMN($F$1),FALSE))),VLOOKUP($C237,武器!$1:$998,COLUMN($O$1),FALSE)*VLOOKUP($D237,素材!$1:$1016,COLUMN($E$1),FALSE)/(LEN(VLOOKUP($D237,素材!$1:$1016,COLUMN($F$1),FALSE)) - LEN(SUBSTITUTE(VLOOKUP($D237,素材!$1:$1016,COLUMN($F$1),FALSE), "・", 0)) + 1), 0)</f>
        <v>0</v>
      </c>
      <c r="AF237">
        <f>IF(ISNUMBER(SEARCH(SUBSTITUTE(AF$1,RIGHT(AF$1,2),""),VLOOKUP($D237,素材!$1:$1016,COLUMN($F$1),FALSE))),VLOOKUP($C237,武器!$1:$998,COLUMN($O$1),FALSE)*VLOOKUP($D237,素材!$1:$1016,COLUMN($E$1),FALSE)/(LEN(VLOOKUP($D237,素材!$1:$1016,COLUMN($F$1),FALSE)) - LEN(SUBSTITUTE(VLOOKUP($D237,素材!$1:$1016,COLUMN($F$1),FALSE), "・", 0)) + 1), 0)</f>
        <v>0</v>
      </c>
      <c r="AG237">
        <f>IF(ISNUMBER(SEARCH(SUBSTITUTE(AG$1,RIGHT(AG$1,2),""),VLOOKUP($D237,素材!$1:$1016,COLUMN($F$1),FALSE))),VLOOKUP($C237,武器!$1:$998,COLUMN($O$1),FALSE)*VLOOKUP($D237,素材!$1:$1016,COLUMN($E$1),FALSE)/(LEN(VLOOKUP($D237,素材!$1:$1016,COLUMN($F$1),FALSE)) - LEN(SUBSTITUTE(VLOOKUP($D237,素材!$1:$1016,COLUMN($F$1),FALSE), "・", 0)) + 1), 0)</f>
        <v>0</v>
      </c>
      <c r="AH237">
        <f>IF(ISNUMBER(SEARCH(SUBSTITUTE(AH$1,RIGHT(AH$1,2),""),VLOOKUP($D237,素材!$1:$1016,COLUMN($F$1),FALSE))),VLOOKUP($C237,武器!$1:$998,COLUMN($O$1),FALSE)*VLOOKUP($D237,素材!$1:$1016,COLUMN($E$1),FALSE)/(LEN(VLOOKUP($D237,素材!$1:$1016,COLUMN($F$1),FALSE)) - LEN(SUBSTITUTE(VLOOKUP($D237,素材!$1:$1016,COLUMN($F$1),FALSE), "・", 0)) + 1), 0)</f>
        <v>0</v>
      </c>
      <c r="AI237">
        <f>IF(ISNUMBER(SEARCH(SUBSTITUTE(AI$1,RIGHT(AI$1,2),""),VLOOKUP($D237,素材!$1:$1016,COLUMN($F$1),FALSE))),VLOOKUP($C237,武器!$1:$998,COLUMN($O$1),FALSE)*VLOOKUP($D237,素材!$1:$1016,COLUMN($E$1),FALSE)/(LEN(VLOOKUP($D237,素材!$1:$1016,COLUMN($F$1),FALSE)) - LEN(SUBSTITUTE(VLOOKUP($D237,素材!$1:$1016,COLUMN($F$1),FALSE), "・", 0)) + 1), 0)</f>
        <v>0</v>
      </c>
      <c r="AJ237">
        <f>IF(ISNUMBER(SEARCH(SUBSTITUTE(AJ$1,RIGHT(AJ$1,2),""),VLOOKUP($D237,素材!$1:$1016,COLUMN($F$1),FALSE))),VLOOKUP($C237,武器!$1:$998,COLUMN($O$1),FALSE)*VLOOKUP($D237,素材!$1:$1016,COLUMN($E$1),FALSE)/(LEN(VLOOKUP($D237,素材!$1:$1016,COLUMN($F$1),FALSE)) - LEN(SUBSTITUTE(VLOOKUP($D237,素材!$1:$1016,COLUMN($F$1),FALSE), "・", 0)) + 1), 0)</f>
        <v>0</v>
      </c>
      <c r="AK237">
        <f>IF(ISNUMBER(SEARCH(SUBSTITUTE(AK$1,RIGHT(AK$1,2),""),VLOOKUP($D237,素材!$1:$1016,COLUMN($F$1),FALSE))),VLOOKUP($C237,武器!$1:$998,COLUMN($O$1),FALSE)*VLOOKUP($D237,素材!$1:$1016,COLUMN($E$1),FALSE)/(LEN(VLOOKUP($D237,素材!$1:$1016,COLUMN($F$1),FALSE)) - LEN(SUBSTITUTE(VLOOKUP($D237,素材!$1:$1016,COLUMN($F$1),FALSE), "・", 0)) + 1), 0)</f>
        <v>0</v>
      </c>
      <c r="AL237">
        <f>IF(ISNUMBER(SEARCH(SUBSTITUTE(AL$1,RIGHT(AL$1,2),""),VLOOKUP($D237,素材!$1:$1016,COLUMN($F$1),FALSE))),VLOOKUP($C237,武器!$1:$998,COLUMN($O$1),FALSE)*VLOOKUP($D237,素材!$1:$1016,COLUMN($E$1),FALSE)/(LEN(VLOOKUP($D237,素材!$1:$1016,COLUMN($F$1),FALSE)) - LEN(SUBSTITUTE(VLOOKUP($D237,素材!$1:$1016,COLUMN($F$1),FALSE), "・", 0)) + 1), 0)</f>
        <v>0</v>
      </c>
      <c r="AM237">
        <f>IF(ISNUMBER(SEARCH(SUBSTITUTE(AM$1,RIGHT(AM$1,2),""),VLOOKUP($D237,素材!$1:$1016,COLUMN($F$1),FALSE))),VLOOKUP($C237,武器!$1:$998,COLUMN($O$1),FALSE)*VLOOKUP($D237,素材!$1:$1016,COLUMN($E$1),FALSE)/(LEN(VLOOKUP($D237,素材!$1:$1016,COLUMN($F$1),FALSE)) - LEN(SUBSTITUTE(VLOOKUP($D237,素材!$1:$1016,COLUMN($F$1),FALSE), "・", 0)) + 1), 0)</f>
        <v>0</v>
      </c>
      <c r="AN237">
        <f>IF(ISNUMBER(SEARCH(SUBSTITUTE(AN$1,RIGHT(AN$1,2),""),VLOOKUP($D237,素材!$1:$1016,COLUMN($F$1),FALSE))),VLOOKUP($C237,武器!$1:$998,COLUMN($O$1),FALSE)*VLOOKUP($D237,素材!$1:$1016,COLUMN($E$1),FALSE)/(LEN(VLOOKUP($D237,素材!$1:$1016,COLUMN($F$1),FALSE)) - LEN(SUBSTITUTE(VLOOKUP($D237,素材!$1:$1016,COLUMN($F$1),FALSE), "・", 0)) + 1), 0)</f>
        <v>0</v>
      </c>
      <c r="AO237">
        <f>IF(ISNUMBER(SEARCH(SUBSTITUTE(AO$1,RIGHT(AO$1,2),""),VLOOKUP($D237,素材!$1:$1016,COLUMN($F$1),FALSE))),VLOOKUP($C237,武器!$1:$998,COLUMN($O$1),FALSE)*VLOOKUP($D237,素材!$1:$1016,COLUMN($E$1),FALSE)/(LEN(VLOOKUP($D237,素材!$1:$1016,COLUMN($F$1),FALSE)) - LEN(SUBSTITUTE(VLOOKUP($D237,素材!$1:$1016,COLUMN($F$1),FALSE), "・", 0)) + 1), 0)</f>
        <v>0</v>
      </c>
      <c r="AP237">
        <f>IF(ISNUMBER(SEARCH(SUBSTITUTE(AP$1,RIGHT(AP$1,2),""),VLOOKUP($D237,素材!$1:$1016,COLUMN($F$1),FALSE))),VLOOKUP($C237,武器!$1:$998,COLUMN($O$1),FALSE)*VLOOKUP($D237,素材!$1:$1016,COLUMN($E$1),FALSE)/(LEN(VLOOKUP($D237,素材!$1:$1016,COLUMN($F$1),FALSE)) - LEN(SUBSTITUTE(VLOOKUP($D237,素材!$1:$1016,COLUMN($F$1),FALSE), "・", 0)) + 1), 0)</f>
        <v>0</v>
      </c>
      <c r="AQ237">
        <f>IF(ISNUMBER(SEARCH(SUBSTITUTE(AQ$1,RIGHT(AQ$1,2),""),VLOOKUP($D237,素材!$1:$1016,COLUMN($F$1),FALSE))),VLOOKUP($C237,武器!$1:$998,COLUMN($O$1),FALSE)*VLOOKUP($D237,素材!$1:$1016,COLUMN($E$1),FALSE)/(LEN(VLOOKUP($D237,素材!$1:$1016,COLUMN($F$1),FALSE)) - LEN(SUBSTITUTE(VLOOKUP($D237,素材!$1:$1016,COLUMN($F$1),FALSE), "・", 0)) + 1), 0)</f>
        <v>0</v>
      </c>
      <c r="AR237">
        <f>IF(ISNUMBER(SEARCH(SUBSTITUTE(AR$1,RIGHT(AR$1,2),""),VLOOKUP($D237,素材!$1:$1016,COLUMN($F$1),FALSE))),VLOOKUP($C237,武器!$1:$998,COLUMN($O$1),FALSE)*VLOOKUP($D237,素材!$1:$1016,COLUMN($E$1),FALSE)/(LEN(VLOOKUP($D237,素材!$1:$1016,COLUMN($F$1),FALSE)) - LEN(SUBSTITUTE(VLOOKUP($D237,素材!$1:$1016,COLUMN($F$1),FALSE), "・", 0)) + 1), 0)</f>
        <v>0</v>
      </c>
      <c r="AS237">
        <f>IF(ISNUMBER(SEARCH(SUBSTITUTE(AS$1,RIGHT(AS$1,2),""),VLOOKUP($D237,素材!$1:$1016,COLUMN($F$1),FALSE))),VLOOKUP($C237,武器!$1:$998,COLUMN($O$1),FALSE)*VLOOKUP($D237,素材!$1:$1016,COLUMN($E$1),FALSE)/(LEN(VLOOKUP($D237,素材!$1:$1016,COLUMN($F$1),FALSE)) - LEN(SUBSTITUTE(VLOOKUP($D237,素材!$1:$1016,COLUMN($F$1),FALSE), "・", 0)) + 1), 0)</f>
        <v>0</v>
      </c>
      <c r="AT237">
        <f>IF(ISNUMBER(SEARCH(SUBSTITUTE(AT$1,RIGHT(AT$1,2),""),VLOOKUP($D237,素材!$1:$1016,COLUMN($F$1),FALSE))),VLOOKUP($C237,武器!$1:$998,COLUMN($O$1),FALSE)*VLOOKUP($D237,素材!$1:$1016,COLUMN($E$1),FALSE)/(LEN(VLOOKUP($D237,素材!$1:$1016,COLUMN($F$1),FALSE)) - LEN(SUBSTITUTE(VLOOKUP($D237,素材!$1:$1016,COLUMN($F$1),FALSE), "・", 0)) + 1), 0)</f>
        <v>0</v>
      </c>
      <c r="AU237">
        <f>IF(ISNUMBER(SEARCH(SUBSTITUTE(AU$1,RIGHT(AU$1,2),""),VLOOKUP($D237,素材!$1:$1016,COLUMN($F$1),FALSE))),VLOOKUP($C237,武器!$1:$998,COLUMN($O$1),FALSE)*VLOOKUP($D237,素材!$1:$1016,COLUMN($E$1),FALSE)/(LEN(VLOOKUP($D237,素材!$1:$1016,COLUMN($F$1),FALSE)) - LEN(SUBSTITUTE(VLOOKUP($D237,素材!$1:$1016,COLUMN($F$1),FALSE), "・", 0)) + 1), 0)</f>
        <v>0</v>
      </c>
      <c r="AV237">
        <f>IF(ISNUMBER(SEARCH(SUBSTITUTE(AV$1,RIGHT(AV$1,2),""),VLOOKUP($D237,素材!$1:$1016,COLUMN($F$1),FALSE))),VLOOKUP($C237,武器!$1:$998,COLUMN($O$1),FALSE)*VLOOKUP($D237,素材!$1:$1016,COLUMN($E$1),FALSE)/(LEN(VLOOKUP($D237,素材!$1:$1016,COLUMN($F$1),FALSE)) - LEN(SUBSTITUTE(VLOOKUP($D237,素材!$1:$1016,COLUMN($F$1),FALSE), "・", 0)) + 1), 0)</f>
        <v>0</v>
      </c>
      <c r="AW237">
        <f>IF(ISNUMBER(SEARCH(SUBSTITUTE(AW$1,RIGHT(AW$1,2),""),VLOOKUP($D237,素材!$1:$1016,COLUMN($F$1),FALSE))),VLOOKUP($C237,武器!$1:$998,COLUMN($O$1),FALSE)*VLOOKUP($D237,素材!$1:$1016,COLUMN($E$1),FALSE)/(LEN(VLOOKUP($D237,素材!$1:$1016,COLUMN($F$1),FALSE)) - LEN(SUBSTITUTE(VLOOKUP($D237,素材!$1:$1016,COLUMN($F$1),FALSE), "・", 0)) + 1), 0)</f>
        <v>0</v>
      </c>
      <c r="AX237">
        <f>IF(ISNUMBER(SEARCH(SUBSTITUTE(AX$1,RIGHT(AX$1,2),""),VLOOKUP($D237,素材!$1:$1016,COLUMN($F$1),FALSE))),VLOOKUP($C237,武器!$1:$998,COLUMN($O$1),FALSE)*VLOOKUP($D237,素材!$1:$1016,COLUMN($E$1),FALSE)/(LEN(VLOOKUP($D237,素材!$1:$1016,COLUMN($F$1),FALSE)) - LEN(SUBSTITUTE(VLOOKUP($D237,素材!$1:$1016,COLUMN($F$1),FALSE), "・", 0)) + 1), 0)</f>
        <v>0</v>
      </c>
      <c r="AY237">
        <f>IF(ISNUMBER(SEARCH(SUBSTITUTE(AY$1,RIGHT(AY$1,2),""),VLOOKUP($D237,素材!$1:$1016,COLUMN($F$1),FALSE))),VLOOKUP($C237,武器!$1:$998,COLUMN($O$1),FALSE)*VLOOKUP($D237,素材!$1:$1016,COLUMN($E$1),FALSE)/(LEN(VLOOKUP($D237,素材!$1:$1016,COLUMN($F$1),FALSE)) - LEN(SUBSTITUTE(VLOOKUP($D237,素材!$1:$1016,COLUMN($F$1),FALSE), "・", 0)) + 1), 0)</f>
        <v>0</v>
      </c>
      <c r="AZ237">
        <f>IF(ISNUMBER(SEARCH(SUBSTITUTE(AZ$1,RIGHT(AZ$1,2),""),VLOOKUP($D237,素材!$1:$1016,COLUMN($F$1),FALSE))),VLOOKUP($C237,武器!$1:$998,COLUMN($O$1),FALSE)*VLOOKUP($D237,素材!$1:$1016,COLUMN($E$1),FALSE)/(LEN(VLOOKUP($D237,素材!$1:$1016,COLUMN($F$1),FALSE)) - LEN(SUBSTITUTE(VLOOKUP($D237,素材!$1:$1016,COLUMN($F$1),FALSE), "・", 0)) + 1), 0)</f>
        <v>0</v>
      </c>
      <c r="BA237">
        <f>IF(ISNUMBER(SEARCH(SUBSTITUTE(BA$1,RIGHT(BA$1,2),""),VLOOKUP($D237,素材!$1:$1016,COLUMN($F$1),FALSE))),VLOOKUP($C237,武器!$1:$998,COLUMN($O$1),FALSE)*VLOOKUP($D237,素材!$1:$1016,COLUMN($E$1),FALSE)/(LEN(VLOOKUP($D237,素材!$1:$1016,COLUMN($F$1),FALSE)) - LEN(SUBSTITUTE(VLOOKUP($D237,素材!$1:$1016,COLUMN($F$1),FALSE), "・", 0)) + 1), 0)</f>
        <v>0</v>
      </c>
      <c r="BB237">
        <f>IF(ISNUMBER(SEARCH(SUBSTITUTE(BB$1,RIGHT(BB$1,2),""),VLOOKUP($D237,素材!$1:$1016,COLUMN($F$1),FALSE))),VLOOKUP($C237,武器!$1:$998,COLUMN($O$1),FALSE)*VLOOKUP($D237,素材!$1:$1016,COLUMN($E$1),FALSE)/(LEN(VLOOKUP($D237,素材!$1:$1016,COLUMN($F$1),FALSE)) - LEN(SUBSTITUTE(VLOOKUP($D237,素材!$1:$1016,COLUMN($F$1),FALSE), "・", 0)) + 1), 0)</f>
        <v>0</v>
      </c>
      <c r="BC237">
        <f>IF(ISNUMBER(SEARCH(SUBSTITUTE(BC$1,RIGHT(BC$1,2),""),VLOOKUP($D237,素材!$1:$1016,COLUMN($F$1),FALSE))),VLOOKUP($C237,武器!$1:$998,COLUMN($O$1),FALSE)*VLOOKUP($D237,素材!$1:$1016,COLUMN($E$1),FALSE)/(LEN(VLOOKUP($D237,素材!$1:$1016,COLUMN($F$1),FALSE)) - LEN(SUBSTITUTE(VLOOKUP($D237,素材!$1:$1016,COLUMN($F$1),FALSE), "・", 0)) + 1), 0)</f>
        <v>0</v>
      </c>
      <c r="BD237">
        <f>IF(ISNUMBER(SEARCH(SUBSTITUTE(BD$1,RIGHT(BD$1,2),""),VLOOKUP($D237,素材!$1:$1016,COLUMN($F$1),FALSE))),VLOOKUP($C237,武器!$1:$998,COLUMN($O$1),FALSE)*VLOOKUP($D237,素材!$1:$1016,COLUMN($E$1),FALSE)/(LEN(VLOOKUP($D237,素材!$1:$1016,COLUMN($F$1),FALSE)) - LEN(SUBSTITUTE(VLOOKUP($D237,素材!$1:$1016,COLUMN($F$1),FALSE), "・", 0)) + 1), 0)</f>
        <v>0</v>
      </c>
      <c r="BE237">
        <f>IF(ISNUMBER(SEARCH(SUBSTITUTE(BE$1,RIGHT(BE$1,2),""),VLOOKUP($D237,素材!$1:$1016,COLUMN($F$1),FALSE))),VLOOKUP($C237,武器!$1:$998,COLUMN($O$1),FALSE)*VLOOKUP($D237,素材!$1:$1016,COLUMN($E$1),FALSE)/(LEN(VLOOKUP($D237,素材!$1:$1016,COLUMN($F$1),FALSE)) - LEN(SUBSTITUTE(VLOOKUP($D237,素材!$1:$1016,COLUMN($F$1),FALSE), "・", 0)) + 1), 0)</f>
        <v>0</v>
      </c>
      <c r="CL237">
        <f>SUM(G237:I237)</f>
        <v>31</v>
      </c>
      <c r="CM237" s="22" t="str">
        <f>IF(E237="武器",IF(J237-1&gt;SUM(G237:I237),"盾",IF(MAX(G237:I237)=G237,"切断",IF(MAX(G237:I237)=H237,"貫通",IF(MAX(G237:I237)=I237,"打撃","射撃")))),E237)&amp;".webp"</f>
        <v>切断.webp</v>
      </c>
      <c r="CN237">
        <f>IFERROR(VLOOKUP($C237,武器!$1:$998,COLUMN(V$1),FALSE)*VLOOKUP($D237,素材!$1:$1016,COLUMN(N$1),FALSE)+IF(CI237="",0,VLOOKUP($CI237,装強!$1:$1008,COLUMN($CK$1),FALSE)),"")</f>
        <v>4500</v>
      </c>
      <c r="CO237">
        <f>VLOOKUP(D237,素材!$A:$O,COLUMN(素材!O$1),FALSE)</f>
        <v>0</v>
      </c>
      <c r="CP237" t="str">
        <f>VLOOKUP(C237,武器!$A:$W,COLUMN(武器!W$1),FALSE)</f>
        <v>大剣。非常に重いが威力が突出して高い武器。大きい分ガードにも向いている</v>
      </c>
      <c r="CR237" t="str">
        <f t="shared" si="29"/>
        <v>e_237</v>
      </c>
      <c r="CS237">
        <f t="shared" si="30"/>
        <v>450000</v>
      </c>
    </row>
    <row r="238" spans="1:97" outlineLevel="1" x14ac:dyDescent="0.4">
      <c r="A238" t="str">
        <f t="shared" si="31"/>
        <v>熱鉄の細剣</v>
      </c>
      <c r="B238" t="str">
        <f>IFERROR(VLOOKUP($D238,素材!$1:$1016,COLUMN($B$1),FALSE)&amp;"・"&amp;VLOOKUP($C238,武器!$1:$998,COLUMN(B$1),FALSE),"")</f>
        <v>ヒートスティール・レイピア</v>
      </c>
      <c r="C238" s="24" t="s">
        <v>236</v>
      </c>
      <c r="D238" s="24" t="s">
        <v>205</v>
      </c>
      <c r="E238" t="str">
        <f>IFERROR(VLOOKUP(C238,武器!$1:$998,COLUMN(C$1),FALSE),"")</f>
        <v>武器</v>
      </c>
      <c r="F238">
        <f>IFERROR(ROUNDDOWN((VLOOKUP($C238,武器!$1:$998,COLUMN(D$1),FALSE)+IFERROR(VLOOKUP($CI238,装強!$1:$999,COLUMN(F$1),FALSE),0))*VLOOKUP($D238,素材!$1:$1016,COLUMN(D$1),FALSE),0),"")</f>
        <v>100</v>
      </c>
      <c r="G238">
        <f>IFERROR(ROUNDDOWN((VLOOKUP($C238,武器!$1:$998,COLUMN(E$1),FALSE)+IFERROR(VLOOKUP($CI238,装強!$1:$999,COLUMN(G$1),FALSE),0))*VLOOKUP($D238,素材!$1:$1016,COLUMN($E$1),FALSE),0),"")</f>
        <v>9</v>
      </c>
      <c r="H238">
        <f>IFERROR(ROUNDDOWN((VLOOKUP($C238,武器!$1:$998,COLUMN(F$1),FALSE)+IFERROR(VLOOKUP($CI238,装強!$1:$999,COLUMN(H$1),FALSE),0))*VLOOKUP($D238,素材!$1:$1016,COLUMN($E$1),FALSE),0),"")</f>
        <v>13</v>
      </c>
      <c r="I238">
        <f>IFERROR(ROUNDDOWN((VLOOKUP($C238,武器!$1:$998,COLUMN(G$1),FALSE)+IFERROR(VLOOKUP($CI238,装強!$1:$999,COLUMN(I$1),FALSE),0))*VLOOKUP($D238,素材!$1:$1016,COLUMN($E$1),FALSE),0),"")</f>
        <v>0</v>
      </c>
      <c r="J238">
        <f>IFERROR(ROUNDDOWN((VLOOKUP($C238,武器!$1:$998,COLUMN(H$1),FALSE)+IFERROR(VLOOKUP($CI238,装強!$1:$999,COLUMN(J$1),FALSE),0))*VLOOKUP($D238,素材!$1:$1016,COLUMN($E$1),FALSE),0),"")</f>
        <v>16</v>
      </c>
      <c r="K238">
        <f>IFERROR(ROUNDDOWN((VLOOKUP($C238,武器!$1:$998,COLUMN(I$1),FALSE)+IFERROR(VLOOKUP($CI238,装強!$1:$999,COLUMN(K$1),FALSE),0))*VLOOKUP($D238,素材!$1:$1016,COLUMN($E$1),FALSE),0),"")</f>
        <v>0</v>
      </c>
      <c r="L238" t="str">
        <f>IFERROR(VLOOKUP($D238,素材!$1:$1016,COLUMN($F$1),FALSE),"")</f>
        <v>炎</v>
      </c>
      <c r="M238">
        <f>IFERROR(VLOOKUP($C238,武器!$1:$998,COLUMN(AA$1),FALSE)*VLOOKUP($D238,素材!$1:$1016,COLUMN($G$1),FALSE),"")</f>
        <v>42</v>
      </c>
      <c r="N238">
        <f>IFERROR(VLOOKUP($C238,武器!$1:$998,COLUMN(I$1),FALSE),"")</f>
        <v>0</v>
      </c>
      <c r="O238" s="23">
        <f>IFERROR((VLOOKUP($C238,武器!$1:$998,COLUMN(K$1),FALSE)+VLOOKUP($D238,素材!$1:$1016,COLUMN(H$1),FALSE))*100+IFERROR(VLOOKUP($CI238,装強!$1:$999,COLUMN(O$1),FALSE),0),"")</f>
        <v>15</v>
      </c>
      <c r="P238" s="23">
        <f>IFERROR((VLOOKUP($C238,武器!$1:$998,COLUMN(L$1),FALSE)+VLOOKUP($D238,素材!$1:$1016,COLUMN(I$1),FALSE))*100+IFERROR(VLOOKUP($CI238,装強!$1:$999,COLUMN(P$1),FALSE),0),"")</f>
        <v>125</v>
      </c>
      <c r="Q238">
        <f>IFERROR(ROUNDUP(VLOOKUP($C238,武器!$1:$998,COLUMN(M$1),FALSE)*(VLOOKUP($D238,素材!$1:$1002,COLUMN(D$1),FALSE)/100),1),"")</f>
        <v>0</v>
      </c>
      <c r="R238">
        <f>IFERROR(ROUNDUP(VLOOKUP($C238,武器!$1:$998,COLUMN(N$1),FALSE)*(VLOOKUP($D238,素材!$1:$1002,COLUMN(D$1),FALSE)/100),1),"")</f>
        <v>0</v>
      </c>
      <c r="S238">
        <f>IFERROR(VLOOKUP($C238,武器!$1:$998,COLUMN(P$1),FALSE),"")</f>
        <v>0</v>
      </c>
      <c r="T238">
        <f>IFERROR(VLOOKUP($C238,武器!$1:$998,COLUMN(Q$1),FALSE),"")</f>
        <v>0</v>
      </c>
      <c r="U238">
        <f>IFERROR(VLOOKUP($C238,武器!$1:$998,COLUMN(R$1),FALSE),"")</f>
        <v>0</v>
      </c>
      <c r="V238">
        <f>IFERROR(VLOOKUP($C238,武器!$1:$998,COLUMN(Q$1),FALSE),"")</f>
        <v>0</v>
      </c>
      <c r="W238" t="str">
        <f>IFERROR(VLOOKUP($C238,武器!$1:$998,COLUMN(T$1),FALSE),"")</f>
        <v>A</v>
      </c>
      <c r="Y238" t="str">
        <f>IFERROR(VLOOKUP($C238,武器!$1:$998,COLUMN(U$1),FALSE),"")</f>
        <v>片手適正Ⅰ</v>
      </c>
      <c r="Z238">
        <f>IFERROR(ROUNDUP(VLOOKUP($C238,武器!$1:$998,COLUMN(O$1),FALSE)*VLOOKUP($D238,素材!$1:$1016,COLUMN(E$1),FALSE),1),"")</f>
        <v>0</v>
      </c>
      <c r="AA238">
        <f>IF(ISNUMBER(SEARCH(SUBSTITUTE(AA$1,RIGHT(AA$1,2),""),VLOOKUP($D238,素材!$1:$1016,COLUMN($F$1),FALSE))),VLOOKUP($C238,武器!$1:$998,COLUMN($O$1),FALSE)*VLOOKUP($D238,素材!$1:$1016,COLUMN($E$1),FALSE)/(LEN(VLOOKUP($D238,素材!$1:$1016,COLUMN($F$1),FALSE)) - LEN(SUBSTITUTE(VLOOKUP($D238,素材!$1:$1016,COLUMN($F$1),FALSE), "・", 0)) + 1), 0)</f>
        <v>0</v>
      </c>
      <c r="AB238">
        <f>IF(ISNUMBER(SEARCH(SUBSTITUTE(AB$1,RIGHT(AB$1,2),""),VLOOKUP($D238,素材!$1:$1016,COLUMN($F$1),FALSE))),VLOOKUP($C238,武器!$1:$998,COLUMN($O$1),FALSE)*VLOOKUP($D238,素材!$1:$1016,COLUMN($E$1),FALSE)/(LEN(VLOOKUP($D238,素材!$1:$1016,COLUMN($F$1),FALSE)) - LEN(SUBSTITUTE(VLOOKUP($D238,素材!$1:$1016,COLUMN($F$1),FALSE), "・", 0)) + 1), 0)</f>
        <v>0</v>
      </c>
      <c r="AC238">
        <f>IF(ISNUMBER(SEARCH(SUBSTITUTE(AC$1,RIGHT(AC$1,2),""),VLOOKUP($D238,素材!$1:$1016,COLUMN($F$1),FALSE))),VLOOKUP($C238,武器!$1:$998,COLUMN($O$1),FALSE)*VLOOKUP($D238,素材!$1:$1016,COLUMN($E$1),FALSE)/(LEN(VLOOKUP($D238,素材!$1:$1016,COLUMN($F$1),FALSE)) - LEN(SUBSTITUTE(VLOOKUP($D238,素材!$1:$1016,COLUMN($F$1),FALSE), "・", 0)) + 1), 0)</f>
        <v>0</v>
      </c>
      <c r="AD238">
        <f>IF(ISNUMBER(SEARCH(SUBSTITUTE(AD$1,RIGHT(AD$1,2),""),VLOOKUP($D238,素材!$1:$1016,COLUMN($F$1),FALSE))),VLOOKUP($C238,武器!$1:$998,COLUMN($O$1),FALSE)*VLOOKUP($D238,素材!$1:$1016,COLUMN($E$1),FALSE)/(LEN(VLOOKUP($D238,素材!$1:$1016,COLUMN($F$1),FALSE)) - LEN(SUBSTITUTE(VLOOKUP($D238,素材!$1:$1016,COLUMN($F$1),FALSE), "・", 0)) + 1), 0)</f>
        <v>0</v>
      </c>
      <c r="AE238">
        <f>IF(ISNUMBER(SEARCH(SUBSTITUTE(AE$1,RIGHT(AE$1,2),""),VLOOKUP($D238,素材!$1:$1016,COLUMN($F$1),FALSE))),VLOOKUP($C238,武器!$1:$998,COLUMN($O$1),FALSE)*VLOOKUP($D238,素材!$1:$1016,COLUMN($E$1),FALSE)/(LEN(VLOOKUP($D238,素材!$1:$1016,COLUMN($F$1),FALSE)) - LEN(SUBSTITUTE(VLOOKUP($D238,素材!$1:$1016,COLUMN($F$1),FALSE), "・", 0)) + 1), 0)</f>
        <v>0</v>
      </c>
      <c r="AF238">
        <f>IF(ISNUMBER(SEARCH(SUBSTITUTE(AF$1,RIGHT(AF$1,2),""),VLOOKUP($D238,素材!$1:$1016,COLUMN($F$1),FALSE))),VLOOKUP($C238,武器!$1:$998,COLUMN($O$1),FALSE)*VLOOKUP($D238,素材!$1:$1016,COLUMN($E$1),FALSE)/(LEN(VLOOKUP($D238,素材!$1:$1016,COLUMN($F$1),FALSE)) - LEN(SUBSTITUTE(VLOOKUP($D238,素材!$1:$1016,COLUMN($F$1),FALSE), "・", 0)) + 1), 0)</f>
        <v>0</v>
      </c>
      <c r="AG238">
        <f>IF(ISNUMBER(SEARCH(SUBSTITUTE(AG$1,RIGHT(AG$1,2),""),VLOOKUP($D238,素材!$1:$1016,COLUMN($F$1),FALSE))),VLOOKUP($C238,武器!$1:$998,COLUMN($O$1),FALSE)*VLOOKUP($D238,素材!$1:$1016,COLUMN($E$1),FALSE)/(LEN(VLOOKUP($D238,素材!$1:$1016,COLUMN($F$1),FALSE)) - LEN(SUBSTITUTE(VLOOKUP($D238,素材!$1:$1016,COLUMN($F$1),FALSE), "・", 0)) + 1), 0)</f>
        <v>0</v>
      </c>
      <c r="AH238">
        <f>IF(ISNUMBER(SEARCH(SUBSTITUTE(AH$1,RIGHT(AH$1,2),""),VLOOKUP($D238,素材!$1:$1016,COLUMN($F$1),FALSE))),VLOOKUP($C238,武器!$1:$998,COLUMN($O$1),FALSE)*VLOOKUP($D238,素材!$1:$1016,COLUMN($E$1),FALSE)/(LEN(VLOOKUP($D238,素材!$1:$1016,COLUMN($F$1),FALSE)) - LEN(SUBSTITUTE(VLOOKUP($D238,素材!$1:$1016,COLUMN($F$1),FALSE), "・", 0)) + 1), 0)</f>
        <v>0</v>
      </c>
      <c r="AI238">
        <f>IF(ISNUMBER(SEARCH(SUBSTITUTE(AI$1,RIGHT(AI$1,2),""),VLOOKUP($D238,素材!$1:$1016,COLUMN($F$1),FALSE))),VLOOKUP($C238,武器!$1:$998,COLUMN($O$1),FALSE)*VLOOKUP($D238,素材!$1:$1016,COLUMN($E$1),FALSE)/(LEN(VLOOKUP($D238,素材!$1:$1016,COLUMN($F$1),FALSE)) - LEN(SUBSTITUTE(VLOOKUP($D238,素材!$1:$1016,COLUMN($F$1),FALSE), "・", 0)) + 1), 0)</f>
        <v>0</v>
      </c>
      <c r="AJ238">
        <f>IF(ISNUMBER(SEARCH(SUBSTITUTE(AJ$1,RIGHT(AJ$1,2),""),VLOOKUP($D238,素材!$1:$1016,COLUMN($F$1),FALSE))),VLOOKUP($C238,武器!$1:$998,COLUMN($O$1),FALSE)*VLOOKUP($D238,素材!$1:$1016,COLUMN($E$1),FALSE)/(LEN(VLOOKUP($D238,素材!$1:$1016,COLUMN($F$1),FALSE)) - LEN(SUBSTITUTE(VLOOKUP($D238,素材!$1:$1016,COLUMN($F$1),FALSE), "・", 0)) + 1), 0)</f>
        <v>0</v>
      </c>
      <c r="AK238">
        <f>IF(ISNUMBER(SEARCH(SUBSTITUTE(AK$1,RIGHT(AK$1,2),""),VLOOKUP($D238,素材!$1:$1016,COLUMN($F$1),FALSE))),VLOOKUP($C238,武器!$1:$998,COLUMN($O$1),FALSE)*VLOOKUP($D238,素材!$1:$1016,COLUMN($E$1),FALSE)/(LEN(VLOOKUP($D238,素材!$1:$1016,COLUMN($F$1),FALSE)) - LEN(SUBSTITUTE(VLOOKUP($D238,素材!$1:$1016,COLUMN($F$1),FALSE), "・", 0)) + 1), 0)</f>
        <v>0</v>
      </c>
      <c r="AL238">
        <f>IF(ISNUMBER(SEARCH(SUBSTITUTE(AL$1,RIGHT(AL$1,2),""),VLOOKUP($D238,素材!$1:$1016,COLUMN($F$1),FALSE))),VLOOKUP($C238,武器!$1:$998,COLUMN($O$1),FALSE)*VLOOKUP($D238,素材!$1:$1016,COLUMN($E$1),FALSE)/(LEN(VLOOKUP($D238,素材!$1:$1016,COLUMN($F$1),FALSE)) - LEN(SUBSTITUTE(VLOOKUP($D238,素材!$1:$1016,COLUMN($F$1),FALSE), "・", 0)) + 1), 0)</f>
        <v>0</v>
      </c>
      <c r="AM238">
        <f>IF(ISNUMBER(SEARCH(SUBSTITUTE(AM$1,RIGHT(AM$1,2),""),VLOOKUP($D238,素材!$1:$1016,COLUMN($F$1),FALSE))),VLOOKUP($C238,武器!$1:$998,COLUMN($O$1),FALSE)*VLOOKUP($D238,素材!$1:$1016,COLUMN($E$1),FALSE)/(LEN(VLOOKUP($D238,素材!$1:$1016,COLUMN($F$1),FALSE)) - LEN(SUBSTITUTE(VLOOKUP($D238,素材!$1:$1016,COLUMN($F$1),FALSE), "・", 0)) + 1), 0)</f>
        <v>0</v>
      </c>
      <c r="AN238">
        <f>IF(ISNUMBER(SEARCH(SUBSTITUTE(AN$1,RIGHT(AN$1,2),""),VLOOKUP($D238,素材!$1:$1016,COLUMN($F$1),FALSE))),VLOOKUP($C238,武器!$1:$998,COLUMN($O$1),FALSE)*VLOOKUP($D238,素材!$1:$1016,COLUMN($E$1),FALSE)/(LEN(VLOOKUP($D238,素材!$1:$1016,COLUMN($F$1),FALSE)) - LEN(SUBSTITUTE(VLOOKUP($D238,素材!$1:$1016,COLUMN($F$1),FALSE), "・", 0)) + 1), 0)</f>
        <v>0</v>
      </c>
      <c r="AO238">
        <f>IF(ISNUMBER(SEARCH(SUBSTITUTE(AO$1,RIGHT(AO$1,2),""),VLOOKUP($D238,素材!$1:$1016,COLUMN($F$1),FALSE))),VLOOKUP($C238,武器!$1:$998,COLUMN($O$1),FALSE)*VLOOKUP($D238,素材!$1:$1016,COLUMN($E$1),FALSE)/(LEN(VLOOKUP($D238,素材!$1:$1016,COLUMN($F$1),FALSE)) - LEN(SUBSTITUTE(VLOOKUP($D238,素材!$1:$1016,COLUMN($F$1),FALSE), "・", 0)) + 1), 0)</f>
        <v>0</v>
      </c>
      <c r="AP238">
        <f>IF(ISNUMBER(SEARCH(SUBSTITUTE(AP$1,RIGHT(AP$1,2),""),VLOOKUP($D238,素材!$1:$1016,COLUMN($F$1),FALSE))),VLOOKUP($C238,武器!$1:$998,COLUMN($O$1),FALSE)*VLOOKUP($D238,素材!$1:$1016,COLUMN($E$1),FALSE)/(LEN(VLOOKUP($D238,素材!$1:$1016,COLUMN($F$1),FALSE)) - LEN(SUBSTITUTE(VLOOKUP($D238,素材!$1:$1016,COLUMN($F$1),FALSE), "・", 0)) + 1), 0)</f>
        <v>0</v>
      </c>
      <c r="AQ238">
        <f>IF(ISNUMBER(SEARCH(SUBSTITUTE(AQ$1,RIGHT(AQ$1,2),""),VLOOKUP($D238,素材!$1:$1016,COLUMN($F$1),FALSE))),VLOOKUP($C238,武器!$1:$998,COLUMN($O$1),FALSE)*VLOOKUP($D238,素材!$1:$1016,COLUMN($E$1),FALSE)/(LEN(VLOOKUP($D238,素材!$1:$1016,COLUMN($F$1),FALSE)) - LEN(SUBSTITUTE(VLOOKUP($D238,素材!$1:$1016,COLUMN($F$1),FALSE), "・", 0)) + 1), 0)</f>
        <v>0</v>
      </c>
      <c r="AR238">
        <f>IF(ISNUMBER(SEARCH(SUBSTITUTE(AR$1,RIGHT(AR$1,2),""),VLOOKUP($D238,素材!$1:$1016,COLUMN($F$1),FALSE))),VLOOKUP($C238,武器!$1:$998,COLUMN($O$1),FALSE)*VLOOKUP($D238,素材!$1:$1016,COLUMN($E$1),FALSE)/(LEN(VLOOKUP($D238,素材!$1:$1016,COLUMN($F$1),FALSE)) - LEN(SUBSTITUTE(VLOOKUP($D238,素材!$1:$1016,COLUMN($F$1),FALSE), "・", 0)) + 1), 0)</f>
        <v>0</v>
      </c>
      <c r="AS238">
        <f>IF(ISNUMBER(SEARCH(SUBSTITUTE(AS$1,RIGHT(AS$1,2),""),VLOOKUP($D238,素材!$1:$1016,COLUMN($F$1),FALSE))),VLOOKUP($C238,武器!$1:$998,COLUMN($O$1),FALSE)*VLOOKUP($D238,素材!$1:$1016,COLUMN($E$1),FALSE)/(LEN(VLOOKUP($D238,素材!$1:$1016,COLUMN($F$1),FALSE)) - LEN(SUBSTITUTE(VLOOKUP($D238,素材!$1:$1016,COLUMN($F$1),FALSE), "・", 0)) + 1), 0)</f>
        <v>0</v>
      </c>
      <c r="AT238">
        <f>IF(ISNUMBER(SEARCH(SUBSTITUTE(AT$1,RIGHT(AT$1,2),""),VLOOKUP($D238,素材!$1:$1016,COLUMN($F$1),FALSE))),VLOOKUP($C238,武器!$1:$998,COLUMN($O$1),FALSE)*VLOOKUP($D238,素材!$1:$1016,COLUMN($E$1),FALSE)/(LEN(VLOOKUP($D238,素材!$1:$1016,COLUMN($F$1),FALSE)) - LEN(SUBSTITUTE(VLOOKUP($D238,素材!$1:$1016,COLUMN($F$1),FALSE), "・", 0)) + 1), 0)</f>
        <v>0</v>
      </c>
      <c r="AU238">
        <f>IF(ISNUMBER(SEARCH(SUBSTITUTE(AU$1,RIGHT(AU$1,2),""),VLOOKUP($D238,素材!$1:$1016,COLUMN($F$1),FALSE))),VLOOKUP($C238,武器!$1:$998,COLUMN($O$1),FALSE)*VLOOKUP($D238,素材!$1:$1016,COLUMN($E$1),FALSE)/(LEN(VLOOKUP($D238,素材!$1:$1016,COLUMN($F$1),FALSE)) - LEN(SUBSTITUTE(VLOOKUP($D238,素材!$1:$1016,COLUMN($F$1),FALSE), "・", 0)) + 1), 0)</f>
        <v>0</v>
      </c>
      <c r="AV238">
        <f>IF(ISNUMBER(SEARCH(SUBSTITUTE(AV$1,RIGHT(AV$1,2),""),VLOOKUP($D238,素材!$1:$1016,COLUMN($F$1),FALSE))),VLOOKUP($C238,武器!$1:$998,COLUMN($O$1),FALSE)*VLOOKUP($D238,素材!$1:$1016,COLUMN($E$1),FALSE)/(LEN(VLOOKUP($D238,素材!$1:$1016,COLUMN($F$1),FALSE)) - LEN(SUBSTITUTE(VLOOKUP($D238,素材!$1:$1016,COLUMN($F$1),FALSE), "・", 0)) + 1), 0)</f>
        <v>0</v>
      </c>
      <c r="AW238">
        <f>IF(ISNUMBER(SEARCH(SUBSTITUTE(AW$1,RIGHT(AW$1,2),""),VLOOKUP($D238,素材!$1:$1016,COLUMN($F$1),FALSE))),VLOOKUP($C238,武器!$1:$998,COLUMN($O$1),FALSE)*VLOOKUP($D238,素材!$1:$1016,COLUMN($E$1),FALSE)/(LEN(VLOOKUP($D238,素材!$1:$1016,COLUMN($F$1),FALSE)) - LEN(SUBSTITUTE(VLOOKUP($D238,素材!$1:$1016,COLUMN($F$1),FALSE), "・", 0)) + 1), 0)</f>
        <v>0</v>
      </c>
      <c r="AX238">
        <f>IF(ISNUMBER(SEARCH(SUBSTITUTE(AX$1,RIGHT(AX$1,2),""),VLOOKUP($D238,素材!$1:$1016,COLUMN($F$1),FALSE))),VLOOKUP($C238,武器!$1:$998,COLUMN($O$1),FALSE)*VLOOKUP($D238,素材!$1:$1016,COLUMN($E$1),FALSE)/(LEN(VLOOKUP($D238,素材!$1:$1016,COLUMN($F$1),FALSE)) - LEN(SUBSTITUTE(VLOOKUP($D238,素材!$1:$1016,COLUMN($F$1),FALSE), "・", 0)) + 1), 0)</f>
        <v>0</v>
      </c>
      <c r="AY238">
        <f>IF(ISNUMBER(SEARCH(SUBSTITUTE(AY$1,RIGHT(AY$1,2),""),VLOOKUP($D238,素材!$1:$1016,COLUMN($F$1),FALSE))),VLOOKUP($C238,武器!$1:$998,COLUMN($O$1),FALSE)*VLOOKUP($D238,素材!$1:$1016,COLUMN($E$1),FALSE)/(LEN(VLOOKUP($D238,素材!$1:$1016,COLUMN($F$1),FALSE)) - LEN(SUBSTITUTE(VLOOKUP($D238,素材!$1:$1016,COLUMN($F$1),FALSE), "・", 0)) + 1), 0)</f>
        <v>0</v>
      </c>
      <c r="AZ238">
        <f>IF(ISNUMBER(SEARCH(SUBSTITUTE(AZ$1,RIGHT(AZ$1,2),""),VLOOKUP($D238,素材!$1:$1016,COLUMN($F$1),FALSE))),VLOOKUP($C238,武器!$1:$998,COLUMN($O$1),FALSE)*VLOOKUP($D238,素材!$1:$1016,COLUMN($E$1),FALSE)/(LEN(VLOOKUP($D238,素材!$1:$1016,COLUMN($F$1),FALSE)) - LEN(SUBSTITUTE(VLOOKUP($D238,素材!$1:$1016,COLUMN($F$1),FALSE), "・", 0)) + 1), 0)</f>
        <v>0</v>
      </c>
      <c r="BA238">
        <f>IF(ISNUMBER(SEARCH(SUBSTITUTE(BA$1,RIGHT(BA$1,2),""),VLOOKUP($D238,素材!$1:$1016,COLUMN($F$1),FALSE))),VLOOKUP($C238,武器!$1:$998,COLUMN($O$1),FALSE)*VLOOKUP($D238,素材!$1:$1016,COLUMN($E$1),FALSE)/(LEN(VLOOKUP($D238,素材!$1:$1016,COLUMN($F$1),FALSE)) - LEN(SUBSTITUTE(VLOOKUP($D238,素材!$1:$1016,COLUMN($F$1),FALSE), "・", 0)) + 1), 0)</f>
        <v>0</v>
      </c>
      <c r="BB238">
        <f>IF(ISNUMBER(SEARCH(SUBSTITUTE(BB$1,RIGHT(BB$1,2),""),VLOOKUP($D238,素材!$1:$1016,COLUMN($F$1),FALSE))),VLOOKUP($C238,武器!$1:$998,COLUMN($O$1),FALSE)*VLOOKUP($D238,素材!$1:$1016,COLUMN($E$1),FALSE)/(LEN(VLOOKUP($D238,素材!$1:$1016,COLUMN($F$1),FALSE)) - LEN(SUBSTITUTE(VLOOKUP($D238,素材!$1:$1016,COLUMN($F$1),FALSE), "・", 0)) + 1), 0)</f>
        <v>0</v>
      </c>
      <c r="BC238">
        <f>IF(ISNUMBER(SEARCH(SUBSTITUTE(BC$1,RIGHT(BC$1,2),""),VLOOKUP($D238,素材!$1:$1016,COLUMN($F$1),FALSE))),VLOOKUP($C238,武器!$1:$998,COLUMN($O$1),FALSE)*VLOOKUP($D238,素材!$1:$1016,COLUMN($E$1),FALSE)/(LEN(VLOOKUP($D238,素材!$1:$1016,COLUMN($F$1),FALSE)) - LEN(SUBSTITUTE(VLOOKUP($D238,素材!$1:$1016,COLUMN($F$1),FALSE), "・", 0)) + 1), 0)</f>
        <v>0</v>
      </c>
      <c r="BD238">
        <f>IF(ISNUMBER(SEARCH(SUBSTITUTE(BD$1,RIGHT(BD$1,2),""),VLOOKUP($D238,素材!$1:$1016,COLUMN($F$1),FALSE))),VLOOKUP($C238,武器!$1:$998,COLUMN($O$1),FALSE)*VLOOKUP($D238,素材!$1:$1016,COLUMN($E$1),FALSE)/(LEN(VLOOKUP($D238,素材!$1:$1016,COLUMN($F$1),FALSE)) - LEN(SUBSTITUTE(VLOOKUP($D238,素材!$1:$1016,COLUMN($F$1),FALSE), "・", 0)) + 1), 0)</f>
        <v>0</v>
      </c>
      <c r="BE238">
        <f>IF(ISNUMBER(SEARCH(SUBSTITUTE(BE$1,RIGHT(BE$1,2),""),VLOOKUP($D238,素材!$1:$1016,COLUMN($F$1),FALSE))),VLOOKUP($C238,武器!$1:$998,COLUMN($O$1),FALSE)*VLOOKUP($D238,素材!$1:$1016,COLUMN($E$1),FALSE)/(LEN(VLOOKUP($D238,素材!$1:$1016,COLUMN($F$1),FALSE)) - LEN(SUBSTITUTE(VLOOKUP($D238,素材!$1:$1016,COLUMN($F$1),FALSE), "・", 0)) + 1), 0)</f>
        <v>0</v>
      </c>
      <c r="CL238">
        <f>SUM(G238:I238)</f>
        <v>22</v>
      </c>
      <c r="CM238" s="22" t="str">
        <f>IF(E238="武器",IF(J238-1&gt;SUM(G238:I238),"盾",IF(MAX(G238:I238)=G238,"切断",IF(MAX(G238:I238)=H238,"貫通",IF(MAX(G238:I238)=I238,"打撃","射撃")))),E238)&amp;".webp"</f>
        <v>貫通.webp</v>
      </c>
      <c r="CN238">
        <f>IFERROR(VLOOKUP($C238,武器!$1:$998,COLUMN(V$1),FALSE)*VLOOKUP($D238,素材!$1:$1016,COLUMN(N$1),FALSE)+IF(CI238="",0,VLOOKUP($CI238,装強!$1:$1008,COLUMN($CK$1),FALSE)),"")</f>
        <v>3000</v>
      </c>
      <c r="CO238">
        <f>VLOOKUP(D238,素材!$A:$O,COLUMN(素材!O$1),FALSE)</f>
        <v>0</v>
      </c>
      <c r="CP238" t="str">
        <f>VLOOKUP(C238,武器!$A:$W,COLUMN(武器!W$1),FALSE)</f>
        <v>細剣。刺突に優れた武器でCr率が高い</v>
      </c>
      <c r="CR238" t="str">
        <f t="shared" si="29"/>
        <v>e_238</v>
      </c>
      <c r="CS238">
        <f t="shared" si="30"/>
        <v>300000</v>
      </c>
    </row>
    <row r="239" spans="1:97" outlineLevel="1" x14ac:dyDescent="0.4">
      <c r="A239" t="str">
        <f t="shared" si="31"/>
        <v>熱鉄の刺剣</v>
      </c>
      <c r="B239" t="str">
        <f>IFERROR(VLOOKUP($D239,素材!$1:$1016,COLUMN($B$1),FALSE)&amp;"・"&amp;VLOOKUP($C239,武器!$1:$998,COLUMN(B$1),FALSE),"")</f>
        <v>ヒートスティール・スティレット</v>
      </c>
      <c r="C239" s="24" t="s">
        <v>235</v>
      </c>
      <c r="D239" s="24" t="s">
        <v>205</v>
      </c>
      <c r="E239" t="str">
        <f>IFERROR(VLOOKUP(C239,武器!$1:$998,COLUMN(C$1),FALSE),"")</f>
        <v>武器</v>
      </c>
      <c r="F239">
        <f>IFERROR(ROUNDDOWN((VLOOKUP($C239,武器!$1:$998,COLUMN(D$1),FALSE)+IFERROR(VLOOKUP($CI239,装強!$1:$999,COLUMN(F$1),FALSE),0))*VLOOKUP($D239,素材!$1:$1016,COLUMN(D$1),FALSE),0),"")</f>
        <v>110</v>
      </c>
      <c r="G239">
        <f>IFERROR(ROUNDDOWN((VLOOKUP($C239,武器!$1:$998,COLUMN(E$1),FALSE)+IFERROR(VLOOKUP($CI239,装強!$1:$999,COLUMN(G$1),FALSE),0))*VLOOKUP($D239,素材!$1:$1016,COLUMN($E$1),FALSE),0),"")</f>
        <v>4</v>
      </c>
      <c r="H239">
        <f>IFERROR(ROUNDDOWN((VLOOKUP($C239,武器!$1:$998,COLUMN(F$1),FALSE)+IFERROR(VLOOKUP($CI239,装強!$1:$999,COLUMN(H$1),FALSE),0))*VLOOKUP($D239,素材!$1:$1016,COLUMN($E$1),FALSE),0),"")</f>
        <v>18</v>
      </c>
      <c r="I239">
        <f>IFERROR(ROUNDDOWN((VLOOKUP($C239,武器!$1:$998,COLUMN(G$1),FALSE)+IFERROR(VLOOKUP($CI239,装強!$1:$999,COLUMN(I$1),FALSE),0))*VLOOKUP($D239,素材!$1:$1016,COLUMN($E$1),FALSE),0),"")</f>
        <v>0</v>
      </c>
      <c r="J239">
        <f>IFERROR(ROUNDDOWN((VLOOKUP($C239,武器!$1:$998,COLUMN(H$1),FALSE)+IFERROR(VLOOKUP($CI239,装強!$1:$999,COLUMN(J$1),FALSE),0))*VLOOKUP($D239,素材!$1:$1016,COLUMN($E$1),FALSE),0),"")</f>
        <v>17</v>
      </c>
      <c r="K239">
        <f>IFERROR(ROUNDDOWN((VLOOKUP($C239,武器!$1:$998,COLUMN(I$1),FALSE)+IFERROR(VLOOKUP($CI239,装強!$1:$999,COLUMN(K$1),FALSE),0))*VLOOKUP($D239,素材!$1:$1016,COLUMN($E$1),FALSE),0),"")</f>
        <v>0</v>
      </c>
      <c r="L239" t="str">
        <f>IFERROR(VLOOKUP($D239,素材!$1:$1016,COLUMN($F$1),FALSE),"")</f>
        <v>炎</v>
      </c>
      <c r="M239">
        <f>IFERROR(VLOOKUP($C239,武器!$1:$998,COLUMN(AA$1),FALSE)*VLOOKUP($D239,素材!$1:$1016,COLUMN($G$1),FALSE),"")</f>
        <v>38.5</v>
      </c>
      <c r="N239">
        <f>IFERROR(VLOOKUP($C239,武器!$1:$998,COLUMN(I$1),FALSE),"")</f>
        <v>0</v>
      </c>
      <c r="O239" s="23">
        <f>IFERROR((VLOOKUP($C239,武器!$1:$998,COLUMN(K$1),FALSE)+VLOOKUP($D239,素材!$1:$1016,COLUMN(H$1),FALSE))*100+IFERROR(VLOOKUP($CI239,装強!$1:$999,COLUMN(O$1),FALSE),0),"")</f>
        <v>10</v>
      </c>
      <c r="P239" s="23">
        <f>IFERROR((VLOOKUP($C239,武器!$1:$998,COLUMN(L$1),FALSE)+VLOOKUP($D239,素材!$1:$1016,COLUMN(I$1),FALSE))*100+IFERROR(VLOOKUP($CI239,装強!$1:$999,COLUMN(P$1),FALSE),0),"")</f>
        <v>150</v>
      </c>
      <c r="Q239">
        <f>IFERROR(ROUNDUP(VLOOKUP($C239,武器!$1:$998,COLUMN(M$1),FALSE)*(VLOOKUP($D239,素材!$1:$1002,COLUMN(D$1),FALSE)/100),1),"")</f>
        <v>0</v>
      </c>
      <c r="R239">
        <f>IFERROR(ROUNDUP(VLOOKUP($C239,武器!$1:$998,COLUMN(N$1),FALSE)*(VLOOKUP($D239,素材!$1:$1002,COLUMN(D$1),FALSE)/100),1),"")</f>
        <v>0</v>
      </c>
      <c r="S239">
        <f>IFERROR(VLOOKUP($C239,武器!$1:$998,COLUMN(P$1),FALSE),"")</f>
        <v>0</v>
      </c>
      <c r="T239">
        <f>IFERROR(VLOOKUP($C239,武器!$1:$998,COLUMN(Q$1),FALSE),"")</f>
        <v>0</v>
      </c>
      <c r="U239">
        <f>IFERROR(VLOOKUP($C239,武器!$1:$998,COLUMN(R$1),FALSE),"")</f>
        <v>0</v>
      </c>
      <c r="V239">
        <f>IFERROR(VLOOKUP($C239,武器!$1:$998,COLUMN(Q$1),FALSE),"")</f>
        <v>0</v>
      </c>
      <c r="W239" t="str">
        <f>IFERROR(VLOOKUP($C239,武器!$1:$998,COLUMN(T$1),FALSE),"")</f>
        <v>A</v>
      </c>
      <c r="Y239" t="str">
        <f>IFERROR(VLOOKUP($C239,武器!$1:$998,COLUMN(U$1),FALSE),"")</f>
        <v>片手適正Ⅰ</v>
      </c>
      <c r="Z239">
        <f>IFERROR(ROUNDUP(VLOOKUP($C239,武器!$1:$998,COLUMN(O$1),FALSE)*VLOOKUP($D239,素材!$1:$1016,COLUMN(E$1),FALSE),1),"")</f>
        <v>0</v>
      </c>
      <c r="AA239">
        <f>IF(ISNUMBER(SEARCH(SUBSTITUTE(AA$1,RIGHT(AA$1,2),""),VLOOKUP($D239,素材!$1:$1016,COLUMN($F$1),FALSE))),VLOOKUP($C239,武器!$1:$998,COLUMN($O$1),FALSE)*VLOOKUP($D239,素材!$1:$1016,COLUMN($E$1),FALSE)/(LEN(VLOOKUP($D239,素材!$1:$1016,COLUMN($F$1),FALSE)) - LEN(SUBSTITUTE(VLOOKUP($D239,素材!$1:$1016,COLUMN($F$1),FALSE), "・", 0)) + 1), 0)</f>
        <v>0</v>
      </c>
      <c r="AB239">
        <f>IF(ISNUMBER(SEARCH(SUBSTITUTE(AB$1,RIGHT(AB$1,2),""),VLOOKUP($D239,素材!$1:$1016,COLUMN($F$1),FALSE))),VLOOKUP($C239,武器!$1:$998,COLUMN($O$1),FALSE)*VLOOKUP($D239,素材!$1:$1016,COLUMN($E$1),FALSE)/(LEN(VLOOKUP($D239,素材!$1:$1016,COLUMN($F$1),FALSE)) - LEN(SUBSTITUTE(VLOOKUP($D239,素材!$1:$1016,COLUMN($F$1),FALSE), "・", 0)) + 1), 0)</f>
        <v>0</v>
      </c>
      <c r="AC239">
        <f>IF(ISNUMBER(SEARCH(SUBSTITUTE(AC$1,RIGHT(AC$1,2),""),VLOOKUP($D239,素材!$1:$1016,COLUMN($F$1),FALSE))),VLOOKUP($C239,武器!$1:$998,COLUMN($O$1),FALSE)*VLOOKUP($D239,素材!$1:$1016,COLUMN($E$1),FALSE)/(LEN(VLOOKUP($D239,素材!$1:$1016,COLUMN($F$1),FALSE)) - LEN(SUBSTITUTE(VLOOKUP($D239,素材!$1:$1016,COLUMN($F$1),FALSE), "・", 0)) + 1), 0)</f>
        <v>0</v>
      </c>
      <c r="AD239">
        <f>IF(ISNUMBER(SEARCH(SUBSTITUTE(AD$1,RIGHT(AD$1,2),""),VLOOKUP($D239,素材!$1:$1016,COLUMN($F$1),FALSE))),VLOOKUP($C239,武器!$1:$998,COLUMN($O$1),FALSE)*VLOOKUP($D239,素材!$1:$1016,COLUMN($E$1),FALSE)/(LEN(VLOOKUP($D239,素材!$1:$1016,COLUMN($F$1),FALSE)) - LEN(SUBSTITUTE(VLOOKUP($D239,素材!$1:$1016,COLUMN($F$1),FALSE), "・", 0)) + 1), 0)</f>
        <v>0</v>
      </c>
      <c r="AE239">
        <f>IF(ISNUMBER(SEARCH(SUBSTITUTE(AE$1,RIGHT(AE$1,2),""),VLOOKUP($D239,素材!$1:$1016,COLUMN($F$1),FALSE))),VLOOKUP($C239,武器!$1:$998,COLUMN($O$1),FALSE)*VLOOKUP($D239,素材!$1:$1016,COLUMN($E$1),FALSE)/(LEN(VLOOKUP($D239,素材!$1:$1016,COLUMN($F$1),FALSE)) - LEN(SUBSTITUTE(VLOOKUP($D239,素材!$1:$1016,COLUMN($F$1),FALSE), "・", 0)) + 1), 0)</f>
        <v>0</v>
      </c>
      <c r="AF239">
        <f>IF(ISNUMBER(SEARCH(SUBSTITUTE(AF$1,RIGHT(AF$1,2),""),VLOOKUP($D239,素材!$1:$1016,COLUMN($F$1),FALSE))),VLOOKUP($C239,武器!$1:$998,COLUMN($O$1),FALSE)*VLOOKUP($D239,素材!$1:$1016,COLUMN($E$1),FALSE)/(LEN(VLOOKUP($D239,素材!$1:$1016,COLUMN($F$1),FALSE)) - LEN(SUBSTITUTE(VLOOKUP($D239,素材!$1:$1016,COLUMN($F$1),FALSE), "・", 0)) + 1), 0)</f>
        <v>0</v>
      </c>
      <c r="AG239">
        <f>IF(ISNUMBER(SEARCH(SUBSTITUTE(AG$1,RIGHT(AG$1,2),""),VLOOKUP($D239,素材!$1:$1016,COLUMN($F$1),FALSE))),VLOOKUP($C239,武器!$1:$998,COLUMN($O$1),FALSE)*VLOOKUP($D239,素材!$1:$1016,COLUMN($E$1),FALSE)/(LEN(VLOOKUP($D239,素材!$1:$1016,COLUMN($F$1),FALSE)) - LEN(SUBSTITUTE(VLOOKUP($D239,素材!$1:$1016,COLUMN($F$1),FALSE), "・", 0)) + 1), 0)</f>
        <v>0</v>
      </c>
      <c r="AH239">
        <f>IF(ISNUMBER(SEARCH(SUBSTITUTE(AH$1,RIGHT(AH$1,2),""),VLOOKUP($D239,素材!$1:$1016,COLUMN($F$1),FALSE))),VLOOKUP($C239,武器!$1:$998,COLUMN($O$1),FALSE)*VLOOKUP($D239,素材!$1:$1016,COLUMN($E$1),FALSE)/(LEN(VLOOKUP($D239,素材!$1:$1016,COLUMN($F$1),FALSE)) - LEN(SUBSTITUTE(VLOOKUP($D239,素材!$1:$1016,COLUMN($F$1),FALSE), "・", 0)) + 1), 0)</f>
        <v>0</v>
      </c>
      <c r="AI239">
        <f>IF(ISNUMBER(SEARCH(SUBSTITUTE(AI$1,RIGHT(AI$1,2),""),VLOOKUP($D239,素材!$1:$1016,COLUMN($F$1),FALSE))),VLOOKUP($C239,武器!$1:$998,COLUMN($O$1),FALSE)*VLOOKUP($D239,素材!$1:$1016,COLUMN($E$1),FALSE)/(LEN(VLOOKUP($D239,素材!$1:$1016,COLUMN($F$1),FALSE)) - LEN(SUBSTITUTE(VLOOKUP($D239,素材!$1:$1016,COLUMN($F$1),FALSE), "・", 0)) + 1), 0)</f>
        <v>0</v>
      </c>
      <c r="AJ239">
        <f>IF(ISNUMBER(SEARCH(SUBSTITUTE(AJ$1,RIGHT(AJ$1,2),""),VLOOKUP($D239,素材!$1:$1016,COLUMN($F$1),FALSE))),VLOOKUP($C239,武器!$1:$998,COLUMN($O$1),FALSE)*VLOOKUP($D239,素材!$1:$1016,COLUMN($E$1),FALSE)/(LEN(VLOOKUP($D239,素材!$1:$1016,COLUMN($F$1),FALSE)) - LEN(SUBSTITUTE(VLOOKUP($D239,素材!$1:$1016,COLUMN($F$1),FALSE), "・", 0)) + 1), 0)</f>
        <v>0</v>
      </c>
      <c r="AK239">
        <f>IF(ISNUMBER(SEARCH(SUBSTITUTE(AK$1,RIGHT(AK$1,2),""),VLOOKUP($D239,素材!$1:$1016,COLUMN($F$1),FALSE))),VLOOKUP($C239,武器!$1:$998,COLUMN($O$1),FALSE)*VLOOKUP($D239,素材!$1:$1016,COLUMN($E$1),FALSE)/(LEN(VLOOKUP($D239,素材!$1:$1016,COLUMN($F$1),FALSE)) - LEN(SUBSTITUTE(VLOOKUP($D239,素材!$1:$1016,COLUMN($F$1),FALSE), "・", 0)) + 1), 0)</f>
        <v>0</v>
      </c>
      <c r="AL239">
        <f>IF(ISNUMBER(SEARCH(SUBSTITUTE(AL$1,RIGHT(AL$1,2),""),VLOOKUP($D239,素材!$1:$1016,COLUMN($F$1),FALSE))),VLOOKUP($C239,武器!$1:$998,COLUMN($O$1),FALSE)*VLOOKUP($D239,素材!$1:$1016,COLUMN($E$1),FALSE)/(LEN(VLOOKUP($D239,素材!$1:$1016,COLUMN($F$1),FALSE)) - LEN(SUBSTITUTE(VLOOKUP($D239,素材!$1:$1016,COLUMN($F$1),FALSE), "・", 0)) + 1), 0)</f>
        <v>0</v>
      </c>
      <c r="AM239">
        <f>IF(ISNUMBER(SEARCH(SUBSTITUTE(AM$1,RIGHT(AM$1,2),""),VLOOKUP($D239,素材!$1:$1016,COLUMN($F$1),FALSE))),VLOOKUP($C239,武器!$1:$998,COLUMN($O$1),FALSE)*VLOOKUP($D239,素材!$1:$1016,COLUMN($E$1),FALSE)/(LEN(VLOOKUP($D239,素材!$1:$1016,COLUMN($F$1),FALSE)) - LEN(SUBSTITUTE(VLOOKUP($D239,素材!$1:$1016,COLUMN($F$1),FALSE), "・", 0)) + 1), 0)</f>
        <v>0</v>
      </c>
      <c r="AN239">
        <f>IF(ISNUMBER(SEARCH(SUBSTITUTE(AN$1,RIGHT(AN$1,2),""),VLOOKUP($D239,素材!$1:$1016,COLUMN($F$1),FALSE))),VLOOKUP($C239,武器!$1:$998,COLUMN($O$1),FALSE)*VLOOKUP($D239,素材!$1:$1016,COLUMN($E$1),FALSE)/(LEN(VLOOKUP($D239,素材!$1:$1016,COLUMN($F$1),FALSE)) - LEN(SUBSTITUTE(VLOOKUP($D239,素材!$1:$1016,COLUMN($F$1),FALSE), "・", 0)) + 1), 0)</f>
        <v>0</v>
      </c>
      <c r="AO239">
        <f>IF(ISNUMBER(SEARCH(SUBSTITUTE(AO$1,RIGHT(AO$1,2),""),VLOOKUP($D239,素材!$1:$1016,COLUMN($F$1),FALSE))),VLOOKUP($C239,武器!$1:$998,COLUMN($O$1),FALSE)*VLOOKUP($D239,素材!$1:$1016,COLUMN($E$1),FALSE)/(LEN(VLOOKUP($D239,素材!$1:$1016,COLUMN($F$1),FALSE)) - LEN(SUBSTITUTE(VLOOKUP($D239,素材!$1:$1016,COLUMN($F$1),FALSE), "・", 0)) + 1), 0)</f>
        <v>0</v>
      </c>
      <c r="AP239">
        <f>IF(ISNUMBER(SEARCH(SUBSTITUTE(AP$1,RIGHT(AP$1,2),""),VLOOKUP($D239,素材!$1:$1016,COLUMN($F$1),FALSE))),VLOOKUP($C239,武器!$1:$998,COLUMN($O$1),FALSE)*VLOOKUP($D239,素材!$1:$1016,COLUMN($E$1),FALSE)/(LEN(VLOOKUP($D239,素材!$1:$1016,COLUMN($F$1),FALSE)) - LEN(SUBSTITUTE(VLOOKUP($D239,素材!$1:$1016,COLUMN($F$1),FALSE), "・", 0)) + 1), 0)</f>
        <v>0</v>
      </c>
      <c r="AQ239">
        <f>IF(ISNUMBER(SEARCH(SUBSTITUTE(AQ$1,RIGHT(AQ$1,2),""),VLOOKUP($D239,素材!$1:$1016,COLUMN($F$1),FALSE))),VLOOKUP($C239,武器!$1:$998,COLUMN($O$1),FALSE)*VLOOKUP($D239,素材!$1:$1016,COLUMN($E$1),FALSE)/(LEN(VLOOKUP($D239,素材!$1:$1016,COLUMN($F$1),FALSE)) - LEN(SUBSTITUTE(VLOOKUP($D239,素材!$1:$1016,COLUMN($F$1),FALSE), "・", 0)) + 1), 0)</f>
        <v>0</v>
      </c>
      <c r="AR239">
        <f>IF(ISNUMBER(SEARCH(SUBSTITUTE(AR$1,RIGHT(AR$1,2),""),VLOOKUP($D239,素材!$1:$1016,COLUMN($F$1),FALSE))),VLOOKUP($C239,武器!$1:$998,COLUMN($O$1),FALSE)*VLOOKUP($D239,素材!$1:$1016,COLUMN($E$1),FALSE)/(LEN(VLOOKUP($D239,素材!$1:$1016,COLUMN($F$1),FALSE)) - LEN(SUBSTITUTE(VLOOKUP($D239,素材!$1:$1016,COLUMN($F$1),FALSE), "・", 0)) + 1), 0)</f>
        <v>0</v>
      </c>
      <c r="AS239">
        <f>IF(ISNUMBER(SEARCH(SUBSTITUTE(AS$1,RIGHT(AS$1,2),""),VLOOKUP($D239,素材!$1:$1016,COLUMN($F$1),FALSE))),VLOOKUP($C239,武器!$1:$998,COLUMN($O$1),FALSE)*VLOOKUP($D239,素材!$1:$1016,COLUMN($E$1),FALSE)/(LEN(VLOOKUP($D239,素材!$1:$1016,COLUMN($F$1),FALSE)) - LEN(SUBSTITUTE(VLOOKUP($D239,素材!$1:$1016,COLUMN($F$1),FALSE), "・", 0)) + 1), 0)</f>
        <v>0</v>
      </c>
      <c r="AT239">
        <f>IF(ISNUMBER(SEARCH(SUBSTITUTE(AT$1,RIGHT(AT$1,2),""),VLOOKUP($D239,素材!$1:$1016,COLUMN($F$1),FALSE))),VLOOKUP($C239,武器!$1:$998,COLUMN($O$1),FALSE)*VLOOKUP($D239,素材!$1:$1016,COLUMN($E$1),FALSE)/(LEN(VLOOKUP($D239,素材!$1:$1016,COLUMN($F$1),FALSE)) - LEN(SUBSTITUTE(VLOOKUP($D239,素材!$1:$1016,COLUMN($F$1),FALSE), "・", 0)) + 1), 0)</f>
        <v>0</v>
      </c>
      <c r="AU239">
        <f>IF(ISNUMBER(SEARCH(SUBSTITUTE(AU$1,RIGHT(AU$1,2),""),VLOOKUP($D239,素材!$1:$1016,COLUMN($F$1),FALSE))),VLOOKUP($C239,武器!$1:$998,COLUMN($O$1),FALSE)*VLOOKUP($D239,素材!$1:$1016,COLUMN($E$1),FALSE)/(LEN(VLOOKUP($D239,素材!$1:$1016,COLUMN($F$1),FALSE)) - LEN(SUBSTITUTE(VLOOKUP($D239,素材!$1:$1016,COLUMN($F$1),FALSE), "・", 0)) + 1), 0)</f>
        <v>0</v>
      </c>
      <c r="AV239">
        <f>IF(ISNUMBER(SEARCH(SUBSTITUTE(AV$1,RIGHT(AV$1,2),""),VLOOKUP($D239,素材!$1:$1016,COLUMN($F$1),FALSE))),VLOOKUP($C239,武器!$1:$998,COLUMN($O$1),FALSE)*VLOOKUP($D239,素材!$1:$1016,COLUMN($E$1),FALSE)/(LEN(VLOOKUP($D239,素材!$1:$1016,COLUMN($F$1),FALSE)) - LEN(SUBSTITUTE(VLOOKUP($D239,素材!$1:$1016,COLUMN($F$1),FALSE), "・", 0)) + 1), 0)</f>
        <v>0</v>
      </c>
      <c r="AW239">
        <f>IF(ISNUMBER(SEARCH(SUBSTITUTE(AW$1,RIGHT(AW$1,2),""),VLOOKUP($D239,素材!$1:$1016,COLUMN($F$1),FALSE))),VLOOKUP($C239,武器!$1:$998,COLUMN($O$1),FALSE)*VLOOKUP($D239,素材!$1:$1016,COLUMN($E$1),FALSE)/(LEN(VLOOKUP($D239,素材!$1:$1016,COLUMN($F$1),FALSE)) - LEN(SUBSTITUTE(VLOOKUP($D239,素材!$1:$1016,COLUMN($F$1),FALSE), "・", 0)) + 1), 0)</f>
        <v>0</v>
      </c>
      <c r="AX239">
        <f>IF(ISNUMBER(SEARCH(SUBSTITUTE(AX$1,RIGHT(AX$1,2),""),VLOOKUP($D239,素材!$1:$1016,COLUMN($F$1),FALSE))),VLOOKUP($C239,武器!$1:$998,COLUMN($O$1),FALSE)*VLOOKUP($D239,素材!$1:$1016,COLUMN($E$1),FALSE)/(LEN(VLOOKUP($D239,素材!$1:$1016,COLUMN($F$1),FALSE)) - LEN(SUBSTITUTE(VLOOKUP($D239,素材!$1:$1016,COLUMN($F$1),FALSE), "・", 0)) + 1), 0)</f>
        <v>0</v>
      </c>
      <c r="AY239">
        <f>IF(ISNUMBER(SEARCH(SUBSTITUTE(AY$1,RIGHT(AY$1,2),""),VLOOKUP($D239,素材!$1:$1016,COLUMN($F$1),FALSE))),VLOOKUP($C239,武器!$1:$998,COLUMN($O$1),FALSE)*VLOOKUP($D239,素材!$1:$1016,COLUMN($E$1),FALSE)/(LEN(VLOOKUP($D239,素材!$1:$1016,COLUMN($F$1),FALSE)) - LEN(SUBSTITUTE(VLOOKUP($D239,素材!$1:$1016,COLUMN($F$1),FALSE), "・", 0)) + 1), 0)</f>
        <v>0</v>
      </c>
      <c r="AZ239">
        <f>IF(ISNUMBER(SEARCH(SUBSTITUTE(AZ$1,RIGHT(AZ$1,2),""),VLOOKUP($D239,素材!$1:$1016,COLUMN($F$1),FALSE))),VLOOKUP($C239,武器!$1:$998,COLUMN($O$1),FALSE)*VLOOKUP($D239,素材!$1:$1016,COLUMN($E$1),FALSE)/(LEN(VLOOKUP($D239,素材!$1:$1016,COLUMN($F$1),FALSE)) - LEN(SUBSTITUTE(VLOOKUP($D239,素材!$1:$1016,COLUMN($F$1),FALSE), "・", 0)) + 1), 0)</f>
        <v>0</v>
      </c>
      <c r="BA239">
        <f>IF(ISNUMBER(SEARCH(SUBSTITUTE(BA$1,RIGHT(BA$1,2),""),VLOOKUP($D239,素材!$1:$1016,COLUMN($F$1),FALSE))),VLOOKUP($C239,武器!$1:$998,COLUMN($O$1),FALSE)*VLOOKUP($D239,素材!$1:$1016,COLUMN($E$1),FALSE)/(LEN(VLOOKUP($D239,素材!$1:$1016,COLUMN($F$1),FALSE)) - LEN(SUBSTITUTE(VLOOKUP($D239,素材!$1:$1016,COLUMN($F$1),FALSE), "・", 0)) + 1), 0)</f>
        <v>0</v>
      </c>
      <c r="BB239">
        <f>IF(ISNUMBER(SEARCH(SUBSTITUTE(BB$1,RIGHT(BB$1,2),""),VLOOKUP($D239,素材!$1:$1016,COLUMN($F$1),FALSE))),VLOOKUP($C239,武器!$1:$998,COLUMN($O$1),FALSE)*VLOOKUP($D239,素材!$1:$1016,COLUMN($E$1),FALSE)/(LEN(VLOOKUP($D239,素材!$1:$1016,COLUMN($F$1),FALSE)) - LEN(SUBSTITUTE(VLOOKUP($D239,素材!$1:$1016,COLUMN($F$1),FALSE), "・", 0)) + 1), 0)</f>
        <v>0</v>
      </c>
      <c r="BC239">
        <f>IF(ISNUMBER(SEARCH(SUBSTITUTE(BC$1,RIGHT(BC$1,2),""),VLOOKUP($D239,素材!$1:$1016,COLUMN($F$1),FALSE))),VLOOKUP($C239,武器!$1:$998,COLUMN($O$1),FALSE)*VLOOKUP($D239,素材!$1:$1016,COLUMN($E$1),FALSE)/(LEN(VLOOKUP($D239,素材!$1:$1016,COLUMN($F$1),FALSE)) - LEN(SUBSTITUTE(VLOOKUP($D239,素材!$1:$1016,COLUMN($F$1),FALSE), "・", 0)) + 1), 0)</f>
        <v>0</v>
      </c>
      <c r="BD239">
        <f>IF(ISNUMBER(SEARCH(SUBSTITUTE(BD$1,RIGHT(BD$1,2),""),VLOOKUP($D239,素材!$1:$1016,COLUMN($F$1),FALSE))),VLOOKUP($C239,武器!$1:$998,COLUMN($O$1),FALSE)*VLOOKUP($D239,素材!$1:$1016,COLUMN($E$1),FALSE)/(LEN(VLOOKUP($D239,素材!$1:$1016,COLUMN($F$1),FALSE)) - LEN(SUBSTITUTE(VLOOKUP($D239,素材!$1:$1016,COLUMN($F$1),FALSE), "・", 0)) + 1), 0)</f>
        <v>0</v>
      </c>
      <c r="BE239">
        <f>IF(ISNUMBER(SEARCH(SUBSTITUTE(BE$1,RIGHT(BE$1,2),""),VLOOKUP($D239,素材!$1:$1016,COLUMN($F$1),FALSE))),VLOOKUP($C239,武器!$1:$998,COLUMN($O$1),FALSE)*VLOOKUP($D239,素材!$1:$1016,COLUMN($E$1),FALSE)/(LEN(VLOOKUP($D239,素材!$1:$1016,COLUMN($F$1),FALSE)) - LEN(SUBSTITUTE(VLOOKUP($D239,素材!$1:$1016,COLUMN($F$1),FALSE), "・", 0)) + 1), 0)</f>
        <v>0</v>
      </c>
      <c r="CL239">
        <f>SUM(G239:I239)</f>
        <v>22</v>
      </c>
      <c r="CM239" s="22" t="str">
        <f>IF(E239="武器",IF(J239-1&gt;SUM(G239:I239),"盾",IF(MAX(G239:I239)=G239,"切断",IF(MAX(G239:I239)=H239,"貫通",IF(MAX(G239:I239)=I239,"打撃","射撃")))),E239)&amp;".webp"</f>
        <v>貫通.webp</v>
      </c>
      <c r="CN239">
        <f>IFERROR(VLOOKUP($C239,武器!$1:$998,COLUMN(V$1),FALSE)*VLOOKUP($D239,素材!$1:$1016,COLUMN(N$1),FALSE)+IF(CI239="",0,VLOOKUP($CI239,装強!$1:$1008,COLUMN($CK$1),FALSE)),"")</f>
        <v>2250</v>
      </c>
      <c r="CO239">
        <f>VLOOKUP(D239,素材!$A:$O,COLUMN(素材!O$1),FALSE)</f>
        <v>0</v>
      </c>
      <c r="CP239" t="str">
        <f>VLOOKUP(C239,武器!$A:$W,COLUMN(武器!W$1),FALSE)</f>
        <v>刺剣。小型で精密な攻撃が可能な武器。</v>
      </c>
      <c r="CR239" t="str">
        <f t="shared" si="29"/>
        <v>e_239</v>
      </c>
      <c r="CS239">
        <f t="shared" si="30"/>
        <v>225000</v>
      </c>
    </row>
    <row r="240" spans="1:97" outlineLevel="1" x14ac:dyDescent="0.4">
      <c r="A240" t="str">
        <f t="shared" si="31"/>
        <v>熱鉄の短槍</v>
      </c>
      <c r="B240" t="str">
        <f>IFERROR(VLOOKUP($D240,素材!$1:$1016,COLUMN($B$1),FALSE)&amp;"・"&amp;VLOOKUP($C240,武器!$1:$998,COLUMN(B$1),FALSE),"")</f>
        <v>ヒートスティール・ショートスピア</v>
      </c>
      <c r="C240" s="24" t="s">
        <v>234</v>
      </c>
      <c r="D240" s="24" t="s">
        <v>205</v>
      </c>
      <c r="E240" t="str">
        <f>IFERROR(VLOOKUP(C240,武器!$1:$998,COLUMN(C$1),FALSE),"")</f>
        <v>武器</v>
      </c>
      <c r="F240">
        <f>IFERROR(ROUNDDOWN((VLOOKUP($C240,武器!$1:$998,COLUMN(D$1),FALSE)+IFERROR(VLOOKUP($CI240,装強!$1:$999,COLUMN(F$1),FALSE),0))*VLOOKUP($D240,素材!$1:$1016,COLUMN(D$1),FALSE),0),"")</f>
        <v>105</v>
      </c>
      <c r="G240">
        <f>IFERROR(ROUNDDOWN((VLOOKUP($C240,武器!$1:$998,COLUMN(E$1),FALSE)+IFERROR(VLOOKUP($CI240,装強!$1:$999,COLUMN(G$1),FALSE),0))*VLOOKUP($D240,素材!$1:$1016,COLUMN($E$1),FALSE),0),"")</f>
        <v>8</v>
      </c>
      <c r="H240">
        <f>IFERROR(ROUNDDOWN((VLOOKUP($C240,武器!$1:$998,COLUMN(F$1),FALSE)+IFERROR(VLOOKUP($CI240,装強!$1:$999,COLUMN(H$1),FALSE),0))*VLOOKUP($D240,素材!$1:$1016,COLUMN($E$1),FALSE),0),"")</f>
        <v>14</v>
      </c>
      <c r="I240">
        <f>IFERROR(ROUNDDOWN((VLOOKUP($C240,武器!$1:$998,COLUMN(G$1),FALSE)+IFERROR(VLOOKUP($CI240,装強!$1:$999,COLUMN(I$1),FALSE),0))*VLOOKUP($D240,素材!$1:$1016,COLUMN($E$1),FALSE),0),"")</f>
        <v>3</v>
      </c>
      <c r="J240">
        <f>IFERROR(ROUNDDOWN((VLOOKUP($C240,武器!$1:$998,COLUMN(H$1),FALSE)+IFERROR(VLOOKUP($CI240,装強!$1:$999,COLUMN(J$1),FALSE),0))*VLOOKUP($D240,素材!$1:$1016,COLUMN($E$1),FALSE),0),"")</f>
        <v>17</v>
      </c>
      <c r="K240">
        <f>IFERROR(ROUNDDOWN((VLOOKUP($C240,武器!$1:$998,COLUMN(I$1),FALSE)+IFERROR(VLOOKUP($CI240,装強!$1:$999,COLUMN(K$1),FALSE),0))*VLOOKUP($D240,素材!$1:$1016,COLUMN($E$1),FALSE),0),"")</f>
        <v>0</v>
      </c>
      <c r="L240" t="str">
        <f>IFERROR(VLOOKUP($D240,素材!$1:$1016,COLUMN($F$1),FALSE),"")</f>
        <v>炎</v>
      </c>
      <c r="M240">
        <f>IFERROR(VLOOKUP($C240,武器!$1:$998,COLUMN(AA$1),FALSE)*VLOOKUP($D240,素材!$1:$1016,COLUMN($G$1),FALSE),"")</f>
        <v>43.75</v>
      </c>
      <c r="N240">
        <f>IFERROR(VLOOKUP($C240,武器!$1:$998,COLUMN(I$1),FALSE),"")</f>
        <v>0</v>
      </c>
      <c r="O240" s="23">
        <f>IFERROR((VLOOKUP($C240,武器!$1:$998,COLUMN(K$1),FALSE)+VLOOKUP($D240,素材!$1:$1016,COLUMN(H$1),FALSE))*100+IFERROR(VLOOKUP($CI240,装強!$1:$999,COLUMN(O$1),FALSE),0),"")</f>
        <v>10</v>
      </c>
      <c r="P240" s="23">
        <f>IFERROR((VLOOKUP($C240,武器!$1:$998,COLUMN(L$1),FALSE)+VLOOKUP($D240,素材!$1:$1016,COLUMN(I$1),FALSE))*100+IFERROR(VLOOKUP($CI240,装強!$1:$999,COLUMN(P$1),FALSE),0),"")</f>
        <v>150</v>
      </c>
      <c r="Q240">
        <f>IFERROR(ROUNDUP(VLOOKUP($C240,武器!$1:$998,COLUMN(M$1),FALSE)*(VLOOKUP($D240,素材!$1:$1002,COLUMN(D$1),FALSE)/100),1),"")</f>
        <v>0</v>
      </c>
      <c r="R240">
        <f>IFERROR(ROUNDUP(VLOOKUP($C240,武器!$1:$998,COLUMN(N$1),FALSE)*(VLOOKUP($D240,素材!$1:$1002,COLUMN(D$1),FALSE)/100),1),"")</f>
        <v>0</v>
      </c>
      <c r="S240">
        <f>IFERROR(VLOOKUP($C240,武器!$1:$998,COLUMN(P$1),FALSE),"")</f>
        <v>0</v>
      </c>
      <c r="T240">
        <f>IFERROR(VLOOKUP($C240,武器!$1:$998,COLUMN(Q$1),FALSE),"")</f>
        <v>0</v>
      </c>
      <c r="U240">
        <f>IFERROR(VLOOKUP($C240,武器!$1:$998,COLUMN(R$1),FALSE),"")</f>
        <v>0</v>
      </c>
      <c r="V240">
        <f>IFERROR(VLOOKUP($C240,武器!$1:$998,COLUMN(Q$1),FALSE),"")</f>
        <v>0</v>
      </c>
      <c r="W240" t="str">
        <f>IFERROR(VLOOKUP($C240,武器!$1:$998,COLUMN(T$1),FALSE),"")</f>
        <v>A</v>
      </c>
      <c r="Y240" t="str">
        <f>IFERROR(VLOOKUP($C240,武器!$1:$998,COLUMN(U$1),FALSE),"")</f>
        <v>投擲強化</v>
      </c>
      <c r="Z240">
        <f>IFERROR(ROUNDUP(VLOOKUP($C240,武器!$1:$998,COLUMN(O$1),FALSE)*VLOOKUP($D240,素材!$1:$1016,COLUMN(E$1),FALSE),1),"")</f>
        <v>0</v>
      </c>
      <c r="AA240">
        <f>IF(ISNUMBER(SEARCH(SUBSTITUTE(AA$1,RIGHT(AA$1,2),""),VLOOKUP($D240,素材!$1:$1016,COLUMN($F$1),FALSE))),VLOOKUP($C240,武器!$1:$998,COLUMN($O$1),FALSE)*VLOOKUP($D240,素材!$1:$1016,COLUMN($E$1),FALSE)/(LEN(VLOOKUP($D240,素材!$1:$1016,COLUMN($F$1),FALSE)) - LEN(SUBSTITUTE(VLOOKUP($D240,素材!$1:$1016,COLUMN($F$1),FALSE), "・", 0)) + 1), 0)</f>
        <v>0</v>
      </c>
      <c r="AB240">
        <f>IF(ISNUMBER(SEARCH(SUBSTITUTE(AB$1,RIGHT(AB$1,2),""),VLOOKUP($D240,素材!$1:$1016,COLUMN($F$1),FALSE))),VLOOKUP($C240,武器!$1:$998,COLUMN($O$1),FALSE)*VLOOKUP($D240,素材!$1:$1016,COLUMN($E$1),FALSE)/(LEN(VLOOKUP($D240,素材!$1:$1016,COLUMN($F$1),FALSE)) - LEN(SUBSTITUTE(VLOOKUP($D240,素材!$1:$1016,COLUMN($F$1),FALSE), "・", 0)) + 1), 0)</f>
        <v>0</v>
      </c>
      <c r="AC240">
        <f>IF(ISNUMBER(SEARCH(SUBSTITUTE(AC$1,RIGHT(AC$1,2),""),VLOOKUP($D240,素材!$1:$1016,COLUMN($F$1),FALSE))),VLOOKUP($C240,武器!$1:$998,COLUMN($O$1),FALSE)*VLOOKUP($D240,素材!$1:$1016,COLUMN($E$1),FALSE)/(LEN(VLOOKUP($D240,素材!$1:$1016,COLUMN($F$1),FALSE)) - LEN(SUBSTITUTE(VLOOKUP($D240,素材!$1:$1016,COLUMN($F$1),FALSE), "・", 0)) + 1), 0)</f>
        <v>0</v>
      </c>
      <c r="AD240">
        <f>IF(ISNUMBER(SEARCH(SUBSTITUTE(AD$1,RIGHT(AD$1,2),""),VLOOKUP($D240,素材!$1:$1016,COLUMN($F$1),FALSE))),VLOOKUP($C240,武器!$1:$998,COLUMN($O$1),FALSE)*VLOOKUP($D240,素材!$1:$1016,COLUMN($E$1),FALSE)/(LEN(VLOOKUP($D240,素材!$1:$1016,COLUMN($F$1),FALSE)) - LEN(SUBSTITUTE(VLOOKUP($D240,素材!$1:$1016,COLUMN($F$1),FALSE), "・", 0)) + 1), 0)</f>
        <v>0</v>
      </c>
      <c r="AE240">
        <f>IF(ISNUMBER(SEARCH(SUBSTITUTE(AE$1,RIGHT(AE$1,2),""),VLOOKUP($D240,素材!$1:$1016,COLUMN($F$1),FALSE))),VLOOKUP($C240,武器!$1:$998,COLUMN($O$1),FALSE)*VLOOKUP($D240,素材!$1:$1016,COLUMN($E$1),FALSE)/(LEN(VLOOKUP($D240,素材!$1:$1016,COLUMN($F$1),FALSE)) - LEN(SUBSTITUTE(VLOOKUP($D240,素材!$1:$1016,COLUMN($F$1),FALSE), "・", 0)) + 1), 0)</f>
        <v>0</v>
      </c>
      <c r="AF240">
        <f>IF(ISNUMBER(SEARCH(SUBSTITUTE(AF$1,RIGHT(AF$1,2),""),VLOOKUP($D240,素材!$1:$1016,COLUMN($F$1),FALSE))),VLOOKUP($C240,武器!$1:$998,COLUMN($O$1),FALSE)*VLOOKUP($D240,素材!$1:$1016,COLUMN($E$1),FALSE)/(LEN(VLOOKUP($D240,素材!$1:$1016,COLUMN($F$1),FALSE)) - LEN(SUBSTITUTE(VLOOKUP($D240,素材!$1:$1016,COLUMN($F$1),FALSE), "・", 0)) + 1), 0)</f>
        <v>0</v>
      </c>
      <c r="AG240">
        <f>IF(ISNUMBER(SEARCH(SUBSTITUTE(AG$1,RIGHT(AG$1,2),""),VLOOKUP($D240,素材!$1:$1016,COLUMN($F$1),FALSE))),VLOOKUP($C240,武器!$1:$998,COLUMN($O$1),FALSE)*VLOOKUP($D240,素材!$1:$1016,COLUMN($E$1),FALSE)/(LEN(VLOOKUP($D240,素材!$1:$1016,COLUMN($F$1),FALSE)) - LEN(SUBSTITUTE(VLOOKUP($D240,素材!$1:$1016,COLUMN($F$1),FALSE), "・", 0)) + 1), 0)</f>
        <v>0</v>
      </c>
      <c r="AH240">
        <f>IF(ISNUMBER(SEARCH(SUBSTITUTE(AH$1,RIGHT(AH$1,2),""),VLOOKUP($D240,素材!$1:$1016,COLUMN($F$1),FALSE))),VLOOKUP($C240,武器!$1:$998,COLUMN($O$1),FALSE)*VLOOKUP($D240,素材!$1:$1016,COLUMN($E$1),FALSE)/(LEN(VLOOKUP($D240,素材!$1:$1016,COLUMN($F$1),FALSE)) - LEN(SUBSTITUTE(VLOOKUP($D240,素材!$1:$1016,COLUMN($F$1),FALSE), "・", 0)) + 1), 0)</f>
        <v>0</v>
      </c>
      <c r="AI240">
        <f>IF(ISNUMBER(SEARCH(SUBSTITUTE(AI$1,RIGHT(AI$1,2),""),VLOOKUP($D240,素材!$1:$1016,COLUMN($F$1),FALSE))),VLOOKUP($C240,武器!$1:$998,COLUMN($O$1),FALSE)*VLOOKUP($D240,素材!$1:$1016,COLUMN($E$1),FALSE)/(LEN(VLOOKUP($D240,素材!$1:$1016,COLUMN($F$1),FALSE)) - LEN(SUBSTITUTE(VLOOKUP($D240,素材!$1:$1016,COLUMN($F$1),FALSE), "・", 0)) + 1), 0)</f>
        <v>0</v>
      </c>
      <c r="AJ240">
        <f>IF(ISNUMBER(SEARCH(SUBSTITUTE(AJ$1,RIGHT(AJ$1,2),""),VLOOKUP($D240,素材!$1:$1016,COLUMN($F$1),FALSE))),VLOOKUP($C240,武器!$1:$998,COLUMN($O$1),FALSE)*VLOOKUP($D240,素材!$1:$1016,COLUMN($E$1),FALSE)/(LEN(VLOOKUP($D240,素材!$1:$1016,COLUMN($F$1),FALSE)) - LEN(SUBSTITUTE(VLOOKUP($D240,素材!$1:$1016,COLUMN($F$1),FALSE), "・", 0)) + 1), 0)</f>
        <v>0</v>
      </c>
      <c r="AK240">
        <f>IF(ISNUMBER(SEARCH(SUBSTITUTE(AK$1,RIGHT(AK$1,2),""),VLOOKUP($D240,素材!$1:$1016,COLUMN($F$1),FALSE))),VLOOKUP($C240,武器!$1:$998,COLUMN($O$1),FALSE)*VLOOKUP($D240,素材!$1:$1016,COLUMN($E$1),FALSE)/(LEN(VLOOKUP($D240,素材!$1:$1016,COLUMN($F$1),FALSE)) - LEN(SUBSTITUTE(VLOOKUP($D240,素材!$1:$1016,COLUMN($F$1),FALSE), "・", 0)) + 1), 0)</f>
        <v>0</v>
      </c>
      <c r="AL240">
        <f>IF(ISNUMBER(SEARCH(SUBSTITUTE(AL$1,RIGHT(AL$1,2),""),VLOOKUP($D240,素材!$1:$1016,COLUMN($F$1),FALSE))),VLOOKUP($C240,武器!$1:$998,COLUMN($O$1),FALSE)*VLOOKUP($D240,素材!$1:$1016,COLUMN($E$1),FALSE)/(LEN(VLOOKUP($D240,素材!$1:$1016,COLUMN($F$1),FALSE)) - LEN(SUBSTITUTE(VLOOKUP($D240,素材!$1:$1016,COLUMN($F$1),FALSE), "・", 0)) + 1), 0)</f>
        <v>0</v>
      </c>
      <c r="AM240">
        <f>IF(ISNUMBER(SEARCH(SUBSTITUTE(AM$1,RIGHT(AM$1,2),""),VLOOKUP($D240,素材!$1:$1016,COLUMN($F$1),FALSE))),VLOOKUP($C240,武器!$1:$998,COLUMN($O$1),FALSE)*VLOOKUP($D240,素材!$1:$1016,COLUMN($E$1),FALSE)/(LEN(VLOOKUP($D240,素材!$1:$1016,COLUMN($F$1),FALSE)) - LEN(SUBSTITUTE(VLOOKUP($D240,素材!$1:$1016,COLUMN($F$1),FALSE), "・", 0)) + 1), 0)</f>
        <v>0</v>
      </c>
      <c r="AN240">
        <f>IF(ISNUMBER(SEARCH(SUBSTITUTE(AN$1,RIGHT(AN$1,2),""),VLOOKUP($D240,素材!$1:$1016,COLUMN($F$1),FALSE))),VLOOKUP($C240,武器!$1:$998,COLUMN($O$1),FALSE)*VLOOKUP($D240,素材!$1:$1016,COLUMN($E$1),FALSE)/(LEN(VLOOKUP($D240,素材!$1:$1016,COLUMN($F$1),FALSE)) - LEN(SUBSTITUTE(VLOOKUP($D240,素材!$1:$1016,COLUMN($F$1),FALSE), "・", 0)) + 1), 0)</f>
        <v>0</v>
      </c>
      <c r="AO240">
        <f>IF(ISNUMBER(SEARCH(SUBSTITUTE(AO$1,RIGHT(AO$1,2),""),VLOOKUP($D240,素材!$1:$1016,COLUMN($F$1),FALSE))),VLOOKUP($C240,武器!$1:$998,COLUMN($O$1),FALSE)*VLOOKUP($D240,素材!$1:$1016,COLUMN($E$1),FALSE)/(LEN(VLOOKUP($D240,素材!$1:$1016,COLUMN($F$1),FALSE)) - LEN(SUBSTITUTE(VLOOKUP($D240,素材!$1:$1016,COLUMN($F$1),FALSE), "・", 0)) + 1), 0)</f>
        <v>0</v>
      </c>
      <c r="AP240">
        <f>IF(ISNUMBER(SEARCH(SUBSTITUTE(AP$1,RIGHT(AP$1,2),""),VLOOKUP($D240,素材!$1:$1016,COLUMN($F$1),FALSE))),VLOOKUP($C240,武器!$1:$998,COLUMN($O$1),FALSE)*VLOOKUP($D240,素材!$1:$1016,COLUMN($E$1),FALSE)/(LEN(VLOOKUP($D240,素材!$1:$1016,COLUMN($F$1),FALSE)) - LEN(SUBSTITUTE(VLOOKUP($D240,素材!$1:$1016,COLUMN($F$1),FALSE), "・", 0)) + 1), 0)</f>
        <v>0</v>
      </c>
      <c r="AQ240">
        <f>IF(ISNUMBER(SEARCH(SUBSTITUTE(AQ$1,RIGHT(AQ$1,2),""),VLOOKUP($D240,素材!$1:$1016,COLUMN($F$1),FALSE))),VLOOKUP($C240,武器!$1:$998,COLUMN($O$1),FALSE)*VLOOKUP($D240,素材!$1:$1016,COLUMN($E$1),FALSE)/(LEN(VLOOKUP($D240,素材!$1:$1016,COLUMN($F$1),FALSE)) - LEN(SUBSTITUTE(VLOOKUP($D240,素材!$1:$1016,COLUMN($F$1),FALSE), "・", 0)) + 1), 0)</f>
        <v>0</v>
      </c>
      <c r="AR240">
        <f>IF(ISNUMBER(SEARCH(SUBSTITUTE(AR$1,RIGHT(AR$1,2),""),VLOOKUP($D240,素材!$1:$1016,COLUMN($F$1),FALSE))),VLOOKUP($C240,武器!$1:$998,COLUMN($O$1),FALSE)*VLOOKUP($D240,素材!$1:$1016,COLUMN($E$1),FALSE)/(LEN(VLOOKUP($D240,素材!$1:$1016,COLUMN($F$1),FALSE)) - LEN(SUBSTITUTE(VLOOKUP($D240,素材!$1:$1016,COLUMN($F$1),FALSE), "・", 0)) + 1), 0)</f>
        <v>0</v>
      </c>
      <c r="AS240">
        <f>IF(ISNUMBER(SEARCH(SUBSTITUTE(AS$1,RIGHT(AS$1,2),""),VLOOKUP($D240,素材!$1:$1016,COLUMN($F$1),FALSE))),VLOOKUP($C240,武器!$1:$998,COLUMN($O$1),FALSE)*VLOOKUP($D240,素材!$1:$1016,COLUMN($E$1),FALSE)/(LEN(VLOOKUP($D240,素材!$1:$1016,COLUMN($F$1),FALSE)) - LEN(SUBSTITUTE(VLOOKUP($D240,素材!$1:$1016,COLUMN($F$1),FALSE), "・", 0)) + 1), 0)</f>
        <v>0</v>
      </c>
      <c r="AT240">
        <f>IF(ISNUMBER(SEARCH(SUBSTITUTE(AT$1,RIGHT(AT$1,2),""),VLOOKUP($D240,素材!$1:$1016,COLUMN($F$1),FALSE))),VLOOKUP($C240,武器!$1:$998,COLUMN($O$1),FALSE)*VLOOKUP($D240,素材!$1:$1016,COLUMN($E$1),FALSE)/(LEN(VLOOKUP($D240,素材!$1:$1016,COLUMN($F$1),FALSE)) - LEN(SUBSTITUTE(VLOOKUP($D240,素材!$1:$1016,COLUMN($F$1),FALSE), "・", 0)) + 1), 0)</f>
        <v>0</v>
      </c>
      <c r="AU240">
        <f>IF(ISNUMBER(SEARCH(SUBSTITUTE(AU$1,RIGHT(AU$1,2),""),VLOOKUP($D240,素材!$1:$1016,COLUMN($F$1),FALSE))),VLOOKUP($C240,武器!$1:$998,COLUMN($O$1),FALSE)*VLOOKUP($D240,素材!$1:$1016,COLUMN($E$1),FALSE)/(LEN(VLOOKUP($D240,素材!$1:$1016,COLUMN($F$1),FALSE)) - LEN(SUBSTITUTE(VLOOKUP($D240,素材!$1:$1016,COLUMN($F$1),FALSE), "・", 0)) + 1), 0)</f>
        <v>0</v>
      </c>
      <c r="AV240">
        <f>IF(ISNUMBER(SEARCH(SUBSTITUTE(AV$1,RIGHT(AV$1,2),""),VLOOKUP($D240,素材!$1:$1016,COLUMN($F$1),FALSE))),VLOOKUP($C240,武器!$1:$998,COLUMN($O$1),FALSE)*VLOOKUP($D240,素材!$1:$1016,COLUMN($E$1),FALSE)/(LEN(VLOOKUP($D240,素材!$1:$1016,COLUMN($F$1),FALSE)) - LEN(SUBSTITUTE(VLOOKUP($D240,素材!$1:$1016,COLUMN($F$1),FALSE), "・", 0)) + 1), 0)</f>
        <v>0</v>
      </c>
      <c r="AW240">
        <f>IF(ISNUMBER(SEARCH(SUBSTITUTE(AW$1,RIGHT(AW$1,2),""),VLOOKUP($D240,素材!$1:$1016,COLUMN($F$1),FALSE))),VLOOKUP($C240,武器!$1:$998,COLUMN($O$1),FALSE)*VLOOKUP($D240,素材!$1:$1016,COLUMN($E$1),FALSE)/(LEN(VLOOKUP($D240,素材!$1:$1016,COLUMN($F$1),FALSE)) - LEN(SUBSTITUTE(VLOOKUP($D240,素材!$1:$1016,COLUMN($F$1),FALSE), "・", 0)) + 1), 0)</f>
        <v>0</v>
      </c>
      <c r="AX240">
        <f>IF(ISNUMBER(SEARCH(SUBSTITUTE(AX$1,RIGHT(AX$1,2),""),VLOOKUP($D240,素材!$1:$1016,COLUMN($F$1),FALSE))),VLOOKUP($C240,武器!$1:$998,COLUMN($O$1),FALSE)*VLOOKUP($D240,素材!$1:$1016,COLUMN($E$1),FALSE)/(LEN(VLOOKUP($D240,素材!$1:$1016,COLUMN($F$1),FALSE)) - LEN(SUBSTITUTE(VLOOKUP($D240,素材!$1:$1016,COLUMN($F$1),FALSE), "・", 0)) + 1), 0)</f>
        <v>0</v>
      </c>
      <c r="AY240">
        <f>IF(ISNUMBER(SEARCH(SUBSTITUTE(AY$1,RIGHT(AY$1,2),""),VLOOKUP($D240,素材!$1:$1016,COLUMN($F$1),FALSE))),VLOOKUP($C240,武器!$1:$998,COLUMN($O$1),FALSE)*VLOOKUP($D240,素材!$1:$1016,COLUMN($E$1),FALSE)/(LEN(VLOOKUP($D240,素材!$1:$1016,COLUMN($F$1),FALSE)) - LEN(SUBSTITUTE(VLOOKUP($D240,素材!$1:$1016,COLUMN($F$1),FALSE), "・", 0)) + 1), 0)</f>
        <v>0</v>
      </c>
      <c r="AZ240">
        <f>IF(ISNUMBER(SEARCH(SUBSTITUTE(AZ$1,RIGHT(AZ$1,2),""),VLOOKUP($D240,素材!$1:$1016,COLUMN($F$1),FALSE))),VLOOKUP($C240,武器!$1:$998,COLUMN($O$1),FALSE)*VLOOKUP($D240,素材!$1:$1016,COLUMN($E$1),FALSE)/(LEN(VLOOKUP($D240,素材!$1:$1016,COLUMN($F$1),FALSE)) - LEN(SUBSTITUTE(VLOOKUP($D240,素材!$1:$1016,COLUMN($F$1),FALSE), "・", 0)) + 1), 0)</f>
        <v>0</v>
      </c>
      <c r="BA240">
        <f>IF(ISNUMBER(SEARCH(SUBSTITUTE(BA$1,RIGHT(BA$1,2),""),VLOOKUP($D240,素材!$1:$1016,COLUMN($F$1),FALSE))),VLOOKUP($C240,武器!$1:$998,COLUMN($O$1),FALSE)*VLOOKUP($D240,素材!$1:$1016,COLUMN($E$1),FALSE)/(LEN(VLOOKUP($D240,素材!$1:$1016,COLUMN($F$1),FALSE)) - LEN(SUBSTITUTE(VLOOKUP($D240,素材!$1:$1016,COLUMN($F$1),FALSE), "・", 0)) + 1), 0)</f>
        <v>0</v>
      </c>
      <c r="BB240">
        <f>IF(ISNUMBER(SEARCH(SUBSTITUTE(BB$1,RIGHT(BB$1,2),""),VLOOKUP($D240,素材!$1:$1016,COLUMN($F$1),FALSE))),VLOOKUP($C240,武器!$1:$998,COLUMN($O$1),FALSE)*VLOOKUP($D240,素材!$1:$1016,COLUMN($E$1),FALSE)/(LEN(VLOOKUP($D240,素材!$1:$1016,COLUMN($F$1),FALSE)) - LEN(SUBSTITUTE(VLOOKUP($D240,素材!$1:$1016,COLUMN($F$1),FALSE), "・", 0)) + 1), 0)</f>
        <v>0</v>
      </c>
      <c r="BC240">
        <f>IF(ISNUMBER(SEARCH(SUBSTITUTE(BC$1,RIGHT(BC$1,2),""),VLOOKUP($D240,素材!$1:$1016,COLUMN($F$1),FALSE))),VLOOKUP($C240,武器!$1:$998,COLUMN($O$1),FALSE)*VLOOKUP($D240,素材!$1:$1016,COLUMN($E$1),FALSE)/(LEN(VLOOKUP($D240,素材!$1:$1016,COLUMN($F$1),FALSE)) - LEN(SUBSTITUTE(VLOOKUP($D240,素材!$1:$1016,COLUMN($F$1),FALSE), "・", 0)) + 1), 0)</f>
        <v>0</v>
      </c>
      <c r="BD240">
        <f>IF(ISNUMBER(SEARCH(SUBSTITUTE(BD$1,RIGHT(BD$1,2),""),VLOOKUP($D240,素材!$1:$1016,COLUMN($F$1),FALSE))),VLOOKUP($C240,武器!$1:$998,COLUMN($O$1),FALSE)*VLOOKUP($D240,素材!$1:$1016,COLUMN($E$1),FALSE)/(LEN(VLOOKUP($D240,素材!$1:$1016,COLUMN($F$1),FALSE)) - LEN(SUBSTITUTE(VLOOKUP($D240,素材!$1:$1016,COLUMN($F$1),FALSE), "・", 0)) + 1), 0)</f>
        <v>0</v>
      </c>
      <c r="BE240">
        <f>IF(ISNUMBER(SEARCH(SUBSTITUTE(BE$1,RIGHT(BE$1,2),""),VLOOKUP($D240,素材!$1:$1016,COLUMN($F$1),FALSE))),VLOOKUP($C240,武器!$1:$998,COLUMN($O$1),FALSE)*VLOOKUP($D240,素材!$1:$1016,COLUMN($E$1),FALSE)/(LEN(VLOOKUP($D240,素材!$1:$1016,COLUMN($F$1),FALSE)) - LEN(SUBSTITUTE(VLOOKUP($D240,素材!$1:$1016,COLUMN($F$1),FALSE), "・", 0)) + 1), 0)</f>
        <v>0</v>
      </c>
      <c r="CL240">
        <f>SUM(G240:I240)</f>
        <v>25</v>
      </c>
      <c r="CM240" s="22" t="str">
        <f>IF(E240="武器",IF(J240-1&gt;SUM(G240:I240),"盾",IF(MAX(G240:I240)=G240,"切断",IF(MAX(G240:I240)=H240,"貫通",IF(MAX(G240:I240)=I240,"打撃","射撃")))),E240)&amp;".webp"</f>
        <v>貫通.webp</v>
      </c>
      <c r="CN240">
        <f>IFERROR(VLOOKUP($C240,武器!$1:$998,COLUMN(V$1),FALSE)*VLOOKUP($D240,素材!$1:$1016,COLUMN(N$1),FALSE)+IF(CI240="",0,VLOOKUP($CI240,装強!$1:$1008,COLUMN($CK$1),FALSE)),"")</f>
        <v>2250</v>
      </c>
      <c r="CO240">
        <f>VLOOKUP(D240,素材!$A:$O,COLUMN(素材!O$1),FALSE)</f>
        <v>0</v>
      </c>
      <c r="CP240" t="str">
        <f>VLOOKUP(C240,武器!$A:$W,COLUMN(武器!W$1),FALSE)</f>
        <v>短槍。短く扱いやすい槍で、投擲にも対応。</v>
      </c>
      <c r="CR240" t="str">
        <f t="shared" si="29"/>
        <v>e_240</v>
      </c>
      <c r="CS240">
        <f t="shared" si="30"/>
        <v>225000</v>
      </c>
    </row>
    <row r="241" spans="1:97" outlineLevel="1" x14ac:dyDescent="0.4">
      <c r="A241" t="str">
        <f t="shared" si="31"/>
        <v>熱鉄の槍</v>
      </c>
      <c r="B241" t="str">
        <f>IFERROR(VLOOKUP($D241,素材!$1:$1016,COLUMN($B$1),FALSE)&amp;"・"&amp;VLOOKUP($C241,武器!$1:$998,COLUMN(B$1),FALSE),"")</f>
        <v>ヒートスティール・スピア</v>
      </c>
      <c r="C241" s="24" t="s">
        <v>233</v>
      </c>
      <c r="D241" s="24" t="s">
        <v>205</v>
      </c>
      <c r="E241" t="str">
        <f>IFERROR(VLOOKUP(C241,武器!$1:$998,COLUMN(C$1),FALSE),"")</f>
        <v>武器</v>
      </c>
      <c r="F241">
        <f>IFERROR(ROUNDDOWN((VLOOKUP($C241,武器!$1:$998,COLUMN(D$1),FALSE)+IFERROR(VLOOKUP($CI241,装強!$1:$999,COLUMN(F$1),FALSE),0))*VLOOKUP($D241,素材!$1:$1016,COLUMN(D$1),FALSE),0),"")</f>
        <v>115</v>
      </c>
      <c r="G241">
        <f>IFERROR(ROUNDDOWN((VLOOKUP($C241,武器!$1:$998,COLUMN(E$1),FALSE)+IFERROR(VLOOKUP($CI241,装強!$1:$999,COLUMN(G$1),FALSE),0))*VLOOKUP($D241,素材!$1:$1016,COLUMN($E$1),FALSE),0),"")</f>
        <v>8</v>
      </c>
      <c r="H241">
        <f>IFERROR(ROUNDDOWN((VLOOKUP($C241,武器!$1:$998,COLUMN(F$1),FALSE)+IFERROR(VLOOKUP($CI241,装強!$1:$999,COLUMN(H$1),FALSE),0))*VLOOKUP($D241,素材!$1:$1016,COLUMN($E$1),FALSE),0),"")</f>
        <v>16</v>
      </c>
      <c r="I241">
        <f>IFERROR(ROUNDDOWN((VLOOKUP($C241,武器!$1:$998,COLUMN(G$1),FALSE)+IFERROR(VLOOKUP($CI241,装強!$1:$999,COLUMN(I$1),FALSE),0))*VLOOKUP($D241,素材!$1:$1016,COLUMN($E$1),FALSE),0),"")</f>
        <v>3</v>
      </c>
      <c r="J241">
        <f>IFERROR(ROUNDDOWN((VLOOKUP($C241,武器!$1:$998,COLUMN(H$1),FALSE)+IFERROR(VLOOKUP($CI241,装強!$1:$999,COLUMN(J$1),FALSE),0))*VLOOKUP($D241,素材!$1:$1016,COLUMN($E$1),FALSE),0),"")</f>
        <v>17</v>
      </c>
      <c r="K241">
        <f>IFERROR(ROUNDDOWN((VLOOKUP($C241,武器!$1:$998,COLUMN(I$1),FALSE)+IFERROR(VLOOKUP($CI241,装強!$1:$999,COLUMN(K$1),FALSE),0))*VLOOKUP($D241,素材!$1:$1016,COLUMN($E$1),FALSE),0),"")</f>
        <v>0</v>
      </c>
      <c r="L241" t="str">
        <f>IFERROR(VLOOKUP($D241,素材!$1:$1016,COLUMN($F$1),FALSE),"")</f>
        <v>炎</v>
      </c>
      <c r="M241">
        <f>IFERROR(VLOOKUP($C241,武器!$1:$998,COLUMN(AA$1),FALSE)*VLOOKUP($D241,素材!$1:$1016,COLUMN($G$1),FALSE),"")</f>
        <v>47.25</v>
      </c>
      <c r="N241">
        <f>IFERROR(VLOOKUP($C241,武器!$1:$998,COLUMN(I$1),FALSE),"")</f>
        <v>0</v>
      </c>
      <c r="O241" s="23">
        <f>IFERROR((VLOOKUP($C241,武器!$1:$998,COLUMN(K$1),FALSE)+VLOOKUP($D241,素材!$1:$1016,COLUMN(H$1),FALSE))*100+IFERROR(VLOOKUP($CI241,装強!$1:$999,COLUMN(O$1),FALSE),0),"")</f>
        <v>10</v>
      </c>
      <c r="P241" s="23">
        <f>IFERROR((VLOOKUP($C241,武器!$1:$998,COLUMN(L$1),FALSE)+VLOOKUP($D241,素材!$1:$1016,COLUMN(I$1),FALSE))*100+IFERROR(VLOOKUP($CI241,装強!$1:$999,COLUMN(P$1),FALSE),0),"")</f>
        <v>150</v>
      </c>
      <c r="Q241">
        <f>IFERROR(ROUNDUP(VLOOKUP($C241,武器!$1:$998,COLUMN(M$1),FALSE)*(VLOOKUP($D241,素材!$1:$1002,COLUMN(D$1),FALSE)/100),1),"")</f>
        <v>0</v>
      </c>
      <c r="R241">
        <f>IFERROR(ROUNDUP(VLOOKUP($C241,武器!$1:$998,COLUMN(N$1),FALSE)*(VLOOKUP($D241,素材!$1:$1002,COLUMN(D$1),FALSE)/100),1),"")</f>
        <v>-5</v>
      </c>
      <c r="S241">
        <f>IFERROR(VLOOKUP($C241,武器!$1:$998,COLUMN(P$1),FALSE),"")</f>
        <v>0</v>
      </c>
      <c r="T241">
        <f>IFERROR(VLOOKUP($C241,武器!$1:$998,COLUMN(Q$1),FALSE),"")</f>
        <v>0</v>
      </c>
      <c r="U241">
        <f>IFERROR(VLOOKUP($C241,武器!$1:$998,COLUMN(R$1),FALSE),"")</f>
        <v>0</v>
      </c>
      <c r="V241">
        <f>IFERROR(VLOOKUP($C241,武器!$1:$998,COLUMN(Q$1),FALSE),"")</f>
        <v>0</v>
      </c>
      <c r="W241" t="str">
        <f>IFERROR(VLOOKUP($C241,武器!$1:$998,COLUMN(T$1),FALSE),"")</f>
        <v>A</v>
      </c>
      <c r="Y241" t="str">
        <f>IFERROR(VLOOKUP($C241,武器!$1:$998,COLUMN(U$1),FALSE),"")</f>
        <v>投擲強化</v>
      </c>
      <c r="Z241">
        <f>IFERROR(ROUNDUP(VLOOKUP($C241,武器!$1:$998,COLUMN(O$1),FALSE)*VLOOKUP($D241,素材!$1:$1016,COLUMN(E$1),FALSE),1),"")</f>
        <v>0</v>
      </c>
      <c r="AA241">
        <f>IF(ISNUMBER(SEARCH(SUBSTITUTE(AA$1,RIGHT(AA$1,2),""),VLOOKUP($D241,素材!$1:$1016,COLUMN($F$1),FALSE))),VLOOKUP($C241,武器!$1:$998,COLUMN($O$1),FALSE)*VLOOKUP($D241,素材!$1:$1016,COLUMN($E$1),FALSE)/(LEN(VLOOKUP($D241,素材!$1:$1016,COLUMN($F$1),FALSE)) - LEN(SUBSTITUTE(VLOOKUP($D241,素材!$1:$1016,COLUMN($F$1),FALSE), "・", 0)) + 1), 0)</f>
        <v>0</v>
      </c>
      <c r="AB241">
        <f>IF(ISNUMBER(SEARCH(SUBSTITUTE(AB$1,RIGHT(AB$1,2),""),VLOOKUP($D241,素材!$1:$1016,COLUMN($F$1),FALSE))),VLOOKUP($C241,武器!$1:$998,COLUMN($O$1),FALSE)*VLOOKUP($D241,素材!$1:$1016,COLUMN($E$1),FALSE)/(LEN(VLOOKUP($D241,素材!$1:$1016,COLUMN($F$1),FALSE)) - LEN(SUBSTITUTE(VLOOKUP($D241,素材!$1:$1016,COLUMN($F$1),FALSE), "・", 0)) + 1), 0)</f>
        <v>0</v>
      </c>
      <c r="AC241">
        <f>IF(ISNUMBER(SEARCH(SUBSTITUTE(AC$1,RIGHT(AC$1,2),""),VLOOKUP($D241,素材!$1:$1016,COLUMN($F$1),FALSE))),VLOOKUP($C241,武器!$1:$998,COLUMN($O$1),FALSE)*VLOOKUP($D241,素材!$1:$1016,COLUMN($E$1),FALSE)/(LEN(VLOOKUP($D241,素材!$1:$1016,COLUMN($F$1),FALSE)) - LEN(SUBSTITUTE(VLOOKUP($D241,素材!$1:$1016,COLUMN($F$1),FALSE), "・", 0)) + 1), 0)</f>
        <v>0</v>
      </c>
      <c r="AD241">
        <f>IF(ISNUMBER(SEARCH(SUBSTITUTE(AD$1,RIGHT(AD$1,2),""),VLOOKUP($D241,素材!$1:$1016,COLUMN($F$1),FALSE))),VLOOKUP($C241,武器!$1:$998,COLUMN($O$1),FALSE)*VLOOKUP($D241,素材!$1:$1016,COLUMN($E$1),FALSE)/(LEN(VLOOKUP($D241,素材!$1:$1016,COLUMN($F$1),FALSE)) - LEN(SUBSTITUTE(VLOOKUP($D241,素材!$1:$1016,COLUMN($F$1),FALSE), "・", 0)) + 1), 0)</f>
        <v>0</v>
      </c>
      <c r="AE241">
        <f>IF(ISNUMBER(SEARCH(SUBSTITUTE(AE$1,RIGHT(AE$1,2),""),VLOOKUP($D241,素材!$1:$1016,COLUMN($F$1),FALSE))),VLOOKUP($C241,武器!$1:$998,COLUMN($O$1),FALSE)*VLOOKUP($D241,素材!$1:$1016,COLUMN($E$1),FALSE)/(LEN(VLOOKUP($D241,素材!$1:$1016,COLUMN($F$1),FALSE)) - LEN(SUBSTITUTE(VLOOKUP($D241,素材!$1:$1016,COLUMN($F$1),FALSE), "・", 0)) + 1), 0)</f>
        <v>0</v>
      </c>
      <c r="AF241">
        <f>IF(ISNUMBER(SEARCH(SUBSTITUTE(AF$1,RIGHT(AF$1,2),""),VLOOKUP($D241,素材!$1:$1016,COLUMN($F$1),FALSE))),VLOOKUP($C241,武器!$1:$998,COLUMN($O$1),FALSE)*VLOOKUP($D241,素材!$1:$1016,COLUMN($E$1),FALSE)/(LEN(VLOOKUP($D241,素材!$1:$1016,COLUMN($F$1),FALSE)) - LEN(SUBSTITUTE(VLOOKUP($D241,素材!$1:$1016,COLUMN($F$1),FALSE), "・", 0)) + 1), 0)</f>
        <v>0</v>
      </c>
      <c r="AG241">
        <f>IF(ISNUMBER(SEARCH(SUBSTITUTE(AG$1,RIGHT(AG$1,2),""),VLOOKUP($D241,素材!$1:$1016,COLUMN($F$1),FALSE))),VLOOKUP($C241,武器!$1:$998,COLUMN($O$1),FALSE)*VLOOKUP($D241,素材!$1:$1016,COLUMN($E$1),FALSE)/(LEN(VLOOKUP($D241,素材!$1:$1016,COLUMN($F$1),FALSE)) - LEN(SUBSTITUTE(VLOOKUP($D241,素材!$1:$1016,COLUMN($F$1),FALSE), "・", 0)) + 1), 0)</f>
        <v>0</v>
      </c>
      <c r="AH241">
        <f>IF(ISNUMBER(SEARCH(SUBSTITUTE(AH$1,RIGHT(AH$1,2),""),VLOOKUP($D241,素材!$1:$1016,COLUMN($F$1),FALSE))),VLOOKUP($C241,武器!$1:$998,COLUMN($O$1),FALSE)*VLOOKUP($D241,素材!$1:$1016,COLUMN($E$1),FALSE)/(LEN(VLOOKUP($D241,素材!$1:$1016,COLUMN($F$1),FALSE)) - LEN(SUBSTITUTE(VLOOKUP($D241,素材!$1:$1016,COLUMN($F$1),FALSE), "・", 0)) + 1), 0)</f>
        <v>0</v>
      </c>
      <c r="AI241">
        <f>IF(ISNUMBER(SEARCH(SUBSTITUTE(AI$1,RIGHT(AI$1,2),""),VLOOKUP($D241,素材!$1:$1016,COLUMN($F$1),FALSE))),VLOOKUP($C241,武器!$1:$998,COLUMN($O$1),FALSE)*VLOOKUP($D241,素材!$1:$1016,COLUMN($E$1),FALSE)/(LEN(VLOOKUP($D241,素材!$1:$1016,COLUMN($F$1),FALSE)) - LEN(SUBSTITUTE(VLOOKUP($D241,素材!$1:$1016,COLUMN($F$1),FALSE), "・", 0)) + 1), 0)</f>
        <v>0</v>
      </c>
      <c r="AJ241">
        <f>IF(ISNUMBER(SEARCH(SUBSTITUTE(AJ$1,RIGHT(AJ$1,2),""),VLOOKUP($D241,素材!$1:$1016,COLUMN($F$1),FALSE))),VLOOKUP($C241,武器!$1:$998,COLUMN($O$1),FALSE)*VLOOKUP($D241,素材!$1:$1016,COLUMN($E$1),FALSE)/(LEN(VLOOKUP($D241,素材!$1:$1016,COLUMN($F$1),FALSE)) - LEN(SUBSTITUTE(VLOOKUP($D241,素材!$1:$1016,COLUMN($F$1),FALSE), "・", 0)) + 1), 0)</f>
        <v>0</v>
      </c>
      <c r="AK241">
        <f>IF(ISNUMBER(SEARCH(SUBSTITUTE(AK$1,RIGHT(AK$1,2),""),VLOOKUP($D241,素材!$1:$1016,COLUMN($F$1),FALSE))),VLOOKUP($C241,武器!$1:$998,COLUMN($O$1),FALSE)*VLOOKUP($D241,素材!$1:$1016,COLUMN($E$1),FALSE)/(LEN(VLOOKUP($D241,素材!$1:$1016,COLUMN($F$1),FALSE)) - LEN(SUBSTITUTE(VLOOKUP($D241,素材!$1:$1016,COLUMN($F$1),FALSE), "・", 0)) + 1), 0)</f>
        <v>0</v>
      </c>
      <c r="AL241">
        <f>IF(ISNUMBER(SEARCH(SUBSTITUTE(AL$1,RIGHT(AL$1,2),""),VLOOKUP($D241,素材!$1:$1016,COLUMN($F$1),FALSE))),VLOOKUP($C241,武器!$1:$998,COLUMN($O$1),FALSE)*VLOOKUP($D241,素材!$1:$1016,COLUMN($E$1),FALSE)/(LEN(VLOOKUP($D241,素材!$1:$1016,COLUMN($F$1),FALSE)) - LEN(SUBSTITUTE(VLOOKUP($D241,素材!$1:$1016,COLUMN($F$1),FALSE), "・", 0)) + 1), 0)</f>
        <v>0</v>
      </c>
      <c r="AM241">
        <f>IF(ISNUMBER(SEARCH(SUBSTITUTE(AM$1,RIGHT(AM$1,2),""),VLOOKUP($D241,素材!$1:$1016,COLUMN($F$1),FALSE))),VLOOKUP($C241,武器!$1:$998,COLUMN($O$1),FALSE)*VLOOKUP($D241,素材!$1:$1016,COLUMN($E$1),FALSE)/(LEN(VLOOKUP($D241,素材!$1:$1016,COLUMN($F$1),FALSE)) - LEN(SUBSTITUTE(VLOOKUP($D241,素材!$1:$1016,COLUMN($F$1),FALSE), "・", 0)) + 1), 0)</f>
        <v>0</v>
      </c>
      <c r="AN241">
        <f>IF(ISNUMBER(SEARCH(SUBSTITUTE(AN$1,RIGHT(AN$1,2),""),VLOOKUP($D241,素材!$1:$1016,COLUMN($F$1),FALSE))),VLOOKUP($C241,武器!$1:$998,COLUMN($O$1),FALSE)*VLOOKUP($D241,素材!$1:$1016,COLUMN($E$1),FALSE)/(LEN(VLOOKUP($D241,素材!$1:$1016,COLUMN($F$1),FALSE)) - LEN(SUBSTITUTE(VLOOKUP($D241,素材!$1:$1016,COLUMN($F$1),FALSE), "・", 0)) + 1), 0)</f>
        <v>0</v>
      </c>
      <c r="AO241">
        <f>IF(ISNUMBER(SEARCH(SUBSTITUTE(AO$1,RIGHT(AO$1,2),""),VLOOKUP($D241,素材!$1:$1016,COLUMN($F$1),FALSE))),VLOOKUP($C241,武器!$1:$998,COLUMN($O$1),FALSE)*VLOOKUP($D241,素材!$1:$1016,COLUMN($E$1),FALSE)/(LEN(VLOOKUP($D241,素材!$1:$1016,COLUMN($F$1),FALSE)) - LEN(SUBSTITUTE(VLOOKUP($D241,素材!$1:$1016,COLUMN($F$1),FALSE), "・", 0)) + 1), 0)</f>
        <v>0</v>
      </c>
      <c r="AP241">
        <f>IF(ISNUMBER(SEARCH(SUBSTITUTE(AP$1,RIGHT(AP$1,2),""),VLOOKUP($D241,素材!$1:$1016,COLUMN($F$1),FALSE))),VLOOKUP($C241,武器!$1:$998,COLUMN($O$1),FALSE)*VLOOKUP($D241,素材!$1:$1016,COLUMN($E$1),FALSE)/(LEN(VLOOKUP($D241,素材!$1:$1016,COLUMN($F$1),FALSE)) - LEN(SUBSTITUTE(VLOOKUP($D241,素材!$1:$1016,COLUMN($F$1),FALSE), "・", 0)) + 1), 0)</f>
        <v>0</v>
      </c>
      <c r="AQ241">
        <f>IF(ISNUMBER(SEARCH(SUBSTITUTE(AQ$1,RIGHT(AQ$1,2),""),VLOOKUP($D241,素材!$1:$1016,COLUMN($F$1),FALSE))),VLOOKUP($C241,武器!$1:$998,COLUMN($O$1),FALSE)*VLOOKUP($D241,素材!$1:$1016,COLUMN($E$1),FALSE)/(LEN(VLOOKUP($D241,素材!$1:$1016,COLUMN($F$1),FALSE)) - LEN(SUBSTITUTE(VLOOKUP($D241,素材!$1:$1016,COLUMN($F$1),FALSE), "・", 0)) + 1), 0)</f>
        <v>0</v>
      </c>
      <c r="AR241">
        <f>IF(ISNUMBER(SEARCH(SUBSTITUTE(AR$1,RIGHT(AR$1,2),""),VLOOKUP($D241,素材!$1:$1016,COLUMN($F$1),FALSE))),VLOOKUP($C241,武器!$1:$998,COLUMN($O$1),FALSE)*VLOOKUP($D241,素材!$1:$1016,COLUMN($E$1),FALSE)/(LEN(VLOOKUP($D241,素材!$1:$1016,COLUMN($F$1),FALSE)) - LEN(SUBSTITUTE(VLOOKUP($D241,素材!$1:$1016,COLUMN($F$1),FALSE), "・", 0)) + 1), 0)</f>
        <v>0</v>
      </c>
      <c r="AS241">
        <f>IF(ISNUMBER(SEARCH(SUBSTITUTE(AS$1,RIGHT(AS$1,2),""),VLOOKUP($D241,素材!$1:$1016,COLUMN($F$1),FALSE))),VLOOKUP($C241,武器!$1:$998,COLUMN($O$1),FALSE)*VLOOKUP($D241,素材!$1:$1016,COLUMN($E$1),FALSE)/(LEN(VLOOKUP($D241,素材!$1:$1016,COLUMN($F$1),FALSE)) - LEN(SUBSTITUTE(VLOOKUP($D241,素材!$1:$1016,COLUMN($F$1),FALSE), "・", 0)) + 1), 0)</f>
        <v>0</v>
      </c>
      <c r="AT241">
        <f>IF(ISNUMBER(SEARCH(SUBSTITUTE(AT$1,RIGHT(AT$1,2),""),VLOOKUP($D241,素材!$1:$1016,COLUMN($F$1),FALSE))),VLOOKUP($C241,武器!$1:$998,COLUMN($O$1),FALSE)*VLOOKUP($D241,素材!$1:$1016,COLUMN($E$1),FALSE)/(LEN(VLOOKUP($D241,素材!$1:$1016,COLUMN($F$1),FALSE)) - LEN(SUBSTITUTE(VLOOKUP($D241,素材!$1:$1016,COLUMN($F$1),FALSE), "・", 0)) + 1), 0)</f>
        <v>0</v>
      </c>
      <c r="AU241">
        <f>IF(ISNUMBER(SEARCH(SUBSTITUTE(AU$1,RIGHT(AU$1,2),""),VLOOKUP($D241,素材!$1:$1016,COLUMN($F$1),FALSE))),VLOOKUP($C241,武器!$1:$998,COLUMN($O$1),FALSE)*VLOOKUP($D241,素材!$1:$1016,COLUMN($E$1),FALSE)/(LEN(VLOOKUP($D241,素材!$1:$1016,COLUMN($F$1),FALSE)) - LEN(SUBSTITUTE(VLOOKUP($D241,素材!$1:$1016,COLUMN($F$1),FALSE), "・", 0)) + 1), 0)</f>
        <v>0</v>
      </c>
      <c r="AV241">
        <f>IF(ISNUMBER(SEARCH(SUBSTITUTE(AV$1,RIGHT(AV$1,2),""),VLOOKUP($D241,素材!$1:$1016,COLUMN($F$1),FALSE))),VLOOKUP($C241,武器!$1:$998,COLUMN($O$1),FALSE)*VLOOKUP($D241,素材!$1:$1016,COLUMN($E$1),FALSE)/(LEN(VLOOKUP($D241,素材!$1:$1016,COLUMN($F$1),FALSE)) - LEN(SUBSTITUTE(VLOOKUP($D241,素材!$1:$1016,COLUMN($F$1),FALSE), "・", 0)) + 1), 0)</f>
        <v>0</v>
      </c>
      <c r="AW241">
        <f>IF(ISNUMBER(SEARCH(SUBSTITUTE(AW$1,RIGHT(AW$1,2),""),VLOOKUP($D241,素材!$1:$1016,COLUMN($F$1),FALSE))),VLOOKUP($C241,武器!$1:$998,COLUMN($O$1),FALSE)*VLOOKUP($D241,素材!$1:$1016,COLUMN($E$1),FALSE)/(LEN(VLOOKUP($D241,素材!$1:$1016,COLUMN($F$1),FALSE)) - LEN(SUBSTITUTE(VLOOKUP($D241,素材!$1:$1016,COLUMN($F$1),FALSE), "・", 0)) + 1), 0)</f>
        <v>0</v>
      </c>
      <c r="AX241">
        <f>IF(ISNUMBER(SEARCH(SUBSTITUTE(AX$1,RIGHT(AX$1,2),""),VLOOKUP($D241,素材!$1:$1016,COLUMN($F$1),FALSE))),VLOOKUP($C241,武器!$1:$998,COLUMN($O$1),FALSE)*VLOOKUP($D241,素材!$1:$1016,COLUMN($E$1),FALSE)/(LEN(VLOOKUP($D241,素材!$1:$1016,COLUMN($F$1),FALSE)) - LEN(SUBSTITUTE(VLOOKUP($D241,素材!$1:$1016,COLUMN($F$1),FALSE), "・", 0)) + 1), 0)</f>
        <v>0</v>
      </c>
      <c r="AY241">
        <f>IF(ISNUMBER(SEARCH(SUBSTITUTE(AY$1,RIGHT(AY$1,2),""),VLOOKUP($D241,素材!$1:$1016,COLUMN($F$1),FALSE))),VLOOKUP($C241,武器!$1:$998,COLUMN($O$1),FALSE)*VLOOKUP($D241,素材!$1:$1016,COLUMN($E$1),FALSE)/(LEN(VLOOKUP($D241,素材!$1:$1016,COLUMN($F$1),FALSE)) - LEN(SUBSTITUTE(VLOOKUP($D241,素材!$1:$1016,COLUMN($F$1),FALSE), "・", 0)) + 1), 0)</f>
        <v>0</v>
      </c>
      <c r="AZ241">
        <f>IF(ISNUMBER(SEARCH(SUBSTITUTE(AZ$1,RIGHT(AZ$1,2),""),VLOOKUP($D241,素材!$1:$1016,COLUMN($F$1),FALSE))),VLOOKUP($C241,武器!$1:$998,COLUMN($O$1),FALSE)*VLOOKUP($D241,素材!$1:$1016,COLUMN($E$1),FALSE)/(LEN(VLOOKUP($D241,素材!$1:$1016,COLUMN($F$1),FALSE)) - LEN(SUBSTITUTE(VLOOKUP($D241,素材!$1:$1016,COLUMN($F$1),FALSE), "・", 0)) + 1), 0)</f>
        <v>0</v>
      </c>
      <c r="BA241">
        <f>IF(ISNUMBER(SEARCH(SUBSTITUTE(BA$1,RIGHT(BA$1,2),""),VLOOKUP($D241,素材!$1:$1016,COLUMN($F$1),FALSE))),VLOOKUP($C241,武器!$1:$998,COLUMN($O$1),FALSE)*VLOOKUP($D241,素材!$1:$1016,COLUMN($E$1),FALSE)/(LEN(VLOOKUP($D241,素材!$1:$1016,COLUMN($F$1),FALSE)) - LEN(SUBSTITUTE(VLOOKUP($D241,素材!$1:$1016,COLUMN($F$1),FALSE), "・", 0)) + 1), 0)</f>
        <v>0</v>
      </c>
      <c r="BB241">
        <f>IF(ISNUMBER(SEARCH(SUBSTITUTE(BB$1,RIGHT(BB$1,2),""),VLOOKUP($D241,素材!$1:$1016,COLUMN($F$1),FALSE))),VLOOKUP($C241,武器!$1:$998,COLUMN($O$1),FALSE)*VLOOKUP($D241,素材!$1:$1016,COLUMN($E$1),FALSE)/(LEN(VLOOKUP($D241,素材!$1:$1016,COLUMN($F$1),FALSE)) - LEN(SUBSTITUTE(VLOOKUP($D241,素材!$1:$1016,COLUMN($F$1),FALSE), "・", 0)) + 1), 0)</f>
        <v>0</v>
      </c>
      <c r="BC241">
        <f>IF(ISNUMBER(SEARCH(SUBSTITUTE(BC$1,RIGHT(BC$1,2),""),VLOOKUP($D241,素材!$1:$1016,COLUMN($F$1),FALSE))),VLOOKUP($C241,武器!$1:$998,COLUMN($O$1),FALSE)*VLOOKUP($D241,素材!$1:$1016,COLUMN($E$1),FALSE)/(LEN(VLOOKUP($D241,素材!$1:$1016,COLUMN($F$1),FALSE)) - LEN(SUBSTITUTE(VLOOKUP($D241,素材!$1:$1016,COLUMN($F$1),FALSE), "・", 0)) + 1), 0)</f>
        <v>0</v>
      </c>
      <c r="BD241">
        <f>IF(ISNUMBER(SEARCH(SUBSTITUTE(BD$1,RIGHT(BD$1,2),""),VLOOKUP($D241,素材!$1:$1016,COLUMN($F$1),FALSE))),VLOOKUP($C241,武器!$1:$998,COLUMN($O$1),FALSE)*VLOOKUP($D241,素材!$1:$1016,COLUMN($E$1),FALSE)/(LEN(VLOOKUP($D241,素材!$1:$1016,COLUMN($F$1),FALSE)) - LEN(SUBSTITUTE(VLOOKUP($D241,素材!$1:$1016,COLUMN($F$1),FALSE), "・", 0)) + 1), 0)</f>
        <v>0</v>
      </c>
      <c r="BE241">
        <f>IF(ISNUMBER(SEARCH(SUBSTITUTE(BE$1,RIGHT(BE$1,2),""),VLOOKUP($D241,素材!$1:$1016,COLUMN($F$1),FALSE))),VLOOKUP($C241,武器!$1:$998,COLUMN($O$1),FALSE)*VLOOKUP($D241,素材!$1:$1016,COLUMN($E$1),FALSE)/(LEN(VLOOKUP($D241,素材!$1:$1016,COLUMN($F$1),FALSE)) - LEN(SUBSTITUTE(VLOOKUP($D241,素材!$1:$1016,COLUMN($F$1),FALSE), "・", 0)) + 1), 0)</f>
        <v>0</v>
      </c>
      <c r="CL241">
        <f>SUM(G241:I241)</f>
        <v>27</v>
      </c>
      <c r="CM241" s="22" t="str">
        <f>IF(E241="武器",IF(J241-1&gt;SUM(G241:I241),"盾",IF(MAX(G241:I241)=G241,"切断",IF(MAX(G241:I241)=H241,"貫通",IF(MAX(G241:I241)=I241,"打撃","射撃")))),E241)&amp;".webp"</f>
        <v>貫通.webp</v>
      </c>
      <c r="CN241">
        <f>IFERROR(VLOOKUP($C241,武器!$1:$998,COLUMN(V$1),FALSE)*VLOOKUP($D241,素材!$1:$1016,COLUMN(N$1),FALSE)+IF(CI241="",0,VLOOKUP($CI241,装強!$1:$1008,COLUMN($CK$1),FALSE)),"")</f>
        <v>3000</v>
      </c>
      <c r="CO241">
        <f>VLOOKUP(D241,素材!$A:$O,COLUMN(素材!O$1),FALSE)</f>
        <v>0</v>
      </c>
      <c r="CP241" t="str">
        <f>VLOOKUP(C241,武器!$A:$W,COLUMN(武器!W$1),FALSE)</f>
        <v>槍。リーチが長く、刺突に優れる武器。</v>
      </c>
      <c r="CR241" t="str">
        <f t="shared" si="29"/>
        <v>e_241</v>
      </c>
      <c r="CS241">
        <f t="shared" si="30"/>
        <v>300000</v>
      </c>
    </row>
    <row r="242" spans="1:97" outlineLevel="1" x14ac:dyDescent="0.4">
      <c r="A242" t="str">
        <f t="shared" si="31"/>
        <v>熱鉄の騎士槍</v>
      </c>
      <c r="B242" t="str">
        <f>IFERROR(VLOOKUP($D242,素材!$1:$1016,COLUMN($B$1),FALSE)&amp;"・"&amp;VLOOKUP($C242,武器!$1:$998,COLUMN(B$1),FALSE),"")</f>
        <v>ヒートスティール・ランス</v>
      </c>
      <c r="C242" s="24" t="s">
        <v>232</v>
      </c>
      <c r="D242" s="24" t="s">
        <v>205</v>
      </c>
      <c r="E242" t="str">
        <f>IFERROR(VLOOKUP(C242,武器!$1:$998,COLUMN(C$1),FALSE),"")</f>
        <v>武器</v>
      </c>
      <c r="F242">
        <f>IFERROR(ROUNDDOWN((VLOOKUP($C242,武器!$1:$998,COLUMN(D$1),FALSE)+IFERROR(VLOOKUP($CI242,装強!$1:$999,COLUMN(F$1),FALSE),0))*VLOOKUP($D242,素材!$1:$1016,COLUMN(D$1),FALSE),0),"")</f>
        <v>115</v>
      </c>
      <c r="G242">
        <f>IFERROR(ROUNDDOWN((VLOOKUP($C242,武器!$1:$998,COLUMN(E$1),FALSE)+IFERROR(VLOOKUP($CI242,装強!$1:$999,COLUMN(G$1),FALSE),0))*VLOOKUP($D242,素材!$1:$1016,COLUMN($E$1),FALSE),0),"")</f>
        <v>0</v>
      </c>
      <c r="H242">
        <f>IFERROR(ROUNDDOWN((VLOOKUP($C242,武器!$1:$998,COLUMN(F$1),FALSE)+IFERROR(VLOOKUP($CI242,装強!$1:$999,COLUMN(H$1),FALSE),0))*VLOOKUP($D242,素材!$1:$1016,COLUMN($E$1),FALSE),0),"")</f>
        <v>19</v>
      </c>
      <c r="I242">
        <f>IFERROR(ROUNDDOWN((VLOOKUP($C242,武器!$1:$998,COLUMN(G$1),FALSE)+IFERROR(VLOOKUP($CI242,装強!$1:$999,COLUMN(I$1),FALSE),0))*VLOOKUP($D242,素材!$1:$1016,COLUMN($E$1),FALSE),0),"")</f>
        <v>9</v>
      </c>
      <c r="J242">
        <f>IFERROR(ROUNDDOWN((VLOOKUP($C242,武器!$1:$998,COLUMN(H$1),FALSE)+IFERROR(VLOOKUP($CI242,装強!$1:$999,COLUMN(J$1),FALSE),0))*VLOOKUP($D242,素材!$1:$1016,COLUMN($E$1),FALSE),0),"")</f>
        <v>20</v>
      </c>
      <c r="K242">
        <f>IFERROR(ROUNDDOWN((VLOOKUP($C242,武器!$1:$998,COLUMN(I$1),FALSE)+IFERROR(VLOOKUP($CI242,装強!$1:$999,COLUMN(K$1),FALSE),0))*VLOOKUP($D242,素材!$1:$1016,COLUMN($E$1),FALSE),0),"")</f>
        <v>0</v>
      </c>
      <c r="L242" t="str">
        <f>IFERROR(VLOOKUP($D242,素材!$1:$1016,COLUMN($F$1),FALSE),"")</f>
        <v>炎</v>
      </c>
      <c r="M242">
        <f>IFERROR(VLOOKUP($C242,武器!$1:$998,COLUMN(AA$1),FALSE)*VLOOKUP($D242,素材!$1:$1016,COLUMN($G$1),FALSE),"")</f>
        <v>49</v>
      </c>
      <c r="N242">
        <f>IFERROR(VLOOKUP($C242,武器!$1:$998,COLUMN(I$1),FALSE),"")</f>
        <v>0</v>
      </c>
      <c r="O242" s="23">
        <f>IFERROR((VLOOKUP($C242,武器!$1:$998,COLUMN(K$1),FALSE)+VLOOKUP($D242,素材!$1:$1016,COLUMN(H$1),FALSE))*100+IFERROR(VLOOKUP($CI242,装強!$1:$999,COLUMN(O$1),FALSE),0),"")</f>
        <v>5</v>
      </c>
      <c r="P242" s="23">
        <f>IFERROR((VLOOKUP($C242,武器!$1:$998,COLUMN(L$1),FALSE)+VLOOKUP($D242,素材!$1:$1016,COLUMN(I$1),FALSE))*100+IFERROR(VLOOKUP($CI242,装強!$1:$999,COLUMN(P$1),FALSE),0),"")</f>
        <v>175</v>
      </c>
      <c r="Q242">
        <f>IFERROR(ROUNDUP(VLOOKUP($C242,武器!$1:$998,COLUMN(M$1),FALSE)*(VLOOKUP($D242,素材!$1:$1002,COLUMN(D$1),FALSE)/100),1),"")</f>
        <v>-5</v>
      </c>
      <c r="R242">
        <f>IFERROR(ROUNDUP(VLOOKUP($C242,武器!$1:$998,COLUMN(N$1),FALSE)*(VLOOKUP($D242,素材!$1:$1002,COLUMN(D$1),FALSE)/100),1),"")</f>
        <v>-5</v>
      </c>
      <c r="S242">
        <f>IFERROR(VLOOKUP($C242,武器!$1:$998,COLUMN(P$1),FALSE),"")</f>
        <v>0</v>
      </c>
      <c r="T242">
        <f>IFERROR(VLOOKUP($C242,武器!$1:$998,COLUMN(Q$1),FALSE),"")</f>
        <v>0</v>
      </c>
      <c r="U242">
        <f>IFERROR(VLOOKUP($C242,武器!$1:$998,COLUMN(R$1),FALSE),"")</f>
        <v>0</v>
      </c>
      <c r="V242">
        <f>IFERROR(VLOOKUP($C242,武器!$1:$998,COLUMN(Q$1),FALSE),"")</f>
        <v>0</v>
      </c>
      <c r="W242" t="str">
        <f>IFERROR(VLOOKUP($C242,武器!$1:$998,COLUMN(T$1),FALSE),"")</f>
        <v>A</v>
      </c>
      <c r="Y242" t="str">
        <f>IFERROR(VLOOKUP($C242,武器!$1:$998,COLUMN(U$1),FALSE),"")</f>
        <v>突撃強化</v>
      </c>
      <c r="Z242">
        <f>IFERROR(ROUNDUP(VLOOKUP($C242,武器!$1:$998,COLUMN(O$1),FALSE)*VLOOKUP($D242,素材!$1:$1016,COLUMN(E$1),FALSE),1),"")</f>
        <v>0</v>
      </c>
      <c r="AA242">
        <f>IF(ISNUMBER(SEARCH(SUBSTITUTE(AA$1,RIGHT(AA$1,2),""),VLOOKUP($D242,素材!$1:$1016,COLUMN($F$1),FALSE))),VLOOKUP($C242,武器!$1:$998,COLUMN($O$1),FALSE)*VLOOKUP($D242,素材!$1:$1016,COLUMN($E$1),FALSE)/(LEN(VLOOKUP($D242,素材!$1:$1016,COLUMN($F$1),FALSE)) - LEN(SUBSTITUTE(VLOOKUP($D242,素材!$1:$1016,COLUMN($F$1),FALSE), "・", 0)) + 1), 0)</f>
        <v>0</v>
      </c>
      <c r="AB242">
        <f>IF(ISNUMBER(SEARCH(SUBSTITUTE(AB$1,RIGHT(AB$1,2),""),VLOOKUP($D242,素材!$1:$1016,COLUMN($F$1),FALSE))),VLOOKUP($C242,武器!$1:$998,COLUMN($O$1),FALSE)*VLOOKUP($D242,素材!$1:$1016,COLUMN($E$1),FALSE)/(LEN(VLOOKUP($D242,素材!$1:$1016,COLUMN($F$1),FALSE)) - LEN(SUBSTITUTE(VLOOKUP($D242,素材!$1:$1016,COLUMN($F$1),FALSE), "・", 0)) + 1), 0)</f>
        <v>0</v>
      </c>
      <c r="AC242">
        <f>IF(ISNUMBER(SEARCH(SUBSTITUTE(AC$1,RIGHT(AC$1,2),""),VLOOKUP($D242,素材!$1:$1016,COLUMN($F$1),FALSE))),VLOOKUP($C242,武器!$1:$998,COLUMN($O$1),FALSE)*VLOOKUP($D242,素材!$1:$1016,COLUMN($E$1),FALSE)/(LEN(VLOOKUP($D242,素材!$1:$1016,COLUMN($F$1),FALSE)) - LEN(SUBSTITUTE(VLOOKUP($D242,素材!$1:$1016,COLUMN($F$1),FALSE), "・", 0)) + 1), 0)</f>
        <v>0</v>
      </c>
      <c r="AD242">
        <f>IF(ISNUMBER(SEARCH(SUBSTITUTE(AD$1,RIGHT(AD$1,2),""),VLOOKUP($D242,素材!$1:$1016,COLUMN($F$1),FALSE))),VLOOKUP($C242,武器!$1:$998,COLUMN($O$1),FALSE)*VLOOKUP($D242,素材!$1:$1016,COLUMN($E$1),FALSE)/(LEN(VLOOKUP($D242,素材!$1:$1016,COLUMN($F$1),FALSE)) - LEN(SUBSTITUTE(VLOOKUP($D242,素材!$1:$1016,COLUMN($F$1),FALSE), "・", 0)) + 1), 0)</f>
        <v>0</v>
      </c>
      <c r="AE242">
        <f>IF(ISNUMBER(SEARCH(SUBSTITUTE(AE$1,RIGHT(AE$1,2),""),VLOOKUP($D242,素材!$1:$1016,COLUMN($F$1),FALSE))),VLOOKUP($C242,武器!$1:$998,COLUMN($O$1),FALSE)*VLOOKUP($D242,素材!$1:$1016,COLUMN($E$1),FALSE)/(LEN(VLOOKUP($D242,素材!$1:$1016,COLUMN($F$1),FALSE)) - LEN(SUBSTITUTE(VLOOKUP($D242,素材!$1:$1016,COLUMN($F$1),FALSE), "・", 0)) + 1), 0)</f>
        <v>0</v>
      </c>
      <c r="AF242">
        <f>IF(ISNUMBER(SEARCH(SUBSTITUTE(AF$1,RIGHT(AF$1,2),""),VLOOKUP($D242,素材!$1:$1016,COLUMN($F$1),FALSE))),VLOOKUP($C242,武器!$1:$998,COLUMN($O$1),FALSE)*VLOOKUP($D242,素材!$1:$1016,COLUMN($E$1),FALSE)/(LEN(VLOOKUP($D242,素材!$1:$1016,COLUMN($F$1),FALSE)) - LEN(SUBSTITUTE(VLOOKUP($D242,素材!$1:$1016,COLUMN($F$1),FALSE), "・", 0)) + 1), 0)</f>
        <v>0</v>
      </c>
      <c r="AG242">
        <f>IF(ISNUMBER(SEARCH(SUBSTITUTE(AG$1,RIGHT(AG$1,2),""),VLOOKUP($D242,素材!$1:$1016,COLUMN($F$1),FALSE))),VLOOKUP($C242,武器!$1:$998,COLUMN($O$1),FALSE)*VLOOKUP($D242,素材!$1:$1016,COLUMN($E$1),FALSE)/(LEN(VLOOKUP($D242,素材!$1:$1016,COLUMN($F$1),FALSE)) - LEN(SUBSTITUTE(VLOOKUP($D242,素材!$1:$1016,COLUMN($F$1),FALSE), "・", 0)) + 1), 0)</f>
        <v>0</v>
      </c>
      <c r="AH242">
        <f>IF(ISNUMBER(SEARCH(SUBSTITUTE(AH$1,RIGHT(AH$1,2),""),VLOOKUP($D242,素材!$1:$1016,COLUMN($F$1),FALSE))),VLOOKUP($C242,武器!$1:$998,COLUMN($O$1),FALSE)*VLOOKUP($D242,素材!$1:$1016,COLUMN($E$1),FALSE)/(LEN(VLOOKUP($D242,素材!$1:$1016,COLUMN($F$1),FALSE)) - LEN(SUBSTITUTE(VLOOKUP($D242,素材!$1:$1016,COLUMN($F$1),FALSE), "・", 0)) + 1), 0)</f>
        <v>0</v>
      </c>
      <c r="AI242">
        <f>IF(ISNUMBER(SEARCH(SUBSTITUTE(AI$1,RIGHT(AI$1,2),""),VLOOKUP($D242,素材!$1:$1016,COLUMN($F$1),FALSE))),VLOOKUP($C242,武器!$1:$998,COLUMN($O$1),FALSE)*VLOOKUP($D242,素材!$1:$1016,COLUMN($E$1),FALSE)/(LEN(VLOOKUP($D242,素材!$1:$1016,COLUMN($F$1),FALSE)) - LEN(SUBSTITUTE(VLOOKUP($D242,素材!$1:$1016,COLUMN($F$1),FALSE), "・", 0)) + 1), 0)</f>
        <v>0</v>
      </c>
      <c r="AJ242">
        <f>IF(ISNUMBER(SEARCH(SUBSTITUTE(AJ$1,RIGHT(AJ$1,2),""),VLOOKUP($D242,素材!$1:$1016,COLUMN($F$1),FALSE))),VLOOKUP($C242,武器!$1:$998,COLUMN($O$1),FALSE)*VLOOKUP($D242,素材!$1:$1016,COLUMN($E$1),FALSE)/(LEN(VLOOKUP($D242,素材!$1:$1016,COLUMN($F$1),FALSE)) - LEN(SUBSTITUTE(VLOOKUP($D242,素材!$1:$1016,COLUMN($F$1),FALSE), "・", 0)) + 1), 0)</f>
        <v>0</v>
      </c>
      <c r="AK242">
        <f>IF(ISNUMBER(SEARCH(SUBSTITUTE(AK$1,RIGHT(AK$1,2),""),VLOOKUP($D242,素材!$1:$1016,COLUMN($F$1),FALSE))),VLOOKUP($C242,武器!$1:$998,COLUMN($O$1),FALSE)*VLOOKUP($D242,素材!$1:$1016,COLUMN($E$1),FALSE)/(LEN(VLOOKUP($D242,素材!$1:$1016,COLUMN($F$1),FALSE)) - LEN(SUBSTITUTE(VLOOKUP($D242,素材!$1:$1016,COLUMN($F$1),FALSE), "・", 0)) + 1), 0)</f>
        <v>0</v>
      </c>
      <c r="AL242">
        <f>IF(ISNUMBER(SEARCH(SUBSTITUTE(AL$1,RIGHT(AL$1,2),""),VLOOKUP($D242,素材!$1:$1016,COLUMN($F$1),FALSE))),VLOOKUP($C242,武器!$1:$998,COLUMN($O$1),FALSE)*VLOOKUP($D242,素材!$1:$1016,COLUMN($E$1),FALSE)/(LEN(VLOOKUP($D242,素材!$1:$1016,COLUMN($F$1),FALSE)) - LEN(SUBSTITUTE(VLOOKUP($D242,素材!$1:$1016,COLUMN($F$1),FALSE), "・", 0)) + 1), 0)</f>
        <v>0</v>
      </c>
      <c r="AM242">
        <f>IF(ISNUMBER(SEARCH(SUBSTITUTE(AM$1,RIGHT(AM$1,2),""),VLOOKUP($D242,素材!$1:$1016,COLUMN($F$1),FALSE))),VLOOKUP($C242,武器!$1:$998,COLUMN($O$1),FALSE)*VLOOKUP($D242,素材!$1:$1016,COLUMN($E$1),FALSE)/(LEN(VLOOKUP($D242,素材!$1:$1016,COLUMN($F$1),FALSE)) - LEN(SUBSTITUTE(VLOOKUP($D242,素材!$1:$1016,COLUMN($F$1),FALSE), "・", 0)) + 1), 0)</f>
        <v>0</v>
      </c>
      <c r="AN242">
        <f>IF(ISNUMBER(SEARCH(SUBSTITUTE(AN$1,RIGHT(AN$1,2),""),VLOOKUP($D242,素材!$1:$1016,COLUMN($F$1),FALSE))),VLOOKUP($C242,武器!$1:$998,COLUMN($O$1),FALSE)*VLOOKUP($D242,素材!$1:$1016,COLUMN($E$1),FALSE)/(LEN(VLOOKUP($D242,素材!$1:$1016,COLUMN($F$1),FALSE)) - LEN(SUBSTITUTE(VLOOKUP($D242,素材!$1:$1016,COLUMN($F$1),FALSE), "・", 0)) + 1), 0)</f>
        <v>0</v>
      </c>
      <c r="AO242">
        <f>IF(ISNUMBER(SEARCH(SUBSTITUTE(AO$1,RIGHT(AO$1,2),""),VLOOKUP($D242,素材!$1:$1016,COLUMN($F$1),FALSE))),VLOOKUP($C242,武器!$1:$998,COLUMN($O$1),FALSE)*VLOOKUP($D242,素材!$1:$1016,COLUMN($E$1),FALSE)/(LEN(VLOOKUP($D242,素材!$1:$1016,COLUMN($F$1),FALSE)) - LEN(SUBSTITUTE(VLOOKUP($D242,素材!$1:$1016,COLUMN($F$1),FALSE), "・", 0)) + 1), 0)</f>
        <v>0</v>
      </c>
      <c r="AP242">
        <f>IF(ISNUMBER(SEARCH(SUBSTITUTE(AP$1,RIGHT(AP$1,2),""),VLOOKUP($D242,素材!$1:$1016,COLUMN($F$1),FALSE))),VLOOKUP($C242,武器!$1:$998,COLUMN($O$1),FALSE)*VLOOKUP($D242,素材!$1:$1016,COLUMN($E$1),FALSE)/(LEN(VLOOKUP($D242,素材!$1:$1016,COLUMN($F$1),FALSE)) - LEN(SUBSTITUTE(VLOOKUP($D242,素材!$1:$1016,COLUMN($F$1),FALSE), "・", 0)) + 1), 0)</f>
        <v>0</v>
      </c>
      <c r="AQ242">
        <f>IF(ISNUMBER(SEARCH(SUBSTITUTE(AQ$1,RIGHT(AQ$1,2),""),VLOOKUP($D242,素材!$1:$1016,COLUMN($F$1),FALSE))),VLOOKUP($C242,武器!$1:$998,COLUMN($O$1),FALSE)*VLOOKUP($D242,素材!$1:$1016,COLUMN($E$1),FALSE)/(LEN(VLOOKUP($D242,素材!$1:$1016,COLUMN($F$1),FALSE)) - LEN(SUBSTITUTE(VLOOKUP($D242,素材!$1:$1016,COLUMN($F$1),FALSE), "・", 0)) + 1), 0)</f>
        <v>0</v>
      </c>
      <c r="AR242">
        <f>IF(ISNUMBER(SEARCH(SUBSTITUTE(AR$1,RIGHT(AR$1,2),""),VLOOKUP($D242,素材!$1:$1016,COLUMN($F$1),FALSE))),VLOOKUP($C242,武器!$1:$998,COLUMN($O$1),FALSE)*VLOOKUP($D242,素材!$1:$1016,COLUMN($E$1),FALSE)/(LEN(VLOOKUP($D242,素材!$1:$1016,COLUMN($F$1),FALSE)) - LEN(SUBSTITUTE(VLOOKUP($D242,素材!$1:$1016,COLUMN($F$1),FALSE), "・", 0)) + 1), 0)</f>
        <v>0</v>
      </c>
      <c r="AS242">
        <f>IF(ISNUMBER(SEARCH(SUBSTITUTE(AS$1,RIGHT(AS$1,2),""),VLOOKUP($D242,素材!$1:$1016,COLUMN($F$1),FALSE))),VLOOKUP($C242,武器!$1:$998,COLUMN($O$1),FALSE)*VLOOKUP($D242,素材!$1:$1016,COLUMN($E$1),FALSE)/(LEN(VLOOKUP($D242,素材!$1:$1016,COLUMN($F$1),FALSE)) - LEN(SUBSTITUTE(VLOOKUP($D242,素材!$1:$1016,COLUMN($F$1),FALSE), "・", 0)) + 1), 0)</f>
        <v>0</v>
      </c>
      <c r="AT242">
        <f>IF(ISNUMBER(SEARCH(SUBSTITUTE(AT$1,RIGHT(AT$1,2),""),VLOOKUP($D242,素材!$1:$1016,COLUMN($F$1),FALSE))),VLOOKUP($C242,武器!$1:$998,COLUMN($O$1),FALSE)*VLOOKUP($D242,素材!$1:$1016,COLUMN($E$1),FALSE)/(LEN(VLOOKUP($D242,素材!$1:$1016,COLUMN($F$1),FALSE)) - LEN(SUBSTITUTE(VLOOKUP($D242,素材!$1:$1016,COLUMN($F$1),FALSE), "・", 0)) + 1), 0)</f>
        <v>0</v>
      </c>
      <c r="AU242">
        <f>IF(ISNUMBER(SEARCH(SUBSTITUTE(AU$1,RIGHT(AU$1,2),""),VLOOKUP($D242,素材!$1:$1016,COLUMN($F$1),FALSE))),VLOOKUP($C242,武器!$1:$998,COLUMN($O$1),FALSE)*VLOOKUP($D242,素材!$1:$1016,COLUMN($E$1),FALSE)/(LEN(VLOOKUP($D242,素材!$1:$1016,COLUMN($F$1),FALSE)) - LEN(SUBSTITUTE(VLOOKUP($D242,素材!$1:$1016,COLUMN($F$1),FALSE), "・", 0)) + 1), 0)</f>
        <v>0</v>
      </c>
      <c r="AV242">
        <f>IF(ISNUMBER(SEARCH(SUBSTITUTE(AV$1,RIGHT(AV$1,2),""),VLOOKUP($D242,素材!$1:$1016,COLUMN($F$1),FALSE))),VLOOKUP($C242,武器!$1:$998,COLUMN($O$1),FALSE)*VLOOKUP($D242,素材!$1:$1016,COLUMN($E$1),FALSE)/(LEN(VLOOKUP($D242,素材!$1:$1016,COLUMN($F$1),FALSE)) - LEN(SUBSTITUTE(VLOOKUP($D242,素材!$1:$1016,COLUMN($F$1),FALSE), "・", 0)) + 1), 0)</f>
        <v>0</v>
      </c>
      <c r="AW242">
        <f>IF(ISNUMBER(SEARCH(SUBSTITUTE(AW$1,RIGHT(AW$1,2),""),VLOOKUP($D242,素材!$1:$1016,COLUMN($F$1),FALSE))),VLOOKUP($C242,武器!$1:$998,COLUMN($O$1),FALSE)*VLOOKUP($D242,素材!$1:$1016,COLUMN($E$1),FALSE)/(LEN(VLOOKUP($D242,素材!$1:$1016,COLUMN($F$1),FALSE)) - LEN(SUBSTITUTE(VLOOKUP($D242,素材!$1:$1016,COLUMN($F$1),FALSE), "・", 0)) + 1), 0)</f>
        <v>0</v>
      </c>
      <c r="AX242">
        <f>IF(ISNUMBER(SEARCH(SUBSTITUTE(AX$1,RIGHT(AX$1,2),""),VLOOKUP($D242,素材!$1:$1016,COLUMN($F$1),FALSE))),VLOOKUP($C242,武器!$1:$998,COLUMN($O$1),FALSE)*VLOOKUP($D242,素材!$1:$1016,COLUMN($E$1),FALSE)/(LEN(VLOOKUP($D242,素材!$1:$1016,COLUMN($F$1),FALSE)) - LEN(SUBSTITUTE(VLOOKUP($D242,素材!$1:$1016,COLUMN($F$1),FALSE), "・", 0)) + 1), 0)</f>
        <v>0</v>
      </c>
      <c r="AY242">
        <f>IF(ISNUMBER(SEARCH(SUBSTITUTE(AY$1,RIGHT(AY$1,2),""),VLOOKUP($D242,素材!$1:$1016,COLUMN($F$1),FALSE))),VLOOKUP($C242,武器!$1:$998,COLUMN($O$1),FALSE)*VLOOKUP($D242,素材!$1:$1016,COLUMN($E$1),FALSE)/(LEN(VLOOKUP($D242,素材!$1:$1016,COLUMN($F$1),FALSE)) - LEN(SUBSTITUTE(VLOOKUP($D242,素材!$1:$1016,COLUMN($F$1),FALSE), "・", 0)) + 1), 0)</f>
        <v>0</v>
      </c>
      <c r="AZ242">
        <f>IF(ISNUMBER(SEARCH(SUBSTITUTE(AZ$1,RIGHT(AZ$1,2),""),VLOOKUP($D242,素材!$1:$1016,COLUMN($F$1),FALSE))),VLOOKUP($C242,武器!$1:$998,COLUMN($O$1),FALSE)*VLOOKUP($D242,素材!$1:$1016,COLUMN($E$1),FALSE)/(LEN(VLOOKUP($D242,素材!$1:$1016,COLUMN($F$1),FALSE)) - LEN(SUBSTITUTE(VLOOKUP($D242,素材!$1:$1016,COLUMN($F$1),FALSE), "・", 0)) + 1), 0)</f>
        <v>0</v>
      </c>
      <c r="BA242">
        <f>IF(ISNUMBER(SEARCH(SUBSTITUTE(BA$1,RIGHT(BA$1,2),""),VLOOKUP($D242,素材!$1:$1016,COLUMN($F$1),FALSE))),VLOOKUP($C242,武器!$1:$998,COLUMN($O$1),FALSE)*VLOOKUP($D242,素材!$1:$1016,COLUMN($E$1),FALSE)/(LEN(VLOOKUP($D242,素材!$1:$1016,COLUMN($F$1),FALSE)) - LEN(SUBSTITUTE(VLOOKUP($D242,素材!$1:$1016,COLUMN($F$1),FALSE), "・", 0)) + 1), 0)</f>
        <v>0</v>
      </c>
      <c r="BB242">
        <f>IF(ISNUMBER(SEARCH(SUBSTITUTE(BB$1,RIGHT(BB$1,2),""),VLOOKUP($D242,素材!$1:$1016,COLUMN($F$1),FALSE))),VLOOKUP($C242,武器!$1:$998,COLUMN($O$1),FALSE)*VLOOKUP($D242,素材!$1:$1016,COLUMN($E$1),FALSE)/(LEN(VLOOKUP($D242,素材!$1:$1016,COLUMN($F$1),FALSE)) - LEN(SUBSTITUTE(VLOOKUP($D242,素材!$1:$1016,COLUMN($F$1),FALSE), "・", 0)) + 1), 0)</f>
        <v>0</v>
      </c>
      <c r="BC242">
        <f>IF(ISNUMBER(SEARCH(SUBSTITUTE(BC$1,RIGHT(BC$1,2),""),VLOOKUP($D242,素材!$1:$1016,COLUMN($F$1),FALSE))),VLOOKUP($C242,武器!$1:$998,COLUMN($O$1),FALSE)*VLOOKUP($D242,素材!$1:$1016,COLUMN($E$1),FALSE)/(LEN(VLOOKUP($D242,素材!$1:$1016,COLUMN($F$1),FALSE)) - LEN(SUBSTITUTE(VLOOKUP($D242,素材!$1:$1016,COLUMN($F$1),FALSE), "・", 0)) + 1), 0)</f>
        <v>0</v>
      </c>
      <c r="BD242">
        <f>IF(ISNUMBER(SEARCH(SUBSTITUTE(BD$1,RIGHT(BD$1,2),""),VLOOKUP($D242,素材!$1:$1016,COLUMN($F$1),FALSE))),VLOOKUP($C242,武器!$1:$998,COLUMN($O$1),FALSE)*VLOOKUP($D242,素材!$1:$1016,COLUMN($E$1),FALSE)/(LEN(VLOOKUP($D242,素材!$1:$1016,COLUMN($F$1),FALSE)) - LEN(SUBSTITUTE(VLOOKUP($D242,素材!$1:$1016,COLUMN($F$1),FALSE), "・", 0)) + 1), 0)</f>
        <v>0</v>
      </c>
      <c r="BE242">
        <f>IF(ISNUMBER(SEARCH(SUBSTITUTE(BE$1,RIGHT(BE$1,2),""),VLOOKUP($D242,素材!$1:$1016,COLUMN($F$1),FALSE))),VLOOKUP($C242,武器!$1:$998,COLUMN($O$1),FALSE)*VLOOKUP($D242,素材!$1:$1016,COLUMN($E$1),FALSE)/(LEN(VLOOKUP($D242,素材!$1:$1016,COLUMN($F$1),FALSE)) - LEN(SUBSTITUTE(VLOOKUP($D242,素材!$1:$1016,COLUMN($F$1),FALSE), "・", 0)) + 1), 0)</f>
        <v>0</v>
      </c>
      <c r="CL242">
        <f>SUM(G242:I242)</f>
        <v>28</v>
      </c>
      <c r="CM242" s="22" t="str">
        <f>IF(E242="武器",IF(J242-1&gt;SUM(G242:I242),"盾",IF(MAX(G242:I242)=G242,"切断",IF(MAX(G242:I242)=H242,"貫通",IF(MAX(G242:I242)=I242,"打撃","射撃")))),E242)&amp;".webp"</f>
        <v>貫通.webp</v>
      </c>
      <c r="CN242">
        <f>IFERROR(VLOOKUP($C242,武器!$1:$998,COLUMN(V$1),FALSE)*VLOOKUP($D242,素材!$1:$1016,COLUMN(N$1),FALSE)+IF(CI242="",0,VLOOKUP($CI242,装強!$1:$1008,COLUMN($CK$1),FALSE)),"")</f>
        <v>4500</v>
      </c>
      <c r="CO242">
        <f>VLOOKUP(D242,素材!$A:$O,COLUMN(素材!O$1),FALSE)</f>
        <v>0</v>
      </c>
      <c r="CP242" t="str">
        <f>VLOOKUP(C242,武器!$A:$W,COLUMN(武器!W$1),FALSE)</f>
        <v>騎士槍。突撃に特化した武器で、高い攻撃力を誇る。</v>
      </c>
      <c r="CR242" t="str">
        <f t="shared" si="29"/>
        <v>e_242</v>
      </c>
      <c r="CS242">
        <f t="shared" si="30"/>
        <v>450000</v>
      </c>
    </row>
    <row r="243" spans="1:97" outlineLevel="1" x14ac:dyDescent="0.4">
      <c r="A243" t="str">
        <f t="shared" si="31"/>
        <v>熱鉄の斧槍</v>
      </c>
      <c r="B243" t="str">
        <f>IFERROR(VLOOKUP($D243,素材!$1:$1016,COLUMN($B$1),FALSE)&amp;"・"&amp;VLOOKUP($C243,武器!$1:$998,COLUMN(B$1),FALSE),"")</f>
        <v>ヒートスティール・ハルバート</v>
      </c>
      <c r="C243" s="24" t="s">
        <v>231</v>
      </c>
      <c r="D243" s="24" t="s">
        <v>205</v>
      </c>
      <c r="E243" t="str">
        <f>IFERROR(VLOOKUP(C243,武器!$1:$998,COLUMN(C$1),FALSE),"")</f>
        <v>武器</v>
      </c>
      <c r="F243">
        <f>IFERROR(ROUNDDOWN((VLOOKUP($C243,武器!$1:$998,COLUMN(D$1),FALSE)+IFERROR(VLOOKUP($CI243,装強!$1:$999,COLUMN(F$1),FALSE),0))*VLOOKUP($D243,素材!$1:$1016,COLUMN(D$1),FALSE),0),"")</f>
        <v>110</v>
      </c>
      <c r="G243">
        <f>IFERROR(ROUNDDOWN((VLOOKUP($C243,武器!$1:$998,COLUMN(E$1),FALSE)+IFERROR(VLOOKUP($CI243,装強!$1:$999,COLUMN(G$1),FALSE),0))*VLOOKUP($D243,素材!$1:$1016,COLUMN($E$1),FALSE),0),"")</f>
        <v>8</v>
      </c>
      <c r="H243">
        <f>IFERROR(ROUNDDOWN((VLOOKUP($C243,武器!$1:$998,COLUMN(F$1),FALSE)+IFERROR(VLOOKUP($CI243,装強!$1:$999,COLUMN(H$1),FALSE),0))*VLOOKUP($D243,素材!$1:$1016,COLUMN($E$1),FALSE),0),"")</f>
        <v>10</v>
      </c>
      <c r="I243">
        <f>IFERROR(ROUNDDOWN((VLOOKUP($C243,武器!$1:$998,COLUMN(G$1),FALSE)+IFERROR(VLOOKUP($CI243,装強!$1:$999,COLUMN(I$1),FALSE),0))*VLOOKUP($D243,素材!$1:$1016,COLUMN($E$1),FALSE),0),"")</f>
        <v>6</v>
      </c>
      <c r="J243">
        <f>IFERROR(ROUNDDOWN((VLOOKUP($C243,武器!$1:$998,COLUMN(H$1),FALSE)+IFERROR(VLOOKUP($CI243,装強!$1:$999,COLUMN(J$1),FALSE),0))*VLOOKUP($D243,素材!$1:$1016,COLUMN($E$1),FALSE),0),"")</f>
        <v>19</v>
      </c>
      <c r="K243">
        <f>IFERROR(ROUNDDOWN((VLOOKUP($C243,武器!$1:$998,COLUMN(I$1),FALSE)+IFERROR(VLOOKUP($CI243,装強!$1:$999,COLUMN(K$1),FALSE),0))*VLOOKUP($D243,素材!$1:$1016,COLUMN($E$1),FALSE),0),"")</f>
        <v>0</v>
      </c>
      <c r="L243" t="str">
        <f>IFERROR(VLOOKUP($D243,素材!$1:$1016,COLUMN($F$1),FALSE),"")</f>
        <v>炎</v>
      </c>
      <c r="M243">
        <f>IFERROR(VLOOKUP($C243,武器!$1:$998,COLUMN(AA$1),FALSE)*VLOOKUP($D243,素材!$1:$1016,COLUMN($G$1),FALSE),"")</f>
        <v>42</v>
      </c>
      <c r="N243">
        <f>IFERROR(VLOOKUP($C243,武器!$1:$998,COLUMN(I$1),FALSE),"")</f>
        <v>0</v>
      </c>
      <c r="O243" s="23">
        <f>IFERROR((VLOOKUP($C243,武器!$1:$998,COLUMN(K$1),FALSE)+VLOOKUP($D243,素材!$1:$1016,COLUMN(H$1),FALSE))*100+IFERROR(VLOOKUP($CI243,装強!$1:$999,COLUMN(O$1),FALSE),0),"")</f>
        <v>10</v>
      </c>
      <c r="P243" s="23">
        <f>IFERROR((VLOOKUP($C243,武器!$1:$998,COLUMN(L$1),FALSE)+VLOOKUP($D243,素材!$1:$1016,COLUMN(I$1),FALSE))*100+IFERROR(VLOOKUP($CI243,装強!$1:$999,COLUMN(P$1),FALSE),0),"")</f>
        <v>150</v>
      </c>
      <c r="Q243">
        <f>IFERROR(ROUNDUP(VLOOKUP($C243,武器!$1:$998,COLUMN(M$1),FALSE)*(VLOOKUP($D243,素材!$1:$1002,COLUMN(D$1),FALSE)/100),1),"")</f>
        <v>-5</v>
      </c>
      <c r="R243">
        <f>IFERROR(ROUNDUP(VLOOKUP($C243,武器!$1:$998,COLUMN(N$1),FALSE)*(VLOOKUP($D243,素材!$1:$1002,COLUMN(D$1),FALSE)/100),1),"")</f>
        <v>-5</v>
      </c>
      <c r="S243">
        <f>IFERROR(VLOOKUP($C243,武器!$1:$998,COLUMN(P$1),FALSE),"")</f>
        <v>0</v>
      </c>
      <c r="T243">
        <f>IFERROR(VLOOKUP($C243,武器!$1:$998,COLUMN(Q$1),FALSE),"")</f>
        <v>0</v>
      </c>
      <c r="U243">
        <f>IFERROR(VLOOKUP($C243,武器!$1:$998,COLUMN(R$1),FALSE),"")</f>
        <v>0</v>
      </c>
      <c r="V243">
        <f>IFERROR(VLOOKUP($C243,武器!$1:$998,COLUMN(Q$1),FALSE),"")</f>
        <v>0</v>
      </c>
      <c r="W243" t="str">
        <f>IFERROR(VLOOKUP($C243,武器!$1:$998,COLUMN(T$1),FALSE),"")</f>
        <v>A</v>
      </c>
      <c r="Y243">
        <f>IFERROR(VLOOKUP($C243,武器!$1:$998,COLUMN(U$1),FALSE),"")</f>
        <v>0</v>
      </c>
      <c r="Z243">
        <f>IFERROR(ROUNDUP(VLOOKUP($C243,武器!$1:$998,COLUMN(O$1),FALSE)*VLOOKUP($D243,素材!$1:$1016,COLUMN(E$1),FALSE),1),"")</f>
        <v>0</v>
      </c>
      <c r="AA243">
        <f>IF(ISNUMBER(SEARCH(SUBSTITUTE(AA$1,RIGHT(AA$1,2),""),VLOOKUP($D243,素材!$1:$1016,COLUMN($F$1),FALSE))),VLOOKUP($C243,武器!$1:$998,COLUMN($O$1),FALSE)*VLOOKUP($D243,素材!$1:$1016,COLUMN($E$1),FALSE)/(LEN(VLOOKUP($D243,素材!$1:$1016,COLUMN($F$1),FALSE)) - LEN(SUBSTITUTE(VLOOKUP($D243,素材!$1:$1016,COLUMN($F$1),FALSE), "・", 0)) + 1), 0)</f>
        <v>0</v>
      </c>
      <c r="AB243">
        <f>IF(ISNUMBER(SEARCH(SUBSTITUTE(AB$1,RIGHT(AB$1,2),""),VLOOKUP($D243,素材!$1:$1016,COLUMN($F$1),FALSE))),VLOOKUP($C243,武器!$1:$998,COLUMN($O$1),FALSE)*VLOOKUP($D243,素材!$1:$1016,COLUMN($E$1),FALSE)/(LEN(VLOOKUP($D243,素材!$1:$1016,COLUMN($F$1),FALSE)) - LEN(SUBSTITUTE(VLOOKUP($D243,素材!$1:$1016,COLUMN($F$1),FALSE), "・", 0)) + 1), 0)</f>
        <v>0</v>
      </c>
      <c r="AC243">
        <f>IF(ISNUMBER(SEARCH(SUBSTITUTE(AC$1,RIGHT(AC$1,2),""),VLOOKUP($D243,素材!$1:$1016,COLUMN($F$1),FALSE))),VLOOKUP($C243,武器!$1:$998,COLUMN($O$1),FALSE)*VLOOKUP($D243,素材!$1:$1016,COLUMN($E$1),FALSE)/(LEN(VLOOKUP($D243,素材!$1:$1016,COLUMN($F$1),FALSE)) - LEN(SUBSTITUTE(VLOOKUP($D243,素材!$1:$1016,COLUMN($F$1),FALSE), "・", 0)) + 1), 0)</f>
        <v>0</v>
      </c>
      <c r="AD243">
        <f>IF(ISNUMBER(SEARCH(SUBSTITUTE(AD$1,RIGHT(AD$1,2),""),VLOOKUP($D243,素材!$1:$1016,COLUMN($F$1),FALSE))),VLOOKUP($C243,武器!$1:$998,COLUMN($O$1),FALSE)*VLOOKUP($D243,素材!$1:$1016,COLUMN($E$1),FALSE)/(LEN(VLOOKUP($D243,素材!$1:$1016,COLUMN($F$1),FALSE)) - LEN(SUBSTITUTE(VLOOKUP($D243,素材!$1:$1016,COLUMN($F$1),FALSE), "・", 0)) + 1), 0)</f>
        <v>0</v>
      </c>
      <c r="AE243">
        <f>IF(ISNUMBER(SEARCH(SUBSTITUTE(AE$1,RIGHT(AE$1,2),""),VLOOKUP($D243,素材!$1:$1016,COLUMN($F$1),FALSE))),VLOOKUP($C243,武器!$1:$998,COLUMN($O$1),FALSE)*VLOOKUP($D243,素材!$1:$1016,COLUMN($E$1),FALSE)/(LEN(VLOOKUP($D243,素材!$1:$1016,COLUMN($F$1),FALSE)) - LEN(SUBSTITUTE(VLOOKUP($D243,素材!$1:$1016,COLUMN($F$1),FALSE), "・", 0)) + 1), 0)</f>
        <v>0</v>
      </c>
      <c r="AF243">
        <f>IF(ISNUMBER(SEARCH(SUBSTITUTE(AF$1,RIGHT(AF$1,2),""),VLOOKUP($D243,素材!$1:$1016,COLUMN($F$1),FALSE))),VLOOKUP($C243,武器!$1:$998,COLUMN($O$1),FALSE)*VLOOKUP($D243,素材!$1:$1016,COLUMN($E$1),FALSE)/(LEN(VLOOKUP($D243,素材!$1:$1016,COLUMN($F$1),FALSE)) - LEN(SUBSTITUTE(VLOOKUP($D243,素材!$1:$1016,COLUMN($F$1),FALSE), "・", 0)) + 1), 0)</f>
        <v>0</v>
      </c>
      <c r="AG243">
        <f>IF(ISNUMBER(SEARCH(SUBSTITUTE(AG$1,RIGHT(AG$1,2),""),VLOOKUP($D243,素材!$1:$1016,COLUMN($F$1),FALSE))),VLOOKUP($C243,武器!$1:$998,COLUMN($O$1),FALSE)*VLOOKUP($D243,素材!$1:$1016,COLUMN($E$1),FALSE)/(LEN(VLOOKUP($D243,素材!$1:$1016,COLUMN($F$1),FALSE)) - LEN(SUBSTITUTE(VLOOKUP($D243,素材!$1:$1016,COLUMN($F$1),FALSE), "・", 0)) + 1), 0)</f>
        <v>0</v>
      </c>
      <c r="AH243">
        <f>IF(ISNUMBER(SEARCH(SUBSTITUTE(AH$1,RIGHT(AH$1,2),""),VLOOKUP($D243,素材!$1:$1016,COLUMN($F$1),FALSE))),VLOOKUP($C243,武器!$1:$998,COLUMN($O$1),FALSE)*VLOOKUP($D243,素材!$1:$1016,COLUMN($E$1),FALSE)/(LEN(VLOOKUP($D243,素材!$1:$1016,COLUMN($F$1),FALSE)) - LEN(SUBSTITUTE(VLOOKUP($D243,素材!$1:$1016,COLUMN($F$1),FALSE), "・", 0)) + 1), 0)</f>
        <v>0</v>
      </c>
      <c r="AI243">
        <f>IF(ISNUMBER(SEARCH(SUBSTITUTE(AI$1,RIGHT(AI$1,2),""),VLOOKUP($D243,素材!$1:$1016,COLUMN($F$1),FALSE))),VLOOKUP($C243,武器!$1:$998,COLUMN($O$1),FALSE)*VLOOKUP($D243,素材!$1:$1016,COLUMN($E$1),FALSE)/(LEN(VLOOKUP($D243,素材!$1:$1016,COLUMN($F$1),FALSE)) - LEN(SUBSTITUTE(VLOOKUP($D243,素材!$1:$1016,COLUMN($F$1),FALSE), "・", 0)) + 1), 0)</f>
        <v>0</v>
      </c>
      <c r="AJ243">
        <f>IF(ISNUMBER(SEARCH(SUBSTITUTE(AJ$1,RIGHT(AJ$1,2),""),VLOOKUP($D243,素材!$1:$1016,COLUMN($F$1),FALSE))),VLOOKUP($C243,武器!$1:$998,COLUMN($O$1),FALSE)*VLOOKUP($D243,素材!$1:$1016,COLUMN($E$1),FALSE)/(LEN(VLOOKUP($D243,素材!$1:$1016,COLUMN($F$1),FALSE)) - LEN(SUBSTITUTE(VLOOKUP($D243,素材!$1:$1016,COLUMN($F$1),FALSE), "・", 0)) + 1), 0)</f>
        <v>0</v>
      </c>
      <c r="AK243">
        <f>IF(ISNUMBER(SEARCH(SUBSTITUTE(AK$1,RIGHT(AK$1,2),""),VLOOKUP($D243,素材!$1:$1016,COLUMN($F$1),FALSE))),VLOOKUP($C243,武器!$1:$998,COLUMN($O$1),FALSE)*VLOOKUP($D243,素材!$1:$1016,COLUMN($E$1),FALSE)/(LEN(VLOOKUP($D243,素材!$1:$1016,COLUMN($F$1),FALSE)) - LEN(SUBSTITUTE(VLOOKUP($D243,素材!$1:$1016,COLUMN($F$1),FALSE), "・", 0)) + 1), 0)</f>
        <v>0</v>
      </c>
      <c r="AL243">
        <f>IF(ISNUMBER(SEARCH(SUBSTITUTE(AL$1,RIGHT(AL$1,2),""),VLOOKUP($D243,素材!$1:$1016,COLUMN($F$1),FALSE))),VLOOKUP($C243,武器!$1:$998,COLUMN($O$1),FALSE)*VLOOKUP($D243,素材!$1:$1016,COLUMN($E$1),FALSE)/(LEN(VLOOKUP($D243,素材!$1:$1016,COLUMN($F$1),FALSE)) - LEN(SUBSTITUTE(VLOOKUP($D243,素材!$1:$1016,COLUMN($F$1),FALSE), "・", 0)) + 1), 0)</f>
        <v>0</v>
      </c>
      <c r="AM243">
        <f>IF(ISNUMBER(SEARCH(SUBSTITUTE(AM$1,RIGHT(AM$1,2),""),VLOOKUP($D243,素材!$1:$1016,COLUMN($F$1),FALSE))),VLOOKUP($C243,武器!$1:$998,COLUMN($O$1),FALSE)*VLOOKUP($D243,素材!$1:$1016,COLUMN($E$1),FALSE)/(LEN(VLOOKUP($D243,素材!$1:$1016,COLUMN($F$1),FALSE)) - LEN(SUBSTITUTE(VLOOKUP($D243,素材!$1:$1016,COLUMN($F$1),FALSE), "・", 0)) + 1), 0)</f>
        <v>0</v>
      </c>
      <c r="AN243">
        <f>IF(ISNUMBER(SEARCH(SUBSTITUTE(AN$1,RIGHT(AN$1,2),""),VLOOKUP($D243,素材!$1:$1016,COLUMN($F$1),FALSE))),VLOOKUP($C243,武器!$1:$998,COLUMN($O$1),FALSE)*VLOOKUP($D243,素材!$1:$1016,COLUMN($E$1),FALSE)/(LEN(VLOOKUP($D243,素材!$1:$1016,COLUMN($F$1),FALSE)) - LEN(SUBSTITUTE(VLOOKUP($D243,素材!$1:$1016,COLUMN($F$1),FALSE), "・", 0)) + 1), 0)</f>
        <v>0</v>
      </c>
      <c r="AO243">
        <f>IF(ISNUMBER(SEARCH(SUBSTITUTE(AO$1,RIGHT(AO$1,2),""),VLOOKUP($D243,素材!$1:$1016,COLUMN($F$1),FALSE))),VLOOKUP($C243,武器!$1:$998,COLUMN($O$1),FALSE)*VLOOKUP($D243,素材!$1:$1016,COLUMN($E$1),FALSE)/(LEN(VLOOKUP($D243,素材!$1:$1016,COLUMN($F$1),FALSE)) - LEN(SUBSTITUTE(VLOOKUP($D243,素材!$1:$1016,COLUMN($F$1),FALSE), "・", 0)) + 1), 0)</f>
        <v>0</v>
      </c>
      <c r="AP243">
        <f>IF(ISNUMBER(SEARCH(SUBSTITUTE(AP$1,RIGHT(AP$1,2),""),VLOOKUP($D243,素材!$1:$1016,COLUMN($F$1),FALSE))),VLOOKUP($C243,武器!$1:$998,COLUMN($O$1),FALSE)*VLOOKUP($D243,素材!$1:$1016,COLUMN($E$1),FALSE)/(LEN(VLOOKUP($D243,素材!$1:$1016,COLUMN($F$1),FALSE)) - LEN(SUBSTITUTE(VLOOKUP($D243,素材!$1:$1016,COLUMN($F$1),FALSE), "・", 0)) + 1), 0)</f>
        <v>0</v>
      </c>
      <c r="AQ243">
        <f>IF(ISNUMBER(SEARCH(SUBSTITUTE(AQ$1,RIGHT(AQ$1,2),""),VLOOKUP($D243,素材!$1:$1016,COLUMN($F$1),FALSE))),VLOOKUP($C243,武器!$1:$998,COLUMN($O$1),FALSE)*VLOOKUP($D243,素材!$1:$1016,COLUMN($E$1),FALSE)/(LEN(VLOOKUP($D243,素材!$1:$1016,COLUMN($F$1),FALSE)) - LEN(SUBSTITUTE(VLOOKUP($D243,素材!$1:$1016,COLUMN($F$1),FALSE), "・", 0)) + 1), 0)</f>
        <v>0</v>
      </c>
      <c r="AR243">
        <f>IF(ISNUMBER(SEARCH(SUBSTITUTE(AR$1,RIGHT(AR$1,2),""),VLOOKUP($D243,素材!$1:$1016,COLUMN($F$1),FALSE))),VLOOKUP($C243,武器!$1:$998,COLUMN($O$1),FALSE)*VLOOKUP($D243,素材!$1:$1016,COLUMN($E$1),FALSE)/(LEN(VLOOKUP($D243,素材!$1:$1016,COLUMN($F$1),FALSE)) - LEN(SUBSTITUTE(VLOOKUP($D243,素材!$1:$1016,COLUMN($F$1),FALSE), "・", 0)) + 1), 0)</f>
        <v>0</v>
      </c>
      <c r="AS243">
        <f>IF(ISNUMBER(SEARCH(SUBSTITUTE(AS$1,RIGHT(AS$1,2),""),VLOOKUP($D243,素材!$1:$1016,COLUMN($F$1),FALSE))),VLOOKUP($C243,武器!$1:$998,COLUMN($O$1),FALSE)*VLOOKUP($D243,素材!$1:$1016,COLUMN($E$1),FALSE)/(LEN(VLOOKUP($D243,素材!$1:$1016,COLUMN($F$1),FALSE)) - LEN(SUBSTITUTE(VLOOKUP($D243,素材!$1:$1016,COLUMN($F$1),FALSE), "・", 0)) + 1), 0)</f>
        <v>0</v>
      </c>
      <c r="AT243">
        <f>IF(ISNUMBER(SEARCH(SUBSTITUTE(AT$1,RIGHT(AT$1,2),""),VLOOKUP($D243,素材!$1:$1016,COLUMN($F$1),FALSE))),VLOOKUP($C243,武器!$1:$998,COLUMN($O$1),FALSE)*VLOOKUP($D243,素材!$1:$1016,COLUMN($E$1),FALSE)/(LEN(VLOOKUP($D243,素材!$1:$1016,COLUMN($F$1),FALSE)) - LEN(SUBSTITUTE(VLOOKUP($D243,素材!$1:$1016,COLUMN($F$1),FALSE), "・", 0)) + 1), 0)</f>
        <v>0</v>
      </c>
      <c r="AU243">
        <f>IF(ISNUMBER(SEARCH(SUBSTITUTE(AU$1,RIGHT(AU$1,2),""),VLOOKUP($D243,素材!$1:$1016,COLUMN($F$1),FALSE))),VLOOKUP($C243,武器!$1:$998,COLUMN($O$1),FALSE)*VLOOKUP($D243,素材!$1:$1016,COLUMN($E$1),FALSE)/(LEN(VLOOKUP($D243,素材!$1:$1016,COLUMN($F$1),FALSE)) - LEN(SUBSTITUTE(VLOOKUP($D243,素材!$1:$1016,COLUMN($F$1),FALSE), "・", 0)) + 1), 0)</f>
        <v>0</v>
      </c>
      <c r="AV243">
        <f>IF(ISNUMBER(SEARCH(SUBSTITUTE(AV$1,RIGHT(AV$1,2),""),VLOOKUP($D243,素材!$1:$1016,COLUMN($F$1),FALSE))),VLOOKUP($C243,武器!$1:$998,COLUMN($O$1),FALSE)*VLOOKUP($D243,素材!$1:$1016,COLUMN($E$1),FALSE)/(LEN(VLOOKUP($D243,素材!$1:$1016,COLUMN($F$1),FALSE)) - LEN(SUBSTITUTE(VLOOKUP($D243,素材!$1:$1016,COLUMN($F$1),FALSE), "・", 0)) + 1), 0)</f>
        <v>0</v>
      </c>
      <c r="AW243">
        <f>IF(ISNUMBER(SEARCH(SUBSTITUTE(AW$1,RIGHT(AW$1,2),""),VLOOKUP($D243,素材!$1:$1016,COLUMN($F$1),FALSE))),VLOOKUP($C243,武器!$1:$998,COLUMN($O$1),FALSE)*VLOOKUP($D243,素材!$1:$1016,COLUMN($E$1),FALSE)/(LEN(VLOOKUP($D243,素材!$1:$1016,COLUMN($F$1),FALSE)) - LEN(SUBSTITUTE(VLOOKUP($D243,素材!$1:$1016,COLUMN($F$1),FALSE), "・", 0)) + 1), 0)</f>
        <v>0</v>
      </c>
      <c r="AX243">
        <f>IF(ISNUMBER(SEARCH(SUBSTITUTE(AX$1,RIGHT(AX$1,2),""),VLOOKUP($D243,素材!$1:$1016,COLUMN($F$1),FALSE))),VLOOKUP($C243,武器!$1:$998,COLUMN($O$1),FALSE)*VLOOKUP($D243,素材!$1:$1016,COLUMN($E$1),FALSE)/(LEN(VLOOKUP($D243,素材!$1:$1016,COLUMN($F$1),FALSE)) - LEN(SUBSTITUTE(VLOOKUP($D243,素材!$1:$1016,COLUMN($F$1),FALSE), "・", 0)) + 1), 0)</f>
        <v>0</v>
      </c>
      <c r="AY243">
        <f>IF(ISNUMBER(SEARCH(SUBSTITUTE(AY$1,RIGHT(AY$1,2),""),VLOOKUP($D243,素材!$1:$1016,COLUMN($F$1),FALSE))),VLOOKUP($C243,武器!$1:$998,COLUMN($O$1),FALSE)*VLOOKUP($D243,素材!$1:$1016,COLUMN($E$1),FALSE)/(LEN(VLOOKUP($D243,素材!$1:$1016,COLUMN($F$1),FALSE)) - LEN(SUBSTITUTE(VLOOKUP($D243,素材!$1:$1016,COLUMN($F$1),FALSE), "・", 0)) + 1), 0)</f>
        <v>0</v>
      </c>
      <c r="AZ243">
        <f>IF(ISNUMBER(SEARCH(SUBSTITUTE(AZ$1,RIGHT(AZ$1,2),""),VLOOKUP($D243,素材!$1:$1016,COLUMN($F$1),FALSE))),VLOOKUP($C243,武器!$1:$998,COLUMN($O$1),FALSE)*VLOOKUP($D243,素材!$1:$1016,COLUMN($E$1),FALSE)/(LEN(VLOOKUP($D243,素材!$1:$1016,COLUMN($F$1),FALSE)) - LEN(SUBSTITUTE(VLOOKUP($D243,素材!$1:$1016,COLUMN($F$1),FALSE), "・", 0)) + 1), 0)</f>
        <v>0</v>
      </c>
      <c r="BA243">
        <f>IF(ISNUMBER(SEARCH(SUBSTITUTE(BA$1,RIGHT(BA$1,2),""),VLOOKUP($D243,素材!$1:$1016,COLUMN($F$1),FALSE))),VLOOKUP($C243,武器!$1:$998,COLUMN($O$1),FALSE)*VLOOKUP($D243,素材!$1:$1016,COLUMN($E$1),FALSE)/(LEN(VLOOKUP($D243,素材!$1:$1016,COLUMN($F$1),FALSE)) - LEN(SUBSTITUTE(VLOOKUP($D243,素材!$1:$1016,COLUMN($F$1),FALSE), "・", 0)) + 1), 0)</f>
        <v>0</v>
      </c>
      <c r="BB243">
        <f>IF(ISNUMBER(SEARCH(SUBSTITUTE(BB$1,RIGHT(BB$1,2),""),VLOOKUP($D243,素材!$1:$1016,COLUMN($F$1),FALSE))),VLOOKUP($C243,武器!$1:$998,COLUMN($O$1),FALSE)*VLOOKUP($D243,素材!$1:$1016,COLUMN($E$1),FALSE)/(LEN(VLOOKUP($D243,素材!$1:$1016,COLUMN($F$1),FALSE)) - LEN(SUBSTITUTE(VLOOKUP($D243,素材!$1:$1016,COLUMN($F$1),FALSE), "・", 0)) + 1), 0)</f>
        <v>0</v>
      </c>
      <c r="BC243">
        <f>IF(ISNUMBER(SEARCH(SUBSTITUTE(BC$1,RIGHT(BC$1,2),""),VLOOKUP($D243,素材!$1:$1016,COLUMN($F$1),FALSE))),VLOOKUP($C243,武器!$1:$998,COLUMN($O$1),FALSE)*VLOOKUP($D243,素材!$1:$1016,COLUMN($E$1),FALSE)/(LEN(VLOOKUP($D243,素材!$1:$1016,COLUMN($F$1),FALSE)) - LEN(SUBSTITUTE(VLOOKUP($D243,素材!$1:$1016,COLUMN($F$1),FALSE), "・", 0)) + 1), 0)</f>
        <v>0</v>
      </c>
      <c r="BD243">
        <f>IF(ISNUMBER(SEARCH(SUBSTITUTE(BD$1,RIGHT(BD$1,2),""),VLOOKUP($D243,素材!$1:$1016,COLUMN($F$1),FALSE))),VLOOKUP($C243,武器!$1:$998,COLUMN($O$1),FALSE)*VLOOKUP($D243,素材!$1:$1016,COLUMN($E$1),FALSE)/(LEN(VLOOKUP($D243,素材!$1:$1016,COLUMN($F$1),FALSE)) - LEN(SUBSTITUTE(VLOOKUP($D243,素材!$1:$1016,COLUMN($F$1),FALSE), "・", 0)) + 1), 0)</f>
        <v>0</v>
      </c>
      <c r="BE243">
        <f>IF(ISNUMBER(SEARCH(SUBSTITUTE(BE$1,RIGHT(BE$1,2),""),VLOOKUP($D243,素材!$1:$1016,COLUMN($F$1),FALSE))),VLOOKUP($C243,武器!$1:$998,COLUMN($O$1),FALSE)*VLOOKUP($D243,素材!$1:$1016,COLUMN($E$1),FALSE)/(LEN(VLOOKUP($D243,素材!$1:$1016,COLUMN($F$1),FALSE)) - LEN(SUBSTITUTE(VLOOKUP($D243,素材!$1:$1016,COLUMN($F$1),FALSE), "・", 0)) + 1), 0)</f>
        <v>0</v>
      </c>
      <c r="CL243">
        <f>SUM(G243:I243)</f>
        <v>24</v>
      </c>
      <c r="CM243" s="22" t="str">
        <f>IF(E243="武器",IF(J243-1&gt;SUM(G243:I243),"盾",IF(MAX(G243:I243)=G243,"切断",IF(MAX(G243:I243)=H243,"貫通",IF(MAX(G243:I243)=I243,"打撃","射撃")))),E243)&amp;".webp"</f>
        <v>貫通.webp</v>
      </c>
      <c r="CN243">
        <f>IFERROR(VLOOKUP($C243,武器!$1:$998,COLUMN(V$1),FALSE)*VLOOKUP($D243,素材!$1:$1016,COLUMN(N$1),FALSE)+IF(CI243="",0,VLOOKUP($CI243,装強!$1:$1008,COLUMN($CK$1),FALSE)),"")</f>
        <v>3750</v>
      </c>
      <c r="CO243">
        <f>VLOOKUP(D243,素材!$A:$O,COLUMN(素材!O$1),FALSE)</f>
        <v>0</v>
      </c>
      <c r="CP243" t="str">
        <f>VLOOKUP(C243,武器!$A:$W,COLUMN(武器!W$1),FALSE)</f>
        <v>斧槍。全力時に威力が高く斬撃と突撃の両方に対応できる武器。</v>
      </c>
      <c r="CR243" t="str">
        <f t="shared" si="29"/>
        <v>e_243</v>
      </c>
      <c r="CS243">
        <f t="shared" si="30"/>
        <v>375000</v>
      </c>
    </row>
    <row r="244" spans="1:97" outlineLevel="1" x14ac:dyDescent="0.4">
      <c r="A244" t="str">
        <f t="shared" si="31"/>
        <v>熱鉄の棍棒</v>
      </c>
      <c r="B244" t="str">
        <f>IFERROR(VLOOKUP($D244,素材!$1:$1016,COLUMN($B$1),FALSE)&amp;"・"&amp;VLOOKUP($C244,武器!$1:$998,COLUMN(B$1),FALSE),"")</f>
        <v>ヒートスティール・クラブ</v>
      </c>
      <c r="C244" s="24" t="s">
        <v>230</v>
      </c>
      <c r="D244" s="24" t="s">
        <v>205</v>
      </c>
      <c r="E244" t="str">
        <f>IFERROR(VLOOKUP(C244,武器!$1:$998,COLUMN(C$1),FALSE),"")</f>
        <v>武器</v>
      </c>
      <c r="F244">
        <f>IFERROR(ROUNDDOWN((VLOOKUP($C244,武器!$1:$998,COLUMN(D$1),FALSE)+IFERROR(VLOOKUP($CI244,装強!$1:$999,COLUMN(F$1),FALSE),0))*VLOOKUP($D244,素材!$1:$1016,COLUMN(D$1),FALSE),0),"")</f>
        <v>105</v>
      </c>
      <c r="G244">
        <f>IFERROR(ROUNDDOWN((VLOOKUP($C244,武器!$1:$998,COLUMN(E$1),FALSE)+IFERROR(VLOOKUP($CI244,装強!$1:$999,COLUMN(G$1),FALSE),0))*VLOOKUP($D244,素材!$1:$1016,COLUMN($E$1),FALSE),0),"")</f>
        <v>2</v>
      </c>
      <c r="H244">
        <f>IFERROR(ROUNDDOWN((VLOOKUP($C244,武器!$1:$998,COLUMN(F$1),FALSE)+IFERROR(VLOOKUP($CI244,装強!$1:$999,COLUMN(H$1),FALSE),0))*VLOOKUP($D244,素材!$1:$1016,COLUMN($E$1),FALSE),0),"")</f>
        <v>0</v>
      </c>
      <c r="I244">
        <f>IFERROR(ROUNDDOWN((VLOOKUP($C244,武器!$1:$998,COLUMN(G$1),FALSE)+IFERROR(VLOOKUP($CI244,装強!$1:$999,COLUMN(I$1),FALSE),0))*VLOOKUP($D244,素材!$1:$1016,COLUMN($E$1),FALSE),0),"")</f>
        <v>20</v>
      </c>
      <c r="J244">
        <f>IFERROR(ROUNDDOWN((VLOOKUP($C244,武器!$1:$998,COLUMN(H$1),FALSE)+IFERROR(VLOOKUP($CI244,装強!$1:$999,COLUMN(J$1),FALSE),0))*VLOOKUP($D244,素材!$1:$1016,COLUMN($E$1),FALSE),0),"")</f>
        <v>19</v>
      </c>
      <c r="K244">
        <f>IFERROR(ROUNDDOWN((VLOOKUP($C244,武器!$1:$998,COLUMN(I$1),FALSE)+IFERROR(VLOOKUP($CI244,装強!$1:$999,COLUMN(K$1),FALSE),0))*VLOOKUP($D244,素材!$1:$1016,COLUMN($E$1),FALSE),0),"")</f>
        <v>0</v>
      </c>
      <c r="L244" t="str">
        <f>IFERROR(VLOOKUP($D244,素材!$1:$1016,COLUMN($F$1),FALSE),"")</f>
        <v>炎</v>
      </c>
      <c r="M244">
        <f>IFERROR(VLOOKUP($C244,武器!$1:$998,COLUMN(AA$1),FALSE)*VLOOKUP($D244,素材!$1:$1016,COLUMN($G$1),FALSE),"")</f>
        <v>38.5</v>
      </c>
      <c r="N244">
        <f>IFERROR(VLOOKUP($C244,武器!$1:$998,COLUMN(I$1),FALSE),"")</f>
        <v>0</v>
      </c>
      <c r="O244" s="23">
        <f>IFERROR((VLOOKUP($C244,武器!$1:$998,COLUMN(K$1),FALSE)+VLOOKUP($D244,素材!$1:$1016,COLUMN(H$1),FALSE))*100+IFERROR(VLOOKUP($CI244,装強!$1:$999,COLUMN(O$1),FALSE),0),"")</f>
        <v>5</v>
      </c>
      <c r="P244" s="23">
        <f>IFERROR((VLOOKUP($C244,武器!$1:$998,COLUMN(L$1),FALSE)+VLOOKUP($D244,素材!$1:$1016,COLUMN(I$1),FALSE))*100+IFERROR(VLOOKUP($CI244,装強!$1:$999,COLUMN(P$1),FALSE),0),"")</f>
        <v>150</v>
      </c>
      <c r="Q244">
        <f>IFERROR(ROUNDUP(VLOOKUP($C244,武器!$1:$998,COLUMN(M$1),FALSE)*(VLOOKUP($D244,素材!$1:$1002,COLUMN(D$1),FALSE)/100),1),"")</f>
        <v>0</v>
      </c>
      <c r="R244">
        <f>IFERROR(ROUNDUP(VLOOKUP($C244,武器!$1:$998,COLUMN(N$1),FALSE)*(VLOOKUP($D244,素材!$1:$1002,COLUMN(D$1),FALSE)/100),1),"")</f>
        <v>0</v>
      </c>
      <c r="S244">
        <f>IFERROR(VLOOKUP($C244,武器!$1:$998,COLUMN(P$1),FALSE),"")</f>
        <v>0</v>
      </c>
      <c r="T244">
        <f>IFERROR(VLOOKUP($C244,武器!$1:$998,COLUMN(Q$1),FALSE),"")</f>
        <v>0</v>
      </c>
      <c r="U244">
        <f>IFERROR(VLOOKUP($C244,武器!$1:$998,COLUMN(R$1),FALSE),"")</f>
        <v>0</v>
      </c>
      <c r="V244">
        <f>IFERROR(VLOOKUP($C244,武器!$1:$998,COLUMN(Q$1),FALSE),"")</f>
        <v>0</v>
      </c>
      <c r="W244" t="str">
        <f>IFERROR(VLOOKUP($C244,武器!$1:$998,COLUMN(T$1),FALSE),"")</f>
        <v>A</v>
      </c>
      <c r="Y244" t="str">
        <f>IFERROR(VLOOKUP($C244,武器!$1:$998,COLUMN(U$1),FALSE),"")</f>
        <v>片手適性Ⅰ</v>
      </c>
      <c r="Z244">
        <f>IFERROR(ROUNDUP(VLOOKUP($C244,武器!$1:$998,COLUMN(O$1),FALSE)*VLOOKUP($D244,素材!$1:$1016,COLUMN(E$1),FALSE),1),"")</f>
        <v>0</v>
      </c>
      <c r="AA244">
        <f>IF(ISNUMBER(SEARCH(SUBSTITUTE(AA$1,RIGHT(AA$1,2),""),VLOOKUP($D244,素材!$1:$1016,COLUMN($F$1),FALSE))),VLOOKUP($C244,武器!$1:$998,COLUMN($O$1),FALSE)*VLOOKUP($D244,素材!$1:$1016,COLUMN($E$1),FALSE)/(LEN(VLOOKUP($D244,素材!$1:$1016,COLUMN($F$1),FALSE)) - LEN(SUBSTITUTE(VLOOKUP($D244,素材!$1:$1016,COLUMN($F$1),FALSE), "・", 0)) + 1), 0)</f>
        <v>0</v>
      </c>
      <c r="AB244">
        <f>IF(ISNUMBER(SEARCH(SUBSTITUTE(AB$1,RIGHT(AB$1,2),""),VLOOKUP($D244,素材!$1:$1016,COLUMN($F$1),FALSE))),VLOOKUP($C244,武器!$1:$998,COLUMN($O$1),FALSE)*VLOOKUP($D244,素材!$1:$1016,COLUMN($E$1),FALSE)/(LEN(VLOOKUP($D244,素材!$1:$1016,COLUMN($F$1),FALSE)) - LEN(SUBSTITUTE(VLOOKUP($D244,素材!$1:$1016,COLUMN($F$1),FALSE), "・", 0)) + 1), 0)</f>
        <v>0</v>
      </c>
      <c r="AC244">
        <f>IF(ISNUMBER(SEARCH(SUBSTITUTE(AC$1,RIGHT(AC$1,2),""),VLOOKUP($D244,素材!$1:$1016,COLUMN($F$1),FALSE))),VLOOKUP($C244,武器!$1:$998,COLUMN($O$1),FALSE)*VLOOKUP($D244,素材!$1:$1016,COLUMN($E$1),FALSE)/(LEN(VLOOKUP($D244,素材!$1:$1016,COLUMN($F$1),FALSE)) - LEN(SUBSTITUTE(VLOOKUP($D244,素材!$1:$1016,COLUMN($F$1),FALSE), "・", 0)) + 1), 0)</f>
        <v>0</v>
      </c>
      <c r="AD244">
        <f>IF(ISNUMBER(SEARCH(SUBSTITUTE(AD$1,RIGHT(AD$1,2),""),VLOOKUP($D244,素材!$1:$1016,COLUMN($F$1),FALSE))),VLOOKUP($C244,武器!$1:$998,COLUMN($O$1),FALSE)*VLOOKUP($D244,素材!$1:$1016,COLUMN($E$1),FALSE)/(LEN(VLOOKUP($D244,素材!$1:$1016,COLUMN($F$1),FALSE)) - LEN(SUBSTITUTE(VLOOKUP($D244,素材!$1:$1016,COLUMN($F$1),FALSE), "・", 0)) + 1), 0)</f>
        <v>0</v>
      </c>
      <c r="AE244">
        <f>IF(ISNUMBER(SEARCH(SUBSTITUTE(AE$1,RIGHT(AE$1,2),""),VLOOKUP($D244,素材!$1:$1016,COLUMN($F$1),FALSE))),VLOOKUP($C244,武器!$1:$998,COLUMN($O$1),FALSE)*VLOOKUP($D244,素材!$1:$1016,COLUMN($E$1),FALSE)/(LEN(VLOOKUP($D244,素材!$1:$1016,COLUMN($F$1),FALSE)) - LEN(SUBSTITUTE(VLOOKUP($D244,素材!$1:$1016,COLUMN($F$1),FALSE), "・", 0)) + 1), 0)</f>
        <v>0</v>
      </c>
      <c r="AF244">
        <f>IF(ISNUMBER(SEARCH(SUBSTITUTE(AF$1,RIGHT(AF$1,2),""),VLOOKUP($D244,素材!$1:$1016,COLUMN($F$1),FALSE))),VLOOKUP($C244,武器!$1:$998,COLUMN($O$1),FALSE)*VLOOKUP($D244,素材!$1:$1016,COLUMN($E$1),FALSE)/(LEN(VLOOKUP($D244,素材!$1:$1016,COLUMN($F$1),FALSE)) - LEN(SUBSTITUTE(VLOOKUP($D244,素材!$1:$1016,COLUMN($F$1),FALSE), "・", 0)) + 1), 0)</f>
        <v>0</v>
      </c>
      <c r="AG244">
        <f>IF(ISNUMBER(SEARCH(SUBSTITUTE(AG$1,RIGHT(AG$1,2),""),VLOOKUP($D244,素材!$1:$1016,COLUMN($F$1),FALSE))),VLOOKUP($C244,武器!$1:$998,COLUMN($O$1),FALSE)*VLOOKUP($D244,素材!$1:$1016,COLUMN($E$1),FALSE)/(LEN(VLOOKUP($D244,素材!$1:$1016,COLUMN($F$1),FALSE)) - LEN(SUBSTITUTE(VLOOKUP($D244,素材!$1:$1016,COLUMN($F$1),FALSE), "・", 0)) + 1), 0)</f>
        <v>0</v>
      </c>
      <c r="AH244">
        <f>IF(ISNUMBER(SEARCH(SUBSTITUTE(AH$1,RIGHT(AH$1,2),""),VLOOKUP($D244,素材!$1:$1016,COLUMN($F$1),FALSE))),VLOOKUP($C244,武器!$1:$998,COLUMN($O$1),FALSE)*VLOOKUP($D244,素材!$1:$1016,COLUMN($E$1),FALSE)/(LEN(VLOOKUP($D244,素材!$1:$1016,COLUMN($F$1),FALSE)) - LEN(SUBSTITUTE(VLOOKUP($D244,素材!$1:$1016,COLUMN($F$1),FALSE), "・", 0)) + 1), 0)</f>
        <v>0</v>
      </c>
      <c r="AI244">
        <f>IF(ISNUMBER(SEARCH(SUBSTITUTE(AI$1,RIGHT(AI$1,2),""),VLOOKUP($D244,素材!$1:$1016,COLUMN($F$1),FALSE))),VLOOKUP($C244,武器!$1:$998,COLUMN($O$1),FALSE)*VLOOKUP($D244,素材!$1:$1016,COLUMN($E$1),FALSE)/(LEN(VLOOKUP($D244,素材!$1:$1016,COLUMN($F$1),FALSE)) - LEN(SUBSTITUTE(VLOOKUP($D244,素材!$1:$1016,COLUMN($F$1),FALSE), "・", 0)) + 1), 0)</f>
        <v>0</v>
      </c>
      <c r="AJ244">
        <f>IF(ISNUMBER(SEARCH(SUBSTITUTE(AJ$1,RIGHT(AJ$1,2),""),VLOOKUP($D244,素材!$1:$1016,COLUMN($F$1),FALSE))),VLOOKUP($C244,武器!$1:$998,COLUMN($O$1),FALSE)*VLOOKUP($D244,素材!$1:$1016,COLUMN($E$1),FALSE)/(LEN(VLOOKUP($D244,素材!$1:$1016,COLUMN($F$1),FALSE)) - LEN(SUBSTITUTE(VLOOKUP($D244,素材!$1:$1016,COLUMN($F$1),FALSE), "・", 0)) + 1), 0)</f>
        <v>0</v>
      </c>
      <c r="AK244">
        <f>IF(ISNUMBER(SEARCH(SUBSTITUTE(AK$1,RIGHT(AK$1,2),""),VLOOKUP($D244,素材!$1:$1016,COLUMN($F$1),FALSE))),VLOOKUP($C244,武器!$1:$998,COLUMN($O$1),FALSE)*VLOOKUP($D244,素材!$1:$1016,COLUMN($E$1),FALSE)/(LEN(VLOOKUP($D244,素材!$1:$1016,COLUMN($F$1),FALSE)) - LEN(SUBSTITUTE(VLOOKUP($D244,素材!$1:$1016,COLUMN($F$1),FALSE), "・", 0)) + 1), 0)</f>
        <v>0</v>
      </c>
      <c r="AL244">
        <f>IF(ISNUMBER(SEARCH(SUBSTITUTE(AL$1,RIGHT(AL$1,2),""),VLOOKUP($D244,素材!$1:$1016,COLUMN($F$1),FALSE))),VLOOKUP($C244,武器!$1:$998,COLUMN($O$1),FALSE)*VLOOKUP($D244,素材!$1:$1016,COLUMN($E$1),FALSE)/(LEN(VLOOKUP($D244,素材!$1:$1016,COLUMN($F$1),FALSE)) - LEN(SUBSTITUTE(VLOOKUP($D244,素材!$1:$1016,COLUMN($F$1),FALSE), "・", 0)) + 1), 0)</f>
        <v>0</v>
      </c>
      <c r="AM244">
        <f>IF(ISNUMBER(SEARCH(SUBSTITUTE(AM$1,RIGHT(AM$1,2),""),VLOOKUP($D244,素材!$1:$1016,COLUMN($F$1),FALSE))),VLOOKUP($C244,武器!$1:$998,COLUMN($O$1),FALSE)*VLOOKUP($D244,素材!$1:$1016,COLUMN($E$1),FALSE)/(LEN(VLOOKUP($D244,素材!$1:$1016,COLUMN($F$1),FALSE)) - LEN(SUBSTITUTE(VLOOKUP($D244,素材!$1:$1016,COLUMN($F$1),FALSE), "・", 0)) + 1), 0)</f>
        <v>0</v>
      </c>
      <c r="AN244">
        <f>IF(ISNUMBER(SEARCH(SUBSTITUTE(AN$1,RIGHT(AN$1,2),""),VLOOKUP($D244,素材!$1:$1016,COLUMN($F$1),FALSE))),VLOOKUP($C244,武器!$1:$998,COLUMN($O$1),FALSE)*VLOOKUP($D244,素材!$1:$1016,COLUMN($E$1),FALSE)/(LEN(VLOOKUP($D244,素材!$1:$1016,COLUMN($F$1),FALSE)) - LEN(SUBSTITUTE(VLOOKUP($D244,素材!$1:$1016,COLUMN($F$1),FALSE), "・", 0)) + 1), 0)</f>
        <v>0</v>
      </c>
      <c r="AO244">
        <f>IF(ISNUMBER(SEARCH(SUBSTITUTE(AO$1,RIGHT(AO$1,2),""),VLOOKUP($D244,素材!$1:$1016,COLUMN($F$1),FALSE))),VLOOKUP($C244,武器!$1:$998,COLUMN($O$1),FALSE)*VLOOKUP($D244,素材!$1:$1016,COLUMN($E$1),FALSE)/(LEN(VLOOKUP($D244,素材!$1:$1016,COLUMN($F$1),FALSE)) - LEN(SUBSTITUTE(VLOOKUP($D244,素材!$1:$1016,COLUMN($F$1),FALSE), "・", 0)) + 1), 0)</f>
        <v>0</v>
      </c>
      <c r="AP244">
        <f>IF(ISNUMBER(SEARCH(SUBSTITUTE(AP$1,RIGHT(AP$1,2),""),VLOOKUP($D244,素材!$1:$1016,COLUMN($F$1),FALSE))),VLOOKUP($C244,武器!$1:$998,COLUMN($O$1),FALSE)*VLOOKUP($D244,素材!$1:$1016,COLUMN($E$1),FALSE)/(LEN(VLOOKUP($D244,素材!$1:$1016,COLUMN($F$1),FALSE)) - LEN(SUBSTITUTE(VLOOKUP($D244,素材!$1:$1016,COLUMN($F$1),FALSE), "・", 0)) + 1), 0)</f>
        <v>0</v>
      </c>
      <c r="AQ244">
        <f>IF(ISNUMBER(SEARCH(SUBSTITUTE(AQ$1,RIGHT(AQ$1,2),""),VLOOKUP($D244,素材!$1:$1016,COLUMN($F$1),FALSE))),VLOOKUP($C244,武器!$1:$998,COLUMN($O$1),FALSE)*VLOOKUP($D244,素材!$1:$1016,COLUMN($E$1),FALSE)/(LEN(VLOOKUP($D244,素材!$1:$1016,COLUMN($F$1),FALSE)) - LEN(SUBSTITUTE(VLOOKUP($D244,素材!$1:$1016,COLUMN($F$1),FALSE), "・", 0)) + 1), 0)</f>
        <v>0</v>
      </c>
      <c r="AR244">
        <f>IF(ISNUMBER(SEARCH(SUBSTITUTE(AR$1,RIGHT(AR$1,2),""),VLOOKUP($D244,素材!$1:$1016,COLUMN($F$1),FALSE))),VLOOKUP($C244,武器!$1:$998,COLUMN($O$1),FALSE)*VLOOKUP($D244,素材!$1:$1016,COLUMN($E$1),FALSE)/(LEN(VLOOKUP($D244,素材!$1:$1016,COLUMN($F$1),FALSE)) - LEN(SUBSTITUTE(VLOOKUP($D244,素材!$1:$1016,COLUMN($F$1),FALSE), "・", 0)) + 1), 0)</f>
        <v>0</v>
      </c>
      <c r="AS244">
        <f>IF(ISNUMBER(SEARCH(SUBSTITUTE(AS$1,RIGHT(AS$1,2),""),VLOOKUP($D244,素材!$1:$1016,COLUMN($F$1),FALSE))),VLOOKUP($C244,武器!$1:$998,COLUMN($O$1),FALSE)*VLOOKUP($D244,素材!$1:$1016,COLUMN($E$1),FALSE)/(LEN(VLOOKUP($D244,素材!$1:$1016,COLUMN($F$1),FALSE)) - LEN(SUBSTITUTE(VLOOKUP($D244,素材!$1:$1016,COLUMN($F$1),FALSE), "・", 0)) + 1), 0)</f>
        <v>0</v>
      </c>
      <c r="AT244">
        <f>IF(ISNUMBER(SEARCH(SUBSTITUTE(AT$1,RIGHT(AT$1,2),""),VLOOKUP($D244,素材!$1:$1016,COLUMN($F$1),FALSE))),VLOOKUP($C244,武器!$1:$998,COLUMN($O$1),FALSE)*VLOOKUP($D244,素材!$1:$1016,COLUMN($E$1),FALSE)/(LEN(VLOOKUP($D244,素材!$1:$1016,COLUMN($F$1),FALSE)) - LEN(SUBSTITUTE(VLOOKUP($D244,素材!$1:$1016,COLUMN($F$1),FALSE), "・", 0)) + 1), 0)</f>
        <v>0</v>
      </c>
      <c r="AU244">
        <f>IF(ISNUMBER(SEARCH(SUBSTITUTE(AU$1,RIGHT(AU$1,2),""),VLOOKUP($D244,素材!$1:$1016,COLUMN($F$1),FALSE))),VLOOKUP($C244,武器!$1:$998,COLUMN($O$1),FALSE)*VLOOKUP($D244,素材!$1:$1016,COLUMN($E$1),FALSE)/(LEN(VLOOKUP($D244,素材!$1:$1016,COLUMN($F$1),FALSE)) - LEN(SUBSTITUTE(VLOOKUP($D244,素材!$1:$1016,COLUMN($F$1),FALSE), "・", 0)) + 1), 0)</f>
        <v>0</v>
      </c>
      <c r="AV244">
        <f>IF(ISNUMBER(SEARCH(SUBSTITUTE(AV$1,RIGHT(AV$1,2),""),VLOOKUP($D244,素材!$1:$1016,COLUMN($F$1),FALSE))),VLOOKUP($C244,武器!$1:$998,COLUMN($O$1),FALSE)*VLOOKUP($D244,素材!$1:$1016,COLUMN($E$1),FALSE)/(LEN(VLOOKUP($D244,素材!$1:$1016,COLUMN($F$1),FALSE)) - LEN(SUBSTITUTE(VLOOKUP($D244,素材!$1:$1016,COLUMN($F$1),FALSE), "・", 0)) + 1), 0)</f>
        <v>0</v>
      </c>
      <c r="AW244">
        <f>IF(ISNUMBER(SEARCH(SUBSTITUTE(AW$1,RIGHT(AW$1,2),""),VLOOKUP($D244,素材!$1:$1016,COLUMN($F$1),FALSE))),VLOOKUP($C244,武器!$1:$998,COLUMN($O$1),FALSE)*VLOOKUP($D244,素材!$1:$1016,COLUMN($E$1),FALSE)/(LEN(VLOOKUP($D244,素材!$1:$1016,COLUMN($F$1),FALSE)) - LEN(SUBSTITUTE(VLOOKUP($D244,素材!$1:$1016,COLUMN($F$1),FALSE), "・", 0)) + 1), 0)</f>
        <v>0</v>
      </c>
      <c r="AX244">
        <f>IF(ISNUMBER(SEARCH(SUBSTITUTE(AX$1,RIGHT(AX$1,2),""),VLOOKUP($D244,素材!$1:$1016,COLUMN($F$1),FALSE))),VLOOKUP($C244,武器!$1:$998,COLUMN($O$1),FALSE)*VLOOKUP($D244,素材!$1:$1016,COLUMN($E$1),FALSE)/(LEN(VLOOKUP($D244,素材!$1:$1016,COLUMN($F$1),FALSE)) - LEN(SUBSTITUTE(VLOOKUP($D244,素材!$1:$1016,COLUMN($F$1),FALSE), "・", 0)) + 1), 0)</f>
        <v>0</v>
      </c>
      <c r="AY244">
        <f>IF(ISNUMBER(SEARCH(SUBSTITUTE(AY$1,RIGHT(AY$1,2),""),VLOOKUP($D244,素材!$1:$1016,COLUMN($F$1),FALSE))),VLOOKUP($C244,武器!$1:$998,COLUMN($O$1),FALSE)*VLOOKUP($D244,素材!$1:$1016,COLUMN($E$1),FALSE)/(LEN(VLOOKUP($D244,素材!$1:$1016,COLUMN($F$1),FALSE)) - LEN(SUBSTITUTE(VLOOKUP($D244,素材!$1:$1016,COLUMN($F$1),FALSE), "・", 0)) + 1), 0)</f>
        <v>0</v>
      </c>
      <c r="AZ244">
        <f>IF(ISNUMBER(SEARCH(SUBSTITUTE(AZ$1,RIGHT(AZ$1,2),""),VLOOKUP($D244,素材!$1:$1016,COLUMN($F$1),FALSE))),VLOOKUP($C244,武器!$1:$998,COLUMN($O$1),FALSE)*VLOOKUP($D244,素材!$1:$1016,COLUMN($E$1),FALSE)/(LEN(VLOOKUP($D244,素材!$1:$1016,COLUMN($F$1),FALSE)) - LEN(SUBSTITUTE(VLOOKUP($D244,素材!$1:$1016,COLUMN($F$1),FALSE), "・", 0)) + 1), 0)</f>
        <v>0</v>
      </c>
      <c r="BA244">
        <f>IF(ISNUMBER(SEARCH(SUBSTITUTE(BA$1,RIGHT(BA$1,2),""),VLOOKUP($D244,素材!$1:$1016,COLUMN($F$1),FALSE))),VLOOKUP($C244,武器!$1:$998,COLUMN($O$1),FALSE)*VLOOKUP($D244,素材!$1:$1016,COLUMN($E$1),FALSE)/(LEN(VLOOKUP($D244,素材!$1:$1016,COLUMN($F$1),FALSE)) - LEN(SUBSTITUTE(VLOOKUP($D244,素材!$1:$1016,COLUMN($F$1),FALSE), "・", 0)) + 1), 0)</f>
        <v>0</v>
      </c>
      <c r="BB244">
        <f>IF(ISNUMBER(SEARCH(SUBSTITUTE(BB$1,RIGHT(BB$1,2),""),VLOOKUP($D244,素材!$1:$1016,COLUMN($F$1),FALSE))),VLOOKUP($C244,武器!$1:$998,COLUMN($O$1),FALSE)*VLOOKUP($D244,素材!$1:$1016,COLUMN($E$1),FALSE)/(LEN(VLOOKUP($D244,素材!$1:$1016,COLUMN($F$1),FALSE)) - LEN(SUBSTITUTE(VLOOKUP($D244,素材!$1:$1016,COLUMN($F$1),FALSE), "・", 0)) + 1), 0)</f>
        <v>0</v>
      </c>
      <c r="BC244">
        <f>IF(ISNUMBER(SEARCH(SUBSTITUTE(BC$1,RIGHT(BC$1,2),""),VLOOKUP($D244,素材!$1:$1016,COLUMN($F$1),FALSE))),VLOOKUP($C244,武器!$1:$998,COLUMN($O$1),FALSE)*VLOOKUP($D244,素材!$1:$1016,COLUMN($E$1),FALSE)/(LEN(VLOOKUP($D244,素材!$1:$1016,COLUMN($F$1),FALSE)) - LEN(SUBSTITUTE(VLOOKUP($D244,素材!$1:$1016,COLUMN($F$1),FALSE), "・", 0)) + 1), 0)</f>
        <v>0</v>
      </c>
      <c r="BD244">
        <f>IF(ISNUMBER(SEARCH(SUBSTITUTE(BD$1,RIGHT(BD$1,2),""),VLOOKUP($D244,素材!$1:$1016,COLUMN($F$1),FALSE))),VLOOKUP($C244,武器!$1:$998,COLUMN($O$1),FALSE)*VLOOKUP($D244,素材!$1:$1016,COLUMN($E$1),FALSE)/(LEN(VLOOKUP($D244,素材!$1:$1016,COLUMN($F$1),FALSE)) - LEN(SUBSTITUTE(VLOOKUP($D244,素材!$1:$1016,COLUMN($F$1),FALSE), "・", 0)) + 1), 0)</f>
        <v>0</v>
      </c>
      <c r="BE244">
        <f>IF(ISNUMBER(SEARCH(SUBSTITUTE(BE$1,RIGHT(BE$1,2),""),VLOOKUP($D244,素材!$1:$1016,COLUMN($F$1),FALSE))),VLOOKUP($C244,武器!$1:$998,COLUMN($O$1),FALSE)*VLOOKUP($D244,素材!$1:$1016,COLUMN($E$1),FALSE)/(LEN(VLOOKUP($D244,素材!$1:$1016,COLUMN($F$1),FALSE)) - LEN(SUBSTITUTE(VLOOKUP($D244,素材!$1:$1016,COLUMN($F$1),FALSE), "・", 0)) + 1), 0)</f>
        <v>0</v>
      </c>
      <c r="CL244">
        <f>SUM(G244:I244)</f>
        <v>22</v>
      </c>
      <c r="CM244" s="22" t="str">
        <f>IF(E244="武器",IF(J244-1&gt;SUM(G244:I244),"盾",IF(MAX(G244:I244)=G244,"切断",IF(MAX(G244:I244)=H244,"貫通",IF(MAX(G244:I244)=I244,"打撃","射撃")))),E244)&amp;".webp"</f>
        <v>打撃.webp</v>
      </c>
      <c r="CN244">
        <f>IFERROR(VLOOKUP($C244,武器!$1:$998,COLUMN(V$1),FALSE)*VLOOKUP($D244,素材!$1:$1016,COLUMN(N$1),FALSE)+IF(CI244="",0,VLOOKUP($CI244,装強!$1:$1008,COLUMN($CK$1),FALSE)),"")</f>
        <v>2250</v>
      </c>
      <c r="CO244">
        <f>VLOOKUP(D244,素材!$A:$O,COLUMN(素材!O$1),FALSE)</f>
        <v>0</v>
      </c>
      <c r="CP244" t="str">
        <f>VLOOKUP(C244,武器!$A:$W,COLUMN(武器!W$1),FALSE)</f>
        <v>棍棒。打撃に特化したシンプルな武器。威力は低いがダメージ振れが少ない。</v>
      </c>
      <c r="CR244" t="str">
        <f t="shared" si="29"/>
        <v>e_244</v>
      </c>
      <c r="CS244">
        <f t="shared" si="30"/>
        <v>225000</v>
      </c>
    </row>
    <row r="245" spans="1:97" outlineLevel="1" x14ac:dyDescent="0.4">
      <c r="A245" t="str">
        <f t="shared" si="31"/>
        <v>熱鉄の戦棍</v>
      </c>
      <c r="B245" t="str">
        <f>IFERROR(VLOOKUP($D245,素材!$1:$1016,COLUMN($B$1),FALSE)&amp;"・"&amp;VLOOKUP($C245,武器!$1:$998,COLUMN(B$1),FALSE),"")</f>
        <v>ヒートスティール・メイス</v>
      </c>
      <c r="C245" s="24" t="s">
        <v>229</v>
      </c>
      <c r="D245" s="24" t="s">
        <v>205</v>
      </c>
      <c r="E245" t="str">
        <f>IFERROR(VLOOKUP(C245,武器!$1:$998,COLUMN(C$1),FALSE),"")</f>
        <v>武器</v>
      </c>
      <c r="F245">
        <f>IFERROR(ROUNDDOWN((VLOOKUP($C245,武器!$1:$998,COLUMN(D$1),FALSE)+IFERROR(VLOOKUP($CI245,装強!$1:$999,COLUMN(F$1),FALSE),0))*VLOOKUP($D245,素材!$1:$1016,COLUMN(D$1),FALSE),0),"")</f>
        <v>110</v>
      </c>
      <c r="G245">
        <f>IFERROR(ROUNDDOWN((VLOOKUP($C245,武器!$1:$998,COLUMN(E$1),FALSE)+IFERROR(VLOOKUP($CI245,装強!$1:$999,COLUMN(G$1),FALSE),0))*VLOOKUP($D245,素材!$1:$1016,COLUMN($E$1),FALSE),0),"")</f>
        <v>0</v>
      </c>
      <c r="H245">
        <f>IFERROR(ROUNDDOWN((VLOOKUP($C245,武器!$1:$998,COLUMN(F$1),FALSE)+IFERROR(VLOOKUP($CI245,装強!$1:$999,COLUMN(H$1),FALSE),0))*VLOOKUP($D245,素材!$1:$1016,COLUMN($E$1),FALSE),0),"")</f>
        <v>0</v>
      </c>
      <c r="I245">
        <f>IFERROR(ROUNDDOWN((VLOOKUP($C245,武器!$1:$998,COLUMN(G$1),FALSE)+IFERROR(VLOOKUP($CI245,装強!$1:$999,COLUMN(I$1),FALSE),0))*VLOOKUP($D245,素材!$1:$1016,COLUMN($E$1),FALSE),0),"")</f>
        <v>23</v>
      </c>
      <c r="J245">
        <f>IFERROR(ROUNDDOWN((VLOOKUP($C245,武器!$1:$998,COLUMN(H$1),FALSE)+IFERROR(VLOOKUP($CI245,装強!$1:$999,COLUMN(J$1),FALSE),0))*VLOOKUP($D245,素材!$1:$1016,COLUMN($E$1),FALSE),0),"")</f>
        <v>19</v>
      </c>
      <c r="K245">
        <f>IFERROR(ROUNDDOWN((VLOOKUP($C245,武器!$1:$998,COLUMN(I$1),FALSE)+IFERROR(VLOOKUP($CI245,装強!$1:$999,COLUMN(K$1),FALSE),0))*VLOOKUP($D245,素材!$1:$1016,COLUMN($E$1),FALSE),0),"")</f>
        <v>0</v>
      </c>
      <c r="L245" t="str">
        <f>IFERROR(VLOOKUP($D245,素材!$1:$1016,COLUMN($F$1),FALSE),"")</f>
        <v>炎</v>
      </c>
      <c r="M245">
        <f>IFERROR(VLOOKUP($C245,武器!$1:$998,COLUMN(AA$1),FALSE)*VLOOKUP($D245,素材!$1:$1016,COLUMN($G$1),FALSE),"")</f>
        <v>40.25</v>
      </c>
      <c r="N245">
        <f>IFERROR(VLOOKUP($C245,武器!$1:$998,COLUMN(I$1),FALSE),"")</f>
        <v>0</v>
      </c>
      <c r="O245" s="23">
        <f>IFERROR((VLOOKUP($C245,武器!$1:$998,COLUMN(K$1),FALSE)+VLOOKUP($D245,素材!$1:$1016,COLUMN(H$1),FALSE))*100+IFERROR(VLOOKUP($CI245,装強!$1:$999,COLUMN(O$1),FALSE),0),"")</f>
        <v>15</v>
      </c>
      <c r="P245" s="23">
        <f>IFERROR((VLOOKUP($C245,武器!$1:$998,COLUMN(L$1),FALSE)+VLOOKUP($D245,素材!$1:$1016,COLUMN(I$1),FALSE))*100+IFERROR(VLOOKUP($CI245,装強!$1:$999,COLUMN(P$1),FALSE),0),"")</f>
        <v>125</v>
      </c>
      <c r="Q245">
        <f>IFERROR(ROUNDUP(VLOOKUP($C245,武器!$1:$998,COLUMN(M$1),FALSE)*(VLOOKUP($D245,素材!$1:$1002,COLUMN(D$1),FALSE)/100),1),"")</f>
        <v>0</v>
      </c>
      <c r="R245">
        <f>IFERROR(ROUNDUP(VLOOKUP($C245,武器!$1:$998,COLUMN(N$1),FALSE)*(VLOOKUP($D245,素材!$1:$1002,COLUMN(D$1),FALSE)/100),1),"")</f>
        <v>-2</v>
      </c>
      <c r="S245">
        <f>IFERROR(VLOOKUP($C245,武器!$1:$998,COLUMN(P$1),FALSE),"")</f>
        <v>0</v>
      </c>
      <c r="T245">
        <f>IFERROR(VLOOKUP($C245,武器!$1:$998,COLUMN(Q$1),FALSE),"")</f>
        <v>0</v>
      </c>
      <c r="U245">
        <f>IFERROR(VLOOKUP($C245,武器!$1:$998,COLUMN(R$1),FALSE),"")</f>
        <v>0</v>
      </c>
      <c r="V245">
        <f>IFERROR(VLOOKUP($C245,武器!$1:$998,COLUMN(Q$1),FALSE),"")</f>
        <v>0</v>
      </c>
      <c r="W245" t="str">
        <f>IFERROR(VLOOKUP($C245,武器!$1:$998,COLUMN(T$1),FALSE),"")</f>
        <v>A</v>
      </c>
      <c r="Y245">
        <f>IFERROR(VLOOKUP($C245,武器!$1:$998,COLUMN(U$1),FALSE),"")</f>
        <v>0</v>
      </c>
      <c r="Z245">
        <f>IFERROR(ROUNDUP(VLOOKUP($C245,武器!$1:$998,COLUMN(O$1),FALSE)*VLOOKUP($D245,素材!$1:$1016,COLUMN(E$1),FALSE),1),"")</f>
        <v>0</v>
      </c>
      <c r="AA245">
        <f>IF(ISNUMBER(SEARCH(SUBSTITUTE(AA$1,RIGHT(AA$1,2),""),VLOOKUP($D245,素材!$1:$1016,COLUMN($F$1),FALSE))),VLOOKUP($C245,武器!$1:$998,COLUMN($O$1),FALSE)*VLOOKUP($D245,素材!$1:$1016,COLUMN($E$1),FALSE)/(LEN(VLOOKUP($D245,素材!$1:$1016,COLUMN($F$1),FALSE)) - LEN(SUBSTITUTE(VLOOKUP($D245,素材!$1:$1016,COLUMN($F$1),FALSE), "・", 0)) + 1), 0)</f>
        <v>0</v>
      </c>
      <c r="AB245">
        <f>IF(ISNUMBER(SEARCH(SUBSTITUTE(AB$1,RIGHT(AB$1,2),""),VLOOKUP($D245,素材!$1:$1016,COLUMN($F$1),FALSE))),VLOOKUP($C245,武器!$1:$998,COLUMN($O$1),FALSE)*VLOOKUP($D245,素材!$1:$1016,COLUMN($E$1),FALSE)/(LEN(VLOOKUP($D245,素材!$1:$1016,COLUMN($F$1),FALSE)) - LEN(SUBSTITUTE(VLOOKUP($D245,素材!$1:$1016,COLUMN($F$1),FALSE), "・", 0)) + 1), 0)</f>
        <v>0</v>
      </c>
      <c r="AC245">
        <f>IF(ISNUMBER(SEARCH(SUBSTITUTE(AC$1,RIGHT(AC$1,2),""),VLOOKUP($D245,素材!$1:$1016,COLUMN($F$1),FALSE))),VLOOKUP($C245,武器!$1:$998,COLUMN($O$1),FALSE)*VLOOKUP($D245,素材!$1:$1016,COLUMN($E$1),FALSE)/(LEN(VLOOKUP($D245,素材!$1:$1016,COLUMN($F$1),FALSE)) - LEN(SUBSTITUTE(VLOOKUP($D245,素材!$1:$1016,COLUMN($F$1),FALSE), "・", 0)) + 1), 0)</f>
        <v>0</v>
      </c>
      <c r="AD245">
        <f>IF(ISNUMBER(SEARCH(SUBSTITUTE(AD$1,RIGHT(AD$1,2),""),VLOOKUP($D245,素材!$1:$1016,COLUMN($F$1),FALSE))),VLOOKUP($C245,武器!$1:$998,COLUMN($O$1),FALSE)*VLOOKUP($D245,素材!$1:$1016,COLUMN($E$1),FALSE)/(LEN(VLOOKUP($D245,素材!$1:$1016,COLUMN($F$1),FALSE)) - LEN(SUBSTITUTE(VLOOKUP($D245,素材!$1:$1016,COLUMN($F$1),FALSE), "・", 0)) + 1), 0)</f>
        <v>0</v>
      </c>
      <c r="AE245">
        <f>IF(ISNUMBER(SEARCH(SUBSTITUTE(AE$1,RIGHT(AE$1,2),""),VLOOKUP($D245,素材!$1:$1016,COLUMN($F$1),FALSE))),VLOOKUP($C245,武器!$1:$998,COLUMN($O$1),FALSE)*VLOOKUP($D245,素材!$1:$1016,COLUMN($E$1),FALSE)/(LEN(VLOOKUP($D245,素材!$1:$1016,COLUMN($F$1),FALSE)) - LEN(SUBSTITUTE(VLOOKUP($D245,素材!$1:$1016,COLUMN($F$1),FALSE), "・", 0)) + 1), 0)</f>
        <v>0</v>
      </c>
      <c r="AF245">
        <f>IF(ISNUMBER(SEARCH(SUBSTITUTE(AF$1,RIGHT(AF$1,2),""),VLOOKUP($D245,素材!$1:$1016,COLUMN($F$1),FALSE))),VLOOKUP($C245,武器!$1:$998,COLUMN($O$1),FALSE)*VLOOKUP($D245,素材!$1:$1016,COLUMN($E$1),FALSE)/(LEN(VLOOKUP($D245,素材!$1:$1016,COLUMN($F$1),FALSE)) - LEN(SUBSTITUTE(VLOOKUP($D245,素材!$1:$1016,COLUMN($F$1),FALSE), "・", 0)) + 1), 0)</f>
        <v>0</v>
      </c>
      <c r="AG245">
        <f>IF(ISNUMBER(SEARCH(SUBSTITUTE(AG$1,RIGHT(AG$1,2),""),VLOOKUP($D245,素材!$1:$1016,COLUMN($F$1),FALSE))),VLOOKUP($C245,武器!$1:$998,COLUMN($O$1),FALSE)*VLOOKUP($D245,素材!$1:$1016,COLUMN($E$1),FALSE)/(LEN(VLOOKUP($D245,素材!$1:$1016,COLUMN($F$1),FALSE)) - LEN(SUBSTITUTE(VLOOKUP($D245,素材!$1:$1016,COLUMN($F$1),FALSE), "・", 0)) + 1), 0)</f>
        <v>0</v>
      </c>
      <c r="AH245">
        <f>IF(ISNUMBER(SEARCH(SUBSTITUTE(AH$1,RIGHT(AH$1,2),""),VLOOKUP($D245,素材!$1:$1016,COLUMN($F$1),FALSE))),VLOOKUP($C245,武器!$1:$998,COLUMN($O$1),FALSE)*VLOOKUP($D245,素材!$1:$1016,COLUMN($E$1),FALSE)/(LEN(VLOOKUP($D245,素材!$1:$1016,COLUMN($F$1),FALSE)) - LEN(SUBSTITUTE(VLOOKUP($D245,素材!$1:$1016,COLUMN($F$1),FALSE), "・", 0)) + 1), 0)</f>
        <v>0</v>
      </c>
      <c r="AI245">
        <f>IF(ISNUMBER(SEARCH(SUBSTITUTE(AI$1,RIGHT(AI$1,2),""),VLOOKUP($D245,素材!$1:$1016,COLUMN($F$1),FALSE))),VLOOKUP($C245,武器!$1:$998,COLUMN($O$1),FALSE)*VLOOKUP($D245,素材!$1:$1016,COLUMN($E$1),FALSE)/(LEN(VLOOKUP($D245,素材!$1:$1016,COLUMN($F$1),FALSE)) - LEN(SUBSTITUTE(VLOOKUP($D245,素材!$1:$1016,COLUMN($F$1),FALSE), "・", 0)) + 1), 0)</f>
        <v>0</v>
      </c>
      <c r="AJ245">
        <f>IF(ISNUMBER(SEARCH(SUBSTITUTE(AJ$1,RIGHT(AJ$1,2),""),VLOOKUP($D245,素材!$1:$1016,COLUMN($F$1),FALSE))),VLOOKUP($C245,武器!$1:$998,COLUMN($O$1),FALSE)*VLOOKUP($D245,素材!$1:$1016,COLUMN($E$1),FALSE)/(LEN(VLOOKUP($D245,素材!$1:$1016,COLUMN($F$1),FALSE)) - LEN(SUBSTITUTE(VLOOKUP($D245,素材!$1:$1016,COLUMN($F$1),FALSE), "・", 0)) + 1), 0)</f>
        <v>0</v>
      </c>
      <c r="AK245">
        <f>IF(ISNUMBER(SEARCH(SUBSTITUTE(AK$1,RIGHT(AK$1,2),""),VLOOKUP($D245,素材!$1:$1016,COLUMN($F$1),FALSE))),VLOOKUP($C245,武器!$1:$998,COLUMN($O$1),FALSE)*VLOOKUP($D245,素材!$1:$1016,COLUMN($E$1),FALSE)/(LEN(VLOOKUP($D245,素材!$1:$1016,COLUMN($F$1),FALSE)) - LEN(SUBSTITUTE(VLOOKUP($D245,素材!$1:$1016,COLUMN($F$1),FALSE), "・", 0)) + 1), 0)</f>
        <v>0</v>
      </c>
      <c r="AL245">
        <f>IF(ISNUMBER(SEARCH(SUBSTITUTE(AL$1,RIGHT(AL$1,2),""),VLOOKUP($D245,素材!$1:$1016,COLUMN($F$1),FALSE))),VLOOKUP($C245,武器!$1:$998,COLUMN($O$1),FALSE)*VLOOKUP($D245,素材!$1:$1016,COLUMN($E$1),FALSE)/(LEN(VLOOKUP($D245,素材!$1:$1016,COLUMN($F$1),FALSE)) - LEN(SUBSTITUTE(VLOOKUP($D245,素材!$1:$1016,COLUMN($F$1),FALSE), "・", 0)) + 1), 0)</f>
        <v>0</v>
      </c>
      <c r="AM245">
        <f>IF(ISNUMBER(SEARCH(SUBSTITUTE(AM$1,RIGHT(AM$1,2),""),VLOOKUP($D245,素材!$1:$1016,COLUMN($F$1),FALSE))),VLOOKUP($C245,武器!$1:$998,COLUMN($O$1),FALSE)*VLOOKUP($D245,素材!$1:$1016,COLUMN($E$1),FALSE)/(LEN(VLOOKUP($D245,素材!$1:$1016,COLUMN($F$1),FALSE)) - LEN(SUBSTITUTE(VLOOKUP($D245,素材!$1:$1016,COLUMN($F$1),FALSE), "・", 0)) + 1), 0)</f>
        <v>0</v>
      </c>
      <c r="AN245">
        <f>IF(ISNUMBER(SEARCH(SUBSTITUTE(AN$1,RIGHT(AN$1,2),""),VLOOKUP($D245,素材!$1:$1016,COLUMN($F$1),FALSE))),VLOOKUP($C245,武器!$1:$998,COLUMN($O$1),FALSE)*VLOOKUP($D245,素材!$1:$1016,COLUMN($E$1),FALSE)/(LEN(VLOOKUP($D245,素材!$1:$1016,COLUMN($F$1),FALSE)) - LEN(SUBSTITUTE(VLOOKUP($D245,素材!$1:$1016,COLUMN($F$1),FALSE), "・", 0)) + 1), 0)</f>
        <v>0</v>
      </c>
      <c r="AO245">
        <f>IF(ISNUMBER(SEARCH(SUBSTITUTE(AO$1,RIGHT(AO$1,2),""),VLOOKUP($D245,素材!$1:$1016,COLUMN($F$1),FALSE))),VLOOKUP($C245,武器!$1:$998,COLUMN($O$1),FALSE)*VLOOKUP($D245,素材!$1:$1016,COLUMN($E$1),FALSE)/(LEN(VLOOKUP($D245,素材!$1:$1016,COLUMN($F$1),FALSE)) - LEN(SUBSTITUTE(VLOOKUP($D245,素材!$1:$1016,COLUMN($F$1),FALSE), "・", 0)) + 1), 0)</f>
        <v>0</v>
      </c>
      <c r="AP245">
        <f>IF(ISNUMBER(SEARCH(SUBSTITUTE(AP$1,RIGHT(AP$1,2),""),VLOOKUP($D245,素材!$1:$1016,COLUMN($F$1),FALSE))),VLOOKUP($C245,武器!$1:$998,COLUMN($O$1),FALSE)*VLOOKUP($D245,素材!$1:$1016,COLUMN($E$1),FALSE)/(LEN(VLOOKUP($D245,素材!$1:$1016,COLUMN($F$1),FALSE)) - LEN(SUBSTITUTE(VLOOKUP($D245,素材!$1:$1016,COLUMN($F$1),FALSE), "・", 0)) + 1), 0)</f>
        <v>0</v>
      </c>
      <c r="AQ245">
        <f>IF(ISNUMBER(SEARCH(SUBSTITUTE(AQ$1,RIGHT(AQ$1,2),""),VLOOKUP($D245,素材!$1:$1016,COLUMN($F$1),FALSE))),VLOOKUP($C245,武器!$1:$998,COLUMN($O$1),FALSE)*VLOOKUP($D245,素材!$1:$1016,COLUMN($E$1),FALSE)/(LEN(VLOOKUP($D245,素材!$1:$1016,COLUMN($F$1),FALSE)) - LEN(SUBSTITUTE(VLOOKUP($D245,素材!$1:$1016,COLUMN($F$1),FALSE), "・", 0)) + 1), 0)</f>
        <v>0</v>
      </c>
      <c r="AR245">
        <f>IF(ISNUMBER(SEARCH(SUBSTITUTE(AR$1,RIGHT(AR$1,2),""),VLOOKUP($D245,素材!$1:$1016,COLUMN($F$1),FALSE))),VLOOKUP($C245,武器!$1:$998,COLUMN($O$1),FALSE)*VLOOKUP($D245,素材!$1:$1016,COLUMN($E$1),FALSE)/(LEN(VLOOKUP($D245,素材!$1:$1016,COLUMN($F$1),FALSE)) - LEN(SUBSTITUTE(VLOOKUP($D245,素材!$1:$1016,COLUMN($F$1),FALSE), "・", 0)) + 1), 0)</f>
        <v>0</v>
      </c>
      <c r="AS245">
        <f>IF(ISNUMBER(SEARCH(SUBSTITUTE(AS$1,RIGHT(AS$1,2),""),VLOOKUP($D245,素材!$1:$1016,COLUMN($F$1),FALSE))),VLOOKUP($C245,武器!$1:$998,COLUMN($O$1),FALSE)*VLOOKUP($D245,素材!$1:$1016,COLUMN($E$1),FALSE)/(LEN(VLOOKUP($D245,素材!$1:$1016,COLUMN($F$1),FALSE)) - LEN(SUBSTITUTE(VLOOKUP($D245,素材!$1:$1016,COLUMN($F$1),FALSE), "・", 0)) + 1), 0)</f>
        <v>0</v>
      </c>
      <c r="AT245">
        <f>IF(ISNUMBER(SEARCH(SUBSTITUTE(AT$1,RIGHT(AT$1,2),""),VLOOKUP($D245,素材!$1:$1016,COLUMN($F$1),FALSE))),VLOOKUP($C245,武器!$1:$998,COLUMN($O$1),FALSE)*VLOOKUP($D245,素材!$1:$1016,COLUMN($E$1),FALSE)/(LEN(VLOOKUP($D245,素材!$1:$1016,COLUMN($F$1),FALSE)) - LEN(SUBSTITUTE(VLOOKUP($D245,素材!$1:$1016,COLUMN($F$1),FALSE), "・", 0)) + 1), 0)</f>
        <v>0</v>
      </c>
      <c r="AU245">
        <f>IF(ISNUMBER(SEARCH(SUBSTITUTE(AU$1,RIGHT(AU$1,2),""),VLOOKUP($D245,素材!$1:$1016,COLUMN($F$1),FALSE))),VLOOKUP($C245,武器!$1:$998,COLUMN($O$1),FALSE)*VLOOKUP($D245,素材!$1:$1016,COLUMN($E$1),FALSE)/(LEN(VLOOKUP($D245,素材!$1:$1016,COLUMN($F$1),FALSE)) - LEN(SUBSTITUTE(VLOOKUP($D245,素材!$1:$1016,COLUMN($F$1),FALSE), "・", 0)) + 1), 0)</f>
        <v>0</v>
      </c>
      <c r="AV245">
        <f>IF(ISNUMBER(SEARCH(SUBSTITUTE(AV$1,RIGHT(AV$1,2),""),VLOOKUP($D245,素材!$1:$1016,COLUMN($F$1),FALSE))),VLOOKUP($C245,武器!$1:$998,COLUMN($O$1),FALSE)*VLOOKUP($D245,素材!$1:$1016,COLUMN($E$1),FALSE)/(LEN(VLOOKUP($D245,素材!$1:$1016,COLUMN($F$1),FALSE)) - LEN(SUBSTITUTE(VLOOKUP($D245,素材!$1:$1016,COLUMN($F$1),FALSE), "・", 0)) + 1), 0)</f>
        <v>0</v>
      </c>
      <c r="AW245">
        <f>IF(ISNUMBER(SEARCH(SUBSTITUTE(AW$1,RIGHT(AW$1,2),""),VLOOKUP($D245,素材!$1:$1016,COLUMN($F$1),FALSE))),VLOOKUP($C245,武器!$1:$998,COLUMN($O$1),FALSE)*VLOOKUP($D245,素材!$1:$1016,COLUMN($E$1),FALSE)/(LEN(VLOOKUP($D245,素材!$1:$1016,COLUMN($F$1),FALSE)) - LEN(SUBSTITUTE(VLOOKUP($D245,素材!$1:$1016,COLUMN($F$1),FALSE), "・", 0)) + 1), 0)</f>
        <v>0</v>
      </c>
      <c r="AX245">
        <f>IF(ISNUMBER(SEARCH(SUBSTITUTE(AX$1,RIGHT(AX$1,2),""),VLOOKUP($D245,素材!$1:$1016,COLUMN($F$1),FALSE))),VLOOKUP($C245,武器!$1:$998,COLUMN($O$1),FALSE)*VLOOKUP($D245,素材!$1:$1016,COLUMN($E$1),FALSE)/(LEN(VLOOKUP($D245,素材!$1:$1016,COLUMN($F$1),FALSE)) - LEN(SUBSTITUTE(VLOOKUP($D245,素材!$1:$1016,COLUMN($F$1),FALSE), "・", 0)) + 1), 0)</f>
        <v>0</v>
      </c>
      <c r="AY245">
        <f>IF(ISNUMBER(SEARCH(SUBSTITUTE(AY$1,RIGHT(AY$1,2),""),VLOOKUP($D245,素材!$1:$1016,COLUMN($F$1),FALSE))),VLOOKUP($C245,武器!$1:$998,COLUMN($O$1),FALSE)*VLOOKUP($D245,素材!$1:$1016,COLUMN($E$1),FALSE)/(LEN(VLOOKUP($D245,素材!$1:$1016,COLUMN($F$1),FALSE)) - LEN(SUBSTITUTE(VLOOKUP($D245,素材!$1:$1016,COLUMN($F$1),FALSE), "・", 0)) + 1), 0)</f>
        <v>0</v>
      </c>
      <c r="AZ245">
        <f>IF(ISNUMBER(SEARCH(SUBSTITUTE(AZ$1,RIGHT(AZ$1,2),""),VLOOKUP($D245,素材!$1:$1016,COLUMN($F$1),FALSE))),VLOOKUP($C245,武器!$1:$998,COLUMN($O$1),FALSE)*VLOOKUP($D245,素材!$1:$1016,COLUMN($E$1),FALSE)/(LEN(VLOOKUP($D245,素材!$1:$1016,COLUMN($F$1),FALSE)) - LEN(SUBSTITUTE(VLOOKUP($D245,素材!$1:$1016,COLUMN($F$1),FALSE), "・", 0)) + 1), 0)</f>
        <v>0</v>
      </c>
      <c r="BA245">
        <f>IF(ISNUMBER(SEARCH(SUBSTITUTE(BA$1,RIGHT(BA$1,2),""),VLOOKUP($D245,素材!$1:$1016,COLUMN($F$1),FALSE))),VLOOKUP($C245,武器!$1:$998,COLUMN($O$1),FALSE)*VLOOKUP($D245,素材!$1:$1016,COLUMN($E$1),FALSE)/(LEN(VLOOKUP($D245,素材!$1:$1016,COLUMN($F$1),FALSE)) - LEN(SUBSTITUTE(VLOOKUP($D245,素材!$1:$1016,COLUMN($F$1),FALSE), "・", 0)) + 1), 0)</f>
        <v>0</v>
      </c>
      <c r="BB245">
        <f>IF(ISNUMBER(SEARCH(SUBSTITUTE(BB$1,RIGHT(BB$1,2),""),VLOOKUP($D245,素材!$1:$1016,COLUMN($F$1),FALSE))),VLOOKUP($C245,武器!$1:$998,COLUMN($O$1),FALSE)*VLOOKUP($D245,素材!$1:$1016,COLUMN($E$1),FALSE)/(LEN(VLOOKUP($D245,素材!$1:$1016,COLUMN($F$1),FALSE)) - LEN(SUBSTITUTE(VLOOKUP($D245,素材!$1:$1016,COLUMN($F$1),FALSE), "・", 0)) + 1), 0)</f>
        <v>0</v>
      </c>
      <c r="BC245">
        <f>IF(ISNUMBER(SEARCH(SUBSTITUTE(BC$1,RIGHT(BC$1,2),""),VLOOKUP($D245,素材!$1:$1016,COLUMN($F$1),FALSE))),VLOOKUP($C245,武器!$1:$998,COLUMN($O$1),FALSE)*VLOOKUP($D245,素材!$1:$1016,COLUMN($E$1),FALSE)/(LEN(VLOOKUP($D245,素材!$1:$1016,COLUMN($F$1),FALSE)) - LEN(SUBSTITUTE(VLOOKUP($D245,素材!$1:$1016,COLUMN($F$1),FALSE), "・", 0)) + 1), 0)</f>
        <v>0</v>
      </c>
      <c r="BD245">
        <f>IF(ISNUMBER(SEARCH(SUBSTITUTE(BD$1,RIGHT(BD$1,2),""),VLOOKUP($D245,素材!$1:$1016,COLUMN($F$1),FALSE))),VLOOKUP($C245,武器!$1:$998,COLUMN($O$1),FALSE)*VLOOKUP($D245,素材!$1:$1016,COLUMN($E$1),FALSE)/(LEN(VLOOKUP($D245,素材!$1:$1016,COLUMN($F$1),FALSE)) - LEN(SUBSTITUTE(VLOOKUP($D245,素材!$1:$1016,COLUMN($F$1),FALSE), "・", 0)) + 1), 0)</f>
        <v>0</v>
      </c>
      <c r="BE245">
        <f>IF(ISNUMBER(SEARCH(SUBSTITUTE(BE$1,RIGHT(BE$1,2),""),VLOOKUP($D245,素材!$1:$1016,COLUMN($F$1),FALSE))),VLOOKUP($C245,武器!$1:$998,COLUMN($O$1),FALSE)*VLOOKUP($D245,素材!$1:$1016,COLUMN($E$1),FALSE)/(LEN(VLOOKUP($D245,素材!$1:$1016,COLUMN($F$1),FALSE)) - LEN(SUBSTITUTE(VLOOKUP($D245,素材!$1:$1016,COLUMN($F$1),FALSE), "・", 0)) + 1), 0)</f>
        <v>0</v>
      </c>
      <c r="CL245">
        <f>SUM(G245:I245)</f>
        <v>23</v>
      </c>
      <c r="CM245" s="22" t="str">
        <f>IF(E245="武器",IF(J245-1&gt;SUM(G245:I245),"盾",IF(MAX(G245:I245)=G245,"切断",IF(MAX(G245:I245)=H245,"貫通",IF(MAX(G245:I245)=I245,"打撃","射撃")))),E245)&amp;".webp"</f>
        <v>打撃.webp</v>
      </c>
      <c r="CN245">
        <f>IFERROR(VLOOKUP($C245,武器!$1:$998,COLUMN(V$1),FALSE)*VLOOKUP($D245,素材!$1:$1016,COLUMN(N$1),FALSE)+IF(CI245="",0,VLOOKUP($CI245,装強!$1:$1008,COLUMN($CK$1),FALSE)),"")</f>
        <v>3000</v>
      </c>
      <c r="CO245">
        <f>VLOOKUP(D245,素材!$A:$O,COLUMN(素材!O$1),FALSE)</f>
        <v>0</v>
      </c>
      <c r="CP245" t="str">
        <f>VLOOKUP(C245,武器!$A:$W,COLUMN(武器!W$1),FALSE)</f>
        <v>戦棍。打撃に優れた武器。Cr率が高い</v>
      </c>
      <c r="CR245" t="str">
        <f t="shared" si="29"/>
        <v>e_245</v>
      </c>
      <c r="CS245">
        <f t="shared" si="30"/>
        <v>300000</v>
      </c>
    </row>
    <row r="246" spans="1:97" outlineLevel="1" x14ac:dyDescent="0.4">
      <c r="A246" t="str">
        <f t="shared" si="31"/>
        <v>熱鉄の棘棍</v>
      </c>
      <c r="B246" t="str">
        <f>IFERROR(VLOOKUP($D246,素材!$1:$1016,COLUMN($B$1),FALSE)&amp;"・"&amp;VLOOKUP($C246,武器!$1:$998,COLUMN(B$1),FALSE),"")</f>
        <v>ヒートスティール・モーニングスター</v>
      </c>
      <c r="C246" t="s">
        <v>228</v>
      </c>
      <c r="D246" s="24" t="s">
        <v>205</v>
      </c>
      <c r="E246" t="str">
        <f>IFERROR(VLOOKUP(C246,武器!$1:$998,COLUMN(C$1),FALSE),"")</f>
        <v>武器</v>
      </c>
      <c r="F246">
        <f>IFERROR(ROUNDDOWN((VLOOKUP($C246,武器!$1:$998,COLUMN(D$1),FALSE)+IFERROR(VLOOKUP($CI246,装強!$1:$999,COLUMN(F$1),FALSE),0))*VLOOKUP($D246,素材!$1:$1016,COLUMN(D$1),FALSE),0),"")</f>
        <v>105</v>
      </c>
      <c r="G246">
        <f>IFERROR(ROUNDDOWN((VLOOKUP($C246,武器!$1:$998,COLUMN(E$1),FALSE)+IFERROR(VLOOKUP($CI246,装強!$1:$999,COLUMN(G$1),FALSE),0))*VLOOKUP($D246,素材!$1:$1016,COLUMN($E$1),FALSE),0),"")</f>
        <v>0</v>
      </c>
      <c r="H246">
        <f>IFERROR(ROUNDDOWN((VLOOKUP($C246,武器!$1:$998,COLUMN(F$1),FALSE)+IFERROR(VLOOKUP($CI246,装強!$1:$999,COLUMN(H$1),FALSE),0))*VLOOKUP($D246,素材!$1:$1016,COLUMN($E$1),FALSE),0),"")</f>
        <v>12</v>
      </c>
      <c r="I246">
        <f>IFERROR(ROUNDDOWN((VLOOKUP($C246,武器!$1:$998,COLUMN(G$1),FALSE)+IFERROR(VLOOKUP($CI246,装強!$1:$999,COLUMN(I$1),FALSE),0))*VLOOKUP($D246,素材!$1:$1016,COLUMN($E$1),FALSE),0),"")</f>
        <v>12</v>
      </c>
      <c r="J246">
        <f>IFERROR(ROUNDDOWN((VLOOKUP($C246,武器!$1:$998,COLUMN(H$1),FALSE)+IFERROR(VLOOKUP($CI246,装強!$1:$999,COLUMN(J$1),FALSE),0))*VLOOKUP($D246,素材!$1:$1016,COLUMN($E$1),FALSE),0),"")</f>
        <v>19</v>
      </c>
      <c r="K246">
        <f>IFERROR(ROUNDDOWN((VLOOKUP($C246,武器!$1:$998,COLUMN(I$1),FALSE)+IFERROR(VLOOKUP($CI246,装強!$1:$999,COLUMN(K$1),FALSE),0))*VLOOKUP($D246,素材!$1:$1016,COLUMN($E$1),FALSE),0),"")</f>
        <v>0</v>
      </c>
      <c r="L246" t="str">
        <f>IFERROR(VLOOKUP($D246,素材!$1:$1016,COLUMN($F$1),FALSE),"")</f>
        <v>炎</v>
      </c>
      <c r="M246">
        <f>IFERROR(VLOOKUP($C246,武器!$1:$998,COLUMN(AA$1),FALSE)*VLOOKUP($D246,素材!$1:$1016,COLUMN($G$1),FALSE),"")</f>
        <v>42</v>
      </c>
      <c r="N246">
        <f>IFERROR(VLOOKUP($C246,武器!$1:$998,COLUMN(I$1),FALSE),"")</f>
        <v>0</v>
      </c>
      <c r="O246" s="23">
        <f>IFERROR((VLOOKUP($C246,武器!$1:$998,COLUMN(K$1),FALSE)+VLOOKUP($D246,素材!$1:$1016,COLUMN(H$1),FALSE))*100+IFERROR(VLOOKUP($CI246,装強!$1:$999,COLUMN(O$1),FALSE),0),"")</f>
        <v>10</v>
      </c>
      <c r="P246" s="23">
        <f>IFERROR((VLOOKUP($C246,武器!$1:$998,COLUMN(L$1),FALSE)+VLOOKUP($D246,素材!$1:$1016,COLUMN(I$1),FALSE))*100+IFERROR(VLOOKUP($CI246,装強!$1:$999,COLUMN(P$1),FALSE),0),"")</f>
        <v>125</v>
      </c>
      <c r="Q246">
        <f>IFERROR(ROUNDUP(VLOOKUP($C246,武器!$1:$998,COLUMN(M$1),FALSE)*(VLOOKUP($D246,素材!$1:$1002,COLUMN(D$1),FALSE)/100),1),"")</f>
        <v>-2.5</v>
      </c>
      <c r="R246">
        <f>IFERROR(ROUNDUP(VLOOKUP($C246,武器!$1:$998,COLUMN(N$1),FALSE)*(VLOOKUP($D246,素材!$1:$1002,COLUMN(D$1),FALSE)/100),1),"")</f>
        <v>-2.5</v>
      </c>
      <c r="S246">
        <f>IFERROR(VLOOKUP($C246,武器!$1:$998,COLUMN(P$1),FALSE),"")</f>
        <v>0</v>
      </c>
      <c r="T246">
        <f>IFERROR(VLOOKUP($C246,武器!$1:$998,COLUMN(Q$1),FALSE),"")</f>
        <v>0</v>
      </c>
      <c r="U246">
        <f>IFERROR(VLOOKUP($C246,武器!$1:$998,COLUMN(R$1),FALSE),"")</f>
        <v>0</v>
      </c>
      <c r="V246">
        <f>IFERROR(VLOOKUP($C246,武器!$1:$998,COLUMN(Q$1),FALSE),"")</f>
        <v>0</v>
      </c>
      <c r="W246" t="str">
        <f>IFERROR(VLOOKUP($C246,武器!$1:$998,COLUMN(T$1),FALSE),"")</f>
        <v>A</v>
      </c>
      <c r="Y246">
        <f>IFERROR(VLOOKUP($C246,武器!$1:$998,COLUMN(U$1),FALSE),"")</f>
        <v>0</v>
      </c>
      <c r="Z246">
        <f>IFERROR(ROUNDUP(VLOOKUP($C246,武器!$1:$998,COLUMN(O$1),FALSE)*VLOOKUP($D246,素材!$1:$1016,COLUMN(E$1),FALSE),1),"")</f>
        <v>0</v>
      </c>
      <c r="AA246">
        <f>IF(ISNUMBER(SEARCH(SUBSTITUTE(AA$1,RIGHT(AA$1,2),""),VLOOKUP($D246,素材!$1:$1016,COLUMN($F$1),FALSE))),VLOOKUP($C246,武器!$1:$998,COLUMN($O$1),FALSE)*VLOOKUP($D246,素材!$1:$1016,COLUMN($E$1),FALSE)/(LEN(VLOOKUP($D246,素材!$1:$1016,COLUMN($F$1),FALSE)) - LEN(SUBSTITUTE(VLOOKUP($D246,素材!$1:$1016,COLUMN($F$1),FALSE), "・", 0)) + 1), 0)</f>
        <v>0</v>
      </c>
      <c r="AB246">
        <f>IF(ISNUMBER(SEARCH(SUBSTITUTE(AB$1,RIGHT(AB$1,2),""),VLOOKUP($D246,素材!$1:$1016,COLUMN($F$1),FALSE))),VLOOKUP($C246,武器!$1:$998,COLUMN($O$1),FALSE)*VLOOKUP($D246,素材!$1:$1016,COLUMN($E$1),FALSE)/(LEN(VLOOKUP($D246,素材!$1:$1016,COLUMN($F$1),FALSE)) - LEN(SUBSTITUTE(VLOOKUP($D246,素材!$1:$1016,COLUMN($F$1),FALSE), "・", 0)) + 1), 0)</f>
        <v>0</v>
      </c>
      <c r="AC246">
        <f>IF(ISNUMBER(SEARCH(SUBSTITUTE(AC$1,RIGHT(AC$1,2),""),VLOOKUP($D246,素材!$1:$1016,COLUMN($F$1),FALSE))),VLOOKUP($C246,武器!$1:$998,COLUMN($O$1),FALSE)*VLOOKUP($D246,素材!$1:$1016,COLUMN($E$1),FALSE)/(LEN(VLOOKUP($D246,素材!$1:$1016,COLUMN($F$1),FALSE)) - LEN(SUBSTITUTE(VLOOKUP($D246,素材!$1:$1016,COLUMN($F$1),FALSE), "・", 0)) + 1), 0)</f>
        <v>0</v>
      </c>
      <c r="AD246">
        <f>IF(ISNUMBER(SEARCH(SUBSTITUTE(AD$1,RIGHT(AD$1,2),""),VLOOKUP($D246,素材!$1:$1016,COLUMN($F$1),FALSE))),VLOOKUP($C246,武器!$1:$998,COLUMN($O$1),FALSE)*VLOOKUP($D246,素材!$1:$1016,COLUMN($E$1),FALSE)/(LEN(VLOOKUP($D246,素材!$1:$1016,COLUMN($F$1),FALSE)) - LEN(SUBSTITUTE(VLOOKUP($D246,素材!$1:$1016,COLUMN($F$1),FALSE), "・", 0)) + 1), 0)</f>
        <v>0</v>
      </c>
      <c r="AE246">
        <f>IF(ISNUMBER(SEARCH(SUBSTITUTE(AE$1,RIGHT(AE$1,2),""),VLOOKUP($D246,素材!$1:$1016,COLUMN($F$1),FALSE))),VLOOKUP($C246,武器!$1:$998,COLUMN($O$1),FALSE)*VLOOKUP($D246,素材!$1:$1016,COLUMN($E$1),FALSE)/(LEN(VLOOKUP($D246,素材!$1:$1016,COLUMN($F$1),FALSE)) - LEN(SUBSTITUTE(VLOOKUP($D246,素材!$1:$1016,COLUMN($F$1),FALSE), "・", 0)) + 1), 0)</f>
        <v>0</v>
      </c>
      <c r="AF246">
        <f>IF(ISNUMBER(SEARCH(SUBSTITUTE(AF$1,RIGHT(AF$1,2),""),VLOOKUP($D246,素材!$1:$1016,COLUMN($F$1),FALSE))),VLOOKUP($C246,武器!$1:$998,COLUMN($O$1),FALSE)*VLOOKUP($D246,素材!$1:$1016,COLUMN($E$1),FALSE)/(LEN(VLOOKUP($D246,素材!$1:$1016,COLUMN($F$1),FALSE)) - LEN(SUBSTITUTE(VLOOKUP($D246,素材!$1:$1016,COLUMN($F$1),FALSE), "・", 0)) + 1), 0)</f>
        <v>0</v>
      </c>
      <c r="AG246">
        <f>IF(ISNUMBER(SEARCH(SUBSTITUTE(AG$1,RIGHT(AG$1,2),""),VLOOKUP($D246,素材!$1:$1016,COLUMN($F$1),FALSE))),VLOOKUP($C246,武器!$1:$998,COLUMN($O$1),FALSE)*VLOOKUP($D246,素材!$1:$1016,COLUMN($E$1),FALSE)/(LEN(VLOOKUP($D246,素材!$1:$1016,COLUMN($F$1),FALSE)) - LEN(SUBSTITUTE(VLOOKUP($D246,素材!$1:$1016,COLUMN($F$1),FALSE), "・", 0)) + 1), 0)</f>
        <v>0</v>
      </c>
      <c r="AH246">
        <f>IF(ISNUMBER(SEARCH(SUBSTITUTE(AH$1,RIGHT(AH$1,2),""),VLOOKUP($D246,素材!$1:$1016,COLUMN($F$1),FALSE))),VLOOKUP($C246,武器!$1:$998,COLUMN($O$1),FALSE)*VLOOKUP($D246,素材!$1:$1016,COLUMN($E$1),FALSE)/(LEN(VLOOKUP($D246,素材!$1:$1016,COLUMN($F$1),FALSE)) - LEN(SUBSTITUTE(VLOOKUP($D246,素材!$1:$1016,COLUMN($F$1),FALSE), "・", 0)) + 1), 0)</f>
        <v>0</v>
      </c>
      <c r="AI246">
        <f>IF(ISNUMBER(SEARCH(SUBSTITUTE(AI$1,RIGHT(AI$1,2),""),VLOOKUP($D246,素材!$1:$1016,COLUMN($F$1),FALSE))),VLOOKUP($C246,武器!$1:$998,COLUMN($O$1),FALSE)*VLOOKUP($D246,素材!$1:$1016,COLUMN($E$1),FALSE)/(LEN(VLOOKUP($D246,素材!$1:$1016,COLUMN($F$1),FALSE)) - LEN(SUBSTITUTE(VLOOKUP($D246,素材!$1:$1016,COLUMN($F$1),FALSE), "・", 0)) + 1), 0)</f>
        <v>0</v>
      </c>
      <c r="AJ246">
        <f>IF(ISNUMBER(SEARCH(SUBSTITUTE(AJ$1,RIGHT(AJ$1,2),""),VLOOKUP($D246,素材!$1:$1016,COLUMN($F$1),FALSE))),VLOOKUP($C246,武器!$1:$998,COLUMN($O$1),FALSE)*VLOOKUP($D246,素材!$1:$1016,COLUMN($E$1),FALSE)/(LEN(VLOOKUP($D246,素材!$1:$1016,COLUMN($F$1),FALSE)) - LEN(SUBSTITUTE(VLOOKUP($D246,素材!$1:$1016,COLUMN($F$1),FALSE), "・", 0)) + 1), 0)</f>
        <v>0</v>
      </c>
      <c r="AK246">
        <f>IF(ISNUMBER(SEARCH(SUBSTITUTE(AK$1,RIGHT(AK$1,2),""),VLOOKUP($D246,素材!$1:$1016,COLUMN($F$1),FALSE))),VLOOKUP($C246,武器!$1:$998,COLUMN($O$1),FALSE)*VLOOKUP($D246,素材!$1:$1016,COLUMN($E$1),FALSE)/(LEN(VLOOKUP($D246,素材!$1:$1016,COLUMN($F$1),FALSE)) - LEN(SUBSTITUTE(VLOOKUP($D246,素材!$1:$1016,COLUMN($F$1),FALSE), "・", 0)) + 1), 0)</f>
        <v>0</v>
      </c>
      <c r="AL246">
        <f>IF(ISNUMBER(SEARCH(SUBSTITUTE(AL$1,RIGHT(AL$1,2),""),VLOOKUP($D246,素材!$1:$1016,COLUMN($F$1),FALSE))),VLOOKUP($C246,武器!$1:$998,COLUMN($O$1),FALSE)*VLOOKUP($D246,素材!$1:$1016,COLUMN($E$1),FALSE)/(LEN(VLOOKUP($D246,素材!$1:$1016,COLUMN($F$1),FALSE)) - LEN(SUBSTITUTE(VLOOKUP($D246,素材!$1:$1016,COLUMN($F$1),FALSE), "・", 0)) + 1), 0)</f>
        <v>0</v>
      </c>
      <c r="AM246">
        <f>IF(ISNUMBER(SEARCH(SUBSTITUTE(AM$1,RIGHT(AM$1,2),""),VLOOKUP($D246,素材!$1:$1016,COLUMN($F$1),FALSE))),VLOOKUP($C246,武器!$1:$998,COLUMN($O$1),FALSE)*VLOOKUP($D246,素材!$1:$1016,COLUMN($E$1),FALSE)/(LEN(VLOOKUP($D246,素材!$1:$1016,COLUMN($F$1),FALSE)) - LEN(SUBSTITUTE(VLOOKUP($D246,素材!$1:$1016,COLUMN($F$1),FALSE), "・", 0)) + 1), 0)</f>
        <v>0</v>
      </c>
      <c r="AN246">
        <f>IF(ISNUMBER(SEARCH(SUBSTITUTE(AN$1,RIGHT(AN$1,2),""),VLOOKUP($D246,素材!$1:$1016,COLUMN($F$1),FALSE))),VLOOKUP($C246,武器!$1:$998,COLUMN($O$1),FALSE)*VLOOKUP($D246,素材!$1:$1016,COLUMN($E$1),FALSE)/(LEN(VLOOKUP($D246,素材!$1:$1016,COLUMN($F$1),FALSE)) - LEN(SUBSTITUTE(VLOOKUP($D246,素材!$1:$1016,COLUMN($F$1),FALSE), "・", 0)) + 1), 0)</f>
        <v>0</v>
      </c>
      <c r="AO246">
        <f>IF(ISNUMBER(SEARCH(SUBSTITUTE(AO$1,RIGHT(AO$1,2),""),VLOOKUP($D246,素材!$1:$1016,COLUMN($F$1),FALSE))),VLOOKUP($C246,武器!$1:$998,COLUMN($O$1),FALSE)*VLOOKUP($D246,素材!$1:$1016,COLUMN($E$1),FALSE)/(LEN(VLOOKUP($D246,素材!$1:$1016,COLUMN($F$1),FALSE)) - LEN(SUBSTITUTE(VLOOKUP($D246,素材!$1:$1016,COLUMN($F$1),FALSE), "・", 0)) + 1), 0)</f>
        <v>0</v>
      </c>
      <c r="AP246">
        <f>IF(ISNUMBER(SEARCH(SUBSTITUTE(AP$1,RIGHT(AP$1,2),""),VLOOKUP($D246,素材!$1:$1016,COLUMN($F$1),FALSE))),VLOOKUP($C246,武器!$1:$998,COLUMN($O$1),FALSE)*VLOOKUP($D246,素材!$1:$1016,COLUMN($E$1),FALSE)/(LEN(VLOOKUP($D246,素材!$1:$1016,COLUMN($F$1),FALSE)) - LEN(SUBSTITUTE(VLOOKUP($D246,素材!$1:$1016,COLUMN($F$1),FALSE), "・", 0)) + 1), 0)</f>
        <v>0</v>
      </c>
      <c r="AQ246">
        <f>IF(ISNUMBER(SEARCH(SUBSTITUTE(AQ$1,RIGHT(AQ$1,2),""),VLOOKUP($D246,素材!$1:$1016,COLUMN($F$1),FALSE))),VLOOKUP($C246,武器!$1:$998,COLUMN($O$1),FALSE)*VLOOKUP($D246,素材!$1:$1016,COLUMN($E$1),FALSE)/(LEN(VLOOKUP($D246,素材!$1:$1016,COLUMN($F$1),FALSE)) - LEN(SUBSTITUTE(VLOOKUP($D246,素材!$1:$1016,COLUMN($F$1),FALSE), "・", 0)) + 1), 0)</f>
        <v>0</v>
      </c>
      <c r="AR246">
        <f>IF(ISNUMBER(SEARCH(SUBSTITUTE(AR$1,RIGHT(AR$1,2),""),VLOOKUP($D246,素材!$1:$1016,COLUMN($F$1),FALSE))),VLOOKUP($C246,武器!$1:$998,COLUMN($O$1),FALSE)*VLOOKUP($D246,素材!$1:$1016,COLUMN($E$1),FALSE)/(LEN(VLOOKUP($D246,素材!$1:$1016,COLUMN($F$1),FALSE)) - LEN(SUBSTITUTE(VLOOKUP($D246,素材!$1:$1016,COLUMN($F$1),FALSE), "・", 0)) + 1), 0)</f>
        <v>0</v>
      </c>
      <c r="AS246">
        <f>IF(ISNUMBER(SEARCH(SUBSTITUTE(AS$1,RIGHT(AS$1,2),""),VLOOKUP($D246,素材!$1:$1016,COLUMN($F$1),FALSE))),VLOOKUP($C246,武器!$1:$998,COLUMN($O$1),FALSE)*VLOOKUP($D246,素材!$1:$1016,COLUMN($E$1),FALSE)/(LEN(VLOOKUP($D246,素材!$1:$1016,COLUMN($F$1),FALSE)) - LEN(SUBSTITUTE(VLOOKUP($D246,素材!$1:$1016,COLUMN($F$1),FALSE), "・", 0)) + 1), 0)</f>
        <v>0</v>
      </c>
      <c r="AT246">
        <f>IF(ISNUMBER(SEARCH(SUBSTITUTE(AT$1,RIGHT(AT$1,2),""),VLOOKUP($D246,素材!$1:$1016,COLUMN($F$1),FALSE))),VLOOKUP($C246,武器!$1:$998,COLUMN($O$1),FALSE)*VLOOKUP($D246,素材!$1:$1016,COLUMN($E$1),FALSE)/(LEN(VLOOKUP($D246,素材!$1:$1016,COLUMN($F$1),FALSE)) - LEN(SUBSTITUTE(VLOOKUP($D246,素材!$1:$1016,COLUMN($F$1),FALSE), "・", 0)) + 1), 0)</f>
        <v>0</v>
      </c>
      <c r="AU246">
        <f>IF(ISNUMBER(SEARCH(SUBSTITUTE(AU$1,RIGHT(AU$1,2),""),VLOOKUP($D246,素材!$1:$1016,COLUMN($F$1),FALSE))),VLOOKUP($C246,武器!$1:$998,COLUMN($O$1),FALSE)*VLOOKUP($D246,素材!$1:$1016,COLUMN($E$1),FALSE)/(LEN(VLOOKUP($D246,素材!$1:$1016,COLUMN($F$1),FALSE)) - LEN(SUBSTITUTE(VLOOKUP($D246,素材!$1:$1016,COLUMN($F$1),FALSE), "・", 0)) + 1), 0)</f>
        <v>0</v>
      </c>
      <c r="AV246">
        <f>IF(ISNUMBER(SEARCH(SUBSTITUTE(AV$1,RIGHT(AV$1,2),""),VLOOKUP($D246,素材!$1:$1016,COLUMN($F$1),FALSE))),VLOOKUP($C246,武器!$1:$998,COLUMN($O$1),FALSE)*VLOOKUP($D246,素材!$1:$1016,COLUMN($E$1),FALSE)/(LEN(VLOOKUP($D246,素材!$1:$1016,COLUMN($F$1),FALSE)) - LEN(SUBSTITUTE(VLOOKUP($D246,素材!$1:$1016,COLUMN($F$1),FALSE), "・", 0)) + 1), 0)</f>
        <v>0</v>
      </c>
      <c r="AW246">
        <f>IF(ISNUMBER(SEARCH(SUBSTITUTE(AW$1,RIGHT(AW$1,2),""),VLOOKUP($D246,素材!$1:$1016,COLUMN($F$1),FALSE))),VLOOKUP($C246,武器!$1:$998,COLUMN($O$1),FALSE)*VLOOKUP($D246,素材!$1:$1016,COLUMN($E$1),FALSE)/(LEN(VLOOKUP($D246,素材!$1:$1016,COLUMN($F$1),FALSE)) - LEN(SUBSTITUTE(VLOOKUP($D246,素材!$1:$1016,COLUMN($F$1),FALSE), "・", 0)) + 1), 0)</f>
        <v>0</v>
      </c>
      <c r="AX246">
        <f>IF(ISNUMBER(SEARCH(SUBSTITUTE(AX$1,RIGHT(AX$1,2),""),VLOOKUP($D246,素材!$1:$1016,COLUMN($F$1),FALSE))),VLOOKUP($C246,武器!$1:$998,COLUMN($O$1),FALSE)*VLOOKUP($D246,素材!$1:$1016,COLUMN($E$1),FALSE)/(LEN(VLOOKUP($D246,素材!$1:$1016,COLUMN($F$1),FALSE)) - LEN(SUBSTITUTE(VLOOKUP($D246,素材!$1:$1016,COLUMN($F$1),FALSE), "・", 0)) + 1), 0)</f>
        <v>0</v>
      </c>
      <c r="AY246">
        <f>IF(ISNUMBER(SEARCH(SUBSTITUTE(AY$1,RIGHT(AY$1,2),""),VLOOKUP($D246,素材!$1:$1016,COLUMN($F$1),FALSE))),VLOOKUP($C246,武器!$1:$998,COLUMN($O$1),FALSE)*VLOOKUP($D246,素材!$1:$1016,COLUMN($E$1),FALSE)/(LEN(VLOOKUP($D246,素材!$1:$1016,COLUMN($F$1),FALSE)) - LEN(SUBSTITUTE(VLOOKUP($D246,素材!$1:$1016,COLUMN($F$1),FALSE), "・", 0)) + 1), 0)</f>
        <v>0</v>
      </c>
      <c r="AZ246">
        <f>IF(ISNUMBER(SEARCH(SUBSTITUTE(AZ$1,RIGHT(AZ$1,2),""),VLOOKUP($D246,素材!$1:$1016,COLUMN($F$1),FALSE))),VLOOKUP($C246,武器!$1:$998,COLUMN($O$1),FALSE)*VLOOKUP($D246,素材!$1:$1016,COLUMN($E$1),FALSE)/(LEN(VLOOKUP($D246,素材!$1:$1016,COLUMN($F$1),FALSE)) - LEN(SUBSTITUTE(VLOOKUP($D246,素材!$1:$1016,COLUMN($F$1),FALSE), "・", 0)) + 1), 0)</f>
        <v>0</v>
      </c>
      <c r="BA246">
        <f>IF(ISNUMBER(SEARCH(SUBSTITUTE(BA$1,RIGHT(BA$1,2),""),VLOOKUP($D246,素材!$1:$1016,COLUMN($F$1),FALSE))),VLOOKUP($C246,武器!$1:$998,COLUMN($O$1),FALSE)*VLOOKUP($D246,素材!$1:$1016,COLUMN($E$1),FALSE)/(LEN(VLOOKUP($D246,素材!$1:$1016,COLUMN($F$1),FALSE)) - LEN(SUBSTITUTE(VLOOKUP($D246,素材!$1:$1016,COLUMN($F$1),FALSE), "・", 0)) + 1), 0)</f>
        <v>0</v>
      </c>
      <c r="BB246">
        <f>IF(ISNUMBER(SEARCH(SUBSTITUTE(BB$1,RIGHT(BB$1,2),""),VLOOKUP($D246,素材!$1:$1016,COLUMN($F$1),FALSE))),VLOOKUP($C246,武器!$1:$998,COLUMN($O$1),FALSE)*VLOOKUP($D246,素材!$1:$1016,COLUMN($E$1),FALSE)/(LEN(VLOOKUP($D246,素材!$1:$1016,COLUMN($F$1),FALSE)) - LEN(SUBSTITUTE(VLOOKUP($D246,素材!$1:$1016,COLUMN($F$1),FALSE), "・", 0)) + 1), 0)</f>
        <v>0</v>
      </c>
      <c r="BC246">
        <f>IF(ISNUMBER(SEARCH(SUBSTITUTE(BC$1,RIGHT(BC$1,2),""),VLOOKUP($D246,素材!$1:$1016,COLUMN($F$1),FALSE))),VLOOKUP($C246,武器!$1:$998,COLUMN($O$1),FALSE)*VLOOKUP($D246,素材!$1:$1016,COLUMN($E$1),FALSE)/(LEN(VLOOKUP($D246,素材!$1:$1016,COLUMN($F$1),FALSE)) - LEN(SUBSTITUTE(VLOOKUP($D246,素材!$1:$1016,COLUMN($F$1),FALSE), "・", 0)) + 1), 0)</f>
        <v>0</v>
      </c>
      <c r="BD246">
        <f>IF(ISNUMBER(SEARCH(SUBSTITUTE(BD$1,RIGHT(BD$1,2),""),VLOOKUP($D246,素材!$1:$1016,COLUMN($F$1),FALSE))),VLOOKUP($C246,武器!$1:$998,COLUMN($O$1),FALSE)*VLOOKUP($D246,素材!$1:$1016,COLUMN($E$1),FALSE)/(LEN(VLOOKUP($D246,素材!$1:$1016,COLUMN($F$1),FALSE)) - LEN(SUBSTITUTE(VLOOKUP($D246,素材!$1:$1016,COLUMN($F$1),FALSE), "・", 0)) + 1), 0)</f>
        <v>0</v>
      </c>
      <c r="BE246">
        <f>IF(ISNUMBER(SEARCH(SUBSTITUTE(BE$1,RIGHT(BE$1,2),""),VLOOKUP($D246,素材!$1:$1016,COLUMN($F$1),FALSE))),VLOOKUP($C246,武器!$1:$998,COLUMN($O$1),FALSE)*VLOOKUP($D246,素材!$1:$1016,COLUMN($E$1),FALSE)/(LEN(VLOOKUP($D246,素材!$1:$1016,COLUMN($F$1),FALSE)) - LEN(SUBSTITUTE(VLOOKUP($D246,素材!$1:$1016,COLUMN($F$1),FALSE), "・", 0)) + 1), 0)</f>
        <v>0</v>
      </c>
      <c r="CL246">
        <f>SUM(G246:I246)</f>
        <v>24</v>
      </c>
      <c r="CM246" s="22" t="str">
        <f>IF(E246="武器",IF(J246-1&gt;SUM(G246:I246),"盾",IF(MAX(G246:I246)=G246,"切断",IF(MAX(G246:I246)=H246,"貫通",IF(MAX(G246:I246)=I246,"打撃","射撃")))),E246)&amp;".webp"</f>
        <v>貫通.webp</v>
      </c>
      <c r="CN246">
        <f>IFERROR(VLOOKUP($C246,武器!$1:$998,COLUMN(V$1),FALSE)*VLOOKUP($D246,素材!$1:$1016,COLUMN(N$1),FALSE)+IF(CI246="",0,VLOOKUP($CI246,装強!$1:$1008,COLUMN($CK$1),FALSE)),"")</f>
        <v>3000</v>
      </c>
      <c r="CO246">
        <f>VLOOKUP(D246,素材!$A:$O,COLUMN(素材!O$1),FALSE)</f>
        <v>0</v>
      </c>
      <c r="CP246" t="str">
        <f>VLOOKUP(C246,武器!$A:$W,COLUMN(武器!W$1),FALSE)</f>
        <v>棘棍。打撃と刺突を兼ね備えた武器。</v>
      </c>
      <c r="CR246" t="str">
        <f t="shared" si="29"/>
        <v>e_246</v>
      </c>
      <c r="CS246">
        <f t="shared" si="30"/>
        <v>300000</v>
      </c>
    </row>
    <row r="247" spans="1:97" outlineLevel="1" x14ac:dyDescent="0.4">
      <c r="A247" t="str">
        <f t="shared" si="31"/>
        <v>熱鉄の鎚</v>
      </c>
      <c r="B247" t="str">
        <f>IFERROR(VLOOKUP($D247,素材!$1:$1016,COLUMN($B$1),FALSE)&amp;"・"&amp;VLOOKUP($C247,武器!$1:$998,COLUMN(B$1),FALSE),"")</f>
        <v>ヒートスティール・ハンマー</v>
      </c>
      <c r="C247" t="s">
        <v>227</v>
      </c>
      <c r="D247" s="24" t="s">
        <v>205</v>
      </c>
      <c r="E247" t="str">
        <f>IFERROR(VLOOKUP(C247,武器!$1:$998,COLUMN(C$1),FALSE),"")</f>
        <v>武器</v>
      </c>
      <c r="F247">
        <f>IFERROR(ROUNDDOWN((VLOOKUP($C247,武器!$1:$998,COLUMN(D$1),FALSE)+IFERROR(VLOOKUP($CI247,装強!$1:$999,COLUMN(F$1),FALSE),0))*VLOOKUP($D247,素材!$1:$1016,COLUMN(D$1),FALSE),0),"")</f>
        <v>110</v>
      </c>
      <c r="G247">
        <f>IFERROR(ROUNDDOWN((VLOOKUP($C247,武器!$1:$998,COLUMN(E$1),FALSE)+IFERROR(VLOOKUP($CI247,装強!$1:$999,COLUMN(G$1),FALSE),0))*VLOOKUP($D247,素材!$1:$1016,COLUMN($E$1),FALSE),0),"")</f>
        <v>0</v>
      </c>
      <c r="H247">
        <f>IFERROR(ROUNDDOWN((VLOOKUP($C247,武器!$1:$998,COLUMN(F$1),FALSE)+IFERROR(VLOOKUP($CI247,装強!$1:$999,COLUMN(H$1),FALSE),0))*VLOOKUP($D247,素材!$1:$1016,COLUMN($E$1),FALSE),0),"")</f>
        <v>0</v>
      </c>
      <c r="I247">
        <f>IFERROR(ROUNDDOWN((VLOOKUP($C247,武器!$1:$998,COLUMN(G$1),FALSE)+IFERROR(VLOOKUP($CI247,装強!$1:$999,COLUMN(I$1),FALSE),0))*VLOOKUP($D247,素材!$1:$1016,COLUMN($E$1),FALSE),0),"")</f>
        <v>22</v>
      </c>
      <c r="J247">
        <f>IFERROR(ROUNDDOWN((VLOOKUP($C247,武器!$1:$998,COLUMN(H$1),FALSE)+IFERROR(VLOOKUP($CI247,装強!$1:$999,COLUMN(J$1),FALSE),0))*VLOOKUP($D247,素材!$1:$1016,COLUMN($E$1),FALSE),0),"")</f>
        <v>19</v>
      </c>
      <c r="K247">
        <f>IFERROR(ROUNDDOWN((VLOOKUP($C247,武器!$1:$998,COLUMN(I$1),FALSE)+IFERROR(VLOOKUP($CI247,装強!$1:$999,COLUMN(K$1),FALSE),0))*VLOOKUP($D247,素材!$1:$1016,COLUMN($E$1),FALSE),0),"")</f>
        <v>0</v>
      </c>
      <c r="L247" t="str">
        <f>IFERROR(VLOOKUP($D247,素材!$1:$1016,COLUMN($F$1),FALSE),"")</f>
        <v>炎</v>
      </c>
      <c r="M247">
        <f>IFERROR(VLOOKUP($C247,武器!$1:$998,COLUMN(AA$1),FALSE)*VLOOKUP($D247,素材!$1:$1016,COLUMN($G$1),FALSE),"")</f>
        <v>38.5</v>
      </c>
      <c r="N247">
        <f>IFERROR(VLOOKUP($C247,武器!$1:$998,COLUMN(I$1),FALSE),"")</f>
        <v>0</v>
      </c>
      <c r="O247" s="23">
        <f>IFERROR((VLOOKUP($C247,武器!$1:$998,COLUMN(K$1),FALSE)+VLOOKUP($D247,素材!$1:$1016,COLUMN(H$1),FALSE))*100+IFERROR(VLOOKUP($CI247,装強!$1:$999,COLUMN(O$1),FALSE),0),"")</f>
        <v>10</v>
      </c>
      <c r="P247" s="23">
        <f>IFERROR((VLOOKUP($C247,武器!$1:$998,COLUMN(L$1),FALSE)+VLOOKUP($D247,素材!$1:$1016,COLUMN(I$1),FALSE))*100+IFERROR(VLOOKUP($CI247,装強!$1:$999,COLUMN(P$1),FALSE),0),"")</f>
        <v>150</v>
      </c>
      <c r="Q247">
        <f>IFERROR(ROUNDUP(VLOOKUP($C247,武器!$1:$998,COLUMN(M$1),FALSE)*(VLOOKUP($D247,素材!$1:$1002,COLUMN(D$1),FALSE)/100),1),"")</f>
        <v>-2.5</v>
      </c>
      <c r="R247">
        <f>IFERROR(ROUNDUP(VLOOKUP($C247,武器!$1:$998,COLUMN(N$1),FALSE)*(VLOOKUP($D247,素材!$1:$1002,COLUMN(D$1),FALSE)/100),1),"")</f>
        <v>0</v>
      </c>
      <c r="S247">
        <f>IFERROR(VLOOKUP($C247,武器!$1:$998,COLUMN(P$1),FALSE),"")</f>
        <v>0</v>
      </c>
      <c r="T247">
        <f>IFERROR(VLOOKUP($C247,武器!$1:$998,COLUMN(Q$1),FALSE),"")</f>
        <v>0</v>
      </c>
      <c r="U247">
        <f>IFERROR(VLOOKUP($C247,武器!$1:$998,COLUMN(R$1),FALSE),"")</f>
        <v>0</v>
      </c>
      <c r="V247">
        <f>IFERROR(VLOOKUP($C247,武器!$1:$998,COLUMN(Q$1),FALSE),"")</f>
        <v>0</v>
      </c>
      <c r="W247" t="str">
        <f>IFERROR(VLOOKUP($C247,武器!$1:$998,COLUMN(T$1),FALSE),"")</f>
        <v>A</v>
      </c>
      <c r="Y247" t="str">
        <f>IFERROR(VLOOKUP($C247,武器!$1:$998,COLUMN(U$1),FALSE),"")</f>
        <v>投擲強化</v>
      </c>
      <c r="Z247">
        <f>IFERROR(ROUNDUP(VLOOKUP($C247,武器!$1:$998,COLUMN(O$1),FALSE)*VLOOKUP($D247,素材!$1:$1016,COLUMN(E$1),FALSE),1),"")</f>
        <v>0</v>
      </c>
      <c r="AA247">
        <f>IF(ISNUMBER(SEARCH(SUBSTITUTE(AA$1,RIGHT(AA$1,2),""),VLOOKUP($D247,素材!$1:$1016,COLUMN($F$1),FALSE))),VLOOKUP($C247,武器!$1:$998,COLUMN($O$1),FALSE)*VLOOKUP($D247,素材!$1:$1016,COLUMN($E$1),FALSE)/(LEN(VLOOKUP($D247,素材!$1:$1016,COLUMN($F$1),FALSE)) - LEN(SUBSTITUTE(VLOOKUP($D247,素材!$1:$1016,COLUMN($F$1),FALSE), "・", 0)) + 1), 0)</f>
        <v>0</v>
      </c>
      <c r="AB247">
        <f>IF(ISNUMBER(SEARCH(SUBSTITUTE(AB$1,RIGHT(AB$1,2),""),VLOOKUP($D247,素材!$1:$1016,COLUMN($F$1),FALSE))),VLOOKUP($C247,武器!$1:$998,COLUMN($O$1),FALSE)*VLOOKUP($D247,素材!$1:$1016,COLUMN($E$1),FALSE)/(LEN(VLOOKUP($D247,素材!$1:$1016,COLUMN($F$1),FALSE)) - LEN(SUBSTITUTE(VLOOKUP($D247,素材!$1:$1016,COLUMN($F$1),FALSE), "・", 0)) + 1), 0)</f>
        <v>0</v>
      </c>
      <c r="AC247">
        <f>IF(ISNUMBER(SEARCH(SUBSTITUTE(AC$1,RIGHT(AC$1,2),""),VLOOKUP($D247,素材!$1:$1016,COLUMN($F$1),FALSE))),VLOOKUP($C247,武器!$1:$998,COLUMN($O$1),FALSE)*VLOOKUP($D247,素材!$1:$1016,COLUMN($E$1),FALSE)/(LEN(VLOOKUP($D247,素材!$1:$1016,COLUMN($F$1),FALSE)) - LEN(SUBSTITUTE(VLOOKUP($D247,素材!$1:$1016,COLUMN($F$1),FALSE), "・", 0)) + 1), 0)</f>
        <v>0</v>
      </c>
      <c r="AD247">
        <f>IF(ISNUMBER(SEARCH(SUBSTITUTE(AD$1,RIGHT(AD$1,2),""),VLOOKUP($D247,素材!$1:$1016,COLUMN($F$1),FALSE))),VLOOKUP($C247,武器!$1:$998,COLUMN($O$1),FALSE)*VLOOKUP($D247,素材!$1:$1016,COLUMN($E$1),FALSE)/(LEN(VLOOKUP($D247,素材!$1:$1016,COLUMN($F$1),FALSE)) - LEN(SUBSTITUTE(VLOOKUP($D247,素材!$1:$1016,COLUMN($F$1),FALSE), "・", 0)) + 1), 0)</f>
        <v>0</v>
      </c>
      <c r="AE247">
        <f>IF(ISNUMBER(SEARCH(SUBSTITUTE(AE$1,RIGHT(AE$1,2),""),VLOOKUP($D247,素材!$1:$1016,COLUMN($F$1),FALSE))),VLOOKUP($C247,武器!$1:$998,COLUMN($O$1),FALSE)*VLOOKUP($D247,素材!$1:$1016,COLUMN($E$1),FALSE)/(LEN(VLOOKUP($D247,素材!$1:$1016,COLUMN($F$1),FALSE)) - LEN(SUBSTITUTE(VLOOKUP($D247,素材!$1:$1016,COLUMN($F$1),FALSE), "・", 0)) + 1), 0)</f>
        <v>0</v>
      </c>
      <c r="AF247">
        <f>IF(ISNUMBER(SEARCH(SUBSTITUTE(AF$1,RIGHT(AF$1,2),""),VLOOKUP($D247,素材!$1:$1016,COLUMN($F$1),FALSE))),VLOOKUP($C247,武器!$1:$998,COLUMN($O$1),FALSE)*VLOOKUP($D247,素材!$1:$1016,COLUMN($E$1),FALSE)/(LEN(VLOOKUP($D247,素材!$1:$1016,COLUMN($F$1),FALSE)) - LEN(SUBSTITUTE(VLOOKUP($D247,素材!$1:$1016,COLUMN($F$1),FALSE), "・", 0)) + 1), 0)</f>
        <v>0</v>
      </c>
      <c r="AG247">
        <f>IF(ISNUMBER(SEARCH(SUBSTITUTE(AG$1,RIGHT(AG$1,2),""),VLOOKUP($D247,素材!$1:$1016,COLUMN($F$1),FALSE))),VLOOKUP($C247,武器!$1:$998,COLUMN($O$1),FALSE)*VLOOKUP($D247,素材!$1:$1016,COLUMN($E$1),FALSE)/(LEN(VLOOKUP($D247,素材!$1:$1016,COLUMN($F$1),FALSE)) - LEN(SUBSTITUTE(VLOOKUP($D247,素材!$1:$1016,COLUMN($F$1),FALSE), "・", 0)) + 1), 0)</f>
        <v>0</v>
      </c>
      <c r="AH247">
        <f>IF(ISNUMBER(SEARCH(SUBSTITUTE(AH$1,RIGHT(AH$1,2),""),VLOOKUP($D247,素材!$1:$1016,COLUMN($F$1),FALSE))),VLOOKUP($C247,武器!$1:$998,COLUMN($O$1),FALSE)*VLOOKUP($D247,素材!$1:$1016,COLUMN($E$1),FALSE)/(LEN(VLOOKUP($D247,素材!$1:$1016,COLUMN($F$1),FALSE)) - LEN(SUBSTITUTE(VLOOKUP($D247,素材!$1:$1016,COLUMN($F$1),FALSE), "・", 0)) + 1), 0)</f>
        <v>0</v>
      </c>
      <c r="AI247">
        <f>IF(ISNUMBER(SEARCH(SUBSTITUTE(AI$1,RIGHT(AI$1,2),""),VLOOKUP($D247,素材!$1:$1016,COLUMN($F$1),FALSE))),VLOOKUP($C247,武器!$1:$998,COLUMN($O$1),FALSE)*VLOOKUP($D247,素材!$1:$1016,COLUMN($E$1),FALSE)/(LEN(VLOOKUP($D247,素材!$1:$1016,COLUMN($F$1),FALSE)) - LEN(SUBSTITUTE(VLOOKUP($D247,素材!$1:$1016,COLUMN($F$1),FALSE), "・", 0)) + 1), 0)</f>
        <v>0</v>
      </c>
      <c r="AJ247">
        <f>IF(ISNUMBER(SEARCH(SUBSTITUTE(AJ$1,RIGHT(AJ$1,2),""),VLOOKUP($D247,素材!$1:$1016,COLUMN($F$1),FALSE))),VLOOKUP($C247,武器!$1:$998,COLUMN($O$1),FALSE)*VLOOKUP($D247,素材!$1:$1016,COLUMN($E$1),FALSE)/(LEN(VLOOKUP($D247,素材!$1:$1016,COLUMN($F$1),FALSE)) - LEN(SUBSTITUTE(VLOOKUP($D247,素材!$1:$1016,COLUMN($F$1),FALSE), "・", 0)) + 1), 0)</f>
        <v>0</v>
      </c>
      <c r="AK247">
        <f>IF(ISNUMBER(SEARCH(SUBSTITUTE(AK$1,RIGHT(AK$1,2),""),VLOOKUP($D247,素材!$1:$1016,COLUMN($F$1),FALSE))),VLOOKUP($C247,武器!$1:$998,COLUMN($O$1),FALSE)*VLOOKUP($D247,素材!$1:$1016,COLUMN($E$1),FALSE)/(LEN(VLOOKUP($D247,素材!$1:$1016,COLUMN($F$1),FALSE)) - LEN(SUBSTITUTE(VLOOKUP($D247,素材!$1:$1016,COLUMN($F$1),FALSE), "・", 0)) + 1), 0)</f>
        <v>0</v>
      </c>
      <c r="AL247">
        <f>IF(ISNUMBER(SEARCH(SUBSTITUTE(AL$1,RIGHT(AL$1,2),""),VLOOKUP($D247,素材!$1:$1016,COLUMN($F$1),FALSE))),VLOOKUP($C247,武器!$1:$998,COLUMN($O$1),FALSE)*VLOOKUP($D247,素材!$1:$1016,COLUMN($E$1),FALSE)/(LEN(VLOOKUP($D247,素材!$1:$1016,COLUMN($F$1),FALSE)) - LEN(SUBSTITUTE(VLOOKUP($D247,素材!$1:$1016,COLUMN($F$1),FALSE), "・", 0)) + 1), 0)</f>
        <v>0</v>
      </c>
      <c r="AM247">
        <f>IF(ISNUMBER(SEARCH(SUBSTITUTE(AM$1,RIGHT(AM$1,2),""),VLOOKUP($D247,素材!$1:$1016,COLUMN($F$1),FALSE))),VLOOKUP($C247,武器!$1:$998,COLUMN($O$1),FALSE)*VLOOKUP($D247,素材!$1:$1016,COLUMN($E$1),FALSE)/(LEN(VLOOKUP($D247,素材!$1:$1016,COLUMN($F$1),FALSE)) - LEN(SUBSTITUTE(VLOOKUP($D247,素材!$1:$1016,COLUMN($F$1),FALSE), "・", 0)) + 1), 0)</f>
        <v>0</v>
      </c>
      <c r="AN247">
        <f>IF(ISNUMBER(SEARCH(SUBSTITUTE(AN$1,RIGHT(AN$1,2),""),VLOOKUP($D247,素材!$1:$1016,COLUMN($F$1),FALSE))),VLOOKUP($C247,武器!$1:$998,COLUMN($O$1),FALSE)*VLOOKUP($D247,素材!$1:$1016,COLUMN($E$1),FALSE)/(LEN(VLOOKUP($D247,素材!$1:$1016,COLUMN($F$1),FALSE)) - LEN(SUBSTITUTE(VLOOKUP($D247,素材!$1:$1016,COLUMN($F$1),FALSE), "・", 0)) + 1), 0)</f>
        <v>0</v>
      </c>
      <c r="AO247">
        <f>IF(ISNUMBER(SEARCH(SUBSTITUTE(AO$1,RIGHT(AO$1,2),""),VLOOKUP($D247,素材!$1:$1016,COLUMN($F$1),FALSE))),VLOOKUP($C247,武器!$1:$998,COLUMN($O$1),FALSE)*VLOOKUP($D247,素材!$1:$1016,COLUMN($E$1),FALSE)/(LEN(VLOOKUP($D247,素材!$1:$1016,COLUMN($F$1),FALSE)) - LEN(SUBSTITUTE(VLOOKUP($D247,素材!$1:$1016,COLUMN($F$1),FALSE), "・", 0)) + 1), 0)</f>
        <v>0</v>
      </c>
      <c r="AP247">
        <f>IF(ISNUMBER(SEARCH(SUBSTITUTE(AP$1,RIGHT(AP$1,2),""),VLOOKUP($D247,素材!$1:$1016,COLUMN($F$1),FALSE))),VLOOKUP($C247,武器!$1:$998,COLUMN($O$1),FALSE)*VLOOKUP($D247,素材!$1:$1016,COLUMN($E$1),FALSE)/(LEN(VLOOKUP($D247,素材!$1:$1016,COLUMN($F$1),FALSE)) - LEN(SUBSTITUTE(VLOOKUP($D247,素材!$1:$1016,COLUMN($F$1),FALSE), "・", 0)) + 1), 0)</f>
        <v>0</v>
      </c>
      <c r="AQ247">
        <f>IF(ISNUMBER(SEARCH(SUBSTITUTE(AQ$1,RIGHT(AQ$1,2),""),VLOOKUP($D247,素材!$1:$1016,COLUMN($F$1),FALSE))),VLOOKUP($C247,武器!$1:$998,COLUMN($O$1),FALSE)*VLOOKUP($D247,素材!$1:$1016,COLUMN($E$1),FALSE)/(LEN(VLOOKUP($D247,素材!$1:$1016,COLUMN($F$1),FALSE)) - LEN(SUBSTITUTE(VLOOKUP($D247,素材!$1:$1016,COLUMN($F$1),FALSE), "・", 0)) + 1), 0)</f>
        <v>0</v>
      </c>
      <c r="AR247">
        <f>IF(ISNUMBER(SEARCH(SUBSTITUTE(AR$1,RIGHT(AR$1,2),""),VLOOKUP($D247,素材!$1:$1016,COLUMN($F$1),FALSE))),VLOOKUP($C247,武器!$1:$998,COLUMN($O$1),FALSE)*VLOOKUP($D247,素材!$1:$1016,COLUMN($E$1),FALSE)/(LEN(VLOOKUP($D247,素材!$1:$1016,COLUMN($F$1),FALSE)) - LEN(SUBSTITUTE(VLOOKUP($D247,素材!$1:$1016,COLUMN($F$1),FALSE), "・", 0)) + 1), 0)</f>
        <v>0</v>
      </c>
      <c r="AS247">
        <f>IF(ISNUMBER(SEARCH(SUBSTITUTE(AS$1,RIGHT(AS$1,2),""),VLOOKUP($D247,素材!$1:$1016,COLUMN($F$1),FALSE))),VLOOKUP($C247,武器!$1:$998,COLUMN($O$1),FALSE)*VLOOKUP($D247,素材!$1:$1016,COLUMN($E$1),FALSE)/(LEN(VLOOKUP($D247,素材!$1:$1016,COLUMN($F$1),FALSE)) - LEN(SUBSTITUTE(VLOOKUP($D247,素材!$1:$1016,COLUMN($F$1),FALSE), "・", 0)) + 1), 0)</f>
        <v>0</v>
      </c>
      <c r="AT247">
        <f>IF(ISNUMBER(SEARCH(SUBSTITUTE(AT$1,RIGHT(AT$1,2),""),VLOOKUP($D247,素材!$1:$1016,COLUMN($F$1),FALSE))),VLOOKUP($C247,武器!$1:$998,COLUMN($O$1),FALSE)*VLOOKUP($D247,素材!$1:$1016,COLUMN($E$1),FALSE)/(LEN(VLOOKUP($D247,素材!$1:$1016,COLUMN($F$1),FALSE)) - LEN(SUBSTITUTE(VLOOKUP($D247,素材!$1:$1016,COLUMN($F$1),FALSE), "・", 0)) + 1), 0)</f>
        <v>0</v>
      </c>
      <c r="AU247">
        <f>IF(ISNUMBER(SEARCH(SUBSTITUTE(AU$1,RIGHT(AU$1,2),""),VLOOKUP($D247,素材!$1:$1016,COLUMN($F$1),FALSE))),VLOOKUP($C247,武器!$1:$998,COLUMN($O$1),FALSE)*VLOOKUP($D247,素材!$1:$1016,COLUMN($E$1),FALSE)/(LEN(VLOOKUP($D247,素材!$1:$1016,COLUMN($F$1),FALSE)) - LEN(SUBSTITUTE(VLOOKUP($D247,素材!$1:$1016,COLUMN($F$1),FALSE), "・", 0)) + 1), 0)</f>
        <v>0</v>
      </c>
      <c r="AV247">
        <f>IF(ISNUMBER(SEARCH(SUBSTITUTE(AV$1,RIGHT(AV$1,2),""),VLOOKUP($D247,素材!$1:$1016,COLUMN($F$1),FALSE))),VLOOKUP($C247,武器!$1:$998,COLUMN($O$1),FALSE)*VLOOKUP($D247,素材!$1:$1016,COLUMN($E$1),FALSE)/(LEN(VLOOKUP($D247,素材!$1:$1016,COLUMN($F$1),FALSE)) - LEN(SUBSTITUTE(VLOOKUP($D247,素材!$1:$1016,COLUMN($F$1),FALSE), "・", 0)) + 1), 0)</f>
        <v>0</v>
      </c>
      <c r="AW247">
        <f>IF(ISNUMBER(SEARCH(SUBSTITUTE(AW$1,RIGHT(AW$1,2),""),VLOOKUP($D247,素材!$1:$1016,COLUMN($F$1),FALSE))),VLOOKUP($C247,武器!$1:$998,COLUMN($O$1),FALSE)*VLOOKUP($D247,素材!$1:$1016,COLUMN($E$1),FALSE)/(LEN(VLOOKUP($D247,素材!$1:$1016,COLUMN($F$1),FALSE)) - LEN(SUBSTITUTE(VLOOKUP($D247,素材!$1:$1016,COLUMN($F$1),FALSE), "・", 0)) + 1), 0)</f>
        <v>0</v>
      </c>
      <c r="AX247">
        <f>IF(ISNUMBER(SEARCH(SUBSTITUTE(AX$1,RIGHT(AX$1,2),""),VLOOKUP($D247,素材!$1:$1016,COLUMN($F$1),FALSE))),VLOOKUP($C247,武器!$1:$998,COLUMN($O$1),FALSE)*VLOOKUP($D247,素材!$1:$1016,COLUMN($E$1),FALSE)/(LEN(VLOOKUP($D247,素材!$1:$1016,COLUMN($F$1),FALSE)) - LEN(SUBSTITUTE(VLOOKUP($D247,素材!$1:$1016,COLUMN($F$1),FALSE), "・", 0)) + 1), 0)</f>
        <v>0</v>
      </c>
      <c r="AY247">
        <f>IF(ISNUMBER(SEARCH(SUBSTITUTE(AY$1,RIGHT(AY$1,2),""),VLOOKUP($D247,素材!$1:$1016,COLUMN($F$1),FALSE))),VLOOKUP($C247,武器!$1:$998,COLUMN($O$1),FALSE)*VLOOKUP($D247,素材!$1:$1016,COLUMN($E$1),FALSE)/(LEN(VLOOKUP($D247,素材!$1:$1016,COLUMN($F$1),FALSE)) - LEN(SUBSTITUTE(VLOOKUP($D247,素材!$1:$1016,COLUMN($F$1),FALSE), "・", 0)) + 1), 0)</f>
        <v>0</v>
      </c>
      <c r="AZ247">
        <f>IF(ISNUMBER(SEARCH(SUBSTITUTE(AZ$1,RIGHT(AZ$1,2),""),VLOOKUP($D247,素材!$1:$1016,COLUMN($F$1),FALSE))),VLOOKUP($C247,武器!$1:$998,COLUMN($O$1),FALSE)*VLOOKUP($D247,素材!$1:$1016,COLUMN($E$1),FALSE)/(LEN(VLOOKUP($D247,素材!$1:$1016,COLUMN($F$1),FALSE)) - LEN(SUBSTITUTE(VLOOKUP($D247,素材!$1:$1016,COLUMN($F$1),FALSE), "・", 0)) + 1), 0)</f>
        <v>0</v>
      </c>
      <c r="BA247">
        <f>IF(ISNUMBER(SEARCH(SUBSTITUTE(BA$1,RIGHT(BA$1,2),""),VLOOKUP($D247,素材!$1:$1016,COLUMN($F$1),FALSE))),VLOOKUP($C247,武器!$1:$998,COLUMN($O$1),FALSE)*VLOOKUP($D247,素材!$1:$1016,COLUMN($E$1),FALSE)/(LEN(VLOOKUP($D247,素材!$1:$1016,COLUMN($F$1),FALSE)) - LEN(SUBSTITUTE(VLOOKUP($D247,素材!$1:$1016,COLUMN($F$1),FALSE), "・", 0)) + 1), 0)</f>
        <v>0</v>
      </c>
      <c r="BB247">
        <f>IF(ISNUMBER(SEARCH(SUBSTITUTE(BB$1,RIGHT(BB$1,2),""),VLOOKUP($D247,素材!$1:$1016,COLUMN($F$1),FALSE))),VLOOKUP($C247,武器!$1:$998,COLUMN($O$1),FALSE)*VLOOKUP($D247,素材!$1:$1016,COLUMN($E$1),FALSE)/(LEN(VLOOKUP($D247,素材!$1:$1016,COLUMN($F$1),FALSE)) - LEN(SUBSTITUTE(VLOOKUP($D247,素材!$1:$1016,COLUMN($F$1),FALSE), "・", 0)) + 1), 0)</f>
        <v>0</v>
      </c>
      <c r="BC247">
        <f>IF(ISNUMBER(SEARCH(SUBSTITUTE(BC$1,RIGHT(BC$1,2),""),VLOOKUP($D247,素材!$1:$1016,COLUMN($F$1),FALSE))),VLOOKUP($C247,武器!$1:$998,COLUMN($O$1),FALSE)*VLOOKUP($D247,素材!$1:$1016,COLUMN($E$1),FALSE)/(LEN(VLOOKUP($D247,素材!$1:$1016,COLUMN($F$1),FALSE)) - LEN(SUBSTITUTE(VLOOKUP($D247,素材!$1:$1016,COLUMN($F$1),FALSE), "・", 0)) + 1), 0)</f>
        <v>0</v>
      </c>
      <c r="BD247">
        <f>IF(ISNUMBER(SEARCH(SUBSTITUTE(BD$1,RIGHT(BD$1,2),""),VLOOKUP($D247,素材!$1:$1016,COLUMN($F$1),FALSE))),VLOOKUP($C247,武器!$1:$998,COLUMN($O$1),FALSE)*VLOOKUP($D247,素材!$1:$1016,COLUMN($E$1),FALSE)/(LEN(VLOOKUP($D247,素材!$1:$1016,COLUMN($F$1),FALSE)) - LEN(SUBSTITUTE(VLOOKUP($D247,素材!$1:$1016,COLUMN($F$1),FALSE), "・", 0)) + 1), 0)</f>
        <v>0</v>
      </c>
      <c r="BE247">
        <f>IF(ISNUMBER(SEARCH(SUBSTITUTE(BE$1,RIGHT(BE$1,2),""),VLOOKUP($D247,素材!$1:$1016,COLUMN($F$1),FALSE))),VLOOKUP($C247,武器!$1:$998,COLUMN($O$1),FALSE)*VLOOKUP($D247,素材!$1:$1016,COLUMN($E$1),FALSE)/(LEN(VLOOKUP($D247,素材!$1:$1016,COLUMN($F$1),FALSE)) - LEN(SUBSTITUTE(VLOOKUP($D247,素材!$1:$1016,COLUMN($F$1),FALSE), "・", 0)) + 1), 0)</f>
        <v>0</v>
      </c>
      <c r="CL247">
        <f>SUM(G247:I247)</f>
        <v>22</v>
      </c>
      <c r="CM247" s="22" t="str">
        <f>IF(E247="武器",IF(J247-1&gt;SUM(G247:I247),"盾",IF(MAX(G247:I247)=G247,"切断",IF(MAX(G247:I247)=H247,"貫通",IF(MAX(G247:I247)=I247,"打撃","射撃")))),E247)&amp;".webp"</f>
        <v>打撃.webp</v>
      </c>
      <c r="CN247">
        <f>IFERROR(VLOOKUP($C247,武器!$1:$998,COLUMN(V$1),FALSE)*VLOOKUP($D247,素材!$1:$1016,COLUMN(N$1),FALSE)+IF(CI247="",0,VLOOKUP($CI247,装強!$1:$1008,COLUMN($CK$1),FALSE)),"")</f>
        <v>3000</v>
      </c>
      <c r="CO247">
        <f>VLOOKUP(D247,素材!$A:$O,COLUMN(素材!O$1),FALSE)</f>
        <v>0</v>
      </c>
      <c r="CP247" t="str">
        <f>VLOOKUP(C247,武器!$A:$W,COLUMN(武器!W$1),FALSE)</f>
        <v>鎚。打撃力に優れ、投擲にも対応。</v>
      </c>
      <c r="CR247" t="str">
        <f t="shared" si="29"/>
        <v>e_247</v>
      </c>
      <c r="CS247">
        <f t="shared" si="30"/>
        <v>300000</v>
      </c>
    </row>
    <row r="248" spans="1:97" outlineLevel="1" x14ac:dyDescent="0.4">
      <c r="A248" t="str">
        <f t="shared" si="31"/>
        <v>熱鉄の戦鎚</v>
      </c>
      <c r="B248" t="str">
        <f>IFERROR(VLOOKUP($D248,素材!$1:$1016,COLUMN($B$1),FALSE)&amp;"・"&amp;VLOOKUP($C248,武器!$1:$998,COLUMN(B$1),FALSE),"")</f>
        <v>ヒートスティール・ウォーハンマー</v>
      </c>
      <c r="C248" t="s">
        <v>226</v>
      </c>
      <c r="D248" s="24" t="s">
        <v>205</v>
      </c>
      <c r="E248" t="str">
        <f>IFERROR(VLOOKUP(C248,武器!$1:$998,COLUMN(C$1),FALSE),"")</f>
        <v>武器</v>
      </c>
      <c r="F248">
        <f>IFERROR(ROUNDDOWN((VLOOKUP($C248,武器!$1:$998,COLUMN(D$1),FALSE)+IFERROR(VLOOKUP($CI248,装強!$1:$999,COLUMN(F$1),FALSE),0))*VLOOKUP($D248,素材!$1:$1016,COLUMN(D$1),FALSE),0),"")</f>
        <v>125</v>
      </c>
      <c r="G248">
        <f>IFERROR(ROUNDDOWN((VLOOKUP($C248,武器!$1:$998,COLUMN(E$1),FALSE)+IFERROR(VLOOKUP($CI248,装強!$1:$999,COLUMN(G$1),FALSE),0))*VLOOKUP($D248,素材!$1:$1016,COLUMN($E$1),FALSE),0),"")</f>
        <v>0</v>
      </c>
      <c r="H248">
        <f>IFERROR(ROUNDDOWN((VLOOKUP($C248,武器!$1:$998,COLUMN(F$1),FALSE)+IFERROR(VLOOKUP($CI248,装強!$1:$999,COLUMN(H$1),FALSE),0))*VLOOKUP($D248,素材!$1:$1016,COLUMN($E$1),FALSE),0),"")</f>
        <v>0</v>
      </c>
      <c r="I248">
        <f>IFERROR(ROUNDDOWN((VLOOKUP($C248,武器!$1:$998,COLUMN(G$1),FALSE)+IFERROR(VLOOKUP($CI248,装強!$1:$999,COLUMN(I$1),FALSE),0))*VLOOKUP($D248,素材!$1:$1016,COLUMN($E$1),FALSE),0),"")</f>
        <v>24</v>
      </c>
      <c r="J248">
        <f>IFERROR(ROUNDDOWN((VLOOKUP($C248,武器!$1:$998,COLUMN(H$1),FALSE)+IFERROR(VLOOKUP($CI248,装強!$1:$999,COLUMN(J$1),FALSE),0))*VLOOKUP($D248,素材!$1:$1016,COLUMN($E$1),FALSE),0),"")</f>
        <v>21</v>
      </c>
      <c r="K248">
        <f>IFERROR(ROUNDDOWN((VLOOKUP($C248,武器!$1:$998,COLUMN(I$1),FALSE)+IFERROR(VLOOKUP($CI248,装強!$1:$999,COLUMN(K$1),FALSE),0))*VLOOKUP($D248,素材!$1:$1016,COLUMN($E$1),FALSE),0),"")</f>
        <v>0</v>
      </c>
      <c r="L248" t="str">
        <f>IFERROR(VLOOKUP($D248,素材!$1:$1016,COLUMN($F$1),FALSE),"")</f>
        <v>炎</v>
      </c>
      <c r="M248">
        <f>IFERROR(VLOOKUP($C248,武器!$1:$998,COLUMN(AA$1),FALSE)*VLOOKUP($D248,素材!$1:$1016,COLUMN($G$1),FALSE),"")</f>
        <v>42</v>
      </c>
      <c r="N248">
        <f>IFERROR(VLOOKUP($C248,武器!$1:$998,COLUMN(I$1),FALSE),"")</f>
        <v>0</v>
      </c>
      <c r="O248" s="23">
        <f>IFERROR((VLOOKUP($C248,武器!$1:$998,COLUMN(K$1),FALSE)+VLOOKUP($D248,素材!$1:$1016,COLUMN(H$1),FALSE))*100+IFERROR(VLOOKUP($CI248,装強!$1:$999,COLUMN(O$1),FALSE),0),"")</f>
        <v>10</v>
      </c>
      <c r="P248" s="23">
        <f>IFERROR((VLOOKUP($C248,武器!$1:$998,COLUMN(L$1),FALSE)+VLOOKUP($D248,素材!$1:$1016,COLUMN(I$1),FALSE))*100+IFERROR(VLOOKUP($CI248,装強!$1:$999,COLUMN(P$1),FALSE),0),"")</f>
        <v>150</v>
      </c>
      <c r="Q248">
        <f>IFERROR(ROUNDUP(VLOOKUP($C248,武器!$1:$998,COLUMN(M$1),FALSE)*(VLOOKUP($D248,素材!$1:$1002,COLUMN(D$1),FALSE)/100),1),"")</f>
        <v>-5</v>
      </c>
      <c r="R248">
        <f>IFERROR(ROUNDUP(VLOOKUP($C248,武器!$1:$998,COLUMN(N$1),FALSE)*(VLOOKUP($D248,素材!$1:$1002,COLUMN(D$1),FALSE)/100),1),"")</f>
        <v>-5</v>
      </c>
      <c r="S248">
        <f>IFERROR(VLOOKUP($C248,武器!$1:$998,COLUMN(P$1),FALSE),"")</f>
        <v>0</v>
      </c>
      <c r="T248">
        <f>IFERROR(VLOOKUP($C248,武器!$1:$998,COLUMN(Q$1),FALSE),"")</f>
        <v>0</v>
      </c>
      <c r="U248">
        <f>IFERROR(VLOOKUP($C248,武器!$1:$998,COLUMN(R$1),FALSE),"")</f>
        <v>0</v>
      </c>
      <c r="V248">
        <f>IFERROR(VLOOKUP($C248,武器!$1:$998,COLUMN(Q$1),FALSE),"")</f>
        <v>0</v>
      </c>
      <c r="W248" t="str">
        <f>IFERROR(VLOOKUP($C248,武器!$1:$998,COLUMN(T$1),FALSE),"")</f>
        <v>A</v>
      </c>
      <c r="Y248">
        <f>IFERROR(VLOOKUP($C248,武器!$1:$998,COLUMN(U$1),FALSE),"")</f>
        <v>0</v>
      </c>
      <c r="Z248">
        <f>IFERROR(ROUNDUP(VLOOKUP($C248,武器!$1:$998,COLUMN(O$1),FALSE)*VLOOKUP($D248,素材!$1:$1016,COLUMN(E$1),FALSE),1),"")</f>
        <v>0</v>
      </c>
      <c r="AA248">
        <f>IF(ISNUMBER(SEARCH(SUBSTITUTE(AA$1,RIGHT(AA$1,2),""),VLOOKUP($D248,素材!$1:$1016,COLUMN($F$1),FALSE))),VLOOKUP($C248,武器!$1:$998,COLUMN($O$1),FALSE)*VLOOKUP($D248,素材!$1:$1016,COLUMN($E$1),FALSE)/(LEN(VLOOKUP($D248,素材!$1:$1016,COLUMN($F$1),FALSE)) - LEN(SUBSTITUTE(VLOOKUP($D248,素材!$1:$1016,COLUMN($F$1),FALSE), "・", 0)) + 1), 0)</f>
        <v>0</v>
      </c>
      <c r="AB248">
        <f>IF(ISNUMBER(SEARCH(SUBSTITUTE(AB$1,RIGHT(AB$1,2),""),VLOOKUP($D248,素材!$1:$1016,COLUMN($F$1),FALSE))),VLOOKUP($C248,武器!$1:$998,COLUMN($O$1),FALSE)*VLOOKUP($D248,素材!$1:$1016,COLUMN($E$1),FALSE)/(LEN(VLOOKUP($D248,素材!$1:$1016,COLUMN($F$1),FALSE)) - LEN(SUBSTITUTE(VLOOKUP($D248,素材!$1:$1016,COLUMN($F$1),FALSE), "・", 0)) + 1), 0)</f>
        <v>0</v>
      </c>
      <c r="AC248">
        <f>IF(ISNUMBER(SEARCH(SUBSTITUTE(AC$1,RIGHT(AC$1,2),""),VLOOKUP($D248,素材!$1:$1016,COLUMN($F$1),FALSE))),VLOOKUP($C248,武器!$1:$998,COLUMN($O$1),FALSE)*VLOOKUP($D248,素材!$1:$1016,COLUMN($E$1),FALSE)/(LEN(VLOOKUP($D248,素材!$1:$1016,COLUMN($F$1),FALSE)) - LEN(SUBSTITUTE(VLOOKUP($D248,素材!$1:$1016,COLUMN($F$1),FALSE), "・", 0)) + 1), 0)</f>
        <v>0</v>
      </c>
      <c r="AD248">
        <f>IF(ISNUMBER(SEARCH(SUBSTITUTE(AD$1,RIGHT(AD$1,2),""),VLOOKUP($D248,素材!$1:$1016,COLUMN($F$1),FALSE))),VLOOKUP($C248,武器!$1:$998,COLUMN($O$1),FALSE)*VLOOKUP($D248,素材!$1:$1016,COLUMN($E$1),FALSE)/(LEN(VLOOKUP($D248,素材!$1:$1016,COLUMN($F$1),FALSE)) - LEN(SUBSTITUTE(VLOOKUP($D248,素材!$1:$1016,COLUMN($F$1),FALSE), "・", 0)) + 1), 0)</f>
        <v>0</v>
      </c>
      <c r="AE248">
        <f>IF(ISNUMBER(SEARCH(SUBSTITUTE(AE$1,RIGHT(AE$1,2),""),VLOOKUP($D248,素材!$1:$1016,COLUMN($F$1),FALSE))),VLOOKUP($C248,武器!$1:$998,COLUMN($O$1),FALSE)*VLOOKUP($D248,素材!$1:$1016,COLUMN($E$1),FALSE)/(LEN(VLOOKUP($D248,素材!$1:$1016,COLUMN($F$1),FALSE)) - LEN(SUBSTITUTE(VLOOKUP($D248,素材!$1:$1016,COLUMN($F$1),FALSE), "・", 0)) + 1), 0)</f>
        <v>0</v>
      </c>
      <c r="AF248">
        <f>IF(ISNUMBER(SEARCH(SUBSTITUTE(AF$1,RIGHT(AF$1,2),""),VLOOKUP($D248,素材!$1:$1016,COLUMN($F$1),FALSE))),VLOOKUP($C248,武器!$1:$998,COLUMN($O$1),FALSE)*VLOOKUP($D248,素材!$1:$1016,COLUMN($E$1),FALSE)/(LEN(VLOOKUP($D248,素材!$1:$1016,COLUMN($F$1),FALSE)) - LEN(SUBSTITUTE(VLOOKUP($D248,素材!$1:$1016,COLUMN($F$1),FALSE), "・", 0)) + 1), 0)</f>
        <v>0</v>
      </c>
      <c r="AG248">
        <f>IF(ISNUMBER(SEARCH(SUBSTITUTE(AG$1,RIGHT(AG$1,2),""),VLOOKUP($D248,素材!$1:$1016,COLUMN($F$1),FALSE))),VLOOKUP($C248,武器!$1:$998,COLUMN($O$1),FALSE)*VLOOKUP($D248,素材!$1:$1016,COLUMN($E$1),FALSE)/(LEN(VLOOKUP($D248,素材!$1:$1016,COLUMN($F$1),FALSE)) - LEN(SUBSTITUTE(VLOOKUP($D248,素材!$1:$1016,COLUMN($F$1),FALSE), "・", 0)) + 1), 0)</f>
        <v>0</v>
      </c>
      <c r="AH248">
        <f>IF(ISNUMBER(SEARCH(SUBSTITUTE(AH$1,RIGHT(AH$1,2),""),VLOOKUP($D248,素材!$1:$1016,COLUMN($F$1),FALSE))),VLOOKUP($C248,武器!$1:$998,COLUMN($O$1),FALSE)*VLOOKUP($D248,素材!$1:$1016,COLUMN($E$1),FALSE)/(LEN(VLOOKUP($D248,素材!$1:$1016,COLUMN($F$1),FALSE)) - LEN(SUBSTITUTE(VLOOKUP($D248,素材!$1:$1016,COLUMN($F$1),FALSE), "・", 0)) + 1), 0)</f>
        <v>0</v>
      </c>
      <c r="AI248">
        <f>IF(ISNUMBER(SEARCH(SUBSTITUTE(AI$1,RIGHT(AI$1,2),""),VLOOKUP($D248,素材!$1:$1016,COLUMN($F$1),FALSE))),VLOOKUP($C248,武器!$1:$998,COLUMN($O$1),FALSE)*VLOOKUP($D248,素材!$1:$1016,COLUMN($E$1),FALSE)/(LEN(VLOOKUP($D248,素材!$1:$1016,COLUMN($F$1),FALSE)) - LEN(SUBSTITUTE(VLOOKUP($D248,素材!$1:$1016,COLUMN($F$1),FALSE), "・", 0)) + 1), 0)</f>
        <v>0</v>
      </c>
      <c r="AJ248">
        <f>IF(ISNUMBER(SEARCH(SUBSTITUTE(AJ$1,RIGHT(AJ$1,2),""),VLOOKUP($D248,素材!$1:$1016,COLUMN($F$1),FALSE))),VLOOKUP($C248,武器!$1:$998,COLUMN($O$1),FALSE)*VLOOKUP($D248,素材!$1:$1016,COLUMN($E$1),FALSE)/(LEN(VLOOKUP($D248,素材!$1:$1016,COLUMN($F$1),FALSE)) - LEN(SUBSTITUTE(VLOOKUP($D248,素材!$1:$1016,COLUMN($F$1),FALSE), "・", 0)) + 1), 0)</f>
        <v>0</v>
      </c>
      <c r="AK248">
        <f>IF(ISNUMBER(SEARCH(SUBSTITUTE(AK$1,RIGHT(AK$1,2),""),VLOOKUP($D248,素材!$1:$1016,COLUMN($F$1),FALSE))),VLOOKUP($C248,武器!$1:$998,COLUMN($O$1),FALSE)*VLOOKUP($D248,素材!$1:$1016,COLUMN($E$1),FALSE)/(LEN(VLOOKUP($D248,素材!$1:$1016,COLUMN($F$1),FALSE)) - LEN(SUBSTITUTE(VLOOKUP($D248,素材!$1:$1016,COLUMN($F$1),FALSE), "・", 0)) + 1), 0)</f>
        <v>0</v>
      </c>
      <c r="AL248">
        <f>IF(ISNUMBER(SEARCH(SUBSTITUTE(AL$1,RIGHT(AL$1,2),""),VLOOKUP($D248,素材!$1:$1016,COLUMN($F$1),FALSE))),VLOOKUP($C248,武器!$1:$998,COLUMN($O$1),FALSE)*VLOOKUP($D248,素材!$1:$1016,COLUMN($E$1),FALSE)/(LEN(VLOOKUP($D248,素材!$1:$1016,COLUMN($F$1),FALSE)) - LEN(SUBSTITUTE(VLOOKUP($D248,素材!$1:$1016,COLUMN($F$1),FALSE), "・", 0)) + 1), 0)</f>
        <v>0</v>
      </c>
      <c r="AM248">
        <f>IF(ISNUMBER(SEARCH(SUBSTITUTE(AM$1,RIGHT(AM$1,2),""),VLOOKUP($D248,素材!$1:$1016,COLUMN($F$1),FALSE))),VLOOKUP($C248,武器!$1:$998,COLUMN($O$1),FALSE)*VLOOKUP($D248,素材!$1:$1016,COLUMN($E$1),FALSE)/(LEN(VLOOKUP($D248,素材!$1:$1016,COLUMN($F$1),FALSE)) - LEN(SUBSTITUTE(VLOOKUP($D248,素材!$1:$1016,COLUMN($F$1),FALSE), "・", 0)) + 1), 0)</f>
        <v>0</v>
      </c>
      <c r="AN248">
        <f>IF(ISNUMBER(SEARCH(SUBSTITUTE(AN$1,RIGHT(AN$1,2),""),VLOOKUP($D248,素材!$1:$1016,COLUMN($F$1),FALSE))),VLOOKUP($C248,武器!$1:$998,COLUMN($O$1),FALSE)*VLOOKUP($D248,素材!$1:$1016,COLUMN($E$1),FALSE)/(LEN(VLOOKUP($D248,素材!$1:$1016,COLUMN($F$1),FALSE)) - LEN(SUBSTITUTE(VLOOKUP($D248,素材!$1:$1016,COLUMN($F$1),FALSE), "・", 0)) + 1), 0)</f>
        <v>0</v>
      </c>
      <c r="AO248">
        <f>IF(ISNUMBER(SEARCH(SUBSTITUTE(AO$1,RIGHT(AO$1,2),""),VLOOKUP($D248,素材!$1:$1016,COLUMN($F$1),FALSE))),VLOOKUP($C248,武器!$1:$998,COLUMN($O$1),FALSE)*VLOOKUP($D248,素材!$1:$1016,COLUMN($E$1),FALSE)/(LEN(VLOOKUP($D248,素材!$1:$1016,COLUMN($F$1),FALSE)) - LEN(SUBSTITUTE(VLOOKUP($D248,素材!$1:$1016,COLUMN($F$1),FALSE), "・", 0)) + 1), 0)</f>
        <v>0</v>
      </c>
      <c r="AP248">
        <f>IF(ISNUMBER(SEARCH(SUBSTITUTE(AP$1,RIGHT(AP$1,2),""),VLOOKUP($D248,素材!$1:$1016,COLUMN($F$1),FALSE))),VLOOKUP($C248,武器!$1:$998,COLUMN($O$1),FALSE)*VLOOKUP($D248,素材!$1:$1016,COLUMN($E$1),FALSE)/(LEN(VLOOKUP($D248,素材!$1:$1016,COLUMN($F$1),FALSE)) - LEN(SUBSTITUTE(VLOOKUP($D248,素材!$1:$1016,COLUMN($F$1),FALSE), "・", 0)) + 1), 0)</f>
        <v>0</v>
      </c>
      <c r="AQ248">
        <f>IF(ISNUMBER(SEARCH(SUBSTITUTE(AQ$1,RIGHT(AQ$1,2),""),VLOOKUP($D248,素材!$1:$1016,COLUMN($F$1),FALSE))),VLOOKUP($C248,武器!$1:$998,COLUMN($O$1),FALSE)*VLOOKUP($D248,素材!$1:$1016,COLUMN($E$1),FALSE)/(LEN(VLOOKUP($D248,素材!$1:$1016,COLUMN($F$1),FALSE)) - LEN(SUBSTITUTE(VLOOKUP($D248,素材!$1:$1016,COLUMN($F$1),FALSE), "・", 0)) + 1), 0)</f>
        <v>0</v>
      </c>
      <c r="AR248">
        <f>IF(ISNUMBER(SEARCH(SUBSTITUTE(AR$1,RIGHT(AR$1,2),""),VLOOKUP($D248,素材!$1:$1016,COLUMN($F$1),FALSE))),VLOOKUP($C248,武器!$1:$998,COLUMN($O$1),FALSE)*VLOOKUP($D248,素材!$1:$1016,COLUMN($E$1),FALSE)/(LEN(VLOOKUP($D248,素材!$1:$1016,COLUMN($F$1),FALSE)) - LEN(SUBSTITUTE(VLOOKUP($D248,素材!$1:$1016,COLUMN($F$1),FALSE), "・", 0)) + 1), 0)</f>
        <v>0</v>
      </c>
      <c r="AS248">
        <f>IF(ISNUMBER(SEARCH(SUBSTITUTE(AS$1,RIGHT(AS$1,2),""),VLOOKUP($D248,素材!$1:$1016,COLUMN($F$1),FALSE))),VLOOKUP($C248,武器!$1:$998,COLUMN($O$1),FALSE)*VLOOKUP($D248,素材!$1:$1016,COLUMN($E$1),FALSE)/(LEN(VLOOKUP($D248,素材!$1:$1016,COLUMN($F$1),FALSE)) - LEN(SUBSTITUTE(VLOOKUP($D248,素材!$1:$1016,COLUMN($F$1),FALSE), "・", 0)) + 1), 0)</f>
        <v>0</v>
      </c>
      <c r="AT248">
        <f>IF(ISNUMBER(SEARCH(SUBSTITUTE(AT$1,RIGHT(AT$1,2),""),VLOOKUP($D248,素材!$1:$1016,COLUMN($F$1),FALSE))),VLOOKUP($C248,武器!$1:$998,COLUMN($O$1),FALSE)*VLOOKUP($D248,素材!$1:$1016,COLUMN($E$1),FALSE)/(LEN(VLOOKUP($D248,素材!$1:$1016,COLUMN($F$1),FALSE)) - LEN(SUBSTITUTE(VLOOKUP($D248,素材!$1:$1016,COLUMN($F$1),FALSE), "・", 0)) + 1), 0)</f>
        <v>0</v>
      </c>
      <c r="AU248">
        <f>IF(ISNUMBER(SEARCH(SUBSTITUTE(AU$1,RIGHT(AU$1,2),""),VLOOKUP($D248,素材!$1:$1016,COLUMN($F$1),FALSE))),VLOOKUP($C248,武器!$1:$998,COLUMN($O$1),FALSE)*VLOOKUP($D248,素材!$1:$1016,COLUMN($E$1),FALSE)/(LEN(VLOOKUP($D248,素材!$1:$1016,COLUMN($F$1),FALSE)) - LEN(SUBSTITUTE(VLOOKUP($D248,素材!$1:$1016,COLUMN($F$1),FALSE), "・", 0)) + 1), 0)</f>
        <v>0</v>
      </c>
      <c r="AV248">
        <f>IF(ISNUMBER(SEARCH(SUBSTITUTE(AV$1,RIGHT(AV$1,2),""),VLOOKUP($D248,素材!$1:$1016,COLUMN($F$1),FALSE))),VLOOKUP($C248,武器!$1:$998,COLUMN($O$1),FALSE)*VLOOKUP($D248,素材!$1:$1016,COLUMN($E$1),FALSE)/(LEN(VLOOKUP($D248,素材!$1:$1016,COLUMN($F$1),FALSE)) - LEN(SUBSTITUTE(VLOOKUP($D248,素材!$1:$1016,COLUMN($F$1),FALSE), "・", 0)) + 1), 0)</f>
        <v>0</v>
      </c>
      <c r="AW248">
        <f>IF(ISNUMBER(SEARCH(SUBSTITUTE(AW$1,RIGHT(AW$1,2),""),VLOOKUP($D248,素材!$1:$1016,COLUMN($F$1),FALSE))),VLOOKUP($C248,武器!$1:$998,COLUMN($O$1),FALSE)*VLOOKUP($D248,素材!$1:$1016,COLUMN($E$1),FALSE)/(LEN(VLOOKUP($D248,素材!$1:$1016,COLUMN($F$1),FALSE)) - LEN(SUBSTITUTE(VLOOKUP($D248,素材!$1:$1016,COLUMN($F$1),FALSE), "・", 0)) + 1), 0)</f>
        <v>0</v>
      </c>
      <c r="AX248">
        <f>IF(ISNUMBER(SEARCH(SUBSTITUTE(AX$1,RIGHT(AX$1,2),""),VLOOKUP($D248,素材!$1:$1016,COLUMN($F$1),FALSE))),VLOOKUP($C248,武器!$1:$998,COLUMN($O$1),FALSE)*VLOOKUP($D248,素材!$1:$1016,COLUMN($E$1),FALSE)/(LEN(VLOOKUP($D248,素材!$1:$1016,COLUMN($F$1),FALSE)) - LEN(SUBSTITUTE(VLOOKUP($D248,素材!$1:$1016,COLUMN($F$1),FALSE), "・", 0)) + 1), 0)</f>
        <v>0</v>
      </c>
      <c r="AY248">
        <f>IF(ISNUMBER(SEARCH(SUBSTITUTE(AY$1,RIGHT(AY$1,2),""),VLOOKUP($D248,素材!$1:$1016,COLUMN($F$1),FALSE))),VLOOKUP($C248,武器!$1:$998,COLUMN($O$1),FALSE)*VLOOKUP($D248,素材!$1:$1016,COLUMN($E$1),FALSE)/(LEN(VLOOKUP($D248,素材!$1:$1016,COLUMN($F$1),FALSE)) - LEN(SUBSTITUTE(VLOOKUP($D248,素材!$1:$1016,COLUMN($F$1),FALSE), "・", 0)) + 1), 0)</f>
        <v>0</v>
      </c>
      <c r="AZ248">
        <f>IF(ISNUMBER(SEARCH(SUBSTITUTE(AZ$1,RIGHT(AZ$1,2),""),VLOOKUP($D248,素材!$1:$1016,COLUMN($F$1),FALSE))),VLOOKUP($C248,武器!$1:$998,COLUMN($O$1),FALSE)*VLOOKUP($D248,素材!$1:$1016,COLUMN($E$1),FALSE)/(LEN(VLOOKUP($D248,素材!$1:$1016,COLUMN($F$1),FALSE)) - LEN(SUBSTITUTE(VLOOKUP($D248,素材!$1:$1016,COLUMN($F$1),FALSE), "・", 0)) + 1), 0)</f>
        <v>0</v>
      </c>
      <c r="BA248">
        <f>IF(ISNUMBER(SEARCH(SUBSTITUTE(BA$1,RIGHT(BA$1,2),""),VLOOKUP($D248,素材!$1:$1016,COLUMN($F$1),FALSE))),VLOOKUP($C248,武器!$1:$998,COLUMN($O$1),FALSE)*VLOOKUP($D248,素材!$1:$1016,COLUMN($E$1),FALSE)/(LEN(VLOOKUP($D248,素材!$1:$1016,COLUMN($F$1),FALSE)) - LEN(SUBSTITUTE(VLOOKUP($D248,素材!$1:$1016,COLUMN($F$1),FALSE), "・", 0)) + 1), 0)</f>
        <v>0</v>
      </c>
      <c r="BB248">
        <f>IF(ISNUMBER(SEARCH(SUBSTITUTE(BB$1,RIGHT(BB$1,2),""),VLOOKUP($D248,素材!$1:$1016,COLUMN($F$1),FALSE))),VLOOKUP($C248,武器!$1:$998,COLUMN($O$1),FALSE)*VLOOKUP($D248,素材!$1:$1016,COLUMN($E$1),FALSE)/(LEN(VLOOKUP($D248,素材!$1:$1016,COLUMN($F$1),FALSE)) - LEN(SUBSTITUTE(VLOOKUP($D248,素材!$1:$1016,COLUMN($F$1),FALSE), "・", 0)) + 1), 0)</f>
        <v>0</v>
      </c>
      <c r="BC248">
        <f>IF(ISNUMBER(SEARCH(SUBSTITUTE(BC$1,RIGHT(BC$1,2),""),VLOOKUP($D248,素材!$1:$1016,COLUMN($F$1),FALSE))),VLOOKUP($C248,武器!$1:$998,COLUMN($O$1),FALSE)*VLOOKUP($D248,素材!$1:$1016,COLUMN($E$1),FALSE)/(LEN(VLOOKUP($D248,素材!$1:$1016,COLUMN($F$1),FALSE)) - LEN(SUBSTITUTE(VLOOKUP($D248,素材!$1:$1016,COLUMN($F$1),FALSE), "・", 0)) + 1), 0)</f>
        <v>0</v>
      </c>
      <c r="BD248">
        <f>IF(ISNUMBER(SEARCH(SUBSTITUTE(BD$1,RIGHT(BD$1,2),""),VLOOKUP($D248,素材!$1:$1016,COLUMN($F$1),FALSE))),VLOOKUP($C248,武器!$1:$998,COLUMN($O$1),FALSE)*VLOOKUP($D248,素材!$1:$1016,COLUMN($E$1),FALSE)/(LEN(VLOOKUP($D248,素材!$1:$1016,COLUMN($F$1),FALSE)) - LEN(SUBSTITUTE(VLOOKUP($D248,素材!$1:$1016,COLUMN($F$1),FALSE), "・", 0)) + 1), 0)</f>
        <v>0</v>
      </c>
      <c r="BE248">
        <f>IF(ISNUMBER(SEARCH(SUBSTITUTE(BE$1,RIGHT(BE$1,2),""),VLOOKUP($D248,素材!$1:$1016,COLUMN($F$1),FALSE))),VLOOKUP($C248,武器!$1:$998,COLUMN($O$1),FALSE)*VLOOKUP($D248,素材!$1:$1016,COLUMN($E$1),FALSE)/(LEN(VLOOKUP($D248,素材!$1:$1016,COLUMN($F$1),FALSE)) - LEN(SUBSTITUTE(VLOOKUP($D248,素材!$1:$1016,COLUMN($F$1),FALSE), "・", 0)) + 1), 0)</f>
        <v>0</v>
      </c>
      <c r="CL248">
        <f>SUM(G248:I248)</f>
        <v>24</v>
      </c>
      <c r="CM248" s="22" t="str">
        <f>IF(E248="武器",IF(J248-1&gt;SUM(G248:I248),"盾",IF(MAX(G248:I248)=G248,"切断",IF(MAX(G248:I248)=H248,"貫通",IF(MAX(G248:I248)=I248,"打撃","射撃")))),E248)&amp;".webp"</f>
        <v>打撃.webp</v>
      </c>
      <c r="CN248">
        <f>IFERROR(VLOOKUP($C248,武器!$1:$998,COLUMN(V$1),FALSE)*VLOOKUP($D248,素材!$1:$1016,COLUMN(N$1),FALSE)+IF(CI248="",0,VLOOKUP($CI248,装強!$1:$1008,COLUMN($CK$1),FALSE)),"")</f>
        <v>3750</v>
      </c>
      <c r="CO248">
        <f>VLOOKUP(D248,素材!$A:$O,COLUMN(素材!O$1),FALSE)</f>
        <v>0</v>
      </c>
      <c r="CP248" t="str">
        <f>VLOOKUP(C248,武器!$A:$W,COLUMN(武器!W$1),FALSE)</f>
        <v>戦鎚。重い打撃を与える強力な武器。</v>
      </c>
      <c r="CR248" t="str">
        <f t="shared" si="29"/>
        <v>e_248</v>
      </c>
      <c r="CS248">
        <f t="shared" si="30"/>
        <v>375000</v>
      </c>
    </row>
    <row r="249" spans="1:97" outlineLevel="1" x14ac:dyDescent="0.4">
      <c r="A249" t="str">
        <f t="shared" si="31"/>
        <v>熱鉄の鎌</v>
      </c>
      <c r="B249" t="str">
        <f>IFERROR(VLOOKUP($D249,素材!$1:$1016,COLUMN($B$1),FALSE)&amp;"・"&amp;VLOOKUP($C249,武器!$1:$998,COLUMN(B$1),FALSE),"")</f>
        <v>ヒートスティール・シックル</v>
      </c>
      <c r="C249" t="s">
        <v>225</v>
      </c>
      <c r="D249" s="24" t="s">
        <v>205</v>
      </c>
      <c r="E249" t="str">
        <f>IFERROR(VLOOKUP(C249,武器!$1:$998,COLUMN(C$1),FALSE),"")</f>
        <v>武器</v>
      </c>
      <c r="F249">
        <f>IFERROR(ROUNDDOWN((VLOOKUP($C249,武器!$1:$998,COLUMN(D$1),FALSE)+IFERROR(VLOOKUP($CI249,装強!$1:$999,COLUMN(F$1),FALSE),0))*VLOOKUP($D249,素材!$1:$1016,COLUMN(D$1),FALSE),0),"")</f>
        <v>125</v>
      </c>
      <c r="G249">
        <f>IFERROR(ROUNDDOWN((VLOOKUP($C249,武器!$1:$998,COLUMN(E$1),FALSE)+IFERROR(VLOOKUP($CI249,装強!$1:$999,COLUMN(G$1),FALSE),0))*VLOOKUP($D249,素材!$1:$1016,COLUMN($E$1),FALSE),0),"")</f>
        <v>9</v>
      </c>
      <c r="H249">
        <f>IFERROR(ROUNDDOWN((VLOOKUP($C249,武器!$1:$998,COLUMN(F$1),FALSE)+IFERROR(VLOOKUP($CI249,装強!$1:$999,COLUMN(H$1),FALSE),0))*VLOOKUP($D249,素材!$1:$1016,COLUMN($E$1),FALSE),0),"")</f>
        <v>11</v>
      </c>
      <c r="I249">
        <f>IFERROR(ROUNDDOWN((VLOOKUP($C249,武器!$1:$998,COLUMN(G$1),FALSE)+IFERROR(VLOOKUP($CI249,装強!$1:$999,COLUMN(I$1),FALSE),0))*VLOOKUP($D249,素材!$1:$1016,COLUMN($E$1),FALSE),0),"")</f>
        <v>1</v>
      </c>
      <c r="J249">
        <f>IFERROR(ROUNDDOWN((VLOOKUP($C249,武器!$1:$998,COLUMN(H$1),FALSE)+IFERROR(VLOOKUP($CI249,装強!$1:$999,COLUMN(J$1),FALSE),0))*VLOOKUP($D249,素材!$1:$1016,COLUMN($E$1),FALSE),0),"")</f>
        <v>17</v>
      </c>
      <c r="K249">
        <f>IFERROR(ROUNDDOWN((VLOOKUP($C249,武器!$1:$998,COLUMN(I$1),FALSE)+IFERROR(VLOOKUP($CI249,装強!$1:$999,COLUMN(K$1),FALSE),0))*VLOOKUP($D249,素材!$1:$1016,COLUMN($E$1),FALSE),0),"")</f>
        <v>0</v>
      </c>
      <c r="L249" t="str">
        <f>IFERROR(VLOOKUP($D249,素材!$1:$1016,COLUMN($F$1),FALSE),"")</f>
        <v>炎</v>
      </c>
      <c r="M249">
        <f>IFERROR(VLOOKUP($C249,武器!$1:$998,COLUMN(AA$1),FALSE)*VLOOKUP($D249,素材!$1:$1016,COLUMN($G$1),FALSE),"")</f>
        <v>36.75</v>
      </c>
      <c r="N249">
        <f>IFERROR(VLOOKUP($C249,武器!$1:$998,COLUMN(I$1),FALSE),"")</f>
        <v>0</v>
      </c>
      <c r="O249" s="23">
        <f>IFERROR((VLOOKUP($C249,武器!$1:$998,COLUMN(K$1),FALSE)+VLOOKUP($D249,素材!$1:$1016,COLUMN(H$1),FALSE))*100+IFERROR(VLOOKUP($CI249,装強!$1:$999,COLUMN(O$1),FALSE),0),"")</f>
        <v>5</v>
      </c>
      <c r="P249" s="23">
        <f>IFERROR((VLOOKUP($C249,武器!$1:$998,COLUMN(L$1),FALSE)+VLOOKUP($D249,素材!$1:$1016,COLUMN(I$1),FALSE))*100+IFERROR(VLOOKUP($CI249,装強!$1:$999,COLUMN(P$1),FALSE),0),"")</f>
        <v>200</v>
      </c>
      <c r="Q249">
        <f>IFERROR(ROUNDUP(VLOOKUP($C249,武器!$1:$998,COLUMN(M$1),FALSE)*(VLOOKUP($D249,素材!$1:$1002,COLUMN(D$1),FALSE)/100),1),"")</f>
        <v>0</v>
      </c>
      <c r="R249">
        <f>IFERROR(ROUNDUP(VLOOKUP($C249,武器!$1:$998,COLUMN(N$1),FALSE)*(VLOOKUP($D249,素材!$1:$1002,COLUMN(D$1),FALSE)/100),1),"")</f>
        <v>0</v>
      </c>
      <c r="S249">
        <f>IFERROR(VLOOKUP($C249,武器!$1:$998,COLUMN(P$1),FALSE),"")</f>
        <v>0</v>
      </c>
      <c r="T249">
        <f>IFERROR(VLOOKUP($C249,武器!$1:$998,COLUMN(Q$1),FALSE),"")</f>
        <v>0</v>
      </c>
      <c r="U249">
        <f>IFERROR(VLOOKUP($C249,武器!$1:$998,COLUMN(R$1),FALSE),"")</f>
        <v>0</v>
      </c>
      <c r="V249">
        <f>IFERROR(VLOOKUP($C249,武器!$1:$998,COLUMN(Q$1),FALSE),"")</f>
        <v>0</v>
      </c>
      <c r="W249" t="str">
        <f>IFERROR(VLOOKUP($C249,武器!$1:$998,COLUMN(T$1),FALSE),"")</f>
        <v>A</v>
      </c>
      <c r="Y249" t="str">
        <f>IFERROR(VLOOKUP($C249,武器!$1:$998,COLUMN(U$1),FALSE),"")</f>
        <v>投擲強化、片手適性Ⅰ</v>
      </c>
      <c r="Z249">
        <f>IFERROR(ROUNDUP(VLOOKUP($C249,武器!$1:$998,COLUMN(O$1),FALSE)*VLOOKUP($D249,素材!$1:$1016,COLUMN(E$1),FALSE),1),"")</f>
        <v>0</v>
      </c>
      <c r="AA249">
        <f>IF(ISNUMBER(SEARCH(SUBSTITUTE(AA$1,RIGHT(AA$1,2),""),VLOOKUP($D249,素材!$1:$1016,COLUMN($F$1),FALSE))),VLOOKUP($C249,武器!$1:$998,COLUMN($O$1),FALSE)*VLOOKUP($D249,素材!$1:$1016,COLUMN($E$1),FALSE)/(LEN(VLOOKUP($D249,素材!$1:$1016,COLUMN($F$1),FALSE)) - LEN(SUBSTITUTE(VLOOKUP($D249,素材!$1:$1016,COLUMN($F$1),FALSE), "・", 0)) + 1), 0)</f>
        <v>0</v>
      </c>
      <c r="AB249">
        <f>IF(ISNUMBER(SEARCH(SUBSTITUTE(AB$1,RIGHT(AB$1,2),""),VLOOKUP($D249,素材!$1:$1016,COLUMN($F$1),FALSE))),VLOOKUP($C249,武器!$1:$998,COLUMN($O$1),FALSE)*VLOOKUP($D249,素材!$1:$1016,COLUMN($E$1),FALSE)/(LEN(VLOOKUP($D249,素材!$1:$1016,COLUMN($F$1),FALSE)) - LEN(SUBSTITUTE(VLOOKUP($D249,素材!$1:$1016,COLUMN($F$1),FALSE), "・", 0)) + 1), 0)</f>
        <v>0</v>
      </c>
      <c r="AC249">
        <f>IF(ISNUMBER(SEARCH(SUBSTITUTE(AC$1,RIGHT(AC$1,2),""),VLOOKUP($D249,素材!$1:$1016,COLUMN($F$1),FALSE))),VLOOKUP($C249,武器!$1:$998,COLUMN($O$1),FALSE)*VLOOKUP($D249,素材!$1:$1016,COLUMN($E$1),FALSE)/(LEN(VLOOKUP($D249,素材!$1:$1016,COLUMN($F$1),FALSE)) - LEN(SUBSTITUTE(VLOOKUP($D249,素材!$1:$1016,COLUMN($F$1),FALSE), "・", 0)) + 1), 0)</f>
        <v>0</v>
      </c>
      <c r="AD249">
        <f>IF(ISNUMBER(SEARCH(SUBSTITUTE(AD$1,RIGHT(AD$1,2),""),VLOOKUP($D249,素材!$1:$1016,COLUMN($F$1),FALSE))),VLOOKUP($C249,武器!$1:$998,COLUMN($O$1),FALSE)*VLOOKUP($D249,素材!$1:$1016,COLUMN($E$1),FALSE)/(LEN(VLOOKUP($D249,素材!$1:$1016,COLUMN($F$1),FALSE)) - LEN(SUBSTITUTE(VLOOKUP($D249,素材!$1:$1016,COLUMN($F$1),FALSE), "・", 0)) + 1), 0)</f>
        <v>0</v>
      </c>
      <c r="AE249">
        <f>IF(ISNUMBER(SEARCH(SUBSTITUTE(AE$1,RIGHT(AE$1,2),""),VLOOKUP($D249,素材!$1:$1016,COLUMN($F$1),FALSE))),VLOOKUP($C249,武器!$1:$998,COLUMN($O$1),FALSE)*VLOOKUP($D249,素材!$1:$1016,COLUMN($E$1),FALSE)/(LEN(VLOOKUP($D249,素材!$1:$1016,COLUMN($F$1),FALSE)) - LEN(SUBSTITUTE(VLOOKUP($D249,素材!$1:$1016,COLUMN($F$1),FALSE), "・", 0)) + 1), 0)</f>
        <v>0</v>
      </c>
      <c r="AF249">
        <f>IF(ISNUMBER(SEARCH(SUBSTITUTE(AF$1,RIGHT(AF$1,2),""),VLOOKUP($D249,素材!$1:$1016,COLUMN($F$1),FALSE))),VLOOKUP($C249,武器!$1:$998,COLUMN($O$1),FALSE)*VLOOKUP($D249,素材!$1:$1016,COLUMN($E$1),FALSE)/(LEN(VLOOKUP($D249,素材!$1:$1016,COLUMN($F$1),FALSE)) - LEN(SUBSTITUTE(VLOOKUP($D249,素材!$1:$1016,COLUMN($F$1),FALSE), "・", 0)) + 1), 0)</f>
        <v>0</v>
      </c>
      <c r="AG249">
        <f>IF(ISNUMBER(SEARCH(SUBSTITUTE(AG$1,RIGHT(AG$1,2),""),VLOOKUP($D249,素材!$1:$1016,COLUMN($F$1),FALSE))),VLOOKUP($C249,武器!$1:$998,COLUMN($O$1),FALSE)*VLOOKUP($D249,素材!$1:$1016,COLUMN($E$1),FALSE)/(LEN(VLOOKUP($D249,素材!$1:$1016,COLUMN($F$1),FALSE)) - LEN(SUBSTITUTE(VLOOKUP($D249,素材!$1:$1016,COLUMN($F$1),FALSE), "・", 0)) + 1), 0)</f>
        <v>0</v>
      </c>
      <c r="AH249">
        <f>IF(ISNUMBER(SEARCH(SUBSTITUTE(AH$1,RIGHT(AH$1,2),""),VLOOKUP($D249,素材!$1:$1016,COLUMN($F$1),FALSE))),VLOOKUP($C249,武器!$1:$998,COLUMN($O$1),FALSE)*VLOOKUP($D249,素材!$1:$1016,COLUMN($E$1),FALSE)/(LEN(VLOOKUP($D249,素材!$1:$1016,COLUMN($F$1),FALSE)) - LEN(SUBSTITUTE(VLOOKUP($D249,素材!$1:$1016,COLUMN($F$1),FALSE), "・", 0)) + 1), 0)</f>
        <v>0</v>
      </c>
      <c r="AI249">
        <f>IF(ISNUMBER(SEARCH(SUBSTITUTE(AI$1,RIGHT(AI$1,2),""),VLOOKUP($D249,素材!$1:$1016,COLUMN($F$1),FALSE))),VLOOKUP($C249,武器!$1:$998,COLUMN($O$1),FALSE)*VLOOKUP($D249,素材!$1:$1016,COLUMN($E$1),FALSE)/(LEN(VLOOKUP($D249,素材!$1:$1016,COLUMN($F$1),FALSE)) - LEN(SUBSTITUTE(VLOOKUP($D249,素材!$1:$1016,COLUMN($F$1),FALSE), "・", 0)) + 1), 0)</f>
        <v>0</v>
      </c>
      <c r="AJ249">
        <f>IF(ISNUMBER(SEARCH(SUBSTITUTE(AJ$1,RIGHT(AJ$1,2),""),VLOOKUP($D249,素材!$1:$1016,COLUMN($F$1),FALSE))),VLOOKUP($C249,武器!$1:$998,COLUMN($O$1),FALSE)*VLOOKUP($D249,素材!$1:$1016,COLUMN($E$1),FALSE)/(LEN(VLOOKUP($D249,素材!$1:$1016,COLUMN($F$1),FALSE)) - LEN(SUBSTITUTE(VLOOKUP($D249,素材!$1:$1016,COLUMN($F$1),FALSE), "・", 0)) + 1), 0)</f>
        <v>0</v>
      </c>
      <c r="AK249">
        <f>IF(ISNUMBER(SEARCH(SUBSTITUTE(AK$1,RIGHT(AK$1,2),""),VLOOKUP($D249,素材!$1:$1016,COLUMN($F$1),FALSE))),VLOOKUP($C249,武器!$1:$998,COLUMN($O$1),FALSE)*VLOOKUP($D249,素材!$1:$1016,COLUMN($E$1),FALSE)/(LEN(VLOOKUP($D249,素材!$1:$1016,COLUMN($F$1),FALSE)) - LEN(SUBSTITUTE(VLOOKUP($D249,素材!$1:$1016,COLUMN($F$1),FALSE), "・", 0)) + 1), 0)</f>
        <v>0</v>
      </c>
      <c r="AL249">
        <f>IF(ISNUMBER(SEARCH(SUBSTITUTE(AL$1,RIGHT(AL$1,2),""),VLOOKUP($D249,素材!$1:$1016,COLUMN($F$1),FALSE))),VLOOKUP($C249,武器!$1:$998,COLUMN($O$1),FALSE)*VLOOKUP($D249,素材!$1:$1016,COLUMN($E$1),FALSE)/(LEN(VLOOKUP($D249,素材!$1:$1016,COLUMN($F$1),FALSE)) - LEN(SUBSTITUTE(VLOOKUP($D249,素材!$1:$1016,COLUMN($F$1),FALSE), "・", 0)) + 1), 0)</f>
        <v>0</v>
      </c>
      <c r="AM249">
        <f>IF(ISNUMBER(SEARCH(SUBSTITUTE(AM$1,RIGHT(AM$1,2),""),VLOOKUP($D249,素材!$1:$1016,COLUMN($F$1),FALSE))),VLOOKUP($C249,武器!$1:$998,COLUMN($O$1),FALSE)*VLOOKUP($D249,素材!$1:$1016,COLUMN($E$1),FALSE)/(LEN(VLOOKUP($D249,素材!$1:$1016,COLUMN($F$1),FALSE)) - LEN(SUBSTITUTE(VLOOKUP($D249,素材!$1:$1016,COLUMN($F$1),FALSE), "・", 0)) + 1), 0)</f>
        <v>0</v>
      </c>
      <c r="AN249">
        <f>IF(ISNUMBER(SEARCH(SUBSTITUTE(AN$1,RIGHT(AN$1,2),""),VLOOKUP($D249,素材!$1:$1016,COLUMN($F$1),FALSE))),VLOOKUP($C249,武器!$1:$998,COLUMN($O$1),FALSE)*VLOOKUP($D249,素材!$1:$1016,COLUMN($E$1),FALSE)/(LEN(VLOOKUP($D249,素材!$1:$1016,COLUMN($F$1),FALSE)) - LEN(SUBSTITUTE(VLOOKUP($D249,素材!$1:$1016,COLUMN($F$1),FALSE), "・", 0)) + 1), 0)</f>
        <v>0</v>
      </c>
      <c r="AO249">
        <f>IF(ISNUMBER(SEARCH(SUBSTITUTE(AO$1,RIGHT(AO$1,2),""),VLOOKUP($D249,素材!$1:$1016,COLUMN($F$1),FALSE))),VLOOKUP($C249,武器!$1:$998,COLUMN($O$1),FALSE)*VLOOKUP($D249,素材!$1:$1016,COLUMN($E$1),FALSE)/(LEN(VLOOKUP($D249,素材!$1:$1016,COLUMN($F$1),FALSE)) - LEN(SUBSTITUTE(VLOOKUP($D249,素材!$1:$1016,COLUMN($F$1),FALSE), "・", 0)) + 1), 0)</f>
        <v>0</v>
      </c>
      <c r="AP249">
        <f>IF(ISNUMBER(SEARCH(SUBSTITUTE(AP$1,RIGHT(AP$1,2),""),VLOOKUP($D249,素材!$1:$1016,COLUMN($F$1),FALSE))),VLOOKUP($C249,武器!$1:$998,COLUMN($O$1),FALSE)*VLOOKUP($D249,素材!$1:$1016,COLUMN($E$1),FALSE)/(LEN(VLOOKUP($D249,素材!$1:$1016,COLUMN($F$1),FALSE)) - LEN(SUBSTITUTE(VLOOKUP($D249,素材!$1:$1016,COLUMN($F$1),FALSE), "・", 0)) + 1), 0)</f>
        <v>0</v>
      </c>
      <c r="AQ249">
        <f>IF(ISNUMBER(SEARCH(SUBSTITUTE(AQ$1,RIGHT(AQ$1,2),""),VLOOKUP($D249,素材!$1:$1016,COLUMN($F$1),FALSE))),VLOOKUP($C249,武器!$1:$998,COLUMN($O$1),FALSE)*VLOOKUP($D249,素材!$1:$1016,COLUMN($E$1),FALSE)/(LEN(VLOOKUP($D249,素材!$1:$1016,COLUMN($F$1),FALSE)) - LEN(SUBSTITUTE(VLOOKUP($D249,素材!$1:$1016,COLUMN($F$1),FALSE), "・", 0)) + 1), 0)</f>
        <v>0</v>
      </c>
      <c r="AR249">
        <f>IF(ISNUMBER(SEARCH(SUBSTITUTE(AR$1,RIGHT(AR$1,2),""),VLOOKUP($D249,素材!$1:$1016,COLUMN($F$1),FALSE))),VLOOKUP($C249,武器!$1:$998,COLUMN($O$1),FALSE)*VLOOKUP($D249,素材!$1:$1016,COLUMN($E$1),FALSE)/(LEN(VLOOKUP($D249,素材!$1:$1016,COLUMN($F$1),FALSE)) - LEN(SUBSTITUTE(VLOOKUP($D249,素材!$1:$1016,COLUMN($F$1),FALSE), "・", 0)) + 1), 0)</f>
        <v>0</v>
      </c>
      <c r="AS249">
        <f>IF(ISNUMBER(SEARCH(SUBSTITUTE(AS$1,RIGHT(AS$1,2),""),VLOOKUP($D249,素材!$1:$1016,COLUMN($F$1),FALSE))),VLOOKUP($C249,武器!$1:$998,COLUMN($O$1),FALSE)*VLOOKUP($D249,素材!$1:$1016,COLUMN($E$1),FALSE)/(LEN(VLOOKUP($D249,素材!$1:$1016,COLUMN($F$1),FALSE)) - LEN(SUBSTITUTE(VLOOKUP($D249,素材!$1:$1016,COLUMN($F$1),FALSE), "・", 0)) + 1), 0)</f>
        <v>0</v>
      </c>
      <c r="AT249">
        <f>IF(ISNUMBER(SEARCH(SUBSTITUTE(AT$1,RIGHT(AT$1,2),""),VLOOKUP($D249,素材!$1:$1016,COLUMN($F$1),FALSE))),VLOOKUP($C249,武器!$1:$998,COLUMN($O$1),FALSE)*VLOOKUP($D249,素材!$1:$1016,COLUMN($E$1),FALSE)/(LEN(VLOOKUP($D249,素材!$1:$1016,COLUMN($F$1),FALSE)) - LEN(SUBSTITUTE(VLOOKUP($D249,素材!$1:$1016,COLUMN($F$1),FALSE), "・", 0)) + 1), 0)</f>
        <v>0</v>
      </c>
      <c r="AU249">
        <f>IF(ISNUMBER(SEARCH(SUBSTITUTE(AU$1,RIGHT(AU$1,2),""),VLOOKUP($D249,素材!$1:$1016,COLUMN($F$1),FALSE))),VLOOKUP($C249,武器!$1:$998,COLUMN($O$1),FALSE)*VLOOKUP($D249,素材!$1:$1016,COLUMN($E$1),FALSE)/(LEN(VLOOKUP($D249,素材!$1:$1016,COLUMN($F$1),FALSE)) - LEN(SUBSTITUTE(VLOOKUP($D249,素材!$1:$1016,COLUMN($F$1),FALSE), "・", 0)) + 1), 0)</f>
        <v>0</v>
      </c>
      <c r="AV249">
        <f>IF(ISNUMBER(SEARCH(SUBSTITUTE(AV$1,RIGHT(AV$1,2),""),VLOOKUP($D249,素材!$1:$1016,COLUMN($F$1),FALSE))),VLOOKUP($C249,武器!$1:$998,COLUMN($O$1),FALSE)*VLOOKUP($D249,素材!$1:$1016,COLUMN($E$1),FALSE)/(LEN(VLOOKUP($D249,素材!$1:$1016,COLUMN($F$1),FALSE)) - LEN(SUBSTITUTE(VLOOKUP($D249,素材!$1:$1016,COLUMN($F$1),FALSE), "・", 0)) + 1), 0)</f>
        <v>0</v>
      </c>
      <c r="AW249">
        <f>IF(ISNUMBER(SEARCH(SUBSTITUTE(AW$1,RIGHT(AW$1,2),""),VLOOKUP($D249,素材!$1:$1016,COLUMN($F$1),FALSE))),VLOOKUP($C249,武器!$1:$998,COLUMN($O$1),FALSE)*VLOOKUP($D249,素材!$1:$1016,COLUMN($E$1),FALSE)/(LEN(VLOOKUP($D249,素材!$1:$1016,COLUMN($F$1),FALSE)) - LEN(SUBSTITUTE(VLOOKUP($D249,素材!$1:$1016,COLUMN($F$1),FALSE), "・", 0)) + 1), 0)</f>
        <v>0</v>
      </c>
      <c r="AX249">
        <f>IF(ISNUMBER(SEARCH(SUBSTITUTE(AX$1,RIGHT(AX$1,2),""),VLOOKUP($D249,素材!$1:$1016,COLUMN($F$1),FALSE))),VLOOKUP($C249,武器!$1:$998,COLUMN($O$1),FALSE)*VLOOKUP($D249,素材!$1:$1016,COLUMN($E$1),FALSE)/(LEN(VLOOKUP($D249,素材!$1:$1016,COLUMN($F$1),FALSE)) - LEN(SUBSTITUTE(VLOOKUP($D249,素材!$1:$1016,COLUMN($F$1),FALSE), "・", 0)) + 1), 0)</f>
        <v>0</v>
      </c>
      <c r="AY249">
        <f>IF(ISNUMBER(SEARCH(SUBSTITUTE(AY$1,RIGHT(AY$1,2),""),VLOOKUP($D249,素材!$1:$1016,COLUMN($F$1),FALSE))),VLOOKUP($C249,武器!$1:$998,COLUMN($O$1),FALSE)*VLOOKUP($D249,素材!$1:$1016,COLUMN($E$1),FALSE)/(LEN(VLOOKUP($D249,素材!$1:$1016,COLUMN($F$1),FALSE)) - LEN(SUBSTITUTE(VLOOKUP($D249,素材!$1:$1016,COLUMN($F$1),FALSE), "・", 0)) + 1), 0)</f>
        <v>0</v>
      </c>
      <c r="AZ249">
        <f>IF(ISNUMBER(SEARCH(SUBSTITUTE(AZ$1,RIGHT(AZ$1,2),""),VLOOKUP($D249,素材!$1:$1016,COLUMN($F$1),FALSE))),VLOOKUP($C249,武器!$1:$998,COLUMN($O$1),FALSE)*VLOOKUP($D249,素材!$1:$1016,COLUMN($E$1),FALSE)/(LEN(VLOOKUP($D249,素材!$1:$1016,COLUMN($F$1),FALSE)) - LEN(SUBSTITUTE(VLOOKUP($D249,素材!$1:$1016,COLUMN($F$1),FALSE), "・", 0)) + 1), 0)</f>
        <v>0</v>
      </c>
      <c r="BA249">
        <f>IF(ISNUMBER(SEARCH(SUBSTITUTE(BA$1,RIGHT(BA$1,2),""),VLOOKUP($D249,素材!$1:$1016,COLUMN($F$1),FALSE))),VLOOKUP($C249,武器!$1:$998,COLUMN($O$1),FALSE)*VLOOKUP($D249,素材!$1:$1016,COLUMN($E$1),FALSE)/(LEN(VLOOKUP($D249,素材!$1:$1016,COLUMN($F$1),FALSE)) - LEN(SUBSTITUTE(VLOOKUP($D249,素材!$1:$1016,COLUMN($F$1),FALSE), "・", 0)) + 1), 0)</f>
        <v>0</v>
      </c>
      <c r="BB249">
        <f>IF(ISNUMBER(SEARCH(SUBSTITUTE(BB$1,RIGHT(BB$1,2),""),VLOOKUP($D249,素材!$1:$1016,COLUMN($F$1),FALSE))),VLOOKUP($C249,武器!$1:$998,COLUMN($O$1),FALSE)*VLOOKUP($D249,素材!$1:$1016,COLUMN($E$1),FALSE)/(LEN(VLOOKUP($D249,素材!$1:$1016,COLUMN($F$1),FALSE)) - LEN(SUBSTITUTE(VLOOKUP($D249,素材!$1:$1016,COLUMN($F$1),FALSE), "・", 0)) + 1), 0)</f>
        <v>0</v>
      </c>
      <c r="BC249">
        <f>IF(ISNUMBER(SEARCH(SUBSTITUTE(BC$1,RIGHT(BC$1,2),""),VLOOKUP($D249,素材!$1:$1016,COLUMN($F$1),FALSE))),VLOOKUP($C249,武器!$1:$998,COLUMN($O$1),FALSE)*VLOOKUP($D249,素材!$1:$1016,COLUMN($E$1),FALSE)/(LEN(VLOOKUP($D249,素材!$1:$1016,COLUMN($F$1),FALSE)) - LEN(SUBSTITUTE(VLOOKUP($D249,素材!$1:$1016,COLUMN($F$1),FALSE), "・", 0)) + 1), 0)</f>
        <v>0</v>
      </c>
      <c r="BD249">
        <f>IF(ISNUMBER(SEARCH(SUBSTITUTE(BD$1,RIGHT(BD$1,2),""),VLOOKUP($D249,素材!$1:$1016,COLUMN($F$1),FALSE))),VLOOKUP($C249,武器!$1:$998,COLUMN($O$1),FALSE)*VLOOKUP($D249,素材!$1:$1016,COLUMN($E$1),FALSE)/(LEN(VLOOKUP($D249,素材!$1:$1016,COLUMN($F$1),FALSE)) - LEN(SUBSTITUTE(VLOOKUP($D249,素材!$1:$1016,COLUMN($F$1),FALSE), "・", 0)) + 1), 0)</f>
        <v>0</v>
      </c>
      <c r="BE249">
        <f>IF(ISNUMBER(SEARCH(SUBSTITUTE(BE$1,RIGHT(BE$1,2),""),VLOOKUP($D249,素材!$1:$1016,COLUMN($F$1),FALSE))),VLOOKUP($C249,武器!$1:$998,COLUMN($O$1),FALSE)*VLOOKUP($D249,素材!$1:$1016,COLUMN($E$1),FALSE)/(LEN(VLOOKUP($D249,素材!$1:$1016,COLUMN($F$1),FALSE)) - LEN(SUBSTITUTE(VLOOKUP($D249,素材!$1:$1016,COLUMN($F$1),FALSE), "・", 0)) + 1), 0)</f>
        <v>0</v>
      </c>
      <c r="CL249">
        <f>SUM(G249:I249)</f>
        <v>21</v>
      </c>
      <c r="CM249" s="22" t="str">
        <f>IF(E249="武器",IF(J249-1&gt;SUM(G249:I249),"盾",IF(MAX(G249:I249)=G249,"切断",IF(MAX(G249:I249)=H249,"貫通",IF(MAX(G249:I249)=I249,"打撃","射撃")))),E249)&amp;".webp"</f>
        <v>貫通.webp</v>
      </c>
      <c r="CN249">
        <f>IFERROR(VLOOKUP($C249,武器!$1:$998,COLUMN(V$1),FALSE)*VLOOKUP($D249,素材!$1:$1016,COLUMN(N$1),FALSE)+IF(CI249="",0,VLOOKUP($CI249,装強!$1:$1008,COLUMN($CK$1),FALSE)),"")</f>
        <v>3000</v>
      </c>
      <c r="CO249">
        <f>VLOOKUP(D249,素材!$A:$O,COLUMN(素材!O$1),FALSE)</f>
        <v>0</v>
      </c>
      <c r="CP249" t="str">
        <f>VLOOKUP(C249,武器!$A:$W,COLUMN(武器!W$1),FALSE)</f>
        <v>鎌。農具を転用した武器で、鋭い斬撃を与える。</v>
      </c>
      <c r="CR249" t="str">
        <f t="shared" si="29"/>
        <v>e_249</v>
      </c>
      <c r="CS249">
        <f t="shared" si="30"/>
        <v>300000</v>
      </c>
    </row>
    <row r="250" spans="1:97" outlineLevel="1" x14ac:dyDescent="0.4">
      <c r="A250" t="str">
        <f t="shared" si="31"/>
        <v>熱鉄の戦斧</v>
      </c>
      <c r="B250" t="str">
        <f>IFERROR(VLOOKUP($D250,素材!$1:$1016,COLUMN($B$1),FALSE)&amp;"・"&amp;VLOOKUP($C250,武器!$1:$998,COLUMN(B$1),FALSE),"")</f>
        <v>ヒートスティール・バトルアックス</v>
      </c>
      <c r="C250" t="s">
        <v>224</v>
      </c>
      <c r="D250" s="24" t="s">
        <v>205</v>
      </c>
      <c r="E250" t="str">
        <f>IFERROR(VLOOKUP(C250,武器!$1:$998,COLUMN(C$1),FALSE),"")</f>
        <v>武器</v>
      </c>
      <c r="F250">
        <f>IFERROR(ROUNDDOWN((VLOOKUP($C250,武器!$1:$998,COLUMN(D$1),FALSE)+IFERROR(VLOOKUP($CI250,装強!$1:$999,COLUMN(F$1),FALSE),0))*VLOOKUP($D250,素材!$1:$1016,COLUMN(D$1),FALSE),0),"")</f>
        <v>115</v>
      </c>
      <c r="G250">
        <f>IFERROR(ROUNDDOWN((VLOOKUP($C250,武器!$1:$998,COLUMN(E$1),FALSE)+IFERROR(VLOOKUP($CI250,装強!$1:$999,COLUMN(G$1),FALSE),0))*VLOOKUP($D250,素材!$1:$1016,COLUMN($E$1),FALSE),0),"")</f>
        <v>19</v>
      </c>
      <c r="H250">
        <f>IFERROR(ROUNDDOWN((VLOOKUP($C250,武器!$1:$998,COLUMN(F$1),FALSE)+IFERROR(VLOOKUP($CI250,装強!$1:$999,COLUMN(H$1),FALSE),0))*VLOOKUP($D250,素材!$1:$1016,COLUMN($E$1),FALSE),0),"")</f>
        <v>0</v>
      </c>
      <c r="I250">
        <f>IFERROR(ROUNDDOWN((VLOOKUP($C250,武器!$1:$998,COLUMN(G$1),FALSE)+IFERROR(VLOOKUP($CI250,装強!$1:$999,COLUMN(I$1),FALSE),0))*VLOOKUP($D250,素材!$1:$1016,COLUMN($E$1),FALSE),0),"")</f>
        <v>6</v>
      </c>
      <c r="J250">
        <f>IFERROR(ROUNDDOWN((VLOOKUP($C250,武器!$1:$998,COLUMN(H$1),FALSE)+IFERROR(VLOOKUP($CI250,装強!$1:$999,COLUMN(J$1),FALSE),0))*VLOOKUP($D250,素材!$1:$1016,COLUMN($E$1),FALSE),0),"")</f>
        <v>20</v>
      </c>
      <c r="K250">
        <f>IFERROR(ROUNDDOWN((VLOOKUP($C250,武器!$1:$998,COLUMN(I$1),FALSE)+IFERROR(VLOOKUP($CI250,装強!$1:$999,COLUMN(K$1),FALSE),0))*VLOOKUP($D250,素材!$1:$1016,COLUMN($E$1),FALSE),0),"")</f>
        <v>0</v>
      </c>
      <c r="L250" t="str">
        <f>IFERROR(VLOOKUP($D250,素材!$1:$1016,COLUMN($F$1),FALSE),"")</f>
        <v>炎</v>
      </c>
      <c r="M250">
        <f>IFERROR(VLOOKUP($C250,武器!$1:$998,COLUMN(AA$1),FALSE)*VLOOKUP($D250,素材!$1:$1016,COLUMN($G$1),FALSE),"")</f>
        <v>43.75</v>
      </c>
      <c r="N250">
        <f>IFERROR(VLOOKUP($C250,武器!$1:$998,COLUMN(I$1),FALSE),"")</f>
        <v>0</v>
      </c>
      <c r="O250" s="23">
        <f>IFERROR((VLOOKUP($C250,武器!$1:$998,COLUMN(K$1),FALSE)+VLOOKUP($D250,素材!$1:$1016,COLUMN(H$1),FALSE))*100+IFERROR(VLOOKUP($CI250,装強!$1:$999,COLUMN(O$1),FALSE),0),"")</f>
        <v>5</v>
      </c>
      <c r="P250" s="23">
        <f>IFERROR((VLOOKUP($C250,武器!$1:$998,COLUMN(L$1),FALSE)+VLOOKUP($D250,素材!$1:$1016,COLUMN(I$1),FALSE))*100+IFERROR(VLOOKUP($CI250,装強!$1:$999,COLUMN(P$1),FALSE),0),"")</f>
        <v>175</v>
      </c>
      <c r="Q250">
        <f>IFERROR(ROUNDUP(VLOOKUP($C250,武器!$1:$998,COLUMN(M$1),FALSE)*(VLOOKUP($D250,素材!$1:$1002,COLUMN(D$1),FALSE)/100),1),"")</f>
        <v>-2.5</v>
      </c>
      <c r="R250">
        <f>IFERROR(ROUNDUP(VLOOKUP($C250,武器!$1:$998,COLUMN(N$1),FALSE)*(VLOOKUP($D250,素材!$1:$1002,COLUMN(D$1),FALSE)/100),1),"")</f>
        <v>0</v>
      </c>
      <c r="S250">
        <f>IFERROR(VLOOKUP($C250,武器!$1:$998,COLUMN(P$1),FALSE),"")</f>
        <v>0</v>
      </c>
      <c r="T250">
        <f>IFERROR(VLOOKUP($C250,武器!$1:$998,COLUMN(Q$1),FALSE),"")</f>
        <v>0</v>
      </c>
      <c r="U250">
        <f>IFERROR(VLOOKUP($C250,武器!$1:$998,COLUMN(R$1),FALSE),"")</f>
        <v>0</v>
      </c>
      <c r="V250">
        <f>IFERROR(VLOOKUP($C250,武器!$1:$998,COLUMN(Q$1),FALSE),"")</f>
        <v>0</v>
      </c>
      <c r="W250" t="str">
        <f>IFERROR(VLOOKUP($C250,武器!$1:$998,COLUMN(T$1),FALSE),"")</f>
        <v>A</v>
      </c>
      <c r="Y250">
        <f>IFERROR(VLOOKUP($C250,武器!$1:$998,COLUMN(U$1),FALSE),"")</f>
        <v>0</v>
      </c>
      <c r="Z250">
        <f>IFERROR(ROUNDUP(VLOOKUP($C250,武器!$1:$998,COLUMN(O$1),FALSE)*VLOOKUP($D250,素材!$1:$1016,COLUMN(E$1),FALSE),1),"")</f>
        <v>0</v>
      </c>
      <c r="AA250">
        <f>IF(ISNUMBER(SEARCH(SUBSTITUTE(AA$1,RIGHT(AA$1,2),""),VLOOKUP($D250,素材!$1:$1016,COLUMN($F$1),FALSE))),VLOOKUP($C250,武器!$1:$998,COLUMN($O$1),FALSE)*VLOOKUP($D250,素材!$1:$1016,COLUMN($E$1),FALSE)/(LEN(VLOOKUP($D250,素材!$1:$1016,COLUMN($F$1),FALSE)) - LEN(SUBSTITUTE(VLOOKUP($D250,素材!$1:$1016,COLUMN($F$1),FALSE), "・", 0)) + 1), 0)</f>
        <v>0</v>
      </c>
      <c r="AB250">
        <f>IF(ISNUMBER(SEARCH(SUBSTITUTE(AB$1,RIGHT(AB$1,2),""),VLOOKUP($D250,素材!$1:$1016,COLUMN($F$1),FALSE))),VLOOKUP($C250,武器!$1:$998,COLUMN($O$1),FALSE)*VLOOKUP($D250,素材!$1:$1016,COLUMN($E$1),FALSE)/(LEN(VLOOKUP($D250,素材!$1:$1016,COLUMN($F$1),FALSE)) - LEN(SUBSTITUTE(VLOOKUP($D250,素材!$1:$1016,COLUMN($F$1),FALSE), "・", 0)) + 1), 0)</f>
        <v>0</v>
      </c>
      <c r="AC250">
        <f>IF(ISNUMBER(SEARCH(SUBSTITUTE(AC$1,RIGHT(AC$1,2),""),VLOOKUP($D250,素材!$1:$1016,COLUMN($F$1),FALSE))),VLOOKUP($C250,武器!$1:$998,COLUMN($O$1),FALSE)*VLOOKUP($D250,素材!$1:$1016,COLUMN($E$1),FALSE)/(LEN(VLOOKUP($D250,素材!$1:$1016,COLUMN($F$1),FALSE)) - LEN(SUBSTITUTE(VLOOKUP($D250,素材!$1:$1016,COLUMN($F$1),FALSE), "・", 0)) + 1), 0)</f>
        <v>0</v>
      </c>
      <c r="AD250">
        <f>IF(ISNUMBER(SEARCH(SUBSTITUTE(AD$1,RIGHT(AD$1,2),""),VLOOKUP($D250,素材!$1:$1016,COLUMN($F$1),FALSE))),VLOOKUP($C250,武器!$1:$998,COLUMN($O$1),FALSE)*VLOOKUP($D250,素材!$1:$1016,COLUMN($E$1),FALSE)/(LEN(VLOOKUP($D250,素材!$1:$1016,COLUMN($F$1),FALSE)) - LEN(SUBSTITUTE(VLOOKUP($D250,素材!$1:$1016,COLUMN($F$1),FALSE), "・", 0)) + 1), 0)</f>
        <v>0</v>
      </c>
      <c r="AE250">
        <f>IF(ISNUMBER(SEARCH(SUBSTITUTE(AE$1,RIGHT(AE$1,2),""),VLOOKUP($D250,素材!$1:$1016,COLUMN($F$1),FALSE))),VLOOKUP($C250,武器!$1:$998,COLUMN($O$1),FALSE)*VLOOKUP($D250,素材!$1:$1016,COLUMN($E$1),FALSE)/(LEN(VLOOKUP($D250,素材!$1:$1016,COLUMN($F$1),FALSE)) - LEN(SUBSTITUTE(VLOOKUP($D250,素材!$1:$1016,COLUMN($F$1),FALSE), "・", 0)) + 1), 0)</f>
        <v>0</v>
      </c>
      <c r="AF250">
        <f>IF(ISNUMBER(SEARCH(SUBSTITUTE(AF$1,RIGHT(AF$1,2),""),VLOOKUP($D250,素材!$1:$1016,COLUMN($F$1),FALSE))),VLOOKUP($C250,武器!$1:$998,COLUMN($O$1),FALSE)*VLOOKUP($D250,素材!$1:$1016,COLUMN($E$1),FALSE)/(LEN(VLOOKUP($D250,素材!$1:$1016,COLUMN($F$1),FALSE)) - LEN(SUBSTITUTE(VLOOKUP($D250,素材!$1:$1016,COLUMN($F$1),FALSE), "・", 0)) + 1), 0)</f>
        <v>0</v>
      </c>
      <c r="AG250">
        <f>IF(ISNUMBER(SEARCH(SUBSTITUTE(AG$1,RIGHT(AG$1,2),""),VLOOKUP($D250,素材!$1:$1016,COLUMN($F$1),FALSE))),VLOOKUP($C250,武器!$1:$998,COLUMN($O$1),FALSE)*VLOOKUP($D250,素材!$1:$1016,COLUMN($E$1),FALSE)/(LEN(VLOOKUP($D250,素材!$1:$1016,COLUMN($F$1),FALSE)) - LEN(SUBSTITUTE(VLOOKUP($D250,素材!$1:$1016,COLUMN($F$1),FALSE), "・", 0)) + 1), 0)</f>
        <v>0</v>
      </c>
      <c r="AH250">
        <f>IF(ISNUMBER(SEARCH(SUBSTITUTE(AH$1,RIGHT(AH$1,2),""),VLOOKUP($D250,素材!$1:$1016,COLUMN($F$1),FALSE))),VLOOKUP($C250,武器!$1:$998,COLUMN($O$1),FALSE)*VLOOKUP($D250,素材!$1:$1016,COLUMN($E$1),FALSE)/(LEN(VLOOKUP($D250,素材!$1:$1016,COLUMN($F$1),FALSE)) - LEN(SUBSTITUTE(VLOOKUP($D250,素材!$1:$1016,COLUMN($F$1),FALSE), "・", 0)) + 1), 0)</f>
        <v>0</v>
      </c>
      <c r="AI250">
        <f>IF(ISNUMBER(SEARCH(SUBSTITUTE(AI$1,RIGHT(AI$1,2),""),VLOOKUP($D250,素材!$1:$1016,COLUMN($F$1),FALSE))),VLOOKUP($C250,武器!$1:$998,COLUMN($O$1),FALSE)*VLOOKUP($D250,素材!$1:$1016,COLUMN($E$1),FALSE)/(LEN(VLOOKUP($D250,素材!$1:$1016,COLUMN($F$1),FALSE)) - LEN(SUBSTITUTE(VLOOKUP($D250,素材!$1:$1016,COLUMN($F$1),FALSE), "・", 0)) + 1), 0)</f>
        <v>0</v>
      </c>
      <c r="AJ250">
        <f>IF(ISNUMBER(SEARCH(SUBSTITUTE(AJ$1,RIGHT(AJ$1,2),""),VLOOKUP($D250,素材!$1:$1016,COLUMN($F$1),FALSE))),VLOOKUP($C250,武器!$1:$998,COLUMN($O$1),FALSE)*VLOOKUP($D250,素材!$1:$1016,COLUMN($E$1),FALSE)/(LEN(VLOOKUP($D250,素材!$1:$1016,COLUMN($F$1),FALSE)) - LEN(SUBSTITUTE(VLOOKUP($D250,素材!$1:$1016,COLUMN($F$1),FALSE), "・", 0)) + 1), 0)</f>
        <v>0</v>
      </c>
      <c r="AK250">
        <f>IF(ISNUMBER(SEARCH(SUBSTITUTE(AK$1,RIGHT(AK$1,2),""),VLOOKUP($D250,素材!$1:$1016,COLUMN($F$1),FALSE))),VLOOKUP($C250,武器!$1:$998,COLUMN($O$1),FALSE)*VLOOKUP($D250,素材!$1:$1016,COLUMN($E$1),FALSE)/(LEN(VLOOKUP($D250,素材!$1:$1016,COLUMN($F$1),FALSE)) - LEN(SUBSTITUTE(VLOOKUP($D250,素材!$1:$1016,COLUMN($F$1),FALSE), "・", 0)) + 1), 0)</f>
        <v>0</v>
      </c>
      <c r="AL250">
        <f>IF(ISNUMBER(SEARCH(SUBSTITUTE(AL$1,RIGHT(AL$1,2),""),VLOOKUP($D250,素材!$1:$1016,COLUMN($F$1),FALSE))),VLOOKUP($C250,武器!$1:$998,COLUMN($O$1),FALSE)*VLOOKUP($D250,素材!$1:$1016,COLUMN($E$1),FALSE)/(LEN(VLOOKUP($D250,素材!$1:$1016,COLUMN($F$1),FALSE)) - LEN(SUBSTITUTE(VLOOKUP($D250,素材!$1:$1016,COLUMN($F$1),FALSE), "・", 0)) + 1), 0)</f>
        <v>0</v>
      </c>
      <c r="AM250">
        <f>IF(ISNUMBER(SEARCH(SUBSTITUTE(AM$1,RIGHT(AM$1,2),""),VLOOKUP($D250,素材!$1:$1016,COLUMN($F$1),FALSE))),VLOOKUP($C250,武器!$1:$998,COLUMN($O$1),FALSE)*VLOOKUP($D250,素材!$1:$1016,COLUMN($E$1),FALSE)/(LEN(VLOOKUP($D250,素材!$1:$1016,COLUMN($F$1),FALSE)) - LEN(SUBSTITUTE(VLOOKUP($D250,素材!$1:$1016,COLUMN($F$1),FALSE), "・", 0)) + 1), 0)</f>
        <v>0</v>
      </c>
      <c r="AN250">
        <f>IF(ISNUMBER(SEARCH(SUBSTITUTE(AN$1,RIGHT(AN$1,2),""),VLOOKUP($D250,素材!$1:$1016,COLUMN($F$1),FALSE))),VLOOKUP($C250,武器!$1:$998,COLUMN($O$1),FALSE)*VLOOKUP($D250,素材!$1:$1016,COLUMN($E$1),FALSE)/(LEN(VLOOKUP($D250,素材!$1:$1016,COLUMN($F$1),FALSE)) - LEN(SUBSTITUTE(VLOOKUP($D250,素材!$1:$1016,COLUMN($F$1),FALSE), "・", 0)) + 1), 0)</f>
        <v>0</v>
      </c>
      <c r="AO250">
        <f>IF(ISNUMBER(SEARCH(SUBSTITUTE(AO$1,RIGHT(AO$1,2),""),VLOOKUP($D250,素材!$1:$1016,COLUMN($F$1),FALSE))),VLOOKUP($C250,武器!$1:$998,COLUMN($O$1),FALSE)*VLOOKUP($D250,素材!$1:$1016,COLUMN($E$1),FALSE)/(LEN(VLOOKUP($D250,素材!$1:$1016,COLUMN($F$1),FALSE)) - LEN(SUBSTITUTE(VLOOKUP($D250,素材!$1:$1016,COLUMN($F$1),FALSE), "・", 0)) + 1), 0)</f>
        <v>0</v>
      </c>
      <c r="AP250">
        <f>IF(ISNUMBER(SEARCH(SUBSTITUTE(AP$1,RIGHT(AP$1,2),""),VLOOKUP($D250,素材!$1:$1016,COLUMN($F$1),FALSE))),VLOOKUP($C250,武器!$1:$998,COLUMN($O$1),FALSE)*VLOOKUP($D250,素材!$1:$1016,COLUMN($E$1),FALSE)/(LEN(VLOOKUP($D250,素材!$1:$1016,COLUMN($F$1),FALSE)) - LEN(SUBSTITUTE(VLOOKUP($D250,素材!$1:$1016,COLUMN($F$1),FALSE), "・", 0)) + 1), 0)</f>
        <v>0</v>
      </c>
      <c r="AQ250">
        <f>IF(ISNUMBER(SEARCH(SUBSTITUTE(AQ$1,RIGHT(AQ$1,2),""),VLOOKUP($D250,素材!$1:$1016,COLUMN($F$1),FALSE))),VLOOKUP($C250,武器!$1:$998,COLUMN($O$1),FALSE)*VLOOKUP($D250,素材!$1:$1016,COLUMN($E$1),FALSE)/(LEN(VLOOKUP($D250,素材!$1:$1016,COLUMN($F$1),FALSE)) - LEN(SUBSTITUTE(VLOOKUP($D250,素材!$1:$1016,COLUMN($F$1),FALSE), "・", 0)) + 1), 0)</f>
        <v>0</v>
      </c>
      <c r="AR250">
        <f>IF(ISNUMBER(SEARCH(SUBSTITUTE(AR$1,RIGHT(AR$1,2),""),VLOOKUP($D250,素材!$1:$1016,COLUMN($F$1),FALSE))),VLOOKUP($C250,武器!$1:$998,COLUMN($O$1),FALSE)*VLOOKUP($D250,素材!$1:$1016,COLUMN($E$1),FALSE)/(LEN(VLOOKUP($D250,素材!$1:$1016,COLUMN($F$1),FALSE)) - LEN(SUBSTITUTE(VLOOKUP($D250,素材!$1:$1016,COLUMN($F$1),FALSE), "・", 0)) + 1), 0)</f>
        <v>0</v>
      </c>
      <c r="AS250">
        <f>IF(ISNUMBER(SEARCH(SUBSTITUTE(AS$1,RIGHT(AS$1,2),""),VLOOKUP($D250,素材!$1:$1016,COLUMN($F$1),FALSE))),VLOOKUP($C250,武器!$1:$998,COLUMN($O$1),FALSE)*VLOOKUP($D250,素材!$1:$1016,COLUMN($E$1),FALSE)/(LEN(VLOOKUP($D250,素材!$1:$1016,COLUMN($F$1),FALSE)) - LEN(SUBSTITUTE(VLOOKUP($D250,素材!$1:$1016,COLUMN($F$1),FALSE), "・", 0)) + 1), 0)</f>
        <v>0</v>
      </c>
      <c r="AT250">
        <f>IF(ISNUMBER(SEARCH(SUBSTITUTE(AT$1,RIGHT(AT$1,2),""),VLOOKUP($D250,素材!$1:$1016,COLUMN($F$1),FALSE))),VLOOKUP($C250,武器!$1:$998,COLUMN($O$1),FALSE)*VLOOKUP($D250,素材!$1:$1016,COLUMN($E$1),FALSE)/(LEN(VLOOKUP($D250,素材!$1:$1016,COLUMN($F$1),FALSE)) - LEN(SUBSTITUTE(VLOOKUP($D250,素材!$1:$1016,COLUMN($F$1),FALSE), "・", 0)) + 1), 0)</f>
        <v>0</v>
      </c>
      <c r="AU250">
        <f>IF(ISNUMBER(SEARCH(SUBSTITUTE(AU$1,RIGHT(AU$1,2),""),VLOOKUP($D250,素材!$1:$1016,COLUMN($F$1),FALSE))),VLOOKUP($C250,武器!$1:$998,COLUMN($O$1),FALSE)*VLOOKUP($D250,素材!$1:$1016,COLUMN($E$1),FALSE)/(LEN(VLOOKUP($D250,素材!$1:$1016,COLUMN($F$1),FALSE)) - LEN(SUBSTITUTE(VLOOKUP($D250,素材!$1:$1016,COLUMN($F$1),FALSE), "・", 0)) + 1), 0)</f>
        <v>0</v>
      </c>
      <c r="AV250">
        <f>IF(ISNUMBER(SEARCH(SUBSTITUTE(AV$1,RIGHT(AV$1,2),""),VLOOKUP($D250,素材!$1:$1016,COLUMN($F$1),FALSE))),VLOOKUP($C250,武器!$1:$998,COLUMN($O$1),FALSE)*VLOOKUP($D250,素材!$1:$1016,COLUMN($E$1),FALSE)/(LEN(VLOOKUP($D250,素材!$1:$1016,COLUMN($F$1),FALSE)) - LEN(SUBSTITUTE(VLOOKUP($D250,素材!$1:$1016,COLUMN($F$1),FALSE), "・", 0)) + 1), 0)</f>
        <v>0</v>
      </c>
      <c r="AW250">
        <f>IF(ISNUMBER(SEARCH(SUBSTITUTE(AW$1,RIGHT(AW$1,2),""),VLOOKUP($D250,素材!$1:$1016,COLUMN($F$1),FALSE))),VLOOKUP($C250,武器!$1:$998,COLUMN($O$1),FALSE)*VLOOKUP($D250,素材!$1:$1016,COLUMN($E$1),FALSE)/(LEN(VLOOKUP($D250,素材!$1:$1016,COLUMN($F$1),FALSE)) - LEN(SUBSTITUTE(VLOOKUP($D250,素材!$1:$1016,COLUMN($F$1),FALSE), "・", 0)) + 1), 0)</f>
        <v>0</v>
      </c>
      <c r="AX250">
        <f>IF(ISNUMBER(SEARCH(SUBSTITUTE(AX$1,RIGHT(AX$1,2),""),VLOOKUP($D250,素材!$1:$1016,COLUMN($F$1),FALSE))),VLOOKUP($C250,武器!$1:$998,COLUMN($O$1),FALSE)*VLOOKUP($D250,素材!$1:$1016,COLUMN($E$1),FALSE)/(LEN(VLOOKUP($D250,素材!$1:$1016,COLUMN($F$1),FALSE)) - LEN(SUBSTITUTE(VLOOKUP($D250,素材!$1:$1016,COLUMN($F$1),FALSE), "・", 0)) + 1), 0)</f>
        <v>0</v>
      </c>
      <c r="AY250">
        <f>IF(ISNUMBER(SEARCH(SUBSTITUTE(AY$1,RIGHT(AY$1,2),""),VLOOKUP($D250,素材!$1:$1016,COLUMN($F$1),FALSE))),VLOOKUP($C250,武器!$1:$998,COLUMN($O$1),FALSE)*VLOOKUP($D250,素材!$1:$1016,COLUMN($E$1),FALSE)/(LEN(VLOOKUP($D250,素材!$1:$1016,COLUMN($F$1),FALSE)) - LEN(SUBSTITUTE(VLOOKUP($D250,素材!$1:$1016,COLUMN($F$1),FALSE), "・", 0)) + 1), 0)</f>
        <v>0</v>
      </c>
      <c r="AZ250">
        <f>IF(ISNUMBER(SEARCH(SUBSTITUTE(AZ$1,RIGHT(AZ$1,2),""),VLOOKUP($D250,素材!$1:$1016,COLUMN($F$1),FALSE))),VLOOKUP($C250,武器!$1:$998,COLUMN($O$1),FALSE)*VLOOKUP($D250,素材!$1:$1016,COLUMN($E$1),FALSE)/(LEN(VLOOKUP($D250,素材!$1:$1016,COLUMN($F$1),FALSE)) - LEN(SUBSTITUTE(VLOOKUP($D250,素材!$1:$1016,COLUMN($F$1),FALSE), "・", 0)) + 1), 0)</f>
        <v>0</v>
      </c>
      <c r="BA250">
        <f>IF(ISNUMBER(SEARCH(SUBSTITUTE(BA$1,RIGHT(BA$1,2),""),VLOOKUP($D250,素材!$1:$1016,COLUMN($F$1),FALSE))),VLOOKUP($C250,武器!$1:$998,COLUMN($O$1),FALSE)*VLOOKUP($D250,素材!$1:$1016,COLUMN($E$1),FALSE)/(LEN(VLOOKUP($D250,素材!$1:$1016,COLUMN($F$1),FALSE)) - LEN(SUBSTITUTE(VLOOKUP($D250,素材!$1:$1016,COLUMN($F$1),FALSE), "・", 0)) + 1), 0)</f>
        <v>0</v>
      </c>
      <c r="BB250">
        <f>IF(ISNUMBER(SEARCH(SUBSTITUTE(BB$1,RIGHT(BB$1,2),""),VLOOKUP($D250,素材!$1:$1016,COLUMN($F$1),FALSE))),VLOOKUP($C250,武器!$1:$998,COLUMN($O$1),FALSE)*VLOOKUP($D250,素材!$1:$1016,COLUMN($E$1),FALSE)/(LEN(VLOOKUP($D250,素材!$1:$1016,COLUMN($F$1),FALSE)) - LEN(SUBSTITUTE(VLOOKUP($D250,素材!$1:$1016,COLUMN($F$1),FALSE), "・", 0)) + 1), 0)</f>
        <v>0</v>
      </c>
      <c r="BC250">
        <f>IF(ISNUMBER(SEARCH(SUBSTITUTE(BC$1,RIGHT(BC$1,2),""),VLOOKUP($D250,素材!$1:$1016,COLUMN($F$1),FALSE))),VLOOKUP($C250,武器!$1:$998,COLUMN($O$1),FALSE)*VLOOKUP($D250,素材!$1:$1016,COLUMN($E$1),FALSE)/(LEN(VLOOKUP($D250,素材!$1:$1016,COLUMN($F$1),FALSE)) - LEN(SUBSTITUTE(VLOOKUP($D250,素材!$1:$1016,COLUMN($F$1),FALSE), "・", 0)) + 1), 0)</f>
        <v>0</v>
      </c>
      <c r="BD250">
        <f>IF(ISNUMBER(SEARCH(SUBSTITUTE(BD$1,RIGHT(BD$1,2),""),VLOOKUP($D250,素材!$1:$1016,COLUMN($F$1),FALSE))),VLOOKUP($C250,武器!$1:$998,COLUMN($O$1),FALSE)*VLOOKUP($D250,素材!$1:$1016,COLUMN($E$1),FALSE)/(LEN(VLOOKUP($D250,素材!$1:$1016,COLUMN($F$1),FALSE)) - LEN(SUBSTITUTE(VLOOKUP($D250,素材!$1:$1016,COLUMN($F$1),FALSE), "・", 0)) + 1), 0)</f>
        <v>0</v>
      </c>
      <c r="BE250">
        <f>IF(ISNUMBER(SEARCH(SUBSTITUTE(BE$1,RIGHT(BE$1,2),""),VLOOKUP($D250,素材!$1:$1016,COLUMN($F$1),FALSE))),VLOOKUP($C250,武器!$1:$998,COLUMN($O$1),FALSE)*VLOOKUP($D250,素材!$1:$1016,COLUMN($E$1),FALSE)/(LEN(VLOOKUP($D250,素材!$1:$1016,COLUMN($F$1),FALSE)) - LEN(SUBSTITUTE(VLOOKUP($D250,素材!$1:$1016,COLUMN($F$1),FALSE), "・", 0)) + 1), 0)</f>
        <v>0</v>
      </c>
      <c r="CL250">
        <f>SUM(G250:I250)</f>
        <v>25</v>
      </c>
      <c r="CM250" s="22" t="str">
        <f>IF(E250="武器",IF(J250-1&gt;SUM(G250:I250),"盾",IF(MAX(G250:I250)=G250,"切断",IF(MAX(G250:I250)=H250,"貫通",IF(MAX(G250:I250)=I250,"打撃","射撃")))),E250)&amp;".webp"</f>
        <v>切断.webp</v>
      </c>
      <c r="CN250">
        <f>IFERROR(VLOOKUP($C250,武器!$1:$998,COLUMN(V$1),FALSE)*VLOOKUP($D250,素材!$1:$1016,COLUMN(N$1),FALSE)+IF(CI250="",0,VLOOKUP($CI250,装強!$1:$1008,COLUMN($CK$1),FALSE)),"")</f>
        <v>3000</v>
      </c>
      <c r="CO250">
        <f>VLOOKUP(D250,素材!$A:$O,COLUMN(素材!O$1),FALSE)</f>
        <v>0</v>
      </c>
      <c r="CP250" t="str">
        <f>VLOOKUP(C250,武器!$A:$W,COLUMN(武器!W$1),FALSE)</f>
        <v>戦斧。攻撃力が高く、重いが信頼性がある武器。</v>
      </c>
      <c r="CR250" t="str">
        <f t="shared" si="29"/>
        <v>e_250</v>
      </c>
      <c r="CS250">
        <f t="shared" si="30"/>
        <v>300000</v>
      </c>
    </row>
    <row r="251" spans="1:97" outlineLevel="1" x14ac:dyDescent="0.4">
      <c r="A251" t="str">
        <f t="shared" si="31"/>
        <v>熱鉄の鞭</v>
      </c>
      <c r="B251" t="str">
        <f>IFERROR(VLOOKUP($D251,素材!$1:$1016,COLUMN($B$1),FALSE)&amp;"・"&amp;VLOOKUP($C251,武器!$1:$998,COLUMN(B$1),FALSE),"")</f>
        <v>ヒートスティール・ウィップ</v>
      </c>
      <c r="C251" t="s">
        <v>223</v>
      </c>
      <c r="D251" s="24" t="s">
        <v>205</v>
      </c>
      <c r="E251" t="str">
        <f>IFERROR(VLOOKUP(C251,武器!$1:$998,COLUMN(C$1),FALSE),"")</f>
        <v>武器</v>
      </c>
      <c r="F251">
        <f>IFERROR(ROUNDDOWN((VLOOKUP($C251,武器!$1:$998,COLUMN(D$1),FALSE)+IFERROR(VLOOKUP($CI251,装強!$1:$999,COLUMN(F$1),FALSE),0))*VLOOKUP($D251,素材!$1:$1016,COLUMN(D$1),FALSE),0),"")</f>
        <v>105</v>
      </c>
      <c r="G251">
        <f>IFERROR(ROUNDDOWN((VLOOKUP($C251,武器!$1:$998,COLUMN(E$1),FALSE)+IFERROR(VLOOKUP($CI251,装強!$1:$999,COLUMN(G$1),FALSE),0))*VLOOKUP($D251,素材!$1:$1016,COLUMN($E$1),FALSE),0),"")</f>
        <v>18</v>
      </c>
      <c r="H251">
        <f>IFERROR(ROUNDDOWN((VLOOKUP($C251,武器!$1:$998,COLUMN(F$1),FALSE)+IFERROR(VLOOKUP($CI251,装強!$1:$999,COLUMN(H$1),FALSE),0))*VLOOKUP($D251,素材!$1:$1016,COLUMN($E$1),FALSE),0),"")</f>
        <v>0</v>
      </c>
      <c r="I251">
        <f>IFERROR(ROUNDDOWN((VLOOKUP($C251,武器!$1:$998,COLUMN(G$1),FALSE)+IFERROR(VLOOKUP($CI251,装強!$1:$999,COLUMN(I$1),FALSE),0))*VLOOKUP($D251,素材!$1:$1016,COLUMN($E$1),FALSE),0),"")</f>
        <v>4</v>
      </c>
      <c r="J251">
        <f>IFERROR(ROUNDDOWN((VLOOKUP($C251,武器!$1:$998,COLUMN(H$1),FALSE)+IFERROR(VLOOKUP($CI251,装強!$1:$999,COLUMN(J$1),FALSE),0))*VLOOKUP($D251,素材!$1:$1016,COLUMN($E$1),FALSE),0),"")</f>
        <v>11</v>
      </c>
      <c r="K251">
        <f>IFERROR(ROUNDDOWN((VLOOKUP($C251,武器!$1:$998,COLUMN(I$1),FALSE)+IFERROR(VLOOKUP($CI251,装強!$1:$999,COLUMN(K$1),FALSE),0))*VLOOKUP($D251,素材!$1:$1016,COLUMN($E$1),FALSE),0),"")</f>
        <v>0</v>
      </c>
      <c r="L251" t="str">
        <f>IFERROR(VLOOKUP($D251,素材!$1:$1016,COLUMN($F$1),FALSE),"")</f>
        <v>炎</v>
      </c>
      <c r="M251">
        <f>IFERROR(VLOOKUP($C251,武器!$1:$998,COLUMN(AA$1),FALSE)*VLOOKUP($D251,素材!$1:$1016,COLUMN($G$1),FALSE),"")</f>
        <v>38.5</v>
      </c>
      <c r="N251">
        <f>IFERROR(VLOOKUP($C251,武器!$1:$998,COLUMN(I$1),FALSE),"")</f>
        <v>0</v>
      </c>
      <c r="O251" s="23">
        <f>IFERROR((VLOOKUP($C251,武器!$1:$998,COLUMN(K$1),FALSE)+VLOOKUP($D251,素材!$1:$1016,COLUMN(H$1),FALSE))*100+IFERROR(VLOOKUP($CI251,装強!$1:$999,COLUMN(O$1),FALSE),0),"")</f>
        <v>10</v>
      </c>
      <c r="P251" s="23">
        <f>IFERROR((VLOOKUP($C251,武器!$1:$998,COLUMN(L$1),FALSE)+VLOOKUP($D251,素材!$1:$1016,COLUMN(I$1),FALSE))*100+IFERROR(VLOOKUP($CI251,装強!$1:$999,COLUMN(P$1),FALSE),0),"")</f>
        <v>150</v>
      </c>
      <c r="Q251">
        <f>IFERROR(ROUNDUP(VLOOKUP($C251,武器!$1:$998,COLUMN(M$1),FALSE)*(VLOOKUP($D251,素材!$1:$1002,COLUMN(D$1),FALSE)/100),1),"")</f>
        <v>0</v>
      </c>
      <c r="R251">
        <f>IFERROR(ROUNDUP(VLOOKUP($C251,武器!$1:$998,COLUMN(N$1),FALSE)*(VLOOKUP($D251,素材!$1:$1002,COLUMN(D$1),FALSE)/100),1),"")</f>
        <v>0</v>
      </c>
      <c r="S251">
        <f>IFERROR(VLOOKUP($C251,武器!$1:$998,COLUMN(P$1),FALSE),"")</f>
        <v>1</v>
      </c>
      <c r="T251">
        <f>IFERROR(VLOOKUP($C251,武器!$1:$998,COLUMN(Q$1),FALSE),"")</f>
        <v>0</v>
      </c>
      <c r="U251">
        <f>IFERROR(VLOOKUP($C251,武器!$1:$998,COLUMN(R$1),FALSE),"")</f>
        <v>0</v>
      </c>
      <c r="V251">
        <f>IFERROR(VLOOKUP($C251,武器!$1:$998,COLUMN(Q$1),FALSE),"")</f>
        <v>0</v>
      </c>
      <c r="W251" t="str">
        <f>IFERROR(VLOOKUP($C251,武器!$1:$998,COLUMN(T$1),FALSE),"")</f>
        <v>A</v>
      </c>
      <c r="Y251">
        <f>IFERROR(VLOOKUP($C251,武器!$1:$998,COLUMN(U$1),FALSE),"")</f>
        <v>0</v>
      </c>
      <c r="Z251">
        <f>IFERROR(ROUNDUP(VLOOKUP($C251,武器!$1:$998,COLUMN(O$1),FALSE)*VLOOKUP($D251,素材!$1:$1016,COLUMN(E$1),FALSE),1),"")</f>
        <v>0</v>
      </c>
      <c r="AA251">
        <f>IF(ISNUMBER(SEARCH(SUBSTITUTE(AA$1,RIGHT(AA$1,2),""),VLOOKUP($D251,素材!$1:$1016,COLUMN($F$1),FALSE))),VLOOKUP($C251,武器!$1:$998,COLUMN($O$1),FALSE)*VLOOKUP($D251,素材!$1:$1016,COLUMN($E$1),FALSE)/(LEN(VLOOKUP($D251,素材!$1:$1016,COLUMN($F$1),FALSE)) - LEN(SUBSTITUTE(VLOOKUP($D251,素材!$1:$1016,COLUMN($F$1),FALSE), "・", 0)) + 1), 0)</f>
        <v>0</v>
      </c>
      <c r="AB251">
        <f>IF(ISNUMBER(SEARCH(SUBSTITUTE(AB$1,RIGHT(AB$1,2),""),VLOOKUP($D251,素材!$1:$1016,COLUMN($F$1),FALSE))),VLOOKUP($C251,武器!$1:$998,COLUMN($O$1),FALSE)*VLOOKUP($D251,素材!$1:$1016,COLUMN($E$1),FALSE)/(LEN(VLOOKUP($D251,素材!$1:$1016,COLUMN($F$1),FALSE)) - LEN(SUBSTITUTE(VLOOKUP($D251,素材!$1:$1016,COLUMN($F$1),FALSE), "・", 0)) + 1), 0)</f>
        <v>0</v>
      </c>
      <c r="AC251">
        <f>IF(ISNUMBER(SEARCH(SUBSTITUTE(AC$1,RIGHT(AC$1,2),""),VLOOKUP($D251,素材!$1:$1016,COLUMN($F$1),FALSE))),VLOOKUP($C251,武器!$1:$998,COLUMN($O$1),FALSE)*VLOOKUP($D251,素材!$1:$1016,COLUMN($E$1),FALSE)/(LEN(VLOOKUP($D251,素材!$1:$1016,COLUMN($F$1),FALSE)) - LEN(SUBSTITUTE(VLOOKUP($D251,素材!$1:$1016,COLUMN($F$1),FALSE), "・", 0)) + 1), 0)</f>
        <v>0</v>
      </c>
      <c r="AD251">
        <f>IF(ISNUMBER(SEARCH(SUBSTITUTE(AD$1,RIGHT(AD$1,2),""),VLOOKUP($D251,素材!$1:$1016,COLUMN($F$1),FALSE))),VLOOKUP($C251,武器!$1:$998,COLUMN($O$1),FALSE)*VLOOKUP($D251,素材!$1:$1016,COLUMN($E$1),FALSE)/(LEN(VLOOKUP($D251,素材!$1:$1016,COLUMN($F$1),FALSE)) - LEN(SUBSTITUTE(VLOOKUP($D251,素材!$1:$1016,COLUMN($F$1),FALSE), "・", 0)) + 1), 0)</f>
        <v>0</v>
      </c>
      <c r="AE251">
        <f>IF(ISNUMBER(SEARCH(SUBSTITUTE(AE$1,RIGHT(AE$1,2),""),VLOOKUP($D251,素材!$1:$1016,COLUMN($F$1),FALSE))),VLOOKUP($C251,武器!$1:$998,COLUMN($O$1),FALSE)*VLOOKUP($D251,素材!$1:$1016,COLUMN($E$1),FALSE)/(LEN(VLOOKUP($D251,素材!$1:$1016,COLUMN($F$1),FALSE)) - LEN(SUBSTITUTE(VLOOKUP($D251,素材!$1:$1016,COLUMN($F$1),FALSE), "・", 0)) + 1), 0)</f>
        <v>0</v>
      </c>
      <c r="AF251">
        <f>IF(ISNUMBER(SEARCH(SUBSTITUTE(AF$1,RIGHT(AF$1,2),""),VLOOKUP($D251,素材!$1:$1016,COLUMN($F$1),FALSE))),VLOOKUP($C251,武器!$1:$998,COLUMN($O$1),FALSE)*VLOOKUP($D251,素材!$1:$1016,COLUMN($E$1),FALSE)/(LEN(VLOOKUP($D251,素材!$1:$1016,COLUMN($F$1),FALSE)) - LEN(SUBSTITUTE(VLOOKUP($D251,素材!$1:$1016,COLUMN($F$1),FALSE), "・", 0)) + 1), 0)</f>
        <v>0</v>
      </c>
      <c r="AG251">
        <f>IF(ISNUMBER(SEARCH(SUBSTITUTE(AG$1,RIGHT(AG$1,2),""),VLOOKUP($D251,素材!$1:$1016,COLUMN($F$1),FALSE))),VLOOKUP($C251,武器!$1:$998,COLUMN($O$1),FALSE)*VLOOKUP($D251,素材!$1:$1016,COLUMN($E$1),FALSE)/(LEN(VLOOKUP($D251,素材!$1:$1016,COLUMN($F$1),FALSE)) - LEN(SUBSTITUTE(VLOOKUP($D251,素材!$1:$1016,COLUMN($F$1),FALSE), "・", 0)) + 1), 0)</f>
        <v>0</v>
      </c>
      <c r="AH251">
        <f>IF(ISNUMBER(SEARCH(SUBSTITUTE(AH$1,RIGHT(AH$1,2),""),VLOOKUP($D251,素材!$1:$1016,COLUMN($F$1),FALSE))),VLOOKUP($C251,武器!$1:$998,COLUMN($O$1),FALSE)*VLOOKUP($D251,素材!$1:$1016,COLUMN($E$1),FALSE)/(LEN(VLOOKUP($D251,素材!$1:$1016,COLUMN($F$1),FALSE)) - LEN(SUBSTITUTE(VLOOKUP($D251,素材!$1:$1016,COLUMN($F$1),FALSE), "・", 0)) + 1), 0)</f>
        <v>0</v>
      </c>
      <c r="AI251">
        <f>IF(ISNUMBER(SEARCH(SUBSTITUTE(AI$1,RIGHT(AI$1,2),""),VLOOKUP($D251,素材!$1:$1016,COLUMN($F$1),FALSE))),VLOOKUP($C251,武器!$1:$998,COLUMN($O$1),FALSE)*VLOOKUP($D251,素材!$1:$1016,COLUMN($E$1),FALSE)/(LEN(VLOOKUP($D251,素材!$1:$1016,COLUMN($F$1),FALSE)) - LEN(SUBSTITUTE(VLOOKUP($D251,素材!$1:$1016,COLUMN($F$1),FALSE), "・", 0)) + 1), 0)</f>
        <v>0</v>
      </c>
      <c r="AJ251">
        <f>IF(ISNUMBER(SEARCH(SUBSTITUTE(AJ$1,RIGHT(AJ$1,2),""),VLOOKUP($D251,素材!$1:$1016,COLUMN($F$1),FALSE))),VLOOKUP($C251,武器!$1:$998,COLUMN($O$1),FALSE)*VLOOKUP($D251,素材!$1:$1016,COLUMN($E$1),FALSE)/(LEN(VLOOKUP($D251,素材!$1:$1016,COLUMN($F$1),FALSE)) - LEN(SUBSTITUTE(VLOOKUP($D251,素材!$1:$1016,COLUMN($F$1),FALSE), "・", 0)) + 1), 0)</f>
        <v>0</v>
      </c>
      <c r="AK251">
        <f>IF(ISNUMBER(SEARCH(SUBSTITUTE(AK$1,RIGHT(AK$1,2),""),VLOOKUP($D251,素材!$1:$1016,COLUMN($F$1),FALSE))),VLOOKUP($C251,武器!$1:$998,COLUMN($O$1),FALSE)*VLOOKUP($D251,素材!$1:$1016,COLUMN($E$1),FALSE)/(LEN(VLOOKUP($D251,素材!$1:$1016,COLUMN($F$1),FALSE)) - LEN(SUBSTITUTE(VLOOKUP($D251,素材!$1:$1016,COLUMN($F$1),FALSE), "・", 0)) + 1), 0)</f>
        <v>0</v>
      </c>
      <c r="AL251">
        <f>IF(ISNUMBER(SEARCH(SUBSTITUTE(AL$1,RIGHT(AL$1,2),""),VLOOKUP($D251,素材!$1:$1016,COLUMN($F$1),FALSE))),VLOOKUP($C251,武器!$1:$998,COLUMN($O$1),FALSE)*VLOOKUP($D251,素材!$1:$1016,COLUMN($E$1),FALSE)/(LEN(VLOOKUP($D251,素材!$1:$1016,COLUMN($F$1),FALSE)) - LEN(SUBSTITUTE(VLOOKUP($D251,素材!$1:$1016,COLUMN($F$1),FALSE), "・", 0)) + 1), 0)</f>
        <v>0</v>
      </c>
      <c r="AM251">
        <f>IF(ISNUMBER(SEARCH(SUBSTITUTE(AM$1,RIGHT(AM$1,2),""),VLOOKUP($D251,素材!$1:$1016,COLUMN($F$1),FALSE))),VLOOKUP($C251,武器!$1:$998,COLUMN($O$1),FALSE)*VLOOKUP($D251,素材!$1:$1016,COLUMN($E$1),FALSE)/(LEN(VLOOKUP($D251,素材!$1:$1016,COLUMN($F$1),FALSE)) - LEN(SUBSTITUTE(VLOOKUP($D251,素材!$1:$1016,COLUMN($F$1),FALSE), "・", 0)) + 1), 0)</f>
        <v>0</v>
      </c>
      <c r="AN251">
        <f>IF(ISNUMBER(SEARCH(SUBSTITUTE(AN$1,RIGHT(AN$1,2),""),VLOOKUP($D251,素材!$1:$1016,COLUMN($F$1),FALSE))),VLOOKUP($C251,武器!$1:$998,COLUMN($O$1),FALSE)*VLOOKUP($D251,素材!$1:$1016,COLUMN($E$1),FALSE)/(LEN(VLOOKUP($D251,素材!$1:$1016,COLUMN($F$1),FALSE)) - LEN(SUBSTITUTE(VLOOKUP($D251,素材!$1:$1016,COLUMN($F$1),FALSE), "・", 0)) + 1), 0)</f>
        <v>0</v>
      </c>
      <c r="AO251">
        <f>IF(ISNUMBER(SEARCH(SUBSTITUTE(AO$1,RIGHT(AO$1,2),""),VLOOKUP($D251,素材!$1:$1016,COLUMN($F$1),FALSE))),VLOOKUP($C251,武器!$1:$998,COLUMN($O$1),FALSE)*VLOOKUP($D251,素材!$1:$1016,COLUMN($E$1),FALSE)/(LEN(VLOOKUP($D251,素材!$1:$1016,COLUMN($F$1),FALSE)) - LEN(SUBSTITUTE(VLOOKUP($D251,素材!$1:$1016,COLUMN($F$1),FALSE), "・", 0)) + 1), 0)</f>
        <v>0</v>
      </c>
      <c r="AP251">
        <f>IF(ISNUMBER(SEARCH(SUBSTITUTE(AP$1,RIGHT(AP$1,2),""),VLOOKUP($D251,素材!$1:$1016,COLUMN($F$1),FALSE))),VLOOKUP($C251,武器!$1:$998,COLUMN($O$1),FALSE)*VLOOKUP($D251,素材!$1:$1016,COLUMN($E$1),FALSE)/(LEN(VLOOKUP($D251,素材!$1:$1016,COLUMN($F$1),FALSE)) - LEN(SUBSTITUTE(VLOOKUP($D251,素材!$1:$1016,COLUMN($F$1),FALSE), "・", 0)) + 1), 0)</f>
        <v>0</v>
      </c>
      <c r="AQ251">
        <f>IF(ISNUMBER(SEARCH(SUBSTITUTE(AQ$1,RIGHT(AQ$1,2),""),VLOOKUP($D251,素材!$1:$1016,COLUMN($F$1),FALSE))),VLOOKUP($C251,武器!$1:$998,COLUMN($O$1),FALSE)*VLOOKUP($D251,素材!$1:$1016,COLUMN($E$1),FALSE)/(LEN(VLOOKUP($D251,素材!$1:$1016,COLUMN($F$1),FALSE)) - LEN(SUBSTITUTE(VLOOKUP($D251,素材!$1:$1016,COLUMN($F$1),FALSE), "・", 0)) + 1), 0)</f>
        <v>0</v>
      </c>
      <c r="AR251">
        <f>IF(ISNUMBER(SEARCH(SUBSTITUTE(AR$1,RIGHT(AR$1,2),""),VLOOKUP($D251,素材!$1:$1016,COLUMN($F$1),FALSE))),VLOOKUP($C251,武器!$1:$998,COLUMN($O$1),FALSE)*VLOOKUP($D251,素材!$1:$1016,COLUMN($E$1),FALSE)/(LEN(VLOOKUP($D251,素材!$1:$1016,COLUMN($F$1),FALSE)) - LEN(SUBSTITUTE(VLOOKUP($D251,素材!$1:$1016,COLUMN($F$1),FALSE), "・", 0)) + 1), 0)</f>
        <v>0</v>
      </c>
      <c r="AS251">
        <f>IF(ISNUMBER(SEARCH(SUBSTITUTE(AS$1,RIGHT(AS$1,2),""),VLOOKUP($D251,素材!$1:$1016,COLUMN($F$1),FALSE))),VLOOKUP($C251,武器!$1:$998,COLUMN($O$1),FALSE)*VLOOKUP($D251,素材!$1:$1016,COLUMN($E$1),FALSE)/(LEN(VLOOKUP($D251,素材!$1:$1016,COLUMN($F$1),FALSE)) - LEN(SUBSTITUTE(VLOOKUP($D251,素材!$1:$1016,COLUMN($F$1),FALSE), "・", 0)) + 1), 0)</f>
        <v>0</v>
      </c>
      <c r="AT251">
        <f>IF(ISNUMBER(SEARCH(SUBSTITUTE(AT$1,RIGHT(AT$1,2),""),VLOOKUP($D251,素材!$1:$1016,COLUMN($F$1),FALSE))),VLOOKUP($C251,武器!$1:$998,COLUMN($O$1),FALSE)*VLOOKUP($D251,素材!$1:$1016,COLUMN($E$1),FALSE)/(LEN(VLOOKUP($D251,素材!$1:$1016,COLUMN($F$1),FALSE)) - LEN(SUBSTITUTE(VLOOKUP($D251,素材!$1:$1016,COLUMN($F$1),FALSE), "・", 0)) + 1), 0)</f>
        <v>0</v>
      </c>
      <c r="AU251">
        <f>IF(ISNUMBER(SEARCH(SUBSTITUTE(AU$1,RIGHT(AU$1,2),""),VLOOKUP($D251,素材!$1:$1016,COLUMN($F$1),FALSE))),VLOOKUP($C251,武器!$1:$998,COLUMN($O$1),FALSE)*VLOOKUP($D251,素材!$1:$1016,COLUMN($E$1),FALSE)/(LEN(VLOOKUP($D251,素材!$1:$1016,COLUMN($F$1),FALSE)) - LEN(SUBSTITUTE(VLOOKUP($D251,素材!$1:$1016,COLUMN($F$1),FALSE), "・", 0)) + 1), 0)</f>
        <v>0</v>
      </c>
      <c r="AV251">
        <f>IF(ISNUMBER(SEARCH(SUBSTITUTE(AV$1,RIGHT(AV$1,2),""),VLOOKUP($D251,素材!$1:$1016,COLUMN($F$1),FALSE))),VLOOKUP($C251,武器!$1:$998,COLUMN($O$1),FALSE)*VLOOKUP($D251,素材!$1:$1016,COLUMN($E$1),FALSE)/(LEN(VLOOKUP($D251,素材!$1:$1016,COLUMN($F$1),FALSE)) - LEN(SUBSTITUTE(VLOOKUP($D251,素材!$1:$1016,COLUMN($F$1),FALSE), "・", 0)) + 1), 0)</f>
        <v>0</v>
      </c>
      <c r="AW251">
        <f>IF(ISNUMBER(SEARCH(SUBSTITUTE(AW$1,RIGHT(AW$1,2),""),VLOOKUP($D251,素材!$1:$1016,COLUMN($F$1),FALSE))),VLOOKUP($C251,武器!$1:$998,COLUMN($O$1),FALSE)*VLOOKUP($D251,素材!$1:$1016,COLUMN($E$1),FALSE)/(LEN(VLOOKUP($D251,素材!$1:$1016,COLUMN($F$1),FALSE)) - LEN(SUBSTITUTE(VLOOKUP($D251,素材!$1:$1016,COLUMN($F$1),FALSE), "・", 0)) + 1), 0)</f>
        <v>0</v>
      </c>
      <c r="AX251">
        <f>IF(ISNUMBER(SEARCH(SUBSTITUTE(AX$1,RIGHT(AX$1,2),""),VLOOKUP($D251,素材!$1:$1016,COLUMN($F$1),FALSE))),VLOOKUP($C251,武器!$1:$998,COLUMN($O$1),FALSE)*VLOOKUP($D251,素材!$1:$1016,COLUMN($E$1),FALSE)/(LEN(VLOOKUP($D251,素材!$1:$1016,COLUMN($F$1),FALSE)) - LEN(SUBSTITUTE(VLOOKUP($D251,素材!$1:$1016,COLUMN($F$1),FALSE), "・", 0)) + 1), 0)</f>
        <v>0</v>
      </c>
      <c r="AY251">
        <f>IF(ISNUMBER(SEARCH(SUBSTITUTE(AY$1,RIGHT(AY$1,2),""),VLOOKUP($D251,素材!$1:$1016,COLUMN($F$1),FALSE))),VLOOKUP($C251,武器!$1:$998,COLUMN($O$1),FALSE)*VLOOKUP($D251,素材!$1:$1016,COLUMN($E$1),FALSE)/(LEN(VLOOKUP($D251,素材!$1:$1016,COLUMN($F$1),FALSE)) - LEN(SUBSTITUTE(VLOOKUP($D251,素材!$1:$1016,COLUMN($F$1),FALSE), "・", 0)) + 1), 0)</f>
        <v>0</v>
      </c>
      <c r="AZ251">
        <f>IF(ISNUMBER(SEARCH(SUBSTITUTE(AZ$1,RIGHT(AZ$1,2),""),VLOOKUP($D251,素材!$1:$1016,COLUMN($F$1),FALSE))),VLOOKUP($C251,武器!$1:$998,COLUMN($O$1),FALSE)*VLOOKUP($D251,素材!$1:$1016,COLUMN($E$1),FALSE)/(LEN(VLOOKUP($D251,素材!$1:$1016,COLUMN($F$1),FALSE)) - LEN(SUBSTITUTE(VLOOKUP($D251,素材!$1:$1016,COLUMN($F$1),FALSE), "・", 0)) + 1), 0)</f>
        <v>0</v>
      </c>
      <c r="BA251">
        <f>IF(ISNUMBER(SEARCH(SUBSTITUTE(BA$1,RIGHT(BA$1,2),""),VLOOKUP($D251,素材!$1:$1016,COLUMN($F$1),FALSE))),VLOOKUP($C251,武器!$1:$998,COLUMN($O$1),FALSE)*VLOOKUP($D251,素材!$1:$1016,COLUMN($E$1),FALSE)/(LEN(VLOOKUP($D251,素材!$1:$1016,COLUMN($F$1),FALSE)) - LEN(SUBSTITUTE(VLOOKUP($D251,素材!$1:$1016,COLUMN($F$1),FALSE), "・", 0)) + 1), 0)</f>
        <v>0</v>
      </c>
      <c r="BB251">
        <f>IF(ISNUMBER(SEARCH(SUBSTITUTE(BB$1,RIGHT(BB$1,2),""),VLOOKUP($D251,素材!$1:$1016,COLUMN($F$1),FALSE))),VLOOKUP($C251,武器!$1:$998,COLUMN($O$1),FALSE)*VLOOKUP($D251,素材!$1:$1016,COLUMN($E$1),FALSE)/(LEN(VLOOKUP($D251,素材!$1:$1016,COLUMN($F$1),FALSE)) - LEN(SUBSTITUTE(VLOOKUP($D251,素材!$1:$1016,COLUMN($F$1),FALSE), "・", 0)) + 1), 0)</f>
        <v>0</v>
      </c>
      <c r="BC251">
        <f>IF(ISNUMBER(SEARCH(SUBSTITUTE(BC$1,RIGHT(BC$1,2),""),VLOOKUP($D251,素材!$1:$1016,COLUMN($F$1),FALSE))),VLOOKUP($C251,武器!$1:$998,COLUMN($O$1),FALSE)*VLOOKUP($D251,素材!$1:$1016,COLUMN($E$1),FALSE)/(LEN(VLOOKUP($D251,素材!$1:$1016,COLUMN($F$1),FALSE)) - LEN(SUBSTITUTE(VLOOKUP($D251,素材!$1:$1016,COLUMN($F$1),FALSE), "・", 0)) + 1), 0)</f>
        <v>0</v>
      </c>
      <c r="BD251">
        <f>IF(ISNUMBER(SEARCH(SUBSTITUTE(BD$1,RIGHT(BD$1,2),""),VLOOKUP($D251,素材!$1:$1016,COLUMN($F$1),FALSE))),VLOOKUP($C251,武器!$1:$998,COLUMN($O$1),FALSE)*VLOOKUP($D251,素材!$1:$1016,COLUMN($E$1),FALSE)/(LEN(VLOOKUP($D251,素材!$1:$1016,COLUMN($F$1),FALSE)) - LEN(SUBSTITUTE(VLOOKUP($D251,素材!$1:$1016,COLUMN($F$1),FALSE), "・", 0)) + 1), 0)</f>
        <v>0</v>
      </c>
      <c r="BE251">
        <f>IF(ISNUMBER(SEARCH(SUBSTITUTE(BE$1,RIGHT(BE$1,2),""),VLOOKUP($D251,素材!$1:$1016,COLUMN($F$1),FALSE))),VLOOKUP($C251,武器!$1:$998,COLUMN($O$1),FALSE)*VLOOKUP($D251,素材!$1:$1016,COLUMN($E$1),FALSE)/(LEN(VLOOKUP($D251,素材!$1:$1016,COLUMN($F$1),FALSE)) - LEN(SUBSTITUTE(VLOOKUP($D251,素材!$1:$1016,COLUMN($F$1),FALSE), "・", 0)) + 1), 0)</f>
        <v>0</v>
      </c>
      <c r="CL251">
        <f>SUM(G251:I251)</f>
        <v>22</v>
      </c>
      <c r="CM251" s="22" t="str">
        <f>IF(E251="武器",IF(J251-1&gt;SUM(G251:I251),"盾",IF(MAX(G251:I251)=G251,"切断",IF(MAX(G251:I251)=H251,"貫通",IF(MAX(G251:I251)=I251,"打撃","射撃")))),E251)&amp;".webp"</f>
        <v>切断.webp</v>
      </c>
      <c r="CN251">
        <f>IFERROR(VLOOKUP($C251,武器!$1:$998,COLUMN(V$1),FALSE)*VLOOKUP($D251,素材!$1:$1016,COLUMN(N$1),FALSE)+IF(CI251="",0,VLOOKUP($CI251,装強!$1:$1008,COLUMN($CK$1),FALSE)),"")</f>
        <v>3750</v>
      </c>
      <c r="CO251">
        <f>VLOOKUP(D251,素材!$A:$O,COLUMN(素材!O$1),FALSE)</f>
        <v>0</v>
      </c>
      <c r="CP251" t="str">
        <f>VLOOKUP(C251,武器!$A:$W,COLUMN(武器!W$1),FALSE)</f>
        <v>鞭。リーチが長く、敵を絡め取る戦闘に適する。</v>
      </c>
      <c r="CR251" t="str">
        <f t="shared" si="29"/>
        <v>e_251</v>
      </c>
      <c r="CS251">
        <f t="shared" si="30"/>
        <v>375000</v>
      </c>
    </row>
    <row r="252" spans="1:97" outlineLevel="1" x14ac:dyDescent="0.4">
      <c r="A252" t="str">
        <f t="shared" si="31"/>
        <v>熱鉄の丸盾</v>
      </c>
      <c r="B252" t="str">
        <f>IFERROR(VLOOKUP($D252,素材!$1:$1016,COLUMN($B$1),FALSE)&amp;"・"&amp;VLOOKUP($C252,武器!$1:$998,COLUMN(B$1),FALSE),"")</f>
        <v>ヒートスティール・バックラー</v>
      </c>
      <c r="C252" t="s">
        <v>222</v>
      </c>
      <c r="D252" s="24" t="s">
        <v>205</v>
      </c>
      <c r="E252" t="str">
        <f>IFERROR(VLOOKUP(C252,武器!$1:$998,COLUMN(C$1),FALSE),"")</f>
        <v>盾</v>
      </c>
      <c r="F252">
        <f>IFERROR(ROUNDDOWN((VLOOKUP($C252,武器!$1:$998,COLUMN(D$1),FALSE)+IFERROR(VLOOKUP($CI252,装強!$1:$999,COLUMN(F$1),FALSE),0))*VLOOKUP($D252,素材!$1:$1016,COLUMN(D$1),FALSE),0),"")</f>
        <v>100</v>
      </c>
      <c r="G252">
        <f>IFERROR(ROUNDDOWN((VLOOKUP($C252,武器!$1:$998,COLUMN(E$1),FALSE)+IFERROR(VLOOKUP($CI252,装強!$1:$999,COLUMN(G$1),FALSE),0))*VLOOKUP($D252,素材!$1:$1016,COLUMN($E$1),FALSE),0),"")</f>
        <v>8</v>
      </c>
      <c r="H252">
        <f>IFERROR(ROUNDDOWN((VLOOKUP($C252,武器!$1:$998,COLUMN(F$1),FALSE)+IFERROR(VLOOKUP($CI252,装強!$1:$999,COLUMN(H$1),FALSE),0))*VLOOKUP($D252,素材!$1:$1016,COLUMN($E$1),FALSE),0),"")</f>
        <v>0</v>
      </c>
      <c r="I252">
        <f>IFERROR(ROUNDDOWN((VLOOKUP($C252,武器!$1:$998,COLUMN(G$1),FALSE)+IFERROR(VLOOKUP($CI252,装強!$1:$999,COLUMN(I$1),FALSE),0))*VLOOKUP($D252,素材!$1:$1016,COLUMN($E$1),FALSE),0),"")</f>
        <v>8</v>
      </c>
      <c r="J252">
        <f>IFERROR(ROUNDDOWN((VLOOKUP($C252,武器!$1:$998,COLUMN(H$1),FALSE)+IFERROR(VLOOKUP($CI252,装強!$1:$999,COLUMN(J$1),FALSE),0))*VLOOKUP($D252,素材!$1:$1016,COLUMN($E$1),FALSE),0),"")</f>
        <v>23</v>
      </c>
      <c r="K252">
        <f>IFERROR(ROUNDDOWN((VLOOKUP($C252,武器!$1:$998,COLUMN(I$1),FALSE)+IFERROR(VLOOKUP($CI252,装強!$1:$999,COLUMN(K$1),FALSE),0))*VLOOKUP($D252,素材!$1:$1016,COLUMN($E$1),FALSE),0),"")</f>
        <v>0</v>
      </c>
      <c r="L252" t="str">
        <f>IFERROR(VLOOKUP($D252,素材!$1:$1016,COLUMN($F$1),FALSE),"")</f>
        <v>炎</v>
      </c>
      <c r="M252">
        <f>IFERROR(VLOOKUP($C252,武器!$1:$998,COLUMN(AA$1),FALSE)*VLOOKUP($D252,素材!$1:$1016,COLUMN($G$1),FALSE),"")</f>
        <v>28</v>
      </c>
      <c r="N252">
        <f>IFERROR(VLOOKUP($C252,武器!$1:$998,COLUMN(I$1),FALSE),"")</f>
        <v>0</v>
      </c>
      <c r="O252" s="23">
        <f>IFERROR((VLOOKUP($C252,武器!$1:$998,COLUMN(K$1),FALSE)+VLOOKUP($D252,素材!$1:$1016,COLUMN(H$1),FALSE))*100+IFERROR(VLOOKUP($CI252,装強!$1:$999,COLUMN(O$1),FALSE),0),"")</f>
        <v>5</v>
      </c>
      <c r="P252" s="23">
        <f>IFERROR((VLOOKUP($C252,武器!$1:$998,COLUMN(L$1),FALSE)+VLOOKUP($D252,素材!$1:$1016,COLUMN(I$1),FALSE))*100+IFERROR(VLOOKUP($CI252,装強!$1:$999,COLUMN(P$1),FALSE),0),"")</f>
        <v>125</v>
      </c>
      <c r="Q252">
        <f>IFERROR(ROUNDUP(VLOOKUP($C252,武器!$1:$998,COLUMN(M$1),FALSE)*(VLOOKUP($D252,素材!$1:$1002,COLUMN(D$1),FALSE)/100),1),"")</f>
        <v>0</v>
      </c>
      <c r="R252">
        <f>IFERROR(ROUNDUP(VLOOKUP($C252,武器!$1:$998,COLUMN(N$1),FALSE)*(VLOOKUP($D252,素材!$1:$1002,COLUMN(D$1),FALSE)/100),1),"")</f>
        <v>0</v>
      </c>
      <c r="S252">
        <f>IFERROR(VLOOKUP($C252,武器!$1:$998,COLUMN(P$1),FALSE),"")</f>
        <v>0</v>
      </c>
      <c r="T252">
        <f>IFERROR(VLOOKUP($C252,武器!$1:$998,COLUMN(Q$1),FALSE),"")</f>
        <v>0</v>
      </c>
      <c r="U252">
        <f>IFERROR(VLOOKUP($C252,武器!$1:$998,COLUMN(R$1),FALSE),"")</f>
        <v>0</v>
      </c>
      <c r="V252">
        <f>IFERROR(VLOOKUP($C252,武器!$1:$998,COLUMN(Q$1),FALSE),"")</f>
        <v>0</v>
      </c>
      <c r="W252" t="str">
        <f>IFERROR(VLOOKUP($C252,武器!$1:$998,COLUMN(T$1),FALSE),"")</f>
        <v>A</v>
      </c>
      <c r="Y252" t="str">
        <f>IFERROR(VLOOKUP($C252,武器!$1:$998,COLUMN(U$1),FALSE),"")</f>
        <v>投擲強化,片手適性Ⅱ</v>
      </c>
      <c r="Z252">
        <f>IFERROR(ROUNDUP(VLOOKUP($C252,武器!$1:$998,COLUMN(O$1),FALSE)*VLOOKUP($D252,素材!$1:$1016,COLUMN(E$1),FALSE),1),"")</f>
        <v>0</v>
      </c>
      <c r="AA252">
        <f>IF(ISNUMBER(SEARCH(SUBSTITUTE(AA$1,RIGHT(AA$1,2),""),VLOOKUP($D252,素材!$1:$1016,COLUMN($F$1),FALSE))),VLOOKUP($C252,武器!$1:$998,COLUMN($O$1),FALSE)*VLOOKUP($D252,素材!$1:$1016,COLUMN($E$1),FALSE)/(LEN(VLOOKUP($D252,素材!$1:$1016,COLUMN($F$1),FALSE)) - LEN(SUBSTITUTE(VLOOKUP($D252,素材!$1:$1016,COLUMN($F$1),FALSE), "・", 0)) + 1), 0)</f>
        <v>0</v>
      </c>
      <c r="AB252">
        <f>IF(ISNUMBER(SEARCH(SUBSTITUTE(AB$1,RIGHT(AB$1,2),""),VLOOKUP($D252,素材!$1:$1016,COLUMN($F$1),FALSE))),VLOOKUP($C252,武器!$1:$998,COLUMN($O$1),FALSE)*VLOOKUP($D252,素材!$1:$1016,COLUMN($E$1),FALSE)/(LEN(VLOOKUP($D252,素材!$1:$1016,COLUMN($F$1),FALSE)) - LEN(SUBSTITUTE(VLOOKUP($D252,素材!$1:$1016,COLUMN($F$1),FALSE), "・", 0)) + 1), 0)</f>
        <v>0</v>
      </c>
      <c r="AC252">
        <f>IF(ISNUMBER(SEARCH(SUBSTITUTE(AC$1,RIGHT(AC$1,2),""),VLOOKUP($D252,素材!$1:$1016,COLUMN($F$1),FALSE))),VLOOKUP($C252,武器!$1:$998,COLUMN($O$1),FALSE)*VLOOKUP($D252,素材!$1:$1016,COLUMN($E$1),FALSE)/(LEN(VLOOKUP($D252,素材!$1:$1016,COLUMN($F$1),FALSE)) - LEN(SUBSTITUTE(VLOOKUP($D252,素材!$1:$1016,COLUMN($F$1),FALSE), "・", 0)) + 1), 0)</f>
        <v>0</v>
      </c>
      <c r="AD252">
        <f>IF(ISNUMBER(SEARCH(SUBSTITUTE(AD$1,RIGHT(AD$1,2),""),VLOOKUP($D252,素材!$1:$1016,COLUMN($F$1),FALSE))),VLOOKUP($C252,武器!$1:$998,COLUMN($O$1),FALSE)*VLOOKUP($D252,素材!$1:$1016,COLUMN($E$1),FALSE)/(LEN(VLOOKUP($D252,素材!$1:$1016,COLUMN($F$1),FALSE)) - LEN(SUBSTITUTE(VLOOKUP($D252,素材!$1:$1016,COLUMN($F$1),FALSE), "・", 0)) + 1), 0)</f>
        <v>0</v>
      </c>
      <c r="AE252">
        <f>IF(ISNUMBER(SEARCH(SUBSTITUTE(AE$1,RIGHT(AE$1,2),""),VLOOKUP($D252,素材!$1:$1016,COLUMN($F$1),FALSE))),VLOOKUP($C252,武器!$1:$998,COLUMN($O$1),FALSE)*VLOOKUP($D252,素材!$1:$1016,COLUMN($E$1),FALSE)/(LEN(VLOOKUP($D252,素材!$1:$1016,COLUMN($F$1),FALSE)) - LEN(SUBSTITUTE(VLOOKUP($D252,素材!$1:$1016,COLUMN($F$1),FALSE), "・", 0)) + 1), 0)</f>
        <v>0</v>
      </c>
      <c r="AF252">
        <f>IF(ISNUMBER(SEARCH(SUBSTITUTE(AF$1,RIGHT(AF$1,2),""),VLOOKUP($D252,素材!$1:$1016,COLUMN($F$1),FALSE))),VLOOKUP($C252,武器!$1:$998,COLUMN($O$1),FALSE)*VLOOKUP($D252,素材!$1:$1016,COLUMN($E$1),FALSE)/(LEN(VLOOKUP($D252,素材!$1:$1016,COLUMN($F$1),FALSE)) - LEN(SUBSTITUTE(VLOOKUP($D252,素材!$1:$1016,COLUMN($F$1),FALSE), "・", 0)) + 1), 0)</f>
        <v>0</v>
      </c>
      <c r="AG252">
        <f>IF(ISNUMBER(SEARCH(SUBSTITUTE(AG$1,RIGHT(AG$1,2),""),VLOOKUP($D252,素材!$1:$1016,COLUMN($F$1),FALSE))),VLOOKUP($C252,武器!$1:$998,COLUMN($O$1),FALSE)*VLOOKUP($D252,素材!$1:$1016,COLUMN($E$1),FALSE)/(LEN(VLOOKUP($D252,素材!$1:$1016,COLUMN($F$1),FALSE)) - LEN(SUBSTITUTE(VLOOKUP($D252,素材!$1:$1016,COLUMN($F$1),FALSE), "・", 0)) + 1), 0)</f>
        <v>0</v>
      </c>
      <c r="AH252">
        <f>IF(ISNUMBER(SEARCH(SUBSTITUTE(AH$1,RIGHT(AH$1,2),""),VLOOKUP($D252,素材!$1:$1016,COLUMN($F$1),FALSE))),VLOOKUP($C252,武器!$1:$998,COLUMN($O$1),FALSE)*VLOOKUP($D252,素材!$1:$1016,COLUMN($E$1),FALSE)/(LEN(VLOOKUP($D252,素材!$1:$1016,COLUMN($F$1),FALSE)) - LEN(SUBSTITUTE(VLOOKUP($D252,素材!$1:$1016,COLUMN($F$1),FALSE), "・", 0)) + 1), 0)</f>
        <v>0</v>
      </c>
      <c r="AI252">
        <f>IF(ISNUMBER(SEARCH(SUBSTITUTE(AI$1,RIGHT(AI$1,2),""),VLOOKUP($D252,素材!$1:$1016,COLUMN($F$1),FALSE))),VLOOKUP($C252,武器!$1:$998,COLUMN($O$1),FALSE)*VLOOKUP($D252,素材!$1:$1016,COLUMN($E$1),FALSE)/(LEN(VLOOKUP($D252,素材!$1:$1016,COLUMN($F$1),FALSE)) - LEN(SUBSTITUTE(VLOOKUP($D252,素材!$1:$1016,COLUMN($F$1),FALSE), "・", 0)) + 1), 0)</f>
        <v>0</v>
      </c>
      <c r="AJ252">
        <f>IF(ISNUMBER(SEARCH(SUBSTITUTE(AJ$1,RIGHT(AJ$1,2),""),VLOOKUP($D252,素材!$1:$1016,COLUMN($F$1),FALSE))),VLOOKUP($C252,武器!$1:$998,COLUMN($O$1),FALSE)*VLOOKUP($D252,素材!$1:$1016,COLUMN($E$1),FALSE)/(LEN(VLOOKUP($D252,素材!$1:$1016,COLUMN($F$1),FALSE)) - LEN(SUBSTITUTE(VLOOKUP($D252,素材!$1:$1016,COLUMN($F$1),FALSE), "・", 0)) + 1), 0)</f>
        <v>0</v>
      </c>
      <c r="AK252">
        <f>IF(ISNUMBER(SEARCH(SUBSTITUTE(AK$1,RIGHT(AK$1,2),""),VLOOKUP($D252,素材!$1:$1016,COLUMN($F$1),FALSE))),VLOOKUP($C252,武器!$1:$998,COLUMN($O$1),FALSE)*VLOOKUP($D252,素材!$1:$1016,COLUMN($E$1),FALSE)/(LEN(VLOOKUP($D252,素材!$1:$1016,COLUMN($F$1),FALSE)) - LEN(SUBSTITUTE(VLOOKUP($D252,素材!$1:$1016,COLUMN($F$1),FALSE), "・", 0)) + 1), 0)</f>
        <v>0</v>
      </c>
      <c r="AL252">
        <f>IF(ISNUMBER(SEARCH(SUBSTITUTE(AL$1,RIGHT(AL$1,2),""),VLOOKUP($D252,素材!$1:$1016,COLUMN($F$1),FALSE))),VLOOKUP($C252,武器!$1:$998,COLUMN($O$1),FALSE)*VLOOKUP($D252,素材!$1:$1016,COLUMN($E$1),FALSE)/(LEN(VLOOKUP($D252,素材!$1:$1016,COLUMN($F$1),FALSE)) - LEN(SUBSTITUTE(VLOOKUP($D252,素材!$1:$1016,COLUMN($F$1),FALSE), "・", 0)) + 1), 0)</f>
        <v>0</v>
      </c>
      <c r="AM252">
        <f>IF(ISNUMBER(SEARCH(SUBSTITUTE(AM$1,RIGHT(AM$1,2),""),VLOOKUP($D252,素材!$1:$1016,COLUMN($F$1),FALSE))),VLOOKUP($C252,武器!$1:$998,COLUMN($O$1),FALSE)*VLOOKUP($D252,素材!$1:$1016,COLUMN($E$1),FALSE)/(LEN(VLOOKUP($D252,素材!$1:$1016,COLUMN($F$1),FALSE)) - LEN(SUBSTITUTE(VLOOKUP($D252,素材!$1:$1016,COLUMN($F$1),FALSE), "・", 0)) + 1), 0)</f>
        <v>0</v>
      </c>
      <c r="AN252">
        <f>IF(ISNUMBER(SEARCH(SUBSTITUTE(AN$1,RIGHT(AN$1,2),""),VLOOKUP($D252,素材!$1:$1016,COLUMN($F$1),FALSE))),VLOOKUP($C252,武器!$1:$998,COLUMN($O$1),FALSE)*VLOOKUP($D252,素材!$1:$1016,COLUMN($E$1),FALSE)/(LEN(VLOOKUP($D252,素材!$1:$1016,COLUMN($F$1),FALSE)) - LEN(SUBSTITUTE(VLOOKUP($D252,素材!$1:$1016,COLUMN($F$1),FALSE), "・", 0)) + 1), 0)</f>
        <v>0</v>
      </c>
      <c r="AO252">
        <f>IF(ISNUMBER(SEARCH(SUBSTITUTE(AO$1,RIGHT(AO$1,2),""),VLOOKUP($D252,素材!$1:$1016,COLUMN($F$1),FALSE))),VLOOKUP($C252,武器!$1:$998,COLUMN($O$1),FALSE)*VLOOKUP($D252,素材!$1:$1016,COLUMN($E$1),FALSE)/(LEN(VLOOKUP($D252,素材!$1:$1016,COLUMN($F$1),FALSE)) - LEN(SUBSTITUTE(VLOOKUP($D252,素材!$1:$1016,COLUMN($F$1),FALSE), "・", 0)) + 1), 0)</f>
        <v>0</v>
      </c>
      <c r="AP252">
        <f>IF(ISNUMBER(SEARCH(SUBSTITUTE(AP$1,RIGHT(AP$1,2),""),VLOOKUP($D252,素材!$1:$1016,COLUMN($F$1),FALSE))),VLOOKUP($C252,武器!$1:$998,COLUMN($O$1),FALSE)*VLOOKUP($D252,素材!$1:$1016,COLUMN($E$1),FALSE)/(LEN(VLOOKUP($D252,素材!$1:$1016,COLUMN($F$1),FALSE)) - LEN(SUBSTITUTE(VLOOKUP($D252,素材!$1:$1016,COLUMN($F$1),FALSE), "・", 0)) + 1), 0)</f>
        <v>0</v>
      </c>
      <c r="AQ252">
        <f>IF(ISNUMBER(SEARCH(SUBSTITUTE(AQ$1,RIGHT(AQ$1,2),""),VLOOKUP($D252,素材!$1:$1016,COLUMN($F$1),FALSE))),VLOOKUP($C252,武器!$1:$998,COLUMN($O$1),FALSE)*VLOOKUP($D252,素材!$1:$1016,COLUMN($E$1),FALSE)/(LEN(VLOOKUP($D252,素材!$1:$1016,COLUMN($F$1),FALSE)) - LEN(SUBSTITUTE(VLOOKUP($D252,素材!$1:$1016,COLUMN($F$1),FALSE), "・", 0)) + 1), 0)</f>
        <v>0</v>
      </c>
      <c r="AR252">
        <f>IF(ISNUMBER(SEARCH(SUBSTITUTE(AR$1,RIGHT(AR$1,2),""),VLOOKUP($D252,素材!$1:$1016,COLUMN($F$1),FALSE))),VLOOKUP($C252,武器!$1:$998,COLUMN($O$1),FALSE)*VLOOKUP($D252,素材!$1:$1016,COLUMN($E$1),FALSE)/(LEN(VLOOKUP($D252,素材!$1:$1016,COLUMN($F$1),FALSE)) - LEN(SUBSTITUTE(VLOOKUP($D252,素材!$1:$1016,COLUMN($F$1),FALSE), "・", 0)) + 1), 0)</f>
        <v>0</v>
      </c>
      <c r="AS252">
        <f>IF(ISNUMBER(SEARCH(SUBSTITUTE(AS$1,RIGHT(AS$1,2),""),VLOOKUP($D252,素材!$1:$1016,COLUMN($F$1),FALSE))),VLOOKUP($C252,武器!$1:$998,COLUMN($O$1),FALSE)*VLOOKUP($D252,素材!$1:$1016,COLUMN($E$1),FALSE)/(LEN(VLOOKUP($D252,素材!$1:$1016,COLUMN($F$1),FALSE)) - LEN(SUBSTITUTE(VLOOKUP($D252,素材!$1:$1016,COLUMN($F$1),FALSE), "・", 0)) + 1), 0)</f>
        <v>0</v>
      </c>
      <c r="AT252">
        <f>IF(ISNUMBER(SEARCH(SUBSTITUTE(AT$1,RIGHT(AT$1,2),""),VLOOKUP($D252,素材!$1:$1016,COLUMN($F$1),FALSE))),VLOOKUP($C252,武器!$1:$998,COLUMN($O$1),FALSE)*VLOOKUP($D252,素材!$1:$1016,COLUMN($E$1),FALSE)/(LEN(VLOOKUP($D252,素材!$1:$1016,COLUMN($F$1),FALSE)) - LEN(SUBSTITUTE(VLOOKUP($D252,素材!$1:$1016,COLUMN($F$1),FALSE), "・", 0)) + 1), 0)</f>
        <v>0</v>
      </c>
      <c r="AU252">
        <f>IF(ISNUMBER(SEARCH(SUBSTITUTE(AU$1,RIGHT(AU$1,2),""),VLOOKUP($D252,素材!$1:$1016,COLUMN($F$1),FALSE))),VLOOKUP($C252,武器!$1:$998,COLUMN($O$1),FALSE)*VLOOKUP($D252,素材!$1:$1016,COLUMN($E$1),FALSE)/(LEN(VLOOKUP($D252,素材!$1:$1016,COLUMN($F$1),FALSE)) - LEN(SUBSTITUTE(VLOOKUP($D252,素材!$1:$1016,COLUMN($F$1),FALSE), "・", 0)) + 1), 0)</f>
        <v>0</v>
      </c>
      <c r="AV252">
        <f>IF(ISNUMBER(SEARCH(SUBSTITUTE(AV$1,RIGHT(AV$1,2),""),VLOOKUP($D252,素材!$1:$1016,COLUMN($F$1),FALSE))),VLOOKUP($C252,武器!$1:$998,COLUMN($O$1),FALSE)*VLOOKUP($D252,素材!$1:$1016,COLUMN($E$1),FALSE)/(LEN(VLOOKUP($D252,素材!$1:$1016,COLUMN($F$1),FALSE)) - LEN(SUBSTITUTE(VLOOKUP($D252,素材!$1:$1016,COLUMN($F$1),FALSE), "・", 0)) + 1), 0)</f>
        <v>0</v>
      </c>
      <c r="AW252">
        <f>IF(ISNUMBER(SEARCH(SUBSTITUTE(AW$1,RIGHT(AW$1,2),""),VLOOKUP($D252,素材!$1:$1016,COLUMN($F$1),FALSE))),VLOOKUP($C252,武器!$1:$998,COLUMN($O$1),FALSE)*VLOOKUP($D252,素材!$1:$1016,COLUMN($E$1),FALSE)/(LEN(VLOOKUP($D252,素材!$1:$1016,COLUMN($F$1),FALSE)) - LEN(SUBSTITUTE(VLOOKUP($D252,素材!$1:$1016,COLUMN($F$1),FALSE), "・", 0)) + 1), 0)</f>
        <v>0</v>
      </c>
      <c r="AX252">
        <f>IF(ISNUMBER(SEARCH(SUBSTITUTE(AX$1,RIGHT(AX$1,2),""),VLOOKUP($D252,素材!$1:$1016,COLUMN($F$1),FALSE))),VLOOKUP($C252,武器!$1:$998,COLUMN($O$1),FALSE)*VLOOKUP($D252,素材!$1:$1016,COLUMN($E$1),FALSE)/(LEN(VLOOKUP($D252,素材!$1:$1016,COLUMN($F$1),FALSE)) - LEN(SUBSTITUTE(VLOOKUP($D252,素材!$1:$1016,COLUMN($F$1),FALSE), "・", 0)) + 1), 0)</f>
        <v>0</v>
      </c>
      <c r="AY252">
        <f>IF(ISNUMBER(SEARCH(SUBSTITUTE(AY$1,RIGHT(AY$1,2),""),VLOOKUP($D252,素材!$1:$1016,COLUMN($F$1),FALSE))),VLOOKUP($C252,武器!$1:$998,COLUMN($O$1),FALSE)*VLOOKUP($D252,素材!$1:$1016,COLUMN($E$1),FALSE)/(LEN(VLOOKUP($D252,素材!$1:$1016,COLUMN($F$1),FALSE)) - LEN(SUBSTITUTE(VLOOKUP($D252,素材!$1:$1016,COLUMN($F$1),FALSE), "・", 0)) + 1), 0)</f>
        <v>0</v>
      </c>
      <c r="AZ252">
        <f>IF(ISNUMBER(SEARCH(SUBSTITUTE(AZ$1,RIGHT(AZ$1,2),""),VLOOKUP($D252,素材!$1:$1016,COLUMN($F$1),FALSE))),VLOOKUP($C252,武器!$1:$998,COLUMN($O$1),FALSE)*VLOOKUP($D252,素材!$1:$1016,COLUMN($E$1),FALSE)/(LEN(VLOOKUP($D252,素材!$1:$1016,COLUMN($F$1),FALSE)) - LEN(SUBSTITUTE(VLOOKUP($D252,素材!$1:$1016,COLUMN($F$1),FALSE), "・", 0)) + 1), 0)</f>
        <v>0</v>
      </c>
      <c r="BA252">
        <f>IF(ISNUMBER(SEARCH(SUBSTITUTE(BA$1,RIGHT(BA$1,2),""),VLOOKUP($D252,素材!$1:$1016,COLUMN($F$1),FALSE))),VLOOKUP($C252,武器!$1:$998,COLUMN($O$1),FALSE)*VLOOKUP($D252,素材!$1:$1016,COLUMN($E$1),FALSE)/(LEN(VLOOKUP($D252,素材!$1:$1016,COLUMN($F$1),FALSE)) - LEN(SUBSTITUTE(VLOOKUP($D252,素材!$1:$1016,COLUMN($F$1),FALSE), "・", 0)) + 1), 0)</f>
        <v>0</v>
      </c>
      <c r="BB252">
        <f>IF(ISNUMBER(SEARCH(SUBSTITUTE(BB$1,RIGHT(BB$1,2),""),VLOOKUP($D252,素材!$1:$1016,COLUMN($F$1),FALSE))),VLOOKUP($C252,武器!$1:$998,COLUMN($O$1),FALSE)*VLOOKUP($D252,素材!$1:$1016,COLUMN($E$1),FALSE)/(LEN(VLOOKUP($D252,素材!$1:$1016,COLUMN($F$1),FALSE)) - LEN(SUBSTITUTE(VLOOKUP($D252,素材!$1:$1016,COLUMN($F$1),FALSE), "・", 0)) + 1), 0)</f>
        <v>0</v>
      </c>
      <c r="BC252">
        <f>IF(ISNUMBER(SEARCH(SUBSTITUTE(BC$1,RIGHT(BC$1,2),""),VLOOKUP($D252,素材!$1:$1016,COLUMN($F$1),FALSE))),VLOOKUP($C252,武器!$1:$998,COLUMN($O$1),FALSE)*VLOOKUP($D252,素材!$1:$1016,COLUMN($E$1),FALSE)/(LEN(VLOOKUP($D252,素材!$1:$1016,COLUMN($F$1),FALSE)) - LEN(SUBSTITUTE(VLOOKUP($D252,素材!$1:$1016,COLUMN($F$1),FALSE), "・", 0)) + 1), 0)</f>
        <v>0</v>
      </c>
      <c r="BD252">
        <f>IF(ISNUMBER(SEARCH(SUBSTITUTE(BD$1,RIGHT(BD$1,2),""),VLOOKUP($D252,素材!$1:$1016,COLUMN($F$1),FALSE))),VLOOKUP($C252,武器!$1:$998,COLUMN($O$1),FALSE)*VLOOKUP($D252,素材!$1:$1016,COLUMN($E$1),FALSE)/(LEN(VLOOKUP($D252,素材!$1:$1016,COLUMN($F$1),FALSE)) - LEN(SUBSTITUTE(VLOOKUP($D252,素材!$1:$1016,COLUMN($F$1),FALSE), "・", 0)) + 1), 0)</f>
        <v>0</v>
      </c>
      <c r="BE252">
        <f>IF(ISNUMBER(SEARCH(SUBSTITUTE(BE$1,RIGHT(BE$1,2),""),VLOOKUP($D252,素材!$1:$1016,COLUMN($F$1),FALSE))),VLOOKUP($C252,武器!$1:$998,COLUMN($O$1),FALSE)*VLOOKUP($D252,素材!$1:$1016,COLUMN($E$1),FALSE)/(LEN(VLOOKUP($D252,素材!$1:$1016,COLUMN($F$1),FALSE)) - LEN(SUBSTITUTE(VLOOKUP($D252,素材!$1:$1016,COLUMN($F$1),FALSE), "・", 0)) + 1), 0)</f>
        <v>0</v>
      </c>
      <c r="CL252">
        <f>SUM(G252:I252)</f>
        <v>16</v>
      </c>
      <c r="CM252" s="22" t="str">
        <f>IF(E252="武器",IF(J252-1&gt;SUM(G252:I252),"盾",IF(MAX(G252:I252)=G252,"切断",IF(MAX(G252:I252)=H252,"貫通",IF(MAX(G252:I252)=I252,"打撃","射撃")))),E252)&amp;".webp"</f>
        <v>盾.webp</v>
      </c>
      <c r="CN252">
        <f>IFERROR(VLOOKUP($C252,武器!$1:$998,COLUMN(V$1),FALSE)*VLOOKUP($D252,素材!$1:$1016,COLUMN(N$1),FALSE)+IF(CI252="",0,VLOOKUP($CI252,装強!$1:$1008,COLUMN($CK$1),FALSE)),"")</f>
        <v>2250</v>
      </c>
      <c r="CO252">
        <f>VLOOKUP(D252,素材!$A:$O,COLUMN(素材!O$1),FALSE)</f>
        <v>0</v>
      </c>
      <c r="CP252" t="str">
        <f>VLOOKUP(C252,武器!$A:$W,COLUMN(武器!W$1),FALSE)</f>
        <v>丸盾。軽量で投擲にも使える盾。</v>
      </c>
      <c r="CR252" t="str">
        <f t="shared" si="29"/>
        <v>e_252</v>
      </c>
      <c r="CS252">
        <f t="shared" si="30"/>
        <v>225000</v>
      </c>
    </row>
    <row r="253" spans="1:97" outlineLevel="1" x14ac:dyDescent="0.4">
      <c r="A253" t="str">
        <f t="shared" si="31"/>
        <v>熱鉄の盾</v>
      </c>
      <c r="B253" t="str">
        <f>IFERROR(VLOOKUP($D253,素材!$1:$1016,COLUMN($B$1),FALSE)&amp;"・"&amp;VLOOKUP($C253,武器!$1:$998,COLUMN(B$1),FALSE),"")</f>
        <v>ヒートスティール・シールド</v>
      </c>
      <c r="C253" t="s">
        <v>221</v>
      </c>
      <c r="D253" s="24" t="s">
        <v>205</v>
      </c>
      <c r="E253" t="str">
        <f>IFERROR(VLOOKUP(C253,武器!$1:$998,COLUMN(C$1),FALSE),"")</f>
        <v>盾</v>
      </c>
      <c r="F253">
        <f>IFERROR(ROUNDDOWN((VLOOKUP($C253,武器!$1:$998,COLUMN(D$1),FALSE)+IFERROR(VLOOKUP($CI253,装強!$1:$999,COLUMN(F$1),FALSE),0))*VLOOKUP($D253,素材!$1:$1016,COLUMN(D$1),FALSE),0),"")</f>
        <v>100</v>
      </c>
      <c r="G253">
        <f>IFERROR(ROUNDDOWN((VLOOKUP($C253,武器!$1:$998,COLUMN(E$1),FALSE)+IFERROR(VLOOKUP($CI253,装強!$1:$999,COLUMN(G$1),FALSE),0))*VLOOKUP($D253,素材!$1:$1016,COLUMN($E$1),FALSE),0),"")</f>
        <v>0</v>
      </c>
      <c r="H253">
        <f>IFERROR(ROUNDDOWN((VLOOKUP($C253,武器!$1:$998,COLUMN(F$1),FALSE)+IFERROR(VLOOKUP($CI253,装強!$1:$999,COLUMN(H$1),FALSE),0))*VLOOKUP($D253,素材!$1:$1016,COLUMN($E$1),FALSE),0),"")</f>
        <v>0</v>
      </c>
      <c r="I253">
        <f>IFERROR(ROUNDDOWN((VLOOKUP($C253,武器!$1:$998,COLUMN(G$1),FALSE)+IFERROR(VLOOKUP($CI253,装強!$1:$999,COLUMN(I$1),FALSE),0))*VLOOKUP($D253,素材!$1:$1016,COLUMN($E$1),FALSE),0),"")</f>
        <v>16</v>
      </c>
      <c r="J253">
        <f>IFERROR(ROUNDDOWN((VLOOKUP($C253,武器!$1:$998,COLUMN(H$1),FALSE)+IFERROR(VLOOKUP($CI253,装強!$1:$999,COLUMN(J$1),FALSE),0))*VLOOKUP($D253,素材!$1:$1016,COLUMN($E$1),FALSE),0),"")</f>
        <v>25</v>
      </c>
      <c r="K253">
        <f>IFERROR(ROUNDDOWN((VLOOKUP($C253,武器!$1:$998,COLUMN(I$1),FALSE)+IFERROR(VLOOKUP($CI253,装強!$1:$999,COLUMN(K$1),FALSE),0))*VLOOKUP($D253,素材!$1:$1016,COLUMN($E$1),FALSE),0),"")</f>
        <v>0</v>
      </c>
      <c r="L253" t="str">
        <f>IFERROR(VLOOKUP($D253,素材!$1:$1016,COLUMN($F$1),FALSE),"")</f>
        <v>炎</v>
      </c>
      <c r="M253">
        <f>IFERROR(VLOOKUP($C253,武器!$1:$998,COLUMN(AA$1),FALSE)*VLOOKUP($D253,素材!$1:$1016,COLUMN($G$1),FALSE),"")</f>
        <v>28</v>
      </c>
      <c r="N253">
        <f>IFERROR(VLOOKUP($C253,武器!$1:$998,COLUMN(I$1),FALSE),"")</f>
        <v>0</v>
      </c>
      <c r="O253" s="23">
        <f>IFERROR((VLOOKUP($C253,武器!$1:$998,COLUMN(K$1),FALSE)+VLOOKUP($D253,素材!$1:$1016,COLUMN(H$1),FALSE))*100+IFERROR(VLOOKUP($CI253,装強!$1:$999,COLUMN(O$1),FALSE),0),"")</f>
        <v>5</v>
      </c>
      <c r="P253" s="23">
        <f>IFERROR((VLOOKUP($C253,武器!$1:$998,COLUMN(L$1),FALSE)+VLOOKUP($D253,素材!$1:$1016,COLUMN(I$1),FALSE))*100+IFERROR(VLOOKUP($CI253,装強!$1:$999,COLUMN(P$1),FALSE),0),"")</f>
        <v>125</v>
      </c>
      <c r="Q253">
        <f>IFERROR(ROUNDUP(VLOOKUP($C253,武器!$1:$998,COLUMN(M$1),FALSE)*(VLOOKUP($D253,素材!$1:$1002,COLUMN(D$1),FALSE)/100),1),"")</f>
        <v>0</v>
      </c>
      <c r="R253">
        <f>IFERROR(ROUNDUP(VLOOKUP($C253,武器!$1:$998,COLUMN(N$1),FALSE)*(VLOOKUP($D253,素材!$1:$1002,COLUMN(D$1),FALSE)/100),1),"")</f>
        <v>0</v>
      </c>
      <c r="S253">
        <f>IFERROR(VLOOKUP($C253,武器!$1:$998,COLUMN(P$1),FALSE),"")</f>
        <v>0</v>
      </c>
      <c r="T253">
        <f>IFERROR(VLOOKUP($C253,武器!$1:$998,COLUMN(Q$1),FALSE),"")</f>
        <v>0</v>
      </c>
      <c r="U253">
        <f>IFERROR(VLOOKUP($C253,武器!$1:$998,COLUMN(R$1),FALSE),"")</f>
        <v>0</v>
      </c>
      <c r="V253">
        <f>IFERROR(VLOOKUP($C253,武器!$1:$998,COLUMN(Q$1),FALSE),"")</f>
        <v>0</v>
      </c>
      <c r="W253" t="str">
        <f>IFERROR(VLOOKUP($C253,武器!$1:$998,COLUMN(T$1),FALSE),"")</f>
        <v>A</v>
      </c>
      <c r="Y253" t="str">
        <f>IFERROR(VLOOKUP($C253,武器!$1:$998,COLUMN(U$1),FALSE),"")</f>
        <v>片手適性Ⅱ</v>
      </c>
      <c r="Z253">
        <f>IFERROR(ROUNDUP(VLOOKUP($C253,武器!$1:$998,COLUMN(O$1),FALSE)*VLOOKUP($D253,素材!$1:$1016,COLUMN(E$1),FALSE),1),"")</f>
        <v>0</v>
      </c>
      <c r="AA253">
        <f>IF(ISNUMBER(SEARCH(SUBSTITUTE(AA$1,RIGHT(AA$1,2),""),VLOOKUP($D253,素材!$1:$1016,COLUMN($F$1),FALSE))),VLOOKUP($C253,武器!$1:$998,COLUMN($O$1),FALSE)*VLOOKUP($D253,素材!$1:$1016,COLUMN($E$1),FALSE)/(LEN(VLOOKUP($D253,素材!$1:$1016,COLUMN($F$1),FALSE)) - LEN(SUBSTITUTE(VLOOKUP($D253,素材!$1:$1016,COLUMN($F$1),FALSE), "・", 0)) + 1), 0)</f>
        <v>0</v>
      </c>
      <c r="AB253">
        <f>IF(ISNUMBER(SEARCH(SUBSTITUTE(AB$1,RIGHT(AB$1,2),""),VLOOKUP($D253,素材!$1:$1016,COLUMN($F$1),FALSE))),VLOOKUP($C253,武器!$1:$998,COLUMN($O$1),FALSE)*VLOOKUP($D253,素材!$1:$1016,COLUMN($E$1),FALSE)/(LEN(VLOOKUP($D253,素材!$1:$1016,COLUMN($F$1),FALSE)) - LEN(SUBSTITUTE(VLOOKUP($D253,素材!$1:$1016,COLUMN($F$1),FALSE), "・", 0)) + 1), 0)</f>
        <v>0</v>
      </c>
      <c r="AC253">
        <f>IF(ISNUMBER(SEARCH(SUBSTITUTE(AC$1,RIGHT(AC$1,2),""),VLOOKUP($D253,素材!$1:$1016,COLUMN($F$1),FALSE))),VLOOKUP($C253,武器!$1:$998,COLUMN($O$1),FALSE)*VLOOKUP($D253,素材!$1:$1016,COLUMN($E$1),FALSE)/(LEN(VLOOKUP($D253,素材!$1:$1016,COLUMN($F$1),FALSE)) - LEN(SUBSTITUTE(VLOOKUP($D253,素材!$1:$1016,COLUMN($F$1),FALSE), "・", 0)) + 1), 0)</f>
        <v>0</v>
      </c>
      <c r="AD253">
        <f>IF(ISNUMBER(SEARCH(SUBSTITUTE(AD$1,RIGHT(AD$1,2),""),VLOOKUP($D253,素材!$1:$1016,COLUMN($F$1),FALSE))),VLOOKUP($C253,武器!$1:$998,COLUMN($O$1),FALSE)*VLOOKUP($D253,素材!$1:$1016,COLUMN($E$1),FALSE)/(LEN(VLOOKUP($D253,素材!$1:$1016,COLUMN($F$1),FALSE)) - LEN(SUBSTITUTE(VLOOKUP($D253,素材!$1:$1016,COLUMN($F$1),FALSE), "・", 0)) + 1), 0)</f>
        <v>0</v>
      </c>
      <c r="AE253">
        <f>IF(ISNUMBER(SEARCH(SUBSTITUTE(AE$1,RIGHT(AE$1,2),""),VLOOKUP($D253,素材!$1:$1016,COLUMN($F$1),FALSE))),VLOOKUP($C253,武器!$1:$998,COLUMN($O$1),FALSE)*VLOOKUP($D253,素材!$1:$1016,COLUMN($E$1),FALSE)/(LEN(VLOOKUP($D253,素材!$1:$1016,COLUMN($F$1),FALSE)) - LEN(SUBSTITUTE(VLOOKUP($D253,素材!$1:$1016,COLUMN($F$1),FALSE), "・", 0)) + 1), 0)</f>
        <v>0</v>
      </c>
      <c r="AF253">
        <f>IF(ISNUMBER(SEARCH(SUBSTITUTE(AF$1,RIGHT(AF$1,2),""),VLOOKUP($D253,素材!$1:$1016,COLUMN($F$1),FALSE))),VLOOKUP($C253,武器!$1:$998,COLUMN($O$1),FALSE)*VLOOKUP($D253,素材!$1:$1016,COLUMN($E$1),FALSE)/(LEN(VLOOKUP($D253,素材!$1:$1016,COLUMN($F$1),FALSE)) - LEN(SUBSTITUTE(VLOOKUP($D253,素材!$1:$1016,COLUMN($F$1),FALSE), "・", 0)) + 1), 0)</f>
        <v>0</v>
      </c>
      <c r="AG253">
        <f>IF(ISNUMBER(SEARCH(SUBSTITUTE(AG$1,RIGHT(AG$1,2),""),VLOOKUP($D253,素材!$1:$1016,COLUMN($F$1),FALSE))),VLOOKUP($C253,武器!$1:$998,COLUMN($O$1),FALSE)*VLOOKUP($D253,素材!$1:$1016,COLUMN($E$1),FALSE)/(LEN(VLOOKUP($D253,素材!$1:$1016,COLUMN($F$1),FALSE)) - LEN(SUBSTITUTE(VLOOKUP($D253,素材!$1:$1016,COLUMN($F$1),FALSE), "・", 0)) + 1), 0)</f>
        <v>0</v>
      </c>
      <c r="AH253">
        <f>IF(ISNUMBER(SEARCH(SUBSTITUTE(AH$1,RIGHT(AH$1,2),""),VLOOKUP($D253,素材!$1:$1016,COLUMN($F$1),FALSE))),VLOOKUP($C253,武器!$1:$998,COLUMN($O$1),FALSE)*VLOOKUP($D253,素材!$1:$1016,COLUMN($E$1),FALSE)/(LEN(VLOOKUP($D253,素材!$1:$1016,COLUMN($F$1),FALSE)) - LEN(SUBSTITUTE(VLOOKUP($D253,素材!$1:$1016,COLUMN($F$1),FALSE), "・", 0)) + 1), 0)</f>
        <v>0</v>
      </c>
      <c r="AI253">
        <f>IF(ISNUMBER(SEARCH(SUBSTITUTE(AI$1,RIGHT(AI$1,2),""),VLOOKUP($D253,素材!$1:$1016,COLUMN($F$1),FALSE))),VLOOKUP($C253,武器!$1:$998,COLUMN($O$1),FALSE)*VLOOKUP($D253,素材!$1:$1016,COLUMN($E$1),FALSE)/(LEN(VLOOKUP($D253,素材!$1:$1016,COLUMN($F$1),FALSE)) - LEN(SUBSTITUTE(VLOOKUP($D253,素材!$1:$1016,COLUMN($F$1),FALSE), "・", 0)) + 1), 0)</f>
        <v>0</v>
      </c>
      <c r="AJ253">
        <f>IF(ISNUMBER(SEARCH(SUBSTITUTE(AJ$1,RIGHT(AJ$1,2),""),VLOOKUP($D253,素材!$1:$1016,COLUMN($F$1),FALSE))),VLOOKUP($C253,武器!$1:$998,COLUMN($O$1),FALSE)*VLOOKUP($D253,素材!$1:$1016,COLUMN($E$1),FALSE)/(LEN(VLOOKUP($D253,素材!$1:$1016,COLUMN($F$1),FALSE)) - LEN(SUBSTITUTE(VLOOKUP($D253,素材!$1:$1016,COLUMN($F$1),FALSE), "・", 0)) + 1), 0)</f>
        <v>0</v>
      </c>
      <c r="AK253">
        <f>IF(ISNUMBER(SEARCH(SUBSTITUTE(AK$1,RIGHT(AK$1,2),""),VLOOKUP($D253,素材!$1:$1016,COLUMN($F$1),FALSE))),VLOOKUP($C253,武器!$1:$998,COLUMN($O$1),FALSE)*VLOOKUP($D253,素材!$1:$1016,COLUMN($E$1),FALSE)/(LEN(VLOOKUP($D253,素材!$1:$1016,COLUMN($F$1),FALSE)) - LEN(SUBSTITUTE(VLOOKUP($D253,素材!$1:$1016,COLUMN($F$1),FALSE), "・", 0)) + 1), 0)</f>
        <v>0</v>
      </c>
      <c r="AL253">
        <f>IF(ISNUMBER(SEARCH(SUBSTITUTE(AL$1,RIGHT(AL$1,2),""),VLOOKUP($D253,素材!$1:$1016,COLUMN($F$1),FALSE))),VLOOKUP($C253,武器!$1:$998,COLUMN($O$1),FALSE)*VLOOKUP($D253,素材!$1:$1016,COLUMN($E$1),FALSE)/(LEN(VLOOKUP($D253,素材!$1:$1016,COLUMN($F$1),FALSE)) - LEN(SUBSTITUTE(VLOOKUP($D253,素材!$1:$1016,COLUMN($F$1),FALSE), "・", 0)) + 1), 0)</f>
        <v>0</v>
      </c>
      <c r="AM253">
        <f>IF(ISNUMBER(SEARCH(SUBSTITUTE(AM$1,RIGHT(AM$1,2),""),VLOOKUP($D253,素材!$1:$1016,COLUMN($F$1),FALSE))),VLOOKUP($C253,武器!$1:$998,COLUMN($O$1),FALSE)*VLOOKUP($D253,素材!$1:$1016,COLUMN($E$1),FALSE)/(LEN(VLOOKUP($D253,素材!$1:$1016,COLUMN($F$1),FALSE)) - LEN(SUBSTITUTE(VLOOKUP($D253,素材!$1:$1016,COLUMN($F$1),FALSE), "・", 0)) + 1), 0)</f>
        <v>0</v>
      </c>
      <c r="AN253">
        <f>IF(ISNUMBER(SEARCH(SUBSTITUTE(AN$1,RIGHT(AN$1,2),""),VLOOKUP($D253,素材!$1:$1016,COLUMN($F$1),FALSE))),VLOOKUP($C253,武器!$1:$998,COLUMN($O$1),FALSE)*VLOOKUP($D253,素材!$1:$1016,COLUMN($E$1),FALSE)/(LEN(VLOOKUP($D253,素材!$1:$1016,COLUMN($F$1),FALSE)) - LEN(SUBSTITUTE(VLOOKUP($D253,素材!$1:$1016,COLUMN($F$1),FALSE), "・", 0)) + 1), 0)</f>
        <v>0</v>
      </c>
      <c r="AO253">
        <f>IF(ISNUMBER(SEARCH(SUBSTITUTE(AO$1,RIGHT(AO$1,2),""),VLOOKUP($D253,素材!$1:$1016,COLUMN($F$1),FALSE))),VLOOKUP($C253,武器!$1:$998,COLUMN($O$1),FALSE)*VLOOKUP($D253,素材!$1:$1016,COLUMN($E$1),FALSE)/(LEN(VLOOKUP($D253,素材!$1:$1016,COLUMN($F$1),FALSE)) - LEN(SUBSTITUTE(VLOOKUP($D253,素材!$1:$1016,COLUMN($F$1),FALSE), "・", 0)) + 1), 0)</f>
        <v>0</v>
      </c>
      <c r="AP253">
        <f>IF(ISNUMBER(SEARCH(SUBSTITUTE(AP$1,RIGHT(AP$1,2),""),VLOOKUP($D253,素材!$1:$1016,COLUMN($F$1),FALSE))),VLOOKUP($C253,武器!$1:$998,COLUMN($O$1),FALSE)*VLOOKUP($D253,素材!$1:$1016,COLUMN($E$1),FALSE)/(LEN(VLOOKUP($D253,素材!$1:$1016,COLUMN($F$1),FALSE)) - LEN(SUBSTITUTE(VLOOKUP($D253,素材!$1:$1016,COLUMN($F$1),FALSE), "・", 0)) + 1), 0)</f>
        <v>0</v>
      </c>
      <c r="AQ253">
        <f>IF(ISNUMBER(SEARCH(SUBSTITUTE(AQ$1,RIGHT(AQ$1,2),""),VLOOKUP($D253,素材!$1:$1016,COLUMN($F$1),FALSE))),VLOOKUP($C253,武器!$1:$998,COLUMN($O$1),FALSE)*VLOOKUP($D253,素材!$1:$1016,COLUMN($E$1),FALSE)/(LEN(VLOOKUP($D253,素材!$1:$1016,COLUMN($F$1),FALSE)) - LEN(SUBSTITUTE(VLOOKUP($D253,素材!$1:$1016,COLUMN($F$1),FALSE), "・", 0)) + 1), 0)</f>
        <v>0</v>
      </c>
      <c r="AR253">
        <f>IF(ISNUMBER(SEARCH(SUBSTITUTE(AR$1,RIGHT(AR$1,2),""),VLOOKUP($D253,素材!$1:$1016,COLUMN($F$1),FALSE))),VLOOKUP($C253,武器!$1:$998,COLUMN($O$1),FALSE)*VLOOKUP($D253,素材!$1:$1016,COLUMN($E$1),FALSE)/(LEN(VLOOKUP($D253,素材!$1:$1016,COLUMN($F$1),FALSE)) - LEN(SUBSTITUTE(VLOOKUP($D253,素材!$1:$1016,COLUMN($F$1),FALSE), "・", 0)) + 1), 0)</f>
        <v>0</v>
      </c>
      <c r="AS253">
        <f>IF(ISNUMBER(SEARCH(SUBSTITUTE(AS$1,RIGHT(AS$1,2),""),VLOOKUP($D253,素材!$1:$1016,COLUMN($F$1),FALSE))),VLOOKUP($C253,武器!$1:$998,COLUMN($O$1),FALSE)*VLOOKUP($D253,素材!$1:$1016,COLUMN($E$1),FALSE)/(LEN(VLOOKUP($D253,素材!$1:$1016,COLUMN($F$1),FALSE)) - LEN(SUBSTITUTE(VLOOKUP($D253,素材!$1:$1016,COLUMN($F$1),FALSE), "・", 0)) + 1), 0)</f>
        <v>0</v>
      </c>
      <c r="AT253">
        <f>IF(ISNUMBER(SEARCH(SUBSTITUTE(AT$1,RIGHT(AT$1,2),""),VLOOKUP($D253,素材!$1:$1016,COLUMN($F$1),FALSE))),VLOOKUP($C253,武器!$1:$998,COLUMN($O$1),FALSE)*VLOOKUP($D253,素材!$1:$1016,COLUMN($E$1),FALSE)/(LEN(VLOOKUP($D253,素材!$1:$1016,COLUMN($F$1),FALSE)) - LEN(SUBSTITUTE(VLOOKUP($D253,素材!$1:$1016,COLUMN($F$1),FALSE), "・", 0)) + 1), 0)</f>
        <v>0</v>
      </c>
      <c r="AU253">
        <f>IF(ISNUMBER(SEARCH(SUBSTITUTE(AU$1,RIGHT(AU$1,2),""),VLOOKUP($D253,素材!$1:$1016,COLUMN($F$1),FALSE))),VLOOKUP($C253,武器!$1:$998,COLUMN($O$1),FALSE)*VLOOKUP($D253,素材!$1:$1016,COLUMN($E$1),FALSE)/(LEN(VLOOKUP($D253,素材!$1:$1016,COLUMN($F$1),FALSE)) - LEN(SUBSTITUTE(VLOOKUP($D253,素材!$1:$1016,COLUMN($F$1),FALSE), "・", 0)) + 1), 0)</f>
        <v>0</v>
      </c>
      <c r="AV253">
        <f>IF(ISNUMBER(SEARCH(SUBSTITUTE(AV$1,RIGHT(AV$1,2),""),VLOOKUP($D253,素材!$1:$1016,COLUMN($F$1),FALSE))),VLOOKUP($C253,武器!$1:$998,COLUMN($O$1),FALSE)*VLOOKUP($D253,素材!$1:$1016,COLUMN($E$1),FALSE)/(LEN(VLOOKUP($D253,素材!$1:$1016,COLUMN($F$1),FALSE)) - LEN(SUBSTITUTE(VLOOKUP($D253,素材!$1:$1016,COLUMN($F$1),FALSE), "・", 0)) + 1), 0)</f>
        <v>0</v>
      </c>
      <c r="AW253">
        <f>IF(ISNUMBER(SEARCH(SUBSTITUTE(AW$1,RIGHT(AW$1,2),""),VLOOKUP($D253,素材!$1:$1016,COLUMN($F$1),FALSE))),VLOOKUP($C253,武器!$1:$998,COLUMN($O$1),FALSE)*VLOOKUP($D253,素材!$1:$1016,COLUMN($E$1),FALSE)/(LEN(VLOOKUP($D253,素材!$1:$1016,COLUMN($F$1),FALSE)) - LEN(SUBSTITUTE(VLOOKUP($D253,素材!$1:$1016,COLUMN($F$1),FALSE), "・", 0)) + 1), 0)</f>
        <v>0</v>
      </c>
      <c r="AX253">
        <f>IF(ISNUMBER(SEARCH(SUBSTITUTE(AX$1,RIGHT(AX$1,2),""),VLOOKUP($D253,素材!$1:$1016,COLUMN($F$1),FALSE))),VLOOKUP($C253,武器!$1:$998,COLUMN($O$1),FALSE)*VLOOKUP($D253,素材!$1:$1016,COLUMN($E$1),FALSE)/(LEN(VLOOKUP($D253,素材!$1:$1016,COLUMN($F$1),FALSE)) - LEN(SUBSTITUTE(VLOOKUP($D253,素材!$1:$1016,COLUMN($F$1),FALSE), "・", 0)) + 1), 0)</f>
        <v>0</v>
      </c>
      <c r="AY253">
        <f>IF(ISNUMBER(SEARCH(SUBSTITUTE(AY$1,RIGHT(AY$1,2),""),VLOOKUP($D253,素材!$1:$1016,COLUMN($F$1),FALSE))),VLOOKUP($C253,武器!$1:$998,COLUMN($O$1),FALSE)*VLOOKUP($D253,素材!$1:$1016,COLUMN($E$1),FALSE)/(LEN(VLOOKUP($D253,素材!$1:$1016,COLUMN($F$1),FALSE)) - LEN(SUBSTITUTE(VLOOKUP($D253,素材!$1:$1016,COLUMN($F$1),FALSE), "・", 0)) + 1), 0)</f>
        <v>0</v>
      </c>
      <c r="AZ253">
        <f>IF(ISNUMBER(SEARCH(SUBSTITUTE(AZ$1,RIGHT(AZ$1,2),""),VLOOKUP($D253,素材!$1:$1016,COLUMN($F$1),FALSE))),VLOOKUP($C253,武器!$1:$998,COLUMN($O$1),FALSE)*VLOOKUP($D253,素材!$1:$1016,COLUMN($E$1),FALSE)/(LEN(VLOOKUP($D253,素材!$1:$1016,COLUMN($F$1),FALSE)) - LEN(SUBSTITUTE(VLOOKUP($D253,素材!$1:$1016,COLUMN($F$1),FALSE), "・", 0)) + 1), 0)</f>
        <v>0</v>
      </c>
      <c r="BA253">
        <f>IF(ISNUMBER(SEARCH(SUBSTITUTE(BA$1,RIGHT(BA$1,2),""),VLOOKUP($D253,素材!$1:$1016,COLUMN($F$1),FALSE))),VLOOKUP($C253,武器!$1:$998,COLUMN($O$1),FALSE)*VLOOKUP($D253,素材!$1:$1016,COLUMN($E$1),FALSE)/(LEN(VLOOKUP($D253,素材!$1:$1016,COLUMN($F$1),FALSE)) - LEN(SUBSTITUTE(VLOOKUP($D253,素材!$1:$1016,COLUMN($F$1),FALSE), "・", 0)) + 1), 0)</f>
        <v>0</v>
      </c>
      <c r="BB253">
        <f>IF(ISNUMBER(SEARCH(SUBSTITUTE(BB$1,RIGHT(BB$1,2),""),VLOOKUP($D253,素材!$1:$1016,COLUMN($F$1),FALSE))),VLOOKUP($C253,武器!$1:$998,COLUMN($O$1),FALSE)*VLOOKUP($D253,素材!$1:$1016,COLUMN($E$1),FALSE)/(LEN(VLOOKUP($D253,素材!$1:$1016,COLUMN($F$1),FALSE)) - LEN(SUBSTITUTE(VLOOKUP($D253,素材!$1:$1016,COLUMN($F$1),FALSE), "・", 0)) + 1), 0)</f>
        <v>0</v>
      </c>
      <c r="BC253">
        <f>IF(ISNUMBER(SEARCH(SUBSTITUTE(BC$1,RIGHT(BC$1,2),""),VLOOKUP($D253,素材!$1:$1016,COLUMN($F$1),FALSE))),VLOOKUP($C253,武器!$1:$998,COLUMN($O$1),FALSE)*VLOOKUP($D253,素材!$1:$1016,COLUMN($E$1),FALSE)/(LEN(VLOOKUP($D253,素材!$1:$1016,COLUMN($F$1),FALSE)) - LEN(SUBSTITUTE(VLOOKUP($D253,素材!$1:$1016,COLUMN($F$1),FALSE), "・", 0)) + 1), 0)</f>
        <v>0</v>
      </c>
      <c r="BD253">
        <f>IF(ISNUMBER(SEARCH(SUBSTITUTE(BD$1,RIGHT(BD$1,2),""),VLOOKUP($D253,素材!$1:$1016,COLUMN($F$1),FALSE))),VLOOKUP($C253,武器!$1:$998,COLUMN($O$1),FALSE)*VLOOKUP($D253,素材!$1:$1016,COLUMN($E$1),FALSE)/(LEN(VLOOKUP($D253,素材!$1:$1016,COLUMN($F$1),FALSE)) - LEN(SUBSTITUTE(VLOOKUP($D253,素材!$1:$1016,COLUMN($F$1),FALSE), "・", 0)) + 1), 0)</f>
        <v>0</v>
      </c>
      <c r="BE253">
        <f>IF(ISNUMBER(SEARCH(SUBSTITUTE(BE$1,RIGHT(BE$1,2),""),VLOOKUP($D253,素材!$1:$1016,COLUMN($F$1),FALSE))),VLOOKUP($C253,武器!$1:$998,COLUMN($O$1),FALSE)*VLOOKUP($D253,素材!$1:$1016,COLUMN($E$1),FALSE)/(LEN(VLOOKUP($D253,素材!$1:$1016,COLUMN($F$1),FALSE)) - LEN(SUBSTITUTE(VLOOKUP($D253,素材!$1:$1016,COLUMN($F$1),FALSE), "・", 0)) + 1), 0)</f>
        <v>0</v>
      </c>
      <c r="CL253">
        <f>SUM(G253:I253)</f>
        <v>16</v>
      </c>
      <c r="CM253" s="22" t="str">
        <f>IF(E253="武器",IF(J253-1&gt;SUM(G253:I253),"盾",IF(MAX(G253:I253)=G253,"切断",IF(MAX(G253:I253)=H253,"貫通",IF(MAX(G253:I253)=I253,"打撃","射撃")))),E253)&amp;".webp"</f>
        <v>盾.webp</v>
      </c>
      <c r="CN253">
        <f>IFERROR(VLOOKUP($C253,武器!$1:$998,COLUMN(V$1),FALSE)*VLOOKUP($D253,素材!$1:$1016,COLUMN(N$1),FALSE)+IF(CI253="",0,VLOOKUP($CI253,装強!$1:$1008,COLUMN($CK$1),FALSE)),"")</f>
        <v>2250</v>
      </c>
      <c r="CO253">
        <f>VLOOKUP(D253,素材!$A:$O,COLUMN(素材!O$1),FALSE)</f>
        <v>0</v>
      </c>
      <c r="CP253" t="str">
        <f>VLOOKUP(C253,武器!$A:$W,COLUMN(武器!W$1),FALSE)</f>
        <v>盾。防御力が高く、汎用性がある防具。</v>
      </c>
      <c r="CR253" t="str">
        <f t="shared" si="29"/>
        <v>e_253</v>
      </c>
      <c r="CS253">
        <f t="shared" si="30"/>
        <v>225000</v>
      </c>
    </row>
    <row r="254" spans="1:97" outlineLevel="1" x14ac:dyDescent="0.4">
      <c r="A254" t="str">
        <f t="shared" ref="A254:A268" si="32">D254&amp;"の"&amp;C254</f>
        <v>熱鉄の丸大盾</v>
      </c>
      <c r="B254" t="str">
        <f>IFERROR(VLOOKUP($D254,素材!$1:$1016,COLUMN($B$1),FALSE)&amp;"・"&amp;VLOOKUP($C254,武器!$1:$998,COLUMN(B$1),FALSE),"")</f>
        <v>ヒートスティール・ラウンドシールド</v>
      </c>
      <c r="C254" t="s">
        <v>220</v>
      </c>
      <c r="D254" s="24" t="s">
        <v>205</v>
      </c>
      <c r="E254" t="str">
        <f>IFERROR(VLOOKUP(C254,武器!$1:$998,COLUMN(C$1),FALSE),"")</f>
        <v>盾</v>
      </c>
      <c r="F254">
        <f>IFERROR(ROUNDDOWN((VLOOKUP($C254,武器!$1:$998,COLUMN(D$1),FALSE)+IFERROR(VLOOKUP($CI254,装強!$1:$999,COLUMN(F$1),FALSE),0))*VLOOKUP($D254,素材!$1:$1016,COLUMN(D$1),FALSE),0),"")</f>
        <v>110</v>
      </c>
      <c r="G254">
        <f>IFERROR(ROUNDDOWN((VLOOKUP($C254,武器!$1:$998,COLUMN(E$1),FALSE)+IFERROR(VLOOKUP($CI254,装強!$1:$999,COLUMN(G$1),FALSE),0))*VLOOKUP($D254,素材!$1:$1016,COLUMN($E$1),FALSE),0),"")</f>
        <v>9</v>
      </c>
      <c r="H254">
        <f>IFERROR(ROUNDDOWN((VLOOKUP($C254,武器!$1:$998,COLUMN(F$1),FALSE)+IFERROR(VLOOKUP($CI254,装強!$1:$999,COLUMN(H$1),FALSE),0))*VLOOKUP($D254,素材!$1:$1016,COLUMN($E$1),FALSE),0),"")</f>
        <v>0</v>
      </c>
      <c r="I254">
        <f>IFERROR(ROUNDDOWN((VLOOKUP($C254,武器!$1:$998,COLUMN(G$1),FALSE)+IFERROR(VLOOKUP($CI254,装強!$1:$999,COLUMN(I$1),FALSE),0))*VLOOKUP($D254,素材!$1:$1016,COLUMN($E$1),FALSE),0),"")</f>
        <v>9</v>
      </c>
      <c r="J254">
        <f>IFERROR(ROUNDDOWN((VLOOKUP($C254,武器!$1:$998,COLUMN(H$1),FALSE)+IFERROR(VLOOKUP($CI254,装強!$1:$999,COLUMN(J$1),FALSE),0))*VLOOKUP($D254,素材!$1:$1016,COLUMN($E$1),FALSE),0),"")</f>
        <v>25</v>
      </c>
      <c r="K254">
        <f>IFERROR(ROUNDDOWN((VLOOKUP($C254,武器!$1:$998,COLUMN(I$1),FALSE)+IFERROR(VLOOKUP($CI254,装強!$1:$999,COLUMN(K$1),FALSE),0))*VLOOKUP($D254,素材!$1:$1016,COLUMN($E$1),FALSE),0),"")</f>
        <v>0</v>
      </c>
      <c r="L254" t="str">
        <f>IFERROR(VLOOKUP($D254,素材!$1:$1016,COLUMN($F$1),FALSE),"")</f>
        <v>炎</v>
      </c>
      <c r="M254">
        <f>IFERROR(VLOOKUP($C254,武器!$1:$998,COLUMN(AA$1),FALSE)*VLOOKUP($D254,素材!$1:$1016,COLUMN($G$1),FALSE),"")</f>
        <v>31.5</v>
      </c>
      <c r="N254">
        <f>IFERROR(VLOOKUP($C254,武器!$1:$998,COLUMN(I$1),FALSE),"")</f>
        <v>0</v>
      </c>
      <c r="O254" s="23">
        <f>IFERROR((VLOOKUP($C254,武器!$1:$998,COLUMN(K$1),FALSE)+VLOOKUP($D254,素材!$1:$1016,COLUMN(H$1),FALSE))*100+IFERROR(VLOOKUP($CI254,装強!$1:$999,COLUMN(O$1),FALSE),0),"")</f>
        <v>5</v>
      </c>
      <c r="P254" s="23">
        <f>IFERROR((VLOOKUP($C254,武器!$1:$998,COLUMN(L$1),FALSE)+VLOOKUP($D254,素材!$1:$1016,COLUMN(I$1),FALSE))*100+IFERROR(VLOOKUP($CI254,装強!$1:$999,COLUMN(P$1),FALSE),0),"")</f>
        <v>125</v>
      </c>
      <c r="Q254">
        <f>IFERROR(ROUNDUP(VLOOKUP($C254,武器!$1:$998,COLUMN(M$1),FALSE)*(VLOOKUP($D254,素材!$1:$1002,COLUMN(D$1),FALSE)/100),1),"")</f>
        <v>-5</v>
      </c>
      <c r="R254">
        <f>IFERROR(ROUNDUP(VLOOKUP($C254,武器!$1:$998,COLUMN(N$1),FALSE)*(VLOOKUP($D254,素材!$1:$1002,COLUMN(D$1),FALSE)/100),1),"")</f>
        <v>0</v>
      </c>
      <c r="S254">
        <f>IFERROR(VLOOKUP($C254,武器!$1:$998,COLUMN(P$1),FALSE),"")</f>
        <v>0</v>
      </c>
      <c r="T254">
        <f>IFERROR(VLOOKUP($C254,武器!$1:$998,COLUMN(Q$1),FALSE),"")</f>
        <v>0</v>
      </c>
      <c r="U254">
        <f>IFERROR(VLOOKUP($C254,武器!$1:$998,COLUMN(R$1),FALSE),"")</f>
        <v>0</v>
      </c>
      <c r="V254">
        <f>IFERROR(VLOOKUP($C254,武器!$1:$998,COLUMN(Q$1),FALSE),"")</f>
        <v>0</v>
      </c>
      <c r="W254" t="str">
        <f>IFERROR(VLOOKUP($C254,武器!$1:$998,COLUMN(T$1),FALSE),"")</f>
        <v>A</v>
      </c>
      <c r="Y254" t="str">
        <f>IFERROR(VLOOKUP($C254,武器!$1:$998,COLUMN(U$1),FALSE),"")</f>
        <v>投擲強化,片手適正Ⅰ</v>
      </c>
      <c r="Z254">
        <f>IFERROR(ROUNDUP(VLOOKUP($C254,武器!$1:$998,COLUMN(O$1),FALSE)*VLOOKUP($D254,素材!$1:$1016,COLUMN(E$1),FALSE),1),"")</f>
        <v>0</v>
      </c>
      <c r="AA254">
        <f>IF(ISNUMBER(SEARCH(SUBSTITUTE(AA$1,RIGHT(AA$1,2),""),VLOOKUP($D254,素材!$1:$1016,COLUMN($F$1),FALSE))),VLOOKUP($C254,武器!$1:$998,COLUMN($O$1),FALSE)*VLOOKUP($D254,素材!$1:$1016,COLUMN($E$1),FALSE)/(LEN(VLOOKUP($D254,素材!$1:$1016,COLUMN($F$1),FALSE)) - LEN(SUBSTITUTE(VLOOKUP($D254,素材!$1:$1016,COLUMN($F$1),FALSE), "・", 0)) + 1), 0)</f>
        <v>0</v>
      </c>
      <c r="AB254">
        <f>IF(ISNUMBER(SEARCH(SUBSTITUTE(AB$1,RIGHT(AB$1,2),""),VLOOKUP($D254,素材!$1:$1016,COLUMN($F$1),FALSE))),VLOOKUP($C254,武器!$1:$998,COLUMN($O$1),FALSE)*VLOOKUP($D254,素材!$1:$1016,COLUMN($E$1),FALSE)/(LEN(VLOOKUP($D254,素材!$1:$1016,COLUMN($F$1),FALSE)) - LEN(SUBSTITUTE(VLOOKUP($D254,素材!$1:$1016,COLUMN($F$1),FALSE), "・", 0)) + 1), 0)</f>
        <v>0</v>
      </c>
      <c r="AC254">
        <f>IF(ISNUMBER(SEARCH(SUBSTITUTE(AC$1,RIGHT(AC$1,2),""),VLOOKUP($D254,素材!$1:$1016,COLUMN($F$1),FALSE))),VLOOKUP($C254,武器!$1:$998,COLUMN($O$1),FALSE)*VLOOKUP($D254,素材!$1:$1016,COLUMN($E$1),FALSE)/(LEN(VLOOKUP($D254,素材!$1:$1016,COLUMN($F$1),FALSE)) - LEN(SUBSTITUTE(VLOOKUP($D254,素材!$1:$1016,COLUMN($F$1),FALSE), "・", 0)) + 1), 0)</f>
        <v>0</v>
      </c>
      <c r="AD254">
        <f>IF(ISNUMBER(SEARCH(SUBSTITUTE(AD$1,RIGHT(AD$1,2),""),VLOOKUP($D254,素材!$1:$1016,COLUMN($F$1),FALSE))),VLOOKUP($C254,武器!$1:$998,COLUMN($O$1),FALSE)*VLOOKUP($D254,素材!$1:$1016,COLUMN($E$1),FALSE)/(LEN(VLOOKUP($D254,素材!$1:$1016,COLUMN($F$1),FALSE)) - LEN(SUBSTITUTE(VLOOKUP($D254,素材!$1:$1016,COLUMN($F$1),FALSE), "・", 0)) + 1), 0)</f>
        <v>0</v>
      </c>
      <c r="AE254">
        <f>IF(ISNUMBER(SEARCH(SUBSTITUTE(AE$1,RIGHT(AE$1,2),""),VLOOKUP($D254,素材!$1:$1016,COLUMN($F$1),FALSE))),VLOOKUP($C254,武器!$1:$998,COLUMN($O$1),FALSE)*VLOOKUP($D254,素材!$1:$1016,COLUMN($E$1),FALSE)/(LEN(VLOOKUP($D254,素材!$1:$1016,COLUMN($F$1),FALSE)) - LEN(SUBSTITUTE(VLOOKUP($D254,素材!$1:$1016,COLUMN($F$1),FALSE), "・", 0)) + 1), 0)</f>
        <v>0</v>
      </c>
      <c r="AF254">
        <f>IF(ISNUMBER(SEARCH(SUBSTITUTE(AF$1,RIGHT(AF$1,2),""),VLOOKUP($D254,素材!$1:$1016,COLUMN($F$1),FALSE))),VLOOKUP($C254,武器!$1:$998,COLUMN($O$1),FALSE)*VLOOKUP($D254,素材!$1:$1016,COLUMN($E$1),FALSE)/(LEN(VLOOKUP($D254,素材!$1:$1016,COLUMN($F$1),FALSE)) - LEN(SUBSTITUTE(VLOOKUP($D254,素材!$1:$1016,COLUMN($F$1),FALSE), "・", 0)) + 1), 0)</f>
        <v>0</v>
      </c>
      <c r="AG254">
        <f>IF(ISNUMBER(SEARCH(SUBSTITUTE(AG$1,RIGHT(AG$1,2),""),VLOOKUP($D254,素材!$1:$1016,COLUMN($F$1),FALSE))),VLOOKUP($C254,武器!$1:$998,COLUMN($O$1),FALSE)*VLOOKUP($D254,素材!$1:$1016,COLUMN($E$1),FALSE)/(LEN(VLOOKUP($D254,素材!$1:$1016,COLUMN($F$1),FALSE)) - LEN(SUBSTITUTE(VLOOKUP($D254,素材!$1:$1016,COLUMN($F$1),FALSE), "・", 0)) + 1), 0)</f>
        <v>0</v>
      </c>
      <c r="AH254">
        <f>IF(ISNUMBER(SEARCH(SUBSTITUTE(AH$1,RIGHT(AH$1,2),""),VLOOKUP($D254,素材!$1:$1016,COLUMN($F$1),FALSE))),VLOOKUP($C254,武器!$1:$998,COLUMN($O$1),FALSE)*VLOOKUP($D254,素材!$1:$1016,COLUMN($E$1),FALSE)/(LEN(VLOOKUP($D254,素材!$1:$1016,COLUMN($F$1),FALSE)) - LEN(SUBSTITUTE(VLOOKUP($D254,素材!$1:$1016,COLUMN($F$1),FALSE), "・", 0)) + 1), 0)</f>
        <v>0</v>
      </c>
      <c r="AI254">
        <f>IF(ISNUMBER(SEARCH(SUBSTITUTE(AI$1,RIGHT(AI$1,2),""),VLOOKUP($D254,素材!$1:$1016,COLUMN($F$1),FALSE))),VLOOKUP($C254,武器!$1:$998,COLUMN($O$1),FALSE)*VLOOKUP($D254,素材!$1:$1016,COLUMN($E$1),FALSE)/(LEN(VLOOKUP($D254,素材!$1:$1016,COLUMN($F$1),FALSE)) - LEN(SUBSTITUTE(VLOOKUP($D254,素材!$1:$1016,COLUMN($F$1),FALSE), "・", 0)) + 1), 0)</f>
        <v>0</v>
      </c>
      <c r="AJ254">
        <f>IF(ISNUMBER(SEARCH(SUBSTITUTE(AJ$1,RIGHT(AJ$1,2),""),VLOOKUP($D254,素材!$1:$1016,COLUMN($F$1),FALSE))),VLOOKUP($C254,武器!$1:$998,COLUMN($O$1),FALSE)*VLOOKUP($D254,素材!$1:$1016,COLUMN($E$1),FALSE)/(LEN(VLOOKUP($D254,素材!$1:$1016,COLUMN($F$1),FALSE)) - LEN(SUBSTITUTE(VLOOKUP($D254,素材!$1:$1016,COLUMN($F$1),FALSE), "・", 0)) + 1), 0)</f>
        <v>0</v>
      </c>
      <c r="AK254">
        <f>IF(ISNUMBER(SEARCH(SUBSTITUTE(AK$1,RIGHT(AK$1,2),""),VLOOKUP($D254,素材!$1:$1016,COLUMN($F$1),FALSE))),VLOOKUP($C254,武器!$1:$998,COLUMN($O$1),FALSE)*VLOOKUP($D254,素材!$1:$1016,COLUMN($E$1),FALSE)/(LEN(VLOOKUP($D254,素材!$1:$1016,COLUMN($F$1),FALSE)) - LEN(SUBSTITUTE(VLOOKUP($D254,素材!$1:$1016,COLUMN($F$1),FALSE), "・", 0)) + 1), 0)</f>
        <v>0</v>
      </c>
      <c r="AL254">
        <f>IF(ISNUMBER(SEARCH(SUBSTITUTE(AL$1,RIGHT(AL$1,2),""),VLOOKUP($D254,素材!$1:$1016,COLUMN($F$1),FALSE))),VLOOKUP($C254,武器!$1:$998,COLUMN($O$1),FALSE)*VLOOKUP($D254,素材!$1:$1016,COLUMN($E$1),FALSE)/(LEN(VLOOKUP($D254,素材!$1:$1016,COLUMN($F$1),FALSE)) - LEN(SUBSTITUTE(VLOOKUP($D254,素材!$1:$1016,COLUMN($F$1),FALSE), "・", 0)) + 1), 0)</f>
        <v>0</v>
      </c>
      <c r="AM254">
        <f>IF(ISNUMBER(SEARCH(SUBSTITUTE(AM$1,RIGHT(AM$1,2),""),VLOOKUP($D254,素材!$1:$1016,COLUMN($F$1),FALSE))),VLOOKUP($C254,武器!$1:$998,COLUMN($O$1),FALSE)*VLOOKUP($D254,素材!$1:$1016,COLUMN($E$1),FALSE)/(LEN(VLOOKUP($D254,素材!$1:$1016,COLUMN($F$1),FALSE)) - LEN(SUBSTITUTE(VLOOKUP($D254,素材!$1:$1016,COLUMN($F$1),FALSE), "・", 0)) + 1), 0)</f>
        <v>0</v>
      </c>
      <c r="AN254">
        <f>IF(ISNUMBER(SEARCH(SUBSTITUTE(AN$1,RIGHT(AN$1,2),""),VLOOKUP($D254,素材!$1:$1016,COLUMN($F$1),FALSE))),VLOOKUP($C254,武器!$1:$998,COLUMN($O$1),FALSE)*VLOOKUP($D254,素材!$1:$1016,COLUMN($E$1),FALSE)/(LEN(VLOOKUP($D254,素材!$1:$1016,COLUMN($F$1),FALSE)) - LEN(SUBSTITUTE(VLOOKUP($D254,素材!$1:$1016,COLUMN($F$1),FALSE), "・", 0)) + 1), 0)</f>
        <v>0</v>
      </c>
      <c r="AO254">
        <f>IF(ISNUMBER(SEARCH(SUBSTITUTE(AO$1,RIGHT(AO$1,2),""),VLOOKUP($D254,素材!$1:$1016,COLUMN($F$1),FALSE))),VLOOKUP($C254,武器!$1:$998,COLUMN($O$1),FALSE)*VLOOKUP($D254,素材!$1:$1016,COLUMN($E$1),FALSE)/(LEN(VLOOKUP($D254,素材!$1:$1016,COLUMN($F$1),FALSE)) - LEN(SUBSTITUTE(VLOOKUP($D254,素材!$1:$1016,COLUMN($F$1),FALSE), "・", 0)) + 1), 0)</f>
        <v>0</v>
      </c>
      <c r="AP254">
        <f>IF(ISNUMBER(SEARCH(SUBSTITUTE(AP$1,RIGHT(AP$1,2),""),VLOOKUP($D254,素材!$1:$1016,COLUMN($F$1),FALSE))),VLOOKUP($C254,武器!$1:$998,COLUMN($O$1),FALSE)*VLOOKUP($D254,素材!$1:$1016,COLUMN($E$1),FALSE)/(LEN(VLOOKUP($D254,素材!$1:$1016,COLUMN($F$1),FALSE)) - LEN(SUBSTITUTE(VLOOKUP($D254,素材!$1:$1016,COLUMN($F$1),FALSE), "・", 0)) + 1), 0)</f>
        <v>0</v>
      </c>
      <c r="AQ254">
        <f>IF(ISNUMBER(SEARCH(SUBSTITUTE(AQ$1,RIGHT(AQ$1,2),""),VLOOKUP($D254,素材!$1:$1016,COLUMN($F$1),FALSE))),VLOOKUP($C254,武器!$1:$998,COLUMN($O$1),FALSE)*VLOOKUP($D254,素材!$1:$1016,COLUMN($E$1),FALSE)/(LEN(VLOOKUP($D254,素材!$1:$1016,COLUMN($F$1),FALSE)) - LEN(SUBSTITUTE(VLOOKUP($D254,素材!$1:$1016,COLUMN($F$1),FALSE), "・", 0)) + 1), 0)</f>
        <v>0</v>
      </c>
      <c r="AR254">
        <f>IF(ISNUMBER(SEARCH(SUBSTITUTE(AR$1,RIGHT(AR$1,2),""),VLOOKUP($D254,素材!$1:$1016,COLUMN($F$1),FALSE))),VLOOKUP($C254,武器!$1:$998,COLUMN($O$1),FALSE)*VLOOKUP($D254,素材!$1:$1016,COLUMN($E$1),FALSE)/(LEN(VLOOKUP($D254,素材!$1:$1016,COLUMN($F$1),FALSE)) - LEN(SUBSTITUTE(VLOOKUP($D254,素材!$1:$1016,COLUMN($F$1),FALSE), "・", 0)) + 1), 0)</f>
        <v>0</v>
      </c>
      <c r="AS254">
        <f>IF(ISNUMBER(SEARCH(SUBSTITUTE(AS$1,RIGHT(AS$1,2),""),VLOOKUP($D254,素材!$1:$1016,COLUMN($F$1),FALSE))),VLOOKUP($C254,武器!$1:$998,COLUMN($O$1),FALSE)*VLOOKUP($D254,素材!$1:$1016,COLUMN($E$1),FALSE)/(LEN(VLOOKUP($D254,素材!$1:$1016,COLUMN($F$1),FALSE)) - LEN(SUBSTITUTE(VLOOKUP($D254,素材!$1:$1016,COLUMN($F$1),FALSE), "・", 0)) + 1), 0)</f>
        <v>0</v>
      </c>
      <c r="AT254">
        <f>IF(ISNUMBER(SEARCH(SUBSTITUTE(AT$1,RIGHT(AT$1,2),""),VLOOKUP($D254,素材!$1:$1016,COLUMN($F$1),FALSE))),VLOOKUP($C254,武器!$1:$998,COLUMN($O$1),FALSE)*VLOOKUP($D254,素材!$1:$1016,COLUMN($E$1),FALSE)/(LEN(VLOOKUP($D254,素材!$1:$1016,COLUMN($F$1),FALSE)) - LEN(SUBSTITUTE(VLOOKUP($D254,素材!$1:$1016,COLUMN($F$1),FALSE), "・", 0)) + 1), 0)</f>
        <v>0</v>
      </c>
      <c r="AU254">
        <f>IF(ISNUMBER(SEARCH(SUBSTITUTE(AU$1,RIGHT(AU$1,2),""),VLOOKUP($D254,素材!$1:$1016,COLUMN($F$1),FALSE))),VLOOKUP($C254,武器!$1:$998,COLUMN($O$1),FALSE)*VLOOKUP($D254,素材!$1:$1016,COLUMN($E$1),FALSE)/(LEN(VLOOKUP($D254,素材!$1:$1016,COLUMN($F$1),FALSE)) - LEN(SUBSTITUTE(VLOOKUP($D254,素材!$1:$1016,COLUMN($F$1),FALSE), "・", 0)) + 1), 0)</f>
        <v>0</v>
      </c>
      <c r="AV254">
        <f>IF(ISNUMBER(SEARCH(SUBSTITUTE(AV$1,RIGHT(AV$1,2),""),VLOOKUP($D254,素材!$1:$1016,COLUMN($F$1),FALSE))),VLOOKUP($C254,武器!$1:$998,COLUMN($O$1),FALSE)*VLOOKUP($D254,素材!$1:$1016,COLUMN($E$1),FALSE)/(LEN(VLOOKUP($D254,素材!$1:$1016,COLUMN($F$1),FALSE)) - LEN(SUBSTITUTE(VLOOKUP($D254,素材!$1:$1016,COLUMN($F$1),FALSE), "・", 0)) + 1), 0)</f>
        <v>0</v>
      </c>
      <c r="AW254">
        <f>IF(ISNUMBER(SEARCH(SUBSTITUTE(AW$1,RIGHT(AW$1,2),""),VLOOKUP($D254,素材!$1:$1016,COLUMN($F$1),FALSE))),VLOOKUP($C254,武器!$1:$998,COLUMN($O$1),FALSE)*VLOOKUP($D254,素材!$1:$1016,COLUMN($E$1),FALSE)/(LEN(VLOOKUP($D254,素材!$1:$1016,COLUMN($F$1),FALSE)) - LEN(SUBSTITUTE(VLOOKUP($D254,素材!$1:$1016,COLUMN($F$1),FALSE), "・", 0)) + 1), 0)</f>
        <v>0</v>
      </c>
      <c r="AX254">
        <f>IF(ISNUMBER(SEARCH(SUBSTITUTE(AX$1,RIGHT(AX$1,2),""),VLOOKUP($D254,素材!$1:$1016,COLUMN($F$1),FALSE))),VLOOKUP($C254,武器!$1:$998,COLUMN($O$1),FALSE)*VLOOKUP($D254,素材!$1:$1016,COLUMN($E$1),FALSE)/(LEN(VLOOKUP($D254,素材!$1:$1016,COLUMN($F$1),FALSE)) - LEN(SUBSTITUTE(VLOOKUP($D254,素材!$1:$1016,COLUMN($F$1),FALSE), "・", 0)) + 1), 0)</f>
        <v>0</v>
      </c>
      <c r="AY254">
        <f>IF(ISNUMBER(SEARCH(SUBSTITUTE(AY$1,RIGHT(AY$1,2),""),VLOOKUP($D254,素材!$1:$1016,COLUMN($F$1),FALSE))),VLOOKUP($C254,武器!$1:$998,COLUMN($O$1),FALSE)*VLOOKUP($D254,素材!$1:$1016,COLUMN($E$1),FALSE)/(LEN(VLOOKUP($D254,素材!$1:$1016,COLUMN($F$1),FALSE)) - LEN(SUBSTITUTE(VLOOKUP($D254,素材!$1:$1016,COLUMN($F$1),FALSE), "・", 0)) + 1), 0)</f>
        <v>0</v>
      </c>
      <c r="AZ254">
        <f>IF(ISNUMBER(SEARCH(SUBSTITUTE(AZ$1,RIGHT(AZ$1,2),""),VLOOKUP($D254,素材!$1:$1016,COLUMN($F$1),FALSE))),VLOOKUP($C254,武器!$1:$998,COLUMN($O$1),FALSE)*VLOOKUP($D254,素材!$1:$1016,COLUMN($E$1),FALSE)/(LEN(VLOOKUP($D254,素材!$1:$1016,COLUMN($F$1),FALSE)) - LEN(SUBSTITUTE(VLOOKUP($D254,素材!$1:$1016,COLUMN($F$1),FALSE), "・", 0)) + 1), 0)</f>
        <v>0</v>
      </c>
      <c r="BA254">
        <f>IF(ISNUMBER(SEARCH(SUBSTITUTE(BA$1,RIGHT(BA$1,2),""),VLOOKUP($D254,素材!$1:$1016,COLUMN($F$1),FALSE))),VLOOKUP($C254,武器!$1:$998,COLUMN($O$1),FALSE)*VLOOKUP($D254,素材!$1:$1016,COLUMN($E$1),FALSE)/(LEN(VLOOKUP($D254,素材!$1:$1016,COLUMN($F$1),FALSE)) - LEN(SUBSTITUTE(VLOOKUP($D254,素材!$1:$1016,COLUMN($F$1),FALSE), "・", 0)) + 1), 0)</f>
        <v>0</v>
      </c>
      <c r="BB254">
        <f>IF(ISNUMBER(SEARCH(SUBSTITUTE(BB$1,RIGHT(BB$1,2),""),VLOOKUP($D254,素材!$1:$1016,COLUMN($F$1),FALSE))),VLOOKUP($C254,武器!$1:$998,COLUMN($O$1),FALSE)*VLOOKUP($D254,素材!$1:$1016,COLUMN($E$1),FALSE)/(LEN(VLOOKUP($D254,素材!$1:$1016,COLUMN($F$1),FALSE)) - LEN(SUBSTITUTE(VLOOKUP($D254,素材!$1:$1016,COLUMN($F$1),FALSE), "・", 0)) + 1), 0)</f>
        <v>0</v>
      </c>
      <c r="BC254">
        <f>IF(ISNUMBER(SEARCH(SUBSTITUTE(BC$1,RIGHT(BC$1,2),""),VLOOKUP($D254,素材!$1:$1016,COLUMN($F$1),FALSE))),VLOOKUP($C254,武器!$1:$998,COLUMN($O$1),FALSE)*VLOOKUP($D254,素材!$1:$1016,COLUMN($E$1),FALSE)/(LEN(VLOOKUP($D254,素材!$1:$1016,COLUMN($F$1),FALSE)) - LEN(SUBSTITUTE(VLOOKUP($D254,素材!$1:$1016,COLUMN($F$1),FALSE), "・", 0)) + 1), 0)</f>
        <v>0</v>
      </c>
      <c r="BD254">
        <f>IF(ISNUMBER(SEARCH(SUBSTITUTE(BD$1,RIGHT(BD$1,2),""),VLOOKUP($D254,素材!$1:$1016,COLUMN($F$1),FALSE))),VLOOKUP($C254,武器!$1:$998,COLUMN($O$1),FALSE)*VLOOKUP($D254,素材!$1:$1016,COLUMN($E$1),FALSE)/(LEN(VLOOKUP($D254,素材!$1:$1016,COLUMN($F$1),FALSE)) - LEN(SUBSTITUTE(VLOOKUP($D254,素材!$1:$1016,COLUMN($F$1),FALSE), "・", 0)) + 1), 0)</f>
        <v>0</v>
      </c>
      <c r="BE254">
        <f>IF(ISNUMBER(SEARCH(SUBSTITUTE(BE$1,RIGHT(BE$1,2),""),VLOOKUP($D254,素材!$1:$1016,COLUMN($F$1),FALSE))),VLOOKUP($C254,武器!$1:$998,COLUMN($O$1),FALSE)*VLOOKUP($D254,素材!$1:$1016,COLUMN($E$1),FALSE)/(LEN(VLOOKUP($D254,素材!$1:$1016,COLUMN($F$1),FALSE)) - LEN(SUBSTITUTE(VLOOKUP($D254,素材!$1:$1016,COLUMN($F$1),FALSE), "・", 0)) + 1), 0)</f>
        <v>0</v>
      </c>
      <c r="CL254">
        <f>SUM(G254:I254)</f>
        <v>18</v>
      </c>
      <c r="CM254" s="22" t="str">
        <f>IF(E254="武器",IF(J254-1&gt;SUM(G254:I254),"盾",IF(MAX(G254:I254)=G254,"切断",IF(MAX(G254:I254)=H254,"貫通",IF(MAX(G254:I254)=I254,"打撃","射撃")))),E254)&amp;".webp"</f>
        <v>盾.webp</v>
      </c>
      <c r="CN254">
        <f>IFERROR(VLOOKUP($C254,武器!$1:$998,COLUMN(V$1),FALSE)*VLOOKUP($D254,素材!$1:$1016,COLUMN(N$1),FALSE)+IF(CI254="",0,VLOOKUP($CI254,装強!$1:$1008,COLUMN($CK$1),FALSE)),"")</f>
        <v>3000</v>
      </c>
      <c r="CO254">
        <f>VLOOKUP(D254,素材!$A:$O,COLUMN(素材!O$1),FALSE)</f>
        <v>0</v>
      </c>
      <c r="CP254" t="str">
        <f>VLOOKUP(C254,武器!$A:$W,COLUMN(武器!W$1),FALSE)</f>
        <v>丸大盾。防御範囲が広く、投擲も可能。</v>
      </c>
      <c r="CR254" t="str">
        <f t="shared" si="29"/>
        <v>e_254</v>
      </c>
      <c r="CS254">
        <f t="shared" si="30"/>
        <v>300000</v>
      </c>
    </row>
    <row r="255" spans="1:97" outlineLevel="1" x14ac:dyDescent="0.4">
      <c r="A255" t="str">
        <f t="shared" si="32"/>
        <v>熱鉄の大盾</v>
      </c>
      <c r="B255" t="str">
        <f>IFERROR(VLOOKUP($D255,素材!$1:$1016,COLUMN($B$1),FALSE)&amp;"・"&amp;VLOOKUP($C255,武器!$1:$998,COLUMN(B$1),FALSE),"")</f>
        <v>ヒートスティール・ラージシールド</v>
      </c>
      <c r="C255" t="s">
        <v>219</v>
      </c>
      <c r="D255" s="24" t="s">
        <v>205</v>
      </c>
      <c r="E255" t="str">
        <f>IFERROR(VLOOKUP(C255,武器!$1:$998,COLUMN(C$1),FALSE),"")</f>
        <v>盾</v>
      </c>
      <c r="F255">
        <f>IFERROR(ROUNDDOWN((VLOOKUP($C255,武器!$1:$998,COLUMN(D$1),FALSE)+IFERROR(VLOOKUP($CI255,装強!$1:$999,COLUMN(F$1),FALSE),0))*VLOOKUP($D255,素材!$1:$1016,COLUMN(D$1),FALSE),0),"")</f>
        <v>115</v>
      </c>
      <c r="G255">
        <f>IFERROR(ROUNDDOWN((VLOOKUP($C255,武器!$1:$998,COLUMN(E$1),FALSE)+IFERROR(VLOOKUP($CI255,装強!$1:$999,COLUMN(G$1),FALSE),0))*VLOOKUP($D255,素材!$1:$1016,COLUMN($E$1),FALSE),0),"")</f>
        <v>0</v>
      </c>
      <c r="H255">
        <f>IFERROR(ROUNDDOWN((VLOOKUP($C255,武器!$1:$998,COLUMN(F$1),FALSE)+IFERROR(VLOOKUP($CI255,装強!$1:$999,COLUMN(H$1),FALSE),0))*VLOOKUP($D255,素材!$1:$1016,COLUMN($E$1),FALSE),0),"")</f>
        <v>0</v>
      </c>
      <c r="I255">
        <f>IFERROR(ROUNDDOWN((VLOOKUP($C255,武器!$1:$998,COLUMN(G$1),FALSE)+IFERROR(VLOOKUP($CI255,装強!$1:$999,COLUMN(I$1),FALSE),0))*VLOOKUP($D255,素材!$1:$1016,COLUMN($E$1),FALSE),0),"")</f>
        <v>17</v>
      </c>
      <c r="J255">
        <f>IFERROR(ROUNDDOWN((VLOOKUP($C255,武器!$1:$998,COLUMN(H$1),FALSE)+IFERROR(VLOOKUP($CI255,装強!$1:$999,COLUMN(J$1),FALSE),0))*VLOOKUP($D255,素材!$1:$1016,COLUMN($E$1),FALSE),0),"")</f>
        <v>27</v>
      </c>
      <c r="K255">
        <f>IFERROR(ROUNDDOWN((VLOOKUP($C255,武器!$1:$998,COLUMN(I$1),FALSE)+IFERROR(VLOOKUP($CI255,装強!$1:$999,COLUMN(K$1),FALSE),0))*VLOOKUP($D255,素材!$1:$1016,COLUMN($E$1),FALSE),0),"")</f>
        <v>0</v>
      </c>
      <c r="L255" t="str">
        <f>IFERROR(VLOOKUP($D255,素材!$1:$1016,COLUMN($F$1),FALSE),"")</f>
        <v>炎</v>
      </c>
      <c r="M255">
        <f>IFERROR(VLOOKUP($C255,武器!$1:$998,COLUMN(AA$1),FALSE)*VLOOKUP($D255,素材!$1:$1016,COLUMN($G$1),FALSE),"")</f>
        <v>29.75</v>
      </c>
      <c r="N255">
        <f>IFERROR(VLOOKUP($C255,武器!$1:$998,COLUMN(I$1),FALSE),"")</f>
        <v>0</v>
      </c>
      <c r="O255" s="23">
        <f>IFERROR((VLOOKUP($C255,武器!$1:$998,COLUMN(K$1),FALSE)+VLOOKUP($D255,素材!$1:$1016,COLUMN(H$1),FALSE))*100+IFERROR(VLOOKUP($CI255,装強!$1:$999,COLUMN(O$1),FALSE),0),"")</f>
        <v>5</v>
      </c>
      <c r="P255" s="23">
        <f>IFERROR((VLOOKUP($C255,武器!$1:$998,COLUMN(L$1),FALSE)+VLOOKUP($D255,素材!$1:$1016,COLUMN(I$1),FALSE))*100+IFERROR(VLOOKUP($CI255,装強!$1:$999,COLUMN(P$1),FALSE),0),"")</f>
        <v>125</v>
      </c>
      <c r="Q255">
        <f>IFERROR(ROUNDUP(VLOOKUP($C255,武器!$1:$998,COLUMN(M$1),FALSE)*(VLOOKUP($D255,素材!$1:$1002,COLUMN(D$1),FALSE)/100),1),"")</f>
        <v>-5</v>
      </c>
      <c r="R255">
        <f>IFERROR(ROUNDUP(VLOOKUP($C255,武器!$1:$998,COLUMN(N$1),FALSE)*(VLOOKUP($D255,素材!$1:$1002,COLUMN(D$1),FALSE)/100),1),"")</f>
        <v>0</v>
      </c>
      <c r="S255">
        <f>IFERROR(VLOOKUP($C255,武器!$1:$998,COLUMN(P$1),FALSE),"")</f>
        <v>0</v>
      </c>
      <c r="T255">
        <f>IFERROR(VLOOKUP($C255,武器!$1:$998,COLUMN(Q$1),FALSE),"")</f>
        <v>0</v>
      </c>
      <c r="U255">
        <f>IFERROR(VLOOKUP($C255,武器!$1:$998,COLUMN(R$1),FALSE),"")</f>
        <v>0</v>
      </c>
      <c r="V255">
        <f>IFERROR(VLOOKUP($C255,武器!$1:$998,COLUMN(Q$1),FALSE),"")</f>
        <v>0</v>
      </c>
      <c r="W255" t="str">
        <f>IFERROR(VLOOKUP($C255,武器!$1:$998,COLUMN(T$1),FALSE),"")</f>
        <v>A</v>
      </c>
      <c r="Y255" t="str">
        <f>IFERROR(VLOOKUP($C255,武器!$1:$998,COLUMN(U$1),FALSE),"")</f>
        <v>片手適正Ⅰ</v>
      </c>
      <c r="Z255">
        <f>IFERROR(ROUNDUP(VLOOKUP($C255,武器!$1:$998,COLUMN(O$1),FALSE)*VLOOKUP($D255,素材!$1:$1016,COLUMN(E$1),FALSE),1),"")</f>
        <v>0</v>
      </c>
      <c r="AA255">
        <f>IF(ISNUMBER(SEARCH(SUBSTITUTE(AA$1,RIGHT(AA$1,2),""),VLOOKUP($D255,素材!$1:$1016,COLUMN($F$1),FALSE))),VLOOKUP($C255,武器!$1:$998,COLUMN($O$1),FALSE)*VLOOKUP($D255,素材!$1:$1016,COLUMN($E$1),FALSE)/(LEN(VLOOKUP($D255,素材!$1:$1016,COLUMN($F$1),FALSE)) - LEN(SUBSTITUTE(VLOOKUP($D255,素材!$1:$1016,COLUMN($F$1),FALSE), "・", 0)) + 1), 0)</f>
        <v>0</v>
      </c>
      <c r="AB255">
        <f>IF(ISNUMBER(SEARCH(SUBSTITUTE(AB$1,RIGHT(AB$1,2),""),VLOOKUP($D255,素材!$1:$1016,COLUMN($F$1),FALSE))),VLOOKUP($C255,武器!$1:$998,COLUMN($O$1),FALSE)*VLOOKUP($D255,素材!$1:$1016,COLUMN($E$1),FALSE)/(LEN(VLOOKUP($D255,素材!$1:$1016,COLUMN($F$1),FALSE)) - LEN(SUBSTITUTE(VLOOKUP($D255,素材!$1:$1016,COLUMN($F$1),FALSE), "・", 0)) + 1), 0)</f>
        <v>0</v>
      </c>
      <c r="AC255">
        <f>IF(ISNUMBER(SEARCH(SUBSTITUTE(AC$1,RIGHT(AC$1,2),""),VLOOKUP($D255,素材!$1:$1016,COLUMN($F$1),FALSE))),VLOOKUP($C255,武器!$1:$998,COLUMN($O$1),FALSE)*VLOOKUP($D255,素材!$1:$1016,COLUMN($E$1),FALSE)/(LEN(VLOOKUP($D255,素材!$1:$1016,COLUMN($F$1),FALSE)) - LEN(SUBSTITUTE(VLOOKUP($D255,素材!$1:$1016,COLUMN($F$1),FALSE), "・", 0)) + 1), 0)</f>
        <v>0</v>
      </c>
      <c r="AD255">
        <f>IF(ISNUMBER(SEARCH(SUBSTITUTE(AD$1,RIGHT(AD$1,2),""),VLOOKUP($D255,素材!$1:$1016,COLUMN($F$1),FALSE))),VLOOKUP($C255,武器!$1:$998,COLUMN($O$1),FALSE)*VLOOKUP($D255,素材!$1:$1016,COLUMN($E$1),FALSE)/(LEN(VLOOKUP($D255,素材!$1:$1016,COLUMN($F$1),FALSE)) - LEN(SUBSTITUTE(VLOOKUP($D255,素材!$1:$1016,COLUMN($F$1),FALSE), "・", 0)) + 1), 0)</f>
        <v>0</v>
      </c>
      <c r="AE255">
        <f>IF(ISNUMBER(SEARCH(SUBSTITUTE(AE$1,RIGHT(AE$1,2),""),VLOOKUP($D255,素材!$1:$1016,COLUMN($F$1),FALSE))),VLOOKUP($C255,武器!$1:$998,COLUMN($O$1),FALSE)*VLOOKUP($D255,素材!$1:$1016,COLUMN($E$1),FALSE)/(LEN(VLOOKUP($D255,素材!$1:$1016,COLUMN($F$1),FALSE)) - LEN(SUBSTITUTE(VLOOKUP($D255,素材!$1:$1016,COLUMN($F$1),FALSE), "・", 0)) + 1), 0)</f>
        <v>0</v>
      </c>
      <c r="AF255">
        <f>IF(ISNUMBER(SEARCH(SUBSTITUTE(AF$1,RIGHT(AF$1,2),""),VLOOKUP($D255,素材!$1:$1016,COLUMN($F$1),FALSE))),VLOOKUP($C255,武器!$1:$998,COLUMN($O$1),FALSE)*VLOOKUP($D255,素材!$1:$1016,COLUMN($E$1),FALSE)/(LEN(VLOOKUP($D255,素材!$1:$1016,COLUMN($F$1),FALSE)) - LEN(SUBSTITUTE(VLOOKUP($D255,素材!$1:$1016,COLUMN($F$1),FALSE), "・", 0)) + 1), 0)</f>
        <v>0</v>
      </c>
      <c r="AG255">
        <f>IF(ISNUMBER(SEARCH(SUBSTITUTE(AG$1,RIGHT(AG$1,2),""),VLOOKUP($D255,素材!$1:$1016,COLUMN($F$1),FALSE))),VLOOKUP($C255,武器!$1:$998,COLUMN($O$1),FALSE)*VLOOKUP($D255,素材!$1:$1016,COLUMN($E$1),FALSE)/(LEN(VLOOKUP($D255,素材!$1:$1016,COLUMN($F$1),FALSE)) - LEN(SUBSTITUTE(VLOOKUP($D255,素材!$1:$1016,COLUMN($F$1),FALSE), "・", 0)) + 1), 0)</f>
        <v>0</v>
      </c>
      <c r="AH255">
        <f>IF(ISNUMBER(SEARCH(SUBSTITUTE(AH$1,RIGHT(AH$1,2),""),VLOOKUP($D255,素材!$1:$1016,COLUMN($F$1),FALSE))),VLOOKUP($C255,武器!$1:$998,COLUMN($O$1),FALSE)*VLOOKUP($D255,素材!$1:$1016,COLUMN($E$1),FALSE)/(LEN(VLOOKUP($D255,素材!$1:$1016,COLUMN($F$1),FALSE)) - LEN(SUBSTITUTE(VLOOKUP($D255,素材!$1:$1016,COLUMN($F$1),FALSE), "・", 0)) + 1), 0)</f>
        <v>0</v>
      </c>
      <c r="AI255">
        <f>IF(ISNUMBER(SEARCH(SUBSTITUTE(AI$1,RIGHT(AI$1,2),""),VLOOKUP($D255,素材!$1:$1016,COLUMN($F$1),FALSE))),VLOOKUP($C255,武器!$1:$998,COLUMN($O$1),FALSE)*VLOOKUP($D255,素材!$1:$1016,COLUMN($E$1),FALSE)/(LEN(VLOOKUP($D255,素材!$1:$1016,COLUMN($F$1),FALSE)) - LEN(SUBSTITUTE(VLOOKUP($D255,素材!$1:$1016,COLUMN($F$1),FALSE), "・", 0)) + 1), 0)</f>
        <v>0</v>
      </c>
      <c r="AJ255">
        <f>IF(ISNUMBER(SEARCH(SUBSTITUTE(AJ$1,RIGHT(AJ$1,2),""),VLOOKUP($D255,素材!$1:$1016,COLUMN($F$1),FALSE))),VLOOKUP($C255,武器!$1:$998,COLUMN($O$1),FALSE)*VLOOKUP($D255,素材!$1:$1016,COLUMN($E$1),FALSE)/(LEN(VLOOKUP($D255,素材!$1:$1016,COLUMN($F$1),FALSE)) - LEN(SUBSTITUTE(VLOOKUP($D255,素材!$1:$1016,COLUMN($F$1),FALSE), "・", 0)) + 1), 0)</f>
        <v>0</v>
      </c>
      <c r="AK255">
        <f>IF(ISNUMBER(SEARCH(SUBSTITUTE(AK$1,RIGHT(AK$1,2),""),VLOOKUP($D255,素材!$1:$1016,COLUMN($F$1),FALSE))),VLOOKUP($C255,武器!$1:$998,COLUMN($O$1),FALSE)*VLOOKUP($D255,素材!$1:$1016,COLUMN($E$1),FALSE)/(LEN(VLOOKUP($D255,素材!$1:$1016,COLUMN($F$1),FALSE)) - LEN(SUBSTITUTE(VLOOKUP($D255,素材!$1:$1016,COLUMN($F$1),FALSE), "・", 0)) + 1), 0)</f>
        <v>0</v>
      </c>
      <c r="AL255">
        <f>IF(ISNUMBER(SEARCH(SUBSTITUTE(AL$1,RIGHT(AL$1,2),""),VLOOKUP($D255,素材!$1:$1016,COLUMN($F$1),FALSE))),VLOOKUP($C255,武器!$1:$998,COLUMN($O$1),FALSE)*VLOOKUP($D255,素材!$1:$1016,COLUMN($E$1),FALSE)/(LEN(VLOOKUP($D255,素材!$1:$1016,COLUMN($F$1),FALSE)) - LEN(SUBSTITUTE(VLOOKUP($D255,素材!$1:$1016,COLUMN($F$1),FALSE), "・", 0)) + 1), 0)</f>
        <v>0</v>
      </c>
      <c r="AM255">
        <f>IF(ISNUMBER(SEARCH(SUBSTITUTE(AM$1,RIGHT(AM$1,2),""),VLOOKUP($D255,素材!$1:$1016,COLUMN($F$1),FALSE))),VLOOKUP($C255,武器!$1:$998,COLUMN($O$1),FALSE)*VLOOKUP($D255,素材!$1:$1016,COLUMN($E$1),FALSE)/(LEN(VLOOKUP($D255,素材!$1:$1016,COLUMN($F$1),FALSE)) - LEN(SUBSTITUTE(VLOOKUP($D255,素材!$1:$1016,COLUMN($F$1),FALSE), "・", 0)) + 1), 0)</f>
        <v>0</v>
      </c>
      <c r="AN255">
        <f>IF(ISNUMBER(SEARCH(SUBSTITUTE(AN$1,RIGHT(AN$1,2),""),VLOOKUP($D255,素材!$1:$1016,COLUMN($F$1),FALSE))),VLOOKUP($C255,武器!$1:$998,COLUMN($O$1),FALSE)*VLOOKUP($D255,素材!$1:$1016,COLUMN($E$1),FALSE)/(LEN(VLOOKUP($D255,素材!$1:$1016,COLUMN($F$1),FALSE)) - LEN(SUBSTITUTE(VLOOKUP($D255,素材!$1:$1016,COLUMN($F$1),FALSE), "・", 0)) + 1), 0)</f>
        <v>0</v>
      </c>
      <c r="AO255">
        <f>IF(ISNUMBER(SEARCH(SUBSTITUTE(AO$1,RIGHT(AO$1,2),""),VLOOKUP($D255,素材!$1:$1016,COLUMN($F$1),FALSE))),VLOOKUP($C255,武器!$1:$998,COLUMN($O$1),FALSE)*VLOOKUP($D255,素材!$1:$1016,COLUMN($E$1),FALSE)/(LEN(VLOOKUP($D255,素材!$1:$1016,COLUMN($F$1),FALSE)) - LEN(SUBSTITUTE(VLOOKUP($D255,素材!$1:$1016,COLUMN($F$1),FALSE), "・", 0)) + 1), 0)</f>
        <v>0</v>
      </c>
      <c r="AP255">
        <f>IF(ISNUMBER(SEARCH(SUBSTITUTE(AP$1,RIGHT(AP$1,2),""),VLOOKUP($D255,素材!$1:$1016,COLUMN($F$1),FALSE))),VLOOKUP($C255,武器!$1:$998,COLUMN($O$1),FALSE)*VLOOKUP($D255,素材!$1:$1016,COLUMN($E$1),FALSE)/(LEN(VLOOKUP($D255,素材!$1:$1016,COLUMN($F$1),FALSE)) - LEN(SUBSTITUTE(VLOOKUP($D255,素材!$1:$1016,COLUMN($F$1),FALSE), "・", 0)) + 1), 0)</f>
        <v>0</v>
      </c>
      <c r="AQ255">
        <f>IF(ISNUMBER(SEARCH(SUBSTITUTE(AQ$1,RIGHT(AQ$1,2),""),VLOOKUP($D255,素材!$1:$1016,COLUMN($F$1),FALSE))),VLOOKUP($C255,武器!$1:$998,COLUMN($O$1),FALSE)*VLOOKUP($D255,素材!$1:$1016,COLUMN($E$1),FALSE)/(LEN(VLOOKUP($D255,素材!$1:$1016,COLUMN($F$1),FALSE)) - LEN(SUBSTITUTE(VLOOKUP($D255,素材!$1:$1016,COLUMN($F$1),FALSE), "・", 0)) + 1), 0)</f>
        <v>0</v>
      </c>
      <c r="AR255">
        <f>IF(ISNUMBER(SEARCH(SUBSTITUTE(AR$1,RIGHT(AR$1,2),""),VLOOKUP($D255,素材!$1:$1016,COLUMN($F$1),FALSE))),VLOOKUP($C255,武器!$1:$998,COLUMN($O$1),FALSE)*VLOOKUP($D255,素材!$1:$1016,COLUMN($E$1),FALSE)/(LEN(VLOOKUP($D255,素材!$1:$1016,COLUMN($F$1),FALSE)) - LEN(SUBSTITUTE(VLOOKUP($D255,素材!$1:$1016,COLUMN($F$1),FALSE), "・", 0)) + 1), 0)</f>
        <v>0</v>
      </c>
      <c r="AS255">
        <f>IF(ISNUMBER(SEARCH(SUBSTITUTE(AS$1,RIGHT(AS$1,2),""),VLOOKUP($D255,素材!$1:$1016,COLUMN($F$1),FALSE))),VLOOKUP($C255,武器!$1:$998,COLUMN($O$1),FALSE)*VLOOKUP($D255,素材!$1:$1016,COLUMN($E$1),FALSE)/(LEN(VLOOKUP($D255,素材!$1:$1016,COLUMN($F$1),FALSE)) - LEN(SUBSTITUTE(VLOOKUP($D255,素材!$1:$1016,COLUMN($F$1),FALSE), "・", 0)) + 1), 0)</f>
        <v>0</v>
      </c>
      <c r="AT255">
        <f>IF(ISNUMBER(SEARCH(SUBSTITUTE(AT$1,RIGHT(AT$1,2),""),VLOOKUP($D255,素材!$1:$1016,COLUMN($F$1),FALSE))),VLOOKUP($C255,武器!$1:$998,COLUMN($O$1),FALSE)*VLOOKUP($D255,素材!$1:$1016,COLUMN($E$1),FALSE)/(LEN(VLOOKUP($D255,素材!$1:$1016,COLUMN($F$1),FALSE)) - LEN(SUBSTITUTE(VLOOKUP($D255,素材!$1:$1016,COLUMN($F$1),FALSE), "・", 0)) + 1), 0)</f>
        <v>0</v>
      </c>
      <c r="AU255">
        <f>IF(ISNUMBER(SEARCH(SUBSTITUTE(AU$1,RIGHT(AU$1,2),""),VLOOKUP($D255,素材!$1:$1016,COLUMN($F$1),FALSE))),VLOOKUP($C255,武器!$1:$998,COLUMN($O$1),FALSE)*VLOOKUP($D255,素材!$1:$1016,COLUMN($E$1),FALSE)/(LEN(VLOOKUP($D255,素材!$1:$1016,COLUMN($F$1),FALSE)) - LEN(SUBSTITUTE(VLOOKUP($D255,素材!$1:$1016,COLUMN($F$1),FALSE), "・", 0)) + 1), 0)</f>
        <v>0</v>
      </c>
      <c r="AV255">
        <f>IF(ISNUMBER(SEARCH(SUBSTITUTE(AV$1,RIGHT(AV$1,2),""),VLOOKUP($D255,素材!$1:$1016,COLUMN($F$1),FALSE))),VLOOKUP($C255,武器!$1:$998,COLUMN($O$1),FALSE)*VLOOKUP($D255,素材!$1:$1016,COLUMN($E$1),FALSE)/(LEN(VLOOKUP($D255,素材!$1:$1016,COLUMN($F$1),FALSE)) - LEN(SUBSTITUTE(VLOOKUP($D255,素材!$1:$1016,COLUMN($F$1),FALSE), "・", 0)) + 1), 0)</f>
        <v>0</v>
      </c>
      <c r="AW255">
        <f>IF(ISNUMBER(SEARCH(SUBSTITUTE(AW$1,RIGHT(AW$1,2),""),VLOOKUP($D255,素材!$1:$1016,COLUMN($F$1),FALSE))),VLOOKUP($C255,武器!$1:$998,COLUMN($O$1),FALSE)*VLOOKUP($D255,素材!$1:$1016,COLUMN($E$1),FALSE)/(LEN(VLOOKUP($D255,素材!$1:$1016,COLUMN($F$1),FALSE)) - LEN(SUBSTITUTE(VLOOKUP($D255,素材!$1:$1016,COLUMN($F$1),FALSE), "・", 0)) + 1), 0)</f>
        <v>0</v>
      </c>
      <c r="AX255">
        <f>IF(ISNUMBER(SEARCH(SUBSTITUTE(AX$1,RIGHT(AX$1,2),""),VLOOKUP($D255,素材!$1:$1016,COLUMN($F$1),FALSE))),VLOOKUP($C255,武器!$1:$998,COLUMN($O$1),FALSE)*VLOOKUP($D255,素材!$1:$1016,COLUMN($E$1),FALSE)/(LEN(VLOOKUP($D255,素材!$1:$1016,COLUMN($F$1),FALSE)) - LEN(SUBSTITUTE(VLOOKUP($D255,素材!$1:$1016,COLUMN($F$1),FALSE), "・", 0)) + 1), 0)</f>
        <v>0</v>
      </c>
      <c r="AY255">
        <f>IF(ISNUMBER(SEARCH(SUBSTITUTE(AY$1,RIGHT(AY$1,2),""),VLOOKUP($D255,素材!$1:$1016,COLUMN($F$1),FALSE))),VLOOKUP($C255,武器!$1:$998,COLUMN($O$1),FALSE)*VLOOKUP($D255,素材!$1:$1016,COLUMN($E$1),FALSE)/(LEN(VLOOKUP($D255,素材!$1:$1016,COLUMN($F$1),FALSE)) - LEN(SUBSTITUTE(VLOOKUP($D255,素材!$1:$1016,COLUMN($F$1),FALSE), "・", 0)) + 1), 0)</f>
        <v>0</v>
      </c>
      <c r="AZ255">
        <f>IF(ISNUMBER(SEARCH(SUBSTITUTE(AZ$1,RIGHT(AZ$1,2),""),VLOOKUP($D255,素材!$1:$1016,COLUMN($F$1),FALSE))),VLOOKUP($C255,武器!$1:$998,COLUMN($O$1),FALSE)*VLOOKUP($D255,素材!$1:$1016,COLUMN($E$1),FALSE)/(LEN(VLOOKUP($D255,素材!$1:$1016,COLUMN($F$1),FALSE)) - LEN(SUBSTITUTE(VLOOKUP($D255,素材!$1:$1016,COLUMN($F$1),FALSE), "・", 0)) + 1), 0)</f>
        <v>0</v>
      </c>
      <c r="BA255">
        <f>IF(ISNUMBER(SEARCH(SUBSTITUTE(BA$1,RIGHT(BA$1,2),""),VLOOKUP($D255,素材!$1:$1016,COLUMN($F$1),FALSE))),VLOOKUP($C255,武器!$1:$998,COLUMN($O$1),FALSE)*VLOOKUP($D255,素材!$1:$1016,COLUMN($E$1),FALSE)/(LEN(VLOOKUP($D255,素材!$1:$1016,COLUMN($F$1),FALSE)) - LEN(SUBSTITUTE(VLOOKUP($D255,素材!$1:$1016,COLUMN($F$1),FALSE), "・", 0)) + 1), 0)</f>
        <v>0</v>
      </c>
      <c r="BB255">
        <f>IF(ISNUMBER(SEARCH(SUBSTITUTE(BB$1,RIGHT(BB$1,2),""),VLOOKUP($D255,素材!$1:$1016,COLUMN($F$1),FALSE))),VLOOKUP($C255,武器!$1:$998,COLUMN($O$1),FALSE)*VLOOKUP($D255,素材!$1:$1016,COLUMN($E$1),FALSE)/(LEN(VLOOKUP($D255,素材!$1:$1016,COLUMN($F$1),FALSE)) - LEN(SUBSTITUTE(VLOOKUP($D255,素材!$1:$1016,COLUMN($F$1),FALSE), "・", 0)) + 1), 0)</f>
        <v>0</v>
      </c>
      <c r="BC255">
        <f>IF(ISNUMBER(SEARCH(SUBSTITUTE(BC$1,RIGHT(BC$1,2),""),VLOOKUP($D255,素材!$1:$1016,COLUMN($F$1),FALSE))),VLOOKUP($C255,武器!$1:$998,COLUMN($O$1),FALSE)*VLOOKUP($D255,素材!$1:$1016,COLUMN($E$1),FALSE)/(LEN(VLOOKUP($D255,素材!$1:$1016,COLUMN($F$1),FALSE)) - LEN(SUBSTITUTE(VLOOKUP($D255,素材!$1:$1016,COLUMN($F$1),FALSE), "・", 0)) + 1), 0)</f>
        <v>0</v>
      </c>
      <c r="BD255">
        <f>IF(ISNUMBER(SEARCH(SUBSTITUTE(BD$1,RIGHT(BD$1,2),""),VLOOKUP($D255,素材!$1:$1016,COLUMN($F$1),FALSE))),VLOOKUP($C255,武器!$1:$998,COLUMN($O$1),FALSE)*VLOOKUP($D255,素材!$1:$1016,COLUMN($E$1),FALSE)/(LEN(VLOOKUP($D255,素材!$1:$1016,COLUMN($F$1),FALSE)) - LEN(SUBSTITUTE(VLOOKUP($D255,素材!$1:$1016,COLUMN($F$1),FALSE), "・", 0)) + 1), 0)</f>
        <v>0</v>
      </c>
      <c r="BE255">
        <f>IF(ISNUMBER(SEARCH(SUBSTITUTE(BE$1,RIGHT(BE$1,2),""),VLOOKUP($D255,素材!$1:$1016,COLUMN($F$1),FALSE))),VLOOKUP($C255,武器!$1:$998,COLUMN($O$1),FALSE)*VLOOKUP($D255,素材!$1:$1016,COLUMN($E$1),FALSE)/(LEN(VLOOKUP($D255,素材!$1:$1016,COLUMN($F$1),FALSE)) - LEN(SUBSTITUTE(VLOOKUP($D255,素材!$1:$1016,COLUMN($F$1),FALSE), "・", 0)) + 1), 0)</f>
        <v>0</v>
      </c>
      <c r="CL255">
        <f>SUM(G255:I255)</f>
        <v>17</v>
      </c>
      <c r="CM255" s="22" t="str">
        <f>IF(E255="武器",IF(J255-1&gt;SUM(G255:I255),"盾",IF(MAX(G255:I255)=G255,"切断",IF(MAX(G255:I255)=H255,"貫通",IF(MAX(G255:I255)=I255,"打撃","射撃")))),E255)&amp;".webp"</f>
        <v>盾.webp</v>
      </c>
      <c r="CN255">
        <f>IFERROR(VLOOKUP($C255,武器!$1:$998,COLUMN(V$1),FALSE)*VLOOKUP($D255,素材!$1:$1016,COLUMN(N$1),FALSE)+IF(CI255="",0,VLOOKUP($CI255,装強!$1:$1008,COLUMN($CK$1),FALSE)),"")</f>
        <v>3000</v>
      </c>
      <c r="CO255">
        <f>VLOOKUP(D255,素材!$A:$O,COLUMN(素材!O$1),FALSE)</f>
        <v>0</v>
      </c>
      <c r="CP255" t="str">
        <f>VLOOKUP(C255,武器!$A:$W,COLUMN(武器!W$1),FALSE)</f>
        <v>大盾。さらに大きな盾で、高い防御力を持つ。</v>
      </c>
      <c r="CR255" t="str">
        <f t="shared" si="29"/>
        <v>e_255</v>
      </c>
      <c r="CS255">
        <f t="shared" si="30"/>
        <v>300000</v>
      </c>
    </row>
    <row r="256" spans="1:97" outlineLevel="1" x14ac:dyDescent="0.4">
      <c r="A256" t="str">
        <f t="shared" si="32"/>
        <v>熱鉄の短弓</v>
      </c>
      <c r="B256" t="str">
        <f>IFERROR(VLOOKUP($D256,素材!$1:$1016,COLUMN($B$1),FALSE)&amp;"・"&amp;VLOOKUP($C256,武器!$1:$998,COLUMN(B$1),FALSE),"")</f>
        <v>ヒートスティール・ボウ</v>
      </c>
      <c r="C256" t="s">
        <v>218</v>
      </c>
      <c r="D256" s="24" t="s">
        <v>205</v>
      </c>
      <c r="E256" t="str">
        <f>IFERROR(VLOOKUP(C256,武器!$1:$998,COLUMN(C$1),FALSE),"")</f>
        <v>武器</v>
      </c>
      <c r="F256">
        <f>IFERROR(ROUNDDOWN((VLOOKUP($C256,武器!$1:$998,COLUMN(D$1),FALSE)+IFERROR(VLOOKUP($CI256,装強!$1:$999,COLUMN(F$1),FALSE),0))*VLOOKUP($D256,素材!$1:$1016,COLUMN(D$1),FALSE),0),"")</f>
        <v>110</v>
      </c>
      <c r="G256">
        <f>IFERROR(ROUNDDOWN((VLOOKUP($C256,武器!$1:$998,COLUMN(E$1),FALSE)+IFERROR(VLOOKUP($CI256,装強!$1:$999,COLUMN(G$1),FALSE),0))*VLOOKUP($D256,素材!$1:$1016,COLUMN($E$1),FALSE),0),"")</f>
        <v>5</v>
      </c>
      <c r="H256">
        <f>IFERROR(ROUNDDOWN((VLOOKUP($C256,武器!$1:$998,COLUMN(F$1),FALSE)+IFERROR(VLOOKUP($CI256,装強!$1:$999,COLUMN(H$1),FALSE),0))*VLOOKUP($D256,素材!$1:$1016,COLUMN($E$1),FALSE),0),"")</f>
        <v>5</v>
      </c>
      <c r="I256">
        <f>IFERROR(ROUNDDOWN((VLOOKUP($C256,武器!$1:$998,COLUMN(G$1),FALSE)+IFERROR(VLOOKUP($CI256,装強!$1:$999,COLUMN(I$1),FALSE),0))*VLOOKUP($D256,素材!$1:$1016,COLUMN($E$1),FALSE),0),"")</f>
        <v>0</v>
      </c>
      <c r="J256">
        <f>IFERROR(ROUNDDOWN((VLOOKUP($C256,武器!$1:$998,COLUMN(H$1),FALSE)+IFERROR(VLOOKUP($CI256,装強!$1:$999,COLUMN(J$1),FALSE),0))*VLOOKUP($D256,素材!$1:$1016,COLUMN($E$1),FALSE),0),"")</f>
        <v>0</v>
      </c>
      <c r="K256">
        <f>IFERROR(ROUNDDOWN((VLOOKUP($C256,武器!$1:$998,COLUMN(I$1),FALSE)+IFERROR(VLOOKUP($CI256,装強!$1:$999,COLUMN(K$1),FALSE),0))*VLOOKUP($D256,素材!$1:$1016,COLUMN($E$1),FALSE),0),"")</f>
        <v>20</v>
      </c>
      <c r="L256" t="str">
        <f>IFERROR(VLOOKUP($D256,素材!$1:$1016,COLUMN($F$1),FALSE),"")</f>
        <v>炎</v>
      </c>
      <c r="M256">
        <f>IFERROR(VLOOKUP($C256,武器!$1:$998,COLUMN(AA$1),FALSE)*VLOOKUP($D256,素材!$1:$1016,COLUMN($G$1),FALSE),"")</f>
        <v>35</v>
      </c>
      <c r="N256">
        <f>IFERROR(VLOOKUP($C256,武器!$1:$998,COLUMN(I$1),FALSE),"")</f>
        <v>1</v>
      </c>
      <c r="O256" s="23">
        <f>IFERROR((VLOOKUP($C256,武器!$1:$998,COLUMN(K$1),FALSE)+VLOOKUP($D256,素材!$1:$1016,COLUMN(H$1),FALSE))*100+IFERROR(VLOOKUP($CI256,装強!$1:$999,COLUMN(O$1),FALSE),0),"")</f>
        <v>10</v>
      </c>
      <c r="P256" s="23">
        <f>IFERROR((VLOOKUP($C256,武器!$1:$998,COLUMN(L$1),FALSE)+VLOOKUP($D256,素材!$1:$1016,COLUMN(I$1),FALSE))*100+IFERROR(VLOOKUP($CI256,装強!$1:$999,COLUMN(P$1),FALSE),0),"")</f>
        <v>130</v>
      </c>
      <c r="Q256">
        <f>IFERROR(ROUNDUP(VLOOKUP($C256,武器!$1:$998,COLUMN(M$1),FALSE)*(VLOOKUP($D256,素材!$1:$1002,COLUMN(D$1),FALSE)/100),1),"")</f>
        <v>-2.5</v>
      </c>
      <c r="R256">
        <f>IFERROR(ROUNDUP(VLOOKUP($C256,武器!$1:$998,COLUMN(N$1),FALSE)*(VLOOKUP($D256,素材!$1:$1002,COLUMN(D$1),FALSE)/100),1),"")</f>
        <v>0</v>
      </c>
      <c r="S256">
        <f>IFERROR(VLOOKUP($C256,武器!$1:$998,COLUMN(P$1),FALSE),"")</f>
        <v>2</v>
      </c>
      <c r="T256">
        <f>IFERROR(VLOOKUP($C256,武器!$1:$998,COLUMN(Q$1),FALSE),"")</f>
        <v>0</v>
      </c>
      <c r="U256">
        <f>IFERROR(VLOOKUP($C256,武器!$1:$998,COLUMN(R$1),FALSE),"")</f>
        <v>0</v>
      </c>
      <c r="V256">
        <f>IFERROR(VLOOKUP($C256,武器!$1:$998,COLUMN(Q$1),FALSE),"")</f>
        <v>0</v>
      </c>
      <c r="W256" t="str">
        <f>IFERROR(VLOOKUP($C256,武器!$1:$998,COLUMN(T$1),FALSE),"")</f>
        <v>A</v>
      </c>
      <c r="Y256">
        <f>IFERROR(VLOOKUP($C256,武器!$1:$998,COLUMN(U$1),FALSE),"")</f>
        <v>0</v>
      </c>
      <c r="Z256">
        <f>IFERROR(ROUNDUP(VLOOKUP($C256,武器!$1:$998,COLUMN(O$1),FALSE)*VLOOKUP($D256,素材!$1:$1016,COLUMN(E$1),FALSE),1),"")</f>
        <v>0</v>
      </c>
      <c r="AA256">
        <f>IF(ISNUMBER(SEARCH(SUBSTITUTE(AA$1,RIGHT(AA$1,2),""),VLOOKUP($D256,素材!$1:$1016,COLUMN($F$1),FALSE))),VLOOKUP($C256,武器!$1:$998,COLUMN($O$1),FALSE)*VLOOKUP($D256,素材!$1:$1016,COLUMN($E$1),FALSE)/(LEN(VLOOKUP($D256,素材!$1:$1016,COLUMN($F$1),FALSE)) - LEN(SUBSTITUTE(VLOOKUP($D256,素材!$1:$1016,COLUMN($F$1),FALSE), "・", 0)) + 1), 0)</f>
        <v>0</v>
      </c>
      <c r="AB256">
        <f>IF(ISNUMBER(SEARCH(SUBSTITUTE(AB$1,RIGHT(AB$1,2),""),VLOOKUP($D256,素材!$1:$1016,COLUMN($F$1),FALSE))),VLOOKUP($C256,武器!$1:$998,COLUMN($O$1),FALSE)*VLOOKUP($D256,素材!$1:$1016,COLUMN($E$1),FALSE)/(LEN(VLOOKUP($D256,素材!$1:$1016,COLUMN($F$1),FALSE)) - LEN(SUBSTITUTE(VLOOKUP($D256,素材!$1:$1016,COLUMN($F$1),FALSE), "・", 0)) + 1), 0)</f>
        <v>0</v>
      </c>
      <c r="AC256">
        <f>IF(ISNUMBER(SEARCH(SUBSTITUTE(AC$1,RIGHT(AC$1,2),""),VLOOKUP($D256,素材!$1:$1016,COLUMN($F$1),FALSE))),VLOOKUP($C256,武器!$1:$998,COLUMN($O$1),FALSE)*VLOOKUP($D256,素材!$1:$1016,COLUMN($E$1),FALSE)/(LEN(VLOOKUP($D256,素材!$1:$1016,COLUMN($F$1),FALSE)) - LEN(SUBSTITUTE(VLOOKUP($D256,素材!$1:$1016,COLUMN($F$1),FALSE), "・", 0)) + 1), 0)</f>
        <v>0</v>
      </c>
      <c r="AD256">
        <f>IF(ISNUMBER(SEARCH(SUBSTITUTE(AD$1,RIGHT(AD$1,2),""),VLOOKUP($D256,素材!$1:$1016,COLUMN($F$1),FALSE))),VLOOKUP($C256,武器!$1:$998,COLUMN($O$1),FALSE)*VLOOKUP($D256,素材!$1:$1016,COLUMN($E$1),FALSE)/(LEN(VLOOKUP($D256,素材!$1:$1016,COLUMN($F$1),FALSE)) - LEN(SUBSTITUTE(VLOOKUP($D256,素材!$1:$1016,COLUMN($F$1),FALSE), "・", 0)) + 1), 0)</f>
        <v>0</v>
      </c>
      <c r="AE256">
        <f>IF(ISNUMBER(SEARCH(SUBSTITUTE(AE$1,RIGHT(AE$1,2),""),VLOOKUP($D256,素材!$1:$1016,COLUMN($F$1),FALSE))),VLOOKUP($C256,武器!$1:$998,COLUMN($O$1),FALSE)*VLOOKUP($D256,素材!$1:$1016,COLUMN($E$1),FALSE)/(LEN(VLOOKUP($D256,素材!$1:$1016,COLUMN($F$1),FALSE)) - LEN(SUBSTITUTE(VLOOKUP($D256,素材!$1:$1016,COLUMN($F$1),FALSE), "・", 0)) + 1), 0)</f>
        <v>0</v>
      </c>
      <c r="AF256">
        <f>IF(ISNUMBER(SEARCH(SUBSTITUTE(AF$1,RIGHT(AF$1,2),""),VLOOKUP($D256,素材!$1:$1016,COLUMN($F$1),FALSE))),VLOOKUP($C256,武器!$1:$998,COLUMN($O$1),FALSE)*VLOOKUP($D256,素材!$1:$1016,COLUMN($E$1),FALSE)/(LEN(VLOOKUP($D256,素材!$1:$1016,COLUMN($F$1),FALSE)) - LEN(SUBSTITUTE(VLOOKUP($D256,素材!$1:$1016,COLUMN($F$1),FALSE), "・", 0)) + 1), 0)</f>
        <v>0</v>
      </c>
      <c r="AG256">
        <f>IF(ISNUMBER(SEARCH(SUBSTITUTE(AG$1,RIGHT(AG$1,2),""),VLOOKUP($D256,素材!$1:$1016,COLUMN($F$1),FALSE))),VLOOKUP($C256,武器!$1:$998,COLUMN($O$1),FALSE)*VLOOKUP($D256,素材!$1:$1016,COLUMN($E$1),FALSE)/(LEN(VLOOKUP($D256,素材!$1:$1016,COLUMN($F$1),FALSE)) - LEN(SUBSTITUTE(VLOOKUP($D256,素材!$1:$1016,COLUMN($F$1),FALSE), "・", 0)) + 1), 0)</f>
        <v>0</v>
      </c>
      <c r="AH256">
        <f>IF(ISNUMBER(SEARCH(SUBSTITUTE(AH$1,RIGHT(AH$1,2),""),VLOOKUP($D256,素材!$1:$1016,COLUMN($F$1),FALSE))),VLOOKUP($C256,武器!$1:$998,COLUMN($O$1),FALSE)*VLOOKUP($D256,素材!$1:$1016,COLUMN($E$1),FALSE)/(LEN(VLOOKUP($D256,素材!$1:$1016,COLUMN($F$1),FALSE)) - LEN(SUBSTITUTE(VLOOKUP($D256,素材!$1:$1016,COLUMN($F$1),FALSE), "・", 0)) + 1), 0)</f>
        <v>0</v>
      </c>
      <c r="AI256">
        <f>IF(ISNUMBER(SEARCH(SUBSTITUTE(AI$1,RIGHT(AI$1,2),""),VLOOKUP($D256,素材!$1:$1016,COLUMN($F$1),FALSE))),VLOOKUP($C256,武器!$1:$998,COLUMN($O$1),FALSE)*VLOOKUP($D256,素材!$1:$1016,COLUMN($E$1),FALSE)/(LEN(VLOOKUP($D256,素材!$1:$1016,COLUMN($F$1),FALSE)) - LEN(SUBSTITUTE(VLOOKUP($D256,素材!$1:$1016,COLUMN($F$1),FALSE), "・", 0)) + 1), 0)</f>
        <v>0</v>
      </c>
      <c r="AJ256">
        <f>IF(ISNUMBER(SEARCH(SUBSTITUTE(AJ$1,RIGHT(AJ$1,2),""),VLOOKUP($D256,素材!$1:$1016,COLUMN($F$1),FALSE))),VLOOKUP($C256,武器!$1:$998,COLUMN($O$1),FALSE)*VLOOKUP($D256,素材!$1:$1016,COLUMN($E$1),FALSE)/(LEN(VLOOKUP($D256,素材!$1:$1016,COLUMN($F$1),FALSE)) - LEN(SUBSTITUTE(VLOOKUP($D256,素材!$1:$1016,COLUMN($F$1),FALSE), "・", 0)) + 1), 0)</f>
        <v>0</v>
      </c>
      <c r="AK256">
        <f>IF(ISNUMBER(SEARCH(SUBSTITUTE(AK$1,RIGHT(AK$1,2),""),VLOOKUP($D256,素材!$1:$1016,COLUMN($F$1),FALSE))),VLOOKUP($C256,武器!$1:$998,COLUMN($O$1),FALSE)*VLOOKUP($D256,素材!$1:$1016,COLUMN($E$1),FALSE)/(LEN(VLOOKUP($D256,素材!$1:$1016,COLUMN($F$1),FALSE)) - LEN(SUBSTITUTE(VLOOKUP($D256,素材!$1:$1016,COLUMN($F$1),FALSE), "・", 0)) + 1), 0)</f>
        <v>0</v>
      </c>
      <c r="AL256">
        <f>IF(ISNUMBER(SEARCH(SUBSTITUTE(AL$1,RIGHT(AL$1,2),""),VLOOKUP($D256,素材!$1:$1016,COLUMN($F$1),FALSE))),VLOOKUP($C256,武器!$1:$998,COLUMN($O$1),FALSE)*VLOOKUP($D256,素材!$1:$1016,COLUMN($E$1),FALSE)/(LEN(VLOOKUP($D256,素材!$1:$1016,COLUMN($F$1),FALSE)) - LEN(SUBSTITUTE(VLOOKUP($D256,素材!$1:$1016,COLUMN($F$1),FALSE), "・", 0)) + 1), 0)</f>
        <v>0</v>
      </c>
      <c r="AM256">
        <f>IF(ISNUMBER(SEARCH(SUBSTITUTE(AM$1,RIGHT(AM$1,2),""),VLOOKUP($D256,素材!$1:$1016,COLUMN($F$1),FALSE))),VLOOKUP($C256,武器!$1:$998,COLUMN($O$1),FALSE)*VLOOKUP($D256,素材!$1:$1016,COLUMN($E$1),FALSE)/(LEN(VLOOKUP($D256,素材!$1:$1016,COLUMN($F$1),FALSE)) - LEN(SUBSTITUTE(VLOOKUP($D256,素材!$1:$1016,COLUMN($F$1),FALSE), "・", 0)) + 1), 0)</f>
        <v>0</v>
      </c>
      <c r="AN256">
        <f>IF(ISNUMBER(SEARCH(SUBSTITUTE(AN$1,RIGHT(AN$1,2),""),VLOOKUP($D256,素材!$1:$1016,COLUMN($F$1),FALSE))),VLOOKUP($C256,武器!$1:$998,COLUMN($O$1),FALSE)*VLOOKUP($D256,素材!$1:$1016,COLUMN($E$1),FALSE)/(LEN(VLOOKUP($D256,素材!$1:$1016,COLUMN($F$1),FALSE)) - LEN(SUBSTITUTE(VLOOKUP($D256,素材!$1:$1016,COLUMN($F$1),FALSE), "・", 0)) + 1), 0)</f>
        <v>0</v>
      </c>
      <c r="AO256">
        <f>IF(ISNUMBER(SEARCH(SUBSTITUTE(AO$1,RIGHT(AO$1,2),""),VLOOKUP($D256,素材!$1:$1016,COLUMN($F$1),FALSE))),VLOOKUP($C256,武器!$1:$998,COLUMN($O$1),FALSE)*VLOOKUP($D256,素材!$1:$1016,COLUMN($E$1),FALSE)/(LEN(VLOOKUP($D256,素材!$1:$1016,COLUMN($F$1),FALSE)) - LEN(SUBSTITUTE(VLOOKUP($D256,素材!$1:$1016,COLUMN($F$1),FALSE), "・", 0)) + 1), 0)</f>
        <v>0</v>
      </c>
      <c r="AP256">
        <f>IF(ISNUMBER(SEARCH(SUBSTITUTE(AP$1,RIGHT(AP$1,2),""),VLOOKUP($D256,素材!$1:$1016,COLUMN($F$1),FALSE))),VLOOKUP($C256,武器!$1:$998,COLUMN($O$1),FALSE)*VLOOKUP($D256,素材!$1:$1016,COLUMN($E$1),FALSE)/(LEN(VLOOKUP($D256,素材!$1:$1016,COLUMN($F$1),FALSE)) - LEN(SUBSTITUTE(VLOOKUP($D256,素材!$1:$1016,COLUMN($F$1),FALSE), "・", 0)) + 1), 0)</f>
        <v>0</v>
      </c>
      <c r="AQ256">
        <f>IF(ISNUMBER(SEARCH(SUBSTITUTE(AQ$1,RIGHT(AQ$1,2),""),VLOOKUP($D256,素材!$1:$1016,COLUMN($F$1),FALSE))),VLOOKUP($C256,武器!$1:$998,COLUMN($O$1),FALSE)*VLOOKUP($D256,素材!$1:$1016,COLUMN($E$1),FALSE)/(LEN(VLOOKUP($D256,素材!$1:$1016,COLUMN($F$1),FALSE)) - LEN(SUBSTITUTE(VLOOKUP($D256,素材!$1:$1016,COLUMN($F$1),FALSE), "・", 0)) + 1), 0)</f>
        <v>0</v>
      </c>
      <c r="AR256">
        <f>IF(ISNUMBER(SEARCH(SUBSTITUTE(AR$1,RIGHT(AR$1,2),""),VLOOKUP($D256,素材!$1:$1016,COLUMN($F$1),FALSE))),VLOOKUP($C256,武器!$1:$998,COLUMN($O$1),FALSE)*VLOOKUP($D256,素材!$1:$1016,COLUMN($E$1),FALSE)/(LEN(VLOOKUP($D256,素材!$1:$1016,COLUMN($F$1),FALSE)) - LEN(SUBSTITUTE(VLOOKUP($D256,素材!$1:$1016,COLUMN($F$1),FALSE), "・", 0)) + 1), 0)</f>
        <v>0</v>
      </c>
      <c r="AS256">
        <f>IF(ISNUMBER(SEARCH(SUBSTITUTE(AS$1,RIGHT(AS$1,2),""),VLOOKUP($D256,素材!$1:$1016,COLUMN($F$1),FALSE))),VLOOKUP($C256,武器!$1:$998,COLUMN($O$1),FALSE)*VLOOKUP($D256,素材!$1:$1016,COLUMN($E$1),FALSE)/(LEN(VLOOKUP($D256,素材!$1:$1016,COLUMN($F$1),FALSE)) - LEN(SUBSTITUTE(VLOOKUP($D256,素材!$1:$1016,COLUMN($F$1),FALSE), "・", 0)) + 1), 0)</f>
        <v>0</v>
      </c>
      <c r="AT256">
        <f>IF(ISNUMBER(SEARCH(SUBSTITUTE(AT$1,RIGHT(AT$1,2),""),VLOOKUP($D256,素材!$1:$1016,COLUMN($F$1),FALSE))),VLOOKUP($C256,武器!$1:$998,COLUMN($O$1),FALSE)*VLOOKUP($D256,素材!$1:$1016,COLUMN($E$1),FALSE)/(LEN(VLOOKUP($D256,素材!$1:$1016,COLUMN($F$1),FALSE)) - LEN(SUBSTITUTE(VLOOKUP($D256,素材!$1:$1016,COLUMN($F$1),FALSE), "・", 0)) + 1), 0)</f>
        <v>0</v>
      </c>
      <c r="AU256">
        <f>IF(ISNUMBER(SEARCH(SUBSTITUTE(AU$1,RIGHT(AU$1,2),""),VLOOKUP($D256,素材!$1:$1016,COLUMN($F$1),FALSE))),VLOOKUP($C256,武器!$1:$998,COLUMN($O$1),FALSE)*VLOOKUP($D256,素材!$1:$1016,COLUMN($E$1),FALSE)/(LEN(VLOOKUP($D256,素材!$1:$1016,COLUMN($F$1),FALSE)) - LEN(SUBSTITUTE(VLOOKUP($D256,素材!$1:$1016,COLUMN($F$1),FALSE), "・", 0)) + 1), 0)</f>
        <v>0</v>
      </c>
      <c r="AV256">
        <f>IF(ISNUMBER(SEARCH(SUBSTITUTE(AV$1,RIGHT(AV$1,2),""),VLOOKUP($D256,素材!$1:$1016,COLUMN($F$1),FALSE))),VLOOKUP($C256,武器!$1:$998,COLUMN($O$1),FALSE)*VLOOKUP($D256,素材!$1:$1016,COLUMN($E$1),FALSE)/(LEN(VLOOKUP($D256,素材!$1:$1016,COLUMN($F$1),FALSE)) - LEN(SUBSTITUTE(VLOOKUP($D256,素材!$1:$1016,COLUMN($F$1),FALSE), "・", 0)) + 1), 0)</f>
        <v>0</v>
      </c>
      <c r="AW256">
        <f>IF(ISNUMBER(SEARCH(SUBSTITUTE(AW$1,RIGHT(AW$1,2),""),VLOOKUP($D256,素材!$1:$1016,COLUMN($F$1),FALSE))),VLOOKUP($C256,武器!$1:$998,COLUMN($O$1),FALSE)*VLOOKUP($D256,素材!$1:$1016,COLUMN($E$1),FALSE)/(LEN(VLOOKUP($D256,素材!$1:$1016,COLUMN($F$1),FALSE)) - LEN(SUBSTITUTE(VLOOKUP($D256,素材!$1:$1016,COLUMN($F$1),FALSE), "・", 0)) + 1), 0)</f>
        <v>0</v>
      </c>
      <c r="AX256">
        <f>IF(ISNUMBER(SEARCH(SUBSTITUTE(AX$1,RIGHT(AX$1,2),""),VLOOKUP($D256,素材!$1:$1016,COLUMN($F$1),FALSE))),VLOOKUP($C256,武器!$1:$998,COLUMN($O$1),FALSE)*VLOOKUP($D256,素材!$1:$1016,COLUMN($E$1),FALSE)/(LEN(VLOOKUP($D256,素材!$1:$1016,COLUMN($F$1),FALSE)) - LEN(SUBSTITUTE(VLOOKUP($D256,素材!$1:$1016,COLUMN($F$1),FALSE), "・", 0)) + 1), 0)</f>
        <v>0</v>
      </c>
      <c r="AY256">
        <f>IF(ISNUMBER(SEARCH(SUBSTITUTE(AY$1,RIGHT(AY$1,2),""),VLOOKUP($D256,素材!$1:$1016,COLUMN($F$1),FALSE))),VLOOKUP($C256,武器!$1:$998,COLUMN($O$1),FALSE)*VLOOKUP($D256,素材!$1:$1016,COLUMN($E$1),FALSE)/(LEN(VLOOKUP($D256,素材!$1:$1016,COLUMN($F$1),FALSE)) - LEN(SUBSTITUTE(VLOOKUP($D256,素材!$1:$1016,COLUMN($F$1),FALSE), "・", 0)) + 1), 0)</f>
        <v>0</v>
      </c>
      <c r="AZ256">
        <f>IF(ISNUMBER(SEARCH(SUBSTITUTE(AZ$1,RIGHT(AZ$1,2),""),VLOOKUP($D256,素材!$1:$1016,COLUMN($F$1),FALSE))),VLOOKUP($C256,武器!$1:$998,COLUMN($O$1),FALSE)*VLOOKUP($D256,素材!$1:$1016,COLUMN($E$1),FALSE)/(LEN(VLOOKUP($D256,素材!$1:$1016,COLUMN($F$1),FALSE)) - LEN(SUBSTITUTE(VLOOKUP($D256,素材!$1:$1016,COLUMN($F$1),FALSE), "・", 0)) + 1), 0)</f>
        <v>0</v>
      </c>
      <c r="BA256">
        <f>IF(ISNUMBER(SEARCH(SUBSTITUTE(BA$1,RIGHT(BA$1,2),""),VLOOKUP($D256,素材!$1:$1016,COLUMN($F$1),FALSE))),VLOOKUP($C256,武器!$1:$998,COLUMN($O$1),FALSE)*VLOOKUP($D256,素材!$1:$1016,COLUMN($E$1),FALSE)/(LEN(VLOOKUP($D256,素材!$1:$1016,COLUMN($F$1),FALSE)) - LEN(SUBSTITUTE(VLOOKUP($D256,素材!$1:$1016,COLUMN($F$1),FALSE), "・", 0)) + 1), 0)</f>
        <v>0</v>
      </c>
      <c r="BB256">
        <f>IF(ISNUMBER(SEARCH(SUBSTITUTE(BB$1,RIGHT(BB$1,2),""),VLOOKUP($D256,素材!$1:$1016,COLUMN($F$1),FALSE))),VLOOKUP($C256,武器!$1:$998,COLUMN($O$1),FALSE)*VLOOKUP($D256,素材!$1:$1016,COLUMN($E$1),FALSE)/(LEN(VLOOKUP($D256,素材!$1:$1016,COLUMN($F$1),FALSE)) - LEN(SUBSTITUTE(VLOOKUP($D256,素材!$1:$1016,COLUMN($F$1),FALSE), "・", 0)) + 1), 0)</f>
        <v>0</v>
      </c>
      <c r="BC256">
        <f>IF(ISNUMBER(SEARCH(SUBSTITUTE(BC$1,RIGHT(BC$1,2),""),VLOOKUP($D256,素材!$1:$1016,COLUMN($F$1),FALSE))),VLOOKUP($C256,武器!$1:$998,COLUMN($O$1),FALSE)*VLOOKUP($D256,素材!$1:$1016,COLUMN($E$1),FALSE)/(LEN(VLOOKUP($D256,素材!$1:$1016,COLUMN($F$1),FALSE)) - LEN(SUBSTITUTE(VLOOKUP($D256,素材!$1:$1016,COLUMN($F$1),FALSE), "・", 0)) + 1), 0)</f>
        <v>0</v>
      </c>
      <c r="BD256">
        <f>IF(ISNUMBER(SEARCH(SUBSTITUTE(BD$1,RIGHT(BD$1,2),""),VLOOKUP($D256,素材!$1:$1016,COLUMN($F$1),FALSE))),VLOOKUP($C256,武器!$1:$998,COLUMN($O$1),FALSE)*VLOOKUP($D256,素材!$1:$1016,COLUMN($E$1),FALSE)/(LEN(VLOOKUP($D256,素材!$1:$1016,COLUMN($F$1),FALSE)) - LEN(SUBSTITUTE(VLOOKUP($D256,素材!$1:$1016,COLUMN($F$1),FALSE), "・", 0)) + 1), 0)</f>
        <v>0</v>
      </c>
      <c r="BE256">
        <f>IF(ISNUMBER(SEARCH(SUBSTITUTE(BE$1,RIGHT(BE$1,2),""),VLOOKUP($D256,素材!$1:$1016,COLUMN($F$1),FALSE))),VLOOKUP($C256,武器!$1:$998,COLUMN($O$1),FALSE)*VLOOKUP($D256,素材!$1:$1016,COLUMN($E$1),FALSE)/(LEN(VLOOKUP($D256,素材!$1:$1016,COLUMN($F$1),FALSE)) - LEN(SUBSTITUTE(VLOOKUP($D256,素材!$1:$1016,COLUMN($F$1),FALSE), "・", 0)) + 1), 0)</f>
        <v>0</v>
      </c>
      <c r="CL256">
        <f>SUM(G256:I256)</f>
        <v>10</v>
      </c>
      <c r="CM256" s="22" t="str">
        <f>IF(E256="武器",IF(J256-1&gt;SUM(G256:I256),"盾",IF(MAX(G256:I256)=G256,"切断",IF(MAX(G256:I256)=H256,"貫通",IF(MAX(G256:I256)=I256,"打撃","射撃")))),E256)&amp;".webp"</f>
        <v>切断.webp</v>
      </c>
      <c r="CN256">
        <f>IFERROR(VLOOKUP($C256,武器!$1:$998,COLUMN(V$1),FALSE)*VLOOKUP($D256,素材!$1:$1016,COLUMN(N$1),FALSE)+IF(CI256="",0,VLOOKUP($CI256,装強!$1:$1008,COLUMN($CK$1),FALSE)),"")</f>
        <v>2250</v>
      </c>
      <c r="CO256">
        <f>VLOOKUP(D256,素材!$A:$O,COLUMN(素材!O$1),FALSE)</f>
        <v>0</v>
      </c>
      <c r="CP256" t="str">
        <f>VLOOKUP(C256,武器!$A:$W,COLUMN(武器!W$1),FALSE)</f>
        <v>短弓。軽量で扱いやすい遠距離武器。</v>
      </c>
      <c r="CR256" t="str">
        <f t="shared" si="29"/>
        <v>e_256</v>
      </c>
      <c r="CS256">
        <f t="shared" si="30"/>
        <v>225000</v>
      </c>
    </row>
    <row r="257" spans="1:97" outlineLevel="1" x14ac:dyDescent="0.4">
      <c r="A257" t="str">
        <f t="shared" si="32"/>
        <v>熱鉄の長弓</v>
      </c>
      <c r="B257" t="str">
        <f>IFERROR(VLOOKUP($D257,素材!$1:$1016,COLUMN($B$1),FALSE)&amp;"・"&amp;VLOOKUP($C257,武器!$1:$998,COLUMN(B$1),FALSE),"")</f>
        <v>ヒートスティール・ロングボウ</v>
      </c>
      <c r="C257" t="s">
        <v>217</v>
      </c>
      <c r="D257" s="24" t="s">
        <v>205</v>
      </c>
      <c r="E257" t="str">
        <f>IFERROR(VLOOKUP(C257,武器!$1:$998,COLUMN(C$1),FALSE),"")</f>
        <v>武器</v>
      </c>
      <c r="F257">
        <f>IFERROR(ROUNDDOWN((VLOOKUP($C257,武器!$1:$998,COLUMN(D$1),FALSE)+IFERROR(VLOOKUP($CI257,装強!$1:$999,COLUMN(F$1),FALSE),0))*VLOOKUP($D257,素材!$1:$1016,COLUMN(D$1),FALSE),0),"")</f>
        <v>120</v>
      </c>
      <c r="G257">
        <f>IFERROR(ROUNDDOWN((VLOOKUP($C257,武器!$1:$998,COLUMN(E$1),FALSE)+IFERROR(VLOOKUP($CI257,装強!$1:$999,COLUMN(G$1),FALSE),0))*VLOOKUP($D257,素材!$1:$1016,COLUMN($E$1),FALSE),0),"")</f>
        <v>5</v>
      </c>
      <c r="H257">
        <f>IFERROR(ROUNDDOWN((VLOOKUP($C257,武器!$1:$998,COLUMN(F$1),FALSE)+IFERROR(VLOOKUP($CI257,装強!$1:$999,COLUMN(H$1),FALSE),0))*VLOOKUP($D257,素材!$1:$1016,COLUMN($E$1),FALSE),0),"")</f>
        <v>5</v>
      </c>
      <c r="I257">
        <f>IFERROR(ROUNDDOWN((VLOOKUP($C257,武器!$1:$998,COLUMN(G$1),FALSE)+IFERROR(VLOOKUP($CI257,装強!$1:$999,COLUMN(I$1),FALSE),0))*VLOOKUP($D257,素材!$1:$1016,COLUMN($E$1),FALSE),0),"")</f>
        <v>0</v>
      </c>
      <c r="J257">
        <f>IFERROR(ROUNDDOWN((VLOOKUP($C257,武器!$1:$998,COLUMN(H$1),FALSE)+IFERROR(VLOOKUP($CI257,装強!$1:$999,COLUMN(J$1),FALSE),0))*VLOOKUP($D257,素材!$1:$1016,COLUMN($E$1),FALSE),0),"")</f>
        <v>0</v>
      </c>
      <c r="K257">
        <f>IFERROR(ROUNDDOWN((VLOOKUP($C257,武器!$1:$998,COLUMN(I$1),FALSE)+IFERROR(VLOOKUP($CI257,装強!$1:$999,COLUMN(K$1),FALSE),0))*VLOOKUP($D257,素材!$1:$1016,COLUMN($E$1),FALSE),0),"")</f>
        <v>23</v>
      </c>
      <c r="L257" t="str">
        <f>IFERROR(VLOOKUP($D257,素材!$1:$1016,COLUMN($F$1),FALSE),"")</f>
        <v>炎</v>
      </c>
      <c r="M257">
        <f>IFERROR(VLOOKUP($C257,武器!$1:$998,COLUMN(AA$1),FALSE)*VLOOKUP($D257,素材!$1:$1016,COLUMN($G$1),FALSE),"")</f>
        <v>40.25</v>
      </c>
      <c r="N257">
        <f>IFERROR(VLOOKUP($C257,武器!$1:$998,COLUMN(I$1),FALSE),"")</f>
        <v>1.1499999999999999</v>
      </c>
      <c r="O257" s="23">
        <f>IFERROR((VLOOKUP($C257,武器!$1:$998,COLUMN(K$1),FALSE)+VLOOKUP($D257,素材!$1:$1016,COLUMN(H$1),FALSE))*100+IFERROR(VLOOKUP($CI257,装強!$1:$999,COLUMN(O$1),FALSE),0),"")</f>
        <v>10</v>
      </c>
      <c r="P257" s="23">
        <f>IFERROR((VLOOKUP($C257,武器!$1:$998,COLUMN(L$1),FALSE)+VLOOKUP($D257,素材!$1:$1016,COLUMN(I$1),FALSE))*100+IFERROR(VLOOKUP($CI257,装強!$1:$999,COLUMN(P$1),FALSE),0),"")</f>
        <v>130</v>
      </c>
      <c r="Q257">
        <f>IFERROR(ROUNDUP(VLOOKUP($C257,武器!$1:$998,COLUMN(M$1),FALSE)*(VLOOKUP($D257,素材!$1:$1002,COLUMN(D$1),FALSE)/100),1),"")</f>
        <v>-5</v>
      </c>
      <c r="R257">
        <f>IFERROR(ROUNDUP(VLOOKUP($C257,武器!$1:$998,COLUMN(N$1),FALSE)*(VLOOKUP($D257,素材!$1:$1002,COLUMN(D$1),FALSE)/100),1),"")</f>
        <v>-2.5</v>
      </c>
      <c r="S257">
        <f>IFERROR(VLOOKUP($C257,武器!$1:$998,COLUMN(P$1),FALSE),"")</f>
        <v>2</v>
      </c>
      <c r="T257">
        <f>IFERROR(VLOOKUP($C257,武器!$1:$998,COLUMN(Q$1),FALSE),"")</f>
        <v>0</v>
      </c>
      <c r="U257">
        <f>IFERROR(VLOOKUP($C257,武器!$1:$998,COLUMN(R$1),FALSE),"")</f>
        <v>0</v>
      </c>
      <c r="V257">
        <f>IFERROR(VLOOKUP($C257,武器!$1:$998,COLUMN(Q$1),FALSE),"")</f>
        <v>0</v>
      </c>
      <c r="W257" t="str">
        <f>IFERROR(VLOOKUP($C257,武器!$1:$998,COLUMN(T$1),FALSE),"")</f>
        <v>A</v>
      </c>
      <c r="Y257">
        <f>IFERROR(VLOOKUP($C257,武器!$1:$998,COLUMN(U$1),FALSE),"")</f>
        <v>0</v>
      </c>
      <c r="Z257">
        <f>IFERROR(ROUNDUP(VLOOKUP($C257,武器!$1:$998,COLUMN(O$1),FALSE)*VLOOKUP($D257,素材!$1:$1016,COLUMN(E$1),FALSE),1),"")</f>
        <v>0</v>
      </c>
      <c r="AA257">
        <f>IF(ISNUMBER(SEARCH(SUBSTITUTE(AA$1,RIGHT(AA$1,2),""),VLOOKUP($D257,素材!$1:$1016,COLUMN($F$1),FALSE))),VLOOKUP($C257,武器!$1:$998,COLUMN($O$1),FALSE)*VLOOKUP($D257,素材!$1:$1016,COLUMN($E$1),FALSE)/(LEN(VLOOKUP($D257,素材!$1:$1016,COLUMN($F$1),FALSE)) - LEN(SUBSTITUTE(VLOOKUP($D257,素材!$1:$1016,COLUMN($F$1),FALSE), "・", 0)) + 1), 0)</f>
        <v>0</v>
      </c>
      <c r="AB257">
        <f>IF(ISNUMBER(SEARCH(SUBSTITUTE(AB$1,RIGHT(AB$1,2),""),VLOOKUP($D257,素材!$1:$1016,COLUMN($F$1),FALSE))),VLOOKUP($C257,武器!$1:$998,COLUMN($O$1),FALSE)*VLOOKUP($D257,素材!$1:$1016,COLUMN($E$1),FALSE)/(LEN(VLOOKUP($D257,素材!$1:$1016,COLUMN($F$1),FALSE)) - LEN(SUBSTITUTE(VLOOKUP($D257,素材!$1:$1016,COLUMN($F$1),FALSE), "・", 0)) + 1), 0)</f>
        <v>0</v>
      </c>
      <c r="AC257">
        <f>IF(ISNUMBER(SEARCH(SUBSTITUTE(AC$1,RIGHT(AC$1,2),""),VLOOKUP($D257,素材!$1:$1016,COLUMN($F$1),FALSE))),VLOOKUP($C257,武器!$1:$998,COLUMN($O$1),FALSE)*VLOOKUP($D257,素材!$1:$1016,COLUMN($E$1),FALSE)/(LEN(VLOOKUP($D257,素材!$1:$1016,COLUMN($F$1),FALSE)) - LEN(SUBSTITUTE(VLOOKUP($D257,素材!$1:$1016,COLUMN($F$1),FALSE), "・", 0)) + 1), 0)</f>
        <v>0</v>
      </c>
      <c r="AD257">
        <f>IF(ISNUMBER(SEARCH(SUBSTITUTE(AD$1,RIGHT(AD$1,2),""),VLOOKUP($D257,素材!$1:$1016,COLUMN($F$1),FALSE))),VLOOKUP($C257,武器!$1:$998,COLUMN($O$1),FALSE)*VLOOKUP($D257,素材!$1:$1016,COLUMN($E$1),FALSE)/(LEN(VLOOKUP($D257,素材!$1:$1016,COLUMN($F$1),FALSE)) - LEN(SUBSTITUTE(VLOOKUP($D257,素材!$1:$1016,COLUMN($F$1),FALSE), "・", 0)) + 1), 0)</f>
        <v>0</v>
      </c>
      <c r="AE257">
        <f>IF(ISNUMBER(SEARCH(SUBSTITUTE(AE$1,RIGHT(AE$1,2),""),VLOOKUP($D257,素材!$1:$1016,COLUMN($F$1),FALSE))),VLOOKUP($C257,武器!$1:$998,COLUMN($O$1),FALSE)*VLOOKUP($D257,素材!$1:$1016,COLUMN($E$1),FALSE)/(LEN(VLOOKUP($D257,素材!$1:$1016,COLUMN($F$1),FALSE)) - LEN(SUBSTITUTE(VLOOKUP($D257,素材!$1:$1016,COLUMN($F$1),FALSE), "・", 0)) + 1), 0)</f>
        <v>0</v>
      </c>
      <c r="AF257">
        <f>IF(ISNUMBER(SEARCH(SUBSTITUTE(AF$1,RIGHT(AF$1,2),""),VLOOKUP($D257,素材!$1:$1016,COLUMN($F$1),FALSE))),VLOOKUP($C257,武器!$1:$998,COLUMN($O$1),FALSE)*VLOOKUP($D257,素材!$1:$1016,COLUMN($E$1),FALSE)/(LEN(VLOOKUP($D257,素材!$1:$1016,COLUMN($F$1),FALSE)) - LEN(SUBSTITUTE(VLOOKUP($D257,素材!$1:$1016,COLUMN($F$1),FALSE), "・", 0)) + 1), 0)</f>
        <v>0</v>
      </c>
      <c r="AG257">
        <f>IF(ISNUMBER(SEARCH(SUBSTITUTE(AG$1,RIGHT(AG$1,2),""),VLOOKUP($D257,素材!$1:$1016,COLUMN($F$1),FALSE))),VLOOKUP($C257,武器!$1:$998,COLUMN($O$1),FALSE)*VLOOKUP($D257,素材!$1:$1016,COLUMN($E$1),FALSE)/(LEN(VLOOKUP($D257,素材!$1:$1016,COLUMN($F$1),FALSE)) - LEN(SUBSTITUTE(VLOOKUP($D257,素材!$1:$1016,COLUMN($F$1),FALSE), "・", 0)) + 1), 0)</f>
        <v>0</v>
      </c>
      <c r="AH257">
        <f>IF(ISNUMBER(SEARCH(SUBSTITUTE(AH$1,RIGHT(AH$1,2),""),VLOOKUP($D257,素材!$1:$1016,COLUMN($F$1),FALSE))),VLOOKUP($C257,武器!$1:$998,COLUMN($O$1),FALSE)*VLOOKUP($D257,素材!$1:$1016,COLUMN($E$1),FALSE)/(LEN(VLOOKUP($D257,素材!$1:$1016,COLUMN($F$1),FALSE)) - LEN(SUBSTITUTE(VLOOKUP($D257,素材!$1:$1016,COLUMN($F$1),FALSE), "・", 0)) + 1), 0)</f>
        <v>0</v>
      </c>
      <c r="AI257">
        <f>IF(ISNUMBER(SEARCH(SUBSTITUTE(AI$1,RIGHT(AI$1,2),""),VLOOKUP($D257,素材!$1:$1016,COLUMN($F$1),FALSE))),VLOOKUP($C257,武器!$1:$998,COLUMN($O$1),FALSE)*VLOOKUP($D257,素材!$1:$1016,COLUMN($E$1),FALSE)/(LEN(VLOOKUP($D257,素材!$1:$1016,COLUMN($F$1),FALSE)) - LEN(SUBSTITUTE(VLOOKUP($D257,素材!$1:$1016,COLUMN($F$1),FALSE), "・", 0)) + 1), 0)</f>
        <v>0</v>
      </c>
      <c r="AJ257">
        <f>IF(ISNUMBER(SEARCH(SUBSTITUTE(AJ$1,RIGHT(AJ$1,2),""),VLOOKUP($D257,素材!$1:$1016,COLUMN($F$1),FALSE))),VLOOKUP($C257,武器!$1:$998,COLUMN($O$1),FALSE)*VLOOKUP($D257,素材!$1:$1016,COLUMN($E$1),FALSE)/(LEN(VLOOKUP($D257,素材!$1:$1016,COLUMN($F$1),FALSE)) - LEN(SUBSTITUTE(VLOOKUP($D257,素材!$1:$1016,COLUMN($F$1),FALSE), "・", 0)) + 1), 0)</f>
        <v>0</v>
      </c>
      <c r="AK257">
        <f>IF(ISNUMBER(SEARCH(SUBSTITUTE(AK$1,RIGHT(AK$1,2),""),VLOOKUP($D257,素材!$1:$1016,COLUMN($F$1),FALSE))),VLOOKUP($C257,武器!$1:$998,COLUMN($O$1),FALSE)*VLOOKUP($D257,素材!$1:$1016,COLUMN($E$1),FALSE)/(LEN(VLOOKUP($D257,素材!$1:$1016,COLUMN($F$1),FALSE)) - LEN(SUBSTITUTE(VLOOKUP($D257,素材!$1:$1016,COLUMN($F$1),FALSE), "・", 0)) + 1), 0)</f>
        <v>0</v>
      </c>
      <c r="AL257">
        <f>IF(ISNUMBER(SEARCH(SUBSTITUTE(AL$1,RIGHT(AL$1,2),""),VLOOKUP($D257,素材!$1:$1016,COLUMN($F$1),FALSE))),VLOOKUP($C257,武器!$1:$998,COLUMN($O$1),FALSE)*VLOOKUP($D257,素材!$1:$1016,COLUMN($E$1),FALSE)/(LEN(VLOOKUP($D257,素材!$1:$1016,COLUMN($F$1),FALSE)) - LEN(SUBSTITUTE(VLOOKUP($D257,素材!$1:$1016,COLUMN($F$1),FALSE), "・", 0)) + 1), 0)</f>
        <v>0</v>
      </c>
      <c r="AM257">
        <f>IF(ISNUMBER(SEARCH(SUBSTITUTE(AM$1,RIGHT(AM$1,2),""),VLOOKUP($D257,素材!$1:$1016,COLUMN($F$1),FALSE))),VLOOKUP($C257,武器!$1:$998,COLUMN($O$1),FALSE)*VLOOKUP($D257,素材!$1:$1016,COLUMN($E$1),FALSE)/(LEN(VLOOKUP($D257,素材!$1:$1016,COLUMN($F$1),FALSE)) - LEN(SUBSTITUTE(VLOOKUP($D257,素材!$1:$1016,COLUMN($F$1),FALSE), "・", 0)) + 1), 0)</f>
        <v>0</v>
      </c>
      <c r="AN257">
        <f>IF(ISNUMBER(SEARCH(SUBSTITUTE(AN$1,RIGHT(AN$1,2),""),VLOOKUP($D257,素材!$1:$1016,COLUMN($F$1),FALSE))),VLOOKUP($C257,武器!$1:$998,COLUMN($O$1),FALSE)*VLOOKUP($D257,素材!$1:$1016,COLUMN($E$1),FALSE)/(LEN(VLOOKUP($D257,素材!$1:$1016,COLUMN($F$1),FALSE)) - LEN(SUBSTITUTE(VLOOKUP($D257,素材!$1:$1016,COLUMN($F$1),FALSE), "・", 0)) + 1), 0)</f>
        <v>0</v>
      </c>
      <c r="AO257">
        <f>IF(ISNUMBER(SEARCH(SUBSTITUTE(AO$1,RIGHT(AO$1,2),""),VLOOKUP($D257,素材!$1:$1016,COLUMN($F$1),FALSE))),VLOOKUP($C257,武器!$1:$998,COLUMN($O$1),FALSE)*VLOOKUP($D257,素材!$1:$1016,COLUMN($E$1),FALSE)/(LEN(VLOOKUP($D257,素材!$1:$1016,COLUMN($F$1),FALSE)) - LEN(SUBSTITUTE(VLOOKUP($D257,素材!$1:$1016,COLUMN($F$1),FALSE), "・", 0)) + 1), 0)</f>
        <v>0</v>
      </c>
      <c r="AP257">
        <f>IF(ISNUMBER(SEARCH(SUBSTITUTE(AP$1,RIGHT(AP$1,2),""),VLOOKUP($D257,素材!$1:$1016,COLUMN($F$1),FALSE))),VLOOKUP($C257,武器!$1:$998,COLUMN($O$1),FALSE)*VLOOKUP($D257,素材!$1:$1016,COLUMN($E$1),FALSE)/(LEN(VLOOKUP($D257,素材!$1:$1016,COLUMN($F$1),FALSE)) - LEN(SUBSTITUTE(VLOOKUP($D257,素材!$1:$1016,COLUMN($F$1),FALSE), "・", 0)) + 1), 0)</f>
        <v>0</v>
      </c>
      <c r="AQ257">
        <f>IF(ISNUMBER(SEARCH(SUBSTITUTE(AQ$1,RIGHT(AQ$1,2),""),VLOOKUP($D257,素材!$1:$1016,COLUMN($F$1),FALSE))),VLOOKUP($C257,武器!$1:$998,COLUMN($O$1),FALSE)*VLOOKUP($D257,素材!$1:$1016,COLUMN($E$1),FALSE)/(LEN(VLOOKUP($D257,素材!$1:$1016,COLUMN($F$1),FALSE)) - LEN(SUBSTITUTE(VLOOKUP($D257,素材!$1:$1016,COLUMN($F$1),FALSE), "・", 0)) + 1), 0)</f>
        <v>0</v>
      </c>
      <c r="AR257">
        <f>IF(ISNUMBER(SEARCH(SUBSTITUTE(AR$1,RIGHT(AR$1,2),""),VLOOKUP($D257,素材!$1:$1016,COLUMN($F$1),FALSE))),VLOOKUP($C257,武器!$1:$998,COLUMN($O$1),FALSE)*VLOOKUP($D257,素材!$1:$1016,COLUMN($E$1),FALSE)/(LEN(VLOOKUP($D257,素材!$1:$1016,COLUMN($F$1),FALSE)) - LEN(SUBSTITUTE(VLOOKUP($D257,素材!$1:$1016,COLUMN($F$1),FALSE), "・", 0)) + 1), 0)</f>
        <v>0</v>
      </c>
      <c r="AS257">
        <f>IF(ISNUMBER(SEARCH(SUBSTITUTE(AS$1,RIGHT(AS$1,2),""),VLOOKUP($D257,素材!$1:$1016,COLUMN($F$1),FALSE))),VLOOKUP($C257,武器!$1:$998,COLUMN($O$1),FALSE)*VLOOKUP($D257,素材!$1:$1016,COLUMN($E$1),FALSE)/(LEN(VLOOKUP($D257,素材!$1:$1016,COLUMN($F$1),FALSE)) - LEN(SUBSTITUTE(VLOOKUP($D257,素材!$1:$1016,COLUMN($F$1),FALSE), "・", 0)) + 1), 0)</f>
        <v>0</v>
      </c>
      <c r="AT257">
        <f>IF(ISNUMBER(SEARCH(SUBSTITUTE(AT$1,RIGHT(AT$1,2),""),VLOOKUP($D257,素材!$1:$1016,COLUMN($F$1),FALSE))),VLOOKUP($C257,武器!$1:$998,COLUMN($O$1),FALSE)*VLOOKUP($D257,素材!$1:$1016,COLUMN($E$1),FALSE)/(LEN(VLOOKUP($D257,素材!$1:$1016,COLUMN($F$1),FALSE)) - LEN(SUBSTITUTE(VLOOKUP($D257,素材!$1:$1016,COLUMN($F$1),FALSE), "・", 0)) + 1), 0)</f>
        <v>0</v>
      </c>
      <c r="AU257">
        <f>IF(ISNUMBER(SEARCH(SUBSTITUTE(AU$1,RIGHT(AU$1,2),""),VLOOKUP($D257,素材!$1:$1016,COLUMN($F$1),FALSE))),VLOOKUP($C257,武器!$1:$998,COLUMN($O$1),FALSE)*VLOOKUP($D257,素材!$1:$1016,COLUMN($E$1),FALSE)/(LEN(VLOOKUP($D257,素材!$1:$1016,COLUMN($F$1),FALSE)) - LEN(SUBSTITUTE(VLOOKUP($D257,素材!$1:$1016,COLUMN($F$1),FALSE), "・", 0)) + 1), 0)</f>
        <v>0</v>
      </c>
      <c r="AV257">
        <f>IF(ISNUMBER(SEARCH(SUBSTITUTE(AV$1,RIGHT(AV$1,2),""),VLOOKUP($D257,素材!$1:$1016,COLUMN($F$1),FALSE))),VLOOKUP($C257,武器!$1:$998,COLUMN($O$1),FALSE)*VLOOKUP($D257,素材!$1:$1016,COLUMN($E$1),FALSE)/(LEN(VLOOKUP($D257,素材!$1:$1016,COLUMN($F$1),FALSE)) - LEN(SUBSTITUTE(VLOOKUP($D257,素材!$1:$1016,COLUMN($F$1),FALSE), "・", 0)) + 1), 0)</f>
        <v>0</v>
      </c>
      <c r="AW257">
        <f>IF(ISNUMBER(SEARCH(SUBSTITUTE(AW$1,RIGHT(AW$1,2),""),VLOOKUP($D257,素材!$1:$1016,COLUMN($F$1),FALSE))),VLOOKUP($C257,武器!$1:$998,COLUMN($O$1),FALSE)*VLOOKUP($D257,素材!$1:$1016,COLUMN($E$1),FALSE)/(LEN(VLOOKUP($D257,素材!$1:$1016,COLUMN($F$1),FALSE)) - LEN(SUBSTITUTE(VLOOKUP($D257,素材!$1:$1016,COLUMN($F$1),FALSE), "・", 0)) + 1), 0)</f>
        <v>0</v>
      </c>
      <c r="AX257">
        <f>IF(ISNUMBER(SEARCH(SUBSTITUTE(AX$1,RIGHT(AX$1,2),""),VLOOKUP($D257,素材!$1:$1016,COLUMN($F$1),FALSE))),VLOOKUP($C257,武器!$1:$998,COLUMN($O$1),FALSE)*VLOOKUP($D257,素材!$1:$1016,COLUMN($E$1),FALSE)/(LEN(VLOOKUP($D257,素材!$1:$1016,COLUMN($F$1),FALSE)) - LEN(SUBSTITUTE(VLOOKUP($D257,素材!$1:$1016,COLUMN($F$1),FALSE), "・", 0)) + 1), 0)</f>
        <v>0</v>
      </c>
      <c r="AY257">
        <f>IF(ISNUMBER(SEARCH(SUBSTITUTE(AY$1,RIGHT(AY$1,2),""),VLOOKUP($D257,素材!$1:$1016,COLUMN($F$1),FALSE))),VLOOKUP($C257,武器!$1:$998,COLUMN($O$1),FALSE)*VLOOKUP($D257,素材!$1:$1016,COLUMN($E$1),FALSE)/(LEN(VLOOKUP($D257,素材!$1:$1016,COLUMN($F$1),FALSE)) - LEN(SUBSTITUTE(VLOOKUP($D257,素材!$1:$1016,COLUMN($F$1),FALSE), "・", 0)) + 1), 0)</f>
        <v>0</v>
      </c>
      <c r="AZ257">
        <f>IF(ISNUMBER(SEARCH(SUBSTITUTE(AZ$1,RIGHT(AZ$1,2),""),VLOOKUP($D257,素材!$1:$1016,COLUMN($F$1),FALSE))),VLOOKUP($C257,武器!$1:$998,COLUMN($O$1),FALSE)*VLOOKUP($D257,素材!$1:$1016,COLUMN($E$1),FALSE)/(LEN(VLOOKUP($D257,素材!$1:$1016,COLUMN($F$1),FALSE)) - LEN(SUBSTITUTE(VLOOKUP($D257,素材!$1:$1016,COLUMN($F$1),FALSE), "・", 0)) + 1), 0)</f>
        <v>0</v>
      </c>
      <c r="BA257">
        <f>IF(ISNUMBER(SEARCH(SUBSTITUTE(BA$1,RIGHT(BA$1,2),""),VLOOKUP($D257,素材!$1:$1016,COLUMN($F$1),FALSE))),VLOOKUP($C257,武器!$1:$998,COLUMN($O$1),FALSE)*VLOOKUP($D257,素材!$1:$1016,COLUMN($E$1),FALSE)/(LEN(VLOOKUP($D257,素材!$1:$1016,COLUMN($F$1),FALSE)) - LEN(SUBSTITUTE(VLOOKUP($D257,素材!$1:$1016,COLUMN($F$1),FALSE), "・", 0)) + 1), 0)</f>
        <v>0</v>
      </c>
      <c r="BB257">
        <f>IF(ISNUMBER(SEARCH(SUBSTITUTE(BB$1,RIGHT(BB$1,2),""),VLOOKUP($D257,素材!$1:$1016,COLUMN($F$1),FALSE))),VLOOKUP($C257,武器!$1:$998,COLUMN($O$1),FALSE)*VLOOKUP($D257,素材!$1:$1016,COLUMN($E$1),FALSE)/(LEN(VLOOKUP($D257,素材!$1:$1016,COLUMN($F$1),FALSE)) - LEN(SUBSTITUTE(VLOOKUP($D257,素材!$1:$1016,COLUMN($F$1),FALSE), "・", 0)) + 1), 0)</f>
        <v>0</v>
      </c>
      <c r="BC257">
        <f>IF(ISNUMBER(SEARCH(SUBSTITUTE(BC$1,RIGHT(BC$1,2),""),VLOOKUP($D257,素材!$1:$1016,COLUMN($F$1),FALSE))),VLOOKUP($C257,武器!$1:$998,COLUMN($O$1),FALSE)*VLOOKUP($D257,素材!$1:$1016,COLUMN($E$1),FALSE)/(LEN(VLOOKUP($D257,素材!$1:$1016,COLUMN($F$1),FALSE)) - LEN(SUBSTITUTE(VLOOKUP($D257,素材!$1:$1016,COLUMN($F$1),FALSE), "・", 0)) + 1), 0)</f>
        <v>0</v>
      </c>
      <c r="BD257">
        <f>IF(ISNUMBER(SEARCH(SUBSTITUTE(BD$1,RIGHT(BD$1,2),""),VLOOKUP($D257,素材!$1:$1016,COLUMN($F$1),FALSE))),VLOOKUP($C257,武器!$1:$998,COLUMN($O$1),FALSE)*VLOOKUP($D257,素材!$1:$1016,COLUMN($E$1),FALSE)/(LEN(VLOOKUP($D257,素材!$1:$1016,COLUMN($F$1),FALSE)) - LEN(SUBSTITUTE(VLOOKUP($D257,素材!$1:$1016,COLUMN($F$1),FALSE), "・", 0)) + 1), 0)</f>
        <v>0</v>
      </c>
      <c r="BE257">
        <f>IF(ISNUMBER(SEARCH(SUBSTITUTE(BE$1,RIGHT(BE$1,2),""),VLOOKUP($D257,素材!$1:$1016,COLUMN($F$1),FALSE))),VLOOKUP($C257,武器!$1:$998,COLUMN($O$1),FALSE)*VLOOKUP($D257,素材!$1:$1016,COLUMN($E$1),FALSE)/(LEN(VLOOKUP($D257,素材!$1:$1016,COLUMN($F$1),FALSE)) - LEN(SUBSTITUTE(VLOOKUP($D257,素材!$1:$1016,COLUMN($F$1),FALSE), "・", 0)) + 1), 0)</f>
        <v>0</v>
      </c>
      <c r="CL257">
        <f>SUM(G257:I257)</f>
        <v>10</v>
      </c>
      <c r="CM257" s="22" t="str">
        <f>IF(E257="武器",IF(J257-1&gt;SUM(G257:I257),"盾",IF(MAX(G257:I257)=G257,"切断",IF(MAX(G257:I257)=H257,"貫通",IF(MAX(G257:I257)=I257,"打撃","射撃")))),E257)&amp;".webp"</f>
        <v>切断.webp</v>
      </c>
      <c r="CN257">
        <f>IFERROR(VLOOKUP($C257,武器!$1:$998,COLUMN(V$1),FALSE)*VLOOKUP($D257,素材!$1:$1016,COLUMN(N$1),FALSE)+IF(CI257="",0,VLOOKUP($CI257,装強!$1:$1008,COLUMN($CK$1),FALSE)),"")</f>
        <v>3000</v>
      </c>
      <c r="CO257">
        <f>VLOOKUP(D257,素材!$A:$O,COLUMN(素材!O$1),FALSE)</f>
        <v>0</v>
      </c>
      <c r="CP257" t="str">
        <f>VLOOKUP(C257,武器!$A:$W,COLUMN(武器!W$1),FALSE)</f>
        <v>長弓。射程が長く、高い威力を持つ。</v>
      </c>
      <c r="CR257" t="str">
        <f t="shared" si="29"/>
        <v>e_257</v>
      </c>
      <c r="CS257">
        <f t="shared" si="30"/>
        <v>300000</v>
      </c>
    </row>
    <row r="258" spans="1:97" outlineLevel="1" x14ac:dyDescent="0.4">
      <c r="A258" t="str">
        <f t="shared" si="32"/>
        <v>熱鉄の杖</v>
      </c>
      <c r="B258" t="str">
        <f>IFERROR(VLOOKUP($D258,素材!$1:$1016,COLUMN($B$1),FALSE)&amp;"・"&amp;VLOOKUP($C258,武器!$1:$998,COLUMN(B$1),FALSE),"")</f>
        <v>ヒートスティール・ロッド</v>
      </c>
      <c r="C258" t="s">
        <v>216</v>
      </c>
      <c r="D258" s="24" t="s">
        <v>205</v>
      </c>
      <c r="E258" t="str">
        <f>IFERROR(VLOOKUP(C258,武器!$1:$998,COLUMN(C$1),FALSE),"")</f>
        <v>杖</v>
      </c>
      <c r="F258">
        <f>IFERROR(ROUNDDOWN((VLOOKUP($C258,武器!$1:$998,COLUMN(D$1),FALSE)+IFERROR(VLOOKUP($CI258,装強!$1:$999,COLUMN(F$1),FALSE),0))*VLOOKUP($D258,素材!$1:$1016,COLUMN(D$1),FALSE),0),"")</f>
        <v>110</v>
      </c>
      <c r="G258">
        <f>IFERROR(ROUNDDOWN((VLOOKUP($C258,武器!$1:$998,COLUMN(E$1),FALSE)+IFERROR(VLOOKUP($CI258,装強!$1:$999,COLUMN(G$1),FALSE),0))*VLOOKUP($D258,素材!$1:$1016,COLUMN($E$1),FALSE),0),"")</f>
        <v>0</v>
      </c>
      <c r="H258">
        <f>IFERROR(ROUNDDOWN((VLOOKUP($C258,武器!$1:$998,COLUMN(F$1),FALSE)+IFERROR(VLOOKUP($CI258,装強!$1:$999,COLUMN(H$1),FALSE),0))*VLOOKUP($D258,素材!$1:$1016,COLUMN($E$1),FALSE),0),"")</f>
        <v>5</v>
      </c>
      <c r="I258">
        <f>IFERROR(ROUNDDOWN((VLOOKUP($C258,武器!$1:$998,COLUMN(G$1),FALSE)+IFERROR(VLOOKUP($CI258,装強!$1:$999,COLUMN(I$1),FALSE),0))*VLOOKUP($D258,素材!$1:$1016,COLUMN($E$1),FALSE),0),"")</f>
        <v>14</v>
      </c>
      <c r="J258">
        <f>IFERROR(ROUNDDOWN((VLOOKUP($C258,武器!$1:$998,COLUMN(H$1),FALSE)+IFERROR(VLOOKUP($CI258,装強!$1:$999,COLUMN(J$1),FALSE),0))*VLOOKUP($D258,素材!$1:$1016,COLUMN($E$1),FALSE),0),"")</f>
        <v>18</v>
      </c>
      <c r="K258">
        <f>IFERROR(ROUNDDOWN((VLOOKUP($C258,武器!$1:$998,COLUMN(I$1),FALSE)+IFERROR(VLOOKUP($CI258,装強!$1:$999,COLUMN(K$1),FALSE),0))*VLOOKUP($D258,素材!$1:$1016,COLUMN($E$1),FALSE),0),"")</f>
        <v>0</v>
      </c>
      <c r="L258" t="str">
        <f>IFERROR(VLOOKUP($D258,素材!$1:$1016,COLUMN($F$1),FALSE),"")</f>
        <v>炎</v>
      </c>
      <c r="M258">
        <f>IFERROR(VLOOKUP($C258,武器!$1:$998,COLUMN(AA$1),FALSE)*VLOOKUP($D258,素材!$1:$1016,COLUMN($G$1),FALSE),"")</f>
        <v>33.25</v>
      </c>
      <c r="N258">
        <f>IFERROR(VLOOKUP($C258,武器!$1:$998,COLUMN(I$1),FALSE),"")</f>
        <v>0</v>
      </c>
      <c r="O258" s="23">
        <f>IFERROR((VLOOKUP($C258,武器!$1:$998,COLUMN(K$1),FALSE)+VLOOKUP($D258,素材!$1:$1016,COLUMN(H$1),FALSE))*100+IFERROR(VLOOKUP($CI258,装強!$1:$999,COLUMN(O$1),FALSE),0),"")</f>
        <v>5</v>
      </c>
      <c r="P258" s="23">
        <f>IFERROR((VLOOKUP($C258,武器!$1:$998,COLUMN(L$1),FALSE)+VLOOKUP($D258,素材!$1:$1016,COLUMN(I$1),FALSE))*100+IFERROR(VLOOKUP($CI258,装強!$1:$999,COLUMN(P$1),FALSE),0),"")</f>
        <v>150</v>
      </c>
      <c r="Q258">
        <f>IFERROR(ROUNDUP(VLOOKUP($C258,武器!$1:$998,COLUMN(M$1),FALSE)*(VLOOKUP($D258,素材!$1:$1002,COLUMN(D$1),FALSE)/100),1),"")</f>
        <v>0</v>
      </c>
      <c r="R258">
        <f>IFERROR(ROUNDUP(VLOOKUP($C258,武器!$1:$998,COLUMN(N$1),FALSE)*(VLOOKUP($D258,素材!$1:$1002,COLUMN(D$1),FALSE)/100),1),"")</f>
        <v>0</v>
      </c>
      <c r="S258">
        <f>IFERROR(VLOOKUP($C258,武器!$1:$998,COLUMN(P$1),FALSE),"")</f>
        <v>0</v>
      </c>
      <c r="T258">
        <f>IFERROR(VLOOKUP($C258,武器!$1:$998,COLUMN(Q$1),FALSE),"")</f>
        <v>0</v>
      </c>
      <c r="U258">
        <f>IFERROR(VLOOKUP($C258,武器!$1:$998,COLUMN(R$1),FALSE),"")</f>
        <v>0</v>
      </c>
      <c r="V258">
        <f>IFERROR(VLOOKUP($C258,武器!$1:$998,COLUMN(Q$1),FALSE),"")</f>
        <v>0</v>
      </c>
      <c r="W258" t="str">
        <f>IFERROR(VLOOKUP($C258,武器!$1:$998,COLUMN(T$1),FALSE),"")</f>
        <v>A</v>
      </c>
      <c r="Y258" t="str">
        <f>IFERROR(VLOOKUP($C258,武器!$1:$998,COLUMN(U$1),FALSE),"")</f>
        <v>魔法無詠唱Ⅱ</v>
      </c>
      <c r="Z258">
        <f>IFERROR(ROUNDUP(VLOOKUP($C258,武器!$1:$998,COLUMN(O$1),FALSE)*VLOOKUP($D258,素材!$1:$1016,COLUMN(E$1),FALSE),1),"")</f>
        <v>0</v>
      </c>
      <c r="AA258">
        <f>IF(ISNUMBER(SEARCH(SUBSTITUTE(AA$1,RIGHT(AA$1,2),""),VLOOKUP($D258,素材!$1:$1016,COLUMN($F$1),FALSE))),VLOOKUP($C258,武器!$1:$998,COLUMN($O$1),FALSE)*VLOOKUP($D258,素材!$1:$1016,COLUMN($E$1),FALSE)/(LEN(VLOOKUP($D258,素材!$1:$1016,COLUMN($F$1),FALSE)) - LEN(SUBSTITUTE(VLOOKUP($D258,素材!$1:$1016,COLUMN($F$1),FALSE), "・", 0)) + 1), 0)</f>
        <v>0</v>
      </c>
      <c r="AB258">
        <f>IF(ISNUMBER(SEARCH(SUBSTITUTE(AB$1,RIGHT(AB$1,2),""),VLOOKUP($D258,素材!$1:$1016,COLUMN($F$1),FALSE))),VLOOKUP($C258,武器!$1:$998,COLUMN($O$1),FALSE)*VLOOKUP($D258,素材!$1:$1016,COLUMN($E$1),FALSE)/(LEN(VLOOKUP($D258,素材!$1:$1016,COLUMN($F$1),FALSE)) - LEN(SUBSTITUTE(VLOOKUP($D258,素材!$1:$1016,COLUMN($F$1),FALSE), "・", 0)) + 1), 0)</f>
        <v>0</v>
      </c>
      <c r="AC258">
        <f>IF(ISNUMBER(SEARCH(SUBSTITUTE(AC$1,RIGHT(AC$1,2),""),VLOOKUP($D258,素材!$1:$1016,COLUMN($F$1),FALSE))),VLOOKUP($C258,武器!$1:$998,COLUMN($O$1),FALSE)*VLOOKUP($D258,素材!$1:$1016,COLUMN($E$1),FALSE)/(LEN(VLOOKUP($D258,素材!$1:$1016,COLUMN($F$1),FALSE)) - LEN(SUBSTITUTE(VLOOKUP($D258,素材!$1:$1016,COLUMN($F$1),FALSE), "・", 0)) + 1), 0)</f>
        <v>0</v>
      </c>
      <c r="AD258">
        <f>IF(ISNUMBER(SEARCH(SUBSTITUTE(AD$1,RIGHT(AD$1,2),""),VLOOKUP($D258,素材!$1:$1016,COLUMN($F$1),FALSE))),VLOOKUP($C258,武器!$1:$998,COLUMN($O$1),FALSE)*VLOOKUP($D258,素材!$1:$1016,COLUMN($E$1),FALSE)/(LEN(VLOOKUP($D258,素材!$1:$1016,COLUMN($F$1),FALSE)) - LEN(SUBSTITUTE(VLOOKUP($D258,素材!$1:$1016,COLUMN($F$1),FALSE), "・", 0)) + 1), 0)</f>
        <v>0</v>
      </c>
      <c r="AE258">
        <f>IF(ISNUMBER(SEARCH(SUBSTITUTE(AE$1,RIGHT(AE$1,2),""),VLOOKUP($D258,素材!$1:$1016,COLUMN($F$1),FALSE))),VLOOKUP($C258,武器!$1:$998,COLUMN($O$1),FALSE)*VLOOKUP($D258,素材!$1:$1016,COLUMN($E$1),FALSE)/(LEN(VLOOKUP($D258,素材!$1:$1016,COLUMN($F$1),FALSE)) - LEN(SUBSTITUTE(VLOOKUP($D258,素材!$1:$1016,COLUMN($F$1),FALSE), "・", 0)) + 1), 0)</f>
        <v>0</v>
      </c>
      <c r="AF258">
        <f>IF(ISNUMBER(SEARCH(SUBSTITUTE(AF$1,RIGHT(AF$1,2),""),VLOOKUP($D258,素材!$1:$1016,COLUMN($F$1),FALSE))),VLOOKUP($C258,武器!$1:$998,COLUMN($O$1),FALSE)*VLOOKUP($D258,素材!$1:$1016,COLUMN($E$1),FALSE)/(LEN(VLOOKUP($D258,素材!$1:$1016,COLUMN($F$1),FALSE)) - LEN(SUBSTITUTE(VLOOKUP($D258,素材!$1:$1016,COLUMN($F$1),FALSE), "・", 0)) + 1), 0)</f>
        <v>0</v>
      </c>
      <c r="AG258">
        <f>IF(ISNUMBER(SEARCH(SUBSTITUTE(AG$1,RIGHT(AG$1,2),""),VLOOKUP($D258,素材!$1:$1016,COLUMN($F$1),FALSE))),VLOOKUP($C258,武器!$1:$998,COLUMN($O$1),FALSE)*VLOOKUP($D258,素材!$1:$1016,COLUMN($E$1),FALSE)/(LEN(VLOOKUP($D258,素材!$1:$1016,COLUMN($F$1),FALSE)) - LEN(SUBSTITUTE(VLOOKUP($D258,素材!$1:$1016,COLUMN($F$1),FALSE), "・", 0)) + 1), 0)</f>
        <v>0</v>
      </c>
      <c r="AH258">
        <f>IF(ISNUMBER(SEARCH(SUBSTITUTE(AH$1,RIGHT(AH$1,2),""),VLOOKUP($D258,素材!$1:$1016,COLUMN($F$1),FALSE))),VLOOKUP($C258,武器!$1:$998,COLUMN($O$1),FALSE)*VLOOKUP($D258,素材!$1:$1016,COLUMN($E$1),FALSE)/(LEN(VLOOKUP($D258,素材!$1:$1016,COLUMN($F$1),FALSE)) - LEN(SUBSTITUTE(VLOOKUP($D258,素材!$1:$1016,COLUMN($F$1),FALSE), "・", 0)) + 1), 0)</f>
        <v>0</v>
      </c>
      <c r="AI258">
        <f>IF(ISNUMBER(SEARCH(SUBSTITUTE(AI$1,RIGHT(AI$1,2),""),VLOOKUP($D258,素材!$1:$1016,COLUMN($F$1),FALSE))),VLOOKUP($C258,武器!$1:$998,COLUMN($O$1),FALSE)*VLOOKUP($D258,素材!$1:$1016,COLUMN($E$1),FALSE)/(LEN(VLOOKUP($D258,素材!$1:$1016,COLUMN($F$1),FALSE)) - LEN(SUBSTITUTE(VLOOKUP($D258,素材!$1:$1016,COLUMN($F$1),FALSE), "・", 0)) + 1), 0)</f>
        <v>0</v>
      </c>
      <c r="AJ258">
        <f>IF(ISNUMBER(SEARCH(SUBSTITUTE(AJ$1,RIGHT(AJ$1,2),""),VLOOKUP($D258,素材!$1:$1016,COLUMN($F$1),FALSE))),VLOOKUP($C258,武器!$1:$998,COLUMN($O$1),FALSE)*VLOOKUP($D258,素材!$1:$1016,COLUMN($E$1),FALSE)/(LEN(VLOOKUP($D258,素材!$1:$1016,COLUMN($F$1),FALSE)) - LEN(SUBSTITUTE(VLOOKUP($D258,素材!$1:$1016,COLUMN($F$1),FALSE), "・", 0)) + 1), 0)</f>
        <v>0</v>
      </c>
      <c r="AK258">
        <f>IF(ISNUMBER(SEARCH(SUBSTITUTE(AK$1,RIGHT(AK$1,2),""),VLOOKUP($D258,素材!$1:$1016,COLUMN($F$1),FALSE))),VLOOKUP($C258,武器!$1:$998,COLUMN($O$1),FALSE)*VLOOKUP($D258,素材!$1:$1016,COLUMN($E$1),FALSE)/(LEN(VLOOKUP($D258,素材!$1:$1016,COLUMN($F$1),FALSE)) - LEN(SUBSTITUTE(VLOOKUP($D258,素材!$1:$1016,COLUMN($F$1),FALSE), "・", 0)) + 1), 0)</f>
        <v>0</v>
      </c>
      <c r="AL258">
        <f>IF(ISNUMBER(SEARCH(SUBSTITUTE(AL$1,RIGHT(AL$1,2),""),VLOOKUP($D258,素材!$1:$1016,COLUMN($F$1),FALSE))),VLOOKUP($C258,武器!$1:$998,COLUMN($O$1),FALSE)*VLOOKUP($D258,素材!$1:$1016,COLUMN($E$1),FALSE)/(LEN(VLOOKUP($D258,素材!$1:$1016,COLUMN($F$1),FALSE)) - LEN(SUBSTITUTE(VLOOKUP($D258,素材!$1:$1016,COLUMN($F$1),FALSE), "・", 0)) + 1), 0)</f>
        <v>0</v>
      </c>
      <c r="AM258">
        <f>IF(ISNUMBER(SEARCH(SUBSTITUTE(AM$1,RIGHT(AM$1,2),""),VLOOKUP($D258,素材!$1:$1016,COLUMN($F$1),FALSE))),VLOOKUP($C258,武器!$1:$998,COLUMN($O$1),FALSE)*VLOOKUP($D258,素材!$1:$1016,COLUMN($E$1),FALSE)/(LEN(VLOOKUP($D258,素材!$1:$1016,COLUMN($F$1),FALSE)) - LEN(SUBSTITUTE(VLOOKUP($D258,素材!$1:$1016,COLUMN($F$1),FALSE), "・", 0)) + 1), 0)</f>
        <v>0</v>
      </c>
      <c r="AN258">
        <f>IF(ISNUMBER(SEARCH(SUBSTITUTE(AN$1,RIGHT(AN$1,2),""),VLOOKUP($D258,素材!$1:$1016,COLUMN($F$1),FALSE))),VLOOKUP($C258,武器!$1:$998,COLUMN($O$1),FALSE)*VLOOKUP($D258,素材!$1:$1016,COLUMN($E$1),FALSE)/(LEN(VLOOKUP($D258,素材!$1:$1016,COLUMN($F$1),FALSE)) - LEN(SUBSTITUTE(VLOOKUP($D258,素材!$1:$1016,COLUMN($F$1),FALSE), "・", 0)) + 1), 0)</f>
        <v>0</v>
      </c>
      <c r="AO258">
        <f>IF(ISNUMBER(SEARCH(SUBSTITUTE(AO$1,RIGHT(AO$1,2),""),VLOOKUP($D258,素材!$1:$1016,COLUMN($F$1),FALSE))),VLOOKUP($C258,武器!$1:$998,COLUMN($O$1),FALSE)*VLOOKUP($D258,素材!$1:$1016,COLUMN($E$1),FALSE)/(LEN(VLOOKUP($D258,素材!$1:$1016,COLUMN($F$1),FALSE)) - LEN(SUBSTITUTE(VLOOKUP($D258,素材!$1:$1016,COLUMN($F$1),FALSE), "・", 0)) + 1), 0)</f>
        <v>0</v>
      </c>
      <c r="AP258">
        <f>IF(ISNUMBER(SEARCH(SUBSTITUTE(AP$1,RIGHT(AP$1,2),""),VLOOKUP($D258,素材!$1:$1016,COLUMN($F$1),FALSE))),VLOOKUP($C258,武器!$1:$998,COLUMN($O$1),FALSE)*VLOOKUP($D258,素材!$1:$1016,COLUMN($E$1),FALSE)/(LEN(VLOOKUP($D258,素材!$1:$1016,COLUMN($F$1),FALSE)) - LEN(SUBSTITUTE(VLOOKUP($D258,素材!$1:$1016,COLUMN($F$1),FALSE), "・", 0)) + 1), 0)</f>
        <v>0</v>
      </c>
      <c r="AQ258">
        <f>IF(ISNUMBER(SEARCH(SUBSTITUTE(AQ$1,RIGHT(AQ$1,2),""),VLOOKUP($D258,素材!$1:$1016,COLUMN($F$1),FALSE))),VLOOKUP($C258,武器!$1:$998,COLUMN($O$1),FALSE)*VLOOKUP($D258,素材!$1:$1016,COLUMN($E$1),FALSE)/(LEN(VLOOKUP($D258,素材!$1:$1016,COLUMN($F$1),FALSE)) - LEN(SUBSTITUTE(VLOOKUP($D258,素材!$1:$1016,COLUMN($F$1),FALSE), "・", 0)) + 1), 0)</f>
        <v>0</v>
      </c>
      <c r="AR258">
        <f>IF(ISNUMBER(SEARCH(SUBSTITUTE(AR$1,RIGHT(AR$1,2),""),VLOOKUP($D258,素材!$1:$1016,COLUMN($F$1),FALSE))),VLOOKUP($C258,武器!$1:$998,COLUMN($O$1),FALSE)*VLOOKUP($D258,素材!$1:$1016,COLUMN($E$1),FALSE)/(LEN(VLOOKUP($D258,素材!$1:$1016,COLUMN($F$1),FALSE)) - LEN(SUBSTITUTE(VLOOKUP($D258,素材!$1:$1016,COLUMN($F$1),FALSE), "・", 0)) + 1), 0)</f>
        <v>0</v>
      </c>
      <c r="AS258">
        <f>IF(ISNUMBER(SEARCH(SUBSTITUTE(AS$1,RIGHT(AS$1,2),""),VLOOKUP($D258,素材!$1:$1016,COLUMN($F$1),FALSE))),VLOOKUP($C258,武器!$1:$998,COLUMN($O$1),FALSE)*VLOOKUP($D258,素材!$1:$1016,COLUMN($E$1),FALSE)/(LEN(VLOOKUP($D258,素材!$1:$1016,COLUMN($F$1),FALSE)) - LEN(SUBSTITUTE(VLOOKUP($D258,素材!$1:$1016,COLUMN($F$1),FALSE), "・", 0)) + 1), 0)</f>
        <v>0</v>
      </c>
      <c r="AT258">
        <f>IF(ISNUMBER(SEARCH(SUBSTITUTE(AT$1,RIGHT(AT$1,2),""),VLOOKUP($D258,素材!$1:$1016,COLUMN($F$1),FALSE))),VLOOKUP($C258,武器!$1:$998,COLUMN($O$1),FALSE)*VLOOKUP($D258,素材!$1:$1016,COLUMN($E$1),FALSE)/(LEN(VLOOKUP($D258,素材!$1:$1016,COLUMN($F$1),FALSE)) - LEN(SUBSTITUTE(VLOOKUP($D258,素材!$1:$1016,COLUMN($F$1),FALSE), "・", 0)) + 1), 0)</f>
        <v>0</v>
      </c>
      <c r="AU258">
        <f>IF(ISNUMBER(SEARCH(SUBSTITUTE(AU$1,RIGHT(AU$1,2),""),VLOOKUP($D258,素材!$1:$1016,COLUMN($F$1),FALSE))),VLOOKUP($C258,武器!$1:$998,COLUMN($O$1),FALSE)*VLOOKUP($D258,素材!$1:$1016,COLUMN($E$1),FALSE)/(LEN(VLOOKUP($D258,素材!$1:$1016,COLUMN($F$1),FALSE)) - LEN(SUBSTITUTE(VLOOKUP($D258,素材!$1:$1016,COLUMN($F$1),FALSE), "・", 0)) + 1), 0)</f>
        <v>0</v>
      </c>
      <c r="AV258">
        <f>IF(ISNUMBER(SEARCH(SUBSTITUTE(AV$1,RIGHT(AV$1,2),""),VLOOKUP($D258,素材!$1:$1016,COLUMN($F$1),FALSE))),VLOOKUP($C258,武器!$1:$998,COLUMN($O$1),FALSE)*VLOOKUP($D258,素材!$1:$1016,COLUMN($E$1),FALSE)/(LEN(VLOOKUP($D258,素材!$1:$1016,COLUMN($F$1),FALSE)) - LEN(SUBSTITUTE(VLOOKUP($D258,素材!$1:$1016,COLUMN($F$1),FALSE), "・", 0)) + 1), 0)</f>
        <v>0</v>
      </c>
      <c r="AW258">
        <f>IF(ISNUMBER(SEARCH(SUBSTITUTE(AW$1,RIGHT(AW$1,2),""),VLOOKUP($D258,素材!$1:$1016,COLUMN($F$1),FALSE))),VLOOKUP($C258,武器!$1:$998,COLUMN($O$1),FALSE)*VLOOKUP($D258,素材!$1:$1016,COLUMN($E$1),FALSE)/(LEN(VLOOKUP($D258,素材!$1:$1016,COLUMN($F$1),FALSE)) - LEN(SUBSTITUTE(VLOOKUP($D258,素材!$1:$1016,COLUMN($F$1),FALSE), "・", 0)) + 1), 0)</f>
        <v>0</v>
      </c>
      <c r="AX258">
        <f>IF(ISNUMBER(SEARCH(SUBSTITUTE(AX$1,RIGHT(AX$1,2),""),VLOOKUP($D258,素材!$1:$1016,COLUMN($F$1),FALSE))),VLOOKUP($C258,武器!$1:$998,COLUMN($O$1),FALSE)*VLOOKUP($D258,素材!$1:$1016,COLUMN($E$1),FALSE)/(LEN(VLOOKUP($D258,素材!$1:$1016,COLUMN($F$1),FALSE)) - LEN(SUBSTITUTE(VLOOKUP($D258,素材!$1:$1016,COLUMN($F$1),FALSE), "・", 0)) + 1), 0)</f>
        <v>0</v>
      </c>
      <c r="AY258">
        <f>IF(ISNUMBER(SEARCH(SUBSTITUTE(AY$1,RIGHT(AY$1,2),""),VLOOKUP($D258,素材!$1:$1016,COLUMN($F$1),FALSE))),VLOOKUP($C258,武器!$1:$998,COLUMN($O$1),FALSE)*VLOOKUP($D258,素材!$1:$1016,COLUMN($E$1),FALSE)/(LEN(VLOOKUP($D258,素材!$1:$1016,COLUMN($F$1),FALSE)) - LEN(SUBSTITUTE(VLOOKUP($D258,素材!$1:$1016,COLUMN($F$1),FALSE), "・", 0)) + 1), 0)</f>
        <v>0</v>
      </c>
      <c r="AZ258">
        <f>IF(ISNUMBER(SEARCH(SUBSTITUTE(AZ$1,RIGHT(AZ$1,2),""),VLOOKUP($D258,素材!$1:$1016,COLUMN($F$1),FALSE))),VLOOKUP($C258,武器!$1:$998,COLUMN($O$1),FALSE)*VLOOKUP($D258,素材!$1:$1016,COLUMN($E$1),FALSE)/(LEN(VLOOKUP($D258,素材!$1:$1016,COLUMN($F$1),FALSE)) - LEN(SUBSTITUTE(VLOOKUP($D258,素材!$1:$1016,COLUMN($F$1),FALSE), "・", 0)) + 1), 0)</f>
        <v>0</v>
      </c>
      <c r="BA258">
        <f>IF(ISNUMBER(SEARCH(SUBSTITUTE(BA$1,RIGHT(BA$1,2),""),VLOOKUP($D258,素材!$1:$1016,COLUMN($F$1),FALSE))),VLOOKUP($C258,武器!$1:$998,COLUMN($O$1),FALSE)*VLOOKUP($D258,素材!$1:$1016,COLUMN($E$1),FALSE)/(LEN(VLOOKUP($D258,素材!$1:$1016,COLUMN($F$1),FALSE)) - LEN(SUBSTITUTE(VLOOKUP($D258,素材!$1:$1016,COLUMN($F$1),FALSE), "・", 0)) + 1), 0)</f>
        <v>0</v>
      </c>
      <c r="BB258">
        <f>IF(ISNUMBER(SEARCH(SUBSTITUTE(BB$1,RIGHT(BB$1,2),""),VLOOKUP($D258,素材!$1:$1016,COLUMN($F$1),FALSE))),VLOOKUP($C258,武器!$1:$998,COLUMN($O$1),FALSE)*VLOOKUP($D258,素材!$1:$1016,COLUMN($E$1),FALSE)/(LEN(VLOOKUP($D258,素材!$1:$1016,COLUMN($F$1),FALSE)) - LEN(SUBSTITUTE(VLOOKUP($D258,素材!$1:$1016,COLUMN($F$1),FALSE), "・", 0)) + 1), 0)</f>
        <v>0</v>
      </c>
      <c r="BC258">
        <f>IF(ISNUMBER(SEARCH(SUBSTITUTE(BC$1,RIGHT(BC$1,2),""),VLOOKUP($D258,素材!$1:$1016,COLUMN($F$1),FALSE))),VLOOKUP($C258,武器!$1:$998,COLUMN($O$1),FALSE)*VLOOKUP($D258,素材!$1:$1016,COLUMN($E$1),FALSE)/(LEN(VLOOKUP($D258,素材!$1:$1016,COLUMN($F$1),FALSE)) - LEN(SUBSTITUTE(VLOOKUP($D258,素材!$1:$1016,COLUMN($F$1),FALSE), "・", 0)) + 1), 0)</f>
        <v>0</v>
      </c>
      <c r="BD258">
        <f>IF(ISNUMBER(SEARCH(SUBSTITUTE(BD$1,RIGHT(BD$1,2),""),VLOOKUP($D258,素材!$1:$1016,COLUMN($F$1),FALSE))),VLOOKUP($C258,武器!$1:$998,COLUMN($O$1),FALSE)*VLOOKUP($D258,素材!$1:$1016,COLUMN($E$1),FALSE)/(LEN(VLOOKUP($D258,素材!$1:$1016,COLUMN($F$1),FALSE)) - LEN(SUBSTITUTE(VLOOKUP($D258,素材!$1:$1016,COLUMN($F$1),FALSE), "・", 0)) + 1), 0)</f>
        <v>0</v>
      </c>
      <c r="BE258">
        <f>IF(ISNUMBER(SEARCH(SUBSTITUTE(BE$1,RIGHT(BE$1,2),""),VLOOKUP($D258,素材!$1:$1016,COLUMN($F$1),FALSE))),VLOOKUP($C258,武器!$1:$998,COLUMN($O$1),FALSE)*VLOOKUP($D258,素材!$1:$1016,COLUMN($E$1),FALSE)/(LEN(VLOOKUP($D258,素材!$1:$1016,COLUMN($F$1),FALSE)) - LEN(SUBSTITUTE(VLOOKUP($D258,素材!$1:$1016,COLUMN($F$1),FALSE), "・", 0)) + 1), 0)</f>
        <v>0</v>
      </c>
      <c r="CL258">
        <f>SUM(G258:I258)</f>
        <v>19</v>
      </c>
      <c r="CM258" s="22" t="str">
        <f>IF(E258="武器",IF(J258-1&gt;SUM(G258:I258),"盾",IF(MAX(G258:I258)=G258,"切断",IF(MAX(G258:I258)=H258,"貫通",IF(MAX(G258:I258)=I258,"打撃","射撃")))),E258)&amp;".webp"</f>
        <v>杖.webp</v>
      </c>
      <c r="CN258">
        <f>IFERROR(VLOOKUP($C258,武器!$1:$998,COLUMN(V$1),FALSE)*VLOOKUP($D258,素材!$1:$1016,COLUMN(N$1),FALSE)+IF(CI258="",0,VLOOKUP($CI258,装強!$1:$1008,COLUMN($CK$1),FALSE)),"")</f>
        <v>3000</v>
      </c>
      <c r="CO258">
        <f>VLOOKUP(D258,素材!$A:$O,COLUMN(素材!O$1),FALSE)</f>
        <v>0</v>
      </c>
      <c r="CP258" t="str">
        <f>VLOOKUP(C258,武器!$A:$W,COLUMN(武器!W$1),FALSE)</f>
        <v>杖。バランスの取れた魔法武器。</v>
      </c>
      <c r="CR258" t="str">
        <f t="shared" si="29"/>
        <v>e_258</v>
      </c>
      <c r="CS258">
        <f t="shared" si="30"/>
        <v>300000</v>
      </c>
    </row>
    <row r="259" spans="1:97" outlineLevel="1" x14ac:dyDescent="0.4">
      <c r="A259" t="str">
        <f t="shared" si="32"/>
        <v>熱鉄の長杖</v>
      </c>
      <c r="B259" t="str">
        <f>IFERROR(VLOOKUP($D259,素材!$1:$1016,COLUMN($B$1),FALSE)&amp;"・"&amp;VLOOKUP($C259,武器!$1:$998,COLUMN(B$1),FALSE),"")</f>
        <v>ヒートスティール・スタッフ</v>
      </c>
      <c r="C259" t="s">
        <v>215</v>
      </c>
      <c r="D259" s="24" t="s">
        <v>205</v>
      </c>
      <c r="E259" t="str">
        <f>IFERROR(VLOOKUP(C259,武器!$1:$998,COLUMN(C$1),FALSE),"")</f>
        <v>杖</v>
      </c>
      <c r="F259">
        <f>IFERROR(ROUNDDOWN((VLOOKUP($C259,武器!$1:$998,COLUMN(D$1),FALSE)+IFERROR(VLOOKUP($CI259,装強!$1:$999,COLUMN(F$1),FALSE),0))*VLOOKUP($D259,素材!$1:$1016,COLUMN(D$1),FALSE),0),"")</f>
        <v>115</v>
      </c>
      <c r="G259">
        <f>IFERROR(ROUNDDOWN((VLOOKUP($C259,武器!$1:$998,COLUMN(E$1),FALSE)+IFERROR(VLOOKUP($CI259,装強!$1:$999,COLUMN(G$1),FALSE),0))*VLOOKUP($D259,素材!$1:$1016,COLUMN($E$1),FALSE),0),"")</f>
        <v>0</v>
      </c>
      <c r="H259">
        <f>IFERROR(ROUNDDOWN((VLOOKUP($C259,武器!$1:$998,COLUMN(F$1),FALSE)+IFERROR(VLOOKUP($CI259,装強!$1:$999,COLUMN(H$1),FALSE),0))*VLOOKUP($D259,素材!$1:$1016,COLUMN($E$1),FALSE),0),"")</f>
        <v>6</v>
      </c>
      <c r="I259">
        <f>IFERROR(ROUNDDOWN((VLOOKUP($C259,武器!$1:$998,COLUMN(G$1),FALSE)+IFERROR(VLOOKUP($CI259,装強!$1:$999,COLUMN(I$1),FALSE),0))*VLOOKUP($D259,素材!$1:$1016,COLUMN($E$1),FALSE),0),"")</f>
        <v>16</v>
      </c>
      <c r="J259">
        <f>IFERROR(ROUNDDOWN((VLOOKUP($C259,武器!$1:$998,COLUMN(H$1),FALSE)+IFERROR(VLOOKUP($CI259,装強!$1:$999,COLUMN(J$1),FALSE),0))*VLOOKUP($D259,素材!$1:$1016,COLUMN($E$1),FALSE),0),"")</f>
        <v>19</v>
      </c>
      <c r="K259">
        <f>IFERROR(ROUNDDOWN((VLOOKUP($C259,武器!$1:$998,COLUMN(I$1),FALSE)+IFERROR(VLOOKUP($CI259,装強!$1:$999,COLUMN(K$1),FALSE),0))*VLOOKUP($D259,素材!$1:$1016,COLUMN($E$1),FALSE),0),"")</f>
        <v>0</v>
      </c>
      <c r="L259" t="str">
        <f>IFERROR(VLOOKUP($D259,素材!$1:$1016,COLUMN($F$1),FALSE),"")</f>
        <v>炎</v>
      </c>
      <c r="M259">
        <f>IFERROR(VLOOKUP($C259,武器!$1:$998,COLUMN(AA$1),FALSE)*VLOOKUP($D259,素材!$1:$1016,COLUMN($G$1),FALSE),"")</f>
        <v>38.5</v>
      </c>
      <c r="N259">
        <f>IFERROR(VLOOKUP($C259,武器!$1:$998,COLUMN(I$1),FALSE),"")</f>
        <v>0</v>
      </c>
      <c r="O259" s="23">
        <f>IFERROR((VLOOKUP($C259,武器!$1:$998,COLUMN(K$1),FALSE)+VLOOKUP($D259,素材!$1:$1016,COLUMN(H$1),FALSE))*100+IFERROR(VLOOKUP($CI259,装強!$1:$999,COLUMN(O$1),FALSE),0),"")</f>
        <v>5</v>
      </c>
      <c r="P259" s="23">
        <f>IFERROR((VLOOKUP($C259,武器!$1:$998,COLUMN(L$1),FALSE)+VLOOKUP($D259,素材!$1:$1016,COLUMN(I$1),FALSE))*100+IFERROR(VLOOKUP($CI259,装強!$1:$999,COLUMN(P$1),FALSE),0),"")</f>
        <v>150</v>
      </c>
      <c r="Q259">
        <f>IFERROR(ROUNDUP(VLOOKUP($C259,武器!$1:$998,COLUMN(M$1),FALSE)*(VLOOKUP($D259,素材!$1:$1002,COLUMN(D$1),FALSE)/100),1),"")</f>
        <v>-4</v>
      </c>
      <c r="R259">
        <f>IFERROR(ROUNDUP(VLOOKUP($C259,武器!$1:$998,COLUMN(N$1),FALSE)*(VLOOKUP($D259,素材!$1:$1002,COLUMN(D$1),FALSE)/100),1),"")</f>
        <v>-4</v>
      </c>
      <c r="S259">
        <f>IFERROR(VLOOKUP($C259,武器!$1:$998,COLUMN(P$1),FALSE),"")</f>
        <v>0</v>
      </c>
      <c r="T259">
        <f>IFERROR(VLOOKUP($C259,武器!$1:$998,COLUMN(Q$1),FALSE),"")</f>
        <v>0</v>
      </c>
      <c r="U259">
        <f>IFERROR(VLOOKUP($C259,武器!$1:$998,COLUMN(R$1),FALSE),"")</f>
        <v>0</v>
      </c>
      <c r="V259">
        <f>IFERROR(VLOOKUP($C259,武器!$1:$998,COLUMN(Q$1),FALSE),"")</f>
        <v>0</v>
      </c>
      <c r="W259" t="str">
        <f>IFERROR(VLOOKUP($C259,武器!$1:$998,COLUMN(T$1),FALSE),"")</f>
        <v>A</v>
      </c>
      <c r="Y259" t="str">
        <f>IFERROR(VLOOKUP($C259,武器!$1:$998,COLUMN(U$1),FALSE),"")</f>
        <v>魔法無詠唱Ⅲ</v>
      </c>
      <c r="Z259">
        <f>IFERROR(ROUNDUP(VLOOKUP($C259,武器!$1:$998,COLUMN(O$1),FALSE)*VLOOKUP($D259,素材!$1:$1016,COLUMN(E$1),FALSE),1),"")</f>
        <v>0</v>
      </c>
      <c r="AA259">
        <f>IF(ISNUMBER(SEARCH(SUBSTITUTE(AA$1,RIGHT(AA$1,2),""),VLOOKUP($D259,素材!$1:$1016,COLUMN($F$1),FALSE))),VLOOKUP($C259,武器!$1:$998,COLUMN($O$1),FALSE)*VLOOKUP($D259,素材!$1:$1016,COLUMN($E$1),FALSE)/(LEN(VLOOKUP($D259,素材!$1:$1016,COLUMN($F$1),FALSE)) - LEN(SUBSTITUTE(VLOOKUP($D259,素材!$1:$1016,COLUMN($F$1),FALSE), "・", 0)) + 1), 0)</f>
        <v>0</v>
      </c>
      <c r="AB259">
        <f>IF(ISNUMBER(SEARCH(SUBSTITUTE(AB$1,RIGHT(AB$1,2),""),VLOOKUP($D259,素材!$1:$1016,COLUMN($F$1),FALSE))),VLOOKUP($C259,武器!$1:$998,COLUMN($O$1),FALSE)*VLOOKUP($D259,素材!$1:$1016,COLUMN($E$1),FALSE)/(LEN(VLOOKUP($D259,素材!$1:$1016,COLUMN($F$1),FALSE)) - LEN(SUBSTITUTE(VLOOKUP($D259,素材!$1:$1016,COLUMN($F$1),FALSE), "・", 0)) + 1), 0)</f>
        <v>0</v>
      </c>
      <c r="AC259">
        <f>IF(ISNUMBER(SEARCH(SUBSTITUTE(AC$1,RIGHT(AC$1,2),""),VLOOKUP($D259,素材!$1:$1016,COLUMN($F$1),FALSE))),VLOOKUP($C259,武器!$1:$998,COLUMN($O$1),FALSE)*VLOOKUP($D259,素材!$1:$1016,COLUMN($E$1),FALSE)/(LEN(VLOOKUP($D259,素材!$1:$1016,COLUMN($F$1),FALSE)) - LEN(SUBSTITUTE(VLOOKUP($D259,素材!$1:$1016,COLUMN($F$1),FALSE), "・", 0)) + 1), 0)</f>
        <v>0</v>
      </c>
      <c r="AD259">
        <f>IF(ISNUMBER(SEARCH(SUBSTITUTE(AD$1,RIGHT(AD$1,2),""),VLOOKUP($D259,素材!$1:$1016,COLUMN($F$1),FALSE))),VLOOKUP($C259,武器!$1:$998,COLUMN($O$1),FALSE)*VLOOKUP($D259,素材!$1:$1016,COLUMN($E$1),FALSE)/(LEN(VLOOKUP($D259,素材!$1:$1016,COLUMN($F$1),FALSE)) - LEN(SUBSTITUTE(VLOOKUP($D259,素材!$1:$1016,COLUMN($F$1),FALSE), "・", 0)) + 1), 0)</f>
        <v>0</v>
      </c>
      <c r="AE259">
        <f>IF(ISNUMBER(SEARCH(SUBSTITUTE(AE$1,RIGHT(AE$1,2),""),VLOOKUP($D259,素材!$1:$1016,COLUMN($F$1),FALSE))),VLOOKUP($C259,武器!$1:$998,COLUMN($O$1),FALSE)*VLOOKUP($D259,素材!$1:$1016,COLUMN($E$1),FALSE)/(LEN(VLOOKUP($D259,素材!$1:$1016,COLUMN($F$1),FALSE)) - LEN(SUBSTITUTE(VLOOKUP($D259,素材!$1:$1016,COLUMN($F$1),FALSE), "・", 0)) + 1), 0)</f>
        <v>0</v>
      </c>
      <c r="AF259">
        <f>IF(ISNUMBER(SEARCH(SUBSTITUTE(AF$1,RIGHT(AF$1,2),""),VLOOKUP($D259,素材!$1:$1016,COLUMN($F$1),FALSE))),VLOOKUP($C259,武器!$1:$998,COLUMN($O$1),FALSE)*VLOOKUP($D259,素材!$1:$1016,COLUMN($E$1),FALSE)/(LEN(VLOOKUP($D259,素材!$1:$1016,COLUMN($F$1),FALSE)) - LEN(SUBSTITUTE(VLOOKUP($D259,素材!$1:$1016,COLUMN($F$1),FALSE), "・", 0)) + 1), 0)</f>
        <v>0</v>
      </c>
      <c r="AG259">
        <f>IF(ISNUMBER(SEARCH(SUBSTITUTE(AG$1,RIGHT(AG$1,2),""),VLOOKUP($D259,素材!$1:$1016,COLUMN($F$1),FALSE))),VLOOKUP($C259,武器!$1:$998,COLUMN($O$1),FALSE)*VLOOKUP($D259,素材!$1:$1016,COLUMN($E$1),FALSE)/(LEN(VLOOKUP($D259,素材!$1:$1016,COLUMN($F$1),FALSE)) - LEN(SUBSTITUTE(VLOOKUP($D259,素材!$1:$1016,COLUMN($F$1),FALSE), "・", 0)) + 1), 0)</f>
        <v>0</v>
      </c>
      <c r="AH259">
        <f>IF(ISNUMBER(SEARCH(SUBSTITUTE(AH$1,RIGHT(AH$1,2),""),VLOOKUP($D259,素材!$1:$1016,COLUMN($F$1),FALSE))),VLOOKUP($C259,武器!$1:$998,COLUMN($O$1),FALSE)*VLOOKUP($D259,素材!$1:$1016,COLUMN($E$1),FALSE)/(LEN(VLOOKUP($D259,素材!$1:$1016,COLUMN($F$1),FALSE)) - LEN(SUBSTITUTE(VLOOKUP($D259,素材!$1:$1016,COLUMN($F$1),FALSE), "・", 0)) + 1), 0)</f>
        <v>0</v>
      </c>
      <c r="AI259">
        <f>IF(ISNUMBER(SEARCH(SUBSTITUTE(AI$1,RIGHT(AI$1,2),""),VLOOKUP($D259,素材!$1:$1016,COLUMN($F$1),FALSE))),VLOOKUP($C259,武器!$1:$998,COLUMN($O$1),FALSE)*VLOOKUP($D259,素材!$1:$1016,COLUMN($E$1),FALSE)/(LEN(VLOOKUP($D259,素材!$1:$1016,COLUMN($F$1),FALSE)) - LEN(SUBSTITUTE(VLOOKUP($D259,素材!$1:$1016,COLUMN($F$1),FALSE), "・", 0)) + 1), 0)</f>
        <v>0</v>
      </c>
      <c r="AJ259">
        <f>IF(ISNUMBER(SEARCH(SUBSTITUTE(AJ$1,RIGHT(AJ$1,2),""),VLOOKUP($D259,素材!$1:$1016,COLUMN($F$1),FALSE))),VLOOKUP($C259,武器!$1:$998,COLUMN($O$1),FALSE)*VLOOKUP($D259,素材!$1:$1016,COLUMN($E$1),FALSE)/(LEN(VLOOKUP($D259,素材!$1:$1016,COLUMN($F$1),FALSE)) - LEN(SUBSTITUTE(VLOOKUP($D259,素材!$1:$1016,COLUMN($F$1),FALSE), "・", 0)) + 1), 0)</f>
        <v>0</v>
      </c>
      <c r="AK259">
        <f>IF(ISNUMBER(SEARCH(SUBSTITUTE(AK$1,RIGHT(AK$1,2),""),VLOOKUP($D259,素材!$1:$1016,COLUMN($F$1),FALSE))),VLOOKUP($C259,武器!$1:$998,COLUMN($O$1),FALSE)*VLOOKUP($D259,素材!$1:$1016,COLUMN($E$1),FALSE)/(LEN(VLOOKUP($D259,素材!$1:$1016,COLUMN($F$1),FALSE)) - LEN(SUBSTITUTE(VLOOKUP($D259,素材!$1:$1016,COLUMN($F$1),FALSE), "・", 0)) + 1), 0)</f>
        <v>0</v>
      </c>
      <c r="AL259">
        <f>IF(ISNUMBER(SEARCH(SUBSTITUTE(AL$1,RIGHT(AL$1,2),""),VLOOKUP($D259,素材!$1:$1016,COLUMN($F$1),FALSE))),VLOOKUP($C259,武器!$1:$998,COLUMN($O$1),FALSE)*VLOOKUP($D259,素材!$1:$1016,COLUMN($E$1),FALSE)/(LEN(VLOOKUP($D259,素材!$1:$1016,COLUMN($F$1),FALSE)) - LEN(SUBSTITUTE(VLOOKUP($D259,素材!$1:$1016,COLUMN($F$1),FALSE), "・", 0)) + 1), 0)</f>
        <v>0</v>
      </c>
      <c r="AM259">
        <f>IF(ISNUMBER(SEARCH(SUBSTITUTE(AM$1,RIGHT(AM$1,2),""),VLOOKUP($D259,素材!$1:$1016,COLUMN($F$1),FALSE))),VLOOKUP($C259,武器!$1:$998,COLUMN($O$1),FALSE)*VLOOKUP($D259,素材!$1:$1016,COLUMN($E$1),FALSE)/(LEN(VLOOKUP($D259,素材!$1:$1016,COLUMN($F$1),FALSE)) - LEN(SUBSTITUTE(VLOOKUP($D259,素材!$1:$1016,COLUMN($F$1),FALSE), "・", 0)) + 1), 0)</f>
        <v>0</v>
      </c>
      <c r="AN259">
        <f>IF(ISNUMBER(SEARCH(SUBSTITUTE(AN$1,RIGHT(AN$1,2),""),VLOOKUP($D259,素材!$1:$1016,COLUMN($F$1),FALSE))),VLOOKUP($C259,武器!$1:$998,COLUMN($O$1),FALSE)*VLOOKUP($D259,素材!$1:$1016,COLUMN($E$1),FALSE)/(LEN(VLOOKUP($D259,素材!$1:$1016,COLUMN($F$1),FALSE)) - LEN(SUBSTITUTE(VLOOKUP($D259,素材!$1:$1016,COLUMN($F$1),FALSE), "・", 0)) + 1), 0)</f>
        <v>0</v>
      </c>
      <c r="AO259">
        <f>IF(ISNUMBER(SEARCH(SUBSTITUTE(AO$1,RIGHT(AO$1,2),""),VLOOKUP($D259,素材!$1:$1016,COLUMN($F$1),FALSE))),VLOOKUP($C259,武器!$1:$998,COLUMN($O$1),FALSE)*VLOOKUP($D259,素材!$1:$1016,COLUMN($E$1),FALSE)/(LEN(VLOOKUP($D259,素材!$1:$1016,COLUMN($F$1),FALSE)) - LEN(SUBSTITUTE(VLOOKUP($D259,素材!$1:$1016,COLUMN($F$1),FALSE), "・", 0)) + 1), 0)</f>
        <v>0</v>
      </c>
      <c r="AP259">
        <f>IF(ISNUMBER(SEARCH(SUBSTITUTE(AP$1,RIGHT(AP$1,2),""),VLOOKUP($D259,素材!$1:$1016,COLUMN($F$1),FALSE))),VLOOKUP($C259,武器!$1:$998,COLUMN($O$1),FALSE)*VLOOKUP($D259,素材!$1:$1016,COLUMN($E$1),FALSE)/(LEN(VLOOKUP($D259,素材!$1:$1016,COLUMN($F$1),FALSE)) - LEN(SUBSTITUTE(VLOOKUP($D259,素材!$1:$1016,COLUMN($F$1),FALSE), "・", 0)) + 1), 0)</f>
        <v>0</v>
      </c>
      <c r="AQ259">
        <f>IF(ISNUMBER(SEARCH(SUBSTITUTE(AQ$1,RIGHT(AQ$1,2),""),VLOOKUP($D259,素材!$1:$1016,COLUMN($F$1),FALSE))),VLOOKUP($C259,武器!$1:$998,COLUMN($O$1),FALSE)*VLOOKUP($D259,素材!$1:$1016,COLUMN($E$1),FALSE)/(LEN(VLOOKUP($D259,素材!$1:$1016,COLUMN($F$1),FALSE)) - LEN(SUBSTITUTE(VLOOKUP($D259,素材!$1:$1016,COLUMN($F$1),FALSE), "・", 0)) + 1), 0)</f>
        <v>0</v>
      </c>
      <c r="AR259">
        <f>IF(ISNUMBER(SEARCH(SUBSTITUTE(AR$1,RIGHT(AR$1,2),""),VLOOKUP($D259,素材!$1:$1016,COLUMN($F$1),FALSE))),VLOOKUP($C259,武器!$1:$998,COLUMN($O$1),FALSE)*VLOOKUP($D259,素材!$1:$1016,COLUMN($E$1),FALSE)/(LEN(VLOOKUP($D259,素材!$1:$1016,COLUMN($F$1),FALSE)) - LEN(SUBSTITUTE(VLOOKUP($D259,素材!$1:$1016,COLUMN($F$1),FALSE), "・", 0)) + 1), 0)</f>
        <v>0</v>
      </c>
      <c r="AS259">
        <f>IF(ISNUMBER(SEARCH(SUBSTITUTE(AS$1,RIGHT(AS$1,2),""),VLOOKUP($D259,素材!$1:$1016,COLUMN($F$1),FALSE))),VLOOKUP($C259,武器!$1:$998,COLUMN($O$1),FALSE)*VLOOKUP($D259,素材!$1:$1016,COLUMN($E$1),FALSE)/(LEN(VLOOKUP($D259,素材!$1:$1016,COLUMN($F$1),FALSE)) - LEN(SUBSTITUTE(VLOOKUP($D259,素材!$1:$1016,COLUMN($F$1),FALSE), "・", 0)) + 1), 0)</f>
        <v>0</v>
      </c>
      <c r="AT259">
        <f>IF(ISNUMBER(SEARCH(SUBSTITUTE(AT$1,RIGHT(AT$1,2),""),VLOOKUP($D259,素材!$1:$1016,COLUMN($F$1),FALSE))),VLOOKUP($C259,武器!$1:$998,COLUMN($O$1),FALSE)*VLOOKUP($D259,素材!$1:$1016,COLUMN($E$1),FALSE)/(LEN(VLOOKUP($D259,素材!$1:$1016,COLUMN($F$1),FALSE)) - LEN(SUBSTITUTE(VLOOKUP($D259,素材!$1:$1016,COLUMN($F$1),FALSE), "・", 0)) + 1), 0)</f>
        <v>0</v>
      </c>
      <c r="AU259">
        <f>IF(ISNUMBER(SEARCH(SUBSTITUTE(AU$1,RIGHT(AU$1,2),""),VLOOKUP($D259,素材!$1:$1016,COLUMN($F$1),FALSE))),VLOOKUP($C259,武器!$1:$998,COLUMN($O$1),FALSE)*VLOOKUP($D259,素材!$1:$1016,COLUMN($E$1),FALSE)/(LEN(VLOOKUP($D259,素材!$1:$1016,COLUMN($F$1),FALSE)) - LEN(SUBSTITUTE(VLOOKUP($D259,素材!$1:$1016,COLUMN($F$1),FALSE), "・", 0)) + 1), 0)</f>
        <v>0</v>
      </c>
      <c r="AV259">
        <f>IF(ISNUMBER(SEARCH(SUBSTITUTE(AV$1,RIGHT(AV$1,2),""),VLOOKUP($D259,素材!$1:$1016,COLUMN($F$1),FALSE))),VLOOKUP($C259,武器!$1:$998,COLUMN($O$1),FALSE)*VLOOKUP($D259,素材!$1:$1016,COLUMN($E$1),FALSE)/(LEN(VLOOKUP($D259,素材!$1:$1016,COLUMN($F$1),FALSE)) - LEN(SUBSTITUTE(VLOOKUP($D259,素材!$1:$1016,COLUMN($F$1),FALSE), "・", 0)) + 1), 0)</f>
        <v>0</v>
      </c>
      <c r="AW259">
        <f>IF(ISNUMBER(SEARCH(SUBSTITUTE(AW$1,RIGHT(AW$1,2),""),VLOOKUP($D259,素材!$1:$1016,COLUMN($F$1),FALSE))),VLOOKUP($C259,武器!$1:$998,COLUMN($O$1),FALSE)*VLOOKUP($D259,素材!$1:$1016,COLUMN($E$1),FALSE)/(LEN(VLOOKUP($D259,素材!$1:$1016,COLUMN($F$1),FALSE)) - LEN(SUBSTITUTE(VLOOKUP($D259,素材!$1:$1016,COLUMN($F$1),FALSE), "・", 0)) + 1), 0)</f>
        <v>0</v>
      </c>
      <c r="AX259">
        <f>IF(ISNUMBER(SEARCH(SUBSTITUTE(AX$1,RIGHT(AX$1,2),""),VLOOKUP($D259,素材!$1:$1016,COLUMN($F$1),FALSE))),VLOOKUP($C259,武器!$1:$998,COLUMN($O$1),FALSE)*VLOOKUP($D259,素材!$1:$1016,COLUMN($E$1),FALSE)/(LEN(VLOOKUP($D259,素材!$1:$1016,COLUMN($F$1),FALSE)) - LEN(SUBSTITUTE(VLOOKUP($D259,素材!$1:$1016,COLUMN($F$1),FALSE), "・", 0)) + 1), 0)</f>
        <v>0</v>
      </c>
      <c r="AY259">
        <f>IF(ISNUMBER(SEARCH(SUBSTITUTE(AY$1,RIGHT(AY$1,2),""),VLOOKUP($D259,素材!$1:$1016,COLUMN($F$1),FALSE))),VLOOKUP($C259,武器!$1:$998,COLUMN($O$1),FALSE)*VLOOKUP($D259,素材!$1:$1016,COLUMN($E$1),FALSE)/(LEN(VLOOKUP($D259,素材!$1:$1016,COLUMN($F$1),FALSE)) - LEN(SUBSTITUTE(VLOOKUP($D259,素材!$1:$1016,COLUMN($F$1),FALSE), "・", 0)) + 1), 0)</f>
        <v>0</v>
      </c>
      <c r="AZ259">
        <f>IF(ISNUMBER(SEARCH(SUBSTITUTE(AZ$1,RIGHT(AZ$1,2),""),VLOOKUP($D259,素材!$1:$1016,COLUMN($F$1),FALSE))),VLOOKUP($C259,武器!$1:$998,COLUMN($O$1),FALSE)*VLOOKUP($D259,素材!$1:$1016,COLUMN($E$1),FALSE)/(LEN(VLOOKUP($D259,素材!$1:$1016,COLUMN($F$1),FALSE)) - LEN(SUBSTITUTE(VLOOKUP($D259,素材!$1:$1016,COLUMN($F$1),FALSE), "・", 0)) + 1), 0)</f>
        <v>0</v>
      </c>
      <c r="BA259">
        <f>IF(ISNUMBER(SEARCH(SUBSTITUTE(BA$1,RIGHT(BA$1,2),""),VLOOKUP($D259,素材!$1:$1016,COLUMN($F$1),FALSE))),VLOOKUP($C259,武器!$1:$998,COLUMN($O$1),FALSE)*VLOOKUP($D259,素材!$1:$1016,COLUMN($E$1),FALSE)/(LEN(VLOOKUP($D259,素材!$1:$1016,COLUMN($F$1),FALSE)) - LEN(SUBSTITUTE(VLOOKUP($D259,素材!$1:$1016,COLUMN($F$1),FALSE), "・", 0)) + 1), 0)</f>
        <v>0</v>
      </c>
      <c r="BB259">
        <f>IF(ISNUMBER(SEARCH(SUBSTITUTE(BB$1,RIGHT(BB$1,2),""),VLOOKUP($D259,素材!$1:$1016,COLUMN($F$1),FALSE))),VLOOKUP($C259,武器!$1:$998,COLUMN($O$1),FALSE)*VLOOKUP($D259,素材!$1:$1016,COLUMN($E$1),FALSE)/(LEN(VLOOKUP($D259,素材!$1:$1016,COLUMN($F$1),FALSE)) - LEN(SUBSTITUTE(VLOOKUP($D259,素材!$1:$1016,COLUMN($F$1),FALSE), "・", 0)) + 1), 0)</f>
        <v>0</v>
      </c>
      <c r="BC259">
        <f>IF(ISNUMBER(SEARCH(SUBSTITUTE(BC$1,RIGHT(BC$1,2),""),VLOOKUP($D259,素材!$1:$1016,COLUMN($F$1),FALSE))),VLOOKUP($C259,武器!$1:$998,COLUMN($O$1),FALSE)*VLOOKUP($D259,素材!$1:$1016,COLUMN($E$1),FALSE)/(LEN(VLOOKUP($D259,素材!$1:$1016,COLUMN($F$1),FALSE)) - LEN(SUBSTITUTE(VLOOKUP($D259,素材!$1:$1016,COLUMN($F$1),FALSE), "・", 0)) + 1), 0)</f>
        <v>0</v>
      </c>
      <c r="BD259">
        <f>IF(ISNUMBER(SEARCH(SUBSTITUTE(BD$1,RIGHT(BD$1,2),""),VLOOKUP($D259,素材!$1:$1016,COLUMN($F$1),FALSE))),VLOOKUP($C259,武器!$1:$998,COLUMN($O$1),FALSE)*VLOOKUP($D259,素材!$1:$1016,COLUMN($E$1),FALSE)/(LEN(VLOOKUP($D259,素材!$1:$1016,COLUMN($F$1),FALSE)) - LEN(SUBSTITUTE(VLOOKUP($D259,素材!$1:$1016,COLUMN($F$1),FALSE), "・", 0)) + 1), 0)</f>
        <v>0</v>
      </c>
      <c r="BE259">
        <f>IF(ISNUMBER(SEARCH(SUBSTITUTE(BE$1,RIGHT(BE$1,2),""),VLOOKUP($D259,素材!$1:$1016,COLUMN($F$1),FALSE))),VLOOKUP($C259,武器!$1:$998,COLUMN($O$1),FALSE)*VLOOKUP($D259,素材!$1:$1016,COLUMN($E$1),FALSE)/(LEN(VLOOKUP($D259,素材!$1:$1016,COLUMN($F$1),FALSE)) - LEN(SUBSTITUTE(VLOOKUP($D259,素材!$1:$1016,COLUMN($F$1),FALSE), "・", 0)) + 1), 0)</f>
        <v>0</v>
      </c>
      <c r="CL259">
        <f>SUM(G259:I259)</f>
        <v>22</v>
      </c>
      <c r="CM259" s="22" t="str">
        <f>IF(E259="武器",IF(J259-1&gt;SUM(G259:I259),"盾",IF(MAX(G259:I259)=G259,"切断",IF(MAX(G259:I259)=H259,"貫通",IF(MAX(G259:I259)=I259,"打撃","射撃")))),E259)&amp;".webp"</f>
        <v>杖.webp</v>
      </c>
      <c r="CN259">
        <f>IFERROR(VLOOKUP($C259,武器!$1:$998,COLUMN(V$1),FALSE)*VLOOKUP($D259,素材!$1:$1016,COLUMN(N$1),FALSE)+IF(CI259="",0,VLOOKUP($CI259,装強!$1:$1008,COLUMN($CK$1),FALSE)),"")</f>
        <v>4500</v>
      </c>
      <c r="CO259">
        <f>VLOOKUP(D259,素材!$A:$O,COLUMN(素材!O$1),FALSE)</f>
        <v>0</v>
      </c>
      <c r="CP259" t="str">
        <f>VLOOKUP(C259,武器!$A:$W,COLUMN(武器!W$1),FALSE)</f>
        <v>長杖。強力な魔法を扱える杖だが、重い。</v>
      </c>
      <c r="CR259" t="str">
        <f t="shared" si="29"/>
        <v>e_259</v>
      </c>
      <c r="CS259">
        <f t="shared" si="30"/>
        <v>450000</v>
      </c>
    </row>
    <row r="260" spans="1:97" outlineLevel="1" x14ac:dyDescent="0.4">
      <c r="A260" t="str">
        <f t="shared" si="32"/>
        <v>熱鉄の軽射出弓</v>
      </c>
      <c r="B260" t="str">
        <f>IFERROR(VLOOKUP($D260,素材!$1:$1016,COLUMN($B$1),FALSE)&amp;"・"&amp;VLOOKUP($C260,武器!$1:$998,COLUMN(B$1),FALSE),"")</f>
        <v>ヒートスティール・ライトクロスボウ</v>
      </c>
      <c r="C260" t="s">
        <v>214</v>
      </c>
      <c r="D260" s="24" t="s">
        <v>205</v>
      </c>
      <c r="E260" t="str">
        <f>IFERROR(VLOOKUP(C260,武器!$1:$998,COLUMN(C$1),FALSE),"")</f>
        <v>銃</v>
      </c>
      <c r="F260">
        <f>IFERROR(ROUNDDOWN((VLOOKUP($C260,武器!$1:$998,COLUMN(D$1),FALSE)+IFERROR(VLOOKUP($CI260,装強!$1:$999,COLUMN(F$1),FALSE),0))*VLOOKUP($D260,素材!$1:$1016,COLUMN(D$1),FALSE),0),"")</f>
        <v>0</v>
      </c>
      <c r="G260">
        <f>IFERROR(ROUNDDOWN((VLOOKUP($C260,武器!$1:$998,COLUMN(E$1),FALSE)+IFERROR(VLOOKUP($CI260,装強!$1:$999,COLUMN(G$1),FALSE),0))*VLOOKUP($D260,素材!$1:$1016,COLUMN($E$1),FALSE),0),"")</f>
        <v>0</v>
      </c>
      <c r="H260">
        <f>IFERROR(ROUNDDOWN((VLOOKUP($C260,武器!$1:$998,COLUMN(F$1),FALSE)+IFERROR(VLOOKUP($CI260,装強!$1:$999,COLUMN(H$1),FALSE),0))*VLOOKUP($D260,素材!$1:$1016,COLUMN($E$1),FALSE),0),"")</f>
        <v>0</v>
      </c>
      <c r="I260">
        <f>IFERROR(ROUNDDOWN((VLOOKUP($C260,武器!$1:$998,COLUMN(G$1),FALSE)+IFERROR(VLOOKUP($CI260,装強!$1:$999,COLUMN(I$1),FALSE),0))*VLOOKUP($D260,素材!$1:$1016,COLUMN($E$1),FALSE),0),"")</f>
        <v>0</v>
      </c>
      <c r="J260">
        <f>IFERROR(ROUNDDOWN((VLOOKUP($C260,武器!$1:$998,COLUMN(H$1),FALSE)+IFERROR(VLOOKUP($CI260,装強!$1:$999,COLUMN(J$1),FALSE),0))*VLOOKUP($D260,素材!$1:$1016,COLUMN($E$1),FALSE),0),"")</f>
        <v>0</v>
      </c>
      <c r="K260">
        <f>IFERROR(ROUNDDOWN((VLOOKUP($C260,武器!$1:$998,COLUMN(I$1),FALSE)+IFERROR(VLOOKUP($CI260,装強!$1:$999,COLUMN(K$1),FALSE),0))*VLOOKUP($D260,素材!$1:$1016,COLUMN($E$1),FALSE),0),"")</f>
        <v>54</v>
      </c>
      <c r="L260" t="str">
        <f>IFERROR(VLOOKUP($D260,素材!$1:$1016,COLUMN($F$1),FALSE),"")</f>
        <v>炎</v>
      </c>
      <c r="M260">
        <f>IFERROR(VLOOKUP($C260,武器!$1:$998,COLUMN(AA$1),FALSE)*VLOOKUP($D260,素材!$1:$1016,COLUMN($G$1),FALSE),"")</f>
        <v>47.25</v>
      </c>
      <c r="N260">
        <f>IFERROR(VLOOKUP($C260,武器!$1:$998,COLUMN(I$1),FALSE),"")</f>
        <v>2.7</v>
      </c>
      <c r="O260" s="23">
        <f>IFERROR((VLOOKUP($C260,武器!$1:$998,COLUMN(K$1),FALSE)+VLOOKUP($D260,素材!$1:$1016,COLUMN(H$1),FALSE))*100+IFERROR(VLOOKUP($CI260,装強!$1:$999,COLUMN(O$1),FALSE),0),"")</f>
        <v>10</v>
      </c>
      <c r="P260" s="23">
        <f>IFERROR((VLOOKUP($C260,武器!$1:$998,COLUMN(L$1),FALSE)+VLOOKUP($D260,素材!$1:$1016,COLUMN(I$1),FALSE))*100+IFERROR(VLOOKUP($CI260,装強!$1:$999,COLUMN(P$1),FALSE),0),"")</f>
        <v>150</v>
      </c>
      <c r="Q260">
        <f>IFERROR(ROUNDUP(VLOOKUP($C260,武器!$1:$998,COLUMN(M$1),FALSE)*(VLOOKUP($D260,素材!$1:$1002,COLUMN(D$1),FALSE)/100),1),"")</f>
        <v>0</v>
      </c>
      <c r="R260">
        <f>IFERROR(ROUNDUP(VLOOKUP($C260,武器!$1:$998,COLUMN(N$1),FALSE)*(VLOOKUP($D260,素材!$1:$1002,COLUMN(D$1),FALSE)/100),1),"")</f>
        <v>0</v>
      </c>
      <c r="S260">
        <f>IFERROR(VLOOKUP($C260,武器!$1:$998,COLUMN(P$1),FALSE),"")</f>
        <v>0</v>
      </c>
      <c r="T260">
        <f>IFERROR(VLOOKUP($C260,武器!$1:$998,COLUMN(Q$1),FALSE),"")</f>
        <v>1</v>
      </c>
      <c r="U260">
        <f>IFERROR(VLOOKUP($C260,武器!$1:$998,COLUMN(R$1),FALSE),"")</f>
        <v>1</v>
      </c>
      <c r="V260">
        <f>IFERROR(VLOOKUP($C260,武器!$1:$998,COLUMN(Q$1),FALSE),"")</f>
        <v>1</v>
      </c>
      <c r="W260" t="str">
        <f>IFERROR(VLOOKUP($C260,武器!$1:$998,COLUMN(T$1),FALSE),"")</f>
        <v>Q</v>
      </c>
      <c r="Y260">
        <f>IFERROR(VLOOKUP($C260,武器!$1:$998,COLUMN(U$1),FALSE),"")</f>
        <v>0</v>
      </c>
      <c r="Z260">
        <f>IFERROR(ROUNDUP(VLOOKUP($C260,武器!$1:$998,COLUMN(O$1),FALSE)*VLOOKUP($D260,素材!$1:$1016,COLUMN(E$1),FALSE),1),"")</f>
        <v>0</v>
      </c>
      <c r="AA260">
        <f>IF(ISNUMBER(SEARCH(SUBSTITUTE(AA$1,RIGHT(AA$1,2),""),VLOOKUP($D260,素材!$1:$1016,COLUMN($F$1),FALSE))),VLOOKUP($C260,武器!$1:$998,COLUMN($O$1),FALSE)*VLOOKUP($D260,素材!$1:$1016,COLUMN($E$1),FALSE)/(LEN(VLOOKUP($D260,素材!$1:$1016,COLUMN($F$1),FALSE)) - LEN(SUBSTITUTE(VLOOKUP($D260,素材!$1:$1016,COLUMN($F$1),FALSE), "・", 0)) + 1), 0)</f>
        <v>0</v>
      </c>
      <c r="AB260">
        <f>IF(ISNUMBER(SEARCH(SUBSTITUTE(AB$1,RIGHT(AB$1,2),""),VLOOKUP($D260,素材!$1:$1016,COLUMN($F$1),FALSE))),VLOOKUP($C260,武器!$1:$998,COLUMN($O$1),FALSE)*VLOOKUP($D260,素材!$1:$1016,COLUMN($E$1),FALSE)/(LEN(VLOOKUP($D260,素材!$1:$1016,COLUMN($F$1),FALSE)) - LEN(SUBSTITUTE(VLOOKUP($D260,素材!$1:$1016,COLUMN($F$1),FALSE), "・", 0)) + 1), 0)</f>
        <v>0</v>
      </c>
      <c r="AC260">
        <f>IF(ISNUMBER(SEARCH(SUBSTITUTE(AC$1,RIGHT(AC$1,2),""),VLOOKUP($D260,素材!$1:$1016,COLUMN($F$1),FALSE))),VLOOKUP($C260,武器!$1:$998,COLUMN($O$1),FALSE)*VLOOKUP($D260,素材!$1:$1016,COLUMN($E$1),FALSE)/(LEN(VLOOKUP($D260,素材!$1:$1016,COLUMN($F$1),FALSE)) - LEN(SUBSTITUTE(VLOOKUP($D260,素材!$1:$1016,COLUMN($F$1),FALSE), "・", 0)) + 1), 0)</f>
        <v>0</v>
      </c>
      <c r="AD260">
        <f>IF(ISNUMBER(SEARCH(SUBSTITUTE(AD$1,RIGHT(AD$1,2),""),VLOOKUP($D260,素材!$1:$1016,COLUMN($F$1),FALSE))),VLOOKUP($C260,武器!$1:$998,COLUMN($O$1),FALSE)*VLOOKUP($D260,素材!$1:$1016,COLUMN($E$1),FALSE)/(LEN(VLOOKUP($D260,素材!$1:$1016,COLUMN($F$1),FALSE)) - LEN(SUBSTITUTE(VLOOKUP($D260,素材!$1:$1016,COLUMN($F$1),FALSE), "・", 0)) + 1), 0)</f>
        <v>0</v>
      </c>
      <c r="AE260">
        <f>IF(ISNUMBER(SEARCH(SUBSTITUTE(AE$1,RIGHT(AE$1,2),""),VLOOKUP($D260,素材!$1:$1016,COLUMN($F$1),FALSE))),VLOOKUP($C260,武器!$1:$998,COLUMN($O$1),FALSE)*VLOOKUP($D260,素材!$1:$1016,COLUMN($E$1),FALSE)/(LEN(VLOOKUP($D260,素材!$1:$1016,COLUMN($F$1),FALSE)) - LEN(SUBSTITUTE(VLOOKUP($D260,素材!$1:$1016,COLUMN($F$1),FALSE), "・", 0)) + 1), 0)</f>
        <v>0</v>
      </c>
      <c r="AF260">
        <f>IF(ISNUMBER(SEARCH(SUBSTITUTE(AF$1,RIGHT(AF$1,2),""),VLOOKUP($D260,素材!$1:$1016,COLUMN($F$1),FALSE))),VLOOKUP($C260,武器!$1:$998,COLUMN($O$1),FALSE)*VLOOKUP($D260,素材!$1:$1016,COLUMN($E$1),FALSE)/(LEN(VLOOKUP($D260,素材!$1:$1016,COLUMN($F$1),FALSE)) - LEN(SUBSTITUTE(VLOOKUP($D260,素材!$1:$1016,COLUMN($F$1),FALSE), "・", 0)) + 1), 0)</f>
        <v>0</v>
      </c>
      <c r="AG260">
        <f>IF(ISNUMBER(SEARCH(SUBSTITUTE(AG$1,RIGHT(AG$1,2),""),VLOOKUP($D260,素材!$1:$1016,COLUMN($F$1),FALSE))),VLOOKUP($C260,武器!$1:$998,COLUMN($O$1),FALSE)*VLOOKUP($D260,素材!$1:$1016,COLUMN($E$1),FALSE)/(LEN(VLOOKUP($D260,素材!$1:$1016,COLUMN($F$1),FALSE)) - LEN(SUBSTITUTE(VLOOKUP($D260,素材!$1:$1016,COLUMN($F$1),FALSE), "・", 0)) + 1), 0)</f>
        <v>0</v>
      </c>
      <c r="AH260">
        <f>IF(ISNUMBER(SEARCH(SUBSTITUTE(AH$1,RIGHT(AH$1,2),""),VLOOKUP($D260,素材!$1:$1016,COLUMN($F$1),FALSE))),VLOOKUP($C260,武器!$1:$998,COLUMN($O$1),FALSE)*VLOOKUP($D260,素材!$1:$1016,COLUMN($E$1),FALSE)/(LEN(VLOOKUP($D260,素材!$1:$1016,COLUMN($F$1),FALSE)) - LEN(SUBSTITUTE(VLOOKUP($D260,素材!$1:$1016,COLUMN($F$1),FALSE), "・", 0)) + 1), 0)</f>
        <v>0</v>
      </c>
      <c r="AI260">
        <f>IF(ISNUMBER(SEARCH(SUBSTITUTE(AI$1,RIGHT(AI$1,2),""),VLOOKUP($D260,素材!$1:$1016,COLUMN($F$1),FALSE))),VLOOKUP($C260,武器!$1:$998,COLUMN($O$1),FALSE)*VLOOKUP($D260,素材!$1:$1016,COLUMN($E$1),FALSE)/(LEN(VLOOKUP($D260,素材!$1:$1016,COLUMN($F$1),FALSE)) - LEN(SUBSTITUTE(VLOOKUP($D260,素材!$1:$1016,COLUMN($F$1),FALSE), "・", 0)) + 1), 0)</f>
        <v>0</v>
      </c>
      <c r="AJ260">
        <f>IF(ISNUMBER(SEARCH(SUBSTITUTE(AJ$1,RIGHT(AJ$1,2),""),VLOOKUP($D260,素材!$1:$1016,COLUMN($F$1),FALSE))),VLOOKUP($C260,武器!$1:$998,COLUMN($O$1),FALSE)*VLOOKUP($D260,素材!$1:$1016,COLUMN($E$1),FALSE)/(LEN(VLOOKUP($D260,素材!$1:$1016,COLUMN($F$1),FALSE)) - LEN(SUBSTITUTE(VLOOKUP($D260,素材!$1:$1016,COLUMN($F$1),FALSE), "・", 0)) + 1), 0)</f>
        <v>0</v>
      </c>
      <c r="AK260">
        <f>IF(ISNUMBER(SEARCH(SUBSTITUTE(AK$1,RIGHT(AK$1,2),""),VLOOKUP($D260,素材!$1:$1016,COLUMN($F$1),FALSE))),VLOOKUP($C260,武器!$1:$998,COLUMN($O$1),FALSE)*VLOOKUP($D260,素材!$1:$1016,COLUMN($E$1),FALSE)/(LEN(VLOOKUP($D260,素材!$1:$1016,COLUMN($F$1),FALSE)) - LEN(SUBSTITUTE(VLOOKUP($D260,素材!$1:$1016,COLUMN($F$1),FALSE), "・", 0)) + 1), 0)</f>
        <v>0</v>
      </c>
      <c r="AL260">
        <f>IF(ISNUMBER(SEARCH(SUBSTITUTE(AL$1,RIGHT(AL$1,2),""),VLOOKUP($D260,素材!$1:$1016,COLUMN($F$1),FALSE))),VLOOKUP($C260,武器!$1:$998,COLUMN($O$1),FALSE)*VLOOKUP($D260,素材!$1:$1016,COLUMN($E$1),FALSE)/(LEN(VLOOKUP($D260,素材!$1:$1016,COLUMN($F$1),FALSE)) - LEN(SUBSTITUTE(VLOOKUP($D260,素材!$1:$1016,COLUMN($F$1),FALSE), "・", 0)) + 1), 0)</f>
        <v>0</v>
      </c>
      <c r="AM260">
        <f>IF(ISNUMBER(SEARCH(SUBSTITUTE(AM$1,RIGHT(AM$1,2),""),VLOOKUP($D260,素材!$1:$1016,COLUMN($F$1),FALSE))),VLOOKUP($C260,武器!$1:$998,COLUMN($O$1),FALSE)*VLOOKUP($D260,素材!$1:$1016,COLUMN($E$1),FALSE)/(LEN(VLOOKUP($D260,素材!$1:$1016,COLUMN($F$1),FALSE)) - LEN(SUBSTITUTE(VLOOKUP($D260,素材!$1:$1016,COLUMN($F$1),FALSE), "・", 0)) + 1), 0)</f>
        <v>0</v>
      </c>
      <c r="AN260">
        <f>IF(ISNUMBER(SEARCH(SUBSTITUTE(AN$1,RIGHT(AN$1,2),""),VLOOKUP($D260,素材!$1:$1016,COLUMN($F$1),FALSE))),VLOOKUP($C260,武器!$1:$998,COLUMN($O$1),FALSE)*VLOOKUP($D260,素材!$1:$1016,COLUMN($E$1),FALSE)/(LEN(VLOOKUP($D260,素材!$1:$1016,COLUMN($F$1),FALSE)) - LEN(SUBSTITUTE(VLOOKUP($D260,素材!$1:$1016,COLUMN($F$1),FALSE), "・", 0)) + 1), 0)</f>
        <v>0</v>
      </c>
      <c r="AO260">
        <f>IF(ISNUMBER(SEARCH(SUBSTITUTE(AO$1,RIGHT(AO$1,2),""),VLOOKUP($D260,素材!$1:$1016,COLUMN($F$1),FALSE))),VLOOKUP($C260,武器!$1:$998,COLUMN($O$1),FALSE)*VLOOKUP($D260,素材!$1:$1016,COLUMN($E$1),FALSE)/(LEN(VLOOKUP($D260,素材!$1:$1016,COLUMN($F$1),FALSE)) - LEN(SUBSTITUTE(VLOOKUP($D260,素材!$1:$1016,COLUMN($F$1),FALSE), "・", 0)) + 1), 0)</f>
        <v>0</v>
      </c>
      <c r="AP260">
        <f>IF(ISNUMBER(SEARCH(SUBSTITUTE(AP$1,RIGHT(AP$1,2),""),VLOOKUP($D260,素材!$1:$1016,COLUMN($F$1),FALSE))),VLOOKUP($C260,武器!$1:$998,COLUMN($O$1),FALSE)*VLOOKUP($D260,素材!$1:$1016,COLUMN($E$1),FALSE)/(LEN(VLOOKUP($D260,素材!$1:$1016,COLUMN($F$1),FALSE)) - LEN(SUBSTITUTE(VLOOKUP($D260,素材!$1:$1016,COLUMN($F$1),FALSE), "・", 0)) + 1), 0)</f>
        <v>0</v>
      </c>
      <c r="AQ260">
        <f>IF(ISNUMBER(SEARCH(SUBSTITUTE(AQ$1,RIGHT(AQ$1,2),""),VLOOKUP($D260,素材!$1:$1016,COLUMN($F$1),FALSE))),VLOOKUP($C260,武器!$1:$998,COLUMN($O$1),FALSE)*VLOOKUP($D260,素材!$1:$1016,COLUMN($E$1),FALSE)/(LEN(VLOOKUP($D260,素材!$1:$1016,COLUMN($F$1),FALSE)) - LEN(SUBSTITUTE(VLOOKUP($D260,素材!$1:$1016,COLUMN($F$1),FALSE), "・", 0)) + 1), 0)</f>
        <v>0</v>
      </c>
      <c r="AR260">
        <f>IF(ISNUMBER(SEARCH(SUBSTITUTE(AR$1,RIGHT(AR$1,2),""),VLOOKUP($D260,素材!$1:$1016,COLUMN($F$1),FALSE))),VLOOKUP($C260,武器!$1:$998,COLUMN($O$1),FALSE)*VLOOKUP($D260,素材!$1:$1016,COLUMN($E$1),FALSE)/(LEN(VLOOKUP($D260,素材!$1:$1016,COLUMN($F$1),FALSE)) - LEN(SUBSTITUTE(VLOOKUP($D260,素材!$1:$1016,COLUMN($F$1),FALSE), "・", 0)) + 1), 0)</f>
        <v>0</v>
      </c>
      <c r="AS260">
        <f>IF(ISNUMBER(SEARCH(SUBSTITUTE(AS$1,RIGHT(AS$1,2),""),VLOOKUP($D260,素材!$1:$1016,COLUMN($F$1),FALSE))),VLOOKUP($C260,武器!$1:$998,COLUMN($O$1),FALSE)*VLOOKUP($D260,素材!$1:$1016,COLUMN($E$1),FALSE)/(LEN(VLOOKUP($D260,素材!$1:$1016,COLUMN($F$1),FALSE)) - LEN(SUBSTITUTE(VLOOKUP($D260,素材!$1:$1016,COLUMN($F$1),FALSE), "・", 0)) + 1), 0)</f>
        <v>0</v>
      </c>
      <c r="AT260">
        <f>IF(ISNUMBER(SEARCH(SUBSTITUTE(AT$1,RIGHT(AT$1,2),""),VLOOKUP($D260,素材!$1:$1016,COLUMN($F$1),FALSE))),VLOOKUP($C260,武器!$1:$998,COLUMN($O$1),FALSE)*VLOOKUP($D260,素材!$1:$1016,COLUMN($E$1),FALSE)/(LEN(VLOOKUP($D260,素材!$1:$1016,COLUMN($F$1),FALSE)) - LEN(SUBSTITUTE(VLOOKUP($D260,素材!$1:$1016,COLUMN($F$1),FALSE), "・", 0)) + 1), 0)</f>
        <v>0</v>
      </c>
      <c r="AU260">
        <f>IF(ISNUMBER(SEARCH(SUBSTITUTE(AU$1,RIGHT(AU$1,2),""),VLOOKUP($D260,素材!$1:$1016,COLUMN($F$1),FALSE))),VLOOKUP($C260,武器!$1:$998,COLUMN($O$1),FALSE)*VLOOKUP($D260,素材!$1:$1016,COLUMN($E$1),FALSE)/(LEN(VLOOKUP($D260,素材!$1:$1016,COLUMN($F$1),FALSE)) - LEN(SUBSTITUTE(VLOOKUP($D260,素材!$1:$1016,COLUMN($F$1),FALSE), "・", 0)) + 1), 0)</f>
        <v>0</v>
      </c>
      <c r="AV260">
        <f>IF(ISNUMBER(SEARCH(SUBSTITUTE(AV$1,RIGHT(AV$1,2),""),VLOOKUP($D260,素材!$1:$1016,COLUMN($F$1),FALSE))),VLOOKUP($C260,武器!$1:$998,COLUMN($O$1),FALSE)*VLOOKUP($D260,素材!$1:$1016,COLUMN($E$1),FALSE)/(LEN(VLOOKUP($D260,素材!$1:$1016,COLUMN($F$1),FALSE)) - LEN(SUBSTITUTE(VLOOKUP($D260,素材!$1:$1016,COLUMN($F$1),FALSE), "・", 0)) + 1), 0)</f>
        <v>0</v>
      </c>
      <c r="AW260">
        <f>IF(ISNUMBER(SEARCH(SUBSTITUTE(AW$1,RIGHT(AW$1,2),""),VLOOKUP($D260,素材!$1:$1016,COLUMN($F$1),FALSE))),VLOOKUP($C260,武器!$1:$998,COLUMN($O$1),FALSE)*VLOOKUP($D260,素材!$1:$1016,COLUMN($E$1),FALSE)/(LEN(VLOOKUP($D260,素材!$1:$1016,COLUMN($F$1),FALSE)) - LEN(SUBSTITUTE(VLOOKUP($D260,素材!$1:$1016,COLUMN($F$1),FALSE), "・", 0)) + 1), 0)</f>
        <v>0</v>
      </c>
      <c r="AX260">
        <f>IF(ISNUMBER(SEARCH(SUBSTITUTE(AX$1,RIGHT(AX$1,2),""),VLOOKUP($D260,素材!$1:$1016,COLUMN($F$1),FALSE))),VLOOKUP($C260,武器!$1:$998,COLUMN($O$1),FALSE)*VLOOKUP($D260,素材!$1:$1016,COLUMN($E$1),FALSE)/(LEN(VLOOKUP($D260,素材!$1:$1016,COLUMN($F$1),FALSE)) - LEN(SUBSTITUTE(VLOOKUP($D260,素材!$1:$1016,COLUMN($F$1),FALSE), "・", 0)) + 1), 0)</f>
        <v>0</v>
      </c>
      <c r="AY260">
        <f>IF(ISNUMBER(SEARCH(SUBSTITUTE(AY$1,RIGHT(AY$1,2),""),VLOOKUP($D260,素材!$1:$1016,COLUMN($F$1),FALSE))),VLOOKUP($C260,武器!$1:$998,COLUMN($O$1),FALSE)*VLOOKUP($D260,素材!$1:$1016,COLUMN($E$1),FALSE)/(LEN(VLOOKUP($D260,素材!$1:$1016,COLUMN($F$1),FALSE)) - LEN(SUBSTITUTE(VLOOKUP($D260,素材!$1:$1016,COLUMN($F$1),FALSE), "・", 0)) + 1), 0)</f>
        <v>0</v>
      </c>
      <c r="AZ260">
        <f>IF(ISNUMBER(SEARCH(SUBSTITUTE(AZ$1,RIGHT(AZ$1,2),""),VLOOKUP($D260,素材!$1:$1016,COLUMN($F$1),FALSE))),VLOOKUP($C260,武器!$1:$998,COLUMN($O$1),FALSE)*VLOOKUP($D260,素材!$1:$1016,COLUMN($E$1),FALSE)/(LEN(VLOOKUP($D260,素材!$1:$1016,COLUMN($F$1),FALSE)) - LEN(SUBSTITUTE(VLOOKUP($D260,素材!$1:$1016,COLUMN($F$1),FALSE), "・", 0)) + 1), 0)</f>
        <v>0</v>
      </c>
      <c r="BA260">
        <f>IF(ISNUMBER(SEARCH(SUBSTITUTE(BA$1,RIGHT(BA$1,2),""),VLOOKUP($D260,素材!$1:$1016,COLUMN($F$1),FALSE))),VLOOKUP($C260,武器!$1:$998,COLUMN($O$1),FALSE)*VLOOKUP($D260,素材!$1:$1016,COLUMN($E$1),FALSE)/(LEN(VLOOKUP($D260,素材!$1:$1016,COLUMN($F$1),FALSE)) - LEN(SUBSTITUTE(VLOOKUP($D260,素材!$1:$1016,COLUMN($F$1),FALSE), "・", 0)) + 1), 0)</f>
        <v>0</v>
      </c>
      <c r="BB260">
        <f>IF(ISNUMBER(SEARCH(SUBSTITUTE(BB$1,RIGHT(BB$1,2),""),VLOOKUP($D260,素材!$1:$1016,COLUMN($F$1),FALSE))),VLOOKUP($C260,武器!$1:$998,COLUMN($O$1),FALSE)*VLOOKUP($D260,素材!$1:$1016,COLUMN($E$1),FALSE)/(LEN(VLOOKUP($D260,素材!$1:$1016,COLUMN($F$1),FALSE)) - LEN(SUBSTITUTE(VLOOKUP($D260,素材!$1:$1016,COLUMN($F$1),FALSE), "・", 0)) + 1), 0)</f>
        <v>0</v>
      </c>
      <c r="BC260">
        <f>IF(ISNUMBER(SEARCH(SUBSTITUTE(BC$1,RIGHT(BC$1,2),""),VLOOKUP($D260,素材!$1:$1016,COLUMN($F$1),FALSE))),VLOOKUP($C260,武器!$1:$998,COLUMN($O$1),FALSE)*VLOOKUP($D260,素材!$1:$1016,COLUMN($E$1),FALSE)/(LEN(VLOOKUP($D260,素材!$1:$1016,COLUMN($F$1),FALSE)) - LEN(SUBSTITUTE(VLOOKUP($D260,素材!$1:$1016,COLUMN($F$1),FALSE), "・", 0)) + 1), 0)</f>
        <v>0</v>
      </c>
      <c r="BD260">
        <f>IF(ISNUMBER(SEARCH(SUBSTITUTE(BD$1,RIGHT(BD$1,2),""),VLOOKUP($D260,素材!$1:$1016,COLUMN($F$1),FALSE))),VLOOKUP($C260,武器!$1:$998,COLUMN($O$1),FALSE)*VLOOKUP($D260,素材!$1:$1016,COLUMN($E$1),FALSE)/(LEN(VLOOKUP($D260,素材!$1:$1016,COLUMN($F$1),FALSE)) - LEN(SUBSTITUTE(VLOOKUP($D260,素材!$1:$1016,COLUMN($F$1),FALSE), "・", 0)) + 1), 0)</f>
        <v>0</v>
      </c>
      <c r="BE260">
        <f>IF(ISNUMBER(SEARCH(SUBSTITUTE(BE$1,RIGHT(BE$1,2),""),VLOOKUP($D260,素材!$1:$1016,COLUMN($F$1),FALSE))),VLOOKUP($C260,武器!$1:$998,COLUMN($O$1),FALSE)*VLOOKUP($D260,素材!$1:$1016,COLUMN($E$1),FALSE)/(LEN(VLOOKUP($D260,素材!$1:$1016,COLUMN($F$1),FALSE)) - LEN(SUBSTITUTE(VLOOKUP($D260,素材!$1:$1016,COLUMN($F$1),FALSE), "・", 0)) + 1), 0)</f>
        <v>0</v>
      </c>
      <c r="CL260">
        <f>SUM(G260:I260)</f>
        <v>0</v>
      </c>
      <c r="CM260" s="22" t="str">
        <f>IF(E260="武器",IF(J260-1&gt;SUM(G260:I260),"盾",IF(MAX(G260:I260)=G260,"切断",IF(MAX(G260:I260)=H260,"貫通",IF(MAX(G260:I260)=I260,"打撃","射撃")))),E260)&amp;".webp"</f>
        <v>銃.webp</v>
      </c>
      <c r="CN260">
        <f>IFERROR(VLOOKUP($C260,武器!$1:$998,COLUMN(V$1),FALSE)*VLOOKUP($D260,素材!$1:$1016,COLUMN(N$1),FALSE)+IF(CI260="",0,VLOOKUP($CI260,装強!$1:$1008,COLUMN($CK$1),FALSE)),"")</f>
        <v>3750</v>
      </c>
      <c r="CO260">
        <f>VLOOKUP(D260,素材!$A:$O,COLUMN(素材!O$1),FALSE)</f>
        <v>0</v>
      </c>
      <c r="CP260" t="str">
        <f>VLOOKUP(C260,武器!$A:$W,COLUMN(武器!W$1),FALSE)</f>
        <v/>
      </c>
      <c r="CR260" t="str">
        <f t="shared" si="29"/>
        <v>e_260</v>
      </c>
      <c r="CS260">
        <f t="shared" si="30"/>
        <v>375000</v>
      </c>
    </row>
    <row r="261" spans="1:97" outlineLevel="1" x14ac:dyDescent="0.4">
      <c r="A261" t="str">
        <f t="shared" si="32"/>
        <v>熱鉄の射出弓</v>
      </c>
      <c r="B261" t="str">
        <f>IFERROR(VLOOKUP($D261,素材!$1:$1016,COLUMN($B$1),FALSE)&amp;"・"&amp;VLOOKUP($C261,武器!$1:$998,COLUMN(B$1),FALSE),"")</f>
        <v>ヒートスティール・クロスボウ</v>
      </c>
      <c r="C261" t="s">
        <v>213</v>
      </c>
      <c r="D261" s="24" t="s">
        <v>205</v>
      </c>
      <c r="E261" t="str">
        <f>IFERROR(VLOOKUP(C261,武器!$1:$998,COLUMN(C$1),FALSE),"")</f>
        <v>銃</v>
      </c>
      <c r="F261">
        <f>IFERROR(ROUNDDOWN((VLOOKUP($C261,武器!$1:$998,COLUMN(D$1),FALSE)+IFERROR(VLOOKUP($CI261,装強!$1:$999,COLUMN(F$1),FALSE),0))*VLOOKUP($D261,素材!$1:$1016,COLUMN(D$1),FALSE),0),"")</f>
        <v>0</v>
      </c>
      <c r="G261">
        <f>IFERROR(ROUNDDOWN((VLOOKUP($C261,武器!$1:$998,COLUMN(E$1),FALSE)+IFERROR(VLOOKUP($CI261,装強!$1:$999,COLUMN(G$1),FALSE),0))*VLOOKUP($D261,素材!$1:$1016,COLUMN($E$1),FALSE),0),"")</f>
        <v>0</v>
      </c>
      <c r="H261">
        <f>IFERROR(ROUNDDOWN((VLOOKUP($C261,武器!$1:$998,COLUMN(F$1),FALSE)+IFERROR(VLOOKUP($CI261,装強!$1:$999,COLUMN(H$1),FALSE),0))*VLOOKUP($D261,素材!$1:$1016,COLUMN($E$1),FALSE),0),"")</f>
        <v>0</v>
      </c>
      <c r="I261">
        <f>IFERROR(ROUNDDOWN((VLOOKUP($C261,武器!$1:$998,COLUMN(G$1),FALSE)+IFERROR(VLOOKUP($CI261,装強!$1:$999,COLUMN(I$1),FALSE),0))*VLOOKUP($D261,素材!$1:$1016,COLUMN($E$1),FALSE),0),"")</f>
        <v>0</v>
      </c>
      <c r="J261">
        <f>IFERROR(ROUNDDOWN((VLOOKUP($C261,武器!$1:$998,COLUMN(H$1),FALSE)+IFERROR(VLOOKUP($CI261,装強!$1:$999,COLUMN(J$1),FALSE),0))*VLOOKUP($D261,素材!$1:$1016,COLUMN($E$1),FALSE),0),"")</f>
        <v>0</v>
      </c>
      <c r="K261">
        <f>IFERROR(ROUNDDOWN((VLOOKUP($C261,武器!$1:$998,COLUMN(I$1),FALSE)+IFERROR(VLOOKUP($CI261,装強!$1:$999,COLUMN(K$1),FALSE),0))*VLOOKUP($D261,素材!$1:$1016,COLUMN($E$1),FALSE),0),"")</f>
        <v>78</v>
      </c>
      <c r="L261" t="str">
        <f>IFERROR(VLOOKUP($D261,素材!$1:$1016,COLUMN($F$1),FALSE),"")</f>
        <v>炎</v>
      </c>
      <c r="M261">
        <f>IFERROR(VLOOKUP($C261,武器!$1:$998,COLUMN(AA$1),FALSE)*VLOOKUP($D261,素材!$1:$1016,COLUMN($G$1),FALSE),"")</f>
        <v>0</v>
      </c>
      <c r="N261">
        <f>IFERROR(VLOOKUP($C261,武器!$1:$998,COLUMN(I$1),FALSE),"")</f>
        <v>3.9</v>
      </c>
      <c r="O261" s="23">
        <f>IFERROR((VLOOKUP($C261,武器!$1:$998,COLUMN(K$1),FALSE)+VLOOKUP($D261,素材!$1:$1016,COLUMN(H$1),FALSE))*100+IFERROR(VLOOKUP($CI261,装強!$1:$999,COLUMN(O$1),FALSE),0),"")</f>
        <v>10</v>
      </c>
      <c r="P261" s="23">
        <f>IFERROR((VLOOKUP($C261,武器!$1:$998,COLUMN(L$1),FALSE)+VLOOKUP($D261,素材!$1:$1016,COLUMN(I$1),FALSE))*100+IFERROR(VLOOKUP($CI261,装強!$1:$999,COLUMN(P$1),FALSE),0),"")</f>
        <v>150</v>
      </c>
      <c r="Q261">
        <f>IFERROR(ROUNDUP(VLOOKUP($C261,武器!$1:$998,COLUMN(M$1),FALSE)*(VLOOKUP($D261,素材!$1:$1002,COLUMN(D$1),FALSE)/100),1),"")</f>
        <v>0</v>
      </c>
      <c r="R261">
        <f>IFERROR(ROUNDUP(VLOOKUP($C261,武器!$1:$998,COLUMN(N$1),FALSE)*(VLOOKUP($D261,素材!$1:$1002,COLUMN(D$1),FALSE)/100),1),"")</f>
        <v>0</v>
      </c>
      <c r="S261">
        <f>IFERROR(VLOOKUP($C261,武器!$1:$998,COLUMN(P$1),FALSE),"")</f>
        <v>0</v>
      </c>
      <c r="T261">
        <f>IFERROR(VLOOKUP($C261,武器!$1:$998,COLUMN(Q$1),FALSE),"")</f>
        <v>1</v>
      </c>
      <c r="U261">
        <f>IFERROR(VLOOKUP($C261,武器!$1:$998,COLUMN(R$1),FALSE),"")</f>
        <v>1</v>
      </c>
      <c r="V261">
        <f>IFERROR(VLOOKUP($C261,武器!$1:$998,COLUMN(Q$1),FALSE),"")</f>
        <v>1</v>
      </c>
      <c r="W261" t="str">
        <f>IFERROR(VLOOKUP($C261,武器!$1:$998,COLUMN(T$1),FALSE),"")</f>
        <v>S</v>
      </c>
      <c r="Y261">
        <f>IFERROR(VLOOKUP($C261,武器!$1:$998,COLUMN(U$1),FALSE),"")</f>
        <v>0</v>
      </c>
      <c r="Z261">
        <f>IFERROR(ROUNDUP(VLOOKUP($C261,武器!$1:$998,COLUMN(O$1),FALSE)*VLOOKUP($D261,素材!$1:$1016,COLUMN(E$1),FALSE),1),"")</f>
        <v>0</v>
      </c>
      <c r="AA261">
        <f>IF(ISNUMBER(SEARCH(SUBSTITUTE(AA$1,RIGHT(AA$1,2),""),VLOOKUP($D261,素材!$1:$1016,COLUMN($F$1),FALSE))),VLOOKUP($C261,武器!$1:$998,COLUMN($O$1),FALSE)*VLOOKUP($D261,素材!$1:$1016,COLUMN($E$1),FALSE)/(LEN(VLOOKUP($D261,素材!$1:$1016,COLUMN($F$1),FALSE)) - LEN(SUBSTITUTE(VLOOKUP($D261,素材!$1:$1016,COLUMN($F$1),FALSE), "・", 0)) + 1), 0)</f>
        <v>0</v>
      </c>
      <c r="AB261">
        <f>IF(ISNUMBER(SEARCH(SUBSTITUTE(AB$1,RIGHT(AB$1,2),""),VLOOKUP($D261,素材!$1:$1016,COLUMN($F$1),FALSE))),VLOOKUP($C261,武器!$1:$998,COLUMN($O$1),FALSE)*VLOOKUP($D261,素材!$1:$1016,COLUMN($E$1),FALSE)/(LEN(VLOOKUP($D261,素材!$1:$1016,COLUMN($F$1),FALSE)) - LEN(SUBSTITUTE(VLOOKUP($D261,素材!$1:$1016,COLUMN($F$1),FALSE), "・", 0)) + 1), 0)</f>
        <v>0</v>
      </c>
      <c r="AC261">
        <f>IF(ISNUMBER(SEARCH(SUBSTITUTE(AC$1,RIGHT(AC$1,2),""),VLOOKUP($D261,素材!$1:$1016,COLUMN($F$1),FALSE))),VLOOKUP($C261,武器!$1:$998,COLUMN($O$1),FALSE)*VLOOKUP($D261,素材!$1:$1016,COLUMN($E$1),FALSE)/(LEN(VLOOKUP($D261,素材!$1:$1016,COLUMN($F$1),FALSE)) - LEN(SUBSTITUTE(VLOOKUP($D261,素材!$1:$1016,COLUMN($F$1),FALSE), "・", 0)) + 1), 0)</f>
        <v>0</v>
      </c>
      <c r="AD261">
        <f>IF(ISNUMBER(SEARCH(SUBSTITUTE(AD$1,RIGHT(AD$1,2),""),VLOOKUP($D261,素材!$1:$1016,COLUMN($F$1),FALSE))),VLOOKUP($C261,武器!$1:$998,COLUMN($O$1),FALSE)*VLOOKUP($D261,素材!$1:$1016,COLUMN($E$1),FALSE)/(LEN(VLOOKUP($D261,素材!$1:$1016,COLUMN($F$1),FALSE)) - LEN(SUBSTITUTE(VLOOKUP($D261,素材!$1:$1016,COLUMN($F$1),FALSE), "・", 0)) + 1), 0)</f>
        <v>0</v>
      </c>
      <c r="AE261">
        <f>IF(ISNUMBER(SEARCH(SUBSTITUTE(AE$1,RIGHT(AE$1,2),""),VLOOKUP($D261,素材!$1:$1016,COLUMN($F$1),FALSE))),VLOOKUP($C261,武器!$1:$998,COLUMN($O$1),FALSE)*VLOOKUP($D261,素材!$1:$1016,COLUMN($E$1),FALSE)/(LEN(VLOOKUP($D261,素材!$1:$1016,COLUMN($F$1),FALSE)) - LEN(SUBSTITUTE(VLOOKUP($D261,素材!$1:$1016,COLUMN($F$1),FALSE), "・", 0)) + 1), 0)</f>
        <v>0</v>
      </c>
      <c r="AF261">
        <f>IF(ISNUMBER(SEARCH(SUBSTITUTE(AF$1,RIGHT(AF$1,2),""),VLOOKUP($D261,素材!$1:$1016,COLUMN($F$1),FALSE))),VLOOKUP($C261,武器!$1:$998,COLUMN($O$1),FALSE)*VLOOKUP($D261,素材!$1:$1016,COLUMN($E$1),FALSE)/(LEN(VLOOKUP($D261,素材!$1:$1016,COLUMN($F$1),FALSE)) - LEN(SUBSTITUTE(VLOOKUP($D261,素材!$1:$1016,COLUMN($F$1),FALSE), "・", 0)) + 1), 0)</f>
        <v>0</v>
      </c>
      <c r="AG261">
        <f>IF(ISNUMBER(SEARCH(SUBSTITUTE(AG$1,RIGHT(AG$1,2),""),VLOOKUP($D261,素材!$1:$1016,COLUMN($F$1),FALSE))),VLOOKUP($C261,武器!$1:$998,COLUMN($O$1),FALSE)*VLOOKUP($D261,素材!$1:$1016,COLUMN($E$1),FALSE)/(LEN(VLOOKUP($D261,素材!$1:$1016,COLUMN($F$1),FALSE)) - LEN(SUBSTITUTE(VLOOKUP($D261,素材!$1:$1016,COLUMN($F$1),FALSE), "・", 0)) + 1), 0)</f>
        <v>0</v>
      </c>
      <c r="AH261">
        <f>IF(ISNUMBER(SEARCH(SUBSTITUTE(AH$1,RIGHT(AH$1,2),""),VLOOKUP($D261,素材!$1:$1016,COLUMN($F$1),FALSE))),VLOOKUP($C261,武器!$1:$998,COLUMN($O$1),FALSE)*VLOOKUP($D261,素材!$1:$1016,COLUMN($E$1),FALSE)/(LEN(VLOOKUP($D261,素材!$1:$1016,COLUMN($F$1),FALSE)) - LEN(SUBSTITUTE(VLOOKUP($D261,素材!$1:$1016,COLUMN($F$1),FALSE), "・", 0)) + 1), 0)</f>
        <v>0</v>
      </c>
      <c r="AI261">
        <f>IF(ISNUMBER(SEARCH(SUBSTITUTE(AI$1,RIGHT(AI$1,2),""),VLOOKUP($D261,素材!$1:$1016,COLUMN($F$1),FALSE))),VLOOKUP($C261,武器!$1:$998,COLUMN($O$1),FALSE)*VLOOKUP($D261,素材!$1:$1016,COLUMN($E$1),FALSE)/(LEN(VLOOKUP($D261,素材!$1:$1016,COLUMN($F$1),FALSE)) - LEN(SUBSTITUTE(VLOOKUP($D261,素材!$1:$1016,COLUMN($F$1),FALSE), "・", 0)) + 1), 0)</f>
        <v>0</v>
      </c>
      <c r="AJ261">
        <f>IF(ISNUMBER(SEARCH(SUBSTITUTE(AJ$1,RIGHT(AJ$1,2),""),VLOOKUP($D261,素材!$1:$1016,COLUMN($F$1),FALSE))),VLOOKUP($C261,武器!$1:$998,COLUMN($O$1),FALSE)*VLOOKUP($D261,素材!$1:$1016,COLUMN($E$1),FALSE)/(LEN(VLOOKUP($D261,素材!$1:$1016,COLUMN($F$1),FALSE)) - LEN(SUBSTITUTE(VLOOKUP($D261,素材!$1:$1016,COLUMN($F$1),FALSE), "・", 0)) + 1), 0)</f>
        <v>0</v>
      </c>
      <c r="AK261">
        <f>IF(ISNUMBER(SEARCH(SUBSTITUTE(AK$1,RIGHT(AK$1,2),""),VLOOKUP($D261,素材!$1:$1016,COLUMN($F$1),FALSE))),VLOOKUP($C261,武器!$1:$998,COLUMN($O$1),FALSE)*VLOOKUP($D261,素材!$1:$1016,COLUMN($E$1),FALSE)/(LEN(VLOOKUP($D261,素材!$1:$1016,COLUMN($F$1),FALSE)) - LEN(SUBSTITUTE(VLOOKUP($D261,素材!$1:$1016,COLUMN($F$1),FALSE), "・", 0)) + 1), 0)</f>
        <v>0</v>
      </c>
      <c r="AL261">
        <f>IF(ISNUMBER(SEARCH(SUBSTITUTE(AL$1,RIGHT(AL$1,2),""),VLOOKUP($D261,素材!$1:$1016,COLUMN($F$1),FALSE))),VLOOKUP($C261,武器!$1:$998,COLUMN($O$1),FALSE)*VLOOKUP($D261,素材!$1:$1016,COLUMN($E$1),FALSE)/(LEN(VLOOKUP($D261,素材!$1:$1016,COLUMN($F$1),FALSE)) - LEN(SUBSTITUTE(VLOOKUP($D261,素材!$1:$1016,COLUMN($F$1),FALSE), "・", 0)) + 1), 0)</f>
        <v>0</v>
      </c>
      <c r="AM261">
        <f>IF(ISNUMBER(SEARCH(SUBSTITUTE(AM$1,RIGHT(AM$1,2),""),VLOOKUP($D261,素材!$1:$1016,COLUMN($F$1),FALSE))),VLOOKUP($C261,武器!$1:$998,COLUMN($O$1),FALSE)*VLOOKUP($D261,素材!$1:$1016,COLUMN($E$1),FALSE)/(LEN(VLOOKUP($D261,素材!$1:$1016,COLUMN($F$1),FALSE)) - LEN(SUBSTITUTE(VLOOKUP($D261,素材!$1:$1016,COLUMN($F$1),FALSE), "・", 0)) + 1), 0)</f>
        <v>0</v>
      </c>
      <c r="AN261">
        <f>IF(ISNUMBER(SEARCH(SUBSTITUTE(AN$1,RIGHT(AN$1,2),""),VLOOKUP($D261,素材!$1:$1016,COLUMN($F$1),FALSE))),VLOOKUP($C261,武器!$1:$998,COLUMN($O$1),FALSE)*VLOOKUP($D261,素材!$1:$1016,COLUMN($E$1),FALSE)/(LEN(VLOOKUP($D261,素材!$1:$1016,COLUMN($F$1),FALSE)) - LEN(SUBSTITUTE(VLOOKUP($D261,素材!$1:$1016,COLUMN($F$1),FALSE), "・", 0)) + 1), 0)</f>
        <v>0</v>
      </c>
      <c r="AO261">
        <f>IF(ISNUMBER(SEARCH(SUBSTITUTE(AO$1,RIGHT(AO$1,2),""),VLOOKUP($D261,素材!$1:$1016,COLUMN($F$1),FALSE))),VLOOKUP($C261,武器!$1:$998,COLUMN($O$1),FALSE)*VLOOKUP($D261,素材!$1:$1016,COLUMN($E$1),FALSE)/(LEN(VLOOKUP($D261,素材!$1:$1016,COLUMN($F$1),FALSE)) - LEN(SUBSTITUTE(VLOOKUP($D261,素材!$1:$1016,COLUMN($F$1),FALSE), "・", 0)) + 1), 0)</f>
        <v>0</v>
      </c>
      <c r="AP261">
        <f>IF(ISNUMBER(SEARCH(SUBSTITUTE(AP$1,RIGHT(AP$1,2),""),VLOOKUP($D261,素材!$1:$1016,COLUMN($F$1),FALSE))),VLOOKUP($C261,武器!$1:$998,COLUMN($O$1),FALSE)*VLOOKUP($D261,素材!$1:$1016,COLUMN($E$1),FALSE)/(LEN(VLOOKUP($D261,素材!$1:$1016,COLUMN($F$1),FALSE)) - LEN(SUBSTITUTE(VLOOKUP($D261,素材!$1:$1016,COLUMN($F$1),FALSE), "・", 0)) + 1), 0)</f>
        <v>0</v>
      </c>
      <c r="AQ261">
        <f>IF(ISNUMBER(SEARCH(SUBSTITUTE(AQ$1,RIGHT(AQ$1,2),""),VLOOKUP($D261,素材!$1:$1016,COLUMN($F$1),FALSE))),VLOOKUP($C261,武器!$1:$998,COLUMN($O$1),FALSE)*VLOOKUP($D261,素材!$1:$1016,COLUMN($E$1),FALSE)/(LEN(VLOOKUP($D261,素材!$1:$1016,COLUMN($F$1),FALSE)) - LEN(SUBSTITUTE(VLOOKUP($D261,素材!$1:$1016,COLUMN($F$1),FALSE), "・", 0)) + 1), 0)</f>
        <v>0</v>
      </c>
      <c r="AR261">
        <f>IF(ISNUMBER(SEARCH(SUBSTITUTE(AR$1,RIGHT(AR$1,2),""),VLOOKUP($D261,素材!$1:$1016,COLUMN($F$1),FALSE))),VLOOKUP($C261,武器!$1:$998,COLUMN($O$1),FALSE)*VLOOKUP($D261,素材!$1:$1016,COLUMN($E$1),FALSE)/(LEN(VLOOKUP($D261,素材!$1:$1016,COLUMN($F$1),FALSE)) - LEN(SUBSTITUTE(VLOOKUP($D261,素材!$1:$1016,COLUMN($F$1),FALSE), "・", 0)) + 1), 0)</f>
        <v>0</v>
      </c>
      <c r="AS261">
        <f>IF(ISNUMBER(SEARCH(SUBSTITUTE(AS$1,RIGHT(AS$1,2),""),VLOOKUP($D261,素材!$1:$1016,COLUMN($F$1),FALSE))),VLOOKUP($C261,武器!$1:$998,COLUMN($O$1),FALSE)*VLOOKUP($D261,素材!$1:$1016,COLUMN($E$1),FALSE)/(LEN(VLOOKUP($D261,素材!$1:$1016,COLUMN($F$1),FALSE)) - LEN(SUBSTITUTE(VLOOKUP($D261,素材!$1:$1016,COLUMN($F$1),FALSE), "・", 0)) + 1), 0)</f>
        <v>0</v>
      </c>
      <c r="AT261">
        <f>IF(ISNUMBER(SEARCH(SUBSTITUTE(AT$1,RIGHT(AT$1,2),""),VLOOKUP($D261,素材!$1:$1016,COLUMN($F$1),FALSE))),VLOOKUP($C261,武器!$1:$998,COLUMN($O$1),FALSE)*VLOOKUP($D261,素材!$1:$1016,COLUMN($E$1),FALSE)/(LEN(VLOOKUP($D261,素材!$1:$1016,COLUMN($F$1),FALSE)) - LEN(SUBSTITUTE(VLOOKUP($D261,素材!$1:$1016,COLUMN($F$1),FALSE), "・", 0)) + 1), 0)</f>
        <v>0</v>
      </c>
      <c r="AU261">
        <f>IF(ISNUMBER(SEARCH(SUBSTITUTE(AU$1,RIGHT(AU$1,2),""),VLOOKUP($D261,素材!$1:$1016,COLUMN($F$1),FALSE))),VLOOKUP($C261,武器!$1:$998,COLUMN($O$1),FALSE)*VLOOKUP($D261,素材!$1:$1016,COLUMN($E$1),FALSE)/(LEN(VLOOKUP($D261,素材!$1:$1016,COLUMN($F$1),FALSE)) - LEN(SUBSTITUTE(VLOOKUP($D261,素材!$1:$1016,COLUMN($F$1),FALSE), "・", 0)) + 1), 0)</f>
        <v>0</v>
      </c>
      <c r="AV261">
        <f>IF(ISNUMBER(SEARCH(SUBSTITUTE(AV$1,RIGHT(AV$1,2),""),VLOOKUP($D261,素材!$1:$1016,COLUMN($F$1),FALSE))),VLOOKUP($C261,武器!$1:$998,COLUMN($O$1),FALSE)*VLOOKUP($D261,素材!$1:$1016,COLUMN($E$1),FALSE)/(LEN(VLOOKUP($D261,素材!$1:$1016,COLUMN($F$1),FALSE)) - LEN(SUBSTITUTE(VLOOKUP($D261,素材!$1:$1016,COLUMN($F$1),FALSE), "・", 0)) + 1), 0)</f>
        <v>0</v>
      </c>
      <c r="AW261">
        <f>IF(ISNUMBER(SEARCH(SUBSTITUTE(AW$1,RIGHT(AW$1,2),""),VLOOKUP($D261,素材!$1:$1016,COLUMN($F$1),FALSE))),VLOOKUP($C261,武器!$1:$998,COLUMN($O$1),FALSE)*VLOOKUP($D261,素材!$1:$1016,COLUMN($E$1),FALSE)/(LEN(VLOOKUP($D261,素材!$1:$1016,COLUMN($F$1),FALSE)) - LEN(SUBSTITUTE(VLOOKUP($D261,素材!$1:$1016,COLUMN($F$1),FALSE), "・", 0)) + 1), 0)</f>
        <v>0</v>
      </c>
      <c r="AX261">
        <f>IF(ISNUMBER(SEARCH(SUBSTITUTE(AX$1,RIGHT(AX$1,2),""),VLOOKUP($D261,素材!$1:$1016,COLUMN($F$1),FALSE))),VLOOKUP($C261,武器!$1:$998,COLUMN($O$1),FALSE)*VLOOKUP($D261,素材!$1:$1016,COLUMN($E$1),FALSE)/(LEN(VLOOKUP($D261,素材!$1:$1016,COLUMN($F$1),FALSE)) - LEN(SUBSTITUTE(VLOOKUP($D261,素材!$1:$1016,COLUMN($F$1),FALSE), "・", 0)) + 1), 0)</f>
        <v>0</v>
      </c>
      <c r="AY261">
        <f>IF(ISNUMBER(SEARCH(SUBSTITUTE(AY$1,RIGHT(AY$1,2),""),VLOOKUP($D261,素材!$1:$1016,COLUMN($F$1),FALSE))),VLOOKUP($C261,武器!$1:$998,COLUMN($O$1),FALSE)*VLOOKUP($D261,素材!$1:$1016,COLUMN($E$1),FALSE)/(LEN(VLOOKUP($D261,素材!$1:$1016,COLUMN($F$1),FALSE)) - LEN(SUBSTITUTE(VLOOKUP($D261,素材!$1:$1016,COLUMN($F$1),FALSE), "・", 0)) + 1), 0)</f>
        <v>0</v>
      </c>
      <c r="AZ261">
        <f>IF(ISNUMBER(SEARCH(SUBSTITUTE(AZ$1,RIGHT(AZ$1,2),""),VLOOKUP($D261,素材!$1:$1016,COLUMN($F$1),FALSE))),VLOOKUP($C261,武器!$1:$998,COLUMN($O$1),FALSE)*VLOOKUP($D261,素材!$1:$1016,COLUMN($E$1),FALSE)/(LEN(VLOOKUP($D261,素材!$1:$1016,COLUMN($F$1),FALSE)) - LEN(SUBSTITUTE(VLOOKUP($D261,素材!$1:$1016,COLUMN($F$1),FALSE), "・", 0)) + 1), 0)</f>
        <v>0</v>
      </c>
      <c r="BA261">
        <f>IF(ISNUMBER(SEARCH(SUBSTITUTE(BA$1,RIGHT(BA$1,2),""),VLOOKUP($D261,素材!$1:$1016,COLUMN($F$1),FALSE))),VLOOKUP($C261,武器!$1:$998,COLUMN($O$1),FALSE)*VLOOKUP($D261,素材!$1:$1016,COLUMN($E$1),FALSE)/(LEN(VLOOKUP($D261,素材!$1:$1016,COLUMN($F$1),FALSE)) - LEN(SUBSTITUTE(VLOOKUP($D261,素材!$1:$1016,COLUMN($F$1),FALSE), "・", 0)) + 1), 0)</f>
        <v>0</v>
      </c>
      <c r="BB261">
        <f>IF(ISNUMBER(SEARCH(SUBSTITUTE(BB$1,RIGHT(BB$1,2),""),VLOOKUP($D261,素材!$1:$1016,COLUMN($F$1),FALSE))),VLOOKUP($C261,武器!$1:$998,COLUMN($O$1),FALSE)*VLOOKUP($D261,素材!$1:$1016,COLUMN($E$1),FALSE)/(LEN(VLOOKUP($D261,素材!$1:$1016,COLUMN($F$1),FALSE)) - LEN(SUBSTITUTE(VLOOKUP($D261,素材!$1:$1016,COLUMN($F$1),FALSE), "・", 0)) + 1), 0)</f>
        <v>0</v>
      </c>
      <c r="BC261">
        <f>IF(ISNUMBER(SEARCH(SUBSTITUTE(BC$1,RIGHT(BC$1,2),""),VLOOKUP($D261,素材!$1:$1016,COLUMN($F$1),FALSE))),VLOOKUP($C261,武器!$1:$998,COLUMN($O$1),FALSE)*VLOOKUP($D261,素材!$1:$1016,COLUMN($E$1),FALSE)/(LEN(VLOOKUP($D261,素材!$1:$1016,COLUMN($F$1),FALSE)) - LEN(SUBSTITUTE(VLOOKUP($D261,素材!$1:$1016,COLUMN($F$1),FALSE), "・", 0)) + 1), 0)</f>
        <v>0</v>
      </c>
      <c r="BD261">
        <f>IF(ISNUMBER(SEARCH(SUBSTITUTE(BD$1,RIGHT(BD$1,2),""),VLOOKUP($D261,素材!$1:$1016,COLUMN($F$1),FALSE))),VLOOKUP($C261,武器!$1:$998,COLUMN($O$1),FALSE)*VLOOKUP($D261,素材!$1:$1016,COLUMN($E$1),FALSE)/(LEN(VLOOKUP($D261,素材!$1:$1016,COLUMN($F$1),FALSE)) - LEN(SUBSTITUTE(VLOOKUP($D261,素材!$1:$1016,COLUMN($F$1),FALSE), "・", 0)) + 1), 0)</f>
        <v>0</v>
      </c>
      <c r="BE261">
        <f>IF(ISNUMBER(SEARCH(SUBSTITUTE(BE$1,RIGHT(BE$1,2),""),VLOOKUP($D261,素材!$1:$1016,COLUMN($F$1),FALSE))),VLOOKUP($C261,武器!$1:$998,COLUMN($O$1),FALSE)*VLOOKUP($D261,素材!$1:$1016,COLUMN($E$1),FALSE)/(LEN(VLOOKUP($D261,素材!$1:$1016,COLUMN($F$1),FALSE)) - LEN(SUBSTITUTE(VLOOKUP($D261,素材!$1:$1016,COLUMN($F$1),FALSE), "・", 0)) + 1), 0)</f>
        <v>0</v>
      </c>
      <c r="CL261">
        <f>SUM(G261:I261)</f>
        <v>0</v>
      </c>
      <c r="CM261" s="22" t="str">
        <f>IF(E261="武器",IF(J261-1&gt;SUM(G261:I261),"盾",IF(MAX(G261:I261)=G261,"切断",IF(MAX(G261:I261)=H261,"貫通",IF(MAX(G261:I261)=I261,"打撃","射撃")))),E261)&amp;".webp"</f>
        <v>銃.webp</v>
      </c>
      <c r="CN261">
        <f>IFERROR(VLOOKUP($C261,武器!$1:$998,COLUMN(V$1),FALSE)*VLOOKUP($D261,素材!$1:$1016,COLUMN(N$1),FALSE)+IF(CI261="",0,VLOOKUP($CI261,装強!$1:$1008,COLUMN($CK$1),FALSE)),"")</f>
        <v>4500</v>
      </c>
      <c r="CO261">
        <f>VLOOKUP(D261,素材!$A:$O,COLUMN(素材!O$1),FALSE)</f>
        <v>0</v>
      </c>
      <c r="CP261" t="str">
        <f>VLOOKUP(C261,武器!$A:$W,COLUMN(武器!W$1),FALSE)</f>
        <v/>
      </c>
      <c r="CR261" t="str">
        <f t="shared" si="29"/>
        <v>e_261</v>
      </c>
      <c r="CS261">
        <f t="shared" si="30"/>
        <v>450000</v>
      </c>
    </row>
    <row r="262" spans="1:97" outlineLevel="1" x14ac:dyDescent="0.4">
      <c r="A262" t="str">
        <f t="shared" si="32"/>
        <v>熱鉄の回転式拳銃</v>
      </c>
      <c r="B262" t="str">
        <f>IFERROR(VLOOKUP($D262,素材!$1:$1016,COLUMN($B$1),FALSE)&amp;"・"&amp;VLOOKUP($C262,武器!$1:$998,COLUMN(B$1),FALSE),"")</f>
        <v>ヒートスティール・リボルバー</v>
      </c>
      <c r="C262" t="s">
        <v>212</v>
      </c>
      <c r="D262" s="24" t="s">
        <v>205</v>
      </c>
      <c r="E262" t="str">
        <f>IFERROR(VLOOKUP(C262,武器!$1:$998,COLUMN(C$1),FALSE),"")</f>
        <v>銃</v>
      </c>
      <c r="F262">
        <f>IFERROR(ROUNDDOWN((VLOOKUP($C262,武器!$1:$998,COLUMN(D$1),FALSE)+IFERROR(VLOOKUP($CI262,装強!$1:$999,COLUMN(F$1),FALSE),0))*VLOOKUP($D262,素材!$1:$1016,COLUMN(D$1),FALSE),0),"")</f>
        <v>0</v>
      </c>
      <c r="G262">
        <f>IFERROR(ROUNDDOWN((VLOOKUP($C262,武器!$1:$998,COLUMN(E$1),FALSE)+IFERROR(VLOOKUP($CI262,装強!$1:$999,COLUMN(G$1),FALSE),0))*VLOOKUP($D262,素材!$1:$1016,COLUMN($E$1),FALSE),0),"")</f>
        <v>0</v>
      </c>
      <c r="H262">
        <f>IFERROR(ROUNDDOWN((VLOOKUP($C262,武器!$1:$998,COLUMN(F$1),FALSE)+IFERROR(VLOOKUP($CI262,装強!$1:$999,COLUMN(H$1),FALSE),0))*VLOOKUP($D262,素材!$1:$1016,COLUMN($E$1),FALSE),0),"")</f>
        <v>0</v>
      </c>
      <c r="I262">
        <f>IFERROR(ROUNDDOWN((VLOOKUP($C262,武器!$1:$998,COLUMN(G$1),FALSE)+IFERROR(VLOOKUP($CI262,装強!$1:$999,COLUMN(I$1),FALSE),0))*VLOOKUP($D262,素材!$1:$1016,COLUMN($E$1),FALSE),0),"")</f>
        <v>0</v>
      </c>
      <c r="J262">
        <f>IFERROR(ROUNDDOWN((VLOOKUP($C262,武器!$1:$998,COLUMN(H$1),FALSE)+IFERROR(VLOOKUP($CI262,装強!$1:$999,COLUMN(J$1),FALSE),0))*VLOOKUP($D262,素材!$1:$1016,COLUMN($E$1),FALSE),0),"")</f>
        <v>0</v>
      </c>
      <c r="K262">
        <f>IFERROR(ROUNDDOWN((VLOOKUP($C262,武器!$1:$998,COLUMN(I$1),FALSE)+IFERROR(VLOOKUP($CI262,装強!$1:$999,COLUMN(K$1),FALSE),0))*VLOOKUP($D262,素材!$1:$1016,COLUMN($E$1),FALSE),0),"")</f>
        <v>51</v>
      </c>
      <c r="L262" t="str">
        <f>IFERROR(VLOOKUP($D262,素材!$1:$1016,COLUMN($F$1),FALSE),"")</f>
        <v>炎</v>
      </c>
      <c r="M262">
        <f>IFERROR(VLOOKUP($C262,武器!$1:$998,COLUMN(AA$1),FALSE)*VLOOKUP($D262,素材!$1:$1016,COLUMN($G$1),FALSE),"")</f>
        <v>0</v>
      </c>
      <c r="N262">
        <f>IFERROR(VLOOKUP($C262,武器!$1:$998,COLUMN(I$1),FALSE),"")</f>
        <v>2.5700000000000003</v>
      </c>
      <c r="O262" s="23">
        <f>IFERROR((VLOOKUP($C262,武器!$1:$998,COLUMN(K$1),FALSE)+VLOOKUP($D262,素材!$1:$1016,COLUMN(H$1),FALSE))*100+IFERROR(VLOOKUP($CI262,装強!$1:$999,COLUMN(O$1),FALSE),0),"")</f>
        <v>10</v>
      </c>
      <c r="P262" s="23">
        <f>IFERROR((VLOOKUP($C262,武器!$1:$998,COLUMN(L$1),FALSE)+VLOOKUP($D262,素材!$1:$1016,COLUMN(I$1),FALSE))*100+IFERROR(VLOOKUP($CI262,装強!$1:$999,COLUMN(P$1),FALSE),0),"")</f>
        <v>140</v>
      </c>
      <c r="Q262">
        <f>IFERROR(ROUNDUP(VLOOKUP($C262,武器!$1:$998,COLUMN(M$1),FALSE)*(VLOOKUP($D262,素材!$1:$1002,COLUMN(D$1),FALSE)/100),1),"")</f>
        <v>0</v>
      </c>
      <c r="R262">
        <f>IFERROR(ROUNDUP(VLOOKUP($C262,武器!$1:$998,COLUMN(N$1),FALSE)*(VLOOKUP($D262,素材!$1:$1002,COLUMN(D$1),FALSE)/100),1),"")</f>
        <v>-15</v>
      </c>
      <c r="S262">
        <f>IFERROR(VLOOKUP($C262,武器!$1:$998,COLUMN(P$1),FALSE),"")</f>
        <v>0</v>
      </c>
      <c r="T262">
        <f>IFERROR(VLOOKUP($C262,武器!$1:$998,COLUMN(Q$1),FALSE),"")</f>
        <v>2</v>
      </c>
      <c r="U262">
        <f>IFERROR(VLOOKUP($C262,武器!$1:$998,COLUMN(R$1),FALSE),"")</f>
        <v>6</v>
      </c>
      <c r="V262">
        <f>IFERROR(VLOOKUP($C262,武器!$1:$998,COLUMN(Q$1),FALSE),"")</f>
        <v>2</v>
      </c>
      <c r="W262">
        <f>IFERROR(VLOOKUP($C262,武器!$1:$998,COLUMN(T$1),FALSE),"")</f>
        <v>0</v>
      </c>
      <c r="Y262">
        <f>IFERROR(VLOOKUP($C262,武器!$1:$998,COLUMN(U$1),FALSE),"")</f>
        <v>0</v>
      </c>
      <c r="Z262">
        <f>IFERROR(ROUNDUP(VLOOKUP($C262,武器!$1:$998,COLUMN(O$1),FALSE)*VLOOKUP($D262,素材!$1:$1016,COLUMN(E$1),FALSE),1),"")</f>
        <v>0</v>
      </c>
      <c r="AA262">
        <f>IF(ISNUMBER(SEARCH(SUBSTITUTE(AA$1,RIGHT(AA$1,2),""),VLOOKUP($D262,素材!$1:$1016,COLUMN($F$1),FALSE))),VLOOKUP($C262,武器!$1:$998,COLUMN($O$1),FALSE)*VLOOKUP($D262,素材!$1:$1016,COLUMN($E$1),FALSE)/(LEN(VLOOKUP($D262,素材!$1:$1016,COLUMN($F$1),FALSE)) - LEN(SUBSTITUTE(VLOOKUP($D262,素材!$1:$1016,COLUMN($F$1),FALSE), "・", 0)) + 1), 0)</f>
        <v>0</v>
      </c>
      <c r="AB262">
        <f>IF(ISNUMBER(SEARCH(SUBSTITUTE(AB$1,RIGHT(AB$1,2),""),VLOOKUP($D262,素材!$1:$1016,COLUMN($F$1),FALSE))),VLOOKUP($C262,武器!$1:$998,COLUMN($O$1),FALSE)*VLOOKUP($D262,素材!$1:$1016,COLUMN($E$1),FALSE)/(LEN(VLOOKUP($D262,素材!$1:$1016,COLUMN($F$1),FALSE)) - LEN(SUBSTITUTE(VLOOKUP($D262,素材!$1:$1016,COLUMN($F$1),FALSE), "・", 0)) + 1), 0)</f>
        <v>0</v>
      </c>
      <c r="AC262">
        <f>IF(ISNUMBER(SEARCH(SUBSTITUTE(AC$1,RIGHT(AC$1,2),""),VLOOKUP($D262,素材!$1:$1016,COLUMN($F$1),FALSE))),VLOOKUP($C262,武器!$1:$998,COLUMN($O$1),FALSE)*VLOOKUP($D262,素材!$1:$1016,COLUMN($E$1),FALSE)/(LEN(VLOOKUP($D262,素材!$1:$1016,COLUMN($F$1),FALSE)) - LEN(SUBSTITUTE(VLOOKUP($D262,素材!$1:$1016,COLUMN($F$1),FALSE), "・", 0)) + 1), 0)</f>
        <v>0</v>
      </c>
      <c r="AD262">
        <f>IF(ISNUMBER(SEARCH(SUBSTITUTE(AD$1,RIGHT(AD$1,2),""),VLOOKUP($D262,素材!$1:$1016,COLUMN($F$1),FALSE))),VLOOKUP($C262,武器!$1:$998,COLUMN($O$1),FALSE)*VLOOKUP($D262,素材!$1:$1016,COLUMN($E$1),FALSE)/(LEN(VLOOKUP($D262,素材!$1:$1016,COLUMN($F$1),FALSE)) - LEN(SUBSTITUTE(VLOOKUP($D262,素材!$1:$1016,COLUMN($F$1),FALSE), "・", 0)) + 1), 0)</f>
        <v>0</v>
      </c>
      <c r="AE262">
        <f>IF(ISNUMBER(SEARCH(SUBSTITUTE(AE$1,RIGHT(AE$1,2),""),VLOOKUP($D262,素材!$1:$1016,COLUMN($F$1),FALSE))),VLOOKUP($C262,武器!$1:$998,COLUMN($O$1),FALSE)*VLOOKUP($D262,素材!$1:$1016,COLUMN($E$1),FALSE)/(LEN(VLOOKUP($D262,素材!$1:$1016,COLUMN($F$1),FALSE)) - LEN(SUBSTITUTE(VLOOKUP($D262,素材!$1:$1016,COLUMN($F$1),FALSE), "・", 0)) + 1), 0)</f>
        <v>0</v>
      </c>
      <c r="AF262">
        <f>IF(ISNUMBER(SEARCH(SUBSTITUTE(AF$1,RIGHT(AF$1,2),""),VLOOKUP($D262,素材!$1:$1016,COLUMN($F$1),FALSE))),VLOOKUP($C262,武器!$1:$998,COLUMN($O$1),FALSE)*VLOOKUP($D262,素材!$1:$1016,COLUMN($E$1),FALSE)/(LEN(VLOOKUP($D262,素材!$1:$1016,COLUMN($F$1),FALSE)) - LEN(SUBSTITUTE(VLOOKUP($D262,素材!$1:$1016,COLUMN($F$1),FALSE), "・", 0)) + 1), 0)</f>
        <v>0</v>
      </c>
      <c r="AG262">
        <f>IF(ISNUMBER(SEARCH(SUBSTITUTE(AG$1,RIGHT(AG$1,2),""),VLOOKUP($D262,素材!$1:$1016,COLUMN($F$1),FALSE))),VLOOKUP($C262,武器!$1:$998,COLUMN($O$1),FALSE)*VLOOKUP($D262,素材!$1:$1016,COLUMN($E$1),FALSE)/(LEN(VLOOKUP($D262,素材!$1:$1016,COLUMN($F$1),FALSE)) - LEN(SUBSTITUTE(VLOOKUP($D262,素材!$1:$1016,COLUMN($F$1),FALSE), "・", 0)) + 1), 0)</f>
        <v>0</v>
      </c>
      <c r="AH262">
        <f>IF(ISNUMBER(SEARCH(SUBSTITUTE(AH$1,RIGHT(AH$1,2),""),VLOOKUP($D262,素材!$1:$1016,COLUMN($F$1),FALSE))),VLOOKUP($C262,武器!$1:$998,COLUMN($O$1),FALSE)*VLOOKUP($D262,素材!$1:$1016,COLUMN($E$1),FALSE)/(LEN(VLOOKUP($D262,素材!$1:$1016,COLUMN($F$1),FALSE)) - LEN(SUBSTITUTE(VLOOKUP($D262,素材!$1:$1016,COLUMN($F$1),FALSE), "・", 0)) + 1), 0)</f>
        <v>0</v>
      </c>
      <c r="AI262">
        <f>IF(ISNUMBER(SEARCH(SUBSTITUTE(AI$1,RIGHT(AI$1,2),""),VLOOKUP($D262,素材!$1:$1016,COLUMN($F$1),FALSE))),VLOOKUP($C262,武器!$1:$998,COLUMN($O$1),FALSE)*VLOOKUP($D262,素材!$1:$1016,COLUMN($E$1),FALSE)/(LEN(VLOOKUP($D262,素材!$1:$1016,COLUMN($F$1),FALSE)) - LEN(SUBSTITUTE(VLOOKUP($D262,素材!$1:$1016,COLUMN($F$1),FALSE), "・", 0)) + 1), 0)</f>
        <v>0</v>
      </c>
      <c r="AJ262">
        <f>IF(ISNUMBER(SEARCH(SUBSTITUTE(AJ$1,RIGHT(AJ$1,2),""),VLOOKUP($D262,素材!$1:$1016,COLUMN($F$1),FALSE))),VLOOKUP($C262,武器!$1:$998,COLUMN($O$1),FALSE)*VLOOKUP($D262,素材!$1:$1016,COLUMN($E$1),FALSE)/(LEN(VLOOKUP($D262,素材!$1:$1016,COLUMN($F$1),FALSE)) - LEN(SUBSTITUTE(VLOOKUP($D262,素材!$1:$1016,COLUMN($F$1),FALSE), "・", 0)) + 1), 0)</f>
        <v>0</v>
      </c>
      <c r="AK262">
        <f>IF(ISNUMBER(SEARCH(SUBSTITUTE(AK$1,RIGHT(AK$1,2),""),VLOOKUP($D262,素材!$1:$1016,COLUMN($F$1),FALSE))),VLOOKUP($C262,武器!$1:$998,COLUMN($O$1),FALSE)*VLOOKUP($D262,素材!$1:$1016,COLUMN($E$1),FALSE)/(LEN(VLOOKUP($D262,素材!$1:$1016,COLUMN($F$1),FALSE)) - LEN(SUBSTITUTE(VLOOKUP($D262,素材!$1:$1016,COLUMN($F$1),FALSE), "・", 0)) + 1), 0)</f>
        <v>0</v>
      </c>
      <c r="AL262">
        <f>IF(ISNUMBER(SEARCH(SUBSTITUTE(AL$1,RIGHT(AL$1,2),""),VLOOKUP($D262,素材!$1:$1016,COLUMN($F$1),FALSE))),VLOOKUP($C262,武器!$1:$998,COLUMN($O$1),FALSE)*VLOOKUP($D262,素材!$1:$1016,COLUMN($E$1),FALSE)/(LEN(VLOOKUP($D262,素材!$1:$1016,COLUMN($F$1),FALSE)) - LEN(SUBSTITUTE(VLOOKUP($D262,素材!$1:$1016,COLUMN($F$1),FALSE), "・", 0)) + 1), 0)</f>
        <v>0</v>
      </c>
      <c r="AM262">
        <f>IF(ISNUMBER(SEARCH(SUBSTITUTE(AM$1,RIGHT(AM$1,2),""),VLOOKUP($D262,素材!$1:$1016,COLUMN($F$1),FALSE))),VLOOKUP($C262,武器!$1:$998,COLUMN($O$1),FALSE)*VLOOKUP($D262,素材!$1:$1016,COLUMN($E$1),FALSE)/(LEN(VLOOKUP($D262,素材!$1:$1016,COLUMN($F$1),FALSE)) - LEN(SUBSTITUTE(VLOOKUP($D262,素材!$1:$1016,COLUMN($F$1),FALSE), "・", 0)) + 1), 0)</f>
        <v>0</v>
      </c>
      <c r="AN262">
        <f>IF(ISNUMBER(SEARCH(SUBSTITUTE(AN$1,RIGHT(AN$1,2),""),VLOOKUP($D262,素材!$1:$1016,COLUMN($F$1),FALSE))),VLOOKUP($C262,武器!$1:$998,COLUMN($O$1),FALSE)*VLOOKUP($D262,素材!$1:$1016,COLUMN($E$1),FALSE)/(LEN(VLOOKUP($D262,素材!$1:$1016,COLUMN($F$1),FALSE)) - LEN(SUBSTITUTE(VLOOKUP($D262,素材!$1:$1016,COLUMN($F$1),FALSE), "・", 0)) + 1), 0)</f>
        <v>0</v>
      </c>
      <c r="AO262">
        <f>IF(ISNUMBER(SEARCH(SUBSTITUTE(AO$1,RIGHT(AO$1,2),""),VLOOKUP($D262,素材!$1:$1016,COLUMN($F$1),FALSE))),VLOOKUP($C262,武器!$1:$998,COLUMN($O$1),FALSE)*VLOOKUP($D262,素材!$1:$1016,COLUMN($E$1),FALSE)/(LEN(VLOOKUP($D262,素材!$1:$1016,COLUMN($F$1),FALSE)) - LEN(SUBSTITUTE(VLOOKUP($D262,素材!$1:$1016,COLUMN($F$1),FALSE), "・", 0)) + 1), 0)</f>
        <v>0</v>
      </c>
      <c r="AP262">
        <f>IF(ISNUMBER(SEARCH(SUBSTITUTE(AP$1,RIGHT(AP$1,2),""),VLOOKUP($D262,素材!$1:$1016,COLUMN($F$1),FALSE))),VLOOKUP($C262,武器!$1:$998,COLUMN($O$1),FALSE)*VLOOKUP($D262,素材!$1:$1016,COLUMN($E$1),FALSE)/(LEN(VLOOKUP($D262,素材!$1:$1016,COLUMN($F$1),FALSE)) - LEN(SUBSTITUTE(VLOOKUP($D262,素材!$1:$1016,COLUMN($F$1),FALSE), "・", 0)) + 1), 0)</f>
        <v>0</v>
      </c>
      <c r="AQ262">
        <f>IF(ISNUMBER(SEARCH(SUBSTITUTE(AQ$1,RIGHT(AQ$1,2),""),VLOOKUP($D262,素材!$1:$1016,COLUMN($F$1),FALSE))),VLOOKUP($C262,武器!$1:$998,COLUMN($O$1),FALSE)*VLOOKUP($D262,素材!$1:$1016,COLUMN($E$1),FALSE)/(LEN(VLOOKUP($D262,素材!$1:$1016,COLUMN($F$1),FALSE)) - LEN(SUBSTITUTE(VLOOKUP($D262,素材!$1:$1016,COLUMN($F$1),FALSE), "・", 0)) + 1), 0)</f>
        <v>0</v>
      </c>
      <c r="AR262">
        <f>IF(ISNUMBER(SEARCH(SUBSTITUTE(AR$1,RIGHT(AR$1,2),""),VLOOKUP($D262,素材!$1:$1016,COLUMN($F$1),FALSE))),VLOOKUP($C262,武器!$1:$998,COLUMN($O$1),FALSE)*VLOOKUP($D262,素材!$1:$1016,COLUMN($E$1),FALSE)/(LEN(VLOOKUP($D262,素材!$1:$1016,COLUMN($F$1),FALSE)) - LEN(SUBSTITUTE(VLOOKUP($D262,素材!$1:$1016,COLUMN($F$1),FALSE), "・", 0)) + 1), 0)</f>
        <v>0</v>
      </c>
      <c r="AS262">
        <f>IF(ISNUMBER(SEARCH(SUBSTITUTE(AS$1,RIGHT(AS$1,2),""),VLOOKUP($D262,素材!$1:$1016,COLUMN($F$1),FALSE))),VLOOKUP($C262,武器!$1:$998,COLUMN($O$1),FALSE)*VLOOKUP($D262,素材!$1:$1016,COLUMN($E$1),FALSE)/(LEN(VLOOKUP($D262,素材!$1:$1016,COLUMN($F$1),FALSE)) - LEN(SUBSTITUTE(VLOOKUP($D262,素材!$1:$1016,COLUMN($F$1),FALSE), "・", 0)) + 1), 0)</f>
        <v>0</v>
      </c>
      <c r="AT262">
        <f>IF(ISNUMBER(SEARCH(SUBSTITUTE(AT$1,RIGHT(AT$1,2),""),VLOOKUP($D262,素材!$1:$1016,COLUMN($F$1),FALSE))),VLOOKUP($C262,武器!$1:$998,COLUMN($O$1),FALSE)*VLOOKUP($D262,素材!$1:$1016,COLUMN($E$1),FALSE)/(LEN(VLOOKUP($D262,素材!$1:$1016,COLUMN($F$1),FALSE)) - LEN(SUBSTITUTE(VLOOKUP($D262,素材!$1:$1016,COLUMN($F$1),FALSE), "・", 0)) + 1), 0)</f>
        <v>0</v>
      </c>
      <c r="AU262">
        <f>IF(ISNUMBER(SEARCH(SUBSTITUTE(AU$1,RIGHT(AU$1,2),""),VLOOKUP($D262,素材!$1:$1016,COLUMN($F$1),FALSE))),VLOOKUP($C262,武器!$1:$998,COLUMN($O$1),FALSE)*VLOOKUP($D262,素材!$1:$1016,COLUMN($E$1),FALSE)/(LEN(VLOOKUP($D262,素材!$1:$1016,COLUMN($F$1),FALSE)) - LEN(SUBSTITUTE(VLOOKUP($D262,素材!$1:$1016,COLUMN($F$1),FALSE), "・", 0)) + 1), 0)</f>
        <v>0</v>
      </c>
      <c r="AV262">
        <f>IF(ISNUMBER(SEARCH(SUBSTITUTE(AV$1,RIGHT(AV$1,2),""),VLOOKUP($D262,素材!$1:$1016,COLUMN($F$1),FALSE))),VLOOKUP($C262,武器!$1:$998,COLUMN($O$1),FALSE)*VLOOKUP($D262,素材!$1:$1016,COLUMN($E$1),FALSE)/(LEN(VLOOKUP($D262,素材!$1:$1016,COLUMN($F$1),FALSE)) - LEN(SUBSTITUTE(VLOOKUP($D262,素材!$1:$1016,COLUMN($F$1),FALSE), "・", 0)) + 1), 0)</f>
        <v>0</v>
      </c>
      <c r="AW262">
        <f>IF(ISNUMBER(SEARCH(SUBSTITUTE(AW$1,RIGHT(AW$1,2),""),VLOOKUP($D262,素材!$1:$1016,COLUMN($F$1),FALSE))),VLOOKUP($C262,武器!$1:$998,COLUMN($O$1),FALSE)*VLOOKUP($D262,素材!$1:$1016,COLUMN($E$1),FALSE)/(LEN(VLOOKUP($D262,素材!$1:$1016,COLUMN($F$1),FALSE)) - LEN(SUBSTITUTE(VLOOKUP($D262,素材!$1:$1016,COLUMN($F$1),FALSE), "・", 0)) + 1), 0)</f>
        <v>0</v>
      </c>
      <c r="AX262">
        <f>IF(ISNUMBER(SEARCH(SUBSTITUTE(AX$1,RIGHT(AX$1,2),""),VLOOKUP($D262,素材!$1:$1016,COLUMN($F$1),FALSE))),VLOOKUP($C262,武器!$1:$998,COLUMN($O$1),FALSE)*VLOOKUP($D262,素材!$1:$1016,COLUMN($E$1),FALSE)/(LEN(VLOOKUP($D262,素材!$1:$1016,COLUMN($F$1),FALSE)) - LEN(SUBSTITUTE(VLOOKUP($D262,素材!$1:$1016,COLUMN($F$1),FALSE), "・", 0)) + 1), 0)</f>
        <v>0</v>
      </c>
      <c r="AY262">
        <f>IF(ISNUMBER(SEARCH(SUBSTITUTE(AY$1,RIGHT(AY$1,2),""),VLOOKUP($D262,素材!$1:$1016,COLUMN($F$1),FALSE))),VLOOKUP($C262,武器!$1:$998,COLUMN($O$1),FALSE)*VLOOKUP($D262,素材!$1:$1016,COLUMN($E$1),FALSE)/(LEN(VLOOKUP($D262,素材!$1:$1016,COLUMN($F$1),FALSE)) - LEN(SUBSTITUTE(VLOOKUP($D262,素材!$1:$1016,COLUMN($F$1),FALSE), "・", 0)) + 1), 0)</f>
        <v>0</v>
      </c>
      <c r="AZ262">
        <f>IF(ISNUMBER(SEARCH(SUBSTITUTE(AZ$1,RIGHT(AZ$1,2),""),VLOOKUP($D262,素材!$1:$1016,COLUMN($F$1),FALSE))),VLOOKUP($C262,武器!$1:$998,COLUMN($O$1),FALSE)*VLOOKUP($D262,素材!$1:$1016,COLUMN($E$1),FALSE)/(LEN(VLOOKUP($D262,素材!$1:$1016,COLUMN($F$1),FALSE)) - LEN(SUBSTITUTE(VLOOKUP($D262,素材!$1:$1016,COLUMN($F$1),FALSE), "・", 0)) + 1), 0)</f>
        <v>0</v>
      </c>
      <c r="BA262">
        <f>IF(ISNUMBER(SEARCH(SUBSTITUTE(BA$1,RIGHT(BA$1,2),""),VLOOKUP($D262,素材!$1:$1016,COLUMN($F$1),FALSE))),VLOOKUP($C262,武器!$1:$998,COLUMN($O$1),FALSE)*VLOOKUP($D262,素材!$1:$1016,COLUMN($E$1),FALSE)/(LEN(VLOOKUP($D262,素材!$1:$1016,COLUMN($F$1),FALSE)) - LEN(SUBSTITUTE(VLOOKUP($D262,素材!$1:$1016,COLUMN($F$1),FALSE), "・", 0)) + 1), 0)</f>
        <v>0</v>
      </c>
      <c r="BB262">
        <f>IF(ISNUMBER(SEARCH(SUBSTITUTE(BB$1,RIGHT(BB$1,2),""),VLOOKUP($D262,素材!$1:$1016,COLUMN($F$1),FALSE))),VLOOKUP($C262,武器!$1:$998,COLUMN($O$1),FALSE)*VLOOKUP($D262,素材!$1:$1016,COLUMN($E$1),FALSE)/(LEN(VLOOKUP($D262,素材!$1:$1016,COLUMN($F$1),FALSE)) - LEN(SUBSTITUTE(VLOOKUP($D262,素材!$1:$1016,COLUMN($F$1),FALSE), "・", 0)) + 1), 0)</f>
        <v>0</v>
      </c>
      <c r="BC262">
        <f>IF(ISNUMBER(SEARCH(SUBSTITUTE(BC$1,RIGHT(BC$1,2),""),VLOOKUP($D262,素材!$1:$1016,COLUMN($F$1),FALSE))),VLOOKUP($C262,武器!$1:$998,COLUMN($O$1),FALSE)*VLOOKUP($D262,素材!$1:$1016,COLUMN($E$1),FALSE)/(LEN(VLOOKUP($D262,素材!$1:$1016,COLUMN($F$1),FALSE)) - LEN(SUBSTITUTE(VLOOKUP($D262,素材!$1:$1016,COLUMN($F$1),FALSE), "・", 0)) + 1), 0)</f>
        <v>0</v>
      </c>
      <c r="BD262">
        <f>IF(ISNUMBER(SEARCH(SUBSTITUTE(BD$1,RIGHT(BD$1,2),""),VLOOKUP($D262,素材!$1:$1016,COLUMN($F$1),FALSE))),VLOOKUP($C262,武器!$1:$998,COLUMN($O$1),FALSE)*VLOOKUP($D262,素材!$1:$1016,COLUMN($E$1),FALSE)/(LEN(VLOOKUP($D262,素材!$1:$1016,COLUMN($F$1),FALSE)) - LEN(SUBSTITUTE(VLOOKUP($D262,素材!$1:$1016,COLUMN($F$1),FALSE), "・", 0)) + 1), 0)</f>
        <v>0</v>
      </c>
      <c r="BE262">
        <f>IF(ISNUMBER(SEARCH(SUBSTITUTE(BE$1,RIGHT(BE$1,2),""),VLOOKUP($D262,素材!$1:$1016,COLUMN($F$1),FALSE))),VLOOKUP($C262,武器!$1:$998,COLUMN($O$1),FALSE)*VLOOKUP($D262,素材!$1:$1016,COLUMN($E$1),FALSE)/(LEN(VLOOKUP($D262,素材!$1:$1016,COLUMN($F$1),FALSE)) - LEN(SUBSTITUTE(VLOOKUP($D262,素材!$1:$1016,COLUMN($F$1),FALSE), "・", 0)) + 1), 0)</f>
        <v>0</v>
      </c>
      <c r="CL262">
        <f>SUM(G262:I262)</f>
        <v>0</v>
      </c>
      <c r="CM262" s="22" t="str">
        <f>IF(E262="武器",IF(J262-1&gt;SUM(G262:I262),"盾",IF(MAX(G262:I262)=G262,"切断",IF(MAX(G262:I262)=H262,"貫通",IF(MAX(G262:I262)=I262,"打撃","射撃")))),E262)&amp;".webp"</f>
        <v>銃.webp</v>
      </c>
      <c r="CN262">
        <f>IFERROR(VLOOKUP($C262,武器!$1:$998,COLUMN(V$1),FALSE)*VLOOKUP($D262,素材!$1:$1016,COLUMN(N$1),FALSE)+IF(CI262="",0,VLOOKUP($CI262,装強!$1:$1008,COLUMN($CK$1),FALSE)),"")</f>
        <v>3000</v>
      </c>
      <c r="CO262">
        <f>VLOOKUP(D262,素材!$A:$O,COLUMN(素材!O$1),FALSE)</f>
        <v>0</v>
      </c>
      <c r="CP262" t="str">
        <f>VLOOKUP(C262,武器!$A:$W,COLUMN(武器!W$1),FALSE)</f>
        <v/>
      </c>
      <c r="CR262" t="str">
        <f t="shared" si="29"/>
        <v>e_262</v>
      </c>
      <c r="CS262">
        <f t="shared" si="30"/>
        <v>300000</v>
      </c>
    </row>
    <row r="263" spans="1:97" outlineLevel="1" x14ac:dyDescent="0.4">
      <c r="A263" t="str">
        <f t="shared" si="32"/>
        <v>熱鉄の拳銃</v>
      </c>
      <c r="B263" t="str">
        <f>IFERROR(VLOOKUP($D263,素材!$1:$1016,COLUMN($B$1),FALSE)&amp;"・"&amp;VLOOKUP($C263,武器!$1:$998,COLUMN(B$1),FALSE),"")</f>
        <v>ヒートスティール・ハンドガン</v>
      </c>
      <c r="C263" t="s">
        <v>211</v>
      </c>
      <c r="D263" s="24" t="s">
        <v>205</v>
      </c>
      <c r="E263" t="str">
        <f>IFERROR(VLOOKUP(C263,武器!$1:$998,COLUMN(C$1),FALSE),"")</f>
        <v>銃</v>
      </c>
      <c r="F263">
        <f>IFERROR(ROUNDDOWN((VLOOKUP($C263,武器!$1:$998,COLUMN(D$1),FALSE)+IFERROR(VLOOKUP($CI263,装強!$1:$999,COLUMN(F$1),FALSE),0))*VLOOKUP($D263,素材!$1:$1016,COLUMN(D$1),FALSE),0),"")</f>
        <v>0</v>
      </c>
      <c r="G263">
        <f>IFERROR(ROUNDDOWN((VLOOKUP($C263,武器!$1:$998,COLUMN(E$1),FALSE)+IFERROR(VLOOKUP($CI263,装強!$1:$999,COLUMN(G$1),FALSE),0))*VLOOKUP($D263,素材!$1:$1016,COLUMN($E$1),FALSE),0),"")</f>
        <v>0</v>
      </c>
      <c r="H263">
        <f>IFERROR(ROUNDDOWN((VLOOKUP($C263,武器!$1:$998,COLUMN(F$1),FALSE)+IFERROR(VLOOKUP($CI263,装強!$1:$999,COLUMN(H$1),FALSE),0))*VLOOKUP($D263,素材!$1:$1016,COLUMN($E$1),FALSE),0),"")</f>
        <v>0</v>
      </c>
      <c r="I263">
        <f>IFERROR(ROUNDDOWN((VLOOKUP($C263,武器!$1:$998,COLUMN(G$1),FALSE)+IFERROR(VLOOKUP($CI263,装強!$1:$999,COLUMN(I$1),FALSE),0))*VLOOKUP($D263,素材!$1:$1016,COLUMN($E$1),FALSE),0),"")</f>
        <v>0</v>
      </c>
      <c r="J263">
        <f>IFERROR(ROUNDDOWN((VLOOKUP($C263,武器!$1:$998,COLUMN(H$1),FALSE)+IFERROR(VLOOKUP($CI263,装強!$1:$999,COLUMN(J$1),FALSE),0))*VLOOKUP($D263,素材!$1:$1016,COLUMN($E$1),FALSE),0),"")</f>
        <v>0</v>
      </c>
      <c r="K263">
        <f>IFERROR(ROUNDDOWN((VLOOKUP($C263,武器!$1:$998,COLUMN(I$1),FALSE)+IFERROR(VLOOKUP($CI263,装強!$1:$999,COLUMN(K$1),FALSE),0))*VLOOKUP($D263,素材!$1:$1016,COLUMN($E$1),FALSE),0),"")</f>
        <v>36</v>
      </c>
      <c r="L263" t="str">
        <f>IFERROR(VLOOKUP($D263,素材!$1:$1016,COLUMN($F$1),FALSE),"")</f>
        <v>炎</v>
      </c>
      <c r="M263">
        <f>IFERROR(VLOOKUP($C263,武器!$1:$998,COLUMN(AA$1),FALSE)*VLOOKUP($D263,素材!$1:$1016,COLUMN($G$1),FALSE),"")</f>
        <v>0</v>
      </c>
      <c r="N263">
        <f>IFERROR(VLOOKUP($C263,武器!$1:$998,COLUMN(I$1),FALSE),"")</f>
        <v>1.8</v>
      </c>
      <c r="O263" s="23">
        <f>IFERROR((VLOOKUP($C263,武器!$1:$998,COLUMN(K$1),FALSE)+VLOOKUP($D263,素材!$1:$1016,COLUMN(H$1),FALSE))*100+IFERROR(VLOOKUP($CI263,装強!$1:$999,COLUMN(O$1),FALSE),0),"")</f>
        <v>15</v>
      </c>
      <c r="P263" s="23">
        <f>IFERROR((VLOOKUP($C263,武器!$1:$998,COLUMN(L$1),FALSE)+VLOOKUP($D263,素材!$1:$1016,COLUMN(I$1),FALSE))*100+IFERROR(VLOOKUP($CI263,装強!$1:$999,COLUMN(P$1),FALSE),0),"")</f>
        <v>175</v>
      </c>
      <c r="Q263">
        <f>IFERROR(ROUNDUP(VLOOKUP($C263,武器!$1:$998,COLUMN(M$1),FALSE)*(VLOOKUP($D263,素材!$1:$1002,COLUMN(D$1),FALSE)/100),1),"")</f>
        <v>0</v>
      </c>
      <c r="R263">
        <f>IFERROR(ROUNDUP(VLOOKUP($C263,武器!$1:$998,COLUMN(N$1),FALSE)*(VLOOKUP($D263,素材!$1:$1002,COLUMN(D$1),FALSE)/100),1),"")</f>
        <v>0</v>
      </c>
      <c r="S263">
        <f>IFERROR(VLOOKUP($C263,武器!$1:$998,COLUMN(P$1),FALSE),"")</f>
        <v>0</v>
      </c>
      <c r="T263">
        <f>IFERROR(VLOOKUP($C263,武器!$1:$998,COLUMN(Q$1),FALSE),"")</f>
        <v>3</v>
      </c>
      <c r="U263">
        <f>IFERROR(VLOOKUP($C263,武器!$1:$998,COLUMN(R$1),FALSE),"")</f>
        <v>1</v>
      </c>
      <c r="V263">
        <f>IFERROR(VLOOKUP($C263,武器!$1:$998,COLUMN(Q$1),FALSE),"")</f>
        <v>3</v>
      </c>
      <c r="W263">
        <f>IFERROR(VLOOKUP($C263,武器!$1:$998,COLUMN(T$1),FALSE),"")</f>
        <v>0</v>
      </c>
      <c r="Y263">
        <f>IFERROR(VLOOKUP($C263,武器!$1:$998,COLUMN(U$1),FALSE),"")</f>
        <v>0</v>
      </c>
      <c r="Z263">
        <f>IFERROR(ROUNDUP(VLOOKUP($C263,武器!$1:$998,COLUMN(O$1),FALSE)*VLOOKUP($D263,素材!$1:$1016,COLUMN(E$1),FALSE),1),"")</f>
        <v>0</v>
      </c>
      <c r="AA263">
        <f>IF(ISNUMBER(SEARCH(SUBSTITUTE(AA$1,RIGHT(AA$1,2),""),VLOOKUP($D263,素材!$1:$1016,COLUMN($F$1),FALSE))),VLOOKUP($C263,武器!$1:$998,COLUMN($O$1),FALSE)*VLOOKUP($D263,素材!$1:$1016,COLUMN($E$1),FALSE)/(LEN(VLOOKUP($D263,素材!$1:$1016,COLUMN($F$1),FALSE)) - LEN(SUBSTITUTE(VLOOKUP($D263,素材!$1:$1016,COLUMN($F$1),FALSE), "・", 0)) + 1), 0)</f>
        <v>0</v>
      </c>
      <c r="AB263">
        <f>IF(ISNUMBER(SEARCH(SUBSTITUTE(AB$1,RIGHT(AB$1,2),""),VLOOKUP($D263,素材!$1:$1016,COLUMN($F$1),FALSE))),VLOOKUP($C263,武器!$1:$998,COLUMN($O$1),FALSE)*VLOOKUP($D263,素材!$1:$1016,COLUMN($E$1),FALSE)/(LEN(VLOOKUP($D263,素材!$1:$1016,COLUMN($F$1),FALSE)) - LEN(SUBSTITUTE(VLOOKUP($D263,素材!$1:$1016,COLUMN($F$1),FALSE), "・", 0)) + 1), 0)</f>
        <v>0</v>
      </c>
      <c r="AC263">
        <f>IF(ISNUMBER(SEARCH(SUBSTITUTE(AC$1,RIGHT(AC$1,2),""),VLOOKUP($D263,素材!$1:$1016,COLUMN($F$1),FALSE))),VLOOKUP($C263,武器!$1:$998,COLUMN($O$1),FALSE)*VLOOKUP($D263,素材!$1:$1016,COLUMN($E$1),FALSE)/(LEN(VLOOKUP($D263,素材!$1:$1016,COLUMN($F$1),FALSE)) - LEN(SUBSTITUTE(VLOOKUP($D263,素材!$1:$1016,COLUMN($F$1),FALSE), "・", 0)) + 1), 0)</f>
        <v>0</v>
      </c>
      <c r="AD263">
        <f>IF(ISNUMBER(SEARCH(SUBSTITUTE(AD$1,RIGHT(AD$1,2),""),VLOOKUP($D263,素材!$1:$1016,COLUMN($F$1),FALSE))),VLOOKUP($C263,武器!$1:$998,COLUMN($O$1),FALSE)*VLOOKUP($D263,素材!$1:$1016,COLUMN($E$1),FALSE)/(LEN(VLOOKUP($D263,素材!$1:$1016,COLUMN($F$1),FALSE)) - LEN(SUBSTITUTE(VLOOKUP($D263,素材!$1:$1016,COLUMN($F$1),FALSE), "・", 0)) + 1), 0)</f>
        <v>0</v>
      </c>
      <c r="AE263">
        <f>IF(ISNUMBER(SEARCH(SUBSTITUTE(AE$1,RIGHT(AE$1,2),""),VLOOKUP($D263,素材!$1:$1016,COLUMN($F$1),FALSE))),VLOOKUP($C263,武器!$1:$998,COLUMN($O$1),FALSE)*VLOOKUP($D263,素材!$1:$1016,COLUMN($E$1),FALSE)/(LEN(VLOOKUP($D263,素材!$1:$1016,COLUMN($F$1),FALSE)) - LEN(SUBSTITUTE(VLOOKUP($D263,素材!$1:$1016,COLUMN($F$1),FALSE), "・", 0)) + 1), 0)</f>
        <v>0</v>
      </c>
      <c r="AF263">
        <f>IF(ISNUMBER(SEARCH(SUBSTITUTE(AF$1,RIGHT(AF$1,2),""),VLOOKUP($D263,素材!$1:$1016,COLUMN($F$1),FALSE))),VLOOKUP($C263,武器!$1:$998,COLUMN($O$1),FALSE)*VLOOKUP($D263,素材!$1:$1016,COLUMN($E$1),FALSE)/(LEN(VLOOKUP($D263,素材!$1:$1016,COLUMN($F$1),FALSE)) - LEN(SUBSTITUTE(VLOOKUP($D263,素材!$1:$1016,COLUMN($F$1),FALSE), "・", 0)) + 1), 0)</f>
        <v>0</v>
      </c>
      <c r="AG263">
        <f>IF(ISNUMBER(SEARCH(SUBSTITUTE(AG$1,RIGHT(AG$1,2),""),VLOOKUP($D263,素材!$1:$1016,COLUMN($F$1),FALSE))),VLOOKUP($C263,武器!$1:$998,COLUMN($O$1),FALSE)*VLOOKUP($D263,素材!$1:$1016,COLUMN($E$1),FALSE)/(LEN(VLOOKUP($D263,素材!$1:$1016,COLUMN($F$1),FALSE)) - LEN(SUBSTITUTE(VLOOKUP($D263,素材!$1:$1016,COLUMN($F$1),FALSE), "・", 0)) + 1), 0)</f>
        <v>0</v>
      </c>
      <c r="AH263">
        <f>IF(ISNUMBER(SEARCH(SUBSTITUTE(AH$1,RIGHT(AH$1,2),""),VLOOKUP($D263,素材!$1:$1016,COLUMN($F$1),FALSE))),VLOOKUP($C263,武器!$1:$998,COLUMN($O$1),FALSE)*VLOOKUP($D263,素材!$1:$1016,COLUMN($E$1),FALSE)/(LEN(VLOOKUP($D263,素材!$1:$1016,COLUMN($F$1),FALSE)) - LEN(SUBSTITUTE(VLOOKUP($D263,素材!$1:$1016,COLUMN($F$1),FALSE), "・", 0)) + 1), 0)</f>
        <v>0</v>
      </c>
      <c r="AI263">
        <f>IF(ISNUMBER(SEARCH(SUBSTITUTE(AI$1,RIGHT(AI$1,2),""),VLOOKUP($D263,素材!$1:$1016,COLUMN($F$1),FALSE))),VLOOKUP($C263,武器!$1:$998,COLUMN($O$1),FALSE)*VLOOKUP($D263,素材!$1:$1016,COLUMN($E$1),FALSE)/(LEN(VLOOKUP($D263,素材!$1:$1016,COLUMN($F$1),FALSE)) - LEN(SUBSTITUTE(VLOOKUP($D263,素材!$1:$1016,COLUMN($F$1),FALSE), "・", 0)) + 1), 0)</f>
        <v>0</v>
      </c>
      <c r="AJ263">
        <f>IF(ISNUMBER(SEARCH(SUBSTITUTE(AJ$1,RIGHT(AJ$1,2),""),VLOOKUP($D263,素材!$1:$1016,COLUMN($F$1),FALSE))),VLOOKUP($C263,武器!$1:$998,COLUMN($O$1),FALSE)*VLOOKUP($D263,素材!$1:$1016,COLUMN($E$1),FALSE)/(LEN(VLOOKUP($D263,素材!$1:$1016,COLUMN($F$1),FALSE)) - LEN(SUBSTITUTE(VLOOKUP($D263,素材!$1:$1016,COLUMN($F$1),FALSE), "・", 0)) + 1), 0)</f>
        <v>0</v>
      </c>
      <c r="AK263">
        <f>IF(ISNUMBER(SEARCH(SUBSTITUTE(AK$1,RIGHT(AK$1,2),""),VLOOKUP($D263,素材!$1:$1016,COLUMN($F$1),FALSE))),VLOOKUP($C263,武器!$1:$998,COLUMN($O$1),FALSE)*VLOOKUP($D263,素材!$1:$1016,COLUMN($E$1),FALSE)/(LEN(VLOOKUP($D263,素材!$1:$1016,COLUMN($F$1),FALSE)) - LEN(SUBSTITUTE(VLOOKUP($D263,素材!$1:$1016,COLUMN($F$1),FALSE), "・", 0)) + 1), 0)</f>
        <v>0</v>
      </c>
      <c r="AL263">
        <f>IF(ISNUMBER(SEARCH(SUBSTITUTE(AL$1,RIGHT(AL$1,2),""),VLOOKUP($D263,素材!$1:$1016,COLUMN($F$1),FALSE))),VLOOKUP($C263,武器!$1:$998,COLUMN($O$1),FALSE)*VLOOKUP($D263,素材!$1:$1016,COLUMN($E$1),FALSE)/(LEN(VLOOKUP($D263,素材!$1:$1016,COLUMN($F$1),FALSE)) - LEN(SUBSTITUTE(VLOOKUP($D263,素材!$1:$1016,COLUMN($F$1),FALSE), "・", 0)) + 1), 0)</f>
        <v>0</v>
      </c>
      <c r="AM263">
        <f>IF(ISNUMBER(SEARCH(SUBSTITUTE(AM$1,RIGHT(AM$1,2),""),VLOOKUP($D263,素材!$1:$1016,COLUMN($F$1),FALSE))),VLOOKUP($C263,武器!$1:$998,COLUMN($O$1),FALSE)*VLOOKUP($D263,素材!$1:$1016,COLUMN($E$1),FALSE)/(LEN(VLOOKUP($D263,素材!$1:$1016,COLUMN($F$1),FALSE)) - LEN(SUBSTITUTE(VLOOKUP($D263,素材!$1:$1016,COLUMN($F$1),FALSE), "・", 0)) + 1), 0)</f>
        <v>0</v>
      </c>
      <c r="AN263">
        <f>IF(ISNUMBER(SEARCH(SUBSTITUTE(AN$1,RIGHT(AN$1,2),""),VLOOKUP($D263,素材!$1:$1016,COLUMN($F$1),FALSE))),VLOOKUP($C263,武器!$1:$998,COLUMN($O$1),FALSE)*VLOOKUP($D263,素材!$1:$1016,COLUMN($E$1),FALSE)/(LEN(VLOOKUP($D263,素材!$1:$1016,COLUMN($F$1),FALSE)) - LEN(SUBSTITUTE(VLOOKUP($D263,素材!$1:$1016,COLUMN($F$1),FALSE), "・", 0)) + 1), 0)</f>
        <v>0</v>
      </c>
      <c r="AO263">
        <f>IF(ISNUMBER(SEARCH(SUBSTITUTE(AO$1,RIGHT(AO$1,2),""),VLOOKUP($D263,素材!$1:$1016,COLUMN($F$1),FALSE))),VLOOKUP($C263,武器!$1:$998,COLUMN($O$1),FALSE)*VLOOKUP($D263,素材!$1:$1016,COLUMN($E$1),FALSE)/(LEN(VLOOKUP($D263,素材!$1:$1016,COLUMN($F$1),FALSE)) - LEN(SUBSTITUTE(VLOOKUP($D263,素材!$1:$1016,COLUMN($F$1),FALSE), "・", 0)) + 1), 0)</f>
        <v>0</v>
      </c>
      <c r="AP263">
        <f>IF(ISNUMBER(SEARCH(SUBSTITUTE(AP$1,RIGHT(AP$1,2),""),VLOOKUP($D263,素材!$1:$1016,COLUMN($F$1),FALSE))),VLOOKUP($C263,武器!$1:$998,COLUMN($O$1),FALSE)*VLOOKUP($D263,素材!$1:$1016,COLUMN($E$1),FALSE)/(LEN(VLOOKUP($D263,素材!$1:$1016,COLUMN($F$1),FALSE)) - LEN(SUBSTITUTE(VLOOKUP($D263,素材!$1:$1016,COLUMN($F$1),FALSE), "・", 0)) + 1), 0)</f>
        <v>0</v>
      </c>
      <c r="AQ263">
        <f>IF(ISNUMBER(SEARCH(SUBSTITUTE(AQ$1,RIGHT(AQ$1,2),""),VLOOKUP($D263,素材!$1:$1016,COLUMN($F$1),FALSE))),VLOOKUP($C263,武器!$1:$998,COLUMN($O$1),FALSE)*VLOOKUP($D263,素材!$1:$1016,COLUMN($E$1),FALSE)/(LEN(VLOOKUP($D263,素材!$1:$1016,COLUMN($F$1),FALSE)) - LEN(SUBSTITUTE(VLOOKUP($D263,素材!$1:$1016,COLUMN($F$1),FALSE), "・", 0)) + 1), 0)</f>
        <v>0</v>
      </c>
      <c r="AR263">
        <f>IF(ISNUMBER(SEARCH(SUBSTITUTE(AR$1,RIGHT(AR$1,2),""),VLOOKUP($D263,素材!$1:$1016,COLUMN($F$1),FALSE))),VLOOKUP($C263,武器!$1:$998,COLUMN($O$1),FALSE)*VLOOKUP($D263,素材!$1:$1016,COLUMN($E$1),FALSE)/(LEN(VLOOKUP($D263,素材!$1:$1016,COLUMN($F$1),FALSE)) - LEN(SUBSTITUTE(VLOOKUP($D263,素材!$1:$1016,COLUMN($F$1),FALSE), "・", 0)) + 1), 0)</f>
        <v>0</v>
      </c>
      <c r="AS263">
        <f>IF(ISNUMBER(SEARCH(SUBSTITUTE(AS$1,RIGHT(AS$1,2),""),VLOOKUP($D263,素材!$1:$1016,COLUMN($F$1),FALSE))),VLOOKUP($C263,武器!$1:$998,COLUMN($O$1),FALSE)*VLOOKUP($D263,素材!$1:$1016,COLUMN($E$1),FALSE)/(LEN(VLOOKUP($D263,素材!$1:$1016,COLUMN($F$1),FALSE)) - LEN(SUBSTITUTE(VLOOKUP($D263,素材!$1:$1016,COLUMN($F$1),FALSE), "・", 0)) + 1), 0)</f>
        <v>0</v>
      </c>
      <c r="AT263">
        <f>IF(ISNUMBER(SEARCH(SUBSTITUTE(AT$1,RIGHT(AT$1,2),""),VLOOKUP($D263,素材!$1:$1016,COLUMN($F$1),FALSE))),VLOOKUP($C263,武器!$1:$998,COLUMN($O$1),FALSE)*VLOOKUP($D263,素材!$1:$1016,COLUMN($E$1),FALSE)/(LEN(VLOOKUP($D263,素材!$1:$1016,COLUMN($F$1),FALSE)) - LEN(SUBSTITUTE(VLOOKUP($D263,素材!$1:$1016,COLUMN($F$1),FALSE), "・", 0)) + 1), 0)</f>
        <v>0</v>
      </c>
      <c r="AU263">
        <f>IF(ISNUMBER(SEARCH(SUBSTITUTE(AU$1,RIGHT(AU$1,2),""),VLOOKUP($D263,素材!$1:$1016,COLUMN($F$1),FALSE))),VLOOKUP($C263,武器!$1:$998,COLUMN($O$1),FALSE)*VLOOKUP($D263,素材!$1:$1016,COLUMN($E$1),FALSE)/(LEN(VLOOKUP($D263,素材!$1:$1016,COLUMN($F$1),FALSE)) - LEN(SUBSTITUTE(VLOOKUP($D263,素材!$1:$1016,COLUMN($F$1),FALSE), "・", 0)) + 1), 0)</f>
        <v>0</v>
      </c>
      <c r="AV263">
        <f>IF(ISNUMBER(SEARCH(SUBSTITUTE(AV$1,RIGHT(AV$1,2),""),VLOOKUP($D263,素材!$1:$1016,COLUMN($F$1),FALSE))),VLOOKUP($C263,武器!$1:$998,COLUMN($O$1),FALSE)*VLOOKUP($D263,素材!$1:$1016,COLUMN($E$1),FALSE)/(LEN(VLOOKUP($D263,素材!$1:$1016,COLUMN($F$1),FALSE)) - LEN(SUBSTITUTE(VLOOKUP($D263,素材!$1:$1016,COLUMN($F$1),FALSE), "・", 0)) + 1), 0)</f>
        <v>0</v>
      </c>
      <c r="AW263">
        <f>IF(ISNUMBER(SEARCH(SUBSTITUTE(AW$1,RIGHT(AW$1,2),""),VLOOKUP($D263,素材!$1:$1016,COLUMN($F$1),FALSE))),VLOOKUP($C263,武器!$1:$998,COLUMN($O$1),FALSE)*VLOOKUP($D263,素材!$1:$1016,COLUMN($E$1),FALSE)/(LEN(VLOOKUP($D263,素材!$1:$1016,COLUMN($F$1),FALSE)) - LEN(SUBSTITUTE(VLOOKUP($D263,素材!$1:$1016,COLUMN($F$1),FALSE), "・", 0)) + 1), 0)</f>
        <v>0</v>
      </c>
      <c r="AX263">
        <f>IF(ISNUMBER(SEARCH(SUBSTITUTE(AX$1,RIGHT(AX$1,2),""),VLOOKUP($D263,素材!$1:$1016,COLUMN($F$1),FALSE))),VLOOKUP($C263,武器!$1:$998,COLUMN($O$1),FALSE)*VLOOKUP($D263,素材!$1:$1016,COLUMN($E$1),FALSE)/(LEN(VLOOKUP($D263,素材!$1:$1016,COLUMN($F$1),FALSE)) - LEN(SUBSTITUTE(VLOOKUP($D263,素材!$1:$1016,COLUMN($F$1),FALSE), "・", 0)) + 1), 0)</f>
        <v>0</v>
      </c>
      <c r="AY263">
        <f>IF(ISNUMBER(SEARCH(SUBSTITUTE(AY$1,RIGHT(AY$1,2),""),VLOOKUP($D263,素材!$1:$1016,COLUMN($F$1),FALSE))),VLOOKUP($C263,武器!$1:$998,COLUMN($O$1),FALSE)*VLOOKUP($D263,素材!$1:$1016,COLUMN($E$1),FALSE)/(LEN(VLOOKUP($D263,素材!$1:$1016,COLUMN($F$1),FALSE)) - LEN(SUBSTITUTE(VLOOKUP($D263,素材!$1:$1016,COLUMN($F$1),FALSE), "・", 0)) + 1), 0)</f>
        <v>0</v>
      </c>
      <c r="AZ263">
        <f>IF(ISNUMBER(SEARCH(SUBSTITUTE(AZ$1,RIGHT(AZ$1,2),""),VLOOKUP($D263,素材!$1:$1016,COLUMN($F$1),FALSE))),VLOOKUP($C263,武器!$1:$998,COLUMN($O$1),FALSE)*VLOOKUP($D263,素材!$1:$1016,COLUMN($E$1),FALSE)/(LEN(VLOOKUP($D263,素材!$1:$1016,COLUMN($F$1),FALSE)) - LEN(SUBSTITUTE(VLOOKUP($D263,素材!$1:$1016,COLUMN($F$1),FALSE), "・", 0)) + 1), 0)</f>
        <v>0</v>
      </c>
      <c r="BA263">
        <f>IF(ISNUMBER(SEARCH(SUBSTITUTE(BA$1,RIGHT(BA$1,2),""),VLOOKUP($D263,素材!$1:$1016,COLUMN($F$1),FALSE))),VLOOKUP($C263,武器!$1:$998,COLUMN($O$1),FALSE)*VLOOKUP($D263,素材!$1:$1016,COLUMN($E$1),FALSE)/(LEN(VLOOKUP($D263,素材!$1:$1016,COLUMN($F$1),FALSE)) - LEN(SUBSTITUTE(VLOOKUP($D263,素材!$1:$1016,COLUMN($F$1),FALSE), "・", 0)) + 1), 0)</f>
        <v>0</v>
      </c>
      <c r="BB263">
        <f>IF(ISNUMBER(SEARCH(SUBSTITUTE(BB$1,RIGHT(BB$1,2),""),VLOOKUP($D263,素材!$1:$1016,COLUMN($F$1),FALSE))),VLOOKUP($C263,武器!$1:$998,COLUMN($O$1),FALSE)*VLOOKUP($D263,素材!$1:$1016,COLUMN($E$1),FALSE)/(LEN(VLOOKUP($D263,素材!$1:$1016,COLUMN($F$1),FALSE)) - LEN(SUBSTITUTE(VLOOKUP($D263,素材!$1:$1016,COLUMN($F$1),FALSE), "・", 0)) + 1), 0)</f>
        <v>0</v>
      </c>
      <c r="BC263">
        <f>IF(ISNUMBER(SEARCH(SUBSTITUTE(BC$1,RIGHT(BC$1,2),""),VLOOKUP($D263,素材!$1:$1016,COLUMN($F$1),FALSE))),VLOOKUP($C263,武器!$1:$998,COLUMN($O$1),FALSE)*VLOOKUP($D263,素材!$1:$1016,COLUMN($E$1),FALSE)/(LEN(VLOOKUP($D263,素材!$1:$1016,COLUMN($F$1),FALSE)) - LEN(SUBSTITUTE(VLOOKUP($D263,素材!$1:$1016,COLUMN($F$1),FALSE), "・", 0)) + 1), 0)</f>
        <v>0</v>
      </c>
      <c r="BD263">
        <f>IF(ISNUMBER(SEARCH(SUBSTITUTE(BD$1,RIGHT(BD$1,2),""),VLOOKUP($D263,素材!$1:$1016,COLUMN($F$1),FALSE))),VLOOKUP($C263,武器!$1:$998,COLUMN($O$1),FALSE)*VLOOKUP($D263,素材!$1:$1016,COLUMN($E$1),FALSE)/(LEN(VLOOKUP($D263,素材!$1:$1016,COLUMN($F$1),FALSE)) - LEN(SUBSTITUTE(VLOOKUP($D263,素材!$1:$1016,COLUMN($F$1),FALSE), "・", 0)) + 1), 0)</f>
        <v>0</v>
      </c>
      <c r="BE263">
        <f>IF(ISNUMBER(SEARCH(SUBSTITUTE(BE$1,RIGHT(BE$1,2),""),VLOOKUP($D263,素材!$1:$1016,COLUMN($F$1),FALSE))),VLOOKUP($C263,武器!$1:$998,COLUMN($O$1),FALSE)*VLOOKUP($D263,素材!$1:$1016,COLUMN($E$1),FALSE)/(LEN(VLOOKUP($D263,素材!$1:$1016,COLUMN($F$1),FALSE)) - LEN(SUBSTITUTE(VLOOKUP($D263,素材!$1:$1016,COLUMN($F$1),FALSE), "・", 0)) + 1), 0)</f>
        <v>0</v>
      </c>
      <c r="CL263">
        <f>SUM(G263:I263)</f>
        <v>0</v>
      </c>
      <c r="CM263" s="22" t="str">
        <f>IF(E263="武器",IF(J263-1&gt;SUM(G263:I263),"盾",IF(MAX(G263:I263)=G263,"切断",IF(MAX(G263:I263)=H263,"貫通",IF(MAX(G263:I263)=I263,"打撃","射撃")))),E263)&amp;".webp"</f>
        <v>銃.webp</v>
      </c>
      <c r="CN263">
        <f>IFERROR(VLOOKUP($C263,武器!$1:$998,COLUMN(V$1),FALSE)*VLOOKUP($D263,素材!$1:$1016,COLUMN(N$1),FALSE)+IF(CI263="",0,VLOOKUP($CI263,装強!$1:$1008,COLUMN($CK$1),FALSE)),"")</f>
        <v>3000</v>
      </c>
      <c r="CO263">
        <f>VLOOKUP(D263,素材!$A:$O,COLUMN(素材!O$1),FALSE)</f>
        <v>0</v>
      </c>
      <c r="CP263" t="str">
        <f>VLOOKUP(C263,武器!$A:$W,COLUMN(武器!W$1),FALSE)</f>
        <v/>
      </c>
      <c r="CR263" t="str">
        <f t="shared" si="29"/>
        <v>e_263</v>
      </c>
      <c r="CS263">
        <f t="shared" si="30"/>
        <v>300000</v>
      </c>
    </row>
    <row r="264" spans="1:97" outlineLevel="1" x14ac:dyDescent="0.4">
      <c r="A264" t="str">
        <f t="shared" si="32"/>
        <v>熱鉄の面兜</v>
      </c>
      <c r="B264" t="str">
        <f>IFERROR(VLOOKUP($D264,素材!$1:$1016,COLUMN($B$1),FALSE)&amp;"・"&amp;VLOOKUP($C264,武器!$1:$998,COLUMN(B$1),FALSE),"")</f>
        <v>ヒートスティール・バイザーヘルム</v>
      </c>
      <c r="C264" t="s">
        <v>210</v>
      </c>
      <c r="D264" s="24" t="s">
        <v>1260</v>
      </c>
      <c r="E264" t="str">
        <f>IFERROR(VLOOKUP(C264,武器!$1:$998,COLUMN(C$1),FALSE),"")</f>
        <v>頭</v>
      </c>
      <c r="F264">
        <f>IFERROR(ROUNDDOWN((VLOOKUP($C264,武器!$1:$998,COLUMN(D$1),FALSE)+IFERROR(VLOOKUP($CI264,装強!$1:$999,COLUMN(F$1),FALSE),0))*VLOOKUP($D264,素材!$1:$1016,COLUMN(D$1),FALSE),0),"")</f>
        <v>0</v>
      </c>
      <c r="G264">
        <f>IFERROR(ROUNDDOWN((VLOOKUP($C264,武器!$1:$998,COLUMN(E$1),FALSE)+IFERROR(VLOOKUP($CI264,装強!$1:$999,COLUMN(G$1),FALSE),0))*VLOOKUP($D264,素材!$1:$1016,COLUMN($E$1),FALSE),0),"")</f>
        <v>0</v>
      </c>
      <c r="H264">
        <f>IFERROR(ROUNDDOWN((VLOOKUP($C264,武器!$1:$998,COLUMN(F$1),FALSE)+IFERROR(VLOOKUP($CI264,装強!$1:$999,COLUMN(H$1),FALSE),0))*VLOOKUP($D264,素材!$1:$1016,COLUMN($E$1),FALSE),0),"")</f>
        <v>0</v>
      </c>
      <c r="I264">
        <f>IFERROR(ROUNDDOWN((VLOOKUP($C264,武器!$1:$998,COLUMN(G$1),FALSE)+IFERROR(VLOOKUP($CI264,装強!$1:$999,COLUMN(I$1),FALSE),0))*VLOOKUP($D264,素材!$1:$1016,COLUMN($E$1),FALSE),0),"")</f>
        <v>17</v>
      </c>
      <c r="J264">
        <f>IFERROR(ROUNDDOWN((VLOOKUP($C264,武器!$1:$998,COLUMN(H$1),FALSE)+IFERROR(VLOOKUP($CI264,装強!$1:$999,COLUMN(J$1),FALSE),0))*VLOOKUP($D264,素材!$1:$1016,COLUMN($E$1),FALSE),0),"")</f>
        <v>0</v>
      </c>
      <c r="K264">
        <f>IFERROR(ROUNDDOWN((VLOOKUP($C264,武器!$1:$998,COLUMN(I$1),FALSE)+IFERROR(VLOOKUP($CI264,装強!$1:$999,COLUMN(K$1),FALSE),0))*VLOOKUP($D264,素材!$1:$1016,COLUMN($E$1),FALSE),0),"")</f>
        <v>0</v>
      </c>
      <c r="L264" t="str">
        <f>IFERROR(VLOOKUP($D264,素材!$1:$1016,COLUMN($F$1),FALSE),"")</f>
        <v>炎</v>
      </c>
      <c r="M264">
        <f>IFERROR(VLOOKUP($C264,武器!$1:$998,COLUMN(AA$1),FALSE)*VLOOKUP($D264,素材!$1:$1016,COLUMN($G$1),FALSE),"")</f>
        <v>0</v>
      </c>
      <c r="N264">
        <f>IFERROR(VLOOKUP($C264,武器!$1:$998,COLUMN(I$1),FALSE),"")</f>
        <v>0</v>
      </c>
      <c r="O264" s="23">
        <f>IFERROR((VLOOKUP($C264,武器!$1:$998,COLUMN(K$1),FALSE)+VLOOKUP($D264,素材!$1:$1016,COLUMN(H$1),FALSE))*100+IFERROR(VLOOKUP($CI264,装強!$1:$999,COLUMN(O$1),FALSE),0),"")</f>
        <v>5</v>
      </c>
      <c r="P264" s="23">
        <f>IFERROR((VLOOKUP($C264,武器!$1:$998,COLUMN(L$1),FALSE)+VLOOKUP($D264,素材!$1:$1016,COLUMN(I$1),FALSE))*100+IFERROR(VLOOKUP($CI264,装強!$1:$999,COLUMN(P$1),FALSE),0),"")</f>
        <v>125</v>
      </c>
      <c r="Q264">
        <f>IFERROR(ROUNDUP(VLOOKUP($C264,武器!$1:$998,COLUMN(M$1),FALSE)*(VLOOKUP($D264,素材!$1:$1002,COLUMN(D$1),FALSE)/100),1),"")</f>
        <v>-7.5</v>
      </c>
      <c r="R264">
        <f>IFERROR(ROUNDUP(VLOOKUP($C264,武器!$1:$998,COLUMN(N$1),FALSE)*(VLOOKUP($D264,素材!$1:$1002,COLUMN(D$1),FALSE)/100),1),"")</f>
        <v>0</v>
      </c>
      <c r="S264">
        <f>IFERROR(VLOOKUP($C264,武器!$1:$998,COLUMN(P$1),FALSE),"")</f>
        <v>0</v>
      </c>
      <c r="T264">
        <f>IFERROR(VLOOKUP($C264,武器!$1:$998,COLUMN(Q$1),FALSE),"")</f>
        <v>0</v>
      </c>
      <c r="U264">
        <f>IFERROR(VLOOKUP($C264,武器!$1:$998,COLUMN(R$1),FALSE),"")</f>
        <v>0</v>
      </c>
      <c r="V264">
        <f>IFERROR(VLOOKUP($C264,武器!$1:$998,COLUMN(Q$1),FALSE),"")</f>
        <v>0</v>
      </c>
      <c r="W264">
        <f>IFERROR(VLOOKUP($C264,武器!$1:$998,COLUMN(T$1),FALSE),"")</f>
        <v>0</v>
      </c>
      <c r="Y264">
        <f>IFERROR(VLOOKUP($C264,武器!$1:$998,COLUMN(U$1),FALSE),"")</f>
        <v>0</v>
      </c>
      <c r="Z264">
        <f>IFERROR(ROUNDUP(VLOOKUP($C264,武器!$1:$998,COLUMN(O$1),FALSE)*VLOOKUP($D264,素材!$1:$1016,COLUMN(E$1),FALSE),1),"")</f>
        <v>7</v>
      </c>
      <c r="AA264">
        <f>IF(ISNUMBER(SEARCH(SUBSTITUTE(AA$1,RIGHT(AA$1,2),""),VLOOKUP($D264,素材!$1:$1016,COLUMN($F$1),FALSE))),VLOOKUP($C264,武器!$1:$998,COLUMN($O$1),FALSE)*VLOOKUP($D264,素材!$1:$1016,COLUMN($E$1),FALSE)/(LEN(VLOOKUP($D264,素材!$1:$1016,COLUMN($F$1),FALSE)) - LEN(SUBSTITUTE(VLOOKUP($D264,素材!$1:$1016,COLUMN($F$1),FALSE), "・", 0)) + 1), 0)</f>
        <v>0</v>
      </c>
      <c r="AB264">
        <f>IF(ISNUMBER(SEARCH(SUBSTITUTE(AB$1,RIGHT(AB$1,2),""),VLOOKUP($D264,素材!$1:$1016,COLUMN($F$1),FALSE))),VLOOKUP($C264,武器!$1:$998,COLUMN($O$1),FALSE)*VLOOKUP($D264,素材!$1:$1016,COLUMN($E$1),FALSE)/(LEN(VLOOKUP($D264,素材!$1:$1016,COLUMN($F$1),FALSE)) - LEN(SUBSTITUTE(VLOOKUP($D264,素材!$1:$1016,COLUMN($F$1),FALSE), "・", 0)) + 1), 0)</f>
        <v>0</v>
      </c>
      <c r="AC264">
        <f>IF(ISNUMBER(SEARCH(SUBSTITUTE(AC$1,RIGHT(AC$1,2),""),VLOOKUP($D264,素材!$1:$1016,COLUMN($F$1),FALSE))),VLOOKUP($C264,武器!$1:$998,COLUMN($O$1),FALSE)*VLOOKUP($D264,素材!$1:$1016,COLUMN($E$1),FALSE)/(LEN(VLOOKUP($D264,素材!$1:$1016,COLUMN($F$1),FALSE)) - LEN(SUBSTITUTE(VLOOKUP($D264,素材!$1:$1016,COLUMN($F$1),FALSE), "・", 0)) + 1), 0)</f>
        <v>0</v>
      </c>
      <c r="AD264">
        <f>IF(ISNUMBER(SEARCH(SUBSTITUTE(AD$1,RIGHT(AD$1,2),""),VLOOKUP($D264,素材!$1:$1016,COLUMN($F$1),FALSE))),VLOOKUP($C264,武器!$1:$998,COLUMN($O$1),FALSE)*VLOOKUP($D264,素材!$1:$1016,COLUMN($E$1),FALSE)/(LEN(VLOOKUP($D264,素材!$1:$1016,COLUMN($F$1),FALSE)) - LEN(SUBSTITUTE(VLOOKUP($D264,素材!$1:$1016,COLUMN($F$1),FALSE), "・", 0)) + 1), 0)</f>
        <v>0</v>
      </c>
      <c r="AE264">
        <f>IF(ISNUMBER(SEARCH(SUBSTITUTE(AE$1,RIGHT(AE$1,2),""),VLOOKUP($D264,素材!$1:$1016,COLUMN($F$1),FALSE))),VLOOKUP($C264,武器!$1:$998,COLUMN($O$1),FALSE)*VLOOKUP($D264,素材!$1:$1016,COLUMN($E$1),FALSE)/(LEN(VLOOKUP($D264,素材!$1:$1016,COLUMN($F$1),FALSE)) - LEN(SUBSTITUTE(VLOOKUP($D264,素材!$1:$1016,COLUMN($F$1),FALSE), "・", 0)) + 1), 0)</f>
        <v>7</v>
      </c>
      <c r="AF264">
        <f>IF(ISNUMBER(SEARCH(SUBSTITUTE(AF$1,RIGHT(AF$1,2),""),VLOOKUP($D264,素材!$1:$1016,COLUMN($F$1),FALSE))),VLOOKUP($C264,武器!$1:$998,COLUMN($O$1),FALSE)*VLOOKUP($D264,素材!$1:$1016,COLUMN($E$1),FALSE)/(LEN(VLOOKUP($D264,素材!$1:$1016,COLUMN($F$1),FALSE)) - LEN(SUBSTITUTE(VLOOKUP($D264,素材!$1:$1016,COLUMN($F$1),FALSE), "・", 0)) + 1), 0)</f>
        <v>0</v>
      </c>
      <c r="AG264">
        <f>IF(ISNUMBER(SEARCH(SUBSTITUTE(AG$1,RIGHT(AG$1,2),""),VLOOKUP($D264,素材!$1:$1016,COLUMN($F$1),FALSE))),VLOOKUP($C264,武器!$1:$998,COLUMN($O$1),FALSE)*VLOOKUP($D264,素材!$1:$1016,COLUMN($E$1),FALSE)/(LEN(VLOOKUP($D264,素材!$1:$1016,COLUMN($F$1),FALSE)) - LEN(SUBSTITUTE(VLOOKUP($D264,素材!$1:$1016,COLUMN($F$1),FALSE), "・", 0)) + 1), 0)</f>
        <v>0</v>
      </c>
      <c r="AH264">
        <f>IF(ISNUMBER(SEARCH(SUBSTITUTE(AH$1,RIGHT(AH$1,2),""),VLOOKUP($D264,素材!$1:$1016,COLUMN($F$1),FALSE))),VLOOKUP($C264,武器!$1:$998,COLUMN($O$1),FALSE)*VLOOKUP($D264,素材!$1:$1016,COLUMN($E$1),FALSE)/(LEN(VLOOKUP($D264,素材!$1:$1016,COLUMN($F$1),FALSE)) - LEN(SUBSTITUTE(VLOOKUP($D264,素材!$1:$1016,COLUMN($F$1),FALSE), "・", 0)) + 1), 0)</f>
        <v>0</v>
      </c>
      <c r="AI264">
        <f>IF(ISNUMBER(SEARCH(SUBSTITUTE(AI$1,RIGHT(AI$1,2),""),VLOOKUP($D264,素材!$1:$1016,COLUMN($F$1),FALSE))),VLOOKUP($C264,武器!$1:$998,COLUMN($O$1),FALSE)*VLOOKUP($D264,素材!$1:$1016,COLUMN($E$1),FALSE)/(LEN(VLOOKUP($D264,素材!$1:$1016,COLUMN($F$1),FALSE)) - LEN(SUBSTITUTE(VLOOKUP($D264,素材!$1:$1016,COLUMN($F$1),FALSE), "・", 0)) + 1), 0)</f>
        <v>0</v>
      </c>
      <c r="AJ264">
        <f>IF(ISNUMBER(SEARCH(SUBSTITUTE(AJ$1,RIGHT(AJ$1,2),""),VLOOKUP($D264,素材!$1:$1016,COLUMN($F$1),FALSE))),VLOOKUP($C264,武器!$1:$998,COLUMN($O$1),FALSE)*VLOOKUP($D264,素材!$1:$1016,COLUMN($E$1),FALSE)/(LEN(VLOOKUP($D264,素材!$1:$1016,COLUMN($F$1),FALSE)) - LEN(SUBSTITUTE(VLOOKUP($D264,素材!$1:$1016,COLUMN($F$1),FALSE), "・", 0)) + 1), 0)</f>
        <v>0</v>
      </c>
      <c r="AK264">
        <f>IF(ISNUMBER(SEARCH(SUBSTITUTE(AK$1,RIGHT(AK$1,2),""),VLOOKUP($D264,素材!$1:$1016,COLUMN($F$1),FALSE))),VLOOKUP($C264,武器!$1:$998,COLUMN($O$1),FALSE)*VLOOKUP($D264,素材!$1:$1016,COLUMN($E$1),FALSE)/(LEN(VLOOKUP($D264,素材!$1:$1016,COLUMN($F$1),FALSE)) - LEN(SUBSTITUTE(VLOOKUP($D264,素材!$1:$1016,COLUMN($F$1),FALSE), "・", 0)) + 1), 0)</f>
        <v>0</v>
      </c>
      <c r="AL264">
        <f>IF(ISNUMBER(SEARCH(SUBSTITUTE(AL$1,RIGHT(AL$1,2),""),VLOOKUP($D264,素材!$1:$1016,COLUMN($F$1),FALSE))),VLOOKUP($C264,武器!$1:$998,COLUMN($O$1),FALSE)*VLOOKUP($D264,素材!$1:$1016,COLUMN($E$1),FALSE)/(LEN(VLOOKUP($D264,素材!$1:$1016,COLUMN($F$1),FALSE)) - LEN(SUBSTITUTE(VLOOKUP($D264,素材!$1:$1016,COLUMN($F$1),FALSE), "・", 0)) + 1), 0)</f>
        <v>0</v>
      </c>
      <c r="AM264">
        <f>IF(ISNUMBER(SEARCH(SUBSTITUTE(AM$1,RIGHT(AM$1,2),""),VLOOKUP($D264,素材!$1:$1016,COLUMN($F$1),FALSE))),VLOOKUP($C264,武器!$1:$998,COLUMN($O$1),FALSE)*VLOOKUP($D264,素材!$1:$1016,COLUMN($E$1),FALSE)/(LEN(VLOOKUP($D264,素材!$1:$1016,COLUMN($F$1),FALSE)) - LEN(SUBSTITUTE(VLOOKUP($D264,素材!$1:$1016,COLUMN($F$1),FALSE), "・", 0)) + 1), 0)</f>
        <v>0</v>
      </c>
      <c r="AN264">
        <f>IF(ISNUMBER(SEARCH(SUBSTITUTE(AN$1,RIGHT(AN$1,2),""),VLOOKUP($D264,素材!$1:$1016,COLUMN($F$1),FALSE))),VLOOKUP($C264,武器!$1:$998,COLUMN($O$1),FALSE)*VLOOKUP($D264,素材!$1:$1016,COLUMN($E$1),FALSE)/(LEN(VLOOKUP($D264,素材!$1:$1016,COLUMN($F$1),FALSE)) - LEN(SUBSTITUTE(VLOOKUP($D264,素材!$1:$1016,COLUMN($F$1),FALSE), "・", 0)) + 1), 0)</f>
        <v>0</v>
      </c>
      <c r="AO264">
        <f>IF(ISNUMBER(SEARCH(SUBSTITUTE(AO$1,RIGHT(AO$1,2),""),VLOOKUP($D264,素材!$1:$1016,COLUMN($F$1),FALSE))),VLOOKUP($C264,武器!$1:$998,COLUMN($O$1),FALSE)*VLOOKUP($D264,素材!$1:$1016,COLUMN($E$1),FALSE)/(LEN(VLOOKUP($D264,素材!$1:$1016,COLUMN($F$1),FALSE)) - LEN(SUBSTITUTE(VLOOKUP($D264,素材!$1:$1016,COLUMN($F$1),FALSE), "・", 0)) + 1), 0)</f>
        <v>0</v>
      </c>
      <c r="AP264">
        <f>IF(ISNUMBER(SEARCH(SUBSTITUTE(AP$1,RIGHT(AP$1,2),""),VLOOKUP($D264,素材!$1:$1016,COLUMN($F$1),FALSE))),VLOOKUP($C264,武器!$1:$998,COLUMN($O$1),FALSE)*VLOOKUP($D264,素材!$1:$1016,COLUMN($E$1),FALSE)/(LEN(VLOOKUP($D264,素材!$1:$1016,COLUMN($F$1),FALSE)) - LEN(SUBSTITUTE(VLOOKUP($D264,素材!$1:$1016,COLUMN($F$1),FALSE), "・", 0)) + 1), 0)</f>
        <v>0</v>
      </c>
      <c r="AQ264">
        <f>IF(ISNUMBER(SEARCH(SUBSTITUTE(AQ$1,RIGHT(AQ$1,2),""),VLOOKUP($D264,素材!$1:$1016,COLUMN($F$1),FALSE))),VLOOKUP($C264,武器!$1:$998,COLUMN($O$1),FALSE)*VLOOKUP($D264,素材!$1:$1016,COLUMN($E$1),FALSE)/(LEN(VLOOKUP($D264,素材!$1:$1016,COLUMN($F$1),FALSE)) - LEN(SUBSTITUTE(VLOOKUP($D264,素材!$1:$1016,COLUMN($F$1),FALSE), "・", 0)) + 1), 0)</f>
        <v>0</v>
      </c>
      <c r="AR264">
        <f>IF(ISNUMBER(SEARCH(SUBSTITUTE(AR$1,RIGHT(AR$1,2),""),VLOOKUP($D264,素材!$1:$1016,COLUMN($F$1),FALSE))),VLOOKUP($C264,武器!$1:$998,COLUMN($O$1),FALSE)*VLOOKUP($D264,素材!$1:$1016,COLUMN($E$1),FALSE)/(LEN(VLOOKUP($D264,素材!$1:$1016,COLUMN($F$1),FALSE)) - LEN(SUBSTITUTE(VLOOKUP($D264,素材!$1:$1016,COLUMN($F$1),FALSE), "・", 0)) + 1), 0)</f>
        <v>0</v>
      </c>
      <c r="AS264">
        <f>IF(ISNUMBER(SEARCH(SUBSTITUTE(AS$1,RIGHT(AS$1,2),""),VLOOKUP($D264,素材!$1:$1016,COLUMN($F$1),FALSE))),VLOOKUP($C264,武器!$1:$998,COLUMN($O$1),FALSE)*VLOOKUP($D264,素材!$1:$1016,COLUMN($E$1),FALSE)/(LEN(VLOOKUP($D264,素材!$1:$1016,COLUMN($F$1),FALSE)) - LEN(SUBSTITUTE(VLOOKUP($D264,素材!$1:$1016,COLUMN($F$1),FALSE), "・", 0)) + 1), 0)</f>
        <v>0</v>
      </c>
      <c r="AT264">
        <f>IF(ISNUMBER(SEARCH(SUBSTITUTE(AT$1,RIGHT(AT$1,2),""),VLOOKUP($D264,素材!$1:$1016,COLUMN($F$1),FALSE))),VLOOKUP($C264,武器!$1:$998,COLUMN($O$1),FALSE)*VLOOKUP($D264,素材!$1:$1016,COLUMN($E$1),FALSE)/(LEN(VLOOKUP($D264,素材!$1:$1016,COLUMN($F$1),FALSE)) - LEN(SUBSTITUTE(VLOOKUP($D264,素材!$1:$1016,COLUMN($F$1),FALSE), "・", 0)) + 1), 0)</f>
        <v>0</v>
      </c>
      <c r="AU264">
        <f>IF(ISNUMBER(SEARCH(SUBSTITUTE(AU$1,RIGHT(AU$1,2),""),VLOOKUP($D264,素材!$1:$1016,COLUMN($F$1),FALSE))),VLOOKUP($C264,武器!$1:$998,COLUMN($O$1),FALSE)*VLOOKUP($D264,素材!$1:$1016,COLUMN($E$1),FALSE)/(LEN(VLOOKUP($D264,素材!$1:$1016,COLUMN($F$1),FALSE)) - LEN(SUBSTITUTE(VLOOKUP($D264,素材!$1:$1016,COLUMN($F$1),FALSE), "・", 0)) + 1), 0)</f>
        <v>0</v>
      </c>
      <c r="AV264">
        <f>IF(ISNUMBER(SEARCH(SUBSTITUTE(AV$1,RIGHT(AV$1,2),""),VLOOKUP($D264,素材!$1:$1016,COLUMN($F$1),FALSE))),VLOOKUP($C264,武器!$1:$998,COLUMN($O$1),FALSE)*VLOOKUP($D264,素材!$1:$1016,COLUMN($E$1),FALSE)/(LEN(VLOOKUP($D264,素材!$1:$1016,COLUMN($F$1),FALSE)) - LEN(SUBSTITUTE(VLOOKUP($D264,素材!$1:$1016,COLUMN($F$1),FALSE), "・", 0)) + 1), 0)</f>
        <v>0</v>
      </c>
      <c r="AW264">
        <f>IF(ISNUMBER(SEARCH(SUBSTITUTE(AW$1,RIGHT(AW$1,2),""),VLOOKUP($D264,素材!$1:$1016,COLUMN($F$1),FALSE))),VLOOKUP($C264,武器!$1:$998,COLUMN($O$1),FALSE)*VLOOKUP($D264,素材!$1:$1016,COLUMN($E$1),FALSE)/(LEN(VLOOKUP($D264,素材!$1:$1016,COLUMN($F$1),FALSE)) - LEN(SUBSTITUTE(VLOOKUP($D264,素材!$1:$1016,COLUMN($F$1),FALSE), "・", 0)) + 1), 0)</f>
        <v>0</v>
      </c>
      <c r="AX264">
        <f>IF(ISNUMBER(SEARCH(SUBSTITUTE(AX$1,RIGHT(AX$1,2),""),VLOOKUP($D264,素材!$1:$1016,COLUMN($F$1),FALSE))),VLOOKUP($C264,武器!$1:$998,COLUMN($O$1),FALSE)*VLOOKUP($D264,素材!$1:$1016,COLUMN($E$1),FALSE)/(LEN(VLOOKUP($D264,素材!$1:$1016,COLUMN($F$1),FALSE)) - LEN(SUBSTITUTE(VLOOKUP($D264,素材!$1:$1016,COLUMN($F$1),FALSE), "・", 0)) + 1), 0)</f>
        <v>0</v>
      </c>
      <c r="AY264">
        <f>IF(ISNUMBER(SEARCH(SUBSTITUTE(AY$1,RIGHT(AY$1,2),""),VLOOKUP($D264,素材!$1:$1016,COLUMN($F$1),FALSE))),VLOOKUP($C264,武器!$1:$998,COLUMN($O$1),FALSE)*VLOOKUP($D264,素材!$1:$1016,COLUMN($E$1),FALSE)/(LEN(VLOOKUP($D264,素材!$1:$1016,COLUMN($F$1),FALSE)) - LEN(SUBSTITUTE(VLOOKUP($D264,素材!$1:$1016,COLUMN($F$1),FALSE), "・", 0)) + 1), 0)</f>
        <v>0</v>
      </c>
      <c r="AZ264">
        <f>IF(ISNUMBER(SEARCH(SUBSTITUTE(AZ$1,RIGHT(AZ$1,2),""),VLOOKUP($D264,素材!$1:$1016,COLUMN($F$1),FALSE))),VLOOKUP($C264,武器!$1:$998,COLUMN($O$1),FALSE)*VLOOKUP($D264,素材!$1:$1016,COLUMN($E$1),FALSE)/(LEN(VLOOKUP($D264,素材!$1:$1016,COLUMN($F$1),FALSE)) - LEN(SUBSTITUTE(VLOOKUP($D264,素材!$1:$1016,COLUMN($F$1),FALSE), "・", 0)) + 1), 0)</f>
        <v>0</v>
      </c>
      <c r="BA264">
        <f>IF(ISNUMBER(SEARCH(SUBSTITUTE(BA$1,RIGHT(BA$1,2),""),VLOOKUP($D264,素材!$1:$1016,COLUMN($F$1),FALSE))),VLOOKUP($C264,武器!$1:$998,COLUMN($O$1),FALSE)*VLOOKUP($D264,素材!$1:$1016,COLUMN($E$1),FALSE)/(LEN(VLOOKUP($D264,素材!$1:$1016,COLUMN($F$1),FALSE)) - LEN(SUBSTITUTE(VLOOKUP($D264,素材!$1:$1016,COLUMN($F$1),FALSE), "・", 0)) + 1), 0)</f>
        <v>0</v>
      </c>
      <c r="BB264">
        <f>IF(ISNUMBER(SEARCH(SUBSTITUTE(BB$1,RIGHT(BB$1,2),""),VLOOKUP($D264,素材!$1:$1016,COLUMN($F$1),FALSE))),VLOOKUP($C264,武器!$1:$998,COLUMN($O$1),FALSE)*VLOOKUP($D264,素材!$1:$1016,COLUMN($E$1),FALSE)/(LEN(VLOOKUP($D264,素材!$1:$1016,COLUMN($F$1),FALSE)) - LEN(SUBSTITUTE(VLOOKUP($D264,素材!$1:$1016,COLUMN($F$1),FALSE), "・", 0)) + 1), 0)</f>
        <v>0</v>
      </c>
      <c r="BC264">
        <f>IF(ISNUMBER(SEARCH(SUBSTITUTE(BC$1,RIGHT(BC$1,2),""),VLOOKUP($D264,素材!$1:$1016,COLUMN($F$1),FALSE))),VLOOKUP($C264,武器!$1:$998,COLUMN($O$1),FALSE)*VLOOKUP($D264,素材!$1:$1016,COLUMN($E$1),FALSE)/(LEN(VLOOKUP($D264,素材!$1:$1016,COLUMN($F$1),FALSE)) - LEN(SUBSTITUTE(VLOOKUP($D264,素材!$1:$1016,COLUMN($F$1),FALSE), "・", 0)) + 1), 0)</f>
        <v>0</v>
      </c>
      <c r="BD264">
        <f>IF(ISNUMBER(SEARCH(SUBSTITUTE(BD$1,RIGHT(BD$1,2),""),VLOOKUP($D264,素材!$1:$1016,COLUMN($F$1),FALSE))),VLOOKUP($C264,武器!$1:$998,COLUMN($O$1),FALSE)*VLOOKUP($D264,素材!$1:$1016,COLUMN($E$1),FALSE)/(LEN(VLOOKUP($D264,素材!$1:$1016,COLUMN($F$1),FALSE)) - LEN(SUBSTITUTE(VLOOKUP($D264,素材!$1:$1016,COLUMN($F$1),FALSE), "・", 0)) + 1), 0)</f>
        <v>0</v>
      </c>
      <c r="BE264">
        <f>IF(ISNUMBER(SEARCH(SUBSTITUTE(BE$1,RIGHT(BE$1,2),""),VLOOKUP($D264,素材!$1:$1016,COLUMN($F$1),FALSE))),VLOOKUP($C264,武器!$1:$998,COLUMN($O$1),FALSE)*VLOOKUP($D264,素材!$1:$1016,COLUMN($E$1),FALSE)/(LEN(VLOOKUP($D264,素材!$1:$1016,COLUMN($F$1),FALSE)) - LEN(SUBSTITUTE(VLOOKUP($D264,素材!$1:$1016,COLUMN($F$1),FALSE), "・", 0)) + 1), 0)</f>
        <v>0</v>
      </c>
      <c r="CL264">
        <f>SUM(G264:I264)</f>
        <v>17</v>
      </c>
      <c r="CM264" s="22" t="str">
        <f>IF(E264="武器",IF(J264-1&gt;SUM(G264:I264),"盾",IF(MAX(G264:I264)=G264,"切断",IF(MAX(G264:I264)=H264,"貫通",IF(MAX(G264:I264)=I264,"打撃","射撃")))),E264)&amp;".webp"</f>
        <v>頭.webp</v>
      </c>
      <c r="CN264">
        <f>IFERROR(VLOOKUP($C264,武器!$1:$998,COLUMN(V$1),FALSE)*VLOOKUP($D264,素材!$1:$1016,COLUMN(N$1),FALSE)+IF(CI264="",0,VLOOKUP($CI264,装強!$1:$1008,COLUMN($CK$1),FALSE)),"")</f>
        <v>3000</v>
      </c>
      <c r="CO264">
        <f>VLOOKUP(D264,素材!$A:$O,COLUMN(素材!O$1),FALSE)</f>
        <v>0</v>
      </c>
      <c r="CP264" t="str">
        <f>VLOOKUP(C264,武器!$A:$W,COLUMN(武器!W$1),FALSE)</f>
        <v>命中 魔防 Cr</v>
      </c>
      <c r="CR264" t="str">
        <f t="shared" si="29"/>
        <v>e_264</v>
      </c>
      <c r="CS264">
        <f t="shared" si="30"/>
        <v>300000</v>
      </c>
    </row>
    <row r="265" spans="1:97" outlineLevel="1" x14ac:dyDescent="0.4">
      <c r="A265" t="str">
        <f t="shared" si="32"/>
        <v>熱鉄の兜</v>
      </c>
      <c r="B265" t="str">
        <f>IFERROR(VLOOKUP($D265,素材!$1:$1016,COLUMN($B$1),FALSE)&amp;"・"&amp;VLOOKUP($C265,武器!$1:$998,COLUMN(B$1),FALSE),"")</f>
        <v>ヒートスティール・ヘルム</v>
      </c>
      <c r="C265" t="s">
        <v>209</v>
      </c>
      <c r="D265" s="24" t="s">
        <v>205</v>
      </c>
      <c r="E265" t="str">
        <f>IFERROR(VLOOKUP(C265,武器!$1:$998,COLUMN(C$1),FALSE),"")</f>
        <v>頭</v>
      </c>
      <c r="F265">
        <f>IFERROR(ROUNDDOWN((VLOOKUP($C265,武器!$1:$998,COLUMN(D$1),FALSE)+IFERROR(VLOOKUP($CI265,装強!$1:$999,COLUMN(F$1),FALSE),0))*VLOOKUP($D265,素材!$1:$1016,COLUMN(D$1),FALSE),0),"")</f>
        <v>0</v>
      </c>
      <c r="G265">
        <f>IFERROR(ROUNDDOWN((VLOOKUP($C265,武器!$1:$998,COLUMN(E$1),FALSE)+IFERROR(VLOOKUP($CI265,装強!$1:$999,COLUMN(G$1),FALSE),0))*VLOOKUP($D265,素材!$1:$1016,COLUMN($E$1),FALSE),0),"")</f>
        <v>0</v>
      </c>
      <c r="H265">
        <f>IFERROR(ROUNDDOWN((VLOOKUP($C265,武器!$1:$998,COLUMN(F$1),FALSE)+IFERROR(VLOOKUP($CI265,装強!$1:$999,COLUMN(H$1),FALSE),0))*VLOOKUP($D265,素材!$1:$1016,COLUMN($E$1),FALSE),0),"")</f>
        <v>0</v>
      </c>
      <c r="I265">
        <f>IFERROR(ROUNDDOWN((VLOOKUP($C265,武器!$1:$998,COLUMN(G$1),FALSE)+IFERROR(VLOOKUP($CI265,装強!$1:$999,COLUMN(I$1),FALSE),0))*VLOOKUP($D265,素材!$1:$1016,COLUMN($E$1),FALSE),0),"")</f>
        <v>17</v>
      </c>
      <c r="J265">
        <f>IFERROR(ROUNDDOWN((VLOOKUP($C265,武器!$1:$998,COLUMN(H$1),FALSE)+IFERROR(VLOOKUP($CI265,装強!$1:$999,COLUMN(J$1),FALSE),0))*VLOOKUP($D265,素材!$1:$1016,COLUMN($E$1),FALSE),0),"")</f>
        <v>0</v>
      </c>
      <c r="K265">
        <f>IFERROR(ROUNDDOWN((VLOOKUP($C265,武器!$1:$998,COLUMN(I$1),FALSE)+IFERROR(VLOOKUP($CI265,装強!$1:$999,COLUMN(K$1),FALSE),0))*VLOOKUP($D265,素材!$1:$1016,COLUMN($E$1),FALSE),0),"")</f>
        <v>0</v>
      </c>
      <c r="L265" t="str">
        <f>IFERROR(VLOOKUP($D265,素材!$1:$1016,COLUMN($F$1),FALSE),"")</f>
        <v>炎</v>
      </c>
      <c r="M265">
        <f>IFERROR(VLOOKUP($C265,武器!$1:$998,COLUMN(AA$1),FALSE)*VLOOKUP($D265,素材!$1:$1016,COLUMN($G$1),FALSE),"")</f>
        <v>0</v>
      </c>
      <c r="N265">
        <f>IFERROR(VLOOKUP($C265,武器!$1:$998,COLUMN(I$1),FALSE),"")</f>
        <v>0</v>
      </c>
      <c r="O265" s="23">
        <f>IFERROR((VLOOKUP($C265,武器!$1:$998,COLUMN(K$1),FALSE)+VLOOKUP($D265,素材!$1:$1016,COLUMN(H$1),FALSE))*100+IFERROR(VLOOKUP($CI265,装強!$1:$999,COLUMN(O$1),FALSE),0),"")</f>
        <v>5</v>
      </c>
      <c r="P265" s="23">
        <f>IFERROR((VLOOKUP($C265,武器!$1:$998,COLUMN(L$1),FALSE)+VLOOKUP($D265,素材!$1:$1016,COLUMN(I$1),FALSE))*100+IFERROR(VLOOKUP($CI265,装強!$1:$999,COLUMN(P$1),FALSE),0),"")</f>
        <v>125</v>
      </c>
      <c r="Q265">
        <f>IFERROR(ROUNDUP(VLOOKUP($C265,武器!$1:$998,COLUMN(M$1),FALSE)*(VLOOKUP($D265,素材!$1:$1002,COLUMN(D$1),FALSE)/100),1),"")</f>
        <v>-5</v>
      </c>
      <c r="R265">
        <f>IFERROR(ROUNDUP(VLOOKUP($C265,武器!$1:$998,COLUMN(N$1),FALSE)*(VLOOKUP($D265,素材!$1:$1002,COLUMN(D$1),FALSE)/100),1),"")</f>
        <v>0</v>
      </c>
      <c r="S265">
        <f>IFERROR(VLOOKUP($C265,武器!$1:$998,COLUMN(P$1),FALSE),"")</f>
        <v>0</v>
      </c>
      <c r="T265">
        <f>IFERROR(VLOOKUP($C265,武器!$1:$998,COLUMN(Q$1),FALSE),"")</f>
        <v>0</v>
      </c>
      <c r="U265">
        <f>IFERROR(VLOOKUP($C265,武器!$1:$998,COLUMN(R$1),FALSE),"")</f>
        <v>0</v>
      </c>
      <c r="V265">
        <f>IFERROR(VLOOKUP($C265,武器!$1:$998,COLUMN(Q$1),FALSE),"")</f>
        <v>0</v>
      </c>
      <c r="W265">
        <f>IFERROR(VLOOKUP($C265,武器!$1:$998,COLUMN(T$1),FALSE),"")</f>
        <v>0</v>
      </c>
      <c r="Y265">
        <f>IFERROR(VLOOKUP($C265,武器!$1:$998,COLUMN(U$1),FALSE),"")</f>
        <v>0</v>
      </c>
      <c r="Z265">
        <f>IFERROR(ROUNDUP(VLOOKUP($C265,武器!$1:$998,COLUMN(O$1),FALSE)*VLOOKUP($D265,素材!$1:$1016,COLUMN(E$1),FALSE),1),"")</f>
        <v>4</v>
      </c>
      <c r="AA265">
        <f>IF(ISNUMBER(SEARCH(SUBSTITUTE(AA$1,RIGHT(AA$1,2),""),VLOOKUP($D265,素材!$1:$1016,COLUMN($F$1),FALSE))),VLOOKUP($C265,武器!$1:$998,COLUMN($O$1),FALSE)*VLOOKUP($D265,素材!$1:$1016,COLUMN($E$1),FALSE)/(LEN(VLOOKUP($D265,素材!$1:$1016,COLUMN($F$1),FALSE)) - LEN(SUBSTITUTE(VLOOKUP($D265,素材!$1:$1016,COLUMN($F$1),FALSE), "・", 0)) + 1), 0)</f>
        <v>0</v>
      </c>
      <c r="AB265">
        <f>IF(ISNUMBER(SEARCH(SUBSTITUTE(AB$1,RIGHT(AB$1,2),""),VLOOKUP($D265,素材!$1:$1016,COLUMN($F$1),FALSE))),VLOOKUP($C265,武器!$1:$998,COLUMN($O$1),FALSE)*VLOOKUP($D265,素材!$1:$1016,COLUMN($E$1),FALSE)/(LEN(VLOOKUP($D265,素材!$1:$1016,COLUMN($F$1),FALSE)) - LEN(SUBSTITUTE(VLOOKUP($D265,素材!$1:$1016,COLUMN($F$1),FALSE), "・", 0)) + 1), 0)</f>
        <v>0</v>
      </c>
      <c r="AC265">
        <f>IF(ISNUMBER(SEARCH(SUBSTITUTE(AC$1,RIGHT(AC$1,2),""),VLOOKUP($D265,素材!$1:$1016,COLUMN($F$1),FALSE))),VLOOKUP($C265,武器!$1:$998,COLUMN($O$1),FALSE)*VLOOKUP($D265,素材!$1:$1016,COLUMN($E$1),FALSE)/(LEN(VLOOKUP($D265,素材!$1:$1016,COLUMN($F$1),FALSE)) - LEN(SUBSTITUTE(VLOOKUP($D265,素材!$1:$1016,COLUMN($F$1),FALSE), "・", 0)) + 1), 0)</f>
        <v>0</v>
      </c>
      <c r="AD265">
        <f>IF(ISNUMBER(SEARCH(SUBSTITUTE(AD$1,RIGHT(AD$1,2),""),VLOOKUP($D265,素材!$1:$1016,COLUMN($F$1),FALSE))),VLOOKUP($C265,武器!$1:$998,COLUMN($O$1),FALSE)*VLOOKUP($D265,素材!$1:$1016,COLUMN($E$1),FALSE)/(LEN(VLOOKUP($D265,素材!$1:$1016,COLUMN($F$1),FALSE)) - LEN(SUBSTITUTE(VLOOKUP($D265,素材!$1:$1016,COLUMN($F$1),FALSE), "・", 0)) + 1), 0)</f>
        <v>0</v>
      </c>
      <c r="AE265">
        <f>IF(ISNUMBER(SEARCH(SUBSTITUTE(AE$1,RIGHT(AE$1,2),""),VLOOKUP($D265,素材!$1:$1016,COLUMN($F$1),FALSE))),VLOOKUP($C265,武器!$1:$998,COLUMN($O$1),FALSE)*VLOOKUP($D265,素材!$1:$1016,COLUMN($E$1),FALSE)/(LEN(VLOOKUP($D265,素材!$1:$1016,COLUMN($F$1),FALSE)) - LEN(SUBSTITUTE(VLOOKUP($D265,素材!$1:$1016,COLUMN($F$1),FALSE), "・", 0)) + 1), 0)</f>
        <v>4</v>
      </c>
      <c r="AF265">
        <f>IF(ISNUMBER(SEARCH(SUBSTITUTE(AF$1,RIGHT(AF$1,2),""),VLOOKUP($D265,素材!$1:$1016,COLUMN($F$1),FALSE))),VLOOKUP($C265,武器!$1:$998,COLUMN($O$1),FALSE)*VLOOKUP($D265,素材!$1:$1016,COLUMN($E$1),FALSE)/(LEN(VLOOKUP($D265,素材!$1:$1016,COLUMN($F$1),FALSE)) - LEN(SUBSTITUTE(VLOOKUP($D265,素材!$1:$1016,COLUMN($F$1),FALSE), "・", 0)) + 1), 0)</f>
        <v>0</v>
      </c>
      <c r="AG265">
        <f>IF(ISNUMBER(SEARCH(SUBSTITUTE(AG$1,RIGHT(AG$1,2),""),VLOOKUP($D265,素材!$1:$1016,COLUMN($F$1),FALSE))),VLOOKUP($C265,武器!$1:$998,COLUMN($O$1),FALSE)*VLOOKUP($D265,素材!$1:$1016,COLUMN($E$1),FALSE)/(LEN(VLOOKUP($D265,素材!$1:$1016,COLUMN($F$1),FALSE)) - LEN(SUBSTITUTE(VLOOKUP($D265,素材!$1:$1016,COLUMN($F$1),FALSE), "・", 0)) + 1), 0)</f>
        <v>0</v>
      </c>
      <c r="AH265">
        <f>IF(ISNUMBER(SEARCH(SUBSTITUTE(AH$1,RIGHT(AH$1,2),""),VLOOKUP($D265,素材!$1:$1016,COLUMN($F$1),FALSE))),VLOOKUP($C265,武器!$1:$998,COLUMN($O$1),FALSE)*VLOOKUP($D265,素材!$1:$1016,COLUMN($E$1),FALSE)/(LEN(VLOOKUP($D265,素材!$1:$1016,COLUMN($F$1),FALSE)) - LEN(SUBSTITUTE(VLOOKUP($D265,素材!$1:$1016,COLUMN($F$1),FALSE), "・", 0)) + 1), 0)</f>
        <v>0</v>
      </c>
      <c r="AI265">
        <f>IF(ISNUMBER(SEARCH(SUBSTITUTE(AI$1,RIGHT(AI$1,2),""),VLOOKUP($D265,素材!$1:$1016,COLUMN($F$1),FALSE))),VLOOKUP($C265,武器!$1:$998,COLUMN($O$1),FALSE)*VLOOKUP($D265,素材!$1:$1016,COLUMN($E$1),FALSE)/(LEN(VLOOKUP($D265,素材!$1:$1016,COLUMN($F$1),FALSE)) - LEN(SUBSTITUTE(VLOOKUP($D265,素材!$1:$1016,COLUMN($F$1),FALSE), "・", 0)) + 1), 0)</f>
        <v>0</v>
      </c>
      <c r="AJ265">
        <f>IF(ISNUMBER(SEARCH(SUBSTITUTE(AJ$1,RIGHT(AJ$1,2),""),VLOOKUP($D265,素材!$1:$1016,COLUMN($F$1),FALSE))),VLOOKUP($C265,武器!$1:$998,COLUMN($O$1),FALSE)*VLOOKUP($D265,素材!$1:$1016,COLUMN($E$1),FALSE)/(LEN(VLOOKUP($D265,素材!$1:$1016,COLUMN($F$1),FALSE)) - LEN(SUBSTITUTE(VLOOKUP($D265,素材!$1:$1016,COLUMN($F$1),FALSE), "・", 0)) + 1), 0)</f>
        <v>0</v>
      </c>
      <c r="AK265">
        <f>IF(ISNUMBER(SEARCH(SUBSTITUTE(AK$1,RIGHT(AK$1,2),""),VLOOKUP($D265,素材!$1:$1016,COLUMN($F$1),FALSE))),VLOOKUP($C265,武器!$1:$998,COLUMN($O$1),FALSE)*VLOOKUP($D265,素材!$1:$1016,COLUMN($E$1),FALSE)/(LEN(VLOOKUP($D265,素材!$1:$1016,COLUMN($F$1),FALSE)) - LEN(SUBSTITUTE(VLOOKUP($D265,素材!$1:$1016,COLUMN($F$1),FALSE), "・", 0)) + 1), 0)</f>
        <v>0</v>
      </c>
      <c r="AL265">
        <f>IF(ISNUMBER(SEARCH(SUBSTITUTE(AL$1,RIGHT(AL$1,2),""),VLOOKUP($D265,素材!$1:$1016,COLUMN($F$1),FALSE))),VLOOKUP($C265,武器!$1:$998,COLUMN($O$1),FALSE)*VLOOKUP($D265,素材!$1:$1016,COLUMN($E$1),FALSE)/(LEN(VLOOKUP($D265,素材!$1:$1016,COLUMN($F$1),FALSE)) - LEN(SUBSTITUTE(VLOOKUP($D265,素材!$1:$1016,COLUMN($F$1),FALSE), "・", 0)) + 1), 0)</f>
        <v>0</v>
      </c>
      <c r="AM265">
        <f>IF(ISNUMBER(SEARCH(SUBSTITUTE(AM$1,RIGHT(AM$1,2),""),VLOOKUP($D265,素材!$1:$1016,COLUMN($F$1),FALSE))),VLOOKUP($C265,武器!$1:$998,COLUMN($O$1),FALSE)*VLOOKUP($D265,素材!$1:$1016,COLUMN($E$1),FALSE)/(LEN(VLOOKUP($D265,素材!$1:$1016,COLUMN($F$1),FALSE)) - LEN(SUBSTITUTE(VLOOKUP($D265,素材!$1:$1016,COLUMN($F$1),FALSE), "・", 0)) + 1), 0)</f>
        <v>0</v>
      </c>
      <c r="AN265">
        <f>IF(ISNUMBER(SEARCH(SUBSTITUTE(AN$1,RIGHT(AN$1,2),""),VLOOKUP($D265,素材!$1:$1016,COLUMN($F$1),FALSE))),VLOOKUP($C265,武器!$1:$998,COLUMN($O$1),FALSE)*VLOOKUP($D265,素材!$1:$1016,COLUMN($E$1),FALSE)/(LEN(VLOOKUP($D265,素材!$1:$1016,COLUMN($F$1),FALSE)) - LEN(SUBSTITUTE(VLOOKUP($D265,素材!$1:$1016,COLUMN($F$1),FALSE), "・", 0)) + 1), 0)</f>
        <v>0</v>
      </c>
      <c r="AO265">
        <f>IF(ISNUMBER(SEARCH(SUBSTITUTE(AO$1,RIGHT(AO$1,2),""),VLOOKUP($D265,素材!$1:$1016,COLUMN($F$1),FALSE))),VLOOKUP($C265,武器!$1:$998,COLUMN($O$1),FALSE)*VLOOKUP($D265,素材!$1:$1016,COLUMN($E$1),FALSE)/(LEN(VLOOKUP($D265,素材!$1:$1016,COLUMN($F$1),FALSE)) - LEN(SUBSTITUTE(VLOOKUP($D265,素材!$1:$1016,COLUMN($F$1),FALSE), "・", 0)) + 1), 0)</f>
        <v>0</v>
      </c>
      <c r="AP265">
        <f>IF(ISNUMBER(SEARCH(SUBSTITUTE(AP$1,RIGHT(AP$1,2),""),VLOOKUP($D265,素材!$1:$1016,COLUMN($F$1),FALSE))),VLOOKUP($C265,武器!$1:$998,COLUMN($O$1),FALSE)*VLOOKUP($D265,素材!$1:$1016,COLUMN($E$1),FALSE)/(LEN(VLOOKUP($D265,素材!$1:$1016,COLUMN($F$1),FALSE)) - LEN(SUBSTITUTE(VLOOKUP($D265,素材!$1:$1016,COLUMN($F$1),FALSE), "・", 0)) + 1), 0)</f>
        <v>0</v>
      </c>
      <c r="AQ265">
        <f>IF(ISNUMBER(SEARCH(SUBSTITUTE(AQ$1,RIGHT(AQ$1,2),""),VLOOKUP($D265,素材!$1:$1016,COLUMN($F$1),FALSE))),VLOOKUP($C265,武器!$1:$998,COLUMN($O$1),FALSE)*VLOOKUP($D265,素材!$1:$1016,COLUMN($E$1),FALSE)/(LEN(VLOOKUP($D265,素材!$1:$1016,COLUMN($F$1),FALSE)) - LEN(SUBSTITUTE(VLOOKUP($D265,素材!$1:$1016,COLUMN($F$1),FALSE), "・", 0)) + 1), 0)</f>
        <v>0</v>
      </c>
      <c r="AR265">
        <f>IF(ISNUMBER(SEARCH(SUBSTITUTE(AR$1,RIGHT(AR$1,2),""),VLOOKUP($D265,素材!$1:$1016,COLUMN($F$1),FALSE))),VLOOKUP($C265,武器!$1:$998,COLUMN($O$1),FALSE)*VLOOKUP($D265,素材!$1:$1016,COLUMN($E$1),FALSE)/(LEN(VLOOKUP($D265,素材!$1:$1016,COLUMN($F$1),FALSE)) - LEN(SUBSTITUTE(VLOOKUP($D265,素材!$1:$1016,COLUMN($F$1),FALSE), "・", 0)) + 1), 0)</f>
        <v>0</v>
      </c>
      <c r="AS265">
        <f>IF(ISNUMBER(SEARCH(SUBSTITUTE(AS$1,RIGHT(AS$1,2),""),VLOOKUP($D265,素材!$1:$1016,COLUMN($F$1),FALSE))),VLOOKUP($C265,武器!$1:$998,COLUMN($O$1),FALSE)*VLOOKUP($D265,素材!$1:$1016,COLUMN($E$1),FALSE)/(LEN(VLOOKUP($D265,素材!$1:$1016,COLUMN($F$1),FALSE)) - LEN(SUBSTITUTE(VLOOKUP($D265,素材!$1:$1016,COLUMN($F$1),FALSE), "・", 0)) + 1), 0)</f>
        <v>0</v>
      </c>
      <c r="AT265">
        <f>IF(ISNUMBER(SEARCH(SUBSTITUTE(AT$1,RIGHT(AT$1,2),""),VLOOKUP($D265,素材!$1:$1016,COLUMN($F$1),FALSE))),VLOOKUP($C265,武器!$1:$998,COLUMN($O$1),FALSE)*VLOOKUP($D265,素材!$1:$1016,COLUMN($E$1),FALSE)/(LEN(VLOOKUP($D265,素材!$1:$1016,COLUMN($F$1),FALSE)) - LEN(SUBSTITUTE(VLOOKUP($D265,素材!$1:$1016,COLUMN($F$1),FALSE), "・", 0)) + 1), 0)</f>
        <v>0</v>
      </c>
      <c r="AU265">
        <f>IF(ISNUMBER(SEARCH(SUBSTITUTE(AU$1,RIGHT(AU$1,2),""),VLOOKUP($D265,素材!$1:$1016,COLUMN($F$1),FALSE))),VLOOKUP($C265,武器!$1:$998,COLUMN($O$1),FALSE)*VLOOKUP($D265,素材!$1:$1016,COLUMN($E$1),FALSE)/(LEN(VLOOKUP($D265,素材!$1:$1016,COLUMN($F$1),FALSE)) - LEN(SUBSTITUTE(VLOOKUP($D265,素材!$1:$1016,COLUMN($F$1),FALSE), "・", 0)) + 1), 0)</f>
        <v>0</v>
      </c>
      <c r="AV265">
        <f>IF(ISNUMBER(SEARCH(SUBSTITUTE(AV$1,RIGHT(AV$1,2),""),VLOOKUP($D265,素材!$1:$1016,COLUMN($F$1),FALSE))),VLOOKUP($C265,武器!$1:$998,COLUMN($O$1),FALSE)*VLOOKUP($D265,素材!$1:$1016,COLUMN($E$1),FALSE)/(LEN(VLOOKUP($D265,素材!$1:$1016,COLUMN($F$1),FALSE)) - LEN(SUBSTITUTE(VLOOKUP($D265,素材!$1:$1016,COLUMN($F$1),FALSE), "・", 0)) + 1), 0)</f>
        <v>0</v>
      </c>
      <c r="AW265">
        <f>IF(ISNUMBER(SEARCH(SUBSTITUTE(AW$1,RIGHT(AW$1,2),""),VLOOKUP($D265,素材!$1:$1016,COLUMN($F$1),FALSE))),VLOOKUP($C265,武器!$1:$998,COLUMN($O$1),FALSE)*VLOOKUP($D265,素材!$1:$1016,COLUMN($E$1),FALSE)/(LEN(VLOOKUP($D265,素材!$1:$1016,COLUMN($F$1),FALSE)) - LEN(SUBSTITUTE(VLOOKUP($D265,素材!$1:$1016,COLUMN($F$1),FALSE), "・", 0)) + 1), 0)</f>
        <v>0</v>
      </c>
      <c r="AX265">
        <f>IF(ISNUMBER(SEARCH(SUBSTITUTE(AX$1,RIGHT(AX$1,2),""),VLOOKUP($D265,素材!$1:$1016,COLUMN($F$1),FALSE))),VLOOKUP($C265,武器!$1:$998,COLUMN($O$1),FALSE)*VLOOKUP($D265,素材!$1:$1016,COLUMN($E$1),FALSE)/(LEN(VLOOKUP($D265,素材!$1:$1016,COLUMN($F$1),FALSE)) - LEN(SUBSTITUTE(VLOOKUP($D265,素材!$1:$1016,COLUMN($F$1),FALSE), "・", 0)) + 1), 0)</f>
        <v>0</v>
      </c>
      <c r="AY265">
        <f>IF(ISNUMBER(SEARCH(SUBSTITUTE(AY$1,RIGHT(AY$1,2),""),VLOOKUP($D265,素材!$1:$1016,COLUMN($F$1),FALSE))),VLOOKUP($C265,武器!$1:$998,COLUMN($O$1),FALSE)*VLOOKUP($D265,素材!$1:$1016,COLUMN($E$1),FALSE)/(LEN(VLOOKUP($D265,素材!$1:$1016,COLUMN($F$1),FALSE)) - LEN(SUBSTITUTE(VLOOKUP($D265,素材!$1:$1016,COLUMN($F$1),FALSE), "・", 0)) + 1), 0)</f>
        <v>0</v>
      </c>
      <c r="AZ265">
        <f>IF(ISNUMBER(SEARCH(SUBSTITUTE(AZ$1,RIGHT(AZ$1,2),""),VLOOKUP($D265,素材!$1:$1016,COLUMN($F$1),FALSE))),VLOOKUP($C265,武器!$1:$998,COLUMN($O$1),FALSE)*VLOOKUP($D265,素材!$1:$1016,COLUMN($E$1),FALSE)/(LEN(VLOOKUP($D265,素材!$1:$1016,COLUMN($F$1),FALSE)) - LEN(SUBSTITUTE(VLOOKUP($D265,素材!$1:$1016,COLUMN($F$1),FALSE), "・", 0)) + 1), 0)</f>
        <v>0</v>
      </c>
      <c r="BA265">
        <f>IF(ISNUMBER(SEARCH(SUBSTITUTE(BA$1,RIGHT(BA$1,2),""),VLOOKUP($D265,素材!$1:$1016,COLUMN($F$1),FALSE))),VLOOKUP($C265,武器!$1:$998,COLUMN($O$1),FALSE)*VLOOKUP($D265,素材!$1:$1016,COLUMN($E$1),FALSE)/(LEN(VLOOKUP($D265,素材!$1:$1016,COLUMN($F$1),FALSE)) - LEN(SUBSTITUTE(VLOOKUP($D265,素材!$1:$1016,COLUMN($F$1),FALSE), "・", 0)) + 1), 0)</f>
        <v>0</v>
      </c>
      <c r="BB265">
        <f>IF(ISNUMBER(SEARCH(SUBSTITUTE(BB$1,RIGHT(BB$1,2),""),VLOOKUP($D265,素材!$1:$1016,COLUMN($F$1),FALSE))),VLOOKUP($C265,武器!$1:$998,COLUMN($O$1),FALSE)*VLOOKUP($D265,素材!$1:$1016,COLUMN($E$1),FALSE)/(LEN(VLOOKUP($D265,素材!$1:$1016,COLUMN($F$1),FALSE)) - LEN(SUBSTITUTE(VLOOKUP($D265,素材!$1:$1016,COLUMN($F$1),FALSE), "・", 0)) + 1), 0)</f>
        <v>0</v>
      </c>
      <c r="BC265">
        <f>IF(ISNUMBER(SEARCH(SUBSTITUTE(BC$1,RIGHT(BC$1,2),""),VLOOKUP($D265,素材!$1:$1016,COLUMN($F$1),FALSE))),VLOOKUP($C265,武器!$1:$998,COLUMN($O$1),FALSE)*VLOOKUP($D265,素材!$1:$1016,COLUMN($E$1),FALSE)/(LEN(VLOOKUP($D265,素材!$1:$1016,COLUMN($F$1),FALSE)) - LEN(SUBSTITUTE(VLOOKUP($D265,素材!$1:$1016,COLUMN($F$1),FALSE), "・", 0)) + 1), 0)</f>
        <v>0</v>
      </c>
      <c r="BD265">
        <f>IF(ISNUMBER(SEARCH(SUBSTITUTE(BD$1,RIGHT(BD$1,2),""),VLOOKUP($D265,素材!$1:$1016,COLUMN($F$1),FALSE))),VLOOKUP($C265,武器!$1:$998,COLUMN($O$1),FALSE)*VLOOKUP($D265,素材!$1:$1016,COLUMN($E$1),FALSE)/(LEN(VLOOKUP($D265,素材!$1:$1016,COLUMN($F$1),FALSE)) - LEN(SUBSTITUTE(VLOOKUP($D265,素材!$1:$1016,COLUMN($F$1),FALSE), "・", 0)) + 1), 0)</f>
        <v>0</v>
      </c>
      <c r="BE265">
        <f>IF(ISNUMBER(SEARCH(SUBSTITUTE(BE$1,RIGHT(BE$1,2),""),VLOOKUP($D265,素材!$1:$1016,COLUMN($F$1),FALSE))),VLOOKUP($C265,武器!$1:$998,COLUMN($O$1),FALSE)*VLOOKUP($D265,素材!$1:$1016,COLUMN($E$1),FALSE)/(LEN(VLOOKUP($D265,素材!$1:$1016,COLUMN($F$1),FALSE)) - LEN(SUBSTITUTE(VLOOKUP($D265,素材!$1:$1016,COLUMN($F$1),FALSE), "・", 0)) + 1), 0)</f>
        <v>0</v>
      </c>
      <c r="CL265">
        <f>SUM(G265:I265)</f>
        <v>17</v>
      </c>
      <c r="CM265" s="22" t="str">
        <f>IF(E265="武器",IF(J265-1&gt;SUM(G265:I265),"盾",IF(MAX(G265:I265)=G265,"切断",IF(MAX(G265:I265)=H265,"貫通",IF(MAX(G265:I265)=I265,"打撃","射撃")))),E265)&amp;".webp"</f>
        <v>頭.webp</v>
      </c>
      <c r="CN265">
        <f>IFERROR(VLOOKUP($C265,武器!$1:$998,COLUMN(V$1),FALSE)*VLOOKUP($D265,素材!$1:$1016,COLUMN(N$1),FALSE)+IF(CI265="",0,VLOOKUP($CI265,装強!$1:$1008,COLUMN($CK$1),FALSE)),"")</f>
        <v>2250</v>
      </c>
      <c r="CO265">
        <f>VLOOKUP(D265,素材!$A:$O,COLUMN(素材!O$1),FALSE)</f>
        <v>0</v>
      </c>
      <c r="CP265" t="str">
        <f>VLOOKUP(C265,武器!$A:$W,COLUMN(武器!W$1),FALSE)</f>
        <v>命中 魔防 Cr</v>
      </c>
      <c r="CR265" t="str">
        <f t="shared" si="29"/>
        <v>e_265</v>
      </c>
      <c r="CS265">
        <f t="shared" si="30"/>
        <v>225000</v>
      </c>
    </row>
    <row r="266" spans="1:97" outlineLevel="1" x14ac:dyDescent="0.4">
      <c r="A266" t="str">
        <f t="shared" si="32"/>
        <v>熱鉄の鎧</v>
      </c>
      <c r="B266" t="str">
        <f>IFERROR(VLOOKUP($D266,素材!$1:$1016,COLUMN($B$1),FALSE)&amp;"・"&amp;VLOOKUP($C266,武器!$1:$998,COLUMN(B$1),FALSE),"")</f>
        <v>ヒートスティール・アーマー</v>
      </c>
      <c r="C266" t="s">
        <v>208</v>
      </c>
      <c r="D266" s="24" t="s">
        <v>205</v>
      </c>
      <c r="E266" t="str">
        <f>IFERROR(VLOOKUP(C266,武器!$1:$998,COLUMN(C$1),FALSE),"")</f>
        <v>体</v>
      </c>
      <c r="F266">
        <f>IFERROR(ROUNDDOWN((VLOOKUP($C266,武器!$1:$998,COLUMN(D$1),FALSE)+IFERROR(VLOOKUP($CI266,装強!$1:$999,COLUMN(F$1),FALSE),0))*VLOOKUP($D266,素材!$1:$1016,COLUMN(D$1),FALSE),0),"")</f>
        <v>0</v>
      </c>
      <c r="G266">
        <f>IFERROR(ROUNDDOWN((VLOOKUP($C266,武器!$1:$998,COLUMN(E$1),FALSE)+IFERROR(VLOOKUP($CI266,装強!$1:$999,COLUMN(G$1),FALSE),0))*VLOOKUP($D266,素材!$1:$1016,COLUMN($E$1),FALSE),0),"")</f>
        <v>0</v>
      </c>
      <c r="H266">
        <f>IFERROR(ROUNDDOWN((VLOOKUP($C266,武器!$1:$998,COLUMN(F$1),FALSE)+IFERROR(VLOOKUP($CI266,装強!$1:$999,COLUMN(H$1),FALSE),0))*VLOOKUP($D266,素材!$1:$1016,COLUMN($E$1),FALSE),0),"")</f>
        <v>0</v>
      </c>
      <c r="I266">
        <f>IFERROR(ROUNDDOWN((VLOOKUP($C266,武器!$1:$998,COLUMN(G$1),FALSE)+IFERROR(VLOOKUP($CI266,装強!$1:$999,COLUMN(I$1),FALSE),0))*VLOOKUP($D266,素材!$1:$1016,COLUMN($E$1),FALSE),0),"")</f>
        <v>0</v>
      </c>
      <c r="J266">
        <f>IFERROR(ROUNDDOWN((VLOOKUP($C266,武器!$1:$998,COLUMN(H$1),FALSE)+IFERROR(VLOOKUP($CI266,装強!$1:$999,COLUMN(J$1),FALSE),0))*VLOOKUP($D266,素材!$1:$1016,COLUMN($E$1),FALSE),0),"")</f>
        <v>0</v>
      </c>
      <c r="K266">
        <f>IFERROR(ROUNDDOWN((VLOOKUP($C266,武器!$1:$998,COLUMN(I$1),FALSE)+IFERROR(VLOOKUP($CI266,装強!$1:$999,COLUMN(K$1),FALSE),0))*VLOOKUP($D266,素材!$1:$1016,COLUMN($E$1),FALSE),0),"")</f>
        <v>0</v>
      </c>
      <c r="L266" t="str">
        <f>IFERROR(VLOOKUP($D266,素材!$1:$1016,COLUMN($F$1),FALSE),"")</f>
        <v>炎</v>
      </c>
      <c r="M266">
        <f>IFERROR(VLOOKUP($C266,武器!$1:$998,COLUMN(AA$1),FALSE)*VLOOKUP($D266,素材!$1:$1016,COLUMN($G$1),FALSE),"")</f>
        <v>0</v>
      </c>
      <c r="N266">
        <f>IFERROR(VLOOKUP($C266,武器!$1:$998,COLUMN(I$1),FALSE),"")</f>
        <v>0</v>
      </c>
      <c r="O266" s="23">
        <f>IFERROR((VLOOKUP($C266,武器!$1:$998,COLUMN(K$1),FALSE)+VLOOKUP($D266,素材!$1:$1016,COLUMN(H$1),FALSE))*100+IFERROR(VLOOKUP($CI266,装強!$1:$999,COLUMN(O$1),FALSE),0),"")</f>
        <v>0</v>
      </c>
      <c r="P266" s="23">
        <f>IFERROR((VLOOKUP($C266,武器!$1:$998,COLUMN(L$1),FALSE)+VLOOKUP($D266,素材!$1:$1016,COLUMN(I$1),FALSE))*100+IFERROR(VLOOKUP($CI266,装強!$1:$999,COLUMN(P$1),FALSE),0),"")</f>
        <v>0</v>
      </c>
      <c r="Q266">
        <f>IFERROR(ROUNDUP(VLOOKUP($C266,武器!$1:$998,COLUMN(M$1),FALSE)*(VLOOKUP($D266,素材!$1:$1002,COLUMN(D$1),FALSE)/100),1),"")</f>
        <v>-15</v>
      </c>
      <c r="R266">
        <f>IFERROR(ROUNDUP(VLOOKUP($C266,武器!$1:$998,COLUMN(N$1),FALSE)*(VLOOKUP($D266,素材!$1:$1002,COLUMN(D$1),FALSE)/100),1),"")</f>
        <v>0</v>
      </c>
      <c r="S266">
        <f>IFERROR(VLOOKUP($C266,武器!$1:$998,COLUMN(P$1),FALSE),"")</f>
        <v>0</v>
      </c>
      <c r="T266">
        <f>IFERROR(VLOOKUP($C266,武器!$1:$998,COLUMN(Q$1),FALSE),"")</f>
        <v>0</v>
      </c>
      <c r="U266">
        <f>IFERROR(VLOOKUP($C266,武器!$1:$998,COLUMN(R$1),FALSE),"")</f>
        <v>0</v>
      </c>
      <c r="V266">
        <f>IFERROR(VLOOKUP($C266,武器!$1:$998,COLUMN(Q$1),FALSE),"")</f>
        <v>0</v>
      </c>
      <c r="W266">
        <f>IFERROR(VLOOKUP($C266,武器!$1:$998,COLUMN(T$1),FALSE),"")</f>
        <v>0</v>
      </c>
      <c r="Y266">
        <f>IFERROR(VLOOKUP($C266,武器!$1:$998,COLUMN(U$1),FALSE),"")</f>
        <v>0</v>
      </c>
      <c r="Z266">
        <f>IFERROR(ROUNDUP(VLOOKUP($C266,武器!$1:$998,COLUMN(O$1),FALSE)*VLOOKUP($D266,素材!$1:$1016,COLUMN(E$1),FALSE),1),"")</f>
        <v>14</v>
      </c>
      <c r="AA266">
        <f>IF(ISNUMBER(SEARCH(SUBSTITUTE(AA$1,RIGHT(AA$1,2),""),VLOOKUP($D266,素材!$1:$1016,COLUMN($F$1),FALSE))),VLOOKUP($C266,武器!$1:$998,COLUMN($O$1),FALSE)*VLOOKUP($D266,素材!$1:$1016,COLUMN($E$1),FALSE)/(LEN(VLOOKUP($D266,素材!$1:$1016,COLUMN($F$1),FALSE)) - LEN(SUBSTITUTE(VLOOKUP($D266,素材!$1:$1016,COLUMN($F$1),FALSE), "・", 0)) + 1), 0)</f>
        <v>0</v>
      </c>
      <c r="AB266">
        <f>IF(ISNUMBER(SEARCH(SUBSTITUTE(AB$1,RIGHT(AB$1,2),""),VLOOKUP($D266,素材!$1:$1016,COLUMN($F$1),FALSE))),VLOOKUP($C266,武器!$1:$998,COLUMN($O$1),FALSE)*VLOOKUP($D266,素材!$1:$1016,COLUMN($E$1),FALSE)/(LEN(VLOOKUP($D266,素材!$1:$1016,COLUMN($F$1),FALSE)) - LEN(SUBSTITUTE(VLOOKUP($D266,素材!$1:$1016,COLUMN($F$1),FALSE), "・", 0)) + 1), 0)</f>
        <v>0</v>
      </c>
      <c r="AC266">
        <f>IF(ISNUMBER(SEARCH(SUBSTITUTE(AC$1,RIGHT(AC$1,2),""),VLOOKUP($D266,素材!$1:$1016,COLUMN($F$1),FALSE))),VLOOKUP($C266,武器!$1:$998,COLUMN($O$1),FALSE)*VLOOKUP($D266,素材!$1:$1016,COLUMN($E$1),FALSE)/(LEN(VLOOKUP($D266,素材!$1:$1016,COLUMN($F$1),FALSE)) - LEN(SUBSTITUTE(VLOOKUP($D266,素材!$1:$1016,COLUMN($F$1),FALSE), "・", 0)) + 1), 0)</f>
        <v>0</v>
      </c>
      <c r="AD266">
        <f>IF(ISNUMBER(SEARCH(SUBSTITUTE(AD$1,RIGHT(AD$1,2),""),VLOOKUP($D266,素材!$1:$1016,COLUMN($F$1),FALSE))),VLOOKUP($C266,武器!$1:$998,COLUMN($O$1),FALSE)*VLOOKUP($D266,素材!$1:$1016,COLUMN($E$1),FALSE)/(LEN(VLOOKUP($D266,素材!$1:$1016,COLUMN($F$1),FALSE)) - LEN(SUBSTITUTE(VLOOKUP($D266,素材!$1:$1016,COLUMN($F$1),FALSE), "・", 0)) + 1), 0)</f>
        <v>0</v>
      </c>
      <c r="AE266">
        <f>IF(ISNUMBER(SEARCH(SUBSTITUTE(AE$1,RIGHT(AE$1,2),""),VLOOKUP($D266,素材!$1:$1016,COLUMN($F$1),FALSE))),VLOOKUP($C266,武器!$1:$998,COLUMN($O$1),FALSE)*VLOOKUP($D266,素材!$1:$1016,COLUMN($E$1),FALSE)/(LEN(VLOOKUP($D266,素材!$1:$1016,COLUMN($F$1),FALSE)) - LEN(SUBSTITUTE(VLOOKUP($D266,素材!$1:$1016,COLUMN($F$1),FALSE), "・", 0)) + 1), 0)</f>
        <v>14</v>
      </c>
      <c r="AF266">
        <f>IF(ISNUMBER(SEARCH(SUBSTITUTE(AF$1,RIGHT(AF$1,2),""),VLOOKUP($D266,素材!$1:$1016,COLUMN($F$1),FALSE))),VLOOKUP($C266,武器!$1:$998,COLUMN($O$1),FALSE)*VLOOKUP($D266,素材!$1:$1016,COLUMN($E$1),FALSE)/(LEN(VLOOKUP($D266,素材!$1:$1016,COLUMN($F$1),FALSE)) - LEN(SUBSTITUTE(VLOOKUP($D266,素材!$1:$1016,COLUMN($F$1),FALSE), "・", 0)) + 1), 0)</f>
        <v>0</v>
      </c>
      <c r="AG266">
        <f>IF(ISNUMBER(SEARCH(SUBSTITUTE(AG$1,RIGHT(AG$1,2),""),VLOOKUP($D266,素材!$1:$1016,COLUMN($F$1),FALSE))),VLOOKUP($C266,武器!$1:$998,COLUMN($O$1),FALSE)*VLOOKUP($D266,素材!$1:$1016,COLUMN($E$1),FALSE)/(LEN(VLOOKUP($D266,素材!$1:$1016,COLUMN($F$1),FALSE)) - LEN(SUBSTITUTE(VLOOKUP($D266,素材!$1:$1016,COLUMN($F$1),FALSE), "・", 0)) + 1), 0)</f>
        <v>0</v>
      </c>
      <c r="AH266">
        <f>IF(ISNUMBER(SEARCH(SUBSTITUTE(AH$1,RIGHT(AH$1,2),""),VLOOKUP($D266,素材!$1:$1016,COLUMN($F$1),FALSE))),VLOOKUP($C266,武器!$1:$998,COLUMN($O$1),FALSE)*VLOOKUP($D266,素材!$1:$1016,COLUMN($E$1),FALSE)/(LEN(VLOOKUP($D266,素材!$1:$1016,COLUMN($F$1),FALSE)) - LEN(SUBSTITUTE(VLOOKUP($D266,素材!$1:$1016,COLUMN($F$1),FALSE), "・", 0)) + 1), 0)</f>
        <v>0</v>
      </c>
      <c r="AI266">
        <f>IF(ISNUMBER(SEARCH(SUBSTITUTE(AI$1,RIGHT(AI$1,2),""),VLOOKUP($D266,素材!$1:$1016,COLUMN($F$1),FALSE))),VLOOKUP($C266,武器!$1:$998,COLUMN($O$1),FALSE)*VLOOKUP($D266,素材!$1:$1016,COLUMN($E$1),FALSE)/(LEN(VLOOKUP($D266,素材!$1:$1016,COLUMN($F$1),FALSE)) - LEN(SUBSTITUTE(VLOOKUP($D266,素材!$1:$1016,COLUMN($F$1),FALSE), "・", 0)) + 1), 0)</f>
        <v>0</v>
      </c>
      <c r="AJ266">
        <f>IF(ISNUMBER(SEARCH(SUBSTITUTE(AJ$1,RIGHT(AJ$1,2),""),VLOOKUP($D266,素材!$1:$1016,COLUMN($F$1),FALSE))),VLOOKUP($C266,武器!$1:$998,COLUMN($O$1),FALSE)*VLOOKUP($D266,素材!$1:$1016,COLUMN($E$1),FALSE)/(LEN(VLOOKUP($D266,素材!$1:$1016,COLUMN($F$1),FALSE)) - LEN(SUBSTITUTE(VLOOKUP($D266,素材!$1:$1016,COLUMN($F$1),FALSE), "・", 0)) + 1), 0)</f>
        <v>0</v>
      </c>
      <c r="AK266">
        <f>IF(ISNUMBER(SEARCH(SUBSTITUTE(AK$1,RIGHT(AK$1,2),""),VLOOKUP($D266,素材!$1:$1016,COLUMN($F$1),FALSE))),VLOOKUP($C266,武器!$1:$998,COLUMN($O$1),FALSE)*VLOOKUP($D266,素材!$1:$1016,COLUMN($E$1),FALSE)/(LEN(VLOOKUP($D266,素材!$1:$1016,COLUMN($F$1),FALSE)) - LEN(SUBSTITUTE(VLOOKUP($D266,素材!$1:$1016,COLUMN($F$1),FALSE), "・", 0)) + 1), 0)</f>
        <v>0</v>
      </c>
      <c r="AL266">
        <f>IF(ISNUMBER(SEARCH(SUBSTITUTE(AL$1,RIGHT(AL$1,2),""),VLOOKUP($D266,素材!$1:$1016,COLUMN($F$1),FALSE))),VLOOKUP($C266,武器!$1:$998,COLUMN($O$1),FALSE)*VLOOKUP($D266,素材!$1:$1016,COLUMN($E$1),FALSE)/(LEN(VLOOKUP($D266,素材!$1:$1016,COLUMN($F$1),FALSE)) - LEN(SUBSTITUTE(VLOOKUP($D266,素材!$1:$1016,COLUMN($F$1),FALSE), "・", 0)) + 1), 0)</f>
        <v>0</v>
      </c>
      <c r="AM266">
        <f>IF(ISNUMBER(SEARCH(SUBSTITUTE(AM$1,RIGHT(AM$1,2),""),VLOOKUP($D266,素材!$1:$1016,COLUMN($F$1),FALSE))),VLOOKUP($C266,武器!$1:$998,COLUMN($O$1),FALSE)*VLOOKUP($D266,素材!$1:$1016,COLUMN($E$1),FALSE)/(LEN(VLOOKUP($D266,素材!$1:$1016,COLUMN($F$1),FALSE)) - LEN(SUBSTITUTE(VLOOKUP($D266,素材!$1:$1016,COLUMN($F$1),FALSE), "・", 0)) + 1), 0)</f>
        <v>0</v>
      </c>
      <c r="AN266">
        <f>IF(ISNUMBER(SEARCH(SUBSTITUTE(AN$1,RIGHT(AN$1,2),""),VLOOKUP($D266,素材!$1:$1016,COLUMN($F$1),FALSE))),VLOOKUP($C266,武器!$1:$998,COLUMN($O$1),FALSE)*VLOOKUP($D266,素材!$1:$1016,COLUMN($E$1),FALSE)/(LEN(VLOOKUP($D266,素材!$1:$1016,COLUMN($F$1),FALSE)) - LEN(SUBSTITUTE(VLOOKUP($D266,素材!$1:$1016,COLUMN($F$1),FALSE), "・", 0)) + 1), 0)</f>
        <v>0</v>
      </c>
      <c r="AO266">
        <f>IF(ISNUMBER(SEARCH(SUBSTITUTE(AO$1,RIGHT(AO$1,2),""),VLOOKUP($D266,素材!$1:$1016,COLUMN($F$1),FALSE))),VLOOKUP($C266,武器!$1:$998,COLUMN($O$1),FALSE)*VLOOKUP($D266,素材!$1:$1016,COLUMN($E$1),FALSE)/(LEN(VLOOKUP($D266,素材!$1:$1016,COLUMN($F$1),FALSE)) - LEN(SUBSTITUTE(VLOOKUP($D266,素材!$1:$1016,COLUMN($F$1),FALSE), "・", 0)) + 1), 0)</f>
        <v>0</v>
      </c>
      <c r="AP266">
        <f>IF(ISNUMBER(SEARCH(SUBSTITUTE(AP$1,RIGHT(AP$1,2),""),VLOOKUP($D266,素材!$1:$1016,COLUMN($F$1),FALSE))),VLOOKUP($C266,武器!$1:$998,COLUMN($O$1),FALSE)*VLOOKUP($D266,素材!$1:$1016,COLUMN($E$1),FALSE)/(LEN(VLOOKUP($D266,素材!$1:$1016,COLUMN($F$1),FALSE)) - LEN(SUBSTITUTE(VLOOKUP($D266,素材!$1:$1016,COLUMN($F$1),FALSE), "・", 0)) + 1), 0)</f>
        <v>0</v>
      </c>
      <c r="AQ266">
        <f>IF(ISNUMBER(SEARCH(SUBSTITUTE(AQ$1,RIGHT(AQ$1,2),""),VLOOKUP($D266,素材!$1:$1016,COLUMN($F$1),FALSE))),VLOOKUP($C266,武器!$1:$998,COLUMN($O$1),FALSE)*VLOOKUP($D266,素材!$1:$1016,COLUMN($E$1),FALSE)/(LEN(VLOOKUP($D266,素材!$1:$1016,COLUMN($F$1),FALSE)) - LEN(SUBSTITUTE(VLOOKUP($D266,素材!$1:$1016,COLUMN($F$1),FALSE), "・", 0)) + 1), 0)</f>
        <v>0</v>
      </c>
      <c r="AR266">
        <f>IF(ISNUMBER(SEARCH(SUBSTITUTE(AR$1,RIGHT(AR$1,2),""),VLOOKUP($D266,素材!$1:$1016,COLUMN($F$1),FALSE))),VLOOKUP($C266,武器!$1:$998,COLUMN($O$1),FALSE)*VLOOKUP($D266,素材!$1:$1016,COLUMN($E$1),FALSE)/(LEN(VLOOKUP($D266,素材!$1:$1016,COLUMN($F$1),FALSE)) - LEN(SUBSTITUTE(VLOOKUP($D266,素材!$1:$1016,COLUMN($F$1),FALSE), "・", 0)) + 1), 0)</f>
        <v>0</v>
      </c>
      <c r="AS266">
        <f>IF(ISNUMBER(SEARCH(SUBSTITUTE(AS$1,RIGHT(AS$1,2),""),VLOOKUP($D266,素材!$1:$1016,COLUMN($F$1),FALSE))),VLOOKUP($C266,武器!$1:$998,COLUMN($O$1),FALSE)*VLOOKUP($D266,素材!$1:$1016,COLUMN($E$1),FALSE)/(LEN(VLOOKUP($D266,素材!$1:$1016,COLUMN($F$1),FALSE)) - LEN(SUBSTITUTE(VLOOKUP($D266,素材!$1:$1016,COLUMN($F$1),FALSE), "・", 0)) + 1), 0)</f>
        <v>0</v>
      </c>
      <c r="AT266">
        <f>IF(ISNUMBER(SEARCH(SUBSTITUTE(AT$1,RIGHT(AT$1,2),""),VLOOKUP($D266,素材!$1:$1016,COLUMN($F$1),FALSE))),VLOOKUP($C266,武器!$1:$998,COLUMN($O$1),FALSE)*VLOOKUP($D266,素材!$1:$1016,COLUMN($E$1),FALSE)/(LEN(VLOOKUP($D266,素材!$1:$1016,COLUMN($F$1),FALSE)) - LEN(SUBSTITUTE(VLOOKUP($D266,素材!$1:$1016,COLUMN($F$1),FALSE), "・", 0)) + 1), 0)</f>
        <v>0</v>
      </c>
      <c r="AU266">
        <f>IF(ISNUMBER(SEARCH(SUBSTITUTE(AU$1,RIGHT(AU$1,2),""),VLOOKUP($D266,素材!$1:$1016,COLUMN($F$1),FALSE))),VLOOKUP($C266,武器!$1:$998,COLUMN($O$1),FALSE)*VLOOKUP($D266,素材!$1:$1016,COLUMN($E$1),FALSE)/(LEN(VLOOKUP($D266,素材!$1:$1016,COLUMN($F$1),FALSE)) - LEN(SUBSTITUTE(VLOOKUP($D266,素材!$1:$1016,COLUMN($F$1),FALSE), "・", 0)) + 1), 0)</f>
        <v>0</v>
      </c>
      <c r="AV266">
        <f>IF(ISNUMBER(SEARCH(SUBSTITUTE(AV$1,RIGHT(AV$1,2),""),VLOOKUP($D266,素材!$1:$1016,COLUMN($F$1),FALSE))),VLOOKUP($C266,武器!$1:$998,COLUMN($O$1),FALSE)*VLOOKUP($D266,素材!$1:$1016,COLUMN($E$1),FALSE)/(LEN(VLOOKUP($D266,素材!$1:$1016,COLUMN($F$1),FALSE)) - LEN(SUBSTITUTE(VLOOKUP($D266,素材!$1:$1016,COLUMN($F$1),FALSE), "・", 0)) + 1), 0)</f>
        <v>0</v>
      </c>
      <c r="AW266">
        <f>IF(ISNUMBER(SEARCH(SUBSTITUTE(AW$1,RIGHT(AW$1,2),""),VLOOKUP($D266,素材!$1:$1016,COLUMN($F$1),FALSE))),VLOOKUP($C266,武器!$1:$998,COLUMN($O$1),FALSE)*VLOOKUP($D266,素材!$1:$1016,COLUMN($E$1),FALSE)/(LEN(VLOOKUP($D266,素材!$1:$1016,COLUMN($F$1),FALSE)) - LEN(SUBSTITUTE(VLOOKUP($D266,素材!$1:$1016,COLUMN($F$1),FALSE), "・", 0)) + 1), 0)</f>
        <v>0</v>
      </c>
      <c r="AX266">
        <f>IF(ISNUMBER(SEARCH(SUBSTITUTE(AX$1,RIGHT(AX$1,2),""),VLOOKUP($D266,素材!$1:$1016,COLUMN($F$1),FALSE))),VLOOKUP($C266,武器!$1:$998,COLUMN($O$1),FALSE)*VLOOKUP($D266,素材!$1:$1016,COLUMN($E$1),FALSE)/(LEN(VLOOKUP($D266,素材!$1:$1016,COLUMN($F$1),FALSE)) - LEN(SUBSTITUTE(VLOOKUP($D266,素材!$1:$1016,COLUMN($F$1),FALSE), "・", 0)) + 1), 0)</f>
        <v>0</v>
      </c>
      <c r="AY266">
        <f>IF(ISNUMBER(SEARCH(SUBSTITUTE(AY$1,RIGHT(AY$1,2),""),VLOOKUP($D266,素材!$1:$1016,COLUMN($F$1),FALSE))),VLOOKUP($C266,武器!$1:$998,COLUMN($O$1),FALSE)*VLOOKUP($D266,素材!$1:$1016,COLUMN($E$1),FALSE)/(LEN(VLOOKUP($D266,素材!$1:$1016,COLUMN($F$1),FALSE)) - LEN(SUBSTITUTE(VLOOKUP($D266,素材!$1:$1016,COLUMN($F$1),FALSE), "・", 0)) + 1), 0)</f>
        <v>0</v>
      </c>
      <c r="AZ266">
        <f>IF(ISNUMBER(SEARCH(SUBSTITUTE(AZ$1,RIGHT(AZ$1,2),""),VLOOKUP($D266,素材!$1:$1016,COLUMN($F$1),FALSE))),VLOOKUP($C266,武器!$1:$998,COLUMN($O$1),FALSE)*VLOOKUP($D266,素材!$1:$1016,COLUMN($E$1),FALSE)/(LEN(VLOOKUP($D266,素材!$1:$1016,COLUMN($F$1),FALSE)) - LEN(SUBSTITUTE(VLOOKUP($D266,素材!$1:$1016,COLUMN($F$1),FALSE), "・", 0)) + 1), 0)</f>
        <v>0</v>
      </c>
      <c r="BA266">
        <f>IF(ISNUMBER(SEARCH(SUBSTITUTE(BA$1,RIGHT(BA$1,2),""),VLOOKUP($D266,素材!$1:$1016,COLUMN($F$1),FALSE))),VLOOKUP($C266,武器!$1:$998,COLUMN($O$1),FALSE)*VLOOKUP($D266,素材!$1:$1016,COLUMN($E$1),FALSE)/(LEN(VLOOKUP($D266,素材!$1:$1016,COLUMN($F$1),FALSE)) - LEN(SUBSTITUTE(VLOOKUP($D266,素材!$1:$1016,COLUMN($F$1),FALSE), "・", 0)) + 1), 0)</f>
        <v>0</v>
      </c>
      <c r="BB266">
        <f>IF(ISNUMBER(SEARCH(SUBSTITUTE(BB$1,RIGHT(BB$1,2),""),VLOOKUP($D266,素材!$1:$1016,COLUMN($F$1),FALSE))),VLOOKUP($C266,武器!$1:$998,COLUMN($O$1),FALSE)*VLOOKUP($D266,素材!$1:$1016,COLUMN($E$1),FALSE)/(LEN(VLOOKUP($D266,素材!$1:$1016,COLUMN($F$1),FALSE)) - LEN(SUBSTITUTE(VLOOKUP($D266,素材!$1:$1016,COLUMN($F$1),FALSE), "・", 0)) + 1), 0)</f>
        <v>0</v>
      </c>
      <c r="BC266">
        <f>IF(ISNUMBER(SEARCH(SUBSTITUTE(BC$1,RIGHT(BC$1,2),""),VLOOKUP($D266,素材!$1:$1016,COLUMN($F$1),FALSE))),VLOOKUP($C266,武器!$1:$998,COLUMN($O$1),FALSE)*VLOOKUP($D266,素材!$1:$1016,COLUMN($E$1),FALSE)/(LEN(VLOOKUP($D266,素材!$1:$1016,COLUMN($F$1),FALSE)) - LEN(SUBSTITUTE(VLOOKUP($D266,素材!$1:$1016,COLUMN($F$1),FALSE), "・", 0)) + 1), 0)</f>
        <v>0</v>
      </c>
      <c r="BD266">
        <f>IF(ISNUMBER(SEARCH(SUBSTITUTE(BD$1,RIGHT(BD$1,2),""),VLOOKUP($D266,素材!$1:$1016,COLUMN($F$1),FALSE))),VLOOKUP($C266,武器!$1:$998,COLUMN($O$1),FALSE)*VLOOKUP($D266,素材!$1:$1016,COLUMN($E$1),FALSE)/(LEN(VLOOKUP($D266,素材!$1:$1016,COLUMN($F$1),FALSE)) - LEN(SUBSTITUTE(VLOOKUP($D266,素材!$1:$1016,COLUMN($F$1),FALSE), "・", 0)) + 1), 0)</f>
        <v>0</v>
      </c>
      <c r="BE266">
        <f>IF(ISNUMBER(SEARCH(SUBSTITUTE(BE$1,RIGHT(BE$1,2),""),VLOOKUP($D266,素材!$1:$1016,COLUMN($F$1),FALSE))),VLOOKUP($C266,武器!$1:$998,COLUMN($O$1),FALSE)*VLOOKUP($D266,素材!$1:$1016,COLUMN($E$1),FALSE)/(LEN(VLOOKUP($D266,素材!$1:$1016,COLUMN($F$1),FALSE)) - LEN(SUBSTITUTE(VLOOKUP($D266,素材!$1:$1016,COLUMN($F$1),FALSE), "・", 0)) + 1), 0)</f>
        <v>0</v>
      </c>
      <c r="CL266">
        <f>SUM(G266:I266)</f>
        <v>0</v>
      </c>
      <c r="CM266" s="22" t="str">
        <f>IF(E266="武器",IF(J266-1&gt;SUM(G266:I266),"盾",IF(MAX(G266:I266)=G266,"切断",IF(MAX(G266:I266)=H266,"貫通",IF(MAX(G266:I266)=I266,"打撃","射撃")))),E266)&amp;".webp"</f>
        <v>体.webp</v>
      </c>
      <c r="CN266">
        <f>IFERROR(VLOOKUP($C266,武器!$1:$998,COLUMN(V$1),FALSE)*VLOOKUP($D266,素材!$1:$1016,COLUMN(N$1),FALSE)+IF(CI266="",0,VLOOKUP($CI266,装強!$1:$1008,COLUMN($CK$1),FALSE)),"")</f>
        <v>4500</v>
      </c>
      <c r="CO266">
        <f>VLOOKUP(D266,素材!$A:$O,COLUMN(素材!O$1),FALSE)</f>
        <v>0</v>
      </c>
      <c r="CP266" t="str">
        <f>VLOOKUP(C266,武器!$A:$W,COLUMN(武器!W$1),FALSE)</f>
        <v>HP 物理 魔法 体幹 出血 疲労 Cr</v>
      </c>
      <c r="CR266" t="str">
        <f t="shared" si="29"/>
        <v>e_266</v>
      </c>
      <c r="CS266">
        <f t="shared" si="30"/>
        <v>450000</v>
      </c>
    </row>
    <row r="267" spans="1:97" outlineLevel="1" x14ac:dyDescent="0.4">
      <c r="A267" t="str">
        <f t="shared" si="32"/>
        <v>熱鉄の胴衣</v>
      </c>
      <c r="B267" t="str">
        <f>IFERROR(VLOOKUP($D267,素材!$1:$1016,COLUMN($B$1),FALSE)&amp;"・"&amp;VLOOKUP($C267,武器!$1:$998,COLUMN(B$1),FALSE),"")</f>
        <v>ヒートスティール・ベスト</v>
      </c>
      <c r="C267" t="s">
        <v>207</v>
      </c>
      <c r="D267" s="24" t="s">
        <v>205</v>
      </c>
      <c r="E267" t="str">
        <f>IFERROR(VLOOKUP(C267,武器!$1:$998,COLUMN(C$1),FALSE),"")</f>
        <v>体</v>
      </c>
      <c r="F267">
        <f>IFERROR(ROUNDDOWN((VLOOKUP($C267,武器!$1:$998,COLUMN(D$1),FALSE)+IFERROR(VLOOKUP($CI267,装強!$1:$999,COLUMN(F$1),FALSE),0))*VLOOKUP($D267,素材!$1:$1016,COLUMN(D$1),FALSE),0),"")</f>
        <v>0</v>
      </c>
      <c r="G267">
        <f>IFERROR(ROUNDDOWN((VLOOKUP($C267,武器!$1:$998,COLUMN(E$1),FALSE)+IFERROR(VLOOKUP($CI267,装強!$1:$999,COLUMN(G$1),FALSE),0))*VLOOKUP($D267,素材!$1:$1016,COLUMN($E$1),FALSE),0),"")</f>
        <v>0</v>
      </c>
      <c r="H267">
        <f>IFERROR(ROUNDDOWN((VLOOKUP($C267,武器!$1:$998,COLUMN(F$1),FALSE)+IFERROR(VLOOKUP($CI267,装強!$1:$999,COLUMN(H$1),FALSE),0))*VLOOKUP($D267,素材!$1:$1016,COLUMN($E$1),FALSE),0),"")</f>
        <v>0</v>
      </c>
      <c r="I267">
        <f>IFERROR(ROUNDDOWN((VLOOKUP($C267,武器!$1:$998,COLUMN(G$1),FALSE)+IFERROR(VLOOKUP($CI267,装強!$1:$999,COLUMN(I$1),FALSE),0))*VLOOKUP($D267,素材!$1:$1016,COLUMN($E$1),FALSE),0),"")</f>
        <v>0</v>
      </c>
      <c r="J267">
        <f>IFERROR(ROUNDDOWN((VLOOKUP($C267,武器!$1:$998,COLUMN(H$1),FALSE)+IFERROR(VLOOKUP($CI267,装強!$1:$999,COLUMN(J$1),FALSE),0))*VLOOKUP($D267,素材!$1:$1016,COLUMN($E$1),FALSE),0),"")</f>
        <v>0</v>
      </c>
      <c r="K267">
        <f>IFERROR(ROUNDDOWN((VLOOKUP($C267,武器!$1:$998,COLUMN(I$1),FALSE)+IFERROR(VLOOKUP($CI267,装強!$1:$999,COLUMN(K$1),FALSE),0))*VLOOKUP($D267,素材!$1:$1016,COLUMN($E$1),FALSE),0),"")</f>
        <v>0</v>
      </c>
      <c r="L267" t="str">
        <f>IFERROR(VLOOKUP($D267,素材!$1:$1016,COLUMN($F$1),FALSE),"")</f>
        <v>炎</v>
      </c>
      <c r="M267">
        <f>IFERROR(VLOOKUP($C267,武器!$1:$998,COLUMN(AA$1),FALSE)*VLOOKUP($D267,素材!$1:$1016,COLUMN($G$1),FALSE),"")</f>
        <v>0</v>
      </c>
      <c r="N267">
        <f>IFERROR(VLOOKUP($C267,武器!$1:$998,COLUMN(I$1),FALSE),"")</f>
        <v>0</v>
      </c>
      <c r="O267" s="23">
        <f>IFERROR((VLOOKUP($C267,武器!$1:$998,COLUMN(K$1),FALSE)+VLOOKUP($D267,素材!$1:$1016,COLUMN(H$1),FALSE))*100+IFERROR(VLOOKUP($CI267,装強!$1:$999,COLUMN(O$1),FALSE),0),"")</f>
        <v>0</v>
      </c>
      <c r="P267" s="23">
        <f>IFERROR((VLOOKUP($C267,武器!$1:$998,COLUMN(L$1),FALSE)+VLOOKUP($D267,素材!$1:$1016,COLUMN(I$1),FALSE))*100+IFERROR(VLOOKUP($CI267,装強!$1:$999,COLUMN(P$1),FALSE),0),"")</f>
        <v>0</v>
      </c>
      <c r="Q267">
        <f>IFERROR(ROUNDUP(VLOOKUP($C267,武器!$1:$998,COLUMN(M$1),FALSE)*(VLOOKUP($D267,素材!$1:$1002,COLUMN(D$1),FALSE)/100),1),"")</f>
        <v>-7.5</v>
      </c>
      <c r="R267">
        <f>IFERROR(ROUNDUP(VLOOKUP($C267,武器!$1:$998,COLUMN(N$1),FALSE)*(VLOOKUP($D267,素材!$1:$1002,COLUMN(D$1),FALSE)/100),1),"")</f>
        <v>0</v>
      </c>
      <c r="S267">
        <f>IFERROR(VLOOKUP($C267,武器!$1:$998,COLUMN(P$1),FALSE),"")</f>
        <v>0</v>
      </c>
      <c r="T267">
        <f>IFERROR(VLOOKUP($C267,武器!$1:$998,COLUMN(Q$1),FALSE),"")</f>
        <v>0</v>
      </c>
      <c r="U267">
        <f>IFERROR(VLOOKUP($C267,武器!$1:$998,COLUMN(R$1),FALSE),"")</f>
        <v>0</v>
      </c>
      <c r="V267">
        <f>IFERROR(VLOOKUP($C267,武器!$1:$998,COLUMN(Q$1),FALSE),"")</f>
        <v>0</v>
      </c>
      <c r="W267">
        <f>IFERROR(VLOOKUP($C267,武器!$1:$998,COLUMN(T$1),FALSE),"")</f>
        <v>0</v>
      </c>
      <c r="Y267">
        <f>IFERROR(VLOOKUP($C267,武器!$1:$998,COLUMN(U$1),FALSE),"")</f>
        <v>0</v>
      </c>
      <c r="Z267">
        <f>IFERROR(ROUNDUP(VLOOKUP($C267,武器!$1:$998,COLUMN(O$1),FALSE)*VLOOKUP($D267,素材!$1:$1016,COLUMN(E$1),FALSE),1),"")</f>
        <v>10</v>
      </c>
      <c r="AA267">
        <f>IF(ISNUMBER(SEARCH(SUBSTITUTE(AA$1,RIGHT(AA$1,2),""),VLOOKUP($D267,素材!$1:$1016,COLUMN($F$1),FALSE))),VLOOKUP($C267,武器!$1:$998,COLUMN($O$1),FALSE)*VLOOKUP($D267,素材!$1:$1016,COLUMN($E$1),FALSE)/(LEN(VLOOKUP($D267,素材!$1:$1016,COLUMN($F$1),FALSE)) - LEN(SUBSTITUTE(VLOOKUP($D267,素材!$1:$1016,COLUMN($F$1),FALSE), "・", 0)) + 1), 0)</f>
        <v>0</v>
      </c>
      <c r="AB267">
        <f>IF(ISNUMBER(SEARCH(SUBSTITUTE(AB$1,RIGHT(AB$1,2),""),VLOOKUP($D267,素材!$1:$1016,COLUMN($F$1),FALSE))),VLOOKUP($C267,武器!$1:$998,COLUMN($O$1),FALSE)*VLOOKUP($D267,素材!$1:$1016,COLUMN($E$1),FALSE)/(LEN(VLOOKUP($D267,素材!$1:$1016,COLUMN($F$1),FALSE)) - LEN(SUBSTITUTE(VLOOKUP($D267,素材!$1:$1016,COLUMN($F$1),FALSE), "・", 0)) + 1), 0)</f>
        <v>0</v>
      </c>
      <c r="AC267">
        <f>IF(ISNUMBER(SEARCH(SUBSTITUTE(AC$1,RIGHT(AC$1,2),""),VLOOKUP($D267,素材!$1:$1016,COLUMN($F$1),FALSE))),VLOOKUP($C267,武器!$1:$998,COLUMN($O$1),FALSE)*VLOOKUP($D267,素材!$1:$1016,COLUMN($E$1),FALSE)/(LEN(VLOOKUP($D267,素材!$1:$1016,COLUMN($F$1),FALSE)) - LEN(SUBSTITUTE(VLOOKUP($D267,素材!$1:$1016,COLUMN($F$1),FALSE), "・", 0)) + 1), 0)</f>
        <v>0</v>
      </c>
      <c r="AD267">
        <f>IF(ISNUMBER(SEARCH(SUBSTITUTE(AD$1,RIGHT(AD$1,2),""),VLOOKUP($D267,素材!$1:$1016,COLUMN($F$1),FALSE))),VLOOKUP($C267,武器!$1:$998,COLUMN($O$1),FALSE)*VLOOKUP($D267,素材!$1:$1016,COLUMN($E$1),FALSE)/(LEN(VLOOKUP($D267,素材!$1:$1016,COLUMN($F$1),FALSE)) - LEN(SUBSTITUTE(VLOOKUP($D267,素材!$1:$1016,COLUMN($F$1),FALSE), "・", 0)) + 1), 0)</f>
        <v>0</v>
      </c>
      <c r="AE267">
        <f>IF(ISNUMBER(SEARCH(SUBSTITUTE(AE$1,RIGHT(AE$1,2),""),VLOOKUP($D267,素材!$1:$1016,COLUMN($F$1),FALSE))),VLOOKUP($C267,武器!$1:$998,COLUMN($O$1),FALSE)*VLOOKUP($D267,素材!$1:$1016,COLUMN($E$1),FALSE)/(LEN(VLOOKUP($D267,素材!$1:$1016,COLUMN($F$1),FALSE)) - LEN(SUBSTITUTE(VLOOKUP($D267,素材!$1:$1016,COLUMN($F$1),FALSE), "・", 0)) + 1), 0)</f>
        <v>10</v>
      </c>
      <c r="AF267">
        <f>IF(ISNUMBER(SEARCH(SUBSTITUTE(AF$1,RIGHT(AF$1,2),""),VLOOKUP($D267,素材!$1:$1016,COLUMN($F$1),FALSE))),VLOOKUP($C267,武器!$1:$998,COLUMN($O$1),FALSE)*VLOOKUP($D267,素材!$1:$1016,COLUMN($E$1),FALSE)/(LEN(VLOOKUP($D267,素材!$1:$1016,COLUMN($F$1),FALSE)) - LEN(SUBSTITUTE(VLOOKUP($D267,素材!$1:$1016,COLUMN($F$1),FALSE), "・", 0)) + 1), 0)</f>
        <v>0</v>
      </c>
      <c r="AG267">
        <f>IF(ISNUMBER(SEARCH(SUBSTITUTE(AG$1,RIGHT(AG$1,2),""),VLOOKUP($D267,素材!$1:$1016,COLUMN($F$1),FALSE))),VLOOKUP($C267,武器!$1:$998,COLUMN($O$1),FALSE)*VLOOKUP($D267,素材!$1:$1016,COLUMN($E$1),FALSE)/(LEN(VLOOKUP($D267,素材!$1:$1016,COLUMN($F$1),FALSE)) - LEN(SUBSTITUTE(VLOOKUP($D267,素材!$1:$1016,COLUMN($F$1),FALSE), "・", 0)) + 1), 0)</f>
        <v>0</v>
      </c>
      <c r="AH267">
        <f>IF(ISNUMBER(SEARCH(SUBSTITUTE(AH$1,RIGHT(AH$1,2),""),VLOOKUP($D267,素材!$1:$1016,COLUMN($F$1),FALSE))),VLOOKUP($C267,武器!$1:$998,COLUMN($O$1),FALSE)*VLOOKUP($D267,素材!$1:$1016,COLUMN($E$1),FALSE)/(LEN(VLOOKUP($D267,素材!$1:$1016,COLUMN($F$1),FALSE)) - LEN(SUBSTITUTE(VLOOKUP($D267,素材!$1:$1016,COLUMN($F$1),FALSE), "・", 0)) + 1), 0)</f>
        <v>0</v>
      </c>
      <c r="AI267">
        <f>IF(ISNUMBER(SEARCH(SUBSTITUTE(AI$1,RIGHT(AI$1,2),""),VLOOKUP($D267,素材!$1:$1016,COLUMN($F$1),FALSE))),VLOOKUP($C267,武器!$1:$998,COLUMN($O$1),FALSE)*VLOOKUP($D267,素材!$1:$1016,COLUMN($E$1),FALSE)/(LEN(VLOOKUP($D267,素材!$1:$1016,COLUMN($F$1),FALSE)) - LEN(SUBSTITUTE(VLOOKUP($D267,素材!$1:$1016,COLUMN($F$1),FALSE), "・", 0)) + 1), 0)</f>
        <v>0</v>
      </c>
      <c r="AJ267">
        <f>IF(ISNUMBER(SEARCH(SUBSTITUTE(AJ$1,RIGHT(AJ$1,2),""),VLOOKUP($D267,素材!$1:$1016,COLUMN($F$1),FALSE))),VLOOKUP($C267,武器!$1:$998,COLUMN($O$1),FALSE)*VLOOKUP($D267,素材!$1:$1016,COLUMN($E$1),FALSE)/(LEN(VLOOKUP($D267,素材!$1:$1016,COLUMN($F$1),FALSE)) - LEN(SUBSTITUTE(VLOOKUP($D267,素材!$1:$1016,COLUMN($F$1),FALSE), "・", 0)) + 1), 0)</f>
        <v>0</v>
      </c>
      <c r="AK267">
        <f>IF(ISNUMBER(SEARCH(SUBSTITUTE(AK$1,RIGHT(AK$1,2),""),VLOOKUP($D267,素材!$1:$1016,COLUMN($F$1),FALSE))),VLOOKUP($C267,武器!$1:$998,COLUMN($O$1),FALSE)*VLOOKUP($D267,素材!$1:$1016,COLUMN($E$1),FALSE)/(LEN(VLOOKUP($D267,素材!$1:$1016,COLUMN($F$1),FALSE)) - LEN(SUBSTITUTE(VLOOKUP($D267,素材!$1:$1016,COLUMN($F$1),FALSE), "・", 0)) + 1), 0)</f>
        <v>0</v>
      </c>
      <c r="AL267">
        <f>IF(ISNUMBER(SEARCH(SUBSTITUTE(AL$1,RIGHT(AL$1,2),""),VLOOKUP($D267,素材!$1:$1016,COLUMN($F$1),FALSE))),VLOOKUP($C267,武器!$1:$998,COLUMN($O$1),FALSE)*VLOOKUP($D267,素材!$1:$1016,COLUMN($E$1),FALSE)/(LEN(VLOOKUP($D267,素材!$1:$1016,COLUMN($F$1),FALSE)) - LEN(SUBSTITUTE(VLOOKUP($D267,素材!$1:$1016,COLUMN($F$1),FALSE), "・", 0)) + 1), 0)</f>
        <v>0</v>
      </c>
      <c r="AM267">
        <f>IF(ISNUMBER(SEARCH(SUBSTITUTE(AM$1,RIGHT(AM$1,2),""),VLOOKUP($D267,素材!$1:$1016,COLUMN($F$1),FALSE))),VLOOKUP($C267,武器!$1:$998,COLUMN($O$1),FALSE)*VLOOKUP($D267,素材!$1:$1016,COLUMN($E$1),FALSE)/(LEN(VLOOKUP($D267,素材!$1:$1016,COLUMN($F$1),FALSE)) - LEN(SUBSTITUTE(VLOOKUP($D267,素材!$1:$1016,COLUMN($F$1),FALSE), "・", 0)) + 1), 0)</f>
        <v>0</v>
      </c>
      <c r="AN267">
        <f>IF(ISNUMBER(SEARCH(SUBSTITUTE(AN$1,RIGHT(AN$1,2),""),VLOOKUP($D267,素材!$1:$1016,COLUMN($F$1),FALSE))),VLOOKUP($C267,武器!$1:$998,COLUMN($O$1),FALSE)*VLOOKUP($D267,素材!$1:$1016,COLUMN($E$1),FALSE)/(LEN(VLOOKUP($D267,素材!$1:$1016,COLUMN($F$1),FALSE)) - LEN(SUBSTITUTE(VLOOKUP($D267,素材!$1:$1016,COLUMN($F$1),FALSE), "・", 0)) + 1), 0)</f>
        <v>0</v>
      </c>
      <c r="AO267">
        <f>IF(ISNUMBER(SEARCH(SUBSTITUTE(AO$1,RIGHT(AO$1,2),""),VLOOKUP($D267,素材!$1:$1016,COLUMN($F$1),FALSE))),VLOOKUP($C267,武器!$1:$998,COLUMN($O$1),FALSE)*VLOOKUP($D267,素材!$1:$1016,COLUMN($E$1),FALSE)/(LEN(VLOOKUP($D267,素材!$1:$1016,COLUMN($F$1),FALSE)) - LEN(SUBSTITUTE(VLOOKUP($D267,素材!$1:$1016,COLUMN($F$1),FALSE), "・", 0)) + 1), 0)</f>
        <v>0</v>
      </c>
      <c r="AP267">
        <f>IF(ISNUMBER(SEARCH(SUBSTITUTE(AP$1,RIGHT(AP$1,2),""),VLOOKUP($D267,素材!$1:$1016,COLUMN($F$1),FALSE))),VLOOKUP($C267,武器!$1:$998,COLUMN($O$1),FALSE)*VLOOKUP($D267,素材!$1:$1016,COLUMN($E$1),FALSE)/(LEN(VLOOKUP($D267,素材!$1:$1016,COLUMN($F$1),FALSE)) - LEN(SUBSTITUTE(VLOOKUP($D267,素材!$1:$1016,COLUMN($F$1),FALSE), "・", 0)) + 1), 0)</f>
        <v>0</v>
      </c>
      <c r="AQ267">
        <f>IF(ISNUMBER(SEARCH(SUBSTITUTE(AQ$1,RIGHT(AQ$1,2),""),VLOOKUP($D267,素材!$1:$1016,COLUMN($F$1),FALSE))),VLOOKUP($C267,武器!$1:$998,COLUMN($O$1),FALSE)*VLOOKUP($D267,素材!$1:$1016,COLUMN($E$1),FALSE)/(LEN(VLOOKUP($D267,素材!$1:$1016,COLUMN($F$1),FALSE)) - LEN(SUBSTITUTE(VLOOKUP($D267,素材!$1:$1016,COLUMN($F$1),FALSE), "・", 0)) + 1), 0)</f>
        <v>0</v>
      </c>
      <c r="AR267">
        <f>IF(ISNUMBER(SEARCH(SUBSTITUTE(AR$1,RIGHT(AR$1,2),""),VLOOKUP($D267,素材!$1:$1016,COLUMN($F$1),FALSE))),VLOOKUP($C267,武器!$1:$998,COLUMN($O$1),FALSE)*VLOOKUP($D267,素材!$1:$1016,COLUMN($E$1),FALSE)/(LEN(VLOOKUP($D267,素材!$1:$1016,COLUMN($F$1),FALSE)) - LEN(SUBSTITUTE(VLOOKUP($D267,素材!$1:$1016,COLUMN($F$1),FALSE), "・", 0)) + 1), 0)</f>
        <v>0</v>
      </c>
      <c r="AS267">
        <f>IF(ISNUMBER(SEARCH(SUBSTITUTE(AS$1,RIGHT(AS$1,2),""),VLOOKUP($D267,素材!$1:$1016,COLUMN($F$1),FALSE))),VLOOKUP($C267,武器!$1:$998,COLUMN($O$1),FALSE)*VLOOKUP($D267,素材!$1:$1016,COLUMN($E$1),FALSE)/(LEN(VLOOKUP($D267,素材!$1:$1016,COLUMN($F$1),FALSE)) - LEN(SUBSTITUTE(VLOOKUP($D267,素材!$1:$1016,COLUMN($F$1),FALSE), "・", 0)) + 1), 0)</f>
        <v>0</v>
      </c>
      <c r="AT267">
        <f>IF(ISNUMBER(SEARCH(SUBSTITUTE(AT$1,RIGHT(AT$1,2),""),VLOOKUP($D267,素材!$1:$1016,COLUMN($F$1),FALSE))),VLOOKUP($C267,武器!$1:$998,COLUMN($O$1),FALSE)*VLOOKUP($D267,素材!$1:$1016,COLUMN($E$1),FALSE)/(LEN(VLOOKUP($D267,素材!$1:$1016,COLUMN($F$1),FALSE)) - LEN(SUBSTITUTE(VLOOKUP($D267,素材!$1:$1016,COLUMN($F$1),FALSE), "・", 0)) + 1), 0)</f>
        <v>0</v>
      </c>
      <c r="AU267">
        <f>IF(ISNUMBER(SEARCH(SUBSTITUTE(AU$1,RIGHT(AU$1,2),""),VLOOKUP($D267,素材!$1:$1016,COLUMN($F$1),FALSE))),VLOOKUP($C267,武器!$1:$998,COLUMN($O$1),FALSE)*VLOOKUP($D267,素材!$1:$1016,COLUMN($E$1),FALSE)/(LEN(VLOOKUP($D267,素材!$1:$1016,COLUMN($F$1),FALSE)) - LEN(SUBSTITUTE(VLOOKUP($D267,素材!$1:$1016,COLUMN($F$1),FALSE), "・", 0)) + 1), 0)</f>
        <v>0</v>
      </c>
      <c r="AV267">
        <f>IF(ISNUMBER(SEARCH(SUBSTITUTE(AV$1,RIGHT(AV$1,2),""),VLOOKUP($D267,素材!$1:$1016,COLUMN($F$1),FALSE))),VLOOKUP($C267,武器!$1:$998,COLUMN($O$1),FALSE)*VLOOKUP($D267,素材!$1:$1016,COLUMN($E$1),FALSE)/(LEN(VLOOKUP($D267,素材!$1:$1016,COLUMN($F$1),FALSE)) - LEN(SUBSTITUTE(VLOOKUP($D267,素材!$1:$1016,COLUMN($F$1),FALSE), "・", 0)) + 1), 0)</f>
        <v>0</v>
      </c>
      <c r="AW267">
        <f>IF(ISNUMBER(SEARCH(SUBSTITUTE(AW$1,RIGHT(AW$1,2),""),VLOOKUP($D267,素材!$1:$1016,COLUMN($F$1),FALSE))),VLOOKUP($C267,武器!$1:$998,COLUMN($O$1),FALSE)*VLOOKUP($D267,素材!$1:$1016,COLUMN($E$1),FALSE)/(LEN(VLOOKUP($D267,素材!$1:$1016,COLUMN($F$1),FALSE)) - LEN(SUBSTITUTE(VLOOKUP($D267,素材!$1:$1016,COLUMN($F$1),FALSE), "・", 0)) + 1), 0)</f>
        <v>0</v>
      </c>
      <c r="AX267">
        <f>IF(ISNUMBER(SEARCH(SUBSTITUTE(AX$1,RIGHT(AX$1,2),""),VLOOKUP($D267,素材!$1:$1016,COLUMN($F$1),FALSE))),VLOOKUP($C267,武器!$1:$998,COLUMN($O$1),FALSE)*VLOOKUP($D267,素材!$1:$1016,COLUMN($E$1),FALSE)/(LEN(VLOOKUP($D267,素材!$1:$1016,COLUMN($F$1),FALSE)) - LEN(SUBSTITUTE(VLOOKUP($D267,素材!$1:$1016,COLUMN($F$1),FALSE), "・", 0)) + 1), 0)</f>
        <v>0</v>
      </c>
      <c r="AY267">
        <f>IF(ISNUMBER(SEARCH(SUBSTITUTE(AY$1,RIGHT(AY$1,2),""),VLOOKUP($D267,素材!$1:$1016,COLUMN($F$1),FALSE))),VLOOKUP($C267,武器!$1:$998,COLUMN($O$1),FALSE)*VLOOKUP($D267,素材!$1:$1016,COLUMN($E$1),FALSE)/(LEN(VLOOKUP($D267,素材!$1:$1016,COLUMN($F$1),FALSE)) - LEN(SUBSTITUTE(VLOOKUP($D267,素材!$1:$1016,COLUMN($F$1),FALSE), "・", 0)) + 1), 0)</f>
        <v>0</v>
      </c>
      <c r="AZ267">
        <f>IF(ISNUMBER(SEARCH(SUBSTITUTE(AZ$1,RIGHT(AZ$1,2),""),VLOOKUP($D267,素材!$1:$1016,COLUMN($F$1),FALSE))),VLOOKUP($C267,武器!$1:$998,COLUMN($O$1),FALSE)*VLOOKUP($D267,素材!$1:$1016,COLUMN($E$1),FALSE)/(LEN(VLOOKUP($D267,素材!$1:$1016,COLUMN($F$1),FALSE)) - LEN(SUBSTITUTE(VLOOKUP($D267,素材!$1:$1016,COLUMN($F$1),FALSE), "・", 0)) + 1), 0)</f>
        <v>0</v>
      </c>
      <c r="BA267">
        <f>IF(ISNUMBER(SEARCH(SUBSTITUTE(BA$1,RIGHT(BA$1,2),""),VLOOKUP($D267,素材!$1:$1016,COLUMN($F$1),FALSE))),VLOOKUP($C267,武器!$1:$998,COLUMN($O$1),FALSE)*VLOOKUP($D267,素材!$1:$1016,COLUMN($E$1),FALSE)/(LEN(VLOOKUP($D267,素材!$1:$1016,COLUMN($F$1),FALSE)) - LEN(SUBSTITUTE(VLOOKUP($D267,素材!$1:$1016,COLUMN($F$1),FALSE), "・", 0)) + 1), 0)</f>
        <v>0</v>
      </c>
      <c r="BB267">
        <f>IF(ISNUMBER(SEARCH(SUBSTITUTE(BB$1,RIGHT(BB$1,2),""),VLOOKUP($D267,素材!$1:$1016,COLUMN($F$1),FALSE))),VLOOKUP($C267,武器!$1:$998,COLUMN($O$1),FALSE)*VLOOKUP($D267,素材!$1:$1016,COLUMN($E$1),FALSE)/(LEN(VLOOKUP($D267,素材!$1:$1016,COLUMN($F$1),FALSE)) - LEN(SUBSTITUTE(VLOOKUP($D267,素材!$1:$1016,COLUMN($F$1),FALSE), "・", 0)) + 1), 0)</f>
        <v>0</v>
      </c>
      <c r="BC267">
        <f>IF(ISNUMBER(SEARCH(SUBSTITUTE(BC$1,RIGHT(BC$1,2),""),VLOOKUP($D267,素材!$1:$1016,COLUMN($F$1),FALSE))),VLOOKUP($C267,武器!$1:$998,COLUMN($O$1),FALSE)*VLOOKUP($D267,素材!$1:$1016,COLUMN($E$1),FALSE)/(LEN(VLOOKUP($D267,素材!$1:$1016,COLUMN($F$1),FALSE)) - LEN(SUBSTITUTE(VLOOKUP($D267,素材!$1:$1016,COLUMN($F$1),FALSE), "・", 0)) + 1), 0)</f>
        <v>0</v>
      </c>
      <c r="BD267">
        <f>IF(ISNUMBER(SEARCH(SUBSTITUTE(BD$1,RIGHT(BD$1,2),""),VLOOKUP($D267,素材!$1:$1016,COLUMN($F$1),FALSE))),VLOOKUP($C267,武器!$1:$998,COLUMN($O$1),FALSE)*VLOOKUP($D267,素材!$1:$1016,COLUMN($E$1),FALSE)/(LEN(VLOOKUP($D267,素材!$1:$1016,COLUMN($F$1),FALSE)) - LEN(SUBSTITUTE(VLOOKUP($D267,素材!$1:$1016,COLUMN($F$1),FALSE), "・", 0)) + 1), 0)</f>
        <v>0</v>
      </c>
      <c r="BE267">
        <f>IF(ISNUMBER(SEARCH(SUBSTITUTE(BE$1,RIGHT(BE$1,2),""),VLOOKUP($D267,素材!$1:$1016,COLUMN($F$1),FALSE))),VLOOKUP($C267,武器!$1:$998,COLUMN($O$1),FALSE)*VLOOKUP($D267,素材!$1:$1016,COLUMN($E$1),FALSE)/(LEN(VLOOKUP($D267,素材!$1:$1016,COLUMN($F$1),FALSE)) - LEN(SUBSTITUTE(VLOOKUP($D267,素材!$1:$1016,COLUMN($F$1),FALSE), "・", 0)) + 1), 0)</f>
        <v>0</v>
      </c>
      <c r="CL267">
        <f>SUM(G267:I267)</f>
        <v>0</v>
      </c>
      <c r="CM267" s="22" t="str">
        <f>IF(E267="武器",IF(J267-1&gt;SUM(G267:I267),"盾",IF(MAX(G267:I267)=G267,"切断",IF(MAX(G267:I267)=H267,"貫通",IF(MAX(G267:I267)=I267,"打撃","射撃")))),E267)&amp;".webp"</f>
        <v>体.webp</v>
      </c>
      <c r="CN267">
        <f>IFERROR(VLOOKUP($C267,武器!$1:$998,COLUMN(V$1),FALSE)*VLOOKUP($D267,素材!$1:$1016,COLUMN(N$1),FALSE)+IF(CI267="",0,VLOOKUP($CI267,装強!$1:$1008,COLUMN($CK$1),FALSE)),"")</f>
        <v>3750</v>
      </c>
      <c r="CO267">
        <f>VLOOKUP(D267,素材!$A:$O,COLUMN(素材!O$1),FALSE)</f>
        <v>0</v>
      </c>
      <c r="CP267" t="str">
        <f>VLOOKUP(C267,武器!$A:$W,COLUMN(武器!W$1),FALSE)</f>
        <v>HP 物理 魔法 体幹 出血 疲労 Cr</v>
      </c>
      <c r="CR267" t="str">
        <f t="shared" si="29"/>
        <v>e_267</v>
      </c>
      <c r="CS267">
        <f t="shared" si="30"/>
        <v>375000</v>
      </c>
    </row>
    <row r="268" spans="1:97" outlineLevel="1" x14ac:dyDescent="0.4">
      <c r="A268" t="str">
        <f t="shared" si="32"/>
        <v>熱鉄の靴</v>
      </c>
      <c r="B268" t="str">
        <f>IFERROR(VLOOKUP($D268,素材!$1:$1016,COLUMN($B$1),FALSE)&amp;"・"&amp;VLOOKUP($C268,武器!$1:$998,COLUMN(B$1),FALSE),"")</f>
        <v>ヒートスティール・ブーツ</v>
      </c>
      <c r="C268" t="s">
        <v>206</v>
      </c>
      <c r="D268" s="24" t="s">
        <v>205</v>
      </c>
      <c r="E268" t="str">
        <f>IFERROR(VLOOKUP(C268,武器!$1:$998,COLUMN(C$1),FALSE),"")</f>
        <v>足</v>
      </c>
      <c r="F268">
        <f>IFERROR(ROUNDDOWN((VLOOKUP($C268,武器!$1:$998,COLUMN(D$1),FALSE)+IFERROR(VLOOKUP($CI268,装強!$1:$999,COLUMN(F$1),FALSE),0))*VLOOKUP($D268,素材!$1:$1016,COLUMN(D$1),FALSE),0),"")</f>
        <v>0</v>
      </c>
      <c r="G268">
        <f>IFERROR(ROUNDDOWN((VLOOKUP($C268,武器!$1:$998,COLUMN(E$1),FALSE)+IFERROR(VLOOKUP($CI268,装強!$1:$999,COLUMN(G$1),FALSE),0))*VLOOKUP($D268,素材!$1:$1016,COLUMN($E$1),FALSE),0),"")</f>
        <v>0</v>
      </c>
      <c r="H268">
        <f>IFERROR(ROUNDDOWN((VLOOKUP($C268,武器!$1:$998,COLUMN(F$1),FALSE)+IFERROR(VLOOKUP($CI268,装強!$1:$999,COLUMN(H$1),FALSE),0))*VLOOKUP($D268,素材!$1:$1016,COLUMN($E$1),FALSE),0),"")</f>
        <v>0</v>
      </c>
      <c r="I268">
        <f>IFERROR(ROUNDDOWN((VLOOKUP($C268,武器!$1:$998,COLUMN(G$1),FALSE)+IFERROR(VLOOKUP($CI268,装強!$1:$999,COLUMN(I$1),FALSE),0))*VLOOKUP($D268,素材!$1:$1016,COLUMN($E$1),FALSE),0),"")</f>
        <v>20</v>
      </c>
      <c r="J268">
        <f>IFERROR(ROUNDDOWN((VLOOKUP($C268,武器!$1:$998,COLUMN(H$1),FALSE)+IFERROR(VLOOKUP($CI268,装強!$1:$999,COLUMN(J$1),FALSE),0))*VLOOKUP($D268,素材!$1:$1016,COLUMN($E$1),FALSE),0),"")</f>
        <v>0</v>
      </c>
      <c r="K268">
        <f>IFERROR(ROUNDDOWN((VLOOKUP($C268,武器!$1:$998,COLUMN(I$1),FALSE)+IFERROR(VLOOKUP($CI268,装強!$1:$999,COLUMN(K$1),FALSE),0))*VLOOKUP($D268,素材!$1:$1016,COLUMN($E$1),FALSE),0),"")</f>
        <v>0</v>
      </c>
      <c r="L268" t="str">
        <f>IFERROR(VLOOKUP($D268,素材!$1:$1016,COLUMN($F$1),FALSE),"")</f>
        <v>炎</v>
      </c>
      <c r="M268">
        <f>IFERROR(VLOOKUP($C268,武器!$1:$998,COLUMN(AA$1),FALSE)*VLOOKUP($D268,素材!$1:$1016,COLUMN($G$1),FALSE),"")</f>
        <v>0</v>
      </c>
      <c r="N268">
        <f>IFERROR(VLOOKUP($C268,武器!$1:$998,COLUMN(I$1),FALSE),"")</f>
        <v>0</v>
      </c>
      <c r="O268" s="23">
        <f>IFERROR((VLOOKUP($C268,武器!$1:$998,COLUMN(K$1),FALSE)+VLOOKUP($D268,素材!$1:$1016,COLUMN(H$1),FALSE))*100+IFERROR(VLOOKUP($CI268,装強!$1:$999,COLUMN(O$1),FALSE),0),"")</f>
        <v>10</v>
      </c>
      <c r="P268" s="23">
        <f>IFERROR((VLOOKUP($C268,武器!$1:$998,COLUMN(L$1),FALSE)+VLOOKUP($D268,素材!$1:$1016,COLUMN(I$1),FALSE))*100+IFERROR(VLOOKUP($CI268,装強!$1:$999,COLUMN(P$1),FALSE),0),"")</f>
        <v>150</v>
      </c>
      <c r="Q268">
        <f>IFERROR(ROUNDUP(VLOOKUP($C268,武器!$1:$998,COLUMN(M$1),FALSE)*(VLOOKUP($D268,素材!$1:$1002,COLUMN(D$1),FALSE)/100),1),"")</f>
        <v>0</v>
      </c>
      <c r="R268">
        <f>IFERROR(ROUNDUP(VLOOKUP($C268,武器!$1:$998,COLUMN(N$1),FALSE)*(VLOOKUP($D268,素材!$1:$1002,COLUMN(D$1),FALSE)/100),1),"")</f>
        <v>0</v>
      </c>
      <c r="S268">
        <f>IFERROR(VLOOKUP($C268,武器!$1:$998,COLUMN(P$1),FALSE),"")</f>
        <v>0</v>
      </c>
      <c r="T268">
        <f>IFERROR(VLOOKUP($C268,武器!$1:$998,COLUMN(Q$1),FALSE),"")</f>
        <v>0</v>
      </c>
      <c r="U268">
        <f>IFERROR(VLOOKUP($C268,武器!$1:$998,COLUMN(R$1),FALSE),"")</f>
        <v>0</v>
      </c>
      <c r="V268">
        <f>IFERROR(VLOOKUP($C268,武器!$1:$998,COLUMN(Q$1),FALSE),"")</f>
        <v>0</v>
      </c>
      <c r="W268">
        <f>IFERROR(VLOOKUP($C268,武器!$1:$998,COLUMN(T$1),FALSE),"")</f>
        <v>0</v>
      </c>
      <c r="Y268" t="str">
        <f>IFERROR(VLOOKUP($C268,武器!$1:$998,COLUMN(U$1),FALSE),"")</f>
        <v>足</v>
      </c>
      <c r="Z268">
        <f>IFERROR(ROUNDUP(VLOOKUP($C268,武器!$1:$998,COLUMN(O$1),FALSE)*VLOOKUP($D268,素材!$1:$1016,COLUMN(E$1),FALSE),1),"")</f>
        <v>3</v>
      </c>
      <c r="AA268">
        <f>IF(ISNUMBER(SEARCH(SUBSTITUTE(AA$1,RIGHT(AA$1,2),""),VLOOKUP($D268,素材!$1:$1016,COLUMN($F$1),FALSE))),VLOOKUP($C268,武器!$1:$998,COLUMN($O$1),FALSE)*VLOOKUP($D268,素材!$1:$1016,COLUMN($E$1),FALSE)/(LEN(VLOOKUP($D268,素材!$1:$1016,COLUMN($F$1),FALSE)) - LEN(SUBSTITUTE(VLOOKUP($D268,素材!$1:$1016,COLUMN($F$1),FALSE), "・", 0)) + 1), 0)</f>
        <v>0</v>
      </c>
      <c r="AB268">
        <f>IF(ISNUMBER(SEARCH(SUBSTITUTE(AB$1,RIGHT(AB$1,2),""),VLOOKUP($D268,素材!$1:$1016,COLUMN($F$1),FALSE))),VLOOKUP($C268,武器!$1:$998,COLUMN($O$1),FALSE)*VLOOKUP($D268,素材!$1:$1016,COLUMN($E$1),FALSE)/(LEN(VLOOKUP($D268,素材!$1:$1016,COLUMN($F$1),FALSE)) - LEN(SUBSTITUTE(VLOOKUP($D268,素材!$1:$1016,COLUMN($F$1),FALSE), "・", 0)) + 1), 0)</f>
        <v>0</v>
      </c>
      <c r="AC268">
        <f>IF(ISNUMBER(SEARCH(SUBSTITUTE(AC$1,RIGHT(AC$1,2),""),VLOOKUP($D268,素材!$1:$1016,COLUMN($F$1),FALSE))),VLOOKUP($C268,武器!$1:$998,COLUMN($O$1),FALSE)*VLOOKUP($D268,素材!$1:$1016,COLUMN($E$1),FALSE)/(LEN(VLOOKUP($D268,素材!$1:$1016,COLUMN($F$1),FALSE)) - LEN(SUBSTITUTE(VLOOKUP($D268,素材!$1:$1016,COLUMN($F$1),FALSE), "・", 0)) + 1), 0)</f>
        <v>0</v>
      </c>
      <c r="AD268">
        <f>IF(ISNUMBER(SEARCH(SUBSTITUTE(AD$1,RIGHT(AD$1,2),""),VLOOKUP($D268,素材!$1:$1016,COLUMN($F$1),FALSE))),VLOOKUP($C268,武器!$1:$998,COLUMN($O$1),FALSE)*VLOOKUP($D268,素材!$1:$1016,COLUMN($E$1),FALSE)/(LEN(VLOOKUP($D268,素材!$1:$1016,COLUMN($F$1),FALSE)) - LEN(SUBSTITUTE(VLOOKUP($D268,素材!$1:$1016,COLUMN($F$1),FALSE), "・", 0)) + 1), 0)</f>
        <v>0</v>
      </c>
      <c r="AE268">
        <f>IF(ISNUMBER(SEARCH(SUBSTITUTE(AE$1,RIGHT(AE$1,2),""),VLOOKUP($D268,素材!$1:$1016,COLUMN($F$1),FALSE))),VLOOKUP($C268,武器!$1:$998,COLUMN($O$1),FALSE)*VLOOKUP($D268,素材!$1:$1016,COLUMN($E$1),FALSE)/(LEN(VLOOKUP($D268,素材!$1:$1016,COLUMN($F$1),FALSE)) - LEN(SUBSTITUTE(VLOOKUP($D268,素材!$1:$1016,COLUMN($F$1),FALSE), "・", 0)) + 1), 0)</f>
        <v>3</v>
      </c>
      <c r="AF268">
        <f>IF(ISNUMBER(SEARCH(SUBSTITUTE(AF$1,RIGHT(AF$1,2),""),VLOOKUP($D268,素材!$1:$1016,COLUMN($F$1),FALSE))),VLOOKUP($C268,武器!$1:$998,COLUMN($O$1),FALSE)*VLOOKUP($D268,素材!$1:$1016,COLUMN($E$1),FALSE)/(LEN(VLOOKUP($D268,素材!$1:$1016,COLUMN($F$1),FALSE)) - LEN(SUBSTITUTE(VLOOKUP($D268,素材!$1:$1016,COLUMN($F$1),FALSE), "・", 0)) + 1), 0)</f>
        <v>0</v>
      </c>
      <c r="AG268">
        <f>IF(ISNUMBER(SEARCH(SUBSTITUTE(AG$1,RIGHT(AG$1,2),""),VLOOKUP($D268,素材!$1:$1016,COLUMN($F$1),FALSE))),VLOOKUP($C268,武器!$1:$998,COLUMN($O$1),FALSE)*VLOOKUP($D268,素材!$1:$1016,COLUMN($E$1),FALSE)/(LEN(VLOOKUP($D268,素材!$1:$1016,COLUMN($F$1),FALSE)) - LEN(SUBSTITUTE(VLOOKUP($D268,素材!$1:$1016,COLUMN($F$1),FALSE), "・", 0)) + 1), 0)</f>
        <v>0</v>
      </c>
      <c r="AH268">
        <f>IF(ISNUMBER(SEARCH(SUBSTITUTE(AH$1,RIGHT(AH$1,2),""),VLOOKUP($D268,素材!$1:$1016,COLUMN($F$1),FALSE))),VLOOKUP($C268,武器!$1:$998,COLUMN($O$1),FALSE)*VLOOKUP($D268,素材!$1:$1016,COLUMN($E$1),FALSE)/(LEN(VLOOKUP($D268,素材!$1:$1016,COLUMN($F$1),FALSE)) - LEN(SUBSTITUTE(VLOOKUP($D268,素材!$1:$1016,COLUMN($F$1),FALSE), "・", 0)) + 1), 0)</f>
        <v>0</v>
      </c>
      <c r="AI268">
        <f>IF(ISNUMBER(SEARCH(SUBSTITUTE(AI$1,RIGHT(AI$1,2),""),VLOOKUP($D268,素材!$1:$1016,COLUMN($F$1),FALSE))),VLOOKUP($C268,武器!$1:$998,COLUMN($O$1),FALSE)*VLOOKUP($D268,素材!$1:$1016,COLUMN($E$1),FALSE)/(LEN(VLOOKUP($D268,素材!$1:$1016,COLUMN($F$1),FALSE)) - LEN(SUBSTITUTE(VLOOKUP($D268,素材!$1:$1016,COLUMN($F$1),FALSE), "・", 0)) + 1), 0)</f>
        <v>0</v>
      </c>
      <c r="AJ268">
        <f>IF(ISNUMBER(SEARCH(SUBSTITUTE(AJ$1,RIGHT(AJ$1,2),""),VLOOKUP($D268,素材!$1:$1016,COLUMN($F$1),FALSE))),VLOOKUP($C268,武器!$1:$998,COLUMN($O$1),FALSE)*VLOOKUP($D268,素材!$1:$1016,COLUMN($E$1),FALSE)/(LEN(VLOOKUP($D268,素材!$1:$1016,COLUMN($F$1),FALSE)) - LEN(SUBSTITUTE(VLOOKUP($D268,素材!$1:$1016,COLUMN($F$1),FALSE), "・", 0)) + 1), 0)</f>
        <v>0</v>
      </c>
      <c r="AK268">
        <f>IF(ISNUMBER(SEARCH(SUBSTITUTE(AK$1,RIGHT(AK$1,2),""),VLOOKUP($D268,素材!$1:$1016,COLUMN($F$1),FALSE))),VLOOKUP($C268,武器!$1:$998,COLUMN($O$1),FALSE)*VLOOKUP($D268,素材!$1:$1016,COLUMN($E$1),FALSE)/(LEN(VLOOKUP($D268,素材!$1:$1016,COLUMN($F$1),FALSE)) - LEN(SUBSTITUTE(VLOOKUP($D268,素材!$1:$1016,COLUMN($F$1),FALSE), "・", 0)) + 1), 0)</f>
        <v>0</v>
      </c>
      <c r="AL268">
        <f>IF(ISNUMBER(SEARCH(SUBSTITUTE(AL$1,RIGHT(AL$1,2),""),VLOOKUP($D268,素材!$1:$1016,COLUMN($F$1),FALSE))),VLOOKUP($C268,武器!$1:$998,COLUMN($O$1),FALSE)*VLOOKUP($D268,素材!$1:$1016,COLUMN($E$1),FALSE)/(LEN(VLOOKUP($D268,素材!$1:$1016,COLUMN($F$1),FALSE)) - LEN(SUBSTITUTE(VLOOKUP($D268,素材!$1:$1016,COLUMN($F$1),FALSE), "・", 0)) + 1), 0)</f>
        <v>0</v>
      </c>
      <c r="AM268">
        <f>IF(ISNUMBER(SEARCH(SUBSTITUTE(AM$1,RIGHT(AM$1,2),""),VLOOKUP($D268,素材!$1:$1016,COLUMN($F$1),FALSE))),VLOOKUP($C268,武器!$1:$998,COLUMN($O$1),FALSE)*VLOOKUP($D268,素材!$1:$1016,COLUMN($E$1),FALSE)/(LEN(VLOOKUP($D268,素材!$1:$1016,COLUMN($F$1),FALSE)) - LEN(SUBSTITUTE(VLOOKUP($D268,素材!$1:$1016,COLUMN($F$1),FALSE), "・", 0)) + 1), 0)</f>
        <v>0</v>
      </c>
      <c r="AN268">
        <f>IF(ISNUMBER(SEARCH(SUBSTITUTE(AN$1,RIGHT(AN$1,2),""),VLOOKUP($D268,素材!$1:$1016,COLUMN($F$1),FALSE))),VLOOKUP($C268,武器!$1:$998,COLUMN($O$1),FALSE)*VLOOKUP($D268,素材!$1:$1016,COLUMN($E$1),FALSE)/(LEN(VLOOKUP($D268,素材!$1:$1016,COLUMN($F$1),FALSE)) - LEN(SUBSTITUTE(VLOOKUP($D268,素材!$1:$1016,COLUMN($F$1),FALSE), "・", 0)) + 1), 0)</f>
        <v>0</v>
      </c>
      <c r="AO268">
        <f>IF(ISNUMBER(SEARCH(SUBSTITUTE(AO$1,RIGHT(AO$1,2),""),VLOOKUP($D268,素材!$1:$1016,COLUMN($F$1),FALSE))),VLOOKUP($C268,武器!$1:$998,COLUMN($O$1),FALSE)*VLOOKUP($D268,素材!$1:$1016,COLUMN($E$1),FALSE)/(LEN(VLOOKUP($D268,素材!$1:$1016,COLUMN($F$1),FALSE)) - LEN(SUBSTITUTE(VLOOKUP($D268,素材!$1:$1016,COLUMN($F$1),FALSE), "・", 0)) + 1), 0)</f>
        <v>0</v>
      </c>
      <c r="AP268">
        <f>IF(ISNUMBER(SEARCH(SUBSTITUTE(AP$1,RIGHT(AP$1,2),""),VLOOKUP($D268,素材!$1:$1016,COLUMN($F$1),FALSE))),VLOOKUP($C268,武器!$1:$998,COLUMN($O$1),FALSE)*VLOOKUP($D268,素材!$1:$1016,COLUMN($E$1),FALSE)/(LEN(VLOOKUP($D268,素材!$1:$1016,COLUMN($F$1),FALSE)) - LEN(SUBSTITUTE(VLOOKUP($D268,素材!$1:$1016,COLUMN($F$1),FALSE), "・", 0)) + 1), 0)</f>
        <v>0</v>
      </c>
      <c r="AQ268">
        <f>IF(ISNUMBER(SEARCH(SUBSTITUTE(AQ$1,RIGHT(AQ$1,2),""),VLOOKUP($D268,素材!$1:$1016,COLUMN($F$1),FALSE))),VLOOKUP($C268,武器!$1:$998,COLUMN($O$1),FALSE)*VLOOKUP($D268,素材!$1:$1016,COLUMN($E$1),FALSE)/(LEN(VLOOKUP($D268,素材!$1:$1016,COLUMN($F$1),FALSE)) - LEN(SUBSTITUTE(VLOOKUP($D268,素材!$1:$1016,COLUMN($F$1),FALSE), "・", 0)) + 1), 0)</f>
        <v>0</v>
      </c>
      <c r="AR268">
        <f>IF(ISNUMBER(SEARCH(SUBSTITUTE(AR$1,RIGHT(AR$1,2),""),VLOOKUP($D268,素材!$1:$1016,COLUMN($F$1),FALSE))),VLOOKUP($C268,武器!$1:$998,COLUMN($O$1),FALSE)*VLOOKUP($D268,素材!$1:$1016,COLUMN($E$1),FALSE)/(LEN(VLOOKUP($D268,素材!$1:$1016,COLUMN($F$1),FALSE)) - LEN(SUBSTITUTE(VLOOKUP($D268,素材!$1:$1016,COLUMN($F$1),FALSE), "・", 0)) + 1), 0)</f>
        <v>0</v>
      </c>
      <c r="AS268">
        <f>IF(ISNUMBER(SEARCH(SUBSTITUTE(AS$1,RIGHT(AS$1,2),""),VLOOKUP($D268,素材!$1:$1016,COLUMN($F$1),FALSE))),VLOOKUP($C268,武器!$1:$998,COLUMN($O$1),FALSE)*VLOOKUP($D268,素材!$1:$1016,COLUMN($E$1),FALSE)/(LEN(VLOOKUP($D268,素材!$1:$1016,COLUMN($F$1),FALSE)) - LEN(SUBSTITUTE(VLOOKUP($D268,素材!$1:$1016,COLUMN($F$1),FALSE), "・", 0)) + 1), 0)</f>
        <v>0</v>
      </c>
      <c r="AT268">
        <f>IF(ISNUMBER(SEARCH(SUBSTITUTE(AT$1,RIGHT(AT$1,2),""),VLOOKUP($D268,素材!$1:$1016,COLUMN($F$1),FALSE))),VLOOKUP($C268,武器!$1:$998,COLUMN($O$1),FALSE)*VLOOKUP($D268,素材!$1:$1016,COLUMN($E$1),FALSE)/(LEN(VLOOKUP($D268,素材!$1:$1016,COLUMN($F$1),FALSE)) - LEN(SUBSTITUTE(VLOOKUP($D268,素材!$1:$1016,COLUMN($F$1),FALSE), "・", 0)) + 1), 0)</f>
        <v>0</v>
      </c>
      <c r="AU268">
        <f>IF(ISNUMBER(SEARCH(SUBSTITUTE(AU$1,RIGHT(AU$1,2),""),VLOOKUP($D268,素材!$1:$1016,COLUMN($F$1),FALSE))),VLOOKUP($C268,武器!$1:$998,COLUMN($O$1),FALSE)*VLOOKUP($D268,素材!$1:$1016,COLUMN($E$1),FALSE)/(LEN(VLOOKUP($D268,素材!$1:$1016,COLUMN($F$1),FALSE)) - LEN(SUBSTITUTE(VLOOKUP($D268,素材!$1:$1016,COLUMN($F$1),FALSE), "・", 0)) + 1), 0)</f>
        <v>0</v>
      </c>
      <c r="AV268">
        <f>IF(ISNUMBER(SEARCH(SUBSTITUTE(AV$1,RIGHT(AV$1,2),""),VLOOKUP($D268,素材!$1:$1016,COLUMN($F$1),FALSE))),VLOOKUP($C268,武器!$1:$998,COLUMN($O$1),FALSE)*VLOOKUP($D268,素材!$1:$1016,COLUMN($E$1),FALSE)/(LEN(VLOOKUP($D268,素材!$1:$1016,COLUMN($F$1),FALSE)) - LEN(SUBSTITUTE(VLOOKUP($D268,素材!$1:$1016,COLUMN($F$1),FALSE), "・", 0)) + 1), 0)</f>
        <v>0</v>
      </c>
      <c r="AW268">
        <f>IF(ISNUMBER(SEARCH(SUBSTITUTE(AW$1,RIGHT(AW$1,2),""),VLOOKUP($D268,素材!$1:$1016,COLUMN($F$1),FALSE))),VLOOKUP($C268,武器!$1:$998,COLUMN($O$1),FALSE)*VLOOKUP($D268,素材!$1:$1016,COLUMN($E$1),FALSE)/(LEN(VLOOKUP($D268,素材!$1:$1016,COLUMN($F$1),FALSE)) - LEN(SUBSTITUTE(VLOOKUP($D268,素材!$1:$1016,COLUMN($F$1),FALSE), "・", 0)) + 1), 0)</f>
        <v>0</v>
      </c>
      <c r="AX268">
        <f>IF(ISNUMBER(SEARCH(SUBSTITUTE(AX$1,RIGHT(AX$1,2),""),VLOOKUP($D268,素材!$1:$1016,COLUMN($F$1),FALSE))),VLOOKUP($C268,武器!$1:$998,COLUMN($O$1),FALSE)*VLOOKUP($D268,素材!$1:$1016,COLUMN($E$1),FALSE)/(LEN(VLOOKUP($D268,素材!$1:$1016,COLUMN($F$1),FALSE)) - LEN(SUBSTITUTE(VLOOKUP($D268,素材!$1:$1016,COLUMN($F$1),FALSE), "・", 0)) + 1), 0)</f>
        <v>0</v>
      </c>
      <c r="AY268">
        <f>IF(ISNUMBER(SEARCH(SUBSTITUTE(AY$1,RIGHT(AY$1,2),""),VLOOKUP($D268,素材!$1:$1016,COLUMN($F$1),FALSE))),VLOOKUP($C268,武器!$1:$998,COLUMN($O$1),FALSE)*VLOOKUP($D268,素材!$1:$1016,COLUMN($E$1),FALSE)/(LEN(VLOOKUP($D268,素材!$1:$1016,COLUMN($F$1),FALSE)) - LEN(SUBSTITUTE(VLOOKUP($D268,素材!$1:$1016,COLUMN($F$1),FALSE), "・", 0)) + 1), 0)</f>
        <v>0</v>
      </c>
      <c r="AZ268">
        <f>IF(ISNUMBER(SEARCH(SUBSTITUTE(AZ$1,RIGHT(AZ$1,2),""),VLOOKUP($D268,素材!$1:$1016,COLUMN($F$1),FALSE))),VLOOKUP($C268,武器!$1:$998,COLUMN($O$1),FALSE)*VLOOKUP($D268,素材!$1:$1016,COLUMN($E$1),FALSE)/(LEN(VLOOKUP($D268,素材!$1:$1016,COLUMN($F$1),FALSE)) - LEN(SUBSTITUTE(VLOOKUP($D268,素材!$1:$1016,COLUMN($F$1),FALSE), "・", 0)) + 1), 0)</f>
        <v>0</v>
      </c>
      <c r="BA268">
        <f>IF(ISNUMBER(SEARCH(SUBSTITUTE(BA$1,RIGHT(BA$1,2),""),VLOOKUP($D268,素材!$1:$1016,COLUMN($F$1),FALSE))),VLOOKUP($C268,武器!$1:$998,COLUMN($O$1),FALSE)*VLOOKUP($D268,素材!$1:$1016,COLUMN($E$1),FALSE)/(LEN(VLOOKUP($D268,素材!$1:$1016,COLUMN($F$1),FALSE)) - LEN(SUBSTITUTE(VLOOKUP($D268,素材!$1:$1016,COLUMN($F$1),FALSE), "・", 0)) + 1), 0)</f>
        <v>0</v>
      </c>
      <c r="BB268">
        <f>IF(ISNUMBER(SEARCH(SUBSTITUTE(BB$1,RIGHT(BB$1,2),""),VLOOKUP($D268,素材!$1:$1016,COLUMN($F$1),FALSE))),VLOOKUP($C268,武器!$1:$998,COLUMN($O$1),FALSE)*VLOOKUP($D268,素材!$1:$1016,COLUMN($E$1),FALSE)/(LEN(VLOOKUP($D268,素材!$1:$1016,COLUMN($F$1),FALSE)) - LEN(SUBSTITUTE(VLOOKUP($D268,素材!$1:$1016,COLUMN($F$1),FALSE), "・", 0)) + 1), 0)</f>
        <v>0</v>
      </c>
      <c r="BC268">
        <f>IF(ISNUMBER(SEARCH(SUBSTITUTE(BC$1,RIGHT(BC$1,2),""),VLOOKUP($D268,素材!$1:$1016,COLUMN($F$1),FALSE))),VLOOKUP($C268,武器!$1:$998,COLUMN($O$1),FALSE)*VLOOKUP($D268,素材!$1:$1016,COLUMN($E$1),FALSE)/(LEN(VLOOKUP($D268,素材!$1:$1016,COLUMN($F$1),FALSE)) - LEN(SUBSTITUTE(VLOOKUP($D268,素材!$1:$1016,COLUMN($F$1),FALSE), "・", 0)) + 1), 0)</f>
        <v>0</v>
      </c>
      <c r="BD268">
        <f>IF(ISNUMBER(SEARCH(SUBSTITUTE(BD$1,RIGHT(BD$1,2),""),VLOOKUP($D268,素材!$1:$1016,COLUMN($F$1),FALSE))),VLOOKUP($C268,武器!$1:$998,COLUMN($O$1),FALSE)*VLOOKUP($D268,素材!$1:$1016,COLUMN($E$1),FALSE)/(LEN(VLOOKUP($D268,素材!$1:$1016,COLUMN($F$1),FALSE)) - LEN(SUBSTITUTE(VLOOKUP($D268,素材!$1:$1016,COLUMN($F$1),FALSE), "・", 0)) + 1), 0)</f>
        <v>0</v>
      </c>
      <c r="BE268">
        <f>IF(ISNUMBER(SEARCH(SUBSTITUTE(BE$1,RIGHT(BE$1,2),""),VLOOKUP($D268,素材!$1:$1016,COLUMN($F$1),FALSE))),VLOOKUP($C268,武器!$1:$998,COLUMN($O$1),FALSE)*VLOOKUP($D268,素材!$1:$1016,COLUMN($E$1),FALSE)/(LEN(VLOOKUP($D268,素材!$1:$1016,COLUMN($F$1),FALSE)) - LEN(SUBSTITUTE(VLOOKUP($D268,素材!$1:$1016,COLUMN($F$1),FALSE), "・", 0)) + 1), 0)</f>
        <v>0</v>
      </c>
      <c r="CL268">
        <f>SUM(G268:I268)</f>
        <v>20</v>
      </c>
      <c r="CM268" s="22" t="str">
        <f>IF(E268="武器",IF(J268-1&gt;SUM(G268:I268),"盾",IF(MAX(G268:I268)=G268,"切断",IF(MAX(G268:I268)=H268,"貫通",IF(MAX(G268:I268)=I268,"打撃","射撃")))),E268)&amp;".webp"</f>
        <v>足.webp</v>
      </c>
      <c r="CN268">
        <f>IFERROR(VLOOKUP($C268,武器!$1:$998,COLUMN(V$1),FALSE)*VLOOKUP($D268,素材!$1:$1016,COLUMN(N$1),FALSE)+IF(CI268="",0,VLOOKUP($CI268,装強!$1:$1008,COLUMN($CK$1),FALSE)),"")</f>
        <v>1500</v>
      </c>
      <c r="CO268">
        <f>VLOOKUP(D268,素材!$A:$O,COLUMN(素材!O$1),FALSE)</f>
        <v>0</v>
      </c>
      <c r="CP268" t="str">
        <f>VLOOKUP(C268,武器!$A:$W,COLUMN(武器!W$1),FALSE)</f>
        <v>速度 隠密 軽業 体幹</v>
      </c>
      <c r="CR268" t="str">
        <f t="shared" si="29"/>
        <v>e_268</v>
      </c>
      <c r="CS268">
        <f t="shared" si="30"/>
        <v>150000</v>
      </c>
    </row>
    <row r="269" spans="1:97" x14ac:dyDescent="0.4">
      <c r="B269" t="str">
        <f>IFERROR(VLOOKUP($D269,素材!$1:$1016,COLUMN($B$1),FALSE)&amp;"・"&amp;VLOOKUP($C269,武器!$1:$998,COLUMN(B$1),FALSE),"")</f>
        <v/>
      </c>
      <c r="C269" s="24"/>
      <c r="D269" s="24"/>
      <c r="E269" t="str">
        <f>IFERROR(VLOOKUP(C269,武器!$1:$998,COLUMN(C$1),FALSE),"")</f>
        <v/>
      </c>
      <c r="F269" t="str">
        <f>IFERROR(ROUNDDOWN((VLOOKUP($C269,武器!$1:$998,COLUMN(D$1),FALSE)+IFERROR(VLOOKUP($CI269,装強!$1:$999,COLUMN(F$1),FALSE),0))*VLOOKUP($D269,素材!$1:$1016,COLUMN(D$1),FALSE),0),"")</f>
        <v/>
      </c>
      <c r="G269" t="str">
        <f>IFERROR(ROUNDDOWN((VLOOKUP($C269,武器!$1:$998,COLUMN(E$1),FALSE)+IFERROR(VLOOKUP($CI269,装強!$1:$999,COLUMN(G$1),FALSE),0))*VLOOKUP($D269,素材!$1:$1016,COLUMN($E$1),FALSE),0),"")</f>
        <v/>
      </c>
      <c r="H269" t="str">
        <f>IFERROR(ROUNDDOWN((VLOOKUP($C269,武器!$1:$998,COLUMN(F$1),FALSE)+IFERROR(VLOOKUP($CI269,装強!$1:$999,COLUMN(H$1),FALSE),0))*VLOOKUP($D269,素材!$1:$1016,COLUMN($E$1),FALSE),0),"")</f>
        <v/>
      </c>
      <c r="I269" t="str">
        <f>IFERROR(ROUNDDOWN((VLOOKUP($C269,武器!$1:$998,COLUMN(G$1),FALSE)+IFERROR(VLOOKUP($CI269,装強!$1:$999,COLUMN(I$1),FALSE),0))*VLOOKUP($D269,素材!$1:$1016,COLUMN($E$1),FALSE),0),"")</f>
        <v/>
      </c>
      <c r="J269" t="str">
        <f>IFERROR(ROUNDDOWN((VLOOKUP($C269,武器!$1:$998,COLUMN(H$1),FALSE)+IFERROR(VLOOKUP($CI269,装強!$1:$999,COLUMN(J$1),FALSE),0))*VLOOKUP($D269,素材!$1:$1016,COLUMN($E$1),FALSE),0),"")</f>
        <v/>
      </c>
      <c r="K269" t="str">
        <f>IFERROR(ROUNDDOWN((VLOOKUP($C269,武器!$1:$998,COLUMN(I$1),FALSE)+IFERROR(VLOOKUP($CI269,装強!$1:$999,COLUMN(K$1),FALSE),0))*VLOOKUP($D269,素材!$1:$1016,COLUMN($E$1),FALSE),0),"")</f>
        <v/>
      </c>
      <c r="L269" t="str">
        <f>IFERROR(VLOOKUP($D269,素材!$1:$1016,COLUMN($F$1),FALSE),"")</f>
        <v/>
      </c>
      <c r="M269" t="str">
        <f>IFERROR(VLOOKUP($C269,武器!$1:$998,COLUMN(AA$1),FALSE)*VLOOKUP($D269,素材!$1:$1016,COLUMN($G$1),FALSE),"")</f>
        <v/>
      </c>
      <c r="N269" t="str">
        <f>IFERROR(VLOOKUP($C269,武器!$1:$998,COLUMN(I$1),FALSE),"")</f>
        <v/>
      </c>
      <c r="O269" s="23" t="str">
        <f>IFERROR((VLOOKUP($C269,武器!$1:$998,COLUMN(K$1),FALSE)+VLOOKUP($D269,素材!$1:$1016,COLUMN(H$1),FALSE))*100+IFERROR(VLOOKUP($CI269,装強!$1:$999,COLUMN(O$1),FALSE),0),"")</f>
        <v/>
      </c>
      <c r="P269" s="23" t="str">
        <f>IFERROR((VLOOKUP($C269,武器!$1:$998,COLUMN(L$1),FALSE)+VLOOKUP($D269,素材!$1:$1016,COLUMN(I$1),FALSE))*100+IFERROR(VLOOKUP($CI269,装強!$1:$999,COLUMN(P$1),FALSE),0),"")</f>
        <v/>
      </c>
      <c r="Q269" t="str">
        <f>IFERROR(ROUNDUP(VLOOKUP($C269,武器!$1:$998,COLUMN(M$1),FALSE)*(VLOOKUP($D269,素材!$1:$1002,COLUMN(D$1),FALSE)/100),1),"")</f>
        <v/>
      </c>
      <c r="R269" t="str">
        <f>IFERROR(ROUNDUP(VLOOKUP($C269,武器!$1:$998,COLUMN(N$1),FALSE)*(VLOOKUP($D269,素材!$1:$1002,COLUMN(D$1),FALSE)/100),1),"")</f>
        <v/>
      </c>
      <c r="S269" t="str">
        <f>IFERROR(VLOOKUP($C269,武器!$1:$998,COLUMN(P$1),FALSE),"")</f>
        <v/>
      </c>
      <c r="T269" t="str">
        <f>IFERROR(VLOOKUP($C269,武器!$1:$998,COLUMN(Q$1),FALSE),"")</f>
        <v/>
      </c>
      <c r="U269" t="str">
        <f>IFERROR(VLOOKUP($C269,武器!$1:$998,COLUMN(R$1),FALSE),"")</f>
        <v/>
      </c>
      <c r="V269" t="str">
        <f>IFERROR(VLOOKUP($C269,武器!$1:$998,COLUMN(Q$1),FALSE),"")</f>
        <v/>
      </c>
      <c r="W269" t="str">
        <f>IFERROR(VLOOKUP($C269,武器!$1:$998,COLUMN(T$1),FALSE),"")</f>
        <v/>
      </c>
      <c r="Y269" t="str">
        <f>IFERROR(VLOOKUP($C269,武器!$1:$998,COLUMN(U$1),FALSE),"")</f>
        <v/>
      </c>
      <c r="Z269" t="str">
        <f>IFERROR(ROUNDUP(VLOOKUP($C269,武器!$1:$998,COLUMN(O$1),FALSE)*VLOOKUP($D269,素材!$1:$1016,COLUMN(E$1),FALSE),1),"")</f>
        <v/>
      </c>
      <c r="AA269">
        <f>IF(ISNUMBER(SEARCH(SUBSTITUTE(AA$1,RIGHT(AA$1,2),""),VLOOKUP($D269,素材!$1:$1016,COLUMN($F$1),FALSE))),VLOOKUP($C269,武器!$1:$998,COLUMN($O$1),FALSE)*VLOOKUP($D269,素材!$1:$1016,COLUMN($E$1),FALSE)/(LEN(VLOOKUP($D269,素材!$1:$1016,COLUMN($F$1),FALSE)) - LEN(SUBSTITUTE(VLOOKUP($D269,素材!$1:$1016,COLUMN($F$1),FALSE), "・", 0)) + 1), 0)</f>
        <v>0</v>
      </c>
      <c r="AB269">
        <f>IF(ISNUMBER(SEARCH(SUBSTITUTE(AB$1,RIGHT(AB$1,2),""),VLOOKUP($D269,素材!$1:$1016,COLUMN($F$1),FALSE))),VLOOKUP($C269,武器!$1:$998,COLUMN($O$1),FALSE)*VLOOKUP($D269,素材!$1:$1016,COLUMN($E$1),FALSE)/(LEN(VLOOKUP($D269,素材!$1:$1016,COLUMN($F$1),FALSE)) - LEN(SUBSTITUTE(VLOOKUP($D269,素材!$1:$1016,COLUMN($F$1),FALSE), "・", 0)) + 1), 0)</f>
        <v>0</v>
      </c>
      <c r="AC269">
        <f>IF(ISNUMBER(SEARCH(SUBSTITUTE(AC$1,RIGHT(AC$1,2),""),VLOOKUP($D269,素材!$1:$1016,COLUMN($F$1),FALSE))),VLOOKUP($C269,武器!$1:$998,COLUMN($O$1),FALSE)*VLOOKUP($D269,素材!$1:$1016,COLUMN($E$1),FALSE)/(LEN(VLOOKUP($D269,素材!$1:$1016,COLUMN($F$1),FALSE)) - LEN(SUBSTITUTE(VLOOKUP($D269,素材!$1:$1016,COLUMN($F$1),FALSE), "・", 0)) + 1), 0)</f>
        <v>0</v>
      </c>
      <c r="AD269">
        <f>IF(ISNUMBER(SEARCH(SUBSTITUTE(AD$1,RIGHT(AD$1,2),""),VLOOKUP($D269,素材!$1:$1016,COLUMN($F$1),FALSE))),VLOOKUP($C269,武器!$1:$998,COLUMN($O$1),FALSE)*VLOOKUP($D269,素材!$1:$1016,COLUMN($E$1),FALSE)/(LEN(VLOOKUP($D269,素材!$1:$1016,COLUMN($F$1),FALSE)) - LEN(SUBSTITUTE(VLOOKUP($D269,素材!$1:$1016,COLUMN($F$1),FALSE), "・", 0)) + 1), 0)</f>
        <v>0</v>
      </c>
      <c r="AE269">
        <f>IF(ISNUMBER(SEARCH(SUBSTITUTE(AE$1,RIGHT(AE$1,2),""),VLOOKUP($D269,素材!$1:$1016,COLUMN($F$1),FALSE))),VLOOKUP($C269,武器!$1:$998,COLUMN($O$1),FALSE)*VLOOKUP($D269,素材!$1:$1016,COLUMN($E$1),FALSE)/(LEN(VLOOKUP($D269,素材!$1:$1016,COLUMN($F$1),FALSE)) - LEN(SUBSTITUTE(VLOOKUP($D269,素材!$1:$1016,COLUMN($F$1),FALSE), "・", 0)) + 1), 0)</f>
        <v>0</v>
      </c>
      <c r="AF269">
        <f>IF(ISNUMBER(SEARCH(SUBSTITUTE(AF$1,RIGHT(AF$1,2),""),VLOOKUP($D269,素材!$1:$1016,COLUMN($F$1),FALSE))),VLOOKUP($C269,武器!$1:$998,COLUMN($O$1),FALSE)*VLOOKUP($D269,素材!$1:$1016,COLUMN($E$1),FALSE)/(LEN(VLOOKUP($D269,素材!$1:$1016,COLUMN($F$1),FALSE)) - LEN(SUBSTITUTE(VLOOKUP($D269,素材!$1:$1016,COLUMN($F$1),FALSE), "・", 0)) + 1), 0)</f>
        <v>0</v>
      </c>
      <c r="AG269">
        <f>IF(ISNUMBER(SEARCH(SUBSTITUTE(AG$1,RIGHT(AG$1,2),""),VLOOKUP($D269,素材!$1:$1016,COLUMN($F$1),FALSE))),VLOOKUP($C269,武器!$1:$998,COLUMN($O$1),FALSE)*VLOOKUP($D269,素材!$1:$1016,COLUMN($E$1),FALSE)/(LEN(VLOOKUP($D269,素材!$1:$1016,COLUMN($F$1),FALSE)) - LEN(SUBSTITUTE(VLOOKUP($D269,素材!$1:$1016,COLUMN($F$1),FALSE), "・", 0)) + 1), 0)</f>
        <v>0</v>
      </c>
      <c r="AH269">
        <f>IF(ISNUMBER(SEARCH(SUBSTITUTE(AH$1,RIGHT(AH$1,2),""),VLOOKUP($D269,素材!$1:$1016,COLUMN($F$1),FALSE))),VLOOKUP($C269,武器!$1:$998,COLUMN($O$1),FALSE)*VLOOKUP($D269,素材!$1:$1016,COLUMN($E$1),FALSE)/(LEN(VLOOKUP($D269,素材!$1:$1016,COLUMN($F$1),FALSE)) - LEN(SUBSTITUTE(VLOOKUP($D269,素材!$1:$1016,COLUMN($F$1),FALSE), "・", 0)) + 1), 0)</f>
        <v>0</v>
      </c>
      <c r="AI269">
        <f>IF(ISNUMBER(SEARCH(SUBSTITUTE(AI$1,RIGHT(AI$1,2),""),VLOOKUP($D269,素材!$1:$1016,COLUMN($F$1),FALSE))),VLOOKUP($C269,武器!$1:$998,COLUMN($O$1),FALSE)*VLOOKUP($D269,素材!$1:$1016,COLUMN($E$1),FALSE)/(LEN(VLOOKUP($D269,素材!$1:$1016,COLUMN($F$1),FALSE)) - LEN(SUBSTITUTE(VLOOKUP($D269,素材!$1:$1016,COLUMN($F$1),FALSE), "・", 0)) + 1), 0)</f>
        <v>0</v>
      </c>
      <c r="AJ269">
        <f>IF(ISNUMBER(SEARCH(SUBSTITUTE(AJ$1,RIGHT(AJ$1,2),""),VLOOKUP($D269,素材!$1:$1016,COLUMN($F$1),FALSE))),VLOOKUP($C269,武器!$1:$998,COLUMN($O$1),FALSE)*VLOOKUP($D269,素材!$1:$1016,COLUMN($E$1),FALSE)/(LEN(VLOOKUP($D269,素材!$1:$1016,COLUMN($F$1),FALSE)) - LEN(SUBSTITUTE(VLOOKUP($D269,素材!$1:$1016,COLUMN($F$1),FALSE), "・", 0)) + 1), 0)</f>
        <v>0</v>
      </c>
      <c r="AK269">
        <f>IF(ISNUMBER(SEARCH(SUBSTITUTE(AK$1,RIGHT(AK$1,2),""),VLOOKUP($D269,素材!$1:$1016,COLUMN($F$1),FALSE))),VLOOKUP($C269,武器!$1:$998,COLUMN($O$1),FALSE)*VLOOKUP($D269,素材!$1:$1016,COLUMN($E$1),FALSE)/(LEN(VLOOKUP($D269,素材!$1:$1016,COLUMN($F$1),FALSE)) - LEN(SUBSTITUTE(VLOOKUP($D269,素材!$1:$1016,COLUMN($F$1),FALSE), "・", 0)) + 1), 0)</f>
        <v>0</v>
      </c>
      <c r="AL269">
        <f>IF(ISNUMBER(SEARCH(SUBSTITUTE(AL$1,RIGHT(AL$1,2),""),VLOOKUP($D269,素材!$1:$1016,COLUMN($F$1),FALSE))),VLOOKUP($C269,武器!$1:$998,COLUMN($O$1),FALSE)*VLOOKUP($D269,素材!$1:$1016,COLUMN($E$1),FALSE)/(LEN(VLOOKUP($D269,素材!$1:$1016,COLUMN($F$1),FALSE)) - LEN(SUBSTITUTE(VLOOKUP($D269,素材!$1:$1016,COLUMN($F$1),FALSE), "・", 0)) + 1), 0)</f>
        <v>0</v>
      </c>
      <c r="AM269">
        <f>IF(ISNUMBER(SEARCH(SUBSTITUTE(AM$1,RIGHT(AM$1,2),""),VLOOKUP($D269,素材!$1:$1016,COLUMN($F$1),FALSE))),VLOOKUP($C269,武器!$1:$998,COLUMN($O$1),FALSE)*VLOOKUP($D269,素材!$1:$1016,COLUMN($E$1),FALSE)/(LEN(VLOOKUP($D269,素材!$1:$1016,COLUMN($F$1),FALSE)) - LEN(SUBSTITUTE(VLOOKUP($D269,素材!$1:$1016,COLUMN($F$1),FALSE), "・", 0)) + 1), 0)</f>
        <v>0</v>
      </c>
      <c r="AN269">
        <f>IF(ISNUMBER(SEARCH(SUBSTITUTE(AN$1,RIGHT(AN$1,2),""),VLOOKUP($D269,素材!$1:$1016,COLUMN($F$1),FALSE))),VLOOKUP($C269,武器!$1:$998,COLUMN($O$1),FALSE)*VLOOKUP($D269,素材!$1:$1016,COLUMN($E$1),FALSE)/(LEN(VLOOKUP($D269,素材!$1:$1016,COLUMN($F$1),FALSE)) - LEN(SUBSTITUTE(VLOOKUP($D269,素材!$1:$1016,COLUMN($F$1),FALSE), "・", 0)) + 1), 0)</f>
        <v>0</v>
      </c>
      <c r="AO269">
        <f>IF(ISNUMBER(SEARCH(SUBSTITUTE(AO$1,RIGHT(AO$1,2),""),VLOOKUP($D269,素材!$1:$1016,COLUMN($F$1),FALSE))),VLOOKUP($C269,武器!$1:$998,COLUMN($O$1),FALSE)*VLOOKUP($D269,素材!$1:$1016,COLUMN($E$1),FALSE)/(LEN(VLOOKUP($D269,素材!$1:$1016,COLUMN($F$1),FALSE)) - LEN(SUBSTITUTE(VLOOKUP($D269,素材!$1:$1016,COLUMN($F$1),FALSE), "・", 0)) + 1), 0)</f>
        <v>0</v>
      </c>
      <c r="AP269">
        <f>IF(ISNUMBER(SEARCH(SUBSTITUTE(AP$1,RIGHT(AP$1,2),""),VLOOKUP($D269,素材!$1:$1016,COLUMN($F$1),FALSE))),VLOOKUP($C269,武器!$1:$998,COLUMN($O$1),FALSE)*VLOOKUP($D269,素材!$1:$1016,COLUMN($E$1),FALSE)/(LEN(VLOOKUP($D269,素材!$1:$1016,COLUMN($F$1),FALSE)) - LEN(SUBSTITUTE(VLOOKUP($D269,素材!$1:$1016,COLUMN($F$1),FALSE), "・", 0)) + 1), 0)</f>
        <v>0</v>
      </c>
      <c r="AQ269">
        <f>IF(ISNUMBER(SEARCH(SUBSTITUTE(AQ$1,RIGHT(AQ$1,2),""),VLOOKUP($D269,素材!$1:$1016,COLUMN($F$1),FALSE))),VLOOKUP($C269,武器!$1:$998,COLUMN($O$1),FALSE)*VLOOKUP($D269,素材!$1:$1016,COLUMN($E$1),FALSE)/(LEN(VLOOKUP($D269,素材!$1:$1016,COLUMN($F$1),FALSE)) - LEN(SUBSTITUTE(VLOOKUP($D269,素材!$1:$1016,COLUMN($F$1),FALSE), "・", 0)) + 1), 0)</f>
        <v>0</v>
      </c>
      <c r="AR269">
        <f>IF(ISNUMBER(SEARCH(SUBSTITUTE(AR$1,RIGHT(AR$1,2),""),VLOOKUP($D269,素材!$1:$1016,COLUMN($F$1),FALSE))),VLOOKUP($C269,武器!$1:$998,COLUMN($O$1),FALSE)*VLOOKUP($D269,素材!$1:$1016,COLUMN($E$1),FALSE)/(LEN(VLOOKUP($D269,素材!$1:$1016,COLUMN($F$1),FALSE)) - LEN(SUBSTITUTE(VLOOKUP($D269,素材!$1:$1016,COLUMN($F$1),FALSE), "・", 0)) + 1), 0)</f>
        <v>0</v>
      </c>
      <c r="AS269">
        <f>IF(ISNUMBER(SEARCH(SUBSTITUTE(AS$1,RIGHT(AS$1,2),""),VLOOKUP($D269,素材!$1:$1016,COLUMN($F$1),FALSE))),VLOOKUP($C269,武器!$1:$998,COLUMN($O$1),FALSE)*VLOOKUP($D269,素材!$1:$1016,COLUMN($E$1),FALSE)/(LEN(VLOOKUP($D269,素材!$1:$1016,COLUMN($F$1),FALSE)) - LEN(SUBSTITUTE(VLOOKUP($D269,素材!$1:$1016,COLUMN($F$1),FALSE), "・", 0)) + 1), 0)</f>
        <v>0</v>
      </c>
      <c r="AT269">
        <f>IF(ISNUMBER(SEARCH(SUBSTITUTE(AT$1,RIGHT(AT$1,2),""),VLOOKUP($D269,素材!$1:$1016,COLUMN($F$1),FALSE))),VLOOKUP($C269,武器!$1:$998,COLUMN($O$1),FALSE)*VLOOKUP($D269,素材!$1:$1016,COLUMN($E$1),FALSE)/(LEN(VLOOKUP($D269,素材!$1:$1016,COLUMN($F$1),FALSE)) - LEN(SUBSTITUTE(VLOOKUP($D269,素材!$1:$1016,COLUMN($F$1),FALSE), "・", 0)) + 1), 0)</f>
        <v>0</v>
      </c>
      <c r="AU269">
        <f>IF(ISNUMBER(SEARCH(SUBSTITUTE(AU$1,RIGHT(AU$1,2),""),VLOOKUP($D269,素材!$1:$1016,COLUMN($F$1),FALSE))),VLOOKUP($C269,武器!$1:$998,COLUMN($O$1),FALSE)*VLOOKUP($D269,素材!$1:$1016,COLUMN($E$1),FALSE)/(LEN(VLOOKUP($D269,素材!$1:$1016,COLUMN($F$1),FALSE)) - LEN(SUBSTITUTE(VLOOKUP($D269,素材!$1:$1016,COLUMN($F$1),FALSE), "・", 0)) + 1), 0)</f>
        <v>0</v>
      </c>
      <c r="AV269">
        <f>IF(ISNUMBER(SEARCH(SUBSTITUTE(AV$1,RIGHT(AV$1,2),""),VLOOKUP($D269,素材!$1:$1016,COLUMN($F$1),FALSE))),VLOOKUP($C269,武器!$1:$998,COLUMN($O$1),FALSE)*VLOOKUP($D269,素材!$1:$1016,COLUMN($E$1),FALSE)/(LEN(VLOOKUP($D269,素材!$1:$1016,COLUMN($F$1),FALSE)) - LEN(SUBSTITUTE(VLOOKUP($D269,素材!$1:$1016,COLUMN($F$1),FALSE), "・", 0)) + 1), 0)</f>
        <v>0</v>
      </c>
      <c r="AW269">
        <f>IF(ISNUMBER(SEARCH(SUBSTITUTE(AW$1,RIGHT(AW$1,2),""),VLOOKUP($D269,素材!$1:$1016,COLUMN($F$1),FALSE))),VLOOKUP($C269,武器!$1:$998,COLUMN($O$1),FALSE)*VLOOKUP($D269,素材!$1:$1016,COLUMN($E$1),FALSE)/(LEN(VLOOKUP($D269,素材!$1:$1016,COLUMN($F$1),FALSE)) - LEN(SUBSTITUTE(VLOOKUP($D269,素材!$1:$1016,COLUMN($F$1),FALSE), "・", 0)) + 1), 0)</f>
        <v>0</v>
      </c>
      <c r="AX269">
        <f>IF(ISNUMBER(SEARCH(SUBSTITUTE(AX$1,RIGHT(AX$1,2),""),VLOOKUP($D269,素材!$1:$1016,COLUMN($F$1),FALSE))),VLOOKUP($C269,武器!$1:$998,COLUMN($O$1),FALSE)*VLOOKUP($D269,素材!$1:$1016,COLUMN($E$1),FALSE)/(LEN(VLOOKUP($D269,素材!$1:$1016,COLUMN($F$1),FALSE)) - LEN(SUBSTITUTE(VLOOKUP($D269,素材!$1:$1016,COLUMN($F$1),FALSE), "・", 0)) + 1), 0)</f>
        <v>0</v>
      </c>
      <c r="AY269">
        <f>IF(ISNUMBER(SEARCH(SUBSTITUTE(AY$1,RIGHT(AY$1,2),""),VLOOKUP($D269,素材!$1:$1016,COLUMN($F$1),FALSE))),VLOOKUP($C269,武器!$1:$998,COLUMN($O$1),FALSE)*VLOOKUP($D269,素材!$1:$1016,COLUMN($E$1),FALSE)/(LEN(VLOOKUP($D269,素材!$1:$1016,COLUMN($F$1),FALSE)) - LEN(SUBSTITUTE(VLOOKUP($D269,素材!$1:$1016,COLUMN($F$1),FALSE), "・", 0)) + 1), 0)</f>
        <v>0</v>
      </c>
      <c r="AZ269">
        <f>IF(ISNUMBER(SEARCH(SUBSTITUTE(AZ$1,RIGHT(AZ$1,2),""),VLOOKUP($D269,素材!$1:$1016,COLUMN($F$1),FALSE))),VLOOKUP($C269,武器!$1:$998,COLUMN($O$1),FALSE)*VLOOKUP($D269,素材!$1:$1016,COLUMN($E$1),FALSE)/(LEN(VLOOKUP($D269,素材!$1:$1016,COLUMN($F$1),FALSE)) - LEN(SUBSTITUTE(VLOOKUP($D269,素材!$1:$1016,COLUMN($F$1),FALSE), "・", 0)) + 1), 0)</f>
        <v>0</v>
      </c>
      <c r="BA269">
        <f>IF(ISNUMBER(SEARCH(SUBSTITUTE(BA$1,RIGHT(BA$1,2),""),VLOOKUP($D269,素材!$1:$1016,COLUMN($F$1),FALSE))),VLOOKUP($C269,武器!$1:$998,COLUMN($O$1),FALSE)*VLOOKUP($D269,素材!$1:$1016,COLUMN($E$1),FALSE)/(LEN(VLOOKUP($D269,素材!$1:$1016,COLUMN($F$1),FALSE)) - LEN(SUBSTITUTE(VLOOKUP($D269,素材!$1:$1016,COLUMN($F$1),FALSE), "・", 0)) + 1), 0)</f>
        <v>0</v>
      </c>
      <c r="BB269">
        <f>IF(ISNUMBER(SEARCH(SUBSTITUTE(BB$1,RIGHT(BB$1,2),""),VLOOKUP($D269,素材!$1:$1016,COLUMN($F$1),FALSE))),VLOOKUP($C269,武器!$1:$998,COLUMN($O$1),FALSE)*VLOOKUP($D269,素材!$1:$1016,COLUMN($E$1),FALSE)/(LEN(VLOOKUP($D269,素材!$1:$1016,COLUMN($F$1),FALSE)) - LEN(SUBSTITUTE(VLOOKUP($D269,素材!$1:$1016,COLUMN($F$1),FALSE), "・", 0)) + 1), 0)</f>
        <v>0</v>
      </c>
      <c r="BC269">
        <f>IF(ISNUMBER(SEARCH(SUBSTITUTE(BC$1,RIGHT(BC$1,2),""),VLOOKUP($D269,素材!$1:$1016,COLUMN($F$1),FALSE))),VLOOKUP($C269,武器!$1:$998,COLUMN($O$1),FALSE)*VLOOKUP($D269,素材!$1:$1016,COLUMN($E$1),FALSE)/(LEN(VLOOKUP($D269,素材!$1:$1016,COLUMN($F$1),FALSE)) - LEN(SUBSTITUTE(VLOOKUP($D269,素材!$1:$1016,COLUMN($F$1),FALSE), "・", 0)) + 1), 0)</f>
        <v>0</v>
      </c>
      <c r="BD269">
        <f>IF(ISNUMBER(SEARCH(SUBSTITUTE(BD$1,RIGHT(BD$1,2),""),VLOOKUP($D269,素材!$1:$1016,COLUMN($F$1),FALSE))),VLOOKUP($C269,武器!$1:$998,COLUMN($O$1),FALSE)*VLOOKUP($D269,素材!$1:$1016,COLUMN($E$1),FALSE)/(LEN(VLOOKUP($D269,素材!$1:$1016,COLUMN($F$1),FALSE)) - LEN(SUBSTITUTE(VLOOKUP($D269,素材!$1:$1016,COLUMN($F$1),FALSE), "・", 0)) + 1), 0)</f>
        <v>0</v>
      </c>
      <c r="BE269">
        <f>IF(ISNUMBER(SEARCH(SUBSTITUTE(BE$1,RIGHT(BE$1,2),""),VLOOKUP($D269,素材!$1:$1016,COLUMN($F$1),FALSE))),VLOOKUP($C269,武器!$1:$998,COLUMN($O$1),FALSE)*VLOOKUP($D269,素材!$1:$1016,COLUMN($E$1),FALSE)/(LEN(VLOOKUP($D269,素材!$1:$1016,COLUMN($F$1),FALSE)) - LEN(SUBSTITUTE(VLOOKUP($D269,素材!$1:$1016,COLUMN($F$1),FALSE), "・", 0)) + 1), 0)</f>
        <v>0</v>
      </c>
      <c r="CL269">
        <f>SUM(G269:I269)</f>
        <v>0</v>
      </c>
      <c r="CM269" s="22" t="str">
        <f>IF(E269="武器",IF(J269-1&gt;SUM(G269:I269),"盾",IF(MAX(G269:I269)=G269,"切断",IF(MAX(G269:I269)=H269,"貫通",IF(MAX(G269:I269)=I269,"打撃","射撃")))),E269)&amp;".webp"</f>
        <v>.webp</v>
      </c>
      <c r="CN269" t="str">
        <f>IFERROR(VLOOKUP($C269,武器!$1:$998,COLUMN(V$1),FALSE)*VLOOKUP($D269,素材!$1:$1016,COLUMN(N$1),FALSE)+IF(CI269="",0,VLOOKUP($CI269,装強!$1:$1008,COLUMN($CK$1),FALSE)),"")</f>
        <v/>
      </c>
      <c r="CO269" t="e">
        <f>VLOOKUP(D269,素材!$A:$O,COLUMN(素材!O$1),FALSE)</f>
        <v>#N/A</v>
      </c>
      <c r="CP269" t="e">
        <f>VLOOKUP(C269,武器!$A:$W,COLUMN(武器!W$1),FALSE)</f>
        <v>#N/A</v>
      </c>
      <c r="CR269" t="str">
        <f t="shared" si="29"/>
        <v>e_269</v>
      </c>
      <c r="CS269" t="e">
        <f t="shared" si="30"/>
        <v>#VALUE!</v>
      </c>
    </row>
    <row r="270" spans="1:97" x14ac:dyDescent="0.4">
      <c r="B270" t="str">
        <f>IFERROR(VLOOKUP($D270,素材!$1:$1016,COLUMN($B$1),FALSE)&amp;"・"&amp;VLOOKUP($C270,武器!$1:$998,COLUMN(B$1),FALSE),"")</f>
        <v/>
      </c>
      <c r="C270" s="24"/>
      <c r="D270" s="24"/>
      <c r="E270" t="str">
        <f>IFERROR(VLOOKUP(C270,武器!$1:$998,COLUMN(C$1),FALSE),"")</f>
        <v/>
      </c>
      <c r="F270" t="str">
        <f>IFERROR(ROUNDDOWN((VLOOKUP($C270,武器!$1:$998,COLUMN(D$1),FALSE)+IFERROR(VLOOKUP($CI270,装強!$1:$999,COLUMN(F$1),FALSE),0))*VLOOKUP($D270,素材!$1:$1016,COLUMN(D$1),FALSE),0),"")</f>
        <v/>
      </c>
      <c r="G270" t="str">
        <f>IFERROR(ROUNDDOWN((VLOOKUP($C270,武器!$1:$998,COLUMN(E$1),FALSE)+IFERROR(VLOOKUP($CI270,装強!$1:$999,COLUMN(G$1),FALSE),0))*VLOOKUP($D270,素材!$1:$1016,COLUMN($E$1),FALSE),0),"")</f>
        <v/>
      </c>
      <c r="H270" t="str">
        <f>IFERROR(ROUNDDOWN((VLOOKUP($C270,武器!$1:$998,COLUMN(F$1),FALSE)+IFERROR(VLOOKUP($CI270,装強!$1:$999,COLUMN(H$1),FALSE),0))*VLOOKUP($D270,素材!$1:$1016,COLUMN($E$1),FALSE),0),"")</f>
        <v/>
      </c>
      <c r="I270" t="str">
        <f>IFERROR(ROUNDDOWN((VLOOKUP($C270,武器!$1:$998,COLUMN(G$1),FALSE)+IFERROR(VLOOKUP($CI270,装強!$1:$999,COLUMN(I$1),FALSE),0))*VLOOKUP($D270,素材!$1:$1016,COLUMN($E$1),FALSE),0),"")</f>
        <v/>
      </c>
      <c r="J270" t="str">
        <f>IFERROR(ROUNDDOWN((VLOOKUP($C270,武器!$1:$998,COLUMN(H$1),FALSE)+IFERROR(VLOOKUP($CI270,装強!$1:$999,COLUMN(J$1),FALSE),0))*VLOOKUP($D270,素材!$1:$1016,COLUMN($E$1),FALSE),0),"")</f>
        <v/>
      </c>
      <c r="K270" t="str">
        <f>IFERROR(ROUNDDOWN((VLOOKUP($C270,武器!$1:$998,COLUMN(I$1),FALSE)+IFERROR(VLOOKUP($CI270,装強!$1:$999,COLUMN(K$1),FALSE),0))*VLOOKUP($D270,素材!$1:$1016,COLUMN($E$1),FALSE),0),"")</f>
        <v/>
      </c>
      <c r="L270" t="str">
        <f>IFERROR(VLOOKUP($D270,素材!$1:$1016,COLUMN($F$1),FALSE),"")</f>
        <v/>
      </c>
      <c r="M270" t="str">
        <f>IFERROR(VLOOKUP($C270,武器!$1:$998,COLUMN(AA$1),FALSE)*VLOOKUP($D270,素材!$1:$1016,COLUMN($G$1),FALSE),"")</f>
        <v/>
      </c>
      <c r="N270" t="str">
        <f>IFERROR(VLOOKUP($C270,武器!$1:$998,COLUMN(I$1),FALSE),"")</f>
        <v/>
      </c>
      <c r="O270" s="23" t="str">
        <f>IFERROR((VLOOKUP($C270,武器!$1:$998,COLUMN(K$1),FALSE)+VLOOKUP($D270,素材!$1:$1016,COLUMN(H$1),FALSE))*100+IFERROR(VLOOKUP($CI270,装強!$1:$999,COLUMN(O$1),FALSE),0),"")</f>
        <v/>
      </c>
      <c r="P270" s="23" t="str">
        <f>IFERROR((VLOOKUP($C270,武器!$1:$998,COLUMN(L$1),FALSE)+VLOOKUP($D270,素材!$1:$1016,COLUMN(I$1),FALSE))*100+IFERROR(VLOOKUP($CI270,装強!$1:$999,COLUMN(P$1),FALSE),0),"")</f>
        <v/>
      </c>
      <c r="Q270" t="str">
        <f>IFERROR(ROUNDUP(VLOOKUP($C270,武器!$1:$998,COLUMN(M$1),FALSE)*(VLOOKUP($D270,素材!$1:$1002,COLUMN(D$1),FALSE)/100),1),"")</f>
        <v/>
      </c>
      <c r="R270" t="str">
        <f>IFERROR(ROUNDUP(VLOOKUP($C270,武器!$1:$998,COLUMN(N$1),FALSE)*(VLOOKUP($D270,素材!$1:$1002,COLUMN(D$1),FALSE)/100),1),"")</f>
        <v/>
      </c>
      <c r="S270" t="str">
        <f>IFERROR(VLOOKUP($C270,武器!$1:$998,COLUMN(P$1),FALSE),"")</f>
        <v/>
      </c>
      <c r="T270" t="str">
        <f>IFERROR(VLOOKUP($C270,武器!$1:$998,COLUMN(Q$1),FALSE),"")</f>
        <v/>
      </c>
      <c r="U270" t="str">
        <f>IFERROR(VLOOKUP($C270,武器!$1:$998,COLUMN(R$1),FALSE),"")</f>
        <v/>
      </c>
      <c r="V270" t="str">
        <f>IFERROR(VLOOKUP($C270,武器!$1:$998,COLUMN(Q$1),FALSE),"")</f>
        <v/>
      </c>
      <c r="W270" t="str">
        <f>IFERROR(VLOOKUP($C270,武器!$1:$998,COLUMN(T$1),FALSE),"")</f>
        <v/>
      </c>
      <c r="Y270" t="str">
        <f>IFERROR(VLOOKUP($C270,武器!$1:$998,COLUMN(U$1),FALSE),"")</f>
        <v/>
      </c>
      <c r="Z270" t="str">
        <f>IFERROR(ROUNDUP(VLOOKUP($C270,武器!$1:$998,COLUMN(O$1),FALSE)*VLOOKUP($D270,素材!$1:$1016,COLUMN(E$1),FALSE),1),"")</f>
        <v/>
      </c>
      <c r="AA270">
        <f>IF(ISNUMBER(SEARCH(SUBSTITUTE(AA$1,RIGHT(AA$1,2),""),VLOOKUP($D270,素材!$1:$1016,COLUMN($F$1),FALSE))),VLOOKUP($C270,武器!$1:$998,COLUMN($O$1),FALSE)*VLOOKUP($D270,素材!$1:$1016,COLUMN($E$1),FALSE)/(LEN(VLOOKUP($D270,素材!$1:$1016,COLUMN($F$1),FALSE)) - LEN(SUBSTITUTE(VLOOKUP($D270,素材!$1:$1016,COLUMN($F$1),FALSE), "・", 0)) + 1), 0)</f>
        <v>0</v>
      </c>
      <c r="AB270">
        <f>IF(ISNUMBER(SEARCH(SUBSTITUTE(AB$1,RIGHT(AB$1,2),""),VLOOKUP($D270,素材!$1:$1016,COLUMN($F$1),FALSE))),VLOOKUP($C270,武器!$1:$998,COLUMN($O$1),FALSE)*VLOOKUP($D270,素材!$1:$1016,COLUMN($E$1),FALSE)/(LEN(VLOOKUP($D270,素材!$1:$1016,COLUMN($F$1),FALSE)) - LEN(SUBSTITUTE(VLOOKUP($D270,素材!$1:$1016,COLUMN($F$1),FALSE), "・", 0)) + 1), 0)</f>
        <v>0</v>
      </c>
      <c r="AC270">
        <f>IF(ISNUMBER(SEARCH(SUBSTITUTE(AC$1,RIGHT(AC$1,2),""),VLOOKUP($D270,素材!$1:$1016,COLUMN($F$1),FALSE))),VLOOKUP($C270,武器!$1:$998,COLUMN($O$1),FALSE)*VLOOKUP($D270,素材!$1:$1016,COLUMN($E$1),FALSE)/(LEN(VLOOKUP($D270,素材!$1:$1016,COLUMN($F$1),FALSE)) - LEN(SUBSTITUTE(VLOOKUP($D270,素材!$1:$1016,COLUMN($F$1),FALSE), "・", 0)) + 1), 0)</f>
        <v>0</v>
      </c>
      <c r="AD270">
        <f>IF(ISNUMBER(SEARCH(SUBSTITUTE(AD$1,RIGHT(AD$1,2),""),VLOOKUP($D270,素材!$1:$1016,COLUMN($F$1),FALSE))),VLOOKUP($C270,武器!$1:$998,COLUMN($O$1),FALSE)*VLOOKUP($D270,素材!$1:$1016,COLUMN($E$1),FALSE)/(LEN(VLOOKUP($D270,素材!$1:$1016,COLUMN($F$1),FALSE)) - LEN(SUBSTITUTE(VLOOKUP($D270,素材!$1:$1016,COLUMN($F$1),FALSE), "・", 0)) + 1), 0)</f>
        <v>0</v>
      </c>
      <c r="AE270">
        <f>IF(ISNUMBER(SEARCH(SUBSTITUTE(AE$1,RIGHT(AE$1,2),""),VLOOKUP($D270,素材!$1:$1016,COLUMN($F$1),FALSE))),VLOOKUP($C270,武器!$1:$998,COLUMN($O$1),FALSE)*VLOOKUP($D270,素材!$1:$1016,COLUMN($E$1),FALSE)/(LEN(VLOOKUP($D270,素材!$1:$1016,COLUMN($F$1),FALSE)) - LEN(SUBSTITUTE(VLOOKUP($D270,素材!$1:$1016,COLUMN($F$1),FALSE), "・", 0)) + 1), 0)</f>
        <v>0</v>
      </c>
      <c r="AF270">
        <f>IF(ISNUMBER(SEARCH(SUBSTITUTE(AF$1,RIGHT(AF$1,2),""),VLOOKUP($D270,素材!$1:$1016,COLUMN($F$1),FALSE))),VLOOKUP($C270,武器!$1:$998,COLUMN($O$1),FALSE)*VLOOKUP($D270,素材!$1:$1016,COLUMN($E$1),FALSE)/(LEN(VLOOKUP($D270,素材!$1:$1016,COLUMN($F$1),FALSE)) - LEN(SUBSTITUTE(VLOOKUP($D270,素材!$1:$1016,COLUMN($F$1),FALSE), "・", 0)) + 1), 0)</f>
        <v>0</v>
      </c>
      <c r="AG270">
        <f>IF(ISNUMBER(SEARCH(SUBSTITUTE(AG$1,RIGHT(AG$1,2),""),VLOOKUP($D270,素材!$1:$1016,COLUMN($F$1),FALSE))),VLOOKUP($C270,武器!$1:$998,COLUMN($O$1),FALSE)*VLOOKUP($D270,素材!$1:$1016,COLUMN($E$1),FALSE)/(LEN(VLOOKUP($D270,素材!$1:$1016,COLUMN($F$1),FALSE)) - LEN(SUBSTITUTE(VLOOKUP($D270,素材!$1:$1016,COLUMN($F$1),FALSE), "・", 0)) + 1), 0)</f>
        <v>0</v>
      </c>
      <c r="AH270">
        <f>IF(ISNUMBER(SEARCH(SUBSTITUTE(AH$1,RIGHT(AH$1,2),""),VLOOKUP($D270,素材!$1:$1016,COLUMN($F$1),FALSE))),VLOOKUP($C270,武器!$1:$998,COLUMN($O$1),FALSE)*VLOOKUP($D270,素材!$1:$1016,COLUMN($E$1),FALSE)/(LEN(VLOOKUP($D270,素材!$1:$1016,COLUMN($F$1),FALSE)) - LEN(SUBSTITUTE(VLOOKUP($D270,素材!$1:$1016,COLUMN($F$1),FALSE), "・", 0)) + 1), 0)</f>
        <v>0</v>
      </c>
      <c r="AI270">
        <f>IF(ISNUMBER(SEARCH(SUBSTITUTE(AI$1,RIGHT(AI$1,2),""),VLOOKUP($D270,素材!$1:$1016,COLUMN($F$1),FALSE))),VLOOKUP($C270,武器!$1:$998,COLUMN($O$1),FALSE)*VLOOKUP($D270,素材!$1:$1016,COLUMN($E$1),FALSE)/(LEN(VLOOKUP($D270,素材!$1:$1016,COLUMN($F$1),FALSE)) - LEN(SUBSTITUTE(VLOOKUP($D270,素材!$1:$1016,COLUMN($F$1),FALSE), "・", 0)) + 1), 0)</f>
        <v>0</v>
      </c>
      <c r="AJ270">
        <f>IF(ISNUMBER(SEARCH(SUBSTITUTE(AJ$1,RIGHT(AJ$1,2),""),VLOOKUP($D270,素材!$1:$1016,COLUMN($F$1),FALSE))),VLOOKUP($C270,武器!$1:$998,COLUMN($O$1),FALSE)*VLOOKUP($D270,素材!$1:$1016,COLUMN($E$1),FALSE)/(LEN(VLOOKUP($D270,素材!$1:$1016,COLUMN($F$1),FALSE)) - LEN(SUBSTITUTE(VLOOKUP($D270,素材!$1:$1016,COLUMN($F$1),FALSE), "・", 0)) + 1), 0)</f>
        <v>0</v>
      </c>
      <c r="AK270">
        <f>IF(ISNUMBER(SEARCH(SUBSTITUTE(AK$1,RIGHT(AK$1,2),""),VLOOKUP($D270,素材!$1:$1016,COLUMN($F$1),FALSE))),VLOOKUP($C270,武器!$1:$998,COLUMN($O$1),FALSE)*VLOOKUP($D270,素材!$1:$1016,COLUMN($E$1),FALSE)/(LEN(VLOOKUP($D270,素材!$1:$1016,COLUMN($F$1),FALSE)) - LEN(SUBSTITUTE(VLOOKUP($D270,素材!$1:$1016,COLUMN($F$1),FALSE), "・", 0)) + 1), 0)</f>
        <v>0</v>
      </c>
      <c r="AL270">
        <f>IF(ISNUMBER(SEARCH(SUBSTITUTE(AL$1,RIGHT(AL$1,2),""),VLOOKUP($D270,素材!$1:$1016,COLUMN($F$1),FALSE))),VLOOKUP($C270,武器!$1:$998,COLUMN($O$1),FALSE)*VLOOKUP($D270,素材!$1:$1016,COLUMN($E$1),FALSE)/(LEN(VLOOKUP($D270,素材!$1:$1016,COLUMN($F$1),FALSE)) - LEN(SUBSTITUTE(VLOOKUP($D270,素材!$1:$1016,COLUMN($F$1),FALSE), "・", 0)) + 1), 0)</f>
        <v>0</v>
      </c>
      <c r="AM270">
        <f>IF(ISNUMBER(SEARCH(SUBSTITUTE(AM$1,RIGHT(AM$1,2),""),VLOOKUP($D270,素材!$1:$1016,COLUMN($F$1),FALSE))),VLOOKUP($C270,武器!$1:$998,COLUMN($O$1),FALSE)*VLOOKUP($D270,素材!$1:$1016,COLUMN($E$1),FALSE)/(LEN(VLOOKUP($D270,素材!$1:$1016,COLUMN($F$1),FALSE)) - LEN(SUBSTITUTE(VLOOKUP($D270,素材!$1:$1016,COLUMN($F$1),FALSE), "・", 0)) + 1), 0)</f>
        <v>0</v>
      </c>
      <c r="AN270">
        <f>IF(ISNUMBER(SEARCH(SUBSTITUTE(AN$1,RIGHT(AN$1,2),""),VLOOKUP($D270,素材!$1:$1016,COLUMN($F$1),FALSE))),VLOOKUP($C270,武器!$1:$998,COLUMN($O$1),FALSE)*VLOOKUP($D270,素材!$1:$1016,COLUMN($E$1),FALSE)/(LEN(VLOOKUP($D270,素材!$1:$1016,COLUMN($F$1),FALSE)) - LEN(SUBSTITUTE(VLOOKUP($D270,素材!$1:$1016,COLUMN($F$1),FALSE), "・", 0)) + 1), 0)</f>
        <v>0</v>
      </c>
      <c r="AO270">
        <f>IF(ISNUMBER(SEARCH(SUBSTITUTE(AO$1,RIGHT(AO$1,2),""),VLOOKUP($D270,素材!$1:$1016,COLUMN($F$1),FALSE))),VLOOKUP($C270,武器!$1:$998,COLUMN($O$1),FALSE)*VLOOKUP($D270,素材!$1:$1016,COLUMN($E$1),FALSE)/(LEN(VLOOKUP($D270,素材!$1:$1016,COLUMN($F$1),FALSE)) - LEN(SUBSTITUTE(VLOOKUP($D270,素材!$1:$1016,COLUMN($F$1),FALSE), "・", 0)) + 1), 0)</f>
        <v>0</v>
      </c>
      <c r="AP270">
        <f>IF(ISNUMBER(SEARCH(SUBSTITUTE(AP$1,RIGHT(AP$1,2),""),VLOOKUP($D270,素材!$1:$1016,COLUMN($F$1),FALSE))),VLOOKUP($C270,武器!$1:$998,COLUMN($O$1),FALSE)*VLOOKUP($D270,素材!$1:$1016,COLUMN($E$1),FALSE)/(LEN(VLOOKUP($D270,素材!$1:$1016,COLUMN($F$1),FALSE)) - LEN(SUBSTITUTE(VLOOKUP($D270,素材!$1:$1016,COLUMN($F$1),FALSE), "・", 0)) + 1), 0)</f>
        <v>0</v>
      </c>
      <c r="AQ270">
        <f>IF(ISNUMBER(SEARCH(SUBSTITUTE(AQ$1,RIGHT(AQ$1,2),""),VLOOKUP($D270,素材!$1:$1016,COLUMN($F$1),FALSE))),VLOOKUP($C270,武器!$1:$998,COLUMN($O$1),FALSE)*VLOOKUP($D270,素材!$1:$1016,COLUMN($E$1),FALSE)/(LEN(VLOOKUP($D270,素材!$1:$1016,COLUMN($F$1),FALSE)) - LEN(SUBSTITUTE(VLOOKUP($D270,素材!$1:$1016,COLUMN($F$1),FALSE), "・", 0)) + 1), 0)</f>
        <v>0</v>
      </c>
      <c r="AR270">
        <f>IF(ISNUMBER(SEARCH(SUBSTITUTE(AR$1,RIGHT(AR$1,2),""),VLOOKUP($D270,素材!$1:$1016,COLUMN($F$1),FALSE))),VLOOKUP($C270,武器!$1:$998,COLUMN($O$1),FALSE)*VLOOKUP($D270,素材!$1:$1016,COLUMN($E$1),FALSE)/(LEN(VLOOKUP($D270,素材!$1:$1016,COLUMN($F$1),FALSE)) - LEN(SUBSTITUTE(VLOOKUP($D270,素材!$1:$1016,COLUMN($F$1),FALSE), "・", 0)) + 1), 0)</f>
        <v>0</v>
      </c>
      <c r="AS270">
        <f>IF(ISNUMBER(SEARCH(SUBSTITUTE(AS$1,RIGHT(AS$1,2),""),VLOOKUP($D270,素材!$1:$1016,COLUMN($F$1),FALSE))),VLOOKUP($C270,武器!$1:$998,COLUMN($O$1),FALSE)*VLOOKUP($D270,素材!$1:$1016,COLUMN($E$1),FALSE)/(LEN(VLOOKUP($D270,素材!$1:$1016,COLUMN($F$1),FALSE)) - LEN(SUBSTITUTE(VLOOKUP($D270,素材!$1:$1016,COLUMN($F$1),FALSE), "・", 0)) + 1), 0)</f>
        <v>0</v>
      </c>
      <c r="AT270">
        <f>IF(ISNUMBER(SEARCH(SUBSTITUTE(AT$1,RIGHT(AT$1,2),""),VLOOKUP($D270,素材!$1:$1016,COLUMN($F$1),FALSE))),VLOOKUP($C270,武器!$1:$998,COLUMN($O$1),FALSE)*VLOOKUP($D270,素材!$1:$1016,COLUMN($E$1),FALSE)/(LEN(VLOOKUP($D270,素材!$1:$1016,COLUMN($F$1),FALSE)) - LEN(SUBSTITUTE(VLOOKUP($D270,素材!$1:$1016,COLUMN($F$1),FALSE), "・", 0)) + 1), 0)</f>
        <v>0</v>
      </c>
      <c r="AU270">
        <f>IF(ISNUMBER(SEARCH(SUBSTITUTE(AU$1,RIGHT(AU$1,2),""),VLOOKUP($D270,素材!$1:$1016,COLUMN($F$1),FALSE))),VLOOKUP($C270,武器!$1:$998,COLUMN($O$1),FALSE)*VLOOKUP($D270,素材!$1:$1016,COLUMN($E$1),FALSE)/(LEN(VLOOKUP($D270,素材!$1:$1016,COLUMN($F$1),FALSE)) - LEN(SUBSTITUTE(VLOOKUP($D270,素材!$1:$1016,COLUMN($F$1),FALSE), "・", 0)) + 1), 0)</f>
        <v>0</v>
      </c>
      <c r="AV270">
        <f>IF(ISNUMBER(SEARCH(SUBSTITUTE(AV$1,RIGHT(AV$1,2),""),VLOOKUP($D270,素材!$1:$1016,COLUMN($F$1),FALSE))),VLOOKUP($C270,武器!$1:$998,COLUMN($O$1),FALSE)*VLOOKUP($D270,素材!$1:$1016,COLUMN($E$1),FALSE)/(LEN(VLOOKUP($D270,素材!$1:$1016,COLUMN($F$1),FALSE)) - LEN(SUBSTITUTE(VLOOKUP($D270,素材!$1:$1016,COLUMN($F$1),FALSE), "・", 0)) + 1), 0)</f>
        <v>0</v>
      </c>
      <c r="AW270">
        <f>IF(ISNUMBER(SEARCH(SUBSTITUTE(AW$1,RIGHT(AW$1,2),""),VLOOKUP($D270,素材!$1:$1016,COLUMN($F$1),FALSE))),VLOOKUP($C270,武器!$1:$998,COLUMN($O$1),FALSE)*VLOOKUP($D270,素材!$1:$1016,COLUMN($E$1),FALSE)/(LEN(VLOOKUP($D270,素材!$1:$1016,COLUMN($F$1),FALSE)) - LEN(SUBSTITUTE(VLOOKUP($D270,素材!$1:$1016,COLUMN($F$1),FALSE), "・", 0)) + 1), 0)</f>
        <v>0</v>
      </c>
      <c r="AX270">
        <f>IF(ISNUMBER(SEARCH(SUBSTITUTE(AX$1,RIGHT(AX$1,2),""),VLOOKUP($D270,素材!$1:$1016,COLUMN($F$1),FALSE))),VLOOKUP($C270,武器!$1:$998,COLUMN($O$1),FALSE)*VLOOKUP($D270,素材!$1:$1016,COLUMN($E$1),FALSE)/(LEN(VLOOKUP($D270,素材!$1:$1016,COLUMN($F$1),FALSE)) - LEN(SUBSTITUTE(VLOOKUP($D270,素材!$1:$1016,COLUMN($F$1),FALSE), "・", 0)) + 1), 0)</f>
        <v>0</v>
      </c>
      <c r="AY270">
        <f>IF(ISNUMBER(SEARCH(SUBSTITUTE(AY$1,RIGHT(AY$1,2),""),VLOOKUP($D270,素材!$1:$1016,COLUMN($F$1),FALSE))),VLOOKUP($C270,武器!$1:$998,COLUMN($O$1),FALSE)*VLOOKUP($D270,素材!$1:$1016,COLUMN($E$1),FALSE)/(LEN(VLOOKUP($D270,素材!$1:$1016,COLUMN($F$1),FALSE)) - LEN(SUBSTITUTE(VLOOKUP($D270,素材!$1:$1016,COLUMN($F$1),FALSE), "・", 0)) + 1), 0)</f>
        <v>0</v>
      </c>
      <c r="AZ270">
        <f>IF(ISNUMBER(SEARCH(SUBSTITUTE(AZ$1,RIGHT(AZ$1,2),""),VLOOKUP($D270,素材!$1:$1016,COLUMN($F$1),FALSE))),VLOOKUP($C270,武器!$1:$998,COLUMN($O$1),FALSE)*VLOOKUP($D270,素材!$1:$1016,COLUMN($E$1),FALSE)/(LEN(VLOOKUP($D270,素材!$1:$1016,COLUMN($F$1),FALSE)) - LEN(SUBSTITUTE(VLOOKUP($D270,素材!$1:$1016,COLUMN($F$1),FALSE), "・", 0)) + 1), 0)</f>
        <v>0</v>
      </c>
      <c r="BA270">
        <f>IF(ISNUMBER(SEARCH(SUBSTITUTE(BA$1,RIGHT(BA$1,2),""),VLOOKUP($D270,素材!$1:$1016,COLUMN($F$1),FALSE))),VLOOKUP($C270,武器!$1:$998,COLUMN($O$1),FALSE)*VLOOKUP($D270,素材!$1:$1016,COLUMN($E$1),FALSE)/(LEN(VLOOKUP($D270,素材!$1:$1016,COLUMN($F$1),FALSE)) - LEN(SUBSTITUTE(VLOOKUP($D270,素材!$1:$1016,COLUMN($F$1),FALSE), "・", 0)) + 1), 0)</f>
        <v>0</v>
      </c>
      <c r="BB270">
        <f>IF(ISNUMBER(SEARCH(SUBSTITUTE(BB$1,RIGHT(BB$1,2),""),VLOOKUP($D270,素材!$1:$1016,COLUMN($F$1),FALSE))),VLOOKUP($C270,武器!$1:$998,COLUMN($O$1),FALSE)*VLOOKUP($D270,素材!$1:$1016,COLUMN($E$1),FALSE)/(LEN(VLOOKUP($D270,素材!$1:$1016,COLUMN($F$1),FALSE)) - LEN(SUBSTITUTE(VLOOKUP($D270,素材!$1:$1016,COLUMN($F$1),FALSE), "・", 0)) + 1), 0)</f>
        <v>0</v>
      </c>
      <c r="BC270">
        <f>IF(ISNUMBER(SEARCH(SUBSTITUTE(BC$1,RIGHT(BC$1,2),""),VLOOKUP($D270,素材!$1:$1016,COLUMN($F$1),FALSE))),VLOOKUP($C270,武器!$1:$998,COLUMN($O$1),FALSE)*VLOOKUP($D270,素材!$1:$1016,COLUMN($E$1),FALSE)/(LEN(VLOOKUP($D270,素材!$1:$1016,COLUMN($F$1),FALSE)) - LEN(SUBSTITUTE(VLOOKUP($D270,素材!$1:$1016,COLUMN($F$1),FALSE), "・", 0)) + 1), 0)</f>
        <v>0</v>
      </c>
      <c r="BD270">
        <f>IF(ISNUMBER(SEARCH(SUBSTITUTE(BD$1,RIGHT(BD$1,2),""),VLOOKUP($D270,素材!$1:$1016,COLUMN($F$1),FALSE))),VLOOKUP($C270,武器!$1:$998,COLUMN($O$1),FALSE)*VLOOKUP($D270,素材!$1:$1016,COLUMN($E$1),FALSE)/(LEN(VLOOKUP($D270,素材!$1:$1016,COLUMN($F$1),FALSE)) - LEN(SUBSTITUTE(VLOOKUP($D270,素材!$1:$1016,COLUMN($F$1),FALSE), "・", 0)) + 1), 0)</f>
        <v>0</v>
      </c>
      <c r="BE270">
        <f>IF(ISNUMBER(SEARCH(SUBSTITUTE(BE$1,RIGHT(BE$1,2),""),VLOOKUP($D270,素材!$1:$1016,COLUMN($F$1),FALSE))),VLOOKUP($C270,武器!$1:$998,COLUMN($O$1),FALSE)*VLOOKUP($D270,素材!$1:$1016,COLUMN($E$1),FALSE)/(LEN(VLOOKUP($D270,素材!$1:$1016,COLUMN($F$1),FALSE)) - LEN(SUBSTITUTE(VLOOKUP($D270,素材!$1:$1016,COLUMN($F$1),FALSE), "・", 0)) + 1), 0)</f>
        <v>0</v>
      </c>
      <c r="CL270">
        <f>SUM(G270:I270)</f>
        <v>0</v>
      </c>
      <c r="CM270" s="22" t="str">
        <f>IF(E270="武器",IF(J270-1&gt;SUM(G270:I270),"盾",IF(MAX(G270:I270)=G270,"切断",IF(MAX(G270:I270)=H270,"貫通",IF(MAX(G270:I270)=I270,"打撃","射撃")))),E270)&amp;".webp"</f>
        <v>.webp</v>
      </c>
      <c r="CN270" t="str">
        <f>IFERROR(VLOOKUP($C270,武器!$1:$998,COLUMN(V$1),FALSE)*VLOOKUP($D270,素材!$1:$1016,COLUMN(N$1),FALSE)+IF(CI270="",0,VLOOKUP($CI270,装強!$1:$1008,COLUMN($CK$1),FALSE)),"")</f>
        <v/>
      </c>
      <c r="CO270" t="e">
        <f>VLOOKUP(D270,素材!$A:$O,COLUMN(素材!O$1),FALSE)</f>
        <v>#N/A</v>
      </c>
      <c r="CP270" t="e">
        <f>VLOOKUP(C270,武器!$A:$W,COLUMN(武器!W$1),FALSE)</f>
        <v>#N/A</v>
      </c>
      <c r="CR270" t="str">
        <f t="shared" ref="CR270:CR333" si="33">"e_"&amp;ROW(CR270)</f>
        <v>e_270</v>
      </c>
      <c r="CS270" t="e">
        <f t="shared" si="30"/>
        <v>#VALUE!</v>
      </c>
    </row>
    <row r="271" spans="1:97" x14ac:dyDescent="0.4">
      <c r="B271" t="str">
        <f>IFERROR(VLOOKUP($D271,素材!$1:$1016,COLUMN($B$1),FALSE)&amp;"・"&amp;VLOOKUP($C271,武器!$1:$998,COLUMN(B$1),FALSE),"")</f>
        <v/>
      </c>
      <c r="C271" s="24"/>
      <c r="D271" s="24"/>
      <c r="E271" t="str">
        <f>IFERROR(VLOOKUP(C271,武器!$1:$998,COLUMN(C$1),FALSE),"")</f>
        <v/>
      </c>
      <c r="F271" t="str">
        <f>IFERROR(ROUNDDOWN((VLOOKUP($C271,武器!$1:$998,COLUMN(D$1),FALSE)+IFERROR(VLOOKUP($CI271,装強!$1:$999,COLUMN(F$1),FALSE),0))*VLOOKUP($D271,素材!$1:$1016,COLUMN(D$1),FALSE),0),"")</f>
        <v/>
      </c>
      <c r="G271" t="str">
        <f>IFERROR(ROUNDDOWN((VLOOKUP($C271,武器!$1:$998,COLUMN(E$1),FALSE)+IFERROR(VLOOKUP($CI271,装強!$1:$999,COLUMN(G$1),FALSE),0))*VLOOKUP($D271,素材!$1:$1016,COLUMN($E$1),FALSE),0),"")</f>
        <v/>
      </c>
      <c r="H271" t="str">
        <f>IFERROR(ROUNDDOWN((VLOOKUP($C271,武器!$1:$998,COLUMN(F$1),FALSE)+IFERROR(VLOOKUP($CI271,装強!$1:$999,COLUMN(H$1),FALSE),0))*VLOOKUP($D271,素材!$1:$1016,COLUMN($E$1),FALSE),0),"")</f>
        <v/>
      </c>
      <c r="I271" t="str">
        <f>IFERROR(ROUNDDOWN((VLOOKUP($C271,武器!$1:$998,COLUMN(G$1),FALSE)+IFERROR(VLOOKUP($CI271,装強!$1:$999,COLUMN(I$1),FALSE),0))*VLOOKUP($D271,素材!$1:$1016,COLUMN($E$1),FALSE),0),"")</f>
        <v/>
      </c>
      <c r="J271" t="str">
        <f>IFERROR(ROUNDDOWN((VLOOKUP($C271,武器!$1:$998,COLUMN(H$1),FALSE)+IFERROR(VLOOKUP($CI271,装強!$1:$999,COLUMN(J$1),FALSE),0))*VLOOKUP($D271,素材!$1:$1016,COLUMN($E$1),FALSE),0),"")</f>
        <v/>
      </c>
      <c r="K271" t="str">
        <f>IFERROR(ROUNDDOWN((VLOOKUP($C271,武器!$1:$998,COLUMN(I$1),FALSE)+IFERROR(VLOOKUP($CI271,装強!$1:$999,COLUMN(K$1),FALSE),0))*VLOOKUP($D271,素材!$1:$1016,COLUMN($E$1),FALSE),0),"")</f>
        <v/>
      </c>
      <c r="L271" t="str">
        <f>IFERROR(VLOOKUP($D271,素材!$1:$1016,COLUMN($F$1),FALSE),"")</f>
        <v/>
      </c>
      <c r="M271" t="str">
        <f>IFERROR(VLOOKUP($C271,武器!$1:$998,COLUMN(AA$1),FALSE)*VLOOKUP($D271,素材!$1:$1016,COLUMN($G$1),FALSE),"")</f>
        <v/>
      </c>
      <c r="N271" t="str">
        <f>IFERROR(VLOOKUP($C271,武器!$1:$998,COLUMN(I$1),FALSE),"")</f>
        <v/>
      </c>
      <c r="O271" s="23" t="str">
        <f>IFERROR((VLOOKUP($C271,武器!$1:$998,COLUMN(K$1),FALSE)+VLOOKUP($D271,素材!$1:$1016,COLUMN(H$1),FALSE))*100+IFERROR(VLOOKUP($CI271,装強!$1:$999,COLUMN(O$1),FALSE),0),"")</f>
        <v/>
      </c>
      <c r="P271" s="23" t="str">
        <f>IFERROR((VLOOKUP($C271,武器!$1:$998,COLUMN(L$1),FALSE)+VLOOKUP($D271,素材!$1:$1016,COLUMN(I$1),FALSE))*100+IFERROR(VLOOKUP($CI271,装強!$1:$999,COLUMN(P$1),FALSE),0),"")</f>
        <v/>
      </c>
      <c r="Q271" t="str">
        <f>IFERROR(ROUNDUP(VLOOKUP($C271,武器!$1:$998,COLUMN(M$1),FALSE)*(VLOOKUP($D271,素材!$1:$1002,COLUMN(D$1),FALSE)/100),1),"")</f>
        <v/>
      </c>
      <c r="R271" t="str">
        <f>IFERROR(ROUNDUP(VLOOKUP($C271,武器!$1:$998,COLUMN(N$1),FALSE)*(VLOOKUP($D271,素材!$1:$1002,COLUMN(D$1),FALSE)/100),1),"")</f>
        <v/>
      </c>
      <c r="S271" t="str">
        <f>IFERROR(VLOOKUP($C271,武器!$1:$998,COLUMN(P$1),FALSE),"")</f>
        <v/>
      </c>
      <c r="T271" t="str">
        <f>IFERROR(VLOOKUP($C271,武器!$1:$998,COLUMN(Q$1),FALSE),"")</f>
        <v/>
      </c>
      <c r="U271" t="str">
        <f>IFERROR(VLOOKUP($C271,武器!$1:$998,COLUMN(R$1),FALSE),"")</f>
        <v/>
      </c>
      <c r="V271" t="str">
        <f>IFERROR(VLOOKUP($C271,武器!$1:$998,COLUMN(Q$1),FALSE),"")</f>
        <v/>
      </c>
      <c r="W271" t="str">
        <f>IFERROR(VLOOKUP($C271,武器!$1:$998,COLUMN(T$1),FALSE),"")</f>
        <v/>
      </c>
      <c r="Y271" t="str">
        <f>IFERROR(VLOOKUP($C271,武器!$1:$998,COLUMN(U$1),FALSE),"")</f>
        <v/>
      </c>
      <c r="Z271" t="str">
        <f>IFERROR(ROUNDUP(VLOOKUP($C271,武器!$1:$998,COLUMN(O$1),FALSE)*VLOOKUP($D271,素材!$1:$1016,COLUMN(E$1),FALSE),1),"")</f>
        <v/>
      </c>
      <c r="AA271">
        <f>IF(ISNUMBER(SEARCH(SUBSTITUTE(AA$1,RIGHT(AA$1,2),""),VLOOKUP($D271,素材!$1:$1016,COLUMN($F$1),FALSE))),VLOOKUP($C271,武器!$1:$998,COLUMN($O$1),FALSE)*VLOOKUP($D271,素材!$1:$1016,COLUMN($E$1),FALSE)/(LEN(VLOOKUP($D271,素材!$1:$1016,COLUMN($F$1),FALSE)) - LEN(SUBSTITUTE(VLOOKUP($D271,素材!$1:$1016,COLUMN($F$1),FALSE), "・", 0)) + 1), 0)</f>
        <v>0</v>
      </c>
      <c r="AB271">
        <f>IF(ISNUMBER(SEARCH(SUBSTITUTE(AB$1,RIGHT(AB$1,2),""),VLOOKUP($D271,素材!$1:$1016,COLUMN($F$1),FALSE))),VLOOKUP($C271,武器!$1:$998,COLUMN($O$1),FALSE)*VLOOKUP($D271,素材!$1:$1016,COLUMN($E$1),FALSE)/(LEN(VLOOKUP($D271,素材!$1:$1016,COLUMN($F$1),FALSE)) - LEN(SUBSTITUTE(VLOOKUP($D271,素材!$1:$1016,COLUMN($F$1),FALSE), "・", 0)) + 1), 0)</f>
        <v>0</v>
      </c>
      <c r="AC271">
        <f>IF(ISNUMBER(SEARCH(SUBSTITUTE(AC$1,RIGHT(AC$1,2),""),VLOOKUP($D271,素材!$1:$1016,COLUMN($F$1),FALSE))),VLOOKUP($C271,武器!$1:$998,COLUMN($O$1),FALSE)*VLOOKUP($D271,素材!$1:$1016,COLUMN($E$1),FALSE)/(LEN(VLOOKUP($D271,素材!$1:$1016,COLUMN($F$1),FALSE)) - LEN(SUBSTITUTE(VLOOKUP($D271,素材!$1:$1016,COLUMN($F$1),FALSE), "・", 0)) + 1), 0)</f>
        <v>0</v>
      </c>
      <c r="AD271">
        <f>IF(ISNUMBER(SEARCH(SUBSTITUTE(AD$1,RIGHT(AD$1,2),""),VLOOKUP($D271,素材!$1:$1016,COLUMN($F$1),FALSE))),VLOOKUP($C271,武器!$1:$998,COLUMN($O$1),FALSE)*VLOOKUP($D271,素材!$1:$1016,COLUMN($E$1),FALSE)/(LEN(VLOOKUP($D271,素材!$1:$1016,COLUMN($F$1),FALSE)) - LEN(SUBSTITUTE(VLOOKUP($D271,素材!$1:$1016,COLUMN($F$1),FALSE), "・", 0)) + 1), 0)</f>
        <v>0</v>
      </c>
      <c r="AE271">
        <f>IF(ISNUMBER(SEARCH(SUBSTITUTE(AE$1,RIGHT(AE$1,2),""),VLOOKUP($D271,素材!$1:$1016,COLUMN($F$1),FALSE))),VLOOKUP($C271,武器!$1:$998,COLUMN($O$1),FALSE)*VLOOKUP($D271,素材!$1:$1016,COLUMN($E$1),FALSE)/(LEN(VLOOKUP($D271,素材!$1:$1016,COLUMN($F$1),FALSE)) - LEN(SUBSTITUTE(VLOOKUP($D271,素材!$1:$1016,COLUMN($F$1),FALSE), "・", 0)) + 1), 0)</f>
        <v>0</v>
      </c>
      <c r="AF271">
        <f>IF(ISNUMBER(SEARCH(SUBSTITUTE(AF$1,RIGHT(AF$1,2),""),VLOOKUP($D271,素材!$1:$1016,COLUMN($F$1),FALSE))),VLOOKUP($C271,武器!$1:$998,COLUMN($O$1),FALSE)*VLOOKUP($D271,素材!$1:$1016,COLUMN($E$1),FALSE)/(LEN(VLOOKUP($D271,素材!$1:$1016,COLUMN($F$1),FALSE)) - LEN(SUBSTITUTE(VLOOKUP($D271,素材!$1:$1016,COLUMN($F$1),FALSE), "・", 0)) + 1), 0)</f>
        <v>0</v>
      </c>
      <c r="AG271">
        <f>IF(ISNUMBER(SEARCH(SUBSTITUTE(AG$1,RIGHT(AG$1,2),""),VLOOKUP($D271,素材!$1:$1016,COLUMN($F$1),FALSE))),VLOOKUP($C271,武器!$1:$998,COLUMN($O$1),FALSE)*VLOOKUP($D271,素材!$1:$1016,COLUMN($E$1),FALSE)/(LEN(VLOOKUP($D271,素材!$1:$1016,COLUMN($F$1),FALSE)) - LEN(SUBSTITUTE(VLOOKUP($D271,素材!$1:$1016,COLUMN($F$1),FALSE), "・", 0)) + 1), 0)</f>
        <v>0</v>
      </c>
      <c r="AH271">
        <f>IF(ISNUMBER(SEARCH(SUBSTITUTE(AH$1,RIGHT(AH$1,2),""),VLOOKUP($D271,素材!$1:$1016,COLUMN($F$1),FALSE))),VLOOKUP($C271,武器!$1:$998,COLUMN($O$1),FALSE)*VLOOKUP($D271,素材!$1:$1016,COLUMN($E$1),FALSE)/(LEN(VLOOKUP($D271,素材!$1:$1016,COLUMN($F$1),FALSE)) - LEN(SUBSTITUTE(VLOOKUP($D271,素材!$1:$1016,COLUMN($F$1),FALSE), "・", 0)) + 1), 0)</f>
        <v>0</v>
      </c>
      <c r="AI271">
        <f>IF(ISNUMBER(SEARCH(SUBSTITUTE(AI$1,RIGHT(AI$1,2),""),VLOOKUP($D271,素材!$1:$1016,COLUMN($F$1),FALSE))),VLOOKUP($C271,武器!$1:$998,COLUMN($O$1),FALSE)*VLOOKUP($D271,素材!$1:$1016,COLUMN($E$1),FALSE)/(LEN(VLOOKUP($D271,素材!$1:$1016,COLUMN($F$1),FALSE)) - LEN(SUBSTITUTE(VLOOKUP($D271,素材!$1:$1016,COLUMN($F$1),FALSE), "・", 0)) + 1), 0)</f>
        <v>0</v>
      </c>
      <c r="AJ271">
        <f>IF(ISNUMBER(SEARCH(SUBSTITUTE(AJ$1,RIGHT(AJ$1,2),""),VLOOKUP($D271,素材!$1:$1016,COLUMN($F$1),FALSE))),VLOOKUP($C271,武器!$1:$998,COLUMN($O$1),FALSE)*VLOOKUP($D271,素材!$1:$1016,COLUMN($E$1),FALSE)/(LEN(VLOOKUP($D271,素材!$1:$1016,COLUMN($F$1),FALSE)) - LEN(SUBSTITUTE(VLOOKUP($D271,素材!$1:$1016,COLUMN($F$1),FALSE), "・", 0)) + 1), 0)</f>
        <v>0</v>
      </c>
      <c r="AK271">
        <f>IF(ISNUMBER(SEARCH(SUBSTITUTE(AK$1,RIGHT(AK$1,2),""),VLOOKUP($D271,素材!$1:$1016,COLUMN($F$1),FALSE))),VLOOKUP($C271,武器!$1:$998,COLUMN($O$1),FALSE)*VLOOKUP($D271,素材!$1:$1016,COLUMN($E$1),FALSE)/(LEN(VLOOKUP($D271,素材!$1:$1016,COLUMN($F$1),FALSE)) - LEN(SUBSTITUTE(VLOOKUP($D271,素材!$1:$1016,COLUMN($F$1),FALSE), "・", 0)) + 1), 0)</f>
        <v>0</v>
      </c>
      <c r="AL271">
        <f>IF(ISNUMBER(SEARCH(SUBSTITUTE(AL$1,RIGHT(AL$1,2),""),VLOOKUP($D271,素材!$1:$1016,COLUMN($F$1),FALSE))),VLOOKUP($C271,武器!$1:$998,COLUMN($O$1),FALSE)*VLOOKUP($D271,素材!$1:$1016,COLUMN($E$1),FALSE)/(LEN(VLOOKUP($D271,素材!$1:$1016,COLUMN($F$1),FALSE)) - LEN(SUBSTITUTE(VLOOKUP($D271,素材!$1:$1016,COLUMN($F$1),FALSE), "・", 0)) + 1), 0)</f>
        <v>0</v>
      </c>
      <c r="AM271">
        <f>IF(ISNUMBER(SEARCH(SUBSTITUTE(AM$1,RIGHT(AM$1,2),""),VLOOKUP($D271,素材!$1:$1016,COLUMN($F$1),FALSE))),VLOOKUP($C271,武器!$1:$998,COLUMN($O$1),FALSE)*VLOOKUP($D271,素材!$1:$1016,COLUMN($E$1),FALSE)/(LEN(VLOOKUP($D271,素材!$1:$1016,COLUMN($F$1),FALSE)) - LEN(SUBSTITUTE(VLOOKUP($D271,素材!$1:$1016,COLUMN($F$1),FALSE), "・", 0)) + 1), 0)</f>
        <v>0</v>
      </c>
      <c r="AN271">
        <f>IF(ISNUMBER(SEARCH(SUBSTITUTE(AN$1,RIGHT(AN$1,2),""),VLOOKUP($D271,素材!$1:$1016,COLUMN($F$1),FALSE))),VLOOKUP($C271,武器!$1:$998,COLUMN($O$1),FALSE)*VLOOKUP($D271,素材!$1:$1016,COLUMN($E$1),FALSE)/(LEN(VLOOKUP($D271,素材!$1:$1016,COLUMN($F$1),FALSE)) - LEN(SUBSTITUTE(VLOOKUP($D271,素材!$1:$1016,COLUMN($F$1),FALSE), "・", 0)) + 1), 0)</f>
        <v>0</v>
      </c>
      <c r="AO271">
        <f>IF(ISNUMBER(SEARCH(SUBSTITUTE(AO$1,RIGHT(AO$1,2),""),VLOOKUP($D271,素材!$1:$1016,COLUMN($F$1),FALSE))),VLOOKUP($C271,武器!$1:$998,COLUMN($O$1),FALSE)*VLOOKUP($D271,素材!$1:$1016,COLUMN($E$1),FALSE)/(LEN(VLOOKUP($D271,素材!$1:$1016,COLUMN($F$1),FALSE)) - LEN(SUBSTITUTE(VLOOKUP($D271,素材!$1:$1016,COLUMN($F$1),FALSE), "・", 0)) + 1), 0)</f>
        <v>0</v>
      </c>
      <c r="AP271">
        <f>IF(ISNUMBER(SEARCH(SUBSTITUTE(AP$1,RIGHT(AP$1,2),""),VLOOKUP($D271,素材!$1:$1016,COLUMN($F$1),FALSE))),VLOOKUP($C271,武器!$1:$998,COLUMN($O$1),FALSE)*VLOOKUP($D271,素材!$1:$1016,COLUMN($E$1),FALSE)/(LEN(VLOOKUP($D271,素材!$1:$1016,COLUMN($F$1),FALSE)) - LEN(SUBSTITUTE(VLOOKUP($D271,素材!$1:$1016,COLUMN($F$1),FALSE), "・", 0)) + 1), 0)</f>
        <v>0</v>
      </c>
      <c r="AQ271">
        <f>IF(ISNUMBER(SEARCH(SUBSTITUTE(AQ$1,RIGHT(AQ$1,2),""),VLOOKUP($D271,素材!$1:$1016,COLUMN($F$1),FALSE))),VLOOKUP($C271,武器!$1:$998,COLUMN($O$1),FALSE)*VLOOKUP($D271,素材!$1:$1016,COLUMN($E$1),FALSE)/(LEN(VLOOKUP($D271,素材!$1:$1016,COLUMN($F$1),FALSE)) - LEN(SUBSTITUTE(VLOOKUP($D271,素材!$1:$1016,COLUMN($F$1),FALSE), "・", 0)) + 1), 0)</f>
        <v>0</v>
      </c>
      <c r="AR271">
        <f>IF(ISNUMBER(SEARCH(SUBSTITUTE(AR$1,RIGHT(AR$1,2),""),VLOOKUP($D271,素材!$1:$1016,COLUMN($F$1),FALSE))),VLOOKUP($C271,武器!$1:$998,COLUMN($O$1),FALSE)*VLOOKUP($D271,素材!$1:$1016,COLUMN($E$1),FALSE)/(LEN(VLOOKUP($D271,素材!$1:$1016,COLUMN($F$1),FALSE)) - LEN(SUBSTITUTE(VLOOKUP($D271,素材!$1:$1016,COLUMN($F$1),FALSE), "・", 0)) + 1), 0)</f>
        <v>0</v>
      </c>
      <c r="AS271">
        <f>IF(ISNUMBER(SEARCH(SUBSTITUTE(AS$1,RIGHT(AS$1,2),""),VLOOKUP($D271,素材!$1:$1016,COLUMN($F$1),FALSE))),VLOOKUP($C271,武器!$1:$998,COLUMN($O$1),FALSE)*VLOOKUP($D271,素材!$1:$1016,COLUMN($E$1),FALSE)/(LEN(VLOOKUP($D271,素材!$1:$1016,COLUMN($F$1),FALSE)) - LEN(SUBSTITUTE(VLOOKUP($D271,素材!$1:$1016,COLUMN($F$1),FALSE), "・", 0)) + 1), 0)</f>
        <v>0</v>
      </c>
      <c r="AT271">
        <f>IF(ISNUMBER(SEARCH(SUBSTITUTE(AT$1,RIGHT(AT$1,2),""),VLOOKUP($D271,素材!$1:$1016,COLUMN($F$1),FALSE))),VLOOKUP($C271,武器!$1:$998,COLUMN($O$1),FALSE)*VLOOKUP($D271,素材!$1:$1016,COLUMN($E$1),FALSE)/(LEN(VLOOKUP($D271,素材!$1:$1016,COLUMN($F$1),FALSE)) - LEN(SUBSTITUTE(VLOOKUP($D271,素材!$1:$1016,COLUMN($F$1),FALSE), "・", 0)) + 1), 0)</f>
        <v>0</v>
      </c>
      <c r="AU271">
        <f>IF(ISNUMBER(SEARCH(SUBSTITUTE(AU$1,RIGHT(AU$1,2),""),VLOOKUP($D271,素材!$1:$1016,COLUMN($F$1),FALSE))),VLOOKUP($C271,武器!$1:$998,COLUMN($O$1),FALSE)*VLOOKUP($D271,素材!$1:$1016,COLUMN($E$1),FALSE)/(LEN(VLOOKUP($D271,素材!$1:$1016,COLUMN($F$1),FALSE)) - LEN(SUBSTITUTE(VLOOKUP($D271,素材!$1:$1016,COLUMN($F$1),FALSE), "・", 0)) + 1), 0)</f>
        <v>0</v>
      </c>
      <c r="AV271">
        <f>IF(ISNUMBER(SEARCH(SUBSTITUTE(AV$1,RIGHT(AV$1,2),""),VLOOKUP($D271,素材!$1:$1016,COLUMN($F$1),FALSE))),VLOOKUP($C271,武器!$1:$998,COLUMN($O$1),FALSE)*VLOOKUP($D271,素材!$1:$1016,COLUMN($E$1),FALSE)/(LEN(VLOOKUP($D271,素材!$1:$1016,COLUMN($F$1),FALSE)) - LEN(SUBSTITUTE(VLOOKUP($D271,素材!$1:$1016,COLUMN($F$1),FALSE), "・", 0)) + 1), 0)</f>
        <v>0</v>
      </c>
      <c r="AW271">
        <f>IF(ISNUMBER(SEARCH(SUBSTITUTE(AW$1,RIGHT(AW$1,2),""),VLOOKUP($D271,素材!$1:$1016,COLUMN($F$1),FALSE))),VLOOKUP($C271,武器!$1:$998,COLUMN($O$1),FALSE)*VLOOKUP($D271,素材!$1:$1016,COLUMN($E$1),FALSE)/(LEN(VLOOKUP($D271,素材!$1:$1016,COLUMN($F$1),FALSE)) - LEN(SUBSTITUTE(VLOOKUP($D271,素材!$1:$1016,COLUMN($F$1),FALSE), "・", 0)) + 1), 0)</f>
        <v>0</v>
      </c>
      <c r="AX271">
        <f>IF(ISNUMBER(SEARCH(SUBSTITUTE(AX$1,RIGHT(AX$1,2),""),VLOOKUP($D271,素材!$1:$1016,COLUMN($F$1),FALSE))),VLOOKUP($C271,武器!$1:$998,COLUMN($O$1),FALSE)*VLOOKUP($D271,素材!$1:$1016,COLUMN($E$1),FALSE)/(LEN(VLOOKUP($D271,素材!$1:$1016,COLUMN($F$1),FALSE)) - LEN(SUBSTITUTE(VLOOKUP($D271,素材!$1:$1016,COLUMN($F$1),FALSE), "・", 0)) + 1), 0)</f>
        <v>0</v>
      </c>
      <c r="AY271">
        <f>IF(ISNUMBER(SEARCH(SUBSTITUTE(AY$1,RIGHT(AY$1,2),""),VLOOKUP($D271,素材!$1:$1016,COLUMN($F$1),FALSE))),VLOOKUP($C271,武器!$1:$998,COLUMN($O$1),FALSE)*VLOOKUP($D271,素材!$1:$1016,COLUMN($E$1),FALSE)/(LEN(VLOOKUP($D271,素材!$1:$1016,COLUMN($F$1),FALSE)) - LEN(SUBSTITUTE(VLOOKUP($D271,素材!$1:$1016,COLUMN($F$1),FALSE), "・", 0)) + 1), 0)</f>
        <v>0</v>
      </c>
      <c r="AZ271">
        <f>IF(ISNUMBER(SEARCH(SUBSTITUTE(AZ$1,RIGHT(AZ$1,2),""),VLOOKUP($D271,素材!$1:$1016,COLUMN($F$1),FALSE))),VLOOKUP($C271,武器!$1:$998,COLUMN($O$1),FALSE)*VLOOKUP($D271,素材!$1:$1016,COLUMN($E$1),FALSE)/(LEN(VLOOKUP($D271,素材!$1:$1016,COLUMN($F$1),FALSE)) - LEN(SUBSTITUTE(VLOOKUP($D271,素材!$1:$1016,COLUMN($F$1),FALSE), "・", 0)) + 1), 0)</f>
        <v>0</v>
      </c>
      <c r="BA271">
        <f>IF(ISNUMBER(SEARCH(SUBSTITUTE(BA$1,RIGHT(BA$1,2),""),VLOOKUP($D271,素材!$1:$1016,COLUMN($F$1),FALSE))),VLOOKUP($C271,武器!$1:$998,COLUMN($O$1),FALSE)*VLOOKUP($D271,素材!$1:$1016,COLUMN($E$1),FALSE)/(LEN(VLOOKUP($D271,素材!$1:$1016,COLUMN($F$1),FALSE)) - LEN(SUBSTITUTE(VLOOKUP($D271,素材!$1:$1016,COLUMN($F$1),FALSE), "・", 0)) + 1), 0)</f>
        <v>0</v>
      </c>
      <c r="BB271">
        <f>IF(ISNUMBER(SEARCH(SUBSTITUTE(BB$1,RIGHT(BB$1,2),""),VLOOKUP($D271,素材!$1:$1016,COLUMN($F$1),FALSE))),VLOOKUP($C271,武器!$1:$998,COLUMN($O$1),FALSE)*VLOOKUP($D271,素材!$1:$1016,COLUMN($E$1),FALSE)/(LEN(VLOOKUP($D271,素材!$1:$1016,COLUMN($F$1),FALSE)) - LEN(SUBSTITUTE(VLOOKUP($D271,素材!$1:$1016,COLUMN($F$1),FALSE), "・", 0)) + 1), 0)</f>
        <v>0</v>
      </c>
      <c r="BC271">
        <f>IF(ISNUMBER(SEARCH(SUBSTITUTE(BC$1,RIGHT(BC$1,2),""),VLOOKUP($D271,素材!$1:$1016,COLUMN($F$1),FALSE))),VLOOKUP($C271,武器!$1:$998,COLUMN($O$1),FALSE)*VLOOKUP($D271,素材!$1:$1016,COLUMN($E$1),FALSE)/(LEN(VLOOKUP($D271,素材!$1:$1016,COLUMN($F$1),FALSE)) - LEN(SUBSTITUTE(VLOOKUP($D271,素材!$1:$1016,COLUMN($F$1),FALSE), "・", 0)) + 1), 0)</f>
        <v>0</v>
      </c>
      <c r="BD271">
        <f>IF(ISNUMBER(SEARCH(SUBSTITUTE(BD$1,RIGHT(BD$1,2),""),VLOOKUP($D271,素材!$1:$1016,COLUMN($F$1),FALSE))),VLOOKUP($C271,武器!$1:$998,COLUMN($O$1),FALSE)*VLOOKUP($D271,素材!$1:$1016,COLUMN($E$1),FALSE)/(LEN(VLOOKUP($D271,素材!$1:$1016,COLUMN($F$1),FALSE)) - LEN(SUBSTITUTE(VLOOKUP($D271,素材!$1:$1016,COLUMN($F$1),FALSE), "・", 0)) + 1), 0)</f>
        <v>0</v>
      </c>
      <c r="BE271">
        <f>IF(ISNUMBER(SEARCH(SUBSTITUTE(BE$1,RIGHT(BE$1,2),""),VLOOKUP($D271,素材!$1:$1016,COLUMN($F$1),FALSE))),VLOOKUP($C271,武器!$1:$998,COLUMN($O$1),FALSE)*VLOOKUP($D271,素材!$1:$1016,COLUMN($E$1),FALSE)/(LEN(VLOOKUP($D271,素材!$1:$1016,COLUMN($F$1),FALSE)) - LEN(SUBSTITUTE(VLOOKUP($D271,素材!$1:$1016,COLUMN($F$1),FALSE), "・", 0)) + 1), 0)</f>
        <v>0</v>
      </c>
      <c r="CL271">
        <f>SUM(G271:I271)</f>
        <v>0</v>
      </c>
      <c r="CM271" s="22" t="str">
        <f>IF(E271="武器",IF(J271-1&gt;SUM(G271:I271),"盾",IF(MAX(G271:I271)=G271,"切断",IF(MAX(G271:I271)=H271,"貫通",IF(MAX(G271:I271)=I271,"打撃","射撃")))),E271)&amp;".webp"</f>
        <v>.webp</v>
      </c>
      <c r="CN271" t="str">
        <f>IFERROR(VLOOKUP($C271,武器!$1:$998,COLUMN(V$1),FALSE)*VLOOKUP($D271,素材!$1:$1016,COLUMN(N$1),FALSE)+IF(CI271="",0,VLOOKUP($CI271,装強!$1:$1008,COLUMN($CK$1),FALSE)),"")</f>
        <v/>
      </c>
      <c r="CO271" t="e">
        <f>VLOOKUP(D271,素材!$A:$O,COLUMN(素材!O$1),FALSE)</f>
        <v>#N/A</v>
      </c>
      <c r="CP271" t="e">
        <f>VLOOKUP(C271,武器!$A:$W,COLUMN(武器!W$1),FALSE)</f>
        <v>#N/A</v>
      </c>
      <c r="CR271" t="str">
        <f t="shared" si="33"/>
        <v>e_271</v>
      </c>
      <c r="CS271" t="e">
        <f t="shared" ref="CS271:CS334" si="34">CN271*100</f>
        <v>#VALUE!</v>
      </c>
    </row>
    <row r="272" spans="1:97" x14ac:dyDescent="0.4">
      <c r="B272" t="str">
        <f>IFERROR(VLOOKUP($D272,素材!$1:$1016,COLUMN($B$1),FALSE)&amp;"・"&amp;VLOOKUP($C272,武器!$1:$998,COLUMN(B$1),FALSE),"")</f>
        <v/>
      </c>
      <c r="C272" s="24"/>
      <c r="D272" s="24"/>
      <c r="E272" t="str">
        <f>IFERROR(VLOOKUP(C272,武器!$1:$998,COLUMN(C$1),FALSE),"")</f>
        <v/>
      </c>
      <c r="F272" t="str">
        <f>IFERROR(ROUNDDOWN((VLOOKUP($C272,武器!$1:$998,COLUMN(D$1),FALSE)+IFERROR(VLOOKUP($CI272,装強!$1:$999,COLUMN(F$1),FALSE),0))*VLOOKUP($D272,素材!$1:$1016,COLUMN(D$1),FALSE),0),"")</f>
        <v/>
      </c>
      <c r="G272" t="str">
        <f>IFERROR(ROUNDDOWN((VLOOKUP($C272,武器!$1:$998,COLUMN(E$1),FALSE)+IFERROR(VLOOKUP($CI272,装強!$1:$999,COLUMN(G$1),FALSE),0))*VLOOKUP($D272,素材!$1:$1016,COLUMN($E$1),FALSE),0),"")</f>
        <v/>
      </c>
      <c r="H272" t="str">
        <f>IFERROR(ROUNDDOWN((VLOOKUP($C272,武器!$1:$998,COLUMN(F$1),FALSE)+IFERROR(VLOOKUP($CI272,装強!$1:$999,COLUMN(H$1),FALSE),0))*VLOOKUP($D272,素材!$1:$1016,COLUMN($E$1),FALSE),0),"")</f>
        <v/>
      </c>
      <c r="I272" t="str">
        <f>IFERROR(ROUNDDOWN((VLOOKUP($C272,武器!$1:$998,COLUMN(G$1),FALSE)+IFERROR(VLOOKUP($CI272,装強!$1:$999,COLUMN(I$1),FALSE),0))*VLOOKUP($D272,素材!$1:$1016,COLUMN($E$1),FALSE),0),"")</f>
        <v/>
      </c>
      <c r="J272" t="str">
        <f>IFERROR(ROUNDDOWN((VLOOKUP($C272,武器!$1:$998,COLUMN(H$1),FALSE)+IFERROR(VLOOKUP($CI272,装強!$1:$999,COLUMN(J$1),FALSE),0))*VLOOKUP($D272,素材!$1:$1016,COLUMN($E$1),FALSE),0),"")</f>
        <v/>
      </c>
      <c r="K272" t="str">
        <f>IFERROR(ROUNDDOWN((VLOOKUP($C272,武器!$1:$998,COLUMN(I$1),FALSE)+IFERROR(VLOOKUP($CI272,装強!$1:$999,COLUMN(K$1),FALSE),0))*VLOOKUP($D272,素材!$1:$1016,COLUMN($E$1),FALSE),0),"")</f>
        <v/>
      </c>
      <c r="L272" t="str">
        <f>IFERROR(VLOOKUP($D272,素材!$1:$1016,COLUMN($F$1),FALSE),"")</f>
        <v/>
      </c>
      <c r="M272" t="str">
        <f>IFERROR(VLOOKUP($C272,武器!$1:$998,COLUMN(AA$1),FALSE)*VLOOKUP($D272,素材!$1:$1016,COLUMN($G$1),FALSE),"")</f>
        <v/>
      </c>
      <c r="N272" t="str">
        <f>IFERROR(VLOOKUP($C272,武器!$1:$998,COLUMN(I$1),FALSE),"")</f>
        <v/>
      </c>
      <c r="O272" s="23" t="str">
        <f>IFERROR((VLOOKUP($C272,武器!$1:$998,COLUMN(K$1),FALSE)+VLOOKUP($D272,素材!$1:$1016,COLUMN(H$1),FALSE))*100+IFERROR(VLOOKUP($CI272,装強!$1:$999,COLUMN(O$1),FALSE),0),"")</f>
        <v/>
      </c>
      <c r="P272" s="23" t="str">
        <f>IFERROR((VLOOKUP($C272,武器!$1:$998,COLUMN(L$1),FALSE)+VLOOKUP($D272,素材!$1:$1016,COLUMN(I$1),FALSE))*100+IFERROR(VLOOKUP($CI272,装強!$1:$999,COLUMN(P$1),FALSE),0),"")</f>
        <v/>
      </c>
      <c r="Q272" t="str">
        <f>IFERROR(ROUNDUP(VLOOKUP($C272,武器!$1:$998,COLUMN(M$1),FALSE)*(VLOOKUP($D272,素材!$1:$1002,COLUMN(D$1),FALSE)/100),1),"")</f>
        <v/>
      </c>
      <c r="R272" t="str">
        <f>IFERROR(ROUNDUP(VLOOKUP($C272,武器!$1:$998,COLUMN(N$1),FALSE)*(VLOOKUP($D272,素材!$1:$1002,COLUMN(D$1),FALSE)/100),1),"")</f>
        <v/>
      </c>
      <c r="S272" t="str">
        <f>IFERROR(VLOOKUP($C272,武器!$1:$998,COLUMN(P$1),FALSE),"")</f>
        <v/>
      </c>
      <c r="T272" t="str">
        <f>IFERROR(VLOOKUP($C272,武器!$1:$998,COLUMN(Q$1),FALSE),"")</f>
        <v/>
      </c>
      <c r="U272" t="str">
        <f>IFERROR(VLOOKUP($C272,武器!$1:$998,COLUMN(R$1),FALSE),"")</f>
        <v/>
      </c>
      <c r="V272" t="str">
        <f>IFERROR(VLOOKUP($C272,武器!$1:$998,COLUMN(Q$1),FALSE),"")</f>
        <v/>
      </c>
      <c r="W272" t="str">
        <f>IFERROR(VLOOKUP($C272,武器!$1:$998,COLUMN(T$1),FALSE),"")</f>
        <v/>
      </c>
      <c r="Y272" t="str">
        <f>IFERROR(VLOOKUP($C272,武器!$1:$998,COLUMN(U$1),FALSE),"")</f>
        <v/>
      </c>
      <c r="Z272" t="str">
        <f>IFERROR(ROUNDUP(VLOOKUP($C272,武器!$1:$998,COLUMN(O$1),FALSE)*VLOOKUP($D272,素材!$1:$1016,COLUMN(E$1),FALSE),1),"")</f>
        <v/>
      </c>
      <c r="AA272">
        <f>IF(ISNUMBER(SEARCH(SUBSTITUTE(AA$1,RIGHT(AA$1,2),""),VLOOKUP($D272,素材!$1:$1016,COLUMN($F$1),FALSE))),VLOOKUP($C272,武器!$1:$998,COLUMN($O$1),FALSE)*VLOOKUP($D272,素材!$1:$1016,COLUMN($E$1),FALSE)/(LEN(VLOOKUP($D272,素材!$1:$1016,COLUMN($F$1),FALSE)) - LEN(SUBSTITUTE(VLOOKUP($D272,素材!$1:$1016,COLUMN($F$1),FALSE), "・", 0)) + 1), 0)</f>
        <v>0</v>
      </c>
      <c r="AB272">
        <f>IF(ISNUMBER(SEARCH(SUBSTITUTE(AB$1,RIGHT(AB$1,2),""),VLOOKUP($D272,素材!$1:$1016,COLUMN($F$1),FALSE))),VLOOKUP($C272,武器!$1:$998,COLUMN($O$1),FALSE)*VLOOKUP($D272,素材!$1:$1016,COLUMN($E$1),FALSE)/(LEN(VLOOKUP($D272,素材!$1:$1016,COLUMN($F$1),FALSE)) - LEN(SUBSTITUTE(VLOOKUP($D272,素材!$1:$1016,COLUMN($F$1),FALSE), "・", 0)) + 1), 0)</f>
        <v>0</v>
      </c>
      <c r="AC272">
        <f>IF(ISNUMBER(SEARCH(SUBSTITUTE(AC$1,RIGHT(AC$1,2),""),VLOOKUP($D272,素材!$1:$1016,COLUMN($F$1),FALSE))),VLOOKUP($C272,武器!$1:$998,COLUMN($O$1),FALSE)*VLOOKUP($D272,素材!$1:$1016,COLUMN($E$1),FALSE)/(LEN(VLOOKUP($D272,素材!$1:$1016,COLUMN($F$1),FALSE)) - LEN(SUBSTITUTE(VLOOKUP($D272,素材!$1:$1016,COLUMN($F$1),FALSE), "・", 0)) + 1), 0)</f>
        <v>0</v>
      </c>
      <c r="AD272">
        <f>IF(ISNUMBER(SEARCH(SUBSTITUTE(AD$1,RIGHT(AD$1,2),""),VLOOKUP($D272,素材!$1:$1016,COLUMN($F$1),FALSE))),VLOOKUP($C272,武器!$1:$998,COLUMN($O$1),FALSE)*VLOOKUP($D272,素材!$1:$1016,COLUMN($E$1),FALSE)/(LEN(VLOOKUP($D272,素材!$1:$1016,COLUMN($F$1),FALSE)) - LEN(SUBSTITUTE(VLOOKUP($D272,素材!$1:$1016,COLUMN($F$1),FALSE), "・", 0)) + 1), 0)</f>
        <v>0</v>
      </c>
      <c r="AE272">
        <f>IF(ISNUMBER(SEARCH(SUBSTITUTE(AE$1,RIGHT(AE$1,2),""),VLOOKUP($D272,素材!$1:$1016,COLUMN($F$1),FALSE))),VLOOKUP($C272,武器!$1:$998,COLUMN($O$1),FALSE)*VLOOKUP($D272,素材!$1:$1016,COLUMN($E$1),FALSE)/(LEN(VLOOKUP($D272,素材!$1:$1016,COLUMN($F$1),FALSE)) - LEN(SUBSTITUTE(VLOOKUP($D272,素材!$1:$1016,COLUMN($F$1),FALSE), "・", 0)) + 1), 0)</f>
        <v>0</v>
      </c>
      <c r="AF272">
        <f>IF(ISNUMBER(SEARCH(SUBSTITUTE(AF$1,RIGHT(AF$1,2),""),VLOOKUP($D272,素材!$1:$1016,COLUMN($F$1),FALSE))),VLOOKUP($C272,武器!$1:$998,COLUMN($O$1),FALSE)*VLOOKUP($D272,素材!$1:$1016,COLUMN($E$1),FALSE)/(LEN(VLOOKUP($D272,素材!$1:$1016,COLUMN($F$1),FALSE)) - LEN(SUBSTITUTE(VLOOKUP($D272,素材!$1:$1016,COLUMN($F$1),FALSE), "・", 0)) + 1), 0)</f>
        <v>0</v>
      </c>
      <c r="AG272">
        <f>IF(ISNUMBER(SEARCH(SUBSTITUTE(AG$1,RIGHT(AG$1,2),""),VLOOKUP($D272,素材!$1:$1016,COLUMN($F$1),FALSE))),VLOOKUP($C272,武器!$1:$998,COLUMN($O$1),FALSE)*VLOOKUP($D272,素材!$1:$1016,COLUMN($E$1),FALSE)/(LEN(VLOOKUP($D272,素材!$1:$1016,COLUMN($F$1),FALSE)) - LEN(SUBSTITUTE(VLOOKUP($D272,素材!$1:$1016,COLUMN($F$1),FALSE), "・", 0)) + 1), 0)</f>
        <v>0</v>
      </c>
      <c r="AH272">
        <f>IF(ISNUMBER(SEARCH(SUBSTITUTE(AH$1,RIGHT(AH$1,2),""),VLOOKUP($D272,素材!$1:$1016,COLUMN($F$1),FALSE))),VLOOKUP($C272,武器!$1:$998,COLUMN($O$1),FALSE)*VLOOKUP($D272,素材!$1:$1016,COLUMN($E$1),FALSE)/(LEN(VLOOKUP($D272,素材!$1:$1016,COLUMN($F$1),FALSE)) - LEN(SUBSTITUTE(VLOOKUP($D272,素材!$1:$1016,COLUMN($F$1),FALSE), "・", 0)) + 1), 0)</f>
        <v>0</v>
      </c>
      <c r="AI272">
        <f>IF(ISNUMBER(SEARCH(SUBSTITUTE(AI$1,RIGHT(AI$1,2),""),VLOOKUP($D272,素材!$1:$1016,COLUMN($F$1),FALSE))),VLOOKUP($C272,武器!$1:$998,COLUMN($O$1),FALSE)*VLOOKUP($D272,素材!$1:$1016,COLUMN($E$1),FALSE)/(LEN(VLOOKUP($D272,素材!$1:$1016,COLUMN($F$1),FALSE)) - LEN(SUBSTITUTE(VLOOKUP($D272,素材!$1:$1016,COLUMN($F$1),FALSE), "・", 0)) + 1), 0)</f>
        <v>0</v>
      </c>
      <c r="AJ272">
        <f>IF(ISNUMBER(SEARCH(SUBSTITUTE(AJ$1,RIGHT(AJ$1,2),""),VLOOKUP($D272,素材!$1:$1016,COLUMN($F$1),FALSE))),VLOOKUP($C272,武器!$1:$998,COLUMN($O$1),FALSE)*VLOOKUP($D272,素材!$1:$1016,COLUMN($E$1),FALSE)/(LEN(VLOOKUP($D272,素材!$1:$1016,COLUMN($F$1),FALSE)) - LEN(SUBSTITUTE(VLOOKUP($D272,素材!$1:$1016,COLUMN($F$1),FALSE), "・", 0)) + 1), 0)</f>
        <v>0</v>
      </c>
      <c r="AK272">
        <f>IF(ISNUMBER(SEARCH(SUBSTITUTE(AK$1,RIGHT(AK$1,2),""),VLOOKUP($D272,素材!$1:$1016,COLUMN($F$1),FALSE))),VLOOKUP($C272,武器!$1:$998,COLUMN($O$1),FALSE)*VLOOKUP($D272,素材!$1:$1016,COLUMN($E$1),FALSE)/(LEN(VLOOKUP($D272,素材!$1:$1016,COLUMN($F$1),FALSE)) - LEN(SUBSTITUTE(VLOOKUP($D272,素材!$1:$1016,COLUMN($F$1),FALSE), "・", 0)) + 1), 0)</f>
        <v>0</v>
      </c>
      <c r="AL272">
        <f>IF(ISNUMBER(SEARCH(SUBSTITUTE(AL$1,RIGHT(AL$1,2),""),VLOOKUP($D272,素材!$1:$1016,COLUMN($F$1),FALSE))),VLOOKUP($C272,武器!$1:$998,COLUMN($O$1),FALSE)*VLOOKUP($D272,素材!$1:$1016,COLUMN($E$1),FALSE)/(LEN(VLOOKUP($D272,素材!$1:$1016,COLUMN($F$1),FALSE)) - LEN(SUBSTITUTE(VLOOKUP($D272,素材!$1:$1016,COLUMN($F$1),FALSE), "・", 0)) + 1), 0)</f>
        <v>0</v>
      </c>
      <c r="AM272">
        <f>IF(ISNUMBER(SEARCH(SUBSTITUTE(AM$1,RIGHT(AM$1,2),""),VLOOKUP($D272,素材!$1:$1016,COLUMN($F$1),FALSE))),VLOOKUP($C272,武器!$1:$998,COLUMN($O$1),FALSE)*VLOOKUP($D272,素材!$1:$1016,COLUMN($E$1),FALSE)/(LEN(VLOOKUP($D272,素材!$1:$1016,COLUMN($F$1),FALSE)) - LEN(SUBSTITUTE(VLOOKUP($D272,素材!$1:$1016,COLUMN($F$1),FALSE), "・", 0)) + 1), 0)</f>
        <v>0</v>
      </c>
      <c r="AN272">
        <f>IF(ISNUMBER(SEARCH(SUBSTITUTE(AN$1,RIGHT(AN$1,2),""),VLOOKUP($D272,素材!$1:$1016,COLUMN($F$1),FALSE))),VLOOKUP($C272,武器!$1:$998,COLUMN($O$1),FALSE)*VLOOKUP($D272,素材!$1:$1016,COLUMN($E$1),FALSE)/(LEN(VLOOKUP($D272,素材!$1:$1016,COLUMN($F$1),FALSE)) - LEN(SUBSTITUTE(VLOOKUP($D272,素材!$1:$1016,COLUMN($F$1),FALSE), "・", 0)) + 1), 0)</f>
        <v>0</v>
      </c>
      <c r="AO272">
        <f>IF(ISNUMBER(SEARCH(SUBSTITUTE(AO$1,RIGHT(AO$1,2),""),VLOOKUP($D272,素材!$1:$1016,COLUMN($F$1),FALSE))),VLOOKUP($C272,武器!$1:$998,COLUMN($O$1),FALSE)*VLOOKUP($D272,素材!$1:$1016,COLUMN($E$1),FALSE)/(LEN(VLOOKUP($D272,素材!$1:$1016,COLUMN($F$1),FALSE)) - LEN(SUBSTITUTE(VLOOKUP($D272,素材!$1:$1016,COLUMN($F$1),FALSE), "・", 0)) + 1), 0)</f>
        <v>0</v>
      </c>
      <c r="AP272">
        <f>IF(ISNUMBER(SEARCH(SUBSTITUTE(AP$1,RIGHT(AP$1,2),""),VLOOKUP($D272,素材!$1:$1016,COLUMN($F$1),FALSE))),VLOOKUP($C272,武器!$1:$998,COLUMN($O$1),FALSE)*VLOOKUP($D272,素材!$1:$1016,COLUMN($E$1),FALSE)/(LEN(VLOOKUP($D272,素材!$1:$1016,COLUMN($F$1),FALSE)) - LEN(SUBSTITUTE(VLOOKUP($D272,素材!$1:$1016,COLUMN($F$1),FALSE), "・", 0)) + 1), 0)</f>
        <v>0</v>
      </c>
      <c r="AQ272">
        <f>IF(ISNUMBER(SEARCH(SUBSTITUTE(AQ$1,RIGHT(AQ$1,2),""),VLOOKUP($D272,素材!$1:$1016,COLUMN($F$1),FALSE))),VLOOKUP($C272,武器!$1:$998,COLUMN($O$1),FALSE)*VLOOKUP($D272,素材!$1:$1016,COLUMN($E$1),FALSE)/(LEN(VLOOKUP($D272,素材!$1:$1016,COLUMN($F$1),FALSE)) - LEN(SUBSTITUTE(VLOOKUP($D272,素材!$1:$1016,COLUMN($F$1),FALSE), "・", 0)) + 1), 0)</f>
        <v>0</v>
      </c>
      <c r="AR272">
        <f>IF(ISNUMBER(SEARCH(SUBSTITUTE(AR$1,RIGHT(AR$1,2),""),VLOOKUP($D272,素材!$1:$1016,COLUMN($F$1),FALSE))),VLOOKUP($C272,武器!$1:$998,COLUMN($O$1),FALSE)*VLOOKUP($D272,素材!$1:$1016,COLUMN($E$1),FALSE)/(LEN(VLOOKUP($D272,素材!$1:$1016,COLUMN($F$1),FALSE)) - LEN(SUBSTITUTE(VLOOKUP($D272,素材!$1:$1016,COLUMN($F$1),FALSE), "・", 0)) + 1), 0)</f>
        <v>0</v>
      </c>
      <c r="AS272">
        <f>IF(ISNUMBER(SEARCH(SUBSTITUTE(AS$1,RIGHT(AS$1,2),""),VLOOKUP($D272,素材!$1:$1016,COLUMN($F$1),FALSE))),VLOOKUP($C272,武器!$1:$998,COLUMN($O$1),FALSE)*VLOOKUP($D272,素材!$1:$1016,COLUMN($E$1),FALSE)/(LEN(VLOOKUP($D272,素材!$1:$1016,COLUMN($F$1),FALSE)) - LEN(SUBSTITUTE(VLOOKUP($D272,素材!$1:$1016,COLUMN($F$1),FALSE), "・", 0)) + 1), 0)</f>
        <v>0</v>
      </c>
      <c r="AT272">
        <f>IF(ISNUMBER(SEARCH(SUBSTITUTE(AT$1,RIGHT(AT$1,2),""),VLOOKUP($D272,素材!$1:$1016,COLUMN($F$1),FALSE))),VLOOKUP($C272,武器!$1:$998,COLUMN($O$1),FALSE)*VLOOKUP($D272,素材!$1:$1016,COLUMN($E$1),FALSE)/(LEN(VLOOKUP($D272,素材!$1:$1016,COLUMN($F$1),FALSE)) - LEN(SUBSTITUTE(VLOOKUP($D272,素材!$1:$1016,COLUMN($F$1),FALSE), "・", 0)) + 1), 0)</f>
        <v>0</v>
      </c>
      <c r="AU272">
        <f>IF(ISNUMBER(SEARCH(SUBSTITUTE(AU$1,RIGHT(AU$1,2),""),VLOOKUP($D272,素材!$1:$1016,COLUMN($F$1),FALSE))),VLOOKUP($C272,武器!$1:$998,COLUMN($O$1),FALSE)*VLOOKUP($D272,素材!$1:$1016,COLUMN($E$1),FALSE)/(LEN(VLOOKUP($D272,素材!$1:$1016,COLUMN($F$1),FALSE)) - LEN(SUBSTITUTE(VLOOKUP($D272,素材!$1:$1016,COLUMN($F$1),FALSE), "・", 0)) + 1), 0)</f>
        <v>0</v>
      </c>
      <c r="AV272">
        <f>IF(ISNUMBER(SEARCH(SUBSTITUTE(AV$1,RIGHT(AV$1,2),""),VLOOKUP($D272,素材!$1:$1016,COLUMN($F$1),FALSE))),VLOOKUP($C272,武器!$1:$998,COLUMN($O$1),FALSE)*VLOOKUP($D272,素材!$1:$1016,COLUMN($E$1),FALSE)/(LEN(VLOOKUP($D272,素材!$1:$1016,COLUMN($F$1),FALSE)) - LEN(SUBSTITUTE(VLOOKUP($D272,素材!$1:$1016,COLUMN($F$1),FALSE), "・", 0)) + 1), 0)</f>
        <v>0</v>
      </c>
      <c r="AW272">
        <f>IF(ISNUMBER(SEARCH(SUBSTITUTE(AW$1,RIGHT(AW$1,2),""),VLOOKUP($D272,素材!$1:$1016,COLUMN($F$1),FALSE))),VLOOKUP($C272,武器!$1:$998,COLUMN($O$1),FALSE)*VLOOKUP($D272,素材!$1:$1016,COLUMN($E$1),FALSE)/(LEN(VLOOKUP($D272,素材!$1:$1016,COLUMN($F$1),FALSE)) - LEN(SUBSTITUTE(VLOOKUP($D272,素材!$1:$1016,COLUMN($F$1),FALSE), "・", 0)) + 1), 0)</f>
        <v>0</v>
      </c>
      <c r="AX272">
        <f>IF(ISNUMBER(SEARCH(SUBSTITUTE(AX$1,RIGHT(AX$1,2),""),VLOOKUP($D272,素材!$1:$1016,COLUMN($F$1),FALSE))),VLOOKUP($C272,武器!$1:$998,COLUMN($O$1),FALSE)*VLOOKUP($D272,素材!$1:$1016,COLUMN($E$1),FALSE)/(LEN(VLOOKUP($D272,素材!$1:$1016,COLUMN($F$1),FALSE)) - LEN(SUBSTITUTE(VLOOKUP($D272,素材!$1:$1016,COLUMN($F$1),FALSE), "・", 0)) + 1), 0)</f>
        <v>0</v>
      </c>
      <c r="AY272">
        <f>IF(ISNUMBER(SEARCH(SUBSTITUTE(AY$1,RIGHT(AY$1,2),""),VLOOKUP($D272,素材!$1:$1016,COLUMN($F$1),FALSE))),VLOOKUP($C272,武器!$1:$998,COLUMN($O$1),FALSE)*VLOOKUP($D272,素材!$1:$1016,COLUMN($E$1),FALSE)/(LEN(VLOOKUP($D272,素材!$1:$1016,COLUMN($F$1),FALSE)) - LEN(SUBSTITUTE(VLOOKUP($D272,素材!$1:$1016,COLUMN($F$1),FALSE), "・", 0)) + 1), 0)</f>
        <v>0</v>
      </c>
      <c r="AZ272">
        <f>IF(ISNUMBER(SEARCH(SUBSTITUTE(AZ$1,RIGHT(AZ$1,2),""),VLOOKUP($D272,素材!$1:$1016,COLUMN($F$1),FALSE))),VLOOKUP($C272,武器!$1:$998,COLUMN($O$1),FALSE)*VLOOKUP($D272,素材!$1:$1016,COLUMN($E$1),FALSE)/(LEN(VLOOKUP($D272,素材!$1:$1016,COLUMN($F$1),FALSE)) - LEN(SUBSTITUTE(VLOOKUP($D272,素材!$1:$1016,COLUMN($F$1),FALSE), "・", 0)) + 1), 0)</f>
        <v>0</v>
      </c>
      <c r="BA272">
        <f>IF(ISNUMBER(SEARCH(SUBSTITUTE(BA$1,RIGHT(BA$1,2),""),VLOOKUP($D272,素材!$1:$1016,COLUMN($F$1),FALSE))),VLOOKUP($C272,武器!$1:$998,COLUMN($O$1),FALSE)*VLOOKUP($D272,素材!$1:$1016,COLUMN($E$1),FALSE)/(LEN(VLOOKUP($D272,素材!$1:$1016,COLUMN($F$1),FALSE)) - LEN(SUBSTITUTE(VLOOKUP($D272,素材!$1:$1016,COLUMN($F$1),FALSE), "・", 0)) + 1), 0)</f>
        <v>0</v>
      </c>
      <c r="BB272">
        <f>IF(ISNUMBER(SEARCH(SUBSTITUTE(BB$1,RIGHT(BB$1,2),""),VLOOKUP($D272,素材!$1:$1016,COLUMN($F$1),FALSE))),VLOOKUP($C272,武器!$1:$998,COLUMN($O$1),FALSE)*VLOOKUP($D272,素材!$1:$1016,COLUMN($E$1),FALSE)/(LEN(VLOOKUP($D272,素材!$1:$1016,COLUMN($F$1),FALSE)) - LEN(SUBSTITUTE(VLOOKUP($D272,素材!$1:$1016,COLUMN($F$1),FALSE), "・", 0)) + 1), 0)</f>
        <v>0</v>
      </c>
      <c r="BC272">
        <f>IF(ISNUMBER(SEARCH(SUBSTITUTE(BC$1,RIGHT(BC$1,2),""),VLOOKUP($D272,素材!$1:$1016,COLUMN($F$1),FALSE))),VLOOKUP($C272,武器!$1:$998,COLUMN($O$1),FALSE)*VLOOKUP($D272,素材!$1:$1016,COLUMN($E$1),FALSE)/(LEN(VLOOKUP($D272,素材!$1:$1016,COLUMN($F$1),FALSE)) - LEN(SUBSTITUTE(VLOOKUP($D272,素材!$1:$1016,COLUMN($F$1),FALSE), "・", 0)) + 1), 0)</f>
        <v>0</v>
      </c>
      <c r="BD272">
        <f>IF(ISNUMBER(SEARCH(SUBSTITUTE(BD$1,RIGHT(BD$1,2),""),VLOOKUP($D272,素材!$1:$1016,COLUMN($F$1),FALSE))),VLOOKUP($C272,武器!$1:$998,COLUMN($O$1),FALSE)*VLOOKUP($D272,素材!$1:$1016,COLUMN($E$1),FALSE)/(LEN(VLOOKUP($D272,素材!$1:$1016,COLUMN($F$1),FALSE)) - LEN(SUBSTITUTE(VLOOKUP($D272,素材!$1:$1016,COLUMN($F$1),FALSE), "・", 0)) + 1), 0)</f>
        <v>0</v>
      </c>
      <c r="BE272">
        <f>IF(ISNUMBER(SEARCH(SUBSTITUTE(BE$1,RIGHT(BE$1,2),""),VLOOKUP($D272,素材!$1:$1016,COLUMN($F$1),FALSE))),VLOOKUP($C272,武器!$1:$998,COLUMN($O$1),FALSE)*VLOOKUP($D272,素材!$1:$1016,COLUMN($E$1),FALSE)/(LEN(VLOOKUP($D272,素材!$1:$1016,COLUMN($F$1),FALSE)) - LEN(SUBSTITUTE(VLOOKUP($D272,素材!$1:$1016,COLUMN($F$1),FALSE), "・", 0)) + 1), 0)</f>
        <v>0</v>
      </c>
      <c r="CL272">
        <f>SUM(G272:I272)</f>
        <v>0</v>
      </c>
      <c r="CM272" s="22" t="str">
        <f>IF(E272="武器",IF(J272-1&gt;SUM(G272:I272),"盾",IF(MAX(G272:I272)=G272,"切断",IF(MAX(G272:I272)=H272,"貫通",IF(MAX(G272:I272)=I272,"打撃","射撃")))),E272)&amp;".webp"</f>
        <v>.webp</v>
      </c>
      <c r="CN272" t="str">
        <f>IFERROR(VLOOKUP($C272,武器!$1:$998,COLUMN(V$1),FALSE)*VLOOKUP($D272,素材!$1:$1016,COLUMN(N$1),FALSE)+IF(CI272="",0,VLOOKUP($CI272,装強!$1:$1008,COLUMN($CK$1),FALSE)),"")</f>
        <v/>
      </c>
      <c r="CO272" t="e">
        <f>VLOOKUP(D272,素材!$A:$O,COLUMN(素材!O$1),FALSE)</f>
        <v>#N/A</v>
      </c>
      <c r="CP272" t="e">
        <f>VLOOKUP(C272,武器!$A:$W,COLUMN(武器!W$1),FALSE)</f>
        <v>#N/A</v>
      </c>
      <c r="CR272" t="str">
        <f t="shared" si="33"/>
        <v>e_272</v>
      </c>
      <c r="CS272" t="e">
        <f t="shared" si="34"/>
        <v>#VALUE!</v>
      </c>
    </row>
    <row r="273" spans="1:97" x14ac:dyDescent="0.4">
      <c r="A273" t="str">
        <f>IF(CI273="",D273&amp;"の"&amp;C273,CI273&amp;"の"&amp;C273)</f>
        <v>魔獣皮の帯</v>
      </c>
      <c r="B273" t="str">
        <f>IFERROR(IF(CI273="",VLOOKUP($D273,素材!$1:$1016,COLUMN($B$1),FALSE)&amp;"・"&amp;VLOOKUP($C273,武器!$1:$998,COLUMN(B$1),FALSE),VLOOKUP($CI273,装強!$1:$1008,COLUMN($B$1),FALSE)&amp;"・"&amp;VLOOKUP($C273,武器!$1:$998,COLUMN(B$1),FALSE)),"")</f>
        <v>マジックレザー・ベルト</v>
      </c>
      <c r="C273" s="24" t="s">
        <v>204</v>
      </c>
      <c r="D273" s="24" t="s">
        <v>202</v>
      </c>
      <c r="E273" t="str">
        <f>IFERROR(VLOOKUP(C273,武器!$1:$998,COLUMN(C$1),FALSE),"")</f>
        <v>装飾</v>
      </c>
      <c r="F273">
        <f>IFERROR(ROUNDDOWN((VLOOKUP($C273,武器!$1:$998,COLUMN(D$1),FALSE)+IFERROR(VLOOKUP($CI273,装強!$1:$999,COLUMN(F$1),FALSE),0))*VLOOKUP($D273,素材!$1:$1016,COLUMN(D$1),FALSE),0),"")</f>
        <v>0</v>
      </c>
      <c r="G273">
        <f>IFERROR(ROUNDDOWN((VLOOKUP($C273,武器!$1:$998,COLUMN(E$1),FALSE)+IFERROR(VLOOKUP($CI273,装強!$1:$999,COLUMN(G$1),FALSE),0))*VLOOKUP($D273,素材!$1:$1016,COLUMN($E$1),FALSE),0),"")</f>
        <v>0</v>
      </c>
      <c r="H273">
        <f>IFERROR(ROUNDDOWN((VLOOKUP($C273,武器!$1:$998,COLUMN(F$1),FALSE)+IFERROR(VLOOKUP($CI273,装強!$1:$999,COLUMN(H$1),FALSE),0))*VLOOKUP($D273,素材!$1:$1016,COLUMN($E$1),FALSE),0),"")</f>
        <v>0</v>
      </c>
      <c r="I273">
        <f>IFERROR(ROUNDDOWN((VLOOKUP($C273,武器!$1:$998,COLUMN(G$1),FALSE)+IFERROR(VLOOKUP($CI273,装強!$1:$999,COLUMN(I$1),FALSE),0))*VLOOKUP($D273,素材!$1:$1016,COLUMN($E$1),FALSE),0),"")</f>
        <v>0</v>
      </c>
      <c r="J273">
        <f>IFERROR(ROUNDDOWN((VLOOKUP($C273,武器!$1:$998,COLUMN(H$1),FALSE)+IFERROR(VLOOKUP($CI273,装強!$1:$999,COLUMN(J$1),FALSE),0))*VLOOKUP($D273,素材!$1:$1016,COLUMN($E$1),FALSE),0),"")</f>
        <v>0</v>
      </c>
      <c r="K273">
        <f>IFERROR(ROUNDDOWN((VLOOKUP($C273,武器!$1:$998,COLUMN(I$1),FALSE)+IFERROR(VLOOKUP($CI273,装強!$1:$999,COLUMN(K$1),FALSE),0))*VLOOKUP($D273,素材!$1:$1016,COLUMN($E$1),FALSE),0),"")</f>
        <v>0</v>
      </c>
      <c r="L273" t="str">
        <f>IFERROR(VLOOKUP($D273,素材!$1:$1016,COLUMN($F$1),FALSE),"")</f>
        <v>魔法</v>
      </c>
      <c r="M273" t="str">
        <f>IFERROR(VLOOKUP($C273,武器!$1:$998,COLUMN(AA$1),FALSE)*VLOOKUP($D273,素材!$1:$1016,COLUMN($G$1),FALSE),"")</f>
        <v/>
      </c>
      <c r="N273">
        <f>IFERROR(VLOOKUP($C273,武器!$1:$998,COLUMN(I$1),FALSE),"")</f>
        <v>0</v>
      </c>
      <c r="O273" s="23" t="str">
        <f>IFERROR((VLOOKUP($C273,武器!$1:$998,COLUMN(K$1),FALSE)+VLOOKUP($D273,素材!$1:$1016,COLUMN(H$1),FALSE))*100+IFERROR(VLOOKUP($CI273,装強!$1:$999,COLUMN(O$1),FALSE),0),"")</f>
        <v/>
      </c>
      <c r="P273" s="23" t="str">
        <f>IFERROR((VLOOKUP($C273,武器!$1:$998,COLUMN(L$1),FALSE)+VLOOKUP($D273,素材!$1:$1016,COLUMN(I$1),FALSE))*100+IFERROR(VLOOKUP($CI273,装強!$1:$999,COLUMN(P$1),FALSE),0),"")</f>
        <v/>
      </c>
      <c r="Q273">
        <f>IFERROR(ROUNDUP(VLOOKUP($C273,武器!$1:$998,COLUMN(M$1),FALSE)*(VLOOKUP($D273,素材!$1:$1002,COLUMN(D$1),FALSE)/100),1),"")</f>
        <v>0</v>
      </c>
      <c r="R273">
        <f>IFERROR(ROUNDUP(VLOOKUP($C273,武器!$1:$998,COLUMN(N$1),FALSE)*(VLOOKUP($D273,素材!$1:$1002,COLUMN(D$1),FALSE)/100),1),"")</f>
        <v>0</v>
      </c>
      <c r="S273">
        <f>IFERROR(VLOOKUP($C273,武器!$1:$998,COLUMN(P$1),FALSE),"")</f>
        <v>0</v>
      </c>
      <c r="T273">
        <f>IFERROR(VLOOKUP($C273,武器!$1:$998,COLUMN(Q$1),FALSE),"")</f>
        <v>0</v>
      </c>
      <c r="U273">
        <f>IFERROR(VLOOKUP($C273,武器!$1:$998,COLUMN(R$1),FALSE),"")</f>
        <v>0</v>
      </c>
      <c r="V273">
        <f>IFERROR(VLOOKUP($C273,武器!$1:$998,COLUMN(Q$1),FALSE),"")</f>
        <v>0</v>
      </c>
      <c r="W273">
        <f>IFERROR(VLOOKUP($C273,武器!$1:$998,COLUMN(T$1),FALSE),"")</f>
        <v>0</v>
      </c>
      <c r="Y273">
        <f>IFERROR(VLOOKUP($C273,武器!$1:$998,COLUMN(U$1),FALSE),"")</f>
        <v>0</v>
      </c>
      <c r="Z273">
        <f>IFERROR(ROUNDUP(VLOOKUP($C273,武器!$1:$998,COLUMN(O$1),FALSE)*VLOOKUP($D273,素材!$1:$1016,COLUMN(E$1),FALSE),1),"")</f>
        <v>0</v>
      </c>
      <c r="AA273">
        <f>IF(ISNUMBER(SEARCH(SUBSTITUTE(AA$1,RIGHT(AA$1,2),""),VLOOKUP($D273,素材!$1:$1016,COLUMN($F$1),FALSE))),VLOOKUP($C273,武器!$1:$998,COLUMN($O$1),FALSE)*VLOOKUP($D273,素材!$1:$1016,COLUMN($E$1),FALSE)/(LEN(VLOOKUP($D273,素材!$1:$1016,COLUMN($F$1),FALSE)) - LEN(SUBSTITUTE(VLOOKUP($D273,素材!$1:$1016,COLUMN($F$1),FALSE), "・", 0)) + 1), 0)</f>
        <v>0</v>
      </c>
      <c r="AB273">
        <f>IF(ISNUMBER(SEARCH(SUBSTITUTE(AB$1,RIGHT(AB$1,2),""),VLOOKUP($D273,素材!$1:$1016,COLUMN($F$1),FALSE))),VLOOKUP($C273,武器!$1:$998,COLUMN($O$1),FALSE)*VLOOKUP($D273,素材!$1:$1016,COLUMN($E$1),FALSE)/(LEN(VLOOKUP($D273,素材!$1:$1016,COLUMN($F$1),FALSE)) - LEN(SUBSTITUTE(VLOOKUP($D273,素材!$1:$1016,COLUMN($F$1),FALSE), "・", 0)) + 1), 0)</f>
        <v>0</v>
      </c>
      <c r="AC273">
        <f>IF(ISNUMBER(SEARCH(SUBSTITUTE(AC$1,RIGHT(AC$1,2),""),VLOOKUP($D273,素材!$1:$1016,COLUMN($F$1),FALSE))),VLOOKUP($C273,武器!$1:$998,COLUMN($O$1),FALSE)*VLOOKUP($D273,素材!$1:$1016,COLUMN($E$1),FALSE)/(LEN(VLOOKUP($D273,素材!$1:$1016,COLUMN($F$1),FALSE)) - LEN(SUBSTITUTE(VLOOKUP($D273,素材!$1:$1016,COLUMN($F$1),FALSE), "・", 0)) + 1), 0)</f>
        <v>0</v>
      </c>
      <c r="AD273">
        <f>IF(ISNUMBER(SEARCH(SUBSTITUTE(AD$1,RIGHT(AD$1,2),""),VLOOKUP($D273,素材!$1:$1016,COLUMN($F$1),FALSE))),VLOOKUP($C273,武器!$1:$998,COLUMN($O$1),FALSE)*VLOOKUP($D273,素材!$1:$1016,COLUMN($E$1),FALSE)/(LEN(VLOOKUP($D273,素材!$1:$1016,COLUMN($F$1),FALSE)) - LEN(SUBSTITUTE(VLOOKUP($D273,素材!$1:$1016,COLUMN($F$1),FALSE), "・", 0)) + 1), 0)</f>
        <v>0</v>
      </c>
      <c r="AE273">
        <f>IF(ISNUMBER(SEARCH(SUBSTITUTE(AE$1,RIGHT(AE$1,2),""),VLOOKUP($D273,素材!$1:$1016,COLUMN($F$1),FALSE))),VLOOKUP($C273,武器!$1:$998,COLUMN($O$1),FALSE)*VLOOKUP($D273,素材!$1:$1016,COLUMN($E$1),FALSE)/(LEN(VLOOKUP($D273,素材!$1:$1016,COLUMN($F$1),FALSE)) - LEN(SUBSTITUTE(VLOOKUP($D273,素材!$1:$1016,COLUMN($F$1),FALSE), "・", 0)) + 1), 0)</f>
        <v>0</v>
      </c>
      <c r="AF273">
        <f>IF(ISNUMBER(SEARCH(SUBSTITUTE(AF$1,RIGHT(AF$1,2),""),VLOOKUP($D273,素材!$1:$1016,COLUMN($F$1),FALSE))),VLOOKUP($C273,武器!$1:$998,COLUMN($O$1),FALSE)*VLOOKUP($D273,素材!$1:$1016,COLUMN($E$1),FALSE)/(LEN(VLOOKUP($D273,素材!$1:$1016,COLUMN($F$1),FALSE)) - LEN(SUBSTITUTE(VLOOKUP($D273,素材!$1:$1016,COLUMN($F$1),FALSE), "・", 0)) + 1), 0)</f>
        <v>0</v>
      </c>
      <c r="AG273">
        <f>IF(ISNUMBER(SEARCH(SUBSTITUTE(AG$1,RIGHT(AG$1,2),""),VLOOKUP($D273,素材!$1:$1016,COLUMN($F$1),FALSE))),VLOOKUP($C273,武器!$1:$998,COLUMN($O$1),FALSE)*VLOOKUP($D273,素材!$1:$1016,COLUMN($E$1),FALSE)/(LEN(VLOOKUP($D273,素材!$1:$1016,COLUMN($F$1),FALSE)) - LEN(SUBSTITUTE(VLOOKUP($D273,素材!$1:$1016,COLUMN($F$1),FALSE), "・", 0)) + 1), 0)</f>
        <v>0</v>
      </c>
      <c r="AH273">
        <f>IF(ISNUMBER(SEARCH(SUBSTITUTE(AH$1,RIGHT(AH$1,2),""),VLOOKUP($D273,素材!$1:$1016,COLUMN($F$1),FALSE))),VLOOKUP($C273,武器!$1:$998,COLUMN($O$1),FALSE)*VLOOKUP($D273,素材!$1:$1016,COLUMN($E$1),FALSE)/(LEN(VLOOKUP($D273,素材!$1:$1016,COLUMN($F$1),FALSE)) - LEN(SUBSTITUTE(VLOOKUP($D273,素材!$1:$1016,COLUMN($F$1),FALSE), "・", 0)) + 1), 0)</f>
        <v>0</v>
      </c>
      <c r="AI273">
        <f>IF(ISNUMBER(SEARCH(SUBSTITUTE(AI$1,RIGHT(AI$1,2),""),VLOOKUP($D273,素材!$1:$1016,COLUMN($F$1),FALSE))),VLOOKUP($C273,武器!$1:$998,COLUMN($O$1),FALSE)*VLOOKUP($D273,素材!$1:$1016,COLUMN($E$1),FALSE)/(LEN(VLOOKUP($D273,素材!$1:$1016,COLUMN($F$1),FALSE)) - LEN(SUBSTITUTE(VLOOKUP($D273,素材!$1:$1016,COLUMN($F$1),FALSE), "・", 0)) + 1), 0)</f>
        <v>0</v>
      </c>
      <c r="AJ273">
        <f>IF(ISNUMBER(SEARCH(SUBSTITUTE(AJ$1,RIGHT(AJ$1,2),""),VLOOKUP($D273,素材!$1:$1016,COLUMN($F$1),FALSE))),VLOOKUP($C273,武器!$1:$998,COLUMN($O$1),FALSE)*VLOOKUP($D273,素材!$1:$1016,COLUMN($E$1),FALSE)/(LEN(VLOOKUP($D273,素材!$1:$1016,COLUMN($F$1),FALSE)) - LEN(SUBSTITUTE(VLOOKUP($D273,素材!$1:$1016,COLUMN($F$1),FALSE), "・", 0)) + 1), 0)</f>
        <v>0</v>
      </c>
      <c r="AK273">
        <f>IF(ISNUMBER(SEARCH(SUBSTITUTE(AK$1,RIGHT(AK$1,2),""),VLOOKUP($D273,素材!$1:$1016,COLUMN($F$1),FALSE))),VLOOKUP($C273,武器!$1:$998,COLUMN($O$1),FALSE)*VLOOKUP($D273,素材!$1:$1016,COLUMN($E$1),FALSE)/(LEN(VLOOKUP($D273,素材!$1:$1016,COLUMN($F$1),FALSE)) - LEN(SUBSTITUTE(VLOOKUP($D273,素材!$1:$1016,COLUMN($F$1),FALSE), "・", 0)) + 1), 0)</f>
        <v>0</v>
      </c>
      <c r="AL273">
        <f>IF(ISNUMBER(SEARCH(SUBSTITUTE(AL$1,RIGHT(AL$1,2),""),VLOOKUP($D273,素材!$1:$1016,COLUMN($F$1),FALSE))),VLOOKUP($C273,武器!$1:$998,COLUMN($O$1),FALSE)*VLOOKUP($D273,素材!$1:$1016,COLUMN($E$1),FALSE)/(LEN(VLOOKUP($D273,素材!$1:$1016,COLUMN($F$1),FALSE)) - LEN(SUBSTITUTE(VLOOKUP($D273,素材!$1:$1016,COLUMN($F$1),FALSE), "・", 0)) + 1), 0)</f>
        <v>0</v>
      </c>
      <c r="AM273">
        <f>IF(ISNUMBER(SEARCH(SUBSTITUTE(AM$1,RIGHT(AM$1,2),""),VLOOKUP($D273,素材!$1:$1016,COLUMN($F$1),FALSE))),VLOOKUP($C273,武器!$1:$998,COLUMN($O$1),FALSE)*VLOOKUP($D273,素材!$1:$1016,COLUMN($E$1),FALSE)/(LEN(VLOOKUP($D273,素材!$1:$1016,COLUMN($F$1),FALSE)) - LEN(SUBSTITUTE(VLOOKUP($D273,素材!$1:$1016,COLUMN($F$1),FALSE), "・", 0)) + 1), 0)</f>
        <v>0</v>
      </c>
      <c r="AN273">
        <f>IF(ISNUMBER(SEARCH(SUBSTITUTE(AN$1,RIGHT(AN$1,2),""),VLOOKUP($D273,素材!$1:$1016,COLUMN($F$1),FALSE))),VLOOKUP($C273,武器!$1:$998,COLUMN($O$1),FALSE)*VLOOKUP($D273,素材!$1:$1016,COLUMN($E$1),FALSE)/(LEN(VLOOKUP($D273,素材!$1:$1016,COLUMN($F$1),FALSE)) - LEN(SUBSTITUTE(VLOOKUP($D273,素材!$1:$1016,COLUMN($F$1),FALSE), "・", 0)) + 1), 0)</f>
        <v>0</v>
      </c>
      <c r="AO273">
        <f>IF(ISNUMBER(SEARCH(SUBSTITUTE(AO$1,RIGHT(AO$1,2),""),VLOOKUP($D273,素材!$1:$1016,COLUMN($F$1),FALSE))),VLOOKUP($C273,武器!$1:$998,COLUMN($O$1),FALSE)*VLOOKUP($D273,素材!$1:$1016,COLUMN($E$1),FALSE)/(LEN(VLOOKUP($D273,素材!$1:$1016,COLUMN($F$1),FALSE)) - LEN(SUBSTITUTE(VLOOKUP($D273,素材!$1:$1016,COLUMN($F$1),FALSE), "・", 0)) + 1), 0)</f>
        <v>0</v>
      </c>
      <c r="AP273">
        <f>IF(ISNUMBER(SEARCH(SUBSTITUTE(AP$1,RIGHT(AP$1,2),""),VLOOKUP($D273,素材!$1:$1016,COLUMN($F$1),FALSE))),VLOOKUP($C273,武器!$1:$998,COLUMN($O$1),FALSE)*VLOOKUP($D273,素材!$1:$1016,COLUMN($E$1),FALSE)/(LEN(VLOOKUP($D273,素材!$1:$1016,COLUMN($F$1),FALSE)) - LEN(SUBSTITUTE(VLOOKUP($D273,素材!$1:$1016,COLUMN($F$1),FALSE), "・", 0)) + 1), 0)</f>
        <v>0</v>
      </c>
      <c r="AQ273">
        <f>IF(ISNUMBER(SEARCH(SUBSTITUTE(AQ$1,RIGHT(AQ$1,2),""),VLOOKUP($D273,素材!$1:$1016,COLUMN($F$1),FALSE))),VLOOKUP($C273,武器!$1:$998,COLUMN($O$1),FALSE)*VLOOKUP($D273,素材!$1:$1016,COLUMN($E$1),FALSE)/(LEN(VLOOKUP($D273,素材!$1:$1016,COLUMN($F$1),FALSE)) - LEN(SUBSTITUTE(VLOOKUP($D273,素材!$1:$1016,COLUMN($F$1),FALSE), "・", 0)) + 1), 0)</f>
        <v>0</v>
      </c>
      <c r="AR273">
        <f>IF(ISNUMBER(SEARCH(SUBSTITUTE(AR$1,RIGHT(AR$1,2),""),VLOOKUP($D273,素材!$1:$1016,COLUMN($F$1),FALSE))),VLOOKUP($C273,武器!$1:$998,COLUMN($O$1),FALSE)*VLOOKUP($D273,素材!$1:$1016,COLUMN($E$1),FALSE)/(LEN(VLOOKUP($D273,素材!$1:$1016,COLUMN($F$1),FALSE)) - LEN(SUBSTITUTE(VLOOKUP($D273,素材!$1:$1016,COLUMN($F$1),FALSE), "・", 0)) + 1), 0)</f>
        <v>0</v>
      </c>
      <c r="AS273">
        <f>IF(ISNUMBER(SEARCH(SUBSTITUTE(AS$1,RIGHT(AS$1,2),""),VLOOKUP($D273,素材!$1:$1016,COLUMN($F$1),FALSE))),VLOOKUP($C273,武器!$1:$998,COLUMN($O$1),FALSE)*VLOOKUP($D273,素材!$1:$1016,COLUMN($E$1),FALSE)/(LEN(VLOOKUP($D273,素材!$1:$1016,COLUMN($F$1),FALSE)) - LEN(SUBSTITUTE(VLOOKUP($D273,素材!$1:$1016,COLUMN($F$1),FALSE), "・", 0)) + 1), 0)</f>
        <v>0</v>
      </c>
      <c r="AT273">
        <f>IF(ISNUMBER(SEARCH(SUBSTITUTE(AT$1,RIGHT(AT$1,2),""),VLOOKUP($D273,素材!$1:$1016,COLUMN($F$1),FALSE))),VLOOKUP($C273,武器!$1:$998,COLUMN($O$1),FALSE)*VLOOKUP($D273,素材!$1:$1016,COLUMN($E$1),FALSE)/(LEN(VLOOKUP($D273,素材!$1:$1016,COLUMN($F$1),FALSE)) - LEN(SUBSTITUTE(VLOOKUP($D273,素材!$1:$1016,COLUMN($F$1),FALSE), "・", 0)) + 1), 0)</f>
        <v>0</v>
      </c>
      <c r="AU273">
        <f>IF(ISNUMBER(SEARCH(SUBSTITUTE(AU$1,RIGHT(AU$1,2),""),VLOOKUP($D273,素材!$1:$1016,COLUMN($F$1),FALSE))),VLOOKUP($C273,武器!$1:$998,COLUMN($O$1),FALSE)*VLOOKUP($D273,素材!$1:$1016,COLUMN($E$1),FALSE)/(LEN(VLOOKUP($D273,素材!$1:$1016,COLUMN($F$1),FALSE)) - LEN(SUBSTITUTE(VLOOKUP($D273,素材!$1:$1016,COLUMN($F$1),FALSE), "・", 0)) + 1), 0)</f>
        <v>0</v>
      </c>
      <c r="AV273">
        <f>IF(ISNUMBER(SEARCH(SUBSTITUTE(AV$1,RIGHT(AV$1,2),""),VLOOKUP($D273,素材!$1:$1016,COLUMN($F$1),FALSE))),VLOOKUP($C273,武器!$1:$998,COLUMN($O$1),FALSE)*VLOOKUP($D273,素材!$1:$1016,COLUMN($E$1),FALSE)/(LEN(VLOOKUP($D273,素材!$1:$1016,COLUMN($F$1),FALSE)) - LEN(SUBSTITUTE(VLOOKUP($D273,素材!$1:$1016,COLUMN($F$1),FALSE), "・", 0)) + 1), 0)</f>
        <v>0</v>
      </c>
      <c r="AW273">
        <f>IF(ISNUMBER(SEARCH(SUBSTITUTE(AW$1,RIGHT(AW$1,2),""),VLOOKUP($D273,素材!$1:$1016,COLUMN($F$1),FALSE))),VLOOKUP($C273,武器!$1:$998,COLUMN($O$1),FALSE)*VLOOKUP($D273,素材!$1:$1016,COLUMN($E$1),FALSE)/(LEN(VLOOKUP($D273,素材!$1:$1016,COLUMN($F$1),FALSE)) - LEN(SUBSTITUTE(VLOOKUP($D273,素材!$1:$1016,COLUMN($F$1),FALSE), "・", 0)) + 1), 0)</f>
        <v>0</v>
      </c>
      <c r="AX273">
        <f>IF(ISNUMBER(SEARCH(SUBSTITUTE(AX$1,RIGHT(AX$1,2),""),VLOOKUP($D273,素材!$1:$1016,COLUMN($F$1),FALSE))),VLOOKUP($C273,武器!$1:$998,COLUMN($O$1),FALSE)*VLOOKUP($D273,素材!$1:$1016,COLUMN($E$1),FALSE)/(LEN(VLOOKUP($D273,素材!$1:$1016,COLUMN($F$1),FALSE)) - LEN(SUBSTITUTE(VLOOKUP($D273,素材!$1:$1016,COLUMN($F$1),FALSE), "・", 0)) + 1), 0)</f>
        <v>0</v>
      </c>
      <c r="AY273">
        <f>IF(ISNUMBER(SEARCH(SUBSTITUTE(AY$1,RIGHT(AY$1,2),""),VLOOKUP($D273,素材!$1:$1016,COLUMN($F$1),FALSE))),VLOOKUP($C273,武器!$1:$998,COLUMN($O$1),FALSE)*VLOOKUP($D273,素材!$1:$1016,COLUMN($E$1),FALSE)/(LEN(VLOOKUP($D273,素材!$1:$1016,COLUMN($F$1),FALSE)) - LEN(SUBSTITUTE(VLOOKUP($D273,素材!$1:$1016,COLUMN($F$1),FALSE), "・", 0)) + 1), 0)</f>
        <v>0</v>
      </c>
      <c r="AZ273">
        <f>IF(ISNUMBER(SEARCH(SUBSTITUTE(AZ$1,RIGHT(AZ$1,2),""),VLOOKUP($D273,素材!$1:$1016,COLUMN($F$1),FALSE))),VLOOKUP($C273,武器!$1:$998,COLUMN($O$1),FALSE)*VLOOKUP($D273,素材!$1:$1016,COLUMN($E$1),FALSE)/(LEN(VLOOKUP($D273,素材!$1:$1016,COLUMN($F$1),FALSE)) - LEN(SUBSTITUTE(VLOOKUP($D273,素材!$1:$1016,COLUMN($F$1),FALSE), "・", 0)) + 1), 0)</f>
        <v>0</v>
      </c>
      <c r="BA273">
        <f>IF(ISNUMBER(SEARCH(SUBSTITUTE(BA$1,RIGHT(BA$1,2),""),VLOOKUP($D273,素材!$1:$1016,COLUMN($F$1),FALSE))),VLOOKUP($C273,武器!$1:$998,COLUMN($O$1),FALSE)*VLOOKUP($D273,素材!$1:$1016,COLUMN($E$1),FALSE)/(LEN(VLOOKUP($D273,素材!$1:$1016,COLUMN($F$1),FALSE)) - LEN(SUBSTITUTE(VLOOKUP($D273,素材!$1:$1016,COLUMN($F$1),FALSE), "・", 0)) + 1), 0)</f>
        <v>0</v>
      </c>
      <c r="BB273">
        <f>IF(ISNUMBER(SEARCH(SUBSTITUTE(BB$1,RIGHT(BB$1,2),""),VLOOKUP($D273,素材!$1:$1016,COLUMN($F$1),FALSE))),VLOOKUP($C273,武器!$1:$998,COLUMN($O$1),FALSE)*VLOOKUP($D273,素材!$1:$1016,COLUMN($E$1),FALSE)/(LEN(VLOOKUP($D273,素材!$1:$1016,COLUMN($F$1),FALSE)) - LEN(SUBSTITUTE(VLOOKUP($D273,素材!$1:$1016,COLUMN($F$1),FALSE), "・", 0)) + 1), 0)</f>
        <v>0</v>
      </c>
      <c r="BC273">
        <f>IF(ISNUMBER(SEARCH(SUBSTITUTE(BC$1,RIGHT(BC$1,2),""),VLOOKUP($D273,素材!$1:$1016,COLUMN($F$1),FALSE))),VLOOKUP($C273,武器!$1:$998,COLUMN($O$1),FALSE)*VLOOKUP($D273,素材!$1:$1016,COLUMN($E$1),FALSE)/(LEN(VLOOKUP($D273,素材!$1:$1016,COLUMN($F$1),FALSE)) - LEN(SUBSTITUTE(VLOOKUP($D273,素材!$1:$1016,COLUMN($F$1),FALSE), "・", 0)) + 1), 0)</f>
        <v>0</v>
      </c>
      <c r="BD273">
        <f>IF(ISNUMBER(SEARCH(SUBSTITUTE(BD$1,RIGHT(BD$1,2),""),VLOOKUP($D273,素材!$1:$1016,COLUMN($F$1),FALSE))),VLOOKUP($C273,武器!$1:$998,COLUMN($O$1),FALSE)*VLOOKUP($D273,素材!$1:$1016,COLUMN($E$1),FALSE)/(LEN(VLOOKUP($D273,素材!$1:$1016,COLUMN($F$1),FALSE)) - LEN(SUBSTITUTE(VLOOKUP($D273,素材!$1:$1016,COLUMN($F$1),FALSE), "・", 0)) + 1), 0)</f>
        <v>0</v>
      </c>
      <c r="BE273">
        <f>IF(ISNUMBER(SEARCH(SUBSTITUTE(BE$1,RIGHT(BE$1,2),""),VLOOKUP($D273,素材!$1:$1016,COLUMN($F$1),FALSE))),VLOOKUP($C273,武器!$1:$998,COLUMN($O$1),FALSE)*VLOOKUP($D273,素材!$1:$1016,COLUMN($E$1),FALSE)/(LEN(VLOOKUP($D273,素材!$1:$1016,COLUMN($F$1),FALSE)) - LEN(SUBSTITUTE(VLOOKUP($D273,素材!$1:$1016,COLUMN($F$1),FALSE), "・", 0)) + 1), 0)</f>
        <v>0</v>
      </c>
      <c r="CL273">
        <f>SUM(G273:I273)</f>
        <v>0</v>
      </c>
      <c r="CM273" s="22" t="str">
        <f>IF(E273="武器",IF(J273-1&gt;SUM(G273:I273),"盾",IF(MAX(G273:I273)=G273,"切断",IF(MAX(G273:I273)=H273,"貫通",IF(MAX(G273:I273)=I273,"打撃","射撃")))),E273)&amp;".webp"</f>
        <v>装飾.webp</v>
      </c>
      <c r="CN273">
        <f>IFERROR(VLOOKUP($C273,武器!$1:$998,COLUMN(V$1),FALSE)*VLOOKUP($D273,素材!$1:$1016,COLUMN(N$1),FALSE)+IF(CI273="",0,VLOOKUP($CI273,装強!$1:$1008,COLUMN($CK$1),FALSE)),"")</f>
        <v>1500</v>
      </c>
      <c r="CO273" t="str">
        <f>VLOOKUP(D273,素材!$A:$O,COLUMN(素材!O$1),FALSE)</f>
        <v>魔力を帯びた特殊な皮素材。魔法防御や属性耐性を強化する効果があり、高レベルの冒険者に重宝されます。</v>
      </c>
      <c r="CP273" t="str">
        <f>VLOOKUP(C273,武器!$A:$W,COLUMN(武器!W$1),FALSE)</f>
        <v xml:space="preserve">HP ST 攻撃 防御 体幹 怯み 疲労 </v>
      </c>
      <c r="CR273" t="str">
        <f t="shared" si="33"/>
        <v>e_273</v>
      </c>
      <c r="CS273">
        <f t="shared" si="34"/>
        <v>150000</v>
      </c>
    </row>
    <row r="274" spans="1:97" hidden="1" outlineLevel="1" x14ac:dyDescent="0.4">
      <c r="A274" t="str">
        <f>IF(CI274="",D274&amp;"の"&amp;C274,CI274&amp;"の"&amp;C274)</f>
        <v>魔獣皮の帯</v>
      </c>
      <c r="B274" t="str">
        <f>IFERROR(IF(CI274="",VLOOKUP($D274,素材!$1:$1016,COLUMN($B$1),FALSE)&amp;"・"&amp;VLOOKUP($C274,武器!$1:$998,COLUMN(B$1),FALSE),VLOOKUP($CI274,装強!$1:$1008,COLUMN($B$1),FALSE)&amp;"・"&amp;VLOOKUP($C274,武器!$1:$998,COLUMN(B$1),FALSE)),"")</f>
        <v>マジックレザー・ベルト</v>
      </c>
      <c r="C274" s="24" t="s">
        <v>204</v>
      </c>
      <c r="D274" s="24" t="s">
        <v>202</v>
      </c>
      <c r="E274" t="str">
        <f>IFERROR(VLOOKUP(C274,武器!$1:$998,COLUMN(C$1),FALSE),"")</f>
        <v>装飾</v>
      </c>
      <c r="F274">
        <f>IFERROR(ROUNDDOWN((VLOOKUP($C274,武器!$1:$998,COLUMN(D$1),FALSE)+IFERROR(VLOOKUP($CI274,装強!$1:$999,COLUMN(F$1),FALSE),0))*VLOOKUP($D274,素材!$1:$1016,COLUMN(D$1),FALSE),0),"")</f>
        <v>0</v>
      </c>
      <c r="G274">
        <f>IFERROR(ROUNDDOWN((VLOOKUP($C274,武器!$1:$998,COLUMN(E$1),FALSE)+IFERROR(VLOOKUP($CI274,装強!$1:$999,COLUMN(G$1),FALSE),0))*VLOOKUP($D274,素材!$1:$1016,COLUMN($E$1),FALSE),0),"")</f>
        <v>0</v>
      </c>
      <c r="H274">
        <f>IFERROR(ROUNDDOWN((VLOOKUP($C274,武器!$1:$998,COLUMN(F$1),FALSE)+IFERROR(VLOOKUP($CI274,装強!$1:$999,COLUMN(H$1),FALSE),0))*VLOOKUP($D274,素材!$1:$1016,COLUMN($E$1),FALSE),0),"")</f>
        <v>0</v>
      </c>
      <c r="I274">
        <f>IFERROR(ROUNDDOWN((VLOOKUP($C274,武器!$1:$998,COLUMN(G$1),FALSE)+IFERROR(VLOOKUP($CI274,装強!$1:$999,COLUMN(I$1),FALSE),0))*VLOOKUP($D274,素材!$1:$1016,COLUMN($E$1),FALSE),0),"")</f>
        <v>0</v>
      </c>
      <c r="J274">
        <f>IFERROR(ROUNDDOWN((VLOOKUP($C274,武器!$1:$998,COLUMN(H$1),FALSE)+IFERROR(VLOOKUP($CI274,装強!$1:$999,COLUMN(J$1),FALSE),0))*VLOOKUP($D274,素材!$1:$1016,COLUMN($E$1),FALSE),0),"")</f>
        <v>0</v>
      </c>
      <c r="K274">
        <f>IFERROR(ROUNDDOWN((VLOOKUP($C274,武器!$1:$998,COLUMN(I$1),FALSE)+IFERROR(VLOOKUP($CI274,装強!$1:$999,COLUMN(K$1),FALSE),0))*VLOOKUP($D274,素材!$1:$1016,COLUMN($E$1),FALSE),0),"")</f>
        <v>0</v>
      </c>
      <c r="L274" t="str">
        <f>IFERROR(VLOOKUP($D274,素材!$1:$1016,COLUMN($F$1),FALSE),"")</f>
        <v>魔法</v>
      </c>
      <c r="M274" t="str">
        <f>IFERROR(VLOOKUP($C274,武器!$1:$998,COLUMN(AA$1),FALSE)*VLOOKUP($D274,素材!$1:$1016,COLUMN($G$1),FALSE),"")</f>
        <v/>
      </c>
      <c r="N274">
        <f>IFERROR(VLOOKUP($C274,武器!$1:$998,COLUMN(I$1),FALSE),"")</f>
        <v>0</v>
      </c>
      <c r="O274" s="23" t="str">
        <f>IFERROR((VLOOKUP($C274,武器!$1:$998,COLUMN(K$1),FALSE)+VLOOKUP($D274,素材!$1:$1016,COLUMN(H$1),FALSE))*100+IFERROR(VLOOKUP($CI274,装強!$1:$999,COLUMN(O$1),FALSE),0),"")</f>
        <v/>
      </c>
      <c r="P274" s="23" t="str">
        <f>IFERROR((VLOOKUP($C274,武器!$1:$998,COLUMN(L$1),FALSE)+VLOOKUP($D274,素材!$1:$1016,COLUMN(I$1),FALSE))*100+IFERROR(VLOOKUP($CI274,装強!$1:$999,COLUMN(P$1),FALSE),0),"")</f>
        <v/>
      </c>
      <c r="Q274">
        <f>IFERROR(ROUNDUP(VLOOKUP($C274,武器!$1:$998,COLUMN(M$1),FALSE)*(VLOOKUP($D274,素材!$1:$1002,COLUMN(D$1),FALSE)/100),1),"")</f>
        <v>0</v>
      </c>
      <c r="R274">
        <f>IFERROR(ROUNDUP(VLOOKUP($C274,武器!$1:$998,COLUMN(N$1),FALSE)*(VLOOKUP($D274,素材!$1:$1002,COLUMN(D$1),FALSE)/100),1),"")</f>
        <v>0</v>
      </c>
      <c r="S274">
        <f>IFERROR(VLOOKUP($C274,武器!$1:$998,COLUMN(P$1),FALSE),"")</f>
        <v>0</v>
      </c>
      <c r="T274">
        <f>IFERROR(VLOOKUP($C274,武器!$1:$998,COLUMN(Q$1),FALSE),"")</f>
        <v>0</v>
      </c>
      <c r="U274">
        <f>IFERROR(VLOOKUP($C274,武器!$1:$998,COLUMN(R$1),FALSE),"")</f>
        <v>0</v>
      </c>
      <c r="V274">
        <f>IFERROR(VLOOKUP($C274,武器!$1:$998,COLUMN(Q$1),FALSE),"")</f>
        <v>0</v>
      </c>
      <c r="W274">
        <f>IFERROR(VLOOKUP($C274,武器!$1:$998,COLUMN(T$1),FALSE),"")</f>
        <v>0</v>
      </c>
      <c r="Y274">
        <f>IFERROR(VLOOKUP($C274,武器!$1:$998,COLUMN(U$1),FALSE),"")</f>
        <v>0</v>
      </c>
      <c r="Z274">
        <f>IFERROR(ROUNDUP(VLOOKUP($C274,武器!$1:$998,COLUMN(O$1),FALSE)*VLOOKUP($D274,素材!$1:$1016,COLUMN(E$1),FALSE),1),"")</f>
        <v>0</v>
      </c>
      <c r="AA274">
        <f>IF(ISNUMBER(SEARCH(SUBSTITUTE(AA$1,RIGHT(AA$1,2),""),VLOOKUP($D274,素材!$1:$1016,COLUMN($F$1),FALSE))),VLOOKUP($C274,武器!$1:$998,COLUMN($O$1),FALSE)*VLOOKUP($D274,素材!$1:$1016,COLUMN($E$1),FALSE)/(LEN(VLOOKUP($D274,素材!$1:$1016,COLUMN($F$1),FALSE)) - LEN(SUBSTITUTE(VLOOKUP($D274,素材!$1:$1016,COLUMN($F$1),FALSE), "・", 0)) + 1), 0)</f>
        <v>0</v>
      </c>
      <c r="AB274">
        <f>IF(ISNUMBER(SEARCH(SUBSTITUTE(AB$1,RIGHT(AB$1,2),""),VLOOKUP($D274,素材!$1:$1016,COLUMN($F$1),FALSE))),VLOOKUP($C274,武器!$1:$998,COLUMN($O$1),FALSE)*VLOOKUP($D274,素材!$1:$1016,COLUMN($E$1),FALSE)/(LEN(VLOOKUP($D274,素材!$1:$1016,COLUMN($F$1),FALSE)) - LEN(SUBSTITUTE(VLOOKUP($D274,素材!$1:$1016,COLUMN($F$1),FALSE), "・", 0)) + 1), 0)</f>
        <v>0</v>
      </c>
      <c r="AC274">
        <f>IF(ISNUMBER(SEARCH(SUBSTITUTE(AC$1,RIGHT(AC$1,2),""),VLOOKUP($D274,素材!$1:$1016,COLUMN($F$1),FALSE))),VLOOKUP($C274,武器!$1:$998,COLUMN($O$1),FALSE)*VLOOKUP($D274,素材!$1:$1016,COLUMN($E$1),FALSE)/(LEN(VLOOKUP($D274,素材!$1:$1016,COLUMN($F$1),FALSE)) - LEN(SUBSTITUTE(VLOOKUP($D274,素材!$1:$1016,COLUMN($F$1),FALSE), "・", 0)) + 1), 0)</f>
        <v>0</v>
      </c>
      <c r="AD274">
        <f>IF(ISNUMBER(SEARCH(SUBSTITUTE(AD$1,RIGHT(AD$1,2),""),VLOOKUP($D274,素材!$1:$1016,COLUMN($F$1),FALSE))),VLOOKUP($C274,武器!$1:$998,COLUMN($O$1),FALSE)*VLOOKUP($D274,素材!$1:$1016,COLUMN($E$1),FALSE)/(LEN(VLOOKUP($D274,素材!$1:$1016,COLUMN($F$1),FALSE)) - LEN(SUBSTITUTE(VLOOKUP($D274,素材!$1:$1016,COLUMN($F$1),FALSE), "・", 0)) + 1), 0)</f>
        <v>0</v>
      </c>
      <c r="AE274">
        <f>IF(ISNUMBER(SEARCH(SUBSTITUTE(AE$1,RIGHT(AE$1,2),""),VLOOKUP($D274,素材!$1:$1016,COLUMN($F$1),FALSE))),VLOOKUP($C274,武器!$1:$998,COLUMN($O$1),FALSE)*VLOOKUP($D274,素材!$1:$1016,COLUMN($E$1),FALSE)/(LEN(VLOOKUP($D274,素材!$1:$1016,COLUMN($F$1),FALSE)) - LEN(SUBSTITUTE(VLOOKUP($D274,素材!$1:$1016,COLUMN($F$1),FALSE), "・", 0)) + 1), 0)</f>
        <v>0</v>
      </c>
      <c r="AF274">
        <f>IF(ISNUMBER(SEARCH(SUBSTITUTE(AF$1,RIGHT(AF$1,2),""),VLOOKUP($D274,素材!$1:$1016,COLUMN($F$1),FALSE))),VLOOKUP($C274,武器!$1:$998,COLUMN($O$1),FALSE)*VLOOKUP($D274,素材!$1:$1016,COLUMN($E$1),FALSE)/(LEN(VLOOKUP($D274,素材!$1:$1016,COLUMN($F$1),FALSE)) - LEN(SUBSTITUTE(VLOOKUP($D274,素材!$1:$1016,COLUMN($F$1),FALSE), "・", 0)) + 1), 0)</f>
        <v>0</v>
      </c>
      <c r="AG274">
        <f>IF(ISNUMBER(SEARCH(SUBSTITUTE(AG$1,RIGHT(AG$1,2),""),VLOOKUP($D274,素材!$1:$1016,COLUMN($F$1),FALSE))),VLOOKUP($C274,武器!$1:$998,COLUMN($O$1),FALSE)*VLOOKUP($D274,素材!$1:$1016,COLUMN($E$1),FALSE)/(LEN(VLOOKUP($D274,素材!$1:$1016,COLUMN($F$1),FALSE)) - LEN(SUBSTITUTE(VLOOKUP($D274,素材!$1:$1016,COLUMN($F$1),FALSE), "・", 0)) + 1), 0)</f>
        <v>0</v>
      </c>
      <c r="AH274">
        <f>IF(ISNUMBER(SEARCH(SUBSTITUTE(AH$1,RIGHT(AH$1,2),""),VLOOKUP($D274,素材!$1:$1016,COLUMN($F$1),FALSE))),VLOOKUP($C274,武器!$1:$998,COLUMN($O$1),FALSE)*VLOOKUP($D274,素材!$1:$1016,COLUMN($E$1),FALSE)/(LEN(VLOOKUP($D274,素材!$1:$1016,COLUMN($F$1),FALSE)) - LEN(SUBSTITUTE(VLOOKUP($D274,素材!$1:$1016,COLUMN($F$1),FALSE), "・", 0)) + 1), 0)</f>
        <v>0</v>
      </c>
      <c r="AI274">
        <f>IF(ISNUMBER(SEARCH(SUBSTITUTE(AI$1,RIGHT(AI$1,2),""),VLOOKUP($D274,素材!$1:$1016,COLUMN($F$1),FALSE))),VLOOKUP($C274,武器!$1:$998,COLUMN($O$1),FALSE)*VLOOKUP($D274,素材!$1:$1016,COLUMN($E$1),FALSE)/(LEN(VLOOKUP($D274,素材!$1:$1016,COLUMN($F$1),FALSE)) - LEN(SUBSTITUTE(VLOOKUP($D274,素材!$1:$1016,COLUMN($F$1),FALSE), "・", 0)) + 1), 0)</f>
        <v>0</v>
      </c>
      <c r="AJ274">
        <f>IF(ISNUMBER(SEARCH(SUBSTITUTE(AJ$1,RIGHT(AJ$1,2),""),VLOOKUP($D274,素材!$1:$1016,COLUMN($F$1),FALSE))),VLOOKUP($C274,武器!$1:$998,COLUMN($O$1),FALSE)*VLOOKUP($D274,素材!$1:$1016,COLUMN($E$1),FALSE)/(LEN(VLOOKUP($D274,素材!$1:$1016,COLUMN($F$1),FALSE)) - LEN(SUBSTITUTE(VLOOKUP($D274,素材!$1:$1016,COLUMN($F$1),FALSE), "・", 0)) + 1), 0)</f>
        <v>0</v>
      </c>
      <c r="AK274">
        <f>IF(ISNUMBER(SEARCH(SUBSTITUTE(AK$1,RIGHT(AK$1,2),""),VLOOKUP($D274,素材!$1:$1016,COLUMN($F$1),FALSE))),VLOOKUP($C274,武器!$1:$998,COLUMN($O$1),FALSE)*VLOOKUP($D274,素材!$1:$1016,COLUMN($E$1),FALSE)/(LEN(VLOOKUP($D274,素材!$1:$1016,COLUMN($F$1),FALSE)) - LEN(SUBSTITUTE(VLOOKUP($D274,素材!$1:$1016,COLUMN($F$1),FALSE), "・", 0)) + 1), 0)</f>
        <v>0</v>
      </c>
      <c r="AL274">
        <f>IF(ISNUMBER(SEARCH(SUBSTITUTE(AL$1,RIGHT(AL$1,2),""),VLOOKUP($D274,素材!$1:$1016,COLUMN($F$1),FALSE))),VLOOKUP($C274,武器!$1:$998,COLUMN($O$1),FALSE)*VLOOKUP($D274,素材!$1:$1016,COLUMN($E$1),FALSE)/(LEN(VLOOKUP($D274,素材!$1:$1016,COLUMN($F$1),FALSE)) - LEN(SUBSTITUTE(VLOOKUP($D274,素材!$1:$1016,COLUMN($F$1),FALSE), "・", 0)) + 1), 0)</f>
        <v>0</v>
      </c>
      <c r="AM274">
        <f>IF(ISNUMBER(SEARCH(SUBSTITUTE(AM$1,RIGHT(AM$1,2),""),VLOOKUP($D274,素材!$1:$1016,COLUMN($F$1),FALSE))),VLOOKUP($C274,武器!$1:$998,COLUMN($O$1),FALSE)*VLOOKUP($D274,素材!$1:$1016,COLUMN($E$1),FALSE)/(LEN(VLOOKUP($D274,素材!$1:$1016,COLUMN($F$1),FALSE)) - LEN(SUBSTITUTE(VLOOKUP($D274,素材!$1:$1016,COLUMN($F$1),FALSE), "・", 0)) + 1), 0)</f>
        <v>0</v>
      </c>
      <c r="AN274">
        <f>IF(ISNUMBER(SEARCH(SUBSTITUTE(AN$1,RIGHT(AN$1,2),""),VLOOKUP($D274,素材!$1:$1016,COLUMN($F$1),FALSE))),VLOOKUP($C274,武器!$1:$998,COLUMN($O$1),FALSE)*VLOOKUP($D274,素材!$1:$1016,COLUMN($E$1),FALSE)/(LEN(VLOOKUP($D274,素材!$1:$1016,COLUMN($F$1),FALSE)) - LEN(SUBSTITUTE(VLOOKUP($D274,素材!$1:$1016,COLUMN($F$1),FALSE), "・", 0)) + 1), 0)</f>
        <v>0</v>
      </c>
      <c r="AO274">
        <f>IF(ISNUMBER(SEARCH(SUBSTITUTE(AO$1,RIGHT(AO$1,2),""),VLOOKUP($D274,素材!$1:$1016,COLUMN($F$1),FALSE))),VLOOKUP($C274,武器!$1:$998,COLUMN($O$1),FALSE)*VLOOKUP($D274,素材!$1:$1016,COLUMN($E$1),FALSE)/(LEN(VLOOKUP($D274,素材!$1:$1016,COLUMN($F$1),FALSE)) - LEN(SUBSTITUTE(VLOOKUP($D274,素材!$1:$1016,COLUMN($F$1),FALSE), "・", 0)) + 1), 0)</f>
        <v>0</v>
      </c>
      <c r="AP274">
        <f>IF(ISNUMBER(SEARCH(SUBSTITUTE(AP$1,RIGHT(AP$1,2),""),VLOOKUP($D274,素材!$1:$1016,COLUMN($F$1),FALSE))),VLOOKUP($C274,武器!$1:$998,COLUMN($O$1),FALSE)*VLOOKUP($D274,素材!$1:$1016,COLUMN($E$1),FALSE)/(LEN(VLOOKUP($D274,素材!$1:$1016,COLUMN($F$1),FALSE)) - LEN(SUBSTITUTE(VLOOKUP($D274,素材!$1:$1016,COLUMN($F$1),FALSE), "・", 0)) + 1), 0)</f>
        <v>0</v>
      </c>
      <c r="AQ274">
        <f>IF(ISNUMBER(SEARCH(SUBSTITUTE(AQ$1,RIGHT(AQ$1,2),""),VLOOKUP($D274,素材!$1:$1016,COLUMN($F$1),FALSE))),VLOOKUP($C274,武器!$1:$998,COLUMN($O$1),FALSE)*VLOOKUP($D274,素材!$1:$1016,COLUMN($E$1),FALSE)/(LEN(VLOOKUP($D274,素材!$1:$1016,COLUMN($F$1),FALSE)) - LEN(SUBSTITUTE(VLOOKUP($D274,素材!$1:$1016,COLUMN($F$1),FALSE), "・", 0)) + 1), 0)</f>
        <v>0</v>
      </c>
      <c r="AR274">
        <f>IF(ISNUMBER(SEARCH(SUBSTITUTE(AR$1,RIGHT(AR$1,2),""),VLOOKUP($D274,素材!$1:$1016,COLUMN($F$1),FALSE))),VLOOKUP($C274,武器!$1:$998,COLUMN($O$1),FALSE)*VLOOKUP($D274,素材!$1:$1016,COLUMN($E$1),FALSE)/(LEN(VLOOKUP($D274,素材!$1:$1016,COLUMN($F$1),FALSE)) - LEN(SUBSTITUTE(VLOOKUP($D274,素材!$1:$1016,COLUMN($F$1),FALSE), "・", 0)) + 1), 0)</f>
        <v>0</v>
      </c>
      <c r="AS274">
        <f>IF(ISNUMBER(SEARCH(SUBSTITUTE(AS$1,RIGHT(AS$1,2),""),VLOOKUP($D274,素材!$1:$1016,COLUMN($F$1),FALSE))),VLOOKUP($C274,武器!$1:$998,COLUMN($O$1),FALSE)*VLOOKUP($D274,素材!$1:$1016,COLUMN($E$1),FALSE)/(LEN(VLOOKUP($D274,素材!$1:$1016,COLUMN($F$1),FALSE)) - LEN(SUBSTITUTE(VLOOKUP($D274,素材!$1:$1016,COLUMN($F$1),FALSE), "・", 0)) + 1), 0)</f>
        <v>0</v>
      </c>
      <c r="AT274">
        <f>IF(ISNUMBER(SEARCH(SUBSTITUTE(AT$1,RIGHT(AT$1,2),""),VLOOKUP($D274,素材!$1:$1016,COLUMN($F$1),FALSE))),VLOOKUP($C274,武器!$1:$998,COLUMN($O$1),FALSE)*VLOOKUP($D274,素材!$1:$1016,COLUMN($E$1),FALSE)/(LEN(VLOOKUP($D274,素材!$1:$1016,COLUMN($F$1),FALSE)) - LEN(SUBSTITUTE(VLOOKUP($D274,素材!$1:$1016,COLUMN($F$1),FALSE), "・", 0)) + 1), 0)</f>
        <v>0</v>
      </c>
      <c r="AU274">
        <f>IF(ISNUMBER(SEARCH(SUBSTITUTE(AU$1,RIGHT(AU$1,2),""),VLOOKUP($D274,素材!$1:$1016,COLUMN($F$1),FALSE))),VLOOKUP($C274,武器!$1:$998,COLUMN($O$1),FALSE)*VLOOKUP($D274,素材!$1:$1016,COLUMN($E$1),FALSE)/(LEN(VLOOKUP($D274,素材!$1:$1016,COLUMN($F$1),FALSE)) - LEN(SUBSTITUTE(VLOOKUP($D274,素材!$1:$1016,COLUMN($F$1),FALSE), "・", 0)) + 1), 0)</f>
        <v>0</v>
      </c>
      <c r="AV274">
        <f>IF(ISNUMBER(SEARCH(SUBSTITUTE(AV$1,RIGHT(AV$1,2),""),VLOOKUP($D274,素材!$1:$1016,COLUMN($F$1),FALSE))),VLOOKUP($C274,武器!$1:$998,COLUMN($O$1),FALSE)*VLOOKUP($D274,素材!$1:$1016,COLUMN($E$1),FALSE)/(LEN(VLOOKUP($D274,素材!$1:$1016,COLUMN($F$1),FALSE)) - LEN(SUBSTITUTE(VLOOKUP($D274,素材!$1:$1016,COLUMN($F$1),FALSE), "・", 0)) + 1), 0)</f>
        <v>0</v>
      </c>
      <c r="AW274">
        <f>IF(ISNUMBER(SEARCH(SUBSTITUTE(AW$1,RIGHT(AW$1,2),""),VLOOKUP($D274,素材!$1:$1016,COLUMN($F$1),FALSE))),VLOOKUP($C274,武器!$1:$998,COLUMN($O$1),FALSE)*VLOOKUP($D274,素材!$1:$1016,COLUMN($E$1),FALSE)/(LEN(VLOOKUP($D274,素材!$1:$1016,COLUMN($F$1),FALSE)) - LEN(SUBSTITUTE(VLOOKUP($D274,素材!$1:$1016,COLUMN($F$1),FALSE), "・", 0)) + 1), 0)</f>
        <v>0</v>
      </c>
      <c r="AX274">
        <f>IF(ISNUMBER(SEARCH(SUBSTITUTE(AX$1,RIGHT(AX$1,2),""),VLOOKUP($D274,素材!$1:$1016,COLUMN($F$1),FALSE))),VLOOKUP($C274,武器!$1:$998,COLUMN($O$1),FALSE)*VLOOKUP($D274,素材!$1:$1016,COLUMN($E$1),FALSE)/(LEN(VLOOKUP($D274,素材!$1:$1016,COLUMN($F$1),FALSE)) - LEN(SUBSTITUTE(VLOOKUP($D274,素材!$1:$1016,COLUMN($F$1),FALSE), "・", 0)) + 1), 0)</f>
        <v>0</v>
      </c>
      <c r="AY274">
        <f>IF(ISNUMBER(SEARCH(SUBSTITUTE(AY$1,RIGHT(AY$1,2),""),VLOOKUP($D274,素材!$1:$1016,COLUMN($F$1),FALSE))),VLOOKUP($C274,武器!$1:$998,COLUMN($O$1),FALSE)*VLOOKUP($D274,素材!$1:$1016,COLUMN($E$1),FALSE)/(LEN(VLOOKUP($D274,素材!$1:$1016,COLUMN($F$1),FALSE)) - LEN(SUBSTITUTE(VLOOKUP($D274,素材!$1:$1016,COLUMN($F$1),FALSE), "・", 0)) + 1), 0)</f>
        <v>0</v>
      </c>
      <c r="AZ274">
        <f>IF(ISNUMBER(SEARCH(SUBSTITUTE(AZ$1,RIGHT(AZ$1,2),""),VLOOKUP($D274,素材!$1:$1016,COLUMN($F$1),FALSE))),VLOOKUP($C274,武器!$1:$998,COLUMN($O$1),FALSE)*VLOOKUP($D274,素材!$1:$1016,COLUMN($E$1),FALSE)/(LEN(VLOOKUP($D274,素材!$1:$1016,COLUMN($F$1),FALSE)) - LEN(SUBSTITUTE(VLOOKUP($D274,素材!$1:$1016,COLUMN($F$1),FALSE), "・", 0)) + 1), 0)</f>
        <v>0</v>
      </c>
      <c r="BA274">
        <f>IF(ISNUMBER(SEARCH(SUBSTITUTE(BA$1,RIGHT(BA$1,2),""),VLOOKUP($D274,素材!$1:$1016,COLUMN($F$1),FALSE))),VLOOKUP($C274,武器!$1:$998,COLUMN($O$1),FALSE)*VLOOKUP($D274,素材!$1:$1016,COLUMN($E$1),FALSE)/(LEN(VLOOKUP($D274,素材!$1:$1016,COLUMN($F$1),FALSE)) - LEN(SUBSTITUTE(VLOOKUP($D274,素材!$1:$1016,COLUMN($F$1),FALSE), "・", 0)) + 1), 0)</f>
        <v>0</v>
      </c>
      <c r="BB274">
        <f>IF(ISNUMBER(SEARCH(SUBSTITUTE(BB$1,RIGHT(BB$1,2),""),VLOOKUP($D274,素材!$1:$1016,COLUMN($F$1),FALSE))),VLOOKUP($C274,武器!$1:$998,COLUMN($O$1),FALSE)*VLOOKUP($D274,素材!$1:$1016,COLUMN($E$1),FALSE)/(LEN(VLOOKUP($D274,素材!$1:$1016,COLUMN($F$1),FALSE)) - LEN(SUBSTITUTE(VLOOKUP($D274,素材!$1:$1016,COLUMN($F$1),FALSE), "・", 0)) + 1), 0)</f>
        <v>0</v>
      </c>
      <c r="BC274">
        <f>IF(ISNUMBER(SEARCH(SUBSTITUTE(BC$1,RIGHT(BC$1,2),""),VLOOKUP($D274,素材!$1:$1016,COLUMN($F$1),FALSE))),VLOOKUP($C274,武器!$1:$998,COLUMN($O$1),FALSE)*VLOOKUP($D274,素材!$1:$1016,COLUMN($E$1),FALSE)/(LEN(VLOOKUP($D274,素材!$1:$1016,COLUMN($F$1),FALSE)) - LEN(SUBSTITUTE(VLOOKUP($D274,素材!$1:$1016,COLUMN($F$1),FALSE), "・", 0)) + 1), 0)</f>
        <v>0</v>
      </c>
      <c r="BD274">
        <f>IF(ISNUMBER(SEARCH(SUBSTITUTE(BD$1,RIGHT(BD$1,2),""),VLOOKUP($D274,素材!$1:$1016,COLUMN($F$1),FALSE))),VLOOKUP($C274,武器!$1:$998,COLUMN($O$1),FALSE)*VLOOKUP($D274,素材!$1:$1016,COLUMN($E$1),FALSE)/(LEN(VLOOKUP($D274,素材!$1:$1016,COLUMN($F$1),FALSE)) - LEN(SUBSTITUTE(VLOOKUP($D274,素材!$1:$1016,COLUMN($F$1),FALSE), "・", 0)) + 1), 0)</f>
        <v>0</v>
      </c>
      <c r="BE274">
        <f>IF(ISNUMBER(SEARCH(SUBSTITUTE(BE$1,RIGHT(BE$1,2),""),VLOOKUP($D274,素材!$1:$1016,COLUMN($F$1),FALSE))),VLOOKUP($C274,武器!$1:$998,COLUMN($O$1),FALSE)*VLOOKUP($D274,素材!$1:$1016,COLUMN($E$1),FALSE)/(LEN(VLOOKUP($D274,素材!$1:$1016,COLUMN($F$1),FALSE)) - LEN(SUBSTITUTE(VLOOKUP($D274,素材!$1:$1016,COLUMN($F$1),FALSE), "・", 0)) + 1), 0)</f>
        <v>0</v>
      </c>
      <c r="CL274">
        <f>SUM(G274:I274)</f>
        <v>0</v>
      </c>
      <c r="CM274" s="22" t="str">
        <f>IF(E274="武器",IF(J274-1&gt;SUM(G274:I274),"盾",IF(MAX(G274:I274)=G274,"切断",IF(MAX(G274:I274)=H274,"貫通",IF(MAX(G274:I274)=I274,"打撃","射撃")))),E274)&amp;".webp"</f>
        <v>装飾.webp</v>
      </c>
      <c r="CN274">
        <f>IFERROR(VLOOKUP($C274,武器!$1:$998,COLUMN(V$1),FALSE)*VLOOKUP($D274,素材!$1:$1016,COLUMN(N$1),FALSE)+IF(CI274="",0,VLOOKUP($CI274,装強!$1:$1008,COLUMN($CK$1),FALSE)),"")</f>
        <v>1500</v>
      </c>
      <c r="CO274" t="str">
        <f>VLOOKUP(D274,素材!$A:$O,COLUMN(素材!O$1),FALSE)</f>
        <v>魔力を帯びた特殊な皮素材。魔法防御や属性耐性を強化する効果があり、高レベルの冒険者に重宝されます。</v>
      </c>
      <c r="CP274" t="str">
        <f>VLOOKUP(C274,武器!$A:$W,COLUMN(武器!W$1),FALSE)</f>
        <v xml:space="preserve">HP ST 攻撃 防御 体幹 怯み 疲労 </v>
      </c>
      <c r="CR274" t="str">
        <f t="shared" si="33"/>
        <v>e_274</v>
      </c>
      <c r="CS274">
        <f t="shared" si="34"/>
        <v>150000</v>
      </c>
    </row>
    <row r="275" spans="1:97" hidden="1" outlineLevel="1" x14ac:dyDescent="0.4">
      <c r="A275" t="str">
        <f>IF(CI275="",D275&amp;"の"&amp;C275,CI275&amp;"の"&amp;C275)</f>
        <v>魔獣皮の帯</v>
      </c>
      <c r="B275" t="str">
        <f>IFERROR(IF(CI275="",VLOOKUP($D275,素材!$1:$1016,COLUMN($B$1),FALSE)&amp;"・"&amp;VLOOKUP($C275,武器!$1:$998,COLUMN(B$1),FALSE),VLOOKUP($CI275,装強!$1:$1008,COLUMN($B$1),FALSE)&amp;"・"&amp;VLOOKUP($C275,武器!$1:$998,COLUMN(B$1),FALSE)),"")</f>
        <v>マジックレザー・ベルト</v>
      </c>
      <c r="C275" s="24" t="s">
        <v>204</v>
      </c>
      <c r="D275" s="24" t="s">
        <v>202</v>
      </c>
      <c r="E275" t="str">
        <f>IFERROR(VLOOKUP(C275,武器!$1:$998,COLUMN(C$1),FALSE),"")</f>
        <v>装飾</v>
      </c>
      <c r="F275">
        <f>IFERROR(ROUNDDOWN((VLOOKUP($C275,武器!$1:$998,COLUMN(D$1),FALSE)+IFERROR(VLOOKUP($CI275,装強!$1:$999,COLUMN(F$1),FALSE),0))*VLOOKUP($D275,素材!$1:$1016,COLUMN(D$1),FALSE),0),"")</f>
        <v>0</v>
      </c>
      <c r="G275">
        <f>IFERROR(ROUNDDOWN((VLOOKUP($C275,武器!$1:$998,COLUMN(E$1),FALSE)+IFERROR(VLOOKUP($CI275,装強!$1:$999,COLUMN(G$1),FALSE),0))*VLOOKUP($D275,素材!$1:$1016,COLUMN($E$1),FALSE),0),"")</f>
        <v>0</v>
      </c>
      <c r="H275">
        <f>IFERROR(ROUNDDOWN((VLOOKUP($C275,武器!$1:$998,COLUMN(F$1),FALSE)+IFERROR(VLOOKUP($CI275,装強!$1:$999,COLUMN(H$1),FALSE),0))*VLOOKUP($D275,素材!$1:$1016,COLUMN($E$1),FALSE),0),"")</f>
        <v>0</v>
      </c>
      <c r="I275">
        <f>IFERROR(ROUNDDOWN((VLOOKUP($C275,武器!$1:$998,COLUMN(G$1),FALSE)+IFERROR(VLOOKUP($CI275,装強!$1:$999,COLUMN(I$1),FALSE),0))*VLOOKUP($D275,素材!$1:$1016,COLUMN($E$1),FALSE),0),"")</f>
        <v>0</v>
      </c>
      <c r="J275">
        <f>IFERROR(ROUNDDOWN((VLOOKUP($C275,武器!$1:$998,COLUMN(H$1),FALSE)+IFERROR(VLOOKUP($CI275,装強!$1:$999,COLUMN(J$1),FALSE),0))*VLOOKUP($D275,素材!$1:$1016,COLUMN($E$1),FALSE),0),"")</f>
        <v>0</v>
      </c>
      <c r="K275">
        <f>IFERROR(ROUNDDOWN((VLOOKUP($C275,武器!$1:$998,COLUMN(I$1),FALSE)+IFERROR(VLOOKUP($CI275,装強!$1:$999,COLUMN(K$1),FALSE),0))*VLOOKUP($D275,素材!$1:$1016,COLUMN($E$1),FALSE),0),"")</f>
        <v>0</v>
      </c>
      <c r="L275" t="str">
        <f>IFERROR(VLOOKUP($D275,素材!$1:$1016,COLUMN($F$1),FALSE),"")</f>
        <v>魔法</v>
      </c>
      <c r="M275" t="str">
        <f>IFERROR(VLOOKUP($C275,武器!$1:$998,COLUMN(AA$1),FALSE)*VLOOKUP($D275,素材!$1:$1016,COLUMN($G$1),FALSE),"")</f>
        <v/>
      </c>
      <c r="N275">
        <f>IFERROR(VLOOKUP($C275,武器!$1:$998,COLUMN(I$1),FALSE),"")</f>
        <v>0</v>
      </c>
      <c r="O275" s="23" t="str">
        <f>IFERROR((VLOOKUP($C275,武器!$1:$998,COLUMN(K$1),FALSE)+VLOOKUP($D275,素材!$1:$1016,COLUMN(H$1),FALSE))*100+IFERROR(VLOOKUP($CI275,装強!$1:$999,COLUMN(O$1),FALSE),0),"")</f>
        <v/>
      </c>
      <c r="P275" s="23" t="str">
        <f>IFERROR((VLOOKUP($C275,武器!$1:$998,COLUMN(L$1),FALSE)+VLOOKUP($D275,素材!$1:$1016,COLUMN(I$1),FALSE))*100+IFERROR(VLOOKUP($CI275,装強!$1:$999,COLUMN(P$1),FALSE),0),"")</f>
        <v/>
      </c>
      <c r="Q275">
        <f>IFERROR(ROUNDUP(VLOOKUP($C275,武器!$1:$998,COLUMN(M$1),FALSE)*(VLOOKUP($D275,素材!$1:$1002,COLUMN(D$1),FALSE)/100),1),"")</f>
        <v>0</v>
      </c>
      <c r="R275">
        <f>IFERROR(ROUNDUP(VLOOKUP($C275,武器!$1:$998,COLUMN(N$1),FALSE)*(VLOOKUP($D275,素材!$1:$1002,COLUMN(D$1),FALSE)/100),1),"")</f>
        <v>0</v>
      </c>
      <c r="S275">
        <f>IFERROR(VLOOKUP($C275,武器!$1:$998,COLUMN(P$1),FALSE),"")</f>
        <v>0</v>
      </c>
      <c r="T275">
        <f>IFERROR(VLOOKUP($C275,武器!$1:$998,COLUMN(Q$1),FALSE),"")</f>
        <v>0</v>
      </c>
      <c r="U275">
        <f>IFERROR(VLOOKUP($C275,武器!$1:$998,COLUMN(R$1),FALSE),"")</f>
        <v>0</v>
      </c>
      <c r="V275">
        <f>IFERROR(VLOOKUP($C275,武器!$1:$998,COLUMN(Q$1),FALSE),"")</f>
        <v>0</v>
      </c>
      <c r="W275">
        <f>IFERROR(VLOOKUP($C275,武器!$1:$998,COLUMN(T$1),FALSE),"")</f>
        <v>0</v>
      </c>
      <c r="Y275">
        <f>IFERROR(VLOOKUP($C275,武器!$1:$998,COLUMN(U$1),FALSE),"")</f>
        <v>0</v>
      </c>
      <c r="Z275">
        <f>IFERROR(ROUNDUP(VLOOKUP($C275,武器!$1:$998,COLUMN(O$1),FALSE)*VLOOKUP($D275,素材!$1:$1016,COLUMN(E$1),FALSE),1),"")</f>
        <v>0</v>
      </c>
      <c r="AA275">
        <f>IF(ISNUMBER(SEARCH(SUBSTITUTE(AA$1,RIGHT(AA$1,2),""),VLOOKUP($D275,素材!$1:$1016,COLUMN($F$1),FALSE))),VLOOKUP($C275,武器!$1:$998,COLUMN($O$1),FALSE)*VLOOKUP($D275,素材!$1:$1016,COLUMN($E$1),FALSE)/(LEN(VLOOKUP($D275,素材!$1:$1016,COLUMN($F$1),FALSE)) - LEN(SUBSTITUTE(VLOOKUP($D275,素材!$1:$1016,COLUMN($F$1),FALSE), "・", 0)) + 1), 0)</f>
        <v>0</v>
      </c>
      <c r="AB275">
        <f>IF(ISNUMBER(SEARCH(SUBSTITUTE(AB$1,RIGHT(AB$1,2),""),VLOOKUP($D275,素材!$1:$1016,COLUMN($F$1),FALSE))),VLOOKUP($C275,武器!$1:$998,COLUMN($O$1),FALSE)*VLOOKUP($D275,素材!$1:$1016,COLUMN($E$1),FALSE)/(LEN(VLOOKUP($D275,素材!$1:$1016,COLUMN($F$1),FALSE)) - LEN(SUBSTITUTE(VLOOKUP($D275,素材!$1:$1016,COLUMN($F$1),FALSE), "・", 0)) + 1), 0)</f>
        <v>0</v>
      </c>
      <c r="AC275">
        <f>IF(ISNUMBER(SEARCH(SUBSTITUTE(AC$1,RIGHT(AC$1,2),""),VLOOKUP($D275,素材!$1:$1016,COLUMN($F$1),FALSE))),VLOOKUP($C275,武器!$1:$998,COLUMN($O$1),FALSE)*VLOOKUP($D275,素材!$1:$1016,COLUMN($E$1),FALSE)/(LEN(VLOOKUP($D275,素材!$1:$1016,COLUMN($F$1),FALSE)) - LEN(SUBSTITUTE(VLOOKUP($D275,素材!$1:$1016,COLUMN($F$1),FALSE), "・", 0)) + 1), 0)</f>
        <v>0</v>
      </c>
      <c r="AD275">
        <f>IF(ISNUMBER(SEARCH(SUBSTITUTE(AD$1,RIGHT(AD$1,2),""),VLOOKUP($D275,素材!$1:$1016,COLUMN($F$1),FALSE))),VLOOKUP($C275,武器!$1:$998,COLUMN($O$1),FALSE)*VLOOKUP($D275,素材!$1:$1016,COLUMN($E$1),FALSE)/(LEN(VLOOKUP($D275,素材!$1:$1016,COLUMN($F$1),FALSE)) - LEN(SUBSTITUTE(VLOOKUP($D275,素材!$1:$1016,COLUMN($F$1),FALSE), "・", 0)) + 1), 0)</f>
        <v>0</v>
      </c>
      <c r="AE275">
        <f>IF(ISNUMBER(SEARCH(SUBSTITUTE(AE$1,RIGHT(AE$1,2),""),VLOOKUP($D275,素材!$1:$1016,COLUMN($F$1),FALSE))),VLOOKUP($C275,武器!$1:$998,COLUMN($O$1),FALSE)*VLOOKUP($D275,素材!$1:$1016,COLUMN($E$1),FALSE)/(LEN(VLOOKUP($D275,素材!$1:$1016,COLUMN($F$1),FALSE)) - LEN(SUBSTITUTE(VLOOKUP($D275,素材!$1:$1016,COLUMN($F$1),FALSE), "・", 0)) + 1), 0)</f>
        <v>0</v>
      </c>
      <c r="AF275">
        <f>IF(ISNUMBER(SEARCH(SUBSTITUTE(AF$1,RIGHT(AF$1,2),""),VLOOKUP($D275,素材!$1:$1016,COLUMN($F$1),FALSE))),VLOOKUP($C275,武器!$1:$998,COLUMN($O$1),FALSE)*VLOOKUP($D275,素材!$1:$1016,COLUMN($E$1),FALSE)/(LEN(VLOOKUP($D275,素材!$1:$1016,COLUMN($F$1),FALSE)) - LEN(SUBSTITUTE(VLOOKUP($D275,素材!$1:$1016,COLUMN($F$1),FALSE), "・", 0)) + 1), 0)</f>
        <v>0</v>
      </c>
      <c r="AG275">
        <f>IF(ISNUMBER(SEARCH(SUBSTITUTE(AG$1,RIGHT(AG$1,2),""),VLOOKUP($D275,素材!$1:$1016,COLUMN($F$1),FALSE))),VLOOKUP($C275,武器!$1:$998,COLUMN($O$1),FALSE)*VLOOKUP($D275,素材!$1:$1016,COLUMN($E$1),FALSE)/(LEN(VLOOKUP($D275,素材!$1:$1016,COLUMN($F$1),FALSE)) - LEN(SUBSTITUTE(VLOOKUP($D275,素材!$1:$1016,COLUMN($F$1),FALSE), "・", 0)) + 1), 0)</f>
        <v>0</v>
      </c>
      <c r="AH275">
        <f>IF(ISNUMBER(SEARCH(SUBSTITUTE(AH$1,RIGHT(AH$1,2),""),VLOOKUP($D275,素材!$1:$1016,COLUMN($F$1),FALSE))),VLOOKUP($C275,武器!$1:$998,COLUMN($O$1),FALSE)*VLOOKUP($D275,素材!$1:$1016,COLUMN($E$1),FALSE)/(LEN(VLOOKUP($D275,素材!$1:$1016,COLUMN($F$1),FALSE)) - LEN(SUBSTITUTE(VLOOKUP($D275,素材!$1:$1016,COLUMN($F$1),FALSE), "・", 0)) + 1), 0)</f>
        <v>0</v>
      </c>
      <c r="AI275">
        <f>IF(ISNUMBER(SEARCH(SUBSTITUTE(AI$1,RIGHT(AI$1,2),""),VLOOKUP($D275,素材!$1:$1016,COLUMN($F$1),FALSE))),VLOOKUP($C275,武器!$1:$998,COLUMN($O$1),FALSE)*VLOOKUP($D275,素材!$1:$1016,COLUMN($E$1),FALSE)/(LEN(VLOOKUP($D275,素材!$1:$1016,COLUMN($F$1),FALSE)) - LEN(SUBSTITUTE(VLOOKUP($D275,素材!$1:$1016,COLUMN($F$1),FALSE), "・", 0)) + 1), 0)</f>
        <v>0</v>
      </c>
      <c r="AJ275">
        <f>IF(ISNUMBER(SEARCH(SUBSTITUTE(AJ$1,RIGHT(AJ$1,2),""),VLOOKUP($D275,素材!$1:$1016,COLUMN($F$1),FALSE))),VLOOKUP($C275,武器!$1:$998,COLUMN($O$1),FALSE)*VLOOKUP($D275,素材!$1:$1016,COLUMN($E$1),FALSE)/(LEN(VLOOKUP($D275,素材!$1:$1016,COLUMN($F$1),FALSE)) - LEN(SUBSTITUTE(VLOOKUP($D275,素材!$1:$1016,COLUMN($F$1),FALSE), "・", 0)) + 1), 0)</f>
        <v>0</v>
      </c>
      <c r="AK275">
        <f>IF(ISNUMBER(SEARCH(SUBSTITUTE(AK$1,RIGHT(AK$1,2),""),VLOOKUP($D275,素材!$1:$1016,COLUMN($F$1),FALSE))),VLOOKUP($C275,武器!$1:$998,COLUMN($O$1),FALSE)*VLOOKUP($D275,素材!$1:$1016,COLUMN($E$1),FALSE)/(LEN(VLOOKUP($D275,素材!$1:$1016,COLUMN($F$1),FALSE)) - LEN(SUBSTITUTE(VLOOKUP($D275,素材!$1:$1016,COLUMN($F$1),FALSE), "・", 0)) + 1), 0)</f>
        <v>0</v>
      </c>
      <c r="AL275">
        <f>IF(ISNUMBER(SEARCH(SUBSTITUTE(AL$1,RIGHT(AL$1,2),""),VLOOKUP($D275,素材!$1:$1016,COLUMN($F$1),FALSE))),VLOOKUP($C275,武器!$1:$998,COLUMN($O$1),FALSE)*VLOOKUP($D275,素材!$1:$1016,COLUMN($E$1),FALSE)/(LEN(VLOOKUP($D275,素材!$1:$1016,COLUMN($F$1),FALSE)) - LEN(SUBSTITUTE(VLOOKUP($D275,素材!$1:$1016,COLUMN($F$1),FALSE), "・", 0)) + 1), 0)</f>
        <v>0</v>
      </c>
      <c r="AM275">
        <f>IF(ISNUMBER(SEARCH(SUBSTITUTE(AM$1,RIGHT(AM$1,2),""),VLOOKUP($D275,素材!$1:$1016,COLUMN($F$1),FALSE))),VLOOKUP($C275,武器!$1:$998,COLUMN($O$1),FALSE)*VLOOKUP($D275,素材!$1:$1016,COLUMN($E$1),FALSE)/(LEN(VLOOKUP($D275,素材!$1:$1016,COLUMN($F$1),FALSE)) - LEN(SUBSTITUTE(VLOOKUP($D275,素材!$1:$1016,COLUMN($F$1),FALSE), "・", 0)) + 1), 0)</f>
        <v>0</v>
      </c>
      <c r="AN275">
        <f>IF(ISNUMBER(SEARCH(SUBSTITUTE(AN$1,RIGHT(AN$1,2),""),VLOOKUP($D275,素材!$1:$1016,COLUMN($F$1),FALSE))),VLOOKUP($C275,武器!$1:$998,COLUMN($O$1),FALSE)*VLOOKUP($D275,素材!$1:$1016,COLUMN($E$1),FALSE)/(LEN(VLOOKUP($D275,素材!$1:$1016,COLUMN($F$1),FALSE)) - LEN(SUBSTITUTE(VLOOKUP($D275,素材!$1:$1016,COLUMN($F$1),FALSE), "・", 0)) + 1), 0)</f>
        <v>0</v>
      </c>
      <c r="AO275">
        <f>IF(ISNUMBER(SEARCH(SUBSTITUTE(AO$1,RIGHT(AO$1,2),""),VLOOKUP($D275,素材!$1:$1016,COLUMN($F$1),FALSE))),VLOOKUP($C275,武器!$1:$998,COLUMN($O$1),FALSE)*VLOOKUP($D275,素材!$1:$1016,COLUMN($E$1),FALSE)/(LEN(VLOOKUP($D275,素材!$1:$1016,COLUMN($F$1),FALSE)) - LEN(SUBSTITUTE(VLOOKUP($D275,素材!$1:$1016,COLUMN($F$1),FALSE), "・", 0)) + 1), 0)</f>
        <v>0</v>
      </c>
      <c r="AP275">
        <f>IF(ISNUMBER(SEARCH(SUBSTITUTE(AP$1,RIGHT(AP$1,2),""),VLOOKUP($D275,素材!$1:$1016,COLUMN($F$1),FALSE))),VLOOKUP($C275,武器!$1:$998,COLUMN($O$1),FALSE)*VLOOKUP($D275,素材!$1:$1016,COLUMN($E$1),FALSE)/(LEN(VLOOKUP($D275,素材!$1:$1016,COLUMN($F$1),FALSE)) - LEN(SUBSTITUTE(VLOOKUP($D275,素材!$1:$1016,COLUMN($F$1),FALSE), "・", 0)) + 1), 0)</f>
        <v>0</v>
      </c>
      <c r="AQ275">
        <f>IF(ISNUMBER(SEARCH(SUBSTITUTE(AQ$1,RIGHT(AQ$1,2),""),VLOOKUP($D275,素材!$1:$1016,COLUMN($F$1),FALSE))),VLOOKUP($C275,武器!$1:$998,COLUMN($O$1),FALSE)*VLOOKUP($D275,素材!$1:$1016,COLUMN($E$1),FALSE)/(LEN(VLOOKUP($D275,素材!$1:$1016,COLUMN($F$1),FALSE)) - LEN(SUBSTITUTE(VLOOKUP($D275,素材!$1:$1016,COLUMN($F$1),FALSE), "・", 0)) + 1), 0)</f>
        <v>0</v>
      </c>
      <c r="AR275">
        <f>IF(ISNUMBER(SEARCH(SUBSTITUTE(AR$1,RIGHT(AR$1,2),""),VLOOKUP($D275,素材!$1:$1016,COLUMN($F$1),FALSE))),VLOOKUP($C275,武器!$1:$998,COLUMN($O$1),FALSE)*VLOOKUP($D275,素材!$1:$1016,COLUMN($E$1),FALSE)/(LEN(VLOOKUP($D275,素材!$1:$1016,COLUMN($F$1),FALSE)) - LEN(SUBSTITUTE(VLOOKUP($D275,素材!$1:$1016,COLUMN($F$1),FALSE), "・", 0)) + 1), 0)</f>
        <v>0</v>
      </c>
      <c r="AS275">
        <f>IF(ISNUMBER(SEARCH(SUBSTITUTE(AS$1,RIGHT(AS$1,2),""),VLOOKUP($D275,素材!$1:$1016,COLUMN($F$1),FALSE))),VLOOKUP($C275,武器!$1:$998,COLUMN($O$1),FALSE)*VLOOKUP($D275,素材!$1:$1016,COLUMN($E$1),FALSE)/(LEN(VLOOKUP($D275,素材!$1:$1016,COLUMN($F$1),FALSE)) - LEN(SUBSTITUTE(VLOOKUP($D275,素材!$1:$1016,COLUMN($F$1),FALSE), "・", 0)) + 1), 0)</f>
        <v>0</v>
      </c>
      <c r="AT275">
        <f>IF(ISNUMBER(SEARCH(SUBSTITUTE(AT$1,RIGHT(AT$1,2),""),VLOOKUP($D275,素材!$1:$1016,COLUMN($F$1),FALSE))),VLOOKUP($C275,武器!$1:$998,COLUMN($O$1),FALSE)*VLOOKUP($D275,素材!$1:$1016,COLUMN($E$1),FALSE)/(LEN(VLOOKUP($D275,素材!$1:$1016,COLUMN($F$1),FALSE)) - LEN(SUBSTITUTE(VLOOKUP($D275,素材!$1:$1016,COLUMN($F$1),FALSE), "・", 0)) + 1), 0)</f>
        <v>0</v>
      </c>
      <c r="AU275">
        <f>IF(ISNUMBER(SEARCH(SUBSTITUTE(AU$1,RIGHT(AU$1,2),""),VLOOKUP($D275,素材!$1:$1016,COLUMN($F$1),FALSE))),VLOOKUP($C275,武器!$1:$998,COLUMN($O$1),FALSE)*VLOOKUP($D275,素材!$1:$1016,COLUMN($E$1),FALSE)/(LEN(VLOOKUP($D275,素材!$1:$1016,COLUMN($F$1),FALSE)) - LEN(SUBSTITUTE(VLOOKUP($D275,素材!$1:$1016,COLUMN($F$1),FALSE), "・", 0)) + 1), 0)</f>
        <v>0</v>
      </c>
      <c r="AV275">
        <f>IF(ISNUMBER(SEARCH(SUBSTITUTE(AV$1,RIGHT(AV$1,2),""),VLOOKUP($D275,素材!$1:$1016,COLUMN($F$1),FALSE))),VLOOKUP($C275,武器!$1:$998,COLUMN($O$1),FALSE)*VLOOKUP($D275,素材!$1:$1016,COLUMN($E$1),FALSE)/(LEN(VLOOKUP($D275,素材!$1:$1016,COLUMN($F$1),FALSE)) - LEN(SUBSTITUTE(VLOOKUP($D275,素材!$1:$1016,COLUMN($F$1),FALSE), "・", 0)) + 1), 0)</f>
        <v>0</v>
      </c>
      <c r="AW275">
        <f>IF(ISNUMBER(SEARCH(SUBSTITUTE(AW$1,RIGHT(AW$1,2),""),VLOOKUP($D275,素材!$1:$1016,COLUMN($F$1),FALSE))),VLOOKUP($C275,武器!$1:$998,COLUMN($O$1),FALSE)*VLOOKUP($D275,素材!$1:$1016,COLUMN($E$1),FALSE)/(LEN(VLOOKUP($D275,素材!$1:$1016,COLUMN($F$1),FALSE)) - LEN(SUBSTITUTE(VLOOKUP($D275,素材!$1:$1016,COLUMN($F$1),FALSE), "・", 0)) + 1), 0)</f>
        <v>0</v>
      </c>
      <c r="AX275">
        <f>IF(ISNUMBER(SEARCH(SUBSTITUTE(AX$1,RIGHT(AX$1,2),""),VLOOKUP($D275,素材!$1:$1016,COLUMN($F$1),FALSE))),VLOOKUP($C275,武器!$1:$998,COLUMN($O$1),FALSE)*VLOOKUP($D275,素材!$1:$1016,COLUMN($E$1),FALSE)/(LEN(VLOOKUP($D275,素材!$1:$1016,COLUMN($F$1),FALSE)) - LEN(SUBSTITUTE(VLOOKUP($D275,素材!$1:$1016,COLUMN($F$1),FALSE), "・", 0)) + 1), 0)</f>
        <v>0</v>
      </c>
      <c r="AY275">
        <f>IF(ISNUMBER(SEARCH(SUBSTITUTE(AY$1,RIGHT(AY$1,2),""),VLOOKUP($D275,素材!$1:$1016,COLUMN($F$1),FALSE))),VLOOKUP($C275,武器!$1:$998,COLUMN($O$1),FALSE)*VLOOKUP($D275,素材!$1:$1016,COLUMN($E$1),FALSE)/(LEN(VLOOKUP($D275,素材!$1:$1016,COLUMN($F$1),FALSE)) - LEN(SUBSTITUTE(VLOOKUP($D275,素材!$1:$1016,COLUMN($F$1),FALSE), "・", 0)) + 1), 0)</f>
        <v>0</v>
      </c>
      <c r="AZ275">
        <f>IF(ISNUMBER(SEARCH(SUBSTITUTE(AZ$1,RIGHT(AZ$1,2),""),VLOOKUP($D275,素材!$1:$1016,COLUMN($F$1),FALSE))),VLOOKUP($C275,武器!$1:$998,COLUMN($O$1),FALSE)*VLOOKUP($D275,素材!$1:$1016,COLUMN($E$1),FALSE)/(LEN(VLOOKUP($D275,素材!$1:$1016,COLUMN($F$1),FALSE)) - LEN(SUBSTITUTE(VLOOKUP($D275,素材!$1:$1016,COLUMN($F$1),FALSE), "・", 0)) + 1), 0)</f>
        <v>0</v>
      </c>
      <c r="BA275">
        <f>IF(ISNUMBER(SEARCH(SUBSTITUTE(BA$1,RIGHT(BA$1,2),""),VLOOKUP($D275,素材!$1:$1016,COLUMN($F$1),FALSE))),VLOOKUP($C275,武器!$1:$998,COLUMN($O$1),FALSE)*VLOOKUP($D275,素材!$1:$1016,COLUMN($E$1),FALSE)/(LEN(VLOOKUP($D275,素材!$1:$1016,COLUMN($F$1),FALSE)) - LEN(SUBSTITUTE(VLOOKUP($D275,素材!$1:$1016,COLUMN($F$1),FALSE), "・", 0)) + 1), 0)</f>
        <v>0</v>
      </c>
      <c r="BB275">
        <f>IF(ISNUMBER(SEARCH(SUBSTITUTE(BB$1,RIGHT(BB$1,2),""),VLOOKUP($D275,素材!$1:$1016,COLUMN($F$1),FALSE))),VLOOKUP($C275,武器!$1:$998,COLUMN($O$1),FALSE)*VLOOKUP($D275,素材!$1:$1016,COLUMN($E$1),FALSE)/(LEN(VLOOKUP($D275,素材!$1:$1016,COLUMN($F$1),FALSE)) - LEN(SUBSTITUTE(VLOOKUP($D275,素材!$1:$1016,COLUMN($F$1),FALSE), "・", 0)) + 1), 0)</f>
        <v>0</v>
      </c>
      <c r="BC275">
        <f>IF(ISNUMBER(SEARCH(SUBSTITUTE(BC$1,RIGHT(BC$1,2),""),VLOOKUP($D275,素材!$1:$1016,COLUMN($F$1),FALSE))),VLOOKUP($C275,武器!$1:$998,COLUMN($O$1),FALSE)*VLOOKUP($D275,素材!$1:$1016,COLUMN($E$1),FALSE)/(LEN(VLOOKUP($D275,素材!$1:$1016,COLUMN($F$1),FALSE)) - LEN(SUBSTITUTE(VLOOKUP($D275,素材!$1:$1016,COLUMN($F$1),FALSE), "・", 0)) + 1), 0)</f>
        <v>0</v>
      </c>
      <c r="BD275">
        <f>IF(ISNUMBER(SEARCH(SUBSTITUTE(BD$1,RIGHT(BD$1,2),""),VLOOKUP($D275,素材!$1:$1016,COLUMN($F$1),FALSE))),VLOOKUP($C275,武器!$1:$998,COLUMN($O$1),FALSE)*VLOOKUP($D275,素材!$1:$1016,COLUMN($E$1),FALSE)/(LEN(VLOOKUP($D275,素材!$1:$1016,COLUMN($F$1),FALSE)) - LEN(SUBSTITUTE(VLOOKUP($D275,素材!$1:$1016,COLUMN($F$1),FALSE), "・", 0)) + 1), 0)</f>
        <v>0</v>
      </c>
      <c r="BE275">
        <f>IF(ISNUMBER(SEARCH(SUBSTITUTE(BE$1,RIGHT(BE$1,2),""),VLOOKUP($D275,素材!$1:$1016,COLUMN($F$1),FALSE))),VLOOKUP($C275,武器!$1:$998,COLUMN($O$1),FALSE)*VLOOKUP($D275,素材!$1:$1016,COLUMN($E$1),FALSE)/(LEN(VLOOKUP($D275,素材!$1:$1016,COLUMN($F$1),FALSE)) - LEN(SUBSTITUTE(VLOOKUP($D275,素材!$1:$1016,COLUMN($F$1),FALSE), "・", 0)) + 1), 0)</f>
        <v>0</v>
      </c>
      <c r="CL275">
        <f>SUM(G275:I275)</f>
        <v>0</v>
      </c>
      <c r="CM275" s="22" t="str">
        <f>IF(E275="武器",IF(J275-1&gt;SUM(G275:I275),"盾",IF(MAX(G275:I275)=G275,"切断",IF(MAX(G275:I275)=H275,"貫通",IF(MAX(G275:I275)=I275,"打撃","射撃")))),E275)&amp;".webp"</f>
        <v>装飾.webp</v>
      </c>
      <c r="CN275">
        <f>IFERROR(VLOOKUP($C275,武器!$1:$998,COLUMN(V$1),FALSE)*VLOOKUP($D275,素材!$1:$1016,COLUMN(N$1),FALSE)+IF(CI275="",0,VLOOKUP($CI275,装強!$1:$1008,COLUMN($CK$1),FALSE)),"")</f>
        <v>1500</v>
      </c>
      <c r="CO275" t="str">
        <f>VLOOKUP(D275,素材!$A:$O,COLUMN(素材!O$1),FALSE)</f>
        <v>魔力を帯びた特殊な皮素材。魔法防御や属性耐性を強化する効果があり、高レベルの冒険者に重宝されます。</v>
      </c>
      <c r="CP275" t="str">
        <f>VLOOKUP(C275,武器!$A:$W,COLUMN(武器!W$1),FALSE)</f>
        <v xml:space="preserve">HP ST 攻撃 防御 体幹 怯み 疲労 </v>
      </c>
      <c r="CR275" t="str">
        <f t="shared" si="33"/>
        <v>e_275</v>
      </c>
      <c r="CS275">
        <f t="shared" si="34"/>
        <v>150000</v>
      </c>
    </row>
    <row r="276" spans="1:97" hidden="1" outlineLevel="1" x14ac:dyDescent="0.4">
      <c r="A276" t="str">
        <f>IF(CI276="",D276&amp;"の"&amp;C276,CI276&amp;"の"&amp;C276)</f>
        <v>魔獣皮の帯</v>
      </c>
      <c r="B276" t="str">
        <f>IFERROR(IF(CI276="",VLOOKUP($D276,素材!$1:$1016,COLUMN($B$1),FALSE)&amp;"・"&amp;VLOOKUP($C276,武器!$1:$998,COLUMN(B$1),FALSE),VLOOKUP($CI276,装強!$1:$1008,COLUMN($B$1),FALSE)&amp;"・"&amp;VLOOKUP($C276,武器!$1:$998,COLUMN(B$1),FALSE)),"")</f>
        <v>マジックレザー・ベルト</v>
      </c>
      <c r="C276" s="24" t="s">
        <v>204</v>
      </c>
      <c r="D276" s="24" t="s">
        <v>202</v>
      </c>
      <c r="E276" t="str">
        <f>IFERROR(VLOOKUP(C276,武器!$1:$998,COLUMN(C$1),FALSE),"")</f>
        <v>装飾</v>
      </c>
      <c r="F276">
        <f>IFERROR(ROUNDDOWN((VLOOKUP($C276,武器!$1:$998,COLUMN(D$1),FALSE)+IFERROR(VLOOKUP($CI276,装強!$1:$999,COLUMN(F$1),FALSE),0))*VLOOKUP($D276,素材!$1:$1016,COLUMN(D$1),FALSE),0),"")</f>
        <v>0</v>
      </c>
      <c r="G276">
        <f>IFERROR(ROUNDDOWN((VLOOKUP($C276,武器!$1:$998,COLUMN(E$1),FALSE)+IFERROR(VLOOKUP($CI276,装強!$1:$999,COLUMN(G$1),FALSE),0))*VLOOKUP($D276,素材!$1:$1016,COLUMN($E$1),FALSE),0),"")</f>
        <v>0</v>
      </c>
      <c r="H276">
        <f>IFERROR(ROUNDDOWN((VLOOKUP($C276,武器!$1:$998,COLUMN(F$1),FALSE)+IFERROR(VLOOKUP($CI276,装強!$1:$999,COLUMN(H$1),FALSE),0))*VLOOKUP($D276,素材!$1:$1016,COLUMN($E$1),FALSE),0),"")</f>
        <v>0</v>
      </c>
      <c r="I276">
        <f>IFERROR(ROUNDDOWN((VLOOKUP($C276,武器!$1:$998,COLUMN(G$1),FALSE)+IFERROR(VLOOKUP($CI276,装強!$1:$999,COLUMN(I$1),FALSE),0))*VLOOKUP($D276,素材!$1:$1016,COLUMN($E$1),FALSE),0),"")</f>
        <v>0</v>
      </c>
      <c r="J276">
        <f>IFERROR(ROUNDDOWN((VLOOKUP($C276,武器!$1:$998,COLUMN(H$1),FALSE)+IFERROR(VLOOKUP($CI276,装強!$1:$999,COLUMN(J$1),FALSE),0))*VLOOKUP($D276,素材!$1:$1016,COLUMN($E$1),FALSE),0),"")</f>
        <v>0</v>
      </c>
      <c r="K276">
        <f>IFERROR(ROUNDDOWN((VLOOKUP($C276,武器!$1:$998,COLUMN(I$1),FALSE)+IFERROR(VLOOKUP($CI276,装強!$1:$999,COLUMN(K$1),FALSE),0))*VLOOKUP($D276,素材!$1:$1016,COLUMN($E$1),FALSE),0),"")</f>
        <v>0</v>
      </c>
      <c r="L276" t="str">
        <f>IFERROR(VLOOKUP($D276,素材!$1:$1016,COLUMN($F$1),FALSE),"")</f>
        <v>魔法</v>
      </c>
      <c r="M276" t="str">
        <f>IFERROR(VLOOKUP($C276,武器!$1:$998,COLUMN(AA$1),FALSE)*VLOOKUP($D276,素材!$1:$1016,COLUMN($G$1),FALSE),"")</f>
        <v/>
      </c>
      <c r="N276">
        <f>IFERROR(VLOOKUP($C276,武器!$1:$998,COLUMN(I$1),FALSE),"")</f>
        <v>0</v>
      </c>
      <c r="O276" s="23" t="str">
        <f>IFERROR((VLOOKUP($C276,武器!$1:$998,COLUMN(K$1),FALSE)+VLOOKUP($D276,素材!$1:$1016,COLUMN(H$1),FALSE))*100+IFERROR(VLOOKUP($CI276,装強!$1:$999,COLUMN(O$1),FALSE),0),"")</f>
        <v/>
      </c>
      <c r="P276" s="23" t="str">
        <f>IFERROR((VLOOKUP($C276,武器!$1:$998,COLUMN(L$1),FALSE)+VLOOKUP($D276,素材!$1:$1016,COLUMN(I$1),FALSE))*100+IFERROR(VLOOKUP($CI276,装強!$1:$999,COLUMN(P$1),FALSE),0),"")</f>
        <v/>
      </c>
      <c r="Q276">
        <f>IFERROR(ROUNDUP(VLOOKUP($C276,武器!$1:$998,COLUMN(M$1),FALSE)*(VLOOKUP($D276,素材!$1:$1002,COLUMN(D$1),FALSE)/100),1),"")</f>
        <v>0</v>
      </c>
      <c r="R276">
        <f>IFERROR(ROUNDUP(VLOOKUP($C276,武器!$1:$998,COLUMN(N$1),FALSE)*(VLOOKUP($D276,素材!$1:$1002,COLUMN(D$1),FALSE)/100),1),"")</f>
        <v>0</v>
      </c>
      <c r="S276">
        <f>IFERROR(VLOOKUP($C276,武器!$1:$998,COLUMN(P$1),FALSE),"")</f>
        <v>0</v>
      </c>
      <c r="T276">
        <f>IFERROR(VLOOKUP($C276,武器!$1:$998,COLUMN(Q$1),FALSE),"")</f>
        <v>0</v>
      </c>
      <c r="U276">
        <f>IFERROR(VLOOKUP($C276,武器!$1:$998,COLUMN(R$1),FALSE),"")</f>
        <v>0</v>
      </c>
      <c r="V276">
        <f>IFERROR(VLOOKUP($C276,武器!$1:$998,COLUMN(Q$1),FALSE),"")</f>
        <v>0</v>
      </c>
      <c r="W276">
        <f>IFERROR(VLOOKUP($C276,武器!$1:$998,COLUMN(T$1),FALSE),"")</f>
        <v>0</v>
      </c>
      <c r="Y276">
        <f>IFERROR(VLOOKUP($C276,武器!$1:$998,COLUMN(U$1),FALSE),"")</f>
        <v>0</v>
      </c>
      <c r="Z276">
        <f>IFERROR(ROUNDUP(VLOOKUP($C276,武器!$1:$998,COLUMN(O$1),FALSE)*VLOOKUP($D276,素材!$1:$1016,COLUMN(E$1),FALSE),1),"")</f>
        <v>0</v>
      </c>
      <c r="AA276">
        <f>IF(ISNUMBER(SEARCH(SUBSTITUTE(AA$1,RIGHT(AA$1,2),""),VLOOKUP($D276,素材!$1:$1016,COLUMN($F$1),FALSE))),VLOOKUP($C276,武器!$1:$998,COLUMN($O$1),FALSE)*VLOOKUP($D276,素材!$1:$1016,COLUMN($E$1),FALSE)/(LEN(VLOOKUP($D276,素材!$1:$1016,COLUMN($F$1),FALSE)) - LEN(SUBSTITUTE(VLOOKUP($D276,素材!$1:$1016,COLUMN($F$1),FALSE), "・", 0)) + 1), 0)</f>
        <v>0</v>
      </c>
      <c r="AB276">
        <f>IF(ISNUMBER(SEARCH(SUBSTITUTE(AB$1,RIGHT(AB$1,2),""),VLOOKUP($D276,素材!$1:$1016,COLUMN($F$1),FALSE))),VLOOKUP($C276,武器!$1:$998,COLUMN($O$1),FALSE)*VLOOKUP($D276,素材!$1:$1016,COLUMN($E$1),FALSE)/(LEN(VLOOKUP($D276,素材!$1:$1016,COLUMN($F$1),FALSE)) - LEN(SUBSTITUTE(VLOOKUP($D276,素材!$1:$1016,COLUMN($F$1),FALSE), "・", 0)) + 1), 0)</f>
        <v>0</v>
      </c>
      <c r="AC276">
        <f>IF(ISNUMBER(SEARCH(SUBSTITUTE(AC$1,RIGHT(AC$1,2),""),VLOOKUP($D276,素材!$1:$1016,COLUMN($F$1),FALSE))),VLOOKUP($C276,武器!$1:$998,COLUMN($O$1),FALSE)*VLOOKUP($D276,素材!$1:$1016,COLUMN($E$1),FALSE)/(LEN(VLOOKUP($D276,素材!$1:$1016,COLUMN($F$1),FALSE)) - LEN(SUBSTITUTE(VLOOKUP($D276,素材!$1:$1016,COLUMN($F$1),FALSE), "・", 0)) + 1), 0)</f>
        <v>0</v>
      </c>
      <c r="AD276">
        <f>IF(ISNUMBER(SEARCH(SUBSTITUTE(AD$1,RIGHT(AD$1,2),""),VLOOKUP($D276,素材!$1:$1016,COLUMN($F$1),FALSE))),VLOOKUP($C276,武器!$1:$998,COLUMN($O$1),FALSE)*VLOOKUP($D276,素材!$1:$1016,COLUMN($E$1),FALSE)/(LEN(VLOOKUP($D276,素材!$1:$1016,COLUMN($F$1),FALSE)) - LEN(SUBSTITUTE(VLOOKUP($D276,素材!$1:$1016,COLUMN($F$1),FALSE), "・", 0)) + 1), 0)</f>
        <v>0</v>
      </c>
      <c r="AE276">
        <f>IF(ISNUMBER(SEARCH(SUBSTITUTE(AE$1,RIGHT(AE$1,2),""),VLOOKUP($D276,素材!$1:$1016,COLUMN($F$1),FALSE))),VLOOKUP($C276,武器!$1:$998,COLUMN($O$1),FALSE)*VLOOKUP($D276,素材!$1:$1016,COLUMN($E$1),FALSE)/(LEN(VLOOKUP($D276,素材!$1:$1016,COLUMN($F$1),FALSE)) - LEN(SUBSTITUTE(VLOOKUP($D276,素材!$1:$1016,COLUMN($F$1),FALSE), "・", 0)) + 1), 0)</f>
        <v>0</v>
      </c>
      <c r="AF276">
        <f>IF(ISNUMBER(SEARCH(SUBSTITUTE(AF$1,RIGHT(AF$1,2),""),VLOOKUP($D276,素材!$1:$1016,COLUMN($F$1),FALSE))),VLOOKUP($C276,武器!$1:$998,COLUMN($O$1),FALSE)*VLOOKUP($D276,素材!$1:$1016,COLUMN($E$1),FALSE)/(LEN(VLOOKUP($D276,素材!$1:$1016,COLUMN($F$1),FALSE)) - LEN(SUBSTITUTE(VLOOKUP($D276,素材!$1:$1016,COLUMN($F$1),FALSE), "・", 0)) + 1), 0)</f>
        <v>0</v>
      </c>
      <c r="AG276">
        <f>IF(ISNUMBER(SEARCH(SUBSTITUTE(AG$1,RIGHT(AG$1,2),""),VLOOKUP($D276,素材!$1:$1016,COLUMN($F$1),FALSE))),VLOOKUP($C276,武器!$1:$998,COLUMN($O$1),FALSE)*VLOOKUP($D276,素材!$1:$1016,COLUMN($E$1),FALSE)/(LEN(VLOOKUP($D276,素材!$1:$1016,COLUMN($F$1),FALSE)) - LEN(SUBSTITUTE(VLOOKUP($D276,素材!$1:$1016,COLUMN($F$1),FALSE), "・", 0)) + 1), 0)</f>
        <v>0</v>
      </c>
      <c r="AH276">
        <f>IF(ISNUMBER(SEARCH(SUBSTITUTE(AH$1,RIGHT(AH$1,2),""),VLOOKUP($D276,素材!$1:$1016,COLUMN($F$1),FALSE))),VLOOKUP($C276,武器!$1:$998,COLUMN($O$1),FALSE)*VLOOKUP($D276,素材!$1:$1016,COLUMN($E$1),FALSE)/(LEN(VLOOKUP($D276,素材!$1:$1016,COLUMN($F$1),FALSE)) - LEN(SUBSTITUTE(VLOOKUP($D276,素材!$1:$1016,COLUMN($F$1),FALSE), "・", 0)) + 1), 0)</f>
        <v>0</v>
      </c>
      <c r="AI276">
        <f>IF(ISNUMBER(SEARCH(SUBSTITUTE(AI$1,RIGHT(AI$1,2),""),VLOOKUP($D276,素材!$1:$1016,COLUMN($F$1),FALSE))),VLOOKUP($C276,武器!$1:$998,COLUMN($O$1),FALSE)*VLOOKUP($D276,素材!$1:$1016,COLUMN($E$1),FALSE)/(LEN(VLOOKUP($D276,素材!$1:$1016,COLUMN($F$1),FALSE)) - LEN(SUBSTITUTE(VLOOKUP($D276,素材!$1:$1016,COLUMN($F$1),FALSE), "・", 0)) + 1), 0)</f>
        <v>0</v>
      </c>
      <c r="AJ276">
        <f>IF(ISNUMBER(SEARCH(SUBSTITUTE(AJ$1,RIGHT(AJ$1,2),""),VLOOKUP($D276,素材!$1:$1016,COLUMN($F$1),FALSE))),VLOOKUP($C276,武器!$1:$998,COLUMN($O$1),FALSE)*VLOOKUP($D276,素材!$1:$1016,COLUMN($E$1),FALSE)/(LEN(VLOOKUP($D276,素材!$1:$1016,COLUMN($F$1),FALSE)) - LEN(SUBSTITUTE(VLOOKUP($D276,素材!$1:$1016,COLUMN($F$1),FALSE), "・", 0)) + 1), 0)</f>
        <v>0</v>
      </c>
      <c r="AK276">
        <f>IF(ISNUMBER(SEARCH(SUBSTITUTE(AK$1,RIGHT(AK$1,2),""),VLOOKUP($D276,素材!$1:$1016,COLUMN($F$1),FALSE))),VLOOKUP($C276,武器!$1:$998,COLUMN($O$1),FALSE)*VLOOKUP($D276,素材!$1:$1016,COLUMN($E$1),FALSE)/(LEN(VLOOKUP($D276,素材!$1:$1016,COLUMN($F$1),FALSE)) - LEN(SUBSTITUTE(VLOOKUP($D276,素材!$1:$1016,COLUMN($F$1),FALSE), "・", 0)) + 1), 0)</f>
        <v>0</v>
      </c>
      <c r="AL276">
        <f>IF(ISNUMBER(SEARCH(SUBSTITUTE(AL$1,RIGHT(AL$1,2),""),VLOOKUP($D276,素材!$1:$1016,COLUMN($F$1),FALSE))),VLOOKUP($C276,武器!$1:$998,COLUMN($O$1),FALSE)*VLOOKUP($D276,素材!$1:$1016,COLUMN($E$1),FALSE)/(LEN(VLOOKUP($D276,素材!$1:$1016,COLUMN($F$1),FALSE)) - LEN(SUBSTITUTE(VLOOKUP($D276,素材!$1:$1016,COLUMN($F$1),FALSE), "・", 0)) + 1), 0)</f>
        <v>0</v>
      </c>
      <c r="AM276">
        <f>IF(ISNUMBER(SEARCH(SUBSTITUTE(AM$1,RIGHT(AM$1,2),""),VLOOKUP($D276,素材!$1:$1016,COLUMN($F$1),FALSE))),VLOOKUP($C276,武器!$1:$998,COLUMN($O$1),FALSE)*VLOOKUP($D276,素材!$1:$1016,COLUMN($E$1),FALSE)/(LEN(VLOOKUP($D276,素材!$1:$1016,COLUMN($F$1),FALSE)) - LEN(SUBSTITUTE(VLOOKUP($D276,素材!$1:$1016,COLUMN($F$1),FALSE), "・", 0)) + 1), 0)</f>
        <v>0</v>
      </c>
      <c r="AN276">
        <f>IF(ISNUMBER(SEARCH(SUBSTITUTE(AN$1,RIGHT(AN$1,2),""),VLOOKUP($D276,素材!$1:$1016,COLUMN($F$1),FALSE))),VLOOKUP($C276,武器!$1:$998,COLUMN($O$1),FALSE)*VLOOKUP($D276,素材!$1:$1016,COLUMN($E$1),FALSE)/(LEN(VLOOKUP($D276,素材!$1:$1016,COLUMN($F$1),FALSE)) - LEN(SUBSTITUTE(VLOOKUP($D276,素材!$1:$1016,COLUMN($F$1),FALSE), "・", 0)) + 1), 0)</f>
        <v>0</v>
      </c>
      <c r="AO276">
        <f>IF(ISNUMBER(SEARCH(SUBSTITUTE(AO$1,RIGHT(AO$1,2),""),VLOOKUP($D276,素材!$1:$1016,COLUMN($F$1),FALSE))),VLOOKUP($C276,武器!$1:$998,COLUMN($O$1),FALSE)*VLOOKUP($D276,素材!$1:$1016,COLUMN($E$1),FALSE)/(LEN(VLOOKUP($D276,素材!$1:$1016,COLUMN($F$1),FALSE)) - LEN(SUBSTITUTE(VLOOKUP($D276,素材!$1:$1016,COLUMN($F$1),FALSE), "・", 0)) + 1), 0)</f>
        <v>0</v>
      </c>
      <c r="AP276">
        <f>IF(ISNUMBER(SEARCH(SUBSTITUTE(AP$1,RIGHT(AP$1,2),""),VLOOKUP($D276,素材!$1:$1016,COLUMN($F$1),FALSE))),VLOOKUP($C276,武器!$1:$998,COLUMN($O$1),FALSE)*VLOOKUP($D276,素材!$1:$1016,COLUMN($E$1),FALSE)/(LEN(VLOOKUP($D276,素材!$1:$1016,COLUMN($F$1),FALSE)) - LEN(SUBSTITUTE(VLOOKUP($D276,素材!$1:$1016,COLUMN($F$1),FALSE), "・", 0)) + 1), 0)</f>
        <v>0</v>
      </c>
      <c r="AQ276">
        <f>IF(ISNUMBER(SEARCH(SUBSTITUTE(AQ$1,RIGHT(AQ$1,2),""),VLOOKUP($D276,素材!$1:$1016,COLUMN($F$1),FALSE))),VLOOKUP($C276,武器!$1:$998,COLUMN($O$1),FALSE)*VLOOKUP($D276,素材!$1:$1016,COLUMN($E$1),FALSE)/(LEN(VLOOKUP($D276,素材!$1:$1016,COLUMN($F$1),FALSE)) - LEN(SUBSTITUTE(VLOOKUP($D276,素材!$1:$1016,COLUMN($F$1),FALSE), "・", 0)) + 1), 0)</f>
        <v>0</v>
      </c>
      <c r="AR276">
        <f>IF(ISNUMBER(SEARCH(SUBSTITUTE(AR$1,RIGHT(AR$1,2),""),VLOOKUP($D276,素材!$1:$1016,COLUMN($F$1),FALSE))),VLOOKUP($C276,武器!$1:$998,COLUMN($O$1),FALSE)*VLOOKUP($D276,素材!$1:$1016,COLUMN($E$1),FALSE)/(LEN(VLOOKUP($D276,素材!$1:$1016,COLUMN($F$1),FALSE)) - LEN(SUBSTITUTE(VLOOKUP($D276,素材!$1:$1016,COLUMN($F$1),FALSE), "・", 0)) + 1), 0)</f>
        <v>0</v>
      </c>
      <c r="AS276">
        <f>IF(ISNUMBER(SEARCH(SUBSTITUTE(AS$1,RIGHT(AS$1,2),""),VLOOKUP($D276,素材!$1:$1016,COLUMN($F$1),FALSE))),VLOOKUP($C276,武器!$1:$998,COLUMN($O$1),FALSE)*VLOOKUP($D276,素材!$1:$1016,COLUMN($E$1),FALSE)/(LEN(VLOOKUP($D276,素材!$1:$1016,COLUMN($F$1),FALSE)) - LEN(SUBSTITUTE(VLOOKUP($D276,素材!$1:$1016,COLUMN($F$1),FALSE), "・", 0)) + 1), 0)</f>
        <v>0</v>
      </c>
      <c r="AT276">
        <f>IF(ISNUMBER(SEARCH(SUBSTITUTE(AT$1,RIGHT(AT$1,2),""),VLOOKUP($D276,素材!$1:$1016,COLUMN($F$1),FALSE))),VLOOKUP($C276,武器!$1:$998,COLUMN($O$1),FALSE)*VLOOKUP($D276,素材!$1:$1016,COLUMN($E$1),FALSE)/(LEN(VLOOKUP($D276,素材!$1:$1016,COLUMN($F$1),FALSE)) - LEN(SUBSTITUTE(VLOOKUP($D276,素材!$1:$1016,COLUMN($F$1),FALSE), "・", 0)) + 1), 0)</f>
        <v>0</v>
      </c>
      <c r="AU276">
        <f>IF(ISNUMBER(SEARCH(SUBSTITUTE(AU$1,RIGHT(AU$1,2),""),VLOOKUP($D276,素材!$1:$1016,COLUMN($F$1),FALSE))),VLOOKUP($C276,武器!$1:$998,COLUMN($O$1),FALSE)*VLOOKUP($D276,素材!$1:$1016,COLUMN($E$1),FALSE)/(LEN(VLOOKUP($D276,素材!$1:$1016,COLUMN($F$1),FALSE)) - LEN(SUBSTITUTE(VLOOKUP($D276,素材!$1:$1016,COLUMN($F$1),FALSE), "・", 0)) + 1), 0)</f>
        <v>0</v>
      </c>
      <c r="AV276">
        <f>IF(ISNUMBER(SEARCH(SUBSTITUTE(AV$1,RIGHT(AV$1,2),""),VLOOKUP($D276,素材!$1:$1016,COLUMN($F$1),FALSE))),VLOOKUP($C276,武器!$1:$998,COLUMN($O$1),FALSE)*VLOOKUP($D276,素材!$1:$1016,COLUMN($E$1),FALSE)/(LEN(VLOOKUP($D276,素材!$1:$1016,COLUMN($F$1),FALSE)) - LEN(SUBSTITUTE(VLOOKUP($D276,素材!$1:$1016,COLUMN($F$1),FALSE), "・", 0)) + 1), 0)</f>
        <v>0</v>
      </c>
      <c r="AW276">
        <f>IF(ISNUMBER(SEARCH(SUBSTITUTE(AW$1,RIGHT(AW$1,2),""),VLOOKUP($D276,素材!$1:$1016,COLUMN($F$1),FALSE))),VLOOKUP($C276,武器!$1:$998,COLUMN($O$1),FALSE)*VLOOKUP($D276,素材!$1:$1016,COLUMN($E$1),FALSE)/(LEN(VLOOKUP($D276,素材!$1:$1016,COLUMN($F$1),FALSE)) - LEN(SUBSTITUTE(VLOOKUP($D276,素材!$1:$1016,COLUMN($F$1),FALSE), "・", 0)) + 1), 0)</f>
        <v>0</v>
      </c>
      <c r="AX276">
        <f>IF(ISNUMBER(SEARCH(SUBSTITUTE(AX$1,RIGHT(AX$1,2),""),VLOOKUP($D276,素材!$1:$1016,COLUMN($F$1),FALSE))),VLOOKUP($C276,武器!$1:$998,COLUMN($O$1),FALSE)*VLOOKUP($D276,素材!$1:$1016,COLUMN($E$1),FALSE)/(LEN(VLOOKUP($D276,素材!$1:$1016,COLUMN($F$1),FALSE)) - LEN(SUBSTITUTE(VLOOKUP($D276,素材!$1:$1016,COLUMN($F$1),FALSE), "・", 0)) + 1), 0)</f>
        <v>0</v>
      </c>
      <c r="AY276">
        <f>IF(ISNUMBER(SEARCH(SUBSTITUTE(AY$1,RIGHT(AY$1,2),""),VLOOKUP($D276,素材!$1:$1016,COLUMN($F$1),FALSE))),VLOOKUP($C276,武器!$1:$998,COLUMN($O$1),FALSE)*VLOOKUP($D276,素材!$1:$1016,COLUMN($E$1),FALSE)/(LEN(VLOOKUP($D276,素材!$1:$1016,COLUMN($F$1),FALSE)) - LEN(SUBSTITUTE(VLOOKUP($D276,素材!$1:$1016,COLUMN($F$1),FALSE), "・", 0)) + 1), 0)</f>
        <v>0</v>
      </c>
      <c r="AZ276">
        <f>IF(ISNUMBER(SEARCH(SUBSTITUTE(AZ$1,RIGHT(AZ$1,2),""),VLOOKUP($D276,素材!$1:$1016,COLUMN($F$1),FALSE))),VLOOKUP($C276,武器!$1:$998,COLUMN($O$1),FALSE)*VLOOKUP($D276,素材!$1:$1016,COLUMN($E$1),FALSE)/(LEN(VLOOKUP($D276,素材!$1:$1016,COLUMN($F$1),FALSE)) - LEN(SUBSTITUTE(VLOOKUP($D276,素材!$1:$1016,COLUMN($F$1),FALSE), "・", 0)) + 1), 0)</f>
        <v>0</v>
      </c>
      <c r="BA276">
        <f>IF(ISNUMBER(SEARCH(SUBSTITUTE(BA$1,RIGHT(BA$1,2),""),VLOOKUP($D276,素材!$1:$1016,COLUMN($F$1),FALSE))),VLOOKUP($C276,武器!$1:$998,COLUMN($O$1),FALSE)*VLOOKUP($D276,素材!$1:$1016,COLUMN($E$1),FALSE)/(LEN(VLOOKUP($D276,素材!$1:$1016,COLUMN($F$1),FALSE)) - LEN(SUBSTITUTE(VLOOKUP($D276,素材!$1:$1016,COLUMN($F$1),FALSE), "・", 0)) + 1), 0)</f>
        <v>0</v>
      </c>
      <c r="BB276">
        <f>IF(ISNUMBER(SEARCH(SUBSTITUTE(BB$1,RIGHT(BB$1,2),""),VLOOKUP($D276,素材!$1:$1016,COLUMN($F$1),FALSE))),VLOOKUP($C276,武器!$1:$998,COLUMN($O$1),FALSE)*VLOOKUP($D276,素材!$1:$1016,COLUMN($E$1),FALSE)/(LEN(VLOOKUP($D276,素材!$1:$1016,COLUMN($F$1),FALSE)) - LEN(SUBSTITUTE(VLOOKUP($D276,素材!$1:$1016,COLUMN($F$1),FALSE), "・", 0)) + 1), 0)</f>
        <v>0</v>
      </c>
      <c r="BC276">
        <f>IF(ISNUMBER(SEARCH(SUBSTITUTE(BC$1,RIGHT(BC$1,2),""),VLOOKUP($D276,素材!$1:$1016,COLUMN($F$1),FALSE))),VLOOKUP($C276,武器!$1:$998,COLUMN($O$1),FALSE)*VLOOKUP($D276,素材!$1:$1016,COLUMN($E$1),FALSE)/(LEN(VLOOKUP($D276,素材!$1:$1016,COLUMN($F$1),FALSE)) - LEN(SUBSTITUTE(VLOOKUP($D276,素材!$1:$1016,COLUMN($F$1),FALSE), "・", 0)) + 1), 0)</f>
        <v>0</v>
      </c>
      <c r="BD276">
        <f>IF(ISNUMBER(SEARCH(SUBSTITUTE(BD$1,RIGHT(BD$1,2),""),VLOOKUP($D276,素材!$1:$1016,COLUMN($F$1),FALSE))),VLOOKUP($C276,武器!$1:$998,COLUMN($O$1),FALSE)*VLOOKUP($D276,素材!$1:$1016,COLUMN($E$1),FALSE)/(LEN(VLOOKUP($D276,素材!$1:$1016,COLUMN($F$1),FALSE)) - LEN(SUBSTITUTE(VLOOKUP($D276,素材!$1:$1016,COLUMN($F$1),FALSE), "・", 0)) + 1), 0)</f>
        <v>0</v>
      </c>
      <c r="BE276">
        <f>IF(ISNUMBER(SEARCH(SUBSTITUTE(BE$1,RIGHT(BE$1,2),""),VLOOKUP($D276,素材!$1:$1016,COLUMN($F$1),FALSE))),VLOOKUP($C276,武器!$1:$998,COLUMN($O$1),FALSE)*VLOOKUP($D276,素材!$1:$1016,COLUMN($E$1),FALSE)/(LEN(VLOOKUP($D276,素材!$1:$1016,COLUMN($F$1),FALSE)) - LEN(SUBSTITUTE(VLOOKUP($D276,素材!$1:$1016,COLUMN($F$1),FALSE), "・", 0)) + 1), 0)</f>
        <v>0</v>
      </c>
      <c r="CL276">
        <f>SUM(G276:I276)</f>
        <v>0</v>
      </c>
      <c r="CM276" s="22" t="str">
        <f>IF(E276="武器",IF(J276-1&gt;SUM(G276:I276),"盾",IF(MAX(G276:I276)=G276,"切断",IF(MAX(G276:I276)=H276,"貫通",IF(MAX(G276:I276)=I276,"打撃","射撃")))),E276)&amp;".webp"</f>
        <v>装飾.webp</v>
      </c>
      <c r="CN276">
        <f>IFERROR(VLOOKUP($C276,武器!$1:$998,COLUMN(V$1),FALSE)*VLOOKUP($D276,素材!$1:$1016,COLUMN(N$1),FALSE)+IF(CI276="",0,VLOOKUP($CI276,装強!$1:$1008,COLUMN($CK$1),FALSE)),"")</f>
        <v>1500</v>
      </c>
      <c r="CO276" t="str">
        <f>VLOOKUP(D276,素材!$A:$O,COLUMN(素材!O$1),FALSE)</f>
        <v>魔力を帯びた特殊な皮素材。魔法防御や属性耐性を強化する効果があり、高レベルの冒険者に重宝されます。</v>
      </c>
      <c r="CP276" t="str">
        <f>VLOOKUP(C276,武器!$A:$W,COLUMN(武器!W$1),FALSE)</f>
        <v xml:space="preserve">HP ST 攻撃 防御 体幹 怯み 疲労 </v>
      </c>
      <c r="CR276" t="str">
        <f t="shared" si="33"/>
        <v>e_276</v>
      </c>
      <c r="CS276">
        <f t="shared" si="34"/>
        <v>150000</v>
      </c>
    </row>
    <row r="277" spans="1:97" hidden="1" outlineLevel="1" x14ac:dyDescent="0.4">
      <c r="A277" t="str">
        <f>IF(CI277="",D277&amp;"の"&amp;C277,CI277&amp;"の"&amp;C277)</f>
        <v>魔獣皮の帯</v>
      </c>
      <c r="B277" t="str">
        <f>IFERROR(IF(CI277="",VLOOKUP($D277,素材!$1:$1016,COLUMN($B$1),FALSE)&amp;"・"&amp;VLOOKUP($C277,武器!$1:$998,COLUMN(B$1),FALSE),VLOOKUP($CI277,装強!$1:$1008,COLUMN($B$1),FALSE)&amp;"・"&amp;VLOOKUP($C277,武器!$1:$998,COLUMN(B$1),FALSE)),"")</f>
        <v>マジックレザー・ベルト</v>
      </c>
      <c r="C277" s="24" t="s">
        <v>204</v>
      </c>
      <c r="D277" s="24" t="s">
        <v>202</v>
      </c>
      <c r="E277" t="str">
        <f>IFERROR(VLOOKUP(C277,武器!$1:$998,COLUMN(C$1),FALSE),"")</f>
        <v>装飾</v>
      </c>
      <c r="F277">
        <f>IFERROR(ROUNDDOWN((VLOOKUP($C277,武器!$1:$998,COLUMN(D$1),FALSE)+IFERROR(VLOOKUP($CI277,装強!$1:$999,COLUMN(F$1),FALSE),0))*VLOOKUP($D277,素材!$1:$1016,COLUMN(D$1),FALSE),0),"")</f>
        <v>0</v>
      </c>
      <c r="G277">
        <f>IFERROR(ROUNDDOWN((VLOOKUP($C277,武器!$1:$998,COLUMN(E$1),FALSE)+IFERROR(VLOOKUP($CI277,装強!$1:$999,COLUMN(G$1),FALSE),0))*VLOOKUP($D277,素材!$1:$1016,COLUMN($E$1),FALSE),0),"")</f>
        <v>0</v>
      </c>
      <c r="H277">
        <f>IFERROR(ROUNDDOWN((VLOOKUP($C277,武器!$1:$998,COLUMN(F$1),FALSE)+IFERROR(VLOOKUP($CI277,装強!$1:$999,COLUMN(H$1),FALSE),0))*VLOOKUP($D277,素材!$1:$1016,COLUMN($E$1),FALSE),0),"")</f>
        <v>0</v>
      </c>
      <c r="I277">
        <f>IFERROR(ROUNDDOWN((VLOOKUP($C277,武器!$1:$998,COLUMN(G$1),FALSE)+IFERROR(VLOOKUP($CI277,装強!$1:$999,COLUMN(I$1),FALSE),0))*VLOOKUP($D277,素材!$1:$1016,COLUMN($E$1),FALSE),0),"")</f>
        <v>0</v>
      </c>
      <c r="J277">
        <f>IFERROR(ROUNDDOWN((VLOOKUP($C277,武器!$1:$998,COLUMN(H$1),FALSE)+IFERROR(VLOOKUP($CI277,装強!$1:$999,COLUMN(J$1),FALSE),0))*VLOOKUP($D277,素材!$1:$1016,COLUMN($E$1),FALSE),0),"")</f>
        <v>0</v>
      </c>
      <c r="K277">
        <f>IFERROR(ROUNDDOWN((VLOOKUP($C277,武器!$1:$998,COLUMN(I$1),FALSE)+IFERROR(VLOOKUP($CI277,装強!$1:$999,COLUMN(K$1),FALSE),0))*VLOOKUP($D277,素材!$1:$1016,COLUMN($E$1),FALSE),0),"")</f>
        <v>0</v>
      </c>
      <c r="L277" t="str">
        <f>IFERROR(VLOOKUP($D277,素材!$1:$1016,COLUMN($F$1),FALSE),"")</f>
        <v>魔法</v>
      </c>
      <c r="M277" t="str">
        <f>IFERROR(VLOOKUP($C277,武器!$1:$998,COLUMN(AA$1),FALSE)*VLOOKUP($D277,素材!$1:$1016,COLUMN($G$1),FALSE),"")</f>
        <v/>
      </c>
      <c r="N277">
        <f>IFERROR(VLOOKUP($C277,武器!$1:$998,COLUMN(I$1),FALSE),"")</f>
        <v>0</v>
      </c>
      <c r="O277" s="23" t="str">
        <f>IFERROR((VLOOKUP($C277,武器!$1:$998,COLUMN(K$1),FALSE)+VLOOKUP($D277,素材!$1:$1016,COLUMN(H$1),FALSE))*100+IFERROR(VLOOKUP($CI277,装強!$1:$999,COLUMN(O$1),FALSE),0),"")</f>
        <v/>
      </c>
      <c r="P277" s="23" t="str">
        <f>IFERROR((VLOOKUP($C277,武器!$1:$998,COLUMN(L$1),FALSE)+VLOOKUP($D277,素材!$1:$1016,COLUMN(I$1),FALSE))*100+IFERROR(VLOOKUP($CI277,装強!$1:$999,COLUMN(P$1),FALSE),0),"")</f>
        <v/>
      </c>
      <c r="Q277">
        <f>IFERROR(ROUNDUP(VLOOKUP($C277,武器!$1:$998,COLUMN(M$1),FALSE)*(VLOOKUP($D277,素材!$1:$1002,COLUMN(D$1),FALSE)/100),1),"")</f>
        <v>0</v>
      </c>
      <c r="R277">
        <f>IFERROR(ROUNDUP(VLOOKUP($C277,武器!$1:$998,COLUMN(N$1),FALSE)*(VLOOKUP($D277,素材!$1:$1002,COLUMN(D$1),FALSE)/100),1),"")</f>
        <v>0</v>
      </c>
      <c r="S277">
        <f>IFERROR(VLOOKUP($C277,武器!$1:$998,COLUMN(P$1),FALSE),"")</f>
        <v>0</v>
      </c>
      <c r="T277">
        <f>IFERROR(VLOOKUP($C277,武器!$1:$998,COLUMN(Q$1),FALSE),"")</f>
        <v>0</v>
      </c>
      <c r="U277">
        <f>IFERROR(VLOOKUP($C277,武器!$1:$998,COLUMN(R$1),FALSE),"")</f>
        <v>0</v>
      </c>
      <c r="V277">
        <f>IFERROR(VLOOKUP($C277,武器!$1:$998,COLUMN(Q$1),FALSE),"")</f>
        <v>0</v>
      </c>
      <c r="W277">
        <f>IFERROR(VLOOKUP($C277,武器!$1:$998,COLUMN(T$1),FALSE),"")</f>
        <v>0</v>
      </c>
      <c r="Y277">
        <f>IFERROR(VLOOKUP($C277,武器!$1:$998,COLUMN(U$1),FALSE),"")</f>
        <v>0</v>
      </c>
      <c r="Z277">
        <f>IFERROR(ROUNDUP(VLOOKUP($C277,武器!$1:$998,COLUMN(O$1),FALSE)*VLOOKUP($D277,素材!$1:$1016,COLUMN(E$1),FALSE),1),"")</f>
        <v>0</v>
      </c>
      <c r="AA277">
        <f>IF(ISNUMBER(SEARCH(SUBSTITUTE(AA$1,RIGHT(AA$1,2),""),VLOOKUP($D277,素材!$1:$1016,COLUMN($F$1),FALSE))),VLOOKUP($C277,武器!$1:$998,COLUMN($O$1),FALSE)*VLOOKUP($D277,素材!$1:$1016,COLUMN($E$1),FALSE)/(LEN(VLOOKUP($D277,素材!$1:$1016,COLUMN($F$1),FALSE)) - LEN(SUBSTITUTE(VLOOKUP($D277,素材!$1:$1016,COLUMN($F$1),FALSE), "・", 0)) + 1), 0)</f>
        <v>0</v>
      </c>
      <c r="AB277">
        <f>IF(ISNUMBER(SEARCH(SUBSTITUTE(AB$1,RIGHT(AB$1,2),""),VLOOKUP($D277,素材!$1:$1016,COLUMN($F$1),FALSE))),VLOOKUP($C277,武器!$1:$998,COLUMN($O$1),FALSE)*VLOOKUP($D277,素材!$1:$1016,COLUMN($E$1),FALSE)/(LEN(VLOOKUP($D277,素材!$1:$1016,COLUMN($F$1),FALSE)) - LEN(SUBSTITUTE(VLOOKUP($D277,素材!$1:$1016,COLUMN($F$1),FALSE), "・", 0)) + 1), 0)</f>
        <v>0</v>
      </c>
      <c r="AC277">
        <f>IF(ISNUMBER(SEARCH(SUBSTITUTE(AC$1,RIGHT(AC$1,2),""),VLOOKUP($D277,素材!$1:$1016,COLUMN($F$1),FALSE))),VLOOKUP($C277,武器!$1:$998,COLUMN($O$1),FALSE)*VLOOKUP($D277,素材!$1:$1016,COLUMN($E$1),FALSE)/(LEN(VLOOKUP($D277,素材!$1:$1016,COLUMN($F$1),FALSE)) - LEN(SUBSTITUTE(VLOOKUP($D277,素材!$1:$1016,COLUMN($F$1),FALSE), "・", 0)) + 1), 0)</f>
        <v>0</v>
      </c>
      <c r="AD277">
        <f>IF(ISNUMBER(SEARCH(SUBSTITUTE(AD$1,RIGHT(AD$1,2),""),VLOOKUP($D277,素材!$1:$1016,COLUMN($F$1),FALSE))),VLOOKUP($C277,武器!$1:$998,COLUMN($O$1),FALSE)*VLOOKUP($D277,素材!$1:$1016,COLUMN($E$1),FALSE)/(LEN(VLOOKUP($D277,素材!$1:$1016,COLUMN($F$1),FALSE)) - LEN(SUBSTITUTE(VLOOKUP($D277,素材!$1:$1016,COLUMN($F$1),FALSE), "・", 0)) + 1), 0)</f>
        <v>0</v>
      </c>
      <c r="AE277">
        <f>IF(ISNUMBER(SEARCH(SUBSTITUTE(AE$1,RIGHT(AE$1,2),""),VLOOKUP($D277,素材!$1:$1016,COLUMN($F$1),FALSE))),VLOOKUP($C277,武器!$1:$998,COLUMN($O$1),FALSE)*VLOOKUP($D277,素材!$1:$1016,COLUMN($E$1),FALSE)/(LEN(VLOOKUP($D277,素材!$1:$1016,COLUMN($F$1),FALSE)) - LEN(SUBSTITUTE(VLOOKUP($D277,素材!$1:$1016,COLUMN($F$1),FALSE), "・", 0)) + 1), 0)</f>
        <v>0</v>
      </c>
      <c r="AF277">
        <f>IF(ISNUMBER(SEARCH(SUBSTITUTE(AF$1,RIGHT(AF$1,2),""),VLOOKUP($D277,素材!$1:$1016,COLUMN($F$1),FALSE))),VLOOKUP($C277,武器!$1:$998,COLUMN($O$1),FALSE)*VLOOKUP($D277,素材!$1:$1016,COLUMN($E$1),FALSE)/(LEN(VLOOKUP($D277,素材!$1:$1016,COLUMN($F$1),FALSE)) - LEN(SUBSTITUTE(VLOOKUP($D277,素材!$1:$1016,COLUMN($F$1),FALSE), "・", 0)) + 1), 0)</f>
        <v>0</v>
      </c>
      <c r="AG277">
        <f>IF(ISNUMBER(SEARCH(SUBSTITUTE(AG$1,RIGHT(AG$1,2),""),VLOOKUP($D277,素材!$1:$1016,COLUMN($F$1),FALSE))),VLOOKUP($C277,武器!$1:$998,COLUMN($O$1),FALSE)*VLOOKUP($D277,素材!$1:$1016,COLUMN($E$1),FALSE)/(LEN(VLOOKUP($D277,素材!$1:$1016,COLUMN($F$1),FALSE)) - LEN(SUBSTITUTE(VLOOKUP($D277,素材!$1:$1016,COLUMN($F$1),FALSE), "・", 0)) + 1), 0)</f>
        <v>0</v>
      </c>
      <c r="AH277">
        <f>IF(ISNUMBER(SEARCH(SUBSTITUTE(AH$1,RIGHT(AH$1,2),""),VLOOKUP($D277,素材!$1:$1016,COLUMN($F$1),FALSE))),VLOOKUP($C277,武器!$1:$998,COLUMN($O$1),FALSE)*VLOOKUP($D277,素材!$1:$1016,COLUMN($E$1),FALSE)/(LEN(VLOOKUP($D277,素材!$1:$1016,COLUMN($F$1),FALSE)) - LEN(SUBSTITUTE(VLOOKUP($D277,素材!$1:$1016,COLUMN($F$1),FALSE), "・", 0)) + 1), 0)</f>
        <v>0</v>
      </c>
      <c r="AI277">
        <f>IF(ISNUMBER(SEARCH(SUBSTITUTE(AI$1,RIGHT(AI$1,2),""),VLOOKUP($D277,素材!$1:$1016,COLUMN($F$1),FALSE))),VLOOKUP($C277,武器!$1:$998,COLUMN($O$1),FALSE)*VLOOKUP($D277,素材!$1:$1016,COLUMN($E$1),FALSE)/(LEN(VLOOKUP($D277,素材!$1:$1016,COLUMN($F$1),FALSE)) - LEN(SUBSTITUTE(VLOOKUP($D277,素材!$1:$1016,COLUMN($F$1),FALSE), "・", 0)) + 1), 0)</f>
        <v>0</v>
      </c>
      <c r="AJ277">
        <f>IF(ISNUMBER(SEARCH(SUBSTITUTE(AJ$1,RIGHT(AJ$1,2),""),VLOOKUP($D277,素材!$1:$1016,COLUMN($F$1),FALSE))),VLOOKUP($C277,武器!$1:$998,COLUMN($O$1),FALSE)*VLOOKUP($D277,素材!$1:$1016,COLUMN($E$1),FALSE)/(LEN(VLOOKUP($D277,素材!$1:$1016,COLUMN($F$1),FALSE)) - LEN(SUBSTITUTE(VLOOKUP($D277,素材!$1:$1016,COLUMN($F$1),FALSE), "・", 0)) + 1), 0)</f>
        <v>0</v>
      </c>
      <c r="AK277">
        <f>IF(ISNUMBER(SEARCH(SUBSTITUTE(AK$1,RIGHT(AK$1,2),""),VLOOKUP($D277,素材!$1:$1016,COLUMN($F$1),FALSE))),VLOOKUP($C277,武器!$1:$998,COLUMN($O$1),FALSE)*VLOOKUP($D277,素材!$1:$1016,COLUMN($E$1),FALSE)/(LEN(VLOOKUP($D277,素材!$1:$1016,COLUMN($F$1),FALSE)) - LEN(SUBSTITUTE(VLOOKUP($D277,素材!$1:$1016,COLUMN($F$1),FALSE), "・", 0)) + 1), 0)</f>
        <v>0</v>
      </c>
      <c r="AL277">
        <f>IF(ISNUMBER(SEARCH(SUBSTITUTE(AL$1,RIGHT(AL$1,2),""),VLOOKUP($D277,素材!$1:$1016,COLUMN($F$1),FALSE))),VLOOKUP($C277,武器!$1:$998,COLUMN($O$1),FALSE)*VLOOKUP($D277,素材!$1:$1016,COLUMN($E$1),FALSE)/(LEN(VLOOKUP($D277,素材!$1:$1016,COLUMN($F$1),FALSE)) - LEN(SUBSTITUTE(VLOOKUP($D277,素材!$1:$1016,COLUMN($F$1),FALSE), "・", 0)) + 1), 0)</f>
        <v>0</v>
      </c>
      <c r="AM277">
        <f>IF(ISNUMBER(SEARCH(SUBSTITUTE(AM$1,RIGHT(AM$1,2),""),VLOOKUP($D277,素材!$1:$1016,COLUMN($F$1),FALSE))),VLOOKUP($C277,武器!$1:$998,COLUMN($O$1),FALSE)*VLOOKUP($D277,素材!$1:$1016,COLUMN($E$1),FALSE)/(LEN(VLOOKUP($D277,素材!$1:$1016,COLUMN($F$1),FALSE)) - LEN(SUBSTITUTE(VLOOKUP($D277,素材!$1:$1016,COLUMN($F$1),FALSE), "・", 0)) + 1), 0)</f>
        <v>0</v>
      </c>
      <c r="AN277">
        <f>IF(ISNUMBER(SEARCH(SUBSTITUTE(AN$1,RIGHT(AN$1,2),""),VLOOKUP($D277,素材!$1:$1016,COLUMN($F$1),FALSE))),VLOOKUP($C277,武器!$1:$998,COLUMN($O$1),FALSE)*VLOOKUP($D277,素材!$1:$1016,COLUMN($E$1),FALSE)/(LEN(VLOOKUP($D277,素材!$1:$1016,COLUMN($F$1),FALSE)) - LEN(SUBSTITUTE(VLOOKUP($D277,素材!$1:$1016,COLUMN($F$1),FALSE), "・", 0)) + 1), 0)</f>
        <v>0</v>
      </c>
      <c r="AO277">
        <f>IF(ISNUMBER(SEARCH(SUBSTITUTE(AO$1,RIGHT(AO$1,2),""),VLOOKUP($D277,素材!$1:$1016,COLUMN($F$1),FALSE))),VLOOKUP($C277,武器!$1:$998,COLUMN($O$1),FALSE)*VLOOKUP($D277,素材!$1:$1016,COLUMN($E$1),FALSE)/(LEN(VLOOKUP($D277,素材!$1:$1016,COLUMN($F$1),FALSE)) - LEN(SUBSTITUTE(VLOOKUP($D277,素材!$1:$1016,COLUMN($F$1),FALSE), "・", 0)) + 1), 0)</f>
        <v>0</v>
      </c>
      <c r="AP277">
        <f>IF(ISNUMBER(SEARCH(SUBSTITUTE(AP$1,RIGHT(AP$1,2),""),VLOOKUP($D277,素材!$1:$1016,COLUMN($F$1),FALSE))),VLOOKUP($C277,武器!$1:$998,COLUMN($O$1),FALSE)*VLOOKUP($D277,素材!$1:$1016,COLUMN($E$1),FALSE)/(LEN(VLOOKUP($D277,素材!$1:$1016,COLUMN($F$1),FALSE)) - LEN(SUBSTITUTE(VLOOKUP($D277,素材!$1:$1016,COLUMN($F$1),FALSE), "・", 0)) + 1), 0)</f>
        <v>0</v>
      </c>
      <c r="AQ277">
        <f>IF(ISNUMBER(SEARCH(SUBSTITUTE(AQ$1,RIGHT(AQ$1,2),""),VLOOKUP($D277,素材!$1:$1016,COLUMN($F$1),FALSE))),VLOOKUP($C277,武器!$1:$998,COLUMN($O$1),FALSE)*VLOOKUP($D277,素材!$1:$1016,COLUMN($E$1),FALSE)/(LEN(VLOOKUP($D277,素材!$1:$1016,COLUMN($F$1),FALSE)) - LEN(SUBSTITUTE(VLOOKUP($D277,素材!$1:$1016,COLUMN($F$1),FALSE), "・", 0)) + 1), 0)</f>
        <v>0</v>
      </c>
      <c r="AR277">
        <f>IF(ISNUMBER(SEARCH(SUBSTITUTE(AR$1,RIGHT(AR$1,2),""),VLOOKUP($D277,素材!$1:$1016,COLUMN($F$1),FALSE))),VLOOKUP($C277,武器!$1:$998,COLUMN($O$1),FALSE)*VLOOKUP($D277,素材!$1:$1016,COLUMN($E$1),FALSE)/(LEN(VLOOKUP($D277,素材!$1:$1016,COLUMN($F$1),FALSE)) - LEN(SUBSTITUTE(VLOOKUP($D277,素材!$1:$1016,COLUMN($F$1),FALSE), "・", 0)) + 1), 0)</f>
        <v>0</v>
      </c>
      <c r="AS277">
        <f>IF(ISNUMBER(SEARCH(SUBSTITUTE(AS$1,RIGHT(AS$1,2),""),VLOOKUP($D277,素材!$1:$1016,COLUMN($F$1),FALSE))),VLOOKUP($C277,武器!$1:$998,COLUMN($O$1),FALSE)*VLOOKUP($D277,素材!$1:$1016,COLUMN($E$1),FALSE)/(LEN(VLOOKUP($D277,素材!$1:$1016,COLUMN($F$1),FALSE)) - LEN(SUBSTITUTE(VLOOKUP($D277,素材!$1:$1016,COLUMN($F$1),FALSE), "・", 0)) + 1), 0)</f>
        <v>0</v>
      </c>
      <c r="AT277">
        <f>IF(ISNUMBER(SEARCH(SUBSTITUTE(AT$1,RIGHT(AT$1,2),""),VLOOKUP($D277,素材!$1:$1016,COLUMN($F$1),FALSE))),VLOOKUP($C277,武器!$1:$998,COLUMN($O$1),FALSE)*VLOOKUP($D277,素材!$1:$1016,COLUMN($E$1),FALSE)/(LEN(VLOOKUP($D277,素材!$1:$1016,COLUMN($F$1),FALSE)) - LEN(SUBSTITUTE(VLOOKUP($D277,素材!$1:$1016,COLUMN($F$1),FALSE), "・", 0)) + 1), 0)</f>
        <v>0</v>
      </c>
      <c r="AU277">
        <f>IF(ISNUMBER(SEARCH(SUBSTITUTE(AU$1,RIGHT(AU$1,2),""),VLOOKUP($D277,素材!$1:$1016,COLUMN($F$1),FALSE))),VLOOKUP($C277,武器!$1:$998,COLUMN($O$1),FALSE)*VLOOKUP($D277,素材!$1:$1016,COLUMN($E$1),FALSE)/(LEN(VLOOKUP($D277,素材!$1:$1016,COLUMN($F$1),FALSE)) - LEN(SUBSTITUTE(VLOOKUP($D277,素材!$1:$1016,COLUMN($F$1),FALSE), "・", 0)) + 1), 0)</f>
        <v>0</v>
      </c>
      <c r="AV277">
        <f>IF(ISNUMBER(SEARCH(SUBSTITUTE(AV$1,RIGHT(AV$1,2),""),VLOOKUP($D277,素材!$1:$1016,COLUMN($F$1),FALSE))),VLOOKUP($C277,武器!$1:$998,COLUMN($O$1),FALSE)*VLOOKUP($D277,素材!$1:$1016,COLUMN($E$1),FALSE)/(LEN(VLOOKUP($D277,素材!$1:$1016,COLUMN($F$1),FALSE)) - LEN(SUBSTITUTE(VLOOKUP($D277,素材!$1:$1016,COLUMN($F$1),FALSE), "・", 0)) + 1), 0)</f>
        <v>0</v>
      </c>
      <c r="AW277">
        <f>IF(ISNUMBER(SEARCH(SUBSTITUTE(AW$1,RIGHT(AW$1,2),""),VLOOKUP($D277,素材!$1:$1016,COLUMN($F$1),FALSE))),VLOOKUP($C277,武器!$1:$998,COLUMN($O$1),FALSE)*VLOOKUP($D277,素材!$1:$1016,COLUMN($E$1),FALSE)/(LEN(VLOOKUP($D277,素材!$1:$1016,COLUMN($F$1),FALSE)) - LEN(SUBSTITUTE(VLOOKUP($D277,素材!$1:$1016,COLUMN($F$1),FALSE), "・", 0)) + 1), 0)</f>
        <v>0</v>
      </c>
      <c r="AX277">
        <f>IF(ISNUMBER(SEARCH(SUBSTITUTE(AX$1,RIGHT(AX$1,2),""),VLOOKUP($D277,素材!$1:$1016,COLUMN($F$1),FALSE))),VLOOKUP($C277,武器!$1:$998,COLUMN($O$1),FALSE)*VLOOKUP($D277,素材!$1:$1016,COLUMN($E$1),FALSE)/(LEN(VLOOKUP($D277,素材!$1:$1016,COLUMN($F$1),FALSE)) - LEN(SUBSTITUTE(VLOOKUP($D277,素材!$1:$1016,COLUMN($F$1),FALSE), "・", 0)) + 1), 0)</f>
        <v>0</v>
      </c>
      <c r="AY277">
        <f>IF(ISNUMBER(SEARCH(SUBSTITUTE(AY$1,RIGHT(AY$1,2),""),VLOOKUP($D277,素材!$1:$1016,COLUMN($F$1),FALSE))),VLOOKUP($C277,武器!$1:$998,COLUMN($O$1),FALSE)*VLOOKUP($D277,素材!$1:$1016,COLUMN($E$1),FALSE)/(LEN(VLOOKUP($D277,素材!$1:$1016,COLUMN($F$1),FALSE)) - LEN(SUBSTITUTE(VLOOKUP($D277,素材!$1:$1016,COLUMN($F$1),FALSE), "・", 0)) + 1), 0)</f>
        <v>0</v>
      </c>
      <c r="AZ277">
        <f>IF(ISNUMBER(SEARCH(SUBSTITUTE(AZ$1,RIGHT(AZ$1,2),""),VLOOKUP($D277,素材!$1:$1016,COLUMN($F$1),FALSE))),VLOOKUP($C277,武器!$1:$998,COLUMN($O$1),FALSE)*VLOOKUP($D277,素材!$1:$1016,COLUMN($E$1),FALSE)/(LEN(VLOOKUP($D277,素材!$1:$1016,COLUMN($F$1),FALSE)) - LEN(SUBSTITUTE(VLOOKUP($D277,素材!$1:$1016,COLUMN($F$1),FALSE), "・", 0)) + 1), 0)</f>
        <v>0</v>
      </c>
      <c r="BA277">
        <f>IF(ISNUMBER(SEARCH(SUBSTITUTE(BA$1,RIGHT(BA$1,2),""),VLOOKUP($D277,素材!$1:$1016,COLUMN($F$1),FALSE))),VLOOKUP($C277,武器!$1:$998,COLUMN($O$1),FALSE)*VLOOKUP($D277,素材!$1:$1016,COLUMN($E$1),FALSE)/(LEN(VLOOKUP($D277,素材!$1:$1016,COLUMN($F$1),FALSE)) - LEN(SUBSTITUTE(VLOOKUP($D277,素材!$1:$1016,COLUMN($F$1),FALSE), "・", 0)) + 1), 0)</f>
        <v>0</v>
      </c>
      <c r="BB277">
        <f>IF(ISNUMBER(SEARCH(SUBSTITUTE(BB$1,RIGHT(BB$1,2),""),VLOOKUP($D277,素材!$1:$1016,COLUMN($F$1),FALSE))),VLOOKUP($C277,武器!$1:$998,COLUMN($O$1),FALSE)*VLOOKUP($D277,素材!$1:$1016,COLUMN($E$1),FALSE)/(LEN(VLOOKUP($D277,素材!$1:$1016,COLUMN($F$1),FALSE)) - LEN(SUBSTITUTE(VLOOKUP($D277,素材!$1:$1016,COLUMN($F$1),FALSE), "・", 0)) + 1), 0)</f>
        <v>0</v>
      </c>
      <c r="BC277">
        <f>IF(ISNUMBER(SEARCH(SUBSTITUTE(BC$1,RIGHT(BC$1,2),""),VLOOKUP($D277,素材!$1:$1016,COLUMN($F$1),FALSE))),VLOOKUP($C277,武器!$1:$998,COLUMN($O$1),FALSE)*VLOOKUP($D277,素材!$1:$1016,COLUMN($E$1),FALSE)/(LEN(VLOOKUP($D277,素材!$1:$1016,COLUMN($F$1),FALSE)) - LEN(SUBSTITUTE(VLOOKUP($D277,素材!$1:$1016,COLUMN($F$1),FALSE), "・", 0)) + 1), 0)</f>
        <v>0</v>
      </c>
      <c r="BD277">
        <f>IF(ISNUMBER(SEARCH(SUBSTITUTE(BD$1,RIGHT(BD$1,2),""),VLOOKUP($D277,素材!$1:$1016,COLUMN($F$1),FALSE))),VLOOKUP($C277,武器!$1:$998,COLUMN($O$1),FALSE)*VLOOKUP($D277,素材!$1:$1016,COLUMN($E$1),FALSE)/(LEN(VLOOKUP($D277,素材!$1:$1016,COLUMN($F$1),FALSE)) - LEN(SUBSTITUTE(VLOOKUP($D277,素材!$1:$1016,COLUMN($F$1),FALSE), "・", 0)) + 1), 0)</f>
        <v>0</v>
      </c>
      <c r="BE277">
        <f>IF(ISNUMBER(SEARCH(SUBSTITUTE(BE$1,RIGHT(BE$1,2),""),VLOOKUP($D277,素材!$1:$1016,COLUMN($F$1),FALSE))),VLOOKUP($C277,武器!$1:$998,COLUMN($O$1),FALSE)*VLOOKUP($D277,素材!$1:$1016,COLUMN($E$1),FALSE)/(LEN(VLOOKUP($D277,素材!$1:$1016,COLUMN($F$1),FALSE)) - LEN(SUBSTITUTE(VLOOKUP($D277,素材!$1:$1016,COLUMN($F$1),FALSE), "・", 0)) + 1), 0)</f>
        <v>0</v>
      </c>
      <c r="CL277">
        <f>SUM(G277:I277)</f>
        <v>0</v>
      </c>
      <c r="CM277" s="22" t="str">
        <f>IF(E277="武器",IF(J277-1&gt;SUM(G277:I277),"盾",IF(MAX(G277:I277)=G277,"切断",IF(MAX(G277:I277)=H277,"貫通",IF(MAX(G277:I277)=I277,"打撃","射撃")))),E277)&amp;".webp"</f>
        <v>装飾.webp</v>
      </c>
      <c r="CN277">
        <f>IFERROR(VLOOKUP($C277,武器!$1:$998,COLUMN(V$1),FALSE)*VLOOKUP($D277,素材!$1:$1016,COLUMN(N$1),FALSE)+IF(CI277="",0,VLOOKUP($CI277,装強!$1:$1008,COLUMN($CK$1),FALSE)),"")</f>
        <v>1500</v>
      </c>
      <c r="CO277" t="str">
        <f>VLOOKUP(D277,素材!$A:$O,COLUMN(素材!O$1),FALSE)</f>
        <v>魔力を帯びた特殊な皮素材。魔法防御や属性耐性を強化する効果があり、高レベルの冒険者に重宝されます。</v>
      </c>
      <c r="CP277" t="str">
        <f>VLOOKUP(C277,武器!$A:$W,COLUMN(武器!W$1),FALSE)</f>
        <v xml:space="preserve">HP ST 攻撃 防御 体幹 怯み 疲労 </v>
      </c>
      <c r="CR277" t="str">
        <f t="shared" si="33"/>
        <v>e_277</v>
      </c>
      <c r="CS277">
        <f t="shared" si="34"/>
        <v>150000</v>
      </c>
    </row>
    <row r="278" spans="1:97" hidden="1" outlineLevel="1" x14ac:dyDescent="0.4">
      <c r="A278" t="str">
        <f>IF(CI278="",D278&amp;"の"&amp;C278,CI278&amp;"の"&amp;C278)</f>
        <v>魔獣皮の帯</v>
      </c>
      <c r="B278" t="str">
        <f>IFERROR(IF(CI278="",VLOOKUP($D278,素材!$1:$1016,COLUMN($B$1),FALSE)&amp;"・"&amp;VLOOKUP($C278,武器!$1:$998,COLUMN(B$1),FALSE),VLOOKUP($CI278,装強!$1:$1008,COLUMN($B$1),FALSE)&amp;"・"&amp;VLOOKUP($C278,武器!$1:$998,COLUMN(B$1),FALSE)),"")</f>
        <v>マジックレザー・ベルト</v>
      </c>
      <c r="C278" s="24" t="s">
        <v>204</v>
      </c>
      <c r="D278" s="24" t="s">
        <v>202</v>
      </c>
      <c r="E278" t="str">
        <f>IFERROR(VLOOKUP(C278,武器!$1:$998,COLUMN(C$1),FALSE),"")</f>
        <v>装飾</v>
      </c>
      <c r="F278">
        <f>IFERROR(ROUNDDOWN((VLOOKUP($C278,武器!$1:$998,COLUMN(D$1),FALSE)+IFERROR(VLOOKUP($CI278,装強!$1:$999,COLUMN(F$1),FALSE),0))*VLOOKUP($D278,素材!$1:$1016,COLUMN(D$1),FALSE),0),"")</f>
        <v>0</v>
      </c>
      <c r="G278">
        <f>IFERROR(ROUNDDOWN((VLOOKUP($C278,武器!$1:$998,COLUMN(E$1),FALSE)+IFERROR(VLOOKUP($CI278,装強!$1:$999,COLUMN(G$1),FALSE),0))*VLOOKUP($D278,素材!$1:$1016,COLUMN($E$1),FALSE),0),"")</f>
        <v>0</v>
      </c>
      <c r="H278">
        <f>IFERROR(ROUNDDOWN((VLOOKUP($C278,武器!$1:$998,COLUMN(F$1),FALSE)+IFERROR(VLOOKUP($CI278,装強!$1:$999,COLUMN(H$1),FALSE),0))*VLOOKUP($D278,素材!$1:$1016,COLUMN($E$1),FALSE),0),"")</f>
        <v>0</v>
      </c>
      <c r="I278">
        <f>IFERROR(ROUNDDOWN((VLOOKUP($C278,武器!$1:$998,COLUMN(G$1),FALSE)+IFERROR(VLOOKUP($CI278,装強!$1:$999,COLUMN(I$1),FALSE),0))*VLOOKUP($D278,素材!$1:$1016,COLUMN($E$1),FALSE),0),"")</f>
        <v>0</v>
      </c>
      <c r="J278">
        <f>IFERROR(ROUNDDOWN((VLOOKUP($C278,武器!$1:$998,COLUMN(H$1),FALSE)+IFERROR(VLOOKUP($CI278,装強!$1:$999,COLUMN(J$1),FALSE),0))*VLOOKUP($D278,素材!$1:$1016,COLUMN($E$1),FALSE),0),"")</f>
        <v>0</v>
      </c>
      <c r="K278">
        <f>IFERROR(ROUNDDOWN((VLOOKUP($C278,武器!$1:$998,COLUMN(I$1),FALSE)+IFERROR(VLOOKUP($CI278,装強!$1:$999,COLUMN(K$1),FALSE),0))*VLOOKUP($D278,素材!$1:$1016,COLUMN($E$1),FALSE),0),"")</f>
        <v>0</v>
      </c>
      <c r="L278" t="str">
        <f>IFERROR(VLOOKUP($D278,素材!$1:$1016,COLUMN($F$1),FALSE),"")</f>
        <v>魔法</v>
      </c>
      <c r="M278" t="str">
        <f>IFERROR(VLOOKUP($C278,武器!$1:$998,COLUMN(AA$1),FALSE)*VLOOKUP($D278,素材!$1:$1016,COLUMN($G$1),FALSE),"")</f>
        <v/>
      </c>
      <c r="N278">
        <f>IFERROR(VLOOKUP($C278,武器!$1:$998,COLUMN(I$1),FALSE),"")</f>
        <v>0</v>
      </c>
      <c r="O278" s="23" t="str">
        <f>IFERROR((VLOOKUP($C278,武器!$1:$998,COLUMN(K$1),FALSE)+VLOOKUP($D278,素材!$1:$1016,COLUMN(H$1),FALSE))*100+IFERROR(VLOOKUP($CI278,装強!$1:$999,COLUMN(O$1),FALSE),0),"")</f>
        <v/>
      </c>
      <c r="P278" s="23" t="str">
        <f>IFERROR((VLOOKUP($C278,武器!$1:$998,COLUMN(L$1),FALSE)+VLOOKUP($D278,素材!$1:$1016,COLUMN(I$1),FALSE))*100+IFERROR(VLOOKUP($CI278,装強!$1:$999,COLUMN(P$1),FALSE),0),"")</f>
        <v/>
      </c>
      <c r="Q278">
        <f>IFERROR(ROUNDUP(VLOOKUP($C278,武器!$1:$998,COLUMN(M$1),FALSE)*(VLOOKUP($D278,素材!$1:$1002,COLUMN(D$1),FALSE)/100),1),"")</f>
        <v>0</v>
      </c>
      <c r="R278">
        <f>IFERROR(ROUNDUP(VLOOKUP($C278,武器!$1:$998,COLUMN(N$1),FALSE)*(VLOOKUP($D278,素材!$1:$1002,COLUMN(D$1),FALSE)/100),1),"")</f>
        <v>0</v>
      </c>
      <c r="S278">
        <f>IFERROR(VLOOKUP($C278,武器!$1:$998,COLUMN(P$1),FALSE),"")</f>
        <v>0</v>
      </c>
      <c r="T278">
        <f>IFERROR(VLOOKUP($C278,武器!$1:$998,COLUMN(Q$1),FALSE),"")</f>
        <v>0</v>
      </c>
      <c r="U278">
        <f>IFERROR(VLOOKUP($C278,武器!$1:$998,COLUMN(R$1),FALSE),"")</f>
        <v>0</v>
      </c>
      <c r="V278">
        <f>IFERROR(VLOOKUP($C278,武器!$1:$998,COLUMN(Q$1),FALSE),"")</f>
        <v>0</v>
      </c>
      <c r="W278">
        <f>IFERROR(VLOOKUP($C278,武器!$1:$998,COLUMN(T$1),FALSE),"")</f>
        <v>0</v>
      </c>
      <c r="Y278">
        <f>IFERROR(VLOOKUP($C278,武器!$1:$998,COLUMN(U$1),FALSE),"")</f>
        <v>0</v>
      </c>
      <c r="Z278">
        <f>IFERROR(ROUNDUP(VLOOKUP($C278,武器!$1:$998,COLUMN(O$1),FALSE)*VLOOKUP($D278,素材!$1:$1016,COLUMN(E$1),FALSE),1),"")</f>
        <v>0</v>
      </c>
      <c r="AA278">
        <f>IF(ISNUMBER(SEARCH(SUBSTITUTE(AA$1,RIGHT(AA$1,2),""),VLOOKUP($D278,素材!$1:$1016,COLUMN($F$1),FALSE))),VLOOKUP($C278,武器!$1:$998,COLUMN($O$1),FALSE)*VLOOKUP($D278,素材!$1:$1016,COLUMN($E$1),FALSE)/(LEN(VLOOKUP($D278,素材!$1:$1016,COLUMN($F$1),FALSE)) - LEN(SUBSTITUTE(VLOOKUP($D278,素材!$1:$1016,COLUMN($F$1),FALSE), "・", 0)) + 1), 0)</f>
        <v>0</v>
      </c>
      <c r="AB278">
        <f>IF(ISNUMBER(SEARCH(SUBSTITUTE(AB$1,RIGHT(AB$1,2),""),VLOOKUP($D278,素材!$1:$1016,COLUMN($F$1),FALSE))),VLOOKUP($C278,武器!$1:$998,COLUMN($O$1),FALSE)*VLOOKUP($D278,素材!$1:$1016,COLUMN($E$1),FALSE)/(LEN(VLOOKUP($D278,素材!$1:$1016,COLUMN($F$1),FALSE)) - LEN(SUBSTITUTE(VLOOKUP($D278,素材!$1:$1016,COLUMN($F$1),FALSE), "・", 0)) + 1), 0)</f>
        <v>0</v>
      </c>
      <c r="AC278">
        <f>IF(ISNUMBER(SEARCH(SUBSTITUTE(AC$1,RIGHT(AC$1,2),""),VLOOKUP($D278,素材!$1:$1016,COLUMN($F$1),FALSE))),VLOOKUP($C278,武器!$1:$998,COLUMN($O$1),FALSE)*VLOOKUP($D278,素材!$1:$1016,COLUMN($E$1),FALSE)/(LEN(VLOOKUP($D278,素材!$1:$1016,COLUMN($F$1),FALSE)) - LEN(SUBSTITUTE(VLOOKUP($D278,素材!$1:$1016,COLUMN($F$1),FALSE), "・", 0)) + 1), 0)</f>
        <v>0</v>
      </c>
      <c r="AD278">
        <f>IF(ISNUMBER(SEARCH(SUBSTITUTE(AD$1,RIGHT(AD$1,2),""),VLOOKUP($D278,素材!$1:$1016,COLUMN($F$1),FALSE))),VLOOKUP($C278,武器!$1:$998,COLUMN($O$1),FALSE)*VLOOKUP($D278,素材!$1:$1016,COLUMN($E$1),FALSE)/(LEN(VLOOKUP($D278,素材!$1:$1016,COLUMN($F$1),FALSE)) - LEN(SUBSTITUTE(VLOOKUP($D278,素材!$1:$1016,COLUMN($F$1),FALSE), "・", 0)) + 1), 0)</f>
        <v>0</v>
      </c>
      <c r="AE278">
        <f>IF(ISNUMBER(SEARCH(SUBSTITUTE(AE$1,RIGHT(AE$1,2),""),VLOOKUP($D278,素材!$1:$1016,COLUMN($F$1),FALSE))),VLOOKUP($C278,武器!$1:$998,COLUMN($O$1),FALSE)*VLOOKUP($D278,素材!$1:$1016,COLUMN($E$1),FALSE)/(LEN(VLOOKUP($D278,素材!$1:$1016,COLUMN($F$1),FALSE)) - LEN(SUBSTITUTE(VLOOKUP($D278,素材!$1:$1016,COLUMN($F$1),FALSE), "・", 0)) + 1), 0)</f>
        <v>0</v>
      </c>
      <c r="AF278">
        <f>IF(ISNUMBER(SEARCH(SUBSTITUTE(AF$1,RIGHT(AF$1,2),""),VLOOKUP($D278,素材!$1:$1016,COLUMN($F$1),FALSE))),VLOOKUP($C278,武器!$1:$998,COLUMN($O$1),FALSE)*VLOOKUP($D278,素材!$1:$1016,COLUMN($E$1),FALSE)/(LEN(VLOOKUP($D278,素材!$1:$1016,COLUMN($F$1),FALSE)) - LEN(SUBSTITUTE(VLOOKUP($D278,素材!$1:$1016,COLUMN($F$1),FALSE), "・", 0)) + 1), 0)</f>
        <v>0</v>
      </c>
      <c r="AG278">
        <f>IF(ISNUMBER(SEARCH(SUBSTITUTE(AG$1,RIGHT(AG$1,2),""),VLOOKUP($D278,素材!$1:$1016,COLUMN($F$1),FALSE))),VLOOKUP($C278,武器!$1:$998,COLUMN($O$1),FALSE)*VLOOKUP($D278,素材!$1:$1016,COLUMN($E$1),FALSE)/(LEN(VLOOKUP($D278,素材!$1:$1016,COLUMN($F$1),FALSE)) - LEN(SUBSTITUTE(VLOOKUP($D278,素材!$1:$1016,COLUMN($F$1),FALSE), "・", 0)) + 1), 0)</f>
        <v>0</v>
      </c>
      <c r="AH278">
        <f>IF(ISNUMBER(SEARCH(SUBSTITUTE(AH$1,RIGHT(AH$1,2),""),VLOOKUP($D278,素材!$1:$1016,COLUMN($F$1),FALSE))),VLOOKUP($C278,武器!$1:$998,COLUMN($O$1),FALSE)*VLOOKUP($D278,素材!$1:$1016,COLUMN($E$1),FALSE)/(LEN(VLOOKUP($D278,素材!$1:$1016,COLUMN($F$1),FALSE)) - LEN(SUBSTITUTE(VLOOKUP($D278,素材!$1:$1016,COLUMN($F$1),FALSE), "・", 0)) + 1), 0)</f>
        <v>0</v>
      </c>
      <c r="AI278">
        <f>IF(ISNUMBER(SEARCH(SUBSTITUTE(AI$1,RIGHT(AI$1,2),""),VLOOKUP($D278,素材!$1:$1016,COLUMN($F$1),FALSE))),VLOOKUP($C278,武器!$1:$998,COLUMN($O$1),FALSE)*VLOOKUP($D278,素材!$1:$1016,COLUMN($E$1),FALSE)/(LEN(VLOOKUP($D278,素材!$1:$1016,COLUMN($F$1),FALSE)) - LEN(SUBSTITUTE(VLOOKUP($D278,素材!$1:$1016,COLUMN($F$1),FALSE), "・", 0)) + 1), 0)</f>
        <v>0</v>
      </c>
      <c r="AJ278">
        <f>IF(ISNUMBER(SEARCH(SUBSTITUTE(AJ$1,RIGHT(AJ$1,2),""),VLOOKUP($D278,素材!$1:$1016,COLUMN($F$1),FALSE))),VLOOKUP($C278,武器!$1:$998,COLUMN($O$1),FALSE)*VLOOKUP($D278,素材!$1:$1016,COLUMN($E$1),FALSE)/(LEN(VLOOKUP($D278,素材!$1:$1016,COLUMN($F$1),FALSE)) - LEN(SUBSTITUTE(VLOOKUP($D278,素材!$1:$1016,COLUMN($F$1),FALSE), "・", 0)) + 1), 0)</f>
        <v>0</v>
      </c>
      <c r="AK278">
        <f>IF(ISNUMBER(SEARCH(SUBSTITUTE(AK$1,RIGHT(AK$1,2),""),VLOOKUP($D278,素材!$1:$1016,COLUMN($F$1),FALSE))),VLOOKUP($C278,武器!$1:$998,COLUMN($O$1),FALSE)*VLOOKUP($D278,素材!$1:$1016,COLUMN($E$1),FALSE)/(LEN(VLOOKUP($D278,素材!$1:$1016,COLUMN($F$1),FALSE)) - LEN(SUBSTITUTE(VLOOKUP($D278,素材!$1:$1016,COLUMN($F$1),FALSE), "・", 0)) + 1), 0)</f>
        <v>0</v>
      </c>
      <c r="AL278">
        <f>IF(ISNUMBER(SEARCH(SUBSTITUTE(AL$1,RIGHT(AL$1,2),""),VLOOKUP($D278,素材!$1:$1016,COLUMN($F$1),FALSE))),VLOOKUP($C278,武器!$1:$998,COLUMN($O$1),FALSE)*VLOOKUP($D278,素材!$1:$1016,COLUMN($E$1),FALSE)/(LEN(VLOOKUP($D278,素材!$1:$1016,COLUMN($F$1),FALSE)) - LEN(SUBSTITUTE(VLOOKUP($D278,素材!$1:$1016,COLUMN($F$1),FALSE), "・", 0)) + 1), 0)</f>
        <v>0</v>
      </c>
      <c r="AM278">
        <f>IF(ISNUMBER(SEARCH(SUBSTITUTE(AM$1,RIGHT(AM$1,2),""),VLOOKUP($D278,素材!$1:$1016,COLUMN($F$1),FALSE))),VLOOKUP($C278,武器!$1:$998,COLUMN($O$1),FALSE)*VLOOKUP($D278,素材!$1:$1016,COLUMN($E$1),FALSE)/(LEN(VLOOKUP($D278,素材!$1:$1016,COLUMN($F$1),FALSE)) - LEN(SUBSTITUTE(VLOOKUP($D278,素材!$1:$1016,COLUMN($F$1),FALSE), "・", 0)) + 1), 0)</f>
        <v>0</v>
      </c>
      <c r="AN278">
        <f>IF(ISNUMBER(SEARCH(SUBSTITUTE(AN$1,RIGHT(AN$1,2),""),VLOOKUP($D278,素材!$1:$1016,COLUMN($F$1),FALSE))),VLOOKUP($C278,武器!$1:$998,COLUMN($O$1),FALSE)*VLOOKUP($D278,素材!$1:$1016,COLUMN($E$1),FALSE)/(LEN(VLOOKUP($D278,素材!$1:$1016,COLUMN($F$1),FALSE)) - LEN(SUBSTITUTE(VLOOKUP($D278,素材!$1:$1016,COLUMN($F$1),FALSE), "・", 0)) + 1), 0)</f>
        <v>0</v>
      </c>
      <c r="AO278">
        <f>IF(ISNUMBER(SEARCH(SUBSTITUTE(AO$1,RIGHT(AO$1,2),""),VLOOKUP($D278,素材!$1:$1016,COLUMN($F$1),FALSE))),VLOOKUP($C278,武器!$1:$998,COLUMN($O$1),FALSE)*VLOOKUP($D278,素材!$1:$1016,COLUMN($E$1),FALSE)/(LEN(VLOOKUP($D278,素材!$1:$1016,COLUMN($F$1),FALSE)) - LEN(SUBSTITUTE(VLOOKUP($D278,素材!$1:$1016,COLUMN($F$1),FALSE), "・", 0)) + 1), 0)</f>
        <v>0</v>
      </c>
      <c r="AP278">
        <f>IF(ISNUMBER(SEARCH(SUBSTITUTE(AP$1,RIGHT(AP$1,2),""),VLOOKUP($D278,素材!$1:$1016,COLUMN($F$1),FALSE))),VLOOKUP($C278,武器!$1:$998,COLUMN($O$1),FALSE)*VLOOKUP($D278,素材!$1:$1016,COLUMN($E$1),FALSE)/(LEN(VLOOKUP($D278,素材!$1:$1016,COLUMN($F$1),FALSE)) - LEN(SUBSTITUTE(VLOOKUP($D278,素材!$1:$1016,COLUMN($F$1),FALSE), "・", 0)) + 1), 0)</f>
        <v>0</v>
      </c>
      <c r="AQ278">
        <f>IF(ISNUMBER(SEARCH(SUBSTITUTE(AQ$1,RIGHT(AQ$1,2),""),VLOOKUP($D278,素材!$1:$1016,COLUMN($F$1),FALSE))),VLOOKUP($C278,武器!$1:$998,COLUMN($O$1),FALSE)*VLOOKUP($D278,素材!$1:$1016,COLUMN($E$1),FALSE)/(LEN(VLOOKUP($D278,素材!$1:$1016,COLUMN($F$1),FALSE)) - LEN(SUBSTITUTE(VLOOKUP($D278,素材!$1:$1016,COLUMN($F$1),FALSE), "・", 0)) + 1), 0)</f>
        <v>0</v>
      </c>
      <c r="AR278">
        <f>IF(ISNUMBER(SEARCH(SUBSTITUTE(AR$1,RIGHT(AR$1,2),""),VLOOKUP($D278,素材!$1:$1016,COLUMN($F$1),FALSE))),VLOOKUP($C278,武器!$1:$998,COLUMN($O$1),FALSE)*VLOOKUP($D278,素材!$1:$1016,COLUMN($E$1),FALSE)/(LEN(VLOOKUP($D278,素材!$1:$1016,COLUMN($F$1),FALSE)) - LEN(SUBSTITUTE(VLOOKUP($D278,素材!$1:$1016,COLUMN($F$1),FALSE), "・", 0)) + 1), 0)</f>
        <v>0</v>
      </c>
      <c r="AS278">
        <f>IF(ISNUMBER(SEARCH(SUBSTITUTE(AS$1,RIGHT(AS$1,2),""),VLOOKUP($D278,素材!$1:$1016,COLUMN($F$1),FALSE))),VLOOKUP($C278,武器!$1:$998,COLUMN($O$1),FALSE)*VLOOKUP($D278,素材!$1:$1016,COLUMN($E$1),FALSE)/(LEN(VLOOKUP($D278,素材!$1:$1016,COLUMN($F$1),FALSE)) - LEN(SUBSTITUTE(VLOOKUP($D278,素材!$1:$1016,COLUMN($F$1),FALSE), "・", 0)) + 1), 0)</f>
        <v>0</v>
      </c>
      <c r="AT278">
        <f>IF(ISNUMBER(SEARCH(SUBSTITUTE(AT$1,RIGHT(AT$1,2),""),VLOOKUP($D278,素材!$1:$1016,COLUMN($F$1),FALSE))),VLOOKUP($C278,武器!$1:$998,COLUMN($O$1),FALSE)*VLOOKUP($D278,素材!$1:$1016,COLUMN($E$1),FALSE)/(LEN(VLOOKUP($D278,素材!$1:$1016,COLUMN($F$1),FALSE)) - LEN(SUBSTITUTE(VLOOKUP($D278,素材!$1:$1016,COLUMN($F$1),FALSE), "・", 0)) + 1), 0)</f>
        <v>0</v>
      </c>
      <c r="AU278">
        <f>IF(ISNUMBER(SEARCH(SUBSTITUTE(AU$1,RIGHT(AU$1,2),""),VLOOKUP($D278,素材!$1:$1016,COLUMN($F$1),FALSE))),VLOOKUP($C278,武器!$1:$998,COLUMN($O$1),FALSE)*VLOOKUP($D278,素材!$1:$1016,COLUMN($E$1),FALSE)/(LEN(VLOOKUP($D278,素材!$1:$1016,COLUMN($F$1),FALSE)) - LEN(SUBSTITUTE(VLOOKUP($D278,素材!$1:$1016,COLUMN($F$1),FALSE), "・", 0)) + 1), 0)</f>
        <v>0</v>
      </c>
      <c r="AV278">
        <f>IF(ISNUMBER(SEARCH(SUBSTITUTE(AV$1,RIGHT(AV$1,2),""),VLOOKUP($D278,素材!$1:$1016,COLUMN($F$1),FALSE))),VLOOKUP($C278,武器!$1:$998,COLUMN($O$1),FALSE)*VLOOKUP($D278,素材!$1:$1016,COLUMN($E$1),FALSE)/(LEN(VLOOKUP($D278,素材!$1:$1016,COLUMN($F$1),FALSE)) - LEN(SUBSTITUTE(VLOOKUP($D278,素材!$1:$1016,COLUMN($F$1),FALSE), "・", 0)) + 1), 0)</f>
        <v>0</v>
      </c>
      <c r="AW278">
        <f>IF(ISNUMBER(SEARCH(SUBSTITUTE(AW$1,RIGHT(AW$1,2),""),VLOOKUP($D278,素材!$1:$1016,COLUMN($F$1),FALSE))),VLOOKUP($C278,武器!$1:$998,COLUMN($O$1),FALSE)*VLOOKUP($D278,素材!$1:$1016,COLUMN($E$1),FALSE)/(LEN(VLOOKUP($D278,素材!$1:$1016,COLUMN($F$1),FALSE)) - LEN(SUBSTITUTE(VLOOKUP($D278,素材!$1:$1016,COLUMN($F$1),FALSE), "・", 0)) + 1), 0)</f>
        <v>0</v>
      </c>
      <c r="AX278">
        <f>IF(ISNUMBER(SEARCH(SUBSTITUTE(AX$1,RIGHT(AX$1,2),""),VLOOKUP($D278,素材!$1:$1016,COLUMN($F$1),FALSE))),VLOOKUP($C278,武器!$1:$998,COLUMN($O$1),FALSE)*VLOOKUP($D278,素材!$1:$1016,COLUMN($E$1),FALSE)/(LEN(VLOOKUP($D278,素材!$1:$1016,COLUMN($F$1),FALSE)) - LEN(SUBSTITUTE(VLOOKUP($D278,素材!$1:$1016,COLUMN($F$1),FALSE), "・", 0)) + 1), 0)</f>
        <v>0</v>
      </c>
      <c r="AY278">
        <f>IF(ISNUMBER(SEARCH(SUBSTITUTE(AY$1,RIGHT(AY$1,2),""),VLOOKUP($D278,素材!$1:$1016,COLUMN($F$1),FALSE))),VLOOKUP($C278,武器!$1:$998,COLUMN($O$1),FALSE)*VLOOKUP($D278,素材!$1:$1016,COLUMN($E$1),FALSE)/(LEN(VLOOKUP($D278,素材!$1:$1016,COLUMN($F$1),FALSE)) - LEN(SUBSTITUTE(VLOOKUP($D278,素材!$1:$1016,COLUMN($F$1),FALSE), "・", 0)) + 1), 0)</f>
        <v>0</v>
      </c>
      <c r="AZ278">
        <f>IF(ISNUMBER(SEARCH(SUBSTITUTE(AZ$1,RIGHT(AZ$1,2),""),VLOOKUP($D278,素材!$1:$1016,COLUMN($F$1),FALSE))),VLOOKUP($C278,武器!$1:$998,COLUMN($O$1),FALSE)*VLOOKUP($D278,素材!$1:$1016,COLUMN($E$1),FALSE)/(LEN(VLOOKUP($D278,素材!$1:$1016,COLUMN($F$1),FALSE)) - LEN(SUBSTITUTE(VLOOKUP($D278,素材!$1:$1016,COLUMN($F$1),FALSE), "・", 0)) + 1), 0)</f>
        <v>0</v>
      </c>
      <c r="BA278">
        <f>IF(ISNUMBER(SEARCH(SUBSTITUTE(BA$1,RIGHT(BA$1,2),""),VLOOKUP($D278,素材!$1:$1016,COLUMN($F$1),FALSE))),VLOOKUP($C278,武器!$1:$998,COLUMN($O$1),FALSE)*VLOOKUP($D278,素材!$1:$1016,COLUMN($E$1),FALSE)/(LEN(VLOOKUP($D278,素材!$1:$1016,COLUMN($F$1),FALSE)) - LEN(SUBSTITUTE(VLOOKUP($D278,素材!$1:$1016,COLUMN($F$1),FALSE), "・", 0)) + 1), 0)</f>
        <v>0</v>
      </c>
      <c r="BB278">
        <f>IF(ISNUMBER(SEARCH(SUBSTITUTE(BB$1,RIGHT(BB$1,2),""),VLOOKUP($D278,素材!$1:$1016,COLUMN($F$1),FALSE))),VLOOKUP($C278,武器!$1:$998,COLUMN($O$1),FALSE)*VLOOKUP($D278,素材!$1:$1016,COLUMN($E$1),FALSE)/(LEN(VLOOKUP($D278,素材!$1:$1016,COLUMN($F$1),FALSE)) - LEN(SUBSTITUTE(VLOOKUP($D278,素材!$1:$1016,COLUMN($F$1),FALSE), "・", 0)) + 1), 0)</f>
        <v>0</v>
      </c>
      <c r="BC278">
        <f>IF(ISNUMBER(SEARCH(SUBSTITUTE(BC$1,RIGHT(BC$1,2),""),VLOOKUP($D278,素材!$1:$1016,COLUMN($F$1),FALSE))),VLOOKUP($C278,武器!$1:$998,COLUMN($O$1),FALSE)*VLOOKUP($D278,素材!$1:$1016,COLUMN($E$1),FALSE)/(LEN(VLOOKUP($D278,素材!$1:$1016,COLUMN($F$1),FALSE)) - LEN(SUBSTITUTE(VLOOKUP($D278,素材!$1:$1016,COLUMN($F$1),FALSE), "・", 0)) + 1), 0)</f>
        <v>0</v>
      </c>
      <c r="BD278">
        <f>IF(ISNUMBER(SEARCH(SUBSTITUTE(BD$1,RIGHT(BD$1,2),""),VLOOKUP($D278,素材!$1:$1016,COLUMN($F$1),FALSE))),VLOOKUP($C278,武器!$1:$998,COLUMN($O$1),FALSE)*VLOOKUP($D278,素材!$1:$1016,COLUMN($E$1),FALSE)/(LEN(VLOOKUP($D278,素材!$1:$1016,COLUMN($F$1),FALSE)) - LEN(SUBSTITUTE(VLOOKUP($D278,素材!$1:$1016,COLUMN($F$1),FALSE), "・", 0)) + 1), 0)</f>
        <v>0</v>
      </c>
      <c r="BE278">
        <f>IF(ISNUMBER(SEARCH(SUBSTITUTE(BE$1,RIGHT(BE$1,2),""),VLOOKUP($D278,素材!$1:$1016,COLUMN($F$1),FALSE))),VLOOKUP($C278,武器!$1:$998,COLUMN($O$1),FALSE)*VLOOKUP($D278,素材!$1:$1016,COLUMN($E$1),FALSE)/(LEN(VLOOKUP($D278,素材!$1:$1016,COLUMN($F$1),FALSE)) - LEN(SUBSTITUTE(VLOOKUP($D278,素材!$1:$1016,COLUMN($F$1),FALSE), "・", 0)) + 1), 0)</f>
        <v>0</v>
      </c>
      <c r="CL278">
        <f>SUM(G278:I278)</f>
        <v>0</v>
      </c>
      <c r="CM278" s="22" t="str">
        <f>IF(E278="武器",IF(J278-1&gt;SUM(G278:I278),"盾",IF(MAX(G278:I278)=G278,"切断",IF(MAX(G278:I278)=H278,"貫通",IF(MAX(G278:I278)=I278,"打撃","射撃")))),E278)&amp;".webp"</f>
        <v>装飾.webp</v>
      </c>
      <c r="CN278">
        <f>IFERROR(VLOOKUP($C278,武器!$1:$998,COLUMN(V$1),FALSE)*VLOOKUP($D278,素材!$1:$1016,COLUMN(N$1),FALSE)+IF(CI278="",0,VLOOKUP($CI278,装強!$1:$1008,COLUMN($CK$1),FALSE)),"")</f>
        <v>1500</v>
      </c>
      <c r="CO278" t="str">
        <f>VLOOKUP(D278,素材!$A:$O,COLUMN(素材!O$1),FALSE)</f>
        <v>魔力を帯びた特殊な皮素材。魔法防御や属性耐性を強化する効果があり、高レベルの冒険者に重宝されます。</v>
      </c>
      <c r="CP278" t="str">
        <f>VLOOKUP(C278,武器!$A:$W,COLUMN(武器!W$1),FALSE)</f>
        <v xml:space="preserve">HP ST 攻撃 防御 体幹 怯み 疲労 </v>
      </c>
      <c r="CR278" t="str">
        <f t="shared" si="33"/>
        <v>e_278</v>
      </c>
      <c r="CS278">
        <f t="shared" si="34"/>
        <v>150000</v>
      </c>
    </row>
    <row r="279" spans="1:97" hidden="1" outlineLevel="1" x14ac:dyDescent="0.4">
      <c r="A279" t="str">
        <f>IF(CI279="",D279&amp;"の"&amp;C279,CI279&amp;"の"&amp;C279)</f>
        <v>魔獣皮の外套</v>
      </c>
      <c r="B279" t="str">
        <f>IFERROR(IF(CI279="",VLOOKUP($D279,素材!$1:$1016,COLUMN($B$1),FALSE)&amp;"・"&amp;VLOOKUP($C279,武器!$1:$998,COLUMN(B$1),FALSE),VLOOKUP($CI279,装強!$1:$1008,COLUMN($B$1),FALSE)&amp;"・"&amp;VLOOKUP($C279,武器!$1:$998,COLUMN(B$1),FALSE)),"")</f>
        <v>マジックレザー・マント</v>
      </c>
      <c r="C279" s="24" t="s">
        <v>203</v>
      </c>
      <c r="D279" s="24" t="s">
        <v>202</v>
      </c>
      <c r="E279" t="str">
        <f>IFERROR(VLOOKUP(C279,武器!$1:$998,COLUMN(C$1),FALSE),"")</f>
        <v>装飾</v>
      </c>
      <c r="F279">
        <f>IFERROR(ROUNDDOWN((VLOOKUP($C279,武器!$1:$998,COLUMN(D$1),FALSE)+IFERROR(VLOOKUP($CI279,装強!$1:$999,COLUMN(F$1),FALSE),0))*VLOOKUP($D279,素材!$1:$1016,COLUMN(D$1),FALSE),0),"")</f>
        <v>0</v>
      </c>
      <c r="G279">
        <f>IFERROR(ROUNDDOWN((VLOOKUP($C279,武器!$1:$998,COLUMN(E$1),FALSE)+IFERROR(VLOOKUP($CI279,装強!$1:$999,COLUMN(G$1),FALSE),0))*VLOOKUP($D279,素材!$1:$1016,COLUMN($E$1),FALSE),0),"")</f>
        <v>0</v>
      </c>
      <c r="H279">
        <f>IFERROR(ROUNDDOWN((VLOOKUP($C279,武器!$1:$998,COLUMN(F$1),FALSE)+IFERROR(VLOOKUP($CI279,装強!$1:$999,COLUMN(H$1),FALSE),0))*VLOOKUP($D279,素材!$1:$1016,COLUMN($E$1),FALSE),0),"")</f>
        <v>0</v>
      </c>
      <c r="I279">
        <f>IFERROR(ROUNDDOWN((VLOOKUP($C279,武器!$1:$998,COLUMN(G$1),FALSE)+IFERROR(VLOOKUP($CI279,装強!$1:$999,COLUMN(I$1),FALSE),0))*VLOOKUP($D279,素材!$1:$1016,COLUMN($E$1),FALSE),0),"")</f>
        <v>0</v>
      </c>
      <c r="J279">
        <f>IFERROR(ROUNDDOWN((VLOOKUP($C279,武器!$1:$998,COLUMN(H$1),FALSE)+IFERROR(VLOOKUP($CI279,装強!$1:$999,COLUMN(J$1),FALSE),0))*VLOOKUP($D279,素材!$1:$1016,COLUMN($E$1),FALSE),0),"")</f>
        <v>0</v>
      </c>
      <c r="K279">
        <f>IFERROR(ROUNDDOWN((VLOOKUP($C279,武器!$1:$998,COLUMN(I$1),FALSE)+IFERROR(VLOOKUP($CI279,装強!$1:$999,COLUMN(K$1),FALSE),0))*VLOOKUP($D279,素材!$1:$1016,COLUMN($E$1),FALSE),0),"")</f>
        <v>0</v>
      </c>
      <c r="L279" t="str">
        <f>IFERROR(VLOOKUP($D279,素材!$1:$1016,COLUMN($F$1),FALSE),"")</f>
        <v>魔法</v>
      </c>
      <c r="M279" t="str">
        <f>IFERROR(VLOOKUP($C279,武器!$1:$998,COLUMN(AA$1),FALSE)*VLOOKUP($D279,素材!$1:$1016,COLUMN($G$1),FALSE),"")</f>
        <v/>
      </c>
      <c r="N279">
        <f>IFERROR(VLOOKUP($C279,武器!$1:$998,COLUMN(I$1),FALSE),"")</f>
        <v>0</v>
      </c>
      <c r="O279" s="23" t="str">
        <f>IFERROR((VLOOKUP($C279,武器!$1:$998,COLUMN(K$1),FALSE)+VLOOKUP($D279,素材!$1:$1016,COLUMN(H$1),FALSE))*100+IFERROR(VLOOKUP($CI279,装強!$1:$999,COLUMN(O$1),FALSE),0),"")</f>
        <v/>
      </c>
      <c r="P279" s="23" t="str">
        <f>IFERROR((VLOOKUP($C279,武器!$1:$998,COLUMN(L$1),FALSE)+VLOOKUP($D279,素材!$1:$1016,COLUMN(I$1),FALSE))*100+IFERROR(VLOOKUP($CI279,装強!$1:$999,COLUMN(P$1),FALSE),0),"")</f>
        <v/>
      </c>
      <c r="Q279">
        <f>IFERROR(ROUNDUP(VLOOKUP($C279,武器!$1:$998,COLUMN(M$1),FALSE)*(VLOOKUP($D279,素材!$1:$1002,COLUMN(D$1),FALSE)/100),1),"")</f>
        <v>0</v>
      </c>
      <c r="R279">
        <f>IFERROR(ROUNDUP(VLOOKUP($C279,武器!$1:$998,COLUMN(N$1),FALSE)*(VLOOKUP($D279,素材!$1:$1002,COLUMN(D$1),FALSE)/100),1),"")</f>
        <v>0</v>
      </c>
      <c r="S279">
        <f>IFERROR(VLOOKUP($C279,武器!$1:$998,COLUMN(P$1),FALSE),"")</f>
        <v>0</v>
      </c>
      <c r="T279">
        <f>IFERROR(VLOOKUP($C279,武器!$1:$998,COLUMN(Q$1),FALSE),"")</f>
        <v>0</v>
      </c>
      <c r="U279">
        <f>IFERROR(VLOOKUP($C279,武器!$1:$998,COLUMN(R$1),FALSE),"")</f>
        <v>0</v>
      </c>
      <c r="V279">
        <f>IFERROR(VLOOKUP($C279,武器!$1:$998,COLUMN(Q$1),FALSE),"")</f>
        <v>0</v>
      </c>
      <c r="W279">
        <f>IFERROR(VLOOKUP($C279,武器!$1:$998,COLUMN(T$1),FALSE),"")</f>
        <v>0</v>
      </c>
      <c r="Y279">
        <f>IFERROR(VLOOKUP($C279,武器!$1:$998,COLUMN(U$1),FALSE),"")</f>
        <v>0</v>
      </c>
      <c r="Z279">
        <f>IFERROR(ROUNDUP(VLOOKUP($C279,武器!$1:$998,COLUMN(O$1),FALSE)*VLOOKUP($D279,素材!$1:$1016,COLUMN(E$1),FALSE),1),"")</f>
        <v>0</v>
      </c>
      <c r="AA279">
        <f>IF(ISNUMBER(SEARCH(SUBSTITUTE(AA$1,RIGHT(AA$1,2),""),VLOOKUP($D279,素材!$1:$1016,COLUMN($F$1),FALSE))),VLOOKUP($C279,武器!$1:$998,COLUMN($O$1),FALSE)*VLOOKUP($D279,素材!$1:$1016,COLUMN($E$1),FALSE)/(LEN(VLOOKUP($D279,素材!$1:$1016,COLUMN($F$1),FALSE)) - LEN(SUBSTITUTE(VLOOKUP($D279,素材!$1:$1016,COLUMN($F$1),FALSE), "・", 0)) + 1), 0)</f>
        <v>0</v>
      </c>
      <c r="AB279">
        <f>IF(ISNUMBER(SEARCH(SUBSTITUTE(AB$1,RIGHT(AB$1,2),""),VLOOKUP($D279,素材!$1:$1016,COLUMN($F$1),FALSE))),VLOOKUP($C279,武器!$1:$998,COLUMN($O$1),FALSE)*VLOOKUP($D279,素材!$1:$1016,COLUMN($E$1),FALSE)/(LEN(VLOOKUP($D279,素材!$1:$1016,COLUMN($F$1),FALSE)) - LEN(SUBSTITUTE(VLOOKUP($D279,素材!$1:$1016,COLUMN($F$1),FALSE), "・", 0)) + 1), 0)</f>
        <v>0</v>
      </c>
      <c r="AC279">
        <f>IF(ISNUMBER(SEARCH(SUBSTITUTE(AC$1,RIGHT(AC$1,2),""),VLOOKUP($D279,素材!$1:$1016,COLUMN($F$1),FALSE))),VLOOKUP($C279,武器!$1:$998,COLUMN($O$1),FALSE)*VLOOKUP($D279,素材!$1:$1016,COLUMN($E$1),FALSE)/(LEN(VLOOKUP($D279,素材!$1:$1016,COLUMN($F$1),FALSE)) - LEN(SUBSTITUTE(VLOOKUP($D279,素材!$1:$1016,COLUMN($F$1),FALSE), "・", 0)) + 1), 0)</f>
        <v>0</v>
      </c>
      <c r="AD279">
        <f>IF(ISNUMBER(SEARCH(SUBSTITUTE(AD$1,RIGHT(AD$1,2),""),VLOOKUP($D279,素材!$1:$1016,COLUMN($F$1),FALSE))),VLOOKUP($C279,武器!$1:$998,COLUMN($O$1),FALSE)*VLOOKUP($D279,素材!$1:$1016,COLUMN($E$1),FALSE)/(LEN(VLOOKUP($D279,素材!$1:$1016,COLUMN($F$1),FALSE)) - LEN(SUBSTITUTE(VLOOKUP($D279,素材!$1:$1016,COLUMN($F$1),FALSE), "・", 0)) + 1), 0)</f>
        <v>0</v>
      </c>
      <c r="AE279">
        <f>IF(ISNUMBER(SEARCH(SUBSTITUTE(AE$1,RIGHT(AE$1,2),""),VLOOKUP($D279,素材!$1:$1016,COLUMN($F$1),FALSE))),VLOOKUP($C279,武器!$1:$998,COLUMN($O$1),FALSE)*VLOOKUP($D279,素材!$1:$1016,COLUMN($E$1),FALSE)/(LEN(VLOOKUP($D279,素材!$1:$1016,COLUMN($F$1),FALSE)) - LEN(SUBSTITUTE(VLOOKUP($D279,素材!$1:$1016,COLUMN($F$1),FALSE), "・", 0)) + 1), 0)</f>
        <v>0</v>
      </c>
      <c r="AF279">
        <f>IF(ISNUMBER(SEARCH(SUBSTITUTE(AF$1,RIGHT(AF$1,2),""),VLOOKUP($D279,素材!$1:$1016,COLUMN($F$1),FALSE))),VLOOKUP($C279,武器!$1:$998,COLUMN($O$1),FALSE)*VLOOKUP($D279,素材!$1:$1016,COLUMN($E$1),FALSE)/(LEN(VLOOKUP($D279,素材!$1:$1016,COLUMN($F$1),FALSE)) - LEN(SUBSTITUTE(VLOOKUP($D279,素材!$1:$1016,COLUMN($F$1),FALSE), "・", 0)) + 1), 0)</f>
        <v>0</v>
      </c>
      <c r="AG279">
        <f>IF(ISNUMBER(SEARCH(SUBSTITUTE(AG$1,RIGHT(AG$1,2),""),VLOOKUP($D279,素材!$1:$1016,COLUMN($F$1),FALSE))),VLOOKUP($C279,武器!$1:$998,COLUMN($O$1),FALSE)*VLOOKUP($D279,素材!$1:$1016,COLUMN($E$1),FALSE)/(LEN(VLOOKUP($D279,素材!$1:$1016,COLUMN($F$1),FALSE)) - LEN(SUBSTITUTE(VLOOKUP($D279,素材!$1:$1016,COLUMN($F$1),FALSE), "・", 0)) + 1), 0)</f>
        <v>0</v>
      </c>
      <c r="AH279">
        <f>IF(ISNUMBER(SEARCH(SUBSTITUTE(AH$1,RIGHT(AH$1,2),""),VLOOKUP($D279,素材!$1:$1016,COLUMN($F$1),FALSE))),VLOOKUP($C279,武器!$1:$998,COLUMN($O$1),FALSE)*VLOOKUP($D279,素材!$1:$1016,COLUMN($E$1),FALSE)/(LEN(VLOOKUP($D279,素材!$1:$1016,COLUMN($F$1),FALSE)) - LEN(SUBSTITUTE(VLOOKUP($D279,素材!$1:$1016,COLUMN($F$1),FALSE), "・", 0)) + 1), 0)</f>
        <v>0</v>
      </c>
      <c r="AI279">
        <f>IF(ISNUMBER(SEARCH(SUBSTITUTE(AI$1,RIGHT(AI$1,2),""),VLOOKUP($D279,素材!$1:$1016,COLUMN($F$1),FALSE))),VLOOKUP($C279,武器!$1:$998,COLUMN($O$1),FALSE)*VLOOKUP($D279,素材!$1:$1016,COLUMN($E$1),FALSE)/(LEN(VLOOKUP($D279,素材!$1:$1016,COLUMN($F$1),FALSE)) - LEN(SUBSTITUTE(VLOOKUP($D279,素材!$1:$1016,COLUMN($F$1),FALSE), "・", 0)) + 1), 0)</f>
        <v>0</v>
      </c>
      <c r="AJ279">
        <f>IF(ISNUMBER(SEARCH(SUBSTITUTE(AJ$1,RIGHT(AJ$1,2),""),VLOOKUP($D279,素材!$1:$1016,COLUMN($F$1),FALSE))),VLOOKUP($C279,武器!$1:$998,COLUMN($O$1),FALSE)*VLOOKUP($D279,素材!$1:$1016,COLUMN($E$1),FALSE)/(LEN(VLOOKUP($D279,素材!$1:$1016,COLUMN($F$1),FALSE)) - LEN(SUBSTITUTE(VLOOKUP($D279,素材!$1:$1016,COLUMN($F$1),FALSE), "・", 0)) + 1), 0)</f>
        <v>0</v>
      </c>
      <c r="AK279">
        <f>IF(ISNUMBER(SEARCH(SUBSTITUTE(AK$1,RIGHT(AK$1,2),""),VLOOKUP($D279,素材!$1:$1016,COLUMN($F$1),FALSE))),VLOOKUP($C279,武器!$1:$998,COLUMN($O$1),FALSE)*VLOOKUP($D279,素材!$1:$1016,COLUMN($E$1),FALSE)/(LEN(VLOOKUP($D279,素材!$1:$1016,COLUMN($F$1),FALSE)) - LEN(SUBSTITUTE(VLOOKUP($D279,素材!$1:$1016,COLUMN($F$1),FALSE), "・", 0)) + 1), 0)</f>
        <v>0</v>
      </c>
      <c r="AL279">
        <f>IF(ISNUMBER(SEARCH(SUBSTITUTE(AL$1,RIGHT(AL$1,2),""),VLOOKUP($D279,素材!$1:$1016,COLUMN($F$1),FALSE))),VLOOKUP($C279,武器!$1:$998,COLUMN($O$1),FALSE)*VLOOKUP($D279,素材!$1:$1016,COLUMN($E$1),FALSE)/(LEN(VLOOKUP($D279,素材!$1:$1016,COLUMN($F$1),FALSE)) - LEN(SUBSTITUTE(VLOOKUP($D279,素材!$1:$1016,COLUMN($F$1),FALSE), "・", 0)) + 1), 0)</f>
        <v>0</v>
      </c>
      <c r="AM279">
        <f>IF(ISNUMBER(SEARCH(SUBSTITUTE(AM$1,RIGHT(AM$1,2),""),VLOOKUP($D279,素材!$1:$1016,COLUMN($F$1),FALSE))),VLOOKUP($C279,武器!$1:$998,COLUMN($O$1),FALSE)*VLOOKUP($D279,素材!$1:$1016,COLUMN($E$1),FALSE)/(LEN(VLOOKUP($D279,素材!$1:$1016,COLUMN($F$1),FALSE)) - LEN(SUBSTITUTE(VLOOKUP($D279,素材!$1:$1016,COLUMN($F$1),FALSE), "・", 0)) + 1), 0)</f>
        <v>0</v>
      </c>
      <c r="AN279">
        <f>IF(ISNUMBER(SEARCH(SUBSTITUTE(AN$1,RIGHT(AN$1,2),""),VLOOKUP($D279,素材!$1:$1016,COLUMN($F$1),FALSE))),VLOOKUP($C279,武器!$1:$998,COLUMN($O$1),FALSE)*VLOOKUP($D279,素材!$1:$1016,COLUMN($E$1),FALSE)/(LEN(VLOOKUP($D279,素材!$1:$1016,COLUMN($F$1),FALSE)) - LEN(SUBSTITUTE(VLOOKUP($D279,素材!$1:$1016,COLUMN($F$1),FALSE), "・", 0)) + 1), 0)</f>
        <v>0</v>
      </c>
      <c r="AO279">
        <f>IF(ISNUMBER(SEARCH(SUBSTITUTE(AO$1,RIGHT(AO$1,2),""),VLOOKUP($D279,素材!$1:$1016,COLUMN($F$1),FALSE))),VLOOKUP($C279,武器!$1:$998,COLUMN($O$1),FALSE)*VLOOKUP($D279,素材!$1:$1016,COLUMN($E$1),FALSE)/(LEN(VLOOKUP($D279,素材!$1:$1016,COLUMN($F$1),FALSE)) - LEN(SUBSTITUTE(VLOOKUP($D279,素材!$1:$1016,COLUMN($F$1),FALSE), "・", 0)) + 1), 0)</f>
        <v>0</v>
      </c>
      <c r="AP279">
        <f>IF(ISNUMBER(SEARCH(SUBSTITUTE(AP$1,RIGHT(AP$1,2),""),VLOOKUP($D279,素材!$1:$1016,COLUMN($F$1),FALSE))),VLOOKUP($C279,武器!$1:$998,COLUMN($O$1),FALSE)*VLOOKUP($D279,素材!$1:$1016,COLUMN($E$1),FALSE)/(LEN(VLOOKUP($D279,素材!$1:$1016,COLUMN($F$1),FALSE)) - LEN(SUBSTITUTE(VLOOKUP($D279,素材!$1:$1016,COLUMN($F$1),FALSE), "・", 0)) + 1), 0)</f>
        <v>0</v>
      </c>
      <c r="AQ279">
        <f>IF(ISNUMBER(SEARCH(SUBSTITUTE(AQ$1,RIGHT(AQ$1,2),""),VLOOKUP($D279,素材!$1:$1016,COLUMN($F$1),FALSE))),VLOOKUP($C279,武器!$1:$998,COLUMN($O$1),FALSE)*VLOOKUP($D279,素材!$1:$1016,COLUMN($E$1),FALSE)/(LEN(VLOOKUP($D279,素材!$1:$1016,COLUMN($F$1),FALSE)) - LEN(SUBSTITUTE(VLOOKUP($D279,素材!$1:$1016,COLUMN($F$1),FALSE), "・", 0)) + 1), 0)</f>
        <v>0</v>
      </c>
      <c r="AR279">
        <f>IF(ISNUMBER(SEARCH(SUBSTITUTE(AR$1,RIGHT(AR$1,2),""),VLOOKUP($D279,素材!$1:$1016,COLUMN($F$1),FALSE))),VLOOKUP($C279,武器!$1:$998,COLUMN($O$1),FALSE)*VLOOKUP($D279,素材!$1:$1016,COLUMN($E$1),FALSE)/(LEN(VLOOKUP($D279,素材!$1:$1016,COLUMN($F$1),FALSE)) - LEN(SUBSTITUTE(VLOOKUP($D279,素材!$1:$1016,COLUMN($F$1),FALSE), "・", 0)) + 1), 0)</f>
        <v>0</v>
      </c>
      <c r="AS279">
        <f>IF(ISNUMBER(SEARCH(SUBSTITUTE(AS$1,RIGHT(AS$1,2),""),VLOOKUP($D279,素材!$1:$1016,COLUMN($F$1),FALSE))),VLOOKUP($C279,武器!$1:$998,COLUMN($O$1),FALSE)*VLOOKUP($D279,素材!$1:$1016,COLUMN($E$1),FALSE)/(LEN(VLOOKUP($D279,素材!$1:$1016,COLUMN($F$1),FALSE)) - LEN(SUBSTITUTE(VLOOKUP($D279,素材!$1:$1016,COLUMN($F$1),FALSE), "・", 0)) + 1), 0)</f>
        <v>0</v>
      </c>
      <c r="AT279">
        <f>IF(ISNUMBER(SEARCH(SUBSTITUTE(AT$1,RIGHT(AT$1,2),""),VLOOKUP($D279,素材!$1:$1016,COLUMN($F$1),FALSE))),VLOOKUP($C279,武器!$1:$998,COLUMN($O$1),FALSE)*VLOOKUP($D279,素材!$1:$1016,COLUMN($E$1),FALSE)/(LEN(VLOOKUP($D279,素材!$1:$1016,COLUMN($F$1),FALSE)) - LEN(SUBSTITUTE(VLOOKUP($D279,素材!$1:$1016,COLUMN($F$1),FALSE), "・", 0)) + 1), 0)</f>
        <v>0</v>
      </c>
      <c r="AU279">
        <f>IF(ISNUMBER(SEARCH(SUBSTITUTE(AU$1,RIGHT(AU$1,2),""),VLOOKUP($D279,素材!$1:$1016,COLUMN($F$1),FALSE))),VLOOKUP($C279,武器!$1:$998,COLUMN($O$1),FALSE)*VLOOKUP($D279,素材!$1:$1016,COLUMN($E$1),FALSE)/(LEN(VLOOKUP($D279,素材!$1:$1016,COLUMN($F$1),FALSE)) - LEN(SUBSTITUTE(VLOOKUP($D279,素材!$1:$1016,COLUMN($F$1),FALSE), "・", 0)) + 1), 0)</f>
        <v>0</v>
      </c>
      <c r="AV279">
        <f>IF(ISNUMBER(SEARCH(SUBSTITUTE(AV$1,RIGHT(AV$1,2),""),VLOOKUP($D279,素材!$1:$1016,COLUMN($F$1),FALSE))),VLOOKUP($C279,武器!$1:$998,COLUMN($O$1),FALSE)*VLOOKUP($D279,素材!$1:$1016,COLUMN($E$1),FALSE)/(LEN(VLOOKUP($D279,素材!$1:$1016,COLUMN($F$1),FALSE)) - LEN(SUBSTITUTE(VLOOKUP($D279,素材!$1:$1016,COLUMN($F$1),FALSE), "・", 0)) + 1), 0)</f>
        <v>0</v>
      </c>
      <c r="AW279">
        <f>IF(ISNUMBER(SEARCH(SUBSTITUTE(AW$1,RIGHT(AW$1,2),""),VLOOKUP($D279,素材!$1:$1016,COLUMN($F$1),FALSE))),VLOOKUP($C279,武器!$1:$998,COLUMN($O$1),FALSE)*VLOOKUP($D279,素材!$1:$1016,COLUMN($E$1),FALSE)/(LEN(VLOOKUP($D279,素材!$1:$1016,COLUMN($F$1),FALSE)) - LEN(SUBSTITUTE(VLOOKUP($D279,素材!$1:$1016,COLUMN($F$1),FALSE), "・", 0)) + 1), 0)</f>
        <v>0</v>
      </c>
      <c r="AX279">
        <f>IF(ISNUMBER(SEARCH(SUBSTITUTE(AX$1,RIGHT(AX$1,2),""),VLOOKUP($D279,素材!$1:$1016,COLUMN($F$1),FALSE))),VLOOKUP($C279,武器!$1:$998,COLUMN($O$1),FALSE)*VLOOKUP($D279,素材!$1:$1016,COLUMN($E$1),FALSE)/(LEN(VLOOKUP($D279,素材!$1:$1016,COLUMN($F$1),FALSE)) - LEN(SUBSTITUTE(VLOOKUP($D279,素材!$1:$1016,COLUMN($F$1),FALSE), "・", 0)) + 1), 0)</f>
        <v>0</v>
      </c>
      <c r="AY279">
        <f>IF(ISNUMBER(SEARCH(SUBSTITUTE(AY$1,RIGHT(AY$1,2),""),VLOOKUP($D279,素材!$1:$1016,COLUMN($F$1),FALSE))),VLOOKUP($C279,武器!$1:$998,COLUMN($O$1),FALSE)*VLOOKUP($D279,素材!$1:$1016,COLUMN($E$1),FALSE)/(LEN(VLOOKUP($D279,素材!$1:$1016,COLUMN($F$1),FALSE)) - LEN(SUBSTITUTE(VLOOKUP($D279,素材!$1:$1016,COLUMN($F$1),FALSE), "・", 0)) + 1), 0)</f>
        <v>0</v>
      </c>
      <c r="AZ279">
        <f>IF(ISNUMBER(SEARCH(SUBSTITUTE(AZ$1,RIGHT(AZ$1,2),""),VLOOKUP($D279,素材!$1:$1016,COLUMN($F$1),FALSE))),VLOOKUP($C279,武器!$1:$998,COLUMN($O$1),FALSE)*VLOOKUP($D279,素材!$1:$1016,COLUMN($E$1),FALSE)/(LEN(VLOOKUP($D279,素材!$1:$1016,COLUMN($F$1),FALSE)) - LEN(SUBSTITUTE(VLOOKUP($D279,素材!$1:$1016,COLUMN($F$1),FALSE), "・", 0)) + 1), 0)</f>
        <v>0</v>
      </c>
      <c r="BA279">
        <f>IF(ISNUMBER(SEARCH(SUBSTITUTE(BA$1,RIGHT(BA$1,2),""),VLOOKUP($D279,素材!$1:$1016,COLUMN($F$1),FALSE))),VLOOKUP($C279,武器!$1:$998,COLUMN($O$1),FALSE)*VLOOKUP($D279,素材!$1:$1016,COLUMN($E$1),FALSE)/(LEN(VLOOKUP($D279,素材!$1:$1016,COLUMN($F$1),FALSE)) - LEN(SUBSTITUTE(VLOOKUP($D279,素材!$1:$1016,COLUMN($F$1),FALSE), "・", 0)) + 1), 0)</f>
        <v>0</v>
      </c>
      <c r="BB279">
        <f>IF(ISNUMBER(SEARCH(SUBSTITUTE(BB$1,RIGHT(BB$1,2),""),VLOOKUP($D279,素材!$1:$1016,COLUMN($F$1),FALSE))),VLOOKUP($C279,武器!$1:$998,COLUMN($O$1),FALSE)*VLOOKUP($D279,素材!$1:$1016,COLUMN($E$1),FALSE)/(LEN(VLOOKUP($D279,素材!$1:$1016,COLUMN($F$1),FALSE)) - LEN(SUBSTITUTE(VLOOKUP($D279,素材!$1:$1016,COLUMN($F$1),FALSE), "・", 0)) + 1), 0)</f>
        <v>0</v>
      </c>
      <c r="BC279">
        <f>IF(ISNUMBER(SEARCH(SUBSTITUTE(BC$1,RIGHT(BC$1,2),""),VLOOKUP($D279,素材!$1:$1016,COLUMN($F$1),FALSE))),VLOOKUP($C279,武器!$1:$998,COLUMN($O$1),FALSE)*VLOOKUP($D279,素材!$1:$1016,COLUMN($E$1),FALSE)/(LEN(VLOOKUP($D279,素材!$1:$1016,COLUMN($F$1),FALSE)) - LEN(SUBSTITUTE(VLOOKUP($D279,素材!$1:$1016,COLUMN($F$1),FALSE), "・", 0)) + 1), 0)</f>
        <v>0</v>
      </c>
      <c r="BD279">
        <f>IF(ISNUMBER(SEARCH(SUBSTITUTE(BD$1,RIGHT(BD$1,2),""),VLOOKUP($D279,素材!$1:$1016,COLUMN($F$1),FALSE))),VLOOKUP($C279,武器!$1:$998,COLUMN($O$1),FALSE)*VLOOKUP($D279,素材!$1:$1016,COLUMN($E$1),FALSE)/(LEN(VLOOKUP($D279,素材!$1:$1016,COLUMN($F$1),FALSE)) - LEN(SUBSTITUTE(VLOOKUP($D279,素材!$1:$1016,COLUMN($F$1),FALSE), "・", 0)) + 1), 0)</f>
        <v>0</v>
      </c>
      <c r="BE279">
        <f>IF(ISNUMBER(SEARCH(SUBSTITUTE(BE$1,RIGHT(BE$1,2),""),VLOOKUP($D279,素材!$1:$1016,COLUMN($F$1),FALSE))),VLOOKUP($C279,武器!$1:$998,COLUMN($O$1),FALSE)*VLOOKUP($D279,素材!$1:$1016,COLUMN($E$1),FALSE)/(LEN(VLOOKUP($D279,素材!$1:$1016,COLUMN($F$1),FALSE)) - LEN(SUBSTITUTE(VLOOKUP($D279,素材!$1:$1016,COLUMN($F$1),FALSE), "・", 0)) + 1), 0)</f>
        <v>0</v>
      </c>
      <c r="CL279">
        <f>SUM(G279:I279)</f>
        <v>0</v>
      </c>
      <c r="CM279" s="22" t="str">
        <f>IF(E279="武器",IF(J279-1&gt;SUM(G279:I279),"盾",IF(MAX(G279:I279)=G279,"切断",IF(MAX(G279:I279)=H279,"貫通",IF(MAX(G279:I279)=I279,"打撃","射撃")))),E279)&amp;".webp"</f>
        <v>装飾.webp</v>
      </c>
      <c r="CN279">
        <f>IFERROR(VLOOKUP($C279,武器!$1:$998,COLUMN(V$1),FALSE)*VLOOKUP($D279,素材!$1:$1016,COLUMN(N$1),FALSE)+IF(CI279="",0,VLOOKUP($CI279,装強!$1:$1008,COLUMN($CK$1),FALSE)),"")</f>
        <v>1500</v>
      </c>
      <c r="CO279" t="str">
        <f>VLOOKUP(D279,素材!$A:$O,COLUMN(素材!O$1),FALSE)</f>
        <v>魔力を帯びた特殊な皮素材。魔法防御や属性耐性を強化する効果があり、高レベルの冒険者に重宝されます。</v>
      </c>
      <c r="CP279" t="str">
        <f>VLOOKUP(C279,武器!$A:$W,COLUMN(武器!W$1),FALSE)</f>
        <v xml:space="preserve">防御 隠密 </v>
      </c>
      <c r="CR279" t="str">
        <f t="shared" si="33"/>
        <v>e_279</v>
      </c>
      <c r="CS279">
        <f t="shared" si="34"/>
        <v>150000</v>
      </c>
    </row>
    <row r="280" spans="1:97" hidden="1" outlineLevel="1" x14ac:dyDescent="0.4">
      <c r="A280" t="str">
        <f>IF(CI280="",D280&amp;"の"&amp;C280,CI280&amp;"の"&amp;C280)</f>
        <v>魔獣皮の外套</v>
      </c>
      <c r="B280" t="str">
        <f>IFERROR(IF(CI280="",VLOOKUP($D280,素材!$1:$1016,COLUMN($B$1),FALSE)&amp;"・"&amp;VLOOKUP($C280,武器!$1:$998,COLUMN(B$1),FALSE),VLOOKUP($CI280,装強!$1:$1008,COLUMN($B$1),FALSE)&amp;"・"&amp;VLOOKUP($C280,武器!$1:$998,COLUMN(B$1),FALSE)),"")</f>
        <v>マジックレザー・マント</v>
      </c>
      <c r="C280" s="24" t="s">
        <v>203</v>
      </c>
      <c r="D280" s="24" t="s">
        <v>202</v>
      </c>
      <c r="E280" t="str">
        <f>IFERROR(VLOOKUP(C280,武器!$1:$998,COLUMN(C$1),FALSE),"")</f>
        <v>装飾</v>
      </c>
      <c r="F280">
        <f>IFERROR(ROUNDDOWN((VLOOKUP($C280,武器!$1:$998,COLUMN(D$1),FALSE)+IFERROR(VLOOKUP($CI280,装強!$1:$999,COLUMN(F$1),FALSE),0))*VLOOKUP($D280,素材!$1:$1016,COLUMN(D$1),FALSE),0),"")</f>
        <v>0</v>
      </c>
      <c r="G280">
        <f>IFERROR(ROUNDDOWN((VLOOKUP($C280,武器!$1:$998,COLUMN(E$1),FALSE)+IFERROR(VLOOKUP($CI280,装強!$1:$999,COLUMN(G$1),FALSE),0))*VLOOKUP($D280,素材!$1:$1016,COLUMN($E$1),FALSE),0),"")</f>
        <v>0</v>
      </c>
      <c r="H280">
        <f>IFERROR(ROUNDDOWN((VLOOKUP($C280,武器!$1:$998,COLUMN(F$1),FALSE)+IFERROR(VLOOKUP($CI280,装強!$1:$999,COLUMN(H$1),FALSE),0))*VLOOKUP($D280,素材!$1:$1016,COLUMN($E$1),FALSE),0),"")</f>
        <v>0</v>
      </c>
      <c r="I280">
        <f>IFERROR(ROUNDDOWN((VLOOKUP($C280,武器!$1:$998,COLUMN(G$1),FALSE)+IFERROR(VLOOKUP($CI280,装強!$1:$999,COLUMN(I$1),FALSE),0))*VLOOKUP($D280,素材!$1:$1016,COLUMN($E$1),FALSE),0),"")</f>
        <v>0</v>
      </c>
      <c r="J280">
        <f>IFERROR(ROUNDDOWN((VLOOKUP($C280,武器!$1:$998,COLUMN(H$1),FALSE)+IFERROR(VLOOKUP($CI280,装強!$1:$999,COLUMN(J$1),FALSE),0))*VLOOKUP($D280,素材!$1:$1016,COLUMN($E$1),FALSE),0),"")</f>
        <v>0</v>
      </c>
      <c r="K280">
        <f>IFERROR(ROUNDDOWN((VLOOKUP($C280,武器!$1:$998,COLUMN(I$1),FALSE)+IFERROR(VLOOKUP($CI280,装強!$1:$999,COLUMN(K$1),FALSE),0))*VLOOKUP($D280,素材!$1:$1016,COLUMN($E$1),FALSE),0),"")</f>
        <v>0</v>
      </c>
      <c r="L280" t="str">
        <f>IFERROR(VLOOKUP($D280,素材!$1:$1016,COLUMN($F$1),FALSE),"")</f>
        <v>魔法</v>
      </c>
      <c r="M280" t="str">
        <f>IFERROR(VLOOKUP($C280,武器!$1:$998,COLUMN(AA$1),FALSE)*VLOOKUP($D280,素材!$1:$1016,COLUMN($G$1),FALSE),"")</f>
        <v/>
      </c>
      <c r="N280">
        <f>IFERROR(VLOOKUP($C280,武器!$1:$998,COLUMN(I$1),FALSE),"")</f>
        <v>0</v>
      </c>
      <c r="O280" s="23" t="str">
        <f>IFERROR((VLOOKUP($C280,武器!$1:$998,COLUMN(K$1),FALSE)+VLOOKUP($D280,素材!$1:$1016,COLUMN(H$1),FALSE))*100+IFERROR(VLOOKUP($CI280,装強!$1:$999,COLUMN(O$1),FALSE),0),"")</f>
        <v/>
      </c>
      <c r="P280" s="23" t="str">
        <f>IFERROR((VLOOKUP($C280,武器!$1:$998,COLUMN(L$1),FALSE)+VLOOKUP($D280,素材!$1:$1016,COLUMN(I$1),FALSE))*100+IFERROR(VLOOKUP($CI280,装強!$1:$999,COLUMN(P$1),FALSE),0),"")</f>
        <v/>
      </c>
      <c r="Q280">
        <f>IFERROR(ROUNDUP(VLOOKUP($C280,武器!$1:$998,COLUMN(M$1),FALSE)*(VLOOKUP($D280,素材!$1:$1002,COLUMN(D$1),FALSE)/100),1),"")</f>
        <v>0</v>
      </c>
      <c r="R280">
        <f>IFERROR(ROUNDUP(VLOOKUP($C280,武器!$1:$998,COLUMN(N$1),FALSE)*(VLOOKUP($D280,素材!$1:$1002,COLUMN(D$1),FALSE)/100),1),"")</f>
        <v>0</v>
      </c>
      <c r="S280">
        <f>IFERROR(VLOOKUP($C280,武器!$1:$998,COLUMN(P$1),FALSE),"")</f>
        <v>0</v>
      </c>
      <c r="T280">
        <f>IFERROR(VLOOKUP($C280,武器!$1:$998,COLUMN(Q$1),FALSE),"")</f>
        <v>0</v>
      </c>
      <c r="U280">
        <f>IFERROR(VLOOKUP($C280,武器!$1:$998,COLUMN(R$1),FALSE),"")</f>
        <v>0</v>
      </c>
      <c r="V280">
        <f>IFERROR(VLOOKUP($C280,武器!$1:$998,COLUMN(Q$1),FALSE),"")</f>
        <v>0</v>
      </c>
      <c r="W280">
        <f>IFERROR(VLOOKUP($C280,武器!$1:$998,COLUMN(T$1),FALSE),"")</f>
        <v>0</v>
      </c>
      <c r="Y280">
        <f>IFERROR(VLOOKUP($C280,武器!$1:$998,COLUMN(U$1),FALSE),"")</f>
        <v>0</v>
      </c>
      <c r="Z280">
        <f>IFERROR(ROUNDUP(VLOOKUP($C280,武器!$1:$998,COLUMN(O$1),FALSE)*VLOOKUP($D280,素材!$1:$1016,COLUMN(E$1),FALSE),1),"")</f>
        <v>0</v>
      </c>
      <c r="AA280">
        <f>IF(ISNUMBER(SEARCH(SUBSTITUTE(AA$1,RIGHT(AA$1,2),""),VLOOKUP($D280,素材!$1:$1016,COLUMN($F$1),FALSE))),VLOOKUP($C280,武器!$1:$998,COLUMN($O$1),FALSE)*VLOOKUP($D280,素材!$1:$1016,COLUMN($E$1),FALSE)/(LEN(VLOOKUP($D280,素材!$1:$1016,COLUMN($F$1),FALSE)) - LEN(SUBSTITUTE(VLOOKUP($D280,素材!$1:$1016,COLUMN($F$1),FALSE), "・", 0)) + 1), 0)</f>
        <v>0</v>
      </c>
      <c r="AB280">
        <f>IF(ISNUMBER(SEARCH(SUBSTITUTE(AB$1,RIGHT(AB$1,2),""),VLOOKUP($D280,素材!$1:$1016,COLUMN($F$1),FALSE))),VLOOKUP($C280,武器!$1:$998,COLUMN($O$1),FALSE)*VLOOKUP($D280,素材!$1:$1016,COLUMN($E$1),FALSE)/(LEN(VLOOKUP($D280,素材!$1:$1016,COLUMN($F$1),FALSE)) - LEN(SUBSTITUTE(VLOOKUP($D280,素材!$1:$1016,COLUMN($F$1),FALSE), "・", 0)) + 1), 0)</f>
        <v>0</v>
      </c>
      <c r="AC280">
        <f>IF(ISNUMBER(SEARCH(SUBSTITUTE(AC$1,RIGHT(AC$1,2),""),VLOOKUP($D280,素材!$1:$1016,COLUMN($F$1),FALSE))),VLOOKUP($C280,武器!$1:$998,COLUMN($O$1),FALSE)*VLOOKUP($D280,素材!$1:$1016,COLUMN($E$1),FALSE)/(LEN(VLOOKUP($D280,素材!$1:$1016,COLUMN($F$1),FALSE)) - LEN(SUBSTITUTE(VLOOKUP($D280,素材!$1:$1016,COLUMN($F$1),FALSE), "・", 0)) + 1), 0)</f>
        <v>0</v>
      </c>
      <c r="AD280">
        <f>IF(ISNUMBER(SEARCH(SUBSTITUTE(AD$1,RIGHT(AD$1,2),""),VLOOKUP($D280,素材!$1:$1016,COLUMN($F$1),FALSE))),VLOOKUP($C280,武器!$1:$998,COLUMN($O$1),FALSE)*VLOOKUP($D280,素材!$1:$1016,COLUMN($E$1),FALSE)/(LEN(VLOOKUP($D280,素材!$1:$1016,COLUMN($F$1),FALSE)) - LEN(SUBSTITUTE(VLOOKUP($D280,素材!$1:$1016,COLUMN($F$1),FALSE), "・", 0)) + 1), 0)</f>
        <v>0</v>
      </c>
      <c r="AE280">
        <f>IF(ISNUMBER(SEARCH(SUBSTITUTE(AE$1,RIGHT(AE$1,2),""),VLOOKUP($D280,素材!$1:$1016,COLUMN($F$1),FALSE))),VLOOKUP($C280,武器!$1:$998,COLUMN($O$1),FALSE)*VLOOKUP($D280,素材!$1:$1016,COLUMN($E$1),FALSE)/(LEN(VLOOKUP($D280,素材!$1:$1016,COLUMN($F$1),FALSE)) - LEN(SUBSTITUTE(VLOOKUP($D280,素材!$1:$1016,COLUMN($F$1),FALSE), "・", 0)) + 1), 0)</f>
        <v>0</v>
      </c>
      <c r="AF280">
        <f>IF(ISNUMBER(SEARCH(SUBSTITUTE(AF$1,RIGHT(AF$1,2),""),VLOOKUP($D280,素材!$1:$1016,COLUMN($F$1),FALSE))),VLOOKUP($C280,武器!$1:$998,COLUMN($O$1),FALSE)*VLOOKUP($D280,素材!$1:$1016,COLUMN($E$1),FALSE)/(LEN(VLOOKUP($D280,素材!$1:$1016,COLUMN($F$1),FALSE)) - LEN(SUBSTITUTE(VLOOKUP($D280,素材!$1:$1016,COLUMN($F$1),FALSE), "・", 0)) + 1), 0)</f>
        <v>0</v>
      </c>
      <c r="AG280">
        <f>IF(ISNUMBER(SEARCH(SUBSTITUTE(AG$1,RIGHT(AG$1,2),""),VLOOKUP($D280,素材!$1:$1016,COLUMN($F$1),FALSE))),VLOOKUP($C280,武器!$1:$998,COLUMN($O$1),FALSE)*VLOOKUP($D280,素材!$1:$1016,COLUMN($E$1),FALSE)/(LEN(VLOOKUP($D280,素材!$1:$1016,COLUMN($F$1),FALSE)) - LEN(SUBSTITUTE(VLOOKUP($D280,素材!$1:$1016,COLUMN($F$1),FALSE), "・", 0)) + 1), 0)</f>
        <v>0</v>
      </c>
      <c r="AH280">
        <f>IF(ISNUMBER(SEARCH(SUBSTITUTE(AH$1,RIGHT(AH$1,2),""),VLOOKUP($D280,素材!$1:$1016,COLUMN($F$1),FALSE))),VLOOKUP($C280,武器!$1:$998,COLUMN($O$1),FALSE)*VLOOKUP($D280,素材!$1:$1016,COLUMN($E$1),FALSE)/(LEN(VLOOKUP($D280,素材!$1:$1016,COLUMN($F$1),FALSE)) - LEN(SUBSTITUTE(VLOOKUP($D280,素材!$1:$1016,COLUMN($F$1),FALSE), "・", 0)) + 1), 0)</f>
        <v>0</v>
      </c>
      <c r="AI280">
        <f>IF(ISNUMBER(SEARCH(SUBSTITUTE(AI$1,RIGHT(AI$1,2),""),VLOOKUP($D280,素材!$1:$1016,COLUMN($F$1),FALSE))),VLOOKUP($C280,武器!$1:$998,COLUMN($O$1),FALSE)*VLOOKUP($D280,素材!$1:$1016,COLUMN($E$1),FALSE)/(LEN(VLOOKUP($D280,素材!$1:$1016,COLUMN($F$1),FALSE)) - LEN(SUBSTITUTE(VLOOKUP($D280,素材!$1:$1016,COLUMN($F$1),FALSE), "・", 0)) + 1), 0)</f>
        <v>0</v>
      </c>
      <c r="AJ280">
        <f>IF(ISNUMBER(SEARCH(SUBSTITUTE(AJ$1,RIGHT(AJ$1,2),""),VLOOKUP($D280,素材!$1:$1016,COLUMN($F$1),FALSE))),VLOOKUP($C280,武器!$1:$998,COLUMN($O$1),FALSE)*VLOOKUP($D280,素材!$1:$1016,COLUMN($E$1),FALSE)/(LEN(VLOOKUP($D280,素材!$1:$1016,COLUMN($F$1),FALSE)) - LEN(SUBSTITUTE(VLOOKUP($D280,素材!$1:$1016,COLUMN($F$1),FALSE), "・", 0)) + 1), 0)</f>
        <v>0</v>
      </c>
      <c r="AK280">
        <f>IF(ISNUMBER(SEARCH(SUBSTITUTE(AK$1,RIGHT(AK$1,2),""),VLOOKUP($D280,素材!$1:$1016,COLUMN($F$1),FALSE))),VLOOKUP($C280,武器!$1:$998,COLUMN($O$1),FALSE)*VLOOKUP($D280,素材!$1:$1016,COLUMN($E$1),FALSE)/(LEN(VLOOKUP($D280,素材!$1:$1016,COLUMN($F$1),FALSE)) - LEN(SUBSTITUTE(VLOOKUP($D280,素材!$1:$1016,COLUMN($F$1),FALSE), "・", 0)) + 1), 0)</f>
        <v>0</v>
      </c>
      <c r="AL280">
        <f>IF(ISNUMBER(SEARCH(SUBSTITUTE(AL$1,RIGHT(AL$1,2),""),VLOOKUP($D280,素材!$1:$1016,COLUMN($F$1),FALSE))),VLOOKUP($C280,武器!$1:$998,COLUMN($O$1),FALSE)*VLOOKUP($D280,素材!$1:$1016,COLUMN($E$1),FALSE)/(LEN(VLOOKUP($D280,素材!$1:$1016,COLUMN($F$1),FALSE)) - LEN(SUBSTITUTE(VLOOKUP($D280,素材!$1:$1016,COLUMN($F$1),FALSE), "・", 0)) + 1), 0)</f>
        <v>0</v>
      </c>
      <c r="AM280">
        <f>IF(ISNUMBER(SEARCH(SUBSTITUTE(AM$1,RIGHT(AM$1,2),""),VLOOKUP($D280,素材!$1:$1016,COLUMN($F$1),FALSE))),VLOOKUP($C280,武器!$1:$998,COLUMN($O$1),FALSE)*VLOOKUP($D280,素材!$1:$1016,COLUMN($E$1),FALSE)/(LEN(VLOOKUP($D280,素材!$1:$1016,COLUMN($F$1),FALSE)) - LEN(SUBSTITUTE(VLOOKUP($D280,素材!$1:$1016,COLUMN($F$1),FALSE), "・", 0)) + 1), 0)</f>
        <v>0</v>
      </c>
      <c r="AN280">
        <f>IF(ISNUMBER(SEARCH(SUBSTITUTE(AN$1,RIGHT(AN$1,2),""),VLOOKUP($D280,素材!$1:$1016,COLUMN($F$1),FALSE))),VLOOKUP($C280,武器!$1:$998,COLUMN($O$1),FALSE)*VLOOKUP($D280,素材!$1:$1016,COLUMN($E$1),FALSE)/(LEN(VLOOKUP($D280,素材!$1:$1016,COLUMN($F$1),FALSE)) - LEN(SUBSTITUTE(VLOOKUP($D280,素材!$1:$1016,COLUMN($F$1),FALSE), "・", 0)) + 1), 0)</f>
        <v>0</v>
      </c>
      <c r="AO280">
        <f>IF(ISNUMBER(SEARCH(SUBSTITUTE(AO$1,RIGHT(AO$1,2),""),VLOOKUP($D280,素材!$1:$1016,COLUMN($F$1),FALSE))),VLOOKUP($C280,武器!$1:$998,COLUMN($O$1),FALSE)*VLOOKUP($D280,素材!$1:$1016,COLUMN($E$1),FALSE)/(LEN(VLOOKUP($D280,素材!$1:$1016,COLUMN($F$1),FALSE)) - LEN(SUBSTITUTE(VLOOKUP($D280,素材!$1:$1016,COLUMN($F$1),FALSE), "・", 0)) + 1), 0)</f>
        <v>0</v>
      </c>
      <c r="AP280">
        <f>IF(ISNUMBER(SEARCH(SUBSTITUTE(AP$1,RIGHT(AP$1,2),""),VLOOKUP($D280,素材!$1:$1016,COLUMN($F$1),FALSE))),VLOOKUP($C280,武器!$1:$998,COLUMN($O$1),FALSE)*VLOOKUP($D280,素材!$1:$1016,COLUMN($E$1),FALSE)/(LEN(VLOOKUP($D280,素材!$1:$1016,COLUMN($F$1),FALSE)) - LEN(SUBSTITUTE(VLOOKUP($D280,素材!$1:$1016,COLUMN($F$1),FALSE), "・", 0)) + 1), 0)</f>
        <v>0</v>
      </c>
      <c r="AQ280">
        <f>IF(ISNUMBER(SEARCH(SUBSTITUTE(AQ$1,RIGHT(AQ$1,2),""),VLOOKUP($D280,素材!$1:$1016,COLUMN($F$1),FALSE))),VLOOKUP($C280,武器!$1:$998,COLUMN($O$1),FALSE)*VLOOKUP($D280,素材!$1:$1016,COLUMN($E$1),FALSE)/(LEN(VLOOKUP($D280,素材!$1:$1016,COLUMN($F$1),FALSE)) - LEN(SUBSTITUTE(VLOOKUP($D280,素材!$1:$1016,COLUMN($F$1),FALSE), "・", 0)) + 1), 0)</f>
        <v>0</v>
      </c>
      <c r="AR280">
        <f>IF(ISNUMBER(SEARCH(SUBSTITUTE(AR$1,RIGHT(AR$1,2),""),VLOOKUP($D280,素材!$1:$1016,COLUMN($F$1),FALSE))),VLOOKUP($C280,武器!$1:$998,COLUMN($O$1),FALSE)*VLOOKUP($D280,素材!$1:$1016,COLUMN($E$1),FALSE)/(LEN(VLOOKUP($D280,素材!$1:$1016,COLUMN($F$1),FALSE)) - LEN(SUBSTITUTE(VLOOKUP($D280,素材!$1:$1016,COLUMN($F$1),FALSE), "・", 0)) + 1), 0)</f>
        <v>0</v>
      </c>
      <c r="AS280">
        <f>IF(ISNUMBER(SEARCH(SUBSTITUTE(AS$1,RIGHT(AS$1,2),""),VLOOKUP($D280,素材!$1:$1016,COLUMN($F$1),FALSE))),VLOOKUP($C280,武器!$1:$998,COLUMN($O$1),FALSE)*VLOOKUP($D280,素材!$1:$1016,COLUMN($E$1),FALSE)/(LEN(VLOOKUP($D280,素材!$1:$1016,COLUMN($F$1),FALSE)) - LEN(SUBSTITUTE(VLOOKUP($D280,素材!$1:$1016,COLUMN($F$1),FALSE), "・", 0)) + 1), 0)</f>
        <v>0</v>
      </c>
      <c r="AT280">
        <f>IF(ISNUMBER(SEARCH(SUBSTITUTE(AT$1,RIGHT(AT$1,2),""),VLOOKUP($D280,素材!$1:$1016,COLUMN($F$1),FALSE))),VLOOKUP($C280,武器!$1:$998,COLUMN($O$1),FALSE)*VLOOKUP($D280,素材!$1:$1016,COLUMN($E$1),FALSE)/(LEN(VLOOKUP($D280,素材!$1:$1016,COLUMN($F$1),FALSE)) - LEN(SUBSTITUTE(VLOOKUP($D280,素材!$1:$1016,COLUMN($F$1),FALSE), "・", 0)) + 1), 0)</f>
        <v>0</v>
      </c>
      <c r="AU280">
        <f>IF(ISNUMBER(SEARCH(SUBSTITUTE(AU$1,RIGHT(AU$1,2),""),VLOOKUP($D280,素材!$1:$1016,COLUMN($F$1),FALSE))),VLOOKUP($C280,武器!$1:$998,COLUMN($O$1),FALSE)*VLOOKUP($D280,素材!$1:$1016,COLUMN($E$1),FALSE)/(LEN(VLOOKUP($D280,素材!$1:$1016,COLUMN($F$1),FALSE)) - LEN(SUBSTITUTE(VLOOKUP($D280,素材!$1:$1016,COLUMN($F$1),FALSE), "・", 0)) + 1), 0)</f>
        <v>0</v>
      </c>
      <c r="AV280">
        <f>IF(ISNUMBER(SEARCH(SUBSTITUTE(AV$1,RIGHT(AV$1,2),""),VLOOKUP($D280,素材!$1:$1016,COLUMN($F$1),FALSE))),VLOOKUP($C280,武器!$1:$998,COLUMN($O$1),FALSE)*VLOOKUP($D280,素材!$1:$1016,COLUMN($E$1),FALSE)/(LEN(VLOOKUP($D280,素材!$1:$1016,COLUMN($F$1),FALSE)) - LEN(SUBSTITUTE(VLOOKUP($D280,素材!$1:$1016,COLUMN($F$1),FALSE), "・", 0)) + 1), 0)</f>
        <v>0</v>
      </c>
      <c r="AW280">
        <f>IF(ISNUMBER(SEARCH(SUBSTITUTE(AW$1,RIGHT(AW$1,2),""),VLOOKUP($D280,素材!$1:$1016,COLUMN($F$1),FALSE))),VLOOKUP($C280,武器!$1:$998,COLUMN($O$1),FALSE)*VLOOKUP($D280,素材!$1:$1016,COLUMN($E$1),FALSE)/(LEN(VLOOKUP($D280,素材!$1:$1016,COLUMN($F$1),FALSE)) - LEN(SUBSTITUTE(VLOOKUP($D280,素材!$1:$1016,COLUMN($F$1),FALSE), "・", 0)) + 1), 0)</f>
        <v>0</v>
      </c>
      <c r="AX280">
        <f>IF(ISNUMBER(SEARCH(SUBSTITUTE(AX$1,RIGHT(AX$1,2),""),VLOOKUP($D280,素材!$1:$1016,COLUMN($F$1),FALSE))),VLOOKUP($C280,武器!$1:$998,COLUMN($O$1),FALSE)*VLOOKUP($D280,素材!$1:$1016,COLUMN($E$1),FALSE)/(LEN(VLOOKUP($D280,素材!$1:$1016,COLUMN($F$1),FALSE)) - LEN(SUBSTITUTE(VLOOKUP($D280,素材!$1:$1016,COLUMN($F$1),FALSE), "・", 0)) + 1), 0)</f>
        <v>0</v>
      </c>
      <c r="AY280">
        <f>IF(ISNUMBER(SEARCH(SUBSTITUTE(AY$1,RIGHT(AY$1,2),""),VLOOKUP($D280,素材!$1:$1016,COLUMN($F$1),FALSE))),VLOOKUP($C280,武器!$1:$998,COLUMN($O$1),FALSE)*VLOOKUP($D280,素材!$1:$1016,COLUMN($E$1),FALSE)/(LEN(VLOOKUP($D280,素材!$1:$1016,COLUMN($F$1),FALSE)) - LEN(SUBSTITUTE(VLOOKUP($D280,素材!$1:$1016,COLUMN($F$1),FALSE), "・", 0)) + 1), 0)</f>
        <v>0</v>
      </c>
      <c r="AZ280">
        <f>IF(ISNUMBER(SEARCH(SUBSTITUTE(AZ$1,RIGHT(AZ$1,2),""),VLOOKUP($D280,素材!$1:$1016,COLUMN($F$1),FALSE))),VLOOKUP($C280,武器!$1:$998,COLUMN($O$1),FALSE)*VLOOKUP($D280,素材!$1:$1016,COLUMN($E$1),FALSE)/(LEN(VLOOKUP($D280,素材!$1:$1016,COLUMN($F$1),FALSE)) - LEN(SUBSTITUTE(VLOOKUP($D280,素材!$1:$1016,COLUMN($F$1),FALSE), "・", 0)) + 1), 0)</f>
        <v>0</v>
      </c>
      <c r="BA280">
        <f>IF(ISNUMBER(SEARCH(SUBSTITUTE(BA$1,RIGHT(BA$1,2),""),VLOOKUP($D280,素材!$1:$1016,COLUMN($F$1),FALSE))),VLOOKUP($C280,武器!$1:$998,COLUMN($O$1),FALSE)*VLOOKUP($D280,素材!$1:$1016,COLUMN($E$1),FALSE)/(LEN(VLOOKUP($D280,素材!$1:$1016,COLUMN($F$1),FALSE)) - LEN(SUBSTITUTE(VLOOKUP($D280,素材!$1:$1016,COLUMN($F$1),FALSE), "・", 0)) + 1), 0)</f>
        <v>0</v>
      </c>
      <c r="BB280">
        <f>IF(ISNUMBER(SEARCH(SUBSTITUTE(BB$1,RIGHT(BB$1,2),""),VLOOKUP($D280,素材!$1:$1016,COLUMN($F$1),FALSE))),VLOOKUP($C280,武器!$1:$998,COLUMN($O$1),FALSE)*VLOOKUP($D280,素材!$1:$1016,COLUMN($E$1),FALSE)/(LEN(VLOOKUP($D280,素材!$1:$1016,COLUMN($F$1),FALSE)) - LEN(SUBSTITUTE(VLOOKUP($D280,素材!$1:$1016,COLUMN($F$1),FALSE), "・", 0)) + 1), 0)</f>
        <v>0</v>
      </c>
      <c r="BC280">
        <f>IF(ISNUMBER(SEARCH(SUBSTITUTE(BC$1,RIGHT(BC$1,2),""),VLOOKUP($D280,素材!$1:$1016,COLUMN($F$1),FALSE))),VLOOKUP($C280,武器!$1:$998,COLUMN($O$1),FALSE)*VLOOKUP($D280,素材!$1:$1016,COLUMN($E$1),FALSE)/(LEN(VLOOKUP($D280,素材!$1:$1016,COLUMN($F$1),FALSE)) - LEN(SUBSTITUTE(VLOOKUP($D280,素材!$1:$1016,COLUMN($F$1),FALSE), "・", 0)) + 1), 0)</f>
        <v>0</v>
      </c>
      <c r="BD280">
        <f>IF(ISNUMBER(SEARCH(SUBSTITUTE(BD$1,RIGHT(BD$1,2),""),VLOOKUP($D280,素材!$1:$1016,COLUMN($F$1),FALSE))),VLOOKUP($C280,武器!$1:$998,COLUMN($O$1),FALSE)*VLOOKUP($D280,素材!$1:$1016,COLUMN($E$1),FALSE)/(LEN(VLOOKUP($D280,素材!$1:$1016,COLUMN($F$1),FALSE)) - LEN(SUBSTITUTE(VLOOKUP($D280,素材!$1:$1016,COLUMN($F$1),FALSE), "・", 0)) + 1), 0)</f>
        <v>0</v>
      </c>
      <c r="BE280">
        <f>IF(ISNUMBER(SEARCH(SUBSTITUTE(BE$1,RIGHT(BE$1,2),""),VLOOKUP($D280,素材!$1:$1016,COLUMN($F$1),FALSE))),VLOOKUP($C280,武器!$1:$998,COLUMN($O$1),FALSE)*VLOOKUP($D280,素材!$1:$1016,COLUMN($E$1),FALSE)/(LEN(VLOOKUP($D280,素材!$1:$1016,COLUMN($F$1),FALSE)) - LEN(SUBSTITUTE(VLOOKUP($D280,素材!$1:$1016,COLUMN($F$1),FALSE), "・", 0)) + 1), 0)</f>
        <v>0</v>
      </c>
      <c r="CL280">
        <f>SUM(G280:I280)</f>
        <v>0</v>
      </c>
      <c r="CM280" s="22" t="str">
        <f>IF(E280="武器",IF(J280-1&gt;SUM(G280:I280),"盾",IF(MAX(G280:I280)=G280,"切断",IF(MAX(G280:I280)=H280,"貫通",IF(MAX(G280:I280)=I280,"打撃","射撃")))),E280)&amp;".webp"</f>
        <v>装飾.webp</v>
      </c>
      <c r="CN280">
        <f>IFERROR(VLOOKUP($C280,武器!$1:$998,COLUMN(V$1),FALSE)*VLOOKUP($D280,素材!$1:$1016,COLUMN(N$1),FALSE)+IF(CI280="",0,VLOOKUP($CI280,装強!$1:$1008,COLUMN($CK$1),FALSE)),"")</f>
        <v>1500</v>
      </c>
      <c r="CO280" t="str">
        <f>VLOOKUP(D280,素材!$A:$O,COLUMN(素材!O$1),FALSE)</f>
        <v>魔力を帯びた特殊な皮素材。魔法防御や属性耐性を強化する効果があり、高レベルの冒険者に重宝されます。</v>
      </c>
      <c r="CP280" t="str">
        <f>VLOOKUP(C280,武器!$A:$W,COLUMN(武器!W$1),FALSE)</f>
        <v xml:space="preserve">防御 隠密 </v>
      </c>
      <c r="CR280" t="str">
        <f t="shared" si="33"/>
        <v>e_280</v>
      </c>
      <c r="CS280">
        <f t="shared" si="34"/>
        <v>150000</v>
      </c>
    </row>
    <row r="281" spans="1:97" hidden="1" outlineLevel="1" x14ac:dyDescent="0.4">
      <c r="A281" t="str">
        <f>IF(CI281="",D281&amp;"の"&amp;C281,CI281&amp;"の"&amp;C281)</f>
        <v>魔獣皮の外套</v>
      </c>
      <c r="B281" t="str">
        <f>IFERROR(IF(CI281="",VLOOKUP($D281,素材!$1:$1016,COLUMN($B$1),FALSE)&amp;"・"&amp;VLOOKUP($C281,武器!$1:$998,COLUMN(B$1),FALSE),VLOOKUP($CI281,装強!$1:$1008,COLUMN($B$1),FALSE)&amp;"・"&amp;VLOOKUP($C281,武器!$1:$998,COLUMN(B$1),FALSE)),"")</f>
        <v>マジックレザー・マント</v>
      </c>
      <c r="C281" s="24" t="s">
        <v>203</v>
      </c>
      <c r="D281" s="24" t="s">
        <v>202</v>
      </c>
      <c r="E281" t="str">
        <f>IFERROR(VLOOKUP(C281,武器!$1:$998,COLUMN(C$1),FALSE),"")</f>
        <v>装飾</v>
      </c>
      <c r="F281">
        <f>IFERROR(ROUNDDOWN((VLOOKUP($C281,武器!$1:$998,COLUMN(D$1),FALSE)+IFERROR(VLOOKUP($CI281,装強!$1:$999,COLUMN(F$1),FALSE),0))*VLOOKUP($D281,素材!$1:$1016,COLUMN(D$1),FALSE),0),"")</f>
        <v>0</v>
      </c>
      <c r="G281">
        <f>IFERROR(ROUNDDOWN((VLOOKUP($C281,武器!$1:$998,COLUMN(E$1),FALSE)+IFERROR(VLOOKUP($CI281,装強!$1:$999,COLUMN(G$1),FALSE),0))*VLOOKUP($D281,素材!$1:$1016,COLUMN($E$1),FALSE),0),"")</f>
        <v>0</v>
      </c>
      <c r="H281">
        <f>IFERROR(ROUNDDOWN((VLOOKUP($C281,武器!$1:$998,COLUMN(F$1),FALSE)+IFERROR(VLOOKUP($CI281,装強!$1:$999,COLUMN(H$1),FALSE),0))*VLOOKUP($D281,素材!$1:$1016,COLUMN($E$1),FALSE),0),"")</f>
        <v>0</v>
      </c>
      <c r="I281">
        <f>IFERROR(ROUNDDOWN((VLOOKUP($C281,武器!$1:$998,COLUMN(G$1),FALSE)+IFERROR(VLOOKUP($CI281,装強!$1:$999,COLUMN(I$1),FALSE),0))*VLOOKUP($D281,素材!$1:$1016,COLUMN($E$1),FALSE),0),"")</f>
        <v>0</v>
      </c>
      <c r="J281">
        <f>IFERROR(ROUNDDOWN((VLOOKUP($C281,武器!$1:$998,COLUMN(H$1),FALSE)+IFERROR(VLOOKUP($CI281,装強!$1:$999,COLUMN(J$1),FALSE),0))*VLOOKUP($D281,素材!$1:$1016,COLUMN($E$1),FALSE),0),"")</f>
        <v>0</v>
      </c>
      <c r="K281">
        <f>IFERROR(ROUNDDOWN((VLOOKUP($C281,武器!$1:$998,COLUMN(I$1),FALSE)+IFERROR(VLOOKUP($CI281,装強!$1:$999,COLUMN(K$1),FALSE),0))*VLOOKUP($D281,素材!$1:$1016,COLUMN($E$1),FALSE),0),"")</f>
        <v>0</v>
      </c>
      <c r="L281" t="str">
        <f>IFERROR(VLOOKUP($D281,素材!$1:$1016,COLUMN($F$1),FALSE),"")</f>
        <v>魔法</v>
      </c>
      <c r="M281" t="str">
        <f>IFERROR(VLOOKUP($C281,武器!$1:$998,COLUMN(AA$1),FALSE)*VLOOKUP($D281,素材!$1:$1016,COLUMN($G$1),FALSE),"")</f>
        <v/>
      </c>
      <c r="N281">
        <f>IFERROR(VLOOKUP($C281,武器!$1:$998,COLUMN(I$1),FALSE),"")</f>
        <v>0</v>
      </c>
      <c r="O281" s="23" t="str">
        <f>IFERROR((VLOOKUP($C281,武器!$1:$998,COLUMN(K$1),FALSE)+VLOOKUP($D281,素材!$1:$1016,COLUMN(H$1),FALSE))*100+IFERROR(VLOOKUP($CI281,装強!$1:$999,COLUMN(O$1),FALSE),0),"")</f>
        <v/>
      </c>
      <c r="P281" s="23" t="str">
        <f>IFERROR((VLOOKUP($C281,武器!$1:$998,COLUMN(L$1),FALSE)+VLOOKUP($D281,素材!$1:$1016,COLUMN(I$1),FALSE))*100+IFERROR(VLOOKUP($CI281,装強!$1:$999,COLUMN(P$1),FALSE),0),"")</f>
        <v/>
      </c>
      <c r="Q281">
        <f>IFERROR(ROUNDUP(VLOOKUP($C281,武器!$1:$998,COLUMN(M$1),FALSE)*(VLOOKUP($D281,素材!$1:$1002,COLUMN(D$1),FALSE)/100),1),"")</f>
        <v>0</v>
      </c>
      <c r="R281">
        <f>IFERROR(ROUNDUP(VLOOKUP($C281,武器!$1:$998,COLUMN(N$1),FALSE)*(VLOOKUP($D281,素材!$1:$1002,COLUMN(D$1),FALSE)/100),1),"")</f>
        <v>0</v>
      </c>
      <c r="S281">
        <f>IFERROR(VLOOKUP($C281,武器!$1:$998,COLUMN(P$1),FALSE),"")</f>
        <v>0</v>
      </c>
      <c r="T281">
        <f>IFERROR(VLOOKUP($C281,武器!$1:$998,COLUMN(Q$1),FALSE),"")</f>
        <v>0</v>
      </c>
      <c r="U281">
        <f>IFERROR(VLOOKUP($C281,武器!$1:$998,COLUMN(R$1),FALSE),"")</f>
        <v>0</v>
      </c>
      <c r="V281">
        <f>IFERROR(VLOOKUP($C281,武器!$1:$998,COLUMN(Q$1),FALSE),"")</f>
        <v>0</v>
      </c>
      <c r="W281">
        <f>IFERROR(VLOOKUP($C281,武器!$1:$998,COLUMN(T$1),FALSE),"")</f>
        <v>0</v>
      </c>
      <c r="Y281">
        <f>IFERROR(VLOOKUP($C281,武器!$1:$998,COLUMN(U$1),FALSE),"")</f>
        <v>0</v>
      </c>
      <c r="Z281">
        <f>IFERROR(ROUNDUP(VLOOKUP($C281,武器!$1:$998,COLUMN(O$1),FALSE)*VLOOKUP($D281,素材!$1:$1016,COLUMN(E$1),FALSE),1),"")</f>
        <v>0</v>
      </c>
      <c r="AA281">
        <f>IF(ISNUMBER(SEARCH(SUBSTITUTE(AA$1,RIGHT(AA$1,2),""),VLOOKUP($D281,素材!$1:$1016,COLUMN($F$1),FALSE))),VLOOKUP($C281,武器!$1:$998,COLUMN($O$1),FALSE)*VLOOKUP($D281,素材!$1:$1016,COLUMN($E$1),FALSE)/(LEN(VLOOKUP($D281,素材!$1:$1016,COLUMN($F$1),FALSE)) - LEN(SUBSTITUTE(VLOOKUP($D281,素材!$1:$1016,COLUMN($F$1),FALSE), "・", 0)) + 1), 0)</f>
        <v>0</v>
      </c>
      <c r="AB281">
        <f>IF(ISNUMBER(SEARCH(SUBSTITUTE(AB$1,RIGHT(AB$1,2),""),VLOOKUP($D281,素材!$1:$1016,COLUMN($F$1),FALSE))),VLOOKUP($C281,武器!$1:$998,COLUMN($O$1),FALSE)*VLOOKUP($D281,素材!$1:$1016,COLUMN($E$1),FALSE)/(LEN(VLOOKUP($D281,素材!$1:$1016,COLUMN($F$1),FALSE)) - LEN(SUBSTITUTE(VLOOKUP($D281,素材!$1:$1016,COLUMN($F$1),FALSE), "・", 0)) + 1), 0)</f>
        <v>0</v>
      </c>
      <c r="AC281">
        <f>IF(ISNUMBER(SEARCH(SUBSTITUTE(AC$1,RIGHT(AC$1,2),""),VLOOKUP($D281,素材!$1:$1016,COLUMN($F$1),FALSE))),VLOOKUP($C281,武器!$1:$998,COLUMN($O$1),FALSE)*VLOOKUP($D281,素材!$1:$1016,COLUMN($E$1),FALSE)/(LEN(VLOOKUP($D281,素材!$1:$1016,COLUMN($F$1),FALSE)) - LEN(SUBSTITUTE(VLOOKUP($D281,素材!$1:$1016,COLUMN($F$1),FALSE), "・", 0)) + 1), 0)</f>
        <v>0</v>
      </c>
      <c r="AD281">
        <f>IF(ISNUMBER(SEARCH(SUBSTITUTE(AD$1,RIGHT(AD$1,2),""),VLOOKUP($D281,素材!$1:$1016,COLUMN($F$1),FALSE))),VLOOKUP($C281,武器!$1:$998,COLUMN($O$1),FALSE)*VLOOKUP($D281,素材!$1:$1016,COLUMN($E$1),FALSE)/(LEN(VLOOKUP($D281,素材!$1:$1016,COLUMN($F$1),FALSE)) - LEN(SUBSTITUTE(VLOOKUP($D281,素材!$1:$1016,COLUMN($F$1),FALSE), "・", 0)) + 1), 0)</f>
        <v>0</v>
      </c>
      <c r="AE281">
        <f>IF(ISNUMBER(SEARCH(SUBSTITUTE(AE$1,RIGHT(AE$1,2),""),VLOOKUP($D281,素材!$1:$1016,COLUMN($F$1),FALSE))),VLOOKUP($C281,武器!$1:$998,COLUMN($O$1),FALSE)*VLOOKUP($D281,素材!$1:$1016,COLUMN($E$1),FALSE)/(LEN(VLOOKUP($D281,素材!$1:$1016,COLUMN($F$1),FALSE)) - LEN(SUBSTITUTE(VLOOKUP($D281,素材!$1:$1016,COLUMN($F$1),FALSE), "・", 0)) + 1), 0)</f>
        <v>0</v>
      </c>
      <c r="AF281">
        <f>IF(ISNUMBER(SEARCH(SUBSTITUTE(AF$1,RIGHT(AF$1,2),""),VLOOKUP($D281,素材!$1:$1016,COLUMN($F$1),FALSE))),VLOOKUP($C281,武器!$1:$998,COLUMN($O$1),FALSE)*VLOOKUP($D281,素材!$1:$1016,COLUMN($E$1),FALSE)/(LEN(VLOOKUP($D281,素材!$1:$1016,COLUMN($F$1),FALSE)) - LEN(SUBSTITUTE(VLOOKUP($D281,素材!$1:$1016,COLUMN($F$1),FALSE), "・", 0)) + 1), 0)</f>
        <v>0</v>
      </c>
      <c r="AG281">
        <f>IF(ISNUMBER(SEARCH(SUBSTITUTE(AG$1,RIGHT(AG$1,2),""),VLOOKUP($D281,素材!$1:$1016,COLUMN($F$1),FALSE))),VLOOKUP($C281,武器!$1:$998,COLUMN($O$1),FALSE)*VLOOKUP($D281,素材!$1:$1016,COLUMN($E$1),FALSE)/(LEN(VLOOKUP($D281,素材!$1:$1016,COLUMN($F$1),FALSE)) - LEN(SUBSTITUTE(VLOOKUP($D281,素材!$1:$1016,COLUMN($F$1),FALSE), "・", 0)) + 1), 0)</f>
        <v>0</v>
      </c>
      <c r="AH281">
        <f>IF(ISNUMBER(SEARCH(SUBSTITUTE(AH$1,RIGHT(AH$1,2),""),VLOOKUP($D281,素材!$1:$1016,COLUMN($F$1),FALSE))),VLOOKUP($C281,武器!$1:$998,COLUMN($O$1),FALSE)*VLOOKUP($D281,素材!$1:$1016,COLUMN($E$1),FALSE)/(LEN(VLOOKUP($D281,素材!$1:$1016,COLUMN($F$1),FALSE)) - LEN(SUBSTITUTE(VLOOKUP($D281,素材!$1:$1016,COLUMN($F$1),FALSE), "・", 0)) + 1), 0)</f>
        <v>0</v>
      </c>
      <c r="AI281">
        <f>IF(ISNUMBER(SEARCH(SUBSTITUTE(AI$1,RIGHT(AI$1,2),""),VLOOKUP($D281,素材!$1:$1016,COLUMN($F$1),FALSE))),VLOOKUP($C281,武器!$1:$998,COLUMN($O$1),FALSE)*VLOOKUP($D281,素材!$1:$1016,COLUMN($E$1),FALSE)/(LEN(VLOOKUP($D281,素材!$1:$1016,COLUMN($F$1),FALSE)) - LEN(SUBSTITUTE(VLOOKUP($D281,素材!$1:$1016,COLUMN($F$1),FALSE), "・", 0)) + 1), 0)</f>
        <v>0</v>
      </c>
      <c r="AJ281">
        <f>IF(ISNUMBER(SEARCH(SUBSTITUTE(AJ$1,RIGHT(AJ$1,2),""),VLOOKUP($D281,素材!$1:$1016,COLUMN($F$1),FALSE))),VLOOKUP($C281,武器!$1:$998,COLUMN($O$1),FALSE)*VLOOKUP($D281,素材!$1:$1016,COLUMN($E$1),FALSE)/(LEN(VLOOKUP($D281,素材!$1:$1016,COLUMN($F$1),FALSE)) - LEN(SUBSTITUTE(VLOOKUP($D281,素材!$1:$1016,COLUMN($F$1),FALSE), "・", 0)) + 1), 0)</f>
        <v>0</v>
      </c>
      <c r="AK281">
        <f>IF(ISNUMBER(SEARCH(SUBSTITUTE(AK$1,RIGHT(AK$1,2),""),VLOOKUP($D281,素材!$1:$1016,COLUMN($F$1),FALSE))),VLOOKUP($C281,武器!$1:$998,COLUMN($O$1),FALSE)*VLOOKUP($D281,素材!$1:$1016,COLUMN($E$1),FALSE)/(LEN(VLOOKUP($D281,素材!$1:$1016,COLUMN($F$1),FALSE)) - LEN(SUBSTITUTE(VLOOKUP($D281,素材!$1:$1016,COLUMN($F$1),FALSE), "・", 0)) + 1), 0)</f>
        <v>0</v>
      </c>
      <c r="AL281">
        <f>IF(ISNUMBER(SEARCH(SUBSTITUTE(AL$1,RIGHT(AL$1,2),""),VLOOKUP($D281,素材!$1:$1016,COLUMN($F$1),FALSE))),VLOOKUP($C281,武器!$1:$998,COLUMN($O$1),FALSE)*VLOOKUP($D281,素材!$1:$1016,COLUMN($E$1),FALSE)/(LEN(VLOOKUP($D281,素材!$1:$1016,COLUMN($F$1),FALSE)) - LEN(SUBSTITUTE(VLOOKUP($D281,素材!$1:$1016,COLUMN($F$1),FALSE), "・", 0)) + 1), 0)</f>
        <v>0</v>
      </c>
      <c r="AM281">
        <f>IF(ISNUMBER(SEARCH(SUBSTITUTE(AM$1,RIGHT(AM$1,2),""),VLOOKUP($D281,素材!$1:$1016,COLUMN($F$1),FALSE))),VLOOKUP($C281,武器!$1:$998,COLUMN($O$1),FALSE)*VLOOKUP($D281,素材!$1:$1016,COLUMN($E$1),FALSE)/(LEN(VLOOKUP($D281,素材!$1:$1016,COLUMN($F$1),FALSE)) - LEN(SUBSTITUTE(VLOOKUP($D281,素材!$1:$1016,COLUMN($F$1),FALSE), "・", 0)) + 1), 0)</f>
        <v>0</v>
      </c>
      <c r="AN281">
        <f>IF(ISNUMBER(SEARCH(SUBSTITUTE(AN$1,RIGHT(AN$1,2),""),VLOOKUP($D281,素材!$1:$1016,COLUMN($F$1),FALSE))),VLOOKUP($C281,武器!$1:$998,COLUMN($O$1),FALSE)*VLOOKUP($D281,素材!$1:$1016,COLUMN($E$1),FALSE)/(LEN(VLOOKUP($D281,素材!$1:$1016,COLUMN($F$1),FALSE)) - LEN(SUBSTITUTE(VLOOKUP($D281,素材!$1:$1016,COLUMN($F$1),FALSE), "・", 0)) + 1), 0)</f>
        <v>0</v>
      </c>
      <c r="AO281">
        <f>IF(ISNUMBER(SEARCH(SUBSTITUTE(AO$1,RIGHT(AO$1,2),""),VLOOKUP($D281,素材!$1:$1016,COLUMN($F$1),FALSE))),VLOOKUP($C281,武器!$1:$998,COLUMN($O$1),FALSE)*VLOOKUP($D281,素材!$1:$1016,COLUMN($E$1),FALSE)/(LEN(VLOOKUP($D281,素材!$1:$1016,COLUMN($F$1),FALSE)) - LEN(SUBSTITUTE(VLOOKUP($D281,素材!$1:$1016,COLUMN($F$1),FALSE), "・", 0)) + 1), 0)</f>
        <v>0</v>
      </c>
      <c r="AP281">
        <f>IF(ISNUMBER(SEARCH(SUBSTITUTE(AP$1,RIGHT(AP$1,2),""),VLOOKUP($D281,素材!$1:$1016,COLUMN($F$1),FALSE))),VLOOKUP($C281,武器!$1:$998,COLUMN($O$1),FALSE)*VLOOKUP($D281,素材!$1:$1016,COLUMN($E$1),FALSE)/(LEN(VLOOKUP($D281,素材!$1:$1016,COLUMN($F$1),FALSE)) - LEN(SUBSTITUTE(VLOOKUP($D281,素材!$1:$1016,COLUMN($F$1),FALSE), "・", 0)) + 1), 0)</f>
        <v>0</v>
      </c>
      <c r="AQ281">
        <f>IF(ISNUMBER(SEARCH(SUBSTITUTE(AQ$1,RIGHT(AQ$1,2),""),VLOOKUP($D281,素材!$1:$1016,COLUMN($F$1),FALSE))),VLOOKUP($C281,武器!$1:$998,COLUMN($O$1),FALSE)*VLOOKUP($D281,素材!$1:$1016,COLUMN($E$1),FALSE)/(LEN(VLOOKUP($D281,素材!$1:$1016,COLUMN($F$1),FALSE)) - LEN(SUBSTITUTE(VLOOKUP($D281,素材!$1:$1016,COLUMN($F$1),FALSE), "・", 0)) + 1), 0)</f>
        <v>0</v>
      </c>
      <c r="AR281">
        <f>IF(ISNUMBER(SEARCH(SUBSTITUTE(AR$1,RIGHT(AR$1,2),""),VLOOKUP($D281,素材!$1:$1016,COLUMN($F$1),FALSE))),VLOOKUP($C281,武器!$1:$998,COLUMN($O$1),FALSE)*VLOOKUP($D281,素材!$1:$1016,COLUMN($E$1),FALSE)/(LEN(VLOOKUP($D281,素材!$1:$1016,COLUMN($F$1),FALSE)) - LEN(SUBSTITUTE(VLOOKUP($D281,素材!$1:$1016,COLUMN($F$1),FALSE), "・", 0)) + 1), 0)</f>
        <v>0</v>
      </c>
      <c r="AS281">
        <f>IF(ISNUMBER(SEARCH(SUBSTITUTE(AS$1,RIGHT(AS$1,2),""),VLOOKUP($D281,素材!$1:$1016,COLUMN($F$1),FALSE))),VLOOKUP($C281,武器!$1:$998,COLUMN($O$1),FALSE)*VLOOKUP($D281,素材!$1:$1016,COLUMN($E$1),FALSE)/(LEN(VLOOKUP($D281,素材!$1:$1016,COLUMN($F$1),FALSE)) - LEN(SUBSTITUTE(VLOOKUP($D281,素材!$1:$1016,COLUMN($F$1),FALSE), "・", 0)) + 1), 0)</f>
        <v>0</v>
      </c>
      <c r="AT281">
        <f>IF(ISNUMBER(SEARCH(SUBSTITUTE(AT$1,RIGHT(AT$1,2),""),VLOOKUP($D281,素材!$1:$1016,COLUMN($F$1),FALSE))),VLOOKUP($C281,武器!$1:$998,COLUMN($O$1),FALSE)*VLOOKUP($D281,素材!$1:$1016,COLUMN($E$1),FALSE)/(LEN(VLOOKUP($D281,素材!$1:$1016,COLUMN($F$1),FALSE)) - LEN(SUBSTITUTE(VLOOKUP($D281,素材!$1:$1016,COLUMN($F$1),FALSE), "・", 0)) + 1), 0)</f>
        <v>0</v>
      </c>
      <c r="AU281">
        <f>IF(ISNUMBER(SEARCH(SUBSTITUTE(AU$1,RIGHT(AU$1,2),""),VLOOKUP($D281,素材!$1:$1016,COLUMN($F$1),FALSE))),VLOOKUP($C281,武器!$1:$998,COLUMN($O$1),FALSE)*VLOOKUP($D281,素材!$1:$1016,COLUMN($E$1),FALSE)/(LEN(VLOOKUP($D281,素材!$1:$1016,COLUMN($F$1),FALSE)) - LEN(SUBSTITUTE(VLOOKUP($D281,素材!$1:$1016,COLUMN($F$1),FALSE), "・", 0)) + 1), 0)</f>
        <v>0</v>
      </c>
      <c r="AV281">
        <f>IF(ISNUMBER(SEARCH(SUBSTITUTE(AV$1,RIGHT(AV$1,2),""),VLOOKUP($D281,素材!$1:$1016,COLUMN($F$1),FALSE))),VLOOKUP($C281,武器!$1:$998,COLUMN($O$1),FALSE)*VLOOKUP($D281,素材!$1:$1016,COLUMN($E$1),FALSE)/(LEN(VLOOKUP($D281,素材!$1:$1016,COLUMN($F$1),FALSE)) - LEN(SUBSTITUTE(VLOOKUP($D281,素材!$1:$1016,COLUMN($F$1),FALSE), "・", 0)) + 1), 0)</f>
        <v>0</v>
      </c>
      <c r="AW281">
        <f>IF(ISNUMBER(SEARCH(SUBSTITUTE(AW$1,RIGHT(AW$1,2),""),VLOOKUP($D281,素材!$1:$1016,COLUMN($F$1),FALSE))),VLOOKUP($C281,武器!$1:$998,COLUMN($O$1),FALSE)*VLOOKUP($D281,素材!$1:$1016,COLUMN($E$1),FALSE)/(LEN(VLOOKUP($D281,素材!$1:$1016,COLUMN($F$1),FALSE)) - LEN(SUBSTITUTE(VLOOKUP($D281,素材!$1:$1016,COLUMN($F$1),FALSE), "・", 0)) + 1), 0)</f>
        <v>0</v>
      </c>
      <c r="AX281">
        <f>IF(ISNUMBER(SEARCH(SUBSTITUTE(AX$1,RIGHT(AX$1,2),""),VLOOKUP($D281,素材!$1:$1016,COLUMN($F$1),FALSE))),VLOOKUP($C281,武器!$1:$998,COLUMN($O$1),FALSE)*VLOOKUP($D281,素材!$1:$1016,COLUMN($E$1),FALSE)/(LEN(VLOOKUP($D281,素材!$1:$1016,COLUMN($F$1),FALSE)) - LEN(SUBSTITUTE(VLOOKUP($D281,素材!$1:$1016,COLUMN($F$1),FALSE), "・", 0)) + 1), 0)</f>
        <v>0</v>
      </c>
      <c r="AY281">
        <f>IF(ISNUMBER(SEARCH(SUBSTITUTE(AY$1,RIGHT(AY$1,2),""),VLOOKUP($D281,素材!$1:$1016,COLUMN($F$1),FALSE))),VLOOKUP($C281,武器!$1:$998,COLUMN($O$1),FALSE)*VLOOKUP($D281,素材!$1:$1016,COLUMN($E$1),FALSE)/(LEN(VLOOKUP($D281,素材!$1:$1016,COLUMN($F$1),FALSE)) - LEN(SUBSTITUTE(VLOOKUP($D281,素材!$1:$1016,COLUMN($F$1),FALSE), "・", 0)) + 1), 0)</f>
        <v>0</v>
      </c>
      <c r="AZ281">
        <f>IF(ISNUMBER(SEARCH(SUBSTITUTE(AZ$1,RIGHT(AZ$1,2),""),VLOOKUP($D281,素材!$1:$1016,COLUMN($F$1),FALSE))),VLOOKUP($C281,武器!$1:$998,COLUMN($O$1),FALSE)*VLOOKUP($D281,素材!$1:$1016,COLUMN($E$1),FALSE)/(LEN(VLOOKUP($D281,素材!$1:$1016,COLUMN($F$1),FALSE)) - LEN(SUBSTITUTE(VLOOKUP($D281,素材!$1:$1016,COLUMN($F$1),FALSE), "・", 0)) + 1), 0)</f>
        <v>0</v>
      </c>
      <c r="BA281">
        <f>IF(ISNUMBER(SEARCH(SUBSTITUTE(BA$1,RIGHT(BA$1,2),""),VLOOKUP($D281,素材!$1:$1016,COLUMN($F$1),FALSE))),VLOOKUP($C281,武器!$1:$998,COLUMN($O$1),FALSE)*VLOOKUP($D281,素材!$1:$1016,COLUMN($E$1),FALSE)/(LEN(VLOOKUP($D281,素材!$1:$1016,COLUMN($F$1),FALSE)) - LEN(SUBSTITUTE(VLOOKUP($D281,素材!$1:$1016,COLUMN($F$1),FALSE), "・", 0)) + 1), 0)</f>
        <v>0</v>
      </c>
      <c r="BB281">
        <f>IF(ISNUMBER(SEARCH(SUBSTITUTE(BB$1,RIGHT(BB$1,2),""),VLOOKUP($D281,素材!$1:$1016,COLUMN($F$1),FALSE))),VLOOKUP($C281,武器!$1:$998,COLUMN($O$1),FALSE)*VLOOKUP($D281,素材!$1:$1016,COLUMN($E$1),FALSE)/(LEN(VLOOKUP($D281,素材!$1:$1016,COLUMN($F$1),FALSE)) - LEN(SUBSTITUTE(VLOOKUP($D281,素材!$1:$1016,COLUMN($F$1),FALSE), "・", 0)) + 1), 0)</f>
        <v>0</v>
      </c>
      <c r="BC281">
        <f>IF(ISNUMBER(SEARCH(SUBSTITUTE(BC$1,RIGHT(BC$1,2),""),VLOOKUP($D281,素材!$1:$1016,COLUMN($F$1),FALSE))),VLOOKUP($C281,武器!$1:$998,COLUMN($O$1),FALSE)*VLOOKUP($D281,素材!$1:$1016,COLUMN($E$1),FALSE)/(LEN(VLOOKUP($D281,素材!$1:$1016,COLUMN($F$1),FALSE)) - LEN(SUBSTITUTE(VLOOKUP($D281,素材!$1:$1016,COLUMN($F$1),FALSE), "・", 0)) + 1), 0)</f>
        <v>0</v>
      </c>
      <c r="BD281">
        <f>IF(ISNUMBER(SEARCH(SUBSTITUTE(BD$1,RIGHT(BD$1,2),""),VLOOKUP($D281,素材!$1:$1016,COLUMN($F$1),FALSE))),VLOOKUP($C281,武器!$1:$998,COLUMN($O$1),FALSE)*VLOOKUP($D281,素材!$1:$1016,COLUMN($E$1),FALSE)/(LEN(VLOOKUP($D281,素材!$1:$1016,COLUMN($F$1),FALSE)) - LEN(SUBSTITUTE(VLOOKUP($D281,素材!$1:$1016,COLUMN($F$1),FALSE), "・", 0)) + 1), 0)</f>
        <v>0</v>
      </c>
      <c r="BE281">
        <f>IF(ISNUMBER(SEARCH(SUBSTITUTE(BE$1,RIGHT(BE$1,2),""),VLOOKUP($D281,素材!$1:$1016,COLUMN($F$1),FALSE))),VLOOKUP($C281,武器!$1:$998,COLUMN($O$1),FALSE)*VLOOKUP($D281,素材!$1:$1016,COLUMN($E$1),FALSE)/(LEN(VLOOKUP($D281,素材!$1:$1016,COLUMN($F$1),FALSE)) - LEN(SUBSTITUTE(VLOOKUP($D281,素材!$1:$1016,COLUMN($F$1),FALSE), "・", 0)) + 1), 0)</f>
        <v>0</v>
      </c>
      <c r="CL281">
        <f>SUM(G281:I281)</f>
        <v>0</v>
      </c>
      <c r="CM281" s="22" t="str">
        <f>IF(E281="武器",IF(J281-1&gt;SUM(G281:I281),"盾",IF(MAX(G281:I281)=G281,"切断",IF(MAX(G281:I281)=H281,"貫通",IF(MAX(G281:I281)=I281,"打撃","射撃")))),E281)&amp;".webp"</f>
        <v>装飾.webp</v>
      </c>
      <c r="CN281">
        <f>IFERROR(VLOOKUP($C281,武器!$1:$998,COLUMN(V$1),FALSE)*VLOOKUP($D281,素材!$1:$1016,COLUMN(N$1),FALSE)+IF(CI281="",0,VLOOKUP($CI281,装強!$1:$1008,COLUMN($CK$1),FALSE)),"")</f>
        <v>1500</v>
      </c>
      <c r="CO281" t="str">
        <f>VLOOKUP(D281,素材!$A:$O,COLUMN(素材!O$1),FALSE)</f>
        <v>魔力を帯びた特殊な皮素材。魔法防御や属性耐性を強化する効果があり、高レベルの冒険者に重宝されます。</v>
      </c>
      <c r="CP281" t="str">
        <f>VLOOKUP(C281,武器!$A:$W,COLUMN(武器!W$1),FALSE)</f>
        <v xml:space="preserve">防御 隠密 </v>
      </c>
      <c r="CR281" t="str">
        <f t="shared" si="33"/>
        <v>e_281</v>
      </c>
      <c r="CS281">
        <f t="shared" si="34"/>
        <v>150000</v>
      </c>
    </row>
    <row r="282" spans="1:97" hidden="1" outlineLevel="1" x14ac:dyDescent="0.4">
      <c r="A282" t="str">
        <f>IF(CI282="",D282&amp;"の"&amp;C282,CI282&amp;"の"&amp;C282)</f>
        <v>魔獣皮の外套</v>
      </c>
      <c r="B282" t="str">
        <f>IFERROR(IF(CI282="",VLOOKUP($D282,素材!$1:$1016,COLUMN($B$1),FALSE)&amp;"・"&amp;VLOOKUP($C282,武器!$1:$998,COLUMN(B$1),FALSE),VLOOKUP($CI282,装強!$1:$1008,COLUMN($B$1),FALSE)&amp;"・"&amp;VLOOKUP($C282,武器!$1:$998,COLUMN(B$1),FALSE)),"")</f>
        <v>マジックレザー・マント</v>
      </c>
      <c r="C282" s="24" t="s">
        <v>203</v>
      </c>
      <c r="D282" s="24" t="s">
        <v>202</v>
      </c>
      <c r="E282" t="str">
        <f>IFERROR(VLOOKUP(C282,武器!$1:$998,COLUMN(C$1),FALSE),"")</f>
        <v>装飾</v>
      </c>
      <c r="F282">
        <f>IFERROR(ROUNDDOWN((VLOOKUP($C282,武器!$1:$998,COLUMN(D$1),FALSE)+IFERROR(VLOOKUP($CI282,装強!$1:$999,COLUMN(F$1),FALSE),0))*VLOOKUP($D282,素材!$1:$1016,COLUMN(D$1),FALSE),0),"")</f>
        <v>0</v>
      </c>
      <c r="G282">
        <f>IFERROR(ROUNDDOWN((VLOOKUP($C282,武器!$1:$998,COLUMN(E$1),FALSE)+IFERROR(VLOOKUP($CI282,装強!$1:$999,COLUMN(G$1),FALSE),0))*VLOOKUP($D282,素材!$1:$1016,COLUMN($E$1),FALSE),0),"")</f>
        <v>0</v>
      </c>
      <c r="H282">
        <f>IFERROR(ROUNDDOWN((VLOOKUP($C282,武器!$1:$998,COLUMN(F$1),FALSE)+IFERROR(VLOOKUP($CI282,装強!$1:$999,COLUMN(H$1),FALSE),0))*VLOOKUP($D282,素材!$1:$1016,COLUMN($E$1),FALSE),0),"")</f>
        <v>0</v>
      </c>
      <c r="I282">
        <f>IFERROR(ROUNDDOWN((VLOOKUP($C282,武器!$1:$998,COLUMN(G$1),FALSE)+IFERROR(VLOOKUP($CI282,装強!$1:$999,COLUMN(I$1),FALSE),0))*VLOOKUP($D282,素材!$1:$1016,COLUMN($E$1),FALSE),0),"")</f>
        <v>0</v>
      </c>
      <c r="J282">
        <f>IFERROR(ROUNDDOWN((VLOOKUP($C282,武器!$1:$998,COLUMN(H$1),FALSE)+IFERROR(VLOOKUP($CI282,装強!$1:$999,COLUMN(J$1),FALSE),0))*VLOOKUP($D282,素材!$1:$1016,COLUMN($E$1),FALSE),0),"")</f>
        <v>0</v>
      </c>
      <c r="K282">
        <f>IFERROR(ROUNDDOWN((VLOOKUP($C282,武器!$1:$998,COLUMN(I$1),FALSE)+IFERROR(VLOOKUP($CI282,装強!$1:$999,COLUMN(K$1),FALSE),0))*VLOOKUP($D282,素材!$1:$1016,COLUMN($E$1),FALSE),0),"")</f>
        <v>0</v>
      </c>
      <c r="L282" t="str">
        <f>IFERROR(VLOOKUP($D282,素材!$1:$1016,COLUMN($F$1),FALSE),"")</f>
        <v>魔法</v>
      </c>
      <c r="M282" t="str">
        <f>IFERROR(VLOOKUP($C282,武器!$1:$998,COLUMN(AA$1),FALSE)*VLOOKUP($D282,素材!$1:$1016,COLUMN($G$1),FALSE),"")</f>
        <v/>
      </c>
      <c r="N282">
        <f>IFERROR(VLOOKUP($C282,武器!$1:$998,COLUMN(I$1),FALSE),"")</f>
        <v>0</v>
      </c>
      <c r="O282" s="23" t="str">
        <f>IFERROR((VLOOKUP($C282,武器!$1:$998,COLUMN(K$1),FALSE)+VLOOKUP($D282,素材!$1:$1016,COLUMN(H$1),FALSE))*100+IFERROR(VLOOKUP($CI282,装強!$1:$999,COLUMN(O$1),FALSE),0),"")</f>
        <v/>
      </c>
      <c r="P282" s="23" t="str">
        <f>IFERROR((VLOOKUP($C282,武器!$1:$998,COLUMN(L$1),FALSE)+VLOOKUP($D282,素材!$1:$1016,COLUMN(I$1),FALSE))*100+IFERROR(VLOOKUP($CI282,装強!$1:$999,COLUMN(P$1),FALSE),0),"")</f>
        <v/>
      </c>
      <c r="Q282">
        <f>IFERROR(ROUNDUP(VLOOKUP($C282,武器!$1:$998,COLUMN(M$1),FALSE)*(VLOOKUP($D282,素材!$1:$1002,COLUMN(D$1),FALSE)/100),1),"")</f>
        <v>0</v>
      </c>
      <c r="R282">
        <f>IFERROR(ROUNDUP(VLOOKUP($C282,武器!$1:$998,COLUMN(N$1),FALSE)*(VLOOKUP($D282,素材!$1:$1002,COLUMN(D$1),FALSE)/100),1),"")</f>
        <v>0</v>
      </c>
      <c r="S282">
        <f>IFERROR(VLOOKUP($C282,武器!$1:$998,COLUMN(P$1),FALSE),"")</f>
        <v>0</v>
      </c>
      <c r="T282">
        <f>IFERROR(VLOOKUP($C282,武器!$1:$998,COLUMN(Q$1),FALSE),"")</f>
        <v>0</v>
      </c>
      <c r="U282">
        <f>IFERROR(VLOOKUP($C282,武器!$1:$998,COLUMN(R$1),FALSE),"")</f>
        <v>0</v>
      </c>
      <c r="V282">
        <f>IFERROR(VLOOKUP($C282,武器!$1:$998,COLUMN(Q$1),FALSE),"")</f>
        <v>0</v>
      </c>
      <c r="W282">
        <f>IFERROR(VLOOKUP($C282,武器!$1:$998,COLUMN(T$1),FALSE),"")</f>
        <v>0</v>
      </c>
      <c r="Y282">
        <f>IFERROR(VLOOKUP($C282,武器!$1:$998,COLUMN(U$1),FALSE),"")</f>
        <v>0</v>
      </c>
      <c r="Z282">
        <f>IFERROR(ROUNDUP(VLOOKUP($C282,武器!$1:$998,COLUMN(O$1),FALSE)*VLOOKUP($D282,素材!$1:$1016,COLUMN(E$1),FALSE),1),"")</f>
        <v>0</v>
      </c>
      <c r="AA282">
        <f>IF(ISNUMBER(SEARCH(SUBSTITUTE(AA$1,RIGHT(AA$1,2),""),VLOOKUP($D282,素材!$1:$1016,COLUMN($F$1),FALSE))),VLOOKUP($C282,武器!$1:$998,COLUMN($O$1),FALSE)*VLOOKUP($D282,素材!$1:$1016,COLUMN($E$1),FALSE)/(LEN(VLOOKUP($D282,素材!$1:$1016,COLUMN($F$1),FALSE)) - LEN(SUBSTITUTE(VLOOKUP($D282,素材!$1:$1016,COLUMN($F$1),FALSE), "・", 0)) + 1), 0)</f>
        <v>0</v>
      </c>
      <c r="AB282">
        <f>IF(ISNUMBER(SEARCH(SUBSTITUTE(AB$1,RIGHT(AB$1,2),""),VLOOKUP($D282,素材!$1:$1016,COLUMN($F$1),FALSE))),VLOOKUP($C282,武器!$1:$998,COLUMN($O$1),FALSE)*VLOOKUP($D282,素材!$1:$1016,COLUMN($E$1),FALSE)/(LEN(VLOOKUP($D282,素材!$1:$1016,COLUMN($F$1),FALSE)) - LEN(SUBSTITUTE(VLOOKUP($D282,素材!$1:$1016,COLUMN($F$1),FALSE), "・", 0)) + 1), 0)</f>
        <v>0</v>
      </c>
      <c r="AC282">
        <f>IF(ISNUMBER(SEARCH(SUBSTITUTE(AC$1,RIGHT(AC$1,2),""),VLOOKUP($D282,素材!$1:$1016,COLUMN($F$1),FALSE))),VLOOKUP($C282,武器!$1:$998,COLUMN($O$1),FALSE)*VLOOKUP($D282,素材!$1:$1016,COLUMN($E$1),FALSE)/(LEN(VLOOKUP($D282,素材!$1:$1016,COLUMN($F$1),FALSE)) - LEN(SUBSTITUTE(VLOOKUP($D282,素材!$1:$1016,COLUMN($F$1),FALSE), "・", 0)) + 1), 0)</f>
        <v>0</v>
      </c>
      <c r="AD282">
        <f>IF(ISNUMBER(SEARCH(SUBSTITUTE(AD$1,RIGHT(AD$1,2),""),VLOOKUP($D282,素材!$1:$1016,COLUMN($F$1),FALSE))),VLOOKUP($C282,武器!$1:$998,COLUMN($O$1),FALSE)*VLOOKUP($D282,素材!$1:$1016,COLUMN($E$1),FALSE)/(LEN(VLOOKUP($D282,素材!$1:$1016,COLUMN($F$1),FALSE)) - LEN(SUBSTITUTE(VLOOKUP($D282,素材!$1:$1016,COLUMN($F$1),FALSE), "・", 0)) + 1), 0)</f>
        <v>0</v>
      </c>
      <c r="AE282">
        <f>IF(ISNUMBER(SEARCH(SUBSTITUTE(AE$1,RIGHT(AE$1,2),""),VLOOKUP($D282,素材!$1:$1016,COLUMN($F$1),FALSE))),VLOOKUP($C282,武器!$1:$998,COLUMN($O$1),FALSE)*VLOOKUP($D282,素材!$1:$1016,COLUMN($E$1),FALSE)/(LEN(VLOOKUP($D282,素材!$1:$1016,COLUMN($F$1),FALSE)) - LEN(SUBSTITUTE(VLOOKUP($D282,素材!$1:$1016,COLUMN($F$1),FALSE), "・", 0)) + 1), 0)</f>
        <v>0</v>
      </c>
      <c r="AF282">
        <f>IF(ISNUMBER(SEARCH(SUBSTITUTE(AF$1,RIGHT(AF$1,2),""),VLOOKUP($D282,素材!$1:$1016,COLUMN($F$1),FALSE))),VLOOKUP($C282,武器!$1:$998,COLUMN($O$1),FALSE)*VLOOKUP($D282,素材!$1:$1016,COLUMN($E$1),FALSE)/(LEN(VLOOKUP($D282,素材!$1:$1016,COLUMN($F$1),FALSE)) - LEN(SUBSTITUTE(VLOOKUP($D282,素材!$1:$1016,COLUMN($F$1),FALSE), "・", 0)) + 1), 0)</f>
        <v>0</v>
      </c>
      <c r="AG282">
        <f>IF(ISNUMBER(SEARCH(SUBSTITUTE(AG$1,RIGHT(AG$1,2),""),VLOOKUP($D282,素材!$1:$1016,COLUMN($F$1),FALSE))),VLOOKUP($C282,武器!$1:$998,COLUMN($O$1),FALSE)*VLOOKUP($D282,素材!$1:$1016,COLUMN($E$1),FALSE)/(LEN(VLOOKUP($D282,素材!$1:$1016,COLUMN($F$1),FALSE)) - LEN(SUBSTITUTE(VLOOKUP($D282,素材!$1:$1016,COLUMN($F$1),FALSE), "・", 0)) + 1), 0)</f>
        <v>0</v>
      </c>
      <c r="AH282">
        <f>IF(ISNUMBER(SEARCH(SUBSTITUTE(AH$1,RIGHT(AH$1,2),""),VLOOKUP($D282,素材!$1:$1016,COLUMN($F$1),FALSE))),VLOOKUP($C282,武器!$1:$998,COLUMN($O$1),FALSE)*VLOOKUP($D282,素材!$1:$1016,COLUMN($E$1),FALSE)/(LEN(VLOOKUP($D282,素材!$1:$1016,COLUMN($F$1),FALSE)) - LEN(SUBSTITUTE(VLOOKUP($D282,素材!$1:$1016,COLUMN($F$1),FALSE), "・", 0)) + 1), 0)</f>
        <v>0</v>
      </c>
      <c r="AI282">
        <f>IF(ISNUMBER(SEARCH(SUBSTITUTE(AI$1,RIGHT(AI$1,2),""),VLOOKUP($D282,素材!$1:$1016,COLUMN($F$1),FALSE))),VLOOKUP($C282,武器!$1:$998,COLUMN($O$1),FALSE)*VLOOKUP($D282,素材!$1:$1016,COLUMN($E$1),FALSE)/(LEN(VLOOKUP($D282,素材!$1:$1016,COLUMN($F$1),FALSE)) - LEN(SUBSTITUTE(VLOOKUP($D282,素材!$1:$1016,COLUMN($F$1),FALSE), "・", 0)) + 1), 0)</f>
        <v>0</v>
      </c>
      <c r="AJ282">
        <f>IF(ISNUMBER(SEARCH(SUBSTITUTE(AJ$1,RIGHT(AJ$1,2),""),VLOOKUP($D282,素材!$1:$1016,COLUMN($F$1),FALSE))),VLOOKUP($C282,武器!$1:$998,COLUMN($O$1),FALSE)*VLOOKUP($D282,素材!$1:$1016,COLUMN($E$1),FALSE)/(LEN(VLOOKUP($D282,素材!$1:$1016,COLUMN($F$1),FALSE)) - LEN(SUBSTITUTE(VLOOKUP($D282,素材!$1:$1016,COLUMN($F$1),FALSE), "・", 0)) + 1), 0)</f>
        <v>0</v>
      </c>
      <c r="AK282">
        <f>IF(ISNUMBER(SEARCH(SUBSTITUTE(AK$1,RIGHT(AK$1,2),""),VLOOKUP($D282,素材!$1:$1016,COLUMN($F$1),FALSE))),VLOOKUP($C282,武器!$1:$998,COLUMN($O$1),FALSE)*VLOOKUP($D282,素材!$1:$1016,COLUMN($E$1),FALSE)/(LEN(VLOOKUP($D282,素材!$1:$1016,COLUMN($F$1),FALSE)) - LEN(SUBSTITUTE(VLOOKUP($D282,素材!$1:$1016,COLUMN($F$1),FALSE), "・", 0)) + 1), 0)</f>
        <v>0</v>
      </c>
      <c r="AL282">
        <f>IF(ISNUMBER(SEARCH(SUBSTITUTE(AL$1,RIGHT(AL$1,2),""),VLOOKUP($D282,素材!$1:$1016,COLUMN($F$1),FALSE))),VLOOKUP($C282,武器!$1:$998,COLUMN($O$1),FALSE)*VLOOKUP($D282,素材!$1:$1016,COLUMN($E$1),FALSE)/(LEN(VLOOKUP($D282,素材!$1:$1016,COLUMN($F$1),FALSE)) - LEN(SUBSTITUTE(VLOOKUP($D282,素材!$1:$1016,COLUMN($F$1),FALSE), "・", 0)) + 1), 0)</f>
        <v>0</v>
      </c>
      <c r="AM282">
        <f>IF(ISNUMBER(SEARCH(SUBSTITUTE(AM$1,RIGHT(AM$1,2),""),VLOOKUP($D282,素材!$1:$1016,COLUMN($F$1),FALSE))),VLOOKUP($C282,武器!$1:$998,COLUMN($O$1),FALSE)*VLOOKUP($D282,素材!$1:$1016,COLUMN($E$1),FALSE)/(LEN(VLOOKUP($D282,素材!$1:$1016,COLUMN($F$1),FALSE)) - LEN(SUBSTITUTE(VLOOKUP($D282,素材!$1:$1016,COLUMN($F$1),FALSE), "・", 0)) + 1), 0)</f>
        <v>0</v>
      </c>
      <c r="AN282">
        <f>IF(ISNUMBER(SEARCH(SUBSTITUTE(AN$1,RIGHT(AN$1,2),""),VLOOKUP($D282,素材!$1:$1016,COLUMN($F$1),FALSE))),VLOOKUP($C282,武器!$1:$998,COLUMN($O$1),FALSE)*VLOOKUP($D282,素材!$1:$1016,COLUMN($E$1),FALSE)/(LEN(VLOOKUP($D282,素材!$1:$1016,COLUMN($F$1),FALSE)) - LEN(SUBSTITUTE(VLOOKUP($D282,素材!$1:$1016,COLUMN($F$1),FALSE), "・", 0)) + 1), 0)</f>
        <v>0</v>
      </c>
      <c r="AO282">
        <f>IF(ISNUMBER(SEARCH(SUBSTITUTE(AO$1,RIGHT(AO$1,2),""),VLOOKUP($D282,素材!$1:$1016,COLUMN($F$1),FALSE))),VLOOKUP($C282,武器!$1:$998,COLUMN($O$1),FALSE)*VLOOKUP($D282,素材!$1:$1016,COLUMN($E$1),FALSE)/(LEN(VLOOKUP($D282,素材!$1:$1016,COLUMN($F$1),FALSE)) - LEN(SUBSTITUTE(VLOOKUP($D282,素材!$1:$1016,COLUMN($F$1),FALSE), "・", 0)) + 1), 0)</f>
        <v>0</v>
      </c>
      <c r="AP282">
        <f>IF(ISNUMBER(SEARCH(SUBSTITUTE(AP$1,RIGHT(AP$1,2),""),VLOOKUP($D282,素材!$1:$1016,COLUMN($F$1),FALSE))),VLOOKUP($C282,武器!$1:$998,COLUMN($O$1),FALSE)*VLOOKUP($D282,素材!$1:$1016,COLUMN($E$1),FALSE)/(LEN(VLOOKUP($D282,素材!$1:$1016,COLUMN($F$1),FALSE)) - LEN(SUBSTITUTE(VLOOKUP($D282,素材!$1:$1016,COLUMN($F$1),FALSE), "・", 0)) + 1), 0)</f>
        <v>0</v>
      </c>
      <c r="AQ282">
        <f>IF(ISNUMBER(SEARCH(SUBSTITUTE(AQ$1,RIGHT(AQ$1,2),""),VLOOKUP($D282,素材!$1:$1016,COLUMN($F$1),FALSE))),VLOOKUP($C282,武器!$1:$998,COLUMN($O$1),FALSE)*VLOOKUP($D282,素材!$1:$1016,COLUMN($E$1),FALSE)/(LEN(VLOOKUP($D282,素材!$1:$1016,COLUMN($F$1),FALSE)) - LEN(SUBSTITUTE(VLOOKUP($D282,素材!$1:$1016,COLUMN($F$1),FALSE), "・", 0)) + 1), 0)</f>
        <v>0</v>
      </c>
      <c r="AR282">
        <f>IF(ISNUMBER(SEARCH(SUBSTITUTE(AR$1,RIGHT(AR$1,2),""),VLOOKUP($D282,素材!$1:$1016,COLUMN($F$1),FALSE))),VLOOKUP($C282,武器!$1:$998,COLUMN($O$1),FALSE)*VLOOKUP($D282,素材!$1:$1016,COLUMN($E$1),FALSE)/(LEN(VLOOKUP($D282,素材!$1:$1016,COLUMN($F$1),FALSE)) - LEN(SUBSTITUTE(VLOOKUP($D282,素材!$1:$1016,COLUMN($F$1),FALSE), "・", 0)) + 1), 0)</f>
        <v>0</v>
      </c>
      <c r="AS282">
        <f>IF(ISNUMBER(SEARCH(SUBSTITUTE(AS$1,RIGHT(AS$1,2),""),VLOOKUP($D282,素材!$1:$1016,COLUMN($F$1),FALSE))),VLOOKUP($C282,武器!$1:$998,COLUMN($O$1),FALSE)*VLOOKUP($D282,素材!$1:$1016,COLUMN($E$1),FALSE)/(LEN(VLOOKUP($D282,素材!$1:$1016,COLUMN($F$1),FALSE)) - LEN(SUBSTITUTE(VLOOKUP($D282,素材!$1:$1016,COLUMN($F$1),FALSE), "・", 0)) + 1), 0)</f>
        <v>0</v>
      </c>
      <c r="AT282">
        <f>IF(ISNUMBER(SEARCH(SUBSTITUTE(AT$1,RIGHT(AT$1,2),""),VLOOKUP($D282,素材!$1:$1016,COLUMN($F$1),FALSE))),VLOOKUP($C282,武器!$1:$998,COLUMN($O$1),FALSE)*VLOOKUP($D282,素材!$1:$1016,COLUMN($E$1),FALSE)/(LEN(VLOOKUP($D282,素材!$1:$1016,COLUMN($F$1),FALSE)) - LEN(SUBSTITUTE(VLOOKUP($D282,素材!$1:$1016,COLUMN($F$1),FALSE), "・", 0)) + 1), 0)</f>
        <v>0</v>
      </c>
      <c r="AU282">
        <f>IF(ISNUMBER(SEARCH(SUBSTITUTE(AU$1,RIGHT(AU$1,2),""),VLOOKUP($D282,素材!$1:$1016,COLUMN($F$1),FALSE))),VLOOKUP($C282,武器!$1:$998,COLUMN($O$1),FALSE)*VLOOKUP($D282,素材!$1:$1016,COLUMN($E$1),FALSE)/(LEN(VLOOKUP($D282,素材!$1:$1016,COLUMN($F$1),FALSE)) - LEN(SUBSTITUTE(VLOOKUP($D282,素材!$1:$1016,COLUMN($F$1),FALSE), "・", 0)) + 1), 0)</f>
        <v>0</v>
      </c>
      <c r="AV282">
        <f>IF(ISNUMBER(SEARCH(SUBSTITUTE(AV$1,RIGHT(AV$1,2),""),VLOOKUP($D282,素材!$1:$1016,COLUMN($F$1),FALSE))),VLOOKUP($C282,武器!$1:$998,COLUMN($O$1),FALSE)*VLOOKUP($D282,素材!$1:$1016,COLUMN($E$1),FALSE)/(LEN(VLOOKUP($D282,素材!$1:$1016,COLUMN($F$1),FALSE)) - LEN(SUBSTITUTE(VLOOKUP($D282,素材!$1:$1016,COLUMN($F$1),FALSE), "・", 0)) + 1), 0)</f>
        <v>0</v>
      </c>
      <c r="AW282">
        <f>IF(ISNUMBER(SEARCH(SUBSTITUTE(AW$1,RIGHT(AW$1,2),""),VLOOKUP($D282,素材!$1:$1016,COLUMN($F$1),FALSE))),VLOOKUP($C282,武器!$1:$998,COLUMN($O$1),FALSE)*VLOOKUP($D282,素材!$1:$1016,COLUMN($E$1),FALSE)/(LEN(VLOOKUP($D282,素材!$1:$1016,COLUMN($F$1),FALSE)) - LEN(SUBSTITUTE(VLOOKUP($D282,素材!$1:$1016,COLUMN($F$1),FALSE), "・", 0)) + 1), 0)</f>
        <v>0</v>
      </c>
      <c r="AX282">
        <f>IF(ISNUMBER(SEARCH(SUBSTITUTE(AX$1,RIGHT(AX$1,2),""),VLOOKUP($D282,素材!$1:$1016,COLUMN($F$1),FALSE))),VLOOKUP($C282,武器!$1:$998,COLUMN($O$1),FALSE)*VLOOKUP($D282,素材!$1:$1016,COLUMN($E$1),FALSE)/(LEN(VLOOKUP($D282,素材!$1:$1016,COLUMN($F$1),FALSE)) - LEN(SUBSTITUTE(VLOOKUP($D282,素材!$1:$1016,COLUMN($F$1),FALSE), "・", 0)) + 1), 0)</f>
        <v>0</v>
      </c>
      <c r="AY282">
        <f>IF(ISNUMBER(SEARCH(SUBSTITUTE(AY$1,RIGHT(AY$1,2),""),VLOOKUP($D282,素材!$1:$1016,COLUMN($F$1),FALSE))),VLOOKUP($C282,武器!$1:$998,COLUMN($O$1),FALSE)*VLOOKUP($D282,素材!$1:$1016,COLUMN($E$1),FALSE)/(LEN(VLOOKUP($D282,素材!$1:$1016,COLUMN($F$1),FALSE)) - LEN(SUBSTITUTE(VLOOKUP($D282,素材!$1:$1016,COLUMN($F$1),FALSE), "・", 0)) + 1), 0)</f>
        <v>0</v>
      </c>
      <c r="AZ282">
        <f>IF(ISNUMBER(SEARCH(SUBSTITUTE(AZ$1,RIGHT(AZ$1,2),""),VLOOKUP($D282,素材!$1:$1016,COLUMN($F$1),FALSE))),VLOOKUP($C282,武器!$1:$998,COLUMN($O$1),FALSE)*VLOOKUP($D282,素材!$1:$1016,COLUMN($E$1),FALSE)/(LEN(VLOOKUP($D282,素材!$1:$1016,COLUMN($F$1),FALSE)) - LEN(SUBSTITUTE(VLOOKUP($D282,素材!$1:$1016,COLUMN($F$1),FALSE), "・", 0)) + 1), 0)</f>
        <v>0</v>
      </c>
      <c r="BA282">
        <f>IF(ISNUMBER(SEARCH(SUBSTITUTE(BA$1,RIGHT(BA$1,2),""),VLOOKUP($D282,素材!$1:$1016,COLUMN($F$1),FALSE))),VLOOKUP($C282,武器!$1:$998,COLUMN($O$1),FALSE)*VLOOKUP($D282,素材!$1:$1016,COLUMN($E$1),FALSE)/(LEN(VLOOKUP($D282,素材!$1:$1016,COLUMN($F$1),FALSE)) - LEN(SUBSTITUTE(VLOOKUP($D282,素材!$1:$1016,COLUMN($F$1),FALSE), "・", 0)) + 1), 0)</f>
        <v>0</v>
      </c>
      <c r="BB282">
        <f>IF(ISNUMBER(SEARCH(SUBSTITUTE(BB$1,RIGHT(BB$1,2),""),VLOOKUP($D282,素材!$1:$1016,COLUMN($F$1),FALSE))),VLOOKUP($C282,武器!$1:$998,COLUMN($O$1),FALSE)*VLOOKUP($D282,素材!$1:$1016,COLUMN($E$1),FALSE)/(LEN(VLOOKUP($D282,素材!$1:$1016,COLUMN($F$1),FALSE)) - LEN(SUBSTITUTE(VLOOKUP($D282,素材!$1:$1016,COLUMN($F$1),FALSE), "・", 0)) + 1), 0)</f>
        <v>0</v>
      </c>
      <c r="BC282">
        <f>IF(ISNUMBER(SEARCH(SUBSTITUTE(BC$1,RIGHT(BC$1,2),""),VLOOKUP($D282,素材!$1:$1016,COLUMN($F$1),FALSE))),VLOOKUP($C282,武器!$1:$998,COLUMN($O$1),FALSE)*VLOOKUP($D282,素材!$1:$1016,COLUMN($E$1),FALSE)/(LEN(VLOOKUP($D282,素材!$1:$1016,COLUMN($F$1),FALSE)) - LEN(SUBSTITUTE(VLOOKUP($D282,素材!$1:$1016,COLUMN($F$1),FALSE), "・", 0)) + 1), 0)</f>
        <v>0</v>
      </c>
      <c r="BD282">
        <f>IF(ISNUMBER(SEARCH(SUBSTITUTE(BD$1,RIGHT(BD$1,2),""),VLOOKUP($D282,素材!$1:$1016,COLUMN($F$1),FALSE))),VLOOKUP($C282,武器!$1:$998,COLUMN($O$1),FALSE)*VLOOKUP($D282,素材!$1:$1016,COLUMN($E$1),FALSE)/(LEN(VLOOKUP($D282,素材!$1:$1016,COLUMN($F$1),FALSE)) - LEN(SUBSTITUTE(VLOOKUP($D282,素材!$1:$1016,COLUMN($F$1),FALSE), "・", 0)) + 1), 0)</f>
        <v>0</v>
      </c>
      <c r="BE282">
        <f>IF(ISNUMBER(SEARCH(SUBSTITUTE(BE$1,RIGHT(BE$1,2),""),VLOOKUP($D282,素材!$1:$1016,COLUMN($F$1),FALSE))),VLOOKUP($C282,武器!$1:$998,COLUMN($O$1),FALSE)*VLOOKUP($D282,素材!$1:$1016,COLUMN($E$1),FALSE)/(LEN(VLOOKUP($D282,素材!$1:$1016,COLUMN($F$1),FALSE)) - LEN(SUBSTITUTE(VLOOKUP($D282,素材!$1:$1016,COLUMN($F$1),FALSE), "・", 0)) + 1), 0)</f>
        <v>0</v>
      </c>
      <c r="CL282">
        <f>SUM(G282:I282)</f>
        <v>0</v>
      </c>
      <c r="CM282" s="22" t="str">
        <f>IF(E282="武器",IF(J282-1&gt;SUM(G282:I282),"盾",IF(MAX(G282:I282)=G282,"切断",IF(MAX(G282:I282)=H282,"貫通",IF(MAX(G282:I282)=I282,"打撃","射撃")))),E282)&amp;".webp"</f>
        <v>装飾.webp</v>
      </c>
      <c r="CN282">
        <f>IFERROR(VLOOKUP($C282,武器!$1:$998,COLUMN(V$1),FALSE)*VLOOKUP($D282,素材!$1:$1016,COLUMN(N$1),FALSE)+IF(CI282="",0,VLOOKUP($CI282,装強!$1:$1008,COLUMN($CK$1),FALSE)),"")</f>
        <v>1500</v>
      </c>
      <c r="CO282" t="str">
        <f>VLOOKUP(D282,素材!$A:$O,COLUMN(素材!O$1),FALSE)</f>
        <v>魔力を帯びた特殊な皮素材。魔法防御や属性耐性を強化する効果があり、高レベルの冒険者に重宝されます。</v>
      </c>
      <c r="CP282" t="str">
        <f>VLOOKUP(C282,武器!$A:$W,COLUMN(武器!W$1),FALSE)</f>
        <v xml:space="preserve">防御 隠密 </v>
      </c>
      <c r="CR282" t="str">
        <f t="shared" si="33"/>
        <v>e_282</v>
      </c>
      <c r="CS282">
        <f t="shared" si="34"/>
        <v>150000</v>
      </c>
    </row>
    <row r="283" spans="1:97" hidden="1" outlineLevel="1" x14ac:dyDescent="0.4">
      <c r="A283" t="str">
        <f>IF(CI283="",D283&amp;"の"&amp;C283,CI283&amp;"の"&amp;C283)</f>
        <v>魔獣皮の外套</v>
      </c>
      <c r="B283" t="str">
        <f>IFERROR(IF(CI283="",VLOOKUP($D283,素材!$1:$1016,COLUMN($B$1),FALSE)&amp;"・"&amp;VLOOKUP($C283,武器!$1:$998,COLUMN(B$1),FALSE),VLOOKUP($CI283,装強!$1:$1008,COLUMN($B$1),FALSE)&amp;"・"&amp;VLOOKUP($C283,武器!$1:$998,COLUMN(B$1),FALSE)),"")</f>
        <v>マジックレザー・マント</v>
      </c>
      <c r="C283" s="24" t="s">
        <v>203</v>
      </c>
      <c r="D283" s="24" t="s">
        <v>202</v>
      </c>
      <c r="E283" t="str">
        <f>IFERROR(VLOOKUP(C283,武器!$1:$998,COLUMN(C$1),FALSE),"")</f>
        <v>装飾</v>
      </c>
      <c r="F283">
        <f>IFERROR(ROUNDDOWN((VLOOKUP($C283,武器!$1:$998,COLUMN(D$1),FALSE)+IFERROR(VLOOKUP($CI283,装強!$1:$999,COLUMN(F$1),FALSE),0))*VLOOKUP($D283,素材!$1:$1016,COLUMN(D$1),FALSE),0),"")</f>
        <v>0</v>
      </c>
      <c r="G283">
        <f>IFERROR(ROUNDDOWN((VLOOKUP($C283,武器!$1:$998,COLUMN(E$1),FALSE)+IFERROR(VLOOKUP($CI283,装強!$1:$999,COLUMN(G$1),FALSE),0))*VLOOKUP($D283,素材!$1:$1016,COLUMN($E$1),FALSE),0),"")</f>
        <v>0</v>
      </c>
      <c r="H283">
        <f>IFERROR(ROUNDDOWN((VLOOKUP($C283,武器!$1:$998,COLUMN(F$1),FALSE)+IFERROR(VLOOKUP($CI283,装強!$1:$999,COLUMN(H$1),FALSE),0))*VLOOKUP($D283,素材!$1:$1016,COLUMN($E$1),FALSE),0),"")</f>
        <v>0</v>
      </c>
      <c r="I283">
        <f>IFERROR(ROUNDDOWN((VLOOKUP($C283,武器!$1:$998,COLUMN(G$1),FALSE)+IFERROR(VLOOKUP($CI283,装強!$1:$999,COLUMN(I$1),FALSE),0))*VLOOKUP($D283,素材!$1:$1016,COLUMN($E$1),FALSE),0),"")</f>
        <v>0</v>
      </c>
      <c r="J283">
        <f>IFERROR(ROUNDDOWN((VLOOKUP($C283,武器!$1:$998,COLUMN(H$1),FALSE)+IFERROR(VLOOKUP($CI283,装強!$1:$999,COLUMN(J$1),FALSE),0))*VLOOKUP($D283,素材!$1:$1016,COLUMN($E$1),FALSE),0),"")</f>
        <v>0</v>
      </c>
      <c r="K283">
        <f>IFERROR(ROUNDDOWN((VLOOKUP($C283,武器!$1:$998,COLUMN(I$1),FALSE)+IFERROR(VLOOKUP($CI283,装強!$1:$999,COLUMN(K$1),FALSE),0))*VLOOKUP($D283,素材!$1:$1016,COLUMN($E$1),FALSE),0),"")</f>
        <v>0</v>
      </c>
      <c r="L283" t="str">
        <f>IFERROR(VLOOKUP($D283,素材!$1:$1016,COLUMN($F$1),FALSE),"")</f>
        <v>魔法</v>
      </c>
      <c r="M283" t="str">
        <f>IFERROR(VLOOKUP($C283,武器!$1:$998,COLUMN(AA$1),FALSE)*VLOOKUP($D283,素材!$1:$1016,COLUMN($G$1),FALSE),"")</f>
        <v/>
      </c>
      <c r="N283">
        <f>IFERROR(VLOOKUP($C283,武器!$1:$998,COLUMN(I$1),FALSE),"")</f>
        <v>0</v>
      </c>
      <c r="O283" s="23" t="str">
        <f>IFERROR((VLOOKUP($C283,武器!$1:$998,COLUMN(K$1),FALSE)+VLOOKUP($D283,素材!$1:$1016,COLUMN(H$1),FALSE))*100+IFERROR(VLOOKUP($CI283,装強!$1:$999,COLUMN(O$1),FALSE),0),"")</f>
        <v/>
      </c>
      <c r="P283" s="23" t="str">
        <f>IFERROR((VLOOKUP($C283,武器!$1:$998,COLUMN(L$1),FALSE)+VLOOKUP($D283,素材!$1:$1016,COLUMN(I$1),FALSE))*100+IFERROR(VLOOKUP($CI283,装強!$1:$999,COLUMN(P$1),FALSE),0),"")</f>
        <v/>
      </c>
      <c r="Q283">
        <f>IFERROR(ROUNDUP(VLOOKUP($C283,武器!$1:$998,COLUMN(M$1),FALSE)*(VLOOKUP($D283,素材!$1:$1002,COLUMN(D$1),FALSE)/100),1),"")</f>
        <v>0</v>
      </c>
      <c r="R283">
        <f>IFERROR(ROUNDUP(VLOOKUP($C283,武器!$1:$998,COLUMN(N$1),FALSE)*(VLOOKUP($D283,素材!$1:$1002,COLUMN(D$1),FALSE)/100),1),"")</f>
        <v>0</v>
      </c>
      <c r="S283">
        <f>IFERROR(VLOOKUP($C283,武器!$1:$998,COLUMN(P$1),FALSE),"")</f>
        <v>0</v>
      </c>
      <c r="T283">
        <f>IFERROR(VLOOKUP($C283,武器!$1:$998,COLUMN(Q$1),FALSE),"")</f>
        <v>0</v>
      </c>
      <c r="U283">
        <f>IFERROR(VLOOKUP($C283,武器!$1:$998,COLUMN(R$1),FALSE),"")</f>
        <v>0</v>
      </c>
      <c r="V283">
        <f>IFERROR(VLOOKUP($C283,武器!$1:$998,COLUMN(Q$1),FALSE),"")</f>
        <v>0</v>
      </c>
      <c r="W283">
        <f>IFERROR(VLOOKUP($C283,武器!$1:$998,COLUMN(T$1),FALSE),"")</f>
        <v>0</v>
      </c>
      <c r="Y283">
        <f>IFERROR(VLOOKUP($C283,武器!$1:$998,COLUMN(U$1),FALSE),"")</f>
        <v>0</v>
      </c>
      <c r="Z283">
        <f>IFERROR(ROUNDUP(VLOOKUP($C283,武器!$1:$998,COLUMN(O$1),FALSE)*VLOOKUP($D283,素材!$1:$1016,COLUMN(E$1),FALSE),1),"")</f>
        <v>0</v>
      </c>
      <c r="AA283">
        <f>IF(ISNUMBER(SEARCH(SUBSTITUTE(AA$1,RIGHT(AA$1,2),""),VLOOKUP($D283,素材!$1:$1016,COLUMN($F$1),FALSE))),VLOOKUP($C283,武器!$1:$998,COLUMN($O$1),FALSE)*VLOOKUP($D283,素材!$1:$1016,COLUMN($E$1),FALSE)/(LEN(VLOOKUP($D283,素材!$1:$1016,COLUMN($F$1),FALSE)) - LEN(SUBSTITUTE(VLOOKUP($D283,素材!$1:$1016,COLUMN($F$1),FALSE), "・", 0)) + 1), 0)</f>
        <v>0</v>
      </c>
      <c r="AB283">
        <f>IF(ISNUMBER(SEARCH(SUBSTITUTE(AB$1,RIGHT(AB$1,2),""),VLOOKUP($D283,素材!$1:$1016,COLUMN($F$1),FALSE))),VLOOKUP($C283,武器!$1:$998,COLUMN($O$1),FALSE)*VLOOKUP($D283,素材!$1:$1016,COLUMN($E$1),FALSE)/(LEN(VLOOKUP($D283,素材!$1:$1016,COLUMN($F$1),FALSE)) - LEN(SUBSTITUTE(VLOOKUP($D283,素材!$1:$1016,COLUMN($F$1),FALSE), "・", 0)) + 1), 0)</f>
        <v>0</v>
      </c>
      <c r="AC283">
        <f>IF(ISNUMBER(SEARCH(SUBSTITUTE(AC$1,RIGHT(AC$1,2),""),VLOOKUP($D283,素材!$1:$1016,COLUMN($F$1),FALSE))),VLOOKUP($C283,武器!$1:$998,COLUMN($O$1),FALSE)*VLOOKUP($D283,素材!$1:$1016,COLUMN($E$1),FALSE)/(LEN(VLOOKUP($D283,素材!$1:$1016,COLUMN($F$1),FALSE)) - LEN(SUBSTITUTE(VLOOKUP($D283,素材!$1:$1016,COLUMN($F$1),FALSE), "・", 0)) + 1), 0)</f>
        <v>0</v>
      </c>
      <c r="AD283">
        <f>IF(ISNUMBER(SEARCH(SUBSTITUTE(AD$1,RIGHT(AD$1,2),""),VLOOKUP($D283,素材!$1:$1016,COLUMN($F$1),FALSE))),VLOOKUP($C283,武器!$1:$998,COLUMN($O$1),FALSE)*VLOOKUP($D283,素材!$1:$1016,COLUMN($E$1),FALSE)/(LEN(VLOOKUP($D283,素材!$1:$1016,COLUMN($F$1),FALSE)) - LEN(SUBSTITUTE(VLOOKUP($D283,素材!$1:$1016,COLUMN($F$1),FALSE), "・", 0)) + 1), 0)</f>
        <v>0</v>
      </c>
      <c r="AE283">
        <f>IF(ISNUMBER(SEARCH(SUBSTITUTE(AE$1,RIGHT(AE$1,2),""),VLOOKUP($D283,素材!$1:$1016,COLUMN($F$1),FALSE))),VLOOKUP($C283,武器!$1:$998,COLUMN($O$1),FALSE)*VLOOKUP($D283,素材!$1:$1016,COLUMN($E$1),FALSE)/(LEN(VLOOKUP($D283,素材!$1:$1016,COLUMN($F$1),FALSE)) - LEN(SUBSTITUTE(VLOOKUP($D283,素材!$1:$1016,COLUMN($F$1),FALSE), "・", 0)) + 1), 0)</f>
        <v>0</v>
      </c>
      <c r="AF283">
        <f>IF(ISNUMBER(SEARCH(SUBSTITUTE(AF$1,RIGHT(AF$1,2),""),VLOOKUP($D283,素材!$1:$1016,COLUMN($F$1),FALSE))),VLOOKUP($C283,武器!$1:$998,COLUMN($O$1),FALSE)*VLOOKUP($D283,素材!$1:$1016,COLUMN($E$1),FALSE)/(LEN(VLOOKUP($D283,素材!$1:$1016,COLUMN($F$1),FALSE)) - LEN(SUBSTITUTE(VLOOKUP($D283,素材!$1:$1016,COLUMN($F$1),FALSE), "・", 0)) + 1), 0)</f>
        <v>0</v>
      </c>
      <c r="AG283">
        <f>IF(ISNUMBER(SEARCH(SUBSTITUTE(AG$1,RIGHT(AG$1,2),""),VLOOKUP($D283,素材!$1:$1016,COLUMN($F$1),FALSE))),VLOOKUP($C283,武器!$1:$998,COLUMN($O$1),FALSE)*VLOOKUP($D283,素材!$1:$1016,COLUMN($E$1),FALSE)/(LEN(VLOOKUP($D283,素材!$1:$1016,COLUMN($F$1),FALSE)) - LEN(SUBSTITUTE(VLOOKUP($D283,素材!$1:$1016,COLUMN($F$1),FALSE), "・", 0)) + 1), 0)</f>
        <v>0</v>
      </c>
      <c r="AH283">
        <f>IF(ISNUMBER(SEARCH(SUBSTITUTE(AH$1,RIGHT(AH$1,2),""),VLOOKUP($D283,素材!$1:$1016,COLUMN($F$1),FALSE))),VLOOKUP($C283,武器!$1:$998,COLUMN($O$1),FALSE)*VLOOKUP($D283,素材!$1:$1016,COLUMN($E$1),FALSE)/(LEN(VLOOKUP($D283,素材!$1:$1016,COLUMN($F$1),FALSE)) - LEN(SUBSTITUTE(VLOOKUP($D283,素材!$1:$1016,COLUMN($F$1),FALSE), "・", 0)) + 1), 0)</f>
        <v>0</v>
      </c>
      <c r="AI283">
        <f>IF(ISNUMBER(SEARCH(SUBSTITUTE(AI$1,RIGHT(AI$1,2),""),VLOOKUP($D283,素材!$1:$1016,COLUMN($F$1),FALSE))),VLOOKUP($C283,武器!$1:$998,COLUMN($O$1),FALSE)*VLOOKUP($D283,素材!$1:$1016,COLUMN($E$1),FALSE)/(LEN(VLOOKUP($D283,素材!$1:$1016,COLUMN($F$1),FALSE)) - LEN(SUBSTITUTE(VLOOKUP($D283,素材!$1:$1016,COLUMN($F$1),FALSE), "・", 0)) + 1), 0)</f>
        <v>0</v>
      </c>
      <c r="AJ283">
        <f>IF(ISNUMBER(SEARCH(SUBSTITUTE(AJ$1,RIGHT(AJ$1,2),""),VLOOKUP($D283,素材!$1:$1016,COLUMN($F$1),FALSE))),VLOOKUP($C283,武器!$1:$998,COLUMN($O$1),FALSE)*VLOOKUP($D283,素材!$1:$1016,COLUMN($E$1),FALSE)/(LEN(VLOOKUP($D283,素材!$1:$1016,COLUMN($F$1),FALSE)) - LEN(SUBSTITUTE(VLOOKUP($D283,素材!$1:$1016,COLUMN($F$1),FALSE), "・", 0)) + 1), 0)</f>
        <v>0</v>
      </c>
      <c r="AK283">
        <f>IF(ISNUMBER(SEARCH(SUBSTITUTE(AK$1,RIGHT(AK$1,2),""),VLOOKUP($D283,素材!$1:$1016,COLUMN($F$1),FALSE))),VLOOKUP($C283,武器!$1:$998,COLUMN($O$1),FALSE)*VLOOKUP($D283,素材!$1:$1016,COLUMN($E$1),FALSE)/(LEN(VLOOKUP($D283,素材!$1:$1016,COLUMN($F$1),FALSE)) - LEN(SUBSTITUTE(VLOOKUP($D283,素材!$1:$1016,COLUMN($F$1),FALSE), "・", 0)) + 1), 0)</f>
        <v>0</v>
      </c>
      <c r="AL283">
        <f>IF(ISNUMBER(SEARCH(SUBSTITUTE(AL$1,RIGHT(AL$1,2),""),VLOOKUP($D283,素材!$1:$1016,COLUMN($F$1),FALSE))),VLOOKUP($C283,武器!$1:$998,COLUMN($O$1),FALSE)*VLOOKUP($D283,素材!$1:$1016,COLUMN($E$1),FALSE)/(LEN(VLOOKUP($D283,素材!$1:$1016,COLUMN($F$1),FALSE)) - LEN(SUBSTITUTE(VLOOKUP($D283,素材!$1:$1016,COLUMN($F$1),FALSE), "・", 0)) + 1), 0)</f>
        <v>0</v>
      </c>
      <c r="AM283">
        <f>IF(ISNUMBER(SEARCH(SUBSTITUTE(AM$1,RIGHT(AM$1,2),""),VLOOKUP($D283,素材!$1:$1016,COLUMN($F$1),FALSE))),VLOOKUP($C283,武器!$1:$998,COLUMN($O$1),FALSE)*VLOOKUP($D283,素材!$1:$1016,COLUMN($E$1),FALSE)/(LEN(VLOOKUP($D283,素材!$1:$1016,COLUMN($F$1),FALSE)) - LEN(SUBSTITUTE(VLOOKUP($D283,素材!$1:$1016,COLUMN($F$1),FALSE), "・", 0)) + 1), 0)</f>
        <v>0</v>
      </c>
      <c r="AN283">
        <f>IF(ISNUMBER(SEARCH(SUBSTITUTE(AN$1,RIGHT(AN$1,2),""),VLOOKUP($D283,素材!$1:$1016,COLUMN($F$1),FALSE))),VLOOKUP($C283,武器!$1:$998,COLUMN($O$1),FALSE)*VLOOKUP($D283,素材!$1:$1016,COLUMN($E$1),FALSE)/(LEN(VLOOKUP($D283,素材!$1:$1016,COLUMN($F$1),FALSE)) - LEN(SUBSTITUTE(VLOOKUP($D283,素材!$1:$1016,COLUMN($F$1),FALSE), "・", 0)) + 1), 0)</f>
        <v>0</v>
      </c>
      <c r="AO283">
        <f>IF(ISNUMBER(SEARCH(SUBSTITUTE(AO$1,RIGHT(AO$1,2),""),VLOOKUP($D283,素材!$1:$1016,COLUMN($F$1),FALSE))),VLOOKUP($C283,武器!$1:$998,COLUMN($O$1),FALSE)*VLOOKUP($D283,素材!$1:$1016,COLUMN($E$1),FALSE)/(LEN(VLOOKUP($D283,素材!$1:$1016,COLUMN($F$1),FALSE)) - LEN(SUBSTITUTE(VLOOKUP($D283,素材!$1:$1016,COLUMN($F$1),FALSE), "・", 0)) + 1), 0)</f>
        <v>0</v>
      </c>
      <c r="AP283">
        <f>IF(ISNUMBER(SEARCH(SUBSTITUTE(AP$1,RIGHT(AP$1,2),""),VLOOKUP($D283,素材!$1:$1016,COLUMN($F$1),FALSE))),VLOOKUP($C283,武器!$1:$998,COLUMN($O$1),FALSE)*VLOOKUP($D283,素材!$1:$1016,COLUMN($E$1),FALSE)/(LEN(VLOOKUP($D283,素材!$1:$1016,COLUMN($F$1),FALSE)) - LEN(SUBSTITUTE(VLOOKUP($D283,素材!$1:$1016,COLUMN($F$1),FALSE), "・", 0)) + 1), 0)</f>
        <v>0</v>
      </c>
      <c r="AQ283">
        <f>IF(ISNUMBER(SEARCH(SUBSTITUTE(AQ$1,RIGHT(AQ$1,2),""),VLOOKUP($D283,素材!$1:$1016,COLUMN($F$1),FALSE))),VLOOKUP($C283,武器!$1:$998,COLUMN($O$1),FALSE)*VLOOKUP($D283,素材!$1:$1016,COLUMN($E$1),FALSE)/(LEN(VLOOKUP($D283,素材!$1:$1016,COLUMN($F$1),FALSE)) - LEN(SUBSTITUTE(VLOOKUP($D283,素材!$1:$1016,COLUMN($F$1),FALSE), "・", 0)) + 1), 0)</f>
        <v>0</v>
      </c>
      <c r="AR283">
        <f>IF(ISNUMBER(SEARCH(SUBSTITUTE(AR$1,RIGHT(AR$1,2),""),VLOOKUP($D283,素材!$1:$1016,COLUMN($F$1),FALSE))),VLOOKUP($C283,武器!$1:$998,COLUMN($O$1),FALSE)*VLOOKUP($D283,素材!$1:$1016,COLUMN($E$1),FALSE)/(LEN(VLOOKUP($D283,素材!$1:$1016,COLUMN($F$1),FALSE)) - LEN(SUBSTITUTE(VLOOKUP($D283,素材!$1:$1016,COLUMN($F$1),FALSE), "・", 0)) + 1), 0)</f>
        <v>0</v>
      </c>
      <c r="AS283">
        <f>IF(ISNUMBER(SEARCH(SUBSTITUTE(AS$1,RIGHT(AS$1,2),""),VLOOKUP($D283,素材!$1:$1016,COLUMN($F$1),FALSE))),VLOOKUP($C283,武器!$1:$998,COLUMN($O$1),FALSE)*VLOOKUP($D283,素材!$1:$1016,COLUMN($E$1),FALSE)/(LEN(VLOOKUP($D283,素材!$1:$1016,COLUMN($F$1),FALSE)) - LEN(SUBSTITUTE(VLOOKUP($D283,素材!$1:$1016,COLUMN($F$1),FALSE), "・", 0)) + 1), 0)</f>
        <v>0</v>
      </c>
      <c r="AT283">
        <f>IF(ISNUMBER(SEARCH(SUBSTITUTE(AT$1,RIGHT(AT$1,2),""),VLOOKUP($D283,素材!$1:$1016,COLUMN($F$1),FALSE))),VLOOKUP($C283,武器!$1:$998,COLUMN($O$1),FALSE)*VLOOKUP($D283,素材!$1:$1016,COLUMN($E$1),FALSE)/(LEN(VLOOKUP($D283,素材!$1:$1016,COLUMN($F$1),FALSE)) - LEN(SUBSTITUTE(VLOOKUP($D283,素材!$1:$1016,COLUMN($F$1),FALSE), "・", 0)) + 1), 0)</f>
        <v>0</v>
      </c>
      <c r="AU283">
        <f>IF(ISNUMBER(SEARCH(SUBSTITUTE(AU$1,RIGHT(AU$1,2),""),VLOOKUP($D283,素材!$1:$1016,COLUMN($F$1),FALSE))),VLOOKUP($C283,武器!$1:$998,COLUMN($O$1),FALSE)*VLOOKUP($D283,素材!$1:$1016,COLUMN($E$1),FALSE)/(LEN(VLOOKUP($D283,素材!$1:$1016,COLUMN($F$1),FALSE)) - LEN(SUBSTITUTE(VLOOKUP($D283,素材!$1:$1016,COLUMN($F$1),FALSE), "・", 0)) + 1), 0)</f>
        <v>0</v>
      </c>
      <c r="AV283">
        <f>IF(ISNUMBER(SEARCH(SUBSTITUTE(AV$1,RIGHT(AV$1,2),""),VLOOKUP($D283,素材!$1:$1016,COLUMN($F$1),FALSE))),VLOOKUP($C283,武器!$1:$998,COLUMN($O$1),FALSE)*VLOOKUP($D283,素材!$1:$1016,COLUMN($E$1),FALSE)/(LEN(VLOOKUP($D283,素材!$1:$1016,COLUMN($F$1),FALSE)) - LEN(SUBSTITUTE(VLOOKUP($D283,素材!$1:$1016,COLUMN($F$1),FALSE), "・", 0)) + 1), 0)</f>
        <v>0</v>
      </c>
      <c r="AW283">
        <f>IF(ISNUMBER(SEARCH(SUBSTITUTE(AW$1,RIGHT(AW$1,2),""),VLOOKUP($D283,素材!$1:$1016,COLUMN($F$1),FALSE))),VLOOKUP($C283,武器!$1:$998,COLUMN($O$1),FALSE)*VLOOKUP($D283,素材!$1:$1016,COLUMN($E$1),FALSE)/(LEN(VLOOKUP($D283,素材!$1:$1016,COLUMN($F$1),FALSE)) - LEN(SUBSTITUTE(VLOOKUP($D283,素材!$1:$1016,COLUMN($F$1),FALSE), "・", 0)) + 1), 0)</f>
        <v>0</v>
      </c>
      <c r="AX283">
        <f>IF(ISNUMBER(SEARCH(SUBSTITUTE(AX$1,RIGHT(AX$1,2),""),VLOOKUP($D283,素材!$1:$1016,COLUMN($F$1),FALSE))),VLOOKUP($C283,武器!$1:$998,COLUMN($O$1),FALSE)*VLOOKUP($D283,素材!$1:$1016,COLUMN($E$1),FALSE)/(LEN(VLOOKUP($D283,素材!$1:$1016,COLUMN($F$1),FALSE)) - LEN(SUBSTITUTE(VLOOKUP($D283,素材!$1:$1016,COLUMN($F$1),FALSE), "・", 0)) + 1), 0)</f>
        <v>0</v>
      </c>
      <c r="AY283">
        <f>IF(ISNUMBER(SEARCH(SUBSTITUTE(AY$1,RIGHT(AY$1,2),""),VLOOKUP($D283,素材!$1:$1016,COLUMN($F$1),FALSE))),VLOOKUP($C283,武器!$1:$998,COLUMN($O$1),FALSE)*VLOOKUP($D283,素材!$1:$1016,COLUMN($E$1),FALSE)/(LEN(VLOOKUP($D283,素材!$1:$1016,COLUMN($F$1),FALSE)) - LEN(SUBSTITUTE(VLOOKUP($D283,素材!$1:$1016,COLUMN($F$1),FALSE), "・", 0)) + 1), 0)</f>
        <v>0</v>
      </c>
      <c r="AZ283">
        <f>IF(ISNUMBER(SEARCH(SUBSTITUTE(AZ$1,RIGHT(AZ$1,2),""),VLOOKUP($D283,素材!$1:$1016,COLUMN($F$1),FALSE))),VLOOKUP($C283,武器!$1:$998,COLUMN($O$1),FALSE)*VLOOKUP($D283,素材!$1:$1016,COLUMN($E$1),FALSE)/(LEN(VLOOKUP($D283,素材!$1:$1016,COLUMN($F$1),FALSE)) - LEN(SUBSTITUTE(VLOOKUP($D283,素材!$1:$1016,COLUMN($F$1),FALSE), "・", 0)) + 1), 0)</f>
        <v>0</v>
      </c>
      <c r="BA283">
        <f>IF(ISNUMBER(SEARCH(SUBSTITUTE(BA$1,RIGHT(BA$1,2),""),VLOOKUP($D283,素材!$1:$1016,COLUMN($F$1),FALSE))),VLOOKUP($C283,武器!$1:$998,COLUMN($O$1),FALSE)*VLOOKUP($D283,素材!$1:$1016,COLUMN($E$1),FALSE)/(LEN(VLOOKUP($D283,素材!$1:$1016,COLUMN($F$1),FALSE)) - LEN(SUBSTITUTE(VLOOKUP($D283,素材!$1:$1016,COLUMN($F$1),FALSE), "・", 0)) + 1), 0)</f>
        <v>0</v>
      </c>
      <c r="BB283">
        <f>IF(ISNUMBER(SEARCH(SUBSTITUTE(BB$1,RIGHT(BB$1,2),""),VLOOKUP($D283,素材!$1:$1016,COLUMN($F$1),FALSE))),VLOOKUP($C283,武器!$1:$998,COLUMN($O$1),FALSE)*VLOOKUP($D283,素材!$1:$1016,COLUMN($E$1),FALSE)/(LEN(VLOOKUP($D283,素材!$1:$1016,COLUMN($F$1),FALSE)) - LEN(SUBSTITUTE(VLOOKUP($D283,素材!$1:$1016,COLUMN($F$1),FALSE), "・", 0)) + 1), 0)</f>
        <v>0</v>
      </c>
      <c r="BC283">
        <f>IF(ISNUMBER(SEARCH(SUBSTITUTE(BC$1,RIGHT(BC$1,2),""),VLOOKUP($D283,素材!$1:$1016,COLUMN($F$1),FALSE))),VLOOKUP($C283,武器!$1:$998,COLUMN($O$1),FALSE)*VLOOKUP($D283,素材!$1:$1016,COLUMN($E$1),FALSE)/(LEN(VLOOKUP($D283,素材!$1:$1016,COLUMN($F$1),FALSE)) - LEN(SUBSTITUTE(VLOOKUP($D283,素材!$1:$1016,COLUMN($F$1),FALSE), "・", 0)) + 1), 0)</f>
        <v>0</v>
      </c>
      <c r="BD283">
        <f>IF(ISNUMBER(SEARCH(SUBSTITUTE(BD$1,RIGHT(BD$1,2),""),VLOOKUP($D283,素材!$1:$1016,COLUMN($F$1),FALSE))),VLOOKUP($C283,武器!$1:$998,COLUMN($O$1),FALSE)*VLOOKUP($D283,素材!$1:$1016,COLUMN($E$1),FALSE)/(LEN(VLOOKUP($D283,素材!$1:$1016,COLUMN($F$1),FALSE)) - LEN(SUBSTITUTE(VLOOKUP($D283,素材!$1:$1016,COLUMN($F$1),FALSE), "・", 0)) + 1), 0)</f>
        <v>0</v>
      </c>
      <c r="BE283">
        <f>IF(ISNUMBER(SEARCH(SUBSTITUTE(BE$1,RIGHT(BE$1,2),""),VLOOKUP($D283,素材!$1:$1016,COLUMN($F$1),FALSE))),VLOOKUP($C283,武器!$1:$998,COLUMN($O$1),FALSE)*VLOOKUP($D283,素材!$1:$1016,COLUMN($E$1),FALSE)/(LEN(VLOOKUP($D283,素材!$1:$1016,COLUMN($F$1),FALSE)) - LEN(SUBSTITUTE(VLOOKUP($D283,素材!$1:$1016,COLUMN($F$1),FALSE), "・", 0)) + 1), 0)</f>
        <v>0</v>
      </c>
      <c r="CL283">
        <f>SUM(G283:I283)</f>
        <v>0</v>
      </c>
      <c r="CM283" s="22" t="str">
        <f>IF(E283="武器",IF(J283-1&gt;SUM(G283:I283),"盾",IF(MAX(G283:I283)=G283,"切断",IF(MAX(G283:I283)=H283,"貫通",IF(MAX(G283:I283)=I283,"打撃","射撃")))),E283)&amp;".webp"</f>
        <v>装飾.webp</v>
      </c>
      <c r="CN283">
        <f>IFERROR(VLOOKUP($C283,武器!$1:$998,COLUMN(V$1),FALSE)*VLOOKUP($D283,素材!$1:$1016,COLUMN(N$1),FALSE)+IF(CI283="",0,VLOOKUP($CI283,装強!$1:$1008,COLUMN($CK$1),FALSE)),"")</f>
        <v>1500</v>
      </c>
      <c r="CO283" t="str">
        <f>VLOOKUP(D283,素材!$A:$O,COLUMN(素材!O$1),FALSE)</f>
        <v>魔力を帯びた特殊な皮素材。魔法防御や属性耐性を強化する効果があり、高レベルの冒険者に重宝されます。</v>
      </c>
      <c r="CP283" t="str">
        <f>VLOOKUP(C283,武器!$A:$W,COLUMN(武器!W$1),FALSE)</f>
        <v xml:space="preserve">防御 隠密 </v>
      </c>
      <c r="CR283" t="str">
        <f t="shared" si="33"/>
        <v>e_283</v>
      </c>
      <c r="CS283">
        <f t="shared" si="34"/>
        <v>150000</v>
      </c>
    </row>
    <row r="284" spans="1:97" hidden="1" outlineLevel="1" x14ac:dyDescent="0.4">
      <c r="A284" t="str">
        <f>IF(CI284="",D284&amp;"の"&amp;C284,CI284&amp;"の"&amp;C284)</f>
        <v>の</v>
      </c>
      <c r="B284" t="str">
        <f>IFERROR(IF(CI284="",VLOOKUP($D284,素材!$1:$1016,COLUMN($B$1),FALSE)&amp;"・"&amp;VLOOKUP($C284,武器!$1:$998,COLUMN(B$1),FALSE),VLOOKUP($CI284,装強!$1:$1008,COLUMN($B$1),FALSE)&amp;"・"&amp;VLOOKUP($C284,武器!$1:$998,COLUMN(B$1),FALSE)),"")</f>
        <v/>
      </c>
      <c r="C284" s="24"/>
      <c r="D284" s="24"/>
      <c r="E284" t="str">
        <f>IFERROR(VLOOKUP(C284,武器!$1:$998,COLUMN(C$1),FALSE),"")</f>
        <v/>
      </c>
      <c r="F284" t="str">
        <f>IFERROR(ROUNDDOWN((VLOOKUP($C284,武器!$1:$998,COLUMN(D$1),FALSE)+IFERROR(VLOOKUP($CI284,装強!$1:$999,COLUMN(F$1),FALSE),0))*VLOOKUP($D284,素材!$1:$1016,COLUMN(D$1),FALSE),0),"")</f>
        <v/>
      </c>
      <c r="G284" t="str">
        <f>IFERROR(ROUNDDOWN((VLOOKUP($C284,武器!$1:$998,COLUMN(E$1),FALSE)+IFERROR(VLOOKUP($CI284,装強!$1:$999,COLUMN(G$1),FALSE),0))*VLOOKUP($D284,素材!$1:$1016,COLUMN($E$1),FALSE),0),"")</f>
        <v/>
      </c>
      <c r="H284" t="str">
        <f>IFERROR(ROUNDDOWN((VLOOKUP($C284,武器!$1:$998,COLUMN(F$1),FALSE)+IFERROR(VLOOKUP($CI284,装強!$1:$999,COLUMN(H$1),FALSE),0))*VLOOKUP($D284,素材!$1:$1016,COLUMN($E$1),FALSE),0),"")</f>
        <v/>
      </c>
      <c r="I284" t="str">
        <f>IFERROR(ROUNDDOWN((VLOOKUP($C284,武器!$1:$998,COLUMN(G$1),FALSE)+IFERROR(VLOOKUP($CI284,装強!$1:$999,COLUMN(I$1),FALSE),0))*VLOOKUP($D284,素材!$1:$1016,COLUMN($E$1),FALSE),0),"")</f>
        <v/>
      </c>
      <c r="J284" t="str">
        <f>IFERROR(ROUNDDOWN((VLOOKUP($C284,武器!$1:$998,COLUMN(H$1),FALSE)+IFERROR(VLOOKUP($CI284,装強!$1:$999,COLUMN(J$1),FALSE),0))*VLOOKUP($D284,素材!$1:$1016,COLUMN($E$1),FALSE),0),"")</f>
        <v/>
      </c>
      <c r="K284" t="str">
        <f>IFERROR(ROUNDDOWN((VLOOKUP($C284,武器!$1:$998,COLUMN(I$1),FALSE)+IFERROR(VLOOKUP($CI284,装強!$1:$999,COLUMN(K$1),FALSE),0))*VLOOKUP($D284,素材!$1:$1016,COLUMN($E$1),FALSE),0),"")</f>
        <v/>
      </c>
      <c r="L284" t="str">
        <f>IFERROR(VLOOKUP($D284,素材!$1:$1016,COLUMN($F$1),FALSE),"")</f>
        <v/>
      </c>
      <c r="M284" t="str">
        <f>IFERROR(VLOOKUP($C284,武器!$1:$998,COLUMN(AA$1),FALSE)*VLOOKUP($D284,素材!$1:$1016,COLUMN($G$1),FALSE),"")</f>
        <v/>
      </c>
      <c r="N284" t="str">
        <f>IFERROR(VLOOKUP($C284,武器!$1:$998,COLUMN(I$1),FALSE),"")</f>
        <v/>
      </c>
      <c r="O284" s="23" t="str">
        <f>IFERROR((VLOOKUP($C284,武器!$1:$998,COLUMN(K$1),FALSE)+VLOOKUP($D284,素材!$1:$1016,COLUMN(H$1),FALSE))*100+IFERROR(VLOOKUP($CI284,装強!$1:$999,COLUMN(O$1),FALSE),0),"")</f>
        <v/>
      </c>
      <c r="P284" s="23" t="str">
        <f>IFERROR((VLOOKUP($C284,武器!$1:$998,COLUMN(L$1),FALSE)+VLOOKUP($D284,素材!$1:$1016,COLUMN(I$1),FALSE))*100+IFERROR(VLOOKUP($CI284,装強!$1:$999,COLUMN(P$1),FALSE),0),"")</f>
        <v/>
      </c>
      <c r="Q284" t="str">
        <f>IFERROR(ROUNDUP(VLOOKUP($C284,武器!$1:$998,COLUMN(M$1),FALSE)*(VLOOKUP($D284,素材!$1:$1002,COLUMN(D$1),FALSE)/100),1),"")</f>
        <v/>
      </c>
      <c r="R284" t="str">
        <f>IFERROR(ROUNDUP(VLOOKUP($C284,武器!$1:$998,COLUMN(N$1),FALSE)*(VLOOKUP($D284,素材!$1:$1002,COLUMN(D$1),FALSE)/100),1),"")</f>
        <v/>
      </c>
      <c r="S284" t="str">
        <f>IFERROR(VLOOKUP($C284,武器!$1:$998,COLUMN(P$1),FALSE),"")</f>
        <v/>
      </c>
      <c r="T284" t="str">
        <f>IFERROR(VLOOKUP($C284,武器!$1:$998,COLUMN(Q$1),FALSE),"")</f>
        <v/>
      </c>
      <c r="U284" t="str">
        <f>IFERROR(VLOOKUP($C284,武器!$1:$998,COLUMN(R$1),FALSE),"")</f>
        <v/>
      </c>
      <c r="V284" t="str">
        <f>IFERROR(VLOOKUP($C284,武器!$1:$998,COLUMN(Q$1),FALSE),"")</f>
        <v/>
      </c>
      <c r="W284" t="str">
        <f>IFERROR(VLOOKUP($C284,武器!$1:$998,COLUMN(T$1),FALSE),"")</f>
        <v/>
      </c>
      <c r="Y284" t="str">
        <f>IFERROR(VLOOKUP($C284,武器!$1:$998,COLUMN(U$1),FALSE),"")</f>
        <v/>
      </c>
      <c r="Z284" t="str">
        <f>IFERROR(ROUNDUP(VLOOKUP($C284,武器!$1:$998,COLUMN(O$1),FALSE)*VLOOKUP($D284,素材!$1:$1016,COLUMN(E$1),FALSE),1),"")</f>
        <v/>
      </c>
      <c r="AA284">
        <f>IF(ISNUMBER(SEARCH(SUBSTITUTE(AA$1,RIGHT(AA$1,2),""),VLOOKUP($D284,素材!$1:$1016,COLUMN($F$1),FALSE))),VLOOKUP($C284,武器!$1:$998,COLUMN($O$1),FALSE)*VLOOKUP($D284,素材!$1:$1016,COLUMN($E$1),FALSE)/(LEN(VLOOKUP($D284,素材!$1:$1016,COLUMN($F$1),FALSE)) - LEN(SUBSTITUTE(VLOOKUP($D284,素材!$1:$1016,COLUMN($F$1),FALSE), "・", 0)) + 1), 0)</f>
        <v>0</v>
      </c>
      <c r="AB284">
        <f>IF(ISNUMBER(SEARCH(SUBSTITUTE(AB$1,RIGHT(AB$1,2),""),VLOOKUP($D284,素材!$1:$1016,COLUMN($F$1),FALSE))),VLOOKUP($C284,武器!$1:$998,COLUMN($O$1),FALSE)*VLOOKUP($D284,素材!$1:$1016,COLUMN($E$1),FALSE)/(LEN(VLOOKUP($D284,素材!$1:$1016,COLUMN($F$1),FALSE)) - LEN(SUBSTITUTE(VLOOKUP($D284,素材!$1:$1016,COLUMN($F$1),FALSE), "・", 0)) + 1), 0)</f>
        <v>0</v>
      </c>
      <c r="AC284">
        <f>IF(ISNUMBER(SEARCH(SUBSTITUTE(AC$1,RIGHT(AC$1,2),""),VLOOKUP($D284,素材!$1:$1016,COLUMN($F$1),FALSE))),VLOOKUP($C284,武器!$1:$998,COLUMN($O$1),FALSE)*VLOOKUP($D284,素材!$1:$1016,COLUMN($E$1),FALSE)/(LEN(VLOOKUP($D284,素材!$1:$1016,COLUMN($F$1),FALSE)) - LEN(SUBSTITUTE(VLOOKUP($D284,素材!$1:$1016,COLUMN($F$1),FALSE), "・", 0)) + 1), 0)</f>
        <v>0</v>
      </c>
      <c r="AD284">
        <f>IF(ISNUMBER(SEARCH(SUBSTITUTE(AD$1,RIGHT(AD$1,2),""),VLOOKUP($D284,素材!$1:$1016,COLUMN($F$1),FALSE))),VLOOKUP($C284,武器!$1:$998,COLUMN($O$1),FALSE)*VLOOKUP($D284,素材!$1:$1016,COLUMN($E$1),FALSE)/(LEN(VLOOKUP($D284,素材!$1:$1016,COLUMN($F$1),FALSE)) - LEN(SUBSTITUTE(VLOOKUP($D284,素材!$1:$1016,COLUMN($F$1),FALSE), "・", 0)) + 1), 0)</f>
        <v>0</v>
      </c>
      <c r="AE284">
        <f>IF(ISNUMBER(SEARCH(SUBSTITUTE(AE$1,RIGHT(AE$1,2),""),VLOOKUP($D284,素材!$1:$1016,COLUMN($F$1),FALSE))),VLOOKUP($C284,武器!$1:$998,COLUMN($O$1),FALSE)*VLOOKUP($D284,素材!$1:$1016,COLUMN($E$1),FALSE)/(LEN(VLOOKUP($D284,素材!$1:$1016,COLUMN($F$1),FALSE)) - LEN(SUBSTITUTE(VLOOKUP($D284,素材!$1:$1016,COLUMN($F$1),FALSE), "・", 0)) + 1), 0)</f>
        <v>0</v>
      </c>
      <c r="AF284">
        <f>IF(ISNUMBER(SEARCH(SUBSTITUTE(AF$1,RIGHT(AF$1,2),""),VLOOKUP($D284,素材!$1:$1016,COLUMN($F$1),FALSE))),VLOOKUP($C284,武器!$1:$998,COLUMN($O$1),FALSE)*VLOOKUP($D284,素材!$1:$1016,COLUMN($E$1),FALSE)/(LEN(VLOOKUP($D284,素材!$1:$1016,COLUMN($F$1),FALSE)) - LEN(SUBSTITUTE(VLOOKUP($D284,素材!$1:$1016,COLUMN($F$1),FALSE), "・", 0)) + 1), 0)</f>
        <v>0</v>
      </c>
      <c r="AG284">
        <f>IF(ISNUMBER(SEARCH(SUBSTITUTE(AG$1,RIGHT(AG$1,2),""),VLOOKUP($D284,素材!$1:$1016,COLUMN($F$1),FALSE))),VLOOKUP($C284,武器!$1:$998,COLUMN($O$1),FALSE)*VLOOKUP($D284,素材!$1:$1016,COLUMN($E$1),FALSE)/(LEN(VLOOKUP($D284,素材!$1:$1016,COLUMN($F$1),FALSE)) - LEN(SUBSTITUTE(VLOOKUP($D284,素材!$1:$1016,COLUMN($F$1),FALSE), "・", 0)) + 1), 0)</f>
        <v>0</v>
      </c>
      <c r="AH284">
        <f>IF(ISNUMBER(SEARCH(SUBSTITUTE(AH$1,RIGHT(AH$1,2),""),VLOOKUP($D284,素材!$1:$1016,COLUMN($F$1),FALSE))),VLOOKUP($C284,武器!$1:$998,COLUMN($O$1),FALSE)*VLOOKUP($D284,素材!$1:$1016,COLUMN($E$1),FALSE)/(LEN(VLOOKUP($D284,素材!$1:$1016,COLUMN($F$1),FALSE)) - LEN(SUBSTITUTE(VLOOKUP($D284,素材!$1:$1016,COLUMN($F$1),FALSE), "・", 0)) + 1), 0)</f>
        <v>0</v>
      </c>
      <c r="AI284">
        <f>IF(ISNUMBER(SEARCH(SUBSTITUTE(AI$1,RIGHT(AI$1,2),""),VLOOKUP($D284,素材!$1:$1016,COLUMN($F$1),FALSE))),VLOOKUP($C284,武器!$1:$998,COLUMN($O$1),FALSE)*VLOOKUP($D284,素材!$1:$1016,COLUMN($E$1),FALSE)/(LEN(VLOOKUP($D284,素材!$1:$1016,COLUMN($F$1),FALSE)) - LEN(SUBSTITUTE(VLOOKUP($D284,素材!$1:$1016,COLUMN($F$1),FALSE), "・", 0)) + 1), 0)</f>
        <v>0</v>
      </c>
      <c r="AJ284">
        <f>IF(ISNUMBER(SEARCH(SUBSTITUTE(AJ$1,RIGHT(AJ$1,2),""),VLOOKUP($D284,素材!$1:$1016,COLUMN($F$1),FALSE))),VLOOKUP($C284,武器!$1:$998,COLUMN($O$1),FALSE)*VLOOKUP($D284,素材!$1:$1016,COLUMN($E$1),FALSE)/(LEN(VLOOKUP($D284,素材!$1:$1016,COLUMN($F$1),FALSE)) - LEN(SUBSTITUTE(VLOOKUP($D284,素材!$1:$1016,COLUMN($F$1),FALSE), "・", 0)) + 1), 0)</f>
        <v>0</v>
      </c>
      <c r="AK284">
        <f>IF(ISNUMBER(SEARCH(SUBSTITUTE(AK$1,RIGHT(AK$1,2),""),VLOOKUP($D284,素材!$1:$1016,COLUMN($F$1),FALSE))),VLOOKUP($C284,武器!$1:$998,COLUMN($O$1),FALSE)*VLOOKUP($D284,素材!$1:$1016,COLUMN($E$1),FALSE)/(LEN(VLOOKUP($D284,素材!$1:$1016,COLUMN($F$1),FALSE)) - LEN(SUBSTITUTE(VLOOKUP($D284,素材!$1:$1016,COLUMN($F$1),FALSE), "・", 0)) + 1), 0)</f>
        <v>0</v>
      </c>
      <c r="AL284">
        <f>IF(ISNUMBER(SEARCH(SUBSTITUTE(AL$1,RIGHT(AL$1,2),""),VLOOKUP($D284,素材!$1:$1016,COLUMN($F$1),FALSE))),VLOOKUP($C284,武器!$1:$998,COLUMN($O$1),FALSE)*VLOOKUP($D284,素材!$1:$1016,COLUMN($E$1),FALSE)/(LEN(VLOOKUP($D284,素材!$1:$1016,COLUMN($F$1),FALSE)) - LEN(SUBSTITUTE(VLOOKUP($D284,素材!$1:$1016,COLUMN($F$1),FALSE), "・", 0)) + 1), 0)</f>
        <v>0</v>
      </c>
      <c r="AM284">
        <f>IF(ISNUMBER(SEARCH(SUBSTITUTE(AM$1,RIGHT(AM$1,2),""),VLOOKUP($D284,素材!$1:$1016,COLUMN($F$1),FALSE))),VLOOKUP($C284,武器!$1:$998,COLUMN($O$1),FALSE)*VLOOKUP($D284,素材!$1:$1016,COLUMN($E$1),FALSE)/(LEN(VLOOKUP($D284,素材!$1:$1016,COLUMN($F$1),FALSE)) - LEN(SUBSTITUTE(VLOOKUP($D284,素材!$1:$1016,COLUMN($F$1),FALSE), "・", 0)) + 1), 0)</f>
        <v>0</v>
      </c>
      <c r="AN284">
        <f>IF(ISNUMBER(SEARCH(SUBSTITUTE(AN$1,RIGHT(AN$1,2),""),VLOOKUP($D284,素材!$1:$1016,COLUMN($F$1),FALSE))),VLOOKUP($C284,武器!$1:$998,COLUMN($O$1),FALSE)*VLOOKUP($D284,素材!$1:$1016,COLUMN($E$1),FALSE)/(LEN(VLOOKUP($D284,素材!$1:$1016,COLUMN($F$1),FALSE)) - LEN(SUBSTITUTE(VLOOKUP($D284,素材!$1:$1016,COLUMN($F$1),FALSE), "・", 0)) + 1), 0)</f>
        <v>0</v>
      </c>
      <c r="AO284">
        <f>IF(ISNUMBER(SEARCH(SUBSTITUTE(AO$1,RIGHT(AO$1,2),""),VLOOKUP($D284,素材!$1:$1016,COLUMN($F$1),FALSE))),VLOOKUP($C284,武器!$1:$998,COLUMN($O$1),FALSE)*VLOOKUP($D284,素材!$1:$1016,COLUMN($E$1),FALSE)/(LEN(VLOOKUP($D284,素材!$1:$1016,COLUMN($F$1),FALSE)) - LEN(SUBSTITUTE(VLOOKUP($D284,素材!$1:$1016,COLUMN($F$1),FALSE), "・", 0)) + 1), 0)</f>
        <v>0</v>
      </c>
      <c r="AP284">
        <f>IF(ISNUMBER(SEARCH(SUBSTITUTE(AP$1,RIGHT(AP$1,2),""),VLOOKUP($D284,素材!$1:$1016,COLUMN($F$1),FALSE))),VLOOKUP($C284,武器!$1:$998,COLUMN($O$1),FALSE)*VLOOKUP($D284,素材!$1:$1016,COLUMN($E$1),FALSE)/(LEN(VLOOKUP($D284,素材!$1:$1016,COLUMN($F$1),FALSE)) - LEN(SUBSTITUTE(VLOOKUP($D284,素材!$1:$1016,COLUMN($F$1),FALSE), "・", 0)) + 1), 0)</f>
        <v>0</v>
      </c>
      <c r="AQ284">
        <f>IF(ISNUMBER(SEARCH(SUBSTITUTE(AQ$1,RIGHT(AQ$1,2),""),VLOOKUP($D284,素材!$1:$1016,COLUMN($F$1),FALSE))),VLOOKUP($C284,武器!$1:$998,COLUMN($O$1),FALSE)*VLOOKUP($D284,素材!$1:$1016,COLUMN($E$1),FALSE)/(LEN(VLOOKUP($D284,素材!$1:$1016,COLUMN($F$1),FALSE)) - LEN(SUBSTITUTE(VLOOKUP($D284,素材!$1:$1016,COLUMN($F$1),FALSE), "・", 0)) + 1), 0)</f>
        <v>0</v>
      </c>
      <c r="AR284">
        <f>IF(ISNUMBER(SEARCH(SUBSTITUTE(AR$1,RIGHT(AR$1,2),""),VLOOKUP($D284,素材!$1:$1016,COLUMN($F$1),FALSE))),VLOOKUP($C284,武器!$1:$998,COLUMN($O$1),FALSE)*VLOOKUP($D284,素材!$1:$1016,COLUMN($E$1),FALSE)/(LEN(VLOOKUP($D284,素材!$1:$1016,COLUMN($F$1),FALSE)) - LEN(SUBSTITUTE(VLOOKUP($D284,素材!$1:$1016,COLUMN($F$1),FALSE), "・", 0)) + 1), 0)</f>
        <v>0</v>
      </c>
      <c r="AS284">
        <f>IF(ISNUMBER(SEARCH(SUBSTITUTE(AS$1,RIGHT(AS$1,2),""),VLOOKUP($D284,素材!$1:$1016,COLUMN($F$1),FALSE))),VLOOKUP($C284,武器!$1:$998,COLUMN($O$1),FALSE)*VLOOKUP($D284,素材!$1:$1016,COLUMN($E$1),FALSE)/(LEN(VLOOKUP($D284,素材!$1:$1016,COLUMN($F$1),FALSE)) - LEN(SUBSTITUTE(VLOOKUP($D284,素材!$1:$1016,COLUMN($F$1),FALSE), "・", 0)) + 1), 0)</f>
        <v>0</v>
      </c>
      <c r="AT284">
        <f>IF(ISNUMBER(SEARCH(SUBSTITUTE(AT$1,RIGHT(AT$1,2),""),VLOOKUP($D284,素材!$1:$1016,COLUMN($F$1),FALSE))),VLOOKUP($C284,武器!$1:$998,COLUMN($O$1),FALSE)*VLOOKUP($D284,素材!$1:$1016,COLUMN($E$1),FALSE)/(LEN(VLOOKUP($D284,素材!$1:$1016,COLUMN($F$1),FALSE)) - LEN(SUBSTITUTE(VLOOKUP($D284,素材!$1:$1016,COLUMN($F$1),FALSE), "・", 0)) + 1), 0)</f>
        <v>0</v>
      </c>
      <c r="AU284">
        <f>IF(ISNUMBER(SEARCH(SUBSTITUTE(AU$1,RIGHT(AU$1,2),""),VLOOKUP($D284,素材!$1:$1016,COLUMN($F$1),FALSE))),VLOOKUP($C284,武器!$1:$998,COLUMN($O$1),FALSE)*VLOOKUP($D284,素材!$1:$1016,COLUMN($E$1),FALSE)/(LEN(VLOOKUP($D284,素材!$1:$1016,COLUMN($F$1),FALSE)) - LEN(SUBSTITUTE(VLOOKUP($D284,素材!$1:$1016,COLUMN($F$1),FALSE), "・", 0)) + 1), 0)</f>
        <v>0</v>
      </c>
      <c r="AV284">
        <f>IF(ISNUMBER(SEARCH(SUBSTITUTE(AV$1,RIGHT(AV$1,2),""),VLOOKUP($D284,素材!$1:$1016,COLUMN($F$1),FALSE))),VLOOKUP($C284,武器!$1:$998,COLUMN($O$1),FALSE)*VLOOKUP($D284,素材!$1:$1016,COLUMN($E$1),FALSE)/(LEN(VLOOKUP($D284,素材!$1:$1016,COLUMN($F$1),FALSE)) - LEN(SUBSTITUTE(VLOOKUP($D284,素材!$1:$1016,COLUMN($F$1),FALSE), "・", 0)) + 1), 0)</f>
        <v>0</v>
      </c>
      <c r="AW284">
        <f>IF(ISNUMBER(SEARCH(SUBSTITUTE(AW$1,RIGHT(AW$1,2),""),VLOOKUP($D284,素材!$1:$1016,COLUMN($F$1),FALSE))),VLOOKUP($C284,武器!$1:$998,COLUMN($O$1),FALSE)*VLOOKUP($D284,素材!$1:$1016,COLUMN($E$1),FALSE)/(LEN(VLOOKUP($D284,素材!$1:$1016,COLUMN($F$1),FALSE)) - LEN(SUBSTITUTE(VLOOKUP($D284,素材!$1:$1016,COLUMN($F$1),FALSE), "・", 0)) + 1), 0)</f>
        <v>0</v>
      </c>
      <c r="AX284">
        <f>IF(ISNUMBER(SEARCH(SUBSTITUTE(AX$1,RIGHT(AX$1,2),""),VLOOKUP($D284,素材!$1:$1016,COLUMN($F$1),FALSE))),VLOOKUP($C284,武器!$1:$998,COLUMN($O$1),FALSE)*VLOOKUP($D284,素材!$1:$1016,COLUMN($E$1),FALSE)/(LEN(VLOOKUP($D284,素材!$1:$1016,COLUMN($F$1),FALSE)) - LEN(SUBSTITUTE(VLOOKUP($D284,素材!$1:$1016,COLUMN($F$1),FALSE), "・", 0)) + 1), 0)</f>
        <v>0</v>
      </c>
      <c r="AY284">
        <f>IF(ISNUMBER(SEARCH(SUBSTITUTE(AY$1,RIGHT(AY$1,2),""),VLOOKUP($D284,素材!$1:$1016,COLUMN($F$1),FALSE))),VLOOKUP($C284,武器!$1:$998,COLUMN($O$1),FALSE)*VLOOKUP($D284,素材!$1:$1016,COLUMN($E$1),FALSE)/(LEN(VLOOKUP($D284,素材!$1:$1016,COLUMN($F$1),FALSE)) - LEN(SUBSTITUTE(VLOOKUP($D284,素材!$1:$1016,COLUMN($F$1),FALSE), "・", 0)) + 1), 0)</f>
        <v>0</v>
      </c>
      <c r="AZ284">
        <f>IF(ISNUMBER(SEARCH(SUBSTITUTE(AZ$1,RIGHT(AZ$1,2),""),VLOOKUP($D284,素材!$1:$1016,COLUMN($F$1),FALSE))),VLOOKUP($C284,武器!$1:$998,COLUMN($O$1),FALSE)*VLOOKUP($D284,素材!$1:$1016,COLUMN($E$1),FALSE)/(LEN(VLOOKUP($D284,素材!$1:$1016,COLUMN($F$1),FALSE)) - LEN(SUBSTITUTE(VLOOKUP($D284,素材!$1:$1016,COLUMN($F$1),FALSE), "・", 0)) + 1), 0)</f>
        <v>0</v>
      </c>
      <c r="BA284">
        <f>IF(ISNUMBER(SEARCH(SUBSTITUTE(BA$1,RIGHT(BA$1,2),""),VLOOKUP($D284,素材!$1:$1016,COLUMN($F$1),FALSE))),VLOOKUP($C284,武器!$1:$998,COLUMN($O$1),FALSE)*VLOOKUP($D284,素材!$1:$1016,COLUMN($E$1),FALSE)/(LEN(VLOOKUP($D284,素材!$1:$1016,COLUMN($F$1),FALSE)) - LEN(SUBSTITUTE(VLOOKUP($D284,素材!$1:$1016,COLUMN($F$1),FALSE), "・", 0)) + 1), 0)</f>
        <v>0</v>
      </c>
      <c r="BB284">
        <f>IF(ISNUMBER(SEARCH(SUBSTITUTE(BB$1,RIGHT(BB$1,2),""),VLOOKUP($D284,素材!$1:$1016,COLUMN($F$1),FALSE))),VLOOKUP($C284,武器!$1:$998,COLUMN($O$1),FALSE)*VLOOKUP($D284,素材!$1:$1016,COLUMN($E$1),FALSE)/(LEN(VLOOKUP($D284,素材!$1:$1016,COLUMN($F$1),FALSE)) - LEN(SUBSTITUTE(VLOOKUP($D284,素材!$1:$1016,COLUMN($F$1),FALSE), "・", 0)) + 1), 0)</f>
        <v>0</v>
      </c>
      <c r="BC284">
        <f>IF(ISNUMBER(SEARCH(SUBSTITUTE(BC$1,RIGHT(BC$1,2),""),VLOOKUP($D284,素材!$1:$1016,COLUMN($F$1),FALSE))),VLOOKUP($C284,武器!$1:$998,COLUMN($O$1),FALSE)*VLOOKUP($D284,素材!$1:$1016,COLUMN($E$1),FALSE)/(LEN(VLOOKUP($D284,素材!$1:$1016,COLUMN($F$1),FALSE)) - LEN(SUBSTITUTE(VLOOKUP($D284,素材!$1:$1016,COLUMN($F$1),FALSE), "・", 0)) + 1), 0)</f>
        <v>0</v>
      </c>
      <c r="BD284">
        <f>IF(ISNUMBER(SEARCH(SUBSTITUTE(BD$1,RIGHT(BD$1,2),""),VLOOKUP($D284,素材!$1:$1016,COLUMN($F$1),FALSE))),VLOOKUP($C284,武器!$1:$998,COLUMN($O$1),FALSE)*VLOOKUP($D284,素材!$1:$1016,COLUMN($E$1),FALSE)/(LEN(VLOOKUP($D284,素材!$1:$1016,COLUMN($F$1),FALSE)) - LEN(SUBSTITUTE(VLOOKUP($D284,素材!$1:$1016,COLUMN($F$1),FALSE), "・", 0)) + 1), 0)</f>
        <v>0</v>
      </c>
      <c r="BE284">
        <f>IF(ISNUMBER(SEARCH(SUBSTITUTE(BE$1,RIGHT(BE$1,2),""),VLOOKUP($D284,素材!$1:$1016,COLUMN($F$1),FALSE))),VLOOKUP($C284,武器!$1:$998,COLUMN($O$1),FALSE)*VLOOKUP($D284,素材!$1:$1016,COLUMN($E$1),FALSE)/(LEN(VLOOKUP($D284,素材!$1:$1016,COLUMN($F$1),FALSE)) - LEN(SUBSTITUTE(VLOOKUP($D284,素材!$1:$1016,COLUMN($F$1),FALSE), "・", 0)) + 1), 0)</f>
        <v>0</v>
      </c>
      <c r="CL284">
        <f>SUM(G284:I284)</f>
        <v>0</v>
      </c>
      <c r="CM284" s="22" t="str">
        <f>IF(E284="武器",IF(J284-1&gt;SUM(G284:I284),"盾",IF(MAX(G284:I284)=G284,"切断",IF(MAX(G284:I284)=H284,"貫通",IF(MAX(G284:I284)=I284,"打撃","射撃")))),E284)&amp;".webp"</f>
        <v>.webp</v>
      </c>
      <c r="CN284" t="str">
        <f>IFERROR(VLOOKUP($C284,武器!$1:$998,COLUMN(V$1),FALSE)*VLOOKUP($D284,素材!$1:$1016,COLUMN(N$1),FALSE)+IF(CI284="",0,VLOOKUP($CI284,装強!$1:$1008,COLUMN($CK$1),FALSE)),"")</f>
        <v/>
      </c>
      <c r="CO284" t="e">
        <f>VLOOKUP(D284,素材!$A:$O,COLUMN(素材!O$1),FALSE)</f>
        <v>#N/A</v>
      </c>
      <c r="CP284" t="e">
        <f>VLOOKUP(C284,武器!$A:$W,COLUMN(武器!W$1),FALSE)</f>
        <v>#N/A</v>
      </c>
      <c r="CR284" t="str">
        <f t="shared" si="33"/>
        <v>e_284</v>
      </c>
      <c r="CS284" t="e">
        <f t="shared" si="34"/>
        <v>#VALUE!</v>
      </c>
    </row>
    <row r="285" spans="1:97" hidden="1" outlineLevel="1" x14ac:dyDescent="0.4">
      <c r="A285" t="str">
        <f>IF(CI285="",D285&amp;"の"&amp;C285,CI285&amp;"の"&amp;C285)</f>
        <v>の</v>
      </c>
      <c r="B285" t="str">
        <f>IFERROR(IF(CI285="",VLOOKUP($D285,素材!$1:$1016,COLUMN($B$1),FALSE)&amp;"・"&amp;VLOOKUP($C285,武器!$1:$998,COLUMN(B$1),FALSE),VLOOKUP($CI285,装強!$1:$1008,COLUMN($B$1),FALSE)&amp;"・"&amp;VLOOKUP($C285,武器!$1:$998,COLUMN(B$1),FALSE)),"")</f>
        <v/>
      </c>
      <c r="C285" s="24"/>
      <c r="D285" s="24"/>
      <c r="E285" t="str">
        <f>IFERROR(VLOOKUP(C285,武器!$1:$998,COLUMN(C$1),FALSE),"")</f>
        <v/>
      </c>
      <c r="F285" t="str">
        <f>IFERROR(ROUNDDOWN((VLOOKUP($C285,武器!$1:$998,COLUMN(D$1),FALSE)+IFERROR(VLOOKUP($CI285,装強!$1:$999,COLUMN(F$1),FALSE),0))*VLOOKUP($D285,素材!$1:$1016,COLUMN(D$1),FALSE),0),"")</f>
        <v/>
      </c>
      <c r="G285" t="str">
        <f>IFERROR(ROUNDDOWN((VLOOKUP($C285,武器!$1:$998,COLUMN(E$1),FALSE)+IFERROR(VLOOKUP($CI285,装強!$1:$999,COLUMN(G$1),FALSE),0))*VLOOKUP($D285,素材!$1:$1016,COLUMN($E$1),FALSE),0),"")</f>
        <v/>
      </c>
      <c r="H285" t="str">
        <f>IFERROR(ROUNDDOWN((VLOOKUP($C285,武器!$1:$998,COLUMN(F$1),FALSE)+IFERROR(VLOOKUP($CI285,装強!$1:$999,COLUMN(H$1),FALSE),0))*VLOOKUP($D285,素材!$1:$1016,COLUMN($E$1),FALSE),0),"")</f>
        <v/>
      </c>
      <c r="I285" t="str">
        <f>IFERROR(ROUNDDOWN((VLOOKUP($C285,武器!$1:$998,COLUMN(G$1),FALSE)+IFERROR(VLOOKUP($CI285,装強!$1:$999,COLUMN(I$1),FALSE),0))*VLOOKUP($D285,素材!$1:$1016,COLUMN($E$1),FALSE),0),"")</f>
        <v/>
      </c>
      <c r="J285" t="str">
        <f>IFERROR(ROUNDDOWN((VLOOKUP($C285,武器!$1:$998,COLUMN(H$1),FALSE)+IFERROR(VLOOKUP($CI285,装強!$1:$999,COLUMN(J$1),FALSE),0))*VLOOKUP($D285,素材!$1:$1016,COLUMN($E$1),FALSE),0),"")</f>
        <v/>
      </c>
      <c r="K285" t="str">
        <f>IFERROR(ROUNDDOWN((VLOOKUP($C285,武器!$1:$998,COLUMN(I$1),FALSE)+IFERROR(VLOOKUP($CI285,装強!$1:$999,COLUMN(K$1),FALSE),0))*VLOOKUP($D285,素材!$1:$1016,COLUMN($E$1),FALSE),0),"")</f>
        <v/>
      </c>
      <c r="L285" t="str">
        <f>IFERROR(VLOOKUP($D285,素材!$1:$1016,COLUMN($F$1),FALSE),"")</f>
        <v/>
      </c>
      <c r="M285" t="str">
        <f>IFERROR(VLOOKUP($C285,武器!$1:$998,COLUMN(AA$1),FALSE)*VLOOKUP($D285,素材!$1:$1016,COLUMN($G$1),FALSE),"")</f>
        <v/>
      </c>
      <c r="N285" t="str">
        <f>IFERROR(VLOOKUP($C285,武器!$1:$998,COLUMN(I$1),FALSE),"")</f>
        <v/>
      </c>
      <c r="O285" s="23" t="str">
        <f>IFERROR((VLOOKUP($C285,武器!$1:$998,COLUMN(K$1),FALSE)+VLOOKUP($D285,素材!$1:$1016,COLUMN(H$1),FALSE))*100+IFERROR(VLOOKUP($CI285,装強!$1:$999,COLUMN(O$1),FALSE),0),"")</f>
        <v/>
      </c>
      <c r="P285" s="23" t="str">
        <f>IFERROR((VLOOKUP($C285,武器!$1:$998,COLUMN(L$1),FALSE)+VLOOKUP($D285,素材!$1:$1016,COLUMN(I$1),FALSE))*100+IFERROR(VLOOKUP($CI285,装強!$1:$999,COLUMN(P$1),FALSE),0),"")</f>
        <v/>
      </c>
      <c r="Q285" t="str">
        <f>IFERROR(ROUNDUP(VLOOKUP($C285,武器!$1:$998,COLUMN(M$1),FALSE)*(VLOOKUP($D285,素材!$1:$1002,COLUMN(D$1),FALSE)/100),1),"")</f>
        <v/>
      </c>
      <c r="R285" t="str">
        <f>IFERROR(ROUNDUP(VLOOKUP($C285,武器!$1:$998,COLUMN(N$1),FALSE)*(VLOOKUP($D285,素材!$1:$1002,COLUMN(D$1),FALSE)/100),1),"")</f>
        <v/>
      </c>
      <c r="S285" t="str">
        <f>IFERROR(VLOOKUP($C285,武器!$1:$998,COLUMN(P$1),FALSE),"")</f>
        <v/>
      </c>
      <c r="T285" t="str">
        <f>IFERROR(VLOOKUP($C285,武器!$1:$998,COLUMN(Q$1),FALSE),"")</f>
        <v/>
      </c>
      <c r="U285" t="str">
        <f>IFERROR(VLOOKUP($C285,武器!$1:$998,COLUMN(R$1),FALSE),"")</f>
        <v/>
      </c>
      <c r="V285" t="str">
        <f>IFERROR(VLOOKUP($C285,武器!$1:$998,COLUMN(Q$1),FALSE),"")</f>
        <v/>
      </c>
      <c r="W285" t="str">
        <f>IFERROR(VLOOKUP($C285,武器!$1:$998,COLUMN(T$1),FALSE),"")</f>
        <v/>
      </c>
      <c r="Y285" t="str">
        <f>IFERROR(VLOOKUP($C285,武器!$1:$998,COLUMN(U$1),FALSE),"")</f>
        <v/>
      </c>
      <c r="Z285" t="str">
        <f>IFERROR(ROUNDUP(VLOOKUP($C285,武器!$1:$998,COLUMN(O$1),FALSE)*VLOOKUP($D285,素材!$1:$1016,COLUMN(E$1),FALSE),1),"")</f>
        <v/>
      </c>
      <c r="AA285">
        <f>IF(ISNUMBER(SEARCH(SUBSTITUTE(AA$1,RIGHT(AA$1,2),""),VLOOKUP($D285,素材!$1:$1016,COLUMN($F$1),FALSE))),VLOOKUP($C285,武器!$1:$998,COLUMN($O$1),FALSE)*VLOOKUP($D285,素材!$1:$1016,COLUMN($E$1),FALSE)/(LEN(VLOOKUP($D285,素材!$1:$1016,COLUMN($F$1),FALSE)) - LEN(SUBSTITUTE(VLOOKUP($D285,素材!$1:$1016,COLUMN($F$1),FALSE), "・", 0)) + 1), 0)</f>
        <v>0</v>
      </c>
      <c r="AB285">
        <f>IF(ISNUMBER(SEARCH(SUBSTITUTE(AB$1,RIGHT(AB$1,2),""),VLOOKUP($D285,素材!$1:$1016,COLUMN($F$1),FALSE))),VLOOKUP($C285,武器!$1:$998,COLUMN($O$1),FALSE)*VLOOKUP($D285,素材!$1:$1016,COLUMN($E$1),FALSE)/(LEN(VLOOKUP($D285,素材!$1:$1016,COLUMN($F$1),FALSE)) - LEN(SUBSTITUTE(VLOOKUP($D285,素材!$1:$1016,COLUMN($F$1),FALSE), "・", 0)) + 1), 0)</f>
        <v>0</v>
      </c>
      <c r="AC285">
        <f>IF(ISNUMBER(SEARCH(SUBSTITUTE(AC$1,RIGHT(AC$1,2),""),VLOOKUP($D285,素材!$1:$1016,COLUMN($F$1),FALSE))),VLOOKUP($C285,武器!$1:$998,COLUMN($O$1),FALSE)*VLOOKUP($D285,素材!$1:$1016,COLUMN($E$1),FALSE)/(LEN(VLOOKUP($D285,素材!$1:$1016,COLUMN($F$1),FALSE)) - LEN(SUBSTITUTE(VLOOKUP($D285,素材!$1:$1016,COLUMN($F$1),FALSE), "・", 0)) + 1), 0)</f>
        <v>0</v>
      </c>
      <c r="AD285">
        <f>IF(ISNUMBER(SEARCH(SUBSTITUTE(AD$1,RIGHT(AD$1,2),""),VLOOKUP($D285,素材!$1:$1016,COLUMN($F$1),FALSE))),VLOOKUP($C285,武器!$1:$998,COLUMN($O$1),FALSE)*VLOOKUP($D285,素材!$1:$1016,COLUMN($E$1),FALSE)/(LEN(VLOOKUP($D285,素材!$1:$1016,COLUMN($F$1),FALSE)) - LEN(SUBSTITUTE(VLOOKUP($D285,素材!$1:$1016,COLUMN($F$1),FALSE), "・", 0)) + 1), 0)</f>
        <v>0</v>
      </c>
      <c r="AE285">
        <f>IF(ISNUMBER(SEARCH(SUBSTITUTE(AE$1,RIGHT(AE$1,2),""),VLOOKUP($D285,素材!$1:$1016,COLUMN($F$1),FALSE))),VLOOKUP($C285,武器!$1:$998,COLUMN($O$1),FALSE)*VLOOKUP($D285,素材!$1:$1016,COLUMN($E$1),FALSE)/(LEN(VLOOKUP($D285,素材!$1:$1016,COLUMN($F$1),FALSE)) - LEN(SUBSTITUTE(VLOOKUP($D285,素材!$1:$1016,COLUMN($F$1),FALSE), "・", 0)) + 1), 0)</f>
        <v>0</v>
      </c>
      <c r="AF285">
        <f>IF(ISNUMBER(SEARCH(SUBSTITUTE(AF$1,RIGHT(AF$1,2),""),VLOOKUP($D285,素材!$1:$1016,COLUMN($F$1),FALSE))),VLOOKUP($C285,武器!$1:$998,COLUMN($O$1),FALSE)*VLOOKUP($D285,素材!$1:$1016,COLUMN($E$1),FALSE)/(LEN(VLOOKUP($D285,素材!$1:$1016,COLUMN($F$1),FALSE)) - LEN(SUBSTITUTE(VLOOKUP($D285,素材!$1:$1016,COLUMN($F$1),FALSE), "・", 0)) + 1), 0)</f>
        <v>0</v>
      </c>
      <c r="AG285">
        <f>IF(ISNUMBER(SEARCH(SUBSTITUTE(AG$1,RIGHT(AG$1,2),""),VLOOKUP($D285,素材!$1:$1016,COLUMN($F$1),FALSE))),VLOOKUP($C285,武器!$1:$998,COLUMN($O$1),FALSE)*VLOOKUP($D285,素材!$1:$1016,COLUMN($E$1),FALSE)/(LEN(VLOOKUP($D285,素材!$1:$1016,COLUMN($F$1),FALSE)) - LEN(SUBSTITUTE(VLOOKUP($D285,素材!$1:$1016,COLUMN($F$1),FALSE), "・", 0)) + 1), 0)</f>
        <v>0</v>
      </c>
      <c r="AH285">
        <f>IF(ISNUMBER(SEARCH(SUBSTITUTE(AH$1,RIGHT(AH$1,2),""),VLOOKUP($D285,素材!$1:$1016,COLUMN($F$1),FALSE))),VLOOKUP($C285,武器!$1:$998,COLUMN($O$1),FALSE)*VLOOKUP($D285,素材!$1:$1016,COLUMN($E$1),FALSE)/(LEN(VLOOKUP($D285,素材!$1:$1016,COLUMN($F$1),FALSE)) - LEN(SUBSTITUTE(VLOOKUP($D285,素材!$1:$1016,COLUMN($F$1),FALSE), "・", 0)) + 1), 0)</f>
        <v>0</v>
      </c>
      <c r="AI285">
        <f>IF(ISNUMBER(SEARCH(SUBSTITUTE(AI$1,RIGHT(AI$1,2),""),VLOOKUP($D285,素材!$1:$1016,COLUMN($F$1),FALSE))),VLOOKUP($C285,武器!$1:$998,COLUMN($O$1),FALSE)*VLOOKUP($D285,素材!$1:$1016,COLUMN($E$1),FALSE)/(LEN(VLOOKUP($D285,素材!$1:$1016,COLUMN($F$1),FALSE)) - LEN(SUBSTITUTE(VLOOKUP($D285,素材!$1:$1016,COLUMN($F$1),FALSE), "・", 0)) + 1), 0)</f>
        <v>0</v>
      </c>
      <c r="AJ285">
        <f>IF(ISNUMBER(SEARCH(SUBSTITUTE(AJ$1,RIGHT(AJ$1,2),""),VLOOKUP($D285,素材!$1:$1016,COLUMN($F$1),FALSE))),VLOOKUP($C285,武器!$1:$998,COLUMN($O$1),FALSE)*VLOOKUP($D285,素材!$1:$1016,COLUMN($E$1),FALSE)/(LEN(VLOOKUP($D285,素材!$1:$1016,COLUMN($F$1),FALSE)) - LEN(SUBSTITUTE(VLOOKUP($D285,素材!$1:$1016,COLUMN($F$1),FALSE), "・", 0)) + 1), 0)</f>
        <v>0</v>
      </c>
      <c r="AK285">
        <f>IF(ISNUMBER(SEARCH(SUBSTITUTE(AK$1,RIGHT(AK$1,2),""),VLOOKUP($D285,素材!$1:$1016,COLUMN($F$1),FALSE))),VLOOKUP($C285,武器!$1:$998,COLUMN($O$1),FALSE)*VLOOKUP($D285,素材!$1:$1016,COLUMN($E$1),FALSE)/(LEN(VLOOKUP($D285,素材!$1:$1016,COLUMN($F$1),FALSE)) - LEN(SUBSTITUTE(VLOOKUP($D285,素材!$1:$1016,COLUMN($F$1),FALSE), "・", 0)) + 1), 0)</f>
        <v>0</v>
      </c>
      <c r="AL285">
        <f>IF(ISNUMBER(SEARCH(SUBSTITUTE(AL$1,RIGHT(AL$1,2),""),VLOOKUP($D285,素材!$1:$1016,COLUMN($F$1),FALSE))),VLOOKUP($C285,武器!$1:$998,COLUMN($O$1),FALSE)*VLOOKUP($D285,素材!$1:$1016,COLUMN($E$1),FALSE)/(LEN(VLOOKUP($D285,素材!$1:$1016,COLUMN($F$1),FALSE)) - LEN(SUBSTITUTE(VLOOKUP($D285,素材!$1:$1016,COLUMN($F$1),FALSE), "・", 0)) + 1), 0)</f>
        <v>0</v>
      </c>
      <c r="AM285">
        <f>IF(ISNUMBER(SEARCH(SUBSTITUTE(AM$1,RIGHT(AM$1,2),""),VLOOKUP($D285,素材!$1:$1016,COLUMN($F$1),FALSE))),VLOOKUP($C285,武器!$1:$998,COLUMN($O$1),FALSE)*VLOOKUP($D285,素材!$1:$1016,COLUMN($E$1),FALSE)/(LEN(VLOOKUP($D285,素材!$1:$1016,COLUMN($F$1),FALSE)) - LEN(SUBSTITUTE(VLOOKUP($D285,素材!$1:$1016,COLUMN($F$1),FALSE), "・", 0)) + 1), 0)</f>
        <v>0</v>
      </c>
      <c r="AN285">
        <f>IF(ISNUMBER(SEARCH(SUBSTITUTE(AN$1,RIGHT(AN$1,2),""),VLOOKUP($D285,素材!$1:$1016,COLUMN($F$1),FALSE))),VLOOKUP($C285,武器!$1:$998,COLUMN($O$1),FALSE)*VLOOKUP($D285,素材!$1:$1016,COLUMN($E$1),FALSE)/(LEN(VLOOKUP($D285,素材!$1:$1016,COLUMN($F$1),FALSE)) - LEN(SUBSTITUTE(VLOOKUP($D285,素材!$1:$1016,COLUMN($F$1),FALSE), "・", 0)) + 1), 0)</f>
        <v>0</v>
      </c>
      <c r="AO285">
        <f>IF(ISNUMBER(SEARCH(SUBSTITUTE(AO$1,RIGHT(AO$1,2),""),VLOOKUP($D285,素材!$1:$1016,COLUMN($F$1),FALSE))),VLOOKUP($C285,武器!$1:$998,COLUMN($O$1),FALSE)*VLOOKUP($D285,素材!$1:$1016,COLUMN($E$1),FALSE)/(LEN(VLOOKUP($D285,素材!$1:$1016,COLUMN($F$1),FALSE)) - LEN(SUBSTITUTE(VLOOKUP($D285,素材!$1:$1016,COLUMN($F$1),FALSE), "・", 0)) + 1), 0)</f>
        <v>0</v>
      </c>
      <c r="AP285">
        <f>IF(ISNUMBER(SEARCH(SUBSTITUTE(AP$1,RIGHT(AP$1,2),""),VLOOKUP($D285,素材!$1:$1016,COLUMN($F$1),FALSE))),VLOOKUP($C285,武器!$1:$998,COLUMN($O$1),FALSE)*VLOOKUP($D285,素材!$1:$1016,COLUMN($E$1),FALSE)/(LEN(VLOOKUP($D285,素材!$1:$1016,COLUMN($F$1),FALSE)) - LEN(SUBSTITUTE(VLOOKUP($D285,素材!$1:$1016,COLUMN($F$1),FALSE), "・", 0)) + 1), 0)</f>
        <v>0</v>
      </c>
      <c r="AQ285">
        <f>IF(ISNUMBER(SEARCH(SUBSTITUTE(AQ$1,RIGHT(AQ$1,2),""),VLOOKUP($D285,素材!$1:$1016,COLUMN($F$1),FALSE))),VLOOKUP($C285,武器!$1:$998,COLUMN($O$1),FALSE)*VLOOKUP($D285,素材!$1:$1016,COLUMN($E$1),FALSE)/(LEN(VLOOKUP($D285,素材!$1:$1016,COLUMN($F$1),FALSE)) - LEN(SUBSTITUTE(VLOOKUP($D285,素材!$1:$1016,COLUMN($F$1),FALSE), "・", 0)) + 1), 0)</f>
        <v>0</v>
      </c>
      <c r="AR285">
        <f>IF(ISNUMBER(SEARCH(SUBSTITUTE(AR$1,RIGHT(AR$1,2),""),VLOOKUP($D285,素材!$1:$1016,COLUMN($F$1),FALSE))),VLOOKUP($C285,武器!$1:$998,COLUMN($O$1),FALSE)*VLOOKUP($D285,素材!$1:$1016,COLUMN($E$1),FALSE)/(LEN(VLOOKUP($D285,素材!$1:$1016,COLUMN($F$1),FALSE)) - LEN(SUBSTITUTE(VLOOKUP($D285,素材!$1:$1016,COLUMN($F$1),FALSE), "・", 0)) + 1), 0)</f>
        <v>0</v>
      </c>
      <c r="AS285">
        <f>IF(ISNUMBER(SEARCH(SUBSTITUTE(AS$1,RIGHT(AS$1,2),""),VLOOKUP($D285,素材!$1:$1016,COLUMN($F$1),FALSE))),VLOOKUP($C285,武器!$1:$998,COLUMN($O$1),FALSE)*VLOOKUP($D285,素材!$1:$1016,COLUMN($E$1),FALSE)/(LEN(VLOOKUP($D285,素材!$1:$1016,COLUMN($F$1),FALSE)) - LEN(SUBSTITUTE(VLOOKUP($D285,素材!$1:$1016,COLUMN($F$1),FALSE), "・", 0)) + 1), 0)</f>
        <v>0</v>
      </c>
      <c r="AT285">
        <f>IF(ISNUMBER(SEARCH(SUBSTITUTE(AT$1,RIGHT(AT$1,2),""),VLOOKUP($D285,素材!$1:$1016,COLUMN($F$1),FALSE))),VLOOKUP($C285,武器!$1:$998,COLUMN($O$1),FALSE)*VLOOKUP($D285,素材!$1:$1016,COLUMN($E$1),FALSE)/(LEN(VLOOKUP($D285,素材!$1:$1016,COLUMN($F$1),FALSE)) - LEN(SUBSTITUTE(VLOOKUP($D285,素材!$1:$1016,COLUMN($F$1),FALSE), "・", 0)) + 1), 0)</f>
        <v>0</v>
      </c>
      <c r="AU285">
        <f>IF(ISNUMBER(SEARCH(SUBSTITUTE(AU$1,RIGHT(AU$1,2),""),VLOOKUP($D285,素材!$1:$1016,COLUMN($F$1),FALSE))),VLOOKUP($C285,武器!$1:$998,COLUMN($O$1),FALSE)*VLOOKUP($D285,素材!$1:$1016,COLUMN($E$1),FALSE)/(LEN(VLOOKUP($D285,素材!$1:$1016,COLUMN($F$1),FALSE)) - LEN(SUBSTITUTE(VLOOKUP($D285,素材!$1:$1016,COLUMN($F$1),FALSE), "・", 0)) + 1), 0)</f>
        <v>0</v>
      </c>
      <c r="AV285">
        <f>IF(ISNUMBER(SEARCH(SUBSTITUTE(AV$1,RIGHT(AV$1,2),""),VLOOKUP($D285,素材!$1:$1016,COLUMN($F$1),FALSE))),VLOOKUP($C285,武器!$1:$998,COLUMN($O$1),FALSE)*VLOOKUP($D285,素材!$1:$1016,COLUMN($E$1),FALSE)/(LEN(VLOOKUP($D285,素材!$1:$1016,COLUMN($F$1),FALSE)) - LEN(SUBSTITUTE(VLOOKUP($D285,素材!$1:$1016,COLUMN($F$1),FALSE), "・", 0)) + 1), 0)</f>
        <v>0</v>
      </c>
      <c r="AW285">
        <f>IF(ISNUMBER(SEARCH(SUBSTITUTE(AW$1,RIGHT(AW$1,2),""),VLOOKUP($D285,素材!$1:$1016,COLUMN($F$1),FALSE))),VLOOKUP($C285,武器!$1:$998,COLUMN($O$1),FALSE)*VLOOKUP($D285,素材!$1:$1016,COLUMN($E$1),FALSE)/(LEN(VLOOKUP($D285,素材!$1:$1016,COLUMN($F$1),FALSE)) - LEN(SUBSTITUTE(VLOOKUP($D285,素材!$1:$1016,COLUMN($F$1),FALSE), "・", 0)) + 1), 0)</f>
        <v>0</v>
      </c>
      <c r="AX285">
        <f>IF(ISNUMBER(SEARCH(SUBSTITUTE(AX$1,RIGHT(AX$1,2),""),VLOOKUP($D285,素材!$1:$1016,COLUMN($F$1),FALSE))),VLOOKUP($C285,武器!$1:$998,COLUMN($O$1),FALSE)*VLOOKUP($D285,素材!$1:$1016,COLUMN($E$1),FALSE)/(LEN(VLOOKUP($D285,素材!$1:$1016,COLUMN($F$1),FALSE)) - LEN(SUBSTITUTE(VLOOKUP($D285,素材!$1:$1016,COLUMN($F$1),FALSE), "・", 0)) + 1), 0)</f>
        <v>0</v>
      </c>
      <c r="AY285">
        <f>IF(ISNUMBER(SEARCH(SUBSTITUTE(AY$1,RIGHT(AY$1,2),""),VLOOKUP($D285,素材!$1:$1016,COLUMN($F$1),FALSE))),VLOOKUP($C285,武器!$1:$998,COLUMN($O$1),FALSE)*VLOOKUP($D285,素材!$1:$1016,COLUMN($E$1),FALSE)/(LEN(VLOOKUP($D285,素材!$1:$1016,COLUMN($F$1),FALSE)) - LEN(SUBSTITUTE(VLOOKUP($D285,素材!$1:$1016,COLUMN($F$1),FALSE), "・", 0)) + 1), 0)</f>
        <v>0</v>
      </c>
      <c r="AZ285">
        <f>IF(ISNUMBER(SEARCH(SUBSTITUTE(AZ$1,RIGHT(AZ$1,2),""),VLOOKUP($D285,素材!$1:$1016,COLUMN($F$1),FALSE))),VLOOKUP($C285,武器!$1:$998,COLUMN($O$1),FALSE)*VLOOKUP($D285,素材!$1:$1016,COLUMN($E$1),FALSE)/(LEN(VLOOKUP($D285,素材!$1:$1016,COLUMN($F$1),FALSE)) - LEN(SUBSTITUTE(VLOOKUP($D285,素材!$1:$1016,COLUMN($F$1),FALSE), "・", 0)) + 1), 0)</f>
        <v>0</v>
      </c>
      <c r="BA285">
        <f>IF(ISNUMBER(SEARCH(SUBSTITUTE(BA$1,RIGHT(BA$1,2),""),VLOOKUP($D285,素材!$1:$1016,COLUMN($F$1),FALSE))),VLOOKUP($C285,武器!$1:$998,COLUMN($O$1),FALSE)*VLOOKUP($D285,素材!$1:$1016,COLUMN($E$1),FALSE)/(LEN(VLOOKUP($D285,素材!$1:$1016,COLUMN($F$1),FALSE)) - LEN(SUBSTITUTE(VLOOKUP($D285,素材!$1:$1016,COLUMN($F$1),FALSE), "・", 0)) + 1), 0)</f>
        <v>0</v>
      </c>
      <c r="BB285">
        <f>IF(ISNUMBER(SEARCH(SUBSTITUTE(BB$1,RIGHT(BB$1,2),""),VLOOKUP($D285,素材!$1:$1016,COLUMN($F$1),FALSE))),VLOOKUP($C285,武器!$1:$998,COLUMN($O$1),FALSE)*VLOOKUP($D285,素材!$1:$1016,COLUMN($E$1),FALSE)/(LEN(VLOOKUP($D285,素材!$1:$1016,COLUMN($F$1),FALSE)) - LEN(SUBSTITUTE(VLOOKUP($D285,素材!$1:$1016,COLUMN($F$1),FALSE), "・", 0)) + 1), 0)</f>
        <v>0</v>
      </c>
      <c r="BC285">
        <f>IF(ISNUMBER(SEARCH(SUBSTITUTE(BC$1,RIGHT(BC$1,2),""),VLOOKUP($D285,素材!$1:$1016,COLUMN($F$1),FALSE))),VLOOKUP($C285,武器!$1:$998,COLUMN($O$1),FALSE)*VLOOKUP($D285,素材!$1:$1016,COLUMN($E$1),FALSE)/(LEN(VLOOKUP($D285,素材!$1:$1016,COLUMN($F$1),FALSE)) - LEN(SUBSTITUTE(VLOOKUP($D285,素材!$1:$1016,COLUMN($F$1),FALSE), "・", 0)) + 1), 0)</f>
        <v>0</v>
      </c>
      <c r="BD285">
        <f>IF(ISNUMBER(SEARCH(SUBSTITUTE(BD$1,RIGHT(BD$1,2),""),VLOOKUP($D285,素材!$1:$1016,COLUMN($F$1),FALSE))),VLOOKUP($C285,武器!$1:$998,COLUMN($O$1),FALSE)*VLOOKUP($D285,素材!$1:$1016,COLUMN($E$1),FALSE)/(LEN(VLOOKUP($D285,素材!$1:$1016,COLUMN($F$1),FALSE)) - LEN(SUBSTITUTE(VLOOKUP($D285,素材!$1:$1016,COLUMN($F$1),FALSE), "・", 0)) + 1), 0)</f>
        <v>0</v>
      </c>
      <c r="BE285">
        <f>IF(ISNUMBER(SEARCH(SUBSTITUTE(BE$1,RIGHT(BE$1,2),""),VLOOKUP($D285,素材!$1:$1016,COLUMN($F$1),FALSE))),VLOOKUP($C285,武器!$1:$998,COLUMN($O$1),FALSE)*VLOOKUP($D285,素材!$1:$1016,COLUMN($E$1),FALSE)/(LEN(VLOOKUP($D285,素材!$1:$1016,COLUMN($F$1),FALSE)) - LEN(SUBSTITUTE(VLOOKUP($D285,素材!$1:$1016,COLUMN($F$1),FALSE), "・", 0)) + 1), 0)</f>
        <v>0</v>
      </c>
      <c r="CL285">
        <f>SUM(G285:I285)</f>
        <v>0</v>
      </c>
      <c r="CM285" s="22" t="str">
        <f>IF(E285="武器",IF(J285-1&gt;SUM(G285:I285),"盾",IF(MAX(G285:I285)=G285,"切断",IF(MAX(G285:I285)=H285,"貫通",IF(MAX(G285:I285)=I285,"打撃","射撃")))),E285)&amp;".webp"</f>
        <v>.webp</v>
      </c>
      <c r="CN285" t="str">
        <f>IFERROR(VLOOKUP($C285,武器!$1:$998,COLUMN(V$1),FALSE)*VLOOKUP($D285,素材!$1:$1016,COLUMN(N$1),FALSE)+IF(CI285="",0,VLOOKUP($CI285,装強!$1:$1008,COLUMN($CK$1),FALSE)),"")</f>
        <v/>
      </c>
      <c r="CO285" t="e">
        <f>VLOOKUP(D285,素材!$A:$O,COLUMN(素材!O$1),FALSE)</f>
        <v>#N/A</v>
      </c>
      <c r="CP285" t="e">
        <f>VLOOKUP(C285,武器!$A:$W,COLUMN(武器!W$1),FALSE)</f>
        <v>#N/A</v>
      </c>
      <c r="CR285" t="str">
        <f t="shared" si="33"/>
        <v>e_285</v>
      </c>
      <c r="CS285" t="e">
        <f t="shared" si="34"/>
        <v>#VALUE!</v>
      </c>
    </row>
    <row r="286" spans="1:97" hidden="1" outlineLevel="1" x14ac:dyDescent="0.4">
      <c r="A286" t="str">
        <f>IF(CI286="",D286&amp;"の"&amp;C286,CI286&amp;"の"&amp;C286)</f>
        <v>の</v>
      </c>
      <c r="B286" t="str">
        <f>IFERROR(IF(CI286="",VLOOKUP($D286,素材!$1:$1016,COLUMN($B$1),FALSE)&amp;"・"&amp;VLOOKUP($C286,武器!$1:$998,COLUMN(B$1),FALSE),VLOOKUP($CI286,装強!$1:$1008,COLUMN($B$1),FALSE)&amp;"・"&amp;VLOOKUP($C286,武器!$1:$998,COLUMN(B$1),FALSE)),"")</f>
        <v/>
      </c>
      <c r="C286" s="24"/>
      <c r="D286" s="24"/>
      <c r="E286" t="str">
        <f>IFERROR(VLOOKUP(C286,武器!$1:$998,COLUMN(C$1),FALSE),"")</f>
        <v/>
      </c>
      <c r="F286" t="str">
        <f>IFERROR(ROUNDDOWN((VLOOKUP($C286,武器!$1:$998,COLUMN(D$1),FALSE)+IFERROR(VLOOKUP($CI286,装強!$1:$999,COLUMN(F$1),FALSE),0))*VLOOKUP($D286,素材!$1:$1016,COLUMN(D$1),FALSE),0),"")</f>
        <v/>
      </c>
      <c r="G286" t="str">
        <f>IFERROR(ROUNDDOWN((VLOOKUP($C286,武器!$1:$998,COLUMN(E$1),FALSE)+IFERROR(VLOOKUP($CI286,装強!$1:$999,COLUMN(G$1),FALSE),0))*VLOOKUP($D286,素材!$1:$1016,COLUMN($E$1),FALSE),0),"")</f>
        <v/>
      </c>
      <c r="H286" t="str">
        <f>IFERROR(ROUNDDOWN((VLOOKUP($C286,武器!$1:$998,COLUMN(F$1),FALSE)+IFERROR(VLOOKUP($CI286,装強!$1:$999,COLUMN(H$1),FALSE),0))*VLOOKUP($D286,素材!$1:$1016,COLUMN($E$1),FALSE),0),"")</f>
        <v/>
      </c>
      <c r="I286" t="str">
        <f>IFERROR(ROUNDDOWN((VLOOKUP($C286,武器!$1:$998,COLUMN(G$1),FALSE)+IFERROR(VLOOKUP($CI286,装強!$1:$999,COLUMN(I$1),FALSE),0))*VLOOKUP($D286,素材!$1:$1016,COLUMN($E$1),FALSE),0),"")</f>
        <v/>
      </c>
      <c r="J286" t="str">
        <f>IFERROR(ROUNDDOWN((VLOOKUP($C286,武器!$1:$998,COLUMN(H$1),FALSE)+IFERROR(VLOOKUP($CI286,装強!$1:$999,COLUMN(J$1),FALSE),0))*VLOOKUP($D286,素材!$1:$1016,COLUMN($E$1),FALSE),0),"")</f>
        <v/>
      </c>
      <c r="K286" t="str">
        <f>IFERROR(ROUNDDOWN((VLOOKUP($C286,武器!$1:$998,COLUMN(I$1),FALSE)+IFERROR(VLOOKUP($CI286,装強!$1:$999,COLUMN(K$1),FALSE),0))*VLOOKUP($D286,素材!$1:$1016,COLUMN($E$1),FALSE),0),"")</f>
        <v/>
      </c>
      <c r="L286" t="str">
        <f>IFERROR(VLOOKUP($D286,素材!$1:$1016,COLUMN($F$1),FALSE),"")</f>
        <v/>
      </c>
      <c r="M286" t="str">
        <f>IFERROR(VLOOKUP($C286,武器!$1:$998,COLUMN(AA$1),FALSE)*VLOOKUP($D286,素材!$1:$1016,COLUMN($G$1),FALSE),"")</f>
        <v/>
      </c>
      <c r="N286" t="str">
        <f>IFERROR(VLOOKUP($C286,武器!$1:$998,COLUMN(I$1),FALSE),"")</f>
        <v/>
      </c>
      <c r="O286" s="23" t="str">
        <f>IFERROR((VLOOKUP($C286,武器!$1:$998,COLUMN(K$1),FALSE)+VLOOKUP($D286,素材!$1:$1016,COLUMN(H$1),FALSE))*100+IFERROR(VLOOKUP($CI286,装強!$1:$999,COLUMN(O$1),FALSE),0),"")</f>
        <v/>
      </c>
      <c r="P286" s="23" t="str">
        <f>IFERROR((VLOOKUP($C286,武器!$1:$998,COLUMN(L$1),FALSE)+VLOOKUP($D286,素材!$1:$1016,COLUMN(I$1),FALSE))*100+IFERROR(VLOOKUP($CI286,装強!$1:$999,COLUMN(P$1),FALSE),0),"")</f>
        <v/>
      </c>
      <c r="Q286" t="str">
        <f>IFERROR(ROUNDUP(VLOOKUP($C286,武器!$1:$998,COLUMN(M$1),FALSE)*(VLOOKUP($D286,素材!$1:$1002,COLUMN(D$1),FALSE)/100),1),"")</f>
        <v/>
      </c>
      <c r="R286" t="str">
        <f>IFERROR(ROUNDUP(VLOOKUP($C286,武器!$1:$998,COLUMN(N$1),FALSE)*(VLOOKUP($D286,素材!$1:$1002,COLUMN(D$1),FALSE)/100),1),"")</f>
        <v/>
      </c>
      <c r="S286" t="str">
        <f>IFERROR(VLOOKUP($C286,武器!$1:$998,COLUMN(P$1),FALSE),"")</f>
        <v/>
      </c>
      <c r="T286" t="str">
        <f>IFERROR(VLOOKUP($C286,武器!$1:$998,COLUMN(Q$1),FALSE),"")</f>
        <v/>
      </c>
      <c r="U286" t="str">
        <f>IFERROR(VLOOKUP($C286,武器!$1:$998,COLUMN(R$1),FALSE),"")</f>
        <v/>
      </c>
      <c r="V286" t="str">
        <f>IFERROR(VLOOKUP($C286,武器!$1:$998,COLUMN(Q$1),FALSE),"")</f>
        <v/>
      </c>
      <c r="W286" t="str">
        <f>IFERROR(VLOOKUP($C286,武器!$1:$998,COLUMN(T$1),FALSE),"")</f>
        <v/>
      </c>
      <c r="Y286" t="str">
        <f>IFERROR(VLOOKUP($C286,武器!$1:$998,COLUMN(U$1),FALSE),"")</f>
        <v/>
      </c>
      <c r="Z286" t="str">
        <f>IFERROR(ROUNDUP(VLOOKUP($C286,武器!$1:$998,COLUMN(O$1),FALSE)*VLOOKUP($D286,素材!$1:$1016,COLUMN(E$1),FALSE),1),"")</f>
        <v/>
      </c>
      <c r="AA286">
        <f>IF(ISNUMBER(SEARCH(SUBSTITUTE(AA$1,RIGHT(AA$1,2),""),VLOOKUP($D286,素材!$1:$1016,COLUMN($F$1),FALSE))),VLOOKUP($C286,武器!$1:$998,COLUMN($O$1),FALSE)*VLOOKUP($D286,素材!$1:$1016,COLUMN($E$1),FALSE)/(LEN(VLOOKUP($D286,素材!$1:$1016,COLUMN($F$1),FALSE)) - LEN(SUBSTITUTE(VLOOKUP($D286,素材!$1:$1016,COLUMN($F$1),FALSE), "・", 0)) + 1), 0)</f>
        <v>0</v>
      </c>
      <c r="AB286">
        <f>IF(ISNUMBER(SEARCH(SUBSTITUTE(AB$1,RIGHT(AB$1,2),""),VLOOKUP($D286,素材!$1:$1016,COLUMN($F$1),FALSE))),VLOOKUP($C286,武器!$1:$998,COLUMN($O$1),FALSE)*VLOOKUP($D286,素材!$1:$1016,COLUMN($E$1),FALSE)/(LEN(VLOOKUP($D286,素材!$1:$1016,COLUMN($F$1),FALSE)) - LEN(SUBSTITUTE(VLOOKUP($D286,素材!$1:$1016,COLUMN($F$1),FALSE), "・", 0)) + 1), 0)</f>
        <v>0</v>
      </c>
      <c r="AC286">
        <f>IF(ISNUMBER(SEARCH(SUBSTITUTE(AC$1,RIGHT(AC$1,2),""),VLOOKUP($D286,素材!$1:$1016,COLUMN($F$1),FALSE))),VLOOKUP($C286,武器!$1:$998,COLUMN($O$1),FALSE)*VLOOKUP($D286,素材!$1:$1016,COLUMN($E$1),FALSE)/(LEN(VLOOKUP($D286,素材!$1:$1016,COLUMN($F$1),FALSE)) - LEN(SUBSTITUTE(VLOOKUP($D286,素材!$1:$1016,COLUMN($F$1),FALSE), "・", 0)) + 1), 0)</f>
        <v>0</v>
      </c>
      <c r="AD286">
        <f>IF(ISNUMBER(SEARCH(SUBSTITUTE(AD$1,RIGHT(AD$1,2),""),VLOOKUP($D286,素材!$1:$1016,COLUMN($F$1),FALSE))),VLOOKUP($C286,武器!$1:$998,COLUMN($O$1),FALSE)*VLOOKUP($D286,素材!$1:$1016,COLUMN($E$1),FALSE)/(LEN(VLOOKUP($D286,素材!$1:$1016,COLUMN($F$1),FALSE)) - LEN(SUBSTITUTE(VLOOKUP($D286,素材!$1:$1016,COLUMN($F$1),FALSE), "・", 0)) + 1), 0)</f>
        <v>0</v>
      </c>
      <c r="AE286">
        <f>IF(ISNUMBER(SEARCH(SUBSTITUTE(AE$1,RIGHT(AE$1,2),""),VLOOKUP($D286,素材!$1:$1016,COLUMN($F$1),FALSE))),VLOOKUP($C286,武器!$1:$998,COLUMN($O$1),FALSE)*VLOOKUP($D286,素材!$1:$1016,COLUMN($E$1),FALSE)/(LEN(VLOOKUP($D286,素材!$1:$1016,COLUMN($F$1),FALSE)) - LEN(SUBSTITUTE(VLOOKUP($D286,素材!$1:$1016,COLUMN($F$1),FALSE), "・", 0)) + 1), 0)</f>
        <v>0</v>
      </c>
      <c r="AF286">
        <f>IF(ISNUMBER(SEARCH(SUBSTITUTE(AF$1,RIGHT(AF$1,2),""),VLOOKUP($D286,素材!$1:$1016,COLUMN($F$1),FALSE))),VLOOKUP($C286,武器!$1:$998,COLUMN($O$1),FALSE)*VLOOKUP($D286,素材!$1:$1016,COLUMN($E$1),FALSE)/(LEN(VLOOKUP($D286,素材!$1:$1016,COLUMN($F$1),FALSE)) - LEN(SUBSTITUTE(VLOOKUP($D286,素材!$1:$1016,COLUMN($F$1),FALSE), "・", 0)) + 1), 0)</f>
        <v>0</v>
      </c>
      <c r="AG286">
        <f>IF(ISNUMBER(SEARCH(SUBSTITUTE(AG$1,RIGHT(AG$1,2),""),VLOOKUP($D286,素材!$1:$1016,COLUMN($F$1),FALSE))),VLOOKUP($C286,武器!$1:$998,COLUMN($O$1),FALSE)*VLOOKUP($D286,素材!$1:$1016,COLUMN($E$1),FALSE)/(LEN(VLOOKUP($D286,素材!$1:$1016,COLUMN($F$1),FALSE)) - LEN(SUBSTITUTE(VLOOKUP($D286,素材!$1:$1016,COLUMN($F$1),FALSE), "・", 0)) + 1), 0)</f>
        <v>0</v>
      </c>
      <c r="AH286">
        <f>IF(ISNUMBER(SEARCH(SUBSTITUTE(AH$1,RIGHT(AH$1,2),""),VLOOKUP($D286,素材!$1:$1016,COLUMN($F$1),FALSE))),VLOOKUP($C286,武器!$1:$998,COLUMN($O$1),FALSE)*VLOOKUP($D286,素材!$1:$1016,COLUMN($E$1),FALSE)/(LEN(VLOOKUP($D286,素材!$1:$1016,COLUMN($F$1),FALSE)) - LEN(SUBSTITUTE(VLOOKUP($D286,素材!$1:$1016,COLUMN($F$1),FALSE), "・", 0)) + 1), 0)</f>
        <v>0</v>
      </c>
      <c r="AI286">
        <f>IF(ISNUMBER(SEARCH(SUBSTITUTE(AI$1,RIGHT(AI$1,2),""),VLOOKUP($D286,素材!$1:$1016,COLUMN($F$1),FALSE))),VLOOKUP($C286,武器!$1:$998,COLUMN($O$1),FALSE)*VLOOKUP($D286,素材!$1:$1016,COLUMN($E$1),FALSE)/(LEN(VLOOKUP($D286,素材!$1:$1016,COLUMN($F$1),FALSE)) - LEN(SUBSTITUTE(VLOOKUP($D286,素材!$1:$1016,COLUMN($F$1),FALSE), "・", 0)) + 1), 0)</f>
        <v>0</v>
      </c>
      <c r="AJ286">
        <f>IF(ISNUMBER(SEARCH(SUBSTITUTE(AJ$1,RIGHT(AJ$1,2),""),VLOOKUP($D286,素材!$1:$1016,COLUMN($F$1),FALSE))),VLOOKUP($C286,武器!$1:$998,COLUMN($O$1),FALSE)*VLOOKUP($D286,素材!$1:$1016,COLUMN($E$1),FALSE)/(LEN(VLOOKUP($D286,素材!$1:$1016,COLUMN($F$1),FALSE)) - LEN(SUBSTITUTE(VLOOKUP($D286,素材!$1:$1016,COLUMN($F$1),FALSE), "・", 0)) + 1), 0)</f>
        <v>0</v>
      </c>
      <c r="AK286">
        <f>IF(ISNUMBER(SEARCH(SUBSTITUTE(AK$1,RIGHT(AK$1,2),""),VLOOKUP($D286,素材!$1:$1016,COLUMN($F$1),FALSE))),VLOOKUP($C286,武器!$1:$998,COLUMN($O$1),FALSE)*VLOOKUP($D286,素材!$1:$1016,COLUMN($E$1),FALSE)/(LEN(VLOOKUP($D286,素材!$1:$1016,COLUMN($F$1),FALSE)) - LEN(SUBSTITUTE(VLOOKUP($D286,素材!$1:$1016,COLUMN($F$1),FALSE), "・", 0)) + 1), 0)</f>
        <v>0</v>
      </c>
      <c r="AL286">
        <f>IF(ISNUMBER(SEARCH(SUBSTITUTE(AL$1,RIGHT(AL$1,2),""),VLOOKUP($D286,素材!$1:$1016,COLUMN($F$1),FALSE))),VLOOKUP($C286,武器!$1:$998,COLUMN($O$1),FALSE)*VLOOKUP($D286,素材!$1:$1016,COLUMN($E$1),FALSE)/(LEN(VLOOKUP($D286,素材!$1:$1016,COLUMN($F$1),FALSE)) - LEN(SUBSTITUTE(VLOOKUP($D286,素材!$1:$1016,COLUMN($F$1),FALSE), "・", 0)) + 1), 0)</f>
        <v>0</v>
      </c>
      <c r="AM286">
        <f>IF(ISNUMBER(SEARCH(SUBSTITUTE(AM$1,RIGHT(AM$1,2),""),VLOOKUP($D286,素材!$1:$1016,COLUMN($F$1),FALSE))),VLOOKUP($C286,武器!$1:$998,COLUMN($O$1),FALSE)*VLOOKUP($D286,素材!$1:$1016,COLUMN($E$1),FALSE)/(LEN(VLOOKUP($D286,素材!$1:$1016,COLUMN($F$1),FALSE)) - LEN(SUBSTITUTE(VLOOKUP($D286,素材!$1:$1016,COLUMN($F$1),FALSE), "・", 0)) + 1), 0)</f>
        <v>0</v>
      </c>
      <c r="AN286">
        <f>IF(ISNUMBER(SEARCH(SUBSTITUTE(AN$1,RIGHT(AN$1,2),""),VLOOKUP($D286,素材!$1:$1016,COLUMN($F$1),FALSE))),VLOOKUP($C286,武器!$1:$998,COLUMN($O$1),FALSE)*VLOOKUP($D286,素材!$1:$1016,COLUMN($E$1),FALSE)/(LEN(VLOOKUP($D286,素材!$1:$1016,COLUMN($F$1),FALSE)) - LEN(SUBSTITUTE(VLOOKUP($D286,素材!$1:$1016,COLUMN($F$1),FALSE), "・", 0)) + 1), 0)</f>
        <v>0</v>
      </c>
      <c r="AO286">
        <f>IF(ISNUMBER(SEARCH(SUBSTITUTE(AO$1,RIGHT(AO$1,2),""),VLOOKUP($D286,素材!$1:$1016,COLUMN($F$1),FALSE))),VLOOKUP($C286,武器!$1:$998,COLUMN($O$1),FALSE)*VLOOKUP($D286,素材!$1:$1016,COLUMN($E$1),FALSE)/(LEN(VLOOKUP($D286,素材!$1:$1016,COLUMN($F$1),FALSE)) - LEN(SUBSTITUTE(VLOOKUP($D286,素材!$1:$1016,COLUMN($F$1),FALSE), "・", 0)) + 1), 0)</f>
        <v>0</v>
      </c>
      <c r="AP286">
        <f>IF(ISNUMBER(SEARCH(SUBSTITUTE(AP$1,RIGHT(AP$1,2),""),VLOOKUP($D286,素材!$1:$1016,COLUMN($F$1),FALSE))),VLOOKUP($C286,武器!$1:$998,COLUMN($O$1),FALSE)*VLOOKUP($D286,素材!$1:$1016,COLUMN($E$1),FALSE)/(LEN(VLOOKUP($D286,素材!$1:$1016,COLUMN($F$1),FALSE)) - LEN(SUBSTITUTE(VLOOKUP($D286,素材!$1:$1016,COLUMN($F$1),FALSE), "・", 0)) + 1), 0)</f>
        <v>0</v>
      </c>
      <c r="AQ286">
        <f>IF(ISNUMBER(SEARCH(SUBSTITUTE(AQ$1,RIGHT(AQ$1,2),""),VLOOKUP($D286,素材!$1:$1016,COLUMN($F$1),FALSE))),VLOOKUP($C286,武器!$1:$998,COLUMN($O$1),FALSE)*VLOOKUP($D286,素材!$1:$1016,COLUMN($E$1),FALSE)/(LEN(VLOOKUP($D286,素材!$1:$1016,COLUMN($F$1),FALSE)) - LEN(SUBSTITUTE(VLOOKUP($D286,素材!$1:$1016,COLUMN($F$1),FALSE), "・", 0)) + 1), 0)</f>
        <v>0</v>
      </c>
      <c r="AR286">
        <f>IF(ISNUMBER(SEARCH(SUBSTITUTE(AR$1,RIGHT(AR$1,2),""),VLOOKUP($D286,素材!$1:$1016,COLUMN($F$1),FALSE))),VLOOKUP($C286,武器!$1:$998,COLUMN($O$1),FALSE)*VLOOKUP($D286,素材!$1:$1016,COLUMN($E$1),FALSE)/(LEN(VLOOKUP($D286,素材!$1:$1016,COLUMN($F$1),FALSE)) - LEN(SUBSTITUTE(VLOOKUP($D286,素材!$1:$1016,COLUMN($F$1),FALSE), "・", 0)) + 1), 0)</f>
        <v>0</v>
      </c>
      <c r="AS286">
        <f>IF(ISNUMBER(SEARCH(SUBSTITUTE(AS$1,RIGHT(AS$1,2),""),VLOOKUP($D286,素材!$1:$1016,COLUMN($F$1),FALSE))),VLOOKUP($C286,武器!$1:$998,COLUMN($O$1),FALSE)*VLOOKUP($D286,素材!$1:$1016,COLUMN($E$1),FALSE)/(LEN(VLOOKUP($D286,素材!$1:$1016,COLUMN($F$1),FALSE)) - LEN(SUBSTITUTE(VLOOKUP($D286,素材!$1:$1016,COLUMN($F$1),FALSE), "・", 0)) + 1), 0)</f>
        <v>0</v>
      </c>
      <c r="AT286">
        <f>IF(ISNUMBER(SEARCH(SUBSTITUTE(AT$1,RIGHT(AT$1,2),""),VLOOKUP($D286,素材!$1:$1016,COLUMN($F$1),FALSE))),VLOOKUP($C286,武器!$1:$998,COLUMN($O$1),FALSE)*VLOOKUP($D286,素材!$1:$1016,COLUMN($E$1),FALSE)/(LEN(VLOOKUP($D286,素材!$1:$1016,COLUMN($F$1),FALSE)) - LEN(SUBSTITUTE(VLOOKUP($D286,素材!$1:$1016,COLUMN($F$1),FALSE), "・", 0)) + 1), 0)</f>
        <v>0</v>
      </c>
      <c r="AU286">
        <f>IF(ISNUMBER(SEARCH(SUBSTITUTE(AU$1,RIGHT(AU$1,2),""),VLOOKUP($D286,素材!$1:$1016,COLUMN($F$1),FALSE))),VLOOKUP($C286,武器!$1:$998,COLUMN($O$1),FALSE)*VLOOKUP($D286,素材!$1:$1016,COLUMN($E$1),FALSE)/(LEN(VLOOKUP($D286,素材!$1:$1016,COLUMN($F$1),FALSE)) - LEN(SUBSTITUTE(VLOOKUP($D286,素材!$1:$1016,COLUMN($F$1),FALSE), "・", 0)) + 1), 0)</f>
        <v>0</v>
      </c>
      <c r="AV286">
        <f>IF(ISNUMBER(SEARCH(SUBSTITUTE(AV$1,RIGHT(AV$1,2),""),VLOOKUP($D286,素材!$1:$1016,COLUMN($F$1),FALSE))),VLOOKUP($C286,武器!$1:$998,COLUMN($O$1),FALSE)*VLOOKUP($D286,素材!$1:$1016,COLUMN($E$1),FALSE)/(LEN(VLOOKUP($D286,素材!$1:$1016,COLUMN($F$1),FALSE)) - LEN(SUBSTITUTE(VLOOKUP($D286,素材!$1:$1016,COLUMN($F$1),FALSE), "・", 0)) + 1), 0)</f>
        <v>0</v>
      </c>
      <c r="AW286">
        <f>IF(ISNUMBER(SEARCH(SUBSTITUTE(AW$1,RIGHT(AW$1,2),""),VLOOKUP($D286,素材!$1:$1016,COLUMN($F$1),FALSE))),VLOOKUP($C286,武器!$1:$998,COLUMN($O$1),FALSE)*VLOOKUP($D286,素材!$1:$1016,COLUMN($E$1),FALSE)/(LEN(VLOOKUP($D286,素材!$1:$1016,COLUMN($F$1),FALSE)) - LEN(SUBSTITUTE(VLOOKUP($D286,素材!$1:$1016,COLUMN($F$1),FALSE), "・", 0)) + 1), 0)</f>
        <v>0</v>
      </c>
      <c r="AX286">
        <f>IF(ISNUMBER(SEARCH(SUBSTITUTE(AX$1,RIGHT(AX$1,2),""),VLOOKUP($D286,素材!$1:$1016,COLUMN($F$1),FALSE))),VLOOKUP($C286,武器!$1:$998,COLUMN($O$1),FALSE)*VLOOKUP($D286,素材!$1:$1016,COLUMN($E$1),FALSE)/(LEN(VLOOKUP($D286,素材!$1:$1016,COLUMN($F$1),FALSE)) - LEN(SUBSTITUTE(VLOOKUP($D286,素材!$1:$1016,COLUMN($F$1),FALSE), "・", 0)) + 1), 0)</f>
        <v>0</v>
      </c>
      <c r="AY286">
        <f>IF(ISNUMBER(SEARCH(SUBSTITUTE(AY$1,RIGHT(AY$1,2),""),VLOOKUP($D286,素材!$1:$1016,COLUMN($F$1),FALSE))),VLOOKUP($C286,武器!$1:$998,COLUMN($O$1),FALSE)*VLOOKUP($D286,素材!$1:$1016,COLUMN($E$1),FALSE)/(LEN(VLOOKUP($D286,素材!$1:$1016,COLUMN($F$1),FALSE)) - LEN(SUBSTITUTE(VLOOKUP($D286,素材!$1:$1016,COLUMN($F$1),FALSE), "・", 0)) + 1), 0)</f>
        <v>0</v>
      </c>
      <c r="AZ286">
        <f>IF(ISNUMBER(SEARCH(SUBSTITUTE(AZ$1,RIGHT(AZ$1,2),""),VLOOKUP($D286,素材!$1:$1016,COLUMN($F$1),FALSE))),VLOOKUP($C286,武器!$1:$998,COLUMN($O$1),FALSE)*VLOOKUP($D286,素材!$1:$1016,COLUMN($E$1),FALSE)/(LEN(VLOOKUP($D286,素材!$1:$1016,COLUMN($F$1),FALSE)) - LEN(SUBSTITUTE(VLOOKUP($D286,素材!$1:$1016,COLUMN($F$1),FALSE), "・", 0)) + 1), 0)</f>
        <v>0</v>
      </c>
      <c r="BA286">
        <f>IF(ISNUMBER(SEARCH(SUBSTITUTE(BA$1,RIGHT(BA$1,2),""),VLOOKUP($D286,素材!$1:$1016,COLUMN($F$1),FALSE))),VLOOKUP($C286,武器!$1:$998,COLUMN($O$1),FALSE)*VLOOKUP($D286,素材!$1:$1016,COLUMN($E$1),FALSE)/(LEN(VLOOKUP($D286,素材!$1:$1016,COLUMN($F$1),FALSE)) - LEN(SUBSTITUTE(VLOOKUP($D286,素材!$1:$1016,COLUMN($F$1),FALSE), "・", 0)) + 1), 0)</f>
        <v>0</v>
      </c>
      <c r="BB286">
        <f>IF(ISNUMBER(SEARCH(SUBSTITUTE(BB$1,RIGHT(BB$1,2),""),VLOOKUP($D286,素材!$1:$1016,COLUMN($F$1),FALSE))),VLOOKUP($C286,武器!$1:$998,COLUMN($O$1),FALSE)*VLOOKUP($D286,素材!$1:$1016,COLUMN($E$1),FALSE)/(LEN(VLOOKUP($D286,素材!$1:$1016,COLUMN($F$1),FALSE)) - LEN(SUBSTITUTE(VLOOKUP($D286,素材!$1:$1016,COLUMN($F$1),FALSE), "・", 0)) + 1), 0)</f>
        <v>0</v>
      </c>
      <c r="BC286">
        <f>IF(ISNUMBER(SEARCH(SUBSTITUTE(BC$1,RIGHT(BC$1,2),""),VLOOKUP($D286,素材!$1:$1016,COLUMN($F$1),FALSE))),VLOOKUP($C286,武器!$1:$998,COLUMN($O$1),FALSE)*VLOOKUP($D286,素材!$1:$1016,COLUMN($E$1),FALSE)/(LEN(VLOOKUP($D286,素材!$1:$1016,COLUMN($F$1),FALSE)) - LEN(SUBSTITUTE(VLOOKUP($D286,素材!$1:$1016,COLUMN($F$1),FALSE), "・", 0)) + 1), 0)</f>
        <v>0</v>
      </c>
      <c r="BD286">
        <f>IF(ISNUMBER(SEARCH(SUBSTITUTE(BD$1,RIGHT(BD$1,2),""),VLOOKUP($D286,素材!$1:$1016,COLUMN($F$1),FALSE))),VLOOKUP($C286,武器!$1:$998,COLUMN($O$1),FALSE)*VLOOKUP($D286,素材!$1:$1016,COLUMN($E$1),FALSE)/(LEN(VLOOKUP($D286,素材!$1:$1016,COLUMN($F$1),FALSE)) - LEN(SUBSTITUTE(VLOOKUP($D286,素材!$1:$1016,COLUMN($F$1),FALSE), "・", 0)) + 1), 0)</f>
        <v>0</v>
      </c>
      <c r="BE286">
        <f>IF(ISNUMBER(SEARCH(SUBSTITUTE(BE$1,RIGHT(BE$1,2),""),VLOOKUP($D286,素材!$1:$1016,COLUMN($F$1),FALSE))),VLOOKUP($C286,武器!$1:$998,COLUMN($O$1),FALSE)*VLOOKUP($D286,素材!$1:$1016,COLUMN($E$1),FALSE)/(LEN(VLOOKUP($D286,素材!$1:$1016,COLUMN($F$1),FALSE)) - LEN(SUBSTITUTE(VLOOKUP($D286,素材!$1:$1016,COLUMN($F$1),FALSE), "・", 0)) + 1), 0)</f>
        <v>0</v>
      </c>
      <c r="CL286">
        <f>SUM(G286:I286)</f>
        <v>0</v>
      </c>
      <c r="CM286" s="22" t="str">
        <f>IF(E286="武器",IF(J286-1&gt;SUM(G286:I286),"盾",IF(MAX(G286:I286)=G286,"切断",IF(MAX(G286:I286)=H286,"貫通",IF(MAX(G286:I286)=I286,"打撃","射撃")))),E286)&amp;".webp"</f>
        <v>.webp</v>
      </c>
      <c r="CN286" t="str">
        <f>IFERROR(VLOOKUP($C286,武器!$1:$998,COLUMN(V$1),FALSE)*VLOOKUP($D286,素材!$1:$1016,COLUMN(N$1),FALSE)+IF(CI286="",0,VLOOKUP($CI286,装強!$1:$1008,COLUMN($CK$1),FALSE)),"")</f>
        <v/>
      </c>
      <c r="CO286" t="e">
        <f>VLOOKUP(D286,素材!$A:$O,COLUMN(素材!O$1),FALSE)</f>
        <v>#N/A</v>
      </c>
      <c r="CP286" t="e">
        <f>VLOOKUP(C286,武器!$A:$W,COLUMN(武器!W$1),FALSE)</f>
        <v>#N/A</v>
      </c>
      <c r="CR286" t="str">
        <f t="shared" si="33"/>
        <v>e_286</v>
      </c>
      <c r="CS286" t="e">
        <f t="shared" si="34"/>
        <v>#VALUE!</v>
      </c>
    </row>
    <row r="287" spans="1:97" hidden="1" outlineLevel="1" x14ac:dyDescent="0.4">
      <c r="A287" t="str">
        <f>IF(CI287="",D287&amp;"の"&amp;C287,CI287&amp;"の"&amp;C287)</f>
        <v>の</v>
      </c>
      <c r="B287" t="str">
        <f>IFERROR(IF(CI287="",VLOOKUP($D287,素材!$1:$1016,COLUMN($B$1),FALSE)&amp;"・"&amp;VLOOKUP($C287,武器!$1:$998,COLUMN(B$1),FALSE),VLOOKUP($CI287,装強!$1:$1008,COLUMN($B$1),FALSE)&amp;"・"&amp;VLOOKUP($C287,武器!$1:$998,COLUMN(B$1),FALSE)),"")</f>
        <v/>
      </c>
      <c r="C287" s="24"/>
      <c r="D287" s="24"/>
      <c r="E287" t="str">
        <f>IFERROR(VLOOKUP(C287,武器!$1:$998,COLUMN(C$1),FALSE),"")</f>
        <v/>
      </c>
      <c r="F287" t="str">
        <f>IFERROR(ROUNDDOWN((VLOOKUP($C287,武器!$1:$998,COLUMN(D$1),FALSE)+IFERROR(VLOOKUP($CI287,装強!$1:$999,COLUMN(F$1),FALSE),0))*VLOOKUP($D287,素材!$1:$1016,COLUMN(D$1),FALSE),0),"")</f>
        <v/>
      </c>
      <c r="G287" t="str">
        <f>IFERROR(ROUNDDOWN((VLOOKUP($C287,武器!$1:$998,COLUMN(E$1),FALSE)+IFERROR(VLOOKUP($CI287,装強!$1:$999,COLUMN(G$1),FALSE),0))*VLOOKUP($D287,素材!$1:$1016,COLUMN($E$1),FALSE),0),"")</f>
        <v/>
      </c>
      <c r="H287" t="str">
        <f>IFERROR(ROUNDDOWN((VLOOKUP($C287,武器!$1:$998,COLUMN(F$1),FALSE)+IFERROR(VLOOKUP($CI287,装強!$1:$999,COLUMN(H$1),FALSE),0))*VLOOKUP($D287,素材!$1:$1016,COLUMN($E$1),FALSE),0),"")</f>
        <v/>
      </c>
      <c r="I287" t="str">
        <f>IFERROR(ROUNDDOWN((VLOOKUP($C287,武器!$1:$998,COLUMN(G$1),FALSE)+IFERROR(VLOOKUP($CI287,装強!$1:$999,COLUMN(I$1),FALSE),0))*VLOOKUP($D287,素材!$1:$1016,COLUMN($E$1),FALSE),0),"")</f>
        <v/>
      </c>
      <c r="J287" t="str">
        <f>IFERROR(ROUNDDOWN((VLOOKUP($C287,武器!$1:$998,COLUMN(H$1),FALSE)+IFERROR(VLOOKUP($CI287,装強!$1:$999,COLUMN(J$1),FALSE),0))*VLOOKUP($D287,素材!$1:$1016,COLUMN($E$1),FALSE),0),"")</f>
        <v/>
      </c>
      <c r="K287" t="str">
        <f>IFERROR(ROUNDDOWN((VLOOKUP($C287,武器!$1:$998,COLUMN(I$1),FALSE)+IFERROR(VLOOKUP($CI287,装強!$1:$999,COLUMN(K$1),FALSE),0))*VLOOKUP($D287,素材!$1:$1016,COLUMN($E$1),FALSE),0),"")</f>
        <v/>
      </c>
      <c r="L287" t="str">
        <f>IFERROR(VLOOKUP($D287,素材!$1:$1016,COLUMN($F$1),FALSE),"")</f>
        <v/>
      </c>
      <c r="M287" t="str">
        <f>IFERROR(VLOOKUP($C287,武器!$1:$998,COLUMN(AA$1),FALSE)*VLOOKUP($D287,素材!$1:$1016,COLUMN($G$1),FALSE),"")</f>
        <v/>
      </c>
      <c r="N287" t="str">
        <f>IFERROR(VLOOKUP($C287,武器!$1:$998,COLUMN(I$1),FALSE),"")</f>
        <v/>
      </c>
      <c r="O287" s="23" t="str">
        <f>IFERROR((VLOOKUP($C287,武器!$1:$998,COLUMN(K$1),FALSE)+VLOOKUP($D287,素材!$1:$1016,COLUMN(H$1),FALSE))*100+IFERROR(VLOOKUP($CI287,装強!$1:$999,COLUMN(O$1),FALSE),0),"")</f>
        <v/>
      </c>
      <c r="P287" s="23" t="str">
        <f>IFERROR((VLOOKUP($C287,武器!$1:$998,COLUMN(L$1),FALSE)+VLOOKUP($D287,素材!$1:$1016,COLUMN(I$1),FALSE))*100+IFERROR(VLOOKUP($CI287,装強!$1:$999,COLUMN(P$1),FALSE),0),"")</f>
        <v/>
      </c>
      <c r="Q287" t="str">
        <f>IFERROR(ROUNDUP(VLOOKUP($C287,武器!$1:$998,COLUMN(M$1),FALSE)*(VLOOKUP($D287,素材!$1:$1002,COLUMN(D$1),FALSE)/100),1),"")</f>
        <v/>
      </c>
      <c r="R287" t="str">
        <f>IFERROR(ROUNDUP(VLOOKUP($C287,武器!$1:$998,COLUMN(N$1),FALSE)*(VLOOKUP($D287,素材!$1:$1002,COLUMN(D$1),FALSE)/100),1),"")</f>
        <v/>
      </c>
      <c r="S287" t="str">
        <f>IFERROR(VLOOKUP($C287,武器!$1:$998,COLUMN(P$1),FALSE),"")</f>
        <v/>
      </c>
      <c r="T287" t="str">
        <f>IFERROR(VLOOKUP($C287,武器!$1:$998,COLUMN(Q$1),FALSE),"")</f>
        <v/>
      </c>
      <c r="U287" t="str">
        <f>IFERROR(VLOOKUP($C287,武器!$1:$998,COLUMN(R$1),FALSE),"")</f>
        <v/>
      </c>
      <c r="V287" t="str">
        <f>IFERROR(VLOOKUP($C287,武器!$1:$998,COLUMN(Q$1),FALSE),"")</f>
        <v/>
      </c>
      <c r="W287" t="str">
        <f>IFERROR(VLOOKUP($C287,武器!$1:$998,COLUMN(T$1),FALSE),"")</f>
        <v/>
      </c>
      <c r="Y287" t="str">
        <f>IFERROR(VLOOKUP($C287,武器!$1:$998,COLUMN(U$1),FALSE),"")</f>
        <v/>
      </c>
      <c r="Z287" t="str">
        <f>IFERROR(ROUNDUP(VLOOKUP($C287,武器!$1:$998,COLUMN(O$1),FALSE)*VLOOKUP($D287,素材!$1:$1016,COLUMN(E$1),FALSE),1),"")</f>
        <v/>
      </c>
      <c r="AA287">
        <f>IF(ISNUMBER(SEARCH(SUBSTITUTE(AA$1,RIGHT(AA$1,2),""),VLOOKUP($D287,素材!$1:$1016,COLUMN($F$1),FALSE))),VLOOKUP($C287,武器!$1:$998,COLUMN($O$1),FALSE)*VLOOKUP($D287,素材!$1:$1016,COLUMN($E$1),FALSE)/(LEN(VLOOKUP($D287,素材!$1:$1016,COLUMN($F$1),FALSE)) - LEN(SUBSTITUTE(VLOOKUP($D287,素材!$1:$1016,COLUMN($F$1),FALSE), "・", 0)) + 1), 0)</f>
        <v>0</v>
      </c>
      <c r="AB287">
        <f>IF(ISNUMBER(SEARCH(SUBSTITUTE(AB$1,RIGHT(AB$1,2),""),VLOOKUP($D287,素材!$1:$1016,COLUMN($F$1),FALSE))),VLOOKUP($C287,武器!$1:$998,COLUMN($O$1),FALSE)*VLOOKUP($D287,素材!$1:$1016,COLUMN($E$1),FALSE)/(LEN(VLOOKUP($D287,素材!$1:$1016,COLUMN($F$1),FALSE)) - LEN(SUBSTITUTE(VLOOKUP($D287,素材!$1:$1016,COLUMN($F$1),FALSE), "・", 0)) + 1), 0)</f>
        <v>0</v>
      </c>
      <c r="AC287">
        <f>IF(ISNUMBER(SEARCH(SUBSTITUTE(AC$1,RIGHT(AC$1,2),""),VLOOKUP($D287,素材!$1:$1016,COLUMN($F$1),FALSE))),VLOOKUP($C287,武器!$1:$998,COLUMN($O$1),FALSE)*VLOOKUP($D287,素材!$1:$1016,COLUMN($E$1),FALSE)/(LEN(VLOOKUP($D287,素材!$1:$1016,COLUMN($F$1),FALSE)) - LEN(SUBSTITUTE(VLOOKUP($D287,素材!$1:$1016,COLUMN($F$1),FALSE), "・", 0)) + 1), 0)</f>
        <v>0</v>
      </c>
      <c r="AD287">
        <f>IF(ISNUMBER(SEARCH(SUBSTITUTE(AD$1,RIGHT(AD$1,2),""),VLOOKUP($D287,素材!$1:$1016,COLUMN($F$1),FALSE))),VLOOKUP($C287,武器!$1:$998,COLUMN($O$1),FALSE)*VLOOKUP($D287,素材!$1:$1016,COLUMN($E$1),FALSE)/(LEN(VLOOKUP($D287,素材!$1:$1016,COLUMN($F$1),FALSE)) - LEN(SUBSTITUTE(VLOOKUP($D287,素材!$1:$1016,COLUMN($F$1),FALSE), "・", 0)) + 1), 0)</f>
        <v>0</v>
      </c>
      <c r="AE287">
        <f>IF(ISNUMBER(SEARCH(SUBSTITUTE(AE$1,RIGHT(AE$1,2),""),VLOOKUP($D287,素材!$1:$1016,COLUMN($F$1),FALSE))),VLOOKUP($C287,武器!$1:$998,COLUMN($O$1),FALSE)*VLOOKUP($D287,素材!$1:$1016,COLUMN($E$1),FALSE)/(LEN(VLOOKUP($D287,素材!$1:$1016,COLUMN($F$1),FALSE)) - LEN(SUBSTITUTE(VLOOKUP($D287,素材!$1:$1016,COLUMN($F$1),FALSE), "・", 0)) + 1), 0)</f>
        <v>0</v>
      </c>
      <c r="AF287">
        <f>IF(ISNUMBER(SEARCH(SUBSTITUTE(AF$1,RIGHT(AF$1,2),""),VLOOKUP($D287,素材!$1:$1016,COLUMN($F$1),FALSE))),VLOOKUP($C287,武器!$1:$998,COLUMN($O$1),FALSE)*VLOOKUP($D287,素材!$1:$1016,COLUMN($E$1),FALSE)/(LEN(VLOOKUP($D287,素材!$1:$1016,COLUMN($F$1),FALSE)) - LEN(SUBSTITUTE(VLOOKUP($D287,素材!$1:$1016,COLUMN($F$1),FALSE), "・", 0)) + 1), 0)</f>
        <v>0</v>
      </c>
      <c r="AG287">
        <f>IF(ISNUMBER(SEARCH(SUBSTITUTE(AG$1,RIGHT(AG$1,2),""),VLOOKUP($D287,素材!$1:$1016,COLUMN($F$1),FALSE))),VLOOKUP($C287,武器!$1:$998,COLUMN($O$1),FALSE)*VLOOKUP($D287,素材!$1:$1016,COLUMN($E$1),FALSE)/(LEN(VLOOKUP($D287,素材!$1:$1016,COLUMN($F$1),FALSE)) - LEN(SUBSTITUTE(VLOOKUP($D287,素材!$1:$1016,COLUMN($F$1),FALSE), "・", 0)) + 1), 0)</f>
        <v>0</v>
      </c>
      <c r="AH287">
        <f>IF(ISNUMBER(SEARCH(SUBSTITUTE(AH$1,RIGHT(AH$1,2),""),VLOOKUP($D287,素材!$1:$1016,COLUMN($F$1),FALSE))),VLOOKUP($C287,武器!$1:$998,COLUMN($O$1),FALSE)*VLOOKUP($D287,素材!$1:$1016,COLUMN($E$1),FALSE)/(LEN(VLOOKUP($D287,素材!$1:$1016,COLUMN($F$1),FALSE)) - LEN(SUBSTITUTE(VLOOKUP($D287,素材!$1:$1016,COLUMN($F$1),FALSE), "・", 0)) + 1), 0)</f>
        <v>0</v>
      </c>
      <c r="AI287">
        <f>IF(ISNUMBER(SEARCH(SUBSTITUTE(AI$1,RIGHT(AI$1,2),""),VLOOKUP($D287,素材!$1:$1016,COLUMN($F$1),FALSE))),VLOOKUP($C287,武器!$1:$998,COLUMN($O$1),FALSE)*VLOOKUP($D287,素材!$1:$1016,COLUMN($E$1),FALSE)/(LEN(VLOOKUP($D287,素材!$1:$1016,COLUMN($F$1),FALSE)) - LEN(SUBSTITUTE(VLOOKUP($D287,素材!$1:$1016,COLUMN($F$1),FALSE), "・", 0)) + 1), 0)</f>
        <v>0</v>
      </c>
      <c r="AJ287">
        <f>IF(ISNUMBER(SEARCH(SUBSTITUTE(AJ$1,RIGHT(AJ$1,2),""),VLOOKUP($D287,素材!$1:$1016,COLUMN($F$1),FALSE))),VLOOKUP($C287,武器!$1:$998,COLUMN($O$1),FALSE)*VLOOKUP($D287,素材!$1:$1016,COLUMN($E$1),FALSE)/(LEN(VLOOKUP($D287,素材!$1:$1016,COLUMN($F$1),FALSE)) - LEN(SUBSTITUTE(VLOOKUP($D287,素材!$1:$1016,COLUMN($F$1),FALSE), "・", 0)) + 1), 0)</f>
        <v>0</v>
      </c>
      <c r="AK287">
        <f>IF(ISNUMBER(SEARCH(SUBSTITUTE(AK$1,RIGHT(AK$1,2),""),VLOOKUP($D287,素材!$1:$1016,COLUMN($F$1),FALSE))),VLOOKUP($C287,武器!$1:$998,COLUMN($O$1),FALSE)*VLOOKUP($D287,素材!$1:$1016,COLUMN($E$1),FALSE)/(LEN(VLOOKUP($D287,素材!$1:$1016,COLUMN($F$1),FALSE)) - LEN(SUBSTITUTE(VLOOKUP($D287,素材!$1:$1016,COLUMN($F$1),FALSE), "・", 0)) + 1), 0)</f>
        <v>0</v>
      </c>
      <c r="AL287">
        <f>IF(ISNUMBER(SEARCH(SUBSTITUTE(AL$1,RIGHT(AL$1,2),""),VLOOKUP($D287,素材!$1:$1016,COLUMN($F$1),FALSE))),VLOOKUP($C287,武器!$1:$998,COLUMN($O$1),FALSE)*VLOOKUP($D287,素材!$1:$1016,COLUMN($E$1),FALSE)/(LEN(VLOOKUP($D287,素材!$1:$1016,COLUMN($F$1),FALSE)) - LEN(SUBSTITUTE(VLOOKUP($D287,素材!$1:$1016,COLUMN($F$1),FALSE), "・", 0)) + 1), 0)</f>
        <v>0</v>
      </c>
      <c r="AM287">
        <f>IF(ISNUMBER(SEARCH(SUBSTITUTE(AM$1,RIGHT(AM$1,2),""),VLOOKUP($D287,素材!$1:$1016,COLUMN($F$1),FALSE))),VLOOKUP($C287,武器!$1:$998,COLUMN($O$1),FALSE)*VLOOKUP($D287,素材!$1:$1016,COLUMN($E$1),FALSE)/(LEN(VLOOKUP($D287,素材!$1:$1016,COLUMN($F$1),FALSE)) - LEN(SUBSTITUTE(VLOOKUP($D287,素材!$1:$1016,COLUMN($F$1),FALSE), "・", 0)) + 1), 0)</f>
        <v>0</v>
      </c>
      <c r="AN287">
        <f>IF(ISNUMBER(SEARCH(SUBSTITUTE(AN$1,RIGHT(AN$1,2),""),VLOOKUP($D287,素材!$1:$1016,COLUMN($F$1),FALSE))),VLOOKUP($C287,武器!$1:$998,COLUMN($O$1),FALSE)*VLOOKUP($D287,素材!$1:$1016,COLUMN($E$1),FALSE)/(LEN(VLOOKUP($D287,素材!$1:$1016,COLUMN($F$1),FALSE)) - LEN(SUBSTITUTE(VLOOKUP($D287,素材!$1:$1016,COLUMN($F$1),FALSE), "・", 0)) + 1), 0)</f>
        <v>0</v>
      </c>
      <c r="AO287">
        <f>IF(ISNUMBER(SEARCH(SUBSTITUTE(AO$1,RIGHT(AO$1,2),""),VLOOKUP($D287,素材!$1:$1016,COLUMN($F$1),FALSE))),VLOOKUP($C287,武器!$1:$998,COLUMN($O$1),FALSE)*VLOOKUP($D287,素材!$1:$1016,COLUMN($E$1),FALSE)/(LEN(VLOOKUP($D287,素材!$1:$1016,COLUMN($F$1),FALSE)) - LEN(SUBSTITUTE(VLOOKUP($D287,素材!$1:$1016,COLUMN($F$1),FALSE), "・", 0)) + 1), 0)</f>
        <v>0</v>
      </c>
      <c r="AP287">
        <f>IF(ISNUMBER(SEARCH(SUBSTITUTE(AP$1,RIGHT(AP$1,2),""),VLOOKUP($D287,素材!$1:$1016,COLUMN($F$1),FALSE))),VLOOKUP($C287,武器!$1:$998,COLUMN($O$1),FALSE)*VLOOKUP($D287,素材!$1:$1016,COLUMN($E$1),FALSE)/(LEN(VLOOKUP($D287,素材!$1:$1016,COLUMN($F$1),FALSE)) - LEN(SUBSTITUTE(VLOOKUP($D287,素材!$1:$1016,COLUMN($F$1),FALSE), "・", 0)) + 1), 0)</f>
        <v>0</v>
      </c>
      <c r="AQ287">
        <f>IF(ISNUMBER(SEARCH(SUBSTITUTE(AQ$1,RIGHT(AQ$1,2),""),VLOOKUP($D287,素材!$1:$1016,COLUMN($F$1),FALSE))),VLOOKUP($C287,武器!$1:$998,COLUMN($O$1),FALSE)*VLOOKUP($D287,素材!$1:$1016,COLUMN($E$1),FALSE)/(LEN(VLOOKUP($D287,素材!$1:$1016,COLUMN($F$1),FALSE)) - LEN(SUBSTITUTE(VLOOKUP($D287,素材!$1:$1016,COLUMN($F$1),FALSE), "・", 0)) + 1), 0)</f>
        <v>0</v>
      </c>
      <c r="AR287">
        <f>IF(ISNUMBER(SEARCH(SUBSTITUTE(AR$1,RIGHT(AR$1,2),""),VLOOKUP($D287,素材!$1:$1016,COLUMN($F$1),FALSE))),VLOOKUP($C287,武器!$1:$998,COLUMN($O$1),FALSE)*VLOOKUP($D287,素材!$1:$1016,COLUMN($E$1),FALSE)/(LEN(VLOOKUP($D287,素材!$1:$1016,COLUMN($F$1),FALSE)) - LEN(SUBSTITUTE(VLOOKUP($D287,素材!$1:$1016,COLUMN($F$1),FALSE), "・", 0)) + 1), 0)</f>
        <v>0</v>
      </c>
      <c r="AS287">
        <f>IF(ISNUMBER(SEARCH(SUBSTITUTE(AS$1,RIGHT(AS$1,2),""),VLOOKUP($D287,素材!$1:$1016,COLUMN($F$1),FALSE))),VLOOKUP($C287,武器!$1:$998,COLUMN($O$1),FALSE)*VLOOKUP($D287,素材!$1:$1016,COLUMN($E$1),FALSE)/(LEN(VLOOKUP($D287,素材!$1:$1016,COLUMN($F$1),FALSE)) - LEN(SUBSTITUTE(VLOOKUP($D287,素材!$1:$1016,COLUMN($F$1),FALSE), "・", 0)) + 1), 0)</f>
        <v>0</v>
      </c>
      <c r="AT287">
        <f>IF(ISNUMBER(SEARCH(SUBSTITUTE(AT$1,RIGHT(AT$1,2),""),VLOOKUP($D287,素材!$1:$1016,COLUMN($F$1),FALSE))),VLOOKUP($C287,武器!$1:$998,COLUMN($O$1),FALSE)*VLOOKUP($D287,素材!$1:$1016,COLUMN($E$1),FALSE)/(LEN(VLOOKUP($D287,素材!$1:$1016,COLUMN($F$1),FALSE)) - LEN(SUBSTITUTE(VLOOKUP($D287,素材!$1:$1016,COLUMN($F$1),FALSE), "・", 0)) + 1), 0)</f>
        <v>0</v>
      </c>
      <c r="AU287">
        <f>IF(ISNUMBER(SEARCH(SUBSTITUTE(AU$1,RIGHT(AU$1,2),""),VLOOKUP($D287,素材!$1:$1016,COLUMN($F$1),FALSE))),VLOOKUP($C287,武器!$1:$998,COLUMN($O$1),FALSE)*VLOOKUP($D287,素材!$1:$1016,COLUMN($E$1),FALSE)/(LEN(VLOOKUP($D287,素材!$1:$1016,COLUMN($F$1),FALSE)) - LEN(SUBSTITUTE(VLOOKUP($D287,素材!$1:$1016,COLUMN($F$1),FALSE), "・", 0)) + 1), 0)</f>
        <v>0</v>
      </c>
      <c r="AV287">
        <f>IF(ISNUMBER(SEARCH(SUBSTITUTE(AV$1,RIGHT(AV$1,2),""),VLOOKUP($D287,素材!$1:$1016,COLUMN($F$1),FALSE))),VLOOKUP($C287,武器!$1:$998,COLUMN($O$1),FALSE)*VLOOKUP($D287,素材!$1:$1016,COLUMN($E$1),FALSE)/(LEN(VLOOKUP($D287,素材!$1:$1016,COLUMN($F$1),FALSE)) - LEN(SUBSTITUTE(VLOOKUP($D287,素材!$1:$1016,COLUMN($F$1),FALSE), "・", 0)) + 1), 0)</f>
        <v>0</v>
      </c>
      <c r="AW287">
        <f>IF(ISNUMBER(SEARCH(SUBSTITUTE(AW$1,RIGHT(AW$1,2),""),VLOOKUP($D287,素材!$1:$1016,COLUMN($F$1),FALSE))),VLOOKUP($C287,武器!$1:$998,COLUMN($O$1),FALSE)*VLOOKUP($D287,素材!$1:$1016,COLUMN($E$1),FALSE)/(LEN(VLOOKUP($D287,素材!$1:$1016,COLUMN($F$1),FALSE)) - LEN(SUBSTITUTE(VLOOKUP($D287,素材!$1:$1016,COLUMN($F$1),FALSE), "・", 0)) + 1), 0)</f>
        <v>0</v>
      </c>
      <c r="AX287">
        <f>IF(ISNUMBER(SEARCH(SUBSTITUTE(AX$1,RIGHT(AX$1,2),""),VLOOKUP($D287,素材!$1:$1016,COLUMN($F$1),FALSE))),VLOOKUP($C287,武器!$1:$998,COLUMN($O$1),FALSE)*VLOOKUP($D287,素材!$1:$1016,COLUMN($E$1),FALSE)/(LEN(VLOOKUP($D287,素材!$1:$1016,COLUMN($F$1),FALSE)) - LEN(SUBSTITUTE(VLOOKUP($D287,素材!$1:$1016,COLUMN($F$1),FALSE), "・", 0)) + 1), 0)</f>
        <v>0</v>
      </c>
      <c r="AY287">
        <f>IF(ISNUMBER(SEARCH(SUBSTITUTE(AY$1,RIGHT(AY$1,2),""),VLOOKUP($D287,素材!$1:$1016,COLUMN($F$1),FALSE))),VLOOKUP($C287,武器!$1:$998,COLUMN($O$1),FALSE)*VLOOKUP($D287,素材!$1:$1016,COLUMN($E$1),FALSE)/(LEN(VLOOKUP($D287,素材!$1:$1016,COLUMN($F$1),FALSE)) - LEN(SUBSTITUTE(VLOOKUP($D287,素材!$1:$1016,COLUMN($F$1),FALSE), "・", 0)) + 1), 0)</f>
        <v>0</v>
      </c>
      <c r="AZ287">
        <f>IF(ISNUMBER(SEARCH(SUBSTITUTE(AZ$1,RIGHT(AZ$1,2),""),VLOOKUP($D287,素材!$1:$1016,COLUMN($F$1),FALSE))),VLOOKUP($C287,武器!$1:$998,COLUMN($O$1),FALSE)*VLOOKUP($D287,素材!$1:$1016,COLUMN($E$1),FALSE)/(LEN(VLOOKUP($D287,素材!$1:$1016,COLUMN($F$1),FALSE)) - LEN(SUBSTITUTE(VLOOKUP($D287,素材!$1:$1016,COLUMN($F$1),FALSE), "・", 0)) + 1), 0)</f>
        <v>0</v>
      </c>
      <c r="BA287">
        <f>IF(ISNUMBER(SEARCH(SUBSTITUTE(BA$1,RIGHT(BA$1,2),""),VLOOKUP($D287,素材!$1:$1016,COLUMN($F$1),FALSE))),VLOOKUP($C287,武器!$1:$998,COLUMN($O$1),FALSE)*VLOOKUP($D287,素材!$1:$1016,COLUMN($E$1),FALSE)/(LEN(VLOOKUP($D287,素材!$1:$1016,COLUMN($F$1),FALSE)) - LEN(SUBSTITUTE(VLOOKUP($D287,素材!$1:$1016,COLUMN($F$1),FALSE), "・", 0)) + 1), 0)</f>
        <v>0</v>
      </c>
      <c r="BB287">
        <f>IF(ISNUMBER(SEARCH(SUBSTITUTE(BB$1,RIGHT(BB$1,2),""),VLOOKUP($D287,素材!$1:$1016,COLUMN($F$1),FALSE))),VLOOKUP($C287,武器!$1:$998,COLUMN($O$1),FALSE)*VLOOKUP($D287,素材!$1:$1016,COLUMN($E$1),FALSE)/(LEN(VLOOKUP($D287,素材!$1:$1016,COLUMN($F$1),FALSE)) - LEN(SUBSTITUTE(VLOOKUP($D287,素材!$1:$1016,COLUMN($F$1),FALSE), "・", 0)) + 1), 0)</f>
        <v>0</v>
      </c>
      <c r="BC287">
        <f>IF(ISNUMBER(SEARCH(SUBSTITUTE(BC$1,RIGHT(BC$1,2),""),VLOOKUP($D287,素材!$1:$1016,COLUMN($F$1),FALSE))),VLOOKUP($C287,武器!$1:$998,COLUMN($O$1),FALSE)*VLOOKUP($D287,素材!$1:$1016,COLUMN($E$1),FALSE)/(LEN(VLOOKUP($D287,素材!$1:$1016,COLUMN($F$1),FALSE)) - LEN(SUBSTITUTE(VLOOKUP($D287,素材!$1:$1016,COLUMN($F$1),FALSE), "・", 0)) + 1), 0)</f>
        <v>0</v>
      </c>
      <c r="BD287">
        <f>IF(ISNUMBER(SEARCH(SUBSTITUTE(BD$1,RIGHT(BD$1,2),""),VLOOKUP($D287,素材!$1:$1016,COLUMN($F$1),FALSE))),VLOOKUP($C287,武器!$1:$998,COLUMN($O$1),FALSE)*VLOOKUP($D287,素材!$1:$1016,COLUMN($E$1),FALSE)/(LEN(VLOOKUP($D287,素材!$1:$1016,COLUMN($F$1),FALSE)) - LEN(SUBSTITUTE(VLOOKUP($D287,素材!$1:$1016,COLUMN($F$1),FALSE), "・", 0)) + 1), 0)</f>
        <v>0</v>
      </c>
      <c r="BE287">
        <f>IF(ISNUMBER(SEARCH(SUBSTITUTE(BE$1,RIGHT(BE$1,2),""),VLOOKUP($D287,素材!$1:$1016,COLUMN($F$1),FALSE))),VLOOKUP($C287,武器!$1:$998,COLUMN($O$1),FALSE)*VLOOKUP($D287,素材!$1:$1016,COLUMN($E$1),FALSE)/(LEN(VLOOKUP($D287,素材!$1:$1016,COLUMN($F$1),FALSE)) - LEN(SUBSTITUTE(VLOOKUP($D287,素材!$1:$1016,COLUMN($F$1),FALSE), "・", 0)) + 1), 0)</f>
        <v>0</v>
      </c>
      <c r="CL287">
        <f>SUM(G287:I287)</f>
        <v>0</v>
      </c>
      <c r="CM287" s="22" t="str">
        <f>IF(E287="武器",IF(J287-1&gt;SUM(G287:I287),"盾",IF(MAX(G287:I287)=G287,"切断",IF(MAX(G287:I287)=H287,"貫通",IF(MAX(G287:I287)=I287,"打撃","射撃")))),E287)&amp;".webp"</f>
        <v>.webp</v>
      </c>
      <c r="CN287" t="str">
        <f>IFERROR(VLOOKUP($C287,武器!$1:$998,COLUMN(V$1),FALSE)*VLOOKUP($D287,素材!$1:$1016,COLUMN(N$1),FALSE)+IF(CI287="",0,VLOOKUP($CI287,装強!$1:$1008,COLUMN($CK$1),FALSE)),"")</f>
        <v/>
      </c>
      <c r="CO287" t="e">
        <f>VLOOKUP(D287,素材!$A:$O,COLUMN(素材!O$1),FALSE)</f>
        <v>#N/A</v>
      </c>
      <c r="CP287" t="e">
        <f>VLOOKUP(C287,武器!$A:$W,COLUMN(武器!W$1),FALSE)</f>
        <v>#N/A</v>
      </c>
      <c r="CR287" t="str">
        <f t="shared" si="33"/>
        <v>e_287</v>
      </c>
      <c r="CS287" t="e">
        <f t="shared" si="34"/>
        <v>#VALUE!</v>
      </c>
    </row>
    <row r="288" spans="1:97" hidden="1" outlineLevel="1" x14ac:dyDescent="0.4">
      <c r="A288" t="str">
        <f>IF(CI288="",D288&amp;"の"&amp;C288,CI288&amp;"の"&amp;C288)</f>
        <v>の</v>
      </c>
      <c r="B288" t="str">
        <f>IFERROR(IF(CI288="",VLOOKUP($D288,素材!$1:$1016,COLUMN($B$1),FALSE)&amp;"・"&amp;VLOOKUP($C288,武器!$1:$998,COLUMN(B$1),FALSE),VLOOKUP($CI288,装強!$1:$1008,COLUMN($B$1),FALSE)&amp;"・"&amp;VLOOKUP($C288,武器!$1:$998,COLUMN(B$1),FALSE)),"")</f>
        <v/>
      </c>
      <c r="C288" s="24"/>
      <c r="D288" s="24"/>
      <c r="E288" t="str">
        <f>IFERROR(VLOOKUP(C288,武器!$1:$998,COLUMN(C$1),FALSE),"")</f>
        <v/>
      </c>
      <c r="F288" t="str">
        <f>IFERROR(ROUNDDOWN((VLOOKUP($C288,武器!$1:$998,COLUMN(D$1),FALSE)+IFERROR(VLOOKUP($CI288,装強!$1:$999,COLUMN(F$1),FALSE),0))*VLOOKUP($D288,素材!$1:$1016,COLUMN(D$1),FALSE),0),"")</f>
        <v/>
      </c>
      <c r="G288" t="str">
        <f>IFERROR(ROUNDDOWN((VLOOKUP($C288,武器!$1:$998,COLUMN(E$1),FALSE)+IFERROR(VLOOKUP($CI288,装強!$1:$999,COLUMN(G$1),FALSE),0))*VLOOKUP($D288,素材!$1:$1016,COLUMN($E$1),FALSE),0),"")</f>
        <v/>
      </c>
      <c r="H288" t="str">
        <f>IFERROR(ROUNDDOWN((VLOOKUP($C288,武器!$1:$998,COLUMN(F$1),FALSE)+IFERROR(VLOOKUP($CI288,装強!$1:$999,COLUMN(H$1),FALSE),0))*VLOOKUP($D288,素材!$1:$1016,COLUMN($E$1),FALSE),0),"")</f>
        <v/>
      </c>
      <c r="I288" t="str">
        <f>IFERROR(ROUNDDOWN((VLOOKUP($C288,武器!$1:$998,COLUMN(G$1),FALSE)+IFERROR(VLOOKUP($CI288,装強!$1:$999,COLUMN(I$1),FALSE),0))*VLOOKUP($D288,素材!$1:$1016,COLUMN($E$1),FALSE),0),"")</f>
        <v/>
      </c>
      <c r="J288" t="str">
        <f>IFERROR(ROUNDDOWN((VLOOKUP($C288,武器!$1:$998,COLUMN(H$1),FALSE)+IFERROR(VLOOKUP($CI288,装強!$1:$999,COLUMN(J$1),FALSE),0))*VLOOKUP($D288,素材!$1:$1016,COLUMN($E$1),FALSE),0),"")</f>
        <v/>
      </c>
      <c r="K288" t="str">
        <f>IFERROR(ROUNDDOWN((VLOOKUP($C288,武器!$1:$998,COLUMN(I$1),FALSE)+IFERROR(VLOOKUP($CI288,装強!$1:$999,COLUMN(K$1),FALSE),0))*VLOOKUP($D288,素材!$1:$1016,COLUMN($E$1),FALSE),0),"")</f>
        <v/>
      </c>
      <c r="L288" t="str">
        <f>IFERROR(VLOOKUP($D288,素材!$1:$1016,COLUMN($F$1),FALSE),"")</f>
        <v/>
      </c>
      <c r="M288" t="str">
        <f>IFERROR(VLOOKUP($C288,武器!$1:$998,COLUMN(AA$1),FALSE)*VLOOKUP($D288,素材!$1:$1016,COLUMN($G$1),FALSE),"")</f>
        <v/>
      </c>
      <c r="N288" t="str">
        <f>IFERROR(VLOOKUP($C288,武器!$1:$998,COLUMN(I$1),FALSE),"")</f>
        <v/>
      </c>
      <c r="O288" s="23" t="str">
        <f>IFERROR((VLOOKUP($C288,武器!$1:$998,COLUMN(K$1),FALSE)+VLOOKUP($D288,素材!$1:$1016,COLUMN(H$1),FALSE))*100+IFERROR(VLOOKUP($CI288,装強!$1:$999,COLUMN(O$1),FALSE),0),"")</f>
        <v/>
      </c>
      <c r="P288" s="23" t="str">
        <f>IFERROR((VLOOKUP($C288,武器!$1:$998,COLUMN(L$1),FALSE)+VLOOKUP($D288,素材!$1:$1016,COLUMN(I$1),FALSE))*100+IFERROR(VLOOKUP($CI288,装強!$1:$999,COLUMN(P$1),FALSE),0),"")</f>
        <v/>
      </c>
      <c r="Q288" t="str">
        <f>IFERROR(ROUNDUP(VLOOKUP($C288,武器!$1:$998,COLUMN(M$1),FALSE)*(VLOOKUP($D288,素材!$1:$1002,COLUMN(D$1),FALSE)/100),1),"")</f>
        <v/>
      </c>
      <c r="R288" t="str">
        <f>IFERROR(ROUNDUP(VLOOKUP($C288,武器!$1:$998,COLUMN(N$1),FALSE)*(VLOOKUP($D288,素材!$1:$1002,COLUMN(D$1),FALSE)/100),1),"")</f>
        <v/>
      </c>
      <c r="S288" t="str">
        <f>IFERROR(VLOOKUP($C288,武器!$1:$998,COLUMN(P$1),FALSE),"")</f>
        <v/>
      </c>
      <c r="T288" t="str">
        <f>IFERROR(VLOOKUP($C288,武器!$1:$998,COLUMN(Q$1),FALSE),"")</f>
        <v/>
      </c>
      <c r="U288" t="str">
        <f>IFERROR(VLOOKUP($C288,武器!$1:$998,COLUMN(R$1),FALSE),"")</f>
        <v/>
      </c>
      <c r="V288" t="str">
        <f>IFERROR(VLOOKUP($C288,武器!$1:$998,COLUMN(Q$1),FALSE),"")</f>
        <v/>
      </c>
      <c r="W288" t="str">
        <f>IFERROR(VLOOKUP($C288,武器!$1:$998,COLUMN(T$1),FALSE),"")</f>
        <v/>
      </c>
      <c r="Y288" t="str">
        <f>IFERROR(VLOOKUP($C288,武器!$1:$998,COLUMN(U$1),FALSE),"")</f>
        <v/>
      </c>
      <c r="Z288" t="str">
        <f>IFERROR(ROUNDUP(VLOOKUP($C288,武器!$1:$998,COLUMN(O$1),FALSE)*VLOOKUP($D288,素材!$1:$1016,COLUMN(E$1),FALSE),1),"")</f>
        <v/>
      </c>
      <c r="AA288">
        <f>IF(ISNUMBER(SEARCH(SUBSTITUTE(AA$1,RIGHT(AA$1,2),""),VLOOKUP($D288,素材!$1:$1016,COLUMN($F$1),FALSE))),VLOOKUP($C288,武器!$1:$998,COLUMN($O$1),FALSE)*VLOOKUP($D288,素材!$1:$1016,COLUMN($E$1),FALSE)/(LEN(VLOOKUP($D288,素材!$1:$1016,COLUMN($F$1),FALSE)) - LEN(SUBSTITUTE(VLOOKUP($D288,素材!$1:$1016,COLUMN($F$1),FALSE), "・", 0)) + 1), 0)</f>
        <v>0</v>
      </c>
      <c r="AB288">
        <f>IF(ISNUMBER(SEARCH(SUBSTITUTE(AB$1,RIGHT(AB$1,2),""),VLOOKUP($D288,素材!$1:$1016,COLUMN($F$1),FALSE))),VLOOKUP($C288,武器!$1:$998,COLUMN($O$1),FALSE)*VLOOKUP($D288,素材!$1:$1016,COLUMN($E$1),FALSE)/(LEN(VLOOKUP($D288,素材!$1:$1016,COLUMN($F$1),FALSE)) - LEN(SUBSTITUTE(VLOOKUP($D288,素材!$1:$1016,COLUMN($F$1),FALSE), "・", 0)) + 1), 0)</f>
        <v>0</v>
      </c>
      <c r="AC288">
        <f>IF(ISNUMBER(SEARCH(SUBSTITUTE(AC$1,RIGHT(AC$1,2),""),VLOOKUP($D288,素材!$1:$1016,COLUMN($F$1),FALSE))),VLOOKUP($C288,武器!$1:$998,COLUMN($O$1),FALSE)*VLOOKUP($D288,素材!$1:$1016,COLUMN($E$1),FALSE)/(LEN(VLOOKUP($D288,素材!$1:$1016,COLUMN($F$1),FALSE)) - LEN(SUBSTITUTE(VLOOKUP($D288,素材!$1:$1016,COLUMN($F$1),FALSE), "・", 0)) + 1), 0)</f>
        <v>0</v>
      </c>
      <c r="AD288">
        <f>IF(ISNUMBER(SEARCH(SUBSTITUTE(AD$1,RIGHT(AD$1,2),""),VLOOKUP($D288,素材!$1:$1016,COLUMN($F$1),FALSE))),VLOOKUP($C288,武器!$1:$998,COLUMN($O$1),FALSE)*VLOOKUP($D288,素材!$1:$1016,COLUMN($E$1),FALSE)/(LEN(VLOOKUP($D288,素材!$1:$1016,COLUMN($F$1),FALSE)) - LEN(SUBSTITUTE(VLOOKUP($D288,素材!$1:$1016,COLUMN($F$1),FALSE), "・", 0)) + 1), 0)</f>
        <v>0</v>
      </c>
      <c r="AE288">
        <f>IF(ISNUMBER(SEARCH(SUBSTITUTE(AE$1,RIGHT(AE$1,2),""),VLOOKUP($D288,素材!$1:$1016,COLUMN($F$1),FALSE))),VLOOKUP($C288,武器!$1:$998,COLUMN($O$1),FALSE)*VLOOKUP($D288,素材!$1:$1016,COLUMN($E$1),FALSE)/(LEN(VLOOKUP($D288,素材!$1:$1016,COLUMN($F$1),FALSE)) - LEN(SUBSTITUTE(VLOOKUP($D288,素材!$1:$1016,COLUMN($F$1),FALSE), "・", 0)) + 1), 0)</f>
        <v>0</v>
      </c>
      <c r="AF288">
        <f>IF(ISNUMBER(SEARCH(SUBSTITUTE(AF$1,RIGHT(AF$1,2),""),VLOOKUP($D288,素材!$1:$1016,COLUMN($F$1),FALSE))),VLOOKUP($C288,武器!$1:$998,COLUMN($O$1),FALSE)*VLOOKUP($D288,素材!$1:$1016,COLUMN($E$1),FALSE)/(LEN(VLOOKUP($D288,素材!$1:$1016,COLUMN($F$1),FALSE)) - LEN(SUBSTITUTE(VLOOKUP($D288,素材!$1:$1016,COLUMN($F$1),FALSE), "・", 0)) + 1), 0)</f>
        <v>0</v>
      </c>
      <c r="AG288">
        <f>IF(ISNUMBER(SEARCH(SUBSTITUTE(AG$1,RIGHT(AG$1,2),""),VLOOKUP($D288,素材!$1:$1016,COLUMN($F$1),FALSE))),VLOOKUP($C288,武器!$1:$998,COLUMN($O$1),FALSE)*VLOOKUP($D288,素材!$1:$1016,COLUMN($E$1),FALSE)/(LEN(VLOOKUP($D288,素材!$1:$1016,COLUMN($F$1),FALSE)) - LEN(SUBSTITUTE(VLOOKUP($D288,素材!$1:$1016,COLUMN($F$1),FALSE), "・", 0)) + 1), 0)</f>
        <v>0</v>
      </c>
      <c r="AH288">
        <f>IF(ISNUMBER(SEARCH(SUBSTITUTE(AH$1,RIGHT(AH$1,2),""),VLOOKUP($D288,素材!$1:$1016,COLUMN($F$1),FALSE))),VLOOKUP($C288,武器!$1:$998,COLUMN($O$1),FALSE)*VLOOKUP($D288,素材!$1:$1016,COLUMN($E$1),FALSE)/(LEN(VLOOKUP($D288,素材!$1:$1016,COLUMN($F$1),FALSE)) - LEN(SUBSTITUTE(VLOOKUP($D288,素材!$1:$1016,COLUMN($F$1),FALSE), "・", 0)) + 1), 0)</f>
        <v>0</v>
      </c>
      <c r="AI288">
        <f>IF(ISNUMBER(SEARCH(SUBSTITUTE(AI$1,RIGHT(AI$1,2),""),VLOOKUP($D288,素材!$1:$1016,COLUMN($F$1),FALSE))),VLOOKUP($C288,武器!$1:$998,COLUMN($O$1),FALSE)*VLOOKUP($D288,素材!$1:$1016,COLUMN($E$1),FALSE)/(LEN(VLOOKUP($D288,素材!$1:$1016,COLUMN($F$1),FALSE)) - LEN(SUBSTITUTE(VLOOKUP($D288,素材!$1:$1016,COLUMN($F$1),FALSE), "・", 0)) + 1), 0)</f>
        <v>0</v>
      </c>
      <c r="AJ288">
        <f>IF(ISNUMBER(SEARCH(SUBSTITUTE(AJ$1,RIGHT(AJ$1,2),""),VLOOKUP($D288,素材!$1:$1016,COLUMN($F$1),FALSE))),VLOOKUP($C288,武器!$1:$998,COLUMN($O$1),FALSE)*VLOOKUP($D288,素材!$1:$1016,COLUMN($E$1),FALSE)/(LEN(VLOOKUP($D288,素材!$1:$1016,COLUMN($F$1),FALSE)) - LEN(SUBSTITUTE(VLOOKUP($D288,素材!$1:$1016,COLUMN($F$1),FALSE), "・", 0)) + 1), 0)</f>
        <v>0</v>
      </c>
      <c r="AK288">
        <f>IF(ISNUMBER(SEARCH(SUBSTITUTE(AK$1,RIGHT(AK$1,2),""),VLOOKUP($D288,素材!$1:$1016,COLUMN($F$1),FALSE))),VLOOKUP($C288,武器!$1:$998,COLUMN($O$1),FALSE)*VLOOKUP($D288,素材!$1:$1016,COLUMN($E$1),FALSE)/(LEN(VLOOKUP($D288,素材!$1:$1016,COLUMN($F$1),FALSE)) - LEN(SUBSTITUTE(VLOOKUP($D288,素材!$1:$1016,COLUMN($F$1),FALSE), "・", 0)) + 1), 0)</f>
        <v>0</v>
      </c>
      <c r="AL288">
        <f>IF(ISNUMBER(SEARCH(SUBSTITUTE(AL$1,RIGHT(AL$1,2),""),VLOOKUP($D288,素材!$1:$1016,COLUMN($F$1),FALSE))),VLOOKUP($C288,武器!$1:$998,COLUMN($O$1),FALSE)*VLOOKUP($D288,素材!$1:$1016,COLUMN($E$1),FALSE)/(LEN(VLOOKUP($D288,素材!$1:$1016,COLUMN($F$1),FALSE)) - LEN(SUBSTITUTE(VLOOKUP($D288,素材!$1:$1016,COLUMN($F$1),FALSE), "・", 0)) + 1), 0)</f>
        <v>0</v>
      </c>
      <c r="AM288">
        <f>IF(ISNUMBER(SEARCH(SUBSTITUTE(AM$1,RIGHT(AM$1,2),""),VLOOKUP($D288,素材!$1:$1016,COLUMN($F$1),FALSE))),VLOOKUP($C288,武器!$1:$998,COLUMN($O$1),FALSE)*VLOOKUP($D288,素材!$1:$1016,COLUMN($E$1),FALSE)/(LEN(VLOOKUP($D288,素材!$1:$1016,COLUMN($F$1),FALSE)) - LEN(SUBSTITUTE(VLOOKUP($D288,素材!$1:$1016,COLUMN($F$1),FALSE), "・", 0)) + 1), 0)</f>
        <v>0</v>
      </c>
      <c r="AN288">
        <f>IF(ISNUMBER(SEARCH(SUBSTITUTE(AN$1,RIGHT(AN$1,2),""),VLOOKUP($D288,素材!$1:$1016,COLUMN($F$1),FALSE))),VLOOKUP($C288,武器!$1:$998,COLUMN($O$1),FALSE)*VLOOKUP($D288,素材!$1:$1016,COLUMN($E$1),FALSE)/(LEN(VLOOKUP($D288,素材!$1:$1016,COLUMN($F$1),FALSE)) - LEN(SUBSTITUTE(VLOOKUP($D288,素材!$1:$1016,COLUMN($F$1),FALSE), "・", 0)) + 1), 0)</f>
        <v>0</v>
      </c>
      <c r="AO288">
        <f>IF(ISNUMBER(SEARCH(SUBSTITUTE(AO$1,RIGHT(AO$1,2),""),VLOOKUP($D288,素材!$1:$1016,COLUMN($F$1),FALSE))),VLOOKUP($C288,武器!$1:$998,COLUMN($O$1),FALSE)*VLOOKUP($D288,素材!$1:$1016,COLUMN($E$1),FALSE)/(LEN(VLOOKUP($D288,素材!$1:$1016,COLUMN($F$1),FALSE)) - LEN(SUBSTITUTE(VLOOKUP($D288,素材!$1:$1016,COLUMN($F$1),FALSE), "・", 0)) + 1), 0)</f>
        <v>0</v>
      </c>
      <c r="AP288">
        <f>IF(ISNUMBER(SEARCH(SUBSTITUTE(AP$1,RIGHT(AP$1,2),""),VLOOKUP($D288,素材!$1:$1016,COLUMN($F$1),FALSE))),VLOOKUP($C288,武器!$1:$998,COLUMN($O$1),FALSE)*VLOOKUP($D288,素材!$1:$1016,COLUMN($E$1),FALSE)/(LEN(VLOOKUP($D288,素材!$1:$1016,COLUMN($F$1),FALSE)) - LEN(SUBSTITUTE(VLOOKUP($D288,素材!$1:$1016,COLUMN($F$1),FALSE), "・", 0)) + 1), 0)</f>
        <v>0</v>
      </c>
      <c r="AQ288">
        <f>IF(ISNUMBER(SEARCH(SUBSTITUTE(AQ$1,RIGHT(AQ$1,2),""),VLOOKUP($D288,素材!$1:$1016,COLUMN($F$1),FALSE))),VLOOKUP($C288,武器!$1:$998,COLUMN($O$1),FALSE)*VLOOKUP($D288,素材!$1:$1016,COLUMN($E$1),FALSE)/(LEN(VLOOKUP($D288,素材!$1:$1016,COLUMN($F$1),FALSE)) - LEN(SUBSTITUTE(VLOOKUP($D288,素材!$1:$1016,COLUMN($F$1),FALSE), "・", 0)) + 1), 0)</f>
        <v>0</v>
      </c>
      <c r="AR288">
        <f>IF(ISNUMBER(SEARCH(SUBSTITUTE(AR$1,RIGHT(AR$1,2),""),VLOOKUP($D288,素材!$1:$1016,COLUMN($F$1),FALSE))),VLOOKUP($C288,武器!$1:$998,COLUMN($O$1),FALSE)*VLOOKUP($D288,素材!$1:$1016,COLUMN($E$1),FALSE)/(LEN(VLOOKUP($D288,素材!$1:$1016,COLUMN($F$1),FALSE)) - LEN(SUBSTITUTE(VLOOKUP($D288,素材!$1:$1016,COLUMN($F$1),FALSE), "・", 0)) + 1), 0)</f>
        <v>0</v>
      </c>
      <c r="AS288">
        <f>IF(ISNUMBER(SEARCH(SUBSTITUTE(AS$1,RIGHT(AS$1,2),""),VLOOKUP($D288,素材!$1:$1016,COLUMN($F$1),FALSE))),VLOOKUP($C288,武器!$1:$998,COLUMN($O$1),FALSE)*VLOOKUP($D288,素材!$1:$1016,COLUMN($E$1),FALSE)/(LEN(VLOOKUP($D288,素材!$1:$1016,COLUMN($F$1),FALSE)) - LEN(SUBSTITUTE(VLOOKUP($D288,素材!$1:$1016,COLUMN($F$1),FALSE), "・", 0)) + 1), 0)</f>
        <v>0</v>
      </c>
      <c r="AT288">
        <f>IF(ISNUMBER(SEARCH(SUBSTITUTE(AT$1,RIGHT(AT$1,2),""),VLOOKUP($D288,素材!$1:$1016,COLUMN($F$1),FALSE))),VLOOKUP($C288,武器!$1:$998,COLUMN($O$1),FALSE)*VLOOKUP($D288,素材!$1:$1016,COLUMN($E$1),FALSE)/(LEN(VLOOKUP($D288,素材!$1:$1016,COLUMN($F$1),FALSE)) - LEN(SUBSTITUTE(VLOOKUP($D288,素材!$1:$1016,COLUMN($F$1),FALSE), "・", 0)) + 1), 0)</f>
        <v>0</v>
      </c>
      <c r="AU288">
        <f>IF(ISNUMBER(SEARCH(SUBSTITUTE(AU$1,RIGHT(AU$1,2),""),VLOOKUP($D288,素材!$1:$1016,COLUMN($F$1),FALSE))),VLOOKUP($C288,武器!$1:$998,COLUMN($O$1),FALSE)*VLOOKUP($D288,素材!$1:$1016,COLUMN($E$1),FALSE)/(LEN(VLOOKUP($D288,素材!$1:$1016,COLUMN($F$1),FALSE)) - LEN(SUBSTITUTE(VLOOKUP($D288,素材!$1:$1016,COLUMN($F$1),FALSE), "・", 0)) + 1), 0)</f>
        <v>0</v>
      </c>
      <c r="AV288">
        <f>IF(ISNUMBER(SEARCH(SUBSTITUTE(AV$1,RIGHT(AV$1,2),""),VLOOKUP($D288,素材!$1:$1016,COLUMN($F$1),FALSE))),VLOOKUP($C288,武器!$1:$998,COLUMN($O$1),FALSE)*VLOOKUP($D288,素材!$1:$1016,COLUMN($E$1),FALSE)/(LEN(VLOOKUP($D288,素材!$1:$1016,COLUMN($F$1),FALSE)) - LEN(SUBSTITUTE(VLOOKUP($D288,素材!$1:$1016,COLUMN($F$1),FALSE), "・", 0)) + 1), 0)</f>
        <v>0</v>
      </c>
      <c r="AW288">
        <f>IF(ISNUMBER(SEARCH(SUBSTITUTE(AW$1,RIGHT(AW$1,2),""),VLOOKUP($D288,素材!$1:$1016,COLUMN($F$1),FALSE))),VLOOKUP($C288,武器!$1:$998,COLUMN($O$1),FALSE)*VLOOKUP($D288,素材!$1:$1016,COLUMN($E$1),FALSE)/(LEN(VLOOKUP($D288,素材!$1:$1016,COLUMN($F$1),FALSE)) - LEN(SUBSTITUTE(VLOOKUP($D288,素材!$1:$1016,COLUMN($F$1),FALSE), "・", 0)) + 1), 0)</f>
        <v>0</v>
      </c>
      <c r="AX288">
        <f>IF(ISNUMBER(SEARCH(SUBSTITUTE(AX$1,RIGHT(AX$1,2),""),VLOOKUP($D288,素材!$1:$1016,COLUMN($F$1),FALSE))),VLOOKUP($C288,武器!$1:$998,COLUMN($O$1),FALSE)*VLOOKUP($D288,素材!$1:$1016,COLUMN($E$1),FALSE)/(LEN(VLOOKUP($D288,素材!$1:$1016,COLUMN($F$1),FALSE)) - LEN(SUBSTITUTE(VLOOKUP($D288,素材!$1:$1016,COLUMN($F$1),FALSE), "・", 0)) + 1), 0)</f>
        <v>0</v>
      </c>
      <c r="AY288">
        <f>IF(ISNUMBER(SEARCH(SUBSTITUTE(AY$1,RIGHT(AY$1,2),""),VLOOKUP($D288,素材!$1:$1016,COLUMN($F$1),FALSE))),VLOOKUP($C288,武器!$1:$998,COLUMN($O$1),FALSE)*VLOOKUP($D288,素材!$1:$1016,COLUMN($E$1),FALSE)/(LEN(VLOOKUP($D288,素材!$1:$1016,COLUMN($F$1),FALSE)) - LEN(SUBSTITUTE(VLOOKUP($D288,素材!$1:$1016,COLUMN($F$1),FALSE), "・", 0)) + 1), 0)</f>
        <v>0</v>
      </c>
      <c r="AZ288">
        <f>IF(ISNUMBER(SEARCH(SUBSTITUTE(AZ$1,RIGHT(AZ$1,2),""),VLOOKUP($D288,素材!$1:$1016,COLUMN($F$1),FALSE))),VLOOKUP($C288,武器!$1:$998,COLUMN($O$1),FALSE)*VLOOKUP($D288,素材!$1:$1016,COLUMN($E$1),FALSE)/(LEN(VLOOKUP($D288,素材!$1:$1016,COLUMN($F$1),FALSE)) - LEN(SUBSTITUTE(VLOOKUP($D288,素材!$1:$1016,COLUMN($F$1),FALSE), "・", 0)) + 1), 0)</f>
        <v>0</v>
      </c>
      <c r="BA288">
        <f>IF(ISNUMBER(SEARCH(SUBSTITUTE(BA$1,RIGHT(BA$1,2),""),VLOOKUP($D288,素材!$1:$1016,COLUMN($F$1),FALSE))),VLOOKUP($C288,武器!$1:$998,COLUMN($O$1),FALSE)*VLOOKUP($D288,素材!$1:$1016,COLUMN($E$1),FALSE)/(LEN(VLOOKUP($D288,素材!$1:$1016,COLUMN($F$1),FALSE)) - LEN(SUBSTITUTE(VLOOKUP($D288,素材!$1:$1016,COLUMN($F$1),FALSE), "・", 0)) + 1), 0)</f>
        <v>0</v>
      </c>
      <c r="BB288">
        <f>IF(ISNUMBER(SEARCH(SUBSTITUTE(BB$1,RIGHT(BB$1,2),""),VLOOKUP($D288,素材!$1:$1016,COLUMN($F$1),FALSE))),VLOOKUP($C288,武器!$1:$998,COLUMN($O$1),FALSE)*VLOOKUP($D288,素材!$1:$1016,COLUMN($E$1),FALSE)/(LEN(VLOOKUP($D288,素材!$1:$1016,COLUMN($F$1),FALSE)) - LEN(SUBSTITUTE(VLOOKUP($D288,素材!$1:$1016,COLUMN($F$1),FALSE), "・", 0)) + 1), 0)</f>
        <v>0</v>
      </c>
      <c r="BC288">
        <f>IF(ISNUMBER(SEARCH(SUBSTITUTE(BC$1,RIGHT(BC$1,2),""),VLOOKUP($D288,素材!$1:$1016,COLUMN($F$1),FALSE))),VLOOKUP($C288,武器!$1:$998,COLUMN($O$1),FALSE)*VLOOKUP($D288,素材!$1:$1016,COLUMN($E$1),FALSE)/(LEN(VLOOKUP($D288,素材!$1:$1016,COLUMN($F$1),FALSE)) - LEN(SUBSTITUTE(VLOOKUP($D288,素材!$1:$1016,COLUMN($F$1),FALSE), "・", 0)) + 1), 0)</f>
        <v>0</v>
      </c>
      <c r="BD288">
        <f>IF(ISNUMBER(SEARCH(SUBSTITUTE(BD$1,RIGHT(BD$1,2),""),VLOOKUP($D288,素材!$1:$1016,COLUMN($F$1),FALSE))),VLOOKUP($C288,武器!$1:$998,COLUMN($O$1),FALSE)*VLOOKUP($D288,素材!$1:$1016,COLUMN($E$1),FALSE)/(LEN(VLOOKUP($D288,素材!$1:$1016,COLUMN($F$1),FALSE)) - LEN(SUBSTITUTE(VLOOKUP($D288,素材!$1:$1016,COLUMN($F$1),FALSE), "・", 0)) + 1), 0)</f>
        <v>0</v>
      </c>
      <c r="BE288">
        <f>IF(ISNUMBER(SEARCH(SUBSTITUTE(BE$1,RIGHT(BE$1,2),""),VLOOKUP($D288,素材!$1:$1016,COLUMN($F$1),FALSE))),VLOOKUP($C288,武器!$1:$998,COLUMN($O$1),FALSE)*VLOOKUP($D288,素材!$1:$1016,COLUMN($E$1),FALSE)/(LEN(VLOOKUP($D288,素材!$1:$1016,COLUMN($F$1),FALSE)) - LEN(SUBSTITUTE(VLOOKUP($D288,素材!$1:$1016,COLUMN($F$1),FALSE), "・", 0)) + 1), 0)</f>
        <v>0</v>
      </c>
      <c r="CL288">
        <f>SUM(G288:I288)</f>
        <v>0</v>
      </c>
      <c r="CM288" s="22" t="str">
        <f>IF(E288="武器",IF(J288-1&gt;SUM(G288:I288),"盾",IF(MAX(G288:I288)=G288,"切断",IF(MAX(G288:I288)=H288,"貫通",IF(MAX(G288:I288)=I288,"打撃","射撃")))),E288)&amp;".webp"</f>
        <v>.webp</v>
      </c>
      <c r="CN288" t="str">
        <f>IFERROR(VLOOKUP($C288,武器!$1:$998,COLUMN(V$1),FALSE)*VLOOKUP($D288,素材!$1:$1016,COLUMN(N$1),FALSE)+IF(CI288="",0,VLOOKUP($CI288,装強!$1:$1008,COLUMN($CK$1),FALSE)),"")</f>
        <v/>
      </c>
      <c r="CO288" t="e">
        <f>VLOOKUP(D288,素材!$A:$O,COLUMN(素材!O$1),FALSE)</f>
        <v>#N/A</v>
      </c>
      <c r="CP288" t="e">
        <f>VLOOKUP(C288,武器!$A:$W,COLUMN(武器!W$1),FALSE)</f>
        <v>#N/A</v>
      </c>
      <c r="CR288" t="str">
        <f t="shared" si="33"/>
        <v>e_288</v>
      </c>
      <c r="CS288" t="e">
        <f t="shared" si="34"/>
        <v>#VALUE!</v>
      </c>
    </row>
    <row r="289" spans="1:97" hidden="1" outlineLevel="1" x14ac:dyDescent="0.4">
      <c r="A289" t="str">
        <f>IF(CI289="",D289&amp;"の"&amp;C289,CI289&amp;"の"&amp;C289)</f>
        <v>の</v>
      </c>
      <c r="B289" t="str">
        <f>IFERROR(IF(CI289="",VLOOKUP($D289,素材!$1:$1016,COLUMN($B$1),FALSE)&amp;"・"&amp;VLOOKUP($C289,武器!$1:$998,COLUMN(B$1),FALSE),VLOOKUP($CI289,装強!$1:$1008,COLUMN($B$1),FALSE)&amp;"・"&amp;VLOOKUP($C289,武器!$1:$998,COLUMN(B$1),FALSE)),"")</f>
        <v/>
      </c>
      <c r="C289" s="24"/>
      <c r="D289" s="24"/>
      <c r="E289" t="str">
        <f>IFERROR(VLOOKUP(C289,武器!$1:$998,COLUMN(C$1),FALSE),"")</f>
        <v/>
      </c>
      <c r="F289" t="str">
        <f>IFERROR(ROUNDDOWN((VLOOKUP($C289,武器!$1:$998,COLUMN(D$1),FALSE)+IFERROR(VLOOKUP($CI289,装強!$1:$999,COLUMN(F$1),FALSE),0))*VLOOKUP($D289,素材!$1:$1016,COLUMN(D$1),FALSE),0),"")</f>
        <v/>
      </c>
      <c r="G289" t="str">
        <f>IFERROR(ROUNDDOWN((VLOOKUP($C289,武器!$1:$998,COLUMN(E$1),FALSE)+IFERROR(VLOOKUP($CI289,装強!$1:$999,COLUMN(G$1),FALSE),0))*VLOOKUP($D289,素材!$1:$1016,COLUMN($E$1),FALSE),0),"")</f>
        <v/>
      </c>
      <c r="H289" t="str">
        <f>IFERROR(ROUNDDOWN((VLOOKUP($C289,武器!$1:$998,COLUMN(F$1),FALSE)+IFERROR(VLOOKUP($CI289,装強!$1:$999,COLUMN(H$1),FALSE),0))*VLOOKUP($D289,素材!$1:$1016,COLUMN($E$1),FALSE),0),"")</f>
        <v/>
      </c>
      <c r="I289" t="str">
        <f>IFERROR(ROUNDDOWN((VLOOKUP($C289,武器!$1:$998,COLUMN(G$1),FALSE)+IFERROR(VLOOKUP($CI289,装強!$1:$999,COLUMN(I$1),FALSE),0))*VLOOKUP($D289,素材!$1:$1016,COLUMN($E$1),FALSE),0),"")</f>
        <v/>
      </c>
      <c r="J289" t="str">
        <f>IFERROR(ROUNDDOWN((VLOOKUP($C289,武器!$1:$998,COLUMN(H$1),FALSE)+IFERROR(VLOOKUP($CI289,装強!$1:$999,COLUMN(J$1),FALSE),0))*VLOOKUP($D289,素材!$1:$1016,COLUMN($E$1),FALSE),0),"")</f>
        <v/>
      </c>
      <c r="K289" t="str">
        <f>IFERROR(ROUNDDOWN((VLOOKUP($C289,武器!$1:$998,COLUMN(I$1),FALSE)+IFERROR(VLOOKUP($CI289,装強!$1:$999,COLUMN(K$1),FALSE),0))*VLOOKUP($D289,素材!$1:$1016,COLUMN($E$1),FALSE),0),"")</f>
        <v/>
      </c>
      <c r="L289" t="str">
        <f>IFERROR(VLOOKUP($D289,素材!$1:$1016,COLUMN($F$1),FALSE),"")</f>
        <v/>
      </c>
      <c r="M289" t="str">
        <f>IFERROR(VLOOKUP($C289,武器!$1:$998,COLUMN(AA$1),FALSE)*VLOOKUP($D289,素材!$1:$1016,COLUMN($G$1),FALSE),"")</f>
        <v/>
      </c>
      <c r="N289" t="str">
        <f>IFERROR(VLOOKUP($C289,武器!$1:$998,COLUMN(I$1),FALSE),"")</f>
        <v/>
      </c>
      <c r="O289" s="23" t="str">
        <f>IFERROR((VLOOKUP($C289,武器!$1:$998,COLUMN(K$1),FALSE)+VLOOKUP($D289,素材!$1:$1016,COLUMN(H$1),FALSE))*100+IFERROR(VLOOKUP($CI289,装強!$1:$999,COLUMN(O$1),FALSE),0),"")</f>
        <v/>
      </c>
      <c r="P289" s="23" t="str">
        <f>IFERROR((VLOOKUP($C289,武器!$1:$998,COLUMN(L$1),FALSE)+VLOOKUP($D289,素材!$1:$1016,COLUMN(I$1),FALSE))*100+IFERROR(VLOOKUP($CI289,装強!$1:$999,COLUMN(P$1),FALSE),0),"")</f>
        <v/>
      </c>
      <c r="Q289" t="str">
        <f>IFERROR(ROUNDUP(VLOOKUP($C289,武器!$1:$998,COLUMN(M$1),FALSE)*(VLOOKUP($D289,素材!$1:$1002,COLUMN(D$1),FALSE)/100),1),"")</f>
        <v/>
      </c>
      <c r="R289" t="str">
        <f>IFERROR(ROUNDUP(VLOOKUP($C289,武器!$1:$998,COLUMN(N$1),FALSE)*(VLOOKUP($D289,素材!$1:$1002,COLUMN(D$1),FALSE)/100),1),"")</f>
        <v/>
      </c>
      <c r="S289" t="str">
        <f>IFERROR(VLOOKUP($C289,武器!$1:$998,COLUMN(P$1),FALSE),"")</f>
        <v/>
      </c>
      <c r="T289" t="str">
        <f>IFERROR(VLOOKUP($C289,武器!$1:$998,COLUMN(Q$1),FALSE),"")</f>
        <v/>
      </c>
      <c r="U289" t="str">
        <f>IFERROR(VLOOKUP($C289,武器!$1:$998,COLUMN(R$1),FALSE),"")</f>
        <v/>
      </c>
      <c r="V289" t="str">
        <f>IFERROR(VLOOKUP($C289,武器!$1:$998,COLUMN(Q$1),FALSE),"")</f>
        <v/>
      </c>
      <c r="W289" t="str">
        <f>IFERROR(VLOOKUP($C289,武器!$1:$998,COLUMN(T$1),FALSE),"")</f>
        <v/>
      </c>
      <c r="Y289" t="str">
        <f>IFERROR(VLOOKUP($C289,武器!$1:$998,COLUMN(U$1),FALSE),"")</f>
        <v/>
      </c>
      <c r="Z289" t="str">
        <f>IFERROR(ROUNDUP(VLOOKUP($C289,武器!$1:$998,COLUMN(O$1),FALSE)*VLOOKUP($D289,素材!$1:$1016,COLUMN(E$1),FALSE),1),"")</f>
        <v/>
      </c>
      <c r="AA289">
        <f>IF(ISNUMBER(SEARCH(SUBSTITUTE(AA$1,RIGHT(AA$1,2),""),VLOOKUP($D289,素材!$1:$1016,COLUMN($F$1),FALSE))),VLOOKUP($C289,武器!$1:$998,COLUMN($O$1),FALSE)*VLOOKUP($D289,素材!$1:$1016,COLUMN($E$1),FALSE)/(LEN(VLOOKUP($D289,素材!$1:$1016,COLUMN($F$1),FALSE)) - LEN(SUBSTITUTE(VLOOKUP($D289,素材!$1:$1016,COLUMN($F$1),FALSE), "・", 0)) + 1), 0)</f>
        <v>0</v>
      </c>
      <c r="AB289">
        <f>IF(ISNUMBER(SEARCH(SUBSTITUTE(AB$1,RIGHT(AB$1,2),""),VLOOKUP($D289,素材!$1:$1016,COLUMN($F$1),FALSE))),VLOOKUP($C289,武器!$1:$998,COLUMN($O$1),FALSE)*VLOOKUP($D289,素材!$1:$1016,COLUMN($E$1),FALSE)/(LEN(VLOOKUP($D289,素材!$1:$1016,COLUMN($F$1),FALSE)) - LEN(SUBSTITUTE(VLOOKUP($D289,素材!$1:$1016,COLUMN($F$1),FALSE), "・", 0)) + 1), 0)</f>
        <v>0</v>
      </c>
      <c r="AC289">
        <f>IF(ISNUMBER(SEARCH(SUBSTITUTE(AC$1,RIGHT(AC$1,2),""),VLOOKUP($D289,素材!$1:$1016,COLUMN($F$1),FALSE))),VLOOKUP($C289,武器!$1:$998,COLUMN($O$1),FALSE)*VLOOKUP($D289,素材!$1:$1016,COLUMN($E$1),FALSE)/(LEN(VLOOKUP($D289,素材!$1:$1016,COLUMN($F$1),FALSE)) - LEN(SUBSTITUTE(VLOOKUP($D289,素材!$1:$1016,COLUMN($F$1),FALSE), "・", 0)) + 1), 0)</f>
        <v>0</v>
      </c>
      <c r="AD289">
        <f>IF(ISNUMBER(SEARCH(SUBSTITUTE(AD$1,RIGHT(AD$1,2),""),VLOOKUP($D289,素材!$1:$1016,COLUMN($F$1),FALSE))),VLOOKUP($C289,武器!$1:$998,COLUMN($O$1),FALSE)*VLOOKUP($D289,素材!$1:$1016,COLUMN($E$1),FALSE)/(LEN(VLOOKUP($D289,素材!$1:$1016,COLUMN($F$1),FALSE)) - LEN(SUBSTITUTE(VLOOKUP($D289,素材!$1:$1016,COLUMN($F$1),FALSE), "・", 0)) + 1), 0)</f>
        <v>0</v>
      </c>
      <c r="AE289">
        <f>IF(ISNUMBER(SEARCH(SUBSTITUTE(AE$1,RIGHT(AE$1,2),""),VLOOKUP($D289,素材!$1:$1016,COLUMN($F$1),FALSE))),VLOOKUP($C289,武器!$1:$998,COLUMN($O$1),FALSE)*VLOOKUP($D289,素材!$1:$1016,COLUMN($E$1),FALSE)/(LEN(VLOOKUP($D289,素材!$1:$1016,COLUMN($F$1),FALSE)) - LEN(SUBSTITUTE(VLOOKUP($D289,素材!$1:$1016,COLUMN($F$1),FALSE), "・", 0)) + 1), 0)</f>
        <v>0</v>
      </c>
      <c r="AF289">
        <f>IF(ISNUMBER(SEARCH(SUBSTITUTE(AF$1,RIGHT(AF$1,2),""),VLOOKUP($D289,素材!$1:$1016,COLUMN($F$1),FALSE))),VLOOKUP($C289,武器!$1:$998,COLUMN($O$1),FALSE)*VLOOKUP($D289,素材!$1:$1016,COLUMN($E$1),FALSE)/(LEN(VLOOKUP($D289,素材!$1:$1016,COLUMN($F$1),FALSE)) - LEN(SUBSTITUTE(VLOOKUP($D289,素材!$1:$1016,COLUMN($F$1),FALSE), "・", 0)) + 1), 0)</f>
        <v>0</v>
      </c>
      <c r="AG289">
        <f>IF(ISNUMBER(SEARCH(SUBSTITUTE(AG$1,RIGHT(AG$1,2),""),VLOOKUP($D289,素材!$1:$1016,COLUMN($F$1),FALSE))),VLOOKUP($C289,武器!$1:$998,COLUMN($O$1),FALSE)*VLOOKUP($D289,素材!$1:$1016,COLUMN($E$1),FALSE)/(LEN(VLOOKUP($D289,素材!$1:$1016,COLUMN($F$1),FALSE)) - LEN(SUBSTITUTE(VLOOKUP($D289,素材!$1:$1016,COLUMN($F$1),FALSE), "・", 0)) + 1), 0)</f>
        <v>0</v>
      </c>
      <c r="AH289">
        <f>IF(ISNUMBER(SEARCH(SUBSTITUTE(AH$1,RIGHT(AH$1,2),""),VLOOKUP($D289,素材!$1:$1016,COLUMN($F$1),FALSE))),VLOOKUP($C289,武器!$1:$998,COLUMN($O$1),FALSE)*VLOOKUP($D289,素材!$1:$1016,COLUMN($E$1),FALSE)/(LEN(VLOOKUP($D289,素材!$1:$1016,COLUMN($F$1),FALSE)) - LEN(SUBSTITUTE(VLOOKUP($D289,素材!$1:$1016,COLUMN($F$1),FALSE), "・", 0)) + 1), 0)</f>
        <v>0</v>
      </c>
      <c r="AI289">
        <f>IF(ISNUMBER(SEARCH(SUBSTITUTE(AI$1,RIGHT(AI$1,2),""),VLOOKUP($D289,素材!$1:$1016,COLUMN($F$1),FALSE))),VLOOKUP($C289,武器!$1:$998,COLUMN($O$1),FALSE)*VLOOKUP($D289,素材!$1:$1016,COLUMN($E$1),FALSE)/(LEN(VLOOKUP($D289,素材!$1:$1016,COLUMN($F$1),FALSE)) - LEN(SUBSTITUTE(VLOOKUP($D289,素材!$1:$1016,COLUMN($F$1),FALSE), "・", 0)) + 1), 0)</f>
        <v>0</v>
      </c>
      <c r="AJ289">
        <f>IF(ISNUMBER(SEARCH(SUBSTITUTE(AJ$1,RIGHT(AJ$1,2),""),VLOOKUP($D289,素材!$1:$1016,COLUMN($F$1),FALSE))),VLOOKUP($C289,武器!$1:$998,COLUMN($O$1),FALSE)*VLOOKUP($D289,素材!$1:$1016,COLUMN($E$1),FALSE)/(LEN(VLOOKUP($D289,素材!$1:$1016,COLUMN($F$1),FALSE)) - LEN(SUBSTITUTE(VLOOKUP($D289,素材!$1:$1016,COLUMN($F$1),FALSE), "・", 0)) + 1), 0)</f>
        <v>0</v>
      </c>
      <c r="AK289">
        <f>IF(ISNUMBER(SEARCH(SUBSTITUTE(AK$1,RIGHT(AK$1,2),""),VLOOKUP($D289,素材!$1:$1016,COLUMN($F$1),FALSE))),VLOOKUP($C289,武器!$1:$998,COLUMN($O$1),FALSE)*VLOOKUP($D289,素材!$1:$1016,COLUMN($E$1),FALSE)/(LEN(VLOOKUP($D289,素材!$1:$1016,COLUMN($F$1),FALSE)) - LEN(SUBSTITUTE(VLOOKUP($D289,素材!$1:$1016,COLUMN($F$1),FALSE), "・", 0)) + 1), 0)</f>
        <v>0</v>
      </c>
      <c r="AL289">
        <f>IF(ISNUMBER(SEARCH(SUBSTITUTE(AL$1,RIGHT(AL$1,2),""),VLOOKUP($D289,素材!$1:$1016,COLUMN($F$1),FALSE))),VLOOKUP($C289,武器!$1:$998,COLUMN($O$1),FALSE)*VLOOKUP($D289,素材!$1:$1016,COLUMN($E$1),FALSE)/(LEN(VLOOKUP($D289,素材!$1:$1016,COLUMN($F$1),FALSE)) - LEN(SUBSTITUTE(VLOOKUP($D289,素材!$1:$1016,COLUMN($F$1),FALSE), "・", 0)) + 1), 0)</f>
        <v>0</v>
      </c>
      <c r="AM289">
        <f>IF(ISNUMBER(SEARCH(SUBSTITUTE(AM$1,RIGHT(AM$1,2),""),VLOOKUP($D289,素材!$1:$1016,COLUMN($F$1),FALSE))),VLOOKUP($C289,武器!$1:$998,COLUMN($O$1),FALSE)*VLOOKUP($D289,素材!$1:$1016,COLUMN($E$1),FALSE)/(LEN(VLOOKUP($D289,素材!$1:$1016,COLUMN($F$1),FALSE)) - LEN(SUBSTITUTE(VLOOKUP($D289,素材!$1:$1016,COLUMN($F$1),FALSE), "・", 0)) + 1), 0)</f>
        <v>0</v>
      </c>
      <c r="AN289">
        <f>IF(ISNUMBER(SEARCH(SUBSTITUTE(AN$1,RIGHT(AN$1,2),""),VLOOKUP($D289,素材!$1:$1016,COLUMN($F$1),FALSE))),VLOOKUP($C289,武器!$1:$998,COLUMN($O$1),FALSE)*VLOOKUP($D289,素材!$1:$1016,COLUMN($E$1),FALSE)/(LEN(VLOOKUP($D289,素材!$1:$1016,COLUMN($F$1),FALSE)) - LEN(SUBSTITUTE(VLOOKUP($D289,素材!$1:$1016,COLUMN($F$1),FALSE), "・", 0)) + 1), 0)</f>
        <v>0</v>
      </c>
      <c r="AO289">
        <f>IF(ISNUMBER(SEARCH(SUBSTITUTE(AO$1,RIGHT(AO$1,2),""),VLOOKUP($D289,素材!$1:$1016,COLUMN($F$1),FALSE))),VLOOKUP($C289,武器!$1:$998,COLUMN($O$1),FALSE)*VLOOKUP($D289,素材!$1:$1016,COLUMN($E$1),FALSE)/(LEN(VLOOKUP($D289,素材!$1:$1016,COLUMN($F$1),FALSE)) - LEN(SUBSTITUTE(VLOOKUP($D289,素材!$1:$1016,COLUMN($F$1),FALSE), "・", 0)) + 1), 0)</f>
        <v>0</v>
      </c>
      <c r="AP289">
        <f>IF(ISNUMBER(SEARCH(SUBSTITUTE(AP$1,RIGHT(AP$1,2),""),VLOOKUP($D289,素材!$1:$1016,COLUMN($F$1),FALSE))),VLOOKUP($C289,武器!$1:$998,COLUMN($O$1),FALSE)*VLOOKUP($D289,素材!$1:$1016,COLUMN($E$1),FALSE)/(LEN(VLOOKUP($D289,素材!$1:$1016,COLUMN($F$1),FALSE)) - LEN(SUBSTITUTE(VLOOKUP($D289,素材!$1:$1016,COLUMN($F$1),FALSE), "・", 0)) + 1), 0)</f>
        <v>0</v>
      </c>
      <c r="AQ289">
        <f>IF(ISNUMBER(SEARCH(SUBSTITUTE(AQ$1,RIGHT(AQ$1,2),""),VLOOKUP($D289,素材!$1:$1016,COLUMN($F$1),FALSE))),VLOOKUP($C289,武器!$1:$998,COLUMN($O$1),FALSE)*VLOOKUP($D289,素材!$1:$1016,COLUMN($E$1),FALSE)/(LEN(VLOOKUP($D289,素材!$1:$1016,COLUMN($F$1),FALSE)) - LEN(SUBSTITUTE(VLOOKUP($D289,素材!$1:$1016,COLUMN($F$1),FALSE), "・", 0)) + 1), 0)</f>
        <v>0</v>
      </c>
      <c r="AR289">
        <f>IF(ISNUMBER(SEARCH(SUBSTITUTE(AR$1,RIGHT(AR$1,2),""),VLOOKUP($D289,素材!$1:$1016,COLUMN($F$1),FALSE))),VLOOKUP($C289,武器!$1:$998,COLUMN($O$1),FALSE)*VLOOKUP($D289,素材!$1:$1016,COLUMN($E$1),FALSE)/(LEN(VLOOKUP($D289,素材!$1:$1016,COLUMN($F$1),FALSE)) - LEN(SUBSTITUTE(VLOOKUP($D289,素材!$1:$1016,COLUMN($F$1),FALSE), "・", 0)) + 1), 0)</f>
        <v>0</v>
      </c>
      <c r="AS289">
        <f>IF(ISNUMBER(SEARCH(SUBSTITUTE(AS$1,RIGHT(AS$1,2),""),VLOOKUP($D289,素材!$1:$1016,COLUMN($F$1),FALSE))),VLOOKUP($C289,武器!$1:$998,COLUMN($O$1),FALSE)*VLOOKUP($D289,素材!$1:$1016,COLUMN($E$1),FALSE)/(LEN(VLOOKUP($D289,素材!$1:$1016,COLUMN($F$1),FALSE)) - LEN(SUBSTITUTE(VLOOKUP($D289,素材!$1:$1016,COLUMN($F$1),FALSE), "・", 0)) + 1), 0)</f>
        <v>0</v>
      </c>
      <c r="AT289">
        <f>IF(ISNUMBER(SEARCH(SUBSTITUTE(AT$1,RIGHT(AT$1,2),""),VLOOKUP($D289,素材!$1:$1016,COLUMN($F$1),FALSE))),VLOOKUP($C289,武器!$1:$998,COLUMN($O$1),FALSE)*VLOOKUP($D289,素材!$1:$1016,COLUMN($E$1),FALSE)/(LEN(VLOOKUP($D289,素材!$1:$1016,COLUMN($F$1),FALSE)) - LEN(SUBSTITUTE(VLOOKUP($D289,素材!$1:$1016,COLUMN($F$1),FALSE), "・", 0)) + 1), 0)</f>
        <v>0</v>
      </c>
      <c r="AU289">
        <f>IF(ISNUMBER(SEARCH(SUBSTITUTE(AU$1,RIGHT(AU$1,2),""),VLOOKUP($D289,素材!$1:$1016,COLUMN($F$1),FALSE))),VLOOKUP($C289,武器!$1:$998,COLUMN($O$1),FALSE)*VLOOKUP($D289,素材!$1:$1016,COLUMN($E$1),FALSE)/(LEN(VLOOKUP($D289,素材!$1:$1016,COLUMN($F$1),FALSE)) - LEN(SUBSTITUTE(VLOOKUP($D289,素材!$1:$1016,COLUMN($F$1),FALSE), "・", 0)) + 1), 0)</f>
        <v>0</v>
      </c>
      <c r="AV289">
        <f>IF(ISNUMBER(SEARCH(SUBSTITUTE(AV$1,RIGHT(AV$1,2),""),VLOOKUP($D289,素材!$1:$1016,COLUMN($F$1),FALSE))),VLOOKUP($C289,武器!$1:$998,COLUMN($O$1),FALSE)*VLOOKUP($D289,素材!$1:$1016,COLUMN($E$1),FALSE)/(LEN(VLOOKUP($D289,素材!$1:$1016,COLUMN($F$1),FALSE)) - LEN(SUBSTITUTE(VLOOKUP($D289,素材!$1:$1016,COLUMN($F$1),FALSE), "・", 0)) + 1), 0)</f>
        <v>0</v>
      </c>
      <c r="AW289">
        <f>IF(ISNUMBER(SEARCH(SUBSTITUTE(AW$1,RIGHT(AW$1,2),""),VLOOKUP($D289,素材!$1:$1016,COLUMN($F$1),FALSE))),VLOOKUP($C289,武器!$1:$998,COLUMN($O$1),FALSE)*VLOOKUP($D289,素材!$1:$1016,COLUMN($E$1),FALSE)/(LEN(VLOOKUP($D289,素材!$1:$1016,COLUMN($F$1),FALSE)) - LEN(SUBSTITUTE(VLOOKUP($D289,素材!$1:$1016,COLUMN($F$1),FALSE), "・", 0)) + 1), 0)</f>
        <v>0</v>
      </c>
      <c r="AX289">
        <f>IF(ISNUMBER(SEARCH(SUBSTITUTE(AX$1,RIGHT(AX$1,2),""),VLOOKUP($D289,素材!$1:$1016,COLUMN($F$1),FALSE))),VLOOKUP($C289,武器!$1:$998,COLUMN($O$1),FALSE)*VLOOKUP($D289,素材!$1:$1016,COLUMN($E$1),FALSE)/(LEN(VLOOKUP($D289,素材!$1:$1016,COLUMN($F$1),FALSE)) - LEN(SUBSTITUTE(VLOOKUP($D289,素材!$1:$1016,COLUMN($F$1),FALSE), "・", 0)) + 1), 0)</f>
        <v>0</v>
      </c>
      <c r="AY289">
        <f>IF(ISNUMBER(SEARCH(SUBSTITUTE(AY$1,RIGHT(AY$1,2),""),VLOOKUP($D289,素材!$1:$1016,COLUMN($F$1),FALSE))),VLOOKUP($C289,武器!$1:$998,COLUMN($O$1),FALSE)*VLOOKUP($D289,素材!$1:$1016,COLUMN($E$1),FALSE)/(LEN(VLOOKUP($D289,素材!$1:$1016,COLUMN($F$1),FALSE)) - LEN(SUBSTITUTE(VLOOKUP($D289,素材!$1:$1016,COLUMN($F$1),FALSE), "・", 0)) + 1), 0)</f>
        <v>0</v>
      </c>
      <c r="AZ289">
        <f>IF(ISNUMBER(SEARCH(SUBSTITUTE(AZ$1,RIGHT(AZ$1,2),""),VLOOKUP($D289,素材!$1:$1016,COLUMN($F$1),FALSE))),VLOOKUP($C289,武器!$1:$998,COLUMN($O$1),FALSE)*VLOOKUP($D289,素材!$1:$1016,COLUMN($E$1),FALSE)/(LEN(VLOOKUP($D289,素材!$1:$1016,COLUMN($F$1),FALSE)) - LEN(SUBSTITUTE(VLOOKUP($D289,素材!$1:$1016,COLUMN($F$1),FALSE), "・", 0)) + 1), 0)</f>
        <v>0</v>
      </c>
      <c r="BA289">
        <f>IF(ISNUMBER(SEARCH(SUBSTITUTE(BA$1,RIGHT(BA$1,2),""),VLOOKUP($D289,素材!$1:$1016,COLUMN($F$1),FALSE))),VLOOKUP($C289,武器!$1:$998,COLUMN($O$1),FALSE)*VLOOKUP($D289,素材!$1:$1016,COLUMN($E$1),FALSE)/(LEN(VLOOKUP($D289,素材!$1:$1016,COLUMN($F$1),FALSE)) - LEN(SUBSTITUTE(VLOOKUP($D289,素材!$1:$1016,COLUMN($F$1),FALSE), "・", 0)) + 1), 0)</f>
        <v>0</v>
      </c>
      <c r="BB289">
        <f>IF(ISNUMBER(SEARCH(SUBSTITUTE(BB$1,RIGHT(BB$1,2),""),VLOOKUP($D289,素材!$1:$1016,COLUMN($F$1),FALSE))),VLOOKUP($C289,武器!$1:$998,COLUMN($O$1),FALSE)*VLOOKUP($D289,素材!$1:$1016,COLUMN($E$1),FALSE)/(LEN(VLOOKUP($D289,素材!$1:$1016,COLUMN($F$1),FALSE)) - LEN(SUBSTITUTE(VLOOKUP($D289,素材!$1:$1016,COLUMN($F$1),FALSE), "・", 0)) + 1), 0)</f>
        <v>0</v>
      </c>
      <c r="BC289">
        <f>IF(ISNUMBER(SEARCH(SUBSTITUTE(BC$1,RIGHT(BC$1,2),""),VLOOKUP($D289,素材!$1:$1016,COLUMN($F$1),FALSE))),VLOOKUP($C289,武器!$1:$998,COLUMN($O$1),FALSE)*VLOOKUP($D289,素材!$1:$1016,COLUMN($E$1),FALSE)/(LEN(VLOOKUP($D289,素材!$1:$1016,COLUMN($F$1),FALSE)) - LEN(SUBSTITUTE(VLOOKUP($D289,素材!$1:$1016,COLUMN($F$1),FALSE), "・", 0)) + 1), 0)</f>
        <v>0</v>
      </c>
      <c r="BD289">
        <f>IF(ISNUMBER(SEARCH(SUBSTITUTE(BD$1,RIGHT(BD$1,2),""),VLOOKUP($D289,素材!$1:$1016,COLUMN($F$1),FALSE))),VLOOKUP($C289,武器!$1:$998,COLUMN($O$1),FALSE)*VLOOKUP($D289,素材!$1:$1016,COLUMN($E$1),FALSE)/(LEN(VLOOKUP($D289,素材!$1:$1016,COLUMN($F$1),FALSE)) - LEN(SUBSTITUTE(VLOOKUP($D289,素材!$1:$1016,COLUMN($F$1),FALSE), "・", 0)) + 1), 0)</f>
        <v>0</v>
      </c>
      <c r="BE289">
        <f>IF(ISNUMBER(SEARCH(SUBSTITUTE(BE$1,RIGHT(BE$1,2),""),VLOOKUP($D289,素材!$1:$1016,COLUMN($F$1),FALSE))),VLOOKUP($C289,武器!$1:$998,COLUMN($O$1),FALSE)*VLOOKUP($D289,素材!$1:$1016,COLUMN($E$1),FALSE)/(LEN(VLOOKUP($D289,素材!$1:$1016,COLUMN($F$1),FALSE)) - LEN(SUBSTITUTE(VLOOKUP($D289,素材!$1:$1016,COLUMN($F$1),FALSE), "・", 0)) + 1), 0)</f>
        <v>0</v>
      </c>
      <c r="CL289">
        <f>SUM(G289:I289)</f>
        <v>0</v>
      </c>
      <c r="CM289" s="22" t="str">
        <f>IF(E289="武器",IF(J289-1&gt;SUM(G289:I289),"盾",IF(MAX(G289:I289)=G289,"切断",IF(MAX(G289:I289)=H289,"貫通",IF(MAX(G289:I289)=I289,"打撃","射撃")))),E289)&amp;".webp"</f>
        <v>.webp</v>
      </c>
      <c r="CN289" t="str">
        <f>IFERROR(VLOOKUP($C289,武器!$1:$998,COLUMN(V$1),FALSE)*VLOOKUP($D289,素材!$1:$1016,COLUMN(N$1),FALSE)+IF(CI289="",0,VLOOKUP($CI289,装強!$1:$1008,COLUMN($CK$1),FALSE)),"")</f>
        <v/>
      </c>
      <c r="CO289" t="e">
        <f>VLOOKUP(D289,素材!$A:$O,COLUMN(素材!O$1),FALSE)</f>
        <v>#N/A</v>
      </c>
      <c r="CP289" t="e">
        <f>VLOOKUP(C289,武器!$A:$W,COLUMN(武器!W$1),FALSE)</f>
        <v>#N/A</v>
      </c>
      <c r="CR289" t="str">
        <f t="shared" si="33"/>
        <v>e_289</v>
      </c>
      <c r="CS289" t="e">
        <f t="shared" si="34"/>
        <v>#VALUE!</v>
      </c>
    </row>
    <row r="290" spans="1:97" hidden="1" outlineLevel="1" x14ac:dyDescent="0.4">
      <c r="A290" t="str">
        <f>IF(CI290="",D290&amp;"の"&amp;C290,CI290&amp;"の"&amp;C290)</f>
        <v>の</v>
      </c>
      <c r="B290" t="str">
        <f>IFERROR(IF(CI290="",VLOOKUP($D290,素材!$1:$1016,COLUMN($B$1),FALSE)&amp;"・"&amp;VLOOKUP($C290,武器!$1:$998,COLUMN(B$1),FALSE),VLOOKUP($CI290,装強!$1:$1008,COLUMN($B$1),FALSE)&amp;"・"&amp;VLOOKUP($C290,武器!$1:$998,COLUMN(B$1),FALSE)),"")</f>
        <v/>
      </c>
      <c r="C290" s="24"/>
      <c r="D290" s="24"/>
      <c r="E290" t="str">
        <f>IFERROR(VLOOKUP(C290,武器!$1:$998,COLUMN(C$1),FALSE),"")</f>
        <v/>
      </c>
      <c r="F290" t="str">
        <f>IFERROR(ROUNDDOWN((VLOOKUP($C290,武器!$1:$998,COLUMN(D$1),FALSE)+IFERROR(VLOOKUP($CI290,装強!$1:$999,COLUMN(F$1),FALSE),0))*VLOOKUP($D290,素材!$1:$1016,COLUMN(D$1),FALSE),0),"")</f>
        <v/>
      </c>
      <c r="G290" t="str">
        <f>IFERROR(ROUNDDOWN((VLOOKUP($C290,武器!$1:$998,COLUMN(E$1),FALSE)+IFERROR(VLOOKUP($CI290,装強!$1:$999,COLUMN(G$1),FALSE),0))*VLOOKUP($D290,素材!$1:$1016,COLUMN($E$1),FALSE),0),"")</f>
        <v/>
      </c>
      <c r="H290" t="str">
        <f>IFERROR(ROUNDDOWN((VLOOKUP($C290,武器!$1:$998,COLUMN(F$1),FALSE)+IFERROR(VLOOKUP($CI290,装強!$1:$999,COLUMN(H$1),FALSE),0))*VLOOKUP($D290,素材!$1:$1016,COLUMN($E$1),FALSE),0),"")</f>
        <v/>
      </c>
      <c r="I290" t="str">
        <f>IFERROR(ROUNDDOWN((VLOOKUP($C290,武器!$1:$998,COLUMN(G$1),FALSE)+IFERROR(VLOOKUP($CI290,装強!$1:$999,COLUMN(I$1),FALSE),0))*VLOOKUP($D290,素材!$1:$1016,COLUMN($E$1),FALSE),0),"")</f>
        <v/>
      </c>
      <c r="J290" t="str">
        <f>IFERROR(ROUNDDOWN((VLOOKUP($C290,武器!$1:$998,COLUMN(H$1),FALSE)+IFERROR(VLOOKUP($CI290,装強!$1:$999,COLUMN(J$1),FALSE),0))*VLOOKUP($D290,素材!$1:$1016,COLUMN($E$1),FALSE),0),"")</f>
        <v/>
      </c>
      <c r="K290" t="str">
        <f>IFERROR(ROUNDDOWN((VLOOKUP($C290,武器!$1:$998,COLUMN(I$1),FALSE)+IFERROR(VLOOKUP($CI290,装強!$1:$999,COLUMN(K$1),FALSE),0))*VLOOKUP($D290,素材!$1:$1016,COLUMN($E$1),FALSE),0),"")</f>
        <v/>
      </c>
      <c r="L290" t="str">
        <f>IFERROR(VLOOKUP($D290,素材!$1:$1016,COLUMN($F$1),FALSE),"")</f>
        <v/>
      </c>
      <c r="M290" t="str">
        <f>IFERROR(VLOOKUP($C290,武器!$1:$998,COLUMN(AA$1),FALSE)*VLOOKUP($D290,素材!$1:$1016,COLUMN($G$1),FALSE),"")</f>
        <v/>
      </c>
      <c r="N290" t="str">
        <f>IFERROR(VLOOKUP($C290,武器!$1:$998,COLUMN(I$1),FALSE),"")</f>
        <v/>
      </c>
      <c r="O290" s="23" t="str">
        <f>IFERROR((VLOOKUP($C290,武器!$1:$998,COLUMN(K$1),FALSE)+VLOOKUP($D290,素材!$1:$1016,COLUMN(H$1),FALSE))*100+IFERROR(VLOOKUP($CI290,装強!$1:$999,COLUMN(O$1),FALSE),0),"")</f>
        <v/>
      </c>
      <c r="P290" s="23" t="str">
        <f>IFERROR((VLOOKUP($C290,武器!$1:$998,COLUMN(L$1),FALSE)+VLOOKUP($D290,素材!$1:$1016,COLUMN(I$1),FALSE))*100+IFERROR(VLOOKUP($CI290,装強!$1:$999,COLUMN(P$1),FALSE),0),"")</f>
        <v/>
      </c>
      <c r="Q290" t="str">
        <f>IFERROR(ROUNDUP(VLOOKUP($C290,武器!$1:$998,COLUMN(M$1),FALSE)*(VLOOKUP($D290,素材!$1:$1002,COLUMN(D$1),FALSE)/100),1),"")</f>
        <v/>
      </c>
      <c r="R290" t="str">
        <f>IFERROR(ROUNDUP(VLOOKUP($C290,武器!$1:$998,COLUMN(N$1),FALSE)*(VLOOKUP($D290,素材!$1:$1002,COLUMN(D$1),FALSE)/100),1),"")</f>
        <v/>
      </c>
      <c r="S290" t="str">
        <f>IFERROR(VLOOKUP($C290,武器!$1:$998,COLUMN(P$1),FALSE),"")</f>
        <v/>
      </c>
      <c r="T290" t="str">
        <f>IFERROR(VLOOKUP($C290,武器!$1:$998,COLUMN(Q$1),FALSE),"")</f>
        <v/>
      </c>
      <c r="U290" t="str">
        <f>IFERROR(VLOOKUP($C290,武器!$1:$998,COLUMN(R$1),FALSE),"")</f>
        <v/>
      </c>
      <c r="V290" t="str">
        <f>IFERROR(VLOOKUP($C290,武器!$1:$998,COLUMN(Q$1),FALSE),"")</f>
        <v/>
      </c>
      <c r="W290" t="str">
        <f>IFERROR(VLOOKUP($C290,武器!$1:$998,COLUMN(T$1),FALSE),"")</f>
        <v/>
      </c>
      <c r="Y290" t="str">
        <f>IFERROR(VLOOKUP($C290,武器!$1:$998,COLUMN(U$1),FALSE),"")</f>
        <v/>
      </c>
      <c r="Z290" t="str">
        <f>IFERROR(ROUNDUP(VLOOKUP($C290,武器!$1:$998,COLUMN(O$1),FALSE)*VLOOKUP($D290,素材!$1:$1016,COLUMN(E$1),FALSE),1),"")</f>
        <v/>
      </c>
      <c r="AA290">
        <f>IF(ISNUMBER(SEARCH(SUBSTITUTE(AA$1,RIGHT(AA$1,2),""),VLOOKUP($D290,素材!$1:$1016,COLUMN($F$1),FALSE))),VLOOKUP($C290,武器!$1:$998,COLUMN($O$1),FALSE)*VLOOKUP($D290,素材!$1:$1016,COLUMN($E$1),FALSE)/(LEN(VLOOKUP($D290,素材!$1:$1016,COLUMN($F$1),FALSE)) - LEN(SUBSTITUTE(VLOOKUP($D290,素材!$1:$1016,COLUMN($F$1),FALSE), "・", 0)) + 1), 0)</f>
        <v>0</v>
      </c>
      <c r="AB290">
        <f>IF(ISNUMBER(SEARCH(SUBSTITUTE(AB$1,RIGHT(AB$1,2),""),VLOOKUP($D290,素材!$1:$1016,COLUMN($F$1),FALSE))),VLOOKUP($C290,武器!$1:$998,COLUMN($O$1),FALSE)*VLOOKUP($D290,素材!$1:$1016,COLUMN($E$1),FALSE)/(LEN(VLOOKUP($D290,素材!$1:$1016,COLUMN($F$1),FALSE)) - LEN(SUBSTITUTE(VLOOKUP($D290,素材!$1:$1016,COLUMN($F$1),FALSE), "・", 0)) + 1), 0)</f>
        <v>0</v>
      </c>
      <c r="AC290">
        <f>IF(ISNUMBER(SEARCH(SUBSTITUTE(AC$1,RIGHT(AC$1,2),""),VLOOKUP($D290,素材!$1:$1016,COLUMN($F$1),FALSE))),VLOOKUP($C290,武器!$1:$998,COLUMN($O$1),FALSE)*VLOOKUP($D290,素材!$1:$1016,COLUMN($E$1),FALSE)/(LEN(VLOOKUP($D290,素材!$1:$1016,COLUMN($F$1),FALSE)) - LEN(SUBSTITUTE(VLOOKUP($D290,素材!$1:$1016,COLUMN($F$1),FALSE), "・", 0)) + 1), 0)</f>
        <v>0</v>
      </c>
      <c r="AD290">
        <f>IF(ISNUMBER(SEARCH(SUBSTITUTE(AD$1,RIGHT(AD$1,2),""),VLOOKUP($D290,素材!$1:$1016,COLUMN($F$1),FALSE))),VLOOKUP($C290,武器!$1:$998,COLUMN($O$1),FALSE)*VLOOKUP($D290,素材!$1:$1016,COLUMN($E$1),FALSE)/(LEN(VLOOKUP($D290,素材!$1:$1016,COLUMN($F$1),FALSE)) - LEN(SUBSTITUTE(VLOOKUP($D290,素材!$1:$1016,COLUMN($F$1),FALSE), "・", 0)) + 1), 0)</f>
        <v>0</v>
      </c>
      <c r="AE290">
        <f>IF(ISNUMBER(SEARCH(SUBSTITUTE(AE$1,RIGHT(AE$1,2),""),VLOOKUP($D290,素材!$1:$1016,COLUMN($F$1),FALSE))),VLOOKUP($C290,武器!$1:$998,COLUMN($O$1),FALSE)*VLOOKUP($D290,素材!$1:$1016,COLUMN($E$1),FALSE)/(LEN(VLOOKUP($D290,素材!$1:$1016,COLUMN($F$1),FALSE)) - LEN(SUBSTITUTE(VLOOKUP($D290,素材!$1:$1016,COLUMN($F$1),FALSE), "・", 0)) + 1), 0)</f>
        <v>0</v>
      </c>
      <c r="AF290">
        <f>IF(ISNUMBER(SEARCH(SUBSTITUTE(AF$1,RIGHT(AF$1,2),""),VLOOKUP($D290,素材!$1:$1016,COLUMN($F$1),FALSE))),VLOOKUP($C290,武器!$1:$998,COLUMN($O$1),FALSE)*VLOOKUP($D290,素材!$1:$1016,COLUMN($E$1),FALSE)/(LEN(VLOOKUP($D290,素材!$1:$1016,COLUMN($F$1),FALSE)) - LEN(SUBSTITUTE(VLOOKUP($D290,素材!$1:$1016,COLUMN($F$1),FALSE), "・", 0)) + 1), 0)</f>
        <v>0</v>
      </c>
      <c r="AG290">
        <f>IF(ISNUMBER(SEARCH(SUBSTITUTE(AG$1,RIGHT(AG$1,2),""),VLOOKUP($D290,素材!$1:$1016,COLUMN($F$1),FALSE))),VLOOKUP($C290,武器!$1:$998,COLUMN($O$1),FALSE)*VLOOKUP($D290,素材!$1:$1016,COLUMN($E$1),FALSE)/(LEN(VLOOKUP($D290,素材!$1:$1016,COLUMN($F$1),FALSE)) - LEN(SUBSTITUTE(VLOOKUP($D290,素材!$1:$1016,COLUMN($F$1),FALSE), "・", 0)) + 1), 0)</f>
        <v>0</v>
      </c>
      <c r="AH290">
        <f>IF(ISNUMBER(SEARCH(SUBSTITUTE(AH$1,RIGHT(AH$1,2),""),VLOOKUP($D290,素材!$1:$1016,COLUMN($F$1),FALSE))),VLOOKUP($C290,武器!$1:$998,COLUMN($O$1),FALSE)*VLOOKUP($D290,素材!$1:$1016,COLUMN($E$1),FALSE)/(LEN(VLOOKUP($D290,素材!$1:$1016,COLUMN($F$1),FALSE)) - LEN(SUBSTITUTE(VLOOKUP($D290,素材!$1:$1016,COLUMN($F$1),FALSE), "・", 0)) + 1), 0)</f>
        <v>0</v>
      </c>
      <c r="AI290">
        <f>IF(ISNUMBER(SEARCH(SUBSTITUTE(AI$1,RIGHT(AI$1,2),""),VLOOKUP($D290,素材!$1:$1016,COLUMN($F$1),FALSE))),VLOOKUP($C290,武器!$1:$998,COLUMN($O$1),FALSE)*VLOOKUP($D290,素材!$1:$1016,COLUMN($E$1),FALSE)/(LEN(VLOOKUP($D290,素材!$1:$1016,COLUMN($F$1),FALSE)) - LEN(SUBSTITUTE(VLOOKUP($D290,素材!$1:$1016,COLUMN($F$1),FALSE), "・", 0)) + 1), 0)</f>
        <v>0</v>
      </c>
      <c r="AJ290">
        <f>IF(ISNUMBER(SEARCH(SUBSTITUTE(AJ$1,RIGHT(AJ$1,2),""),VLOOKUP($D290,素材!$1:$1016,COLUMN($F$1),FALSE))),VLOOKUP($C290,武器!$1:$998,COLUMN($O$1),FALSE)*VLOOKUP($D290,素材!$1:$1016,COLUMN($E$1),FALSE)/(LEN(VLOOKUP($D290,素材!$1:$1016,COLUMN($F$1),FALSE)) - LEN(SUBSTITUTE(VLOOKUP($D290,素材!$1:$1016,COLUMN($F$1),FALSE), "・", 0)) + 1), 0)</f>
        <v>0</v>
      </c>
      <c r="AK290">
        <f>IF(ISNUMBER(SEARCH(SUBSTITUTE(AK$1,RIGHT(AK$1,2),""),VLOOKUP($D290,素材!$1:$1016,COLUMN($F$1),FALSE))),VLOOKUP($C290,武器!$1:$998,COLUMN($O$1),FALSE)*VLOOKUP($D290,素材!$1:$1016,COLUMN($E$1),FALSE)/(LEN(VLOOKUP($D290,素材!$1:$1016,COLUMN($F$1),FALSE)) - LEN(SUBSTITUTE(VLOOKUP($D290,素材!$1:$1016,COLUMN($F$1),FALSE), "・", 0)) + 1), 0)</f>
        <v>0</v>
      </c>
      <c r="AL290">
        <f>IF(ISNUMBER(SEARCH(SUBSTITUTE(AL$1,RIGHT(AL$1,2),""),VLOOKUP($D290,素材!$1:$1016,COLUMN($F$1),FALSE))),VLOOKUP($C290,武器!$1:$998,COLUMN($O$1),FALSE)*VLOOKUP($D290,素材!$1:$1016,COLUMN($E$1),FALSE)/(LEN(VLOOKUP($D290,素材!$1:$1016,COLUMN($F$1),FALSE)) - LEN(SUBSTITUTE(VLOOKUP($D290,素材!$1:$1016,COLUMN($F$1),FALSE), "・", 0)) + 1), 0)</f>
        <v>0</v>
      </c>
      <c r="AM290">
        <f>IF(ISNUMBER(SEARCH(SUBSTITUTE(AM$1,RIGHT(AM$1,2),""),VLOOKUP($D290,素材!$1:$1016,COLUMN($F$1),FALSE))),VLOOKUP($C290,武器!$1:$998,COLUMN($O$1),FALSE)*VLOOKUP($D290,素材!$1:$1016,COLUMN($E$1),FALSE)/(LEN(VLOOKUP($D290,素材!$1:$1016,COLUMN($F$1),FALSE)) - LEN(SUBSTITUTE(VLOOKUP($D290,素材!$1:$1016,COLUMN($F$1),FALSE), "・", 0)) + 1), 0)</f>
        <v>0</v>
      </c>
      <c r="AN290">
        <f>IF(ISNUMBER(SEARCH(SUBSTITUTE(AN$1,RIGHT(AN$1,2),""),VLOOKUP($D290,素材!$1:$1016,COLUMN($F$1),FALSE))),VLOOKUP($C290,武器!$1:$998,COLUMN($O$1),FALSE)*VLOOKUP($D290,素材!$1:$1016,COLUMN($E$1),FALSE)/(LEN(VLOOKUP($D290,素材!$1:$1016,COLUMN($F$1),FALSE)) - LEN(SUBSTITUTE(VLOOKUP($D290,素材!$1:$1016,COLUMN($F$1),FALSE), "・", 0)) + 1), 0)</f>
        <v>0</v>
      </c>
      <c r="AO290">
        <f>IF(ISNUMBER(SEARCH(SUBSTITUTE(AO$1,RIGHT(AO$1,2),""),VLOOKUP($D290,素材!$1:$1016,COLUMN($F$1),FALSE))),VLOOKUP($C290,武器!$1:$998,COLUMN($O$1),FALSE)*VLOOKUP($D290,素材!$1:$1016,COLUMN($E$1),FALSE)/(LEN(VLOOKUP($D290,素材!$1:$1016,COLUMN($F$1),FALSE)) - LEN(SUBSTITUTE(VLOOKUP($D290,素材!$1:$1016,COLUMN($F$1),FALSE), "・", 0)) + 1), 0)</f>
        <v>0</v>
      </c>
      <c r="AP290">
        <f>IF(ISNUMBER(SEARCH(SUBSTITUTE(AP$1,RIGHT(AP$1,2),""),VLOOKUP($D290,素材!$1:$1016,COLUMN($F$1),FALSE))),VLOOKUP($C290,武器!$1:$998,COLUMN($O$1),FALSE)*VLOOKUP($D290,素材!$1:$1016,COLUMN($E$1),FALSE)/(LEN(VLOOKUP($D290,素材!$1:$1016,COLUMN($F$1),FALSE)) - LEN(SUBSTITUTE(VLOOKUP($D290,素材!$1:$1016,COLUMN($F$1),FALSE), "・", 0)) + 1), 0)</f>
        <v>0</v>
      </c>
      <c r="AQ290">
        <f>IF(ISNUMBER(SEARCH(SUBSTITUTE(AQ$1,RIGHT(AQ$1,2),""),VLOOKUP($D290,素材!$1:$1016,COLUMN($F$1),FALSE))),VLOOKUP($C290,武器!$1:$998,COLUMN($O$1),FALSE)*VLOOKUP($D290,素材!$1:$1016,COLUMN($E$1),FALSE)/(LEN(VLOOKUP($D290,素材!$1:$1016,COLUMN($F$1),FALSE)) - LEN(SUBSTITUTE(VLOOKUP($D290,素材!$1:$1016,COLUMN($F$1),FALSE), "・", 0)) + 1), 0)</f>
        <v>0</v>
      </c>
      <c r="AR290">
        <f>IF(ISNUMBER(SEARCH(SUBSTITUTE(AR$1,RIGHT(AR$1,2),""),VLOOKUP($D290,素材!$1:$1016,COLUMN($F$1),FALSE))),VLOOKUP($C290,武器!$1:$998,COLUMN($O$1),FALSE)*VLOOKUP($D290,素材!$1:$1016,COLUMN($E$1),FALSE)/(LEN(VLOOKUP($D290,素材!$1:$1016,COLUMN($F$1),FALSE)) - LEN(SUBSTITUTE(VLOOKUP($D290,素材!$1:$1016,COLUMN($F$1),FALSE), "・", 0)) + 1), 0)</f>
        <v>0</v>
      </c>
      <c r="AS290">
        <f>IF(ISNUMBER(SEARCH(SUBSTITUTE(AS$1,RIGHT(AS$1,2),""),VLOOKUP($D290,素材!$1:$1016,COLUMN($F$1),FALSE))),VLOOKUP($C290,武器!$1:$998,COLUMN($O$1),FALSE)*VLOOKUP($D290,素材!$1:$1016,COLUMN($E$1),FALSE)/(LEN(VLOOKUP($D290,素材!$1:$1016,COLUMN($F$1),FALSE)) - LEN(SUBSTITUTE(VLOOKUP($D290,素材!$1:$1016,COLUMN($F$1),FALSE), "・", 0)) + 1), 0)</f>
        <v>0</v>
      </c>
      <c r="AT290">
        <f>IF(ISNUMBER(SEARCH(SUBSTITUTE(AT$1,RIGHT(AT$1,2),""),VLOOKUP($D290,素材!$1:$1016,COLUMN($F$1),FALSE))),VLOOKUP($C290,武器!$1:$998,COLUMN($O$1),FALSE)*VLOOKUP($D290,素材!$1:$1016,COLUMN($E$1),FALSE)/(LEN(VLOOKUP($D290,素材!$1:$1016,COLUMN($F$1),FALSE)) - LEN(SUBSTITUTE(VLOOKUP($D290,素材!$1:$1016,COLUMN($F$1),FALSE), "・", 0)) + 1), 0)</f>
        <v>0</v>
      </c>
      <c r="AU290">
        <f>IF(ISNUMBER(SEARCH(SUBSTITUTE(AU$1,RIGHT(AU$1,2),""),VLOOKUP($D290,素材!$1:$1016,COLUMN($F$1),FALSE))),VLOOKUP($C290,武器!$1:$998,COLUMN($O$1),FALSE)*VLOOKUP($D290,素材!$1:$1016,COLUMN($E$1),FALSE)/(LEN(VLOOKUP($D290,素材!$1:$1016,COLUMN($F$1),FALSE)) - LEN(SUBSTITUTE(VLOOKUP($D290,素材!$1:$1016,COLUMN($F$1),FALSE), "・", 0)) + 1), 0)</f>
        <v>0</v>
      </c>
      <c r="AV290">
        <f>IF(ISNUMBER(SEARCH(SUBSTITUTE(AV$1,RIGHT(AV$1,2),""),VLOOKUP($D290,素材!$1:$1016,COLUMN($F$1),FALSE))),VLOOKUP($C290,武器!$1:$998,COLUMN($O$1),FALSE)*VLOOKUP($D290,素材!$1:$1016,COLUMN($E$1),FALSE)/(LEN(VLOOKUP($D290,素材!$1:$1016,COLUMN($F$1),FALSE)) - LEN(SUBSTITUTE(VLOOKUP($D290,素材!$1:$1016,COLUMN($F$1),FALSE), "・", 0)) + 1), 0)</f>
        <v>0</v>
      </c>
      <c r="AW290">
        <f>IF(ISNUMBER(SEARCH(SUBSTITUTE(AW$1,RIGHT(AW$1,2),""),VLOOKUP($D290,素材!$1:$1016,COLUMN($F$1),FALSE))),VLOOKUP($C290,武器!$1:$998,COLUMN($O$1),FALSE)*VLOOKUP($D290,素材!$1:$1016,COLUMN($E$1),FALSE)/(LEN(VLOOKUP($D290,素材!$1:$1016,COLUMN($F$1),FALSE)) - LEN(SUBSTITUTE(VLOOKUP($D290,素材!$1:$1016,COLUMN($F$1),FALSE), "・", 0)) + 1), 0)</f>
        <v>0</v>
      </c>
      <c r="AX290">
        <f>IF(ISNUMBER(SEARCH(SUBSTITUTE(AX$1,RIGHT(AX$1,2),""),VLOOKUP($D290,素材!$1:$1016,COLUMN($F$1),FALSE))),VLOOKUP($C290,武器!$1:$998,COLUMN($O$1),FALSE)*VLOOKUP($D290,素材!$1:$1016,COLUMN($E$1),FALSE)/(LEN(VLOOKUP($D290,素材!$1:$1016,COLUMN($F$1),FALSE)) - LEN(SUBSTITUTE(VLOOKUP($D290,素材!$1:$1016,COLUMN($F$1),FALSE), "・", 0)) + 1), 0)</f>
        <v>0</v>
      </c>
      <c r="AY290">
        <f>IF(ISNUMBER(SEARCH(SUBSTITUTE(AY$1,RIGHT(AY$1,2),""),VLOOKUP($D290,素材!$1:$1016,COLUMN($F$1),FALSE))),VLOOKUP($C290,武器!$1:$998,COLUMN($O$1),FALSE)*VLOOKUP($D290,素材!$1:$1016,COLUMN($E$1),FALSE)/(LEN(VLOOKUP($D290,素材!$1:$1016,COLUMN($F$1),FALSE)) - LEN(SUBSTITUTE(VLOOKUP($D290,素材!$1:$1016,COLUMN($F$1),FALSE), "・", 0)) + 1), 0)</f>
        <v>0</v>
      </c>
      <c r="AZ290">
        <f>IF(ISNUMBER(SEARCH(SUBSTITUTE(AZ$1,RIGHT(AZ$1,2),""),VLOOKUP($D290,素材!$1:$1016,COLUMN($F$1),FALSE))),VLOOKUP($C290,武器!$1:$998,COLUMN($O$1),FALSE)*VLOOKUP($D290,素材!$1:$1016,COLUMN($E$1),FALSE)/(LEN(VLOOKUP($D290,素材!$1:$1016,COLUMN($F$1),FALSE)) - LEN(SUBSTITUTE(VLOOKUP($D290,素材!$1:$1016,COLUMN($F$1),FALSE), "・", 0)) + 1), 0)</f>
        <v>0</v>
      </c>
      <c r="BA290">
        <f>IF(ISNUMBER(SEARCH(SUBSTITUTE(BA$1,RIGHT(BA$1,2),""),VLOOKUP($D290,素材!$1:$1016,COLUMN($F$1),FALSE))),VLOOKUP($C290,武器!$1:$998,COLUMN($O$1),FALSE)*VLOOKUP($D290,素材!$1:$1016,COLUMN($E$1),FALSE)/(LEN(VLOOKUP($D290,素材!$1:$1016,COLUMN($F$1),FALSE)) - LEN(SUBSTITUTE(VLOOKUP($D290,素材!$1:$1016,COLUMN($F$1),FALSE), "・", 0)) + 1), 0)</f>
        <v>0</v>
      </c>
      <c r="BB290">
        <f>IF(ISNUMBER(SEARCH(SUBSTITUTE(BB$1,RIGHT(BB$1,2),""),VLOOKUP($D290,素材!$1:$1016,COLUMN($F$1),FALSE))),VLOOKUP($C290,武器!$1:$998,COLUMN($O$1),FALSE)*VLOOKUP($D290,素材!$1:$1016,COLUMN($E$1),FALSE)/(LEN(VLOOKUP($D290,素材!$1:$1016,COLUMN($F$1),FALSE)) - LEN(SUBSTITUTE(VLOOKUP($D290,素材!$1:$1016,COLUMN($F$1),FALSE), "・", 0)) + 1), 0)</f>
        <v>0</v>
      </c>
      <c r="BC290">
        <f>IF(ISNUMBER(SEARCH(SUBSTITUTE(BC$1,RIGHT(BC$1,2),""),VLOOKUP($D290,素材!$1:$1016,COLUMN($F$1),FALSE))),VLOOKUP($C290,武器!$1:$998,COLUMN($O$1),FALSE)*VLOOKUP($D290,素材!$1:$1016,COLUMN($E$1),FALSE)/(LEN(VLOOKUP($D290,素材!$1:$1016,COLUMN($F$1),FALSE)) - LEN(SUBSTITUTE(VLOOKUP($D290,素材!$1:$1016,COLUMN($F$1),FALSE), "・", 0)) + 1), 0)</f>
        <v>0</v>
      </c>
      <c r="BD290">
        <f>IF(ISNUMBER(SEARCH(SUBSTITUTE(BD$1,RIGHT(BD$1,2),""),VLOOKUP($D290,素材!$1:$1016,COLUMN($F$1),FALSE))),VLOOKUP($C290,武器!$1:$998,COLUMN($O$1),FALSE)*VLOOKUP($D290,素材!$1:$1016,COLUMN($E$1),FALSE)/(LEN(VLOOKUP($D290,素材!$1:$1016,COLUMN($F$1),FALSE)) - LEN(SUBSTITUTE(VLOOKUP($D290,素材!$1:$1016,COLUMN($F$1),FALSE), "・", 0)) + 1), 0)</f>
        <v>0</v>
      </c>
      <c r="BE290">
        <f>IF(ISNUMBER(SEARCH(SUBSTITUTE(BE$1,RIGHT(BE$1,2),""),VLOOKUP($D290,素材!$1:$1016,COLUMN($F$1),FALSE))),VLOOKUP($C290,武器!$1:$998,COLUMN($O$1),FALSE)*VLOOKUP($D290,素材!$1:$1016,COLUMN($E$1),FALSE)/(LEN(VLOOKUP($D290,素材!$1:$1016,COLUMN($F$1),FALSE)) - LEN(SUBSTITUTE(VLOOKUP($D290,素材!$1:$1016,COLUMN($F$1),FALSE), "・", 0)) + 1), 0)</f>
        <v>0</v>
      </c>
      <c r="CL290">
        <f>SUM(G290:I290)</f>
        <v>0</v>
      </c>
      <c r="CM290" s="22" t="str">
        <f>IF(E290="武器",IF(J290-1&gt;SUM(G290:I290),"盾",IF(MAX(G290:I290)=G290,"切断",IF(MAX(G290:I290)=H290,"貫通",IF(MAX(G290:I290)=I290,"打撃","射撃")))),E290)&amp;".webp"</f>
        <v>.webp</v>
      </c>
      <c r="CN290" t="str">
        <f>IFERROR(VLOOKUP($C290,武器!$1:$998,COLUMN(V$1),FALSE)*VLOOKUP($D290,素材!$1:$1016,COLUMN(N$1),FALSE)+IF(CI290="",0,VLOOKUP($CI290,装強!$1:$1008,COLUMN($CK$1),FALSE)),"")</f>
        <v/>
      </c>
      <c r="CO290" t="e">
        <f>VLOOKUP(D290,素材!$A:$O,COLUMN(素材!O$1),FALSE)</f>
        <v>#N/A</v>
      </c>
      <c r="CP290" t="e">
        <f>VLOOKUP(C290,武器!$A:$W,COLUMN(武器!W$1),FALSE)</f>
        <v>#N/A</v>
      </c>
      <c r="CR290" t="str">
        <f t="shared" si="33"/>
        <v>e_290</v>
      </c>
      <c r="CS290" t="e">
        <f t="shared" si="34"/>
        <v>#VALUE!</v>
      </c>
    </row>
    <row r="291" spans="1:97" hidden="1" outlineLevel="1" x14ac:dyDescent="0.4">
      <c r="A291" t="str">
        <f>IF(CI291="",D291&amp;"の"&amp;C291,CI291&amp;"の"&amp;C291)</f>
        <v>の</v>
      </c>
      <c r="B291" t="str">
        <f>IFERROR(IF(CI291="",VLOOKUP($D291,素材!$1:$1016,COLUMN($B$1),FALSE)&amp;"・"&amp;VLOOKUP($C291,武器!$1:$998,COLUMN(B$1),FALSE),VLOOKUP($CI291,装強!$1:$1008,COLUMN($B$1),FALSE)&amp;"・"&amp;VLOOKUP($C291,武器!$1:$998,COLUMN(B$1),FALSE)),"")</f>
        <v/>
      </c>
      <c r="C291" s="24"/>
      <c r="D291" s="24"/>
      <c r="E291" t="str">
        <f>IFERROR(VLOOKUP(C291,武器!$1:$998,COLUMN(C$1),FALSE),"")</f>
        <v/>
      </c>
      <c r="F291" t="str">
        <f>IFERROR(ROUNDDOWN((VLOOKUP($C291,武器!$1:$998,COLUMN(D$1),FALSE)+IFERROR(VLOOKUP($CI291,装強!$1:$999,COLUMN(F$1),FALSE),0))*VLOOKUP($D291,素材!$1:$1016,COLUMN(D$1),FALSE),0),"")</f>
        <v/>
      </c>
      <c r="G291" t="str">
        <f>IFERROR(ROUNDDOWN((VLOOKUP($C291,武器!$1:$998,COLUMN(E$1),FALSE)+IFERROR(VLOOKUP($CI291,装強!$1:$999,COLUMN(G$1),FALSE),0))*VLOOKUP($D291,素材!$1:$1016,COLUMN($E$1),FALSE),0),"")</f>
        <v/>
      </c>
      <c r="H291" t="str">
        <f>IFERROR(ROUNDDOWN((VLOOKUP($C291,武器!$1:$998,COLUMN(F$1),FALSE)+IFERROR(VLOOKUP($CI291,装強!$1:$999,COLUMN(H$1),FALSE),0))*VLOOKUP($D291,素材!$1:$1016,COLUMN($E$1),FALSE),0),"")</f>
        <v/>
      </c>
      <c r="I291" t="str">
        <f>IFERROR(ROUNDDOWN((VLOOKUP($C291,武器!$1:$998,COLUMN(G$1),FALSE)+IFERROR(VLOOKUP($CI291,装強!$1:$999,COLUMN(I$1),FALSE),0))*VLOOKUP($D291,素材!$1:$1016,COLUMN($E$1),FALSE),0),"")</f>
        <v/>
      </c>
      <c r="J291" t="str">
        <f>IFERROR(ROUNDDOWN((VLOOKUP($C291,武器!$1:$998,COLUMN(H$1),FALSE)+IFERROR(VLOOKUP($CI291,装強!$1:$999,COLUMN(J$1),FALSE),0))*VLOOKUP($D291,素材!$1:$1016,COLUMN($E$1),FALSE),0),"")</f>
        <v/>
      </c>
      <c r="K291" t="str">
        <f>IFERROR(ROUNDDOWN((VLOOKUP($C291,武器!$1:$998,COLUMN(I$1),FALSE)+IFERROR(VLOOKUP($CI291,装強!$1:$999,COLUMN(K$1),FALSE),0))*VLOOKUP($D291,素材!$1:$1016,COLUMN($E$1),FALSE),0),"")</f>
        <v/>
      </c>
      <c r="L291" t="str">
        <f>IFERROR(VLOOKUP($D291,素材!$1:$1016,COLUMN($F$1),FALSE),"")</f>
        <v/>
      </c>
      <c r="M291" t="str">
        <f>IFERROR(VLOOKUP($C291,武器!$1:$998,COLUMN(AA$1),FALSE)*VLOOKUP($D291,素材!$1:$1016,COLUMN($G$1),FALSE),"")</f>
        <v/>
      </c>
      <c r="N291" t="str">
        <f>IFERROR(VLOOKUP($C291,武器!$1:$998,COLUMN(I$1),FALSE),"")</f>
        <v/>
      </c>
      <c r="O291" s="23" t="str">
        <f>IFERROR((VLOOKUP($C291,武器!$1:$998,COLUMN(K$1),FALSE)+VLOOKUP($D291,素材!$1:$1016,COLUMN(H$1),FALSE))*100+IFERROR(VLOOKUP($CI291,装強!$1:$999,COLUMN(O$1),FALSE),0),"")</f>
        <v/>
      </c>
      <c r="P291" s="23" t="str">
        <f>IFERROR((VLOOKUP($C291,武器!$1:$998,COLUMN(L$1),FALSE)+VLOOKUP($D291,素材!$1:$1016,COLUMN(I$1),FALSE))*100+IFERROR(VLOOKUP($CI291,装強!$1:$999,COLUMN(P$1),FALSE),0),"")</f>
        <v/>
      </c>
      <c r="Q291" t="str">
        <f>IFERROR(ROUNDUP(VLOOKUP($C291,武器!$1:$998,COLUMN(M$1),FALSE)*(VLOOKUP($D291,素材!$1:$1002,COLUMN(D$1),FALSE)/100),1),"")</f>
        <v/>
      </c>
      <c r="R291" t="str">
        <f>IFERROR(ROUNDUP(VLOOKUP($C291,武器!$1:$998,COLUMN(N$1),FALSE)*(VLOOKUP($D291,素材!$1:$1002,COLUMN(D$1),FALSE)/100),1),"")</f>
        <v/>
      </c>
      <c r="S291" t="str">
        <f>IFERROR(VLOOKUP($C291,武器!$1:$998,COLUMN(P$1),FALSE),"")</f>
        <v/>
      </c>
      <c r="T291" t="str">
        <f>IFERROR(VLOOKUP($C291,武器!$1:$998,COLUMN(Q$1),FALSE),"")</f>
        <v/>
      </c>
      <c r="U291" t="str">
        <f>IFERROR(VLOOKUP($C291,武器!$1:$998,COLUMN(R$1),FALSE),"")</f>
        <v/>
      </c>
      <c r="V291" t="str">
        <f>IFERROR(VLOOKUP($C291,武器!$1:$998,COLUMN(Q$1),FALSE),"")</f>
        <v/>
      </c>
      <c r="W291" t="str">
        <f>IFERROR(VLOOKUP($C291,武器!$1:$998,COLUMN(T$1),FALSE),"")</f>
        <v/>
      </c>
      <c r="Y291" t="str">
        <f>IFERROR(VLOOKUP($C291,武器!$1:$998,COLUMN(U$1),FALSE),"")</f>
        <v/>
      </c>
      <c r="Z291" t="str">
        <f>IFERROR(ROUNDUP(VLOOKUP($C291,武器!$1:$998,COLUMN(O$1),FALSE)*VLOOKUP($D291,素材!$1:$1016,COLUMN(E$1),FALSE),1),"")</f>
        <v/>
      </c>
      <c r="AA291">
        <f>IF(ISNUMBER(SEARCH(SUBSTITUTE(AA$1,RIGHT(AA$1,2),""),VLOOKUP($D291,素材!$1:$1016,COLUMN($F$1),FALSE))),VLOOKUP($C291,武器!$1:$998,COLUMN($O$1),FALSE)*VLOOKUP($D291,素材!$1:$1016,COLUMN($E$1),FALSE)/(LEN(VLOOKUP($D291,素材!$1:$1016,COLUMN($F$1),FALSE)) - LEN(SUBSTITUTE(VLOOKUP($D291,素材!$1:$1016,COLUMN($F$1),FALSE), "・", 0)) + 1), 0)</f>
        <v>0</v>
      </c>
      <c r="AB291">
        <f>IF(ISNUMBER(SEARCH(SUBSTITUTE(AB$1,RIGHT(AB$1,2),""),VLOOKUP($D291,素材!$1:$1016,COLUMN($F$1),FALSE))),VLOOKUP($C291,武器!$1:$998,COLUMN($O$1),FALSE)*VLOOKUP($D291,素材!$1:$1016,COLUMN($E$1),FALSE)/(LEN(VLOOKUP($D291,素材!$1:$1016,COLUMN($F$1),FALSE)) - LEN(SUBSTITUTE(VLOOKUP($D291,素材!$1:$1016,COLUMN($F$1),FALSE), "・", 0)) + 1), 0)</f>
        <v>0</v>
      </c>
      <c r="AC291">
        <f>IF(ISNUMBER(SEARCH(SUBSTITUTE(AC$1,RIGHT(AC$1,2),""),VLOOKUP($D291,素材!$1:$1016,COLUMN($F$1),FALSE))),VLOOKUP($C291,武器!$1:$998,COLUMN($O$1),FALSE)*VLOOKUP($D291,素材!$1:$1016,COLUMN($E$1),FALSE)/(LEN(VLOOKUP($D291,素材!$1:$1016,COLUMN($F$1),FALSE)) - LEN(SUBSTITUTE(VLOOKUP($D291,素材!$1:$1016,COLUMN($F$1),FALSE), "・", 0)) + 1), 0)</f>
        <v>0</v>
      </c>
      <c r="AD291">
        <f>IF(ISNUMBER(SEARCH(SUBSTITUTE(AD$1,RIGHT(AD$1,2),""),VLOOKUP($D291,素材!$1:$1016,COLUMN($F$1),FALSE))),VLOOKUP($C291,武器!$1:$998,COLUMN($O$1),FALSE)*VLOOKUP($D291,素材!$1:$1016,COLUMN($E$1),FALSE)/(LEN(VLOOKUP($D291,素材!$1:$1016,COLUMN($F$1),FALSE)) - LEN(SUBSTITUTE(VLOOKUP($D291,素材!$1:$1016,COLUMN($F$1),FALSE), "・", 0)) + 1), 0)</f>
        <v>0</v>
      </c>
      <c r="AE291">
        <f>IF(ISNUMBER(SEARCH(SUBSTITUTE(AE$1,RIGHT(AE$1,2),""),VLOOKUP($D291,素材!$1:$1016,COLUMN($F$1),FALSE))),VLOOKUP($C291,武器!$1:$998,COLUMN($O$1),FALSE)*VLOOKUP($D291,素材!$1:$1016,COLUMN($E$1),FALSE)/(LEN(VLOOKUP($D291,素材!$1:$1016,COLUMN($F$1),FALSE)) - LEN(SUBSTITUTE(VLOOKUP($D291,素材!$1:$1016,COLUMN($F$1),FALSE), "・", 0)) + 1), 0)</f>
        <v>0</v>
      </c>
      <c r="AF291">
        <f>IF(ISNUMBER(SEARCH(SUBSTITUTE(AF$1,RIGHT(AF$1,2),""),VLOOKUP($D291,素材!$1:$1016,COLUMN($F$1),FALSE))),VLOOKUP($C291,武器!$1:$998,COLUMN($O$1),FALSE)*VLOOKUP($D291,素材!$1:$1016,COLUMN($E$1),FALSE)/(LEN(VLOOKUP($D291,素材!$1:$1016,COLUMN($F$1),FALSE)) - LEN(SUBSTITUTE(VLOOKUP($D291,素材!$1:$1016,COLUMN($F$1),FALSE), "・", 0)) + 1), 0)</f>
        <v>0</v>
      </c>
      <c r="AG291">
        <f>IF(ISNUMBER(SEARCH(SUBSTITUTE(AG$1,RIGHT(AG$1,2),""),VLOOKUP($D291,素材!$1:$1016,COLUMN($F$1),FALSE))),VLOOKUP($C291,武器!$1:$998,COLUMN($O$1),FALSE)*VLOOKUP($D291,素材!$1:$1016,COLUMN($E$1),FALSE)/(LEN(VLOOKUP($D291,素材!$1:$1016,COLUMN($F$1),FALSE)) - LEN(SUBSTITUTE(VLOOKUP($D291,素材!$1:$1016,COLUMN($F$1),FALSE), "・", 0)) + 1), 0)</f>
        <v>0</v>
      </c>
      <c r="AH291">
        <f>IF(ISNUMBER(SEARCH(SUBSTITUTE(AH$1,RIGHT(AH$1,2),""),VLOOKUP($D291,素材!$1:$1016,COLUMN($F$1),FALSE))),VLOOKUP($C291,武器!$1:$998,COLUMN($O$1),FALSE)*VLOOKUP($D291,素材!$1:$1016,COLUMN($E$1),FALSE)/(LEN(VLOOKUP($D291,素材!$1:$1016,COLUMN($F$1),FALSE)) - LEN(SUBSTITUTE(VLOOKUP($D291,素材!$1:$1016,COLUMN($F$1),FALSE), "・", 0)) + 1), 0)</f>
        <v>0</v>
      </c>
      <c r="AI291">
        <f>IF(ISNUMBER(SEARCH(SUBSTITUTE(AI$1,RIGHT(AI$1,2),""),VLOOKUP($D291,素材!$1:$1016,COLUMN($F$1),FALSE))),VLOOKUP($C291,武器!$1:$998,COLUMN($O$1),FALSE)*VLOOKUP($D291,素材!$1:$1016,COLUMN($E$1),FALSE)/(LEN(VLOOKUP($D291,素材!$1:$1016,COLUMN($F$1),FALSE)) - LEN(SUBSTITUTE(VLOOKUP($D291,素材!$1:$1016,COLUMN($F$1),FALSE), "・", 0)) + 1), 0)</f>
        <v>0</v>
      </c>
      <c r="AJ291">
        <f>IF(ISNUMBER(SEARCH(SUBSTITUTE(AJ$1,RIGHT(AJ$1,2),""),VLOOKUP($D291,素材!$1:$1016,COLUMN($F$1),FALSE))),VLOOKUP($C291,武器!$1:$998,COLUMN($O$1),FALSE)*VLOOKUP($D291,素材!$1:$1016,COLUMN($E$1),FALSE)/(LEN(VLOOKUP($D291,素材!$1:$1016,COLUMN($F$1),FALSE)) - LEN(SUBSTITUTE(VLOOKUP($D291,素材!$1:$1016,COLUMN($F$1),FALSE), "・", 0)) + 1), 0)</f>
        <v>0</v>
      </c>
      <c r="AK291">
        <f>IF(ISNUMBER(SEARCH(SUBSTITUTE(AK$1,RIGHT(AK$1,2),""),VLOOKUP($D291,素材!$1:$1016,COLUMN($F$1),FALSE))),VLOOKUP($C291,武器!$1:$998,COLUMN($O$1),FALSE)*VLOOKUP($D291,素材!$1:$1016,COLUMN($E$1),FALSE)/(LEN(VLOOKUP($D291,素材!$1:$1016,COLUMN($F$1),FALSE)) - LEN(SUBSTITUTE(VLOOKUP($D291,素材!$1:$1016,COLUMN($F$1),FALSE), "・", 0)) + 1), 0)</f>
        <v>0</v>
      </c>
      <c r="AL291">
        <f>IF(ISNUMBER(SEARCH(SUBSTITUTE(AL$1,RIGHT(AL$1,2),""),VLOOKUP($D291,素材!$1:$1016,COLUMN($F$1),FALSE))),VLOOKUP($C291,武器!$1:$998,COLUMN($O$1),FALSE)*VLOOKUP($D291,素材!$1:$1016,COLUMN($E$1),FALSE)/(LEN(VLOOKUP($D291,素材!$1:$1016,COLUMN($F$1),FALSE)) - LEN(SUBSTITUTE(VLOOKUP($D291,素材!$1:$1016,COLUMN($F$1),FALSE), "・", 0)) + 1), 0)</f>
        <v>0</v>
      </c>
      <c r="AM291">
        <f>IF(ISNUMBER(SEARCH(SUBSTITUTE(AM$1,RIGHT(AM$1,2),""),VLOOKUP($D291,素材!$1:$1016,COLUMN($F$1),FALSE))),VLOOKUP($C291,武器!$1:$998,COLUMN($O$1),FALSE)*VLOOKUP($D291,素材!$1:$1016,COLUMN($E$1),FALSE)/(LEN(VLOOKUP($D291,素材!$1:$1016,COLUMN($F$1),FALSE)) - LEN(SUBSTITUTE(VLOOKUP($D291,素材!$1:$1016,COLUMN($F$1),FALSE), "・", 0)) + 1), 0)</f>
        <v>0</v>
      </c>
      <c r="AN291">
        <f>IF(ISNUMBER(SEARCH(SUBSTITUTE(AN$1,RIGHT(AN$1,2),""),VLOOKUP($D291,素材!$1:$1016,COLUMN($F$1),FALSE))),VLOOKUP($C291,武器!$1:$998,COLUMN($O$1),FALSE)*VLOOKUP($D291,素材!$1:$1016,COLUMN($E$1),FALSE)/(LEN(VLOOKUP($D291,素材!$1:$1016,COLUMN($F$1),FALSE)) - LEN(SUBSTITUTE(VLOOKUP($D291,素材!$1:$1016,COLUMN($F$1),FALSE), "・", 0)) + 1), 0)</f>
        <v>0</v>
      </c>
      <c r="AO291">
        <f>IF(ISNUMBER(SEARCH(SUBSTITUTE(AO$1,RIGHT(AO$1,2),""),VLOOKUP($D291,素材!$1:$1016,COLUMN($F$1),FALSE))),VLOOKUP($C291,武器!$1:$998,COLUMN($O$1),FALSE)*VLOOKUP($D291,素材!$1:$1016,COLUMN($E$1),FALSE)/(LEN(VLOOKUP($D291,素材!$1:$1016,COLUMN($F$1),FALSE)) - LEN(SUBSTITUTE(VLOOKUP($D291,素材!$1:$1016,COLUMN($F$1),FALSE), "・", 0)) + 1), 0)</f>
        <v>0</v>
      </c>
      <c r="AP291">
        <f>IF(ISNUMBER(SEARCH(SUBSTITUTE(AP$1,RIGHT(AP$1,2),""),VLOOKUP($D291,素材!$1:$1016,COLUMN($F$1),FALSE))),VLOOKUP($C291,武器!$1:$998,COLUMN($O$1),FALSE)*VLOOKUP($D291,素材!$1:$1016,COLUMN($E$1),FALSE)/(LEN(VLOOKUP($D291,素材!$1:$1016,COLUMN($F$1),FALSE)) - LEN(SUBSTITUTE(VLOOKUP($D291,素材!$1:$1016,COLUMN($F$1),FALSE), "・", 0)) + 1), 0)</f>
        <v>0</v>
      </c>
      <c r="AQ291">
        <f>IF(ISNUMBER(SEARCH(SUBSTITUTE(AQ$1,RIGHT(AQ$1,2),""),VLOOKUP($D291,素材!$1:$1016,COLUMN($F$1),FALSE))),VLOOKUP($C291,武器!$1:$998,COLUMN($O$1),FALSE)*VLOOKUP($D291,素材!$1:$1016,COLUMN($E$1),FALSE)/(LEN(VLOOKUP($D291,素材!$1:$1016,COLUMN($F$1),FALSE)) - LEN(SUBSTITUTE(VLOOKUP($D291,素材!$1:$1016,COLUMN($F$1),FALSE), "・", 0)) + 1), 0)</f>
        <v>0</v>
      </c>
      <c r="AR291">
        <f>IF(ISNUMBER(SEARCH(SUBSTITUTE(AR$1,RIGHT(AR$1,2),""),VLOOKUP($D291,素材!$1:$1016,COLUMN($F$1),FALSE))),VLOOKUP($C291,武器!$1:$998,COLUMN($O$1),FALSE)*VLOOKUP($D291,素材!$1:$1016,COLUMN($E$1),FALSE)/(LEN(VLOOKUP($D291,素材!$1:$1016,COLUMN($F$1),FALSE)) - LEN(SUBSTITUTE(VLOOKUP($D291,素材!$1:$1016,COLUMN($F$1),FALSE), "・", 0)) + 1), 0)</f>
        <v>0</v>
      </c>
      <c r="AS291">
        <f>IF(ISNUMBER(SEARCH(SUBSTITUTE(AS$1,RIGHT(AS$1,2),""),VLOOKUP($D291,素材!$1:$1016,COLUMN($F$1),FALSE))),VLOOKUP($C291,武器!$1:$998,COLUMN($O$1),FALSE)*VLOOKUP($D291,素材!$1:$1016,COLUMN($E$1),FALSE)/(LEN(VLOOKUP($D291,素材!$1:$1016,COLUMN($F$1),FALSE)) - LEN(SUBSTITUTE(VLOOKUP($D291,素材!$1:$1016,COLUMN($F$1),FALSE), "・", 0)) + 1), 0)</f>
        <v>0</v>
      </c>
      <c r="AT291">
        <f>IF(ISNUMBER(SEARCH(SUBSTITUTE(AT$1,RIGHT(AT$1,2),""),VLOOKUP($D291,素材!$1:$1016,COLUMN($F$1),FALSE))),VLOOKUP($C291,武器!$1:$998,COLUMN($O$1),FALSE)*VLOOKUP($D291,素材!$1:$1016,COLUMN($E$1),FALSE)/(LEN(VLOOKUP($D291,素材!$1:$1016,COLUMN($F$1),FALSE)) - LEN(SUBSTITUTE(VLOOKUP($D291,素材!$1:$1016,COLUMN($F$1),FALSE), "・", 0)) + 1), 0)</f>
        <v>0</v>
      </c>
      <c r="AU291">
        <f>IF(ISNUMBER(SEARCH(SUBSTITUTE(AU$1,RIGHT(AU$1,2),""),VLOOKUP($D291,素材!$1:$1016,COLUMN($F$1),FALSE))),VLOOKUP($C291,武器!$1:$998,COLUMN($O$1),FALSE)*VLOOKUP($D291,素材!$1:$1016,COLUMN($E$1),FALSE)/(LEN(VLOOKUP($D291,素材!$1:$1016,COLUMN($F$1),FALSE)) - LEN(SUBSTITUTE(VLOOKUP($D291,素材!$1:$1016,COLUMN($F$1),FALSE), "・", 0)) + 1), 0)</f>
        <v>0</v>
      </c>
      <c r="AV291">
        <f>IF(ISNUMBER(SEARCH(SUBSTITUTE(AV$1,RIGHT(AV$1,2),""),VLOOKUP($D291,素材!$1:$1016,COLUMN($F$1),FALSE))),VLOOKUP($C291,武器!$1:$998,COLUMN($O$1),FALSE)*VLOOKUP($D291,素材!$1:$1016,COLUMN($E$1),FALSE)/(LEN(VLOOKUP($D291,素材!$1:$1016,COLUMN($F$1),FALSE)) - LEN(SUBSTITUTE(VLOOKUP($D291,素材!$1:$1016,COLUMN($F$1),FALSE), "・", 0)) + 1), 0)</f>
        <v>0</v>
      </c>
      <c r="AW291">
        <f>IF(ISNUMBER(SEARCH(SUBSTITUTE(AW$1,RIGHT(AW$1,2),""),VLOOKUP($D291,素材!$1:$1016,COLUMN($F$1),FALSE))),VLOOKUP($C291,武器!$1:$998,COLUMN($O$1),FALSE)*VLOOKUP($D291,素材!$1:$1016,COLUMN($E$1),FALSE)/(LEN(VLOOKUP($D291,素材!$1:$1016,COLUMN($F$1),FALSE)) - LEN(SUBSTITUTE(VLOOKUP($D291,素材!$1:$1016,COLUMN($F$1),FALSE), "・", 0)) + 1), 0)</f>
        <v>0</v>
      </c>
      <c r="AX291">
        <f>IF(ISNUMBER(SEARCH(SUBSTITUTE(AX$1,RIGHT(AX$1,2),""),VLOOKUP($D291,素材!$1:$1016,COLUMN($F$1),FALSE))),VLOOKUP($C291,武器!$1:$998,COLUMN($O$1),FALSE)*VLOOKUP($D291,素材!$1:$1016,COLUMN($E$1),FALSE)/(LEN(VLOOKUP($D291,素材!$1:$1016,COLUMN($F$1),FALSE)) - LEN(SUBSTITUTE(VLOOKUP($D291,素材!$1:$1016,COLUMN($F$1),FALSE), "・", 0)) + 1), 0)</f>
        <v>0</v>
      </c>
      <c r="AY291">
        <f>IF(ISNUMBER(SEARCH(SUBSTITUTE(AY$1,RIGHT(AY$1,2),""),VLOOKUP($D291,素材!$1:$1016,COLUMN($F$1),FALSE))),VLOOKUP($C291,武器!$1:$998,COLUMN($O$1),FALSE)*VLOOKUP($D291,素材!$1:$1016,COLUMN($E$1),FALSE)/(LEN(VLOOKUP($D291,素材!$1:$1016,COLUMN($F$1),FALSE)) - LEN(SUBSTITUTE(VLOOKUP($D291,素材!$1:$1016,COLUMN($F$1),FALSE), "・", 0)) + 1), 0)</f>
        <v>0</v>
      </c>
      <c r="AZ291">
        <f>IF(ISNUMBER(SEARCH(SUBSTITUTE(AZ$1,RIGHT(AZ$1,2),""),VLOOKUP($D291,素材!$1:$1016,COLUMN($F$1),FALSE))),VLOOKUP($C291,武器!$1:$998,COLUMN($O$1),FALSE)*VLOOKUP($D291,素材!$1:$1016,COLUMN($E$1),FALSE)/(LEN(VLOOKUP($D291,素材!$1:$1016,COLUMN($F$1),FALSE)) - LEN(SUBSTITUTE(VLOOKUP($D291,素材!$1:$1016,COLUMN($F$1),FALSE), "・", 0)) + 1), 0)</f>
        <v>0</v>
      </c>
      <c r="BA291">
        <f>IF(ISNUMBER(SEARCH(SUBSTITUTE(BA$1,RIGHT(BA$1,2),""),VLOOKUP($D291,素材!$1:$1016,COLUMN($F$1),FALSE))),VLOOKUP($C291,武器!$1:$998,COLUMN($O$1),FALSE)*VLOOKUP($D291,素材!$1:$1016,COLUMN($E$1),FALSE)/(LEN(VLOOKUP($D291,素材!$1:$1016,COLUMN($F$1),FALSE)) - LEN(SUBSTITUTE(VLOOKUP($D291,素材!$1:$1016,COLUMN($F$1),FALSE), "・", 0)) + 1), 0)</f>
        <v>0</v>
      </c>
      <c r="BB291">
        <f>IF(ISNUMBER(SEARCH(SUBSTITUTE(BB$1,RIGHT(BB$1,2),""),VLOOKUP($D291,素材!$1:$1016,COLUMN($F$1),FALSE))),VLOOKUP($C291,武器!$1:$998,COLUMN($O$1),FALSE)*VLOOKUP($D291,素材!$1:$1016,COLUMN($E$1),FALSE)/(LEN(VLOOKUP($D291,素材!$1:$1016,COLUMN($F$1),FALSE)) - LEN(SUBSTITUTE(VLOOKUP($D291,素材!$1:$1016,COLUMN($F$1),FALSE), "・", 0)) + 1), 0)</f>
        <v>0</v>
      </c>
      <c r="BC291">
        <f>IF(ISNUMBER(SEARCH(SUBSTITUTE(BC$1,RIGHT(BC$1,2),""),VLOOKUP($D291,素材!$1:$1016,COLUMN($F$1),FALSE))),VLOOKUP($C291,武器!$1:$998,COLUMN($O$1),FALSE)*VLOOKUP($D291,素材!$1:$1016,COLUMN($E$1),FALSE)/(LEN(VLOOKUP($D291,素材!$1:$1016,COLUMN($F$1),FALSE)) - LEN(SUBSTITUTE(VLOOKUP($D291,素材!$1:$1016,COLUMN($F$1),FALSE), "・", 0)) + 1), 0)</f>
        <v>0</v>
      </c>
      <c r="BD291">
        <f>IF(ISNUMBER(SEARCH(SUBSTITUTE(BD$1,RIGHT(BD$1,2),""),VLOOKUP($D291,素材!$1:$1016,COLUMN($F$1),FALSE))),VLOOKUP($C291,武器!$1:$998,COLUMN($O$1),FALSE)*VLOOKUP($D291,素材!$1:$1016,COLUMN($E$1),FALSE)/(LEN(VLOOKUP($D291,素材!$1:$1016,COLUMN($F$1),FALSE)) - LEN(SUBSTITUTE(VLOOKUP($D291,素材!$1:$1016,COLUMN($F$1),FALSE), "・", 0)) + 1), 0)</f>
        <v>0</v>
      </c>
      <c r="BE291">
        <f>IF(ISNUMBER(SEARCH(SUBSTITUTE(BE$1,RIGHT(BE$1,2),""),VLOOKUP($D291,素材!$1:$1016,COLUMN($F$1),FALSE))),VLOOKUP($C291,武器!$1:$998,COLUMN($O$1),FALSE)*VLOOKUP($D291,素材!$1:$1016,COLUMN($E$1),FALSE)/(LEN(VLOOKUP($D291,素材!$1:$1016,COLUMN($F$1),FALSE)) - LEN(SUBSTITUTE(VLOOKUP($D291,素材!$1:$1016,COLUMN($F$1),FALSE), "・", 0)) + 1), 0)</f>
        <v>0</v>
      </c>
      <c r="CL291">
        <f>SUM(G291:I291)</f>
        <v>0</v>
      </c>
      <c r="CM291" s="22" t="str">
        <f>IF(E291="武器",IF(J291-1&gt;SUM(G291:I291),"盾",IF(MAX(G291:I291)=G291,"切断",IF(MAX(G291:I291)=H291,"貫通",IF(MAX(G291:I291)=I291,"打撃","射撃")))),E291)&amp;".webp"</f>
        <v>.webp</v>
      </c>
      <c r="CN291" t="str">
        <f>IFERROR(VLOOKUP($C291,武器!$1:$998,COLUMN(V$1),FALSE)*VLOOKUP($D291,素材!$1:$1016,COLUMN(N$1),FALSE)+IF(CI291="",0,VLOOKUP($CI291,装強!$1:$1008,COLUMN($CK$1),FALSE)),"")</f>
        <v/>
      </c>
      <c r="CO291" t="e">
        <f>VLOOKUP(D291,素材!$A:$O,COLUMN(素材!O$1),FALSE)</f>
        <v>#N/A</v>
      </c>
      <c r="CP291" t="e">
        <f>VLOOKUP(C291,武器!$A:$W,COLUMN(武器!W$1),FALSE)</f>
        <v>#N/A</v>
      </c>
      <c r="CR291" t="str">
        <f t="shared" si="33"/>
        <v>e_291</v>
      </c>
      <c r="CS291" t="e">
        <f t="shared" si="34"/>
        <v>#VALUE!</v>
      </c>
    </row>
    <row r="292" spans="1:97" hidden="1" outlineLevel="1" x14ac:dyDescent="0.4">
      <c r="A292" t="str">
        <f>IF(CI292="",D292&amp;"の"&amp;C292,CI292&amp;"の"&amp;C292)</f>
        <v>の</v>
      </c>
      <c r="B292" t="str">
        <f>IFERROR(IF(CI292="",VLOOKUP($D292,素材!$1:$1016,COLUMN($B$1),FALSE)&amp;"・"&amp;VLOOKUP($C292,武器!$1:$998,COLUMN(B$1),FALSE),VLOOKUP($CI292,装強!$1:$1008,COLUMN($B$1),FALSE)&amp;"・"&amp;VLOOKUP($C292,武器!$1:$998,COLUMN(B$1),FALSE)),"")</f>
        <v/>
      </c>
      <c r="C292" s="24"/>
      <c r="D292" s="24"/>
      <c r="E292" t="str">
        <f>IFERROR(VLOOKUP(C292,武器!$1:$998,COLUMN(C$1),FALSE),"")</f>
        <v/>
      </c>
      <c r="F292" t="str">
        <f>IFERROR(ROUNDDOWN((VLOOKUP($C292,武器!$1:$998,COLUMN(D$1),FALSE)+IFERROR(VLOOKUP($CI292,装強!$1:$999,COLUMN(F$1),FALSE),0))*VLOOKUP($D292,素材!$1:$1016,COLUMN(D$1),FALSE),0),"")</f>
        <v/>
      </c>
      <c r="G292" t="str">
        <f>IFERROR(ROUNDDOWN((VLOOKUP($C292,武器!$1:$998,COLUMN(E$1),FALSE)+IFERROR(VLOOKUP($CI292,装強!$1:$999,COLUMN(G$1),FALSE),0))*VLOOKUP($D292,素材!$1:$1016,COLUMN($E$1),FALSE),0),"")</f>
        <v/>
      </c>
      <c r="H292" t="str">
        <f>IFERROR(ROUNDDOWN((VLOOKUP($C292,武器!$1:$998,COLUMN(F$1),FALSE)+IFERROR(VLOOKUP($CI292,装強!$1:$999,COLUMN(H$1),FALSE),0))*VLOOKUP($D292,素材!$1:$1016,COLUMN($E$1),FALSE),0),"")</f>
        <v/>
      </c>
      <c r="I292" t="str">
        <f>IFERROR(ROUNDDOWN((VLOOKUP($C292,武器!$1:$998,COLUMN(G$1),FALSE)+IFERROR(VLOOKUP($CI292,装強!$1:$999,COLUMN(I$1),FALSE),0))*VLOOKUP($D292,素材!$1:$1016,COLUMN($E$1),FALSE),0),"")</f>
        <v/>
      </c>
      <c r="J292" t="str">
        <f>IFERROR(ROUNDDOWN((VLOOKUP($C292,武器!$1:$998,COLUMN(H$1),FALSE)+IFERROR(VLOOKUP($CI292,装強!$1:$999,COLUMN(J$1),FALSE),0))*VLOOKUP($D292,素材!$1:$1016,COLUMN($E$1),FALSE),0),"")</f>
        <v/>
      </c>
      <c r="K292" t="str">
        <f>IFERROR(ROUNDDOWN((VLOOKUP($C292,武器!$1:$998,COLUMN(I$1),FALSE)+IFERROR(VLOOKUP($CI292,装強!$1:$999,COLUMN(K$1),FALSE),0))*VLOOKUP($D292,素材!$1:$1016,COLUMN($E$1),FALSE),0),"")</f>
        <v/>
      </c>
      <c r="L292" t="str">
        <f>IFERROR(VLOOKUP($D292,素材!$1:$1016,COLUMN($F$1),FALSE),"")</f>
        <v/>
      </c>
      <c r="M292" t="str">
        <f>IFERROR(VLOOKUP($C292,武器!$1:$998,COLUMN(AA$1),FALSE)*VLOOKUP($D292,素材!$1:$1016,COLUMN($G$1),FALSE),"")</f>
        <v/>
      </c>
      <c r="N292" t="str">
        <f>IFERROR(VLOOKUP($C292,武器!$1:$998,COLUMN(I$1),FALSE),"")</f>
        <v/>
      </c>
      <c r="O292" s="23" t="str">
        <f>IFERROR((VLOOKUP($C292,武器!$1:$998,COLUMN(K$1),FALSE)+VLOOKUP($D292,素材!$1:$1016,COLUMN(H$1),FALSE))*100+IFERROR(VLOOKUP($CI292,装強!$1:$999,COLUMN(O$1),FALSE),0),"")</f>
        <v/>
      </c>
      <c r="P292" s="23" t="str">
        <f>IFERROR((VLOOKUP($C292,武器!$1:$998,COLUMN(L$1),FALSE)+VLOOKUP($D292,素材!$1:$1016,COLUMN(I$1),FALSE))*100+IFERROR(VLOOKUP($CI292,装強!$1:$999,COLUMN(P$1),FALSE),0),"")</f>
        <v/>
      </c>
      <c r="Q292" t="str">
        <f>IFERROR(ROUNDUP(VLOOKUP($C292,武器!$1:$998,COLUMN(M$1),FALSE)*(VLOOKUP($D292,素材!$1:$1002,COLUMN(D$1),FALSE)/100),1),"")</f>
        <v/>
      </c>
      <c r="R292" t="str">
        <f>IFERROR(ROUNDUP(VLOOKUP($C292,武器!$1:$998,COLUMN(N$1),FALSE)*(VLOOKUP($D292,素材!$1:$1002,COLUMN(D$1),FALSE)/100),1),"")</f>
        <v/>
      </c>
      <c r="S292" t="str">
        <f>IFERROR(VLOOKUP($C292,武器!$1:$998,COLUMN(P$1),FALSE),"")</f>
        <v/>
      </c>
      <c r="T292" t="str">
        <f>IFERROR(VLOOKUP($C292,武器!$1:$998,COLUMN(Q$1),FALSE),"")</f>
        <v/>
      </c>
      <c r="U292" t="str">
        <f>IFERROR(VLOOKUP($C292,武器!$1:$998,COLUMN(R$1),FALSE),"")</f>
        <v/>
      </c>
      <c r="V292" t="str">
        <f>IFERROR(VLOOKUP($C292,武器!$1:$998,COLUMN(Q$1),FALSE),"")</f>
        <v/>
      </c>
      <c r="W292" t="str">
        <f>IFERROR(VLOOKUP($C292,武器!$1:$998,COLUMN(T$1),FALSE),"")</f>
        <v/>
      </c>
      <c r="Y292" t="str">
        <f>IFERROR(VLOOKUP($C292,武器!$1:$998,COLUMN(U$1),FALSE),"")</f>
        <v/>
      </c>
      <c r="Z292" t="str">
        <f>IFERROR(ROUNDUP(VLOOKUP($C292,武器!$1:$998,COLUMN(O$1),FALSE)*VLOOKUP($D292,素材!$1:$1016,COLUMN(E$1),FALSE),1),"")</f>
        <v/>
      </c>
      <c r="AA292">
        <f>IF(ISNUMBER(SEARCH(SUBSTITUTE(AA$1,RIGHT(AA$1,2),""),VLOOKUP($D292,素材!$1:$1016,COLUMN($F$1),FALSE))),VLOOKUP($C292,武器!$1:$998,COLUMN($O$1),FALSE)*VLOOKUP($D292,素材!$1:$1016,COLUMN($E$1),FALSE)/(LEN(VLOOKUP($D292,素材!$1:$1016,COLUMN($F$1),FALSE)) - LEN(SUBSTITUTE(VLOOKUP($D292,素材!$1:$1016,COLUMN($F$1),FALSE), "・", 0)) + 1), 0)</f>
        <v>0</v>
      </c>
      <c r="AB292">
        <f>IF(ISNUMBER(SEARCH(SUBSTITUTE(AB$1,RIGHT(AB$1,2),""),VLOOKUP($D292,素材!$1:$1016,COLUMN($F$1),FALSE))),VLOOKUP($C292,武器!$1:$998,COLUMN($O$1),FALSE)*VLOOKUP($D292,素材!$1:$1016,COLUMN($E$1),FALSE)/(LEN(VLOOKUP($D292,素材!$1:$1016,COLUMN($F$1),FALSE)) - LEN(SUBSTITUTE(VLOOKUP($D292,素材!$1:$1016,COLUMN($F$1),FALSE), "・", 0)) + 1), 0)</f>
        <v>0</v>
      </c>
      <c r="AC292">
        <f>IF(ISNUMBER(SEARCH(SUBSTITUTE(AC$1,RIGHT(AC$1,2),""),VLOOKUP($D292,素材!$1:$1016,COLUMN($F$1),FALSE))),VLOOKUP($C292,武器!$1:$998,COLUMN($O$1),FALSE)*VLOOKUP($D292,素材!$1:$1016,COLUMN($E$1),FALSE)/(LEN(VLOOKUP($D292,素材!$1:$1016,COLUMN($F$1),FALSE)) - LEN(SUBSTITUTE(VLOOKUP($D292,素材!$1:$1016,COLUMN($F$1),FALSE), "・", 0)) + 1), 0)</f>
        <v>0</v>
      </c>
      <c r="AD292">
        <f>IF(ISNUMBER(SEARCH(SUBSTITUTE(AD$1,RIGHT(AD$1,2),""),VLOOKUP($D292,素材!$1:$1016,COLUMN($F$1),FALSE))),VLOOKUP($C292,武器!$1:$998,COLUMN($O$1),FALSE)*VLOOKUP($D292,素材!$1:$1016,COLUMN($E$1),FALSE)/(LEN(VLOOKUP($D292,素材!$1:$1016,COLUMN($F$1),FALSE)) - LEN(SUBSTITUTE(VLOOKUP($D292,素材!$1:$1016,COLUMN($F$1),FALSE), "・", 0)) + 1), 0)</f>
        <v>0</v>
      </c>
      <c r="AE292">
        <f>IF(ISNUMBER(SEARCH(SUBSTITUTE(AE$1,RIGHT(AE$1,2),""),VLOOKUP($D292,素材!$1:$1016,COLUMN($F$1),FALSE))),VLOOKUP($C292,武器!$1:$998,COLUMN($O$1),FALSE)*VLOOKUP($D292,素材!$1:$1016,COLUMN($E$1),FALSE)/(LEN(VLOOKUP($D292,素材!$1:$1016,COLUMN($F$1),FALSE)) - LEN(SUBSTITUTE(VLOOKUP($D292,素材!$1:$1016,COLUMN($F$1),FALSE), "・", 0)) + 1), 0)</f>
        <v>0</v>
      </c>
      <c r="AF292">
        <f>IF(ISNUMBER(SEARCH(SUBSTITUTE(AF$1,RIGHT(AF$1,2),""),VLOOKUP($D292,素材!$1:$1016,COLUMN($F$1),FALSE))),VLOOKUP($C292,武器!$1:$998,COLUMN($O$1),FALSE)*VLOOKUP($D292,素材!$1:$1016,COLUMN($E$1),FALSE)/(LEN(VLOOKUP($D292,素材!$1:$1016,COLUMN($F$1),FALSE)) - LEN(SUBSTITUTE(VLOOKUP($D292,素材!$1:$1016,COLUMN($F$1),FALSE), "・", 0)) + 1), 0)</f>
        <v>0</v>
      </c>
      <c r="AG292">
        <f>IF(ISNUMBER(SEARCH(SUBSTITUTE(AG$1,RIGHT(AG$1,2),""),VLOOKUP($D292,素材!$1:$1016,COLUMN($F$1),FALSE))),VLOOKUP($C292,武器!$1:$998,COLUMN($O$1),FALSE)*VLOOKUP($D292,素材!$1:$1016,COLUMN($E$1),FALSE)/(LEN(VLOOKUP($D292,素材!$1:$1016,COLUMN($F$1),FALSE)) - LEN(SUBSTITUTE(VLOOKUP($D292,素材!$1:$1016,COLUMN($F$1),FALSE), "・", 0)) + 1), 0)</f>
        <v>0</v>
      </c>
      <c r="AH292">
        <f>IF(ISNUMBER(SEARCH(SUBSTITUTE(AH$1,RIGHT(AH$1,2),""),VLOOKUP($D292,素材!$1:$1016,COLUMN($F$1),FALSE))),VLOOKUP($C292,武器!$1:$998,COLUMN($O$1),FALSE)*VLOOKUP($D292,素材!$1:$1016,COLUMN($E$1),FALSE)/(LEN(VLOOKUP($D292,素材!$1:$1016,COLUMN($F$1),FALSE)) - LEN(SUBSTITUTE(VLOOKUP($D292,素材!$1:$1016,COLUMN($F$1),FALSE), "・", 0)) + 1), 0)</f>
        <v>0</v>
      </c>
      <c r="AI292">
        <f>IF(ISNUMBER(SEARCH(SUBSTITUTE(AI$1,RIGHT(AI$1,2),""),VLOOKUP($D292,素材!$1:$1016,COLUMN($F$1),FALSE))),VLOOKUP($C292,武器!$1:$998,COLUMN($O$1),FALSE)*VLOOKUP($D292,素材!$1:$1016,COLUMN($E$1),FALSE)/(LEN(VLOOKUP($D292,素材!$1:$1016,COLUMN($F$1),FALSE)) - LEN(SUBSTITUTE(VLOOKUP($D292,素材!$1:$1016,COLUMN($F$1),FALSE), "・", 0)) + 1), 0)</f>
        <v>0</v>
      </c>
      <c r="AJ292">
        <f>IF(ISNUMBER(SEARCH(SUBSTITUTE(AJ$1,RIGHT(AJ$1,2),""),VLOOKUP($D292,素材!$1:$1016,COLUMN($F$1),FALSE))),VLOOKUP($C292,武器!$1:$998,COLUMN($O$1),FALSE)*VLOOKUP($D292,素材!$1:$1016,COLUMN($E$1),FALSE)/(LEN(VLOOKUP($D292,素材!$1:$1016,COLUMN($F$1),FALSE)) - LEN(SUBSTITUTE(VLOOKUP($D292,素材!$1:$1016,COLUMN($F$1),FALSE), "・", 0)) + 1), 0)</f>
        <v>0</v>
      </c>
      <c r="AK292">
        <f>IF(ISNUMBER(SEARCH(SUBSTITUTE(AK$1,RIGHT(AK$1,2),""),VLOOKUP($D292,素材!$1:$1016,COLUMN($F$1),FALSE))),VLOOKUP($C292,武器!$1:$998,COLUMN($O$1),FALSE)*VLOOKUP($D292,素材!$1:$1016,COLUMN($E$1),FALSE)/(LEN(VLOOKUP($D292,素材!$1:$1016,COLUMN($F$1),FALSE)) - LEN(SUBSTITUTE(VLOOKUP($D292,素材!$1:$1016,COLUMN($F$1),FALSE), "・", 0)) + 1), 0)</f>
        <v>0</v>
      </c>
      <c r="AL292">
        <f>IF(ISNUMBER(SEARCH(SUBSTITUTE(AL$1,RIGHT(AL$1,2),""),VLOOKUP($D292,素材!$1:$1016,COLUMN($F$1),FALSE))),VLOOKUP($C292,武器!$1:$998,COLUMN($O$1),FALSE)*VLOOKUP($D292,素材!$1:$1016,COLUMN($E$1),FALSE)/(LEN(VLOOKUP($D292,素材!$1:$1016,COLUMN($F$1),FALSE)) - LEN(SUBSTITUTE(VLOOKUP($D292,素材!$1:$1016,COLUMN($F$1),FALSE), "・", 0)) + 1), 0)</f>
        <v>0</v>
      </c>
      <c r="AM292">
        <f>IF(ISNUMBER(SEARCH(SUBSTITUTE(AM$1,RIGHT(AM$1,2),""),VLOOKUP($D292,素材!$1:$1016,COLUMN($F$1),FALSE))),VLOOKUP($C292,武器!$1:$998,COLUMN($O$1),FALSE)*VLOOKUP($D292,素材!$1:$1016,COLUMN($E$1),FALSE)/(LEN(VLOOKUP($D292,素材!$1:$1016,COLUMN($F$1),FALSE)) - LEN(SUBSTITUTE(VLOOKUP($D292,素材!$1:$1016,COLUMN($F$1),FALSE), "・", 0)) + 1), 0)</f>
        <v>0</v>
      </c>
      <c r="AN292">
        <f>IF(ISNUMBER(SEARCH(SUBSTITUTE(AN$1,RIGHT(AN$1,2),""),VLOOKUP($D292,素材!$1:$1016,COLUMN($F$1),FALSE))),VLOOKUP($C292,武器!$1:$998,COLUMN($O$1),FALSE)*VLOOKUP($D292,素材!$1:$1016,COLUMN($E$1),FALSE)/(LEN(VLOOKUP($D292,素材!$1:$1016,COLUMN($F$1),FALSE)) - LEN(SUBSTITUTE(VLOOKUP($D292,素材!$1:$1016,COLUMN($F$1),FALSE), "・", 0)) + 1), 0)</f>
        <v>0</v>
      </c>
      <c r="AO292">
        <f>IF(ISNUMBER(SEARCH(SUBSTITUTE(AO$1,RIGHT(AO$1,2),""),VLOOKUP($D292,素材!$1:$1016,COLUMN($F$1),FALSE))),VLOOKUP($C292,武器!$1:$998,COLUMN($O$1),FALSE)*VLOOKUP($D292,素材!$1:$1016,COLUMN($E$1),FALSE)/(LEN(VLOOKUP($D292,素材!$1:$1016,COLUMN($F$1),FALSE)) - LEN(SUBSTITUTE(VLOOKUP($D292,素材!$1:$1016,COLUMN($F$1),FALSE), "・", 0)) + 1), 0)</f>
        <v>0</v>
      </c>
      <c r="AP292">
        <f>IF(ISNUMBER(SEARCH(SUBSTITUTE(AP$1,RIGHT(AP$1,2),""),VLOOKUP($D292,素材!$1:$1016,COLUMN($F$1),FALSE))),VLOOKUP($C292,武器!$1:$998,COLUMN($O$1),FALSE)*VLOOKUP($D292,素材!$1:$1016,COLUMN($E$1),FALSE)/(LEN(VLOOKUP($D292,素材!$1:$1016,COLUMN($F$1),FALSE)) - LEN(SUBSTITUTE(VLOOKUP($D292,素材!$1:$1016,COLUMN($F$1),FALSE), "・", 0)) + 1), 0)</f>
        <v>0</v>
      </c>
      <c r="AQ292">
        <f>IF(ISNUMBER(SEARCH(SUBSTITUTE(AQ$1,RIGHT(AQ$1,2),""),VLOOKUP($D292,素材!$1:$1016,COLUMN($F$1),FALSE))),VLOOKUP($C292,武器!$1:$998,COLUMN($O$1),FALSE)*VLOOKUP($D292,素材!$1:$1016,COLUMN($E$1),FALSE)/(LEN(VLOOKUP($D292,素材!$1:$1016,COLUMN($F$1),FALSE)) - LEN(SUBSTITUTE(VLOOKUP($D292,素材!$1:$1016,COLUMN($F$1),FALSE), "・", 0)) + 1), 0)</f>
        <v>0</v>
      </c>
      <c r="AR292">
        <f>IF(ISNUMBER(SEARCH(SUBSTITUTE(AR$1,RIGHT(AR$1,2),""),VLOOKUP($D292,素材!$1:$1016,COLUMN($F$1),FALSE))),VLOOKUP($C292,武器!$1:$998,COLUMN($O$1),FALSE)*VLOOKUP($D292,素材!$1:$1016,COLUMN($E$1),FALSE)/(LEN(VLOOKUP($D292,素材!$1:$1016,COLUMN($F$1),FALSE)) - LEN(SUBSTITUTE(VLOOKUP($D292,素材!$1:$1016,COLUMN($F$1),FALSE), "・", 0)) + 1), 0)</f>
        <v>0</v>
      </c>
      <c r="AS292">
        <f>IF(ISNUMBER(SEARCH(SUBSTITUTE(AS$1,RIGHT(AS$1,2),""),VLOOKUP($D292,素材!$1:$1016,COLUMN($F$1),FALSE))),VLOOKUP($C292,武器!$1:$998,COLUMN($O$1),FALSE)*VLOOKUP($D292,素材!$1:$1016,COLUMN($E$1),FALSE)/(LEN(VLOOKUP($D292,素材!$1:$1016,COLUMN($F$1),FALSE)) - LEN(SUBSTITUTE(VLOOKUP($D292,素材!$1:$1016,COLUMN($F$1),FALSE), "・", 0)) + 1), 0)</f>
        <v>0</v>
      </c>
      <c r="AT292">
        <f>IF(ISNUMBER(SEARCH(SUBSTITUTE(AT$1,RIGHT(AT$1,2),""),VLOOKUP($D292,素材!$1:$1016,COLUMN($F$1),FALSE))),VLOOKUP($C292,武器!$1:$998,COLUMN($O$1),FALSE)*VLOOKUP($D292,素材!$1:$1016,COLUMN($E$1),FALSE)/(LEN(VLOOKUP($D292,素材!$1:$1016,COLUMN($F$1),FALSE)) - LEN(SUBSTITUTE(VLOOKUP($D292,素材!$1:$1016,COLUMN($F$1),FALSE), "・", 0)) + 1), 0)</f>
        <v>0</v>
      </c>
      <c r="AU292">
        <f>IF(ISNUMBER(SEARCH(SUBSTITUTE(AU$1,RIGHT(AU$1,2),""),VLOOKUP($D292,素材!$1:$1016,COLUMN($F$1),FALSE))),VLOOKUP($C292,武器!$1:$998,COLUMN($O$1),FALSE)*VLOOKUP($D292,素材!$1:$1016,COLUMN($E$1),FALSE)/(LEN(VLOOKUP($D292,素材!$1:$1016,COLUMN($F$1),FALSE)) - LEN(SUBSTITUTE(VLOOKUP($D292,素材!$1:$1016,COLUMN($F$1),FALSE), "・", 0)) + 1), 0)</f>
        <v>0</v>
      </c>
      <c r="AV292">
        <f>IF(ISNUMBER(SEARCH(SUBSTITUTE(AV$1,RIGHT(AV$1,2),""),VLOOKUP($D292,素材!$1:$1016,COLUMN($F$1),FALSE))),VLOOKUP($C292,武器!$1:$998,COLUMN($O$1),FALSE)*VLOOKUP($D292,素材!$1:$1016,COLUMN($E$1),FALSE)/(LEN(VLOOKUP($D292,素材!$1:$1016,COLUMN($F$1),FALSE)) - LEN(SUBSTITUTE(VLOOKUP($D292,素材!$1:$1016,COLUMN($F$1),FALSE), "・", 0)) + 1), 0)</f>
        <v>0</v>
      </c>
      <c r="AW292">
        <f>IF(ISNUMBER(SEARCH(SUBSTITUTE(AW$1,RIGHT(AW$1,2),""),VLOOKUP($D292,素材!$1:$1016,COLUMN($F$1),FALSE))),VLOOKUP($C292,武器!$1:$998,COLUMN($O$1),FALSE)*VLOOKUP($D292,素材!$1:$1016,COLUMN($E$1),FALSE)/(LEN(VLOOKUP($D292,素材!$1:$1016,COLUMN($F$1),FALSE)) - LEN(SUBSTITUTE(VLOOKUP($D292,素材!$1:$1016,COLUMN($F$1),FALSE), "・", 0)) + 1), 0)</f>
        <v>0</v>
      </c>
      <c r="AX292">
        <f>IF(ISNUMBER(SEARCH(SUBSTITUTE(AX$1,RIGHT(AX$1,2),""),VLOOKUP($D292,素材!$1:$1016,COLUMN($F$1),FALSE))),VLOOKUP($C292,武器!$1:$998,COLUMN($O$1),FALSE)*VLOOKUP($D292,素材!$1:$1016,COLUMN($E$1),FALSE)/(LEN(VLOOKUP($D292,素材!$1:$1016,COLUMN($F$1),FALSE)) - LEN(SUBSTITUTE(VLOOKUP($D292,素材!$1:$1016,COLUMN($F$1),FALSE), "・", 0)) + 1), 0)</f>
        <v>0</v>
      </c>
      <c r="AY292">
        <f>IF(ISNUMBER(SEARCH(SUBSTITUTE(AY$1,RIGHT(AY$1,2),""),VLOOKUP($D292,素材!$1:$1016,COLUMN($F$1),FALSE))),VLOOKUP($C292,武器!$1:$998,COLUMN($O$1),FALSE)*VLOOKUP($D292,素材!$1:$1016,COLUMN($E$1),FALSE)/(LEN(VLOOKUP($D292,素材!$1:$1016,COLUMN($F$1),FALSE)) - LEN(SUBSTITUTE(VLOOKUP($D292,素材!$1:$1016,COLUMN($F$1),FALSE), "・", 0)) + 1), 0)</f>
        <v>0</v>
      </c>
      <c r="AZ292">
        <f>IF(ISNUMBER(SEARCH(SUBSTITUTE(AZ$1,RIGHT(AZ$1,2),""),VLOOKUP($D292,素材!$1:$1016,COLUMN($F$1),FALSE))),VLOOKUP($C292,武器!$1:$998,COLUMN($O$1),FALSE)*VLOOKUP($D292,素材!$1:$1016,COLUMN($E$1),FALSE)/(LEN(VLOOKUP($D292,素材!$1:$1016,COLUMN($F$1),FALSE)) - LEN(SUBSTITUTE(VLOOKUP($D292,素材!$1:$1016,COLUMN($F$1),FALSE), "・", 0)) + 1), 0)</f>
        <v>0</v>
      </c>
      <c r="BA292">
        <f>IF(ISNUMBER(SEARCH(SUBSTITUTE(BA$1,RIGHT(BA$1,2),""),VLOOKUP($D292,素材!$1:$1016,COLUMN($F$1),FALSE))),VLOOKUP($C292,武器!$1:$998,COLUMN($O$1),FALSE)*VLOOKUP($D292,素材!$1:$1016,COLUMN($E$1),FALSE)/(LEN(VLOOKUP($D292,素材!$1:$1016,COLUMN($F$1),FALSE)) - LEN(SUBSTITUTE(VLOOKUP($D292,素材!$1:$1016,COLUMN($F$1),FALSE), "・", 0)) + 1), 0)</f>
        <v>0</v>
      </c>
      <c r="BB292">
        <f>IF(ISNUMBER(SEARCH(SUBSTITUTE(BB$1,RIGHT(BB$1,2),""),VLOOKUP($D292,素材!$1:$1016,COLUMN($F$1),FALSE))),VLOOKUP($C292,武器!$1:$998,COLUMN($O$1),FALSE)*VLOOKUP($D292,素材!$1:$1016,COLUMN($E$1),FALSE)/(LEN(VLOOKUP($D292,素材!$1:$1016,COLUMN($F$1),FALSE)) - LEN(SUBSTITUTE(VLOOKUP($D292,素材!$1:$1016,COLUMN($F$1),FALSE), "・", 0)) + 1), 0)</f>
        <v>0</v>
      </c>
      <c r="BC292">
        <f>IF(ISNUMBER(SEARCH(SUBSTITUTE(BC$1,RIGHT(BC$1,2),""),VLOOKUP($D292,素材!$1:$1016,COLUMN($F$1),FALSE))),VLOOKUP($C292,武器!$1:$998,COLUMN($O$1),FALSE)*VLOOKUP($D292,素材!$1:$1016,COLUMN($E$1),FALSE)/(LEN(VLOOKUP($D292,素材!$1:$1016,COLUMN($F$1),FALSE)) - LEN(SUBSTITUTE(VLOOKUP($D292,素材!$1:$1016,COLUMN($F$1),FALSE), "・", 0)) + 1), 0)</f>
        <v>0</v>
      </c>
      <c r="BD292">
        <f>IF(ISNUMBER(SEARCH(SUBSTITUTE(BD$1,RIGHT(BD$1,2),""),VLOOKUP($D292,素材!$1:$1016,COLUMN($F$1),FALSE))),VLOOKUP($C292,武器!$1:$998,COLUMN($O$1),FALSE)*VLOOKUP($D292,素材!$1:$1016,COLUMN($E$1),FALSE)/(LEN(VLOOKUP($D292,素材!$1:$1016,COLUMN($F$1),FALSE)) - LEN(SUBSTITUTE(VLOOKUP($D292,素材!$1:$1016,COLUMN($F$1),FALSE), "・", 0)) + 1), 0)</f>
        <v>0</v>
      </c>
      <c r="BE292">
        <f>IF(ISNUMBER(SEARCH(SUBSTITUTE(BE$1,RIGHT(BE$1,2),""),VLOOKUP($D292,素材!$1:$1016,COLUMN($F$1),FALSE))),VLOOKUP($C292,武器!$1:$998,COLUMN($O$1),FALSE)*VLOOKUP($D292,素材!$1:$1016,COLUMN($E$1),FALSE)/(LEN(VLOOKUP($D292,素材!$1:$1016,COLUMN($F$1),FALSE)) - LEN(SUBSTITUTE(VLOOKUP($D292,素材!$1:$1016,COLUMN($F$1),FALSE), "・", 0)) + 1), 0)</f>
        <v>0</v>
      </c>
      <c r="CL292">
        <f>SUM(G292:I292)</f>
        <v>0</v>
      </c>
      <c r="CM292" s="22" t="str">
        <f>IF(E292="武器",IF(J292-1&gt;SUM(G292:I292),"盾",IF(MAX(G292:I292)=G292,"切断",IF(MAX(G292:I292)=H292,"貫通",IF(MAX(G292:I292)=I292,"打撃","射撃")))),E292)&amp;".webp"</f>
        <v>.webp</v>
      </c>
      <c r="CN292" t="str">
        <f>IFERROR(VLOOKUP($C292,武器!$1:$998,COLUMN(V$1),FALSE)*VLOOKUP($D292,素材!$1:$1016,COLUMN(N$1),FALSE)+IF(CI292="",0,VLOOKUP($CI292,装強!$1:$1008,COLUMN($CK$1),FALSE)),"")</f>
        <v/>
      </c>
      <c r="CO292" t="e">
        <f>VLOOKUP(D292,素材!$A:$O,COLUMN(素材!O$1),FALSE)</f>
        <v>#N/A</v>
      </c>
      <c r="CP292" t="e">
        <f>VLOOKUP(C292,武器!$A:$W,COLUMN(武器!W$1),FALSE)</f>
        <v>#N/A</v>
      </c>
      <c r="CR292" t="str">
        <f t="shared" si="33"/>
        <v>e_292</v>
      </c>
      <c r="CS292" t="e">
        <f t="shared" si="34"/>
        <v>#VALUE!</v>
      </c>
    </row>
    <row r="293" spans="1:97" hidden="1" outlineLevel="1" x14ac:dyDescent="0.4">
      <c r="A293" t="str">
        <f>IF(CI293="",D293&amp;"の"&amp;C293,CI293&amp;"の"&amp;C293)</f>
        <v>の</v>
      </c>
      <c r="B293" t="str">
        <f>IFERROR(IF(CI293="",VLOOKUP($D293,素材!$1:$1016,COLUMN($B$1),FALSE)&amp;"・"&amp;VLOOKUP($C293,武器!$1:$998,COLUMN(B$1),FALSE),VLOOKUP($CI293,装強!$1:$1008,COLUMN($B$1),FALSE)&amp;"・"&amp;VLOOKUP($C293,武器!$1:$998,COLUMN(B$1),FALSE)),"")</f>
        <v/>
      </c>
      <c r="C293" s="24"/>
      <c r="D293" s="24"/>
      <c r="E293" t="str">
        <f>IFERROR(VLOOKUP(C293,武器!$1:$998,COLUMN(C$1),FALSE),"")</f>
        <v/>
      </c>
      <c r="F293" t="str">
        <f>IFERROR(ROUNDDOWN((VLOOKUP($C293,武器!$1:$998,COLUMN(D$1),FALSE)+IFERROR(VLOOKUP($CI293,装強!$1:$999,COLUMN(F$1),FALSE),0))*VLOOKUP($D293,素材!$1:$1016,COLUMN(D$1),FALSE),0),"")</f>
        <v/>
      </c>
      <c r="G293" t="str">
        <f>IFERROR(ROUNDDOWN((VLOOKUP($C293,武器!$1:$998,COLUMN(E$1),FALSE)+IFERROR(VLOOKUP($CI293,装強!$1:$999,COLUMN(G$1),FALSE),0))*VLOOKUP($D293,素材!$1:$1016,COLUMN($E$1),FALSE),0),"")</f>
        <v/>
      </c>
      <c r="H293" t="str">
        <f>IFERROR(ROUNDDOWN((VLOOKUP($C293,武器!$1:$998,COLUMN(F$1),FALSE)+IFERROR(VLOOKUP($CI293,装強!$1:$999,COLUMN(H$1),FALSE),0))*VLOOKUP($D293,素材!$1:$1016,COLUMN($E$1),FALSE),0),"")</f>
        <v/>
      </c>
      <c r="I293" t="str">
        <f>IFERROR(ROUNDDOWN((VLOOKUP($C293,武器!$1:$998,COLUMN(G$1),FALSE)+IFERROR(VLOOKUP($CI293,装強!$1:$999,COLUMN(I$1),FALSE),0))*VLOOKUP($D293,素材!$1:$1016,COLUMN($E$1),FALSE),0),"")</f>
        <v/>
      </c>
      <c r="J293" t="str">
        <f>IFERROR(ROUNDDOWN((VLOOKUP($C293,武器!$1:$998,COLUMN(H$1),FALSE)+IFERROR(VLOOKUP($CI293,装強!$1:$999,COLUMN(J$1),FALSE),0))*VLOOKUP($D293,素材!$1:$1016,COLUMN($E$1),FALSE),0),"")</f>
        <v/>
      </c>
      <c r="K293" t="str">
        <f>IFERROR(ROUNDDOWN((VLOOKUP($C293,武器!$1:$998,COLUMN(I$1),FALSE)+IFERROR(VLOOKUP($CI293,装強!$1:$999,COLUMN(K$1),FALSE),0))*VLOOKUP($D293,素材!$1:$1016,COLUMN($E$1),FALSE),0),"")</f>
        <v/>
      </c>
      <c r="L293" t="str">
        <f>IFERROR(VLOOKUP($D293,素材!$1:$1016,COLUMN($F$1),FALSE),"")</f>
        <v/>
      </c>
      <c r="M293" t="str">
        <f>IFERROR(VLOOKUP($C293,武器!$1:$998,COLUMN(AA$1),FALSE)*VLOOKUP($D293,素材!$1:$1016,COLUMN($G$1),FALSE),"")</f>
        <v/>
      </c>
      <c r="N293" t="str">
        <f>IFERROR(VLOOKUP($C293,武器!$1:$998,COLUMN(I$1),FALSE),"")</f>
        <v/>
      </c>
      <c r="O293" s="23" t="str">
        <f>IFERROR((VLOOKUP($C293,武器!$1:$998,COLUMN(K$1),FALSE)+VLOOKUP($D293,素材!$1:$1016,COLUMN(H$1),FALSE))*100+IFERROR(VLOOKUP($CI293,装強!$1:$999,COLUMN(O$1),FALSE),0),"")</f>
        <v/>
      </c>
      <c r="P293" s="23" t="str">
        <f>IFERROR((VLOOKUP($C293,武器!$1:$998,COLUMN(L$1),FALSE)+VLOOKUP($D293,素材!$1:$1016,COLUMN(I$1),FALSE))*100+IFERROR(VLOOKUP($CI293,装強!$1:$999,COLUMN(P$1),FALSE),0),"")</f>
        <v/>
      </c>
      <c r="Q293" t="str">
        <f>IFERROR(ROUNDUP(VLOOKUP($C293,武器!$1:$998,COLUMN(M$1),FALSE)*(VLOOKUP($D293,素材!$1:$1002,COLUMN(D$1),FALSE)/100),1),"")</f>
        <v/>
      </c>
      <c r="R293" t="str">
        <f>IFERROR(ROUNDUP(VLOOKUP($C293,武器!$1:$998,COLUMN(N$1),FALSE)*(VLOOKUP($D293,素材!$1:$1002,COLUMN(D$1),FALSE)/100),1),"")</f>
        <v/>
      </c>
      <c r="S293" t="str">
        <f>IFERROR(VLOOKUP($C293,武器!$1:$998,COLUMN(P$1),FALSE),"")</f>
        <v/>
      </c>
      <c r="T293" t="str">
        <f>IFERROR(VLOOKUP($C293,武器!$1:$998,COLUMN(Q$1),FALSE),"")</f>
        <v/>
      </c>
      <c r="U293" t="str">
        <f>IFERROR(VLOOKUP($C293,武器!$1:$998,COLUMN(R$1),FALSE),"")</f>
        <v/>
      </c>
      <c r="V293" t="str">
        <f>IFERROR(VLOOKUP($C293,武器!$1:$998,COLUMN(Q$1),FALSE),"")</f>
        <v/>
      </c>
      <c r="W293" t="str">
        <f>IFERROR(VLOOKUP($C293,武器!$1:$998,COLUMN(T$1),FALSE),"")</f>
        <v/>
      </c>
      <c r="Y293" t="str">
        <f>IFERROR(VLOOKUP($C293,武器!$1:$998,COLUMN(U$1),FALSE),"")</f>
        <v/>
      </c>
      <c r="Z293" t="str">
        <f>IFERROR(ROUNDUP(VLOOKUP($C293,武器!$1:$998,COLUMN(O$1),FALSE)*VLOOKUP($D293,素材!$1:$1016,COLUMN(E$1),FALSE),1),"")</f>
        <v/>
      </c>
      <c r="AA293">
        <f>IF(ISNUMBER(SEARCH(SUBSTITUTE(AA$1,RIGHT(AA$1,2),""),VLOOKUP($D293,素材!$1:$1016,COLUMN($F$1),FALSE))),VLOOKUP($C293,武器!$1:$998,COLUMN($O$1),FALSE)*VLOOKUP($D293,素材!$1:$1016,COLUMN($E$1),FALSE)/(LEN(VLOOKUP($D293,素材!$1:$1016,COLUMN($F$1),FALSE)) - LEN(SUBSTITUTE(VLOOKUP($D293,素材!$1:$1016,COLUMN($F$1),FALSE), "・", 0)) + 1), 0)</f>
        <v>0</v>
      </c>
      <c r="AB293">
        <f>IF(ISNUMBER(SEARCH(SUBSTITUTE(AB$1,RIGHT(AB$1,2),""),VLOOKUP($D293,素材!$1:$1016,COLUMN($F$1),FALSE))),VLOOKUP($C293,武器!$1:$998,COLUMN($O$1),FALSE)*VLOOKUP($D293,素材!$1:$1016,COLUMN($E$1),FALSE)/(LEN(VLOOKUP($D293,素材!$1:$1016,COLUMN($F$1),FALSE)) - LEN(SUBSTITUTE(VLOOKUP($D293,素材!$1:$1016,COLUMN($F$1),FALSE), "・", 0)) + 1), 0)</f>
        <v>0</v>
      </c>
      <c r="AC293">
        <f>IF(ISNUMBER(SEARCH(SUBSTITUTE(AC$1,RIGHT(AC$1,2),""),VLOOKUP($D293,素材!$1:$1016,COLUMN($F$1),FALSE))),VLOOKUP($C293,武器!$1:$998,COLUMN($O$1),FALSE)*VLOOKUP($D293,素材!$1:$1016,COLUMN($E$1),FALSE)/(LEN(VLOOKUP($D293,素材!$1:$1016,COLUMN($F$1),FALSE)) - LEN(SUBSTITUTE(VLOOKUP($D293,素材!$1:$1016,COLUMN($F$1),FALSE), "・", 0)) + 1), 0)</f>
        <v>0</v>
      </c>
      <c r="AD293">
        <f>IF(ISNUMBER(SEARCH(SUBSTITUTE(AD$1,RIGHT(AD$1,2),""),VLOOKUP($D293,素材!$1:$1016,COLUMN($F$1),FALSE))),VLOOKUP($C293,武器!$1:$998,COLUMN($O$1),FALSE)*VLOOKUP($D293,素材!$1:$1016,COLUMN($E$1),FALSE)/(LEN(VLOOKUP($D293,素材!$1:$1016,COLUMN($F$1),FALSE)) - LEN(SUBSTITUTE(VLOOKUP($D293,素材!$1:$1016,COLUMN($F$1),FALSE), "・", 0)) + 1), 0)</f>
        <v>0</v>
      </c>
      <c r="AE293">
        <f>IF(ISNUMBER(SEARCH(SUBSTITUTE(AE$1,RIGHT(AE$1,2),""),VLOOKUP($D293,素材!$1:$1016,COLUMN($F$1),FALSE))),VLOOKUP($C293,武器!$1:$998,COLUMN($O$1),FALSE)*VLOOKUP($D293,素材!$1:$1016,COLUMN($E$1),FALSE)/(LEN(VLOOKUP($D293,素材!$1:$1016,COLUMN($F$1),FALSE)) - LEN(SUBSTITUTE(VLOOKUP($D293,素材!$1:$1016,COLUMN($F$1),FALSE), "・", 0)) + 1), 0)</f>
        <v>0</v>
      </c>
      <c r="AF293">
        <f>IF(ISNUMBER(SEARCH(SUBSTITUTE(AF$1,RIGHT(AF$1,2),""),VLOOKUP($D293,素材!$1:$1016,COLUMN($F$1),FALSE))),VLOOKUP($C293,武器!$1:$998,COLUMN($O$1),FALSE)*VLOOKUP($D293,素材!$1:$1016,COLUMN($E$1),FALSE)/(LEN(VLOOKUP($D293,素材!$1:$1016,COLUMN($F$1),FALSE)) - LEN(SUBSTITUTE(VLOOKUP($D293,素材!$1:$1016,COLUMN($F$1),FALSE), "・", 0)) + 1), 0)</f>
        <v>0</v>
      </c>
      <c r="AG293">
        <f>IF(ISNUMBER(SEARCH(SUBSTITUTE(AG$1,RIGHT(AG$1,2),""),VLOOKUP($D293,素材!$1:$1016,COLUMN($F$1),FALSE))),VLOOKUP($C293,武器!$1:$998,COLUMN($O$1),FALSE)*VLOOKUP($D293,素材!$1:$1016,COLUMN($E$1),FALSE)/(LEN(VLOOKUP($D293,素材!$1:$1016,COLUMN($F$1),FALSE)) - LEN(SUBSTITUTE(VLOOKUP($D293,素材!$1:$1016,COLUMN($F$1),FALSE), "・", 0)) + 1), 0)</f>
        <v>0</v>
      </c>
      <c r="AH293">
        <f>IF(ISNUMBER(SEARCH(SUBSTITUTE(AH$1,RIGHT(AH$1,2),""),VLOOKUP($D293,素材!$1:$1016,COLUMN($F$1),FALSE))),VLOOKUP($C293,武器!$1:$998,COLUMN($O$1),FALSE)*VLOOKUP($D293,素材!$1:$1016,COLUMN($E$1),FALSE)/(LEN(VLOOKUP($D293,素材!$1:$1016,COLUMN($F$1),FALSE)) - LEN(SUBSTITUTE(VLOOKUP($D293,素材!$1:$1016,COLUMN($F$1),FALSE), "・", 0)) + 1), 0)</f>
        <v>0</v>
      </c>
      <c r="AI293">
        <f>IF(ISNUMBER(SEARCH(SUBSTITUTE(AI$1,RIGHT(AI$1,2),""),VLOOKUP($D293,素材!$1:$1016,COLUMN($F$1),FALSE))),VLOOKUP($C293,武器!$1:$998,COLUMN($O$1),FALSE)*VLOOKUP($D293,素材!$1:$1016,COLUMN($E$1),FALSE)/(LEN(VLOOKUP($D293,素材!$1:$1016,COLUMN($F$1),FALSE)) - LEN(SUBSTITUTE(VLOOKUP($D293,素材!$1:$1016,COLUMN($F$1),FALSE), "・", 0)) + 1), 0)</f>
        <v>0</v>
      </c>
      <c r="AJ293">
        <f>IF(ISNUMBER(SEARCH(SUBSTITUTE(AJ$1,RIGHT(AJ$1,2),""),VLOOKUP($D293,素材!$1:$1016,COLUMN($F$1),FALSE))),VLOOKUP($C293,武器!$1:$998,COLUMN($O$1),FALSE)*VLOOKUP($D293,素材!$1:$1016,COLUMN($E$1),FALSE)/(LEN(VLOOKUP($D293,素材!$1:$1016,COLUMN($F$1),FALSE)) - LEN(SUBSTITUTE(VLOOKUP($D293,素材!$1:$1016,COLUMN($F$1),FALSE), "・", 0)) + 1), 0)</f>
        <v>0</v>
      </c>
      <c r="AK293">
        <f>IF(ISNUMBER(SEARCH(SUBSTITUTE(AK$1,RIGHT(AK$1,2),""),VLOOKUP($D293,素材!$1:$1016,COLUMN($F$1),FALSE))),VLOOKUP($C293,武器!$1:$998,COLUMN($O$1),FALSE)*VLOOKUP($D293,素材!$1:$1016,COLUMN($E$1),FALSE)/(LEN(VLOOKUP($D293,素材!$1:$1016,COLUMN($F$1),FALSE)) - LEN(SUBSTITUTE(VLOOKUP($D293,素材!$1:$1016,COLUMN($F$1),FALSE), "・", 0)) + 1), 0)</f>
        <v>0</v>
      </c>
      <c r="AL293">
        <f>IF(ISNUMBER(SEARCH(SUBSTITUTE(AL$1,RIGHT(AL$1,2),""),VLOOKUP($D293,素材!$1:$1016,COLUMN($F$1),FALSE))),VLOOKUP($C293,武器!$1:$998,COLUMN($O$1),FALSE)*VLOOKUP($D293,素材!$1:$1016,COLUMN($E$1),FALSE)/(LEN(VLOOKUP($D293,素材!$1:$1016,COLUMN($F$1),FALSE)) - LEN(SUBSTITUTE(VLOOKUP($D293,素材!$1:$1016,COLUMN($F$1),FALSE), "・", 0)) + 1), 0)</f>
        <v>0</v>
      </c>
      <c r="AM293">
        <f>IF(ISNUMBER(SEARCH(SUBSTITUTE(AM$1,RIGHT(AM$1,2),""),VLOOKUP($D293,素材!$1:$1016,COLUMN($F$1),FALSE))),VLOOKUP($C293,武器!$1:$998,COLUMN($O$1),FALSE)*VLOOKUP($D293,素材!$1:$1016,COLUMN($E$1),FALSE)/(LEN(VLOOKUP($D293,素材!$1:$1016,COLUMN($F$1),FALSE)) - LEN(SUBSTITUTE(VLOOKUP($D293,素材!$1:$1016,COLUMN($F$1),FALSE), "・", 0)) + 1), 0)</f>
        <v>0</v>
      </c>
      <c r="AN293">
        <f>IF(ISNUMBER(SEARCH(SUBSTITUTE(AN$1,RIGHT(AN$1,2),""),VLOOKUP($D293,素材!$1:$1016,COLUMN($F$1),FALSE))),VLOOKUP($C293,武器!$1:$998,COLUMN($O$1),FALSE)*VLOOKUP($D293,素材!$1:$1016,COLUMN($E$1),FALSE)/(LEN(VLOOKUP($D293,素材!$1:$1016,COLUMN($F$1),FALSE)) - LEN(SUBSTITUTE(VLOOKUP($D293,素材!$1:$1016,COLUMN($F$1),FALSE), "・", 0)) + 1), 0)</f>
        <v>0</v>
      </c>
      <c r="AO293">
        <f>IF(ISNUMBER(SEARCH(SUBSTITUTE(AO$1,RIGHT(AO$1,2),""),VLOOKUP($D293,素材!$1:$1016,COLUMN($F$1),FALSE))),VLOOKUP($C293,武器!$1:$998,COLUMN($O$1),FALSE)*VLOOKUP($D293,素材!$1:$1016,COLUMN($E$1),FALSE)/(LEN(VLOOKUP($D293,素材!$1:$1016,COLUMN($F$1),FALSE)) - LEN(SUBSTITUTE(VLOOKUP($D293,素材!$1:$1016,COLUMN($F$1),FALSE), "・", 0)) + 1), 0)</f>
        <v>0</v>
      </c>
      <c r="AP293">
        <f>IF(ISNUMBER(SEARCH(SUBSTITUTE(AP$1,RIGHT(AP$1,2),""),VLOOKUP($D293,素材!$1:$1016,COLUMN($F$1),FALSE))),VLOOKUP($C293,武器!$1:$998,COLUMN($O$1),FALSE)*VLOOKUP($D293,素材!$1:$1016,COLUMN($E$1),FALSE)/(LEN(VLOOKUP($D293,素材!$1:$1016,COLUMN($F$1),FALSE)) - LEN(SUBSTITUTE(VLOOKUP($D293,素材!$1:$1016,COLUMN($F$1),FALSE), "・", 0)) + 1), 0)</f>
        <v>0</v>
      </c>
      <c r="AQ293">
        <f>IF(ISNUMBER(SEARCH(SUBSTITUTE(AQ$1,RIGHT(AQ$1,2),""),VLOOKUP($D293,素材!$1:$1016,COLUMN($F$1),FALSE))),VLOOKUP($C293,武器!$1:$998,COLUMN($O$1),FALSE)*VLOOKUP($D293,素材!$1:$1016,COLUMN($E$1),FALSE)/(LEN(VLOOKUP($D293,素材!$1:$1016,COLUMN($F$1),FALSE)) - LEN(SUBSTITUTE(VLOOKUP($D293,素材!$1:$1016,COLUMN($F$1),FALSE), "・", 0)) + 1), 0)</f>
        <v>0</v>
      </c>
      <c r="AR293">
        <f>IF(ISNUMBER(SEARCH(SUBSTITUTE(AR$1,RIGHT(AR$1,2),""),VLOOKUP($D293,素材!$1:$1016,COLUMN($F$1),FALSE))),VLOOKUP($C293,武器!$1:$998,COLUMN($O$1),FALSE)*VLOOKUP($D293,素材!$1:$1016,COLUMN($E$1),FALSE)/(LEN(VLOOKUP($D293,素材!$1:$1016,COLUMN($F$1),FALSE)) - LEN(SUBSTITUTE(VLOOKUP($D293,素材!$1:$1016,COLUMN($F$1),FALSE), "・", 0)) + 1), 0)</f>
        <v>0</v>
      </c>
      <c r="AS293">
        <f>IF(ISNUMBER(SEARCH(SUBSTITUTE(AS$1,RIGHT(AS$1,2),""),VLOOKUP($D293,素材!$1:$1016,COLUMN($F$1),FALSE))),VLOOKUP($C293,武器!$1:$998,COLUMN($O$1),FALSE)*VLOOKUP($D293,素材!$1:$1016,COLUMN($E$1),FALSE)/(LEN(VLOOKUP($D293,素材!$1:$1016,COLUMN($F$1),FALSE)) - LEN(SUBSTITUTE(VLOOKUP($D293,素材!$1:$1016,COLUMN($F$1),FALSE), "・", 0)) + 1), 0)</f>
        <v>0</v>
      </c>
      <c r="AT293">
        <f>IF(ISNUMBER(SEARCH(SUBSTITUTE(AT$1,RIGHT(AT$1,2),""),VLOOKUP($D293,素材!$1:$1016,COLUMN($F$1),FALSE))),VLOOKUP($C293,武器!$1:$998,COLUMN($O$1),FALSE)*VLOOKUP($D293,素材!$1:$1016,COLUMN($E$1),FALSE)/(LEN(VLOOKUP($D293,素材!$1:$1016,COLUMN($F$1),FALSE)) - LEN(SUBSTITUTE(VLOOKUP($D293,素材!$1:$1016,COLUMN($F$1),FALSE), "・", 0)) + 1), 0)</f>
        <v>0</v>
      </c>
      <c r="AU293">
        <f>IF(ISNUMBER(SEARCH(SUBSTITUTE(AU$1,RIGHT(AU$1,2),""),VLOOKUP($D293,素材!$1:$1016,COLUMN($F$1),FALSE))),VLOOKUP($C293,武器!$1:$998,COLUMN($O$1),FALSE)*VLOOKUP($D293,素材!$1:$1016,COLUMN($E$1),FALSE)/(LEN(VLOOKUP($D293,素材!$1:$1016,COLUMN($F$1),FALSE)) - LEN(SUBSTITUTE(VLOOKUP($D293,素材!$1:$1016,COLUMN($F$1),FALSE), "・", 0)) + 1), 0)</f>
        <v>0</v>
      </c>
      <c r="AV293">
        <f>IF(ISNUMBER(SEARCH(SUBSTITUTE(AV$1,RIGHT(AV$1,2),""),VLOOKUP($D293,素材!$1:$1016,COLUMN($F$1),FALSE))),VLOOKUP($C293,武器!$1:$998,COLUMN($O$1),FALSE)*VLOOKUP($D293,素材!$1:$1016,COLUMN($E$1),FALSE)/(LEN(VLOOKUP($D293,素材!$1:$1016,COLUMN($F$1),FALSE)) - LEN(SUBSTITUTE(VLOOKUP($D293,素材!$1:$1016,COLUMN($F$1),FALSE), "・", 0)) + 1), 0)</f>
        <v>0</v>
      </c>
      <c r="AW293">
        <f>IF(ISNUMBER(SEARCH(SUBSTITUTE(AW$1,RIGHT(AW$1,2),""),VLOOKUP($D293,素材!$1:$1016,COLUMN($F$1),FALSE))),VLOOKUP($C293,武器!$1:$998,COLUMN($O$1),FALSE)*VLOOKUP($D293,素材!$1:$1016,COLUMN($E$1),FALSE)/(LEN(VLOOKUP($D293,素材!$1:$1016,COLUMN($F$1),FALSE)) - LEN(SUBSTITUTE(VLOOKUP($D293,素材!$1:$1016,COLUMN($F$1),FALSE), "・", 0)) + 1), 0)</f>
        <v>0</v>
      </c>
      <c r="AX293">
        <f>IF(ISNUMBER(SEARCH(SUBSTITUTE(AX$1,RIGHT(AX$1,2),""),VLOOKUP($D293,素材!$1:$1016,COLUMN($F$1),FALSE))),VLOOKUP($C293,武器!$1:$998,COLUMN($O$1),FALSE)*VLOOKUP($D293,素材!$1:$1016,COLUMN($E$1),FALSE)/(LEN(VLOOKUP($D293,素材!$1:$1016,COLUMN($F$1),FALSE)) - LEN(SUBSTITUTE(VLOOKUP($D293,素材!$1:$1016,COLUMN($F$1),FALSE), "・", 0)) + 1), 0)</f>
        <v>0</v>
      </c>
      <c r="AY293">
        <f>IF(ISNUMBER(SEARCH(SUBSTITUTE(AY$1,RIGHT(AY$1,2),""),VLOOKUP($D293,素材!$1:$1016,COLUMN($F$1),FALSE))),VLOOKUP($C293,武器!$1:$998,COLUMN($O$1),FALSE)*VLOOKUP($D293,素材!$1:$1016,COLUMN($E$1),FALSE)/(LEN(VLOOKUP($D293,素材!$1:$1016,COLUMN($F$1),FALSE)) - LEN(SUBSTITUTE(VLOOKUP($D293,素材!$1:$1016,COLUMN($F$1),FALSE), "・", 0)) + 1), 0)</f>
        <v>0</v>
      </c>
      <c r="AZ293">
        <f>IF(ISNUMBER(SEARCH(SUBSTITUTE(AZ$1,RIGHT(AZ$1,2),""),VLOOKUP($D293,素材!$1:$1016,COLUMN($F$1),FALSE))),VLOOKUP($C293,武器!$1:$998,COLUMN($O$1),FALSE)*VLOOKUP($D293,素材!$1:$1016,COLUMN($E$1),FALSE)/(LEN(VLOOKUP($D293,素材!$1:$1016,COLUMN($F$1),FALSE)) - LEN(SUBSTITUTE(VLOOKUP($D293,素材!$1:$1016,COLUMN($F$1),FALSE), "・", 0)) + 1), 0)</f>
        <v>0</v>
      </c>
      <c r="BA293">
        <f>IF(ISNUMBER(SEARCH(SUBSTITUTE(BA$1,RIGHT(BA$1,2),""),VLOOKUP($D293,素材!$1:$1016,COLUMN($F$1),FALSE))),VLOOKUP($C293,武器!$1:$998,COLUMN($O$1),FALSE)*VLOOKUP($D293,素材!$1:$1016,COLUMN($E$1),FALSE)/(LEN(VLOOKUP($D293,素材!$1:$1016,COLUMN($F$1),FALSE)) - LEN(SUBSTITUTE(VLOOKUP($D293,素材!$1:$1016,COLUMN($F$1),FALSE), "・", 0)) + 1), 0)</f>
        <v>0</v>
      </c>
      <c r="BB293">
        <f>IF(ISNUMBER(SEARCH(SUBSTITUTE(BB$1,RIGHT(BB$1,2),""),VLOOKUP($D293,素材!$1:$1016,COLUMN($F$1),FALSE))),VLOOKUP($C293,武器!$1:$998,COLUMN($O$1),FALSE)*VLOOKUP($D293,素材!$1:$1016,COLUMN($E$1),FALSE)/(LEN(VLOOKUP($D293,素材!$1:$1016,COLUMN($F$1),FALSE)) - LEN(SUBSTITUTE(VLOOKUP($D293,素材!$1:$1016,COLUMN($F$1),FALSE), "・", 0)) + 1), 0)</f>
        <v>0</v>
      </c>
      <c r="BC293">
        <f>IF(ISNUMBER(SEARCH(SUBSTITUTE(BC$1,RIGHT(BC$1,2),""),VLOOKUP($D293,素材!$1:$1016,COLUMN($F$1),FALSE))),VLOOKUP($C293,武器!$1:$998,COLUMN($O$1),FALSE)*VLOOKUP($D293,素材!$1:$1016,COLUMN($E$1),FALSE)/(LEN(VLOOKUP($D293,素材!$1:$1016,COLUMN($F$1),FALSE)) - LEN(SUBSTITUTE(VLOOKUP($D293,素材!$1:$1016,COLUMN($F$1),FALSE), "・", 0)) + 1), 0)</f>
        <v>0</v>
      </c>
      <c r="BD293">
        <f>IF(ISNUMBER(SEARCH(SUBSTITUTE(BD$1,RIGHT(BD$1,2),""),VLOOKUP($D293,素材!$1:$1016,COLUMN($F$1),FALSE))),VLOOKUP($C293,武器!$1:$998,COLUMN($O$1),FALSE)*VLOOKUP($D293,素材!$1:$1016,COLUMN($E$1),FALSE)/(LEN(VLOOKUP($D293,素材!$1:$1016,COLUMN($F$1),FALSE)) - LEN(SUBSTITUTE(VLOOKUP($D293,素材!$1:$1016,COLUMN($F$1),FALSE), "・", 0)) + 1), 0)</f>
        <v>0</v>
      </c>
      <c r="BE293">
        <f>IF(ISNUMBER(SEARCH(SUBSTITUTE(BE$1,RIGHT(BE$1,2),""),VLOOKUP($D293,素材!$1:$1016,COLUMN($F$1),FALSE))),VLOOKUP($C293,武器!$1:$998,COLUMN($O$1),FALSE)*VLOOKUP($D293,素材!$1:$1016,COLUMN($E$1),FALSE)/(LEN(VLOOKUP($D293,素材!$1:$1016,COLUMN($F$1),FALSE)) - LEN(SUBSTITUTE(VLOOKUP($D293,素材!$1:$1016,COLUMN($F$1),FALSE), "・", 0)) + 1), 0)</f>
        <v>0</v>
      </c>
      <c r="CL293">
        <f>SUM(G293:I293)</f>
        <v>0</v>
      </c>
      <c r="CM293" s="22" t="str">
        <f>IF(E293="武器",IF(J293-1&gt;SUM(G293:I293),"盾",IF(MAX(G293:I293)=G293,"切断",IF(MAX(G293:I293)=H293,"貫通",IF(MAX(G293:I293)=I293,"打撃","射撃")))),E293)&amp;".webp"</f>
        <v>.webp</v>
      </c>
      <c r="CN293" t="str">
        <f>IFERROR(VLOOKUP($C293,武器!$1:$998,COLUMN(V$1),FALSE)*VLOOKUP($D293,素材!$1:$1016,COLUMN(N$1),FALSE)+IF(CI293="",0,VLOOKUP($CI293,装強!$1:$1008,COLUMN($CK$1),FALSE)),"")</f>
        <v/>
      </c>
      <c r="CO293" t="e">
        <f>VLOOKUP(D293,素材!$A:$O,COLUMN(素材!O$1),FALSE)</f>
        <v>#N/A</v>
      </c>
      <c r="CP293" t="e">
        <f>VLOOKUP(C293,武器!$A:$W,COLUMN(武器!W$1),FALSE)</f>
        <v>#N/A</v>
      </c>
      <c r="CR293" t="str">
        <f t="shared" si="33"/>
        <v>e_293</v>
      </c>
      <c r="CS293" t="e">
        <f t="shared" si="34"/>
        <v>#VALUE!</v>
      </c>
    </row>
    <row r="294" spans="1:97" hidden="1" outlineLevel="1" x14ac:dyDescent="0.4">
      <c r="A294" t="str">
        <f>IF(CI294="",D294&amp;"の"&amp;C294,CI294&amp;"の"&amp;C294)</f>
        <v>の</v>
      </c>
      <c r="B294" t="str">
        <f>IFERROR(IF(CI294="",VLOOKUP($D294,素材!$1:$1016,COLUMN($B$1),FALSE)&amp;"・"&amp;VLOOKUP($C294,武器!$1:$998,COLUMN(B$1),FALSE),VLOOKUP($CI294,装強!$1:$1008,COLUMN($B$1),FALSE)&amp;"・"&amp;VLOOKUP($C294,武器!$1:$998,COLUMN(B$1),FALSE)),"")</f>
        <v/>
      </c>
      <c r="C294" s="24"/>
      <c r="D294" s="24"/>
      <c r="E294" t="str">
        <f>IFERROR(VLOOKUP(C294,武器!$1:$998,COLUMN(C$1),FALSE),"")</f>
        <v/>
      </c>
      <c r="F294" t="str">
        <f>IFERROR(ROUNDDOWN((VLOOKUP($C294,武器!$1:$998,COLUMN(D$1),FALSE)+IFERROR(VLOOKUP($CI294,装強!$1:$999,COLUMN(F$1),FALSE),0))*VLOOKUP($D294,素材!$1:$1016,COLUMN(D$1),FALSE),0),"")</f>
        <v/>
      </c>
      <c r="G294" t="str">
        <f>IFERROR(ROUNDDOWN((VLOOKUP($C294,武器!$1:$998,COLUMN(E$1),FALSE)+IFERROR(VLOOKUP($CI294,装強!$1:$999,COLUMN(G$1),FALSE),0))*VLOOKUP($D294,素材!$1:$1016,COLUMN($E$1),FALSE),0),"")</f>
        <v/>
      </c>
      <c r="H294" t="str">
        <f>IFERROR(ROUNDDOWN((VLOOKUP($C294,武器!$1:$998,COLUMN(F$1),FALSE)+IFERROR(VLOOKUP($CI294,装強!$1:$999,COLUMN(H$1),FALSE),0))*VLOOKUP($D294,素材!$1:$1016,COLUMN($E$1),FALSE),0),"")</f>
        <v/>
      </c>
      <c r="I294" t="str">
        <f>IFERROR(ROUNDDOWN((VLOOKUP($C294,武器!$1:$998,COLUMN(G$1),FALSE)+IFERROR(VLOOKUP($CI294,装強!$1:$999,COLUMN(I$1),FALSE),0))*VLOOKUP($D294,素材!$1:$1016,COLUMN($E$1),FALSE),0),"")</f>
        <v/>
      </c>
      <c r="J294" t="str">
        <f>IFERROR(ROUNDDOWN((VLOOKUP($C294,武器!$1:$998,COLUMN(H$1),FALSE)+IFERROR(VLOOKUP($CI294,装強!$1:$999,COLUMN(J$1),FALSE),0))*VLOOKUP($D294,素材!$1:$1016,COLUMN($E$1),FALSE),0),"")</f>
        <v/>
      </c>
      <c r="K294" t="str">
        <f>IFERROR(ROUNDDOWN((VLOOKUP($C294,武器!$1:$998,COLUMN(I$1),FALSE)+IFERROR(VLOOKUP($CI294,装強!$1:$999,COLUMN(K$1),FALSE),0))*VLOOKUP($D294,素材!$1:$1016,COLUMN($E$1),FALSE),0),"")</f>
        <v/>
      </c>
      <c r="L294" t="str">
        <f>IFERROR(VLOOKUP($D294,素材!$1:$1016,COLUMN($F$1),FALSE),"")</f>
        <v/>
      </c>
      <c r="M294" t="str">
        <f>IFERROR(VLOOKUP($C294,武器!$1:$998,COLUMN(AA$1),FALSE)*VLOOKUP($D294,素材!$1:$1016,COLUMN($G$1),FALSE),"")</f>
        <v/>
      </c>
      <c r="N294" t="str">
        <f>IFERROR(VLOOKUP($C294,武器!$1:$998,COLUMN(I$1),FALSE),"")</f>
        <v/>
      </c>
      <c r="O294" s="23" t="str">
        <f>IFERROR((VLOOKUP($C294,武器!$1:$998,COLUMN(K$1),FALSE)+VLOOKUP($D294,素材!$1:$1016,COLUMN(H$1),FALSE))*100+IFERROR(VLOOKUP($CI294,装強!$1:$999,COLUMN(O$1),FALSE),0),"")</f>
        <v/>
      </c>
      <c r="P294" s="23" t="str">
        <f>IFERROR((VLOOKUP($C294,武器!$1:$998,COLUMN(L$1),FALSE)+VLOOKUP($D294,素材!$1:$1016,COLUMN(I$1),FALSE))*100+IFERROR(VLOOKUP($CI294,装強!$1:$999,COLUMN(P$1),FALSE),0),"")</f>
        <v/>
      </c>
      <c r="Q294" t="str">
        <f>IFERROR(ROUNDUP(VLOOKUP($C294,武器!$1:$998,COLUMN(M$1),FALSE)*(VLOOKUP($D294,素材!$1:$1002,COLUMN(D$1),FALSE)/100),1),"")</f>
        <v/>
      </c>
      <c r="R294" t="str">
        <f>IFERROR(ROUNDUP(VLOOKUP($C294,武器!$1:$998,COLUMN(N$1),FALSE)*(VLOOKUP($D294,素材!$1:$1002,COLUMN(D$1),FALSE)/100),1),"")</f>
        <v/>
      </c>
      <c r="S294" t="str">
        <f>IFERROR(VLOOKUP($C294,武器!$1:$998,COLUMN(P$1),FALSE),"")</f>
        <v/>
      </c>
      <c r="T294" t="str">
        <f>IFERROR(VLOOKUP($C294,武器!$1:$998,COLUMN(Q$1),FALSE),"")</f>
        <v/>
      </c>
      <c r="U294" t="str">
        <f>IFERROR(VLOOKUP($C294,武器!$1:$998,COLUMN(R$1),FALSE),"")</f>
        <v/>
      </c>
      <c r="V294" t="str">
        <f>IFERROR(VLOOKUP($C294,武器!$1:$998,COLUMN(Q$1),FALSE),"")</f>
        <v/>
      </c>
      <c r="W294" t="str">
        <f>IFERROR(VLOOKUP($C294,武器!$1:$998,COLUMN(T$1),FALSE),"")</f>
        <v/>
      </c>
      <c r="Y294" t="str">
        <f>IFERROR(VLOOKUP($C294,武器!$1:$998,COLUMN(U$1),FALSE),"")</f>
        <v/>
      </c>
      <c r="Z294" t="str">
        <f>IFERROR(ROUNDUP(VLOOKUP($C294,武器!$1:$998,COLUMN(O$1),FALSE)*VLOOKUP($D294,素材!$1:$1016,COLUMN(E$1),FALSE),1),"")</f>
        <v/>
      </c>
      <c r="AA294">
        <f>IF(ISNUMBER(SEARCH(SUBSTITUTE(AA$1,RIGHT(AA$1,2),""),VLOOKUP($D294,素材!$1:$1016,COLUMN($F$1),FALSE))),VLOOKUP($C294,武器!$1:$998,COLUMN($O$1),FALSE)*VLOOKUP($D294,素材!$1:$1016,COLUMN($E$1),FALSE)/(LEN(VLOOKUP($D294,素材!$1:$1016,COLUMN($F$1),FALSE)) - LEN(SUBSTITUTE(VLOOKUP($D294,素材!$1:$1016,COLUMN($F$1),FALSE), "・", 0)) + 1), 0)</f>
        <v>0</v>
      </c>
      <c r="AB294">
        <f>IF(ISNUMBER(SEARCH(SUBSTITUTE(AB$1,RIGHT(AB$1,2),""),VLOOKUP($D294,素材!$1:$1016,COLUMN($F$1),FALSE))),VLOOKUP($C294,武器!$1:$998,COLUMN($O$1),FALSE)*VLOOKUP($D294,素材!$1:$1016,COLUMN($E$1),FALSE)/(LEN(VLOOKUP($D294,素材!$1:$1016,COLUMN($F$1),FALSE)) - LEN(SUBSTITUTE(VLOOKUP($D294,素材!$1:$1016,COLUMN($F$1),FALSE), "・", 0)) + 1), 0)</f>
        <v>0</v>
      </c>
      <c r="AC294">
        <f>IF(ISNUMBER(SEARCH(SUBSTITUTE(AC$1,RIGHT(AC$1,2),""),VLOOKUP($D294,素材!$1:$1016,COLUMN($F$1),FALSE))),VLOOKUP($C294,武器!$1:$998,COLUMN($O$1),FALSE)*VLOOKUP($D294,素材!$1:$1016,COLUMN($E$1),FALSE)/(LEN(VLOOKUP($D294,素材!$1:$1016,COLUMN($F$1),FALSE)) - LEN(SUBSTITUTE(VLOOKUP($D294,素材!$1:$1016,COLUMN($F$1),FALSE), "・", 0)) + 1), 0)</f>
        <v>0</v>
      </c>
      <c r="AD294">
        <f>IF(ISNUMBER(SEARCH(SUBSTITUTE(AD$1,RIGHT(AD$1,2),""),VLOOKUP($D294,素材!$1:$1016,COLUMN($F$1),FALSE))),VLOOKUP($C294,武器!$1:$998,COLUMN($O$1),FALSE)*VLOOKUP($D294,素材!$1:$1016,COLUMN($E$1),FALSE)/(LEN(VLOOKUP($D294,素材!$1:$1016,COLUMN($F$1),FALSE)) - LEN(SUBSTITUTE(VLOOKUP($D294,素材!$1:$1016,COLUMN($F$1),FALSE), "・", 0)) + 1), 0)</f>
        <v>0</v>
      </c>
      <c r="AE294">
        <f>IF(ISNUMBER(SEARCH(SUBSTITUTE(AE$1,RIGHT(AE$1,2),""),VLOOKUP($D294,素材!$1:$1016,COLUMN($F$1),FALSE))),VLOOKUP($C294,武器!$1:$998,COLUMN($O$1),FALSE)*VLOOKUP($D294,素材!$1:$1016,COLUMN($E$1),FALSE)/(LEN(VLOOKUP($D294,素材!$1:$1016,COLUMN($F$1),FALSE)) - LEN(SUBSTITUTE(VLOOKUP($D294,素材!$1:$1016,COLUMN($F$1),FALSE), "・", 0)) + 1), 0)</f>
        <v>0</v>
      </c>
      <c r="AF294">
        <f>IF(ISNUMBER(SEARCH(SUBSTITUTE(AF$1,RIGHT(AF$1,2),""),VLOOKUP($D294,素材!$1:$1016,COLUMN($F$1),FALSE))),VLOOKUP($C294,武器!$1:$998,COLUMN($O$1),FALSE)*VLOOKUP($D294,素材!$1:$1016,COLUMN($E$1),FALSE)/(LEN(VLOOKUP($D294,素材!$1:$1016,COLUMN($F$1),FALSE)) - LEN(SUBSTITUTE(VLOOKUP($D294,素材!$1:$1016,COLUMN($F$1),FALSE), "・", 0)) + 1), 0)</f>
        <v>0</v>
      </c>
      <c r="AG294">
        <f>IF(ISNUMBER(SEARCH(SUBSTITUTE(AG$1,RIGHT(AG$1,2),""),VLOOKUP($D294,素材!$1:$1016,COLUMN($F$1),FALSE))),VLOOKUP($C294,武器!$1:$998,COLUMN($O$1),FALSE)*VLOOKUP($D294,素材!$1:$1016,COLUMN($E$1),FALSE)/(LEN(VLOOKUP($D294,素材!$1:$1016,COLUMN($F$1),FALSE)) - LEN(SUBSTITUTE(VLOOKUP($D294,素材!$1:$1016,COLUMN($F$1),FALSE), "・", 0)) + 1), 0)</f>
        <v>0</v>
      </c>
      <c r="AH294">
        <f>IF(ISNUMBER(SEARCH(SUBSTITUTE(AH$1,RIGHT(AH$1,2),""),VLOOKUP($D294,素材!$1:$1016,COLUMN($F$1),FALSE))),VLOOKUP($C294,武器!$1:$998,COLUMN($O$1),FALSE)*VLOOKUP($D294,素材!$1:$1016,COLUMN($E$1),FALSE)/(LEN(VLOOKUP($D294,素材!$1:$1016,COLUMN($F$1),FALSE)) - LEN(SUBSTITUTE(VLOOKUP($D294,素材!$1:$1016,COLUMN($F$1),FALSE), "・", 0)) + 1), 0)</f>
        <v>0</v>
      </c>
      <c r="AI294">
        <f>IF(ISNUMBER(SEARCH(SUBSTITUTE(AI$1,RIGHT(AI$1,2),""),VLOOKUP($D294,素材!$1:$1016,COLUMN($F$1),FALSE))),VLOOKUP($C294,武器!$1:$998,COLUMN($O$1),FALSE)*VLOOKUP($D294,素材!$1:$1016,COLUMN($E$1),FALSE)/(LEN(VLOOKUP($D294,素材!$1:$1016,COLUMN($F$1),FALSE)) - LEN(SUBSTITUTE(VLOOKUP($D294,素材!$1:$1016,COLUMN($F$1),FALSE), "・", 0)) + 1), 0)</f>
        <v>0</v>
      </c>
      <c r="AJ294">
        <f>IF(ISNUMBER(SEARCH(SUBSTITUTE(AJ$1,RIGHT(AJ$1,2),""),VLOOKUP($D294,素材!$1:$1016,COLUMN($F$1),FALSE))),VLOOKUP($C294,武器!$1:$998,COLUMN($O$1),FALSE)*VLOOKUP($D294,素材!$1:$1016,COLUMN($E$1),FALSE)/(LEN(VLOOKUP($D294,素材!$1:$1016,COLUMN($F$1),FALSE)) - LEN(SUBSTITUTE(VLOOKUP($D294,素材!$1:$1016,COLUMN($F$1),FALSE), "・", 0)) + 1), 0)</f>
        <v>0</v>
      </c>
      <c r="AK294">
        <f>IF(ISNUMBER(SEARCH(SUBSTITUTE(AK$1,RIGHT(AK$1,2),""),VLOOKUP($D294,素材!$1:$1016,COLUMN($F$1),FALSE))),VLOOKUP($C294,武器!$1:$998,COLUMN($O$1),FALSE)*VLOOKUP($D294,素材!$1:$1016,COLUMN($E$1),FALSE)/(LEN(VLOOKUP($D294,素材!$1:$1016,COLUMN($F$1),FALSE)) - LEN(SUBSTITUTE(VLOOKUP($D294,素材!$1:$1016,COLUMN($F$1),FALSE), "・", 0)) + 1), 0)</f>
        <v>0</v>
      </c>
      <c r="AL294">
        <f>IF(ISNUMBER(SEARCH(SUBSTITUTE(AL$1,RIGHT(AL$1,2),""),VLOOKUP($D294,素材!$1:$1016,COLUMN($F$1),FALSE))),VLOOKUP($C294,武器!$1:$998,COLUMN($O$1),FALSE)*VLOOKUP($D294,素材!$1:$1016,COLUMN($E$1),FALSE)/(LEN(VLOOKUP($D294,素材!$1:$1016,COLUMN($F$1),FALSE)) - LEN(SUBSTITUTE(VLOOKUP($D294,素材!$1:$1016,COLUMN($F$1),FALSE), "・", 0)) + 1), 0)</f>
        <v>0</v>
      </c>
      <c r="AM294">
        <f>IF(ISNUMBER(SEARCH(SUBSTITUTE(AM$1,RIGHT(AM$1,2),""),VLOOKUP($D294,素材!$1:$1016,COLUMN($F$1),FALSE))),VLOOKUP($C294,武器!$1:$998,COLUMN($O$1),FALSE)*VLOOKUP($D294,素材!$1:$1016,COLUMN($E$1),FALSE)/(LEN(VLOOKUP($D294,素材!$1:$1016,COLUMN($F$1),FALSE)) - LEN(SUBSTITUTE(VLOOKUP($D294,素材!$1:$1016,COLUMN($F$1),FALSE), "・", 0)) + 1), 0)</f>
        <v>0</v>
      </c>
      <c r="AN294">
        <f>IF(ISNUMBER(SEARCH(SUBSTITUTE(AN$1,RIGHT(AN$1,2),""),VLOOKUP($D294,素材!$1:$1016,COLUMN($F$1),FALSE))),VLOOKUP($C294,武器!$1:$998,COLUMN($O$1),FALSE)*VLOOKUP($D294,素材!$1:$1016,COLUMN($E$1),FALSE)/(LEN(VLOOKUP($D294,素材!$1:$1016,COLUMN($F$1),FALSE)) - LEN(SUBSTITUTE(VLOOKUP($D294,素材!$1:$1016,COLUMN($F$1),FALSE), "・", 0)) + 1), 0)</f>
        <v>0</v>
      </c>
      <c r="AO294">
        <f>IF(ISNUMBER(SEARCH(SUBSTITUTE(AO$1,RIGHT(AO$1,2),""),VLOOKUP($D294,素材!$1:$1016,COLUMN($F$1),FALSE))),VLOOKUP($C294,武器!$1:$998,COLUMN($O$1),FALSE)*VLOOKUP($D294,素材!$1:$1016,COLUMN($E$1),FALSE)/(LEN(VLOOKUP($D294,素材!$1:$1016,COLUMN($F$1),FALSE)) - LEN(SUBSTITUTE(VLOOKUP($D294,素材!$1:$1016,COLUMN($F$1),FALSE), "・", 0)) + 1), 0)</f>
        <v>0</v>
      </c>
      <c r="AP294">
        <f>IF(ISNUMBER(SEARCH(SUBSTITUTE(AP$1,RIGHT(AP$1,2),""),VLOOKUP($D294,素材!$1:$1016,COLUMN($F$1),FALSE))),VLOOKUP($C294,武器!$1:$998,COLUMN($O$1),FALSE)*VLOOKUP($D294,素材!$1:$1016,COLUMN($E$1),FALSE)/(LEN(VLOOKUP($D294,素材!$1:$1016,COLUMN($F$1),FALSE)) - LEN(SUBSTITUTE(VLOOKUP($D294,素材!$1:$1016,COLUMN($F$1),FALSE), "・", 0)) + 1), 0)</f>
        <v>0</v>
      </c>
      <c r="AQ294">
        <f>IF(ISNUMBER(SEARCH(SUBSTITUTE(AQ$1,RIGHT(AQ$1,2),""),VLOOKUP($D294,素材!$1:$1016,COLUMN($F$1),FALSE))),VLOOKUP($C294,武器!$1:$998,COLUMN($O$1),FALSE)*VLOOKUP($D294,素材!$1:$1016,COLUMN($E$1),FALSE)/(LEN(VLOOKUP($D294,素材!$1:$1016,COLUMN($F$1),FALSE)) - LEN(SUBSTITUTE(VLOOKUP($D294,素材!$1:$1016,COLUMN($F$1),FALSE), "・", 0)) + 1), 0)</f>
        <v>0</v>
      </c>
      <c r="AR294">
        <f>IF(ISNUMBER(SEARCH(SUBSTITUTE(AR$1,RIGHT(AR$1,2),""),VLOOKUP($D294,素材!$1:$1016,COLUMN($F$1),FALSE))),VLOOKUP($C294,武器!$1:$998,COLUMN($O$1),FALSE)*VLOOKUP($D294,素材!$1:$1016,COLUMN($E$1),FALSE)/(LEN(VLOOKUP($D294,素材!$1:$1016,COLUMN($F$1),FALSE)) - LEN(SUBSTITUTE(VLOOKUP($D294,素材!$1:$1016,COLUMN($F$1),FALSE), "・", 0)) + 1), 0)</f>
        <v>0</v>
      </c>
      <c r="AS294">
        <f>IF(ISNUMBER(SEARCH(SUBSTITUTE(AS$1,RIGHT(AS$1,2),""),VLOOKUP($D294,素材!$1:$1016,COLUMN($F$1),FALSE))),VLOOKUP($C294,武器!$1:$998,COLUMN($O$1),FALSE)*VLOOKUP($D294,素材!$1:$1016,COLUMN($E$1),FALSE)/(LEN(VLOOKUP($D294,素材!$1:$1016,COLUMN($F$1),FALSE)) - LEN(SUBSTITUTE(VLOOKUP($D294,素材!$1:$1016,COLUMN($F$1),FALSE), "・", 0)) + 1), 0)</f>
        <v>0</v>
      </c>
      <c r="AT294">
        <f>IF(ISNUMBER(SEARCH(SUBSTITUTE(AT$1,RIGHT(AT$1,2),""),VLOOKUP($D294,素材!$1:$1016,COLUMN($F$1),FALSE))),VLOOKUP($C294,武器!$1:$998,COLUMN($O$1),FALSE)*VLOOKUP($D294,素材!$1:$1016,COLUMN($E$1),FALSE)/(LEN(VLOOKUP($D294,素材!$1:$1016,COLUMN($F$1),FALSE)) - LEN(SUBSTITUTE(VLOOKUP($D294,素材!$1:$1016,COLUMN($F$1),FALSE), "・", 0)) + 1), 0)</f>
        <v>0</v>
      </c>
      <c r="AU294">
        <f>IF(ISNUMBER(SEARCH(SUBSTITUTE(AU$1,RIGHT(AU$1,2),""),VLOOKUP($D294,素材!$1:$1016,COLUMN($F$1),FALSE))),VLOOKUP($C294,武器!$1:$998,COLUMN($O$1),FALSE)*VLOOKUP($D294,素材!$1:$1016,COLUMN($E$1),FALSE)/(LEN(VLOOKUP($D294,素材!$1:$1016,COLUMN($F$1),FALSE)) - LEN(SUBSTITUTE(VLOOKUP($D294,素材!$1:$1016,COLUMN($F$1),FALSE), "・", 0)) + 1), 0)</f>
        <v>0</v>
      </c>
      <c r="AV294">
        <f>IF(ISNUMBER(SEARCH(SUBSTITUTE(AV$1,RIGHT(AV$1,2),""),VLOOKUP($D294,素材!$1:$1016,COLUMN($F$1),FALSE))),VLOOKUP($C294,武器!$1:$998,COLUMN($O$1),FALSE)*VLOOKUP($D294,素材!$1:$1016,COLUMN($E$1),FALSE)/(LEN(VLOOKUP($D294,素材!$1:$1016,COLUMN($F$1),FALSE)) - LEN(SUBSTITUTE(VLOOKUP($D294,素材!$1:$1016,COLUMN($F$1),FALSE), "・", 0)) + 1), 0)</f>
        <v>0</v>
      </c>
      <c r="AW294">
        <f>IF(ISNUMBER(SEARCH(SUBSTITUTE(AW$1,RIGHT(AW$1,2),""),VLOOKUP($D294,素材!$1:$1016,COLUMN($F$1),FALSE))),VLOOKUP($C294,武器!$1:$998,COLUMN($O$1),FALSE)*VLOOKUP($D294,素材!$1:$1016,COLUMN($E$1),FALSE)/(LEN(VLOOKUP($D294,素材!$1:$1016,COLUMN($F$1),FALSE)) - LEN(SUBSTITUTE(VLOOKUP($D294,素材!$1:$1016,COLUMN($F$1),FALSE), "・", 0)) + 1), 0)</f>
        <v>0</v>
      </c>
      <c r="AX294">
        <f>IF(ISNUMBER(SEARCH(SUBSTITUTE(AX$1,RIGHT(AX$1,2),""),VLOOKUP($D294,素材!$1:$1016,COLUMN($F$1),FALSE))),VLOOKUP($C294,武器!$1:$998,COLUMN($O$1),FALSE)*VLOOKUP($D294,素材!$1:$1016,COLUMN($E$1),FALSE)/(LEN(VLOOKUP($D294,素材!$1:$1016,COLUMN($F$1),FALSE)) - LEN(SUBSTITUTE(VLOOKUP($D294,素材!$1:$1016,COLUMN($F$1),FALSE), "・", 0)) + 1), 0)</f>
        <v>0</v>
      </c>
      <c r="AY294">
        <f>IF(ISNUMBER(SEARCH(SUBSTITUTE(AY$1,RIGHT(AY$1,2),""),VLOOKUP($D294,素材!$1:$1016,COLUMN($F$1),FALSE))),VLOOKUP($C294,武器!$1:$998,COLUMN($O$1),FALSE)*VLOOKUP($D294,素材!$1:$1016,COLUMN($E$1),FALSE)/(LEN(VLOOKUP($D294,素材!$1:$1016,COLUMN($F$1),FALSE)) - LEN(SUBSTITUTE(VLOOKUP($D294,素材!$1:$1016,COLUMN($F$1),FALSE), "・", 0)) + 1), 0)</f>
        <v>0</v>
      </c>
      <c r="AZ294">
        <f>IF(ISNUMBER(SEARCH(SUBSTITUTE(AZ$1,RIGHT(AZ$1,2),""),VLOOKUP($D294,素材!$1:$1016,COLUMN($F$1),FALSE))),VLOOKUP($C294,武器!$1:$998,COLUMN($O$1),FALSE)*VLOOKUP($D294,素材!$1:$1016,COLUMN($E$1),FALSE)/(LEN(VLOOKUP($D294,素材!$1:$1016,COLUMN($F$1),FALSE)) - LEN(SUBSTITUTE(VLOOKUP($D294,素材!$1:$1016,COLUMN($F$1),FALSE), "・", 0)) + 1), 0)</f>
        <v>0</v>
      </c>
      <c r="BA294">
        <f>IF(ISNUMBER(SEARCH(SUBSTITUTE(BA$1,RIGHT(BA$1,2),""),VLOOKUP($D294,素材!$1:$1016,COLUMN($F$1),FALSE))),VLOOKUP($C294,武器!$1:$998,COLUMN($O$1),FALSE)*VLOOKUP($D294,素材!$1:$1016,COLUMN($E$1),FALSE)/(LEN(VLOOKUP($D294,素材!$1:$1016,COLUMN($F$1),FALSE)) - LEN(SUBSTITUTE(VLOOKUP($D294,素材!$1:$1016,COLUMN($F$1),FALSE), "・", 0)) + 1), 0)</f>
        <v>0</v>
      </c>
      <c r="BB294">
        <f>IF(ISNUMBER(SEARCH(SUBSTITUTE(BB$1,RIGHT(BB$1,2),""),VLOOKUP($D294,素材!$1:$1016,COLUMN($F$1),FALSE))),VLOOKUP($C294,武器!$1:$998,COLUMN($O$1),FALSE)*VLOOKUP($D294,素材!$1:$1016,COLUMN($E$1),FALSE)/(LEN(VLOOKUP($D294,素材!$1:$1016,COLUMN($F$1),FALSE)) - LEN(SUBSTITUTE(VLOOKUP($D294,素材!$1:$1016,COLUMN($F$1),FALSE), "・", 0)) + 1), 0)</f>
        <v>0</v>
      </c>
      <c r="BC294">
        <f>IF(ISNUMBER(SEARCH(SUBSTITUTE(BC$1,RIGHT(BC$1,2),""),VLOOKUP($D294,素材!$1:$1016,COLUMN($F$1),FALSE))),VLOOKUP($C294,武器!$1:$998,COLUMN($O$1),FALSE)*VLOOKUP($D294,素材!$1:$1016,COLUMN($E$1),FALSE)/(LEN(VLOOKUP($D294,素材!$1:$1016,COLUMN($F$1),FALSE)) - LEN(SUBSTITUTE(VLOOKUP($D294,素材!$1:$1016,COLUMN($F$1),FALSE), "・", 0)) + 1), 0)</f>
        <v>0</v>
      </c>
      <c r="BD294">
        <f>IF(ISNUMBER(SEARCH(SUBSTITUTE(BD$1,RIGHT(BD$1,2),""),VLOOKUP($D294,素材!$1:$1016,COLUMN($F$1),FALSE))),VLOOKUP($C294,武器!$1:$998,COLUMN($O$1),FALSE)*VLOOKUP($D294,素材!$1:$1016,COLUMN($E$1),FALSE)/(LEN(VLOOKUP($D294,素材!$1:$1016,COLUMN($F$1),FALSE)) - LEN(SUBSTITUTE(VLOOKUP($D294,素材!$1:$1016,COLUMN($F$1),FALSE), "・", 0)) + 1), 0)</f>
        <v>0</v>
      </c>
      <c r="BE294">
        <f>IF(ISNUMBER(SEARCH(SUBSTITUTE(BE$1,RIGHT(BE$1,2),""),VLOOKUP($D294,素材!$1:$1016,COLUMN($F$1),FALSE))),VLOOKUP($C294,武器!$1:$998,COLUMN($O$1),FALSE)*VLOOKUP($D294,素材!$1:$1016,COLUMN($E$1),FALSE)/(LEN(VLOOKUP($D294,素材!$1:$1016,COLUMN($F$1),FALSE)) - LEN(SUBSTITUTE(VLOOKUP($D294,素材!$1:$1016,COLUMN($F$1),FALSE), "・", 0)) + 1), 0)</f>
        <v>0</v>
      </c>
      <c r="CL294">
        <f>SUM(G294:I294)</f>
        <v>0</v>
      </c>
      <c r="CM294" s="22" t="str">
        <f>IF(E294="武器",IF(J294-1&gt;SUM(G294:I294),"盾",IF(MAX(G294:I294)=G294,"切断",IF(MAX(G294:I294)=H294,"貫通",IF(MAX(G294:I294)=I294,"打撃","射撃")))),E294)&amp;".webp"</f>
        <v>.webp</v>
      </c>
      <c r="CN294" t="str">
        <f>IFERROR(VLOOKUP($C294,武器!$1:$998,COLUMN(V$1),FALSE)*VLOOKUP($D294,素材!$1:$1016,COLUMN(N$1),FALSE)+IF(CI294="",0,VLOOKUP($CI294,装強!$1:$1008,COLUMN($CK$1),FALSE)),"")</f>
        <v/>
      </c>
      <c r="CO294" t="e">
        <f>VLOOKUP(D294,素材!$A:$O,COLUMN(素材!O$1),FALSE)</f>
        <v>#N/A</v>
      </c>
      <c r="CP294" t="e">
        <f>VLOOKUP(C294,武器!$A:$W,COLUMN(武器!W$1),FALSE)</f>
        <v>#N/A</v>
      </c>
      <c r="CR294" t="str">
        <f t="shared" si="33"/>
        <v>e_294</v>
      </c>
      <c r="CS294" t="e">
        <f t="shared" si="34"/>
        <v>#VALUE!</v>
      </c>
    </row>
    <row r="295" spans="1:97" hidden="1" outlineLevel="1" x14ac:dyDescent="0.4">
      <c r="A295" t="str">
        <f>IF(CI295="",D295&amp;"の"&amp;C295,CI295&amp;"の"&amp;C295)</f>
        <v>の</v>
      </c>
      <c r="B295" t="str">
        <f>IFERROR(IF(CI295="",VLOOKUP($D295,素材!$1:$1016,COLUMN($B$1),FALSE)&amp;"・"&amp;VLOOKUP($C295,武器!$1:$998,COLUMN(B$1),FALSE),VLOOKUP($CI295,装強!$1:$1008,COLUMN($B$1),FALSE)&amp;"・"&amp;VLOOKUP($C295,武器!$1:$998,COLUMN(B$1),FALSE)),"")</f>
        <v/>
      </c>
      <c r="C295" s="24"/>
      <c r="D295" s="24"/>
      <c r="E295" t="str">
        <f>IFERROR(VLOOKUP(C295,武器!$1:$998,COLUMN(C$1),FALSE),"")</f>
        <v/>
      </c>
      <c r="F295" t="str">
        <f>IFERROR(ROUNDDOWN((VLOOKUP($C295,武器!$1:$998,COLUMN(D$1),FALSE)+IFERROR(VLOOKUP($CI295,装強!$1:$999,COLUMN(F$1),FALSE),0))*VLOOKUP($D295,素材!$1:$1016,COLUMN(D$1),FALSE),0),"")</f>
        <v/>
      </c>
      <c r="G295" t="str">
        <f>IFERROR(ROUNDDOWN((VLOOKUP($C295,武器!$1:$998,COLUMN(E$1),FALSE)+IFERROR(VLOOKUP($CI295,装強!$1:$999,COLUMN(G$1),FALSE),0))*VLOOKUP($D295,素材!$1:$1016,COLUMN($E$1),FALSE),0),"")</f>
        <v/>
      </c>
      <c r="H295" t="str">
        <f>IFERROR(ROUNDDOWN((VLOOKUP($C295,武器!$1:$998,COLUMN(F$1),FALSE)+IFERROR(VLOOKUP($CI295,装強!$1:$999,COLUMN(H$1),FALSE),0))*VLOOKUP($D295,素材!$1:$1016,COLUMN($E$1),FALSE),0),"")</f>
        <v/>
      </c>
      <c r="I295" t="str">
        <f>IFERROR(ROUNDDOWN((VLOOKUP($C295,武器!$1:$998,COLUMN(G$1),FALSE)+IFERROR(VLOOKUP($CI295,装強!$1:$999,COLUMN(I$1),FALSE),0))*VLOOKUP($D295,素材!$1:$1016,COLUMN($E$1),FALSE),0),"")</f>
        <v/>
      </c>
      <c r="J295" t="str">
        <f>IFERROR(ROUNDDOWN((VLOOKUP($C295,武器!$1:$998,COLUMN(H$1),FALSE)+IFERROR(VLOOKUP($CI295,装強!$1:$999,COLUMN(J$1),FALSE),0))*VLOOKUP($D295,素材!$1:$1016,COLUMN($E$1),FALSE),0),"")</f>
        <v/>
      </c>
      <c r="K295" t="str">
        <f>IFERROR(ROUNDDOWN((VLOOKUP($C295,武器!$1:$998,COLUMN(I$1),FALSE)+IFERROR(VLOOKUP($CI295,装強!$1:$999,COLUMN(K$1),FALSE),0))*VLOOKUP($D295,素材!$1:$1016,COLUMN($E$1),FALSE),0),"")</f>
        <v/>
      </c>
      <c r="L295" t="str">
        <f>IFERROR(VLOOKUP($D295,素材!$1:$1016,COLUMN($F$1),FALSE),"")</f>
        <v/>
      </c>
      <c r="M295" t="str">
        <f>IFERROR(VLOOKUP($C295,武器!$1:$998,COLUMN(AA$1),FALSE)*VLOOKUP($D295,素材!$1:$1016,COLUMN($G$1),FALSE),"")</f>
        <v/>
      </c>
      <c r="N295" t="str">
        <f>IFERROR(VLOOKUP($C295,武器!$1:$998,COLUMN(I$1),FALSE),"")</f>
        <v/>
      </c>
      <c r="O295" s="23" t="str">
        <f>IFERROR((VLOOKUP($C295,武器!$1:$998,COLUMN(K$1),FALSE)+VLOOKUP($D295,素材!$1:$1016,COLUMN(H$1),FALSE))*100+IFERROR(VLOOKUP($CI295,装強!$1:$999,COLUMN(O$1),FALSE),0),"")</f>
        <v/>
      </c>
      <c r="P295" s="23" t="str">
        <f>IFERROR((VLOOKUP($C295,武器!$1:$998,COLUMN(L$1),FALSE)+VLOOKUP($D295,素材!$1:$1016,COLUMN(I$1),FALSE))*100+IFERROR(VLOOKUP($CI295,装強!$1:$999,COLUMN(P$1),FALSE),0),"")</f>
        <v/>
      </c>
      <c r="Q295" t="str">
        <f>IFERROR(ROUNDUP(VLOOKUP($C295,武器!$1:$998,COLUMN(M$1),FALSE)*(VLOOKUP($D295,素材!$1:$1002,COLUMN(D$1),FALSE)/100),1),"")</f>
        <v/>
      </c>
      <c r="R295" t="str">
        <f>IFERROR(ROUNDUP(VLOOKUP($C295,武器!$1:$998,COLUMN(N$1),FALSE)*(VLOOKUP($D295,素材!$1:$1002,COLUMN(D$1),FALSE)/100),1),"")</f>
        <v/>
      </c>
      <c r="S295" t="str">
        <f>IFERROR(VLOOKUP($C295,武器!$1:$998,COLUMN(P$1),FALSE),"")</f>
        <v/>
      </c>
      <c r="T295" t="str">
        <f>IFERROR(VLOOKUP($C295,武器!$1:$998,COLUMN(Q$1),FALSE),"")</f>
        <v/>
      </c>
      <c r="U295" t="str">
        <f>IFERROR(VLOOKUP($C295,武器!$1:$998,COLUMN(R$1),FALSE),"")</f>
        <v/>
      </c>
      <c r="V295" t="str">
        <f>IFERROR(VLOOKUP($C295,武器!$1:$998,COLUMN(Q$1),FALSE),"")</f>
        <v/>
      </c>
      <c r="W295" t="str">
        <f>IFERROR(VLOOKUP($C295,武器!$1:$998,COLUMN(T$1),FALSE),"")</f>
        <v/>
      </c>
      <c r="Y295" t="str">
        <f>IFERROR(VLOOKUP($C295,武器!$1:$998,COLUMN(U$1),FALSE),"")</f>
        <v/>
      </c>
      <c r="Z295" t="str">
        <f>IFERROR(ROUNDUP(VLOOKUP($C295,武器!$1:$998,COLUMN(O$1),FALSE)*VLOOKUP($D295,素材!$1:$1016,COLUMN(E$1),FALSE),1),"")</f>
        <v/>
      </c>
      <c r="AA295">
        <f>IF(ISNUMBER(SEARCH(SUBSTITUTE(AA$1,RIGHT(AA$1,2),""),VLOOKUP($D295,素材!$1:$1016,COLUMN($F$1),FALSE))),VLOOKUP($C295,武器!$1:$998,COLUMN($O$1),FALSE)*VLOOKUP($D295,素材!$1:$1016,COLUMN($E$1),FALSE)/(LEN(VLOOKUP($D295,素材!$1:$1016,COLUMN($F$1),FALSE)) - LEN(SUBSTITUTE(VLOOKUP($D295,素材!$1:$1016,COLUMN($F$1),FALSE), "・", 0)) + 1), 0)</f>
        <v>0</v>
      </c>
      <c r="AB295">
        <f>IF(ISNUMBER(SEARCH(SUBSTITUTE(AB$1,RIGHT(AB$1,2),""),VLOOKUP($D295,素材!$1:$1016,COLUMN($F$1),FALSE))),VLOOKUP($C295,武器!$1:$998,COLUMN($O$1),FALSE)*VLOOKUP($D295,素材!$1:$1016,COLUMN($E$1),FALSE)/(LEN(VLOOKUP($D295,素材!$1:$1016,COLUMN($F$1),FALSE)) - LEN(SUBSTITUTE(VLOOKUP($D295,素材!$1:$1016,COLUMN($F$1),FALSE), "・", 0)) + 1), 0)</f>
        <v>0</v>
      </c>
      <c r="AC295">
        <f>IF(ISNUMBER(SEARCH(SUBSTITUTE(AC$1,RIGHT(AC$1,2),""),VLOOKUP($D295,素材!$1:$1016,COLUMN($F$1),FALSE))),VLOOKUP($C295,武器!$1:$998,COLUMN($O$1),FALSE)*VLOOKUP($D295,素材!$1:$1016,COLUMN($E$1),FALSE)/(LEN(VLOOKUP($D295,素材!$1:$1016,COLUMN($F$1),FALSE)) - LEN(SUBSTITUTE(VLOOKUP($D295,素材!$1:$1016,COLUMN($F$1),FALSE), "・", 0)) + 1), 0)</f>
        <v>0</v>
      </c>
      <c r="AD295">
        <f>IF(ISNUMBER(SEARCH(SUBSTITUTE(AD$1,RIGHT(AD$1,2),""),VLOOKUP($D295,素材!$1:$1016,COLUMN($F$1),FALSE))),VLOOKUP($C295,武器!$1:$998,COLUMN($O$1),FALSE)*VLOOKUP($D295,素材!$1:$1016,COLUMN($E$1),FALSE)/(LEN(VLOOKUP($D295,素材!$1:$1016,COLUMN($F$1),FALSE)) - LEN(SUBSTITUTE(VLOOKUP($D295,素材!$1:$1016,COLUMN($F$1),FALSE), "・", 0)) + 1), 0)</f>
        <v>0</v>
      </c>
      <c r="AE295">
        <f>IF(ISNUMBER(SEARCH(SUBSTITUTE(AE$1,RIGHT(AE$1,2),""),VLOOKUP($D295,素材!$1:$1016,COLUMN($F$1),FALSE))),VLOOKUP($C295,武器!$1:$998,COLUMN($O$1),FALSE)*VLOOKUP($D295,素材!$1:$1016,COLUMN($E$1),FALSE)/(LEN(VLOOKUP($D295,素材!$1:$1016,COLUMN($F$1),FALSE)) - LEN(SUBSTITUTE(VLOOKUP($D295,素材!$1:$1016,COLUMN($F$1),FALSE), "・", 0)) + 1), 0)</f>
        <v>0</v>
      </c>
      <c r="AF295">
        <f>IF(ISNUMBER(SEARCH(SUBSTITUTE(AF$1,RIGHT(AF$1,2),""),VLOOKUP($D295,素材!$1:$1016,COLUMN($F$1),FALSE))),VLOOKUP($C295,武器!$1:$998,COLUMN($O$1),FALSE)*VLOOKUP($D295,素材!$1:$1016,COLUMN($E$1),FALSE)/(LEN(VLOOKUP($D295,素材!$1:$1016,COLUMN($F$1),FALSE)) - LEN(SUBSTITUTE(VLOOKUP($D295,素材!$1:$1016,COLUMN($F$1),FALSE), "・", 0)) + 1), 0)</f>
        <v>0</v>
      </c>
      <c r="AG295">
        <f>IF(ISNUMBER(SEARCH(SUBSTITUTE(AG$1,RIGHT(AG$1,2),""),VLOOKUP($D295,素材!$1:$1016,COLUMN($F$1),FALSE))),VLOOKUP($C295,武器!$1:$998,COLUMN($O$1),FALSE)*VLOOKUP($D295,素材!$1:$1016,COLUMN($E$1),FALSE)/(LEN(VLOOKUP($D295,素材!$1:$1016,COLUMN($F$1),FALSE)) - LEN(SUBSTITUTE(VLOOKUP($D295,素材!$1:$1016,COLUMN($F$1),FALSE), "・", 0)) + 1), 0)</f>
        <v>0</v>
      </c>
      <c r="AH295">
        <f>IF(ISNUMBER(SEARCH(SUBSTITUTE(AH$1,RIGHT(AH$1,2),""),VLOOKUP($D295,素材!$1:$1016,COLUMN($F$1),FALSE))),VLOOKUP($C295,武器!$1:$998,COLUMN($O$1),FALSE)*VLOOKUP($D295,素材!$1:$1016,COLUMN($E$1),FALSE)/(LEN(VLOOKUP($D295,素材!$1:$1016,COLUMN($F$1),FALSE)) - LEN(SUBSTITUTE(VLOOKUP($D295,素材!$1:$1016,COLUMN($F$1),FALSE), "・", 0)) + 1), 0)</f>
        <v>0</v>
      </c>
      <c r="AI295">
        <f>IF(ISNUMBER(SEARCH(SUBSTITUTE(AI$1,RIGHT(AI$1,2),""),VLOOKUP($D295,素材!$1:$1016,COLUMN($F$1),FALSE))),VLOOKUP($C295,武器!$1:$998,COLUMN($O$1),FALSE)*VLOOKUP($D295,素材!$1:$1016,COLUMN($E$1),FALSE)/(LEN(VLOOKUP($D295,素材!$1:$1016,COLUMN($F$1),FALSE)) - LEN(SUBSTITUTE(VLOOKUP($D295,素材!$1:$1016,COLUMN($F$1),FALSE), "・", 0)) + 1), 0)</f>
        <v>0</v>
      </c>
      <c r="AJ295">
        <f>IF(ISNUMBER(SEARCH(SUBSTITUTE(AJ$1,RIGHT(AJ$1,2),""),VLOOKUP($D295,素材!$1:$1016,COLUMN($F$1),FALSE))),VLOOKUP($C295,武器!$1:$998,COLUMN($O$1),FALSE)*VLOOKUP($D295,素材!$1:$1016,COLUMN($E$1),FALSE)/(LEN(VLOOKUP($D295,素材!$1:$1016,COLUMN($F$1),FALSE)) - LEN(SUBSTITUTE(VLOOKUP($D295,素材!$1:$1016,COLUMN($F$1),FALSE), "・", 0)) + 1), 0)</f>
        <v>0</v>
      </c>
      <c r="AK295">
        <f>IF(ISNUMBER(SEARCH(SUBSTITUTE(AK$1,RIGHT(AK$1,2),""),VLOOKUP($D295,素材!$1:$1016,COLUMN($F$1),FALSE))),VLOOKUP($C295,武器!$1:$998,COLUMN($O$1),FALSE)*VLOOKUP($D295,素材!$1:$1016,COLUMN($E$1),FALSE)/(LEN(VLOOKUP($D295,素材!$1:$1016,COLUMN($F$1),FALSE)) - LEN(SUBSTITUTE(VLOOKUP($D295,素材!$1:$1016,COLUMN($F$1),FALSE), "・", 0)) + 1), 0)</f>
        <v>0</v>
      </c>
      <c r="AL295">
        <f>IF(ISNUMBER(SEARCH(SUBSTITUTE(AL$1,RIGHT(AL$1,2),""),VLOOKUP($D295,素材!$1:$1016,COLUMN($F$1),FALSE))),VLOOKUP($C295,武器!$1:$998,COLUMN($O$1),FALSE)*VLOOKUP($D295,素材!$1:$1016,COLUMN($E$1),FALSE)/(LEN(VLOOKUP($D295,素材!$1:$1016,COLUMN($F$1),FALSE)) - LEN(SUBSTITUTE(VLOOKUP($D295,素材!$1:$1016,COLUMN($F$1),FALSE), "・", 0)) + 1), 0)</f>
        <v>0</v>
      </c>
      <c r="AM295">
        <f>IF(ISNUMBER(SEARCH(SUBSTITUTE(AM$1,RIGHT(AM$1,2),""),VLOOKUP($D295,素材!$1:$1016,COLUMN($F$1),FALSE))),VLOOKUP($C295,武器!$1:$998,COLUMN($O$1),FALSE)*VLOOKUP($D295,素材!$1:$1016,COLUMN($E$1),FALSE)/(LEN(VLOOKUP($D295,素材!$1:$1016,COLUMN($F$1),FALSE)) - LEN(SUBSTITUTE(VLOOKUP($D295,素材!$1:$1016,COLUMN($F$1),FALSE), "・", 0)) + 1), 0)</f>
        <v>0</v>
      </c>
      <c r="AN295">
        <f>IF(ISNUMBER(SEARCH(SUBSTITUTE(AN$1,RIGHT(AN$1,2),""),VLOOKUP($D295,素材!$1:$1016,COLUMN($F$1),FALSE))),VLOOKUP($C295,武器!$1:$998,COLUMN($O$1),FALSE)*VLOOKUP($D295,素材!$1:$1016,COLUMN($E$1),FALSE)/(LEN(VLOOKUP($D295,素材!$1:$1016,COLUMN($F$1),FALSE)) - LEN(SUBSTITUTE(VLOOKUP($D295,素材!$1:$1016,COLUMN($F$1),FALSE), "・", 0)) + 1), 0)</f>
        <v>0</v>
      </c>
      <c r="AO295">
        <f>IF(ISNUMBER(SEARCH(SUBSTITUTE(AO$1,RIGHT(AO$1,2),""),VLOOKUP($D295,素材!$1:$1016,COLUMN($F$1),FALSE))),VLOOKUP($C295,武器!$1:$998,COLUMN($O$1),FALSE)*VLOOKUP($D295,素材!$1:$1016,COLUMN($E$1),FALSE)/(LEN(VLOOKUP($D295,素材!$1:$1016,COLUMN($F$1),FALSE)) - LEN(SUBSTITUTE(VLOOKUP($D295,素材!$1:$1016,COLUMN($F$1),FALSE), "・", 0)) + 1), 0)</f>
        <v>0</v>
      </c>
      <c r="AP295">
        <f>IF(ISNUMBER(SEARCH(SUBSTITUTE(AP$1,RIGHT(AP$1,2),""),VLOOKUP($D295,素材!$1:$1016,COLUMN($F$1),FALSE))),VLOOKUP($C295,武器!$1:$998,COLUMN($O$1),FALSE)*VLOOKUP($D295,素材!$1:$1016,COLUMN($E$1),FALSE)/(LEN(VLOOKUP($D295,素材!$1:$1016,COLUMN($F$1),FALSE)) - LEN(SUBSTITUTE(VLOOKUP($D295,素材!$1:$1016,COLUMN($F$1),FALSE), "・", 0)) + 1), 0)</f>
        <v>0</v>
      </c>
      <c r="AQ295">
        <f>IF(ISNUMBER(SEARCH(SUBSTITUTE(AQ$1,RIGHT(AQ$1,2),""),VLOOKUP($D295,素材!$1:$1016,COLUMN($F$1),FALSE))),VLOOKUP($C295,武器!$1:$998,COLUMN($O$1),FALSE)*VLOOKUP($D295,素材!$1:$1016,COLUMN($E$1),FALSE)/(LEN(VLOOKUP($D295,素材!$1:$1016,COLUMN($F$1),FALSE)) - LEN(SUBSTITUTE(VLOOKUP($D295,素材!$1:$1016,COLUMN($F$1),FALSE), "・", 0)) + 1), 0)</f>
        <v>0</v>
      </c>
      <c r="AR295">
        <f>IF(ISNUMBER(SEARCH(SUBSTITUTE(AR$1,RIGHT(AR$1,2),""),VLOOKUP($D295,素材!$1:$1016,COLUMN($F$1),FALSE))),VLOOKUP($C295,武器!$1:$998,COLUMN($O$1),FALSE)*VLOOKUP($D295,素材!$1:$1016,COLUMN($E$1),FALSE)/(LEN(VLOOKUP($D295,素材!$1:$1016,COLUMN($F$1),FALSE)) - LEN(SUBSTITUTE(VLOOKUP($D295,素材!$1:$1016,COLUMN($F$1),FALSE), "・", 0)) + 1), 0)</f>
        <v>0</v>
      </c>
      <c r="AS295">
        <f>IF(ISNUMBER(SEARCH(SUBSTITUTE(AS$1,RIGHT(AS$1,2),""),VLOOKUP($D295,素材!$1:$1016,COLUMN($F$1),FALSE))),VLOOKUP($C295,武器!$1:$998,COLUMN($O$1),FALSE)*VLOOKUP($D295,素材!$1:$1016,COLUMN($E$1),FALSE)/(LEN(VLOOKUP($D295,素材!$1:$1016,COLUMN($F$1),FALSE)) - LEN(SUBSTITUTE(VLOOKUP($D295,素材!$1:$1016,COLUMN($F$1),FALSE), "・", 0)) + 1), 0)</f>
        <v>0</v>
      </c>
      <c r="AT295">
        <f>IF(ISNUMBER(SEARCH(SUBSTITUTE(AT$1,RIGHT(AT$1,2),""),VLOOKUP($D295,素材!$1:$1016,COLUMN($F$1),FALSE))),VLOOKUP($C295,武器!$1:$998,COLUMN($O$1),FALSE)*VLOOKUP($D295,素材!$1:$1016,COLUMN($E$1),FALSE)/(LEN(VLOOKUP($D295,素材!$1:$1016,COLUMN($F$1),FALSE)) - LEN(SUBSTITUTE(VLOOKUP($D295,素材!$1:$1016,COLUMN($F$1),FALSE), "・", 0)) + 1), 0)</f>
        <v>0</v>
      </c>
      <c r="AU295">
        <f>IF(ISNUMBER(SEARCH(SUBSTITUTE(AU$1,RIGHT(AU$1,2),""),VLOOKUP($D295,素材!$1:$1016,COLUMN($F$1),FALSE))),VLOOKUP($C295,武器!$1:$998,COLUMN($O$1),FALSE)*VLOOKUP($D295,素材!$1:$1016,COLUMN($E$1),FALSE)/(LEN(VLOOKUP($D295,素材!$1:$1016,COLUMN($F$1),FALSE)) - LEN(SUBSTITUTE(VLOOKUP($D295,素材!$1:$1016,COLUMN($F$1),FALSE), "・", 0)) + 1), 0)</f>
        <v>0</v>
      </c>
      <c r="AV295">
        <f>IF(ISNUMBER(SEARCH(SUBSTITUTE(AV$1,RIGHT(AV$1,2),""),VLOOKUP($D295,素材!$1:$1016,COLUMN($F$1),FALSE))),VLOOKUP($C295,武器!$1:$998,COLUMN($O$1),FALSE)*VLOOKUP($D295,素材!$1:$1016,COLUMN($E$1),FALSE)/(LEN(VLOOKUP($D295,素材!$1:$1016,COLUMN($F$1),FALSE)) - LEN(SUBSTITUTE(VLOOKUP($D295,素材!$1:$1016,COLUMN($F$1),FALSE), "・", 0)) + 1), 0)</f>
        <v>0</v>
      </c>
      <c r="AW295">
        <f>IF(ISNUMBER(SEARCH(SUBSTITUTE(AW$1,RIGHT(AW$1,2),""),VLOOKUP($D295,素材!$1:$1016,COLUMN($F$1),FALSE))),VLOOKUP($C295,武器!$1:$998,COLUMN($O$1),FALSE)*VLOOKUP($D295,素材!$1:$1016,COLUMN($E$1),FALSE)/(LEN(VLOOKUP($D295,素材!$1:$1016,COLUMN($F$1),FALSE)) - LEN(SUBSTITUTE(VLOOKUP($D295,素材!$1:$1016,COLUMN($F$1),FALSE), "・", 0)) + 1), 0)</f>
        <v>0</v>
      </c>
      <c r="AX295">
        <f>IF(ISNUMBER(SEARCH(SUBSTITUTE(AX$1,RIGHT(AX$1,2),""),VLOOKUP($D295,素材!$1:$1016,COLUMN($F$1),FALSE))),VLOOKUP($C295,武器!$1:$998,COLUMN($O$1),FALSE)*VLOOKUP($D295,素材!$1:$1016,COLUMN($E$1),FALSE)/(LEN(VLOOKUP($D295,素材!$1:$1016,COLUMN($F$1),FALSE)) - LEN(SUBSTITUTE(VLOOKUP($D295,素材!$1:$1016,COLUMN($F$1),FALSE), "・", 0)) + 1), 0)</f>
        <v>0</v>
      </c>
      <c r="AY295">
        <f>IF(ISNUMBER(SEARCH(SUBSTITUTE(AY$1,RIGHT(AY$1,2),""),VLOOKUP($D295,素材!$1:$1016,COLUMN($F$1),FALSE))),VLOOKUP($C295,武器!$1:$998,COLUMN($O$1),FALSE)*VLOOKUP($D295,素材!$1:$1016,COLUMN($E$1),FALSE)/(LEN(VLOOKUP($D295,素材!$1:$1016,COLUMN($F$1),FALSE)) - LEN(SUBSTITUTE(VLOOKUP($D295,素材!$1:$1016,COLUMN($F$1),FALSE), "・", 0)) + 1), 0)</f>
        <v>0</v>
      </c>
      <c r="AZ295">
        <f>IF(ISNUMBER(SEARCH(SUBSTITUTE(AZ$1,RIGHT(AZ$1,2),""),VLOOKUP($D295,素材!$1:$1016,COLUMN($F$1),FALSE))),VLOOKUP($C295,武器!$1:$998,COLUMN($O$1),FALSE)*VLOOKUP($D295,素材!$1:$1016,COLUMN($E$1),FALSE)/(LEN(VLOOKUP($D295,素材!$1:$1016,COLUMN($F$1),FALSE)) - LEN(SUBSTITUTE(VLOOKUP($D295,素材!$1:$1016,COLUMN($F$1),FALSE), "・", 0)) + 1), 0)</f>
        <v>0</v>
      </c>
      <c r="BA295">
        <f>IF(ISNUMBER(SEARCH(SUBSTITUTE(BA$1,RIGHT(BA$1,2),""),VLOOKUP($D295,素材!$1:$1016,COLUMN($F$1),FALSE))),VLOOKUP($C295,武器!$1:$998,COLUMN($O$1),FALSE)*VLOOKUP($D295,素材!$1:$1016,COLUMN($E$1),FALSE)/(LEN(VLOOKUP($D295,素材!$1:$1016,COLUMN($F$1),FALSE)) - LEN(SUBSTITUTE(VLOOKUP($D295,素材!$1:$1016,COLUMN($F$1),FALSE), "・", 0)) + 1), 0)</f>
        <v>0</v>
      </c>
      <c r="BB295">
        <f>IF(ISNUMBER(SEARCH(SUBSTITUTE(BB$1,RIGHT(BB$1,2),""),VLOOKUP($D295,素材!$1:$1016,COLUMN($F$1),FALSE))),VLOOKUP($C295,武器!$1:$998,COLUMN($O$1),FALSE)*VLOOKUP($D295,素材!$1:$1016,COLUMN($E$1),FALSE)/(LEN(VLOOKUP($D295,素材!$1:$1016,COLUMN($F$1),FALSE)) - LEN(SUBSTITUTE(VLOOKUP($D295,素材!$1:$1016,COLUMN($F$1),FALSE), "・", 0)) + 1), 0)</f>
        <v>0</v>
      </c>
      <c r="BC295">
        <f>IF(ISNUMBER(SEARCH(SUBSTITUTE(BC$1,RIGHT(BC$1,2),""),VLOOKUP($D295,素材!$1:$1016,COLUMN($F$1),FALSE))),VLOOKUP($C295,武器!$1:$998,COLUMN($O$1),FALSE)*VLOOKUP($D295,素材!$1:$1016,COLUMN($E$1),FALSE)/(LEN(VLOOKUP($D295,素材!$1:$1016,COLUMN($F$1),FALSE)) - LEN(SUBSTITUTE(VLOOKUP($D295,素材!$1:$1016,COLUMN($F$1),FALSE), "・", 0)) + 1), 0)</f>
        <v>0</v>
      </c>
      <c r="BD295">
        <f>IF(ISNUMBER(SEARCH(SUBSTITUTE(BD$1,RIGHT(BD$1,2),""),VLOOKUP($D295,素材!$1:$1016,COLUMN($F$1),FALSE))),VLOOKUP($C295,武器!$1:$998,COLUMN($O$1),FALSE)*VLOOKUP($D295,素材!$1:$1016,COLUMN($E$1),FALSE)/(LEN(VLOOKUP($D295,素材!$1:$1016,COLUMN($F$1),FALSE)) - LEN(SUBSTITUTE(VLOOKUP($D295,素材!$1:$1016,COLUMN($F$1),FALSE), "・", 0)) + 1), 0)</f>
        <v>0</v>
      </c>
      <c r="BE295">
        <f>IF(ISNUMBER(SEARCH(SUBSTITUTE(BE$1,RIGHT(BE$1,2),""),VLOOKUP($D295,素材!$1:$1016,COLUMN($F$1),FALSE))),VLOOKUP($C295,武器!$1:$998,COLUMN($O$1),FALSE)*VLOOKUP($D295,素材!$1:$1016,COLUMN($E$1),FALSE)/(LEN(VLOOKUP($D295,素材!$1:$1016,COLUMN($F$1),FALSE)) - LEN(SUBSTITUTE(VLOOKUP($D295,素材!$1:$1016,COLUMN($F$1),FALSE), "・", 0)) + 1), 0)</f>
        <v>0</v>
      </c>
      <c r="CL295">
        <f>SUM(G295:I295)</f>
        <v>0</v>
      </c>
      <c r="CM295" s="22" t="str">
        <f>IF(E295="武器",IF(J295-1&gt;SUM(G295:I295),"盾",IF(MAX(G295:I295)=G295,"切断",IF(MAX(G295:I295)=H295,"貫通",IF(MAX(G295:I295)=I295,"打撃","射撃")))),E295)&amp;".webp"</f>
        <v>.webp</v>
      </c>
      <c r="CN295" t="str">
        <f>IFERROR(VLOOKUP($C295,武器!$1:$998,COLUMN(V$1),FALSE)*VLOOKUP($D295,素材!$1:$1016,COLUMN(N$1),FALSE)+IF(CI295="",0,VLOOKUP($CI295,装強!$1:$1008,COLUMN($CK$1),FALSE)),"")</f>
        <v/>
      </c>
      <c r="CO295" t="e">
        <f>VLOOKUP(D295,素材!$A:$O,COLUMN(素材!O$1),FALSE)</f>
        <v>#N/A</v>
      </c>
      <c r="CP295" t="e">
        <f>VLOOKUP(C295,武器!$A:$W,COLUMN(武器!W$1),FALSE)</f>
        <v>#N/A</v>
      </c>
      <c r="CR295" t="str">
        <f t="shared" si="33"/>
        <v>e_295</v>
      </c>
      <c r="CS295" t="e">
        <f t="shared" si="34"/>
        <v>#VALUE!</v>
      </c>
    </row>
    <row r="296" spans="1:97" hidden="1" outlineLevel="1" x14ac:dyDescent="0.4">
      <c r="A296" t="str">
        <f>IF(CI296="",D296&amp;"の"&amp;C296,CI296&amp;"の"&amp;C296)</f>
        <v>の</v>
      </c>
      <c r="B296" t="str">
        <f>IFERROR(IF(CI296="",VLOOKUP($D296,素材!$1:$1016,COLUMN($B$1),FALSE)&amp;"・"&amp;VLOOKUP($C296,武器!$1:$998,COLUMN(B$1),FALSE),VLOOKUP($CI296,装強!$1:$1008,COLUMN($B$1),FALSE)&amp;"・"&amp;VLOOKUP($C296,武器!$1:$998,COLUMN(B$1),FALSE)),"")</f>
        <v/>
      </c>
      <c r="C296" s="24"/>
      <c r="D296" s="24"/>
      <c r="E296" t="str">
        <f>IFERROR(VLOOKUP(C296,武器!$1:$998,COLUMN(C$1),FALSE),"")</f>
        <v/>
      </c>
      <c r="F296" t="str">
        <f>IFERROR(ROUNDDOWN((VLOOKUP($C296,武器!$1:$998,COLUMN(D$1),FALSE)+IFERROR(VLOOKUP($CI296,装強!$1:$999,COLUMN(F$1),FALSE),0))*VLOOKUP($D296,素材!$1:$1016,COLUMN(D$1),FALSE),0),"")</f>
        <v/>
      </c>
      <c r="G296" t="str">
        <f>IFERROR(ROUNDDOWN((VLOOKUP($C296,武器!$1:$998,COLUMN(E$1),FALSE)+IFERROR(VLOOKUP($CI296,装強!$1:$999,COLUMN(G$1),FALSE),0))*VLOOKUP($D296,素材!$1:$1016,COLUMN($E$1),FALSE),0),"")</f>
        <v/>
      </c>
      <c r="H296" t="str">
        <f>IFERROR(ROUNDDOWN((VLOOKUP($C296,武器!$1:$998,COLUMN(F$1),FALSE)+IFERROR(VLOOKUP($CI296,装強!$1:$999,COLUMN(H$1),FALSE),0))*VLOOKUP($D296,素材!$1:$1016,COLUMN($E$1),FALSE),0),"")</f>
        <v/>
      </c>
      <c r="I296" t="str">
        <f>IFERROR(ROUNDDOWN((VLOOKUP($C296,武器!$1:$998,COLUMN(G$1),FALSE)+IFERROR(VLOOKUP($CI296,装強!$1:$999,COLUMN(I$1),FALSE),0))*VLOOKUP($D296,素材!$1:$1016,COLUMN($E$1),FALSE),0),"")</f>
        <v/>
      </c>
      <c r="J296" t="str">
        <f>IFERROR(ROUNDDOWN((VLOOKUP($C296,武器!$1:$998,COLUMN(H$1),FALSE)+IFERROR(VLOOKUP($CI296,装強!$1:$999,COLUMN(J$1),FALSE),0))*VLOOKUP($D296,素材!$1:$1016,COLUMN($E$1),FALSE),0),"")</f>
        <v/>
      </c>
      <c r="K296" t="str">
        <f>IFERROR(ROUNDDOWN((VLOOKUP($C296,武器!$1:$998,COLUMN(I$1),FALSE)+IFERROR(VLOOKUP($CI296,装強!$1:$999,COLUMN(K$1),FALSE),0))*VLOOKUP($D296,素材!$1:$1016,COLUMN($E$1),FALSE),0),"")</f>
        <v/>
      </c>
      <c r="L296" t="str">
        <f>IFERROR(VLOOKUP($D296,素材!$1:$1016,COLUMN($F$1),FALSE),"")</f>
        <v/>
      </c>
      <c r="M296" t="str">
        <f>IFERROR(VLOOKUP($C296,武器!$1:$998,COLUMN(AA$1),FALSE)*VLOOKUP($D296,素材!$1:$1016,COLUMN($G$1),FALSE),"")</f>
        <v/>
      </c>
      <c r="N296" t="str">
        <f>IFERROR(VLOOKUP($C296,武器!$1:$998,COLUMN(I$1),FALSE),"")</f>
        <v/>
      </c>
      <c r="O296" s="23" t="str">
        <f>IFERROR((VLOOKUP($C296,武器!$1:$998,COLUMN(K$1),FALSE)+VLOOKUP($D296,素材!$1:$1016,COLUMN(H$1),FALSE))*100+IFERROR(VLOOKUP($CI296,装強!$1:$999,COLUMN(O$1),FALSE),0),"")</f>
        <v/>
      </c>
      <c r="P296" s="23" t="str">
        <f>IFERROR((VLOOKUP($C296,武器!$1:$998,COLUMN(L$1),FALSE)+VLOOKUP($D296,素材!$1:$1016,COLUMN(I$1),FALSE))*100+IFERROR(VLOOKUP($CI296,装強!$1:$999,COLUMN(P$1),FALSE),0),"")</f>
        <v/>
      </c>
      <c r="Q296" t="str">
        <f>IFERROR(ROUNDUP(VLOOKUP($C296,武器!$1:$998,COLUMN(M$1),FALSE)*(VLOOKUP($D296,素材!$1:$1002,COLUMN(D$1),FALSE)/100),1),"")</f>
        <v/>
      </c>
      <c r="R296" t="str">
        <f>IFERROR(ROUNDUP(VLOOKUP($C296,武器!$1:$998,COLUMN(N$1),FALSE)*(VLOOKUP($D296,素材!$1:$1002,COLUMN(D$1),FALSE)/100),1),"")</f>
        <v/>
      </c>
      <c r="S296" t="str">
        <f>IFERROR(VLOOKUP($C296,武器!$1:$998,COLUMN(P$1),FALSE),"")</f>
        <v/>
      </c>
      <c r="T296" t="str">
        <f>IFERROR(VLOOKUP($C296,武器!$1:$998,COLUMN(Q$1),FALSE),"")</f>
        <v/>
      </c>
      <c r="U296" t="str">
        <f>IFERROR(VLOOKUP($C296,武器!$1:$998,COLUMN(R$1),FALSE),"")</f>
        <v/>
      </c>
      <c r="V296" t="str">
        <f>IFERROR(VLOOKUP($C296,武器!$1:$998,COLUMN(Q$1),FALSE),"")</f>
        <v/>
      </c>
      <c r="W296" t="str">
        <f>IFERROR(VLOOKUP($C296,武器!$1:$998,COLUMN(T$1),FALSE),"")</f>
        <v/>
      </c>
      <c r="Y296" t="str">
        <f>IFERROR(VLOOKUP($C296,武器!$1:$998,COLUMN(U$1),FALSE),"")</f>
        <v/>
      </c>
      <c r="Z296" t="str">
        <f>IFERROR(ROUNDUP(VLOOKUP($C296,武器!$1:$998,COLUMN(O$1),FALSE)*VLOOKUP($D296,素材!$1:$1016,COLUMN(E$1),FALSE),1),"")</f>
        <v/>
      </c>
      <c r="AA296">
        <f>IF(ISNUMBER(SEARCH(SUBSTITUTE(AA$1,RIGHT(AA$1,2),""),VLOOKUP($D296,素材!$1:$1016,COLUMN($F$1),FALSE))),VLOOKUP($C296,武器!$1:$998,COLUMN($O$1),FALSE)*VLOOKUP($D296,素材!$1:$1016,COLUMN($E$1),FALSE)/(LEN(VLOOKUP($D296,素材!$1:$1016,COLUMN($F$1),FALSE)) - LEN(SUBSTITUTE(VLOOKUP($D296,素材!$1:$1016,COLUMN($F$1),FALSE), "・", 0)) + 1), 0)</f>
        <v>0</v>
      </c>
      <c r="AB296">
        <f>IF(ISNUMBER(SEARCH(SUBSTITUTE(AB$1,RIGHT(AB$1,2),""),VLOOKUP($D296,素材!$1:$1016,COLUMN($F$1),FALSE))),VLOOKUP($C296,武器!$1:$998,COLUMN($O$1),FALSE)*VLOOKUP($D296,素材!$1:$1016,COLUMN($E$1),FALSE)/(LEN(VLOOKUP($D296,素材!$1:$1016,COLUMN($F$1),FALSE)) - LEN(SUBSTITUTE(VLOOKUP($D296,素材!$1:$1016,COLUMN($F$1),FALSE), "・", 0)) + 1), 0)</f>
        <v>0</v>
      </c>
      <c r="AC296">
        <f>IF(ISNUMBER(SEARCH(SUBSTITUTE(AC$1,RIGHT(AC$1,2),""),VLOOKUP($D296,素材!$1:$1016,COLUMN($F$1),FALSE))),VLOOKUP($C296,武器!$1:$998,COLUMN($O$1),FALSE)*VLOOKUP($D296,素材!$1:$1016,COLUMN($E$1),FALSE)/(LEN(VLOOKUP($D296,素材!$1:$1016,COLUMN($F$1),FALSE)) - LEN(SUBSTITUTE(VLOOKUP($D296,素材!$1:$1016,COLUMN($F$1),FALSE), "・", 0)) + 1), 0)</f>
        <v>0</v>
      </c>
      <c r="AD296">
        <f>IF(ISNUMBER(SEARCH(SUBSTITUTE(AD$1,RIGHT(AD$1,2),""),VLOOKUP($D296,素材!$1:$1016,COLUMN($F$1),FALSE))),VLOOKUP($C296,武器!$1:$998,COLUMN($O$1),FALSE)*VLOOKUP($D296,素材!$1:$1016,COLUMN($E$1),FALSE)/(LEN(VLOOKUP($D296,素材!$1:$1016,COLUMN($F$1),FALSE)) - LEN(SUBSTITUTE(VLOOKUP($D296,素材!$1:$1016,COLUMN($F$1),FALSE), "・", 0)) + 1), 0)</f>
        <v>0</v>
      </c>
      <c r="AE296">
        <f>IF(ISNUMBER(SEARCH(SUBSTITUTE(AE$1,RIGHT(AE$1,2),""),VLOOKUP($D296,素材!$1:$1016,COLUMN($F$1),FALSE))),VLOOKUP($C296,武器!$1:$998,COLUMN($O$1),FALSE)*VLOOKUP($D296,素材!$1:$1016,COLUMN($E$1),FALSE)/(LEN(VLOOKUP($D296,素材!$1:$1016,COLUMN($F$1),FALSE)) - LEN(SUBSTITUTE(VLOOKUP($D296,素材!$1:$1016,COLUMN($F$1),FALSE), "・", 0)) + 1), 0)</f>
        <v>0</v>
      </c>
      <c r="AF296">
        <f>IF(ISNUMBER(SEARCH(SUBSTITUTE(AF$1,RIGHT(AF$1,2),""),VLOOKUP($D296,素材!$1:$1016,COLUMN($F$1),FALSE))),VLOOKUP($C296,武器!$1:$998,COLUMN($O$1),FALSE)*VLOOKUP($D296,素材!$1:$1016,COLUMN($E$1),FALSE)/(LEN(VLOOKUP($D296,素材!$1:$1016,COLUMN($F$1),FALSE)) - LEN(SUBSTITUTE(VLOOKUP($D296,素材!$1:$1016,COLUMN($F$1),FALSE), "・", 0)) + 1), 0)</f>
        <v>0</v>
      </c>
      <c r="AG296">
        <f>IF(ISNUMBER(SEARCH(SUBSTITUTE(AG$1,RIGHT(AG$1,2),""),VLOOKUP($D296,素材!$1:$1016,COLUMN($F$1),FALSE))),VLOOKUP($C296,武器!$1:$998,COLUMN($O$1),FALSE)*VLOOKUP($D296,素材!$1:$1016,COLUMN($E$1),FALSE)/(LEN(VLOOKUP($D296,素材!$1:$1016,COLUMN($F$1),FALSE)) - LEN(SUBSTITUTE(VLOOKUP($D296,素材!$1:$1016,COLUMN($F$1),FALSE), "・", 0)) + 1), 0)</f>
        <v>0</v>
      </c>
      <c r="AH296">
        <f>IF(ISNUMBER(SEARCH(SUBSTITUTE(AH$1,RIGHT(AH$1,2),""),VLOOKUP($D296,素材!$1:$1016,COLUMN($F$1),FALSE))),VLOOKUP($C296,武器!$1:$998,COLUMN($O$1),FALSE)*VLOOKUP($D296,素材!$1:$1016,COLUMN($E$1),FALSE)/(LEN(VLOOKUP($D296,素材!$1:$1016,COLUMN($F$1),FALSE)) - LEN(SUBSTITUTE(VLOOKUP($D296,素材!$1:$1016,COLUMN($F$1),FALSE), "・", 0)) + 1), 0)</f>
        <v>0</v>
      </c>
      <c r="AI296">
        <f>IF(ISNUMBER(SEARCH(SUBSTITUTE(AI$1,RIGHT(AI$1,2),""),VLOOKUP($D296,素材!$1:$1016,COLUMN($F$1),FALSE))),VLOOKUP($C296,武器!$1:$998,COLUMN($O$1),FALSE)*VLOOKUP($D296,素材!$1:$1016,COLUMN($E$1),FALSE)/(LEN(VLOOKUP($D296,素材!$1:$1016,COLUMN($F$1),FALSE)) - LEN(SUBSTITUTE(VLOOKUP($D296,素材!$1:$1016,COLUMN($F$1),FALSE), "・", 0)) + 1), 0)</f>
        <v>0</v>
      </c>
      <c r="AJ296">
        <f>IF(ISNUMBER(SEARCH(SUBSTITUTE(AJ$1,RIGHT(AJ$1,2),""),VLOOKUP($D296,素材!$1:$1016,COLUMN($F$1),FALSE))),VLOOKUP($C296,武器!$1:$998,COLUMN($O$1),FALSE)*VLOOKUP($D296,素材!$1:$1016,COLUMN($E$1),FALSE)/(LEN(VLOOKUP($D296,素材!$1:$1016,COLUMN($F$1),FALSE)) - LEN(SUBSTITUTE(VLOOKUP($D296,素材!$1:$1016,COLUMN($F$1),FALSE), "・", 0)) + 1), 0)</f>
        <v>0</v>
      </c>
      <c r="AK296">
        <f>IF(ISNUMBER(SEARCH(SUBSTITUTE(AK$1,RIGHT(AK$1,2),""),VLOOKUP($D296,素材!$1:$1016,COLUMN($F$1),FALSE))),VLOOKUP($C296,武器!$1:$998,COLUMN($O$1),FALSE)*VLOOKUP($D296,素材!$1:$1016,COLUMN($E$1),FALSE)/(LEN(VLOOKUP($D296,素材!$1:$1016,COLUMN($F$1),FALSE)) - LEN(SUBSTITUTE(VLOOKUP($D296,素材!$1:$1016,COLUMN($F$1),FALSE), "・", 0)) + 1), 0)</f>
        <v>0</v>
      </c>
      <c r="AL296">
        <f>IF(ISNUMBER(SEARCH(SUBSTITUTE(AL$1,RIGHT(AL$1,2),""),VLOOKUP($D296,素材!$1:$1016,COLUMN($F$1),FALSE))),VLOOKUP($C296,武器!$1:$998,COLUMN($O$1),FALSE)*VLOOKUP($D296,素材!$1:$1016,COLUMN($E$1),FALSE)/(LEN(VLOOKUP($D296,素材!$1:$1016,COLUMN($F$1),FALSE)) - LEN(SUBSTITUTE(VLOOKUP($D296,素材!$1:$1016,COLUMN($F$1),FALSE), "・", 0)) + 1), 0)</f>
        <v>0</v>
      </c>
      <c r="AM296">
        <f>IF(ISNUMBER(SEARCH(SUBSTITUTE(AM$1,RIGHT(AM$1,2),""),VLOOKUP($D296,素材!$1:$1016,COLUMN($F$1),FALSE))),VLOOKUP($C296,武器!$1:$998,COLUMN($O$1),FALSE)*VLOOKUP($D296,素材!$1:$1016,COLUMN($E$1),FALSE)/(LEN(VLOOKUP($D296,素材!$1:$1016,COLUMN($F$1),FALSE)) - LEN(SUBSTITUTE(VLOOKUP($D296,素材!$1:$1016,COLUMN($F$1),FALSE), "・", 0)) + 1), 0)</f>
        <v>0</v>
      </c>
      <c r="AN296">
        <f>IF(ISNUMBER(SEARCH(SUBSTITUTE(AN$1,RIGHT(AN$1,2),""),VLOOKUP($D296,素材!$1:$1016,COLUMN($F$1),FALSE))),VLOOKUP($C296,武器!$1:$998,COLUMN($O$1),FALSE)*VLOOKUP($D296,素材!$1:$1016,COLUMN($E$1),FALSE)/(LEN(VLOOKUP($D296,素材!$1:$1016,COLUMN($F$1),FALSE)) - LEN(SUBSTITUTE(VLOOKUP($D296,素材!$1:$1016,COLUMN($F$1),FALSE), "・", 0)) + 1), 0)</f>
        <v>0</v>
      </c>
      <c r="AO296">
        <f>IF(ISNUMBER(SEARCH(SUBSTITUTE(AO$1,RIGHT(AO$1,2),""),VLOOKUP($D296,素材!$1:$1016,COLUMN($F$1),FALSE))),VLOOKUP($C296,武器!$1:$998,COLUMN($O$1),FALSE)*VLOOKUP($D296,素材!$1:$1016,COLUMN($E$1),FALSE)/(LEN(VLOOKUP($D296,素材!$1:$1016,COLUMN($F$1),FALSE)) - LEN(SUBSTITUTE(VLOOKUP($D296,素材!$1:$1016,COLUMN($F$1),FALSE), "・", 0)) + 1), 0)</f>
        <v>0</v>
      </c>
      <c r="AP296">
        <f>IF(ISNUMBER(SEARCH(SUBSTITUTE(AP$1,RIGHT(AP$1,2),""),VLOOKUP($D296,素材!$1:$1016,COLUMN($F$1),FALSE))),VLOOKUP($C296,武器!$1:$998,COLUMN($O$1),FALSE)*VLOOKUP($D296,素材!$1:$1016,COLUMN($E$1),FALSE)/(LEN(VLOOKUP($D296,素材!$1:$1016,COLUMN($F$1),FALSE)) - LEN(SUBSTITUTE(VLOOKUP($D296,素材!$1:$1016,COLUMN($F$1),FALSE), "・", 0)) + 1), 0)</f>
        <v>0</v>
      </c>
      <c r="AQ296">
        <f>IF(ISNUMBER(SEARCH(SUBSTITUTE(AQ$1,RIGHT(AQ$1,2),""),VLOOKUP($D296,素材!$1:$1016,COLUMN($F$1),FALSE))),VLOOKUP($C296,武器!$1:$998,COLUMN($O$1),FALSE)*VLOOKUP($D296,素材!$1:$1016,COLUMN($E$1),FALSE)/(LEN(VLOOKUP($D296,素材!$1:$1016,COLUMN($F$1),FALSE)) - LEN(SUBSTITUTE(VLOOKUP($D296,素材!$1:$1016,COLUMN($F$1),FALSE), "・", 0)) + 1), 0)</f>
        <v>0</v>
      </c>
      <c r="AR296">
        <f>IF(ISNUMBER(SEARCH(SUBSTITUTE(AR$1,RIGHT(AR$1,2),""),VLOOKUP($D296,素材!$1:$1016,COLUMN($F$1),FALSE))),VLOOKUP($C296,武器!$1:$998,COLUMN($O$1),FALSE)*VLOOKUP($D296,素材!$1:$1016,COLUMN($E$1),FALSE)/(LEN(VLOOKUP($D296,素材!$1:$1016,COLUMN($F$1),FALSE)) - LEN(SUBSTITUTE(VLOOKUP($D296,素材!$1:$1016,COLUMN($F$1),FALSE), "・", 0)) + 1), 0)</f>
        <v>0</v>
      </c>
      <c r="AS296">
        <f>IF(ISNUMBER(SEARCH(SUBSTITUTE(AS$1,RIGHT(AS$1,2),""),VLOOKUP($D296,素材!$1:$1016,COLUMN($F$1),FALSE))),VLOOKUP($C296,武器!$1:$998,COLUMN($O$1),FALSE)*VLOOKUP($D296,素材!$1:$1016,COLUMN($E$1),FALSE)/(LEN(VLOOKUP($D296,素材!$1:$1016,COLUMN($F$1),FALSE)) - LEN(SUBSTITUTE(VLOOKUP($D296,素材!$1:$1016,COLUMN($F$1),FALSE), "・", 0)) + 1), 0)</f>
        <v>0</v>
      </c>
      <c r="AT296">
        <f>IF(ISNUMBER(SEARCH(SUBSTITUTE(AT$1,RIGHT(AT$1,2),""),VLOOKUP($D296,素材!$1:$1016,COLUMN($F$1),FALSE))),VLOOKUP($C296,武器!$1:$998,COLUMN($O$1),FALSE)*VLOOKUP($D296,素材!$1:$1016,COLUMN($E$1),FALSE)/(LEN(VLOOKUP($D296,素材!$1:$1016,COLUMN($F$1),FALSE)) - LEN(SUBSTITUTE(VLOOKUP($D296,素材!$1:$1016,COLUMN($F$1),FALSE), "・", 0)) + 1), 0)</f>
        <v>0</v>
      </c>
      <c r="AU296">
        <f>IF(ISNUMBER(SEARCH(SUBSTITUTE(AU$1,RIGHT(AU$1,2),""),VLOOKUP($D296,素材!$1:$1016,COLUMN($F$1),FALSE))),VLOOKUP($C296,武器!$1:$998,COLUMN($O$1),FALSE)*VLOOKUP($D296,素材!$1:$1016,COLUMN($E$1),FALSE)/(LEN(VLOOKUP($D296,素材!$1:$1016,COLUMN($F$1),FALSE)) - LEN(SUBSTITUTE(VLOOKUP($D296,素材!$1:$1016,COLUMN($F$1),FALSE), "・", 0)) + 1), 0)</f>
        <v>0</v>
      </c>
      <c r="AV296">
        <f>IF(ISNUMBER(SEARCH(SUBSTITUTE(AV$1,RIGHT(AV$1,2),""),VLOOKUP($D296,素材!$1:$1016,COLUMN($F$1),FALSE))),VLOOKUP($C296,武器!$1:$998,COLUMN($O$1),FALSE)*VLOOKUP($D296,素材!$1:$1016,COLUMN($E$1),FALSE)/(LEN(VLOOKUP($D296,素材!$1:$1016,COLUMN($F$1),FALSE)) - LEN(SUBSTITUTE(VLOOKUP($D296,素材!$1:$1016,COLUMN($F$1),FALSE), "・", 0)) + 1), 0)</f>
        <v>0</v>
      </c>
      <c r="AW296">
        <f>IF(ISNUMBER(SEARCH(SUBSTITUTE(AW$1,RIGHT(AW$1,2),""),VLOOKUP($D296,素材!$1:$1016,COLUMN($F$1),FALSE))),VLOOKUP($C296,武器!$1:$998,COLUMN($O$1),FALSE)*VLOOKUP($D296,素材!$1:$1016,COLUMN($E$1),FALSE)/(LEN(VLOOKUP($D296,素材!$1:$1016,COLUMN($F$1),FALSE)) - LEN(SUBSTITUTE(VLOOKUP($D296,素材!$1:$1016,COLUMN($F$1),FALSE), "・", 0)) + 1), 0)</f>
        <v>0</v>
      </c>
      <c r="AX296">
        <f>IF(ISNUMBER(SEARCH(SUBSTITUTE(AX$1,RIGHT(AX$1,2),""),VLOOKUP($D296,素材!$1:$1016,COLUMN($F$1),FALSE))),VLOOKUP($C296,武器!$1:$998,COLUMN($O$1),FALSE)*VLOOKUP($D296,素材!$1:$1016,COLUMN($E$1),FALSE)/(LEN(VLOOKUP($D296,素材!$1:$1016,COLUMN($F$1),FALSE)) - LEN(SUBSTITUTE(VLOOKUP($D296,素材!$1:$1016,COLUMN($F$1),FALSE), "・", 0)) + 1), 0)</f>
        <v>0</v>
      </c>
      <c r="AY296">
        <f>IF(ISNUMBER(SEARCH(SUBSTITUTE(AY$1,RIGHT(AY$1,2),""),VLOOKUP($D296,素材!$1:$1016,COLUMN($F$1),FALSE))),VLOOKUP($C296,武器!$1:$998,COLUMN($O$1),FALSE)*VLOOKUP($D296,素材!$1:$1016,COLUMN($E$1),FALSE)/(LEN(VLOOKUP($D296,素材!$1:$1016,COLUMN($F$1),FALSE)) - LEN(SUBSTITUTE(VLOOKUP($D296,素材!$1:$1016,COLUMN($F$1),FALSE), "・", 0)) + 1), 0)</f>
        <v>0</v>
      </c>
      <c r="AZ296">
        <f>IF(ISNUMBER(SEARCH(SUBSTITUTE(AZ$1,RIGHT(AZ$1,2),""),VLOOKUP($D296,素材!$1:$1016,COLUMN($F$1),FALSE))),VLOOKUP($C296,武器!$1:$998,COLUMN($O$1),FALSE)*VLOOKUP($D296,素材!$1:$1016,COLUMN($E$1),FALSE)/(LEN(VLOOKUP($D296,素材!$1:$1016,COLUMN($F$1),FALSE)) - LEN(SUBSTITUTE(VLOOKUP($D296,素材!$1:$1016,COLUMN($F$1),FALSE), "・", 0)) + 1), 0)</f>
        <v>0</v>
      </c>
      <c r="BA296">
        <f>IF(ISNUMBER(SEARCH(SUBSTITUTE(BA$1,RIGHT(BA$1,2),""),VLOOKUP($D296,素材!$1:$1016,COLUMN($F$1),FALSE))),VLOOKUP($C296,武器!$1:$998,COLUMN($O$1),FALSE)*VLOOKUP($D296,素材!$1:$1016,COLUMN($E$1),FALSE)/(LEN(VLOOKUP($D296,素材!$1:$1016,COLUMN($F$1),FALSE)) - LEN(SUBSTITUTE(VLOOKUP($D296,素材!$1:$1016,COLUMN($F$1),FALSE), "・", 0)) + 1), 0)</f>
        <v>0</v>
      </c>
      <c r="BB296">
        <f>IF(ISNUMBER(SEARCH(SUBSTITUTE(BB$1,RIGHT(BB$1,2),""),VLOOKUP($D296,素材!$1:$1016,COLUMN($F$1),FALSE))),VLOOKUP($C296,武器!$1:$998,COLUMN($O$1),FALSE)*VLOOKUP($D296,素材!$1:$1016,COLUMN($E$1),FALSE)/(LEN(VLOOKUP($D296,素材!$1:$1016,COLUMN($F$1),FALSE)) - LEN(SUBSTITUTE(VLOOKUP($D296,素材!$1:$1016,COLUMN($F$1),FALSE), "・", 0)) + 1), 0)</f>
        <v>0</v>
      </c>
      <c r="BC296">
        <f>IF(ISNUMBER(SEARCH(SUBSTITUTE(BC$1,RIGHT(BC$1,2),""),VLOOKUP($D296,素材!$1:$1016,COLUMN($F$1),FALSE))),VLOOKUP($C296,武器!$1:$998,COLUMN($O$1),FALSE)*VLOOKUP($D296,素材!$1:$1016,COLUMN($E$1),FALSE)/(LEN(VLOOKUP($D296,素材!$1:$1016,COLUMN($F$1),FALSE)) - LEN(SUBSTITUTE(VLOOKUP($D296,素材!$1:$1016,COLUMN($F$1),FALSE), "・", 0)) + 1), 0)</f>
        <v>0</v>
      </c>
      <c r="BD296">
        <f>IF(ISNUMBER(SEARCH(SUBSTITUTE(BD$1,RIGHT(BD$1,2),""),VLOOKUP($D296,素材!$1:$1016,COLUMN($F$1),FALSE))),VLOOKUP($C296,武器!$1:$998,COLUMN($O$1),FALSE)*VLOOKUP($D296,素材!$1:$1016,COLUMN($E$1),FALSE)/(LEN(VLOOKUP($D296,素材!$1:$1016,COLUMN($F$1),FALSE)) - LEN(SUBSTITUTE(VLOOKUP($D296,素材!$1:$1016,COLUMN($F$1),FALSE), "・", 0)) + 1), 0)</f>
        <v>0</v>
      </c>
      <c r="BE296">
        <f>IF(ISNUMBER(SEARCH(SUBSTITUTE(BE$1,RIGHT(BE$1,2),""),VLOOKUP($D296,素材!$1:$1016,COLUMN($F$1),FALSE))),VLOOKUP($C296,武器!$1:$998,COLUMN($O$1),FALSE)*VLOOKUP($D296,素材!$1:$1016,COLUMN($E$1),FALSE)/(LEN(VLOOKUP($D296,素材!$1:$1016,COLUMN($F$1),FALSE)) - LEN(SUBSTITUTE(VLOOKUP($D296,素材!$1:$1016,COLUMN($F$1),FALSE), "・", 0)) + 1), 0)</f>
        <v>0</v>
      </c>
      <c r="CL296">
        <f>SUM(G296:I296)</f>
        <v>0</v>
      </c>
      <c r="CM296" s="22" t="str">
        <f>IF(E296="武器",IF(J296-1&gt;SUM(G296:I296),"盾",IF(MAX(G296:I296)=G296,"切断",IF(MAX(G296:I296)=H296,"貫通",IF(MAX(G296:I296)=I296,"打撃","射撃")))),E296)&amp;".webp"</f>
        <v>.webp</v>
      </c>
      <c r="CN296" t="str">
        <f>IFERROR(VLOOKUP($C296,武器!$1:$998,COLUMN(V$1),FALSE)*VLOOKUP($D296,素材!$1:$1016,COLUMN(N$1),FALSE)+IF(CI296="",0,VLOOKUP($CI296,装強!$1:$1008,COLUMN($CK$1),FALSE)),"")</f>
        <v/>
      </c>
      <c r="CO296" t="e">
        <f>VLOOKUP(D296,素材!$A:$O,COLUMN(素材!O$1),FALSE)</f>
        <v>#N/A</v>
      </c>
      <c r="CP296" t="e">
        <f>VLOOKUP(C296,武器!$A:$W,COLUMN(武器!W$1),FALSE)</f>
        <v>#N/A</v>
      </c>
      <c r="CR296" t="str">
        <f t="shared" si="33"/>
        <v>e_296</v>
      </c>
      <c r="CS296" t="e">
        <f t="shared" si="34"/>
        <v>#VALUE!</v>
      </c>
    </row>
    <row r="297" spans="1:97" hidden="1" outlineLevel="1" x14ac:dyDescent="0.4">
      <c r="A297" t="str">
        <f>IF(CI297="",D297&amp;"の"&amp;C297,CI297&amp;"の"&amp;C297)</f>
        <v>の</v>
      </c>
      <c r="B297" t="str">
        <f>IFERROR(IF(CI297="",VLOOKUP($D297,素材!$1:$1016,COLUMN($B$1),FALSE)&amp;"・"&amp;VLOOKUP($C297,武器!$1:$998,COLUMN(B$1),FALSE),VLOOKUP($CI297,装強!$1:$1008,COLUMN($B$1),FALSE)&amp;"・"&amp;VLOOKUP($C297,武器!$1:$998,COLUMN(B$1),FALSE)),"")</f>
        <v/>
      </c>
      <c r="C297" s="24"/>
      <c r="D297" s="24"/>
      <c r="E297" t="str">
        <f>IFERROR(VLOOKUP(C297,武器!$1:$998,COLUMN(C$1),FALSE),"")</f>
        <v/>
      </c>
      <c r="F297" t="str">
        <f>IFERROR(ROUNDDOWN((VLOOKUP($C297,武器!$1:$998,COLUMN(D$1),FALSE)+IFERROR(VLOOKUP($CI297,装強!$1:$999,COLUMN(F$1),FALSE),0))*VLOOKUP($D297,素材!$1:$1016,COLUMN(D$1),FALSE),0),"")</f>
        <v/>
      </c>
      <c r="G297" t="str">
        <f>IFERROR(ROUNDDOWN((VLOOKUP($C297,武器!$1:$998,COLUMN(E$1),FALSE)+IFERROR(VLOOKUP($CI297,装強!$1:$999,COLUMN(G$1),FALSE),0))*VLOOKUP($D297,素材!$1:$1016,COLUMN($E$1),FALSE),0),"")</f>
        <v/>
      </c>
      <c r="H297" t="str">
        <f>IFERROR(ROUNDDOWN((VLOOKUP($C297,武器!$1:$998,COLUMN(F$1),FALSE)+IFERROR(VLOOKUP($CI297,装強!$1:$999,COLUMN(H$1),FALSE),0))*VLOOKUP($D297,素材!$1:$1016,COLUMN($E$1),FALSE),0),"")</f>
        <v/>
      </c>
      <c r="I297" t="str">
        <f>IFERROR(ROUNDDOWN((VLOOKUP($C297,武器!$1:$998,COLUMN(G$1),FALSE)+IFERROR(VLOOKUP($CI297,装強!$1:$999,COLUMN(I$1),FALSE),0))*VLOOKUP($D297,素材!$1:$1016,COLUMN($E$1),FALSE),0),"")</f>
        <v/>
      </c>
      <c r="J297" t="str">
        <f>IFERROR(ROUNDDOWN((VLOOKUP($C297,武器!$1:$998,COLUMN(H$1),FALSE)+IFERROR(VLOOKUP($CI297,装強!$1:$999,COLUMN(J$1),FALSE),0))*VLOOKUP($D297,素材!$1:$1016,COLUMN($E$1),FALSE),0),"")</f>
        <v/>
      </c>
      <c r="K297" t="str">
        <f>IFERROR(ROUNDDOWN((VLOOKUP($C297,武器!$1:$998,COLUMN(I$1),FALSE)+IFERROR(VLOOKUP($CI297,装強!$1:$999,COLUMN(K$1),FALSE),0))*VLOOKUP($D297,素材!$1:$1016,COLUMN($E$1),FALSE),0),"")</f>
        <v/>
      </c>
      <c r="L297" t="str">
        <f>IFERROR(VLOOKUP($D297,素材!$1:$1016,COLUMN($F$1),FALSE),"")</f>
        <v/>
      </c>
      <c r="M297" t="str">
        <f>IFERROR(VLOOKUP($C297,武器!$1:$998,COLUMN(AA$1),FALSE)*VLOOKUP($D297,素材!$1:$1016,COLUMN($G$1),FALSE),"")</f>
        <v/>
      </c>
      <c r="N297" t="str">
        <f>IFERROR(VLOOKUP($C297,武器!$1:$998,COLUMN(I$1),FALSE),"")</f>
        <v/>
      </c>
      <c r="O297" s="23" t="str">
        <f>IFERROR((VLOOKUP($C297,武器!$1:$998,COLUMN(K$1),FALSE)+VLOOKUP($D297,素材!$1:$1016,COLUMN(H$1),FALSE))*100+IFERROR(VLOOKUP($CI297,装強!$1:$999,COLUMN(O$1),FALSE),0),"")</f>
        <v/>
      </c>
      <c r="P297" s="23" t="str">
        <f>IFERROR((VLOOKUP($C297,武器!$1:$998,COLUMN(L$1),FALSE)+VLOOKUP($D297,素材!$1:$1016,COLUMN(I$1),FALSE))*100+IFERROR(VLOOKUP($CI297,装強!$1:$999,COLUMN(P$1),FALSE),0),"")</f>
        <v/>
      </c>
      <c r="Q297" t="str">
        <f>IFERROR(ROUNDUP(VLOOKUP($C297,武器!$1:$998,COLUMN(M$1),FALSE)*(VLOOKUP($D297,素材!$1:$1002,COLUMN(D$1),FALSE)/100),1),"")</f>
        <v/>
      </c>
      <c r="R297" t="str">
        <f>IFERROR(ROUNDUP(VLOOKUP($C297,武器!$1:$998,COLUMN(N$1),FALSE)*(VLOOKUP($D297,素材!$1:$1002,COLUMN(D$1),FALSE)/100),1),"")</f>
        <v/>
      </c>
      <c r="S297" t="str">
        <f>IFERROR(VLOOKUP($C297,武器!$1:$998,COLUMN(P$1),FALSE),"")</f>
        <v/>
      </c>
      <c r="T297" t="str">
        <f>IFERROR(VLOOKUP($C297,武器!$1:$998,COLUMN(Q$1),FALSE),"")</f>
        <v/>
      </c>
      <c r="U297" t="str">
        <f>IFERROR(VLOOKUP($C297,武器!$1:$998,COLUMN(R$1),FALSE),"")</f>
        <v/>
      </c>
      <c r="V297" t="str">
        <f>IFERROR(VLOOKUP($C297,武器!$1:$998,COLUMN(Q$1),FALSE),"")</f>
        <v/>
      </c>
      <c r="W297" t="str">
        <f>IFERROR(VLOOKUP($C297,武器!$1:$998,COLUMN(T$1),FALSE),"")</f>
        <v/>
      </c>
      <c r="Y297" t="str">
        <f>IFERROR(VLOOKUP($C297,武器!$1:$998,COLUMN(U$1),FALSE),"")</f>
        <v/>
      </c>
      <c r="Z297" t="str">
        <f>IFERROR(ROUNDUP(VLOOKUP($C297,武器!$1:$998,COLUMN(O$1),FALSE)*VLOOKUP($D297,素材!$1:$1016,COLUMN(E$1),FALSE),1),"")</f>
        <v/>
      </c>
      <c r="AA297">
        <f>IF(ISNUMBER(SEARCH(SUBSTITUTE(AA$1,RIGHT(AA$1,2),""),VLOOKUP($D297,素材!$1:$1016,COLUMN($F$1),FALSE))),VLOOKUP($C297,武器!$1:$998,COLUMN($O$1),FALSE)*VLOOKUP($D297,素材!$1:$1016,COLUMN($E$1),FALSE)/(LEN(VLOOKUP($D297,素材!$1:$1016,COLUMN($F$1),FALSE)) - LEN(SUBSTITUTE(VLOOKUP($D297,素材!$1:$1016,COLUMN($F$1),FALSE), "・", 0)) + 1), 0)</f>
        <v>0</v>
      </c>
      <c r="AB297">
        <f>IF(ISNUMBER(SEARCH(SUBSTITUTE(AB$1,RIGHT(AB$1,2),""),VLOOKUP($D297,素材!$1:$1016,COLUMN($F$1),FALSE))),VLOOKUP($C297,武器!$1:$998,COLUMN($O$1),FALSE)*VLOOKUP($D297,素材!$1:$1016,COLUMN($E$1),FALSE)/(LEN(VLOOKUP($D297,素材!$1:$1016,COLUMN($F$1),FALSE)) - LEN(SUBSTITUTE(VLOOKUP($D297,素材!$1:$1016,COLUMN($F$1),FALSE), "・", 0)) + 1), 0)</f>
        <v>0</v>
      </c>
      <c r="AC297">
        <f>IF(ISNUMBER(SEARCH(SUBSTITUTE(AC$1,RIGHT(AC$1,2),""),VLOOKUP($D297,素材!$1:$1016,COLUMN($F$1),FALSE))),VLOOKUP($C297,武器!$1:$998,COLUMN($O$1),FALSE)*VLOOKUP($D297,素材!$1:$1016,COLUMN($E$1),FALSE)/(LEN(VLOOKUP($D297,素材!$1:$1016,COLUMN($F$1),FALSE)) - LEN(SUBSTITUTE(VLOOKUP($D297,素材!$1:$1016,COLUMN($F$1),FALSE), "・", 0)) + 1), 0)</f>
        <v>0</v>
      </c>
      <c r="AD297">
        <f>IF(ISNUMBER(SEARCH(SUBSTITUTE(AD$1,RIGHT(AD$1,2),""),VLOOKUP($D297,素材!$1:$1016,COLUMN($F$1),FALSE))),VLOOKUP($C297,武器!$1:$998,COLUMN($O$1),FALSE)*VLOOKUP($D297,素材!$1:$1016,COLUMN($E$1),FALSE)/(LEN(VLOOKUP($D297,素材!$1:$1016,COLUMN($F$1),FALSE)) - LEN(SUBSTITUTE(VLOOKUP($D297,素材!$1:$1016,COLUMN($F$1),FALSE), "・", 0)) + 1), 0)</f>
        <v>0</v>
      </c>
      <c r="AE297">
        <f>IF(ISNUMBER(SEARCH(SUBSTITUTE(AE$1,RIGHT(AE$1,2),""),VLOOKUP($D297,素材!$1:$1016,COLUMN($F$1),FALSE))),VLOOKUP($C297,武器!$1:$998,COLUMN($O$1),FALSE)*VLOOKUP($D297,素材!$1:$1016,COLUMN($E$1),FALSE)/(LEN(VLOOKUP($D297,素材!$1:$1016,COLUMN($F$1),FALSE)) - LEN(SUBSTITUTE(VLOOKUP($D297,素材!$1:$1016,COLUMN($F$1),FALSE), "・", 0)) + 1), 0)</f>
        <v>0</v>
      </c>
      <c r="AF297">
        <f>IF(ISNUMBER(SEARCH(SUBSTITUTE(AF$1,RIGHT(AF$1,2),""),VLOOKUP($D297,素材!$1:$1016,COLUMN($F$1),FALSE))),VLOOKUP($C297,武器!$1:$998,COLUMN($O$1),FALSE)*VLOOKUP($D297,素材!$1:$1016,COLUMN($E$1),FALSE)/(LEN(VLOOKUP($D297,素材!$1:$1016,COLUMN($F$1),FALSE)) - LEN(SUBSTITUTE(VLOOKUP($D297,素材!$1:$1016,COLUMN($F$1),FALSE), "・", 0)) + 1), 0)</f>
        <v>0</v>
      </c>
      <c r="AG297">
        <f>IF(ISNUMBER(SEARCH(SUBSTITUTE(AG$1,RIGHT(AG$1,2),""),VLOOKUP($D297,素材!$1:$1016,COLUMN($F$1),FALSE))),VLOOKUP($C297,武器!$1:$998,COLUMN($O$1),FALSE)*VLOOKUP($D297,素材!$1:$1016,COLUMN($E$1),FALSE)/(LEN(VLOOKUP($D297,素材!$1:$1016,COLUMN($F$1),FALSE)) - LEN(SUBSTITUTE(VLOOKUP($D297,素材!$1:$1016,COLUMN($F$1),FALSE), "・", 0)) + 1), 0)</f>
        <v>0</v>
      </c>
      <c r="AH297">
        <f>IF(ISNUMBER(SEARCH(SUBSTITUTE(AH$1,RIGHT(AH$1,2),""),VLOOKUP($D297,素材!$1:$1016,COLUMN($F$1),FALSE))),VLOOKUP($C297,武器!$1:$998,COLUMN($O$1),FALSE)*VLOOKUP($D297,素材!$1:$1016,COLUMN($E$1),FALSE)/(LEN(VLOOKUP($D297,素材!$1:$1016,COLUMN($F$1),FALSE)) - LEN(SUBSTITUTE(VLOOKUP($D297,素材!$1:$1016,COLUMN($F$1),FALSE), "・", 0)) + 1), 0)</f>
        <v>0</v>
      </c>
      <c r="AI297">
        <f>IF(ISNUMBER(SEARCH(SUBSTITUTE(AI$1,RIGHT(AI$1,2),""),VLOOKUP($D297,素材!$1:$1016,COLUMN($F$1),FALSE))),VLOOKUP($C297,武器!$1:$998,COLUMN($O$1),FALSE)*VLOOKUP($D297,素材!$1:$1016,COLUMN($E$1),FALSE)/(LEN(VLOOKUP($D297,素材!$1:$1016,COLUMN($F$1),FALSE)) - LEN(SUBSTITUTE(VLOOKUP($D297,素材!$1:$1016,COLUMN($F$1),FALSE), "・", 0)) + 1), 0)</f>
        <v>0</v>
      </c>
      <c r="AJ297">
        <f>IF(ISNUMBER(SEARCH(SUBSTITUTE(AJ$1,RIGHT(AJ$1,2),""),VLOOKUP($D297,素材!$1:$1016,COLUMN($F$1),FALSE))),VLOOKUP($C297,武器!$1:$998,COLUMN($O$1),FALSE)*VLOOKUP($D297,素材!$1:$1016,COLUMN($E$1),FALSE)/(LEN(VLOOKUP($D297,素材!$1:$1016,COLUMN($F$1),FALSE)) - LEN(SUBSTITUTE(VLOOKUP($D297,素材!$1:$1016,COLUMN($F$1),FALSE), "・", 0)) + 1), 0)</f>
        <v>0</v>
      </c>
      <c r="AK297">
        <f>IF(ISNUMBER(SEARCH(SUBSTITUTE(AK$1,RIGHT(AK$1,2),""),VLOOKUP($D297,素材!$1:$1016,COLUMN($F$1),FALSE))),VLOOKUP($C297,武器!$1:$998,COLUMN($O$1),FALSE)*VLOOKUP($D297,素材!$1:$1016,COLUMN($E$1),FALSE)/(LEN(VLOOKUP($D297,素材!$1:$1016,COLUMN($F$1),FALSE)) - LEN(SUBSTITUTE(VLOOKUP($D297,素材!$1:$1016,COLUMN($F$1),FALSE), "・", 0)) + 1), 0)</f>
        <v>0</v>
      </c>
      <c r="AL297">
        <f>IF(ISNUMBER(SEARCH(SUBSTITUTE(AL$1,RIGHT(AL$1,2),""),VLOOKUP($D297,素材!$1:$1016,COLUMN($F$1),FALSE))),VLOOKUP($C297,武器!$1:$998,COLUMN($O$1),FALSE)*VLOOKUP($D297,素材!$1:$1016,COLUMN($E$1),FALSE)/(LEN(VLOOKUP($D297,素材!$1:$1016,COLUMN($F$1),FALSE)) - LEN(SUBSTITUTE(VLOOKUP($D297,素材!$1:$1016,COLUMN($F$1),FALSE), "・", 0)) + 1), 0)</f>
        <v>0</v>
      </c>
      <c r="AM297">
        <f>IF(ISNUMBER(SEARCH(SUBSTITUTE(AM$1,RIGHT(AM$1,2),""),VLOOKUP($D297,素材!$1:$1016,COLUMN($F$1),FALSE))),VLOOKUP($C297,武器!$1:$998,COLUMN($O$1),FALSE)*VLOOKUP($D297,素材!$1:$1016,COLUMN($E$1),FALSE)/(LEN(VLOOKUP($D297,素材!$1:$1016,COLUMN($F$1),FALSE)) - LEN(SUBSTITUTE(VLOOKUP($D297,素材!$1:$1016,COLUMN($F$1),FALSE), "・", 0)) + 1), 0)</f>
        <v>0</v>
      </c>
      <c r="AN297">
        <f>IF(ISNUMBER(SEARCH(SUBSTITUTE(AN$1,RIGHT(AN$1,2),""),VLOOKUP($D297,素材!$1:$1016,COLUMN($F$1),FALSE))),VLOOKUP($C297,武器!$1:$998,COLUMN($O$1),FALSE)*VLOOKUP($D297,素材!$1:$1016,COLUMN($E$1),FALSE)/(LEN(VLOOKUP($D297,素材!$1:$1016,COLUMN($F$1),FALSE)) - LEN(SUBSTITUTE(VLOOKUP($D297,素材!$1:$1016,COLUMN($F$1),FALSE), "・", 0)) + 1), 0)</f>
        <v>0</v>
      </c>
      <c r="AO297">
        <f>IF(ISNUMBER(SEARCH(SUBSTITUTE(AO$1,RIGHT(AO$1,2),""),VLOOKUP($D297,素材!$1:$1016,COLUMN($F$1),FALSE))),VLOOKUP($C297,武器!$1:$998,COLUMN($O$1),FALSE)*VLOOKUP($D297,素材!$1:$1016,COLUMN($E$1),FALSE)/(LEN(VLOOKUP($D297,素材!$1:$1016,COLUMN($F$1),FALSE)) - LEN(SUBSTITUTE(VLOOKUP($D297,素材!$1:$1016,COLUMN($F$1),FALSE), "・", 0)) + 1), 0)</f>
        <v>0</v>
      </c>
      <c r="AP297">
        <f>IF(ISNUMBER(SEARCH(SUBSTITUTE(AP$1,RIGHT(AP$1,2),""),VLOOKUP($D297,素材!$1:$1016,COLUMN($F$1),FALSE))),VLOOKUP($C297,武器!$1:$998,COLUMN($O$1),FALSE)*VLOOKUP($D297,素材!$1:$1016,COLUMN($E$1),FALSE)/(LEN(VLOOKUP($D297,素材!$1:$1016,COLUMN($F$1),FALSE)) - LEN(SUBSTITUTE(VLOOKUP($D297,素材!$1:$1016,COLUMN($F$1),FALSE), "・", 0)) + 1), 0)</f>
        <v>0</v>
      </c>
      <c r="AQ297">
        <f>IF(ISNUMBER(SEARCH(SUBSTITUTE(AQ$1,RIGHT(AQ$1,2),""),VLOOKUP($D297,素材!$1:$1016,COLUMN($F$1),FALSE))),VLOOKUP($C297,武器!$1:$998,COLUMN($O$1),FALSE)*VLOOKUP($D297,素材!$1:$1016,COLUMN($E$1),FALSE)/(LEN(VLOOKUP($D297,素材!$1:$1016,COLUMN($F$1),FALSE)) - LEN(SUBSTITUTE(VLOOKUP($D297,素材!$1:$1016,COLUMN($F$1),FALSE), "・", 0)) + 1), 0)</f>
        <v>0</v>
      </c>
      <c r="AR297">
        <f>IF(ISNUMBER(SEARCH(SUBSTITUTE(AR$1,RIGHT(AR$1,2),""),VLOOKUP($D297,素材!$1:$1016,COLUMN($F$1),FALSE))),VLOOKUP($C297,武器!$1:$998,COLUMN($O$1),FALSE)*VLOOKUP($D297,素材!$1:$1016,COLUMN($E$1),FALSE)/(LEN(VLOOKUP($D297,素材!$1:$1016,COLUMN($F$1),FALSE)) - LEN(SUBSTITUTE(VLOOKUP($D297,素材!$1:$1016,COLUMN($F$1),FALSE), "・", 0)) + 1), 0)</f>
        <v>0</v>
      </c>
      <c r="AS297">
        <f>IF(ISNUMBER(SEARCH(SUBSTITUTE(AS$1,RIGHT(AS$1,2),""),VLOOKUP($D297,素材!$1:$1016,COLUMN($F$1),FALSE))),VLOOKUP($C297,武器!$1:$998,COLUMN($O$1),FALSE)*VLOOKUP($D297,素材!$1:$1016,COLUMN($E$1),FALSE)/(LEN(VLOOKUP($D297,素材!$1:$1016,COLUMN($F$1),FALSE)) - LEN(SUBSTITUTE(VLOOKUP($D297,素材!$1:$1016,COLUMN($F$1),FALSE), "・", 0)) + 1), 0)</f>
        <v>0</v>
      </c>
      <c r="AT297">
        <f>IF(ISNUMBER(SEARCH(SUBSTITUTE(AT$1,RIGHT(AT$1,2),""),VLOOKUP($D297,素材!$1:$1016,COLUMN($F$1),FALSE))),VLOOKUP($C297,武器!$1:$998,COLUMN($O$1),FALSE)*VLOOKUP($D297,素材!$1:$1016,COLUMN($E$1),FALSE)/(LEN(VLOOKUP($D297,素材!$1:$1016,COLUMN($F$1),FALSE)) - LEN(SUBSTITUTE(VLOOKUP($D297,素材!$1:$1016,COLUMN($F$1),FALSE), "・", 0)) + 1), 0)</f>
        <v>0</v>
      </c>
      <c r="AU297">
        <f>IF(ISNUMBER(SEARCH(SUBSTITUTE(AU$1,RIGHT(AU$1,2),""),VLOOKUP($D297,素材!$1:$1016,COLUMN($F$1),FALSE))),VLOOKUP($C297,武器!$1:$998,COLUMN($O$1),FALSE)*VLOOKUP($D297,素材!$1:$1016,COLUMN($E$1),FALSE)/(LEN(VLOOKUP($D297,素材!$1:$1016,COLUMN($F$1),FALSE)) - LEN(SUBSTITUTE(VLOOKUP($D297,素材!$1:$1016,COLUMN($F$1),FALSE), "・", 0)) + 1), 0)</f>
        <v>0</v>
      </c>
      <c r="AV297">
        <f>IF(ISNUMBER(SEARCH(SUBSTITUTE(AV$1,RIGHT(AV$1,2),""),VLOOKUP($D297,素材!$1:$1016,COLUMN($F$1),FALSE))),VLOOKUP($C297,武器!$1:$998,COLUMN($O$1),FALSE)*VLOOKUP($D297,素材!$1:$1016,COLUMN($E$1),FALSE)/(LEN(VLOOKUP($D297,素材!$1:$1016,COLUMN($F$1),FALSE)) - LEN(SUBSTITUTE(VLOOKUP($D297,素材!$1:$1016,COLUMN($F$1),FALSE), "・", 0)) + 1), 0)</f>
        <v>0</v>
      </c>
      <c r="AW297">
        <f>IF(ISNUMBER(SEARCH(SUBSTITUTE(AW$1,RIGHT(AW$1,2),""),VLOOKUP($D297,素材!$1:$1016,COLUMN($F$1),FALSE))),VLOOKUP($C297,武器!$1:$998,COLUMN($O$1),FALSE)*VLOOKUP($D297,素材!$1:$1016,COLUMN($E$1),FALSE)/(LEN(VLOOKUP($D297,素材!$1:$1016,COLUMN($F$1),FALSE)) - LEN(SUBSTITUTE(VLOOKUP($D297,素材!$1:$1016,COLUMN($F$1),FALSE), "・", 0)) + 1), 0)</f>
        <v>0</v>
      </c>
      <c r="AX297">
        <f>IF(ISNUMBER(SEARCH(SUBSTITUTE(AX$1,RIGHT(AX$1,2),""),VLOOKUP($D297,素材!$1:$1016,COLUMN($F$1),FALSE))),VLOOKUP($C297,武器!$1:$998,COLUMN($O$1),FALSE)*VLOOKUP($D297,素材!$1:$1016,COLUMN($E$1),FALSE)/(LEN(VLOOKUP($D297,素材!$1:$1016,COLUMN($F$1),FALSE)) - LEN(SUBSTITUTE(VLOOKUP($D297,素材!$1:$1016,COLUMN($F$1),FALSE), "・", 0)) + 1), 0)</f>
        <v>0</v>
      </c>
      <c r="AY297">
        <f>IF(ISNUMBER(SEARCH(SUBSTITUTE(AY$1,RIGHT(AY$1,2),""),VLOOKUP($D297,素材!$1:$1016,COLUMN($F$1),FALSE))),VLOOKUP($C297,武器!$1:$998,COLUMN($O$1),FALSE)*VLOOKUP($D297,素材!$1:$1016,COLUMN($E$1),FALSE)/(LEN(VLOOKUP($D297,素材!$1:$1016,COLUMN($F$1),FALSE)) - LEN(SUBSTITUTE(VLOOKUP($D297,素材!$1:$1016,COLUMN($F$1),FALSE), "・", 0)) + 1), 0)</f>
        <v>0</v>
      </c>
      <c r="AZ297">
        <f>IF(ISNUMBER(SEARCH(SUBSTITUTE(AZ$1,RIGHT(AZ$1,2),""),VLOOKUP($D297,素材!$1:$1016,COLUMN($F$1),FALSE))),VLOOKUP($C297,武器!$1:$998,COLUMN($O$1),FALSE)*VLOOKUP($D297,素材!$1:$1016,COLUMN($E$1),FALSE)/(LEN(VLOOKUP($D297,素材!$1:$1016,COLUMN($F$1),FALSE)) - LEN(SUBSTITUTE(VLOOKUP($D297,素材!$1:$1016,COLUMN($F$1),FALSE), "・", 0)) + 1), 0)</f>
        <v>0</v>
      </c>
      <c r="BA297">
        <f>IF(ISNUMBER(SEARCH(SUBSTITUTE(BA$1,RIGHT(BA$1,2),""),VLOOKUP($D297,素材!$1:$1016,COLUMN($F$1),FALSE))),VLOOKUP($C297,武器!$1:$998,COLUMN($O$1),FALSE)*VLOOKUP($D297,素材!$1:$1016,COLUMN($E$1),FALSE)/(LEN(VLOOKUP($D297,素材!$1:$1016,COLUMN($F$1),FALSE)) - LEN(SUBSTITUTE(VLOOKUP($D297,素材!$1:$1016,COLUMN($F$1),FALSE), "・", 0)) + 1), 0)</f>
        <v>0</v>
      </c>
      <c r="BB297">
        <f>IF(ISNUMBER(SEARCH(SUBSTITUTE(BB$1,RIGHT(BB$1,2),""),VLOOKUP($D297,素材!$1:$1016,COLUMN($F$1),FALSE))),VLOOKUP($C297,武器!$1:$998,COLUMN($O$1),FALSE)*VLOOKUP($D297,素材!$1:$1016,COLUMN($E$1),FALSE)/(LEN(VLOOKUP($D297,素材!$1:$1016,COLUMN($F$1),FALSE)) - LEN(SUBSTITUTE(VLOOKUP($D297,素材!$1:$1016,COLUMN($F$1),FALSE), "・", 0)) + 1), 0)</f>
        <v>0</v>
      </c>
      <c r="BC297">
        <f>IF(ISNUMBER(SEARCH(SUBSTITUTE(BC$1,RIGHT(BC$1,2),""),VLOOKUP($D297,素材!$1:$1016,COLUMN($F$1),FALSE))),VLOOKUP($C297,武器!$1:$998,COLUMN($O$1),FALSE)*VLOOKUP($D297,素材!$1:$1016,COLUMN($E$1),FALSE)/(LEN(VLOOKUP($D297,素材!$1:$1016,COLUMN($F$1),FALSE)) - LEN(SUBSTITUTE(VLOOKUP($D297,素材!$1:$1016,COLUMN($F$1),FALSE), "・", 0)) + 1), 0)</f>
        <v>0</v>
      </c>
      <c r="BD297">
        <f>IF(ISNUMBER(SEARCH(SUBSTITUTE(BD$1,RIGHT(BD$1,2),""),VLOOKUP($D297,素材!$1:$1016,COLUMN($F$1),FALSE))),VLOOKUP($C297,武器!$1:$998,COLUMN($O$1),FALSE)*VLOOKUP($D297,素材!$1:$1016,COLUMN($E$1),FALSE)/(LEN(VLOOKUP($D297,素材!$1:$1016,COLUMN($F$1),FALSE)) - LEN(SUBSTITUTE(VLOOKUP($D297,素材!$1:$1016,COLUMN($F$1),FALSE), "・", 0)) + 1), 0)</f>
        <v>0</v>
      </c>
      <c r="BE297">
        <f>IF(ISNUMBER(SEARCH(SUBSTITUTE(BE$1,RIGHT(BE$1,2),""),VLOOKUP($D297,素材!$1:$1016,COLUMN($F$1),FALSE))),VLOOKUP($C297,武器!$1:$998,COLUMN($O$1),FALSE)*VLOOKUP($D297,素材!$1:$1016,COLUMN($E$1),FALSE)/(LEN(VLOOKUP($D297,素材!$1:$1016,COLUMN($F$1),FALSE)) - LEN(SUBSTITUTE(VLOOKUP($D297,素材!$1:$1016,COLUMN($F$1),FALSE), "・", 0)) + 1), 0)</f>
        <v>0</v>
      </c>
      <c r="CL297">
        <f>SUM(G297:I297)</f>
        <v>0</v>
      </c>
      <c r="CM297" s="22" t="str">
        <f>IF(E297="武器",IF(J297-1&gt;SUM(G297:I297),"盾",IF(MAX(G297:I297)=G297,"切断",IF(MAX(G297:I297)=H297,"貫通",IF(MAX(G297:I297)=I297,"打撃","射撃")))),E297)&amp;".webp"</f>
        <v>.webp</v>
      </c>
      <c r="CN297" t="str">
        <f>IFERROR(VLOOKUP($C297,武器!$1:$998,COLUMN(V$1),FALSE)*VLOOKUP($D297,素材!$1:$1016,COLUMN(N$1),FALSE)+IF(CI297="",0,VLOOKUP($CI297,装強!$1:$1008,COLUMN($CK$1),FALSE)),"")</f>
        <v/>
      </c>
      <c r="CO297" t="e">
        <f>VLOOKUP(D297,素材!$A:$O,COLUMN(素材!O$1),FALSE)</f>
        <v>#N/A</v>
      </c>
      <c r="CP297" t="e">
        <f>VLOOKUP(C297,武器!$A:$W,COLUMN(武器!W$1),FALSE)</f>
        <v>#N/A</v>
      </c>
      <c r="CR297" t="str">
        <f t="shared" si="33"/>
        <v>e_297</v>
      </c>
      <c r="CS297" t="e">
        <f t="shared" si="34"/>
        <v>#VALUE!</v>
      </c>
    </row>
    <row r="298" spans="1:97" hidden="1" outlineLevel="1" x14ac:dyDescent="0.4">
      <c r="A298" t="str">
        <f>IF(CI298="",D298&amp;"の"&amp;C298,CI298&amp;"の"&amp;C298)</f>
        <v>の</v>
      </c>
      <c r="B298" t="str">
        <f>IFERROR(IF(CI298="",VLOOKUP($D298,素材!$1:$1016,COLUMN($B$1),FALSE)&amp;"・"&amp;VLOOKUP($C298,武器!$1:$998,COLUMN(B$1),FALSE),VLOOKUP($CI298,装強!$1:$1008,COLUMN($B$1),FALSE)&amp;"・"&amp;VLOOKUP($C298,武器!$1:$998,COLUMN(B$1),FALSE)),"")</f>
        <v/>
      </c>
      <c r="C298" s="24"/>
      <c r="D298" s="24"/>
      <c r="E298" t="str">
        <f>IFERROR(VLOOKUP(C298,武器!$1:$998,COLUMN(C$1),FALSE),"")</f>
        <v/>
      </c>
      <c r="F298" t="str">
        <f>IFERROR(ROUNDDOWN((VLOOKUP($C298,武器!$1:$998,COLUMN(D$1),FALSE)+IFERROR(VLOOKUP($CI298,装強!$1:$999,COLUMN(F$1),FALSE),0))*VLOOKUP($D298,素材!$1:$1016,COLUMN(D$1),FALSE),0),"")</f>
        <v/>
      </c>
      <c r="G298" t="str">
        <f>IFERROR(ROUNDDOWN((VLOOKUP($C298,武器!$1:$998,COLUMN(E$1),FALSE)+IFERROR(VLOOKUP($CI298,装強!$1:$999,COLUMN(G$1),FALSE),0))*VLOOKUP($D298,素材!$1:$1016,COLUMN($E$1),FALSE),0),"")</f>
        <v/>
      </c>
      <c r="H298" t="str">
        <f>IFERROR(ROUNDDOWN((VLOOKUP($C298,武器!$1:$998,COLUMN(F$1),FALSE)+IFERROR(VLOOKUP($CI298,装強!$1:$999,COLUMN(H$1),FALSE),0))*VLOOKUP($D298,素材!$1:$1016,COLUMN($E$1),FALSE),0),"")</f>
        <v/>
      </c>
      <c r="I298" t="str">
        <f>IFERROR(ROUNDDOWN((VLOOKUP($C298,武器!$1:$998,COLUMN(G$1),FALSE)+IFERROR(VLOOKUP($CI298,装強!$1:$999,COLUMN(I$1),FALSE),0))*VLOOKUP($D298,素材!$1:$1016,COLUMN($E$1),FALSE),0),"")</f>
        <v/>
      </c>
      <c r="J298" t="str">
        <f>IFERROR(ROUNDDOWN((VLOOKUP($C298,武器!$1:$998,COLUMN(H$1),FALSE)+IFERROR(VLOOKUP($CI298,装強!$1:$999,COLUMN(J$1),FALSE),0))*VLOOKUP($D298,素材!$1:$1016,COLUMN($E$1),FALSE),0),"")</f>
        <v/>
      </c>
      <c r="K298" t="str">
        <f>IFERROR(ROUNDDOWN((VLOOKUP($C298,武器!$1:$998,COLUMN(I$1),FALSE)+IFERROR(VLOOKUP($CI298,装強!$1:$999,COLUMN(K$1),FALSE),0))*VLOOKUP($D298,素材!$1:$1016,COLUMN($E$1),FALSE),0),"")</f>
        <v/>
      </c>
      <c r="L298" t="str">
        <f>IFERROR(VLOOKUP($D298,素材!$1:$1016,COLUMN($F$1),FALSE),"")</f>
        <v/>
      </c>
      <c r="M298" t="str">
        <f>IFERROR(VLOOKUP($C298,武器!$1:$998,COLUMN(AA$1),FALSE)*VLOOKUP($D298,素材!$1:$1016,COLUMN($G$1),FALSE),"")</f>
        <v/>
      </c>
      <c r="N298" t="str">
        <f>IFERROR(VLOOKUP($C298,武器!$1:$998,COLUMN(I$1),FALSE),"")</f>
        <v/>
      </c>
      <c r="O298" s="23" t="str">
        <f>IFERROR((VLOOKUP($C298,武器!$1:$998,COLUMN(K$1),FALSE)+VLOOKUP($D298,素材!$1:$1016,COLUMN(H$1),FALSE))*100+IFERROR(VLOOKUP($CI298,装強!$1:$999,COLUMN(O$1),FALSE),0),"")</f>
        <v/>
      </c>
      <c r="P298" s="23" t="str">
        <f>IFERROR((VLOOKUP($C298,武器!$1:$998,COLUMN(L$1),FALSE)+VLOOKUP($D298,素材!$1:$1016,COLUMN(I$1),FALSE))*100+IFERROR(VLOOKUP($CI298,装強!$1:$999,COLUMN(P$1),FALSE),0),"")</f>
        <v/>
      </c>
      <c r="Q298" t="str">
        <f>IFERROR(ROUNDUP(VLOOKUP($C298,武器!$1:$998,COLUMN(M$1),FALSE)*(VLOOKUP($D298,素材!$1:$1002,COLUMN(D$1),FALSE)/100),1),"")</f>
        <v/>
      </c>
      <c r="R298" t="str">
        <f>IFERROR(ROUNDUP(VLOOKUP($C298,武器!$1:$998,COLUMN(N$1),FALSE)*(VLOOKUP($D298,素材!$1:$1002,COLUMN(D$1),FALSE)/100),1),"")</f>
        <v/>
      </c>
      <c r="S298" t="str">
        <f>IFERROR(VLOOKUP($C298,武器!$1:$998,COLUMN(P$1),FALSE),"")</f>
        <v/>
      </c>
      <c r="T298" t="str">
        <f>IFERROR(VLOOKUP($C298,武器!$1:$998,COLUMN(Q$1),FALSE),"")</f>
        <v/>
      </c>
      <c r="U298" t="str">
        <f>IFERROR(VLOOKUP($C298,武器!$1:$998,COLUMN(R$1),FALSE),"")</f>
        <v/>
      </c>
      <c r="V298" t="str">
        <f>IFERROR(VLOOKUP($C298,武器!$1:$998,COLUMN(Q$1),FALSE),"")</f>
        <v/>
      </c>
      <c r="W298" t="str">
        <f>IFERROR(VLOOKUP($C298,武器!$1:$998,COLUMN(T$1),FALSE),"")</f>
        <v/>
      </c>
      <c r="Y298" t="str">
        <f>IFERROR(VLOOKUP($C298,武器!$1:$998,COLUMN(U$1),FALSE),"")</f>
        <v/>
      </c>
      <c r="Z298" t="str">
        <f>IFERROR(ROUNDUP(VLOOKUP($C298,武器!$1:$998,COLUMN(O$1),FALSE)*VLOOKUP($D298,素材!$1:$1016,COLUMN(E$1),FALSE),1),"")</f>
        <v/>
      </c>
      <c r="AA298">
        <f>IF(ISNUMBER(SEARCH(SUBSTITUTE(AA$1,RIGHT(AA$1,2),""),VLOOKUP($D298,素材!$1:$1016,COLUMN($F$1),FALSE))),VLOOKUP($C298,武器!$1:$998,COLUMN($O$1),FALSE)*VLOOKUP($D298,素材!$1:$1016,COLUMN($E$1),FALSE)/(LEN(VLOOKUP($D298,素材!$1:$1016,COLUMN($F$1),FALSE)) - LEN(SUBSTITUTE(VLOOKUP($D298,素材!$1:$1016,COLUMN($F$1),FALSE), "・", 0)) + 1), 0)</f>
        <v>0</v>
      </c>
      <c r="AB298">
        <f>IF(ISNUMBER(SEARCH(SUBSTITUTE(AB$1,RIGHT(AB$1,2),""),VLOOKUP($D298,素材!$1:$1016,COLUMN($F$1),FALSE))),VLOOKUP($C298,武器!$1:$998,COLUMN($O$1),FALSE)*VLOOKUP($D298,素材!$1:$1016,COLUMN($E$1),FALSE)/(LEN(VLOOKUP($D298,素材!$1:$1016,COLUMN($F$1),FALSE)) - LEN(SUBSTITUTE(VLOOKUP($D298,素材!$1:$1016,COLUMN($F$1),FALSE), "・", 0)) + 1), 0)</f>
        <v>0</v>
      </c>
      <c r="AC298">
        <f>IF(ISNUMBER(SEARCH(SUBSTITUTE(AC$1,RIGHT(AC$1,2),""),VLOOKUP($D298,素材!$1:$1016,COLUMN($F$1),FALSE))),VLOOKUP($C298,武器!$1:$998,COLUMN($O$1),FALSE)*VLOOKUP($D298,素材!$1:$1016,COLUMN($E$1),FALSE)/(LEN(VLOOKUP($D298,素材!$1:$1016,COLUMN($F$1),FALSE)) - LEN(SUBSTITUTE(VLOOKUP($D298,素材!$1:$1016,COLUMN($F$1),FALSE), "・", 0)) + 1), 0)</f>
        <v>0</v>
      </c>
      <c r="AD298">
        <f>IF(ISNUMBER(SEARCH(SUBSTITUTE(AD$1,RIGHT(AD$1,2),""),VLOOKUP($D298,素材!$1:$1016,COLUMN($F$1),FALSE))),VLOOKUP($C298,武器!$1:$998,COLUMN($O$1),FALSE)*VLOOKUP($D298,素材!$1:$1016,COLUMN($E$1),FALSE)/(LEN(VLOOKUP($D298,素材!$1:$1016,COLUMN($F$1),FALSE)) - LEN(SUBSTITUTE(VLOOKUP($D298,素材!$1:$1016,COLUMN($F$1),FALSE), "・", 0)) + 1), 0)</f>
        <v>0</v>
      </c>
      <c r="AE298">
        <f>IF(ISNUMBER(SEARCH(SUBSTITUTE(AE$1,RIGHT(AE$1,2),""),VLOOKUP($D298,素材!$1:$1016,COLUMN($F$1),FALSE))),VLOOKUP($C298,武器!$1:$998,COLUMN($O$1),FALSE)*VLOOKUP($D298,素材!$1:$1016,COLUMN($E$1),FALSE)/(LEN(VLOOKUP($D298,素材!$1:$1016,COLUMN($F$1),FALSE)) - LEN(SUBSTITUTE(VLOOKUP($D298,素材!$1:$1016,COLUMN($F$1),FALSE), "・", 0)) + 1), 0)</f>
        <v>0</v>
      </c>
      <c r="AF298">
        <f>IF(ISNUMBER(SEARCH(SUBSTITUTE(AF$1,RIGHT(AF$1,2),""),VLOOKUP($D298,素材!$1:$1016,COLUMN($F$1),FALSE))),VLOOKUP($C298,武器!$1:$998,COLUMN($O$1),FALSE)*VLOOKUP($D298,素材!$1:$1016,COLUMN($E$1),FALSE)/(LEN(VLOOKUP($D298,素材!$1:$1016,COLUMN($F$1),FALSE)) - LEN(SUBSTITUTE(VLOOKUP($D298,素材!$1:$1016,COLUMN($F$1),FALSE), "・", 0)) + 1), 0)</f>
        <v>0</v>
      </c>
      <c r="AG298">
        <f>IF(ISNUMBER(SEARCH(SUBSTITUTE(AG$1,RIGHT(AG$1,2),""),VLOOKUP($D298,素材!$1:$1016,COLUMN($F$1),FALSE))),VLOOKUP($C298,武器!$1:$998,COLUMN($O$1),FALSE)*VLOOKUP($D298,素材!$1:$1016,COLUMN($E$1),FALSE)/(LEN(VLOOKUP($D298,素材!$1:$1016,COLUMN($F$1),FALSE)) - LEN(SUBSTITUTE(VLOOKUP($D298,素材!$1:$1016,COLUMN($F$1),FALSE), "・", 0)) + 1), 0)</f>
        <v>0</v>
      </c>
      <c r="AH298">
        <f>IF(ISNUMBER(SEARCH(SUBSTITUTE(AH$1,RIGHT(AH$1,2),""),VLOOKUP($D298,素材!$1:$1016,COLUMN($F$1),FALSE))),VLOOKUP($C298,武器!$1:$998,COLUMN($O$1),FALSE)*VLOOKUP($D298,素材!$1:$1016,COLUMN($E$1),FALSE)/(LEN(VLOOKUP($D298,素材!$1:$1016,COLUMN($F$1),FALSE)) - LEN(SUBSTITUTE(VLOOKUP($D298,素材!$1:$1016,COLUMN($F$1),FALSE), "・", 0)) + 1), 0)</f>
        <v>0</v>
      </c>
      <c r="AI298">
        <f>IF(ISNUMBER(SEARCH(SUBSTITUTE(AI$1,RIGHT(AI$1,2),""),VLOOKUP($D298,素材!$1:$1016,COLUMN($F$1),FALSE))),VLOOKUP($C298,武器!$1:$998,COLUMN($O$1),FALSE)*VLOOKUP($D298,素材!$1:$1016,COLUMN($E$1),FALSE)/(LEN(VLOOKUP($D298,素材!$1:$1016,COLUMN($F$1),FALSE)) - LEN(SUBSTITUTE(VLOOKUP($D298,素材!$1:$1016,COLUMN($F$1),FALSE), "・", 0)) + 1), 0)</f>
        <v>0</v>
      </c>
      <c r="AJ298">
        <f>IF(ISNUMBER(SEARCH(SUBSTITUTE(AJ$1,RIGHT(AJ$1,2),""),VLOOKUP($D298,素材!$1:$1016,COLUMN($F$1),FALSE))),VLOOKUP($C298,武器!$1:$998,COLUMN($O$1),FALSE)*VLOOKUP($D298,素材!$1:$1016,COLUMN($E$1),FALSE)/(LEN(VLOOKUP($D298,素材!$1:$1016,COLUMN($F$1),FALSE)) - LEN(SUBSTITUTE(VLOOKUP($D298,素材!$1:$1016,COLUMN($F$1),FALSE), "・", 0)) + 1), 0)</f>
        <v>0</v>
      </c>
      <c r="AK298">
        <f>IF(ISNUMBER(SEARCH(SUBSTITUTE(AK$1,RIGHT(AK$1,2),""),VLOOKUP($D298,素材!$1:$1016,COLUMN($F$1),FALSE))),VLOOKUP($C298,武器!$1:$998,COLUMN($O$1),FALSE)*VLOOKUP($D298,素材!$1:$1016,COLUMN($E$1),FALSE)/(LEN(VLOOKUP($D298,素材!$1:$1016,COLUMN($F$1),FALSE)) - LEN(SUBSTITUTE(VLOOKUP($D298,素材!$1:$1016,COLUMN($F$1),FALSE), "・", 0)) + 1), 0)</f>
        <v>0</v>
      </c>
      <c r="AL298">
        <f>IF(ISNUMBER(SEARCH(SUBSTITUTE(AL$1,RIGHT(AL$1,2),""),VLOOKUP($D298,素材!$1:$1016,COLUMN($F$1),FALSE))),VLOOKUP($C298,武器!$1:$998,COLUMN($O$1),FALSE)*VLOOKUP($D298,素材!$1:$1016,COLUMN($E$1),FALSE)/(LEN(VLOOKUP($D298,素材!$1:$1016,COLUMN($F$1),FALSE)) - LEN(SUBSTITUTE(VLOOKUP($D298,素材!$1:$1016,COLUMN($F$1),FALSE), "・", 0)) + 1), 0)</f>
        <v>0</v>
      </c>
      <c r="AM298">
        <f>IF(ISNUMBER(SEARCH(SUBSTITUTE(AM$1,RIGHT(AM$1,2),""),VLOOKUP($D298,素材!$1:$1016,COLUMN($F$1),FALSE))),VLOOKUP($C298,武器!$1:$998,COLUMN($O$1),FALSE)*VLOOKUP($D298,素材!$1:$1016,COLUMN($E$1),FALSE)/(LEN(VLOOKUP($D298,素材!$1:$1016,COLUMN($F$1),FALSE)) - LEN(SUBSTITUTE(VLOOKUP($D298,素材!$1:$1016,COLUMN($F$1),FALSE), "・", 0)) + 1), 0)</f>
        <v>0</v>
      </c>
      <c r="AN298">
        <f>IF(ISNUMBER(SEARCH(SUBSTITUTE(AN$1,RIGHT(AN$1,2),""),VLOOKUP($D298,素材!$1:$1016,COLUMN($F$1),FALSE))),VLOOKUP($C298,武器!$1:$998,COLUMN($O$1),FALSE)*VLOOKUP($D298,素材!$1:$1016,COLUMN($E$1),FALSE)/(LEN(VLOOKUP($D298,素材!$1:$1016,COLUMN($F$1),FALSE)) - LEN(SUBSTITUTE(VLOOKUP($D298,素材!$1:$1016,COLUMN($F$1),FALSE), "・", 0)) + 1), 0)</f>
        <v>0</v>
      </c>
      <c r="AO298">
        <f>IF(ISNUMBER(SEARCH(SUBSTITUTE(AO$1,RIGHT(AO$1,2),""),VLOOKUP($D298,素材!$1:$1016,COLUMN($F$1),FALSE))),VLOOKUP($C298,武器!$1:$998,COLUMN($O$1),FALSE)*VLOOKUP($D298,素材!$1:$1016,COLUMN($E$1),FALSE)/(LEN(VLOOKUP($D298,素材!$1:$1016,COLUMN($F$1),FALSE)) - LEN(SUBSTITUTE(VLOOKUP($D298,素材!$1:$1016,COLUMN($F$1),FALSE), "・", 0)) + 1), 0)</f>
        <v>0</v>
      </c>
      <c r="AP298">
        <f>IF(ISNUMBER(SEARCH(SUBSTITUTE(AP$1,RIGHT(AP$1,2),""),VLOOKUP($D298,素材!$1:$1016,COLUMN($F$1),FALSE))),VLOOKUP($C298,武器!$1:$998,COLUMN($O$1),FALSE)*VLOOKUP($D298,素材!$1:$1016,COLUMN($E$1),FALSE)/(LEN(VLOOKUP($D298,素材!$1:$1016,COLUMN($F$1),FALSE)) - LEN(SUBSTITUTE(VLOOKUP($D298,素材!$1:$1016,COLUMN($F$1),FALSE), "・", 0)) + 1), 0)</f>
        <v>0</v>
      </c>
      <c r="AQ298">
        <f>IF(ISNUMBER(SEARCH(SUBSTITUTE(AQ$1,RIGHT(AQ$1,2),""),VLOOKUP($D298,素材!$1:$1016,COLUMN($F$1),FALSE))),VLOOKUP($C298,武器!$1:$998,COLUMN($O$1),FALSE)*VLOOKUP($D298,素材!$1:$1016,COLUMN($E$1),FALSE)/(LEN(VLOOKUP($D298,素材!$1:$1016,COLUMN($F$1),FALSE)) - LEN(SUBSTITUTE(VLOOKUP($D298,素材!$1:$1016,COLUMN($F$1),FALSE), "・", 0)) + 1), 0)</f>
        <v>0</v>
      </c>
      <c r="AR298">
        <f>IF(ISNUMBER(SEARCH(SUBSTITUTE(AR$1,RIGHT(AR$1,2),""),VLOOKUP($D298,素材!$1:$1016,COLUMN($F$1),FALSE))),VLOOKUP($C298,武器!$1:$998,COLUMN($O$1),FALSE)*VLOOKUP($D298,素材!$1:$1016,COLUMN($E$1),FALSE)/(LEN(VLOOKUP($D298,素材!$1:$1016,COLUMN($F$1),FALSE)) - LEN(SUBSTITUTE(VLOOKUP($D298,素材!$1:$1016,COLUMN($F$1),FALSE), "・", 0)) + 1), 0)</f>
        <v>0</v>
      </c>
      <c r="AS298">
        <f>IF(ISNUMBER(SEARCH(SUBSTITUTE(AS$1,RIGHT(AS$1,2),""),VLOOKUP($D298,素材!$1:$1016,COLUMN($F$1),FALSE))),VLOOKUP($C298,武器!$1:$998,COLUMN($O$1),FALSE)*VLOOKUP($D298,素材!$1:$1016,COLUMN($E$1),FALSE)/(LEN(VLOOKUP($D298,素材!$1:$1016,COLUMN($F$1),FALSE)) - LEN(SUBSTITUTE(VLOOKUP($D298,素材!$1:$1016,COLUMN($F$1),FALSE), "・", 0)) + 1), 0)</f>
        <v>0</v>
      </c>
      <c r="AT298">
        <f>IF(ISNUMBER(SEARCH(SUBSTITUTE(AT$1,RIGHT(AT$1,2),""),VLOOKUP($D298,素材!$1:$1016,COLUMN($F$1),FALSE))),VLOOKUP($C298,武器!$1:$998,COLUMN($O$1),FALSE)*VLOOKUP($D298,素材!$1:$1016,COLUMN($E$1),FALSE)/(LEN(VLOOKUP($D298,素材!$1:$1016,COLUMN($F$1),FALSE)) - LEN(SUBSTITUTE(VLOOKUP($D298,素材!$1:$1016,COLUMN($F$1),FALSE), "・", 0)) + 1), 0)</f>
        <v>0</v>
      </c>
      <c r="AU298">
        <f>IF(ISNUMBER(SEARCH(SUBSTITUTE(AU$1,RIGHT(AU$1,2),""),VLOOKUP($D298,素材!$1:$1016,COLUMN($F$1),FALSE))),VLOOKUP($C298,武器!$1:$998,COLUMN($O$1),FALSE)*VLOOKUP($D298,素材!$1:$1016,COLUMN($E$1),FALSE)/(LEN(VLOOKUP($D298,素材!$1:$1016,COLUMN($F$1),FALSE)) - LEN(SUBSTITUTE(VLOOKUP($D298,素材!$1:$1016,COLUMN($F$1),FALSE), "・", 0)) + 1), 0)</f>
        <v>0</v>
      </c>
      <c r="AV298">
        <f>IF(ISNUMBER(SEARCH(SUBSTITUTE(AV$1,RIGHT(AV$1,2),""),VLOOKUP($D298,素材!$1:$1016,COLUMN($F$1),FALSE))),VLOOKUP($C298,武器!$1:$998,COLUMN($O$1),FALSE)*VLOOKUP($D298,素材!$1:$1016,COLUMN($E$1),FALSE)/(LEN(VLOOKUP($D298,素材!$1:$1016,COLUMN($F$1),FALSE)) - LEN(SUBSTITUTE(VLOOKUP($D298,素材!$1:$1016,COLUMN($F$1),FALSE), "・", 0)) + 1), 0)</f>
        <v>0</v>
      </c>
      <c r="AW298">
        <f>IF(ISNUMBER(SEARCH(SUBSTITUTE(AW$1,RIGHT(AW$1,2),""),VLOOKUP($D298,素材!$1:$1016,COLUMN($F$1),FALSE))),VLOOKUP($C298,武器!$1:$998,COLUMN($O$1),FALSE)*VLOOKUP($D298,素材!$1:$1016,COLUMN($E$1),FALSE)/(LEN(VLOOKUP($D298,素材!$1:$1016,COLUMN($F$1),FALSE)) - LEN(SUBSTITUTE(VLOOKUP($D298,素材!$1:$1016,COLUMN($F$1),FALSE), "・", 0)) + 1), 0)</f>
        <v>0</v>
      </c>
      <c r="AX298">
        <f>IF(ISNUMBER(SEARCH(SUBSTITUTE(AX$1,RIGHT(AX$1,2),""),VLOOKUP($D298,素材!$1:$1016,COLUMN($F$1),FALSE))),VLOOKUP($C298,武器!$1:$998,COLUMN($O$1),FALSE)*VLOOKUP($D298,素材!$1:$1016,COLUMN($E$1),FALSE)/(LEN(VLOOKUP($D298,素材!$1:$1016,COLUMN($F$1),FALSE)) - LEN(SUBSTITUTE(VLOOKUP($D298,素材!$1:$1016,COLUMN($F$1),FALSE), "・", 0)) + 1), 0)</f>
        <v>0</v>
      </c>
      <c r="AY298">
        <f>IF(ISNUMBER(SEARCH(SUBSTITUTE(AY$1,RIGHT(AY$1,2),""),VLOOKUP($D298,素材!$1:$1016,COLUMN($F$1),FALSE))),VLOOKUP($C298,武器!$1:$998,COLUMN($O$1),FALSE)*VLOOKUP($D298,素材!$1:$1016,COLUMN($E$1),FALSE)/(LEN(VLOOKUP($D298,素材!$1:$1016,COLUMN($F$1),FALSE)) - LEN(SUBSTITUTE(VLOOKUP($D298,素材!$1:$1016,COLUMN($F$1),FALSE), "・", 0)) + 1), 0)</f>
        <v>0</v>
      </c>
      <c r="AZ298">
        <f>IF(ISNUMBER(SEARCH(SUBSTITUTE(AZ$1,RIGHT(AZ$1,2),""),VLOOKUP($D298,素材!$1:$1016,COLUMN($F$1),FALSE))),VLOOKUP($C298,武器!$1:$998,COLUMN($O$1),FALSE)*VLOOKUP($D298,素材!$1:$1016,COLUMN($E$1),FALSE)/(LEN(VLOOKUP($D298,素材!$1:$1016,COLUMN($F$1),FALSE)) - LEN(SUBSTITUTE(VLOOKUP($D298,素材!$1:$1016,COLUMN($F$1),FALSE), "・", 0)) + 1), 0)</f>
        <v>0</v>
      </c>
      <c r="BA298">
        <f>IF(ISNUMBER(SEARCH(SUBSTITUTE(BA$1,RIGHT(BA$1,2),""),VLOOKUP($D298,素材!$1:$1016,COLUMN($F$1),FALSE))),VLOOKUP($C298,武器!$1:$998,COLUMN($O$1),FALSE)*VLOOKUP($D298,素材!$1:$1016,COLUMN($E$1),FALSE)/(LEN(VLOOKUP($D298,素材!$1:$1016,COLUMN($F$1),FALSE)) - LEN(SUBSTITUTE(VLOOKUP($D298,素材!$1:$1016,COLUMN($F$1),FALSE), "・", 0)) + 1), 0)</f>
        <v>0</v>
      </c>
      <c r="BB298">
        <f>IF(ISNUMBER(SEARCH(SUBSTITUTE(BB$1,RIGHT(BB$1,2),""),VLOOKUP($D298,素材!$1:$1016,COLUMN($F$1),FALSE))),VLOOKUP($C298,武器!$1:$998,COLUMN($O$1),FALSE)*VLOOKUP($D298,素材!$1:$1016,COLUMN($E$1),FALSE)/(LEN(VLOOKUP($D298,素材!$1:$1016,COLUMN($F$1),FALSE)) - LEN(SUBSTITUTE(VLOOKUP($D298,素材!$1:$1016,COLUMN($F$1),FALSE), "・", 0)) + 1), 0)</f>
        <v>0</v>
      </c>
      <c r="BC298">
        <f>IF(ISNUMBER(SEARCH(SUBSTITUTE(BC$1,RIGHT(BC$1,2),""),VLOOKUP($D298,素材!$1:$1016,COLUMN($F$1),FALSE))),VLOOKUP($C298,武器!$1:$998,COLUMN($O$1),FALSE)*VLOOKUP($D298,素材!$1:$1016,COLUMN($E$1),FALSE)/(LEN(VLOOKUP($D298,素材!$1:$1016,COLUMN($F$1),FALSE)) - LEN(SUBSTITUTE(VLOOKUP($D298,素材!$1:$1016,COLUMN($F$1),FALSE), "・", 0)) + 1), 0)</f>
        <v>0</v>
      </c>
      <c r="BD298">
        <f>IF(ISNUMBER(SEARCH(SUBSTITUTE(BD$1,RIGHT(BD$1,2),""),VLOOKUP($D298,素材!$1:$1016,COLUMN($F$1),FALSE))),VLOOKUP($C298,武器!$1:$998,COLUMN($O$1),FALSE)*VLOOKUP($D298,素材!$1:$1016,COLUMN($E$1),FALSE)/(LEN(VLOOKUP($D298,素材!$1:$1016,COLUMN($F$1),FALSE)) - LEN(SUBSTITUTE(VLOOKUP($D298,素材!$1:$1016,COLUMN($F$1),FALSE), "・", 0)) + 1), 0)</f>
        <v>0</v>
      </c>
      <c r="BE298">
        <f>IF(ISNUMBER(SEARCH(SUBSTITUTE(BE$1,RIGHT(BE$1,2),""),VLOOKUP($D298,素材!$1:$1016,COLUMN($F$1),FALSE))),VLOOKUP($C298,武器!$1:$998,COLUMN($O$1),FALSE)*VLOOKUP($D298,素材!$1:$1016,COLUMN($E$1),FALSE)/(LEN(VLOOKUP($D298,素材!$1:$1016,COLUMN($F$1),FALSE)) - LEN(SUBSTITUTE(VLOOKUP($D298,素材!$1:$1016,COLUMN($F$1),FALSE), "・", 0)) + 1), 0)</f>
        <v>0</v>
      </c>
      <c r="CL298">
        <f>SUM(G298:I298)</f>
        <v>0</v>
      </c>
      <c r="CM298" s="22" t="str">
        <f>IF(E298="武器",IF(J298-1&gt;SUM(G298:I298),"盾",IF(MAX(G298:I298)=G298,"切断",IF(MAX(G298:I298)=H298,"貫通",IF(MAX(G298:I298)=I298,"打撃","射撃")))),E298)&amp;".webp"</f>
        <v>.webp</v>
      </c>
      <c r="CN298" t="str">
        <f>IFERROR(VLOOKUP($C298,武器!$1:$998,COLUMN(V$1),FALSE)*VLOOKUP($D298,素材!$1:$1016,COLUMN(N$1),FALSE)+IF(CI298="",0,VLOOKUP($CI298,装強!$1:$1008,COLUMN($CK$1),FALSE)),"")</f>
        <v/>
      </c>
      <c r="CO298" t="e">
        <f>VLOOKUP(D298,素材!$A:$O,COLUMN(素材!O$1),FALSE)</f>
        <v>#N/A</v>
      </c>
      <c r="CP298" t="e">
        <f>VLOOKUP(C298,武器!$A:$W,COLUMN(武器!W$1),FALSE)</f>
        <v>#N/A</v>
      </c>
      <c r="CR298" t="str">
        <f t="shared" si="33"/>
        <v>e_298</v>
      </c>
      <c r="CS298" t="e">
        <f t="shared" si="34"/>
        <v>#VALUE!</v>
      </c>
    </row>
    <row r="299" spans="1:97" hidden="1" outlineLevel="1" x14ac:dyDescent="0.4">
      <c r="A299" t="str">
        <f>IF(CI299="",D299&amp;"の"&amp;C299,CI299&amp;"の"&amp;C299)</f>
        <v>の</v>
      </c>
      <c r="B299" t="str">
        <f>IFERROR(IF(CI299="",VLOOKUP($D299,素材!$1:$1016,COLUMN($B$1),FALSE)&amp;"・"&amp;VLOOKUP($C299,武器!$1:$998,COLUMN(B$1),FALSE),VLOOKUP($CI299,装強!$1:$1008,COLUMN($B$1),FALSE)&amp;"・"&amp;VLOOKUP($C299,武器!$1:$998,COLUMN(B$1),FALSE)),"")</f>
        <v/>
      </c>
      <c r="C299" s="24"/>
      <c r="D299" s="24"/>
      <c r="E299" t="str">
        <f>IFERROR(VLOOKUP(C299,武器!$1:$998,COLUMN(C$1),FALSE),"")</f>
        <v/>
      </c>
      <c r="F299" t="str">
        <f>IFERROR(ROUNDDOWN((VLOOKUP($C299,武器!$1:$998,COLUMN(D$1),FALSE)+IFERROR(VLOOKUP($CI299,装強!$1:$999,COLUMN(F$1),FALSE),0))*VLOOKUP($D299,素材!$1:$1016,COLUMN(D$1),FALSE),0),"")</f>
        <v/>
      </c>
      <c r="G299" t="str">
        <f>IFERROR(ROUNDDOWN((VLOOKUP($C299,武器!$1:$998,COLUMN(E$1),FALSE)+IFERROR(VLOOKUP($CI299,装強!$1:$999,COLUMN(G$1),FALSE),0))*VLOOKUP($D299,素材!$1:$1016,COLUMN($E$1),FALSE),0),"")</f>
        <v/>
      </c>
      <c r="H299" t="str">
        <f>IFERROR(ROUNDDOWN((VLOOKUP($C299,武器!$1:$998,COLUMN(F$1),FALSE)+IFERROR(VLOOKUP($CI299,装強!$1:$999,COLUMN(H$1),FALSE),0))*VLOOKUP($D299,素材!$1:$1016,COLUMN($E$1),FALSE),0),"")</f>
        <v/>
      </c>
      <c r="I299" t="str">
        <f>IFERROR(ROUNDDOWN((VLOOKUP($C299,武器!$1:$998,COLUMN(G$1),FALSE)+IFERROR(VLOOKUP($CI299,装強!$1:$999,COLUMN(I$1),FALSE),0))*VLOOKUP($D299,素材!$1:$1016,COLUMN($E$1),FALSE),0),"")</f>
        <v/>
      </c>
      <c r="J299" t="str">
        <f>IFERROR(ROUNDDOWN((VLOOKUP($C299,武器!$1:$998,COLUMN(H$1),FALSE)+IFERROR(VLOOKUP($CI299,装強!$1:$999,COLUMN(J$1),FALSE),0))*VLOOKUP($D299,素材!$1:$1016,COLUMN($E$1),FALSE),0),"")</f>
        <v/>
      </c>
      <c r="K299" t="str">
        <f>IFERROR(ROUNDDOWN((VLOOKUP($C299,武器!$1:$998,COLUMN(I$1),FALSE)+IFERROR(VLOOKUP($CI299,装強!$1:$999,COLUMN(K$1),FALSE),0))*VLOOKUP($D299,素材!$1:$1016,COLUMN($E$1),FALSE),0),"")</f>
        <v/>
      </c>
      <c r="L299" t="str">
        <f>IFERROR(VLOOKUP($D299,素材!$1:$1016,COLUMN($F$1),FALSE),"")</f>
        <v/>
      </c>
      <c r="M299" t="str">
        <f>IFERROR(VLOOKUP($C299,武器!$1:$998,COLUMN(AA$1),FALSE)*VLOOKUP($D299,素材!$1:$1016,COLUMN($G$1),FALSE),"")</f>
        <v/>
      </c>
      <c r="N299" t="str">
        <f>IFERROR(VLOOKUP($C299,武器!$1:$998,COLUMN(I$1),FALSE),"")</f>
        <v/>
      </c>
      <c r="O299" s="23" t="str">
        <f>IFERROR((VLOOKUP($C299,武器!$1:$998,COLUMN(K$1),FALSE)+VLOOKUP($D299,素材!$1:$1016,COLUMN(H$1),FALSE))*100+IFERROR(VLOOKUP($CI299,装強!$1:$999,COLUMN(O$1),FALSE),0),"")</f>
        <v/>
      </c>
      <c r="P299" s="23" t="str">
        <f>IFERROR((VLOOKUP($C299,武器!$1:$998,COLUMN(L$1),FALSE)+VLOOKUP($D299,素材!$1:$1016,COLUMN(I$1),FALSE))*100+IFERROR(VLOOKUP($CI299,装強!$1:$999,COLUMN(P$1),FALSE),0),"")</f>
        <v/>
      </c>
      <c r="Q299" t="str">
        <f>IFERROR(ROUNDUP(VLOOKUP($C299,武器!$1:$998,COLUMN(M$1),FALSE)*(VLOOKUP($D299,素材!$1:$1002,COLUMN(D$1),FALSE)/100),1),"")</f>
        <v/>
      </c>
      <c r="R299" t="str">
        <f>IFERROR(ROUNDUP(VLOOKUP($C299,武器!$1:$998,COLUMN(N$1),FALSE)*(VLOOKUP($D299,素材!$1:$1002,COLUMN(D$1),FALSE)/100),1),"")</f>
        <v/>
      </c>
      <c r="S299" t="str">
        <f>IFERROR(VLOOKUP($C299,武器!$1:$998,COLUMN(P$1),FALSE),"")</f>
        <v/>
      </c>
      <c r="T299" t="str">
        <f>IFERROR(VLOOKUP($C299,武器!$1:$998,COLUMN(Q$1),FALSE),"")</f>
        <v/>
      </c>
      <c r="U299" t="str">
        <f>IFERROR(VLOOKUP($C299,武器!$1:$998,COLUMN(R$1),FALSE),"")</f>
        <v/>
      </c>
      <c r="V299" t="str">
        <f>IFERROR(VLOOKUP($C299,武器!$1:$998,COLUMN(Q$1),FALSE),"")</f>
        <v/>
      </c>
      <c r="W299" t="str">
        <f>IFERROR(VLOOKUP($C299,武器!$1:$998,COLUMN(T$1),FALSE),"")</f>
        <v/>
      </c>
      <c r="Y299" t="str">
        <f>IFERROR(VLOOKUP($C299,武器!$1:$998,COLUMN(U$1),FALSE),"")</f>
        <v/>
      </c>
      <c r="Z299" t="str">
        <f>IFERROR(ROUNDUP(VLOOKUP($C299,武器!$1:$998,COLUMN(O$1),FALSE)*VLOOKUP($D299,素材!$1:$1016,COLUMN(E$1),FALSE),1),"")</f>
        <v/>
      </c>
      <c r="AA299">
        <f>IF(ISNUMBER(SEARCH(SUBSTITUTE(AA$1,RIGHT(AA$1,2),""),VLOOKUP($D299,素材!$1:$1016,COLUMN($F$1),FALSE))),VLOOKUP($C299,武器!$1:$998,COLUMN($O$1),FALSE)*VLOOKUP($D299,素材!$1:$1016,COLUMN($E$1),FALSE)/(LEN(VLOOKUP($D299,素材!$1:$1016,COLUMN($F$1),FALSE)) - LEN(SUBSTITUTE(VLOOKUP($D299,素材!$1:$1016,COLUMN($F$1),FALSE), "・", 0)) + 1), 0)</f>
        <v>0</v>
      </c>
      <c r="AB299">
        <f>IF(ISNUMBER(SEARCH(SUBSTITUTE(AB$1,RIGHT(AB$1,2),""),VLOOKUP($D299,素材!$1:$1016,COLUMN($F$1),FALSE))),VLOOKUP($C299,武器!$1:$998,COLUMN($O$1),FALSE)*VLOOKUP($D299,素材!$1:$1016,COLUMN($E$1),FALSE)/(LEN(VLOOKUP($D299,素材!$1:$1016,COLUMN($F$1),FALSE)) - LEN(SUBSTITUTE(VLOOKUP($D299,素材!$1:$1016,COLUMN($F$1),FALSE), "・", 0)) + 1), 0)</f>
        <v>0</v>
      </c>
      <c r="AC299">
        <f>IF(ISNUMBER(SEARCH(SUBSTITUTE(AC$1,RIGHT(AC$1,2),""),VLOOKUP($D299,素材!$1:$1016,COLUMN($F$1),FALSE))),VLOOKUP($C299,武器!$1:$998,COLUMN($O$1),FALSE)*VLOOKUP($D299,素材!$1:$1016,COLUMN($E$1),FALSE)/(LEN(VLOOKUP($D299,素材!$1:$1016,COLUMN($F$1),FALSE)) - LEN(SUBSTITUTE(VLOOKUP($D299,素材!$1:$1016,COLUMN($F$1),FALSE), "・", 0)) + 1), 0)</f>
        <v>0</v>
      </c>
      <c r="AD299">
        <f>IF(ISNUMBER(SEARCH(SUBSTITUTE(AD$1,RIGHT(AD$1,2),""),VLOOKUP($D299,素材!$1:$1016,COLUMN($F$1),FALSE))),VLOOKUP($C299,武器!$1:$998,COLUMN($O$1),FALSE)*VLOOKUP($D299,素材!$1:$1016,COLUMN($E$1),FALSE)/(LEN(VLOOKUP($D299,素材!$1:$1016,COLUMN($F$1),FALSE)) - LEN(SUBSTITUTE(VLOOKUP($D299,素材!$1:$1016,COLUMN($F$1),FALSE), "・", 0)) + 1), 0)</f>
        <v>0</v>
      </c>
      <c r="AE299">
        <f>IF(ISNUMBER(SEARCH(SUBSTITUTE(AE$1,RIGHT(AE$1,2),""),VLOOKUP($D299,素材!$1:$1016,COLUMN($F$1),FALSE))),VLOOKUP($C299,武器!$1:$998,COLUMN($O$1),FALSE)*VLOOKUP($D299,素材!$1:$1016,COLUMN($E$1),FALSE)/(LEN(VLOOKUP($D299,素材!$1:$1016,COLUMN($F$1),FALSE)) - LEN(SUBSTITUTE(VLOOKUP($D299,素材!$1:$1016,COLUMN($F$1),FALSE), "・", 0)) + 1), 0)</f>
        <v>0</v>
      </c>
      <c r="AF299">
        <f>IF(ISNUMBER(SEARCH(SUBSTITUTE(AF$1,RIGHT(AF$1,2),""),VLOOKUP($D299,素材!$1:$1016,COLUMN($F$1),FALSE))),VLOOKUP($C299,武器!$1:$998,COLUMN($O$1),FALSE)*VLOOKUP($D299,素材!$1:$1016,COLUMN($E$1),FALSE)/(LEN(VLOOKUP($D299,素材!$1:$1016,COLUMN($F$1),FALSE)) - LEN(SUBSTITUTE(VLOOKUP($D299,素材!$1:$1016,COLUMN($F$1),FALSE), "・", 0)) + 1), 0)</f>
        <v>0</v>
      </c>
      <c r="AG299">
        <f>IF(ISNUMBER(SEARCH(SUBSTITUTE(AG$1,RIGHT(AG$1,2),""),VLOOKUP($D299,素材!$1:$1016,COLUMN($F$1),FALSE))),VLOOKUP($C299,武器!$1:$998,COLUMN($O$1),FALSE)*VLOOKUP($D299,素材!$1:$1016,COLUMN($E$1),FALSE)/(LEN(VLOOKUP($D299,素材!$1:$1016,COLUMN($F$1),FALSE)) - LEN(SUBSTITUTE(VLOOKUP($D299,素材!$1:$1016,COLUMN($F$1),FALSE), "・", 0)) + 1), 0)</f>
        <v>0</v>
      </c>
      <c r="AH299">
        <f>IF(ISNUMBER(SEARCH(SUBSTITUTE(AH$1,RIGHT(AH$1,2),""),VLOOKUP($D299,素材!$1:$1016,COLUMN($F$1),FALSE))),VLOOKUP($C299,武器!$1:$998,COLUMN($O$1),FALSE)*VLOOKUP($D299,素材!$1:$1016,COLUMN($E$1),FALSE)/(LEN(VLOOKUP($D299,素材!$1:$1016,COLUMN($F$1),FALSE)) - LEN(SUBSTITUTE(VLOOKUP($D299,素材!$1:$1016,COLUMN($F$1),FALSE), "・", 0)) + 1), 0)</f>
        <v>0</v>
      </c>
      <c r="AI299">
        <f>IF(ISNUMBER(SEARCH(SUBSTITUTE(AI$1,RIGHT(AI$1,2),""),VLOOKUP($D299,素材!$1:$1016,COLUMN($F$1),FALSE))),VLOOKUP($C299,武器!$1:$998,COLUMN($O$1),FALSE)*VLOOKUP($D299,素材!$1:$1016,COLUMN($E$1),FALSE)/(LEN(VLOOKUP($D299,素材!$1:$1016,COLUMN($F$1),FALSE)) - LEN(SUBSTITUTE(VLOOKUP($D299,素材!$1:$1016,COLUMN($F$1),FALSE), "・", 0)) + 1), 0)</f>
        <v>0</v>
      </c>
      <c r="AJ299">
        <f>IF(ISNUMBER(SEARCH(SUBSTITUTE(AJ$1,RIGHT(AJ$1,2),""),VLOOKUP($D299,素材!$1:$1016,COLUMN($F$1),FALSE))),VLOOKUP($C299,武器!$1:$998,COLUMN($O$1),FALSE)*VLOOKUP($D299,素材!$1:$1016,COLUMN($E$1),FALSE)/(LEN(VLOOKUP($D299,素材!$1:$1016,COLUMN($F$1),FALSE)) - LEN(SUBSTITUTE(VLOOKUP($D299,素材!$1:$1016,COLUMN($F$1),FALSE), "・", 0)) + 1), 0)</f>
        <v>0</v>
      </c>
      <c r="AK299">
        <f>IF(ISNUMBER(SEARCH(SUBSTITUTE(AK$1,RIGHT(AK$1,2),""),VLOOKUP($D299,素材!$1:$1016,COLUMN($F$1),FALSE))),VLOOKUP($C299,武器!$1:$998,COLUMN($O$1),FALSE)*VLOOKUP($D299,素材!$1:$1016,COLUMN($E$1),FALSE)/(LEN(VLOOKUP($D299,素材!$1:$1016,COLUMN($F$1),FALSE)) - LEN(SUBSTITUTE(VLOOKUP($D299,素材!$1:$1016,COLUMN($F$1),FALSE), "・", 0)) + 1), 0)</f>
        <v>0</v>
      </c>
      <c r="AL299">
        <f>IF(ISNUMBER(SEARCH(SUBSTITUTE(AL$1,RIGHT(AL$1,2),""),VLOOKUP($D299,素材!$1:$1016,COLUMN($F$1),FALSE))),VLOOKUP($C299,武器!$1:$998,COLUMN($O$1),FALSE)*VLOOKUP($D299,素材!$1:$1016,COLUMN($E$1),FALSE)/(LEN(VLOOKUP($D299,素材!$1:$1016,COLUMN($F$1),FALSE)) - LEN(SUBSTITUTE(VLOOKUP($D299,素材!$1:$1016,COLUMN($F$1),FALSE), "・", 0)) + 1), 0)</f>
        <v>0</v>
      </c>
      <c r="AM299">
        <f>IF(ISNUMBER(SEARCH(SUBSTITUTE(AM$1,RIGHT(AM$1,2),""),VLOOKUP($D299,素材!$1:$1016,COLUMN($F$1),FALSE))),VLOOKUP($C299,武器!$1:$998,COLUMN($O$1),FALSE)*VLOOKUP($D299,素材!$1:$1016,COLUMN($E$1),FALSE)/(LEN(VLOOKUP($D299,素材!$1:$1016,COLUMN($F$1),FALSE)) - LEN(SUBSTITUTE(VLOOKUP($D299,素材!$1:$1016,COLUMN($F$1),FALSE), "・", 0)) + 1), 0)</f>
        <v>0</v>
      </c>
      <c r="AN299">
        <f>IF(ISNUMBER(SEARCH(SUBSTITUTE(AN$1,RIGHT(AN$1,2),""),VLOOKUP($D299,素材!$1:$1016,COLUMN($F$1),FALSE))),VLOOKUP($C299,武器!$1:$998,COLUMN($O$1),FALSE)*VLOOKUP($D299,素材!$1:$1016,COLUMN($E$1),FALSE)/(LEN(VLOOKUP($D299,素材!$1:$1016,COLUMN($F$1),FALSE)) - LEN(SUBSTITUTE(VLOOKUP($D299,素材!$1:$1016,COLUMN($F$1),FALSE), "・", 0)) + 1), 0)</f>
        <v>0</v>
      </c>
      <c r="AO299">
        <f>IF(ISNUMBER(SEARCH(SUBSTITUTE(AO$1,RIGHT(AO$1,2),""),VLOOKUP($D299,素材!$1:$1016,COLUMN($F$1),FALSE))),VLOOKUP($C299,武器!$1:$998,COLUMN($O$1),FALSE)*VLOOKUP($D299,素材!$1:$1016,COLUMN($E$1),FALSE)/(LEN(VLOOKUP($D299,素材!$1:$1016,COLUMN($F$1),FALSE)) - LEN(SUBSTITUTE(VLOOKUP($D299,素材!$1:$1016,COLUMN($F$1),FALSE), "・", 0)) + 1), 0)</f>
        <v>0</v>
      </c>
      <c r="AP299">
        <f>IF(ISNUMBER(SEARCH(SUBSTITUTE(AP$1,RIGHT(AP$1,2),""),VLOOKUP($D299,素材!$1:$1016,COLUMN($F$1),FALSE))),VLOOKUP($C299,武器!$1:$998,COLUMN($O$1),FALSE)*VLOOKUP($D299,素材!$1:$1016,COLUMN($E$1),FALSE)/(LEN(VLOOKUP($D299,素材!$1:$1016,COLUMN($F$1),FALSE)) - LEN(SUBSTITUTE(VLOOKUP($D299,素材!$1:$1016,COLUMN($F$1),FALSE), "・", 0)) + 1), 0)</f>
        <v>0</v>
      </c>
      <c r="AQ299">
        <f>IF(ISNUMBER(SEARCH(SUBSTITUTE(AQ$1,RIGHT(AQ$1,2),""),VLOOKUP($D299,素材!$1:$1016,COLUMN($F$1),FALSE))),VLOOKUP($C299,武器!$1:$998,COLUMN($O$1),FALSE)*VLOOKUP($D299,素材!$1:$1016,COLUMN($E$1),FALSE)/(LEN(VLOOKUP($D299,素材!$1:$1016,COLUMN($F$1),FALSE)) - LEN(SUBSTITUTE(VLOOKUP($D299,素材!$1:$1016,COLUMN($F$1),FALSE), "・", 0)) + 1), 0)</f>
        <v>0</v>
      </c>
      <c r="AR299">
        <f>IF(ISNUMBER(SEARCH(SUBSTITUTE(AR$1,RIGHT(AR$1,2),""),VLOOKUP($D299,素材!$1:$1016,COLUMN($F$1),FALSE))),VLOOKUP($C299,武器!$1:$998,COLUMN($O$1),FALSE)*VLOOKUP($D299,素材!$1:$1016,COLUMN($E$1),FALSE)/(LEN(VLOOKUP($D299,素材!$1:$1016,COLUMN($F$1),FALSE)) - LEN(SUBSTITUTE(VLOOKUP($D299,素材!$1:$1016,COLUMN($F$1),FALSE), "・", 0)) + 1), 0)</f>
        <v>0</v>
      </c>
      <c r="AS299">
        <f>IF(ISNUMBER(SEARCH(SUBSTITUTE(AS$1,RIGHT(AS$1,2),""),VLOOKUP($D299,素材!$1:$1016,COLUMN($F$1),FALSE))),VLOOKUP($C299,武器!$1:$998,COLUMN($O$1),FALSE)*VLOOKUP($D299,素材!$1:$1016,COLUMN($E$1),FALSE)/(LEN(VLOOKUP($D299,素材!$1:$1016,COLUMN($F$1),FALSE)) - LEN(SUBSTITUTE(VLOOKUP($D299,素材!$1:$1016,COLUMN($F$1),FALSE), "・", 0)) + 1), 0)</f>
        <v>0</v>
      </c>
      <c r="AT299">
        <f>IF(ISNUMBER(SEARCH(SUBSTITUTE(AT$1,RIGHT(AT$1,2),""),VLOOKUP($D299,素材!$1:$1016,COLUMN($F$1),FALSE))),VLOOKUP($C299,武器!$1:$998,COLUMN($O$1),FALSE)*VLOOKUP($D299,素材!$1:$1016,COLUMN($E$1),FALSE)/(LEN(VLOOKUP($D299,素材!$1:$1016,COLUMN($F$1),FALSE)) - LEN(SUBSTITUTE(VLOOKUP($D299,素材!$1:$1016,COLUMN($F$1),FALSE), "・", 0)) + 1), 0)</f>
        <v>0</v>
      </c>
      <c r="AU299">
        <f>IF(ISNUMBER(SEARCH(SUBSTITUTE(AU$1,RIGHT(AU$1,2),""),VLOOKUP($D299,素材!$1:$1016,COLUMN($F$1),FALSE))),VLOOKUP($C299,武器!$1:$998,COLUMN($O$1),FALSE)*VLOOKUP($D299,素材!$1:$1016,COLUMN($E$1),FALSE)/(LEN(VLOOKUP($D299,素材!$1:$1016,COLUMN($F$1),FALSE)) - LEN(SUBSTITUTE(VLOOKUP($D299,素材!$1:$1016,COLUMN($F$1),FALSE), "・", 0)) + 1), 0)</f>
        <v>0</v>
      </c>
      <c r="AV299">
        <f>IF(ISNUMBER(SEARCH(SUBSTITUTE(AV$1,RIGHT(AV$1,2),""),VLOOKUP($D299,素材!$1:$1016,COLUMN($F$1),FALSE))),VLOOKUP($C299,武器!$1:$998,COLUMN($O$1),FALSE)*VLOOKUP($D299,素材!$1:$1016,COLUMN($E$1),FALSE)/(LEN(VLOOKUP($D299,素材!$1:$1016,COLUMN($F$1),FALSE)) - LEN(SUBSTITUTE(VLOOKUP($D299,素材!$1:$1016,COLUMN($F$1),FALSE), "・", 0)) + 1), 0)</f>
        <v>0</v>
      </c>
      <c r="AW299">
        <f>IF(ISNUMBER(SEARCH(SUBSTITUTE(AW$1,RIGHT(AW$1,2),""),VLOOKUP($D299,素材!$1:$1016,COLUMN($F$1),FALSE))),VLOOKUP($C299,武器!$1:$998,COLUMN($O$1),FALSE)*VLOOKUP($D299,素材!$1:$1016,COLUMN($E$1),FALSE)/(LEN(VLOOKUP($D299,素材!$1:$1016,COLUMN($F$1),FALSE)) - LEN(SUBSTITUTE(VLOOKUP($D299,素材!$1:$1016,COLUMN($F$1),FALSE), "・", 0)) + 1), 0)</f>
        <v>0</v>
      </c>
      <c r="AX299">
        <f>IF(ISNUMBER(SEARCH(SUBSTITUTE(AX$1,RIGHT(AX$1,2),""),VLOOKUP($D299,素材!$1:$1016,COLUMN($F$1),FALSE))),VLOOKUP($C299,武器!$1:$998,COLUMN($O$1),FALSE)*VLOOKUP($D299,素材!$1:$1016,COLUMN($E$1),FALSE)/(LEN(VLOOKUP($D299,素材!$1:$1016,COLUMN($F$1),FALSE)) - LEN(SUBSTITUTE(VLOOKUP($D299,素材!$1:$1016,COLUMN($F$1),FALSE), "・", 0)) + 1), 0)</f>
        <v>0</v>
      </c>
      <c r="AY299">
        <f>IF(ISNUMBER(SEARCH(SUBSTITUTE(AY$1,RIGHT(AY$1,2),""),VLOOKUP($D299,素材!$1:$1016,COLUMN($F$1),FALSE))),VLOOKUP($C299,武器!$1:$998,COLUMN($O$1),FALSE)*VLOOKUP($D299,素材!$1:$1016,COLUMN($E$1),FALSE)/(LEN(VLOOKUP($D299,素材!$1:$1016,COLUMN($F$1),FALSE)) - LEN(SUBSTITUTE(VLOOKUP($D299,素材!$1:$1016,COLUMN($F$1),FALSE), "・", 0)) + 1), 0)</f>
        <v>0</v>
      </c>
      <c r="AZ299">
        <f>IF(ISNUMBER(SEARCH(SUBSTITUTE(AZ$1,RIGHT(AZ$1,2),""),VLOOKUP($D299,素材!$1:$1016,COLUMN($F$1),FALSE))),VLOOKUP($C299,武器!$1:$998,COLUMN($O$1),FALSE)*VLOOKUP($D299,素材!$1:$1016,COLUMN($E$1),FALSE)/(LEN(VLOOKUP($D299,素材!$1:$1016,COLUMN($F$1),FALSE)) - LEN(SUBSTITUTE(VLOOKUP($D299,素材!$1:$1016,COLUMN($F$1),FALSE), "・", 0)) + 1), 0)</f>
        <v>0</v>
      </c>
      <c r="BA299">
        <f>IF(ISNUMBER(SEARCH(SUBSTITUTE(BA$1,RIGHT(BA$1,2),""),VLOOKUP($D299,素材!$1:$1016,COLUMN($F$1),FALSE))),VLOOKUP($C299,武器!$1:$998,COLUMN($O$1),FALSE)*VLOOKUP($D299,素材!$1:$1016,COLUMN($E$1),FALSE)/(LEN(VLOOKUP($D299,素材!$1:$1016,COLUMN($F$1),FALSE)) - LEN(SUBSTITUTE(VLOOKUP($D299,素材!$1:$1016,COLUMN($F$1),FALSE), "・", 0)) + 1), 0)</f>
        <v>0</v>
      </c>
      <c r="BB299">
        <f>IF(ISNUMBER(SEARCH(SUBSTITUTE(BB$1,RIGHT(BB$1,2),""),VLOOKUP($D299,素材!$1:$1016,COLUMN($F$1),FALSE))),VLOOKUP($C299,武器!$1:$998,COLUMN($O$1),FALSE)*VLOOKUP($D299,素材!$1:$1016,COLUMN($E$1),FALSE)/(LEN(VLOOKUP($D299,素材!$1:$1016,COLUMN($F$1),FALSE)) - LEN(SUBSTITUTE(VLOOKUP($D299,素材!$1:$1016,COLUMN($F$1),FALSE), "・", 0)) + 1), 0)</f>
        <v>0</v>
      </c>
      <c r="BC299">
        <f>IF(ISNUMBER(SEARCH(SUBSTITUTE(BC$1,RIGHT(BC$1,2),""),VLOOKUP($D299,素材!$1:$1016,COLUMN($F$1),FALSE))),VLOOKUP($C299,武器!$1:$998,COLUMN($O$1),FALSE)*VLOOKUP($D299,素材!$1:$1016,COLUMN($E$1),FALSE)/(LEN(VLOOKUP($D299,素材!$1:$1016,COLUMN($F$1),FALSE)) - LEN(SUBSTITUTE(VLOOKUP($D299,素材!$1:$1016,COLUMN($F$1),FALSE), "・", 0)) + 1), 0)</f>
        <v>0</v>
      </c>
      <c r="BD299">
        <f>IF(ISNUMBER(SEARCH(SUBSTITUTE(BD$1,RIGHT(BD$1,2),""),VLOOKUP($D299,素材!$1:$1016,COLUMN($F$1),FALSE))),VLOOKUP($C299,武器!$1:$998,COLUMN($O$1),FALSE)*VLOOKUP($D299,素材!$1:$1016,COLUMN($E$1),FALSE)/(LEN(VLOOKUP($D299,素材!$1:$1016,COLUMN($F$1),FALSE)) - LEN(SUBSTITUTE(VLOOKUP($D299,素材!$1:$1016,COLUMN($F$1),FALSE), "・", 0)) + 1), 0)</f>
        <v>0</v>
      </c>
      <c r="BE299">
        <f>IF(ISNUMBER(SEARCH(SUBSTITUTE(BE$1,RIGHT(BE$1,2),""),VLOOKUP($D299,素材!$1:$1016,COLUMN($F$1),FALSE))),VLOOKUP($C299,武器!$1:$998,COLUMN($O$1),FALSE)*VLOOKUP($D299,素材!$1:$1016,COLUMN($E$1),FALSE)/(LEN(VLOOKUP($D299,素材!$1:$1016,COLUMN($F$1),FALSE)) - LEN(SUBSTITUTE(VLOOKUP($D299,素材!$1:$1016,COLUMN($F$1),FALSE), "・", 0)) + 1), 0)</f>
        <v>0</v>
      </c>
      <c r="CL299">
        <f>SUM(G299:I299)</f>
        <v>0</v>
      </c>
      <c r="CM299" s="22" t="str">
        <f>IF(E299="武器",IF(J299-1&gt;SUM(G299:I299),"盾",IF(MAX(G299:I299)=G299,"切断",IF(MAX(G299:I299)=H299,"貫通",IF(MAX(G299:I299)=I299,"打撃","射撃")))),E299)&amp;".webp"</f>
        <v>.webp</v>
      </c>
      <c r="CN299" t="str">
        <f>IFERROR(VLOOKUP($C299,武器!$1:$998,COLUMN(V$1),FALSE)*VLOOKUP($D299,素材!$1:$1016,COLUMN(N$1),FALSE)+IF(CI299="",0,VLOOKUP($CI299,装強!$1:$1008,COLUMN($CK$1),FALSE)),"")</f>
        <v/>
      </c>
      <c r="CO299" t="e">
        <f>VLOOKUP(D299,素材!$A:$O,COLUMN(素材!O$1),FALSE)</f>
        <v>#N/A</v>
      </c>
      <c r="CP299" t="e">
        <f>VLOOKUP(C299,武器!$A:$W,COLUMN(武器!W$1),FALSE)</f>
        <v>#N/A</v>
      </c>
      <c r="CR299" t="str">
        <f t="shared" si="33"/>
        <v>e_299</v>
      </c>
      <c r="CS299" t="e">
        <f t="shared" si="34"/>
        <v>#VALUE!</v>
      </c>
    </row>
    <row r="300" spans="1:97" hidden="1" outlineLevel="1" x14ac:dyDescent="0.4">
      <c r="A300" t="str">
        <f>IF(CI300="",D300&amp;"の"&amp;C300,CI300&amp;"の"&amp;C300)</f>
        <v>の</v>
      </c>
      <c r="B300" t="str">
        <f>IFERROR(IF(CI300="",VLOOKUP($D300,素材!$1:$1016,COLUMN($B$1),FALSE)&amp;"・"&amp;VLOOKUP($C300,武器!$1:$998,COLUMN(B$1),FALSE),VLOOKUP($CI300,装強!$1:$1008,COLUMN($B$1),FALSE)&amp;"・"&amp;VLOOKUP($C300,武器!$1:$998,COLUMN(B$1),FALSE)),"")</f>
        <v/>
      </c>
      <c r="C300" s="24"/>
      <c r="D300" s="24"/>
      <c r="E300" t="str">
        <f>IFERROR(VLOOKUP(C300,武器!$1:$998,COLUMN(C$1),FALSE),"")</f>
        <v/>
      </c>
      <c r="F300" t="str">
        <f>IFERROR(ROUNDDOWN((VLOOKUP($C300,武器!$1:$998,COLUMN(D$1),FALSE)+IFERROR(VLOOKUP($CI300,装強!$1:$999,COLUMN(F$1),FALSE),0))*VLOOKUP($D300,素材!$1:$1016,COLUMN(D$1),FALSE),0),"")</f>
        <v/>
      </c>
      <c r="G300" t="str">
        <f>IFERROR(ROUNDDOWN((VLOOKUP($C300,武器!$1:$998,COLUMN(E$1),FALSE)+IFERROR(VLOOKUP($CI300,装強!$1:$999,COLUMN(G$1),FALSE),0))*VLOOKUP($D300,素材!$1:$1016,COLUMN($E$1),FALSE),0),"")</f>
        <v/>
      </c>
      <c r="H300" t="str">
        <f>IFERROR(ROUNDDOWN((VLOOKUP($C300,武器!$1:$998,COLUMN(F$1),FALSE)+IFERROR(VLOOKUP($CI300,装強!$1:$999,COLUMN(H$1),FALSE),0))*VLOOKUP($D300,素材!$1:$1016,COLUMN($E$1),FALSE),0),"")</f>
        <v/>
      </c>
      <c r="I300" t="str">
        <f>IFERROR(ROUNDDOWN((VLOOKUP($C300,武器!$1:$998,COLUMN(G$1),FALSE)+IFERROR(VLOOKUP($CI300,装強!$1:$999,COLUMN(I$1),FALSE),0))*VLOOKUP($D300,素材!$1:$1016,COLUMN($E$1),FALSE),0),"")</f>
        <v/>
      </c>
      <c r="J300" t="str">
        <f>IFERROR(ROUNDDOWN((VLOOKUP($C300,武器!$1:$998,COLUMN(H$1),FALSE)+IFERROR(VLOOKUP($CI300,装強!$1:$999,COLUMN(J$1),FALSE),0))*VLOOKUP($D300,素材!$1:$1016,COLUMN($E$1),FALSE),0),"")</f>
        <v/>
      </c>
      <c r="K300" t="str">
        <f>IFERROR(ROUNDDOWN((VLOOKUP($C300,武器!$1:$998,COLUMN(I$1),FALSE)+IFERROR(VLOOKUP($CI300,装強!$1:$999,COLUMN(K$1),FALSE),0))*VLOOKUP($D300,素材!$1:$1016,COLUMN($E$1),FALSE),0),"")</f>
        <v/>
      </c>
      <c r="L300" t="str">
        <f>IFERROR(VLOOKUP($D300,素材!$1:$1016,COLUMN($F$1),FALSE),"")</f>
        <v/>
      </c>
      <c r="M300" t="str">
        <f>IFERROR(VLOOKUP($C300,武器!$1:$998,COLUMN(AA$1),FALSE)*VLOOKUP($D300,素材!$1:$1016,COLUMN($G$1),FALSE),"")</f>
        <v/>
      </c>
      <c r="N300" t="str">
        <f>IFERROR(VLOOKUP($C300,武器!$1:$998,COLUMN(I$1),FALSE),"")</f>
        <v/>
      </c>
      <c r="O300" s="23" t="str">
        <f>IFERROR((VLOOKUP($C300,武器!$1:$998,COLUMN(K$1),FALSE)+VLOOKUP($D300,素材!$1:$1016,COLUMN(H$1),FALSE))*100+IFERROR(VLOOKUP($CI300,装強!$1:$999,COLUMN(O$1),FALSE),0),"")</f>
        <v/>
      </c>
      <c r="P300" s="23" t="str">
        <f>IFERROR((VLOOKUP($C300,武器!$1:$998,COLUMN(L$1),FALSE)+VLOOKUP($D300,素材!$1:$1016,COLUMN(I$1),FALSE))*100+IFERROR(VLOOKUP($CI300,装強!$1:$999,COLUMN(P$1),FALSE),0),"")</f>
        <v/>
      </c>
      <c r="Q300" t="str">
        <f>IFERROR(ROUNDUP(VLOOKUP($C300,武器!$1:$998,COLUMN(M$1),FALSE)*(VLOOKUP($D300,素材!$1:$1002,COLUMN(D$1),FALSE)/100),1),"")</f>
        <v/>
      </c>
      <c r="R300" t="str">
        <f>IFERROR(ROUNDUP(VLOOKUP($C300,武器!$1:$998,COLUMN(N$1),FALSE)*(VLOOKUP($D300,素材!$1:$1002,COLUMN(D$1),FALSE)/100),1),"")</f>
        <v/>
      </c>
      <c r="S300" t="str">
        <f>IFERROR(VLOOKUP($C300,武器!$1:$998,COLUMN(P$1),FALSE),"")</f>
        <v/>
      </c>
      <c r="T300" t="str">
        <f>IFERROR(VLOOKUP($C300,武器!$1:$998,COLUMN(Q$1),FALSE),"")</f>
        <v/>
      </c>
      <c r="U300" t="str">
        <f>IFERROR(VLOOKUP($C300,武器!$1:$998,COLUMN(R$1),FALSE),"")</f>
        <v/>
      </c>
      <c r="V300" t="str">
        <f>IFERROR(VLOOKUP($C300,武器!$1:$998,COLUMN(Q$1),FALSE),"")</f>
        <v/>
      </c>
      <c r="W300" t="str">
        <f>IFERROR(VLOOKUP($C300,武器!$1:$998,COLUMN(T$1),FALSE),"")</f>
        <v/>
      </c>
      <c r="Y300" t="str">
        <f>IFERROR(VLOOKUP($C300,武器!$1:$998,COLUMN(U$1),FALSE),"")</f>
        <v/>
      </c>
      <c r="Z300" t="str">
        <f>IFERROR(ROUNDUP(VLOOKUP($C300,武器!$1:$998,COLUMN(O$1),FALSE)*VLOOKUP($D300,素材!$1:$1016,COLUMN(E$1),FALSE),1),"")</f>
        <v/>
      </c>
      <c r="AA300">
        <f>IF(ISNUMBER(SEARCH(SUBSTITUTE(AA$1,RIGHT(AA$1,2),""),VLOOKUP($D300,素材!$1:$1016,COLUMN($F$1),FALSE))),VLOOKUP($C300,武器!$1:$998,COLUMN($O$1),FALSE)*VLOOKUP($D300,素材!$1:$1016,COLUMN($E$1),FALSE)/(LEN(VLOOKUP($D300,素材!$1:$1016,COLUMN($F$1),FALSE)) - LEN(SUBSTITUTE(VLOOKUP($D300,素材!$1:$1016,COLUMN($F$1),FALSE), "・", 0)) + 1), 0)</f>
        <v>0</v>
      </c>
      <c r="AB300">
        <f>IF(ISNUMBER(SEARCH(SUBSTITUTE(AB$1,RIGHT(AB$1,2),""),VLOOKUP($D300,素材!$1:$1016,COLUMN($F$1),FALSE))),VLOOKUP($C300,武器!$1:$998,COLUMN($O$1),FALSE)*VLOOKUP($D300,素材!$1:$1016,COLUMN($E$1),FALSE)/(LEN(VLOOKUP($D300,素材!$1:$1016,COLUMN($F$1),FALSE)) - LEN(SUBSTITUTE(VLOOKUP($D300,素材!$1:$1016,COLUMN($F$1),FALSE), "・", 0)) + 1), 0)</f>
        <v>0</v>
      </c>
      <c r="AC300">
        <f>IF(ISNUMBER(SEARCH(SUBSTITUTE(AC$1,RIGHT(AC$1,2),""),VLOOKUP($D300,素材!$1:$1016,COLUMN($F$1),FALSE))),VLOOKUP($C300,武器!$1:$998,COLUMN($O$1),FALSE)*VLOOKUP($D300,素材!$1:$1016,COLUMN($E$1),FALSE)/(LEN(VLOOKUP($D300,素材!$1:$1016,COLUMN($F$1),FALSE)) - LEN(SUBSTITUTE(VLOOKUP($D300,素材!$1:$1016,COLUMN($F$1),FALSE), "・", 0)) + 1), 0)</f>
        <v>0</v>
      </c>
      <c r="AD300">
        <f>IF(ISNUMBER(SEARCH(SUBSTITUTE(AD$1,RIGHT(AD$1,2),""),VLOOKUP($D300,素材!$1:$1016,COLUMN($F$1),FALSE))),VLOOKUP($C300,武器!$1:$998,COLUMN($O$1),FALSE)*VLOOKUP($D300,素材!$1:$1016,COLUMN($E$1),FALSE)/(LEN(VLOOKUP($D300,素材!$1:$1016,COLUMN($F$1),FALSE)) - LEN(SUBSTITUTE(VLOOKUP($D300,素材!$1:$1016,COLUMN($F$1),FALSE), "・", 0)) + 1), 0)</f>
        <v>0</v>
      </c>
      <c r="AE300">
        <f>IF(ISNUMBER(SEARCH(SUBSTITUTE(AE$1,RIGHT(AE$1,2),""),VLOOKUP($D300,素材!$1:$1016,COLUMN($F$1),FALSE))),VLOOKUP($C300,武器!$1:$998,COLUMN($O$1),FALSE)*VLOOKUP($D300,素材!$1:$1016,COLUMN($E$1),FALSE)/(LEN(VLOOKUP($D300,素材!$1:$1016,COLUMN($F$1),FALSE)) - LEN(SUBSTITUTE(VLOOKUP($D300,素材!$1:$1016,COLUMN($F$1),FALSE), "・", 0)) + 1), 0)</f>
        <v>0</v>
      </c>
      <c r="AF300">
        <f>IF(ISNUMBER(SEARCH(SUBSTITUTE(AF$1,RIGHT(AF$1,2),""),VLOOKUP($D300,素材!$1:$1016,COLUMN($F$1),FALSE))),VLOOKUP($C300,武器!$1:$998,COLUMN($O$1),FALSE)*VLOOKUP($D300,素材!$1:$1016,COLUMN($E$1),FALSE)/(LEN(VLOOKUP($D300,素材!$1:$1016,COLUMN($F$1),FALSE)) - LEN(SUBSTITUTE(VLOOKUP($D300,素材!$1:$1016,COLUMN($F$1),FALSE), "・", 0)) + 1), 0)</f>
        <v>0</v>
      </c>
      <c r="AG300">
        <f>IF(ISNUMBER(SEARCH(SUBSTITUTE(AG$1,RIGHT(AG$1,2),""),VLOOKUP($D300,素材!$1:$1016,COLUMN($F$1),FALSE))),VLOOKUP($C300,武器!$1:$998,COLUMN($O$1),FALSE)*VLOOKUP($D300,素材!$1:$1016,COLUMN($E$1),FALSE)/(LEN(VLOOKUP($D300,素材!$1:$1016,COLUMN($F$1),FALSE)) - LEN(SUBSTITUTE(VLOOKUP($D300,素材!$1:$1016,COLUMN($F$1),FALSE), "・", 0)) + 1), 0)</f>
        <v>0</v>
      </c>
      <c r="AH300">
        <f>IF(ISNUMBER(SEARCH(SUBSTITUTE(AH$1,RIGHT(AH$1,2),""),VLOOKUP($D300,素材!$1:$1016,COLUMN($F$1),FALSE))),VLOOKUP($C300,武器!$1:$998,COLUMN($O$1),FALSE)*VLOOKUP($D300,素材!$1:$1016,COLUMN($E$1),FALSE)/(LEN(VLOOKUP($D300,素材!$1:$1016,COLUMN($F$1),FALSE)) - LEN(SUBSTITUTE(VLOOKUP($D300,素材!$1:$1016,COLUMN($F$1),FALSE), "・", 0)) + 1), 0)</f>
        <v>0</v>
      </c>
      <c r="AI300">
        <f>IF(ISNUMBER(SEARCH(SUBSTITUTE(AI$1,RIGHT(AI$1,2),""),VLOOKUP($D300,素材!$1:$1016,COLUMN($F$1),FALSE))),VLOOKUP($C300,武器!$1:$998,COLUMN($O$1),FALSE)*VLOOKUP($D300,素材!$1:$1016,COLUMN($E$1),FALSE)/(LEN(VLOOKUP($D300,素材!$1:$1016,COLUMN($F$1),FALSE)) - LEN(SUBSTITUTE(VLOOKUP($D300,素材!$1:$1016,COLUMN($F$1),FALSE), "・", 0)) + 1), 0)</f>
        <v>0</v>
      </c>
      <c r="AJ300">
        <f>IF(ISNUMBER(SEARCH(SUBSTITUTE(AJ$1,RIGHT(AJ$1,2),""),VLOOKUP($D300,素材!$1:$1016,COLUMN($F$1),FALSE))),VLOOKUP($C300,武器!$1:$998,COLUMN($O$1),FALSE)*VLOOKUP($D300,素材!$1:$1016,COLUMN($E$1),FALSE)/(LEN(VLOOKUP($D300,素材!$1:$1016,COLUMN($F$1),FALSE)) - LEN(SUBSTITUTE(VLOOKUP($D300,素材!$1:$1016,COLUMN($F$1),FALSE), "・", 0)) + 1), 0)</f>
        <v>0</v>
      </c>
      <c r="AK300">
        <f>IF(ISNUMBER(SEARCH(SUBSTITUTE(AK$1,RIGHT(AK$1,2),""),VLOOKUP($D300,素材!$1:$1016,COLUMN($F$1),FALSE))),VLOOKUP($C300,武器!$1:$998,COLUMN($O$1),FALSE)*VLOOKUP($D300,素材!$1:$1016,COLUMN($E$1),FALSE)/(LEN(VLOOKUP($D300,素材!$1:$1016,COLUMN($F$1),FALSE)) - LEN(SUBSTITUTE(VLOOKUP($D300,素材!$1:$1016,COLUMN($F$1),FALSE), "・", 0)) + 1), 0)</f>
        <v>0</v>
      </c>
      <c r="AL300">
        <f>IF(ISNUMBER(SEARCH(SUBSTITUTE(AL$1,RIGHT(AL$1,2),""),VLOOKUP($D300,素材!$1:$1016,COLUMN($F$1),FALSE))),VLOOKUP($C300,武器!$1:$998,COLUMN($O$1),FALSE)*VLOOKUP($D300,素材!$1:$1016,COLUMN($E$1),FALSE)/(LEN(VLOOKUP($D300,素材!$1:$1016,COLUMN($F$1),FALSE)) - LEN(SUBSTITUTE(VLOOKUP($D300,素材!$1:$1016,COLUMN($F$1),FALSE), "・", 0)) + 1), 0)</f>
        <v>0</v>
      </c>
      <c r="AM300">
        <f>IF(ISNUMBER(SEARCH(SUBSTITUTE(AM$1,RIGHT(AM$1,2),""),VLOOKUP($D300,素材!$1:$1016,COLUMN($F$1),FALSE))),VLOOKUP($C300,武器!$1:$998,COLUMN($O$1),FALSE)*VLOOKUP($D300,素材!$1:$1016,COLUMN($E$1),FALSE)/(LEN(VLOOKUP($D300,素材!$1:$1016,COLUMN($F$1),FALSE)) - LEN(SUBSTITUTE(VLOOKUP($D300,素材!$1:$1016,COLUMN($F$1),FALSE), "・", 0)) + 1), 0)</f>
        <v>0</v>
      </c>
      <c r="AN300">
        <f>IF(ISNUMBER(SEARCH(SUBSTITUTE(AN$1,RIGHT(AN$1,2),""),VLOOKUP($D300,素材!$1:$1016,COLUMN($F$1),FALSE))),VLOOKUP($C300,武器!$1:$998,COLUMN($O$1),FALSE)*VLOOKUP($D300,素材!$1:$1016,COLUMN($E$1),FALSE)/(LEN(VLOOKUP($D300,素材!$1:$1016,COLUMN($F$1),FALSE)) - LEN(SUBSTITUTE(VLOOKUP($D300,素材!$1:$1016,COLUMN($F$1),FALSE), "・", 0)) + 1), 0)</f>
        <v>0</v>
      </c>
      <c r="AO300">
        <f>IF(ISNUMBER(SEARCH(SUBSTITUTE(AO$1,RIGHT(AO$1,2),""),VLOOKUP($D300,素材!$1:$1016,COLUMN($F$1),FALSE))),VLOOKUP($C300,武器!$1:$998,COLUMN($O$1),FALSE)*VLOOKUP($D300,素材!$1:$1016,COLUMN($E$1),FALSE)/(LEN(VLOOKUP($D300,素材!$1:$1016,COLUMN($F$1),FALSE)) - LEN(SUBSTITUTE(VLOOKUP($D300,素材!$1:$1016,COLUMN($F$1),FALSE), "・", 0)) + 1), 0)</f>
        <v>0</v>
      </c>
      <c r="AP300">
        <f>IF(ISNUMBER(SEARCH(SUBSTITUTE(AP$1,RIGHT(AP$1,2),""),VLOOKUP($D300,素材!$1:$1016,COLUMN($F$1),FALSE))),VLOOKUP($C300,武器!$1:$998,COLUMN($O$1),FALSE)*VLOOKUP($D300,素材!$1:$1016,COLUMN($E$1),FALSE)/(LEN(VLOOKUP($D300,素材!$1:$1016,COLUMN($F$1),FALSE)) - LEN(SUBSTITUTE(VLOOKUP($D300,素材!$1:$1016,COLUMN($F$1),FALSE), "・", 0)) + 1), 0)</f>
        <v>0</v>
      </c>
      <c r="AQ300">
        <f>IF(ISNUMBER(SEARCH(SUBSTITUTE(AQ$1,RIGHT(AQ$1,2),""),VLOOKUP($D300,素材!$1:$1016,COLUMN($F$1),FALSE))),VLOOKUP($C300,武器!$1:$998,COLUMN($O$1),FALSE)*VLOOKUP($D300,素材!$1:$1016,COLUMN($E$1),FALSE)/(LEN(VLOOKUP($D300,素材!$1:$1016,COLUMN($F$1),FALSE)) - LEN(SUBSTITUTE(VLOOKUP($D300,素材!$1:$1016,COLUMN($F$1),FALSE), "・", 0)) + 1), 0)</f>
        <v>0</v>
      </c>
      <c r="AR300">
        <f>IF(ISNUMBER(SEARCH(SUBSTITUTE(AR$1,RIGHT(AR$1,2),""),VLOOKUP($D300,素材!$1:$1016,COLUMN($F$1),FALSE))),VLOOKUP($C300,武器!$1:$998,COLUMN($O$1),FALSE)*VLOOKUP($D300,素材!$1:$1016,COLUMN($E$1),FALSE)/(LEN(VLOOKUP($D300,素材!$1:$1016,COLUMN($F$1),FALSE)) - LEN(SUBSTITUTE(VLOOKUP($D300,素材!$1:$1016,COLUMN($F$1),FALSE), "・", 0)) + 1), 0)</f>
        <v>0</v>
      </c>
      <c r="AS300">
        <f>IF(ISNUMBER(SEARCH(SUBSTITUTE(AS$1,RIGHT(AS$1,2),""),VLOOKUP($D300,素材!$1:$1016,COLUMN($F$1),FALSE))),VLOOKUP($C300,武器!$1:$998,COLUMN($O$1),FALSE)*VLOOKUP($D300,素材!$1:$1016,COLUMN($E$1),FALSE)/(LEN(VLOOKUP($D300,素材!$1:$1016,COLUMN($F$1),FALSE)) - LEN(SUBSTITUTE(VLOOKUP($D300,素材!$1:$1016,COLUMN($F$1),FALSE), "・", 0)) + 1), 0)</f>
        <v>0</v>
      </c>
      <c r="AT300">
        <f>IF(ISNUMBER(SEARCH(SUBSTITUTE(AT$1,RIGHT(AT$1,2),""),VLOOKUP($D300,素材!$1:$1016,COLUMN($F$1),FALSE))),VLOOKUP($C300,武器!$1:$998,COLUMN($O$1),FALSE)*VLOOKUP($D300,素材!$1:$1016,COLUMN($E$1),FALSE)/(LEN(VLOOKUP($D300,素材!$1:$1016,COLUMN($F$1),FALSE)) - LEN(SUBSTITUTE(VLOOKUP($D300,素材!$1:$1016,COLUMN($F$1),FALSE), "・", 0)) + 1), 0)</f>
        <v>0</v>
      </c>
      <c r="AU300">
        <f>IF(ISNUMBER(SEARCH(SUBSTITUTE(AU$1,RIGHT(AU$1,2),""),VLOOKUP($D300,素材!$1:$1016,COLUMN($F$1),FALSE))),VLOOKUP($C300,武器!$1:$998,COLUMN($O$1),FALSE)*VLOOKUP($D300,素材!$1:$1016,COLUMN($E$1),FALSE)/(LEN(VLOOKUP($D300,素材!$1:$1016,COLUMN($F$1),FALSE)) - LEN(SUBSTITUTE(VLOOKUP($D300,素材!$1:$1016,COLUMN($F$1),FALSE), "・", 0)) + 1), 0)</f>
        <v>0</v>
      </c>
      <c r="AV300">
        <f>IF(ISNUMBER(SEARCH(SUBSTITUTE(AV$1,RIGHT(AV$1,2),""),VLOOKUP($D300,素材!$1:$1016,COLUMN($F$1),FALSE))),VLOOKUP($C300,武器!$1:$998,COLUMN($O$1),FALSE)*VLOOKUP($D300,素材!$1:$1016,COLUMN($E$1),FALSE)/(LEN(VLOOKUP($D300,素材!$1:$1016,COLUMN($F$1),FALSE)) - LEN(SUBSTITUTE(VLOOKUP($D300,素材!$1:$1016,COLUMN($F$1),FALSE), "・", 0)) + 1), 0)</f>
        <v>0</v>
      </c>
      <c r="AW300">
        <f>IF(ISNUMBER(SEARCH(SUBSTITUTE(AW$1,RIGHT(AW$1,2),""),VLOOKUP($D300,素材!$1:$1016,COLUMN($F$1),FALSE))),VLOOKUP($C300,武器!$1:$998,COLUMN($O$1),FALSE)*VLOOKUP($D300,素材!$1:$1016,COLUMN($E$1),FALSE)/(LEN(VLOOKUP($D300,素材!$1:$1016,COLUMN($F$1),FALSE)) - LEN(SUBSTITUTE(VLOOKUP($D300,素材!$1:$1016,COLUMN($F$1),FALSE), "・", 0)) + 1), 0)</f>
        <v>0</v>
      </c>
      <c r="AX300">
        <f>IF(ISNUMBER(SEARCH(SUBSTITUTE(AX$1,RIGHT(AX$1,2),""),VLOOKUP($D300,素材!$1:$1016,COLUMN($F$1),FALSE))),VLOOKUP($C300,武器!$1:$998,COLUMN($O$1),FALSE)*VLOOKUP($D300,素材!$1:$1016,COLUMN($E$1),FALSE)/(LEN(VLOOKUP($D300,素材!$1:$1016,COLUMN($F$1),FALSE)) - LEN(SUBSTITUTE(VLOOKUP($D300,素材!$1:$1016,COLUMN($F$1),FALSE), "・", 0)) + 1), 0)</f>
        <v>0</v>
      </c>
      <c r="AY300">
        <f>IF(ISNUMBER(SEARCH(SUBSTITUTE(AY$1,RIGHT(AY$1,2),""),VLOOKUP($D300,素材!$1:$1016,COLUMN($F$1),FALSE))),VLOOKUP($C300,武器!$1:$998,COLUMN($O$1),FALSE)*VLOOKUP($D300,素材!$1:$1016,COLUMN($E$1),FALSE)/(LEN(VLOOKUP($D300,素材!$1:$1016,COLUMN($F$1),FALSE)) - LEN(SUBSTITUTE(VLOOKUP($D300,素材!$1:$1016,COLUMN($F$1),FALSE), "・", 0)) + 1), 0)</f>
        <v>0</v>
      </c>
      <c r="AZ300">
        <f>IF(ISNUMBER(SEARCH(SUBSTITUTE(AZ$1,RIGHT(AZ$1,2),""),VLOOKUP($D300,素材!$1:$1016,COLUMN($F$1),FALSE))),VLOOKUP($C300,武器!$1:$998,COLUMN($O$1),FALSE)*VLOOKUP($D300,素材!$1:$1016,COLUMN($E$1),FALSE)/(LEN(VLOOKUP($D300,素材!$1:$1016,COLUMN($F$1),FALSE)) - LEN(SUBSTITUTE(VLOOKUP($D300,素材!$1:$1016,COLUMN($F$1),FALSE), "・", 0)) + 1), 0)</f>
        <v>0</v>
      </c>
      <c r="BA300">
        <f>IF(ISNUMBER(SEARCH(SUBSTITUTE(BA$1,RIGHT(BA$1,2),""),VLOOKUP($D300,素材!$1:$1016,COLUMN($F$1),FALSE))),VLOOKUP($C300,武器!$1:$998,COLUMN($O$1),FALSE)*VLOOKUP($D300,素材!$1:$1016,COLUMN($E$1),FALSE)/(LEN(VLOOKUP($D300,素材!$1:$1016,COLUMN($F$1),FALSE)) - LEN(SUBSTITUTE(VLOOKUP($D300,素材!$1:$1016,COLUMN($F$1),FALSE), "・", 0)) + 1), 0)</f>
        <v>0</v>
      </c>
      <c r="BB300">
        <f>IF(ISNUMBER(SEARCH(SUBSTITUTE(BB$1,RIGHT(BB$1,2),""),VLOOKUP($D300,素材!$1:$1016,COLUMN($F$1),FALSE))),VLOOKUP($C300,武器!$1:$998,COLUMN($O$1),FALSE)*VLOOKUP($D300,素材!$1:$1016,COLUMN($E$1),FALSE)/(LEN(VLOOKUP($D300,素材!$1:$1016,COLUMN($F$1),FALSE)) - LEN(SUBSTITUTE(VLOOKUP($D300,素材!$1:$1016,COLUMN($F$1),FALSE), "・", 0)) + 1), 0)</f>
        <v>0</v>
      </c>
      <c r="BC300">
        <f>IF(ISNUMBER(SEARCH(SUBSTITUTE(BC$1,RIGHT(BC$1,2),""),VLOOKUP($D300,素材!$1:$1016,COLUMN($F$1),FALSE))),VLOOKUP($C300,武器!$1:$998,COLUMN($O$1),FALSE)*VLOOKUP($D300,素材!$1:$1016,COLUMN($E$1),FALSE)/(LEN(VLOOKUP($D300,素材!$1:$1016,COLUMN($F$1),FALSE)) - LEN(SUBSTITUTE(VLOOKUP($D300,素材!$1:$1016,COLUMN($F$1),FALSE), "・", 0)) + 1), 0)</f>
        <v>0</v>
      </c>
      <c r="BD300">
        <f>IF(ISNUMBER(SEARCH(SUBSTITUTE(BD$1,RIGHT(BD$1,2),""),VLOOKUP($D300,素材!$1:$1016,COLUMN($F$1),FALSE))),VLOOKUP($C300,武器!$1:$998,COLUMN($O$1),FALSE)*VLOOKUP($D300,素材!$1:$1016,COLUMN($E$1),FALSE)/(LEN(VLOOKUP($D300,素材!$1:$1016,COLUMN($F$1),FALSE)) - LEN(SUBSTITUTE(VLOOKUP($D300,素材!$1:$1016,COLUMN($F$1),FALSE), "・", 0)) + 1), 0)</f>
        <v>0</v>
      </c>
      <c r="BE300">
        <f>IF(ISNUMBER(SEARCH(SUBSTITUTE(BE$1,RIGHT(BE$1,2),""),VLOOKUP($D300,素材!$1:$1016,COLUMN($F$1),FALSE))),VLOOKUP($C300,武器!$1:$998,COLUMN($O$1),FALSE)*VLOOKUP($D300,素材!$1:$1016,COLUMN($E$1),FALSE)/(LEN(VLOOKUP($D300,素材!$1:$1016,COLUMN($F$1),FALSE)) - LEN(SUBSTITUTE(VLOOKUP($D300,素材!$1:$1016,COLUMN($F$1),FALSE), "・", 0)) + 1), 0)</f>
        <v>0</v>
      </c>
      <c r="CL300">
        <f>SUM(G300:I300)</f>
        <v>0</v>
      </c>
      <c r="CM300" s="22" t="str">
        <f>IF(E300="武器",IF(J300-1&gt;SUM(G300:I300),"盾",IF(MAX(G300:I300)=G300,"切断",IF(MAX(G300:I300)=H300,"貫通",IF(MAX(G300:I300)=I300,"打撃","射撃")))),E300)&amp;".webp"</f>
        <v>.webp</v>
      </c>
      <c r="CN300" t="str">
        <f>IFERROR(VLOOKUP($C300,武器!$1:$998,COLUMN(V$1),FALSE)*VLOOKUP($D300,素材!$1:$1016,COLUMN(N$1),FALSE)+IF(CI300="",0,VLOOKUP($CI300,装強!$1:$1008,COLUMN($CK$1),FALSE)),"")</f>
        <v/>
      </c>
      <c r="CO300" t="e">
        <f>VLOOKUP(D300,素材!$A:$O,COLUMN(素材!O$1),FALSE)</f>
        <v>#N/A</v>
      </c>
      <c r="CP300" t="e">
        <f>VLOOKUP(C300,武器!$A:$W,COLUMN(武器!W$1),FALSE)</f>
        <v>#N/A</v>
      </c>
      <c r="CR300" t="str">
        <f t="shared" si="33"/>
        <v>e_300</v>
      </c>
      <c r="CS300" t="e">
        <f t="shared" si="34"/>
        <v>#VALUE!</v>
      </c>
    </row>
    <row r="301" spans="1:97" hidden="1" outlineLevel="1" x14ac:dyDescent="0.4">
      <c r="A301" t="str">
        <f>IF(CI301="",D301&amp;"の"&amp;C301,CI301&amp;"の"&amp;C301)</f>
        <v>の</v>
      </c>
      <c r="B301" t="str">
        <f>IFERROR(IF(CI301="",VLOOKUP($D301,素材!$1:$1016,COLUMN($B$1),FALSE)&amp;"・"&amp;VLOOKUP($C301,武器!$1:$998,COLUMN(B$1),FALSE),VLOOKUP($CI301,装強!$1:$1008,COLUMN($B$1),FALSE)&amp;"・"&amp;VLOOKUP($C301,武器!$1:$998,COLUMN(B$1),FALSE)),"")</f>
        <v/>
      </c>
      <c r="C301" s="24"/>
      <c r="D301" s="24"/>
      <c r="E301" t="str">
        <f>IFERROR(VLOOKUP(C301,武器!$1:$998,COLUMN(C$1),FALSE),"")</f>
        <v/>
      </c>
      <c r="F301" t="str">
        <f>IFERROR(ROUNDDOWN((VLOOKUP($C301,武器!$1:$998,COLUMN(D$1),FALSE)+IFERROR(VLOOKUP($CI301,装強!$1:$999,COLUMN(F$1),FALSE),0))*VLOOKUP($D301,素材!$1:$1016,COLUMN(D$1),FALSE),0),"")</f>
        <v/>
      </c>
      <c r="G301" t="str">
        <f>IFERROR(ROUNDDOWN((VLOOKUP($C301,武器!$1:$998,COLUMN(E$1),FALSE)+IFERROR(VLOOKUP($CI301,装強!$1:$999,COLUMN(G$1),FALSE),0))*VLOOKUP($D301,素材!$1:$1016,COLUMN($E$1),FALSE),0),"")</f>
        <v/>
      </c>
      <c r="H301" t="str">
        <f>IFERROR(ROUNDDOWN((VLOOKUP($C301,武器!$1:$998,COLUMN(F$1),FALSE)+IFERROR(VLOOKUP($CI301,装強!$1:$999,COLUMN(H$1),FALSE),0))*VLOOKUP($D301,素材!$1:$1016,COLUMN($E$1),FALSE),0),"")</f>
        <v/>
      </c>
      <c r="I301" t="str">
        <f>IFERROR(ROUNDDOWN((VLOOKUP($C301,武器!$1:$998,COLUMN(G$1),FALSE)+IFERROR(VLOOKUP($CI301,装強!$1:$999,COLUMN(I$1),FALSE),0))*VLOOKUP($D301,素材!$1:$1016,COLUMN($E$1),FALSE),0),"")</f>
        <v/>
      </c>
      <c r="J301" t="str">
        <f>IFERROR(ROUNDDOWN((VLOOKUP($C301,武器!$1:$998,COLUMN(H$1),FALSE)+IFERROR(VLOOKUP($CI301,装強!$1:$999,COLUMN(J$1),FALSE),0))*VLOOKUP($D301,素材!$1:$1016,COLUMN($E$1),FALSE),0),"")</f>
        <v/>
      </c>
      <c r="K301" t="str">
        <f>IFERROR(ROUNDDOWN((VLOOKUP($C301,武器!$1:$998,COLUMN(I$1),FALSE)+IFERROR(VLOOKUP($CI301,装強!$1:$999,COLUMN(K$1),FALSE),0))*VLOOKUP($D301,素材!$1:$1016,COLUMN($E$1),FALSE),0),"")</f>
        <v/>
      </c>
      <c r="L301" t="str">
        <f>IFERROR(VLOOKUP($D301,素材!$1:$1016,COLUMN($F$1),FALSE),"")</f>
        <v/>
      </c>
      <c r="M301" t="str">
        <f>IFERROR(VLOOKUP($C301,武器!$1:$998,COLUMN(AA$1),FALSE)*VLOOKUP($D301,素材!$1:$1016,COLUMN($G$1),FALSE),"")</f>
        <v/>
      </c>
      <c r="N301" t="str">
        <f>IFERROR(VLOOKUP($C301,武器!$1:$998,COLUMN(I$1),FALSE),"")</f>
        <v/>
      </c>
      <c r="O301" s="23" t="str">
        <f>IFERROR((VLOOKUP($C301,武器!$1:$998,COLUMN(K$1),FALSE)+VLOOKUP($D301,素材!$1:$1016,COLUMN(H$1),FALSE))*100+IFERROR(VLOOKUP($CI301,装強!$1:$999,COLUMN(O$1),FALSE),0),"")</f>
        <v/>
      </c>
      <c r="P301" s="23" t="str">
        <f>IFERROR((VLOOKUP($C301,武器!$1:$998,COLUMN(L$1),FALSE)+VLOOKUP($D301,素材!$1:$1016,COLUMN(I$1),FALSE))*100+IFERROR(VLOOKUP($CI301,装強!$1:$999,COLUMN(P$1),FALSE),0),"")</f>
        <v/>
      </c>
      <c r="Q301" t="str">
        <f>IFERROR(ROUNDUP(VLOOKUP($C301,武器!$1:$998,COLUMN(M$1),FALSE)*(VLOOKUP($D301,素材!$1:$1002,COLUMN(D$1),FALSE)/100),1),"")</f>
        <v/>
      </c>
      <c r="R301" t="str">
        <f>IFERROR(ROUNDUP(VLOOKUP($C301,武器!$1:$998,COLUMN(N$1),FALSE)*(VLOOKUP($D301,素材!$1:$1002,COLUMN(D$1),FALSE)/100),1),"")</f>
        <v/>
      </c>
      <c r="S301" t="str">
        <f>IFERROR(VLOOKUP($C301,武器!$1:$998,COLUMN(P$1),FALSE),"")</f>
        <v/>
      </c>
      <c r="T301" t="str">
        <f>IFERROR(VLOOKUP($C301,武器!$1:$998,COLUMN(Q$1),FALSE),"")</f>
        <v/>
      </c>
      <c r="U301" t="str">
        <f>IFERROR(VLOOKUP($C301,武器!$1:$998,COLUMN(R$1),FALSE),"")</f>
        <v/>
      </c>
      <c r="V301" t="str">
        <f>IFERROR(VLOOKUP($C301,武器!$1:$998,COLUMN(Q$1),FALSE),"")</f>
        <v/>
      </c>
      <c r="W301" t="str">
        <f>IFERROR(VLOOKUP($C301,武器!$1:$998,COLUMN(T$1),FALSE),"")</f>
        <v/>
      </c>
      <c r="Y301" t="str">
        <f>IFERROR(VLOOKUP($C301,武器!$1:$998,COLUMN(U$1),FALSE),"")</f>
        <v/>
      </c>
      <c r="Z301" t="str">
        <f>IFERROR(ROUNDUP(VLOOKUP($C301,武器!$1:$998,COLUMN(O$1),FALSE)*VLOOKUP($D301,素材!$1:$1016,COLUMN(E$1),FALSE),1),"")</f>
        <v/>
      </c>
      <c r="AA301">
        <f>IF(ISNUMBER(SEARCH(SUBSTITUTE(AA$1,RIGHT(AA$1,2),""),VLOOKUP($D301,素材!$1:$1016,COLUMN($F$1),FALSE))),VLOOKUP($C301,武器!$1:$998,COLUMN($O$1),FALSE)*VLOOKUP($D301,素材!$1:$1016,COLUMN($E$1),FALSE)/(LEN(VLOOKUP($D301,素材!$1:$1016,COLUMN($F$1),FALSE)) - LEN(SUBSTITUTE(VLOOKUP($D301,素材!$1:$1016,COLUMN($F$1),FALSE), "・", 0)) + 1), 0)</f>
        <v>0</v>
      </c>
      <c r="AB301">
        <f>IF(ISNUMBER(SEARCH(SUBSTITUTE(AB$1,RIGHT(AB$1,2),""),VLOOKUP($D301,素材!$1:$1016,COLUMN($F$1),FALSE))),VLOOKUP($C301,武器!$1:$998,COLUMN($O$1),FALSE)*VLOOKUP($D301,素材!$1:$1016,COLUMN($E$1),FALSE)/(LEN(VLOOKUP($D301,素材!$1:$1016,COLUMN($F$1),FALSE)) - LEN(SUBSTITUTE(VLOOKUP($D301,素材!$1:$1016,COLUMN($F$1),FALSE), "・", 0)) + 1), 0)</f>
        <v>0</v>
      </c>
      <c r="AC301">
        <f>IF(ISNUMBER(SEARCH(SUBSTITUTE(AC$1,RIGHT(AC$1,2),""),VLOOKUP($D301,素材!$1:$1016,COLUMN($F$1),FALSE))),VLOOKUP($C301,武器!$1:$998,COLUMN($O$1),FALSE)*VLOOKUP($D301,素材!$1:$1016,COLUMN($E$1),FALSE)/(LEN(VLOOKUP($D301,素材!$1:$1016,COLUMN($F$1),FALSE)) - LEN(SUBSTITUTE(VLOOKUP($D301,素材!$1:$1016,COLUMN($F$1),FALSE), "・", 0)) + 1), 0)</f>
        <v>0</v>
      </c>
      <c r="AD301">
        <f>IF(ISNUMBER(SEARCH(SUBSTITUTE(AD$1,RIGHT(AD$1,2),""),VLOOKUP($D301,素材!$1:$1016,COLUMN($F$1),FALSE))),VLOOKUP($C301,武器!$1:$998,COLUMN($O$1),FALSE)*VLOOKUP($D301,素材!$1:$1016,COLUMN($E$1),FALSE)/(LEN(VLOOKUP($D301,素材!$1:$1016,COLUMN($F$1),FALSE)) - LEN(SUBSTITUTE(VLOOKUP($D301,素材!$1:$1016,COLUMN($F$1),FALSE), "・", 0)) + 1), 0)</f>
        <v>0</v>
      </c>
      <c r="AE301">
        <f>IF(ISNUMBER(SEARCH(SUBSTITUTE(AE$1,RIGHT(AE$1,2),""),VLOOKUP($D301,素材!$1:$1016,COLUMN($F$1),FALSE))),VLOOKUP($C301,武器!$1:$998,COLUMN($O$1),FALSE)*VLOOKUP($D301,素材!$1:$1016,COLUMN($E$1),FALSE)/(LEN(VLOOKUP($D301,素材!$1:$1016,COLUMN($F$1),FALSE)) - LEN(SUBSTITUTE(VLOOKUP($D301,素材!$1:$1016,COLUMN($F$1),FALSE), "・", 0)) + 1), 0)</f>
        <v>0</v>
      </c>
      <c r="AF301">
        <f>IF(ISNUMBER(SEARCH(SUBSTITUTE(AF$1,RIGHT(AF$1,2),""),VLOOKUP($D301,素材!$1:$1016,COLUMN($F$1),FALSE))),VLOOKUP($C301,武器!$1:$998,COLUMN($O$1),FALSE)*VLOOKUP($D301,素材!$1:$1016,COLUMN($E$1),FALSE)/(LEN(VLOOKUP($D301,素材!$1:$1016,COLUMN($F$1),FALSE)) - LEN(SUBSTITUTE(VLOOKUP($D301,素材!$1:$1016,COLUMN($F$1),FALSE), "・", 0)) + 1), 0)</f>
        <v>0</v>
      </c>
      <c r="AG301">
        <f>IF(ISNUMBER(SEARCH(SUBSTITUTE(AG$1,RIGHT(AG$1,2),""),VLOOKUP($D301,素材!$1:$1016,COLUMN($F$1),FALSE))),VLOOKUP($C301,武器!$1:$998,COLUMN($O$1),FALSE)*VLOOKUP($D301,素材!$1:$1016,COLUMN($E$1),FALSE)/(LEN(VLOOKUP($D301,素材!$1:$1016,COLUMN($F$1),FALSE)) - LEN(SUBSTITUTE(VLOOKUP($D301,素材!$1:$1016,COLUMN($F$1),FALSE), "・", 0)) + 1), 0)</f>
        <v>0</v>
      </c>
      <c r="AH301">
        <f>IF(ISNUMBER(SEARCH(SUBSTITUTE(AH$1,RIGHT(AH$1,2),""),VLOOKUP($D301,素材!$1:$1016,COLUMN($F$1),FALSE))),VLOOKUP($C301,武器!$1:$998,COLUMN($O$1),FALSE)*VLOOKUP($D301,素材!$1:$1016,COLUMN($E$1),FALSE)/(LEN(VLOOKUP($D301,素材!$1:$1016,COLUMN($F$1),FALSE)) - LEN(SUBSTITUTE(VLOOKUP($D301,素材!$1:$1016,COLUMN($F$1),FALSE), "・", 0)) + 1), 0)</f>
        <v>0</v>
      </c>
      <c r="AI301">
        <f>IF(ISNUMBER(SEARCH(SUBSTITUTE(AI$1,RIGHT(AI$1,2),""),VLOOKUP($D301,素材!$1:$1016,COLUMN($F$1),FALSE))),VLOOKUP($C301,武器!$1:$998,COLUMN($O$1),FALSE)*VLOOKUP($D301,素材!$1:$1016,COLUMN($E$1),FALSE)/(LEN(VLOOKUP($D301,素材!$1:$1016,COLUMN($F$1),FALSE)) - LEN(SUBSTITUTE(VLOOKUP($D301,素材!$1:$1016,COLUMN($F$1),FALSE), "・", 0)) + 1), 0)</f>
        <v>0</v>
      </c>
      <c r="AJ301">
        <f>IF(ISNUMBER(SEARCH(SUBSTITUTE(AJ$1,RIGHT(AJ$1,2),""),VLOOKUP($D301,素材!$1:$1016,COLUMN($F$1),FALSE))),VLOOKUP($C301,武器!$1:$998,COLUMN($O$1),FALSE)*VLOOKUP($D301,素材!$1:$1016,COLUMN($E$1),FALSE)/(LEN(VLOOKUP($D301,素材!$1:$1016,COLUMN($F$1),FALSE)) - LEN(SUBSTITUTE(VLOOKUP($D301,素材!$1:$1016,COLUMN($F$1),FALSE), "・", 0)) + 1), 0)</f>
        <v>0</v>
      </c>
      <c r="AK301">
        <f>IF(ISNUMBER(SEARCH(SUBSTITUTE(AK$1,RIGHT(AK$1,2),""),VLOOKUP($D301,素材!$1:$1016,COLUMN($F$1),FALSE))),VLOOKUP($C301,武器!$1:$998,COLUMN($O$1),FALSE)*VLOOKUP($D301,素材!$1:$1016,COLUMN($E$1),FALSE)/(LEN(VLOOKUP($D301,素材!$1:$1016,COLUMN($F$1),FALSE)) - LEN(SUBSTITUTE(VLOOKUP($D301,素材!$1:$1016,COLUMN($F$1),FALSE), "・", 0)) + 1), 0)</f>
        <v>0</v>
      </c>
      <c r="AL301">
        <f>IF(ISNUMBER(SEARCH(SUBSTITUTE(AL$1,RIGHT(AL$1,2),""),VLOOKUP($D301,素材!$1:$1016,COLUMN($F$1),FALSE))),VLOOKUP($C301,武器!$1:$998,COLUMN($O$1),FALSE)*VLOOKUP($D301,素材!$1:$1016,COLUMN($E$1),FALSE)/(LEN(VLOOKUP($D301,素材!$1:$1016,COLUMN($F$1),FALSE)) - LEN(SUBSTITUTE(VLOOKUP($D301,素材!$1:$1016,COLUMN($F$1),FALSE), "・", 0)) + 1), 0)</f>
        <v>0</v>
      </c>
      <c r="AM301">
        <f>IF(ISNUMBER(SEARCH(SUBSTITUTE(AM$1,RIGHT(AM$1,2),""),VLOOKUP($D301,素材!$1:$1016,COLUMN($F$1),FALSE))),VLOOKUP($C301,武器!$1:$998,COLUMN($O$1),FALSE)*VLOOKUP($D301,素材!$1:$1016,COLUMN($E$1),FALSE)/(LEN(VLOOKUP($D301,素材!$1:$1016,COLUMN($F$1),FALSE)) - LEN(SUBSTITUTE(VLOOKUP($D301,素材!$1:$1016,COLUMN($F$1),FALSE), "・", 0)) + 1), 0)</f>
        <v>0</v>
      </c>
      <c r="AN301">
        <f>IF(ISNUMBER(SEARCH(SUBSTITUTE(AN$1,RIGHT(AN$1,2),""),VLOOKUP($D301,素材!$1:$1016,COLUMN($F$1),FALSE))),VLOOKUP($C301,武器!$1:$998,COLUMN($O$1),FALSE)*VLOOKUP($D301,素材!$1:$1016,COLUMN($E$1),FALSE)/(LEN(VLOOKUP($D301,素材!$1:$1016,COLUMN($F$1),FALSE)) - LEN(SUBSTITUTE(VLOOKUP($D301,素材!$1:$1016,COLUMN($F$1),FALSE), "・", 0)) + 1), 0)</f>
        <v>0</v>
      </c>
      <c r="AO301">
        <f>IF(ISNUMBER(SEARCH(SUBSTITUTE(AO$1,RIGHT(AO$1,2),""),VLOOKUP($D301,素材!$1:$1016,COLUMN($F$1),FALSE))),VLOOKUP($C301,武器!$1:$998,COLUMN($O$1),FALSE)*VLOOKUP($D301,素材!$1:$1016,COLUMN($E$1),FALSE)/(LEN(VLOOKUP($D301,素材!$1:$1016,COLUMN($F$1),FALSE)) - LEN(SUBSTITUTE(VLOOKUP($D301,素材!$1:$1016,COLUMN($F$1),FALSE), "・", 0)) + 1), 0)</f>
        <v>0</v>
      </c>
      <c r="AP301">
        <f>IF(ISNUMBER(SEARCH(SUBSTITUTE(AP$1,RIGHT(AP$1,2),""),VLOOKUP($D301,素材!$1:$1016,COLUMN($F$1),FALSE))),VLOOKUP($C301,武器!$1:$998,COLUMN($O$1),FALSE)*VLOOKUP($D301,素材!$1:$1016,COLUMN($E$1),FALSE)/(LEN(VLOOKUP($D301,素材!$1:$1016,COLUMN($F$1),FALSE)) - LEN(SUBSTITUTE(VLOOKUP($D301,素材!$1:$1016,COLUMN($F$1),FALSE), "・", 0)) + 1), 0)</f>
        <v>0</v>
      </c>
      <c r="AQ301">
        <f>IF(ISNUMBER(SEARCH(SUBSTITUTE(AQ$1,RIGHT(AQ$1,2),""),VLOOKUP($D301,素材!$1:$1016,COLUMN($F$1),FALSE))),VLOOKUP($C301,武器!$1:$998,COLUMN($O$1),FALSE)*VLOOKUP($D301,素材!$1:$1016,COLUMN($E$1),FALSE)/(LEN(VLOOKUP($D301,素材!$1:$1016,COLUMN($F$1),FALSE)) - LEN(SUBSTITUTE(VLOOKUP($D301,素材!$1:$1016,COLUMN($F$1),FALSE), "・", 0)) + 1), 0)</f>
        <v>0</v>
      </c>
      <c r="AR301">
        <f>IF(ISNUMBER(SEARCH(SUBSTITUTE(AR$1,RIGHT(AR$1,2),""),VLOOKUP($D301,素材!$1:$1016,COLUMN($F$1),FALSE))),VLOOKUP($C301,武器!$1:$998,COLUMN($O$1),FALSE)*VLOOKUP($D301,素材!$1:$1016,COLUMN($E$1),FALSE)/(LEN(VLOOKUP($D301,素材!$1:$1016,COLUMN($F$1),FALSE)) - LEN(SUBSTITUTE(VLOOKUP($D301,素材!$1:$1016,COLUMN($F$1),FALSE), "・", 0)) + 1), 0)</f>
        <v>0</v>
      </c>
      <c r="AS301">
        <f>IF(ISNUMBER(SEARCH(SUBSTITUTE(AS$1,RIGHT(AS$1,2),""),VLOOKUP($D301,素材!$1:$1016,COLUMN($F$1),FALSE))),VLOOKUP($C301,武器!$1:$998,COLUMN($O$1),FALSE)*VLOOKUP($D301,素材!$1:$1016,COLUMN($E$1),FALSE)/(LEN(VLOOKUP($D301,素材!$1:$1016,COLUMN($F$1),FALSE)) - LEN(SUBSTITUTE(VLOOKUP($D301,素材!$1:$1016,COLUMN($F$1),FALSE), "・", 0)) + 1), 0)</f>
        <v>0</v>
      </c>
      <c r="AT301">
        <f>IF(ISNUMBER(SEARCH(SUBSTITUTE(AT$1,RIGHT(AT$1,2),""),VLOOKUP($D301,素材!$1:$1016,COLUMN($F$1),FALSE))),VLOOKUP($C301,武器!$1:$998,COLUMN($O$1),FALSE)*VLOOKUP($D301,素材!$1:$1016,COLUMN($E$1),FALSE)/(LEN(VLOOKUP($D301,素材!$1:$1016,COLUMN($F$1),FALSE)) - LEN(SUBSTITUTE(VLOOKUP($D301,素材!$1:$1016,COLUMN($F$1),FALSE), "・", 0)) + 1), 0)</f>
        <v>0</v>
      </c>
      <c r="AU301">
        <f>IF(ISNUMBER(SEARCH(SUBSTITUTE(AU$1,RIGHT(AU$1,2),""),VLOOKUP($D301,素材!$1:$1016,COLUMN($F$1),FALSE))),VLOOKUP($C301,武器!$1:$998,COLUMN($O$1),FALSE)*VLOOKUP($D301,素材!$1:$1016,COLUMN($E$1),FALSE)/(LEN(VLOOKUP($D301,素材!$1:$1016,COLUMN($F$1),FALSE)) - LEN(SUBSTITUTE(VLOOKUP($D301,素材!$1:$1016,COLUMN($F$1),FALSE), "・", 0)) + 1), 0)</f>
        <v>0</v>
      </c>
      <c r="AV301">
        <f>IF(ISNUMBER(SEARCH(SUBSTITUTE(AV$1,RIGHT(AV$1,2),""),VLOOKUP($D301,素材!$1:$1016,COLUMN($F$1),FALSE))),VLOOKUP($C301,武器!$1:$998,COLUMN($O$1),FALSE)*VLOOKUP($D301,素材!$1:$1016,COLUMN($E$1),FALSE)/(LEN(VLOOKUP($D301,素材!$1:$1016,COLUMN($F$1),FALSE)) - LEN(SUBSTITUTE(VLOOKUP($D301,素材!$1:$1016,COLUMN($F$1),FALSE), "・", 0)) + 1), 0)</f>
        <v>0</v>
      </c>
      <c r="AW301">
        <f>IF(ISNUMBER(SEARCH(SUBSTITUTE(AW$1,RIGHT(AW$1,2),""),VLOOKUP($D301,素材!$1:$1016,COLUMN($F$1),FALSE))),VLOOKUP($C301,武器!$1:$998,COLUMN($O$1),FALSE)*VLOOKUP($D301,素材!$1:$1016,COLUMN($E$1),FALSE)/(LEN(VLOOKUP($D301,素材!$1:$1016,COLUMN($F$1),FALSE)) - LEN(SUBSTITUTE(VLOOKUP($D301,素材!$1:$1016,COLUMN($F$1),FALSE), "・", 0)) + 1), 0)</f>
        <v>0</v>
      </c>
      <c r="AX301">
        <f>IF(ISNUMBER(SEARCH(SUBSTITUTE(AX$1,RIGHT(AX$1,2),""),VLOOKUP($D301,素材!$1:$1016,COLUMN($F$1),FALSE))),VLOOKUP($C301,武器!$1:$998,COLUMN($O$1),FALSE)*VLOOKUP($D301,素材!$1:$1016,COLUMN($E$1),FALSE)/(LEN(VLOOKUP($D301,素材!$1:$1016,COLUMN($F$1),FALSE)) - LEN(SUBSTITUTE(VLOOKUP($D301,素材!$1:$1016,COLUMN($F$1),FALSE), "・", 0)) + 1), 0)</f>
        <v>0</v>
      </c>
      <c r="AY301">
        <f>IF(ISNUMBER(SEARCH(SUBSTITUTE(AY$1,RIGHT(AY$1,2),""),VLOOKUP($D301,素材!$1:$1016,COLUMN($F$1),FALSE))),VLOOKUP($C301,武器!$1:$998,COLUMN($O$1),FALSE)*VLOOKUP($D301,素材!$1:$1016,COLUMN($E$1),FALSE)/(LEN(VLOOKUP($D301,素材!$1:$1016,COLUMN($F$1),FALSE)) - LEN(SUBSTITUTE(VLOOKUP($D301,素材!$1:$1016,COLUMN($F$1),FALSE), "・", 0)) + 1), 0)</f>
        <v>0</v>
      </c>
      <c r="AZ301">
        <f>IF(ISNUMBER(SEARCH(SUBSTITUTE(AZ$1,RIGHT(AZ$1,2),""),VLOOKUP($D301,素材!$1:$1016,COLUMN($F$1),FALSE))),VLOOKUP($C301,武器!$1:$998,COLUMN($O$1),FALSE)*VLOOKUP($D301,素材!$1:$1016,COLUMN($E$1),FALSE)/(LEN(VLOOKUP($D301,素材!$1:$1016,COLUMN($F$1),FALSE)) - LEN(SUBSTITUTE(VLOOKUP($D301,素材!$1:$1016,COLUMN($F$1),FALSE), "・", 0)) + 1), 0)</f>
        <v>0</v>
      </c>
      <c r="BA301">
        <f>IF(ISNUMBER(SEARCH(SUBSTITUTE(BA$1,RIGHT(BA$1,2),""),VLOOKUP($D301,素材!$1:$1016,COLUMN($F$1),FALSE))),VLOOKUP($C301,武器!$1:$998,COLUMN($O$1),FALSE)*VLOOKUP($D301,素材!$1:$1016,COLUMN($E$1),FALSE)/(LEN(VLOOKUP($D301,素材!$1:$1016,COLUMN($F$1),FALSE)) - LEN(SUBSTITUTE(VLOOKUP($D301,素材!$1:$1016,COLUMN($F$1),FALSE), "・", 0)) + 1), 0)</f>
        <v>0</v>
      </c>
      <c r="BB301">
        <f>IF(ISNUMBER(SEARCH(SUBSTITUTE(BB$1,RIGHT(BB$1,2),""),VLOOKUP($D301,素材!$1:$1016,COLUMN($F$1),FALSE))),VLOOKUP($C301,武器!$1:$998,COLUMN($O$1),FALSE)*VLOOKUP($D301,素材!$1:$1016,COLUMN($E$1),FALSE)/(LEN(VLOOKUP($D301,素材!$1:$1016,COLUMN($F$1),FALSE)) - LEN(SUBSTITUTE(VLOOKUP($D301,素材!$1:$1016,COLUMN($F$1),FALSE), "・", 0)) + 1), 0)</f>
        <v>0</v>
      </c>
      <c r="BC301">
        <f>IF(ISNUMBER(SEARCH(SUBSTITUTE(BC$1,RIGHT(BC$1,2),""),VLOOKUP($D301,素材!$1:$1016,COLUMN($F$1),FALSE))),VLOOKUP($C301,武器!$1:$998,COLUMN($O$1),FALSE)*VLOOKUP($D301,素材!$1:$1016,COLUMN($E$1),FALSE)/(LEN(VLOOKUP($D301,素材!$1:$1016,COLUMN($F$1),FALSE)) - LEN(SUBSTITUTE(VLOOKUP($D301,素材!$1:$1016,COLUMN($F$1),FALSE), "・", 0)) + 1), 0)</f>
        <v>0</v>
      </c>
      <c r="BD301">
        <f>IF(ISNUMBER(SEARCH(SUBSTITUTE(BD$1,RIGHT(BD$1,2),""),VLOOKUP($D301,素材!$1:$1016,COLUMN($F$1),FALSE))),VLOOKUP($C301,武器!$1:$998,COLUMN($O$1),FALSE)*VLOOKUP($D301,素材!$1:$1016,COLUMN($E$1),FALSE)/(LEN(VLOOKUP($D301,素材!$1:$1016,COLUMN($F$1),FALSE)) - LEN(SUBSTITUTE(VLOOKUP($D301,素材!$1:$1016,COLUMN($F$1),FALSE), "・", 0)) + 1), 0)</f>
        <v>0</v>
      </c>
      <c r="BE301">
        <f>IF(ISNUMBER(SEARCH(SUBSTITUTE(BE$1,RIGHT(BE$1,2),""),VLOOKUP($D301,素材!$1:$1016,COLUMN($F$1),FALSE))),VLOOKUP($C301,武器!$1:$998,COLUMN($O$1),FALSE)*VLOOKUP($D301,素材!$1:$1016,COLUMN($E$1),FALSE)/(LEN(VLOOKUP($D301,素材!$1:$1016,COLUMN($F$1),FALSE)) - LEN(SUBSTITUTE(VLOOKUP($D301,素材!$1:$1016,COLUMN($F$1),FALSE), "・", 0)) + 1), 0)</f>
        <v>0</v>
      </c>
      <c r="CL301">
        <f>SUM(G301:I301)</f>
        <v>0</v>
      </c>
      <c r="CM301" s="22" t="str">
        <f>IF(E301="武器",IF(J301-1&gt;SUM(G301:I301),"盾",IF(MAX(G301:I301)=G301,"切断",IF(MAX(G301:I301)=H301,"貫通",IF(MAX(G301:I301)=I301,"打撃","射撃")))),E301)&amp;".webp"</f>
        <v>.webp</v>
      </c>
      <c r="CN301" t="str">
        <f>IFERROR(VLOOKUP($C301,武器!$1:$998,COLUMN(V$1),FALSE)*VLOOKUP($D301,素材!$1:$1016,COLUMN(N$1),FALSE)+IF(CI301="",0,VLOOKUP($CI301,装強!$1:$1008,COLUMN($CK$1),FALSE)),"")</f>
        <v/>
      </c>
      <c r="CO301" t="e">
        <f>VLOOKUP(D301,素材!$A:$O,COLUMN(素材!O$1),FALSE)</f>
        <v>#N/A</v>
      </c>
      <c r="CP301" t="e">
        <f>VLOOKUP(C301,武器!$A:$W,COLUMN(武器!W$1),FALSE)</f>
        <v>#N/A</v>
      </c>
      <c r="CR301" t="str">
        <f t="shared" si="33"/>
        <v>e_301</v>
      </c>
      <c r="CS301" t="e">
        <f t="shared" si="34"/>
        <v>#VALUE!</v>
      </c>
    </row>
    <row r="302" spans="1:97" hidden="1" outlineLevel="1" x14ac:dyDescent="0.4">
      <c r="A302" t="str">
        <f>IF(CI302="",D302&amp;"の"&amp;C302,CI302&amp;"の"&amp;C302)</f>
        <v>の</v>
      </c>
      <c r="B302" t="str">
        <f>IFERROR(IF(CI302="",VLOOKUP($D302,素材!$1:$1016,COLUMN($B$1),FALSE)&amp;"・"&amp;VLOOKUP($C302,武器!$1:$998,COLUMN(B$1),FALSE),VLOOKUP($CI302,装強!$1:$1008,COLUMN($B$1),FALSE)&amp;"・"&amp;VLOOKUP($C302,武器!$1:$998,COLUMN(B$1),FALSE)),"")</f>
        <v/>
      </c>
      <c r="C302" s="24"/>
      <c r="D302" s="24"/>
      <c r="E302" t="str">
        <f>IFERROR(VLOOKUP(C302,武器!$1:$998,COLUMN(C$1),FALSE),"")</f>
        <v/>
      </c>
      <c r="F302" t="str">
        <f>IFERROR(ROUNDDOWN((VLOOKUP($C302,武器!$1:$998,COLUMN(D$1),FALSE)+IFERROR(VLOOKUP($CI302,装強!$1:$999,COLUMN(F$1),FALSE),0))*VLOOKUP($D302,素材!$1:$1016,COLUMN(D$1),FALSE),0),"")</f>
        <v/>
      </c>
      <c r="G302" t="str">
        <f>IFERROR(ROUNDDOWN((VLOOKUP($C302,武器!$1:$998,COLUMN(E$1),FALSE)+IFERROR(VLOOKUP($CI302,装強!$1:$999,COLUMN(G$1),FALSE),0))*VLOOKUP($D302,素材!$1:$1016,COLUMN($E$1),FALSE),0),"")</f>
        <v/>
      </c>
      <c r="H302" t="str">
        <f>IFERROR(ROUNDDOWN((VLOOKUP($C302,武器!$1:$998,COLUMN(F$1),FALSE)+IFERROR(VLOOKUP($CI302,装強!$1:$999,COLUMN(H$1),FALSE),0))*VLOOKUP($D302,素材!$1:$1016,COLUMN($E$1),FALSE),0),"")</f>
        <v/>
      </c>
      <c r="I302" t="str">
        <f>IFERROR(ROUNDDOWN((VLOOKUP($C302,武器!$1:$998,COLUMN(G$1),FALSE)+IFERROR(VLOOKUP($CI302,装強!$1:$999,COLUMN(I$1),FALSE),0))*VLOOKUP($D302,素材!$1:$1016,COLUMN($E$1),FALSE),0),"")</f>
        <v/>
      </c>
      <c r="J302" t="str">
        <f>IFERROR(ROUNDDOWN((VLOOKUP($C302,武器!$1:$998,COLUMN(H$1),FALSE)+IFERROR(VLOOKUP($CI302,装強!$1:$999,COLUMN(J$1),FALSE),0))*VLOOKUP($D302,素材!$1:$1016,COLUMN($E$1),FALSE),0),"")</f>
        <v/>
      </c>
      <c r="K302" t="str">
        <f>IFERROR(ROUNDDOWN((VLOOKUP($C302,武器!$1:$998,COLUMN(I$1),FALSE)+IFERROR(VLOOKUP($CI302,装強!$1:$999,COLUMN(K$1),FALSE),0))*VLOOKUP($D302,素材!$1:$1016,COLUMN($E$1),FALSE),0),"")</f>
        <v/>
      </c>
      <c r="L302" t="str">
        <f>IFERROR(VLOOKUP($D302,素材!$1:$1016,COLUMN($F$1),FALSE),"")</f>
        <v/>
      </c>
      <c r="M302" t="str">
        <f>IFERROR(VLOOKUP($C302,武器!$1:$998,COLUMN(AA$1),FALSE)*VLOOKUP($D302,素材!$1:$1016,COLUMN($G$1),FALSE),"")</f>
        <v/>
      </c>
      <c r="N302" t="str">
        <f>IFERROR(VLOOKUP($C302,武器!$1:$998,COLUMN(I$1),FALSE),"")</f>
        <v/>
      </c>
      <c r="O302" s="23" t="str">
        <f>IFERROR((VLOOKUP($C302,武器!$1:$998,COLUMN(K$1),FALSE)+VLOOKUP($D302,素材!$1:$1016,COLUMN(H$1),FALSE))*100+IFERROR(VLOOKUP($CI302,装強!$1:$999,COLUMN(O$1),FALSE),0),"")</f>
        <v/>
      </c>
      <c r="P302" s="23" t="str">
        <f>IFERROR((VLOOKUP($C302,武器!$1:$998,COLUMN(L$1),FALSE)+VLOOKUP($D302,素材!$1:$1016,COLUMN(I$1),FALSE))*100+IFERROR(VLOOKUP($CI302,装強!$1:$999,COLUMN(P$1),FALSE),0),"")</f>
        <v/>
      </c>
      <c r="Q302" t="str">
        <f>IFERROR(ROUNDUP(VLOOKUP($C302,武器!$1:$998,COLUMN(M$1),FALSE)*(VLOOKUP($D302,素材!$1:$1002,COLUMN(D$1),FALSE)/100),1),"")</f>
        <v/>
      </c>
      <c r="R302" t="str">
        <f>IFERROR(ROUNDUP(VLOOKUP($C302,武器!$1:$998,COLUMN(N$1),FALSE)*(VLOOKUP($D302,素材!$1:$1002,COLUMN(D$1),FALSE)/100),1),"")</f>
        <v/>
      </c>
      <c r="S302" t="str">
        <f>IFERROR(VLOOKUP($C302,武器!$1:$998,COLUMN(P$1),FALSE),"")</f>
        <v/>
      </c>
      <c r="T302" t="str">
        <f>IFERROR(VLOOKUP($C302,武器!$1:$998,COLUMN(Q$1),FALSE),"")</f>
        <v/>
      </c>
      <c r="U302" t="str">
        <f>IFERROR(VLOOKUP($C302,武器!$1:$998,COLUMN(R$1),FALSE),"")</f>
        <v/>
      </c>
      <c r="V302" t="str">
        <f>IFERROR(VLOOKUP($C302,武器!$1:$998,COLUMN(Q$1),FALSE),"")</f>
        <v/>
      </c>
      <c r="W302" t="str">
        <f>IFERROR(VLOOKUP($C302,武器!$1:$998,COLUMN(T$1),FALSE),"")</f>
        <v/>
      </c>
      <c r="Y302" t="str">
        <f>IFERROR(VLOOKUP($C302,武器!$1:$998,COLUMN(U$1),FALSE),"")</f>
        <v/>
      </c>
      <c r="Z302" t="str">
        <f>IFERROR(ROUNDUP(VLOOKUP($C302,武器!$1:$998,COLUMN(O$1),FALSE)*VLOOKUP($D302,素材!$1:$1016,COLUMN(E$1),FALSE),1),"")</f>
        <v/>
      </c>
      <c r="AA302">
        <f>IF(ISNUMBER(SEARCH(SUBSTITUTE(AA$1,RIGHT(AA$1,2),""),VLOOKUP($D302,素材!$1:$1016,COLUMN($F$1),FALSE))),VLOOKUP($C302,武器!$1:$998,COLUMN($O$1),FALSE)*VLOOKUP($D302,素材!$1:$1016,COLUMN($E$1),FALSE)/(LEN(VLOOKUP($D302,素材!$1:$1016,COLUMN($F$1),FALSE)) - LEN(SUBSTITUTE(VLOOKUP($D302,素材!$1:$1016,COLUMN($F$1),FALSE), "・", 0)) + 1), 0)</f>
        <v>0</v>
      </c>
      <c r="AB302">
        <f>IF(ISNUMBER(SEARCH(SUBSTITUTE(AB$1,RIGHT(AB$1,2),""),VLOOKUP($D302,素材!$1:$1016,COLUMN($F$1),FALSE))),VLOOKUP($C302,武器!$1:$998,COLUMN($O$1),FALSE)*VLOOKUP($D302,素材!$1:$1016,COLUMN($E$1),FALSE)/(LEN(VLOOKUP($D302,素材!$1:$1016,COLUMN($F$1),FALSE)) - LEN(SUBSTITUTE(VLOOKUP($D302,素材!$1:$1016,COLUMN($F$1),FALSE), "・", 0)) + 1), 0)</f>
        <v>0</v>
      </c>
      <c r="AC302">
        <f>IF(ISNUMBER(SEARCH(SUBSTITUTE(AC$1,RIGHT(AC$1,2),""),VLOOKUP($D302,素材!$1:$1016,COLUMN($F$1),FALSE))),VLOOKUP($C302,武器!$1:$998,COLUMN($O$1),FALSE)*VLOOKUP($D302,素材!$1:$1016,COLUMN($E$1),FALSE)/(LEN(VLOOKUP($D302,素材!$1:$1016,COLUMN($F$1),FALSE)) - LEN(SUBSTITUTE(VLOOKUP($D302,素材!$1:$1016,COLUMN($F$1),FALSE), "・", 0)) + 1), 0)</f>
        <v>0</v>
      </c>
      <c r="AD302">
        <f>IF(ISNUMBER(SEARCH(SUBSTITUTE(AD$1,RIGHT(AD$1,2),""),VLOOKUP($D302,素材!$1:$1016,COLUMN($F$1),FALSE))),VLOOKUP($C302,武器!$1:$998,COLUMN($O$1),FALSE)*VLOOKUP($D302,素材!$1:$1016,COLUMN($E$1),FALSE)/(LEN(VLOOKUP($D302,素材!$1:$1016,COLUMN($F$1),FALSE)) - LEN(SUBSTITUTE(VLOOKUP($D302,素材!$1:$1016,COLUMN($F$1),FALSE), "・", 0)) + 1), 0)</f>
        <v>0</v>
      </c>
      <c r="AE302">
        <f>IF(ISNUMBER(SEARCH(SUBSTITUTE(AE$1,RIGHT(AE$1,2),""),VLOOKUP($D302,素材!$1:$1016,COLUMN($F$1),FALSE))),VLOOKUP($C302,武器!$1:$998,COLUMN($O$1),FALSE)*VLOOKUP($D302,素材!$1:$1016,COLUMN($E$1),FALSE)/(LEN(VLOOKUP($D302,素材!$1:$1016,COLUMN($F$1),FALSE)) - LEN(SUBSTITUTE(VLOOKUP($D302,素材!$1:$1016,COLUMN($F$1),FALSE), "・", 0)) + 1), 0)</f>
        <v>0</v>
      </c>
      <c r="AF302">
        <f>IF(ISNUMBER(SEARCH(SUBSTITUTE(AF$1,RIGHT(AF$1,2),""),VLOOKUP($D302,素材!$1:$1016,COLUMN($F$1),FALSE))),VLOOKUP($C302,武器!$1:$998,COLUMN($O$1),FALSE)*VLOOKUP($D302,素材!$1:$1016,COLUMN($E$1),FALSE)/(LEN(VLOOKUP($D302,素材!$1:$1016,COLUMN($F$1),FALSE)) - LEN(SUBSTITUTE(VLOOKUP($D302,素材!$1:$1016,COLUMN($F$1),FALSE), "・", 0)) + 1), 0)</f>
        <v>0</v>
      </c>
      <c r="AG302">
        <f>IF(ISNUMBER(SEARCH(SUBSTITUTE(AG$1,RIGHT(AG$1,2),""),VLOOKUP($D302,素材!$1:$1016,COLUMN($F$1),FALSE))),VLOOKUP($C302,武器!$1:$998,COLUMN($O$1),FALSE)*VLOOKUP($D302,素材!$1:$1016,COLUMN($E$1),FALSE)/(LEN(VLOOKUP($D302,素材!$1:$1016,COLUMN($F$1),FALSE)) - LEN(SUBSTITUTE(VLOOKUP($D302,素材!$1:$1016,COLUMN($F$1),FALSE), "・", 0)) + 1), 0)</f>
        <v>0</v>
      </c>
      <c r="AH302">
        <f>IF(ISNUMBER(SEARCH(SUBSTITUTE(AH$1,RIGHT(AH$1,2),""),VLOOKUP($D302,素材!$1:$1016,COLUMN($F$1),FALSE))),VLOOKUP($C302,武器!$1:$998,COLUMN($O$1),FALSE)*VLOOKUP($D302,素材!$1:$1016,COLUMN($E$1),FALSE)/(LEN(VLOOKUP($D302,素材!$1:$1016,COLUMN($F$1),FALSE)) - LEN(SUBSTITUTE(VLOOKUP($D302,素材!$1:$1016,COLUMN($F$1),FALSE), "・", 0)) + 1), 0)</f>
        <v>0</v>
      </c>
      <c r="AI302">
        <f>IF(ISNUMBER(SEARCH(SUBSTITUTE(AI$1,RIGHT(AI$1,2),""),VLOOKUP($D302,素材!$1:$1016,COLUMN($F$1),FALSE))),VLOOKUP($C302,武器!$1:$998,COLUMN($O$1),FALSE)*VLOOKUP($D302,素材!$1:$1016,COLUMN($E$1),FALSE)/(LEN(VLOOKUP($D302,素材!$1:$1016,COLUMN($F$1),FALSE)) - LEN(SUBSTITUTE(VLOOKUP($D302,素材!$1:$1016,COLUMN($F$1),FALSE), "・", 0)) + 1), 0)</f>
        <v>0</v>
      </c>
      <c r="AJ302">
        <f>IF(ISNUMBER(SEARCH(SUBSTITUTE(AJ$1,RIGHT(AJ$1,2),""),VLOOKUP($D302,素材!$1:$1016,COLUMN($F$1),FALSE))),VLOOKUP($C302,武器!$1:$998,COLUMN($O$1),FALSE)*VLOOKUP($D302,素材!$1:$1016,COLUMN($E$1),FALSE)/(LEN(VLOOKUP($D302,素材!$1:$1016,COLUMN($F$1),FALSE)) - LEN(SUBSTITUTE(VLOOKUP($D302,素材!$1:$1016,COLUMN($F$1),FALSE), "・", 0)) + 1), 0)</f>
        <v>0</v>
      </c>
      <c r="AK302">
        <f>IF(ISNUMBER(SEARCH(SUBSTITUTE(AK$1,RIGHT(AK$1,2),""),VLOOKUP($D302,素材!$1:$1016,COLUMN($F$1),FALSE))),VLOOKUP($C302,武器!$1:$998,COLUMN($O$1),FALSE)*VLOOKUP($D302,素材!$1:$1016,COLUMN($E$1),FALSE)/(LEN(VLOOKUP($D302,素材!$1:$1016,COLUMN($F$1),FALSE)) - LEN(SUBSTITUTE(VLOOKUP($D302,素材!$1:$1016,COLUMN($F$1),FALSE), "・", 0)) + 1), 0)</f>
        <v>0</v>
      </c>
      <c r="AL302">
        <f>IF(ISNUMBER(SEARCH(SUBSTITUTE(AL$1,RIGHT(AL$1,2),""),VLOOKUP($D302,素材!$1:$1016,COLUMN($F$1),FALSE))),VLOOKUP($C302,武器!$1:$998,COLUMN($O$1),FALSE)*VLOOKUP($D302,素材!$1:$1016,COLUMN($E$1),FALSE)/(LEN(VLOOKUP($D302,素材!$1:$1016,COLUMN($F$1),FALSE)) - LEN(SUBSTITUTE(VLOOKUP($D302,素材!$1:$1016,COLUMN($F$1),FALSE), "・", 0)) + 1), 0)</f>
        <v>0</v>
      </c>
      <c r="AM302">
        <f>IF(ISNUMBER(SEARCH(SUBSTITUTE(AM$1,RIGHT(AM$1,2),""),VLOOKUP($D302,素材!$1:$1016,COLUMN($F$1),FALSE))),VLOOKUP($C302,武器!$1:$998,COLUMN($O$1),FALSE)*VLOOKUP($D302,素材!$1:$1016,COLUMN($E$1),FALSE)/(LEN(VLOOKUP($D302,素材!$1:$1016,COLUMN($F$1),FALSE)) - LEN(SUBSTITUTE(VLOOKUP($D302,素材!$1:$1016,COLUMN($F$1),FALSE), "・", 0)) + 1), 0)</f>
        <v>0</v>
      </c>
      <c r="AN302">
        <f>IF(ISNUMBER(SEARCH(SUBSTITUTE(AN$1,RIGHT(AN$1,2),""),VLOOKUP($D302,素材!$1:$1016,COLUMN($F$1),FALSE))),VLOOKUP($C302,武器!$1:$998,COLUMN($O$1),FALSE)*VLOOKUP($D302,素材!$1:$1016,COLUMN($E$1),FALSE)/(LEN(VLOOKUP($D302,素材!$1:$1016,COLUMN($F$1),FALSE)) - LEN(SUBSTITUTE(VLOOKUP($D302,素材!$1:$1016,COLUMN($F$1),FALSE), "・", 0)) + 1), 0)</f>
        <v>0</v>
      </c>
      <c r="AO302">
        <f>IF(ISNUMBER(SEARCH(SUBSTITUTE(AO$1,RIGHT(AO$1,2),""),VLOOKUP($D302,素材!$1:$1016,COLUMN($F$1),FALSE))),VLOOKUP($C302,武器!$1:$998,COLUMN($O$1),FALSE)*VLOOKUP($D302,素材!$1:$1016,COLUMN($E$1),FALSE)/(LEN(VLOOKUP($D302,素材!$1:$1016,COLUMN($F$1),FALSE)) - LEN(SUBSTITUTE(VLOOKUP($D302,素材!$1:$1016,COLUMN($F$1),FALSE), "・", 0)) + 1), 0)</f>
        <v>0</v>
      </c>
      <c r="AP302">
        <f>IF(ISNUMBER(SEARCH(SUBSTITUTE(AP$1,RIGHT(AP$1,2),""),VLOOKUP($D302,素材!$1:$1016,COLUMN($F$1),FALSE))),VLOOKUP($C302,武器!$1:$998,COLUMN($O$1),FALSE)*VLOOKUP($D302,素材!$1:$1016,COLUMN($E$1),FALSE)/(LEN(VLOOKUP($D302,素材!$1:$1016,COLUMN($F$1),FALSE)) - LEN(SUBSTITUTE(VLOOKUP($D302,素材!$1:$1016,COLUMN($F$1),FALSE), "・", 0)) + 1), 0)</f>
        <v>0</v>
      </c>
      <c r="AQ302">
        <f>IF(ISNUMBER(SEARCH(SUBSTITUTE(AQ$1,RIGHT(AQ$1,2),""),VLOOKUP($D302,素材!$1:$1016,COLUMN($F$1),FALSE))),VLOOKUP($C302,武器!$1:$998,COLUMN($O$1),FALSE)*VLOOKUP($D302,素材!$1:$1016,COLUMN($E$1),FALSE)/(LEN(VLOOKUP($D302,素材!$1:$1016,COLUMN($F$1),FALSE)) - LEN(SUBSTITUTE(VLOOKUP($D302,素材!$1:$1016,COLUMN($F$1),FALSE), "・", 0)) + 1), 0)</f>
        <v>0</v>
      </c>
      <c r="AR302">
        <f>IF(ISNUMBER(SEARCH(SUBSTITUTE(AR$1,RIGHT(AR$1,2),""),VLOOKUP($D302,素材!$1:$1016,COLUMN($F$1),FALSE))),VLOOKUP($C302,武器!$1:$998,COLUMN($O$1),FALSE)*VLOOKUP($D302,素材!$1:$1016,COLUMN($E$1),FALSE)/(LEN(VLOOKUP($D302,素材!$1:$1016,COLUMN($F$1),FALSE)) - LEN(SUBSTITUTE(VLOOKUP($D302,素材!$1:$1016,COLUMN($F$1),FALSE), "・", 0)) + 1), 0)</f>
        <v>0</v>
      </c>
      <c r="AS302">
        <f>IF(ISNUMBER(SEARCH(SUBSTITUTE(AS$1,RIGHT(AS$1,2),""),VLOOKUP($D302,素材!$1:$1016,COLUMN($F$1),FALSE))),VLOOKUP($C302,武器!$1:$998,COLUMN($O$1),FALSE)*VLOOKUP($D302,素材!$1:$1016,COLUMN($E$1),FALSE)/(LEN(VLOOKUP($D302,素材!$1:$1016,COLUMN($F$1),FALSE)) - LEN(SUBSTITUTE(VLOOKUP($D302,素材!$1:$1016,COLUMN($F$1),FALSE), "・", 0)) + 1), 0)</f>
        <v>0</v>
      </c>
      <c r="AT302">
        <f>IF(ISNUMBER(SEARCH(SUBSTITUTE(AT$1,RIGHT(AT$1,2),""),VLOOKUP($D302,素材!$1:$1016,COLUMN($F$1),FALSE))),VLOOKUP($C302,武器!$1:$998,COLUMN($O$1),FALSE)*VLOOKUP($D302,素材!$1:$1016,COLUMN($E$1),FALSE)/(LEN(VLOOKUP($D302,素材!$1:$1016,COLUMN($F$1),FALSE)) - LEN(SUBSTITUTE(VLOOKUP($D302,素材!$1:$1016,COLUMN($F$1),FALSE), "・", 0)) + 1), 0)</f>
        <v>0</v>
      </c>
      <c r="AU302">
        <f>IF(ISNUMBER(SEARCH(SUBSTITUTE(AU$1,RIGHT(AU$1,2),""),VLOOKUP($D302,素材!$1:$1016,COLUMN($F$1),FALSE))),VLOOKUP($C302,武器!$1:$998,COLUMN($O$1),FALSE)*VLOOKUP($D302,素材!$1:$1016,COLUMN($E$1),FALSE)/(LEN(VLOOKUP($D302,素材!$1:$1016,COLUMN($F$1),FALSE)) - LEN(SUBSTITUTE(VLOOKUP($D302,素材!$1:$1016,COLUMN($F$1),FALSE), "・", 0)) + 1), 0)</f>
        <v>0</v>
      </c>
      <c r="AV302">
        <f>IF(ISNUMBER(SEARCH(SUBSTITUTE(AV$1,RIGHT(AV$1,2),""),VLOOKUP($D302,素材!$1:$1016,COLUMN($F$1),FALSE))),VLOOKUP($C302,武器!$1:$998,COLUMN($O$1),FALSE)*VLOOKUP($D302,素材!$1:$1016,COLUMN($E$1),FALSE)/(LEN(VLOOKUP($D302,素材!$1:$1016,COLUMN($F$1),FALSE)) - LEN(SUBSTITUTE(VLOOKUP($D302,素材!$1:$1016,COLUMN($F$1),FALSE), "・", 0)) + 1), 0)</f>
        <v>0</v>
      </c>
      <c r="AW302">
        <f>IF(ISNUMBER(SEARCH(SUBSTITUTE(AW$1,RIGHT(AW$1,2),""),VLOOKUP($D302,素材!$1:$1016,COLUMN($F$1),FALSE))),VLOOKUP($C302,武器!$1:$998,COLUMN($O$1),FALSE)*VLOOKUP($D302,素材!$1:$1016,COLUMN($E$1),FALSE)/(LEN(VLOOKUP($D302,素材!$1:$1016,COLUMN($F$1),FALSE)) - LEN(SUBSTITUTE(VLOOKUP($D302,素材!$1:$1016,COLUMN($F$1),FALSE), "・", 0)) + 1), 0)</f>
        <v>0</v>
      </c>
      <c r="AX302">
        <f>IF(ISNUMBER(SEARCH(SUBSTITUTE(AX$1,RIGHT(AX$1,2),""),VLOOKUP($D302,素材!$1:$1016,COLUMN($F$1),FALSE))),VLOOKUP($C302,武器!$1:$998,COLUMN($O$1),FALSE)*VLOOKUP($D302,素材!$1:$1016,COLUMN($E$1),FALSE)/(LEN(VLOOKUP($D302,素材!$1:$1016,COLUMN($F$1),FALSE)) - LEN(SUBSTITUTE(VLOOKUP($D302,素材!$1:$1016,COLUMN($F$1),FALSE), "・", 0)) + 1), 0)</f>
        <v>0</v>
      </c>
      <c r="AY302">
        <f>IF(ISNUMBER(SEARCH(SUBSTITUTE(AY$1,RIGHT(AY$1,2),""),VLOOKUP($D302,素材!$1:$1016,COLUMN($F$1),FALSE))),VLOOKUP($C302,武器!$1:$998,COLUMN($O$1),FALSE)*VLOOKUP($D302,素材!$1:$1016,COLUMN($E$1),FALSE)/(LEN(VLOOKUP($D302,素材!$1:$1016,COLUMN($F$1),FALSE)) - LEN(SUBSTITUTE(VLOOKUP($D302,素材!$1:$1016,COLUMN($F$1),FALSE), "・", 0)) + 1), 0)</f>
        <v>0</v>
      </c>
      <c r="AZ302">
        <f>IF(ISNUMBER(SEARCH(SUBSTITUTE(AZ$1,RIGHT(AZ$1,2),""),VLOOKUP($D302,素材!$1:$1016,COLUMN($F$1),FALSE))),VLOOKUP($C302,武器!$1:$998,COLUMN($O$1),FALSE)*VLOOKUP($D302,素材!$1:$1016,COLUMN($E$1),FALSE)/(LEN(VLOOKUP($D302,素材!$1:$1016,COLUMN($F$1),FALSE)) - LEN(SUBSTITUTE(VLOOKUP($D302,素材!$1:$1016,COLUMN($F$1),FALSE), "・", 0)) + 1), 0)</f>
        <v>0</v>
      </c>
      <c r="BA302">
        <f>IF(ISNUMBER(SEARCH(SUBSTITUTE(BA$1,RIGHT(BA$1,2),""),VLOOKUP($D302,素材!$1:$1016,COLUMN($F$1),FALSE))),VLOOKUP($C302,武器!$1:$998,COLUMN($O$1),FALSE)*VLOOKUP($D302,素材!$1:$1016,COLUMN($E$1),FALSE)/(LEN(VLOOKUP($D302,素材!$1:$1016,COLUMN($F$1),FALSE)) - LEN(SUBSTITUTE(VLOOKUP($D302,素材!$1:$1016,COLUMN($F$1),FALSE), "・", 0)) + 1), 0)</f>
        <v>0</v>
      </c>
      <c r="BB302">
        <f>IF(ISNUMBER(SEARCH(SUBSTITUTE(BB$1,RIGHT(BB$1,2),""),VLOOKUP($D302,素材!$1:$1016,COLUMN($F$1),FALSE))),VLOOKUP($C302,武器!$1:$998,COLUMN($O$1),FALSE)*VLOOKUP($D302,素材!$1:$1016,COLUMN($E$1),FALSE)/(LEN(VLOOKUP($D302,素材!$1:$1016,COLUMN($F$1),FALSE)) - LEN(SUBSTITUTE(VLOOKUP($D302,素材!$1:$1016,COLUMN($F$1),FALSE), "・", 0)) + 1), 0)</f>
        <v>0</v>
      </c>
      <c r="BC302">
        <f>IF(ISNUMBER(SEARCH(SUBSTITUTE(BC$1,RIGHT(BC$1,2),""),VLOOKUP($D302,素材!$1:$1016,COLUMN($F$1),FALSE))),VLOOKUP($C302,武器!$1:$998,COLUMN($O$1),FALSE)*VLOOKUP($D302,素材!$1:$1016,COLUMN($E$1),FALSE)/(LEN(VLOOKUP($D302,素材!$1:$1016,COLUMN($F$1),FALSE)) - LEN(SUBSTITUTE(VLOOKUP($D302,素材!$1:$1016,COLUMN($F$1),FALSE), "・", 0)) + 1), 0)</f>
        <v>0</v>
      </c>
      <c r="BD302">
        <f>IF(ISNUMBER(SEARCH(SUBSTITUTE(BD$1,RIGHT(BD$1,2),""),VLOOKUP($D302,素材!$1:$1016,COLUMN($F$1),FALSE))),VLOOKUP($C302,武器!$1:$998,COLUMN($O$1),FALSE)*VLOOKUP($D302,素材!$1:$1016,COLUMN($E$1),FALSE)/(LEN(VLOOKUP($D302,素材!$1:$1016,COLUMN($F$1),FALSE)) - LEN(SUBSTITUTE(VLOOKUP($D302,素材!$1:$1016,COLUMN($F$1),FALSE), "・", 0)) + 1), 0)</f>
        <v>0</v>
      </c>
      <c r="BE302">
        <f>IF(ISNUMBER(SEARCH(SUBSTITUTE(BE$1,RIGHT(BE$1,2),""),VLOOKUP($D302,素材!$1:$1016,COLUMN($F$1),FALSE))),VLOOKUP($C302,武器!$1:$998,COLUMN($O$1),FALSE)*VLOOKUP($D302,素材!$1:$1016,COLUMN($E$1),FALSE)/(LEN(VLOOKUP($D302,素材!$1:$1016,COLUMN($F$1),FALSE)) - LEN(SUBSTITUTE(VLOOKUP($D302,素材!$1:$1016,COLUMN($F$1),FALSE), "・", 0)) + 1), 0)</f>
        <v>0</v>
      </c>
      <c r="CL302">
        <f>SUM(G302:I302)</f>
        <v>0</v>
      </c>
      <c r="CM302" s="22" t="str">
        <f>IF(E302="武器",IF(J302-1&gt;SUM(G302:I302),"盾",IF(MAX(G302:I302)=G302,"切断",IF(MAX(G302:I302)=H302,"貫通",IF(MAX(G302:I302)=I302,"打撃","射撃")))),E302)&amp;".webp"</f>
        <v>.webp</v>
      </c>
      <c r="CN302" t="str">
        <f>IFERROR(VLOOKUP($C302,武器!$1:$998,COLUMN(V$1),FALSE)*VLOOKUP($D302,素材!$1:$1016,COLUMN(N$1),FALSE)+IF(CI302="",0,VLOOKUP($CI302,装強!$1:$1008,COLUMN($CK$1),FALSE)),"")</f>
        <v/>
      </c>
      <c r="CO302" t="e">
        <f>VLOOKUP(D302,素材!$A:$O,COLUMN(素材!O$1),FALSE)</f>
        <v>#N/A</v>
      </c>
      <c r="CP302" t="e">
        <f>VLOOKUP(C302,武器!$A:$W,COLUMN(武器!W$1),FALSE)</f>
        <v>#N/A</v>
      </c>
      <c r="CR302" t="str">
        <f t="shared" si="33"/>
        <v>e_302</v>
      </c>
      <c r="CS302" t="e">
        <f t="shared" si="34"/>
        <v>#VALUE!</v>
      </c>
    </row>
    <row r="303" spans="1:97" hidden="1" outlineLevel="1" x14ac:dyDescent="0.4">
      <c r="A303" t="str">
        <f>IF(CI303="",D303&amp;"の"&amp;C303,CI303&amp;"の"&amp;C303)</f>
        <v>の</v>
      </c>
      <c r="B303" t="str">
        <f>IFERROR(IF(CI303="",VLOOKUP($D303,素材!$1:$1016,COLUMN($B$1),FALSE)&amp;"・"&amp;VLOOKUP($C303,武器!$1:$998,COLUMN(B$1),FALSE),VLOOKUP($CI303,装強!$1:$1008,COLUMN($B$1),FALSE)&amp;"・"&amp;VLOOKUP($C303,武器!$1:$998,COLUMN(B$1),FALSE)),"")</f>
        <v/>
      </c>
      <c r="C303" s="24"/>
      <c r="D303" s="24"/>
      <c r="E303" t="str">
        <f>IFERROR(VLOOKUP(C303,武器!$1:$998,COLUMN(C$1),FALSE),"")</f>
        <v/>
      </c>
      <c r="F303" t="str">
        <f>IFERROR(ROUNDDOWN((VLOOKUP($C303,武器!$1:$998,COLUMN(D$1),FALSE)+IFERROR(VLOOKUP($CI303,装強!$1:$999,COLUMN(F$1),FALSE),0))*VLOOKUP($D303,素材!$1:$1016,COLUMN(D$1),FALSE),0),"")</f>
        <v/>
      </c>
      <c r="G303" t="str">
        <f>IFERROR(ROUNDDOWN((VLOOKUP($C303,武器!$1:$998,COLUMN(E$1),FALSE)+IFERROR(VLOOKUP($CI303,装強!$1:$999,COLUMN(G$1),FALSE),0))*VLOOKUP($D303,素材!$1:$1016,COLUMN($E$1),FALSE),0),"")</f>
        <v/>
      </c>
      <c r="H303" t="str">
        <f>IFERROR(ROUNDDOWN((VLOOKUP($C303,武器!$1:$998,COLUMN(F$1),FALSE)+IFERROR(VLOOKUP($CI303,装強!$1:$999,COLUMN(H$1),FALSE),0))*VLOOKUP($D303,素材!$1:$1016,COLUMN($E$1),FALSE),0),"")</f>
        <v/>
      </c>
      <c r="I303" t="str">
        <f>IFERROR(ROUNDDOWN((VLOOKUP($C303,武器!$1:$998,COLUMN(G$1),FALSE)+IFERROR(VLOOKUP($CI303,装強!$1:$999,COLUMN(I$1),FALSE),0))*VLOOKUP($D303,素材!$1:$1016,COLUMN($E$1),FALSE),0),"")</f>
        <v/>
      </c>
      <c r="J303" t="str">
        <f>IFERROR(ROUNDDOWN((VLOOKUP($C303,武器!$1:$998,COLUMN(H$1),FALSE)+IFERROR(VLOOKUP($CI303,装強!$1:$999,COLUMN(J$1),FALSE),0))*VLOOKUP($D303,素材!$1:$1016,COLUMN($E$1),FALSE),0),"")</f>
        <v/>
      </c>
      <c r="K303" t="str">
        <f>IFERROR(ROUNDDOWN((VLOOKUP($C303,武器!$1:$998,COLUMN(I$1),FALSE)+IFERROR(VLOOKUP($CI303,装強!$1:$999,COLUMN(K$1),FALSE),0))*VLOOKUP($D303,素材!$1:$1016,COLUMN($E$1),FALSE),0),"")</f>
        <v/>
      </c>
      <c r="L303" t="str">
        <f>IFERROR(VLOOKUP($D303,素材!$1:$1016,COLUMN($F$1),FALSE),"")</f>
        <v/>
      </c>
      <c r="M303" t="str">
        <f>IFERROR(VLOOKUP($C303,武器!$1:$998,COLUMN(AA$1),FALSE)*VLOOKUP($D303,素材!$1:$1016,COLUMN($G$1),FALSE),"")</f>
        <v/>
      </c>
      <c r="N303" t="str">
        <f>IFERROR(VLOOKUP($C303,武器!$1:$998,COLUMN(I$1),FALSE),"")</f>
        <v/>
      </c>
      <c r="O303" s="23" t="str">
        <f>IFERROR((VLOOKUP($C303,武器!$1:$998,COLUMN(K$1),FALSE)+VLOOKUP($D303,素材!$1:$1016,COLUMN(H$1),FALSE))*100+IFERROR(VLOOKUP($CI303,装強!$1:$999,COLUMN(O$1),FALSE),0),"")</f>
        <v/>
      </c>
      <c r="P303" s="23" t="str">
        <f>IFERROR((VLOOKUP($C303,武器!$1:$998,COLUMN(L$1),FALSE)+VLOOKUP($D303,素材!$1:$1016,COLUMN(I$1),FALSE))*100+IFERROR(VLOOKUP($CI303,装強!$1:$999,COLUMN(P$1),FALSE),0),"")</f>
        <v/>
      </c>
      <c r="Q303" t="str">
        <f>IFERROR(ROUNDUP(VLOOKUP($C303,武器!$1:$998,COLUMN(M$1),FALSE)*(VLOOKUP($D303,素材!$1:$1002,COLUMN(D$1),FALSE)/100),1),"")</f>
        <v/>
      </c>
      <c r="R303" t="str">
        <f>IFERROR(ROUNDUP(VLOOKUP($C303,武器!$1:$998,COLUMN(N$1),FALSE)*(VLOOKUP($D303,素材!$1:$1002,COLUMN(D$1),FALSE)/100),1),"")</f>
        <v/>
      </c>
      <c r="S303" t="str">
        <f>IFERROR(VLOOKUP($C303,武器!$1:$998,COLUMN(P$1),FALSE),"")</f>
        <v/>
      </c>
      <c r="T303" t="str">
        <f>IFERROR(VLOOKUP($C303,武器!$1:$998,COLUMN(Q$1),FALSE),"")</f>
        <v/>
      </c>
      <c r="U303" t="str">
        <f>IFERROR(VLOOKUP($C303,武器!$1:$998,COLUMN(R$1),FALSE),"")</f>
        <v/>
      </c>
      <c r="V303" t="str">
        <f>IFERROR(VLOOKUP($C303,武器!$1:$998,COLUMN(Q$1),FALSE),"")</f>
        <v/>
      </c>
      <c r="W303" t="str">
        <f>IFERROR(VLOOKUP($C303,武器!$1:$998,COLUMN(T$1),FALSE),"")</f>
        <v/>
      </c>
      <c r="Y303" t="str">
        <f>IFERROR(VLOOKUP($C303,武器!$1:$998,COLUMN(U$1),FALSE),"")</f>
        <v/>
      </c>
      <c r="Z303" t="str">
        <f>IFERROR(ROUNDUP(VLOOKUP($C303,武器!$1:$998,COLUMN(O$1),FALSE)*VLOOKUP($D303,素材!$1:$1016,COLUMN(E$1),FALSE),1),"")</f>
        <v/>
      </c>
      <c r="AA303">
        <f>IF(ISNUMBER(SEARCH(SUBSTITUTE(AA$1,RIGHT(AA$1,2),""),VLOOKUP($D303,素材!$1:$1016,COLUMN($F$1),FALSE))),VLOOKUP($C303,武器!$1:$998,COLUMN($O$1),FALSE)*VLOOKUP($D303,素材!$1:$1016,COLUMN($E$1),FALSE)/(LEN(VLOOKUP($D303,素材!$1:$1016,COLUMN($F$1),FALSE)) - LEN(SUBSTITUTE(VLOOKUP($D303,素材!$1:$1016,COLUMN($F$1),FALSE), "・", 0)) + 1), 0)</f>
        <v>0</v>
      </c>
      <c r="AB303">
        <f>IF(ISNUMBER(SEARCH(SUBSTITUTE(AB$1,RIGHT(AB$1,2),""),VLOOKUP($D303,素材!$1:$1016,COLUMN($F$1),FALSE))),VLOOKUP($C303,武器!$1:$998,COLUMN($O$1),FALSE)*VLOOKUP($D303,素材!$1:$1016,COLUMN($E$1),FALSE)/(LEN(VLOOKUP($D303,素材!$1:$1016,COLUMN($F$1),FALSE)) - LEN(SUBSTITUTE(VLOOKUP($D303,素材!$1:$1016,COLUMN($F$1),FALSE), "・", 0)) + 1), 0)</f>
        <v>0</v>
      </c>
      <c r="AC303">
        <f>IF(ISNUMBER(SEARCH(SUBSTITUTE(AC$1,RIGHT(AC$1,2),""),VLOOKUP($D303,素材!$1:$1016,COLUMN($F$1),FALSE))),VLOOKUP($C303,武器!$1:$998,COLUMN($O$1),FALSE)*VLOOKUP($D303,素材!$1:$1016,COLUMN($E$1),FALSE)/(LEN(VLOOKUP($D303,素材!$1:$1016,COLUMN($F$1),FALSE)) - LEN(SUBSTITUTE(VLOOKUP($D303,素材!$1:$1016,COLUMN($F$1),FALSE), "・", 0)) + 1), 0)</f>
        <v>0</v>
      </c>
      <c r="AD303">
        <f>IF(ISNUMBER(SEARCH(SUBSTITUTE(AD$1,RIGHT(AD$1,2),""),VLOOKUP($D303,素材!$1:$1016,COLUMN($F$1),FALSE))),VLOOKUP($C303,武器!$1:$998,COLUMN($O$1),FALSE)*VLOOKUP($D303,素材!$1:$1016,COLUMN($E$1),FALSE)/(LEN(VLOOKUP($D303,素材!$1:$1016,COLUMN($F$1),FALSE)) - LEN(SUBSTITUTE(VLOOKUP($D303,素材!$1:$1016,COLUMN($F$1),FALSE), "・", 0)) + 1), 0)</f>
        <v>0</v>
      </c>
      <c r="AE303">
        <f>IF(ISNUMBER(SEARCH(SUBSTITUTE(AE$1,RIGHT(AE$1,2),""),VLOOKUP($D303,素材!$1:$1016,COLUMN($F$1),FALSE))),VLOOKUP($C303,武器!$1:$998,COLUMN($O$1),FALSE)*VLOOKUP($D303,素材!$1:$1016,COLUMN($E$1),FALSE)/(LEN(VLOOKUP($D303,素材!$1:$1016,COLUMN($F$1),FALSE)) - LEN(SUBSTITUTE(VLOOKUP($D303,素材!$1:$1016,COLUMN($F$1),FALSE), "・", 0)) + 1), 0)</f>
        <v>0</v>
      </c>
      <c r="AF303">
        <f>IF(ISNUMBER(SEARCH(SUBSTITUTE(AF$1,RIGHT(AF$1,2),""),VLOOKUP($D303,素材!$1:$1016,COLUMN($F$1),FALSE))),VLOOKUP($C303,武器!$1:$998,COLUMN($O$1),FALSE)*VLOOKUP($D303,素材!$1:$1016,COLUMN($E$1),FALSE)/(LEN(VLOOKUP($D303,素材!$1:$1016,COLUMN($F$1),FALSE)) - LEN(SUBSTITUTE(VLOOKUP($D303,素材!$1:$1016,COLUMN($F$1),FALSE), "・", 0)) + 1), 0)</f>
        <v>0</v>
      </c>
      <c r="AG303">
        <f>IF(ISNUMBER(SEARCH(SUBSTITUTE(AG$1,RIGHT(AG$1,2),""),VLOOKUP($D303,素材!$1:$1016,COLUMN($F$1),FALSE))),VLOOKUP($C303,武器!$1:$998,COLUMN($O$1),FALSE)*VLOOKUP($D303,素材!$1:$1016,COLUMN($E$1),FALSE)/(LEN(VLOOKUP($D303,素材!$1:$1016,COLUMN($F$1),FALSE)) - LEN(SUBSTITUTE(VLOOKUP($D303,素材!$1:$1016,COLUMN($F$1),FALSE), "・", 0)) + 1), 0)</f>
        <v>0</v>
      </c>
      <c r="AH303">
        <f>IF(ISNUMBER(SEARCH(SUBSTITUTE(AH$1,RIGHT(AH$1,2),""),VLOOKUP($D303,素材!$1:$1016,COLUMN($F$1),FALSE))),VLOOKUP($C303,武器!$1:$998,COLUMN($O$1),FALSE)*VLOOKUP($D303,素材!$1:$1016,COLUMN($E$1),FALSE)/(LEN(VLOOKUP($D303,素材!$1:$1016,COLUMN($F$1),FALSE)) - LEN(SUBSTITUTE(VLOOKUP($D303,素材!$1:$1016,COLUMN($F$1),FALSE), "・", 0)) + 1), 0)</f>
        <v>0</v>
      </c>
      <c r="AI303">
        <f>IF(ISNUMBER(SEARCH(SUBSTITUTE(AI$1,RIGHT(AI$1,2),""),VLOOKUP($D303,素材!$1:$1016,COLUMN($F$1),FALSE))),VLOOKUP($C303,武器!$1:$998,COLUMN($O$1),FALSE)*VLOOKUP($D303,素材!$1:$1016,COLUMN($E$1),FALSE)/(LEN(VLOOKUP($D303,素材!$1:$1016,COLUMN($F$1),FALSE)) - LEN(SUBSTITUTE(VLOOKUP($D303,素材!$1:$1016,COLUMN($F$1),FALSE), "・", 0)) + 1), 0)</f>
        <v>0</v>
      </c>
      <c r="AJ303">
        <f>IF(ISNUMBER(SEARCH(SUBSTITUTE(AJ$1,RIGHT(AJ$1,2),""),VLOOKUP($D303,素材!$1:$1016,COLUMN($F$1),FALSE))),VLOOKUP($C303,武器!$1:$998,COLUMN($O$1),FALSE)*VLOOKUP($D303,素材!$1:$1016,COLUMN($E$1),FALSE)/(LEN(VLOOKUP($D303,素材!$1:$1016,COLUMN($F$1),FALSE)) - LEN(SUBSTITUTE(VLOOKUP($D303,素材!$1:$1016,COLUMN($F$1),FALSE), "・", 0)) + 1), 0)</f>
        <v>0</v>
      </c>
      <c r="AK303">
        <f>IF(ISNUMBER(SEARCH(SUBSTITUTE(AK$1,RIGHT(AK$1,2),""),VLOOKUP($D303,素材!$1:$1016,COLUMN($F$1),FALSE))),VLOOKUP($C303,武器!$1:$998,COLUMN($O$1),FALSE)*VLOOKUP($D303,素材!$1:$1016,COLUMN($E$1),FALSE)/(LEN(VLOOKUP($D303,素材!$1:$1016,COLUMN($F$1),FALSE)) - LEN(SUBSTITUTE(VLOOKUP($D303,素材!$1:$1016,COLUMN($F$1),FALSE), "・", 0)) + 1), 0)</f>
        <v>0</v>
      </c>
      <c r="AL303">
        <f>IF(ISNUMBER(SEARCH(SUBSTITUTE(AL$1,RIGHT(AL$1,2),""),VLOOKUP($D303,素材!$1:$1016,COLUMN($F$1),FALSE))),VLOOKUP($C303,武器!$1:$998,COLUMN($O$1),FALSE)*VLOOKUP($D303,素材!$1:$1016,COLUMN($E$1),FALSE)/(LEN(VLOOKUP($D303,素材!$1:$1016,COLUMN($F$1),FALSE)) - LEN(SUBSTITUTE(VLOOKUP($D303,素材!$1:$1016,COLUMN($F$1),FALSE), "・", 0)) + 1), 0)</f>
        <v>0</v>
      </c>
      <c r="AM303">
        <f>IF(ISNUMBER(SEARCH(SUBSTITUTE(AM$1,RIGHT(AM$1,2),""),VLOOKUP($D303,素材!$1:$1016,COLUMN($F$1),FALSE))),VLOOKUP($C303,武器!$1:$998,COLUMN($O$1),FALSE)*VLOOKUP($D303,素材!$1:$1016,COLUMN($E$1),FALSE)/(LEN(VLOOKUP($D303,素材!$1:$1016,COLUMN($F$1),FALSE)) - LEN(SUBSTITUTE(VLOOKUP($D303,素材!$1:$1016,COLUMN($F$1),FALSE), "・", 0)) + 1), 0)</f>
        <v>0</v>
      </c>
      <c r="AN303">
        <f>IF(ISNUMBER(SEARCH(SUBSTITUTE(AN$1,RIGHT(AN$1,2),""),VLOOKUP($D303,素材!$1:$1016,COLUMN($F$1),FALSE))),VLOOKUP($C303,武器!$1:$998,COLUMN($O$1),FALSE)*VLOOKUP($D303,素材!$1:$1016,COLUMN($E$1),FALSE)/(LEN(VLOOKUP($D303,素材!$1:$1016,COLUMN($F$1),FALSE)) - LEN(SUBSTITUTE(VLOOKUP($D303,素材!$1:$1016,COLUMN($F$1),FALSE), "・", 0)) + 1), 0)</f>
        <v>0</v>
      </c>
      <c r="AO303">
        <f>IF(ISNUMBER(SEARCH(SUBSTITUTE(AO$1,RIGHT(AO$1,2),""),VLOOKUP($D303,素材!$1:$1016,COLUMN($F$1),FALSE))),VLOOKUP($C303,武器!$1:$998,COLUMN($O$1),FALSE)*VLOOKUP($D303,素材!$1:$1016,COLUMN($E$1),FALSE)/(LEN(VLOOKUP($D303,素材!$1:$1016,COLUMN($F$1),FALSE)) - LEN(SUBSTITUTE(VLOOKUP($D303,素材!$1:$1016,COLUMN($F$1),FALSE), "・", 0)) + 1), 0)</f>
        <v>0</v>
      </c>
      <c r="AP303">
        <f>IF(ISNUMBER(SEARCH(SUBSTITUTE(AP$1,RIGHT(AP$1,2),""),VLOOKUP($D303,素材!$1:$1016,COLUMN($F$1),FALSE))),VLOOKUP($C303,武器!$1:$998,COLUMN($O$1),FALSE)*VLOOKUP($D303,素材!$1:$1016,COLUMN($E$1),FALSE)/(LEN(VLOOKUP($D303,素材!$1:$1016,COLUMN($F$1),FALSE)) - LEN(SUBSTITUTE(VLOOKUP($D303,素材!$1:$1016,COLUMN($F$1),FALSE), "・", 0)) + 1), 0)</f>
        <v>0</v>
      </c>
      <c r="AQ303">
        <f>IF(ISNUMBER(SEARCH(SUBSTITUTE(AQ$1,RIGHT(AQ$1,2),""),VLOOKUP($D303,素材!$1:$1016,COLUMN($F$1),FALSE))),VLOOKUP($C303,武器!$1:$998,COLUMN($O$1),FALSE)*VLOOKUP($D303,素材!$1:$1016,COLUMN($E$1),FALSE)/(LEN(VLOOKUP($D303,素材!$1:$1016,COLUMN($F$1),FALSE)) - LEN(SUBSTITUTE(VLOOKUP($D303,素材!$1:$1016,COLUMN($F$1),FALSE), "・", 0)) + 1), 0)</f>
        <v>0</v>
      </c>
      <c r="AR303">
        <f>IF(ISNUMBER(SEARCH(SUBSTITUTE(AR$1,RIGHT(AR$1,2),""),VLOOKUP($D303,素材!$1:$1016,COLUMN($F$1),FALSE))),VLOOKUP($C303,武器!$1:$998,COLUMN($O$1),FALSE)*VLOOKUP($D303,素材!$1:$1016,COLUMN($E$1),FALSE)/(LEN(VLOOKUP($D303,素材!$1:$1016,COLUMN($F$1),FALSE)) - LEN(SUBSTITUTE(VLOOKUP($D303,素材!$1:$1016,COLUMN($F$1),FALSE), "・", 0)) + 1), 0)</f>
        <v>0</v>
      </c>
      <c r="AS303">
        <f>IF(ISNUMBER(SEARCH(SUBSTITUTE(AS$1,RIGHT(AS$1,2),""),VLOOKUP($D303,素材!$1:$1016,COLUMN($F$1),FALSE))),VLOOKUP($C303,武器!$1:$998,COLUMN($O$1),FALSE)*VLOOKUP($D303,素材!$1:$1016,COLUMN($E$1),FALSE)/(LEN(VLOOKUP($D303,素材!$1:$1016,COLUMN($F$1),FALSE)) - LEN(SUBSTITUTE(VLOOKUP($D303,素材!$1:$1016,COLUMN($F$1),FALSE), "・", 0)) + 1), 0)</f>
        <v>0</v>
      </c>
      <c r="AT303">
        <f>IF(ISNUMBER(SEARCH(SUBSTITUTE(AT$1,RIGHT(AT$1,2),""),VLOOKUP($D303,素材!$1:$1016,COLUMN($F$1),FALSE))),VLOOKUP($C303,武器!$1:$998,COLUMN($O$1),FALSE)*VLOOKUP($D303,素材!$1:$1016,COLUMN($E$1),FALSE)/(LEN(VLOOKUP($D303,素材!$1:$1016,COLUMN($F$1),FALSE)) - LEN(SUBSTITUTE(VLOOKUP($D303,素材!$1:$1016,COLUMN($F$1),FALSE), "・", 0)) + 1), 0)</f>
        <v>0</v>
      </c>
      <c r="AU303">
        <f>IF(ISNUMBER(SEARCH(SUBSTITUTE(AU$1,RIGHT(AU$1,2),""),VLOOKUP($D303,素材!$1:$1016,COLUMN($F$1),FALSE))),VLOOKUP($C303,武器!$1:$998,COLUMN($O$1),FALSE)*VLOOKUP($D303,素材!$1:$1016,COLUMN($E$1),FALSE)/(LEN(VLOOKUP($D303,素材!$1:$1016,COLUMN($F$1),FALSE)) - LEN(SUBSTITUTE(VLOOKUP($D303,素材!$1:$1016,COLUMN($F$1),FALSE), "・", 0)) + 1), 0)</f>
        <v>0</v>
      </c>
      <c r="AV303">
        <f>IF(ISNUMBER(SEARCH(SUBSTITUTE(AV$1,RIGHT(AV$1,2),""),VLOOKUP($D303,素材!$1:$1016,COLUMN($F$1),FALSE))),VLOOKUP($C303,武器!$1:$998,COLUMN($O$1),FALSE)*VLOOKUP($D303,素材!$1:$1016,COLUMN($E$1),FALSE)/(LEN(VLOOKUP($D303,素材!$1:$1016,COLUMN($F$1),FALSE)) - LEN(SUBSTITUTE(VLOOKUP($D303,素材!$1:$1016,COLUMN($F$1),FALSE), "・", 0)) + 1), 0)</f>
        <v>0</v>
      </c>
      <c r="AW303">
        <f>IF(ISNUMBER(SEARCH(SUBSTITUTE(AW$1,RIGHT(AW$1,2),""),VLOOKUP($D303,素材!$1:$1016,COLUMN($F$1),FALSE))),VLOOKUP($C303,武器!$1:$998,COLUMN($O$1),FALSE)*VLOOKUP($D303,素材!$1:$1016,COLUMN($E$1),FALSE)/(LEN(VLOOKUP($D303,素材!$1:$1016,COLUMN($F$1),FALSE)) - LEN(SUBSTITUTE(VLOOKUP($D303,素材!$1:$1016,COLUMN($F$1),FALSE), "・", 0)) + 1), 0)</f>
        <v>0</v>
      </c>
      <c r="AX303">
        <f>IF(ISNUMBER(SEARCH(SUBSTITUTE(AX$1,RIGHT(AX$1,2),""),VLOOKUP($D303,素材!$1:$1016,COLUMN($F$1),FALSE))),VLOOKUP($C303,武器!$1:$998,COLUMN($O$1),FALSE)*VLOOKUP($D303,素材!$1:$1016,COLUMN($E$1),FALSE)/(LEN(VLOOKUP($D303,素材!$1:$1016,COLUMN($F$1),FALSE)) - LEN(SUBSTITUTE(VLOOKUP($D303,素材!$1:$1016,COLUMN($F$1),FALSE), "・", 0)) + 1), 0)</f>
        <v>0</v>
      </c>
      <c r="AY303">
        <f>IF(ISNUMBER(SEARCH(SUBSTITUTE(AY$1,RIGHT(AY$1,2),""),VLOOKUP($D303,素材!$1:$1016,COLUMN($F$1),FALSE))),VLOOKUP($C303,武器!$1:$998,COLUMN($O$1),FALSE)*VLOOKUP($D303,素材!$1:$1016,COLUMN($E$1),FALSE)/(LEN(VLOOKUP($D303,素材!$1:$1016,COLUMN($F$1),FALSE)) - LEN(SUBSTITUTE(VLOOKUP($D303,素材!$1:$1016,COLUMN($F$1),FALSE), "・", 0)) + 1), 0)</f>
        <v>0</v>
      </c>
      <c r="AZ303">
        <f>IF(ISNUMBER(SEARCH(SUBSTITUTE(AZ$1,RIGHT(AZ$1,2),""),VLOOKUP($D303,素材!$1:$1016,COLUMN($F$1),FALSE))),VLOOKUP($C303,武器!$1:$998,COLUMN($O$1),FALSE)*VLOOKUP($D303,素材!$1:$1016,COLUMN($E$1),FALSE)/(LEN(VLOOKUP($D303,素材!$1:$1016,COLUMN($F$1),FALSE)) - LEN(SUBSTITUTE(VLOOKUP($D303,素材!$1:$1016,COLUMN($F$1),FALSE), "・", 0)) + 1), 0)</f>
        <v>0</v>
      </c>
      <c r="BA303">
        <f>IF(ISNUMBER(SEARCH(SUBSTITUTE(BA$1,RIGHT(BA$1,2),""),VLOOKUP($D303,素材!$1:$1016,COLUMN($F$1),FALSE))),VLOOKUP($C303,武器!$1:$998,COLUMN($O$1),FALSE)*VLOOKUP($D303,素材!$1:$1016,COLUMN($E$1),FALSE)/(LEN(VLOOKUP($D303,素材!$1:$1016,COLUMN($F$1),FALSE)) - LEN(SUBSTITUTE(VLOOKUP($D303,素材!$1:$1016,COLUMN($F$1),FALSE), "・", 0)) + 1), 0)</f>
        <v>0</v>
      </c>
      <c r="BB303">
        <f>IF(ISNUMBER(SEARCH(SUBSTITUTE(BB$1,RIGHT(BB$1,2),""),VLOOKUP($D303,素材!$1:$1016,COLUMN($F$1),FALSE))),VLOOKUP($C303,武器!$1:$998,COLUMN($O$1),FALSE)*VLOOKUP($D303,素材!$1:$1016,COLUMN($E$1),FALSE)/(LEN(VLOOKUP($D303,素材!$1:$1016,COLUMN($F$1),FALSE)) - LEN(SUBSTITUTE(VLOOKUP($D303,素材!$1:$1016,COLUMN($F$1),FALSE), "・", 0)) + 1), 0)</f>
        <v>0</v>
      </c>
      <c r="BC303">
        <f>IF(ISNUMBER(SEARCH(SUBSTITUTE(BC$1,RIGHT(BC$1,2),""),VLOOKUP($D303,素材!$1:$1016,COLUMN($F$1),FALSE))),VLOOKUP($C303,武器!$1:$998,COLUMN($O$1),FALSE)*VLOOKUP($D303,素材!$1:$1016,COLUMN($E$1),FALSE)/(LEN(VLOOKUP($D303,素材!$1:$1016,COLUMN($F$1),FALSE)) - LEN(SUBSTITUTE(VLOOKUP($D303,素材!$1:$1016,COLUMN($F$1),FALSE), "・", 0)) + 1), 0)</f>
        <v>0</v>
      </c>
      <c r="BD303">
        <f>IF(ISNUMBER(SEARCH(SUBSTITUTE(BD$1,RIGHT(BD$1,2),""),VLOOKUP($D303,素材!$1:$1016,COLUMN($F$1),FALSE))),VLOOKUP($C303,武器!$1:$998,COLUMN($O$1),FALSE)*VLOOKUP($D303,素材!$1:$1016,COLUMN($E$1),FALSE)/(LEN(VLOOKUP($D303,素材!$1:$1016,COLUMN($F$1),FALSE)) - LEN(SUBSTITUTE(VLOOKUP($D303,素材!$1:$1016,COLUMN($F$1),FALSE), "・", 0)) + 1), 0)</f>
        <v>0</v>
      </c>
      <c r="BE303">
        <f>IF(ISNUMBER(SEARCH(SUBSTITUTE(BE$1,RIGHT(BE$1,2),""),VLOOKUP($D303,素材!$1:$1016,COLUMN($F$1),FALSE))),VLOOKUP($C303,武器!$1:$998,COLUMN($O$1),FALSE)*VLOOKUP($D303,素材!$1:$1016,COLUMN($E$1),FALSE)/(LEN(VLOOKUP($D303,素材!$1:$1016,COLUMN($F$1),FALSE)) - LEN(SUBSTITUTE(VLOOKUP($D303,素材!$1:$1016,COLUMN($F$1),FALSE), "・", 0)) + 1), 0)</f>
        <v>0</v>
      </c>
      <c r="CL303">
        <f>SUM(G303:I303)</f>
        <v>0</v>
      </c>
      <c r="CM303" s="22" t="str">
        <f>IF(E303="武器",IF(J303-1&gt;SUM(G303:I303),"盾",IF(MAX(G303:I303)=G303,"切断",IF(MAX(G303:I303)=H303,"貫通",IF(MAX(G303:I303)=I303,"打撃","射撃")))),E303)&amp;".webp"</f>
        <v>.webp</v>
      </c>
      <c r="CN303" t="str">
        <f>IFERROR(VLOOKUP($C303,武器!$1:$998,COLUMN(V$1),FALSE)*VLOOKUP($D303,素材!$1:$1016,COLUMN(N$1),FALSE)+IF(CI303="",0,VLOOKUP($CI303,装強!$1:$1008,COLUMN($CK$1),FALSE)),"")</f>
        <v/>
      </c>
      <c r="CO303" t="e">
        <f>VLOOKUP(D303,素材!$A:$O,COLUMN(素材!O$1),FALSE)</f>
        <v>#N/A</v>
      </c>
      <c r="CP303" t="e">
        <f>VLOOKUP(C303,武器!$A:$W,COLUMN(武器!W$1),FALSE)</f>
        <v>#N/A</v>
      </c>
      <c r="CR303" t="str">
        <f t="shared" si="33"/>
        <v>e_303</v>
      </c>
      <c r="CS303" t="e">
        <f t="shared" si="34"/>
        <v>#VALUE!</v>
      </c>
    </row>
    <row r="304" spans="1:97" hidden="1" outlineLevel="1" x14ac:dyDescent="0.4">
      <c r="A304" t="str">
        <f>IF(CI304="",D304&amp;"の"&amp;C304,CI304&amp;"の"&amp;C304)</f>
        <v>の</v>
      </c>
      <c r="B304" t="str">
        <f>IFERROR(IF(CI304="",VLOOKUP($D304,素材!$1:$1016,COLUMN($B$1),FALSE)&amp;"・"&amp;VLOOKUP($C304,武器!$1:$998,COLUMN(B$1),FALSE),VLOOKUP($CI304,装強!$1:$1008,COLUMN($B$1),FALSE)&amp;"・"&amp;VLOOKUP($C304,武器!$1:$998,COLUMN(B$1),FALSE)),"")</f>
        <v/>
      </c>
      <c r="C304" s="24"/>
      <c r="D304" s="24"/>
      <c r="E304" t="str">
        <f>IFERROR(VLOOKUP(C304,武器!$1:$998,COLUMN(C$1),FALSE),"")</f>
        <v/>
      </c>
      <c r="F304" t="str">
        <f>IFERROR(ROUNDDOWN((VLOOKUP($C304,武器!$1:$998,COLUMN(D$1),FALSE)+IFERROR(VLOOKUP($CI304,装強!$1:$999,COLUMN(F$1),FALSE),0))*VLOOKUP($D304,素材!$1:$1016,COLUMN(D$1),FALSE),0),"")</f>
        <v/>
      </c>
      <c r="G304" t="str">
        <f>IFERROR(ROUNDDOWN((VLOOKUP($C304,武器!$1:$998,COLUMN(E$1),FALSE)+IFERROR(VLOOKUP($CI304,装強!$1:$999,COLUMN(G$1),FALSE),0))*VLOOKUP($D304,素材!$1:$1016,COLUMN($E$1),FALSE),0),"")</f>
        <v/>
      </c>
      <c r="H304" t="str">
        <f>IFERROR(ROUNDDOWN((VLOOKUP($C304,武器!$1:$998,COLUMN(F$1),FALSE)+IFERROR(VLOOKUP($CI304,装強!$1:$999,COLUMN(H$1),FALSE),0))*VLOOKUP($D304,素材!$1:$1016,COLUMN($E$1),FALSE),0),"")</f>
        <v/>
      </c>
      <c r="I304" t="str">
        <f>IFERROR(ROUNDDOWN((VLOOKUP($C304,武器!$1:$998,COLUMN(G$1),FALSE)+IFERROR(VLOOKUP($CI304,装強!$1:$999,COLUMN(I$1),FALSE),0))*VLOOKUP($D304,素材!$1:$1016,COLUMN($E$1),FALSE),0),"")</f>
        <v/>
      </c>
      <c r="J304" t="str">
        <f>IFERROR(ROUNDDOWN((VLOOKUP($C304,武器!$1:$998,COLUMN(H$1),FALSE)+IFERROR(VLOOKUP($CI304,装強!$1:$999,COLUMN(J$1),FALSE),0))*VLOOKUP($D304,素材!$1:$1016,COLUMN($E$1),FALSE),0),"")</f>
        <v/>
      </c>
      <c r="K304" t="str">
        <f>IFERROR(ROUNDDOWN((VLOOKUP($C304,武器!$1:$998,COLUMN(I$1),FALSE)+IFERROR(VLOOKUP($CI304,装強!$1:$999,COLUMN(K$1),FALSE),0))*VLOOKUP($D304,素材!$1:$1016,COLUMN($E$1),FALSE),0),"")</f>
        <v/>
      </c>
      <c r="L304" t="str">
        <f>IFERROR(VLOOKUP($D304,素材!$1:$1016,COLUMN($F$1),FALSE),"")</f>
        <v/>
      </c>
      <c r="M304" t="str">
        <f>IFERROR(VLOOKUP($C304,武器!$1:$998,COLUMN(AA$1),FALSE)*VLOOKUP($D304,素材!$1:$1016,COLUMN($G$1),FALSE),"")</f>
        <v/>
      </c>
      <c r="N304" t="str">
        <f>IFERROR(VLOOKUP($C304,武器!$1:$998,COLUMN(I$1),FALSE),"")</f>
        <v/>
      </c>
      <c r="O304" s="23" t="str">
        <f>IFERROR((VLOOKUP($C304,武器!$1:$998,COLUMN(K$1),FALSE)+VLOOKUP($D304,素材!$1:$1016,COLUMN(H$1),FALSE))*100+IFERROR(VLOOKUP($CI304,装強!$1:$999,COLUMN(O$1),FALSE),0),"")</f>
        <v/>
      </c>
      <c r="P304" s="23" t="str">
        <f>IFERROR((VLOOKUP($C304,武器!$1:$998,COLUMN(L$1),FALSE)+VLOOKUP($D304,素材!$1:$1016,COLUMN(I$1),FALSE))*100+IFERROR(VLOOKUP($CI304,装強!$1:$999,COLUMN(P$1),FALSE),0),"")</f>
        <v/>
      </c>
      <c r="Q304" t="str">
        <f>IFERROR(ROUNDUP(VLOOKUP($C304,武器!$1:$998,COLUMN(M$1),FALSE)*(VLOOKUP($D304,素材!$1:$1002,COLUMN(D$1),FALSE)/100),1),"")</f>
        <v/>
      </c>
      <c r="R304" t="str">
        <f>IFERROR(ROUNDUP(VLOOKUP($C304,武器!$1:$998,COLUMN(N$1),FALSE)*(VLOOKUP($D304,素材!$1:$1002,COLUMN(D$1),FALSE)/100),1),"")</f>
        <v/>
      </c>
      <c r="S304" t="str">
        <f>IFERROR(VLOOKUP($C304,武器!$1:$998,COLUMN(P$1),FALSE),"")</f>
        <v/>
      </c>
      <c r="T304" t="str">
        <f>IFERROR(VLOOKUP($C304,武器!$1:$998,COLUMN(Q$1),FALSE),"")</f>
        <v/>
      </c>
      <c r="U304" t="str">
        <f>IFERROR(VLOOKUP($C304,武器!$1:$998,COLUMN(R$1),FALSE),"")</f>
        <v/>
      </c>
      <c r="V304" t="str">
        <f>IFERROR(VLOOKUP($C304,武器!$1:$998,COLUMN(Q$1),FALSE),"")</f>
        <v/>
      </c>
      <c r="W304" t="str">
        <f>IFERROR(VLOOKUP($C304,武器!$1:$998,COLUMN(T$1),FALSE),"")</f>
        <v/>
      </c>
      <c r="Y304" t="str">
        <f>IFERROR(VLOOKUP($C304,武器!$1:$998,COLUMN(U$1),FALSE),"")</f>
        <v/>
      </c>
      <c r="Z304" t="str">
        <f>IFERROR(ROUNDUP(VLOOKUP($C304,武器!$1:$998,COLUMN(O$1),FALSE)*VLOOKUP($D304,素材!$1:$1016,COLUMN(E$1),FALSE),1),"")</f>
        <v/>
      </c>
      <c r="AA304">
        <f>IF(ISNUMBER(SEARCH(SUBSTITUTE(AA$1,RIGHT(AA$1,2),""),VLOOKUP($D304,素材!$1:$1016,COLUMN($F$1),FALSE))),VLOOKUP($C304,武器!$1:$998,COLUMN($O$1),FALSE)*VLOOKUP($D304,素材!$1:$1016,COLUMN($E$1),FALSE)/(LEN(VLOOKUP($D304,素材!$1:$1016,COLUMN($F$1),FALSE)) - LEN(SUBSTITUTE(VLOOKUP($D304,素材!$1:$1016,COLUMN($F$1),FALSE), "・", 0)) + 1), 0)</f>
        <v>0</v>
      </c>
      <c r="AB304">
        <f>IF(ISNUMBER(SEARCH(SUBSTITUTE(AB$1,RIGHT(AB$1,2),""),VLOOKUP($D304,素材!$1:$1016,COLUMN($F$1),FALSE))),VLOOKUP($C304,武器!$1:$998,COLUMN($O$1),FALSE)*VLOOKUP($D304,素材!$1:$1016,COLUMN($E$1),FALSE)/(LEN(VLOOKUP($D304,素材!$1:$1016,COLUMN($F$1),FALSE)) - LEN(SUBSTITUTE(VLOOKUP($D304,素材!$1:$1016,COLUMN($F$1),FALSE), "・", 0)) + 1), 0)</f>
        <v>0</v>
      </c>
      <c r="AC304">
        <f>IF(ISNUMBER(SEARCH(SUBSTITUTE(AC$1,RIGHT(AC$1,2),""),VLOOKUP($D304,素材!$1:$1016,COLUMN($F$1),FALSE))),VLOOKUP($C304,武器!$1:$998,COLUMN($O$1),FALSE)*VLOOKUP($D304,素材!$1:$1016,COLUMN($E$1),FALSE)/(LEN(VLOOKUP($D304,素材!$1:$1016,COLUMN($F$1),FALSE)) - LEN(SUBSTITUTE(VLOOKUP($D304,素材!$1:$1016,COLUMN($F$1),FALSE), "・", 0)) + 1), 0)</f>
        <v>0</v>
      </c>
      <c r="AD304">
        <f>IF(ISNUMBER(SEARCH(SUBSTITUTE(AD$1,RIGHT(AD$1,2),""),VLOOKUP($D304,素材!$1:$1016,COLUMN($F$1),FALSE))),VLOOKUP($C304,武器!$1:$998,COLUMN($O$1),FALSE)*VLOOKUP($D304,素材!$1:$1016,COLUMN($E$1),FALSE)/(LEN(VLOOKUP($D304,素材!$1:$1016,COLUMN($F$1),FALSE)) - LEN(SUBSTITUTE(VLOOKUP($D304,素材!$1:$1016,COLUMN($F$1),FALSE), "・", 0)) + 1), 0)</f>
        <v>0</v>
      </c>
      <c r="AE304">
        <f>IF(ISNUMBER(SEARCH(SUBSTITUTE(AE$1,RIGHT(AE$1,2),""),VLOOKUP($D304,素材!$1:$1016,COLUMN($F$1),FALSE))),VLOOKUP($C304,武器!$1:$998,COLUMN($O$1),FALSE)*VLOOKUP($D304,素材!$1:$1016,COLUMN($E$1),FALSE)/(LEN(VLOOKUP($D304,素材!$1:$1016,COLUMN($F$1),FALSE)) - LEN(SUBSTITUTE(VLOOKUP($D304,素材!$1:$1016,COLUMN($F$1),FALSE), "・", 0)) + 1), 0)</f>
        <v>0</v>
      </c>
      <c r="AF304">
        <f>IF(ISNUMBER(SEARCH(SUBSTITUTE(AF$1,RIGHT(AF$1,2),""),VLOOKUP($D304,素材!$1:$1016,COLUMN($F$1),FALSE))),VLOOKUP($C304,武器!$1:$998,COLUMN($O$1),FALSE)*VLOOKUP($D304,素材!$1:$1016,COLUMN($E$1),FALSE)/(LEN(VLOOKUP($D304,素材!$1:$1016,COLUMN($F$1),FALSE)) - LEN(SUBSTITUTE(VLOOKUP($D304,素材!$1:$1016,COLUMN($F$1),FALSE), "・", 0)) + 1), 0)</f>
        <v>0</v>
      </c>
      <c r="AG304">
        <f>IF(ISNUMBER(SEARCH(SUBSTITUTE(AG$1,RIGHT(AG$1,2),""),VLOOKUP($D304,素材!$1:$1016,COLUMN($F$1),FALSE))),VLOOKUP($C304,武器!$1:$998,COLUMN($O$1),FALSE)*VLOOKUP($D304,素材!$1:$1016,COLUMN($E$1),FALSE)/(LEN(VLOOKUP($D304,素材!$1:$1016,COLUMN($F$1),FALSE)) - LEN(SUBSTITUTE(VLOOKUP($D304,素材!$1:$1016,COLUMN($F$1),FALSE), "・", 0)) + 1), 0)</f>
        <v>0</v>
      </c>
      <c r="AH304">
        <f>IF(ISNUMBER(SEARCH(SUBSTITUTE(AH$1,RIGHT(AH$1,2),""),VLOOKUP($D304,素材!$1:$1016,COLUMN($F$1),FALSE))),VLOOKUP($C304,武器!$1:$998,COLUMN($O$1),FALSE)*VLOOKUP($D304,素材!$1:$1016,COLUMN($E$1),FALSE)/(LEN(VLOOKUP($D304,素材!$1:$1016,COLUMN($F$1),FALSE)) - LEN(SUBSTITUTE(VLOOKUP($D304,素材!$1:$1016,COLUMN($F$1),FALSE), "・", 0)) + 1), 0)</f>
        <v>0</v>
      </c>
      <c r="AI304">
        <f>IF(ISNUMBER(SEARCH(SUBSTITUTE(AI$1,RIGHT(AI$1,2),""),VLOOKUP($D304,素材!$1:$1016,COLUMN($F$1),FALSE))),VLOOKUP($C304,武器!$1:$998,COLUMN($O$1),FALSE)*VLOOKUP($D304,素材!$1:$1016,COLUMN($E$1),FALSE)/(LEN(VLOOKUP($D304,素材!$1:$1016,COLUMN($F$1),FALSE)) - LEN(SUBSTITUTE(VLOOKUP($D304,素材!$1:$1016,COLUMN($F$1),FALSE), "・", 0)) + 1), 0)</f>
        <v>0</v>
      </c>
      <c r="AJ304">
        <f>IF(ISNUMBER(SEARCH(SUBSTITUTE(AJ$1,RIGHT(AJ$1,2),""),VLOOKUP($D304,素材!$1:$1016,COLUMN($F$1),FALSE))),VLOOKUP($C304,武器!$1:$998,COLUMN($O$1),FALSE)*VLOOKUP($D304,素材!$1:$1016,COLUMN($E$1),FALSE)/(LEN(VLOOKUP($D304,素材!$1:$1016,COLUMN($F$1),FALSE)) - LEN(SUBSTITUTE(VLOOKUP($D304,素材!$1:$1016,COLUMN($F$1),FALSE), "・", 0)) + 1), 0)</f>
        <v>0</v>
      </c>
      <c r="AK304">
        <f>IF(ISNUMBER(SEARCH(SUBSTITUTE(AK$1,RIGHT(AK$1,2),""),VLOOKUP($D304,素材!$1:$1016,COLUMN($F$1),FALSE))),VLOOKUP($C304,武器!$1:$998,COLUMN($O$1),FALSE)*VLOOKUP($D304,素材!$1:$1016,COLUMN($E$1),FALSE)/(LEN(VLOOKUP($D304,素材!$1:$1016,COLUMN($F$1),FALSE)) - LEN(SUBSTITUTE(VLOOKUP($D304,素材!$1:$1016,COLUMN($F$1),FALSE), "・", 0)) + 1), 0)</f>
        <v>0</v>
      </c>
      <c r="AL304">
        <f>IF(ISNUMBER(SEARCH(SUBSTITUTE(AL$1,RIGHT(AL$1,2),""),VLOOKUP($D304,素材!$1:$1016,COLUMN($F$1),FALSE))),VLOOKUP($C304,武器!$1:$998,COLUMN($O$1),FALSE)*VLOOKUP($D304,素材!$1:$1016,COLUMN($E$1),FALSE)/(LEN(VLOOKUP($D304,素材!$1:$1016,COLUMN($F$1),FALSE)) - LEN(SUBSTITUTE(VLOOKUP($D304,素材!$1:$1016,COLUMN($F$1),FALSE), "・", 0)) + 1), 0)</f>
        <v>0</v>
      </c>
      <c r="AM304">
        <f>IF(ISNUMBER(SEARCH(SUBSTITUTE(AM$1,RIGHT(AM$1,2),""),VLOOKUP($D304,素材!$1:$1016,COLUMN($F$1),FALSE))),VLOOKUP($C304,武器!$1:$998,COLUMN($O$1),FALSE)*VLOOKUP($D304,素材!$1:$1016,COLUMN($E$1),FALSE)/(LEN(VLOOKUP($D304,素材!$1:$1016,COLUMN($F$1),FALSE)) - LEN(SUBSTITUTE(VLOOKUP($D304,素材!$1:$1016,COLUMN($F$1),FALSE), "・", 0)) + 1), 0)</f>
        <v>0</v>
      </c>
      <c r="AN304">
        <f>IF(ISNUMBER(SEARCH(SUBSTITUTE(AN$1,RIGHT(AN$1,2),""),VLOOKUP($D304,素材!$1:$1016,COLUMN($F$1),FALSE))),VLOOKUP($C304,武器!$1:$998,COLUMN($O$1),FALSE)*VLOOKUP($D304,素材!$1:$1016,COLUMN($E$1),FALSE)/(LEN(VLOOKUP($D304,素材!$1:$1016,COLUMN($F$1),FALSE)) - LEN(SUBSTITUTE(VLOOKUP($D304,素材!$1:$1016,COLUMN($F$1),FALSE), "・", 0)) + 1), 0)</f>
        <v>0</v>
      </c>
      <c r="AO304">
        <f>IF(ISNUMBER(SEARCH(SUBSTITUTE(AO$1,RIGHT(AO$1,2),""),VLOOKUP($D304,素材!$1:$1016,COLUMN($F$1),FALSE))),VLOOKUP($C304,武器!$1:$998,COLUMN($O$1),FALSE)*VLOOKUP($D304,素材!$1:$1016,COLUMN($E$1),FALSE)/(LEN(VLOOKUP($D304,素材!$1:$1016,COLUMN($F$1),FALSE)) - LEN(SUBSTITUTE(VLOOKUP($D304,素材!$1:$1016,COLUMN($F$1),FALSE), "・", 0)) + 1), 0)</f>
        <v>0</v>
      </c>
      <c r="AP304">
        <f>IF(ISNUMBER(SEARCH(SUBSTITUTE(AP$1,RIGHT(AP$1,2),""),VLOOKUP($D304,素材!$1:$1016,COLUMN($F$1),FALSE))),VLOOKUP($C304,武器!$1:$998,COLUMN($O$1),FALSE)*VLOOKUP($D304,素材!$1:$1016,COLUMN($E$1),FALSE)/(LEN(VLOOKUP($D304,素材!$1:$1016,COLUMN($F$1),FALSE)) - LEN(SUBSTITUTE(VLOOKUP($D304,素材!$1:$1016,COLUMN($F$1),FALSE), "・", 0)) + 1), 0)</f>
        <v>0</v>
      </c>
      <c r="AQ304">
        <f>IF(ISNUMBER(SEARCH(SUBSTITUTE(AQ$1,RIGHT(AQ$1,2),""),VLOOKUP($D304,素材!$1:$1016,COLUMN($F$1),FALSE))),VLOOKUP($C304,武器!$1:$998,COLUMN($O$1),FALSE)*VLOOKUP($D304,素材!$1:$1016,COLUMN($E$1),FALSE)/(LEN(VLOOKUP($D304,素材!$1:$1016,COLUMN($F$1),FALSE)) - LEN(SUBSTITUTE(VLOOKUP($D304,素材!$1:$1016,COLUMN($F$1),FALSE), "・", 0)) + 1), 0)</f>
        <v>0</v>
      </c>
      <c r="AR304">
        <f>IF(ISNUMBER(SEARCH(SUBSTITUTE(AR$1,RIGHT(AR$1,2),""),VLOOKUP($D304,素材!$1:$1016,COLUMN($F$1),FALSE))),VLOOKUP($C304,武器!$1:$998,COLUMN($O$1),FALSE)*VLOOKUP($D304,素材!$1:$1016,COLUMN($E$1),FALSE)/(LEN(VLOOKUP($D304,素材!$1:$1016,COLUMN($F$1),FALSE)) - LEN(SUBSTITUTE(VLOOKUP($D304,素材!$1:$1016,COLUMN($F$1),FALSE), "・", 0)) + 1), 0)</f>
        <v>0</v>
      </c>
      <c r="AS304">
        <f>IF(ISNUMBER(SEARCH(SUBSTITUTE(AS$1,RIGHT(AS$1,2),""),VLOOKUP($D304,素材!$1:$1016,COLUMN($F$1),FALSE))),VLOOKUP($C304,武器!$1:$998,COLUMN($O$1),FALSE)*VLOOKUP($D304,素材!$1:$1016,COLUMN($E$1),FALSE)/(LEN(VLOOKUP($D304,素材!$1:$1016,COLUMN($F$1),FALSE)) - LEN(SUBSTITUTE(VLOOKUP($D304,素材!$1:$1016,COLUMN($F$1),FALSE), "・", 0)) + 1), 0)</f>
        <v>0</v>
      </c>
      <c r="AT304">
        <f>IF(ISNUMBER(SEARCH(SUBSTITUTE(AT$1,RIGHT(AT$1,2),""),VLOOKUP($D304,素材!$1:$1016,COLUMN($F$1),FALSE))),VLOOKUP($C304,武器!$1:$998,COLUMN($O$1),FALSE)*VLOOKUP($D304,素材!$1:$1016,COLUMN($E$1),FALSE)/(LEN(VLOOKUP($D304,素材!$1:$1016,COLUMN($F$1),FALSE)) - LEN(SUBSTITUTE(VLOOKUP($D304,素材!$1:$1016,COLUMN($F$1),FALSE), "・", 0)) + 1), 0)</f>
        <v>0</v>
      </c>
      <c r="AU304">
        <f>IF(ISNUMBER(SEARCH(SUBSTITUTE(AU$1,RIGHT(AU$1,2),""),VLOOKUP($D304,素材!$1:$1016,COLUMN($F$1),FALSE))),VLOOKUP($C304,武器!$1:$998,COLUMN($O$1),FALSE)*VLOOKUP($D304,素材!$1:$1016,COLUMN($E$1),FALSE)/(LEN(VLOOKUP($D304,素材!$1:$1016,COLUMN($F$1),FALSE)) - LEN(SUBSTITUTE(VLOOKUP($D304,素材!$1:$1016,COLUMN($F$1),FALSE), "・", 0)) + 1), 0)</f>
        <v>0</v>
      </c>
      <c r="AV304">
        <f>IF(ISNUMBER(SEARCH(SUBSTITUTE(AV$1,RIGHT(AV$1,2),""),VLOOKUP($D304,素材!$1:$1016,COLUMN($F$1),FALSE))),VLOOKUP($C304,武器!$1:$998,COLUMN($O$1),FALSE)*VLOOKUP($D304,素材!$1:$1016,COLUMN($E$1),FALSE)/(LEN(VLOOKUP($D304,素材!$1:$1016,COLUMN($F$1),FALSE)) - LEN(SUBSTITUTE(VLOOKUP($D304,素材!$1:$1016,COLUMN($F$1),FALSE), "・", 0)) + 1), 0)</f>
        <v>0</v>
      </c>
      <c r="AW304">
        <f>IF(ISNUMBER(SEARCH(SUBSTITUTE(AW$1,RIGHT(AW$1,2),""),VLOOKUP($D304,素材!$1:$1016,COLUMN($F$1),FALSE))),VLOOKUP($C304,武器!$1:$998,COLUMN($O$1),FALSE)*VLOOKUP($D304,素材!$1:$1016,COLUMN($E$1),FALSE)/(LEN(VLOOKUP($D304,素材!$1:$1016,COLUMN($F$1),FALSE)) - LEN(SUBSTITUTE(VLOOKUP($D304,素材!$1:$1016,COLUMN($F$1),FALSE), "・", 0)) + 1), 0)</f>
        <v>0</v>
      </c>
      <c r="AX304">
        <f>IF(ISNUMBER(SEARCH(SUBSTITUTE(AX$1,RIGHT(AX$1,2),""),VLOOKUP($D304,素材!$1:$1016,COLUMN($F$1),FALSE))),VLOOKUP($C304,武器!$1:$998,COLUMN($O$1),FALSE)*VLOOKUP($D304,素材!$1:$1016,COLUMN($E$1),FALSE)/(LEN(VLOOKUP($D304,素材!$1:$1016,COLUMN($F$1),FALSE)) - LEN(SUBSTITUTE(VLOOKUP($D304,素材!$1:$1016,COLUMN($F$1),FALSE), "・", 0)) + 1), 0)</f>
        <v>0</v>
      </c>
      <c r="AY304">
        <f>IF(ISNUMBER(SEARCH(SUBSTITUTE(AY$1,RIGHT(AY$1,2),""),VLOOKUP($D304,素材!$1:$1016,COLUMN($F$1),FALSE))),VLOOKUP($C304,武器!$1:$998,COLUMN($O$1),FALSE)*VLOOKUP($D304,素材!$1:$1016,COLUMN($E$1),FALSE)/(LEN(VLOOKUP($D304,素材!$1:$1016,COLUMN($F$1),FALSE)) - LEN(SUBSTITUTE(VLOOKUP($D304,素材!$1:$1016,COLUMN($F$1),FALSE), "・", 0)) + 1), 0)</f>
        <v>0</v>
      </c>
      <c r="AZ304">
        <f>IF(ISNUMBER(SEARCH(SUBSTITUTE(AZ$1,RIGHT(AZ$1,2),""),VLOOKUP($D304,素材!$1:$1016,COLUMN($F$1),FALSE))),VLOOKUP($C304,武器!$1:$998,COLUMN($O$1),FALSE)*VLOOKUP($D304,素材!$1:$1016,COLUMN($E$1),FALSE)/(LEN(VLOOKUP($D304,素材!$1:$1016,COLUMN($F$1),FALSE)) - LEN(SUBSTITUTE(VLOOKUP($D304,素材!$1:$1016,COLUMN($F$1),FALSE), "・", 0)) + 1), 0)</f>
        <v>0</v>
      </c>
      <c r="BA304">
        <f>IF(ISNUMBER(SEARCH(SUBSTITUTE(BA$1,RIGHT(BA$1,2),""),VLOOKUP($D304,素材!$1:$1016,COLUMN($F$1),FALSE))),VLOOKUP($C304,武器!$1:$998,COLUMN($O$1),FALSE)*VLOOKUP($D304,素材!$1:$1016,COLUMN($E$1),FALSE)/(LEN(VLOOKUP($D304,素材!$1:$1016,COLUMN($F$1),FALSE)) - LEN(SUBSTITUTE(VLOOKUP($D304,素材!$1:$1016,COLUMN($F$1),FALSE), "・", 0)) + 1), 0)</f>
        <v>0</v>
      </c>
      <c r="BB304">
        <f>IF(ISNUMBER(SEARCH(SUBSTITUTE(BB$1,RIGHT(BB$1,2),""),VLOOKUP($D304,素材!$1:$1016,COLUMN($F$1),FALSE))),VLOOKUP($C304,武器!$1:$998,COLUMN($O$1),FALSE)*VLOOKUP($D304,素材!$1:$1016,COLUMN($E$1),FALSE)/(LEN(VLOOKUP($D304,素材!$1:$1016,COLUMN($F$1),FALSE)) - LEN(SUBSTITUTE(VLOOKUP($D304,素材!$1:$1016,COLUMN($F$1),FALSE), "・", 0)) + 1), 0)</f>
        <v>0</v>
      </c>
      <c r="BC304">
        <f>IF(ISNUMBER(SEARCH(SUBSTITUTE(BC$1,RIGHT(BC$1,2),""),VLOOKUP($D304,素材!$1:$1016,COLUMN($F$1),FALSE))),VLOOKUP($C304,武器!$1:$998,COLUMN($O$1),FALSE)*VLOOKUP($D304,素材!$1:$1016,COLUMN($E$1),FALSE)/(LEN(VLOOKUP($D304,素材!$1:$1016,COLUMN($F$1),FALSE)) - LEN(SUBSTITUTE(VLOOKUP($D304,素材!$1:$1016,COLUMN($F$1),FALSE), "・", 0)) + 1), 0)</f>
        <v>0</v>
      </c>
      <c r="BD304">
        <f>IF(ISNUMBER(SEARCH(SUBSTITUTE(BD$1,RIGHT(BD$1,2),""),VLOOKUP($D304,素材!$1:$1016,COLUMN($F$1),FALSE))),VLOOKUP($C304,武器!$1:$998,COLUMN($O$1),FALSE)*VLOOKUP($D304,素材!$1:$1016,COLUMN($E$1),FALSE)/(LEN(VLOOKUP($D304,素材!$1:$1016,COLUMN($F$1),FALSE)) - LEN(SUBSTITUTE(VLOOKUP($D304,素材!$1:$1016,COLUMN($F$1),FALSE), "・", 0)) + 1), 0)</f>
        <v>0</v>
      </c>
      <c r="BE304">
        <f>IF(ISNUMBER(SEARCH(SUBSTITUTE(BE$1,RIGHT(BE$1,2),""),VLOOKUP($D304,素材!$1:$1016,COLUMN($F$1),FALSE))),VLOOKUP($C304,武器!$1:$998,COLUMN($O$1),FALSE)*VLOOKUP($D304,素材!$1:$1016,COLUMN($E$1),FALSE)/(LEN(VLOOKUP($D304,素材!$1:$1016,COLUMN($F$1),FALSE)) - LEN(SUBSTITUTE(VLOOKUP($D304,素材!$1:$1016,COLUMN($F$1),FALSE), "・", 0)) + 1), 0)</f>
        <v>0</v>
      </c>
      <c r="CL304">
        <f>SUM(G304:I304)</f>
        <v>0</v>
      </c>
      <c r="CM304" s="22" t="str">
        <f>IF(E304="武器",IF(J304-1&gt;SUM(G304:I304),"盾",IF(MAX(G304:I304)=G304,"切断",IF(MAX(G304:I304)=H304,"貫通",IF(MAX(G304:I304)=I304,"打撃","射撃")))),E304)&amp;".webp"</f>
        <v>.webp</v>
      </c>
      <c r="CN304" t="str">
        <f>IFERROR(VLOOKUP($C304,武器!$1:$998,COLUMN(V$1),FALSE)*VLOOKUP($D304,素材!$1:$1016,COLUMN(N$1),FALSE)+IF(CI304="",0,VLOOKUP($CI304,装強!$1:$1008,COLUMN($CK$1),FALSE)),"")</f>
        <v/>
      </c>
      <c r="CO304" t="e">
        <f>VLOOKUP(D304,素材!$A:$O,COLUMN(素材!O$1),FALSE)</f>
        <v>#N/A</v>
      </c>
      <c r="CP304" t="e">
        <f>VLOOKUP(C304,武器!$A:$W,COLUMN(武器!W$1),FALSE)</f>
        <v>#N/A</v>
      </c>
      <c r="CR304" t="str">
        <f t="shared" si="33"/>
        <v>e_304</v>
      </c>
      <c r="CS304" t="e">
        <f t="shared" si="34"/>
        <v>#VALUE!</v>
      </c>
    </row>
    <row r="305" spans="1:97" hidden="1" outlineLevel="1" x14ac:dyDescent="0.4">
      <c r="A305" t="str">
        <f>IF(CI305="",D305&amp;"の"&amp;C305,CI305&amp;"の"&amp;C305)</f>
        <v>の</v>
      </c>
      <c r="B305" t="str">
        <f>IFERROR(IF(CI305="",VLOOKUP($D305,素材!$1:$1016,COLUMN($B$1),FALSE)&amp;"・"&amp;VLOOKUP($C305,武器!$1:$998,COLUMN(B$1),FALSE),VLOOKUP($CI305,装強!$1:$1008,COLUMN($B$1),FALSE)&amp;"・"&amp;VLOOKUP($C305,武器!$1:$998,COLUMN(B$1),FALSE)),"")</f>
        <v/>
      </c>
      <c r="C305" s="24"/>
      <c r="D305" s="24"/>
      <c r="E305" t="str">
        <f>IFERROR(VLOOKUP(C305,武器!$1:$998,COLUMN(C$1),FALSE),"")</f>
        <v/>
      </c>
      <c r="F305" t="str">
        <f>IFERROR(ROUNDDOWN((VLOOKUP($C305,武器!$1:$998,COLUMN(D$1),FALSE)+IFERROR(VLOOKUP($CI305,装強!$1:$999,COLUMN(F$1),FALSE),0))*VLOOKUP($D305,素材!$1:$1016,COLUMN(D$1),FALSE),0),"")</f>
        <v/>
      </c>
      <c r="G305" t="str">
        <f>IFERROR(ROUNDDOWN((VLOOKUP($C305,武器!$1:$998,COLUMN(E$1),FALSE)+IFERROR(VLOOKUP($CI305,装強!$1:$999,COLUMN(G$1),FALSE),0))*VLOOKUP($D305,素材!$1:$1016,COLUMN($E$1),FALSE),0),"")</f>
        <v/>
      </c>
      <c r="H305" t="str">
        <f>IFERROR(ROUNDDOWN((VLOOKUP($C305,武器!$1:$998,COLUMN(F$1),FALSE)+IFERROR(VLOOKUP($CI305,装強!$1:$999,COLUMN(H$1),FALSE),0))*VLOOKUP($D305,素材!$1:$1016,COLUMN($E$1),FALSE),0),"")</f>
        <v/>
      </c>
      <c r="I305" t="str">
        <f>IFERROR(ROUNDDOWN((VLOOKUP($C305,武器!$1:$998,COLUMN(G$1),FALSE)+IFERROR(VLOOKUP($CI305,装強!$1:$999,COLUMN(I$1),FALSE),0))*VLOOKUP($D305,素材!$1:$1016,COLUMN($E$1),FALSE),0),"")</f>
        <v/>
      </c>
      <c r="J305" t="str">
        <f>IFERROR(ROUNDDOWN((VLOOKUP($C305,武器!$1:$998,COLUMN(H$1),FALSE)+IFERROR(VLOOKUP($CI305,装強!$1:$999,COLUMN(J$1),FALSE),0))*VLOOKUP($D305,素材!$1:$1016,COLUMN($E$1),FALSE),0),"")</f>
        <v/>
      </c>
      <c r="K305" t="str">
        <f>IFERROR(ROUNDDOWN((VLOOKUP($C305,武器!$1:$998,COLUMN(I$1),FALSE)+IFERROR(VLOOKUP($CI305,装強!$1:$999,COLUMN(K$1),FALSE),0))*VLOOKUP($D305,素材!$1:$1016,COLUMN($E$1),FALSE),0),"")</f>
        <v/>
      </c>
      <c r="L305" t="str">
        <f>IFERROR(VLOOKUP($D305,素材!$1:$1016,COLUMN($F$1),FALSE),"")</f>
        <v/>
      </c>
      <c r="M305" t="str">
        <f>IFERROR(VLOOKUP($C305,武器!$1:$998,COLUMN(AA$1),FALSE)*VLOOKUP($D305,素材!$1:$1016,COLUMN($G$1),FALSE),"")</f>
        <v/>
      </c>
      <c r="N305" t="str">
        <f>IFERROR(VLOOKUP($C305,武器!$1:$998,COLUMN(I$1),FALSE),"")</f>
        <v/>
      </c>
      <c r="O305" s="23" t="str">
        <f>IFERROR((VLOOKUP($C305,武器!$1:$998,COLUMN(K$1),FALSE)+VLOOKUP($D305,素材!$1:$1016,COLUMN(H$1),FALSE))*100+IFERROR(VLOOKUP($CI305,装強!$1:$999,COLUMN(O$1),FALSE),0),"")</f>
        <v/>
      </c>
      <c r="P305" s="23" t="str">
        <f>IFERROR((VLOOKUP($C305,武器!$1:$998,COLUMN(L$1),FALSE)+VLOOKUP($D305,素材!$1:$1016,COLUMN(I$1),FALSE))*100+IFERROR(VLOOKUP($CI305,装強!$1:$999,COLUMN(P$1),FALSE),0),"")</f>
        <v/>
      </c>
      <c r="Q305" t="str">
        <f>IFERROR(ROUNDUP(VLOOKUP($C305,武器!$1:$998,COLUMN(M$1),FALSE)*(VLOOKUP($D305,素材!$1:$1002,COLUMN(D$1),FALSE)/100),1),"")</f>
        <v/>
      </c>
      <c r="R305" t="str">
        <f>IFERROR(ROUNDUP(VLOOKUP($C305,武器!$1:$998,COLUMN(N$1),FALSE)*(VLOOKUP($D305,素材!$1:$1002,COLUMN(D$1),FALSE)/100),1),"")</f>
        <v/>
      </c>
      <c r="S305" t="str">
        <f>IFERROR(VLOOKUP($C305,武器!$1:$998,COLUMN(P$1),FALSE),"")</f>
        <v/>
      </c>
      <c r="T305" t="str">
        <f>IFERROR(VLOOKUP($C305,武器!$1:$998,COLUMN(Q$1),FALSE),"")</f>
        <v/>
      </c>
      <c r="U305" t="str">
        <f>IFERROR(VLOOKUP($C305,武器!$1:$998,COLUMN(R$1),FALSE),"")</f>
        <v/>
      </c>
      <c r="V305" t="str">
        <f>IFERROR(VLOOKUP($C305,武器!$1:$998,COLUMN(Q$1),FALSE),"")</f>
        <v/>
      </c>
      <c r="W305" t="str">
        <f>IFERROR(VLOOKUP($C305,武器!$1:$998,COLUMN(T$1),FALSE),"")</f>
        <v/>
      </c>
      <c r="Y305" t="str">
        <f>IFERROR(VLOOKUP($C305,武器!$1:$998,COLUMN(U$1),FALSE),"")</f>
        <v/>
      </c>
      <c r="Z305" t="str">
        <f>IFERROR(ROUNDUP(VLOOKUP($C305,武器!$1:$998,COLUMN(O$1),FALSE)*VLOOKUP($D305,素材!$1:$1016,COLUMN(E$1),FALSE),1),"")</f>
        <v/>
      </c>
      <c r="AA305">
        <f>IF(ISNUMBER(SEARCH(SUBSTITUTE(AA$1,RIGHT(AA$1,2),""),VLOOKUP($D305,素材!$1:$1016,COLUMN($F$1),FALSE))),VLOOKUP($C305,武器!$1:$998,COLUMN($O$1),FALSE)*VLOOKUP($D305,素材!$1:$1016,COLUMN($E$1),FALSE)/(LEN(VLOOKUP($D305,素材!$1:$1016,COLUMN($F$1),FALSE)) - LEN(SUBSTITUTE(VLOOKUP($D305,素材!$1:$1016,COLUMN($F$1),FALSE), "・", 0)) + 1), 0)</f>
        <v>0</v>
      </c>
      <c r="AB305">
        <f>IF(ISNUMBER(SEARCH(SUBSTITUTE(AB$1,RIGHT(AB$1,2),""),VLOOKUP($D305,素材!$1:$1016,COLUMN($F$1),FALSE))),VLOOKUP($C305,武器!$1:$998,COLUMN($O$1),FALSE)*VLOOKUP($D305,素材!$1:$1016,COLUMN($E$1),FALSE)/(LEN(VLOOKUP($D305,素材!$1:$1016,COLUMN($F$1),FALSE)) - LEN(SUBSTITUTE(VLOOKUP($D305,素材!$1:$1016,COLUMN($F$1),FALSE), "・", 0)) + 1), 0)</f>
        <v>0</v>
      </c>
      <c r="AC305">
        <f>IF(ISNUMBER(SEARCH(SUBSTITUTE(AC$1,RIGHT(AC$1,2),""),VLOOKUP($D305,素材!$1:$1016,COLUMN($F$1),FALSE))),VLOOKUP($C305,武器!$1:$998,COLUMN($O$1),FALSE)*VLOOKUP($D305,素材!$1:$1016,COLUMN($E$1),FALSE)/(LEN(VLOOKUP($D305,素材!$1:$1016,COLUMN($F$1),FALSE)) - LEN(SUBSTITUTE(VLOOKUP($D305,素材!$1:$1016,COLUMN($F$1),FALSE), "・", 0)) + 1), 0)</f>
        <v>0</v>
      </c>
      <c r="AD305">
        <f>IF(ISNUMBER(SEARCH(SUBSTITUTE(AD$1,RIGHT(AD$1,2),""),VLOOKUP($D305,素材!$1:$1016,COLUMN($F$1),FALSE))),VLOOKUP($C305,武器!$1:$998,COLUMN($O$1),FALSE)*VLOOKUP($D305,素材!$1:$1016,COLUMN($E$1),FALSE)/(LEN(VLOOKUP($D305,素材!$1:$1016,COLUMN($F$1),FALSE)) - LEN(SUBSTITUTE(VLOOKUP($D305,素材!$1:$1016,COLUMN($F$1),FALSE), "・", 0)) + 1), 0)</f>
        <v>0</v>
      </c>
      <c r="AE305">
        <f>IF(ISNUMBER(SEARCH(SUBSTITUTE(AE$1,RIGHT(AE$1,2),""),VLOOKUP($D305,素材!$1:$1016,COLUMN($F$1),FALSE))),VLOOKUP($C305,武器!$1:$998,COLUMN($O$1),FALSE)*VLOOKUP($D305,素材!$1:$1016,COLUMN($E$1),FALSE)/(LEN(VLOOKUP($D305,素材!$1:$1016,COLUMN($F$1),FALSE)) - LEN(SUBSTITUTE(VLOOKUP($D305,素材!$1:$1016,COLUMN($F$1),FALSE), "・", 0)) + 1), 0)</f>
        <v>0</v>
      </c>
      <c r="AF305">
        <f>IF(ISNUMBER(SEARCH(SUBSTITUTE(AF$1,RIGHT(AF$1,2),""),VLOOKUP($D305,素材!$1:$1016,COLUMN($F$1),FALSE))),VLOOKUP($C305,武器!$1:$998,COLUMN($O$1),FALSE)*VLOOKUP($D305,素材!$1:$1016,COLUMN($E$1),FALSE)/(LEN(VLOOKUP($D305,素材!$1:$1016,COLUMN($F$1),FALSE)) - LEN(SUBSTITUTE(VLOOKUP($D305,素材!$1:$1016,COLUMN($F$1),FALSE), "・", 0)) + 1), 0)</f>
        <v>0</v>
      </c>
      <c r="AG305">
        <f>IF(ISNUMBER(SEARCH(SUBSTITUTE(AG$1,RIGHT(AG$1,2),""),VLOOKUP($D305,素材!$1:$1016,COLUMN($F$1),FALSE))),VLOOKUP($C305,武器!$1:$998,COLUMN($O$1),FALSE)*VLOOKUP($D305,素材!$1:$1016,COLUMN($E$1),FALSE)/(LEN(VLOOKUP($D305,素材!$1:$1016,COLUMN($F$1),FALSE)) - LEN(SUBSTITUTE(VLOOKUP($D305,素材!$1:$1016,COLUMN($F$1),FALSE), "・", 0)) + 1), 0)</f>
        <v>0</v>
      </c>
      <c r="AH305">
        <f>IF(ISNUMBER(SEARCH(SUBSTITUTE(AH$1,RIGHT(AH$1,2),""),VLOOKUP($D305,素材!$1:$1016,COLUMN($F$1),FALSE))),VLOOKUP($C305,武器!$1:$998,COLUMN($O$1),FALSE)*VLOOKUP($D305,素材!$1:$1016,COLUMN($E$1),FALSE)/(LEN(VLOOKUP($D305,素材!$1:$1016,COLUMN($F$1),FALSE)) - LEN(SUBSTITUTE(VLOOKUP($D305,素材!$1:$1016,COLUMN($F$1),FALSE), "・", 0)) + 1), 0)</f>
        <v>0</v>
      </c>
      <c r="AI305">
        <f>IF(ISNUMBER(SEARCH(SUBSTITUTE(AI$1,RIGHT(AI$1,2),""),VLOOKUP($D305,素材!$1:$1016,COLUMN($F$1),FALSE))),VLOOKUP($C305,武器!$1:$998,COLUMN($O$1),FALSE)*VLOOKUP($D305,素材!$1:$1016,COLUMN($E$1),FALSE)/(LEN(VLOOKUP($D305,素材!$1:$1016,COLUMN($F$1),FALSE)) - LEN(SUBSTITUTE(VLOOKUP($D305,素材!$1:$1016,COLUMN($F$1),FALSE), "・", 0)) + 1), 0)</f>
        <v>0</v>
      </c>
      <c r="AJ305">
        <f>IF(ISNUMBER(SEARCH(SUBSTITUTE(AJ$1,RIGHT(AJ$1,2),""),VLOOKUP($D305,素材!$1:$1016,COLUMN($F$1),FALSE))),VLOOKUP($C305,武器!$1:$998,COLUMN($O$1),FALSE)*VLOOKUP($D305,素材!$1:$1016,COLUMN($E$1),FALSE)/(LEN(VLOOKUP($D305,素材!$1:$1016,COLUMN($F$1),FALSE)) - LEN(SUBSTITUTE(VLOOKUP($D305,素材!$1:$1016,COLUMN($F$1),FALSE), "・", 0)) + 1), 0)</f>
        <v>0</v>
      </c>
      <c r="AK305">
        <f>IF(ISNUMBER(SEARCH(SUBSTITUTE(AK$1,RIGHT(AK$1,2),""),VLOOKUP($D305,素材!$1:$1016,COLUMN($F$1),FALSE))),VLOOKUP($C305,武器!$1:$998,COLUMN($O$1),FALSE)*VLOOKUP($D305,素材!$1:$1016,COLUMN($E$1),FALSE)/(LEN(VLOOKUP($D305,素材!$1:$1016,COLUMN($F$1),FALSE)) - LEN(SUBSTITUTE(VLOOKUP($D305,素材!$1:$1016,COLUMN($F$1),FALSE), "・", 0)) + 1), 0)</f>
        <v>0</v>
      </c>
      <c r="AL305">
        <f>IF(ISNUMBER(SEARCH(SUBSTITUTE(AL$1,RIGHT(AL$1,2),""),VLOOKUP($D305,素材!$1:$1016,COLUMN($F$1),FALSE))),VLOOKUP($C305,武器!$1:$998,COLUMN($O$1),FALSE)*VLOOKUP($D305,素材!$1:$1016,COLUMN($E$1),FALSE)/(LEN(VLOOKUP($D305,素材!$1:$1016,COLUMN($F$1),FALSE)) - LEN(SUBSTITUTE(VLOOKUP($D305,素材!$1:$1016,COLUMN($F$1),FALSE), "・", 0)) + 1), 0)</f>
        <v>0</v>
      </c>
      <c r="AM305">
        <f>IF(ISNUMBER(SEARCH(SUBSTITUTE(AM$1,RIGHT(AM$1,2),""),VLOOKUP($D305,素材!$1:$1016,COLUMN($F$1),FALSE))),VLOOKUP($C305,武器!$1:$998,COLUMN($O$1),FALSE)*VLOOKUP($D305,素材!$1:$1016,COLUMN($E$1),FALSE)/(LEN(VLOOKUP($D305,素材!$1:$1016,COLUMN($F$1),FALSE)) - LEN(SUBSTITUTE(VLOOKUP($D305,素材!$1:$1016,COLUMN($F$1),FALSE), "・", 0)) + 1), 0)</f>
        <v>0</v>
      </c>
      <c r="AN305">
        <f>IF(ISNUMBER(SEARCH(SUBSTITUTE(AN$1,RIGHT(AN$1,2),""),VLOOKUP($D305,素材!$1:$1016,COLUMN($F$1),FALSE))),VLOOKUP($C305,武器!$1:$998,COLUMN($O$1),FALSE)*VLOOKUP($D305,素材!$1:$1016,COLUMN($E$1),FALSE)/(LEN(VLOOKUP($D305,素材!$1:$1016,COLUMN($F$1),FALSE)) - LEN(SUBSTITUTE(VLOOKUP($D305,素材!$1:$1016,COLUMN($F$1),FALSE), "・", 0)) + 1), 0)</f>
        <v>0</v>
      </c>
      <c r="AO305">
        <f>IF(ISNUMBER(SEARCH(SUBSTITUTE(AO$1,RIGHT(AO$1,2),""),VLOOKUP($D305,素材!$1:$1016,COLUMN($F$1),FALSE))),VLOOKUP($C305,武器!$1:$998,COLUMN($O$1),FALSE)*VLOOKUP($D305,素材!$1:$1016,COLUMN($E$1),FALSE)/(LEN(VLOOKUP($D305,素材!$1:$1016,COLUMN($F$1),FALSE)) - LEN(SUBSTITUTE(VLOOKUP($D305,素材!$1:$1016,COLUMN($F$1),FALSE), "・", 0)) + 1), 0)</f>
        <v>0</v>
      </c>
      <c r="AP305">
        <f>IF(ISNUMBER(SEARCH(SUBSTITUTE(AP$1,RIGHT(AP$1,2),""),VLOOKUP($D305,素材!$1:$1016,COLUMN($F$1),FALSE))),VLOOKUP($C305,武器!$1:$998,COLUMN($O$1),FALSE)*VLOOKUP($D305,素材!$1:$1016,COLUMN($E$1),FALSE)/(LEN(VLOOKUP($D305,素材!$1:$1016,COLUMN($F$1),FALSE)) - LEN(SUBSTITUTE(VLOOKUP($D305,素材!$1:$1016,COLUMN($F$1),FALSE), "・", 0)) + 1), 0)</f>
        <v>0</v>
      </c>
      <c r="AQ305">
        <f>IF(ISNUMBER(SEARCH(SUBSTITUTE(AQ$1,RIGHT(AQ$1,2),""),VLOOKUP($D305,素材!$1:$1016,COLUMN($F$1),FALSE))),VLOOKUP($C305,武器!$1:$998,COLUMN($O$1),FALSE)*VLOOKUP($D305,素材!$1:$1016,COLUMN($E$1),FALSE)/(LEN(VLOOKUP($D305,素材!$1:$1016,COLUMN($F$1),FALSE)) - LEN(SUBSTITUTE(VLOOKUP($D305,素材!$1:$1016,COLUMN($F$1),FALSE), "・", 0)) + 1), 0)</f>
        <v>0</v>
      </c>
      <c r="AR305">
        <f>IF(ISNUMBER(SEARCH(SUBSTITUTE(AR$1,RIGHT(AR$1,2),""),VLOOKUP($D305,素材!$1:$1016,COLUMN($F$1),FALSE))),VLOOKUP($C305,武器!$1:$998,COLUMN($O$1),FALSE)*VLOOKUP($D305,素材!$1:$1016,COLUMN($E$1),FALSE)/(LEN(VLOOKUP($D305,素材!$1:$1016,COLUMN($F$1),FALSE)) - LEN(SUBSTITUTE(VLOOKUP($D305,素材!$1:$1016,COLUMN($F$1),FALSE), "・", 0)) + 1), 0)</f>
        <v>0</v>
      </c>
      <c r="AS305">
        <f>IF(ISNUMBER(SEARCH(SUBSTITUTE(AS$1,RIGHT(AS$1,2),""),VLOOKUP($D305,素材!$1:$1016,COLUMN($F$1),FALSE))),VLOOKUP($C305,武器!$1:$998,COLUMN($O$1),FALSE)*VLOOKUP($D305,素材!$1:$1016,COLUMN($E$1),FALSE)/(LEN(VLOOKUP($D305,素材!$1:$1016,COLUMN($F$1),FALSE)) - LEN(SUBSTITUTE(VLOOKUP($D305,素材!$1:$1016,COLUMN($F$1),FALSE), "・", 0)) + 1), 0)</f>
        <v>0</v>
      </c>
      <c r="AT305">
        <f>IF(ISNUMBER(SEARCH(SUBSTITUTE(AT$1,RIGHT(AT$1,2),""),VLOOKUP($D305,素材!$1:$1016,COLUMN($F$1),FALSE))),VLOOKUP($C305,武器!$1:$998,COLUMN($O$1),FALSE)*VLOOKUP($D305,素材!$1:$1016,COLUMN($E$1),FALSE)/(LEN(VLOOKUP($D305,素材!$1:$1016,COLUMN($F$1),FALSE)) - LEN(SUBSTITUTE(VLOOKUP($D305,素材!$1:$1016,COLUMN($F$1),FALSE), "・", 0)) + 1), 0)</f>
        <v>0</v>
      </c>
      <c r="AU305">
        <f>IF(ISNUMBER(SEARCH(SUBSTITUTE(AU$1,RIGHT(AU$1,2),""),VLOOKUP($D305,素材!$1:$1016,COLUMN($F$1),FALSE))),VLOOKUP($C305,武器!$1:$998,COLUMN($O$1),FALSE)*VLOOKUP($D305,素材!$1:$1016,COLUMN($E$1),FALSE)/(LEN(VLOOKUP($D305,素材!$1:$1016,COLUMN($F$1),FALSE)) - LEN(SUBSTITUTE(VLOOKUP($D305,素材!$1:$1016,COLUMN($F$1),FALSE), "・", 0)) + 1), 0)</f>
        <v>0</v>
      </c>
      <c r="AV305">
        <f>IF(ISNUMBER(SEARCH(SUBSTITUTE(AV$1,RIGHT(AV$1,2),""),VLOOKUP($D305,素材!$1:$1016,COLUMN($F$1),FALSE))),VLOOKUP($C305,武器!$1:$998,COLUMN($O$1),FALSE)*VLOOKUP($D305,素材!$1:$1016,COLUMN($E$1),FALSE)/(LEN(VLOOKUP($D305,素材!$1:$1016,COLUMN($F$1),FALSE)) - LEN(SUBSTITUTE(VLOOKUP($D305,素材!$1:$1016,COLUMN($F$1),FALSE), "・", 0)) + 1), 0)</f>
        <v>0</v>
      </c>
      <c r="AW305">
        <f>IF(ISNUMBER(SEARCH(SUBSTITUTE(AW$1,RIGHT(AW$1,2),""),VLOOKUP($D305,素材!$1:$1016,COLUMN($F$1),FALSE))),VLOOKUP($C305,武器!$1:$998,COLUMN($O$1),FALSE)*VLOOKUP($D305,素材!$1:$1016,COLUMN($E$1),FALSE)/(LEN(VLOOKUP($D305,素材!$1:$1016,COLUMN($F$1),FALSE)) - LEN(SUBSTITUTE(VLOOKUP($D305,素材!$1:$1016,COLUMN($F$1),FALSE), "・", 0)) + 1), 0)</f>
        <v>0</v>
      </c>
      <c r="AX305">
        <f>IF(ISNUMBER(SEARCH(SUBSTITUTE(AX$1,RIGHT(AX$1,2),""),VLOOKUP($D305,素材!$1:$1016,COLUMN($F$1),FALSE))),VLOOKUP($C305,武器!$1:$998,COLUMN($O$1),FALSE)*VLOOKUP($D305,素材!$1:$1016,COLUMN($E$1),FALSE)/(LEN(VLOOKUP($D305,素材!$1:$1016,COLUMN($F$1),FALSE)) - LEN(SUBSTITUTE(VLOOKUP($D305,素材!$1:$1016,COLUMN($F$1),FALSE), "・", 0)) + 1), 0)</f>
        <v>0</v>
      </c>
      <c r="AY305">
        <f>IF(ISNUMBER(SEARCH(SUBSTITUTE(AY$1,RIGHT(AY$1,2),""),VLOOKUP($D305,素材!$1:$1016,COLUMN($F$1),FALSE))),VLOOKUP($C305,武器!$1:$998,COLUMN($O$1),FALSE)*VLOOKUP($D305,素材!$1:$1016,COLUMN($E$1),FALSE)/(LEN(VLOOKUP($D305,素材!$1:$1016,COLUMN($F$1),FALSE)) - LEN(SUBSTITUTE(VLOOKUP($D305,素材!$1:$1016,COLUMN($F$1),FALSE), "・", 0)) + 1), 0)</f>
        <v>0</v>
      </c>
      <c r="AZ305">
        <f>IF(ISNUMBER(SEARCH(SUBSTITUTE(AZ$1,RIGHT(AZ$1,2),""),VLOOKUP($D305,素材!$1:$1016,COLUMN($F$1),FALSE))),VLOOKUP($C305,武器!$1:$998,COLUMN($O$1),FALSE)*VLOOKUP($D305,素材!$1:$1016,COLUMN($E$1),FALSE)/(LEN(VLOOKUP($D305,素材!$1:$1016,COLUMN($F$1),FALSE)) - LEN(SUBSTITUTE(VLOOKUP($D305,素材!$1:$1016,COLUMN($F$1),FALSE), "・", 0)) + 1), 0)</f>
        <v>0</v>
      </c>
      <c r="BA305">
        <f>IF(ISNUMBER(SEARCH(SUBSTITUTE(BA$1,RIGHT(BA$1,2),""),VLOOKUP($D305,素材!$1:$1016,COLUMN($F$1),FALSE))),VLOOKUP($C305,武器!$1:$998,COLUMN($O$1),FALSE)*VLOOKUP($D305,素材!$1:$1016,COLUMN($E$1),FALSE)/(LEN(VLOOKUP($D305,素材!$1:$1016,COLUMN($F$1),FALSE)) - LEN(SUBSTITUTE(VLOOKUP($D305,素材!$1:$1016,COLUMN($F$1),FALSE), "・", 0)) + 1), 0)</f>
        <v>0</v>
      </c>
      <c r="BB305">
        <f>IF(ISNUMBER(SEARCH(SUBSTITUTE(BB$1,RIGHT(BB$1,2),""),VLOOKUP($D305,素材!$1:$1016,COLUMN($F$1),FALSE))),VLOOKUP($C305,武器!$1:$998,COLUMN($O$1),FALSE)*VLOOKUP($D305,素材!$1:$1016,COLUMN($E$1),FALSE)/(LEN(VLOOKUP($D305,素材!$1:$1016,COLUMN($F$1),FALSE)) - LEN(SUBSTITUTE(VLOOKUP($D305,素材!$1:$1016,COLUMN($F$1),FALSE), "・", 0)) + 1), 0)</f>
        <v>0</v>
      </c>
      <c r="BC305">
        <f>IF(ISNUMBER(SEARCH(SUBSTITUTE(BC$1,RIGHT(BC$1,2),""),VLOOKUP($D305,素材!$1:$1016,COLUMN($F$1),FALSE))),VLOOKUP($C305,武器!$1:$998,COLUMN($O$1),FALSE)*VLOOKUP($D305,素材!$1:$1016,COLUMN($E$1),FALSE)/(LEN(VLOOKUP($D305,素材!$1:$1016,COLUMN($F$1),FALSE)) - LEN(SUBSTITUTE(VLOOKUP($D305,素材!$1:$1016,COLUMN($F$1),FALSE), "・", 0)) + 1), 0)</f>
        <v>0</v>
      </c>
      <c r="BD305">
        <f>IF(ISNUMBER(SEARCH(SUBSTITUTE(BD$1,RIGHT(BD$1,2),""),VLOOKUP($D305,素材!$1:$1016,COLUMN($F$1),FALSE))),VLOOKUP($C305,武器!$1:$998,COLUMN($O$1),FALSE)*VLOOKUP($D305,素材!$1:$1016,COLUMN($E$1),FALSE)/(LEN(VLOOKUP($D305,素材!$1:$1016,COLUMN($F$1),FALSE)) - LEN(SUBSTITUTE(VLOOKUP($D305,素材!$1:$1016,COLUMN($F$1),FALSE), "・", 0)) + 1), 0)</f>
        <v>0</v>
      </c>
      <c r="BE305">
        <f>IF(ISNUMBER(SEARCH(SUBSTITUTE(BE$1,RIGHT(BE$1,2),""),VLOOKUP($D305,素材!$1:$1016,COLUMN($F$1),FALSE))),VLOOKUP($C305,武器!$1:$998,COLUMN($O$1),FALSE)*VLOOKUP($D305,素材!$1:$1016,COLUMN($E$1),FALSE)/(LEN(VLOOKUP($D305,素材!$1:$1016,COLUMN($F$1),FALSE)) - LEN(SUBSTITUTE(VLOOKUP($D305,素材!$1:$1016,COLUMN($F$1),FALSE), "・", 0)) + 1), 0)</f>
        <v>0</v>
      </c>
      <c r="CL305">
        <f>SUM(G305:I305)</f>
        <v>0</v>
      </c>
      <c r="CM305" s="22" t="str">
        <f>IF(E305="武器",IF(J305-1&gt;SUM(G305:I305),"盾",IF(MAX(G305:I305)=G305,"切断",IF(MAX(G305:I305)=H305,"貫通",IF(MAX(G305:I305)=I305,"打撃","射撃")))),E305)&amp;".webp"</f>
        <v>.webp</v>
      </c>
      <c r="CN305" t="str">
        <f>IFERROR(VLOOKUP($C305,武器!$1:$998,COLUMN(V$1),FALSE)*VLOOKUP($D305,素材!$1:$1016,COLUMN(N$1),FALSE)+IF(CI305="",0,VLOOKUP($CI305,装強!$1:$1008,COLUMN($CK$1),FALSE)),"")</f>
        <v/>
      </c>
      <c r="CO305" t="e">
        <f>VLOOKUP(D305,素材!$A:$O,COLUMN(素材!O$1),FALSE)</f>
        <v>#N/A</v>
      </c>
      <c r="CP305" t="e">
        <f>VLOOKUP(C305,武器!$A:$W,COLUMN(武器!W$1),FALSE)</f>
        <v>#N/A</v>
      </c>
      <c r="CR305" t="str">
        <f t="shared" si="33"/>
        <v>e_305</v>
      </c>
      <c r="CS305" t="e">
        <f t="shared" si="34"/>
        <v>#VALUE!</v>
      </c>
    </row>
    <row r="306" spans="1:97" hidden="1" outlineLevel="1" x14ac:dyDescent="0.4">
      <c r="A306" t="str">
        <f>IF(CI306="",D306&amp;"の"&amp;C306,CI306&amp;"の"&amp;C306)</f>
        <v>の</v>
      </c>
      <c r="B306" t="str">
        <f>IFERROR(IF(CI306="",VLOOKUP($D306,素材!$1:$1016,COLUMN($B$1),FALSE)&amp;"・"&amp;VLOOKUP($C306,武器!$1:$998,COLUMN(B$1),FALSE),VLOOKUP($CI306,装強!$1:$1008,COLUMN($B$1),FALSE)&amp;"・"&amp;VLOOKUP($C306,武器!$1:$998,COLUMN(B$1),FALSE)),"")</f>
        <v/>
      </c>
      <c r="C306" s="24"/>
      <c r="D306" s="24"/>
      <c r="E306" t="str">
        <f>IFERROR(VLOOKUP(C306,武器!$1:$998,COLUMN(C$1),FALSE),"")</f>
        <v/>
      </c>
      <c r="F306" t="str">
        <f>IFERROR(ROUNDDOWN((VLOOKUP($C306,武器!$1:$998,COLUMN(D$1),FALSE)+IFERROR(VLOOKUP($CI306,装強!$1:$999,COLUMN(F$1),FALSE),0))*VLOOKUP($D306,素材!$1:$1016,COLUMN(D$1),FALSE),0),"")</f>
        <v/>
      </c>
      <c r="G306" t="str">
        <f>IFERROR(ROUNDDOWN((VLOOKUP($C306,武器!$1:$998,COLUMN(E$1),FALSE)+IFERROR(VLOOKUP($CI306,装強!$1:$999,COLUMN(G$1),FALSE),0))*VLOOKUP($D306,素材!$1:$1016,COLUMN($E$1),FALSE),0),"")</f>
        <v/>
      </c>
      <c r="H306" t="str">
        <f>IFERROR(ROUNDDOWN((VLOOKUP($C306,武器!$1:$998,COLUMN(F$1),FALSE)+IFERROR(VLOOKUP($CI306,装強!$1:$999,COLUMN(H$1),FALSE),0))*VLOOKUP($D306,素材!$1:$1016,COLUMN($E$1),FALSE),0),"")</f>
        <v/>
      </c>
      <c r="I306" t="str">
        <f>IFERROR(ROUNDDOWN((VLOOKUP($C306,武器!$1:$998,COLUMN(G$1),FALSE)+IFERROR(VLOOKUP($CI306,装強!$1:$999,COLUMN(I$1),FALSE),0))*VLOOKUP($D306,素材!$1:$1016,COLUMN($E$1),FALSE),0),"")</f>
        <v/>
      </c>
      <c r="J306" t="str">
        <f>IFERROR(ROUNDDOWN((VLOOKUP($C306,武器!$1:$998,COLUMN(H$1),FALSE)+IFERROR(VLOOKUP($CI306,装強!$1:$999,COLUMN(J$1),FALSE),0))*VLOOKUP($D306,素材!$1:$1016,COLUMN($E$1),FALSE),0),"")</f>
        <v/>
      </c>
      <c r="K306" t="str">
        <f>IFERROR(ROUNDDOWN((VLOOKUP($C306,武器!$1:$998,COLUMN(I$1),FALSE)+IFERROR(VLOOKUP($CI306,装強!$1:$999,COLUMN(K$1),FALSE),0))*VLOOKUP($D306,素材!$1:$1016,COLUMN($E$1),FALSE),0),"")</f>
        <v/>
      </c>
      <c r="L306" t="str">
        <f>IFERROR(VLOOKUP($D306,素材!$1:$1016,COLUMN($F$1),FALSE),"")</f>
        <v/>
      </c>
      <c r="M306" t="str">
        <f>IFERROR(VLOOKUP($C306,武器!$1:$998,COLUMN(AA$1),FALSE)*VLOOKUP($D306,素材!$1:$1016,COLUMN($G$1),FALSE),"")</f>
        <v/>
      </c>
      <c r="N306" t="str">
        <f>IFERROR(VLOOKUP($C306,武器!$1:$998,COLUMN(I$1),FALSE),"")</f>
        <v/>
      </c>
      <c r="O306" s="23" t="str">
        <f>IFERROR((VLOOKUP($C306,武器!$1:$998,COLUMN(K$1),FALSE)+VLOOKUP($D306,素材!$1:$1016,COLUMN(H$1),FALSE))*100+IFERROR(VLOOKUP($CI306,装強!$1:$999,COLUMN(O$1),FALSE),0),"")</f>
        <v/>
      </c>
      <c r="P306" s="23" t="str">
        <f>IFERROR((VLOOKUP($C306,武器!$1:$998,COLUMN(L$1),FALSE)+VLOOKUP($D306,素材!$1:$1016,COLUMN(I$1),FALSE))*100+IFERROR(VLOOKUP($CI306,装強!$1:$999,COLUMN(P$1),FALSE),0),"")</f>
        <v/>
      </c>
      <c r="Q306" t="str">
        <f>IFERROR(ROUNDUP(VLOOKUP($C306,武器!$1:$998,COLUMN(M$1),FALSE)*(VLOOKUP($D306,素材!$1:$1002,COLUMN(D$1),FALSE)/100),1),"")</f>
        <v/>
      </c>
      <c r="R306" t="str">
        <f>IFERROR(ROUNDUP(VLOOKUP($C306,武器!$1:$998,COLUMN(N$1),FALSE)*(VLOOKUP($D306,素材!$1:$1002,COLUMN(D$1),FALSE)/100),1),"")</f>
        <v/>
      </c>
      <c r="S306" t="str">
        <f>IFERROR(VLOOKUP($C306,武器!$1:$998,COLUMN(P$1),FALSE),"")</f>
        <v/>
      </c>
      <c r="T306" t="str">
        <f>IFERROR(VLOOKUP($C306,武器!$1:$998,COLUMN(Q$1),FALSE),"")</f>
        <v/>
      </c>
      <c r="U306" t="str">
        <f>IFERROR(VLOOKUP($C306,武器!$1:$998,COLUMN(R$1),FALSE),"")</f>
        <v/>
      </c>
      <c r="V306" t="str">
        <f>IFERROR(VLOOKUP($C306,武器!$1:$998,COLUMN(Q$1),FALSE),"")</f>
        <v/>
      </c>
      <c r="W306" t="str">
        <f>IFERROR(VLOOKUP($C306,武器!$1:$998,COLUMN(T$1),FALSE),"")</f>
        <v/>
      </c>
      <c r="Y306" t="str">
        <f>IFERROR(VLOOKUP($C306,武器!$1:$998,COLUMN(U$1),FALSE),"")</f>
        <v/>
      </c>
      <c r="Z306" t="str">
        <f>IFERROR(ROUNDUP(VLOOKUP($C306,武器!$1:$998,COLUMN(O$1),FALSE)*VLOOKUP($D306,素材!$1:$1016,COLUMN(E$1),FALSE),1),"")</f>
        <v/>
      </c>
      <c r="AA306">
        <f>IF(ISNUMBER(SEARCH(SUBSTITUTE(AA$1,RIGHT(AA$1,2),""),VLOOKUP($D306,素材!$1:$1016,COLUMN($F$1),FALSE))),VLOOKUP($C306,武器!$1:$998,COLUMN($O$1),FALSE)*VLOOKUP($D306,素材!$1:$1016,COLUMN($E$1),FALSE)/(LEN(VLOOKUP($D306,素材!$1:$1016,COLUMN($F$1),FALSE)) - LEN(SUBSTITUTE(VLOOKUP($D306,素材!$1:$1016,COLUMN($F$1),FALSE), "・", 0)) + 1), 0)</f>
        <v>0</v>
      </c>
      <c r="AB306">
        <f>IF(ISNUMBER(SEARCH(SUBSTITUTE(AB$1,RIGHT(AB$1,2),""),VLOOKUP($D306,素材!$1:$1016,COLUMN($F$1),FALSE))),VLOOKUP($C306,武器!$1:$998,COLUMN($O$1),FALSE)*VLOOKUP($D306,素材!$1:$1016,COLUMN($E$1),FALSE)/(LEN(VLOOKUP($D306,素材!$1:$1016,COLUMN($F$1),FALSE)) - LEN(SUBSTITUTE(VLOOKUP($D306,素材!$1:$1016,COLUMN($F$1),FALSE), "・", 0)) + 1), 0)</f>
        <v>0</v>
      </c>
      <c r="AC306">
        <f>IF(ISNUMBER(SEARCH(SUBSTITUTE(AC$1,RIGHT(AC$1,2),""),VLOOKUP($D306,素材!$1:$1016,COLUMN($F$1),FALSE))),VLOOKUP($C306,武器!$1:$998,COLUMN($O$1),FALSE)*VLOOKUP($D306,素材!$1:$1016,COLUMN($E$1),FALSE)/(LEN(VLOOKUP($D306,素材!$1:$1016,COLUMN($F$1),FALSE)) - LEN(SUBSTITUTE(VLOOKUP($D306,素材!$1:$1016,COLUMN($F$1),FALSE), "・", 0)) + 1), 0)</f>
        <v>0</v>
      </c>
      <c r="AD306">
        <f>IF(ISNUMBER(SEARCH(SUBSTITUTE(AD$1,RIGHT(AD$1,2),""),VLOOKUP($D306,素材!$1:$1016,COLUMN($F$1),FALSE))),VLOOKUP($C306,武器!$1:$998,COLUMN($O$1),FALSE)*VLOOKUP($D306,素材!$1:$1016,COLUMN($E$1),FALSE)/(LEN(VLOOKUP($D306,素材!$1:$1016,COLUMN($F$1),FALSE)) - LEN(SUBSTITUTE(VLOOKUP($D306,素材!$1:$1016,COLUMN($F$1),FALSE), "・", 0)) + 1), 0)</f>
        <v>0</v>
      </c>
      <c r="AE306">
        <f>IF(ISNUMBER(SEARCH(SUBSTITUTE(AE$1,RIGHT(AE$1,2),""),VLOOKUP($D306,素材!$1:$1016,COLUMN($F$1),FALSE))),VLOOKUP($C306,武器!$1:$998,COLUMN($O$1),FALSE)*VLOOKUP($D306,素材!$1:$1016,COLUMN($E$1),FALSE)/(LEN(VLOOKUP($D306,素材!$1:$1016,COLUMN($F$1),FALSE)) - LEN(SUBSTITUTE(VLOOKUP($D306,素材!$1:$1016,COLUMN($F$1),FALSE), "・", 0)) + 1), 0)</f>
        <v>0</v>
      </c>
      <c r="AF306">
        <f>IF(ISNUMBER(SEARCH(SUBSTITUTE(AF$1,RIGHT(AF$1,2),""),VLOOKUP($D306,素材!$1:$1016,COLUMN($F$1),FALSE))),VLOOKUP($C306,武器!$1:$998,COLUMN($O$1),FALSE)*VLOOKUP($D306,素材!$1:$1016,COLUMN($E$1),FALSE)/(LEN(VLOOKUP($D306,素材!$1:$1016,COLUMN($F$1),FALSE)) - LEN(SUBSTITUTE(VLOOKUP($D306,素材!$1:$1016,COLUMN($F$1),FALSE), "・", 0)) + 1), 0)</f>
        <v>0</v>
      </c>
      <c r="AG306">
        <f>IF(ISNUMBER(SEARCH(SUBSTITUTE(AG$1,RIGHT(AG$1,2),""),VLOOKUP($D306,素材!$1:$1016,COLUMN($F$1),FALSE))),VLOOKUP($C306,武器!$1:$998,COLUMN($O$1),FALSE)*VLOOKUP($D306,素材!$1:$1016,COLUMN($E$1),FALSE)/(LEN(VLOOKUP($D306,素材!$1:$1016,COLUMN($F$1),FALSE)) - LEN(SUBSTITUTE(VLOOKUP($D306,素材!$1:$1016,COLUMN($F$1),FALSE), "・", 0)) + 1), 0)</f>
        <v>0</v>
      </c>
      <c r="AH306">
        <f>IF(ISNUMBER(SEARCH(SUBSTITUTE(AH$1,RIGHT(AH$1,2),""),VLOOKUP($D306,素材!$1:$1016,COLUMN($F$1),FALSE))),VLOOKUP($C306,武器!$1:$998,COLUMN($O$1),FALSE)*VLOOKUP($D306,素材!$1:$1016,COLUMN($E$1),FALSE)/(LEN(VLOOKUP($D306,素材!$1:$1016,COLUMN($F$1),FALSE)) - LEN(SUBSTITUTE(VLOOKUP($D306,素材!$1:$1016,COLUMN($F$1),FALSE), "・", 0)) + 1), 0)</f>
        <v>0</v>
      </c>
      <c r="AI306">
        <f>IF(ISNUMBER(SEARCH(SUBSTITUTE(AI$1,RIGHT(AI$1,2),""),VLOOKUP($D306,素材!$1:$1016,COLUMN($F$1),FALSE))),VLOOKUP($C306,武器!$1:$998,COLUMN($O$1),FALSE)*VLOOKUP($D306,素材!$1:$1016,COLUMN($E$1),FALSE)/(LEN(VLOOKUP($D306,素材!$1:$1016,COLUMN($F$1),FALSE)) - LEN(SUBSTITUTE(VLOOKUP($D306,素材!$1:$1016,COLUMN($F$1),FALSE), "・", 0)) + 1), 0)</f>
        <v>0</v>
      </c>
      <c r="AJ306">
        <f>IF(ISNUMBER(SEARCH(SUBSTITUTE(AJ$1,RIGHT(AJ$1,2),""),VLOOKUP($D306,素材!$1:$1016,COLUMN($F$1),FALSE))),VLOOKUP($C306,武器!$1:$998,COLUMN($O$1),FALSE)*VLOOKUP($D306,素材!$1:$1016,COLUMN($E$1),FALSE)/(LEN(VLOOKUP($D306,素材!$1:$1016,COLUMN($F$1),FALSE)) - LEN(SUBSTITUTE(VLOOKUP($D306,素材!$1:$1016,COLUMN($F$1),FALSE), "・", 0)) + 1), 0)</f>
        <v>0</v>
      </c>
      <c r="AK306">
        <f>IF(ISNUMBER(SEARCH(SUBSTITUTE(AK$1,RIGHT(AK$1,2),""),VLOOKUP($D306,素材!$1:$1016,COLUMN($F$1),FALSE))),VLOOKUP($C306,武器!$1:$998,COLUMN($O$1),FALSE)*VLOOKUP($D306,素材!$1:$1016,COLUMN($E$1),FALSE)/(LEN(VLOOKUP($D306,素材!$1:$1016,COLUMN($F$1),FALSE)) - LEN(SUBSTITUTE(VLOOKUP($D306,素材!$1:$1016,COLUMN($F$1),FALSE), "・", 0)) + 1), 0)</f>
        <v>0</v>
      </c>
      <c r="AL306">
        <f>IF(ISNUMBER(SEARCH(SUBSTITUTE(AL$1,RIGHT(AL$1,2),""),VLOOKUP($D306,素材!$1:$1016,COLUMN($F$1),FALSE))),VLOOKUP($C306,武器!$1:$998,COLUMN($O$1),FALSE)*VLOOKUP($D306,素材!$1:$1016,COLUMN($E$1),FALSE)/(LEN(VLOOKUP($D306,素材!$1:$1016,COLUMN($F$1),FALSE)) - LEN(SUBSTITUTE(VLOOKUP($D306,素材!$1:$1016,COLUMN($F$1),FALSE), "・", 0)) + 1), 0)</f>
        <v>0</v>
      </c>
      <c r="AM306">
        <f>IF(ISNUMBER(SEARCH(SUBSTITUTE(AM$1,RIGHT(AM$1,2),""),VLOOKUP($D306,素材!$1:$1016,COLUMN($F$1),FALSE))),VLOOKUP($C306,武器!$1:$998,COLUMN($O$1),FALSE)*VLOOKUP($D306,素材!$1:$1016,COLUMN($E$1),FALSE)/(LEN(VLOOKUP($D306,素材!$1:$1016,COLUMN($F$1),FALSE)) - LEN(SUBSTITUTE(VLOOKUP($D306,素材!$1:$1016,COLUMN($F$1),FALSE), "・", 0)) + 1), 0)</f>
        <v>0</v>
      </c>
      <c r="AN306">
        <f>IF(ISNUMBER(SEARCH(SUBSTITUTE(AN$1,RIGHT(AN$1,2),""),VLOOKUP($D306,素材!$1:$1016,COLUMN($F$1),FALSE))),VLOOKUP($C306,武器!$1:$998,COLUMN($O$1),FALSE)*VLOOKUP($D306,素材!$1:$1016,COLUMN($E$1),FALSE)/(LEN(VLOOKUP($D306,素材!$1:$1016,COLUMN($F$1),FALSE)) - LEN(SUBSTITUTE(VLOOKUP($D306,素材!$1:$1016,COLUMN($F$1),FALSE), "・", 0)) + 1), 0)</f>
        <v>0</v>
      </c>
      <c r="AO306">
        <f>IF(ISNUMBER(SEARCH(SUBSTITUTE(AO$1,RIGHT(AO$1,2),""),VLOOKUP($D306,素材!$1:$1016,COLUMN($F$1),FALSE))),VLOOKUP($C306,武器!$1:$998,COLUMN($O$1),FALSE)*VLOOKUP($D306,素材!$1:$1016,COLUMN($E$1),FALSE)/(LEN(VLOOKUP($D306,素材!$1:$1016,COLUMN($F$1),FALSE)) - LEN(SUBSTITUTE(VLOOKUP($D306,素材!$1:$1016,COLUMN($F$1),FALSE), "・", 0)) + 1), 0)</f>
        <v>0</v>
      </c>
      <c r="AP306">
        <f>IF(ISNUMBER(SEARCH(SUBSTITUTE(AP$1,RIGHT(AP$1,2),""),VLOOKUP($D306,素材!$1:$1016,COLUMN($F$1),FALSE))),VLOOKUP($C306,武器!$1:$998,COLUMN($O$1),FALSE)*VLOOKUP($D306,素材!$1:$1016,COLUMN($E$1),FALSE)/(LEN(VLOOKUP($D306,素材!$1:$1016,COLUMN($F$1),FALSE)) - LEN(SUBSTITUTE(VLOOKUP($D306,素材!$1:$1016,COLUMN($F$1),FALSE), "・", 0)) + 1), 0)</f>
        <v>0</v>
      </c>
      <c r="AQ306">
        <f>IF(ISNUMBER(SEARCH(SUBSTITUTE(AQ$1,RIGHT(AQ$1,2),""),VLOOKUP($D306,素材!$1:$1016,COLUMN($F$1),FALSE))),VLOOKUP($C306,武器!$1:$998,COLUMN($O$1),FALSE)*VLOOKUP($D306,素材!$1:$1016,COLUMN($E$1),FALSE)/(LEN(VLOOKUP($D306,素材!$1:$1016,COLUMN($F$1),FALSE)) - LEN(SUBSTITUTE(VLOOKUP($D306,素材!$1:$1016,COLUMN($F$1),FALSE), "・", 0)) + 1), 0)</f>
        <v>0</v>
      </c>
      <c r="AR306">
        <f>IF(ISNUMBER(SEARCH(SUBSTITUTE(AR$1,RIGHT(AR$1,2),""),VLOOKUP($D306,素材!$1:$1016,COLUMN($F$1),FALSE))),VLOOKUP($C306,武器!$1:$998,COLUMN($O$1),FALSE)*VLOOKUP($D306,素材!$1:$1016,COLUMN($E$1),FALSE)/(LEN(VLOOKUP($D306,素材!$1:$1016,COLUMN($F$1),FALSE)) - LEN(SUBSTITUTE(VLOOKUP($D306,素材!$1:$1016,COLUMN($F$1),FALSE), "・", 0)) + 1), 0)</f>
        <v>0</v>
      </c>
      <c r="AS306">
        <f>IF(ISNUMBER(SEARCH(SUBSTITUTE(AS$1,RIGHT(AS$1,2),""),VLOOKUP($D306,素材!$1:$1016,COLUMN($F$1),FALSE))),VLOOKUP($C306,武器!$1:$998,COLUMN($O$1),FALSE)*VLOOKUP($D306,素材!$1:$1016,COLUMN($E$1),FALSE)/(LEN(VLOOKUP($D306,素材!$1:$1016,COLUMN($F$1),FALSE)) - LEN(SUBSTITUTE(VLOOKUP($D306,素材!$1:$1016,COLUMN($F$1),FALSE), "・", 0)) + 1), 0)</f>
        <v>0</v>
      </c>
      <c r="AT306">
        <f>IF(ISNUMBER(SEARCH(SUBSTITUTE(AT$1,RIGHT(AT$1,2),""),VLOOKUP($D306,素材!$1:$1016,COLUMN($F$1),FALSE))),VLOOKUP($C306,武器!$1:$998,COLUMN($O$1),FALSE)*VLOOKUP($D306,素材!$1:$1016,COLUMN($E$1),FALSE)/(LEN(VLOOKUP($D306,素材!$1:$1016,COLUMN($F$1),FALSE)) - LEN(SUBSTITUTE(VLOOKUP($D306,素材!$1:$1016,COLUMN($F$1),FALSE), "・", 0)) + 1), 0)</f>
        <v>0</v>
      </c>
      <c r="AU306">
        <f>IF(ISNUMBER(SEARCH(SUBSTITUTE(AU$1,RIGHT(AU$1,2),""),VLOOKUP($D306,素材!$1:$1016,COLUMN($F$1),FALSE))),VLOOKUP($C306,武器!$1:$998,COLUMN($O$1),FALSE)*VLOOKUP($D306,素材!$1:$1016,COLUMN($E$1),FALSE)/(LEN(VLOOKUP($D306,素材!$1:$1016,COLUMN($F$1),FALSE)) - LEN(SUBSTITUTE(VLOOKUP($D306,素材!$1:$1016,COLUMN($F$1),FALSE), "・", 0)) + 1), 0)</f>
        <v>0</v>
      </c>
      <c r="AV306">
        <f>IF(ISNUMBER(SEARCH(SUBSTITUTE(AV$1,RIGHT(AV$1,2),""),VLOOKUP($D306,素材!$1:$1016,COLUMN($F$1),FALSE))),VLOOKUP($C306,武器!$1:$998,COLUMN($O$1),FALSE)*VLOOKUP($D306,素材!$1:$1016,COLUMN($E$1),FALSE)/(LEN(VLOOKUP($D306,素材!$1:$1016,COLUMN($F$1),FALSE)) - LEN(SUBSTITUTE(VLOOKUP($D306,素材!$1:$1016,COLUMN($F$1),FALSE), "・", 0)) + 1), 0)</f>
        <v>0</v>
      </c>
      <c r="AW306">
        <f>IF(ISNUMBER(SEARCH(SUBSTITUTE(AW$1,RIGHT(AW$1,2),""),VLOOKUP($D306,素材!$1:$1016,COLUMN($F$1),FALSE))),VLOOKUP($C306,武器!$1:$998,COLUMN($O$1),FALSE)*VLOOKUP($D306,素材!$1:$1016,COLUMN($E$1),FALSE)/(LEN(VLOOKUP($D306,素材!$1:$1016,COLUMN($F$1),FALSE)) - LEN(SUBSTITUTE(VLOOKUP($D306,素材!$1:$1016,COLUMN($F$1),FALSE), "・", 0)) + 1), 0)</f>
        <v>0</v>
      </c>
      <c r="AX306">
        <f>IF(ISNUMBER(SEARCH(SUBSTITUTE(AX$1,RIGHT(AX$1,2),""),VLOOKUP($D306,素材!$1:$1016,COLUMN($F$1),FALSE))),VLOOKUP($C306,武器!$1:$998,COLUMN($O$1),FALSE)*VLOOKUP($D306,素材!$1:$1016,COLUMN($E$1),FALSE)/(LEN(VLOOKUP($D306,素材!$1:$1016,COLUMN($F$1),FALSE)) - LEN(SUBSTITUTE(VLOOKUP($D306,素材!$1:$1016,COLUMN($F$1),FALSE), "・", 0)) + 1), 0)</f>
        <v>0</v>
      </c>
      <c r="AY306">
        <f>IF(ISNUMBER(SEARCH(SUBSTITUTE(AY$1,RIGHT(AY$1,2),""),VLOOKUP($D306,素材!$1:$1016,COLUMN($F$1),FALSE))),VLOOKUP($C306,武器!$1:$998,COLUMN($O$1),FALSE)*VLOOKUP($D306,素材!$1:$1016,COLUMN($E$1),FALSE)/(LEN(VLOOKUP($D306,素材!$1:$1016,COLUMN($F$1),FALSE)) - LEN(SUBSTITUTE(VLOOKUP($D306,素材!$1:$1016,COLUMN($F$1),FALSE), "・", 0)) + 1), 0)</f>
        <v>0</v>
      </c>
      <c r="AZ306">
        <f>IF(ISNUMBER(SEARCH(SUBSTITUTE(AZ$1,RIGHT(AZ$1,2),""),VLOOKUP($D306,素材!$1:$1016,COLUMN($F$1),FALSE))),VLOOKUP($C306,武器!$1:$998,COLUMN($O$1),FALSE)*VLOOKUP($D306,素材!$1:$1016,COLUMN($E$1),FALSE)/(LEN(VLOOKUP($D306,素材!$1:$1016,COLUMN($F$1),FALSE)) - LEN(SUBSTITUTE(VLOOKUP($D306,素材!$1:$1016,COLUMN($F$1),FALSE), "・", 0)) + 1), 0)</f>
        <v>0</v>
      </c>
      <c r="BA306">
        <f>IF(ISNUMBER(SEARCH(SUBSTITUTE(BA$1,RIGHT(BA$1,2),""),VLOOKUP($D306,素材!$1:$1016,COLUMN($F$1),FALSE))),VLOOKUP($C306,武器!$1:$998,COLUMN($O$1),FALSE)*VLOOKUP($D306,素材!$1:$1016,COLUMN($E$1),FALSE)/(LEN(VLOOKUP($D306,素材!$1:$1016,COLUMN($F$1),FALSE)) - LEN(SUBSTITUTE(VLOOKUP($D306,素材!$1:$1016,COLUMN($F$1),FALSE), "・", 0)) + 1), 0)</f>
        <v>0</v>
      </c>
      <c r="BB306">
        <f>IF(ISNUMBER(SEARCH(SUBSTITUTE(BB$1,RIGHT(BB$1,2),""),VLOOKUP($D306,素材!$1:$1016,COLUMN($F$1),FALSE))),VLOOKUP($C306,武器!$1:$998,COLUMN($O$1),FALSE)*VLOOKUP($D306,素材!$1:$1016,COLUMN($E$1),FALSE)/(LEN(VLOOKUP($D306,素材!$1:$1016,COLUMN($F$1),FALSE)) - LEN(SUBSTITUTE(VLOOKUP($D306,素材!$1:$1016,COLUMN($F$1),FALSE), "・", 0)) + 1), 0)</f>
        <v>0</v>
      </c>
      <c r="BC306">
        <f>IF(ISNUMBER(SEARCH(SUBSTITUTE(BC$1,RIGHT(BC$1,2),""),VLOOKUP($D306,素材!$1:$1016,COLUMN($F$1),FALSE))),VLOOKUP($C306,武器!$1:$998,COLUMN($O$1),FALSE)*VLOOKUP($D306,素材!$1:$1016,COLUMN($E$1),FALSE)/(LEN(VLOOKUP($D306,素材!$1:$1016,COLUMN($F$1),FALSE)) - LEN(SUBSTITUTE(VLOOKUP($D306,素材!$1:$1016,COLUMN($F$1),FALSE), "・", 0)) + 1), 0)</f>
        <v>0</v>
      </c>
      <c r="BD306">
        <f>IF(ISNUMBER(SEARCH(SUBSTITUTE(BD$1,RIGHT(BD$1,2),""),VLOOKUP($D306,素材!$1:$1016,COLUMN($F$1),FALSE))),VLOOKUP($C306,武器!$1:$998,COLUMN($O$1),FALSE)*VLOOKUP($D306,素材!$1:$1016,COLUMN($E$1),FALSE)/(LEN(VLOOKUP($D306,素材!$1:$1016,COLUMN($F$1),FALSE)) - LEN(SUBSTITUTE(VLOOKUP($D306,素材!$1:$1016,COLUMN($F$1),FALSE), "・", 0)) + 1), 0)</f>
        <v>0</v>
      </c>
      <c r="BE306">
        <f>IF(ISNUMBER(SEARCH(SUBSTITUTE(BE$1,RIGHT(BE$1,2),""),VLOOKUP($D306,素材!$1:$1016,COLUMN($F$1),FALSE))),VLOOKUP($C306,武器!$1:$998,COLUMN($O$1),FALSE)*VLOOKUP($D306,素材!$1:$1016,COLUMN($E$1),FALSE)/(LEN(VLOOKUP($D306,素材!$1:$1016,COLUMN($F$1),FALSE)) - LEN(SUBSTITUTE(VLOOKUP($D306,素材!$1:$1016,COLUMN($F$1),FALSE), "・", 0)) + 1), 0)</f>
        <v>0</v>
      </c>
      <c r="CL306">
        <f>SUM(G306:I306)</f>
        <v>0</v>
      </c>
      <c r="CM306" s="22" t="str">
        <f>IF(E306="武器",IF(J306-1&gt;SUM(G306:I306),"盾",IF(MAX(G306:I306)=G306,"切断",IF(MAX(G306:I306)=H306,"貫通",IF(MAX(G306:I306)=I306,"打撃","射撃")))),E306)&amp;".webp"</f>
        <v>.webp</v>
      </c>
      <c r="CN306" t="str">
        <f>IFERROR(VLOOKUP($C306,武器!$1:$998,COLUMN(V$1),FALSE)*VLOOKUP($D306,素材!$1:$1016,COLUMN(N$1),FALSE)+IF(CI306="",0,VLOOKUP($CI306,装強!$1:$1008,COLUMN($CK$1),FALSE)),"")</f>
        <v/>
      </c>
      <c r="CO306" t="e">
        <f>VLOOKUP(D306,素材!$A:$O,COLUMN(素材!O$1),FALSE)</f>
        <v>#N/A</v>
      </c>
      <c r="CP306" t="e">
        <f>VLOOKUP(C306,武器!$A:$W,COLUMN(武器!W$1),FALSE)</f>
        <v>#N/A</v>
      </c>
      <c r="CR306" t="str">
        <f t="shared" si="33"/>
        <v>e_306</v>
      </c>
      <c r="CS306" t="e">
        <f t="shared" si="34"/>
        <v>#VALUE!</v>
      </c>
    </row>
    <row r="307" spans="1:97" hidden="1" outlineLevel="1" x14ac:dyDescent="0.4">
      <c r="A307" t="str">
        <f>IF(CI307="",D307&amp;"の"&amp;C307,CI307&amp;"の"&amp;C307)</f>
        <v>の</v>
      </c>
      <c r="B307" t="str">
        <f>IFERROR(IF(CI307="",VLOOKUP($D307,素材!$1:$1016,COLUMN($B$1),FALSE)&amp;"・"&amp;VLOOKUP($C307,武器!$1:$998,COLUMN(B$1),FALSE),VLOOKUP($CI307,装強!$1:$1008,COLUMN($B$1),FALSE)&amp;"・"&amp;VLOOKUP($C307,武器!$1:$998,COLUMN(B$1),FALSE)),"")</f>
        <v/>
      </c>
      <c r="C307" s="24"/>
      <c r="D307" s="24"/>
      <c r="E307" t="str">
        <f>IFERROR(VLOOKUP(C307,武器!$1:$998,COLUMN(C$1),FALSE),"")</f>
        <v/>
      </c>
      <c r="F307" t="str">
        <f>IFERROR(ROUNDDOWN((VLOOKUP($C307,武器!$1:$998,COLUMN(D$1),FALSE)+IFERROR(VLOOKUP($CI307,装強!$1:$999,COLUMN(F$1),FALSE),0))*VLOOKUP($D307,素材!$1:$1016,COLUMN(D$1),FALSE),0),"")</f>
        <v/>
      </c>
      <c r="G307" t="str">
        <f>IFERROR(ROUNDDOWN((VLOOKUP($C307,武器!$1:$998,COLUMN(E$1),FALSE)+IFERROR(VLOOKUP($CI307,装強!$1:$999,COLUMN(G$1),FALSE),0))*VLOOKUP($D307,素材!$1:$1016,COLUMN($E$1),FALSE),0),"")</f>
        <v/>
      </c>
      <c r="H307" t="str">
        <f>IFERROR(ROUNDDOWN((VLOOKUP($C307,武器!$1:$998,COLUMN(F$1),FALSE)+IFERROR(VLOOKUP($CI307,装強!$1:$999,COLUMN(H$1),FALSE),0))*VLOOKUP($D307,素材!$1:$1016,COLUMN($E$1),FALSE),0),"")</f>
        <v/>
      </c>
      <c r="I307" t="str">
        <f>IFERROR(ROUNDDOWN((VLOOKUP($C307,武器!$1:$998,COLUMN(G$1),FALSE)+IFERROR(VLOOKUP($CI307,装強!$1:$999,COLUMN(I$1),FALSE),0))*VLOOKUP($D307,素材!$1:$1016,COLUMN($E$1),FALSE),0),"")</f>
        <v/>
      </c>
      <c r="J307" t="str">
        <f>IFERROR(ROUNDDOWN((VLOOKUP($C307,武器!$1:$998,COLUMN(H$1),FALSE)+IFERROR(VLOOKUP($CI307,装強!$1:$999,COLUMN(J$1),FALSE),0))*VLOOKUP($D307,素材!$1:$1016,COLUMN($E$1),FALSE),0),"")</f>
        <v/>
      </c>
      <c r="K307" t="str">
        <f>IFERROR(ROUNDDOWN((VLOOKUP($C307,武器!$1:$998,COLUMN(I$1),FALSE)+IFERROR(VLOOKUP($CI307,装強!$1:$999,COLUMN(K$1),FALSE),0))*VLOOKUP($D307,素材!$1:$1016,COLUMN($E$1),FALSE),0),"")</f>
        <v/>
      </c>
      <c r="L307" t="str">
        <f>IFERROR(VLOOKUP($D307,素材!$1:$1016,COLUMN($F$1),FALSE),"")</f>
        <v/>
      </c>
      <c r="M307" t="str">
        <f>IFERROR(VLOOKUP($C307,武器!$1:$998,COLUMN(AA$1),FALSE)*VLOOKUP($D307,素材!$1:$1016,COLUMN($G$1),FALSE),"")</f>
        <v/>
      </c>
      <c r="N307" t="str">
        <f>IFERROR(VLOOKUP($C307,武器!$1:$998,COLUMN(I$1),FALSE),"")</f>
        <v/>
      </c>
      <c r="O307" s="23" t="str">
        <f>IFERROR((VLOOKUP($C307,武器!$1:$998,COLUMN(K$1),FALSE)+VLOOKUP($D307,素材!$1:$1016,COLUMN(H$1),FALSE))*100+IFERROR(VLOOKUP($CI307,装強!$1:$999,COLUMN(O$1),FALSE),0),"")</f>
        <v/>
      </c>
      <c r="P307" s="23" t="str">
        <f>IFERROR((VLOOKUP($C307,武器!$1:$998,COLUMN(L$1),FALSE)+VLOOKUP($D307,素材!$1:$1016,COLUMN(I$1),FALSE))*100+IFERROR(VLOOKUP($CI307,装強!$1:$999,COLUMN(P$1),FALSE),0),"")</f>
        <v/>
      </c>
      <c r="Q307" t="str">
        <f>IFERROR(ROUNDUP(VLOOKUP($C307,武器!$1:$998,COLUMN(M$1),FALSE)*(VLOOKUP($D307,素材!$1:$1002,COLUMN(D$1),FALSE)/100),1),"")</f>
        <v/>
      </c>
      <c r="R307" t="str">
        <f>IFERROR(ROUNDUP(VLOOKUP($C307,武器!$1:$998,COLUMN(N$1),FALSE)*(VLOOKUP($D307,素材!$1:$1002,COLUMN(D$1),FALSE)/100),1),"")</f>
        <v/>
      </c>
      <c r="S307" t="str">
        <f>IFERROR(VLOOKUP($C307,武器!$1:$998,COLUMN(P$1),FALSE),"")</f>
        <v/>
      </c>
      <c r="T307" t="str">
        <f>IFERROR(VLOOKUP($C307,武器!$1:$998,COLUMN(Q$1),FALSE),"")</f>
        <v/>
      </c>
      <c r="U307" t="str">
        <f>IFERROR(VLOOKUP($C307,武器!$1:$998,COLUMN(R$1),FALSE),"")</f>
        <v/>
      </c>
      <c r="V307" t="str">
        <f>IFERROR(VLOOKUP($C307,武器!$1:$998,COLUMN(Q$1),FALSE),"")</f>
        <v/>
      </c>
      <c r="W307" t="str">
        <f>IFERROR(VLOOKUP($C307,武器!$1:$998,COLUMN(T$1),FALSE),"")</f>
        <v/>
      </c>
      <c r="Y307" t="str">
        <f>IFERROR(VLOOKUP($C307,武器!$1:$998,COLUMN(U$1),FALSE),"")</f>
        <v/>
      </c>
      <c r="Z307" t="str">
        <f>IFERROR(ROUNDUP(VLOOKUP($C307,武器!$1:$998,COLUMN(O$1),FALSE)*VLOOKUP($D307,素材!$1:$1016,COLUMN(E$1),FALSE),1),"")</f>
        <v/>
      </c>
      <c r="AA307">
        <f>IF(ISNUMBER(SEARCH(SUBSTITUTE(AA$1,RIGHT(AA$1,2),""),VLOOKUP($D307,素材!$1:$1016,COLUMN($F$1),FALSE))),VLOOKUP($C307,武器!$1:$998,COLUMN($O$1),FALSE)*VLOOKUP($D307,素材!$1:$1016,COLUMN($E$1),FALSE)/(LEN(VLOOKUP($D307,素材!$1:$1016,COLUMN($F$1),FALSE)) - LEN(SUBSTITUTE(VLOOKUP($D307,素材!$1:$1016,COLUMN($F$1),FALSE), "・", 0)) + 1), 0)</f>
        <v>0</v>
      </c>
      <c r="AB307">
        <f>IF(ISNUMBER(SEARCH(SUBSTITUTE(AB$1,RIGHT(AB$1,2),""),VLOOKUP($D307,素材!$1:$1016,COLUMN($F$1),FALSE))),VLOOKUP($C307,武器!$1:$998,COLUMN($O$1),FALSE)*VLOOKUP($D307,素材!$1:$1016,COLUMN($E$1),FALSE)/(LEN(VLOOKUP($D307,素材!$1:$1016,COLUMN($F$1),FALSE)) - LEN(SUBSTITUTE(VLOOKUP($D307,素材!$1:$1016,COLUMN($F$1),FALSE), "・", 0)) + 1), 0)</f>
        <v>0</v>
      </c>
      <c r="AC307">
        <f>IF(ISNUMBER(SEARCH(SUBSTITUTE(AC$1,RIGHT(AC$1,2),""),VLOOKUP($D307,素材!$1:$1016,COLUMN($F$1),FALSE))),VLOOKUP($C307,武器!$1:$998,COLUMN($O$1),FALSE)*VLOOKUP($D307,素材!$1:$1016,COLUMN($E$1),FALSE)/(LEN(VLOOKUP($D307,素材!$1:$1016,COLUMN($F$1),FALSE)) - LEN(SUBSTITUTE(VLOOKUP($D307,素材!$1:$1016,COLUMN($F$1),FALSE), "・", 0)) + 1), 0)</f>
        <v>0</v>
      </c>
      <c r="AD307">
        <f>IF(ISNUMBER(SEARCH(SUBSTITUTE(AD$1,RIGHT(AD$1,2),""),VLOOKUP($D307,素材!$1:$1016,COLUMN($F$1),FALSE))),VLOOKUP($C307,武器!$1:$998,COLUMN($O$1),FALSE)*VLOOKUP($D307,素材!$1:$1016,COLUMN($E$1),FALSE)/(LEN(VLOOKUP($D307,素材!$1:$1016,COLUMN($F$1),FALSE)) - LEN(SUBSTITUTE(VLOOKUP($D307,素材!$1:$1016,COLUMN($F$1),FALSE), "・", 0)) + 1), 0)</f>
        <v>0</v>
      </c>
      <c r="AE307">
        <f>IF(ISNUMBER(SEARCH(SUBSTITUTE(AE$1,RIGHT(AE$1,2),""),VLOOKUP($D307,素材!$1:$1016,COLUMN($F$1),FALSE))),VLOOKUP($C307,武器!$1:$998,COLUMN($O$1),FALSE)*VLOOKUP($D307,素材!$1:$1016,COLUMN($E$1),FALSE)/(LEN(VLOOKUP($D307,素材!$1:$1016,COLUMN($F$1),FALSE)) - LEN(SUBSTITUTE(VLOOKUP($D307,素材!$1:$1016,COLUMN($F$1),FALSE), "・", 0)) + 1), 0)</f>
        <v>0</v>
      </c>
      <c r="AF307">
        <f>IF(ISNUMBER(SEARCH(SUBSTITUTE(AF$1,RIGHT(AF$1,2),""),VLOOKUP($D307,素材!$1:$1016,COLUMN($F$1),FALSE))),VLOOKUP($C307,武器!$1:$998,COLUMN($O$1),FALSE)*VLOOKUP($D307,素材!$1:$1016,COLUMN($E$1),FALSE)/(LEN(VLOOKUP($D307,素材!$1:$1016,COLUMN($F$1),FALSE)) - LEN(SUBSTITUTE(VLOOKUP($D307,素材!$1:$1016,COLUMN($F$1),FALSE), "・", 0)) + 1), 0)</f>
        <v>0</v>
      </c>
      <c r="AG307">
        <f>IF(ISNUMBER(SEARCH(SUBSTITUTE(AG$1,RIGHT(AG$1,2),""),VLOOKUP($D307,素材!$1:$1016,COLUMN($F$1),FALSE))),VLOOKUP($C307,武器!$1:$998,COLUMN($O$1),FALSE)*VLOOKUP($D307,素材!$1:$1016,COLUMN($E$1),FALSE)/(LEN(VLOOKUP($D307,素材!$1:$1016,COLUMN($F$1),FALSE)) - LEN(SUBSTITUTE(VLOOKUP($D307,素材!$1:$1016,COLUMN($F$1),FALSE), "・", 0)) + 1), 0)</f>
        <v>0</v>
      </c>
      <c r="AH307">
        <f>IF(ISNUMBER(SEARCH(SUBSTITUTE(AH$1,RIGHT(AH$1,2),""),VLOOKUP($D307,素材!$1:$1016,COLUMN($F$1),FALSE))),VLOOKUP($C307,武器!$1:$998,COLUMN($O$1),FALSE)*VLOOKUP($D307,素材!$1:$1016,COLUMN($E$1),FALSE)/(LEN(VLOOKUP($D307,素材!$1:$1016,COLUMN($F$1),FALSE)) - LEN(SUBSTITUTE(VLOOKUP($D307,素材!$1:$1016,COLUMN($F$1),FALSE), "・", 0)) + 1), 0)</f>
        <v>0</v>
      </c>
      <c r="AI307">
        <f>IF(ISNUMBER(SEARCH(SUBSTITUTE(AI$1,RIGHT(AI$1,2),""),VLOOKUP($D307,素材!$1:$1016,COLUMN($F$1),FALSE))),VLOOKUP($C307,武器!$1:$998,COLUMN($O$1),FALSE)*VLOOKUP($D307,素材!$1:$1016,COLUMN($E$1),FALSE)/(LEN(VLOOKUP($D307,素材!$1:$1016,COLUMN($F$1),FALSE)) - LEN(SUBSTITUTE(VLOOKUP($D307,素材!$1:$1016,COLUMN($F$1),FALSE), "・", 0)) + 1), 0)</f>
        <v>0</v>
      </c>
      <c r="AJ307">
        <f>IF(ISNUMBER(SEARCH(SUBSTITUTE(AJ$1,RIGHT(AJ$1,2),""),VLOOKUP($D307,素材!$1:$1016,COLUMN($F$1),FALSE))),VLOOKUP($C307,武器!$1:$998,COLUMN($O$1),FALSE)*VLOOKUP($D307,素材!$1:$1016,COLUMN($E$1),FALSE)/(LEN(VLOOKUP($D307,素材!$1:$1016,COLUMN($F$1),FALSE)) - LEN(SUBSTITUTE(VLOOKUP($D307,素材!$1:$1016,COLUMN($F$1),FALSE), "・", 0)) + 1), 0)</f>
        <v>0</v>
      </c>
      <c r="AK307">
        <f>IF(ISNUMBER(SEARCH(SUBSTITUTE(AK$1,RIGHT(AK$1,2),""),VLOOKUP($D307,素材!$1:$1016,COLUMN($F$1),FALSE))),VLOOKUP($C307,武器!$1:$998,COLUMN($O$1),FALSE)*VLOOKUP($D307,素材!$1:$1016,COLUMN($E$1),FALSE)/(LEN(VLOOKUP($D307,素材!$1:$1016,COLUMN($F$1),FALSE)) - LEN(SUBSTITUTE(VLOOKUP($D307,素材!$1:$1016,COLUMN($F$1),FALSE), "・", 0)) + 1), 0)</f>
        <v>0</v>
      </c>
      <c r="AL307">
        <f>IF(ISNUMBER(SEARCH(SUBSTITUTE(AL$1,RIGHT(AL$1,2),""),VLOOKUP($D307,素材!$1:$1016,COLUMN($F$1),FALSE))),VLOOKUP($C307,武器!$1:$998,COLUMN($O$1),FALSE)*VLOOKUP($D307,素材!$1:$1016,COLUMN($E$1),FALSE)/(LEN(VLOOKUP($D307,素材!$1:$1016,COLUMN($F$1),FALSE)) - LEN(SUBSTITUTE(VLOOKUP($D307,素材!$1:$1016,COLUMN($F$1),FALSE), "・", 0)) + 1), 0)</f>
        <v>0</v>
      </c>
      <c r="AM307">
        <f>IF(ISNUMBER(SEARCH(SUBSTITUTE(AM$1,RIGHT(AM$1,2),""),VLOOKUP($D307,素材!$1:$1016,COLUMN($F$1),FALSE))),VLOOKUP($C307,武器!$1:$998,COLUMN($O$1),FALSE)*VLOOKUP($D307,素材!$1:$1016,COLUMN($E$1),FALSE)/(LEN(VLOOKUP($D307,素材!$1:$1016,COLUMN($F$1),FALSE)) - LEN(SUBSTITUTE(VLOOKUP($D307,素材!$1:$1016,COLUMN($F$1),FALSE), "・", 0)) + 1), 0)</f>
        <v>0</v>
      </c>
      <c r="AN307">
        <f>IF(ISNUMBER(SEARCH(SUBSTITUTE(AN$1,RIGHT(AN$1,2),""),VLOOKUP($D307,素材!$1:$1016,COLUMN($F$1),FALSE))),VLOOKUP($C307,武器!$1:$998,COLUMN($O$1),FALSE)*VLOOKUP($D307,素材!$1:$1016,COLUMN($E$1),FALSE)/(LEN(VLOOKUP($D307,素材!$1:$1016,COLUMN($F$1),FALSE)) - LEN(SUBSTITUTE(VLOOKUP($D307,素材!$1:$1016,COLUMN($F$1),FALSE), "・", 0)) + 1), 0)</f>
        <v>0</v>
      </c>
      <c r="AO307">
        <f>IF(ISNUMBER(SEARCH(SUBSTITUTE(AO$1,RIGHT(AO$1,2),""),VLOOKUP($D307,素材!$1:$1016,COLUMN($F$1),FALSE))),VLOOKUP($C307,武器!$1:$998,COLUMN($O$1),FALSE)*VLOOKUP($D307,素材!$1:$1016,COLUMN($E$1),FALSE)/(LEN(VLOOKUP($D307,素材!$1:$1016,COLUMN($F$1),FALSE)) - LEN(SUBSTITUTE(VLOOKUP($D307,素材!$1:$1016,COLUMN($F$1),FALSE), "・", 0)) + 1), 0)</f>
        <v>0</v>
      </c>
      <c r="AP307">
        <f>IF(ISNUMBER(SEARCH(SUBSTITUTE(AP$1,RIGHT(AP$1,2),""),VLOOKUP($D307,素材!$1:$1016,COLUMN($F$1),FALSE))),VLOOKUP($C307,武器!$1:$998,COLUMN($O$1),FALSE)*VLOOKUP($D307,素材!$1:$1016,COLUMN($E$1),FALSE)/(LEN(VLOOKUP($D307,素材!$1:$1016,COLUMN($F$1),FALSE)) - LEN(SUBSTITUTE(VLOOKUP($D307,素材!$1:$1016,COLUMN($F$1),FALSE), "・", 0)) + 1), 0)</f>
        <v>0</v>
      </c>
      <c r="AQ307">
        <f>IF(ISNUMBER(SEARCH(SUBSTITUTE(AQ$1,RIGHT(AQ$1,2),""),VLOOKUP($D307,素材!$1:$1016,COLUMN($F$1),FALSE))),VLOOKUP($C307,武器!$1:$998,COLUMN($O$1),FALSE)*VLOOKUP($D307,素材!$1:$1016,COLUMN($E$1),FALSE)/(LEN(VLOOKUP($D307,素材!$1:$1016,COLUMN($F$1),FALSE)) - LEN(SUBSTITUTE(VLOOKUP($D307,素材!$1:$1016,COLUMN($F$1),FALSE), "・", 0)) + 1), 0)</f>
        <v>0</v>
      </c>
      <c r="AR307">
        <f>IF(ISNUMBER(SEARCH(SUBSTITUTE(AR$1,RIGHT(AR$1,2),""),VLOOKUP($D307,素材!$1:$1016,COLUMN($F$1),FALSE))),VLOOKUP($C307,武器!$1:$998,COLUMN($O$1),FALSE)*VLOOKUP($D307,素材!$1:$1016,COLUMN($E$1),FALSE)/(LEN(VLOOKUP($D307,素材!$1:$1016,COLUMN($F$1),FALSE)) - LEN(SUBSTITUTE(VLOOKUP($D307,素材!$1:$1016,COLUMN($F$1),FALSE), "・", 0)) + 1), 0)</f>
        <v>0</v>
      </c>
      <c r="AS307">
        <f>IF(ISNUMBER(SEARCH(SUBSTITUTE(AS$1,RIGHT(AS$1,2),""),VLOOKUP($D307,素材!$1:$1016,COLUMN($F$1),FALSE))),VLOOKUP($C307,武器!$1:$998,COLUMN($O$1),FALSE)*VLOOKUP($D307,素材!$1:$1016,COLUMN($E$1),FALSE)/(LEN(VLOOKUP($D307,素材!$1:$1016,COLUMN($F$1),FALSE)) - LEN(SUBSTITUTE(VLOOKUP($D307,素材!$1:$1016,COLUMN($F$1),FALSE), "・", 0)) + 1), 0)</f>
        <v>0</v>
      </c>
      <c r="AT307">
        <f>IF(ISNUMBER(SEARCH(SUBSTITUTE(AT$1,RIGHT(AT$1,2),""),VLOOKUP($D307,素材!$1:$1016,COLUMN($F$1),FALSE))),VLOOKUP($C307,武器!$1:$998,COLUMN($O$1),FALSE)*VLOOKUP($D307,素材!$1:$1016,COLUMN($E$1),FALSE)/(LEN(VLOOKUP($D307,素材!$1:$1016,COLUMN($F$1),FALSE)) - LEN(SUBSTITUTE(VLOOKUP($D307,素材!$1:$1016,COLUMN($F$1),FALSE), "・", 0)) + 1), 0)</f>
        <v>0</v>
      </c>
      <c r="AU307">
        <f>IF(ISNUMBER(SEARCH(SUBSTITUTE(AU$1,RIGHT(AU$1,2),""),VLOOKUP($D307,素材!$1:$1016,COLUMN($F$1),FALSE))),VLOOKUP($C307,武器!$1:$998,COLUMN($O$1),FALSE)*VLOOKUP($D307,素材!$1:$1016,COLUMN($E$1),FALSE)/(LEN(VLOOKUP($D307,素材!$1:$1016,COLUMN($F$1),FALSE)) - LEN(SUBSTITUTE(VLOOKUP($D307,素材!$1:$1016,COLUMN($F$1),FALSE), "・", 0)) + 1), 0)</f>
        <v>0</v>
      </c>
      <c r="AV307">
        <f>IF(ISNUMBER(SEARCH(SUBSTITUTE(AV$1,RIGHT(AV$1,2),""),VLOOKUP($D307,素材!$1:$1016,COLUMN($F$1),FALSE))),VLOOKUP($C307,武器!$1:$998,COLUMN($O$1),FALSE)*VLOOKUP($D307,素材!$1:$1016,COLUMN($E$1),FALSE)/(LEN(VLOOKUP($D307,素材!$1:$1016,COLUMN($F$1),FALSE)) - LEN(SUBSTITUTE(VLOOKUP($D307,素材!$1:$1016,COLUMN($F$1),FALSE), "・", 0)) + 1), 0)</f>
        <v>0</v>
      </c>
      <c r="AW307">
        <f>IF(ISNUMBER(SEARCH(SUBSTITUTE(AW$1,RIGHT(AW$1,2),""),VLOOKUP($D307,素材!$1:$1016,COLUMN($F$1),FALSE))),VLOOKUP($C307,武器!$1:$998,COLUMN($O$1),FALSE)*VLOOKUP($D307,素材!$1:$1016,COLUMN($E$1),FALSE)/(LEN(VLOOKUP($D307,素材!$1:$1016,COLUMN($F$1),FALSE)) - LEN(SUBSTITUTE(VLOOKUP($D307,素材!$1:$1016,COLUMN($F$1),FALSE), "・", 0)) + 1), 0)</f>
        <v>0</v>
      </c>
      <c r="AX307">
        <f>IF(ISNUMBER(SEARCH(SUBSTITUTE(AX$1,RIGHT(AX$1,2),""),VLOOKUP($D307,素材!$1:$1016,COLUMN($F$1),FALSE))),VLOOKUP($C307,武器!$1:$998,COLUMN($O$1),FALSE)*VLOOKUP($D307,素材!$1:$1016,COLUMN($E$1),FALSE)/(LEN(VLOOKUP($D307,素材!$1:$1016,COLUMN($F$1),FALSE)) - LEN(SUBSTITUTE(VLOOKUP($D307,素材!$1:$1016,COLUMN($F$1),FALSE), "・", 0)) + 1), 0)</f>
        <v>0</v>
      </c>
      <c r="AY307">
        <f>IF(ISNUMBER(SEARCH(SUBSTITUTE(AY$1,RIGHT(AY$1,2),""),VLOOKUP($D307,素材!$1:$1016,COLUMN($F$1),FALSE))),VLOOKUP($C307,武器!$1:$998,COLUMN($O$1),FALSE)*VLOOKUP($D307,素材!$1:$1016,COLUMN($E$1),FALSE)/(LEN(VLOOKUP($D307,素材!$1:$1016,COLUMN($F$1),FALSE)) - LEN(SUBSTITUTE(VLOOKUP($D307,素材!$1:$1016,COLUMN($F$1),FALSE), "・", 0)) + 1), 0)</f>
        <v>0</v>
      </c>
      <c r="AZ307">
        <f>IF(ISNUMBER(SEARCH(SUBSTITUTE(AZ$1,RIGHT(AZ$1,2),""),VLOOKUP($D307,素材!$1:$1016,COLUMN($F$1),FALSE))),VLOOKUP($C307,武器!$1:$998,COLUMN($O$1),FALSE)*VLOOKUP($D307,素材!$1:$1016,COLUMN($E$1),FALSE)/(LEN(VLOOKUP($D307,素材!$1:$1016,COLUMN($F$1),FALSE)) - LEN(SUBSTITUTE(VLOOKUP($D307,素材!$1:$1016,COLUMN($F$1),FALSE), "・", 0)) + 1), 0)</f>
        <v>0</v>
      </c>
      <c r="BA307">
        <f>IF(ISNUMBER(SEARCH(SUBSTITUTE(BA$1,RIGHT(BA$1,2),""),VLOOKUP($D307,素材!$1:$1016,COLUMN($F$1),FALSE))),VLOOKUP($C307,武器!$1:$998,COLUMN($O$1),FALSE)*VLOOKUP($D307,素材!$1:$1016,COLUMN($E$1),FALSE)/(LEN(VLOOKUP($D307,素材!$1:$1016,COLUMN($F$1),FALSE)) - LEN(SUBSTITUTE(VLOOKUP($D307,素材!$1:$1016,COLUMN($F$1),FALSE), "・", 0)) + 1), 0)</f>
        <v>0</v>
      </c>
      <c r="BB307">
        <f>IF(ISNUMBER(SEARCH(SUBSTITUTE(BB$1,RIGHT(BB$1,2),""),VLOOKUP($D307,素材!$1:$1016,COLUMN($F$1),FALSE))),VLOOKUP($C307,武器!$1:$998,COLUMN($O$1),FALSE)*VLOOKUP($D307,素材!$1:$1016,COLUMN($E$1),FALSE)/(LEN(VLOOKUP($D307,素材!$1:$1016,COLUMN($F$1),FALSE)) - LEN(SUBSTITUTE(VLOOKUP($D307,素材!$1:$1016,COLUMN($F$1),FALSE), "・", 0)) + 1), 0)</f>
        <v>0</v>
      </c>
      <c r="BC307">
        <f>IF(ISNUMBER(SEARCH(SUBSTITUTE(BC$1,RIGHT(BC$1,2),""),VLOOKUP($D307,素材!$1:$1016,COLUMN($F$1),FALSE))),VLOOKUP($C307,武器!$1:$998,COLUMN($O$1),FALSE)*VLOOKUP($D307,素材!$1:$1016,COLUMN($E$1),FALSE)/(LEN(VLOOKUP($D307,素材!$1:$1016,COLUMN($F$1),FALSE)) - LEN(SUBSTITUTE(VLOOKUP($D307,素材!$1:$1016,COLUMN($F$1),FALSE), "・", 0)) + 1), 0)</f>
        <v>0</v>
      </c>
      <c r="BD307">
        <f>IF(ISNUMBER(SEARCH(SUBSTITUTE(BD$1,RIGHT(BD$1,2),""),VLOOKUP($D307,素材!$1:$1016,COLUMN($F$1),FALSE))),VLOOKUP($C307,武器!$1:$998,COLUMN($O$1),FALSE)*VLOOKUP($D307,素材!$1:$1016,COLUMN($E$1),FALSE)/(LEN(VLOOKUP($D307,素材!$1:$1016,COLUMN($F$1),FALSE)) - LEN(SUBSTITUTE(VLOOKUP($D307,素材!$1:$1016,COLUMN($F$1),FALSE), "・", 0)) + 1), 0)</f>
        <v>0</v>
      </c>
      <c r="BE307">
        <f>IF(ISNUMBER(SEARCH(SUBSTITUTE(BE$1,RIGHT(BE$1,2),""),VLOOKUP($D307,素材!$1:$1016,COLUMN($F$1),FALSE))),VLOOKUP($C307,武器!$1:$998,COLUMN($O$1),FALSE)*VLOOKUP($D307,素材!$1:$1016,COLUMN($E$1),FALSE)/(LEN(VLOOKUP($D307,素材!$1:$1016,COLUMN($F$1),FALSE)) - LEN(SUBSTITUTE(VLOOKUP($D307,素材!$1:$1016,COLUMN($F$1),FALSE), "・", 0)) + 1), 0)</f>
        <v>0</v>
      </c>
      <c r="CL307">
        <f>SUM(G307:I307)</f>
        <v>0</v>
      </c>
      <c r="CM307" s="22" t="str">
        <f>IF(E307="武器",IF(J307-1&gt;SUM(G307:I307),"盾",IF(MAX(G307:I307)=G307,"切断",IF(MAX(G307:I307)=H307,"貫通",IF(MAX(G307:I307)=I307,"打撃","射撃")))),E307)&amp;".webp"</f>
        <v>.webp</v>
      </c>
      <c r="CN307" t="str">
        <f>IFERROR(VLOOKUP($C307,武器!$1:$998,COLUMN(V$1),FALSE)*VLOOKUP($D307,素材!$1:$1016,COLUMN(N$1),FALSE)+IF(CI307="",0,VLOOKUP($CI307,装強!$1:$1008,COLUMN($CK$1),FALSE)),"")</f>
        <v/>
      </c>
      <c r="CO307" t="e">
        <f>VLOOKUP(D307,素材!$A:$O,COLUMN(素材!O$1),FALSE)</f>
        <v>#N/A</v>
      </c>
      <c r="CP307" t="e">
        <f>VLOOKUP(C307,武器!$A:$W,COLUMN(武器!W$1),FALSE)</f>
        <v>#N/A</v>
      </c>
      <c r="CR307" t="str">
        <f t="shared" si="33"/>
        <v>e_307</v>
      </c>
      <c r="CS307" t="e">
        <f t="shared" si="34"/>
        <v>#VALUE!</v>
      </c>
    </row>
    <row r="308" spans="1:97" hidden="1" outlineLevel="1" x14ac:dyDescent="0.4">
      <c r="A308" t="str">
        <f>IF(CI308="",D308&amp;"の"&amp;C308,CI308&amp;"の"&amp;C308)</f>
        <v>の</v>
      </c>
      <c r="B308" t="str">
        <f>IFERROR(IF(CI308="",VLOOKUP($D308,素材!$1:$1016,COLUMN($B$1),FALSE)&amp;"・"&amp;VLOOKUP($C308,武器!$1:$998,COLUMN(B$1),FALSE),VLOOKUP($CI308,装強!$1:$1008,COLUMN($B$1),FALSE)&amp;"・"&amp;VLOOKUP($C308,武器!$1:$998,COLUMN(B$1),FALSE)),"")</f>
        <v/>
      </c>
      <c r="C308" s="24"/>
      <c r="D308" s="24"/>
      <c r="E308" t="str">
        <f>IFERROR(VLOOKUP(C308,武器!$1:$998,COLUMN(C$1),FALSE),"")</f>
        <v/>
      </c>
      <c r="F308" t="str">
        <f>IFERROR(ROUNDDOWN((VLOOKUP($C308,武器!$1:$998,COLUMN(D$1),FALSE)+IFERROR(VLOOKUP($CI308,装強!$1:$999,COLUMN(F$1),FALSE),0))*VLOOKUP($D308,素材!$1:$1016,COLUMN(D$1),FALSE),0),"")</f>
        <v/>
      </c>
      <c r="G308" t="str">
        <f>IFERROR(ROUNDDOWN((VLOOKUP($C308,武器!$1:$998,COLUMN(E$1),FALSE)+IFERROR(VLOOKUP($CI308,装強!$1:$999,COLUMN(G$1),FALSE),0))*VLOOKUP($D308,素材!$1:$1016,COLUMN($E$1),FALSE),0),"")</f>
        <v/>
      </c>
      <c r="H308" t="str">
        <f>IFERROR(ROUNDDOWN((VLOOKUP($C308,武器!$1:$998,COLUMN(F$1),FALSE)+IFERROR(VLOOKUP($CI308,装強!$1:$999,COLUMN(H$1),FALSE),0))*VLOOKUP($D308,素材!$1:$1016,COLUMN($E$1),FALSE),0),"")</f>
        <v/>
      </c>
      <c r="I308" t="str">
        <f>IFERROR(ROUNDDOWN((VLOOKUP($C308,武器!$1:$998,COLUMN(G$1),FALSE)+IFERROR(VLOOKUP($CI308,装強!$1:$999,COLUMN(I$1),FALSE),0))*VLOOKUP($D308,素材!$1:$1016,COLUMN($E$1),FALSE),0),"")</f>
        <v/>
      </c>
      <c r="J308" t="str">
        <f>IFERROR(ROUNDDOWN((VLOOKUP($C308,武器!$1:$998,COLUMN(H$1),FALSE)+IFERROR(VLOOKUP($CI308,装強!$1:$999,COLUMN(J$1),FALSE),0))*VLOOKUP($D308,素材!$1:$1016,COLUMN($E$1),FALSE),0),"")</f>
        <v/>
      </c>
      <c r="K308" t="str">
        <f>IFERROR(ROUNDDOWN((VLOOKUP($C308,武器!$1:$998,COLUMN(I$1),FALSE)+IFERROR(VLOOKUP($CI308,装強!$1:$999,COLUMN(K$1),FALSE),0))*VLOOKUP($D308,素材!$1:$1016,COLUMN($E$1),FALSE),0),"")</f>
        <v/>
      </c>
      <c r="L308" t="str">
        <f>IFERROR(VLOOKUP($D308,素材!$1:$1016,COLUMN($F$1),FALSE),"")</f>
        <v/>
      </c>
      <c r="M308" t="str">
        <f>IFERROR(VLOOKUP($C308,武器!$1:$998,COLUMN(AA$1),FALSE)*VLOOKUP($D308,素材!$1:$1016,COLUMN($G$1),FALSE),"")</f>
        <v/>
      </c>
      <c r="N308" t="str">
        <f>IFERROR(VLOOKUP($C308,武器!$1:$998,COLUMN(I$1),FALSE),"")</f>
        <v/>
      </c>
      <c r="O308" s="23" t="str">
        <f>IFERROR((VLOOKUP($C308,武器!$1:$998,COLUMN(K$1),FALSE)+VLOOKUP($D308,素材!$1:$1016,COLUMN(H$1),FALSE))*100+IFERROR(VLOOKUP($CI308,装強!$1:$999,COLUMN(O$1),FALSE),0),"")</f>
        <v/>
      </c>
      <c r="P308" s="23" t="str">
        <f>IFERROR((VLOOKUP($C308,武器!$1:$998,COLUMN(L$1),FALSE)+VLOOKUP($D308,素材!$1:$1016,COLUMN(I$1),FALSE))*100+IFERROR(VLOOKUP($CI308,装強!$1:$999,COLUMN(P$1),FALSE),0),"")</f>
        <v/>
      </c>
      <c r="Q308" t="str">
        <f>IFERROR(ROUNDUP(VLOOKUP($C308,武器!$1:$998,COLUMN(M$1),FALSE)*(VLOOKUP($D308,素材!$1:$1002,COLUMN(D$1),FALSE)/100),1),"")</f>
        <v/>
      </c>
      <c r="R308" t="str">
        <f>IFERROR(ROUNDUP(VLOOKUP($C308,武器!$1:$998,COLUMN(N$1),FALSE)*(VLOOKUP($D308,素材!$1:$1002,COLUMN(D$1),FALSE)/100),1),"")</f>
        <v/>
      </c>
      <c r="S308" t="str">
        <f>IFERROR(VLOOKUP($C308,武器!$1:$998,COLUMN(P$1),FALSE),"")</f>
        <v/>
      </c>
      <c r="T308" t="str">
        <f>IFERROR(VLOOKUP($C308,武器!$1:$998,COLUMN(Q$1),FALSE),"")</f>
        <v/>
      </c>
      <c r="U308" t="str">
        <f>IFERROR(VLOOKUP($C308,武器!$1:$998,COLUMN(R$1),FALSE),"")</f>
        <v/>
      </c>
      <c r="V308" t="str">
        <f>IFERROR(VLOOKUP($C308,武器!$1:$998,COLUMN(Q$1),FALSE),"")</f>
        <v/>
      </c>
      <c r="W308" t="str">
        <f>IFERROR(VLOOKUP($C308,武器!$1:$998,COLUMN(T$1),FALSE),"")</f>
        <v/>
      </c>
      <c r="Y308" t="str">
        <f>IFERROR(VLOOKUP($C308,武器!$1:$998,COLUMN(U$1),FALSE),"")</f>
        <v/>
      </c>
      <c r="Z308" t="str">
        <f>IFERROR(ROUNDUP(VLOOKUP($C308,武器!$1:$998,COLUMN(O$1),FALSE)*VLOOKUP($D308,素材!$1:$1016,COLUMN(E$1),FALSE),1),"")</f>
        <v/>
      </c>
      <c r="AA308">
        <f>IF(ISNUMBER(SEARCH(SUBSTITUTE(AA$1,RIGHT(AA$1,2),""),VLOOKUP($D308,素材!$1:$1016,COLUMN($F$1),FALSE))),VLOOKUP($C308,武器!$1:$998,COLUMN($O$1),FALSE)*VLOOKUP($D308,素材!$1:$1016,COLUMN($E$1),FALSE)/(LEN(VLOOKUP($D308,素材!$1:$1016,COLUMN($F$1),FALSE)) - LEN(SUBSTITUTE(VLOOKUP($D308,素材!$1:$1016,COLUMN($F$1),FALSE), "・", 0)) + 1), 0)</f>
        <v>0</v>
      </c>
      <c r="AB308">
        <f>IF(ISNUMBER(SEARCH(SUBSTITUTE(AB$1,RIGHT(AB$1,2),""),VLOOKUP($D308,素材!$1:$1016,COLUMN($F$1),FALSE))),VLOOKUP($C308,武器!$1:$998,COLUMN($O$1),FALSE)*VLOOKUP($D308,素材!$1:$1016,COLUMN($E$1),FALSE)/(LEN(VLOOKUP($D308,素材!$1:$1016,COLUMN($F$1),FALSE)) - LEN(SUBSTITUTE(VLOOKUP($D308,素材!$1:$1016,COLUMN($F$1),FALSE), "・", 0)) + 1), 0)</f>
        <v>0</v>
      </c>
      <c r="AC308">
        <f>IF(ISNUMBER(SEARCH(SUBSTITUTE(AC$1,RIGHT(AC$1,2),""),VLOOKUP($D308,素材!$1:$1016,COLUMN($F$1),FALSE))),VLOOKUP($C308,武器!$1:$998,COLUMN($O$1),FALSE)*VLOOKUP($D308,素材!$1:$1016,COLUMN($E$1),FALSE)/(LEN(VLOOKUP($D308,素材!$1:$1016,COLUMN($F$1),FALSE)) - LEN(SUBSTITUTE(VLOOKUP($D308,素材!$1:$1016,COLUMN($F$1),FALSE), "・", 0)) + 1), 0)</f>
        <v>0</v>
      </c>
      <c r="AD308">
        <f>IF(ISNUMBER(SEARCH(SUBSTITUTE(AD$1,RIGHT(AD$1,2),""),VLOOKUP($D308,素材!$1:$1016,COLUMN($F$1),FALSE))),VLOOKUP($C308,武器!$1:$998,COLUMN($O$1),FALSE)*VLOOKUP($D308,素材!$1:$1016,COLUMN($E$1),FALSE)/(LEN(VLOOKUP($D308,素材!$1:$1016,COLUMN($F$1),FALSE)) - LEN(SUBSTITUTE(VLOOKUP($D308,素材!$1:$1016,COLUMN($F$1),FALSE), "・", 0)) + 1), 0)</f>
        <v>0</v>
      </c>
      <c r="AE308">
        <f>IF(ISNUMBER(SEARCH(SUBSTITUTE(AE$1,RIGHT(AE$1,2),""),VLOOKUP($D308,素材!$1:$1016,COLUMN($F$1),FALSE))),VLOOKUP($C308,武器!$1:$998,COLUMN($O$1),FALSE)*VLOOKUP($D308,素材!$1:$1016,COLUMN($E$1),FALSE)/(LEN(VLOOKUP($D308,素材!$1:$1016,COLUMN($F$1),FALSE)) - LEN(SUBSTITUTE(VLOOKUP($D308,素材!$1:$1016,COLUMN($F$1),FALSE), "・", 0)) + 1), 0)</f>
        <v>0</v>
      </c>
      <c r="AF308">
        <f>IF(ISNUMBER(SEARCH(SUBSTITUTE(AF$1,RIGHT(AF$1,2),""),VLOOKUP($D308,素材!$1:$1016,COLUMN($F$1),FALSE))),VLOOKUP($C308,武器!$1:$998,COLUMN($O$1),FALSE)*VLOOKUP($D308,素材!$1:$1016,COLUMN($E$1),FALSE)/(LEN(VLOOKUP($D308,素材!$1:$1016,COLUMN($F$1),FALSE)) - LEN(SUBSTITUTE(VLOOKUP($D308,素材!$1:$1016,COLUMN($F$1),FALSE), "・", 0)) + 1), 0)</f>
        <v>0</v>
      </c>
      <c r="AG308">
        <f>IF(ISNUMBER(SEARCH(SUBSTITUTE(AG$1,RIGHT(AG$1,2),""),VLOOKUP($D308,素材!$1:$1016,COLUMN($F$1),FALSE))),VLOOKUP($C308,武器!$1:$998,COLUMN($O$1),FALSE)*VLOOKUP($D308,素材!$1:$1016,COLUMN($E$1),FALSE)/(LEN(VLOOKUP($D308,素材!$1:$1016,COLUMN($F$1),FALSE)) - LEN(SUBSTITUTE(VLOOKUP($D308,素材!$1:$1016,COLUMN($F$1),FALSE), "・", 0)) + 1), 0)</f>
        <v>0</v>
      </c>
      <c r="AH308">
        <f>IF(ISNUMBER(SEARCH(SUBSTITUTE(AH$1,RIGHT(AH$1,2),""),VLOOKUP($D308,素材!$1:$1016,COLUMN($F$1),FALSE))),VLOOKUP($C308,武器!$1:$998,COLUMN($O$1),FALSE)*VLOOKUP($D308,素材!$1:$1016,COLUMN($E$1),FALSE)/(LEN(VLOOKUP($D308,素材!$1:$1016,COLUMN($F$1),FALSE)) - LEN(SUBSTITUTE(VLOOKUP($D308,素材!$1:$1016,COLUMN($F$1),FALSE), "・", 0)) + 1), 0)</f>
        <v>0</v>
      </c>
      <c r="AI308">
        <f>IF(ISNUMBER(SEARCH(SUBSTITUTE(AI$1,RIGHT(AI$1,2),""),VLOOKUP($D308,素材!$1:$1016,COLUMN($F$1),FALSE))),VLOOKUP($C308,武器!$1:$998,COLUMN($O$1),FALSE)*VLOOKUP($D308,素材!$1:$1016,COLUMN($E$1),FALSE)/(LEN(VLOOKUP($D308,素材!$1:$1016,COLUMN($F$1),FALSE)) - LEN(SUBSTITUTE(VLOOKUP($D308,素材!$1:$1016,COLUMN($F$1),FALSE), "・", 0)) + 1), 0)</f>
        <v>0</v>
      </c>
      <c r="AJ308">
        <f>IF(ISNUMBER(SEARCH(SUBSTITUTE(AJ$1,RIGHT(AJ$1,2),""),VLOOKUP($D308,素材!$1:$1016,COLUMN($F$1),FALSE))),VLOOKUP($C308,武器!$1:$998,COLUMN($O$1),FALSE)*VLOOKUP($D308,素材!$1:$1016,COLUMN($E$1),FALSE)/(LEN(VLOOKUP($D308,素材!$1:$1016,COLUMN($F$1),FALSE)) - LEN(SUBSTITUTE(VLOOKUP($D308,素材!$1:$1016,COLUMN($F$1),FALSE), "・", 0)) + 1), 0)</f>
        <v>0</v>
      </c>
      <c r="AK308">
        <f>IF(ISNUMBER(SEARCH(SUBSTITUTE(AK$1,RIGHT(AK$1,2),""),VLOOKUP($D308,素材!$1:$1016,COLUMN($F$1),FALSE))),VLOOKUP($C308,武器!$1:$998,COLUMN($O$1),FALSE)*VLOOKUP($D308,素材!$1:$1016,COLUMN($E$1),FALSE)/(LEN(VLOOKUP($D308,素材!$1:$1016,COLUMN($F$1),FALSE)) - LEN(SUBSTITUTE(VLOOKUP($D308,素材!$1:$1016,COLUMN($F$1),FALSE), "・", 0)) + 1), 0)</f>
        <v>0</v>
      </c>
      <c r="AL308">
        <f>IF(ISNUMBER(SEARCH(SUBSTITUTE(AL$1,RIGHT(AL$1,2),""),VLOOKUP($D308,素材!$1:$1016,COLUMN($F$1),FALSE))),VLOOKUP($C308,武器!$1:$998,COLUMN($O$1),FALSE)*VLOOKUP($D308,素材!$1:$1016,COLUMN($E$1),FALSE)/(LEN(VLOOKUP($D308,素材!$1:$1016,COLUMN($F$1),FALSE)) - LEN(SUBSTITUTE(VLOOKUP($D308,素材!$1:$1016,COLUMN($F$1),FALSE), "・", 0)) + 1), 0)</f>
        <v>0</v>
      </c>
      <c r="AM308">
        <f>IF(ISNUMBER(SEARCH(SUBSTITUTE(AM$1,RIGHT(AM$1,2),""),VLOOKUP($D308,素材!$1:$1016,COLUMN($F$1),FALSE))),VLOOKUP($C308,武器!$1:$998,COLUMN($O$1),FALSE)*VLOOKUP($D308,素材!$1:$1016,COLUMN($E$1),FALSE)/(LEN(VLOOKUP($D308,素材!$1:$1016,COLUMN($F$1),FALSE)) - LEN(SUBSTITUTE(VLOOKUP($D308,素材!$1:$1016,COLUMN($F$1),FALSE), "・", 0)) + 1), 0)</f>
        <v>0</v>
      </c>
      <c r="AN308">
        <f>IF(ISNUMBER(SEARCH(SUBSTITUTE(AN$1,RIGHT(AN$1,2),""),VLOOKUP($D308,素材!$1:$1016,COLUMN($F$1),FALSE))),VLOOKUP($C308,武器!$1:$998,COLUMN($O$1),FALSE)*VLOOKUP($D308,素材!$1:$1016,COLUMN($E$1),FALSE)/(LEN(VLOOKUP($D308,素材!$1:$1016,COLUMN($F$1),FALSE)) - LEN(SUBSTITUTE(VLOOKUP($D308,素材!$1:$1016,COLUMN($F$1),FALSE), "・", 0)) + 1), 0)</f>
        <v>0</v>
      </c>
      <c r="AO308">
        <f>IF(ISNUMBER(SEARCH(SUBSTITUTE(AO$1,RIGHT(AO$1,2),""),VLOOKUP($D308,素材!$1:$1016,COLUMN($F$1),FALSE))),VLOOKUP($C308,武器!$1:$998,COLUMN($O$1),FALSE)*VLOOKUP($D308,素材!$1:$1016,COLUMN($E$1),FALSE)/(LEN(VLOOKUP($D308,素材!$1:$1016,COLUMN($F$1),FALSE)) - LEN(SUBSTITUTE(VLOOKUP($D308,素材!$1:$1016,COLUMN($F$1),FALSE), "・", 0)) + 1), 0)</f>
        <v>0</v>
      </c>
      <c r="AP308">
        <f>IF(ISNUMBER(SEARCH(SUBSTITUTE(AP$1,RIGHT(AP$1,2),""),VLOOKUP($D308,素材!$1:$1016,COLUMN($F$1),FALSE))),VLOOKUP($C308,武器!$1:$998,COLUMN($O$1),FALSE)*VLOOKUP($D308,素材!$1:$1016,COLUMN($E$1),FALSE)/(LEN(VLOOKUP($D308,素材!$1:$1016,COLUMN($F$1),FALSE)) - LEN(SUBSTITUTE(VLOOKUP($D308,素材!$1:$1016,COLUMN($F$1),FALSE), "・", 0)) + 1), 0)</f>
        <v>0</v>
      </c>
      <c r="AQ308">
        <f>IF(ISNUMBER(SEARCH(SUBSTITUTE(AQ$1,RIGHT(AQ$1,2),""),VLOOKUP($D308,素材!$1:$1016,COLUMN($F$1),FALSE))),VLOOKUP($C308,武器!$1:$998,COLUMN($O$1),FALSE)*VLOOKUP($D308,素材!$1:$1016,COLUMN($E$1),FALSE)/(LEN(VLOOKUP($D308,素材!$1:$1016,COLUMN($F$1),FALSE)) - LEN(SUBSTITUTE(VLOOKUP($D308,素材!$1:$1016,COLUMN($F$1),FALSE), "・", 0)) + 1), 0)</f>
        <v>0</v>
      </c>
      <c r="AR308">
        <f>IF(ISNUMBER(SEARCH(SUBSTITUTE(AR$1,RIGHT(AR$1,2),""),VLOOKUP($D308,素材!$1:$1016,COLUMN($F$1),FALSE))),VLOOKUP($C308,武器!$1:$998,COLUMN($O$1),FALSE)*VLOOKUP($D308,素材!$1:$1016,COLUMN($E$1),FALSE)/(LEN(VLOOKUP($D308,素材!$1:$1016,COLUMN($F$1),FALSE)) - LEN(SUBSTITUTE(VLOOKUP($D308,素材!$1:$1016,COLUMN($F$1),FALSE), "・", 0)) + 1), 0)</f>
        <v>0</v>
      </c>
      <c r="AS308">
        <f>IF(ISNUMBER(SEARCH(SUBSTITUTE(AS$1,RIGHT(AS$1,2),""),VLOOKUP($D308,素材!$1:$1016,COLUMN($F$1),FALSE))),VLOOKUP($C308,武器!$1:$998,COLUMN($O$1),FALSE)*VLOOKUP($D308,素材!$1:$1016,COLUMN($E$1),FALSE)/(LEN(VLOOKUP($D308,素材!$1:$1016,COLUMN($F$1),FALSE)) - LEN(SUBSTITUTE(VLOOKUP($D308,素材!$1:$1016,COLUMN($F$1),FALSE), "・", 0)) + 1), 0)</f>
        <v>0</v>
      </c>
      <c r="AT308">
        <f>IF(ISNUMBER(SEARCH(SUBSTITUTE(AT$1,RIGHT(AT$1,2),""),VLOOKUP($D308,素材!$1:$1016,COLUMN($F$1),FALSE))),VLOOKUP($C308,武器!$1:$998,COLUMN($O$1),FALSE)*VLOOKUP($D308,素材!$1:$1016,COLUMN($E$1),FALSE)/(LEN(VLOOKUP($D308,素材!$1:$1016,COLUMN($F$1),FALSE)) - LEN(SUBSTITUTE(VLOOKUP($D308,素材!$1:$1016,COLUMN($F$1),FALSE), "・", 0)) + 1), 0)</f>
        <v>0</v>
      </c>
      <c r="AU308">
        <f>IF(ISNUMBER(SEARCH(SUBSTITUTE(AU$1,RIGHT(AU$1,2),""),VLOOKUP($D308,素材!$1:$1016,COLUMN($F$1),FALSE))),VLOOKUP($C308,武器!$1:$998,COLUMN($O$1),FALSE)*VLOOKUP($D308,素材!$1:$1016,COLUMN($E$1),FALSE)/(LEN(VLOOKUP($D308,素材!$1:$1016,COLUMN($F$1),FALSE)) - LEN(SUBSTITUTE(VLOOKUP($D308,素材!$1:$1016,COLUMN($F$1),FALSE), "・", 0)) + 1), 0)</f>
        <v>0</v>
      </c>
      <c r="AV308">
        <f>IF(ISNUMBER(SEARCH(SUBSTITUTE(AV$1,RIGHT(AV$1,2),""),VLOOKUP($D308,素材!$1:$1016,COLUMN($F$1),FALSE))),VLOOKUP($C308,武器!$1:$998,COLUMN($O$1),FALSE)*VLOOKUP($D308,素材!$1:$1016,COLUMN($E$1),FALSE)/(LEN(VLOOKUP($D308,素材!$1:$1016,COLUMN($F$1),FALSE)) - LEN(SUBSTITUTE(VLOOKUP($D308,素材!$1:$1016,COLUMN($F$1),FALSE), "・", 0)) + 1), 0)</f>
        <v>0</v>
      </c>
      <c r="AW308">
        <f>IF(ISNUMBER(SEARCH(SUBSTITUTE(AW$1,RIGHT(AW$1,2),""),VLOOKUP($D308,素材!$1:$1016,COLUMN($F$1),FALSE))),VLOOKUP($C308,武器!$1:$998,COLUMN($O$1),FALSE)*VLOOKUP($D308,素材!$1:$1016,COLUMN($E$1),FALSE)/(LEN(VLOOKUP($D308,素材!$1:$1016,COLUMN($F$1),FALSE)) - LEN(SUBSTITUTE(VLOOKUP($D308,素材!$1:$1016,COLUMN($F$1),FALSE), "・", 0)) + 1), 0)</f>
        <v>0</v>
      </c>
      <c r="AX308">
        <f>IF(ISNUMBER(SEARCH(SUBSTITUTE(AX$1,RIGHT(AX$1,2),""),VLOOKUP($D308,素材!$1:$1016,COLUMN($F$1),FALSE))),VLOOKUP($C308,武器!$1:$998,COLUMN($O$1),FALSE)*VLOOKUP($D308,素材!$1:$1016,COLUMN($E$1),FALSE)/(LEN(VLOOKUP($D308,素材!$1:$1016,COLUMN($F$1),FALSE)) - LEN(SUBSTITUTE(VLOOKUP($D308,素材!$1:$1016,COLUMN($F$1),FALSE), "・", 0)) + 1), 0)</f>
        <v>0</v>
      </c>
      <c r="AY308">
        <f>IF(ISNUMBER(SEARCH(SUBSTITUTE(AY$1,RIGHT(AY$1,2),""),VLOOKUP($D308,素材!$1:$1016,COLUMN($F$1),FALSE))),VLOOKUP($C308,武器!$1:$998,COLUMN($O$1),FALSE)*VLOOKUP($D308,素材!$1:$1016,COLUMN($E$1),FALSE)/(LEN(VLOOKUP($D308,素材!$1:$1016,COLUMN($F$1),FALSE)) - LEN(SUBSTITUTE(VLOOKUP($D308,素材!$1:$1016,COLUMN($F$1),FALSE), "・", 0)) + 1), 0)</f>
        <v>0</v>
      </c>
      <c r="AZ308">
        <f>IF(ISNUMBER(SEARCH(SUBSTITUTE(AZ$1,RIGHT(AZ$1,2),""),VLOOKUP($D308,素材!$1:$1016,COLUMN($F$1),FALSE))),VLOOKUP($C308,武器!$1:$998,COLUMN($O$1),FALSE)*VLOOKUP($D308,素材!$1:$1016,COLUMN($E$1),FALSE)/(LEN(VLOOKUP($D308,素材!$1:$1016,COLUMN($F$1),FALSE)) - LEN(SUBSTITUTE(VLOOKUP($D308,素材!$1:$1016,COLUMN($F$1),FALSE), "・", 0)) + 1), 0)</f>
        <v>0</v>
      </c>
      <c r="BA308">
        <f>IF(ISNUMBER(SEARCH(SUBSTITUTE(BA$1,RIGHT(BA$1,2),""),VLOOKUP($D308,素材!$1:$1016,COLUMN($F$1),FALSE))),VLOOKUP($C308,武器!$1:$998,COLUMN($O$1),FALSE)*VLOOKUP($D308,素材!$1:$1016,COLUMN($E$1),FALSE)/(LEN(VLOOKUP($D308,素材!$1:$1016,COLUMN($F$1),FALSE)) - LEN(SUBSTITUTE(VLOOKUP($D308,素材!$1:$1016,COLUMN($F$1),FALSE), "・", 0)) + 1), 0)</f>
        <v>0</v>
      </c>
      <c r="BB308">
        <f>IF(ISNUMBER(SEARCH(SUBSTITUTE(BB$1,RIGHT(BB$1,2),""),VLOOKUP($D308,素材!$1:$1016,COLUMN($F$1),FALSE))),VLOOKUP($C308,武器!$1:$998,COLUMN($O$1),FALSE)*VLOOKUP($D308,素材!$1:$1016,COLUMN($E$1),FALSE)/(LEN(VLOOKUP($D308,素材!$1:$1016,COLUMN($F$1),FALSE)) - LEN(SUBSTITUTE(VLOOKUP($D308,素材!$1:$1016,COLUMN($F$1),FALSE), "・", 0)) + 1), 0)</f>
        <v>0</v>
      </c>
      <c r="BC308">
        <f>IF(ISNUMBER(SEARCH(SUBSTITUTE(BC$1,RIGHT(BC$1,2),""),VLOOKUP($D308,素材!$1:$1016,COLUMN($F$1),FALSE))),VLOOKUP($C308,武器!$1:$998,COLUMN($O$1),FALSE)*VLOOKUP($D308,素材!$1:$1016,COLUMN($E$1),FALSE)/(LEN(VLOOKUP($D308,素材!$1:$1016,COLUMN($F$1),FALSE)) - LEN(SUBSTITUTE(VLOOKUP($D308,素材!$1:$1016,COLUMN($F$1),FALSE), "・", 0)) + 1), 0)</f>
        <v>0</v>
      </c>
      <c r="BD308">
        <f>IF(ISNUMBER(SEARCH(SUBSTITUTE(BD$1,RIGHT(BD$1,2),""),VLOOKUP($D308,素材!$1:$1016,COLUMN($F$1),FALSE))),VLOOKUP($C308,武器!$1:$998,COLUMN($O$1),FALSE)*VLOOKUP($D308,素材!$1:$1016,COLUMN($E$1),FALSE)/(LEN(VLOOKUP($D308,素材!$1:$1016,COLUMN($F$1),FALSE)) - LEN(SUBSTITUTE(VLOOKUP($D308,素材!$1:$1016,COLUMN($F$1),FALSE), "・", 0)) + 1), 0)</f>
        <v>0</v>
      </c>
      <c r="BE308">
        <f>IF(ISNUMBER(SEARCH(SUBSTITUTE(BE$1,RIGHT(BE$1,2),""),VLOOKUP($D308,素材!$1:$1016,COLUMN($F$1),FALSE))),VLOOKUP($C308,武器!$1:$998,COLUMN($O$1),FALSE)*VLOOKUP($D308,素材!$1:$1016,COLUMN($E$1),FALSE)/(LEN(VLOOKUP($D308,素材!$1:$1016,COLUMN($F$1),FALSE)) - LEN(SUBSTITUTE(VLOOKUP($D308,素材!$1:$1016,COLUMN($F$1),FALSE), "・", 0)) + 1), 0)</f>
        <v>0</v>
      </c>
      <c r="CL308">
        <f>SUM(G308:I308)</f>
        <v>0</v>
      </c>
      <c r="CM308" s="22" t="str">
        <f>IF(E308="武器",IF(J308-1&gt;SUM(G308:I308),"盾",IF(MAX(G308:I308)=G308,"切断",IF(MAX(G308:I308)=H308,"貫通",IF(MAX(G308:I308)=I308,"打撃","射撃")))),E308)&amp;".webp"</f>
        <v>.webp</v>
      </c>
      <c r="CN308" t="str">
        <f>IFERROR(VLOOKUP($C308,武器!$1:$998,COLUMN(V$1),FALSE)*VLOOKUP($D308,素材!$1:$1016,COLUMN(N$1),FALSE)+IF(CI308="",0,VLOOKUP($CI308,装強!$1:$1008,COLUMN($CK$1),FALSE)),"")</f>
        <v/>
      </c>
      <c r="CO308" t="e">
        <f>VLOOKUP(D308,素材!$A:$O,COLUMN(素材!O$1),FALSE)</f>
        <v>#N/A</v>
      </c>
      <c r="CP308" t="e">
        <f>VLOOKUP(C308,武器!$A:$W,COLUMN(武器!W$1),FALSE)</f>
        <v>#N/A</v>
      </c>
      <c r="CR308" t="str">
        <f t="shared" si="33"/>
        <v>e_308</v>
      </c>
      <c r="CS308" t="e">
        <f t="shared" si="34"/>
        <v>#VALUE!</v>
      </c>
    </row>
    <row r="309" spans="1:97" hidden="1" outlineLevel="1" x14ac:dyDescent="0.4">
      <c r="A309" t="str">
        <f>IF(CI309="",D309&amp;"の"&amp;C309,CI309&amp;"の"&amp;C309)</f>
        <v>の</v>
      </c>
      <c r="B309" t="str">
        <f>IFERROR(IF(CI309="",VLOOKUP($D309,素材!$1:$1016,COLUMN($B$1),FALSE)&amp;"・"&amp;VLOOKUP($C309,武器!$1:$998,COLUMN(B$1),FALSE),VLOOKUP($CI309,装強!$1:$1008,COLUMN($B$1),FALSE)&amp;"・"&amp;VLOOKUP($C309,武器!$1:$998,COLUMN(B$1),FALSE)),"")</f>
        <v/>
      </c>
      <c r="C309" s="24"/>
      <c r="D309" s="24"/>
      <c r="E309" t="str">
        <f>IFERROR(VLOOKUP(C309,武器!$1:$998,COLUMN(C$1),FALSE),"")</f>
        <v/>
      </c>
      <c r="F309" t="str">
        <f>IFERROR(ROUNDDOWN((VLOOKUP($C309,武器!$1:$998,COLUMN(D$1),FALSE)+IFERROR(VLOOKUP($CI309,装強!$1:$999,COLUMN(F$1),FALSE),0))*VLOOKUP($D309,素材!$1:$1016,COLUMN(D$1),FALSE),0),"")</f>
        <v/>
      </c>
      <c r="G309" t="str">
        <f>IFERROR(ROUNDDOWN((VLOOKUP($C309,武器!$1:$998,COLUMN(E$1),FALSE)+IFERROR(VLOOKUP($CI309,装強!$1:$999,COLUMN(G$1),FALSE),0))*VLOOKUP($D309,素材!$1:$1016,COLUMN($E$1),FALSE),0),"")</f>
        <v/>
      </c>
      <c r="H309" t="str">
        <f>IFERROR(ROUNDDOWN((VLOOKUP($C309,武器!$1:$998,COLUMN(F$1),FALSE)+IFERROR(VLOOKUP($CI309,装強!$1:$999,COLUMN(H$1),FALSE),0))*VLOOKUP($D309,素材!$1:$1016,COLUMN($E$1),FALSE),0),"")</f>
        <v/>
      </c>
      <c r="I309" t="str">
        <f>IFERROR(ROUNDDOWN((VLOOKUP($C309,武器!$1:$998,COLUMN(G$1),FALSE)+IFERROR(VLOOKUP($CI309,装強!$1:$999,COLUMN(I$1),FALSE),0))*VLOOKUP($D309,素材!$1:$1016,COLUMN($E$1),FALSE),0),"")</f>
        <v/>
      </c>
      <c r="J309" t="str">
        <f>IFERROR(ROUNDDOWN((VLOOKUP($C309,武器!$1:$998,COLUMN(H$1),FALSE)+IFERROR(VLOOKUP($CI309,装強!$1:$999,COLUMN(J$1),FALSE),0))*VLOOKUP($D309,素材!$1:$1016,COLUMN($E$1),FALSE),0),"")</f>
        <v/>
      </c>
      <c r="K309" t="str">
        <f>IFERROR(ROUNDDOWN((VLOOKUP($C309,武器!$1:$998,COLUMN(I$1),FALSE)+IFERROR(VLOOKUP($CI309,装強!$1:$999,COLUMN(K$1),FALSE),0))*VLOOKUP($D309,素材!$1:$1016,COLUMN($E$1),FALSE),0),"")</f>
        <v/>
      </c>
      <c r="L309" t="str">
        <f>IFERROR(VLOOKUP($D309,素材!$1:$1016,COLUMN($F$1),FALSE),"")</f>
        <v/>
      </c>
      <c r="M309" t="str">
        <f>IFERROR(VLOOKUP($C309,武器!$1:$998,COLUMN(AA$1),FALSE)*VLOOKUP($D309,素材!$1:$1016,COLUMN($G$1),FALSE),"")</f>
        <v/>
      </c>
      <c r="N309" t="str">
        <f>IFERROR(VLOOKUP($C309,武器!$1:$998,COLUMN(I$1),FALSE),"")</f>
        <v/>
      </c>
      <c r="O309" s="23" t="str">
        <f>IFERROR((VLOOKUP($C309,武器!$1:$998,COLUMN(K$1),FALSE)+VLOOKUP($D309,素材!$1:$1016,COLUMN(H$1),FALSE))*100+IFERROR(VLOOKUP($CI309,装強!$1:$999,COLUMN(O$1),FALSE),0),"")</f>
        <v/>
      </c>
      <c r="P309" s="23" t="str">
        <f>IFERROR((VLOOKUP($C309,武器!$1:$998,COLUMN(L$1),FALSE)+VLOOKUP($D309,素材!$1:$1016,COLUMN(I$1),FALSE))*100+IFERROR(VLOOKUP($CI309,装強!$1:$999,COLUMN(P$1),FALSE),0),"")</f>
        <v/>
      </c>
      <c r="Q309" t="str">
        <f>IFERROR(ROUNDUP(VLOOKUP($C309,武器!$1:$998,COLUMN(M$1),FALSE)*(VLOOKUP($D309,素材!$1:$1002,COLUMN(D$1),FALSE)/100),1),"")</f>
        <v/>
      </c>
      <c r="R309" t="str">
        <f>IFERROR(ROUNDUP(VLOOKUP($C309,武器!$1:$998,COLUMN(N$1),FALSE)*(VLOOKUP($D309,素材!$1:$1002,COLUMN(D$1),FALSE)/100),1),"")</f>
        <v/>
      </c>
      <c r="S309" t="str">
        <f>IFERROR(VLOOKUP($C309,武器!$1:$998,COLUMN(P$1),FALSE),"")</f>
        <v/>
      </c>
      <c r="T309" t="str">
        <f>IFERROR(VLOOKUP($C309,武器!$1:$998,COLUMN(Q$1),FALSE),"")</f>
        <v/>
      </c>
      <c r="U309" t="str">
        <f>IFERROR(VLOOKUP($C309,武器!$1:$998,COLUMN(R$1),FALSE),"")</f>
        <v/>
      </c>
      <c r="V309" t="str">
        <f>IFERROR(VLOOKUP($C309,武器!$1:$998,COLUMN(Q$1),FALSE),"")</f>
        <v/>
      </c>
      <c r="W309" t="str">
        <f>IFERROR(VLOOKUP($C309,武器!$1:$998,COLUMN(T$1),FALSE),"")</f>
        <v/>
      </c>
      <c r="Y309" t="str">
        <f>IFERROR(VLOOKUP($C309,武器!$1:$998,COLUMN(U$1),FALSE),"")</f>
        <v/>
      </c>
      <c r="Z309" t="str">
        <f>IFERROR(ROUNDUP(VLOOKUP($C309,武器!$1:$998,COLUMN(O$1),FALSE)*VLOOKUP($D309,素材!$1:$1016,COLUMN(E$1),FALSE),1),"")</f>
        <v/>
      </c>
      <c r="AA309">
        <f>IF(ISNUMBER(SEARCH(SUBSTITUTE(AA$1,RIGHT(AA$1,2),""),VLOOKUP($D309,素材!$1:$1016,COLUMN($F$1),FALSE))),VLOOKUP($C309,武器!$1:$998,COLUMN($O$1),FALSE)*VLOOKUP($D309,素材!$1:$1016,COLUMN($E$1),FALSE)/(LEN(VLOOKUP($D309,素材!$1:$1016,COLUMN($F$1),FALSE)) - LEN(SUBSTITUTE(VLOOKUP($D309,素材!$1:$1016,COLUMN($F$1),FALSE), "・", 0)) + 1), 0)</f>
        <v>0</v>
      </c>
      <c r="AB309">
        <f>IF(ISNUMBER(SEARCH(SUBSTITUTE(AB$1,RIGHT(AB$1,2),""),VLOOKUP($D309,素材!$1:$1016,COLUMN($F$1),FALSE))),VLOOKUP($C309,武器!$1:$998,COLUMN($O$1),FALSE)*VLOOKUP($D309,素材!$1:$1016,COLUMN($E$1),FALSE)/(LEN(VLOOKUP($D309,素材!$1:$1016,COLUMN($F$1),FALSE)) - LEN(SUBSTITUTE(VLOOKUP($D309,素材!$1:$1016,COLUMN($F$1),FALSE), "・", 0)) + 1), 0)</f>
        <v>0</v>
      </c>
      <c r="AC309">
        <f>IF(ISNUMBER(SEARCH(SUBSTITUTE(AC$1,RIGHT(AC$1,2),""),VLOOKUP($D309,素材!$1:$1016,COLUMN($F$1),FALSE))),VLOOKUP($C309,武器!$1:$998,COLUMN($O$1),FALSE)*VLOOKUP($D309,素材!$1:$1016,COLUMN($E$1),FALSE)/(LEN(VLOOKUP($D309,素材!$1:$1016,COLUMN($F$1),FALSE)) - LEN(SUBSTITUTE(VLOOKUP($D309,素材!$1:$1016,COLUMN($F$1),FALSE), "・", 0)) + 1), 0)</f>
        <v>0</v>
      </c>
      <c r="AD309">
        <f>IF(ISNUMBER(SEARCH(SUBSTITUTE(AD$1,RIGHT(AD$1,2),""),VLOOKUP($D309,素材!$1:$1016,COLUMN($F$1),FALSE))),VLOOKUP($C309,武器!$1:$998,COLUMN($O$1),FALSE)*VLOOKUP($D309,素材!$1:$1016,COLUMN($E$1),FALSE)/(LEN(VLOOKUP($D309,素材!$1:$1016,COLUMN($F$1),FALSE)) - LEN(SUBSTITUTE(VLOOKUP($D309,素材!$1:$1016,COLUMN($F$1),FALSE), "・", 0)) + 1), 0)</f>
        <v>0</v>
      </c>
      <c r="AE309">
        <f>IF(ISNUMBER(SEARCH(SUBSTITUTE(AE$1,RIGHT(AE$1,2),""),VLOOKUP($D309,素材!$1:$1016,COLUMN($F$1),FALSE))),VLOOKUP($C309,武器!$1:$998,COLUMN($O$1),FALSE)*VLOOKUP($D309,素材!$1:$1016,COLUMN($E$1),FALSE)/(LEN(VLOOKUP($D309,素材!$1:$1016,COLUMN($F$1),FALSE)) - LEN(SUBSTITUTE(VLOOKUP($D309,素材!$1:$1016,COLUMN($F$1),FALSE), "・", 0)) + 1), 0)</f>
        <v>0</v>
      </c>
      <c r="AF309">
        <f>IF(ISNUMBER(SEARCH(SUBSTITUTE(AF$1,RIGHT(AF$1,2),""),VLOOKUP($D309,素材!$1:$1016,COLUMN($F$1),FALSE))),VLOOKUP($C309,武器!$1:$998,COLUMN($O$1),FALSE)*VLOOKUP($D309,素材!$1:$1016,COLUMN($E$1),FALSE)/(LEN(VLOOKUP($D309,素材!$1:$1016,COLUMN($F$1),FALSE)) - LEN(SUBSTITUTE(VLOOKUP($D309,素材!$1:$1016,COLUMN($F$1),FALSE), "・", 0)) + 1), 0)</f>
        <v>0</v>
      </c>
      <c r="AG309">
        <f>IF(ISNUMBER(SEARCH(SUBSTITUTE(AG$1,RIGHT(AG$1,2),""),VLOOKUP($D309,素材!$1:$1016,COLUMN($F$1),FALSE))),VLOOKUP($C309,武器!$1:$998,COLUMN($O$1),FALSE)*VLOOKUP($D309,素材!$1:$1016,COLUMN($E$1),FALSE)/(LEN(VLOOKUP($D309,素材!$1:$1016,COLUMN($F$1),FALSE)) - LEN(SUBSTITUTE(VLOOKUP($D309,素材!$1:$1016,COLUMN($F$1),FALSE), "・", 0)) + 1), 0)</f>
        <v>0</v>
      </c>
      <c r="AH309">
        <f>IF(ISNUMBER(SEARCH(SUBSTITUTE(AH$1,RIGHT(AH$1,2),""),VLOOKUP($D309,素材!$1:$1016,COLUMN($F$1),FALSE))),VLOOKUP($C309,武器!$1:$998,COLUMN($O$1),FALSE)*VLOOKUP($D309,素材!$1:$1016,COLUMN($E$1),FALSE)/(LEN(VLOOKUP($D309,素材!$1:$1016,COLUMN($F$1),FALSE)) - LEN(SUBSTITUTE(VLOOKUP($D309,素材!$1:$1016,COLUMN($F$1),FALSE), "・", 0)) + 1), 0)</f>
        <v>0</v>
      </c>
      <c r="AI309">
        <f>IF(ISNUMBER(SEARCH(SUBSTITUTE(AI$1,RIGHT(AI$1,2),""),VLOOKUP($D309,素材!$1:$1016,COLUMN($F$1),FALSE))),VLOOKUP($C309,武器!$1:$998,COLUMN($O$1),FALSE)*VLOOKUP($D309,素材!$1:$1016,COLUMN($E$1),FALSE)/(LEN(VLOOKUP($D309,素材!$1:$1016,COLUMN($F$1),FALSE)) - LEN(SUBSTITUTE(VLOOKUP($D309,素材!$1:$1016,COLUMN($F$1),FALSE), "・", 0)) + 1), 0)</f>
        <v>0</v>
      </c>
      <c r="AJ309">
        <f>IF(ISNUMBER(SEARCH(SUBSTITUTE(AJ$1,RIGHT(AJ$1,2),""),VLOOKUP($D309,素材!$1:$1016,COLUMN($F$1),FALSE))),VLOOKUP($C309,武器!$1:$998,COLUMN($O$1),FALSE)*VLOOKUP($D309,素材!$1:$1016,COLUMN($E$1),FALSE)/(LEN(VLOOKUP($D309,素材!$1:$1016,COLUMN($F$1),FALSE)) - LEN(SUBSTITUTE(VLOOKUP($D309,素材!$1:$1016,COLUMN($F$1),FALSE), "・", 0)) + 1), 0)</f>
        <v>0</v>
      </c>
      <c r="AK309">
        <f>IF(ISNUMBER(SEARCH(SUBSTITUTE(AK$1,RIGHT(AK$1,2),""),VLOOKUP($D309,素材!$1:$1016,COLUMN($F$1),FALSE))),VLOOKUP($C309,武器!$1:$998,COLUMN($O$1),FALSE)*VLOOKUP($D309,素材!$1:$1016,COLUMN($E$1),FALSE)/(LEN(VLOOKUP($D309,素材!$1:$1016,COLUMN($F$1),FALSE)) - LEN(SUBSTITUTE(VLOOKUP($D309,素材!$1:$1016,COLUMN($F$1),FALSE), "・", 0)) + 1), 0)</f>
        <v>0</v>
      </c>
      <c r="AL309">
        <f>IF(ISNUMBER(SEARCH(SUBSTITUTE(AL$1,RIGHT(AL$1,2),""),VLOOKUP($D309,素材!$1:$1016,COLUMN($F$1),FALSE))),VLOOKUP($C309,武器!$1:$998,COLUMN($O$1),FALSE)*VLOOKUP($D309,素材!$1:$1016,COLUMN($E$1),FALSE)/(LEN(VLOOKUP($D309,素材!$1:$1016,COLUMN($F$1),FALSE)) - LEN(SUBSTITUTE(VLOOKUP($D309,素材!$1:$1016,COLUMN($F$1),FALSE), "・", 0)) + 1), 0)</f>
        <v>0</v>
      </c>
      <c r="AM309">
        <f>IF(ISNUMBER(SEARCH(SUBSTITUTE(AM$1,RIGHT(AM$1,2),""),VLOOKUP($D309,素材!$1:$1016,COLUMN($F$1),FALSE))),VLOOKUP($C309,武器!$1:$998,COLUMN($O$1),FALSE)*VLOOKUP($D309,素材!$1:$1016,COLUMN($E$1),FALSE)/(LEN(VLOOKUP($D309,素材!$1:$1016,COLUMN($F$1),FALSE)) - LEN(SUBSTITUTE(VLOOKUP($D309,素材!$1:$1016,COLUMN($F$1),FALSE), "・", 0)) + 1), 0)</f>
        <v>0</v>
      </c>
      <c r="AN309">
        <f>IF(ISNUMBER(SEARCH(SUBSTITUTE(AN$1,RIGHT(AN$1,2),""),VLOOKUP($D309,素材!$1:$1016,COLUMN($F$1),FALSE))),VLOOKUP($C309,武器!$1:$998,COLUMN($O$1),FALSE)*VLOOKUP($D309,素材!$1:$1016,COLUMN($E$1),FALSE)/(LEN(VLOOKUP($D309,素材!$1:$1016,COLUMN($F$1),FALSE)) - LEN(SUBSTITUTE(VLOOKUP($D309,素材!$1:$1016,COLUMN($F$1),FALSE), "・", 0)) + 1), 0)</f>
        <v>0</v>
      </c>
      <c r="AO309">
        <f>IF(ISNUMBER(SEARCH(SUBSTITUTE(AO$1,RIGHT(AO$1,2),""),VLOOKUP($D309,素材!$1:$1016,COLUMN($F$1),FALSE))),VLOOKUP($C309,武器!$1:$998,COLUMN($O$1),FALSE)*VLOOKUP($D309,素材!$1:$1016,COLUMN($E$1),FALSE)/(LEN(VLOOKUP($D309,素材!$1:$1016,COLUMN($F$1),FALSE)) - LEN(SUBSTITUTE(VLOOKUP($D309,素材!$1:$1016,COLUMN($F$1),FALSE), "・", 0)) + 1), 0)</f>
        <v>0</v>
      </c>
      <c r="AP309">
        <f>IF(ISNUMBER(SEARCH(SUBSTITUTE(AP$1,RIGHT(AP$1,2),""),VLOOKUP($D309,素材!$1:$1016,COLUMN($F$1),FALSE))),VLOOKUP($C309,武器!$1:$998,COLUMN($O$1),FALSE)*VLOOKUP($D309,素材!$1:$1016,COLUMN($E$1),FALSE)/(LEN(VLOOKUP($D309,素材!$1:$1016,COLUMN($F$1),FALSE)) - LEN(SUBSTITUTE(VLOOKUP($D309,素材!$1:$1016,COLUMN($F$1),FALSE), "・", 0)) + 1), 0)</f>
        <v>0</v>
      </c>
      <c r="AQ309">
        <f>IF(ISNUMBER(SEARCH(SUBSTITUTE(AQ$1,RIGHT(AQ$1,2),""),VLOOKUP($D309,素材!$1:$1016,COLUMN($F$1),FALSE))),VLOOKUP($C309,武器!$1:$998,COLUMN($O$1),FALSE)*VLOOKUP($D309,素材!$1:$1016,COLUMN($E$1),FALSE)/(LEN(VLOOKUP($D309,素材!$1:$1016,COLUMN($F$1),FALSE)) - LEN(SUBSTITUTE(VLOOKUP($D309,素材!$1:$1016,COLUMN($F$1),FALSE), "・", 0)) + 1), 0)</f>
        <v>0</v>
      </c>
      <c r="AR309">
        <f>IF(ISNUMBER(SEARCH(SUBSTITUTE(AR$1,RIGHT(AR$1,2),""),VLOOKUP($D309,素材!$1:$1016,COLUMN($F$1),FALSE))),VLOOKUP($C309,武器!$1:$998,COLUMN($O$1),FALSE)*VLOOKUP($D309,素材!$1:$1016,COLUMN($E$1),FALSE)/(LEN(VLOOKUP($D309,素材!$1:$1016,COLUMN($F$1),FALSE)) - LEN(SUBSTITUTE(VLOOKUP($D309,素材!$1:$1016,COLUMN($F$1),FALSE), "・", 0)) + 1), 0)</f>
        <v>0</v>
      </c>
      <c r="AS309">
        <f>IF(ISNUMBER(SEARCH(SUBSTITUTE(AS$1,RIGHT(AS$1,2),""),VLOOKUP($D309,素材!$1:$1016,COLUMN($F$1),FALSE))),VLOOKUP($C309,武器!$1:$998,COLUMN($O$1),FALSE)*VLOOKUP($D309,素材!$1:$1016,COLUMN($E$1),FALSE)/(LEN(VLOOKUP($D309,素材!$1:$1016,COLUMN($F$1),FALSE)) - LEN(SUBSTITUTE(VLOOKUP($D309,素材!$1:$1016,COLUMN($F$1),FALSE), "・", 0)) + 1), 0)</f>
        <v>0</v>
      </c>
      <c r="AT309">
        <f>IF(ISNUMBER(SEARCH(SUBSTITUTE(AT$1,RIGHT(AT$1,2),""),VLOOKUP($D309,素材!$1:$1016,COLUMN($F$1),FALSE))),VLOOKUP($C309,武器!$1:$998,COLUMN($O$1),FALSE)*VLOOKUP($D309,素材!$1:$1016,COLUMN($E$1),FALSE)/(LEN(VLOOKUP($D309,素材!$1:$1016,COLUMN($F$1),FALSE)) - LEN(SUBSTITUTE(VLOOKUP($D309,素材!$1:$1016,COLUMN($F$1),FALSE), "・", 0)) + 1), 0)</f>
        <v>0</v>
      </c>
      <c r="AU309">
        <f>IF(ISNUMBER(SEARCH(SUBSTITUTE(AU$1,RIGHT(AU$1,2),""),VLOOKUP($D309,素材!$1:$1016,COLUMN($F$1),FALSE))),VLOOKUP($C309,武器!$1:$998,COLUMN($O$1),FALSE)*VLOOKUP($D309,素材!$1:$1016,COLUMN($E$1),FALSE)/(LEN(VLOOKUP($D309,素材!$1:$1016,COLUMN($F$1),FALSE)) - LEN(SUBSTITUTE(VLOOKUP($D309,素材!$1:$1016,COLUMN($F$1),FALSE), "・", 0)) + 1), 0)</f>
        <v>0</v>
      </c>
      <c r="AV309">
        <f>IF(ISNUMBER(SEARCH(SUBSTITUTE(AV$1,RIGHT(AV$1,2),""),VLOOKUP($D309,素材!$1:$1016,COLUMN($F$1),FALSE))),VLOOKUP($C309,武器!$1:$998,COLUMN($O$1),FALSE)*VLOOKUP($D309,素材!$1:$1016,COLUMN($E$1),FALSE)/(LEN(VLOOKUP($D309,素材!$1:$1016,COLUMN($F$1),FALSE)) - LEN(SUBSTITUTE(VLOOKUP($D309,素材!$1:$1016,COLUMN($F$1),FALSE), "・", 0)) + 1), 0)</f>
        <v>0</v>
      </c>
      <c r="AW309">
        <f>IF(ISNUMBER(SEARCH(SUBSTITUTE(AW$1,RIGHT(AW$1,2),""),VLOOKUP($D309,素材!$1:$1016,COLUMN($F$1),FALSE))),VLOOKUP($C309,武器!$1:$998,COLUMN($O$1),FALSE)*VLOOKUP($D309,素材!$1:$1016,COLUMN($E$1),FALSE)/(LEN(VLOOKUP($D309,素材!$1:$1016,COLUMN($F$1),FALSE)) - LEN(SUBSTITUTE(VLOOKUP($D309,素材!$1:$1016,COLUMN($F$1),FALSE), "・", 0)) + 1), 0)</f>
        <v>0</v>
      </c>
      <c r="AX309">
        <f>IF(ISNUMBER(SEARCH(SUBSTITUTE(AX$1,RIGHT(AX$1,2),""),VLOOKUP($D309,素材!$1:$1016,COLUMN($F$1),FALSE))),VLOOKUP($C309,武器!$1:$998,COLUMN($O$1),FALSE)*VLOOKUP($D309,素材!$1:$1016,COLUMN($E$1),FALSE)/(LEN(VLOOKUP($D309,素材!$1:$1016,COLUMN($F$1),FALSE)) - LEN(SUBSTITUTE(VLOOKUP($D309,素材!$1:$1016,COLUMN($F$1),FALSE), "・", 0)) + 1), 0)</f>
        <v>0</v>
      </c>
      <c r="AY309">
        <f>IF(ISNUMBER(SEARCH(SUBSTITUTE(AY$1,RIGHT(AY$1,2),""),VLOOKUP($D309,素材!$1:$1016,COLUMN($F$1),FALSE))),VLOOKUP($C309,武器!$1:$998,COLUMN($O$1),FALSE)*VLOOKUP($D309,素材!$1:$1016,COLUMN($E$1),FALSE)/(LEN(VLOOKUP($D309,素材!$1:$1016,COLUMN($F$1),FALSE)) - LEN(SUBSTITUTE(VLOOKUP($D309,素材!$1:$1016,COLUMN($F$1),FALSE), "・", 0)) + 1), 0)</f>
        <v>0</v>
      </c>
      <c r="AZ309">
        <f>IF(ISNUMBER(SEARCH(SUBSTITUTE(AZ$1,RIGHT(AZ$1,2),""),VLOOKUP($D309,素材!$1:$1016,COLUMN($F$1),FALSE))),VLOOKUP($C309,武器!$1:$998,COLUMN($O$1),FALSE)*VLOOKUP($D309,素材!$1:$1016,COLUMN($E$1),FALSE)/(LEN(VLOOKUP($D309,素材!$1:$1016,COLUMN($F$1),FALSE)) - LEN(SUBSTITUTE(VLOOKUP($D309,素材!$1:$1016,COLUMN($F$1),FALSE), "・", 0)) + 1), 0)</f>
        <v>0</v>
      </c>
      <c r="BA309">
        <f>IF(ISNUMBER(SEARCH(SUBSTITUTE(BA$1,RIGHT(BA$1,2),""),VLOOKUP($D309,素材!$1:$1016,COLUMN($F$1),FALSE))),VLOOKUP($C309,武器!$1:$998,COLUMN($O$1),FALSE)*VLOOKUP($D309,素材!$1:$1016,COLUMN($E$1),FALSE)/(LEN(VLOOKUP($D309,素材!$1:$1016,COLUMN($F$1),FALSE)) - LEN(SUBSTITUTE(VLOOKUP($D309,素材!$1:$1016,COLUMN($F$1),FALSE), "・", 0)) + 1), 0)</f>
        <v>0</v>
      </c>
      <c r="BB309">
        <f>IF(ISNUMBER(SEARCH(SUBSTITUTE(BB$1,RIGHT(BB$1,2),""),VLOOKUP($D309,素材!$1:$1016,COLUMN($F$1),FALSE))),VLOOKUP($C309,武器!$1:$998,COLUMN($O$1),FALSE)*VLOOKUP($D309,素材!$1:$1016,COLUMN($E$1),FALSE)/(LEN(VLOOKUP($D309,素材!$1:$1016,COLUMN($F$1),FALSE)) - LEN(SUBSTITUTE(VLOOKUP($D309,素材!$1:$1016,COLUMN($F$1),FALSE), "・", 0)) + 1), 0)</f>
        <v>0</v>
      </c>
      <c r="BC309">
        <f>IF(ISNUMBER(SEARCH(SUBSTITUTE(BC$1,RIGHT(BC$1,2),""),VLOOKUP($D309,素材!$1:$1016,COLUMN($F$1),FALSE))),VLOOKUP($C309,武器!$1:$998,COLUMN($O$1),FALSE)*VLOOKUP($D309,素材!$1:$1016,COLUMN($E$1),FALSE)/(LEN(VLOOKUP($D309,素材!$1:$1016,COLUMN($F$1),FALSE)) - LEN(SUBSTITUTE(VLOOKUP($D309,素材!$1:$1016,COLUMN($F$1),FALSE), "・", 0)) + 1), 0)</f>
        <v>0</v>
      </c>
      <c r="BD309">
        <f>IF(ISNUMBER(SEARCH(SUBSTITUTE(BD$1,RIGHT(BD$1,2),""),VLOOKUP($D309,素材!$1:$1016,COLUMN($F$1),FALSE))),VLOOKUP($C309,武器!$1:$998,COLUMN($O$1),FALSE)*VLOOKUP($D309,素材!$1:$1016,COLUMN($E$1),FALSE)/(LEN(VLOOKUP($D309,素材!$1:$1016,COLUMN($F$1),FALSE)) - LEN(SUBSTITUTE(VLOOKUP($D309,素材!$1:$1016,COLUMN($F$1),FALSE), "・", 0)) + 1), 0)</f>
        <v>0</v>
      </c>
      <c r="BE309">
        <f>IF(ISNUMBER(SEARCH(SUBSTITUTE(BE$1,RIGHT(BE$1,2),""),VLOOKUP($D309,素材!$1:$1016,COLUMN($F$1),FALSE))),VLOOKUP($C309,武器!$1:$998,COLUMN($O$1),FALSE)*VLOOKUP($D309,素材!$1:$1016,COLUMN($E$1),FALSE)/(LEN(VLOOKUP($D309,素材!$1:$1016,COLUMN($F$1),FALSE)) - LEN(SUBSTITUTE(VLOOKUP($D309,素材!$1:$1016,COLUMN($F$1),FALSE), "・", 0)) + 1), 0)</f>
        <v>0</v>
      </c>
      <c r="CL309">
        <f>SUM(G309:I309)</f>
        <v>0</v>
      </c>
      <c r="CM309" s="22" t="str">
        <f>IF(E309="武器",IF(J309-1&gt;SUM(G309:I309),"盾",IF(MAX(G309:I309)=G309,"切断",IF(MAX(G309:I309)=H309,"貫通",IF(MAX(G309:I309)=I309,"打撃","射撃")))),E309)&amp;".webp"</f>
        <v>.webp</v>
      </c>
      <c r="CN309" t="str">
        <f>IFERROR(VLOOKUP($C309,武器!$1:$998,COLUMN(V$1),FALSE)*VLOOKUP($D309,素材!$1:$1016,COLUMN(N$1),FALSE)+IF(CI309="",0,VLOOKUP($CI309,装強!$1:$1008,COLUMN($CK$1),FALSE)),"")</f>
        <v/>
      </c>
      <c r="CO309" t="e">
        <f>VLOOKUP(D309,素材!$A:$O,COLUMN(素材!O$1),FALSE)</f>
        <v>#N/A</v>
      </c>
      <c r="CP309" t="e">
        <f>VLOOKUP(C309,武器!$A:$W,COLUMN(武器!W$1),FALSE)</f>
        <v>#N/A</v>
      </c>
      <c r="CR309" t="str">
        <f t="shared" si="33"/>
        <v>e_309</v>
      </c>
      <c r="CS309" t="e">
        <f t="shared" si="34"/>
        <v>#VALUE!</v>
      </c>
    </row>
    <row r="310" spans="1:97" hidden="1" outlineLevel="1" x14ac:dyDescent="0.4">
      <c r="A310" t="str">
        <f>IF(CI310="",D310&amp;"の"&amp;C310,CI310&amp;"の"&amp;C310)</f>
        <v>の</v>
      </c>
      <c r="B310" t="str">
        <f>IFERROR(IF(CI310="",VLOOKUP($D310,素材!$1:$1016,COLUMN($B$1),FALSE)&amp;"・"&amp;VLOOKUP($C310,武器!$1:$998,COLUMN(B$1),FALSE),VLOOKUP($CI310,装強!$1:$1008,COLUMN($B$1),FALSE)&amp;"・"&amp;VLOOKUP($C310,武器!$1:$998,COLUMN(B$1),FALSE)),"")</f>
        <v/>
      </c>
      <c r="C310" s="24"/>
      <c r="D310" s="24"/>
      <c r="E310" t="str">
        <f>IFERROR(VLOOKUP(C310,武器!$1:$998,COLUMN(C$1),FALSE),"")</f>
        <v/>
      </c>
      <c r="F310" t="str">
        <f>IFERROR(ROUNDDOWN((VLOOKUP($C310,武器!$1:$998,COLUMN(D$1),FALSE)+IFERROR(VLOOKUP($CI310,装強!$1:$999,COLUMN(F$1),FALSE),0))*VLOOKUP($D310,素材!$1:$1016,COLUMN(D$1),FALSE),0),"")</f>
        <v/>
      </c>
      <c r="G310" t="str">
        <f>IFERROR(ROUNDDOWN((VLOOKUP($C310,武器!$1:$998,COLUMN(E$1),FALSE)+IFERROR(VLOOKUP($CI310,装強!$1:$999,COLUMN(G$1),FALSE),0))*VLOOKUP($D310,素材!$1:$1016,COLUMN($E$1),FALSE),0),"")</f>
        <v/>
      </c>
      <c r="H310" t="str">
        <f>IFERROR(ROUNDDOWN((VLOOKUP($C310,武器!$1:$998,COLUMN(F$1),FALSE)+IFERROR(VLOOKUP($CI310,装強!$1:$999,COLUMN(H$1),FALSE),0))*VLOOKUP($D310,素材!$1:$1016,COLUMN($E$1),FALSE),0),"")</f>
        <v/>
      </c>
      <c r="I310" t="str">
        <f>IFERROR(ROUNDDOWN((VLOOKUP($C310,武器!$1:$998,COLUMN(G$1),FALSE)+IFERROR(VLOOKUP($CI310,装強!$1:$999,COLUMN(I$1),FALSE),0))*VLOOKUP($D310,素材!$1:$1016,COLUMN($E$1),FALSE),0),"")</f>
        <v/>
      </c>
      <c r="J310" t="str">
        <f>IFERROR(ROUNDDOWN((VLOOKUP($C310,武器!$1:$998,COLUMN(H$1),FALSE)+IFERROR(VLOOKUP($CI310,装強!$1:$999,COLUMN(J$1),FALSE),0))*VLOOKUP($D310,素材!$1:$1016,COLUMN($E$1),FALSE),0),"")</f>
        <v/>
      </c>
      <c r="K310" t="str">
        <f>IFERROR(ROUNDDOWN((VLOOKUP($C310,武器!$1:$998,COLUMN(I$1),FALSE)+IFERROR(VLOOKUP($CI310,装強!$1:$999,COLUMN(K$1),FALSE),0))*VLOOKUP($D310,素材!$1:$1016,COLUMN($E$1),FALSE),0),"")</f>
        <v/>
      </c>
      <c r="L310" t="str">
        <f>IFERROR(VLOOKUP($D310,素材!$1:$1016,COLUMN($F$1),FALSE),"")</f>
        <v/>
      </c>
      <c r="M310" t="str">
        <f>IFERROR(VLOOKUP($C310,武器!$1:$998,COLUMN(AA$1),FALSE)*VLOOKUP($D310,素材!$1:$1016,COLUMN($G$1),FALSE),"")</f>
        <v/>
      </c>
      <c r="N310" t="str">
        <f>IFERROR(VLOOKUP($C310,武器!$1:$998,COLUMN(I$1),FALSE),"")</f>
        <v/>
      </c>
      <c r="O310" s="23" t="str">
        <f>IFERROR((VLOOKUP($C310,武器!$1:$998,COLUMN(K$1),FALSE)+VLOOKUP($D310,素材!$1:$1016,COLUMN(H$1),FALSE))*100+IFERROR(VLOOKUP($CI310,装強!$1:$999,COLUMN(O$1),FALSE),0),"")</f>
        <v/>
      </c>
      <c r="P310" s="23" t="str">
        <f>IFERROR((VLOOKUP($C310,武器!$1:$998,COLUMN(L$1),FALSE)+VLOOKUP($D310,素材!$1:$1016,COLUMN(I$1),FALSE))*100+IFERROR(VLOOKUP($CI310,装強!$1:$999,COLUMN(P$1),FALSE),0),"")</f>
        <v/>
      </c>
      <c r="Q310" t="str">
        <f>IFERROR(ROUNDUP(VLOOKUP($C310,武器!$1:$998,COLUMN(M$1),FALSE)*(VLOOKUP($D310,素材!$1:$1002,COLUMN(D$1),FALSE)/100),1),"")</f>
        <v/>
      </c>
      <c r="R310" t="str">
        <f>IFERROR(ROUNDUP(VLOOKUP($C310,武器!$1:$998,COLUMN(N$1),FALSE)*(VLOOKUP($D310,素材!$1:$1002,COLUMN(D$1),FALSE)/100),1),"")</f>
        <v/>
      </c>
      <c r="S310" t="str">
        <f>IFERROR(VLOOKUP($C310,武器!$1:$998,COLUMN(P$1),FALSE),"")</f>
        <v/>
      </c>
      <c r="T310" t="str">
        <f>IFERROR(VLOOKUP($C310,武器!$1:$998,COLUMN(Q$1),FALSE),"")</f>
        <v/>
      </c>
      <c r="U310" t="str">
        <f>IFERROR(VLOOKUP($C310,武器!$1:$998,COLUMN(R$1),FALSE),"")</f>
        <v/>
      </c>
      <c r="V310" t="str">
        <f>IFERROR(VLOOKUP($C310,武器!$1:$998,COLUMN(Q$1),FALSE),"")</f>
        <v/>
      </c>
      <c r="W310" t="str">
        <f>IFERROR(VLOOKUP($C310,武器!$1:$998,COLUMN(T$1),FALSE),"")</f>
        <v/>
      </c>
      <c r="Y310" t="str">
        <f>IFERROR(VLOOKUP($C310,武器!$1:$998,COLUMN(U$1),FALSE),"")</f>
        <v/>
      </c>
      <c r="Z310" t="str">
        <f>IFERROR(ROUNDUP(VLOOKUP($C310,武器!$1:$998,COLUMN(O$1),FALSE)*VLOOKUP($D310,素材!$1:$1016,COLUMN(E$1),FALSE),1),"")</f>
        <v/>
      </c>
      <c r="AA310">
        <f>IF(ISNUMBER(SEARCH(SUBSTITUTE(AA$1,RIGHT(AA$1,2),""),VLOOKUP($D310,素材!$1:$1016,COLUMN($F$1),FALSE))),VLOOKUP($C310,武器!$1:$998,COLUMN($O$1),FALSE)*VLOOKUP($D310,素材!$1:$1016,COLUMN($E$1),FALSE)/(LEN(VLOOKUP($D310,素材!$1:$1016,COLUMN($F$1),FALSE)) - LEN(SUBSTITUTE(VLOOKUP($D310,素材!$1:$1016,COLUMN($F$1),FALSE), "・", 0)) + 1), 0)</f>
        <v>0</v>
      </c>
      <c r="AB310">
        <f>IF(ISNUMBER(SEARCH(SUBSTITUTE(AB$1,RIGHT(AB$1,2),""),VLOOKUP($D310,素材!$1:$1016,COLUMN($F$1),FALSE))),VLOOKUP($C310,武器!$1:$998,COLUMN($O$1),FALSE)*VLOOKUP($D310,素材!$1:$1016,COLUMN($E$1),FALSE)/(LEN(VLOOKUP($D310,素材!$1:$1016,COLUMN($F$1),FALSE)) - LEN(SUBSTITUTE(VLOOKUP($D310,素材!$1:$1016,COLUMN($F$1),FALSE), "・", 0)) + 1), 0)</f>
        <v>0</v>
      </c>
      <c r="AC310">
        <f>IF(ISNUMBER(SEARCH(SUBSTITUTE(AC$1,RIGHT(AC$1,2),""),VLOOKUP($D310,素材!$1:$1016,COLUMN($F$1),FALSE))),VLOOKUP($C310,武器!$1:$998,COLUMN($O$1),FALSE)*VLOOKUP($D310,素材!$1:$1016,COLUMN($E$1),FALSE)/(LEN(VLOOKUP($D310,素材!$1:$1016,COLUMN($F$1),FALSE)) - LEN(SUBSTITUTE(VLOOKUP($D310,素材!$1:$1016,COLUMN($F$1),FALSE), "・", 0)) + 1), 0)</f>
        <v>0</v>
      </c>
      <c r="AD310">
        <f>IF(ISNUMBER(SEARCH(SUBSTITUTE(AD$1,RIGHT(AD$1,2),""),VLOOKUP($D310,素材!$1:$1016,COLUMN($F$1),FALSE))),VLOOKUP($C310,武器!$1:$998,COLUMN($O$1),FALSE)*VLOOKUP($D310,素材!$1:$1016,COLUMN($E$1),FALSE)/(LEN(VLOOKUP($D310,素材!$1:$1016,COLUMN($F$1),FALSE)) - LEN(SUBSTITUTE(VLOOKUP($D310,素材!$1:$1016,COLUMN($F$1),FALSE), "・", 0)) + 1), 0)</f>
        <v>0</v>
      </c>
      <c r="AE310">
        <f>IF(ISNUMBER(SEARCH(SUBSTITUTE(AE$1,RIGHT(AE$1,2),""),VLOOKUP($D310,素材!$1:$1016,COLUMN($F$1),FALSE))),VLOOKUP($C310,武器!$1:$998,COLUMN($O$1),FALSE)*VLOOKUP($D310,素材!$1:$1016,COLUMN($E$1),FALSE)/(LEN(VLOOKUP($D310,素材!$1:$1016,COLUMN($F$1),FALSE)) - LEN(SUBSTITUTE(VLOOKUP($D310,素材!$1:$1016,COLUMN($F$1),FALSE), "・", 0)) + 1), 0)</f>
        <v>0</v>
      </c>
      <c r="AF310">
        <f>IF(ISNUMBER(SEARCH(SUBSTITUTE(AF$1,RIGHT(AF$1,2),""),VLOOKUP($D310,素材!$1:$1016,COLUMN($F$1),FALSE))),VLOOKUP($C310,武器!$1:$998,COLUMN($O$1),FALSE)*VLOOKUP($D310,素材!$1:$1016,COLUMN($E$1),FALSE)/(LEN(VLOOKUP($D310,素材!$1:$1016,COLUMN($F$1),FALSE)) - LEN(SUBSTITUTE(VLOOKUP($D310,素材!$1:$1016,COLUMN($F$1),FALSE), "・", 0)) + 1), 0)</f>
        <v>0</v>
      </c>
      <c r="AG310">
        <f>IF(ISNUMBER(SEARCH(SUBSTITUTE(AG$1,RIGHT(AG$1,2),""),VLOOKUP($D310,素材!$1:$1016,COLUMN($F$1),FALSE))),VLOOKUP($C310,武器!$1:$998,COLUMN($O$1),FALSE)*VLOOKUP($D310,素材!$1:$1016,COLUMN($E$1),FALSE)/(LEN(VLOOKUP($D310,素材!$1:$1016,COLUMN($F$1),FALSE)) - LEN(SUBSTITUTE(VLOOKUP($D310,素材!$1:$1016,COLUMN($F$1),FALSE), "・", 0)) + 1), 0)</f>
        <v>0</v>
      </c>
      <c r="AH310">
        <f>IF(ISNUMBER(SEARCH(SUBSTITUTE(AH$1,RIGHT(AH$1,2),""),VLOOKUP($D310,素材!$1:$1016,COLUMN($F$1),FALSE))),VLOOKUP($C310,武器!$1:$998,COLUMN($O$1),FALSE)*VLOOKUP($D310,素材!$1:$1016,COLUMN($E$1),FALSE)/(LEN(VLOOKUP($D310,素材!$1:$1016,COLUMN($F$1),FALSE)) - LEN(SUBSTITUTE(VLOOKUP($D310,素材!$1:$1016,COLUMN($F$1),FALSE), "・", 0)) + 1), 0)</f>
        <v>0</v>
      </c>
      <c r="AI310">
        <f>IF(ISNUMBER(SEARCH(SUBSTITUTE(AI$1,RIGHT(AI$1,2),""),VLOOKUP($D310,素材!$1:$1016,COLUMN($F$1),FALSE))),VLOOKUP($C310,武器!$1:$998,COLUMN($O$1),FALSE)*VLOOKUP($D310,素材!$1:$1016,COLUMN($E$1),FALSE)/(LEN(VLOOKUP($D310,素材!$1:$1016,COLUMN($F$1),FALSE)) - LEN(SUBSTITUTE(VLOOKUP($D310,素材!$1:$1016,COLUMN($F$1),FALSE), "・", 0)) + 1), 0)</f>
        <v>0</v>
      </c>
      <c r="AJ310">
        <f>IF(ISNUMBER(SEARCH(SUBSTITUTE(AJ$1,RIGHT(AJ$1,2),""),VLOOKUP($D310,素材!$1:$1016,COLUMN($F$1),FALSE))),VLOOKUP($C310,武器!$1:$998,COLUMN($O$1),FALSE)*VLOOKUP($D310,素材!$1:$1016,COLUMN($E$1),FALSE)/(LEN(VLOOKUP($D310,素材!$1:$1016,COLUMN($F$1),FALSE)) - LEN(SUBSTITUTE(VLOOKUP($D310,素材!$1:$1016,COLUMN($F$1),FALSE), "・", 0)) + 1), 0)</f>
        <v>0</v>
      </c>
      <c r="AK310">
        <f>IF(ISNUMBER(SEARCH(SUBSTITUTE(AK$1,RIGHT(AK$1,2),""),VLOOKUP($D310,素材!$1:$1016,COLUMN($F$1),FALSE))),VLOOKUP($C310,武器!$1:$998,COLUMN($O$1),FALSE)*VLOOKUP($D310,素材!$1:$1016,COLUMN($E$1),FALSE)/(LEN(VLOOKUP($D310,素材!$1:$1016,COLUMN($F$1),FALSE)) - LEN(SUBSTITUTE(VLOOKUP($D310,素材!$1:$1016,COLUMN($F$1),FALSE), "・", 0)) + 1), 0)</f>
        <v>0</v>
      </c>
      <c r="AL310">
        <f>IF(ISNUMBER(SEARCH(SUBSTITUTE(AL$1,RIGHT(AL$1,2),""),VLOOKUP($D310,素材!$1:$1016,COLUMN($F$1),FALSE))),VLOOKUP($C310,武器!$1:$998,COLUMN($O$1),FALSE)*VLOOKUP($D310,素材!$1:$1016,COLUMN($E$1),FALSE)/(LEN(VLOOKUP($D310,素材!$1:$1016,COLUMN($F$1),FALSE)) - LEN(SUBSTITUTE(VLOOKUP($D310,素材!$1:$1016,COLUMN($F$1),FALSE), "・", 0)) + 1), 0)</f>
        <v>0</v>
      </c>
      <c r="AM310">
        <f>IF(ISNUMBER(SEARCH(SUBSTITUTE(AM$1,RIGHT(AM$1,2),""),VLOOKUP($D310,素材!$1:$1016,COLUMN($F$1),FALSE))),VLOOKUP($C310,武器!$1:$998,COLUMN($O$1),FALSE)*VLOOKUP($D310,素材!$1:$1016,COLUMN($E$1),FALSE)/(LEN(VLOOKUP($D310,素材!$1:$1016,COLUMN($F$1),FALSE)) - LEN(SUBSTITUTE(VLOOKUP($D310,素材!$1:$1016,COLUMN($F$1),FALSE), "・", 0)) + 1), 0)</f>
        <v>0</v>
      </c>
      <c r="AN310">
        <f>IF(ISNUMBER(SEARCH(SUBSTITUTE(AN$1,RIGHT(AN$1,2),""),VLOOKUP($D310,素材!$1:$1016,COLUMN($F$1),FALSE))),VLOOKUP($C310,武器!$1:$998,COLUMN($O$1),FALSE)*VLOOKUP($D310,素材!$1:$1016,COLUMN($E$1),FALSE)/(LEN(VLOOKUP($D310,素材!$1:$1016,COLUMN($F$1),FALSE)) - LEN(SUBSTITUTE(VLOOKUP($D310,素材!$1:$1016,COLUMN($F$1),FALSE), "・", 0)) + 1), 0)</f>
        <v>0</v>
      </c>
      <c r="AO310">
        <f>IF(ISNUMBER(SEARCH(SUBSTITUTE(AO$1,RIGHT(AO$1,2),""),VLOOKUP($D310,素材!$1:$1016,COLUMN($F$1),FALSE))),VLOOKUP($C310,武器!$1:$998,COLUMN($O$1),FALSE)*VLOOKUP($D310,素材!$1:$1016,COLUMN($E$1),FALSE)/(LEN(VLOOKUP($D310,素材!$1:$1016,COLUMN($F$1),FALSE)) - LEN(SUBSTITUTE(VLOOKUP($D310,素材!$1:$1016,COLUMN($F$1),FALSE), "・", 0)) + 1), 0)</f>
        <v>0</v>
      </c>
      <c r="AP310">
        <f>IF(ISNUMBER(SEARCH(SUBSTITUTE(AP$1,RIGHT(AP$1,2),""),VLOOKUP($D310,素材!$1:$1016,COLUMN($F$1),FALSE))),VLOOKUP($C310,武器!$1:$998,COLUMN($O$1),FALSE)*VLOOKUP($D310,素材!$1:$1016,COLUMN($E$1),FALSE)/(LEN(VLOOKUP($D310,素材!$1:$1016,COLUMN($F$1),FALSE)) - LEN(SUBSTITUTE(VLOOKUP($D310,素材!$1:$1016,COLUMN($F$1),FALSE), "・", 0)) + 1), 0)</f>
        <v>0</v>
      </c>
      <c r="AQ310">
        <f>IF(ISNUMBER(SEARCH(SUBSTITUTE(AQ$1,RIGHT(AQ$1,2),""),VLOOKUP($D310,素材!$1:$1016,COLUMN($F$1),FALSE))),VLOOKUP($C310,武器!$1:$998,COLUMN($O$1),FALSE)*VLOOKUP($D310,素材!$1:$1016,COLUMN($E$1),FALSE)/(LEN(VLOOKUP($D310,素材!$1:$1016,COLUMN($F$1),FALSE)) - LEN(SUBSTITUTE(VLOOKUP($D310,素材!$1:$1016,COLUMN($F$1),FALSE), "・", 0)) + 1), 0)</f>
        <v>0</v>
      </c>
      <c r="AR310">
        <f>IF(ISNUMBER(SEARCH(SUBSTITUTE(AR$1,RIGHT(AR$1,2),""),VLOOKUP($D310,素材!$1:$1016,COLUMN($F$1),FALSE))),VLOOKUP($C310,武器!$1:$998,COLUMN($O$1),FALSE)*VLOOKUP($D310,素材!$1:$1016,COLUMN($E$1),FALSE)/(LEN(VLOOKUP($D310,素材!$1:$1016,COLUMN($F$1),FALSE)) - LEN(SUBSTITUTE(VLOOKUP($D310,素材!$1:$1016,COLUMN($F$1),FALSE), "・", 0)) + 1), 0)</f>
        <v>0</v>
      </c>
      <c r="AS310">
        <f>IF(ISNUMBER(SEARCH(SUBSTITUTE(AS$1,RIGHT(AS$1,2),""),VLOOKUP($D310,素材!$1:$1016,COLUMN($F$1),FALSE))),VLOOKUP($C310,武器!$1:$998,COLUMN($O$1),FALSE)*VLOOKUP($D310,素材!$1:$1016,COLUMN($E$1),FALSE)/(LEN(VLOOKUP($D310,素材!$1:$1016,COLUMN($F$1),FALSE)) - LEN(SUBSTITUTE(VLOOKUP($D310,素材!$1:$1016,COLUMN($F$1),FALSE), "・", 0)) + 1), 0)</f>
        <v>0</v>
      </c>
      <c r="AT310">
        <f>IF(ISNUMBER(SEARCH(SUBSTITUTE(AT$1,RIGHT(AT$1,2),""),VLOOKUP($D310,素材!$1:$1016,COLUMN($F$1),FALSE))),VLOOKUP($C310,武器!$1:$998,COLUMN($O$1),FALSE)*VLOOKUP($D310,素材!$1:$1016,COLUMN($E$1),FALSE)/(LEN(VLOOKUP($D310,素材!$1:$1016,COLUMN($F$1),FALSE)) - LEN(SUBSTITUTE(VLOOKUP($D310,素材!$1:$1016,COLUMN($F$1),FALSE), "・", 0)) + 1), 0)</f>
        <v>0</v>
      </c>
      <c r="AU310">
        <f>IF(ISNUMBER(SEARCH(SUBSTITUTE(AU$1,RIGHT(AU$1,2),""),VLOOKUP($D310,素材!$1:$1016,COLUMN($F$1),FALSE))),VLOOKUP($C310,武器!$1:$998,COLUMN($O$1),FALSE)*VLOOKUP($D310,素材!$1:$1016,COLUMN($E$1),FALSE)/(LEN(VLOOKUP($D310,素材!$1:$1016,COLUMN($F$1),FALSE)) - LEN(SUBSTITUTE(VLOOKUP($D310,素材!$1:$1016,COLUMN($F$1),FALSE), "・", 0)) + 1), 0)</f>
        <v>0</v>
      </c>
      <c r="AV310">
        <f>IF(ISNUMBER(SEARCH(SUBSTITUTE(AV$1,RIGHT(AV$1,2),""),VLOOKUP($D310,素材!$1:$1016,COLUMN($F$1),FALSE))),VLOOKUP($C310,武器!$1:$998,COLUMN($O$1),FALSE)*VLOOKUP($D310,素材!$1:$1016,COLUMN($E$1),FALSE)/(LEN(VLOOKUP($D310,素材!$1:$1016,COLUMN($F$1),FALSE)) - LEN(SUBSTITUTE(VLOOKUP($D310,素材!$1:$1016,COLUMN($F$1),FALSE), "・", 0)) + 1), 0)</f>
        <v>0</v>
      </c>
      <c r="AW310">
        <f>IF(ISNUMBER(SEARCH(SUBSTITUTE(AW$1,RIGHT(AW$1,2),""),VLOOKUP($D310,素材!$1:$1016,COLUMN($F$1),FALSE))),VLOOKUP($C310,武器!$1:$998,COLUMN($O$1),FALSE)*VLOOKUP($D310,素材!$1:$1016,COLUMN($E$1),FALSE)/(LEN(VLOOKUP($D310,素材!$1:$1016,COLUMN($F$1),FALSE)) - LEN(SUBSTITUTE(VLOOKUP($D310,素材!$1:$1016,COLUMN($F$1),FALSE), "・", 0)) + 1), 0)</f>
        <v>0</v>
      </c>
      <c r="AX310">
        <f>IF(ISNUMBER(SEARCH(SUBSTITUTE(AX$1,RIGHT(AX$1,2),""),VLOOKUP($D310,素材!$1:$1016,COLUMN($F$1),FALSE))),VLOOKUP($C310,武器!$1:$998,COLUMN($O$1),FALSE)*VLOOKUP($D310,素材!$1:$1016,COLUMN($E$1),FALSE)/(LEN(VLOOKUP($D310,素材!$1:$1016,COLUMN($F$1),FALSE)) - LEN(SUBSTITUTE(VLOOKUP($D310,素材!$1:$1016,COLUMN($F$1),FALSE), "・", 0)) + 1), 0)</f>
        <v>0</v>
      </c>
      <c r="AY310">
        <f>IF(ISNUMBER(SEARCH(SUBSTITUTE(AY$1,RIGHT(AY$1,2),""),VLOOKUP($D310,素材!$1:$1016,COLUMN($F$1),FALSE))),VLOOKUP($C310,武器!$1:$998,COLUMN($O$1),FALSE)*VLOOKUP($D310,素材!$1:$1016,COLUMN($E$1),FALSE)/(LEN(VLOOKUP($D310,素材!$1:$1016,COLUMN($F$1),FALSE)) - LEN(SUBSTITUTE(VLOOKUP($D310,素材!$1:$1016,COLUMN($F$1),FALSE), "・", 0)) + 1), 0)</f>
        <v>0</v>
      </c>
      <c r="AZ310">
        <f>IF(ISNUMBER(SEARCH(SUBSTITUTE(AZ$1,RIGHT(AZ$1,2),""),VLOOKUP($D310,素材!$1:$1016,COLUMN($F$1),FALSE))),VLOOKUP($C310,武器!$1:$998,COLUMN($O$1),FALSE)*VLOOKUP($D310,素材!$1:$1016,COLUMN($E$1),FALSE)/(LEN(VLOOKUP($D310,素材!$1:$1016,COLUMN($F$1),FALSE)) - LEN(SUBSTITUTE(VLOOKUP($D310,素材!$1:$1016,COLUMN($F$1),FALSE), "・", 0)) + 1), 0)</f>
        <v>0</v>
      </c>
      <c r="BA310">
        <f>IF(ISNUMBER(SEARCH(SUBSTITUTE(BA$1,RIGHT(BA$1,2),""),VLOOKUP($D310,素材!$1:$1016,COLUMN($F$1),FALSE))),VLOOKUP($C310,武器!$1:$998,COLUMN($O$1),FALSE)*VLOOKUP($D310,素材!$1:$1016,COLUMN($E$1),FALSE)/(LEN(VLOOKUP($D310,素材!$1:$1016,COLUMN($F$1),FALSE)) - LEN(SUBSTITUTE(VLOOKUP($D310,素材!$1:$1016,COLUMN($F$1),FALSE), "・", 0)) + 1), 0)</f>
        <v>0</v>
      </c>
      <c r="BB310">
        <f>IF(ISNUMBER(SEARCH(SUBSTITUTE(BB$1,RIGHT(BB$1,2),""),VLOOKUP($D310,素材!$1:$1016,COLUMN($F$1),FALSE))),VLOOKUP($C310,武器!$1:$998,COLUMN($O$1),FALSE)*VLOOKUP($D310,素材!$1:$1016,COLUMN($E$1),FALSE)/(LEN(VLOOKUP($D310,素材!$1:$1016,COLUMN($F$1),FALSE)) - LEN(SUBSTITUTE(VLOOKUP($D310,素材!$1:$1016,COLUMN($F$1),FALSE), "・", 0)) + 1), 0)</f>
        <v>0</v>
      </c>
      <c r="BC310">
        <f>IF(ISNUMBER(SEARCH(SUBSTITUTE(BC$1,RIGHT(BC$1,2),""),VLOOKUP($D310,素材!$1:$1016,COLUMN($F$1),FALSE))),VLOOKUP($C310,武器!$1:$998,COLUMN($O$1),FALSE)*VLOOKUP($D310,素材!$1:$1016,COLUMN($E$1),FALSE)/(LEN(VLOOKUP($D310,素材!$1:$1016,COLUMN($F$1),FALSE)) - LEN(SUBSTITUTE(VLOOKUP($D310,素材!$1:$1016,COLUMN($F$1),FALSE), "・", 0)) + 1), 0)</f>
        <v>0</v>
      </c>
      <c r="BD310">
        <f>IF(ISNUMBER(SEARCH(SUBSTITUTE(BD$1,RIGHT(BD$1,2),""),VLOOKUP($D310,素材!$1:$1016,COLUMN($F$1),FALSE))),VLOOKUP($C310,武器!$1:$998,COLUMN($O$1),FALSE)*VLOOKUP($D310,素材!$1:$1016,COLUMN($E$1),FALSE)/(LEN(VLOOKUP($D310,素材!$1:$1016,COLUMN($F$1),FALSE)) - LEN(SUBSTITUTE(VLOOKUP($D310,素材!$1:$1016,COLUMN($F$1),FALSE), "・", 0)) + 1), 0)</f>
        <v>0</v>
      </c>
      <c r="BE310">
        <f>IF(ISNUMBER(SEARCH(SUBSTITUTE(BE$1,RIGHT(BE$1,2),""),VLOOKUP($D310,素材!$1:$1016,COLUMN($F$1),FALSE))),VLOOKUP($C310,武器!$1:$998,COLUMN($O$1),FALSE)*VLOOKUP($D310,素材!$1:$1016,COLUMN($E$1),FALSE)/(LEN(VLOOKUP($D310,素材!$1:$1016,COLUMN($F$1),FALSE)) - LEN(SUBSTITUTE(VLOOKUP($D310,素材!$1:$1016,COLUMN($F$1),FALSE), "・", 0)) + 1), 0)</f>
        <v>0</v>
      </c>
      <c r="CL310">
        <f>SUM(G310:I310)</f>
        <v>0</v>
      </c>
      <c r="CM310" s="22" t="str">
        <f>IF(E310="武器",IF(J310-1&gt;SUM(G310:I310),"盾",IF(MAX(G310:I310)=G310,"切断",IF(MAX(G310:I310)=H310,"貫通",IF(MAX(G310:I310)=I310,"打撃","射撃")))),E310)&amp;".webp"</f>
        <v>.webp</v>
      </c>
      <c r="CN310" t="str">
        <f>IFERROR(VLOOKUP($C310,武器!$1:$998,COLUMN(V$1),FALSE)*VLOOKUP($D310,素材!$1:$1016,COLUMN(N$1),FALSE)+IF(CI310="",0,VLOOKUP($CI310,装強!$1:$1008,COLUMN($CK$1),FALSE)),"")</f>
        <v/>
      </c>
      <c r="CO310" t="e">
        <f>VLOOKUP(D310,素材!$A:$O,COLUMN(素材!O$1),FALSE)</f>
        <v>#N/A</v>
      </c>
      <c r="CP310" t="e">
        <f>VLOOKUP(C310,武器!$A:$W,COLUMN(武器!W$1),FALSE)</f>
        <v>#N/A</v>
      </c>
      <c r="CR310" t="str">
        <f t="shared" si="33"/>
        <v>e_310</v>
      </c>
      <c r="CS310" t="e">
        <f t="shared" si="34"/>
        <v>#VALUE!</v>
      </c>
    </row>
    <row r="311" spans="1:97" hidden="1" outlineLevel="1" x14ac:dyDescent="0.4">
      <c r="A311" t="str">
        <f>IF(CI311="",D311&amp;"の"&amp;C311,CI311&amp;"の"&amp;C311)</f>
        <v>の</v>
      </c>
      <c r="B311" t="str">
        <f>IFERROR(IF(CI311="",VLOOKUP($D311,素材!$1:$1016,COLUMN($B$1),FALSE)&amp;"・"&amp;VLOOKUP($C311,武器!$1:$998,COLUMN(B$1),FALSE),VLOOKUP($CI311,装強!$1:$1008,COLUMN($B$1),FALSE)&amp;"・"&amp;VLOOKUP($C311,武器!$1:$998,COLUMN(B$1),FALSE)),"")</f>
        <v/>
      </c>
      <c r="C311" s="24"/>
      <c r="D311" s="24"/>
      <c r="E311" t="str">
        <f>IFERROR(VLOOKUP(C311,武器!$1:$998,COLUMN(C$1),FALSE),"")</f>
        <v/>
      </c>
      <c r="F311" t="str">
        <f>IFERROR(ROUNDDOWN((VLOOKUP($C311,武器!$1:$998,COLUMN(D$1),FALSE)+IFERROR(VLOOKUP($CI311,装強!$1:$999,COLUMN(F$1),FALSE),0))*VLOOKUP($D311,素材!$1:$1016,COLUMN(D$1),FALSE),0),"")</f>
        <v/>
      </c>
      <c r="G311" t="str">
        <f>IFERROR(ROUNDDOWN((VLOOKUP($C311,武器!$1:$998,COLUMN(E$1),FALSE)+IFERROR(VLOOKUP($CI311,装強!$1:$999,COLUMN(G$1),FALSE),0))*VLOOKUP($D311,素材!$1:$1016,COLUMN($E$1),FALSE),0),"")</f>
        <v/>
      </c>
      <c r="H311" t="str">
        <f>IFERROR(ROUNDDOWN((VLOOKUP($C311,武器!$1:$998,COLUMN(F$1),FALSE)+IFERROR(VLOOKUP($CI311,装強!$1:$999,COLUMN(H$1),FALSE),0))*VLOOKUP($D311,素材!$1:$1016,COLUMN($E$1),FALSE),0),"")</f>
        <v/>
      </c>
      <c r="I311" t="str">
        <f>IFERROR(ROUNDDOWN((VLOOKUP($C311,武器!$1:$998,COLUMN(G$1),FALSE)+IFERROR(VLOOKUP($CI311,装強!$1:$999,COLUMN(I$1),FALSE),0))*VLOOKUP($D311,素材!$1:$1016,COLUMN($E$1),FALSE),0),"")</f>
        <v/>
      </c>
      <c r="J311" t="str">
        <f>IFERROR(ROUNDDOWN((VLOOKUP($C311,武器!$1:$998,COLUMN(H$1),FALSE)+IFERROR(VLOOKUP($CI311,装強!$1:$999,COLUMN(J$1),FALSE),0))*VLOOKUP($D311,素材!$1:$1016,COLUMN($E$1),FALSE),0),"")</f>
        <v/>
      </c>
      <c r="K311" t="str">
        <f>IFERROR(ROUNDDOWN((VLOOKUP($C311,武器!$1:$998,COLUMN(I$1),FALSE)+IFERROR(VLOOKUP($CI311,装強!$1:$999,COLUMN(K$1),FALSE),0))*VLOOKUP($D311,素材!$1:$1016,COLUMN($E$1),FALSE),0),"")</f>
        <v/>
      </c>
      <c r="L311" t="str">
        <f>IFERROR(VLOOKUP($D311,素材!$1:$1016,COLUMN($F$1),FALSE),"")</f>
        <v/>
      </c>
      <c r="M311" t="str">
        <f>IFERROR(VLOOKUP($C311,武器!$1:$998,COLUMN(AA$1),FALSE)*VLOOKUP($D311,素材!$1:$1016,COLUMN($G$1),FALSE),"")</f>
        <v/>
      </c>
      <c r="N311" t="str">
        <f>IFERROR(VLOOKUP($C311,武器!$1:$998,COLUMN(I$1),FALSE),"")</f>
        <v/>
      </c>
      <c r="O311" s="23" t="str">
        <f>IFERROR((VLOOKUP($C311,武器!$1:$998,COLUMN(K$1),FALSE)+VLOOKUP($D311,素材!$1:$1016,COLUMN(H$1),FALSE))*100+IFERROR(VLOOKUP($CI311,装強!$1:$999,COLUMN(O$1),FALSE),0),"")</f>
        <v/>
      </c>
      <c r="P311" s="23" t="str">
        <f>IFERROR((VLOOKUP($C311,武器!$1:$998,COLUMN(L$1),FALSE)+VLOOKUP($D311,素材!$1:$1016,COLUMN(I$1),FALSE))*100+IFERROR(VLOOKUP($CI311,装強!$1:$999,COLUMN(P$1),FALSE),0),"")</f>
        <v/>
      </c>
      <c r="Q311" t="str">
        <f>IFERROR(ROUNDUP(VLOOKUP($C311,武器!$1:$998,COLUMN(M$1),FALSE)*(VLOOKUP($D311,素材!$1:$1002,COLUMN(D$1),FALSE)/100),1),"")</f>
        <v/>
      </c>
      <c r="R311" t="str">
        <f>IFERROR(ROUNDUP(VLOOKUP($C311,武器!$1:$998,COLUMN(N$1),FALSE)*(VLOOKUP($D311,素材!$1:$1002,COLUMN(D$1),FALSE)/100),1),"")</f>
        <v/>
      </c>
      <c r="S311" t="str">
        <f>IFERROR(VLOOKUP($C311,武器!$1:$998,COLUMN(P$1),FALSE),"")</f>
        <v/>
      </c>
      <c r="T311" t="str">
        <f>IFERROR(VLOOKUP($C311,武器!$1:$998,COLUMN(Q$1),FALSE),"")</f>
        <v/>
      </c>
      <c r="U311" t="str">
        <f>IFERROR(VLOOKUP($C311,武器!$1:$998,COLUMN(R$1),FALSE),"")</f>
        <v/>
      </c>
      <c r="V311" t="str">
        <f>IFERROR(VLOOKUP($C311,武器!$1:$998,COLUMN(Q$1),FALSE),"")</f>
        <v/>
      </c>
      <c r="W311" t="str">
        <f>IFERROR(VLOOKUP($C311,武器!$1:$998,COLUMN(T$1),FALSE),"")</f>
        <v/>
      </c>
      <c r="Y311" t="str">
        <f>IFERROR(VLOOKUP($C311,武器!$1:$998,COLUMN(U$1),FALSE),"")</f>
        <v/>
      </c>
      <c r="Z311" t="str">
        <f>IFERROR(ROUNDUP(VLOOKUP($C311,武器!$1:$998,COLUMN(O$1),FALSE)*VLOOKUP($D311,素材!$1:$1016,COLUMN(E$1),FALSE),1),"")</f>
        <v/>
      </c>
      <c r="AA311">
        <f>IF(ISNUMBER(SEARCH(SUBSTITUTE(AA$1,RIGHT(AA$1,2),""),VLOOKUP($D311,素材!$1:$1016,COLUMN($F$1),FALSE))),VLOOKUP($C311,武器!$1:$998,COLUMN($O$1),FALSE)*VLOOKUP($D311,素材!$1:$1016,COLUMN($E$1),FALSE)/(LEN(VLOOKUP($D311,素材!$1:$1016,COLUMN($F$1),FALSE)) - LEN(SUBSTITUTE(VLOOKUP($D311,素材!$1:$1016,COLUMN($F$1),FALSE), "・", 0)) + 1), 0)</f>
        <v>0</v>
      </c>
      <c r="AB311">
        <f>IF(ISNUMBER(SEARCH(SUBSTITUTE(AB$1,RIGHT(AB$1,2),""),VLOOKUP($D311,素材!$1:$1016,COLUMN($F$1),FALSE))),VLOOKUP($C311,武器!$1:$998,COLUMN($O$1),FALSE)*VLOOKUP($D311,素材!$1:$1016,COLUMN($E$1),FALSE)/(LEN(VLOOKUP($D311,素材!$1:$1016,COLUMN($F$1),FALSE)) - LEN(SUBSTITUTE(VLOOKUP($D311,素材!$1:$1016,COLUMN($F$1),FALSE), "・", 0)) + 1), 0)</f>
        <v>0</v>
      </c>
      <c r="AC311">
        <f>IF(ISNUMBER(SEARCH(SUBSTITUTE(AC$1,RIGHT(AC$1,2),""),VLOOKUP($D311,素材!$1:$1016,COLUMN($F$1),FALSE))),VLOOKUP($C311,武器!$1:$998,COLUMN($O$1),FALSE)*VLOOKUP($D311,素材!$1:$1016,COLUMN($E$1),FALSE)/(LEN(VLOOKUP($D311,素材!$1:$1016,COLUMN($F$1),FALSE)) - LEN(SUBSTITUTE(VLOOKUP($D311,素材!$1:$1016,COLUMN($F$1),FALSE), "・", 0)) + 1), 0)</f>
        <v>0</v>
      </c>
      <c r="AD311">
        <f>IF(ISNUMBER(SEARCH(SUBSTITUTE(AD$1,RIGHT(AD$1,2),""),VLOOKUP($D311,素材!$1:$1016,COLUMN($F$1),FALSE))),VLOOKUP($C311,武器!$1:$998,COLUMN($O$1),FALSE)*VLOOKUP($D311,素材!$1:$1016,COLUMN($E$1),FALSE)/(LEN(VLOOKUP($D311,素材!$1:$1016,COLUMN($F$1),FALSE)) - LEN(SUBSTITUTE(VLOOKUP($D311,素材!$1:$1016,COLUMN($F$1),FALSE), "・", 0)) + 1), 0)</f>
        <v>0</v>
      </c>
      <c r="AE311">
        <f>IF(ISNUMBER(SEARCH(SUBSTITUTE(AE$1,RIGHT(AE$1,2),""),VLOOKUP($D311,素材!$1:$1016,COLUMN($F$1),FALSE))),VLOOKUP($C311,武器!$1:$998,COLUMN($O$1),FALSE)*VLOOKUP($D311,素材!$1:$1016,COLUMN($E$1),FALSE)/(LEN(VLOOKUP($D311,素材!$1:$1016,COLUMN($F$1),FALSE)) - LEN(SUBSTITUTE(VLOOKUP($D311,素材!$1:$1016,COLUMN($F$1),FALSE), "・", 0)) + 1), 0)</f>
        <v>0</v>
      </c>
      <c r="AF311">
        <f>IF(ISNUMBER(SEARCH(SUBSTITUTE(AF$1,RIGHT(AF$1,2),""),VLOOKUP($D311,素材!$1:$1016,COLUMN($F$1),FALSE))),VLOOKUP($C311,武器!$1:$998,COLUMN($O$1),FALSE)*VLOOKUP($D311,素材!$1:$1016,COLUMN($E$1),FALSE)/(LEN(VLOOKUP($D311,素材!$1:$1016,COLUMN($F$1),FALSE)) - LEN(SUBSTITUTE(VLOOKUP($D311,素材!$1:$1016,COLUMN($F$1),FALSE), "・", 0)) + 1), 0)</f>
        <v>0</v>
      </c>
      <c r="AG311">
        <f>IF(ISNUMBER(SEARCH(SUBSTITUTE(AG$1,RIGHT(AG$1,2),""),VLOOKUP($D311,素材!$1:$1016,COLUMN($F$1),FALSE))),VLOOKUP($C311,武器!$1:$998,COLUMN($O$1),FALSE)*VLOOKUP($D311,素材!$1:$1016,COLUMN($E$1),FALSE)/(LEN(VLOOKUP($D311,素材!$1:$1016,COLUMN($F$1),FALSE)) - LEN(SUBSTITUTE(VLOOKUP($D311,素材!$1:$1016,COLUMN($F$1),FALSE), "・", 0)) + 1), 0)</f>
        <v>0</v>
      </c>
      <c r="AH311">
        <f>IF(ISNUMBER(SEARCH(SUBSTITUTE(AH$1,RIGHT(AH$1,2),""),VLOOKUP($D311,素材!$1:$1016,COLUMN($F$1),FALSE))),VLOOKUP($C311,武器!$1:$998,COLUMN($O$1),FALSE)*VLOOKUP($D311,素材!$1:$1016,COLUMN($E$1),FALSE)/(LEN(VLOOKUP($D311,素材!$1:$1016,COLUMN($F$1),FALSE)) - LEN(SUBSTITUTE(VLOOKUP($D311,素材!$1:$1016,COLUMN($F$1),FALSE), "・", 0)) + 1), 0)</f>
        <v>0</v>
      </c>
      <c r="AI311">
        <f>IF(ISNUMBER(SEARCH(SUBSTITUTE(AI$1,RIGHT(AI$1,2),""),VLOOKUP($D311,素材!$1:$1016,COLUMN($F$1),FALSE))),VLOOKUP($C311,武器!$1:$998,COLUMN($O$1),FALSE)*VLOOKUP($D311,素材!$1:$1016,COLUMN($E$1),FALSE)/(LEN(VLOOKUP($D311,素材!$1:$1016,COLUMN($F$1),FALSE)) - LEN(SUBSTITUTE(VLOOKUP($D311,素材!$1:$1016,COLUMN($F$1),FALSE), "・", 0)) + 1), 0)</f>
        <v>0</v>
      </c>
      <c r="AJ311">
        <f>IF(ISNUMBER(SEARCH(SUBSTITUTE(AJ$1,RIGHT(AJ$1,2),""),VLOOKUP($D311,素材!$1:$1016,COLUMN($F$1),FALSE))),VLOOKUP($C311,武器!$1:$998,COLUMN($O$1),FALSE)*VLOOKUP($D311,素材!$1:$1016,COLUMN($E$1),FALSE)/(LEN(VLOOKUP($D311,素材!$1:$1016,COLUMN($F$1),FALSE)) - LEN(SUBSTITUTE(VLOOKUP($D311,素材!$1:$1016,COLUMN($F$1),FALSE), "・", 0)) + 1), 0)</f>
        <v>0</v>
      </c>
      <c r="AK311">
        <f>IF(ISNUMBER(SEARCH(SUBSTITUTE(AK$1,RIGHT(AK$1,2),""),VLOOKUP($D311,素材!$1:$1016,COLUMN($F$1),FALSE))),VLOOKUP($C311,武器!$1:$998,COLUMN($O$1),FALSE)*VLOOKUP($D311,素材!$1:$1016,COLUMN($E$1),FALSE)/(LEN(VLOOKUP($D311,素材!$1:$1016,COLUMN($F$1),FALSE)) - LEN(SUBSTITUTE(VLOOKUP($D311,素材!$1:$1016,COLUMN($F$1),FALSE), "・", 0)) + 1), 0)</f>
        <v>0</v>
      </c>
      <c r="AL311">
        <f>IF(ISNUMBER(SEARCH(SUBSTITUTE(AL$1,RIGHT(AL$1,2),""),VLOOKUP($D311,素材!$1:$1016,COLUMN($F$1),FALSE))),VLOOKUP($C311,武器!$1:$998,COLUMN($O$1),FALSE)*VLOOKUP($D311,素材!$1:$1016,COLUMN($E$1),FALSE)/(LEN(VLOOKUP($D311,素材!$1:$1016,COLUMN($F$1),FALSE)) - LEN(SUBSTITUTE(VLOOKUP($D311,素材!$1:$1016,COLUMN($F$1),FALSE), "・", 0)) + 1), 0)</f>
        <v>0</v>
      </c>
      <c r="AM311">
        <f>IF(ISNUMBER(SEARCH(SUBSTITUTE(AM$1,RIGHT(AM$1,2),""),VLOOKUP($D311,素材!$1:$1016,COLUMN($F$1),FALSE))),VLOOKUP($C311,武器!$1:$998,COLUMN($O$1),FALSE)*VLOOKUP($D311,素材!$1:$1016,COLUMN($E$1),FALSE)/(LEN(VLOOKUP($D311,素材!$1:$1016,COLUMN($F$1),FALSE)) - LEN(SUBSTITUTE(VLOOKUP($D311,素材!$1:$1016,COLUMN($F$1),FALSE), "・", 0)) + 1), 0)</f>
        <v>0</v>
      </c>
      <c r="AN311">
        <f>IF(ISNUMBER(SEARCH(SUBSTITUTE(AN$1,RIGHT(AN$1,2),""),VLOOKUP($D311,素材!$1:$1016,COLUMN($F$1),FALSE))),VLOOKUP($C311,武器!$1:$998,COLUMN($O$1),FALSE)*VLOOKUP($D311,素材!$1:$1016,COLUMN($E$1),FALSE)/(LEN(VLOOKUP($D311,素材!$1:$1016,COLUMN($F$1),FALSE)) - LEN(SUBSTITUTE(VLOOKUP($D311,素材!$1:$1016,COLUMN($F$1),FALSE), "・", 0)) + 1), 0)</f>
        <v>0</v>
      </c>
      <c r="AO311">
        <f>IF(ISNUMBER(SEARCH(SUBSTITUTE(AO$1,RIGHT(AO$1,2),""),VLOOKUP($D311,素材!$1:$1016,COLUMN($F$1),FALSE))),VLOOKUP($C311,武器!$1:$998,COLUMN($O$1),FALSE)*VLOOKUP($D311,素材!$1:$1016,COLUMN($E$1),FALSE)/(LEN(VLOOKUP($D311,素材!$1:$1016,COLUMN($F$1),FALSE)) - LEN(SUBSTITUTE(VLOOKUP($D311,素材!$1:$1016,COLUMN($F$1),FALSE), "・", 0)) + 1), 0)</f>
        <v>0</v>
      </c>
      <c r="AP311">
        <f>IF(ISNUMBER(SEARCH(SUBSTITUTE(AP$1,RIGHT(AP$1,2),""),VLOOKUP($D311,素材!$1:$1016,COLUMN($F$1),FALSE))),VLOOKUP($C311,武器!$1:$998,COLUMN($O$1),FALSE)*VLOOKUP($D311,素材!$1:$1016,COLUMN($E$1),FALSE)/(LEN(VLOOKUP($D311,素材!$1:$1016,COLUMN($F$1),FALSE)) - LEN(SUBSTITUTE(VLOOKUP($D311,素材!$1:$1016,COLUMN($F$1),FALSE), "・", 0)) + 1), 0)</f>
        <v>0</v>
      </c>
      <c r="AQ311">
        <f>IF(ISNUMBER(SEARCH(SUBSTITUTE(AQ$1,RIGHT(AQ$1,2),""),VLOOKUP($D311,素材!$1:$1016,COLUMN($F$1),FALSE))),VLOOKUP($C311,武器!$1:$998,COLUMN($O$1),FALSE)*VLOOKUP($D311,素材!$1:$1016,COLUMN($E$1),FALSE)/(LEN(VLOOKUP($D311,素材!$1:$1016,COLUMN($F$1),FALSE)) - LEN(SUBSTITUTE(VLOOKUP($D311,素材!$1:$1016,COLUMN($F$1),FALSE), "・", 0)) + 1), 0)</f>
        <v>0</v>
      </c>
      <c r="AR311">
        <f>IF(ISNUMBER(SEARCH(SUBSTITUTE(AR$1,RIGHT(AR$1,2),""),VLOOKUP($D311,素材!$1:$1016,COLUMN($F$1),FALSE))),VLOOKUP($C311,武器!$1:$998,COLUMN($O$1),FALSE)*VLOOKUP($D311,素材!$1:$1016,COLUMN($E$1),FALSE)/(LEN(VLOOKUP($D311,素材!$1:$1016,COLUMN($F$1),FALSE)) - LEN(SUBSTITUTE(VLOOKUP($D311,素材!$1:$1016,COLUMN($F$1),FALSE), "・", 0)) + 1), 0)</f>
        <v>0</v>
      </c>
      <c r="AS311">
        <f>IF(ISNUMBER(SEARCH(SUBSTITUTE(AS$1,RIGHT(AS$1,2),""),VLOOKUP($D311,素材!$1:$1016,COLUMN($F$1),FALSE))),VLOOKUP($C311,武器!$1:$998,COLUMN($O$1),FALSE)*VLOOKUP($D311,素材!$1:$1016,COLUMN($E$1),FALSE)/(LEN(VLOOKUP($D311,素材!$1:$1016,COLUMN($F$1),FALSE)) - LEN(SUBSTITUTE(VLOOKUP($D311,素材!$1:$1016,COLUMN($F$1),FALSE), "・", 0)) + 1), 0)</f>
        <v>0</v>
      </c>
      <c r="AT311">
        <f>IF(ISNUMBER(SEARCH(SUBSTITUTE(AT$1,RIGHT(AT$1,2),""),VLOOKUP($D311,素材!$1:$1016,COLUMN($F$1),FALSE))),VLOOKUP($C311,武器!$1:$998,COLUMN($O$1),FALSE)*VLOOKUP($D311,素材!$1:$1016,COLUMN($E$1),FALSE)/(LEN(VLOOKUP($D311,素材!$1:$1016,COLUMN($F$1),FALSE)) - LEN(SUBSTITUTE(VLOOKUP($D311,素材!$1:$1016,COLUMN($F$1),FALSE), "・", 0)) + 1), 0)</f>
        <v>0</v>
      </c>
      <c r="AU311">
        <f>IF(ISNUMBER(SEARCH(SUBSTITUTE(AU$1,RIGHT(AU$1,2),""),VLOOKUP($D311,素材!$1:$1016,COLUMN($F$1),FALSE))),VLOOKUP($C311,武器!$1:$998,COLUMN($O$1),FALSE)*VLOOKUP($D311,素材!$1:$1016,COLUMN($E$1),FALSE)/(LEN(VLOOKUP($D311,素材!$1:$1016,COLUMN($F$1),FALSE)) - LEN(SUBSTITUTE(VLOOKUP($D311,素材!$1:$1016,COLUMN($F$1),FALSE), "・", 0)) + 1), 0)</f>
        <v>0</v>
      </c>
      <c r="AV311">
        <f>IF(ISNUMBER(SEARCH(SUBSTITUTE(AV$1,RIGHT(AV$1,2),""),VLOOKUP($D311,素材!$1:$1016,COLUMN($F$1),FALSE))),VLOOKUP($C311,武器!$1:$998,COLUMN($O$1),FALSE)*VLOOKUP($D311,素材!$1:$1016,COLUMN($E$1),FALSE)/(LEN(VLOOKUP($D311,素材!$1:$1016,COLUMN($F$1),FALSE)) - LEN(SUBSTITUTE(VLOOKUP($D311,素材!$1:$1016,COLUMN($F$1),FALSE), "・", 0)) + 1), 0)</f>
        <v>0</v>
      </c>
      <c r="AW311">
        <f>IF(ISNUMBER(SEARCH(SUBSTITUTE(AW$1,RIGHT(AW$1,2),""),VLOOKUP($D311,素材!$1:$1016,COLUMN($F$1),FALSE))),VLOOKUP($C311,武器!$1:$998,COLUMN($O$1),FALSE)*VLOOKUP($D311,素材!$1:$1016,COLUMN($E$1),FALSE)/(LEN(VLOOKUP($D311,素材!$1:$1016,COLUMN($F$1),FALSE)) - LEN(SUBSTITUTE(VLOOKUP($D311,素材!$1:$1016,COLUMN($F$1),FALSE), "・", 0)) + 1), 0)</f>
        <v>0</v>
      </c>
      <c r="AX311">
        <f>IF(ISNUMBER(SEARCH(SUBSTITUTE(AX$1,RIGHT(AX$1,2),""),VLOOKUP($D311,素材!$1:$1016,COLUMN($F$1),FALSE))),VLOOKUP($C311,武器!$1:$998,COLUMN($O$1),FALSE)*VLOOKUP($D311,素材!$1:$1016,COLUMN($E$1),FALSE)/(LEN(VLOOKUP($D311,素材!$1:$1016,COLUMN($F$1),FALSE)) - LEN(SUBSTITUTE(VLOOKUP($D311,素材!$1:$1016,COLUMN($F$1),FALSE), "・", 0)) + 1), 0)</f>
        <v>0</v>
      </c>
      <c r="AY311">
        <f>IF(ISNUMBER(SEARCH(SUBSTITUTE(AY$1,RIGHT(AY$1,2),""),VLOOKUP($D311,素材!$1:$1016,COLUMN($F$1),FALSE))),VLOOKUP($C311,武器!$1:$998,COLUMN($O$1),FALSE)*VLOOKUP($D311,素材!$1:$1016,COLUMN($E$1),FALSE)/(LEN(VLOOKUP($D311,素材!$1:$1016,COLUMN($F$1),FALSE)) - LEN(SUBSTITUTE(VLOOKUP($D311,素材!$1:$1016,COLUMN($F$1),FALSE), "・", 0)) + 1), 0)</f>
        <v>0</v>
      </c>
      <c r="AZ311">
        <f>IF(ISNUMBER(SEARCH(SUBSTITUTE(AZ$1,RIGHT(AZ$1,2),""),VLOOKUP($D311,素材!$1:$1016,COLUMN($F$1),FALSE))),VLOOKUP($C311,武器!$1:$998,COLUMN($O$1),FALSE)*VLOOKUP($D311,素材!$1:$1016,COLUMN($E$1),FALSE)/(LEN(VLOOKUP($D311,素材!$1:$1016,COLUMN($F$1),FALSE)) - LEN(SUBSTITUTE(VLOOKUP($D311,素材!$1:$1016,COLUMN($F$1),FALSE), "・", 0)) + 1), 0)</f>
        <v>0</v>
      </c>
      <c r="BA311">
        <f>IF(ISNUMBER(SEARCH(SUBSTITUTE(BA$1,RIGHT(BA$1,2),""),VLOOKUP($D311,素材!$1:$1016,COLUMN($F$1),FALSE))),VLOOKUP($C311,武器!$1:$998,COLUMN($O$1),FALSE)*VLOOKUP($D311,素材!$1:$1016,COLUMN($E$1),FALSE)/(LEN(VLOOKUP($D311,素材!$1:$1016,COLUMN($F$1),FALSE)) - LEN(SUBSTITUTE(VLOOKUP($D311,素材!$1:$1016,COLUMN($F$1),FALSE), "・", 0)) + 1), 0)</f>
        <v>0</v>
      </c>
      <c r="BB311">
        <f>IF(ISNUMBER(SEARCH(SUBSTITUTE(BB$1,RIGHT(BB$1,2),""),VLOOKUP($D311,素材!$1:$1016,COLUMN($F$1),FALSE))),VLOOKUP($C311,武器!$1:$998,COLUMN($O$1),FALSE)*VLOOKUP($D311,素材!$1:$1016,COLUMN($E$1),FALSE)/(LEN(VLOOKUP($D311,素材!$1:$1016,COLUMN($F$1),FALSE)) - LEN(SUBSTITUTE(VLOOKUP($D311,素材!$1:$1016,COLUMN($F$1),FALSE), "・", 0)) + 1), 0)</f>
        <v>0</v>
      </c>
      <c r="BC311">
        <f>IF(ISNUMBER(SEARCH(SUBSTITUTE(BC$1,RIGHT(BC$1,2),""),VLOOKUP($D311,素材!$1:$1016,COLUMN($F$1),FALSE))),VLOOKUP($C311,武器!$1:$998,COLUMN($O$1),FALSE)*VLOOKUP($D311,素材!$1:$1016,COLUMN($E$1),FALSE)/(LEN(VLOOKUP($D311,素材!$1:$1016,COLUMN($F$1),FALSE)) - LEN(SUBSTITUTE(VLOOKUP($D311,素材!$1:$1016,COLUMN($F$1),FALSE), "・", 0)) + 1), 0)</f>
        <v>0</v>
      </c>
      <c r="BD311">
        <f>IF(ISNUMBER(SEARCH(SUBSTITUTE(BD$1,RIGHT(BD$1,2),""),VLOOKUP($D311,素材!$1:$1016,COLUMN($F$1),FALSE))),VLOOKUP($C311,武器!$1:$998,COLUMN($O$1),FALSE)*VLOOKUP($D311,素材!$1:$1016,COLUMN($E$1),FALSE)/(LEN(VLOOKUP($D311,素材!$1:$1016,COLUMN($F$1),FALSE)) - LEN(SUBSTITUTE(VLOOKUP($D311,素材!$1:$1016,COLUMN($F$1),FALSE), "・", 0)) + 1), 0)</f>
        <v>0</v>
      </c>
      <c r="BE311">
        <f>IF(ISNUMBER(SEARCH(SUBSTITUTE(BE$1,RIGHT(BE$1,2),""),VLOOKUP($D311,素材!$1:$1016,COLUMN($F$1),FALSE))),VLOOKUP($C311,武器!$1:$998,COLUMN($O$1),FALSE)*VLOOKUP($D311,素材!$1:$1016,COLUMN($E$1),FALSE)/(LEN(VLOOKUP($D311,素材!$1:$1016,COLUMN($F$1),FALSE)) - LEN(SUBSTITUTE(VLOOKUP($D311,素材!$1:$1016,COLUMN($F$1),FALSE), "・", 0)) + 1), 0)</f>
        <v>0</v>
      </c>
      <c r="CL311">
        <f>SUM(G311:I311)</f>
        <v>0</v>
      </c>
      <c r="CM311" s="22" t="str">
        <f>IF(E311="武器",IF(J311-1&gt;SUM(G311:I311),"盾",IF(MAX(G311:I311)=G311,"切断",IF(MAX(G311:I311)=H311,"貫通",IF(MAX(G311:I311)=I311,"打撃","射撃")))),E311)&amp;".webp"</f>
        <v>.webp</v>
      </c>
      <c r="CN311" t="str">
        <f>IFERROR(VLOOKUP($C311,武器!$1:$998,COLUMN(V$1),FALSE)*VLOOKUP($D311,素材!$1:$1016,COLUMN(N$1),FALSE)+IF(CI311="",0,VLOOKUP($CI311,装強!$1:$1008,COLUMN($CK$1),FALSE)),"")</f>
        <v/>
      </c>
      <c r="CO311" t="e">
        <f>VLOOKUP(D311,素材!$A:$O,COLUMN(素材!O$1),FALSE)</f>
        <v>#N/A</v>
      </c>
      <c r="CP311" t="e">
        <f>VLOOKUP(C311,武器!$A:$W,COLUMN(武器!W$1),FALSE)</f>
        <v>#N/A</v>
      </c>
      <c r="CR311" t="str">
        <f t="shared" si="33"/>
        <v>e_311</v>
      </c>
      <c r="CS311" t="e">
        <f t="shared" si="34"/>
        <v>#VALUE!</v>
      </c>
    </row>
    <row r="312" spans="1:97" hidden="1" outlineLevel="1" x14ac:dyDescent="0.4">
      <c r="A312" t="str">
        <f>IF(CI312="",D312&amp;"の"&amp;C312,CI312&amp;"の"&amp;C312)</f>
        <v>の</v>
      </c>
      <c r="B312" t="str">
        <f>IFERROR(IF(CI312="",VLOOKUP($D312,素材!$1:$1016,COLUMN($B$1),FALSE)&amp;"・"&amp;VLOOKUP($C312,武器!$1:$998,COLUMN(B$1),FALSE),VLOOKUP($CI312,装強!$1:$1008,COLUMN($B$1),FALSE)&amp;"・"&amp;VLOOKUP($C312,武器!$1:$998,COLUMN(B$1),FALSE)),"")</f>
        <v/>
      </c>
      <c r="C312" s="24"/>
      <c r="D312" s="24"/>
      <c r="E312" t="str">
        <f>IFERROR(VLOOKUP(C312,武器!$1:$998,COLUMN(C$1),FALSE),"")</f>
        <v/>
      </c>
      <c r="F312" t="str">
        <f>IFERROR(ROUNDDOWN((VLOOKUP($C312,武器!$1:$998,COLUMN(D$1),FALSE)+IFERROR(VLOOKUP($CI312,装強!$1:$999,COLUMN(F$1),FALSE),0))*VLOOKUP($D312,素材!$1:$1016,COLUMN(D$1),FALSE),0),"")</f>
        <v/>
      </c>
      <c r="G312" t="str">
        <f>IFERROR(ROUNDDOWN((VLOOKUP($C312,武器!$1:$998,COLUMN(E$1),FALSE)+IFERROR(VLOOKUP($CI312,装強!$1:$999,COLUMN(G$1),FALSE),0))*VLOOKUP($D312,素材!$1:$1016,COLUMN($E$1),FALSE),0),"")</f>
        <v/>
      </c>
      <c r="H312" t="str">
        <f>IFERROR(ROUNDDOWN((VLOOKUP($C312,武器!$1:$998,COLUMN(F$1),FALSE)+IFERROR(VLOOKUP($CI312,装強!$1:$999,COLUMN(H$1),FALSE),0))*VLOOKUP($D312,素材!$1:$1016,COLUMN($E$1),FALSE),0),"")</f>
        <v/>
      </c>
      <c r="I312" t="str">
        <f>IFERROR(ROUNDDOWN((VLOOKUP($C312,武器!$1:$998,COLUMN(G$1),FALSE)+IFERROR(VLOOKUP($CI312,装強!$1:$999,COLUMN(I$1),FALSE),0))*VLOOKUP($D312,素材!$1:$1016,COLUMN($E$1),FALSE),0),"")</f>
        <v/>
      </c>
      <c r="J312" t="str">
        <f>IFERROR(ROUNDDOWN((VLOOKUP($C312,武器!$1:$998,COLUMN(H$1),FALSE)+IFERROR(VLOOKUP($CI312,装強!$1:$999,COLUMN(J$1),FALSE),0))*VLOOKUP($D312,素材!$1:$1016,COLUMN($E$1),FALSE),0),"")</f>
        <v/>
      </c>
      <c r="K312" t="str">
        <f>IFERROR(ROUNDDOWN((VLOOKUP($C312,武器!$1:$998,COLUMN(I$1),FALSE)+IFERROR(VLOOKUP($CI312,装強!$1:$999,COLUMN(K$1),FALSE),0))*VLOOKUP($D312,素材!$1:$1016,COLUMN($E$1),FALSE),0),"")</f>
        <v/>
      </c>
      <c r="L312" t="str">
        <f>IFERROR(VLOOKUP($D312,素材!$1:$1016,COLUMN($F$1),FALSE),"")</f>
        <v/>
      </c>
      <c r="M312" t="str">
        <f>IFERROR(VLOOKUP($C312,武器!$1:$998,COLUMN(AA$1),FALSE)*VLOOKUP($D312,素材!$1:$1016,COLUMN($G$1),FALSE),"")</f>
        <v/>
      </c>
      <c r="N312" t="str">
        <f>IFERROR(VLOOKUP($C312,武器!$1:$998,COLUMN(I$1),FALSE),"")</f>
        <v/>
      </c>
      <c r="O312" s="23" t="str">
        <f>IFERROR((VLOOKUP($C312,武器!$1:$998,COLUMN(K$1),FALSE)+VLOOKUP($D312,素材!$1:$1016,COLUMN(H$1),FALSE))*100+IFERROR(VLOOKUP($CI312,装強!$1:$999,COLUMN(O$1),FALSE),0),"")</f>
        <v/>
      </c>
      <c r="P312" s="23" t="str">
        <f>IFERROR((VLOOKUP($C312,武器!$1:$998,COLUMN(L$1),FALSE)+VLOOKUP($D312,素材!$1:$1016,COLUMN(I$1),FALSE))*100+IFERROR(VLOOKUP($CI312,装強!$1:$999,COLUMN(P$1),FALSE),0),"")</f>
        <v/>
      </c>
      <c r="Q312" t="str">
        <f>IFERROR(ROUNDUP(VLOOKUP($C312,武器!$1:$998,COLUMN(M$1),FALSE)*(VLOOKUP($D312,素材!$1:$1002,COLUMN(D$1),FALSE)/100),1),"")</f>
        <v/>
      </c>
      <c r="R312" t="str">
        <f>IFERROR(ROUNDUP(VLOOKUP($C312,武器!$1:$998,COLUMN(N$1),FALSE)*(VLOOKUP($D312,素材!$1:$1002,COLUMN(D$1),FALSE)/100),1),"")</f>
        <v/>
      </c>
      <c r="S312" t="str">
        <f>IFERROR(VLOOKUP($C312,武器!$1:$998,COLUMN(P$1),FALSE),"")</f>
        <v/>
      </c>
      <c r="T312" t="str">
        <f>IFERROR(VLOOKUP($C312,武器!$1:$998,COLUMN(Q$1),FALSE),"")</f>
        <v/>
      </c>
      <c r="U312" t="str">
        <f>IFERROR(VLOOKUP($C312,武器!$1:$998,COLUMN(R$1),FALSE),"")</f>
        <v/>
      </c>
      <c r="V312" t="str">
        <f>IFERROR(VLOOKUP($C312,武器!$1:$998,COLUMN(Q$1),FALSE),"")</f>
        <v/>
      </c>
      <c r="W312" t="str">
        <f>IFERROR(VLOOKUP($C312,武器!$1:$998,COLUMN(T$1),FALSE),"")</f>
        <v/>
      </c>
      <c r="Y312" t="str">
        <f>IFERROR(VLOOKUP($C312,武器!$1:$998,COLUMN(U$1),FALSE),"")</f>
        <v/>
      </c>
      <c r="Z312" t="str">
        <f>IFERROR(ROUNDUP(VLOOKUP($C312,武器!$1:$998,COLUMN(O$1),FALSE)*VLOOKUP($D312,素材!$1:$1016,COLUMN(E$1),FALSE),1),"")</f>
        <v/>
      </c>
      <c r="AA312">
        <f>IF(ISNUMBER(SEARCH(SUBSTITUTE(AA$1,RIGHT(AA$1,2),""),VLOOKUP($D312,素材!$1:$1016,COLUMN($F$1),FALSE))),VLOOKUP($C312,武器!$1:$998,COLUMN($O$1),FALSE)*VLOOKUP($D312,素材!$1:$1016,COLUMN($E$1),FALSE)/(LEN(VLOOKUP($D312,素材!$1:$1016,COLUMN($F$1),FALSE)) - LEN(SUBSTITUTE(VLOOKUP($D312,素材!$1:$1016,COLUMN($F$1),FALSE), "・", 0)) + 1), 0)</f>
        <v>0</v>
      </c>
      <c r="AB312">
        <f>IF(ISNUMBER(SEARCH(SUBSTITUTE(AB$1,RIGHT(AB$1,2),""),VLOOKUP($D312,素材!$1:$1016,COLUMN($F$1),FALSE))),VLOOKUP($C312,武器!$1:$998,COLUMN($O$1),FALSE)*VLOOKUP($D312,素材!$1:$1016,COLUMN($E$1),FALSE)/(LEN(VLOOKUP($D312,素材!$1:$1016,COLUMN($F$1),FALSE)) - LEN(SUBSTITUTE(VLOOKUP($D312,素材!$1:$1016,COLUMN($F$1),FALSE), "・", 0)) + 1), 0)</f>
        <v>0</v>
      </c>
      <c r="AC312">
        <f>IF(ISNUMBER(SEARCH(SUBSTITUTE(AC$1,RIGHT(AC$1,2),""),VLOOKUP($D312,素材!$1:$1016,COLUMN($F$1),FALSE))),VLOOKUP($C312,武器!$1:$998,COLUMN($O$1),FALSE)*VLOOKUP($D312,素材!$1:$1016,COLUMN($E$1),FALSE)/(LEN(VLOOKUP($D312,素材!$1:$1016,COLUMN($F$1),FALSE)) - LEN(SUBSTITUTE(VLOOKUP($D312,素材!$1:$1016,COLUMN($F$1),FALSE), "・", 0)) + 1), 0)</f>
        <v>0</v>
      </c>
      <c r="AD312">
        <f>IF(ISNUMBER(SEARCH(SUBSTITUTE(AD$1,RIGHT(AD$1,2),""),VLOOKUP($D312,素材!$1:$1016,COLUMN($F$1),FALSE))),VLOOKUP($C312,武器!$1:$998,COLUMN($O$1),FALSE)*VLOOKUP($D312,素材!$1:$1016,COLUMN($E$1),FALSE)/(LEN(VLOOKUP($D312,素材!$1:$1016,COLUMN($F$1),FALSE)) - LEN(SUBSTITUTE(VLOOKUP($D312,素材!$1:$1016,COLUMN($F$1),FALSE), "・", 0)) + 1), 0)</f>
        <v>0</v>
      </c>
      <c r="AE312">
        <f>IF(ISNUMBER(SEARCH(SUBSTITUTE(AE$1,RIGHT(AE$1,2),""),VLOOKUP($D312,素材!$1:$1016,COLUMN($F$1),FALSE))),VLOOKUP($C312,武器!$1:$998,COLUMN($O$1),FALSE)*VLOOKUP($D312,素材!$1:$1016,COLUMN($E$1),FALSE)/(LEN(VLOOKUP($D312,素材!$1:$1016,COLUMN($F$1),FALSE)) - LEN(SUBSTITUTE(VLOOKUP($D312,素材!$1:$1016,COLUMN($F$1),FALSE), "・", 0)) + 1), 0)</f>
        <v>0</v>
      </c>
      <c r="AF312">
        <f>IF(ISNUMBER(SEARCH(SUBSTITUTE(AF$1,RIGHT(AF$1,2),""),VLOOKUP($D312,素材!$1:$1016,COLUMN($F$1),FALSE))),VLOOKUP($C312,武器!$1:$998,COLUMN($O$1),FALSE)*VLOOKUP($D312,素材!$1:$1016,COLUMN($E$1),FALSE)/(LEN(VLOOKUP($D312,素材!$1:$1016,COLUMN($F$1),FALSE)) - LEN(SUBSTITUTE(VLOOKUP($D312,素材!$1:$1016,COLUMN($F$1),FALSE), "・", 0)) + 1), 0)</f>
        <v>0</v>
      </c>
      <c r="AG312">
        <f>IF(ISNUMBER(SEARCH(SUBSTITUTE(AG$1,RIGHT(AG$1,2),""),VLOOKUP($D312,素材!$1:$1016,COLUMN($F$1),FALSE))),VLOOKUP($C312,武器!$1:$998,COLUMN($O$1),FALSE)*VLOOKUP($D312,素材!$1:$1016,COLUMN($E$1),FALSE)/(LEN(VLOOKUP($D312,素材!$1:$1016,COLUMN($F$1),FALSE)) - LEN(SUBSTITUTE(VLOOKUP($D312,素材!$1:$1016,COLUMN($F$1),FALSE), "・", 0)) + 1), 0)</f>
        <v>0</v>
      </c>
      <c r="AH312">
        <f>IF(ISNUMBER(SEARCH(SUBSTITUTE(AH$1,RIGHT(AH$1,2),""),VLOOKUP($D312,素材!$1:$1016,COLUMN($F$1),FALSE))),VLOOKUP($C312,武器!$1:$998,COLUMN($O$1),FALSE)*VLOOKUP($D312,素材!$1:$1016,COLUMN($E$1),FALSE)/(LEN(VLOOKUP($D312,素材!$1:$1016,COLUMN($F$1),FALSE)) - LEN(SUBSTITUTE(VLOOKUP($D312,素材!$1:$1016,COLUMN($F$1),FALSE), "・", 0)) + 1), 0)</f>
        <v>0</v>
      </c>
      <c r="AI312">
        <f>IF(ISNUMBER(SEARCH(SUBSTITUTE(AI$1,RIGHT(AI$1,2),""),VLOOKUP($D312,素材!$1:$1016,COLUMN($F$1),FALSE))),VLOOKUP($C312,武器!$1:$998,COLUMN($O$1),FALSE)*VLOOKUP($D312,素材!$1:$1016,COLUMN($E$1),FALSE)/(LEN(VLOOKUP($D312,素材!$1:$1016,COLUMN($F$1),FALSE)) - LEN(SUBSTITUTE(VLOOKUP($D312,素材!$1:$1016,COLUMN($F$1),FALSE), "・", 0)) + 1), 0)</f>
        <v>0</v>
      </c>
      <c r="AJ312">
        <f>IF(ISNUMBER(SEARCH(SUBSTITUTE(AJ$1,RIGHT(AJ$1,2),""),VLOOKUP($D312,素材!$1:$1016,COLUMN($F$1),FALSE))),VLOOKUP($C312,武器!$1:$998,COLUMN($O$1),FALSE)*VLOOKUP($D312,素材!$1:$1016,COLUMN($E$1),FALSE)/(LEN(VLOOKUP($D312,素材!$1:$1016,COLUMN($F$1),FALSE)) - LEN(SUBSTITUTE(VLOOKUP($D312,素材!$1:$1016,COLUMN($F$1),FALSE), "・", 0)) + 1), 0)</f>
        <v>0</v>
      </c>
      <c r="AK312">
        <f>IF(ISNUMBER(SEARCH(SUBSTITUTE(AK$1,RIGHT(AK$1,2),""),VLOOKUP($D312,素材!$1:$1016,COLUMN($F$1),FALSE))),VLOOKUP($C312,武器!$1:$998,COLUMN($O$1),FALSE)*VLOOKUP($D312,素材!$1:$1016,COLUMN($E$1),FALSE)/(LEN(VLOOKUP($D312,素材!$1:$1016,COLUMN($F$1),FALSE)) - LEN(SUBSTITUTE(VLOOKUP($D312,素材!$1:$1016,COLUMN($F$1),FALSE), "・", 0)) + 1), 0)</f>
        <v>0</v>
      </c>
      <c r="AL312">
        <f>IF(ISNUMBER(SEARCH(SUBSTITUTE(AL$1,RIGHT(AL$1,2),""),VLOOKUP($D312,素材!$1:$1016,COLUMN($F$1),FALSE))),VLOOKUP($C312,武器!$1:$998,COLUMN($O$1),FALSE)*VLOOKUP($D312,素材!$1:$1016,COLUMN($E$1),FALSE)/(LEN(VLOOKUP($D312,素材!$1:$1016,COLUMN($F$1),FALSE)) - LEN(SUBSTITUTE(VLOOKUP($D312,素材!$1:$1016,COLUMN($F$1),FALSE), "・", 0)) + 1), 0)</f>
        <v>0</v>
      </c>
      <c r="AM312">
        <f>IF(ISNUMBER(SEARCH(SUBSTITUTE(AM$1,RIGHT(AM$1,2),""),VLOOKUP($D312,素材!$1:$1016,COLUMN($F$1),FALSE))),VLOOKUP($C312,武器!$1:$998,COLUMN($O$1),FALSE)*VLOOKUP($D312,素材!$1:$1016,COLUMN($E$1),FALSE)/(LEN(VLOOKUP($D312,素材!$1:$1016,COLUMN($F$1),FALSE)) - LEN(SUBSTITUTE(VLOOKUP($D312,素材!$1:$1016,COLUMN($F$1),FALSE), "・", 0)) + 1), 0)</f>
        <v>0</v>
      </c>
      <c r="AN312">
        <f>IF(ISNUMBER(SEARCH(SUBSTITUTE(AN$1,RIGHT(AN$1,2),""),VLOOKUP($D312,素材!$1:$1016,COLUMN($F$1),FALSE))),VLOOKUP($C312,武器!$1:$998,COLUMN($O$1),FALSE)*VLOOKUP($D312,素材!$1:$1016,COLUMN($E$1),FALSE)/(LEN(VLOOKUP($D312,素材!$1:$1016,COLUMN($F$1),FALSE)) - LEN(SUBSTITUTE(VLOOKUP($D312,素材!$1:$1016,COLUMN($F$1),FALSE), "・", 0)) + 1), 0)</f>
        <v>0</v>
      </c>
      <c r="AO312">
        <f>IF(ISNUMBER(SEARCH(SUBSTITUTE(AO$1,RIGHT(AO$1,2),""),VLOOKUP($D312,素材!$1:$1016,COLUMN($F$1),FALSE))),VLOOKUP($C312,武器!$1:$998,COLUMN($O$1),FALSE)*VLOOKUP($D312,素材!$1:$1016,COLUMN($E$1),FALSE)/(LEN(VLOOKUP($D312,素材!$1:$1016,COLUMN($F$1),FALSE)) - LEN(SUBSTITUTE(VLOOKUP($D312,素材!$1:$1016,COLUMN($F$1),FALSE), "・", 0)) + 1), 0)</f>
        <v>0</v>
      </c>
      <c r="AP312">
        <f>IF(ISNUMBER(SEARCH(SUBSTITUTE(AP$1,RIGHT(AP$1,2),""),VLOOKUP($D312,素材!$1:$1016,COLUMN($F$1),FALSE))),VLOOKUP($C312,武器!$1:$998,COLUMN($O$1),FALSE)*VLOOKUP($D312,素材!$1:$1016,COLUMN($E$1),FALSE)/(LEN(VLOOKUP($D312,素材!$1:$1016,COLUMN($F$1),FALSE)) - LEN(SUBSTITUTE(VLOOKUP($D312,素材!$1:$1016,COLUMN($F$1),FALSE), "・", 0)) + 1), 0)</f>
        <v>0</v>
      </c>
      <c r="AQ312">
        <f>IF(ISNUMBER(SEARCH(SUBSTITUTE(AQ$1,RIGHT(AQ$1,2),""),VLOOKUP($D312,素材!$1:$1016,COLUMN($F$1),FALSE))),VLOOKUP($C312,武器!$1:$998,COLUMN($O$1),FALSE)*VLOOKUP($D312,素材!$1:$1016,COLUMN($E$1),FALSE)/(LEN(VLOOKUP($D312,素材!$1:$1016,COLUMN($F$1),FALSE)) - LEN(SUBSTITUTE(VLOOKUP($D312,素材!$1:$1016,COLUMN($F$1),FALSE), "・", 0)) + 1), 0)</f>
        <v>0</v>
      </c>
      <c r="AR312">
        <f>IF(ISNUMBER(SEARCH(SUBSTITUTE(AR$1,RIGHT(AR$1,2),""),VLOOKUP($D312,素材!$1:$1016,COLUMN($F$1),FALSE))),VLOOKUP($C312,武器!$1:$998,COLUMN($O$1),FALSE)*VLOOKUP($D312,素材!$1:$1016,COLUMN($E$1),FALSE)/(LEN(VLOOKUP($D312,素材!$1:$1016,COLUMN($F$1),FALSE)) - LEN(SUBSTITUTE(VLOOKUP($D312,素材!$1:$1016,COLUMN($F$1),FALSE), "・", 0)) + 1), 0)</f>
        <v>0</v>
      </c>
      <c r="AS312">
        <f>IF(ISNUMBER(SEARCH(SUBSTITUTE(AS$1,RIGHT(AS$1,2),""),VLOOKUP($D312,素材!$1:$1016,COLUMN($F$1),FALSE))),VLOOKUP($C312,武器!$1:$998,COLUMN($O$1),FALSE)*VLOOKUP($D312,素材!$1:$1016,COLUMN($E$1),FALSE)/(LEN(VLOOKUP($D312,素材!$1:$1016,COLUMN($F$1),FALSE)) - LEN(SUBSTITUTE(VLOOKUP($D312,素材!$1:$1016,COLUMN($F$1),FALSE), "・", 0)) + 1), 0)</f>
        <v>0</v>
      </c>
      <c r="AT312">
        <f>IF(ISNUMBER(SEARCH(SUBSTITUTE(AT$1,RIGHT(AT$1,2),""),VLOOKUP($D312,素材!$1:$1016,COLUMN($F$1),FALSE))),VLOOKUP($C312,武器!$1:$998,COLUMN($O$1),FALSE)*VLOOKUP($D312,素材!$1:$1016,COLUMN($E$1),FALSE)/(LEN(VLOOKUP($D312,素材!$1:$1016,COLUMN($F$1),FALSE)) - LEN(SUBSTITUTE(VLOOKUP($D312,素材!$1:$1016,COLUMN($F$1),FALSE), "・", 0)) + 1), 0)</f>
        <v>0</v>
      </c>
      <c r="AU312">
        <f>IF(ISNUMBER(SEARCH(SUBSTITUTE(AU$1,RIGHT(AU$1,2),""),VLOOKUP($D312,素材!$1:$1016,COLUMN($F$1),FALSE))),VLOOKUP($C312,武器!$1:$998,COLUMN($O$1),FALSE)*VLOOKUP($D312,素材!$1:$1016,COLUMN($E$1),FALSE)/(LEN(VLOOKUP($D312,素材!$1:$1016,COLUMN($F$1),FALSE)) - LEN(SUBSTITUTE(VLOOKUP($D312,素材!$1:$1016,COLUMN($F$1),FALSE), "・", 0)) + 1), 0)</f>
        <v>0</v>
      </c>
      <c r="AV312">
        <f>IF(ISNUMBER(SEARCH(SUBSTITUTE(AV$1,RIGHT(AV$1,2),""),VLOOKUP($D312,素材!$1:$1016,COLUMN($F$1),FALSE))),VLOOKUP($C312,武器!$1:$998,COLUMN($O$1),FALSE)*VLOOKUP($D312,素材!$1:$1016,COLUMN($E$1),FALSE)/(LEN(VLOOKUP($D312,素材!$1:$1016,COLUMN($F$1),FALSE)) - LEN(SUBSTITUTE(VLOOKUP($D312,素材!$1:$1016,COLUMN($F$1),FALSE), "・", 0)) + 1), 0)</f>
        <v>0</v>
      </c>
      <c r="AW312">
        <f>IF(ISNUMBER(SEARCH(SUBSTITUTE(AW$1,RIGHT(AW$1,2),""),VLOOKUP($D312,素材!$1:$1016,COLUMN($F$1),FALSE))),VLOOKUP($C312,武器!$1:$998,COLUMN($O$1),FALSE)*VLOOKUP($D312,素材!$1:$1016,COLUMN($E$1),FALSE)/(LEN(VLOOKUP($D312,素材!$1:$1016,COLUMN($F$1),FALSE)) - LEN(SUBSTITUTE(VLOOKUP($D312,素材!$1:$1016,COLUMN($F$1),FALSE), "・", 0)) + 1), 0)</f>
        <v>0</v>
      </c>
      <c r="AX312">
        <f>IF(ISNUMBER(SEARCH(SUBSTITUTE(AX$1,RIGHT(AX$1,2),""),VLOOKUP($D312,素材!$1:$1016,COLUMN($F$1),FALSE))),VLOOKUP($C312,武器!$1:$998,COLUMN($O$1),FALSE)*VLOOKUP($D312,素材!$1:$1016,COLUMN($E$1),FALSE)/(LEN(VLOOKUP($D312,素材!$1:$1016,COLUMN($F$1),FALSE)) - LEN(SUBSTITUTE(VLOOKUP($D312,素材!$1:$1016,COLUMN($F$1),FALSE), "・", 0)) + 1), 0)</f>
        <v>0</v>
      </c>
      <c r="AY312">
        <f>IF(ISNUMBER(SEARCH(SUBSTITUTE(AY$1,RIGHT(AY$1,2),""),VLOOKUP($D312,素材!$1:$1016,COLUMN($F$1),FALSE))),VLOOKUP($C312,武器!$1:$998,COLUMN($O$1),FALSE)*VLOOKUP($D312,素材!$1:$1016,COLUMN($E$1),FALSE)/(LEN(VLOOKUP($D312,素材!$1:$1016,COLUMN($F$1),FALSE)) - LEN(SUBSTITUTE(VLOOKUP($D312,素材!$1:$1016,COLUMN($F$1),FALSE), "・", 0)) + 1), 0)</f>
        <v>0</v>
      </c>
      <c r="AZ312">
        <f>IF(ISNUMBER(SEARCH(SUBSTITUTE(AZ$1,RIGHT(AZ$1,2),""),VLOOKUP($D312,素材!$1:$1016,COLUMN($F$1),FALSE))),VLOOKUP($C312,武器!$1:$998,COLUMN($O$1),FALSE)*VLOOKUP($D312,素材!$1:$1016,COLUMN($E$1),FALSE)/(LEN(VLOOKUP($D312,素材!$1:$1016,COLUMN($F$1),FALSE)) - LEN(SUBSTITUTE(VLOOKUP($D312,素材!$1:$1016,COLUMN($F$1),FALSE), "・", 0)) + 1), 0)</f>
        <v>0</v>
      </c>
      <c r="BA312">
        <f>IF(ISNUMBER(SEARCH(SUBSTITUTE(BA$1,RIGHT(BA$1,2),""),VLOOKUP($D312,素材!$1:$1016,COLUMN($F$1),FALSE))),VLOOKUP($C312,武器!$1:$998,COLUMN($O$1),FALSE)*VLOOKUP($D312,素材!$1:$1016,COLUMN($E$1),FALSE)/(LEN(VLOOKUP($D312,素材!$1:$1016,COLUMN($F$1),FALSE)) - LEN(SUBSTITUTE(VLOOKUP($D312,素材!$1:$1016,COLUMN($F$1),FALSE), "・", 0)) + 1), 0)</f>
        <v>0</v>
      </c>
      <c r="BB312">
        <f>IF(ISNUMBER(SEARCH(SUBSTITUTE(BB$1,RIGHT(BB$1,2),""),VLOOKUP($D312,素材!$1:$1016,COLUMN($F$1),FALSE))),VLOOKUP($C312,武器!$1:$998,COLUMN($O$1),FALSE)*VLOOKUP($D312,素材!$1:$1016,COLUMN($E$1),FALSE)/(LEN(VLOOKUP($D312,素材!$1:$1016,COLUMN($F$1),FALSE)) - LEN(SUBSTITUTE(VLOOKUP($D312,素材!$1:$1016,COLUMN($F$1),FALSE), "・", 0)) + 1), 0)</f>
        <v>0</v>
      </c>
      <c r="BC312">
        <f>IF(ISNUMBER(SEARCH(SUBSTITUTE(BC$1,RIGHT(BC$1,2),""),VLOOKUP($D312,素材!$1:$1016,COLUMN($F$1),FALSE))),VLOOKUP($C312,武器!$1:$998,COLUMN($O$1),FALSE)*VLOOKUP($D312,素材!$1:$1016,COLUMN($E$1),FALSE)/(LEN(VLOOKUP($D312,素材!$1:$1016,COLUMN($F$1),FALSE)) - LEN(SUBSTITUTE(VLOOKUP($D312,素材!$1:$1016,COLUMN($F$1),FALSE), "・", 0)) + 1), 0)</f>
        <v>0</v>
      </c>
      <c r="BD312">
        <f>IF(ISNUMBER(SEARCH(SUBSTITUTE(BD$1,RIGHT(BD$1,2),""),VLOOKUP($D312,素材!$1:$1016,COLUMN($F$1),FALSE))),VLOOKUP($C312,武器!$1:$998,COLUMN($O$1),FALSE)*VLOOKUP($D312,素材!$1:$1016,COLUMN($E$1),FALSE)/(LEN(VLOOKUP($D312,素材!$1:$1016,COLUMN($F$1),FALSE)) - LEN(SUBSTITUTE(VLOOKUP($D312,素材!$1:$1016,COLUMN($F$1),FALSE), "・", 0)) + 1), 0)</f>
        <v>0</v>
      </c>
      <c r="BE312">
        <f>IF(ISNUMBER(SEARCH(SUBSTITUTE(BE$1,RIGHT(BE$1,2),""),VLOOKUP($D312,素材!$1:$1016,COLUMN($F$1),FALSE))),VLOOKUP($C312,武器!$1:$998,COLUMN($O$1),FALSE)*VLOOKUP($D312,素材!$1:$1016,COLUMN($E$1),FALSE)/(LEN(VLOOKUP($D312,素材!$1:$1016,COLUMN($F$1),FALSE)) - LEN(SUBSTITUTE(VLOOKUP($D312,素材!$1:$1016,COLUMN($F$1),FALSE), "・", 0)) + 1), 0)</f>
        <v>0</v>
      </c>
      <c r="CL312">
        <f>SUM(G312:I312)</f>
        <v>0</v>
      </c>
      <c r="CM312" s="22" t="str">
        <f>IF(E312="武器",IF(J312-1&gt;SUM(G312:I312),"盾",IF(MAX(G312:I312)=G312,"切断",IF(MAX(G312:I312)=H312,"貫通",IF(MAX(G312:I312)=I312,"打撃","射撃")))),E312)&amp;".webp"</f>
        <v>.webp</v>
      </c>
      <c r="CN312" t="str">
        <f>IFERROR(VLOOKUP($C312,武器!$1:$998,COLUMN(V$1),FALSE)*VLOOKUP($D312,素材!$1:$1016,COLUMN(N$1),FALSE)+IF(CI312="",0,VLOOKUP($CI312,装強!$1:$1008,COLUMN($CK$1),FALSE)),"")</f>
        <v/>
      </c>
      <c r="CO312" t="e">
        <f>VLOOKUP(D312,素材!$A:$O,COLUMN(素材!O$1),FALSE)</f>
        <v>#N/A</v>
      </c>
      <c r="CP312" t="e">
        <f>VLOOKUP(C312,武器!$A:$W,COLUMN(武器!W$1),FALSE)</f>
        <v>#N/A</v>
      </c>
      <c r="CR312" t="str">
        <f t="shared" si="33"/>
        <v>e_312</v>
      </c>
      <c r="CS312" t="e">
        <f t="shared" si="34"/>
        <v>#VALUE!</v>
      </c>
    </row>
    <row r="313" spans="1:97" hidden="1" outlineLevel="1" x14ac:dyDescent="0.4">
      <c r="A313" t="str">
        <f>IF(CI313="",D313&amp;"の"&amp;C313,CI313&amp;"の"&amp;C313)</f>
        <v>の</v>
      </c>
      <c r="B313" t="str">
        <f>IFERROR(IF(CI313="",VLOOKUP($D313,素材!$1:$1016,COLUMN($B$1),FALSE)&amp;"・"&amp;VLOOKUP($C313,武器!$1:$998,COLUMN(B$1),FALSE),VLOOKUP($CI313,装強!$1:$1008,COLUMN($B$1),FALSE)&amp;"・"&amp;VLOOKUP($C313,武器!$1:$998,COLUMN(B$1),FALSE)),"")</f>
        <v/>
      </c>
      <c r="C313" s="24"/>
      <c r="D313" s="24"/>
      <c r="E313" t="str">
        <f>IFERROR(VLOOKUP(C313,武器!$1:$998,COLUMN(C$1),FALSE),"")</f>
        <v/>
      </c>
      <c r="F313" t="str">
        <f>IFERROR(ROUNDDOWN((VLOOKUP($C313,武器!$1:$998,COLUMN(D$1),FALSE)+IFERROR(VLOOKUP($CI313,装強!$1:$999,COLUMN(F$1),FALSE),0))*VLOOKUP($D313,素材!$1:$1016,COLUMN(D$1),FALSE),0),"")</f>
        <v/>
      </c>
      <c r="G313" t="str">
        <f>IFERROR(ROUNDDOWN((VLOOKUP($C313,武器!$1:$998,COLUMN(E$1),FALSE)+IFERROR(VLOOKUP($CI313,装強!$1:$999,COLUMN(G$1),FALSE),0))*VLOOKUP($D313,素材!$1:$1016,COLUMN($E$1),FALSE),0),"")</f>
        <v/>
      </c>
      <c r="H313" t="str">
        <f>IFERROR(ROUNDDOWN((VLOOKUP($C313,武器!$1:$998,COLUMN(F$1),FALSE)+IFERROR(VLOOKUP($CI313,装強!$1:$999,COLUMN(H$1),FALSE),0))*VLOOKUP($D313,素材!$1:$1016,COLUMN($E$1),FALSE),0),"")</f>
        <v/>
      </c>
      <c r="I313" t="str">
        <f>IFERROR(ROUNDDOWN((VLOOKUP($C313,武器!$1:$998,COLUMN(G$1),FALSE)+IFERROR(VLOOKUP($CI313,装強!$1:$999,COLUMN(I$1),FALSE),0))*VLOOKUP($D313,素材!$1:$1016,COLUMN($E$1),FALSE),0),"")</f>
        <v/>
      </c>
      <c r="J313" t="str">
        <f>IFERROR(ROUNDDOWN((VLOOKUP($C313,武器!$1:$998,COLUMN(H$1),FALSE)+IFERROR(VLOOKUP($CI313,装強!$1:$999,COLUMN(J$1),FALSE),0))*VLOOKUP($D313,素材!$1:$1016,COLUMN($E$1),FALSE),0),"")</f>
        <v/>
      </c>
      <c r="K313" t="str">
        <f>IFERROR(ROUNDDOWN((VLOOKUP($C313,武器!$1:$998,COLUMN(I$1),FALSE)+IFERROR(VLOOKUP($CI313,装強!$1:$999,COLUMN(K$1),FALSE),0))*VLOOKUP($D313,素材!$1:$1016,COLUMN($E$1),FALSE),0),"")</f>
        <v/>
      </c>
      <c r="L313" t="str">
        <f>IFERROR(VLOOKUP($D313,素材!$1:$1016,COLUMN($F$1),FALSE),"")</f>
        <v/>
      </c>
      <c r="M313" t="str">
        <f>IFERROR(VLOOKUP($C313,武器!$1:$998,COLUMN(AA$1),FALSE)*VLOOKUP($D313,素材!$1:$1016,COLUMN($G$1),FALSE),"")</f>
        <v/>
      </c>
      <c r="N313" t="str">
        <f>IFERROR(VLOOKUP($C313,武器!$1:$998,COLUMN(I$1),FALSE),"")</f>
        <v/>
      </c>
      <c r="O313" s="23" t="str">
        <f>IFERROR((VLOOKUP($C313,武器!$1:$998,COLUMN(K$1),FALSE)+VLOOKUP($D313,素材!$1:$1016,COLUMN(H$1),FALSE))*100+IFERROR(VLOOKUP($CI313,装強!$1:$999,COLUMN(O$1),FALSE),0),"")</f>
        <v/>
      </c>
      <c r="P313" s="23" t="str">
        <f>IFERROR((VLOOKUP($C313,武器!$1:$998,COLUMN(L$1),FALSE)+VLOOKUP($D313,素材!$1:$1016,COLUMN(I$1),FALSE))*100+IFERROR(VLOOKUP($CI313,装強!$1:$999,COLUMN(P$1),FALSE),0),"")</f>
        <v/>
      </c>
      <c r="Q313" t="str">
        <f>IFERROR(ROUNDUP(VLOOKUP($C313,武器!$1:$998,COLUMN(M$1),FALSE)*(VLOOKUP($D313,素材!$1:$1002,COLUMN(D$1),FALSE)/100),1),"")</f>
        <v/>
      </c>
      <c r="R313" t="str">
        <f>IFERROR(ROUNDUP(VLOOKUP($C313,武器!$1:$998,COLUMN(N$1),FALSE)*(VLOOKUP($D313,素材!$1:$1002,COLUMN(D$1),FALSE)/100),1),"")</f>
        <v/>
      </c>
      <c r="S313" t="str">
        <f>IFERROR(VLOOKUP($C313,武器!$1:$998,COLUMN(P$1),FALSE),"")</f>
        <v/>
      </c>
      <c r="T313" t="str">
        <f>IFERROR(VLOOKUP($C313,武器!$1:$998,COLUMN(Q$1),FALSE),"")</f>
        <v/>
      </c>
      <c r="U313" t="str">
        <f>IFERROR(VLOOKUP($C313,武器!$1:$998,COLUMN(R$1),FALSE),"")</f>
        <v/>
      </c>
      <c r="V313" t="str">
        <f>IFERROR(VLOOKUP($C313,武器!$1:$998,COLUMN(Q$1),FALSE),"")</f>
        <v/>
      </c>
      <c r="W313" t="str">
        <f>IFERROR(VLOOKUP($C313,武器!$1:$998,COLUMN(T$1),FALSE),"")</f>
        <v/>
      </c>
      <c r="Y313" t="str">
        <f>IFERROR(VLOOKUP($C313,武器!$1:$998,COLUMN(U$1),FALSE),"")</f>
        <v/>
      </c>
      <c r="Z313" t="str">
        <f>IFERROR(ROUNDUP(VLOOKUP($C313,武器!$1:$998,COLUMN(O$1),FALSE)*VLOOKUP($D313,素材!$1:$1016,COLUMN(E$1),FALSE),1),"")</f>
        <v/>
      </c>
      <c r="AA313">
        <f>IF(ISNUMBER(SEARCH(SUBSTITUTE(AA$1,RIGHT(AA$1,2),""),VLOOKUP($D313,素材!$1:$1016,COLUMN($F$1),FALSE))),VLOOKUP($C313,武器!$1:$998,COLUMN($O$1),FALSE)*VLOOKUP($D313,素材!$1:$1016,COLUMN($E$1),FALSE)/(LEN(VLOOKUP($D313,素材!$1:$1016,COLUMN($F$1),FALSE)) - LEN(SUBSTITUTE(VLOOKUP($D313,素材!$1:$1016,COLUMN($F$1),FALSE), "・", 0)) + 1), 0)</f>
        <v>0</v>
      </c>
      <c r="AB313">
        <f>IF(ISNUMBER(SEARCH(SUBSTITUTE(AB$1,RIGHT(AB$1,2),""),VLOOKUP($D313,素材!$1:$1016,COLUMN($F$1),FALSE))),VLOOKUP($C313,武器!$1:$998,COLUMN($O$1),FALSE)*VLOOKUP($D313,素材!$1:$1016,COLUMN($E$1),FALSE)/(LEN(VLOOKUP($D313,素材!$1:$1016,COLUMN($F$1),FALSE)) - LEN(SUBSTITUTE(VLOOKUP($D313,素材!$1:$1016,COLUMN($F$1),FALSE), "・", 0)) + 1), 0)</f>
        <v>0</v>
      </c>
      <c r="AC313">
        <f>IF(ISNUMBER(SEARCH(SUBSTITUTE(AC$1,RIGHT(AC$1,2),""),VLOOKUP($D313,素材!$1:$1016,COLUMN($F$1),FALSE))),VLOOKUP($C313,武器!$1:$998,COLUMN($O$1),FALSE)*VLOOKUP($D313,素材!$1:$1016,COLUMN($E$1),FALSE)/(LEN(VLOOKUP($D313,素材!$1:$1016,COLUMN($F$1),FALSE)) - LEN(SUBSTITUTE(VLOOKUP($D313,素材!$1:$1016,COLUMN($F$1),FALSE), "・", 0)) + 1), 0)</f>
        <v>0</v>
      </c>
      <c r="AD313">
        <f>IF(ISNUMBER(SEARCH(SUBSTITUTE(AD$1,RIGHT(AD$1,2),""),VLOOKUP($D313,素材!$1:$1016,COLUMN($F$1),FALSE))),VLOOKUP($C313,武器!$1:$998,COLUMN($O$1),FALSE)*VLOOKUP($D313,素材!$1:$1016,COLUMN($E$1),FALSE)/(LEN(VLOOKUP($D313,素材!$1:$1016,COLUMN($F$1),FALSE)) - LEN(SUBSTITUTE(VLOOKUP($D313,素材!$1:$1016,COLUMN($F$1),FALSE), "・", 0)) + 1), 0)</f>
        <v>0</v>
      </c>
      <c r="AE313">
        <f>IF(ISNUMBER(SEARCH(SUBSTITUTE(AE$1,RIGHT(AE$1,2),""),VLOOKUP($D313,素材!$1:$1016,COLUMN($F$1),FALSE))),VLOOKUP($C313,武器!$1:$998,COLUMN($O$1),FALSE)*VLOOKUP($D313,素材!$1:$1016,COLUMN($E$1),FALSE)/(LEN(VLOOKUP($D313,素材!$1:$1016,COLUMN($F$1),FALSE)) - LEN(SUBSTITUTE(VLOOKUP($D313,素材!$1:$1016,COLUMN($F$1),FALSE), "・", 0)) + 1), 0)</f>
        <v>0</v>
      </c>
      <c r="AF313">
        <f>IF(ISNUMBER(SEARCH(SUBSTITUTE(AF$1,RIGHT(AF$1,2),""),VLOOKUP($D313,素材!$1:$1016,COLUMN($F$1),FALSE))),VLOOKUP($C313,武器!$1:$998,COLUMN($O$1),FALSE)*VLOOKUP($D313,素材!$1:$1016,COLUMN($E$1),FALSE)/(LEN(VLOOKUP($D313,素材!$1:$1016,COLUMN($F$1),FALSE)) - LEN(SUBSTITUTE(VLOOKUP($D313,素材!$1:$1016,COLUMN($F$1),FALSE), "・", 0)) + 1), 0)</f>
        <v>0</v>
      </c>
      <c r="AG313">
        <f>IF(ISNUMBER(SEARCH(SUBSTITUTE(AG$1,RIGHT(AG$1,2),""),VLOOKUP($D313,素材!$1:$1016,COLUMN($F$1),FALSE))),VLOOKUP($C313,武器!$1:$998,COLUMN($O$1),FALSE)*VLOOKUP($D313,素材!$1:$1016,COLUMN($E$1),FALSE)/(LEN(VLOOKUP($D313,素材!$1:$1016,COLUMN($F$1),FALSE)) - LEN(SUBSTITUTE(VLOOKUP($D313,素材!$1:$1016,COLUMN($F$1),FALSE), "・", 0)) + 1), 0)</f>
        <v>0</v>
      </c>
      <c r="AH313">
        <f>IF(ISNUMBER(SEARCH(SUBSTITUTE(AH$1,RIGHT(AH$1,2),""),VLOOKUP($D313,素材!$1:$1016,COLUMN($F$1),FALSE))),VLOOKUP($C313,武器!$1:$998,COLUMN($O$1),FALSE)*VLOOKUP($D313,素材!$1:$1016,COLUMN($E$1),FALSE)/(LEN(VLOOKUP($D313,素材!$1:$1016,COLUMN($F$1),FALSE)) - LEN(SUBSTITUTE(VLOOKUP($D313,素材!$1:$1016,COLUMN($F$1),FALSE), "・", 0)) + 1), 0)</f>
        <v>0</v>
      </c>
      <c r="AI313">
        <f>IF(ISNUMBER(SEARCH(SUBSTITUTE(AI$1,RIGHT(AI$1,2),""),VLOOKUP($D313,素材!$1:$1016,COLUMN($F$1),FALSE))),VLOOKUP($C313,武器!$1:$998,COLUMN($O$1),FALSE)*VLOOKUP($D313,素材!$1:$1016,COLUMN($E$1),FALSE)/(LEN(VLOOKUP($D313,素材!$1:$1016,COLUMN($F$1),FALSE)) - LEN(SUBSTITUTE(VLOOKUP($D313,素材!$1:$1016,COLUMN($F$1),FALSE), "・", 0)) + 1), 0)</f>
        <v>0</v>
      </c>
      <c r="AJ313">
        <f>IF(ISNUMBER(SEARCH(SUBSTITUTE(AJ$1,RIGHT(AJ$1,2),""),VLOOKUP($D313,素材!$1:$1016,COLUMN($F$1),FALSE))),VLOOKUP($C313,武器!$1:$998,COLUMN($O$1),FALSE)*VLOOKUP($D313,素材!$1:$1016,COLUMN($E$1),FALSE)/(LEN(VLOOKUP($D313,素材!$1:$1016,COLUMN($F$1),FALSE)) - LEN(SUBSTITUTE(VLOOKUP($D313,素材!$1:$1016,COLUMN($F$1),FALSE), "・", 0)) + 1), 0)</f>
        <v>0</v>
      </c>
      <c r="AK313">
        <f>IF(ISNUMBER(SEARCH(SUBSTITUTE(AK$1,RIGHT(AK$1,2),""),VLOOKUP($D313,素材!$1:$1016,COLUMN($F$1),FALSE))),VLOOKUP($C313,武器!$1:$998,COLUMN($O$1),FALSE)*VLOOKUP($D313,素材!$1:$1016,COLUMN($E$1),FALSE)/(LEN(VLOOKUP($D313,素材!$1:$1016,COLUMN($F$1),FALSE)) - LEN(SUBSTITUTE(VLOOKUP($D313,素材!$1:$1016,COLUMN($F$1),FALSE), "・", 0)) + 1), 0)</f>
        <v>0</v>
      </c>
      <c r="AL313">
        <f>IF(ISNUMBER(SEARCH(SUBSTITUTE(AL$1,RIGHT(AL$1,2),""),VLOOKUP($D313,素材!$1:$1016,COLUMN($F$1),FALSE))),VLOOKUP($C313,武器!$1:$998,COLUMN($O$1),FALSE)*VLOOKUP($D313,素材!$1:$1016,COLUMN($E$1),FALSE)/(LEN(VLOOKUP($D313,素材!$1:$1016,COLUMN($F$1),FALSE)) - LEN(SUBSTITUTE(VLOOKUP($D313,素材!$1:$1016,COLUMN($F$1),FALSE), "・", 0)) + 1), 0)</f>
        <v>0</v>
      </c>
      <c r="AM313">
        <f>IF(ISNUMBER(SEARCH(SUBSTITUTE(AM$1,RIGHT(AM$1,2),""),VLOOKUP($D313,素材!$1:$1016,COLUMN($F$1),FALSE))),VLOOKUP($C313,武器!$1:$998,COLUMN($O$1),FALSE)*VLOOKUP($D313,素材!$1:$1016,COLUMN($E$1),FALSE)/(LEN(VLOOKUP($D313,素材!$1:$1016,COLUMN($F$1),FALSE)) - LEN(SUBSTITUTE(VLOOKUP($D313,素材!$1:$1016,COLUMN($F$1),FALSE), "・", 0)) + 1), 0)</f>
        <v>0</v>
      </c>
      <c r="AN313">
        <f>IF(ISNUMBER(SEARCH(SUBSTITUTE(AN$1,RIGHT(AN$1,2),""),VLOOKUP($D313,素材!$1:$1016,COLUMN($F$1),FALSE))),VLOOKUP($C313,武器!$1:$998,COLUMN($O$1),FALSE)*VLOOKUP($D313,素材!$1:$1016,COLUMN($E$1),FALSE)/(LEN(VLOOKUP($D313,素材!$1:$1016,COLUMN($F$1),FALSE)) - LEN(SUBSTITUTE(VLOOKUP($D313,素材!$1:$1016,COLUMN($F$1),FALSE), "・", 0)) + 1), 0)</f>
        <v>0</v>
      </c>
      <c r="AO313">
        <f>IF(ISNUMBER(SEARCH(SUBSTITUTE(AO$1,RIGHT(AO$1,2),""),VLOOKUP($D313,素材!$1:$1016,COLUMN($F$1),FALSE))),VLOOKUP($C313,武器!$1:$998,COLUMN($O$1),FALSE)*VLOOKUP($D313,素材!$1:$1016,COLUMN($E$1),FALSE)/(LEN(VLOOKUP($D313,素材!$1:$1016,COLUMN($F$1),FALSE)) - LEN(SUBSTITUTE(VLOOKUP($D313,素材!$1:$1016,COLUMN($F$1),FALSE), "・", 0)) + 1), 0)</f>
        <v>0</v>
      </c>
      <c r="AP313">
        <f>IF(ISNUMBER(SEARCH(SUBSTITUTE(AP$1,RIGHT(AP$1,2),""),VLOOKUP($D313,素材!$1:$1016,COLUMN($F$1),FALSE))),VLOOKUP($C313,武器!$1:$998,COLUMN($O$1),FALSE)*VLOOKUP($D313,素材!$1:$1016,COLUMN($E$1),FALSE)/(LEN(VLOOKUP($D313,素材!$1:$1016,COLUMN($F$1),FALSE)) - LEN(SUBSTITUTE(VLOOKUP($D313,素材!$1:$1016,COLUMN($F$1),FALSE), "・", 0)) + 1), 0)</f>
        <v>0</v>
      </c>
      <c r="AQ313">
        <f>IF(ISNUMBER(SEARCH(SUBSTITUTE(AQ$1,RIGHT(AQ$1,2),""),VLOOKUP($D313,素材!$1:$1016,COLUMN($F$1),FALSE))),VLOOKUP($C313,武器!$1:$998,COLUMN($O$1),FALSE)*VLOOKUP($D313,素材!$1:$1016,COLUMN($E$1),FALSE)/(LEN(VLOOKUP($D313,素材!$1:$1016,COLUMN($F$1),FALSE)) - LEN(SUBSTITUTE(VLOOKUP($D313,素材!$1:$1016,COLUMN($F$1),FALSE), "・", 0)) + 1), 0)</f>
        <v>0</v>
      </c>
      <c r="AR313">
        <f>IF(ISNUMBER(SEARCH(SUBSTITUTE(AR$1,RIGHT(AR$1,2),""),VLOOKUP($D313,素材!$1:$1016,COLUMN($F$1),FALSE))),VLOOKUP($C313,武器!$1:$998,COLUMN($O$1),FALSE)*VLOOKUP($D313,素材!$1:$1016,COLUMN($E$1),FALSE)/(LEN(VLOOKUP($D313,素材!$1:$1016,COLUMN($F$1),FALSE)) - LEN(SUBSTITUTE(VLOOKUP($D313,素材!$1:$1016,COLUMN($F$1),FALSE), "・", 0)) + 1), 0)</f>
        <v>0</v>
      </c>
      <c r="AS313">
        <f>IF(ISNUMBER(SEARCH(SUBSTITUTE(AS$1,RIGHT(AS$1,2),""),VLOOKUP($D313,素材!$1:$1016,COLUMN($F$1),FALSE))),VLOOKUP($C313,武器!$1:$998,COLUMN($O$1),FALSE)*VLOOKUP($D313,素材!$1:$1016,COLUMN($E$1),FALSE)/(LEN(VLOOKUP($D313,素材!$1:$1016,COLUMN($F$1),FALSE)) - LEN(SUBSTITUTE(VLOOKUP($D313,素材!$1:$1016,COLUMN($F$1),FALSE), "・", 0)) + 1), 0)</f>
        <v>0</v>
      </c>
      <c r="AT313">
        <f>IF(ISNUMBER(SEARCH(SUBSTITUTE(AT$1,RIGHT(AT$1,2),""),VLOOKUP($D313,素材!$1:$1016,COLUMN($F$1),FALSE))),VLOOKUP($C313,武器!$1:$998,COLUMN($O$1),FALSE)*VLOOKUP($D313,素材!$1:$1016,COLUMN($E$1),FALSE)/(LEN(VLOOKUP($D313,素材!$1:$1016,COLUMN($F$1),FALSE)) - LEN(SUBSTITUTE(VLOOKUP($D313,素材!$1:$1016,COLUMN($F$1),FALSE), "・", 0)) + 1), 0)</f>
        <v>0</v>
      </c>
      <c r="AU313">
        <f>IF(ISNUMBER(SEARCH(SUBSTITUTE(AU$1,RIGHT(AU$1,2),""),VLOOKUP($D313,素材!$1:$1016,COLUMN($F$1),FALSE))),VLOOKUP($C313,武器!$1:$998,COLUMN($O$1),FALSE)*VLOOKUP($D313,素材!$1:$1016,COLUMN($E$1),FALSE)/(LEN(VLOOKUP($D313,素材!$1:$1016,COLUMN($F$1),FALSE)) - LEN(SUBSTITUTE(VLOOKUP($D313,素材!$1:$1016,COLUMN($F$1),FALSE), "・", 0)) + 1), 0)</f>
        <v>0</v>
      </c>
      <c r="AV313">
        <f>IF(ISNUMBER(SEARCH(SUBSTITUTE(AV$1,RIGHT(AV$1,2),""),VLOOKUP($D313,素材!$1:$1016,COLUMN($F$1),FALSE))),VLOOKUP($C313,武器!$1:$998,COLUMN($O$1),FALSE)*VLOOKUP($D313,素材!$1:$1016,COLUMN($E$1),FALSE)/(LEN(VLOOKUP($D313,素材!$1:$1016,COLUMN($F$1),FALSE)) - LEN(SUBSTITUTE(VLOOKUP($D313,素材!$1:$1016,COLUMN($F$1),FALSE), "・", 0)) + 1), 0)</f>
        <v>0</v>
      </c>
      <c r="AW313">
        <f>IF(ISNUMBER(SEARCH(SUBSTITUTE(AW$1,RIGHT(AW$1,2),""),VLOOKUP($D313,素材!$1:$1016,COLUMN($F$1),FALSE))),VLOOKUP($C313,武器!$1:$998,COLUMN($O$1),FALSE)*VLOOKUP($D313,素材!$1:$1016,COLUMN($E$1),FALSE)/(LEN(VLOOKUP($D313,素材!$1:$1016,COLUMN($F$1),FALSE)) - LEN(SUBSTITUTE(VLOOKUP($D313,素材!$1:$1016,COLUMN($F$1),FALSE), "・", 0)) + 1), 0)</f>
        <v>0</v>
      </c>
      <c r="AX313">
        <f>IF(ISNUMBER(SEARCH(SUBSTITUTE(AX$1,RIGHT(AX$1,2),""),VLOOKUP($D313,素材!$1:$1016,COLUMN($F$1),FALSE))),VLOOKUP($C313,武器!$1:$998,COLUMN($O$1),FALSE)*VLOOKUP($D313,素材!$1:$1016,COLUMN($E$1),FALSE)/(LEN(VLOOKUP($D313,素材!$1:$1016,COLUMN($F$1),FALSE)) - LEN(SUBSTITUTE(VLOOKUP($D313,素材!$1:$1016,COLUMN($F$1),FALSE), "・", 0)) + 1), 0)</f>
        <v>0</v>
      </c>
      <c r="AY313">
        <f>IF(ISNUMBER(SEARCH(SUBSTITUTE(AY$1,RIGHT(AY$1,2),""),VLOOKUP($D313,素材!$1:$1016,COLUMN($F$1),FALSE))),VLOOKUP($C313,武器!$1:$998,COLUMN($O$1),FALSE)*VLOOKUP($D313,素材!$1:$1016,COLUMN($E$1),FALSE)/(LEN(VLOOKUP($D313,素材!$1:$1016,COLUMN($F$1),FALSE)) - LEN(SUBSTITUTE(VLOOKUP($D313,素材!$1:$1016,COLUMN($F$1),FALSE), "・", 0)) + 1), 0)</f>
        <v>0</v>
      </c>
      <c r="AZ313">
        <f>IF(ISNUMBER(SEARCH(SUBSTITUTE(AZ$1,RIGHT(AZ$1,2),""),VLOOKUP($D313,素材!$1:$1016,COLUMN($F$1),FALSE))),VLOOKUP($C313,武器!$1:$998,COLUMN($O$1),FALSE)*VLOOKUP($D313,素材!$1:$1016,COLUMN($E$1),FALSE)/(LEN(VLOOKUP($D313,素材!$1:$1016,COLUMN($F$1),FALSE)) - LEN(SUBSTITUTE(VLOOKUP($D313,素材!$1:$1016,COLUMN($F$1),FALSE), "・", 0)) + 1), 0)</f>
        <v>0</v>
      </c>
      <c r="BA313">
        <f>IF(ISNUMBER(SEARCH(SUBSTITUTE(BA$1,RIGHT(BA$1,2),""),VLOOKUP($D313,素材!$1:$1016,COLUMN($F$1),FALSE))),VLOOKUP($C313,武器!$1:$998,COLUMN($O$1),FALSE)*VLOOKUP($D313,素材!$1:$1016,COLUMN($E$1),FALSE)/(LEN(VLOOKUP($D313,素材!$1:$1016,COLUMN($F$1),FALSE)) - LEN(SUBSTITUTE(VLOOKUP($D313,素材!$1:$1016,COLUMN($F$1),FALSE), "・", 0)) + 1), 0)</f>
        <v>0</v>
      </c>
      <c r="BB313">
        <f>IF(ISNUMBER(SEARCH(SUBSTITUTE(BB$1,RIGHT(BB$1,2),""),VLOOKUP($D313,素材!$1:$1016,COLUMN($F$1),FALSE))),VLOOKUP($C313,武器!$1:$998,COLUMN($O$1),FALSE)*VLOOKUP($D313,素材!$1:$1016,COLUMN($E$1),FALSE)/(LEN(VLOOKUP($D313,素材!$1:$1016,COLUMN($F$1),FALSE)) - LEN(SUBSTITUTE(VLOOKUP($D313,素材!$1:$1016,COLUMN($F$1),FALSE), "・", 0)) + 1), 0)</f>
        <v>0</v>
      </c>
      <c r="BC313">
        <f>IF(ISNUMBER(SEARCH(SUBSTITUTE(BC$1,RIGHT(BC$1,2),""),VLOOKUP($D313,素材!$1:$1016,COLUMN($F$1),FALSE))),VLOOKUP($C313,武器!$1:$998,COLUMN($O$1),FALSE)*VLOOKUP($D313,素材!$1:$1016,COLUMN($E$1),FALSE)/(LEN(VLOOKUP($D313,素材!$1:$1016,COLUMN($F$1),FALSE)) - LEN(SUBSTITUTE(VLOOKUP($D313,素材!$1:$1016,COLUMN($F$1),FALSE), "・", 0)) + 1), 0)</f>
        <v>0</v>
      </c>
      <c r="BD313">
        <f>IF(ISNUMBER(SEARCH(SUBSTITUTE(BD$1,RIGHT(BD$1,2),""),VLOOKUP($D313,素材!$1:$1016,COLUMN($F$1),FALSE))),VLOOKUP($C313,武器!$1:$998,COLUMN($O$1),FALSE)*VLOOKUP($D313,素材!$1:$1016,COLUMN($E$1),FALSE)/(LEN(VLOOKUP($D313,素材!$1:$1016,COLUMN($F$1),FALSE)) - LEN(SUBSTITUTE(VLOOKUP($D313,素材!$1:$1016,COLUMN($F$1),FALSE), "・", 0)) + 1), 0)</f>
        <v>0</v>
      </c>
      <c r="BE313">
        <f>IF(ISNUMBER(SEARCH(SUBSTITUTE(BE$1,RIGHT(BE$1,2),""),VLOOKUP($D313,素材!$1:$1016,COLUMN($F$1),FALSE))),VLOOKUP($C313,武器!$1:$998,COLUMN($O$1),FALSE)*VLOOKUP($D313,素材!$1:$1016,COLUMN($E$1),FALSE)/(LEN(VLOOKUP($D313,素材!$1:$1016,COLUMN($F$1),FALSE)) - LEN(SUBSTITUTE(VLOOKUP($D313,素材!$1:$1016,COLUMN($F$1),FALSE), "・", 0)) + 1), 0)</f>
        <v>0</v>
      </c>
      <c r="CL313">
        <f>SUM(G313:I313)</f>
        <v>0</v>
      </c>
      <c r="CM313" s="22" t="str">
        <f>IF(E313="武器",IF(J313-1&gt;SUM(G313:I313),"盾",IF(MAX(G313:I313)=G313,"切断",IF(MAX(G313:I313)=H313,"貫通",IF(MAX(G313:I313)=I313,"打撃","射撃")))),E313)&amp;".webp"</f>
        <v>.webp</v>
      </c>
      <c r="CN313" t="str">
        <f>IFERROR(VLOOKUP($C313,武器!$1:$998,COLUMN(V$1),FALSE)*VLOOKUP($D313,素材!$1:$1016,COLUMN(N$1),FALSE)+IF(CI313="",0,VLOOKUP($CI313,装強!$1:$1008,COLUMN($CK$1),FALSE)),"")</f>
        <v/>
      </c>
      <c r="CO313" t="e">
        <f>VLOOKUP(D313,素材!$A:$O,COLUMN(素材!O$1),FALSE)</f>
        <v>#N/A</v>
      </c>
      <c r="CP313" t="e">
        <f>VLOOKUP(C313,武器!$A:$W,COLUMN(武器!W$1),FALSE)</f>
        <v>#N/A</v>
      </c>
      <c r="CR313" t="str">
        <f t="shared" si="33"/>
        <v>e_313</v>
      </c>
      <c r="CS313" t="e">
        <f t="shared" si="34"/>
        <v>#VALUE!</v>
      </c>
    </row>
    <row r="314" spans="1:97" hidden="1" outlineLevel="1" x14ac:dyDescent="0.4">
      <c r="A314" t="str">
        <f>IF(CI314="",D314&amp;"の"&amp;C314,CI314&amp;"の"&amp;C314)</f>
        <v>の</v>
      </c>
      <c r="B314" t="str">
        <f>IFERROR(IF(CI314="",VLOOKUP($D314,素材!$1:$1016,COLUMN($B$1),FALSE)&amp;"・"&amp;VLOOKUP($C314,武器!$1:$998,COLUMN(B$1),FALSE),VLOOKUP($CI314,装強!$1:$1008,COLUMN($B$1),FALSE)&amp;"・"&amp;VLOOKUP($C314,武器!$1:$998,COLUMN(B$1),FALSE)),"")</f>
        <v/>
      </c>
      <c r="C314" s="24"/>
      <c r="D314" s="24"/>
      <c r="E314" t="str">
        <f>IFERROR(VLOOKUP(C314,武器!$1:$998,COLUMN(C$1),FALSE),"")</f>
        <v/>
      </c>
      <c r="F314" t="str">
        <f>IFERROR(ROUNDDOWN((VLOOKUP($C314,武器!$1:$998,COLUMN(D$1),FALSE)+IFERROR(VLOOKUP($CI314,装強!$1:$999,COLUMN(F$1),FALSE),0))*VLOOKUP($D314,素材!$1:$1016,COLUMN(D$1),FALSE),0),"")</f>
        <v/>
      </c>
      <c r="G314" t="str">
        <f>IFERROR(ROUNDDOWN((VLOOKUP($C314,武器!$1:$998,COLUMN(E$1),FALSE)+IFERROR(VLOOKUP($CI314,装強!$1:$999,COLUMN(G$1),FALSE),0))*VLOOKUP($D314,素材!$1:$1016,COLUMN($E$1),FALSE),0),"")</f>
        <v/>
      </c>
      <c r="H314" t="str">
        <f>IFERROR(ROUNDDOWN((VLOOKUP($C314,武器!$1:$998,COLUMN(F$1),FALSE)+IFERROR(VLOOKUP($CI314,装強!$1:$999,COLUMN(H$1),FALSE),0))*VLOOKUP($D314,素材!$1:$1016,COLUMN($E$1),FALSE),0),"")</f>
        <v/>
      </c>
      <c r="I314" t="str">
        <f>IFERROR(ROUNDDOWN((VLOOKUP($C314,武器!$1:$998,COLUMN(G$1),FALSE)+IFERROR(VLOOKUP($CI314,装強!$1:$999,COLUMN(I$1),FALSE),0))*VLOOKUP($D314,素材!$1:$1016,COLUMN($E$1),FALSE),0),"")</f>
        <v/>
      </c>
      <c r="J314" t="str">
        <f>IFERROR(ROUNDDOWN((VLOOKUP($C314,武器!$1:$998,COLUMN(H$1),FALSE)+IFERROR(VLOOKUP($CI314,装強!$1:$999,COLUMN(J$1),FALSE),0))*VLOOKUP($D314,素材!$1:$1016,COLUMN($E$1),FALSE),0),"")</f>
        <v/>
      </c>
      <c r="K314" t="str">
        <f>IFERROR(ROUNDDOWN((VLOOKUP($C314,武器!$1:$998,COLUMN(I$1),FALSE)+IFERROR(VLOOKUP($CI314,装強!$1:$999,COLUMN(K$1),FALSE),0))*VLOOKUP($D314,素材!$1:$1016,COLUMN($E$1),FALSE),0),"")</f>
        <v/>
      </c>
      <c r="L314" t="str">
        <f>IFERROR(VLOOKUP($D314,素材!$1:$1016,COLUMN($F$1),FALSE),"")</f>
        <v/>
      </c>
      <c r="M314" t="str">
        <f>IFERROR(VLOOKUP($C314,武器!$1:$998,COLUMN(AA$1),FALSE)*VLOOKUP($D314,素材!$1:$1016,COLUMN($G$1),FALSE),"")</f>
        <v/>
      </c>
      <c r="N314" t="str">
        <f>IFERROR(VLOOKUP($C314,武器!$1:$998,COLUMN(I$1),FALSE),"")</f>
        <v/>
      </c>
      <c r="O314" s="23" t="str">
        <f>IFERROR((VLOOKUP($C314,武器!$1:$998,COLUMN(K$1),FALSE)+VLOOKUP($D314,素材!$1:$1016,COLUMN(H$1),FALSE))*100+IFERROR(VLOOKUP($CI314,装強!$1:$999,COLUMN(O$1),FALSE),0),"")</f>
        <v/>
      </c>
      <c r="P314" s="23" t="str">
        <f>IFERROR((VLOOKUP($C314,武器!$1:$998,COLUMN(L$1),FALSE)+VLOOKUP($D314,素材!$1:$1016,COLUMN(I$1),FALSE))*100+IFERROR(VLOOKUP($CI314,装強!$1:$999,COLUMN(P$1),FALSE),0),"")</f>
        <v/>
      </c>
      <c r="Q314" t="str">
        <f>IFERROR(ROUNDUP(VLOOKUP($C314,武器!$1:$998,COLUMN(M$1),FALSE)*(VLOOKUP($D314,素材!$1:$1002,COLUMN(D$1),FALSE)/100),1),"")</f>
        <v/>
      </c>
      <c r="R314" t="str">
        <f>IFERROR(ROUNDUP(VLOOKUP($C314,武器!$1:$998,COLUMN(N$1),FALSE)*(VLOOKUP($D314,素材!$1:$1002,COLUMN(D$1),FALSE)/100),1),"")</f>
        <v/>
      </c>
      <c r="S314" t="str">
        <f>IFERROR(VLOOKUP($C314,武器!$1:$998,COLUMN(P$1),FALSE),"")</f>
        <v/>
      </c>
      <c r="T314" t="str">
        <f>IFERROR(VLOOKUP($C314,武器!$1:$998,COLUMN(Q$1),FALSE),"")</f>
        <v/>
      </c>
      <c r="U314" t="str">
        <f>IFERROR(VLOOKUP($C314,武器!$1:$998,COLUMN(R$1),FALSE),"")</f>
        <v/>
      </c>
      <c r="V314" t="str">
        <f>IFERROR(VLOOKUP($C314,武器!$1:$998,COLUMN(Q$1),FALSE),"")</f>
        <v/>
      </c>
      <c r="W314" t="str">
        <f>IFERROR(VLOOKUP($C314,武器!$1:$998,COLUMN(T$1),FALSE),"")</f>
        <v/>
      </c>
      <c r="Y314" t="str">
        <f>IFERROR(VLOOKUP($C314,武器!$1:$998,COLUMN(U$1),FALSE),"")</f>
        <v/>
      </c>
      <c r="Z314" t="str">
        <f>IFERROR(ROUNDUP(VLOOKUP($C314,武器!$1:$998,COLUMN(O$1),FALSE)*VLOOKUP($D314,素材!$1:$1016,COLUMN(E$1),FALSE),1),"")</f>
        <v/>
      </c>
      <c r="AA314">
        <f>IF(ISNUMBER(SEARCH(SUBSTITUTE(AA$1,RIGHT(AA$1,2),""),VLOOKUP($D314,素材!$1:$1016,COLUMN($F$1),FALSE))),VLOOKUP($C314,武器!$1:$998,COLUMN($O$1),FALSE)*VLOOKUP($D314,素材!$1:$1016,COLUMN($E$1),FALSE)/(LEN(VLOOKUP($D314,素材!$1:$1016,COLUMN($F$1),FALSE)) - LEN(SUBSTITUTE(VLOOKUP($D314,素材!$1:$1016,COLUMN($F$1),FALSE), "・", 0)) + 1), 0)</f>
        <v>0</v>
      </c>
      <c r="AB314">
        <f>IF(ISNUMBER(SEARCH(SUBSTITUTE(AB$1,RIGHT(AB$1,2),""),VLOOKUP($D314,素材!$1:$1016,COLUMN($F$1),FALSE))),VLOOKUP($C314,武器!$1:$998,COLUMN($O$1),FALSE)*VLOOKUP($D314,素材!$1:$1016,COLUMN($E$1),FALSE)/(LEN(VLOOKUP($D314,素材!$1:$1016,COLUMN($F$1),FALSE)) - LEN(SUBSTITUTE(VLOOKUP($D314,素材!$1:$1016,COLUMN($F$1),FALSE), "・", 0)) + 1), 0)</f>
        <v>0</v>
      </c>
      <c r="AC314">
        <f>IF(ISNUMBER(SEARCH(SUBSTITUTE(AC$1,RIGHT(AC$1,2),""),VLOOKUP($D314,素材!$1:$1016,COLUMN($F$1),FALSE))),VLOOKUP($C314,武器!$1:$998,COLUMN($O$1),FALSE)*VLOOKUP($D314,素材!$1:$1016,COLUMN($E$1),FALSE)/(LEN(VLOOKUP($D314,素材!$1:$1016,COLUMN($F$1),FALSE)) - LEN(SUBSTITUTE(VLOOKUP($D314,素材!$1:$1016,COLUMN($F$1),FALSE), "・", 0)) + 1), 0)</f>
        <v>0</v>
      </c>
      <c r="AD314">
        <f>IF(ISNUMBER(SEARCH(SUBSTITUTE(AD$1,RIGHT(AD$1,2),""),VLOOKUP($D314,素材!$1:$1016,COLUMN($F$1),FALSE))),VLOOKUP($C314,武器!$1:$998,COLUMN($O$1),FALSE)*VLOOKUP($D314,素材!$1:$1016,COLUMN($E$1),FALSE)/(LEN(VLOOKUP($D314,素材!$1:$1016,COLUMN($F$1),FALSE)) - LEN(SUBSTITUTE(VLOOKUP($D314,素材!$1:$1016,COLUMN($F$1),FALSE), "・", 0)) + 1), 0)</f>
        <v>0</v>
      </c>
      <c r="AE314">
        <f>IF(ISNUMBER(SEARCH(SUBSTITUTE(AE$1,RIGHT(AE$1,2),""),VLOOKUP($D314,素材!$1:$1016,COLUMN($F$1),FALSE))),VLOOKUP($C314,武器!$1:$998,COLUMN($O$1),FALSE)*VLOOKUP($D314,素材!$1:$1016,COLUMN($E$1),FALSE)/(LEN(VLOOKUP($D314,素材!$1:$1016,COLUMN($F$1),FALSE)) - LEN(SUBSTITUTE(VLOOKUP($D314,素材!$1:$1016,COLUMN($F$1),FALSE), "・", 0)) + 1), 0)</f>
        <v>0</v>
      </c>
      <c r="AF314">
        <f>IF(ISNUMBER(SEARCH(SUBSTITUTE(AF$1,RIGHT(AF$1,2),""),VLOOKUP($D314,素材!$1:$1016,COLUMN($F$1),FALSE))),VLOOKUP($C314,武器!$1:$998,COLUMN($O$1),FALSE)*VLOOKUP($D314,素材!$1:$1016,COLUMN($E$1),FALSE)/(LEN(VLOOKUP($D314,素材!$1:$1016,COLUMN($F$1),FALSE)) - LEN(SUBSTITUTE(VLOOKUP($D314,素材!$1:$1016,COLUMN($F$1),FALSE), "・", 0)) + 1), 0)</f>
        <v>0</v>
      </c>
      <c r="AG314">
        <f>IF(ISNUMBER(SEARCH(SUBSTITUTE(AG$1,RIGHT(AG$1,2),""),VLOOKUP($D314,素材!$1:$1016,COLUMN($F$1),FALSE))),VLOOKUP($C314,武器!$1:$998,COLUMN($O$1),FALSE)*VLOOKUP($D314,素材!$1:$1016,COLUMN($E$1),FALSE)/(LEN(VLOOKUP($D314,素材!$1:$1016,COLUMN($F$1),FALSE)) - LEN(SUBSTITUTE(VLOOKUP($D314,素材!$1:$1016,COLUMN($F$1),FALSE), "・", 0)) + 1), 0)</f>
        <v>0</v>
      </c>
      <c r="AH314">
        <f>IF(ISNUMBER(SEARCH(SUBSTITUTE(AH$1,RIGHT(AH$1,2),""),VLOOKUP($D314,素材!$1:$1016,COLUMN($F$1),FALSE))),VLOOKUP($C314,武器!$1:$998,COLUMN($O$1),FALSE)*VLOOKUP($D314,素材!$1:$1016,COLUMN($E$1),FALSE)/(LEN(VLOOKUP($D314,素材!$1:$1016,COLUMN($F$1),FALSE)) - LEN(SUBSTITUTE(VLOOKUP($D314,素材!$1:$1016,COLUMN($F$1),FALSE), "・", 0)) + 1), 0)</f>
        <v>0</v>
      </c>
      <c r="AI314">
        <f>IF(ISNUMBER(SEARCH(SUBSTITUTE(AI$1,RIGHT(AI$1,2),""),VLOOKUP($D314,素材!$1:$1016,COLUMN($F$1),FALSE))),VLOOKUP($C314,武器!$1:$998,COLUMN($O$1),FALSE)*VLOOKUP($D314,素材!$1:$1016,COLUMN($E$1),FALSE)/(LEN(VLOOKUP($D314,素材!$1:$1016,COLUMN($F$1),FALSE)) - LEN(SUBSTITUTE(VLOOKUP($D314,素材!$1:$1016,COLUMN($F$1),FALSE), "・", 0)) + 1), 0)</f>
        <v>0</v>
      </c>
      <c r="AJ314">
        <f>IF(ISNUMBER(SEARCH(SUBSTITUTE(AJ$1,RIGHT(AJ$1,2),""),VLOOKUP($D314,素材!$1:$1016,COLUMN($F$1),FALSE))),VLOOKUP($C314,武器!$1:$998,COLUMN($O$1),FALSE)*VLOOKUP($D314,素材!$1:$1016,COLUMN($E$1),FALSE)/(LEN(VLOOKUP($D314,素材!$1:$1016,COLUMN($F$1),FALSE)) - LEN(SUBSTITUTE(VLOOKUP($D314,素材!$1:$1016,COLUMN($F$1),FALSE), "・", 0)) + 1), 0)</f>
        <v>0</v>
      </c>
      <c r="AK314">
        <f>IF(ISNUMBER(SEARCH(SUBSTITUTE(AK$1,RIGHT(AK$1,2),""),VLOOKUP($D314,素材!$1:$1016,COLUMN($F$1),FALSE))),VLOOKUP($C314,武器!$1:$998,COLUMN($O$1),FALSE)*VLOOKUP($D314,素材!$1:$1016,COLUMN($E$1),FALSE)/(LEN(VLOOKUP($D314,素材!$1:$1016,COLUMN($F$1),FALSE)) - LEN(SUBSTITUTE(VLOOKUP($D314,素材!$1:$1016,COLUMN($F$1),FALSE), "・", 0)) + 1), 0)</f>
        <v>0</v>
      </c>
      <c r="AL314">
        <f>IF(ISNUMBER(SEARCH(SUBSTITUTE(AL$1,RIGHT(AL$1,2),""),VLOOKUP($D314,素材!$1:$1016,COLUMN($F$1),FALSE))),VLOOKUP($C314,武器!$1:$998,COLUMN($O$1),FALSE)*VLOOKUP($D314,素材!$1:$1016,COLUMN($E$1),FALSE)/(LEN(VLOOKUP($D314,素材!$1:$1016,COLUMN($F$1),FALSE)) - LEN(SUBSTITUTE(VLOOKUP($D314,素材!$1:$1016,COLUMN($F$1),FALSE), "・", 0)) + 1), 0)</f>
        <v>0</v>
      </c>
      <c r="AM314">
        <f>IF(ISNUMBER(SEARCH(SUBSTITUTE(AM$1,RIGHT(AM$1,2),""),VLOOKUP($D314,素材!$1:$1016,COLUMN($F$1),FALSE))),VLOOKUP($C314,武器!$1:$998,COLUMN($O$1),FALSE)*VLOOKUP($D314,素材!$1:$1016,COLUMN($E$1),FALSE)/(LEN(VLOOKUP($D314,素材!$1:$1016,COLUMN($F$1),FALSE)) - LEN(SUBSTITUTE(VLOOKUP($D314,素材!$1:$1016,COLUMN($F$1),FALSE), "・", 0)) + 1), 0)</f>
        <v>0</v>
      </c>
      <c r="AN314">
        <f>IF(ISNUMBER(SEARCH(SUBSTITUTE(AN$1,RIGHT(AN$1,2),""),VLOOKUP($D314,素材!$1:$1016,COLUMN($F$1),FALSE))),VLOOKUP($C314,武器!$1:$998,COLUMN($O$1),FALSE)*VLOOKUP($D314,素材!$1:$1016,COLUMN($E$1),FALSE)/(LEN(VLOOKUP($D314,素材!$1:$1016,COLUMN($F$1),FALSE)) - LEN(SUBSTITUTE(VLOOKUP($D314,素材!$1:$1016,COLUMN($F$1),FALSE), "・", 0)) + 1), 0)</f>
        <v>0</v>
      </c>
      <c r="AO314">
        <f>IF(ISNUMBER(SEARCH(SUBSTITUTE(AO$1,RIGHT(AO$1,2),""),VLOOKUP($D314,素材!$1:$1016,COLUMN($F$1),FALSE))),VLOOKUP($C314,武器!$1:$998,COLUMN($O$1),FALSE)*VLOOKUP($D314,素材!$1:$1016,COLUMN($E$1),FALSE)/(LEN(VLOOKUP($D314,素材!$1:$1016,COLUMN($F$1),FALSE)) - LEN(SUBSTITUTE(VLOOKUP($D314,素材!$1:$1016,COLUMN($F$1),FALSE), "・", 0)) + 1), 0)</f>
        <v>0</v>
      </c>
      <c r="AP314">
        <f>IF(ISNUMBER(SEARCH(SUBSTITUTE(AP$1,RIGHT(AP$1,2),""),VLOOKUP($D314,素材!$1:$1016,COLUMN($F$1),FALSE))),VLOOKUP($C314,武器!$1:$998,COLUMN($O$1),FALSE)*VLOOKUP($D314,素材!$1:$1016,COLUMN($E$1),FALSE)/(LEN(VLOOKUP($D314,素材!$1:$1016,COLUMN($F$1),FALSE)) - LEN(SUBSTITUTE(VLOOKUP($D314,素材!$1:$1016,COLUMN($F$1),FALSE), "・", 0)) + 1), 0)</f>
        <v>0</v>
      </c>
      <c r="AQ314">
        <f>IF(ISNUMBER(SEARCH(SUBSTITUTE(AQ$1,RIGHT(AQ$1,2),""),VLOOKUP($D314,素材!$1:$1016,COLUMN($F$1),FALSE))),VLOOKUP($C314,武器!$1:$998,COLUMN($O$1),FALSE)*VLOOKUP($D314,素材!$1:$1016,COLUMN($E$1),FALSE)/(LEN(VLOOKUP($D314,素材!$1:$1016,COLUMN($F$1),FALSE)) - LEN(SUBSTITUTE(VLOOKUP($D314,素材!$1:$1016,COLUMN($F$1),FALSE), "・", 0)) + 1), 0)</f>
        <v>0</v>
      </c>
      <c r="AR314">
        <f>IF(ISNUMBER(SEARCH(SUBSTITUTE(AR$1,RIGHT(AR$1,2),""),VLOOKUP($D314,素材!$1:$1016,COLUMN($F$1),FALSE))),VLOOKUP($C314,武器!$1:$998,COLUMN($O$1),FALSE)*VLOOKUP($D314,素材!$1:$1016,COLUMN($E$1),FALSE)/(LEN(VLOOKUP($D314,素材!$1:$1016,COLUMN($F$1),FALSE)) - LEN(SUBSTITUTE(VLOOKUP($D314,素材!$1:$1016,COLUMN($F$1),FALSE), "・", 0)) + 1), 0)</f>
        <v>0</v>
      </c>
      <c r="AS314">
        <f>IF(ISNUMBER(SEARCH(SUBSTITUTE(AS$1,RIGHT(AS$1,2),""),VLOOKUP($D314,素材!$1:$1016,COLUMN($F$1),FALSE))),VLOOKUP($C314,武器!$1:$998,COLUMN($O$1),FALSE)*VLOOKUP($D314,素材!$1:$1016,COLUMN($E$1),FALSE)/(LEN(VLOOKUP($D314,素材!$1:$1016,COLUMN($F$1),FALSE)) - LEN(SUBSTITUTE(VLOOKUP($D314,素材!$1:$1016,COLUMN($F$1),FALSE), "・", 0)) + 1), 0)</f>
        <v>0</v>
      </c>
      <c r="AT314">
        <f>IF(ISNUMBER(SEARCH(SUBSTITUTE(AT$1,RIGHT(AT$1,2),""),VLOOKUP($D314,素材!$1:$1016,COLUMN($F$1),FALSE))),VLOOKUP($C314,武器!$1:$998,COLUMN($O$1),FALSE)*VLOOKUP($D314,素材!$1:$1016,COLUMN($E$1),FALSE)/(LEN(VLOOKUP($D314,素材!$1:$1016,COLUMN($F$1),FALSE)) - LEN(SUBSTITUTE(VLOOKUP($D314,素材!$1:$1016,COLUMN($F$1),FALSE), "・", 0)) + 1), 0)</f>
        <v>0</v>
      </c>
      <c r="AU314">
        <f>IF(ISNUMBER(SEARCH(SUBSTITUTE(AU$1,RIGHT(AU$1,2),""),VLOOKUP($D314,素材!$1:$1016,COLUMN($F$1),FALSE))),VLOOKUP($C314,武器!$1:$998,COLUMN($O$1),FALSE)*VLOOKUP($D314,素材!$1:$1016,COLUMN($E$1),FALSE)/(LEN(VLOOKUP($D314,素材!$1:$1016,COLUMN($F$1),FALSE)) - LEN(SUBSTITUTE(VLOOKUP($D314,素材!$1:$1016,COLUMN($F$1),FALSE), "・", 0)) + 1), 0)</f>
        <v>0</v>
      </c>
      <c r="AV314">
        <f>IF(ISNUMBER(SEARCH(SUBSTITUTE(AV$1,RIGHT(AV$1,2),""),VLOOKUP($D314,素材!$1:$1016,COLUMN($F$1),FALSE))),VLOOKUP($C314,武器!$1:$998,COLUMN($O$1),FALSE)*VLOOKUP($D314,素材!$1:$1016,COLUMN($E$1),FALSE)/(LEN(VLOOKUP($D314,素材!$1:$1016,COLUMN($F$1),FALSE)) - LEN(SUBSTITUTE(VLOOKUP($D314,素材!$1:$1016,COLUMN($F$1),FALSE), "・", 0)) + 1), 0)</f>
        <v>0</v>
      </c>
      <c r="AW314">
        <f>IF(ISNUMBER(SEARCH(SUBSTITUTE(AW$1,RIGHT(AW$1,2),""),VLOOKUP($D314,素材!$1:$1016,COLUMN($F$1),FALSE))),VLOOKUP($C314,武器!$1:$998,COLUMN($O$1),FALSE)*VLOOKUP($D314,素材!$1:$1016,COLUMN($E$1),FALSE)/(LEN(VLOOKUP($D314,素材!$1:$1016,COLUMN($F$1),FALSE)) - LEN(SUBSTITUTE(VLOOKUP($D314,素材!$1:$1016,COLUMN($F$1),FALSE), "・", 0)) + 1), 0)</f>
        <v>0</v>
      </c>
      <c r="AX314">
        <f>IF(ISNUMBER(SEARCH(SUBSTITUTE(AX$1,RIGHT(AX$1,2),""),VLOOKUP($D314,素材!$1:$1016,COLUMN($F$1),FALSE))),VLOOKUP($C314,武器!$1:$998,COLUMN($O$1),FALSE)*VLOOKUP($D314,素材!$1:$1016,COLUMN($E$1),FALSE)/(LEN(VLOOKUP($D314,素材!$1:$1016,COLUMN($F$1),FALSE)) - LEN(SUBSTITUTE(VLOOKUP($D314,素材!$1:$1016,COLUMN($F$1),FALSE), "・", 0)) + 1), 0)</f>
        <v>0</v>
      </c>
      <c r="AY314">
        <f>IF(ISNUMBER(SEARCH(SUBSTITUTE(AY$1,RIGHT(AY$1,2),""),VLOOKUP($D314,素材!$1:$1016,COLUMN($F$1),FALSE))),VLOOKUP($C314,武器!$1:$998,COLUMN($O$1),FALSE)*VLOOKUP($D314,素材!$1:$1016,COLUMN($E$1),FALSE)/(LEN(VLOOKUP($D314,素材!$1:$1016,COLUMN($F$1),FALSE)) - LEN(SUBSTITUTE(VLOOKUP($D314,素材!$1:$1016,COLUMN($F$1),FALSE), "・", 0)) + 1), 0)</f>
        <v>0</v>
      </c>
      <c r="AZ314">
        <f>IF(ISNUMBER(SEARCH(SUBSTITUTE(AZ$1,RIGHT(AZ$1,2),""),VLOOKUP($D314,素材!$1:$1016,COLUMN($F$1),FALSE))),VLOOKUP($C314,武器!$1:$998,COLUMN($O$1),FALSE)*VLOOKUP($D314,素材!$1:$1016,COLUMN($E$1),FALSE)/(LEN(VLOOKUP($D314,素材!$1:$1016,COLUMN($F$1),FALSE)) - LEN(SUBSTITUTE(VLOOKUP($D314,素材!$1:$1016,COLUMN($F$1),FALSE), "・", 0)) + 1), 0)</f>
        <v>0</v>
      </c>
      <c r="BA314">
        <f>IF(ISNUMBER(SEARCH(SUBSTITUTE(BA$1,RIGHT(BA$1,2),""),VLOOKUP($D314,素材!$1:$1016,COLUMN($F$1),FALSE))),VLOOKUP($C314,武器!$1:$998,COLUMN($O$1),FALSE)*VLOOKUP($D314,素材!$1:$1016,COLUMN($E$1),FALSE)/(LEN(VLOOKUP($D314,素材!$1:$1016,COLUMN($F$1),FALSE)) - LEN(SUBSTITUTE(VLOOKUP($D314,素材!$1:$1016,COLUMN($F$1),FALSE), "・", 0)) + 1), 0)</f>
        <v>0</v>
      </c>
      <c r="BB314">
        <f>IF(ISNUMBER(SEARCH(SUBSTITUTE(BB$1,RIGHT(BB$1,2),""),VLOOKUP($D314,素材!$1:$1016,COLUMN($F$1),FALSE))),VLOOKUP($C314,武器!$1:$998,COLUMN($O$1),FALSE)*VLOOKUP($D314,素材!$1:$1016,COLUMN($E$1),FALSE)/(LEN(VLOOKUP($D314,素材!$1:$1016,COLUMN($F$1),FALSE)) - LEN(SUBSTITUTE(VLOOKUP($D314,素材!$1:$1016,COLUMN($F$1),FALSE), "・", 0)) + 1), 0)</f>
        <v>0</v>
      </c>
      <c r="BC314">
        <f>IF(ISNUMBER(SEARCH(SUBSTITUTE(BC$1,RIGHT(BC$1,2),""),VLOOKUP($D314,素材!$1:$1016,COLUMN($F$1),FALSE))),VLOOKUP($C314,武器!$1:$998,COLUMN($O$1),FALSE)*VLOOKUP($D314,素材!$1:$1016,COLUMN($E$1),FALSE)/(LEN(VLOOKUP($D314,素材!$1:$1016,COLUMN($F$1),FALSE)) - LEN(SUBSTITUTE(VLOOKUP($D314,素材!$1:$1016,COLUMN($F$1),FALSE), "・", 0)) + 1), 0)</f>
        <v>0</v>
      </c>
      <c r="BD314">
        <f>IF(ISNUMBER(SEARCH(SUBSTITUTE(BD$1,RIGHT(BD$1,2),""),VLOOKUP($D314,素材!$1:$1016,COLUMN($F$1),FALSE))),VLOOKUP($C314,武器!$1:$998,COLUMN($O$1),FALSE)*VLOOKUP($D314,素材!$1:$1016,COLUMN($E$1),FALSE)/(LEN(VLOOKUP($D314,素材!$1:$1016,COLUMN($F$1),FALSE)) - LEN(SUBSTITUTE(VLOOKUP($D314,素材!$1:$1016,COLUMN($F$1),FALSE), "・", 0)) + 1), 0)</f>
        <v>0</v>
      </c>
      <c r="BE314">
        <f>IF(ISNUMBER(SEARCH(SUBSTITUTE(BE$1,RIGHT(BE$1,2),""),VLOOKUP($D314,素材!$1:$1016,COLUMN($F$1),FALSE))),VLOOKUP($C314,武器!$1:$998,COLUMN($O$1),FALSE)*VLOOKUP($D314,素材!$1:$1016,COLUMN($E$1),FALSE)/(LEN(VLOOKUP($D314,素材!$1:$1016,COLUMN($F$1),FALSE)) - LEN(SUBSTITUTE(VLOOKUP($D314,素材!$1:$1016,COLUMN($F$1),FALSE), "・", 0)) + 1), 0)</f>
        <v>0</v>
      </c>
      <c r="CL314">
        <f>SUM(G314:I314)</f>
        <v>0</v>
      </c>
      <c r="CM314" s="22" t="str">
        <f>IF(E314="武器",IF(J314-1&gt;SUM(G314:I314),"盾",IF(MAX(G314:I314)=G314,"切断",IF(MAX(G314:I314)=H314,"貫通",IF(MAX(G314:I314)=I314,"打撃","射撃")))),E314)&amp;".webp"</f>
        <v>.webp</v>
      </c>
      <c r="CN314" t="str">
        <f>IFERROR(VLOOKUP($C314,武器!$1:$998,COLUMN(V$1),FALSE)*VLOOKUP($D314,素材!$1:$1016,COLUMN(N$1),FALSE)+IF(CI314="",0,VLOOKUP($CI314,装強!$1:$1008,COLUMN($CK$1),FALSE)),"")</f>
        <v/>
      </c>
      <c r="CO314" t="e">
        <f>VLOOKUP(D314,素材!$A:$O,COLUMN(素材!O$1),FALSE)</f>
        <v>#N/A</v>
      </c>
      <c r="CP314" t="e">
        <f>VLOOKUP(C314,武器!$A:$W,COLUMN(武器!W$1),FALSE)</f>
        <v>#N/A</v>
      </c>
      <c r="CR314" t="str">
        <f t="shared" si="33"/>
        <v>e_314</v>
      </c>
      <c r="CS314" t="e">
        <f t="shared" si="34"/>
        <v>#VALUE!</v>
      </c>
    </row>
    <row r="315" spans="1:97" hidden="1" outlineLevel="1" x14ac:dyDescent="0.4">
      <c r="A315" t="str">
        <f>IF(CI315="",D315&amp;"の"&amp;C315,CI315&amp;"の"&amp;C315)</f>
        <v>の</v>
      </c>
      <c r="B315" t="str">
        <f>IFERROR(IF(CI315="",VLOOKUP($D315,素材!$1:$1016,COLUMN($B$1),FALSE)&amp;"・"&amp;VLOOKUP($C315,武器!$1:$998,COLUMN(B$1),FALSE),VLOOKUP($CI315,装強!$1:$1008,COLUMN($B$1),FALSE)&amp;"・"&amp;VLOOKUP($C315,武器!$1:$998,COLUMN(B$1),FALSE)),"")</f>
        <v/>
      </c>
      <c r="C315" s="24"/>
      <c r="D315" s="24"/>
      <c r="E315" t="str">
        <f>IFERROR(VLOOKUP(C315,武器!$1:$998,COLUMN(C$1),FALSE),"")</f>
        <v/>
      </c>
      <c r="F315" t="str">
        <f>IFERROR(ROUNDDOWN((VLOOKUP($C315,武器!$1:$998,COLUMN(D$1),FALSE)+IFERROR(VLOOKUP($CI315,装強!$1:$999,COLUMN(F$1),FALSE),0))*VLOOKUP($D315,素材!$1:$1016,COLUMN(D$1),FALSE),0),"")</f>
        <v/>
      </c>
      <c r="G315" t="str">
        <f>IFERROR(ROUNDDOWN((VLOOKUP($C315,武器!$1:$998,COLUMN(E$1),FALSE)+IFERROR(VLOOKUP($CI315,装強!$1:$999,COLUMN(G$1),FALSE),0))*VLOOKUP($D315,素材!$1:$1016,COLUMN($E$1),FALSE),0),"")</f>
        <v/>
      </c>
      <c r="H315" t="str">
        <f>IFERROR(ROUNDDOWN((VLOOKUP($C315,武器!$1:$998,COLUMN(F$1),FALSE)+IFERROR(VLOOKUP($CI315,装強!$1:$999,COLUMN(H$1),FALSE),0))*VLOOKUP($D315,素材!$1:$1016,COLUMN($E$1),FALSE),0),"")</f>
        <v/>
      </c>
      <c r="I315" t="str">
        <f>IFERROR(ROUNDDOWN((VLOOKUP($C315,武器!$1:$998,COLUMN(G$1),FALSE)+IFERROR(VLOOKUP($CI315,装強!$1:$999,COLUMN(I$1),FALSE),0))*VLOOKUP($D315,素材!$1:$1016,COLUMN($E$1),FALSE),0),"")</f>
        <v/>
      </c>
      <c r="J315" t="str">
        <f>IFERROR(ROUNDDOWN((VLOOKUP($C315,武器!$1:$998,COLUMN(H$1),FALSE)+IFERROR(VLOOKUP($CI315,装強!$1:$999,COLUMN(J$1),FALSE),0))*VLOOKUP($D315,素材!$1:$1016,COLUMN($E$1),FALSE),0),"")</f>
        <v/>
      </c>
      <c r="K315" t="str">
        <f>IFERROR(ROUNDDOWN((VLOOKUP($C315,武器!$1:$998,COLUMN(I$1),FALSE)+IFERROR(VLOOKUP($CI315,装強!$1:$999,COLUMN(K$1),FALSE),0))*VLOOKUP($D315,素材!$1:$1016,COLUMN($E$1),FALSE),0),"")</f>
        <v/>
      </c>
      <c r="L315" t="str">
        <f>IFERROR(VLOOKUP($D315,素材!$1:$1016,COLUMN($F$1),FALSE),"")</f>
        <v/>
      </c>
      <c r="M315" t="str">
        <f>IFERROR(VLOOKUP($C315,武器!$1:$998,COLUMN(AA$1),FALSE)*VLOOKUP($D315,素材!$1:$1016,COLUMN($G$1),FALSE),"")</f>
        <v/>
      </c>
      <c r="N315" t="str">
        <f>IFERROR(VLOOKUP($C315,武器!$1:$998,COLUMN(I$1),FALSE),"")</f>
        <v/>
      </c>
      <c r="O315" s="23" t="str">
        <f>IFERROR((VLOOKUP($C315,武器!$1:$998,COLUMN(K$1),FALSE)+VLOOKUP($D315,素材!$1:$1016,COLUMN(H$1),FALSE))*100+IFERROR(VLOOKUP($CI315,装強!$1:$999,COLUMN(O$1),FALSE),0),"")</f>
        <v/>
      </c>
      <c r="P315" s="23" t="str">
        <f>IFERROR((VLOOKUP($C315,武器!$1:$998,COLUMN(L$1),FALSE)+VLOOKUP($D315,素材!$1:$1016,COLUMN(I$1),FALSE))*100+IFERROR(VLOOKUP($CI315,装強!$1:$999,COLUMN(P$1),FALSE),0),"")</f>
        <v/>
      </c>
      <c r="Q315" t="str">
        <f>IFERROR(ROUNDUP(VLOOKUP($C315,武器!$1:$998,COLUMN(M$1),FALSE)*(VLOOKUP($D315,素材!$1:$1002,COLUMN(D$1),FALSE)/100),1),"")</f>
        <v/>
      </c>
      <c r="R315" t="str">
        <f>IFERROR(ROUNDUP(VLOOKUP($C315,武器!$1:$998,COLUMN(N$1),FALSE)*(VLOOKUP($D315,素材!$1:$1002,COLUMN(D$1),FALSE)/100),1),"")</f>
        <v/>
      </c>
      <c r="S315" t="str">
        <f>IFERROR(VLOOKUP($C315,武器!$1:$998,COLUMN(P$1),FALSE),"")</f>
        <v/>
      </c>
      <c r="T315" t="str">
        <f>IFERROR(VLOOKUP($C315,武器!$1:$998,COLUMN(Q$1),FALSE),"")</f>
        <v/>
      </c>
      <c r="U315" t="str">
        <f>IFERROR(VLOOKUP($C315,武器!$1:$998,COLUMN(R$1),FALSE),"")</f>
        <v/>
      </c>
      <c r="V315" t="str">
        <f>IFERROR(VLOOKUP($C315,武器!$1:$998,COLUMN(Q$1),FALSE),"")</f>
        <v/>
      </c>
      <c r="W315" t="str">
        <f>IFERROR(VLOOKUP($C315,武器!$1:$998,COLUMN(T$1),FALSE),"")</f>
        <v/>
      </c>
      <c r="Y315" t="str">
        <f>IFERROR(VLOOKUP($C315,武器!$1:$998,COLUMN(U$1),FALSE),"")</f>
        <v/>
      </c>
      <c r="Z315" t="str">
        <f>IFERROR(ROUNDUP(VLOOKUP($C315,武器!$1:$998,COLUMN(O$1),FALSE)*VLOOKUP($D315,素材!$1:$1016,COLUMN(E$1),FALSE),1),"")</f>
        <v/>
      </c>
      <c r="AA315">
        <f>IF(ISNUMBER(SEARCH(SUBSTITUTE(AA$1,RIGHT(AA$1,2),""),VLOOKUP($D315,素材!$1:$1016,COLUMN($F$1),FALSE))),VLOOKUP($C315,武器!$1:$998,COLUMN($O$1),FALSE)*VLOOKUP($D315,素材!$1:$1016,COLUMN($E$1),FALSE)/(LEN(VLOOKUP($D315,素材!$1:$1016,COLUMN($F$1),FALSE)) - LEN(SUBSTITUTE(VLOOKUP($D315,素材!$1:$1016,COLUMN($F$1),FALSE), "・", 0)) + 1), 0)</f>
        <v>0</v>
      </c>
      <c r="AB315">
        <f>IF(ISNUMBER(SEARCH(SUBSTITUTE(AB$1,RIGHT(AB$1,2),""),VLOOKUP($D315,素材!$1:$1016,COLUMN($F$1),FALSE))),VLOOKUP($C315,武器!$1:$998,COLUMN($O$1),FALSE)*VLOOKUP($D315,素材!$1:$1016,COLUMN($E$1),FALSE)/(LEN(VLOOKUP($D315,素材!$1:$1016,COLUMN($F$1),FALSE)) - LEN(SUBSTITUTE(VLOOKUP($D315,素材!$1:$1016,COLUMN($F$1),FALSE), "・", 0)) + 1), 0)</f>
        <v>0</v>
      </c>
      <c r="AC315">
        <f>IF(ISNUMBER(SEARCH(SUBSTITUTE(AC$1,RIGHT(AC$1,2),""),VLOOKUP($D315,素材!$1:$1016,COLUMN($F$1),FALSE))),VLOOKUP($C315,武器!$1:$998,COLUMN($O$1),FALSE)*VLOOKUP($D315,素材!$1:$1016,COLUMN($E$1),FALSE)/(LEN(VLOOKUP($D315,素材!$1:$1016,COLUMN($F$1),FALSE)) - LEN(SUBSTITUTE(VLOOKUP($D315,素材!$1:$1016,COLUMN($F$1),FALSE), "・", 0)) + 1), 0)</f>
        <v>0</v>
      </c>
      <c r="AD315">
        <f>IF(ISNUMBER(SEARCH(SUBSTITUTE(AD$1,RIGHT(AD$1,2),""),VLOOKUP($D315,素材!$1:$1016,COLUMN($F$1),FALSE))),VLOOKUP($C315,武器!$1:$998,COLUMN($O$1),FALSE)*VLOOKUP($D315,素材!$1:$1016,COLUMN($E$1),FALSE)/(LEN(VLOOKUP($D315,素材!$1:$1016,COLUMN($F$1),FALSE)) - LEN(SUBSTITUTE(VLOOKUP($D315,素材!$1:$1016,COLUMN($F$1),FALSE), "・", 0)) + 1), 0)</f>
        <v>0</v>
      </c>
      <c r="AE315">
        <f>IF(ISNUMBER(SEARCH(SUBSTITUTE(AE$1,RIGHT(AE$1,2),""),VLOOKUP($D315,素材!$1:$1016,COLUMN($F$1),FALSE))),VLOOKUP($C315,武器!$1:$998,COLUMN($O$1),FALSE)*VLOOKUP($D315,素材!$1:$1016,COLUMN($E$1),FALSE)/(LEN(VLOOKUP($D315,素材!$1:$1016,COLUMN($F$1),FALSE)) - LEN(SUBSTITUTE(VLOOKUP($D315,素材!$1:$1016,COLUMN($F$1),FALSE), "・", 0)) + 1), 0)</f>
        <v>0</v>
      </c>
      <c r="AF315">
        <f>IF(ISNUMBER(SEARCH(SUBSTITUTE(AF$1,RIGHT(AF$1,2),""),VLOOKUP($D315,素材!$1:$1016,COLUMN($F$1),FALSE))),VLOOKUP($C315,武器!$1:$998,COLUMN($O$1),FALSE)*VLOOKUP($D315,素材!$1:$1016,COLUMN($E$1),FALSE)/(LEN(VLOOKUP($D315,素材!$1:$1016,COLUMN($F$1),FALSE)) - LEN(SUBSTITUTE(VLOOKUP($D315,素材!$1:$1016,COLUMN($F$1),FALSE), "・", 0)) + 1), 0)</f>
        <v>0</v>
      </c>
      <c r="AG315">
        <f>IF(ISNUMBER(SEARCH(SUBSTITUTE(AG$1,RIGHT(AG$1,2),""),VLOOKUP($D315,素材!$1:$1016,COLUMN($F$1),FALSE))),VLOOKUP($C315,武器!$1:$998,COLUMN($O$1),FALSE)*VLOOKUP($D315,素材!$1:$1016,COLUMN($E$1),FALSE)/(LEN(VLOOKUP($D315,素材!$1:$1016,COLUMN($F$1),FALSE)) - LEN(SUBSTITUTE(VLOOKUP($D315,素材!$1:$1016,COLUMN($F$1),FALSE), "・", 0)) + 1), 0)</f>
        <v>0</v>
      </c>
      <c r="AH315">
        <f>IF(ISNUMBER(SEARCH(SUBSTITUTE(AH$1,RIGHT(AH$1,2),""),VLOOKUP($D315,素材!$1:$1016,COLUMN($F$1),FALSE))),VLOOKUP($C315,武器!$1:$998,COLUMN($O$1),FALSE)*VLOOKUP($D315,素材!$1:$1016,COLUMN($E$1),FALSE)/(LEN(VLOOKUP($D315,素材!$1:$1016,COLUMN($F$1),FALSE)) - LEN(SUBSTITUTE(VLOOKUP($D315,素材!$1:$1016,COLUMN($F$1),FALSE), "・", 0)) + 1), 0)</f>
        <v>0</v>
      </c>
      <c r="AI315">
        <f>IF(ISNUMBER(SEARCH(SUBSTITUTE(AI$1,RIGHT(AI$1,2),""),VLOOKUP($D315,素材!$1:$1016,COLUMN($F$1),FALSE))),VLOOKUP($C315,武器!$1:$998,COLUMN($O$1),FALSE)*VLOOKUP($D315,素材!$1:$1016,COLUMN($E$1),FALSE)/(LEN(VLOOKUP($D315,素材!$1:$1016,COLUMN($F$1),FALSE)) - LEN(SUBSTITUTE(VLOOKUP($D315,素材!$1:$1016,COLUMN($F$1),FALSE), "・", 0)) + 1), 0)</f>
        <v>0</v>
      </c>
      <c r="AJ315">
        <f>IF(ISNUMBER(SEARCH(SUBSTITUTE(AJ$1,RIGHT(AJ$1,2),""),VLOOKUP($D315,素材!$1:$1016,COLUMN($F$1),FALSE))),VLOOKUP($C315,武器!$1:$998,COLUMN($O$1),FALSE)*VLOOKUP($D315,素材!$1:$1016,COLUMN($E$1),FALSE)/(LEN(VLOOKUP($D315,素材!$1:$1016,COLUMN($F$1),FALSE)) - LEN(SUBSTITUTE(VLOOKUP($D315,素材!$1:$1016,COLUMN($F$1),FALSE), "・", 0)) + 1), 0)</f>
        <v>0</v>
      </c>
      <c r="AK315">
        <f>IF(ISNUMBER(SEARCH(SUBSTITUTE(AK$1,RIGHT(AK$1,2),""),VLOOKUP($D315,素材!$1:$1016,COLUMN($F$1),FALSE))),VLOOKUP($C315,武器!$1:$998,COLUMN($O$1),FALSE)*VLOOKUP($D315,素材!$1:$1016,COLUMN($E$1),FALSE)/(LEN(VLOOKUP($D315,素材!$1:$1016,COLUMN($F$1),FALSE)) - LEN(SUBSTITUTE(VLOOKUP($D315,素材!$1:$1016,COLUMN($F$1),FALSE), "・", 0)) + 1), 0)</f>
        <v>0</v>
      </c>
      <c r="AL315">
        <f>IF(ISNUMBER(SEARCH(SUBSTITUTE(AL$1,RIGHT(AL$1,2),""),VLOOKUP($D315,素材!$1:$1016,COLUMN($F$1),FALSE))),VLOOKUP($C315,武器!$1:$998,COLUMN($O$1),FALSE)*VLOOKUP($D315,素材!$1:$1016,COLUMN($E$1),FALSE)/(LEN(VLOOKUP($D315,素材!$1:$1016,COLUMN($F$1),FALSE)) - LEN(SUBSTITUTE(VLOOKUP($D315,素材!$1:$1016,COLUMN($F$1),FALSE), "・", 0)) + 1), 0)</f>
        <v>0</v>
      </c>
      <c r="AM315">
        <f>IF(ISNUMBER(SEARCH(SUBSTITUTE(AM$1,RIGHT(AM$1,2),""),VLOOKUP($D315,素材!$1:$1016,COLUMN($F$1),FALSE))),VLOOKUP($C315,武器!$1:$998,COLUMN($O$1),FALSE)*VLOOKUP($D315,素材!$1:$1016,COLUMN($E$1),FALSE)/(LEN(VLOOKUP($D315,素材!$1:$1016,COLUMN($F$1),FALSE)) - LEN(SUBSTITUTE(VLOOKUP($D315,素材!$1:$1016,COLUMN($F$1),FALSE), "・", 0)) + 1), 0)</f>
        <v>0</v>
      </c>
      <c r="AN315">
        <f>IF(ISNUMBER(SEARCH(SUBSTITUTE(AN$1,RIGHT(AN$1,2),""),VLOOKUP($D315,素材!$1:$1016,COLUMN($F$1),FALSE))),VLOOKUP($C315,武器!$1:$998,COLUMN($O$1),FALSE)*VLOOKUP($D315,素材!$1:$1016,COLUMN($E$1),FALSE)/(LEN(VLOOKUP($D315,素材!$1:$1016,COLUMN($F$1),FALSE)) - LEN(SUBSTITUTE(VLOOKUP($D315,素材!$1:$1016,COLUMN($F$1),FALSE), "・", 0)) + 1), 0)</f>
        <v>0</v>
      </c>
      <c r="AO315">
        <f>IF(ISNUMBER(SEARCH(SUBSTITUTE(AO$1,RIGHT(AO$1,2),""),VLOOKUP($D315,素材!$1:$1016,COLUMN($F$1),FALSE))),VLOOKUP($C315,武器!$1:$998,COLUMN($O$1),FALSE)*VLOOKUP($D315,素材!$1:$1016,COLUMN($E$1),FALSE)/(LEN(VLOOKUP($D315,素材!$1:$1016,COLUMN($F$1),FALSE)) - LEN(SUBSTITUTE(VLOOKUP($D315,素材!$1:$1016,COLUMN($F$1),FALSE), "・", 0)) + 1), 0)</f>
        <v>0</v>
      </c>
      <c r="AP315">
        <f>IF(ISNUMBER(SEARCH(SUBSTITUTE(AP$1,RIGHT(AP$1,2),""),VLOOKUP($D315,素材!$1:$1016,COLUMN($F$1),FALSE))),VLOOKUP($C315,武器!$1:$998,COLUMN($O$1),FALSE)*VLOOKUP($D315,素材!$1:$1016,COLUMN($E$1),FALSE)/(LEN(VLOOKUP($D315,素材!$1:$1016,COLUMN($F$1),FALSE)) - LEN(SUBSTITUTE(VLOOKUP($D315,素材!$1:$1016,COLUMN($F$1),FALSE), "・", 0)) + 1), 0)</f>
        <v>0</v>
      </c>
      <c r="AQ315">
        <f>IF(ISNUMBER(SEARCH(SUBSTITUTE(AQ$1,RIGHT(AQ$1,2),""),VLOOKUP($D315,素材!$1:$1016,COLUMN($F$1),FALSE))),VLOOKUP($C315,武器!$1:$998,COLUMN($O$1),FALSE)*VLOOKUP($D315,素材!$1:$1016,COLUMN($E$1),FALSE)/(LEN(VLOOKUP($D315,素材!$1:$1016,COLUMN($F$1),FALSE)) - LEN(SUBSTITUTE(VLOOKUP($D315,素材!$1:$1016,COLUMN($F$1),FALSE), "・", 0)) + 1), 0)</f>
        <v>0</v>
      </c>
      <c r="AR315">
        <f>IF(ISNUMBER(SEARCH(SUBSTITUTE(AR$1,RIGHT(AR$1,2),""),VLOOKUP($D315,素材!$1:$1016,COLUMN($F$1),FALSE))),VLOOKUP($C315,武器!$1:$998,COLUMN($O$1),FALSE)*VLOOKUP($D315,素材!$1:$1016,COLUMN($E$1),FALSE)/(LEN(VLOOKUP($D315,素材!$1:$1016,COLUMN($F$1),FALSE)) - LEN(SUBSTITUTE(VLOOKUP($D315,素材!$1:$1016,COLUMN($F$1),FALSE), "・", 0)) + 1), 0)</f>
        <v>0</v>
      </c>
      <c r="AS315">
        <f>IF(ISNUMBER(SEARCH(SUBSTITUTE(AS$1,RIGHT(AS$1,2),""),VLOOKUP($D315,素材!$1:$1016,COLUMN($F$1),FALSE))),VLOOKUP($C315,武器!$1:$998,COLUMN($O$1),FALSE)*VLOOKUP($D315,素材!$1:$1016,COLUMN($E$1),FALSE)/(LEN(VLOOKUP($D315,素材!$1:$1016,COLUMN($F$1),FALSE)) - LEN(SUBSTITUTE(VLOOKUP($D315,素材!$1:$1016,COLUMN($F$1),FALSE), "・", 0)) + 1), 0)</f>
        <v>0</v>
      </c>
      <c r="AT315">
        <f>IF(ISNUMBER(SEARCH(SUBSTITUTE(AT$1,RIGHT(AT$1,2),""),VLOOKUP($D315,素材!$1:$1016,COLUMN($F$1),FALSE))),VLOOKUP($C315,武器!$1:$998,COLUMN($O$1),FALSE)*VLOOKUP($D315,素材!$1:$1016,COLUMN($E$1),FALSE)/(LEN(VLOOKUP($D315,素材!$1:$1016,COLUMN($F$1),FALSE)) - LEN(SUBSTITUTE(VLOOKUP($D315,素材!$1:$1016,COLUMN($F$1),FALSE), "・", 0)) + 1), 0)</f>
        <v>0</v>
      </c>
      <c r="AU315">
        <f>IF(ISNUMBER(SEARCH(SUBSTITUTE(AU$1,RIGHT(AU$1,2),""),VLOOKUP($D315,素材!$1:$1016,COLUMN($F$1),FALSE))),VLOOKUP($C315,武器!$1:$998,COLUMN($O$1),FALSE)*VLOOKUP($D315,素材!$1:$1016,COLUMN($E$1),FALSE)/(LEN(VLOOKUP($D315,素材!$1:$1016,COLUMN($F$1),FALSE)) - LEN(SUBSTITUTE(VLOOKUP($D315,素材!$1:$1016,COLUMN($F$1),FALSE), "・", 0)) + 1), 0)</f>
        <v>0</v>
      </c>
      <c r="AV315">
        <f>IF(ISNUMBER(SEARCH(SUBSTITUTE(AV$1,RIGHT(AV$1,2),""),VLOOKUP($D315,素材!$1:$1016,COLUMN($F$1),FALSE))),VLOOKUP($C315,武器!$1:$998,COLUMN($O$1),FALSE)*VLOOKUP($D315,素材!$1:$1016,COLUMN($E$1),FALSE)/(LEN(VLOOKUP($D315,素材!$1:$1016,COLUMN($F$1),FALSE)) - LEN(SUBSTITUTE(VLOOKUP($D315,素材!$1:$1016,COLUMN($F$1),FALSE), "・", 0)) + 1), 0)</f>
        <v>0</v>
      </c>
      <c r="AW315">
        <f>IF(ISNUMBER(SEARCH(SUBSTITUTE(AW$1,RIGHT(AW$1,2),""),VLOOKUP($D315,素材!$1:$1016,COLUMN($F$1),FALSE))),VLOOKUP($C315,武器!$1:$998,COLUMN($O$1),FALSE)*VLOOKUP($D315,素材!$1:$1016,COLUMN($E$1),FALSE)/(LEN(VLOOKUP($D315,素材!$1:$1016,COLUMN($F$1),FALSE)) - LEN(SUBSTITUTE(VLOOKUP($D315,素材!$1:$1016,COLUMN($F$1),FALSE), "・", 0)) + 1), 0)</f>
        <v>0</v>
      </c>
      <c r="AX315">
        <f>IF(ISNUMBER(SEARCH(SUBSTITUTE(AX$1,RIGHT(AX$1,2),""),VLOOKUP($D315,素材!$1:$1016,COLUMN($F$1),FALSE))),VLOOKUP($C315,武器!$1:$998,COLUMN($O$1),FALSE)*VLOOKUP($D315,素材!$1:$1016,COLUMN($E$1),FALSE)/(LEN(VLOOKUP($D315,素材!$1:$1016,COLUMN($F$1),FALSE)) - LEN(SUBSTITUTE(VLOOKUP($D315,素材!$1:$1016,COLUMN($F$1),FALSE), "・", 0)) + 1), 0)</f>
        <v>0</v>
      </c>
      <c r="AY315">
        <f>IF(ISNUMBER(SEARCH(SUBSTITUTE(AY$1,RIGHT(AY$1,2),""),VLOOKUP($D315,素材!$1:$1016,COLUMN($F$1),FALSE))),VLOOKUP($C315,武器!$1:$998,COLUMN($O$1),FALSE)*VLOOKUP($D315,素材!$1:$1016,COLUMN($E$1),FALSE)/(LEN(VLOOKUP($D315,素材!$1:$1016,COLUMN($F$1),FALSE)) - LEN(SUBSTITUTE(VLOOKUP($D315,素材!$1:$1016,COLUMN($F$1),FALSE), "・", 0)) + 1), 0)</f>
        <v>0</v>
      </c>
      <c r="AZ315">
        <f>IF(ISNUMBER(SEARCH(SUBSTITUTE(AZ$1,RIGHT(AZ$1,2),""),VLOOKUP($D315,素材!$1:$1016,COLUMN($F$1),FALSE))),VLOOKUP($C315,武器!$1:$998,COLUMN($O$1),FALSE)*VLOOKUP($D315,素材!$1:$1016,COLUMN($E$1),FALSE)/(LEN(VLOOKUP($D315,素材!$1:$1016,COLUMN($F$1),FALSE)) - LEN(SUBSTITUTE(VLOOKUP($D315,素材!$1:$1016,COLUMN($F$1),FALSE), "・", 0)) + 1), 0)</f>
        <v>0</v>
      </c>
      <c r="BA315">
        <f>IF(ISNUMBER(SEARCH(SUBSTITUTE(BA$1,RIGHT(BA$1,2),""),VLOOKUP($D315,素材!$1:$1016,COLUMN($F$1),FALSE))),VLOOKUP($C315,武器!$1:$998,COLUMN($O$1),FALSE)*VLOOKUP($D315,素材!$1:$1016,COLUMN($E$1),FALSE)/(LEN(VLOOKUP($D315,素材!$1:$1016,COLUMN($F$1),FALSE)) - LEN(SUBSTITUTE(VLOOKUP($D315,素材!$1:$1016,COLUMN($F$1),FALSE), "・", 0)) + 1), 0)</f>
        <v>0</v>
      </c>
      <c r="BB315">
        <f>IF(ISNUMBER(SEARCH(SUBSTITUTE(BB$1,RIGHT(BB$1,2),""),VLOOKUP($D315,素材!$1:$1016,COLUMN($F$1),FALSE))),VLOOKUP($C315,武器!$1:$998,COLUMN($O$1),FALSE)*VLOOKUP($D315,素材!$1:$1016,COLUMN($E$1),FALSE)/(LEN(VLOOKUP($D315,素材!$1:$1016,COLUMN($F$1),FALSE)) - LEN(SUBSTITUTE(VLOOKUP($D315,素材!$1:$1016,COLUMN($F$1),FALSE), "・", 0)) + 1), 0)</f>
        <v>0</v>
      </c>
      <c r="BC315">
        <f>IF(ISNUMBER(SEARCH(SUBSTITUTE(BC$1,RIGHT(BC$1,2),""),VLOOKUP($D315,素材!$1:$1016,COLUMN($F$1),FALSE))),VLOOKUP($C315,武器!$1:$998,COLUMN($O$1),FALSE)*VLOOKUP($D315,素材!$1:$1016,COLUMN($E$1),FALSE)/(LEN(VLOOKUP($D315,素材!$1:$1016,COLUMN($F$1),FALSE)) - LEN(SUBSTITUTE(VLOOKUP($D315,素材!$1:$1016,COLUMN($F$1),FALSE), "・", 0)) + 1), 0)</f>
        <v>0</v>
      </c>
      <c r="BD315">
        <f>IF(ISNUMBER(SEARCH(SUBSTITUTE(BD$1,RIGHT(BD$1,2),""),VLOOKUP($D315,素材!$1:$1016,COLUMN($F$1),FALSE))),VLOOKUP($C315,武器!$1:$998,COLUMN($O$1),FALSE)*VLOOKUP($D315,素材!$1:$1016,COLUMN($E$1),FALSE)/(LEN(VLOOKUP($D315,素材!$1:$1016,COLUMN($F$1),FALSE)) - LEN(SUBSTITUTE(VLOOKUP($D315,素材!$1:$1016,COLUMN($F$1),FALSE), "・", 0)) + 1), 0)</f>
        <v>0</v>
      </c>
      <c r="BE315">
        <f>IF(ISNUMBER(SEARCH(SUBSTITUTE(BE$1,RIGHT(BE$1,2),""),VLOOKUP($D315,素材!$1:$1016,COLUMN($F$1),FALSE))),VLOOKUP($C315,武器!$1:$998,COLUMN($O$1),FALSE)*VLOOKUP($D315,素材!$1:$1016,COLUMN($E$1),FALSE)/(LEN(VLOOKUP($D315,素材!$1:$1016,COLUMN($F$1),FALSE)) - LEN(SUBSTITUTE(VLOOKUP($D315,素材!$1:$1016,COLUMN($F$1),FALSE), "・", 0)) + 1), 0)</f>
        <v>0</v>
      </c>
      <c r="CL315">
        <f>SUM(G315:I315)</f>
        <v>0</v>
      </c>
      <c r="CM315" s="22" t="str">
        <f>IF(E315="武器",IF(J315-1&gt;SUM(G315:I315),"盾",IF(MAX(G315:I315)=G315,"切断",IF(MAX(G315:I315)=H315,"貫通",IF(MAX(G315:I315)=I315,"打撃","射撃")))),E315)&amp;".webp"</f>
        <v>.webp</v>
      </c>
      <c r="CN315" t="str">
        <f>IFERROR(VLOOKUP($C315,武器!$1:$998,COLUMN(V$1),FALSE)*VLOOKUP($D315,素材!$1:$1016,COLUMN(N$1),FALSE)+IF(CI315="",0,VLOOKUP($CI315,装強!$1:$1008,COLUMN($CK$1),FALSE)),"")</f>
        <v/>
      </c>
      <c r="CO315" t="e">
        <f>VLOOKUP(D315,素材!$A:$O,COLUMN(素材!O$1),FALSE)</f>
        <v>#N/A</v>
      </c>
      <c r="CP315" t="e">
        <f>VLOOKUP(C315,武器!$A:$W,COLUMN(武器!W$1),FALSE)</f>
        <v>#N/A</v>
      </c>
      <c r="CR315" t="str">
        <f t="shared" si="33"/>
        <v>e_315</v>
      </c>
      <c r="CS315" t="e">
        <f t="shared" si="34"/>
        <v>#VALUE!</v>
      </c>
    </row>
    <row r="316" spans="1:97" hidden="1" outlineLevel="1" x14ac:dyDescent="0.4">
      <c r="A316" t="str">
        <f>IF(CI316="",D316&amp;"の"&amp;C316,CI316&amp;"の"&amp;C316)</f>
        <v>の</v>
      </c>
      <c r="B316" t="str">
        <f>IFERROR(IF(CI316="",VLOOKUP($D316,素材!$1:$1016,COLUMN($B$1),FALSE)&amp;"・"&amp;VLOOKUP($C316,武器!$1:$998,COLUMN(B$1),FALSE),VLOOKUP($CI316,装強!$1:$1008,COLUMN($B$1),FALSE)&amp;"・"&amp;VLOOKUP($C316,武器!$1:$998,COLUMN(B$1),FALSE)),"")</f>
        <v/>
      </c>
      <c r="C316" s="24"/>
      <c r="D316" s="24"/>
      <c r="E316" t="str">
        <f>IFERROR(VLOOKUP(C316,武器!$1:$998,COLUMN(C$1),FALSE),"")</f>
        <v/>
      </c>
      <c r="F316" t="str">
        <f>IFERROR(ROUNDDOWN((VLOOKUP($C316,武器!$1:$998,COLUMN(D$1),FALSE)+IFERROR(VLOOKUP($CI316,装強!$1:$999,COLUMN(F$1),FALSE),0))*VLOOKUP($D316,素材!$1:$1016,COLUMN(D$1),FALSE),0),"")</f>
        <v/>
      </c>
      <c r="G316" t="str">
        <f>IFERROR(ROUNDDOWN((VLOOKUP($C316,武器!$1:$998,COLUMN(E$1),FALSE)+IFERROR(VLOOKUP($CI316,装強!$1:$999,COLUMN(G$1),FALSE),0))*VLOOKUP($D316,素材!$1:$1016,COLUMN($E$1),FALSE),0),"")</f>
        <v/>
      </c>
      <c r="H316" t="str">
        <f>IFERROR(ROUNDDOWN((VLOOKUP($C316,武器!$1:$998,COLUMN(F$1),FALSE)+IFERROR(VLOOKUP($CI316,装強!$1:$999,COLUMN(H$1),FALSE),0))*VLOOKUP($D316,素材!$1:$1016,COLUMN($E$1),FALSE),0),"")</f>
        <v/>
      </c>
      <c r="I316" t="str">
        <f>IFERROR(ROUNDDOWN((VLOOKUP($C316,武器!$1:$998,COLUMN(G$1),FALSE)+IFERROR(VLOOKUP($CI316,装強!$1:$999,COLUMN(I$1),FALSE),0))*VLOOKUP($D316,素材!$1:$1016,COLUMN($E$1),FALSE),0),"")</f>
        <v/>
      </c>
      <c r="J316" t="str">
        <f>IFERROR(ROUNDDOWN((VLOOKUP($C316,武器!$1:$998,COLUMN(H$1),FALSE)+IFERROR(VLOOKUP($CI316,装強!$1:$999,COLUMN(J$1),FALSE),0))*VLOOKUP($D316,素材!$1:$1016,COLUMN($E$1),FALSE),0),"")</f>
        <v/>
      </c>
      <c r="K316" t="str">
        <f>IFERROR(ROUNDDOWN((VLOOKUP($C316,武器!$1:$998,COLUMN(I$1),FALSE)+IFERROR(VLOOKUP($CI316,装強!$1:$999,COLUMN(K$1),FALSE),0))*VLOOKUP($D316,素材!$1:$1016,COLUMN($E$1),FALSE),0),"")</f>
        <v/>
      </c>
      <c r="L316" t="str">
        <f>IFERROR(VLOOKUP($D316,素材!$1:$1016,COLUMN($F$1),FALSE),"")</f>
        <v/>
      </c>
      <c r="M316" t="str">
        <f>IFERROR(VLOOKUP($C316,武器!$1:$998,COLUMN(AA$1),FALSE)*VLOOKUP($D316,素材!$1:$1016,COLUMN($G$1),FALSE),"")</f>
        <v/>
      </c>
      <c r="N316" t="str">
        <f>IFERROR(VLOOKUP($C316,武器!$1:$998,COLUMN(I$1),FALSE),"")</f>
        <v/>
      </c>
      <c r="O316" s="23" t="str">
        <f>IFERROR((VLOOKUP($C316,武器!$1:$998,COLUMN(K$1),FALSE)+VLOOKUP($D316,素材!$1:$1016,COLUMN(H$1),FALSE))*100+IFERROR(VLOOKUP($CI316,装強!$1:$999,COLUMN(O$1),FALSE),0),"")</f>
        <v/>
      </c>
      <c r="P316" s="23" t="str">
        <f>IFERROR((VLOOKUP($C316,武器!$1:$998,COLUMN(L$1),FALSE)+VLOOKUP($D316,素材!$1:$1016,COLUMN(I$1),FALSE))*100+IFERROR(VLOOKUP($CI316,装強!$1:$999,COLUMN(P$1),FALSE),0),"")</f>
        <v/>
      </c>
      <c r="Q316" t="str">
        <f>IFERROR(ROUNDUP(VLOOKUP($C316,武器!$1:$998,COLUMN(M$1),FALSE)*(VLOOKUP($D316,素材!$1:$1002,COLUMN(D$1),FALSE)/100),1),"")</f>
        <v/>
      </c>
      <c r="R316" t="str">
        <f>IFERROR(ROUNDUP(VLOOKUP($C316,武器!$1:$998,COLUMN(N$1),FALSE)*(VLOOKUP($D316,素材!$1:$1002,COLUMN(D$1),FALSE)/100),1),"")</f>
        <v/>
      </c>
      <c r="S316" t="str">
        <f>IFERROR(VLOOKUP($C316,武器!$1:$998,COLUMN(P$1),FALSE),"")</f>
        <v/>
      </c>
      <c r="T316" t="str">
        <f>IFERROR(VLOOKUP($C316,武器!$1:$998,COLUMN(Q$1),FALSE),"")</f>
        <v/>
      </c>
      <c r="U316" t="str">
        <f>IFERROR(VLOOKUP($C316,武器!$1:$998,COLUMN(R$1),FALSE),"")</f>
        <v/>
      </c>
      <c r="V316" t="str">
        <f>IFERROR(VLOOKUP($C316,武器!$1:$998,COLUMN(Q$1),FALSE),"")</f>
        <v/>
      </c>
      <c r="W316" t="str">
        <f>IFERROR(VLOOKUP($C316,武器!$1:$998,COLUMN(T$1),FALSE),"")</f>
        <v/>
      </c>
      <c r="Y316" t="str">
        <f>IFERROR(VLOOKUP($C316,武器!$1:$998,COLUMN(U$1),FALSE),"")</f>
        <v/>
      </c>
      <c r="Z316" t="str">
        <f>IFERROR(ROUNDUP(VLOOKUP($C316,武器!$1:$998,COLUMN(O$1),FALSE)*VLOOKUP($D316,素材!$1:$1016,COLUMN(E$1),FALSE),1),"")</f>
        <v/>
      </c>
      <c r="AA316">
        <f>IF(ISNUMBER(SEARCH(SUBSTITUTE(AA$1,RIGHT(AA$1,2),""),VLOOKUP($D316,素材!$1:$1016,COLUMN($F$1),FALSE))),VLOOKUP($C316,武器!$1:$998,COLUMN($O$1),FALSE)*VLOOKUP($D316,素材!$1:$1016,COLUMN($E$1),FALSE)/(LEN(VLOOKUP($D316,素材!$1:$1016,COLUMN($F$1),FALSE)) - LEN(SUBSTITUTE(VLOOKUP($D316,素材!$1:$1016,COLUMN($F$1),FALSE), "・", 0)) + 1), 0)</f>
        <v>0</v>
      </c>
      <c r="AB316">
        <f>IF(ISNUMBER(SEARCH(SUBSTITUTE(AB$1,RIGHT(AB$1,2),""),VLOOKUP($D316,素材!$1:$1016,COLUMN($F$1),FALSE))),VLOOKUP($C316,武器!$1:$998,COLUMN($O$1),FALSE)*VLOOKUP($D316,素材!$1:$1016,COLUMN($E$1),FALSE)/(LEN(VLOOKUP($D316,素材!$1:$1016,COLUMN($F$1),FALSE)) - LEN(SUBSTITUTE(VLOOKUP($D316,素材!$1:$1016,COLUMN($F$1),FALSE), "・", 0)) + 1), 0)</f>
        <v>0</v>
      </c>
      <c r="AC316">
        <f>IF(ISNUMBER(SEARCH(SUBSTITUTE(AC$1,RIGHT(AC$1,2),""),VLOOKUP($D316,素材!$1:$1016,COLUMN($F$1),FALSE))),VLOOKUP($C316,武器!$1:$998,COLUMN($O$1),FALSE)*VLOOKUP($D316,素材!$1:$1016,COLUMN($E$1),FALSE)/(LEN(VLOOKUP($D316,素材!$1:$1016,COLUMN($F$1),FALSE)) - LEN(SUBSTITUTE(VLOOKUP($D316,素材!$1:$1016,COLUMN($F$1),FALSE), "・", 0)) + 1), 0)</f>
        <v>0</v>
      </c>
      <c r="AD316">
        <f>IF(ISNUMBER(SEARCH(SUBSTITUTE(AD$1,RIGHT(AD$1,2),""),VLOOKUP($D316,素材!$1:$1016,COLUMN($F$1),FALSE))),VLOOKUP($C316,武器!$1:$998,COLUMN($O$1),FALSE)*VLOOKUP($D316,素材!$1:$1016,COLUMN($E$1),FALSE)/(LEN(VLOOKUP($D316,素材!$1:$1016,COLUMN($F$1),FALSE)) - LEN(SUBSTITUTE(VLOOKUP($D316,素材!$1:$1016,COLUMN($F$1),FALSE), "・", 0)) + 1), 0)</f>
        <v>0</v>
      </c>
      <c r="AE316">
        <f>IF(ISNUMBER(SEARCH(SUBSTITUTE(AE$1,RIGHT(AE$1,2),""),VLOOKUP($D316,素材!$1:$1016,COLUMN($F$1),FALSE))),VLOOKUP($C316,武器!$1:$998,COLUMN($O$1),FALSE)*VLOOKUP($D316,素材!$1:$1016,COLUMN($E$1),FALSE)/(LEN(VLOOKUP($D316,素材!$1:$1016,COLUMN($F$1),FALSE)) - LEN(SUBSTITUTE(VLOOKUP($D316,素材!$1:$1016,COLUMN($F$1),FALSE), "・", 0)) + 1), 0)</f>
        <v>0</v>
      </c>
      <c r="AF316">
        <f>IF(ISNUMBER(SEARCH(SUBSTITUTE(AF$1,RIGHT(AF$1,2),""),VLOOKUP($D316,素材!$1:$1016,COLUMN($F$1),FALSE))),VLOOKUP($C316,武器!$1:$998,COLUMN($O$1),FALSE)*VLOOKUP($D316,素材!$1:$1016,COLUMN($E$1),FALSE)/(LEN(VLOOKUP($D316,素材!$1:$1016,COLUMN($F$1),FALSE)) - LEN(SUBSTITUTE(VLOOKUP($D316,素材!$1:$1016,COLUMN($F$1),FALSE), "・", 0)) + 1), 0)</f>
        <v>0</v>
      </c>
      <c r="AG316">
        <f>IF(ISNUMBER(SEARCH(SUBSTITUTE(AG$1,RIGHT(AG$1,2),""),VLOOKUP($D316,素材!$1:$1016,COLUMN($F$1),FALSE))),VLOOKUP($C316,武器!$1:$998,COLUMN($O$1),FALSE)*VLOOKUP($D316,素材!$1:$1016,COLUMN($E$1),FALSE)/(LEN(VLOOKUP($D316,素材!$1:$1016,COLUMN($F$1),FALSE)) - LEN(SUBSTITUTE(VLOOKUP($D316,素材!$1:$1016,COLUMN($F$1),FALSE), "・", 0)) + 1), 0)</f>
        <v>0</v>
      </c>
      <c r="AH316">
        <f>IF(ISNUMBER(SEARCH(SUBSTITUTE(AH$1,RIGHT(AH$1,2),""),VLOOKUP($D316,素材!$1:$1016,COLUMN($F$1),FALSE))),VLOOKUP($C316,武器!$1:$998,COLUMN($O$1),FALSE)*VLOOKUP($D316,素材!$1:$1016,COLUMN($E$1),FALSE)/(LEN(VLOOKUP($D316,素材!$1:$1016,COLUMN($F$1),FALSE)) - LEN(SUBSTITUTE(VLOOKUP($D316,素材!$1:$1016,COLUMN($F$1),FALSE), "・", 0)) + 1), 0)</f>
        <v>0</v>
      </c>
      <c r="AI316">
        <f>IF(ISNUMBER(SEARCH(SUBSTITUTE(AI$1,RIGHT(AI$1,2),""),VLOOKUP($D316,素材!$1:$1016,COLUMN($F$1),FALSE))),VLOOKUP($C316,武器!$1:$998,COLUMN($O$1),FALSE)*VLOOKUP($D316,素材!$1:$1016,COLUMN($E$1),FALSE)/(LEN(VLOOKUP($D316,素材!$1:$1016,COLUMN($F$1),FALSE)) - LEN(SUBSTITUTE(VLOOKUP($D316,素材!$1:$1016,COLUMN($F$1),FALSE), "・", 0)) + 1), 0)</f>
        <v>0</v>
      </c>
      <c r="AJ316">
        <f>IF(ISNUMBER(SEARCH(SUBSTITUTE(AJ$1,RIGHT(AJ$1,2),""),VLOOKUP($D316,素材!$1:$1016,COLUMN($F$1),FALSE))),VLOOKUP($C316,武器!$1:$998,COLUMN($O$1),FALSE)*VLOOKUP($D316,素材!$1:$1016,COLUMN($E$1),FALSE)/(LEN(VLOOKUP($D316,素材!$1:$1016,COLUMN($F$1),FALSE)) - LEN(SUBSTITUTE(VLOOKUP($D316,素材!$1:$1016,COLUMN($F$1),FALSE), "・", 0)) + 1), 0)</f>
        <v>0</v>
      </c>
      <c r="AK316">
        <f>IF(ISNUMBER(SEARCH(SUBSTITUTE(AK$1,RIGHT(AK$1,2),""),VLOOKUP($D316,素材!$1:$1016,COLUMN($F$1),FALSE))),VLOOKUP($C316,武器!$1:$998,COLUMN($O$1),FALSE)*VLOOKUP($D316,素材!$1:$1016,COLUMN($E$1),FALSE)/(LEN(VLOOKUP($D316,素材!$1:$1016,COLUMN($F$1),FALSE)) - LEN(SUBSTITUTE(VLOOKUP($D316,素材!$1:$1016,COLUMN($F$1),FALSE), "・", 0)) + 1), 0)</f>
        <v>0</v>
      </c>
      <c r="AL316">
        <f>IF(ISNUMBER(SEARCH(SUBSTITUTE(AL$1,RIGHT(AL$1,2),""),VLOOKUP($D316,素材!$1:$1016,COLUMN($F$1),FALSE))),VLOOKUP($C316,武器!$1:$998,COLUMN($O$1),FALSE)*VLOOKUP($D316,素材!$1:$1016,COLUMN($E$1),FALSE)/(LEN(VLOOKUP($D316,素材!$1:$1016,COLUMN($F$1),FALSE)) - LEN(SUBSTITUTE(VLOOKUP($D316,素材!$1:$1016,COLUMN($F$1),FALSE), "・", 0)) + 1), 0)</f>
        <v>0</v>
      </c>
      <c r="AM316">
        <f>IF(ISNUMBER(SEARCH(SUBSTITUTE(AM$1,RIGHT(AM$1,2),""),VLOOKUP($D316,素材!$1:$1016,COLUMN($F$1),FALSE))),VLOOKUP($C316,武器!$1:$998,COLUMN($O$1),FALSE)*VLOOKUP($D316,素材!$1:$1016,COLUMN($E$1),FALSE)/(LEN(VLOOKUP($D316,素材!$1:$1016,COLUMN($F$1),FALSE)) - LEN(SUBSTITUTE(VLOOKUP($D316,素材!$1:$1016,COLUMN($F$1),FALSE), "・", 0)) + 1), 0)</f>
        <v>0</v>
      </c>
      <c r="AN316">
        <f>IF(ISNUMBER(SEARCH(SUBSTITUTE(AN$1,RIGHT(AN$1,2),""),VLOOKUP($D316,素材!$1:$1016,COLUMN($F$1),FALSE))),VLOOKUP($C316,武器!$1:$998,COLUMN($O$1),FALSE)*VLOOKUP($D316,素材!$1:$1016,COLUMN($E$1),FALSE)/(LEN(VLOOKUP($D316,素材!$1:$1016,COLUMN($F$1),FALSE)) - LEN(SUBSTITUTE(VLOOKUP($D316,素材!$1:$1016,COLUMN($F$1),FALSE), "・", 0)) + 1), 0)</f>
        <v>0</v>
      </c>
      <c r="AO316">
        <f>IF(ISNUMBER(SEARCH(SUBSTITUTE(AO$1,RIGHT(AO$1,2),""),VLOOKUP($D316,素材!$1:$1016,COLUMN($F$1),FALSE))),VLOOKUP($C316,武器!$1:$998,COLUMN($O$1),FALSE)*VLOOKUP($D316,素材!$1:$1016,COLUMN($E$1),FALSE)/(LEN(VLOOKUP($D316,素材!$1:$1016,COLUMN($F$1),FALSE)) - LEN(SUBSTITUTE(VLOOKUP($D316,素材!$1:$1016,COLUMN($F$1),FALSE), "・", 0)) + 1), 0)</f>
        <v>0</v>
      </c>
      <c r="AP316">
        <f>IF(ISNUMBER(SEARCH(SUBSTITUTE(AP$1,RIGHT(AP$1,2),""),VLOOKUP($D316,素材!$1:$1016,COLUMN($F$1),FALSE))),VLOOKUP($C316,武器!$1:$998,COLUMN($O$1),FALSE)*VLOOKUP($D316,素材!$1:$1016,COLUMN($E$1),FALSE)/(LEN(VLOOKUP($D316,素材!$1:$1016,COLUMN($F$1),FALSE)) - LEN(SUBSTITUTE(VLOOKUP($D316,素材!$1:$1016,COLUMN($F$1),FALSE), "・", 0)) + 1), 0)</f>
        <v>0</v>
      </c>
      <c r="AQ316">
        <f>IF(ISNUMBER(SEARCH(SUBSTITUTE(AQ$1,RIGHT(AQ$1,2),""),VLOOKUP($D316,素材!$1:$1016,COLUMN($F$1),FALSE))),VLOOKUP($C316,武器!$1:$998,COLUMN($O$1),FALSE)*VLOOKUP($D316,素材!$1:$1016,COLUMN($E$1),FALSE)/(LEN(VLOOKUP($D316,素材!$1:$1016,COLUMN($F$1),FALSE)) - LEN(SUBSTITUTE(VLOOKUP($D316,素材!$1:$1016,COLUMN($F$1),FALSE), "・", 0)) + 1), 0)</f>
        <v>0</v>
      </c>
      <c r="AR316">
        <f>IF(ISNUMBER(SEARCH(SUBSTITUTE(AR$1,RIGHT(AR$1,2),""),VLOOKUP($D316,素材!$1:$1016,COLUMN($F$1),FALSE))),VLOOKUP($C316,武器!$1:$998,COLUMN($O$1),FALSE)*VLOOKUP($D316,素材!$1:$1016,COLUMN($E$1),FALSE)/(LEN(VLOOKUP($D316,素材!$1:$1016,COLUMN($F$1),FALSE)) - LEN(SUBSTITUTE(VLOOKUP($D316,素材!$1:$1016,COLUMN($F$1),FALSE), "・", 0)) + 1), 0)</f>
        <v>0</v>
      </c>
      <c r="AS316">
        <f>IF(ISNUMBER(SEARCH(SUBSTITUTE(AS$1,RIGHT(AS$1,2),""),VLOOKUP($D316,素材!$1:$1016,COLUMN($F$1),FALSE))),VLOOKUP($C316,武器!$1:$998,COLUMN($O$1),FALSE)*VLOOKUP($D316,素材!$1:$1016,COLUMN($E$1),FALSE)/(LEN(VLOOKUP($D316,素材!$1:$1016,COLUMN($F$1),FALSE)) - LEN(SUBSTITUTE(VLOOKUP($D316,素材!$1:$1016,COLUMN($F$1),FALSE), "・", 0)) + 1), 0)</f>
        <v>0</v>
      </c>
      <c r="AT316">
        <f>IF(ISNUMBER(SEARCH(SUBSTITUTE(AT$1,RIGHT(AT$1,2),""),VLOOKUP($D316,素材!$1:$1016,COLUMN($F$1),FALSE))),VLOOKUP($C316,武器!$1:$998,COLUMN($O$1),FALSE)*VLOOKUP($D316,素材!$1:$1016,COLUMN($E$1),FALSE)/(LEN(VLOOKUP($D316,素材!$1:$1016,COLUMN($F$1),FALSE)) - LEN(SUBSTITUTE(VLOOKUP($D316,素材!$1:$1016,COLUMN($F$1),FALSE), "・", 0)) + 1), 0)</f>
        <v>0</v>
      </c>
      <c r="AU316">
        <f>IF(ISNUMBER(SEARCH(SUBSTITUTE(AU$1,RIGHT(AU$1,2),""),VLOOKUP($D316,素材!$1:$1016,COLUMN($F$1),FALSE))),VLOOKUP($C316,武器!$1:$998,COLUMN($O$1),FALSE)*VLOOKUP($D316,素材!$1:$1016,COLUMN($E$1),FALSE)/(LEN(VLOOKUP($D316,素材!$1:$1016,COLUMN($F$1),FALSE)) - LEN(SUBSTITUTE(VLOOKUP($D316,素材!$1:$1016,COLUMN($F$1),FALSE), "・", 0)) + 1), 0)</f>
        <v>0</v>
      </c>
      <c r="AV316">
        <f>IF(ISNUMBER(SEARCH(SUBSTITUTE(AV$1,RIGHT(AV$1,2),""),VLOOKUP($D316,素材!$1:$1016,COLUMN($F$1),FALSE))),VLOOKUP($C316,武器!$1:$998,COLUMN($O$1),FALSE)*VLOOKUP($D316,素材!$1:$1016,COLUMN($E$1),FALSE)/(LEN(VLOOKUP($D316,素材!$1:$1016,COLUMN($F$1),FALSE)) - LEN(SUBSTITUTE(VLOOKUP($D316,素材!$1:$1016,COLUMN($F$1),FALSE), "・", 0)) + 1), 0)</f>
        <v>0</v>
      </c>
      <c r="AW316">
        <f>IF(ISNUMBER(SEARCH(SUBSTITUTE(AW$1,RIGHT(AW$1,2),""),VLOOKUP($D316,素材!$1:$1016,COLUMN($F$1),FALSE))),VLOOKUP($C316,武器!$1:$998,COLUMN($O$1),FALSE)*VLOOKUP($D316,素材!$1:$1016,COLUMN($E$1),FALSE)/(LEN(VLOOKUP($D316,素材!$1:$1016,COLUMN($F$1),FALSE)) - LEN(SUBSTITUTE(VLOOKUP($D316,素材!$1:$1016,COLUMN($F$1),FALSE), "・", 0)) + 1), 0)</f>
        <v>0</v>
      </c>
      <c r="AX316">
        <f>IF(ISNUMBER(SEARCH(SUBSTITUTE(AX$1,RIGHT(AX$1,2),""),VLOOKUP($D316,素材!$1:$1016,COLUMN($F$1),FALSE))),VLOOKUP($C316,武器!$1:$998,COLUMN($O$1),FALSE)*VLOOKUP($D316,素材!$1:$1016,COLUMN($E$1),FALSE)/(LEN(VLOOKUP($D316,素材!$1:$1016,COLUMN($F$1),FALSE)) - LEN(SUBSTITUTE(VLOOKUP($D316,素材!$1:$1016,COLUMN($F$1),FALSE), "・", 0)) + 1), 0)</f>
        <v>0</v>
      </c>
      <c r="AY316">
        <f>IF(ISNUMBER(SEARCH(SUBSTITUTE(AY$1,RIGHT(AY$1,2),""),VLOOKUP($D316,素材!$1:$1016,COLUMN($F$1),FALSE))),VLOOKUP($C316,武器!$1:$998,COLUMN($O$1),FALSE)*VLOOKUP($D316,素材!$1:$1016,COLUMN($E$1),FALSE)/(LEN(VLOOKUP($D316,素材!$1:$1016,COLUMN($F$1),FALSE)) - LEN(SUBSTITUTE(VLOOKUP($D316,素材!$1:$1016,COLUMN($F$1),FALSE), "・", 0)) + 1), 0)</f>
        <v>0</v>
      </c>
      <c r="AZ316">
        <f>IF(ISNUMBER(SEARCH(SUBSTITUTE(AZ$1,RIGHT(AZ$1,2),""),VLOOKUP($D316,素材!$1:$1016,COLUMN($F$1),FALSE))),VLOOKUP($C316,武器!$1:$998,COLUMN($O$1),FALSE)*VLOOKUP($D316,素材!$1:$1016,COLUMN($E$1),FALSE)/(LEN(VLOOKUP($D316,素材!$1:$1016,COLUMN($F$1),FALSE)) - LEN(SUBSTITUTE(VLOOKUP($D316,素材!$1:$1016,COLUMN($F$1),FALSE), "・", 0)) + 1), 0)</f>
        <v>0</v>
      </c>
      <c r="BA316">
        <f>IF(ISNUMBER(SEARCH(SUBSTITUTE(BA$1,RIGHT(BA$1,2),""),VLOOKUP($D316,素材!$1:$1016,COLUMN($F$1),FALSE))),VLOOKUP($C316,武器!$1:$998,COLUMN($O$1),FALSE)*VLOOKUP($D316,素材!$1:$1016,COLUMN($E$1),FALSE)/(LEN(VLOOKUP($D316,素材!$1:$1016,COLUMN($F$1),FALSE)) - LEN(SUBSTITUTE(VLOOKUP($D316,素材!$1:$1016,COLUMN($F$1),FALSE), "・", 0)) + 1), 0)</f>
        <v>0</v>
      </c>
      <c r="BB316">
        <f>IF(ISNUMBER(SEARCH(SUBSTITUTE(BB$1,RIGHT(BB$1,2),""),VLOOKUP($D316,素材!$1:$1016,COLUMN($F$1),FALSE))),VLOOKUP($C316,武器!$1:$998,COLUMN($O$1),FALSE)*VLOOKUP($D316,素材!$1:$1016,COLUMN($E$1),FALSE)/(LEN(VLOOKUP($D316,素材!$1:$1016,COLUMN($F$1),FALSE)) - LEN(SUBSTITUTE(VLOOKUP($D316,素材!$1:$1016,COLUMN($F$1),FALSE), "・", 0)) + 1), 0)</f>
        <v>0</v>
      </c>
      <c r="BC316">
        <f>IF(ISNUMBER(SEARCH(SUBSTITUTE(BC$1,RIGHT(BC$1,2),""),VLOOKUP($D316,素材!$1:$1016,COLUMN($F$1),FALSE))),VLOOKUP($C316,武器!$1:$998,COLUMN($O$1),FALSE)*VLOOKUP($D316,素材!$1:$1016,COLUMN($E$1),FALSE)/(LEN(VLOOKUP($D316,素材!$1:$1016,COLUMN($F$1),FALSE)) - LEN(SUBSTITUTE(VLOOKUP($D316,素材!$1:$1016,COLUMN($F$1),FALSE), "・", 0)) + 1), 0)</f>
        <v>0</v>
      </c>
      <c r="BD316">
        <f>IF(ISNUMBER(SEARCH(SUBSTITUTE(BD$1,RIGHT(BD$1,2),""),VLOOKUP($D316,素材!$1:$1016,COLUMN($F$1),FALSE))),VLOOKUP($C316,武器!$1:$998,COLUMN($O$1),FALSE)*VLOOKUP($D316,素材!$1:$1016,COLUMN($E$1),FALSE)/(LEN(VLOOKUP($D316,素材!$1:$1016,COLUMN($F$1),FALSE)) - LEN(SUBSTITUTE(VLOOKUP($D316,素材!$1:$1016,COLUMN($F$1),FALSE), "・", 0)) + 1), 0)</f>
        <v>0</v>
      </c>
      <c r="BE316">
        <f>IF(ISNUMBER(SEARCH(SUBSTITUTE(BE$1,RIGHT(BE$1,2),""),VLOOKUP($D316,素材!$1:$1016,COLUMN($F$1),FALSE))),VLOOKUP($C316,武器!$1:$998,COLUMN($O$1),FALSE)*VLOOKUP($D316,素材!$1:$1016,COLUMN($E$1),FALSE)/(LEN(VLOOKUP($D316,素材!$1:$1016,COLUMN($F$1),FALSE)) - LEN(SUBSTITUTE(VLOOKUP($D316,素材!$1:$1016,COLUMN($F$1),FALSE), "・", 0)) + 1), 0)</f>
        <v>0</v>
      </c>
      <c r="CL316">
        <f>SUM(G316:I316)</f>
        <v>0</v>
      </c>
      <c r="CM316" s="22" t="str">
        <f>IF(E316="武器",IF(J316-1&gt;SUM(G316:I316),"盾",IF(MAX(G316:I316)=G316,"切断",IF(MAX(G316:I316)=H316,"貫通",IF(MAX(G316:I316)=I316,"打撃","射撃")))),E316)&amp;".webp"</f>
        <v>.webp</v>
      </c>
      <c r="CN316" t="str">
        <f>IFERROR(VLOOKUP($C316,武器!$1:$998,COLUMN(V$1),FALSE)*VLOOKUP($D316,素材!$1:$1016,COLUMN(N$1),FALSE)+IF(CI316="",0,VLOOKUP($CI316,装強!$1:$1008,COLUMN($CK$1),FALSE)),"")</f>
        <v/>
      </c>
      <c r="CO316" t="e">
        <f>VLOOKUP(D316,素材!$A:$O,COLUMN(素材!O$1),FALSE)</f>
        <v>#N/A</v>
      </c>
      <c r="CP316" t="e">
        <f>VLOOKUP(C316,武器!$A:$W,COLUMN(武器!W$1),FALSE)</f>
        <v>#N/A</v>
      </c>
      <c r="CR316" t="str">
        <f t="shared" si="33"/>
        <v>e_316</v>
      </c>
      <c r="CS316" t="e">
        <f t="shared" si="34"/>
        <v>#VALUE!</v>
      </c>
    </row>
    <row r="317" spans="1:97" hidden="1" outlineLevel="1" x14ac:dyDescent="0.4">
      <c r="A317" t="str">
        <f>IF(CI317="",D317&amp;"の"&amp;C317,CI317&amp;"の"&amp;C317)</f>
        <v>の</v>
      </c>
      <c r="B317" t="str">
        <f>IFERROR(IF(CI317="",VLOOKUP($D317,素材!$1:$1016,COLUMN($B$1),FALSE)&amp;"・"&amp;VLOOKUP($C317,武器!$1:$998,COLUMN(B$1),FALSE),VLOOKUP($CI317,装強!$1:$1008,COLUMN($B$1),FALSE)&amp;"・"&amp;VLOOKUP($C317,武器!$1:$998,COLUMN(B$1),FALSE)),"")</f>
        <v/>
      </c>
      <c r="C317" s="24"/>
      <c r="D317" s="24"/>
      <c r="E317" t="str">
        <f>IFERROR(VLOOKUP(C317,武器!$1:$998,COLUMN(C$1),FALSE),"")</f>
        <v/>
      </c>
      <c r="F317" t="str">
        <f>IFERROR(ROUNDDOWN((VLOOKUP($C317,武器!$1:$998,COLUMN(D$1),FALSE)+IFERROR(VLOOKUP($CI317,装強!$1:$999,COLUMN(F$1),FALSE),0))*VLOOKUP($D317,素材!$1:$1016,COLUMN(D$1),FALSE),0),"")</f>
        <v/>
      </c>
      <c r="G317" t="str">
        <f>IFERROR(ROUNDDOWN((VLOOKUP($C317,武器!$1:$998,COLUMN(E$1),FALSE)+IFERROR(VLOOKUP($CI317,装強!$1:$999,COLUMN(G$1),FALSE),0))*VLOOKUP($D317,素材!$1:$1016,COLUMN($E$1),FALSE),0),"")</f>
        <v/>
      </c>
      <c r="H317" t="str">
        <f>IFERROR(ROUNDDOWN((VLOOKUP($C317,武器!$1:$998,COLUMN(F$1),FALSE)+IFERROR(VLOOKUP($CI317,装強!$1:$999,COLUMN(H$1),FALSE),0))*VLOOKUP($D317,素材!$1:$1016,COLUMN($E$1),FALSE),0),"")</f>
        <v/>
      </c>
      <c r="I317" t="str">
        <f>IFERROR(ROUNDDOWN((VLOOKUP($C317,武器!$1:$998,COLUMN(G$1),FALSE)+IFERROR(VLOOKUP($CI317,装強!$1:$999,COLUMN(I$1),FALSE),0))*VLOOKUP($D317,素材!$1:$1016,COLUMN($E$1),FALSE),0),"")</f>
        <v/>
      </c>
      <c r="J317" t="str">
        <f>IFERROR(ROUNDDOWN((VLOOKUP($C317,武器!$1:$998,COLUMN(H$1),FALSE)+IFERROR(VLOOKUP($CI317,装強!$1:$999,COLUMN(J$1),FALSE),0))*VLOOKUP($D317,素材!$1:$1016,COLUMN($E$1),FALSE),0),"")</f>
        <v/>
      </c>
      <c r="K317" t="str">
        <f>IFERROR(ROUNDDOWN((VLOOKUP($C317,武器!$1:$998,COLUMN(I$1),FALSE)+IFERROR(VLOOKUP($CI317,装強!$1:$999,COLUMN(K$1),FALSE),0))*VLOOKUP($D317,素材!$1:$1016,COLUMN($E$1),FALSE),0),"")</f>
        <v/>
      </c>
      <c r="L317" t="str">
        <f>IFERROR(VLOOKUP($D317,素材!$1:$1016,COLUMN($F$1),FALSE),"")</f>
        <v/>
      </c>
      <c r="M317" t="str">
        <f>IFERROR(VLOOKUP($C317,武器!$1:$998,COLUMN(AA$1),FALSE)*VLOOKUP($D317,素材!$1:$1016,COLUMN($G$1),FALSE),"")</f>
        <v/>
      </c>
      <c r="N317" t="str">
        <f>IFERROR(VLOOKUP($C317,武器!$1:$998,COLUMN(I$1),FALSE),"")</f>
        <v/>
      </c>
      <c r="O317" s="23" t="str">
        <f>IFERROR((VLOOKUP($C317,武器!$1:$998,COLUMN(K$1),FALSE)+VLOOKUP($D317,素材!$1:$1016,COLUMN(H$1),FALSE))*100+IFERROR(VLOOKUP($CI317,装強!$1:$999,COLUMN(O$1),FALSE),0),"")</f>
        <v/>
      </c>
      <c r="P317" s="23" t="str">
        <f>IFERROR((VLOOKUP($C317,武器!$1:$998,COLUMN(L$1),FALSE)+VLOOKUP($D317,素材!$1:$1016,COLUMN(I$1),FALSE))*100+IFERROR(VLOOKUP($CI317,装強!$1:$999,COLUMN(P$1),FALSE),0),"")</f>
        <v/>
      </c>
      <c r="Q317" t="str">
        <f>IFERROR(ROUNDUP(VLOOKUP($C317,武器!$1:$998,COLUMN(M$1),FALSE)*(VLOOKUP($D317,素材!$1:$1002,COLUMN(D$1),FALSE)/100),1),"")</f>
        <v/>
      </c>
      <c r="R317" t="str">
        <f>IFERROR(ROUNDUP(VLOOKUP($C317,武器!$1:$998,COLUMN(N$1),FALSE)*(VLOOKUP($D317,素材!$1:$1002,COLUMN(D$1),FALSE)/100),1),"")</f>
        <v/>
      </c>
      <c r="S317" t="str">
        <f>IFERROR(VLOOKUP($C317,武器!$1:$998,COLUMN(P$1),FALSE),"")</f>
        <v/>
      </c>
      <c r="T317" t="str">
        <f>IFERROR(VLOOKUP($C317,武器!$1:$998,COLUMN(Q$1),FALSE),"")</f>
        <v/>
      </c>
      <c r="U317" t="str">
        <f>IFERROR(VLOOKUP($C317,武器!$1:$998,COLUMN(R$1),FALSE),"")</f>
        <v/>
      </c>
      <c r="V317" t="str">
        <f>IFERROR(VLOOKUP($C317,武器!$1:$998,COLUMN(Q$1),FALSE),"")</f>
        <v/>
      </c>
      <c r="W317" t="str">
        <f>IFERROR(VLOOKUP($C317,武器!$1:$998,COLUMN(T$1),FALSE),"")</f>
        <v/>
      </c>
      <c r="Y317" t="str">
        <f>IFERROR(VLOOKUP($C317,武器!$1:$998,COLUMN(U$1),FALSE),"")</f>
        <v/>
      </c>
      <c r="Z317" t="str">
        <f>IFERROR(ROUNDUP(VLOOKUP($C317,武器!$1:$998,COLUMN(O$1),FALSE)*VLOOKUP($D317,素材!$1:$1016,COLUMN(E$1),FALSE),1),"")</f>
        <v/>
      </c>
      <c r="AA317">
        <f>IF(ISNUMBER(SEARCH(SUBSTITUTE(AA$1,RIGHT(AA$1,2),""),VLOOKUP($D317,素材!$1:$1016,COLUMN($F$1),FALSE))),VLOOKUP($C317,武器!$1:$998,COLUMN($O$1),FALSE)*VLOOKUP($D317,素材!$1:$1016,COLUMN($E$1),FALSE)/(LEN(VLOOKUP($D317,素材!$1:$1016,COLUMN($F$1),FALSE)) - LEN(SUBSTITUTE(VLOOKUP($D317,素材!$1:$1016,COLUMN($F$1),FALSE), "・", 0)) + 1), 0)</f>
        <v>0</v>
      </c>
      <c r="AB317">
        <f>IF(ISNUMBER(SEARCH(SUBSTITUTE(AB$1,RIGHT(AB$1,2),""),VLOOKUP($D317,素材!$1:$1016,COLUMN($F$1),FALSE))),VLOOKUP($C317,武器!$1:$998,COLUMN($O$1),FALSE)*VLOOKUP($D317,素材!$1:$1016,COLUMN($E$1),FALSE)/(LEN(VLOOKUP($D317,素材!$1:$1016,COLUMN($F$1),FALSE)) - LEN(SUBSTITUTE(VLOOKUP($D317,素材!$1:$1016,COLUMN($F$1),FALSE), "・", 0)) + 1), 0)</f>
        <v>0</v>
      </c>
      <c r="AC317">
        <f>IF(ISNUMBER(SEARCH(SUBSTITUTE(AC$1,RIGHT(AC$1,2),""),VLOOKUP($D317,素材!$1:$1016,COLUMN($F$1),FALSE))),VLOOKUP($C317,武器!$1:$998,COLUMN($O$1),FALSE)*VLOOKUP($D317,素材!$1:$1016,COLUMN($E$1),FALSE)/(LEN(VLOOKUP($D317,素材!$1:$1016,COLUMN($F$1),FALSE)) - LEN(SUBSTITUTE(VLOOKUP($D317,素材!$1:$1016,COLUMN($F$1),FALSE), "・", 0)) + 1), 0)</f>
        <v>0</v>
      </c>
      <c r="AD317">
        <f>IF(ISNUMBER(SEARCH(SUBSTITUTE(AD$1,RIGHT(AD$1,2),""),VLOOKUP($D317,素材!$1:$1016,COLUMN($F$1),FALSE))),VLOOKUP($C317,武器!$1:$998,COLUMN($O$1),FALSE)*VLOOKUP($D317,素材!$1:$1016,COLUMN($E$1),FALSE)/(LEN(VLOOKUP($D317,素材!$1:$1016,COLUMN($F$1),FALSE)) - LEN(SUBSTITUTE(VLOOKUP($D317,素材!$1:$1016,COLUMN($F$1),FALSE), "・", 0)) + 1), 0)</f>
        <v>0</v>
      </c>
      <c r="AE317">
        <f>IF(ISNUMBER(SEARCH(SUBSTITUTE(AE$1,RIGHT(AE$1,2),""),VLOOKUP($D317,素材!$1:$1016,COLUMN($F$1),FALSE))),VLOOKUP($C317,武器!$1:$998,COLUMN($O$1),FALSE)*VLOOKUP($D317,素材!$1:$1016,COLUMN($E$1),FALSE)/(LEN(VLOOKUP($D317,素材!$1:$1016,COLUMN($F$1),FALSE)) - LEN(SUBSTITUTE(VLOOKUP($D317,素材!$1:$1016,COLUMN($F$1),FALSE), "・", 0)) + 1), 0)</f>
        <v>0</v>
      </c>
      <c r="AF317">
        <f>IF(ISNUMBER(SEARCH(SUBSTITUTE(AF$1,RIGHT(AF$1,2),""),VLOOKUP($D317,素材!$1:$1016,COLUMN($F$1),FALSE))),VLOOKUP($C317,武器!$1:$998,COLUMN($O$1),FALSE)*VLOOKUP($D317,素材!$1:$1016,COLUMN($E$1),FALSE)/(LEN(VLOOKUP($D317,素材!$1:$1016,COLUMN($F$1),FALSE)) - LEN(SUBSTITUTE(VLOOKUP($D317,素材!$1:$1016,COLUMN($F$1),FALSE), "・", 0)) + 1), 0)</f>
        <v>0</v>
      </c>
      <c r="AG317">
        <f>IF(ISNUMBER(SEARCH(SUBSTITUTE(AG$1,RIGHT(AG$1,2),""),VLOOKUP($D317,素材!$1:$1016,COLUMN($F$1),FALSE))),VLOOKUP($C317,武器!$1:$998,COLUMN($O$1),FALSE)*VLOOKUP($D317,素材!$1:$1016,COLUMN($E$1),FALSE)/(LEN(VLOOKUP($D317,素材!$1:$1016,COLUMN($F$1),FALSE)) - LEN(SUBSTITUTE(VLOOKUP($D317,素材!$1:$1016,COLUMN($F$1),FALSE), "・", 0)) + 1), 0)</f>
        <v>0</v>
      </c>
      <c r="AH317">
        <f>IF(ISNUMBER(SEARCH(SUBSTITUTE(AH$1,RIGHT(AH$1,2),""),VLOOKUP($D317,素材!$1:$1016,COLUMN($F$1),FALSE))),VLOOKUP($C317,武器!$1:$998,COLUMN($O$1),FALSE)*VLOOKUP($D317,素材!$1:$1016,COLUMN($E$1),FALSE)/(LEN(VLOOKUP($D317,素材!$1:$1016,COLUMN($F$1),FALSE)) - LEN(SUBSTITUTE(VLOOKUP($D317,素材!$1:$1016,COLUMN($F$1),FALSE), "・", 0)) + 1), 0)</f>
        <v>0</v>
      </c>
      <c r="AI317">
        <f>IF(ISNUMBER(SEARCH(SUBSTITUTE(AI$1,RIGHT(AI$1,2),""),VLOOKUP($D317,素材!$1:$1016,COLUMN($F$1),FALSE))),VLOOKUP($C317,武器!$1:$998,COLUMN($O$1),FALSE)*VLOOKUP($D317,素材!$1:$1016,COLUMN($E$1),FALSE)/(LEN(VLOOKUP($D317,素材!$1:$1016,COLUMN($F$1),FALSE)) - LEN(SUBSTITUTE(VLOOKUP($D317,素材!$1:$1016,COLUMN($F$1),FALSE), "・", 0)) + 1), 0)</f>
        <v>0</v>
      </c>
      <c r="AJ317">
        <f>IF(ISNUMBER(SEARCH(SUBSTITUTE(AJ$1,RIGHT(AJ$1,2),""),VLOOKUP($D317,素材!$1:$1016,COLUMN($F$1),FALSE))),VLOOKUP($C317,武器!$1:$998,COLUMN($O$1),FALSE)*VLOOKUP($D317,素材!$1:$1016,COLUMN($E$1),FALSE)/(LEN(VLOOKUP($D317,素材!$1:$1016,COLUMN($F$1),FALSE)) - LEN(SUBSTITUTE(VLOOKUP($D317,素材!$1:$1016,COLUMN($F$1),FALSE), "・", 0)) + 1), 0)</f>
        <v>0</v>
      </c>
      <c r="AK317">
        <f>IF(ISNUMBER(SEARCH(SUBSTITUTE(AK$1,RIGHT(AK$1,2),""),VLOOKUP($D317,素材!$1:$1016,COLUMN($F$1),FALSE))),VLOOKUP($C317,武器!$1:$998,COLUMN($O$1),FALSE)*VLOOKUP($D317,素材!$1:$1016,COLUMN($E$1),FALSE)/(LEN(VLOOKUP($D317,素材!$1:$1016,COLUMN($F$1),FALSE)) - LEN(SUBSTITUTE(VLOOKUP($D317,素材!$1:$1016,COLUMN($F$1),FALSE), "・", 0)) + 1), 0)</f>
        <v>0</v>
      </c>
      <c r="AL317">
        <f>IF(ISNUMBER(SEARCH(SUBSTITUTE(AL$1,RIGHT(AL$1,2),""),VLOOKUP($D317,素材!$1:$1016,COLUMN($F$1),FALSE))),VLOOKUP($C317,武器!$1:$998,COLUMN($O$1),FALSE)*VLOOKUP($D317,素材!$1:$1016,COLUMN($E$1),FALSE)/(LEN(VLOOKUP($D317,素材!$1:$1016,COLUMN($F$1),FALSE)) - LEN(SUBSTITUTE(VLOOKUP($D317,素材!$1:$1016,COLUMN($F$1),FALSE), "・", 0)) + 1), 0)</f>
        <v>0</v>
      </c>
      <c r="AM317">
        <f>IF(ISNUMBER(SEARCH(SUBSTITUTE(AM$1,RIGHT(AM$1,2),""),VLOOKUP($D317,素材!$1:$1016,COLUMN($F$1),FALSE))),VLOOKUP($C317,武器!$1:$998,COLUMN($O$1),FALSE)*VLOOKUP($D317,素材!$1:$1016,COLUMN($E$1),FALSE)/(LEN(VLOOKUP($D317,素材!$1:$1016,COLUMN($F$1),FALSE)) - LEN(SUBSTITUTE(VLOOKUP($D317,素材!$1:$1016,COLUMN($F$1),FALSE), "・", 0)) + 1), 0)</f>
        <v>0</v>
      </c>
      <c r="AN317">
        <f>IF(ISNUMBER(SEARCH(SUBSTITUTE(AN$1,RIGHT(AN$1,2),""),VLOOKUP($D317,素材!$1:$1016,COLUMN($F$1),FALSE))),VLOOKUP($C317,武器!$1:$998,COLUMN($O$1),FALSE)*VLOOKUP($D317,素材!$1:$1016,COLUMN($E$1),FALSE)/(LEN(VLOOKUP($D317,素材!$1:$1016,COLUMN($F$1),FALSE)) - LEN(SUBSTITUTE(VLOOKUP($D317,素材!$1:$1016,COLUMN($F$1),FALSE), "・", 0)) + 1), 0)</f>
        <v>0</v>
      </c>
      <c r="AO317">
        <f>IF(ISNUMBER(SEARCH(SUBSTITUTE(AO$1,RIGHT(AO$1,2),""),VLOOKUP($D317,素材!$1:$1016,COLUMN($F$1),FALSE))),VLOOKUP($C317,武器!$1:$998,COLUMN($O$1),FALSE)*VLOOKUP($D317,素材!$1:$1016,COLUMN($E$1),FALSE)/(LEN(VLOOKUP($D317,素材!$1:$1016,COLUMN($F$1),FALSE)) - LEN(SUBSTITUTE(VLOOKUP($D317,素材!$1:$1016,COLUMN($F$1),FALSE), "・", 0)) + 1), 0)</f>
        <v>0</v>
      </c>
      <c r="AP317">
        <f>IF(ISNUMBER(SEARCH(SUBSTITUTE(AP$1,RIGHT(AP$1,2),""),VLOOKUP($D317,素材!$1:$1016,COLUMN($F$1),FALSE))),VLOOKUP($C317,武器!$1:$998,COLUMN($O$1),FALSE)*VLOOKUP($D317,素材!$1:$1016,COLUMN($E$1),FALSE)/(LEN(VLOOKUP($D317,素材!$1:$1016,COLUMN($F$1),FALSE)) - LEN(SUBSTITUTE(VLOOKUP($D317,素材!$1:$1016,COLUMN($F$1),FALSE), "・", 0)) + 1), 0)</f>
        <v>0</v>
      </c>
      <c r="AQ317">
        <f>IF(ISNUMBER(SEARCH(SUBSTITUTE(AQ$1,RIGHT(AQ$1,2),""),VLOOKUP($D317,素材!$1:$1016,COLUMN($F$1),FALSE))),VLOOKUP($C317,武器!$1:$998,COLUMN($O$1),FALSE)*VLOOKUP($D317,素材!$1:$1016,COLUMN($E$1),FALSE)/(LEN(VLOOKUP($D317,素材!$1:$1016,COLUMN($F$1),FALSE)) - LEN(SUBSTITUTE(VLOOKUP($D317,素材!$1:$1016,COLUMN($F$1),FALSE), "・", 0)) + 1), 0)</f>
        <v>0</v>
      </c>
      <c r="AR317">
        <f>IF(ISNUMBER(SEARCH(SUBSTITUTE(AR$1,RIGHT(AR$1,2),""),VLOOKUP($D317,素材!$1:$1016,COLUMN($F$1),FALSE))),VLOOKUP($C317,武器!$1:$998,COLUMN($O$1),FALSE)*VLOOKUP($D317,素材!$1:$1016,COLUMN($E$1),FALSE)/(LEN(VLOOKUP($D317,素材!$1:$1016,COLUMN($F$1),FALSE)) - LEN(SUBSTITUTE(VLOOKUP($D317,素材!$1:$1016,COLUMN($F$1),FALSE), "・", 0)) + 1), 0)</f>
        <v>0</v>
      </c>
      <c r="AS317">
        <f>IF(ISNUMBER(SEARCH(SUBSTITUTE(AS$1,RIGHT(AS$1,2),""),VLOOKUP($D317,素材!$1:$1016,COLUMN($F$1),FALSE))),VLOOKUP($C317,武器!$1:$998,COLUMN($O$1),FALSE)*VLOOKUP($D317,素材!$1:$1016,COLUMN($E$1),FALSE)/(LEN(VLOOKUP($D317,素材!$1:$1016,COLUMN($F$1),FALSE)) - LEN(SUBSTITUTE(VLOOKUP($D317,素材!$1:$1016,COLUMN($F$1),FALSE), "・", 0)) + 1), 0)</f>
        <v>0</v>
      </c>
      <c r="AT317">
        <f>IF(ISNUMBER(SEARCH(SUBSTITUTE(AT$1,RIGHT(AT$1,2),""),VLOOKUP($D317,素材!$1:$1016,COLUMN($F$1),FALSE))),VLOOKUP($C317,武器!$1:$998,COLUMN($O$1),FALSE)*VLOOKUP($D317,素材!$1:$1016,COLUMN($E$1),FALSE)/(LEN(VLOOKUP($D317,素材!$1:$1016,COLUMN($F$1),FALSE)) - LEN(SUBSTITUTE(VLOOKUP($D317,素材!$1:$1016,COLUMN($F$1),FALSE), "・", 0)) + 1), 0)</f>
        <v>0</v>
      </c>
      <c r="AU317">
        <f>IF(ISNUMBER(SEARCH(SUBSTITUTE(AU$1,RIGHT(AU$1,2),""),VLOOKUP($D317,素材!$1:$1016,COLUMN($F$1),FALSE))),VLOOKUP($C317,武器!$1:$998,COLUMN($O$1),FALSE)*VLOOKUP($D317,素材!$1:$1016,COLUMN($E$1),FALSE)/(LEN(VLOOKUP($D317,素材!$1:$1016,COLUMN($F$1),FALSE)) - LEN(SUBSTITUTE(VLOOKUP($D317,素材!$1:$1016,COLUMN($F$1),FALSE), "・", 0)) + 1), 0)</f>
        <v>0</v>
      </c>
      <c r="AV317">
        <f>IF(ISNUMBER(SEARCH(SUBSTITUTE(AV$1,RIGHT(AV$1,2),""),VLOOKUP($D317,素材!$1:$1016,COLUMN($F$1),FALSE))),VLOOKUP($C317,武器!$1:$998,COLUMN($O$1),FALSE)*VLOOKUP($D317,素材!$1:$1016,COLUMN($E$1),FALSE)/(LEN(VLOOKUP($D317,素材!$1:$1016,COLUMN($F$1),FALSE)) - LEN(SUBSTITUTE(VLOOKUP($D317,素材!$1:$1016,COLUMN($F$1),FALSE), "・", 0)) + 1), 0)</f>
        <v>0</v>
      </c>
      <c r="AW317">
        <f>IF(ISNUMBER(SEARCH(SUBSTITUTE(AW$1,RIGHT(AW$1,2),""),VLOOKUP($D317,素材!$1:$1016,COLUMN($F$1),FALSE))),VLOOKUP($C317,武器!$1:$998,COLUMN($O$1),FALSE)*VLOOKUP($D317,素材!$1:$1016,COLUMN($E$1),FALSE)/(LEN(VLOOKUP($D317,素材!$1:$1016,COLUMN($F$1),FALSE)) - LEN(SUBSTITUTE(VLOOKUP($D317,素材!$1:$1016,COLUMN($F$1),FALSE), "・", 0)) + 1), 0)</f>
        <v>0</v>
      </c>
      <c r="AX317">
        <f>IF(ISNUMBER(SEARCH(SUBSTITUTE(AX$1,RIGHT(AX$1,2),""),VLOOKUP($D317,素材!$1:$1016,COLUMN($F$1),FALSE))),VLOOKUP($C317,武器!$1:$998,COLUMN($O$1),FALSE)*VLOOKUP($D317,素材!$1:$1016,COLUMN($E$1),FALSE)/(LEN(VLOOKUP($D317,素材!$1:$1016,COLUMN($F$1),FALSE)) - LEN(SUBSTITUTE(VLOOKUP($D317,素材!$1:$1016,COLUMN($F$1),FALSE), "・", 0)) + 1), 0)</f>
        <v>0</v>
      </c>
      <c r="AY317">
        <f>IF(ISNUMBER(SEARCH(SUBSTITUTE(AY$1,RIGHT(AY$1,2),""),VLOOKUP($D317,素材!$1:$1016,COLUMN($F$1),FALSE))),VLOOKUP($C317,武器!$1:$998,COLUMN($O$1),FALSE)*VLOOKUP($D317,素材!$1:$1016,COLUMN($E$1),FALSE)/(LEN(VLOOKUP($D317,素材!$1:$1016,COLUMN($F$1),FALSE)) - LEN(SUBSTITUTE(VLOOKUP($D317,素材!$1:$1016,COLUMN($F$1),FALSE), "・", 0)) + 1), 0)</f>
        <v>0</v>
      </c>
      <c r="AZ317">
        <f>IF(ISNUMBER(SEARCH(SUBSTITUTE(AZ$1,RIGHT(AZ$1,2),""),VLOOKUP($D317,素材!$1:$1016,COLUMN($F$1),FALSE))),VLOOKUP($C317,武器!$1:$998,COLUMN($O$1),FALSE)*VLOOKUP($D317,素材!$1:$1016,COLUMN($E$1),FALSE)/(LEN(VLOOKUP($D317,素材!$1:$1016,COLUMN($F$1),FALSE)) - LEN(SUBSTITUTE(VLOOKUP($D317,素材!$1:$1016,COLUMN($F$1),FALSE), "・", 0)) + 1), 0)</f>
        <v>0</v>
      </c>
      <c r="BA317">
        <f>IF(ISNUMBER(SEARCH(SUBSTITUTE(BA$1,RIGHT(BA$1,2),""),VLOOKUP($D317,素材!$1:$1016,COLUMN($F$1),FALSE))),VLOOKUP($C317,武器!$1:$998,COLUMN($O$1),FALSE)*VLOOKUP($D317,素材!$1:$1016,COLUMN($E$1),FALSE)/(LEN(VLOOKUP($D317,素材!$1:$1016,COLUMN($F$1),FALSE)) - LEN(SUBSTITUTE(VLOOKUP($D317,素材!$1:$1016,COLUMN($F$1),FALSE), "・", 0)) + 1), 0)</f>
        <v>0</v>
      </c>
      <c r="BB317">
        <f>IF(ISNUMBER(SEARCH(SUBSTITUTE(BB$1,RIGHT(BB$1,2),""),VLOOKUP($D317,素材!$1:$1016,COLUMN($F$1),FALSE))),VLOOKUP($C317,武器!$1:$998,COLUMN($O$1),FALSE)*VLOOKUP($D317,素材!$1:$1016,COLUMN($E$1),FALSE)/(LEN(VLOOKUP($D317,素材!$1:$1016,COLUMN($F$1),FALSE)) - LEN(SUBSTITUTE(VLOOKUP($D317,素材!$1:$1016,COLUMN($F$1),FALSE), "・", 0)) + 1), 0)</f>
        <v>0</v>
      </c>
      <c r="BC317">
        <f>IF(ISNUMBER(SEARCH(SUBSTITUTE(BC$1,RIGHT(BC$1,2),""),VLOOKUP($D317,素材!$1:$1016,COLUMN($F$1),FALSE))),VLOOKUP($C317,武器!$1:$998,COLUMN($O$1),FALSE)*VLOOKUP($D317,素材!$1:$1016,COLUMN($E$1),FALSE)/(LEN(VLOOKUP($D317,素材!$1:$1016,COLUMN($F$1),FALSE)) - LEN(SUBSTITUTE(VLOOKUP($D317,素材!$1:$1016,COLUMN($F$1),FALSE), "・", 0)) + 1), 0)</f>
        <v>0</v>
      </c>
      <c r="BD317">
        <f>IF(ISNUMBER(SEARCH(SUBSTITUTE(BD$1,RIGHT(BD$1,2),""),VLOOKUP($D317,素材!$1:$1016,COLUMN($F$1),FALSE))),VLOOKUP($C317,武器!$1:$998,COLUMN($O$1),FALSE)*VLOOKUP($D317,素材!$1:$1016,COLUMN($E$1),FALSE)/(LEN(VLOOKUP($D317,素材!$1:$1016,COLUMN($F$1),FALSE)) - LEN(SUBSTITUTE(VLOOKUP($D317,素材!$1:$1016,COLUMN($F$1),FALSE), "・", 0)) + 1), 0)</f>
        <v>0</v>
      </c>
      <c r="BE317">
        <f>IF(ISNUMBER(SEARCH(SUBSTITUTE(BE$1,RIGHT(BE$1,2),""),VLOOKUP($D317,素材!$1:$1016,COLUMN($F$1),FALSE))),VLOOKUP($C317,武器!$1:$998,COLUMN($O$1),FALSE)*VLOOKUP($D317,素材!$1:$1016,COLUMN($E$1),FALSE)/(LEN(VLOOKUP($D317,素材!$1:$1016,COLUMN($F$1),FALSE)) - LEN(SUBSTITUTE(VLOOKUP($D317,素材!$1:$1016,COLUMN($F$1),FALSE), "・", 0)) + 1), 0)</f>
        <v>0</v>
      </c>
      <c r="CL317">
        <f>SUM(G317:I317)</f>
        <v>0</v>
      </c>
      <c r="CM317" s="22" t="str">
        <f>IF(E317="武器",IF(J317-1&gt;SUM(G317:I317),"盾",IF(MAX(G317:I317)=G317,"切断",IF(MAX(G317:I317)=H317,"貫通",IF(MAX(G317:I317)=I317,"打撃","射撃")))),E317)&amp;".webp"</f>
        <v>.webp</v>
      </c>
      <c r="CN317" t="str">
        <f>IFERROR(VLOOKUP($C317,武器!$1:$998,COLUMN(V$1),FALSE)*VLOOKUP($D317,素材!$1:$1016,COLUMN(N$1),FALSE)+IF(CI317="",0,VLOOKUP($CI317,装強!$1:$1008,COLUMN($CK$1),FALSE)),"")</f>
        <v/>
      </c>
      <c r="CO317" t="e">
        <f>VLOOKUP(D317,素材!$A:$O,COLUMN(素材!O$1),FALSE)</f>
        <v>#N/A</v>
      </c>
      <c r="CP317" t="e">
        <f>VLOOKUP(C317,武器!$A:$W,COLUMN(武器!W$1),FALSE)</f>
        <v>#N/A</v>
      </c>
      <c r="CR317" t="str">
        <f t="shared" si="33"/>
        <v>e_317</v>
      </c>
      <c r="CS317" t="e">
        <f t="shared" si="34"/>
        <v>#VALUE!</v>
      </c>
    </row>
    <row r="318" spans="1:97" hidden="1" outlineLevel="1" x14ac:dyDescent="0.4">
      <c r="A318" t="str">
        <f>IF(CI318="",D318&amp;"の"&amp;C318,CI318&amp;"の"&amp;C318)</f>
        <v>の</v>
      </c>
      <c r="B318" t="str">
        <f>IFERROR(IF(CI318="",VLOOKUP($D318,素材!$1:$1016,COLUMN($B$1),FALSE)&amp;"・"&amp;VLOOKUP($C318,武器!$1:$998,COLUMN(B$1),FALSE),VLOOKUP($CI318,装強!$1:$1008,COLUMN($B$1),FALSE)&amp;"・"&amp;VLOOKUP($C318,武器!$1:$998,COLUMN(B$1),FALSE)),"")</f>
        <v/>
      </c>
      <c r="C318" s="24"/>
      <c r="D318" s="24"/>
      <c r="E318" t="str">
        <f>IFERROR(VLOOKUP(C318,武器!$1:$998,COLUMN(C$1),FALSE),"")</f>
        <v/>
      </c>
      <c r="F318" t="str">
        <f>IFERROR(ROUNDDOWN((VLOOKUP($C318,武器!$1:$998,COLUMN(D$1),FALSE)+IFERROR(VLOOKUP($CI318,装強!$1:$999,COLUMN(F$1),FALSE),0))*VLOOKUP($D318,素材!$1:$1016,COLUMN(D$1),FALSE),0),"")</f>
        <v/>
      </c>
      <c r="G318" t="str">
        <f>IFERROR(ROUNDDOWN((VLOOKUP($C318,武器!$1:$998,COLUMN(E$1),FALSE)+IFERROR(VLOOKUP($CI318,装強!$1:$999,COLUMN(G$1),FALSE),0))*VLOOKUP($D318,素材!$1:$1016,COLUMN($E$1),FALSE),0),"")</f>
        <v/>
      </c>
      <c r="H318" t="str">
        <f>IFERROR(ROUNDDOWN((VLOOKUP($C318,武器!$1:$998,COLUMN(F$1),FALSE)+IFERROR(VLOOKUP($CI318,装強!$1:$999,COLUMN(H$1),FALSE),0))*VLOOKUP($D318,素材!$1:$1016,COLUMN($E$1),FALSE),0),"")</f>
        <v/>
      </c>
      <c r="I318" t="str">
        <f>IFERROR(ROUNDDOWN((VLOOKUP($C318,武器!$1:$998,COLUMN(G$1),FALSE)+IFERROR(VLOOKUP($CI318,装強!$1:$999,COLUMN(I$1),FALSE),0))*VLOOKUP($D318,素材!$1:$1016,COLUMN($E$1),FALSE),0),"")</f>
        <v/>
      </c>
      <c r="J318" t="str">
        <f>IFERROR(ROUNDDOWN((VLOOKUP($C318,武器!$1:$998,COLUMN(H$1),FALSE)+IFERROR(VLOOKUP($CI318,装強!$1:$999,COLUMN(J$1),FALSE),0))*VLOOKUP($D318,素材!$1:$1016,COLUMN($E$1),FALSE),0),"")</f>
        <v/>
      </c>
      <c r="K318" t="str">
        <f>IFERROR(ROUNDDOWN((VLOOKUP($C318,武器!$1:$998,COLUMN(I$1),FALSE)+IFERROR(VLOOKUP($CI318,装強!$1:$999,COLUMN(K$1),FALSE),0))*VLOOKUP($D318,素材!$1:$1016,COLUMN($E$1),FALSE),0),"")</f>
        <v/>
      </c>
      <c r="L318" t="str">
        <f>IFERROR(VLOOKUP($D318,素材!$1:$1016,COLUMN($F$1),FALSE),"")</f>
        <v/>
      </c>
      <c r="M318" t="str">
        <f>IFERROR(VLOOKUP($C318,武器!$1:$998,COLUMN(AA$1),FALSE)*VLOOKUP($D318,素材!$1:$1016,COLUMN($G$1),FALSE),"")</f>
        <v/>
      </c>
      <c r="N318" t="str">
        <f>IFERROR(VLOOKUP($C318,武器!$1:$998,COLUMN(I$1),FALSE),"")</f>
        <v/>
      </c>
      <c r="O318" s="23" t="str">
        <f>IFERROR((VLOOKUP($C318,武器!$1:$998,COLUMN(K$1),FALSE)+VLOOKUP($D318,素材!$1:$1016,COLUMN(H$1),FALSE))*100+IFERROR(VLOOKUP($CI318,装強!$1:$999,COLUMN(O$1),FALSE),0),"")</f>
        <v/>
      </c>
      <c r="P318" s="23" t="str">
        <f>IFERROR((VLOOKUP($C318,武器!$1:$998,COLUMN(L$1),FALSE)+VLOOKUP($D318,素材!$1:$1016,COLUMN(I$1),FALSE))*100+IFERROR(VLOOKUP($CI318,装強!$1:$999,COLUMN(P$1),FALSE),0),"")</f>
        <v/>
      </c>
      <c r="Q318" t="str">
        <f>IFERROR(ROUNDUP(VLOOKUP($C318,武器!$1:$998,COLUMN(M$1),FALSE)*(VLOOKUP($D318,素材!$1:$1002,COLUMN(D$1),FALSE)/100),1),"")</f>
        <v/>
      </c>
      <c r="R318" t="str">
        <f>IFERROR(ROUNDUP(VLOOKUP($C318,武器!$1:$998,COLUMN(N$1),FALSE)*(VLOOKUP($D318,素材!$1:$1002,COLUMN(D$1),FALSE)/100),1),"")</f>
        <v/>
      </c>
      <c r="S318" t="str">
        <f>IFERROR(VLOOKUP($C318,武器!$1:$998,COLUMN(P$1),FALSE),"")</f>
        <v/>
      </c>
      <c r="T318" t="str">
        <f>IFERROR(VLOOKUP($C318,武器!$1:$998,COLUMN(Q$1),FALSE),"")</f>
        <v/>
      </c>
      <c r="U318" t="str">
        <f>IFERROR(VLOOKUP($C318,武器!$1:$998,COLUMN(R$1),FALSE),"")</f>
        <v/>
      </c>
      <c r="V318" t="str">
        <f>IFERROR(VLOOKUP($C318,武器!$1:$998,COLUMN(Q$1),FALSE),"")</f>
        <v/>
      </c>
      <c r="W318" t="str">
        <f>IFERROR(VLOOKUP($C318,武器!$1:$998,COLUMN(T$1),FALSE),"")</f>
        <v/>
      </c>
      <c r="Y318" t="str">
        <f>IFERROR(VLOOKUP($C318,武器!$1:$998,COLUMN(U$1),FALSE),"")</f>
        <v/>
      </c>
      <c r="Z318" t="str">
        <f>IFERROR(ROUNDUP(VLOOKUP($C318,武器!$1:$998,COLUMN(O$1),FALSE)*VLOOKUP($D318,素材!$1:$1016,COLUMN(E$1),FALSE),1),"")</f>
        <v/>
      </c>
      <c r="AA318">
        <f>IF(ISNUMBER(SEARCH(SUBSTITUTE(AA$1,RIGHT(AA$1,2),""),VLOOKUP($D318,素材!$1:$1016,COLUMN($F$1),FALSE))),VLOOKUP($C318,武器!$1:$998,COLUMN($O$1),FALSE)*VLOOKUP($D318,素材!$1:$1016,COLUMN($E$1),FALSE)/(LEN(VLOOKUP($D318,素材!$1:$1016,COLUMN($F$1),FALSE)) - LEN(SUBSTITUTE(VLOOKUP($D318,素材!$1:$1016,COLUMN($F$1),FALSE), "・", 0)) + 1), 0)</f>
        <v>0</v>
      </c>
      <c r="AB318">
        <f>IF(ISNUMBER(SEARCH(SUBSTITUTE(AB$1,RIGHT(AB$1,2),""),VLOOKUP($D318,素材!$1:$1016,COLUMN($F$1),FALSE))),VLOOKUP($C318,武器!$1:$998,COLUMN($O$1),FALSE)*VLOOKUP($D318,素材!$1:$1016,COLUMN($E$1),FALSE)/(LEN(VLOOKUP($D318,素材!$1:$1016,COLUMN($F$1),FALSE)) - LEN(SUBSTITUTE(VLOOKUP($D318,素材!$1:$1016,COLUMN($F$1),FALSE), "・", 0)) + 1), 0)</f>
        <v>0</v>
      </c>
      <c r="AC318">
        <f>IF(ISNUMBER(SEARCH(SUBSTITUTE(AC$1,RIGHT(AC$1,2),""),VLOOKUP($D318,素材!$1:$1016,COLUMN($F$1),FALSE))),VLOOKUP($C318,武器!$1:$998,COLUMN($O$1),FALSE)*VLOOKUP($D318,素材!$1:$1016,COLUMN($E$1),FALSE)/(LEN(VLOOKUP($D318,素材!$1:$1016,COLUMN($F$1),FALSE)) - LEN(SUBSTITUTE(VLOOKUP($D318,素材!$1:$1016,COLUMN($F$1),FALSE), "・", 0)) + 1), 0)</f>
        <v>0</v>
      </c>
      <c r="AD318">
        <f>IF(ISNUMBER(SEARCH(SUBSTITUTE(AD$1,RIGHT(AD$1,2),""),VLOOKUP($D318,素材!$1:$1016,COLUMN($F$1),FALSE))),VLOOKUP($C318,武器!$1:$998,COLUMN($O$1),FALSE)*VLOOKUP($D318,素材!$1:$1016,COLUMN($E$1),FALSE)/(LEN(VLOOKUP($D318,素材!$1:$1016,COLUMN($F$1),FALSE)) - LEN(SUBSTITUTE(VLOOKUP($D318,素材!$1:$1016,COLUMN($F$1),FALSE), "・", 0)) + 1), 0)</f>
        <v>0</v>
      </c>
      <c r="AE318">
        <f>IF(ISNUMBER(SEARCH(SUBSTITUTE(AE$1,RIGHT(AE$1,2),""),VLOOKUP($D318,素材!$1:$1016,COLUMN($F$1),FALSE))),VLOOKUP($C318,武器!$1:$998,COLUMN($O$1),FALSE)*VLOOKUP($D318,素材!$1:$1016,COLUMN($E$1),FALSE)/(LEN(VLOOKUP($D318,素材!$1:$1016,COLUMN($F$1),FALSE)) - LEN(SUBSTITUTE(VLOOKUP($D318,素材!$1:$1016,COLUMN($F$1),FALSE), "・", 0)) + 1), 0)</f>
        <v>0</v>
      </c>
      <c r="AF318">
        <f>IF(ISNUMBER(SEARCH(SUBSTITUTE(AF$1,RIGHT(AF$1,2),""),VLOOKUP($D318,素材!$1:$1016,COLUMN($F$1),FALSE))),VLOOKUP($C318,武器!$1:$998,COLUMN($O$1),FALSE)*VLOOKUP($D318,素材!$1:$1016,COLUMN($E$1),FALSE)/(LEN(VLOOKUP($D318,素材!$1:$1016,COLUMN($F$1),FALSE)) - LEN(SUBSTITUTE(VLOOKUP($D318,素材!$1:$1016,COLUMN($F$1),FALSE), "・", 0)) + 1), 0)</f>
        <v>0</v>
      </c>
      <c r="AG318">
        <f>IF(ISNUMBER(SEARCH(SUBSTITUTE(AG$1,RIGHT(AG$1,2),""),VLOOKUP($D318,素材!$1:$1016,COLUMN($F$1),FALSE))),VLOOKUP($C318,武器!$1:$998,COLUMN($O$1),FALSE)*VLOOKUP($D318,素材!$1:$1016,COLUMN($E$1),FALSE)/(LEN(VLOOKUP($D318,素材!$1:$1016,COLUMN($F$1),FALSE)) - LEN(SUBSTITUTE(VLOOKUP($D318,素材!$1:$1016,COLUMN($F$1),FALSE), "・", 0)) + 1), 0)</f>
        <v>0</v>
      </c>
      <c r="AH318">
        <f>IF(ISNUMBER(SEARCH(SUBSTITUTE(AH$1,RIGHT(AH$1,2),""),VLOOKUP($D318,素材!$1:$1016,COLUMN($F$1),FALSE))),VLOOKUP($C318,武器!$1:$998,COLUMN($O$1),FALSE)*VLOOKUP($D318,素材!$1:$1016,COLUMN($E$1),FALSE)/(LEN(VLOOKUP($D318,素材!$1:$1016,COLUMN($F$1),FALSE)) - LEN(SUBSTITUTE(VLOOKUP($D318,素材!$1:$1016,COLUMN($F$1),FALSE), "・", 0)) + 1), 0)</f>
        <v>0</v>
      </c>
      <c r="AI318">
        <f>IF(ISNUMBER(SEARCH(SUBSTITUTE(AI$1,RIGHT(AI$1,2),""),VLOOKUP($D318,素材!$1:$1016,COLUMN($F$1),FALSE))),VLOOKUP($C318,武器!$1:$998,COLUMN($O$1),FALSE)*VLOOKUP($D318,素材!$1:$1016,COLUMN($E$1),FALSE)/(LEN(VLOOKUP($D318,素材!$1:$1016,COLUMN($F$1),FALSE)) - LEN(SUBSTITUTE(VLOOKUP($D318,素材!$1:$1016,COLUMN($F$1),FALSE), "・", 0)) + 1), 0)</f>
        <v>0</v>
      </c>
      <c r="AJ318">
        <f>IF(ISNUMBER(SEARCH(SUBSTITUTE(AJ$1,RIGHT(AJ$1,2),""),VLOOKUP($D318,素材!$1:$1016,COLUMN($F$1),FALSE))),VLOOKUP($C318,武器!$1:$998,COLUMN($O$1),FALSE)*VLOOKUP($D318,素材!$1:$1016,COLUMN($E$1),FALSE)/(LEN(VLOOKUP($D318,素材!$1:$1016,COLUMN($F$1),FALSE)) - LEN(SUBSTITUTE(VLOOKUP($D318,素材!$1:$1016,COLUMN($F$1),FALSE), "・", 0)) + 1), 0)</f>
        <v>0</v>
      </c>
      <c r="AK318">
        <f>IF(ISNUMBER(SEARCH(SUBSTITUTE(AK$1,RIGHT(AK$1,2),""),VLOOKUP($D318,素材!$1:$1016,COLUMN($F$1),FALSE))),VLOOKUP($C318,武器!$1:$998,COLUMN($O$1),FALSE)*VLOOKUP($D318,素材!$1:$1016,COLUMN($E$1),FALSE)/(LEN(VLOOKUP($D318,素材!$1:$1016,COLUMN($F$1),FALSE)) - LEN(SUBSTITUTE(VLOOKUP($D318,素材!$1:$1016,COLUMN($F$1),FALSE), "・", 0)) + 1), 0)</f>
        <v>0</v>
      </c>
      <c r="AL318">
        <f>IF(ISNUMBER(SEARCH(SUBSTITUTE(AL$1,RIGHT(AL$1,2),""),VLOOKUP($D318,素材!$1:$1016,COLUMN($F$1),FALSE))),VLOOKUP($C318,武器!$1:$998,COLUMN($O$1),FALSE)*VLOOKUP($D318,素材!$1:$1016,COLUMN($E$1),FALSE)/(LEN(VLOOKUP($D318,素材!$1:$1016,COLUMN($F$1),FALSE)) - LEN(SUBSTITUTE(VLOOKUP($D318,素材!$1:$1016,COLUMN($F$1),FALSE), "・", 0)) + 1), 0)</f>
        <v>0</v>
      </c>
      <c r="AM318">
        <f>IF(ISNUMBER(SEARCH(SUBSTITUTE(AM$1,RIGHT(AM$1,2),""),VLOOKUP($D318,素材!$1:$1016,COLUMN($F$1),FALSE))),VLOOKUP($C318,武器!$1:$998,COLUMN($O$1),FALSE)*VLOOKUP($D318,素材!$1:$1016,COLUMN($E$1),FALSE)/(LEN(VLOOKUP($D318,素材!$1:$1016,COLUMN($F$1),FALSE)) - LEN(SUBSTITUTE(VLOOKUP($D318,素材!$1:$1016,COLUMN($F$1),FALSE), "・", 0)) + 1), 0)</f>
        <v>0</v>
      </c>
      <c r="AN318">
        <f>IF(ISNUMBER(SEARCH(SUBSTITUTE(AN$1,RIGHT(AN$1,2),""),VLOOKUP($D318,素材!$1:$1016,COLUMN($F$1),FALSE))),VLOOKUP($C318,武器!$1:$998,COLUMN($O$1),FALSE)*VLOOKUP($D318,素材!$1:$1016,COLUMN($E$1),FALSE)/(LEN(VLOOKUP($D318,素材!$1:$1016,COLUMN($F$1),FALSE)) - LEN(SUBSTITUTE(VLOOKUP($D318,素材!$1:$1016,COLUMN($F$1),FALSE), "・", 0)) + 1), 0)</f>
        <v>0</v>
      </c>
      <c r="AO318">
        <f>IF(ISNUMBER(SEARCH(SUBSTITUTE(AO$1,RIGHT(AO$1,2),""),VLOOKUP($D318,素材!$1:$1016,COLUMN($F$1),FALSE))),VLOOKUP($C318,武器!$1:$998,COLUMN($O$1),FALSE)*VLOOKUP($D318,素材!$1:$1016,COLUMN($E$1),FALSE)/(LEN(VLOOKUP($D318,素材!$1:$1016,COLUMN($F$1),FALSE)) - LEN(SUBSTITUTE(VLOOKUP($D318,素材!$1:$1016,COLUMN($F$1),FALSE), "・", 0)) + 1), 0)</f>
        <v>0</v>
      </c>
      <c r="AP318">
        <f>IF(ISNUMBER(SEARCH(SUBSTITUTE(AP$1,RIGHT(AP$1,2),""),VLOOKUP($D318,素材!$1:$1016,COLUMN($F$1),FALSE))),VLOOKUP($C318,武器!$1:$998,COLUMN($O$1),FALSE)*VLOOKUP($D318,素材!$1:$1016,COLUMN($E$1),FALSE)/(LEN(VLOOKUP($D318,素材!$1:$1016,COLUMN($F$1),FALSE)) - LEN(SUBSTITUTE(VLOOKUP($D318,素材!$1:$1016,COLUMN($F$1),FALSE), "・", 0)) + 1), 0)</f>
        <v>0</v>
      </c>
      <c r="AQ318">
        <f>IF(ISNUMBER(SEARCH(SUBSTITUTE(AQ$1,RIGHT(AQ$1,2),""),VLOOKUP($D318,素材!$1:$1016,COLUMN($F$1),FALSE))),VLOOKUP($C318,武器!$1:$998,COLUMN($O$1),FALSE)*VLOOKUP($D318,素材!$1:$1016,COLUMN($E$1),FALSE)/(LEN(VLOOKUP($D318,素材!$1:$1016,COLUMN($F$1),FALSE)) - LEN(SUBSTITUTE(VLOOKUP($D318,素材!$1:$1016,COLUMN($F$1),FALSE), "・", 0)) + 1), 0)</f>
        <v>0</v>
      </c>
      <c r="AR318">
        <f>IF(ISNUMBER(SEARCH(SUBSTITUTE(AR$1,RIGHT(AR$1,2),""),VLOOKUP($D318,素材!$1:$1016,COLUMN($F$1),FALSE))),VLOOKUP($C318,武器!$1:$998,COLUMN($O$1),FALSE)*VLOOKUP($D318,素材!$1:$1016,COLUMN($E$1),FALSE)/(LEN(VLOOKUP($D318,素材!$1:$1016,COLUMN($F$1),FALSE)) - LEN(SUBSTITUTE(VLOOKUP($D318,素材!$1:$1016,COLUMN($F$1),FALSE), "・", 0)) + 1), 0)</f>
        <v>0</v>
      </c>
      <c r="AS318">
        <f>IF(ISNUMBER(SEARCH(SUBSTITUTE(AS$1,RIGHT(AS$1,2),""),VLOOKUP($D318,素材!$1:$1016,COLUMN($F$1),FALSE))),VLOOKUP($C318,武器!$1:$998,COLUMN($O$1),FALSE)*VLOOKUP($D318,素材!$1:$1016,COLUMN($E$1),FALSE)/(LEN(VLOOKUP($D318,素材!$1:$1016,COLUMN($F$1),FALSE)) - LEN(SUBSTITUTE(VLOOKUP($D318,素材!$1:$1016,COLUMN($F$1),FALSE), "・", 0)) + 1), 0)</f>
        <v>0</v>
      </c>
      <c r="AT318">
        <f>IF(ISNUMBER(SEARCH(SUBSTITUTE(AT$1,RIGHT(AT$1,2),""),VLOOKUP($D318,素材!$1:$1016,COLUMN($F$1),FALSE))),VLOOKUP($C318,武器!$1:$998,COLUMN($O$1),FALSE)*VLOOKUP($D318,素材!$1:$1016,COLUMN($E$1),FALSE)/(LEN(VLOOKUP($D318,素材!$1:$1016,COLUMN($F$1),FALSE)) - LEN(SUBSTITUTE(VLOOKUP($D318,素材!$1:$1016,COLUMN($F$1),FALSE), "・", 0)) + 1), 0)</f>
        <v>0</v>
      </c>
      <c r="AU318">
        <f>IF(ISNUMBER(SEARCH(SUBSTITUTE(AU$1,RIGHT(AU$1,2),""),VLOOKUP($D318,素材!$1:$1016,COLUMN($F$1),FALSE))),VLOOKUP($C318,武器!$1:$998,COLUMN($O$1),FALSE)*VLOOKUP($D318,素材!$1:$1016,COLUMN($E$1),FALSE)/(LEN(VLOOKUP($D318,素材!$1:$1016,COLUMN($F$1),FALSE)) - LEN(SUBSTITUTE(VLOOKUP($D318,素材!$1:$1016,COLUMN($F$1),FALSE), "・", 0)) + 1), 0)</f>
        <v>0</v>
      </c>
      <c r="AV318">
        <f>IF(ISNUMBER(SEARCH(SUBSTITUTE(AV$1,RIGHT(AV$1,2),""),VLOOKUP($D318,素材!$1:$1016,COLUMN($F$1),FALSE))),VLOOKUP($C318,武器!$1:$998,COLUMN($O$1),FALSE)*VLOOKUP($D318,素材!$1:$1016,COLUMN($E$1),FALSE)/(LEN(VLOOKUP($D318,素材!$1:$1016,COLUMN($F$1),FALSE)) - LEN(SUBSTITUTE(VLOOKUP($D318,素材!$1:$1016,COLUMN($F$1),FALSE), "・", 0)) + 1), 0)</f>
        <v>0</v>
      </c>
      <c r="AW318">
        <f>IF(ISNUMBER(SEARCH(SUBSTITUTE(AW$1,RIGHT(AW$1,2),""),VLOOKUP($D318,素材!$1:$1016,COLUMN($F$1),FALSE))),VLOOKUP($C318,武器!$1:$998,COLUMN($O$1),FALSE)*VLOOKUP($D318,素材!$1:$1016,COLUMN($E$1),FALSE)/(LEN(VLOOKUP($D318,素材!$1:$1016,COLUMN($F$1),FALSE)) - LEN(SUBSTITUTE(VLOOKUP($D318,素材!$1:$1016,COLUMN($F$1),FALSE), "・", 0)) + 1), 0)</f>
        <v>0</v>
      </c>
      <c r="AX318">
        <f>IF(ISNUMBER(SEARCH(SUBSTITUTE(AX$1,RIGHT(AX$1,2),""),VLOOKUP($D318,素材!$1:$1016,COLUMN($F$1),FALSE))),VLOOKUP($C318,武器!$1:$998,COLUMN($O$1),FALSE)*VLOOKUP($D318,素材!$1:$1016,COLUMN($E$1),FALSE)/(LEN(VLOOKUP($D318,素材!$1:$1016,COLUMN($F$1),FALSE)) - LEN(SUBSTITUTE(VLOOKUP($D318,素材!$1:$1016,COLUMN($F$1),FALSE), "・", 0)) + 1), 0)</f>
        <v>0</v>
      </c>
      <c r="AY318">
        <f>IF(ISNUMBER(SEARCH(SUBSTITUTE(AY$1,RIGHT(AY$1,2),""),VLOOKUP($D318,素材!$1:$1016,COLUMN($F$1),FALSE))),VLOOKUP($C318,武器!$1:$998,COLUMN($O$1),FALSE)*VLOOKUP($D318,素材!$1:$1016,COLUMN($E$1),FALSE)/(LEN(VLOOKUP($D318,素材!$1:$1016,COLUMN($F$1),FALSE)) - LEN(SUBSTITUTE(VLOOKUP($D318,素材!$1:$1016,COLUMN($F$1),FALSE), "・", 0)) + 1), 0)</f>
        <v>0</v>
      </c>
      <c r="AZ318">
        <f>IF(ISNUMBER(SEARCH(SUBSTITUTE(AZ$1,RIGHT(AZ$1,2),""),VLOOKUP($D318,素材!$1:$1016,COLUMN($F$1),FALSE))),VLOOKUP($C318,武器!$1:$998,COLUMN($O$1),FALSE)*VLOOKUP($D318,素材!$1:$1016,COLUMN($E$1),FALSE)/(LEN(VLOOKUP($D318,素材!$1:$1016,COLUMN($F$1),FALSE)) - LEN(SUBSTITUTE(VLOOKUP($D318,素材!$1:$1016,COLUMN($F$1),FALSE), "・", 0)) + 1), 0)</f>
        <v>0</v>
      </c>
      <c r="BA318">
        <f>IF(ISNUMBER(SEARCH(SUBSTITUTE(BA$1,RIGHT(BA$1,2),""),VLOOKUP($D318,素材!$1:$1016,COLUMN($F$1),FALSE))),VLOOKUP($C318,武器!$1:$998,COLUMN($O$1),FALSE)*VLOOKUP($D318,素材!$1:$1016,COLUMN($E$1),FALSE)/(LEN(VLOOKUP($D318,素材!$1:$1016,COLUMN($F$1),FALSE)) - LEN(SUBSTITUTE(VLOOKUP($D318,素材!$1:$1016,COLUMN($F$1),FALSE), "・", 0)) + 1), 0)</f>
        <v>0</v>
      </c>
      <c r="BB318">
        <f>IF(ISNUMBER(SEARCH(SUBSTITUTE(BB$1,RIGHT(BB$1,2),""),VLOOKUP($D318,素材!$1:$1016,COLUMN($F$1),FALSE))),VLOOKUP($C318,武器!$1:$998,COLUMN($O$1),FALSE)*VLOOKUP($D318,素材!$1:$1016,COLUMN($E$1),FALSE)/(LEN(VLOOKUP($D318,素材!$1:$1016,COLUMN($F$1),FALSE)) - LEN(SUBSTITUTE(VLOOKUP($D318,素材!$1:$1016,COLUMN($F$1),FALSE), "・", 0)) + 1), 0)</f>
        <v>0</v>
      </c>
      <c r="BC318">
        <f>IF(ISNUMBER(SEARCH(SUBSTITUTE(BC$1,RIGHT(BC$1,2),""),VLOOKUP($D318,素材!$1:$1016,COLUMN($F$1),FALSE))),VLOOKUP($C318,武器!$1:$998,COLUMN($O$1),FALSE)*VLOOKUP($D318,素材!$1:$1016,COLUMN($E$1),FALSE)/(LEN(VLOOKUP($D318,素材!$1:$1016,COLUMN($F$1),FALSE)) - LEN(SUBSTITUTE(VLOOKUP($D318,素材!$1:$1016,COLUMN($F$1),FALSE), "・", 0)) + 1), 0)</f>
        <v>0</v>
      </c>
      <c r="BD318">
        <f>IF(ISNUMBER(SEARCH(SUBSTITUTE(BD$1,RIGHT(BD$1,2),""),VLOOKUP($D318,素材!$1:$1016,COLUMN($F$1),FALSE))),VLOOKUP($C318,武器!$1:$998,COLUMN($O$1),FALSE)*VLOOKUP($D318,素材!$1:$1016,COLUMN($E$1),FALSE)/(LEN(VLOOKUP($D318,素材!$1:$1016,COLUMN($F$1),FALSE)) - LEN(SUBSTITUTE(VLOOKUP($D318,素材!$1:$1016,COLUMN($F$1),FALSE), "・", 0)) + 1), 0)</f>
        <v>0</v>
      </c>
      <c r="BE318">
        <f>IF(ISNUMBER(SEARCH(SUBSTITUTE(BE$1,RIGHT(BE$1,2),""),VLOOKUP($D318,素材!$1:$1016,COLUMN($F$1),FALSE))),VLOOKUP($C318,武器!$1:$998,COLUMN($O$1),FALSE)*VLOOKUP($D318,素材!$1:$1016,COLUMN($E$1),FALSE)/(LEN(VLOOKUP($D318,素材!$1:$1016,COLUMN($F$1),FALSE)) - LEN(SUBSTITUTE(VLOOKUP($D318,素材!$1:$1016,COLUMN($F$1),FALSE), "・", 0)) + 1), 0)</f>
        <v>0</v>
      </c>
      <c r="CL318">
        <f>SUM(G318:I318)</f>
        <v>0</v>
      </c>
      <c r="CM318" s="22" t="str">
        <f>IF(E318="武器",IF(J318-1&gt;SUM(G318:I318),"盾",IF(MAX(G318:I318)=G318,"切断",IF(MAX(G318:I318)=H318,"貫通",IF(MAX(G318:I318)=I318,"打撃","射撃")))),E318)&amp;".webp"</f>
        <v>.webp</v>
      </c>
      <c r="CN318" t="str">
        <f>IFERROR(VLOOKUP($C318,武器!$1:$998,COLUMN(V$1),FALSE)*VLOOKUP($D318,素材!$1:$1016,COLUMN(N$1),FALSE)+IF(CI318="",0,VLOOKUP($CI318,装強!$1:$1008,COLUMN($CK$1),FALSE)),"")</f>
        <v/>
      </c>
      <c r="CO318" t="e">
        <f>VLOOKUP(D318,素材!$A:$O,COLUMN(素材!O$1),FALSE)</f>
        <v>#N/A</v>
      </c>
      <c r="CP318" t="e">
        <f>VLOOKUP(C318,武器!$A:$W,COLUMN(武器!W$1),FALSE)</f>
        <v>#N/A</v>
      </c>
      <c r="CR318" t="str">
        <f t="shared" si="33"/>
        <v>e_318</v>
      </c>
      <c r="CS318" t="e">
        <f t="shared" si="34"/>
        <v>#VALUE!</v>
      </c>
    </row>
    <row r="319" spans="1:97" hidden="1" outlineLevel="1" x14ac:dyDescent="0.4">
      <c r="A319" t="str">
        <f>IF(CI319="",D319&amp;"の"&amp;C319,CI319&amp;"の"&amp;C319)</f>
        <v>の</v>
      </c>
      <c r="B319" t="str">
        <f>IFERROR(IF(CI319="",VLOOKUP($D319,素材!$1:$1016,COLUMN($B$1),FALSE)&amp;"・"&amp;VLOOKUP($C319,武器!$1:$998,COLUMN(B$1),FALSE),VLOOKUP($CI319,装強!$1:$1008,COLUMN($B$1),FALSE)&amp;"・"&amp;VLOOKUP($C319,武器!$1:$998,COLUMN(B$1),FALSE)),"")</f>
        <v/>
      </c>
      <c r="C319" s="24"/>
      <c r="D319" s="24"/>
      <c r="E319" t="str">
        <f>IFERROR(VLOOKUP(C319,武器!$1:$998,COLUMN(C$1),FALSE),"")</f>
        <v/>
      </c>
      <c r="F319" t="str">
        <f>IFERROR(ROUNDDOWN((VLOOKUP($C319,武器!$1:$998,COLUMN(D$1),FALSE)+IFERROR(VLOOKUP($CI319,装強!$1:$999,COLUMN(F$1),FALSE),0))*VLOOKUP($D319,素材!$1:$1016,COLUMN(D$1),FALSE),0),"")</f>
        <v/>
      </c>
      <c r="G319" t="str">
        <f>IFERROR(ROUNDDOWN((VLOOKUP($C319,武器!$1:$998,COLUMN(E$1),FALSE)+IFERROR(VLOOKUP($CI319,装強!$1:$999,COLUMN(G$1),FALSE),0))*VLOOKUP($D319,素材!$1:$1016,COLUMN($E$1),FALSE),0),"")</f>
        <v/>
      </c>
      <c r="H319" t="str">
        <f>IFERROR(ROUNDDOWN((VLOOKUP($C319,武器!$1:$998,COLUMN(F$1),FALSE)+IFERROR(VLOOKUP($CI319,装強!$1:$999,COLUMN(H$1),FALSE),0))*VLOOKUP($D319,素材!$1:$1016,COLUMN($E$1),FALSE),0),"")</f>
        <v/>
      </c>
      <c r="I319" t="str">
        <f>IFERROR(ROUNDDOWN((VLOOKUP($C319,武器!$1:$998,COLUMN(G$1),FALSE)+IFERROR(VLOOKUP($CI319,装強!$1:$999,COLUMN(I$1),FALSE),0))*VLOOKUP($D319,素材!$1:$1016,COLUMN($E$1),FALSE),0),"")</f>
        <v/>
      </c>
      <c r="J319" t="str">
        <f>IFERROR(ROUNDDOWN((VLOOKUP($C319,武器!$1:$998,COLUMN(H$1),FALSE)+IFERROR(VLOOKUP($CI319,装強!$1:$999,COLUMN(J$1),FALSE),0))*VLOOKUP($D319,素材!$1:$1016,COLUMN($E$1),FALSE),0),"")</f>
        <v/>
      </c>
      <c r="K319" t="str">
        <f>IFERROR(ROUNDDOWN((VLOOKUP($C319,武器!$1:$998,COLUMN(I$1),FALSE)+IFERROR(VLOOKUP($CI319,装強!$1:$999,COLUMN(K$1),FALSE),0))*VLOOKUP($D319,素材!$1:$1016,COLUMN($E$1),FALSE),0),"")</f>
        <v/>
      </c>
      <c r="L319" t="str">
        <f>IFERROR(VLOOKUP($D319,素材!$1:$1016,COLUMN($F$1),FALSE),"")</f>
        <v/>
      </c>
      <c r="M319" t="str">
        <f>IFERROR(VLOOKUP($C319,武器!$1:$998,COLUMN(AA$1),FALSE)*VLOOKUP($D319,素材!$1:$1016,COLUMN($G$1),FALSE),"")</f>
        <v/>
      </c>
      <c r="N319" t="str">
        <f>IFERROR(VLOOKUP($C319,武器!$1:$998,COLUMN(I$1),FALSE),"")</f>
        <v/>
      </c>
      <c r="O319" s="23" t="str">
        <f>IFERROR((VLOOKUP($C319,武器!$1:$998,COLUMN(K$1),FALSE)+VLOOKUP($D319,素材!$1:$1016,COLUMN(H$1),FALSE))*100+IFERROR(VLOOKUP($CI319,装強!$1:$999,COLUMN(O$1),FALSE),0),"")</f>
        <v/>
      </c>
      <c r="P319" s="23" t="str">
        <f>IFERROR((VLOOKUP($C319,武器!$1:$998,COLUMN(L$1),FALSE)+VLOOKUP($D319,素材!$1:$1016,COLUMN(I$1),FALSE))*100+IFERROR(VLOOKUP($CI319,装強!$1:$999,COLUMN(P$1),FALSE),0),"")</f>
        <v/>
      </c>
      <c r="Q319" t="str">
        <f>IFERROR(ROUNDUP(VLOOKUP($C319,武器!$1:$998,COLUMN(M$1),FALSE)*(VLOOKUP($D319,素材!$1:$1002,COLUMN(D$1),FALSE)/100),1),"")</f>
        <v/>
      </c>
      <c r="R319" t="str">
        <f>IFERROR(ROUNDUP(VLOOKUP($C319,武器!$1:$998,COLUMN(N$1),FALSE)*(VLOOKUP($D319,素材!$1:$1002,COLUMN(D$1),FALSE)/100),1),"")</f>
        <v/>
      </c>
      <c r="S319" t="str">
        <f>IFERROR(VLOOKUP($C319,武器!$1:$998,COLUMN(P$1),FALSE),"")</f>
        <v/>
      </c>
      <c r="T319" t="str">
        <f>IFERROR(VLOOKUP($C319,武器!$1:$998,COLUMN(Q$1),FALSE),"")</f>
        <v/>
      </c>
      <c r="U319" t="str">
        <f>IFERROR(VLOOKUP($C319,武器!$1:$998,COLUMN(R$1),FALSE),"")</f>
        <v/>
      </c>
      <c r="V319" t="str">
        <f>IFERROR(VLOOKUP($C319,武器!$1:$998,COLUMN(Q$1),FALSE),"")</f>
        <v/>
      </c>
      <c r="W319" t="str">
        <f>IFERROR(VLOOKUP($C319,武器!$1:$998,COLUMN(T$1),FALSE),"")</f>
        <v/>
      </c>
      <c r="Y319" t="str">
        <f>IFERROR(VLOOKUP($C319,武器!$1:$998,COLUMN(U$1),FALSE),"")</f>
        <v/>
      </c>
      <c r="Z319" t="str">
        <f>IFERROR(ROUNDUP(VLOOKUP($C319,武器!$1:$998,COLUMN(O$1),FALSE)*VLOOKUP($D319,素材!$1:$1016,COLUMN(E$1),FALSE),1),"")</f>
        <v/>
      </c>
      <c r="AA319">
        <f>IF(ISNUMBER(SEARCH(SUBSTITUTE(AA$1,RIGHT(AA$1,2),""),VLOOKUP($D319,素材!$1:$1016,COLUMN($F$1),FALSE))),VLOOKUP($C319,武器!$1:$998,COLUMN($O$1),FALSE)*VLOOKUP($D319,素材!$1:$1016,COLUMN($E$1),FALSE)/(LEN(VLOOKUP($D319,素材!$1:$1016,COLUMN($F$1),FALSE)) - LEN(SUBSTITUTE(VLOOKUP($D319,素材!$1:$1016,COLUMN($F$1),FALSE), "・", 0)) + 1), 0)</f>
        <v>0</v>
      </c>
      <c r="AB319">
        <f>IF(ISNUMBER(SEARCH(SUBSTITUTE(AB$1,RIGHT(AB$1,2),""),VLOOKUP($D319,素材!$1:$1016,COLUMN($F$1),FALSE))),VLOOKUP($C319,武器!$1:$998,COLUMN($O$1),FALSE)*VLOOKUP($D319,素材!$1:$1016,COLUMN($E$1),FALSE)/(LEN(VLOOKUP($D319,素材!$1:$1016,COLUMN($F$1),FALSE)) - LEN(SUBSTITUTE(VLOOKUP($D319,素材!$1:$1016,COLUMN($F$1),FALSE), "・", 0)) + 1), 0)</f>
        <v>0</v>
      </c>
      <c r="AC319">
        <f>IF(ISNUMBER(SEARCH(SUBSTITUTE(AC$1,RIGHT(AC$1,2),""),VLOOKUP($D319,素材!$1:$1016,COLUMN($F$1),FALSE))),VLOOKUP($C319,武器!$1:$998,COLUMN($O$1),FALSE)*VLOOKUP($D319,素材!$1:$1016,COLUMN($E$1),FALSE)/(LEN(VLOOKUP($D319,素材!$1:$1016,COLUMN($F$1),FALSE)) - LEN(SUBSTITUTE(VLOOKUP($D319,素材!$1:$1016,COLUMN($F$1),FALSE), "・", 0)) + 1), 0)</f>
        <v>0</v>
      </c>
      <c r="AD319">
        <f>IF(ISNUMBER(SEARCH(SUBSTITUTE(AD$1,RIGHT(AD$1,2),""),VLOOKUP($D319,素材!$1:$1016,COLUMN($F$1),FALSE))),VLOOKUP($C319,武器!$1:$998,COLUMN($O$1),FALSE)*VLOOKUP($D319,素材!$1:$1016,COLUMN($E$1),FALSE)/(LEN(VLOOKUP($D319,素材!$1:$1016,COLUMN($F$1),FALSE)) - LEN(SUBSTITUTE(VLOOKUP($D319,素材!$1:$1016,COLUMN($F$1),FALSE), "・", 0)) + 1), 0)</f>
        <v>0</v>
      </c>
      <c r="AE319">
        <f>IF(ISNUMBER(SEARCH(SUBSTITUTE(AE$1,RIGHT(AE$1,2),""),VLOOKUP($D319,素材!$1:$1016,COLUMN($F$1),FALSE))),VLOOKUP($C319,武器!$1:$998,COLUMN($O$1),FALSE)*VLOOKUP($D319,素材!$1:$1016,COLUMN($E$1),FALSE)/(LEN(VLOOKUP($D319,素材!$1:$1016,COLUMN($F$1),FALSE)) - LEN(SUBSTITUTE(VLOOKUP($D319,素材!$1:$1016,COLUMN($F$1),FALSE), "・", 0)) + 1), 0)</f>
        <v>0</v>
      </c>
      <c r="AF319">
        <f>IF(ISNUMBER(SEARCH(SUBSTITUTE(AF$1,RIGHT(AF$1,2),""),VLOOKUP($D319,素材!$1:$1016,COLUMN($F$1),FALSE))),VLOOKUP($C319,武器!$1:$998,COLUMN($O$1),FALSE)*VLOOKUP($D319,素材!$1:$1016,COLUMN($E$1),FALSE)/(LEN(VLOOKUP($D319,素材!$1:$1016,COLUMN($F$1),FALSE)) - LEN(SUBSTITUTE(VLOOKUP($D319,素材!$1:$1016,COLUMN($F$1),FALSE), "・", 0)) + 1), 0)</f>
        <v>0</v>
      </c>
      <c r="AG319">
        <f>IF(ISNUMBER(SEARCH(SUBSTITUTE(AG$1,RIGHT(AG$1,2),""),VLOOKUP($D319,素材!$1:$1016,COLUMN($F$1),FALSE))),VLOOKUP($C319,武器!$1:$998,COLUMN($O$1),FALSE)*VLOOKUP($D319,素材!$1:$1016,COLUMN($E$1),FALSE)/(LEN(VLOOKUP($D319,素材!$1:$1016,COLUMN($F$1),FALSE)) - LEN(SUBSTITUTE(VLOOKUP($D319,素材!$1:$1016,COLUMN($F$1),FALSE), "・", 0)) + 1), 0)</f>
        <v>0</v>
      </c>
      <c r="AH319">
        <f>IF(ISNUMBER(SEARCH(SUBSTITUTE(AH$1,RIGHT(AH$1,2),""),VLOOKUP($D319,素材!$1:$1016,COLUMN($F$1),FALSE))),VLOOKUP($C319,武器!$1:$998,COLUMN($O$1),FALSE)*VLOOKUP($D319,素材!$1:$1016,COLUMN($E$1),FALSE)/(LEN(VLOOKUP($D319,素材!$1:$1016,COLUMN($F$1),FALSE)) - LEN(SUBSTITUTE(VLOOKUP($D319,素材!$1:$1016,COLUMN($F$1),FALSE), "・", 0)) + 1), 0)</f>
        <v>0</v>
      </c>
      <c r="AI319">
        <f>IF(ISNUMBER(SEARCH(SUBSTITUTE(AI$1,RIGHT(AI$1,2),""),VLOOKUP($D319,素材!$1:$1016,COLUMN($F$1),FALSE))),VLOOKUP($C319,武器!$1:$998,COLUMN($O$1),FALSE)*VLOOKUP($D319,素材!$1:$1016,COLUMN($E$1),FALSE)/(LEN(VLOOKUP($D319,素材!$1:$1016,COLUMN($F$1),FALSE)) - LEN(SUBSTITUTE(VLOOKUP($D319,素材!$1:$1016,COLUMN($F$1),FALSE), "・", 0)) + 1), 0)</f>
        <v>0</v>
      </c>
      <c r="AJ319">
        <f>IF(ISNUMBER(SEARCH(SUBSTITUTE(AJ$1,RIGHT(AJ$1,2),""),VLOOKUP($D319,素材!$1:$1016,COLUMN($F$1),FALSE))),VLOOKUP($C319,武器!$1:$998,COLUMN($O$1),FALSE)*VLOOKUP($D319,素材!$1:$1016,COLUMN($E$1),FALSE)/(LEN(VLOOKUP($D319,素材!$1:$1016,COLUMN($F$1),FALSE)) - LEN(SUBSTITUTE(VLOOKUP($D319,素材!$1:$1016,COLUMN($F$1),FALSE), "・", 0)) + 1), 0)</f>
        <v>0</v>
      </c>
      <c r="AK319">
        <f>IF(ISNUMBER(SEARCH(SUBSTITUTE(AK$1,RIGHT(AK$1,2),""),VLOOKUP($D319,素材!$1:$1016,COLUMN($F$1),FALSE))),VLOOKUP($C319,武器!$1:$998,COLUMN($O$1),FALSE)*VLOOKUP($D319,素材!$1:$1016,COLUMN($E$1),FALSE)/(LEN(VLOOKUP($D319,素材!$1:$1016,COLUMN($F$1),FALSE)) - LEN(SUBSTITUTE(VLOOKUP($D319,素材!$1:$1016,COLUMN($F$1),FALSE), "・", 0)) + 1), 0)</f>
        <v>0</v>
      </c>
      <c r="AL319">
        <f>IF(ISNUMBER(SEARCH(SUBSTITUTE(AL$1,RIGHT(AL$1,2),""),VLOOKUP($D319,素材!$1:$1016,COLUMN($F$1),FALSE))),VLOOKUP($C319,武器!$1:$998,COLUMN($O$1),FALSE)*VLOOKUP($D319,素材!$1:$1016,COLUMN($E$1),FALSE)/(LEN(VLOOKUP($D319,素材!$1:$1016,COLUMN($F$1),FALSE)) - LEN(SUBSTITUTE(VLOOKUP($D319,素材!$1:$1016,COLUMN($F$1),FALSE), "・", 0)) + 1), 0)</f>
        <v>0</v>
      </c>
      <c r="AM319">
        <f>IF(ISNUMBER(SEARCH(SUBSTITUTE(AM$1,RIGHT(AM$1,2),""),VLOOKUP($D319,素材!$1:$1016,COLUMN($F$1),FALSE))),VLOOKUP($C319,武器!$1:$998,COLUMN($O$1),FALSE)*VLOOKUP($D319,素材!$1:$1016,COLUMN($E$1),FALSE)/(LEN(VLOOKUP($D319,素材!$1:$1016,COLUMN($F$1),FALSE)) - LEN(SUBSTITUTE(VLOOKUP($D319,素材!$1:$1016,COLUMN($F$1),FALSE), "・", 0)) + 1), 0)</f>
        <v>0</v>
      </c>
      <c r="AN319">
        <f>IF(ISNUMBER(SEARCH(SUBSTITUTE(AN$1,RIGHT(AN$1,2),""),VLOOKUP($D319,素材!$1:$1016,COLUMN($F$1),FALSE))),VLOOKUP($C319,武器!$1:$998,COLUMN($O$1),FALSE)*VLOOKUP($D319,素材!$1:$1016,COLUMN($E$1),FALSE)/(LEN(VLOOKUP($D319,素材!$1:$1016,COLUMN($F$1),FALSE)) - LEN(SUBSTITUTE(VLOOKUP($D319,素材!$1:$1016,COLUMN($F$1),FALSE), "・", 0)) + 1), 0)</f>
        <v>0</v>
      </c>
      <c r="AO319">
        <f>IF(ISNUMBER(SEARCH(SUBSTITUTE(AO$1,RIGHT(AO$1,2),""),VLOOKUP($D319,素材!$1:$1016,COLUMN($F$1),FALSE))),VLOOKUP($C319,武器!$1:$998,COLUMN($O$1),FALSE)*VLOOKUP($D319,素材!$1:$1016,COLUMN($E$1),FALSE)/(LEN(VLOOKUP($D319,素材!$1:$1016,COLUMN($F$1),FALSE)) - LEN(SUBSTITUTE(VLOOKUP($D319,素材!$1:$1016,COLUMN($F$1),FALSE), "・", 0)) + 1), 0)</f>
        <v>0</v>
      </c>
      <c r="AP319">
        <f>IF(ISNUMBER(SEARCH(SUBSTITUTE(AP$1,RIGHT(AP$1,2),""),VLOOKUP($D319,素材!$1:$1016,COLUMN($F$1),FALSE))),VLOOKUP($C319,武器!$1:$998,COLUMN($O$1),FALSE)*VLOOKUP($D319,素材!$1:$1016,COLUMN($E$1),FALSE)/(LEN(VLOOKUP($D319,素材!$1:$1016,COLUMN($F$1),FALSE)) - LEN(SUBSTITUTE(VLOOKUP($D319,素材!$1:$1016,COLUMN($F$1),FALSE), "・", 0)) + 1), 0)</f>
        <v>0</v>
      </c>
      <c r="AQ319">
        <f>IF(ISNUMBER(SEARCH(SUBSTITUTE(AQ$1,RIGHT(AQ$1,2),""),VLOOKUP($D319,素材!$1:$1016,COLUMN($F$1),FALSE))),VLOOKUP($C319,武器!$1:$998,COLUMN($O$1),FALSE)*VLOOKUP($D319,素材!$1:$1016,COLUMN($E$1),FALSE)/(LEN(VLOOKUP($D319,素材!$1:$1016,COLUMN($F$1),FALSE)) - LEN(SUBSTITUTE(VLOOKUP($D319,素材!$1:$1016,COLUMN($F$1),FALSE), "・", 0)) + 1), 0)</f>
        <v>0</v>
      </c>
      <c r="AR319">
        <f>IF(ISNUMBER(SEARCH(SUBSTITUTE(AR$1,RIGHT(AR$1,2),""),VLOOKUP($D319,素材!$1:$1016,COLUMN($F$1),FALSE))),VLOOKUP($C319,武器!$1:$998,COLUMN($O$1),FALSE)*VLOOKUP($D319,素材!$1:$1016,COLUMN($E$1),FALSE)/(LEN(VLOOKUP($D319,素材!$1:$1016,COLUMN($F$1),FALSE)) - LEN(SUBSTITUTE(VLOOKUP($D319,素材!$1:$1016,COLUMN($F$1),FALSE), "・", 0)) + 1), 0)</f>
        <v>0</v>
      </c>
      <c r="AS319">
        <f>IF(ISNUMBER(SEARCH(SUBSTITUTE(AS$1,RIGHT(AS$1,2),""),VLOOKUP($D319,素材!$1:$1016,COLUMN($F$1),FALSE))),VLOOKUP($C319,武器!$1:$998,COLUMN($O$1),FALSE)*VLOOKUP($D319,素材!$1:$1016,COLUMN($E$1),FALSE)/(LEN(VLOOKUP($D319,素材!$1:$1016,COLUMN($F$1),FALSE)) - LEN(SUBSTITUTE(VLOOKUP($D319,素材!$1:$1016,COLUMN($F$1),FALSE), "・", 0)) + 1), 0)</f>
        <v>0</v>
      </c>
      <c r="AT319">
        <f>IF(ISNUMBER(SEARCH(SUBSTITUTE(AT$1,RIGHT(AT$1,2),""),VLOOKUP($D319,素材!$1:$1016,COLUMN($F$1),FALSE))),VLOOKUP($C319,武器!$1:$998,COLUMN($O$1),FALSE)*VLOOKUP($D319,素材!$1:$1016,COLUMN($E$1),FALSE)/(LEN(VLOOKUP($D319,素材!$1:$1016,COLUMN($F$1),FALSE)) - LEN(SUBSTITUTE(VLOOKUP($D319,素材!$1:$1016,COLUMN($F$1),FALSE), "・", 0)) + 1), 0)</f>
        <v>0</v>
      </c>
      <c r="AU319">
        <f>IF(ISNUMBER(SEARCH(SUBSTITUTE(AU$1,RIGHT(AU$1,2),""),VLOOKUP($D319,素材!$1:$1016,COLUMN($F$1),FALSE))),VLOOKUP($C319,武器!$1:$998,COLUMN($O$1),FALSE)*VLOOKUP($D319,素材!$1:$1016,COLUMN($E$1),FALSE)/(LEN(VLOOKUP($D319,素材!$1:$1016,COLUMN($F$1),FALSE)) - LEN(SUBSTITUTE(VLOOKUP($D319,素材!$1:$1016,COLUMN($F$1),FALSE), "・", 0)) + 1), 0)</f>
        <v>0</v>
      </c>
      <c r="AV319">
        <f>IF(ISNUMBER(SEARCH(SUBSTITUTE(AV$1,RIGHT(AV$1,2),""),VLOOKUP($D319,素材!$1:$1016,COLUMN($F$1),FALSE))),VLOOKUP($C319,武器!$1:$998,COLUMN($O$1),FALSE)*VLOOKUP($D319,素材!$1:$1016,COLUMN($E$1),FALSE)/(LEN(VLOOKUP($D319,素材!$1:$1016,COLUMN($F$1),FALSE)) - LEN(SUBSTITUTE(VLOOKUP($D319,素材!$1:$1016,COLUMN($F$1),FALSE), "・", 0)) + 1), 0)</f>
        <v>0</v>
      </c>
      <c r="AW319">
        <f>IF(ISNUMBER(SEARCH(SUBSTITUTE(AW$1,RIGHT(AW$1,2),""),VLOOKUP($D319,素材!$1:$1016,COLUMN($F$1),FALSE))),VLOOKUP($C319,武器!$1:$998,COLUMN($O$1),FALSE)*VLOOKUP($D319,素材!$1:$1016,COLUMN($E$1),FALSE)/(LEN(VLOOKUP($D319,素材!$1:$1016,COLUMN($F$1),FALSE)) - LEN(SUBSTITUTE(VLOOKUP($D319,素材!$1:$1016,COLUMN($F$1),FALSE), "・", 0)) + 1), 0)</f>
        <v>0</v>
      </c>
      <c r="AX319">
        <f>IF(ISNUMBER(SEARCH(SUBSTITUTE(AX$1,RIGHT(AX$1,2),""),VLOOKUP($D319,素材!$1:$1016,COLUMN($F$1),FALSE))),VLOOKUP($C319,武器!$1:$998,COLUMN($O$1),FALSE)*VLOOKUP($D319,素材!$1:$1016,COLUMN($E$1),FALSE)/(LEN(VLOOKUP($D319,素材!$1:$1016,COLUMN($F$1),FALSE)) - LEN(SUBSTITUTE(VLOOKUP($D319,素材!$1:$1016,COLUMN($F$1),FALSE), "・", 0)) + 1), 0)</f>
        <v>0</v>
      </c>
      <c r="AY319">
        <f>IF(ISNUMBER(SEARCH(SUBSTITUTE(AY$1,RIGHT(AY$1,2),""),VLOOKUP($D319,素材!$1:$1016,COLUMN($F$1),FALSE))),VLOOKUP($C319,武器!$1:$998,COLUMN($O$1),FALSE)*VLOOKUP($D319,素材!$1:$1016,COLUMN($E$1),FALSE)/(LEN(VLOOKUP($D319,素材!$1:$1016,COLUMN($F$1),FALSE)) - LEN(SUBSTITUTE(VLOOKUP($D319,素材!$1:$1016,COLUMN($F$1),FALSE), "・", 0)) + 1), 0)</f>
        <v>0</v>
      </c>
      <c r="AZ319">
        <f>IF(ISNUMBER(SEARCH(SUBSTITUTE(AZ$1,RIGHT(AZ$1,2),""),VLOOKUP($D319,素材!$1:$1016,COLUMN($F$1),FALSE))),VLOOKUP($C319,武器!$1:$998,COLUMN($O$1),FALSE)*VLOOKUP($D319,素材!$1:$1016,COLUMN($E$1),FALSE)/(LEN(VLOOKUP($D319,素材!$1:$1016,COLUMN($F$1),FALSE)) - LEN(SUBSTITUTE(VLOOKUP($D319,素材!$1:$1016,COLUMN($F$1),FALSE), "・", 0)) + 1), 0)</f>
        <v>0</v>
      </c>
      <c r="BA319">
        <f>IF(ISNUMBER(SEARCH(SUBSTITUTE(BA$1,RIGHT(BA$1,2),""),VLOOKUP($D319,素材!$1:$1016,COLUMN($F$1),FALSE))),VLOOKUP($C319,武器!$1:$998,COLUMN($O$1),FALSE)*VLOOKUP($D319,素材!$1:$1016,COLUMN($E$1),FALSE)/(LEN(VLOOKUP($D319,素材!$1:$1016,COLUMN($F$1),FALSE)) - LEN(SUBSTITUTE(VLOOKUP($D319,素材!$1:$1016,COLUMN($F$1),FALSE), "・", 0)) + 1), 0)</f>
        <v>0</v>
      </c>
      <c r="BB319">
        <f>IF(ISNUMBER(SEARCH(SUBSTITUTE(BB$1,RIGHT(BB$1,2),""),VLOOKUP($D319,素材!$1:$1016,COLUMN($F$1),FALSE))),VLOOKUP($C319,武器!$1:$998,COLUMN($O$1),FALSE)*VLOOKUP($D319,素材!$1:$1016,COLUMN($E$1),FALSE)/(LEN(VLOOKUP($D319,素材!$1:$1016,COLUMN($F$1),FALSE)) - LEN(SUBSTITUTE(VLOOKUP($D319,素材!$1:$1016,COLUMN($F$1),FALSE), "・", 0)) + 1), 0)</f>
        <v>0</v>
      </c>
      <c r="BC319">
        <f>IF(ISNUMBER(SEARCH(SUBSTITUTE(BC$1,RIGHT(BC$1,2),""),VLOOKUP($D319,素材!$1:$1016,COLUMN($F$1),FALSE))),VLOOKUP($C319,武器!$1:$998,COLUMN($O$1),FALSE)*VLOOKUP($D319,素材!$1:$1016,COLUMN($E$1),FALSE)/(LEN(VLOOKUP($D319,素材!$1:$1016,COLUMN($F$1),FALSE)) - LEN(SUBSTITUTE(VLOOKUP($D319,素材!$1:$1016,COLUMN($F$1),FALSE), "・", 0)) + 1), 0)</f>
        <v>0</v>
      </c>
      <c r="BD319">
        <f>IF(ISNUMBER(SEARCH(SUBSTITUTE(BD$1,RIGHT(BD$1,2),""),VLOOKUP($D319,素材!$1:$1016,COLUMN($F$1),FALSE))),VLOOKUP($C319,武器!$1:$998,COLUMN($O$1),FALSE)*VLOOKUP($D319,素材!$1:$1016,COLUMN($E$1),FALSE)/(LEN(VLOOKUP($D319,素材!$1:$1016,COLUMN($F$1),FALSE)) - LEN(SUBSTITUTE(VLOOKUP($D319,素材!$1:$1016,COLUMN($F$1),FALSE), "・", 0)) + 1), 0)</f>
        <v>0</v>
      </c>
      <c r="BE319">
        <f>IF(ISNUMBER(SEARCH(SUBSTITUTE(BE$1,RIGHT(BE$1,2),""),VLOOKUP($D319,素材!$1:$1016,COLUMN($F$1),FALSE))),VLOOKUP($C319,武器!$1:$998,COLUMN($O$1),FALSE)*VLOOKUP($D319,素材!$1:$1016,COLUMN($E$1),FALSE)/(LEN(VLOOKUP($D319,素材!$1:$1016,COLUMN($F$1),FALSE)) - LEN(SUBSTITUTE(VLOOKUP($D319,素材!$1:$1016,COLUMN($F$1),FALSE), "・", 0)) + 1), 0)</f>
        <v>0</v>
      </c>
      <c r="CL319">
        <f>SUM(G319:I319)</f>
        <v>0</v>
      </c>
      <c r="CM319" s="22" t="str">
        <f>IF(E319="武器",IF(J319-1&gt;SUM(G319:I319),"盾",IF(MAX(G319:I319)=G319,"切断",IF(MAX(G319:I319)=H319,"貫通",IF(MAX(G319:I319)=I319,"打撃","射撃")))),E319)&amp;".webp"</f>
        <v>.webp</v>
      </c>
      <c r="CN319" t="str">
        <f>IFERROR(VLOOKUP($C319,武器!$1:$998,COLUMN(V$1),FALSE)*VLOOKUP($D319,素材!$1:$1016,COLUMN(N$1),FALSE)+IF(CI319="",0,VLOOKUP($CI319,装強!$1:$1008,COLUMN($CK$1),FALSE)),"")</f>
        <v/>
      </c>
      <c r="CO319" t="e">
        <f>VLOOKUP(D319,素材!$A:$O,COLUMN(素材!O$1),FALSE)</f>
        <v>#N/A</v>
      </c>
      <c r="CP319" t="e">
        <f>VLOOKUP(C319,武器!$A:$W,COLUMN(武器!W$1),FALSE)</f>
        <v>#N/A</v>
      </c>
      <c r="CR319" t="str">
        <f t="shared" si="33"/>
        <v>e_319</v>
      </c>
      <c r="CS319" t="e">
        <f t="shared" si="34"/>
        <v>#VALUE!</v>
      </c>
    </row>
    <row r="320" spans="1:97" hidden="1" outlineLevel="1" x14ac:dyDescent="0.4">
      <c r="A320" t="str">
        <f>IF(CI320="",D320&amp;"の"&amp;C320,CI320&amp;"の"&amp;C320)</f>
        <v>の</v>
      </c>
      <c r="B320" t="str">
        <f>IFERROR(IF(CI320="",VLOOKUP($D320,素材!$1:$1016,COLUMN($B$1),FALSE)&amp;"・"&amp;VLOOKUP($C320,武器!$1:$998,COLUMN(B$1),FALSE),VLOOKUP($CI320,装強!$1:$1008,COLUMN($B$1),FALSE)&amp;"・"&amp;VLOOKUP($C320,武器!$1:$998,COLUMN(B$1),FALSE)),"")</f>
        <v/>
      </c>
      <c r="C320" s="24"/>
      <c r="D320" s="24"/>
      <c r="E320" t="str">
        <f>IFERROR(VLOOKUP(C320,武器!$1:$998,COLUMN(C$1),FALSE),"")</f>
        <v/>
      </c>
      <c r="F320" t="str">
        <f>IFERROR(ROUNDDOWN((VLOOKUP($C320,武器!$1:$998,COLUMN(D$1),FALSE)+IFERROR(VLOOKUP($CI320,装強!$1:$999,COLUMN(F$1),FALSE),0))*VLOOKUP($D320,素材!$1:$1016,COLUMN(D$1),FALSE),0),"")</f>
        <v/>
      </c>
      <c r="G320" t="str">
        <f>IFERROR(ROUNDDOWN((VLOOKUP($C320,武器!$1:$998,COLUMN(E$1),FALSE)+IFERROR(VLOOKUP($CI320,装強!$1:$999,COLUMN(G$1),FALSE),0))*VLOOKUP($D320,素材!$1:$1016,COLUMN($E$1),FALSE),0),"")</f>
        <v/>
      </c>
      <c r="H320" t="str">
        <f>IFERROR(ROUNDDOWN((VLOOKUP($C320,武器!$1:$998,COLUMN(F$1),FALSE)+IFERROR(VLOOKUP($CI320,装強!$1:$999,COLUMN(H$1),FALSE),0))*VLOOKUP($D320,素材!$1:$1016,COLUMN($E$1),FALSE),0),"")</f>
        <v/>
      </c>
      <c r="I320" t="str">
        <f>IFERROR(ROUNDDOWN((VLOOKUP($C320,武器!$1:$998,COLUMN(G$1),FALSE)+IFERROR(VLOOKUP($CI320,装強!$1:$999,COLUMN(I$1),FALSE),0))*VLOOKUP($D320,素材!$1:$1016,COLUMN($E$1),FALSE),0),"")</f>
        <v/>
      </c>
      <c r="J320" t="str">
        <f>IFERROR(ROUNDDOWN((VLOOKUP($C320,武器!$1:$998,COLUMN(H$1),FALSE)+IFERROR(VLOOKUP($CI320,装強!$1:$999,COLUMN(J$1),FALSE),0))*VLOOKUP($D320,素材!$1:$1016,COLUMN($E$1),FALSE),0),"")</f>
        <v/>
      </c>
      <c r="K320" t="str">
        <f>IFERROR(ROUNDDOWN((VLOOKUP($C320,武器!$1:$998,COLUMN(I$1),FALSE)+IFERROR(VLOOKUP($CI320,装強!$1:$999,COLUMN(K$1),FALSE),0))*VLOOKUP($D320,素材!$1:$1016,COLUMN($E$1),FALSE),0),"")</f>
        <v/>
      </c>
      <c r="L320" t="str">
        <f>IFERROR(VLOOKUP($D320,素材!$1:$1016,COLUMN($F$1),FALSE),"")</f>
        <v/>
      </c>
      <c r="M320" t="str">
        <f>IFERROR(VLOOKUP($C320,武器!$1:$998,COLUMN(AA$1),FALSE)*VLOOKUP($D320,素材!$1:$1016,COLUMN($G$1),FALSE),"")</f>
        <v/>
      </c>
      <c r="N320" t="str">
        <f>IFERROR(VLOOKUP($C320,武器!$1:$998,COLUMN(I$1),FALSE),"")</f>
        <v/>
      </c>
      <c r="O320" s="23" t="str">
        <f>IFERROR((VLOOKUP($C320,武器!$1:$998,COLUMN(K$1),FALSE)+VLOOKUP($D320,素材!$1:$1016,COLUMN(H$1),FALSE))*100+IFERROR(VLOOKUP($CI320,装強!$1:$999,COLUMN(O$1),FALSE),0),"")</f>
        <v/>
      </c>
      <c r="P320" s="23" t="str">
        <f>IFERROR((VLOOKUP($C320,武器!$1:$998,COLUMN(L$1),FALSE)+VLOOKUP($D320,素材!$1:$1016,COLUMN(I$1),FALSE))*100+IFERROR(VLOOKUP($CI320,装強!$1:$999,COLUMN(P$1),FALSE),0),"")</f>
        <v/>
      </c>
      <c r="Q320" t="str">
        <f>IFERROR(ROUNDUP(VLOOKUP($C320,武器!$1:$998,COLUMN(M$1),FALSE)*(VLOOKUP($D320,素材!$1:$1002,COLUMN(D$1),FALSE)/100),1),"")</f>
        <v/>
      </c>
      <c r="R320" t="str">
        <f>IFERROR(ROUNDUP(VLOOKUP($C320,武器!$1:$998,COLUMN(N$1),FALSE)*(VLOOKUP($D320,素材!$1:$1002,COLUMN(D$1),FALSE)/100),1),"")</f>
        <v/>
      </c>
      <c r="S320" t="str">
        <f>IFERROR(VLOOKUP($C320,武器!$1:$998,COLUMN(P$1),FALSE),"")</f>
        <v/>
      </c>
      <c r="T320" t="str">
        <f>IFERROR(VLOOKUP($C320,武器!$1:$998,COLUMN(Q$1),FALSE),"")</f>
        <v/>
      </c>
      <c r="U320" t="str">
        <f>IFERROR(VLOOKUP($C320,武器!$1:$998,COLUMN(R$1),FALSE),"")</f>
        <v/>
      </c>
      <c r="V320" t="str">
        <f>IFERROR(VLOOKUP($C320,武器!$1:$998,COLUMN(Q$1),FALSE),"")</f>
        <v/>
      </c>
      <c r="W320" t="str">
        <f>IFERROR(VLOOKUP($C320,武器!$1:$998,COLUMN(T$1),FALSE),"")</f>
        <v/>
      </c>
      <c r="Y320" t="str">
        <f>IFERROR(VLOOKUP($C320,武器!$1:$998,COLUMN(U$1),FALSE),"")</f>
        <v/>
      </c>
      <c r="Z320" t="str">
        <f>IFERROR(ROUNDUP(VLOOKUP($C320,武器!$1:$998,COLUMN(O$1),FALSE)*VLOOKUP($D320,素材!$1:$1016,COLUMN(E$1),FALSE),1),"")</f>
        <v/>
      </c>
      <c r="AA320">
        <f>IF(ISNUMBER(SEARCH(SUBSTITUTE(AA$1,RIGHT(AA$1,2),""),VLOOKUP($D320,素材!$1:$1016,COLUMN($F$1),FALSE))),VLOOKUP($C320,武器!$1:$998,COLUMN($O$1),FALSE)*VLOOKUP($D320,素材!$1:$1016,COLUMN($E$1),FALSE)/(LEN(VLOOKUP($D320,素材!$1:$1016,COLUMN($F$1),FALSE)) - LEN(SUBSTITUTE(VLOOKUP($D320,素材!$1:$1016,COLUMN($F$1),FALSE), "・", 0)) + 1), 0)</f>
        <v>0</v>
      </c>
      <c r="AB320">
        <f>IF(ISNUMBER(SEARCH(SUBSTITUTE(AB$1,RIGHT(AB$1,2),""),VLOOKUP($D320,素材!$1:$1016,COLUMN($F$1),FALSE))),VLOOKUP($C320,武器!$1:$998,COLUMN($O$1),FALSE)*VLOOKUP($D320,素材!$1:$1016,COLUMN($E$1),FALSE)/(LEN(VLOOKUP($D320,素材!$1:$1016,COLUMN($F$1),FALSE)) - LEN(SUBSTITUTE(VLOOKUP($D320,素材!$1:$1016,COLUMN($F$1),FALSE), "・", 0)) + 1), 0)</f>
        <v>0</v>
      </c>
      <c r="AC320">
        <f>IF(ISNUMBER(SEARCH(SUBSTITUTE(AC$1,RIGHT(AC$1,2),""),VLOOKUP($D320,素材!$1:$1016,COLUMN($F$1),FALSE))),VLOOKUP($C320,武器!$1:$998,COLUMN($O$1),FALSE)*VLOOKUP($D320,素材!$1:$1016,COLUMN($E$1),FALSE)/(LEN(VLOOKUP($D320,素材!$1:$1016,COLUMN($F$1),FALSE)) - LEN(SUBSTITUTE(VLOOKUP($D320,素材!$1:$1016,COLUMN($F$1),FALSE), "・", 0)) + 1), 0)</f>
        <v>0</v>
      </c>
      <c r="AD320">
        <f>IF(ISNUMBER(SEARCH(SUBSTITUTE(AD$1,RIGHT(AD$1,2),""),VLOOKUP($D320,素材!$1:$1016,COLUMN($F$1),FALSE))),VLOOKUP($C320,武器!$1:$998,COLUMN($O$1),FALSE)*VLOOKUP($D320,素材!$1:$1016,COLUMN($E$1),FALSE)/(LEN(VLOOKUP($D320,素材!$1:$1016,COLUMN($F$1),FALSE)) - LEN(SUBSTITUTE(VLOOKUP($D320,素材!$1:$1016,COLUMN($F$1),FALSE), "・", 0)) + 1), 0)</f>
        <v>0</v>
      </c>
      <c r="AE320">
        <f>IF(ISNUMBER(SEARCH(SUBSTITUTE(AE$1,RIGHT(AE$1,2),""),VLOOKUP($D320,素材!$1:$1016,COLUMN($F$1),FALSE))),VLOOKUP($C320,武器!$1:$998,COLUMN($O$1),FALSE)*VLOOKUP($D320,素材!$1:$1016,COLUMN($E$1),FALSE)/(LEN(VLOOKUP($D320,素材!$1:$1016,COLUMN($F$1),FALSE)) - LEN(SUBSTITUTE(VLOOKUP($D320,素材!$1:$1016,COLUMN($F$1),FALSE), "・", 0)) + 1), 0)</f>
        <v>0</v>
      </c>
      <c r="AF320">
        <f>IF(ISNUMBER(SEARCH(SUBSTITUTE(AF$1,RIGHT(AF$1,2),""),VLOOKUP($D320,素材!$1:$1016,COLUMN($F$1),FALSE))),VLOOKUP($C320,武器!$1:$998,COLUMN($O$1),FALSE)*VLOOKUP($D320,素材!$1:$1016,COLUMN($E$1),FALSE)/(LEN(VLOOKUP($D320,素材!$1:$1016,COLUMN($F$1),FALSE)) - LEN(SUBSTITUTE(VLOOKUP($D320,素材!$1:$1016,COLUMN($F$1),FALSE), "・", 0)) + 1), 0)</f>
        <v>0</v>
      </c>
      <c r="AG320">
        <f>IF(ISNUMBER(SEARCH(SUBSTITUTE(AG$1,RIGHT(AG$1,2),""),VLOOKUP($D320,素材!$1:$1016,COLUMN($F$1),FALSE))),VLOOKUP($C320,武器!$1:$998,COLUMN($O$1),FALSE)*VLOOKUP($D320,素材!$1:$1016,COLUMN($E$1),FALSE)/(LEN(VLOOKUP($D320,素材!$1:$1016,COLUMN($F$1),FALSE)) - LEN(SUBSTITUTE(VLOOKUP($D320,素材!$1:$1016,COLUMN($F$1),FALSE), "・", 0)) + 1), 0)</f>
        <v>0</v>
      </c>
      <c r="AH320">
        <f>IF(ISNUMBER(SEARCH(SUBSTITUTE(AH$1,RIGHT(AH$1,2),""),VLOOKUP($D320,素材!$1:$1016,COLUMN($F$1),FALSE))),VLOOKUP($C320,武器!$1:$998,COLUMN($O$1),FALSE)*VLOOKUP($D320,素材!$1:$1016,COLUMN($E$1),FALSE)/(LEN(VLOOKUP($D320,素材!$1:$1016,COLUMN($F$1),FALSE)) - LEN(SUBSTITUTE(VLOOKUP($D320,素材!$1:$1016,COLUMN($F$1),FALSE), "・", 0)) + 1), 0)</f>
        <v>0</v>
      </c>
      <c r="AI320">
        <f>IF(ISNUMBER(SEARCH(SUBSTITUTE(AI$1,RIGHT(AI$1,2),""),VLOOKUP($D320,素材!$1:$1016,COLUMN($F$1),FALSE))),VLOOKUP($C320,武器!$1:$998,COLUMN($O$1),FALSE)*VLOOKUP($D320,素材!$1:$1016,COLUMN($E$1),FALSE)/(LEN(VLOOKUP($D320,素材!$1:$1016,COLUMN($F$1),FALSE)) - LEN(SUBSTITUTE(VLOOKUP($D320,素材!$1:$1016,COLUMN($F$1),FALSE), "・", 0)) + 1), 0)</f>
        <v>0</v>
      </c>
      <c r="AJ320">
        <f>IF(ISNUMBER(SEARCH(SUBSTITUTE(AJ$1,RIGHT(AJ$1,2),""),VLOOKUP($D320,素材!$1:$1016,COLUMN($F$1),FALSE))),VLOOKUP($C320,武器!$1:$998,COLUMN($O$1),FALSE)*VLOOKUP($D320,素材!$1:$1016,COLUMN($E$1),FALSE)/(LEN(VLOOKUP($D320,素材!$1:$1016,COLUMN($F$1),FALSE)) - LEN(SUBSTITUTE(VLOOKUP($D320,素材!$1:$1016,COLUMN($F$1),FALSE), "・", 0)) + 1), 0)</f>
        <v>0</v>
      </c>
      <c r="AK320">
        <f>IF(ISNUMBER(SEARCH(SUBSTITUTE(AK$1,RIGHT(AK$1,2),""),VLOOKUP($D320,素材!$1:$1016,COLUMN($F$1),FALSE))),VLOOKUP($C320,武器!$1:$998,COLUMN($O$1),FALSE)*VLOOKUP($D320,素材!$1:$1016,COLUMN($E$1),FALSE)/(LEN(VLOOKUP($D320,素材!$1:$1016,COLUMN($F$1),FALSE)) - LEN(SUBSTITUTE(VLOOKUP($D320,素材!$1:$1016,COLUMN($F$1),FALSE), "・", 0)) + 1), 0)</f>
        <v>0</v>
      </c>
      <c r="AL320">
        <f>IF(ISNUMBER(SEARCH(SUBSTITUTE(AL$1,RIGHT(AL$1,2),""),VLOOKUP($D320,素材!$1:$1016,COLUMN($F$1),FALSE))),VLOOKUP($C320,武器!$1:$998,COLUMN($O$1),FALSE)*VLOOKUP($D320,素材!$1:$1016,COLUMN($E$1),FALSE)/(LEN(VLOOKUP($D320,素材!$1:$1016,COLUMN($F$1),FALSE)) - LEN(SUBSTITUTE(VLOOKUP($D320,素材!$1:$1016,COLUMN($F$1),FALSE), "・", 0)) + 1), 0)</f>
        <v>0</v>
      </c>
      <c r="AM320">
        <f>IF(ISNUMBER(SEARCH(SUBSTITUTE(AM$1,RIGHT(AM$1,2),""),VLOOKUP($D320,素材!$1:$1016,COLUMN($F$1),FALSE))),VLOOKUP($C320,武器!$1:$998,COLUMN($O$1),FALSE)*VLOOKUP($D320,素材!$1:$1016,COLUMN($E$1),FALSE)/(LEN(VLOOKUP($D320,素材!$1:$1016,COLUMN($F$1),FALSE)) - LEN(SUBSTITUTE(VLOOKUP($D320,素材!$1:$1016,COLUMN($F$1),FALSE), "・", 0)) + 1), 0)</f>
        <v>0</v>
      </c>
      <c r="AN320">
        <f>IF(ISNUMBER(SEARCH(SUBSTITUTE(AN$1,RIGHT(AN$1,2),""),VLOOKUP($D320,素材!$1:$1016,COLUMN($F$1),FALSE))),VLOOKUP($C320,武器!$1:$998,COLUMN($O$1),FALSE)*VLOOKUP($D320,素材!$1:$1016,COLUMN($E$1),FALSE)/(LEN(VLOOKUP($D320,素材!$1:$1016,COLUMN($F$1),FALSE)) - LEN(SUBSTITUTE(VLOOKUP($D320,素材!$1:$1016,COLUMN($F$1),FALSE), "・", 0)) + 1), 0)</f>
        <v>0</v>
      </c>
      <c r="AO320">
        <f>IF(ISNUMBER(SEARCH(SUBSTITUTE(AO$1,RIGHT(AO$1,2),""),VLOOKUP($D320,素材!$1:$1016,COLUMN($F$1),FALSE))),VLOOKUP($C320,武器!$1:$998,COLUMN($O$1),FALSE)*VLOOKUP($D320,素材!$1:$1016,COLUMN($E$1),FALSE)/(LEN(VLOOKUP($D320,素材!$1:$1016,COLUMN($F$1),FALSE)) - LEN(SUBSTITUTE(VLOOKUP($D320,素材!$1:$1016,COLUMN($F$1),FALSE), "・", 0)) + 1), 0)</f>
        <v>0</v>
      </c>
      <c r="AP320">
        <f>IF(ISNUMBER(SEARCH(SUBSTITUTE(AP$1,RIGHT(AP$1,2),""),VLOOKUP($D320,素材!$1:$1016,COLUMN($F$1),FALSE))),VLOOKUP($C320,武器!$1:$998,COLUMN($O$1),FALSE)*VLOOKUP($D320,素材!$1:$1016,COLUMN($E$1),FALSE)/(LEN(VLOOKUP($D320,素材!$1:$1016,COLUMN($F$1),FALSE)) - LEN(SUBSTITUTE(VLOOKUP($D320,素材!$1:$1016,COLUMN($F$1),FALSE), "・", 0)) + 1), 0)</f>
        <v>0</v>
      </c>
      <c r="AQ320">
        <f>IF(ISNUMBER(SEARCH(SUBSTITUTE(AQ$1,RIGHT(AQ$1,2),""),VLOOKUP($D320,素材!$1:$1016,COLUMN($F$1),FALSE))),VLOOKUP($C320,武器!$1:$998,COLUMN($O$1),FALSE)*VLOOKUP($D320,素材!$1:$1016,COLUMN($E$1),FALSE)/(LEN(VLOOKUP($D320,素材!$1:$1016,COLUMN($F$1),FALSE)) - LEN(SUBSTITUTE(VLOOKUP($D320,素材!$1:$1016,COLUMN($F$1),FALSE), "・", 0)) + 1), 0)</f>
        <v>0</v>
      </c>
      <c r="AR320">
        <f>IF(ISNUMBER(SEARCH(SUBSTITUTE(AR$1,RIGHT(AR$1,2),""),VLOOKUP($D320,素材!$1:$1016,COLUMN($F$1),FALSE))),VLOOKUP($C320,武器!$1:$998,COLUMN($O$1),FALSE)*VLOOKUP($D320,素材!$1:$1016,COLUMN($E$1),FALSE)/(LEN(VLOOKUP($D320,素材!$1:$1016,COLUMN($F$1),FALSE)) - LEN(SUBSTITUTE(VLOOKUP($D320,素材!$1:$1016,COLUMN($F$1),FALSE), "・", 0)) + 1), 0)</f>
        <v>0</v>
      </c>
      <c r="AS320">
        <f>IF(ISNUMBER(SEARCH(SUBSTITUTE(AS$1,RIGHT(AS$1,2),""),VLOOKUP($D320,素材!$1:$1016,COLUMN($F$1),FALSE))),VLOOKUP($C320,武器!$1:$998,COLUMN($O$1),FALSE)*VLOOKUP($D320,素材!$1:$1016,COLUMN($E$1),FALSE)/(LEN(VLOOKUP($D320,素材!$1:$1016,COLUMN($F$1),FALSE)) - LEN(SUBSTITUTE(VLOOKUP($D320,素材!$1:$1016,COLUMN($F$1),FALSE), "・", 0)) + 1), 0)</f>
        <v>0</v>
      </c>
      <c r="AT320">
        <f>IF(ISNUMBER(SEARCH(SUBSTITUTE(AT$1,RIGHT(AT$1,2),""),VLOOKUP($D320,素材!$1:$1016,COLUMN($F$1),FALSE))),VLOOKUP($C320,武器!$1:$998,COLUMN($O$1),FALSE)*VLOOKUP($D320,素材!$1:$1016,COLUMN($E$1),FALSE)/(LEN(VLOOKUP($D320,素材!$1:$1016,COLUMN($F$1),FALSE)) - LEN(SUBSTITUTE(VLOOKUP($D320,素材!$1:$1016,COLUMN($F$1),FALSE), "・", 0)) + 1), 0)</f>
        <v>0</v>
      </c>
      <c r="AU320">
        <f>IF(ISNUMBER(SEARCH(SUBSTITUTE(AU$1,RIGHT(AU$1,2),""),VLOOKUP($D320,素材!$1:$1016,COLUMN($F$1),FALSE))),VLOOKUP($C320,武器!$1:$998,COLUMN($O$1),FALSE)*VLOOKUP($D320,素材!$1:$1016,COLUMN($E$1),FALSE)/(LEN(VLOOKUP($D320,素材!$1:$1016,COLUMN($F$1),FALSE)) - LEN(SUBSTITUTE(VLOOKUP($D320,素材!$1:$1016,COLUMN($F$1),FALSE), "・", 0)) + 1), 0)</f>
        <v>0</v>
      </c>
      <c r="AV320">
        <f>IF(ISNUMBER(SEARCH(SUBSTITUTE(AV$1,RIGHT(AV$1,2),""),VLOOKUP($D320,素材!$1:$1016,COLUMN($F$1),FALSE))),VLOOKUP($C320,武器!$1:$998,COLUMN($O$1),FALSE)*VLOOKUP($D320,素材!$1:$1016,COLUMN($E$1),FALSE)/(LEN(VLOOKUP($D320,素材!$1:$1016,COLUMN($F$1),FALSE)) - LEN(SUBSTITUTE(VLOOKUP($D320,素材!$1:$1016,COLUMN($F$1),FALSE), "・", 0)) + 1), 0)</f>
        <v>0</v>
      </c>
      <c r="AW320">
        <f>IF(ISNUMBER(SEARCH(SUBSTITUTE(AW$1,RIGHT(AW$1,2),""),VLOOKUP($D320,素材!$1:$1016,COLUMN($F$1),FALSE))),VLOOKUP($C320,武器!$1:$998,COLUMN($O$1),FALSE)*VLOOKUP($D320,素材!$1:$1016,COLUMN($E$1),FALSE)/(LEN(VLOOKUP($D320,素材!$1:$1016,COLUMN($F$1),FALSE)) - LEN(SUBSTITUTE(VLOOKUP($D320,素材!$1:$1016,COLUMN($F$1),FALSE), "・", 0)) + 1), 0)</f>
        <v>0</v>
      </c>
      <c r="AX320">
        <f>IF(ISNUMBER(SEARCH(SUBSTITUTE(AX$1,RIGHT(AX$1,2),""),VLOOKUP($D320,素材!$1:$1016,COLUMN($F$1),FALSE))),VLOOKUP($C320,武器!$1:$998,COLUMN($O$1),FALSE)*VLOOKUP($D320,素材!$1:$1016,COLUMN($E$1),FALSE)/(LEN(VLOOKUP($D320,素材!$1:$1016,COLUMN($F$1),FALSE)) - LEN(SUBSTITUTE(VLOOKUP($D320,素材!$1:$1016,COLUMN($F$1),FALSE), "・", 0)) + 1), 0)</f>
        <v>0</v>
      </c>
      <c r="AY320">
        <f>IF(ISNUMBER(SEARCH(SUBSTITUTE(AY$1,RIGHT(AY$1,2),""),VLOOKUP($D320,素材!$1:$1016,COLUMN($F$1),FALSE))),VLOOKUP($C320,武器!$1:$998,COLUMN($O$1),FALSE)*VLOOKUP($D320,素材!$1:$1016,COLUMN($E$1),FALSE)/(LEN(VLOOKUP($D320,素材!$1:$1016,COLUMN($F$1),FALSE)) - LEN(SUBSTITUTE(VLOOKUP($D320,素材!$1:$1016,COLUMN($F$1),FALSE), "・", 0)) + 1), 0)</f>
        <v>0</v>
      </c>
      <c r="AZ320">
        <f>IF(ISNUMBER(SEARCH(SUBSTITUTE(AZ$1,RIGHT(AZ$1,2),""),VLOOKUP($D320,素材!$1:$1016,COLUMN($F$1),FALSE))),VLOOKUP($C320,武器!$1:$998,COLUMN($O$1),FALSE)*VLOOKUP($D320,素材!$1:$1016,COLUMN($E$1),FALSE)/(LEN(VLOOKUP($D320,素材!$1:$1016,COLUMN($F$1),FALSE)) - LEN(SUBSTITUTE(VLOOKUP($D320,素材!$1:$1016,COLUMN($F$1),FALSE), "・", 0)) + 1), 0)</f>
        <v>0</v>
      </c>
      <c r="BA320">
        <f>IF(ISNUMBER(SEARCH(SUBSTITUTE(BA$1,RIGHT(BA$1,2),""),VLOOKUP($D320,素材!$1:$1016,COLUMN($F$1),FALSE))),VLOOKUP($C320,武器!$1:$998,COLUMN($O$1),FALSE)*VLOOKUP($D320,素材!$1:$1016,COLUMN($E$1),FALSE)/(LEN(VLOOKUP($D320,素材!$1:$1016,COLUMN($F$1),FALSE)) - LEN(SUBSTITUTE(VLOOKUP($D320,素材!$1:$1016,COLUMN($F$1),FALSE), "・", 0)) + 1), 0)</f>
        <v>0</v>
      </c>
      <c r="BB320">
        <f>IF(ISNUMBER(SEARCH(SUBSTITUTE(BB$1,RIGHT(BB$1,2),""),VLOOKUP($D320,素材!$1:$1016,COLUMN($F$1),FALSE))),VLOOKUP($C320,武器!$1:$998,COLUMN($O$1),FALSE)*VLOOKUP($D320,素材!$1:$1016,COLUMN($E$1),FALSE)/(LEN(VLOOKUP($D320,素材!$1:$1016,COLUMN($F$1),FALSE)) - LEN(SUBSTITUTE(VLOOKUP($D320,素材!$1:$1016,COLUMN($F$1),FALSE), "・", 0)) + 1), 0)</f>
        <v>0</v>
      </c>
      <c r="BC320">
        <f>IF(ISNUMBER(SEARCH(SUBSTITUTE(BC$1,RIGHT(BC$1,2),""),VLOOKUP($D320,素材!$1:$1016,COLUMN($F$1),FALSE))),VLOOKUP($C320,武器!$1:$998,COLUMN($O$1),FALSE)*VLOOKUP($D320,素材!$1:$1016,COLUMN($E$1),FALSE)/(LEN(VLOOKUP($D320,素材!$1:$1016,COLUMN($F$1),FALSE)) - LEN(SUBSTITUTE(VLOOKUP($D320,素材!$1:$1016,COLUMN($F$1),FALSE), "・", 0)) + 1), 0)</f>
        <v>0</v>
      </c>
      <c r="BD320">
        <f>IF(ISNUMBER(SEARCH(SUBSTITUTE(BD$1,RIGHT(BD$1,2),""),VLOOKUP($D320,素材!$1:$1016,COLUMN($F$1),FALSE))),VLOOKUP($C320,武器!$1:$998,COLUMN($O$1),FALSE)*VLOOKUP($D320,素材!$1:$1016,COLUMN($E$1),FALSE)/(LEN(VLOOKUP($D320,素材!$1:$1016,COLUMN($F$1),FALSE)) - LEN(SUBSTITUTE(VLOOKUP($D320,素材!$1:$1016,COLUMN($F$1),FALSE), "・", 0)) + 1), 0)</f>
        <v>0</v>
      </c>
      <c r="BE320">
        <f>IF(ISNUMBER(SEARCH(SUBSTITUTE(BE$1,RIGHT(BE$1,2),""),VLOOKUP($D320,素材!$1:$1016,COLUMN($F$1),FALSE))),VLOOKUP($C320,武器!$1:$998,COLUMN($O$1),FALSE)*VLOOKUP($D320,素材!$1:$1016,COLUMN($E$1),FALSE)/(LEN(VLOOKUP($D320,素材!$1:$1016,COLUMN($F$1),FALSE)) - LEN(SUBSTITUTE(VLOOKUP($D320,素材!$1:$1016,COLUMN($F$1),FALSE), "・", 0)) + 1), 0)</f>
        <v>0</v>
      </c>
      <c r="CL320">
        <f>SUM(G320:I320)</f>
        <v>0</v>
      </c>
      <c r="CM320" s="22" t="str">
        <f>IF(E320="武器",IF(J320-1&gt;SUM(G320:I320),"盾",IF(MAX(G320:I320)=G320,"切断",IF(MAX(G320:I320)=H320,"貫通",IF(MAX(G320:I320)=I320,"打撃","射撃")))),E320)&amp;".webp"</f>
        <v>.webp</v>
      </c>
      <c r="CN320" t="str">
        <f>IFERROR(VLOOKUP($C320,武器!$1:$998,COLUMN(V$1),FALSE)*VLOOKUP($D320,素材!$1:$1016,COLUMN(N$1),FALSE)+IF(CI320="",0,VLOOKUP($CI320,装強!$1:$1008,COLUMN($CK$1),FALSE)),"")</f>
        <v/>
      </c>
      <c r="CO320" t="e">
        <f>VLOOKUP(D320,素材!$A:$O,COLUMN(素材!O$1),FALSE)</f>
        <v>#N/A</v>
      </c>
      <c r="CP320" t="e">
        <f>VLOOKUP(C320,武器!$A:$W,COLUMN(武器!W$1),FALSE)</f>
        <v>#N/A</v>
      </c>
      <c r="CR320" t="str">
        <f t="shared" si="33"/>
        <v>e_320</v>
      </c>
      <c r="CS320" t="e">
        <f t="shared" si="34"/>
        <v>#VALUE!</v>
      </c>
    </row>
    <row r="321" spans="1:97" hidden="1" outlineLevel="1" x14ac:dyDescent="0.4">
      <c r="A321" t="str">
        <f>IF(CI321="",D321&amp;"の"&amp;C321,CI321&amp;"の"&amp;C321)</f>
        <v>の</v>
      </c>
      <c r="B321" t="str">
        <f>IFERROR(IF(CI321="",VLOOKUP($D321,素材!$1:$1016,COLUMN($B$1),FALSE)&amp;"・"&amp;VLOOKUP($C321,武器!$1:$998,COLUMN(B$1),FALSE),VLOOKUP($CI321,装強!$1:$1008,COLUMN($B$1),FALSE)&amp;"・"&amp;VLOOKUP($C321,武器!$1:$998,COLUMN(B$1),FALSE)),"")</f>
        <v/>
      </c>
      <c r="C321" s="24"/>
      <c r="D321" s="24"/>
      <c r="E321" t="str">
        <f>IFERROR(VLOOKUP(C321,武器!$1:$998,COLUMN(C$1),FALSE),"")</f>
        <v/>
      </c>
      <c r="F321" t="str">
        <f>IFERROR(ROUNDDOWN((VLOOKUP($C321,武器!$1:$998,COLUMN(D$1),FALSE)+IFERROR(VLOOKUP($CI321,装強!$1:$999,COLUMN(F$1),FALSE),0))*VLOOKUP($D321,素材!$1:$1016,COLUMN(D$1),FALSE),0),"")</f>
        <v/>
      </c>
      <c r="G321" t="str">
        <f>IFERROR(ROUNDDOWN((VLOOKUP($C321,武器!$1:$998,COLUMN(E$1),FALSE)+IFERROR(VLOOKUP($CI321,装強!$1:$999,COLUMN(G$1),FALSE),0))*VLOOKUP($D321,素材!$1:$1016,COLUMN($E$1),FALSE),0),"")</f>
        <v/>
      </c>
      <c r="H321" t="str">
        <f>IFERROR(ROUNDDOWN((VLOOKUP($C321,武器!$1:$998,COLUMN(F$1),FALSE)+IFERROR(VLOOKUP($CI321,装強!$1:$999,COLUMN(H$1),FALSE),0))*VLOOKUP($D321,素材!$1:$1016,COLUMN($E$1),FALSE),0),"")</f>
        <v/>
      </c>
      <c r="I321" t="str">
        <f>IFERROR(ROUNDDOWN((VLOOKUP($C321,武器!$1:$998,COLUMN(G$1),FALSE)+IFERROR(VLOOKUP($CI321,装強!$1:$999,COLUMN(I$1),FALSE),0))*VLOOKUP($D321,素材!$1:$1016,COLUMN($E$1),FALSE),0),"")</f>
        <v/>
      </c>
      <c r="J321" t="str">
        <f>IFERROR(ROUNDDOWN((VLOOKUP($C321,武器!$1:$998,COLUMN(H$1),FALSE)+IFERROR(VLOOKUP($CI321,装強!$1:$999,COLUMN(J$1),FALSE),0))*VLOOKUP($D321,素材!$1:$1016,COLUMN($E$1),FALSE),0),"")</f>
        <v/>
      </c>
      <c r="K321" t="str">
        <f>IFERROR(ROUNDDOWN((VLOOKUP($C321,武器!$1:$998,COLUMN(I$1),FALSE)+IFERROR(VLOOKUP($CI321,装強!$1:$999,COLUMN(K$1),FALSE),0))*VLOOKUP($D321,素材!$1:$1016,COLUMN($E$1),FALSE),0),"")</f>
        <v/>
      </c>
      <c r="L321" t="str">
        <f>IFERROR(VLOOKUP($D321,素材!$1:$1016,COLUMN($F$1),FALSE),"")</f>
        <v/>
      </c>
      <c r="M321" t="str">
        <f>IFERROR(VLOOKUP($C321,武器!$1:$998,COLUMN(AA$1),FALSE)*VLOOKUP($D321,素材!$1:$1016,COLUMN($G$1),FALSE),"")</f>
        <v/>
      </c>
      <c r="N321" t="str">
        <f>IFERROR(VLOOKUP($C321,武器!$1:$998,COLUMN(I$1),FALSE),"")</f>
        <v/>
      </c>
      <c r="O321" s="23" t="str">
        <f>IFERROR((VLOOKUP($C321,武器!$1:$998,COLUMN(K$1),FALSE)+VLOOKUP($D321,素材!$1:$1016,COLUMN(H$1),FALSE))*100+IFERROR(VLOOKUP($CI321,装強!$1:$999,COLUMN(O$1),FALSE),0),"")</f>
        <v/>
      </c>
      <c r="P321" s="23" t="str">
        <f>IFERROR((VLOOKUP($C321,武器!$1:$998,COLUMN(L$1),FALSE)+VLOOKUP($D321,素材!$1:$1016,COLUMN(I$1),FALSE))*100+IFERROR(VLOOKUP($CI321,装強!$1:$999,COLUMN(P$1),FALSE),0),"")</f>
        <v/>
      </c>
      <c r="Q321" t="str">
        <f>IFERROR(ROUNDUP(VLOOKUP($C321,武器!$1:$998,COLUMN(M$1),FALSE)*(VLOOKUP($D321,素材!$1:$1002,COLUMN(D$1),FALSE)/100),1),"")</f>
        <v/>
      </c>
      <c r="R321" t="str">
        <f>IFERROR(ROUNDUP(VLOOKUP($C321,武器!$1:$998,COLUMN(N$1),FALSE)*(VLOOKUP($D321,素材!$1:$1002,COLUMN(D$1),FALSE)/100),1),"")</f>
        <v/>
      </c>
      <c r="S321" t="str">
        <f>IFERROR(VLOOKUP($C321,武器!$1:$998,COLUMN(P$1),FALSE),"")</f>
        <v/>
      </c>
      <c r="T321" t="str">
        <f>IFERROR(VLOOKUP($C321,武器!$1:$998,COLUMN(Q$1),FALSE),"")</f>
        <v/>
      </c>
      <c r="U321" t="str">
        <f>IFERROR(VLOOKUP($C321,武器!$1:$998,COLUMN(R$1),FALSE),"")</f>
        <v/>
      </c>
      <c r="V321" t="str">
        <f>IFERROR(VLOOKUP($C321,武器!$1:$998,COLUMN(Q$1),FALSE),"")</f>
        <v/>
      </c>
      <c r="W321" t="str">
        <f>IFERROR(VLOOKUP($C321,武器!$1:$998,COLUMN(T$1),FALSE),"")</f>
        <v/>
      </c>
      <c r="Y321" t="str">
        <f>IFERROR(VLOOKUP($C321,武器!$1:$998,COLUMN(U$1),FALSE),"")</f>
        <v/>
      </c>
      <c r="Z321" t="str">
        <f>IFERROR(ROUNDUP(VLOOKUP($C321,武器!$1:$998,COLUMN(O$1),FALSE)*VLOOKUP($D321,素材!$1:$1016,COLUMN(E$1),FALSE),1),"")</f>
        <v/>
      </c>
      <c r="AA321">
        <f>IF(ISNUMBER(SEARCH(SUBSTITUTE(AA$1,RIGHT(AA$1,2),""),VLOOKUP($D321,素材!$1:$1016,COLUMN($F$1),FALSE))),VLOOKUP($C321,武器!$1:$998,COLUMN($O$1),FALSE)*VLOOKUP($D321,素材!$1:$1016,COLUMN($E$1),FALSE)/(LEN(VLOOKUP($D321,素材!$1:$1016,COLUMN($F$1),FALSE)) - LEN(SUBSTITUTE(VLOOKUP($D321,素材!$1:$1016,COLUMN($F$1),FALSE), "・", 0)) + 1), 0)</f>
        <v>0</v>
      </c>
      <c r="AB321">
        <f>IF(ISNUMBER(SEARCH(SUBSTITUTE(AB$1,RIGHT(AB$1,2),""),VLOOKUP($D321,素材!$1:$1016,COLUMN($F$1),FALSE))),VLOOKUP($C321,武器!$1:$998,COLUMN($O$1),FALSE)*VLOOKUP($D321,素材!$1:$1016,COLUMN($E$1),FALSE)/(LEN(VLOOKUP($D321,素材!$1:$1016,COLUMN($F$1),FALSE)) - LEN(SUBSTITUTE(VLOOKUP($D321,素材!$1:$1016,COLUMN($F$1),FALSE), "・", 0)) + 1), 0)</f>
        <v>0</v>
      </c>
      <c r="AC321">
        <f>IF(ISNUMBER(SEARCH(SUBSTITUTE(AC$1,RIGHT(AC$1,2),""),VLOOKUP($D321,素材!$1:$1016,COLUMN($F$1),FALSE))),VLOOKUP($C321,武器!$1:$998,COLUMN($O$1),FALSE)*VLOOKUP($D321,素材!$1:$1016,COLUMN($E$1),FALSE)/(LEN(VLOOKUP($D321,素材!$1:$1016,COLUMN($F$1),FALSE)) - LEN(SUBSTITUTE(VLOOKUP($D321,素材!$1:$1016,COLUMN($F$1),FALSE), "・", 0)) + 1), 0)</f>
        <v>0</v>
      </c>
      <c r="AD321">
        <f>IF(ISNUMBER(SEARCH(SUBSTITUTE(AD$1,RIGHT(AD$1,2),""),VLOOKUP($D321,素材!$1:$1016,COLUMN($F$1),FALSE))),VLOOKUP($C321,武器!$1:$998,COLUMN($O$1),FALSE)*VLOOKUP($D321,素材!$1:$1016,COLUMN($E$1),FALSE)/(LEN(VLOOKUP($D321,素材!$1:$1016,COLUMN($F$1),FALSE)) - LEN(SUBSTITUTE(VLOOKUP($D321,素材!$1:$1016,COLUMN($F$1),FALSE), "・", 0)) + 1), 0)</f>
        <v>0</v>
      </c>
      <c r="AE321">
        <f>IF(ISNUMBER(SEARCH(SUBSTITUTE(AE$1,RIGHT(AE$1,2),""),VLOOKUP($D321,素材!$1:$1016,COLUMN($F$1),FALSE))),VLOOKUP($C321,武器!$1:$998,COLUMN($O$1),FALSE)*VLOOKUP($D321,素材!$1:$1016,COLUMN($E$1),FALSE)/(LEN(VLOOKUP($D321,素材!$1:$1016,COLUMN($F$1),FALSE)) - LEN(SUBSTITUTE(VLOOKUP($D321,素材!$1:$1016,COLUMN($F$1),FALSE), "・", 0)) + 1), 0)</f>
        <v>0</v>
      </c>
      <c r="AF321">
        <f>IF(ISNUMBER(SEARCH(SUBSTITUTE(AF$1,RIGHT(AF$1,2),""),VLOOKUP($D321,素材!$1:$1016,COLUMN($F$1),FALSE))),VLOOKUP($C321,武器!$1:$998,COLUMN($O$1),FALSE)*VLOOKUP($D321,素材!$1:$1016,COLUMN($E$1),FALSE)/(LEN(VLOOKUP($D321,素材!$1:$1016,COLUMN($F$1),FALSE)) - LEN(SUBSTITUTE(VLOOKUP($D321,素材!$1:$1016,COLUMN($F$1),FALSE), "・", 0)) + 1), 0)</f>
        <v>0</v>
      </c>
      <c r="AG321">
        <f>IF(ISNUMBER(SEARCH(SUBSTITUTE(AG$1,RIGHT(AG$1,2),""),VLOOKUP($D321,素材!$1:$1016,COLUMN($F$1),FALSE))),VLOOKUP($C321,武器!$1:$998,COLUMN($O$1),FALSE)*VLOOKUP($D321,素材!$1:$1016,COLUMN($E$1),FALSE)/(LEN(VLOOKUP($D321,素材!$1:$1016,COLUMN($F$1),FALSE)) - LEN(SUBSTITUTE(VLOOKUP($D321,素材!$1:$1016,COLUMN($F$1),FALSE), "・", 0)) + 1), 0)</f>
        <v>0</v>
      </c>
      <c r="AH321">
        <f>IF(ISNUMBER(SEARCH(SUBSTITUTE(AH$1,RIGHT(AH$1,2),""),VLOOKUP($D321,素材!$1:$1016,COLUMN($F$1),FALSE))),VLOOKUP($C321,武器!$1:$998,COLUMN($O$1),FALSE)*VLOOKUP($D321,素材!$1:$1016,COLUMN($E$1),FALSE)/(LEN(VLOOKUP($D321,素材!$1:$1016,COLUMN($F$1),FALSE)) - LEN(SUBSTITUTE(VLOOKUP($D321,素材!$1:$1016,COLUMN($F$1),FALSE), "・", 0)) + 1), 0)</f>
        <v>0</v>
      </c>
      <c r="AI321">
        <f>IF(ISNUMBER(SEARCH(SUBSTITUTE(AI$1,RIGHT(AI$1,2),""),VLOOKUP($D321,素材!$1:$1016,COLUMN($F$1),FALSE))),VLOOKUP($C321,武器!$1:$998,COLUMN($O$1),FALSE)*VLOOKUP($D321,素材!$1:$1016,COLUMN($E$1),FALSE)/(LEN(VLOOKUP($D321,素材!$1:$1016,COLUMN($F$1),FALSE)) - LEN(SUBSTITUTE(VLOOKUP($D321,素材!$1:$1016,COLUMN($F$1),FALSE), "・", 0)) + 1), 0)</f>
        <v>0</v>
      </c>
      <c r="AJ321">
        <f>IF(ISNUMBER(SEARCH(SUBSTITUTE(AJ$1,RIGHT(AJ$1,2),""),VLOOKUP($D321,素材!$1:$1016,COLUMN($F$1),FALSE))),VLOOKUP($C321,武器!$1:$998,COLUMN($O$1),FALSE)*VLOOKUP($D321,素材!$1:$1016,COLUMN($E$1),FALSE)/(LEN(VLOOKUP($D321,素材!$1:$1016,COLUMN($F$1),FALSE)) - LEN(SUBSTITUTE(VLOOKUP($D321,素材!$1:$1016,COLUMN($F$1),FALSE), "・", 0)) + 1), 0)</f>
        <v>0</v>
      </c>
      <c r="AK321">
        <f>IF(ISNUMBER(SEARCH(SUBSTITUTE(AK$1,RIGHT(AK$1,2),""),VLOOKUP($D321,素材!$1:$1016,COLUMN($F$1),FALSE))),VLOOKUP($C321,武器!$1:$998,COLUMN($O$1),FALSE)*VLOOKUP($D321,素材!$1:$1016,COLUMN($E$1),FALSE)/(LEN(VLOOKUP($D321,素材!$1:$1016,COLUMN($F$1),FALSE)) - LEN(SUBSTITUTE(VLOOKUP($D321,素材!$1:$1016,COLUMN($F$1),FALSE), "・", 0)) + 1), 0)</f>
        <v>0</v>
      </c>
      <c r="AL321">
        <f>IF(ISNUMBER(SEARCH(SUBSTITUTE(AL$1,RIGHT(AL$1,2),""),VLOOKUP($D321,素材!$1:$1016,COLUMN($F$1),FALSE))),VLOOKUP($C321,武器!$1:$998,COLUMN($O$1),FALSE)*VLOOKUP($D321,素材!$1:$1016,COLUMN($E$1),FALSE)/(LEN(VLOOKUP($D321,素材!$1:$1016,COLUMN($F$1),FALSE)) - LEN(SUBSTITUTE(VLOOKUP($D321,素材!$1:$1016,COLUMN($F$1),FALSE), "・", 0)) + 1), 0)</f>
        <v>0</v>
      </c>
      <c r="AM321">
        <f>IF(ISNUMBER(SEARCH(SUBSTITUTE(AM$1,RIGHT(AM$1,2),""),VLOOKUP($D321,素材!$1:$1016,COLUMN($F$1),FALSE))),VLOOKUP($C321,武器!$1:$998,COLUMN($O$1),FALSE)*VLOOKUP($D321,素材!$1:$1016,COLUMN($E$1),FALSE)/(LEN(VLOOKUP($D321,素材!$1:$1016,COLUMN($F$1),FALSE)) - LEN(SUBSTITUTE(VLOOKUP($D321,素材!$1:$1016,COLUMN($F$1),FALSE), "・", 0)) + 1), 0)</f>
        <v>0</v>
      </c>
      <c r="AN321">
        <f>IF(ISNUMBER(SEARCH(SUBSTITUTE(AN$1,RIGHT(AN$1,2),""),VLOOKUP($D321,素材!$1:$1016,COLUMN($F$1),FALSE))),VLOOKUP($C321,武器!$1:$998,COLUMN($O$1),FALSE)*VLOOKUP($D321,素材!$1:$1016,COLUMN($E$1),FALSE)/(LEN(VLOOKUP($D321,素材!$1:$1016,COLUMN($F$1),FALSE)) - LEN(SUBSTITUTE(VLOOKUP($D321,素材!$1:$1016,COLUMN($F$1),FALSE), "・", 0)) + 1), 0)</f>
        <v>0</v>
      </c>
      <c r="AO321">
        <f>IF(ISNUMBER(SEARCH(SUBSTITUTE(AO$1,RIGHT(AO$1,2),""),VLOOKUP($D321,素材!$1:$1016,COLUMN($F$1),FALSE))),VLOOKUP($C321,武器!$1:$998,COLUMN($O$1),FALSE)*VLOOKUP($D321,素材!$1:$1016,COLUMN($E$1),FALSE)/(LEN(VLOOKUP($D321,素材!$1:$1016,COLUMN($F$1),FALSE)) - LEN(SUBSTITUTE(VLOOKUP($D321,素材!$1:$1016,COLUMN($F$1),FALSE), "・", 0)) + 1), 0)</f>
        <v>0</v>
      </c>
      <c r="AP321">
        <f>IF(ISNUMBER(SEARCH(SUBSTITUTE(AP$1,RIGHT(AP$1,2),""),VLOOKUP($D321,素材!$1:$1016,COLUMN($F$1),FALSE))),VLOOKUP($C321,武器!$1:$998,COLUMN($O$1),FALSE)*VLOOKUP($D321,素材!$1:$1016,COLUMN($E$1),FALSE)/(LEN(VLOOKUP($D321,素材!$1:$1016,COLUMN($F$1),FALSE)) - LEN(SUBSTITUTE(VLOOKUP($D321,素材!$1:$1016,COLUMN($F$1),FALSE), "・", 0)) + 1), 0)</f>
        <v>0</v>
      </c>
      <c r="AQ321">
        <f>IF(ISNUMBER(SEARCH(SUBSTITUTE(AQ$1,RIGHT(AQ$1,2),""),VLOOKUP($D321,素材!$1:$1016,COLUMN($F$1),FALSE))),VLOOKUP($C321,武器!$1:$998,COLUMN($O$1),FALSE)*VLOOKUP($D321,素材!$1:$1016,COLUMN($E$1),FALSE)/(LEN(VLOOKUP($D321,素材!$1:$1016,COLUMN($F$1),FALSE)) - LEN(SUBSTITUTE(VLOOKUP($D321,素材!$1:$1016,COLUMN($F$1),FALSE), "・", 0)) + 1), 0)</f>
        <v>0</v>
      </c>
      <c r="AR321">
        <f>IF(ISNUMBER(SEARCH(SUBSTITUTE(AR$1,RIGHT(AR$1,2),""),VLOOKUP($D321,素材!$1:$1016,COLUMN($F$1),FALSE))),VLOOKUP($C321,武器!$1:$998,COLUMN($O$1),FALSE)*VLOOKUP($D321,素材!$1:$1016,COLUMN($E$1),FALSE)/(LEN(VLOOKUP($D321,素材!$1:$1016,COLUMN($F$1),FALSE)) - LEN(SUBSTITUTE(VLOOKUP($D321,素材!$1:$1016,COLUMN($F$1),FALSE), "・", 0)) + 1), 0)</f>
        <v>0</v>
      </c>
      <c r="AS321">
        <f>IF(ISNUMBER(SEARCH(SUBSTITUTE(AS$1,RIGHT(AS$1,2),""),VLOOKUP($D321,素材!$1:$1016,COLUMN($F$1),FALSE))),VLOOKUP($C321,武器!$1:$998,COLUMN($O$1),FALSE)*VLOOKUP($D321,素材!$1:$1016,COLUMN($E$1),FALSE)/(LEN(VLOOKUP($D321,素材!$1:$1016,COLUMN($F$1),FALSE)) - LEN(SUBSTITUTE(VLOOKUP($D321,素材!$1:$1016,COLUMN($F$1),FALSE), "・", 0)) + 1), 0)</f>
        <v>0</v>
      </c>
      <c r="AT321">
        <f>IF(ISNUMBER(SEARCH(SUBSTITUTE(AT$1,RIGHT(AT$1,2),""),VLOOKUP($D321,素材!$1:$1016,COLUMN($F$1),FALSE))),VLOOKUP($C321,武器!$1:$998,COLUMN($O$1),FALSE)*VLOOKUP($D321,素材!$1:$1016,COLUMN($E$1),FALSE)/(LEN(VLOOKUP($D321,素材!$1:$1016,COLUMN($F$1),FALSE)) - LEN(SUBSTITUTE(VLOOKUP($D321,素材!$1:$1016,COLUMN($F$1),FALSE), "・", 0)) + 1), 0)</f>
        <v>0</v>
      </c>
      <c r="AU321">
        <f>IF(ISNUMBER(SEARCH(SUBSTITUTE(AU$1,RIGHT(AU$1,2),""),VLOOKUP($D321,素材!$1:$1016,COLUMN($F$1),FALSE))),VLOOKUP($C321,武器!$1:$998,COLUMN($O$1),FALSE)*VLOOKUP($D321,素材!$1:$1016,COLUMN($E$1),FALSE)/(LEN(VLOOKUP($D321,素材!$1:$1016,COLUMN($F$1),FALSE)) - LEN(SUBSTITUTE(VLOOKUP($D321,素材!$1:$1016,COLUMN($F$1),FALSE), "・", 0)) + 1), 0)</f>
        <v>0</v>
      </c>
      <c r="AV321">
        <f>IF(ISNUMBER(SEARCH(SUBSTITUTE(AV$1,RIGHT(AV$1,2),""),VLOOKUP($D321,素材!$1:$1016,COLUMN($F$1),FALSE))),VLOOKUP($C321,武器!$1:$998,COLUMN($O$1),FALSE)*VLOOKUP($D321,素材!$1:$1016,COLUMN($E$1),FALSE)/(LEN(VLOOKUP($D321,素材!$1:$1016,COLUMN($F$1),FALSE)) - LEN(SUBSTITUTE(VLOOKUP($D321,素材!$1:$1016,COLUMN($F$1),FALSE), "・", 0)) + 1), 0)</f>
        <v>0</v>
      </c>
      <c r="AW321">
        <f>IF(ISNUMBER(SEARCH(SUBSTITUTE(AW$1,RIGHT(AW$1,2),""),VLOOKUP($D321,素材!$1:$1016,COLUMN($F$1),FALSE))),VLOOKUP($C321,武器!$1:$998,COLUMN($O$1),FALSE)*VLOOKUP($D321,素材!$1:$1016,COLUMN($E$1),FALSE)/(LEN(VLOOKUP($D321,素材!$1:$1016,COLUMN($F$1),FALSE)) - LEN(SUBSTITUTE(VLOOKUP($D321,素材!$1:$1016,COLUMN($F$1),FALSE), "・", 0)) + 1), 0)</f>
        <v>0</v>
      </c>
      <c r="AX321">
        <f>IF(ISNUMBER(SEARCH(SUBSTITUTE(AX$1,RIGHT(AX$1,2),""),VLOOKUP($D321,素材!$1:$1016,COLUMN($F$1),FALSE))),VLOOKUP($C321,武器!$1:$998,COLUMN($O$1),FALSE)*VLOOKUP($D321,素材!$1:$1016,COLUMN($E$1),FALSE)/(LEN(VLOOKUP($D321,素材!$1:$1016,COLUMN($F$1),FALSE)) - LEN(SUBSTITUTE(VLOOKUP($D321,素材!$1:$1016,COLUMN($F$1),FALSE), "・", 0)) + 1), 0)</f>
        <v>0</v>
      </c>
      <c r="AY321">
        <f>IF(ISNUMBER(SEARCH(SUBSTITUTE(AY$1,RIGHT(AY$1,2),""),VLOOKUP($D321,素材!$1:$1016,COLUMN($F$1),FALSE))),VLOOKUP($C321,武器!$1:$998,COLUMN($O$1),FALSE)*VLOOKUP($D321,素材!$1:$1016,COLUMN($E$1),FALSE)/(LEN(VLOOKUP($D321,素材!$1:$1016,COLUMN($F$1),FALSE)) - LEN(SUBSTITUTE(VLOOKUP($D321,素材!$1:$1016,COLUMN($F$1),FALSE), "・", 0)) + 1), 0)</f>
        <v>0</v>
      </c>
      <c r="AZ321">
        <f>IF(ISNUMBER(SEARCH(SUBSTITUTE(AZ$1,RIGHT(AZ$1,2),""),VLOOKUP($D321,素材!$1:$1016,COLUMN($F$1),FALSE))),VLOOKUP($C321,武器!$1:$998,COLUMN($O$1),FALSE)*VLOOKUP($D321,素材!$1:$1016,COLUMN($E$1),FALSE)/(LEN(VLOOKUP($D321,素材!$1:$1016,COLUMN($F$1),FALSE)) - LEN(SUBSTITUTE(VLOOKUP($D321,素材!$1:$1016,COLUMN($F$1),FALSE), "・", 0)) + 1), 0)</f>
        <v>0</v>
      </c>
      <c r="BA321">
        <f>IF(ISNUMBER(SEARCH(SUBSTITUTE(BA$1,RIGHT(BA$1,2),""),VLOOKUP($D321,素材!$1:$1016,COLUMN($F$1),FALSE))),VLOOKUP($C321,武器!$1:$998,COLUMN($O$1),FALSE)*VLOOKUP($D321,素材!$1:$1016,COLUMN($E$1),FALSE)/(LEN(VLOOKUP($D321,素材!$1:$1016,COLUMN($F$1),FALSE)) - LEN(SUBSTITUTE(VLOOKUP($D321,素材!$1:$1016,COLUMN($F$1),FALSE), "・", 0)) + 1), 0)</f>
        <v>0</v>
      </c>
      <c r="BB321">
        <f>IF(ISNUMBER(SEARCH(SUBSTITUTE(BB$1,RIGHT(BB$1,2),""),VLOOKUP($D321,素材!$1:$1016,COLUMN($F$1),FALSE))),VLOOKUP($C321,武器!$1:$998,COLUMN($O$1),FALSE)*VLOOKUP($D321,素材!$1:$1016,COLUMN($E$1),FALSE)/(LEN(VLOOKUP($D321,素材!$1:$1016,COLUMN($F$1),FALSE)) - LEN(SUBSTITUTE(VLOOKUP($D321,素材!$1:$1016,COLUMN($F$1),FALSE), "・", 0)) + 1), 0)</f>
        <v>0</v>
      </c>
      <c r="BC321">
        <f>IF(ISNUMBER(SEARCH(SUBSTITUTE(BC$1,RIGHT(BC$1,2),""),VLOOKUP($D321,素材!$1:$1016,COLUMN($F$1),FALSE))),VLOOKUP($C321,武器!$1:$998,COLUMN($O$1),FALSE)*VLOOKUP($D321,素材!$1:$1016,COLUMN($E$1),FALSE)/(LEN(VLOOKUP($D321,素材!$1:$1016,COLUMN($F$1),FALSE)) - LEN(SUBSTITUTE(VLOOKUP($D321,素材!$1:$1016,COLUMN($F$1),FALSE), "・", 0)) + 1), 0)</f>
        <v>0</v>
      </c>
      <c r="BD321">
        <f>IF(ISNUMBER(SEARCH(SUBSTITUTE(BD$1,RIGHT(BD$1,2),""),VLOOKUP($D321,素材!$1:$1016,COLUMN($F$1),FALSE))),VLOOKUP($C321,武器!$1:$998,COLUMN($O$1),FALSE)*VLOOKUP($D321,素材!$1:$1016,COLUMN($E$1),FALSE)/(LEN(VLOOKUP($D321,素材!$1:$1016,COLUMN($F$1),FALSE)) - LEN(SUBSTITUTE(VLOOKUP($D321,素材!$1:$1016,COLUMN($F$1),FALSE), "・", 0)) + 1), 0)</f>
        <v>0</v>
      </c>
      <c r="BE321">
        <f>IF(ISNUMBER(SEARCH(SUBSTITUTE(BE$1,RIGHT(BE$1,2),""),VLOOKUP($D321,素材!$1:$1016,COLUMN($F$1),FALSE))),VLOOKUP($C321,武器!$1:$998,COLUMN($O$1),FALSE)*VLOOKUP($D321,素材!$1:$1016,COLUMN($E$1),FALSE)/(LEN(VLOOKUP($D321,素材!$1:$1016,COLUMN($F$1),FALSE)) - LEN(SUBSTITUTE(VLOOKUP($D321,素材!$1:$1016,COLUMN($F$1),FALSE), "・", 0)) + 1), 0)</f>
        <v>0</v>
      </c>
      <c r="CL321">
        <f>SUM(G321:I321)</f>
        <v>0</v>
      </c>
      <c r="CM321" s="22" t="str">
        <f>IF(E321="武器",IF(J321-1&gt;SUM(G321:I321),"盾",IF(MAX(G321:I321)=G321,"切断",IF(MAX(G321:I321)=H321,"貫通",IF(MAX(G321:I321)=I321,"打撃","射撃")))),E321)&amp;".webp"</f>
        <v>.webp</v>
      </c>
      <c r="CN321" t="str">
        <f>IFERROR(VLOOKUP($C321,武器!$1:$998,COLUMN(V$1),FALSE)*VLOOKUP($D321,素材!$1:$1016,COLUMN(N$1),FALSE)+IF(CI321="",0,VLOOKUP($CI321,装強!$1:$1008,COLUMN($CK$1),FALSE)),"")</f>
        <v/>
      </c>
      <c r="CO321" t="e">
        <f>VLOOKUP(D321,素材!$A:$O,COLUMN(素材!O$1),FALSE)</f>
        <v>#N/A</v>
      </c>
      <c r="CP321" t="e">
        <f>VLOOKUP(C321,武器!$A:$W,COLUMN(武器!W$1),FALSE)</f>
        <v>#N/A</v>
      </c>
      <c r="CR321" t="str">
        <f t="shared" si="33"/>
        <v>e_321</v>
      </c>
      <c r="CS321" t="e">
        <f t="shared" si="34"/>
        <v>#VALUE!</v>
      </c>
    </row>
    <row r="322" spans="1:97" hidden="1" outlineLevel="1" x14ac:dyDescent="0.4">
      <c r="A322" t="str">
        <f>IF(CI322="",D322&amp;"の"&amp;C322,CI322&amp;"の"&amp;C322)</f>
        <v>の</v>
      </c>
      <c r="B322" t="str">
        <f>IFERROR(IF(CI322="",VLOOKUP($D322,素材!$1:$1016,COLUMN($B$1),FALSE)&amp;"・"&amp;VLOOKUP($C322,武器!$1:$998,COLUMN(B$1),FALSE),VLOOKUP($CI322,装強!$1:$1008,COLUMN($B$1),FALSE)&amp;"・"&amp;VLOOKUP($C322,武器!$1:$998,COLUMN(B$1),FALSE)),"")</f>
        <v/>
      </c>
      <c r="C322" s="24"/>
      <c r="D322" s="24"/>
      <c r="E322" t="str">
        <f>IFERROR(VLOOKUP(C322,武器!$1:$998,COLUMN(C$1),FALSE),"")</f>
        <v/>
      </c>
      <c r="F322" t="str">
        <f>IFERROR(ROUNDDOWN((VLOOKUP($C322,武器!$1:$998,COLUMN(D$1),FALSE)+IFERROR(VLOOKUP($CI322,装強!$1:$999,COLUMN(F$1),FALSE),0))*VLOOKUP($D322,素材!$1:$1016,COLUMN(D$1),FALSE),0),"")</f>
        <v/>
      </c>
      <c r="G322" t="str">
        <f>IFERROR(ROUNDDOWN((VLOOKUP($C322,武器!$1:$998,COLUMN(E$1),FALSE)+IFERROR(VLOOKUP($CI322,装強!$1:$999,COLUMN(G$1),FALSE),0))*VLOOKUP($D322,素材!$1:$1016,COLUMN($E$1),FALSE),0),"")</f>
        <v/>
      </c>
      <c r="H322" t="str">
        <f>IFERROR(ROUNDDOWN((VLOOKUP($C322,武器!$1:$998,COLUMN(F$1),FALSE)+IFERROR(VLOOKUP($CI322,装強!$1:$999,COLUMN(H$1),FALSE),0))*VLOOKUP($D322,素材!$1:$1016,COLUMN($E$1),FALSE),0),"")</f>
        <v/>
      </c>
      <c r="I322" t="str">
        <f>IFERROR(ROUNDDOWN((VLOOKUP($C322,武器!$1:$998,COLUMN(G$1),FALSE)+IFERROR(VLOOKUP($CI322,装強!$1:$999,COLUMN(I$1),FALSE),0))*VLOOKUP($D322,素材!$1:$1016,COLUMN($E$1),FALSE),0),"")</f>
        <v/>
      </c>
      <c r="J322" t="str">
        <f>IFERROR(ROUNDDOWN((VLOOKUP($C322,武器!$1:$998,COLUMN(H$1),FALSE)+IFERROR(VLOOKUP($CI322,装強!$1:$999,COLUMN(J$1),FALSE),0))*VLOOKUP($D322,素材!$1:$1016,COLUMN($E$1),FALSE),0),"")</f>
        <v/>
      </c>
      <c r="K322" t="str">
        <f>IFERROR(ROUNDDOWN((VLOOKUP($C322,武器!$1:$998,COLUMN(I$1),FALSE)+IFERROR(VLOOKUP($CI322,装強!$1:$999,COLUMN(K$1),FALSE),0))*VLOOKUP($D322,素材!$1:$1016,COLUMN($E$1),FALSE),0),"")</f>
        <v/>
      </c>
      <c r="L322" t="str">
        <f>IFERROR(VLOOKUP($D322,素材!$1:$1016,COLUMN($F$1),FALSE),"")</f>
        <v/>
      </c>
      <c r="M322" t="str">
        <f>IFERROR(VLOOKUP($C322,武器!$1:$998,COLUMN(AA$1),FALSE)*VLOOKUP($D322,素材!$1:$1016,COLUMN($G$1),FALSE),"")</f>
        <v/>
      </c>
      <c r="N322" t="str">
        <f>IFERROR(VLOOKUP($C322,武器!$1:$998,COLUMN(I$1),FALSE),"")</f>
        <v/>
      </c>
      <c r="O322" s="23" t="str">
        <f>IFERROR((VLOOKUP($C322,武器!$1:$998,COLUMN(K$1),FALSE)+VLOOKUP($D322,素材!$1:$1016,COLUMN(H$1),FALSE))*100+IFERROR(VLOOKUP($CI322,装強!$1:$999,COLUMN(O$1),FALSE),0),"")</f>
        <v/>
      </c>
      <c r="P322" s="23" t="str">
        <f>IFERROR((VLOOKUP($C322,武器!$1:$998,COLUMN(L$1),FALSE)+VLOOKUP($D322,素材!$1:$1016,COLUMN(I$1),FALSE))*100+IFERROR(VLOOKUP($CI322,装強!$1:$999,COLUMN(P$1),FALSE),0),"")</f>
        <v/>
      </c>
      <c r="Q322" t="str">
        <f>IFERROR(ROUNDUP(VLOOKUP($C322,武器!$1:$998,COLUMN(M$1),FALSE)*(VLOOKUP($D322,素材!$1:$1002,COLUMN(D$1),FALSE)/100),1),"")</f>
        <v/>
      </c>
      <c r="R322" t="str">
        <f>IFERROR(ROUNDUP(VLOOKUP($C322,武器!$1:$998,COLUMN(N$1),FALSE)*(VLOOKUP($D322,素材!$1:$1002,COLUMN(D$1),FALSE)/100),1),"")</f>
        <v/>
      </c>
      <c r="S322" t="str">
        <f>IFERROR(VLOOKUP($C322,武器!$1:$998,COLUMN(P$1),FALSE),"")</f>
        <v/>
      </c>
      <c r="T322" t="str">
        <f>IFERROR(VLOOKUP($C322,武器!$1:$998,COLUMN(Q$1),FALSE),"")</f>
        <v/>
      </c>
      <c r="U322" t="str">
        <f>IFERROR(VLOOKUP($C322,武器!$1:$998,COLUMN(R$1),FALSE),"")</f>
        <v/>
      </c>
      <c r="V322" t="str">
        <f>IFERROR(VLOOKUP($C322,武器!$1:$998,COLUMN(Q$1),FALSE),"")</f>
        <v/>
      </c>
      <c r="W322" t="str">
        <f>IFERROR(VLOOKUP($C322,武器!$1:$998,COLUMN(T$1),FALSE),"")</f>
        <v/>
      </c>
      <c r="Y322" t="str">
        <f>IFERROR(VLOOKUP($C322,武器!$1:$998,COLUMN(U$1),FALSE),"")</f>
        <v/>
      </c>
      <c r="Z322" t="str">
        <f>IFERROR(ROUNDUP(VLOOKUP($C322,武器!$1:$998,COLUMN(O$1),FALSE)*VLOOKUP($D322,素材!$1:$1016,COLUMN(E$1),FALSE),1),"")</f>
        <v/>
      </c>
      <c r="AA322">
        <f>IF(ISNUMBER(SEARCH(SUBSTITUTE(AA$1,RIGHT(AA$1,2),""),VLOOKUP($D322,素材!$1:$1016,COLUMN($F$1),FALSE))),VLOOKUP($C322,武器!$1:$998,COLUMN($O$1),FALSE)*VLOOKUP($D322,素材!$1:$1016,COLUMN($E$1),FALSE)/(LEN(VLOOKUP($D322,素材!$1:$1016,COLUMN($F$1),FALSE)) - LEN(SUBSTITUTE(VLOOKUP($D322,素材!$1:$1016,COLUMN($F$1),FALSE), "・", 0)) + 1), 0)</f>
        <v>0</v>
      </c>
      <c r="AB322">
        <f>IF(ISNUMBER(SEARCH(SUBSTITUTE(AB$1,RIGHT(AB$1,2),""),VLOOKUP($D322,素材!$1:$1016,COLUMN($F$1),FALSE))),VLOOKUP($C322,武器!$1:$998,COLUMN($O$1),FALSE)*VLOOKUP($D322,素材!$1:$1016,COLUMN($E$1),FALSE)/(LEN(VLOOKUP($D322,素材!$1:$1016,COLUMN($F$1),FALSE)) - LEN(SUBSTITUTE(VLOOKUP($D322,素材!$1:$1016,COLUMN($F$1),FALSE), "・", 0)) + 1), 0)</f>
        <v>0</v>
      </c>
      <c r="AC322">
        <f>IF(ISNUMBER(SEARCH(SUBSTITUTE(AC$1,RIGHT(AC$1,2),""),VLOOKUP($D322,素材!$1:$1016,COLUMN($F$1),FALSE))),VLOOKUP($C322,武器!$1:$998,COLUMN($O$1),FALSE)*VLOOKUP($D322,素材!$1:$1016,COLUMN($E$1),FALSE)/(LEN(VLOOKUP($D322,素材!$1:$1016,COLUMN($F$1),FALSE)) - LEN(SUBSTITUTE(VLOOKUP($D322,素材!$1:$1016,COLUMN($F$1),FALSE), "・", 0)) + 1), 0)</f>
        <v>0</v>
      </c>
      <c r="AD322">
        <f>IF(ISNUMBER(SEARCH(SUBSTITUTE(AD$1,RIGHT(AD$1,2),""),VLOOKUP($D322,素材!$1:$1016,COLUMN($F$1),FALSE))),VLOOKUP($C322,武器!$1:$998,COLUMN($O$1),FALSE)*VLOOKUP($D322,素材!$1:$1016,COLUMN($E$1),FALSE)/(LEN(VLOOKUP($D322,素材!$1:$1016,COLUMN($F$1),FALSE)) - LEN(SUBSTITUTE(VLOOKUP($D322,素材!$1:$1016,COLUMN($F$1),FALSE), "・", 0)) + 1), 0)</f>
        <v>0</v>
      </c>
      <c r="AE322">
        <f>IF(ISNUMBER(SEARCH(SUBSTITUTE(AE$1,RIGHT(AE$1,2),""),VLOOKUP($D322,素材!$1:$1016,COLUMN($F$1),FALSE))),VLOOKUP($C322,武器!$1:$998,COLUMN($O$1),FALSE)*VLOOKUP($D322,素材!$1:$1016,COLUMN($E$1),FALSE)/(LEN(VLOOKUP($D322,素材!$1:$1016,COLUMN($F$1),FALSE)) - LEN(SUBSTITUTE(VLOOKUP($D322,素材!$1:$1016,COLUMN($F$1),FALSE), "・", 0)) + 1), 0)</f>
        <v>0</v>
      </c>
      <c r="AF322">
        <f>IF(ISNUMBER(SEARCH(SUBSTITUTE(AF$1,RIGHT(AF$1,2),""),VLOOKUP($D322,素材!$1:$1016,COLUMN($F$1),FALSE))),VLOOKUP($C322,武器!$1:$998,COLUMN($O$1),FALSE)*VLOOKUP($D322,素材!$1:$1016,COLUMN($E$1),FALSE)/(LEN(VLOOKUP($D322,素材!$1:$1016,COLUMN($F$1),FALSE)) - LEN(SUBSTITUTE(VLOOKUP($D322,素材!$1:$1016,COLUMN($F$1),FALSE), "・", 0)) + 1), 0)</f>
        <v>0</v>
      </c>
      <c r="AG322">
        <f>IF(ISNUMBER(SEARCH(SUBSTITUTE(AG$1,RIGHT(AG$1,2),""),VLOOKUP($D322,素材!$1:$1016,COLUMN($F$1),FALSE))),VLOOKUP($C322,武器!$1:$998,COLUMN($O$1),FALSE)*VLOOKUP($D322,素材!$1:$1016,COLUMN($E$1),FALSE)/(LEN(VLOOKUP($D322,素材!$1:$1016,COLUMN($F$1),FALSE)) - LEN(SUBSTITUTE(VLOOKUP($D322,素材!$1:$1016,COLUMN($F$1),FALSE), "・", 0)) + 1), 0)</f>
        <v>0</v>
      </c>
      <c r="AH322">
        <f>IF(ISNUMBER(SEARCH(SUBSTITUTE(AH$1,RIGHT(AH$1,2),""),VLOOKUP($D322,素材!$1:$1016,COLUMN($F$1),FALSE))),VLOOKUP($C322,武器!$1:$998,COLUMN($O$1),FALSE)*VLOOKUP($D322,素材!$1:$1016,COLUMN($E$1),FALSE)/(LEN(VLOOKUP($D322,素材!$1:$1016,COLUMN($F$1),FALSE)) - LEN(SUBSTITUTE(VLOOKUP($D322,素材!$1:$1016,COLUMN($F$1),FALSE), "・", 0)) + 1), 0)</f>
        <v>0</v>
      </c>
      <c r="AI322">
        <f>IF(ISNUMBER(SEARCH(SUBSTITUTE(AI$1,RIGHT(AI$1,2),""),VLOOKUP($D322,素材!$1:$1016,COLUMN($F$1),FALSE))),VLOOKUP($C322,武器!$1:$998,COLUMN($O$1),FALSE)*VLOOKUP($D322,素材!$1:$1016,COLUMN($E$1),FALSE)/(LEN(VLOOKUP($D322,素材!$1:$1016,COLUMN($F$1),FALSE)) - LEN(SUBSTITUTE(VLOOKUP($D322,素材!$1:$1016,COLUMN($F$1),FALSE), "・", 0)) + 1), 0)</f>
        <v>0</v>
      </c>
      <c r="AJ322">
        <f>IF(ISNUMBER(SEARCH(SUBSTITUTE(AJ$1,RIGHT(AJ$1,2),""),VLOOKUP($D322,素材!$1:$1016,COLUMN($F$1),FALSE))),VLOOKUP($C322,武器!$1:$998,COLUMN($O$1),FALSE)*VLOOKUP($D322,素材!$1:$1016,COLUMN($E$1),FALSE)/(LEN(VLOOKUP($D322,素材!$1:$1016,COLUMN($F$1),FALSE)) - LEN(SUBSTITUTE(VLOOKUP($D322,素材!$1:$1016,COLUMN($F$1),FALSE), "・", 0)) + 1), 0)</f>
        <v>0</v>
      </c>
      <c r="AK322">
        <f>IF(ISNUMBER(SEARCH(SUBSTITUTE(AK$1,RIGHT(AK$1,2),""),VLOOKUP($D322,素材!$1:$1016,COLUMN($F$1),FALSE))),VLOOKUP($C322,武器!$1:$998,COLUMN($O$1),FALSE)*VLOOKUP($D322,素材!$1:$1016,COLUMN($E$1),FALSE)/(LEN(VLOOKUP($D322,素材!$1:$1016,COLUMN($F$1),FALSE)) - LEN(SUBSTITUTE(VLOOKUP($D322,素材!$1:$1016,COLUMN($F$1),FALSE), "・", 0)) + 1), 0)</f>
        <v>0</v>
      </c>
      <c r="AL322">
        <f>IF(ISNUMBER(SEARCH(SUBSTITUTE(AL$1,RIGHT(AL$1,2),""),VLOOKUP($D322,素材!$1:$1016,COLUMN($F$1),FALSE))),VLOOKUP($C322,武器!$1:$998,COLUMN($O$1),FALSE)*VLOOKUP($D322,素材!$1:$1016,COLUMN($E$1),FALSE)/(LEN(VLOOKUP($D322,素材!$1:$1016,COLUMN($F$1),FALSE)) - LEN(SUBSTITUTE(VLOOKUP($D322,素材!$1:$1016,COLUMN($F$1),FALSE), "・", 0)) + 1), 0)</f>
        <v>0</v>
      </c>
      <c r="AM322">
        <f>IF(ISNUMBER(SEARCH(SUBSTITUTE(AM$1,RIGHT(AM$1,2),""),VLOOKUP($D322,素材!$1:$1016,COLUMN($F$1),FALSE))),VLOOKUP($C322,武器!$1:$998,COLUMN($O$1),FALSE)*VLOOKUP($D322,素材!$1:$1016,COLUMN($E$1),FALSE)/(LEN(VLOOKUP($D322,素材!$1:$1016,COLUMN($F$1),FALSE)) - LEN(SUBSTITUTE(VLOOKUP($D322,素材!$1:$1016,COLUMN($F$1),FALSE), "・", 0)) + 1), 0)</f>
        <v>0</v>
      </c>
      <c r="AN322">
        <f>IF(ISNUMBER(SEARCH(SUBSTITUTE(AN$1,RIGHT(AN$1,2),""),VLOOKUP($D322,素材!$1:$1016,COLUMN($F$1),FALSE))),VLOOKUP($C322,武器!$1:$998,COLUMN($O$1),FALSE)*VLOOKUP($D322,素材!$1:$1016,COLUMN($E$1),FALSE)/(LEN(VLOOKUP($D322,素材!$1:$1016,COLUMN($F$1),FALSE)) - LEN(SUBSTITUTE(VLOOKUP($D322,素材!$1:$1016,COLUMN($F$1),FALSE), "・", 0)) + 1), 0)</f>
        <v>0</v>
      </c>
      <c r="AO322">
        <f>IF(ISNUMBER(SEARCH(SUBSTITUTE(AO$1,RIGHT(AO$1,2),""),VLOOKUP($D322,素材!$1:$1016,COLUMN($F$1),FALSE))),VLOOKUP($C322,武器!$1:$998,COLUMN($O$1),FALSE)*VLOOKUP($D322,素材!$1:$1016,COLUMN($E$1),FALSE)/(LEN(VLOOKUP($D322,素材!$1:$1016,COLUMN($F$1),FALSE)) - LEN(SUBSTITUTE(VLOOKUP($D322,素材!$1:$1016,COLUMN($F$1),FALSE), "・", 0)) + 1), 0)</f>
        <v>0</v>
      </c>
      <c r="AP322">
        <f>IF(ISNUMBER(SEARCH(SUBSTITUTE(AP$1,RIGHT(AP$1,2),""),VLOOKUP($D322,素材!$1:$1016,COLUMN($F$1),FALSE))),VLOOKUP($C322,武器!$1:$998,COLUMN($O$1),FALSE)*VLOOKUP($D322,素材!$1:$1016,COLUMN($E$1),FALSE)/(LEN(VLOOKUP($D322,素材!$1:$1016,COLUMN($F$1),FALSE)) - LEN(SUBSTITUTE(VLOOKUP($D322,素材!$1:$1016,COLUMN($F$1),FALSE), "・", 0)) + 1), 0)</f>
        <v>0</v>
      </c>
      <c r="AQ322">
        <f>IF(ISNUMBER(SEARCH(SUBSTITUTE(AQ$1,RIGHT(AQ$1,2),""),VLOOKUP($D322,素材!$1:$1016,COLUMN($F$1),FALSE))),VLOOKUP($C322,武器!$1:$998,COLUMN($O$1),FALSE)*VLOOKUP($D322,素材!$1:$1016,COLUMN($E$1),FALSE)/(LEN(VLOOKUP($D322,素材!$1:$1016,COLUMN($F$1),FALSE)) - LEN(SUBSTITUTE(VLOOKUP($D322,素材!$1:$1016,COLUMN($F$1),FALSE), "・", 0)) + 1), 0)</f>
        <v>0</v>
      </c>
      <c r="AR322">
        <f>IF(ISNUMBER(SEARCH(SUBSTITUTE(AR$1,RIGHT(AR$1,2),""),VLOOKUP($D322,素材!$1:$1016,COLUMN($F$1),FALSE))),VLOOKUP($C322,武器!$1:$998,COLUMN($O$1),FALSE)*VLOOKUP($D322,素材!$1:$1016,COLUMN($E$1),FALSE)/(LEN(VLOOKUP($D322,素材!$1:$1016,COLUMN($F$1),FALSE)) - LEN(SUBSTITUTE(VLOOKUP($D322,素材!$1:$1016,COLUMN($F$1),FALSE), "・", 0)) + 1), 0)</f>
        <v>0</v>
      </c>
      <c r="AS322">
        <f>IF(ISNUMBER(SEARCH(SUBSTITUTE(AS$1,RIGHT(AS$1,2),""),VLOOKUP($D322,素材!$1:$1016,COLUMN($F$1),FALSE))),VLOOKUP($C322,武器!$1:$998,COLUMN($O$1),FALSE)*VLOOKUP($D322,素材!$1:$1016,COLUMN($E$1),FALSE)/(LEN(VLOOKUP($D322,素材!$1:$1016,COLUMN($F$1),FALSE)) - LEN(SUBSTITUTE(VLOOKUP($D322,素材!$1:$1016,COLUMN($F$1),FALSE), "・", 0)) + 1), 0)</f>
        <v>0</v>
      </c>
      <c r="AT322">
        <f>IF(ISNUMBER(SEARCH(SUBSTITUTE(AT$1,RIGHT(AT$1,2),""),VLOOKUP($D322,素材!$1:$1016,COLUMN($F$1),FALSE))),VLOOKUP($C322,武器!$1:$998,COLUMN($O$1),FALSE)*VLOOKUP($D322,素材!$1:$1016,COLUMN($E$1),FALSE)/(LEN(VLOOKUP($D322,素材!$1:$1016,COLUMN($F$1),FALSE)) - LEN(SUBSTITUTE(VLOOKUP($D322,素材!$1:$1016,COLUMN($F$1),FALSE), "・", 0)) + 1), 0)</f>
        <v>0</v>
      </c>
      <c r="AU322">
        <f>IF(ISNUMBER(SEARCH(SUBSTITUTE(AU$1,RIGHT(AU$1,2),""),VLOOKUP($D322,素材!$1:$1016,COLUMN($F$1),FALSE))),VLOOKUP($C322,武器!$1:$998,COLUMN($O$1),FALSE)*VLOOKUP($D322,素材!$1:$1016,COLUMN($E$1),FALSE)/(LEN(VLOOKUP($D322,素材!$1:$1016,COLUMN($F$1),FALSE)) - LEN(SUBSTITUTE(VLOOKUP($D322,素材!$1:$1016,COLUMN($F$1),FALSE), "・", 0)) + 1), 0)</f>
        <v>0</v>
      </c>
      <c r="AV322">
        <f>IF(ISNUMBER(SEARCH(SUBSTITUTE(AV$1,RIGHT(AV$1,2),""),VLOOKUP($D322,素材!$1:$1016,COLUMN($F$1),FALSE))),VLOOKUP($C322,武器!$1:$998,COLUMN($O$1),FALSE)*VLOOKUP($D322,素材!$1:$1016,COLUMN($E$1),FALSE)/(LEN(VLOOKUP($D322,素材!$1:$1016,COLUMN($F$1),FALSE)) - LEN(SUBSTITUTE(VLOOKUP($D322,素材!$1:$1016,COLUMN($F$1),FALSE), "・", 0)) + 1), 0)</f>
        <v>0</v>
      </c>
      <c r="AW322">
        <f>IF(ISNUMBER(SEARCH(SUBSTITUTE(AW$1,RIGHT(AW$1,2),""),VLOOKUP($D322,素材!$1:$1016,COLUMN($F$1),FALSE))),VLOOKUP($C322,武器!$1:$998,COLUMN($O$1),FALSE)*VLOOKUP($D322,素材!$1:$1016,COLUMN($E$1),FALSE)/(LEN(VLOOKUP($D322,素材!$1:$1016,COLUMN($F$1),FALSE)) - LEN(SUBSTITUTE(VLOOKUP($D322,素材!$1:$1016,COLUMN($F$1),FALSE), "・", 0)) + 1), 0)</f>
        <v>0</v>
      </c>
      <c r="AX322">
        <f>IF(ISNUMBER(SEARCH(SUBSTITUTE(AX$1,RIGHT(AX$1,2),""),VLOOKUP($D322,素材!$1:$1016,COLUMN($F$1),FALSE))),VLOOKUP($C322,武器!$1:$998,COLUMN($O$1),FALSE)*VLOOKUP($D322,素材!$1:$1016,COLUMN($E$1),FALSE)/(LEN(VLOOKUP($D322,素材!$1:$1016,COLUMN($F$1),FALSE)) - LEN(SUBSTITUTE(VLOOKUP($D322,素材!$1:$1016,COLUMN($F$1),FALSE), "・", 0)) + 1), 0)</f>
        <v>0</v>
      </c>
      <c r="AY322">
        <f>IF(ISNUMBER(SEARCH(SUBSTITUTE(AY$1,RIGHT(AY$1,2),""),VLOOKUP($D322,素材!$1:$1016,COLUMN($F$1),FALSE))),VLOOKUP($C322,武器!$1:$998,COLUMN($O$1),FALSE)*VLOOKUP($D322,素材!$1:$1016,COLUMN($E$1),FALSE)/(LEN(VLOOKUP($D322,素材!$1:$1016,COLUMN($F$1),FALSE)) - LEN(SUBSTITUTE(VLOOKUP($D322,素材!$1:$1016,COLUMN($F$1),FALSE), "・", 0)) + 1), 0)</f>
        <v>0</v>
      </c>
      <c r="AZ322">
        <f>IF(ISNUMBER(SEARCH(SUBSTITUTE(AZ$1,RIGHT(AZ$1,2),""),VLOOKUP($D322,素材!$1:$1016,COLUMN($F$1),FALSE))),VLOOKUP($C322,武器!$1:$998,COLUMN($O$1),FALSE)*VLOOKUP($D322,素材!$1:$1016,COLUMN($E$1),FALSE)/(LEN(VLOOKUP($D322,素材!$1:$1016,COLUMN($F$1),FALSE)) - LEN(SUBSTITUTE(VLOOKUP($D322,素材!$1:$1016,COLUMN($F$1),FALSE), "・", 0)) + 1), 0)</f>
        <v>0</v>
      </c>
      <c r="BA322">
        <f>IF(ISNUMBER(SEARCH(SUBSTITUTE(BA$1,RIGHT(BA$1,2),""),VLOOKUP($D322,素材!$1:$1016,COLUMN($F$1),FALSE))),VLOOKUP($C322,武器!$1:$998,COLUMN($O$1),FALSE)*VLOOKUP($D322,素材!$1:$1016,COLUMN($E$1),FALSE)/(LEN(VLOOKUP($D322,素材!$1:$1016,COLUMN($F$1),FALSE)) - LEN(SUBSTITUTE(VLOOKUP($D322,素材!$1:$1016,COLUMN($F$1),FALSE), "・", 0)) + 1), 0)</f>
        <v>0</v>
      </c>
      <c r="BB322">
        <f>IF(ISNUMBER(SEARCH(SUBSTITUTE(BB$1,RIGHT(BB$1,2),""),VLOOKUP($D322,素材!$1:$1016,COLUMN($F$1),FALSE))),VLOOKUP($C322,武器!$1:$998,COLUMN($O$1),FALSE)*VLOOKUP($D322,素材!$1:$1016,COLUMN($E$1),FALSE)/(LEN(VLOOKUP($D322,素材!$1:$1016,COLUMN($F$1),FALSE)) - LEN(SUBSTITUTE(VLOOKUP($D322,素材!$1:$1016,COLUMN($F$1),FALSE), "・", 0)) + 1), 0)</f>
        <v>0</v>
      </c>
      <c r="BC322">
        <f>IF(ISNUMBER(SEARCH(SUBSTITUTE(BC$1,RIGHT(BC$1,2),""),VLOOKUP($D322,素材!$1:$1016,COLUMN($F$1),FALSE))),VLOOKUP($C322,武器!$1:$998,COLUMN($O$1),FALSE)*VLOOKUP($D322,素材!$1:$1016,COLUMN($E$1),FALSE)/(LEN(VLOOKUP($D322,素材!$1:$1016,COLUMN($F$1),FALSE)) - LEN(SUBSTITUTE(VLOOKUP($D322,素材!$1:$1016,COLUMN($F$1),FALSE), "・", 0)) + 1), 0)</f>
        <v>0</v>
      </c>
      <c r="BD322">
        <f>IF(ISNUMBER(SEARCH(SUBSTITUTE(BD$1,RIGHT(BD$1,2),""),VLOOKUP($D322,素材!$1:$1016,COLUMN($F$1),FALSE))),VLOOKUP($C322,武器!$1:$998,COLUMN($O$1),FALSE)*VLOOKUP($D322,素材!$1:$1016,COLUMN($E$1),FALSE)/(LEN(VLOOKUP($D322,素材!$1:$1016,COLUMN($F$1),FALSE)) - LEN(SUBSTITUTE(VLOOKUP($D322,素材!$1:$1016,COLUMN($F$1),FALSE), "・", 0)) + 1), 0)</f>
        <v>0</v>
      </c>
      <c r="BE322">
        <f>IF(ISNUMBER(SEARCH(SUBSTITUTE(BE$1,RIGHT(BE$1,2),""),VLOOKUP($D322,素材!$1:$1016,COLUMN($F$1),FALSE))),VLOOKUP($C322,武器!$1:$998,COLUMN($O$1),FALSE)*VLOOKUP($D322,素材!$1:$1016,COLUMN($E$1),FALSE)/(LEN(VLOOKUP($D322,素材!$1:$1016,COLUMN($F$1),FALSE)) - LEN(SUBSTITUTE(VLOOKUP($D322,素材!$1:$1016,COLUMN($F$1),FALSE), "・", 0)) + 1), 0)</f>
        <v>0</v>
      </c>
      <c r="CL322">
        <f>SUM(G322:I322)</f>
        <v>0</v>
      </c>
      <c r="CM322" s="22" t="str">
        <f>IF(E322="武器",IF(J322-1&gt;SUM(G322:I322),"盾",IF(MAX(G322:I322)=G322,"切断",IF(MAX(G322:I322)=H322,"貫通",IF(MAX(G322:I322)=I322,"打撃","射撃")))),E322)&amp;".webp"</f>
        <v>.webp</v>
      </c>
      <c r="CN322" t="str">
        <f>IFERROR(VLOOKUP($C322,武器!$1:$998,COLUMN(V$1),FALSE)*VLOOKUP($D322,素材!$1:$1016,COLUMN(N$1),FALSE)+IF(CI322="",0,VLOOKUP($CI322,装強!$1:$1008,COLUMN($CK$1),FALSE)),"")</f>
        <v/>
      </c>
      <c r="CO322" t="e">
        <f>VLOOKUP(D322,素材!$A:$O,COLUMN(素材!O$1),FALSE)</f>
        <v>#N/A</v>
      </c>
      <c r="CP322" t="e">
        <f>VLOOKUP(C322,武器!$A:$W,COLUMN(武器!W$1),FALSE)</f>
        <v>#N/A</v>
      </c>
      <c r="CR322" t="str">
        <f t="shared" si="33"/>
        <v>e_322</v>
      </c>
      <c r="CS322" t="e">
        <f t="shared" si="34"/>
        <v>#VALUE!</v>
      </c>
    </row>
    <row r="323" spans="1:97" hidden="1" outlineLevel="1" x14ac:dyDescent="0.4">
      <c r="A323" t="str">
        <f>IF(CI323="",D323&amp;"の"&amp;C323,CI323&amp;"の"&amp;C323)</f>
        <v>の</v>
      </c>
      <c r="B323" t="str">
        <f>IFERROR(IF(CI323="",VLOOKUP($D323,素材!$1:$1016,COLUMN($B$1),FALSE)&amp;"・"&amp;VLOOKUP($C323,武器!$1:$998,COLUMN(B$1),FALSE),VLOOKUP($CI323,装強!$1:$1008,COLUMN($B$1),FALSE)&amp;"・"&amp;VLOOKUP($C323,武器!$1:$998,COLUMN(B$1),FALSE)),"")</f>
        <v/>
      </c>
      <c r="C323" s="24"/>
      <c r="D323" s="24"/>
      <c r="E323" t="str">
        <f>IFERROR(VLOOKUP(C323,武器!$1:$998,COLUMN(C$1),FALSE),"")</f>
        <v/>
      </c>
      <c r="F323" t="str">
        <f>IFERROR(ROUNDDOWN((VLOOKUP($C323,武器!$1:$998,COLUMN(D$1),FALSE)+IFERROR(VLOOKUP($CI323,装強!$1:$999,COLUMN(F$1),FALSE),0))*VLOOKUP($D323,素材!$1:$1016,COLUMN(D$1),FALSE),0),"")</f>
        <v/>
      </c>
      <c r="G323" t="str">
        <f>IFERROR(ROUNDDOWN((VLOOKUP($C323,武器!$1:$998,COLUMN(E$1),FALSE)+IFERROR(VLOOKUP($CI323,装強!$1:$999,COLUMN(G$1),FALSE),0))*VLOOKUP($D323,素材!$1:$1016,COLUMN($E$1),FALSE),0),"")</f>
        <v/>
      </c>
      <c r="H323" t="str">
        <f>IFERROR(ROUNDDOWN((VLOOKUP($C323,武器!$1:$998,COLUMN(F$1),FALSE)+IFERROR(VLOOKUP($CI323,装強!$1:$999,COLUMN(H$1),FALSE),0))*VLOOKUP($D323,素材!$1:$1016,COLUMN($E$1),FALSE),0),"")</f>
        <v/>
      </c>
      <c r="I323" t="str">
        <f>IFERROR(ROUNDDOWN((VLOOKUP($C323,武器!$1:$998,COLUMN(G$1),FALSE)+IFERROR(VLOOKUP($CI323,装強!$1:$999,COLUMN(I$1),FALSE),0))*VLOOKUP($D323,素材!$1:$1016,COLUMN($E$1),FALSE),0),"")</f>
        <v/>
      </c>
      <c r="J323" t="str">
        <f>IFERROR(ROUNDDOWN((VLOOKUP($C323,武器!$1:$998,COLUMN(H$1),FALSE)+IFERROR(VLOOKUP($CI323,装強!$1:$999,COLUMN(J$1),FALSE),0))*VLOOKUP($D323,素材!$1:$1016,COLUMN($E$1),FALSE),0),"")</f>
        <v/>
      </c>
      <c r="K323" t="str">
        <f>IFERROR(ROUNDDOWN((VLOOKUP($C323,武器!$1:$998,COLUMN(I$1),FALSE)+IFERROR(VLOOKUP($CI323,装強!$1:$999,COLUMN(K$1),FALSE),0))*VLOOKUP($D323,素材!$1:$1016,COLUMN($E$1),FALSE),0),"")</f>
        <v/>
      </c>
      <c r="L323" t="str">
        <f>IFERROR(VLOOKUP($D323,素材!$1:$1016,COLUMN($F$1),FALSE),"")</f>
        <v/>
      </c>
      <c r="M323" t="str">
        <f>IFERROR(VLOOKUP($C323,武器!$1:$998,COLUMN(AA$1),FALSE)*VLOOKUP($D323,素材!$1:$1016,COLUMN($G$1),FALSE),"")</f>
        <v/>
      </c>
      <c r="N323" t="str">
        <f>IFERROR(VLOOKUP($C323,武器!$1:$998,COLUMN(I$1),FALSE),"")</f>
        <v/>
      </c>
      <c r="O323" s="23" t="str">
        <f>IFERROR((VLOOKUP($C323,武器!$1:$998,COLUMN(K$1),FALSE)+VLOOKUP($D323,素材!$1:$1016,COLUMN(H$1),FALSE))*100+IFERROR(VLOOKUP($CI323,装強!$1:$999,COLUMN(O$1),FALSE),0),"")</f>
        <v/>
      </c>
      <c r="P323" s="23" t="str">
        <f>IFERROR((VLOOKUP($C323,武器!$1:$998,COLUMN(L$1),FALSE)+VLOOKUP($D323,素材!$1:$1016,COLUMN(I$1),FALSE))*100+IFERROR(VLOOKUP($CI323,装強!$1:$999,COLUMN(P$1),FALSE),0),"")</f>
        <v/>
      </c>
      <c r="Q323" t="str">
        <f>IFERROR(ROUNDUP(VLOOKUP($C323,武器!$1:$998,COLUMN(M$1),FALSE)*(VLOOKUP($D323,素材!$1:$1002,COLUMN(D$1),FALSE)/100),1),"")</f>
        <v/>
      </c>
      <c r="R323" t="str">
        <f>IFERROR(ROUNDUP(VLOOKUP($C323,武器!$1:$998,COLUMN(N$1),FALSE)*(VLOOKUP($D323,素材!$1:$1002,COLUMN(D$1),FALSE)/100),1),"")</f>
        <v/>
      </c>
      <c r="S323" t="str">
        <f>IFERROR(VLOOKUP($C323,武器!$1:$998,COLUMN(P$1),FALSE),"")</f>
        <v/>
      </c>
      <c r="T323" t="str">
        <f>IFERROR(VLOOKUP($C323,武器!$1:$998,COLUMN(Q$1),FALSE),"")</f>
        <v/>
      </c>
      <c r="U323" t="str">
        <f>IFERROR(VLOOKUP($C323,武器!$1:$998,COLUMN(R$1),FALSE),"")</f>
        <v/>
      </c>
      <c r="V323" t="str">
        <f>IFERROR(VLOOKUP($C323,武器!$1:$998,COLUMN(Q$1),FALSE),"")</f>
        <v/>
      </c>
      <c r="W323" t="str">
        <f>IFERROR(VLOOKUP($C323,武器!$1:$998,COLUMN(T$1),FALSE),"")</f>
        <v/>
      </c>
      <c r="Y323" t="str">
        <f>IFERROR(VLOOKUP($C323,武器!$1:$998,COLUMN(U$1),FALSE),"")</f>
        <v/>
      </c>
      <c r="Z323" t="str">
        <f>IFERROR(ROUNDUP(VLOOKUP($C323,武器!$1:$998,COLUMN(O$1),FALSE)*VLOOKUP($D323,素材!$1:$1016,COLUMN(E$1),FALSE),1),"")</f>
        <v/>
      </c>
      <c r="AA323">
        <f>IF(ISNUMBER(SEARCH(SUBSTITUTE(AA$1,RIGHT(AA$1,2),""),VLOOKUP($D323,素材!$1:$1016,COLUMN($F$1),FALSE))),VLOOKUP($C323,武器!$1:$998,COLUMN($O$1),FALSE)*VLOOKUP($D323,素材!$1:$1016,COLUMN($E$1),FALSE)/(LEN(VLOOKUP($D323,素材!$1:$1016,COLUMN($F$1),FALSE)) - LEN(SUBSTITUTE(VLOOKUP($D323,素材!$1:$1016,COLUMN($F$1),FALSE), "・", 0)) + 1), 0)</f>
        <v>0</v>
      </c>
      <c r="AB323">
        <f>IF(ISNUMBER(SEARCH(SUBSTITUTE(AB$1,RIGHT(AB$1,2),""),VLOOKUP($D323,素材!$1:$1016,COLUMN($F$1),FALSE))),VLOOKUP($C323,武器!$1:$998,COLUMN($O$1),FALSE)*VLOOKUP($D323,素材!$1:$1016,COLUMN($E$1),FALSE)/(LEN(VLOOKUP($D323,素材!$1:$1016,COLUMN($F$1),FALSE)) - LEN(SUBSTITUTE(VLOOKUP($D323,素材!$1:$1016,COLUMN($F$1),FALSE), "・", 0)) + 1), 0)</f>
        <v>0</v>
      </c>
      <c r="AC323">
        <f>IF(ISNUMBER(SEARCH(SUBSTITUTE(AC$1,RIGHT(AC$1,2),""),VLOOKUP($D323,素材!$1:$1016,COLUMN($F$1),FALSE))),VLOOKUP($C323,武器!$1:$998,COLUMN($O$1),FALSE)*VLOOKUP($D323,素材!$1:$1016,COLUMN($E$1),FALSE)/(LEN(VLOOKUP($D323,素材!$1:$1016,COLUMN($F$1),FALSE)) - LEN(SUBSTITUTE(VLOOKUP($D323,素材!$1:$1016,COLUMN($F$1),FALSE), "・", 0)) + 1), 0)</f>
        <v>0</v>
      </c>
      <c r="AD323">
        <f>IF(ISNUMBER(SEARCH(SUBSTITUTE(AD$1,RIGHT(AD$1,2),""),VLOOKUP($D323,素材!$1:$1016,COLUMN($F$1),FALSE))),VLOOKUP($C323,武器!$1:$998,COLUMN($O$1),FALSE)*VLOOKUP($D323,素材!$1:$1016,COLUMN($E$1),FALSE)/(LEN(VLOOKUP($D323,素材!$1:$1016,COLUMN($F$1),FALSE)) - LEN(SUBSTITUTE(VLOOKUP($D323,素材!$1:$1016,COLUMN($F$1),FALSE), "・", 0)) + 1), 0)</f>
        <v>0</v>
      </c>
      <c r="AE323">
        <f>IF(ISNUMBER(SEARCH(SUBSTITUTE(AE$1,RIGHT(AE$1,2),""),VLOOKUP($D323,素材!$1:$1016,COLUMN($F$1),FALSE))),VLOOKUP($C323,武器!$1:$998,COLUMN($O$1),FALSE)*VLOOKUP($D323,素材!$1:$1016,COLUMN($E$1),FALSE)/(LEN(VLOOKUP($D323,素材!$1:$1016,COLUMN($F$1),FALSE)) - LEN(SUBSTITUTE(VLOOKUP($D323,素材!$1:$1016,COLUMN($F$1),FALSE), "・", 0)) + 1), 0)</f>
        <v>0</v>
      </c>
      <c r="AF323">
        <f>IF(ISNUMBER(SEARCH(SUBSTITUTE(AF$1,RIGHT(AF$1,2),""),VLOOKUP($D323,素材!$1:$1016,COLUMN($F$1),FALSE))),VLOOKUP($C323,武器!$1:$998,COLUMN($O$1),FALSE)*VLOOKUP($D323,素材!$1:$1016,COLUMN($E$1),FALSE)/(LEN(VLOOKUP($D323,素材!$1:$1016,COLUMN($F$1),FALSE)) - LEN(SUBSTITUTE(VLOOKUP($D323,素材!$1:$1016,COLUMN($F$1),FALSE), "・", 0)) + 1), 0)</f>
        <v>0</v>
      </c>
      <c r="AG323">
        <f>IF(ISNUMBER(SEARCH(SUBSTITUTE(AG$1,RIGHT(AG$1,2),""),VLOOKUP($D323,素材!$1:$1016,COLUMN($F$1),FALSE))),VLOOKUP($C323,武器!$1:$998,COLUMN($O$1),FALSE)*VLOOKUP($D323,素材!$1:$1016,COLUMN($E$1),FALSE)/(LEN(VLOOKUP($D323,素材!$1:$1016,COLUMN($F$1),FALSE)) - LEN(SUBSTITUTE(VLOOKUP($D323,素材!$1:$1016,COLUMN($F$1),FALSE), "・", 0)) + 1), 0)</f>
        <v>0</v>
      </c>
      <c r="AH323">
        <f>IF(ISNUMBER(SEARCH(SUBSTITUTE(AH$1,RIGHT(AH$1,2),""),VLOOKUP($D323,素材!$1:$1016,COLUMN($F$1),FALSE))),VLOOKUP($C323,武器!$1:$998,COLUMN($O$1),FALSE)*VLOOKUP($D323,素材!$1:$1016,COLUMN($E$1),FALSE)/(LEN(VLOOKUP($D323,素材!$1:$1016,COLUMN($F$1),FALSE)) - LEN(SUBSTITUTE(VLOOKUP($D323,素材!$1:$1016,COLUMN($F$1),FALSE), "・", 0)) + 1), 0)</f>
        <v>0</v>
      </c>
      <c r="AI323">
        <f>IF(ISNUMBER(SEARCH(SUBSTITUTE(AI$1,RIGHT(AI$1,2),""),VLOOKUP($D323,素材!$1:$1016,COLUMN($F$1),FALSE))),VLOOKUP($C323,武器!$1:$998,COLUMN($O$1),FALSE)*VLOOKUP($D323,素材!$1:$1016,COLUMN($E$1),FALSE)/(LEN(VLOOKUP($D323,素材!$1:$1016,COLUMN($F$1),FALSE)) - LEN(SUBSTITUTE(VLOOKUP($D323,素材!$1:$1016,COLUMN($F$1),FALSE), "・", 0)) + 1), 0)</f>
        <v>0</v>
      </c>
      <c r="AJ323">
        <f>IF(ISNUMBER(SEARCH(SUBSTITUTE(AJ$1,RIGHT(AJ$1,2),""),VLOOKUP($D323,素材!$1:$1016,COLUMN($F$1),FALSE))),VLOOKUP($C323,武器!$1:$998,COLUMN($O$1),FALSE)*VLOOKUP($D323,素材!$1:$1016,COLUMN($E$1),FALSE)/(LEN(VLOOKUP($D323,素材!$1:$1016,COLUMN($F$1),FALSE)) - LEN(SUBSTITUTE(VLOOKUP($D323,素材!$1:$1016,COLUMN($F$1),FALSE), "・", 0)) + 1), 0)</f>
        <v>0</v>
      </c>
      <c r="AK323">
        <f>IF(ISNUMBER(SEARCH(SUBSTITUTE(AK$1,RIGHT(AK$1,2),""),VLOOKUP($D323,素材!$1:$1016,COLUMN($F$1),FALSE))),VLOOKUP($C323,武器!$1:$998,COLUMN($O$1),FALSE)*VLOOKUP($D323,素材!$1:$1016,COLUMN($E$1),FALSE)/(LEN(VLOOKUP($D323,素材!$1:$1016,COLUMN($F$1),FALSE)) - LEN(SUBSTITUTE(VLOOKUP($D323,素材!$1:$1016,COLUMN($F$1),FALSE), "・", 0)) + 1), 0)</f>
        <v>0</v>
      </c>
      <c r="AL323">
        <f>IF(ISNUMBER(SEARCH(SUBSTITUTE(AL$1,RIGHT(AL$1,2),""),VLOOKUP($D323,素材!$1:$1016,COLUMN($F$1),FALSE))),VLOOKUP($C323,武器!$1:$998,COLUMN($O$1),FALSE)*VLOOKUP($D323,素材!$1:$1016,COLUMN($E$1),FALSE)/(LEN(VLOOKUP($D323,素材!$1:$1016,COLUMN($F$1),FALSE)) - LEN(SUBSTITUTE(VLOOKUP($D323,素材!$1:$1016,COLUMN($F$1),FALSE), "・", 0)) + 1), 0)</f>
        <v>0</v>
      </c>
      <c r="AM323">
        <f>IF(ISNUMBER(SEARCH(SUBSTITUTE(AM$1,RIGHT(AM$1,2),""),VLOOKUP($D323,素材!$1:$1016,COLUMN($F$1),FALSE))),VLOOKUP($C323,武器!$1:$998,COLUMN($O$1),FALSE)*VLOOKUP($D323,素材!$1:$1016,COLUMN($E$1),FALSE)/(LEN(VLOOKUP($D323,素材!$1:$1016,COLUMN($F$1),FALSE)) - LEN(SUBSTITUTE(VLOOKUP($D323,素材!$1:$1016,COLUMN($F$1),FALSE), "・", 0)) + 1), 0)</f>
        <v>0</v>
      </c>
      <c r="AN323">
        <f>IF(ISNUMBER(SEARCH(SUBSTITUTE(AN$1,RIGHT(AN$1,2),""),VLOOKUP($D323,素材!$1:$1016,COLUMN($F$1),FALSE))),VLOOKUP($C323,武器!$1:$998,COLUMN($O$1),FALSE)*VLOOKUP($D323,素材!$1:$1016,COLUMN($E$1),FALSE)/(LEN(VLOOKUP($D323,素材!$1:$1016,COLUMN($F$1),FALSE)) - LEN(SUBSTITUTE(VLOOKUP($D323,素材!$1:$1016,COLUMN($F$1),FALSE), "・", 0)) + 1), 0)</f>
        <v>0</v>
      </c>
      <c r="AO323">
        <f>IF(ISNUMBER(SEARCH(SUBSTITUTE(AO$1,RIGHT(AO$1,2),""),VLOOKUP($D323,素材!$1:$1016,COLUMN($F$1),FALSE))),VLOOKUP($C323,武器!$1:$998,COLUMN($O$1),FALSE)*VLOOKUP($D323,素材!$1:$1016,COLUMN($E$1),FALSE)/(LEN(VLOOKUP($D323,素材!$1:$1016,COLUMN($F$1),FALSE)) - LEN(SUBSTITUTE(VLOOKUP($D323,素材!$1:$1016,COLUMN($F$1),FALSE), "・", 0)) + 1), 0)</f>
        <v>0</v>
      </c>
      <c r="AP323">
        <f>IF(ISNUMBER(SEARCH(SUBSTITUTE(AP$1,RIGHT(AP$1,2),""),VLOOKUP($D323,素材!$1:$1016,COLUMN($F$1),FALSE))),VLOOKUP($C323,武器!$1:$998,COLUMN($O$1),FALSE)*VLOOKUP($D323,素材!$1:$1016,COLUMN($E$1),FALSE)/(LEN(VLOOKUP($D323,素材!$1:$1016,COLUMN($F$1),FALSE)) - LEN(SUBSTITUTE(VLOOKUP($D323,素材!$1:$1016,COLUMN($F$1),FALSE), "・", 0)) + 1), 0)</f>
        <v>0</v>
      </c>
      <c r="AQ323">
        <f>IF(ISNUMBER(SEARCH(SUBSTITUTE(AQ$1,RIGHT(AQ$1,2),""),VLOOKUP($D323,素材!$1:$1016,COLUMN($F$1),FALSE))),VLOOKUP($C323,武器!$1:$998,COLUMN($O$1),FALSE)*VLOOKUP($D323,素材!$1:$1016,COLUMN($E$1),FALSE)/(LEN(VLOOKUP($D323,素材!$1:$1016,COLUMN($F$1),FALSE)) - LEN(SUBSTITUTE(VLOOKUP($D323,素材!$1:$1016,COLUMN($F$1),FALSE), "・", 0)) + 1), 0)</f>
        <v>0</v>
      </c>
      <c r="AR323">
        <f>IF(ISNUMBER(SEARCH(SUBSTITUTE(AR$1,RIGHT(AR$1,2),""),VLOOKUP($D323,素材!$1:$1016,COLUMN($F$1),FALSE))),VLOOKUP($C323,武器!$1:$998,COLUMN($O$1),FALSE)*VLOOKUP($D323,素材!$1:$1016,COLUMN($E$1),FALSE)/(LEN(VLOOKUP($D323,素材!$1:$1016,COLUMN($F$1),FALSE)) - LEN(SUBSTITUTE(VLOOKUP($D323,素材!$1:$1016,COLUMN($F$1),FALSE), "・", 0)) + 1), 0)</f>
        <v>0</v>
      </c>
      <c r="AS323">
        <f>IF(ISNUMBER(SEARCH(SUBSTITUTE(AS$1,RIGHT(AS$1,2),""),VLOOKUP($D323,素材!$1:$1016,COLUMN($F$1),FALSE))),VLOOKUP($C323,武器!$1:$998,COLUMN($O$1),FALSE)*VLOOKUP($D323,素材!$1:$1016,COLUMN($E$1),FALSE)/(LEN(VLOOKUP($D323,素材!$1:$1016,COLUMN($F$1),FALSE)) - LEN(SUBSTITUTE(VLOOKUP($D323,素材!$1:$1016,COLUMN($F$1),FALSE), "・", 0)) + 1), 0)</f>
        <v>0</v>
      </c>
      <c r="AT323">
        <f>IF(ISNUMBER(SEARCH(SUBSTITUTE(AT$1,RIGHT(AT$1,2),""),VLOOKUP($D323,素材!$1:$1016,COLUMN($F$1),FALSE))),VLOOKUP($C323,武器!$1:$998,COLUMN($O$1),FALSE)*VLOOKUP($D323,素材!$1:$1016,COLUMN($E$1),FALSE)/(LEN(VLOOKUP($D323,素材!$1:$1016,COLUMN($F$1),FALSE)) - LEN(SUBSTITUTE(VLOOKUP($D323,素材!$1:$1016,COLUMN($F$1),FALSE), "・", 0)) + 1), 0)</f>
        <v>0</v>
      </c>
      <c r="AU323">
        <f>IF(ISNUMBER(SEARCH(SUBSTITUTE(AU$1,RIGHT(AU$1,2),""),VLOOKUP($D323,素材!$1:$1016,COLUMN($F$1),FALSE))),VLOOKUP($C323,武器!$1:$998,COLUMN($O$1),FALSE)*VLOOKUP($D323,素材!$1:$1016,COLUMN($E$1),FALSE)/(LEN(VLOOKUP($D323,素材!$1:$1016,COLUMN($F$1),FALSE)) - LEN(SUBSTITUTE(VLOOKUP($D323,素材!$1:$1016,COLUMN($F$1),FALSE), "・", 0)) + 1), 0)</f>
        <v>0</v>
      </c>
      <c r="AV323">
        <f>IF(ISNUMBER(SEARCH(SUBSTITUTE(AV$1,RIGHT(AV$1,2),""),VLOOKUP($D323,素材!$1:$1016,COLUMN($F$1),FALSE))),VLOOKUP($C323,武器!$1:$998,COLUMN($O$1),FALSE)*VLOOKUP($D323,素材!$1:$1016,COLUMN($E$1),FALSE)/(LEN(VLOOKUP($D323,素材!$1:$1016,COLUMN($F$1),FALSE)) - LEN(SUBSTITUTE(VLOOKUP($D323,素材!$1:$1016,COLUMN($F$1),FALSE), "・", 0)) + 1), 0)</f>
        <v>0</v>
      </c>
      <c r="AW323">
        <f>IF(ISNUMBER(SEARCH(SUBSTITUTE(AW$1,RIGHT(AW$1,2),""),VLOOKUP($D323,素材!$1:$1016,COLUMN($F$1),FALSE))),VLOOKUP($C323,武器!$1:$998,COLUMN($O$1),FALSE)*VLOOKUP($D323,素材!$1:$1016,COLUMN($E$1),FALSE)/(LEN(VLOOKUP($D323,素材!$1:$1016,COLUMN($F$1),FALSE)) - LEN(SUBSTITUTE(VLOOKUP($D323,素材!$1:$1016,COLUMN($F$1),FALSE), "・", 0)) + 1), 0)</f>
        <v>0</v>
      </c>
      <c r="AX323">
        <f>IF(ISNUMBER(SEARCH(SUBSTITUTE(AX$1,RIGHT(AX$1,2),""),VLOOKUP($D323,素材!$1:$1016,COLUMN($F$1),FALSE))),VLOOKUP($C323,武器!$1:$998,COLUMN($O$1),FALSE)*VLOOKUP($D323,素材!$1:$1016,COLUMN($E$1),FALSE)/(LEN(VLOOKUP($D323,素材!$1:$1016,COLUMN($F$1),FALSE)) - LEN(SUBSTITUTE(VLOOKUP($D323,素材!$1:$1016,COLUMN($F$1),FALSE), "・", 0)) + 1), 0)</f>
        <v>0</v>
      </c>
      <c r="AY323">
        <f>IF(ISNUMBER(SEARCH(SUBSTITUTE(AY$1,RIGHT(AY$1,2),""),VLOOKUP($D323,素材!$1:$1016,COLUMN($F$1),FALSE))),VLOOKUP($C323,武器!$1:$998,COLUMN($O$1),FALSE)*VLOOKUP($D323,素材!$1:$1016,COLUMN($E$1),FALSE)/(LEN(VLOOKUP($D323,素材!$1:$1016,COLUMN($F$1),FALSE)) - LEN(SUBSTITUTE(VLOOKUP($D323,素材!$1:$1016,COLUMN($F$1),FALSE), "・", 0)) + 1), 0)</f>
        <v>0</v>
      </c>
      <c r="AZ323">
        <f>IF(ISNUMBER(SEARCH(SUBSTITUTE(AZ$1,RIGHT(AZ$1,2),""),VLOOKUP($D323,素材!$1:$1016,COLUMN($F$1),FALSE))),VLOOKUP($C323,武器!$1:$998,COLUMN($O$1),FALSE)*VLOOKUP($D323,素材!$1:$1016,COLUMN($E$1),FALSE)/(LEN(VLOOKUP($D323,素材!$1:$1016,COLUMN($F$1),FALSE)) - LEN(SUBSTITUTE(VLOOKUP($D323,素材!$1:$1016,COLUMN($F$1),FALSE), "・", 0)) + 1), 0)</f>
        <v>0</v>
      </c>
      <c r="BA323">
        <f>IF(ISNUMBER(SEARCH(SUBSTITUTE(BA$1,RIGHT(BA$1,2),""),VLOOKUP($D323,素材!$1:$1016,COLUMN($F$1),FALSE))),VLOOKUP($C323,武器!$1:$998,COLUMN($O$1),FALSE)*VLOOKUP($D323,素材!$1:$1016,COLUMN($E$1),FALSE)/(LEN(VLOOKUP($D323,素材!$1:$1016,COLUMN($F$1),FALSE)) - LEN(SUBSTITUTE(VLOOKUP($D323,素材!$1:$1016,COLUMN($F$1),FALSE), "・", 0)) + 1), 0)</f>
        <v>0</v>
      </c>
      <c r="BB323">
        <f>IF(ISNUMBER(SEARCH(SUBSTITUTE(BB$1,RIGHT(BB$1,2),""),VLOOKUP($D323,素材!$1:$1016,COLUMN($F$1),FALSE))),VLOOKUP($C323,武器!$1:$998,COLUMN($O$1),FALSE)*VLOOKUP($D323,素材!$1:$1016,COLUMN($E$1),FALSE)/(LEN(VLOOKUP($D323,素材!$1:$1016,COLUMN($F$1),FALSE)) - LEN(SUBSTITUTE(VLOOKUP($D323,素材!$1:$1016,COLUMN($F$1),FALSE), "・", 0)) + 1), 0)</f>
        <v>0</v>
      </c>
      <c r="BC323">
        <f>IF(ISNUMBER(SEARCH(SUBSTITUTE(BC$1,RIGHT(BC$1,2),""),VLOOKUP($D323,素材!$1:$1016,COLUMN($F$1),FALSE))),VLOOKUP($C323,武器!$1:$998,COLUMN($O$1),FALSE)*VLOOKUP($D323,素材!$1:$1016,COLUMN($E$1),FALSE)/(LEN(VLOOKUP($D323,素材!$1:$1016,COLUMN($F$1),FALSE)) - LEN(SUBSTITUTE(VLOOKUP($D323,素材!$1:$1016,COLUMN($F$1),FALSE), "・", 0)) + 1), 0)</f>
        <v>0</v>
      </c>
      <c r="BD323">
        <f>IF(ISNUMBER(SEARCH(SUBSTITUTE(BD$1,RIGHT(BD$1,2),""),VLOOKUP($D323,素材!$1:$1016,COLUMN($F$1),FALSE))),VLOOKUP($C323,武器!$1:$998,COLUMN($O$1),FALSE)*VLOOKUP($D323,素材!$1:$1016,COLUMN($E$1),FALSE)/(LEN(VLOOKUP($D323,素材!$1:$1016,COLUMN($F$1),FALSE)) - LEN(SUBSTITUTE(VLOOKUP($D323,素材!$1:$1016,COLUMN($F$1),FALSE), "・", 0)) + 1), 0)</f>
        <v>0</v>
      </c>
      <c r="BE323">
        <f>IF(ISNUMBER(SEARCH(SUBSTITUTE(BE$1,RIGHT(BE$1,2),""),VLOOKUP($D323,素材!$1:$1016,COLUMN($F$1),FALSE))),VLOOKUP($C323,武器!$1:$998,COLUMN($O$1),FALSE)*VLOOKUP($D323,素材!$1:$1016,COLUMN($E$1),FALSE)/(LEN(VLOOKUP($D323,素材!$1:$1016,COLUMN($F$1),FALSE)) - LEN(SUBSTITUTE(VLOOKUP($D323,素材!$1:$1016,COLUMN($F$1),FALSE), "・", 0)) + 1), 0)</f>
        <v>0</v>
      </c>
      <c r="CL323">
        <f>SUM(G323:I323)</f>
        <v>0</v>
      </c>
      <c r="CM323" s="22" t="str">
        <f>IF(E323="武器",IF(J323-1&gt;SUM(G323:I323),"盾",IF(MAX(G323:I323)=G323,"切断",IF(MAX(G323:I323)=H323,"貫通",IF(MAX(G323:I323)=I323,"打撃","射撃")))),E323)&amp;".webp"</f>
        <v>.webp</v>
      </c>
      <c r="CN323" t="str">
        <f>IFERROR(VLOOKUP($C323,武器!$1:$998,COLUMN(V$1),FALSE)*VLOOKUP($D323,素材!$1:$1016,COLUMN(N$1),FALSE)+IF(CI323="",0,VLOOKUP($CI323,装強!$1:$1008,COLUMN($CK$1),FALSE)),"")</f>
        <v/>
      </c>
      <c r="CO323" t="e">
        <f>VLOOKUP(D323,素材!$A:$O,COLUMN(素材!O$1),FALSE)</f>
        <v>#N/A</v>
      </c>
      <c r="CP323" t="e">
        <f>VLOOKUP(C323,武器!$A:$W,COLUMN(武器!W$1),FALSE)</f>
        <v>#N/A</v>
      </c>
      <c r="CR323" t="str">
        <f t="shared" si="33"/>
        <v>e_323</v>
      </c>
      <c r="CS323" t="e">
        <f t="shared" si="34"/>
        <v>#VALUE!</v>
      </c>
    </row>
    <row r="324" spans="1:97" hidden="1" outlineLevel="1" x14ac:dyDescent="0.4">
      <c r="A324" t="str">
        <f>IF(CI324="",D324&amp;"の"&amp;C324,CI324&amp;"の"&amp;C324)</f>
        <v>の</v>
      </c>
      <c r="B324" t="str">
        <f>IFERROR(IF(CI324="",VLOOKUP($D324,素材!$1:$1016,COLUMN($B$1),FALSE)&amp;"・"&amp;VLOOKUP($C324,武器!$1:$998,COLUMN(B$1),FALSE),VLOOKUP($CI324,装強!$1:$1008,COLUMN($B$1),FALSE)&amp;"・"&amp;VLOOKUP($C324,武器!$1:$998,COLUMN(B$1),FALSE)),"")</f>
        <v/>
      </c>
      <c r="C324" s="24"/>
      <c r="D324" s="24"/>
      <c r="E324" t="str">
        <f>IFERROR(VLOOKUP(C324,武器!$1:$998,COLUMN(C$1),FALSE),"")</f>
        <v/>
      </c>
      <c r="F324" t="str">
        <f>IFERROR(ROUNDDOWN((VLOOKUP($C324,武器!$1:$998,COLUMN(D$1),FALSE)+IFERROR(VLOOKUP($CI324,装強!$1:$999,COLUMN(F$1),FALSE),0))*VLOOKUP($D324,素材!$1:$1016,COLUMN(D$1),FALSE),0),"")</f>
        <v/>
      </c>
      <c r="G324" t="str">
        <f>IFERROR(ROUNDDOWN((VLOOKUP($C324,武器!$1:$998,COLUMN(E$1),FALSE)+IFERROR(VLOOKUP($CI324,装強!$1:$999,COLUMN(G$1),FALSE),0))*VLOOKUP($D324,素材!$1:$1016,COLUMN($E$1),FALSE),0),"")</f>
        <v/>
      </c>
      <c r="H324" t="str">
        <f>IFERROR(ROUNDDOWN((VLOOKUP($C324,武器!$1:$998,COLUMN(F$1),FALSE)+IFERROR(VLOOKUP($CI324,装強!$1:$999,COLUMN(H$1),FALSE),0))*VLOOKUP($D324,素材!$1:$1016,COLUMN($E$1),FALSE),0),"")</f>
        <v/>
      </c>
      <c r="I324" t="str">
        <f>IFERROR(ROUNDDOWN((VLOOKUP($C324,武器!$1:$998,COLUMN(G$1),FALSE)+IFERROR(VLOOKUP($CI324,装強!$1:$999,COLUMN(I$1),FALSE),0))*VLOOKUP($D324,素材!$1:$1016,COLUMN($E$1),FALSE),0),"")</f>
        <v/>
      </c>
      <c r="J324" t="str">
        <f>IFERROR(ROUNDDOWN((VLOOKUP($C324,武器!$1:$998,COLUMN(H$1),FALSE)+IFERROR(VLOOKUP($CI324,装強!$1:$999,COLUMN(J$1),FALSE),0))*VLOOKUP($D324,素材!$1:$1016,COLUMN($E$1),FALSE),0),"")</f>
        <v/>
      </c>
      <c r="K324" t="str">
        <f>IFERROR(ROUNDDOWN((VLOOKUP($C324,武器!$1:$998,COLUMN(I$1),FALSE)+IFERROR(VLOOKUP($CI324,装強!$1:$999,COLUMN(K$1),FALSE),0))*VLOOKUP($D324,素材!$1:$1016,COLUMN($E$1),FALSE),0),"")</f>
        <v/>
      </c>
      <c r="L324" t="str">
        <f>IFERROR(VLOOKUP($D324,素材!$1:$1016,COLUMN($F$1),FALSE),"")</f>
        <v/>
      </c>
      <c r="M324" t="str">
        <f>IFERROR(VLOOKUP($C324,武器!$1:$998,COLUMN(AA$1),FALSE)*VLOOKUP($D324,素材!$1:$1016,COLUMN($G$1),FALSE),"")</f>
        <v/>
      </c>
      <c r="N324" t="str">
        <f>IFERROR(VLOOKUP($C324,武器!$1:$998,COLUMN(I$1),FALSE),"")</f>
        <v/>
      </c>
      <c r="O324" s="23" t="str">
        <f>IFERROR((VLOOKUP($C324,武器!$1:$998,COLUMN(K$1),FALSE)+VLOOKUP($D324,素材!$1:$1016,COLUMN(H$1),FALSE))*100+IFERROR(VLOOKUP($CI324,装強!$1:$999,COLUMN(O$1),FALSE),0),"")</f>
        <v/>
      </c>
      <c r="P324" s="23" t="str">
        <f>IFERROR((VLOOKUP($C324,武器!$1:$998,COLUMN(L$1),FALSE)+VLOOKUP($D324,素材!$1:$1016,COLUMN(I$1),FALSE))*100+IFERROR(VLOOKUP($CI324,装強!$1:$999,COLUMN(P$1),FALSE),0),"")</f>
        <v/>
      </c>
      <c r="Q324" t="str">
        <f>IFERROR(ROUNDUP(VLOOKUP($C324,武器!$1:$998,COLUMN(M$1),FALSE)*(VLOOKUP($D324,素材!$1:$1002,COLUMN(D$1),FALSE)/100),1),"")</f>
        <v/>
      </c>
      <c r="R324" t="str">
        <f>IFERROR(ROUNDUP(VLOOKUP($C324,武器!$1:$998,COLUMN(N$1),FALSE)*(VLOOKUP($D324,素材!$1:$1002,COLUMN(D$1),FALSE)/100),1),"")</f>
        <v/>
      </c>
      <c r="S324" t="str">
        <f>IFERROR(VLOOKUP($C324,武器!$1:$998,COLUMN(P$1),FALSE),"")</f>
        <v/>
      </c>
      <c r="T324" t="str">
        <f>IFERROR(VLOOKUP($C324,武器!$1:$998,COLUMN(Q$1),FALSE),"")</f>
        <v/>
      </c>
      <c r="U324" t="str">
        <f>IFERROR(VLOOKUP($C324,武器!$1:$998,COLUMN(R$1),FALSE),"")</f>
        <v/>
      </c>
      <c r="V324" t="str">
        <f>IFERROR(VLOOKUP($C324,武器!$1:$998,COLUMN(Q$1),FALSE),"")</f>
        <v/>
      </c>
      <c r="W324" t="str">
        <f>IFERROR(VLOOKUP($C324,武器!$1:$998,COLUMN(T$1),FALSE),"")</f>
        <v/>
      </c>
      <c r="Y324" t="str">
        <f>IFERROR(VLOOKUP($C324,武器!$1:$998,COLUMN(U$1),FALSE),"")</f>
        <v/>
      </c>
      <c r="Z324" t="str">
        <f>IFERROR(ROUNDUP(VLOOKUP($C324,武器!$1:$998,COLUMN(O$1),FALSE)*VLOOKUP($D324,素材!$1:$1016,COLUMN(E$1),FALSE),1),"")</f>
        <v/>
      </c>
      <c r="AA324">
        <f>IF(ISNUMBER(SEARCH(SUBSTITUTE(AA$1,RIGHT(AA$1,2),""),VLOOKUP($D324,素材!$1:$1016,COLUMN($F$1),FALSE))),VLOOKUP($C324,武器!$1:$998,COLUMN($O$1),FALSE)*VLOOKUP($D324,素材!$1:$1016,COLUMN($E$1),FALSE)/(LEN(VLOOKUP($D324,素材!$1:$1016,COLUMN($F$1),FALSE)) - LEN(SUBSTITUTE(VLOOKUP($D324,素材!$1:$1016,COLUMN($F$1),FALSE), "・", 0)) + 1), 0)</f>
        <v>0</v>
      </c>
      <c r="AB324">
        <f>IF(ISNUMBER(SEARCH(SUBSTITUTE(AB$1,RIGHT(AB$1,2),""),VLOOKUP($D324,素材!$1:$1016,COLUMN($F$1),FALSE))),VLOOKUP($C324,武器!$1:$998,COLUMN($O$1),FALSE)*VLOOKUP($D324,素材!$1:$1016,COLUMN($E$1),FALSE)/(LEN(VLOOKUP($D324,素材!$1:$1016,COLUMN($F$1),FALSE)) - LEN(SUBSTITUTE(VLOOKUP($D324,素材!$1:$1016,COLUMN($F$1),FALSE), "・", 0)) + 1), 0)</f>
        <v>0</v>
      </c>
      <c r="AC324">
        <f>IF(ISNUMBER(SEARCH(SUBSTITUTE(AC$1,RIGHT(AC$1,2),""),VLOOKUP($D324,素材!$1:$1016,COLUMN($F$1),FALSE))),VLOOKUP($C324,武器!$1:$998,COLUMN($O$1),FALSE)*VLOOKUP($D324,素材!$1:$1016,COLUMN($E$1),FALSE)/(LEN(VLOOKUP($D324,素材!$1:$1016,COLUMN($F$1),FALSE)) - LEN(SUBSTITUTE(VLOOKUP($D324,素材!$1:$1016,COLUMN($F$1),FALSE), "・", 0)) + 1), 0)</f>
        <v>0</v>
      </c>
      <c r="AD324">
        <f>IF(ISNUMBER(SEARCH(SUBSTITUTE(AD$1,RIGHT(AD$1,2),""),VLOOKUP($D324,素材!$1:$1016,COLUMN($F$1),FALSE))),VLOOKUP($C324,武器!$1:$998,COLUMN($O$1),FALSE)*VLOOKUP($D324,素材!$1:$1016,COLUMN($E$1),FALSE)/(LEN(VLOOKUP($D324,素材!$1:$1016,COLUMN($F$1),FALSE)) - LEN(SUBSTITUTE(VLOOKUP($D324,素材!$1:$1016,COLUMN($F$1),FALSE), "・", 0)) + 1), 0)</f>
        <v>0</v>
      </c>
      <c r="AE324">
        <f>IF(ISNUMBER(SEARCH(SUBSTITUTE(AE$1,RIGHT(AE$1,2),""),VLOOKUP($D324,素材!$1:$1016,COLUMN($F$1),FALSE))),VLOOKUP($C324,武器!$1:$998,COLUMN($O$1),FALSE)*VLOOKUP($D324,素材!$1:$1016,COLUMN($E$1),FALSE)/(LEN(VLOOKUP($D324,素材!$1:$1016,COLUMN($F$1),FALSE)) - LEN(SUBSTITUTE(VLOOKUP($D324,素材!$1:$1016,COLUMN($F$1),FALSE), "・", 0)) + 1), 0)</f>
        <v>0</v>
      </c>
      <c r="AF324">
        <f>IF(ISNUMBER(SEARCH(SUBSTITUTE(AF$1,RIGHT(AF$1,2),""),VLOOKUP($D324,素材!$1:$1016,COLUMN($F$1),FALSE))),VLOOKUP($C324,武器!$1:$998,COLUMN($O$1),FALSE)*VLOOKUP($D324,素材!$1:$1016,COLUMN($E$1),FALSE)/(LEN(VLOOKUP($D324,素材!$1:$1016,COLUMN($F$1),FALSE)) - LEN(SUBSTITUTE(VLOOKUP($D324,素材!$1:$1016,COLUMN($F$1),FALSE), "・", 0)) + 1), 0)</f>
        <v>0</v>
      </c>
      <c r="AG324">
        <f>IF(ISNUMBER(SEARCH(SUBSTITUTE(AG$1,RIGHT(AG$1,2),""),VLOOKUP($D324,素材!$1:$1016,COLUMN($F$1),FALSE))),VLOOKUP($C324,武器!$1:$998,COLUMN($O$1),FALSE)*VLOOKUP($D324,素材!$1:$1016,COLUMN($E$1),FALSE)/(LEN(VLOOKUP($D324,素材!$1:$1016,COLUMN($F$1),FALSE)) - LEN(SUBSTITUTE(VLOOKUP($D324,素材!$1:$1016,COLUMN($F$1),FALSE), "・", 0)) + 1), 0)</f>
        <v>0</v>
      </c>
      <c r="AH324">
        <f>IF(ISNUMBER(SEARCH(SUBSTITUTE(AH$1,RIGHT(AH$1,2),""),VLOOKUP($D324,素材!$1:$1016,COLUMN($F$1),FALSE))),VLOOKUP($C324,武器!$1:$998,COLUMN($O$1),FALSE)*VLOOKUP($D324,素材!$1:$1016,COLUMN($E$1),FALSE)/(LEN(VLOOKUP($D324,素材!$1:$1016,COLUMN($F$1),FALSE)) - LEN(SUBSTITUTE(VLOOKUP($D324,素材!$1:$1016,COLUMN($F$1),FALSE), "・", 0)) + 1), 0)</f>
        <v>0</v>
      </c>
      <c r="AI324">
        <f>IF(ISNUMBER(SEARCH(SUBSTITUTE(AI$1,RIGHT(AI$1,2),""),VLOOKUP($D324,素材!$1:$1016,COLUMN($F$1),FALSE))),VLOOKUP($C324,武器!$1:$998,COLUMN($O$1),FALSE)*VLOOKUP($D324,素材!$1:$1016,COLUMN($E$1),FALSE)/(LEN(VLOOKUP($D324,素材!$1:$1016,COLUMN($F$1),FALSE)) - LEN(SUBSTITUTE(VLOOKUP($D324,素材!$1:$1016,COLUMN($F$1),FALSE), "・", 0)) + 1), 0)</f>
        <v>0</v>
      </c>
      <c r="AJ324">
        <f>IF(ISNUMBER(SEARCH(SUBSTITUTE(AJ$1,RIGHT(AJ$1,2),""),VLOOKUP($D324,素材!$1:$1016,COLUMN($F$1),FALSE))),VLOOKUP($C324,武器!$1:$998,COLUMN($O$1),FALSE)*VLOOKUP($D324,素材!$1:$1016,COLUMN($E$1),FALSE)/(LEN(VLOOKUP($D324,素材!$1:$1016,COLUMN($F$1),FALSE)) - LEN(SUBSTITUTE(VLOOKUP($D324,素材!$1:$1016,COLUMN($F$1),FALSE), "・", 0)) + 1), 0)</f>
        <v>0</v>
      </c>
      <c r="AK324">
        <f>IF(ISNUMBER(SEARCH(SUBSTITUTE(AK$1,RIGHT(AK$1,2),""),VLOOKUP($D324,素材!$1:$1016,COLUMN($F$1),FALSE))),VLOOKUP($C324,武器!$1:$998,COLUMN($O$1),FALSE)*VLOOKUP($D324,素材!$1:$1016,COLUMN($E$1),FALSE)/(LEN(VLOOKUP($D324,素材!$1:$1016,COLUMN($F$1),FALSE)) - LEN(SUBSTITUTE(VLOOKUP($D324,素材!$1:$1016,COLUMN($F$1),FALSE), "・", 0)) + 1), 0)</f>
        <v>0</v>
      </c>
      <c r="AL324">
        <f>IF(ISNUMBER(SEARCH(SUBSTITUTE(AL$1,RIGHT(AL$1,2),""),VLOOKUP($D324,素材!$1:$1016,COLUMN($F$1),FALSE))),VLOOKUP($C324,武器!$1:$998,COLUMN($O$1),FALSE)*VLOOKUP($D324,素材!$1:$1016,COLUMN($E$1),FALSE)/(LEN(VLOOKUP($D324,素材!$1:$1016,COLUMN($F$1),FALSE)) - LEN(SUBSTITUTE(VLOOKUP($D324,素材!$1:$1016,COLUMN($F$1),FALSE), "・", 0)) + 1), 0)</f>
        <v>0</v>
      </c>
      <c r="AM324">
        <f>IF(ISNUMBER(SEARCH(SUBSTITUTE(AM$1,RIGHT(AM$1,2),""),VLOOKUP($D324,素材!$1:$1016,COLUMN($F$1),FALSE))),VLOOKUP($C324,武器!$1:$998,COLUMN($O$1),FALSE)*VLOOKUP($D324,素材!$1:$1016,COLUMN($E$1),FALSE)/(LEN(VLOOKUP($D324,素材!$1:$1016,COLUMN($F$1),FALSE)) - LEN(SUBSTITUTE(VLOOKUP($D324,素材!$1:$1016,COLUMN($F$1),FALSE), "・", 0)) + 1), 0)</f>
        <v>0</v>
      </c>
      <c r="AN324">
        <f>IF(ISNUMBER(SEARCH(SUBSTITUTE(AN$1,RIGHT(AN$1,2),""),VLOOKUP($D324,素材!$1:$1016,COLUMN($F$1),FALSE))),VLOOKUP($C324,武器!$1:$998,COLUMN($O$1),FALSE)*VLOOKUP($D324,素材!$1:$1016,COLUMN($E$1),FALSE)/(LEN(VLOOKUP($D324,素材!$1:$1016,COLUMN($F$1),FALSE)) - LEN(SUBSTITUTE(VLOOKUP($D324,素材!$1:$1016,COLUMN($F$1),FALSE), "・", 0)) + 1), 0)</f>
        <v>0</v>
      </c>
      <c r="AO324">
        <f>IF(ISNUMBER(SEARCH(SUBSTITUTE(AO$1,RIGHT(AO$1,2),""),VLOOKUP($D324,素材!$1:$1016,COLUMN($F$1),FALSE))),VLOOKUP($C324,武器!$1:$998,COLUMN($O$1),FALSE)*VLOOKUP($D324,素材!$1:$1016,COLUMN($E$1),FALSE)/(LEN(VLOOKUP($D324,素材!$1:$1016,COLUMN($F$1),FALSE)) - LEN(SUBSTITUTE(VLOOKUP($D324,素材!$1:$1016,COLUMN($F$1),FALSE), "・", 0)) + 1), 0)</f>
        <v>0</v>
      </c>
      <c r="AP324">
        <f>IF(ISNUMBER(SEARCH(SUBSTITUTE(AP$1,RIGHT(AP$1,2),""),VLOOKUP($D324,素材!$1:$1016,COLUMN($F$1),FALSE))),VLOOKUP($C324,武器!$1:$998,COLUMN($O$1),FALSE)*VLOOKUP($D324,素材!$1:$1016,COLUMN($E$1),FALSE)/(LEN(VLOOKUP($D324,素材!$1:$1016,COLUMN($F$1),FALSE)) - LEN(SUBSTITUTE(VLOOKUP($D324,素材!$1:$1016,COLUMN($F$1),FALSE), "・", 0)) + 1), 0)</f>
        <v>0</v>
      </c>
      <c r="AQ324">
        <f>IF(ISNUMBER(SEARCH(SUBSTITUTE(AQ$1,RIGHT(AQ$1,2),""),VLOOKUP($D324,素材!$1:$1016,COLUMN($F$1),FALSE))),VLOOKUP($C324,武器!$1:$998,COLUMN($O$1),FALSE)*VLOOKUP($D324,素材!$1:$1016,COLUMN($E$1),FALSE)/(LEN(VLOOKUP($D324,素材!$1:$1016,COLUMN($F$1),FALSE)) - LEN(SUBSTITUTE(VLOOKUP($D324,素材!$1:$1016,COLUMN($F$1),FALSE), "・", 0)) + 1), 0)</f>
        <v>0</v>
      </c>
      <c r="AR324">
        <f>IF(ISNUMBER(SEARCH(SUBSTITUTE(AR$1,RIGHT(AR$1,2),""),VLOOKUP($D324,素材!$1:$1016,COLUMN($F$1),FALSE))),VLOOKUP($C324,武器!$1:$998,COLUMN($O$1),FALSE)*VLOOKUP($D324,素材!$1:$1016,COLUMN($E$1),FALSE)/(LEN(VLOOKUP($D324,素材!$1:$1016,COLUMN($F$1),FALSE)) - LEN(SUBSTITUTE(VLOOKUP($D324,素材!$1:$1016,COLUMN($F$1),FALSE), "・", 0)) + 1), 0)</f>
        <v>0</v>
      </c>
      <c r="AS324">
        <f>IF(ISNUMBER(SEARCH(SUBSTITUTE(AS$1,RIGHT(AS$1,2),""),VLOOKUP($D324,素材!$1:$1016,COLUMN($F$1),FALSE))),VLOOKUP($C324,武器!$1:$998,COLUMN($O$1),FALSE)*VLOOKUP($D324,素材!$1:$1016,COLUMN($E$1),FALSE)/(LEN(VLOOKUP($D324,素材!$1:$1016,COLUMN($F$1),FALSE)) - LEN(SUBSTITUTE(VLOOKUP($D324,素材!$1:$1016,COLUMN($F$1),FALSE), "・", 0)) + 1), 0)</f>
        <v>0</v>
      </c>
      <c r="AT324">
        <f>IF(ISNUMBER(SEARCH(SUBSTITUTE(AT$1,RIGHT(AT$1,2),""),VLOOKUP($D324,素材!$1:$1016,COLUMN($F$1),FALSE))),VLOOKUP($C324,武器!$1:$998,COLUMN($O$1),FALSE)*VLOOKUP($D324,素材!$1:$1016,COLUMN($E$1),FALSE)/(LEN(VLOOKUP($D324,素材!$1:$1016,COLUMN($F$1),FALSE)) - LEN(SUBSTITUTE(VLOOKUP($D324,素材!$1:$1016,COLUMN($F$1),FALSE), "・", 0)) + 1), 0)</f>
        <v>0</v>
      </c>
      <c r="AU324">
        <f>IF(ISNUMBER(SEARCH(SUBSTITUTE(AU$1,RIGHT(AU$1,2),""),VLOOKUP($D324,素材!$1:$1016,COLUMN($F$1),FALSE))),VLOOKUP($C324,武器!$1:$998,COLUMN($O$1),FALSE)*VLOOKUP($D324,素材!$1:$1016,COLUMN($E$1),FALSE)/(LEN(VLOOKUP($D324,素材!$1:$1016,COLUMN($F$1),FALSE)) - LEN(SUBSTITUTE(VLOOKUP($D324,素材!$1:$1016,COLUMN($F$1),FALSE), "・", 0)) + 1), 0)</f>
        <v>0</v>
      </c>
      <c r="AV324">
        <f>IF(ISNUMBER(SEARCH(SUBSTITUTE(AV$1,RIGHT(AV$1,2),""),VLOOKUP($D324,素材!$1:$1016,COLUMN($F$1),FALSE))),VLOOKUP($C324,武器!$1:$998,COLUMN($O$1),FALSE)*VLOOKUP($D324,素材!$1:$1016,COLUMN($E$1),FALSE)/(LEN(VLOOKUP($D324,素材!$1:$1016,COLUMN($F$1),FALSE)) - LEN(SUBSTITUTE(VLOOKUP($D324,素材!$1:$1016,COLUMN($F$1),FALSE), "・", 0)) + 1), 0)</f>
        <v>0</v>
      </c>
      <c r="AW324">
        <f>IF(ISNUMBER(SEARCH(SUBSTITUTE(AW$1,RIGHT(AW$1,2),""),VLOOKUP($D324,素材!$1:$1016,COLUMN($F$1),FALSE))),VLOOKUP($C324,武器!$1:$998,COLUMN($O$1),FALSE)*VLOOKUP($D324,素材!$1:$1016,COLUMN($E$1),FALSE)/(LEN(VLOOKUP($D324,素材!$1:$1016,COLUMN($F$1),FALSE)) - LEN(SUBSTITUTE(VLOOKUP($D324,素材!$1:$1016,COLUMN($F$1),FALSE), "・", 0)) + 1), 0)</f>
        <v>0</v>
      </c>
      <c r="AX324">
        <f>IF(ISNUMBER(SEARCH(SUBSTITUTE(AX$1,RIGHT(AX$1,2),""),VLOOKUP($D324,素材!$1:$1016,COLUMN($F$1),FALSE))),VLOOKUP($C324,武器!$1:$998,COLUMN($O$1),FALSE)*VLOOKUP($D324,素材!$1:$1016,COLUMN($E$1),FALSE)/(LEN(VLOOKUP($D324,素材!$1:$1016,COLUMN($F$1),FALSE)) - LEN(SUBSTITUTE(VLOOKUP($D324,素材!$1:$1016,COLUMN($F$1),FALSE), "・", 0)) + 1), 0)</f>
        <v>0</v>
      </c>
      <c r="AY324">
        <f>IF(ISNUMBER(SEARCH(SUBSTITUTE(AY$1,RIGHT(AY$1,2),""),VLOOKUP($D324,素材!$1:$1016,COLUMN($F$1),FALSE))),VLOOKUP($C324,武器!$1:$998,COLUMN($O$1),FALSE)*VLOOKUP($D324,素材!$1:$1016,COLUMN($E$1),FALSE)/(LEN(VLOOKUP($D324,素材!$1:$1016,COLUMN($F$1),FALSE)) - LEN(SUBSTITUTE(VLOOKUP($D324,素材!$1:$1016,COLUMN($F$1),FALSE), "・", 0)) + 1), 0)</f>
        <v>0</v>
      </c>
      <c r="AZ324">
        <f>IF(ISNUMBER(SEARCH(SUBSTITUTE(AZ$1,RIGHT(AZ$1,2),""),VLOOKUP($D324,素材!$1:$1016,COLUMN($F$1),FALSE))),VLOOKUP($C324,武器!$1:$998,COLUMN($O$1),FALSE)*VLOOKUP($D324,素材!$1:$1016,COLUMN($E$1),FALSE)/(LEN(VLOOKUP($D324,素材!$1:$1016,COLUMN($F$1),FALSE)) - LEN(SUBSTITUTE(VLOOKUP($D324,素材!$1:$1016,COLUMN($F$1),FALSE), "・", 0)) + 1), 0)</f>
        <v>0</v>
      </c>
      <c r="BA324">
        <f>IF(ISNUMBER(SEARCH(SUBSTITUTE(BA$1,RIGHT(BA$1,2),""),VLOOKUP($D324,素材!$1:$1016,COLUMN($F$1),FALSE))),VLOOKUP($C324,武器!$1:$998,COLUMN($O$1),FALSE)*VLOOKUP($D324,素材!$1:$1016,COLUMN($E$1),FALSE)/(LEN(VLOOKUP($D324,素材!$1:$1016,COLUMN($F$1),FALSE)) - LEN(SUBSTITUTE(VLOOKUP($D324,素材!$1:$1016,COLUMN($F$1),FALSE), "・", 0)) + 1), 0)</f>
        <v>0</v>
      </c>
      <c r="BB324">
        <f>IF(ISNUMBER(SEARCH(SUBSTITUTE(BB$1,RIGHT(BB$1,2),""),VLOOKUP($D324,素材!$1:$1016,COLUMN($F$1),FALSE))),VLOOKUP($C324,武器!$1:$998,COLUMN($O$1),FALSE)*VLOOKUP($D324,素材!$1:$1016,COLUMN($E$1),FALSE)/(LEN(VLOOKUP($D324,素材!$1:$1016,COLUMN($F$1),FALSE)) - LEN(SUBSTITUTE(VLOOKUP($D324,素材!$1:$1016,COLUMN($F$1),FALSE), "・", 0)) + 1), 0)</f>
        <v>0</v>
      </c>
      <c r="BC324">
        <f>IF(ISNUMBER(SEARCH(SUBSTITUTE(BC$1,RIGHT(BC$1,2),""),VLOOKUP($D324,素材!$1:$1016,COLUMN($F$1),FALSE))),VLOOKUP($C324,武器!$1:$998,COLUMN($O$1),FALSE)*VLOOKUP($D324,素材!$1:$1016,COLUMN($E$1),FALSE)/(LEN(VLOOKUP($D324,素材!$1:$1016,COLUMN($F$1),FALSE)) - LEN(SUBSTITUTE(VLOOKUP($D324,素材!$1:$1016,COLUMN($F$1),FALSE), "・", 0)) + 1), 0)</f>
        <v>0</v>
      </c>
      <c r="BD324">
        <f>IF(ISNUMBER(SEARCH(SUBSTITUTE(BD$1,RIGHT(BD$1,2),""),VLOOKUP($D324,素材!$1:$1016,COLUMN($F$1),FALSE))),VLOOKUP($C324,武器!$1:$998,COLUMN($O$1),FALSE)*VLOOKUP($D324,素材!$1:$1016,COLUMN($E$1),FALSE)/(LEN(VLOOKUP($D324,素材!$1:$1016,COLUMN($F$1),FALSE)) - LEN(SUBSTITUTE(VLOOKUP($D324,素材!$1:$1016,COLUMN($F$1),FALSE), "・", 0)) + 1), 0)</f>
        <v>0</v>
      </c>
      <c r="BE324">
        <f>IF(ISNUMBER(SEARCH(SUBSTITUTE(BE$1,RIGHT(BE$1,2),""),VLOOKUP($D324,素材!$1:$1016,COLUMN($F$1),FALSE))),VLOOKUP($C324,武器!$1:$998,COLUMN($O$1),FALSE)*VLOOKUP($D324,素材!$1:$1016,COLUMN($E$1),FALSE)/(LEN(VLOOKUP($D324,素材!$1:$1016,COLUMN($F$1),FALSE)) - LEN(SUBSTITUTE(VLOOKUP($D324,素材!$1:$1016,COLUMN($F$1),FALSE), "・", 0)) + 1), 0)</f>
        <v>0</v>
      </c>
      <c r="CL324">
        <f>SUM(G324:I324)</f>
        <v>0</v>
      </c>
      <c r="CM324" s="22" t="str">
        <f>IF(E324="武器",IF(J324-1&gt;SUM(G324:I324),"盾",IF(MAX(G324:I324)=G324,"切断",IF(MAX(G324:I324)=H324,"貫通",IF(MAX(G324:I324)=I324,"打撃","射撃")))),E324)&amp;".webp"</f>
        <v>.webp</v>
      </c>
      <c r="CN324" t="str">
        <f>IFERROR(VLOOKUP($C324,武器!$1:$998,COLUMN(V$1),FALSE)*VLOOKUP($D324,素材!$1:$1016,COLUMN(N$1),FALSE)+IF(CI324="",0,VLOOKUP($CI324,装強!$1:$1008,COLUMN($CK$1),FALSE)),"")</f>
        <v/>
      </c>
      <c r="CO324" t="e">
        <f>VLOOKUP(D324,素材!$A:$O,COLUMN(素材!O$1),FALSE)</f>
        <v>#N/A</v>
      </c>
      <c r="CP324" t="e">
        <f>VLOOKUP(C324,武器!$A:$W,COLUMN(武器!W$1),FALSE)</f>
        <v>#N/A</v>
      </c>
      <c r="CR324" t="str">
        <f t="shared" si="33"/>
        <v>e_324</v>
      </c>
      <c r="CS324" t="e">
        <f t="shared" si="34"/>
        <v>#VALUE!</v>
      </c>
    </row>
    <row r="325" spans="1:97" hidden="1" outlineLevel="1" x14ac:dyDescent="0.4">
      <c r="A325" t="str">
        <f>IF(CI325="",D325&amp;"の"&amp;C325,CI325&amp;"の"&amp;C325)</f>
        <v>の</v>
      </c>
      <c r="B325" t="str">
        <f>IFERROR(IF(CI325="",VLOOKUP($D325,素材!$1:$1016,COLUMN($B$1),FALSE)&amp;"・"&amp;VLOOKUP($C325,武器!$1:$998,COLUMN(B$1),FALSE),VLOOKUP($CI325,装強!$1:$1008,COLUMN($B$1),FALSE)&amp;"・"&amp;VLOOKUP($C325,武器!$1:$998,COLUMN(B$1),FALSE)),"")</f>
        <v/>
      </c>
      <c r="C325" s="24"/>
      <c r="D325" s="24"/>
      <c r="E325" t="str">
        <f>IFERROR(VLOOKUP(C325,武器!$1:$998,COLUMN(C$1),FALSE),"")</f>
        <v/>
      </c>
      <c r="F325" t="str">
        <f>IFERROR(ROUNDDOWN((VLOOKUP($C325,武器!$1:$998,COLUMN(D$1),FALSE)+IFERROR(VLOOKUP($CI325,装強!$1:$999,COLUMN(F$1),FALSE),0))*VLOOKUP($D325,素材!$1:$1016,COLUMN(D$1),FALSE),0),"")</f>
        <v/>
      </c>
      <c r="G325" t="str">
        <f>IFERROR(ROUNDDOWN((VLOOKUP($C325,武器!$1:$998,COLUMN(E$1),FALSE)+IFERROR(VLOOKUP($CI325,装強!$1:$999,COLUMN(G$1),FALSE),0))*VLOOKUP($D325,素材!$1:$1016,COLUMN($E$1),FALSE),0),"")</f>
        <v/>
      </c>
      <c r="H325" t="str">
        <f>IFERROR(ROUNDDOWN((VLOOKUP($C325,武器!$1:$998,COLUMN(F$1),FALSE)+IFERROR(VLOOKUP($CI325,装強!$1:$999,COLUMN(H$1),FALSE),0))*VLOOKUP($D325,素材!$1:$1016,COLUMN($E$1),FALSE),0),"")</f>
        <v/>
      </c>
      <c r="I325" t="str">
        <f>IFERROR(ROUNDDOWN((VLOOKUP($C325,武器!$1:$998,COLUMN(G$1),FALSE)+IFERROR(VLOOKUP($CI325,装強!$1:$999,COLUMN(I$1),FALSE),0))*VLOOKUP($D325,素材!$1:$1016,COLUMN($E$1),FALSE),0),"")</f>
        <v/>
      </c>
      <c r="J325" t="str">
        <f>IFERROR(ROUNDDOWN((VLOOKUP($C325,武器!$1:$998,COLUMN(H$1),FALSE)+IFERROR(VLOOKUP($CI325,装強!$1:$999,COLUMN(J$1),FALSE),0))*VLOOKUP($D325,素材!$1:$1016,COLUMN($E$1),FALSE),0),"")</f>
        <v/>
      </c>
      <c r="K325" t="str">
        <f>IFERROR(ROUNDDOWN((VLOOKUP($C325,武器!$1:$998,COLUMN(I$1),FALSE)+IFERROR(VLOOKUP($CI325,装強!$1:$999,COLUMN(K$1),FALSE),0))*VLOOKUP($D325,素材!$1:$1016,COLUMN($E$1),FALSE),0),"")</f>
        <v/>
      </c>
      <c r="L325" t="str">
        <f>IFERROR(VLOOKUP($D325,素材!$1:$1016,COLUMN($F$1),FALSE),"")</f>
        <v/>
      </c>
      <c r="M325" t="str">
        <f>IFERROR(VLOOKUP($C325,武器!$1:$998,COLUMN(AA$1),FALSE)*VLOOKUP($D325,素材!$1:$1016,COLUMN($G$1),FALSE),"")</f>
        <v/>
      </c>
      <c r="N325" t="str">
        <f>IFERROR(VLOOKUP($C325,武器!$1:$998,COLUMN(I$1),FALSE),"")</f>
        <v/>
      </c>
      <c r="O325" s="23" t="str">
        <f>IFERROR((VLOOKUP($C325,武器!$1:$998,COLUMN(K$1),FALSE)+VLOOKUP($D325,素材!$1:$1016,COLUMN(H$1),FALSE))*100+IFERROR(VLOOKUP($CI325,装強!$1:$999,COLUMN(O$1),FALSE),0),"")</f>
        <v/>
      </c>
      <c r="P325" s="23" t="str">
        <f>IFERROR((VLOOKUP($C325,武器!$1:$998,COLUMN(L$1),FALSE)+VLOOKUP($D325,素材!$1:$1016,COLUMN(I$1),FALSE))*100+IFERROR(VLOOKUP($CI325,装強!$1:$999,COLUMN(P$1),FALSE),0),"")</f>
        <v/>
      </c>
      <c r="Q325" t="str">
        <f>IFERROR(ROUNDUP(VLOOKUP($C325,武器!$1:$998,COLUMN(M$1),FALSE)*(VLOOKUP($D325,素材!$1:$1002,COLUMN(D$1),FALSE)/100),1),"")</f>
        <v/>
      </c>
      <c r="R325" t="str">
        <f>IFERROR(ROUNDUP(VLOOKUP($C325,武器!$1:$998,COLUMN(N$1),FALSE)*(VLOOKUP($D325,素材!$1:$1002,COLUMN(D$1),FALSE)/100),1),"")</f>
        <v/>
      </c>
      <c r="S325" t="str">
        <f>IFERROR(VLOOKUP($C325,武器!$1:$998,COLUMN(P$1),FALSE),"")</f>
        <v/>
      </c>
      <c r="T325" t="str">
        <f>IFERROR(VLOOKUP($C325,武器!$1:$998,COLUMN(Q$1),FALSE),"")</f>
        <v/>
      </c>
      <c r="U325" t="str">
        <f>IFERROR(VLOOKUP($C325,武器!$1:$998,COLUMN(R$1),FALSE),"")</f>
        <v/>
      </c>
      <c r="V325" t="str">
        <f>IFERROR(VLOOKUP($C325,武器!$1:$998,COLUMN(Q$1),FALSE),"")</f>
        <v/>
      </c>
      <c r="W325" t="str">
        <f>IFERROR(VLOOKUP($C325,武器!$1:$998,COLUMN(T$1),FALSE),"")</f>
        <v/>
      </c>
      <c r="Y325" t="str">
        <f>IFERROR(VLOOKUP($C325,武器!$1:$998,COLUMN(U$1),FALSE),"")</f>
        <v/>
      </c>
      <c r="Z325" t="str">
        <f>IFERROR(ROUNDUP(VLOOKUP($C325,武器!$1:$998,COLUMN(O$1),FALSE)*VLOOKUP($D325,素材!$1:$1016,COLUMN(E$1),FALSE),1),"")</f>
        <v/>
      </c>
      <c r="AA325">
        <f>IF(ISNUMBER(SEARCH(SUBSTITUTE(AA$1,RIGHT(AA$1,2),""),VLOOKUP($D325,素材!$1:$1016,COLUMN($F$1),FALSE))),VLOOKUP($C325,武器!$1:$998,COLUMN($O$1),FALSE)*VLOOKUP($D325,素材!$1:$1016,COLUMN($E$1),FALSE)/(LEN(VLOOKUP($D325,素材!$1:$1016,COLUMN($F$1),FALSE)) - LEN(SUBSTITUTE(VLOOKUP($D325,素材!$1:$1016,COLUMN($F$1),FALSE), "・", 0)) + 1), 0)</f>
        <v>0</v>
      </c>
      <c r="AB325">
        <f>IF(ISNUMBER(SEARCH(SUBSTITUTE(AB$1,RIGHT(AB$1,2),""),VLOOKUP($D325,素材!$1:$1016,COLUMN($F$1),FALSE))),VLOOKUP($C325,武器!$1:$998,COLUMN($O$1),FALSE)*VLOOKUP($D325,素材!$1:$1016,COLUMN($E$1),FALSE)/(LEN(VLOOKUP($D325,素材!$1:$1016,COLUMN($F$1),FALSE)) - LEN(SUBSTITUTE(VLOOKUP($D325,素材!$1:$1016,COLUMN($F$1),FALSE), "・", 0)) + 1), 0)</f>
        <v>0</v>
      </c>
      <c r="AC325">
        <f>IF(ISNUMBER(SEARCH(SUBSTITUTE(AC$1,RIGHT(AC$1,2),""),VLOOKUP($D325,素材!$1:$1016,COLUMN($F$1),FALSE))),VLOOKUP($C325,武器!$1:$998,COLUMN($O$1),FALSE)*VLOOKUP($D325,素材!$1:$1016,COLUMN($E$1),FALSE)/(LEN(VLOOKUP($D325,素材!$1:$1016,COLUMN($F$1),FALSE)) - LEN(SUBSTITUTE(VLOOKUP($D325,素材!$1:$1016,COLUMN($F$1),FALSE), "・", 0)) + 1), 0)</f>
        <v>0</v>
      </c>
      <c r="AD325">
        <f>IF(ISNUMBER(SEARCH(SUBSTITUTE(AD$1,RIGHT(AD$1,2),""),VLOOKUP($D325,素材!$1:$1016,COLUMN($F$1),FALSE))),VLOOKUP($C325,武器!$1:$998,COLUMN($O$1),FALSE)*VLOOKUP($D325,素材!$1:$1016,COLUMN($E$1),FALSE)/(LEN(VLOOKUP($D325,素材!$1:$1016,COLUMN($F$1),FALSE)) - LEN(SUBSTITUTE(VLOOKUP($D325,素材!$1:$1016,COLUMN($F$1),FALSE), "・", 0)) + 1), 0)</f>
        <v>0</v>
      </c>
      <c r="AE325">
        <f>IF(ISNUMBER(SEARCH(SUBSTITUTE(AE$1,RIGHT(AE$1,2),""),VLOOKUP($D325,素材!$1:$1016,COLUMN($F$1),FALSE))),VLOOKUP($C325,武器!$1:$998,COLUMN($O$1),FALSE)*VLOOKUP($D325,素材!$1:$1016,COLUMN($E$1),FALSE)/(LEN(VLOOKUP($D325,素材!$1:$1016,COLUMN($F$1),FALSE)) - LEN(SUBSTITUTE(VLOOKUP($D325,素材!$1:$1016,COLUMN($F$1),FALSE), "・", 0)) + 1), 0)</f>
        <v>0</v>
      </c>
      <c r="AF325">
        <f>IF(ISNUMBER(SEARCH(SUBSTITUTE(AF$1,RIGHT(AF$1,2),""),VLOOKUP($D325,素材!$1:$1016,COLUMN($F$1),FALSE))),VLOOKUP($C325,武器!$1:$998,COLUMN($O$1),FALSE)*VLOOKUP($D325,素材!$1:$1016,COLUMN($E$1),FALSE)/(LEN(VLOOKUP($D325,素材!$1:$1016,COLUMN($F$1),FALSE)) - LEN(SUBSTITUTE(VLOOKUP($D325,素材!$1:$1016,COLUMN($F$1),FALSE), "・", 0)) + 1), 0)</f>
        <v>0</v>
      </c>
      <c r="AG325">
        <f>IF(ISNUMBER(SEARCH(SUBSTITUTE(AG$1,RIGHT(AG$1,2),""),VLOOKUP($D325,素材!$1:$1016,COLUMN($F$1),FALSE))),VLOOKUP($C325,武器!$1:$998,COLUMN($O$1),FALSE)*VLOOKUP($D325,素材!$1:$1016,COLUMN($E$1),FALSE)/(LEN(VLOOKUP($D325,素材!$1:$1016,COLUMN($F$1),FALSE)) - LEN(SUBSTITUTE(VLOOKUP($D325,素材!$1:$1016,COLUMN($F$1),FALSE), "・", 0)) + 1), 0)</f>
        <v>0</v>
      </c>
      <c r="AH325">
        <f>IF(ISNUMBER(SEARCH(SUBSTITUTE(AH$1,RIGHT(AH$1,2),""),VLOOKUP($D325,素材!$1:$1016,COLUMN($F$1),FALSE))),VLOOKUP($C325,武器!$1:$998,COLUMN($O$1),FALSE)*VLOOKUP($D325,素材!$1:$1016,COLUMN($E$1),FALSE)/(LEN(VLOOKUP($D325,素材!$1:$1016,COLUMN($F$1),FALSE)) - LEN(SUBSTITUTE(VLOOKUP($D325,素材!$1:$1016,COLUMN($F$1),FALSE), "・", 0)) + 1), 0)</f>
        <v>0</v>
      </c>
      <c r="AI325">
        <f>IF(ISNUMBER(SEARCH(SUBSTITUTE(AI$1,RIGHT(AI$1,2),""),VLOOKUP($D325,素材!$1:$1016,COLUMN($F$1),FALSE))),VLOOKUP($C325,武器!$1:$998,COLUMN($O$1),FALSE)*VLOOKUP($D325,素材!$1:$1016,COLUMN($E$1),FALSE)/(LEN(VLOOKUP($D325,素材!$1:$1016,COLUMN($F$1),FALSE)) - LEN(SUBSTITUTE(VLOOKUP($D325,素材!$1:$1016,COLUMN($F$1),FALSE), "・", 0)) + 1), 0)</f>
        <v>0</v>
      </c>
      <c r="AJ325">
        <f>IF(ISNUMBER(SEARCH(SUBSTITUTE(AJ$1,RIGHT(AJ$1,2),""),VLOOKUP($D325,素材!$1:$1016,COLUMN($F$1),FALSE))),VLOOKUP($C325,武器!$1:$998,COLUMN($O$1),FALSE)*VLOOKUP($D325,素材!$1:$1016,COLUMN($E$1),FALSE)/(LEN(VLOOKUP($D325,素材!$1:$1016,COLUMN($F$1),FALSE)) - LEN(SUBSTITUTE(VLOOKUP($D325,素材!$1:$1016,COLUMN($F$1),FALSE), "・", 0)) + 1), 0)</f>
        <v>0</v>
      </c>
      <c r="AK325">
        <f>IF(ISNUMBER(SEARCH(SUBSTITUTE(AK$1,RIGHT(AK$1,2),""),VLOOKUP($D325,素材!$1:$1016,COLUMN($F$1),FALSE))),VLOOKUP($C325,武器!$1:$998,COLUMN($O$1),FALSE)*VLOOKUP($D325,素材!$1:$1016,COLUMN($E$1),FALSE)/(LEN(VLOOKUP($D325,素材!$1:$1016,COLUMN($F$1),FALSE)) - LEN(SUBSTITUTE(VLOOKUP($D325,素材!$1:$1016,COLUMN($F$1),FALSE), "・", 0)) + 1), 0)</f>
        <v>0</v>
      </c>
      <c r="AL325">
        <f>IF(ISNUMBER(SEARCH(SUBSTITUTE(AL$1,RIGHT(AL$1,2),""),VLOOKUP($D325,素材!$1:$1016,COLUMN($F$1),FALSE))),VLOOKUP($C325,武器!$1:$998,COLUMN($O$1),FALSE)*VLOOKUP($D325,素材!$1:$1016,COLUMN($E$1),FALSE)/(LEN(VLOOKUP($D325,素材!$1:$1016,COLUMN($F$1),FALSE)) - LEN(SUBSTITUTE(VLOOKUP($D325,素材!$1:$1016,COLUMN($F$1),FALSE), "・", 0)) + 1), 0)</f>
        <v>0</v>
      </c>
      <c r="AM325">
        <f>IF(ISNUMBER(SEARCH(SUBSTITUTE(AM$1,RIGHT(AM$1,2),""),VLOOKUP($D325,素材!$1:$1016,COLUMN($F$1),FALSE))),VLOOKUP($C325,武器!$1:$998,COLUMN($O$1),FALSE)*VLOOKUP($D325,素材!$1:$1016,COLUMN($E$1),FALSE)/(LEN(VLOOKUP($D325,素材!$1:$1016,COLUMN($F$1),FALSE)) - LEN(SUBSTITUTE(VLOOKUP($D325,素材!$1:$1016,COLUMN($F$1),FALSE), "・", 0)) + 1), 0)</f>
        <v>0</v>
      </c>
      <c r="AN325">
        <f>IF(ISNUMBER(SEARCH(SUBSTITUTE(AN$1,RIGHT(AN$1,2),""),VLOOKUP($D325,素材!$1:$1016,COLUMN($F$1),FALSE))),VLOOKUP($C325,武器!$1:$998,COLUMN($O$1),FALSE)*VLOOKUP($D325,素材!$1:$1016,COLUMN($E$1),FALSE)/(LEN(VLOOKUP($D325,素材!$1:$1016,COLUMN($F$1),FALSE)) - LEN(SUBSTITUTE(VLOOKUP($D325,素材!$1:$1016,COLUMN($F$1),FALSE), "・", 0)) + 1), 0)</f>
        <v>0</v>
      </c>
      <c r="AO325">
        <f>IF(ISNUMBER(SEARCH(SUBSTITUTE(AO$1,RIGHT(AO$1,2),""),VLOOKUP($D325,素材!$1:$1016,COLUMN($F$1),FALSE))),VLOOKUP($C325,武器!$1:$998,COLUMN($O$1),FALSE)*VLOOKUP($D325,素材!$1:$1016,COLUMN($E$1),FALSE)/(LEN(VLOOKUP($D325,素材!$1:$1016,COLUMN($F$1),FALSE)) - LEN(SUBSTITUTE(VLOOKUP($D325,素材!$1:$1016,COLUMN($F$1),FALSE), "・", 0)) + 1), 0)</f>
        <v>0</v>
      </c>
      <c r="AP325">
        <f>IF(ISNUMBER(SEARCH(SUBSTITUTE(AP$1,RIGHT(AP$1,2),""),VLOOKUP($D325,素材!$1:$1016,COLUMN($F$1),FALSE))),VLOOKUP($C325,武器!$1:$998,COLUMN($O$1),FALSE)*VLOOKUP($D325,素材!$1:$1016,COLUMN($E$1),FALSE)/(LEN(VLOOKUP($D325,素材!$1:$1016,COLUMN($F$1),FALSE)) - LEN(SUBSTITUTE(VLOOKUP($D325,素材!$1:$1016,COLUMN($F$1),FALSE), "・", 0)) + 1), 0)</f>
        <v>0</v>
      </c>
      <c r="AQ325">
        <f>IF(ISNUMBER(SEARCH(SUBSTITUTE(AQ$1,RIGHT(AQ$1,2),""),VLOOKUP($D325,素材!$1:$1016,COLUMN($F$1),FALSE))),VLOOKUP($C325,武器!$1:$998,COLUMN($O$1),FALSE)*VLOOKUP($D325,素材!$1:$1016,COLUMN($E$1),FALSE)/(LEN(VLOOKUP($D325,素材!$1:$1016,COLUMN($F$1),FALSE)) - LEN(SUBSTITUTE(VLOOKUP($D325,素材!$1:$1016,COLUMN($F$1),FALSE), "・", 0)) + 1), 0)</f>
        <v>0</v>
      </c>
      <c r="AR325">
        <f>IF(ISNUMBER(SEARCH(SUBSTITUTE(AR$1,RIGHT(AR$1,2),""),VLOOKUP($D325,素材!$1:$1016,COLUMN($F$1),FALSE))),VLOOKUP($C325,武器!$1:$998,COLUMN($O$1),FALSE)*VLOOKUP($D325,素材!$1:$1016,COLUMN($E$1),FALSE)/(LEN(VLOOKUP($D325,素材!$1:$1016,COLUMN($F$1),FALSE)) - LEN(SUBSTITUTE(VLOOKUP($D325,素材!$1:$1016,COLUMN($F$1),FALSE), "・", 0)) + 1), 0)</f>
        <v>0</v>
      </c>
      <c r="AS325">
        <f>IF(ISNUMBER(SEARCH(SUBSTITUTE(AS$1,RIGHT(AS$1,2),""),VLOOKUP($D325,素材!$1:$1016,COLUMN($F$1),FALSE))),VLOOKUP($C325,武器!$1:$998,COLUMN($O$1),FALSE)*VLOOKUP($D325,素材!$1:$1016,COLUMN($E$1),FALSE)/(LEN(VLOOKUP($D325,素材!$1:$1016,COLUMN($F$1),FALSE)) - LEN(SUBSTITUTE(VLOOKUP($D325,素材!$1:$1016,COLUMN($F$1),FALSE), "・", 0)) + 1), 0)</f>
        <v>0</v>
      </c>
      <c r="AT325">
        <f>IF(ISNUMBER(SEARCH(SUBSTITUTE(AT$1,RIGHT(AT$1,2),""),VLOOKUP($D325,素材!$1:$1016,COLUMN($F$1),FALSE))),VLOOKUP($C325,武器!$1:$998,COLUMN($O$1),FALSE)*VLOOKUP($D325,素材!$1:$1016,COLUMN($E$1),FALSE)/(LEN(VLOOKUP($D325,素材!$1:$1016,COLUMN($F$1),FALSE)) - LEN(SUBSTITUTE(VLOOKUP($D325,素材!$1:$1016,COLUMN($F$1),FALSE), "・", 0)) + 1), 0)</f>
        <v>0</v>
      </c>
      <c r="AU325">
        <f>IF(ISNUMBER(SEARCH(SUBSTITUTE(AU$1,RIGHT(AU$1,2),""),VLOOKUP($D325,素材!$1:$1016,COLUMN($F$1),FALSE))),VLOOKUP($C325,武器!$1:$998,COLUMN($O$1),FALSE)*VLOOKUP($D325,素材!$1:$1016,COLUMN($E$1),FALSE)/(LEN(VLOOKUP($D325,素材!$1:$1016,COLUMN($F$1),FALSE)) - LEN(SUBSTITUTE(VLOOKUP($D325,素材!$1:$1016,COLUMN($F$1),FALSE), "・", 0)) + 1), 0)</f>
        <v>0</v>
      </c>
      <c r="AV325">
        <f>IF(ISNUMBER(SEARCH(SUBSTITUTE(AV$1,RIGHT(AV$1,2),""),VLOOKUP($D325,素材!$1:$1016,COLUMN($F$1),FALSE))),VLOOKUP($C325,武器!$1:$998,COLUMN($O$1),FALSE)*VLOOKUP($D325,素材!$1:$1016,COLUMN($E$1),FALSE)/(LEN(VLOOKUP($D325,素材!$1:$1016,COLUMN($F$1),FALSE)) - LEN(SUBSTITUTE(VLOOKUP($D325,素材!$1:$1016,COLUMN($F$1),FALSE), "・", 0)) + 1), 0)</f>
        <v>0</v>
      </c>
      <c r="AW325">
        <f>IF(ISNUMBER(SEARCH(SUBSTITUTE(AW$1,RIGHT(AW$1,2),""),VLOOKUP($D325,素材!$1:$1016,COLUMN($F$1),FALSE))),VLOOKUP($C325,武器!$1:$998,COLUMN($O$1),FALSE)*VLOOKUP($D325,素材!$1:$1016,COLUMN($E$1),FALSE)/(LEN(VLOOKUP($D325,素材!$1:$1016,COLUMN($F$1),FALSE)) - LEN(SUBSTITUTE(VLOOKUP($D325,素材!$1:$1016,COLUMN($F$1),FALSE), "・", 0)) + 1), 0)</f>
        <v>0</v>
      </c>
      <c r="AX325">
        <f>IF(ISNUMBER(SEARCH(SUBSTITUTE(AX$1,RIGHT(AX$1,2),""),VLOOKUP($D325,素材!$1:$1016,COLUMN($F$1),FALSE))),VLOOKUP($C325,武器!$1:$998,COLUMN($O$1),FALSE)*VLOOKUP($D325,素材!$1:$1016,COLUMN($E$1),FALSE)/(LEN(VLOOKUP($D325,素材!$1:$1016,COLUMN($F$1),FALSE)) - LEN(SUBSTITUTE(VLOOKUP($D325,素材!$1:$1016,COLUMN($F$1),FALSE), "・", 0)) + 1), 0)</f>
        <v>0</v>
      </c>
      <c r="AY325">
        <f>IF(ISNUMBER(SEARCH(SUBSTITUTE(AY$1,RIGHT(AY$1,2),""),VLOOKUP($D325,素材!$1:$1016,COLUMN($F$1),FALSE))),VLOOKUP($C325,武器!$1:$998,COLUMN($O$1),FALSE)*VLOOKUP($D325,素材!$1:$1016,COLUMN($E$1),FALSE)/(LEN(VLOOKUP($D325,素材!$1:$1016,COLUMN($F$1),FALSE)) - LEN(SUBSTITUTE(VLOOKUP($D325,素材!$1:$1016,COLUMN($F$1),FALSE), "・", 0)) + 1), 0)</f>
        <v>0</v>
      </c>
      <c r="AZ325">
        <f>IF(ISNUMBER(SEARCH(SUBSTITUTE(AZ$1,RIGHT(AZ$1,2),""),VLOOKUP($D325,素材!$1:$1016,COLUMN($F$1),FALSE))),VLOOKUP($C325,武器!$1:$998,COLUMN($O$1),FALSE)*VLOOKUP($D325,素材!$1:$1016,COLUMN($E$1),FALSE)/(LEN(VLOOKUP($D325,素材!$1:$1016,COLUMN($F$1),FALSE)) - LEN(SUBSTITUTE(VLOOKUP($D325,素材!$1:$1016,COLUMN($F$1),FALSE), "・", 0)) + 1), 0)</f>
        <v>0</v>
      </c>
      <c r="BA325">
        <f>IF(ISNUMBER(SEARCH(SUBSTITUTE(BA$1,RIGHT(BA$1,2),""),VLOOKUP($D325,素材!$1:$1016,COLUMN($F$1),FALSE))),VLOOKUP($C325,武器!$1:$998,COLUMN($O$1),FALSE)*VLOOKUP($D325,素材!$1:$1016,COLUMN($E$1),FALSE)/(LEN(VLOOKUP($D325,素材!$1:$1016,COLUMN($F$1),FALSE)) - LEN(SUBSTITUTE(VLOOKUP($D325,素材!$1:$1016,COLUMN($F$1),FALSE), "・", 0)) + 1), 0)</f>
        <v>0</v>
      </c>
      <c r="BB325">
        <f>IF(ISNUMBER(SEARCH(SUBSTITUTE(BB$1,RIGHT(BB$1,2),""),VLOOKUP($D325,素材!$1:$1016,COLUMN($F$1),FALSE))),VLOOKUP($C325,武器!$1:$998,COLUMN($O$1),FALSE)*VLOOKUP($D325,素材!$1:$1016,COLUMN($E$1),FALSE)/(LEN(VLOOKUP($D325,素材!$1:$1016,COLUMN($F$1),FALSE)) - LEN(SUBSTITUTE(VLOOKUP($D325,素材!$1:$1016,COLUMN($F$1),FALSE), "・", 0)) + 1), 0)</f>
        <v>0</v>
      </c>
      <c r="BC325">
        <f>IF(ISNUMBER(SEARCH(SUBSTITUTE(BC$1,RIGHT(BC$1,2),""),VLOOKUP($D325,素材!$1:$1016,COLUMN($F$1),FALSE))),VLOOKUP($C325,武器!$1:$998,COLUMN($O$1),FALSE)*VLOOKUP($D325,素材!$1:$1016,COLUMN($E$1),FALSE)/(LEN(VLOOKUP($D325,素材!$1:$1016,COLUMN($F$1),FALSE)) - LEN(SUBSTITUTE(VLOOKUP($D325,素材!$1:$1016,COLUMN($F$1),FALSE), "・", 0)) + 1), 0)</f>
        <v>0</v>
      </c>
      <c r="BD325">
        <f>IF(ISNUMBER(SEARCH(SUBSTITUTE(BD$1,RIGHT(BD$1,2),""),VLOOKUP($D325,素材!$1:$1016,COLUMN($F$1),FALSE))),VLOOKUP($C325,武器!$1:$998,COLUMN($O$1),FALSE)*VLOOKUP($D325,素材!$1:$1016,COLUMN($E$1),FALSE)/(LEN(VLOOKUP($D325,素材!$1:$1016,COLUMN($F$1),FALSE)) - LEN(SUBSTITUTE(VLOOKUP($D325,素材!$1:$1016,COLUMN($F$1),FALSE), "・", 0)) + 1), 0)</f>
        <v>0</v>
      </c>
      <c r="BE325">
        <f>IF(ISNUMBER(SEARCH(SUBSTITUTE(BE$1,RIGHT(BE$1,2),""),VLOOKUP($D325,素材!$1:$1016,COLUMN($F$1),FALSE))),VLOOKUP($C325,武器!$1:$998,COLUMN($O$1),FALSE)*VLOOKUP($D325,素材!$1:$1016,COLUMN($E$1),FALSE)/(LEN(VLOOKUP($D325,素材!$1:$1016,COLUMN($F$1),FALSE)) - LEN(SUBSTITUTE(VLOOKUP($D325,素材!$1:$1016,COLUMN($F$1),FALSE), "・", 0)) + 1), 0)</f>
        <v>0</v>
      </c>
      <c r="CL325">
        <f>SUM(G325:I325)</f>
        <v>0</v>
      </c>
      <c r="CM325" s="22" t="str">
        <f>IF(E325="武器",IF(J325-1&gt;SUM(G325:I325),"盾",IF(MAX(G325:I325)=G325,"切断",IF(MAX(G325:I325)=H325,"貫通",IF(MAX(G325:I325)=I325,"打撃","射撃")))),E325)&amp;".webp"</f>
        <v>.webp</v>
      </c>
      <c r="CN325" t="str">
        <f>IFERROR(VLOOKUP($C325,武器!$1:$998,COLUMN(V$1),FALSE)*VLOOKUP($D325,素材!$1:$1016,COLUMN(N$1),FALSE)+IF(CI325="",0,VLOOKUP($CI325,装強!$1:$1008,COLUMN($CK$1),FALSE)),"")</f>
        <v/>
      </c>
      <c r="CO325" t="e">
        <f>VLOOKUP(D325,素材!$A:$O,COLUMN(素材!O$1),FALSE)</f>
        <v>#N/A</v>
      </c>
      <c r="CP325" t="e">
        <f>VLOOKUP(C325,武器!$A:$W,COLUMN(武器!W$1),FALSE)</f>
        <v>#N/A</v>
      </c>
      <c r="CR325" t="str">
        <f t="shared" si="33"/>
        <v>e_325</v>
      </c>
      <c r="CS325" t="e">
        <f t="shared" si="34"/>
        <v>#VALUE!</v>
      </c>
    </row>
    <row r="326" spans="1:97" hidden="1" outlineLevel="1" x14ac:dyDescent="0.4">
      <c r="A326" t="str">
        <f>IF(CI326="",D326&amp;"の"&amp;C326,CI326&amp;"の"&amp;C326)</f>
        <v>の</v>
      </c>
      <c r="B326" t="str">
        <f>IFERROR(IF(CI326="",VLOOKUP($D326,素材!$1:$1016,COLUMN($B$1),FALSE)&amp;"・"&amp;VLOOKUP($C326,武器!$1:$998,COLUMN(B$1),FALSE),VLOOKUP($CI326,装強!$1:$1008,COLUMN($B$1),FALSE)&amp;"・"&amp;VLOOKUP($C326,武器!$1:$998,COLUMN(B$1),FALSE)),"")</f>
        <v/>
      </c>
      <c r="C326" s="24"/>
      <c r="D326" s="24"/>
      <c r="E326" t="str">
        <f>IFERROR(VLOOKUP(C326,武器!$1:$998,COLUMN(C$1),FALSE),"")</f>
        <v/>
      </c>
      <c r="F326" t="str">
        <f>IFERROR(ROUNDDOWN((VLOOKUP($C326,武器!$1:$998,COLUMN(D$1),FALSE)+IFERROR(VLOOKUP($CI326,装強!$1:$999,COLUMN(F$1),FALSE),0))*VLOOKUP($D326,素材!$1:$1016,COLUMN(D$1),FALSE),0),"")</f>
        <v/>
      </c>
      <c r="G326" t="str">
        <f>IFERROR(ROUNDDOWN((VLOOKUP($C326,武器!$1:$998,COLUMN(E$1),FALSE)+IFERROR(VLOOKUP($CI326,装強!$1:$999,COLUMN(G$1),FALSE),0))*VLOOKUP($D326,素材!$1:$1016,COLUMN($E$1),FALSE),0),"")</f>
        <v/>
      </c>
      <c r="H326" t="str">
        <f>IFERROR(ROUNDDOWN((VLOOKUP($C326,武器!$1:$998,COLUMN(F$1),FALSE)+IFERROR(VLOOKUP($CI326,装強!$1:$999,COLUMN(H$1),FALSE),0))*VLOOKUP($D326,素材!$1:$1016,COLUMN($E$1),FALSE),0),"")</f>
        <v/>
      </c>
      <c r="I326" t="str">
        <f>IFERROR(ROUNDDOWN((VLOOKUP($C326,武器!$1:$998,COLUMN(G$1),FALSE)+IFERROR(VLOOKUP($CI326,装強!$1:$999,COLUMN(I$1),FALSE),0))*VLOOKUP($D326,素材!$1:$1016,COLUMN($E$1),FALSE),0),"")</f>
        <v/>
      </c>
      <c r="J326" t="str">
        <f>IFERROR(ROUNDDOWN((VLOOKUP($C326,武器!$1:$998,COLUMN(H$1),FALSE)+IFERROR(VLOOKUP($CI326,装強!$1:$999,COLUMN(J$1),FALSE),0))*VLOOKUP($D326,素材!$1:$1016,COLUMN($E$1),FALSE),0),"")</f>
        <v/>
      </c>
      <c r="K326" t="str">
        <f>IFERROR(ROUNDDOWN((VLOOKUP($C326,武器!$1:$998,COLUMN(I$1),FALSE)+IFERROR(VLOOKUP($CI326,装強!$1:$999,COLUMN(K$1),FALSE),0))*VLOOKUP($D326,素材!$1:$1016,COLUMN($E$1),FALSE),0),"")</f>
        <v/>
      </c>
      <c r="L326" t="str">
        <f>IFERROR(VLOOKUP($D326,素材!$1:$1016,COLUMN($F$1),FALSE),"")</f>
        <v/>
      </c>
      <c r="M326" t="str">
        <f>IFERROR(VLOOKUP($C326,武器!$1:$998,COLUMN(AA$1),FALSE)*VLOOKUP($D326,素材!$1:$1016,COLUMN($G$1),FALSE),"")</f>
        <v/>
      </c>
      <c r="N326" t="str">
        <f>IFERROR(VLOOKUP($C326,武器!$1:$998,COLUMN(I$1),FALSE),"")</f>
        <v/>
      </c>
      <c r="O326" s="23" t="str">
        <f>IFERROR((VLOOKUP($C326,武器!$1:$998,COLUMN(K$1),FALSE)+VLOOKUP($D326,素材!$1:$1016,COLUMN(H$1),FALSE))*100+IFERROR(VLOOKUP($CI326,装強!$1:$999,COLUMN(O$1),FALSE),0),"")</f>
        <v/>
      </c>
      <c r="P326" s="23" t="str">
        <f>IFERROR((VLOOKUP($C326,武器!$1:$998,COLUMN(L$1),FALSE)+VLOOKUP($D326,素材!$1:$1016,COLUMN(I$1),FALSE))*100+IFERROR(VLOOKUP($CI326,装強!$1:$999,COLUMN(P$1),FALSE),0),"")</f>
        <v/>
      </c>
      <c r="Q326" t="str">
        <f>IFERROR(ROUNDUP(VLOOKUP($C326,武器!$1:$998,COLUMN(M$1),FALSE)*(VLOOKUP($D326,素材!$1:$1002,COLUMN(D$1),FALSE)/100),1),"")</f>
        <v/>
      </c>
      <c r="R326" t="str">
        <f>IFERROR(ROUNDUP(VLOOKUP($C326,武器!$1:$998,COLUMN(N$1),FALSE)*(VLOOKUP($D326,素材!$1:$1002,COLUMN(D$1),FALSE)/100),1),"")</f>
        <v/>
      </c>
      <c r="S326" t="str">
        <f>IFERROR(VLOOKUP($C326,武器!$1:$998,COLUMN(P$1),FALSE),"")</f>
        <v/>
      </c>
      <c r="T326" t="str">
        <f>IFERROR(VLOOKUP($C326,武器!$1:$998,COLUMN(Q$1),FALSE),"")</f>
        <v/>
      </c>
      <c r="U326" t="str">
        <f>IFERROR(VLOOKUP($C326,武器!$1:$998,COLUMN(R$1),FALSE),"")</f>
        <v/>
      </c>
      <c r="V326" t="str">
        <f>IFERROR(VLOOKUP($C326,武器!$1:$998,COLUMN(Q$1),FALSE),"")</f>
        <v/>
      </c>
      <c r="W326" t="str">
        <f>IFERROR(VLOOKUP($C326,武器!$1:$998,COLUMN(T$1),FALSE),"")</f>
        <v/>
      </c>
      <c r="Y326" t="str">
        <f>IFERROR(VLOOKUP($C326,武器!$1:$998,COLUMN(U$1),FALSE),"")</f>
        <v/>
      </c>
      <c r="Z326" t="str">
        <f>IFERROR(ROUNDUP(VLOOKUP($C326,武器!$1:$998,COLUMN(O$1),FALSE)*VLOOKUP($D326,素材!$1:$1016,COLUMN(E$1),FALSE),1),"")</f>
        <v/>
      </c>
      <c r="AA326">
        <f>IF(ISNUMBER(SEARCH(SUBSTITUTE(AA$1,RIGHT(AA$1,2),""),VLOOKUP($D326,素材!$1:$1016,COLUMN($F$1),FALSE))),VLOOKUP($C326,武器!$1:$998,COLUMN($O$1),FALSE)*VLOOKUP($D326,素材!$1:$1016,COLUMN($E$1),FALSE)/(LEN(VLOOKUP($D326,素材!$1:$1016,COLUMN($F$1),FALSE)) - LEN(SUBSTITUTE(VLOOKUP($D326,素材!$1:$1016,COLUMN($F$1),FALSE), "・", 0)) + 1), 0)</f>
        <v>0</v>
      </c>
      <c r="AB326">
        <f>IF(ISNUMBER(SEARCH(SUBSTITUTE(AB$1,RIGHT(AB$1,2),""),VLOOKUP($D326,素材!$1:$1016,COLUMN($F$1),FALSE))),VLOOKUP($C326,武器!$1:$998,COLUMN($O$1),FALSE)*VLOOKUP($D326,素材!$1:$1016,COLUMN($E$1),FALSE)/(LEN(VLOOKUP($D326,素材!$1:$1016,COLUMN($F$1),FALSE)) - LEN(SUBSTITUTE(VLOOKUP($D326,素材!$1:$1016,COLUMN($F$1),FALSE), "・", 0)) + 1), 0)</f>
        <v>0</v>
      </c>
      <c r="AC326">
        <f>IF(ISNUMBER(SEARCH(SUBSTITUTE(AC$1,RIGHT(AC$1,2),""),VLOOKUP($D326,素材!$1:$1016,COLUMN($F$1),FALSE))),VLOOKUP($C326,武器!$1:$998,COLUMN($O$1),FALSE)*VLOOKUP($D326,素材!$1:$1016,COLUMN($E$1),FALSE)/(LEN(VLOOKUP($D326,素材!$1:$1016,COLUMN($F$1),FALSE)) - LEN(SUBSTITUTE(VLOOKUP($D326,素材!$1:$1016,COLUMN($F$1),FALSE), "・", 0)) + 1), 0)</f>
        <v>0</v>
      </c>
      <c r="AD326">
        <f>IF(ISNUMBER(SEARCH(SUBSTITUTE(AD$1,RIGHT(AD$1,2),""),VLOOKUP($D326,素材!$1:$1016,COLUMN($F$1),FALSE))),VLOOKUP($C326,武器!$1:$998,COLUMN($O$1),FALSE)*VLOOKUP($D326,素材!$1:$1016,COLUMN($E$1),FALSE)/(LEN(VLOOKUP($D326,素材!$1:$1016,COLUMN($F$1),FALSE)) - LEN(SUBSTITUTE(VLOOKUP($D326,素材!$1:$1016,COLUMN($F$1),FALSE), "・", 0)) + 1), 0)</f>
        <v>0</v>
      </c>
      <c r="AE326">
        <f>IF(ISNUMBER(SEARCH(SUBSTITUTE(AE$1,RIGHT(AE$1,2),""),VLOOKUP($D326,素材!$1:$1016,COLUMN($F$1),FALSE))),VLOOKUP($C326,武器!$1:$998,COLUMN($O$1),FALSE)*VLOOKUP($D326,素材!$1:$1016,COLUMN($E$1),FALSE)/(LEN(VLOOKUP($D326,素材!$1:$1016,COLUMN($F$1),FALSE)) - LEN(SUBSTITUTE(VLOOKUP($D326,素材!$1:$1016,COLUMN($F$1),FALSE), "・", 0)) + 1), 0)</f>
        <v>0</v>
      </c>
      <c r="AF326">
        <f>IF(ISNUMBER(SEARCH(SUBSTITUTE(AF$1,RIGHT(AF$1,2),""),VLOOKUP($D326,素材!$1:$1016,COLUMN($F$1),FALSE))),VLOOKUP($C326,武器!$1:$998,COLUMN($O$1),FALSE)*VLOOKUP($D326,素材!$1:$1016,COLUMN($E$1),FALSE)/(LEN(VLOOKUP($D326,素材!$1:$1016,COLUMN($F$1),FALSE)) - LEN(SUBSTITUTE(VLOOKUP($D326,素材!$1:$1016,COLUMN($F$1),FALSE), "・", 0)) + 1), 0)</f>
        <v>0</v>
      </c>
      <c r="AG326">
        <f>IF(ISNUMBER(SEARCH(SUBSTITUTE(AG$1,RIGHT(AG$1,2),""),VLOOKUP($D326,素材!$1:$1016,COLUMN($F$1),FALSE))),VLOOKUP($C326,武器!$1:$998,COLUMN($O$1),FALSE)*VLOOKUP($D326,素材!$1:$1016,COLUMN($E$1),FALSE)/(LEN(VLOOKUP($D326,素材!$1:$1016,COLUMN($F$1),FALSE)) - LEN(SUBSTITUTE(VLOOKUP($D326,素材!$1:$1016,COLUMN($F$1),FALSE), "・", 0)) + 1), 0)</f>
        <v>0</v>
      </c>
      <c r="AH326">
        <f>IF(ISNUMBER(SEARCH(SUBSTITUTE(AH$1,RIGHT(AH$1,2),""),VLOOKUP($D326,素材!$1:$1016,COLUMN($F$1),FALSE))),VLOOKUP($C326,武器!$1:$998,COLUMN($O$1),FALSE)*VLOOKUP($D326,素材!$1:$1016,COLUMN($E$1),FALSE)/(LEN(VLOOKUP($D326,素材!$1:$1016,COLUMN($F$1),FALSE)) - LEN(SUBSTITUTE(VLOOKUP($D326,素材!$1:$1016,COLUMN($F$1),FALSE), "・", 0)) + 1), 0)</f>
        <v>0</v>
      </c>
      <c r="AI326">
        <f>IF(ISNUMBER(SEARCH(SUBSTITUTE(AI$1,RIGHT(AI$1,2),""),VLOOKUP($D326,素材!$1:$1016,COLUMN($F$1),FALSE))),VLOOKUP($C326,武器!$1:$998,COLUMN($O$1),FALSE)*VLOOKUP($D326,素材!$1:$1016,COLUMN($E$1),FALSE)/(LEN(VLOOKUP($D326,素材!$1:$1016,COLUMN($F$1),FALSE)) - LEN(SUBSTITUTE(VLOOKUP($D326,素材!$1:$1016,COLUMN($F$1),FALSE), "・", 0)) + 1), 0)</f>
        <v>0</v>
      </c>
      <c r="AJ326">
        <f>IF(ISNUMBER(SEARCH(SUBSTITUTE(AJ$1,RIGHT(AJ$1,2),""),VLOOKUP($D326,素材!$1:$1016,COLUMN($F$1),FALSE))),VLOOKUP($C326,武器!$1:$998,COLUMN($O$1),FALSE)*VLOOKUP($D326,素材!$1:$1016,COLUMN($E$1),FALSE)/(LEN(VLOOKUP($D326,素材!$1:$1016,COLUMN($F$1),FALSE)) - LEN(SUBSTITUTE(VLOOKUP($D326,素材!$1:$1016,COLUMN($F$1),FALSE), "・", 0)) + 1), 0)</f>
        <v>0</v>
      </c>
      <c r="AK326">
        <f>IF(ISNUMBER(SEARCH(SUBSTITUTE(AK$1,RIGHT(AK$1,2),""),VLOOKUP($D326,素材!$1:$1016,COLUMN($F$1),FALSE))),VLOOKUP($C326,武器!$1:$998,COLUMN($O$1),FALSE)*VLOOKUP($D326,素材!$1:$1016,COLUMN($E$1),FALSE)/(LEN(VLOOKUP($D326,素材!$1:$1016,COLUMN($F$1),FALSE)) - LEN(SUBSTITUTE(VLOOKUP($D326,素材!$1:$1016,COLUMN($F$1),FALSE), "・", 0)) + 1), 0)</f>
        <v>0</v>
      </c>
      <c r="AL326">
        <f>IF(ISNUMBER(SEARCH(SUBSTITUTE(AL$1,RIGHT(AL$1,2),""),VLOOKUP($D326,素材!$1:$1016,COLUMN($F$1),FALSE))),VLOOKUP($C326,武器!$1:$998,COLUMN($O$1),FALSE)*VLOOKUP($D326,素材!$1:$1016,COLUMN($E$1),FALSE)/(LEN(VLOOKUP($D326,素材!$1:$1016,COLUMN($F$1),FALSE)) - LEN(SUBSTITUTE(VLOOKUP($D326,素材!$1:$1016,COLUMN($F$1),FALSE), "・", 0)) + 1), 0)</f>
        <v>0</v>
      </c>
      <c r="AM326">
        <f>IF(ISNUMBER(SEARCH(SUBSTITUTE(AM$1,RIGHT(AM$1,2),""),VLOOKUP($D326,素材!$1:$1016,COLUMN($F$1),FALSE))),VLOOKUP($C326,武器!$1:$998,COLUMN($O$1),FALSE)*VLOOKUP($D326,素材!$1:$1016,COLUMN($E$1),FALSE)/(LEN(VLOOKUP($D326,素材!$1:$1016,COLUMN($F$1),FALSE)) - LEN(SUBSTITUTE(VLOOKUP($D326,素材!$1:$1016,COLUMN($F$1),FALSE), "・", 0)) + 1), 0)</f>
        <v>0</v>
      </c>
      <c r="AN326">
        <f>IF(ISNUMBER(SEARCH(SUBSTITUTE(AN$1,RIGHT(AN$1,2),""),VLOOKUP($D326,素材!$1:$1016,COLUMN($F$1),FALSE))),VLOOKUP($C326,武器!$1:$998,COLUMN($O$1),FALSE)*VLOOKUP($D326,素材!$1:$1016,COLUMN($E$1),FALSE)/(LEN(VLOOKUP($D326,素材!$1:$1016,COLUMN($F$1),FALSE)) - LEN(SUBSTITUTE(VLOOKUP($D326,素材!$1:$1016,COLUMN($F$1),FALSE), "・", 0)) + 1), 0)</f>
        <v>0</v>
      </c>
      <c r="AO326">
        <f>IF(ISNUMBER(SEARCH(SUBSTITUTE(AO$1,RIGHT(AO$1,2),""),VLOOKUP($D326,素材!$1:$1016,COLUMN($F$1),FALSE))),VLOOKUP($C326,武器!$1:$998,COLUMN($O$1),FALSE)*VLOOKUP($D326,素材!$1:$1016,COLUMN($E$1),FALSE)/(LEN(VLOOKUP($D326,素材!$1:$1016,COLUMN($F$1),FALSE)) - LEN(SUBSTITUTE(VLOOKUP($D326,素材!$1:$1016,COLUMN($F$1),FALSE), "・", 0)) + 1), 0)</f>
        <v>0</v>
      </c>
      <c r="AP326">
        <f>IF(ISNUMBER(SEARCH(SUBSTITUTE(AP$1,RIGHT(AP$1,2),""),VLOOKUP($D326,素材!$1:$1016,COLUMN($F$1),FALSE))),VLOOKUP($C326,武器!$1:$998,COLUMN($O$1),FALSE)*VLOOKUP($D326,素材!$1:$1016,COLUMN($E$1),FALSE)/(LEN(VLOOKUP($D326,素材!$1:$1016,COLUMN($F$1),FALSE)) - LEN(SUBSTITUTE(VLOOKUP($D326,素材!$1:$1016,COLUMN($F$1),FALSE), "・", 0)) + 1), 0)</f>
        <v>0</v>
      </c>
      <c r="AQ326">
        <f>IF(ISNUMBER(SEARCH(SUBSTITUTE(AQ$1,RIGHT(AQ$1,2),""),VLOOKUP($D326,素材!$1:$1016,COLUMN($F$1),FALSE))),VLOOKUP($C326,武器!$1:$998,COLUMN($O$1),FALSE)*VLOOKUP($D326,素材!$1:$1016,COLUMN($E$1),FALSE)/(LEN(VLOOKUP($D326,素材!$1:$1016,COLUMN($F$1),FALSE)) - LEN(SUBSTITUTE(VLOOKUP($D326,素材!$1:$1016,COLUMN($F$1),FALSE), "・", 0)) + 1), 0)</f>
        <v>0</v>
      </c>
      <c r="AR326">
        <f>IF(ISNUMBER(SEARCH(SUBSTITUTE(AR$1,RIGHT(AR$1,2),""),VLOOKUP($D326,素材!$1:$1016,COLUMN($F$1),FALSE))),VLOOKUP($C326,武器!$1:$998,COLUMN($O$1),FALSE)*VLOOKUP($D326,素材!$1:$1016,COLUMN($E$1),FALSE)/(LEN(VLOOKUP($D326,素材!$1:$1016,COLUMN($F$1),FALSE)) - LEN(SUBSTITUTE(VLOOKUP($D326,素材!$1:$1016,COLUMN($F$1),FALSE), "・", 0)) + 1), 0)</f>
        <v>0</v>
      </c>
      <c r="AS326">
        <f>IF(ISNUMBER(SEARCH(SUBSTITUTE(AS$1,RIGHT(AS$1,2),""),VLOOKUP($D326,素材!$1:$1016,COLUMN($F$1),FALSE))),VLOOKUP($C326,武器!$1:$998,COLUMN($O$1),FALSE)*VLOOKUP($D326,素材!$1:$1016,COLUMN($E$1),FALSE)/(LEN(VLOOKUP($D326,素材!$1:$1016,COLUMN($F$1),FALSE)) - LEN(SUBSTITUTE(VLOOKUP($D326,素材!$1:$1016,COLUMN($F$1),FALSE), "・", 0)) + 1), 0)</f>
        <v>0</v>
      </c>
      <c r="AT326">
        <f>IF(ISNUMBER(SEARCH(SUBSTITUTE(AT$1,RIGHT(AT$1,2),""),VLOOKUP($D326,素材!$1:$1016,COLUMN($F$1),FALSE))),VLOOKUP($C326,武器!$1:$998,COLUMN($O$1),FALSE)*VLOOKUP($D326,素材!$1:$1016,COLUMN($E$1),FALSE)/(LEN(VLOOKUP($D326,素材!$1:$1016,COLUMN($F$1),FALSE)) - LEN(SUBSTITUTE(VLOOKUP($D326,素材!$1:$1016,COLUMN($F$1),FALSE), "・", 0)) + 1), 0)</f>
        <v>0</v>
      </c>
      <c r="AU326">
        <f>IF(ISNUMBER(SEARCH(SUBSTITUTE(AU$1,RIGHT(AU$1,2),""),VLOOKUP($D326,素材!$1:$1016,COLUMN($F$1),FALSE))),VLOOKUP($C326,武器!$1:$998,COLUMN($O$1),FALSE)*VLOOKUP($D326,素材!$1:$1016,COLUMN($E$1),FALSE)/(LEN(VLOOKUP($D326,素材!$1:$1016,COLUMN($F$1),FALSE)) - LEN(SUBSTITUTE(VLOOKUP($D326,素材!$1:$1016,COLUMN($F$1),FALSE), "・", 0)) + 1), 0)</f>
        <v>0</v>
      </c>
      <c r="AV326">
        <f>IF(ISNUMBER(SEARCH(SUBSTITUTE(AV$1,RIGHT(AV$1,2),""),VLOOKUP($D326,素材!$1:$1016,COLUMN($F$1),FALSE))),VLOOKUP($C326,武器!$1:$998,COLUMN($O$1),FALSE)*VLOOKUP($D326,素材!$1:$1016,COLUMN($E$1),FALSE)/(LEN(VLOOKUP($D326,素材!$1:$1016,COLUMN($F$1),FALSE)) - LEN(SUBSTITUTE(VLOOKUP($D326,素材!$1:$1016,COLUMN($F$1),FALSE), "・", 0)) + 1), 0)</f>
        <v>0</v>
      </c>
      <c r="AW326">
        <f>IF(ISNUMBER(SEARCH(SUBSTITUTE(AW$1,RIGHT(AW$1,2),""),VLOOKUP($D326,素材!$1:$1016,COLUMN($F$1),FALSE))),VLOOKUP($C326,武器!$1:$998,COLUMN($O$1),FALSE)*VLOOKUP($D326,素材!$1:$1016,COLUMN($E$1),FALSE)/(LEN(VLOOKUP($D326,素材!$1:$1016,COLUMN($F$1),FALSE)) - LEN(SUBSTITUTE(VLOOKUP($D326,素材!$1:$1016,COLUMN($F$1),FALSE), "・", 0)) + 1), 0)</f>
        <v>0</v>
      </c>
      <c r="AX326">
        <f>IF(ISNUMBER(SEARCH(SUBSTITUTE(AX$1,RIGHT(AX$1,2),""),VLOOKUP($D326,素材!$1:$1016,COLUMN($F$1),FALSE))),VLOOKUP($C326,武器!$1:$998,COLUMN($O$1),FALSE)*VLOOKUP($D326,素材!$1:$1016,COLUMN($E$1),FALSE)/(LEN(VLOOKUP($D326,素材!$1:$1016,COLUMN($F$1),FALSE)) - LEN(SUBSTITUTE(VLOOKUP($D326,素材!$1:$1016,COLUMN($F$1),FALSE), "・", 0)) + 1), 0)</f>
        <v>0</v>
      </c>
      <c r="AY326">
        <f>IF(ISNUMBER(SEARCH(SUBSTITUTE(AY$1,RIGHT(AY$1,2),""),VLOOKUP($D326,素材!$1:$1016,COLUMN($F$1),FALSE))),VLOOKUP($C326,武器!$1:$998,COLUMN($O$1),FALSE)*VLOOKUP($D326,素材!$1:$1016,COLUMN($E$1),FALSE)/(LEN(VLOOKUP($D326,素材!$1:$1016,COLUMN($F$1),FALSE)) - LEN(SUBSTITUTE(VLOOKUP($D326,素材!$1:$1016,COLUMN($F$1),FALSE), "・", 0)) + 1), 0)</f>
        <v>0</v>
      </c>
      <c r="AZ326">
        <f>IF(ISNUMBER(SEARCH(SUBSTITUTE(AZ$1,RIGHT(AZ$1,2),""),VLOOKUP($D326,素材!$1:$1016,COLUMN($F$1),FALSE))),VLOOKUP($C326,武器!$1:$998,COLUMN($O$1),FALSE)*VLOOKUP($D326,素材!$1:$1016,COLUMN($E$1),FALSE)/(LEN(VLOOKUP($D326,素材!$1:$1016,COLUMN($F$1),FALSE)) - LEN(SUBSTITUTE(VLOOKUP($D326,素材!$1:$1016,COLUMN($F$1),FALSE), "・", 0)) + 1), 0)</f>
        <v>0</v>
      </c>
      <c r="BA326">
        <f>IF(ISNUMBER(SEARCH(SUBSTITUTE(BA$1,RIGHT(BA$1,2),""),VLOOKUP($D326,素材!$1:$1016,COLUMN($F$1),FALSE))),VLOOKUP($C326,武器!$1:$998,COLUMN($O$1),FALSE)*VLOOKUP($D326,素材!$1:$1016,COLUMN($E$1),FALSE)/(LEN(VLOOKUP($D326,素材!$1:$1016,COLUMN($F$1),FALSE)) - LEN(SUBSTITUTE(VLOOKUP($D326,素材!$1:$1016,COLUMN($F$1),FALSE), "・", 0)) + 1), 0)</f>
        <v>0</v>
      </c>
      <c r="BB326">
        <f>IF(ISNUMBER(SEARCH(SUBSTITUTE(BB$1,RIGHT(BB$1,2),""),VLOOKUP($D326,素材!$1:$1016,COLUMN($F$1),FALSE))),VLOOKUP($C326,武器!$1:$998,COLUMN($O$1),FALSE)*VLOOKUP($D326,素材!$1:$1016,COLUMN($E$1),FALSE)/(LEN(VLOOKUP($D326,素材!$1:$1016,COLUMN($F$1),FALSE)) - LEN(SUBSTITUTE(VLOOKUP($D326,素材!$1:$1016,COLUMN($F$1),FALSE), "・", 0)) + 1), 0)</f>
        <v>0</v>
      </c>
      <c r="BC326">
        <f>IF(ISNUMBER(SEARCH(SUBSTITUTE(BC$1,RIGHT(BC$1,2),""),VLOOKUP($D326,素材!$1:$1016,COLUMN($F$1),FALSE))),VLOOKUP($C326,武器!$1:$998,COLUMN($O$1),FALSE)*VLOOKUP($D326,素材!$1:$1016,COLUMN($E$1),FALSE)/(LEN(VLOOKUP($D326,素材!$1:$1016,COLUMN($F$1),FALSE)) - LEN(SUBSTITUTE(VLOOKUP($D326,素材!$1:$1016,COLUMN($F$1),FALSE), "・", 0)) + 1), 0)</f>
        <v>0</v>
      </c>
      <c r="BD326">
        <f>IF(ISNUMBER(SEARCH(SUBSTITUTE(BD$1,RIGHT(BD$1,2),""),VLOOKUP($D326,素材!$1:$1016,COLUMN($F$1),FALSE))),VLOOKUP($C326,武器!$1:$998,COLUMN($O$1),FALSE)*VLOOKUP($D326,素材!$1:$1016,COLUMN($E$1),FALSE)/(LEN(VLOOKUP($D326,素材!$1:$1016,COLUMN($F$1),FALSE)) - LEN(SUBSTITUTE(VLOOKUP($D326,素材!$1:$1016,COLUMN($F$1),FALSE), "・", 0)) + 1), 0)</f>
        <v>0</v>
      </c>
      <c r="BE326">
        <f>IF(ISNUMBER(SEARCH(SUBSTITUTE(BE$1,RIGHT(BE$1,2),""),VLOOKUP($D326,素材!$1:$1016,COLUMN($F$1),FALSE))),VLOOKUP($C326,武器!$1:$998,COLUMN($O$1),FALSE)*VLOOKUP($D326,素材!$1:$1016,COLUMN($E$1),FALSE)/(LEN(VLOOKUP($D326,素材!$1:$1016,COLUMN($F$1),FALSE)) - LEN(SUBSTITUTE(VLOOKUP($D326,素材!$1:$1016,COLUMN($F$1),FALSE), "・", 0)) + 1), 0)</f>
        <v>0</v>
      </c>
      <c r="CL326">
        <f>SUM(G326:I326)</f>
        <v>0</v>
      </c>
      <c r="CM326" s="22" t="str">
        <f>IF(E326="武器",IF(J326-1&gt;SUM(G326:I326),"盾",IF(MAX(G326:I326)=G326,"切断",IF(MAX(G326:I326)=H326,"貫通",IF(MAX(G326:I326)=I326,"打撃","射撃")))),E326)&amp;".webp"</f>
        <v>.webp</v>
      </c>
      <c r="CN326" t="str">
        <f>IFERROR(VLOOKUP($C326,武器!$1:$998,COLUMN(V$1),FALSE)*VLOOKUP($D326,素材!$1:$1016,COLUMN(N$1),FALSE)+IF(CI326="",0,VLOOKUP($CI326,装強!$1:$1008,COLUMN($CK$1),FALSE)),"")</f>
        <v/>
      </c>
      <c r="CO326" t="e">
        <f>VLOOKUP(D326,素材!$A:$O,COLUMN(素材!O$1),FALSE)</f>
        <v>#N/A</v>
      </c>
      <c r="CP326" t="e">
        <f>VLOOKUP(C326,武器!$A:$W,COLUMN(武器!W$1),FALSE)</f>
        <v>#N/A</v>
      </c>
      <c r="CR326" t="str">
        <f t="shared" si="33"/>
        <v>e_326</v>
      </c>
      <c r="CS326" t="e">
        <f t="shared" si="34"/>
        <v>#VALUE!</v>
      </c>
    </row>
    <row r="327" spans="1:97" hidden="1" outlineLevel="1" x14ac:dyDescent="0.4">
      <c r="A327" t="str">
        <f>IF(CI327="",D327&amp;"の"&amp;C327,CI327&amp;"の"&amp;C327)</f>
        <v>の</v>
      </c>
      <c r="B327" t="str">
        <f>IFERROR(IF(CI327="",VLOOKUP($D327,素材!$1:$1016,COLUMN($B$1),FALSE)&amp;"・"&amp;VLOOKUP($C327,武器!$1:$998,COLUMN(B$1),FALSE),VLOOKUP($CI327,装強!$1:$1008,COLUMN($B$1),FALSE)&amp;"・"&amp;VLOOKUP($C327,武器!$1:$998,COLUMN(B$1),FALSE)),"")</f>
        <v/>
      </c>
      <c r="C327" s="24"/>
      <c r="D327" s="24"/>
      <c r="E327" t="str">
        <f>IFERROR(VLOOKUP(C327,武器!$1:$998,COLUMN(C$1),FALSE),"")</f>
        <v/>
      </c>
      <c r="F327" t="str">
        <f>IFERROR(ROUNDDOWN((VLOOKUP($C327,武器!$1:$998,COLUMN(D$1),FALSE)+IFERROR(VLOOKUP($CI327,装強!$1:$999,COLUMN(F$1),FALSE),0))*VLOOKUP($D327,素材!$1:$1016,COLUMN(D$1),FALSE),0),"")</f>
        <v/>
      </c>
      <c r="G327" t="str">
        <f>IFERROR(ROUNDDOWN((VLOOKUP($C327,武器!$1:$998,COLUMN(E$1),FALSE)+IFERROR(VLOOKUP($CI327,装強!$1:$999,COLUMN(G$1),FALSE),0))*VLOOKUP($D327,素材!$1:$1016,COLUMN($E$1),FALSE),0),"")</f>
        <v/>
      </c>
      <c r="H327" t="str">
        <f>IFERROR(ROUNDDOWN((VLOOKUP($C327,武器!$1:$998,COLUMN(F$1),FALSE)+IFERROR(VLOOKUP($CI327,装強!$1:$999,COLUMN(H$1),FALSE),0))*VLOOKUP($D327,素材!$1:$1016,COLUMN($E$1),FALSE),0),"")</f>
        <v/>
      </c>
      <c r="I327" t="str">
        <f>IFERROR(ROUNDDOWN((VLOOKUP($C327,武器!$1:$998,COLUMN(G$1),FALSE)+IFERROR(VLOOKUP($CI327,装強!$1:$999,COLUMN(I$1),FALSE),0))*VLOOKUP($D327,素材!$1:$1016,COLUMN($E$1),FALSE),0),"")</f>
        <v/>
      </c>
      <c r="J327" t="str">
        <f>IFERROR(ROUNDDOWN((VLOOKUP($C327,武器!$1:$998,COLUMN(H$1),FALSE)+IFERROR(VLOOKUP($CI327,装強!$1:$999,COLUMN(J$1),FALSE),0))*VLOOKUP($D327,素材!$1:$1016,COLUMN($E$1),FALSE),0),"")</f>
        <v/>
      </c>
      <c r="K327" t="str">
        <f>IFERROR(ROUNDDOWN((VLOOKUP($C327,武器!$1:$998,COLUMN(I$1),FALSE)+IFERROR(VLOOKUP($CI327,装強!$1:$999,COLUMN(K$1),FALSE),0))*VLOOKUP($D327,素材!$1:$1016,COLUMN($E$1),FALSE),0),"")</f>
        <v/>
      </c>
      <c r="L327" t="str">
        <f>IFERROR(VLOOKUP($D327,素材!$1:$1016,COLUMN($F$1),FALSE),"")</f>
        <v/>
      </c>
      <c r="M327" t="str">
        <f>IFERROR(VLOOKUP($C327,武器!$1:$998,COLUMN(AA$1),FALSE)*VLOOKUP($D327,素材!$1:$1016,COLUMN($G$1),FALSE),"")</f>
        <v/>
      </c>
      <c r="N327" t="str">
        <f>IFERROR(VLOOKUP($C327,武器!$1:$998,COLUMN(I$1),FALSE),"")</f>
        <v/>
      </c>
      <c r="O327" s="23" t="str">
        <f>IFERROR((VLOOKUP($C327,武器!$1:$998,COLUMN(K$1),FALSE)+VLOOKUP($D327,素材!$1:$1016,COLUMN(H$1),FALSE))*100+IFERROR(VLOOKUP($CI327,装強!$1:$999,COLUMN(O$1),FALSE),0),"")</f>
        <v/>
      </c>
      <c r="P327" s="23" t="str">
        <f>IFERROR((VLOOKUP($C327,武器!$1:$998,COLUMN(L$1),FALSE)+VLOOKUP($D327,素材!$1:$1016,COLUMN(I$1),FALSE))*100+IFERROR(VLOOKUP($CI327,装強!$1:$999,COLUMN(P$1),FALSE),0),"")</f>
        <v/>
      </c>
      <c r="Q327" t="str">
        <f>IFERROR(ROUNDUP(VLOOKUP($C327,武器!$1:$998,COLUMN(M$1),FALSE)*(VLOOKUP($D327,素材!$1:$1002,COLUMN(D$1),FALSE)/100),1),"")</f>
        <v/>
      </c>
      <c r="R327" t="str">
        <f>IFERROR(ROUNDUP(VLOOKUP($C327,武器!$1:$998,COLUMN(N$1),FALSE)*(VLOOKUP($D327,素材!$1:$1002,COLUMN(D$1),FALSE)/100),1),"")</f>
        <v/>
      </c>
      <c r="S327" t="str">
        <f>IFERROR(VLOOKUP($C327,武器!$1:$998,COLUMN(P$1),FALSE),"")</f>
        <v/>
      </c>
      <c r="T327" t="str">
        <f>IFERROR(VLOOKUP($C327,武器!$1:$998,COLUMN(Q$1),FALSE),"")</f>
        <v/>
      </c>
      <c r="U327" t="str">
        <f>IFERROR(VLOOKUP($C327,武器!$1:$998,COLUMN(R$1),FALSE),"")</f>
        <v/>
      </c>
      <c r="V327" t="str">
        <f>IFERROR(VLOOKUP($C327,武器!$1:$998,COLUMN(Q$1),FALSE),"")</f>
        <v/>
      </c>
      <c r="W327" t="str">
        <f>IFERROR(VLOOKUP($C327,武器!$1:$998,COLUMN(T$1),FALSE),"")</f>
        <v/>
      </c>
      <c r="Y327" t="str">
        <f>IFERROR(VLOOKUP($C327,武器!$1:$998,COLUMN(U$1),FALSE),"")</f>
        <v/>
      </c>
      <c r="Z327" t="str">
        <f>IFERROR(ROUNDUP(VLOOKUP($C327,武器!$1:$998,COLUMN(O$1),FALSE)*VLOOKUP($D327,素材!$1:$1016,COLUMN(E$1),FALSE),1),"")</f>
        <v/>
      </c>
      <c r="AA327">
        <f>IF(ISNUMBER(SEARCH(SUBSTITUTE(AA$1,RIGHT(AA$1,2),""),VLOOKUP($D327,素材!$1:$1016,COLUMN($F$1),FALSE))),VLOOKUP($C327,武器!$1:$998,COLUMN($O$1),FALSE)*VLOOKUP($D327,素材!$1:$1016,COLUMN($E$1),FALSE)/(LEN(VLOOKUP($D327,素材!$1:$1016,COLUMN($F$1),FALSE)) - LEN(SUBSTITUTE(VLOOKUP($D327,素材!$1:$1016,COLUMN($F$1),FALSE), "・", 0)) + 1), 0)</f>
        <v>0</v>
      </c>
      <c r="AB327">
        <f>IF(ISNUMBER(SEARCH(SUBSTITUTE(AB$1,RIGHT(AB$1,2),""),VLOOKUP($D327,素材!$1:$1016,COLUMN($F$1),FALSE))),VLOOKUP($C327,武器!$1:$998,COLUMN($O$1),FALSE)*VLOOKUP($D327,素材!$1:$1016,COLUMN($E$1),FALSE)/(LEN(VLOOKUP($D327,素材!$1:$1016,COLUMN($F$1),FALSE)) - LEN(SUBSTITUTE(VLOOKUP($D327,素材!$1:$1016,COLUMN($F$1),FALSE), "・", 0)) + 1), 0)</f>
        <v>0</v>
      </c>
      <c r="AC327">
        <f>IF(ISNUMBER(SEARCH(SUBSTITUTE(AC$1,RIGHT(AC$1,2),""),VLOOKUP($D327,素材!$1:$1016,COLUMN($F$1),FALSE))),VLOOKUP($C327,武器!$1:$998,COLUMN($O$1),FALSE)*VLOOKUP($D327,素材!$1:$1016,COLUMN($E$1),FALSE)/(LEN(VLOOKUP($D327,素材!$1:$1016,COLUMN($F$1),FALSE)) - LEN(SUBSTITUTE(VLOOKUP($D327,素材!$1:$1016,COLUMN($F$1),FALSE), "・", 0)) + 1), 0)</f>
        <v>0</v>
      </c>
      <c r="AD327">
        <f>IF(ISNUMBER(SEARCH(SUBSTITUTE(AD$1,RIGHT(AD$1,2),""),VLOOKUP($D327,素材!$1:$1016,COLUMN($F$1),FALSE))),VLOOKUP($C327,武器!$1:$998,COLUMN($O$1),FALSE)*VLOOKUP($D327,素材!$1:$1016,COLUMN($E$1),FALSE)/(LEN(VLOOKUP($D327,素材!$1:$1016,COLUMN($F$1),FALSE)) - LEN(SUBSTITUTE(VLOOKUP($D327,素材!$1:$1016,COLUMN($F$1),FALSE), "・", 0)) + 1), 0)</f>
        <v>0</v>
      </c>
      <c r="AE327">
        <f>IF(ISNUMBER(SEARCH(SUBSTITUTE(AE$1,RIGHT(AE$1,2),""),VLOOKUP($D327,素材!$1:$1016,COLUMN($F$1),FALSE))),VLOOKUP($C327,武器!$1:$998,COLUMN($O$1),FALSE)*VLOOKUP($D327,素材!$1:$1016,COLUMN($E$1),FALSE)/(LEN(VLOOKUP($D327,素材!$1:$1016,COLUMN($F$1),FALSE)) - LEN(SUBSTITUTE(VLOOKUP($D327,素材!$1:$1016,COLUMN($F$1),FALSE), "・", 0)) + 1), 0)</f>
        <v>0</v>
      </c>
      <c r="AF327">
        <f>IF(ISNUMBER(SEARCH(SUBSTITUTE(AF$1,RIGHT(AF$1,2),""),VLOOKUP($D327,素材!$1:$1016,COLUMN($F$1),FALSE))),VLOOKUP($C327,武器!$1:$998,COLUMN($O$1),FALSE)*VLOOKUP($D327,素材!$1:$1016,COLUMN($E$1),FALSE)/(LEN(VLOOKUP($D327,素材!$1:$1016,COLUMN($F$1),FALSE)) - LEN(SUBSTITUTE(VLOOKUP($D327,素材!$1:$1016,COLUMN($F$1),FALSE), "・", 0)) + 1), 0)</f>
        <v>0</v>
      </c>
      <c r="AG327">
        <f>IF(ISNUMBER(SEARCH(SUBSTITUTE(AG$1,RIGHT(AG$1,2),""),VLOOKUP($D327,素材!$1:$1016,COLUMN($F$1),FALSE))),VLOOKUP($C327,武器!$1:$998,COLUMN($O$1),FALSE)*VLOOKUP($D327,素材!$1:$1016,COLUMN($E$1),FALSE)/(LEN(VLOOKUP($D327,素材!$1:$1016,COLUMN($F$1),FALSE)) - LEN(SUBSTITUTE(VLOOKUP($D327,素材!$1:$1016,COLUMN($F$1),FALSE), "・", 0)) + 1), 0)</f>
        <v>0</v>
      </c>
      <c r="AH327">
        <f>IF(ISNUMBER(SEARCH(SUBSTITUTE(AH$1,RIGHT(AH$1,2),""),VLOOKUP($D327,素材!$1:$1016,COLUMN($F$1),FALSE))),VLOOKUP($C327,武器!$1:$998,COLUMN($O$1),FALSE)*VLOOKUP($D327,素材!$1:$1016,COLUMN($E$1),FALSE)/(LEN(VLOOKUP($D327,素材!$1:$1016,COLUMN($F$1),FALSE)) - LEN(SUBSTITUTE(VLOOKUP($D327,素材!$1:$1016,COLUMN($F$1),FALSE), "・", 0)) + 1), 0)</f>
        <v>0</v>
      </c>
      <c r="AI327">
        <f>IF(ISNUMBER(SEARCH(SUBSTITUTE(AI$1,RIGHT(AI$1,2),""),VLOOKUP($D327,素材!$1:$1016,COLUMN($F$1),FALSE))),VLOOKUP($C327,武器!$1:$998,COLUMN($O$1),FALSE)*VLOOKUP($D327,素材!$1:$1016,COLUMN($E$1),FALSE)/(LEN(VLOOKUP($D327,素材!$1:$1016,COLUMN($F$1),FALSE)) - LEN(SUBSTITUTE(VLOOKUP($D327,素材!$1:$1016,COLUMN($F$1),FALSE), "・", 0)) + 1), 0)</f>
        <v>0</v>
      </c>
      <c r="AJ327">
        <f>IF(ISNUMBER(SEARCH(SUBSTITUTE(AJ$1,RIGHT(AJ$1,2),""),VLOOKUP($D327,素材!$1:$1016,COLUMN($F$1),FALSE))),VLOOKUP($C327,武器!$1:$998,COLUMN($O$1),FALSE)*VLOOKUP($D327,素材!$1:$1016,COLUMN($E$1),FALSE)/(LEN(VLOOKUP($D327,素材!$1:$1016,COLUMN($F$1),FALSE)) - LEN(SUBSTITUTE(VLOOKUP($D327,素材!$1:$1016,COLUMN($F$1),FALSE), "・", 0)) + 1), 0)</f>
        <v>0</v>
      </c>
      <c r="AK327">
        <f>IF(ISNUMBER(SEARCH(SUBSTITUTE(AK$1,RIGHT(AK$1,2),""),VLOOKUP($D327,素材!$1:$1016,COLUMN($F$1),FALSE))),VLOOKUP($C327,武器!$1:$998,COLUMN($O$1),FALSE)*VLOOKUP($D327,素材!$1:$1016,COLUMN($E$1),FALSE)/(LEN(VLOOKUP($D327,素材!$1:$1016,COLUMN($F$1),FALSE)) - LEN(SUBSTITUTE(VLOOKUP($D327,素材!$1:$1016,COLUMN($F$1),FALSE), "・", 0)) + 1), 0)</f>
        <v>0</v>
      </c>
      <c r="AL327">
        <f>IF(ISNUMBER(SEARCH(SUBSTITUTE(AL$1,RIGHT(AL$1,2),""),VLOOKUP($D327,素材!$1:$1016,COLUMN($F$1),FALSE))),VLOOKUP($C327,武器!$1:$998,COLUMN($O$1),FALSE)*VLOOKUP($D327,素材!$1:$1016,COLUMN($E$1),FALSE)/(LEN(VLOOKUP($D327,素材!$1:$1016,COLUMN($F$1),FALSE)) - LEN(SUBSTITUTE(VLOOKUP($D327,素材!$1:$1016,COLUMN($F$1),FALSE), "・", 0)) + 1), 0)</f>
        <v>0</v>
      </c>
      <c r="AM327">
        <f>IF(ISNUMBER(SEARCH(SUBSTITUTE(AM$1,RIGHT(AM$1,2),""),VLOOKUP($D327,素材!$1:$1016,COLUMN($F$1),FALSE))),VLOOKUP($C327,武器!$1:$998,COLUMN($O$1),FALSE)*VLOOKUP($D327,素材!$1:$1016,COLUMN($E$1),FALSE)/(LEN(VLOOKUP($D327,素材!$1:$1016,COLUMN($F$1),FALSE)) - LEN(SUBSTITUTE(VLOOKUP($D327,素材!$1:$1016,COLUMN($F$1),FALSE), "・", 0)) + 1), 0)</f>
        <v>0</v>
      </c>
      <c r="AN327">
        <f>IF(ISNUMBER(SEARCH(SUBSTITUTE(AN$1,RIGHT(AN$1,2),""),VLOOKUP($D327,素材!$1:$1016,COLUMN($F$1),FALSE))),VLOOKUP($C327,武器!$1:$998,COLUMN($O$1),FALSE)*VLOOKUP($D327,素材!$1:$1016,COLUMN($E$1),FALSE)/(LEN(VLOOKUP($D327,素材!$1:$1016,COLUMN($F$1),FALSE)) - LEN(SUBSTITUTE(VLOOKUP($D327,素材!$1:$1016,COLUMN($F$1),FALSE), "・", 0)) + 1), 0)</f>
        <v>0</v>
      </c>
      <c r="AO327">
        <f>IF(ISNUMBER(SEARCH(SUBSTITUTE(AO$1,RIGHT(AO$1,2),""),VLOOKUP($D327,素材!$1:$1016,COLUMN($F$1),FALSE))),VLOOKUP($C327,武器!$1:$998,COLUMN($O$1),FALSE)*VLOOKUP($D327,素材!$1:$1016,COLUMN($E$1),FALSE)/(LEN(VLOOKUP($D327,素材!$1:$1016,COLUMN($F$1),FALSE)) - LEN(SUBSTITUTE(VLOOKUP($D327,素材!$1:$1016,COLUMN($F$1),FALSE), "・", 0)) + 1), 0)</f>
        <v>0</v>
      </c>
      <c r="AP327">
        <f>IF(ISNUMBER(SEARCH(SUBSTITUTE(AP$1,RIGHT(AP$1,2),""),VLOOKUP($D327,素材!$1:$1016,COLUMN($F$1),FALSE))),VLOOKUP($C327,武器!$1:$998,COLUMN($O$1),FALSE)*VLOOKUP($D327,素材!$1:$1016,COLUMN($E$1),FALSE)/(LEN(VLOOKUP($D327,素材!$1:$1016,COLUMN($F$1),FALSE)) - LEN(SUBSTITUTE(VLOOKUP($D327,素材!$1:$1016,COLUMN($F$1),FALSE), "・", 0)) + 1), 0)</f>
        <v>0</v>
      </c>
      <c r="AQ327">
        <f>IF(ISNUMBER(SEARCH(SUBSTITUTE(AQ$1,RIGHT(AQ$1,2),""),VLOOKUP($D327,素材!$1:$1016,COLUMN($F$1),FALSE))),VLOOKUP($C327,武器!$1:$998,COLUMN($O$1),FALSE)*VLOOKUP($D327,素材!$1:$1016,COLUMN($E$1),FALSE)/(LEN(VLOOKUP($D327,素材!$1:$1016,COLUMN($F$1),FALSE)) - LEN(SUBSTITUTE(VLOOKUP($D327,素材!$1:$1016,COLUMN($F$1),FALSE), "・", 0)) + 1), 0)</f>
        <v>0</v>
      </c>
      <c r="AR327">
        <f>IF(ISNUMBER(SEARCH(SUBSTITUTE(AR$1,RIGHT(AR$1,2),""),VLOOKUP($D327,素材!$1:$1016,COLUMN($F$1),FALSE))),VLOOKUP($C327,武器!$1:$998,COLUMN($O$1),FALSE)*VLOOKUP($D327,素材!$1:$1016,COLUMN($E$1),FALSE)/(LEN(VLOOKUP($D327,素材!$1:$1016,COLUMN($F$1),FALSE)) - LEN(SUBSTITUTE(VLOOKUP($D327,素材!$1:$1016,COLUMN($F$1),FALSE), "・", 0)) + 1), 0)</f>
        <v>0</v>
      </c>
      <c r="AS327">
        <f>IF(ISNUMBER(SEARCH(SUBSTITUTE(AS$1,RIGHT(AS$1,2),""),VLOOKUP($D327,素材!$1:$1016,COLUMN($F$1),FALSE))),VLOOKUP($C327,武器!$1:$998,COLUMN($O$1),FALSE)*VLOOKUP($D327,素材!$1:$1016,COLUMN($E$1),FALSE)/(LEN(VLOOKUP($D327,素材!$1:$1016,COLUMN($F$1),FALSE)) - LEN(SUBSTITUTE(VLOOKUP($D327,素材!$1:$1016,COLUMN($F$1),FALSE), "・", 0)) + 1), 0)</f>
        <v>0</v>
      </c>
      <c r="AT327">
        <f>IF(ISNUMBER(SEARCH(SUBSTITUTE(AT$1,RIGHT(AT$1,2),""),VLOOKUP($D327,素材!$1:$1016,COLUMN($F$1),FALSE))),VLOOKUP($C327,武器!$1:$998,COLUMN($O$1),FALSE)*VLOOKUP($D327,素材!$1:$1016,COLUMN($E$1),FALSE)/(LEN(VLOOKUP($D327,素材!$1:$1016,COLUMN($F$1),FALSE)) - LEN(SUBSTITUTE(VLOOKUP($D327,素材!$1:$1016,COLUMN($F$1),FALSE), "・", 0)) + 1), 0)</f>
        <v>0</v>
      </c>
      <c r="AU327">
        <f>IF(ISNUMBER(SEARCH(SUBSTITUTE(AU$1,RIGHT(AU$1,2),""),VLOOKUP($D327,素材!$1:$1016,COLUMN($F$1),FALSE))),VLOOKUP($C327,武器!$1:$998,COLUMN($O$1),FALSE)*VLOOKUP($D327,素材!$1:$1016,COLUMN($E$1),FALSE)/(LEN(VLOOKUP($D327,素材!$1:$1016,COLUMN($F$1),FALSE)) - LEN(SUBSTITUTE(VLOOKUP($D327,素材!$1:$1016,COLUMN($F$1),FALSE), "・", 0)) + 1), 0)</f>
        <v>0</v>
      </c>
      <c r="AV327">
        <f>IF(ISNUMBER(SEARCH(SUBSTITUTE(AV$1,RIGHT(AV$1,2),""),VLOOKUP($D327,素材!$1:$1016,COLUMN($F$1),FALSE))),VLOOKUP($C327,武器!$1:$998,COLUMN($O$1),FALSE)*VLOOKUP($D327,素材!$1:$1016,COLUMN($E$1),FALSE)/(LEN(VLOOKUP($D327,素材!$1:$1016,COLUMN($F$1),FALSE)) - LEN(SUBSTITUTE(VLOOKUP($D327,素材!$1:$1016,COLUMN($F$1),FALSE), "・", 0)) + 1), 0)</f>
        <v>0</v>
      </c>
      <c r="AW327">
        <f>IF(ISNUMBER(SEARCH(SUBSTITUTE(AW$1,RIGHT(AW$1,2),""),VLOOKUP($D327,素材!$1:$1016,COLUMN($F$1),FALSE))),VLOOKUP($C327,武器!$1:$998,COLUMN($O$1),FALSE)*VLOOKUP($D327,素材!$1:$1016,COLUMN($E$1),FALSE)/(LEN(VLOOKUP($D327,素材!$1:$1016,COLUMN($F$1),FALSE)) - LEN(SUBSTITUTE(VLOOKUP($D327,素材!$1:$1016,COLUMN($F$1),FALSE), "・", 0)) + 1), 0)</f>
        <v>0</v>
      </c>
      <c r="AX327">
        <f>IF(ISNUMBER(SEARCH(SUBSTITUTE(AX$1,RIGHT(AX$1,2),""),VLOOKUP($D327,素材!$1:$1016,COLUMN($F$1),FALSE))),VLOOKUP($C327,武器!$1:$998,COLUMN($O$1),FALSE)*VLOOKUP($D327,素材!$1:$1016,COLUMN($E$1),FALSE)/(LEN(VLOOKUP($D327,素材!$1:$1016,COLUMN($F$1),FALSE)) - LEN(SUBSTITUTE(VLOOKUP($D327,素材!$1:$1016,COLUMN($F$1),FALSE), "・", 0)) + 1), 0)</f>
        <v>0</v>
      </c>
      <c r="AY327">
        <f>IF(ISNUMBER(SEARCH(SUBSTITUTE(AY$1,RIGHT(AY$1,2),""),VLOOKUP($D327,素材!$1:$1016,COLUMN($F$1),FALSE))),VLOOKUP($C327,武器!$1:$998,COLUMN($O$1),FALSE)*VLOOKUP($D327,素材!$1:$1016,COLUMN($E$1),FALSE)/(LEN(VLOOKUP($D327,素材!$1:$1016,COLUMN($F$1),FALSE)) - LEN(SUBSTITUTE(VLOOKUP($D327,素材!$1:$1016,COLUMN($F$1),FALSE), "・", 0)) + 1), 0)</f>
        <v>0</v>
      </c>
      <c r="AZ327">
        <f>IF(ISNUMBER(SEARCH(SUBSTITUTE(AZ$1,RIGHT(AZ$1,2),""),VLOOKUP($D327,素材!$1:$1016,COLUMN($F$1),FALSE))),VLOOKUP($C327,武器!$1:$998,COLUMN($O$1),FALSE)*VLOOKUP($D327,素材!$1:$1016,COLUMN($E$1),FALSE)/(LEN(VLOOKUP($D327,素材!$1:$1016,COLUMN($F$1),FALSE)) - LEN(SUBSTITUTE(VLOOKUP($D327,素材!$1:$1016,COLUMN($F$1),FALSE), "・", 0)) + 1), 0)</f>
        <v>0</v>
      </c>
      <c r="BA327">
        <f>IF(ISNUMBER(SEARCH(SUBSTITUTE(BA$1,RIGHT(BA$1,2),""),VLOOKUP($D327,素材!$1:$1016,COLUMN($F$1),FALSE))),VLOOKUP($C327,武器!$1:$998,COLUMN($O$1),FALSE)*VLOOKUP($D327,素材!$1:$1016,COLUMN($E$1),FALSE)/(LEN(VLOOKUP($D327,素材!$1:$1016,COLUMN($F$1),FALSE)) - LEN(SUBSTITUTE(VLOOKUP($D327,素材!$1:$1016,COLUMN($F$1),FALSE), "・", 0)) + 1), 0)</f>
        <v>0</v>
      </c>
      <c r="BB327">
        <f>IF(ISNUMBER(SEARCH(SUBSTITUTE(BB$1,RIGHT(BB$1,2),""),VLOOKUP($D327,素材!$1:$1016,COLUMN($F$1),FALSE))),VLOOKUP($C327,武器!$1:$998,COLUMN($O$1),FALSE)*VLOOKUP($D327,素材!$1:$1016,COLUMN($E$1),FALSE)/(LEN(VLOOKUP($D327,素材!$1:$1016,COLUMN($F$1),FALSE)) - LEN(SUBSTITUTE(VLOOKUP($D327,素材!$1:$1016,COLUMN($F$1),FALSE), "・", 0)) + 1), 0)</f>
        <v>0</v>
      </c>
      <c r="BC327">
        <f>IF(ISNUMBER(SEARCH(SUBSTITUTE(BC$1,RIGHT(BC$1,2),""),VLOOKUP($D327,素材!$1:$1016,COLUMN($F$1),FALSE))),VLOOKUP($C327,武器!$1:$998,COLUMN($O$1),FALSE)*VLOOKUP($D327,素材!$1:$1016,COLUMN($E$1),FALSE)/(LEN(VLOOKUP($D327,素材!$1:$1016,COLUMN($F$1),FALSE)) - LEN(SUBSTITUTE(VLOOKUP($D327,素材!$1:$1016,COLUMN($F$1),FALSE), "・", 0)) + 1), 0)</f>
        <v>0</v>
      </c>
      <c r="BD327">
        <f>IF(ISNUMBER(SEARCH(SUBSTITUTE(BD$1,RIGHT(BD$1,2),""),VLOOKUP($D327,素材!$1:$1016,COLUMN($F$1),FALSE))),VLOOKUP($C327,武器!$1:$998,COLUMN($O$1),FALSE)*VLOOKUP($D327,素材!$1:$1016,COLUMN($E$1),FALSE)/(LEN(VLOOKUP($D327,素材!$1:$1016,COLUMN($F$1),FALSE)) - LEN(SUBSTITUTE(VLOOKUP($D327,素材!$1:$1016,COLUMN($F$1),FALSE), "・", 0)) + 1), 0)</f>
        <v>0</v>
      </c>
      <c r="BE327">
        <f>IF(ISNUMBER(SEARCH(SUBSTITUTE(BE$1,RIGHT(BE$1,2),""),VLOOKUP($D327,素材!$1:$1016,COLUMN($F$1),FALSE))),VLOOKUP($C327,武器!$1:$998,COLUMN($O$1),FALSE)*VLOOKUP($D327,素材!$1:$1016,COLUMN($E$1),FALSE)/(LEN(VLOOKUP($D327,素材!$1:$1016,COLUMN($F$1),FALSE)) - LEN(SUBSTITUTE(VLOOKUP($D327,素材!$1:$1016,COLUMN($F$1),FALSE), "・", 0)) + 1), 0)</f>
        <v>0</v>
      </c>
      <c r="CL327">
        <f>SUM(G327:I327)</f>
        <v>0</v>
      </c>
      <c r="CM327" s="22" t="str">
        <f>IF(E327="武器",IF(J327-1&gt;SUM(G327:I327),"盾",IF(MAX(G327:I327)=G327,"切断",IF(MAX(G327:I327)=H327,"貫通",IF(MAX(G327:I327)=I327,"打撃","射撃")))),E327)&amp;".webp"</f>
        <v>.webp</v>
      </c>
      <c r="CN327" t="str">
        <f>IFERROR(VLOOKUP($C327,武器!$1:$998,COLUMN(V$1),FALSE)*VLOOKUP($D327,素材!$1:$1016,COLUMN(N$1),FALSE)+IF(CI327="",0,VLOOKUP($CI327,装強!$1:$1008,COLUMN($CK$1),FALSE)),"")</f>
        <v/>
      </c>
      <c r="CO327" t="e">
        <f>VLOOKUP(D327,素材!$A:$O,COLUMN(素材!O$1),FALSE)</f>
        <v>#N/A</v>
      </c>
      <c r="CP327" t="e">
        <f>VLOOKUP(C327,武器!$A:$W,COLUMN(武器!W$1),FALSE)</f>
        <v>#N/A</v>
      </c>
      <c r="CR327" t="str">
        <f t="shared" si="33"/>
        <v>e_327</v>
      </c>
      <c r="CS327" t="e">
        <f t="shared" si="34"/>
        <v>#VALUE!</v>
      </c>
    </row>
    <row r="328" spans="1:97" hidden="1" outlineLevel="1" x14ac:dyDescent="0.4">
      <c r="A328" t="str">
        <f>IF(CI328="",D328&amp;"の"&amp;C328,CI328&amp;"の"&amp;C328)</f>
        <v>の</v>
      </c>
      <c r="B328" t="str">
        <f>IFERROR(IF(CI328="",VLOOKUP($D328,素材!$1:$1016,COLUMN($B$1),FALSE)&amp;"・"&amp;VLOOKUP($C328,武器!$1:$998,COLUMN(B$1),FALSE),VLOOKUP($CI328,装強!$1:$1008,COLUMN($B$1),FALSE)&amp;"・"&amp;VLOOKUP($C328,武器!$1:$998,COLUMN(B$1),FALSE)),"")</f>
        <v/>
      </c>
      <c r="C328" s="24"/>
      <c r="D328" s="24"/>
      <c r="E328" t="str">
        <f>IFERROR(VLOOKUP(C328,武器!$1:$998,COLUMN(C$1),FALSE),"")</f>
        <v/>
      </c>
      <c r="F328" t="str">
        <f>IFERROR(ROUNDDOWN((VLOOKUP($C328,武器!$1:$998,COLUMN(D$1),FALSE)+IFERROR(VLOOKUP($CI328,装強!$1:$999,COLUMN(F$1),FALSE),0))*VLOOKUP($D328,素材!$1:$1016,COLUMN(D$1),FALSE),0),"")</f>
        <v/>
      </c>
      <c r="G328" t="str">
        <f>IFERROR(ROUNDDOWN((VLOOKUP($C328,武器!$1:$998,COLUMN(E$1),FALSE)+IFERROR(VLOOKUP($CI328,装強!$1:$999,COLUMN(G$1),FALSE),0))*VLOOKUP($D328,素材!$1:$1016,COLUMN($E$1),FALSE),0),"")</f>
        <v/>
      </c>
      <c r="H328" t="str">
        <f>IFERROR(ROUNDDOWN((VLOOKUP($C328,武器!$1:$998,COLUMN(F$1),FALSE)+IFERROR(VLOOKUP($CI328,装強!$1:$999,COLUMN(H$1),FALSE),0))*VLOOKUP($D328,素材!$1:$1016,COLUMN($E$1),FALSE),0),"")</f>
        <v/>
      </c>
      <c r="I328" t="str">
        <f>IFERROR(ROUNDDOWN((VLOOKUP($C328,武器!$1:$998,COLUMN(G$1),FALSE)+IFERROR(VLOOKUP($CI328,装強!$1:$999,COLUMN(I$1),FALSE),0))*VLOOKUP($D328,素材!$1:$1016,COLUMN($E$1),FALSE),0),"")</f>
        <v/>
      </c>
      <c r="J328" t="str">
        <f>IFERROR(ROUNDDOWN((VLOOKUP($C328,武器!$1:$998,COLUMN(H$1),FALSE)+IFERROR(VLOOKUP($CI328,装強!$1:$999,COLUMN(J$1),FALSE),0))*VLOOKUP($D328,素材!$1:$1016,COLUMN($E$1),FALSE),0),"")</f>
        <v/>
      </c>
      <c r="K328" t="str">
        <f>IFERROR(ROUNDDOWN((VLOOKUP($C328,武器!$1:$998,COLUMN(I$1),FALSE)+IFERROR(VLOOKUP($CI328,装強!$1:$999,COLUMN(K$1),FALSE),0))*VLOOKUP($D328,素材!$1:$1016,COLUMN($E$1),FALSE),0),"")</f>
        <v/>
      </c>
      <c r="L328" t="str">
        <f>IFERROR(VLOOKUP($D328,素材!$1:$1016,COLUMN($F$1),FALSE),"")</f>
        <v/>
      </c>
      <c r="M328" t="str">
        <f>IFERROR(VLOOKUP($C328,武器!$1:$998,COLUMN(AA$1),FALSE)*VLOOKUP($D328,素材!$1:$1016,COLUMN($G$1),FALSE),"")</f>
        <v/>
      </c>
      <c r="N328" t="str">
        <f>IFERROR(VLOOKUP($C328,武器!$1:$998,COLUMN(I$1),FALSE),"")</f>
        <v/>
      </c>
      <c r="O328" s="23" t="str">
        <f>IFERROR((VLOOKUP($C328,武器!$1:$998,COLUMN(K$1),FALSE)+VLOOKUP($D328,素材!$1:$1016,COLUMN(H$1),FALSE))*100+IFERROR(VLOOKUP($CI328,装強!$1:$999,COLUMN(O$1),FALSE),0),"")</f>
        <v/>
      </c>
      <c r="P328" s="23" t="str">
        <f>IFERROR((VLOOKUP($C328,武器!$1:$998,COLUMN(L$1),FALSE)+VLOOKUP($D328,素材!$1:$1016,COLUMN(I$1),FALSE))*100+IFERROR(VLOOKUP($CI328,装強!$1:$999,COLUMN(P$1),FALSE),0),"")</f>
        <v/>
      </c>
      <c r="Q328" t="str">
        <f>IFERROR(ROUNDUP(VLOOKUP($C328,武器!$1:$998,COLUMN(M$1),FALSE)*(VLOOKUP($D328,素材!$1:$1002,COLUMN(D$1),FALSE)/100),1),"")</f>
        <v/>
      </c>
      <c r="R328" t="str">
        <f>IFERROR(ROUNDUP(VLOOKUP($C328,武器!$1:$998,COLUMN(N$1),FALSE)*(VLOOKUP($D328,素材!$1:$1002,COLUMN(D$1),FALSE)/100),1),"")</f>
        <v/>
      </c>
      <c r="S328" t="str">
        <f>IFERROR(VLOOKUP($C328,武器!$1:$998,COLUMN(P$1),FALSE),"")</f>
        <v/>
      </c>
      <c r="T328" t="str">
        <f>IFERROR(VLOOKUP($C328,武器!$1:$998,COLUMN(Q$1),FALSE),"")</f>
        <v/>
      </c>
      <c r="U328" t="str">
        <f>IFERROR(VLOOKUP($C328,武器!$1:$998,COLUMN(R$1),FALSE),"")</f>
        <v/>
      </c>
      <c r="V328" t="str">
        <f>IFERROR(VLOOKUP($C328,武器!$1:$998,COLUMN(Q$1),FALSE),"")</f>
        <v/>
      </c>
      <c r="W328" t="str">
        <f>IFERROR(VLOOKUP($C328,武器!$1:$998,COLUMN(T$1),FALSE),"")</f>
        <v/>
      </c>
      <c r="Y328" t="str">
        <f>IFERROR(VLOOKUP($C328,武器!$1:$998,COLUMN(U$1),FALSE),"")</f>
        <v/>
      </c>
      <c r="Z328" t="str">
        <f>IFERROR(ROUNDUP(VLOOKUP($C328,武器!$1:$998,COLUMN(O$1),FALSE)*VLOOKUP($D328,素材!$1:$1016,COLUMN(E$1),FALSE),1),"")</f>
        <v/>
      </c>
      <c r="AA328">
        <f>IF(ISNUMBER(SEARCH(SUBSTITUTE(AA$1,RIGHT(AA$1,2),""),VLOOKUP($D328,素材!$1:$1016,COLUMN($F$1),FALSE))),VLOOKUP($C328,武器!$1:$998,COLUMN($O$1),FALSE)*VLOOKUP($D328,素材!$1:$1016,COLUMN($E$1),FALSE)/(LEN(VLOOKUP($D328,素材!$1:$1016,COLUMN($F$1),FALSE)) - LEN(SUBSTITUTE(VLOOKUP($D328,素材!$1:$1016,COLUMN($F$1),FALSE), "・", 0)) + 1), 0)</f>
        <v>0</v>
      </c>
      <c r="AB328">
        <f>IF(ISNUMBER(SEARCH(SUBSTITUTE(AB$1,RIGHT(AB$1,2),""),VLOOKUP($D328,素材!$1:$1016,COLUMN($F$1),FALSE))),VLOOKUP($C328,武器!$1:$998,COLUMN($O$1),FALSE)*VLOOKUP($D328,素材!$1:$1016,COLUMN($E$1),FALSE)/(LEN(VLOOKUP($D328,素材!$1:$1016,COLUMN($F$1),FALSE)) - LEN(SUBSTITUTE(VLOOKUP($D328,素材!$1:$1016,COLUMN($F$1),FALSE), "・", 0)) + 1), 0)</f>
        <v>0</v>
      </c>
      <c r="AC328">
        <f>IF(ISNUMBER(SEARCH(SUBSTITUTE(AC$1,RIGHT(AC$1,2),""),VLOOKUP($D328,素材!$1:$1016,COLUMN($F$1),FALSE))),VLOOKUP($C328,武器!$1:$998,COLUMN($O$1),FALSE)*VLOOKUP($D328,素材!$1:$1016,COLUMN($E$1),FALSE)/(LEN(VLOOKUP($D328,素材!$1:$1016,COLUMN($F$1),FALSE)) - LEN(SUBSTITUTE(VLOOKUP($D328,素材!$1:$1016,COLUMN($F$1),FALSE), "・", 0)) + 1), 0)</f>
        <v>0</v>
      </c>
      <c r="AD328">
        <f>IF(ISNUMBER(SEARCH(SUBSTITUTE(AD$1,RIGHT(AD$1,2),""),VLOOKUP($D328,素材!$1:$1016,COLUMN($F$1),FALSE))),VLOOKUP($C328,武器!$1:$998,COLUMN($O$1),FALSE)*VLOOKUP($D328,素材!$1:$1016,COLUMN($E$1),FALSE)/(LEN(VLOOKUP($D328,素材!$1:$1016,COLUMN($F$1),FALSE)) - LEN(SUBSTITUTE(VLOOKUP($D328,素材!$1:$1016,COLUMN($F$1),FALSE), "・", 0)) + 1), 0)</f>
        <v>0</v>
      </c>
      <c r="AE328">
        <f>IF(ISNUMBER(SEARCH(SUBSTITUTE(AE$1,RIGHT(AE$1,2),""),VLOOKUP($D328,素材!$1:$1016,COLUMN($F$1),FALSE))),VLOOKUP($C328,武器!$1:$998,COLUMN($O$1),FALSE)*VLOOKUP($D328,素材!$1:$1016,COLUMN($E$1),FALSE)/(LEN(VLOOKUP($D328,素材!$1:$1016,COLUMN($F$1),FALSE)) - LEN(SUBSTITUTE(VLOOKUP($D328,素材!$1:$1016,COLUMN($F$1),FALSE), "・", 0)) + 1), 0)</f>
        <v>0</v>
      </c>
      <c r="AF328">
        <f>IF(ISNUMBER(SEARCH(SUBSTITUTE(AF$1,RIGHT(AF$1,2),""),VLOOKUP($D328,素材!$1:$1016,COLUMN($F$1),FALSE))),VLOOKUP($C328,武器!$1:$998,COLUMN($O$1),FALSE)*VLOOKUP($D328,素材!$1:$1016,COLUMN($E$1),FALSE)/(LEN(VLOOKUP($D328,素材!$1:$1016,COLUMN($F$1),FALSE)) - LEN(SUBSTITUTE(VLOOKUP($D328,素材!$1:$1016,COLUMN($F$1),FALSE), "・", 0)) + 1), 0)</f>
        <v>0</v>
      </c>
      <c r="AG328">
        <f>IF(ISNUMBER(SEARCH(SUBSTITUTE(AG$1,RIGHT(AG$1,2),""),VLOOKUP($D328,素材!$1:$1016,COLUMN($F$1),FALSE))),VLOOKUP($C328,武器!$1:$998,COLUMN($O$1),FALSE)*VLOOKUP($D328,素材!$1:$1016,COLUMN($E$1),FALSE)/(LEN(VLOOKUP($D328,素材!$1:$1016,COLUMN($F$1),FALSE)) - LEN(SUBSTITUTE(VLOOKUP($D328,素材!$1:$1016,COLUMN($F$1),FALSE), "・", 0)) + 1), 0)</f>
        <v>0</v>
      </c>
      <c r="AH328">
        <f>IF(ISNUMBER(SEARCH(SUBSTITUTE(AH$1,RIGHT(AH$1,2),""),VLOOKUP($D328,素材!$1:$1016,COLUMN($F$1),FALSE))),VLOOKUP($C328,武器!$1:$998,COLUMN($O$1),FALSE)*VLOOKUP($D328,素材!$1:$1016,COLUMN($E$1),FALSE)/(LEN(VLOOKUP($D328,素材!$1:$1016,COLUMN($F$1),FALSE)) - LEN(SUBSTITUTE(VLOOKUP($D328,素材!$1:$1016,COLUMN($F$1),FALSE), "・", 0)) + 1), 0)</f>
        <v>0</v>
      </c>
      <c r="AI328">
        <f>IF(ISNUMBER(SEARCH(SUBSTITUTE(AI$1,RIGHT(AI$1,2),""),VLOOKUP($D328,素材!$1:$1016,COLUMN($F$1),FALSE))),VLOOKUP($C328,武器!$1:$998,COLUMN($O$1),FALSE)*VLOOKUP($D328,素材!$1:$1016,COLUMN($E$1),FALSE)/(LEN(VLOOKUP($D328,素材!$1:$1016,COLUMN($F$1),FALSE)) - LEN(SUBSTITUTE(VLOOKUP($D328,素材!$1:$1016,COLUMN($F$1),FALSE), "・", 0)) + 1), 0)</f>
        <v>0</v>
      </c>
      <c r="AJ328">
        <f>IF(ISNUMBER(SEARCH(SUBSTITUTE(AJ$1,RIGHT(AJ$1,2),""),VLOOKUP($D328,素材!$1:$1016,COLUMN($F$1),FALSE))),VLOOKUP($C328,武器!$1:$998,COLUMN($O$1),FALSE)*VLOOKUP($D328,素材!$1:$1016,COLUMN($E$1),FALSE)/(LEN(VLOOKUP($D328,素材!$1:$1016,COLUMN($F$1),FALSE)) - LEN(SUBSTITUTE(VLOOKUP($D328,素材!$1:$1016,COLUMN($F$1),FALSE), "・", 0)) + 1), 0)</f>
        <v>0</v>
      </c>
      <c r="AK328">
        <f>IF(ISNUMBER(SEARCH(SUBSTITUTE(AK$1,RIGHT(AK$1,2),""),VLOOKUP($D328,素材!$1:$1016,COLUMN($F$1),FALSE))),VLOOKUP($C328,武器!$1:$998,COLUMN($O$1),FALSE)*VLOOKUP($D328,素材!$1:$1016,COLUMN($E$1),FALSE)/(LEN(VLOOKUP($D328,素材!$1:$1016,COLUMN($F$1),FALSE)) - LEN(SUBSTITUTE(VLOOKUP($D328,素材!$1:$1016,COLUMN($F$1),FALSE), "・", 0)) + 1), 0)</f>
        <v>0</v>
      </c>
      <c r="AL328">
        <f>IF(ISNUMBER(SEARCH(SUBSTITUTE(AL$1,RIGHT(AL$1,2),""),VLOOKUP($D328,素材!$1:$1016,COLUMN($F$1),FALSE))),VLOOKUP($C328,武器!$1:$998,COLUMN($O$1),FALSE)*VLOOKUP($D328,素材!$1:$1016,COLUMN($E$1),FALSE)/(LEN(VLOOKUP($D328,素材!$1:$1016,COLUMN($F$1),FALSE)) - LEN(SUBSTITUTE(VLOOKUP($D328,素材!$1:$1016,COLUMN($F$1),FALSE), "・", 0)) + 1), 0)</f>
        <v>0</v>
      </c>
      <c r="AM328">
        <f>IF(ISNUMBER(SEARCH(SUBSTITUTE(AM$1,RIGHT(AM$1,2),""),VLOOKUP($D328,素材!$1:$1016,COLUMN($F$1),FALSE))),VLOOKUP($C328,武器!$1:$998,COLUMN($O$1),FALSE)*VLOOKUP($D328,素材!$1:$1016,COLUMN($E$1),FALSE)/(LEN(VLOOKUP($D328,素材!$1:$1016,COLUMN($F$1),FALSE)) - LEN(SUBSTITUTE(VLOOKUP($D328,素材!$1:$1016,COLUMN($F$1),FALSE), "・", 0)) + 1), 0)</f>
        <v>0</v>
      </c>
      <c r="AN328">
        <f>IF(ISNUMBER(SEARCH(SUBSTITUTE(AN$1,RIGHT(AN$1,2),""),VLOOKUP($D328,素材!$1:$1016,COLUMN($F$1),FALSE))),VLOOKUP($C328,武器!$1:$998,COLUMN($O$1),FALSE)*VLOOKUP($D328,素材!$1:$1016,COLUMN($E$1),FALSE)/(LEN(VLOOKUP($D328,素材!$1:$1016,COLUMN($F$1),FALSE)) - LEN(SUBSTITUTE(VLOOKUP($D328,素材!$1:$1016,COLUMN($F$1),FALSE), "・", 0)) + 1), 0)</f>
        <v>0</v>
      </c>
      <c r="AO328">
        <f>IF(ISNUMBER(SEARCH(SUBSTITUTE(AO$1,RIGHT(AO$1,2),""),VLOOKUP($D328,素材!$1:$1016,COLUMN($F$1),FALSE))),VLOOKUP($C328,武器!$1:$998,COLUMN($O$1),FALSE)*VLOOKUP($D328,素材!$1:$1016,COLUMN($E$1),FALSE)/(LEN(VLOOKUP($D328,素材!$1:$1016,COLUMN($F$1),FALSE)) - LEN(SUBSTITUTE(VLOOKUP($D328,素材!$1:$1016,COLUMN($F$1),FALSE), "・", 0)) + 1), 0)</f>
        <v>0</v>
      </c>
      <c r="AP328">
        <f>IF(ISNUMBER(SEARCH(SUBSTITUTE(AP$1,RIGHT(AP$1,2),""),VLOOKUP($D328,素材!$1:$1016,COLUMN($F$1),FALSE))),VLOOKUP($C328,武器!$1:$998,COLUMN($O$1),FALSE)*VLOOKUP($D328,素材!$1:$1016,COLUMN($E$1),FALSE)/(LEN(VLOOKUP($D328,素材!$1:$1016,COLUMN($F$1),FALSE)) - LEN(SUBSTITUTE(VLOOKUP($D328,素材!$1:$1016,COLUMN($F$1),FALSE), "・", 0)) + 1), 0)</f>
        <v>0</v>
      </c>
      <c r="AQ328">
        <f>IF(ISNUMBER(SEARCH(SUBSTITUTE(AQ$1,RIGHT(AQ$1,2),""),VLOOKUP($D328,素材!$1:$1016,COLUMN($F$1),FALSE))),VLOOKUP($C328,武器!$1:$998,COLUMN($O$1),FALSE)*VLOOKUP($D328,素材!$1:$1016,COLUMN($E$1),FALSE)/(LEN(VLOOKUP($D328,素材!$1:$1016,COLUMN($F$1),FALSE)) - LEN(SUBSTITUTE(VLOOKUP($D328,素材!$1:$1016,COLUMN($F$1),FALSE), "・", 0)) + 1), 0)</f>
        <v>0</v>
      </c>
      <c r="AR328">
        <f>IF(ISNUMBER(SEARCH(SUBSTITUTE(AR$1,RIGHT(AR$1,2),""),VLOOKUP($D328,素材!$1:$1016,COLUMN($F$1),FALSE))),VLOOKUP($C328,武器!$1:$998,COLUMN($O$1),FALSE)*VLOOKUP($D328,素材!$1:$1016,COLUMN($E$1),FALSE)/(LEN(VLOOKUP($D328,素材!$1:$1016,COLUMN($F$1),FALSE)) - LEN(SUBSTITUTE(VLOOKUP($D328,素材!$1:$1016,COLUMN($F$1),FALSE), "・", 0)) + 1), 0)</f>
        <v>0</v>
      </c>
      <c r="AS328">
        <f>IF(ISNUMBER(SEARCH(SUBSTITUTE(AS$1,RIGHT(AS$1,2),""),VLOOKUP($D328,素材!$1:$1016,COLUMN($F$1),FALSE))),VLOOKUP($C328,武器!$1:$998,COLUMN($O$1),FALSE)*VLOOKUP($D328,素材!$1:$1016,COLUMN($E$1),FALSE)/(LEN(VLOOKUP($D328,素材!$1:$1016,COLUMN($F$1),FALSE)) - LEN(SUBSTITUTE(VLOOKUP($D328,素材!$1:$1016,COLUMN($F$1),FALSE), "・", 0)) + 1), 0)</f>
        <v>0</v>
      </c>
      <c r="AT328">
        <f>IF(ISNUMBER(SEARCH(SUBSTITUTE(AT$1,RIGHT(AT$1,2),""),VLOOKUP($D328,素材!$1:$1016,COLUMN($F$1),FALSE))),VLOOKUP($C328,武器!$1:$998,COLUMN($O$1),FALSE)*VLOOKUP($D328,素材!$1:$1016,COLUMN($E$1),FALSE)/(LEN(VLOOKUP($D328,素材!$1:$1016,COLUMN($F$1),FALSE)) - LEN(SUBSTITUTE(VLOOKUP($D328,素材!$1:$1016,COLUMN($F$1),FALSE), "・", 0)) + 1), 0)</f>
        <v>0</v>
      </c>
      <c r="AU328">
        <f>IF(ISNUMBER(SEARCH(SUBSTITUTE(AU$1,RIGHT(AU$1,2),""),VLOOKUP($D328,素材!$1:$1016,COLUMN($F$1),FALSE))),VLOOKUP($C328,武器!$1:$998,COLUMN($O$1),FALSE)*VLOOKUP($D328,素材!$1:$1016,COLUMN($E$1),FALSE)/(LEN(VLOOKUP($D328,素材!$1:$1016,COLUMN($F$1),FALSE)) - LEN(SUBSTITUTE(VLOOKUP($D328,素材!$1:$1016,COLUMN($F$1),FALSE), "・", 0)) + 1), 0)</f>
        <v>0</v>
      </c>
      <c r="AV328">
        <f>IF(ISNUMBER(SEARCH(SUBSTITUTE(AV$1,RIGHT(AV$1,2),""),VLOOKUP($D328,素材!$1:$1016,COLUMN($F$1),FALSE))),VLOOKUP($C328,武器!$1:$998,COLUMN($O$1),FALSE)*VLOOKUP($D328,素材!$1:$1016,COLUMN($E$1),FALSE)/(LEN(VLOOKUP($D328,素材!$1:$1016,COLUMN($F$1),FALSE)) - LEN(SUBSTITUTE(VLOOKUP($D328,素材!$1:$1016,COLUMN($F$1),FALSE), "・", 0)) + 1), 0)</f>
        <v>0</v>
      </c>
      <c r="AW328">
        <f>IF(ISNUMBER(SEARCH(SUBSTITUTE(AW$1,RIGHT(AW$1,2),""),VLOOKUP($D328,素材!$1:$1016,COLUMN($F$1),FALSE))),VLOOKUP($C328,武器!$1:$998,COLUMN($O$1),FALSE)*VLOOKUP($D328,素材!$1:$1016,COLUMN($E$1),FALSE)/(LEN(VLOOKUP($D328,素材!$1:$1016,COLUMN($F$1),FALSE)) - LEN(SUBSTITUTE(VLOOKUP($D328,素材!$1:$1016,COLUMN($F$1),FALSE), "・", 0)) + 1), 0)</f>
        <v>0</v>
      </c>
      <c r="AX328">
        <f>IF(ISNUMBER(SEARCH(SUBSTITUTE(AX$1,RIGHT(AX$1,2),""),VLOOKUP($D328,素材!$1:$1016,COLUMN($F$1),FALSE))),VLOOKUP($C328,武器!$1:$998,COLUMN($O$1),FALSE)*VLOOKUP($D328,素材!$1:$1016,COLUMN($E$1),FALSE)/(LEN(VLOOKUP($D328,素材!$1:$1016,COLUMN($F$1),FALSE)) - LEN(SUBSTITUTE(VLOOKUP($D328,素材!$1:$1016,COLUMN($F$1),FALSE), "・", 0)) + 1), 0)</f>
        <v>0</v>
      </c>
      <c r="AY328">
        <f>IF(ISNUMBER(SEARCH(SUBSTITUTE(AY$1,RIGHT(AY$1,2),""),VLOOKUP($D328,素材!$1:$1016,COLUMN($F$1),FALSE))),VLOOKUP($C328,武器!$1:$998,COLUMN($O$1),FALSE)*VLOOKUP($D328,素材!$1:$1016,COLUMN($E$1),FALSE)/(LEN(VLOOKUP($D328,素材!$1:$1016,COLUMN($F$1),FALSE)) - LEN(SUBSTITUTE(VLOOKUP($D328,素材!$1:$1016,COLUMN($F$1),FALSE), "・", 0)) + 1), 0)</f>
        <v>0</v>
      </c>
      <c r="AZ328">
        <f>IF(ISNUMBER(SEARCH(SUBSTITUTE(AZ$1,RIGHT(AZ$1,2),""),VLOOKUP($D328,素材!$1:$1016,COLUMN($F$1),FALSE))),VLOOKUP($C328,武器!$1:$998,COLUMN($O$1),FALSE)*VLOOKUP($D328,素材!$1:$1016,COLUMN($E$1),FALSE)/(LEN(VLOOKUP($D328,素材!$1:$1016,COLUMN($F$1),FALSE)) - LEN(SUBSTITUTE(VLOOKUP($D328,素材!$1:$1016,COLUMN($F$1),FALSE), "・", 0)) + 1), 0)</f>
        <v>0</v>
      </c>
      <c r="BA328">
        <f>IF(ISNUMBER(SEARCH(SUBSTITUTE(BA$1,RIGHT(BA$1,2),""),VLOOKUP($D328,素材!$1:$1016,COLUMN($F$1),FALSE))),VLOOKUP($C328,武器!$1:$998,COLUMN($O$1),FALSE)*VLOOKUP($D328,素材!$1:$1016,COLUMN($E$1),FALSE)/(LEN(VLOOKUP($D328,素材!$1:$1016,COLUMN($F$1),FALSE)) - LEN(SUBSTITUTE(VLOOKUP($D328,素材!$1:$1016,COLUMN($F$1),FALSE), "・", 0)) + 1), 0)</f>
        <v>0</v>
      </c>
      <c r="BB328">
        <f>IF(ISNUMBER(SEARCH(SUBSTITUTE(BB$1,RIGHT(BB$1,2),""),VLOOKUP($D328,素材!$1:$1016,COLUMN($F$1),FALSE))),VLOOKUP($C328,武器!$1:$998,COLUMN($O$1),FALSE)*VLOOKUP($D328,素材!$1:$1016,COLUMN($E$1),FALSE)/(LEN(VLOOKUP($D328,素材!$1:$1016,COLUMN($F$1),FALSE)) - LEN(SUBSTITUTE(VLOOKUP($D328,素材!$1:$1016,COLUMN($F$1),FALSE), "・", 0)) + 1), 0)</f>
        <v>0</v>
      </c>
      <c r="BC328">
        <f>IF(ISNUMBER(SEARCH(SUBSTITUTE(BC$1,RIGHT(BC$1,2),""),VLOOKUP($D328,素材!$1:$1016,COLUMN($F$1),FALSE))),VLOOKUP($C328,武器!$1:$998,COLUMN($O$1),FALSE)*VLOOKUP($D328,素材!$1:$1016,COLUMN($E$1),FALSE)/(LEN(VLOOKUP($D328,素材!$1:$1016,COLUMN($F$1),FALSE)) - LEN(SUBSTITUTE(VLOOKUP($D328,素材!$1:$1016,COLUMN($F$1),FALSE), "・", 0)) + 1), 0)</f>
        <v>0</v>
      </c>
      <c r="BD328">
        <f>IF(ISNUMBER(SEARCH(SUBSTITUTE(BD$1,RIGHT(BD$1,2),""),VLOOKUP($D328,素材!$1:$1016,COLUMN($F$1),FALSE))),VLOOKUP($C328,武器!$1:$998,COLUMN($O$1),FALSE)*VLOOKUP($D328,素材!$1:$1016,COLUMN($E$1),FALSE)/(LEN(VLOOKUP($D328,素材!$1:$1016,COLUMN($F$1),FALSE)) - LEN(SUBSTITUTE(VLOOKUP($D328,素材!$1:$1016,COLUMN($F$1),FALSE), "・", 0)) + 1), 0)</f>
        <v>0</v>
      </c>
      <c r="BE328">
        <f>IF(ISNUMBER(SEARCH(SUBSTITUTE(BE$1,RIGHT(BE$1,2),""),VLOOKUP($D328,素材!$1:$1016,COLUMN($F$1),FALSE))),VLOOKUP($C328,武器!$1:$998,COLUMN($O$1),FALSE)*VLOOKUP($D328,素材!$1:$1016,COLUMN($E$1),FALSE)/(LEN(VLOOKUP($D328,素材!$1:$1016,COLUMN($F$1),FALSE)) - LEN(SUBSTITUTE(VLOOKUP($D328,素材!$1:$1016,COLUMN($F$1),FALSE), "・", 0)) + 1), 0)</f>
        <v>0</v>
      </c>
      <c r="CL328">
        <f>SUM(G328:I328)</f>
        <v>0</v>
      </c>
      <c r="CM328" s="22" t="str">
        <f>IF(E328="武器",IF(J328-1&gt;SUM(G328:I328),"盾",IF(MAX(G328:I328)=G328,"切断",IF(MAX(G328:I328)=H328,"貫通",IF(MAX(G328:I328)=I328,"打撃","射撃")))),E328)&amp;".webp"</f>
        <v>.webp</v>
      </c>
      <c r="CN328" t="str">
        <f>IFERROR(VLOOKUP($C328,武器!$1:$998,COLUMN(V$1),FALSE)*VLOOKUP($D328,素材!$1:$1016,COLUMN(N$1),FALSE)+IF(CI328="",0,VLOOKUP($CI328,装強!$1:$1008,COLUMN($CK$1),FALSE)),"")</f>
        <v/>
      </c>
      <c r="CO328" t="e">
        <f>VLOOKUP(D328,素材!$A:$O,COLUMN(素材!O$1),FALSE)</f>
        <v>#N/A</v>
      </c>
      <c r="CP328" t="e">
        <f>VLOOKUP(C328,武器!$A:$W,COLUMN(武器!W$1),FALSE)</f>
        <v>#N/A</v>
      </c>
      <c r="CR328" t="str">
        <f t="shared" si="33"/>
        <v>e_328</v>
      </c>
      <c r="CS328" t="e">
        <f t="shared" si="34"/>
        <v>#VALUE!</v>
      </c>
    </row>
    <row r="329" spans="1:97" hidden="1" outlineLevel="1" x14ac:dyDescent="0.4">
      <c r="A329" t="str">
        <f>IF(CI329="",D329&amp;"の"&amp;C329,CI329&amp;"の"&amp;C329)</f>
        <v>の</v>
      </c>
      <c r="B329" t="str">
        <f>IFERROR(IF(CI329="",VLOOKUP($D329,素材!$1:$1016,COLUMN($B$1),FALSE)&amp;"・"&amp;VLOOKUP($C329,武器!$1:$998,COLUMN(B$1),FALSE),VLOOKUP($CI329,装強!$1:$1008,COLUMN($B$1),FALSE)&amp;"・"&amp;VLOOKUP($C329,武器!$1:$998,COLUMN(B$1),FALSE)),"")</f>
        <v/>
      </c>
      <c r="C329" s="24"/>
      <c r="D329" s="24"/>
      <c r="E329" t="str">
        <f>IFERROR(VLOOKUP(C329,武器!$1:$998,COLUMN(C$1),FALSE),"")</f>
        <v/>
      </c>
      <c r="F329" t="str">
        <f>IFERROR(ROUNDDOWN((VLOOKUP($C329,武器!$1:$998,COLUMN(D$1),FALSE)+IFERROR(VLOOKUP($CI329,装強!$1:$999,COLUMN(F$1),FALSE),0))*VLOOKUP($D329,素材!$1:$1016,COLUMN(D$1),FALSE),0),"")</f>
        <v/>
      </c>
      <c r="G329" t="str">
        <f>IFERROR(ROUNDDOWN((VLOOKUP($C329,武器!$1:$998,COLUMN(E$1),FALSE)+IFERROR(VLOOKUP($CI329,装強!$1:$999,COLUMN(G$1),FALSE),0))*VLOOKUP($D329,素材!$1:$1016,COLUMN($E$1),FALSE),0),"")</f>
        <v/>
      </c>
      <c r="H329" t="str">
        <f>IFERROR(ROUNDDOWN((VLOOKUP($C329,武器!$1:$998,COLUMN(F$1),FALSE)+IFERROR(VLOOKUP($CI329,装強!$1:$999,COLUMN(H$1),FALSE),0))*VLOOKUP($D329,素材!$1:$1016,COLUMN($E$1),FALSE),0),"")</f>
        <v/>
      </c>
      <c r="I329" t="str">
        <f>IFERROR(ROUNDDOWN((VLOOKUP($C329,武器!$1:$998,COLUMN(G$1),FALSE)+IFERROR(VLOOKUP($CI329,装強!$1:$999,COLUMN(I$1),FALSE),0))*VLOOKUP($D329,素材!$1:$1016,COLUMN($E$1),FALSE),0),"")</f>
        <v/>
      </c>
      <c r="J329" t="str">
        <f>IFERROR(ROUNDDOWN((VLOOKUP($C329,武器!$1:$998,COLUMN(H$1),FALSE)+IFERROR(VLOOKUP($CI329,装強!$1:$999,COLUMN(J$1),FALSE),0))*VLOOKUP($D329,素材!$1:$1016,COLUMN($E$1),FALSE),0),"")</f>
        <v/>
      </c>
      <c r="K329" t="str">
        <f>IFERROR(ROUNDDOWN((VLOOKUP($C329,武器!$1:$998,COLUMN(I$1),FALSE)+IFERROR(VLOOKUP($CI329,装強!$1:$999,COLUMN(K$1),FALSE),0))*VLOOKUP($D329,素材!$1:$1016,COLUMN($E$1),FALSE),0),"")</f>
        <v/>
      </c>
      <c r="L329" t="str">
        <f>IFERROR(VLOOKUP($D329,素材!$1:$1016,COLUMN($F$1),FALSE),"")</f>
        <v/>
      </c>
      <c r="M329" t="str">
        <f>IFERROR(VLOOKUP($C329,武器!$1:$998,COLUMN(AA$1),FALSE)*VLOOKUP($D329,素材!$1:$1016,COLUMN($G$1),FALSE),"")</f>
        <v/>
      </c>
      <c r="N329" t="str">
        <f>IFERROR(VLOOKUP($C329,武器!$1:$998,COLUMN(I$1),FALSE),"")</f>
        <v/>
      </c>
      <c r="O329" s="23" t="str">
        <f>IFERROR((VLOOKUP($C329,武器!$1:$998,COLUMN(K$1),FALSE)+VLOOKUP($D329,素材!$1:$1016,COLUMN(H$1),FALSE))*100+IFERROR(VLOOKUP($CI329,装強!$1:$999,COLUMN(O$1),FALSE),0),"")</f>
        <v/>
      </c>
      <c r="P329" s="23" t="str">
        <f>IFERROR((VLOOKUP($C329,武器!$1:$998,COLUMN(L$1),FALSE)+VLOOKUP($D329,素材!$1:$1016,COLUMN(I$1),FALSE))*100+IFERROR(VLOOKUP($CI329,装強!$1:$999,COLUMN(P$1),FALSE),0),"")</f>
        <v/>
      </c>
      <c r="Q329" t="str">
        <f>IFERROR(ROUNDUP(VLOOKUP($C329,武器!$1:$998,COLUMN(M$1),FALSE)*(VLOOKUP($D329,素材!$1:$1002,COLUMN(D$1),FALSE)/100),1),"")</f>
        <v/>
      </c>
      <c r="R329" t="str">
        <f>IFERROR(ROUNDUP(VLOOKUP($C329,武器!$1:$998,COLUMN(N$1),FALSE)*(VLOOKUP($D329,素材!$1:$1002,COLUMN(D$1),FALSE)/100),1),"")</f>
        <v/>
      </c>
      <c r="S329" t="str">
        <f>IFERROR(VLOOKUP($C329,武器!$1:$998,COLUMN(P$1),FALSE),"")</f>
        <v/>
      </c>
      <c r="T329" t="str">
        <f>IFERROR(VLOOKUP($C329,武器!$1:$998,COLUMN(Q$1),FALSE),"")</f>
        <v/>
      </c>
      <c r="U329" t="str">
        <f>IFERROR(VLOOKUP($C329,武器!$1:$998,COLUMN(R$1),FALSE),"")</f>
        <v/>
      </c>
      <c r="V329" t="str">
        <f>IFERROR(VLOOKUP($C329,武器!$1:$998,COLUMN(Q$1),FALSE),"")</f>
        <v/>
      </c>
      <c r="W329" t="str">
        <f>IFERROR(VLOOKUP($C329,武器!$1:$998,COLUMN(T$1),FALSE),"")</f>
        <v/>
      </c>
      <c r="Y329" t="str">
        <f>IFERROR(VLOOKUP($C329,武器!$1:$998,COLUMN(U$1),FALSE),"")</f>
        <v/>
      </c>
      <c r="Z329" t="str">
        <f>IFERROR(ROUNDUP(VLOOKUP($C329,武器!$1:$998,COLUMN(O$1),FALSE)*VLOOKUP($D329,素材!$1:$1016,COLUMN(E$1),FALSE),1),"")</f>
        <v/>
      </c>
      <c r="AA329">
        <f>IF(ISNUMBER(SEARCH(SUBSTITUTE(AA$1,RIGHT(AA$1,2),""),VLOOKUP($D329,素材!$1:$1016,COLUMN($F$1),FALSE))),VLOOKUP($C329,武器!$1:$998,COLUMN($O$1),FALSE)*VLOOKUP($D329,素材!$1:$1016,COLUMN($E$1),FALSE)/(LEN(VLOOKUP($D329,素材!$1:$1016,COLUMN($F$1),FALSE)) - LEN(SUBSTITUTE(VLOOKUP($D329,素材!$1:$1016,COLUMN($F$1),FALSE), "・", 0)) + 1), 0)</f>
        <v>0</v>
      </c>
      <c r="AB329">
        <f>IF(ISNUMBER(SEARCH(SUBSTITUTE(AB$1,RIGHT(AB$1,2),""),VLOOKUP($D329,素材!$1:$1016,COLUMN($F$1),FALSE))),VLOOKUP($C329,武器!$1:$998,COLUMN($O$1),FALSE)*VLOOKUP($D329,素材!$1:$1016,COLUMN($E$1),FALSE)/(LEN(VLOOKUP($D329,素材!$1:$1016,COLUMN($F$1),FALSE)) - LEN(SUBSTITUTE(VLOOKUP($D329,素材!$1:$1016,COLUMN($F$1),FALSE), "・", 0)) + 1), 0)</f>
        <v>0</v>
      </c>
      <c r="AC329">
        <f>IF(ISNUMBER(SEARCH(SUBSTITUTE(AC$1,RIGHT(AC$1,2),""),VLOOKUP($D329,素材!$1:$1016,COLUMN($F$1),FALSE))),VLOOKUP($C329,武器!$1:$998,COLUMN($O$1),FALSE)*VLOOKUP($D329,素材!$1:$1016,COLUMN($E$1),FALSE)/(LEN(VLOOKUP($D329,素材!$1:$1016,COLUMN($F$1),FALSE)) - LEN(SUBSTITUTE(VLOOKUP($D329,素材!$1:$1016,COLUMN($F$1),FALSE), "・", 0)) + 1), 0)</f>
        <v>0</v>
      </c>
      <c r="AD329">
        <f>IF(ISNUMBER(SEARCH(SUBSTITUTE(AD$1,RIGHT(AD$1,2),""),VLOOKUP($D329,素材!$1:$1016,COLUMN($F$1),FALSE))),VLOOKUP($C329,武器!$1:$998,COLUMN($O$1),FALSE)*VLOOKUP($D329,素材!$1:$1016,COLUMN($E$1),FALSE)/(LEN(VLOOKUP($D329,素材!$1:$1016,COLUMN($F$1),FALSE)) - LEN(SUBSTITUTE(VLOOKUP($D329,素材!$1:$1016,COLUMN($F$1),FALSE), "・", 0)) + 1), 0)</f>
        <v>0</v>
      </c>
      <c r="AE329">
        <f>IF(ISNUMBER(SEARCH(SUBSTITUTE(AE$1,RIGHT(AE$1,2),""),VLOOKUP($D329,素材!$1:$1016,COLUMN($F$1),FALSE))),VLOOKUP($C329,武器!$1:$998,COLUMN($O$1),FALSE)*VLOOKUP($D329,素材!$1:$1016,COLUMN($E$1),FALSE)/(LEN(VLOOKUP($D329,素材!$1:$1016,COLUMN($F$1),FALSE)) - LEN(SUBSTITUTE(VLOOKUP($D329,素材!$1:$1016,COLUMN($F$1),FALSE), "・", 0)) + 1), 0)</f>
        <v>0</v>
      </c>
      <c r="AF329">
        <f>IF(ISNUMBER(SEARCH(SUBSTITUTE(AF$1,RIGHT(AF$1,2),""),VLOOKUP($D329,素材!$1:$1016,COLUMN($F$1),FALSE))),VLOOKUP($C329,武器!$1:$998,COLUMN($O$1),FALSE)*VLOOKUP($D329,素材!$1:$1016,COLUMN($E$1),FALSE)/(LEN(VLOOKUP($D329,素材!$1:$1016,COLUMN($F$1),FALSE)) - LEN(SUBSTITUTE(VLOOKUP($D329,素材!$1:$1016,COLUMN($F$1),FALSE), "・", 0)) + 1), 0)</f>
        <v>0</v>
      </c>
      <c r="AG329">
        <f>IF(ISNUMBER(SEARCH(SUBSTITUTE(AG$1,RIGHT(AG$1,2),""),VLOOKUP($D329,素材!$1:$1016,COLUMN($F$1),FALSE))),VLOOKUP($C329,武器!$1:$998,COLUMN($O$1),FALSE)*VLOOKUP($D329,素材!$1:$1016,COLUMN($E$1),FALSE)/(LEN(VLOOKUP($D329,素材!$1:$1016,COLUMN($F$1),FALSE)) - LEN(SUBSTITUTE(VLOOKUP($D329,素材!$1:$1016,COLUMN($F$1),FALSE), "・", 0)) + 1), 0)</f>
        <v>0</v>
      </c>
      <c r="AH329">
        <f>IF(ISNUMBER(SEARCH(SUBSTITUTE(AH$1,RIGHT(AH$1,2),""),VLOOKUP($D329,素材!$1:$1016,COLUMN($F$1),FALSE))),VLOOKUP($C329,武器!$1:$998,COLUMN($O$1),FALSE)*VLOOKUP($D329,素材!$1:$1016,COLUMN($E$1),FALSE)/(LEN(VLOOKUP($D329,素材!$1:$1016,COLUMN($F$1),FALSE)) - LEN(SUBSTITUTE(VLOOKUP($D329,素材!$1:$1016,COLUMN($F$1),FALSE), "・", 0)) + 1), 0)</f>
        <v>0</v>
      </c>
      <c r="AI329">
        <f>IF(ISNUMBER(SEARCH(SUBSTITUTE(AI$1,RIGHT(AI$1,2),""),VLOOKUP($D329,素材!$1:$1016,COLUMN($F$1),FALSE))),VLOOKUP($C329,武器!$1:$998,COLUMN($O$1),FALSE)*VLOOKUP($D329,素材!$1:$1016,COLUMN($E$1),FALSE)/(LEN(VLOOKUP($D329,素材!$1:$1016,COLUMN($F$1),FALSE)) - LEN(SUBSTITUTE(VLOOKUP($D329,素材!$1:$1016,COLUMN($F$1),FALSE), "・", 0)) + 1), 0)</f>
        <v>0</v>
      </c>
      <c r="AJ329">
        <f>IF(ISNUMBER(SEARCH(SUBSTITUTE(AJ$1,RIGHT(AJ$1,2),""),VLOOKUP($D329,素材!$1:$1016,COLUMN($F$1),FALSE))),VLOOKUP($C329,武器!$1:$998,COLUMN($O$1),FALSE)*VLOOKUP($D329,素材!$1:$1016,COLUMN($E$1),FALSE)/(LEN(VLOOKUP($D329,素材!$1:$1016,COLUMN($F$1),FALSE)) - LEN(SUBSTITUTE(VLOOKUP($D329,素材!$1:$1016,COLUMN($F$1),FALSE), "・", 0)) + 1), 0)</f>
        <v>0</v>
      </c>
      <c r="AK329">
        <f>IF(ISNUMBER(SEARCH(SUBSTITUTE(AK$1,RIGHT(AK$1,2),""),VLOOKUP($D329,素材!$1:$1016,COLUMN($F$1),FALSE))),VLOOKUP($C329,武器!$1:$998,COLUMN($O$1),FALSE)*VLOOKUP($D329,素材!$1:$1016,COLUMN($E$1),FALSE)/(LEN(VLOOKUP($D329,素材!$1:$1016,COLUMN($F$1),FALSE)) - LEN(SUBSTITUTE(VLOOKUP($D329,素材!$1:$1016,COLUMN($F$1),FALSE), "・", 0)) + 1), 0)</f>
        <v>0</v>
      </c>
      <c r="AL329">
        <f>IF(ISNUMBER(SEARCH(SUBSTITUTE(AL$1,RIGHT(AL$1,2),""),VLOOKUP($D329,素材!$1:$1016,COLUMN($F$1),FALSE))),VLOOKUP($C329,武器!$1:$998,COLUMN($O$1),FALSE)*VLOOKUP($D329,素材!$1:$1016,COLUMN($E$1),FALSE)/(LEN(VLOOKUP($D329,素材!$1:$1016,COLUMN($F$1),FALSE)) - LEN(SUBSTITUTE(VLOOKUP($D329,素材!$1:$1016,COLUMN($F$1),FALSE), "・", 0)) + 1), 0)</f>
        <v>0</v>
      </c>
      <c r="AM329">
        <f>IF(ISNUMBER(SEARCH(SUBSTITUTE(AM$1,RIGHT(AM$1,2),""),VLOOKUP($D329,素材!$1:$1016,COLUMN($F$1),FALSE))),VLOOKUP($C329,武器!$1:$998,COLUMN($O$1),FALSE)*VLOOKUP($D329,素材!$1:$1016,COLUMN($E$1),FALSE)/(LEN(VLOOKUP($D329,素材!$1:$1016,COLUMN($F$1),FALSE)) - LEN(SUBSTITUTE(VLOOKUP($D329,素材!$1:$1016,COLUMN($F$1),FALSE), "・", 0)) + 1), 0)</f>
        <v>0</v>
      </c>
      <c r="AN329">
        <f>IF(ISNUMBER(SEARCH(SUBSTITUTE(AN$1,RIGHT(AN$1,2),""),VLOOKUP($D329,素材!$1:$1016,COLUMN($F$1),FALSE))),VLOOKUP($C329,武器!$1:$998,COLUMN($O$1),FALSE)*VLOOKUP($D329,素材!$1:$1016,COLUMN($E$1),FALSE)/(LEN(VLOOKUP($D329,素材!$1:$1016,COLUMN($F$1),FALSE)) - LEN(SUBSTITUTE(VLOOKUP($D329,素材!$1:$1016,COLUMN($F$1),FALSE), "・", 0)) + 1), 0)</f>
        <v>0</v>
      </c>
      <c r="AO329">
        <f>IF(ISNUMBER(SEARCH(SUBSTITUTE(AO$1,RIGHT(AO$1,2),""),VLOOKUP($D329,素材!$1:$1016,COLUMN($F$1),FALSE))),VLOOKUP($C329,武器!$1:$998,COLUMN($O$1),FALSE)*VLOOKUP($D329,素材!$1:$1016,COLUMN($E$1),FALSE)/(LEN(VLOOKUP($D329,素材!$1:$1016,COLUMN($F$1),FALSE)) - LEN(SUBSTITUTE(VLOOKUP($D329,素材!$1:$1016,COLUMN($F$1),FALSE), "・", 0)) + 1), 0)</f>
        <v>0</v>
      </c>
      <c r="AP329">
        <f>IF(ISNUMBER(SEARCH(SUBSTITUTE(AP$1,RIGHT(AP$1,2),""),VLOOKUP($D329,素材!$1:$1016,COLUMN($F$1),FALSE))),VLOOKUP($C329,武器!$1:$998,COLUMN($O$1),FALSE)*VLOOKUP($D329,素材!$1:$1016,COLUMN($E$1),FALSE)/(LEN(VLOOKUP($D329,素材!$1:$1016,COLUMN($F$1),FALSE)) - LEN(SUBSTITUTE(VLOOKUP($D329,素材!$1:$1016,COLUMN($F$1),FALSE), "・", 0)) + 1), 0)</f>
        <v>0</v>
      </c>
      <c r="AQ329">
        <f>IF(ISNUMBER(SEARCH(SUBSTITUTE(AQ$1,RIGHT(AQ$1,2),""),VLOOKUP($D329,素材!$1:$1016,COLUMN($F$1),FALSE))),VLOOKUP($C329,武器!$1:$998,COLUMN($O$1),FALSE)*VLOOKUP($D329,素材!$1:$1016,COLUMN($E$1),FALSE)/(LEN(VLOOKUP($D329,素材!$1:$1016,COLUMN($F$1),FALSE)) - LEN(SUBSTITUTE(VLOOKUP($D329,素材!$1:$1016,COLUMN($F$1),FALSE), "・", 0)) + 1), 0)</f>
        <v>0</v>
      </c>
      <c r="AR329">
        <f>IF(ISNUMBER(SEARCH(SUBSTITUTE(AR$1,RIGHT(AR$1,2),""),VLOOKUP($D329,素材!$1:$1016,COLUMN($F$1),FALSE))),VLOOKUP($C329,武器!$1:$998,COLUMN($O$1),FALSE)*VLOOKUP($D329,素材!$1:$1016,COLUMN($E$1),FALSE)/(LEN(VLOOKUP($D329,素材!$1:$1016,COLUMN($F$1),FALSE)) - LEN(SUBSTITUTE(VLOOKUP($D329,素材!$1:$1016,COLUMN($F$1),FALSE), "・", 0)) + 1), 0)</f>
        <v>0</v>
      </c>
      <c r="AS329">
        <f>IF(ISNUMBER(SEARCH(SUBSTITUTE(AS$1,RIGHT(AS$1,2),""),VLOOKUP($D329,素材!$1:$1016,COLUMN($F$1),FALSE))),VLOOKUP($C329,武器!$1:$998,COLUMN($O$1),FALSE)*VLOOKUP($D329,素材!$1:$1016,COLUMN($E$1),FALSE)/(LEN(VLOOKUP($D329,素材!$1:$1016,COLUMN($F$1),FALSE)) - LEN(SUBSTITUTE(VLOOKUP($D329,素材!$1:$1016,COLUMN($F$1),FALSE), "・", 0)) + 1), 0)</f>
        <v>0</v>
      </c>
      <c r="AT329">
        <f>IF(ISNUMBER(SEARCH(SUBSTITUTE(AT$1,RIGHT(AT$1,2),""),VLOOKUP($D329,素材!$1:$1016,COLUMN($F$1),FALSE))),VLOOKUP($C329,武器!$1:$998,COLUMN($O$1),FALSE)*VLOOKUP($D329,素材!$1:$1016,COLUMN($E$1),FALSE)/(LEN(VLOOKUP($D329,素材!$1:$1016,COLUMN($F$1),FALSE)) - LEN(SUBSTITUTE(VLOOKUP($D329,素材!$1:$1016,COLUMN($F$1),FALSE), "・", 0)) + 1), 0)</f>
        <v>0</v>
      </c>
      <c r="AU329">
        <f>IF(ISNUMBER(SEARCH(SUBSTITUTE(AU$1,RIGHT(AU$1,2),""),VLOOKUP($D329,素材!$1:$1016,COLUMN($F$1),FALSE))),VLOOKUP($C329,武器!$1:$998,COLUMN($O$1),FALSE)*VLOOKUP($D329,素材!$1:$1016,COLUMN($E$1),FALSE)/(LEN(VLOOKUP($D329,素材!$1:$1016,COLUMN($F$1),FALSE)) - LEN(SUBSTITUTE(VLOOKUP($D329,素材!$1:$1016,COLUMN($F$1),FALSE), "・", 0)) + 1), 0)</f>
        <v>0</v>
      </c>
      <c r="AV329">
        <f>IF(ISNUMBER(SEARCH(SUBSTITUTE(AV$1,RIGHT(AV$1,2),""),VLOOKUP($D329,素材!$1:$1016,COLUMN($F$1),FALSE))),VLOOKUP($C329,武器!$1:$998,COLUMN($O$1),FALSE)*VLOOKUP($D329,素材!$1:$1016,COLUMN($E$1),FALSE)/(LEN(VLOOKUP($D329,素材!$1:$1016,COLUMN($F$1),FALSE)) - LEN(SUBSTITUTE(VLOOKUP($D329,素材!$1:$1016,COLUMN($F$1),FALSE), "・", 0)) + 1), 0)</f>
        <v>0</v>
      </c>
      <c r="AW329">
        <f>IF(ISNUMBER(SEARCH(SUBSTITUTE(AW$1,RIGHT(AW$1,2),""),VLOOKUP($D329,素材!$1:$1016,COLUMN($F$1),FALSE))),VLOOKUP($C329,武器!$1:$998,COLUMN($O$1),FALSE)*VLOOKUP($D329,素材!$1:$1016,COLUMN($E$1),FALSE)/(LEN(VLOOKUP($D329,素材!$1:$1016,COLUMN($F$1),FALSE)) - LEN(SUBSTITUTE(VLOOKUP($D329,素材!$1:$1016,COLUMN($F$1),FALSE), "・", 0)) + 1), 0)</f>
        <v>0</v>
      </c>
      <c r="AX329">
        <f>IF(ISNUMBER(SEARCH(SUBSTITUTE(AX$1,RIGHT(AX$1,2),""),VLOOKUP($D329,素材!$1:$1016,COLUMN($F$1),FALSE))),VLOOKUP($C329,武器!$1:$998,COLUMN($O$1),FALSE)*VLOOKUP($D329,素材!$1:$1016,COLUMN($E$1),FALSE)/(LEN(VLOOKUP($D329,素材!$1:$1016,COLUMN($F$1),FALSE)) - LEN(SUBSTITUTE(VLOOKUP($D329,素材!$1:$1016,COLUMN($F$1),FALSE), "・", 0)) + 1), 0)</f>
        <v>0</v>
      </c>
      <c r="AY329">
        <f>IF(ISNUMBER(SEARCH(SUBSTITUTE(AY$1,RIGHT(AY$1,2),""),VLOOKUP($D329,素材!$1:$1016,COLUMN($F$1),FALSE))),VLOOKUP($C329,武器!$1:$998,COLUMN($O$1),FALSE)*VLOOKUP($D329,素材!$1:$1016,COLUMN($E$1),FALSE)/(LEN(VLOOKUP($D329,素材!$1:$1016,COLUMN($F$1),FALSE)) - LEN(SUBSTITUTE(VLOOKUP($D329,素材!$1:$1016,COLUMN($F$1),FALSE), "・", 0)) + 1), 0)</f>
        <v>0</v>
      </c>
      <c r="AZ329">
        <f>IF(ISNUMBER(SEARCH(SUBSTITUTE(AZ$1,RIGHT(AZ$1,2),""),VLOOKUP($D329,素材!$1:$1016,COLUMN($F$1),FALSE))),VLOOKUP($C329,武器!$1:$998,COLUMN($O$1),FALSE)*VLOOKUP($D329,素材!$1:$1016,COLUMN($E$1),FALSE)/(LEN(VLOOKUP($D329,素材!$1:$1016,COLUMN($F$1),FALSE)) - LEN(SUBSTITUTE(VLOOKUP($D329,素材!$1:$1016,COLUMN($F$1),FALSE), "・", 0)) + 1), 0)</f>
        <v>0</v>
      </c>
      <c r="BA329">
        <f>IF(ISNUMBER(SEARCH(SUBSTITUTE(BA$1,RIGHT(BA$1,2),""),VLOOKUP($D329,素材!$1:$1016,COLUMN($F$1),FALSE))),VLOOKUP($C329,武器!$1:$998,COLUMN($O$1),FALSE)*VLOOKUP($D329,素材!$1:$1016,COLUMN($E$1),FALSE)/(LEN(VLOOKUP($D329,素材!$1:$1016,COLUMN($F$1),FALSE)) - LEN(SUBSTITUTE(VLOOKUP($D329,素材!$1:$1016,COLUMN($F$1),FALSE), "・", 0)) + 1), 0)</f>
        <v>0</v>
      </c>
      <c r="BB329">
        <f>IF(ISNUMBER(SEARCH(SUBSTITUTE(BB$1,RIGHT(BB$1,2),""),VLOOKUP($D329,素材!$1:$1016,COLUMN($F$1),FALSE))),VLOOKUP($C329,武器!$1:$998,COLUMN($O$1),FALSE)*VLOOKUP($D329,素材!$1:$1016,COLUMN($E$1),FALSE)/(LEN(VLOOKUP($D329,素材!$1:$1016,COLUMN($F$1),FALSE)) - LEN(SUBSTITUTE(VLOOKUP($D329,素材!$1:$1016,COLUMN($F$1),FALSE), "・", 0)) + 1), 0)</f>
        <v>0</v>
      </c>
      <c r="BC329">
        <f>IF(ISNUMBER(SEARCH(SUBSTITUTE(BC$1,RIGHT(BC$1,2),""),VLOOKUP($D329,素材!$1:$1016,COLUMN($F$1),FALSE))),VLOOKUP($C329,武器!$1:$998,COLUMN($O$1),FALSE)*VLOOKUP($D329,素材!$1:$1016,COLUMN($E$1),FALSE)/(LEN(VLOOKUP($D329,素材!$1:$1016,COLUMN($F$1),FALSE)) - LEN(SUBSTITUTE(VLOOKUP($D329,素材!$1:$1016,COLUMN($F$1),FALSE), "・", 0)) + 1), 0)</f>
        <v>0</v>
      </c>
      <c r="BD329">
        <f>IF(ISNUMBER(SEARCH(SUBSTITUTE(BD$1,RIGHT(BD$1,2),""),VLOOKUP($D329,素材!$1:$1016,COLUMN($F$1),FALSE))),VLOOKUP($C329,武器!$1:$998,COLUMN($O$1),FALSE)*VLOOKUP($D329,素材!$1:$1016,COLUMN($E$1),FALSE)/(LEN(VLOOKUP($D329,素材!$1:$1016,COLUMN($F$1),FALSE)) - LEN(SUBSTITUTE(VLOOKUP($D329,素材!$1:$1016,COLUMN($F$1),FALSE), "・", 0)) + 1), 0)</f>
        <v>0</v>
      </c>
      <c r="BE329">
        <f>IF(ISNUMBER(SEARCH(SUBSTITUTE(BE$1,RIGHT(BE$1,2),""),VLOOKUP($D329,素材!$1:$1016,COLUMN($F$1),FALSE))),VLOOKUP($C329,武器!$1:$998,COLUMN($O$1),FALSE)*VLOOKUP($D329,素材!$1:$1016,COLUMN($E$1),FALSE)/(LEN(VLOOKUP($D329,素材!$1:$1016,COLUMN($F$1),FALSE)) - LEN(SUBSTITUTE(VLOOKUP($D329,素材!$1:$1016,COLUMN($F$1),FALSE), "・", 0)) + 1), 0)</f>
        <v>0</v>
      </c>
      <c r="CL329">
        <f>SUM(G329:I329)</f>
        <v>0</v>
      </c>
      <c r="CM329" s="22" t="str">
        <f>IF(E329="武器",IF(J329-1&gt;SUM(G329:I329),"盾",IF(MAX(G329:I329)=G329,"切断",IF(MAX(G329:I329)=H329,"貫通",IF(MAX(G329:I329)=I329,"打撃","射撃")))),E329)&amp;".webp"</f>
        <v>.webp</v>
      </c>
      <c r="CN329" t="str">
        <f>IFERROR(VLOOKUP($C329,武器!$1:$998,COLUMN(V$1),FALSE)*VLOOKUP($D329,素材!$1:$1016,COLUMN(N$1),FALSE)+IF(CI329="",0,VLOOKUP($CI329,装強!$1:$1008,COLUMN($CK$1),FALSE)),"")</f>
        <v/>
      </c>
      <c r="CO329" t="e">
        <f>VLOOKUP(D329,素材!$A:$O,COLUMN(素材!O$1),FALSE)</f>
        <v>#N/A</v>
      </c>
      <c r="CP329" t="e">
        <f>VLOOKUP(C329,武器!$A:$W,COLUMN(武器!W$1),FALSE)</f>
        <v>#N/A</v>
      </c>
      <c r="CR329" t="str">
        <f t="shared" si="33"/>
        <v>e_329</v>
      </c>
      <c r="CS329" t="e">
        <f t="shared" si="34"/>
        <v>#VALUE!</v>
      </c>
    </row>
    <row r="330" spans="1:97" hidden="1" outlineLevel="1" x14ac:dyDescent="0.4">
      <c r="A330" t="str">
        <f>IF(CI330="",D330&amp;"の"&amp;C330,CI330&amp;"の"&amp;C330)</f>
        <v>の</v>
      </c>
      <c r="B330" t="str">
        <f>IFERROR(IF(CI330="",VLOOKUP($D330,素材!$1:$1016,COLUMN($B$1),FALSE)&amp;"・"&amp;VLOOKUP($C330,武器!$1:$998,COLUMN(B$1),FALSE),VLOOKUP($CI330,装強!$1:$1008,COLUMN($B$1),FALSE)&amp;"・"&amp;VLOOKUP($C330,武器!$1:$998,COLUMN(B$1),FALSE)),"")</f>
        <v/>
      </c>
      <c r="C330" s="24"/>
      <c r="D330" s="24"/>
      <c r="E330" t="str">
        <f>IFERROR(VLOOKUP(C330,武器!$1:$998,COLUMN(C$1),FALSE),"")</f>
        <v/>
      </c>
      <c r="F330" t="str">
        <f>IFERROR(ROUNDDOWN((VLOOKUP($C330,武器!$1:$998,COLUMN(D$1),FALSE)+IFERROR(VLOOKUP($CI330,装強!$1:$999,COLUMN(F$1),FALSE),0))*VLOOKUP($D330,素材!$1:$1016,COLUMN(D$1),FALSE),0),"")</f>
        <v/>
      </c>
      <c r="G330" t="str">
        <f>IFERROR(ROUNDDOWN((VLOOKUP($C330,武器!$1:$998,COLUMN(E$1),FALSE)+IFERROR(VLOOKUP($CI330,装強!$1:$999,COLUMN(G$1),FALSE),0))*VLOOKUP($D330,素材!$1:$1016,COLUMN($E$1),FALSE),0),"")</f>
        <v/>
      </c>
      <c r="H330" t="str">
        <f>IFERROR(ROUNDDOWN((VLOOKUP($C330,武器!$1:$998,COLUMN(F$1),FALSE)+IFERROR(VLOOKUP($CI330,装強!$1:$999,COLUMN(H$1),FALSE),0))*VLOOKUP($D330,素材!$1:$1016,COLUMN($E$1),FALSE),0),"")</f>
        <v/>
      </c>
      <c r="I330" t="str">
        <f>IFERROR(ROUNDDOWN((VLOOKUP($C330,武器!$1:$998,COLUMN(G$1),FALSE)+IFERROR(VLOOKUP($CI330,装強!$1:$999,COLUMN(I$1),FALSE),0))*VLOOKUP($D330,素材!$1:$1016,COLUMN($E$1),FALSE),0),"")</f>
        <v/>
      </c>
      <c r="J330" t="str">
        <f>IFERROR(ROUNDDOWN((VLOOKUP($C330,武器!$1:$998,COLUMN(H$1),FALSE)+IFERROR(VLOOKUP($CI330,装強!$1:$999,COLUMN(J$1),FALSE),0))*VLOOKUP($D330,素材!$1:$1016,COLUMN($E$1),FALSE),0),"")</f>
        <v/>
      </c>
      <c r="K330" t="str">
        <f>IFERROR(ROUNDDOWN((VLOOKUP($C330,武器!$1:$998,COLUMN(I$1),FALSE)+IFERROR(VLOOKUP($CI330,装強!$1:$999,COLUMN(K$1),FALSE),0))*VLOOKUP($D330,素材!$1:$1016,COLUMN($E$1),FALSE),0),"")</f>
        <v/>
      </c>
      <c r="L330" t="str">
        <f>IFERROR(VLOOKUP($D330,素材!$1:$1016,COLUMN($F$1),FALSE),"")</f>
        <v/>
      </c>
      <c r="M330" t="str">
        <f>IFERROR(VLOOKUP($C330,武器!$1:$998,COLUMN(AA$1),FALSE)*VLOOKUP($D330,素材!$1:$1016,COLUMN($G$1),FALSE),"")</f>
        <v/>
      </c>
      <c r="N330" t="str">
        <f>IFERROR(VLOOKUP($C330,武器!$1:$998,COLUMN(I$1),FALSE),"")</f>
        <v/>
      </c>
      <c r="O330" s="23" t="str">
        <f>IFERROR((VLOOKUP($C330,武器!$1:$998,COLUMN(K$1),FALSE)+VLOOKUP($D330,素材!$1:$1016,COLUMN(H$1),FALSE))*100+IFERROR(VLOOKUP($CI330,装強!$1:$999,COLUMN(O$1),FALSE),0),"")</f>
        <v/>
      </c>
      <c r="P330" s="23" t="str">
        <f>IFERROR((VLOOKUP($C330,武器!$1:$998,COLUMN(L$1),FALSE)+VLOOKUP($D330,素材!$1:$1016,COLUMN(I$1),FALSE))*100+IFERROR(VLOOKUP($CI330,装強!$1:$999,COLUMN(P$1),FALSE),0),"")</f>
        <v/>
      </c>
      <c r="Q330" t="str">
        <f>IFERROR(ROUNDUP(VLOOKUP($C330,武器!$1:$998,COLUMN(M$1),FALSE)*(VLOOKUP($D330,素材!$1:$1002,COLUMN(D$1),FALSE)/100),1),"")</f>
        <v/>
      </c>
      <c r="R330" t="str">
        <f>IFERROR(ROUNDUP(VLOOKUP($C330,武器!$1:$998,COLUMN(N$1),FALSE)*(VLOOKUP($D330,素材!$1:$1002,COLUMN(D$1),FALSE)/100),1),"")</f>
        <v/>
      </c>
      <c r="S330" t="str">
        <f>IFERROR(VLOOKUP($C330,武器!$1:$998,COLUMN(P$1),FALSE),"")</f>
        <v/>
      </c>
      <c r="T330" t="str">
        <f>IFERROR(VLOOKUP($C330,武器!$1:$998,COLUMN(Q$1),FALSE),"")</f>
        <v/>
      </c>
      <c r="U330" t="str">
        <f>IFERROR(VLOOKUP($C330,武器!$1:$998,COLUMN(R$1),FALSE),"")</f>
        <v/>
      </c>
      <c r="V330" t="str">
        <f>IFERROR(VLOOKUP($C330,武器!$1:$998,COLUMN(Q$1),FALSE),"")</f>
        <v/>
      </c>
      <c r="W330" t="str">
        <f>IFERROR(VLOOKUP($C330,武器!$1:$998,COLUMN(T$1),FALSE),"")</f>
        <v/>
      </c>
      <c r="Y330" t="str">
        <f>IFERROR(VLOOKUP($C330,武器!$1:$998,COLUMN(U$1),FALSE),"")</f>
        <v/>
      </c>
      <c r="Z330" t="str">
        <f>IFERROR(ROUNDUP(VLOOKUP($C330,武器!$1:$998,COLUMN(O$1),FALSE)*VLOOKUP($D330,素材!$1:$1016,COLUMN(E$1),FALSE),1),"")</f>
        <v/>
      </c>
      <c r="AA330">
        <f>IF(ISNUMBER(SEARCH(SUBSTITUTE(AA$1,RIGHT(AA$1,2),""),VLOOKUP($D330,素材!$1:$1016,COLUMN($F$1),FALSE))),VLOOKUP($C330,武器!$1:$998,COLUMN($O$1),FALSE)*VLOOKUP($D330,素材!$1:$1016,COLUMN($E$1),FALSE)/(LEN(VLOOKUP($D330,素材!$1:$1016,COLUMN($F$1),FALSE)) - LEN(SUBSTITUTE(VLOOKUP($D330,素材!$1:$1016,COLUMN($F$1),FALSE), "・", 0)) + 1), 0)</f>
        <v>0</v>
      </c>
      <c r="AB330">
        <f>IF(ISNUMBER(SEARCH(SUBSTITUTE(AB$1,RIGHT(AB$1,2),""),VLOOKUP($D330,素材!$1:$1016,COLUMN($F$1),FALSE))),VLOOKUP($C330,武器!$1:$998,COLUMN($O$1),FALSE)*VLOOKUP($D330,素材!$1:$1016,COLUMN($E$1),FALSE)/(LEN(VLOOKUP($D330,素材!$1:$1016,COLUMN($F$1),FALSE)) - LEN(SUBSTITUTE(VLOOKUP($D330,素材!$1:$1016,COLUMN($F$1),FALSE), "・", 0)) + 1), 0)</f>
        <v>0</v>
      </c>
      <c r="AC330">
        <f>IF(ISNUMBER(SEARCH(SUBSTITUTE(AC$1,RIGHT(AC$1,2),""),VLOOKUP($D330,素材!$1:$1016,COLUMN($F$1),FALSE))),VLOOKUP($C330,武器!$1:$998,COLUMN($O$1),FALSE)*VLOOKUP($D330,素材!$1:$1016,COLUMN($E$1),FALSE)/(LEN(VLOOKUP($D330,素材!$1:$1016,COLUMN($F$1),FALSE)) - LEN(SUBSTITUTE(VLOOKUP($D330,素材!$1:$1016,COLUMN($F$1),FALSE), "・", 0)) + 1), 0)</f>
        <v>0</v>
      </c>
      <c r="AD330">
        <f>IF(ISNUMBER(SEARCH(SUBSTITUTE(AD$1,RIGHT(AD$1,2),""),VLOOKUP($D330,素材!$1:$1016,COLUMN($F$1),FALSE))),VLOOKUP($C330,武器!$1:$998,COLUMN($O$1),FALSE)*VLOOKUP($D330,素材!$1:$1016,COLUMN($E$1),FALSE)/(LEN(VLOOKUP($D330,素材!$1:$1016,COLUMN($F$1),FALSE)) - LEN(SUBSTITUTE(VLOOKUP($D330,素材!$1:$1016,COLUMN($F$1),FALSE), "・", 0)) + 1), 0)</f>
        <v>0</v>
      </c>
      <c r="AE330">
        <f>IF(ISNUMBER(SEARCH(SUBSTITUTE(AE$1,RIGHT(AE$1,2),""),VLOOKUP($D330,素材!$1:$1016,COLUMN($F$1),FALSE))),VLOOKUP($C330,武器!$1:$998,COLUMN($O$1),FALSE)*VLOOKUP($D330,素材!$1:$1016,COLUMN($E$1),FALSE)/(LEN(VLOOKUP($D330,素材!$1:$1016,COLUMN($F$1),FALSE)) - LEN(SUBSTITUTE(VLOOKUP($D330,素材!$1:$1016,COLUMN($F$1),FALSE), "・", 0)) + 1), 0)</f>
        <v>0</v>
      </c>
      <c r="AF330">
        <f>IF(ISNUMBER(SEARCH(SUBSTITUTE(AF$1,RIGHT(AF$1,2),""),VLOOKUP($D330,素材!$1:$1016,COLUMN($F$1),FALSE))),VLOOKUP($C330,武器!$1:$998,COLUMN($O$1),FALSE)*VLOOKUP($D330,素材!$1:$1016,COLUMN($E$1),FALSE)/(LEN(VLOOKUP($D330,素材!$1:$1016,COLUMN($F$1),FALSE)) - LEN(SUBSTITUTE(VLOOKUP($D330,素材!$1:$1016,COLUMN($F$1),FALSE), "・", 0)) + 1), 0)</f>
        <v>0</v>
      </c>
      <c r="AG330">
        <f>IF(ISNUMBER(SEARCH(SUBSTITUTE(AG$1,RIGHT(AG$1,2),""),VLOOKUP($D330,素材!$1:$1016,COLUMN($F$1),FALSE))),VLOOKUP($C330,武器!$1:$998,COLUMN($O$1),FALSE)*VLOOKUP($D330,素材!$1:$1016,COLUMN($E$1),FALSE)/(LEN(VLOOKUP($D330,素材!$1:$1016,COLUMN($F$1),FALSE)) - LEN(SUBSTITUTE(VLOOKUP($D330,素材!$1:$1016,COLUMN($F$1),FALSE), "・", 0)) + 1), 0)</f>
        <v>0</v>
      </c>
      <c r="AH330">
        <f>IF(ISNUMBER(SEARCH(SUBSTITUTE(AH$1,RIGHT(AH$1,2),""),VLOOKUP($D330,素材!$1:$1016,COLUMN($F$1),FALSE))),VLOOKUP($C330,武器!$1:$998,COLUMN($O$1),FALSE)*VLOOKUP($D330,素材!$1:$1016,COLUMN($E$1),FALSE)/(LEN(VLOOKUP($D330,素材!$1:$1016,COLUMN($F$1),FALSE)) - LEN(SUBSTITUTE(VLOOKUP($D330,素材!$1:$1016,COLUMN($F$1),FALSE), "・", 0)) + 1), 0)</f>
        <v>0</v>
      </c>
      <c r="AI330">
        <f>IF(ISNUMBER(SEARCH(SUBSTITUTE(AI$1,RIGHT(AI$1,2),""),VLOOKUP($D330,素材!$1:$1016,COLUMN($F$1),FALSE))),VLOOKUP($C330,武器!$1:$998,COLUMN($O$1),FALSE)*VLOOKUP($D330,素材!$1:$1016,COLUMN($E$1),FALSE)/(LEN(VLOOKUP($D330,素材!$1:$1016,COLUMN($F$1),FALSE)) - LEN(SUBSTITUTE(VLOOKUP($D330,素材!$1:$1016,COLUMN($F$1),FALSE), "・", 0)) + 1), 0)</f>
        <v>0</v>
      </c>
      <c r="AJ330">
        <f>IF(ISNUMBER(SEARCH(SUBSTITUTE(AJ$1,RIGHT(AJ$1,2),""),VLOOKUP($D330,素材!$1:$1016,COLUMN($F$1),FALSE))),VLOOKUP($C330,武器!$1:$998,COLUMN($O$1),FALSE)*VLOOKUP($D330,素材!$1:$1016,COLUMN($E$1),FALSE)/(LEN(VLOOKUP($D330,素材!$1:$1016,COLUMN($F$1),FALSE)) - LEN(SUBSTITUTE(VLOOKUP($D330,素材!$1:$1016,COLUMN($F$1),FALSE), "・", 0)) + 1), 0)</f>
        <v>0</v>
      </c>
      <c r="AK330">
        <f>IF(ISNUMBER(SEARCH(SUBSTITUTE(AK$1,RIGHT(AK$1,2),""),VLOOKUP($D330,素材!$1:$1016,COLUMN($F$1),FALSE))),VLOOKUP($C330,武器!$1:$998,COLUMN($O$1),FALSE)*VLOOKUP($D330,素材!$1:$1016,COLUMN($E$1),FALSE)/(LEN(VLOOKUP($D330,素材!$1:$1016,COLUMN($F$1),FALSE)) - LEN(SUBSTITUTE(VLOOKUP($D330,素材!$1:$1016,COLUMN($F$1),FALSE), "・", 0)) + 1), 0)</f>
        <v>0</v>
      </c>
      <c r="AL330">
        <f>IF(ISNUMBER(SEARCH(SUBSTITUTE(AL$1,RIGHT(AL$1,2),""),VLOOKUP($D330,素材!$1:$1016,COLUMN($F$1),FALSE))),VLOOKUP($C330,武器!$1:$998,COLUMN($O$1),FALSE)*VLOOKUP($D330,素材!$1:$1016,COLUMN($E$1),FALSE)/(LEN(VLOOKUP($D330,素材!$1:$1016,COLUMN($F$1),FALSE)) - LEN(SUBSTITUTE(VLOOKUP($D330,素材!$1:$1016,COLUMN($F$1),FALSE), "・", 0)) + 1), 0)</f>
        <v>0</v>
      </c>
      <c r="AM330">
        <f>IF(ISNUMBER(SEARCH(SUBSTITUTE(AM$1,RIGHT(AM$1,2),""),VLOOKUP($D330,素材!$1:$1016,COLUMN($F$1),FALSE))),VLOOKUP($C330,武器!$1:$998,COLUMN($O$1),FALSE)*VLOOKUP($D330,素材!$1:$1016,COLUMN($E$1),FALSE)/(LEN(VLOOKUP($D330,素材!$1:$1016,COLUMN($F$1),FALSE)) - LEN(SUBSTITUTE(VLOOKUP($D330,素材!$1:$1016,COLUMN($F$1),FALSE), "・", 0)) + 1), 0)</f>
        <v>0</v>
      </c>
      <c r="AN330">
        <f>IF(ISNUMBER(SEARCH(SUBSTITUTE(AN$1,RIGHT(AN$1,2),""),VLOOKUP($D330,素材!$1:$1016,COLUMN($F$1),FALSE))),VLOOKUP($C330,武器!$1:$998,COLUMN($O$1),FALSE)*VLOOKUP($D330,素材!$1:$1016,COLUMN($E$1),FALSE)/(LEN(VLOOKUP($D330,素材!$1:$1016,COLUMN($F$1),FALSE)) - LEN(SUBSTITUTE(VLOOKUP($D330,素材!$1:$1016,COLUMN($F$1),FALSE), "・", 0)) + 1), 0)</f>
        <v>0</v>
      </c>
      <c r="AO330">
        <f>IF(ISNUMBER(SEARCH(SUBSTITUTE(AO$1,RIGHT(AO$1,2),""),VLOOKUP($D330,素材!$1:$1016,COLUMN($F$1),FALSE))),VLOOKUP($C330,武器!$1:$998,COLUMN($O$1),FALSE)*VLOOKUP($D330,素材!$1:$1016,COLUMN($E$1),FALSE)/(LEN(VLOOKUP($D330,素材!$1:$1016,COLUMN($F$1),FALSE)) - LEN(SUBSTITUTE(VLOOKUP($D330,素材!$1:$1016,COLUMN($F$1),FALSE), "・", 0)) + 1), 0)</f>
        <v>0</v>
      </c>
      <c r="AP330">
        <f>IF(ISNUMBER(SEARCH(SUBSTITUTE(AP$1,RIGHT(AP$1,2),""),VLOOKUP($D330,素材!$1:$1016,COLUMN($F$1),FALSE))),VLOOKUP($C330,武器!$1:$998,COLUMN($O$1),FALSE)*VLOOKUP($D330,素材!$1:$1016,COLUMN($E$1),FALSE)/(LEN(VLOOKUP($D330,素材!$1:$1016,COLUMN($F$1),FALSE)) - LEN(SUBSTITUTE(VLOOKUP($D330,素材!$1:$1016,COLUMN($F$1),FALSE), "・", 0)) + 1), 0)</f>
        <v>0</v>
      </c>
      <c r="AQ330">
        <f>IF(ISNUMBER(SEARCH(SUBSTITUTE(AQ$1,RIGHT(AQ$1,2),""),VLOOKUP($D330,素材!$1:$1016,COLUMN($F$1),FALSE))),VLOOKUP($C330,武器!$1:$998,COLUMN($O$1),FALSE)*VLOOKUP($D330,素材!$1:$1016,COLUMN($E$1),FALSE)/(LEN(VLOOKUP($D330,素材!$1:$1016,COLUMN($F$1),FALSE)) - LEN(SUBSTITUTE(VLOOKUP($D330,素材!$1:$1016,COLUMN($F$1),FALSE), "・", 0)) + 1), 0)</f>
        <v>0</v>
      </c>
      <c r="AR330">
        <f>IF(ISNUMBER(SEARCH(SUBSTITUTE(AR$1,RIGHT(AR$1,2),""),VLOOKUP($D330,素材!$1:$1016,COLUMN($F$1),FALSE))),VLOOKUP($C330,武器!$1:$998,COLUMN($O$1),FALSE)*VLOOKUP($D330,素材!$1:$1016,COLUMN($E$1),FALSE)/(LEN(VLOOKUP($D330,素材!$1:$1016,COLUMN($F$1),FALSE)) - LEN(SUBSTITUTE(VLOOKUP($D330,素材!$1:$1016,COLUMN($F$1),FALSE), "・", 0)) + 1), 0)</f>
        <v>0</v>
      </c>
      <c r="AS330">
        <f>IF(ISNUMBER(SEARCH(SUBSTITUTE(AS$1,RIGHT(AS$1,2),""),VLOOKUP($D330,素材!$1:$1016,COLUMN($F$1),FALSE))),VLOOKUP($C330,武器!$1:$998,COLUMN($O$1),FALSE)*VLOOKUP($D330,素材!$1:$1016,COLUMN($E$1),FALSE)/(LEN(VLOOKUP($D330,素材!$1:$1016,COLUMN($F$1),FALSE)) - LEN(SUBSTITUTE(VLOOKUP($D330,素材!$1:$1016,COLUMN($F$1),FALSE), "・", 0)) + 1), 0)</f>
        <v>0</v>
      </c>
      <c r="AT330">
        <f>IF(ISNUMBER(SEARCH(SUBSTITUTE(AT$1,RIGHT(AT$1,2),""),VLOOKUP($D330,素材!$1:$1016,COLUMN($F$1),FALSE))),VLOOKUP($C330,武器!$1:$998,COLUMN($O$1),FALSE)*VLOOKUP($D330,素材!$1:$1016,COLUMN($E$1),FALSE)/(LEN(VLOOKUP($D330,素材!$1:$1016,COLUMN($F$1),FALSE)) - LEN(SUBSTITUTE(VLOOKUP($D330,素材!$1:$1016,COLUMN($F$1),FALSE), "・", 0)) + 1), 0)</f>
        <v>0</v>
      </c>
      <c r="AU330">
        <f>IF(ISNUMBER(SEARCH(SUBSTITUTE(AU$1,RIGHT(AU$1,2),""),VLOOKUP($D330,素材!$1:$1016,COLUMN($F$1),FALSE))),VLOOKUP($C330,武器!$1:$998,COLUMN($O$1),FALSE)*VLOOKUP($D330,素材!$1:$1016,COLUMN($E$1),FALSE)/(LEN(VLOOKUP($D330,素材!$1:$1016,COLUMN($F$1),FALSE)) - LEN(SUBSTITUTE(VLOOKUP($D330,素材!$1:$1016,COLUMN($F$1),FALSE), "・", 0)) + 1), 0)</f>
        <v>0</v>
      </c>
      <c r="AV330">
        <f>IF(ISNUMBER(SEARCH(SUBSTITUTE(AV$1,RIGHT(AV$1,2),""),VLOOKUP($D330,素材!$1:$1016,COLUMN($F$1),FALSE))),VLOOKUP($C330,武器!$1:$998,COLUMN($O$1),FALSE)*VLOOKUP($D330,素材!$1:$1016,COLUMN($E$1),FALSE)/(LEN(VLOOKUP($D330,素材!$1:$1016,COLUMN($F$1),FALSE)) - LEN(SUBSTITUTE(VLOOKUP($D330,素材!$1:$1016,COLUMN($F$1),FALSE), "・", 0)) + 1), 0)</f>
        <v>0</v>
      </c>
      <c r="AW330">
        <f>IF(ISNUMBER(SEARCH(SUBSTITUTE(AW$1,RIGHT(AW$1,2),""),VLOOKUP($D330,素材!$1:$1016,COLUMN($F$1),FALSE))),VLOOKUP($C330,武器!$1:$998,COLUMN($O$1),FALSE)*VLOOKUP($D330,素材!$1:$1016,COLUMN($E$1),FALSE)/(LEN(VLOOKUP($D330,素材!$1:$1016,COLUMN($F$1),FALSE)) - LEN(SUBSTITUTE(VLOOKUP($D330,素材!$1:$1016,COLUMN($F$1),FALSE), "・", 0)) + 1), 0)</f>
        <v>0</v>
      </c>
      <c r="AX330">
        <f>IF(ISNUMBER(SEARCH(SUBSTITUTE(AX$1,RIGHT(AX$1,2),""),VLOOKUP($D330,素材!$1:$1016,COLUMN($F$1),FALSE))),VLOOKUP($C330,武器!$1:$998,COLUMN($O$1),FALSE)*VLOOKUP($D330,素材!$1:$1016,COLUMN($E$1),FALSE)/(LEN(VLOOKUP($D330,素材!$1:$1016,COLUMN($F$1),FALSE)) - LEN(SUBSTITUTE(VLOOKUP($D330,素材!$1:$1016,COLUMN($F$1),FALSE), "・", 0)) + 1), 0)</f>
        <v>0</v>
      </c>
      <c r="AY330">
        <f>IF(ISNUMBER(SEARCH(SUBSTITUTE(AY$1,RIGHT(AY$1,2),""),VLOOKUP($D330,素材!$1:$1016,COLUMN($F$1),FALSE))),VLOOKUP($C330,武器!$1:$998,COLUMN($O$1),FALSE)*VLOOKUP($D330,素材!$1:$1016,COLUMN($E$1),FALSE)/(LEN(VLOOKUP($D330,素材!$1:$1016,COLUMN($F$1),FALSE)) - LEN(SUBSTITUTE(VLOOKUP($D330,素材!$1:$1016,COLUMN($F$1),FALSE), "・", 0)) + 1), 0)</f>
        <v>0</v>
      </c>
      <c r="AZ330">
        <f>IF(ISNUMBER(SEARCH(SUBSTITUTE(AZ$1,RIGHT(AZ$1,2),""),VLOOKUP($D330,素材!$1:$1016,COLUMN($F$1),FALSE))),VLOOKUP($C330,武器!$1:$998,COLUMN($O$1),FALSE)*VLOOKUP($D330,素材!$1:$1016,COLUMN($E$1),FALSE)/(LEN(VLOOKUP($D330,素材!$1:$1016,COLUMN($F$1),FALSE)) - LEN(SUBSTITUTE(VLOOKUP($D330,素材!$1:$1016,COLUMN($F$1),FALSE), "・", 0)) + 1), 0)</f>
        <v>0</v>
      </c>
      <c r="BA330">
        <f>IF(ISNUMBER(SEARCH(SUBSTITUTE(BA$1,RIGHT(BA$1,2),""),VLOOKUP($D330,素材!$1:$1016,COLUMN($F$1),FALSE))),VLOOKUP($C330,武器!$1:$998,COLUMN($O$1),FALSE)*VLOOKUP($D330,素材!$1:$1016,COLUMN($E$1),FALSE)/(LEN(VLOOKUP($D330,素材!$1:$1016,COLUMN($F$1),FALSE)) - LEN(SUBSTITUTE(VLOOKUP($D330,素材!$1:$1016,COLUMN($F$1),FALSE), "・", 0)) + 1), 0)</f>
        <v>0</v>
      </c>
      <c r="BB330">
        <f>IF(ISNUMBER(SEARCH(SUBSTITUTE(BB$1,RIGHT(BB$1,2),""),VLOOKUP($D330,素材!$1:$1016,COLUMN($F$1),FALSE))),VLOOKUP($C330,武器!$1:$998,COLUMN($O$1),FALSE)*VLOOKUP($D330,素材!$1:$1016,COLUMN($E$1),FALSE)/(LEN(VLOOKUP($D330,素材!$1:$1016,COLUMN($F$1),FALSE)) - LEN(SUBSTITUTE(VLOOKUP($D330,素材!$1:$1016,COLUMN($F$1),FALSE), "・", 0)) + 1), 0)</f>
        <v>0</v>
      </c>
      <c r="BC330">
        <f>IF(ISNUMBER(SEARCH(SUBSTITUTE(BC$1,RIGHT(BC$1,2),""),VLOOKUP($D330,素材!$1:$1016,COLUMN($F$1),FALSE))),VLOOKUP($C330,武器!$1:$998,COLUMN($O$1),FALSE)*VLOOKUP($D330,素材!$1:$1016,COLUMN($E$1),FALSE)/(LEN(VLOOKUP($D330,素材!$1:$1016,COLUMN($F$1),FALSE)) - LEN(SUBSTITUTE(VLOOKUP($D330,素材!$1:$1016,COLUMN($F$1),FALSE), "・", 0)) + 1), 0)</f>
        <v>0</v>
      </c>
      <c r="BD330">
        <f>IF(ISNUMBER(SEARCH(SUBSTITUTE(BD$1,RIGHT(BD$1,2),""),VLOOKUP($D330,素材!$1:$1016,COLUMN($F$1),FALSE))),VLOOKUP($C330,武器!$1:$998,COLUMN($O$1),FALSE)*VLOOKUP($D330,素材!$1:$1016,COLUMN($E$1),FALSE)/(LEN(VLOOKUP($D330,素材!$1:$1016,COLUMN($F$1),FALSE)) - LEN(SUBSTITUTE(VLOOKUP($D330,素材!$1:$1016,COLUMN($F$1),FALSE), "・", 0)) + 1), 0)</f>
        <v>0</v>
      </c>
      <c r="BE330">
        <f>IF(ISNUMBER(SEARCH(SUBSTITUTE(BE$1,RIGHT(BE$1,2),""),VLOOKUP($D330,素材!$1:$1016,COLUMN($F$1),FALSE))),VLOOKUP($C330,武器!$1:$998,COLUMN($O$1),FALSE)*VLOOKUP($D330,素材!$1:$1016,COLUMN($E$1),FALSE)/(LEN(VLOOKUP($D330,素材!$1:$1016,COLUMN($F$1),FALSE)) - LEN(SUBSTITUTE(VLOOKUP($D330,素材!$1:$1016,COLUMN($F$1),FALSE), "・", 0)) + 1), 0)</f>
        <v>0</v>
      </c>
      <c r="CL330">
        <f>SUM(G330:I330)</f>
        <v>0</v>
      </c>
      <c r="CM330" s="22" t="str">
        <f>IF(E330="武器",IF(J330-1&gt;SUM(G330:I330),"盾",IF(MAX(G330:I330)=G330,"切断",IF(MAX(G330:I330)=H330,"貫通",IF(MAX(G330:I330)=I330,"打撃","射撃")))),E330)&amp;".webp"</f>
        <v>.webp</v>
      </c>
      <c r="CN330" t="str">
        <f>IFERROR(VLOOKUP($C330,武器!$1:$998,COLUMN(V$1),FALSE)*VLOOKUP($D330,素材!$1:$1016,COLUMN(N$1),FALSE)+IF(CI330="",0,VLOOKUP($CI330,装強!$1:$1008,COLUMN($CK$1),FALSE)),"")</f>
        <v/>
      </c>
      <c r="CO330" t="e">
        <f>VLOOKUP(D330,素材!$A:$O,COLUMN(素材!O$1),FALSE)</f>
        <v>#N/A</v>
      </c>
      <c r="CP330" t="e">
        <f>VLOOKUP(C330,武器!$A:$W,COLUMN(武器!W$1),FALSE)</f>
        <v>#N/A</v>
      </c>
      <c r="CR330" t="str">
        <f t="shared" si="33"/>
        <v>e_330</v>
      </c>
      <c r="CS330" t="e">
        <f t="shared" si="34"/>
        <v>#VALUE!</v>
      </c>
    </row>
    <row r="331" spans="1:97" hidden="1" outlineLevel="1" x14ac:dyDescent="0.4">
      <c r="A331" t="str">
        <f>IF(CI331="",D331&amp;"の"&amp;C331,CI331&amp;"の"&amp;C331)</f>
        <v>の</v>
      </c>
      <c r="B331" t="str">
        <f>IFERROR(IF(CI331="",VLOOKUP($D331,素材!$1:$1016,COLUMN($B$1),FALSE)&amp;"・"&amp;VLOOKUP($C331,武器!$1:$998,COLUMN(B$1),FALSE),VLOOKUP($CI331,装強!$1:$1008,COLUMN($B$1),FALSE)&amp;"・"&amp;VLOOKUP($C331,武器!$1:$998,COLUMN(B$1),FALSE)),"")</f>
        <v/>
      </c>
      <c r="C331" s="24"/>
      <c r="D331" s="24"/>
      <c r="E331" t="str">
        <f>IFERROR(VLOOKUP(C331,武器!$1:$998,COLUMN(C$1),FALSE),"")</f>
        <v/>
      </c>
      <c r="F331" t="str">
        <f>IFERROR(ROUNDDOWN((VLOOKUP($C331,武器!$1:$998,COLUMN(D$1),FALSE)+IFERROR(VLOOKUP($CI331,装強!$1:$999,COLUMN(F$1),FALSE),0))*VLOOKUP($D331,素材!$1:$1016,COLUMN(D$1),FALSE),0),"")</f>
        <v/>
      </c>
      <c r="G331" t="str">
        <f>IFERROR(ROUNDDOWN((VLOOKUP($C331,武器!$1:$998,COLUMN(E$1),FALSE)+IFERROR(VLOOKUP($CI331,装強!$1:$999,COLUMN(G$1),FALSE),0))*VLOOKUP($D331,素材!$1:$1016,COLUMN($E$1),FALSE),0),"")</f>
        <v/>
      </c>
      <c r="H331" t="str">
        <f>IFERROR(ROUNDDOWN((VLOOKUP($C331,武器!$1:$998,COLUMN(F$1),FALSE)+IFERROR(VLOOKUP($CI331,装強!$1:$999,COLUMN(H$1),FALSE),0))*VLOOKUP($D331,素材!$1:$1016,COLUMN($E$1),FALSE),0),"")</f>
        <v/>
      </c>
      <c r="I331" t="str">
        <f>IFERROR(ROUNDDOWN((VLOOKUP($C331,武器!$1:$998,COLUMN(G$1),FALSE)+IFERROR(VLOOKUP($CI331,装強!$1:$999,COLUMN(I$1),FALSE),0))*VLOOKUP($D331,素材!$1:$1016,COLUMN($E$1),FALSE),0),"")</f>
        <v/>
      </c>
      <c r="J331" t="str">
        <f>IFERROR(ROUNDDOWN((VLOOKUP($C331,武器!$1:$998,COLUMN(H$1),FALSE)+IFERROR(VLOOKUP($CI331,装強!$1:$999,COLUMN(J$1),FALSE),0))*VLOOKUP($D331,素材!$1:$1016,COLUMN($E$1),FALSE),0),"")</f>
        <v/>
      </c>
      <c r="K331" t="str">
        <f>IFERROR(ROUNDDOWN((VLOOKUP($C331,武器!$1:$998,COLUMN(I$1),FALSE)+IFERROR(VLOOKUP($CI331,装強!$1:$999,COLUMN(K$1),FALSE),0))*VLOOKUP($D331,素材!$1:$1016,COLUMN($E$1),FALSE),0),"")</f>
        <v/>
      </c>
      <c r="L331" t="str">
        <f>IFERROR(VLOOKUP($D331,素材!$1:$1016,COLUMN($F$1),FALSE),"")</f>
        <v/>
      </c>
      <c r="M331" t="str">
        <f>IFERROR(VLOOKUP($C331,武器!$1:$998,COLUMN(AA$1),FALSE)*VLOOKUP($D331,素材!$1:$1016,COLUMN($G$1),FALSE),"")</f>
        <v/>
      </c>
      <c r="N331" t="str">
        <f>IFERROR(VLOOKUP($C331,武器!$1:$998,COLUMN(I$1),FALSE),"")</f>
        <v/>
      </c>
      <c r="O331" s="23" t="str">
        <f>IFERROR((VLOOKUP($C331,武器!$1:$998,COLUMN(K$1),FALSE)+VLOOKUP($D331,素材!$1:$1016,COLUMN(H$1),FALSE))*100+IFERROR(VLOOKUP($CI331,装強!$1:$999,COLUMN(O$1),FALSE),0),"")</f>
        <v/>
      </c>
      <c r="P331" s="23" t="str">
        <f>IFERROR((VLOOKUP($C331,武器!$1:$998,COLUMN(L$1),FALSE)+VLOOKUP($D331,素材!$1:$1016,COLUMN(I$1),FALSE))*100+IFERROR(VLOOKUP($CI331,装強!$1:$999,COLUMN(P$1),FALSE),0),"")</f>
        <v/>
      </c>
      <c r="Q331" t="str">
        <f>IFERROR(ROUNDUP(VLOOKUP($C331,武器!$1:$998,COLUMN(M$1),FALSE)*(VLOOKUP($D331,素材!$1:$1002,COLUMN(D$1),FALSE)/100),1),"")</f>
        <v/>
      </c>
      <c r="R331" t="str">
        <f>IFERROR(ROUNDUP(VLOOKUP($C331,武器!$1:$998,COLUMN(N$1),FALSE)*(VLOOKUP($D331,素材!$1:$1002,COLUMN(D$1),FALSE)/100),1),"")</f>
        <v/>
      </c>
      <c r="S331" t="str">
        <f>IFERROR(VLOOKUP($C331,武器!$1:$998,COLUMN(P$1),FALSE),"")</f>
        <v/>
      </c>
      <c r="T331" t="str">
        <f>IFERROR(VLOOKUP($C331,武器!$1:$998,COLUMN(Q$1),FALSE),"")</f>
        <v/>
      </c>
      <c r="U331" t="str">
        <f>IFERROR(VLOOKUP($C331,武器!$1:$998,COLUMN(R$1),FALSE),"")</f>
        <v/>
      </c>
      <c r="V331" t="str">
        <f>IFERROR(VLOOKUP($C331,武器!$1:$998,COLUMN(Q$1),FALSE),"")</f>
        <v/>
      </c>
      <c r="W331" t="str">
        <f>IFERROR(VLOOKUP($C331,武器!$1:$998,COLUMN(T$1),FALSE),"")</f>
        <v/>
      </c>
      <c r="Y331" t="str">
        <f>IFERROR(VLOOKUP($C331,武器!$1:$998,COLUMN(U$1),FALSE),"")</f>
        <v/>
      </c>
      <c r="Z331" t="str">
        <f>IFERROR(ROUNDUP(VLOOKUP($C331,武器!$1:$998,COLUMN(O$1),FALSE)*VLOOKUP($D331,素材!$1:$1016,COLUMN(E$1),FALSE),1),"")</f>
        <v/>
      </c>
      <c r="AA331">
        <f>IF(ISNUMBER(SEARCH(SUBSTITUTE(AA$1,RIGHT(AA$1,2),""),VLOOKUP($D331,素材!$1:$1016,COLUMN($F$1),FALSE))),VLOOKUP($C331,武器!$1:$998,COLUMN($O$1),FALSE)*VLOOKUP($D331,素材!$1:$1016,COLUMN($E$1),FALSE)/(LEN(VLOOKUP($D331,素材!$1:$1016,COLUMN($F$1),FALSE)) - LEN(SUBSTITUTE(VLOOKUP($D331,素材!$1:$1016,COLUMN($F$1),FALSE), "・", 0)) + 1), 0)</f>
        <v>0</v>
      </c>
      <c r="AB331">
        <f>IF(ISNUMBER(SEARCH(SUBSTITUTE(AB$1,RIGHT(AB$1,2),""),VLOOKUP($D331,素材!$1:$1016,COLUMN($F$1),FALSE))),VLOOKUP($C331,武器!$1:$998,COLUMN($O$1),FALSE)*VLOOKUP($D331,素材!$1:$1016,COLUMN($E$1),FALSE)/(LEN(VLOOKUP($D331,素材!$1:$1016,COLUMN($F$1),FALSE)) - LEN(SUBSTITUTE(VLOOKUP($D331,素材!$1:$1016,COLUMN($F$1),FALSE), "・", 0)) + 1), 0)</f>
        <v>0</v>
      </c>
      <c r="AC331">
        <f>IF(ISNUMBER(SEARCH(SUBSTITUTE(AC$1,RIGHT(AC$1,2),""),VLOOKUP($D331,素材!$1:$1016,COLUMN($F$1),FALSE))),VLOOKUP($C331,武器!$1:$998,COLUMN($O$1),FALSE)*VLOOKUP($D331,素材!$1:$1016,COLUMN($E$1),FALSE)/(LEN(VLOOKUP($D331,素材!$1:$1016,COLUMN($F$1),FALSE)) - LEN(SUBSTITUTE(VLOOKUP($D331,素材!$1:$1016,COLUMN($F$1),FALSE), "・", 0)) + 1), 0)</f>
        <v>0</v>
      </c>
      <c r="AD331">
        <f>IF(ISNUMBER(SEARCH(SUBSTITUTE(AD$1,RIGHT(AD$1,2),""),VLOOKUP($D331,素材!$1:$1016,COLUMN($F$1),FALSE))),VLOOKUP($C331,武器!$1:$998,COLUMN($O$1),FALSE)*VLOOKUP($D331,素材!$1:$1016,COLUMN($E$1),FALSE)/(LEN(VLOOKUP($D331,素材!$1:$1016,COLUMN($F$1),FALSE)) - LEN(SUBSTITUTE(VLOOKUP($D331,素材!$1:$1016,COLUMN($F$1),FALSE), "・", 0)) + 1), 0)</f>
        <v>0</v>
      </c>
      <c r="AE331">
        <f>IF(ISNUMBER(SEARCH(SUBSTITUTE(AE$1,RIGHT(AE$1,2),""),VLOOKUP($D331,素材!$1:$1016,COLUMN($F$1),FALSE))),VLOOKUP($C331,武器!$1:$998,COLUMN($O$1),FALSE)*VLOOKUP($D331,素材!$1:$1016,COLUMN($E$1),FALSE)/(LEN(VLOOKUP($D331,素材!$1:$1016,COLUMN($F$1),FALSE)) - LEN(SUBSTITUTE(VLOOKUP($D331,素材!$1:$1016,COLUMN($F$1),FALSE), "・", 0)) + 1), 0)</f>
        <v>0</v>
      </c>
      <c r="AF331">
        <f>IF(ISNUMBER(SEARCH(SUBSTITUTE(AF$1,RIGHT(AF$1,2),""),VLOOKUP($D331,素材!$1:$1016,COLUMN($F$1),FALSE))),VLOOKUP($C331,武器!$1:$998,COLUMN($O$1),FALSE)*VLOOKUP($D331,素材!$1:$1016,COLUMN($E$1),FALSE)/(LEN(VLOOKUP($D331,素材!$1:$1016,COLUMN($F$1),FALSE)) - LEN(SUBSTITUTE(VLOOKUP($D331,素材!$1:$1016,COLUMN($F$1),FALSE), "・", 0)) + 1), 0)</f>
        <v>0</v>
      </c>
      <c r="AG331">
        <f>IF(ISNUMBER(SEARCH(SUBSTITUTE(AG$1,RIGHT(AG$1,2),""),VLOOKUP($D331,素材!$1:$1016,COLUMN($F$1),FALSE))),VLOOKUP($C331,武器!$1:$998,COLUMN($O$1),FALSE)*VLOOKUP($D331,素材!$1:$1016,COLUMN($E$1),FALSE)/(LEN(VLOOKUP($D331,素材!$1:$1016,COLUMN($F$1),FALSE)) - LEN(SUBSTITUTE(VLOOKUP($D331,素材!$1:$1016,COLUMN($F$1),FALSE), "・", 0)) + 1), 0)</f>
        <v>0</v>
      </c>
      <c r="AH331">
        <f>IF(ISNUMBER(SEARCH(SUBSTITUTE(AH$1,RIGHT(AH$1,2),""),VLOOKUP($D331,素材!$1:$1016,COLUMN($F$1),FALSE))),VLOOKUP($C331,武器!$1:$998,COLUMN($O$1),FALSE)*VLOOKUP($D331,素材!$1:$1016,COLUMN($E$1),FALSE)/(LEN(VLOOKUP($D331,素材!$1:$1016,COLUMN($F$1),FALSE)) - LEN(SUBSTITUTE(VLOOKUP($D331,素材!$1:$1016,COLUMN($F$1),FALSE), "・", 0)) + 1), 0)</f>
        <v>0</v>
      </c>
      <c r="AI331">
        <f>IF(ISNUMBER(SEARCH(SUBSTITUTE(AI$1,RIGHT(AI$1,2),""),VLOOKUP($D331,素材!$1:$1016,COLUMN($F$1),FALSE))),VLOOKUP($C331,武器!$1:$998,COLUMN($O$1),FALSE)*VLOOKUP($D331,素材!$1:$1016,COLUMN($E$1),FALSE)/(LEN(VLOOKUP($D331,素材!$1:$1016,COLUMN($F$1),FALSE)) - LEN(SUBSTITUTE(VLOOKUP($D331,素材!$1:$1016,COLUMN($F$1),FALSE), "・", 0)) + 1), 0)</f>
        <v>0</v>
      </c>
      <c r="AJ331">
        <f>IF(ISNUMBER(SEARCH(SUBSTITUTE(AJ$1,RIGHT(AJ$1,2),""),VLOOKUP($D331,素材!$1:$1016,COLUMN($F$1),FALSE))),VLOOKUP($C331,武器!$1:$998,COLUMN($O$1),FALSE)*VLOOKUP($D331,素材!$1:$1016,COLUMN($E$1),FALSE)/(LEN(VLOOKUP($D331,素材!$1:$1016,COLUMN($F$1),FALSE)) - LEN(SUBSTITUTE(VLOOKUP($D331,素材!$1:$1016,COLUMN($F$1),FALSE), "・", 0)) + 1), 0)</f>
        <v>0</v>
      </c>
      <c r="AK331">
        <f>IF(ISNUMBER(SEARCH(SUBSTITUTE(AK$1,RIGHT(AK$1,2),""),VLOOKUP($D331,素材!$1:$1016,COLUMN($F$1),FALSE))),VLOOKUP($C331,武器!$1:$998,COLUMN($O$1),FALSE)*VLOOKUP($D331,素材!$1:$1016,COLUMN($E$1),FALSE)/(LEN(VLOOKUP($D331,素材!$1:$1016,COLUMN($F$1),FALSE)) - LEN(SUBSTITUTE(VLOOKUP($D331,素材!$1:$1016,COLUMN($F$1),FALSE), "・", 0)) + 1), 0)</f>
        <v>0</v>
      </c>
      <c r="AL331">
        <f>IF(ISNUMBER(SEARCH(SUBSTITUTE(AL$1,RIGHT(AL$1,2),""),VLOOKUP($D331,素材!$1:$1016,COLUMN($F$1),FALSE))),VLOOKUP($C331,武器!$1:$998,COLUMN($O$1),FALSE)*VLOOKUP($D331,素材!$1:$1016,COLUMN($E$1),FALSE)/(LEN(VLOOKUP($D331,素材!$1:$1016,COLUMN($F$1),FALSE)) - LEN(SUBSTITUTE(VLOOKUP($D331,素材!$1:$1016,COLUMN($F$1),FALSE), "・", 0)) + 1), 0)</f>
        <v>0</v>
      </c>
      <c r="AM331">
        <f>IF(ISNUMBER(SEARCH(SUBSTITUTE(AM$1,RIGHT(AM$1,2),""),VLOOKUP($D331,素材!$1:$1016,COLUMN($F$1),FALSE))),VLOOKUP($C331,武器!$1:$998,COLUMN($O$1),FALSE)*VLOOKUP($D331,素材!$1:$1016,COLUMN($E$1),FALSE)/(LEN(VLOOKUP($D331,素材!$1:$1016,COLUMN($F$1),FALSE)) - LEN(SUBSTITUTE(VLOOKUP($D331,素材!$1:$1016,COLUMN($F$1),FALSE), "・", 0)) + 1), 0)</f>
        <v>0</v>
      </c>
      <c r="AN331">
        <f>IF(ISNUMBER(SEARCH(SUBSTITUTE(AN$1,RIGHT(AN$1,2),""),VLOOKUP($D331,素材!$1:$1016,COLUMN($F$1),FALSE))),VLOOKUP($C331,武器!$1:$998,COLUMN($O$1),FALSE)*VLOOKUP($D331,素材!$1:$1016,COLUMN($E$1),FALSE)/(LEN(VLOOKUP($D331,素材!$1:$1016,COLUMN($F$1),FALSE)) - LEN(SUBSTITUTE(VLOOKUP($D331,素材!$1:$1016,COLUMN($F$1),FALSE), "・", 0)) + 1), 0)</f>
        <v>0</v>
      </c>
      <c r="AO331">
        <f>IF(ISNUMBER(SEARCH(SUBSTITUTE(AO$1,RIGHT(AO$1,2),""),VLOOKUP($D331,素材!$1:$1016,COLUMN($F$1),FALSE))),VLOOKUP($C331,武器!$1:$998,COLUMN($O$1),FALSE)*VLOOKUP($D331,素材!$1:$1016,COLUMN($E$1),FALSE)/(LEN(VLOOKUP($D331,素材!$1:$1016,COLUMN($F$1),FALSE)) - LEN(SUBSTITUTE(VLOOKUP($D331,素材!$1:$1016,COLUMN($F$1),FALSE), "・", 0)) + 1), 0)</f>
        <v>0</v>
      </c>
      <c r="AP331">
        <f>IF(ISNUMBER(SEARCH(SUBSTITUTE(AP$1,RIGHT(AP$1,2),""),VLOOKUP($D331,素材!$1:$1016,COLUMN($F$1),FALSE))),VLOOKUP($C331,武器!$1:$998,COLUMN($O$1),FALSE)*VLOOKUP($D331,素材!$1:$1016,COLUMN($E$1),FALSE)/(LEN(VLOOKUP($D331,素材!$1:$1016,COLUMN($F$1),FALSE)) - LEN(SUBSTITUTE(VLOOKUP($D331,素材!$1:$1016,COLUMN($F$1),FALSE), "・", 0)) + 1), 0)</f>
        <v>0</v>
      </c>
      <c r="AQ331">
        <f>IF(ISNUMBER(SEARCH(SUBSTITUTE(AQ$1,RIGHT(AQ$1,2),""),VLOOKUP($D331,素材!$1:$1016,COLUMN($F$1),FALSE))),VLOOKUP($C331,武器!$1:$998,COLUMN($O$1),FALSE)*VLOOKUP($D331,素材!$1:$1016,COLUMN($E$1),FALSE)/(LEN(VLOOKUP($D331,素材!$1:$1016,COLUMN($F$1),FALSE)) - LEN(SUBSTITUTE(VLOOKUP($D331,素材!$1:$1016,COLUMN($F$1),FALSE), "・", 0)) + 1), 0)</f>
        <v>0</v>
      </c>
      <c r="AR331">
        <f>IF(ISNUMBER(SEARCH(SUBSTITUTE(AR$1,RIGHT(AR$1,2),""),VLOOKUP($D331,素材!$1:$1016,COLUMN($F$1),FALSE))),VLOOKUP($C331,武器!$1:$998,COLUMN($O$1),FALSE)*VLOOKUP($D331,素材!$1:$1016,COLUMN($E$1),FALSE)/(LEN(VLOOKUP($D331,素材!$1:$1016,COLUMN($F$1),FALSE)) - LEN(SUBSTITUTE(VLOOKUP($D331,素材!$1:$1016,COLUMN($F$1),FALSE), "・", 0)) + 1), 0)</f>
        <v>0</v>
      </c>
      <c r="AS331">
        <f>IF(ISNUMBER(SEARCH(SUBSTITUTE(AS$1,RIGHT(AS$1,2),""),VLOOKUP($D331,素材!$1:$1016,COLUMN($F$1),FALSE))),VLOOKUP($C331,武器!$1:$998,COLUMN($O$1),FALSE)*VLOOKUP($D331,素材!$1:$1016,COLUMN($E$1),FALSE)/(LEN(VLOOKUP($D331,素材!$1:$1016,COLUMN($F$1),FALSE)) - LEN(SUBSTITUTE(VLOOKUP($D331,素材!$1:$1016,COLUMN($F$1),FALSE), "・", 0)) + 1), 0)</f>
        <v>0</v>
      </c>
      <c r="AT331">
        <f>IF(ISNUMBER(SEARCH(SUBSTITUTE(AT$1,RIGHT(AT$1,2),""),VLOOKUP($D331,素材!$1:$1016,COLUMN($F$1),FALSE))),VLOOKUP($C331,武器!$1:$998,COLUMN($O$1),FALSE)*VLOOKUP($D331,素材!$1:$1016,COLUMN($E$1),FALSE)/(LEN(VLOOKUP($D331,素材!$1:$1016,COLUMN($F$1),FALSE)) - LEN(SUBSTITUTE(VLOOKUP($D331,素材!$1:$1016,COLUMN($F$1),FALSE), "・", 0)) + 1), 0)</f>
        <v>0</v>
      </c>
      <c r="AU331">
        <f>IF(ISNUMBER(SEARCH(SUBSTITUTE(AU$1,RIGHT(AU$1,2),""),VLOOKUP($D331,素材!$1:$1016,COLUMN($F$1),FALSE))),VLOOKUP($C331,武器!$1:$998,COLUMN($O$1),FALSE)*VLOOKUP($D331,素材!$1:$1016,COLUMN($E$1),FALSE)/(LEN(VLOOKUP($D331,素材!$1:$1016,COLUMN($F$1),FALSE)) - LEN(SUBSTITUTE(VLOOKUP($D331,素材!$1:$1016,COLUMN($F$1),FALSE), "・", 0)) + 1), 0)</f>
        <v>0</v>
      </c>
      <c r="AV331">
        <f>IF(ISNUMBER(SEARCH(SUBSTITUTE(AV$1,RIGHT(AV$1,2),""),VLOOKUP($D331,素材!$1:$1016,COLUMN($F$1),FALSE))),VLOOKUP($C331,武器!$1:$998,COLUMN($O$1),FALSE)*VLOOKUP($D331,素材!$1:$1016,COLUMN($E$1),FALSE)/(LEN(VLOOKUP($D331,素材!$1:$1016,COLUMN($F$1),FALSE)) - LEN(SUBSTITUTE(VLOOKUP($D331,素材!$1:$1016,COLUMN($F$1),FALSE), "・", 0)) + 1), 0)</f>
        <v>0</v>
      </c>
      <c r="AW331">
        <f>IF(ISNUMBER(SEARCH(SUBSTITUTE(AW$1,RIGHT(AW$1,2),""),VLOOKUP($D331,素材!$1:$1016,COLUMN($F$1),FALSE))),VLOOKUP($C331,武器!$1:$998,COLUMN($O$1),FALSE)*VLOOKUP($D331,素材!$1:$1016,COLUMN($E$1),FALSE)/(LEN(VLOOKUP($D331,素材!$1:$1016,COLUMN($F$1),FALSE)) - LEN(SUBSTITUTE(VLOOKUP($D331,素材!$1:$1016,COLUMN($F$1),FALSE), "・", 0)) + 1), 0)</f>
        <v>0</v>
      </c>
      <c r="AX331">
        <f>IF(ISNUMBER(SEARCH(SUBSTITUTE(AX$1,RIGHT(AX$1,2),""),VLOOKUP($D331,素材!$1:$1016,COLUMN($F$1),FALSE))),VLOOKUP($C331,武器!$1:$998,COLUMN($O$1),FALSE)*VLOOKUP($D331,素材!$1:$1016,COLUMN($E$1),FALSE)/(LEN(VLOOKUP($D331,素材!$1:$1016,COLUMN($F$1),FALSE)) - LEN(SUBSTITUTE(VLOOKUP($D331,素材!$1:$1016,COLUMN($F$1),FALSE), "・", 0)) + 1), 0)</f>
        <v>0</v>
      </c>
      <c r="AY331">
        <f>IF(ISNUMBER(SEARCH(SUBSTITUTE(AY$1,RIGHT(AY$1,2),""),VLOOKUP($D331,素材!$1:$1016,COLUMN($F$1),FALSE))),VLOOKUP($C331,武器!$1:$998,COLUMN($O$1),FALSE)*VLOOKUP($D331,素材!$1:$1016,COLUMN($E$1),FALSE)/(LEN(VLOOKUP($D331,素材!$1:$1016,COLUMN($F$1),FALSE)) - LEN(SUBSTITUTE(VLOOKUP($D331,素材!$1:$1016,COLUMN($F$1),FALSE), "・", 0)) + 1), 0)</f>
        <v>0</v>
      </c>
      <c r="AZ331">
        <f>IF(ISNUMBER(SEARCH(SUBSTITUTE(AZ$1,RIGHT(AZ$1,2),""),VLOOKUP($D331,素材!$1:$1016,COLUMN($F$1),FALSE))),VLOOKUP($C331,武器!$1:$998,COLUMN($O$1),FALSE)*VLOOKUP($D331,素材!$1:$1016,COLUMN($E$1),FALSE)/(LEN(VLOOKUP($D331,素材!$1:$1016,COLUMN($F$1),FALSE)) - LEN(SUBSTITUTE(VLOOKUP($D331,素材!$1:$1016,COLUMN($F$1),FALSE), "・", 0)) + 1), 0)</f>
        <v>0</v>
      </c>
      <c r="BA331">
        <f>IF(ISNUMBER(SEARCH(SUBSTITUTE(BA$1,RIGHT(BA$1,2),""),VLOOKUP($D331,素材!$1:$1016,COLUMN($F$1),FALSE))),VLOOKUP($C331,武器!$1:$998,COLUMN($O$1),FALSE)*VLOOKUP($D331,素材!$1:$1016,COLUMN($E$1),FALSE)/(LEN(VLOOKUP($D331,素材!$1:$1016,COLUMN($F$1),FALSE)) - LEN(SUBSTITUTE(VLOOKUP($D331,素材!$1:$1016,COLUMN($F$1),FALSE), "・", 0)) + 1), 0)</f>
        <v>0</v>
      </c>
      <c r="BB331">
        <f>IF(ISNUMBER(SEARCH(SUBSTITUTE(BB$1,RIGHT(BB$1,2),""),VLOOKUP($D331,素材!$1:$1016,COLUMN($F$1),FALSE))),VLOOKUP($C331,武器!$1:$998,COLUMN($O$1),FALSE)*VLOOKUP($D331,素材!$1:$1016,COLUMN($E$1),FALSE)/(LEN(VLOOKUP($D331,素材!$1:$1016,COLUMN($F$1),FALSE)) - LEN(SUBSTITUTE(VLOOKUP($D331,素材!$1:$1016,COLUMN($F$1),FALSE), "・", 0)) + 1), 0)</f>
        <v>0</v>
      </c>
      <c r="BC331">
        <f>IF(ISNUMBER(SEARCH(SUBSTITUTE(BC$1,RIGHT(BC$1,2),""),VLOOKUP($D331,素材!$1:$1016,COLUMN($F$1),FALSE))),VLOOKUP($C331,武器!$1:$998,COLUMN($O$1),FALSE)*VLOOKUP($D331,素材!$1:$1016,COLUMN($E$1),FALSE)/(LEN(VLOOKUP($D331,素材!$1:$1016,COLUMN($F$1),FALSE)) - LEN(SUBSTITUTE(VLOOKUP($D331,素材!$1:$1016,COLUMN($F$1),FALSE), "・", 0)) + 1), 0)</f>
        <v>0</v>
      </c>
      <c r="BD331">
        <f>IF(ISNUMBER(SEARCH(SUBSTITUTE(BD$1,RIGHT(BD$1,2),""),VLOOKUP($D331,素材!$1:$1016,COLUMN($F$1),FALSE))),VLOOKUP($C331,武器!$1:$998,COLUMN($O$1),FALSE)*VLOOKUP($D331,素材!$1:$1016,COLUMN($E$1),FALSE)/(LEN(VLOOKUP($D331,素材!$1:$1016,COLUMN($F$1),FALSE)) - LEN(SUBSTITUTE(VLOOKUP($D331,素材!$1:$1016,COLUMN($F$1),FALSE), "・", 0)) + 1), 0)</f>
        <v>0</v>
      </c>
      <c r="BE331">
        <f>IF(ISNUMBER(SEARCH(SUBSTITUTE(BE$1,RIGHT(BE$1,2),""),VLOOKUP($D331,素材!$1:$1016,COLUMN($F$1),FALSE))),VLOOKUP($C331,武器!$1:$998,COLUMN($O$1),FALSE)*VLOOKUP($D331,素材!$1:$1016,COLUMN($E$1),FALSE)/(LEN(VLOOKUP($D331,素材!$1:$1016,COLUMN($F$1),FALSE)) - LEN(SUBSTITUTE(VLOOKUP($D331,素材!$1:$1016,COLUMN($F$1),FALSE), "・", 0)) + 1), 0)</f>
        <v>0</v>
      </c>
      <c r="CL331">
        <f>SUM(G331:I331)</f>
        <v>0</v>
      </c>
      <c r="CM331" s="22" t="str">
        <f>IF(E331="武器",IF(J331-1&gt;SUM(G331:I331),"盾",IF(MAX(G331:I331)=G331,"切断",IF(MAX(G331:I331)=H331,"貫通",IF(MAX(G331:I331)=I331,"打撃","射撃")))),E331)&amp;".webp"</f>
        <v>.webp</v>
      </c>
      <c r="CN331" t="str">
        <f>IFERROR(VLOOKUP($C331,武器!$1:$998,COLUMN(V$1),FALSE)*VLOOKUP($D331,素材!$1:$1016,COLUMN(N$1),FALSE)+IF(CI331="",0,VLOOKUP($CI331,装強!$1:$1008,COLUMN($CK$1),FALSE)),"")</f>
        <v/>
      </c>
      <c r="CO331" t="e">
        <f>VLOOKUP(D331,素材!$A:$O,COLUMN(素材!O$1),FALSE)</f>
        <v>#N/A</v>
      </c>
      <c r="CP331" t="e">
        <f>VLOOKUP(C331,武器!$A:$W,COLUMN(武器!W$1),FALSE)</f>
        <v>#N/A</v>
      </c>
      <c r="CR331" t="str">
        <f t="shared" si="33"/>
        <v>e_331</v>
      </c>
      <c r="CS331" t="e">
        <f t="shared" si="34"/>
        <v>#VALUE!</v>
      </c>
    </row>
    <row r="332" spans="1:97" hidden="1" outlineLevel="1" x14ac:dyDescent="0.4">
      <c r="A332" t="str">
        <f>IF(CI332="",D332&amp;"の"&amp;C332,CI332&amp;"の"&amp;C332)</f>
        <v>の</v>
      </c>
      <c r="B332" t="str">
        <f>IFERROR(IF(CI332="",VLOOKUP($D332,素材!$1:$1016,COLUMN($B$1),FALSE)&amp;"・"&amp;VLOOKUP($C332,武器!$1:$998,COLUMN(B$1),FALSE),VLOOKUP($CI332,装強!$1:$1008,COLUMN($B$1),FALSE)&amp;"・"&amp;VLOOKUP($C332,武器!$1:$998,COLUMN(B$1),FALSE)),"")</f>
        <v/>
      </c>
      <c r="C332" s="24"/>
      <c r="D332" s="24"/>
      <c r="E332" t="str">
        <f>IFERROR(VLOOKUP(C332,武器!$1:$998,COLUMN(C$1),FALSE),"")</f>
        <v/>
      </c>
      <c r="F332" t="str">
        <f>IFERROR(ROUNDDOWN((VLOOKUP($C332,武器!$1:$998,COLUMN(D$1),FALSE)+IFERROR(VLOOKUP($CI332,装強!$1:$999,COLUMN(F$1),FALSE),0))*VLOOKUP($D332,素材!$1:$1016,COLUMN(D$1),FALSE),0),"")</f>
        <v/>
      </c>
      <c r="G332" t="str">
        <f>IFERROR(ROUNDDOWN((VLOOKUP($C332,武器!$1:$998,COLUMN(E$1),FALSE)+IFERROR(VLOOKUP($CI332,装強!$1:$999,COLUMN(G$1),FALSE),0))*VLOOKUP($D332,素材!$1:$1016,COLUMN($E$1),FALSE),0),"")</f>
        <v/>
      </c>
      <c r="H332" t="str">
        <f>IFERROR(ROUNDDOWN((VLOOKUP($C332,武器!$1:$998,COLUMN(F$1),FALSE)+IFERROR(VLOOKUP($CI332,装強!$1:$999,COLUMN(H$1),FALSE),0))*VLOOKUP($D332,素材!$1:$1016,COLUMN($E$1),FALSE),0),"")</f>
        <v/>
      </c>
      <c r="I332" t="str">
        <f>IFERROR(ROUNDDOWN((VLOOKUP($C332,武器!$1:$998,COLUMN(G$1),FALSE)+IFERROR(VLOOKUP($CI332,装強!$1:$999,COLUMN(I$1),FALSE),0))*VLOOKUP($D332,素材!$1:$1016,COLUMN($E$1),FALSE),0),"")</f>
        <v/>
      </c>
      <c r="J332" t="str">
        <f>IFERROR(ROUNDDOWN((VLOOKUP($C332,武器!$1:$998,COLUMN(H$1),FALSE)+IFERROR(VLOOKUP($CI332,装強!$1:$999,COLUMN(J$1),FALSE),0))*VLOOKUP($D332,素材!$1:$1016,COLUMN($E$1),FALSE),0),"")</f>
        <v/>
      </c>
      <c r="K332" t="str">
        <f>IFERROR(ROUNDDOWN((VLOOKUP($C332,武器!$1:$998,COLUMN(I$1),FALSE)+IFERROR(VLOOKUP($CI332,装強!$1:$999,COLUMN(K$1),FALSE),0))*VLOOKUP($D332,素材!$1:$1016,COLUMN($E$1),FALSE),0),"")</f>
        <v/>
      </c>
      <c r="L332" t="str">
        <f>IFERROR(VLOOKUP($D332,素材!$1:$1016,COLUMN($F$1),FALSE),"")</f>
        <v/>
      </c>
      <c r="M332" t="str">
        <f>IFERROR(VLOOKUP($C332,武器!$1:$998,COLUMN(AA$1),FALSE)*VLOOKUP($D332,素材!$1:$1016,COLUMN($G$1),FALSE),"")</f>
        <v/>
      </c>
      <c r="N332" t="str">
        <f>IFERROR(VLOOKUP($C332,武器!$1:$998,COLUMN(I$1),FALSE),"")</f>
        <v/>
      </c>
      <c r="O332" s="23" t="str">
        <f>IFERROR((VLOOKUP($C332,武器!$1:$998,COLUMN(K$1),FALSE)+VLOOKUP($D332,素材!$1:$1016,COLUMN(H$1),FALSE))*100+IFERROR(VLOOKUP($CI332,装強!$1:$999,COLUMN(O$1),FALSE),0),"")</f>
        <v/>
      </c>
      <c r="P332" s="23" t="str">
        <f>IFERROR((VLOOKUP($C332,武器!$1:$998,COLUMN(L$1),FALSE)+VLOOKUP($D332,素材!$1:$1016,COLUMN(I$1),FALSE))*100+IFERROR(VLOOKUP($CI332,装強!$1:$999,COLUMN(P$1),FALSE),0),"")</f>
        <v/>
      </c>
      <c r="Q332" t="str">
        <f>IFERROR(ROUNDUP(VLOOKUP($C332,武器!$1:$998,COLUMN(M$1),FALSE)*(VLOOKUP($D332,素材!$1:$1002,COLUMN(D$1),FALSE)/100),1),"")</f>
        <v/>
      </c>
      <c r="R332" t="str">
        <f>IFERROR(ROUNDUP(VLOOKUP($C332,武器!$1:$998,COLUMN(N$1),FALSE)*(VLOOKUP($D332,素材!$1:$1002,COLUMN(D$1),FALSE)/100),1),"")</f>
        <v/>
      </c>
      <c r="S332" t="str">
        <f>IFERROR(VLOOKUP($C332,武器!$1:$998,COLUMN(P$1),FALSE),"")</f>
        <v/>
      </c>
      <c r="T332" t="str">
        <f>IFERROR(VLOOKUP($C332,武器!$1:$998,COLUMN(Q$1),FALSE),"")</f>
        <v/>
      </c>
      <c r="U332" t="str">
        <f>IFERROR(VLOOKUP($C332,武器!$1:$998,COLUMN(R$1),FALSE),"")</f>
        <v/>
      </c>
      <c r="V332" t="str">
        <f>IFERROR(VLOOKUP($C332,武器!$1:$998,COLUMN(Q$1),FALSE),"")</f>
        <v/>
      </c>
      <c r="W332" t="str">
        <f>IFERROR(VLOOKUP($C332,武器!$1:$998,COLUMN(T$1),FALSE),"")</f>
        <v/>
      </c>
      <c r="Y332" t="str">
        <f>IFERROR(VLOOKUP($C332,武器!$1:$998,COLUMN(U$1),FALSE),"")</f>
        <v/>
      </c>
      <c r="Z332" t="str">
        <f>IFERROR(ROUNDUP(VLOOKUP($C332,武器!$1:$998,COLUMN(O$1),FALSE)*VLOOKUP($D332,素材!$1:$1016,COLUMN(E$1),FALSE),1),"")</f>
        <v/>
      </c>
      <c r="AA332">
        <f>IF(ISNUMBER(SEARCH(SUBSTITUTE(AA$1,RIGHT(AA$1,2),""),VLOOKUP($D332,素材!$1:$1016,COLUMN($F$1),FALSE))),VLOOKUP($C332,武器!$1:$998,COLUMN($O$1),FALSE)*VLOOKUP($D332,素材!$1:$1016,COLUMN($E$1),FALSE)/(LEN(VLOOKUP($D332,素材!$1:$1016,COLUMN($F$1),FALSE)) - LEN(SUBSTITUTE(VLOOKUP($D332,素材!$1:$1016,COLUMN($F$1),FALSE), "・", 0)) + 1), 0)</f>
        <v>0</v>
      </c>
      <c r="AB332">
        <f>IF(ISNUMBER(SEARCH(SUBSTITUTE(AB$1,RIGHT(AB$1,2),""),VLOOKUP($D332,素材!$1:$1016,COLUMN($F$1),FALSE))),VLOOKUP($C332,武器!$1:$998,COLUMN($O$1),FALSE)*VLOOKUP($D332,素材!$1:$1016,COLUMN($E$1),FALSE)/(LEN(VLOOKUP($D332,素材!$1:$1016,COLUMN($F$1),FALSE)) - LEN(SUBSTITUTE(VLOOKUP($D332,素材!$1:$1016,COLUMN($F$1),FALSE), "・", 0)) + 1), 0)</f>
        <v>0</v>
      </c>
      <c r="AC332">
        <f>IF(ISNUMBER(SEARCH(SUBSTITUTE(AC$1,RIGHT(AC$1,2),""),VLOOKUP($D332,素材!$1:$1016,COLUMN($F$1),FALSE))),VLOOKUP($C332,武器!$1:$998,COLUMN($O$1),FALSE)*VLOOKUP($D332,素材!$1:$1016,COLUMN($E$1),FALSE)/(LEN(VLOOKUP($D332,素材!$1:$1016,COLUMN($F$1),FALSE)) - LEN(SUBSTITUTE(VLOOKUP($D332,素材!$1:$1016,COLUMN($F$1),FALSE), "・", 0)) + 1), 0)</f>
        <v>0</v>
      </c>
      <c r="AD332">
        <f>IF(ISNUMBER(SEARCH(SUBSTITUTE(AD$1,RIGHT(AD$1,2),""),VLOOKUP($D332,素材!$1:$1016,COLUMN($F$1),FALSE))),VLOOKUP($C332,武器!$1:$998,COLUMN($O$1),FALSE)*VLOOKUP($D332,素材!$1:$1016,COLUMN($E$1),FALSE)/(LEN(VLOOKUP($D332,素材!$1:$1016,COLUMN($F$1),FALSE)) - LEN(SUBSTITUTE(VLOOKUP($D332,素材!$1:$1016,COLUMN($F$1),FALSE), "・", 0)) + 1), 0)</f>
        <v>0</v>
      </c>
      <c r="AE332">
        <f>IF(ISNUMBER(SEARCH(SUBSTITUTE(AE$1,RIGHT(AE$1,2),""),VLOOKUP($D332,素材!$1:$1016,COLUMN($F$1),FALSE))),VLOOKUP($C332,武器!$1:$998,COLUMN($O$1),FALSE)*VLOOKUP($D332,素材!$1:$1016,COLUMN($E$1),FALSE)/(LEN(VLOOKUP($D332,素材!$1:$1016,COLUMN($F$1),FALSE)) - LEN(SUBSTITUTE(VLOOKUP($D332,素材!$1:$1016,COLUMN($F$1),FALSE), "・", 0)) + 1), 0)</f>
        <v>0</v>
      </c>
      <c r="AF332">
        <f>IF(ISNUMBER(SEARCH(SUBSTITUTE(AF$1,RIGHT(AF$1,2),""),VLOOKUP($D332,素材!$1:$1016,COLUMN($F$1),FALSE))),VLOOKUP($C332,武器!$1:$998,COLUMN($O$1),FALSE)*VLOOKUP($D332,素材!$1:$1016,COLUMN($E$1),FALSE)/(LEN(VLOOKUP($D332,素材!$1:$1016,COLUMN($F$1),FALSE)) - LEN(SUBSTITUTE(VLOOKUP($D332,素材!$1:$1016,COLUMN($F$1),FALSE), "・", 0)) + 1), 0)</f>
        <v>0</v>
      </c>
      <c r="AG332">
        <f>IF(ISNUMBER(SEARCH(SUBSTITUTE(AG$1,RIGHT(AG$1,2),""),VLOOKUP($D332,素材!$1:$1016,COLUMN($F$1),FALSE))),VLOOKUP($C332,武器!$1:$998,COLUMN($O$1),FALSE)*VLOOKUP($D332,素材!$1:$1016,COLUMN($E$1),FALSE)/(LEN(VLOOKUP($D332,素材!$1:$1016,COLUMN($F$1),FALSE)) - LEN(SUBSTITUTE(VLOOKUP($D332,素材!$1:$1016,COLUMN($F$1),FALSE), "・", 0)) + 1), 0)</f>
        <v>0</v>
      </c>
      <c r="AH332">
        <f>IF(ISNUMBER(SEARCH(SUBSTITUTE(AH$1,RIGHT(AH$1,2),""),VLOOKUP($D332,素材!$1:$1016,COLUMN($F$1),FALSE))),VLOOKUP($C332,武器!$1:$998,COLUMN($O$1),FALSE)*VLOOKUP($D332,素材!$1:$1016,COLUMN($E$1),FALSE)/(LEN(VLOOKUP($D332,素材!$1:$1016,COLUMN($F$1),FALSE)) - LEN(SUBSTITUTE(VLOOKUP($D332,素材!$1:$1016,COLUMN($F$1),FALSE), "・", 0)) + 1), 0)</f>
        <v>0</v>
      </c>
      <c r="AI332">
        <f>IF(ISNUMBER(SEARCH(SUBSTITUTE(AI$1,RIGHT(AI$1,2),""),VLOOKUP($D332,素材!$1:$1016,COLUMN($F$1),FALSE))),VLOOKUP($C332,武器!$1:$998,COLUMN($O$1),FALSE)*VLOOKUP($D332,素材!$1:$1016,COLUMN($E$1),FALSE)/(LEN(VLOOKUP($D332,素材!$1:$1016,COLUMN($F$1),FALSE)) - LEN(SUBSTITUTE(VLOOKUP($D332,素材!$1:$1016,COLUMN($F$1),FALSE), "・", 0)) + 1), 0)</f>
        <v>0</v>
      </c>
      <c r="AJ332">
        <f>IF(ISNUMBER(SEARCH(SUBSTITUTE(AJ$1,RIGHT(AJ$1,2),""),VLOOKUP($D332,素材!$1:$1016,COLUMN($F$1),FALSE))),VLOOKUP($C332,武器!$1:$998,COLUMN($O$1),FALSE)*VLOOKUP($D332,素材!$1:$1016,COLUMN($E$1),FALSE)/(LEN(VLOOKUP($D332,素材!$1:$1016,COLUMN($F$1),FALSE)) - LEN(SUBSTITUTE(VLOOKUP($D332,素材!$1:$1016,COLUMN($F$1),FALSE), "・", 0)) + 1), 0)</f>
        <v>0</v>
      </c>
      <c r="AK332">
        <f>IF(ISNUMBER(SEARCH(SUBSTITUTE(AK$1,RIGHT(AK$1,2),""),VLOOKUP($D332,素材!$1:$1016,COLUMN($F$1),FALSE))),VLOOKUP($C332,武器!$1:$998,COLUMN($O$1),FALSE)*VLOOKUP($D332,素材!$1:$1016,COLUMN($E$1),FALSE)/(LEN(VLOOKUP($D332,素材!$1:$1016,COLUMN($F$1),FALSE)) - LEN(SUBSTITUTE(VLOOKUP($D332,素材!$1:$1016,COLUMN($F$1),FALSE), "・", 0)) + 1), 0)</f>
        <v>0</v>
      </c>
      <c r="AL332">
        <f>IF(ISNUMBER(SEARCH(SUBSTITUTE(AL$1,RIGHT(AL$1,2),""),VLOOKUP($D332,素材!$1:$1016,COLUMN($F$1),FALSE))),VLOOKUP($C332,武器!$1:$998,COLUMN($O$1),FALSE)*VLOOKUP($D332,素材!$1:$1016,COLUMN($E$1),FALSE)/(LEN(VLOOKUP($D332,素材!$1:$1016,COLUMN($F$1),FALSE)) - LEN(SUBSTITUTE(VLOOKUP($D332,素材!$1:$1016,COLUMN($F$1),FALSE), "・", 0)) + 1), 0)</f>
        <v>0</v>
      </c>
      <c r="AM332">
        <f>IF(ISNUMBER(SEARCH(SUBSTITUTE(AM$1,RIGHT(AM$1,2),""),VLOOKUP($D332,素材!$1:$1016,COLUMN($F$1),FALSE))),VLOOKUP($C332,武器!$1:$998,COLUMN($O$1),FALSE)*VLOOKUP($D332,素材!$1:$1016,COLUMN($E$1),FALSE)/(LEN(VLOOKUP($D332,素材!$1:$1016,COLUMN($F$1),FALSE)) - LEN(SUBSTITUTE(VLOOKUP($D332,素材!$1:$1016,COLUMN($F$1),FALSE), "・", 0)) + 1), 0)</f>
        <v>0</v>
      </c>
      <c r="AN332">
        <f>IF(ISNUMBER(SEARCH(SUBSTITUTE(AN$1,RIGHT(AN$1,2),""),VLOOKUP($D332,素材!$1:$1016,COLUMN($F$1),FALSE))),VLOOKUP($C332,武器!$1:$998,COLUMN($O$1),FALSE)*VLOOKUP($D332,素材!$1:$1016,COLUMN($E$1),FALSE)/(LEN(VLOOKUP($D332,素材!$1:$1016,COLUMN($F$1),FALSE)) - LEN(SUBSTITUTE(VLOOKUP($D332,素材!$1:$1016,COLUMN($F$1),FALSE), "・", 0)) + 1), 0)</f>
        <v>0</v>
      </c>
      <c r="AO332">
        <f>IF(ISNUMBER(SEARCH(SUBSTITUTE(AO$1,RIGHT(AO$1,2),""),VLOOKUP($D332,素材!$1:$1016,COLUMN($F$1),FALSE))),VLOOKUP($C332,武器!$1:$998,COLUMN($O$1),FALSE)*VLOOKUP($D332,素材!$1:$1016,COLUMN($E$1),FALSE)/(LEN(VLOOKUP($D332,素材!$1:$1016,COLUMN($F$1),FALSE)) - LEN(SUBSTITUTE(VLOOKUP($D332,素材!$1:$1016,COLUMN($F$1),FALSE), "・", 0)) + 1), 0)</f>
        <v>0</v>
      </c>
      <c r="AP332">
        <f>IF(ISNUMBER(SEARCH(SUBSTITUTE(AP$1,RIGHT(AP$1,2),""),VLOOKUP($D332,素材!$1:$1016,COLUMN($F$1),FALSE))),VLOOKUP($C332,武器!$1:$998,COLUMN($O$1),FALSE)*VLOOKUP($D332,素材!$1:$1016,COLUMN($E$1),FALSE)/(LEN(VLOOKUP($D332,素材!$1:$1016,COLUMN($F$1),FALSE)) - LEN(SUBSTITUTE(VLOOKUP($D332,素材!$1:$1016,COLUMN($F$1),FALSE), "・", 0)) + 1), 0)</f>
        <v>0</v>
      </c>
      <c r="AQ332">
        <f>IF(ISNUMBER(SEARCH(SUBSTITUTE(AQ$1,RIGHT(AQ$1,2),""),VLOOKUP($D332,素材!$1:$1016,COLUMN($F$1),FALSE))),VLOOKUP($C332,武器!$1:$998,COLUMN($O$1),FALSE)*VLOOKUP($D332,素材!$1:$1016,COLUMN($E$1),FALSE)/(LEN(VLOOKUP($D332,素材!$1:$1016,COLUMN($F$1),FALSE)) - LEN(SUBSTITUTE(VLOOKUP($D332,素材!$1:$1016,COLUMN($F$1),FALSE), "・", 0)) + 1), 0)</f>
        <v>0</v>
      </c>
      <c r="AR332">
        <f>IF(ISNUMBER(SEARCH(SUBSTITUTE(AR$1,RIGHT(AR$1,2),""),VLOOKUP($D332,素材!$1:$1016,COLUMN($F$1),FALSE))),VLOOKUP($C332,武器!$1:$998,COLUMN($O$1),FALSE)*VLOOKUP($D332,素材!$1:$1016,COLUMN($E$1),FALSE)/(LEN(VLOOKUP($D332,素材!$1:$1016,COLUMN($F$1),FALSE)) - LEN(SUBSTITUTE(VLOOKUP($D332,素材!$1:$1016,COLUMN($F$1),FALSE), "・", 0)) + 1), 0)</f>
        <v>0</v>
      </c>
      <c r="AS332">
        <f>IF(ISNUMBER(SEARCH(SUBSTITUTE(AS$1,RIGHT(AS$1,2),""),VLOOKUP($D332,素材!$1:$1016,COLUMN($F$1),FALSE))),VLOOKUP($C332,武器!$1:$998,COLUMN($O$1),FALSE)*VLOOKUP($D332,素材!$1:$1016,COLUMN($E$1),FALSE)/(LEN(VLOOKUP($D332,素材!$1:$1016,COLUMN($F$1),FALSE)) - LEN(SUBSTITUTE(VLOOKUP($D332,素材!$1:$1016,COLUMN($F$1),FALSE), "・", 0)) + 1), 0)</f>
        <v>0</v>
      </c>
      <c r="AT332">
        <f>IF(ISNUMBER(SEARCH(SUBSTITUTE(AT$1,RIGHT(AT$1,2),""),VLOOKUP($D332,素材!$1:$1016,COLUMN($F$1),FALSE))),VLOOKUP($C332,武器!$1:$998,COLUMN($O$1),FALSE)*VLOOKUP($D332,素材!$1:$1016,COLUMN($E$1),FALSE)/(LEN(VLOOKUP($D332,素材!$1:$1016,COLUMN($F$1),FALSE)) - LEN(SUBSTITUTE(VLOOKUP($D332,素材!$1:$1016,COLUMN($F$1),FALSE), "・", 0)) + 1), 0)</f>
        <v>0</v>
      </c>
      <c r="AU332">
        <f>IF(ISNUMBER(SEARCH(SUBSTITUTE(AU$1,RIGHT(AU$1,2),""),VLOOKUP($D332,素材!$1:$1016,COLUMN($F$1),FALSE))),VLOOKUP($C332,武器!$1:$998,COLUMN($O$1),FALSE)*VLOOKUP($D332,素材!$1:$1016,COLUMN($E$1),FALSE)/(LEN(VLOOKUP($D332,素材!$1:$1016,COLUMN($F$1),FALSE)) - LEN(SUBSTITUTE(VLOOKUP($D332,素材!$1:$1016,COLUMN($F$1),FALSE), "・", 0)) + 1), 0)</f>
        <v>0</v>
      </c>
      <c r="AV332">
        <f>IF(ISNUMBER(SEARCH(SUBSTITUTE(AV$1,RIGHT(AV$1,2),""),VLOOKUP($D332,素材!$1:$1016,COLUMN($F$1),FALSE))),VLOOKUP($C332,武器!$1:$998,COLUMN($O$1),FALSE)*VLOOKUP($D332,素材!$1:$1016,COLUMN($E$1),FALSE)/(LEN(VLOOKUP($D332,素材!$1:$1016,COLUMN($F$1),FALSE)) - LEN(SUBSTITUTE(VLOOKUP($D332,素材!$1:$1016,COLUMN($F$1),FALSE), "・", 0)) + 1), 0)</f>
        <v>0</v>
      </c>
      <c r="AW332">
        <f>IF(ISNUMBER(SEARCH(SUBSTITUTE(AW$1,RIGHT(AW$1,2),""),VLOOKUP($D332,素材!$1:$1016,COLUMN($F$1),FALSE))),VLOOKUP($C332,武器!$1:$998,COLUMN($O$1),FALSE)*VLOOKUP($D332,素材!$1:$1016,COLUMN($E$1),FALSE)/(LEN(VLOOKUP($D332,素材!$1:$1016,COLUMN($F$1),FALSE)) - LEN(SUBSTITUTE(VLOOKUP($D332,素材!$1:$1016,COLUMN($F$1),FALSE), "・", 0)) + 1), 0)</f>
        <v>0</v>
      </c>
      <c r="AX332">
        <f>IF(ISNUMBER(SEARCH(SUBSTITUTE(AX$1,RIGHT(AX$1,2),""),VLOOKUP($D332,素材!$1:$1016,COLUMN($F$1),FALSE))),VLOOKUP($C332,武器!$1:$998,COLUMN($O$1),FALSE)*VLOOKUP($D332,素材!$1:$1016,COLUMN($E$1),FALSE)/(LEN(VLOOKUP($D332,素材!$1:$1016,COLUMN($F$1),FALSE)) - LEN(SUBSTITUTE(VLOOKUP($D332,素材!$1:$1016,COLUMN($F$1),FALSE), "・", 0)) + 1), 0)</f>
        <v>0</v>
      </c>
      <c r="AY332">
        <f>IF(ISNUMBER(SEARCH(SUBSTITUTE(AY$1,RIGHT(AY$1,2),""),VLOOKUP($D332,素材!$1:$1016,COLUMN($F$1),FALSE))),VLOOKUP($C332,武器!$1:$998,COLUMN($O$1),FALSE)*VLOOKUP($D332,素材!$1:$1016,COLUMN($E$1),FALSE)/(LEN(VLOOKUP($D332,素材!$1:$1016,COLUMN($F$1),FALSE)) - LEN(SUBSTITUTE(VLOOKUP($D332,素材!$1:$1016,COLUMN($F$1),FALSE), "・", 0)) + 1), 0)</f>
        <v>0</v>
      </c>
      <c r="AZ332">
        <f>IF(ISNUMBER(SEARCH(SUBSTITUTE(AZ$1,RIGHT(AZ$1,2),""),VLOOKUP($D332,素材!$1:$1016,COLUMN($F$1),FALSE))),VLOOKUP($C332,武器!$1:$998,COLUMN($O$1),FALSE)*VLOOKUP($D332,素材!$1:$1016,COLUMN($E$1),FALSE)/(LEN(VLOOKUP($D332,素材!$1:$1016,COLUMN($F$1),FALSE)) - LEN(SUBSTITUTE(VLOOKUP($D332,素材!$1:$1016,COLUMN($F$1),FALSE), "・", 0)) + 1), 0)</f>
        <v>0</v>
      </c>
      <c r="BA332">
        <f>IF(ISNUMBER(SEARCH(SUBSTITUTE(BA$1,RIGHT(BA$1,2),""),VLOOKUP($D332,素材!$1:$1016,COLUMN($F$1),FALSE))),VLOOKUP($C332,武器!$1:$998,COLUMN($O$1),FALSE)*VLOOKUP($D332,素材!$1:$1016,COLUMN($E$1),FALSE)/(LEN(VLOOKUP($D332,素材!$1:$1016,COLUMN($F$1),FALSE)) - LEN(SUBSTITUTE(VLOOKUP($D332,素材!$1:$1016,COLUMN($F$1),FALSE), "・", 0)) + 1), 0)</f>
        <v>0</v>
      </c>
      <c r="BB332">
        <f>IF(ISNUMBER(SEARCH(SUBSTITUTE(BB$1,RIGHT(BB$1,2),""),VLOOKUP($D332,素材!$1:$1016,COLUMN($F$1),FALSE))),VLOOKUP($C332,武器!$1:$998,COLUMN($O$1),FALSE)*VLOOKUP($D332,素材!$1:$1016,COLUMN($E$1),FALSE)/(LEN(VLOOKUP($D332,素材!$1:$1016,COLUMN($F$1),FALSE)) - LEN(SUBSTITUTE(VLOOKUP($D332,素材!$1:$1016,COLUMN($F$1),FALSE), "・", 0)) + 1), 0)</f>
        <v>0</v>
      </c>
      <c r="BC332">
        <f>IF(ISNUMBER(SEARCH(SUBSTITUTE(BC$1,RIGHT(BC$1,2),""),VLOOKUP($D332,素材!$1:$1016,COLUMN($F$1),FALSE))),VLOOKUP($C332,武器!$1:$998,COLUMN($O$1),FALSE)*VLOOKUP($D332,素材!$1:$1016,COLUMN($E$1),FALSE)/(LEN(VLOOKUP($D332,素材!$1:$1016,COLUMN($F$1),FALSE)) - LEN(SUBSTITUTE(VLOOKUP($D332,素材!$1:$1016,COLUMN($F$1),FALSE), "・", 0)) + 1), 0)</f>
        <v>0</v>
      </c>
      <c r="BD332">
        <f>IF(ISNUMBER(SEARCH(SUBSTITUTE(BD$1,RIGHT(BD$1,2),""),VLOOKUP($D332,素材!$1:$1016,COLUMN($F$1),FALSE))),VLOOKUP($C332,武器!$1:$998,COLUMN($O$1),FALSE)*VLOOKUP($D332,素材!$1:$1016,COLUMN($E$1),FALSE)/(LEN(VLOOKUP($D332,素材!$1:$1016,COLUMN($F$1),FALSE)) - LEN(SUBSTITUTE(VLOOKUP($D332,素材!$1:$1016,COLUMN($F$1),FALSE), "・", 0)) + 1), 0)</f>
        <v>0</v>
      </c>
      <c r="BE332">
        <f>IF(ISNUMBER(SEARCH(SUBSTITUTE(BE$1,RIGHT(BE$1,2),""),VLOOKUP($D332,素材!$1:$1016,COLUMN($F$1),FALSE))),VLOOKUP($C332,武器!$1:$998,COLUMN($O$1),FALSE)*VLOOKUP($D332,素材!$1:$1016,COLUMN($E$1),FALSE)/(LEN(VLOOKUP($D332,素材!$1:$1016,COLUMN($F$1),FALSE)) - LEN(SUBSTITUTE(VLOOKUP($D332,素材!$1:$1016,COLUMN($F$1),FALSE), "・", 0)) + 1), 0)</f>
        <v>0</v>
      </c>
      <c r="CL332">
        <f>SUM(G332:I332)</f>
        <v>0</v>
      </c>
      <c r="CM332" s="22" t="str">
        <f>IF(E332="武器",IF(J332-1&gt;SUM(G332:I332),"盾",IF(MAX(G332:I332)=G332,"切断",IF(MAX(G332:I332)=H332,"貫通",IF(MAX(G332:I332)=I332,"打撃","射撃")))),E332)&amp;".webp"</f>
        <v>.webp</v>
      </c>
      <c r="CN332" t="str">
        <f>IFERROR(VLOOKUP($C332,武器!$1:$998,COLUMN(V$1),FALSE)*VLOOKUP($D332,素材!$1:$1016,COLUMN(N$1),FALSE)+IF(CI332="",0,VLOOKUP($CI332,装強!$1:$1008,COLUMN($CK$1),FALSE)),"")</f>
        <v/>
      </c>
      <c r="CO332" t="e">
        <f>VLOOKUP(D332,素材!$A:$O,COLUMN(素材!O$1),FALSE)</f>
        <v>#N/A</v>
      </c>
      <c r="CP332" t="e">
        <f>VLOOKUP(C332,武器!$A:$W,COLUMN(武器!W$1),FALSE)</f>
        <v>#N/A</v>
      </c>
      <c r="CR332" t="str">
        <f t="shared" si="33"/>
        <v>e_332</v>
      </c>
      <c r="CS332" t="e">
        <f t="shared" si="34"/>
        <v>#VALUE!</v>
      </c>
    </row>
    <row r="333" spans="1:97" hidden="1" outlineLevel="1" x14ac:dyDescent="0.4">
      <c r="A333" t="str">
        <f>IF(CI333="",D333&amp;"の"&amp;C333,CI333&amp;"の"&amp;C333)</f>
        <v>の</v>
      </c>
      <c r="B333" t="str">
        <f>IFERROR(IF(CI333="",VLOOKUP($D333,素材!$1:$1016,COLUMN($B$1),FALSE)&amp;"・"&amp;VLOOKUP($C333,武器!$1:$998,COLUMN(B$1),FALSE),VLOOKUP($CI333,装強!$1:$1008,COLUMN($B$1),FALSE)&amp;"・"&amp;VLOOKUP($C333,武器!$1:$998,COLUMN(B$1),FALSE)),"")</f>
        <v/>
      </c>
      <c r="C333" s="24"/>
      <c r="D333" s="24"/>
      <c r="E333" t="str">
        <f>IFERROR(VLOOKUP(C333,武器!$1:$998,COLUMN(C$1),FALSE),"")</f>
        <v/>
      </c>
      <c r="F333" t="str">
        <f>IFERROR(ROUNDDOWN((VLOOKUP($C333,武器!$1:$998,COLUMN(D$1),FALSE)+IFERROR(VLOOKUP($CI333,装強!$1:$999,COLUMN(F$1),FALSE),0))*VLOOKUP($D333,素材!$1:$1016,COLUMN(D$1),FALSE),0),"")</f>
        <v/>
      </c>
      <c r="G333" t="str">
        <f>IFERROR(ROUNDDOWN((VLOOKUP($C333,武器!$1:$998,COLUMN(E$1),FALSE)+IFERROR(VLOOKUP($CI333,装強!$1:$999,COLUMN(G$1),FALSE),0))*VLOOKUP($D333,素材!$1:$1016,COLUMN($E$1),FALSE),0),"")</f>
        <v/>
      </c>
      <c r="H333" t="str">
        <f>IFERROR(ROUNDDOWN((VLOOKUP($C333,武器!$1:$998,COLUMN(F$1),FALSE)+IFERROR(VLOOKUP($CI333,装強!$1:$999,COLUMN(H$1),FALSE),0))*VLOOKUP($D333,素材!$1:$1016,COLUMN($E$1),FALSE),0),"")</f>
        <v/>
      </c>
      <c r="I333" t="str">
        <f>IFERROR(ROUNDDOWN((VLOOKUP($C333,武器!$1:$998,COLUMN(G$1),FALSE)+IFERROR(VLOOKUP($CI333,装強!$1:$999,COLUMN(I$1),FALSE),0))*VLOOKUP($D333,素材!$1:$1016,COLUMN($E$1),FALSE),0),"")</f>
        <v/>
      </c>
      <c r="J333" t="str">
        <f>IFERROR(ROUNDDOWN((VLOOKUP($C333,武器!$1:$998,COLUMN(H$1),FALSE)+IFERROR(VLOOKUP($CI333,装強!$1:$999,COLUMN(J$1),FALSE),0))*VLOOKUP($D333,素材!$1:$1016,COLUMN($E$1),FALSE),0),"")</f>
        <v/>
      </c>
      <c r="K333" t="str">
        <f>IFERROR(ROUNDDOWN((VLOOKUP($C333,武器!$1:$998,COLUMN(I$1),FALSE)+IFERROR(VLOOKUP($CI333,装強!$1:$999,COLUMN(K$1),FALSE),0))*VLOOKUP($D333,素材!$1:$1016,COLUMN($E$1),FALSE),0),"")</f>
        <v/>
      </c>
      <c r="L333" t="str">
        <f>IFERROR(VLOOKUP($D333,素材!$1:$1016,COLUMN($F$1),FALSE),"")</f>
        <v/>
      </c>
      <c r="M333" t="str">
        <f>IFERROR(VLOOKUP($C333,武器!$1:$998,COLUMN(AA$1),FALSE)*VLOOKUP($D333,素材!$1:$1016,COLUMN($G$1),FALSE),"")</f>
        <v/>
      </c>
      <c r="N333" t="str">
        <f>IFERROR(VLOOKUP($C333,武器!$1:$998,COLUMN(I$1),FALSE),"")</f>
        <v/>
      </c>
      <c r="O333" s="23" t="str">
        <f>IFERROR((VLOOKUP($C333,武器!$1:$998,COLUMN(K$1),FALSE)+VLOOKUP($D333,素材!$1:$1016,COLUMN(H$1),FALSE))*100+IFERROR(VLOOKUP($CI333,装強!$1:$999,COLUMN(O$1),FALSE),0),"")</f>
        <v/>
      </c>
      <c r="P333" s="23" t="str">
        <f>IFERROR((VLOOKUP($C333,武器!$1:$998,COLUMN(L$1),FALSE)+VLOOKUP($D333,素材!$1:$1016,COLUMN(I$1),FALSE))*100+IFERROR(VLOOKUP($CI333,装強!$1:$999,COLUMN(P$1),FALSE),0),"")</f>
        <v/>
      </c>
      <c r="Q333" t="str">
        <f>IFERROR(ROUNDUP(VLOOKUP($C333,武器!$1:$998,COLUMN(M$1),FALSE)*(VLOOKUP($D333,素材!$1:$1002,COLUMN(D$1),FALSE)/100),1),"")</f>
        <v/>
      </c>
      <c r="R333" t="str">
        <f>IFERROR(ROUNDUP(VLOOKUP($C333,武器!$1:$998,COLUMN(N$1),FALSE)*(VLOOKUP($D333,素材!$1:$1002,COLUMN(D$1),FALSE)/100),1),"")</f>
        <v/>
      </c>
      <c r="S333" t="str">
        <f>IFERROR(VLOOKUP($C333,武器!$1:$998,COLUMN(P$1),FALSE),"")</f>
        <v/>
      </c>
      <c r="T333" t="str">
        <f>IFERROR(VLOOKUP($C333,武器!$1:$998,COLUMN(Q$1),FALSE),"")</f>
        <v/>
      </c>
      <c r="U333" t="str">
        <f>IFERROR(VLOOKUP($C333,武器!$1:$998,COLUMN(R$1),FALSE),"")</f>
        <v/>
      </c>
      <c r="V333" t="str">
        <f>IFERROR(VLOOKUP($C333,武器!$1:$998,COLUMN(Q$1),FALSE),"")</f>
        <v/>
      </c>
      <c r="W333" t="str">
        <f>IFERROR(VLOOKUP($C333,武器!$1:$998,COLUMN(T$1),FALSE),"")</f>
        <v/>
      </c>
      <c r="Y333" t="str">
        <f>IFERROR(VLOOKUP($C333,武器!$1:$998,COLUMN(U$1),FALSE),"")</f>
        <v/>
      </c>
      <c r="Z333" t="str">
        <f>IFERROR(ROUNDUP(VLOOKUP($C333,武器!$1:$998,COLUMN(O$1),FALSE)*VLOOKUP($D333,素材!$1:$1016,COLUMN(E$1),FALSE),1),"")</f>
        <v/>
      </c>
      <c r="AA333">
        <f>IF(ISNUMBER(SEARCH(SUBSTITUTE(AA$1,RIGHT(AA$1,2),""),VLOOKUP($D333,素材!$1:$1016,COLUMN($F$1),FALSE))),VLOOKUP($C333,武器!$1:$998,COLUMN($O$1),FALSE)*VLOOKUP($D333,素材!$1:$1016,COLUMN($E$1),FALSE)/(LEN(VLOOKUP($D333,素材!$1:$1016,COLUMN($F$1),FALSE)) - LEN(SUBSTITUTE(VLOOKUP($D333,素材!$1:$1016,COLUMN($F$1),FALSE), "・", 0)) + 1), 0)</f>
        <v>0</v>
      </c>
      <c r="AB333">
        <f>IF(ISNUMBER(SEARCH(SUBSTITUTE(AB$1,RIGHT(AB$1,2),""),VLOOKUP($D333,素材!$1:$1016,COLUMN($F$1),FALSE))),VLOOKUP($C333,武器!$1:$998,COLUMN($O$1),FALSE)*VLOOKUP($D333,素材!$1:$1016,COLUMN($E$1),FALSE)/(LEN(VLOOKUP($D333,素材!$1:$1016,COLUMN($F$1),FALSE)) - LEN(SUBSTITUTE(VLOOKUP($D333,素材!$1:$1016,COLUMN($F$1),FALSE), "・", 0)) + 1), 0)</f>
        <v>0</v>
      </c>
      <c r="AC333">
        <f>IF(ISNUMBER(SEARCH(SUBSTITUTE(AC$1,RIGHT(AC$1,2),""),VLOOKUP($D333,素材!$1:$1016,COLUMN($F$1),FALSE))),VLOOKUP($C333,武器!$1:$998,COLUMN($O$1),FALSE)*VLOOKUP($D333,素材!$1:$1016,COLUMN($E$1),FALSE)/(LEN(VLOOKUP($D333,素材!$1:$1016,COLUMN($F$1),FALSE)) - LEN(SUBSTITUTE(VLOOKUP($D333,素材!$1:$1016,COLUMN($F$1),FALSE), "・", 0)) + 1), 0)</f>
        <v>0</v>
      </c>
      <c r="AD333">
        <f>IF(ISNUMBER(SEARCH(SUBSTITUTE(AD$1,RIGHT(AD$1,2),""),VLOOKUP($D333,素材!$1:$1016,COLUMN($F$1),FALSE))),VLOOKUP($C333,武器!$1:$998,COLUMN($O$1),FALSE)*VLOOKUP($D333,素材!$1:$1016,COLUMN($E$1),FALSE)/(LEN(VLOOKUP($D333,素材!$1:$1016,COLUMN($F$1),FALSE)) - LEN(SUBSTITUTE(VLOOKUP($D333,素材!$1:$1016,COLUMN($F$1),FALSE), "・", 0)) + 1), 0)</f>
        <v>0</v>
      </c>
      <c r="AE333">
        <f>IF(ISNUMBER(SEARCH(SUBSTITUTE(AE$1,RIGHT(AE$1,2),""),VLOOKUP($D333,素材!$1:$1016,COLUMN($F$1),FALSE))),VLOOKUP($C333,武器!$1:$998,COLUMN($O$1),FALSE)*VLOOKUP($D333,素材!$1:$1016,COLUMN($E$1),FALSE)/(LEN(VLOOKUP($D333,素材!$1:$1016,COLUMN($F$1),FALSE)) - LEN(SUBSTITUTE(VLOOKUP($D333,素材!$1:$1016,COLUMN($F$1),FALSE), "・", 0)) + 1), 0)</f>
        <v>0</v>
      </c>
      <c r="AF333">
        <f>IF(ISNUMBER(SEARCH(SUBSTITUTE(AF$1,RIGHT(AF$1,2),""),VLOOKUP($D333,素材!$1:$1016,COLUMN($F$1),FALSE))),VLOOKUP($C333,武器!$1:$998,COLUMN($O$1),FALSE)*VLOOKUP($D333,素材!$1:$1016,COLUMN($E$1),FALSE)/(LEN(VLOOKUP($D333,素材!$1:$1016,COLUMN($F$1),FALSE)) - LEN(SUBSTITUTE(VLOOKUP($D333,素材!$1:$1016,COLUMN($F$1),FALSE), "・", 0)) + 1), 0)</f>
        <v>0</v>
      </c>
      <c r="AG333">
        <f>IF(ISNUMBER(SEARCH(SUBSTITUTE(AG$1,RIGHT(AG$1,2),""),VLOOKUP($D333,素材!$1:$1016,COLUMN($F$1),FALSE))),VLOOKUP($C333,武器!$1:$998,COLUMN($O$1),FALSE)*VLOOKUP($D333,素材!$1:$1016,COLUMN($E$1),FALSE)/(LEN(VLOOKUP($D333,素材!$1:$1016,COLUMN($F$1),FALSE)) - LEN(SUBSTITUTE(VLOOKUP($D333,素材!$1:$1016,COLUMN($F$1),FALSE), "・", 0)) + 1), 0)</f>
        <v>0</v>
      </c>
      <c r="AH333">
        <f>IF(ISNUMBER(SEARCH(SUBSTITUTE(AH$1,RIGHT(AH$1,2),""),VLOOKUP($D333,素材!$1:$1016,COLUMN($F$1),FALSE))),VLOOKUP($C333,武器!$1:$998,COLUMN($O$1),FALSE)*VLOOKUP($D333,素材!$1:$1016,COLUMN($E$1),FALSE)/(LEN(VLOOKUP($D333,素材!$1:$1016,COLUMN($F$1),FALSE)) - LEN(SUBSTITUTE(VLOOKUP($D333,素材!$1:$1016,COLUMN($F$1),FALSE), "・", 0)) + 1), 0)</f>
        <v>0</v>
      </c>
      <c r="AI333">
        <f>IF(ISNUMBER(SEARCH(SUBSTITUTE(AI$1,RIGHT(AI$1,2),""),VLOOKUP($D333,素材!$1:$1016,COLUMN($F$1),FALSE))),VLOOKUP($C333,武器!$1:$998,COLUMN($O$1),FALSE)*VLOOKUP($D333,素材!$1:$1016,COLUMN($E$1),FALSE)/(LEN(VLOOKUP($D333,素材!$1:$1016,COLUMN($F$1),FALSE)) - LEN(SUBSTITUTE(VLOOKUP($D333,素材!$1:$1016,COLUMN($F$1),FALSE), "・", 0)) + 1), 0)</f>
        <v>0</v>
      </c>
      <c r="AJ333">
        <f>IF(ISNUMBER(SEARCH(SUBSTITUTE(AJ$1,RIGHT(AJ$1,2),""),VLOOKUP($D333,素材!$1:$1016,COLUMN($F$1),FALSE))),VLOOKUP($C333,武器!$1:$998,COLUMN($O$1),FALSE)*VLOOKUP($D333,素材!$1:$1016,COLUMN($E$1),FALSE)/(LEN(VLOOKUP($D333,素材!$1:$1016,COLUMN($F$1),FALSE)) - LEN(SUBSTITUTE(VLOOKUP($D333,素材!$1:$1016,COLUMN($F$1),FALSE), "・", 0)) + 1), 0)</f>
        <v>0</v>
      </c>
      <c r="AK333">
        <f>IF(ISNUMBER(SEARCH(SUBSTITUTE(AK$1,RIGHT(AK$1,2),""),VLOOKUP($D333,素材!$1:$1016,COLUMN($F$1),FALSE))),VLOOKUP($C333,武器!$1:$998,COLUMN($O$1),FALSE)*VLOOKUP($D333,素材!$1:$1016,COLUMN($E$1),FALSE)/(LEN(VLOOKUP($D333,素材!$1:$1016,COLUMN($F$1),FALSE)) - LEN(SUBSTITUTE(VLOOKUP($D333,素材!$1:$1016,COLUMN($F$1),FALSE), "・", 0)) + 1), 0)</f>
        <v>0</v>
      </c>
      <c r="AL333">
        <f>IF(ISNUMBER(SEARCH(SUBSTITUTE(AL$1,RIGHT(AL$1,2),""),VLOOKUP($D333,素材!$1:$1016,COLUMN($F$1),FALSE))),VLOOKUP($C333,武器!$1:$998,COLUMN($O$1),FALSE)*VLOOKUP($D333,素材!$1:$1016,COLUMN($E$1),FALSE)/(LEN(VLOOKUP($D333,素材!$1:$1016,COLUMN($F$1),FALSE)) - LEN(SUBSTITUTE(VLOOKUP($D333,素材!$1:$1016,COLUMN($F$1),FALSE), "・", 0)) + 1), 0)</f>
        <v>0</v>
      </c>
      <c r="AM333">
        <f>IF(ISNUMBER(SEARCH(SUBSTITUTE(AM$1,RIGHT(AM$1,2),""),VLOOKUP($D333,素材!$1:$1016,COLUMN($F$1),FALSE))),VLOOKUP($C333,武器!$1:$998,COLUMN($O$1),FALSE)*VLOOKUP($D333,素材!$1:$1016,COLUMN($E$1),FALSE)/(LEN(VLOOKUP($D333,素材!$1:$1016,COLUMN($F$1),FALSE)) - LEN(SUBSTITUTE(VLOOKUP($D333,素材!$1:$1016,COLUMN($F$1),FALSE), "・", 0)) + 1), 0)</f>
        <v>0</v>
      </c>
      <c r="AN333">
        <f>IF(ISNUMBER(SEARCH(SUBSTITUTE(AN$1,RIGHT(AN$1,2),""),VLOOKUP($D333,素材!$1:$1016,COLUMN($F$1),FALSE))),VLOOKUP($C333,武器!$1:$998,COLUMN($O$1),FALSE)*VLOOKUP($D333,素材!$1:$1016,COLUMN($E$1),FALSE)/(LEN(VLOOKUP($D333,素材!$1:$1016,COLUMN($F$1),FALSE)) - LEN(SUBSTITUTE(VLOOKUP($D333,素材!$1:$1016,COLUMN($F$1),FALSE), "・", 0)) + 1), 0)</f>
        <v>0</v>
      </c>
      <c r="AO333">
        <f>IF(ISNUMBER(SEARCH(SUBSTITUTE(AO$1,RIGHT(AO$1,2),""),VLOOKUP($D333,素材!$1:$1016,COLUMN($F$1),FALSE))),VLOOKUP($C333,武器!$1:$998,COLUMN($O$1),FALSE)*VLOOKUP($D333,素材!$1:$1016,COLUMN($E$1),FALSE)/(LEN(VLOOKUP($D333,素材!$1:$1016,COLUMN($F$1),FALSE)) - LEN(SUBSTITUTE(VLOOKUP($D333,素材!$1:$1016,COLUMN($F$1),FALSE), "・", 0)) + 1), 0)</f>
        <v>0</v>
      </c>
      <c r="AP333">
        <f>IF(ISNUMBER(SEARCH(SUBSTITUTE(AP$1,RIGHT(AP$1,2),""),VLOOKUP($D333,素材!$1:$1016,COLUMN($F$1),FALSE))),VLOOKUP($C333,武器!$1:$998,COLUMN($O$1),FALSE)*VLOOKUP($D333,素材!$1:$1016,COLUMN($E$1),FALSE)/(LEN(VLOOKUP($D333,素材!$1:$1016,COLUMN($F$1),FALSE)) - LEN(SUBSTITUTE(VLOOKUP($D333,素材!$1:$1016,COLUMN($F$1),FALSE), "・", 0)) + 1), 0)</f>
        <v>0</v>
      </c>
      <c r="AQ333">
        <f>IF(ISNUMBER(SEARCH(SUBSTITUTE(AQ$1,RIGHT(AQ$1,2),""),VLOOKUP($D333,素材!$1:$1016,COLUMN($F$1),FALSE))),VLOOKUP($C333,武器!$1:$998,COLUMN($O$1),FALSE)*VLOOKUP($D333,素材!$1:$1016,COLUMN($E$1),FALSE)/(LEN(VLOOKUP($D333,素材!$1:$1016,COLUMN($F$1),FALSE)) - LEN(SUBSTITUTE(VLOOKUP($D333,素材!$1:$1016,COLUMN($F$1),FALSE), "・", 0)) + 1), 0)</f>
        <v>0</v>
      </c>
      <c r="AR333">
        <f>IF(ISNUMBER(SEARCH(SUBSTITUTE(AR$1,RIGHT(AR$1,2),""),VLOOKUP($D333,素材!$1:$1016,COLUMN($F$1),FALSE))),VLOOKUP($C333,武器!$1:$998,COLUMN($O$1),FALSE)*VLOOKUP($D333,素材!$1:$1016,COLUMN($E$1),FALSE)/(LEN(VLOOKUP($D333,素材!$1:$1016,COLUMN($F$1),FALSE)) - LEN(SUBSTITUTE(VLOOKUP($D333,素材!$1:$1016,COLUMN($F$1),FALSE), "・", 0)) + 1), 0)</f>
        <v>0</v>
      </c>
      <c r="AS333">
        <f>IF(ISNUMBER(SEARCH(SUBSTITUTE(AS$1,RIGHT(AS$1,2),""),VLOOKUP($D333,素材!$1:$1016,COLUMN($F$1),FALSE))),VLOOKUP($C333,武器!$1:$998,COLUMN($O$1),FALSE)*VLOOKUP($D333,素材!$1:$1016,COLUMN($E$1),FALSE)/(LEN(VLOOKUP($D333,素材!$1:$1016,COLUMN($F$1),FALSE)) - LEN(SUBSTITUTE(VLOOKUP($D333,素材!$1:$1016,COLUMN($F$1),FALSE), "・", 0)) + 1), 0)</f>
        <v>0</v>
      </c>
      <c r="AT333">
        <f>IF(ISNUMBER(SEARCH(SUBSTITUTE(AT$1,RIGHT(AT$1,2),""),VLOOKUP($D333,素材!$1:$1016,COLUMN($F$1),FALSE))),VLOOKUP($C333,武器!$1:$998,COLUMN($O$1),FALSE)*VLOOKUP($D333,素材!$1:$1016,COLUMN($E$1),FALSE)/(LEN(VLOOKUP($D333,素材!$1:$1016,COLUMN($F$1),FALSE)) - LEN(SUBSTITUTE(VLOOKUP($D333,素材!$1:$1016,COLUMN($F$1),FALSE), "・", 0)) + 1), 0)</f>
        <v>0</v>
      </c>
      <c r="AU333">
        <f>IF(ISNUMBER(SEARCH(SUBSTITUTE(AU$1,RIGHT(AU$1,2),""),VLOOKUP($D333,素材!$1:$1016,COLUMN($F$1),FALSE))),VLOOKUP($C333,武器!$1:$998,COLUMN($O$1),FALSE)*VLOOKUP($D333,素材!$1:$1016,COLUMN($E$1),FALSE)/(LEN(VLOOKUP($D333,素材!$1:$1016,COLUMN($F$1),FALSE)) - LEN(SUBSTITUTE(VLOOKUP($D333,素材!$1:$1016,COLUMN($F$1),FALSE), "・", 0)) + 1), 0)</f>
        <v>0</v>
      </c>
      <c r="AV333">
        <f>IF(ISNUMBER(SEARCH(SUBSTITUTE(AV$1,RIGHT(AV$1,2),""),VLOOKUP($D333,素材!$1:$1016,COLUMN($F$1),FALSE))),VLOOKUP($C333,武器!$1:$998,COLUMN($O$1),FALSE)*VLOOKUP($D333,素材!$1:$1016,COLUMN($E$1),FALSE)/(LEN(VLOOKUP($D333,素材!$1:$1016,COLUMN($F$1),FALSE)) - LEN(SUBSTITUTE(VLOOKUP($D333,素材!$1:$1016,COLUMN($F$1),FALSE), "・", 0)) + 1), 0)</f>
        <v>0</v>
      </c>
      <c r="AW333">
        <f>IF(ISNUMBER(SEARCH(SUBSTITUTE(AW$1,RIGHT(AW$1,2),""),VLOOKUP($D333,素材!$1:$1016,COLUMN($F$1),FALSE))),VLOOKUP($C333,武器!$1:$998,COLUMN($O$1),FALSE)*VLOOKUP($D333,素材!$1:$1016,COLUMN($E$1),FALSE)/(LEN(VLOOKUP($D333,素材!$1:$1016,COLUMN($F$1),FALSE)) - LEN(SUBSTITUTE(VLOOKUP($D333,素材!$1:$1016,COLUMN($F$1),FALSE), "・", 0)) + 1), 0)</f>
        <v>0</v>
      </c>
      <c r="AX333">
        <f>IF(ISNUMBER(SEARCH(SUBSTITUTE(AX$1,RIGHT(AX$1,2),""),VLOOKUP($D333,素材!$1:$1016,COLUMN($F$1),FALSE))),VLOOKUP($C333,武器!$1:$998,COLUMN($O$1),FALSE)*VLOOKUP($D333,素材!$1:$1016,COLUMN($E$1),FALSE)/(LEN(VLOOKUP($D333,素材!$1:$1016,COLUMN($F$1),FALSE)) - LEN(SUBSTITUTE(VLOOKUP($D333,素材!$1:$1016,COLUMN($F$1),FALSE), "・", 0)) + 1), 0)</f>
        <v>0</v>
      </c>
      <c r="AY333">
        <f>IF(ISNUMBER(SEARCH(SUBSTITUTE(AY$1,RIGHT(AY$1,2),""),VLOOKUP($D333,素材!$1:$1016,COLUMN($F$1),FALSE))),VLOOKUP($C333,武器!$1:$998,COLUMN($O$1),FALSE)*VLOOKUP($D333,素材!$1:$1016,COLUMN($E$1),FALSE)/(LEN(VLOOKUP($D333,素材!$1:$1016,COLUMN($F$1),FALSE)) - LEN(SUBSTITUTE(VLOOKUP($D333,素材!$1:$1016,COLUMN($F$1),FALSE), "・", 0)) + 1), 0)</f>
        <v>0</v>
      </c>
      <c r="AZ333">
        <f>IF(ISNUMBER(SEARCH(SUBSTITUTE(AZ$1,RIGHT(AZ$1,2),""),VLOOKUP($D333,素材!$1:$1016,COLUMN($F$1),FALSE))),VLOOKUP($C333,武器!$1:$998,COLUMN($O$1),FALSE)*VLOOKUP($D333,素材!$1:$1016,COLUMN($E$1),FALSE)/(LEN(VLOOKUP($D333,素材!$1:$1016,COLUMN($F$1),FALSE)) - LEN(SUBSTITUTE(VLOOKUP($D333,素材!$1:$1016,COLUMN($F$1),FALSE), "・", 0)) + 1), 0)</f>
        <v>0</v>
      </c>
      <c r="BA333">
        <f>IF(ISNUMBER(SEARCH(SUBSTITUTE(BA$1,RIGHT(BA$1,2),""),VLOOKUP($D333,素材!$1:$1016,COLUMN($F$1),FALSE))),VLOOKUP($C333,武器!$1:$998,COLUMN($O$1),FALSE)*VLOOKUP($D333,素材!$1:$1016,COLUMN($E$1),FALSE)/(LEN(VLOOKUP($D333,素材!$1:$1016,COLUMN($F$1),FALSE)) - LEN(SUBSTITUTE(VLOOKUP($D333,素材!$1:$1016,COLUMN($F$1),FALSE), "・", 0)) + 1), 0)</f>
        <v>0</v>
      </c>
      <c r="BB333">
        <f>IF(ISNUMBER(SEARCH(SUBSTITUTE(BB$1,RIGHT(BB$1,2),""),VLOOKUP($D333,素材!$1:$1016,COLUMN($F$1),FALSE))),VLOOKUP($C333,武器!$1:$998,COLUMN($O$1),FALSE)*VLOOKUP($D333,素材!$1:$1016,COLUMN($E$1),FALSE)/(LEN(VLOOKUP($D333,素材!$1:$1016,COLUMN($F$1),FALSE)) - LEN(SUBSTITUTE(VLOOKUP($D333,素材!$1:$1016,COLUMN($F$1),FALSE), "・", 0)) + 1), 0)</f>
        <v>0</v>
      </c>
      <c r="BC333">
        <f>IF(ISNUMBER(SEARCH(SUBSTITUTE(BC$1,RIGHT(BC$1,2),""),VLOOKUP($D333,素材!$1:$1016,COLUMN($F$1),FALSE))),VLOOKUP($C333,武器!$1:$998,COLUMN($O$1),FALSE)*VLOOKUP($D333,素材!$1:$1016,COLUMN($E$1),FALSE)/(LEN(VLOOKUP($D333,素材!$1:$1016,COLUMN($F$1),FALSE)) - LEN(SUBSTITUTE(VLOOKUP($D333,素材!$1:$1016,COLUMN($F$1),FALSE), "・", 0)) + 1), 0)</f>
        <v>0</v>
      </c>
      <c r="BD333">
        <f>IF(ISNUMBER(SEARCH(SUBSTITUTE(BD$1,RIGHT(BD$1,2),""),VLOOKUP($D333,素材!$1:$1016,COLUMN($F$1),FALSE))),VLOOKUP($C333,武器!$1:$998,COLUMN($O$1),FALSE)*VLOOKUP($D333,素材!$1:$1016,COLUMN($E$1),FALSE)/(LEN(VLOOKUP($D333,素材!$1:$1016,COLUMN($F$1),FALSE)) - LEN(SUBSTITUTE(VLOOKUP($D333,素材!$1:$1016,COLUMN($F$1),FALSE), "・", 0)) + 1), 0)</f>
        <v>0</v>
      </c>
      <c r="BE333">
        <f>IF(ISNUMBER(SEARCH(SUBSTITUTE(BE$1,RIGHT(BE$1,2),""),VLOOKUP($D333,素材!$1:$1016,COLUMN($F$1),FALSE))),VLOOKUP($C333,武器!$1:$998,COLUMN($O$1),FALSE)*VLOOKUP($D333,素材!$1:$1016,COLUMN($E$1),FALSE)/(LEN(VLOOKUP($D333,素材!$1:$1016,COLUMN($F$1),FALSE)) - LEN(SUBSTITUTE(VLOOKUP($D333,素材!$1:$1016,COLUMN($F$1),FALSE), "・", 0)) + 1), 0)</f>
        <v>0</v>
      </c>
      <c r="CL333">
        <f>SUM(G333:I333)</f>
        <v>0</v>
      </c>
      <c r="CM333" s="22" t="str">
        <f>IF(E333="武器",IF(J333-1&gt;SUM(G333:I333),"盾",IF(MAX(G333:I333)=G333,"切断",IF(MAX(G333:I333)=H333,"貫通",IF(MAX(G333:I333)=I333,"打撃","射撃")))),E333)&amp;".webp"</f>
        <v>.webp</v>
      </c>
      <c r="CN333" t="str">
        <f>IFERROR(VLOOKUP($C333,武器!$1:$998,COLUMN(V$1),FALSE)*VLOOKUP($D333,素材!$1:$1016,COLUMN(N$1),FALSE)+IF(CI333="",0,VLOOKUP($CI333,装強!$1:$1008,COLUMN($CK$1),FALSE)),"")</f>
        <v/>
      </c>
      <c r="CO333" t="e">
        <f>VLOOKUP(D333,素材!$A:$O,COLUMN(素材!O$1),FALSE)</f>
        <v>#N/A</v>
      </c>
      <c r="CP333" t="e">
        <f>VLOOKUP(C333,武器!$A:$W,COLUMN(武器!W$1),FALSE)</f>
        <v>#N/A</v>
      </c>
      <c r="CR333" t="str">
        <f t="shared" si="33"/>
        <v>e_333</v>
      </c>
      <c r="CS333" t="e">
        <f t="shared" si="34"/>
        <v>#VALUE!</v>
      </c>
    </row>
    <row r="334" spans="1:97" hidden="1" outlineLevel="1" x14ac:dyDescent="0.4">
      <c r="A334" t="str">
        <f>IF(CI334="",D334&amp;"の"&amp;C334,CI334&amp;"の"&amp;C334)</f>
        <v>の</v>
      </c>
      <c r="B334" t="str">
        <f>IFERROR(IF(CI334="",VLOOKUP($D334,素材!$1:$1016,COLUMN($B$1),FALSE)&amp;"・"&amp;VLOOKUP($C334,武器!$1:$998,COLUMN(B$1),FALSE),VLOOKUP($CI334,装強!$1:$1008,COLUMN($B$1),FALSE)&amp;"・"&amp;VLOOKUP($C334,武器!$1:$998,COLUMN(B$1),FALSE)),"")</f>
        <v/>
      </c>
      <c r="C334" s="24"/>
      <c r="D334" s="24"/>
      <c r="E334" t="str">
        <f>IFERROR(VLOOKUP(C334,武器!$1:$998,COLUMN(C$1),FALSE),"")</f>
        <v/>
      </c>
      <c r="F334" t="str">
        <f>IFERROR(ROUNDDOWN((VLOOKUP($C334,武器!$1:$998,COLUMN(D$1),FALSE)+IFERROR(VLOOKUP($CI334,装強!$1:$999,COLUMN(F$1),FALSE),0))*VLOOKUP($D334,素材!$1:$1016,COLUMN(D$1),FALSE),0),"")</f>
        <v/>
      </c>
      <c r="G334" t="str">
        <f>IFERROR(ROUNDDOWN((VLOOKUP($C334,武器!$1:$998,COLUMN(E$1),FALSE)+IFERROR(VLOOKUP($CI334,装強!$1:$999,COLUMN(G$1),FALSE),0))*VLOOKUP($D334,素材!$1:$1016,COLUMN($E$1),FALSE),0),"")</f>
        <v/>
      </c>
      <c r="H334" t="str">
        <f>IFERROR(ROUNDDOWN((VLOOKUP($C334,武器!$1:$998,COLUMN(F$1),FALSE)+IFERROR(VLOOKUP($CI334,装強!$1:$999,COLUMN(H$1),FALSE),0))*VLOOKUP($D334,素材!$1:$1016,COLUMN($E$1),FALSE),0),"")</f>
        <v/>
      </c>
      <c r="I334" t="str">
        <f>IFERROR(ROUNDDOWN((VLOOKUP($C334,武器!$1:$998,COLUMN(G$1),FALSE)+IFERROR(VLOOKUP($CI334,装強!$1:$999,COLUMN(I$1),FALSE),0))*VLOOKUP($D334,素材!$1:$1016,COLUMN($E$1),FALSE),0),"")</f>
        <v/>
      </c>
      <c r="J334" t="str">
        <f>IFERROR(ROUNDDOWN((VLOOKUP($C334,武器!$1:$998,COLUMN(H$1),FALSE)+IFERROR(VLOOKUP($CI334,装強!$1:$999,COLUMN(J$1),FALSE),0))*VLOOKUP($D334,素材!$1:$1016,COLUMN($E$1),FALSE),0),"")</f>
        <v/>
      </c>
      <c r="K334" t="str">
        <f>IFERROR(ROUNDDOWN((VLOOKUP($C334,武器!$1:$998,COLUMN(I$1),FALSE)+IFERROR(VLOOKUP($CI334,装強!$1:$999,COLUMN(K$1),FALSE),0))*VLOOKUP($D334,素材!$1:$1016,COLUMN($E$1),FALSE),0),"")</f>
        <v/>
      </c>
      <c r="L334" t="str">
        <f>IFERROR(VLOOKUP($D334,素材!$1:$1016,COLUMN($F$1),FALSE),"")</f>
        <v/>
      </c>
      <c r="M334" t="str">
        <f>IFERROR(VLOOKUP($C334,武器!$1:$998,COLUMN(AA$1),FALSE)*VLOOKUP($D334,素材!$1:$1016,COLUMN($G$1),FALSE),"")</f>
        <v/>
      </c>
      <c r="N334" t="str">
        <f>IFERROR(VLOOKUP($C334,武器!$1:$998,COLUMN(I$1),FALSE),"")</f>
        <v/>
      </c>
      <c r="O334" s="23" t="str">
        <f>IFERROR((VLOOKUP($C334,武器!$1:$998,COLUMN(K$1),FALSE)+VLOOKUP($D334,素材!$1:$1016,COLUMN(H$1),FALSE))*100+IFERROR(VLOOKUP($CI334,装強!$1:$999,COLUMN(O$1),FALSE),0),"")</f>
        <v/>
      </c>
      <c r="P334" s="23" t="str">
        <f>IFERROR((VLOOKUP($C334,武器!$1:$998,COLUMN(L$1),FALSE)+VLOOKUP($D334,素材!$1:$1016,COLUMN(I$1),FALSE))*100+IFERROR(VLOOKUP($CI334,装強!$1:$999,COLUMN(P$1),FALSE),0),"")</f>
        <v/>
      </c>
      <c r="Q334" t="str">
        <f>IFERROR(ROUNDUP(VLOOKUP($C334,武器!$1:$998,COLUMN(M$1),FALSE)*(VLOOKUP($D334,素材!$1:$1002,COLUMN(D$1),FALSE)/100),1),"")</f>
        <v/>
      </c>
      <c r="R334" t="str">
        <f>IFERROR(ROUNDUP(VLOOKUP($C334,武器!$1:$998,COLUMN(N$1),FALSE)*(VLOOKUP($D334,素材!$1:$1002,COLUMN(D$1),FALSE)/100),1),"")</f>
        <v/>
      </c>
      <c r="S334" t="str">
        <f>IFERROR(VLOOKUP($C334,武器!$1:$998,COLUMN(P$1),FALSE),"")</f>
        <v/>
      </c>
      <c r="T334" t="str">
        <f>IFERROR(VLOOKUP($C334,武器!$1:$998,COLUMN(Q$1),FALSE),"")</f>
        <v/>
      </c>
      <c r="U334" t="str">
        <f>IFERROR(VLOOKUP($C334,武器!$1:$998,COLUMN(R$1),FALSE),"")</f>
        <v/>
      </c>
      <c r="V334" t="str">
        <f>IFERROR(VLOOKUP($C334,武器!$1:$998,COLUMN(Q$1),FALSE),"")</f>
        <v/>
      </c>
      <c r="W334" t="str">
        <f>IFERROR(VLOOKUP($C334,武器!$1:$998,COLUMN(T$1),FALSE),"")</f>
        <v/>
      </c>
      <c r="Y334" t="str">
        <f>IFERROR(VLOOKUP($C334,武器!$1:$998,COLUMN(U$1),FALSE),"")</f>
        <v/>
      </c>
      <c r="Z334" t="str">
        <f>IFERROR(ROUNDUP(VLOOKUP($C334,武器!$1:$998,COLUMN(O$1),FALSE)*VLOOKUP($D334,素材!$1:$1016,COLUMN(E$1),FALSE),1),"")</f>
        <v/>
      </c>
      <c r="AA334">
        <f>IF(ISNUMBER(SEARCH(SUBSTITUTE(AA$1,RIGHT(AA$1,2),""),VLOOKUP($D334,素材!$1:$1016,COLUMN($F$1),FALSE))),VLOOKUP($C334,武器!$1:$998,COLUMN($O$1),FALSE)*VLOOKUP($D334,素材!$1:$1016,COLUMN($E$1),FALSE)/(LEN(VLOOKUP($D334,素材!$1:$1016,COLUMN($F$1),FALSE)) - LEN(SUBSTITUTE(VLOOKUP($D334,素材!$1:$1016,COLUMN($F$1),FALSE), "・", 0)) + 1), 0)</f>
        <v>0</v>
      </c>
      <c r="AB334">
        <f>IF(ISNUMBER(SEARCH(SUBSTITUTE(AB$1,RIGHT(AB$1,2),""),VLOOKUP($D334,素材!$1:$1016,COLUMN($F$1),FALSE))),VLOOKUP($C334,武器!$1:$998,COLUMN($O$1),FALSE)*VLOOKUP($D334,素材!$1:$1016,COLUMN($E$1),FALSE)/(LEN(VLOOKUP($D334,素材!$1:$1016,COLUMN($F$1),FALSE)) - LEN(SUBSTITUTE(VLOOKUP($D334,素材!$1:$1016,COLUMN($F$1),FALSE), "・", 0)) + 1), 0)</f>
        <v>0</v>
      </c>
      <c r="AC334">
        <f>IF(ISNUMBER(SEARCH(SUBSTITUTE(AC$1,RIGHT(AC$1,2),""),VLOOKUP($D334,素材!$1:$1016,COLUMN($F$1),FALSE))),VLOOKUP($C334,武器!$1:$998,COLUMN($O$1),FALSE)*VLOOKUP($D334,素材!$1:$1016,COLUMN($E$1),FALSE)/(LEN(VLOOKUP($D334,素材!$1:$1016,COLUMN($F$1),FALSE)) - LEN(SUBSTITUTE(VLOOKUP($D334,素材!$1:$1016,COLUMN($F$1),FALSE), "・", 0)) + 1), 0)</f>
        <v>0</v>
      </c>
      <c r="AD334">
        <f>IF(ISNUMBER(SEARCH(SUBSTITUTE(AD$1,RIGHT(AD$1,2),""),VLOOKUP($D334,素材!$1:$1016,COLUMN($F$1),FALSE))),VLOOKUP($C334,武器!$1:$998,COLUMN($O$1),FALSE)*VLOOKUP($D334,素材!$1:$1016,COLUMN($E$1),FALSE)/(LEN(VLOOKUP($D334,素材!$1:$1016,COLUMN($F$1),FALSE)) - LEN(SUBSTITUTE(VLOOKUP($D334,素材!$1:$1016,COLUMN($F$1),FALSE), "・", 0)) + 1), 0)</f>
        <v>0</v>
      </c>
      <c r="AE334">
        <f>IF(ISNUMBER(SEARCH(SUBSTITUTE(AE$1,RIGHT(AE$1,2),""),VLOOKUP($D334,素材!$1:$1016,COLUMN($F$1),FALSE))),VLOOKUP($C334,武器!$1:$998,COLUMN($O$1),FALSE)*VLOOKUP($D334,素材!$1:$1016,COLUMN($E$1),FALSE)/(LEN(VLOOKUP($D334,素材!$1:$1016,COLUMN($F$1),FALSE)) - LEN(SUBSTITUTE(VLOOKUP($D334,素材!$1:$1016,COLUMN($F$1),FALSE), "・", 0)) + 1), 0)</f>
        <v>0</v>
      </c>
      <c r="AF334">
        <f>IF(ISNUMBER(SEARCH(SUBSTITUTE(AF$1,RIGHT(AF$1,2),""),VLOOKUP($D334,素材!$1:$1016,COLUMN($F$1),FALSE))),VLOOKUP($C334,武器!$1:$998,COLUMN($O$1),FALSE)*VLOOKUP($D334,素材!$1:$1016,COLUMN($E$1),FALSE)/(LEN(VLOOKUP($D334,素材!$1:$1016,COLUMN($F$1),FALSE)) - LEN(SUBSTITUTE(VLOOKUP($D334,素材!$1:$1016,COLUMN($F$1),FALSE), "・", 0)) + 1), 0)</f>
        <v>0</v>
      </c>
      <c r="AG334">
        <f>IF(ISNUMBER(SEARCH(SUBSTITUTE(AG$1,RIGHT(AG$1,2),""),VLOOKUP($D334,素材!$1:$1016,COLUMN($F$1),FALSE))),VLOOKUP($C334,武器!$1:$998,COLUMN($O$1),FALSE)*VLOOKUP($D334,素材!$1:$1016,COLUMN($E$1),FALSE)/(LEN(VLOOKUP($D334,素材!$1:$1016,COLUMN($F$1),FALSE)) - LEN(SUBSTITUTE(VLOOKUP($D334,素材!$1:$1016,COLUMN($F$1),FALSE), "・", 0)) + 1), 0)</f>
        <v>0</v>
      </c>
      <c r="AH334">
        <f>IF(ISNUMBER(SEARCH(SUBSTITUTE(AH$1,RIGHT(AH$1,2),""),VLOOKUP($D334,素材!$1:$1016,COLUMN($F$1),FALSE))),VLOOKUP($C334,武器!$1:$998,COLUMN($O$1),FALSE)*VLOOKUP($D334,素材!$1:$1016,COLUMN($E$1),FALSE)/(LEN(VLOOKUP($D334,素材!$1:$1016,COLUMN($F$1),FALSE)) - LEN(SUBSTITUTE(VLOOKUP($D334,素材!$1:$1016,COLUMN($F$1),FALSE), "・", 0)) + 1), 0)</f>
        <v>0</v>
      </c>
      <c r="AI334">
        <f>IF(ISNUMBER(SEARCH(SUBSTITUTE(AI$1,RIGHT(AI$1,2),""),VLOOKUP($D334,素材!$1:$1016,COLUMN($F$1),FALSE))),VLOOKUP($C334,武器!$1:$998,COLUMN($O$1),FALSE)*VLOOKUP($D334,素材!$1:$1016,COLUMN($E$1),FALSE)/(LEN(VLOOKUP($D334,素材!$1:$1016,COLUMN($F$1),FALSE)) - LEN(SUBSTITUTE(VLOOKUP($D334,素材!$1:$1016,COLUMN($F$1),FALSE), "・", 0)) + 1), 0)</f>
        <v>0</v>
      </c>
      <c r="AJ334">
        <f>IF(ISNUMBER(SEARCH(SUBSTITUTE(AJ$1,RIGHT(AJ$1,2),""),VLOOKUP($D334,素材!$1:$1016,COLUMN($F$1),FALSE))),VLOOKUP($C334,武器!$1:$998,COLUMN($O$1),FALSE)*VLOOKUP($D334,素材!$1:$1016,COLUMN($E$1),FALSE)/(LEN(VLOOKUP($D334,素材!$1:$1016,COLUMN($F$1),FALSE)) - LEN(SUBSTITUTE(VLOOKUP($D334,素材!$1:$1016,COLUMN($F$1),FALSE), "・", 0)) + 1), 0)</f>
        <v>0</v>
      </c>
      <c r="AK334">
        <f>IF(ISNUMBER(SEARCH(SUBSTITUTE(AK$1,RIGHT(AK$1,2),""),VLOOKUP($D334,素材!$1:$1016,COLUMN($F$1),FALSE))),VLOOKUP($C334,武器!$1:$998,COLUMN($O$1),FALSE)*VLOOKUP($D334,素材!$1:$1016,COLUMN($E$1),FALSE)/(LEN(VLOOKUP($D334,素材!$1:$1016,COLUMN($F$1),FALSE)) - LEN(SUBSTITUTE(VLOOKUP($D334,素材!$1:$1016,COLUMN($F$1),FALSE), "・", 0)) + 1), 0)</f>
        <v>0</v>
      </c>
      <c r="AL334">
        <f>IF(ISNUMBER(SEARCH(SUBSTITUTE(AL$1,RIGHT(AL$1,2),""),VLOOKUP($D334,素材!$1:$1016,COLUMN($F$1),FALSE))),VLOOKUP($C334,武器!$1:$998,COLUMN($O$1),FALSE)*VLOOKUP($D334,素材!$1:$1016,COLUMN($E$1),FALSE)/(LEN(VLOOKUP($D334,素材!$1:$1016,COLUMN($F$1),FALSE)) - LEN(SUBSTITUTE(VLOOKUP($D334,素材!$1:$1016,COLUMN($F$1),FALSE), "・", 0)) + 1), 0)</f>
        <v>0</v>
      </c>
      <c r="AM334">
        <f>IF(ISNUMBER(SEARCH(SUBSTITUTE(AM$1,RIGHT(AM$1,2),""),VLOOKUP($D334,素材!$1:$1016,COLUMN($F$1),FALSE))),VLOOKUP($C334,武器!$1:$998,COLUMN($O$1),FALSE)*VLOOKUP($D334,素材!$1:$1016,COLUMN($E$1),FALSE)/(LEN(VLOOKUP($D334,素材!$1:$1016,COLUMN($F$1),FALSE)) - LEN(SUBSTITUTE(VLOOKUP($D334,素材!$1:$1016,COLUMN($F$1),FALSE), "・", 0)) + 1), 0)</f>
        <v>0</v>
      </c>
      <c r="AN334">
        <f>IF(ISNUMBER(SEARCH(SUBSTITUTE(AN$1,RIGHT(AN$1,2),""),VLOOKUP($D334,素材!$1:$1016,COLUMN($F$1),FALSE))),VLOOKUP($C334,武器!$1:$998,COLUMN($O$1),FALSE)*VLOOKUP($D334,素材!$1:$1016,COLUMN($E$1),FALSE)/(LEN(VLOOKUP($D334,素材!$1:$1016,COLUMN($F$1),FALSE)) - LEN(SUBSTITUTE(VLOOKUP($D334,素材!$1:$1016,COLUMN($F$1),FALSE), "・", 0)) + 1), 0)</f>
        <v>0</v>
      </c>
      <c r="AO334">
        <f>IF(ISNUMBER(SEARCH(SUBSTITUTE(AO$1,RIGHT(AO$1,2),""),VLOOKUP($D334,素材!$1:$1016,COLUMN($F$1),FALSE))),VLOOKUP($C334,武器!$1:$998,COLUMN($O$1),FALSE)*VLOOKUP($D334,素材!$1:$1016,COLUMN($E$1),FALSE)/(LEN(VLOOKUP($D334,素材!$1:$1016,COLUMN($F$1),FALSE)) - LEN(SUBSTITUTE(VLOOKUP($D334,素材!$1:$1016,COLUMN($F$1),FALSE), "・", 0)) + 1), 0)</f>
        <v>0</v>
      </c>
      <c r="AP334">
        <f>IF(ISNUMBER(SEARCH(SUBSTITUTE(AP$1,RIGHT(AP$1,2),""),VLOOKUP($D334,素材!$1:$1016,COLUMN($F$1),FALSE))),VLOOKUP($C334,武器!$1:$998,COLUMN($O$1),FALSE)*VLOOKUP($D334,素材!$1:$1016,COLUMN($E$1),FALSE)/(LEN(VLOOKUP($D334,素材!$1:$1016,COLUMN($F$1),FALSE)) - LEN(SUBSTITUTE(VLOOKUP($D334,素材!$1:$1016,COLUMN($F$1),FALSE), "・", 0)) + 1), 0)</f>
        <v>0</v>
      </c>
      <c r="AQ334">
        <f>IF(ISNUMBER(SEARCH(SUBSTITUTE(AQ$1,RIGHT(AQ$1,2),""),VLOOKUP($D334,素材!$1:$1016,COLUMN($F$1),FALSE))),VLOOKUP($C334,武器!$1:$998,COLUMN($O$1),FALSE)*VLOOKUP($D334,素材!$1:$1016,COLUMN($E$1),FALSE)/(LEN(VLOOKUP($D334,素材!$1:$1016,COLUMN($F$1),FALSE)) - LEN(SUBSTITUTE(VLOOKUP($D334,素材!$1:$1016,COLUMN($F$1),FALSE), "・", 0)) + 1), 0)</f>
        <v>0</v>
      </c>
      <c r="AR334">
        <f>IF(ISNUMBER(SEARCH(SUBSTITUTE(AR$1,RIGHT(AR$1,2),""),VLOOKUP($D334,素材!$1:$1016,COLUMN($F$1),FALSE))),VLOOKUP($C334,武器!$1:$998,COLUMN($O$1),FALSE)*VLOOKUP($D334,素材!$1:$1016,COLUMN($E$1),FALSE)/(LEN(VLOOKUP($D334,素材!$1:$1016,COLUMN($F$1),FALSE)) - LEN(SUBSTITUTE(VLOOKUP($D334,素材!$1:$1016,COLUMN($F$1),FALSE), "・", 0)) + 1), 0)</f>
        <v>0</v>
      </c>
      <c r="AS334">
        <f>IF(ISNUMBER(SEARCH(SUBSTITUTE(AS$1,RIGHT(AS$1,2),""),VLOOKUP($D334,素材!$1:$1016,COLUMN($F$1),FALSE))),VLOOKUP($C334,武器!$1:$998,COLUMN($O$1),FALSE)*VLOOKUP($D334,素材!$1:$1016,COLUMN($E$1),FALSE)/(LEN(VLOOKUP($D334,素材!$1:$1016,COLUMN($F$1),FALSE)) - LEN(SUBSTITUTE(VLOOKUP($D334,素材!$1:$1016,COLUMN($F$1),FALSE), "・", 0)) + 1), 0)</f>
        <v>0</v>
      </c>
      <c r="AT334">
        <f>IF(ISNUMBER(SEARCH(SUBSTITUTE(AT$1,RIGHT(AT$1,2),""),VLOOKUP($D334,素材!$1:$1016,COLUMN($F$1),FALSE))),VLOOKUP($C334,武器!$1:$998,COLUMN($O$1),FALSE)*VLOOKUP($D334,素材!$1:$1016,COLUMN($E$1),FALSE)/(LEN(VLOOKUP($D334,素材!$1:$1016,COLUMN($F$1),FALSE)) - LEN(SUBSTITUTE(VLOOKUP($D334,素材!$1:$1016,COLUMN($F$1),FALSE), "・", 0)) + 1), 0)</f>
        <v>0</v>
      </c>
      <c r="AU334">
        <f>IF(ISNUMBER(SEARCH(SUBSTITUTE(AU$1,RIGHT(AU$1,2),""),VLOOKUP($D334,素材!$1:$1016,COLUMN($F$1),FALSE))),VLOOKUP($C334,武器!$1:$998,COLUMN($O$1),FALSE)*VLOOKUP($D334,素材!$1:$1016,COLUMN($E$1),FALSE)/(LEN(VLOOKUP($D334,素材!$1:$1016,COLUMN($F$1),FALSE)) - LEN(SUBSTITUTE(VLOOKUP($D334,素材!$1:$1016,COLUMN($F$1),FALSE), "・", 0)) + 1), 0)</f>
        <v>0</v>
      </c>
      <c r="AV334">
        <f>IF(ISNUMBER(SEARCH(SUBSTITUTE(AV$1,RIGHT(AV$1,2),""),VLOOKUP($D334,素材!$1:$1016,COLUMN($F$1),FALSE))),VLOOKUP($C334,武器!$1:$998,COLUMN($O$1),FALSE)*VLOOKUP($D334,素材!$1:$1016,COLUMN($E$1),FALSE)/(LEN(VLOOKUP($D334,素材!$1:$1016,COLUMN($F$1),FALSE)) - LEN(SUBSTITUTE(VLOOKUP($D334,素材!$1:$1016,COLUMN($F$1),FALSE), "・", 0)) + 1), 0)</f>
        <v>0</v>
      </c>
      <c r="AW334">
        <f>IF(ISNUMBER(SEARCH(SUBSTITUTE(AW$1,RIGHT(AW$1,2),""),VLOOKUP($D334,素材!$1:$1016,COLUMN($F$1),FALSE))),VLOOKUP($C334,武器!$1:$998,COLUMN($O$1),FALSE)*VLOOKUP($D334,素材!$1:$1016,COLUMN($E$1),FALSE)/(LEN(VLOOKUP($D334,素材!$1:$1016,COLUMN($F$1),FALSE)) - LEN(SUBSTITUTE(VLOOKUP($D334,素材!$1:$1016,COLUMN($F$1),FALSE), "・", 0)) + 1), 0)</f>
        <v>0</v>
      </c>
      <c r="AX334">
        <f>IF(ISNUMBER(SEARCH(SUBSTITUTE(AX$1,RIGHT(AX$1,2),""),VLOOKUP($D334,素材!$1:$1016,COLUMN($F$1),FALSE))),VLOOKUP($C334,武器!$1:$998,COLUMN($O$1),FALSE)*VLOOKUP($D334,素材!$1:$1016,COLUMN($E$1),FALSE)/(LEN(VLOOKUP($D334,素材!$1:$1016,COLUMN($F$1),FALSE)) - LEN(SUBSTITUTE(VLOOKUP($D334,素材!$1:$1016,COLUMN($F$1),FALSE), "・", 0)) + 1), 0)</f>
        <v>0</v>
      </c>
      <c r="AY334">
        <f>IF(ISNUMBER(SEARCH(SUBSTITUTE(AY$1,RIGHT(AY$1,2),""),VLOOKUP($D334,素材!$1:$1016,COLUMN($F$1),FALSE))),VLOOKUP($C334,武器!$1:$998,COLUMN($O$1),FALSE)*VLOOKUP($D334,素材!$1:$1016,COLUMN($E$1),FALSE)/(LEN(VLOOKUP($D334,素材!$1:$1016,COLUMN($F$1),FALSE)) - LEN(SUBSTITUTE(VLOOKUP($D334,素材!$1:$1016,COLUMN($F$1),FALSE), "・", 0)) + 1), 0)</f>
        <v>0</v>
      </c>
      <c r="AZ334">
        <f>IF(ISNUMBER(SEARCH(SUBSTITUTE(AZ$1,RIGHT(AZ$1,2),""),VLOOKUP($D334,素材!$1:$1016,COLUMN($F$1),FALSE))),VLOOKUP($C334,武器!$1:$998,COLUMN($O$1),FALSE)*VLOOKUP($D334,素材!$1:$1016,COLUMN($E$1),FALSE)/(LEN(VLOOKUP($D334,素材!$1:$1016,COLUMN($F$1),FALSE)) - LEN(SUBSTITUTE(VLOOKUP($D334,素材!$1:$1016,COLUMN($F$1),FALSE), "・", 0)) + 1), 0)</f>
        <v>0</v>
      </c>
      <c r="BA334">
        <f>IF(ISNUMBER(SEARCH(SUBSTITUTE(BA$1,RIGHT(BA$1,2),""),VLOOKUP($D334,素材!$1:$1016,COLUMN($F$1),FALSE))),VLOOKUP($C334,武器!$1:$998,COLUMN($O$1),FALSE)*VLOOKUP($D334,素材!$1:$1016,COLUMN($E$1),FALSE)/(LEN(VLOOKUP($D334,素材!$1:$1016,COLUMN($F$1),FALSE)) - LEN(SUBSTITUTE(VLOOKUP($D334,素材!$1:$1016,COLUMN($F$1),FALSE), "・", 0)) + 1), 0)</f>
        <v>0</v>
      </c>
      <c r="BB334">
        <f>IF(ISNUMBER(SEARCH(SUBSTITUTE(BB$1,RIGHT(BB$1,2),""),VLOOKUP($D334,素材!$1:$1016,COLUMN($F$1),FALSE))),VLOOKUP($C334,武器!$1:$998,COLUMN($O$1),FALSE)*VLOOKUP($D334,素材!$1:$1016,COLUMN($E$1),FALSE)/(LEN(VLOOKUP($D334,素材!$1:$1016,COLUMN($F$1),FALSE)) - LEN(SUBSTITUTE(VLOOKUP($D334,素材!$1:$1016,COLUMN($F$1),FALSE), "・", 0)) + 1), 0)</f>
        <v>0</v>
      </c>
      <c r="BC334">
        <f>IF(ISNUMBER(SEARCH(SUBSTITUTE(BC$1,RIGHT(BC$1,2),""),VLOOKUP($D334,素材!$1:$1016,COLUMN($F$1),FALSE))),VLOOKUP($C334,武器!$1:$998,COLUMN($O$1),FALSE)*VLOOKUP($D334,素材!$1:$1016,COLUMN($E$1),FALSE)/(LEN(VLOOKUP($D334,素材!$1:$1016,COLUMN($F$1),FALSE)) - LEN(SUBSTITUTE(VLOOKUP($D334,素材!$1:$1016,COLUMN($F$1),FALSE), "・", 0)) + 1), 0)</f>
        <v>0</v>
      </c>
      <c r="BD334">
        <f>IF(ISNUMBER(SEARCH(SUBSTITUTE(BD$1,RIGHT(BD$1,2),""),VLOOKUP($D334,素材!$1:$1016,COLUMN($F$1),FALSE))),VLOOKUP($C334,武器!$1:$998,COLUMN($O$1),FALSE)*VLOOKUP($D334,素材!$1:$1016,COLUMN($E$1),FALSE)/(LEN(VLOOKUP($D334,素材!$1:$1016,COLUMN($F$1),FALSE)) - LEN(SUBSTITUTE(VLOOKUP($D334,素材!$1:$1016,COLUMN($F$1),FALSE), "・", 0)) + 1), 0)</f>
        <v>0</v>
      </c>
      <c r="BE334">
        <f>IF(ISNUMBER(SEARCH(SUBSTITUTE(BE$1,RIGHT(BE$1,2),""),VLOOKUP($D334,素材!$1:$1016,COLUMN($F$1),FALSE))),VLOOKUP($C334,武器!$1:$998,COLUMN($O$1),FALSE)*VLOOKUP($D334,素材!$1:$1016,COLUMN($E$1),FALSE)/(LEN(VLOOKUP($D334,素材!$1:$1016,COLUMN($F$1),FALSE)) - LEN(SUBSTITUTE(VLOOKUP($D334,素材!$1:$1016,COLUMN($F$1),FALSE), "・", 0)) + 1), 0)</f>
        <v>0</v>
      </c>
      <c r="CL334">
        <f>SUM(G334:I334)</f>
        <v>0</v>
      </c>
      <c r="CM334" s="22" t="str">
        <f>IF(E334="武器",IF(J334-1&gt;SUM(G334:I334),"盾",IF(MAX(G334:I334)=G334,"切断",IF(MAX(G334:I334)=H334,"貫通",IF(MAX(G334:I334)=I334,"打撃","射撃")))),E334)&amp;".webp"</f>
        <v>.webp</v>
      </c>
      <c r="CN334" t="str">
        <f>IFERROR(VLOOKUP($C334,武器!$1:$998,COLUMN(V$1),FALSE)*VLOOKUP($D334,素材!$1:$1016,COLUMN(N$1),FALSE)+IF(CI334="",0,VLOOKUP($CI334,装強!$1:$1008,COLUMN($CK$1),FALSE)),"")</f>
        <v/>
      </c>
      <c r="CO334" t="e">
        <f>VLOOKUP(D334,素材!$A:$O,COLUMN(素材!O$1),FALSE)</f>
        <v>#N/A</v>
      </c>
      <c r="CP334" t="e">
        <f>VLOOKUP(C334,武器!$A:$W,COLUMN(武器!W$1),FALSE)</f>
        <v>#N/A</v>
      </c>
      <c r="CR334" t="str">
        <f t="shared" ref="CR334:CR365" si="35">"e_"&amp;ROW(CR334)</f>
        <v>e_334</v>
      </c>
      <c r="CS334" t="e">
        <f t="shared" si="34"/>
        <v>#VALUE!</v>
      </c>
    </row>
    <row r="335" spans="1:97" hidden="1" outlineLevel="1" x14ac:dyDescent="0.4">
      <c r="A335" t="str">
        <f>IF(CI335="",D335&amp;"の"&amp;C335,CI335&amp;"の"&amp;C335)</f>
        <v>の</v>
      </c>
      <c r="B335" t="str">
        <f>IFERROR(IF(CI335="",VLOOKUP($D335,素材!$1:$1016,COLUMN($B$1),FALSE)&amp;"・"&amp;VLOOKUP($C335,武器!$1:$998,COLUMN(B$1),FALSE),VLOOKUP($CI335,装強!$1:$1008,COLUMN($B$1),FALSE)&amp;"・"&amp;VLOOKUP($C335,武器!$1:$998,COLUMN(B$1),FALSE)),"")</f>
        <v/>
      </c>
      <c r="C335" s="24"/>
      <c r="D335" s="24"/>
      <c r="E335" t="str">
        <f>IFERROR(VLOOKUP(C335,武器!$1:$998,COLUMN(C$1),FALSE),"")</f>
        <v/>
      </c>
      <c r="F335" t="str">
        <f>IFERROR(ROUNDDOWN((VLOOKUP($C335,武器!$1:$998,COLUMN(D$1),FALSE)+IFERROR(VLOOKUP($CI335,装強!$1:$999,COLUMN(F$1),FALSE),0))*VLOOKUP($D335,素材!$1:$1016,COLUMN(D$1),FALSE),0),"")</f>
        <v/>
      </c>
      <c r="G335" t="str">
        <f>IFERROR(ROUNDDOWN((VLOOKUP($C335,武器!$1:$998,COLUMN(E$1),FALSE)+IFERROR(VLOOKUP($CI335,装強!$1:$999,COLUMN(G$1),FALSE),0))*VLOOKUP($D335,素材!$1:$1016,COLUMN($E$1),FALSE),0),"")</f>
        <v/>
      </c>
      <c r="H335" t="str">
        <f>IFERROR(ROUNDDOWN((VLOOKUP($C335,武器!$1:$998,COLUMN(F$1),FALSE)+IFERROR(VLOOKUP($CI335,装強!$1:$999,COLUMN(H$1),FALSE),0))*VLOOKUP($D335,素材!$1:$1016,COLUMN($E$1),FALSE),0),"")</f>
        <v/>
      </c>
      <c r="I335" t="str">
        <f>IFERROR(ROUNDDOWN((VLOOKUP($C335,武器!$1:$998,COLUMN(G$1),FALSE)+IFERROR(VLOOKUP($CI335,装強!$1:$999,COLUMN(I$1),FALSE),0))*VLOOKUP($D335,素材!$1:$1016,COLUMN($E$1),FALSE),0),"")</f>
        <v/>
      </c>
      <c r="J335" t="str">
        <f>IFERROR(ROUNDDOWN((VLOOKUP($C335,武器!$1:$998,COLUMN(H$1),FALSE)+IFERROR(VLOOKUP($CI335,装強!$1:$999,COLUMN(J$1),FALSE),0))*VLOOKUP($D335,素材!$1:$1016,COLUMN($E$1),FALSE),0),"")</f>
        <v/>
      </c>
      <c r="K335" t="str">
        <f>IFERROR(ROUNDDOWN((VLOOKUP($C335,武器!$1:$998,COLUMN(I$1),FALSE)+IFERROR(VLOOKUP($CI335,装強!$1:$999,COLUMN(K$1),FALSE),0))*VLOOKUP($D335,素材!$1:$1016,COLUMN($E$1),FALSE),0),"")</f>
        <v/>
      </c>
      <c r="L335" t="str">
        <f>IFERROR(VLOOKUP($D335,素材!$1:$1016,COLUMN($F$1),FALSE),"")</f>
        <v/>
      </c>
      <c r="M335" t="str">
        <f>IFERROR(VLOOKUP($C335,武器!$1:$998,COLUMN(AA$1),FALSE)*VLOOKUP($D335,素材!$1:$1016,COLUMN($G$1),FALSE),"")</f>
        <v/>
      </c>
      <c r="N335" t="str">
        <f>IFERROR(VLOOKUP($C335,武器!$1:$998,COLUMN(I$1),FALSE),"")</f>
        <v/>
      </c>
      <c r="O335" s="23" t="str">
        <f>IFERROR((VLOOKUP($C335,武器!$1:$998,COLUMN(K$1),FALSE)+VLOOKUP($D335,素材!$1:$1016,COLUMN(H$1),FALSE))*100+IFERROR(VLOOKUP($CI335,装強!$1:$999,COLUMN(O$1),FALSE),0),"")</f>
        <v/>
      </c>
      <c r="P335" s="23" t="str">
        <f>IFERROR((VLOOKUP($C335,武器!$1:$998,COLUMN(L$1),FALSE)+VLOOKUP($D335,素材!$1:$1016,COLUMN(I$1),FALSE))*100+IFERROR(VLOOKUP($CI335,装強!$1:$999,COLUMN(P$1),FALSE),0),"")</f>
        <v/>
      </c>
      <c r="Q335" t="str">
        <f>IFERROR(ROUNDUP(VLOOKUP($C335,武器!$1:$998,COLUMN(M$1),FALSE)*(VLOOKUP($D335,素材!$1:$1002,COLUMN(D$1),FALSE)/100),1),"")</f>
        <v/>
      </c>
      <c r="R335" t="str">
        <f>IFERROR(ROUNDUP(VLOOKUP($C335,武器!$1:$998,COLUMN(N$1),FALSE)*(VLOOKUP($D335,素材!$1:$1002,COLUMN(D$1),FALSE)/100),1),"")</f>
        <v/>
      </c>
      <c r="S335" t="str">
        <f>IFERROR(VLOOKUP($C335,武器!$1:$998,COLUMN(P$1),FALSE),"")</f>
        <v/>
      </c>
      <c r="T335" t="str">
        <f>IFERROR(VLOOKUP($C335,武器!$1:$998,COLUMN(Q$1),FALSE),"")</f>
        <v/>
      </c>
      <c r="U335" t="str">
        <f>IFERROR(VLOOKUP($C335,武器!$1:$998,COLUMN(R$1),FALSE),"")</f>
        <v/>
      </c>
      <c r="V335" t="str">
        <f>IFERROR(VLOOKUP($C335,武器!$1:$998,COLUMN(Q$1),FALSE),"")</f>
        <v/>
      </c>
      <c r="W335" t="str">
        <f>IFERROR(VLOOKUP($C335,武器!$1:$998,COLUMN(T$1),FALSE),"")</f>
        <v/>
      </c>
      <c r="Y335" t="str">
        <f>IFERROR(VLOOKUP($C335,武器!$1:$998,COLUMN(U$1),FALSE),"")</f>
        <v/>
      </c>
      <c r="Z335" t="str">
        <f>IFERROR(ROUNDUP(VLOOKUP($C335,武器!$1:$998,COLUMN(O$1),FALSE)*VLOOKUP($D335,素材!$1:$1016,COLUMN(E$1),FALSE),1),"")</f>
        <v/>
      </c>
      <c r="AA335">
        <f>IF(ISNUMBER(SEARCH(SUBSTITUTE(AA$1,RIGHT(AA$1,2),""),VLOOKUP($D335,素材!$1:$1016,COLUMN($F$1),FALSE))),VLOOKUP($C335,武器!$1:$998,COLUMN($O$1),FALSE)*VLOOKUP($D335,素材!$1:$1016,COLUMN($E$1),FALSE)/(LEN(VLOOKUP($D335,素材!$1:$1016,COLUMN($F$1),FALSE)) - LEN(SUBSTITUTE(VLOOKUP($D335,素材!$1:$1016,COLUMN($F$1),FALSE), "・", 0)) + 1), 0)</f>
        <v>0</v>
      </c>
      <c r="AB335">
        <f>IF(ISNUMBER(SEARCH(SUBSTITUTE(AB$1,RIGHT(AB$1,2),""),VLOOKUP($D335,素材!$1:$1016,COLUMN($F$1),FALSE))),VLOOKUP($C335,武器!$1:$998,COLUMN($O$1),FALSE)*VLOOKUP($D335,素材!$1:$1016,COLUMN($E$1),FALSE)/(LEN(VLOOKUP($D335,素材!$1:$1016,COLUMN($F$1),FALSE)) - LEN(SUBSTITUTE(VLOOKUP($D335,素材!$1:$1016,COLUMN($F$1),FALSE), "・", 0)) + 1), 0)</f>
        <v>0</v>
      </c>
      <c r="AC335">
        <f>IF(ISNUMBER(SEARCH(SUBSTITUTE(AC$1,RIGHT(AC$1,2),""),VLOOKUP($D335,素材!$1:$1016,COLUMN($F$1),FALSE))),VLOOKUP($C335,武器!$1:$998,COLUMN($O$1),FALSE)*VLOOKUP($D335,素材!$1:$1016,COLUMN($E$1),FALSE)/(LEN(VLOOKUP($D335,素材!$1:$1016,COLUMN($F$1),FALSE)) - LEN(SUBSTITUTE(VLOOKUP($D335,素材!$1:$1016,COLUMN($F$1),FALSE), "・", 0)) + 1), 0)</f>
        <v>0</v>
      </c>
      <c r="AD335">
        <f>IF(ISNUMBER(SEARCH(SUBSTITUTE(AD$1,RIGHT(AD$1,2),""),VLOOKUP($D335,素材!$1:$1016,COLUMN($F$1),FALSE))),VLOOKUP($C335,武器!$1:$998,COLUMN($O$1),FALSE)*VLOOKUP($D335,素材!$1:$1016,COLUMN($E$1),FALSE)/(LEN(VLOOKUP($D335,素材!$1:$1016,COLUMN($F$1),FALSE)) - LEN(SUBSTITUTE(VLOOKUP($D335,素材!$1:$1016,COLUMN($F$1),FALSE), "・", 0)) + 1), 0)</f>
        <v>0</v>
      </c>
      <c r="AE335">
        <f>IF(ISNUMBER(SEARCH(SUBSTITUTE(AE$1,RIGHT(AE$1,2),""),VLOOKUP($D335,素材!$1:$1016,COLUMN($F$1),FALSE))),VLOOKUP($C335,武器!$1:$998,COLUMN($O$1),FALSE)*VLOOKUP($D335,素材!$1:$1016,COLUMN($E$1),FALSE)/(LEN(VLOOKUP($D335,素材!$1:$1016,COLUMN($F$1),FALSE)) - LEN(SUBSTITUTE(VLOOKUP($D335,素材!$1:$1016,COLUMN($F$1),FALSE), "・", 0)) + 1), 0)</f>
        <v>0</v>
      </c>
      <c r="AF335">
        <f>IF(ISNUMBER(SEARCH(SUBSTITUTE(AF$1,RIGHT(AF$1,2),""),VLOOKUP($D335,素材!$1:$1016,COLUMN($F$1),FALSE))),VLOOKUP($C335,武器!$1:$998,COLUMN($O$1),FALSE)*VLOOKUP($D335,素材!$1:$1016,COLUMN($E$1),FALSE)/(LEN(VLOOKUP($D335,素材!$1:$1016,COLUMN($F$1),FALSE)) - LEN(SUBSTITUTE(VLOOKUP($D335,素材!$1:$1016,COLUMN($F$1),FALSE), "・", 0)) + 1), 0)</f>
        <v>0</v>
      </c>
      <c r="AG335">
        <f>IF(ISNUMBER(SEARCH(SUBSTITUTE(AG$1,RIGHT(AG$1,2),""),VLOOKUP($D335,素材!$1:$1016,COLUMN($F$1),FALSE))),VLOOKUP($C335,武器!$1:$998,COLUMN($O$1),FALSE)*VLOOKUP($D335,素材!$1:$1016,COLUMN($E$1),FALSE)/(LEN(VLOOKUP($D335,素材!$1:$1016,COLUMN($F$1),FALSE)) - LEN(SUBSTITUTE(VLOOKUP($D335,素材!$1:$1016,COLUMN($F$1),FALSE), "・", 0)) + 1), 0)</f>
        <v>0</v>
      </c>
      <c r="AH335">
        <f>IF(ISNUMBER(SEARCH(SUBSTITUTE(AH$1,RIGHT(AH$1,2),""),VLOOKUP($D335,素材!$1:$1016,COLUMN($F$1),FALSE))),VLOOKUP($C335,武器!$1:$998,COLUMN($O$1),FALSE)*VLOOKUP($D335,素材!$1:$1016,COLUMN($E$1),FALSE)/(LEN(VLOOKUP($D335,素材!$1:$1016,COLUMN($F$1),FALSE)) - LEN(SUBSTITUTE(VLOOKUP($D335,素材!$1:$1016,COLUMN($F$1),FALSE), "・", 0)) + 1), 0)</f>
        <v>0</v>
      </c>
      <c r="AI335">
        <f>IF(ISNUMBER(SEARCH(SUBSTITUTE(AI$1,RIGHT(AI$1,2),""),VLOOKUP($D335,素材!$1:$1016,COLUMN($F$1),FALSE))),VLOOKUP($C335,武器!$1:$998,COLUMN($O$1),FALSE)*VLOOKUP($D335,素材!$1:$1016,COLUMN($E$1),FALSE)/(LEN(VLOOKUP($D335,素材!$1:$1016,COLUMN($F$1),FALSE)) - LEN(SUBSTITUTE(VLOOKUP($D335,素材!$1:$1016,COLUMN($F$1),FALSE), "・", 0)) + 1), 0)</f>
        <v>0</v>
      </c>
      <c r="AJ335">
        <f>IF(ISNUMBER(SEARCH(SUBSTITUTE(AJ$1,RIGHT(AJ$1,2),""),VLOOKUP($D335,素材!$1:$1016,COLUMN($F$1),FALSE))),VLOOKUP($C335,武器!$1:$998,COLUMN($O$1),FALSE)*VLOOKUP($D335,素材!$1:$1016,COLUMN($E$1),FALSE)/(LEN(VLOOKUP($D335,素材!$1:$1016,COLUMN($F$1),FALSE)) - LEN(SUBSTITUTE(VLOOKUP($D335,素材!$1:$1016,COLUMN($F$1),FALSE), "・", 0)) + 1), 0)</f>
        <v>0</v>
      </c>
      <c r="AK335">
        <f>IF(ISNUMBER(SEARCH(SUBSTITUTE(AK$1,RIGHT(AK$1,2),""),VLOOKUP($D335,素材!$1:$1016,COLUMN($F$1),FALSE))),VLOOKUP($C335,武器!$1:$998,COLUMN($O$1),FALSE)*VLOOKUP($D335,素材!$1:$1016,COLUMN($E$1),FALSE)/(LEN(VLOOKUP($D335,素材!$1:$1016,COLUMN($F$1),FALSE)) - LEN(SUBSTITUTE(VLOOKUP($D335,素材!$1:$1016,COLUMN($F$1),FALSE), "・", 0)) + 1), 0)</f>
        <v>0</v>
      </c>
      <c r="AL335">
        <f>IF(ISNUMBER(SEARCH(SUBSTITUTE(AL$1,RIGHT(AL$1,2),""),VLOOKUP($D335,素材!$1:$1016,COLUMN($F$1),FALSE))),VLOOKUP($C335,武器!$1:$998,COLUMN($O$1),FALSE)*VLOOKUP($D335,素材!$1:$1016,COLUMN($E$1),FALSE)/(LEN(VLOOKUP($D335,素材!$1:$1016,COLUMN($F$1),FALSE)) - LEN(SUBSTITUTE(VLOOKUP($D335,素材!$1:$1016,COLUMN($F$1),FALSE), "・", 0)) + 1), 0)</f>
        <v>0</v>
      </c>
      <c r="AM335">
        <f>IF(ISNUMBER(SEARCH(SUBSTITUTE(AM$1,RIGHT(AM$1,2),""),VLOOKUP($D335,素材!$1:$1016,COLUMN($F$1),FALSE))),VLOOKUP($C335,武器!$1:$998,COLUMN($O$1),FALSE)*VLOOKUP($D335,素材!$1:$1016,COLUMN($E$1),FALSE)/(LEN(VLOOKUP($D335,素材!$1:$1016,COLUMN($F$1),FALSE)) - LEN(SUBSTITUTE(VLOOKUP($D335,素材!$1:$1016,COLUMN($F$1),FALSE), "・", 0)) + 1), 0)</f>
        <v>0</v>
      </c>
      <c r="AN335">
        <f>IF(ISNUMBER(SEARCH(SUBSTITUTE(AN$1,RIGHT(AN$1,2),""),VLOOKUP($D335,素材!$1:$1016,COLUMN($F$1),FALSE))),VLOOKUP($C335,武器!$1:$998,COLUMN($O$1),FALSE)*VLOOKUP($D335,素材!$1:$1016,COLUMN($E$1),FALSE)/(LEN(VLOOKUP($D335,素材!$1:$1016,COLUMN($F$1),FALSE)) - LEN(SUBSTITUTE(VLOOKUP($D335,素材!$1:$1016,COLUMN($F$1),FALSE), "・", 0)) + 1), 0)</f>
        <v>0</v>
      </c>
      <c r="AO335">
        <f>IF(ISNUMBER(SEARCH(SUBSTITUTE(AO$1,RIGHT(AO$1,2),""),VLOOKUP($D335,素材!$1:$1016,COLUMN($F$1),FALSE))),VLOOKUP($C335,武器!$1:$998,COLUMN($O$1),FALSE)*VLOOKUP($D335,素材!$1:$1016,COLUMN($E$1),FALSE)/(LEN(VLOOKUP($D335,素材!$1:$1016,COLUMN($F$1),FALSE)) - LEN(SUBSTITUTE(VLOOKUP($D335,素材!$1:$1016,COLUMN($F$1),FALSE), "・", 0)) + 1), 0)</f>
        <v>0</v>
      </c>
      <c r="AP335">
        <f>IF(ISNUMBER(SEARCH(SUBSTITUTE(AP$1,RIGHT(AP$1,2),""),VLOOKUP($D335,素材!$1:$1016,COLUMN($F$1),FALSE))),VLOOKUP($C335,武器!$1:$998,COLUMN($O$1),FALSE)*VLOOKUP($D335,素材!$1:$1016,COLUMN($E$1),FALSE)/(LEN(VLOOKUP($D335,素材!$1:$1016,COLUMN($F$1),FALSE)) - LEN(SUBSTITUTE(VLOOKUP($D335,素材!$1:$1016,COLUMN($F$1),FALSE), "・", 0)) + 1), 0)</f>
        <v>0</v>
      </c>
      <c r="AQ335">
        <f>IF(ISNUMBER(SEARCH(SUBSTITUTE(AQ$1,RIGHT(AQ$1,2),""),VLOOKUP($D335,素材!$1:$1016,COLUMN($F$1),FALSE))),VLOOKUP($C335,武器!$1:$998,COLUMN($O$1),FALSE)*VLOOKUP($D335,素材!$1:$1016,COLUMN($E$1),FALSE)/(LEN(VLOOKUP($D335,素材!$1:$1016,COLUMN($F$1),FALSE)) - LEN(SUBSTITUTE(VLOOKUP($D335,素材!$1:$1016,COLUMN($F$1),FALSE), "・", 0)) + 1), 0)</f>
        <v>0</v>
      </c>
      <c r="AR335">
        <f>IF(ISNUMBER(SEARCH(SUBSTITUTE(AR$1,RIGHT(AR$1,2),""),VLOOKUP($D335,素材!$1:$1016,COLUMN($F$1),FALSE))),VLOOKUP($C335,武器!$1:$998,COLUMN($O$1),FALSE)*VLOOKUP($D335,素材!$1:$1016,COLUMN($E$1),FALSE)/(LEN(VLOOKUP($D335,素材!$1:$1016,COLUMN($F$1),FALSE)) - LEN(SUBSTITUTE(VLOOKUP($D335,素材!$1:$1016,COLUMN($F$1),FALSE), "・", 0)) + 1), 0)</f>
        <v>0</v>
      </c>
      <c r="AS335">
        <f>IF(ISNUMBER(SEARCH(SUBSTITUTE(AS$1,RIGHT(AS$1,2),""),VLOOKUP($D335,素材!$1:$1016,COLUMN($F$1),FALSE))),VLOOKUP($C335,武器!$1:$998,COLUMN($O$1),FALSE)*VLOOKUP($D335,素材!$1:$1016,COLUMN($E$1),FALSE)/(LEN(VLOOKUP($D335,素材!$1:$1016,COLUMN($F$1),FALSE)) - LEN(SUBSTITUTE(VLOOKUP($D335,素材!$1:$1016,COLUMN($F$1),FALSE), "・", 0)) + 1), 0)</f>
        <v>0</v>
      </c>
      <c r="AT335">
        <f>IF(ISNUMBER(SEARCH(SUBSTITUTE(AT$1,RIGHT(AT$1,2),""),VLOOKUP($D335,素材!$1:$1016,COLUMN($F$1),FALSE))),VLOOKUP($C335,武器!$1:$998,COLUMN($O$1),FALSE)*VLOOKUP($D335,素材!$1:$1016,COLUMN($E$1),FALSE)/(LEN(VLOOKUP($D335,素材!$1:$1016,COLUMN($F$1),FALSE)) - LEN(SUBSTITUTE(VLOOKUP($D335,素材!$1:$1016,COLUMN($F$1),FALSE), "・", 0)) + 1), 0)</f>
        <v>0</v>
      </c>
      <c r="AU335">
        <f>IF(ISNUMBER(SEARCH(SUBSTITUTE(AU$1,RIGHT(AU$1,2),""),VLOOKUP($D335,素材!$1:$1016,COLUMN($F$1),FALSE))),VLOOKUP($C335,武器!$1:$998,COLUMN($O$1),FALSE)*VLOOKUP($D335,素材!$1:$1016,COLUMN($E$1),FALSE)/(LEN(VLOOKUP($D335,素材!$1:$1016,COLUMN($F$1),FALSE)) - LEN(SUBSTITUTE(VLOOKUP($D335,素材!$1:$1016,COLUMN($F$1),FALSE), "・", 0)) + 1), 0)</f>
        <v>0</v>
      </c>
      <c r="AV335">
        <f>IF(ISNUMBER(SEARCH(SUBSTITUTE(AV$1,RIGHT(AV$1,2),""),VLOOKUP($D335,素材!$1:$1016,COLUMN($F$1),FALSE))),VLOOKUP($C335,武器!$1:$998,COLUMN($O$1),FALSE)*VLOOKUP($D335,素材!$1:$1016,COLUMN($E$1),FALSE)/(LEN(VLOOKUP($D335,素材!$1:$1016,COLUMN($F$1),FALSE)) - LEN(SUBSTITUTE(VLOOKUP($D335,素材!$1:$1016,COLUMN($F$1),FALSE), "・", 0)) + 1), 0)</f>
        <v>0</v>
      </c>
      <c r="AW335">
        <f>IF(ISNUMBER(SEARCH(SUBSTITUTE(AW$1,RIGHT(AW$1,2),""),VLOOKUP($D335,素材!$1:$1016,COLUMN($F$1),FALSE))),VLOOKUP($C335,武器!$1:$998,COLUMN($O$1),FALSE)*VLOOKUP($D335,素材!$1:$1016,COLUMN($E$1),FALSE)/(LEN(VLOOKUP($D335,素材!$1:$1016,COLUMN($F$1),FALSE)) - LEN(SUBSTITUTE(VLOOKUP($D335,素材!$1:$1016,COLUMN($F$1),FALSE), "・", 0)) + 1), 0)</f>
        <v>0</v>
      </c>
      <c r="AX335">
        <f>IF(ISNUMBER(SEARCH(SUBSTITUTE(AX$1,RIGHT(AX$1,2),""),VLOOKUP($D335,素材!$1:$1016,COLUMN($F$1),FALSE))),VLOOKUP($C335,武器!$1:$998,COLUMN($O$1),FALSE)*VLOOKUP($D335,素材!$1:$1016,COLUMN($E$1),FALSE)/(LEN(VLOOKUP($D335,素材!$1:$1016,COLUMN($F$1),FALSE)) - LEN(SUBSTITUTE(VLOOKUP($D335,素材!$1:$1016,COLUMN($F$1),FALSE), "・", 0)) + 1), 0)</f>
        <v>0</v>
      </c>
      <c r="AY335">
        <f>IF(ISNUMBER(SEARCH(SUBSTITUTE(AY$1,RIGHT(AY$1,2),""),VLOOKUP($D335,素材!$1:$1016,COLUMN($F$1),FALSE))),VLOOKUP($C335,武器!$1:$998,COLUMN($O$1),FALSE)*VLOOKUP($D335,素材!$1:$1016,COLUMN($E$1),FALSE)/(LEN(VLOOKUP($D335,素材!$1:$1016,COLUMN($F$1),FALSE)) - LEN(SUBSTITUTE(VLOOKUP($D335,素材!$1:$1016,COLUMN($F$1),FALSE), "・", 0)) + 1), 0)</f>
        <v>0</v>
      </c>
      <c r="AZ335">
        <f>IF(ISNUMBER(SEARCH(SUBSTITUTE(AZ$1,RIGHT(AZ$1,2),""),VLOOKUP($D335,素材!$1:$1016,COLUMN($F$1),FALSE))),VLOOKUP($C335,武器!$1:$998,COLUMN($O$1),FALSE)*VLOOKUP($D335,素材!$1:$1016,COLUMN($E$1),FALSE)/(LEN(VLOOKUP($D335,素材!$1:$1016,COLUMN($F$1),FALSE)) - LEN(SUBSTITUTE(VLOOKUP($D335,素材!$1:$1016,COLUMN($F$1),FALSE), "・", 0)) + 1), 0)</f>
        <v>0</v>
      </c>
      <c r="BA335">
        <f>IF(ISNUMBER(SEARCH(SUBSTITUTE(BA$1,RIGHT(BA$1,2),""),VLOOKUP($D335,素材!$1:$1016,COLUMN($F$1),FALSE))),VLOOKUP($C335,武器!$1:$998,COLUMN($O$1),FALSE)*VLOOKUP($D335,素材!$1:$1016,COLUMN($E$1),FALSE)/(LEN(VLOOKUP($D335,素材!$1:$1016,COLUMN($F$1),FALSE)) - LEN(SUBSTITUTE(VLOOKUP($D335,素材!$1:$1016,COLUMN($F$1),FALSE), "・", 0)) + 1), 0)</f>
        <v>0</v>
      </c>
      <c r="BB335">
        <f>IF(ISNUMBER(SEARCH(SUBSTITUTE(BB$1,RIGHT(BB$1,2),""),VLOOKUP($D335,素材!$1:$1016,COLUMN($F$1),FALSE))),VLOOKUP($C335,武器!$1:$998,COLUMN($O$1),FALSE)*VLOOKUP($D335,素材!$1:$1016,COLUMN($E$1),FALSE)/(LEN(VLOOKUP($D335,素材!$1:$1016,COLUMN($F$1),FALSE)) - LEN(SUBSTITUTE(VLOOKUP($D335,素材!$1:$1016,COLUMN($F$1),FALSE), "・", 0)) + 1), 0)</f>
        <v>0</v>
      </c>
      <c r="BC335">
        <f>IF(ISNUMBER(SEARCH(SUBSTITUTE(BC$1,RIGHT(BC$1,2),""),VLOOKUP($D335,素材!$1:$1016,COLUMN($F$1),FALSE))),VLOOKUP($C335,武器!$1:$998,COLUMN($O$1),FALSE)*VLOOKUP($D335,素材!$1:$1016,COLUMN($E$1),FALSE)/(LEN(VLOOKUP($D335,素材!$1:$1016,COLUMN($F$1),FALSE)) - LEN(SUBSTITUTE(VLOOKUP($D335,素材!$1:$1016,COLUMN($F$1),FALSE), "・", 0)) + 1), 0)</f>
        <v>0</v>
      </c>
      <c r="BD335">
        <f>IF(ISNUMBER(SEARCH(SUBSTITUTE(BD$1,RIGHT(BD$1,2),""),VLOOKUP($D335,素材!$1:$1016,COLUMN($F$1),FALSE))),VLOOKUP($C335,武器!$1:$998,COLUMN($O$1),FALSE)*VLOOKUP($D335,素材!$1:$1016,COLUMN($E$1),FALSE)/(LEN(VLOOKUP($D335,素材!$1:$1016,COLUMN($F$1),FALSE)) - LEN(SUBSTITUTE(VLOOKUP($D335,素材!$1:$1016,COLUMN($F$1),FALSE), "・", 0)) + 1), 0)</f>
        <v>0</v>
      </c>
      <c r="BE335">
        <f>IF(ISNUMBER(SEARCH(SUBSTITUTE(BE$1,RIGHT(BE$1,2),""),VLOOKUP($D335,素材!$1:$1016,COLUMN($F$1),FALSE))),VLOOKUP($C335,武器!$1:$998,COLUMN($O$1),FALSE)*VLOOKUP($D335,素材!$1:$1016,COLUMN($E$1),FALSE)/(LEN(VLOOKUP($D335,素材!$1:$1016,COLUMN($F$1),FALSE)) - LEN(SUBSTITUTE(VLOOKUP($D335,素材!$1:$1016,COLUMN($F$1),FALSE), "・", 0)) + 1), 0)</f>
        <v>0</v>
      </c>
      <c r="CL335">
        <f>SUM(G335:I335)</f>
        <v>0</v>
      </c>
      <c r="CM335" s="22" t="str">
        <f>IF(E335="武器",IF(J335-1&gt;SUM(G335:I335),"盾",IF(MAX(G335:I335)=G335,"切断",IF(MAX(G335:I335)=H335,"貫通",IF(MAX(G335:I335)=I335,"打撃","射撃")))),E335)&amp;".webp"</f>
        <v>.webp</v>
      </c>
      <c r="CN335" t="str">
        <f>IFERROR(VLOOKUP($C335,武器!$1:$998,COLUMN(V$1),FALSE)*VLOOKUP($D335,素材!$1:$1016,COLUMN(N$1),FALSE)+IF(CI335="",0,VLOOKUP($CI335,装強!$1:$1008,COLUMN($CK$1),FALSE)),"")</f>
        <v/>
      </c>
      <c r="CO335" t="e">
        <f>VLOOKUP(D335,素材!$A:$O,COLUMN(素材!O$1),FALSE)</f>
        <v>#N/A</v>
      </c>
      <c r="CP335" t="e">
        <f>VLOOKUP(C335,武器!$A:$W,COLUMN(武器!W$1),FALSE)</f>
        <v>#N/A</v>
      </c>
      <c r="CR335" t="str">
        <f t="shared" si="35"/>
        <v>e_335</v>
      </c>
      <c r="CS335" t="e">
        <f t="shared" ref="CS335:CS366" si="36">CN335*100</f>
        <v>#VALUE!</v>
      </c>
    </row>
    <row r="336" spans="1:97" hidden="1" outlineLevel="1" x14ac:dyDescent="0.4">
      <c r="A336" t="str">
        <f>IF(CI336="",D336&amp;"の"&amp;C336,CI336&amp;"の"&amp;C336)</f>
        <v>の</v>
      </c>
      <c r="B336" t="str">
        <f>IFERROR(IF(CI336="",VLOOKUP($D336,素材!$1:$1016,COLUMN($B$1),FALSE)&amp;"・"&amp;VLOOKUP($C336,武器!$1:$998,COLUMN(B$1),FALSE),VLOOKUP($CI336,装強!$1:$1008,COLUMN($B$1),FALSE)&amp;"・"&amp;VLOOKUP($C336,武器!$1:$998,COLUMN(B$1),FALSE)),"")</f>
        <v/>
      </c>
      <c r="C336" s="24"/>
      <c r="D336" s="24"/>
      <c r="E336" t="str">
        <f>IFERROR(VLOOKUP(C336,武器!$1:$998,COLUMN(C$1),FALSE),"")</f>
        <v/>
      </c>
      <c r="F336" t="str">
        <f>IFERROR(ROUNDDOWN((VLOOKUP($C336,武器!$1:$998,COLUMN(D$1),FALSE)+IFERROR(VLOOKUP($CI336,装強!$1:$999,COLUMN(F$1),FALSE),0))*VLOOKUP($D336,素材!$1:$1016,COLUMN(D$1),FALSE),0),"")</f>
        <v/>
      </c>
      <c r="G336" t="str">
        <f>IFERROR(ROUNDDOWN((VLOOKUP($C336,武器!$1:$998,COLUMN(E$1),FALSE)+IFERROR(VLOOKUP($CI336,装強!$1:$999,COLUMN(G$1),FALSE),0))*VLOOKUP($D336,素材!$1:$1016,COLUMN($E$1),FALSE),0),"")</f>
        <v/>
      </c>
      <c r="H336" t="str">
        <f>IFERROR(ROUNDDOWN((VLOOKUP($C336,武器!$1:$998,COLUMN(F$1),FALSE)+IFERROR(VLOOKUP($CI336,装強!$1:$999,COLUMN(H$1),FALSE),0))*VLOOKUP($D336,素材!$1:$1016,COLUMN($E$1),FALSE),0),"")</f>
        <v/>
      </c>
      <c r="I336" t="str">
        <f>IFERROR(ROUNDDOWN((VLOOKUP($C336,武器!$1:$998,COLUMN(G$1),FALSE)+IFERROR(VLOOKUP($CI336,装強!$1:$999,COLUMN(I$1),FALSE),0))*VLOOKUP($D336,素材!$1:$1016,COLUMN($E$1),FALSE),0),"")</f>
        <v/>
      </c>
      <c r="J336" t="str">
        <f>IFERROR(ROUNDDOWN((VLOOKUP($C336,武器!$1:$998,COLUMN(H$1),FALSE)+IFERROR(VLOOKUP($CI336,装強!$1:$999,COLUMN(J$1),FALSE),0))*VLOOKUP($D336,素材!$1:$1016,COLUMN($E$1),FALSE),0),"")</f>
        <v/>
      </c>
      <c r="K336" t="str">
        <f>IFERROR(ROUNDDOWN((VLOOKUP($C336,武器!$1:$998,COLUMN(I$1),FALSE)+IFERROR(VLOOKUP($CI336,装強!$1:$999,COLUMN(K$1),FALSE),0))*VLOOKUP($D336,素材!$1:$1016,COLUMN($E$1),FALSE),0),"")</f>
        <v/>
      </c>
      <c r="L336" t="str">
        <f>IFERROR(VLOOKUP($D336,素材!$1:$1016,COLUMN($F$1),FALSE),"")</f>
        <v/>
      </c>
      <c r="M336" t="str">
        <f>IFERROR(VLOOKUP($C336,武器!$1:$998,COLUMN(AA$1),FALSE)*VLOOKUP($D336,素材!$1:$1016,COLUMN($G$1),FALSE),"")</f>
        <v/>
      </c>
      <c r="N336" t="str">
        <f>IFERROR(VLOOKUP($C336,武器!$1:$998,COLUMN(I$1),FALSE),"")</f>
        <v/>
      </c>
      <c r="O336" s="23" t="str">
        <f>IFERROR((VLOOKUP($C336,武器!$1:$998,COLUMN(K$1),FALSE)+VLOOKUP($D336,素材!$1:$1016,COLUMN(H$1),FALSE))*100+IFERROR(VLOOKUP($CI336,装強!$1:$999,COLUMN(O$1),FALSE),0),"")</f>
        <v/>
      </c>
      <c r="P336" s="23" t="str">
        <f>IFERROR((VLOOKUP($C336,武器!$1:$998,COLUMN(L$1),FALSE)+VLOOKUP($D336,素材!$1:$1016,COLUMN(I$1),FALSE))*100+IFERROR(VLOOKUP($CI336,装強!$1:$999,COLUMN(P$1),FALSE),0),"")</f>
        <v/>
      </c>
      <c r="Q336" t="str">
        <f>IFERROR(ROUNDUP(VLOOKUP($C336,武器!$1:$998,COLUMN(M$1),FALSE)*(VLOOKUP($D336,素材!$1:$1002,COLUMN(D$1),FALSE)/100),1),"")</f>
        <v/>
      </c>
      <c r="R336" t="str">
        <f>IFERROR(ROUNDUP(VLOOKUP($C336,武器!$1:$998,COLUMN(N$1),FALSE)*(VLOOKUP($D336,素材!$1:$1002,COLUMN(D$1),FALSE)/100),1),"")</f>
        <v/>
      </c>
      <c r="S336" t="str">
        <f>IFERROR(VLOOKUP($C336,武器!$1:$998,COLUMN(P$1),FALSE),"")</f>
        <v/>
      </c>
      <c r="T336" t="str">
        <f>IFERROR(VLOOKUP($C336,武器!$1:$998,COLUMN(Q$1),FALSE),"")</f>
        <v/>
      </c>
      <c r="U336" t="str">
        <f>IFERROR(VLOOKUP($C336,武器!$1:$998,COLUMN(R$1),FALSE),"")</f>
        <v/>
      </c>
      <c r="V336" t="str">
        <f>IFERROR(VLOOKUP($C336,武器!$1:$998,COLUMN(Q$1),FALSE),"")</f>
        <v/>
      </c>
      <c r="W336" t="str">
        <f>IFERROR(VLOOKUP($C336,武器!$1:$998,COLUMN(T$1),FALSE),"")</f>
        <v/>
      </c>
      <c r="Y336" t="str">
        <f>IFERROR(VLOOKUP($C336,武器!$1:$998,COLUMN(U$1),FALSE),"")</f>
        <v/>
      </c>
      <c r="Z336" t="str">
        <f>IFERROR(ROUNDUP(VLOOKUP($C336,武器!$1:$998,COLUMN(O$1),FALSE)*VLOOKUP($D336,素材!$1:$1016,COLUMN(E$1),FALSE),1),"")</f>
        <v/>
      </c>
      <c r="AA336">
        <f>IF(ISNUMBER(SEARCH(SUBSTITUTE(AA$1,RIGHT(AA$1,2),""),VLOOKUP($D336,素材!$1:$1016,COLUMN($F$1),FALSE))),VLOOKUP($C336,武器!$1:$998,COLUMN($O$1),FALSE)*VLOOKUP($D336,素材!$1:$1016,COLUMN($E$1),FALSE)/(LEN(VLOOKUP($D336,素材!$1:$1016,COLUMN($F$1),FALSE)) - LEN(SUBSTITUTE(VLOOKUP($D336,素材!$1:$1016,COLUMN($F$1),FALSE), "・", 0)) + 1), 0)</f>
        <v>0</v>
      </c>
      <c r="AB336">
        <f>IF(ISNUMBER(SEARCH(SUBSTITUTE(AB$1,RIGHT(AB$1,2),""),VLOOKUP($D336,素材!$1:$1016,COLUMN($F$1),FALSE))),VLOOKUP($C336,武器!$1:$998,COLUMN($O$1),FALSE)*VLOOKUP($D336,素材!$1:$1016,COLUMN($E$1),FALSE)/(LEN(VLOOKUP($D336,素材!$1:$1016,COLUMN($F$1),FALSE)) - LEN(SUBSTITUTE(VLOOKUP($D336,素材!$1:$1016,COLUMN($F$1),FALSE), "・", 0)) + 1), 0)</f>
        <v>0</v>
      </c>
      <c r="AC336">
        <f>IF(ISNUMBER(SEARCH(SUBSTITUTE(AC$1,RIGHT(AC$1,2),""),VLOOKUP($D336,素材!$1:$1016,COLUMN($F$1),FALSE))),VLOOKUP($C336,武器!$1:$998,COLUMN($O$1),FALSE)*VLOOKUP($D336,素材!$1:$1016,COLUMN($E$1),FALSE)/(LEN(VLOOKUP($D336,素材!$1:$1016,COLUMN($F$1),FALSE)) - LEN(SUBSTITUTE(VLOOKUP($D336,素材!$1:$1016,COLUMN($F$1),FALSE), "・", 0)) + 1), 0)</f>
        <v>0</v>
      </c>
      <c r="AD336">
        <f>IF(ISNUMBER(SEARCH(SUBSTITUTE(AD$1,RIGHT(AD$1,2),""),VLOOKUP($D336,素材!$1:$1016,COLUMN($F$1),FALSE))),VLOOKUP($C336,武器!$1:$998,COLUMN($O$1),FALSE)*VLOOKUP($D336,素材!$1:$1016,COLUMN($E$1),FALSE)/(LEN(VLOOKUP($D336,素材!$1:$1016,COLUMN($F$1),FALSE)) - LEN(SUBSTITUTE(VLOOKUP($D336,素材!$1:$1016,COLUMN($F$1),FALSE), "・", 0)) + 1), 0)</f>
        <v>0</v>
      </c>
      <c r="AE336">
        <f>IF(ISNUMBER(SEARCH(SUBSTITUTE(AE$1,RIGHT(AE$1,2),""),VLOOKUP($D336,素材!$1:$1016,COLUMN($F$1),FALSE))),VLOOKUP($C336,武器!$1:$998,COLUMN($O$1),FALSE)*VLOOKUP($D336,素材!$1:$1016,COLUMN($E$1),FALSE)/(LEN(VLOOKUP($D336,素材!$1:$1016,COLUMN($F$1),FALSE)) - LEN(SUBSTITUTE(VLOOKUP($D336,素材!$1:$1016,COLUMN($F$1),FALSE), "・", 0)) + 1), 0)</f>
        <v>0</v>
      </c>
      <c r="AF336">
        <f>IF(ISNUMBER(SEARCH(SUBSTITUTE(AF$1,RIGHT(AF$1,2),""),VLOOKUP($D336,素材!$1:$1016,COLUMN($F$1),FALSE))),VLOOKUP($C336,武器!$1:$998,COLUMN($O$1),FALSE)*VLOOKUP($D336,素材!$1:$1016,COLUMN($E$1),FALSE)/(LEN(VLOOKUP($D336,素材!$1:$1016,COLUMN($F$1),FALSE)) - LEN(SUBSTITUTE(VLOOKUP($D336,素材!$1:$1016,COLUMN($F$1),FALSE), "・", 0)) + 1), 0)</f>
        <v>0</v>
      </c>
      <c r="AG336">
        <f>IF(ISNUMBER(SEARCH(SUBSTITUTE(AG$1,RIGHT(AG$1,2),""),VLOOKUP($D336,素材!$1:$1016,COLUMN($F$1),FALSE))),VLOOKUP($C336,武器!$1:$998,COLUMN($O$1),FALSE)*VLOOKUP($D336,素材!$1:$1016,COLUMN($E$1),FALSE)/(LEN(VLOOKUP($D336,素材!$1:$1016,COLUMN($F$1),FALSE)) - LEN(SUBSTITUTE(VLOOKUP($D336,素材!$1:$1016,COLUMN($F$1),FALSE), "・", 0)) + 1), 0)</f>
        <v>0</v>
      </c>
      <c r="AH336">
        <f>IF(ISNUMBER(SEARCH(SUBSTITUTE(AH$1,RIGHT(AH$1,2),""),VLOOKUP($D336,素材!$1:$1016,COLUMN($F$1),FALSE))),VLOOKUP($C336,武器!$1:$998,COLUMN($O$1),FALSE)*VLOOKUP($D336,素材!$1:$1016,COLUMN($E$1),FALSE)/(LEN(VLOOKUP($D336,素材!$1:$1016,COLUMN($F$1),FALSE)) - LEN(SUBSTITUTE(VLOOKUP($D336,素材!$1:$1016,COLUMN($F$1),FALSE), "・", 0)) + 1), 0)</f>
        <v>0</v>
      </c>
      <c r="AI336">
        <f>IF(ISNUMBER(SEARCH(SUBSTITUTE(AI$1,RIGHT(AI$1,2),""),VLOOKUP($D336,素材!$1:$1016,COLUMN($F$1),FALSE))),VLOOKUP($C336,武器!$1:$998,COLUMN($O$1),FALSE)*VLOOKUP($D336,素材!$1:$1016,COLUMN($E$1),FALSE)/(LEN(VLOOKUP($D336,素材!$1:$1016,COLUMN($F$1),FALSE)) - LEN(SUBSTITUTE(VLOOKUP($D336,素材!$1:$1016,COLUMN($F$1),FALSE), "・", 0)) + 1), 0)</f>
        <v>0</v>
      </c>
      <c r="AJ336">
        <f>IF(ISNUMBER(SEARCH(SUBSTITUTE(AJ$1,RIGHT(AJ$1,2),""),VLOOKUP($D336,素材!$1:$1016,COLUMN($F$1),FALSE))),VLOOKUP($C336,武器!$1:$998,COLUMN($O$1),FALSE)*VLOOKUP($D336,素材!$1:$1016,COLUMN($E$1),FALSE)/(LEN(VLOOKUP($D336,素材!$1:$1016,COLUMN($F$1),FALSE)) - LEN(SUBSTITUTE(VLOOKUP($D336,素材!$1:$1016,COLUMN($F$1),FALSE), "・", 0)) + 1), 0)</f>
        <v>0</v>
      </c>
      <c r="AK336">
        <f>IF(ISNUMBER(SEARCH(SUBSTITUTE(AK$1,RIGHT(AK$1,2),""),VLOOKUP($D336,素材!$1:$1016,COLUMN($F$1),FALSE))),VLOOKUP($C336,武器!$1:$998,COLUMN($O$1),FALSE)*VLOOKUP($D336,素材!$1:$1016,COLUMN($E$1),FALSE)/(LEN(VLOOKUP($D336,素材!$1:$1016,COLUMN($F$1),FALSE)) - LEN(SUBSTITUTE(VLOOKUP($D336,素材!$1:$1016,COLUMN($F$1),FALSE), "・", 0)) + 1), 0)</f>
        <v>0</v>
      </c>
      <c r="AL336">
        <f>IF(ISNUMBER(SEARCH(SUBSTITUTE(AL$1,RIGHT(AL$1,2),""),VLOOKUP($D336,素材!$1:$1016,COLUMN($F$1),FALSE))),VLOOKUP($C336,武器!$1:$998,COLUMN($O$1),FALSE)*VLOOKUP($D336,素材!$1:$1016,COLUMN($E$1),FALSE)/(LEN(VLOOKUP($D336,素材!$1:$1016,COLUMN($F$1),FALSE)) - LEN(SUBSTITUTE(VLOOKUP($D336,素材!$1:$1016,COLUMN($F$1),FALSE), "・", 0)) + 1), 0)</f>
        <v>0</v>
      </c>
      <c r="AM336">
        <f>IF(ISNUMBER(SEARCH(SUBSTITUTE(AM$1,RIGHT(AM$1,2),""),VLOOKUP($D336,素材!$1:$1016,COLUMN($F$1),FALSE))),VLOOKUP($C336,武器!$1:$998,COLUMN($O$1),FALSE)*VLOOKUP($D336,素材!$1:$1016,COLUMN($E$1),FALSE)/(LEN(VLOOKUP($D336,素材!$1:$1016,COLUMN($F$1),FALSE)) - LEN(SUBSTITUTE(VLOOKUP($D336,素材!$1:$1016,COLUMN($F$1),FALSE), "・", 0)) + 1), 0)</f>
        <v>0</v>
      </c>
      <c r="AN336">
        <f>IF(ISNUMBER(SEARCH(SUBSTITUTE(AN$1,RIGHT(AN$1,2),""),VLOOKUP($D336,素材!$1:$1016,COLUMN($F$1),FALSE))),VLOOKUP($C336,武器!$1:$998,COLUMN($O$1),FALSE)*VLOOKUP($D336,素材!$1:$1016,COLUMN($E$1),FALSE)/(LEN(VLOOKUP($D336,素材!$1:$1016,COLUMN($F$1),FALSE)) - LEN(SUBSTITUTE(VLOOKUP($D336,素材!$1:$1016,COLUMN($F$1),FALSE), "・", 0)) + 1), 0)</f>
        <v>0</v>
      </c>
      <c r="AO336">
        <f>IF(ISNUMBER(SEARCH(SUBSTITUTE(AO$1,RIGHT(AO$1,2),""),VLOOKUP($D336,素材!$1:$1016,COLUMN($F$1),FALSE))),VLOOKUP($C336,武器!$1:$998,COLUMN($O$1),FALSE)*VLOOKUP($D336,素材!$1:$1016,COLUMN($E$1),FALSE)/(LEN(VLOOKUP($D336,素材!$1:$1016,COLUMN($F$1),FALSE)) - LEN(SUBSTITUTE(VLOOKUP($D336,素材!$1:$1016,COLUMN($F$1),FALSE), "・", 0)) + 1), 0)</f>
        <v>0</v>
      </c>
      <c r="AP336">
        <f>IF(ISNUMBER(SEARCH(SUBSTITUTE(AP$1,RIGHT(AP$1,2),""),VLOOKUP($D336,素材!$1:$1016,COLUMN($F$1),FALSE))),VLOOKUP($C336,武器!$1:$998,COLUMN($O$1),FALSE)*VLOOKUP($D336,素材!$1:$1016,COLUMN($E$1),FALSE)/(LEN(VLOOKUP($D336,素材!$1:$1016,COLUMN($F$1),FALSE)) - LEN(SUBSTITUTE(VLOOKUP($D336,素材!$1:$1016,COLUMN($F$1),FALSE), "・", 0)) + 1), 0)</f>
        <v>0</v>
      </c>
      <c r="AQ336">
        <f>IF(ISNUMBER(SEARCH(SUBSTITUTE(AQ$1,RIGHT(AQ$1,2),""),VLOOKUP($D336,素材!$1:$1016,COLUMN($F$1),FALSE))),VLOOKUP($C336,武器!$1:$998,COLUMN($O$1),FALSE)*VLOOKUP($D336,素材!$1:$1016,COLUMN($E$1),FALSE)/(LEN(VLOOKUP($D336,素材!$1:$1016,COLUMN($F$1),FALSE)) - LEN(SUBSTITUTE(VLOOKUP($D336,素材!$1:$1016,COLUMN($F$1),FALSE), "・", 0)) + 1), 0)</f>
        <v>0</v>
      </c>
      <c r="AR336">
        <f>IF(ISNUMBER(SEARCH(SUBSTITUTE(AR$1,RIGHT(AR$1,2),""),VLOOKUP($D336,素材!$1:$1016,COLUMN($F$1),FALSE))),VLOOKUP($C336,武器!$1:$998,COLUMN($O$1),FALSE)*VLOOKUP($D336,素材!$1:$1016,COLUMN($E$1),FALSE)/(LEN(VLOOKUP($D336,素材!$1:$1016,COLUMN($F$1),FALSE)) - LEN(SUBSTITUTE(VLOOKUP($D336,素材!$1:$1016,COLUMN($F$1),FALSE), "・", 0)) + 1), 0)</f>
        <v>0</v>
      </c>
      <c r="AS336">
        <f>IF(ISNUMBER(SEARCH(SUBSTITUTE(AS$1,RIGHT(AS$1,2),""),VLOOKUP($D336,素材!$1:$1016,COLUMN($F$1),FALSE))),VLOOKUP($C336,武器!$1:$998,COLUMN($O$1),FALSE)*VLOOKUP($D336,素材!$1:$1016,COLUMN($E$1),FALSE)/(LEN(VLOOKUP($D336,素材!$1:$1016,COLUMN($F$1),FALSE)) - LEN(SUBSTITUTE(VLOOKUP($D336,素材!$1:$1016,COLUMN($F$1),FALSE), "・", 0)) + 1), 0)</f>
        <v>0</v>
      </c>
      <c r="AT336">
        <f>IF(ISNUMBER(SEARCH(SUBSTITUTE(AT$1,RIGHT(AT$1,2),""),VLOOKUP($D336,素材!$1:$1016,COLUMN($F$1),FALSE))),VLOOKUP($C336,武器!$1:$998,COLUMN($O$1),FALSE)*VLOOKUP($D336,素材!$1:$1016,COLUMN($E$1),FALSE)/(LEN(VLOOKUP($D336,素材!$1:$1016,COLUMN($F$1),FALSE)) - LEN(SUBSTITUTE(VLOOKUP($D336,素材!$1:$1016,COLUMN($F$1),FALSE), "・", 0)) + 1), 0)</f>
        <v>0</v>
      </c>
      <c r="AU336">
        <f>IF(ISNUMBER(SEARCH(SUBSTITUTE(AU$1,RIGHT(AU$1,2),""),VLOOKUP($D336,素材!$1:$1016,COLUMN($F$1),FALSE))),VLOOKUP($C336,武器!$1:$998,COLUMN($O$1),FALSE)*VLOOKUP($D336,素材!$1:$1016,COLUMN($E$1),FALSE)/(LEN(VLOOKUP($D336,素材!$1:$1016,COLUMN($F$1),FALSE)) - LEN(SUBSTITUTE(VLOOKUP($D336,素材!$1:$1016,COLUMN($F$1),FALSE), "・", 0)) + 1), 0)</f>
        <v>0</v>
      </c>
      <c r="AV336">
        <f>IF(ISNUMBER(SEARCH(SUBSTITUTE(AV$1,RIGHT(AV$1,2),""),VLOOKUP($D336,素材!$1:$1016,COLUMN($F$1),FALSE))),VLOOKUP($C336,武器!$1:$998,COLUMN($O$1),FALSE)*VLOOKUP($D336,素材!$1:$1016,COLUMN($E$1),FALSE)/(LEN(VLOOKUP($D336,素材!$1:$1016,COLUMN($F$1),FALSE)) - LEN(SUBSTITUTE(VLOOKUP($D336,素材!$1:$1016,COLUMN($F$1),FALSE), "・", 0)) + 1), 0)</f>
        <v>0</v>
      </c>
      <c r="AW336">
        <f>IF(ISNUMBER(SEARCH(SUBSTITUTE(AW$1,RIGHT(AW$1,2),""),VLOOKUP($D336,素材!$1:$1016,COLUMN($F$1),FALSE))),VLOOKUP($C336,武器!$1:$998,COLUMN($O$1),FALSE)*VLOOKUP($D336,素材!$1:$1016,COLUMN($E$1),FALSE)/(LEN(VLOOKUP($D336,素材!$1:$1016,COLUMN($F$1),FALSE)) - LEN(SUBSTITUTE(VLOOKUP($D336,素材!$1:$1016,COLUMN($F$1),FALSE), "・", 0)) + 1), 0)</f>
        <v>0</v>
      </c>
      <c r="AX336">
        <f>IF(ISNUMBER(SEARCH(SUBSTITUTE(AX$1,RIGHT(AX$1,2),""),VLOOKUP($D336,素材!$1:$1016,COLUMN($F$1),FALSE))),VLOOKUP($C336,武器!$1:$998,COLUMN($O$1),FALSE)*VLOOKUP($D336,素材!$1:$1016,COLUMN($E$1),FALSE)/(LEN(VLOOKUP($D336,素材!$1:$1016,COLUMN($F$1),FALSE)) - LEN(SUBSTITUTE(VLOOKUP($D336,素材!$1:$1016,COLUMN($F$1),FALSE), "・", 0)) + 1), 0)</f>
        <v>0</v>
      </c>
      <c r="AY336">
        <f>IF(ISNUMBER(SEARCH(SUBSTITUTE(AY$1,RIGHT(AY$1,2),""),VLOOKUP($D336,素材!$1:$1016,COLUMN($F$1),FALSE))),VLOOKUP($C336,武器!$1:$998,COLUMN($O$1),FALSE)*VLOOKUP($D336,素材!$1:$1016,COLUMN($E$1),FALSE)/(LEN(VLOOKUP($D336,素材!$1:$1016,COLUMN($F$1),FALSE)) - LEN(SUBSTITUTE(VLOOKUP($D336,素材!$1:$1016,COLUMN($F$1),FALSE), "・", 0)) + 1), 0)</f>
        <v>0</v>
      </c>
      <c r="AZ336">
        <f>IF(ISNUMBER(SEARCH(SUBSTITUTE(AZ$1,RIGHT(AZ$1,2),""),VLOOKUP($D336,素材!$1:$1016,COLUMN($F$1),FALSE))),VLOOKUP($C336,武器!$1:$998,COLUMN($O$1),FALSE)*VLOOKUP($D336,素材!$1:$1016,COLUMN($E$1),FALSE)/(LEN(VLOOKUP($D336,素材!$1:$1016,COLUMN($F$1),FALSE)) - LEN(SUBSTITUTE(VLOOKUP($D336,素材!$1:$1016,COLUMN($F$1),FALSE), "・", 0)) + 1), 0)</f>
        <v>0</v>
      </c>
      <c r="BA336">
        <f>IF(ISNUMBER(SEARCH(SUBSTITUTE(BA$1,RIGHT(BA$1,2),""),VLOOKUP($D336,素材!$1:$1016,COLUMN($F$1),FALSE))),VLOOKUP($C336,武器!$1:$998,COLUMN($O$1),FALSE)*VLOOKUP($D336,素材!$1:$1016,COLUMN($E$1),FALSE)/(LEN(VLOOKUP($D336,素材!$1:$1016,COLUMN($F$1),FALSE)) - LEN(SUBSTITUTE(VLOOKUP($D336,素材!$1:$1016,COLUMN($F$1),FALSE), "・", 0)) + 1), 0)</f>
        <v>0</v>
      </c>
      <c r="BB336">
        <f>IF(ISNUMBER(SEARCH(SUBSTITUTE(BB$1,RIGHT(BB$1,2),""),VLOOKUP($D336,素材!$1:$1016,COLUMN($F$1),FALSE))),VLOOKUP($C336,武器!$1:$998,COLUMN($O$1),FALSE)*VLOOKUP($D336,素材!$1:$1016,COLUMN($E$1),FALSE)/(LEN(VLOOKUP($D336,素材!$1:$1016,COLUMN($F$1),FALSE)) - LEN(SUBSTITUTE(VLOOKUP($D336,素材!$1:$1016,COLUMN($F$1),FALSE), "・", 0)) + 1), 0)</f>
        <v>0</v>
      </c>
      <c r="BC336">
        <f>IF(ISNUMBER(SEARCH(SUBSTITUTE(BC$1,RIGHT(BC$1,2),""),VLOOKUP($D336,素材!$1:$1016,COLUMN($F$1),FALSE))),VLOOKUP($C336,武器!$1:$998,COLUMN($O$1),FALSE)*VLOOKUP($D336,素材!$1:$1016,COLUMN($E$1),FALSE)/(LEN(VLOOKUP($D336,素材!$1:$1016,COLUMN($F$1),FALSE)) - LEN(SUBSTITUTE(VLOOKUP($D336,素材!$1:$1016,COLUMN($F$1),FALSE), "・", 0)) + 1), 0)</f>
        <v>0</v>
      </c>
      <c r="BD336">
        <f>IF(ISNUMBER(SEARCH(SUBSTITUTE(BD$1,RIGHT(BD$1,2),""),VLOOKUP($D336,素材!$1:$1016,COLUMN($F$1),FALSE))),VLOOKUP($C336,武器!$1:$998,COLUMN($O$1),FALSE)*VLOOKUP($D336,素材!$1:$1016,COLUMN($E$1),FALSE)/(LEN(VLOOKUP($D336,素材!$1:$1016,COLUMN($F$1),FALSE)) - LEN(SUBSTITUTE(VLOOKUP($D336,素材!$1:$1016,COLUMN($F$1),FALSE), "・", 0)) + 1), 0)</f>
        <v>0</v>
      </c>
      <c r="BE336">
        <f>IF(ISNUMBER(SEARCH(SUBSTITUTE(BE$1,RIGHT(BE$1,2),""),VLOOKUP($D336,素材!$1:$1016,COLUMN($F$1),FALSE))),VLOOKUP($C336,武器!$1:$998,COLUMN($O$1),FALSE)*VLOOKUP($D336,素材!$1:$1016,COLUMN($E$1),FALSE)/(LEN(VLOOKUP($D336,素材!$1:$1016,COLUMN($F$1),FALSE)) - LEN(SUBSTITUTE(VLOOKUP($D336,素材!$1:$1016,COLUMN($F$1),FALSE), "・", 0)) + 1), 0)</f>
        <v>0</v>
      </c>
      <c r="CL336">
        <f>SUM(G336:I336)</f>
        <v>0</v>
      </c>
      <c r="CM336" s="22" t="str">
        <f>IF(E336="武器",IF(J336-1&gt;SUM(G336:I336),"盾",IF(MAX(G336:I336)=G336,"切断",IF(MAX(G336:I336)=H336,"貫通",IF(MAX(G336:I336)=I336,"打撃","射撃")))),E336)&amp;".webp"</f>
        <v>.webp</v>
      </c>
      <c r="CN336" t="str">
        <f>IFERROR(VLOOKUP($C336,武器!$1:$998,COLUMN(V$1),FALSE)*VLOOKUP($D336,素材!$1:$1016,COLUMN(N$1),FALSE)+IF(CI336="",0,VLOOKUP($CI336,装強!$1:$1008,COLUMN($CK$1),FALSE)),"")</f>
        <v/>
      </c>
      <c r="CO336" t="e">
        <f>VLOOKUP(D336,素材!$A:$O,COLUMN(素材!O$1),FALSE)</f>
        <v>#N/A</v>
      </c>
      <c r="CP336" t="e">
        <f>VLOOKUP(C336,武器!$A:$W,COLUMN(武器!W$1),FALSE)</f>
        <v>#N/A</v>
      </c>
      <c r="CR336" t="str">
        <f t="shared" si="35"/>
        <v>e_336</v>
      </c>
      <c r="CS336" t="e">
        <f t="shared" si="36"/>
        <v>#VALUE!</v>
      </c>
    </row>
    <row r="337" spans="1:97" hidden="1" outlineLevel="1" x14ac:dyDescent="0.4">
      <c r="A337" t="str">
        <f>IF(CI337="",D337&amp;"の"&amp;C337,CI337&amp;"の"&amp;C337)</f>
        <v>の</v>
      </c>
      <c r="B337" t="str">
        <f>IFERROR(IF(CI337="",VLOOKUP($D337,素材!$1:$1016,COLUMN($B$1),FALSE)&amp;"・"&amp;VLOOKUP($C337,武器!$1:$998,COLUMN(B$1),FALSE),VLOOKUP($CI337,装強!$1:$1008,COLUMN($B$1),FALSE)&amp;"・"&amp;VLOOKUP($C337,武器!$1:$998,COLUMN(B$1),FALSE)),"")</f>
        <v/>
      </c>
      <c r="C337" s="24"/>
      <c r="D337" s="24"/>
      <c r="E337" t="str">
        <f>IFERROR(VLOOKUP(C337,武器!$1:$998,COLUMN(C$1),FALSE),"")</f>
        <v/>
      </c>
      <c r="F337" t="str">
        <f>IFERROR(ROUNDDOWN((VLOOKUP($C337,武器!$1:$998,COLUMN(D$1),FALSE)+IFERROR(VLOOKUP($CI337,装強!$1:$999,COLUMN(F$1),FALSE),0))*VLOOKUP($D337,素材!$1:$1016,COLUMN(D$1),FALSE),0),"")</f>
        <v/>
      </c>
      <c r="G337" t="str">
        <f>IFERROR(ROUNDDOWN((VLOOKUP($C337,武器!$1:$998,COLUMN(E$1),FALSE)+IFERROR(VLOOKUP($CI337,装強!$1:$999,COLUMN(G$1),FALSE),0))*VLOOKUP($D337,素材!$1:$1016,COLUMN($E$1),FALSE),0),"")</f>
        <v/>
      </c>
      <c r="H337" t="str">
        <f>IFERROR(ROUNDDOWN((VLOOKUP($C337,武器!$1:$998,COLUMN(F$1),FALSE)+IFERROR(VLOOKUP($CI337,装強!$1:$999,COLUMN(H$1),FALSE),0))*VLOOKUP($D337,素材!$1:$1016,COLUMN($E$1),FALSE),0),"")</f>
        <v/>
      </c>
      <c r="I337" t="str">
        <f>IFERROR(ROUNDDOWN((VLOOKUP($C337,武器!$1:$998,COLUMN(G$1),FALSE)+IFERROR(VLOOKUP($CI337,装強!$1:$999,COLUMN(I$1),FALSE),0))*VLOOKUP($D337,素材!$1:$1016,COLUMN($E$1),FALSE),0),"")</f>
        <v/>
      </c>
      <c r="J337" t="str">
        <f>IFERROR(ROUNDDOWN((VLOOKUP($C337,武器!$1:$998,COLUMN(H$1),FALSE)+IFERROR(VLOOKUP($CI337,装強!$1:$999,COLUMN(J$1),FALSE),0))*VLOOKUP($D337,素材!$1:$1016,COLUMN($E$1),FALSE),0),"")</f>
        <v/>
      </c>
      <c r="K337" t="str">
        <f>IFERROR(ROUNDDOWN((VLOOKUP($C337,武器!$1:$998,COLUMN(I$1),FALSE)+IFERROR(VLOOKUP($CI337,装強!$1:$999,COLUMN(K$1),FALSE),0))*VLOOKUP($D337,素材!$1:$1016,COLUMN($E$1),FALSE),0),"")</f>
        <v/>
      </c>
      <c r="L337" t="str">
        <f>IFERROR(VLOOKUP($D337,素材!$1:$1016,COLUMN($F$1),FALSE),"")</f>
        <v/>
      </c>
      <c r="M337" t="str">
        <f>IFERROR(VLOOKUP($C337,武器!$1:$998,COLUMN(AA$1),FALSE)*VLOOKUP($D337,素材!$1:$1016,COLUMN($G$1),FALSE),"")</f>
        <v/>
      </c>
      <c r="N337" t="str">
        <f>IFERROR(VLOOKUP($C337,武器!$1:$998,COLUMN(I$1),FALSE),"")</f>
        <v/>
      </c>
      <c r="O337" s="23" t="str">
        <f>IFERROR((VLOOKUP($C337,武器!$1:$998,COLUMN(K$1),FALSE)+VLOOKUP($D337,素材!$1:$1016,COLUMN(H$1),FALSE))*100+IFERROR(VLOOKUP($CI337,装強!$1:$999,COLUMN(O$1),FALSE),0),"")</f>
        <v/>
      </c>
      <c r="P337" s="23" t="str">
        <f>IFERROR((VLOOKUP($C337,武器!$1:$998,COLUMN(L$1),FALSE)+VLOOKUP($D337,素材!$1:$1016,COLUMN(I$1),FALSE))*100+IFERROR(VLOOKUP($CI337,装強!$1:$999,COLUMN(P$1),FALSE),0),"")</f>
        <v/>
      </c>
      <c r="Q337" t="str">
        <f>IFERROR(ROUNDUP(VLOOKUP($C337,武器!$1:$998,COLUMN(M$1),FALSE)*(VLOOKUP($D337,素材!$1:$1002,COLUMN(D$1),FALSE)/100),1),"")</f>
        <v/>
      </c>
      <c r="R337" t="str">
        <f>IFERROR(ROUNDUP(VLOOKUP($C337,武器!$1:$998,COLUMN(N$1),FALSE)*(VLOOKUP($D337,素材!$1:$1002,COLUMN(D$1),FALSE)/100),1),"")</f>
        <v/>
      </c>
      <c r="S337" t="str">
        <f>IFERROR(VLOOKUP($C337,武器!$1:$998,COLUMN(P$1),FALSE),"")</f>
        <v/>
      </c>
      <c r="T337" t="str">
        <f>IFERROR(VLOOKUP($C337,武器!$1:$998,COLUMN(Q$1),FALSE),"")</f>
        <v/>
      </c>
      <c r="U337" t="str">
        <f>IFERROR(VLOOKUP($C337,武器!$1:$998,COLUMN(R$1),FALSE),"")</f>
        <v/>
      </c>
      <c r="V337" t="str">
        <f>IFERROR(VLOOKUP($C337,武器!$1:$998,COLUMN(Q$1),FALSE),"")</f>
        <v/>
      </c>
      <c r="W337" t="str">
        <f>IFERROR(VLOOKUP($C337,武器!$1:$998,COLUMN(T$1),FALSE),"")</f>
        <v/>
      </c>
      <c r="Y337" t="str">
        <f>IFERROR(VLOOKUP($C337,武器!$1:$998,COLUMN(U$1),FALSE),"")</f>
        <v/>
      </c>
      <c r="Z337" t="str">
        <f>IFERROR(ROUNDUP(VLOOKUP($C337,武器!$1:$998,COLUMN(O$1),FALSE)*VLOOKUP($D337,素材!$1:$1016,COLUMN(E$1),FALSE),1),"")</f>
        <v/>
      </c>
      <c r="AA337">
        <f>IF(ISNUMBER(SEARCH(SUBSTITUTE(AA$1,RIGHT(AA$1,2),""),VLOOKUP($D337,素材!$1:$1016,COLUMN($F$1),FALSE))),VLOOKUP($C337,武器!$1:$998,COLUMN($O$1),FALSE)*VLOOKUP($D337,素材!$1:$1016,COLUMN($E$1),FALSE)/(LEN(VLOOKUP($D337,素材!$1:$1016,COLUMN($F$1),FALSE)) - LEN(SUBSTITUTE(VLOOKUP($D337,素材!$1:$1016,COLUMN($F$1),FALSE), "・", 0)) + 1), 0)</f>
        <v>0</v>
      </c>
      <c r="AB337">
        <f>IF(ISNUMBER(SEARCH(SUBSTITUTE(AB$1,RIGHT(AB$1,2),""),VLOOKUP($D337,素材!$1:$1016,COLUMN($F$1),FALSE))),VLOOKUP($C337,武器!$1:$998,COLUMN($O$1),FALSE)*VLOOKUP($D337,素材!$1:$1016,COLUMN($E$1),FALSE)/(LEN(VLOOKUP($D337,素材!$1:$1016,COLUMN($F$1),FALSE)) - LEN(SUBSTITUTE(VLOOKUP($D337,素材!$1:$1016,COLUMN($F$1),FALSE), "・", 0)) + 1), 0)</f>
        <v>0</v>
      </c>
      <c r="AC337">
        <f>IF(ISNUMBER(SEARCH(SUBSTITUTE(AC$1,RIGHT(AC$1,2),""),VLOOKUP($D337,素材!$1:$1016,COLUMN($F$1),FALSE))),VLOOKUP($C337,武器!$1:$998,COLUMN($O$1),FALSE)*VLOOKUP($D337,素材!$1:$1016,COLUMN($E$1),FALSE)/(LEN(VLOOKUP($D337,素材!$1:$1016,COLUMN($F$1),FALSE)) - LEN(SUBSTITUTE(VLOOKUP($D337,素材!$1:$1016,COLUMN($F$1),FALSE), "・", 0)) + 1), 0)</f>
        <v>0</v>
      </c>
      <c r="AD337">
        <f>IF(ISNUMBER(SEARCH(SUBSTITUTE(AD$1,RIGHT(AD$1,2),""),VLOOKUP($D337,素材!$1:$1016,COLUMN($F$1),FALSE))),VLOOKUP($C337,武器!$1:$998,COLUMN($O$1),FALSE)*VLOOKUP($D337,素材!$1:$1016,COLUMN($E$1),FALSE)/(LEN(VLOOKUP($D337,素材!$1:$1016,COLUMN($F$1),FALSE)) - LEN(SUBSTITUTE(VLOOKUP($D337,素材!$1:$1016,COLUMN($F$1),FALSE), "・", 0)) + 1), 0)</f>
        <v>0</v>
      </c>
      <c r="AE337">
        <f>IF(ISNUMBER(SEARCH(SUBSTITUTE(AE$1,RIGHT(AE$1,2),""),VLOOKUP($D337,素材!$1:$1016,COLUMN($F$1),FALSE))),VLOOKUP($C337,武器!$1:$998,COLUMN($O$1),FALSE)*VLOOKUP($D337,素材!$1:$1016,COLUMN($E$1),FALSE)/(LEN(VLOOKUP($D337,素材!$1:$1016,COLUMN($F$1),FALSE)) - LEN(SUBSTITUTE(VLOOKUP($D337,素材!$1:$1016,COLUMN($F$1),FALSE), "・", 0)) + 1), 0)</f>
        <v>0</v>
      </c>
      <c r="AF337">
        <f>IF(ISNUMBER(SEARCH(SUBSTITUTE(AF$1,RIGHT(AF$1,2),""),VLOOKUP($D337,素材!$1:$1016,COLUMN($F$1),FALSE))),VLOOKUP($C337,武器!$1:$998,COLUMN($O$1),FALSE)*VLOOKUP($D337,素材!$1:$1016,COLUMN($E$1),FALSE)/(LEN(VLOOKUP($D337,素材!$1:$1016,COLUMN($F$1),FALSE)) - LEN(SUBSTITUTE(VLOOKUP($D337,素材!$1:$1016,COLUMN($F$1),FALSE), "・", 0)) + 1), 0)</f>
        <v>0</v>
      </c>
      <c r="AG337">
        <f>IF(ISNUMBER(SEARCH(SUBSTITUTE(AG$1,RIGHT(AG$1,2),""),VLOOKUP($D337,素材!$1:$1016,COLUMN($F$1),FALSE))),VLOOKUP($C337,武器!$1:$998,COLUMN($O$1),FALSE)*VLOOKUP($D337,素材!$1:$1016,COLUMN($E$1),FALSE)/(LEN(VLOOKUP($D337,素材!$1:$1016,COLUMN($F$1),FALSE)) - LEN(SUBSTITUTE(VLOOKUP($D337,素材!$1:$1016,COLUMN($F$1),FALSE), "・", 0)) + 1), 0)</f>
        <v>0</v>
      </c>
      <c r="AH337">
        <f>IF(ISNUMBER(SEARCH(SUBSTITUTE(AH$1,RIGHT(AH$1,2),""),VLOOKUP($D337,素材!$1:$1016,COLUMN($F$1),FALSE))),VLOOKUP($C337,武器!$1:$998,COLUMN($O$1),FALSE)*VLOOKUP($D337,素材!$1:$1016,COLUMN($E$1),FALSE)/(LEN(VLOOKUP($D337,素材!$1:$1016,COLUMN($F$1),FALSE)) - LEN(SUBSTITUTE(VLOOKUP($D337,素材!$1:$1016,COLUMN($F$1),FALSE), "・", 0)) + 1), 0)</f>
        <v>0</v>
      </c>
      <c r="AI337">
        <f>IF(ISNUMBER(SEARCH(SUBSTITUTE(AI$1,RIGHT(AI$1,2),""),VLOOKUP($D337,素材!$1:$1016,COLUMN($F$1),FALSE))),VLOOKUP($C337,武器!$1:$998,COLUMN($O$1),FALSE)*VLOOKUP($D337,素材!$1:$1016,COLUMN($E$1),FALSE)/(LEN(VLOOKUP($D337,素材!$1:$1016,COLUMN($F$1),FALSE)) - LEN(SUBSTITUTE(VLOOKUP($D337,素材!$1:$1016,COLUMN($F$1),FALSE), "・", 0)) + 1), 0)</f>
        <v>0</v>
      </c>
      <c r="AJ337">
        <f>IF(ISNUMBER(SEARCH(SUBSTITUTE(AJ$1,RIGHT(AJ$1,2),""),VLOOKUP($D337,素材!$1:$1016,COLUMN($F$1),FALSE))),VLOOKUP($C337,武器!$1:$998,COLUMN($O$1),FALSE)*VLOOKUP($D337,素材!$1:$1016,COLUMN($E$1),FALSE)/(LEN(VLOOKUP($D337,素材!$1:$1016,COLUMN($F$1),FALSE)) - LEN(SUBSTITUTE(VLOOKUP($D337,素材!$1:$1016,COLUMN($F$1),FALSE), "・", 0)) + 1), 0)</f>
        <v>0</v>
      </c>
      <c r="AK337">
        <f>IF(ISNUMBER(SEARCH(SUBSTITUTE(AK$1,RIGHT(AK$1,2),""),VLOOKUP($D337,素材!$1:$1016,COLUMN($F$1),FALSE))),VLOOKUP($C337,武器!$1:$998,COLUMN($O$1),FALSE)*VLOOKUP($D337,素材!$1:$1016,COLUMN($E$1),FALSE)/(LEN(VLOOKUP($D337,素材!$1:$1016,COLUMN($F$1),FALSE)) - LEN(SUBSTITUTE(VLOOKUP($D337,素材!$1:$1016,COLUMN($F$1),FALSE), "・", 0)) + 1), 0)</f>
        <v>0</v>
      </c>
      <c r="AL337">
        <f>IF(ISNUMBER(SEARCH(SUBSTITUTE(AL$1,RIGHT(AL$1,2),""),VLOOKUP($D337,素材!$1:$1016,COLUMN($F$1),FALSE))),VLOOKUP($C337,武器!$1:$998,COLUMN($O$1),FALSE)*VLOOKUP($D337,素材!$1:$1016,COLUMN($E$1),FALSE)/(LEN(VLOOKUP($D337,素材!$1:$1016,COLUMN($F$1),FALSE)) - LEN(SUBSTITUTE(VLOOKUP($D337,素材!$1:$1016,COLUMN($F$1),FALSE), "・", 0)) + 1), 0)</f>
        <v>0</v>
      </c>
      <c r="AM337">
        <f>IF(ISNUMBER(SEARCH(SUBSTITUTE(AM$1,RIGHT(AM$1,2),""),VLOOKUP($D337,素材!$1:$1016,COLUMN($F$1),FALSE))),VLOOKUP($C337,武器!$1:$998,COLUMN($O$1),FALSE)*VLOOKUP($D337,素材!$1:$1016,COLUMN($E$1),FALSE)/(LEN(VLOOKUP($D337,素材!$1:$1016,COLUMN($F$1),FALSE)) - LEN(SUBSTITUTE(VLOOKUP($D337,素材!$1:$1016,COLUMN($F$1),FALSE), "・", 0)) + 1), 0)</f>
        <v>0</v>
      </c>
      <c r="AN337">
        <f>IF(ISNUMBER(SEARCH(SUBSTITUTE(AN$1,RIGHT(AN$1,2),""),VLOOKUP($D337,素材!$1:$1016,COLUMN($F$1),FALSE))),VLOOKUP($C337,武器!$1:$998,COLUMN($O$1),FALSE)*VLOOKUP($D337,素材!$1:$1016,COLUMN($E$1),FALSE)/(LEN(VLOOKUP($D337,素材!$1:$1016,COLUMN($F$1),FALSE)) - LEN(SUBSTITUTE(VLOOKUP($D337,素材!$1:$1016,COLUMN($F$1),FALSE), "・", 0)) + 1), 0)</f>
        <v>0</v>
      </c>
      <c r="AO337">
        <f>IF(ISNUMBER(SEARCH(SUBSTITUTE(AO$1,RIGHT(AO$1,2),""),VLOOKUP($D337,素材!$1:$1016,COLUMN($F$1),FALSE))),VLOOKUP($C337,武器!$1:$998,COLUMN($O$1),FALSE)*VLOOKUP($D337,素材!$1:$1016,COLUMN($E$1),FALSE)/(LEN(VLOOKUP($D337,素材!$1:$1016,COLUMN($F$1),FALSE)) - LEN(SUBSTITUTE(VLOOKUP($D337,素材!$1:$1016,COLUMN($F$1),FALSE), "・", 0)) + 1), 0)</f>
        <v>0</v>
      </c>
      <c r="AP337">
        <f>IF(ISNUMBER(SEARCH(SUBSTITUTE(AP$1,RIGHT(AP$1,2),""),VLOOKUP($D337,素材!$1:$1016,COLUMN($F$1),FALSE))),VLOOKUP($C337,武器!$1:$998,COLUMN($O$1),FALSE)*VLOOKUP($D337,素材!$1:$1016,COLUMN($E$1),FALSE)/(LEN(VLOOKUP($D337,素材!$1:$1016,COLUMN($F$1),FALSE)) - LEN(SUBSTITUTE(VLOOKUP($D337,素材!$1:$1016,COLUMN($F$1),FALSE), "・", 0)) + 1), 0)</f>
        <v>0</v>
      </c>
      <c r="AQ337">
        <f>IF(ISNUMBER(SEARCH(SUBSTITUTE(AQ$1,RIGHT(AQ$1,2),""),VLOOKUP($D337,素材!$1:$1016,COLUMN($F$1),FALSE))),VLOOKUP($C337,武器!$1:$998,COLUMN($O$1),FALSE)*VLOOKUP($D337,素材!$1:$1016,COLUMN($E$1),FALSE)/(LEN(VLOOKUP($D337,素材!$1:$1016,COLUMN($F$1),FALSE)) - LEN(SUBSTITUTE(VLOOKUP($D337,素材!$1:$1016,COLUMN($F$1),FALSE), "・", 0)) + 1), 0)</f>
        <v>0</v>
      </c>
      <c r="AR337">
        <f>IF(ISNUMBER(SEARCH(SUBSTITUTE(AR$1,RIGHT(AR$1,2),""),VLOOKUP($D337,素材!$1:$1016,COLUMN($F$1),FALSE))),VLOOKUP($C337,武器!$1:$998,COLUMN($O$1),FALSE)*VLOOKUP($D337,素材!$1:$1016,COLUMN($E$1),FALSE)/(LEN(VLOOKUP($D337,素材!$1:$1016,COLUMN($F$1),FALSE)) - LEN(SUBSTITUTE(VLOOKUP($D337,素材!$1:$1016,COLUMN($F$1),FALSE), "・", 0)) + 1), 0)</f>
        <v>0</v>
      </c>
      <c r="AS337">
        <f>IF(ISNUMBER(SEARCH(SUBSTITUTE(AS$1,RIGHT(AS$1,2),""),VLOOKUP($D337,素材!$1:$1016,COLUMN($F$1),FALSE))),VLOOKUP($C337,武器!$1:$998,COLUMN($O$1),FALSE)*VLOOKUP($D337,素材!$1:$1016,COLUMN($E$1),FALSE)/(LEN(VLOOKUP($D337,素材!$1:$1016,COLUMN($F$1),FALSE)) - LEN(SUBSTITUTE(VLOOKUP($D337,素材!$1:$1016,COLUMN($F$1),FALSE), "・", 0)) + 1), 0)</f>
        <v>0</v>
      </c>
      <c r="AT337">
        <f>IF(ISNUMBER(SEARCH(SUBSTITUTE(AT$1,RIGHT(AT$1,2),""),VLOOKUP($D337,素材!$1:$1016,COLUMN($F$1),FALSE))),VLOOKUP($C337,武器!$1:$998,COLUMN($O$1),FALSE)*VLOOKUP($D337,素材!$1:$1016,COLUMN($E$1),FALSE)/(LEN(VLOOKUP($D337,素材!$1:$1016,COLUMN($F$1),FALSE)) - LEN(SUBSTITUTE(VLOOKUP($D337,素材!$1:$1016,COLUMN($F$1),FALSE), "・", 0)) + 1), 0)</f>
        <v>0</v>
      </c>
      <c r="AU337">
        <f>IF(ISNUMBER(SEARCH(SUBSTITUTE(AU$1,RIGHT(AU$1,2),""),VLOOKUP($D337,素材!$1:$1016,COLUMN($F$1),FALSE))),VLOOKUP($C337,武器!$1:$998,COLUMN($O$1),FALSE)*VLOOKUP($D337,素材!$1:$1016,COLUMN($E$1),FALSE)/(LEN(VLOOKUP($D337,素材!$1:$1016,COLUMN($F$1),FALSE)) - LEN(SUBSTITUTE(VLOOKUP($D337,素材!$1:$1016,COLUMN($F$1),FALSE), "・", 0)) + 1), 0)</f>
        <v>0</v>
      </c>
      <c r="AV337">
        <f>IF(ISNUMBER(SEARCH(SUBSTITUTE(AV$1,RIGHT(AV$1,2),""),VLOOKUP($D337,素材!$1:$1016,COLUMN($F$1),FALSE))),VLOOKUP($C337,武器!$1:$998,COLUMN($O$1),FALSE)*VLOOKUP($D337,素材!$1:$1016,COLUMN($E$1),FALSE)/(LEN(VLOOKUP($D337,素材!$1:$1016,COLUMN($F$1),FALSE)) - LEN(SUBSTITUTE(VLOOKUP($D337,素材!$1:$1016,COLUMN($F$1),FALSE), "・", 0)) + 1), 0)</f>
        <v>0</v>
      </c>
      <c r="AW337">
        <f>IF(ISNUMBER(SEARCH(SUBSTITUTE(AW$1,RIGHT(AW$1,2),""),VLOOKUP($D337,素材!$1:$1016,COLUMN($F$1),FALSE))),VLOOKUP($C337,武器!$1:$998,COLUMN($O$1),FALSE)*VLOOKUP($D337,素材!$1:$1016,COLUMN($E$1),FALSE)/(LEN(VLOOKUP($D337,素材!$1:$1016,COLUMN($F$1),FALSE)) - LEN(SUBSTITUTE(VLOOKUP($D337,素材!$1:$1016,COLUMN($F$1),FALSE), "・", 0)) + 1), 0)</f>
        <v>0</v>
      </c>
      <c r="AX337">
        <f>IF(ISNUMBER(SEARCH(SUBSTITUTE(AX$1,RIGHT(AX$1,2),""),VLOOKUP($D337,素材!$1:$1016,COLUMN($F$1),FALSE))),VLOOKUP($C337,武器!$1:$998,COLUMN($O$1),FALSE)*VLOOKUP($D337,素材!$1:$1016,COLUMN($E$1),FALSE)/(LEN(VLOOKUP($D337,素材!$1:$1016,COLUMN($F$1),FALSE)) - LEN(SUBSTITUTE(VLOOKUP($D337,素材!$1:$1016,COLUMN($F$1),FALSE), "・", 0)) + 1), 0)</f>
        <v>0</v>
      </c>
      <c r="AY337">
        <f>IF(ISNUMBER(SEARCH(SUBSTITUTE(AY$1,RIGHT(AY$1,2),""),VLOOKUP($D337,素材!$1:$1016,COLUMN($F$1),FALSE))),VLOOKUP($C337,武器!$1:$998,COLUMN($O$1),FALSE)*VLOOKUP($D337,素材!$1:$1016,COLUMN($E$1),FALSE)/(LEN(VLOOKUP($D337,素材!$1:$1016,COLUMN($F$1),FALSE)) - LEN(SUBSTITUTE(VLOOKUP($D337,素材!$1:$1016,COLUMN($F$1),FALSE), "・", 0)) + 1), 0)</f>
        <v>0</v>
      </c>
      <c r="AZ337">
        <f>IF(ISNUMBER(SEARCH(SUBSTITUTE(AZ$1,RIGHT(AZ$1,2),""),VLOOKUP($D337,素材!$1:$1016,COLUMN($F$1),FALSE))),VLOOKUP($C337,武器!$1:$998,COLUMN($O$1),FALSE)*VLOOKUP($D337,素材!$1:$1016,COLUMN($E$1),FALSE)/(LEN(VLOOKUP($D337,素材!$1:$1016,COLUMN($F$1),FALSE)) - LEN(SUBSTITUTE(VLOOKUP($D337,素材!$1:$1016,COLUMN($F$1),FALSE), "・", 0)) + 1), 0)</f>
        <v>0</v>
      </c>
      <c r="BA337">
        <f>IF(ISNUMBER(SEARCH(SUBSTITUTE(BA$1,RIGHT(BA$1,2),""),VLOOKUP($D337,素材!$1:$1016,COLUMN($F$1),FALSE))),VLOOKUP($C337,武器!$1:$998,COLUMN($O$1),FALSE)*VLOOKUP($D337,素材!$1:$1016,COLUMN($E$1),FALSE)/(LEN(VLOOKUP($D337,素材!$1:$1016,COLUMN($F$1),FALSE)) - LEN(SUBSTITUTE(VLOOKUP($D337,素材!$1:$1016,COLUMN($F$1),FALSE), "・", 0)) + 1), 0)</f>
        <v>0</v>
      </c>
      <c r="BB337">
        <f>IF(ISNUMBER(SEARCH(SUBSTITUTE(BB$1,RIGHT(BB$1,2),""),VLOOKUP($D337,素材!$1:$1016,COLUMN($F$1),FALSE))),VLOOKUP($C337,武器!$1:$998,COLUMN($O$1),FALSE)*VLOOKUP($D337,素材!$1:$1016,COLUMN($E$1),FALSE)/(LEN(VLOOKUP($D337,素材!$1:$1016,COLUMN($F$1),FALSE)) - LEN(SUBSTITUTE(VLOOKUP($D337,素材!$1:$1016,COLUMN($F$1),FALSE), "・", 0)) + 1), 0)</f>
        <v>0</v>
      </c>
      <c r="BC337">
        <f>IF(ISNUMBER(SEARCH(SUBSTITUTE(BC$1,RIGHT(BC$1,2),""),VLOOKUP($D337,素材!$1:$1016,COLUMN($F$1),FALSE))),VLOOKUP($C337,武器!$1:$998,COLUMN($O$1),FALSE)*VLOOKUP($D337,素材!$1:$1016,COLUMN($E$1),FALSE)/(LEN(VLOOKUP($D337,素材!$1:$1016,COLUMN($F$1),FALSE)) - LEN(SUBSTITUTE(VLOOKUP($D337,素材!$1:$1016,COLUMN($F$1),FALSE), "・", 0)) + 1), 0)</f>
        <v>0</v>
      </c>
      <c r="BD337">
        <f>IF(ISNUMBER(SEARCH(SUBSTITUTE(BD$1,RIGHT(BD$1,2),""),VLOOKUP($D337,素材!$1:$1016,COLUMN($F$1),FALSE))),VLOOKUP($C337,武器!$1:$998,COLUMN($O$1),FALSE)*VLOOKUP($D337,素材!$1:$1016,COLUMN($E$1),FALSE)/(LEN(VLOOKUP($D337,素材!$1:$1016,COLUMN($F$1),FALSE)) - LEN(SUBSTITUTE(VLOOKUP($D337,素材!$1:$1016,COLUMN($F$1),FALSE), "・", 0)) + 1), 0)</f>
        <v>0</v>
      </c>
      <c r="BE337">
        <f>IF(ISNUMBER(SEARCH(SUBSTITUTE(BE$1,RIGHT(BE$1,2),""),VLOOKUP($D337,素材!$1:$1016,COLUMN($F$1),FALSE))),VLOOKUP($C337,武器!$1:$998,COLUMN($O$1),FALSE)*VLOOKUP($D337,素材!$1:$1016,COLUMN($E$1),FALSE)/(LEN(VLOOKUP($D337,素材!$1:$1016,COLUMN($F$1),FALSE)) - LEN(SUBSTITUTE(VLOOKUP($D337,素材!$1:$1016,COLUMN($F$1),FALSE), "・", 0)) + 1), 0)</f>
        <v>0</v>
      </c>
      <c r="CL337">
        <f>SUM(G337:I337)</f>
        <v>0</v>
      </c>
      <c r="CM337" s="22" t="str">
        <f>IF(E337="武器",IF(J337-1&gt;SUM(G337:I337),"盾",IF(MAX(G337:I337)=G337,"切断",IF(MAX(G337:I337)=H337,"貫通",IF(MAX(G337:I337)=I337,"打撃","射撃")))),E337)&amp;".webp"</f>
        <v>.webp</v>
      </c>
      <c r="CN337" t="str">
        <f>IFERROR(VLOOKUP($C337,武器!$1:$998,COLUMN(V$1),FALSE)*VLOOKUP($D337,素材!$1:$1016,COLUMN(N$1),FALSE)+IF(CI337="",0,VLOOKUP($CI337,装強!$1:$1008,COLUMN($CK$1),FALSE)),"")</f>
        <v/>
      </c>
      <c r="CO337" t="e">
        <f>VLOOKUP(D337,素材!$A:$O,COLUMN(素材!O$1),FALSE)</f>
        <v>#N/A</v>
      </c>
      <c r="CP337" t="e">
        <f>VLOOKUP(C337,武器!$A:$W,COLUMN(武器!W$1),FALSE)</f>
        <v>#N/A</v>
      </c>
      <c r="CR337" t="str">
        <f t="shared" si="35"/>
        <v>e_337</v>
      </c>
      <c r="CS337" t="e">
        <f t="shared" si="36"/>
        <v>#VALUE!</v>
      </c>
    </row>
    <row r="338" spans="1:97" hidden="1" outlineLevel="1" x14ac:dyDescent="0.4">
      <c r="A338" t="str">
        <f>IF(CI338="",D338&amp;"の"&amp;C338,CI338&amp;"の"&amp;C338)</f>
        <v>の</v>
      </c>
      <c r="B338" t="str">
        <f>IFERROR(IF(CI338="",VLOOKUP($D338,素材!$1:$1016,COLUMN($B$1),FALSE)&amp;"・"&amp;VLOOKUP($C338,武器!$1:$998,COLUMN(B$1),FALSE),VLOOKUP($CI338,装強!$1:$1008,COLUMN($B$1),FALSE)&amp;"・"&amp;VLOOKUP($C338,武器!$1:$998,COLUMN(B$1),FALSE)),"")</f>
        <v/>
      </c>
      <c r="C338" s="24"/>
      <c r="D338" s="24"/>
      <c r="E338" t="str">
        <f>IFERROR(VLOOKUP(C338,武器!$1:$998,COLUMN(C$1),FALSE),"")</f>
        <v/>
      </c>
      <c r="F338" t="str">
        <f>IFERROR(ROUNDDOWN((VLOOKUP($C338,武器!$1:$998,COLUMN(D$1),FALSE)+IFERROR(VLOOKUP($CI338,装強!$1:$999,COLUMN(F$1),FALSE),0))*VLOOKUP($D338,素材!$1:$1016,COLUMN(D$1),FALSE),0),"")</f>
        <v/>
      </c>
      <c r="G338" t="str">
        <f>IFERROR(ROUNDDOWN((VLOOKUP($C338,武器!$1:$998,COLUMN(E$1),FALSE)+IFERROR(VLOOKUP($CI338,装強!$1:$999,COLUMN(G$1),FALSE),0))*VLOOKUP($D338,素材!$1:$1016,COLUMN($E$1),FALSE),0),"")</f>
        <v/>
      </c>
      <c r="H338" t="str">
        <f>IFERROR(ROUNDDOWN((VLOOKUP($C338,武器!$1:$998,COLUMN(F$1),FALSE)+IFERROR(VLOOKUP($CI338,装強!$1:$999,COLUMN(H$1),FALSE),0))*VLOOKUP($D338,素材!$1:$1016,COLUMN($E$1),FALSE),0),"")</f>
        <v/>
      </c>
      <c r="I338" t="str">
        <f>IFERROR(ROUNDDOWN((VLOOKUP($C338,武器!$1:$998,COLUMN(G$1),FALSE)+IFERROR(VLOOKUP($CI338,装強!$1:$999,COLUMN(I$1),FALSE),0))*VLOOKUP($D338,素材!$1:$1016,COLUMN($E$1),FALSE),0),"")</f>
        <v/>
      </c>
      <c r="J338" t="str">
        <f>IFERROR(ROUNDDOWN((VLOOKUP($C338,武器!$1:$998,COLUMN(H$1),FALSE)+IFERROR(VLOOKUP($CI338,装強!$1:$999,COLUMN(J$1),FALSE),0))*VLOOKUP($D338,素材!$1:$1016,COLUMN($E$1),FALSE),0),"")</f>
        <v/>
      </c>
      <c r="K338" t="str">
        <f>IFERROR(ROUNDDOWN((VLOOKUP($C338,武器!$1:$998,COLUMN(I$1),FALSE)+IFERROR(VLOOKUP($CI338,装強!$1:$999,COLUMN(K$1),FALSE),0))*VLOOKUP($D338,素材!$1:$1016,COLUMN($E$1),FALSE),0),"")</f>
        <v/>
      </c>
      <c r="L338" t="str">
        <f>IFERROR(VLOOKUP($D338,素材!$1:$1016,COLUMN($F$1),FALSE),"")</f>
        <v/>
      </c>
      <c r="M338" t="str">
        <f>IFERROR(VLOOKUP($C338,武器!$1:$998,COLUMN(AA$1),FALSE)*VLOOKUP($D338,素材!$1:$1016,COLUMN($G$1),FALSE),"")</f>
        <v/>
      </c>
      <c r="N338" t="str">
        <f>IFERROR(VLOOKUP($C338,武器!$1:$998,COLUMN(I$1),FALSE),"")</f>
        <v/>
      </c>
      <c r="O338" s="23" t="str">
        <f>IFERROR((VLOOKUP($C338,武器!$1:$998,COLUMN(K$1),FALSE)+VLOOKUP($D338,素材!$1:$1016,COLUMN(H$1),FALSE))*100+IFERROR(VLOOKUP($CI338,装強!$1:$999,COLUMN(O$1),FALSE),0),"")</f>
        <v/>
      </c>
      <c r="P338" s="23" t="str">
        <f>IFERROR((VLOOKUP($C338,武器!$1:$998,COLUMN(L$1),FALSE)+VLOOKUP($D338,素材!$1:$1016,COLUMN(I$1),FALSE))*100+IFERROR(VLOOKUP($CI338,装強!$1:$999,COLUMN(P$1),FALSE),0),"")</f>
        <v/>
      </c>
      <c r="Q338" t="str">
        <f>IFERROR(ROUNDUP(VLOOKUP($C338,武器!$1:$998,COLUMN(M$1),FALSE)*(VLOOKUP($D338,素材!$1:$1002,COLUMN(D$1),FALSE)/100),1),"")</f>
        <v/>
      </c>
      <c r="R338" t="str">
        <f>IFERROR(ROUNDUP(VLOOKUP($C338,武器!$1:$998,COLUMN(N$1),FALSE)*(VLOOKUP($D338,素材!$1:$1002,COLUMN(D$1),FALSE)/100),1),"")</f>
        <v/>
      </c>
      <c r="S338" t="str">
        <f>IFERROR(VLOOKUP($C338,武器!$1:$998,COLUMN(P$1),FALSE),"")</f>
        <v/>
      </c>
      <c r="T338" t="str">
        <f>IFERROR(VLOOKUP($C338,武器!$1:$998,COLUMN(Q$1),FALSE),"")</f>
        <v/>
      </c>
      <c r="U338" t="str">
        <f>IFERROR(VLOOKUP($C338,武器!$1:$998,COLUMN(R$1),FALSE),"")</f>
        <v/>
      </c>
      <c r="V338" t="str">
        <f>IFERROR(VLOOKUP($C338,武器!$1:$998,COLUMN(Q$1),FALSE),"")</f>
        <v/>
      </c>
      <c r="W338" t="str">
        <f>IFERROR(VLOOKUP($C338,武器!$1:$998,COLUMN(T$1),FALSE),"")</f>
        <v/>
      </c>
      <c r="Y338" t="str">
        <f>IFERROR(VLOOKUP($C338,武器!$1:$998,COLUMN(U$1),FALSE),"")</f>
        <v/>
      </c>
      <c r="Z338" t="str">
        <f>IFERROR(ROUNDUP(VLOOKUP($C338,武器!$1:$998,COLUMN(O$1),FALSE)*VLOOKUP($D338,素材!$1:$1016,COLUMN(E$1),FALSE),1),"")</f>
        <v/>
      </c>
      <c r="AA338">
        <f>IF(ISNUMBER(SEARCH(SUBSTITUTE(AA$1,RIGHT(AA$1,2),""),VLOOKUP($D338,素材!$1:$1016,COLUMN($F$1),FALSE))),VLOOKUP($C338,武器!$1:$998,COLUMN($O$1),FALSE)*VLOOKUP($D338,素材!$1:$1016,COLUMN($E$1),FALSE)/(LEN(VLOOKUP($D338,素材!$1:$1016,COLUMN($F$1),FALSE)) - LEN(SUBSTITUTE(VLOOKUP($D338,素材!$1:$1016,COLUMN($F$1),FALSE), "・", 0)) + 1), 0)</f>
        <v>0</v>
      </c>
      <c r="AB338">
        <f>IF(ISNUMBER(SEARCH(SUBSTITUTE(AB$1,RIGHT(AB$1,2),""),VLOOKUP($D338,素材!$1:$1016,COLUMN($F$1),FALSE))),VLOOKUP($C338,武器!$1:$998,COLUMN($O$1),FALSE)*VLOOKUP($D338,素材!$1:$1016,COLUMN($E$1),FALSE)/(LEN(VLOOKUP($D338,素材!$1:$1016,COLUMN($F$1),FALSE)) - LEN(SUBSTITUTE(VLOOKUP($D338,素材!$1:$1016,COLUMN($F$1),FALSE), "・", 0)) + 1), 0)</f>
        <v>0</v>
      </c>
      <c r="AC338">
        <f>IF(ISNUMBER(SEARCH(SUBSTITUTE(AC$1,RIGHT(AC$1,2),""),VLOOKUP($D338,素材!$1:$1016,COLUMN($F$1),FALSE))),VLOOKUP($C338,武器!$1:$998,COLUMN($O$1),FALSE)*VLOOKUP($D338,素材!$1:$1016,COLUMN($E$1),FALSE)/(LEN(VLOOKUP($D338,素材!$1:$1016,COLUMN($F$1),FALSE)) - LEN(SUBSTITUTE(VLOOKUP($D338,素材!$1:$1016,COLUMN($F$1),FALSE), "・", 0)) + 1), 0)</f>
        <v>0</v>
      </c>
      <c r="AD338">
        <f>IF(ISNUMBER(SEARCH(SUBSTITUTE(AD$1,RIGHT(AD$1,2),""),VLOOKUP($D338,素材!$1:$1016,COLUMN($F$1),FALSE))),VLOOKUP($C338,武器!$1:$998,COLUMN($O$1),FALSE)*VLOOKUP($D338,素材!$1:$1016,COLUMN($E$1),FALSE)/(LEN(VLOOKUP($D338,素材!$1:$1016,COLUMN($F$1),FALSE)) - LEN(SUBSTITUTE(VLOOKUP($D338,素材!$1:$1016,COLUMN($F$1),FALSE), "・", 0)) + 1), 0)</f>
        <v>0</v>
      </c>
      <c r="AE338">
        <f>IF(ISNUMBER(SEARCH(SUBSTITUTE(AE$1,RIGHT(AE$1,2),""),VLOOKUP($D338,素材!$1:$1016,COLUMN($F$1),FALSE))),VLOOKUP($C338,武器!$1:$998,COLUMN($O$1),FALSE)*VLOOKUP($D338,素材!$1:$1016,COLUMN($E$1),FALSE)/(LEN(VLOOKUP($D338,素材!$1:$1016,COLUMN($F$1),FALSE)) - LEN(SUBSTITUTE(VLOOKUP($D338,素材!$1:$1016,COLUMN($F$1),FALSE), "・", 0)) + 1), 0)</f>
        <v>0</v>
      </c>
      <c r="AF338">
        <f>IF(ISNUMBER(SEARCH(SUBSTITUTE(AF$1,RIGHT(AF$1,2),""),VLOOKUP($D338,素材!$1:$1016,COLUMN($F$1),FALSE))),VLOOKUP($C338,武器!$1:$998,COLUMN($O$1),FALSE)*VLOOKUP($D338,素材!$1:$1016,COLUMN($E$1),FALSE)/(LEN(VLOOKUP($D338,素材!$1:$1016,COLUMN($F$1),FALSE)) - LEN(SUBSTITUTE(VLOOKUP($D338,素材!$1:$1016,COLUMN($F$1),FALSE), "・", 0)) + 1), 0)</f>
        <v>0</v>
      </c>
      <c r="AG338">
        <f>IF(ISNUMBER(SEARCH(SUBSTITUTE(AG$1,RIGHT(AG$1,2),""),VLOOKUP($D338,素材!$1:$1016,COLUMN($F$1),FALSE))),VLOOKUP($C338,武器!$1:$998,COLUMN($O$1),FALSE)*VLOOKUP($D338,素材!$1:$1016,COLUMN($E$1),FALSE)/(LEN(VLOOKUP($D338,素材!$1:$1016,COLUMN($F$1),FALSE)) - LEN(SUBSTITUTE(VLOOKUP($D338,素材!$1:$1016,COLUMN($F$1),FALSE), "・", 0)) + 1), 0)</f>
        <v>0</v>
      </c>
      <c r="AH338">
        <f>IF(ISNUMBER(SEARCH(SUBSTITUTE(AH$1,RIGHT(AH$1,2),""),VLOOKUP($D338,素材!$1:$1016,COLUMN($F$1),FALSE))),VLOOKUP($C338,武器!$1:$998,COLUMN($O$1),FALSE)*VLOOKUP($D338,素材!$1:$1016,COLUMN($E$1),FALSE)/(LEN(VLOOKUP($D338,素材!$1:$1016,COLUMN($F$1),FALSE)) - LEN(SUBSTITUTE(VLOOKUP($D338,素材!$1:$1016,COLUMN($F$1),FALSE), "・", 0)) + 1), 0)</f>
        <v>0</v>
      </c>
      <c r="AI338">
        <f>IF(ISNUMBER(SEARCH(SUBSTITUTE(AI$1,RIGHT(AI$1,2),""),VLOOKUP($D338,素材!$1:$1016,COLUMN($F$1),FALSE))),VLOOKUP($C338,武器!$1:$998,COLUMN($O$1),FALSE)*VLOOKUP($D338,素材!$1:$1016,COLUMN($E$1),FALSE)/(LEN(VLOOKUP($D338,素材!$1:$1016,COLUMN($F$1),FALSE)) - LEN(SUBSTITUTE(VLOOKUP($D338,素材!$1:$1016,COLUMN($F$1),FALSE), "・", 0)) + 1), 0)</f>
        <v>0</v>
      </c>
      <c r="AJ338">
        <f>IF(ISNUMBER(SEARCH(SUBSTITUTE(AJ$1,RIGHT(AJ$1,2),""),VLOOKUP($D338,素材!$1:$1016,COLUMN($F$1),FALSE))),VLOOKUP($C338,武器!$1:$998,COLUMN($O$1),FALSE)*VLOOKUP($D338,素材!$1:$1016,COLUMN($E$1),FALSE)/(LEN(VLOOKUP($D338,素材!$1:$1016,COLUMN($F$1),FALSE)) - LEN(SUBSTITUTE(VLOOKUP($D338,素材!$1:$1016,COLUMN($F$1),FALSE), "・", 0)) + 1), 0)</f>
        <v>0</v>
      </c>
      <c r="AK338">
        <f>IF(ISNUMBER(SEARCH(SUBSTITUTE(AK$1,RIGHT(AK$1,2),""),VLOOKUP($D338,素材!$1:$1016,COLUMN($F$1),FALSE))),VLOOKUP($C338,武器!$1:$998,COLUMN($O$1),FALSE)*VLOOKUP($D338,素材!$1:$1016,COLUMN($E$1),FALSE)/(LEN(VLOOKUP($D338,素材!$1:$1016,COLUMN($F$1),FALSE)) - LEN(SUBSTITUTE(VLOOKUP($D338,素材!$1:$1016,COLUMN($F$1),FALSE), "・", 0)) + 1), 0)</f>
        <v>0</v>
      </c>
      <c r="AL338">
        <f>IF(ISNUMBER(SEARCH(SUBSTITUTE(AL$1,RIGHT(AL$1,2),""),VLOOKUP($D338,素材!$1:$1016,COLUMN($F$1),FALSE))),VLOOKUP($C338,武器!$1:$998,COLUMN($O$1),FALSE)*VLOOKUP($D338,素材!$1:$1016,COLUMN($E$1),FALSE)/(LEN(VLOOKUP($D338,素材!$1:$1016,COLUMN($F$1),FALSE)) - LEN(SUBSTITUTE(VLOOKUP($D338,素材!$1:$1016,COLUMN($F$1),FALSE), "・", 0)) + 1), 0)</f>
        <v>0</v>
      </c>
      <c r="AM338">
        <f>IF(ISNUMBER(SEARCH(SUBSTITUTE(AM$1,RIGHT(AM$1,2),""),VLOOKUP($D338,素材!$1:$1016,COLUMN($F$1),FALSE))),VLOOKUP($C338,武器!$1:$998,COLUMN($O$1),FALSE)*VLOOKUP($D338,素材!$1:$1016,COLUMN($E$1),FALSE)/(LEN(VLOOKUP($D338,素材!$1:$1016,COLUMN($F$1),FALSE)) - LEN(SUBSTITUTE(VLOOKUP($D338,素材!$1:$1016,COLUMN($F$1),FALSE), "・", 0)) + 1), 0)</f>
        <v>0</v>
      </c>
      <c r="AN338">
        <f>IF(ISNUMBER(SEARCH(SUBSTITUTE(AN$1,RIGHT(AN$1,2),""),VLOOKUP($D338,素材!$1:$1016,COLUMN($F$1),FALSE))),VLOOKUP($C338,武器!$1:$998,COLUMN($O$1),FALSE)*VLOOKUP($D338,素材!$1:$1016,COLUMN($E$1),FALSE)/(LEN(VLOOKUP($D338,素材!$1:$1016,COLUMN($F$1),FALSE)) - LEN(SUBSTITUTE(VLOOKUP($D338,素材!$1:$1016,COLUMN($F$1),FALSE), "・", 0)) + 1), 0)</f>
        <v>0</v>
      </c>
      <c r="AO338">
        <f>IF(ISNUMBER(SEARCH(SUBSTITUTE(AO$1,RIGHT(AO$1,2),""),VLOOKUP($D338,素材!$1:$1016,COLUMN($F$1),FALSE))),VLOOKUP($C338,武器!$1:$998,COLUMN($O$1),FALSE)*VLOOKUP($D338,素材!$1:$1016,COLUMN($E$1),FALSE)/(LEN(VLOOKUP($D338,素材!$1:$1016,COLUMN($F$1),FALSE)) - LEN(SUBSTITUTE(VLOOKUP($D338,素材!$1:$1016,COLUMN($F$1),FALSE), "・", 0)) + 1), 0)</f>
        <v>0</v>
      </c>
      <c r="AP338">
        <f>IF(ISNUMBER(SEARCH(SUBSTITUTE(AP$1,RIGHT(AP$1,2),""),VLOOKUP($D338,素材!$1:$1016,COLUMN($F$1),FALSE))),VLOOKUP($C338,武器!$1:$998,COLUMN($O$1),FALSE)*VLOOKUP($D338,素材!$1:$1016,COLUMN($E$1),FALSE)/(LEN(VLOOKUP($D338,素材!$1:$1016,COLUMN($F$1),FALSE)) - LEN(SUBSTITUTE(VLOOKUP($D338,素材!$1:$1016,COLUMN($F$1),FALSE), "・", 0)) + 1), 0)</f>
        <v>0</v>
      </c>
      <c r="AQ338">
        <f>IF(ISNUMBER(SEARCH(SUBSTITUTE(AQ$1,RIGHT(AQ$1,2),""),VLOOKUP($D338,素材!$1:$1016,COLUMN($F$1),FALSE))),VLOOKUP($C338,武器!$1:$998,COLUMN($O$1),FALSE)*VLOOKUP($D338,素材!$1:$1016,COLUMN($E$1),FALSE)/(LEN(VLOOKUP($D338,素材!$1:$1016,COLUMN($F$1),FALSE)) - LEN(SUBSTITUTE(VLOOKUP($D338,素材!$1:$1016,COLUMN($F$1),FALSE), "・", 0)) + 1), 0)</f>
        <v>0</v>
      </c>
      <c r="AR338">
        <f>IF(ISNUMBER(SEARCH(SUBSTITUTE(AR$1,RIGHT(AR$1,2),""),VLOOKUP($D338,素材!$1:$1016,COLUMN($F$1),FALSE))),VLOOKUP($C338,武器!$1:$998,COLUMN($O$1),FALSE)*VLOOKUP($D338,素材!$1:$1016,COLUMN($E$1),FALSE)/(LEN(VLOOKUP($D338,素材!$1:$1016,COLUMN($F$1),FALSE)) - LEN(SUBSTITUTE(VLOOKUP($D338,素材!$1:$1016,COLUMN($F$1),FALSE), "・", 0)) + 1), 0)</f>
        <v>0</v>
      </c>
      <c r="AS338">
        <f>IF(ISNUMBER(SEARCH(SUBSTITUTE(AS$1,RIGHT(AS$1,2),""),VLOOKUP($D338,素材!$1:$1016,COLUMN($F$1),FALSE))),VLOOKUP($C338,武器!$1:$998,COLUMN($O$1),FALSE)*VLOOKUP($D338,素材!$1:$1016,COLUMN($E$1),FALSE)/(LEN(VLOOKUP($D338,素材!$1:$1016,COLUMN($F$1),FALSE)) - LEN(SUBSTITUTE(VLOOKUP($D338,素材!$1:$1016,COLUMN($F$1),FALSE), "・", 0)) + 1), 0)</f>
        <v>0</v>
      </c>
      <c r="AT338">
        <f>IF(ISNUMBER(SEARCH(SUBSTITUTE(AT$1,RIGHT(AT$1,2),""),VLOOKUP($D338,素材!$1:$1016,COLUMN($F$1),FALSE))),VLOOKUP($C338,武器!$1:$998,COLUMN($O$1),FALSE)*VLOOKUP($D338,素材!$1:$1016,COLUMN($E$1),FALSE)/(LEN(VLOOKUP($D338,素材!$1:$1016,COLUMN($F$1),FALSE)) - LEN(SUBSTITUTE(VLOOKUP($D338,素材!$1:$1016,COLUMN($F$1),FALSE), "・", 0)) + 1), 0)</f>
        <v>0</v>
      </c>
      <c r="AU338">
        <f>IF(ISNUMBER(SEARCH(SUBSTITUTE(AU$1,RIGHT(AU$1,2),""),VLOOKUP($D338,素材!$1:$1016,COLUMN($F$1),FALSE))),VLOOKUP($C338,武器!$1:$998,COLUMN($O$1),FALSE)*VLOOKUP($D338,素材!$1:$1016,COLUMN($E$1),FALSE)/(LEN(VLOOKUP($D338,素材!$1:$1016,COLUMN($F$1),FALSE)) - LEN(SUBSTITUTE(VLOOKUP($D338,素材!$1:$1016,COLUMN($F$1),FALSE), "・", 0)) + 1), 0)</f>
        <v>0</v>
      </c>
      <c r="AV338">
        <f>IF(ISNUMBER(SEARCH(SUBSTITUTE(AV$1,RIGHT(AV$1,2),""),VLOOKUP($D338,素材!$1:$1016,COLUMN($F$1),FALSE))),VLOOKUP($C338,武器!$1:$998,COLUMN($O$1),FALSE)*VLOOKUP($D338,素材!$1:$1016,COLUMN($E$1),FALSE)/(LEN(VLOOKUP($D338,素材!$1:$1016,COLUMN($F$1),FALSE)) - LEN(SUBSTITUTE(VLOOKUP($D338,素材!$1:$1016,COLUMN($F$1),FALSE), "・", 0)) + 1), 0)</f>
        <v>0</v>
      </c>
      <c r="AW338">
        <f>IF(ISNUMBER(SEARCH(SUBSTITUTE(AW$1,RIGHT(AW$1,2),""),VLOOKUP($D338,素材!$1:$1016,COLUMN($F$1),FALSE))),VLOOKUP($C338,武器!$1:$998,COLUMN($O$1),FALSE)*VLOOKUP($D338,素材!$1:$1016,COLUMN($E$1),FALSE)/(LEN(VLOOKUP($D338,素材!$1:$1016,COLUMN($F$1),FALSE)) - LEN(SUBSTITUTE(VLOOKUP($D338,素材!$1:$1016,COLUMN($F$1),FALSE), "・", 0)) + 1), 0)</f>
        <v>0</v>
      </c>
      <c r="AX338">
        <f>IF(ISNUMBER(SEARCH(SUBSTITUTE(AX$1,RIGHT(AX$1,2),""),VLOOKUP($D338,素材!$1:$1016,COLUMN($F$1),FALSE))),VLOOKUP($C338,武器!$1:$998,COLUMN($O$1),FALSE)*VLOOKUP($D338,素材!$1:$1016,COLUMN($E$1),FALSE)/(LEN(VLOOKUP($D338,素材!$1:$1016,COLUMN($F$1),FALSE)) - LEN(SUBSTITUTE(VLOOKUP($D338,素材!$1:$1016,COLUMN($F$1),FALSE), "・", 0)) + 1), 0)</f>
        <v>0</v>
      </c>
      <c r="AY338">
        <f>IF(ISNUMBER(SEARCH(SUBSTITUTE(AY$1,RIGHT(AY$1,2),""),VLOOKUP($D338,素材!$1:$1016,COLUMN($F$1),FALSE))),VLOOKUP($C338,武器!$1:$998,COLUMN($O$1),FALSE)*VLOOKUP($D338,素材!$1:$1016,COLUMN($E$1),FALSE)/(LEN(VLOOKUP($D338,素材!$1:$1016,COLUMN($F$1),FALSE)) - LEN(SUBSTITUTE(VLOOKUP($D338,素材!$1:$1016,COLUMN($F$1),FALSE), "・", 0)) + 1), 0)</f>
        <v>0</v>
      </c>
      <c r="AZ338">
        <f>IF(ISNUMBER(SEARCH(SUBSTITUTE(AZ$1,RIGHT(AZ$1,2),""),VLOOKUP($D338,素材!$1:$1016,COLUMN($F$1),FALSE))),VLOOKUP($C338,武器!$1:$998,COLUMN($O$1),FALSE)*VLOOKUP($D338,素材!$1:$1016,COLUMN($E$1),FALSE)/(LEN(VLOOKUP($D338,素材!$1:$1016,COLUMN($F$1),FALSE)) - LEN(SUBSTITUTE(VLOOKUP($D338,素材!$1:$1016,COLUMN($F$1),FALSE), "・", 0)) + 1), 0)</f>
        <v>0</v>
      </c>
      <c r="BA338">
        <f>IF(ISNUMBER(SEARCH(SUBSTITUTE(BA$1,RIGHT(BA$1,2),""),VLOOKUP($D338,素材!$1:$1016,COLUMN($F$1),FALSE))),VLOOKUP($C338,武器!$1:$998,COLUMN($O$1),FALSE)*VLOOKUP($D338,素材!$1:$1016,COLUMN($E$1),FALSE)/(LEN(VLOOKUP($D338,素材!$1:$1016,COLUMN($F$1),FALSE)) - LEN(SUBSTITUTE(VLOOKUP($D338,素材!$1:$1016,COLUMN($F$1),FALSE), "・", 0)) + 1), 0)</f>
        <v>0</v>
      </c>
      <c r="BB338">
        <f>IF(ISNUMBER(SEARCH(SUBSTITUTE(BB$1,RIGHT(BB$1,2),""),VLOOKUP($D338,素材!$1:$1016,COLUMN($F$1),FALSE))),VLOOKUP($C338,武器!$1:$998,COLUMN($O$1),FALSE)*VLOOKUP($D338,素材!$1:$1016,COLUMN($E$1),FALSE)/(LEN(VLOOKUP($D338,素材!$1:$1016,COLUMN($F$1),FALSE)) - LEN(SUBSTITUTE(VLOOKUP($D338,素材!$1:$1016,COLUMN($F$1),FALSE), "・", 0)) + 1), 0)</f>
        <v>0</v>
      </c>
      <c r="BC338">
        <f>IF(ISNUMBER(SEARCH(SUBSTITUTE(BC$1,RIGHT(BC$1,2),""),VLOOKUP($D338,素材!$1:$1016,COLUMN($F$1),FALSE))),VLOOKUP($C338,武器!$1:$998,COLUMN($O$1),FALSE)*VLOOKUP($D338,素材!$1:$1016,COLUMN($E$1),FALSE)/(LEN(VLOOKUP($D338,素材!$1:$1016,COLUMN($F$1),FALSE)) - LEN(SUBSTITUTE(VLOOKUP($D338,素材!$1:$1016,COLUMN($F$1),FALSE), "・", 0)) + 1), 0)</f>
        <v>0</v>
      </c>
      <c r="BD338">
        <f>IF(ISNUMBER(SEARCH(SUBSTITUTE(BD$1,RIGHT(BD$1,2),""),VLOOKUP($D338,素材!$1:$1016,COLUMN($F$1),FALSE))),VLOOKUP($C338,武器!$1:$998,COLUMN($O$1),FALSE)*VLOOKUP($D338,素材!$1:$1016,COLUMN($E$1),FALSE)/(LEN(VLOOKUP($D338,素材!$1:$1016,COLUMN($F$1),FALSE)) - LEN(SUBSTITUTE(VLOOKUP($D338,素材!$1:$1016,COLUMN($F$1),FALSE), "・", 0)) + 1), 0)</f>
        <v>0</v>
      </c>
      <c r="BE338">
        <f>IF(ISNUMBER(SEARCH(SUBSTITUTE(BE$1,RIGHT(BE$1,2),""),VLOOKUP($D338,素材!$1:$1016,COLUMN($F$1),FALSE))),VLOOKUP($C338,武器!$1:$998,COLUMN($O$1),FALSE)*VLOOKUP($D338,素材!$1:$1016,COLUMN($E$1),FALSE)/(LEN(VLOOKUP($D338,素材!$1:$1016,COLUMN($F$1),FALSE)) - LEN(SUBSTITUTE(VLOOKUP($D338,素材!$1:$1016,COLUMN($F$1),FALSE), "・", 0)) + 1), 0)</f>
        <v>0</v>
      </c>
      <c r="CL338">
        <f>SUM(G338:I338)</f>
        <v>0</v>
      </c>
      <c r="CM338" s="22" t="str">
        <f>IF(E338="武器",IF(J338-1&gt;SUM(G338:I338),"盾",IF(MAX(G338:I338)=G338,"切断",IF(MAX(G338:I338)=H338,"貫通",IF(MAX(G338:I338)=I338,"打撃","射撃")))),E338)&amp;".webp"</f>
        <v>.webp</v>
      </c>
      <c r="CN338" t="str">
        <f>IFERROR(VLOOKUP($C338,武器!$1:$998,COLUMN(V$1),FALSE)*VLOOKUP($D338,素材!$1:$1016,COLUMN(N$1),FALSE)+IF(CI338="",0,VLOOKUP($CI338,装強!$1:$1008,COLUMN($CK$1),FALSE)),"")</f>
        <v/>
      </c>
      <c r="CO338" t="e">
        <f>VLOOKUP(D338,素材!$A:$O,COLUMN(素材!O$1),FALSE)</f>
        <v>#N/A</v>
      </c>
      <c r="CP338" t="e">
        <f>VLOOKUP(C338,武器!$A:$W,COLUMN(武器!W$1),FALSE)</f>
        <v>#N/A</v>
      </c>
      <c r="CR338" t="str">
        <f t="shared" si="35"/>
        <v>e_338</v>
      </c>
      <c r="CS338" t="e">
        <f t="shared" si="36"/>
        <v>#VALUE!</v>
      </c>
    </row>
    <row r="339" spans="1:97" hidden="1" outlineLevel="1" x14ac:dyDescent="0.4">
      <c r="A339" t="str">
        <f>IF(CI339="",D339&amp;"の"&amp;C339,CI339&amp;"の"&amp;C339)</f>
        <v>の</v>
      </c>
      <c r="B339" t="str">
        <f>IFERROR(IF(CI339="",VLOOKUP($D339,素材!$1:$1016,COLUMN($B$1),FALSE)&amp;"・"&amp;VLOOKUP($C339,武器!$1:$998,COLUMN(B$1),FALSE),VLOOKUP($CI339,装強!$1:$1008,COLUMN($B$1),FALSE)&amp;"・"&amp;VLOOKUP($C339,武器!$1:$998,COLUMN(B$1),FALSE)),"")</f>
        <v/>
      </c>
      <c r="C339" s="24"/>
      <c r="D339" s="24"/>
      <c r="E339" t="str">
        <f>IFERROR(VLOOKUP(C339,武器!$1:$998,COLUMN(C$1),FALSE),"")</f>
        <v/>
      </c>
      <c r="F339" t="str">
        <f>IFERROR(ROUNDDOWN((VLOOKUP($C339,武器!$1:$998,COLUMN(D$1),FALSE)+IFERROR(VLOOKUP($CI339,装強!$1:$999,COLUMN(F$1),FALSE),0))*VLOOKUP($D339,素材!$1:$1016,COLUMN(D$1),FALSE),0),"")</f>
        <v/>
      </c>
      <c r="G339" t="str">
        <f>IFERROR(ROUNDDOWN((VLOOKUP($C339,武器!$1:$998,COLUMN(E$1),FALSE)+IFERROR(VLOOKUP($CI339,装強!$1:$999,COLUMN(G$1),FALSE),0))*VLOOKUP($D339,素材!$1:$1016,COLUMN($E$1),FALSE),0),"")</f>
        <v/>
      </c>
      <c r="H339" t="str">
        <f>IFERROR(ROUNDDOWN((VLOOKUP($C339,武器!$1:$998,COLUMN(F$1),FALSE)+IFERROR(VLOOKUP($CI339,装強!$1:$999,COLUMN(H$1),FALSE),0))*VLOOKUP($D339,素材!$1:$1016,COLUMN($E$1),FALSE),0),"")</f>
        <v/>
      </c>
      <c r="I339" t="str">
        <f>IFERROR(ROUNDDOWN((VLOOKUP($C339,武器!$1:$998,COLUMN(G$1),FALSE)+IFERROR(VLOOKUP($CI339,装強!$1:$999,COLUMN(I$1),FALSE),0))*VLOOKUP($D339,素材!$1:$1016,COLUMN($E$1),FALSE),0),"")</f>
        <v/>
      </c>
      <c r="J339" t="str">
        <f>IFERROR(ROUNDDOWN((VLOOKUP($C339,武器!$1:$998,COLUMN(H$1),FALSE)+IFERROR(VLOOKUP($CI339,装強!$1:$999,COLUMN(J$1),FALSE),0))*VLOOKUP($D339,素材!$1:$1016,COLUMN($E$1),FALSE),0),"")</f>
        <v/>
      </c>
      <c r="K339" t="str">
        <f>IFERROR(ROUNDDOWN((VLOOKUP($C339,武器!$1:$998,COLUMN(I$1),FALSE)+IFERROR(VLOOKUP($CI339,装強!$1:$999,COLUMN(K$1),FALSE),0))*VLOOKUP($D339,素材!$1:$1016,COLUMN($E$1),FALSE),0),"")</f>
        <v/>
      </c>
      <c r="L339" t="str">
        <f>IFERROR(VLOOKUP($D339,素材!$1:$1016,COLUMN($F$1),FALSE),"")</f>
        <v/>
      </c>
      <c r="M339" t="str">
        <f>IFERROR(VLOOKUP($C339,武器!$1:$998,COLUMN(AA$1),FALSE)*VLOOKUP($D339,素材!$1:$1016,COLUMN($G$1),FALSE),"")</f>
        <v/>
      </c>
      <c r="N339" t="str">
        <f>IFERROR(VLOOKUP($C339,武器!$1:$998,COLUMN(I$1),FALSE),"")</f>
        <v/>
      </c>
      <c r="O339" s="23" t="str">
        <f>IFERROR((VLOOKUP($C339,武器!$1:$998,COLUMN(K$1),FALSE)+VLOOKUP($D339,素材!$1:$1016,COLUMN(H$1),FALSE))*100+IFERROR(VLOOKUP($CI339,装強!$1:$999,COLUMN(O$1),FALSE),0),"")</f>
        <v/>
      </c>
      <c r="P339" s="23" t="str">
        <f>IFERROR((VLOOKUP($C339,武器!$1:$998,COLUMN(L$1),FALSE)+VLOOKUP($D339,素材!$1:$1016,COLUMN(I$1),FALSE))*100+IFERROR(VLOOKUP($CI339,装強!$1:$999,COLUMN(P$1),FALSE),0),"")</f>
        <v/>
      </c>
      <c r="Q339" t="str">
        <f>IFERROR(ROUNDUP(VLOOKUP($C339,武器!$1:$998,COLUMN(M$1),FALSE)*(VLOOKUP($D339,素材!$1:$1002,COLUMN(D$1),FALSE)/100),1),"")</f>
        <v/>
      </c>
      <c r="R339" t="str">
        <f>IFERROR(ROUNDUP(VLOOKUP($C339,武器!$1:$998,COLUMN(N$1),FALSE)*(VLOOKUP($D339,素材!$1:$1002,COLUMN(D$1),FALSE)/100),1),"")</f>
        <v/>
      </c>
      <c r="S339" t="str">
        <f>IFERROR(VLOOKUP($C339,武器!$1:$998,COLUMN(P$1),FALSE),"")</f>
        <v/>
      </c>
      <c r="T339" t="str">
        <f>IFERROR(VLOOKUP($C339,武器!$1:$998,COLUMN(Q$1),FALSE),"")</f>
        <v/>
      </c>
      <c r="U339" t="str">
        <f>IFERROR(VLOOKUP($C339,武器!$1:$998,COLUMN(R$1),FALSE),"")</f>
        <v/>
      </c>
      <c r="V339" t="str">
        <f>IFERROR(VLOOKUP($C339,武器!$1:$998,COLUMN(Q$1),FALSE),"")</f>
        <v/>
      </c>
      <c r="W339" t="str">
        <f>IFERROR(VLOOKUP($C339,武器!$1:$998,COLUMN(T$1),FALSE),"")</f>
        <v/>
      </c>
      <c r="Y339" t="str">
        <f>IFERROR(VLOOKUP($C339,武器!$1:$998,COLUMN(U$1),FALSE),"")</f>
        <v/>
      </c>
      <c r="Z339" t="str">
        <f>IFERROR(ROUNDUP(VLOOKUP($C339,武器!$1:$998,COLUMN(O$1),FALSE)*VLOOKUP($D339,素材!$1:$1016,COLUMN(E$1),FALSE),1),"")</f>
        <v/>
      </c>
      <c r="AA339">
        <f>IF(ISNUMBER(SEARCH(SUBSTITUTE(AA$1,RIGHT(AA$1,2),""),VLOOKUP($D339,素材!$1:$1016,COLUMN($F$1),FALSE))),VLOOKUP($C339,武器!$1:$998,COLUMN($O$1),FALSE)*VLOOKUP($D339,素材!$1:$1016,COLUMN($E$1),FALSE)/(LEN(VLOOKUP($D339,素材!$1:$1016,COLUMN($F$1),FALSE)) - LEN(SUBSTITUTE(VLOOKUP($D339,素材!$1:$1016,COLUMN($F$1),FALSE), "・", 0)) + 1), 0)</f>
        <v>0</v>
      </c>
      <c r="AB339">
        <f>IF(ISNUMBER(SEARCH(SUBSTITUTE(AB$1,RIGHT(AB$1,2),""),VLOOKUP($D339,素材!$1:$1016,COLUMN($F$1),FALSE))),VLOOKUP($C339,武器!$1:$998,COLUMN($O$1),FALSE)*VLOOKUP($D339,素材!$1:$1016,COLUMN($E$1),FALSE)/(LEN(VLOOKUP($D339,素材!$1:$1016,COLUMN($F$1),FALSE)) - LEN(SUBSTITUTE(VLOOKUP($D339,素材!$1:$1016,COLUMN($F$1),FALSE), "・", 0)) + 1), 0)</f>
        <v>0</v>
      </c>
      <c r="AC339">
        <f>IF(ISNUMBER(SEARCH(SUBSTITUTE(AC$1,RIGHT(AC$1,2),""),VLOOKUP($D339,素材!$1:$1016,COLUMN($F$1),FALSE))),VLOOKUP($C339,武器!$1:$998,COLUMN($O$1),FALSE)*VLOOKUP($D339,素材!$1:$1016,COLUMN($E$1),FALSE)/(LEN(VLOOKUP($D339,素材!$1:$1016,COLUMN($F$1),FALSE)) - LEN(SUBSTITUTE(VLOOKUP($D339,素材!$1:$1016,COLUMN($F$1),FALSE), "・", 0)) + 1), 0)</f>
        <v>0</v>
      </c>
      <c r="AD339">
        <f>IF(ISNUMBER(SEARCH(SUBSTITUTE(AD$1,RIGHT(AD$1,2),""),VLOOKUP($D339,素材!$1:$1016,COLUMN($F$1),FALSE))),VLOOKUP($C339,武器!$1:$998,COLUMN($O$1),FALSE)*VLOOKUP($D339,素材!$1:$1016,COLUMN($E$1),FALSE)/(LEN(VLOOKUP($D339,素材!$1:$1016,COLUMN($F$1),FALSE)) - LEN(SUBSTITUTE(VLOOKUP($D339,素材!$1:$1016,COLUMN($F$1),FALSE), "・", 0)) + 1), 0)</f>
        <v>0</v>
      </c>
      <c r="AE339">
        <f>IF(ISNUMBER(SEARCH(SUBSTITUTE(AE$1,RIGHT(AE$1,2),""),VLOOKUP($D339,素材!$1:$1016,COLUMN($F$1),FALSE))),VLOOKUP($C339,武器!$1:$998,COLUMN($O$1),FALSE)*VLOOKUP($D339,素材!$1:$1016,COLUMN($E$1),FALSE)/(LEN(VLOOKUP($D339,素材!$1:$1016,COLUMN($F$1),FALSE)) - LEN(SUBSTITUTE(VLOOKUP($D339,素材!$1:$1016,COLUMN($F$1),FALSE), "・", 0)) + 1), 0)</f>
        <v>0</v>
      </c>
      <c r="AF339">
        <f>IF(ISNUMBER(SEARCH(SUBSTITUTE(AF$1,RIGHT(AF$1,2),""),VLOOKUP($D339,素材!$1:$1016,COLUMN($F$1),FALSE))),VLOOKUP($C339,武器!$1:$998,COLUMN($O$1),FALSE)*VLOOKUP($D339,素材!$1:$1016,COLUMN($E$1),FALSE)/(LEN(VLOOKUP($D339,素材!$1:$1016,COLUMN($F$1),FALSE)) - LEN(SUBSTITUTE(VLOOKUP($D339,素材!$1:$1016,COLUMN($F$1),FALSE), "・", 0)) + 1), 0)</f>
        <v>0</v>
      </c>
      <c r="AG339">
        <f>IF(ISNUMBER(SEARCH(SUBSTITUTE(AG$1,RIGHT(AG$1,2),""),VLOOKUP($D339,素材!$1:$1016,COLUMN($F$1),FALSE))),VLOOKUP($C339,武器!$1:$998,COLUMN($O$1),FALSE)*VLOOKUP($D339,素材!$1:$1016,COLUMN($E$1),FALSE)/(LEN(VLOOKUP($D339,素材!$1:$1016,COLUMN($F$1),FALSE)) - LEN(SUBSTITUTE(VLOOKUP($D339,素材!$1:$1016,COLUMN($F$1),FALSE), "・", 0)) + 1), 0)</f>
        <v>0</v>
      </c>
      <c r="AH339">
        <f>IF(ISNUMBER(SEARCH(SUBSTITUTE(AH$1,RIGHT(AH$1,2),""),VLOOKUP($D339,素材!$1:$1016,COLUMN($F$1),FALSE))),VLOOKUP($C339,武器!$1:$998,COLUMN($O$1),FALSE)*VLOOKUP($D339,素材!$1:$1016,COLUMN($E$1),FALSE)/(LEN(VLOOKUP($D339,素材!$1:$1016,COLUMN($F$1),FALSE)) - LEN(SUBSTITUTE(VLOOKUP($D339,素材!$1:$1016,COLUMN($F$1),FALSE), "・", 0)) + 1), 0)</f>
        <v>0</v>
      </c>
      <c r="AI339">
        <f>IF(ISNUMBER(SEARCH(SUBSTITUTE(AI$1,RIGHT(AI$1,2),""),VLOOKUP($D339,素材!$1:$1016,COLUMN($F$1),FALSE))),VLOOKUP($C339,武器!$1:$998,COLUMN($O$1),FALSE)*VLOOKUP($D339,素材!$1:$1016,COLUMN($E$1),FALSE)/(LEN(VLOOKUP($D339,素材!$1:$1016,COLUMN($F$1),FALSE)) - LEN(SUBSTITUTE(VLOOKUP($D339,素材!$1:$1016,COLUMN($F$1),FALSE), "・", 0)) + 1), 0)</f>
        <v>0</v>
      </c>
      <c r="AJ339">
        <f>IF(ISNUMBER(SEARCH(SUBSTITUTE(AJ$1,RIGHT(AJ$1,2),""),VLOOKUP($D339,素材!$1:$1016,COLUMN($F$1),FALSE))),VLOOKUP($C339,武器!$1:$998,COLUMN($O$1),FALSE)*VLOOKUP($D339,素材!$1:$1016,COLUMN($E$1),FALSE)/(LEN(VLOOKUP($D339,素材!$1:$1016,COLUMN($F$1),FALSE)) - LEN(SUBSTITUTE(VLOOKUP($D339,素材!$1:$1016,COLUMN($F$1),FALSE), "・", 0)) + 1), 0)</f>
        <v>0</v>
      </c>
      <c r="AK339">
        <f>IF(ISNUMBER(SEARCH(SUBSTITUTE(AK$1,RIGHT(AK$1,2),""),VLOOKUP($D339,素材!$1:$1016,COLUMN($F$1),FALSE))),VLOOKUP($C339,武器!$1:$998,COLUMN($O$1),FALSE)*VLOOKUP($D339,素材!$1:$1016,COLUMN($E$1),FALSE)/(LEN(VLOOKUP($D339,素材!$1:$1016,COLUMN($F$1),FALSE)) - LEN(SUBSTITUTE(VLOOKUP($D339,素材!$1:$1016,COLUMN($F$1),FALSE), "・", 0)) + 1), 0)</f>
        <v>0</v>
      </c>
      <c r="AL339">
        <f>IF(ISNUMBER(SEARCH(SUBSTITUTE(AL$1,RIGHT(AL$1,2),""),VLOOKUP($D339,素材!$1:$1016,COLUMN($F$1),FALSE))),VLOOKUP($C339,武器!$1:$998,COLUMN($O$1),FALSE)*VLOOKUP($D339,素材!$1:$1016,COLUMN($E$1),FALSE)/(LEN(VLOOKUP($D339,素材!$1:$1016,COLUMN($F$1),FALSE)) - LEN(SUBSTITUTE(VLOOKUP($D339,素材!$1:$1016,COLUMN($F$1),FALSE), "・", 0)) + 1), 0)</f>
        <v>0</v>
      </c>
      <c r="AM339">
        <f>IF(ISNUMBER(SEARCH(SUBSTITUTE(AM$1,RIGHT(AM$1,2),""),VLOOKUP($D339,素材!$1:$1016,COLUMN($F$1),FALSE))),VLOOKUP($C339,武器!$1:$998,COLUMN($O$1),FALSE)*VLOOKUP($D339,素材!$1:$1016,COLUMN($E$1),FALSE)/(LEN(VLOOKUP($D339,素材!$1:$1016,COLUMN($F$1),FALSE)) - LEN(SUBSTITUTE(VLOOKUP($D339,素材!$1:$1016,COLUMN($F$1),FALSE), "・", 0)) + 1), 0)</f>
        <v>0</v>
      </c>
      <c r="AN339">
        <f>IF(ISNUMBER(SEARCH(SUBSTITUTE(AN$1,RIGHT(AN$1,2),""),VLOOKUP($D339,素材!$1:$1016,COLUMN($F$1),FALSE))),VLOOKUP($C339,武器!$1:$998,COLUMN($O$1),FALSE)*VLOOKUP($D339,素材!$1:$1016,COLUMN($E$1),FALSE)/(LEN(VLOOKUP($D339,素材!$1:$1016,COLUMN($F$1),FALSE)) - LEN(SUBSTITUTE(VLOOKUP($D339,素材!$1:$1016,COLUMN($F$1),FALSE), "・", 0)) + 1), 0)</f>
        <v>0</v>
      </c>
      <c r="AO339">
        <f>IF(ISNUMBER(SEARCH(SUBSTITUTE(AO$1,RIGHT(AO$1,2),""),VLOOKUP($D339,素材!$1:$1016,COLUMN($F$1),FALSE))),VLOOKUP($C339,武器!$1:$998,COLUMN($O$1),FALSE)*VLOOKUP($D339,素材!$1:$1016,COLUMN($E$1),FALSE)/(LEN(VLOOKUP($D339,素材!$1:$1016,COLUMN($F$1),FALSE)) - LEN(SUBSTITUTE(VLOOKUP($D339,素材!$1:$1016,COLUMN($F$1),FALSE), "・", 0)) + 1), 0)</f>
        <v>0</v>
      </c>
      <c r="AP339">
        <f>IF(ISNUMBER(SEARCH(SUBSTITUTE(AP$1,RIGHT(AP$1,2),""),VLOOKUP($D339,素材!$1:$1016,COLUMN($F$1),FALSE))),VLOOKUP($C339,武器!$1:$998,COLUMN($O$1),FALSE)*VLOOKUP($D339,素材!$1:$1016,COLUMN($E$1),FALSE)/(LEN(VLOOKUP($D339,素材!$1:$1016,COLUMN($F$1),FALSE)) - LEN(SUBSTITUTE(VLOOKUP($D339,素材!$1:$1016,COLUMN($F$1),FALSE), "・", 0)) + 1), 0)</f>
        <v>0</v>
      </c>
      <c r="AQ339">
        <f>IF(ISNUMBER(SEARCH(SUBSTITUTE(AQ$1,RIGHT(AQ$1,2),""),VLOOKUP($D339,素材!$1:$1016,COLUMN($F$1),FALSE))),VLOOKUP($C339,武器!$1:$998,COLUMN($O$1),FALSE)*VLOOKUP($D339,素材!$1:$1016,COLUMN($E$1),FALSE)/(LEN(VLOOKUP($D339,素材!$1:$1016,COLUMN($F$1),FALSE)) - LEN(SUBSTITUTE(VLOOKUP($D339,素材!$1:$1016,COLUMN($F$1),FALSE), "・", 0)) + 1), 0)</f>
        <v>0</v>
      </c>
      <c r="AR339">
        <f>IF(ISNUMBER(SEARCH(SUBSTITUTE(AR$1,RIGHT(AR$1,2),""),VLOOKUP($D339,素材!$1:$1016,COLUMN($F$1),FALSE))),VLOOKUP($C339,武器!$1:$998,COLUMN($O$1),FALSE)*VLOOKUP($D339,素材!$1:$1016,COLUMN($E$1),FALSE)/(LEN(VLOOKUP($D339,素材!$1:$1016,COLUMN($F$1),FALSE)) - LEN(SUBSTITUTE(VLOOKUP($D339,素材!$1:$1016,COLUMN($F$1),FALSE), "・", 0)) + 1), 0)</f>
        <v>0</v>
      </c>
      <c r="AS339">
        <f>IF(ISNUMBER(SEARCH(SUBSTITUTE(AS$1,RIGHT(AS$1,2),""),VLOOKUP($D339,素材!$1:$1016,COLUMN($F$1),FALSE))),VLOOKUP($C339,武器!$1:$998,COLUMN($O$1),FALSE)*VLOOKUP($D339,素材!$1:$1016,COLUMN($E$1),FALSE)/(LEN(VLOOKUP($D339,素材!$1:$1016,COLUMN($F$1),FALSE)) - LEN(SUBSTITUTE(VLOOKUP($D339,素材!$1:$1016,COLUMN($F$1),FALSE), "・", 0)) + 1), 0)</f>
        <v>0</v>
      </c>
      <c r="AT339">
        <f>IF(ISNUMBER(SEARCH(SUBSTITUTE(AT$1,RIGHT(AT$1,2),""),VLOOKUP($D339,素材!$1:$1016,COLUMN($F$1),FALSE))),VLOOKUP($C339,武器!$1:$998,COLUMN($O$1),FALSE)*VLOOKUP($D339,素材!$1:$1016,COLUMN($E$1),FALSE)/(LEN(VLOOKUP($D339,素材!$1:$1016,COLUMN($F$1),FALSE)) - LEN(SUBSTITUTE(VLOOKUP($D339,素材!$1:$1016,COLUMN($F$1),FALSE), "・", 0)) + 1), 0)</f>
        <v>0</v>
      </c>
      <c r="AU339">
        <f>IF(ISNUMBER(SEARCH(SUBSTITUTE(AU$1,RIGHT(AU$1,2),""),VLOOKUP($D339,素材!$1:$1016,COLUMN($F$1),FALSE))),VLOOKUP($C339,武器!$1:$998,COLUMN($O$1),FALSE)*VLOOKUP($D339,素材!$1:$1016,COLUMN($E$1),FALSE)/(LEN(VLOOKUP($D339,素材!$1:$1016,COLUMN($F$1),FALSE)) - LEN(SUBSTITUTE(VLOOKUP($D339,素材!$1:$1016,COLUMN($F$1),FALSE), "・", 0)) + 1), 0)</f>
        <v>0</v>
      </c>
      <c r="AV339">
        <f>IF(ISNUMBER(SEARCH(SUBSTITUTE(AV$1,RIGHT(AV$1,2),""),VLOOKUP($D339,素材!$1:$1016,COLUMN($F$1),FALSE))),VLOOKUP($C339,武器!$1:$998,COLUMN($O$1),FALSE)*VLOOKUP($D339,素材!$1:$1016,COLUMN($E$1),FALSE)/(LEN(VLOOKUP($D339,素材!$1:$1016,COLUMN($F$1),FALSE)) - LEN(SUBSTITUTE(VLOOKUP($D339,素材!$1:$1016,COLUMN($F$1),FALSE), "・", 0)) + 1), 0)</f>
        <v>0</v>
      </c>
      <c r="AW339">
        <f>IF(ISNUMBER(SEARCH(SUBSTITUTE(AW$1,RIGHT(AW$1,2),""),VLOOKUP($D339,素材!$1:$1016,COLUMN($F$1),FALSE))),VLOOKUP($C339,武器!$1:$998,COLUMN($O$1),FALSE)*VLOOKUP($D339,素材!$1:$1016,COLUMN($E$1),FALSE)/(LEN(VLOOKUP($D339,素材!$1:$1016,COLUMN($F$1),FALSE)) - LEN(SUBSTITUTE(VLOOKUP($D339,素材!$1:$1016,COLUMN($F$1),FALSE), "・", 0)) + 1), 0)</f>
        <v>0</v>
      </c>
      <c r="AX339">
        <f>IF(ISNUMBER(SEARCH(SUBSTITUTE(AX$1,RIGHT(AX$1,2),""),VLOOKUP($D339,素材!$1:$1016,COLUMN($F$1),FALSE))),VLOOKUP($C339,武器!$1:$998,COLUMN($O$1),FALSE)*VLOOKUP($D339,素材!$1:$1016,COLUMN($E$1),FALSE)/(LEN(VLOOKUP($D339,素材!$1:$1016,COLUMN($F$1),FALSE)) - LEN(SUBSTITUTE(VLOOKUP($D339,素材!$1:$1016,COLUMN($F$1),FALSE), "・", 0)) + 1), 0)</f>
        <v>0</v>
      </c>
      <c r="AY339">
        <f>IF(ISNUMBER(SEARCH(SUBSTITUTE(AY$1,RIGHT(AY$1,2),""),VLOOKUP($D339,素材!$1:$1016,COLUMN($F$1),FALSE))),VLOOKUP($C339,武器!$1:$998,COLUMN($O$1),FALSE)*VLOOKUP($D339,素材!$1:$1016,COLUMN($E$1),FALSE)/(LEN(VLOOKUP($D339,素材!$1:$1016,COLUMN($F$1),FALSE)) - LEN(SUBSTITUTE(VLOOKUP($D339,素材!$1:$1016,COLUMN($F$1),FALSE), "・", 0)) + 1), 0)</f>
        <v>0</v>
      </c>
      <c r="AZ339">
        <f>IF(ISNUMBER(SEARCH(SUBSTITUTE(AZ$1,RIGHT(AZ$1,2),""),VLOOKUP($D339,素材!$1:$1016,COLUMN($F$1),FALSE))),VLOOKUP($C339,武器!$1:$998,COLUMN($O$1),FALSE)*VLOOKUP($D339,素材!$1:$1016,COLUMN($E$1),FALSE)/(LEN(VLOOKUP($D339,素材!$1:$1016,COLUMN($F$1),FALSE)) - LEN(SUBSTITUTE(VLOOKUP($D339,素材!$1:$1016,COLUMN($F$1),FALSE), "・", 0)) + 1), 0)</f>
        <v>0</v>
      </c>
      <c r="BA339">
        <f>IF(ISNUMBER(SEARCH(SUBSTITUTE(BA$1,RIGHT(BA$1,2),""),VLOOKUP($D339,素材!$1:$1016,COLUMN($F$1),FALSE))),VLOOKUP($C339,武器!$1:$998,COLUMN($O$1),FALSE)*VLOOKUP($D339,素材!$1:$1016,COLUMN($E$1),FALSE)/(LEN(VLOOKUP($D339,素材!$1:$1016,COLUMN($F$1),FALSE)) - LEN(SUBSTITUTE(VLOOKUP($D339,素材!$1:$1016,COLUMN($F$1),FALSE), "・", 0)) + 1), 0)</f>
        <v>0</v>
      </c>
      <c r="BB339">
        <f>IF(ISNUMBER(SEARCH(SUBSTITUTE(BB$1,RIGHT(BB$1,2),""),VLOOKUP($D339,素材!$1:$1016,COLUMN($F$1),FALSE))),VLOOKUP($C339,武器!$1:$998,COLUMN($O$1),FALSE)*VLOOKUP($D339,素材!$1:$1016,COLUMN($E$1),FALSE)/(LEN(VLOOKUP($D339,素材!$1:$1016,COLUMN($F$1),FALSE)) - LEN(SUBSTITUTE(VLOOKUP($D339,素材!$1:$1016,COLUMN($F$1),FALSE), "・", 0)) + 1), 0)</f>
        <v>0</v>
      </c>
      <c r="BC339">
        <f>IF(ISNUMBER(SEARCH(SUBSTITUTE(BC$1,RIGHT(BC$1,2),""),VLOOKUP($D339,素材!$1:$1016,COLUMN($F$1),FALSE))),VLOOKUP($C339,武器!$1:$998,COLUMN($O$1),FALSE)*VLOOKUP($D339,素材!$1:$1016,COLUMN($E$1),FALSE)/(LEN(VLOOKUP($D339,素材!$1:$1016,COLUMN($F$1),FALSE)) - LEN(SUBSTITUTE(VLOOKUP($D339,素材!$1:$1016,COLUMN($F$1),FALSE), "・", 0)) + 1), 0)</f>
        <v>0</v>
      </c>
      <c r="BD339">
        <f>IF(ISNUMBER(SEARCH(SUBSTITUTE(BD$1,RIGHT(BD$1,2),""),VLOOKUP($D339,素材!$1:$1016,COLUMN($F$1),FALSE))),VLOOKUP($C339,武器!$1:$998,COLUMN($O$1),FALSE)*VLOOKUP($D339,素材!$1:$1016,COLUMN($E$1),FALSE)/(LEN(VLOOKUP($D339,素材!$1:$1016,COLUMN($F$1),FALSE)) - LEN(SUBSTITUTE(VLOOKUP($D339,素材!$1:$1016,COLUMN($F$1),FALSE), "・", 0)) + 1), 0)</f>
        <v>0</v>
      </c>
      <c r="BE339">
        <f>IF(ISNUMBER(SEARCH(SUBSTITUTE(BE$1,RIGHT(BE$1,2),""),VLOOKUP($D339,素材!$1:$1016,COLUMN($F$1),FALSE))),VLOOKUP($C339,武器!$1:$998,COLUMN($O$1),FALSE)*VLOOKUP($D339,素材!$1:$1016,COLUMN($E$1),FALSE)/(LEN(VLOOKUP($D339,素材!$1:$1016,COLUMN($F$1),FALSE)) - LEN(SUBSTITUTE(VLOOKUP($D339,素材!$1:$1016,COLUMN($F$1),FALSE), "・", 0)) + 1), 0)</f>
        <v>0</v>
      </c>
      <c r="CL339">
        <f>SUM(G339:I339)</f>
        <v>0</v>
      </c>
      <c r="CM339" s="22" t="str">
        <f>IF(E339="武器",IF(J339-1&gt;SUM(G339:I339),"盾",IF(MAX(G339:I339)=G339,"切断",IF(MAX(G339:I339)=H339,"貫通",IF(MAX(G339:I339)=I339,"打撃","射撃")))),E339)&amp;".webp"</f>
        <v>.webp</v>
      </c>
      <c r="CN339" t="str">
        <f>IFERROR(VLOOKUP($C339,武器!$1:$998,COLUMN(V$1),FALSE)*VLOOKUP($D339,素材!$1:$1016,COLUMN(N$1),FALSE)+IF(CI339="",0,VLOOKUP($CI339,装強!$1:$1008,COLUMN($CK$1),FALSE)),"")</f>
        <v/>
      </c>
      <c r="CO339" t="e">
        <f>VLOOKUP(D339,素材!$A:$O,COLUMN(素材!O$1),FALSE)</f>
        <v>#N/A</v>
      </c>
      <c r="CP339" t="e">
        <f>VLOOKUP(C339,武器!$A:$W,COLUMN(武器!W$1),FALSE)</f>
        <v>#N/A</v>
      </c>
      <c r="CR339" t="str">
        <f t="shared" si="35"/>
        <v>e_339</v>
      </c>
      <c r="CS339" t="e">
        <f t="shared" si="36"/>
        <v>#VALUE!</v>
      </c>
    </row>
    <row r="340" spans="1:97" hidden="1" outlineLevel="1" x14ac:dyDescent="0.4">
      <c r="A340" t="str">
        <f>IF(CI340="",D340&amp;"の"&amp;C340,CI340&amp;"の"&amp;C340)</f>
        <v>の</v>
      </c>
      <c r="B340" t="str">
        <f>IFERROR(IF(CI340="",VLOOKUP($D340,素材!$1:$1016,COLUMN($B$1),FALSE)&amp;"・"&amp;VLOOKUP($C340,武器!$1:$998,COLUMN(B$1),FALSE),VLOOKUP($CI340,装強!$1:$1008,COLUMN($B$1),FALSE)&amp;"・"&amp;VLOOKUP($C340,武器!$1:$998,COLUMN(B$1),FALSE)),"")</f>
        <v/>
      </c>
      <c r="C340" s="24"/>
      <c r="D340" s="24"/>
      <c r="E340" t="str">
        <f>IFERROR(VLOOKUP(C340,武器!$1:$998,COLUMN(C$1),FALSE),"")</f>
        <v/>
      </c>
      <c r="F340" t="str">
        <f>IFERROR(ROUNDDOWN((VLOOKUP($C340,武器!$1:$998,COLUMN(D$1),FALSE)+IFERROR(VLOOKUP($CI340,装強!$1:$999,COLUMN(F$1),FALSE),0))*VLOOKUP($D340,素材!$1:$1016,COLUMN(D$1),FALSE),0),"")</f>
        <v/>
      </c>
      <c r="G340" t="str">
        <f>IFERROR(ROUNDDOWN((VLOOKUP($C340,武器!$1:$998,COLUMN(E$1),FALSE)+IFERROR(VLOOKUP($CI340,装強!$1:$999,COLUMN(G$1),FALSE),0))*VLOOKUP($D340,素材!$1:$1016,COLUMN($E$1),FALSE),0),"")</f>
        <v/>
      </c>
      <c r="H340" t="str">
        <f>IFERROR(ROUNDDOWN((VLOOKUP($C340,武器!$1:$998,COLUMN(F$1),FALSE)+IFERROR(VLOOKUP($CI340,装強!$1:$999,COLUMN(H$1),FALSE),0))*VLOOKUP($D340,素材!$1:$1016,COLUMN($E$1),FALSE),0),"")</f>
        <v/>
      </c>
      <c r="I340" t="str">
        <f>IFERROR(ROUNDDOWN((VLOOKUP($C340,武器!$1:$998,COLUMN(G$1),FALSE)+IFERROR(VLOOKUP($CI340,装強!$1:$999,COLUMN(I$1),FALSE),0))*VLOOKUP($D340,素材!$1:$1016,COLUMN($E$1),FALSE),0),"")</f>
        <v/>
      </c>
      <c r="J340" t="str">
        <f>IFERROR(ROUNDDOWN((VLOOKUP($C340,武器!$1:$998,COLUMN(H$1),FALSE)+IFERROR(VLOOKUP($CI340,装強!$1:$999,COLUMN(J$1),FALSE),0))*VLOOKUP($D340,素材!$1:$1016,COLUMN($E$1),FALSE),0),"")</f>
        <v/>
      </c>
      <c r="K340" t="str">
        <f>IFERROR(ROUNDDOWN((VLOOKUP($C340,武器!$1:$998,COLUMN(I$1),FALSE)+IFERROR(VLOOKUP($CI340,装強!$1:$999,COLUMN(K$1),FALSE),0))*VLOOKUP($D340,素材!$1:$1016,COLUMN($E$1),FALSE),0),"")</f>
        <v/>
      </c>
      <c r="L340" t="str">
        <f>IFERROR(VLOOKUP($D340,素材!$1:$1016,COLUMN($F$1),FALSE),"")</f>
        <v/>
      </c>
      <c r="M340" t="str">
        <f>IFERROR(VLOOKUP($C340,武器!$1:$998,COLUMN(AA$1),FALSE)*VLOOKUP($D340,素材!$1:$1016,COLUMN($G$1),FALSE),"")</f>
        <v/>
      </c>
      <c r="N340" t="str">
        <f>IFERROR(VLOOKUP($C340,武器!$1:$998,COLUMN(I$1),FALSE),"")</f>
        <v/>
      </c>
      <c r="O340" s="23" t="str">
        <f>IFERROR((VLOOKUP($C340,武器!$1:$998,COLUMN(K$1),FALSE)+VLOOKUP($D340,素材!$1:$1016,COLUMN(H$1),FALSE))*100+IFERROR(VLOOKUP($CI340,装強!$1:$999,COLUMN(O$1),FALSE),0),"")</f>
        <v/>
      </c>
      <c r="P340" s="23" t="str">
        <f>IFERROR((VLOOKUP($C340,武器!$1:$998,COLUMN(L$1),FALSE)+VLOOKUP($D340,素材!$1:$1016,COLUMN(I$1),FALSE))*100+IFERROR(VLOOKUP($CI340,装強!$1:$999,COLUMN(P$1),FALSE),0),"")</f>
        <v/>
      </c>
      <c r="Q340" t="str">
        <f>IFERROR(ROUNDUP(VLOOKUP($C340,武器!$1:$998,COLUMN(M$1),FALSE)*(VLOOKUP($D340,素材!$1:$1002,COLUMN(D$1),FALSE)/100),1),"")</f>
        <v/>
      </c>
      <c r="R340" t="str">
        <f>IFERROR(ROUNDUP(VLOOKUP($C340,武器!$1:$998,COLUMN(N$1),FALSE)*(VLOOKUP($D340,素材!$1:$1002,COLUMN(D$1),FALSE)/100),1),"")</f>
        <v/>
      </c>
      <c r="S340" t="str">
        <f>IFERROR(VLOOKUP($C340,武器!$1:$998,COLUMN(P$1),FALSE),"")</f>
        <v/>
      </c>
      <c r="T340" t="str">
        <f>IFERROR(VLOOKUP($C340,武器!$1:$998,COLUMN(Q$1),FALSE),"")</f>
        <v/>
      </c>
      <c r="U340" t="str">
        <f>IFERROR(VLOOKUP($C340,武器!$1:$998,COLUMN(R$1),FALSE),"")</f>
        <v/>
      </c>
      <c r="V340" t="str">
        <f>IFERROR(VLOOKUP($C340,武器!$1:$998,COLUMN(Q$1),FALSE),"")</f>
        <v/>
      </c>
      <c r="W340" t="str">
        <f>IFERROR(VLOOKUP($C340,武器!$1:$998,COLUMN(T$1),FALSE),"")</f>
        <v/>
      </c>
      <c r="Y340" t="str">
        <f>IFERROR(VLOOKUP($C340,武器!$1:$998,COLUMN(U$1),FALSE),"")</f>
        <v/>
      </c>
      <c r="Z340" t="str">
        <f>IFERROR(ROUNDUP(VLOOKUP($C340,武器!$1:$998,COLUMN(O$1),FALSE)*VLOOKUP($D340,素材!$1:$1016,COLUMN(E$1),FALSE),1),"")</f>
        <v/>
      </c>
      <c r="AA340">
        <f>IF(ISNUMBER(SEARCH(SUBSTITUTE(AA$1,RIGHT(AA$1,2),""),VLOOKUP($D340,素材!$1:$1016,COLUMN($F$1),FALSE))),VLOOKUP($C340,武器!$1:$998,COLUMN($O$1),FALSE)*VLOOKUP($D340,素材!$1:$1016,COLUMN($E$1),FALSE)/(LEN(VLOOKUP($D340,素材!$1:$1016,COLUMN($F$1),FALSE)) - LEN(SUBSTITUTE(VLOOKUP($D340,素材!$1:$1016,COLUMN($F$1),FALSE), "・", 0)) + 1), 0)</f>
        <v>0</v>
      </c>
      <c r="AB340">
        <f>IF(ISNUMBER(SEARCH(SUBSTITUTE(AB$1,RIGHT(AB$1,2),""),VLOOKUP($D340,素材!$1:$1016,COLUMN($F$1),FALSE))),VLOOKUP($C340,武器!$1:$998,COLUMN($O$1),FALSE)*VLOOKUP($D340,素材!$1:$1016,COLUMN($E$1),FALSE)/(LEN(VLOOKUP($D340,素材!$1:$1016,COLUMN($F$1),FALSE)) - LEN(SUBSTITUTE(VLOOKUP($D340,素材!$1:$1016,COLUMN($F$1),FALSE), "・", 0)) + 1), 0)</f>
        <v>0</v>
      </c>
      <c r="AC340">
        <f>IF(ISNUMBER(SEARCH(SUBSTITUTE(AC$1,RIGHT(AC$1,2),""),VLOOKUP($D340,素材!$1:$1016,COLUMN($F$1),FALSE))),VLOOKUP($C340,武器!$1:$998,COLUMN($O$1),FALSE)*VLOOKUP($D340,素材!$1:$1016,COLUMN($E$1),FALSE)/(LEN(VLOOKUP($D340,素材!$1:$1016,COLUMN($F$1),FALSE)) - LEN(SUBSTITUTE(VLOOKUP($D340,素材!$1:$1016,COLUMN($F$1),FALSE), "・", 0)) + 1), 0)</f>
        <v>0</v>
      </c>
      <c r="AD340">
        <f>IF(ISNUMBER(SEARCH(SUBSTITUTE(AD$1,RIGHT(AD$1,2),""),VLOOKUP($D340,素材!$1:$1016,COLUMN($F$1),FALSE))),VLOOKUP($C340,武器!$1:$998,COLUMN($O$1),FALSE)*VLOOKUP($D340,素材!$1:$1016,COLUMN($E$1),FALSE)/(LEN(VLOOKUP($D340,素材!$1:$1016,COLUMN($F$1),FALSE)) - LEN(SUBSTITUTE(VLOOKUP($D340,素材!$1:$1016,COLUMN($F$1),FALSE), "・", 0)) + 1), 0)</f>
        <v>0</v>
      </c>
      <c r="AE340">
        <f>IF(ISNUMBER(SEARCH(SUBSTITUTE(AE$1,RIGHT(AE$1,2),""),VLOOKUP($D340,素材!$1:$1016,COLUMN($F$1),FALSE))),VLOOKUP($C340,武器!$1:$998,COLUMN($O$1),FALSE)*VLOOKUP($D340,素材!$1:$1016,COLUMN($E$1),FALSE)/(LEN(VLOOKUP($D340,素材!$1:$1016,COLUMN($F$1),FALSE)) - LEN(SUBSTITUTE(VLOOKUP($D340,素材!$1:$1016,COLUMN($F$1),FALSE), "・", 0)) + 1), 0)</f>
        <v>0</v>
      </c>
      <c r="AF340">
        <f>IF(ISNUMBER(SEARCH(SUBSTITUTE(AF$1,RIGHT(AF$1,2),""),VLOOKUP($D340,素材!$1:$1016,COLUMN($F$1),FALSE))),VLOOKUP($C340,武器!$1:$998,COLUMN($O$1),FALSE)*VLOOKUP($D340,素材!$1:$1016,COLUMN($E$1),FALSE)/(LEN(VLOOKUP($D340,素材!$1:$1016,COLUMN($F$1),FALSE)) - LEN(SUBSTITUTE(VLOOKUP($D340,素材!$1:$1016,COLUMN($F$1),FALSE), "・", 0)) + 1), 0)</f>
        <v>0</v>
      </c>
      <c r="AG340">
        <f>IF(ISNUMBER(SEARCH(SUBSTITUTE(AG$1,RIGHT(AG$1,2),""),VLOOKUP($D340,素材!$1:$1016,COLUMN($F$1),FALSE))),VLOOKUP($C340,武器!$1:$998,COLUMN($O$1),FALSE)*VLOOKUP($D340,素材!$1:$1016,COLUMN($E$1),FALSE)/(LEN(VLOOKUP($D340,素材!$1:$1016,COLUMN($F$1),FALSE)) - LEN(SUBSTITUTE(VLOOKUP($D340,素材!$1:$1016,COLUMN($F$1),FALSE), "・", 0)) + 1), 0)</f>
        <v>0</v>
      </c>
      <c r="AH340">
        <f>IF(ISNUMBER(SEARCH(SUBSTITUTE(AH$1,RIGHT(AH$1,2),""),VLOOKUP($D340,素材!$1:$1016,COLUMN($F$1),FALSE))),VLOOKUP($C340,武器!$1:$998,COLUMN($O$1),FALSE)*VLOOKUP($D340,素材!$1:$1016,COLUMN($E$1),FALSE)/(LEN(VLOOKUP($D340,素材!$1:$1016,COLUMN($F$1),FALSE)) - LEN(SUBSTITUTE(VLOOKUP($D340,素材!$1:$1016,COLUMN($F$1),FALSE), "・", 0)) + 1), 0)</f>
        <v>0</v>
      </c>
      <c r="AI340">
        <f>IF(ISNUMBER(SEARCH(SUBSTITUTE(AI$1,RIGHT(AI$1,2),""),VLOOKUP($D340,素材!$1:$1016,COLUMN($F$1),FALSE))),VLOOKUP($C340,武器!$1:$998,COLUMN($O$1),FALSE)*VLOOKUP($D340,素材!$1:$1016,COLUMN($E$1),FALSE)/(LEN(VLOOKUP($D340,素材!$1:$1016,COLUMN($F$1),FALSE)) - LEN(SUBSTITUTE(VLOOKUP($D340,素材!$1:$1016,COLUMN($F$1),FALSE), "・", 0)) + 1), 0)</f>
        <v>0</v>
      </c>
      <c r="AJ340">
        <f>IF(ISNUMBER(SEARCH(SUBSTITUTE(AJ$1,RIGHT(AJ$1,2),""),VLOOKUP($D340,素材!$1:$1016,COLUMN($F$1),FALSE))),VLOOKUP($C340,武器!$1:$998,COLUMN($O$1),FALSE)*VLOOKUP($D340,素材!$1:$1016,COLUMN($E$1),FALSE)/(LEN(VLOOKUP($D340,素材!$1:$1016,COLUMN($F$1),FALSE)) - LEN(SUBSTITUTE(VLOOKUP($D340,素材!$1:$1016,COLUMN($F$1),FALSE), "・", 0)) + 1), 0)</f>
        <v>0</v>
      </c>
      <c r="AK340">
        <f>IF(ISNUMBER(SEARCH(SUBSTITUTE(AK$1,RIGHT(AK$1,2),""),VLOOKUP($D340,素材!$1:$1016,COLUMN($F$1),FALSE))),VLOOKUP($C340,武器!$1:$998,COLUMN($O$1),FALSE)*VLOOKUP($D340,素材!$1:$1016,COLUMN($E$1),FALSE)/(LEN(VLOOKUP($D340,素材!$1:$1016,COLUMN($F$1),FALSE)) - LEN(SUBSTITUTE(VLOOKUP($D340,素材!$1:$1016,COLUMN($F$1),FALSE), "・", 0)) + 1), 0)</f>
        <v>0</v>
      </c>
      <c r="AL340">
        <f>IF(ISNUMBER(SEARCH(SUBSTITUTE(AL$1,RIGHT(AL$1,2),""),VLOOKUP($D340,素材!$1:$1016,COLUMN($F$1),FALSE))),VLOOKUP($C340,武器!$1:$998,COLUMN($O$1),FALSE)*VLOOKUP($D340,素材!$1:$1016,COLUMN($E$1),FALSE)/(LEN(VLOOKUP($D340,素材!$1:$1016,COLUMN($F$1),FALSE)) - LEN(SUBSTITUTE(VLOOKUP($D340,素材!$1:$1016,COLUMN($F$1),FALSE), "・", 0)) + 1), 0)</f>
        <v>0</v>
      </c>
      <c r="AM340">
        <f>IF(ISNUMBER(SEARCH(SUBSTITUTE(AM$1,RIGHT(AM$1,2),""),VLOOKUP($D340,素材!$1:$1016,COLUMN($F$1),FALSE))),VLOOKUP($C340,武器!$1:$998,COLUMN($O$1),FALSE)*VLOOKUP($D340,素材!$1:$1016,COLUMN($E$1),FALSE)/(LEN(VLOOKUP($D340,素材!$1:$1016,COLUMN($F$1),FALSE)) - LEN(SUBSTITUTE(VLOOKUP($D340,素材!$1:$1016,COLUMN($F$1),FALSE), "・", 0)) + 1), 0)</f>
        <v>0</v>
      </c>
      <c r="AN340">
        <f>IF(ISNUMBER(SEARCH(SUBSTITUTE(AN$1,RIGHT(AN$1,2),""),VLOOKUP($D340,素材!$1:$1016,COLUMN($F$1),FALSE))),VLOOKUP($C340,武器!$1:$998,COLUMN($O$1),FALSE)*VLOOKUP($D340,素材!$1:$1016,COLUMN($E$1),FALSE)/(LEN(VLOOKUP($D340,素材!$1:$1016,COLUMN($F$1),FALSE)) - LEN(SUBSTITUTE(VLOOKUP($D340,素材!$1:$1016,COLUMN($F$1),FALSE), "・", 0)) + 1), 0)</f>
        <v>0</v>
      </c>
      <c r="AO340">
        <f>IF(ISNUMBER(SEARCH(SUBSTITUTE(AO$1,RIGHT(AO$1,2),""),VLOOKUP($D340,素材!$1:$1016,COLUMN($F$1),FALSE))),VLOOKUP($C340,武器!$1:$998,COLUMN($O$1),FALSE)*VLOOKUP($D340,素材!$1:$1016,COLUMN($E$1),FALSE)/(LEN(VLOOKUP($D340,素材!$1:$1016,COLUMN($F$1),FALSE)) - LEN(SUBSTITUTE(VLOOKUP($D340,素材!$1:$1016,COLUMN($F$1),FALSE), "・", 0)) + 1), 0)</f>
        <v>0</v>
      </c>
      <c r="AP340">
        <f>IF(ISNUMBER(SEARCH(SUBSTITUTE(AP$1,RIGHT(AP$1,2),""),VLOOKUP($D340,素材!$1:$1016,COLUMN($F$1),FALSE))),VLOOKUP($C340,武器!$1:$998,COLUMN($O$1),FALSE)*VLOOKUP($D340,素材!$1:$1016,COLUMN($E$1),FALSE)/(LEN(VLOOKUP($D340,素材!$1:$1016,COLUMN($F$1),FALSE)) - LEN(SUBSTITUTE(VLOOKUP($D340,素材!$1:$1016,COLUMN($F$1),FALSE), "・", 0)) + 1), 0)</f>
        <v>0</v>
      </c>
      <c r="AQ340">
        <f>IF(ISNUMBER(SEARCH(SUBSTITUTE(AQ$1,RIGHT(AQ$1,2),""),VLOOKUP($D340,素材!$1:$1016,COLUMN($F$1),FALSE))),VLOOKUP($C340,武器!$1:$998,COLUMN($O$1),FALSE)*VLOOKUP($D340,素材!$1:$1016,COLUMN($E$1),FALSE)/(LEN(VLOOKUP($D340,素材!$1:$1016,COLUMN($F$1),FALSE)) - LEN(SUBSTITUTE(VLOOKUP($D340,素材!$1:$1016,COLUMN($F$1),FALSE), "・", 0)) + 1), 0)</f>
        <v>0</v>
      </c>
      <c r="AR340">
        <f>IF(ISNUMBER(SEARCH(SUBSTITUTE(AR$1,RIGHT(AR$1,2),""),VLOOKUP($D340,素材!$1:$1016,COLUMN($F$1),FALSE))),VLOOKUP($C340,武器!$1:$998,COLUMN($O$1),FALSE)*VLOOKUP($D340,素材!$1:$1016,COLUMN($E$1),FALSE)/(LEN(VLOOKUP($D340,素材!$1:$1016,COLUMN($F$1),FALSE)) - LEN(SUBSTITUTE(VLOOKUP($D340,素材!$1:$1016,COLUMN($F$1),FALSE), "・", 0)) + 1), 0)</f>
        <v>0</v>
      </c>
      <c r="AS340">
        <f>IF(ISNUMBER(SEARCH(SUBSTITUTE(AS$1,RIGHT(AS$1,2),""),VLOOKUP($D340,素材!$1:$1016,COLUMN($F$1),FALSE))),VLOOKUP($C340,武器!$1:$998,COLUMN($O$1),FALSE)*VLOOKUP($D340,素材!$1:$1016,COLUMN($E$1),FALSE)/(LEN(VLOOKUP($D340,素材!$1:$1016,COLUMN($F$1),FALSE)) - LEN(SUBSTITUTE(VLOOKUP($D340,素材!$1:$1016,COLUMN($F$1),FALSE), "・", 0)) + 1), 0)</f>
        <v>0</v>
      </c>
      <c r="AT340">
        <f>IF(ISNUMBER(SEARCH(SUBSTITUTE(AT$1,RIGHT(AT$1,2),""),VLOOKUP($D340,素材!$1:$1016,COLUMN($F$1),FALSE))),VLOOKUP($C340,武器!$1:$998,COLUMN($O$1),FALSE)*VLOOKUP($D340,素材!$1:$1016,COLUMN($E$1),FALSE)/(LEN(VLOOKUP($D340,素材!$1:$1016,COLUMN($F$1),FALSE)) - LEN(SUBSTITUTE(VLOOKUP($D340,素材!$1:$1016,COLUMN($F$1),FALSE), "・", 0)) + 1), 0)</f>
        <v>0</v>
      </c>
      <c r="AU340">
        <f>IF(ISNUMBER(SEARCH(SUBSTITUTE(AU$1,RIGHT(AU$1,2),""),VLOOKUP($D340,素材!$1:$1016,COLUMN($F$1),FALSE))),VLOOKUP($C340,武器!$1:$998,COLUMN($O$1),FALSE)*VLOOKUP($D340,素材!$1:$1016,COLUMN($E$1),FALSE)/(LEN(VLOOKUP($D340,素材!$1:$1016,COLUMN($F$1),FALSE)) - LEN(SUBSTITUTE(VLOOKUP($D340,素材!$1:$1016,COLUMN($F$1),FALSE), "・", 0)) + 1), 0)</f>
        <v>0</v>
      </c>
      <c r="AV340">
        <f>IF(ISNUMBER(SEARCH(SUBSTITUTE(AV$1,RIGHT(AV$1,2),""),VLOOKUP($D340,素材!$1:$1016,COLUMN($F$1),FALSE))),VLOOKUP($C340,武器!$1:$998,COLUMN($O$1),FALSE)*VLOOKUP($D340,素材!$1:$1016,COLUMN($E$1),FALSE)/(LEN(VLOOKUP($D340,素材!$1:$1016,COLUMN($F$1),FALSE)) - LEN(SUBSTITUTE(VLOOKUP($D340,素材!$1:$1016,COLUMN($F$1),FALSE), "・", 0)) + 1), 0)</f>
        <v>0</v>
      </c>
      <c r="AW340">
        <f>IF(ISNUMBER(SEARCH(SUBSTITUTE(AW$1,RIGHT(AW$1,2),""),VLOOKUP($D340,素材!$1:$1016,COLUMN($F$1),FALSE))),VLOOKUP($C340,武器!$1:$998,COLUMN($O$1),FALSE)*VLOOKUP($D340,素材!$1:$1016,COLUMN($E$1),FALSE)/(LEN(VLOOKUP($D340,素材!$1:$1016,COLUMN($F$1),FALSE)) - LEN(SUBSTITUTE(VLOOKUP($D340,素材!$1:$1016,COLUMN($F$1),FALSE), "・", 0)) + 1), 0)</f>
        <v>0</v>
      </c>
      <c r="AX340">
        <f>IF(ISNUMBER(SEARCH(SUBSTITUTE(AX$1,RIGHT(AX$1,2),""),VLOOKUP($D340,素材!$1:$1016,COLUMN($F$1),FALSE))),VLOOKUP($C340,武器!$1:$998,COLUMN($O$1),FALSE)*VLOOKUP($D340,素材!$1:$1016,COLUMN($E$1),FALSE)/(LEN(VLOOKUP($D340,素材!$1:$1016,COLUMN($F$1),FALSE)) - LEN(SUBSTITUTE(VLOOKUP($D340,素材!$1:$1016,COLUMN($F$1),FALSE), "・", 0)) + 1), 0)</f>
        <v>0</v>
      </c>
      <c r="AY340">
        <f>IF(ISNUMBER(SEARCH(SUBSTITUTE(AY$1,RIGHT(AY$1,2),""),VLOOKUP($D340,素材!$1:$1016,COLUMN($F$1),FALSE))),VLOOKUP($C340,武器!$1:$998,COLUMN($O$1),FALSE)*VLOOKUP($D340,素材!$1:$1016,COLUMN($E$1),FALSE)/(LEN(VLOOKUP($D340,素材!$1:$1016,COLUMN($F$1),FALSE)) - LEN(SUBSTITUTE(VLOOKUP($D340,素材!$1:$1016,COLUMN($F$1),FALSE), "・", 0)) + 1), 0)</f>
        <v>0</v>
      </c>
      <c r="AZ340">
        <f>IF(ISNUMBER(SEARCH(SUBSTITUTE(AZ$1,RIGHT(AZ$1,2),""),VLOOKUP($D340,素材!$1:$1016,COLUMN($F$1),FALSE))),VLOOKUP($C340,武器!$1:$998,COLUMN($O$1),FALSE)*VLOOKUP($D340,素材!$1:$1016,COLUMN($E$1),FALSE)/(LEN(VLOOKUP($D340,素材!$1:$1016,COLUMN($F$1),FALSE)) - LEN(SUBSTITUTE(VLOOKUP($D340,素材!$1:$1016,COLUMN($F$1),FALSE), "・", 0)) + 1), 0)</f>
        <v>0</v>
      </c>
      <c r="BA340">
        <f>IF(ISNUMBER(SEARCH(SUBSTITUTE(BA$1,RIGHT(BA$1,2),""),VLOOKUP($D340,素材!$1:$1016,COLUMN($F$1),FALSE))),VLOOKUP($C340,武器!$1:$998,COLUMN($O$1),FALSE)*VLOOKUP($D340,素材!$1:$1016,COLUMN($E$1),FALSE)/(LEN(VLOOKUP($D340,素材!$1:$1016,COLUMN($F$1),FALSE)) - LEN(SUBSTITUTE(VLOOKUP($D340,素材!$1:$1016,COLUMN($F$1),FALSE), "・", 0)) + 1), 0)</f>
        <v>0</v>
      </c>
      <c r="BB340">
        <f>IF(ISNUMBER(SEARCH(SUBSTITUTE(BB$1,RIGHT(BB$1,2),""),VLOOKUP($D340,素材!$1:$1016,COLUMN($F$1),FALSE))),VLOOKUP($C340,武器!$1:$998,COLUMN($O$1),FALSE)*VLOOKUP($D340,素材!$1:$1016,COLUMN($E$1),FALSE)/(LEN(VLOOKUP($D340,素材!$1:$1016,COLUMN($F$1),FALSE)) - LEN(SUBSTITUTE(VLOOKUP($D340,素材!$1:$1016,COLUMN($F$1),FALSE), "・", 0)) + 1), 0)</f>
        <v>0</v>
      </c>
      <c r="BC340">
        <f>IF(ISNUMBER(SEARCH(SUBSTITUTE(BC$1,RIGHT(BC$1,2),""),VLOOKUP($D340,素材!$1:$1016,COLUMN($F$1),FALSE))),VLOOKUP($C340,武器!$1:$998,COLUMN($O$1),FALSE)*VLOOKUP($D340,素材!$1:$1016,COLUMN($E$1),FALSE)/(LEN(VLOOKUP($D340,素材!$1:$1016,COLUMN($F$1),FALSE)) - LEN(SUBSTITUTE(VLOOKUP($D340,素材!$1:$1016,COLUMN($F$1),FALSE), "・", 0)) + 1), 0)</f>
        <v>0</v>
      </c>
      <c r="BD340">
        <f>IF(ISNUMBER(SEARCH(SUBSTITUTE(BD$1,RIGHT(BD$1,2),""),VLOOKUP($D340,素材!$1:$1016,COLUMN($F$1),FALSE))),VLOOKUP($C340,武器!$1:$998,COLUMN($O$1),FALSE)*VLOOKUP($D340,素材!$1:$1016,COLUMN($E$1),FALSE)/(LEN(VLOOKUP($D340,素材!$1:$1016,COLUMN($F$1),FALSE)) - LEN(SUBSTITUTE(VLOOKUP($D340,素材!$1:$1016,COLUMN($F$1),FALSE), "・", 0)) + 1), 0)</f>
        <v>0</v>
      </c>
      <c r="BE340">
        <f>IF(ISNUMBER(SEARCH(SUBSTITUTE(BE$1,RIGHT(BE$1,2),""),VLOOKUP($D340,素材!$1:$1016,COLUMN($F$1),FALSE))),VLOOKUP($C340,武器!$1:$998,COLUMN($O$1),FALSE)*VLOOKUP($D340,素材!$1:$1016,COLUMN($E$1),FALSE)/(LEN(VLOOKUP($D340,素材!$1:$1016,COLUMN($F$1),FALSE)) - LEN(SUBSTITUTE(VLOOKUP($D340,素材!$1:$1016,COLUMN($F$1),FALSE), "・", 0)) + 1), 0)</f>
        <v>0</v>
      </c>
      <c r="CL340">
        <f>SUM(G340:I340)</f>
        <v>0</v>
      </c>
      <c r="CM340" s="22" t="str">
        <f>IF(E340="武器",IF(J340-1&gt;SUM(G340:I340),"盾",IF(MAX(G340:I340)=G340,"切断",IF(MAX(G340:I340)=H340,"貫通",IF(MAX(G340:I340)=I340,"打撃","射撃")))),E340)&amp;".webp"</f>
        <v>.webp</v>
      </c>
      <c r="CN340" t="str">
        <f>IFERROR(VLOOKUP($C340,武器!$1:$998,COLUMN(V$1),FALSE)*VLOOKUP($D340,素材!$1:$1016,COLUMN(N$1),FALSE)+IF(CI340="",0,VLOOKUP($CI340,装強!$1:$1008,COLUMN($CK$1),FALSE)),"")</f>
        <v/>
      </c>
      <c r="CO340" t="e">
        <f>VLOOKUP(D340,素材!$A:$O,COLUMN(素材!O$1),FALSE)</f>
        <v>#N/A</v>
      </c>
      <c r="CP340" t="e">
        <f>VLOOKUP(C340,武器!$A:$W,COLUMN(武器!W$1),FALSE)</f>
        <v>#N/A</v>
      </c>
      <c r="CR340" t="str">
        <f t="shared" si="35"/>
        <v>e_340</v>
      </c>
      <c r="CS340" t="e">
        <f t="shared" si="36"/>
        <v>#VALUE!</v>
      </c>
    </row>
    <row r="341" spans="1:97" hidden="1" outlineLevel="1" x14ac:dyDescent="0.4">
      <c r="A341" t="str">
        <f>IF(CI341="",D341&amp;"の"&amp;C341,CI341&amp;"の"&amp;C341)</f>
        <v>の</v>
      </c>
      <c r="B341" t="str">
        <f>IFERROR(IF(CI341="",VLOOKUP($D341,素材!$1:$1016,COLUMN($B$1),FALSE)&amp;"・"&amp;VLOOKUP($C341,武器!$1:$998,COLUMN(B$1),FALSE),VLOOKUP($CI341,装強!$1:$1008,COLUMN($B$1),FALSE)&amp;"・"&amp;VLOOKUP($C341,武器!$1:$998,COLUMN(B$1),FALSE)),"")</f>
        <v/>
      </c>
      <c r="C341" s="24"/>
      <c r="D341" s="24"/>
      <c r="E341" t="str">
        <f>IFERROR(VLOOKUP(C341,武器!$1:$998,COLUMN(C$1),FALSE),"")</f>
        <v/>
      </c>
      <c r="F341" t="str">
        <f>IFERROR(ROUNDDOWN((VLOOKUP($C341,武器!$1:$998,COLUMN(D$1),FALSE)+IFERROR(VLOOKUP($CI341,装強!$1:$999,COLUMN(F$1),FALSE),0))*VLOOKUP($D341,素材!$1:$1016,COLUMN(D$1),FALSE),0),"")</f>
        <v/>
      </c>
      <c r="G341" t="str">
        <f>IFERROR(ROUNDDOWN((VLOOKUP($C341,武器!$1:$998,COLUMN(E$1),FALSE)+IFERROR(VLOOKUP($CI341,装強!$1:$999,COLUMN(G$1),FALSE),0))*VLOOKUP($D341,素材!$1:$1016,COLUMN($E$1),FALSE),0),"")</f>
        <v/>
      </c>
      <c r="H341" t="str">
        <f>IFERROR(ROUNDDOWN((VLOOKUP($C341,武器!$1:$998,COLUMN(F$1),FALSE)+IFERROR(VLOOKUP($CI341,装強!$1:$999,COLUMN(H$1),FALSE),0))*VLOOKUP($D341,素材!$1:$1016,COLUMN($E$1),FALSE),0),"")</f>
        <v/>
      </c>
      <c r="I341" t="str">
        <f>IFERROR(ROUNDDOWN((VLOOKUP($C341,武器!$1:$998,COLUMN(G$1),FALSE)+IFERROR(VLOOKUP($CI341,装強!$1:$999,COLUMN(I$1),FALSE),0))*VLOOKUP($D341,素材!$1:$1016,COLUMN($E$1),FALSE),0),"")</f>
        <v/>
      </c>
      <c r="J341" t="str">
        <f>IFERROR(ROUNDDOWN((VLOOKUP($C341,武器!$1:$998,COLUMN(H$1),FALSE)+IFERROR(VLOOKUP($CI341,装強!$1:$999,COLUMN(J$1),FALSE),0))*VLOOKUP($D341,素材!$1:$1016,COLUMN($E$1),FALSE),0),"")</f>
        <v/>
      </c>
      <c r="K341" t="str">
        <f>IFERROR(ROUNDDOWN((VLOOKUP($C341,武器!$1:$998,COLUMN(I$1),FALSE)+IFERROR(VLOOKUP($CI341,装強!$1:$999,COLUMN(K$1),FALSE),0))*VLOOKUP($D341,素材!$1:$1016,COLUMN($E$1),FALSE),0),"")</f>
        <v/>
      </c>
      <c r="L341" t="str">
        <f>IFERROR(VLOOKUP($D341,素材!$1:$1016,COLUMN($F$1),FALSE),"")</f>
        <v/>
      </c>
      <c r="M341" t="str">
        <f>IFERROR(VLOOKUP($C341,武器!$1:$998,COLUMN(AA$1),FALSE)*VLOOKUP($D341,素材!$1:$1016,COLUMN($G$1),FALSE),"")</f>
        <v/>
      </c>
      <c r="N341" t="str">
        <f>IFERROR(VLOOKUP($C341,武器!$1:$998,COLUMN(I$1),FALSE),"")</f>
        <v/>
      </c>
      <c r="O341" s="23" t="str">
        <f>IFERROR((VLOOKUP($C341,武器!$1:$998,COLUMN(K$1),FALSE)+VLOOKUP($D341,素材!$1:$1016,COLUMN(H$1),FALSE))*100+IFERROR(VLOOKUP($CI341,装強!$1:$999,COLUMN(O$1),FALSE),0),"")</f>
        <v/>
      </c>
      <c r="P341" s="23" t="str">
        <f>IFERROR((VLOOKUP($C341,武器!$1:$998,COLUMN(L$1),FALSE)+VLOOKUP($D341,素材!$1:$1016,COLUMN(I$1),FALSE))*100+IFERROR(VLOOKUP($CI341,装強!$1:$999,COLUMN(P$1),FALSE),0),"")</f>
        <v/>
      </c>
      <c r="Q341" t="str">
        <f>IFERROR(ROUNDUP(VLOOKUP($C341,武器!$1:$998,COLUMN(M$1),FALSE)*(VLOOKUP($D341,素材!$1:$1002,COLUMN(D$1),FALSE)/100),1),"")</f>
        <v/>
      </c>
      <c r="R341" t="str">
        <f>IFERROR(ROUNDUP(VLOOKUP($C341,武器!$1:$998,COLUMN(N$1),FALSE)*(VLOOKUP($D341,素材!$1:$1002,COLUMN(D$1),FALSE)/100),1),"")</f>
        <v/>
      </c>
      <c r="S341" t="str">
        <f>IFERROR(VLOOKUP($C341,武器!$1:$998,COLUMN(P$1),FALSE),"")</f>
        <v/>
      </c>
      <c r="T341" t="str">
        <f>IFERROR(VLOOKUP($C341,武器!$1:$998,COLUMN(Q$1),FALSE),"")</f>
        <v/>
      </c>
      <c r="U341" t="str">
        <f>IFERROR(VLOOKUP($C341,武器!$1:$998,COLUMN(R$1),FALSE),"")</f>
        <v/>
      </c>
      <c r="V341" t="str">
        <f>IFERROR(VLOOKUP($C341,武器!$1:$998,COLUMN(Q$1),FALSE),"")</f>
        <v/>
      </c>
      <c r="W341" t="str">
        <f>IFERROR(VLOOKUP($C341,武器!$1:$998,COLUMN(T$1),FALSE),"")</f>
        <v/>
      </c>
      <c r="Y341" t="str">
        <f>IFERROR(VLOOKUP($C341,武器!$1:$998,COLUMN(U$1),FALSE),"")</f>
        <v/>
      </c>
      <c r="Z341" t="str">
        <f>IFERROR(ROUNDUP(VLOOKUP($C341,武器!$1:$998,COLUMN(O$1),FALSE)*VLOOKUP($D341,素材!$1:$1016,COLUMN(E$1),FALSE),1),"")</f>
        <v/>
      </c>
      <c r="AA341">
        <f>IF(ISNUMBER(SEARCH(SUBSTITUTE(AA$1,RIGHT(AA$1,2),""),VLOOKUP($D341,素材!$1:$1016,COLUMN($F$1),FALSE))),VLOOKUP($C341,武器!$1:$998,COLUMN($O$1),FALSE)*VLOOKUP($D341,素材!$1:$1016,COLUMN($E$1),FALSE)/(LEN(VLOOKUP($D341,素材!$1:$1016,COLUMN($F$1),FALSE)) - LEN(SUBSTITUTE(VLOOKUP($D341,素材!$1:$1016,COLUMN($F$1),FALSE), "・", 0)) + 1), 0)</f>
        <v>0</v>
      </c>
      <c r="AB341">
        <f>IF(ISNUMBER(SEARCH(SUBSTITUTE(AB$1,RIGHT(AB$1,2),""),VLOOKUP($D341,素材!$1:$1016,COLUMN($F$1),FALSE))),VLOOKUP($C341,武器!$1:$998,COLUMN($O$1),FALSE)*VLOOKUP($D341,素材!$1:$1016,COLUMN($E$1),FALSE)/(LEN(VLOOKUP($D341,素材!$1:$1016,COLUMN($F$1),FALSE)) - LEN(SUBSTITUTE(VLOOKUP($D341,素材!$1:$1016,COLUMN($F$1),FALSE), "・", 0)) + 1), 0)</f>
        <v>0</v>
      </c>
      <c r="AC341">
        <f>IF(ISNUMBER(SEARCH(SUBSTITUTE(AC$1,RIGHT(AC$1,2),""),VLOOKUP($D341,素材!$1:$1016,COLUMN($F$1),FALSE))),VLOOKUP($C341,武器!$1:$998,COLUMN($O$1),FALSE)*VLOOKUP($D341,素材!$1:$1016,COLUMN($E$1),FALSE)/(LEN(VLOOKUP($D341,素材!$1:$1016,COLUMN($F$1),FALSE)) - LEN(SUBSTITUTE(VLOOKUP($D341,素材!$1:$1016,COLUMN($F$1),FALSE), "・", 0)) + 1), 0)</f>
        <v>0</v>
      </c>
      <c r="AD341">
        <f>IF(ISNUMBER(SEARCH(SUBSTITUTE(AD$1,RIGHT(AD$1,2),""),VLOOKUP($D341,素材!$1:$1016,COLUMN($F$1),FALSE))),VLOOKUP($C341,武器!$1:$998,COLUMN($O$1),FALSE)*VLOOKUP($D341,素材!$1:$1016,COLUMN($E$1),FALSE)/(LEN(VLOOKUP($D341,素材!$1:$1016,COLUMN($F$1),FALSE)) - LEN(SUBSTITUTE(VLOOKUP($D341,素材!$1:$1016,COLUMN($F$1),FALSE), "・", 0)) + 1), 0)</f>
        <v>0</v>
      </c>
      <c r="AE341">
        <f>IF(ISNUMBER(SEARCH(SUBSTITUTE(AE$1,RIGHT(AE$1,2),""),VLOOKUP($D341,素材!$1:$1016,COLUMN($F$1),FALSE))),VLOOKUP($C341,武器!$1:$998,COLUMN($O$1),FALSE)*VLOOKUP($D341,素材!$1:$1016,COLUMN($E$1),FALSE)/(LEN(VLOOKUP($D341,素材!$1:$1016,COLUMN($F$1),FALSE)) - LEN(SUBSTITUTE(VLOOKUP($D341,素材!$1:$1016,COLUMN($F$1),FALSE), "・", 0)) + 1), 0)</f>
        <v>0</v>
      </c>
      <c r="AF341">
        <f>IF(ISNUMBER(SEARCH(SUBSTITUTE(AF$1,RIGHT(AF$1,2),""),VLOOKUP($D341,素材!$1:$1016,COLUMN($F$1),FALSE))),VLOOKUP($C341,武器!$1:$998,COLUMN($O$1),FALSE)*VLOOKUP($D341,素材!$1:$1016,COLUMN($E$1),FALSE)/(LEN(VLOOKUP($D341,素材!$1:$1016,COLUMN($F$1),FALSE)) - LEN(SUBSTITUTE(VLOOKUP($D341,素材!$1:$1016,COLUMN($F$1),FALSE), "・", 0)) + 1), 0)</f>
        <v>0</v>
      </c>
      <c r="AG341">
        <f>IF(ISNUMBER(SEARCH(SUBSTITUTE(AG$1,RIGHT(AG$1,2),""),VLOOKUP($D341,素材!$1:$1016,COLUMN($F$1),FALSE))),VLOOKUP($C341,武器!$1:$998,COLUMN($O$1),FALSE)*VLOOKUP($D341,素材!$1:$1016,COLUMN($E$1),FALSE)/(LEN(VLOOKUP($D341,素材!$1:$1016,COLUMN($F$1),FALSE)) - LEN(SUBSTITUTE(VLOOKUP($D341,素材!$1:$1016,COLUMN($F$1),FALSE), "・", 0)) + 1), 0)</f>
        <v>0</v>
      </c>
      <c r="AH341">
        <f>IF(ISNUMBER(SEARCH(SUBSTITUTE(AH$1,RIGHT(AH$1,2),""),VLOOKUP($D341,素材!$1:$1016,COLUMN($F$1),FALSE))),VLOOKUP($C341,武器!$1:$998,COLUMN($O$1),FALSE)*VLOOKUP($D341,素材!$1:$1016,COLUMN($E$1),FALSE)/(LEN(VLOOKUP($D341,素材!$1:$1016,COLUMN($F$1),FALSE)) - LEN(SUBSTITUTE(VLOOKUP($D341,素材!$1:$1016,COLUMN($F$1),FALSE), "・", 0)) + 1), 0)</f>
        <v>0</v>
      </c>
      <c r="AI341">
        <f>IF(ISNUMBER(SEARCH(SUBSTITUTE(AI$1,RIGHT(AI$1,2),""),VLOOKUP($D341,素材!$1:$1016,COLUMN($F$1),FALSE))),VLOOKUP($C341,武器!$1:$998,COLUMN($O$1),FALSE)*VLOOKUP($D341,素材!$1:$1016,COLUMN($E$1),FALSE)/(LEN(VLOOKUP($D341,素材!$1:$1016,COLUMN($F$1),FALSE)) - LEN(SUBSTITUTE(VLOOKUP($D341,素材!$1:$1016,COLUMN($F$1),FALSE), "・", 0)) + 1), 0)</f>
        <v>0</v>
      </c>
      <c r="AJ341">
        <f>IF(ISNUMBER(SEARCH(SUBSTITUTE(AJ$1,RIGHT(AJ$1,2),""),VLOOKUP($D341,素材!$1:$1016,COLUMN($F$1),FALSE))),VLOOKUP($C341,武器!$1:$998,COLUMN($O$1),FALSE)*VLOOKUP($D341,素材!$1:$1016,COLUMN($E$1),FALSE)/(LEN(VLOOKUP($D341,素材!$1:$1016,COLUMN($F$1),FALSE)) - LEN(SUBSTITUTE(VLOOKUP($D341,素材!$1:$1016,COLUMN($F$1),FALSE), "・", 0)) + 1), 0)</f>
        <v>0</v>
      </c>
      <c r="AK341">
        <f>IF(ISNUMBER(SEARCH(SUBSTITUTE(AK$1,RIGHT(AK$1,2),""),VLOOKUP($D341,素材!$1:$1016,COLUMN($F$1),FALSE))),VLOOKUP($C341,武器!$1:$998,COLUMN($O$1),FALSE)*VLOOKUP($D341,素材!$1:$1016,COLUMN($E$1),FALSE)/(LEN(VLOOKUP($D341,素材!$1:$1016,COLUMN($F$1),FALSE)) - LEN(SUBSTITUTE(VLOOKUP($D341,素材!$1:$1016,COLUMN($F$1),FALSE), "・", 0)) + 1), 0)</f>
        <v>0</v>
      </c>
      <c r="AL341">
        <f>IF(ISNUMBER(SEARCH(SUBSTITUTE(AL$1,RIGHT(AL$1,2),""),VLOOKUP($D341,素材!$1:$1016,COLUMN($F$1),FALSE))),VLOOKUP($C341,武器!$1:$998,COLUMN($O$1),FALSE)*VLOOKUP($D341,素材!$1:$1016,COLUMN($E$1),FALSE)/(LEN(VLOOKUP($D341,素材!$1:$1016,COLUMN($F$1),FALSE)) - LEN(SUBSTITUTE(VLOOKUP($D341,素材!$1:$1016,COLUMN($F$1),FALSE), "・", 0)) + 1), 0)</f>
        <v>0</v>
      </c>
      <c r="AM341">
        <f>IF(ISNUMBER(SEARCH(SUBSTITUTE(AM$1,RIGHT(AM$1,2),""),VLOOKUP($D341,素材!$1:$1016,COLUMN($F$1),FALSE))),VLOOKUP($C341,武器!$1:$998,COLUMN($O$1),FALSE)*VLOOKUP($D341,素材!$1:$1016,COLUMN($E$1),FALSE)/(LEN(VLOOKUP($D341,素材!$1:$1016,COLUMN($F$1),FALSE)) - LEN(SUBSTITUTE(VLOOKUP($D341,素材!$1:$1016,COLUMN($F$1),FALSE), "・", 0)) + 1), 0)</f>
        <v>0</v>
      </c>
      <c r="AN341">
        <f>IF(ISNUMBER(SEARCH(SUBSTITUTE(AN$1,RIGHT(AN$1,2),""),VLOOKUP($D341,素材!$1:$1016,COLUMN($F$1),FALSE))),VLOOKUP($C341,武器!$1:$998,COLUMN($O$1),FALSE)*VLOOKUP($D341,素材!$1:$1016,COLUMN($E$1),FALSE)/(LEN(VLOOKUP($D341,素材!$1:$1016,COLUMN($F$1),FALSE)) - LEN(SUBSTITUTE(VLOOKUP($D341,素材!$1:$1016,COLUMN($F$1),FALSE), "・", 0)) + 1), 0)</f>
        <v>0</v>
      </c>
      <c r="AO341">
        <f>IF(ISNUMBER(SEARCH(SUBSTITUTE(AO$1,RIGHT(AO$1,2),""),VLOOKUP($D341,素材!$1:$1016,COLUMN($F$1),FALSE))),VLOOKUP($C341,武器!$1:$998,COLUMN($O$1),FALSE)*VLOOKUP($D341,素材!$1:$1016,COLUMN($E$1),FALSE)/(LEN(VLOOKUP($D341,素材!$1:$1016,COLUMN($F$1),FALSE)) - LEN(SUBSTITUTE(VLOOKUP($D341,素材!$1:$1016,COLUMN($F$1),FALSE), "・", 0)) + 1), 0)</f>
        <v>0</v>
      </c>
      <c r="AP341">
        <f>IF(ISNUMBER(SEARCH(SUBSTITUTE(AP$1,RIGHT(AP$1,2),""),VLOOKUP($D341,素材!$1:$1016,COLUMN($F$1),FALSE))),VLOOKUP($C341,武器!$1:$998,COLUMN($O$1),FALSE)*VLOOKUP($D341,素材!$1:$1016,COLUMN($E$1),FALSE)/(LEN(VLOOKUP($D341,素材!$1:$1016,COLUMN($F$1),FALSE)) - LEN(SUBSTITUTE(VLOOKUP($D341,素材!$1:$1016,COLUMN($F$1),FALSE), "・", 0)) + 1), 0)</f>
        <v>0</v>
      </c>
      <c r="AQ341">
        <f>IF(ISNUMBER(SEARCH(SUBSTITUTE(AQ$1,RIGHT(AQ$1,2),""),VLOOKUP($D341,素材!$1:$1016,COLUMN($F$1),FALSE))),VLOOKUP($C341,武器!$1:$998,COLUMN($O$1),FALSE)*VLOOKUP($D341,素材!$1:$1016,COLUMN($E$1),FALSE)/(LEN(VLOOKUP($D341,素材!$1:$1016,COLUMN($F$1),FALSE)) - LEN(SUBSTITUTE(VLOOKUP($D341,素材!$1:$1016,COLUMN($F$1),FALSE), "・", 0)) + 1), 0)</f>
        <v>0</v>
      </c>
      <c r="AR341">
        <f>IF(ISNUMBER(SEARCH(SUBSTITUTE(AR$1,RIGHT(AR$1,2),""),VLOOKUP($D341,素材!$1:$1016,COLUMN($F$1),FALSE))),VLOOKUP($C341,武器!$1:$998,COLUMN($O$1),FALSE)*VLOOKUP($D341,素材!$1:$1016,COLUMN($E$1),FALSE)/(LEN(VLOOKUP($D341,素材!$1:$1016,COLUMN($F$1),FALSE)) - LEN(SUBSTITUTE(VLOOKUP($D341,素材!$1:$1016,COLUMN($F$1),FALSE), "・", 0)) + 1), 0)</f>
        <v>0</v>
      </c>
      <c r="AS341">
        <f>IF(ISNUMBER(SEARCH(SUBSTITUTE(AS$1,RIGHT(AS$1,2),""),VLOOKUP($D341,素材!$1:$1016,COLUMN($F$1),FALSE))),VLOOKUP($C341,武器!$1:$998,COLUMN($O$1),FALSE)*VLOOKUP($D341,素材!$1:$1016,COLUMN($E$1),FALSE)/(LEN(VLOOKUP($D341,素材!$1:$1016,COLUMN($F$1),FALSE)) - LEN(SUBSTITUTE(VLOOKUP($D341,素材!$1:$1016,COLUMN($F$1),FALSE), "・", 0)) + 1), 0)</f>
        <v>0</v>
      </c>
      <c r="AT341">
        <f>IF(ISNUMBER(SEARCH(SUBSTITUTE(AT$1,RIGHT(AT$1,2),""),VLOOKUP($D341,素材!$1:$1016,COLUMN($F$1),FALSE))),VLOOKUP($C341,武器!$1:$998,COLUMN($O$1),FALSE)*VLOOKUP($D341,素材!$1:$1016,COLUMN($E$1),FALSE)/(LEN(VLOOKUP($D341,素材!$1:$1016,COLUMN($F$1),FALSE)) - LEN(SUBSTITUTE(VLOOKUP($D341,素材!$1:$1016,COLUMN($F$1),FALSE), "・", 0)) + 1), 0)</f>
        <v>0</v>
      </c>
      <c r="AU341">
        <f>IF(ISNUMBER(SEARCH(SUBSTITUTE(AU$1,RIGHT(AU$1,2),""),VLOOKUP($D341,素材!$1:$1016,COLUMN($F$1),FALSE))),VLOOKUP($C341,武器!$1:$998,COLUMN($O$1),FALSE)*VLOOKUP($D341,素材!$1:$1016,COLUMN($E$1),FALSE)/(LEN(VLOOKUP($D341,素材!$1:$1016,COLUMN($F$1),FALSE)) - LEN(SUBSTITUTE(VLOOKUP($D341,素材!$1:$1016,COLUMN($F$1),FALSE), "・", 0)) + 1), 0)</f>
        <v>0</v>
      </c>
      <c r="AV341">
        <f>IF(ISNUMBER(SEARCH(SUBSTITUTE(AV$1,RIGHT(AV$1,2),""),VLOOKUP($D341,素材!$1:$1016,COLUMN($F$1),FALSE))),VLOOKUP($C341,武器!$1:$998,COLUMN($O$1),FALSE)*VLOOKUP($D341,素材!$1:$1016,COLUMN($E$1),FALSE)/(LEN(VLOOKUP($D341,素材!$1:$1016,COLUMN($F$1),FALSE)) - LEN(SUBSTITUTE(VLOOKUP($D341,素材!$1:$1016,COLUMN($F$1),FALSE), "・", 0)) + 1), 0)</f>
        <v>0</v>
      </c>
      <c r="AW341">
        <f>IF(ISNUMBER(SEARCH(SUBSTITUTE(AW$1,RIGHT(AW$1,2),""),VLOOKUP($D341,素材!$1:$1016,COLUMN($F$1),FALSE))),VLOOKUP($C341,武器!$1:$998,COLUMN($O$1),FALSE)*VLOOKUP($D341,素材!$1:$1016,COLUMN($E$1),FALSE)/(LEN(VLOOKUP($D341,素材!$1:$1016,COLUMN($F$1),FALSE)) - LEN(SUBSTITUTE(VLOOKUP($D341,素材!$1:$1016,COLUMN($F$1),FALSE), "・", 0)) + 1), 0)</f>
        <v>0</v>
      </c>
      <c r="AX341">
        <f>IF(ISNUMBER(SEARCH(SUBSTITUTE(AX$1,RIGHT(AX$1,2),""),VLOOKUP($D341,素材!$1:$1016,COLUMN($F$1),FALSE))),VLOOKUP($C341,武器!$1:$998,COLUMN($O$1),FALSE)*VLOOKUP($D341,素材!$1:$1016,COLUMN($E$1),FALSE)/(LEN(VLOOKUP($D341,素材!$1:$1016,COLUMN($F$1),FALSE)) - LEN(SUBSTITUTE(VLOOKUP($D341,素材!$1:$1016,COLUMN($F$1),FALSE), "・", 0)) + 1), 0)</f>
        <v>0</v>
      </c>
      <c r="AY341">
        <f>IF(ISNUMBER(SEARCH(SUBSTITUTE(AY$1,RIGHT(AY$1,2),""),VLOOKUP($D341,素材!$1:$1016,COLUMN($F$1),FALSE))),VLOOKUP($C341,武器!$1:$998,COLUMN($O$1),FALSE)*VLOOKUP($D341,素材!$1:$1016,COLUMN($E$1),FALSE)/(LEN(VLOOKUP($D341,素材!$1:$1016,COLUMN($F$1),FALSE)) - LEN(SUBSTITUTE(VLOOKUP($D341,素材!$1:$1016,COLUMN($F$1),FALSE), "・", 0)) + 1), 0)</f>
        <v>0</v>
      </c>
      <c r="AZ341">
        <f>IF(ISNUMBER(SEARCH(SUBSTITUTE(AZ$1,RIGHT(AZ$1,2),""),VLOOKUP($D341,素材!$1:$1016,COLUMN($F$1),FALSE))),VLOOKUP($C341,武器!$1:$998,COLUMN($O$1),FALSE)*VLOOKUP($D341,素材!$1:$1016,COLUMN($E$1),FALSE)/(LEN(VLOOKUP($D341,素材!$1:$1016,COLUMN($F$1),FALSE)) - LEN(SUBSTITUTE(VLOOKUP($D341,素材!$1:$1016,COLUMN($F$1),FALSE), "・", 0)) + 1), 0)</f>
        <v>0</v>
      </c>
      <c r="BA341">
        <f>IF(ISNUMBER(SEARCH(SUBSTITUTE(BA$1,RIGHT(BA$1,2),""),VLOOKUP($D341,素材!$1:$1016,COLUMN($F$1),FALSE))),VLOOKUP($C341,武器!$1:$998,COLUMN($O$1),FALSE)*VLOOKUP($D341,素材!$1:$1016,COLUMN($E$1),FALSE)/(LEN(VLOOKUP($D341,素材!$1:$1016,COLUMN($F$1),FALSE)) - LEN(SUBSTITUTE(VLOOKUP($D341,素材!$1:$1016,COLUMN($F$1),FALSE), "・", 0)) + 1), 0)</f>
        <v>0</v>
      </c>
      <c r="BB341">
        <f>IF(ISNUMBER(SEARCH(SUBSTITUTE(BB$1,RIGHT(BB$1,2),""),VLOOKUP($D341,素材!$1:$1016,COLUMN($F$1),FALSE))),VLOOKUP($C341,武器!$1:$998,COLUMN($O$1),FALSE)*VLOOKUP($D341,素材!$1:$1016,COLUMN($E$1),FALSE)/(LEN(VLOOKUP($D341,素材!$1:$1016,COLUMN($F$1),FALSE)) - LEN(SUBSTITUTE(VLOOKUP($D341,素材!$1:$1016,COLUMN($F$1),FALSE), "・", 0)) + 1), 0)</f>
        <v>0</v>
      </c>
      <c r="BC341">
        <f>IF(ISNUMBER(SEARCH(SUBSTITUTE(BC$1,RIGHT(BC$1,2),""),VLOOKUP($D341,素材!$1:$1016,COLUMN($F$1),FALSE))),VLOOKUP($C341,武器!$1:$998,COLUMN($O$1),FALSE)*VLOOKUP($D341,素材!$1:$1016,COLUMN($E$1),FALSE)/(LEN(VLOOKUP($D341,素材!$1:$1016,COLUMN($F$1),FALSE)) - LEN(SUBSTITUTE(VLOOKUP($D341,素材!$1:$1016,COLUMN($F$1),FALSE), "・", 0)) + 1), 0)</f>
        <v>0</v>
      </c>
      <c r="BD341">
        <f>IF(ISNUMBER(SEARCH(SUBSTITUTE(BD$1,RIGHT(BD$1,2),""),VLOOKUP($D341,素材!$1:$1016,COLUMN($F$1),FALSE))),VLOOKUP($C341,武器!$1:$998,COLUMN($O$1),FALSE)*VLOOKUP($D341,素材!$1:$1016,COLUMN($E$1),FALSE)/(LEN(VLOOKUP($D341,素材!$1:$1016,COLUMN($F$1),FALSE)) - LEN(SUBSTITUTE(VLOOKUP($D341,素材!$1:$1016,COLUMN($F$1),FALSE), "・", 0)) + 1), 0)</f>
        <v>0</v>
      </c>
      <c r="BE341">
        <f>IF(ISNUMBER(SEARCH(SUBSTITUTE(BE$1,RIGHT(BE$1,2),""),VLOOKUP($D341,素材!$1:$1016,COLUMN($F$1),FALSE))),VLOOKUP($C341,武器!$1:$998,COLUMN($O$1),FALSE)*VLOOKUP($D341,素材!$1:$1016,COLUMN($E$1),FALSE)/(LEN(VLOOKUP($D341,素材!$1:$1016,COLUMN($F$1),FALSE)) - LEN(SUBSTITUTE(VLOOKUP($D341,素材!$1:$1016,COLUMN($F$1),FALSE), "・", 0)) + 1), 0)</f>
        <v>0</v>
      </c>
      <c r="CL341">
        <f>SUM(G341:I341)</f>
        <v>0</v>
      </c>
      <c r="CM341" s="22" t="str">
        <f>IF(E341="武器",IF(J341-1&gt;SUM(G341:I341),"盾",IF(MAX(G341:I341)=G341,"切断",IF(MAX(G341:I341)=H341,"貫通",IF(MAX(G341:I341)=I341,"打撃","射撃")))),E341)&amp;".webp"</f>
        <v>.webp</v>
      </c>
      <c r="CN341" t="str">
        <f>IFERROR(VLOOKUP($C341,武器!$1:$998,COLUMN(V$1),FALSE)*VLOOKUP($D341,素材!$1:$1016,COLUMN(N$1),FALSE)+IF(CI341="",0,VLOOKUP($CI341,装強!$1:$1008,COLUMN($CK$1),FALSE)),"")</f>
        <v/>
      </c>
      <c r="CO341" t="e">
        <f>VLOOKUP(D341,素材!$A:$O,COLUMN(素材!O$1),FALSE)</f>
        <v>#N/A</v>
      </c>
      <c r="CP341" t="e">
        <f>VLOOKUP(C341,武器!$A:$W,COLUMN(武器!W$1),FALSE)</f>
        <v>#N/A</v>
      </c>
      <c r="CR341" t="str">
        <f t="shared" si="35"/>
        <v>e_341</v>
      </c>
      <c r="CS341" t="e">
        <f t="shared" si="36"/>
        <v>#VALUE!</v>
      </c>
    </row>
    <row r="342" spans="1:97" hidden="1" outlineLevel="1" x14ac:dyDescent="0.4">
      <c r="A342" t="str">
        <f>IF(CI342="",D342&amp;"の"&amp;C342,CI342&amp;"の"&amp;C342)</f>
        <v>の</v>
      </c>
      <c r="B342" t="str">
        <f>IFERROR(IF(CI342="",VLOOKUP($D342,素材!$1:$1016,COLUMN($B$1),FALSE)&amp;"・"&amp;VLOOKUP($C342,武器!$1:$998,COLUMN(B$1),FALSE),VLOOKUP($CI342,装強!$1:$1008,COLUMN($B$1),FALSE)&amp;"・"&amp;VLOOKUP($C342,武器!$1:$998,COLUMN(B$1),FALSE)),"")</f>
        <v/>
      </c>
      <c r="C342" s="24"/>
      <c r="D342" s="24"/>
      <c r="E342" t="str">
        <f>IFERROR(VLOOKUP(C342,武器!$1:$998,COLUMN(C$1),FALSE),"")</f>
        <v/>
      </c>
      <c r="F342" t="str">
        <f>IFERROR(ROUNDDOWN((VLOOKUP($C342,武器!$1:$998,COLUMN(D$1),FALSE)+IFERROR(VLOOKUP($CI342,装強!$1:$999,COLUMN(F$1),FALSE),0))*VLOOKUP($D342,素材!$1:$1016,COLUMN(D$1),FALSE),0),"")</f>
        <v/>
      </c>
      <c r="G342" t="str">
        <f>IFERROR(ROUNDDOWN((VLOOKUP($C342,武器!$1:$998,COLUMN(E$1),FALSE)+IFERROR(VLOOKUP($CI342,装強!$1:$999,COLUMN(G$1),FALSE),0))*VLOOKUP($D342,素材!$1:$1016,COLUMN($E$1),FALSE),0),"")</f>
        <v/>
      </c>
      <c r="H342" t="str">
        <f>IFERROR(ROUNDDOWN((VLOOKUP($C342,武器!$1:$998,COLUMN(F$1),FALSE)+IFERROR(VLOOKUP($CI342,装強!$1:$999,COLUMN(H$1),FALSE),0))*VLOOKUP($D342,素材!$1:$1016,COLUMN($E$1),FALSE),0),"")</f>
        <v/>
      </c>
      <c r="I342" t="str">
        <f>IFERROR(ROUNDDOWN((VLOOKUP($C342,武器!$1:$998,COLUMN(G$1),FALSE)+IFERROR(VLOOKUP($CI342,装強!$1:$999,COLUMN(I$1),FALSE),0))*VLOOKUP($D342,素材!$1:$1016,COLUMN($E$1),FALSE),0),"")</f>
        <v/>
      </c>
      <c r="J342" t="str">
        <f>IFERROR(ROUNDDOWN((VLOOKUP($C342,武器!$1:$998,COLUMN(H$1),FALSE)+IFERROR(VLOOKUP($CI342,装強!$1:$999,COLUMN(J$1),FALSE),0))*VLOOKUP($D342,素材!$1:$1016,COLUMN($E$1),FALSE),0),"")</f>
        <v/>
      </c>
      <c r="K342" t="str">
        <f>IFERROR(ROUNDDOWN((VLOOKUP($C342,武器!$1:$998,COLUMN(I$1),FALSE)+IFERROR(VLOOKUP($CI342,装強!$1:$999,COLUMN(K$1),FALSE),0))*VLOOKUP($D342,素材!$1:$1016,COLUMN($E$1),FALSE),0),"")</f>
        <v/>
      </c>
      <c r="L342" t="str">
        <f>IFERROR(VLOOKUP($D342,素材!$1:$1016,COLUMN($F$1),FALSE),"")</f>
        <v/>
      </c>
      <c r="M342" t="str">
        <f>IFERROR(VLOOKUP($C342,武器!$1:$998,COLUMN(AA$1),FALSE)*VLOOKUP($D342,素材!$1:$1016,COLUMN($G$1),FALSE),"")</f>
        <v/>
      </c>
      <c r="N342" t="str">
        <f>IFERROR(VLOOKUP($C342,武器!$1:$998,COLUMN(I$1),FALSE),"")</f>
        <v/>
      </c>
      <c r="O342" s="23" t="str">
        <f>IFERROR((VLOOKUP($C342,武器!$1:$998,COLUMN(K$1),FALSE)+VLOOKUP($D342,素材!$1:$1016,COLUMN(H$1),FALSE))*100+IFERROR(VLOOKUP($CI342,装強!$1:$999,COLUMN(O$1),FALSE),0),"")</f>
        <v/>
      </c>
      <c r="P342" s="23" t="str">
        <f>IFERROR((VLOOKUP($C342,武器!$1:$998,COLUMN(L$1),FALSE)+VLOOKUP($D342,素材!$1:$1016,COLUMN(I$1),FALSE))*100+IFERROR(VLOOKUP($CI342,装強!$1:$999,COLUMN(P$1),FALSE),0),"")</f>
        <v/>
      </c>
      <c r="Q342" t="str">
        <f>IFERROR(ROUNDUP(VLOOKUP($C342,武器!$1:$998,COLUMN(M$1),FALSE)*(VLOOKUP($D342,素材!$1:$1002,COLUMN(D$1),FALSE)/100),1),"")</f>
        <v/>
      </c>
      <c r="R342" t="str">
        <f>IFERROR(ROUNDUP(VLOOKUP($C342,武器!$1:$998,COLUMN(N$1),FALSE)*(VLOOKUP($D342,素材!$1:$1002,COLUMN(D$1),FALSE)/100),1),"")</f>
        <v/>
      </c>
      <c r="S342" t="str">
        <f>IFERROR(VLOOKUP($C342,武器!$1:$998,COLUMN(P$1),FALSE),"")</f>
        <v/>
      </c>
      <c r="T342" t="str">
        <f>IFERROR(VLOOKUP($C342,武器!$1:$998,COLUMN(Q$1),FALSE),"")</f>
        <v/>
      </c>
      <c r="U342" t="str">
        <f>IFERROR(VLOOKUP($C342,武器!$1:$998,COLUMN(R$1),FALSE),"")</f>
        <v/>
      </c>
      <c r="V342" t="str">
        <f>IFERROR(VLOOKUP($C342,武器!$1:$998,COLUMN(Q$1),FALSE),"")</f>
        <v/>
      </c>
      <c r="W342" t="str">
        <f>IFERROR(VLOOKUP($C342,武器!$1:$998,COLUMN(T$1),FALSE),"")</f>
        <v/>
      </c>
      <c r="Y342" t="str">
        <f>IFERROR(VLOOKUP($C342,武器!$1:$998,COLUMN(U$1),FALSE),"")</f>
        <v/>
      </c>
      <c r="Z342" t="str">
        <f>IFERROR(ROUNDUP(VLOOKUP($C342,武器!$1:$998,COLUMN(O$1),FALSE)*VLOOKUP($D342,素材!$1:$1016,COLUMN(E$1),FALSE),1),"")</f>
        <v/>
      </c>
      <c r="AA342">
        <f>IF(ISNUMBER(SEARCH(SUBSTITUTE(AA$1,RIGHT(AA$1,2),""),VLOOKUP($D342,素材!$1:$1016,COLUMN($F$1),FALSE))),VLOOKUP($C342,武器!$1:$998,COLUMN($O$1),FALSE)*VLOOKUP($D342,素材!$1:$1016,COLUMN($E$1),FALSE)/(LEN(VLOOKUP($D342,素材!$1:$1016,COLUMN($F$1),FALSE)) - LEN(SUBSTITUTE(VLOOKUP($D342,素材!$1:$1016,COLUMN($F$1),FALSE), "・", 0)) + 1), 0)</f>
        <v>0</v>
      </c>
      <c r="AB342">
        <f>IF(ISNUMBER(SEARCH(SUBSTITUTE(AB$1,RIGHT(AB$1,2),""),VLOOKUP($D342,素材!$1:$1016,COLUMN($F$1),FALSE))),VLOOKUP($C342,武器!$1:$998,COLUMN($O$1),FALSE)*VLOOKUP($D342,素材!$1:$1016,COLUMN($E$1),FALSE)/(LEN(VLOOKUP($D342,素材!$1:$1016,COLUMN($F$1),FALSE)) - LEN(SUBSTITUTE(VLOOKUP($D342,素材!$1:$1016,COLUMN($F$1),FALSE), "・", 0)) + 1), 0)</f>
        <v>0</v>
      </c>
      <c r="AC342">
        <f>IF(ISNUMBER(SEARCH(SUBSTITUTE(AC$1,RIGHT(AC$1,2),""),VLOOKUP($D342,素材!$1:$1016,COLUMN($F$1),FALSE))),VLOOKUP($C342,武器!$1:$998,COLUMN($O$1),FALSE)*VLOOKUP($D342,素材!$1:$1016,COLUMN($E$1),FALSE)/(LEN(VLOOKUP($D342,素材!$1:$1016,COLUMN($F$1),FALSE)) - LEN(SUBSTITUTE(VLOOKUP($D342,素材!$1:$1016,COLUMN($F$1),FALSE), "・", 0)) + 1), 0)</f>
        <v>0</v>
      </c>
      <c r="AD342">
        <f>IF(ISNUMBER(SEARCH(SUBSTITUTE(AD$1,RIGHT(AD$1,2),""),VLOOKUP($D342,素材!$1:$1016,COLUMN($F$1),FALSE))),VLOOKUP($C342,武器!$1:$998,COLUMN($O$1),FALSE)*VLOOKUP($D342,素材!$1:$1016,COLUMN($E$1),FALSE)/(LEN(VLOOKUP($D342,素材!$1:$1016,COLUMN($F$1),FALSE)) - LEN(SUBSTITUTE(VLOOKUP($D342,素材!$1:$1016,COLUMN($F$1),FALSE), "・", 0)) + 1), 0)</f>
        <v>0</v>
      </c>
      <c r="AE342">
        <f>IF(ISNUMBER(SEARCH(SUBSTITUTE(AE$1,RIGHT(AE$1,2),""),VLOOKUP($D342,素材!$1:$1016,COLUMN($F$1),FALSE))),VLOOKUP($C342,武器!$1:$998,COLUMN($O$1),FALSE)*VLOOKUP($D342,素材!$1:$1016,COLUMN($E$1),FALSE)/(LEN(VLOOKUP($D342,素材!$1:$1016,COLUMN($F$1),FALSE)) - LEN(SUBSTITUTE(VLOOKUP($D342,素材!$1:$1016,COLUMN($F$1),FALSE), "・", 0)) + 1), 0)</f>
        <v>0</v>
      </c>
      <c r="AF342">
        <f>IF(ISNUMBER(SEARCH(SUBSTITUTE(AF$1,RIGHT(AF$1,2),""),VLOOKUP($D342,素材!$1:$1016,COLUMN($F$1),FALSE))),VLOOKUP($C342,武器!$1:$998,COLUMN($O$1),FALSE)*VLOOKUP($D342,素材!$1:$1016,COLUMN($E$1),FALSE)/(LEN(VLOOKUP($D342,素材!$1:$1016,COLUMN($F$1),FALSE)) - LEN(SUBSTITUTE(VLOOKUP($D342,素材!$1:$1016,COLUMN($F$1),FALSE), "・", 0)) + 1), 0)</f>
        <v>0</v>
      </c>
      <c r="AG342">
        <f>IF(ISNUMBER(SEARCH(SUBSTITUTE(AG$1,RIGHT(AG$1,2),""),VLOOKUP($D342,素材!$1:$1016,COLUMN($F$1),FALSE))),VLOOKUP($C342,武器!$1:$998,COLUMN($O$1),FALSE)*VLOOKUP($D342,素材!$1:$1016,COLUMN($E$1),FALSE)/(LEN(VLOOKUP($D342,素材!$1:$1016,COLUMN($F$1),FALSE)) - LEN(SUBSTITUTE(VLOOKUP($D342,素材!$1:$1016,COLUMN($F$1),FALSE), "・", 0)) + 1), 0)</f>
        <v>0</v>
      </c>
      <c r="AH342">
        <f>IF(ISNUMBER(SEARCH(SUBSTITUTE(AH$1,RIGHT(AH$1,2),""),VLOOKUP($D342,素材!$1:$1016,COLUMN($F$1),FALSE))),VLOOKUP($C342,武器!$1:$998,COLUMN($O$1),FALSE)*VLOOKUP($D342,素材!$1:$1016,COLUMN($E$1),FALSE)/(LEN(VLOOKUP($D342,素材!$1:$1016,COLUMN($F$1),FALSE)) - LEN(SUBSTITUTE(VLOOKUP($D342,素材!$1:$1016,COLUMN($F$1),FALSE), "・", 0)) + 1), 0)</f>
        <v>0</v>
      </c>
      <c r="AI342">
        <f>IF(ISNUMBER(SEARCH(SUBSTITUTE(AI$1,RIGHT(AI$1,2),""),VLOOKUP($D342,素材!$1:$1016,COLUMN($F$1),FALSE))),VLOOKUP($C342,武器!$1:$998,COLUMN($O$1),FALSE)*VLOOKUP($D342,素材!$1:$1016,COLUMN($E$1),FALSE)/(LEN(VLOOKUP($D342,素材!$1:$1016,COLUMN($F$1),FALSE)) - LEN(SUBSTITUTE(VLOOKUP($D342,素材!$1:$1016,COLUMN($F$1),FALSE), "・", 0)) + 1), 0)</f>
        <v>0</v>
      </c>
      <c r="AJ342">
        <f>IF(ISNUMBER(SEARCH(SUBSTITUTE(AJ$1,RIGHT(AJ$1,2),""),VLOOKUP($D342,素材!$1:$1016,COLUMN($F$1),FALSE))),VLOOKUP($C342,武器!$1:$998,COLUMN($O$1),FALSE)*VLOOKUP($D342,素材!$1:$1016,COLUMN($E$1),FALSE)/(LEN(VLOOKUP($D342,素材!$1:$1016,COLUMN($F$1),FALSE)) - LEN(SUBSTITUTE(VLOOKUP($D342,素材!$1:$1016,COLUMN($F$1),FALSE), "・", 0)) + 1), 0)</f>
        <v>0</v>
      </c>
      <c r="AK342">
        <f>IF(ISNUMBER(SEARCH(SUBSTITUTE(AK$1,RIGHT(AK$1,2),""),VLOOKUP($D342,素材!$1:$1016,COLUMN($F$1),FALSE))),VLOOKUP($C342,武器!$1:$998,COLUMN($O$1),FALSE)*VLOOKUP($D342,素材!$1:$1016,COLUMN($E$1),FALSE)/(LEN(VLOOKUP($D342,素材!$1:$1016,COLUMN($F$1),FALSE)) - LEN(SUBSTITUTE(VLOOKUP($D342,素材!$1:$1016,COLUMN($F$1),FALSE), "・", 0)) + 1), 0)</f>
        <v>0</v>
      </c>
      <c r="AL342">
        <f>IF(ISNUMBER(SEARCH(SUBSTITUTE(AL$1,RIGHT(AL$1,2),""),VLOOKUP($D342,素材!$1:$1016,COLUMN($F$1),FALSE))),VLOOKUP($C342,武器!$1:$998,COLUMN($O$1),FALSE)*VLOOKUP($D342,素材!$1:$1016,COLUMN($E$1),FALSE)/(LEN(VLOOKUP($D342,素材!$1:$1016,COLUMN($F$1),FALSE)) - LEN(SUBSTITUTE(VLOOKUP($D342,素材!$1:$1016,COLUMN($F$1),FALSE), "・", 0)) + 1), 0)</f>
        <v>0</v>
      </c>
      <c r="AM342">
        <f>IF(ISNUMBER(SEARCH(SUBSTITUTE(AM$1,RIGHT(AM$1,2),""),VLOOKUP($D342,素材!$1:$1016,COLUMN($F$1),FALSE))),VLOOKUP($C342,武器!$1:$998,COLUMN($O$1),FALSE)*VLOOKUP($D342,素材!$1:$1016,COLUMN($E$1),FALSE)/(LEN(VLOOKUP($D342,素材!$1:$1016,COLUMN($F$1),FALSE)) - LEN(SUBSTITUTE(VLOOKUP($D342,素材!$1:$1016,COLUMN($F$1),FALSE), "・", 0)) + 1), 0)</f>
        <v>0</v>
      </c>
      <c r="AN342">
        <f>IF(ISNUMBER(SEARCH(SUBSTITUTE(AN$1,RIGHT(AN$1,2),""),VLOOKUP($D342,素材!$1:$1016,COLUMN($F$1),FALSE))),VLOOKUP($C342,武器!$1:$998,COLUMN($O$1),FALSE)*VLOOKUP($D342,素材!$1:$1016,COLUMN($E$1),FALSE)/(LEN(VLOOKUP($D342,素材!$1:$1016,COLUMN($F$1),FALSE)) - LEN(SUBSTITUTE(VLOOKUP($D342,素材!$1:$1016,COLUMN($F$1),FALSE), "・", 0)) + 1), 0)</f>
        <v>0</v>
      </c>
      <c r="AO342">
        <f>IF(ISNUMBER(SEARCH(SUBSTITUTE(AO$1,RIGHT(AO$1,2),""),VLOOKUP($D342,素材!$1:$1016,COLUMN($F$1),FALSE))),VLOOKUP($C342,武器!$1:$998,COLUMN($O$1),FALSE)*VLOOKUP($D342,素材!$1:$1016,COLUMN($E$1),FALSE)/(LEN(VLOOKUP($D342,素材!$1:$1016,COLUMN($F$1),FALSE)) - LEN(SUBSTITUTE(VLOOKUP($D342,素材!$1:$1016,COLUMN($F$1),FALSE), "・", 0)) + 1), 0)</f>
        <v>0</v>
      </c>
      <c r="AP342">
        <f>IF(ISNUMBER(SEARCH(SUBSTITUTE(AP$1,RIGHT(AP$1,2),""),VLOOKUP($D342,素材!$1:$1016,COLUMN($F$1),FALSE))),VLOOKUP($C342,武器!$1:$998,COLUMN($O$1),FALSE)*VLOOKUP($D342,素材!$1:$1016,COLUMN($E$1),FALSE)/(LEN(VLOOKUP($D342,素材!$1:$1016,COLUMN($F$1),FALSE)) - LEN(SUBSTITUTE(VLOOKUP($D342,素材!$1:$1016,COLUMN($F$1),FALSE), "・", 0)) + 1), 0)</f>
        <v>0</v>
      </c>
      <c r="AQ342">
        <f>IF(ISNUMBER(SEARCH(SUBSTITUTE(AQ$1,RIGHT(AQ$1,2),""),VLOOKUP($D342,素材!$1:$1016,COLUMN($F$1),FALSE))),VLOOKUP($C342,武器!$1:$998,COLUMN($O$1),FALSE)*VLOOKUP($D342,素材!$1:$1016,COLUMN($E$1),FALSE)/(LEN(VLOOKUP($D342,素材!$1:$1016,COLUMN($F$1),FALSE)) - LEN(SUBSTITUTE(VLOOKUP($D342,素材!$1:$1016,COLUMN($F$1),FALSE), "・", 0)) + 1), 0)</f>
        <v>0</v>
      </c>
      <c r="AR342">
        <f>IF(ISNUMBER(SEARCH(SUBSTITUTE(AR$1,RIGHT(AR$1,2),""),VLOOKUP($D342,素材!$1:$1016,COLUMN($F$1),FALSE))),VLOOKUP($C342,武器!$1:$998,COLUMN($O$1),FALSE)*VLOOKUP($D342,素材!$1:$1016,COLUMN($E$1),FALSE)/(LEN(VLOOKUP($D342,素材!$1:$1016,COLUMN($F$1),FALSE)) - LEN(SUBSTITUTE(VLOOKUP($D342,素材!$1:$1016,COLUMN($F$1),FALSE), "・", 0)) + 1), 0)</f>
        <v>0</v>
      </c>
      <c r="AS342">
        <f>IF(ISNUMBER(SEARCH(SUBSTITUTE(AS$1,RIGHT(AS$1,2),""),VLOOKUP($D342,素材!$1:$1016,COLUMN($F$1),FALSE))),VLOOKUP($C342,武器!$1:$998,COLUMN($O$1),FALSE)*VLOOKUP($D342,素材!$1:$1016,COLUMN($E$1),FALSE)/(LEN(VLOOKUP($D342,素材!$1:$1016,COLUMN($F$1),FALSE)) - LEN(SUBSTITUTE(VLOOKUP($D342,素材!$1:$1016,COLUMN($F$1),FALSE), "・", 0)) + 1), 0)</f>
        <v>0</v>
      </c>
      <c r="AT342">
        <f>IF(ISNUMBER(SEARCH(SUBSTITUTE(AT$1,RIGHT(AT$1,2),""),VLOOKUP($D342,素材!$1:$1016,COLUMN($F$1),FALSE))),VLOOKUP($C342,武器!$1:$998,COLUMN($O$1),FALSE)*VLOOKUP($D342,素材!$1:$1016,COLUMN($E$1),FALSE)/(LEN(VLOOKUP($D342,素材!$1:$1016,COLUMN($F$1),FALSE)) - LEN(SUBSTITUTE(VLOOKUP($D342,素材!$1:$1016,COLUMN($F$1),FALSE), "・", 0)) + 1), 0)</f>
        <v>0</v>
      </c>
      <c r="AU342">
        <f>IF(ISNUMBER(SEARCH(SUBSTITUTE(AU$1,RIGHT(AU$1,2),""),VLOOKUP($D342,素材!$1:$1016,COLUMN($F$1),FALSE))),VLOOKUP($C342,武器!$1:$998,COLUMN($O$1),FALSE)*VLOOKUP($D342,素材!$1:$1016,COLUMN($E$1),FALSE)/(LEN(VLOOKUP($D342,素材!$1:$1016,COLUMN($F$1),FALSE)) - LEN(SUBSTITUTE(VLOOKUP($D342,素材!$1:$1016,COLUMN($F$1),FALSE), "・", 0)) + 1), 0)</f>
        <v>0</v>
      </c>
      <c r="AV342">
        <f>IF(ISNUMBER(SEARCH(SUBSTITUTE(AV$1,RIGHT(AV$1,2),""),VLOOKUP($D342,素材!$1:$1016,COLUMN($F$1),FALSE))),VLOOKUP($C342,武器!$1:$998,COLUMN($O$1),FALSE)*VLOOKUP($D342,素材!$1:$1016,COLUMN($E$1),FALSE)/(LEN(VLOOKUP($D342,素材!$1:$1016,COLUMN($F$1),FALSE)) - LEN(SUBSTITUTE(VLOOKUP($D342,素材!$1:$1016,COLUMN($F$1),FALSE), "・", 0)) + 1), 0)</f>
        <v>0</v>
      </c>
      <c r="AW342">
        <f>IF(ISNUMBER(SEARCH(SUBSTITUTE(AW$1,RIGHT(AW$1,2),""),VLOOKUP($D342,素材!$1:$1016,COLUMN($F$1),FALSE))),VLOOKUP($C342,武器!$1:$998,COLUMN($O$1),FALSE)*VLOOKUP($D342,素材!$1:$1016,COLUMN($E$1),FALSE)/(LEN(VLOOKUP($D342,素材!$1:$1016,COLUMN($F$1),FALSE)) - LEN(SUBSTITUTE(VLOOKUP($D342,素材!$1:$1016,COLUMN($F$1),FALSE), "・", 0)) + 1), 0)</f>
        <v>0</v>
      </c>
      <c r="AX342">
        <f>IF(ISNUMBER(SEARCH(SUBSTITUTE(AX$1,RIGHT(AX$1,2),""),VLOOKUP($D342,素材!$1:$1016,COLUMN($F$1),FALSE))),VLOOKUP($C342,武器!$1:$998,COLUMN($O$1),FALSE)*VLOOKUP($D342,素材!$1:$1016,COLUMN($E$1),FALSE)/(LEN(VLOOKUP($D342,素材!$1:$1016,COLUMN($F$1),FALSE)) - LEN(SUBSTITUTE(VLOOKUP($D342,素材!$1:$1016,COLUMN($F$1),FALSE), "・", 0)) + 1), 0)</f>
        <v>0</v>
      </c>
      <c r="AY342">
        <f>IF(ISNUMBER(SEARCH(SUBSTITUTE(AY$1,RIGHT(AY$1,2),""),VLOOKUP($D342,素材!$1:$1016,COLUMN($F$1),FALSE))),VLOOKUP($C342,武器!$1:$998,COLUMN($O$1),FALSE)*VLOOKUP($D342,素材!$1:$1016,COLUMN($E$1),FALSE)/(LEN(VLOOKUP($D342,素材!$1:$1016,COLUMN($F$1),FALSE)) - LEN(SUBSTITUTE(VLOOKUP($D342,素材!$1:$1016,COLUMN($F$1),FALSE), "・", 0)) + 1), 0)</f>
        <v>0</v>
      </c>
      <c r="AZ342">
        <f>IF(ISNUMBER(SEARCH(SUBSTITUTE(AZ$1,RIGHT(AZ$1,2),""),VLOOKUP($D342,素材!$1:$1016,COLUMN($F$1),FALSE))),VLOOKUP($C342,武器!$1:$998,COLUMN($O$1),FALSE)*VLOOKUP($D342,素材!$1:$1016,COLUMN($E$1),FALSE)/(LEN(VLOOKUP($D342,素材!$1:$1016,COLUMN($F$1),FALSE)) - LEN(SUBSTITUTE(VLOOKUP($D342,素材!$1:$1016,COLUMN($F$1),FALSE), "・", 0)) + 1), 0)</f>
        <v>0</v>
      </c>
      <c r="BA342">
        <f>IF(ISNUMBER(SEARCH(SUBSTITUTE(BA$1,RIGHT(BA$1,2),""),VLOOKUP($D342,素材!$1:$1016,COLUMN($F$1),FALSE))),VLOOKUP($C342,武器!$1:$998,COLUMN($O$1),FALSE)*VLOOKUP($D342,素材!$1:$1016,COLUMN($E$1),FALSE)/(LEN(VLOOKUP($D342,素材!$1:$1016,COLUMN($F$1),FALSE)) - LEN(SUBSTITUTE(VLOOKUP($D342,素材!$1:$1016,COLUMN($F$1),FALSE), "・", 0)) + 1), 0)</f>
        <v>0</v>
      </c>
      <c r="BB342">
        <f>IF(ISNUMBER(SEARCH(SUBSTITUTE(BB$1,RIGHT(BB$1,2),""),VLOOKUP($D342,素材!$1:$1016,COLUMN($F$1),FALSE))),VLOOKUP($C342,武器!$1:$998,COLUMN($O$1),FALSE)*VLOOKUP($D342,素材!$1:$1016,COLUMN($E$1),FALSE)/(LEN(VLOOKUP($D342,素材!$1:$1016,COLUMN($F$1),FALSE)) - LEN(SUBSTITUTE(VLOOKUP($D342,素材!$1:$1016,COLUMN($F$1),FALSE), "・", 0)) + 1), 0)</f>
        <v>0</v>
      </c>
      <c r="BC342">
        <f>IF(ISNUMBER(SEARCH(SUBSTITUTE(BC$1,RIGHT(BC$1,2),""),VLOOKUP($D342,素材!$1:$1016,COLUMN($F$1),FALSE))),VLOOKUP($C342,武器!$1:$998,COLUMN($O$1),FALSE)*VLOOKUP($D342,素材!$1:$1016,COLUMN($E$1),FALSE)/(LEN(VLOOKUP($D342,素材!$1:$1016,COLUMN($F$1),FALSE)) - LEN(SUBSTITUTE(VLOOKUP($D342,素材!$1:$1016,COLUMN($F$1),FALSE), "・", 0)) + 1), 0)</f>
        <v>0</v>
      </c>
      <c r="BD342">
        <f>IF(ISNUMBER(SEARCH(SUBSTITUTE(BD$1,RIGHT(BD$1,2),""),VLOOKUP($D342,素材!$1:$1016,COLUMN($F$1),FALSE))),VLOOKUP($C342,武器!$1:$998,COLUMN($O$1),FALSE)*VLOOKUP($D342,素材!$1:$1016,COLUMN($E$1),FALSE)/(LEN(VLOOKUP($D342,素材!$1:$1016,COLUMN($F$1),FALSE)) - LEN(SUBSTITUTE(VLOOKUP($D342,素材!$1:$1016,COLUMN($F$1),FALSE), "・", 0)) + 1), 0)</f>
        <v>0</v>
      </c>
      <c r="BE342">
        <f>IF(ISNUMBER(SEARCH(SUBSTITUTE(BE$1,RIGHT(BE$1,2),""),VLOOKUP($D342,素材!$1:$1016,COLUMN($F$1),FALSE))),VLOOKUP($C342,武器!$1:$998,COLUMN($O$1),FALSE)*VLOOKUP($D342,素材!$1:$1016,COLUMN($E$1),FALSE)/(LEN(VLOOKUP($D342,素材!$1:$1016,COLUMN($F$1),FALSE)) - LEN(SUBSTITUTE(VLOOKUP($D342,素材!$1:$1016,COLUMN($F$1),FALSE), "・", 0)) + 1), 0)</f>
        <v>0</v>
      </c>
      <c r="CL342">
        <f>SUM(G342:I342)</f>
        <v>0</v>
      </c>
      <c r="CM342" s="22" t="str">
        <f>IF(E342="武器",IF(J342-1&gt;SUM(G342:I342),"盾",IF(MAX(G342:I342)=G342,"切断",IF(MAX(G342:I342)=H342,"貫通",IF(MAX(G342:I342)=I342,"打撃","射撃")))),E342)&amp;".webp"</f>
        <v>.webp</v>
      </c>
      <c r="CN342" t="str">
        <f>IFERROR(VLOOKUP($C342,武器!$1:$998,COLUMN(V$1),FALSE)*VLOOKUP($D342,素材!$1:$1016,COLUMN(N$1),FALSE)+IF(CI342="",0,VLOOKUP($CI342,装強!$1:$1008,COLUMN($CK$1),FALSE)),"")</f>
        <v/>
      </c>
      <c r="CO342" t="e">
        <f>VLOOKUP(D342,素材!$A:$O,COLUMN(素材!O$1),FALSE)</f>
        <v>#N/A</v>
      </c>
      <c r="CP342" t="e">
        <f>VLOOKUP(C342,武器!$A:$W,COLUMN(武器!W$1),FALSE)</f>
        <v>#N/A</v>
      </c>
      <c r="CR342" t="str">
        <f t="shared" si="35"/>
        <v>e_342</v>
      </c>
      <c r="CS342" t="e">
        <f t="shared" si="36"/>
        <v>#VALUE!</v>
      </c>
    </row>
    <row r="343" spans="1:97" hidden="1" outlineLevel="1" x14ac:dyDescent="0.4">
      <c r="A343" t="str">
        <f>IF(CI343="",D343&amp;"の"&amp;C343,CI343&amp;"の"&amp;C343)</f>
        <v>の</v>
      </c>
      <c r="B343" t="str">
        <f>IFERROR(IF(CI343="",VLOOKUP($D343,素材!$1:$1016,COLUMN($B$1),FALSE)&amp;"・"&amp;VLOOKUP($C343,武器!$1:$998,COLUMN(B$1),FALSE),VLOOKUP($CI343,装強!$1:$1008,COLUMN($B$1),FALSE)&amp;"・"&amp;VLOOKUP($C343,武器!$1:$998,COLUMN(B$1),FALSE)),"")</f>
        <v/>
      </c>
      <c r="C343" s="24"/>
      <c r="D343" s="24"/>
      <c r="E343" t="str">
        <f>IFERROR(VLOOKUP(C343,武器!$1:$998,COLUMN(C$1),FALSE),"")</f>
        <v/>
      </c>
      <c r="F343" t="str">
        <f>IFERROR(ROUNDDOWN((VLOOKUP($C343,武器!$1:$998,COLUMN(D$1),FALSE)+IFERROR(VLOOKUP($CI343,装強!$1:$999,COLUMN(F$1),FALSE),0))*VLOOKUP($D343,素材!$1:$1016,COLUMN(D$1),FALSE),0),"")</f>
        <v/>
      </c>
      <c r="G343" t="str">
        <f>IFERROR(ROUNDDOWN((VLOOKUP($C343,武器!$1:$998,COLUMN(E$1),FALSE)+IFERROR(VLOOKUP($CI343,装強!$1:$999,COLUMN(G$1),FALSE),0))*VLOOKUP($D343,素材!$1:$1016,COLUMN($E$1),FALSE),0),"")</f>
        <v/>
      </c>
      <c r="H343" t="str">
        <f>IFERROR(ROUNDDOWN((VLOOKUP($C343,武器!$1:$998,COLUMN(F$1),FALSE)+IFERROR(VLOOKUP($CI343,装強!$1:$999,COLUMN(H$1),FALSE),0))*VLOOKUP($D343,素材!$1:$1016,COLUMN($E$1),FALSE),0),"")</f>
        <v/>
      </c>
      <c r="I343" t="str">
        <f>IFERROR(ROUNDDOWN((VLOOKUP($C343,武器!$1:$998,COLUMN(G$1),FALSE)+IFERROR(VLOOKUP($CI343,装強!$1:$999,COLUMN(I$1),FALSE),0))*VLOOKUP($D343,素材!$1:$1016,COLUMN($E$1),FALSE),0),"")</f>
        <v/>
      </c>
      <c r="J343" t="str">
        <f>IFERROR(ROUNDDOWN((VLOOKUP($C343,武器!$1:$998,COLUMN(H$1),FALSE)+IFERROR(VLOOKUP($CI343,装強!$1:$999,COLUMN(J$1),FALSE),0))*VLOOKUP($D343,素材!$1:$1016,COLUMN($E$1),FALSE),0),"")</f>
        <v/>
      </c>
      <c r="K343" t="str">
        <f>IFERROR(ROUNDDOWN((VLOOKUP($C343,武器!$1:$998,COLUMN(I$1),FALSE)+IFERROR(VLOOKUP($CI343,装強!$1:$999,COLUMN(K$1),FALSE),0))*VLOOKUP($D343,素材!$1:$1016,COLUMN($E$1),FALSE),0),"")</f>
        <v/>
      </c>
      <c r="L343" t="str">
        <f>IFERROR(VLOOKUP($D343,素材!$1:$1016,COLUMN($F$1),FALSE),"")</f>
        <v/>
      </c>
      <c r="M343" t="str">
        <f>IFERROR(VLOOKUP($C343,武器!$1:$998,COLUMN(AA$1),FALSE)*VLOOKUP($D343,素材!$1:$1016,COLUMN($G$1),FALSE),"")</f>
        <v/>
      </c>
      <c r="N343" t="str">
        <f>IFERROR(VLOOKUP($C343,武器!$1:$998,COLUMN(I$1),FALSE),"")</f>
        <v/>
      </c>
      <c r="O343" s="23" t="str">
        <f>IFERROR((VLOOKUP($C343,武器!$1:$998,COLUMN(K$1),FALSE)+VLOOKUP($D343,素材!$1:$1016,COLUMN(H$1),FALSE))*100+IFERROR(VLOOKUP($CI343,装強!$1:$999,COLUMN(O$1),FALSE),0),"")</f>
        <v/>
      </c>
      <c r="P343" s="23" t="str">
        <f>IFERROR((VLOOKUP($C343,武器!$1:$998,COLUMN(L$1),FALSE)+VLOOKUP($D343,素材!$1:$1016,COLUMN(I$1),FALSE))*100+IFERROR(VLOOKUP($CI343,装強!$1:$999,COLUMN(P$1),FALSE),0),"")</f>
        <v/>
      </c>
      <c r="Q343" t="str">
        <f>IFERROR(ROUNDUP(VLOOKUP($C343,武器!$1:$998,COLUMN(M$1),FALSE)*(VLOOKUP($D343,素材!$1:$1002,COLUMN(D$1),FALSE)/100),1),"")</f>
        <v/>
      </c>
      <c r="R343" t="str">
        <f>IFERROR(ROUNDUP(VLOOKUP($C343,武器!$1:$998,COLUMN(N$1),FALSE)*(VLOOKUP($D343,素材!$1:$1002,COLUMN(D$1),FALSE)/100),1),"")</f>
        <v/>
      </c>
      <c r="S343" t="str">
        <f>IFERROR(VLOOKUP($C343,武器!$1:$998,COLUMN(P$1),FALSE),"")</f>
        <v/>
      </c>
      <c r="T343" t="str">
        <f>IFERROR(VLOOKUP($C343,武器!$1:$998,COLUMN(Q$1),FALSE),"")</f>
        <v/>
      </c>
      <c r="U343" t="str">
        <f>IFERROR(VLOOKUP($C343,武器!$1:$998,COLUMN(R$1),FALSE),"")</f>
        <v/>
      </c>
      <c r="V343" t="str">
        <f>IFERROR(VLOOKUP($C343,武器!$1:$998,COLUMN(Q$1),FALSE),"")</f>
        <v/>
      </c>
      <c r="W343" t="str">
        <f>IFERROR(VLOOKUP($C343,武器!$1:$998,COLUMN(T$1),FALSE),"")</f>
        <v/>
      </c>
      <c r="Y343" t="str">
        <f>IFERROR(VLOOKUP($C343,武器!$1:$998,COLUMN(U$1),FALSE),"")</f>
        <v/>
      </c>
      <c r="Z343" t="str">
        <f>IFERROR(ROUNDUP(VLOOKUP($C343,武器!$1:$998,COLUMN(O$1),FALSE)*VLOOKUP($D343,素材!$1:$1016,COLUMN(E$1),FALSE),1),"")</f>
        <v/>
      </c>
      <c r="AA343">
        <f>IF(ISNUMBER(SEARCH(SUBSTITUTE(AA$1,RIGHT(AA$1,2),""),VLOOKUP($D343,素材!$1:$1016,COLUMN($F$1),FALSE))),VLOOKUP($C343,武器!$1:$998,COLUMN($O$1),FALSE)*VLOOKUP($D343,素材!$1:$1016,COLUMN($E$1),FALSE)/(LEN(VLOOKUP($D343,素材!$1:$1016,COLUMN($F$1),FALSE)) - LEN(SUBSTITUTE(VLOOKUP($D343,素材!$1:$1016,COLUMN($F$1),FALSE), "・", 0)) + 1), 0)</f>
        <v>0</v>
      </c>
      <c r="AB343">
        <f>IF(ISNUMBER(SEARCH(SUBSTITUTE(AB$1,RIGHT(AB$1,2),""),VLOOKUP($D343,素材!$1:$1016,COLUMN($F$1),FALSE))),VLOOKUP($C343,武器!$1:$998,COLUMN($O$1),FALSE)*VLOOKUP($D343,素材!$1:$1016,COLUMN($E$1),FALSE)/(LEN(VLOOKUP($D343,素材!$1:$1016,COLUMN($F$1),FALSE)) - LEN(SUBSTITUTE(VLOOKUP($D343,素材!$1:$1016,COLUMN($F$1),FALSE), "・", 0)) + 1), 0)</f>
        <v>0</v>
      </c>
      <c r="AC343">
        <f>IF(ISNUMBER(SEARCH(SUBSTITUTE(AC$1,RIGHT(AC$1,2),""),VLOOKUP($D343,素材!$1:$1016,COLUMN($F$1),FALSE))),VLOOKUP($C343,武器!$1:$998,COLUMN($O$1),FALSE)*VLOOKUP($D343,素材!$1:$1016,COLUMN($E$1),FALSE)/(LEN(VLOOKUP($D343,素材!$1:$1016,COLUMN($F$1),FALSE)) - LEN(SUBSTITUTE(VLOOKUP($D343,素材!$1:$1016,COLUMN($F$1),FALSE), "・", 0)) + 1), 0)</f>
        <v>0</v>
      </c>
      <c r="AD343">
        <f>IF(ISNUMBER(SEARCH(SUBSTITUTE(AD$1,RIGHT(AD$1,2),""),VLOOKUP($D343,素材!$1:$1016,COLUMN($F$1),FALSE))),VLOOKUP($C343,武器!$1:$998,COLUMN($O$1),FALSE)*VLOOKUP($D343,素材!$1:$1016,COLUMN($E$1),FALSE)/(LEN(VLOOKUP($D343,素材!$1:$1016,COLUMN($F$1),FALSE)) - LEN(SUBSTITUTE(VLOOKUP($D343,素材!$1:$1016,COLUMN($F$1),FALSE), "・", 0)) + 1), 0)</f>
        <v>0</v>
      </c>
      <c r="AE343">
        <f>IF(ISNUMBER(SEARCH(SUBSTITUTE(AE$1,RIGHT(AE$1,2),""),VLOOKUP($D343,素材!$1:$1016,COLUMN($F$1),FALSE))),VLOOKUP($C343,武器!$1:$998,COLUMN($O$1),FALSE)*VLOOKUP($D343,素材!$1:$1016,COLUMN($E$1),FALSE)/(LEN(VLOOKUP($D343,素材!$1:$1016,COLUMN($F$1),FALSE)) - LEN(SUBSTITUTE(VLOOKUP($D343,素材!$1:$1016,COLUMN($F$1),FALSE), "・", 0)) + 1), 0)</f>
        <v>0</v>
      </c>
      <c r="AF343">
        <f>IF(ISNUMBER(SEARCH(SUBSTITUTE(AF$1,RIGHT(AF$1,2),""),VLOOKUP($D343,素材!$1:$1016,COLUMN($F$1),FALSE))),VLOOKUP($C343,武器!$1:$998,COLUMN($O$1),FALSE)*VLOOKUP($D343,素材!$1:$1016,COLUMN($E$1),FALSE)/(LEN(VLOOKUP($D343,素材!$1:$1016,COLUMN($F$1),FALSE)) - LEN(SUBSTITUTE(VLOOKUP($D343,素材!$1:$1016,COLUMN($F$1),FALSE), "・", 0)) + 1), 0)</f>
        <v>0</v>
      </c>
      <c r="AG343">
        <f>IF(ISNUMBER(SEARCH(SUBSTITUTE(AG$1,RIGHT(AG$1,2),""),VLOOKUP($D343,素材!$1:$1016,COLUMN($F$1),FALSE))),VLOOKUP($C343,武器!$1:$998,COLUMN($O$1),FALSE)*VLOOKUP($D343,素材!$1:$1016,COLUMN($E$1),FALSE)/(LEN(VLOOKUP($D343,素材!$1:$1016,COLUMN($F$1),FALSE)) - LEN(SUBSTITUTE(VLOOKUP($D343,素材!$1:$1016,COLUMN($F$1),FALSE), "・", 0)) + 1), 0)</f>
        <v>0</v>
      </c>
      <c r="AH343">
        <f>IF(ISNUMBER(SEARCH(SUBSTITUTE(AH$1,RIGHT(AH$1,2),""),VLOOKUP($D343,素材!$1:$1016,COLUMN($F$1),FALSE))),VLOOKUP($C343,武器!$1:$998,COLUMN($O$1),FALSE)*VLOOKUP($D343,素材!$1:$1016,COLUMN($E$1),FALSE)/(LEN(VLOOKUP($D343,素材!$1:$1016,COLUMN($F$1),FALSE)) - LEN(SUBSTITUTE(VLOOKUP($D343,素材!$1:$1016,COLUMN($F$1),FALSE), "・", 0)) + 1), 0)</f>
        <v>0</v>
      </c>
      <c r="AI343">
        <f>IF(ISNUMBER(SEARCH(SUBSTITUTE(AI$1,RIGHT(AI$1,2),""),VLOOKUP($D343,素材!$1:$1016,COLUMN($F$1),FALSE))),VLOOKUP($C343,武器!$1:$998,COLUMN($O$1),FALSE)*VLOOKUP($D343,素材!$1:$1016,COLUMN($E$1),FALSE)/(LEN(VLOOKUP($D343,素材!$1:$1016,COLUMN($F$1),FALSE)) - LEN(SUBSTITUTE(VLOOKUP($D343,素材!$1:$1016,COLUMN($F$1),FALSE), "・", 0)) + 1), 0)</f>
        <v>0</v>
      </c>
      <c r="AJ343">
        <f>IF(ISNUMBER(SEARCH(SUBSTITUTE(AJ$1,RIGHT(AJ$1,2),""),VLOOKUP($D343,素材!$1:$1016,COLUMN($F$1),FALSE))),VLOOKUP($C343,武器!$1:$998,COLUMN($O$1),FALSE)*VLOOKUP($D343,素材!$1:$1016,COLUMN($E$1),FALSE)/(LEN(VLOOKUP($D343,素材!$1:$1016,COLUMN($F$1),FALSE)) - LEN(SUBSTITUTE(VLOOKUP($D343,素材!$1:$1016,COLUMN($F$1),FALSE), "・", 0)) + 1), 0)</f>
        <v>0</v>
      </c>
      <c r="AK343">
        <f>IF(ISNUMBER(SEARCH(SUBSTITUTE(AK$1,RIGHT(AK$1,2),""),VLOOKUP($D343,素材!$1:$1016,COLUMN($F$1),FALSE))),VLOOKUP($C343,武器!$1:$998,COLUMN($O$1),FALSE)*VLOOKUP($D343,素材!$1:$1016,COLUMN($E$1),FALSE)/(LEN(VLOOKUP($D343,素材!$1:$1016,COLUMN($F$1),FALSE)) - LEN(SUBSTITUTE(VLOOKUP($D343,素材!$1:$1016,COLUMN($F$1),FALSE), "・", 0)) + 1), 0)</f>
        <v>0</v>
      </c>
      <c r="AL343">
        <f>IF(ISNUMBER(SEARCH(SUBSTITUTE(AL$1,RIGHT(AL$1,2),""),VLOOKUP($D343,素材!$1:$1016,COLUMN($F$1),FALSE))),VLOOKUP($C343,武器!$1:$998,COLUMN($O$1),FALSE)*VLOOKUP($D343,素材!$1:$1016,COLUMN($E$1),FALSE)/(LEN(VLOOKUP($D343,素材!$1:$1016,COLUMN($F$1),FALSE)) - LEN(SUBSTITUTE(VLOOKUP($D343,素材!$1:$1016,COLUMN($F$1),FALSE), "・", 0)) + 1), 0)</f>
        <v>0</v>
      </c>
      <c r="AM343">
        <f>IF(ISNUMBER(SEARCH(SUBSTITUTE(AM$1,RIGHT(AM$1,2),""),VLOOKUP($D343,素材!$1:$1016,COLUMN($F$1),FALSE))),VLOOKUP($C343,武器!$1:$998,COLUMN($O$1),FALSE)*VLOOKUP($D343,素材!$1:$1016,COLUMN($E$1),FALSE)/(LEN(VLOOKUP($D343,素材!$1:$1016,COLUMN($F$1),FALSE)) - LEN(SUBSTITUTE(VLOOKUP($D343,素材!$1:$1016,COLUMN($F$1),FALSE), "・", 0)) + 1), 0)</f>
        <v>0</v>
      </c>
      <c r="AN343">
        <f>IF(ISNUMBER(SEARCH(SUBSTITUTE(AN$1,RIGHT(AN$1,2),""),VLOOKUP($D343,素材!$1:$1016,COLUMN($F$1),FALSE))),VLOOKUP($C343,武器!$1:$998,COLUMN($O$1),FALSE)*VLOOKUP($D343,素材!$1:$1016,COLUMN($E$1),FALSE)/(LEN(VLOOKUP($D343,素材!$1:$1016,COLUMN($F$1),FALSE)) - LEN(SUBSTITUTE(VLOOKUP($D343,素材!$1:$1016,COLUMN($F$1),FALSE), "・", 0)) + 1), 0)</f>
        <v>0</v>
      </c>
      <c r="AO343">
        <f>IF(ISNUMBER(SEARCH(SUBSTITUTE(AO$1,RIGHT(AO$1,2),""),VLOOKUP($D343,素材!$1:$1016,COLUMN($F$1),FALSE))),VLOOKUP($C343,武器!$1:$998,COLUMN($O$1),FALSE)*VLOOKUP($D343,素材!$1:$1016,COLUMN($E$1),FALSE)/(LEN(VLOOKUP($D343,素材!$1:$1016,COLUMN($F$1),FALSE)) - LEN(SUBSTITUTE(VLOOKUP($D343,素材!$1:$1016,COLUMN($F$1),FALSE), "・", 0)) + 1), 0)</f>
        <v>0</v>
      </c>
      <c r="AP343">
        <f>IF(ISNUMBER(SEARCH(SUBSTITUTE(AP$1,RIGHT(AP$1,2),""),VLOOKUP($D343,素材!$1:$1016,COLUMN($F$1),FALSE))),VLOOKUP($C343,武器!$1:$998,COLUMN($O$1),FALSE)*VLOOKUP($D343,素材!$1:$1016,COLUMN($E$1),FALSE)/(LEN(VLOOKUP($D343,素材!$1:$1016,COLUMN($F$1),FALSE)) - LEN(SUBSTITUTE(VLOOKUP($D343,素材!$1:$1016,COLUMN($F$1),FALSE), "・", 0)) + 1), 0)</f>
        <v>0</v>
      </c>
      <c r="AQ343">
        <f>IF(ISNUMBER(SEARCH(SUBSTITUTE(AQ$1,RIGHT(AQ$1,2),""),VLOOKUP($D343,素材!$1:$1016,COLUMN($F$1),FALSE))),VLOOKUP($C343,武器!$1:$998,COLUMN($O$1),FALSE)*VLOOKUP($D343,素材!$1:$1016,COLUMN($E$1),FALSE)/(LEN(VLOOKUP($D343,素材!$1:$1016,COLUMN($F$1),FALSE)) - LEN(SUBSTITUTE(VLOOKUP($D343,素材!$1:$1016,COLUMN($F$1),FALSE), "・", 0)) + 1), 0)</f>
        <v>0</v>
      </c>
      <c r="AR343">
        <f>IF(ISNUMBER(SEARCH(SUBSTITUTE(AR$1,RIGHT(AR$1,2),""),VLOOKUP($D343,素材!$1:$1016,COLUMN($F$1),FALSE))),VLOOKUP($C343,武器!$1:$998,COLUMN($O$1),FALSE)*VLOOKUP($D343,素材!$1:$1016,COLUMN($E$1),FALSE)/(LEN(VLOOKUP($D343,素材!$1:$1016,COLUMN($F$1),FALSE)) - LEN(SUBSTITUTE(VLOOKUP($D343,素材!$1:$1016,COLUMN($F$1),FALSE), "・", 0)) + 1), 0)</f>
        <v>0</v>
      </c>
      <c r="AS343">
        <f>IF(ISNUMBER(SEARCH(SUBSTITUTE(AS$1,RIGHT(AS$1,2),""),VLOOKUP($D343,素材!$1:$1016,COLUMN($F$1),FALSE))),VLOOKUP($C343,武器!$1:$998,COLUMN($O$1),FALSE)*VLOOKUP($D343,素材!$1:$1016,COLUMN($E$1),FALSE)/(LEN(VLOOKUP($D343,素材!$1:$1016,COLUMN($F$1),FALSE)) - LEN(SUBSTITUTE(VLOOKUP($D343,素材!$1:$1016,COLUMN($F$1),FALSE), "・", 0)) + 1), 0)</f>
        <v>0</v>
      </c>
      <c r="AT343">
        <f>IF(ISNUMBER(SEARCH(SUBSTITUTE(AT$1,RIGHT(AT$1,2),""),VLOOKUP($D343,素材!$1:$1016,COLUMN($F$1),FALSE))),VLOOKUP($C343,武器!$1:$998,COLUMN($O$1),FALSE)*VLOOKUP($D343,素材!$1:$1016,COLUMN($E$1),FALSE)/(LEN(VLOOKUP($D343,素材!$1:$1016,COLUMN($F$1),FALSE)) - LEN(SUBSTITUTE(VLOOKUP($D343,素材!$1:$1016,COLUMN($F$1),FALSE), "・", 0)) + 1), 0)</f>
        <v>0</v>
      </c>
      <c r="AU343">
        <f>IF(ISNUMBER(SEARCH(SUBSTITUTE(AU$1,RIGHT(AU$1,2),""),VLOOKUP($D343,素材!$1:$1016,COLUMN($F$1),FALSE))),VLOOKUP($C343,武器!$1:$998,COLUMN($O$1),FALSE)*VLOOKUP($D343,素材!$1:$1016,COLUMN($E$1),FALSE)/(LEN(VLOOKUP($D343,素材!$1:$1016,COLUMN($F$1),FALSE)) - LEN(SUBSTITUTE(VLOOKUP($D343,素材!$1:$1016,COLUMN($F$1),FALSE), "・", 0)) + 1), 0)</f>
        <v>0</v>
      </c>
      <c r="AV343">
        <f>IF(ISNUMBER(SEARCH(SUBSTITUTE(AV$1,RIGHT(AV$1,2),""),VLOOKUP($D343,素材!$1:$1016,COLUMN($F$1),FALSE))),VLOOKUP($C343,武器!$1:$998,COLUMN($O$1),FALSE)*VLOOKUP($D343,素材!$1:$1016,COLUMN($E$1),FALSE)/(LEN(VLOOKUP($D343,素材!$1:$1016,COLUMN($F$1),FALSE)) - LEN(SUBSTITUTE(VLOOKUP($D343,素材!$1:$1016,COLUMN($F$1),FALSE), "・", 0)) + 1), 0)</f>
        <v>0</v>
      </c>
      <c r="AW343">
        <f>IF(ISNUMBER(SEARCH(SUBSTITUTE(AW$1,RIGHT(AW$1,2),""),VLOOKUP($D343,素材!$1:$1016,COLUMN($F$1),FALSE))),VLOOKUP($C343,武器!$1:$998,COLUMN($O$1),FALSE)*VLOOKUP($D343,素材!$1:$1016,COLUMN($E$1),FALSE)/(LEN(VLOOKUP($D343,素材!$1:$1016,COLUMN($F$1),FALSE)) - LEN(SUBSTITUTE(VLOOKUP($D343,素材!$1:$1016,COLUMN($F$1),FALSE), "・", 0)) + 1), 0)</f>
        <v>0</v>
      </c>
      <c r="AX343">
        <f>IF(ISNUMBER(SEARCH(SUBSTITUTE(AX$1,RIGHT(AX$1,2),""),VLOOKUP($D343,素材!$1:$1016,COLUMN($F$1),FALSE))),VLOOKUP($C343,武器!$1:$998,COLUMN($O$1),FALSE)*VLOOKUP($D343,素材!$1:$1016,COLUMN($E$1),FALSE)/(LEN(VLOOKUP($D343,素材!$1:$1016,COLUMN($F$1),FALSE)) - LEN(SUBSTITUTE(VLOOKUP($D343,素材!$1:$1016,COLUMN($F$1),FALSE), "・", 0)) + 1), 0)</f>
        <v>0</v>
      </c>
      <c r="AY343">
        <f>IF(ISNUMBER(SEARCH(SUBSTITUTE(AY$1,RIGHT(AY$1,2),""),VLOOKUP($D343,素材!$1:$1016,COLUMN($F$1),FALSE))),VLOOKUP($C343,武器!$1:$998,COLUMN($O$1),FALSE)*VLOOKUP($D343,素材!$1:$1016,COLUMN($E$1),FALSE)/(LEN(VLOOKUP($D343,素材!$1:$1016,COLUMN($F$1),FALSE)) - LEN(SUBSTITUTE(VLOOKUP($D343,素材!$1:$1016,COLUMN($F$1),FALSE), "・", 0)) + 1), 0)</f>
        <v>0</v>
      </c>
      <c r="AZ343">
        <f>IF(ISNUMBER(SEARCH(SUBSTITUTE(AZ$1,RIGHT(AZ$1,2),""),VLOOKUP($D343,素材!$1:$1016,COLUMN($F$1),FALSE))),VLOOKUP($C343,武器!$1:$998,COLUMN($O$1),FALSE)*VLOOKUP($D343,素材!$1:$1016,COLUMN($E$1),FALSE)/(LEN(VLOOKUP($D343,素材!$1:$1016,COLUMN($F$1),FALSE)) - LEN(SUBSTITUTE(VLOOKUP($D343,素材!$1:$1016,COLUMN($F$1),FALSE), "・", 0)) + 1), 0)</f>
        <v>0</v>
      </c>
      <c r="BA343">
        <f>IF(ISNUMBER(SEARCH(SUBSTITUTE(BA$1,RIGHT(BA$1,2),""),VLOOKUP($D343,素材!$1:$1016,COLUMN($F$1),FALSE))),VLOOKUP($C343,武器!$1:$998,COLUMN($O$1),FALSE)*VLOOKUP($D343,素材!$1:$1016,COLUMN($E$1),FALSE)/(LEN(VLOOKUP($D343,素材!$1:$1016,COLUMN($F$1),FALSE)) - LEN(SUBSTITUTE(VLOOKUP($D343,素材!$1:$1016,COLUMN($F$1),FALSE), "・", 0)) + 1), 0)</f>
        <v>0</v>
      </c>
      <c r="BB343">
        <f>IF(ISNUMBER(SEARCH(SUBSTITUTE(BB$1,RIGHT(BB$1,2),""),VLOOKUP($D343,素材!$1:$1016,COLUMN($F$1),FALSE))),VLOOKUP($C343,武器!$1:$998,COLUMN($O$1),FALSE)*VLOOKUP($D343,素材!$1:$1016,COLUMN($E$1),FALSE)/(LEN(VLOOKUP($D343,素材!$1:$1016,COLUMN($F$1),FALSE)) - LEN(SUBSTITUTE(VLOOKUP($D343,素材!$1:$1016,COLUMN($F$1),FALSE), "・", 0)) + 1), 0)</f>
        <v>0</v>
      </c>
      <c r="BC343">
        <f>IF(ISNUMBER(SEARCH(SUBSTITUTE(BC$1,RIGHT(BC$1,2),""),VLOOKUP($D343,素材!$1:$1016,COLUMN($F$1),FALSE))),VLOOKUP($C343,武器!$1:$998,COLUMN($O$1),FALSE)*VLOOKUP($D343,素材!$1:$1016,COLUMN($E$1),FALSE)/(LEN(VLOOKUP($D343,素材!$1:$1016,COLUMN($F$1),FALSE)) - LEN(SUBSTITUTE(VLOOKUP($D343,素材!$1:$1016,COLUMN($F$1),FALSE), "・", 0)) + 1), 0)</f>
        <v>0</v>
      </c>
      <c r="BD343">
        <f>IF(ISNUMBER(SEARCH(SUBSTITUTE(BD$1,RIGHT(BD$1,2),""),VLOOKUP($D343,素材!$1:$1016,COLUMN($F$1),FALSE))),VLOOKUP($C343,武器!$1:$998,COLUMN($O$1),FALSE)*VLOOKUP($D343,素材!$1:$1016,COLUMN($E$1),FALSE)/(LEN(VLOOKUP($D343,素材!$1:$1016,COLUMN($F$1),FALSE)) - LEN(SUBSTITUTE(VLOOKUP($D343,素材!$1:$1016,COLUMN($F$1),FALSE), "・", 0)) + 1), 0)</f>
        <v>0</v>
      </c>
      <c r="BE343">
        <f>IF(ISNUMBER(SEARCH(SUBSTITUTE(BE$1,RIGHT(BE$1,2),""),VLOOKUP($D343,素材!$1:$1016,COLUMN($F$1),FALSE))),VLOOKUP($C343,武器!$1:$998,COLUMN($O$1),FALSE)*VLOOKUP($D343,素材!$1:$1016,COLUMN($E$1),FALSE)/(LEN(VLOOKUP($D343,素材!$1:$1016,COLUMN($F$1),FALSE)) - LEN(SUBSTITUTE(VLOOKUP($D343,素材!$1:$1016,COLUMN($F$1),FALSE), "・", 0)) + 1), 0)</f>
        <v>0</v>
      </c>
      <c r="CL343">
        <f>SUM(G343:I343)</f>
        <v>0</v>
      </c>
      <c r="CM343" s="22" t="str">
        <f>IF(E343="武器",IF(J343-1&gt;SUM(G343:I343),"盾",IF(MAX(G343:I343)=G343,"切断",IF(MAX(G343:I343)=H343,"貫通",IF(MAX(G343:I343)=I343,"打撃","射撃")))),E343)&amp;".webp"</f>
        <v>.webp</v>
      </c>
      <c r="CN343" t="str">
        <f>IFERROR(VLOOKUP($C343,武器!$1:$998,COLUMN(V$1),FALSE)*VLOOKUP($D343,素材!$1:$1016,COLUMN(N$1),FALSE)+IF(CI343="",0,VLOOKUP($CI343,装強!$1:$1008,COLUMN($CK$1),FALSE)),"")</f>
        <v/>
      </c>
      <c r="CO343" t="e">
        <f>VLOOKUP(D343,素材!$A:$O,COLUMN(素材!O$1),FALSE)</f>
        <v>#N/A</v>
      </c>
      <c r="CP343" t="e">
        <f>VLOOKUP(C343,武器!$A:$W,COLUMN(武器!W$1),FALSE)</f>
        <v>#N/A</v>
      </c>
      <c r="CR343" t="str">
        <f t="shared" si="35"/>
        <v>e_343</v>
      </c>
      <c r="CS343" t="e">
        <f t="shared" si="36"/>
        <v>#VALUE!</v>
      </c>
    </row>
    <row r="344" spans="1:97" hidden="1" outlineLevel="1" x14ac:dyDescent="0.4">
      <c r="A344" t="str">
        <f>IF(CI344="",D344&amp;"の"&amp;C344,CI344&amp;"の"&amp;C344)</f>
        <v>の</v>
      </c>
      <c r="B344" t="str">
        <f>IFERROR(IF(CI344="",VLOOKUP($D344,素材!$1:$1016,COLUMN($B$1),FALSE)&amp;"・"&amp;VLOOKUP($C344,武器!$1:$998,COLUMN(B$1),FALSE),VLOOKUP($CI344,装強!$1:$1008,COLUMN($B$1),FALSE)&amp;"・"&amp;VLOOKUP($C344,武器!$1:$998,COLUMN(B$1),FALSE)),"")</f>
        <v/>
      </c>
      <c r="C344" s="24"/>
      <c r="D344" s="24"/>
      <c r="E344" t="str">
        <f>IFERROR(VLOOKUP(C344,武器!$1:$998,COLUMN(C$1),FALSE),"")</f>
        <v/>
      </c>
      <c r="F344" t="str">
        <f>IFERROR(ROUNDDOWN((VLOOKUP($C344,武器!$1:$998,COLUMN(D$1),FALSE)+IFERROR(VLOOKUP($CI344,装強!$1:$999,COLUMN(F$1),FALSE),0))*VLOOKUP($D344,素材!$1:$1016,COLUMN(D$1),FALSE),0),"")</f>
        <v/>
      </c>
      <c r="G344" t="str">
        <f>IFERROR(ROUNDDOWN((VLOOKUP($C344,武器!$1:$998,COLUMN(E$1),FALSE)+IFERROR(VLOOKUP($CI344,装強!$1:$999,COLUMN(G$1),FALSE),0))*VLOOKUP($D344,素材!$1:$1016,COLUMN($E$1),FALSE),0),"")</f>
        <v/>
      </c>
      <c r="H344" t="str">
        <f>IFERROR(ROUNDDOWN((VLOOKUP($C344,武器!$1:$998,COLUMN(F$1),FALSE)+IFERROR(VLOOKUP($CI344,装強!$1:$999,COLUMN(H$1),FALSE),0))*VLOOKUP($D344,素材!$1:$1016,COLUMN($E$1),FALSE),0),"")</f>
        <v/>
      </c>
      <c r="I344" t="str">
        <f>IFERROR(ROUNDDOWN((VLOOKUP($C344,武器!$1:$998,COLUMN(G$1),FALSE)+IFERROR(VLOOKUP($CI344,装強!$1:$999,COLUMN(I$1),FALSE),0))*VLOOKUP($D344,素材!$1:$1016,COLUMN($E$1),FALSE),0),"")</f>
        <v/>
      </c>
      <c r="J344" t="str">
        <f>IFERROR(ROUNDDOWN((VLOOKUP($C344,武器!$1:$998,COLUMN(H$1),FALSE)+IFERROR(VLOOKUP($CI344,装強!$1:$999,COLUMN(J$1),FALSE),0))*VLOOKUP($D344,素材!$1:$1016,COLUMN($E$1),FALSE),0),"")</f>
        <v/>
      </c>
      <c r="K344" t="str">
        <f>IFERROR(ROUNDDOWN((VLOOKUP($C344,武器!$1:$998,COLUMN(I$1),FALSE)+IFERROR(VLOOKUP($CI344,装強!$1:$999,COLUMN(K$1),FALSE),0))*VLOOKUP($D344,素材!$1:$1016,COLUMN($E$1),FALSE),0),"")</f>
        <v/>
      </c>
      <c r="L344" t="str">
        <f>IFERROR(VLOOKUP($D344,素材!$1:$1016,COLUMN($F$1),FALSE),"")</f>
        <v/>
      </c>
      <c r="M344" t="str">
        <f>IFERROR(VLOOKUP($C344,武器!$1:$998,COLUMN(AA$1),FALSE)*VLOOKUP($D344,素材!$1:$1016,COLUMN($G$1),FALSE),"")</f>
        <v/>
      </c>
      <c r="N344" t="str">
        <f>IFERROR(VLOOKUP($C344,武器!$1:$998,COLUMN(I$1),FALSE),"")</f>
        <v/>
      </c>
      <c r="O344" s="23" t="str">
        <f>IFERROR((VLOOKUP($C344,武器!$1:$998,COLUMN(K$1),FALSE)+VLOOKUP($D344,素材!$1:$1016,COLUMN(H$1),FALSE))*100+IFERROR(VLOOKUP($CI344,装強!$1:$999,COLUMN(O$1),FALSE),0),"")</f>
        <v/>
      </c>
      <c r="P344" s="23" t="str">
        <f>IFERROR((VLOOKUP($C344,武器!$1:$998,COLUMN(L$1),FALSE)+VLOOKUP($D344,素材!$1:$1016,COLUMN(I$1),FALSE))*100+IFERROR(VLOOKUP($CI344,装強!$1:$999,COLUMN(P$1),FALSE),0),"")</f>
        <v/>
      </c>
      <c r="Q344" t="str">
        <f>IFERROR(ROUNDUP(VLOOKUP($C344,武器!$1:$998,COLUMN(M$1),FALSE)*(VLOOKUP($D344,素材!$1:$1002,COLUMN(D$1),FALSE)/100),1),"")</f>
        <v/>
      </c>
      <c r="R344" t="str">
        <f>IFERROR(ROUNDUP(VLOOKUP($C344,武器!$1:$998,COLUMN(N$1),FALSE)*(VLOOKUP($D344,素材!$1:$1002,COLUMN(D$1),FALSE)/100),1),"")</f>
        <v/>
      </c>
      <c r="S344" t="str">
        <f>IFERROR(VLOOKUP($C344,武器!$1:$998,COLUMN(P$1),FALSE),"")</f>
        <v/>
      </c>
      <c r="T344" t="str">
        <f>IFERROR(VLOOKUP($C344,武器!$1:$998,COLUMN(Q$1),FALSE),"")</f>
        <v/>
      </c>
      <c r="U344" t="str">
        <f>IFERROR(VLOOKUP($C344,武器!$1:$998,COLUMN(R$1),FALSE),"")</f>
        <v/>
      </c>
      <c r="V344" t="str">
        <f>IFERROR(VLOOKUP($C344,武器!$1:$998,COLUMN(Q$1),FALSE),"")</f>
        <v/>
      </c>
      <c r="W344" t="str">
        <f>IFERROR(VLOOKUP($C344,武器!$1:$998,COLUMN(T$1),FALSE),"")</f>
        <v/>
      </c>
      <c r="Y344" t="str">
        <f>IFERROR(VLOOKUP($C344,武器!$1:$998,COLUMN(U$1),FALSE),"")</f>
        <v/>
      </c>
      <c r="Z344" t="str">
        <f>IFERROR(ROUNDUP(VLOOKUP($C344,武器!$1:$998,COLUMN(O$1),FALSE)*VLOOKUP($D344,素材!$1:$1016,COLUMN(E$1),FALSE),1),"")</f>
        <v/>
      </c>
      <c r="AA344">
        <f>IF(ISNUMBER(SEARCH(SUBSTITUTE(AA$1,RIGHT(AA$1,2),""),VLOOKUP($D344,素材!$1:$1016,COLUMN($F$1),FALSE))),VLOOKUP($C344,武器!$1:$998,COLUMN($O$1),FALSE)*VLOOKUP($D344,素材!$1:$1016,COLUMN($E$1),FALSE)/(LEN(VLOOKUP($D344,素材!$1:$1016,COLUMN($F$1),FALSE)) - LEN(SUBSTITUTE(VLOOKUP($D344,素材!$1:$1016,COLUMN($F$1),FALSE), "・", 0)) + 1), 0)</f>
        <v>0</v>
      </c>
      <c r="AB344">
        <f>IF(ISNUMBER(SEARCH(SUBSTITUTE(AB$1,RIGHT(AB$1,2),""),VLOOKUP($D344,素材!$1:$1016,COLUMN($F$1),FALSE))),VLOOKUP($C344,武器!$1:$998,COLUMN($O$1),FALSE)*VLOOKUP($D344,素材!$1:$1016,COLUMN($E$1),FALSE)/(LEN(VLOOKUP($D344,素材!$1:$1016,COLUMN($F$1),FALSE)) - LEN(SUBSTITUTE(VLOOKUP($D344,素材!$1:$1016,COLUMN($F$1),FALSE), "・", 0)) + 1), 0)</f>
        <v>0</v>
      </c>
      <c r="AC344">
        <f>IF(ISNUMBER(SEARCH(SUBSTITUTE(AC$1,RIGHT(AC$1,2),""),VLOOKUP($D344,素材!$1:$1016,COLUMN($F$1),FALSE))),VLOOKUP($C344,武器!$1:$998,COLUMN($O$1),FALSE)*VLOOKUP($D344,素材!$1:$1016,COLUMN($E$1),FALSE)/(LEN(VLOOKUP($D344,素材!$1:$1016,COLUMN($F$1),FALSE)) - LEN(SUBSTITUTE(VLOOKUP($D344,素材!$1:$1016,COLUMN($F$1),FALSE), "・", 0)) + 1), 0)</f>
        <v>0</v>
      </c>
      <c r="AD344">
        <f>IF(ISNUMBER(SEARCH(SUBSTITUTE(AD$1,RIGHT(AD$1,2),""),VLOOKUP($D344,素材!$1:$1016,COLUMN($F$1),FALSE))),VLOOKUP($C344,武器!$1:$998,COLUMN($O$1),FALSE)*VLOOKUP($D344,素材!$1:$1016,COLUMN($E$1),FALSE)/(LEN(VLOOKUP($D344,素材!$1:$1016,COLUMN($F$1),FALSE)) - LEN(SUBSTITUTE(VLOOKUP($D344,素材!$1:$1016,COLUMN($F$1),FALSE), "・", 0)) + 1), 0)</f>
        <v>0</v>
      </c>
      <c r="AE344">
        <f>IF(ISNUMBER(SEARCH(SUBSTITUTE(AE$1,RIGHT(AE$1,2),""),VLOOKUP($D344,素材!$1:$1016,COLUMN($F$1),FALSE))),VLOOKUP($C344,武器!$1:$998,COLUMN($O$1),FALSE)*VLOOKUP($D344,素材!$1:$1016,COLUMN($E$1),FALSE)/(LEN(VLOOKUP($D344,素材!$1:$1016,COLUMN($F$1),FALSE)) - LEN(SUBSTITUTE(VLOOKUP($D344,素材!$1:$1016,COLUMN($F$1),FALSE), "・", 0)) + 1), 0)</f>
        <v>0</v>
      </c>
      <c r="AF344">
        <f>IF(ISNUMBER(SEARCH(SUBSTITUTE(AF$1,RIGHT(AF$1,2),""),VLOOKUP($D344,素材!$1:$1016,COLUMN($F$1),FALSE))),VLOOKUP($C344,武器!$1:$998,COLUMN($O$1),FALSE)*VLOOKUP($D344,素材!$1:$1016,COLUMN($E$1),FALSE)/(LEN(VLOOKUP($D344,素材!$1:$1016,COLUMN($F$1),FALSE)) - LEN(SUBSTITUTE(VLOOKUP($D344,素材!$1:$1016,COLUMN($F$1),FALSE), "・", 0)) + 1), 0)</f>
        <v>0</v>
      </c>
      <c r="AG344">
        <f>IF(ISNUMBER(SEARCH(SUBSTITUTE(AG$1,RIGHT(AG$1,2),""),VLOOKUP($D344,素材!$1:$1016,COLUMN($F$1),FALSE))),VLOOKUP($C344,武器!$1:$998,COLUMN($O$1),FALSE)*VLOOKUP($D344,素材!$1:$1016,COLUMN($E$1),FALSE)/(LEN(VLOOKUP($D344,素材!$1:$1016,COLUMN($F$1),FALSE)) - LEN(SUBSTITUTE(VLOOKUP($D344,素材!$1:$1016,COLUMN($F$1),FALSE), "・", 0)) + 1), 0)</f>
        <v>0</v>
      </c>
      <c r="AH344">
        <f>IF(ISNUMBER(SEARCH(SUBSTITUTE(AH$1,RIGHT(AH$1,2),""),VLOOKUP($D344,素材!$1:$1016,COLUMN($F$1),FALSE))),VLOOKUP($C344,武器!$1:$998,COLUMN($O$1),FALSE)*VLOOKUP($D344,素材!$1:$1016,COLUMN($E$1),FALSE)/(LEN(VLOOKUP($D344,素材!$1:$1016,COLUMN($F$1),FALSE)) - LEN(SUBSTITUTE(VLOOKUP($D344,素材!$1:$1016,COLUMN($F$1),FALSE), "・", 0)) + 1), 0)</f>
        <v>0</v>
      </c>
      <c r="AI344">
        <f>IF(ISNUMBER(SEARCH(SUBSTITUTE(AI$1,RIGHT(AI$1,2),""),VLOOKUP($D344,素材!$1:$1016,COLUMN($F$1),FALSE))),VLOOKUP($C344,武器!$1:$998,COLUMN($O$1),FALSE)*VLOOKUP($D344,素材!$1:$1016,COLUMN($E$1),FALSE)/(LEN(VLOOKUP($D344,素材!$1:$1016,COLUMN($F$1),FALSE)) - LEN(SUBSTITUTE(VLOOKUP($D344,素材!$1:$1016,COLUMN($F$1),FALSE), "・", 0)) + 1), 0)</f>
        <v>0</v>
      </c>
      <c r="AJ344">
        <f>IF(ISNUMBER(SEARCH(SUBSTITUTE(AJ$1,RIGHT(AJ$1,2),""),VLOOKUP($D344,素材!$1:$1016,COLUMN($F$1),FALSE))),VLOOKUP($C344,武器!$1:$998,COLUMN($O$1),FALSE)*VLOOKUP($D344,素材!$1:$1016,COLUMN($E$1),FALSE)/(LEN(VLOOKUP($D344,素材!$1:$1016,COLUMN($F$1),FALSE)) - LEN(SUBSTITUTE(VLOOKUP($D344,素材!$1:$1016,COLUMN($F$1),FALSE), "・", 0)) + 1), 0)</f>
        <v>0</v>
      </c>
      <c r="AK344">
        <f>IF(ISNUMBER(SEARCH(SUBSTITUTE(AK$1,RIGHT(AK$1,2),""),VLOOKUP($D344,素材!$1:$1016,COLUMN($F$1),FALSE))),VLOOKUP($C344,武器!$1:$998,COLUMN($O$1),FALSE)*VLOOKUP($D344,素材!$1:$1016,COLUMN($E$1),FALSE)/(LEN(VLOOKUP($D344,素材!$1:$1016,COLUMN($F$1),FALSE)) - LEN(SUBSTITUTE(VLOOKUP($D344,素材!$1:$1016,COLUMN($F$1),FALSE), "・", 0)) + 1), 0)</f>
        <v>0</v>
      </c>
      <c r="AL344">
        <f>IF(ISNUMBER(SEARCH(SUBSTITUTE(AL$1,RIGHT(AL$1,2),""),VLOOKUP($D344,素材!$1:$1016,COLUMN($F$1),FALSE))),VLOOKUP($C344,武器!$1:$998,COLUMN($O$1),FALSE)*VLOOKUP($D344,素材!$1:$1016,COLUMN($E$1),FALSE)/(LEN(VLOOKUP($D344,素材!$1:$1016,COLUMN($F$1),FALSE)) - LEN(SUBSTITUTE(VLOOKUP($D344,素材!$1:$1016,COLUMN($F$1),FALSE), "・", 0)) + 1), 0)</f>
        <v>0</v>
      </c>
      <c r="AM344">
        <f>IF(ISNUMBER(SEARCH(SUBSTITUTE(AM$1,RIGHT(AM$1,2),""),VLOOKUP($D344,素材!$1:$1016,COLUMN($F$1),FALSE))),VLOOKUP($C344,武器!$1:$998,COLUMN($O$1),FALSE)*VLOOKUP($D344,素材!$1:$1016,COLUMN($E$1),FALSE)/(LEN(VLOOKUP($D344,素材!$1:$1016,COLUMN($F$1),FALSE)) - LEN(SUBSTITUTE(VLOOKUP($D344,素材!$1:$1016,COLUMN($F$1),FALSE), "・", 0)) + 1), 0)</f>
        <v>0</v>
      </c>
      <c r="AN344">
        <f>IF(ISNUMBER(SEARCH(SUBSTITUTE(AN$1,RIGHT(AN$1,2),""),VLOOKUP($D344,素材!$1:$1016,COLUMN($F$1),FALSE))),VLOOKUP($C344,武器!$1:$998,COLUMN($O$1),FALSE)*VLOOKUP($D344,素材!$1:$1016,COLUMN($E$1),FALSE)/(LEN(VLOOKUP($D344,素材!$1:$1016,COLUMN($F$1),FALSE)) - LEN(SUBSTITUTE(VLOOKUP($D344,素材!$1:$1016,COLUMN($F$1),FALSE), "・", 0)) + 1), 0)</f>
        <v>0</v>
      </c>
      <c r="AO344">
        <f>IF(ISNUMBER(SEARCH(SUBSTITUTE(AO$1,RIGHT(AO$1,2),""),VLOOKUP($D344,素材!$1:$1016,COLUMN($F$1),FALSE))),VLOOKUP($C344,武器!$1:$998,COLUMN($O$1),FALSE)*VLOOKUP($D344,素材!$1:$1016,COLUMN($E$1),FALSE)/(LEN(VLOOKUP($D344,素材!$1:$1016,COLUMN($F$1),FALSE)) - LEN(SUBSTITUTE(VLOOKUP($D344,素材!$1:$1016,COLUMN($F$1),FALSE), "・", 0)) + 1), 0)</f>
        <v>0</v>
      </c>
      <c r="AP344">
        <f>IF(ISNUMBER(SEARCH(SUBSTITUTE(AP$1,RIGHT(AP$1,2),""),VLOOKUP($D344,素材!$1:$1016,COLUMN($F$1),FALSE))),VLOOKUP($C344,武器!$1:$998,COLUMN($O$1),FALSE)*VLOOKUP($D344,素材!$1:$1016,COLUMN($E$1),FALSE)/(LEN(VLOOKUP($D344,素材!$1:$1016,COLUMN($F$1),FALSE)) - LEN(SUBSTITUTE(VLOOKUP($D344,素材!$1:$1016,COLUMN($F$1),FALSE), "・", 0)) + 1), 0)</f>
        <v>0</v>
      </c>
      <c r="AQ344">
        <f>IF(ISNUMBER(SEARCH(SUBSTITUTE(AQ$1,RIGHT(AQ$1,2),""),VLOOKUP($D344,素材!$1:$1016,COLUMN($F$1),FALSE))),VLOOKUP($C344,武器!$1:$998,COLUMN($O$1),FALSE)*VLOOKUP($D344,素材!$1:$1016,COLUMN($E$1),FALSE)/(LEN(VLOOKUP($D344,素材!$1:$1016,COLUMN($F$1),FALSE)) - LEN(SUBSTITUTE(VLOOKUP($D344,素材!$1:$1016,COLUMN($F$1),FALSE), "・", 0)) + 1), 0)</f>
        <v>0</v>
      </c>
      <c r="AR344">
        <f>IF(ISNUMBER(SEARCH(SUBSTITUTE(AR$1,RIGHT(AR$1,2),""),VLOOKUP($D344,素材!$1:$1016,COLUMN($F$1),FALSE))),VLOOKUP($C344,武器!$1:$998,COLUMN($O$1),FALSE)*VLOOKUP($D344,素材!$1:$1016,COLUMN($E$1),FALSE)/(LEN(VLOOKUP($D344,素材!$1:$1016,COLUMN($F$1),FALSE)) - LEN(SUBSTITUTE(VLOOKUP($D344,素材!$1:$1016,COLUMN($F$1),FALSE), "・", 0)) + 1), 0)</f>
        <v>0</v>
      </c>
      <c r="AS344">
        <f>IF(ISNUMBER(SEARCH(SUBSTITUTE(AS$1,RIGHT(AS$1,2),""),VLOOKUP($D344,素材!$1:$1016,COLUMN($F$1),FALSE))),VLOOKUP($C344,武器!$1:$998,COLUMN($O$1),FALSE)*VLOOKUP($D344,素材!$1:$1016,COLUMN($E$1),FALSE)/(LEN(VLOOKUP($D344,素材!$1:$1016,COLUMN($F$1),FALSE)) - LEN(SUBSTITUTE(VLOOKUP($D344,素材!$1:$1016,COLUMN($F$1),FALSE), "・", 0)) + 1), 0)</f>
        <v>0</v>
      </c>
      <c r="AT344">
        <f>IF(ISNUMBER(SEARCH(SUBSTITUTE(AT$1,RIGHT(AT$1,2),""),VLOOKUP($D344,素材!$1:$1016,COLUMN($F$1),FALSE))),VLOOKUP($C344,武器!$1:$998,COLUMN($O$1),FALSE)*VLOOKUP($D344,素材!$1:$1016,COLUMN($E$1),FALSE)/(LEN(VLOOKUP($D344,素材!$1:$1016,COLUMN($F$1),FALSE)) - LEN(SUBSTITUTE(VLOOKUP($D344,素材!$1:$1016,COLUMN($F$1),FALSE), "・", 0)) + 1), 0)</f>
        <v>0</v>
      </c>
      <c r="AU344">
        <f>IF(ISNUMBER(SEARCH(SUBSTITUTE(AU$1,RIGHT(AU$1,2),""),VLOOKUP($D344,素材!$1:$1016,COLUMN($F$1),FALSE))),VLOOKUP($C344,武器!$1:$998,COLUMN($O$1),FALSE)*VLOOKUP($D344,素材!$1:$1016,COLUMN($E$1),FALSE)/(LEN(VLOOKUP($D344,素材!$1:$1016,COLUMN($F$1),FALSE)) - LEN(SUBSTITUTE(VLOOKUP($D344,素材!$1:$1016,COLUMN($F$1),FALSE), "・", 0)) + 1), 0)</f>
        <v>0</v>
      </c>
      <c r="AV344">
        <f>IF(ISNUMBER(SEARCH(SUBSTITUTE(AV$1,RIGHT(AV$1,2),""),VLOOKUP($D344,素材!$1:$1016,COLUMN($F$1),FALSE))),VLOOKUP($C344,武器!$1:$998,COLUMN($O$1),FALSE)*VLOOKUP($D344,素材!$1:$1016,COLUMN($E$1),FALSE)/(LEN(VLOOKUP($D344,素材!$1:$1016,COLUMN($F$1),FALSE)) - LEN(SUBSTITUTE(VLOOKUP($D344,素材!$1:$1016,COLUMN($F$1),FALSE), "・", 0)) + 1), 0)</f>
        <v>0</v>
      </c>
      <c r="AW344">
        <f>IF(ISNUMBER(SEARCH(SUBSTITUTE(AW$1,RIGHT(AW$1,2),""),VLOOKUP($D344,素材!$1:$1016,COLUMN($F$1),FALSE))),VLOOKUP($C344,武器!$1:$998,COLUMN($O$1),FALSE)*VLOOKUP($D344,素材!$1:$1016,COLUMN($E$1),FALSE)/(LEN(VLOOKUP($D344,素材!$1:$1016,COLUMN($F$1),FALSE)) - LEN(SUBSTITUTE(VLOOKUP($D344,素材!$1:$1016,COLUMN($F$1),FALSE), "・", 0)) + 1), 0)</f>
        <v>0</v>
      </c>
      <c r="AX344">
        <f>IF(ISNUMBER(SEARCH(SUBSTITUTE(AX$1,RIGHT(AX$1,2),""),VLOOKUP($D344,素材!$1:$1016,COLUMN($F$1),FALSE))),VLOOKUP($C344,武器!$1:$998,COLUMN($O$1),FALSE)*VLOOKUP($D344,素材!$1:$1016,COLUMN($E$1),FALSE)/(LEN(VLOOKUP($D344,素材!$1:$1016,COLUMN($F$1),FALSE)) - LEN(SUBSTITUTE(VLOOKUP($D344,素材!$1:$1016,COLUMN($F$1),FALSE), "・", 0)) + 1), 0)</f>
        <v>0</v>
      </c>
      <c r="AY344">
        <f>IF(ISNUMBER(SEARCH(SUBSTITUTE(AY$1,RIGHT(AY$1,2),""),VLOOKUP($D344,素材!$1:$1016,COLUMN($F$1),FALSE))),VLOOKUP($C344,武器!$1:$998,COLUMN($O$1),FALSE)*VLOOKUP($D344,素材!$1:$1016,COLUMN($E$1),FALSE)/(LEN(VLOOKUP($D344,素材!$1:$1016,COLUMN($F$1),FALSE)) - LEN(SUBSTITUTE(VLOOKUP($D344,素材!$1:$1016,COLUMN($F$1),FALSE), "・", 0)) + 1), 0)</f>
        <v>0</v>
      </c>
      <c r="AZ344">
        <f>IF(ISNUMBER(SEARCH(SUBSTITUTE(AZ$1,RIGHT(AZ$1,2),""),VLOOKUP($D344,素材!$1:$1016,COLUMN($F$1),FALSE))),VLOOKUP($C344,武器!$1:$998,COLUMN($O$1),FALSE)*VLOOKUP($D344,素材!$1:$1016,COLUMN($E$1),FALSE)/(LEN(VLOOKUP($D344,素材!$1:$1016,COLUMN($F$1),FALSE)) - LEN(SUBSTITUTE(VLOOKUP($D344,素材!$1:$1016,COLUMN($F$1),FALSE), "・", 0)) + 1), 0)</f>
        <v>0</v>
      </c>
      <c r="BA344">
        <f>IF(ISNUMBER(SEARCH(SUBSTITUTE(BA$1,RIGHT(BA$1,2),""),VLOOKUP($D344,素材!$1:$1016,COLUMN($F$1),FALSE))),VLOOKUP($C344,武器!$1:$998,COLUMN($O$1),FALSE)*VLOOKUP($D344,素材!$1:$1016,COLUMN($E$1),FALSE)/(LEN(VLOOKUP($D344,素材!$1:$1016,COLUMN($F$1),FALSE)) - LEN(SUBSTITUTE(VLOOKUP($D344,素材!$1:$1016,COLUMN($F$1),FALSE), "・", 0)) + 1), 0)</f>
        <v>0</v>
      </c>
      <c r="BB344">
        <f>IF(ISNUMBER(SEARCH(SUBSTITUTE(BB$1,RIGHT(BB$1,2),""),VLOOKUP($D344,素材!$1:$1016,COLUMN($F$1),FALSE))),VLOOKUP($C344,武器!$1:$998,COLUMN($O$1),FALSE)*VLOOKUP($D344,素材!$1:$1016,COLUMN($E$1),FALSE)/(LEN(VLOOKUP($D344,素材!$1:$1016,COLUMN($F$1),FALSE)) - LEN(SUBSTITUTE(VLOOKUP($D344,素材!$1:$1016,COLUMN($F$1),FALSE), "・", 0)) + 1), 0)</f>
        <v>0</v>
      </c>
      <c r="BC344">
        <f>IF(ISNUMBER(SEARCH(SUBSTITUTE(BC$1,RIGHT(BC$1,2),""),VLOOKUP($D344,素材!$1:$1016,COLUMN($F$1),FALSE))),VLOOKUP($C344,武器!$1:$998,COLUMN($O$1),FALSE)*VLOOKUP($D344,素材!$1:$1016,COLUMN($E$1),FALSE)/(LEN(VLOOKUP($D344,素材!$1:$1016,COLUMN($F$1),FALSE)) - LEN(SUBSTITUTE(VLOOKUP($D344,素材!$1:$1016,COLUMN($F$1),FALSE), "・", 0)) + 1), 0)</f>
        <v>0</v>
      </c>
      <c r="BD344">
        <f>IF(ISNUMBER(SEARCH(SUBSTITUTE(BD$1,RIGHT(BD$1,2),""),VLOOKUP($D344,素材!$1:$1016,COLUMN($F$1),FALSE))),VLOOKUP($C344,武器!$1:$998,COLUMN($O$1),FALSE)*VLOOKUP($D344,素材!$1:$1016,COLUMN($E$1),FALSE)/(LEN(VLOOKUP($D344,素材!$1:$1016,COLUMN($F$1),FALSE)) - LEN(SUBSTITUTE(VLOOKUP($D344,素材!$1:$1016,COLUMN($F$1),FALSE), "・", 0)) + 1), 0)</f>
        <v>0</v>
      </c>
      <c r="BE344">
        <f>IF(ISNUMBER(SEARCH(SUBSTITUTE(BE$1,RIGHT(BE$1,2),""),VLOOKUP($D344,素材!$1:$1016,COLUMN($F$1),FALSE))),VLOOKUP($C344,武器!$1:$998,COLUMN($O$1),FALSE)*VLOOKUP($D344,素材!$1:$1016,COLUMN($E$1),FALSE)/(LEN(VLOOKUP($D344,素材!$1:$1016,COLUMN($F$1),FALSE)) - LEN(SUBSTITUTE(VLOOKUP($D344,素材!$1:$1016,COLUMN($F$1),FALSE), "・", 0)) + 1), 0)</f>
        <v>0</v>
      </c>
      <c r="CL344">
        <f>SUM(G344:I344)</f>
        <v>0</v>
      </c>
      <c r="CM344" s="22" t="str">
        <f>IF(E344="武器",IF(J344-1&gt;SUM(G344:I344),"盾",IF(MAX(G344:I344)=G344,"切断",IF(MAX(G344:I344)=H344,"貫通",IF(MAX(G344:I344)=I344,"打撃","射撃")))),E344)&amp;".webp"</f>
        <v>.webp</v>
      </c>
      <c r="CN344" t="str">
        <f>IFERROR(VLOOKUP($C344,武器!$1:$998,COLUMN(V$1),FALSE)*VLOOKUP($D344,素材!$1:$1016,COLUMN(N$1),FALSE)+IF(CI344="",0,VLOOKUP($CI344,装強!$1:$1008,COLUMN($CK$1),FALSE)),"")</f>
        <v/>
      </c>
      <c r="CO344" t="e">
        <f>VLOOKUP(D344,素材!$A:$O,COLUMN(素材!O$1),FALSE)</f>
        <v>#N/A</v>
      </c>
      <c r="CP344" t="e">
        <f>VLOOKUP(C344,武器!$A:$W,COLUMN(武器!W$1),FALSE)</f>
        <v>#N/A</v>
      </c>
      <c r="CR344" t="str">
        <f t="shared" si="35"/>
        <v>e_344</v>
      </c>
      <c r="CS344" t="e">
        <f t="shared" si="36"/>
        <v>#VALUE!</v>
      </c>
    </row>
    <row r="345" spans="1:97" hidden="1" outlineLevel="1" x14ac:dyDescent="0.4">
      <c r="A345" t="str">
        <f>IF(CI345="",D345&amp;"の"&amp;C345,CI345&amp;"の"&amp;C345)</f>
        <v>の</v>
      </c>
      <c r="B345" t="str">
        <f>IFERROR(IF(CI345="",VLOOKUP($D345,素材!$1:$1016,COLUMN($B$1),FALSE)&amp;"・"&amp;VLOOKUP($C345,武器!$1:$998,COLUMN(B$1),FALSE),VLOOKUP($CI345,装強!$1:$1008,COLUMN($B$1),FALSE)&amp;"・"&amp;VLOOKUP($C345,武器!$1:$998,COLUMN(B$1),FALSE)),"")</f>
        <v/>
      </c>
      <c r="C345" s="24"/>
      <c r="D345" s="24"/>
      <c r="E345" t="str">
        <f>IFERROR(VLOOKUP(C345,武器!$1:$998,COLUMN(C$1),FALSE),"")</f>
        <v/>
      </c>
      <c r="F345" t="str">
        <f>IFERROR(ROUNDDOWN((VLOOKUP($C345,武器!$1:$998,COLUMN(D$1),FALSE)+IFERROR(VLOOKUP($CI345,装強!$1:$999,COLUMN(F$1),FALSE),0))*VLOOKUP($D345,素材!$1:$1016,COLUMN(D$1),FALSE),0),"")</f>
        <v/>
      </c>
      <c r="G345" t="str">
        <f>IFERROR(ROUNDDOWN((VLOOKUP($C345,武器!$1:$998,COLUMN(E$1),FALSE)+IFERROR(VLOOKUP($CI345,装強!$1:$999,COLUMN(G$1),FALSE),0))*VLOOKUP($D345,素材!$1:$1016,COLUMN($E$1),FALSE),0),"")</f>
        <v/>
      </c>
      <c r="H345" t="str">
        <f>IFERROR(ROUNDDOWN((VLOOKUP($C345,武器!$1:$998,COLUMN(F$1),FALSE)+IFERROR(VLOOKUP($CI345,装強!$1:$999,COLUMN(H$1),FALSE),0))*VLOOKUP($D345,素材!$1:$1016,COLUMN($E$1),FALSE),0),"")</f>
        <v/>
      </c>
      <c r="I345" t="str">
        <f>IFERROR(ROUNDDOWN((VLOOKUP($C345,武器!$1:$998,COLUMN(G$1),FALSE)+IFERROR(VLOOKUP($CI345,装強!$1:$999,COLUMN(I$1),FALSE),0))*VLOOKUP($D345,素材!$1:$1016,COLUMN($E$1),FALSE),0),"")</f>
        <v/>
      </c>
      <c r="J345" t="str">
        <f>IFERROR(ROUNDDOWN((VLOOKUP($C345,武器!$1:$998,COLUMN(H$1),FALSE)+IFERROR(VLOOKUP($CI345,装強!$1:$999,COLUMN(J$1),FALSE),0))*VLOOKUP($D345,素材!$1:$1016,COLUMN($E$1),FALSE),0),"")</f>
        <v/>
      </c>
      <c r="K345" t="str">
        <f>IFERROR(ROUNDDOWN((VLOOKUP($C345,武器!$1:$998,COLUMN(I$1),FALSE)+IFERROR(VLOOKUP($CI345,装強!$1:$999,COLUMN(K$1),FALSE),0))*VLOOKUP($D345,素材!$1:$1016,COLUMN($E$1),FALSE),0),"")</f>
        <v/>
      </c>
      <c r="L345" t="str">
        <f>IFERROR(VLOOKUP($D345,素材!$1:$1016,COLUMN($F$1),FALSE),"")</f>
        <v/>
      </c>
      <c r="M345" t="str">
        <f>IFERROR(VLOOKUP($C345,武器!$1:$998,COLUMN(AA$1),FALSE)*VLOOKUP($D345,素材!$1:$1016,COLUMN($G$1),FALSE),"")</f>
        <v/>
      </c>
      <c r="N345" t="str">
        <f>IFERROR(VLOOKUP($C345,武器!$1:$998,COLUMN(I$1),FALSE),"")</f>
        <v/>
      </c>
      <c r="O345" s="23" t="str">
        <f>IFERROR((VLOOKUP($C345,武器!$1:$998,COLUMN(K$1),FALSE)+VLOOKUP($D345,素材!$1:$1016,COLUMN(H$1),FALSE))*100+IFERROR(VLOOKUP($CI345,装強!$1:$999,COLUMN(O$1),FALSE),0),"")</f>
        <v/>
      </c>
      <c r="P345" s="23" t="str">
        <f>IFERROR((VLOOKUP($C345,武器!$1:$998,COLUMN(L$1),FALSE)+VLOOKUP($D345,素材!$1:$1016,COLUMN(I$1),FALSE))*100+IFERROR(VLOOKUP($CI345,装強!$1:$999,COLUMN(P$1),FALSE),0),"")</f>
        <v/>
      </c>
      <c r="Q345" t="str">
        <f>IFERROR(ROUNDUP(VLOOKUP($C345,武器!$1:$998,COLUMN(M$1),FALSE)*(VLOOKUP($D345,素材!$1:$1002,COLUMN(D$1),FALSE)/100),1),"")</f>
        <v/>
      </c>
      <c r="R345" t="str">
        <f>IFERROR(ROUNDUP(VLOOKUP($C345,武器!$1:$998,COLUMN(N$1),FALSE)*(VLOOKUP($D345,素材!$1:$1002,COLUMN(D$1),FALSE)/100),1),"")</f>
        <v/>
      </c>
      <c r="S345" t="str">
        <f>IFERROR(VLOOKUP($C345,武器!$1:$998,COLUMN(P$1),FALSE),"")</f>
        <v/>
      </c>
      <c r="T345" t="str">
        <f>IFERROR(VLOOKUP($C345,武器!$1:$998,COLUMN(Q$1),FALSE),"")</f>
        <v/>
      </c>
      <c r="U345" t="str">
        <f>IFERROR(VLOOKUP($C345,武器!$1:$998,COLUMN(R$1),FALSE),"")</f>
        <v/>
      </c>
      <c r="V345" t="str">
        <f>IFERROR(VLOOKUP($C345,武器!$1:$998,COLUMN(Q$1),FALSE),"")</f>
        <v/>
      </c>
      <c r="W345" t="str">
        <f>IFERROR(VLOOKUP($C345,武器!$1:$998,COLUMN(T$1),FALSE),"")</f>
        <v/>
      </c>
      <c r="Y345" t="str">
        <f>IFERROR(VLOOKUP($C345,武器!$1:$998,COLUMN(U$1),FALSE),"")</f>
        <v/>
      </c>
      <c r="Z345" t="str">
        <f>IFERROR(ROUNDUP(VLOOKUP($C345,武器!$1:$998,COLUMN(O$1),FALSE)*VLOOKUP($D345,素材!$1:$1016,COLUMN(E$1),FALSE),1),"")</f>
        <v/>
      </c>
      <c r="AA345">
        <f>IF(ISNUMBER(SEARCH(SUBSTITUTE(AA$1,RIGHT(AA$1,2),""),VLOOKUP($D345,素材!$1:$1016,COLUMN($F$1),FALSE))),VLOOKUP($C345,武器!$1:$998,COLUMN($O$1),FALSE)*VLOOKUP($D345,素材!$1:$1016,COLUMN($E$1),FALSE)/(LEN(VLOOKUP($D345,素材!$1:$1016,COLUMN($F$1),FALSE)) - LEN(SUBSTITUTE(VLOOKUP($D345,素材!$1:$1016,COLUMN($F$1),FALSE), "・", 0)) + 1), 0)</f>
        <v>0</v>
      </c>
      <c r="AB345">
        <f>IF(ISNUMBER(SEARCH(SUBSTITUTE(AB$1,RIGHT(AB$1,2),""),VLOOKUP($D345,素材!$1:$1016,COLUMN($F$1),FALSE))),VLOOKUP($C345,武器!$1:$998,COLUMN($O$1),FALSE)*VLOOKUP($D345,素材!$1:$1016,COLUMN($E$1),FALSE)/(LEN(VLOOKUP($D345,素材!$1:$1016,COLUMN($F$1),FALSE)) - LEN(SUBSTITUTE(VLOOKUP($D345,素材!$1:$1016,COLUMN($F$1),FALSE), "・", 0)) + 1), 0)</f>
        <v>0</v>
      </c>
      <c r="AC345">
        <f>IF(ISNUMBER(SEARCH(SUBSTITUTE(AC$1,RIGHT(AC$1,2),""),VLOOKUP($D345,素材!$1:$1016,COLUMN($F$1),FALSE))),VLOOKUP($C345,武器!$1:$998,COLUMN($O$1),FALSE)*VLOOKUP($D345,素材!$1:$1016,COLUMN($E$1),FALSE)/(LEN(VLOOKUP($D345,素材!$1:$1016,COLUMN($F$1),FALSE)) - LEN(SUBSTITUTE(VLOOKUP($D345,素材!$1:$1016,COLUMN($F$1),FALSE), "・", 0)) + 1), 0)</f>
        <v>0</v>
      </c>
      <c r="AD345">
        <f>IF(ISNUMBER(SEARCH(SUBSTITUTE(AD$1,RIGHT(AD$1,2),""),VLOOKUP($D345,素材!$1:$1016,COLUMN($F$1),FALSE))),VLOOKUP($C345,武器!$1:$998,COLUMN($O$1),FALSE)*VLOOKUP($D345,素材!$1:$1016,COLUMN($E$1),FALSE)/(LEN(VLOOKUP($D345,素材!$1:$1016,COLUMN($F$1),FALSE)) - LEN(SUBSTITUTE(VLOOKUP($D345,素材!$1:$1016,COLUMN($F$1),FALSE), "・", 0)) + 1), 0)</f>
        <v>0</v>
      </c>
      <c r="AE345">
        <f>IF(ISNUMBER(SEARCH(SUBSTITUTE(AE$1,RIGHT(AE$1,2),""),VLOOKUP($D345,素材!$1:$1016,COLUMN($F$1),FALSE))),VLOOKUP($C345,武器!$1:$998,COLUMN($O$1),FALSE)*VLOOKUP($D345,素材!$1:$1016,COLUMN($E$1),FALSE)/(LEN(VLOOKUP($D345,素材!$1:$1016,COLUMN($F$1),FALSE)) - LEN(SUBSTITUTE(VLOOKUP($D345,素材!$1:$1016,COLUMN($F$1),FALSE), "・", 0)) + 1), 0)</f>
        <v>0</v>
      </c>
      <c r="AF345">
        <f>IF(ISNUMBER(SEARCH(SUBSTITUTE(AF$1,RIGHT(AF$1,2),""),VLOOKUP($D345,素材!$1:$1016,COLUMN($F$1),FALSE))),VLOOKUP($C345,武器!$1:$998,COLUMN($O$1),FALSE)*VLOOKUP($D345,素材!$1:$1016,COLUMN($E$1),FALSE)/(LEN(VLOOKUP($D345,素材!$1:$1016,COLUMN($F$1),FALSE)) - LEN(SUBSTITUTE(VLOOKUP($D345,素材!$1:$1016,COLUMN($F$1),FALSE), "・", 0)) + 1), 0)</f>
        <v>0</v>
      </c>
      <c r="AG345">
        <f>IF(ISNUMBER(SEARCH(SUBSTITUTE(AG$1,RIGHT(AG$1,2),""),VLOOKUP($D345,素材!$1:$1016,COLUMN($F$1),FALSE))),VLOOKUP($C345,武器!$1:$998,COLUMN($O$1),FALSE)*VLOOKUP($D345,素材!$1:$1016,COLUMN($E$1),FALSE)/(LEN(VLOOKUP($D345,素材!$1:$1016,COLUMN($F$1),FALSE)) - LEN(SUBSTITUTE(VLOOKUP($D345,素材!$1:$1016,COLUMN($F$1),FALSE), "・", 0)) + 1), 0)</f>
        <v>0</v>
      </c>
      <c r="AH345">
        <f>IF(ISNUMBER(SEARCH(SUBSTITUTE(AH$1,RIGHT(AH$1,2),""),VLOOKUP($D345,素材!$1:$1016,COLUMN($F$1),FALSE))),VLOOKUP($C345,武器!$1:$998,COLUMN($O$1),FALSE)*VLOOKUP($D345,素材!$1:$1016,COLUMN($E$1),FALSE)/(LEN(VLOOKUP($D345,素材!$1:$1016,COLUMN($F$1),FALSE)) - LEN(SUBSTITUTE(VLOOKUP($D345,素材!$1:$1016,COLUMN($F$1),FALSE), "・", 0)) + 1), 0)</f>
        <v>0</v>
      </c>
      <c r="AI345">
        <f>IF(ISNUMBER(SEARCH(SUBSTITUTE(AI$1,RIGHT(AI$1,2),""),VLOOKUP($D345,素材!$1:$1016,COLUMN($F$1),FALSE))),VLOOKUP($C345,武器!$1:$998,COLUMN($O$1),FALSE)*VLOOKUP($D345,素材!$1:$1016,COLUMN($E$1),FALSE)/(LEN(VLOOKUP($D345,素材!$1:$1016,COLUMN($F$1),FALSE)) - LEN(SUBSTITUTE(VLOOKUP($D345,素材!$1:$1016,COLUMN($F$1),FALSE), "・", 0)) + 1), 0)</f>
        <v>0</v>
      </c>
      <c r="AJ345">
        <f>IF(ISNUMBER(SEARCH(SUBSTITUTE(AJ$1,RIGHT(AJ$1,2),""),VLOOKUP($D345,素材!$1:$1016,COLUMN($F$1),FALSE))),VLOOKUP($C345,武器!$1:$998,COLUMN($O$1),FALSE)*VLOOKUP($D345,素材!$1:$1016,COLUMN($E$1),FALSE)/(LEN(VLOOKUP($D345,素材!$1:$1016,COLUMN($F$1),FALSE)) - LEN(SUBSTITUTE(VLOOKUP($D345,素材!$1:$1016,COLUMN($F$1),FALSE), "・", 0)) + 1), 0)</f>
        <v>0</v>
      </c>
      <c r="AK345">
        <f>IF(ISNUMBER(SEARCH(SUBSTITUTE(AK$1,RIGHT(AK$1,2),""),VLOOKUP($D345,素材!$1:$1016,COLUMN($F$1),FALSE))),VLOOKUP($C345,武器!$1:$998,COLUMN($O$1),FALSE)*VLOOKUP($D345,素材!$1:$1016,COLUMN($E$1),FALSE)/(LEN(VLOOKUP($D345,素材!$1:$1016,COLUMN($F$1),FALSE)) - LEN(SUBSTITUTE(VLOOKUP($D345,素材!$1:$1016,COLUMN($F$1),FALSE), "・", 0)) + 1), 0)</f>
        <v>0</v>
      </c>
      <c r="AL345">
        <f>IF(ISNUMBER(SEARCH(SUBSTITUTE(AL$1,RIGHT(AL$1,2),""),VLOOKUP($D345,素材!$1:$1016,COLUMN($F$1),FALSE))),VLOOKUP($C345,武器!$1:$998,COLUMN($O$1),FALSE)*VLOOKUP($D345,素材!$1:$1016,COLUMN($E$1),FALSE)/(LEN(VLOOKUP($D345,素材!$1:$1016,COLUMN($F$1),FALSE)) - LEN(SUBSTITUTE(VLOOKUP($D345,素材!$1:$1016,COLUMN($F$1),FALSE), "・", 0)) + 1), 0)</f>
        <v>0</v>
      </c>
      <c r="AM345">
        <f>IF(ISNUMBER(SEARCH(SUBSTITUTE(AM$1,RIGHT(AM$1,2),""),VLOOKUP($D345,素材!$1:$1016,COLUMN($F$1),FALSE))),VLOOKUP($C345,武器!$1:$998,COLUMN($O$1),FALSE)*VLOOKUP($D345,素材!$1:$1016,COLUMN($E$1),FALSE)/(LEN(VLOOKUP($D345,素材!$1:$1016,COLUMN($F$1),FALSE)) - LEN(SUBSTITUTE(VLOOKUP($D345,素材!$1:$1016,COLUMN($F$1),FALSE), "・", 0)) + 1), 0)</f>
        <v>0</v>
      </c>
      <c r="AN345">
        <f>IF(ISNUMBER(SEARCH(SUBSTITUTE(AN$1,RIGHT(AN$1,2),""),VLOOKUP($D345,素材!$1:$1016,COLUMN($F$1),FALSE))),VLOOKUP($C345,武器!$1:$998,COLUMN($O$1),FALSE)*VLOOKUP($D345,素材!$1:$1016,COLUMN($E$1),FALSE)/(LEN(VLOOKUP($D345,素材!$1:$1016,COLUMN($F$1),FALSE)) - LEN(SUBSTITUTE(VLOOKUP($D345,素材!$1:$1016,COLUMN($F$1),FALSE), "・", 0)) + 1), 0)</f>
        <v>0</v>
      </c>
      <c r="AO345">
        <f>IF(ISNUMBER(SEARCH(SUBSTITUTE(AO$1,RIGHT(AO$1,2),""),VLOOKUP($D345,素材!$1:$1016,COLUMN($F$1),FALSE))),VLOOKUP($C345,武器!$1:$998,COLUMN($O$1),FALSE)*VLOOKUP($D345,素材!$1:$1016,COLUMN($E$1),FALSE)/(LEN(VLOOKUP($D345,素材!$1:$1016,COLUMN($F$1),FALSE)) - LEN(SUBSTITUTE(VLOOKUP($D345,素材!$1:$1016,COLUMN($F$1),FALSE), "・", 0)) + 1), 0)</f>
        <v>0</v>
      </c>
      <c r="AP345">
        <f>IF(ISNUMBER(SEARCH(SUBSTITUTE(AP$1,RIGHT(AP$1,2),""),VLOOKUP($D345,素材!$1:$1016,COLUMN($F$1),FALSE))),VLOOKUP($C345,武器!$1:$998,COLUMN($O$1),FALSE)*VLOOKUP($D345,素材!$1:$1016,COLUMN($E$1),FALSE)/(LEN(VLOOKUP($D345,素材!$1:$1016,COLUMN($F$1),FALSE)) - LEN(SUBSTITUTE(VLOOKUP($D345,素材!$1:$1016,COLUMN($F$1),FALSE), "・", 0)) + 1), 0)</f>
        <v>0</v>
      </c>
      <c r="AQ345">
        <f>IF(ISNUMBER(SEARCH(SUBSTITUTE(AQ$1,RIGHT(AQ$1,2),""),VLOOKUP($D345,素材!$1:$1016,COLUMN($F$1),FALSE))),VLOOKUP($C345,武器!$1:$998,COLUMN($O$1),FALSE)*VLOOKUP($D345,素材!$1:$1016,COLUMN($E$1),FALSE)/(LEN(VLOOKUP($D345,素材!$1:$1016,COLUMN($F$1),FALSE)) - LEN(SUBSTITUTE(VLOOKUP($D345,素材!$1:$1016,COLUMN($F$1),FALSE), "・", 0)) + 1), 0)</f>
        <v>0</v>
      </c>
      <c r="AR345">
        <f>IF(ISNUMBER(SEARCH(SUBSTITUTE(AR$1,RIGHT(AR$1,2),""),VLOOKUP($D345,素材!$1:$1016,COLUMN($F$1),FALSE))),VLOOKUP($C345,武器!$1:$998,COLUMN($O$1),FALSE)*VLOOKUP($D345,素材!$1:$1016,COLUMN($E$1),FALSE)/(LEN(VLOOKUP($D345,素材!$1:$1016,COLUMN($F$1),FALSE)) - LEN(SUBSTITUTE(VLOOKUP($D345,素材!$1:$1016,COLUMN($F$1),FALSE), "・", 0)) + 1), 0)</f>
        <v>0</v>
      </c>
      <c r="AS345">
        <f>IF(ISNUMBER(SEARCH(SUBSTITUTE(AS$1,RIGHT(AS$1,2),""),VLOOKUP($D345,素材!$1:$1016,COLUMN($F$1),FALSE))),VLOOKUP($C345,武器!$1:$998,COLUMN($O$1),FALSE)*VLOOKUP($D345,素材!$1:$1016,COLUMN($E$1),FALSE)/(LEN(VLOOKUP($D345,素材!$1:$1016,COLUMN($F$1),FALSE)) - LEN(SUBSTITUTE(VLOOKUP($D345,素材!$1:$1016,COLUMN($F$1),FALSE), "・", 0)) + 1), 0)</f>
        <v>0</v>
      </c>
      <c r="AT345">
        <f>IF(ISNUMBER(SEARCH(SUBSTITUTE(AT$1,RIGHT(AT$1,2),""),VLOOKUP($D345,素材!$1:$1016,COLUMN($F$1),FALSE))),VLOOKUP($C345,武器!$1:$998,COLUMN($O$1),FALSE)*VLOOKUP($D345,素材!$1:$1016,COLUMN($E$1),FALSE)/(LEN(VLOOKUP($D345,素材!$1:$1016,COLUMN($F$1),FALSE)) - LEN(SUBSTITUTE(VLOOKUP($D345,素材!$1:$1016,COLUMN($F$1),FALSE), "・", 0)) + 1), 0)</f>
        <v>0</v>
      </c>
      <c r="AU345">
        <f>IF(ISNUMBER(SEARCH(SUBSTITUTE(AU$1,RIGHT(AU$1,2),""),VLOOKUP($D345,素材!$1:$1016,COLUMN($F$1),FALSE))),VLOOKUP($C345,武器!$1:$998,COLUMN($O$1),FALSE)*VLOOKUP($D345,素材!$1:$1016,COLUMN($E$1),FALSE)/(LEN(VLOOKUP($D345,素材!$1:$1016,COLUMN($F$1),FALSE)) - LEN(SUBSTITUTE(VLOOKUP($D345,素材!$1:$1016,COLUMN($F$1),FALSE), "・", 0)) + 1), 0)</f>
        <v>0</v>
      </c>
      <c r="AV345">
        <f>IF(ISNUMBER(SEARCH(SUBSTITUTE(AV$1,RIGHT(AV$1,2),""),VLOOKUP($D345,素材!$1:$1016,COLUMN($F$1),FALSE))),VLOOKUP($C345,武器!$1:$998,COLUMN($O$1),FALSE)*VLOOKUP($D345,素材!$1:$1016,COLUMN($E$1),FALSE)/(LEN(VLOOKUP($D345,素材!$1:$1016,COLUMN($F$1),FALSE)) - LEN(SUBSTITUTE(VLOOKUP($D345,素材!$1:$1016,COLUMN($F$1),FALSE), "・", 0)) + 1), 0)</f>
        <v>0</v>
      </c>
      <c r="AW345">
        <f>IF(ISNUMBER(SEARCH(SUBSTITUTE(AW$1,RIGHT(AW$1,2),""),VLOOKUP($D345,素材!$1:$1016,COLUMN($F$1),FALSE))),VLOOKUP($C345,武器!$1:$998,COLUMN($O$1),FALSE)*VLOOKUP($D345,素材!$1:$1016,COLUMN($E$1),FALSE)/(LEN(VLOOKUP($D345,素材!$1:$1016,COLUMN($F$1),FALSE)) - LEN(SUBSTITUTE(VLOOKUP($D345,素材!$1:$1016,COLUMN($F$1),FALSE), "・", 0)) + 1), 0)</f>
        <v>0</v>
      </c>
      <c r="AX345">
        <f>IF(ISNUMBER(SEARCH(SUBSTITUTE(AX$1,RIGHT(AX$1,2),""),VLOOKUP($D345,素材!$1:$1016,COLUMN($F$1),FALSE))),VLOOKUP($C345,武器!$1:$998,COLUMN($O$1),FALSE)*VLOOKUP($D345,素材!$1:$1016,COLUMN($E$1),FALSE)/(LEN(VLOOKUP($D345,素材!$1:$1016,COLUMN($F$1),FALSE)) - LEN(SUBSTITUTE(VLOOKUP($D345,素材!$1:$1016,COLUMN($F$1),FALSE), "・", 0)) + 1), 0)</f>
        <v>0</v>
      </c>
      <c r="AY345">
        <f>IF(ISNUMBER(SEARCH(SUBSTITUTE(AY$1,RIGHT(AY$1,2),""),VLOOKUP($D345,素材!$1:$1016,COLUMN($F$1),FALSE))),VLOOKUP($C345,武器!$1:$998,COLUMN($O$1),FALSE)*VLOOKUP($D345,素材!$1:$1016,COLUMN($E$1),FALSE)/(LEN(VLOOKUP($D345,素材!$1:$1016,COLUMN($F$1),FALSE)) - LEN(SUBSTITUTE(VLOOKUP($D345,素材!$1:$1016,COLUMN($F$1),FALSE), "・", 0)) + 1), 0)</f>
        <v>0</v>
      </c>
      <c r="AZ345">
        <f>IF(ISNUMBER(SEARCH(SUBSTITUTE(AZ$1,RIGHT(AZ$1,2),""),VLOOKUP($D345,素材!$1:$1016,COLUMN($F$1),FALSE))),VLOOKUP($C345,武器!$1:$998,COLUMN($O$1),FALSE)*VLOOKUP($D345,素材!$1:$1016,COLUMN($E$1),FALSE)/(LEN(VLOOKUP($D345,素材!$1:$1016,COLUMN($F$1),FALSE)) - LEN(SUBSTITUTE(VLOOKUP($D345,素材!$1:$1016,COLUMN($F$1),FALSE), "・", 0)) + 1), 0)</f>
        <v>0</v>
      </c>
      <c r="BA345">
        <f>IF(ISNUMBER(SEARCH(SUBSTITUTE(BA$1,RIGHT(BA$1,2),""),VLOOKUP($D345,素材!$1:$1016,COLUMN($F$1),FALSE))),VLOOKUP($C345,武器!$1:$998,COLUMN($O$1),FALSE)*VLOOKUP($D345,素材!$1:$1016,COLUMN($E$1),FALSE)/(LEN(VLOOKUP($D345,素材!$1:$1016,COLUMN($F$1),FALSE)) - LEN(SUBSTITUTE(VLOOKUP($D345,素材!$1:$1016,COLUMN($F$1),FALSE), "・", 0)) + 1), 0)</f>
        <v>0</v>
      </c>
      <c r="BB345">
        <f>IF(ISNUMBER(SEARCH(SUBSTITUTE(BB$1,RIGHT(BB$1,2),""),VLOOKUP($D345,素材!$1:$1016,COLUMN($F$1),FALSE))),VLOOKUP($C345,武器!$1:$998,COLUMN($O$1),FALSE)*VLOOKUP($D345,素材!$1:$1016,COLUMN($E$1),FALSE)/(LEN(VLOOKUP($D345,素材!$1:$1016,COLUMN($F$1),FALSE)) - LEN(SUBSTITUTE(VLOOKUP($D345,素材!$1:$1016,COLUMN($F$1),FALSE), "・", 0)) + 1), 0)</f>
        <v>0</v>
      </c>
      <c r="BC345">
        <f>IF(ISNUMBER(SEARCH(SUBSTITUTE(BC$1,RIGHT(BC$1,2),""),VLOOKUP($D345,素材!$1:$1016,COLUMN($F$1),FALSE))),VLOOKUP($C345,武器!$1:$998,COLUMN($O$1),FALSE)*VLOOKUP($D345,素材!$1:$1016,COLUMN($E$1),FALSE)/(LEN(VLOOKUP($D345,素材!$1:$1016,COLUMN($F$1),FALSE)) - LEN(SUBSTITUTE(VLOOKUP($D345,素材!$1:$1016,COLUMN($F$1),FALSE), "・", 0)) + 1), 0)</f>
        <v>0</v>
      </c>
      <c r="BD345">
        <f>IF(ISNUMBER(SEARCH(SUBSTITUTE(BD$1,RIGHT(BD$1,2),""),VLOOKUP($D345,素材!$1:$1016,COLUMN($F$1),FALSE))),VLOOKUP($C345,武器!$1:$998,COLUMN($O$1),FALSE)*VLOOKUP($D345,素材!$1:$1016,COLUMN($E$1),FALSE)/(LEN(VLOOKUP($D345,素材!$1:$1016,COLUMN($F$1),FALSE)) - LEN(SUBSTITUTE(VLOOKUP($D345,素材!$1:$1016,COLUMN($F$1),FALSE), "・", 0)) + 1), 0)</f>
        <v>0</v>
      </c>
      <c r="BE345">
        <f>IF(ISNUMBER(SEARCH(SUBSTITUTE(BE$1,RIGHT(BE$1,2),""),VLOOKUP($D345,素材!$1:$1016,COLUMN($F$1),FALSE))),VLOOKUP($C345,武器!$1:$998,COLUMN($O$1),FALSE)*VLOOKUP($D345,素材!$1:$1016,COLUMN($E$1),FALSE)/(LEN(VLOOKUP($D345,素材!$1:$1016,COLUMN($F$1),FALSE)) - LEN(SUBSTITUTE(VLOOKUP($D345,素材!$1:$1016,COLUMN($F$1),FALSE), "・", 0)) + 1), 0)</f>
        <v>0</v>
      </c>
      <c r="CL345">
        <f>SUM(G345:I345)</f>
        <v>0</v>
      </c>
      <c r="CM345" s="22" t="str">
        <f>IF(E345="武器",IF(J345-1&gt;SUM(G345:I345),"盾",IF(MAX(G345:I345)=G345,"切断",IF(MAX(G345:I345)=H345,"貫通",IF(MAX(G345:I345)=I345,"打撃","射撃")))),E345)&amp;".webp"</f>
        <v>.webp</v>
      </c>
      <c r="CN345" t="str">
        <f>IFERROR(VLOOKUP($C345,武器!$1:$998,COLUMN(V$1),FALSE)*VLOOKUP($D345,素材!$1:$1016,COLUMN(N$1),FALSE)+IF(CI345="",0,VLOOKUP($CI345,装強!$1:$1008,COLUMN($CK$1),FALSE)),"")</f>
        <v/>
      </c>
      <c r="CO345" t="e">
        <f>VLOOKUP(D345,素材!$A:$O,COLUMN(素材!O$1),FALSE)</f>
        <v>#N/A</v>
      </c>
      <c r="CP345" t="e">
        <f>VLOOKUP(C345,武器!$A:$W,COLUMN(武器!W$1),FALSE)</f>
        <v>#N/A</v>
      </c>
      <c r="CR345" t="str">
        <f t="shared" si="35"/>
        <v>e_345</v>
      </c>
      <c r="CS345" t="e">
        <f t="shared" si="36"/>
        <v>#VALUE!</v>
      </c>
    </row>
    <row r="346" spans="1:97" hidden="1" outlineLevel="1" x14ac:dyDescent="0.4">
      <c r="A346" t="str">
        <f>IF(CI346="",D346&amp;"の"&amp;C346,CI346&amp;"の"&amp;C346)</f>
        <v>の</v>
      </c>
      <c r="B346" t="str">
        <f>IFERROR(IF(CI346="",VLOOKUP($D346,素材!$1:$1016,COLUMN($B$1),FALSE)&amp;"・"&amp;VLOOKUP($C346,武器!$1:$998,COLUMN(B$1),FALSE),VLOOKUP($CI346,装強!$1:$1008,COLUMN($B$1),FALSE)&amp;"・"&amp;VLOOKUP($C346,武器!$1:$998,COLUMN(B$1),FALSE)),"")</f>
        <v/>
      </c>
      <c r="C346" s="24"/>
      <c r="D346" s="24"/>
      <c r="E346" t="str">
        <f>IFERROR(VLOOKUP(C346,武器!$1:$998,COLUMN(C$1),FALSE),"")</f>
        <v/>
      </c>
      <c r="F346" t="str">
        <f>IFERROR(ROUNDDOWN((VLOOKUP($C346,武器!$1:$998,COLUMN(D$1),FALSE)+IFERROR(VLOOKUP($CI346,装強!$1:$999,COLUMN(F$1),FALSE),0))*VLOOKUP($D346,素材!$1:$1016,COLUMN(D$1),FALSE),0),"")</f>
        <v/>
      </c>
      <c r="G346" t="str">
        <f>IFERROR(ROUNDDOWN((VLOOKUP($C346,武器!$1:$998,COLUMN(E$1),FALSE)+IFERROR(VLOOKUP($CI346,装強!$1:$999,COLUMN(G$1),FALSE),0))*VLOOKUP($D346,素材!$1:$1016,COLUMN($E$1),FALSE),0),"")</f>
        <v/>
      </c>
      <c r="H346" t="str">
        <f>IFERROR(ROUNDDOWN((VLOOKUP($C346,武器!$1:$998,COLUMN(F$1),FALSE)+IFERROR(VLOOKUP($CI346,装強!$1:$999,COLUMN(H$1),FALSE),0))*VLOOKUP($D346,素材!$1:$1016,COLUMN($E$1),FALSE),0),"")</f>
        <v/>
      </c>
      <c r="I346" t="str">
        <f>IFERROR(ROUNDDOWN((VLOOKUP($C346,武器!$1:$998,COLUMN(G$1),FALSE)+IFERROR(VLOOKUP($CI346,装強!$1:$999,COLUMN(I$1),FALSE),0))*VLOOKUP($D346,素材!$1:$1016,COLUMN($E$1),FALSE),0),"")</f>
        <v/>
      </c>
      <c r="J346" t="str">
        <f>IFERROR(ROUNDDOWN((VLOOKUP($C346,武器!$1:$998,COLUMN(H$1),FALSE)+IFERROR(VLOOKUP($CI346,装強!$1:$999,COLUMN(J$1),FALSE),0))*VLOOKUP($D346,素材!$1:$1016,COLUMN($E$1),FALSE),0),"")</f>
        <v/>
      </c>
      <c r="K346" t="str">
        <f>IFERROR(ROUNDDOWN((VLOOKUP($C346,武器!$1:$998,COLUMN(I$1),FALSE)+IFERROR(VLOOKUP($CI346,装強!$1:$999,COLUMN(K$1),FALSE),0))*VLOOKUP($D346,素材!$1:$1016,COLUMN($E$1),FALSE),0),"")</f>
        <v/>
      </c>
      <c r="L346" t="str">
        <f>IFERROR(VLOOKUP($D346,素材!$1:$1016,COLUMN($F$1),FALSE),"")</f>
        <v/>
      </c>
      <c r="M346" t="str">
        <f>IFERROR(VLOOKUP($C346,武器!$1:$998,COLUMN(AA$1),FALSE)*VLOOKUP($D346,素材!$1:$1016,COLUMN($G$1),FALSE),"")</f>
        <v/>
      </c>
      <c r="N346" t="str">
        <f>IFERROR(VLOOKUP($C346,武器!$1:$998,COLUMN(I$1),FALSE),"")</f>
        <v/>
      </c>
      <c r="O346" s="23" t="str">
        <f>IFERROR((VLOOKUP($C346,武器!$1:$998,COLUMN(K$1),FALSE)+VLOOKUP($D346,素材!$1:$1016,COLUMN(H$1),FALSE))*100+IFERROR(VLOOKUP($CI346,装強!$1:$999,COLUMN(O$1),FALSE),0),"")</f>
        <v/>
      </c>
      <c r="P346" s="23" t="str">
        <f>IFERROR((VLOOKUP($C346,武器!$1:$998,COLUMN(L$1),FALSE)+VLOOKUP($D346,素材!$1:$1016,COLUMN(I$1),FALSE))*100+IFERROR(VLOOKUP($CI346,装強!$1:$999,COLUMN(P$1),FALSE),0),"")</f>
        <v/>
      </c>
      <c r="Q346" t="str">
        <f>IFERROR(ROUNDUP(VLOOKUP($C346,武器!$1:$998,COLUMN(M$1),FALSE)*(VLOOKUP($D346,素材!$1:$1002,COLUMN(D$1),FALSE)/100),1),"")</f>
        <v/>
      </c>
      <c r="R346" t="str">
        <f>IFERROR(ROUNDUP(VLOOKUP($C346,武器!$1:$998,COLUMN(N$1),FALSE)*(VLOOKUP($D346,素材!$1:$1002,COLUMN(D$1),FALSE)/100),1),"")</f>
        <v/>
      </c>
      <c r="S346" t="str">
        <f>IFERROR(VLOOKUP($C346,武器!$1:$998,COLUMN(P$1),FALSE),"")</f>
        <v/>
      </c>
      <c r="T346" t="str">
        <f>IFERROR(VLOOKUP($C346,武器!$1:$998,COLUMN(Q$1),FALSE),"")</f>
        <v/>
      </c>
      <c r="U346" t="str">
        <f>IFERROR(VLOOKUP($C346,武器!$1:$998,COLUMN(R$1),FALSE),"")</f>
        <v/>
      </c>
      <c r="V346" t="str">
        <f>IFERROR(VLOOKUP($C346,武器!$1:$998,COLUMN(Q$1),FALSE),"")</f>
        <v/>
      </c>
      <c r="W346" t="str">
        <f>IFERROR(VLOOKUP($C346,武器!$1:$998,COLUMN(T$1),FALSE),"")</f>
        <v/>
      </c>
      <c r="Y346" t="str">
        <f>IFERROR(VLOOKUP($C346,武器!$1:$998,COLUMN(U$1),FALSE),"")</f>
        <v/>
      </c>
      <c r="Z346" t="str">
        <f>IFERROR(ROUNDUP(VLOOKUP($C346,武器!$1:$998,COLUMN(O$1),FALSE)*VLOOKUP($D346,素材!$1:$1016,COLUMN(E$1),FALSE),1),"")</f>
        <v/>
      </c>
      <c r="AA346">
        <f>IF(ISNUMBER(SEARCH(SUBSTITUTE(AA$1,RIGHT(AA$1,2),""),VLOOKUP($D346,素材!$1:$1016,COLUMN($F$1),FALSE))),VLOOKUP($C346,武器!$1:$998,COLUMN($O$1),FALSE)*VLOOKUP($D346,素材!$1:$1016,COLUMN($E$1),FALSE)/(LEN(VLOOKUP($D346,素材!$1:$1016,COLUMN($F$1),FALSE)) - LEN(SUBSTITUTE(VLOOKUP($D346,素材!$1:$1016,COLUMN($F$1),FALSE), "・", 0)) + 1), 0)</f>
        <v>0</v>
      </c>
      <c r="AB346">
        <f>IF(ISNUMBER(SEARCH(SUBSTITUTE(AB$1,RIGHT(AB$1,2),""),VLOOKUP($D346,素材!$1:$1016,COLUMN($F$1),FALSE))),VLOOKUP($C346,武器!$1:$998,COLUMN($O$1),FALSE)*VLOOKUP($D346,素材!$1:$1016,COLUMN($E$1),FALSE)/(LEN(VLOOKUP($D346,素材!$1:$1016,COLUMN($F$1),FALSE)) - LEN(SUBSTITUTE(VLOOKUP($D346,素材!$1:$1016,COLUMN($F$1),FALSE), "・", 0)) + 1), 0)</f>
        <v>0</v>
      </c>
      <c r="AC346">
        <f>IF(ISNUMBER(SEARCH(SUBSTITUTE(AC$1,RIGHT(AC$1,2),""),VLOOKUP($D346,素材!$1:$1016,COLUMN($F$1),FALSE))),VLOOKUP($C346,武器!$1:$998,COLUMN($O$1),FALSE)*VLOOKUP($D346,素材!$1:$1016,COLUMN($E$1),FALSE)/(LEN(VLOOKUP($D346,素材!$1:$1016,COLUMN($F$1),FALSE)) - LEN(SUBSTITUTE(VLOOKUP($D346,素材!$1:$1016,COLUMN($F$1),FALSE), "・", 0)) + 1), 0)</f>
        <v>0</v>
      </c>
      <c r="AD346">
        <f>IF(ISNUMBER(SEARCH(SUBSTITUTE(AD$1,RIGHT(AD$1,2),""),VLOOKUP($D346,素材!$1:$1016,COLUMN($F$1),FALSE))),VLOOKUP($C346,武器!$1:$998,COLUMN($O$1),FALSE)*VLOOKUP($D346,素材!$1:$1016,COLUMN($E$1),FALSE)/(LEN(VLOOKUP($D346,素材!$1:$1016,COLUMN($F$1),FALSE)) - LEN(SUBSTITUTE(VLOOKUP($D346,素材!$1:$1016,COLUMN($F$1),FALSE), "・", 0)) + 1), 0)</f>
        <v>0</v>
      </c>
      <c r="AE346">
        <f>IF(ISNUMBER(SEARCH(SUBSTITUTE(AE$1,RIGHT(AE$1,2),""),VLOOKUP($D346,素材!$1:$1016,COLUMN($F$1),FALSE))),VLOOKUP($C346,武器!$1:$998,COLUMN($O$1),FALSE)*VLOOKUP($D346,素材!$1:$1016,COLUMN($E$1),FALSE)/(LEN(VLOOKUP($D346,素材!$1:$1016,COLUMN($F$1),FALSE)) - LEN(SUBSTITUTE(VLOOKUP($D346,素材!$1:$1016,COLUMN($F$1),FALSE), "・", 0)) + 1), 0)</f>
        <v>0</v>
      </c>
      <c r="AF346">
        <f>IF(ISNUMBER(SEARCH(SUBSTITUTE(AF$1,RIGHT(AF$1,2),""),VLOOKUP($D346,素材!$1:$1016,COLUMN($F$1),FALSE))),VLOOKUP($C346,武器!$1:$998,COLUMN($O$1),FALSE)*VLOOKUP($D346,素材!$1:$1016,COLUMN($E$1),FALSE)/(LEN(VLOOKUP($D346,素材!$1:$1016,COLUMN($F$1),FALSE)) - LEN(SUBSTITUTE(VLOOKUP($D346,素材!$1:$1016,COLUMN($F$1),FALSE), "・", 0)) + 1), 0)</f>
        <v>0</v>
      </c>
      <c r="AG346">
        <f>IF(ISNUMBER(SEARCH(SUBSTITUTE(AG$1,RIGHT(AG$1,2),""),VLOOKUP($D346,素材!$1:$1016,COLUMN($F$1),FALSE))),VLOOKUP($C346,武器!$1:$998,COLUMN($O$1),FALSE)*VLOOKUP($D346,素材!$1:$1016,COLUMN($E$1),FALSE)/(LEN(VLOOKUP($D346,素材!$1:$1016,COLUMN($F$1),FALSE)) - LEN(SUBSTITUTE(VLOOKUP($D346,素材!$1:$1016,COLUMN($F$1),FALSE), "・", 0)) + 1), 0)</f>
        <v>0</v>
      </c>
      <c r="AH346">
        <f>IF(ISNUMBER(SEARCH(SUBSTITUTE(AH$1,RIGHT(AH$1,2),""),VLOOKUP($D346,素材!$1:$1016,COLUMN($F$1),FALSE))),VLOOKUP($C346,武器!$1:$998,COLUMN($O$1),FALSE)*VLOOKUP($D346,素材!$1:$1016,COLUMN($E$1),FALSE)/(LEN(VLOOKUP($D346,素材!$1:$1016,COLUMN($F$1),FALSE)) - LEN(SUBSTITUTE(VLOOKUP($D346,素材!$1:$1016,COLUMN($F$1),FALSE), "・", 0)) + 1), 0)</f>
        <v>0</v>
      </c>
      <c r="AI346">
        <f>IF(ISNUMBER(SEARCH(SUBSTITUTE(AI$1,RIGHT(AI$1,2),""),VLOOKUP($D346,素材!$1:$1016,COLUMN($F$1),FALSE))),VLOOKUP($C346,武器!$1:$998,COLUMN($O$1),FALSE)*VLOOKUP($D346,素材!$1:$1016,COLUMN($E$1),FALSE)/(LEN(VLOOKUP($D346,素材!$1:$1016,COLUMN($F$1),FALSE)) - LEN(SUBSTITUTE(VLOOKUP($D346,素材!$1:$1016,COLUMN($F$1),FALSE), "・", 0)) + 1), 0)</f>
        <v>0</v>
      </c>
      <c r="AJ346">
        <f>IF(ISNUMBER(SEARCH(SUBSTITUTE(AJ$1,RIGHT(AJ$1,2),""),VLOOKUP($D346,素材!$1:$1016,COLUMN($F$1),FALSE))),VLOOKUP($C346,武器!$1:$998,COLUMN($O$1),FALSE)*VLOOKUP($D346,素材!$1:$1016,COLUMN($E$1),FALSE)/(LEN(VLOOKUP($D346,素材!$1:$1016,COLUMN($F$1),FALSE)) - LEN(SUBSTITUTE(VLOOKUP($D346,素材!$1:$1016,COLUMN($F$1),FALSE), "・", 0)) + 1), 0)</f>
        <v>0</v>
      </c>
      <c r="AK346">
        <f>IF(ISNUMBER(SEARCH(SUBSTITUTE(AK$1,RIGHT(AK$1,2),""),VLOOKUP($D346,素材!$1:$1016,COLUMN($F$1),FALSE))),VLOOKUP($C346,武器!$1:$998,COLUMN($O$1),FALSE)*VLOOKUP($D346,素材!$1:$1016,COLUMN($E$1),FALSE)/(LEN(VLOOKUP($D346,素材!$1:$1016,COLUMN($F$1),FALSE)) - LEN(SUBSTITUTE(VLOOKUP($D346,素材!$1:$1016,COLUMN($F$1),FALSE), "・", 0)) + 1), 0)</f>
        <v>0</v>
      </c>
      <c r="AL346">
        <f>IF(ISNUMBER(SEARCH(SUBSTITUTE(AL$1,RIGHT(AL$1,2),""),VLOOKUP($D346,素材!$1:$1016,COLUMN($F$1),FALSE))),VLOOKUP($C346,武器!$1:$998,COLUMN($O$1),FALSE)*VLOOKUP($D346,素材!$1:$1016,COLUMN($E$1),FALSE)/(LEN(VLOOKUP($D346,素材!$1:$1016,COLUMN($F$1),FALSE)) - LEN(SUBSTITUTE(VLOOKUP($D346,素材!$1:$1016,COLUMN($F$1),FALSE), "・", 0)) + 1), 0)</f>
        <v>0</v>
      </c>
      <c r="AM346">
        <f>IF(ISNUMBER(SEARCH(SUBSTITUTE(AM$1,RIGHT(AM$1,2),""),VLOOKUP($D346,素材!$1:$1016,COLUMN($F$1),FALSE))),VLOOKUP($C346,武器!$1:$998,COLUMN($O$1),FALSE)*VLOOKUP($D346,素材!$1:$1016,COLUMN($E$1),FALSE)/(LEN(VLOOKUP($D346,素材!$1:$1016,COLUMN($F$1),FALSE)) - LEN(SUBSTITUTE(VLOOKUP($D346,素材!$1:$1016,COLUMN($F$1),FALSE), "・", 0)) + 1), 0)</f>
        <v>0</v>
      </c>
      <c r="AN346">
        <f>IF(ISNUMBER(SEARCH(SUBSTITUTE(AN$1,RIGHT(AN$1,2),""),VLOOKUP($D346,素材!$1:$1016,COLUMN($F$1),FALSE))),VLOOKUP($C346,武器!$1:$998,COLUMN($O$1),FALSE)*VLOOKUP($D346,素材!$1:$1016,COLUMN($E$1),FALSE)/(LEN(VLOOKUP($D346,素材!$1:$1016,COLUMN($F$1),FALSE)) - LEN(SUBSTITUTE(VLOOKUP($D346,素材!$1:$1016,COLUMN($F$1),FALSE), "・", 0)) + 1), 0)</f>
        <v>0</v>
      </c>
      <c r="AO346">
        <f>IF(ISNUMBER(SEARCH(SUBSTITUTE(AO$1,RIGHT(AO$1,2),""),VLOOKUP($D346,素材!$1:$1016,COLUMN($F$1),FALSE))),VLOOKUP($C346,武器!$1:$998,COLUMN($O$1),FALSE)*VLOOKUP($D346,素材!$1:$1016,COLUMN($E$1),FALSE)/(LEN(VLOOKUP($D346,素材!$1:$1016,COLUMN($F$1),FALSE)) - LEN(SUBSTITUTE(VLOOKUP($D346,素材!$1:$1016,COLUMN($F$1),FALSE), "・", 0)) + 1), 0)</f>
        <v>0</v>
      </c>
      <c r="AP346">
        <f>IF(ISNUMBER(SEARCH(SUBSTITUTE(AP$1,RIGHT(AP$1,2),""),VLOOKUP($D346,素材!$1:$1016,COLUMN($F$1),FALSE))),VLOOKUP($C346,武器!$1:$998,COLUMN($O$1),FALSE)*VLOOKUP($D346,素材!$1:$1016,COLUMN($E$1),FALSE)/(LEN(VLOOKUP($D346,素材!$1:$1016,COLUMN($F$1),FALSE)) - LEN(SUBSTITUTE(VLOOKUP($D346,素材!$1:$1016,COLUMN($F$1),FALSE), "・", 0)) + 1), 0)</f>
        <v>0</v>
      </c>
      <c r="AQ346">
        <f>IF(ISNUMBER(SEARCH(SUBSTITUTE(AQ$1,RIGHT(AQ$1,2),""),VLOOKUP($D346,素材!$1:$1016,COLUMN($F$1),FALSE))),VLOOKUP($C346,武器!$1:$998,COLUMN($O$1),FALSE)*VLOOKUP($D346,素材!$1:$1016,COLUMN($E$1),FALSE)/(LEN(VLOOKUP($D346,素材!$1:$1016,COLUMN($F$1),FALSE)) - LEN(SUBSTITUTE(VLOOKUP($D346,素材!$1:$1016,COLUMN($F$1),FALSE), "・", 0)) + 1), 0)</f>
        <v>0</v>
      </c>
      <c r="AR346">
        <f>IF(ISNUMBER(SEARCH(SUBSTITUTE(AR$1,RIGHT(AR$1,2),""),VLOOKUP($D346,素材!$1:$1016,COLUMN($F$1),FALSE))),VLOOKUP($C346,武器!$1:$998,COLUMN($O$1),FALSE)*VLOOKUP($D346,素材!$1:$1016,COLUMN($E$1),FALSE)/(LEN(VLOOKUP($D346,素材!$1:$1016,COLUMN($F$1),FALSE)) - LEN(SUBSTITUTE(VLOOKUP($D346,素材!$1:$1016,COLUMN($F$1),FALSE), "・", 0)) + 1), 0)</f>
        <v>0</v>
      </c>
      <c r="AS346">
        <f>IF(ISNUMBER(SEARCH(SUBSTITUTE(AS$1,RIGHT(AS$1,2),""),VLOOKUP($D346,素材!$1:$1016,COLUMN($F$1),FALSE))),VLOOKUP($C346,武器!$1:$998,COLUMN($O$1),FALSE)*VLOOKUP($D346,素材!$1:$1016,COLUMN($E$1),FALSE)/(LEN(VLOOKUP($D346,素材!$1:$1016,COLUMN($F$1),FALSE)) - LEN(SUBSTITUTE(VLOOKUP($D346,素材!$1:$1016,COLUMN($F$1),FALSE), "・", 0)) + 1), 0)</f>
        <v>0</v>
      </c>
      <c r="AT346">
        <f>IF(ISNUMBER(SEARCH(SUBSTITUTE(AT$1,RIGHT(AT$1,2),""),VLOOKUP($D346,素材!$1:$1016,COLUMN($F$1),FALSE))),VLOOKUP($C346,武器!$1:$998,COLUMN($O$1),FALSE)*VLOOKUP($D346,素材!$1:$1016,COLUMN($E$1),FALSE)/(LEN(VLOOKUP($D346,素材!$1:$1016,COLUMN($F$1),FALSE)) - LEN(SUBSTITUTE(VLOOKUP($D346,素材!$1:$1016,COLUMN($F$1),FALSE), "・", 0)) + 1), 0)</f>
        <v>0</v>
      </c>
      <c r="AU346">
        <f>IF(ISNUMBER(SEARCH(SUBSTITUTE(AU$1,RIGHT(AU$1,2),""),VLOOKUP($D346,素材!$1:$1016,COLUMN($F$1),FALSE))),VLOOKUP($C346,武器!$1:$998,COLUMN($O$1),FALSE)*VLOOKUP($D346,素材!$1:$1016,COLUMN($E$1),FALSE)/(LEN(VLOOKUP($D346,素材!$1:$1016,COLUMN($F$1),FALSE)) - LEN(SUBSTITUTE(VLOOKUP($D346,素材!$1:$1016,COLUMN($F$1),FALSE), "・", 0)) + 1), 0)</f>
        <v>0</v>
      </c>
      <c r="AV346">
        <f>IF(ISNUMBER(SEARCH(SUBSTITUTE(AV$1,RIGHT(AV$1,2),""),VLOOKUP($D346,素材!$1:$1016,COLUMN($F$1),FALSE))),VLOOKUP($C346,武器!$1:$998,COLUMN($O$1),FALSE)*VLOOKUP($D346,素材!$1:$1016,COLUMN($E$1),FALSE)/(LEN(VLOOKUP($D346,素材!$1:$1016,COLUMN($F$1),FALSE)) - LEN(SUBSTITUTE(VLOOKUP($D346,素材!$1:$1016,COLUMN($F$1),FALSE), "・", 0)) + 1), 0)</f>
        <v>0</v>
      </c>
      <c r="AW346">
        <f>IF(ISNUMBER(SEARCH(SUBSTITUTE(AW$1,RIGHT(AW$1,2),""),VLOOKUP($D346,素材!$1:$1016,COLUMN($F$1),FALSE))),VLOOKUP($C346,武器!$1:$998,COLUMN($O$1),FALSE)*VLOOKUP($D346,素材!$1:$1016,COLUMN($E$1),FALSE)/(LEN(VLOOKUP($D346,素材!$1:$1016,COLUMN($F$1),FALSE)) - LEN(SUBSTITUTE(VLOOKUP($D346,素材!$1:$1016,COLUMN($F$1),FALSE), "・", 0)) + 1), 0)</f>
        <v>0</v>
      </c>
      <c r="AX346">
        <f>IF(ISNUMBER(SEARCH(SUBSTITUTE(AX$1,RIGHT(AX$1,2),""),VLOOKUP($D346,素材!$1:$1016,COLUMN($F$1),FALSE))),VLOOKUP($C346,武器!$1:$998,COLUMN($O$1),FALSE)*VLOOKUP($D346,素材!$1:$1016,COLUMN($E$1),FALSE)/(LEN(VLOOKUP($D346,素材!$1:$1016,COLUMN($F$1),FALSE)) - LEN(SUBSTITUTE(VLOOKUP($D346,素材!$1:$1016,COLUMN($F$1),FALSE), "・", 0)) + 1), 0)</f>
        <v>0</v>
      </c>
      <c r="AY346">
        <f>IF(ISNUMBER(SEARCH(SUBSTITUTE(AY$1,RIGHT(AY$1,2),""),VLOOKUP($D346,素材!$1:$1016,COLUMN($F$1),FALSE))),VLOOKUP($C346,武器!$1:$998,COLUMN($O$1),FALSE)*VLOOKUP($D346,素材!$1:$1016,COLUMN($E$1),FALSE)/(LEN(VLOOKUP($D346,素材!$1:$1016,COLUMN($F$1),FALSE)) - LEN(SUBSTITUTE(VLOOKUP($D346,素材!$1:$1016,COLUMN($F$1),FALSE), "・", 0)) + 1), 0)</f>
        <v>0</v>
      </c>
      <c r="AZ346">
        <f>IF(ISNUMBER(SEARCH(SUBSTITUTE(AZ$1,RIGHT(AZ$1,2),""),VLOOKUP($D346,素材!$1:$1016,COLUMN($F$1),FALSE))),VLOOKUP($C346,武器!$1:$998,COLUMN($O$1),FALSE)*VLOOKUP($D346,素材!$1:$1016,COLUMN($E$1),FALSE)/(LEN(VLOOKUP($D346,素材!$1:$1016,COLUMN($F$1),FALSE)) - LEN(SUBSTITUTE(VLOOKUP($D346,素材!$1:$1016,COLUMN($F$1),FALSE), "・", 0)) + 1), 0)</f>
        <v>0</v>
      </c>
      <c r="BA346">
        <f>IF(ISNUMBER(SEARCH(SUBSTITUTE(BA$1,RIGHT(BA$1,2),""),VLOOKUP($D346,素材!$1:$1016,COLUMN($F$1),FALSE))),VLOOKUP($C346,武器!$1:$998,COLUMN($O$1),FALSE)*VLOOKUP($D346,素材!$1:$1016,COLUMN($E$1),FALSE)/(LEN(VLOOKUP($D346,素材!$1:$1016,COLUMN($F$1),FALSE)) - LEN(SUBSTITUTE(VLOOKUP($D346,素材!$1:$1016,COLUMN($F$1),FALSE), "・", 0)) + 1), 0)</f>
        <v>0</v>
      </c>
      <c r="BB346">
        <f>IF(ISNUMBER(SEARCH(SUBSTITUTE(BB$1,RIGHT(BB$1,2),""),VLOOKUP($D346,素材!$1:$1016,COLUMN($F$1),FALSE))),VLOOKUP($C346,武器!$1:$998,COLUMN($O$1),FALSE)*VLOOKUP($D346,素材!$1:$1016,COLUMN($E$1),FALSE)/(LEN(VLOOKUP($D346,素材!$1:$1016,COLUMN($F$1),FALSE)) - LEN(SUBSTITUTE(VLOOKUP($D346,素材!$1:$1016,COLUMN($F$1),FALSE), "・", 0)) + 1), 0)</f>
        <v>0</v>
      </c>
      <c r="BC346">
        <f>IF(ISNUMBER(SEARCH(SUBSTITUTE(BC$1,RIGHT(BC$1,2),""),VLOOKUP($D346,素材!$1:$1016,COLUMN($F$1),FALSE))),VLOOKUP($C346,武器!$1:$998,COLUMN($O$1),FALSE)*VLOOKUP($D346,素材!$1:$1016,COLUMN($E$1),FALSE)/(LEN(VLOOKUP($D346,素材!$1:$1016,COLUMN($F$1),FALSE)) - LEN(SUBSTITUTE(VLOOKUP($D346,素材!$1:$1016,COLUMN($F$1),FALSE), "・", 0)) + 1), 0)</f>
        <v>0</v>
      </c>
      <c r="BD346">
        <f>IF(ISNUMBER(SEARCH(SUBSTITUTE(BD$1,RIGHT(BD$1,2),""),VLOOKUP($D346,素材!$1:$1016,COLUMN($F$1),FALSE))),VLOOKUP($C346,武器!$1:$998,COLUMN($O$1),FALSE)*VLOOKUP($D346,素材!$1:$1016,COLUMN($E$1),FALSE)/(LEN(VLOOKUP($D346,素材!$1:$1016,COLUMN($F$1),FALSE)) - LEN(SUBSTITUTE(VLOOKUP($D346,素材!$1:$1016,COLUMN($F$1),FALSE), "・", 0)) + 1), 0)</f>
        <v>0</v>
      </c>
      <c r="BE346">
        <f>IF(ISNUMBER(SEARCH(SUBSTITUTE(BE$1,RIGHT(BE$1,2),""),VLOOKUP($D346,素材!$1:$1016,COLUMN($F$1),FALSE))),VLOOKUP($C346,武器!$1:$998,COLUMN($O$1),FALSE)*VLOOKUP($D346,素材!$1:$1016,COLUMN($E$1),FALSE)/(LEN(VLOOKUP($D346,素材!$1:$1016,COLUMN($F$1),FALSE)) - LEN(SUBSTITUTE(VLOOKUP($D346,素材!$1:$1016,COLUMN($F$1),FALSE), "・", 0)) + 1), 0)</f>
        <v>0</v>
      </c>
      <c r="CL346">
        <f>SUM(G346:I346)</f>
        <v>0</v>
      </c>
      <c r="CM346" s="22" t="str">
        <f>IF(E346="武器",IF(J346-1&gt;SUM(G346:I346),"盾",IF(MAX(G346:I346)=G346,"切断",IF(MAX(G346:I346)=H346,"貫通",IF(MAX(G346:I346)=I346,"打撃","射撃")))),E346)&amp;".webp"</f>
        <v>.webp</v>
      </c>
      <c r="CN346" t="str">
        <f>IFERROR(VLOOKUP($C346,武器!$1:$998,COLUMN(V$1),FALSE)*VLOOKUP($D346,素材!$1:$1016,COLUMN(N$1),FALSE)+IF(CI346="",0,VLOOKUP($CI346,装強!$1:$1008,COLUMN($CK$1),FALSE)),"")</f>
        <v/>
      </c>
      <c r="CO346" t="e">
        <f>VLOOKUP(D346,素材!$A:$O,COLUMN(素材!O$1),FALSE)</f>
        <v>#N/A</v>
      </c>
      <c r="CP346" t="e">
        <f>VLOOKUP(C346,武器!$A:$W,COLUMN(武器!W$1),FALSE)</f>
        <v>#N/A</v>
      </c>
      <c r="CR346" t="str">
        <f t="shared" si="35"/>
        <v>e_346</v>
      </c>
      <c r="CS346" t="e">
        <f t="shared" si="36"/>
        <v>#VALUE!</v>
      </c>
    </row>
    <row r="347" spans="1:97" hidden="1" outlineLevel="1" x14ac:dyDescent="0.4">
      <c r="A347" t="str">
        <f>IF(CI347="",D347&amp;"の"&amp;C347,CI347&amp;"の"&amp;C347)</f>
        <v>の</v>
      </c>
      <c r="B347" t="str">
        <f>IFERROR(IF(CI347="",VLOOKUP($D347,素材!$1:$1016,COLUMN($B$1),FALSE)&amp;"・"&amp;VLOOKUP($C347,武器!$1:$998,COLUMN(B$1),FALSE),VLOOKUP($CI347,装強!$1:$1008,COLUMN($B$1),FALSE)&amp;"・"&amp;VLOOKUP($C347,武器!$1:$998,COLUMN(B$1),FALSE)),"")</f>
        <v/>
      </c>
      <c r="C347" s="24"/>
      <c r="D347" s="24"/>
      <c r="E347" t="str">
        <f>IFERROR(VLOOKUP(C347,武器!$1:$998,COLUMN(C$1),FALSE),"")</f>
        <v/>
      </c>
      <c r="F347" t="str">
        <f>IFERROR(ROUNDDOWN((VLOOKUP($C347,武器!$1:$998,COLUMN(D$1),FALSE)+IFERROR(VLOOKUP($CI347,装強!$1:$999,COLUMN(F$1),FALSE),0))*VLOOKUP($D347,素材!$1:$1016,COLUMN(D$1),FALSE),0),"")</f>
        <v/>
      </c>
      <c r="G347" t="str">
        <f>IFERROR(ROUNDDOWN((VLOOKUP($C347,武器!$1:$998,COLUMN(E$1),FALSE)+IFERROR(VLOOKUP($CI347,装強!$1:$999,COLUMN(G$1),FALSE),0))*VLOOKUP($D347,素材!$1:$1016,COLUMN($E$1),FALSE),0),"")</f>
        <v/>
      </c>
      <c r="H347" t="str">
        <f>IFERROR(ROUNDDOWN((VLOOKUP($C347,武器!$1:$998,COLUMN(F$1),FALSE)+IFERROR(VLOOKUP($CI347,装強!$1:$999,COLUMN(H$1),FALSE),0))*VLOOKUP($D347,素材!$1:$1016,COLUMN($E$1),FALSE),0),"")</f>
        <v/>
      </c>
      <c r="I347" t="str">
        <f>IFERROR(ROUNDDOWN((VLOOKUP($C347,武器!$1:$998,COLUMN(G$1),FALSE)+IFERROR(VLOOKUP($CI347,装強!$1:$999,COLUMN(I$1),FALSE),0))*VLOOKUP($D347,素材!$1:$1016,COLUMN($E$1),FALSE),0),"")</f>
        <v/>
      </c>
      <c r="J347" t="str">
        <f>IFERROR(ROUNDDOWN((VLOOKUP($C347,武器!$1:$998,COLUMN(H$1),FALSE)+IFERROR(VLOOKUP($CI347,装強!$1:$999,COLUMN(J$1),FALSE),0))*VLOOKUP($D347,素材!$1:$1016,COLUMN($E$1),FALSE),0),"")</f>
        <v/>
      </c>
      <c r="K347" t="str">
        <f>IFERROR(ROUNDDOWN((VLOOKUP($C347,武器!$1:$998,COLUMN(I$1),FALSE)+IFERROR(VLOOKUP($CI347,装強!$1:$999,COLUMN(K$1),FALSE),0))*VLOOKUP($D347,素材!$1:$1016,COLUMN($E$1),FALSE),0),"")</f>
        <v/>
      </c>
      <c r="L347" t="str">
        <f>IFERROR(VLOOKUP($D347,素材!$1:$1016,COLUMN($F$1),FALSE),"")</f>
        <v/>
      </c>
      <c r="M347" t="str">
        <f>IFERROR(VLOOKUP($C347,武器!$1:$998,COLUMN(AA$1),FALSE)*VLOOKUP($D347,素材!$1:$1016,COLUMN($G$1),FALSE),"")</f>
        <v/>
      </c>
      <c r="N347" t="str">
        <f>IFERROR(VLOOKUP($C347,武器!$1:$998,COLUMN(I$1),FALSE),"")</f>
        <v/>
      </c>
      <c r="O347" s="23" t="str">
        <f>IFERROR((VLOOKUP($C347,武器!$1:$998,COLUMN(K$1),FALSE)+VLOOKUP($D347,素材!$1:$1016,COLUMN(H$1),FALSE))*100+IFERROR(VLOOKUP($CI347,装強!$1:$999,COLUMN(O$1),FALSE),0),"")</f>
        <v/>
      </c>
      <c r="P347" s="23" t="str">
        <f>IFERROR((VLOOKUP($C347,武器!$1:$998,COLUMN(L$1),FALSE)+VLOOKUP($D347,素材!$1:$1016,COLUMN(I$1),FALSE))*100+IFERROR(VLOOKUP($CI347,装強!$1:$999,COLUMN(P$1),FALSE),0),"")</f>
        <v/>
      </c>
      <c r="Q347" t="str">
        <f>IFERROR(ROUNDUP(VLOOKUP($C347,武器!$1:$998,COLUMN(M$1),FALSE)*(VLOOKUP($D347,素材!$1:$1002,COLUMN(D$1),FALSE)/100),1),"")</f>
        <v/>
      </c>
      <c r="R347" t="str">
        <f>IFERROR(ROUNDUP(VLOOKUP($C347,武器!$1:$998,COLUMN(N$1),FALSE)*(VLOOKUP($D347,素材!$1:$1002,COLUMN(D$1),FALSE)/100),1),"")</f>
        <v/>
      </c>
      <c r="S347" t="str">
        <f>IFERROR(VLOOKUP($C347,武器!$1:$998,COLUMN(P$1),FALSE),"")</f>
        <v/>
      </c>
      <c r="T347" t="str">
        <f>IFERROR(VLOOKUP($C347,武器!$1:$998,COLUMN(Q$1),FALSE),"")</f>
        <v/>
      </c>
      <c r="U347" t="str">
        <f>IFERROR(VLOOKUP($C347,武器!$1:$998,COLUMN(R$1),FALSE),"")</f>
        <v/>
      </c>
      <c r="V347" t="str">
        <f>IFERROR(VLOOKUP($C347,武器!$1:$998,COLUMN(Q$1),FALSE),"")</f>
        <v/>
      </c>
      <c r="W347" t="str">
        <f>IFERROR(VLOOKUP($C347,武器!$1:$998,COLUMN(T$1),FALSE),"")</f>
        <v/>
      </c>
      <c r="Y347" t="str">
        <f>IFERROR(VLOOKUP($C347,武器!$1:$998,COLUMN(U$1),FALSE),"")</f>
        <v/>
      </c>
      <c r="Z347" t="str">
        <f>IFERROR(ROUNDUP(VLOOKUP($C347,武器!$1:$998,COLUMN(O$1),FALSE)*VLOOKUP($D347,素材!$1:$1016,COLUMN(E$1),FALSE),1),"")</f>
        <v/>
      </c>
      <c r="AA347">
        <f>IF(ISNUMBER(SEARCH(SUBSTITUTE(AA$1,RIGHT(AA$1,2),""),VLOOKUP($D347,素材!$1:$1016,COLUMN($F$1),FALSE))),VLOOKUP($C347,武器!$1:$998,COLUMN($O$1),FALSE)*VLOOKUP($D347,素材!$1:$1016,COLUMN($E$1),FALSE)/(LEN(VLOOKUP($D347,素材!$1:$1016,COLUMN($F$1),FALSE)) - LEN(SUBSTITUTE(VLOOKUP($D347,素材!$1:$1016,COLUMN($F$1),FALSE), "・", 0)) + 1), 0)</f>
        <v>0</v>
      </c>
      <c r="AB347">
        <f>IF(ISNUMBER(SEARCH(SUBSTITUTE(AB$1,RIGHT(AB$1,2),""),VLOOKUP($D347,素材!$1:$1016,COLUMN($F$1),FALSE))),VLOOKUP($C347,武器!$1:$998,COLUMN($O$1),FALSE)*VLOOKUP($D347,素材!$1:$1016,COLUMN($E$1),FALSE)/(LEN(VLOOKUP($D347,素材!$1:$1016,COLUMN($F$1),FALSE)) - LEN(SUBSTITUTE(VLOOKUP($D347,素材!$1:$1016,COLUMN($F$1),FALSE), "・", 0)) + 1), 0)</f>
        <v>0</v>
      </c>
      <c r="AC347">
        <f>IF(ISNUMBER(SEARCH(SUBSTITUTE(AC$1,RIGHT(AC$1,2),""),VLOOKUP($D347,素材!$1:$1016,COLUMN($F$1),FALSE))),VLOOKUP($C347,武器!$1:$998,COLUMN($O$1),FALSE)*VLOOKUP($D347,素材!$1:$1016,COLUMN($E$1),FALSE)/(LEN(VLOOKUP($D347,素材!$1:$1016,COLUMN($F$1),FALSE)) - LEN(SUBSTITUTE(VLOOKUP($D347,素材!$1:$1016,COLUMN($F$1),FALSE), "・", 0)) + 1), 0)</f>
        <v>0</v>
      </c>
      <c r="AD347">
        <f>IF(ISNUMBER(SEARCH(SUBSTITUTE(AD$1,RIGHT(AD$1,2),""),VLOOKUP($D347,素材!$1:$1016,COLUMN($F$1),FALSE))),VLOOKUP($C347,武器!$1:$998,COLUMN($O$1),FALSE)*VLOOKUP($D347,素材!$1:$1016,COLUMN($E$1),FALSE)/(LEN(VLOOKUP($D347,素材!$1:$1016,COLUMN($F$1),FALSE)) - LEN(SUBSTITUTE(VLOOKUP($D347,素材!$1:$1016,COLUMN($F$1),FALSE), "・", 0)) + 1), 0)</f>
        <v>0</v>
      </c>
      <c r="AE347">
        <f>IF(ISNUMBER(SEARCH(SUBSTITUTE(AE$1,RIGHT(AE$1,2),""),VLOOKUP($D347,素材!$1:$1016,COLUMN($F$1),FALSE))),VLOOKUP($C347,武器!$1:$998,COLUMN($O$1),FALSE)*VLOOKUP($D347,素材!$1:$1016,COLUMN($E$1),FALSE)/(LEN(VLOOKUP($D347,素材!$1:$1016,COLUMN($F$1),FALSE)) - LEN(SUBSTITUTE(VLOOKUP($D347,素材!$1:$1016,COLUMN($F$1),FALSE), "・", 0)) + 1), 0)</f>
        <v>0</v>
      </c>
      <c r="AF347">
        <f>IF(ISNUMBER(SEARCH(SUBSTITUTE(AF$1,RIGHT(AF$1,2),""),VLOOKUP($D347,素材!$1:$1016,COLUMN($F$1),FALSE))),VLOOKUP($C347,武器!$1:$998,COLUMN($O$1),FALSE)*VLOOKUP($D347,素材!$1:$1016,COLUMN($E$1),FALSE)/(LEN(VLOOKUP($D347,素材!$1:$1016,COLUMN($F$1),FALSE)) - LEN(SUBSTITUTE(VLOOKUP($D347,素材!$1:$1016,COLUMN($F$1),FALSE), "・", 0)) + 1), 0)</f>
        <v>0</v>
      </c>
      <c r="AG347">
        <f>IF(ISNUMBER(SEARCH(SUBSTITUTE(AG$1,RIGHT(AG$1,2),""),VLOOKUP($D347,素材!$1:$1016,COLUMN($F$1),FALSE))),VLOOKUP($C347,武器!$1:$998,COLUMN($O$1),FALSE)*VLOOKUP($D347,素材!$1:$1016,COLUMN($E$1),FALSE)/(LEN(VLOOKUP($D347,素材!$1:$1016,COLUMN($F$1),FALSE)) - LEN(SUBSTITUTE(VLOOKUP($D347,素材!$1:$1016,COLUMN($F$1),FALSE), "・", 0)) + 1), 0)</f>
        <v>0</v>
      </c>
      <c r="AH347">
        <f>IF(ISNUMBER(SEARCH(SUBSTITUTE(AH$1,RIGHT(AH$1,2),""),VLOOKUP($D347,素材!$1:$1016,COLUMN($F$1),FALSE))),VLOOKUP($C347,武器!$1:$998,COLUMN($O$1),FALSE)*VLOOKUP($D347,素材!$1:$1016,COLUMN($E$1),FALSE)/(LEN(VLOOKUP($D347,素材!$1:$1016,COLUMN($F$1),FALSE)) - LEN(SUBSTITUTE(VLOOKUP($D347,素材!$1:$1016,COLUMN($F$1),FALSE), "・", 0)) + 1), 0)</f>
        <v>0</v>
      </c>
      <c r="AI347">
        <f>IF(ISNUMBER(SEARCH(SUBSTITUTE(AI$1,RIGHT(AI$1,2),""),VLOOKUP($D347,素材!$1:$1016,COLUMN($F$1),FALSE))),VLOOKUP($C347,武器!$1:$998,COLUMN($O$1),FALSE)*VLOOKUP($D347,素材!$1:$1016,COLUMN($E$1),FALSE)/(LEN(VLOOKUP($D347,素材!$1:$1016,COLUMN($F$1),FALSE)) - LEN(SUBSTITUTE(VLOOKUP($D347,素材!$1:$1016,COLUMN($F$1),FALSE), "・", 0)) + 1), 0)</f>
        <v>0</v>
      </c>
      <c r="AJ347">
        <f>IF(ISNUMBER(SEARCH(SUBSTITUTE(AJ$1,RIGHT(AJ$1,2),""),VLOOKUP($D347,素材!$1:$1016,COLUMN($F$1),FALSE))),VLOOKUP($C347,武器!$1:$998,COLUMN($O$1),FALSE)*VLOOKUP($D347,素材!$1:$1016,COLUMN($E$1),FALSE)/(LEN(VLOOKUP($D347,素材!$1:$1016,COLUMN($F$1),FALSE)) - LEN(SUBSTITUTE(VLOOKUP($D347,素材!$1:$1016,COLUMN($F$1),FALSE), "・", 0)) + 1), 0)</f>
        <v>0</v>
      </c>
      <c r="AK347">
        <f>IF(ISNUMBER(SEARCH(SUBSTITUTE(AK$1,RIGHT(AK$1,2),""),VLOOKUP($D347,素材!$1:$1016,COLUMN($F$1),FALSE))),VLOOKUP($C347,武器!$1:$998,COLUMN($O$1),FALSE)*VLOOKUP($D347,素材!$1:$1016,COLUMN($E$1),FALSE)/(LEN(VLOOKUP($D347,素材!$1:$1016,COLUMN($F$1),FALSE)) - LEN(SUBSTITUTE(VLOOKUP($D347,素材!$1:$1016,COLUMN($F$1),FALSE), "・", 0)) + 1), 0)</f>
        <v>0</v>
      </c>
      <c r="AL347">
        <f>IF(ISNUMBER(SEARCH(SUBSTITUTE(AL$1,RIGHT(AL$1,2),""),VLOOKUP($D347,素材!$1:$1016,COLUMN($F$1),FALSE))),VLOOKUP($C347,武器!$1:$998,COLUMN($O$1),FALSE)*VLOOKUP($D347,素材!$1:$1016,COLUMN($E$1),FALSE)/(LEN(VLOOKUP($D347,素材!$1:$1016,COLUMN($F$1),FALSE)) - LEN(SUBSTITUTE(VLOOKUP($D347,素材!$1:$1016,COLUMN($F$1),FALSE), "・", 0)) + 1), 0)</f>
        <v>0</v>
      </c>
      <c r="AM347">
        <f>IF(ISNUMBER(SEARCH(SUBSTITUTE(AM$1,RIGHT(AM$1,2),""),VLOOKUP($D347,素材!$1:$1016,COLUMN($F$1),FALSE))),VLOOKUP($C347,武器!$1:$998,COLUMN($O$1),FALSE)*VLOOKUP($D347,素材!$1:$1016,COLUMN($E$1),FALSE)/(LEN(VLOOKUP($D347,素材!$1:$1016,COLUMN($F$1),FALSE)) - LEN(SUBSTITUTE(VLOOKUP($D347,素材!$1:$1016,COLUMN($F$1),FALSE), "・", 0)) + 1), 0)</f>
        <v>0</v>
      </c>
      <c r="AN347">
        <f>IF(ISNUMBER(SEARCH(SUBSTITUTE(AN$1,RIGHT(AN$1,2),""),VLOOKUP($D347,素材!$1:$1016,COLUMN($F$1),FALSE))),VLOOKUP($C347,武器!$1:$998,COLUMN($O$1),FALSE)*VLOOKUP($D347,素材!$1:$1016,COLUMN($E$1),FALSE)/(LEN(VLOOKUP($D347,素材!$1:$1016,COLUMN($F$1),FALSE)) - LEN(SUBSTITUTE(VLOOKUP($D347,素材!$1:$1016,COLUMN($F$1),FALSE), "・", 0)) + 1), 0)</f>
        <v>0</v>
      </c>
      <c r="AO347">
        <f>IF(ISNUMBER(SEARCH(SUBSTITUTE(AO$1,RIGHT(AO$1,2),""),VLOOKUP($D347,素材!$1:$1016,COLUMN($F$1),FALSE))),VLOOKUP($C347,武器!$1:$998,COLUMN($O$1),FALSE)*VLOOKUP($D347,素材!$1:$1016,COLUMN($E$1),FALSE)/(LEN(VLOOKUP($D347,素材!$1:$1016,COLUMN($F$1),FALSE)) - LEN(SUBSTITUTE(VLOOKUP($D347,素材!$1:$1016,COLUMN($F$1),FALSE), "・", 0)) + 1), 0)</f>
        <v>0</v>
      </c>
      <c r="AP347">
        <f>IF(ISNUMBER(SEARCH(SUBSTITUTE(AP$1,RIGHT(AP$1,2),""),VLOOKUP($D347,素材!$1:$1016,COLUMN($F$1),FALSE))),VLOOKUP($C347,武器!$1:$998,COLUMN($O$1),FALSE)*VLOOKUP($D347,素材!$1:$1016,COLUMN($E$1),FALSE)/(LEN(VLOOKUP($D347,素材!$1:$1016,COLUMN($F$1),FALSE)) - LEN(SUBSTITUTE(VLOOKUP($D347,素材!$1:$1016,COLUMN($F$1),FALSE), "・", 0)) + 1), 0)</f>
        <v>0</v>
      </c>
      <c r="AQ347">
        <f>IF(ISNUMBER(SEARCH(SUBSTITUTE(AQ$1,RIGHT(AQ$1,2),""),VLOOKUP($D347,素材!$1:$1016,COLUMN($F$1),FALSE))),VLOOKUP($C347,武器!$1:$998,COLUMN($O$1),FALSE)*VLOOKUP($D347,素材!$1:$1016,COLUMN($E$1),FALSE)/(LEN(VLOOKUP($D347,素材!$1:$1016,COLUMN($F$1),FALSE)) - LEN(SUBSTITUTE(VLOOKUP($D347,素材!$1:$1016,COLUMN($F$1),FALSE), "・", 0)) + 1), 0)</f>
        <v>0</v>
      </c>
      <c r="AR347">
        <f>IF(ISNUMBER(SEARCH(SUBSTITUTE(AR$1,RIGHT(AR$1,2),""),VLOOKUP($D347,素材!$1:$1016,COLUMN($F$1),FALSE))),VLOOKUP($C347,武器!$1:$998,COLUMN($O$1),FALSE)*VLOOKUP($D347,素材!$1:$1016,COLUMN($E$1),FALSE)/(LEN(VLOOKUP($D347,素材!$1:$1016,COLUMN($F$1),FALSE)) - LEN(SUBSTITUTE(VLOOKUP($D347,素材!$1:$1016,COLUMN($F$1),FALSE), "・", 0)) + 1), 0)</f>
        <v>0</v>
      </c>
      <c r="AS347">
        <f>IF(ISNUMBER(SEARCH(SUBSTITUTE(AS$1,RIGHT(AS$1,2),""),VLOOKUP($D347,素材!$1:$1016,COLUMN($F$1),FALSE))),VLOOKUP($C347,武器!$1:$998,COLUMN($O$1),FALSE)*VLOOKUP($D347,素材!$1:$1016,COLUMN($E$1),FALSE)/(LEN(VLOOKUP($D347,素材!$1:$1016,COLUMN($F$1),FALSE)) - LEN(SUBSTITUTE(VLOOKUP($D347,素材!$1:$1016,COLUMN($F$1),FALSE), "・", 0)) + 1), 0)</f>
        <v>0</v>
      </c>
      <c r="AT347">
        <f>IF(ISNUMBER(SEARCH(SUBSTITUTE(AT$1,RIGHT(AT$1,2),""),VLOOKUP($D347,素材!$1:$1016,COLUMN($F$1),FALSE))),VLOOKUP($C347,武器!$1:$998,COLUMN($O$1),FALSE)*VLOOKUP($D347,素材!$1:$1016,COLUMN($E$1),FALSE)/(LEN(VLOOKUP($D347,素材!$1:$1016,COLUMN($F$1),FALSE)) - LEN(SUBSTITUTE(VLOOKUP($D347,素材!$1:$1016,COLUMN($F$1),FALSE), "・", 0)) + 1), 0)</f>
        <v>0</v>
      </c>
      <c r="AU347">
        <f>IF(ISNUMBER(SEARCH(SUBSTITUTE(AU$1,RIGHT(AU$1,2),""),VLOOKUP($D347,素材!$1:$1016,COLUMN($F$1),FALSE))),VLOOKUP($C347,武器!$1:$998,COLUMN($O$1),FALSE)*VLOOKUP($D347,素材!$1:$1016,COLUMN($E$1),FALSE)/(LEN(VLOOKUP($D347,素材!$1:$1016,COLUMN($F$1),FALSE)) - LEN(SUBSTITUTE(VLOOKUP($D347,素材!$1:$1016,COLUMN($F$1),FALSE), "・", 0)) + 1), 0)</f>
        <v>0</v>
      </c>
      <c r="AV347">
        <f>IF(ISNUMBER(SEARCH(SUBSTITUTE(AV$1,RIGHT(AV$1,2),""),VLOOKUP($D347,素材!$1:$1016,COLUMN($F$1),FALSE))),VLOOKUP($C347,武器!$1:$998,COLUMN($O$1),FALSE)*VLOOKUP($D347,素材!$1:$1016,COLUMN($E$1),FALSE)/(LEN(VLOOKUP($D347,素材!$1:$1016,COLUMN($F$1),FALSE)) - LEN(SUBSTITUTE(VLOOKUP($D347,素材!$1:$1016,COLUMN($F$1),FALSE), "・", 0)) + 1), 0)</f>
        <v>0</v>
      </c>
      <c r="AW347">
        <f>IF(ISNUMBER(SEARCH(SUBSTITUTE(AW$1,RIGHT(AW$1,2),""),VLOOKUP($D347,素材!$1:$1016,COLUMN($F$1),FALSE))),VLOOKUP($C347,武器!$1:$998,COLUMN($O$1),FALSE)*VLOOKUP($D347,素材!$1:$1016,COLUMN($E$1),FALSE)/(LEN(VLOOKUP($D347,素材!$1:$1016,COLUMN($F$1),FALSE)) - LEN(SUBSTITUTE(VLOOKUP($D347,素材!$1:$1016,COLUMN($F$1),FALSE), "・", 0)) + 1), 0)</f>
        <v>0</v>
      </c>
      <c r="AX347">
        <f>IF(ISNUMBER(SEARCH(SUBSTITUTE(AX$1,RIGHT(AX$1,2),""),VLOOKUP($D347,素材!$1:$1016,COLUMN($F$1),FALSE))),VLOOKUP($C347,武器!$1:$998,COLUMN($O$1),FALSE)*VLOOKUP($D347,素材!$1:$1016,COLUMN($E$1),FALSE)/(LEN(VLOOKUP($D347,素材!$1:$1016,COLUMN($F$1),FALSE)) - LEN(SUBSTITUTE(VLOOKUP($D347,素材!$1:$1016,COLUMN($F$1),FALSE), "・", 0)) + 1), 0)</f>
        <v>0</v>
      </c>
      <c r="AY347">
        <f>IF(ISNUMBER(SEARCH(SUBSTITUTE(AY$1,RIGHT(AY$1,2),""),VLOOKUP($D347,素材!$1:$1016,COLUMN($F$1),FALSE))),VLOOKUP($C347,武器!$1:$998,COLUMN($O$1),FALSE)*VLOOKUP($D347,素材!$1:$1016,COLUMN($E$1),FALSE)/(LEN(VLOOKUP($D347,素材!$1:$1016,COLUMN($F$1),FALSE)) - LEN(SUBSTITUTE(VLOOKUP($D347,素材!$1:$1016,COLUMN($F$1),FALSE), "・", 0)) + 1), 0)</f>
        <v>0</v>
      </c>
      <c r="AZ347">
        <f>IF(ISNUMBER(SEARCH(SUBSTITUTE(AZ$1,RIGHT(AZ$1,2),""),VLOOKUP($D347,素材!$1:$1016,COLUMN($F$1),FALSE))),VLOOKUP($C347,武器!$1:$998,COLUMN($O$1),FALSE)*VLOOKUP($D347,素材!$1:$1016,COLUMN($E$1),FALSE)/(LEN(VLOOKUP($D347,素材!$1:$1016,COLUMN($F$1),FALSE)) - LEN(SUBSTITUTE(VLOOKUP($D347,素材!$1:$1016,COLUMN($F$1),FALSE), "・", 0)) + 1), 0)</f>
        <v>0</v>
      </c>
      <c r="BA347">
        <f>IF(ISNUMBER(SEARCH(SUBSTITUTE(BA$1,RIGHT(BA$1,2),""),VLOOKUP($D347,素材!$1:$1016,COLUMN($F$1),FALSE))),VLOOKUP($C347,武器!$1:$998,COLUMN($O$1),FALSE)*VLOOKUP($D347,素材!$1:$1016,COLUMN($E$1),FALSE)/(LEN(VLOOKUP($D347,素材!$1:$1016,COLUMN($F$1),FALSE)) - LEN(SUBSTITUTE(VLOOKUP($D347,素材!$1:$1016,COLUMN($F$1),FALSE), "・", 0)) + 1), 0)</f>
        <v>0</v>
      </c>
      <c r="BB347">
        <f>IF(ISNUMBER(SEARCH(SUBSTITUTE(BB$1,RIGHT(BB$1,2),""),VLOOKUP($D347,素材!$1:$1016,COLUMN($F$1),FALSE))),VLOOKUP($C347,武器!$1:$998,COLUMN($O$1),FALSE)*VLOOKUP($D347,素材!$1:$1016,COLUMN($E$1),FALSE)/(LEN(VLOOKUP($D347,素材!$1:$1016,COLUMN($F$1),FALSE)) - LEN(SUBSTITUTE(VLOOKUP($D347,素材!$1:$1016,COLUMN($F$1),FALSE), "・", 0)) + 1), 0)</f>
        <v>0</v>
      </c>
      <c r="BC347">
        <f>IF(ISNUMBER(SEARCH(SUBSTITUTE(BC$1,RIGHT(BC$1,2),""),VLOOKUP($D347,素材!$1:$1016,COLUMN($F$1),FALSE))),VLOOKUP($C347,武器!$1:$998,COLUMN($O$1),FALSE)*VLOOKUP($D347,素材!$1:$1016,COLUMN($E$1),FALSE)/(LEN(VLOOKUP($D347,素材!$1:$1016,COLUMN($F$1),FALSE)) - LEN(SUBSTITUTE(VLOOKUP($D347,素材!$1:$1016,COLUMN($F$1),FALSE), "・", 0)) + 1), 0)</f>
        <v>0</v>
      </c>
      <c r="BD347">
        <f>IF(ISNUMBER(SEARCH(SUBSTITUTE(BD$1,RIGHT(BD$1,2),""),VLOOKUP($D347,素材!$1:$1016,COLUMN($F$1),FALSE))),VLOOKUP($C347,武器!$1:$998,COLUMN($O$1),FALSE)*VLOOKUP($D347,素材!$1:$1016,COLUMN($E$1),FALSE)/(LEN(VLOOKUP($D347,素材!$1:$1016,COLUMN($F$1),FALSE)) - LEN(SUBSTITUTE(VLOOKUP($D347,素材!$1:$1016,COLUMN($F$1),FALSE), "・", 0)) + 1), 0)</f>
        <v>0</v>
      </c>
      <c r="BE347">
        <f>IF(ISNUMBER(SEARCH(SUBSTITUTE(BE$1,RIGHT(BE$1,2),""),VLOOKUP($D347,素材!$1:$1016,COLUMN($F$1),FALSE))),VLOOKUP($C347,武器!$1:$998,COLUMN($O$1),FALSE)*VLOOKUP($D347,素材!$1:$1016,COLUMN($E$1),FALSE)/(LEN(VLOOKUP($D347,素材!$1:$1016,COLUMN($F$1),FALSE)) - LEN(SUBSTITUTE(VLOOKUP($D347,素材!$1:$1016,COLUMN($F$1),FALSE), "・", 0)) + 1), 0)</f>
        <v>0</v>
      </c>
      <c r="CL347">
        <f>SUM(G347:I347)</f>
        <v>0</v>
      </c>
      <c r="CM347" s="22" t="str">
        <f>IF(E347="武器",IF(J347-1&gt;SUM(G347:I347),"盾",IF(MAX(G347:I347)=G347,"切断",IF(MAX(G347:I347)=H347,"貫通",IF(MAX(G347:I347)=I347,"打撃","射撃")))),E347)&amp;".webp"</f>
        <v>.webp</v>
      </c>
      <c r="CN347" t="str">
        <f>IFERROR(VLOOKUP($C347,武器!$1:$998,COLUMN(V$1),FALSE)*VLOOKUP($D347,素材!$1:$1016,COLUMN(N$1),FALSE)+IF(CI347="",0,VLOOKUP($CI347,装強!$1:$1008,COLUMN($CK$1),FALSE)),"")</f>
        <v/>
      </c>
      <c r="CO347" t="e">
        <f>VLOOKUP(D347,素材!$A:$O,COLUMN(素材!O$1),FALSE)</f>
        <v>#N/A</v>
      </c>
      <c r="CP347" t="e">
        <f>VLOOKUP(C347,武器!$A:$W,COLUMN(武器!W$1),FALSE)</f>
        <v>#N/A</v>
      </c>
      <c r="CR347" t="str">
        <f t="shared" si="35"/>
        <v>e_347</v>
      </c>
      <c r="CS347" t="e">
        <f t="shared" si="36"/>
        <v>#VALUE!</v>
      </c>
    </row>
    <row r="348" spans="1:97" hidden="1" outlineLevel="1" x14ac:dyDescent="0.4">
      <c r="A348" t="str">
        <f>IF(CI348="",D348&amp;"の"&amp;C348,CI348&amp;"の"&amp;C348)</f>
        <v>の</v>
      </c>
      <c r="B348" t="str">
        <f>IFERROR(IF(CI348="",VLOOKUP($D348,素材!$1:$1016,COLUMN($B$1),FALSE)&amp;"・"&amp;VLOOKUP($C348,武器!$1:$998,COLUMN(B$1),FALSE),VLOOKUP($CI348,装強!$1:$1008,COLUMN($B$1),FALSE)&amp;"・"&amp;VLOOKUP($C348,武器!$1:$998,COLUMN(B$1),FALSE)),"")</f>
        <v/>
      </c>
      <c r="C348" s="24"/>
      <c r="D348" s="24"/>
      <c r="E348" t="str">
        <f>IFERROR(VLOOKUP(C348,武器!$1:$998,COLUMN(C$1),FALSE),"")</f>
        <v/>
      </c>
      <c r="F348" t="str">
        <f>IFERROR(ROUNDDOWN((VLOOKUP($C348,武器!$1:$998,COLUMN(D$1),FALSE)+IFERROR(VLOOKUP($CI348,装強!$1:$999,COLUMN(F$1),FALSE),0))*VLOOKUP($D348,素材!$1:$1016,COLUMN(D$1),FALSE),0),"")</f>
        <v/>
      </c>
      <c r="G348" t="str">
        <f>IFERROR(ROUNDDOWN((VLOOKUP($C348,武器!$1:$998,COLUMN(E$1),FALSE)+IFERROR(VLOOKUP($CI348,装強!$1:$999,COLUMN(G$1),FALSE),0))*VLOOKUP($D348,素材!$1:$1016,COLUMN($E$1),FALSE),0),"")</f>
        <v/>
      </c>
      <c r="H348" t="str">
        <f>IFERROR(ROUNDDOWN((VLOOKUP($C348,武器!$1:$998,COLUMN(F$1),FALSE)+IFERROR(VLOOKUP($CI348,装強!$1:$999,COLUMN(H$1),FALSE),0))*VLOOKUP($D348,素材!$1:$1016,COLUMN($E$1),FALSE),0),"")</f>
        <v/>
      </c>
      <c r="I348" t="str">
        <f>IFERROR(ROUNDDOWN((VLOOKUP($C348,武器!$1:$998,COLUMN(G$1),FALSE)+IFERROR(VLOOKUP($CI348,装強!$1:$999,COLUMN(I$1),FALSE),0))*VLOOKUP($D348,素材!$1:$1016,COLUMN($E$1),FALSE),0),"")</f>
        <v/>
      </c>
      <c r="J348" t="str">
        <f>IFERROR(ROUNDDOWN((VLOOKUP($C348,武器!$1:$998,COLUMN(H$1),FALSE)+IFERROR(VLOOKUP($CI348,装強!$1:$999,COLUMN(J$1),FALSE),0))*VLOOKUP($D348,素材!$1:$1016,COLUMN($E$1),FALSE),0),"")</f>
        <v/>
      </c>
      <c r="K348" t="str">
        <f>IFERROR(ROUNDDOWN((VLOOKUP($C348,武器!$1:$998,COLUMN(I$1),FALSE)+IFERROR(VLOOKUP($CI348,装強!$1:$999,COLUMN(K$1),FALSE),0))*VLOOKUP($D348,素材!$1:$1016,COLUMN($E$1),FALSE),0),"")</f>
        <v/>
      </c>
      <c r="L348" t="str">
        <f>IFERROR(VLOOKUP($D348,素材!$1:$1016,COLUMN($F$1),FALSE),"")</f>
        <v/>
      </c>
      <c r="M348" t="str">
        <f>IFERROR(VLOOKUP($C348,武器!$1:$998,COLUMN(AA$1),FALSE)*VLOOKUP($D348,素材!$1:$1016,COLUMN($G$1),FALSE),"")</f>
        <v/>
      </c>
      <c r="N348" t="str">
        <f>IFERROR(VLOOKUP($C348,武器!$1:$998,COLUMN(I$1),FALSE),"")</f>
        <v/>
      </c>
      <c r="O348" s="23" t="str">
        <f>IFERROR((VLOOKUP($C348,武器!$1:$998,COLUMN(K$1),FALSE)+VLOOKUP($D348,素材!$1:$1016,COLUMN(H$1),FALSE))*100+IFERROR(VLOOKUP($CI348,装強!$1:$999,COLUMN(O$1),FALSE),0),"")</f>
        <v/>
      </c>
      <c r="P348" s="23" t="str">
        <f>IFERROR((VLOOKUP($C348,武器!$1:$998,COLUMN(L$1),FALSE)+VLOOKUP($D348,素材!$1:$1016,COLUMN(I$1),FALSE))*100+IFERROR(VLOOKUP($CI348,装強!$1:$999,COLUMN(P$1),FALSE),0),"")</f>
        <v/>
      </c>
      <c r="Q348" t="str">
        <f>IFERROR(ROUNDUP(VLOOKUP($C348,武器!$1:$998,COLUMN(M$1),FALSE)*(VLOOKUP($D348,素材!$1:$1002,COLUMN(D$1),FALSE)/100),1),"")</f>
        <v/>
      </c>
      <c r="R348" t="str">
        <f>IFERROR(ROUNDUP(VLOOKUP($C348,武器!$1:$998,COLUMN(N$1),FALSE)*(VLOOKUP($D348,素材!$1:$1002,COLUMN(D$1),FALSE)/100),1),"")</f>
        <v/>
      </c>
      <c r="S348" t="str">
        <f>IFERROR(VLOOKUP($C348,武器!$1:$998,COLUMN(P$1),FALSE),"")</f>
        <v/>
      </c>
      <c r="T348" t="str">
        <f>IFERROR(VLOOKUP($C348,武器!$1:$998,COLUMN(Q$1),FALSE),"")</f>
        <v/>
      </c>
      <c r="U348" t="str">
        <f>IFERROR(VLOOKUP($C348,武器!$1:$998,COLUMN(R$1),FALSE),"")</f>
        <v/>
      </c>
      <c r="V348" t="str">
        <f>IFERROR(VLOOKUP($C348,武器!$1:$998,COLUMN(Q$1),FALSE),"")</f>
        <v/>
      </c>
      <c r="W348" t="str">
        <f>IFERROR(VLOOKUP($C348,武器!$1:$998,COLUMN(T$1),FALSE),"")</f>
        <v/>
      </c>
      <c r="Y348" t="str">
        <f>IFERROR(VLOOKUP($C348,武器!$1:$998,COLUMN(U$1),FALSE),"")</f>
        <v/>
      </c>
      <c r="Z348" t="str">
        <f>IFERROR(ROUNDUP(VLOOKUP($C348,武器!$1:$998,COLUMN(O$1),FALSE)*VLOOKUP($D348,素材!$1:$1016,COLUMN(E$1),FALSE),1),"")</f>
        <v/>
      </c>
      <c r="AA348">
        <f>IF(ISNUMBER(SEARCH(SUBSTITUTE(AA$1,RIGHT(AA$1,2),""),VLOOKUP($D348,素材!$1:$1016,COLUMN($F$1),FALSE))),VLOOKUP($C348,武器!$1:$998,COLUMN($O$1),FALSE)*VLOOKUP($D348,素材!$1:$1016,COLUMN($E$1),FALSE)/(LEN(VLOOKUP($D348,素材!$1:$1016,COLUMN($F$1),FALSE)) - LEN(SUBSTITUTE(VLOOKUP($D348,素材!$1:$1016,COLUMN($F$1),FALSE), "・", 0)) + 1), 0)</f>
        <v>0</v>
      </c>
      <c r="AB348">
        <f>IF(ISNUMBER(SEARCH(SUBSTITUTE(AB$1,RIGHT(AB$1,2),""),VLOOKUP($D348,素材!$1:$1016,COLUMN($F$1),FALSE))),VLOOKUP($C348,武器!$1:$998,COLUMN($O$1),FALSE)*VLOOKUP($D348,素材!$1:$1016,COLUMN($E$1),FALSE)/(LEN(VLOOKUP($D348,素材!$1:$1016,COLUMN($F$1),FALSE)) - LEN(SUBSTITUTE(VLOOKUP($D348,素材!$1:$1016,COLUMN($F$1),FALSE), "・", 0)) + 1), 0)</f>
        <v>0</v>
      </c>
      <c r="AC348">
        <f>IF(ISNUMBER(SEARCH(SUBSTITUTE(AC$1,RIGHT(AC$1,2),""),VLOOKUP($D348,素材!$1:$1016,COLUMN($F$1),FALSE))),VLOOKUP($C348,武器!$1:$998,COLUMN($O$1),FALSE)*VLOOKUP($D348,素材!$1:$1016,COLUMN($E$1),FALSE)/(LEN(VLOOKUP($D348,素材!$1:$1016,COLUMN($F$1),FALSE)) - LEN(SUBSTITUTE(VLOOKUP($D348,素材!$1:$1016,COLUMN($F$1),FALSE), "・", 0)) + 1), 0)</f>
        <v>0</v>
      </c>
      <c r="AD348">
        <f>IF(ISNUMBER(SEARCH(SUBSTITUTE(AD$1,RIGHT(AD$1,2),""),VLOOKUP($D348,素材!$1:$1016,COLUMN($F$1),FALSE))),VLOOKUP($C348,武器!$1:$998,COLUMN($O$1),FALSE)*VLOOKUP($D348,素材!$1:$1016,COLUMN($E$1),FALSE)/(LEN(VLOOKUP($D348,素材!$1:$1016,COLUMN($F$1),FALSE)) - LEN(SUBSTITUTE(VLOOKUP($D348,素材!$1:$1016,COLUMN($F$1),FALSE), "・", 0)) + 1), 0)</f>
        <v>0</v>
      </c>
      <c r="AE348">
        <f>IF(ISNUMBER(SEARCH(SUBSTITUTE(AE$1,RIGHT(AE$1,2),""),VLOOKUP($D348,素材!$1:$1016,COLUMN($F$1),FALSE))),VLOOKUP($C348,武器!$1:$998,COLUMN($O$1),FALSE)*VLOOKUP($D348,素材!$1:$1016,COLUMN($E$1),FALSE)/(LEN(VLOOKUP($D348,素材!$1:$1016,COLUMN($F$1),FALSE)) - LEN(SUBSTITUTE(VLOOKUP($D348,素材!$1:$1016,COLUMN($F$1),FALSE), "・", 0)) + 1), 0)</f>
        <v>0</v>
      </c>
      <c r="AF348">
        <f>IF(ISNUMBER(SEARCH(SUBSTITUTE(AF$1,RIGHT(AF$1,2),""),VLOOKUP($D348,素材!$1:$1016,COLUMN($F$1),FALSE))),VLOOKUP($C348,武器!$1:$998,COLUMN($O$1),FALSE)*VLOOKUP($D348,素材!$1:$1016,COLUMN($E$1),FALSE)/(LEN(VLOOKUP($D348,素材!$1:$1016,COLUMN($F$1),FALSE)) - LEN(SUBSTITUTE(VLOOKUP($D348,素材!$1:$1016,COLUMN($F$1),FALSE), "・", 0)) + 1), 0)</f>
        <v>0</v>
      </c>
      <c r="AG348">
        <f>IF(ISNUMBER(SEARCH(SUBSTITUTE(AG$1,RIGHT(AG$1,2),""),VLOOKUP($D348,素材!$1:$1016,COLUMN($F$1),FALSE))),VLOOKUP($C348,武器!$1:$998,COLUMN($O$1),FALSE)*VLOOKUP($D348,素材!$1:$1016,COLUMN($E$1),FALSE)/(LEN(VLOOKUP($D348,素材!$1:$1016,COLUMN($F$1),FALSE)) - LEN(SUBSTITUTE(VLOOKUP($D348,素材!$1:$1016,COLUMN($F$1),FALSE), "・", 0)) + 1), 0)</f>
        <v>0</v>
      </c>
      <c r="AH348">
        <f>IF(ISNUMBER(SEARCH(SUBSTITUTE(AH$1,RIGHT(AH$1,2),""),VLOOKUP($D348,素材!$1:$1016,COLUMN($F$1),FALSE))),VLOOKUP($C348,武器!$1:$998,COLUMN($O$1),FALSE)*VLOOKUP($D348,素材!$1:$1016,COLUMN($E$1),FALSE)/(LEN(VLOOKUP($D348,素材!$1:$1016,COLUMN($F$1),FALSE)) - LEN(SUBSTITUTE(VLOOKUP($D348,素材!$1:$1016,COLUMN($F$1),FALSE), "・", 0)) + 1), 0)</f>
        <v>0</v>
      </c>
      <c r="AI348">
        <f>IF(ISNUMBER(SEARCH(SUBSTITUTE(AI$1,RIGHT(AI$1,2),""),VLOOKUP($D348,素材!$1:$1016,COLUMN($F$1),FALSE))),VLOOKUP($C348,武器!$1:$998,COLUMN($O$1),FALSE)*VLOOKUP($D348,素材!$1:$1016,COLUMN($E$1),FALSE)/(LEN(VLOOKUP($D348,素材!$1:$1016,COLUMN($F$1),FALSE)) - LEN(SUBSTITUTE(VLOOKUP($D348,素材!$1:$1016,COLUMN($F$1),FALSE), "・", 0)) + 1), 0)</f>
        <v>0</v>
      </c>
      <c r="AJ348">
        <f>IF(ISNUMBER(SEARCH(SUBSTITUTE(AJ$1,RIGHT(AJ$1,2),""),VLOOKUP($D348,素材!$1:$1016,COLUMN($F$1),FALSE))),VLOOKUP($C348,武器!$1:$998,COLUMN($O$1),FALSE)*VLOOKUP($D348,素材!$1:$1016,COLUMN($E$1),FALSE)/(LEN(VLOOKUP($D348,素材!$1:$1016,COLUMN($F$1),FALSE)) - LEN(SUBSTITUTE(VLOOKUP($D348,素材!$1:$1016,COLUMN($F$1),FALSE), "・", 0)) + 1), 0)</f>
        <v>0</v>
      </c>
      <c r="AK348">
        <f>IF(ISNUMBER(SEARCH(SUBSTITUTE(AK$1,RIGHT(AK$1,2),""),VLOOKUP($D348,素材!$1:$1016,COLUMN($F$1),FALSE))),VLOOKUP($C348,武器!$1:$998,COLUMN($O$1),FALSE)*VLOOKUP($D348,素材!$1:$1016,COLUMN($E$1),FALSE)/(LEN(VLOOKUP($D348,素材!$1:$1016,COLUMN($F$1),FALSE)) - LEN(SUBSTITUTE(VLOOKUP($D348,素材!$1:$1016,COLUMN($F$1),FALSE), "・", 0)) + 1), 0)</f>
        <v>0</v>
      </c>
      <c r="AL348">
        <f>IF(ISNUMBER(SEARCH(SUBSTITUTE(AL$1,RIGHT(AL$1,2),""),VLOOKUP($D348,素材!$1:$1016,COLUMN($F$1),FALSE))),VLOOKUP($C348,武器!$1:$998,COLUMN($O$1),FALSE)*VLOOKUP($D348,素材!$1:$1016,COLUMN($E$1),FALSE)/(LEN(VLOOKUP($D348,素材!$1:$1016,COLUMN($F$1),FALSE)) - LEN(SUBSTITUTE(VLOOKUP($D348,素材!$1:$1016,COLUMN($F$1),FALSE), "・", 0)) + 1), 0)</f>
        <v>0</v>
      </c>
      <c r="AM348">
        <f>IF(ISNUMBER(SEARCH(SUBSTITUTE(AM$1,RIGHT(AM$1,2),""),VLOOKUP($D348,素材!$1:$1016,COLUMN($F$1),FALSE))),VLOOKUP($C348,武器!$1:$998,COLUMN($O$1),FALSE)*VLOOKUP($D348,素材!$1:$1016,COLUMN($E$1),FALSE)/(LEN(VLOOKUP($D348,素材!$1:$1016,COLUMN($F$1),FALSE)) - LEN(SUBSTITUTE(VLOOKUP($D348,素材!$1:$1016,COLUMN($F$1),FALSE), "・", 0)) + 1), 0)</f>
        <v>0</v>
      </c>
      <c r="AN348">
        <f>IF(ISNUMBER(SEARCH(SUBSTITUTE(AN$1,RIGHT(AN$1,2),""),VLOOKUP($D348,素材!$1:$1016,COLUMN($F$1),FALSE))),VLOOKUP($C348,武器!$1:$998,COLUMN($O$1),FALSE)*VLOOKUP($D348,素材!$1:$1016,COLUMN($E$1),FALSE)/(LEN(VLOOKUP($D348,素材!$1:$1016,COLUMN($F$1),FALSE)) - LEN(SUBSTITUTE(VLOOKUP($D348,素材!$1:$1016,COLUMN($F$1),FALSE), "・", 0)) + 1), 0)</f>
        <v>0</v>
      </c>
      <c r="AO348">
        <f>IF(ISNUMBER(SEARCH(SUBSTITUTE(AO$1,RIGHT(AO$1,2),""),VLOOKUP($D348,素材!$1:$1016,COLUMN($F$1),FALSE))),VLOOKUP($C348,武器!$1:$998,COLUMN($O$1),FALSE)*VLOOKUP($D348,素材!$1:$1016,COLUMN($E$1),FALSE)/(LEN(VLOOKUP($D348,素材!$1:$1016,COLUMN($F$1),FALSE)) - LEN(SUBSTITUTE(VLOOKUP($D348,素材!$1:$1016,COLUMN($F$1),FALSE), "・", 0)) + 1), 0)</f>
        <v>0</v>
      </c>
      <c r="AP348">
        <f>IF(ISNUMBER(SEARCH(SUBSTITUTE(AP$1,RIGHT(AP$1,2),""),VLOOKUP($D348,素材!$1:$1016,COLUMN($F$1),FALSE))),VLOOKUP($C348,武器!$1:$998,COLUMN($O$1),FALSE)*VLOOKUP($D348,素材!$1:$1016,COLUMN($E$1),FALSE)/(LEN(VLOOKUP($D348,素材!$1:$1016,COLUMN($F$1),FALSE)) - LEN(SUBSTITUTE(VLOOKUP($D348,素材!$1:$1016,COLUMN($F$1),FALSE), "・", 0)) + 1), 0)</f>
        <v>0</v>
      </c>
      <c r="AQ348">
        <f>IF(ISNUMBER(SEARCH(SUBSTITUTE(AQ$1,RIGHT(AQ$1,2),""),VLOOKUP($D348,素材!$1:$1016,COLUMN($F$1),FALSE))),VLOOKUP($C348,武器!$1:$998,COLUMN($O$1),FALSE)*VLOOKUP($D348,素材!$1:$1016,COLUMN($E$1),FALSE)/(LEN(VLOOKUP($D348,素材!$1:$1016,COLUMN($F$1),FALSE)) - LEN(SUBSTITUTE(VLOOKUP($D348,素材!$1:$1016,COLUMN($F$1),FALSE), "・", 0)) + 1), 0)</f>
        <v>0</v>
      </c>
      <c r="AR348">
        <f>IF(ISNUMBER(SEARCH(SUBSTITUTE(AR$1,RIGHT(AR$1,2),""),VLOOKUP($D348,素材!$1:$1016,COLUMN($F$1),FALSE))),VLOOKUP($C348,武器!$1:$998,COLUMN($O$1),FALSE)*VLOOKUP($D348,素材!$1:$1016,COLUMN($E$1),FALSE)/(LEN(VLOOKUP($D348,素材!$1:$1016,COLUMN($F$1),FALSE)) - LEN(SUBSTITUTE(VLOOKUP($D348,素材!$1:$1016,COLUMN($F$1),FALSE), "・", 0)) + 1), 0)</f>
        <v>0</v>
      </c>
      <c r="AS348">
        <f>IF(ISNUMBER(SEARCH(SUBSTITUTE(AS$1,RIGHT(AS$1,2),""),VLOOKUP($D348,素材!$1:$1016,COLUMN($F$1),FALSE))),VLOOKUP($C348,武器!$1:$998,COLUMN($O$1),FALSE)*VLOOKUP($D348,素材!$1:$1016,COLUMN($E$1),FALSE)/(LEN(VLOOKUP($D348,素材!$1:$1016,COLUMN($F$1),FALSE)) - LEN(SUBSTITUTE(VLOOKUP($D348,素材!$1:$1016,COLUMN($F$1),FALSE), "・", 0)) + 1), 0)</f>
        <v>0</v>
      </c>
      <c r="AT348">
        <f>IF(ISNUMBER(SEARCH(SUBSTITUTE(AT$1,RIGHT(AT$1,2),""),VLOOKUP($D348,素材!$1:$1016,COLUMN($F$1),FALSE))),VLOOKUP($C348,武器!$1:$998,COLUMN($O$1),FALSE)*VLOOKUP($D348,素材!$1:$1016,COLUMN($E$1),FALSE)/(LEN(VLOOKUP($D348,素材!$1:$1016,COLUMN($F$1),FALSE)) - LEN(SUBSTITUTE(VLOOKUP($D348,素材!$1:$1016,COLUMN($F$1),FALSE), "・", 0)) + 1), 0)</f>
        <v>0</v>
      </c>
      <c r="AU348">
        <f>IF(ISNUMBER(SEARCH(SUBSTITUTE(AU$1,RIGHT(AU$1,2),""),VLOOKUP($D348,素材!$1:$1016,COLUMN($F$1),FALSE))),VLOOKUP($C348,武器!$1:$998,COLUMN($O$1),FALSE)*VLOOKUP($D348,素材!$1:$1016,COLUMN($E$1),FALSE)/(LEN(VLOOKUP($D348,素材!$1:$1016,COLUMN($F$1),FALSE)) - LEN(SUBSTITUTE(VLOOKUP($D348,素材!$1:$1016,COLUMN($F$1),FALSE), "・", 0)) + 1), 0)</f>
        <v>0</v>
      </c>
      <c r="AV348">
        <f>IF(ISNUMBER(SEARCH(SUBSTITUTE(AV$1,RIGHT(AV$1,2),""),VLOOKUP($D348,素材!$1:$1016,COLUMN($F$1),FALSE))),VLOOKUP($C348,武器!$1:$998,COLUMN($O$1),FALSE)*VLOOKUP($D348,素材!$1:$1016,COLUMN($E$1),FALSE)/(LEN(VLOOKUP($D348,素材!$1:$1016,COLUMN($F$1),FALSE)) - LEN(SUBSTITUTE(VLOOKUP($D348,素材!$1:$1016,COLUMN($F$1),FALSE), "・", 0)) + 1), 0)</f>
        <v>0</v>
      </c>
      <c r="AW348">
        <f>IF(ISNUMBER(SEARCH(SUBSTITUTE(AW$1,RIGHT(AW$1,2),""),VLOOKUP($D348,素材!$1:$1016,COLUMN($F$1),FALSE))),VLOOKUP($C348,武器!$1:$998,COLUMN($O$1),FALSE)*VLOOKUP($D348,素材!$1:$1016,COLUMN($E$1),FALSE)/(LEN(VLOOKUP($D348,素材!$1:$1016,COLUMN($F$1),FALSE)) - LEN(SUBSTITUTE(VLOOKUP($D348,素材!$1:$1016,COLUMN($F$1),FALSE), "・", 0)) + 1), 0)</f>
        <v>0</v>
      </c>
      <c r="AX348">
        <f>IF(ISNUMBER(SEARCH(SUBSTITUTE(AX$1,RIGHT(AX$1,2),""),VLOOKUP($D348,素材!$1:$1016,COLUMN($F$1),FALSE))),VLOOKUP($C348,武器!$1:$998,COLUMN($O$1),FALSE)*VLOOKUP($D348,素材!$1:$1016,COLUMN($E$1),FALSE)/(LEN(VLOOKUP($D348,素材!$1:$1016,COLUMN($F$1),FALSE)) - LEN(SUBSTITUTE(VLOOKUP($D348,素材!$1:$1016,COLUMN($F$1),FALSE), "・", 0)) + 1), 0)</f>
        <v>0</v>
      </c>
      <c r="AY348">
        <f>IF(ISNUMBER(SEARCH(SUBSTITUTE(AY$1,RIGHT(AY$1,2),""),VLOOKUP($D348,素材!$1:$1016,COLUMN($F$1),FALSE))),VLOOKUP($C348,武器!$1:$998,COLUMN($O$1),FALSE)*VLOOKUP($D348,素材!$1:$1016,COLUMN($E$1),FALSE)/(LEN(VLOOKUP($D348,素材!$1:$1016,COLUMN($F$1),FALSE)) - LEN(SUBSTITUTE(VLOOKUP($D348,素材!$1:$1016,COLUMN($F$1),FALSE), "・", 0)) + 1), 0)</f>
        <v>0</v>
      </c>
      <c r="AZ348">
        <f>IF(ISNUMBER(SEARCH(SUBSTITUTE(AZ$1,RIGHT(AZ$1,2),""),VLOOKUP($D348,素材!$1:$1016,COLUMN($F$1),FALSE))),VLOOKUP($C348,武器!$1:$998,COLUMN($O$1),FALSE)*VLOOKUP($D348,素材!$1:$1016,COLUMN($E$1),FALSE)/(LEN(VLOOKUP($D348,素材!$1:$1016,COLUMN($F$1),FALSE)) - LEN(SUBSTITUTE(VLOOKUP($D348,素材!$1:$1016,COLUMN($F$1),FALSE), "・", 0)) + 1), 0)</f>
        <v>0</v>
      </c>
      <c r="BA348">
        <f>IF(ISNUMBER(SEARCH(SUBSTITUTE(BA$1,RIGHT(BA$1,2),""),VLOOKUP($D348,素材!$1:$1016,COLUMN($F$1),FALSE))),VLOOKUP($C348,武器!$1:$998,COLUMN($O$1),FALSE)*VLOOKUP($D348,素材!$1:$1016,COLUMN($E$1),FALSE)/(LEN(VLOOKUP($D348,素材!$1:$1016,COLUMN($F$1),FALSE)) - LEN(SUBSTITUTE(VLOOKUP($D348,素材!$1:$1016,COLUMN($F$1),FALSE), "・", 0)) + 1), 0)</f>
        <v>0</v>
      </c>
      <c r="BB348">
        <f>IF(ISNUMBER(SEARCH(SUBSTITUTE(BB$1,RIGHT(BB$1,2),""),VLOOKUP($D348,素材!$1:$1016,COLUMN($F$1),FALSE))),VLOOKUP($C348,武器!$1:$998,COLUMN($O$1),FALSE)*VLOOKUP($D348,素材!$1:$1016,COLUMN($E$1),FALSE)/(LEN(VLOOKUP($D348,素材!$1:$1016,COLUMN($F$1),FALSE)) - LEN(SUBSTITUTE(VLOOKUP($D348,素材!$1:$1016,COLUMN($F$1),FALSE), "・", 0)) + 1), 0)</f>
        <v>0</v>
      </c>
      <c r="BC348">
        <f>IF(ISNUMBER(SEARCH(SUBSTITUTE(BC$1,RIGHT(BC$1,2),""),VLOOKUP($D348,素材!$1:$1016,COLUMN($F$1),FALSE))),VLOOKUP($C348,武器!$1:$998,COLUMN($O$1),FALSE)*VLOOKUP($D348,素材!$1:$1016,COLUMN($E$1),FALSE)/(LEN(VLOOKUP($D348,素材!$1:$1016,COLUMN($F$1),FALSE)) - LEN(SUBSTITUTE(VLOOKUP($D348,素材!$1:$1016,COLUMN($F$1),FALSE), "・", 0)) + 1), 0)</f>
        <v>0</v>
      </c>
      <c r="BD348">
        <f>IF(ISNUMBER(SEARCH(SUBSTITUTE(BD$1,RIGHT(BD$1,2),""),VLOOKUP($D348,素材!$1:$1016,COLUMN($F$1),FALSE))),VLOOKUP($C348,武器!$1:$998,COLUMN($O$1),FALSE)*VLOOKUP($D348,素材!$1:$1016,COLUMN($E$1),FALSE)/(LEN(VLOOKUP($D348,素材!$1:$1016,COLUMN($F$1),FALSE)) - LEN(SUBSTITUTE(VLOOKUP($D348,素材!$1:$1016,COLUMN($F$1),FALSE), "・", 0)) + 1), 0)</f>
        <v>0</v>
      </c>
      <c r="BE348">
        <f>IF(ISNUMBER(SEARCH(SUBSTITUTE(BE$1,RIGHT(BE$1,2),""),VLOOKUP($D348,素材!$1:$1016,COLUMN($F$1),FALSE))),VLOOKUP($C348,武器!$1:$998,COLUMN($O$1),FALSE)*VLOOKUP($D348,素材!$1:$1016,COLUMN($E$1),FALSE)/(LEN(VLOOKUP($D348,素材!$1:$1016,COLUMN($F$1),FALSE)) - LEN(SUBSTITUTE(VLOOKUP($D348,素材!$1:$1016,COLUMN($F$1),FALSE), "・", 0)) + 1), 0)</f>
        <v>0</v>
      </c>
      <c r="CL348">
        <f>SUM(G348:I348)</f>
        <v>0</v>
      </c>
      <c r="CM348" s="22" t="str">
        <f>IF(E348="武器",IF(J348-1&gt;SUM(G348:I348),"盾",IF(MAX(G348:I348)=G348,"切断",IF(MAX(G348:I348)=H348,"貫通",IF(MAX(G348:I348)=I348,"打撃","射撃")))),E348)&amp;".webp"</f>
        <v>.webp</v>
      </c>
      <c r="CN348" t="str">
        <f>IFERROR(VLOOKUP($C348,武器!$1:$998,COLUMN(V$1),FALSE)*VLOOKUP($D348,素材!$1:$1016,COLUMN(N$1),FALSE)+IF(CI348="",0,VLOOKUP($CI348,装強!$1:$1008,COLUMN($CK$1),FALSE)),"")</f>
        <v/>
      </c>
      <c r="CO348" t="e">
        <f>VLOOKUP(D348,素材!$A:$O,COLUMN(素材!O$1),FALSE)</f>
        <v>#N/A</v>
      </c>
      <c r="CP348" t="e">
        <f>VLOOKUP(C348,武器!$A:$W,COLUMN(武器!W$1),FALSE)</f>
        <v>#N/A</v>
      </c>
      <c r="CR348" t="str">
        <f t="shared" si="35"/>
        <v>e_348</v>
      </c>
      <c r="CS348" t="e">
        <f t="shared" si="36"/>
        <v>#VALUE!</v>
      </c>
    </row>
    <row r="349" spans="1:97" collapsed="1" x14ac:dyDescent="0.4">
      <c r="D349" s="24"/>
      <c r="E349" t="str">
        <f>IFERROR(VLOOKUP(C349,武器!$1:$998,COLUMN(C$1),FALSE),"")</f>
        <v/>
      </c>
      <c r="F349" t="str">
        <f>IFERROR(ROUNDDOWN((VLOOKUP($C349,武器!$1:$998,COLUMN(D$1),FALSE)+IFERROR(VLOOKUP($CI349,装強!$1:$999,COLUMN(F$1),FALSE),0))*VLOOKUP($D349,素材!$1:$1016,COLUMN(D$1),FALSE),0),"")</f>
        <v/>
      </c>
      <c r="G349" t="str">
        <f>IFERROR(ROUNDDOWN((VLOOKUP($C349,武器!$1:$998,COLUMN(E$1),FALSE)+IFERROR(VLOOKUP($CI349,装強!$1:$999,COLUMN(G$1),FALSE),0))*VLOOKUP($D349,素材!$1:$1016,COLUMN($E$1),FALSE),0),"")</f>
        <v/>
      </c>
      <c r="H349" t="str">
        <f>IFERROR(ROUNDDOWN((VLOOKUP($C349,武器!$1:$998,COLUMN(F$1),FALSE)+IFERROR(VLOOKUP($CI349,装強!$1:$999,COLUMN(H$1),FALSE),0))*VLOOKUP($D349,素材!$1:$1016,COLUMN($E$1),FALSE),0),"")</f>
        <v/>
      </c>
      <c r="I349" t="str">
        <f>IFERROR(ROUNDDOWN((VLOOKUP($C349,武器!$1:$998,COLUMN(G$1),FALSE)+IFERROR(VLOOKUP($CI349,装強!$1:$999,COLUMN(I$1),FALSE),0))*VLOOKUP($D349,素材!$1:$1016,COLUMN($E$1),FALSE),0),"")</f>
        <v/>
      </c>
      <c r="J349" t="str">
        <f>IFERROR(ROUNDDOWN((VLOOKUP($C349,武器!$1:$998,COLUMN(H$1),FALSE)+IFERROR(VLOOKUP($CI349,装強!$1:$999,COLUMN(J$1),FALSE),0))*VLOOKUP($D349,素材!$1:$1016,COLUMN($E$1),FALSE),0),"")</f>
        <v/>
      </c>
      <c r="K349" t="str">
        <f>IFERROR(ROUNDDOWN((VLOOKUP($C349,武器!$1:$998,COLUMN(I$1),FALSE)+IFERROR(VLOOKUP($CI349,装強!$1:$999,COLUMN(K$1),FALSE),0))*VLOOKUP($D349,素材!$1:$1016,COLUMN($E$1),FALSE),0),"")</f>
        <v/>
      </c>
      <c r="L349" t="str">
        <f>IFERROR(VLOOKUP($D349,素材!$1:$1016,COLUMN($F$1),FALSE),"")</f>
        <v/>
      </c>
      <c r="M349" t="str">
        <f>IFERROR(VLOOKUP($C349,武器!$1:$998,COLUMN(AA$1),FALSE)*VLOOKUP($D349,素材!$1:$1016,COLUMN($G$1),FALSE),"")</f>
        <v/>
      </c>
      <c r="N349" t="str">
        <f>IFERROR(VLOOKUP($C349,武器!$1:$998,COLUMN(I$1),FALSE),"")</f>
        <v/>
      </c>
      <c r="O349" s="23" t="str">
        <f>IFERROR((VLOOKUP($C349,武器!$1:$998,COLUMN(K$1),FALSE)+VLOOKUP($D349,素材!$1:$1016,COLUMN(H$1),FALSE))*100+IFERROR(VLOOKUP($CI349,装強!$1:$999,COLUMN(O$1),FALSE),0),"")</f>
        <v/>
      </c>
      <c r="P349" s="23" t="str">
        <f>IFERROR((VLOOKUP($C349,武器!$1:$998,COLUMN(L$1),FALSE)+VLOOKUP($D349,素材!$1:$1016,COLUMN(I$1),FALSE))*100+IFERROR(VLOOKUP($CI349,装強!$1:$999,COLUMN(P$1),FALSE),0),"")</f>
        <v/>
      </c>
      <c r="Q349" t="str">
        <f>IFERROR(ROUNDUP(VLOOKUP($C349,武器!$1:$998,COLUMN(M$1),FALSE)*(VLOOKUP($D349,素材!$1:$1002,COLUMN(D$1),FALSE)/100),1),"")</f>
        <v/>
      </c>
      <c r="R349" t="str">
        <f>IFERROR(ROUNDUP(VLOOKUP($C349,武器!$1:$998,COLUMN(N$1),FALSE)*(VLOOKUP($D349,素材!$1:$1002,COLUMN(D$1),FALSE)/100),1),"")</f>
        <v/>
      </c>
      <c r="S349" t="str">
        <f>IFERROR(VLOOKUP($C349,武器!$1:$998,COLUMN(P$1),FALSE),"")</f>
        <v/>
      </c>
      <c r="T349" t="str">
        <f>IFERROR(VLOOKUP($C349,武器!$1:$998,COLUMN(Q$1),FALSE),"")</f>
        <v/>
      </c>
      <c r="U349" t="str">
        <f>IFERROR(VLOOKUP($C349,武器!$1:$998,COLUMN(R$1),FALSE),"")</f>
        <v/>
      </c>
      <c r="V349" t="str">
        <f>IFERROR(VLOOKUP($C349,武器!$1:$998,COLUMN(Q$1),FALSE),"")</f>
        <v/>
      </c>
      <c r="W349" t="str">
        <f>IFERROR(VLOOKUP($C349,武器!$1:$998,COLUMN(T$1),FALSE),"")</f>
        <v/>
      </c>
      <c r="Y349" t="str">
        <f>IFERROR(VLOOKUP($C349,武器!$1:$998,COLUMN(U$1),FALSE),"")</f>
        <v/>
      </c>
      <c r="Z349" t="str">
        <f>IFERROR(ROUNDUP(VLOOKUP($C349,武器!$1:$998,COLUMN(O$1),FALSE)*VLOOKUP($D349,素材!$1:$1016,COLUMN(E$1),FALSE),1),"")</f>
        <v/>
      </c>
      <c r="AA349">
        <f>IF(ISNUMBER(SEARCH(SUBSTITUTE(AA$1,RIGHT(AA$1,2),""),VLOOKUP($D349,素材!$1:$1016,COLUMN($F$1),FALSE))),VLOOKUP($C349,武器!$1:$998,COLUMN($O$1),FALSE)*VLOOKUP($D349,素材!$1:$1016,COLUMN($E$1),FALSE)/(LEN(VLOOKUP($D349,素材!$1:$1016,COLUMN($F$1),FALSE)) - LEN(SUBSTITUTE(VLOOKUP($D349,素材!$1:$1016,COLUMN($F$1),FALSE), "・", 0)) + 1), 0)</f>
        <v>0</v>
      </c>
      <c r="AB349">
        <f>IF(ISNUMBER(SEARCH(SUBSTITUTE(AB$1,RIGHT(AB$1,2),""),VLOOKUP($D349,素材!$1:$1016,COLUMN($F$1),FALSE))),VLOOKUP($C349,武器!$1:$998,COLUMN($O$1),FALSE)*VLOOKUP($D349,素材!$1:$1016,COLUMN($E$1),FALSE)/(LEN(VLOOKUP($D349,素材!$1:$1016,COLUMN($F$1),FALSE)) - LEN(SUBSTITUTE(VLOOKUP($D349,素材!$1:$1016,COLUMN($F$1),FALSE), "・", 0)) + 1), 0)</f>
        <v>0</v>
      </c>
      <c r="AC349">
        <f>IF(ISNUMBER(SEARCH(SUBSTITUTE(AC$1,RIGHT(AC$1,2),""),VLOOKUP($D349,素材!$1:$1016,COLUMN($F$1),FALSE))),VLOOKUP($C349,武器!$1:$998,COLUMN($O$1),FALSE)*VLOOKUP($D349,素材!$1:$1016,COLUMN($E$1),FALSE)/(LEN(VLOOKUP($D349,素材!$1:$1016,COLUMN($F$1),FALSE)) - LEN(SUBSTITUTE(VLOOKUP($D349,素材!$1:$1016,COLUMN($F$1),FALSE), "・", 0)) + 1), 0)</f>
        <v>0</v>
      </c>
      <c r="AD349">
        <f>IF(ISNUMBER(SEARCH(SUBSTITUTE(AD$1,RIGHT(AD$1,2),""),VLOOKUP($D349,素材!$1:$1016,COLUMN($F$1),FALSE))),VLOOKUP($C349,武器!$1:$998,COLUMN($O$1),FALSE)*VLOOKUP($D349,素材!$1:$1016,COLUMN($E$1),FALSE)/(LEN(VLOOKUP($D349,素材!$1:$1016,COLUMN($F$1),FALSE)) - LEN(SUBSTITUTE(VLOOKUP($D349,素材!$1:$1016,COLUMN($F$1),FALSE), "・", 0)) + 1), 0)</f>
        <v>0</v>
      </c>
      <c r="AE349">
        <f>IF(ISNUMBER(SEARCH(SUBSTITUTE(AE$1,RIGHT(AE$1,2),""),VLOOKUP($D349,素材!$1:$1016,COLUMN($F$1),FALSE))),VLOOKUP($C349,武器!$1:$998,COLUMN($O$1),FALSE)*VLOOKUP($D349,素材!$1:$1016,COLUMN($E$1),FALSE)/(LEN(VLOOKUP($D349,素材!$1:$1016,COLUMN($F$1),FALSE)) - LEN(SUBSTITUTE(VLOOKUP($D349,素材!$1:$1016,COLUMN($F$1),FALSE), "・", 0)) + 1), 0)</f>
        <v>0</v>
      </c>
      <c r="AF349">
        <f>IF(ISNUMBER(SEARCH(SUBSTITUTE(AF$1,RIGHT(AF$1,2),""),VLOOKUP($D349,素材!$1:$1016,COLUMN($F$1),FALSE))),VLOOKUP($C349,武器!$1:$998,COLUMN($O$1),FALSE)*VLOOKUP($D349,素材!$1:$1016,COLUMN($E$1),FALSE)/(LEN(VLOOKUP($D349,素材!$1:$1016,COLUMN($F$1),FALSE)) - LEN(SUBSTITUTE(VLOOKUP($D349,素材!$1:$1016,COLUMN($F$1),FALSE), "・", 0)) + 1), 0)</f>
        <v>0</v>
      </c>
      <c r="AG349">
        <f>IF(ISNUMBER(SEARCH(SUBSTITUTE(AG$1,RIGHT(AG$1,2),""),VLOOKUP($D349,素材!$1:$1016,COLUMN($F$1),FALSE))),VLOOKUP($C349,武器!$1:$998,COLUMN($O$1),FALSE)*VLOOKUP($D349,素材!$1:$1016,COLUMN($E$1),FALSE)/(LEN(VLOOKUP($D349,素材!$1:$1016,COLUMN($F$1),FALSE)) - LEN(SUBSTITUTE(VLOOKUP($D349,素材!$1:$1016,COLUMN($F$1),FALSE), "・", 0)) + 1), 0)</f>
        <v>0</v>
      </c>
      <c r="AH349">
        <f>IF(ISNUMBER(SEARCH(SUBSTITUTE(AH$1,RIGHT(AH$1,2),""),VLOOKUP($D349,素材!$1:$1016,COLUMN($F$1),FALSE))),VLOOKUP($C349,武器!$1:$998,COLUMN($O$1),FALSE)*VLOOKUP($D349,素材!$1:$1016,COLUMN($E$1),FALSE)/(LEN(VLOOKUP($D349,素材!$1:$1016,COLUMN($F$1),FALSE)) - LEN(SUBSTITUTE(VLOOKUP($D349,素材!$1:$1016,COLUMN($F$1),FALSE), "・", 0)) + 1), 0)</f>
        <v>0</v>
      </c>
      <c r="AI349">
        <f>IF(ISNUMBER(SEARCH(SUBSTITUTE(AI$1,RIGHT(AI$1,2),""),VLOOKUP($D349,素材!$1:$1016,COLUMN($F$1),FALSE))),VLOOKUP($C349,武器!$1:$998,COLUMN($O$1),FALSE)*VLOOKUP($D349,素材!$1:$1016,COLUMN($E$1),FALSE)/(LEN(VLOOKUP($D349,素材!$1:$1016,COLUMN($F$1),FALSE)) - LEN(SUBSTITUTE(VLOOKUP($D349,素材!$1:$1016,COLUMN($F$1),FALSE), "・", 0)) + 1), 0)</f>
        <v>0</v>
      </c>
      <c r="AJ349">
        <f>IF(ISNUMBER(SEARCH(SUBSTITUTE(AJ$1,RIGHT(AJ$1,2),""),VLOOKUP($D349,素材!$1:$1016,COLUMN($F$1),FALSE))),VLOOKUP($C349,武器!$1:$998,COLUMN($O$1),FALSE)*VLOOKUP($D349,素材!$1:$1016,COLUMN($E$1),FALSE)/(LEN(VLOOKUP($D349,素材!$1:$1016,COLUMN($F$1),FALSE)) - LEN(SUBSTITUTE(VLOOKUP($D349,素材!$1:$1016,COLUMN($F$1),FALSE), "・", 0)) + 1), 0)</f>
        <v>0</v>
      </c>
      <c r="AK349">
        <f>IF(ISNUMBER(SEARCH(SUBSTITUTE(AK$1,RIGHT(AK$1,2),""),VLOOKUP($D349,素材!$1:$1016,COLUMN($F$1),FALSE))),VLOOKUP($C349,武器!$1:$998,COLUMN($O$1),FALSE)*VLOOKUP($D349,素材!$1:$1016,COLUMN($E$1),FALSE)/(LEN(VLOOKUP($D349,素材!$1:$1016,COLUMN($F$1),FALSE)) - LEN(SUBSTITUTE(VLOOKUP($D349,素材!$1:$1016,COLUMN($F$1),FALSE), "・", 0)) + 1), 0)</f>
        <v>0</v>
      </c>
      <c r="AL349">
        <f>IF(ISNUMBER(SEARCH(SUBSTITUTE(AL$1,RIGHT(AL$1,2),""),VLOOKUP($D349,素材!$1:$1016,COLUMN($F$1),FALSE))),VLOOKUP($C349,武器!$1:$998,COLUMN($O$1),FALSE)*VLOOKUP($D349,素材!$1:$1016,COLUMN($E$1),FALSE)/(LEN(VLOOKUP($D349,素材!$1:$1016,COLUMN($F$1),FALSE)) - LEN(SUBSTITUTE(VLOOKUP($D349,素材!$1:$1016,COLUMN($F$1),FALSE), "・", 0)) + 1), 0)</f>
        <v>0</v>
      </c>
      <c r="AM349">
        <f>IF(ISNUMBER(SEARCH(SUBSTITUTE(AM$1,RIGHT(AM$1,2),""),VLOOKUP($D349,素材!$1:$1016,COLUMN($F$1),FALSE))),VLOOKUP($C349,武器!$1:$998,COLUMN($O$1),FALSE)*VLOOKUP($D349,素材!$1:$1016,COLUMN($E$1),FALSE)/(LEN(VLOOKUP($D349,素材!$1:$1016,COLUMN($F$1),FALSE)) - LEN(SUBSTITUTE(VLOOKUP($D349,素材!$1:$1016,COLUMN($F$1),FALSE), "・", 0)) + 1), 0)</f>
        <v>0</v>
      </c>
      <c r="AN349">
        <f>IF(ISNUMBER(SEARCH(SUBSTITUTE(AN$1,RIGHT(AN$1,2),""),VLOOKUP($D349,素材!$1:$1016,COLUMN($F$1),FALSE))),VLOOKUP($C349,武器!$1:$998,COLUMN($O$1),FALSE)*VLOOKUP($D349,素材!$1:$1016,COLUMN($E$1),FALSE)/(LEN(VLOOKUP($D349,素材!$1:$1016,COLUMN($F$1),FALSE)) - LEN(SUBSTITUTE(VLOOKUP($D349,素材!$1:$1016,COLUMN($F$1),FALSE), "・", 0)) + 1), 0)</f>
        <v>0</v>
      </c>
      <c r="AO349">
        <f>IF(ISNUMBER(SEARCH(SUBSTITUTE(AO$1,RIGHT(AO$1,2),""),VLOOKUP($D349,素材!$1:$1016,COLUMN($F$1),FALSE))),VLOOKUP($C349,武器!$1:$998,COLUMN($O$1),FALSE)*VLOOKUP($D349,素材!$1:$1016,COLUMN($E$1),FALSE)/(LEN(VLOOKUP($D349,素材!$1:$1016,COLUMN($F$1),FALSE)) - LEN(SUBSTITUTE(VLOOKUP($D349,素材!$1:$1016,COLUMN($F$1),FALSE), "・", 0)) + 1), 0)</f>
        <v>0</v>
      </c>
      <c r="AP349">
        <f>IF(ISNUMBER(SEARCH(SUBSTITUTE(AP$1,RIGHT(AP$1,2),""),VLOOKUP($D349,素材!$1:$1016,COLUMN($F$1),FALSE))),VLOOKUP($C349,武器!$1:$998,COLUMN($O$1),FALSE)*VLOOKUP($D349,素材!$1:$1016,COLUMN($E$1),FALSE)/(LEN(VLOOKUP($D349,素材!$1:$1016,COLUMN($F$1),FALSE)) - LEN(SUBSTITUTE(VLOOKUP($D349,素材!$1:$1016,COLUMN($F$1),FALSE), "・", 0)) + 1), 0)</f>
        <v>0</v>
      </c>
      <c r="AQ349">
        <f>IF(ISNUMBER(SEARCH(SUBSTITUTE(AQ$1,RIGHT(AQ$1,2),""),VLOOKUP($D349,素材!$1:$1016,COLUMN($F$1),FALSE))),VLOOKUP($C349,武器!$1:$998,COLUMN($O$1),FALSE)*VLOOKUP($D349,素材!$1:$1016,COLUMN($E$1),FALSE)/(LEN(VLOOKUP($D349,素材!$1:$1016,COLUMN($F$1),FALSE)) - LEN(SUBSTITUTE(VLOOKUP($D349,素材!$1:$1016,COLUMN($F$1),FALSE), "・", 0)) + 1), 0)</f>
        <v>0</v>
      </c>
      <c r="AR349">
        <f>IF(ISNUMBER(SEARCH(SUBSTITUTE(AR$1,RIGHT(AR$1,2),""),VLOOKUP($D349,素材!$1:$1016,COLUMN($F$1),FALSE))),VLOOKUP($C349,武器!$1:$998,COLUMN($O$1),FALSE)*VLOOKUP($D349,素材!$1:$1016,COLUMN($E$1),FALSE)/(LEN(VLOOKUP($D349,素材!$1:$1016,COLUMN($F$1),FALSE)) - LEN(SUBSTITUTE(VLOOKUP($D349,素材!$1:$1016,COLUMN($F$1),FALSE), "・", 0)) + 1), 0)</f>
        <v>0</v>
      </c>
      <c r="AS349">
        <f>IF(ISNUMBER(SEARCH(SUBSTITUTE(AS$1,RIGHT(AS$1,2),""),VLOOKUP($D349,素材!$1:$1016,COLUMN($F$1),FALSE))),VLOOKUP($C349,武器!$1:$998,COLUMN($O$1),FALSE)*VLOOKUP($D349,素材!$1:$1016,COLUMN($E$1),FALSE)/(LEN(VLOOKUP($D349,素材!$1:$1016,COLUMN($F$1),FALSE)) - LEN(SUBSTITUTE(VLOOKUP($D349,素材!$1:$1016,COLUMN($F$1),FALSE), "・", 0)) + 1), 0)</f>
        <v>0</v>
      </c>
      <c r="AT349">
        <f>IF(ISNUMBER(SEARCH(SUBSTITUTE(AT$1,RIGHT(AT$1,2),""),VLOOKUP($D349,素材!$1:$1016,COLUMN($F$1),FALSE))),VLOOKUP($C349,武器!$1:$998,COLUMN($O$1),FALSE)*VLOOKUP($D349,素材!$1:$1016,COLUMN($E$1),FALSE)/(LEN(VLOOKUP($D349,素材!$1:$1016,COLUMN($F$1),FALSE)) - LEN(SUBSTITUTE(VLOOKUP($D349,素材!$1:$1016,COLUMN($F$1),FALSE), "・", 0)) + 1), 0)</f>
        <v>0</v>
      </c>
      <c r="AU349">
        <f>IF(ISNUMBER(SEARCH(SUBSTITUTE(AU$1,RIGHT(AU$1,2),""),VLOOKUP($D349,素材!$1:$1016,COLUMN($F$1),FALSE))),VLOOKUP($C349,武器!$1:$998,COLUMN($O$1),FALSE)*VLOOKUP($D349,素材!$1:$1016,COLUMN($E$1),FALSE)/(LEN(VLOOKUP($D349,素材!$1:$1016,COLUMN($F$1),FALSE)) - LEN(SUBSTITUTE(VLOOKUP($D349,素材!$1:$1016,COLUMN($F$1),FALSE), "・", 0)) + 1), 0)</f>
        <v>0</v>
      </c>
      <c r="AV349">
        <f>IF(ISNUMBER(SEARCH(SUBSTITUTE(AV$1,RIGHT(AV$1,2),""),VLOOKUP($D349,素材!$1:$1016,COLUMN($F$1),FALSE))),VLOOKUP($C349,武器!$1:$998,COLUMN($O$1),FALSE)*VLOOKUP($D349,素材!$1:$1016,COLUMN($E$1),FALSE)/(LEN(VLOOKUP($D349,素材!$1:$1016,COLUMN($F$1),FALSE)) - LEN(SUBSTITUTE(VLOOKUP($D349,素材!$1:$1016,COLUMN($F$1),FALSE), "・", 0)) + 1), 0)</f>
        <v>0</v>
      </c>
      <c r="AW349">
        <f>IF(ISNUMBER(SEARCH(SUBSTITUTE(AW$1,RIGHT(AW$1,2),""),VLOOKUP($D349,素材!$1:$1016,COLUMN($F$1),FALSE))),VLOOKUP($C349,武器!$1:$998,COLUMN($O$1),FALSE)*VLOOKUP($D349,素材!$1:$1016,COLUMN($E$1),FALSE)/(LEN(VLOOKUP($D349,素材!$1:$1016,COLUMN($F$1),FALSE)) - LEN(SUBSTITUTE(VLOOKUP($D349,素材!$1:$1016,COLUMN($F$1),FALSE), "・", 0)) + 1), 0)</f>
        <v>0</v>
      </c>
      <c r="AX349">
        <f>IF(ISNUMBER(SEARCH(SUBSTITUTE(AX$1,RIGHT(AX$1,2),""),VLOOKUP($D349,素材!$1:$1016,COLUMN($F$1),FALSE))),VLOOKUP($C349,武器!$1:$998,COLUMN($O$1),FALSE)*VLOOKUP($D349,素材!$1:$1016,COLUMN($E$1),FALSE)/(LEN(VLOOKUP($D349,素材!$1:$1016,COLUMN($F$1),FALSE)) - LEN(SUBSTITUTE(VLOOKUP($D349,素材!$1:$1016,COLUMN($F$1),FALSE), "・", 0)) + 1), 0)</f>
        <v>0</v>
      </c>
      <c r="AY349">
        <f>IF(ISNUMBER(SEARCH(SUBSTITUTE(AY$1,RIGHT(AY$1,2),""),VLOOKUP($D349,素材!$1:$1016,COLUMN($F$1),FALSE))),VLOOKUP($C349,武器!$1:$998,COLUMN($O$1),FALSE)*VLOOKUP($D349,素材!$1:$1016,COLUMN($E$1),FALSE)/(LEN(VLOOKUP($D349,素材!$1:$1016,COLUMN($F$1),FALSE)) - LEN(SUBSTITUTE(VLOOKUP($D349,素材!$1:$1016,COLUMN($F$1),FALSE), "・", 0)) + 1), 0)</f>
        <v>0</v>
      </c>
      <c r="AZ349">
        <f>IF(ISNUMBER(SEARCH(SUBSTITUTE(AZ$1,RIGHT(AZ$1,2),""),VLOOKUP($D349,素材!$1:$1016,COLUMN($F$1),FALSE))),VLOOKUP($C349,武器!$1:$998,COLUMN($O$1),FALSE)*VLOOKUP($D349,素材!$1:$1016,COLUMN($E$1),FALSE)/(LEN(VLOOKUP($D349,素材!$1:$1016,COLUMN($F$1),FALSE)) - LEN(SUBSTITUTE(VLOOKUP($D349,素材!$1:$1016,COLUMN($F$1),FALSE), "・", 0)) + 1), 0)</f>
        <v>0</v>
      </c>
      <c r="BA349">
        <f>IF(ISNUMBER(SEARCH(SUBSTITUTE(BA$1,RIGHT(BA$1,2),""),VLOOKUP($D349,素材!$1:$1016,COLUMN($F$1),FALSE))),VLOOKUP($C349,武器!$1:$998,COLUMN($O$1),FALSE)*VLOOKUP($D349,素材!$1:$1016,COLUMN($E$1),FALSE)/(LEN(VLOOKUP($D349,素材!$1:$1016,COLUMN($F$1),FALSE)) - LEN(SUBSTITUTE(VLOOKUP($D349,素材!$1:$1016,COLUMN($F$1),FALSE), "・", 0)) + 1), 0)</f>
        <v>0</v>
      </c>
      <c r="BB349">
        <f>IF(ISNUMBER(SEARCH(SUBSTITUTE(BB$1,RIGHT(BB$1,2),""),VLOOKUP($D349,素材!$1:$1016,COLUMN($F$1),FALSE))),VLOOKUP($C349,武器!$1:$998,COLUMN($O$1),FALSE)*VLOOKUP($D349,素材!$1:$1016,COLUMN($E$1),FALSE)/(LEN(VLOOKUP($D349,素材!$1:$1016,COLUMN($F$1),FALSE)) - LEN(SUBSTITUTE(VLOOKUP($D349,素材!$1:$1016,COLUMN($F$1),FALSE), "・", 0)) + 1), 0)</f>
        <v>0</v>
      </c>
      <c r="BC349">
        <f>IF(ISNUMBER(SEARCH(SUBSTITUTE(BC$1,RIGHT(BC$1,2),""),VLOOKUP($D349,素材!$1:$1016,COLUMN($F$1),FALSE))),VLOOKUP($C349,武器!$1:$998,COLUMN($O$1),FALSE)*VLOOKUP($D349,素材!$1:$1016,COLUMN($E$1),FALSE)/(LEN(VLOOKUP($D349,素材!$1:$1016,COLUMN($F$1),FALSE)) - LEN(SUBSTITUTE(VLOOKUP($D349,素材!$1:$1016,COLUMN($F$1),FALSE), "・", 0)) + 1), 0)</f>
        <v>0</v>
      </c>
      <c r="BD349">
        <f>IF(ISNUMBER(SEARCH(SUBSTITUTE(BD$1,RIGHT(BD$1,2),""),VLOOKUP($D349,素材!$1:$1016,COLUMN($F$1),FALSE))),VLOOKUP($C349,武器!$1:$998,COLUMN($O$1),FALSE)*VLOOKUP($D349,素材!$1:$1016,COLUMN($E$1),FALSE)/(LEN(VLOOKUP($D349,素材!$1:$1016,COLUMN($F$1),FALSE)) - LEN(SUBSTITUTE(VLOOKUP($D349,素材!$1:$1016,COLUMN($F$1),FALSE), "・", 0)) + 1), 0)</f>
        <v>0</v>
      </c>
      <c r="BE349">
        <f>IF(ISNUMBER(SEARCH(SUBSTITUTE(BE$1,RIGHT(BE$1,2),""),VLOOKUP($D349,素材!$1:$1016,COLUMN($F$1),FALSE))),VLOOKUP($C349,武器!$1:$998,COLUMN($O$1),FALSE)*VLOOKUP($D349,素材!$1:$1016,COLUMN($E$1),FALSE)/(LEN(VLOOKUP($D349,素材!$1:$1016,COLUMN($F$1),FALSE)) - LEN(SUBSTITUTE(VLOOKUP($D349,素材!$1:$1016,COLUMN($F$1),FALSE), "・", 0)) + 1), 0)</f>
        <v>0</v>
      </c>
      <c r="CL349">
        <f>SUM(G349:I349)</f>
        <v>0</v>
      </c>
      <c r="CM349" s="22" t="str">
        <f>IF(E349="武器",IF(J349-1&gt;SUM(G349:I349),"盾",IF(MAX(G349:I349)=G349,"切断",IF(MAX(G349:I349)=H349,"貫通",IF(MAX(G349:I349)=I349,"打撃","射撃")))),E349)&amp;".webp"</f>
        <v>.webp</v>
      </c>
      <c r="CN349" t="str">
        <f>IFERROR(VLOOKUP($C349,武器!$1:$998,COLUMN(V$1),FALSE)*VLOOKUP($D349,素材!$1:$1016,COLUMN(N$1),FALSE)+IF(CI349="",0,VLOOKUP($CI349,装強!$1:$1008,COLUMN($CK$1),FALSE)),"")</f>
        <v/>
      </c>
      <c r="CO349" t="e">
        <f>VLOOKUP(D349,素材!$A:$O,COLUMN(素材!O$1),FALSE)</f>
        <v>#N/A</v>
      </c>
      <c r="CR349" t="str">
        <f t="shared" si="35"/>
        <v>e_349</v>
      </c>
      <c r="CS349" t="e">
        <f t="shared" si="36"/>
        <v>#VALUE!</v>
      </c>
    </row>
    <row r="350" spans="1:97" x14ac:dyDescent="0.4">
      <c r="D350" s="24"/>
      <c r="E350" t="str">
        <f>IFERROR(VLOOKUP(C350,武器!$1:$998,COLUMN(C$1),FALSE),"")</f>
        <v/>
      </c>
      <c r="F350" t="str">
        <f>IFERROR(ROUNDDOWN((VLOOKUP($C350,武器!$1:$998,COLUMN(D$1),FALSE)+IFERROR(VLOOKUP($CI350,装強!$1:$999,COLUMN(F$1),FALSE),0))*VLOOKUP($D350,素材!$1:$1016,COLUMN(D$1),FALSE),0),"")</f>
        <v/>
      </c>
      <c r="G350" t="str">
        <f>IFERROR(ROUNDDOWN((VLOOKUP($C350,武器!$1:$998,COLUMN(E$1),FALSE)+IFERROR(VLOOKUP($CI350,装強!$1:$999,COLUMN(G$1),FALSE),0))*VLOOKUP($D350,素材!$1:$1016,COLUMN($E$1),FALSE),0),"")</f>
        <v/>
      </c>
      <c r="H350" t="str">
        <f>IFERROR(ROUNDDOWN((VLOOKUP($C350,武器!$1:$998,COLUMN(F$1),FALSE)+IFERROR(VLOOKUP($CI350,装強!$1:$999,COLUMN(H$1),FALSE),0))*VLOOKUP($D350,素材!$1:$1016,COLUMN($E$1),FALSE),0),"")</f>
        <v/>
      </c>
      <c r="I350" t="str">
        <f>IFERROR(ROUNDDOWN((VLOOKUP($C350,武器!$1:$998,COLUMN(G$1),FALSE)+IFERROR(VLOOKUP($CI350,装強!$1:$999,COLUMN(I$1),FALSE),0))*VLOOKUP($D350,素材!$1:$1016,COLUMN($E$1),FALSE),0),"")</f>
        <v/>
      </c>
      <c r="J350" t="str">
        <f>IFERROR(ROUNDDOWN((VLOOKUP($C350,武器!$1:$998,COLUMN(H$1),FALSE)+IFERROR(VLOOKUP($CI350,装強!$1:$999,COLUMN(J$1),FALSE),0))*VLOOKUP($D350,素材!$1:$1016,COLUMN($E$1),FALSE),0),"")</f>
        <v/>
      </c>
      <c r="K350" t="str">
        <f>IFERROR(ROUNDDOWN((VLOOKUP($C350,武器!$1:$998,COLUMN(I$1),FALSE)+IFERROR(VLOOKUP($CI350,装強!$1:$999,COLUMN(K$1),FALSE),0))*VLOOKUP($D350,素材!$1:$1016,COLUMN($E$1),FALSE),0),"")</f>
        <v/>
      </c>
      <c r="L350" t="str">
        <f>IFERROR(VLOOKUP($D350,素材!$1:$1016,COLUMN($F$1),FALSE),"")</f>
        <v/>
      </c>
      <c r="M350" t="str">
        <f>IFERROR(VLOOKUP($C350,武器!$1:$998,COLUMN(AA$1),FALSE)*VLOOKUP($D350,素材!$1:$1016,COLUMN($G$1),FALSE),"")</f>
        <v/>
      </c>
      <c r="N350" t="str">
        <f>IFERROR(VLOOKUP($C350,武器!$1:$998,COLUMN(I$1),FALSE),"")</f>
        <v/>
      </c>
      <c r="O350" s="23" t="str">
        <f>IFERROR((VLOOKUP($C350,武器!$1:$998,COLUMN(K$1),FALSE)+VLOOKUP($D350,素材!$1:$1016,COLUMN(H$1),FALSE))*100+IFERROR(VLOOKUP($CI350,装強!$1:$999,COLUMN(O$1),FALSE),0),"")</f>
        <v/>
      </c>
      <c r="P350" s="23" t="str">
        <f>IFERROR((VLOOKUP($C350,武器!$1:$998,COLUMN(L$1),FALSE)+VLOOKUP($D350,素材!$1:$1016,COLUMN(I$1),FALSE))*100+IFERROR(VLOOKUP($CI350,装強!$1:$999,COLUMN(P$1),FALSE),0),"")</f>
        <v/>
      </c>
      <c r="Q350" t="str">
        <f>IFERROR(ROUNDUP(VLOOKUP($C350,武器!$1:$998,COLUMN(M$1),FALSE)*(VLOOKUP($D350,素材!$1:$1002,COLUMN(D$1),FALSE)/100),1),"")</f>
        <v/>
      </c>
      <c r="R350" t="str">
        <f>IFERROR(ROUNDUP(VLOOKUP($C350,武器!$1:$998,COLUMN(N$1),FALSE)*(VLOOKUP($D350,素材!$1:$1002,COLUMN(D$1),FALSE)/100),1),"")</f>
        <v/>
      </c>
      <c r="S350" t="str">
        <f>IFERROR(VLOOKUP($C350,武器!$1:$998,COLUMN(P$1),FALSE),"")</f>
        <v/>
      </c>
      <c r="T350" t="str">
        <f>IFERROR(VLOOKUP($C350,武器!$1:$998,COLUMN(Q$1),FALSE),"")</f>
        <v/>
      </c>
      <c r="U350" t="str">
        <f>IFERROR(VLOOKUP($C350,武器!$1:$998,COLUMN(R$1),FALSE),"")</f>
        <v/>
      </c>
      <c r="V350" t="str">
        <f>IFERROR(VLOOKUP($C350,武器!$1:$998,COLUMN(Q$1),FALSE),"")</f>
        <v/>
      </c>
      <c r="W350" t="str">
        <f>IFERROR(VLOOKUP($C350,武器!$1:$998,COLUMN(T$1),FALSE),"")</f>
        <v/>
      </c>
      <c r="Y350" t="str">
        <f>IFERROR(VLOOKUP($C350,武器!$1:$998,COLUMN(U$1),FALSE),"")</f>
        <v/>
      </c>
      <c r="Z350" t="str">
        <f>IFERROR(ROUNDUP(VLOOKUP($C350,武器!$1:$998,COLUMN(O$1),FALSE)*VLOOKUP($D350,素材!$1:$1016,COLUMN(E$1),FALSE),1),"")</f>
        <v/>
      </c>
      <c r="AA350">
        <f>IF(ISNUMBER(SEARCH(SUBSTITUTE(AA$1,RIGHT(AA$1,2),""),VLOOKUP($D350,素材!$1:$1016,COLUMN($F$1),FALSE))),VLOOKUP($C350,武器!$1:$998,COLUMN($O$1),FALSE)*VLOOKUP($D350,素材!$1:$1016,COLUMN($E$1),FALSE)/(LEN(VLOOKUP($D350,素材!$1:$1016,COLUMN($F$1),FALSE)) - LEN(SUBSTITUTE(VLOOKUP($D350,素材!$1:$1016,COLUMN($F$1),FALSE), "・", 0)) + 1), 0)</f>
        <v>0</v>
      </c>
      <c r="AB350">
        <f>IF(ISNUMBER(SEARCH(SUBSTITUTE(AB$1,RIGHT(AB$1,2),""),VLOOKUP($D350,素材!$1:$1016,COLUMN($F$1),FALSE))),VLOOKUP($C350,武器!$1:$998,COLUMN($O$1),FALSE)*VLOOKUP($D350,素材!$1:$1016,COLUMN($E$1),FALSE)/(LEN(VLOOKUP($D350,素材!$1:$1016,COLUMN($F$1),FALSE)) - LEN(SUBSTITUTE(VLOOKUP($D350,素材!$1:$1016,COLUMN($F$1),FALSE), "・", 0)) + 1), 0)</f>
        <v>0</v>
      </c>
      <c r="AC350">
        <f>IF(ISNUMBER(SEARCH(SUBSTITUTE(AC$1,RIGHT(AC$1,2),""),VLOOKUP($D350,素材!$1:$1016,COLUMN($F$1),FALSE))),VLOOKUP($C350,武器!$1:$998,COLUMN($O$1),FALSE)*VLOOKUP($D350,素材!$1:$1016,COLUMN($E$1),FALSE)/(LEN(VLOOKUP($D350,素材!$1:$1016,COLUMN($F$1),FALSE)) - LEN(SUBSTITUTE(VLOOKUP($D350,素材!$1:$1016,COLUMN($F$1),FALSE), "・", 0)) + 1), 0)</f>
        <v>0</v>
      </c>
      <c r="AD350">
        <f>IF(ISNUMBER(SEARCH(SUBSTITUTE(AD$1,RIGHT(AD$1,2),""),VLOOKUP($D350,素材!$1:$1016,COLUMN($F$1),FALSE))),VLOOKUP($C350,武器!$1:$998,COLUMN($O$1),FALSE)*VLOOKUP($D350,素材!$1:$1016,COLUMN($E$1),FALSE)/(LEN(VLOOKUP($D350,素材!$1:$1016,COLUMN($F$1),FALSE)) - LEN(SUBSTITUTE(VLOOKUP($D350,素材!$1:$1016,COLUMN($F$1),FALSE), "・", 0)) + 1), 0)</f>
        <v>0</v>
      </c>
      <c r="AE350">
        <f>IF(ISNUMBER(SEARCH(SUBSTITUTE(AE$1,RIGHT(AE$1,2),""),VLOOKUP($D350,素材!$1:$1016,COLUMN($F$1),FALSE))),VLOOKUP($C350,武器!$1:$998,COLUMN($O$1),FALSE)*VLOOKUP($D350,素材!$1:$1016,COLUMN($E$1),FALSE)/(LEN(VLOOKUP($D350,素材!$1:$1016,COLUMN($F$1),FALSE)) - LEN(SUBSTITUTE(VLOOKUP($D350,素材!$1:$1016,COLUMN($F$1),FALSE), "・", 0)) + 1), 0)</f>
        <v>0</v>
      </c>
      <c r="AF350">
        <f>IF(ISNUMBER(SEARCH(SUBSTITUTE(AF$1,RIGHT(AF$1,2),""),VLOOKUP($D350,素材!$1:$1016,COLUMN($F$1),FALSE))),VLOOKUP($C350,武器!$1:$998,COLUMN($O$1),FALSE)*VLOOKUP($D350,素材!$1:$1016,COLUMN($E$1),FALSE)/(LEN(VLOOKUP($D350,素材!$1:$1016,COLUMN($F$1),FALSE)) - LEN(SUBSTITUTE(VLOOKUP($D350,素材!$1:$1016,COLUMN($F$1),FALSE), "・", 0)) + 1), 0)</f>
        <v>0</v>
      </c>
      <c r="AG350">
        <f>IF(ISNUMBER(SEARCH(SUBSTITUTE(AG$1,RIGHT(AG$1,2),""),VLOOKUP($D350,素材!$1:$1016,COLUMN($F$1),FALSE))),VLOOKUP($C350,武器!$1:$998,COLUMN($O$1),FALSE)*VLOOKUP($D350,素材!$1:$1016,COLUMN($E$1),FALSE)/(LEN(VLOOKUP($D350,素材!$1:$1016,COLUMN($F$1),FALSE)) - LEN(SUBSTITUTE(VLOOKUP($D350,素材!$1:$1016,COLUMN($F$1),FALSE), "・", 0)) + 1), 0)</f>
        <v>0</v>
      </c>
      <c r="AH350">
        <f>IF(ISNUMBER(SEARCH(SUBSTITUTE(AH$1,RIGHT(AH$1,2),""),VLOOKUP($D350,素材!$1:$1016,COLUMN($F$1),FALSE))),VLOOKUP($C350,武器!$1:$998,COLUMN($O$1),FALSE)*VLOOKUP($D350,素材!$1:$1016,COLUMN($E$1),FALSE)/(LEN(VLOOKUP($D350,素材!$1:$1016,COLUMN($F$1),FALSE)) - LEN(SUBSTITUTE(VLOOKUP($D350,素材!$1:$1016,COLUMN($F$1),FALSE), "・", 0)) + 1), 0)</f>
        <v>0</v>
      </c>
      <c r="AI350">
        <f>IF(ISNUMBER(SEARCH(SUBSTITUTE(AI$1,RIGHT(AI$1,2),""),VLOOKUP($D350,素材!$1:$1016,COLUMN($F$1),FALSE))),VLOOKUP($C350,武器!$1:$998,COLUMN($O$1),FALSE)*VLOOKUP($D350,素材!$1:$1016,COLUMN($E$1),FALSE)/(LEN(VLOOKUP($D350,素材!$1:$1016,COLUMN($F$1),FALSE)) - LEN(SUBSTITUTE(VLOOKUP($D350,素材!$1:$1016,COLUMN($F$1),FALSE), "・", 0)) + 1), 0)</f>
        <v>0</v>
      </c>
      <c r="AJ350">
        <f>IF(ISNUMBER(SEARCH(SUBSTITUTE(AJ$1,RIGHT(AJ$1,2),""),VLOOKUP($D350,素材!$1:$1016,COLUMN($F$1),FALSE))),VLOOKUP($C350,武器!$1:$998,COLUMN($O$1),FALSE)*VLOOKUP($D350,素材!$1:$1016,COLUMN($E$1),FALSE)/(LEN(VLOOKUP($D350,素材!$1:$1016,COLUMN($F$1),FALSE)) - LEN(SUBSTITUTE(VLOOKUP($D350,素材!$1:$1016,COLUMN($F$1),FALSE), "・", 0)) + 1), 0)</f>
        <v>0</v>
      </c>
      <c r="AK350">
        <f>IF(ISNUMBER(SEARCH(SUBSTITUTE(AK$1,RIGHT(AK$1,2),""),VLOOKUP($D350,素材!$1:$1016,COLUMN($F$1),FALSE))),VLOOKUP($C350,武器!$1:$998,COLUMN($O$1),FALSE)*VLOOKUP($D350,素材!$1:$1016,COLUMN($E$1),FALSE)/(LEN(VLOOKUP($D350,素材!$1:$1016,COLUMN($F$1),FALSE)) - LEN(SUBSTITUTE(VLOOKUP($D350,素材!$1:$1016,COLUMN($F$1),FALSE), "・", 0)) + 1), 0)</f>
        <v>0</v>
      </c>
      <c r="AL350">
        <f>IF(ISNUMBER(SEARCH(SUBSTITUTE(AL$1,RIGHT(AL$1,2),""),VLOOKUP($D350,素材!$1:$1016,COLUMN($F$1),FALSE))),VLOOKUP($C350,武器!$1:$998,COLUMN($O$1),FALSE)*VLOOKUP($D350,素材!$1:$1016,COLUMN($E$1),FALSE)/(LEN(VLOOKUP($D350,素材!$1:$1016,COLUMN($F$1),FALSE)) - LEN(SUBSTITUTE(VLOOKUP($D350,素材!$1:$1016,COLUMN($F$1),FALSE), "・", 0)) + 1), 0)</f>
        <v>0</v>
      </c>
      <c r="AM350">
        <f>IF(ISNUMBER(SEARCH(SUBSTITUTE(AM$1,RIGHT(AM$1,2),""),VLOOKUP($D350,素材!$1:$1016,COLUMN($F$1),FALSE))),VLOOKUP($C350,武器!$1:$998,COLUMN($O$1),FALSE)*VLOOKUP($D350,素材!$1:$1016,COLUMN($E$1),FALSE)/(LEN(VLOOKUP($D350,素材!$1:$1016,COLUMN($F$1),FALSE)) - LEN(SUBSTITUTE(VLOOKUP($D350,素材!$1:$1016,COLUMN($F$1),FALSE), "・", 0)) + 1), 0)</f>
        <v>0</v>
      </c>
      <c r="AN350">
        <f>IF(ISNUMBER(SEARCH(SUBSTITUTE(AN$1,RIGHT(AN$1,2),""),VLOOKUP($D350,素材!$1:$1016,COLUMN($F$1),FALSE))),VLOOKUP($C350,武器!$1:$998,COLUMN($O$1),FALSE)*VLOOKUP($D350,素材!$1:$1016,COLUMN($E$1),FALSE)/(LEN(VLOOKUP($D350,素材!$1:$1016,COLUMN($F$1),FALSE)) - LEN(SUBSTITUTE(VLOOKUP($D350,素材!$1:$1016,COLUMN($F$1),FALSE), "・", 0)) + 1), 0)</f>
        <v>0</v>
      </c>
      <c r="AO350">
        <f>IF(ISNUMBER(SEARCH(SUBSTITUTE(AO$1,RIGHT(AO$1,2),""),VLOOKUP($D350,素材!$1:$1016,COLUMN($F$1),FALSE))),VLOOKUP($C350,武器!$1:$998,COLUMN($O$1),FALSE)*VLOOKUP($D350,素材!$1:$1016,COLUMN($E$1),FALSE)/(LEN(VLOOKUP($D350,素材!$1:$1016,COLUMN($F$1),FALSE)) - LEN(SUBSTITUTE(VLOOKUP($D350,素材!$1:$1016,COLUMN($F$1),FALSE), "・", 0)) + 1), 0)</f>
        <v>0</v>
      </c>
      <c r="AP350">
        <f>IF(ISNUMBER(SEARCH(SUBSTITUTE(AP$1,RIGHT(AP$1,2),""),VLOOKUP($D350,素材!$1:$1016,COLUMN($F$1),FALSE))),VLOOKUP($C350,武器!$1:$998,COLUMN($O$1),FALSE)*VLOOKUP($D350,素材!$1:$1016,COLUMN($E$1),FALSE)/(LEN(VLOOKUP($D350,素材!$1:$1016,COLUMN($F$1),FALSE)) - LEN(SUBSTITUTE(VLOOKUP($D350,素材!$1:$1016,COLUMN($F$1),FALSE), "・", 0)) + 1), 0)</f>
        <v>0</v>
      </c>
      <c r="AQ350">
        <f>IF(ISNUMBER(SEARCH(SUBSTITUTE(AQ$1,RIGHT(AQ$1,2),""),VLOOKUP($D350,素材!$1:$1016,COLUMN($F$1),FALSE))),VLOOKUP($C350,武器!$1:$998,COLUMN($O$1),FALSE)*VLOOKUP($D350,素材!$1:$1016,COLUMN($E$1),FALSE)/(LEN(VLOOKUP($D350,素材!$1:$1016,COLUMN($F$1),FALSE)) - LEN(SUBSTITUTE(VLOOKUP($D350,素材!$1:$1016,COLUMN($F$1),FALSE), "・", 0)) + 1), 0)</f>
        <v>0</v>
      </c>
      <c r="AR350">
        <f>IF(ISNUMBER(SEARCH(SUBSTITUTE(AR$1,RIGHT(AR$1,2),""),VLOOKUP($D350,素材!$1:$1016,COLUMN($F$1),FALSE))),VLOOKUP($C350,武器!$1:$998,COLUMN($O$1),FALSE)*VLOOKUP($D350,素材!$1:$1016,COLUMN($E$1),FALSE)/(LEN(VLOOKUP($D350,素材!$1:$1016,COLUMN($F$1),FALSE)) - LEN(SUBSTITUTE(VLOOKUP($D350,素材!$1:$1016,COLUMN($F$1),FALSE), "・", 0)) + 1), 0)</f>
        <v>0</v>
      </c>
      <c r="AS350">
        <f>IF(ISNUMBER(SEARCH(SUBSTITUTE(AS$1,RIGHT(AS$1,2),""),VLOOKUP($D350,素材!$1:$1016,COLUMN($F$1),FALSE))),VLOOKUP($C350,武器!$1:$998,COLUMN($O$1),FALSE)*VLOOKUP($D350,素材!$1:$1016,COLUMN($E$1),FALSE)/(LEN(VLOOKUP($D350,素材!$1:$1016,COLUMN($F$1),FALSE)) - LEN(SUBSTITUTE(VLOOKUP($D350,素材!$1:$1016,COLUMN($F$1),FALSE), "・", 0)) + 1), 0)</f>
        <v>0</v>
      </c>
      <c r="AT350">
        <f>IF(ISNUMBER(SEARCH(SUBSTITUTE(AT$1,RIGHT(AT$1,2),""),VLOOKUP($D350,素材!$1:$1016,COLUMN($F$1),FALSE))),VLOOKUP($C350,武器!$1:$998,COLUMN($O$1),FALSE)*VLOOKUP($D350,素材!$1:$1016,COLUMN($E$1),FALSE)/(LEN(VLOOKUP($D350,素材!$1:$1016,COLUMN($F$1),FALSE)) - LEN(SUBSTITUTE(VLOOKUP($D350,素材!$1:$1016,COLUMN($F$1),FALSE), "・", 0)) + 1), 0)</f>
        <v>0</v>
      </c>
      <c r="AU350">
        <f>IF(ISNUMBER(SEARCH(SUBSTITUTE(AU$1,RIGHT(AU$1,2),""),VLOOKUP($D350,素材!$1:$1016,COLUMN($F$1),FALSE))),VLOOKUP($C350,武器!$1:$998,COLUMN($O$1),FALSE)*VLOOKUP($D350,素材!$1:$1016,COLUMN($E$1),FALSE)/(LEN(VLOOKUP($D350,素材!$1:$1016,COLUMN($F$1),FALSE)) - LEN(SUBSTITUTE(VLOOKUP($D350,素材!$1:$1016,COLUMN($F$1),FALSE), "・", 0)) + 1), 0)</f>
        <v>0</v>
      </c>
      <c r="AV350">
        <f>IF(ISNUMBER(SEARCH(SUBSTITUTE(AV$1,RIGHT(AV$1,2),""),VLOOKUP($D350,素材!$1:$1016,COLUMN($F$1),FALSE))),VLOOKUP($C350,武器!$1:$998,COLUMN($O$1),FALSE)*VLOOKUP($D350,素材!$1:$1016,COLUMN($E$1),FALSE)/(LEN(VLOOKUP($D350,素材!$1:$1016,COLUMN($F$1),FALSE)) - LEN(SUBSTITUTE(VLOOKUP($D350,素材!$1:$1016,COLUMN($F$1),FALSE), "・", 0)) + 1), 0)</f>
        <v>0</v>
      </c>
      <c r="AW350">
        <f>IF(ISNUMBER(SEARCH(SUBSTITUTE(AW$1,RIGHT(AW$1,2),""),VLOOKUP($D350,素材!$1:$1016,COLUMN($F$1),FALSE))),VLOOKUP($C350,武器!$1:$998,COLUMN($O$1),FALSE)*VLOOKUP($D350,素材!$1:$1016,COLUMN($E$1),FALSE)/(LEN(VLOOKUP($D350,素材!$1:$1016,COLUMN($F$1),FALSE)) - LEN(SUBSTITUTE(VLOOKUP($D350,素材!$1:$1016,COLUMN($F$1),FALSE), "・", 0)) + 1), 0)</f>
        <v>0</v>
      </c>
      <c r="AX350">
        <f>IF(ISNUMBER(SEARCH(SUBSTITUTE(AX$1,RIGHT(AX$1,2),""),VLOOKUP($D350,素材!$1:$1016,COLUMN($F$1),FALSE))),VLOOKUP($C350,武器!$1:$998,COLUMN($O$1),FALSE)*VLOOKUP($D350,素材!$1:$1016,COLUMN($E$1),FALSE)/(LEN(VLOOKUP($D350,素材!$1:$1016,COLUMN($F$1),FALSE)) - LEN(SUBSTITUTE(VLOOKUP($D350,素材!$1:$1016,COLUMN($F$1),FALSE), "・", 0)) + 1), 0)</f>
        <v>0</v>
      </c>
      <c r="AY350">
        <f>IF(ISNUMBER(SEARCH(SUBSTITUTE(AY$1,RIGHT(AY$1,2),""),VLOOKUP($D350,素材!$1:$1016,COLUMN($F$1),FALSE))),VLOOKUP($C350,武器!$1:$998,COLUMN($O$1),FALSE)*VLOOKUP($D350,素材!$1:$1016,COLUMN($E$1),FALSE)/(LEN(VLOOKUP($D350,素材!$1:$1016,COLUMN($F$1),FALSE)) - LEN(SUBSTITUTE(VLOOKUP($D350,素材!$1:$1016,COLUMN($F$1),FALSE), "・", 0)) + 1), 0)</f>
        <v>0</v>
      </c>
      <c r="AZ350">
        <f>IF(ISNUMBER(SEARCH(SUBSTITUTE(AZ$1,RIGHT(AZ$1,2),""),VLOOKUP($D350,素材!$1:$1016,COLUMN($F$1),FALSE))),VLOOKUP($C350,武器!$1:$998,COLUMN($O$1),FALSE)*VLOOKUP($D350,素材!$1:$1016,COLUMN($E$1),FALSE)/(LEN(VLOOKUP($D350,素材!$1:$1016,COLUMN($F$1),FALSE)) - LEN(SUBSTITUTE(VLOOKUP($D350,素材!$1:$1016,COLUMN($F$1),FALSE), "・", 0)) + 1), 0)</f>
        <v>0</v>
      </c>
      <c r="BA350">
        <f>IF(ISNUMBER(SEARCH(SUBSTITUTE(BA$1,RIGHT(BA$1,2),""),VLOOKUP($D350,素材!$1:$1016,COLUMN($F$1),FALSE))),VLOOKUP($C350,武器!$1:$998,COLUMN($O$1),FALSE)*VLOOKUP($D350,素材!$1:$1016,COLUMN($E$1),FALSE)/(LEN(VLOOKUP($D350,素材!$1:$1016,COLUMN($F$1),FALSE)) - LEN(SUBSTITUTE(VLOOKUP($D350,素材!$1:$1016,COLUMN($F$1),FALSE), "・", 0)) + 1), 0)</f>
        <v>0</v>
      </c>
      <c r="BB350">
        <f>IF(ISNUMBER(SEARCH(SUBSTITUTE(BB$1,RIGHT(BB$1,2),""),VLOOKUP($D350,素材!$1:$1016,COLUMN($F$1),FALSE))),VLOOKUP($C350,武器!$1:$998,COLUMN($O$1),FALSE)*VLOOKUP($D350,素材!$1:$1016,COLUMN($E$1),FALSE)/(LEN(VLOOKUP($D350,素材!$1:$1016,COLUMN($F$1),FALSE)) - LEN(SUBSTITUTE(VLOOKUP($D350,素材!$1:$1016,COLUMN($F$1),FALSE), "・", 0)) + 1), 0)</f>
        <v>0</v>
      </c>
      <c r="BC350">
        <f>IF(ISNUMBER(SEARCH(SUBSTITUTE(BC$1,RIGHT(BC$1,2),""),VLOOKUP($D350,素材!$1:$1016,COLUMN($F$1),FALSE))),VLOOKUP($C350,武器!$1:$998,COLUMN($O$1),FALSE)*VLOOKUP($D350,素材!$1:$1016,COLUMN($E$1),FALSE)/(LEN(VLOOKUP($D350,素材!$1:$1016,COLUMN($F$1),FALSE)) - LEN(SUBSTITUTE(VLOOKUP($D350,素材!$1:$1016,COLUMN($F$1),FALSE), "・", 0)) + 1), 0)</f>
        <v>0</v>
      </c>
      <c r="BD350">
        <f>IF(ISNUMBER(SEARCH(SUBSTITUTE(BD$1,RIGHT(BD$1,2),""),VLOOKUP($D350,素材!$1:$1016,COLUMN($F$1),FALSE))),VLOOKUP($C350,武器!$1:$998,COLUMN($O$1),FALSE)*VLOOKUP($D350,素材!$1:$1016,COLUMN($E$1),FALSE)/(LEN(VLOOKUP($D350,素材!$1:$1016,COLUMN($F$1),FALSE)) - LEN(SUBSTITUTE(VLOOKUP($D350,素材!$1:$1016,COLUMN($F$1),FALSE), "・", 0)) + 1), 0)</f>
        <v>0</v>
      </c>
      <c r="BE350">
        <f>IF(ISNUMBER(SEARCH(SUBSTITUTE(BE$1,RIGHT(BE$1,2),""),VLOOKUP($D350,素材!$1:$1016,COLUMN($F$1),FALSE))),VLOOKUP($C350,武器!$1:$998,COLUMN($O$1),FALSE)*VLOOKUP($D350,素材!$1:$1016,COLUMN($E$1),FALSE)/(LEN(VLOOKUP($D350,素材!$1:$1016,COLUMN($F$1),FALSE)) - LEN(SUBSTITUTE(VLOOKUP($D350,素材!$1:$1016,COLUMN($F$1),FALSE), "・", 0)) + 1), 0)</f>
        <v>0</v>
      </c>
      <c r="CL350">
        <f>SUM(G350:I350)</f>
        <v>0</v>
      </c>
      <c r="CM350" s="22" t="str">
        <f>IF(E350="武器",IF(J350-1&gt;SUM(G350:I350),"盾",IF(MAX(G350:I350)=G350,"切断",IF(MAX(G350:I350)=H350,"貫通",IF(MAX(G350:I350)=I350,"打撃","射撃")))),E350)&amp;".webp"</f>
        <v>.webp</v>
      </c>
      <c r="CN350" t="str">
        <f>IFERROR(VLOOKUP($C350,武器!$1:$998,COLUMN(V$1),FALSE)*VLOOKUP($D350,素材!$1:$1016,COLUMN(N$1),FALSE)+IF(CI350="",0,VLOOKUP($CI350,装強!$1:$1008,COLUMN($CK$1),FALSE)),"")</f>
        <v/>
      </c>
      <c r="CO350" t="e">
        <f>VLOOKUP(D350,素材!$A:$O,COLUMN(素材!O$1),FALSE)</f>
        <v>#N/A</v>
      </c>
      <c r="CR350" t="str">
        <f t="shared" si="35"/>
        <v>e_350</v>
      </c>
      <c r="CS350" t="e">
        <f t="shared" si="36"/>
        <v>#VALUE!</v>
      </c>
    </row>
    <row r="351" spans="1:97" x14ac:dyDescent="0.4">
      <c r="A351" t="str">
        <f t="shared" ref="A351:A362" si="37">D351&amp;"の"&amp;C351</f>
        <v>銀鉄の鎧</v>
      </c>
      <c r="B351" t="str">
        <f>IFERROR(VLOOKUP($D351,素材!$1:$1016,COLUMN($B$1),FALSE)&amp;"・"&amp;VLOOKUP($C351,武器!$1:$998,COLUMN(B$1),FALSE),"")</f>
        <v>ミスリル・アーマー</v>
      </c>
      <c r="C351" t="s">
        <v>198</v>
      </c>
      <c r="D351" s="24" t="s">
        <v>201</v>
      </c>
      <c r="E351" t="str">
        <f>IFERROR(VLOOKUP(C351,武器!$1:$998,COLUMN(C$1),FALSE),"")</f>
        <v>体</v>
      </c>
      <c r="F351">
        <f>IFERROR(ROUNDDOWN((VLOOKUP($C351,武器!$1:$998,COLUMN(D$1),FALSE)+IFERROR(VLOOKUP($CI351,装強!$1:$999,COLUMN(F$1),FALSE),0))*VLOOKUP($D351,素材!$1:$1016,COLUMN(D$1),FALSE),0),"")</f>
        <v>0</v>
      </c>
      <c r="G351">
        <f>IFERROR(ROUNDDOWN((VLOOKUP($C351,武器!$1:$998,COLUMN(E$1),FALSE)+IFERROR(VLOOKUP($CI351,装強!$1:$999,COLUMN(G$1),FALSE),0))*VLOOKUP($D351,素材!$1:$1016,COLUMN($E$1),FALSE),0),"")</f>
        <v>0</v>
      </c>
      <c r="H351">
        <f>IFERROR(ROUNDDOWN((VLOOKUP($C351,武器!$1:$998,COLUMN(F$1),FALSE)+IFERROR(VLOOKUP($CI351,装強!$1:$999,COLUMN(H$1),FALSE),0))*VLOOKUP($D351,素材!$1:$1016,COLUMN($E$1),FALSE),0),"")</f>
        <v>0</v>
      </c>
      <c r="I351">
        <f>IFERROR(ROUNDDOWN((VLOOKUP($C351,武器!$1:$998,COLUMN(G$1),FALSE)+IFERROR(VLOOKUP($CI351,装強!$1:$999,COLUMN(I$1),FALSE),0))*VLOOKUP($D351,素材!$1:$1016,COLUMN($E$1),FALSE),0),"")</f>
        <v>0</v>
      </c>
      <c r="J351">
        <f>IFERROR(ROUNDDOWN((VLOOKUP($C351,武器!$1:$998,COLUMN(H$1),FALSE)+IFERROR(VLOOKUP($CI351,装強!$1:$999,COLUMN(J$1),FALSE),0))*VLOOKUP($D351,素材!$1:$1016,COLUMN($E$1),FALSE),0),"")</f>
        <v>0</v>
      </c>
      <c r="K351">
        <f>IFERROR(ROUNDDOWN((VLOOKUP($C351,武器!$1:$998,COLUMN(I$1),FALSE)+IFERROR(VLOOKUP($CI351,装強!$1:$999,COLUMN(K$1),FALSE),0))*VLOOKUP($D351,素材!$1:$1016,COLUMN($E$1),FALSE),0),"")</f>
        <v>0</v>
      </c>
      <c r="L351">
        <f>IFERROR(VLOOKUP($D351,素材!$1:$1016,COLUMN($F$1),FALSE),"")</f>
        <v>0</v>
      </c>
      <c r="M351">
        <f>IFERROR(VLOOKUP($C351,武器!$1:$998,COLUMN(AA$1),FALSE)*VLOOKUP($D351,素材!$1:$1016,COLUMN($G$1),FALSE),"")</f>
        <v>0</v>
      </c>
      <c r="N351">
        <f>IFERROR(VLOOKUP($C351,武器!$1:$998,COLUMN(I$1),FALSE),"")</f>
        <v>0</v>
      </c>
      <c r="O351" s="23">
        <f>IFERROR((VLOOKUP($C351,武器!$1:$998,COLUMN(K$1),FALSE)+VLOOKUP($D351,素材!$1:$1016,COLUMN(H$1),FALSE))*100+IFERROR(VLOOKUP($CI351,装強!$1:$999,COLUMN(O$1),FALSE),0),"")</f>
        <v>2</v>
      </c>
      <c r="P351" s="23">
        <f>IFERROR((VLOOKUP($C351,武器!$1:$998,COLUMN(L$1),FALSE)+VLOOKUP($D351,素材!$1:$1016,COLUMN(I$1),FALSE))*100+IFERROR(VLOOKUP($CI351,装強!$1:$999,COLUMN(P$1),FALSE),0),"")</f>
        <v>5</v>
      </c>
      <c r="Q351">
        <f>IFERROR(ROUNDUP(VLOOKUP($C351,武器!$1:$998,COLUMN(M$1),FALSE)*(VLOOKUP($D351,素材!$1:$1002,COLUMN(D$1),FALSE)/100),1),"")</f>
        <v>-9.7999999999999989</v>
      </c>
      <c r="R351">
        <f>IFERROR(ROUNDUP(VLOOKUP($C351,武器!$1:$998,COLUMN(N$1),FALSE)*(VLOOKUP($D351,素材!$1:$1002,COLUMN(D$1),FALSE)/100),1),"")</f>
        <v>0</v>
      </c>
      <c r="S351">
        <f>IFERROR(VLOOKUP($C351,武器!$1:$998,COLUMN(P$1),FALSE),"")</f>
        <v>0</v>
      </c>
      <c r="T351">
        <f>IFERROR(VLOOKUP($C351,武器!$1:$998,COLUMN(Q$1),FALSE),"")</f>
        <v>0</v>
      </c>
      <c r="U351">
        <f>IFERROR(VLOOKUP($C351,武器!$1:$998,COLUMN(R$1),FALSE),"")</f>
        <v>0</v>
      </c>
      <c r="V351">
        <f>IFERROR(VLOOKUP($C351,武器!$1:$998,COLUMN(Q$1),FALSE),"")</f>
        <v>0</v>
      </c>
      <c r="W351">
        <f>IFERROR(VLOOKUP($C351,武器!$1:$998,COLUMN(T$1),FALSE),"")</f>
        <v>0</v>
      </c>
      <c r="Y351">
        <f>IFERROR(VLOOKUP($C351,武器!$1:$998,COLUMN(U$1),FALSE),"")</f>
        <v>0</v>
      </c>
      <c r="Z351">
        <f>IFERROR(ROUNDUP(VLOOKUP($C351,武器!$1:$998,COLUMN(O$1),FALSE)*VLOOKUP($D351,素材!$1:$1016,COLUMN(E$1),FALSE),1),"")</f>
        <v>17.5</v>
      </c>
      <c r="AA351">
        <f>IF(ISNUMBER(SEARCH(SUBSTITUTE(AA$1,RIGHT(AA$1,2),""),VLOOKUP($D351,素材!$1:$1016,COLUMN($F$1),FALSE))),VLOOKUP($C351,武器!$1:$998,COLUMN($O$1),FALSE)*VLOOKUP($D351,素材!$1:$1016,COLUMN($E$1),FALSE)/(LEN(VLOOKUP($D351,素材!$1:$1016,COLUMN($F$1),FALSE)) - LEN(SUBSTITUTE(VLOOKUP($D351,素材!$1:$1016,COLUMN($F$1),FALSE), "・", 0)) + 1), 0)</f>
        <v>0</v>
      </c>
      <c r="AB351">
        <f>IF(ISNUMBER(SEARCH(SUBSTITUTE(AB$1,RIGHT(AB$1,2),""),VLOOKUP($D351,素材!$1:$1016,COLUMN($F$1),FALSE))),VLOOKUP($C351,武器!$1:$998,COLUMN($O$1),FALSE)*VLOOKUP($D351,素材!$1:$1016,COLUMN($E$1),FALSE)/(LEN(VLOOKUP($D351,素材!$1:$1016,COLUMN($F$1),FALSE)) - LEN(SUBSTITUTE(VLOOKUP($D351,素材!$1:$1016,COLUMN($F$1),FALSE), "・", 0)) + 1), 0)</f>
        <v>0</v>
      </c>
      <c r="AC351">
        <f>IF(ISNUMBER(SEARCH(SUBSTITUTE(AC$1,RIGHT(AC$1,2),""),VLOOKUP($D351,素材!$1:$1016,COLUMN($F$1),FALSE))),VLOOKUP($C351,武器!$1:$998,COLUMN($O$1),FALSE)*VLOOKUP($D351,素材!$1:$1016,COLUMN($E$1),FALSE)/(LEN(VLOOKUP($D351,素材!$1:$1016,COLUMN($F$1),FALSE)) - LEN(SUBSTITUTE(VLOOKUP($D351,素材!$1:$1016,COLUMN($F$1),FALSE), "・", 0)) + 1), 0)</f>
        <v>0</v>
      </c>
      <c r="AD351">
        <f>IF(ISNUMBER(SEARCH(SUBSTITUTE(AD$1,RIGHT(AD$1,2),""),VLOOKUP($D351,素材!$1:$1016,COLUMN($F$1),FALSE))),VLOOKUP($C351,武器!$1:$998,COLUMN($O$1),FALSE)*VLOOKUP($D351,素材!$1:$1016,COLUMN($E$1),FALSE)/(LEN(VLOOKUP($D351,素材!$1:$1016,COLUMN($F$1),FALSE)) - LEN(SUBSTITUTE(VLOOKUP($D351,素材!$1:$1016,COLUMN($F$1),FALSE), "・", 0)) + 1), 0)</f>
        <v>0</v>
      </c>
      <c r="AE351">
        <f>IF(ISNUMBER(SEARCH(SUBSTITUTE(AE$1,RIGHT(AE$1,2),""),VLOOKUP($D351,素材!$1:$1016,COLUMN($F$1),FALSE))),VLOOKUP($C351,武器!$1:$998,COLUMN($O$1),FALSE)*VLOOKUP($D351,素材!$1:$1016,COLUMN($E$1),FALSE)/(LEN(VLOOKUP($D351,素材!$1:$1016,COLUMN($F$1),FALSE)) - LEN(SUBSTITUTE(VLOOKUP($D351,素材!$1:$1016,COLUMN($F$1),FALSE), "・", 0)) + 1), 0)</f>
        <v>0</v>
      </c>
      <c r="AF351">
        <f>IF(ISNUMBER(SEARCH(SUBSTITUTE(AF$1,RIGHT(AF$1,2),""),VLOOKUP($D351,素材!$1:$1016,COLUMN($F$1),FALSE))),VLOOKUP($C351,武器!$1:$998,COLUMN($O$1),FALSE)*VLOOKUP($D351,素材!$1:$1016,COLUMN($E$1),FALSE)/(LEN(VLOOKUP($D351,素材!$1:$1016,COLUMN($F$1),FALSE)) - LEN(SUBSTITUTE(VLOOKUP($D351,素材!$1:$1016,COLUMN($F$1),FALSE), "・", 0)) + 1), 0)</f>
        <v>0</v>
      </c>
      <c r="AG351">
        <f>IF(ISNUMBER(SEARCH(SUBSTITUTE(AG$1,RIGHT(AG$1,2),""),VLOOKUP($D351,素材!$1:$1016,COLUMN($F$1),FALSE))),VLOOKUP($C351,武器!$1:$998,COLUMN($O$1),FALSE)*VLOOKUP($D351,素材!$1:$1016,COLUMN($E$1),FALSE)/(LEN(VLOOKUP($D351,素材!$1:$1016,COLUMN($F$1),FALSE)) - LEN(SUBSTITUTE(VLOOKUP($D351,素材!$1:$1016,COLUMN($F$1),FALSE), "・", 0)) + 1), 0)</f>
        <v>0</v>
      </c>
      <c r="AH351">
        <f>IF(ISNUMBER(SEARCH(SUBSTITUTE(AH$1,RIGHT(AH$1,2),""),VLOOKUP($D351,素材!$1:$1016,COLUMN($F$1),FALSE))),VLOOKUP($C351,武器!$1:$998,COLUMN($O$1),FALSE)*VLOOKUP($D351,素材!$1:$1016,COLUMN($E$1),FALSE)/(LEN(VLOOKUP($D351,素材!$1:$1016,COLUMN($F$1),FALSE)) - LEN(SUBSTITUTE(VLOOKUP($D351,素材!$1:$1016,COLUMN($F$1),FALSE), "・", 0)) + 1), 0)</f>
        <v>0</v>
      </c>
      <c r="AI351">
        <f>IF(ISNUMBER(SEARCH(SUBSTITUTE(AI$1,RIGHT(AI$1,2),""),VLOOKUP($D351,素材!$1:$1016,COLUMN($F$1),FALSE))),VLOOKUP($C351,武器!$1:$998,COLUMN($O$1),FALSE)*VLOOKUP($D351,素材!$1:$1016,COLUMN($E$1),FALSE)/(LEN(VLOOKUP($D351,素材!$1:$1016,COLUMN($F$1),FALSE)) - LEN(SUBSTITUTE(VLOOKUP($D351,素材!$1:$1016,COLUMN($F$1),FALSE), "・", 0)) + 1), 0)</f>
        <v>0</v>
      </c>
      <c r="AJ351">
        <f>IF(ISNUMBER(SEARCH(SUBSTITUTE(AJ$1,RIGHT(AJ$1,2),""),VLOOKUP($D351,素材!$1:$1016,COLUMN($F$1),FALSE))),VLOOKUP($C351,武器!$1:$998,COLUMN($O$1),FALSE)*VLOOKUP($D351,素材!$1:$1016,COLUMN($E$1),FALSE)/(LEN(VLOOKUP($D351,素材!$1:$1016,COLUMN($F$1),FALSE)) - LEN(SUBSTITUTE(VLOOKUP($D351,素材!$1:$1016,COLUMN($F$1),FALSE), "・", 0)) + 1), 0)</f>
        <v>0</v>
      </c>
      <c r="AK351">
        <f>IF(ISNUMBER(SEARCH(SUBSTITUTE(AK$1,RIGHT(AK$1,2),""),VLOOKUP($D351,素材!$1:$1016,COLUMN($F$1),FALSE))),VLOOKUP($C351,武器!$1:$998,COLUMN($O$1),FALSE)*VLOOKUP($D351,素材!$1:$1016,COLUMN($E$1),FALSE)/(LEN(VLOOKUP($D351,素材!$1:$1016,COLUMN($F$1),FALSE)) - LEN(SUBSTITUTE(VLOOKUP($D351,素材!$1:$1016,COLUMN($F$1),FALSE), "・", 0)) + 1), 0)</f>
        <v>0</v>
      </c>
      <c r="AL351">
        <f>IF(ISNUMBER(SEARCH(SUBSTITUTE(AL$1,RIGHT(AL$1,2),""),VLOOKUP($D351,素材!$1:$1016,COLUMN($F$1),FALSE))),VLOOKUP($C351,武器!$1:$998,COLUMN($O$1),FALSE)*VLOOKUP($D351,素材!$1:$1016,COLUMN($E$1),FALSE)/(LEN(VLOOKUP($D351,素材!$1:$1016,COLUMN($F$1),FALSE)) - LEN(SUBSTITUTE(VLOOKUP($D351,素材!$1:$1016,COLUMN($F$1),FALSE), "・", 0)) + 1), 0)</f>
        <v>0</v>
      </c>
      <c r="AM351">
        <f>IF(ISNUMBER(SEARCH(SUBSTITUTE(AM$1,RIGHT(AM$1,2),""),VLOOKUP($D351,素材!$1:$1016,COLUMN($F$1),FALSE))),VLOOKUP($C351,武器!$1:$998,COLUMN($O$1),FALSE)*VLOOKUP($D351,素材!$1:$1016,COLUMN($E$1),FALSE)/(LEN(VLOOKUP($D351,素材!$1:$1016,COLUMN($F$1),FALSE)) - LEN(SUBSTITUTE(VLOOKUP($D351,素材!$1:$1016,COLUMN($F$1),FALSE), "・", 0)) + 1), 0)</f>
        <v>0</v>
      </c>
      <c r="AN351">
        <f>IF(ISNUMBER(SEARCH(SUBSTITUTE(AN$1,RIGHT(AN$1,2),""),VLOOKUP($D351,素材!$1:$1016,COLUMN($F$1),FALSE))),VLOOKUP($C351,武器!$1:$998,COLUMN($O$1),FALSE)*VLOOKUP($D351,素材!$1:$1016,COLUMN($E$1),FALSE)/(LEN(VLOOKUP($D351,素材!$1:$1016,COLUMN($F$1),FALSE)) - LEN(SUBSTITUTE(VLOOKUP($D351,素材!$1:$1016,COLUMN($F$1),FALSE), "・", 0)) + 1), 0)</f>
        <v>0</v>
      </c>
      <c r="AO351">
        <f>IF(ISNUMBER(SEARCH(SUBSTITUTE(AO$1,RIGHT(AO$1,2),""),VLOOKUP($D351,素材!$1:$1016,COLUMN($F$1),FALSE))),VLOOKUP($C351,武器!$1:$998,COLUMN($O$1),FALSE)*VLOOKUP($D351,素材!$1:$1016,COLUMN($E$1),FALSE)/(LEN(VLOOKUP($D351,素材!$1:$1016,COLUMN($F$1),FALSE)) - LEN(SUBSTITUTE(VLOOKUP($D351,素材!$1:$1016,COLUMN($F$1),FALSE), "・", 0)) + 1), 0)</f>
        <v>0</v>
      </c>
      <c r="AP351">
        <f>IF(ISNUMBER(SEARCH(SUBSTITUTE(AP$1,RIGHT(AP$1,2),""),VLOOKUP($D351,素材!$1:$1016,COLUMN($F$1),FALSE))),VLOOKUP($C351,武器!$1:$998,COLUMN($O$1),FALSE)*VLOOKUP($D351,素材!$1:$1016,COLUMN($E$1),FALSE)/(LEN(VLOOKUP($D351,素材!$1:$1016,COLUMN($F$1),FALSE)) - LEN(SUBSTITUTE(VLOOKUP($D351,素材!$1:$1016,COLUMN($F$1),FALSE), "・", 0)) + 1), 0)</f>
        <v>0</v>
      </c>
      <c r="AQ351">
        <f>IF(ISNUMBER(SEARCH(SUBSTITUTE(AQ$1,RIGHT(AQ$1,2),""),VLOOKUP($D351,素材!$1:$1016,COLUMN($F$1),FALSE))),VLOOKUP($C351,武器!$1:$998,COLUMN($O$1),FALSE)*VLOOKUP($D351,素材!$1:$1016,COLUMN($E$1),FALSE)/(LEN(VLOOKUP($D351,素材!$1:$1016,COLUMN($F$1),FALSE)) - LEN(SUBSTITUTE(VLOOKUP($D351,素材!$1:$1016,COLUMN($F$1),FALSE), "・", 0)) + 1), 0)</f>
        <v>0</v>
      </c>
      <c r="AR351">
        <f>IF(ISNUMBER(SEARCH(SUBSTITUTE(AR$1,RIGHT(AR$1,2),""),VLOOKUP($D351,素材!$1:$1016,COLUMN($F$1),FALSE))),VLOOKUP($C351,武器!$1:$998,COLUMN($O$1),FALSE)*VLOOKUP($D351,素材!$1:$1016,COLUMN($E$1),FALSE)/(LEN(VLOOKUP($D351,素材!$1:$1016,COLUMN($F$1),FALSE)) - LEN(SUBSTITUTE(VLOOKUP($D351,素材!$1:$1016,COLUMN($F$1),FALSE), "・", 0)) + 1), 0)</f>
        <v>0</v>
      </c>
      <c r="AS351">
        <f>IF(ISNUMBER(SEARCH(SUBSTITUTE(AS$1,RIGHT(AS$1,2),""),VLOOKUP($D351,素材!$1:$1016,COLUMN($F$1),FALSE))),VLOOKUP($C351,武器!$1:$998,COLUMN($O$1),FALSE)*VLOOKUP($D351,素材!$1:$1016,COLUMN($E$1),FALSE)/(LEN(VLOOKUP($D351,素材!$1:$1016,COLUMN($F$1),FALSE)) - LEN(SUBSTITUTE(VLOOKUP($D351,素材!$1:$1016,COLUMN($F$1),FALSE), "・", 0)) + 1), 0)</f>
        <v>0</v>
      </c>
      <c r="AT351">
        <f>IF(ISNUMBER(SEARCH(SUBSTITUTE(AT$1,RIGHT(AT$1,2),""),VLOOKUP($D351,素材!$1:$1016,COLUMN($F$1),FALSE))),VLOOKUP($C351,武器!$1:$998,COLUMN($O$1),FALSE)*VLOOKUP($D351,素材!$1:$1016,COLUMN($E$1),FALSE)/(LEN(VLOOKUP($D351,素材!$1:$1016,COLUMN($F$1),FALSE)) - LEN(SUBSTITUTE(VLOOKUP($D351,素材!$1:$1016,COLUMN($F$1),FALSE), "・", 0)) + 1), 0)</f>
        <v>0</v>
      </c>
      <c r="AU351">
        <f>IF(ISNUMBER(SEARCH(SUBSTITUTE(AU$1,RIGHT(AU$1,2),""),VLOOKUP($D351,素材!$1:$1016,COLUMN($F$1),FALSE))),VLOOKUP($C351,武器!$1:$998,COLUMN($O$1),FALSE)*VLOOKUP($D351,素材!$1:$1016,COLUMN($E$1),FALSE)/(LEN(VLOOKUP($D351,素材!$1:$1016,COLUMN($F$1),FALSE)) - LEN(SUBSTITUTE(VLOOKUP($D351,素材!$1:$1016,COLUMN($F$1),FALSE), "・", 0)) + 1), 0)</f>
        <v>0</v>
      </c>
      <c r="AV351">
        <f>IF(ISNUMBER(SEARCH(SUBSTITUTE(AV$1,RIGHT(AV$1,2),""),VLOOKUP($D351,素材!$1:$1016,COLUMN($F$1),FALSE))),VLOOKUP($C351,武器!$1:$998,COLUMN($O$1),FALSE)*VLOOKUP($D351,素材!$1:$1016,COLUMN($E$1),FALSE)/(LEN(VLOOKUP($D351,素材!$1:$1016,COLUMN($F$1),FALSE)) - LEN(SUBSTITUTE(VLOOKUP($D351,素材!$1:$1016,COLUMN($F$1),FALSE), "・", 0)) + 1), 0)</f>
        <v>0</v>
      </c>
      <c r="AW351">
        <f>IF(ISNUMBER(SEARCH(SUBSTITUTE(AW$1,RIGHT(AW$1,2),""),VLOOKUP($D351,素材!$1:$1016,COLUMN($F$1),FALSE))),VLOOKUP($C351,武器!$1:$998,COLUMN($O$1),FALSE)*VLOOKUP($D351,素材!$1:$1016,COLUMN($E$1),FALSE)/(LEN(VLOOKUP($D351,素材!$1:$1016,COLUMN($F$1),FALSE)) - LEN(SUBSTITUTE(VLOOKUP($D351,素材!$1:$1016,COLUMN($F$1),FALSE), "・", 0)) + 1), 0)</f>
        <v>0</v>
      </c>
      <c r="AX351">
        <f>IF(ISNUMBER(SEARCH(SUBSTITUTE(AX$1,RIGHT(AX$1,2),""),VLOOKUP($D351,素材!$1:$1016,COLUMN($F$1),FALSE))),VLOOKUP($C351,武器!$1:$998,COLUMN($O$1),FALSE)*VLOOKUP($D351,素材!$1:$1016,COLUMN($E$1),FALSE)/(LEN(VLOOKUP($D351,素材!$1:$1016,COLUMN($F$1),FALSE)) - LEN(SUBSTITUTE(VLOOKUP($D351,素材!$1:$1016,COLUMN($F$1),FALSE), "・", 0)) + 1), 0)</f>
        <v>0</v>
      </c>
      <c r="AY351">
        <f>IF(ISNUMBER(SEARCH(SUBSTITUTE(AY$1,RIGHT(AY$1,2),""),VLOOKUP($D351,素材!$1:$1016,COLUMN($F$1),FALSE))),VLOOKUP($C351,武器!$1:$998,COLUMN($O$1),FALSE)*VLOOKUP($D351,素材!$1:$1016,COLUMN($E$1),FALSE)/(LEN(VLOOKUP($D351,素材!$1:$1016,COLUMN($F$1),FALSE)) - LEN(SUBSTITUTE(VLOOKUP($D351,素材!$1:$1016,COLUMN($F$1),FALSE), "・", 0)) + 1), 0)</f>
        <v>0</v>
      </c>
      <c r="AZ351">
        <f>IF(ISNUMBER(SEARCH(SUBSTITUTE(AZ$1,RIGHT(AZ$1,2),""),VLOOKUP($D351,素材!$1:$1016,COLUMN($F$1),FALSE))),VLOOKUP($C351,武器!$1:$998,COLUMN($O$1),FALSE)*VLOOKUP($D351,素材!$1:$1016,COLUMN($E$1),FALSE)/(LEN(VLOOKUP($D351,素材!$1:$1016,COLUMN($F$1),FALSE)) - LEN(SUBSTITUTE(VLOOKUP($D351,素材!$1:$1016,COLUMN($F$1),FALSE), "・", 0)) + 1), 0)</f>
        <v>0</v>
      </c>
      <c r="BA351">
        <f>IF(ISNUMBER(SEARCH(SUBSTITUTE(BA$1,RIGHT(BA$1,2),""),VLOOKUP($D351,素材!$1:$1016,COLUMN($F$1),FALSE))),VLOOKUP($C351,武器!$1:$998,COLUMN($O$1),FALSE)*VLOOKUP($D351,素材!$1:$1016,COLUMN($E$1),FALSE)/(LEN(VLOOKUP($D351,素材!$1:$1016,COLUMN($F$1),FALSE)) - LEN(SUBSTITUTE(VLOOKUP($D351,素材!$1:$1016,COLUMN($F$1),FALSE), "・", 0)) + 1), 0)</f>
        <v>0</v>
      </c>
      <c r="BB351">
        <f>IF(ISNUMBER(SEARCH(SUBSTITUTE(BB$1,RIGHT(BB$1,2),""),VLOOKUP($D351,素材!$1:$1016,COLUMN($F$1),FALSE))),VLOOKUP($C351,武器!$1:$998,COLUMN($O$1),FALSE)*VLOOKUP($D351,素材!$1:$1016,COLUMN($E$1),FALSE)/(LEN(VLOOKUP($D351,素材!$1:$1016,COLUMN($F$1),FALSE)) - LEN(SUBSTITUTE(VLOOKUP($D351,素材!$1:$1016,COLUMN($F$1),FALSE), "・", 0)) + 1), 0)</f>
        <v>0</v>
      </c>
      <c r="BC351">
        <f>IF(ISNUMBER(SEARCH(SUBSTITUTE(BC$1,RIGHT(BC$1,2),""),VLOOKUP($D351,素材!$1:$1016,COLUMN($F$1),FALSE))),VLOOKUP($C351,武器!$1:$998,COLUMN($O$1),FALSE)*VLOOKUP($D351,素材!$1:$1016,COLUMN($E$1),FALSE)/(LEN(VLOOKUP($D351,素材!$1:$1016,COLUMN($F$1),FALSE)) - LEN(SUBSTITUTE(VLOOKUP($D351,素材!$1:$1016,COLUMN($F$1),FALSE), "・", 0)) + 1), 0)</f>
        <v>0</v>
      </c>
      <c r="BD351">
        <f>IF(ISNUMBER(SEARCH(SUBSTITUTE(BD$1,RIGHT(BD$1,2),""),VLOOKUP($D351,素材!$1:$1016,COLUMN($F$1),FALSE))),VLOOKUP($C351,武器!$1:$998,COLUMN($O$1),FALSE)*VLOOKUP($D351,素材!$1:$1016,COLUMN($E$1),FALSE)/(LEN(VLOOKUP($D351,素材!$1:$1016,COLUMN($F$1),FALSE)) - LEN(SUBSTITUTE(VLOOKUP($D351,素材!$1:$1016,COLUMN($F$1),FALSE), "・", 0)) + 1), 0)</f>
        <v>0</v>
      </c>
      <c r="BE351">
        <f>IF(ISNUMBER(SEARCH(SUBSTITUTE(BE$1,RIGHT(BE$1,2),""),VLOOKUP($D351,素材!$1:$1016,COLUMN($F$1),FALSE))),VLOOKUP($C351,武器!$1:$998,COLUMN($O$1),FALSE)*VLOOKUP($D351,素材!$1:$1016,COLUMN($E$1),FALSE)/(LEN(VLOOKUP($D351,素材!$1:$1016,COLUMN($F$1),FALSE)) - LEN(SUBSTITUTE(VLOOKUP($D351,素材!$1:$1016,COLUMN($F$1),FALSE), "・", 0)) + 1), 0)</f>
        <v>0</v>
      </c>
      <c r="CL351">
        <f>SUM(G351:I351)</f>
        <v>0</v>
      </c>
      <c r="CM351" s="22" t="str">
        <f>IF(E351="武器",IF(J351-1&gt;SUM(G351:I351),"盾",IF(MAX(G351:I351)=G351,"切断",IF(MAX(G351:I351)=H351,"貫通",IF(MAX(G351:I351)=I351,"打撃","射撃")))),E351)&amp;".webp"</f>
        <v>体.webp</v>
      </c>
      <c r="CN351">
        <f>IFERROR(VLOOKUP($C351,武器!$1:$998,COLUMN(V$1),FALSE)*VLOOKUP($D351,素材!$1:$1016,COLUMN(N$1),FALSE)+IF(CI351="",0,VLOOKUP($CI351,装強!$1:$1008,COLUMN($CK$1),FALSE)),"")</f>
        <v>12000</v>
      </c>
      <c r="CO351">
        <f>VLOOKUP(D351,素材!$A:$O,COLUMN(素材!O$1),FALSE)</f>
        <v>0</v>
      </c>
      <c r="CP351" t="str">
        <f>VLOOKUP(C351,武器!$A:$W,COLUMN(武器!W$1),FALSE)</f>
        <v>HP 物理 魔法 体幹 出血 疲労 Cr</v>
      </c>
      <c r="CR351" t="str">
        <f t="shared" si="35"/>
        <v>e_351</v>
      </c>
      <c r="CS351">
        <f t="shared" si="36"/>
        <v>1200000</v>
      </c>
    </row>
    <row r="352" spans="1:97" outlineLevel="1" x14ac:dyDescent="0.4">
      <c r="A352" t="str">
        <f t="shared" si="37"/>
        <v>金鉄の鎧</v>
      </c>
      <c r="B352" t="str">
        <f>IFERROR(VLOOKUP($D352,素材!$1:$1016,COLUMN($B$1),FALSE)&amp;"・"&amp;VLOOKUP($C352,武器!$1:$998,COLUMN(B$1),FALSE),"")</f>
        <v>オリハルコン・アーマー</v>
      </c>
      <c r="C352" t="s">
        <v>198</v>
      </c>
      <c r="D352" s="24" t="s">
        <v>200</v>
      </c>
      <c r="E352" t="str">
        <f>IFERROR(VLOOKUP(C352,武器!$1:$998,COLUMN(C$1),FALSE),"")</f>
        <v>体</v>
      </c>
      <c r="F352">
        <f>IFERROR(ROUNDDOWN((VLOOKUP($C352,武器!$1:$998,COLUMN(D$1),FALSE)+IFERROR(VLOOKUP($CI352,装強!$1:$999,COLUMN(F$1),FALSE),0))*VLOOKUP($D352,素材!$1:$1016,COLUMN(D$1),FALSE),0),"")</f>
        <v>0</v>
      </c>
      <c r="G352">
        <f>IFERROR(ROUNDDOWN((VLOOKUP($C352,武器!$1:$998,COLUMN(E$1),FALSE)+IFERROR(VLOOKUP($CI352,装強!$1:$999,COLUMN(G$1),FALSE),0))*VLOOKUP($D352,素材!$1:$1016,COLUMN($E$1),FALSE),0),"")</f>
        <v>0</v>
      </c>
      <c r="H352">
        <f>IFERROR(ROUNDDOWN((VLOOKUP($C352,武器!$1:$998,COLUMN(F$1),FALSE)+IFERROR(VLOOKUP($CI352,装強!$1:$999,COLUMN(H$1),FALSE),0))*VLOOKUP($D352,素材!$1:$1016,COLUMN($E$1),FALSE),0),"")</f>
        <v>0</v>
      </c>
      <c r="I352">
        <f>IFERROR(ROUNDDOWN((VLOOKUP($C352,武器!$1:$998,COLUMN(G$1),FALSE)+IFERROR(VLOOKUP($CI352,装強!$1:$999,COLUMN(I$1),FALSE),0))*VLOOKUP($D352,素材!$1:$1016,COLUMN($E$1),FALSE),0),"")</f>
        <v>0</v>
      </c>
      <c r="J352">
        <f>IFERROR(ROUNDDOWN((VLOOKUP($C352,武器!$1:$998,COLUMN(H$1),FALSE)+IFERROR(VLOOKUP($CI352,装強!$1:$999,COLUMN(J$1),FALSE),0))*VLOOKUP($D352,素材!$1:$1016,COLUMN($E$1),FALSE),0),"")</f>
        <v>0</v>
      </c>
      <c r="K352">
        <f>IFERROR(ROUNDDOWN((VLOOKUP($C352,武器!$1:$998,COLUMN(I$1),FALSE)+IFERROR(VLOOKUP($CI352,装強!$1:$999,COLUMN(K$1),FALSE),0))*VLOOKUP($D352,素材!$1:$1016,COLUMN($E$1),FALSE),0),"")</f>
        <v>0</v>
      </c>
      <c r="L352" t="str">
        <f>IFERROR(VLOOKUP($D352,素材!$1:$1016,COLUMN($F$1),FALSE),"")</f>
        <v>魔法</v>
      </c>
      <c r="M352">
        <f>IFERROR(VLOOKUP($C352,武器!$1:$998,COLUMN(AA$1),FALSE)*VLOOKUP($D352,素材!$1:$1016,COLUMN($G$1),FALSE),"")</f>
        <v>0</v>
      </c>
      <c r="N352">
        <f>IFERROR(VLOOKUP($C352,武器!$1:$998,COLUMN(I$1),FALSE),"")</f>
        <v>0</v>
      </c>
      <c r="O352" s="23">
        <f>IFERROR((VLOOKUP($C352,武器!$1:$998,COLUMN(K$1),FALSE)+VLOOKUP($D352,素材!$1:$1016,COLUMN(H$1),FALSE))*100+IFERROR(VLOOKUP($CI352,装強!$1:$999,COLUMN(O$1),FALSE),0),"")</f>
        <v>2</v>
      </c>
      <c r="P352" s="23">
        <f>IFERROR((VLOOKUP($C352,武器!$1:$998,COLUMN(L$1),FALSE)+VLOOKUP($D352,素材!$1:$1016,COLUMN(I$1),FALSE))*100+IFERROR(VLOOKUP($CI352,装強!$1:$999,COLUMN(P$1),FALSE),0),"")</f>
        <v>5</v>
      </c>
      <c r="Q352">
        <f>IFERROR(ROUNDUP(VLOOKUP($C352,武器!$1:$998,COLUMN(M$1),FALSE)*(VLOOKUP($D352,素材!$1:$1002,COLUMN(D$1),FALSE)/100),1),"")</f>
        <v>-15</v>
      </c>
      <c r="R352">
        <f>IFERROR(ROUNDUP(VLOOKUP($C352,武器!$1:$998,COLUMN(N$1),FALSE)*(VLOOKUP($D352,素材!$1:$1002,COLUMN(D$1),FALSE)/100),1),"")</f>
        <v>0</v>
      </c>
      <c r="S352">
        <f>IFERROR(VLOOKUP($C352,武器!$1:$998,COLUMN(P$1),FALSE),"")</f>
        <v>0</v>
      </c>
      <c r="T352">
        <f>IFERROR(VLOOKUP($C352,武器!$1:$998,COLUMN(Q$1),FALSE),"")</f>
        <v>0</v>
      </c>
      <c r="U352">
        <f>IFERROR(VLOOKUP($C352,武器!$1:$998,COLUMN(R$1),FALSE),"")</f>
        <v>0</v>
      </c>
      <c r="V352">
        <f>IFERROR(VLOOKUP($C352,武器!$1:$998,COLUMN(Q$1),FALSE),"")</f>
        <v>0</v>
      </c>
      <c r="W352">
        <f>IFERROR(VLOOKUP($C352,武器!$1:$998,COLUMN(T$1),FALSE),"")</f>
        <v>0</v>
      </c>
      <c r="Y352">
        <f>IFERROR(VLOOKUP($C352,武器!$1:$998,COLUMN(U$1),FALSE),"")</f>
        <v>0</v>
      </c>
      <c r="Z352">
        <f>IFERROR(ROUNDUP(VLOOKUP($C352,武器!$1:$998,COLUMN(O$1),FALSE)*VLOOKUP($D352,素材!$1:$1016,COLUMN(E$1),FALSE),1),"")</f>
        <v>24.5</v>
      </c>
      <c r="AA352">
        <f>IF(ISNUMBER(SEARCH(SUBSTITUTE(AA$1,RIGHT(AA$1,2),""),VLOOKUP($D352,素材!$1:$1016,COLUMN($F$1),FALSE))),VLOOKUP($C352,武器!$1:$998,COLUMN($O$1),FALSE)*VLOOKUP($D352,素材!$1:$1016,COLUMN($E$1),FALSE)/(LEN(VLOOKUP($D352,素材!$1:$1016,COLUMN($F$1),FALSE)) - LEN(SUBSTITUTE(VLOOKUP($D352,素材!$1:$1016,COLUMN($F$1),FALSE), "・", 0)) + 1), 0)</f>
        <v>24.5</v>
      </c>
      <c r="AB352">
        <f>IF(ISNUMBER(SEARCH(SUBSTITUTE(AB$1,RIGHT(AB$1,2),""),VLOOKUP($D352,素材!$1:$1016,COLUMN($F$1),FALSE))),VLOOKUP($C352,武器!$1:$998,COLUMN($O$1),FALSE)*VLOOKUP($D352,素材!$1:$1016,COLUMN($E$1),FALSE)/(LEN(VLOOKUP($D352,素材!$1:$1016,COLUMN($F$1),FALSE)) - LEN(SUBSTITUTE(VLOOKUP($D352,素材!$1:$1016,COLUMN($F$1),FALSE), "・", 0)) + 1), 0)</f>
        <v>0</v>
      </c>
      <c r="AC352">
        <f>IF(ISNUMBER(SEARCH(SUBSTITUTE(AC$1,RIGHT(AC$1,2),""),VLOOKUP($D352,素材!$1:$1016,COLUMN($F$1),FALSE))),VLOOKUP($C352,武器!$1:$998,COLUMN($O$1),FALSE)*VLOOKUP($D352,素材!$1:$1016,COLUMN($E$1),FALSE)/(LEN(VLOOKUP($D352,素材!$1:$1016,COLUMN($F$1),FALSE)) - LEN(SUBSTITUTE(VLOOKUP($D352,素材!$1:$1016,COLUMN($F$1),FALSE), "・", 0)) + 1), 0)</f>
        <v>0</v>
      </c>
      <c r="AD352">
        <f>IF(ISNUMBER(SEARCH(SUBSTITUTE(AD$1,RIGHT(AD$1,2),""),VLOOKUP($D352,素材!$1:$1016,COLUMN($F$1),FALSE))),VLOOKUP($C352,武器!$1:$998,COLUMN($O$1),FALSE)*VLOOKUP($D352,素材!$1:$1016,COLUMN($E$1),FALSE)/(LEN(VLOOKUP($D352,素材!$1:$1016,COLUMN($F$1),FALSE)) - LEN(SUBSTITUTE(VLOOKUP($D352,素材!$1:$1016,COLUMN($F$1),FALSE), "・", 0)) + 1), 0)</f>
        <v>0</v>
      </c>
      <c r="AE352">
        <f>IF(ISNUMBER(SEARCH(SUBSTITUTE(AE$1,RIGHT(AE$1,2),""),VLOOKUP($D352,素材!$1:$1016,COLUMN($F$1),FALSE))),VLOOKUP($C352,武器!$1:$998,COLUMN($O$1),FALSE)*VLOOKUP($D352,素材!$1:$1016,COLUMN($E$1),FALSE)/(LEN(VLOOKUP($D352,素材!$1:$1016,COLUMN($F$1),FALSE)) - LEN(SUBSTITUTE(VLOOKUP($D352,素材!$1:$1016,COLUMN($F$1),FALSE), "・", 0)) + 1), 0)</f>
        <v>0</v>
      </c>
      <c r="AF352">
        <f>IF(ISNUMBER(SEARCH(SUBSTITUTE(AF$1,RIGHT(AF$1,2),""),VLOOKUP($D352,素材!$1:$1016,COLUMN($F$1),FALSE))),VLOOKUP($C352,武器!$1:$998,COLUMN($O$1),FALSE)*VLOOKUP($D352,素材!$1:$1016,COLUMN($E$1),FALSE)/(LEN(VLOOKUP($D352,素材!$1:$1016,COLUMN($F$1),FALSE)) - LEN(SUBSTITUTE(VLOOKUP($D352,素材!$1:$1016,COLUMN($F$1),FALSE), "・", 0)) + 1), 0)</f>
        <v>0</v>
      </c>
      <c r="AG352">
        <f>IF(ISNUMBER(SEARCH(SUBSTITUTE(AG$1,RIGHT(AG$1,2),""),VLOOKUP($D352,素材!$1:$1016,COLUMN($F$1),FALSE))),VLOOKUP($C352,武器!$1:$998,COLUMN($O$1),FALSE)*VLOOKUP($D352,素材!$1:$1016,COLUMN($E$1),FALSE)/(LEN(VLOOKUP($D352,素材!$1:$1016,COLUMN($F$1),FALSE)) - LEN(SUBSTITUTE(VLOOKUP($D352,素材!$1:$1016,COLUMN($F$1),FALSE), "・", 0)) + 1), 0)</f>
        <v>0</v>
      </c>
      <c r="AH352">
        <f>IF(ISNUMBER(SEARCH(SUBSTITUTE(AH$1,RIGHT(AH$1,2),""),VLOOKUP($D352,素材!$1:$1016,COLUMN($F$1),FALSE))),VLOOKUP($C352,武器!$1:$998,COLUMN($O$1),FALSE)*VLOOKUP($D352,素材!$1:$1016,COLUMN($E$1),FALSE)/(LEN(VLOOKUP($D352,素材!$1:$1016,COLUMN($F$1),FALSE)) - LEN(SUBSTITUTE(VLOOKUP($D352,素材!$1:$1016,COLUMN($F$1),FALSE), "・", 0)) + 1), 0)</f>
        <v>0</v>
      </c>
      <c r="AI352">
        <f>IF(ISNUMBER(SEARCH(SUBSTITUTE(AI$1,RIGHT(AI$1,2),""),VLOOKUP($D352,素材!$1:$1016,COLUMN($F$1),FALSE))),VLOOKUP($C352,武器!$1:$998,COLUMN($O$1),FALSE)*VLOOKUP($D352,素材!$1:$1016,COLUMN($E$1),FALSE)/(LEN(VLOOKUP($D352,素材!$1:$1016,COLUMN($F$1),FALSE)) - LEN(SUBSTITUTE(VLOOKUP($D352,素材!$1:$1016,COLUMN($F$1),FALSE), "・", 0)) + 1), 0)</f>
        <v>0</v>
      </c>
      <c r="AJ352">
        <f>IF(ISNUMBER(SEARCH(SUBSTITUTE(AJ$1,RIGHT(AJ$1,2),""),VLOOKUP($D352,素材!$1:$1016,COLUMN($F$1),FALSE))),VLOOKUP($C352,武器!$1:$998,COLUMN($O$1),FALSE)*VLOOKUP($D352,素材!$1:$1016,COLUMN($E$1),FALSE)/(LEN(VLOOKUP($D352,素材!$1:$1016,COLUMN($F$1),FALSE)) - LEN(SUBSTITUTE(VLOOKUP($D352,素材!$1:$1016,COLUMN($F$1),FALSE), "・", 0)) + 1), 0)</f>
        <v>0</v>
      </c>
      <c r="AK352">
        <f>IF(ISNUMBER(SEARCH(SUBSTITUTE(AK$1,RIGHT(AK$1,2),""),VLOOKUP($D352,素材!$1:$1016,COLUMN($F$1),FALSE))),VLOOKUP($C352,武器!$1:$998,COLUMN($O$1),FALSE)*VLOOKUP($D352,素材!$1:$1016,COLUMN($E$1),FALSE)/(LEN(VLOOKUP($D352,素材!$1:$1016,COLUMN($F$1),FALSE)) - LEN(SUBSTITUTE(VLOOKUP($D352,素材!$1:$1016,COLUMN($F$1),FALSE), "・", 0)) + 1), 0)</f>
        <v>0</v>
      </c>
      <c r="AL352">
        <f>IF(ISNUMBER(SEARCH(SUBSTITUTE(AL$1,RIGHT(AL$1,2),""),VLOOKUP($D352,素材!$1:$1016,COLUMN($F$1),FALSE))),VLOOKUP($C352,武器!$1:$998,COLUMN($O$1),FALSE)*VLOOKUP($D352,素材!$1:$1016,COLUMN($E$1),FALSE)/(LEN(VLOOKUP($D352,素材!$1:$1016,COLUMN($F$1),FALSE)) - LEN(SUBSTITUTE(VLOOKUP($D352,素材!$1:$1016,COLUMN($F$1),FALSE), "・", 0)) + 1), 0)</f>
        <v>0</v>
      </c>
      <c r="AM352">
        <f>IF(ISNUMBER(SEARCH(SUBSTITUTE(AM$1,RIGHT(AM$1,2),""),VLOOKUP($D352,素材!$1:$1016,COLUMN($F$1),FALSE))),VLOOKUP($C352,武器!$1:$998,COLUMN($O$1),FALSE)*VLOOKUP($D352,素材!$1:$1016,COLUMN($E$1),FALSE)/(LEN(VLOOKUP($D352,素材!$1:$1016,COLUMN($F$1),FALSE)) - LEN(SUBSTITUTE(VLOOKUP($D352,素材!$1:$1016,COLUMN($F$1),FALSE), "・", 0)) + 1), 0)</f>
        <v>0</v>
      </c>
      <c r="AN352">
        <f>IF(ISNUMBER(SEARCH(SUBSTITUTE(AN$1,RIGHT(AN$1,2),""),VLOOKUP($D352,素材!$1:$1016,COLUMN($F$1),FALSE))),VLOOKUP($C352,武器!$1:$998,COLUMN($O$1),FALSE)*VLOOKUP($D352,素材!$1:$1016,COLUMN($E$1),FALSE)/(LEN(VLOOKUP($D352,素材!$1:$1016,COLUMN($F$1),FALSE)) - LEN(SUBSTITUTE(VLOOKUP($D352,素材!$1:$1016,COLUMN($F$1),FALSE), "・", 0)) + 1), 0)</f>
        <v>0</v>
      </c>
      <c r="AO352">
        <f>IF(ISNUMBER(SEARCH(SUBSTITUTE(AO$1,RIGHT(AO$1,2),""),VLOOKUP($D352,素材!$1:$1016,COLUMN($F$1),FALSE))),VLOOKUP($C352,武器!$1:$998,COLUMN($O$1),FALSE)*VLOOKUP($D352,素材!$1:$1016,COLUMN($E$1),FALSE)/(LEN(VLOOKUP($D352,素材!$1:$1016,COLUMN($F$1),FALSE)) - LEN(SUBSTITUTE(VLOOKUP($D352,素材!$1:$1016,COLUMN($F$1),FALSE), "・", 0)) + 1), 0)</f>
        <v>0</v>
      </c>
      <c r="AP352">
        <f>IF(ISNUMBER(SEARCH(SUBSTITUTE(AP$1,RIGHT(AP$1,2),""),VLOOKUP($D352,素材!$1:$1016,COLUMN($F$1),FALSE))),VLOOKUP($C352,武器!$1:$998,COLUMN($O$1),FALSE)*VLOOKUP($D352,素材!$1:$1016,COLUMN($E$1),FALSE)/(LEN(VLOOKUP($D352,素材!$1:$1016,COLUMN($F$1),FALSE)) - LEN(SUBSTITUTE(VLOOKUP($D352,素材!$1:$1016,COLUMN($F$1),FALSE), "・", 0)) + 1), 0)</f>
        <v>0</v>
      </c>
      <c r="AQ352">
        <f>IF(ISNUMBER(SEARCH(SUBSTITUTE(AQ$1,RIGHT(AQ$1,2),""),VLOOKUP($D352,素材!$1:$1016,COLUMN($F$1),FALSE))),VLOOKUP($C352,武器!$1:$998,COLUMN($O$1),FALSE)*VLOOKUP($D352,素材!$1:$1016,COLUMN($E$1),FALSE)/(LEN(VLOOKUP($D352,素材!$1:$1016,COLUMN($F$1),FALSE)) - LEN(SUBSTITUTE(VLOOKUP($D352,素材!$1:$1016,COLUMN($F$1),FALSE), "・", 0)) + 1), 0)</f>
        <v>0</v>
      </c>
      <c r="AR352">
        <f>IF(ISNUMBER(SEARCH(SUBSTITUTE(AR$1,RIGHT(AR$1,2),""),VLOOKUP($D352,素材!$1:$1016,COLUMN($F$1),FALSE))),VLOOKUP($C352,武器!$1:$998,COLUMN($O$1),FALSE)*VLOOKUP($D352,素材!$1:$1016,COLUMN($E$1),FALSE)/(LEN(VLOOKUP($D352,素材!$1:$1016,COLUMN($F$1),FALSE)) - LEN(SUBSTITUTE(VLOOKUP($D352,素材!$1:$1016,COLUMN($F$1),FALSE), "・", 0)) + 1), 0)</f>
        <v>0</v>
      </c>
      <c r="AS352">
        <f>IF(ISNUMBER(SEARCH(SUBSTITUTE(AS$1,RIGHT(AS$1,2),""),VLOOKUP($D352,素材!$1:$1016,COLUMN($F$1),FALSE))),VLOOKUP($C352,武器!$1:$998,COLUMN($O$1),FALSE)*VLOOKUP($D352,素材!$1:$1016,COLUMN($E$1),FALSE)/(LEN(VLOOKUP($D352,素材!$1:$1016,COLUMN($F$1),FALSE)) - LEN(SUBSTITUTE(VLOOKUP($D352,素材!$1:$1016,COLUMN($F$1),FALSE), "・", 0)) + 1), 0)</f>
        <v>0</v>
      </c>
      <c r="AT352">
        <f>IF(ISNUMBER(SEARCH(SUBSTITUTE(AT$1,RIGHT(AT$1,2),""),VLOOKUP($D352,素材!$1:$1016,COLUMN($F$1),FALSE))),VLOOKUP($C352,武器!$1:$998,COLUMN($O$1),FALSE)*VLOOKUP($D352,素材!$1:$1016,COLUMN($E$1),FALSE)/(LEN(VLOOKUP($D352,素材!$1:$1016,COLUMN($F$1),FALSE)) - LEN(SUBSTITUTE(VLOOKUP($D352,素材!$1:$1016,COLUMN($F$1),FALSE), "・", 0)) + 1), 0)</f>
        <v>0</v>
      </c>
      <c r="AU352">
        <f>IF(ISNUMBER(SEARCH(SUBSTITUTE(AU$1,RIGHT(AU$1,2),""),VLOOKUP($D352,素材!$1:$1016,COLUMN($F$1),FALSE))),VLOOKUP($C352,武器!$1:$998,COLUMN($O$1),FALSE)*VLOOKUP($D352,素材!$1:$1016,COLUMN($E$1),FALSE)/(LEN(VLOOKUP($D352,素材!$1:$1016,COLUMN($F$1),FALSE)) - LEN(SUBSTITUTE(VLOOKUP($D352,素材!$1:$1016,COLUMN($F$1),FALSE), "・", 0)) + 1), 0)</f>
        <v>0</v>
      </c>
      <c r="AV352">
        <f>IF(ISNUMBER(SEARCH(SUBSTITUTE(AV$1,RIGHT(AV$1,2),""),VLOOKUP($D352,素材!$1:$1016,COLUMN($F$1),FALSE))),VLOOKUP($C352,武器!$1:$998,COLUMN($O$1),FALSE)*VLOOKUP($D352,素材!$1:$1016,COLUMN($E$1),FALSE)/(LEN(VLOOKUP($D352,素材!$1:$1016,COLUMN($F$1),FALSE)) - LEN(SUBSTITUTE(VLOOKUP($D352,素材!$1:$1016,COLUMN($F$1),FALSE), "・", 0)) + 1), 0)</f>
        <v>0</v>
      </c>
      <c r="AW352">
        <f>IF(ISNUMBER(SEARCH(SUBSTITUTE(AW$1,RIGHT(AW$1,2),""),VLOOKUP($D352,素材!$1:$1016,COLUMN($F$1),FALSE))),VLOOKUP($C352,武器!$1:$998,COLUMN($O$1),FALSE)*VLOOKUP($D352,素材!$1:$1016,COLUMN($E$1),FALSE)/(LEN(VLOOKUP($D352,素材!$1:$1016,COLUMN($F$1),FALSE)) - LEN(SUBSTITUTE(VLOOKUP($D352,素材!$1:$1016,COLUMN($F$1),FALSE), "・", 0)) + 1), 0)</f>
        <v>0</v>
      </c>
      <c r="AX352">
        <f>IF(ISNUMBER(SEARCH(SUBSTITUTE(AX$1,RIGHT(AX$1,2),""),VLOOKUP($D352,素材!$1:$1016,COLUMN($F$1),FALSE))),VLOOKUP($C352,武器!$1:$998,COLUMN($O$1),FALSE)*VLOOKUP($D352,素材!$1:$1016,COLUMN($E$1),FALSE)/(LEN(VLOOKUP($D352,素材!$1:$1016,COLUMN($F$1),FALSE)) - LEN(SUBSTITUTE(VLOOKUP($D352,素材!$1:$1016,COLUMN($F$1),FALSE), "・", 0)) + 1), 0)</f>
        <v>0</v>
      </c>
      <c r="AY352">
        <f>IF(ISNUMBER(SEARCH(SUBSTITUTE(AY$1,RIGHT(AY$1,2),""),VLOOKUP($D352,素材!$1:$1016,COLUMN($F$1),FALSE))),VLOOKUP($C352,武器!$1:$998,COLUMN($O$1),FALSE)*VLOOKUP($D352,素材!$1:$1016,COLUMN($E$1),FALSE)/(LEN(VLOOKUP($D352,素材!$1:$1016,COLUMN($F$1),FALSE)) - LEN(SUBSTITUTE(VLOOKUP($D352,素材!$1:$1016,COLUMN($F$1),FALSE), "・", 0)) + 1), 0)</f>
        <v>0</v>
      </c>
      <c r="AZ352">
        <f>IF(ISNUMBER(SEARCH(SUBSTITUTE(AZ$1,RIGHT(AZ$1,2),""),VLOOKUP($D352,素材!$1:$1016,COLUMN($F$1),FALSE))),VLOOKUP($C352,武器!$1:$998,COLUMN($O$1),FALSE)*VLOOKUP($D352,素材!$1:$1016,COLUMN($E$1),FALSE)/(LEN(VLOOKUP($D352,素材!$1:$1016,COLUMN($F$1),FALSE)) - LEN(SUBSTITUTE(VLOOKUP($D352,素材!$1:$1016,COLUMN($F$1),FALSE), "・", 0)) + 1), 0)</f>
        <v>0</v>
      </c>
      <c r="BA352">
        <f>IF(ISNUMBER(SEARCH(SUBSTITUTE(BA$1,RIGHT(BA$1,2),""),VLOOKUP($D352,素材!$1:$1016,COLUMN($F$1),FALSE))),VLOOKUP($C352,武器!$1:$998,COLUMN($O$1),FALSE)*VLOOKUP($D352,素材!$1:$1016,COLUMN($E$1),FALSE)/(LEN(VLOOKUP($D352,素材!$1:$1016,COLUMN($F$1),FALSE)) - LEN(SUBSTITUTE(VLOOKUP($D352,素材!$1:$1016,COLUMN($F$1),FALSE), "・", 0)) + 1), 0)</f>
        <v>0</v>
      </c>
      <c r="BB352">
        <f>IF(ISNUMBER(SEARCH(SUBSTITUTE(BB$1,RIGHT(BB$1,2),""),VLOOKUP($D352,素材!$1:$1016,COLUMN($F$1),FALSE))),VLOOKUP($C352,武器!$1:$998,COLUMN($O$1),FALSE)*VLOOKUP($D352,素材!$1:$1016,COLUMN($E$1),FALSE)/(LEN(VLOOKUP($D352,素材!$1:$1016,COLUMN($F$1),FALSE)) - LEN(SUBSTITUTE(VLOOKUP($D352,素材!$1:$1016,COLUMN($F$1),FALSE), "・", 0)) + 1), 0)</f>
        <v>0</v>
      </c>
      <c r="BC352">
        <f>IF(ISNUMBER(SEARCH(SUBSTITUTE(BC$1,RIGHT(BC$1,2),""),VLOOKUP($D352,素材!$1:$1016,COLUMN($F$1),FALSE))),VLOOKUP($C352,武器!$1:$998,COLUMN($O$1),FALSE)*VLOOKUP($D352,素材!$1:$1016,COLUMN($E$1),FALSE)/(LEN(VLOOKUP($D352,素材!$1:$1016,COLUMN($F$1),FALSE)) - LEN(SUBSTITUTE(VLOOKUP($D352,素材!$1:$1016,COLUMN($F$1),FALSE), "・", 0)) + 1), 0)</f>
        <v>24.5</v>
      </c>
      <c r="BD352">
        <f>IF(ISNUMBER(SEARCH(SUBSTITUTE(BD$1,RIGHT(BD$1,2),""),VLOOKUP($D352,素材!$1:$1016,COLUMN($F$1),FALSE))),VLOOKUP($C352,武器!$1:$998,COLUMN($O$1),FALSE)*VLOOKUP($D352,素材!$1:$1016,COLUMN($E$1),FALSE)/(LEN(VLOOKUP($D352,素材!$1:$1016,COLUMN($F$1),FALSE)) - LEN(SUBSTITUTE(VLOOKUP($D352,素材!$1:$1016,COLUMN($F$1),FALSE), "・", 0)) + 1), 0)</f>
        <v>0</v>
      </c>
      <c r="BE352">
        <f>IF(ISNUMBER(SEARCH(SUBSTITUTE(BE$1,RIGHT(BE$1,2),""),VLOOKUP($D352,素材!$1:$1016,COLUMN($F$1),FALSE))),VLOOKUP($C352,武器!$1:$998,COLUMN($O$1),FALSE)*VLOOKUP($D352,素材!$1:$1016,COLUMN($E$1),FALSE)/(LEN(VLOOKUP($D352,素材!$1:$1016,COLUMN($F$1),FALSE)) - LEN(SUBSTITUTE(VLOOKUP($D352,素材!$1:$1016,COLUMN($F$1),FALSE), "・", 0)) + 1), 0)</f>
        <v>0</v>
      </c>
      <c r="CL352">
        <f>SUM(G352:I352)</f>
        <v>0</v>
      </c>
      <c r="CM352" s="22" t="str">
        <f>IF(E352="武器",IF(J352-1&gt;SUM(G352:I352),"盾",IF(MAX(G352:I352)=G352,"切断",IF(MAX(G352:I352)=H352,"貫通",IF(MAX(G352:I352)=I352,"打撃","射撃")))),E352)&amp;".webp"</f>
        <v>体.webp</v>
      </c>
      <c r="CN352">
        <f>IFERROR(VLOOKUP($C352,武器!$1:$998,COLUMN(V$1),FALSE)*VLOOKUP($D352,素材!$1:$1016,COLUMN(N$1),FALSE)+IF(CI352="",0,VLOOKUP($CI352,装強!$1:$1008,COLUMN($CK$1),FALSE)),"")</f>
        <v>13500</v>
      </c>
      <c r="CO352">
        <f>VLOOKUP(D352,素材!$A:$O,COLUMN(素材!O$1),FALSE)</f>
        <v>0</v>
      </c>
      <c r="CP352" t="str">
        <f>VLOOKUP(C352,武器!$A:$W,COLUMN(武器!W$1),FALSE)</f>
        <v>HP 物理 魔法 体幹 出血 疲労 Cr</v>
      </c>
      <c r="CR352" t="str">
        <f t="shared" si="35"/>
        <v>e_352</v>
      </c>
      <c r="CS352">
        <f t="shared" si="36"/>
        <v>1350000</v>
      </c>
    </row>
    <row r="353" spans="1:97" outlineLevel="1" x14ac:dyDescent="0.4">
      <c r="A353" t="str">
        <f t="shared" si="37"/>
        <v>黒鉄の鎧</v>
      </c>
      <c r="B353" t="str">
        <f>IFERROR(VLOOKUP($D353,素材!$1:$1016,COLUMN($B$1),FALSE)&amp;"・"&amp;VLOOKUP($C353,武器!$1:$998,COLUMN(B$1),FALSE),"")</f>
        <v>アダマンタイト・アーマー</v>
      </c>
      <c r="C353" t="s">
        <v>198</v>
      </c>
      <c r="D353" s="24" t="s">
        <v>199</v>
      </c>
      <c r="E353" t="str">
        <f>IFERROR(VLOOKUP(C353,武器!$1:$998,COLUMN(C$1),FALSE),"")</f>
        <v>体</v>
      </c>
      <c r="F353">
        <f>IFERROR(ROUNDDOWN((VLOOKUP($C353,武器!$1:$998,COLUMN(D$1),FALSE)+IFERROR(VLOOKUP($CI353,装強!$1:$999,COLUMN(F$1),FALSE),0))*VLOOKUP($D353,素材!$1:$1016,COLUMN(D$1),FALSE),0),"")</f>
        <v>0</v>
      </c>
      <c r="G353">
        <f>IFERROR(ROUNDDOWN((VLOOKUP($C353,武器!$1:$998,COLUMN(E$1),FALSE)+IFERROR(VLOOKUP($CI353,装強!$1:$999,COLUMN(G$1),FALSE),0))*VLOOKUP($D353,素材!$1:$1016,COLUMN($E$1),FALSE),0),"")</f>
        <v>0</v>
      </c>
      <c r="H353">
        <f>IFERROR(ROUNDDOWN((VLOOKUP($C353,武器!$1:$998,COLUMN(F$1),FALSE)+IFERROR(VLOOKUP($CI353,装強!$1:$999,COLUMN(H$1),FALSE),0))*VLOOKUP($D353,素材!$1:$1016,COLUMN($E$1),FALSE),0),"")</f>
        <v>0</v>
      </c>
      <c r="I353">
        <f>IFERROR(ROUNDDOWN((VLOOKUP($C353,武器!$1:$998,COLUMN(G$1),FALSE)+IFERROR(VLOOKUP($CI353,装強!$1:$999,COLUMN(I$1),FALSE),0))*VLOOKUP($D353,素材!$1:$1016,COLUMN($E$1),FALSE),0),"")</f>
        <v>0</v>
      </c>
      <c r="J353">
        <f>IFERROR(ROUNDDOWN((VLOOKUP($C353,武器!$1:$998,COLUMN(H$1),FALSE)+IFERROR(VLOOKUP($CI353,装強!$1:$999,COLUMN(J$1),FALSE),0))*VLOOKUP($D353,素材!$1:$1016,COLUMN($E$1),FALSE),0),"")</f>
        <v>0</v>
      </c>
      <c r="K353">
        <f>IFERROR(ROUNDDOWN((VLOOKUP($C353,武器!$1:$998,COLUMN(I$1),FALSE)+IFERROR(VLOOKUP($CI353,装強!$1:$999,COLUMN(K$1),FALSE),0))*VLOOKUP($D353,素材!$1:$1016,COLUMN($E$1),FALSE),0),"")</f>
        <v>0</v>
      </c>
      <c r="L353">
        <f>IFERROR(VLOOKUP($D353,素材!$1:$1016,COLUMN($F$1),FALSE),"")</f>
        <v>0</v>
      </c>
      <c r="M353">
        <f>IFERROR(VLOOKUP($C353,武器!$1:$998,COLUMN(AA$1),FALSE)*VLOOKUP($D353,素材!$1:$1016,COLUMN($G$1),FALSE),"")</f>
        <v>0</v>
      </c>
      <c r="N353">
        <f>IFERROR(VLOOKUP($C353,武器!$1:$998,COLUMN(I$1),FALSE),"")</f>
        <v>0</v>
      </c>
      <c r="O353" s="23">
        <f>IFERROR((VLOOKUP($C353,武器!$1:$998,COLUMN(K$1),FALSE)+VLOOKUP($D353,素材!$1:$1016,COLUMN(H$1),FALSE))*100+IFERROR(VLOOKUP($CI353,装強!$1:$999,COLUMN(O$1),FALSE),0),"")</f>
        <v>2</v>
      </c>
      <c r="P353" s="23">
        <f>IFERROR((VLOOKUP($C353,武器!$1:$998,COLUMN(L$1),FALSE)+VLOOKUP($D353,素材!$1:$1016,COLUMN(I$1),FALSE))*100+IFERROR(VLOOKUP($CI353,装強!$1:$999,COLUMN(P$1),FALSE),0),"")</f>
        <v>5</v>
      </c>
      <c r="Q353">
        <f>IFERROR(ROUNDUP(VLOOKUP($C353,武器!$1:$998,COLUMN(M$1),FALSE)*(VLOOKUP($D353,素材!$1:$1002,COLUMN(D$1),FALSE)/100),1),"")</f>
        <v>-17.3</v>
      </c>
      <c r="R353">
        <f>IFERROR(ROUNDUP(VLOOKUP($C353,武器!$1:$998,COLUMN(N$1),FALSE)*(VLOOKUP($D353,素材!$1:$1002,COLUMN(D$1),FALSE)/100),1),"")</f>
        <v>0</v>
      </c>
      <c r="S353">
        <f>IFERROR(VLOOKUP($C353,武器!$1:$998,COLUMN(P$1),FALSE),"")</f>
        <v>0</v>
      </c>
      <c r="T353">
        <f>IFERROR(VLOOKUP($C353,武器!$1:$998,COLUMN(Q$1),FALSE),"")</f>
        <v>0</v>
      </c>
      <c r="U353">
        <f>IFERROR(VLOOKUP($C353,武器!$1:$998,COLUMN(R$1),FALSE),"")</f>
        <v>0</v>
      </c>
      <c r="V353">
        <f>IFERROR(VLOOKUP($C353,武器!$1:$998,COLUMN(Q$1),FALSE),"")</f>
        <v>0</v>
      </c>
      <c r="W353">
        <f>IFERROR(VLOOKUP($C353,武器!$1:$998,COLUMN(T$1),FALSE),"")</f>
        <v>0</v>
      </c>
      <c r="Y353">
        <f>IFERROR(VLOOKUP($C353,武器!$1:$998,COLUMN(U$1),FALSE),"")</f>
        <v>0</v>
      </c>
      <c r="Z353">
        <f>IFERROR(ROUNDUP(VLOOKUP($C353,武器!$1:$998,COLUMN(O$1),FALSE)*VLOOKUP($D353,素材!$1:$1016,COLUMN(E$1),FALSE),1),"")</f>
        <v>28</v>
      </c>
      <c r="AA353">
        <f>IF(ISNUMBER(SEARCH(SUBSTITUTE(AA$1,RIGHT(AA$1,2),""),VLOOKUP($D353,素材!$1:$1016,COLUMN($F$1),FALSE))),VLOOKUP($C353,武器!$1:$998,COLUMN($O$1),FALSE)*VLOOKUP($D353,素材!$1:$1016,COLUMN($E$1),FALSE)/(LEN(VLOOKUP($D353,素材!$1:$1016,COLUMN($F$1),FALSE)) - LEN(SUBSTITUTE(VLOOKUP($D353,素材!$1:$1016,COLUMN($F$1),FALSE), "・", 0)) + 1), 0)</f>
        <v>0</v>
      </c>
      <c r="AB353">
        <f>IF(ISNUMBER(SEARCH(SUBSTITUTE(AB$1,RIGHT(AB$1,2),""),VLOOKUP($D353,素材!$1:$1016,COLUMN($F$1),FALSE))),VLOOKUP($C353,武器!$1:$998,COLUMN($O$1),FALSE)*VLOOKUP($D353,素材!$1:$1016,COLUMN($E$1),FALSE)/(LEN(VLOOKUP($D353,素材!$1:$1016,COLUMN($F$1),FALSE)) - LEN(SUBSTITUTE(VLOOKUP($D353,素材!$1:$1016,COLUMN($F$1),FALSE), "・", 0)) + 1), 0)</f>
        <v>0</v>
      </c>
      <c r="AC353">
        <f>IF(ISNUMBER(SEARCH(SUBSTITUTE(AC$1,RIGHT(AC$1,2),""),VLOOKUP($D353,素材!$1:$1016,COLUMN($F$1),FALSE))),VLOOKUP($C353,武器!$1:$998,COLUMN($O$1),FALSE)*VLOOKUP($D353,素材!$1:$1016,COLUMN($E$1),FALSE)/(LEN(VLOOKUP($D353,素材!$1:$1016,COLUMN($F$1),FALSE)) - LEN(SUBSTITUTE(VLOOKUP($D353,素材!$1:$1016,COLUMN($F$1),FALSE), "・", 0)) + 1), 0)</f>
        <v>0</v>
      </c>
      <c r="AD353">
        <f>IF(ISNUMBER(SEARCH(SUBSTITUTE(AD$1,RIGHT(AD$1,2),""),VLOOKUP($D353,素材!$1:$1016,COLUMN($F$1),FALSE))),VLOOKUP($C353,武器!$1:$998,COLUMN($O$1),FALSE)*VLOOKUP($D353,素材!$1:$1016,COLUMN($E$1),FALSE)/(LEN(VLOOKUP($D353,素材!$1:$1016,COLUMN($F$1),FALSE)) - LEN(SUBSTITUTE(VLOOKUP($D353,素材!$1:$1016,COLUMN($F$1),FALSE), "・", 0)) + 1), 0)</f>
        <v>0</v>
      </c>
      <c r="AE353">
        <f>IF(ISNUMBER(SEARCH(SUBSTITUTE(AE$1,RIGHT(AE$1,2),""),VLOOKUP($D353,素材!$1:$1016,COLUMN($F$1),FALSE))),VLOOKUP($C353,武器!$1:$998,COLUMN($O$1),FALSE)*VLOOKUP($D353,素材!$1:$1016,COLUMN($E$1),FALSE)/(LEN(VLOOKUP($D353,素材!$1:$1016,COLUMN($F$1),FALSE)) - LEN(SUBSTITUTE(VLOOKUP($D353,素材!$1:$1016,COLUMN($F$1),FALSE), "・", 0)) + 1), 0)</f>
        <v>0</v>
      </c>
      <c r="AF353">
        <f>IF(ISNUMBER(SEARCH(SUBSTITUTE(AF$1,RIGHT(AF$1,2),""),VLOOKUP($D353,素材!$1:$1016,COLUMN($F$1),FALSE))),VLOOKUP($C353,武器!$1:$998,COLUMN($O$1),FALSE)*VLOOKUP($D353,素材!$1:$1016,COLUMN($E$1),FALSE)/(LEN(VLOOKUP($D353,素材!$1:$1016,COLUMN($F$1),FALSE)) - LEN(SUBSTITUTE(VLOOKUP($D353,素材!$1:$1016,COLUMN($F$1),FALSE), "・", 0)) + 1), 0)</f>
        <v>0</v>
      </c>
      <c r="AG353">
        <f>IF(ISNUMBER(SEARCH(SUBSTITUTE(AG$1,RIGHT(AG$1,2),""),VLOOKUP($D353,素材!$1:$1016,COLUMN($F$1),FALSE))),VLOOKUP($C353,武器!$1:$998,COLUMN($O$1),FALSE)*VLOOKUP($D353,素材!$1:$1016,COLUMN($E$1),FALSE)/(LEN(VLOOKUP($D353,素材!$1:$1016,COLUMN($F$1),FALSE)) - LEN(SUBSTITUTE(VLOOKUP($D353,素材!$1:$1016,COLUMN($F$1),FALSE), "・", 0)) + 1), 0)</f>
        <v>0</v>
      </c>
      <c r="AH353">
        <f>IF(ISNUMBER(SEARCH(SUBSTITUTE(AH$1,RIGHT(AH$1,2),""),VLOOKUP($D353,素材!$1:$1016,COLUMN($F$1),FALSE))),VLOOKUP($C353,武器!$1:$998,COLUMN($O$1),FALSE)*VLOOKUP($D353,素材!$1:$1016,COLUMN($E$1),FALSE)/(LEN(VLOOKUP($D353,素材!$1:$1016,COLUMN($F$1),FALSE)) - LEN(SUBSTITUTE(VLOOKUP($D353,素材!$1:$1016,COLUMN($F$1),FALSE), "・", 0)) + 1), 0)</f>
        <v>0</v>
      </c>
      <c r="AI353">
        <f>IF(ISNUMBER(SEARCH(SUBSTITUTE(AI$1,RIGHT(AI$1,2),""),VLOOKUP($D353,素材!$1:$1016,COLUMN($F$1),FALSE))),VLOOKUP($C353,武器!$1:$998,COLUMN($O$1),FALSE)*VLOOKUP($D353,素材!$1:$1016,COLUMN($E$1),FALSE)/(LEN(VLOOKUP($D353,素材!$1:$1016,COLUMN($F$1),FALSE)) - LEN(SUBSTITUTE(VLOOKUP($D353,素材!$1:$1016,COLUMN($F$1),FALSE), "・", 0)) + 1), 0)</f>
        <v>0</v>
      </c>
      <c r="AJ353">
        <f>IF(ISNUMBER(SEARCH(SUBSTITUTE(AJ$1,RIGHT(AJ$1,2),""),VLOOKUP($D353,素材!$1:$1016,COLUMN($F$1),FALSE))),VLOOKUP($C353,武器!$1:$998,COLUMN($O$1),FALSE)*VLOOKUP($D353,素材!$1:$1016,COLUMN($E$1),FALSE)/(LEN(VLOOKUP($D353,素材!$1:$1016,COLUMN($F$1),FALSE)) - LEN(SUBSTITUTE(VLOOKUP($D353,素材!$1:$1016,COLUMN($F$1),FALSE), "・", 0)) + 1), 0)</f>
        <v>0</v>
      </c>
      <c r="AK353">
        <f>IF(ISNUMBER(SEARCH(SUBSTITUTE(AK$1,RIGHT(AK$1,2),""),VLOOKUP($D353,素材!$1:$1016,COLUMN($F$1),FALSE))),VLOOKUP($C353,武器!$1:$998,COLUMN($O$1),FALSE)*VLOOKUP($D353,素材!$1:$1016,COLUMN($E$1),FALSE)/(LEN(VLOOKUP($D353,素材!$1:$1016,COLUMN($F$1),FALSE)) - LEN(SUBSTITUTE(VLOOKUP($D353,素材!$1:$1016,COLUMN($F$1),FALSE), "・", 0)) + 1), 0)</f>
        <v>0</v>
      </c>
      <c r="AL353">
        <f>IF(ISNUMBER(SEARCH(SUBSTITUTE(AL$1,RIGHT(AL$1,2),""),VLOOKUP($D353,素材!$1:$1016,COLUMN($F$1),FALSE))),VLOOKUP($C353,武器!$1:$998,COLUMN($O$1),FALSE)*VLOOKUP($D353,素材!$1:$1016,COLUMN($E$1),FALSE)/(LEN(VLOOKUP($D353,素材!$1:$1016,COLUMN($F$1),FALSE)) - LEN(SUBSTITUTE(VLOOKUP($D353,素材!$1:$1016,COLUMN($F$1),FALSE), "・", 0)) + 1), 0)</f>
        <v>0</v>
      </c>
      <c r="AM353">
        <f>IF(ISNUMBER(SEARCH(SUBSTITUTE(AM$1,RIGHT(AM$1,2),""),VLOOKUP($D353,素材!$1:$1016,COLUMN($F$1),FALSE))),VLOOKUP($C353,武器!$1:$998,COLUMN($O$1),FALSE)*VLOOKUP($D353,素材!$1:$1016,COLUMN($E$1),FALSE)/(LEN(VLOOKUP($D353,素材!$1:$1016,COLUMN($F$1),FALSE)) - LEN(SUBSTITUTE(VLOOKUP($D353,素材!$1:$1016,COLUMN($F$1),FALSE), "・", 0)) + 1), 0)</f>
        <v>0</v>
      </c>
      <c r="AN353">
        <f>IF(ISNUMBER(SEARCH(SUBSTITUTE(AN$1,RIGHT(AN$1,2),""),VLOOKUP($D353,素材!$1:$1016,COLUMN($F$1),FALSE))),VLOOKUP($C353,武器!$1:$998,COLUMN($O$1),FALSE)*VLOOKUP($D353,素材!$1:$1016,COLUMN($E$1),FALSE)/(LEN(VLOOKUP($D353,素材!$1:$1016,COLUMN($F$1),FALSE)) - LEN(SUBSTITUTE(VLOOKUP($D353,素材!$1:$1016,COLUMN($F$1),FALSE), "・", 0)) + 1), 0)</f>
        <v>0</v>
      </c>
      <c r="AO353">
        <f>IF(ISNUMBER(SEARCH(SUBSTITUTE(AO$1,RIGHT(AO$1,2),""),VLOOKUP($D353,素材!$1:$1016,COLUMN($F$1),FALSE))),VLOOKUP($C353,武器!$1:$998,COLUMN($O$1),FALSE)*VLOOKUP($D353,素材!$1:$1016,COLUMN($E$1),FALSE)/(LEN(VLOOKUP($D353,素材!$1:$1016,COLUMN($F$1),FALSE)) - LEN(SUBSTITUTE(VLOOKUP($D353,素材!$1:$1016,COLUMN($F$1),FALSE), "・", 0)) + 1), 0)</f>
        <v>0</v>
      </c>
      <c r="AP353">
        <f>IF(ISNUMBER(SEARCH(SUBSTITUTE(AP$1,RIGHT(AP$1,2),""),VLOOKUP($D353,素材!$1:$1016,COLUMN($F$1),FALSE))),VLOOKUP($C353,武器!$1:$998,COLUMN($O$1),FALSE)*VLOOKUP($D353,素材!$1:$1016,COLUMN($E$1),FALSE)/(LEN(VLOOKUP($D353,素材!$1:$1016,COLUMN($F$1),FALSE)) - LEN(SUBSTITUTE(VLOOKUP($D353,素材!$1:$1016,COLUMN($F$1),FALSE), "・", 0)) + 1), 0)</f>
        <v>0</v>
      </c>
      <c r="AQ353">
        <f>IF(ISNUMBER(SEARCH(SUBSTITUTE(AQ$1,RIGHT(AQ$1,2),""),VLOOKUP($D353,素材!$1:$1016,COLUMN($F$1),FALSE))),VLOOKUP($C353,武器!$1:$998,COLUMN($O$1),FALSE)*VLOOKUP($D353,素材!$1:$1016,COLUMN($E$1),FALSE)/(LEN(VLOOKUP($D353,素材!$1:$1016,COLUMN($F$1),FALSE)) - LEN(SUBSTITUTE(VLOOKUP($D353,素材!$1:$1016,COLUMN($F$1),FALSE), "・", 0)) + 1), 0)</f>
        <v>0</v>
      </c>
      <c r="AR353">
        <f>IF(ISNUMBER(SEARCH(SUBSTITUTE(AR$1,RIGHT(AR$1,2),""),VLOOKUP($D353,素材!$1:$1016,COLUMN($F$1),FALSE))),VLOOKUP($C353,武器!$1:$998,COLUMN($O$1),FALSE)*VLOOKUP($D353,素材!$1:$1016,COLUMN($E$1),FALSE)/(LEN(VLOOKUP($D353,素材!$1:$1016,COLUMN($F$1),FALSE)) - LEN(SUBSTITUTE(VLOOKUP($D353,素材!$1:$1016,COLUMN($F$1),FALSE), "・", 0)) + 1), 0)</f>
        <v>0</v>
      </c>
      <c r="AS353">
        <f>IF(ISNUMBER(SEARCH(SUBSTITUTE(AS$1,RIGHT(AS$1,2),""),VLOOKUP($D353,素材!$1:$1016,COLUMN($F$1),FALSE))),VLOOKUP($C353,武器!$1:$998,COLUMN($O$1),FALSE)*VLOOKUP($D353,素材!$1:$1016,COLUMN($E$1),FALSE)/(LEN(VLOOKUP($D353,素材!$1:$1016,COLUMN($F$1),FALSE)) - LEN(SUBSTITUTE(VLOOKUP($D353,素材!$1:$1016,COLUMN($F$1),FALSE), "・", 0)) + 1), 0)</f>
        <v>0</v>
      </c>
      <c r="AT353">
        <f>IF(ISNUMBER(SEARCH(SUBSTITUTE(AT$1,RIGHT(AT$1,2),""),VLOOKUP($D353,素材!$1:$1016,COLUMN($F$1),FALSE))),VLOOKUP($C353,武器!$1:$998,COLUMN($O$1),FALSE)*VLOOKUP($D353,素材!$1:$1016,COLUMN($E$1),FALSE)/(LEN(VLOOKUP($D353,素材!$1:$1016,COLUMN($F$1),FALSE)) - LEN(SUBSTITUTE(VLOOKUP($D353,素材!$1:$1016,COLUMN($F$1),FALSE), "・", 0)) + 1), 0)</f>
        <v>0</v>
      </c>
      <c r="AU353">
        <f>IF(ISNUMBER(SEARCH(SUBSTITUTE(AU$1,RIGHT(AU$1,2),""),VLOOKUP($D353,素材!$1:$1016,COLUMN($F$1),FALSE))),VLOOKUP($C353,武器!$1:$998,COLUMN($O$1),FALSE)*VLOOKUP($D353,素材!$1:$1016,COLUMN($E$1),FALSE)/(LEN(VLOOKUP($D353,素材!$1:$1016,COLUMN($F$1),FALSE)) - LEN(SUBSTITUTE(VLOOKUP($D353,素材!$1:$1016,COLUMN($F$1),FALSE), "・", 0)) + 1), 0)</f>
        <v>0</v>
      </c>
      <c r="AV353">
        <f>IF(ISNUMBER(SEARCH(SUBSTITUTE(AV$1,RIGHT(AV$1,2),""),VLOOKUP($D353,素材!$1:$1016,COLUMN($F$1),FALSE))),VLOOKUP($C353,武器!$1:$998,COLUMN($O$1),FALSE)*VLOOKUP($D353,素材!$1:$1016,COLUMN($E$1),FALSE)/(LEN(VLOOKUP($D353,素材!$1:$1016,COLUMN($F$1),FALSE)) - LEN(SUBSTITUTE(VLOOKUP($D353,素材!$1:$1016,COLUMN($F$1),FALSE), "・", 0)) + 1), 0)</f>
        <v>0</v>
      </c>
      <c r="AW353">
        <f>IF(ISNUMBER(SEARCH(SUBSTITUTE(AW$1,RIGHT(AW$1,2),""),VLOOKUP($D353,素材!$1:$1016,COLUMN($F$1),FALSE))),VLOOKUP($C353,武器!$1:$998,COLUMN($O$1),FALSE)*VLOOKUP($D353,素材!$1:$1016,COLUMN($E$1),FALSE)/(LEN(VLOOKUP($D353,素材!$1:$1016,COLUMN($F$1),FALSE)) - LEN(SUBSTITUTE(VLOOKUP($D353,素材!$1:$1016,COLUMN($F$1),FALSE), "・", 0)) + 1), 0)</f>
        <v>0</v>
      </c>
      <c r="AX353">
        <f>IF(ISNUMBER(SEARCH(SUBSTITUTE(AX$1,RIGHT(AX$1,2),""),VLOOKUP($D353,素材!$1:$1016,COLUMN($F$1),FALSE))),VLOOKUP($C353,武器!$1:$998,COLUMN($O$1),FALSE)*VLOOKUP($D353,素材!$1:$1016,COLUMN($E$1),FALSE)/(LEN(VLOOKUP($D353,素材!$1:$1016,COLUMN($F$1),FALSE)) - LEN(SUBSTITUTE(VLOOKUP($D353,素材!$1:$1016,COLUMN($F$1),FALSE), "・", 0)) + 1), 0)</f>
        <v>0</v>
      </c>
      <c r="AY353">
        <f>IF(ISNUMBER(SEARCH(SUBSTITUTE(AY$1,RIGHT(AY$1,2),""),VLOOKUP($D353,素材!$1:$1016,COLUMN($F$1),FALSE))),VLOOKUP($C353,武器!$1:$998,COLUMN($O$1),FALSE)*VLOOKUP($D353,素材!$1:$1016,COLUMN($E$1),FALSE)/(LEN(VLOOKUP($D353,素材!$1:$1016,COLUMN($F$1),FALSE)) - LEN(SUBSTITUTE(VLOOKUP($D353,素材!$1:$1016,COLUMN($F$1),FALSE), "・", 0)) + 1), 0)</f>
        <v>0</v>
      </c>
      <c r="AZ353">
        <f>IF(ISNUMBER(SEARCH(SUBSTITUTE(AZ$1,RIGHT(AZ$1,2),""),VLOOKUP($D353,素材!$1:$1016,COLUMN($F$1),FALSE))),VLOOKUP($C353,武器!$1:$998,COLUMN($O$1),FALSE)*VLOOKUP($D353,素材!$1:$1016,COLUMN($E$1),FALSE)/(LEN(VLOOKUP($D353,素材!$1:$1016,COLUMN($F$1),FALSE)) - LEN(SUBSTITUTE(VLOOKUP($D353,素材!$1:$1016,COLUMN($F$1),FALSE), "・", 0)) + 1), 0)</f>
        <v>0</v>
      </c>
      <c r="BA353">
        <f>IF(ISNUMBER(SEARCH(SUBSTITUTE(BA$1,RIGHT(BA$1,2),""),VLOOKUP($D353,素材!$1:$1016,COLUMN($F$1),FALSE))),VLOOKUP($C353,武器!$1:$998,COLUMN($O$1),FALSE)*VLOOKUP($D353,素材!$1:$1016,COLUMN($E$1),FALSE)/(LEN(VLOOKUP($D353,素材!$1:$1016,COLUMN($F$1),FALSE)) - LEN(SUBSTITUTE(VLOOKUP($D353,素材!$1:$1016,COLUMN($F$1),FALSE), "・", 0)) + 1), 0)</f>
        <v>0</v>
      </c>
      <c r="BB353">
        <f>IF(ISNUMBER(SEARCH(SUBSTITUTE(BB$1,RIGHT(BB$1,2),""),VLOOKUP($D353,素材!$1:$1016,COLUMN($F$1),FALSE))),VLOOKUP($C353,武器!$1:$998,COLUMN($O$1),FALSE)*VLOOKUP($D353,素材!$1:$1016,COLUMN($E$1),FALSE)/(LEN(VLOOKUP($D353,素材!$1:$1016,COLUMN($F$1),FALSE)) - LEN(SUBSTITUTE(VLOOKUP($D353,素材!$1:$1016,COLUMN($F$1),FALSE), "・", 0)) + 1), 0)</f>
        <v>0</v>
      </c>
      <c r="BC353">
        <f>IF(ISNUMBER(SEARCH(SUBSTITUTE(BC$1,RIGHT(BC$1,2),""),VLOOKUP($D353,素材!$1:$1016,COLUMN($F$1),FALSE))),VLOOKUP($C353,武器!$1:$998,COLUMN($O$1),FALSE)*VLOOKUP($D353,素材!$1:$1016,COLUMN($E$1),FALSE)/(LEN(VLOOKUP($D353,素材!$1:$1016,COLUMN($F$1),FALSE)) - LEN(SUBSTITUTE(VLOOKUP($D353,素材!$1:$1016,COLUMN($F$1),FALSE), "・", 0)) + 1), 0)</f>
        <v>0</v>
      </c>
      <c r="BD353">
        <f>IF(ISNUMBER(SEARCH(SUBSTITUTE(BD$1,RIGHT(BD$1,2),""),VLOOKUP($D353,素材!$1:$1016,COLUMN($F$1),FALSE))),VLOOKUP($C353,武器!$1:$998,COLUMN($O$1),FALSE)*VLOOKUP($D353,素材!$1:$1016,COLUMN($E$1),FALSE)/(LEN(VLOOKUP($D353,素材!$1:$1016,COLUMN($F$1),FALSE)) - LEN(SUBSTITUTE(VLOOKUP($D353,素材!$1:$1016,COLUMN($F$1),FALSE), "・", 0)) + 1), 0)</f>
        <v>0</v>
      </c>
      <c r="BE353">
        <f>IF(ISNUMBER(SEARCH(SUBSTITUTE(BE$1,RIGHT(BE$1,2),""),VLOOKUP($D353,素材!$1:$1016,COLUMN($F$1),FALSE))),VLOOKUP($C353,武器!$1:$998,COLUMN($O$1),FALSE)*VLOOKUP($D353,素材!$1:$1016,COLUMN($E$1),FALSE)/(LEN(VLOOKUP($D353,素材!$1:$1016,COLUMN($F$1),FALSE)) - LEN(SUBSTITUTE(VLOOKUP($D353,素材!$1:$1016,COLUMN($F$1),FALSE), "・", 0)) + 1), 0)</f>
        <v>0</v>
      </c>
      <c r="CL353">
        <f>SUM(G353:I353)</f>
        <v>0</v>
      </c>
      <c r="CM353" s="22" t="str">
        <f>IF(E353="武器",IF(J353-1&gt;SUM(G353:I353),"盾",IF(MAX(G353:I353)=G353,"切断",IF(MAX(G353:I353)=H353,"貫通",IF(MAX(G353:I353)=I353,"打撃","射撃")))),E353)&amp;".webp"</f>
        <v>体.webp</v>
      </c>
      <c r="CN353">
        <f>IFERROR(VLOOKUP($C353,武器!$1:$998,COLUMN(V$1),FALSE)*VLOOKUP($D353,素材!$1:$1016,COLUMN(N$1),FALSE)+IF(CI353="",0,VLOOKUP($CI353,装強!$1:$1008,COLUMN($CK$1),FALSE)),"")</f>
        <v>15000</v>
      </c>
      <c r="CO353">
        <f>VLOOKUP(D353,素材!$A:$O,COLUMN(素材!O$1),FALSE)</f>
        <v>0</v>
      </c>
      <c r="CP353" t="str">
        <f>VLOOKUP(C353,武器!$A:$W,COLUMN(武器!W$1),FALSE)</f>
        <v>HP 物理 魔法 体幹 出血 疲労 Cr</v>
      </c>
      <c r="CR353" t="str">
        <f t="shared" si="35"/>
        <v>e_353</v>
      </c>
      <c r="CS353">
        <f t="shared" si="36"/>
        <v>1500000</v>
      </c>
    </row>
    <row r="354" spans="1:97" outlineLevel="1" x14ac:dyDescent="0.4">
      <c r="A354" t="str">
        <f t="shared" si="37"/>
        <v>銀鉄の長剣</v>
      </c>
      <c r="B354" t="str">
        <f>IFERROR(VLOOKUP($D354,素材!$1:$1016,COLUMN($B$1),FALSE)&amp;"・"&amp;VLOOKUP($C354,武器!$1:$998,COLUMN(B$1),FALSE),"")</f>
        <v>ミスリル・ロングソード</v>
      </c>
      <c r="C354" t="s">
        <v>195</v>
      </c>
      <c r="D354" s="24" t="s">
        <v>201</v>
      </c>
      <c r="E354" t="str">
        <f>IFERROR(VLOOKUP(C354,武器!$1:$998,COLUMN(C$1),FALSE),"")</f>
        <v>武器</v>
      </c>
      <c r="F354">
        <f>IFERROR(ROUNDDOWN((VLOOKUP($C354,武器!$1:$998,COLUMN(D$1),FALSE)+IFERROR(VLOOKUP($CI354,装強!$1:$999,COLUMN(F$1),FALSE),0))*VLOOKUP($D354,素材!$1:$1016,COLUMN(D$1),FALSE),0),"")</f>
        <v>74</v>
      </c>
      <c r="G354">
        <f>IFERROR(ROUNDDOWN((VLOOKUP($C354,武器!$1:$998,COLUMN(E$1),FALSE)+IFERROR(VLOOKUP($CI354,装強!$1:$999,COLUMN(G$1),FALSE),0))*VLOOKUP($D354,素材!$1:$1016,COLUMN($E$1),FALSE),0),"")</f>
        <v>18</v>
      </c>
      <c r="H354">
        <f>IFERROR(ROUNDDOWN((VLOOKUP($C354,武器!$1:$998,COLUMN(F$1),FALSE)+IFERROR(VLOOKUP($CI354,装強!$1:$999,COLUMN(H$1),FALSE),0))*VLOOKUP($D354,素材!$1:$1016,COLUMN($E$1),FALSE),0),"")</f>
        <v>11</v>
      </c>
      <c r="I354">
        <f>IFERROR(ROUNDDOWN((VLOOKUP($C354,武器!$1:$998,COLUMN(G$1),FALSE)+IFERROR(VLOOKUP($CI354,装強!$1:$999,COLUMN(I$1),FALSE),0))*VLOOKUP($D354,素材!$1:$1016,COLUMN($E$1),FALSE),0),"")</f>
        <v>3</v>
      </c>
      <c r="J354">
        <f>IFERROR(ROUNDDOWN((VLOOKUP($C354,武器!$1:$998,COLUMN(H$1),FALSE)+IFERROR(VLOOKUP($CI354,装強!$1:$999,COLUMN(J$1),FALSE),0))*VLOOKUP($D354,素材!$1:$1016,COLUMN($E$1),FALSE),0),"")</f>
        <v>25</v>
      </c>
      <c r="K354">
        <f>IFERROR(ROUNDDOWN((VLOOKUP($C354,武器!$1:$998,COLUMN(I$1),FALSE)+IFERROR(VLOOKUP($CI354,装強!$1:$999,COLUMN(K$1),FALSE),0))*VLOOKUP($D354,素材!$1:$1016,COLUMN($E$1),FALSE),0),"")</f>
        <v>0</v>
      </c>
      <c r="L354">
        <f>IFERROR(VLOOKUP($D354,素材!$1:$1016,COLUMN($F$1),FALSE),"")</f>
        <v>0</v>
      </c>
      <c r="M354">
        <f>IFERROR(VLOOKUP($C354,武器!$1:$998,COLUMN(AA$1),FALSE)*VLOOKUP($D354,素材!$1:$1016,COLUMN($G$1),FALSE),"")</f>
        <v>0</v>
      </c>
      <c r="N354">
        <f>IFERROR(VLOOKUP($C354,武器!$1:$998,COLUMN(I$1),FALSE),"")</f>
        <v>0</v>
      </c>
      <c r="O354" s="23">
        <f>IFERROR((VLOOKUP($C354,武器!$1:$998,COLUMN(K$1),FALSE)+VLOOKUP($D354,素材!$1:$1016,COLUMN(H$1),FALSE))*100+IFERROR(VLOOKUP($CI354,装強!$1:$999,COLUMN(O$1),FALSE),0),"")</f>
        <v>12.000000000000002</v>
      </c>
      <c r="P354" s="23">
        <f>IFERROR((VLOOKUP($C354,武器!$1:$998,COLUMN(L$1),FALSE)+VLOOKUP($D354,素材!$1:$1016,COLUMN(I$1),FALSE))*100+IFERROR(VLOOKUP($CI354,装強!$1:$999,COLUMN(P$1),FALSE),0),"")</f>
        <v>155</v>
      </c>
      <c r="Q354">
        <f>IFERROR(ROUNDUP(VLOOKUP($C354,武器!$1:$998,COLUMN(M$1),FALSE)*(VLOOKUP($D354,素材!$1:$1002,COLUMN(D$1),FALSE)/100),1),"")</f>
        <v>-1.7000000000000002</v>
      </c>
      <c r="R354">
        <f>IFERROR(ROUNDUP(VLOOKUP($C354,武器!$1:$998,COLUMN(N$1),FALSE)*(VLOOKUP($D354,素材!$1:$1002,COLUMN(D$1),FALSE)/100),1),"")</f>
        <v>-1.7000000000000002</v>
      </c>
      <c r="S354">
        <f>IFERROR(VLOOKUP($C354,武器!$1:$998,COLUMN(P$1),FALSE),"")</f>
        <v>0</v>
      </c>
      <c r="T354">
        <f>IFERROR(VLOOKUP($C354,武器!$1:$998,COLUMN(Q$1),FALSE),"")</f>
        <v>0</v>
      </c>
      <c r="U354">
        <f>IFERROR(VLOOKUP($C354,武器!$1:$998,COLUMN(R$1),FALSE),"")</f>
        <v>0</v>
      </c>
      <c r="V354">
        <f>IFERROR(VLOOKUP($C354,武器!$1:$998,COLUMN(Q$1),FALSE),"")</f>
        <v>0</v>
      </c>
      <c r="W354" t="str">
        <f>IFERROR(VLOOKUP($C354,武器!$1:$998,COLUMN(T$1),FALSE),"")</f>
        <v>A</v>
      </c>
      <c r="Y354">
        <f>IFERROR(VLOOKUP($C354,武器!$1:$998,COLUMN(U$1),FALSE),"")</f>
        <v>0</v>
      </c>
      <c r="Z354">
        <f>IFERROR(ROUNDUP(VLOOKUP($C354,武器!$1:$998,COLUMN(O$1),FALSE)*VLOOKUP($D354,素材!$1:$1016,COLUMN(E$1),FALSE),1),"")</f>
        <v>0</v>
      </c>
      <c r="AA354">
        <f>IF(ISNUMBER(SEARCH(SUBSTITUTE(AA$1,RIGHT(AA$1,2),""),VLOOKUP($D354,素材!$1:$1016,COLUMN($F$1),FALSE))),VLOOKUP($C354,武器!$1:$998,COLUMN($O$1),FALSE)*VLOOKUP($D354,素材!$1:$1016,COLUMN($E$1),FALSE)/(LEN(VLOOKUP($D354,素材!$1:$1016,COLUMN($F$1),FALSE)) - LEN(SUBSTITUTE(VLOOKUP($D354,素材!$1:$1016,COLUMN($F$1),FALSE), "・", 0)) + 1), 0)</f>
        <v>0</v>
      </c>
      <c r="AB354">
        <f>IF(ISNUMBER(SEARCH(SUBSTITUTE(AB$1,RIGHT(AB$1,2),""),VLOOKUP($D354,素材!$1:$1016,COLUMN($F$1),FALSE))),VLOOKUP($C354,武器!$1:$998,COLUMN($O$1),FALSE)*VLOOKUP($D354,素材!$1:$1016,COLUMN($E$1),FALSE)/(LEN(VLOOKUP($D354,素材!$1:$1016,COLUMN($F$1),FALSE)) - LEN(SUBSTITUTE(VLOOKUP($D354,素材!$1:$1016,COLUMN($F$1),FALSE), "・", 0)) + 1), 0)</f>
        <v>0</v>
      </c>
      <c r="AC354">
        <f>IF(ISNUMBER(SEARCH(SUBSTITUTE(AC$1,RIGHT(AC$1,2),""),VLOOKUP($D354,素材!$1:$1016,COLUMN($F$1),FALSE))),VLOOKUP($C354,武器!$1:$998,COLUMN($O$1),FALSE)*VLOOKUP($D354,素材!$1:$1016,COLUMN($E$1),FALSE)/(LEN(VLOOKUP($D354,素材!$1:$1016,COLUMN($F$1),FALSE)) - LEN(SUBSTITUTE(VLOOKUP($D354,素材!$1:$1016,COLUMN($F$1),FALSE), "・", 0)) + 1), 0)</f>
        <v>0</v>
      </c>
      <c r="AD354">
        <f>IF(ISNUMBER(SEARCH(SUBSTITUTE(AD$1,RIGHT(AD$1,2),""),VLOOKUP($D354,素材!$1:$1016,COLUMN($F$1),FALSE))),VLOOKUP($C354,武器!$1:$998,COLUMN($O$1),FALSE)*VLOOKUP($D354,素材!$1:$1016,COLUMN($E$1),FALSE)/(LEN(VLOOKUP($D354,素材!$1:$1016,COLUMN($F$1),FALSE)) - LEN(SUBSTITUTE(VLOOKUP($D354,素材!$1:$1016,COLUMN($F$1),FALSE), "・", 0)) + 1), 0)</f>
        <v>0</v>
      </c>
      <c r="AE354">
        <f>IF(ISNUMBER(SEARCH(SUBSTITUTE(AE$1,RIGHT(AE$1,2),""),VLOOKUP($D354,素材!$1:$1016,COLUMN($F$1),FALSE))),VLOOKUP($C354,武器!$1:$998,COLUMN($O$1),FALSE)*VLOOKUP($D354,素材!$1:$1016,COLUMN($E$1),FALSE)/(LEN(VLOOKUP($D354,素材!$1:$1016,COLUMN($F$1),FALSE)) - LEN(SUBSTITUTE(VLOOKUP($D354,素材!$1:$1016,COLUMN($F$1),FALSE), "・", 0)) + 1), 0)</f>
        <v>0</v>
      </c>
      <c r="AF354">
        <f>IF(ISNUMBER(SEARCH(SUBSTITUTE(AF$1,RIGHT(AF$1,2),""),VLOOKUP($D354,素材!$1:$1016,COLUMN($F$1),FALSE))),VLOOKUP($C354,武器!$1:$998,COLUMN($O$1),FALSE)*VLOOKUP($D354,素材!$1:$1016,COLUMN($E$1),FALSE)/(LEN(VLOOKUP($D354,素材!$1:$1016,COLUMN($F$1),FALSE)) - LEN(SUBSTITUTE(VLOOKUP($D354,素材!$1:$1016,COLUMN($F$1),FALSE), "・", 0)) + 1), 0)</f>
        <v>0</v>
      </c>
      <c r="AG354">
        <f>IF(ISNUMBER(SEARCH(SUBSTITUTE(AG$1,RIGHT(AG$1,2),""),VLOOKUP($D354,素材!$1:$1016,COLUMN($F$1),FALSE))),VLOOKUP($C354,武器!$1:$998,COLUMN($O$1),FALSE)*VLOOKUP($D354,素材!$1:$1016,COLUMN($E$1),FALSE)/(LEN(VLOOKUP($D354,素材!$1:$1016,COLUMN($F$1),FALSE)) - LEN(SUBSTITUTE(VLOOKUP($D354,素材!$1:$1016,COLUMN($F$1),FALSE), "・", 0)) + 1), 0)</f>
        <v>0</v>
      </c>
      <c r="AH354">
        <f>IF(ISNUMBER(SEARCH(SUBSTITUTE(AH$1,RIGHT(AH$1,2),""),VLOOKUP($D354,素材!$1:$1016,COLUMN($F$1),FALSE))),VLOOKUP($C354,武器!$1:$998,COLUMN($O$1),FALSE)*VLOOKUP($D354,素材!$1:$1016,COLUMN($E$1),FALSE)/(LEN(VLOOKUP($D354,素材!$1:$1016,COLUMN($F$1),FALSE)) - LEN(SUBSTITUTE(VLOOKUP($D354,素材!$1:$1016,COLUMN($F$1),FALSE), "・", 0)) + 1), 0)</f>
        <v>0</v>
      </c>
      <c r="AI354">
        <f>IF(ISNUMBER(SEARCH(SUBSTITUTE(AI$1,RIGHT(AI$1,2),""),VLOOKUP($D354,素材!$1:$1016,COLUMN($F$1),FALSE))),VLOOKUP($C354,武器!$1:$998,COLUMN($O$1),FALSE)*VLOOKUP($D354,素材!$1:$1016,COLUMN($E$1),FALSE)/(LEN(VLOOKUP($D354,素材!$1:$1016,COLUMN($F$1),FALSE)) - LEN(SUBSTITUTE(VLOOKUP($D354,素材!$1:$1016,COLUMN($F$1),FALSE), "・", 0)) + 1), 0)</f>
        <v>0</v>
      </c>
      <c r="AJ354">
        <f>IF(ISNUMBER(SEARCH(SUBSTITUTE(AJ$1,RIGHT(AJ$1,2),""),VLOOKUP($D354,素材!$1:$1016,COLUMN($F$1),FALSE))),VLOOKUP($C354,武器!$1:$998,COLUMN($O$1),FALSE)*VLOOKUP($D354,素材!$1:$1016,COLUMN($E$1),FALSE)/(LEN(VLOOKUP($D354,素材!$1:$1016,COLUMN($F$1),FALSE)) - LEN(SUBSTITUTE(VLOOKUP($D354,素材!$1:$1016,COLUMN($F$1),FALSE), "・", 0)) + 1), 0)</f>
        <v>0</v>
      </c>
      <c r="AK354">
        <f>IF(ISNUMBER(SEARCH(SUBSTITUTE(AK$1,RIGHT(AK$1,2),""),VLOOKUP($D354,素材!$1:$1016,COLUMN($F$1),FALSE))),VLOOKUP($C354,武器!$1:$998,COLUMN($O$1),FALSE)*VLOOKUP($D354,素材!$1:$1016,COLUMN($E$1),FALSE)/(LEN(VLOOKUP($D354,素材!$1:$1016,COLUMN($F$1),FALSE)) - LEN(SUBSTITUTE(VLOOKUP($D354,素材!$1:$1016,COLUMN($F$1),FALSE), "・", 0)) + 1), 0)</f>
        <v>0</v>
      </c>
      <c r="AL354">
        <f>IF(ISNUMBER(SEARCH(SUBSTITUTE(AL$1,RIGHT(AL$1,2),""),VLOOKUP($D354,素材!$1:$1016,COLUMN($F$1),FALSE))),VLOOKUP($C354,武器!$1:$998,COLUMN($O$1),FALSE)*VLOOKUP($D354,素材!$1:$1016,COLUMN($E$1),FALSE)/(LEN(VLOOKUP($D354,素材!$1:$1016,COLUMN($F$1),FALSE)) - LEN(SUBSTITUTE(VLOOKUP($D354,素材!$1:$1016,COLUMN($F$1),FALSE), "・", 0)) + 1), 0)</f>
        <v>0</v>
      </c>
      <c r="AM354">
        <f>IF(ISNUMBER(SEARCH(SUBSTITUTE(AM$1,RIGHT(AM$1,2),""),VLOOKUP($D354,素材!$1:$1016,COLUMN($F$1),FALSE))),VLOOKUP($C354,武器!$1:$998,COLUMN($O$1),FALSE)*VLOOKUP($D354,素材!$1:$1016,COLUMN($E$1),FALSE)/(LEN(VLOOKUP($D354,素材!$1:$1016,COLUMN($F$1),FALSE)) - LEN(SUBSTITUTE(VLOOKUP($D354,素材!$1:$1016,COLUMN($F$1),FALSE), "・", 0)) + 1), 0)</f>
        <v>0</v>
      </c>
      <c r="AN354">
        <f>IF(ISNUMBER(SEARCH(SUBSTITUTE(AN$1,RIGHT(AN$1,2),""),VLOOKUP($D354,素材!$1:$1016,COLUMN($F$1),FALSE))),VLOOKUP($C354,武器!$1:$998,COLUMN($O$1),FALSE)*VLOOKUP($D354,素材!$1:$1016,COLUMN($E$1),FALSE)/(LEN(VLOOKUP($D354,素材!$1:$1016,COLUMN($F$1),FALSE)) - LEN(SUBSTITUTE(VLOOKUP($D354,素材!$1:$1016,COLUMN($F$1),FALSE), "・", 0)) + 1), 0)</f>
        <v>0</v>
      </c>
      <c r="AO354">
        <f>IF(ISNUMBER(SEARCH(SUBSTITUTE(AO$1,RIGHT(AO$1,2),""),VLOOKUP($D354,素材!$1:$1016,COLUMN($F$1),FALSE))),VLOOKUP($C354,武器!$1:$998,COLUMN($O$1),FALSE)*VLOOKUP($D354,素材!$1:$1016,COLUMN($E$1),FALSE)/(LEN(VLOOKUP($D354,素材!$1:$1016,COLUMN($F$1),FALSE)) - LEN(SUBSTITUTE(VLOOKUP($D354,素材!$1:$1016,COLUMN($F$1),FALSE), "・", 0)) + 1), 0)</f>
        <v>0</v>
      </c>
      <c r="AP354">
        <f>IF(ISNUMBER(SEARCH(SUBSTITUTE(AP$1,RIGHT(AP$1,2),""),VLOOKUP($D354,素材!$1:$1016,COLUMN($F$1),FALSE))),VLOOKUP($C354,武器!$1:$998,COLUMN($O$1),FALSE)*VLOOKUP($D354,素材!$1:$1016,COLUMN($E$1),FALSE)/(LEN(VLOOKUP($D354,素材!$1:$1016,COLUMN($F$1),FALSE)) - LEN(SUBSTITUTE(VLOOKUP($D354,素材!$1:$1016,COLUMN($F$1),FALSE), "・", 0)) + 1), 0)</f>
        <v>0</v>
      </c>
      <c r="AQ354">
        <f>IF(ISNUMBER(SEARCH(SUBSTITUTE(AQ$1,RIGHT(AQ$1,2),""),VLOOKUP($D354,素材!$1:$1016,COLUMN($F$1),FALSE))),VLOOKUP($C354,武器!$1:$998,COLUMN($O$1),FALSE)*VLOOKUP($D354,素材!$1:$1016,COLUMN($E$1),FALSE)/(LEN(VLOOKUP($D354,素材!$1:$1016,COLUMN($F$1),FALSE)) - LEN(SUBSTITUTE(VLOOKUP($D354,素材!$1:$1016,COLUMN($F$1),FALSE), "・", 0)) + 1), 0)</f>
        <v>0</v>
      </c>
      <c r="AR354">
        <f>IF(ISNUMBER(SEARCH(SUBSTITUTE(AR$1,RIGHT(AR$1,2),""),VLOOKUP($D354,素材!$1:$1016,COLUMN($F$1),FALSE))),VLOOKUP($C354,武器!$1:$998,COLUMN($O$1),FALSE)*VLOOKUP($D354,素材!$1:$1016,COLUMN($E$1),FALSE)/(LEN(VLOOKUP($D354,素材!$1:$1016,COLUMN($F$1),FALSE)) - LEN(SUBSTITUTE(VLOOKUP($D354,素材!$1:$1016,COLUMN($F$1),FALSE), "・", 0)) + 1), 0)</f>
        <v>0</v>
      </c>
      <c r="AS354">
        <f>IF(ISNUMBER(SEARCH(SUBSTITUTE(AS$1,RIGHT(AS$1,2),""),VLOOKUP($D354,素材!$1:$1016,COLUMN($F$1),FALSE))),VLOOKUP($C354,武器!$1:$998,COLUMN($O$1),FALSE)*VLOOKUP($D354,素材!$1:$1016,COLUMN($E$1),FALSE)/(LEN(VLOOKUP($D354,素材!$1:$1016,COLUMN($F$1),FALSE)) - LEN(SUBSTITUTE(VLOOKUP($D354,素材!$1:$1016,COLUMN($F$1),FALSE), "・", 0)) + 1), 0)</f>
        <v>0</v>
      </c>
      <c r="AT354">
        <f>IF(ISNUMBER(SEARCH(SUBSTITUTE(AT$1,RIGHT(AT$1,2),""),VLOOKUP($D354,素材!$1:$1016,COLUMN($F$1),FALSE))),VLOOKUP($C354,武器!$1:$998,COLUMN($O$1),FALSE)*VLOOKUP($D354,素材!$1:$1016,COLUMN($E$1),FALSE)/(LEN(VLOOKUP($D354,素材!$1:$1016,COLUMN($F$1),FALSE)) - LEN(SUBSTITUTE(VLOOKUP($D354,素材!$1:$1016,COLUMN($F$1),FALSE), "・", 0)) + 1), 0)</f>
        <v>0</v>
      </c>
      <c r="AU354">
        <f>IF(ISNUMBER(SEARCH(SUBSTITUTE(AU$1,RIGHT(AU$1,2),""),VLOOKUP($D354,素材!$1:$1016,COLUMN($F$1),FALSE))),VLOOKUP($C354,武器!$1:$998,COLUMN($O$1),FALSE)*VLOOKUP($D354,素材!$1:$1016,COLUMN($E$1),FALSE)/(LEN(VLOOKUP($D354,素材!$1:$1016,COLUMN($F$1),FALSE)) - LEN(SUBSTITUTE(VLOOKUP($D354,素材!$1:$1016,COLUMN($F$1),FALSE), "・", 0)) + 1), 0)</f>
        <v>0</v>
      </c>
      <c r="AV354">
        <f>IF(ISNUMBER(SEARCH(SUBSTITUTE(AV$1,RIGHT(AV$1,2),""),VLOOKUP($D354,素材!$1:$1016,COLUMN($F$1),FALSE))),VLOOKUP($C354,武器!$1:$998,COLUMN($O$1),FALSE)*VLOOKUP($D354,素材!$1:$1016,COLUMN($E$1),FALSE)/(LEN(VLOOKUP($D354,素材!$1:$1016,COLUMN($F$1),FALSE)) - LEN(SUBSTITUTE(VLOOKUP($D354,素材!$1:$1016,COLUMN($F$1),FALSE), "・", 0)) + 1), 0)</f>
        <v>0</v>
      </c>
      <c r="AW354">
        <f>IF(ISNUMBER(SEARCH(SUBSTITUTE(AW$1,RIGHT(AW$1,2),""),VLOOKUP($D354,素材!$1:$1016,COLUMN($F$1),FALSE))),VLOOKUP($C354,武器!$1:$998,COLUMN($O$1),FALSE)*VLOOKUP($D354,素材!$1:$1016,COLUMN($E$1),FALSE)/(LEN(VLOOKUP($D354,素材!$1:$1016,COLUMN($F$1),FALSE)) - LEN(SUBSTITUTE(VLOOKUP($D354,素材!$1:$1016,COLUMN($F$1),FALSE), "・", 0)) + 1), 0)</f>
        <v>0</v>
      </c>
      <c r="AX354">
        <f>IF(ISNUMBER(SEARCH(SUBSTITUTE(AX$1,RIGHT(AX$1,2),""),VLOOKUP($D354,素材!$1:$1016,COLUMN($F$1),FALSE))),VLOOKUP($C354,武器!$1:$998,COLUMN($O$1),FALSE)*VLOOKUP($D354,素材!$1:$1016,COLUMN($E$1),FALSE)/(LEN(VLOOKUP($D354,素材!$1:$1016,COLUMN($F$1),FALSE)) - LEN(SUBSTITUTE(VLOOKUP($D354,素材!$1:$1016,COLUMN($F$1),FALSE), "・", 0)) + 1), 0)</f>
        <v>0</v>
      </c>
      <c r="AY354">
        <f>IF(ISNUMBER(SEARCH(SUBSTITUTE(AY$1,RIGHT(AY$1,2),""),VLOOKUP($D354,素材!$1:$1016,COLUMN($F$1),FALSE))),VLOOKUP($C354,武器!$1:$998,COLUMN($O$1),FALSE)*VLOOKUP($D354,素材!$1:$1016,COLUMN($E$1),FALSE)/(LEN(VLOOKUP($D354,素材!$1:$1016,COLUMN($F$1),FALSE)) - LEN(SUBSTITUTE(VLOOKUP($D354,素材!$1:$1016,COLUMN($F$1),FALSE), "・", 0)) + 1), 0)</f>
        <v>0</v>
      </c>
      <c r="AZ354">
        <f>IF(ISNUMBER(SEARCH(SUBSTITUTE(AZ$1,RIGHT(AZ$1,2),""),VLOOKUP($D354,素材!$1:$1016,COLUMN($F$1),FALSE))),VLOOKUP($C354,武器!$1:$998,COLUMN($O$1),FALSE)*VLOOKUP($D354,素材!$1:$1016,COLUMN($E$1),FALSE)/(LEN(VLOOKUP($D354,素材!$1:$1016,COLUMN($F$1),FALSE)) - LEN(SUBSTITUTE(VLOOKUP($D354,素材!$1:$1016,COLUMN($F$1),FALSE), "・", 0)) + 1), 0)</f>
        <v>0</v>
      </c>
      <c r="BA354">
        <f>IF(ISNUMBER(SEARCH(SUBSTITUTE(BA$1,RIGHT(BA$1,2),""),VLOOKUP($D354,素材!$1:$1016,COLUMN($F$1),FALSE))),VLOOKUP($C354,武器!$1:$998,COLUMN($O$1),FALSE)*VLOOKUP($D354,素材!$1:$1016,COLUMN($E$1),FALSE)/(LEN(VLOOKUP($D354,素材!$1:$1016,COLUMN($F$1),FALSE)) - LEN(SUBSTITUTE(VLOOKUP($D354,素材!$1:$1016,COLUMN($F$1),FALSE), "・", 0)) + 1), 0)</f>
        <v>0</v>
      </c>
      <c r="BB354">
        <f>IF(ISNUMBER(SEARCH(SUBSTITUTE(BB$1,RIGHT(BB$1,2),""),VLOOKUP($D354,素材!$1:$1016,COLUMN($F$1),FALSE))),VLOOKUP($C354,武器!$1:$998,COLUMN($O$1),FALSE)*VLOOKUP($D354,素材!$1:$1016,COLUMN($E$1),FALSE)/(LEN(VLOOKUP($D354,素材!$1:$1016,COLUMN($F$1),FALSE)) - LEN(SUBSTITUTE(VLOOKUP($D354,素材!$1:$1016,COLUMN($F$1),FALSE), "・", 0)) + 1), 0)</f>
        <v>0</v>
      </c>
      <c r="BC354">
        <f>IF(ISNUMBER(SEARCH(SUBSTITUTE(BC$1,RIGHT(BC$1,2),""),VLOOKUP($D354,素材!$1:$1016,COLUMN($F$1),FALSE))),VLOOKUP($C354,武器!$1:$998,COLUMN($O$1),FALSE)*VLOOKUP($D354,素材!$1:$1016,COLUMN($E$1),FALSE)/(LEN(VLOOKUP($D354,素材!$1:$1016,COLUMN($F$1),FALSE)) - LEN(SUBSTITUTE(VLOOKUP($D354,素材!$1:$1016,COLUMN($F$1),FALSE), "・", 0)) + 1), 0)</f>
        <v>0</v>
      </c>
      <c r="BD354">
        <f>IF(ISNUMBER(SEARCH(SUBSTITUTE(BD$1,RIGHT(BD$1,2),""),VLOOKUP($D354,素材!$1:$1016,COLUMN($F$1),FALSE))),VLOOKUP($C354,武器!$1:$998,COLUMN($O$1),FALSE)*VLOOKUP($D354,素材!$1:$1016,COLUMN($E$1),FALSE)/(LEN(VLOOKUP($D354,素材!$1:$1016,COLUMN($F$1),FALSE)) - LEN(SUBSTITUTE(VLOOKUP($D354,素材!$1:$1016,COLUMN($F$1),FALSE), "・", 0)) + 1), 0)</f>
        <v>0</v>
      </c>
      <c r="BE354">
        <f>IF(ISNUMBER(SEARCH(SUBSTITUTE(BE$1,RIGHT(BE$1,2),""),VLOOKUP($D354,素材!$1:$1016,COLUMN($F$1),FALSE))),VLOOKUP($C354,武器!$1:$998,COLUMN($O$1),FALSE)*VLOOKUP($D354,素材!$1:$1016,COLUMN($E$1),FALSE)/(LEN(VLOOKUP($D354,素材!$1:$1016,COLUMN($F$1),FALSE)) - LEN(SUBSTITUTE(VLOOKUP($D354,素材!$1:$1016,COLUMN($F$1),FALSE), "・", 0)) + 1), 0)</f>
        <v>0</v>
      </c>
      <c r="CL354">
        <f>SUM(G354:I354)</f>
        <v>32</v>
      </c>
      <c r="CM354" s="22" t="str">
        <f>IF(E354="武器",IF(J354-1&gt;SUM(G354:I354),"盾",IF(MAX(G354:I354)=G354,"切断",IF(MAX(G354:I354)=H354,"貫通",IF(MAX(G354:I354)=I354,"打撃","射撃")))),E354)&amp;".webp"</f>
        <v>切断.webp</v>
      </c>
      <c r="CN354">
        <f>IFERROR(VLOOKUP($C354,武器!$1:$998,COLUMN(V$1),FALSE)*VLOOKUP($D354,素材!$1:$1016,COLUMN(N$1),FALSE)+IF(CI354="",0,VLOOKUP($CI354,装強!$1:$1008,COLUMN($CK$1),FALSE)),"")</f>
        <v>8000</v>
      </c>
      <c r="CO354">
        <f>VLOOKUP(D354,素材!$A:$O,COLUMN(素材!O$1),FALSE)</f>
        <v>0</v>
      </c>
      <c r="CP354" t="str">
        <f>VLOOKUP(C354,武器!$A:$W,COLUMN(武器!W$1),FALSE)</f>
        <v>長剣。長く重い分扱いにくいが威力が高い。</v>
      </c>
      <c r="CR354" t="str">
        <f t="shared" si="35"/>
        <v>e_354</v>
      </c>
      <c r="CS354">
        <f t="shared" si="36"/>
        <v>800000</v>
      </c>
    </row>
    <row r="355" spans="1:97" outlineLevel="1" x14ac:dyDescent="0.4">
      <c r="A355" t="str">
        <f t="shared" si="37"/>
        <v>金鉄の長剣</v>
      </c>
      <c r="B355" t="str">
        <f>IFERROR(VLOOKUP($D355,素材!$1:$1016,COLUMN($B$1),FALSE)&amp;"・"&amp;VLOOKUP($C355,武器!$1:$998,COLUMN(B$1),FALSE),"")</f>
        <v>オリハルコン・ロングソード</v>
      </c>
      <c r="C355" t="s">
        <v>195</v>
      </c>
      <c r="D355" s="24" t="s">
        <v>200</v>
      </c>
      <c r="E355" t="str">
        <f>IFERROR(VLOOKUP(C355,武器!$1:$998,COLUMN(C$1),FALSE),"")</f>
        <v>武器</v>
      </c>
      <c r="F355">
        <f>IFERROR(ROUNDDOWN((VLOOKUP($C355,武器!$1:$998,COLUMN(D$1),FALSE)+IFERROR(VLOOKUP($CI355,装強!$1:$999,COLUMN(F$1),FALSE),0))*VLOOKUP($D355,素材!$1:$1016,COLUMN(D$1),FALSE),0),"")</f>
        <v>115</v>
      </c>
      <c r="G355">
        <f>IFERROR(ROUNDDOWN((VLOOKUP($C355,武器!$1:$998,COLUMN(E$1),FALSE)+IFERROR(VLOOKUP($CI355,装強!$1:$999,COLUMN(G$1),FALSE),0))*VLOOKUP($D355,素材!$1:$1016,COLUMN($E$1),FALSE),0),"")</f>
        <v>26</v>
      </c>
      <c r="H355">
        <f>IFERROR(ROUNDDOWN((VLOOKUP($C355,武器!$1:$998,COLUMN(F$1),FALSE)+IFERROR(VLOOKUP($CI355,装強!$1:$999,COLUMN(H$1),FALSE),0))*VLOOKUP($D355,素材!$1:$1016,COLUMN($E$1),FALSE),0),"")</f>
        <v>15</v>
      </c>
      <c r="I355">
        <f>IFERROR(ROUNDDOWN((VLOOKUP($C355,武器!$1:$998,COLUMN(G$1),FALSE)+IFERROR(VLOOKUP($CI355,装強!$1:$999,COLUMN(I$1),FALSE),0))*VLOOKUP($D355,素材!$1:$1016,COLUMN($E$1),FALSE),0),"")</f>
        <v>5</v>
      </c>
      <c r="J355">
        <f>IFERROR(ROUNDDOWN((VLOOKUP($C355,武器!$1:$998,COLUMN(H$1),FALSE)+IFERROR(VLOOKUP($CI355,装強!$1:$999,COLUMN(J$1),FALSE),0))*VLOOKUP($D355,素材!$1:$1016,COLUMN($E$1),FALSE),0),"")</f>
        <v>35</v>
      </c>
      <c r="K355">
        <f>IFERROR(ROUNDDOWN((VLOOKUP($C355,武器!$1:$998,COLUMN(I$1),FALSE)+IFERROR(VLOOKUP($CI355,装強!$1:$999,COLUMN(K$1),FALSE),0))*VLOOKUP($D355,素材!$1:$1016,COLUMN($E$1),FALSE),0),"")</f>
        <v>0</v>
      </c>
      <c r="L355" t="str">
        <f>IFERROR(VLOOKUP($D355,素材!$1:$1016,COLUMN($F$1),FALSE),"")</f>
        <v>魔法</v>
      </c>
      <c r="M355">
        <f>IFERROR(VLOOKUP($C355,武器!$1:$998,COLUMN(AA$1),FALSE)*VLOOKUP($D355,素材!$1:$1016,COLUMN($G$1),FALSE),"")</f>
        <v>0</v>
      </c>
      <c r="N355">
        <f>IFERROR(VLOOKUP($C355,武器!$1:$998,COLUMN(I$1),FALSE),"")</f>
        <v>0</v>
      </c>
      <c r="O355" s="23">
        <f>IFERROR((VLOOKUP($C355,武器!$1:$998,COLUMN(K$1),FALSE)+VLOOKUP($D355,素材!$1:$1016,COLUMN(H$1),FALSE))*100+IFERROR(VLOOKUP($CI355,装強!$1:$999,COLUMN(O$1),FALSE),0),"")</f>
        <v>12.000000000000002</v>
      </c>
      <c r="P355" s="23">
        <f>IFERROR((VLOOKUP($C355,武器!$1:$998,COLUMN(L$1),FALSE)+VLOOKUP($D355,素材!$1:$1016,COLUMN(I$1),FALSE))*100+IFERROR(VLOOKUP($CI355,装強!$1:$999,COLUMN(P$1),FALSE),0),"")</f>
        <v>155</v>
      </c>
      <c r="Q355">
        <f>IFERROR(ROUNDUP(VLOOKUP($C355,武器!$1:$998,COLUMN(M$1),FALSE)*(VLOOKUP($D355,素材!$1:$1002,COLUMN(D$1),FALSE)/100),1),"")</f>
        <v>-2.5</v>
      </c>
      <c r="R355">
        <f>IFERROR(ROUNDUP(VLOOKUP($C355,武器!$1:$998,COLUMN(N$1),FALSE)*(VLOOKUP($D355,素材!$1:$1002,COLUMN(D$1),FALSE)/100),1),"")</f>
        <v>-2.5</v>
      </c>
      <c r="S355">
        <f>IFERROR(VLOOKUP($C355,武器!$1:$998,COLUMN(P$1),FALSE),"")</f>
        <v>0</v>
      </c>
      <c r="T355">
        <f>IFERROR(VLOOKUP($C355,武器!$1:$998,COLUMN(Q$1),FALSE),"")</f>
        <v>0</v>
      </c>
      <c r="U355">
        <f>IFERROR(VLOOKUP($C355,武器!$1:$998,COLUMN(R$1),FALSE),"")</f>
        <v>0</v>
      </c>
      <c r="V355">
        <f>IFERROR(VLOOKUP($C355,武器!$1:$998,COLUMN(Q$1),FALSE),"")</f>
        <v>0</v>
      </c>
      <c r="W355" t="str">
        <f>IFERROR(VLOOKUP($C355,武器!$1:$998,COLUMN(T$1),FALSE),"")</f>
        <v>A</v>
      </c>
      <c r="Y355">
        <f>IFERROR(VLOOKUP($C355,武器!$1:$998,COLUMN(U$1),FALSE),"")</f>
        <v>0</v>
      </c>
      <c r="Z355">
        <f>IFERROR(ROUNDUP(VLOOKUP($C355,武器!$1:$998,COLUMN(O$1),FALSE)*VLOOKUP($D355,素材!$1:$1016,COLUMN(E$1),FALSE),1),"")</f>
        <v>0</v>
      </c>
      <c r="AA355">
        <f>IF(ISNUMBER(SEARCH(SUBSTITUTE(AA$1,RIGHT(AA$1,2),""),VLOOKUP($D355,素材!$1:$1016,COLUMN($F$1),FALSE))),VLOOKUP($C355,武器!$1:$998,COLUMN($O$1),FALSE)*VLOOKUP($D355,素材!$1:$1016,COLUMN($E$1),FALSE)/(LEN(VLOOKUP($D355,素材!$1:$1016,COLUMN($F$1),FALSE)) - LEN(SUBSTITUTE(VLOOKUP($D355,素材!$1:$1016,COLUMN($F$1),FALSE), "・", 0)) + 1), 0)</f>
        <v>0</v>
      </c>
      <c r="AB355">
        <f>IF(ISNUMBER(SEARCH(SUBSTITUTE(AB$1,RIGHT(AB$1,2),""),VLOOKUP($D355,素材!$1:$1016,COLUMN($F$1),FALSE))),VLOOKUP($C355,武器!$1:$998,COLUMN($O$1),FALSE)*VLOOKUP($D355,素材!$1:$1016,COLUMN($E$1),FALSE)/(LEN(VLOOKUP($D355,素材!$1:$1016,COLUMN($F$1),FALSE)) - LEN(SUBSTITUTE(VLOOKUP($D355,素材!$1:$1016,COLUMN($F$1),FALSE), "・", 0)) + 1), 0)</f>
        <v>0</v>
      </c>
      <c r="AC355">
        <f>IF(ISNUMBER(SEARCH(SUBSTITUTE(AC$1,RIGHT(AC$1,2),""),VLOOKUP($D355,素材!$1:$1016,COLUMN($F$1),FALSE))),VLOOKUP($C355,武器!$1:$998,COLUMN($O$1),FALSE)*VLOOKUP($D355,素材!$1:$1016,COLUMN($E$1),FALSE)/(LEN(VLOOKUP($D355,素材!$1:$1016,COLUMN($F$1),FALSE)) - LEN(SUBSTITUTE(VLOOKUP($D355,素材!$1:$1016,COLUMN($F$1),FALSE), "・", 0)) + 1), 0)</f>
        <v>0</v>
      </c>
      <c r="AD355">
        <f>IF(ISNUMBER(SEARCH(SUBSTITUTE(AD$1,RIGHT(AD$1,2),""),VLOOKUP($D355,素材!$1:$1016,COLUMN($F$1),FALSE))),VLOOKUP($C355,武器!$1:$998,COLUMN($O$1),FALSE)*VLOOKUP($D355,素材!$1:$1016,COLUMN($E$1),FALSE)/(LEN(VLOOKUP($D355,素材!$1:$1016,COLUMN($F$1),FALSE)) - LEN(SUBSTITUTE(VLOOKUP($D355,素材!$1:$1016,COLUMN($F$1),FALSE), "・", 0)) + 1), 0)</f>
        <v>0</v>
      </c>
      <c r="AE355">
        <f>IF(ISNUMBER(SEARCH(SUBSTITUTE(AE$1,RIGHT(AE$1,2),""),VLOOKUP($D355,素材!$1:$1016,COLUMN($F$1),FALSE))),VLOOKUP($C355,武器!$1:$998,COLUMN($O$1),FALSE)*VLOOKUP($D355,素材!$1:$1016,COLUMN($E$1),FALSE)/(LEN(VLOOKUP($D355,素材!$1:$1016,COLUMN($F$1),FALSE)) - LEN(SUBSTITUTE(VLOOKUP($D355,素材!$1:$1016,COLUMN($F$1),FALSE), "・", 0)) + 1), 0)</f>
        <v>0</v>
      </c>
      <c r="AF355">
        <f>IF(ISNUMBER(SEARCH(SUBSTITUTE(AF$1,RIGHT(AF$1,2),""),VLOOKUP($D355,素材!$1:$1016,COLUMN($F$1),FALSE))),VLOOKUP($C355,武器!$1:$998,COLUMN($O$1),FALSE)*VLOOKUP($D355,素材!$1:$1016,COLUMN($E$1),FALSE)/(LEN(VLOOKUP($D355,素材!$1:$1016,COLUMN($F$1),FALSE)) - LEN(SUBSTITUTE(VLOOKUP($D355,素材!$1:$1016,COLUMN($F$1),FALSE), "・", 0)) + 1), 0)</f>
        <v>0</v>
      </c>
      <c r="AG355">
        <f>IF(ISNUMBER(SEARCH(SUBSTITUTE(AG$1,RIGHT(AG$1,2),""),VLOOKUP($D355,素材!$1:$1016,COLUMN($F$1),FALSE))),VLOOKUP($C355,武器!$1:$998,COLUMN($O$1),FALSE)*VLOOKUP($D355,素材!$1:$1016,COLUMN($E$1),FALSE)/(LEN(VLOOKUP($D355,素材!$1:$1016,COLUMN($F$1),FALSE)) - LEN(SUBSTITUTE(VLOOKUP($D355,素材!$1:$1016,COLUMN($F$1),FALSE), "・", 0)) + 1), 0)</f>
        <v>0</v>
      </c>
      <c r="AH355">
        <f>IF(ISNUMBER(SEARCH(SUBSTITUTE(AH$1,RIGHT(AH$1,2),""),VLOOKUP($D355,素材!$1:$1016,COLUMN($F$1),FALSE))),VLOOKUP($C355,武器!$1:$998,COLUMN($O$1),FALSE)*VLOOKUP($D355,素材!$1:$1016,COLUMN($E$1),FALSE)/(LEN(VLOOKUP($D355,素材!$1:$1016,COLUMN($F$1),FALSE)) - LEN(SUBSTITUTE(VLOOKUP($D355,素材!$1:$1016,COLUMN($F$1),FALSE), "・", 0)) + 1), 0)</f>
        <v>0</v>
      </c>
      <c r="AI355">
        <f>IF(ISNUMBER(SEARCH(SUBSTITUTE(AI$1,RIGHT(AI$1,2),""),VLOOKUP($D355,素材!$1:$1016,COLUMN($F$1),FALSE))),VLOOKUP($C355,武器!$1:$998,COLUMN($O$1),FALSE)*VLOOKUP($D355,素材!$1:$1016,COLUMN($E$1),FALSE)/(LEN(VLOOKUP($D355,素材!$1:$1016,COLUMN($F$1),FALSE)) - LEN(SUBSTITUTE(VLOOKUP($D355,素材!$1:$1016,COLUMN($F$1),FALSE), "・", 0)) + 1), 0)</f>
        <v>0</v>
      </c>
      <c r="AJ355">
        <f>IF(ISNUMBER(SEARCH(SUBSTITUTE(AJ$1,RIGHT(AJ$1,2),""),VLOOKUP($D355,素材!$1:$1016,COLUMN($F$1),FALSE))),VLOOKUP($C355,武器!$1:$998,COLUMN($O$1),FALSE)*VLOOKUP($D355,素材!$1:$1016,COLUMN($E$1),FALSE)/(LEN(VLOOKUP($D355,素材!$1:$1016,COLUMN($F$1),FALSE)) - LEN(SUBSTITUTE(VLOOKUP($D355,素材!$1:$1016,COLUMN($F$1),FALSE), "・", 0)) + 1), 0)</f>
        <v>0</v>
      </c>
      <c r="AK355">
        <f>IF(ISNUMBER(SEARCH(SUBSTITUTE(AK$1,RIGHT(AK$1,2),""),VLOOKUP($D355,素材!$1:$1016,COLUMN($F$1),FALSE))),VLOOKUP($C355,武器!$1:$998,COLUMN($O$1),FALSE)*VLOOKUP($D355,素材!$1:$1016,COLUMN($E$1),FALSE)/(LEN(VLOOKUP($D355,素材!$1:$1016,COLUMN($F$1),FALSE)) - LEN(SUBSTITUTE(VLOOKUP($D355,素材!$1:$1016,COLUMN($F$1),FALSE), "・", 0)) + 1), 0)</f>
        <v>0</v>
      </c>
      <c r="AL355">
        <f>IF(ISNUMBER(SEARCH(SUBSTITUTE(AL$1,RIGHT(AL$1,2),""),VLOOKUP($D355,素材!$1:$1016,COLUMN($F$1),FALSE))),VLOOKUP($C355,武器!$1:$998,COLUMN($O$1),FALSE)*VLOOKUP($D355,素材!$1:$1016,COLUMN($E$1),FALSE)/(LEN(VLOOKUP($D355,素材!$1:$1016,COLUMN($F$1),FALSE)) - LEN(SUBSTITUTE(VLOOKUP($D355,素材!$1:$1016,COLUMN($F$1),FALSE), "・", 0)) + 1), 0)</f>
        <v>0</v>
      </c>
      <c r="AM355">
        <f>IF(ISNUMBER(SEARCH(SUBSTITUTE(AM$1,RIGHT(AM$1,2),""),VLOOKUP($D355,素材!$1:$1016,COLUMN($F$1),FALSE))),VLOOKUP($C355,武器!$1:$998,COLUMN($O$1),FALSE)*VLOOKUP($D355,素材!$1:$1016,COLUMN($E$1),FALSE)/(LEN(VLOOKUP($D355,素材!$1:$1016,COLUMN($F$1),FALSE)) - LEN(SUBSTITUTE(VLOOKUP($D355,素材!$1:$1016,COLUMN($F$1),FALSE), "・", 0)) + 1), 0)</f>
        <v>0</v>
      </c>
      <c r="AN355">
        <f>IF(ISNUMBER(SEARCH(SUBSTITUTE(AN$1,RIGHT(AN$1,2),""),VLOOKUP($D355,素材!$1:$1016,COLUMN($F$1),FALSE))),VLOOKUP($C355,武器!$1:$998,COLUMN($O$1),FALSE)*VLOOKUP($D355,素材!$1:$1016,COLUMN($E$1),FALSE)/(LEN(VLOOKUP($D355,素材!$1:$1016,COLUMN($F$1),FALSE)) - LEN(SUBSTITUTE(VLOOKUP($D355,素材!$1:$1016,COLUMN($F$1),FALSE), "・", 0)) + 1), 0)</f>
        <v>0</v>
      </c>
      <c r="AO355">
        <f>IF(ISNUMBER(SEARCH(SUBSTITUTE(AO$1,RIGHT(AO$1,2),""),VLOOKUP($D355,素材!$1:$1016,COLUMN($F$1),FALSE))),VLOOKUP($C355,武器!$1:$998,COLUMN($O$1),FALSE)*VLOOKUP($D355,素材!$1:$1016,COLUMN($E$1),FALSE)/(LEN(VLOOKUP($D355,素材!$1:$1016,COLUMN($F$1),FALSE)) - LEN(SUBSTITUTE(VLOOKUP($D355,素材!$1:$1016,COLUMN($F$1),FALSE), "・", 0)) + 1), 0)</f>
        <v>0</v>
      </c>
      <c r="AP355">
        <f>IF(ISNUMBER(SEARCH(SUBSTITUTE(AP$1,RIGHT(AP$1,2),""),VLOOKUP($D355,素材!$1:$1016,COLUMN($F$1),FALSE))),VLOOKUP($C355,武器!$1:$998,COLUMN($O$1),FALSE)*VLOOKUP($D355,素材!$1:$1016,COLUMN($E$1),FALSE)/(LEN(VLOOKUP($D355,素材!$1:$1016,COLUMN($F$1),FALSE)) - LEN(SUBSTITUTE(VLOOKUP($D355,素材!$1:$1016,COLUMN($F$1),FALSE), "・", 0)) + 1), 0)</f>
        <v>0</v>
      </c>
      <c r="AQ355">
        <f>IF(ISNUMBER(SEARCH(SUBSTITUTE(AQ$1,RIGHT(AQ$1,2),""),VLOOKUP($D355,素材!$1:$1016,COLUMN($F$1),FALSE))),VLOOKUP($C355,武器!$1:$998,COLUMN($O$1),FALSE)*VLOOKUP($D355,素材!$1:$1016,COLUMN($E$1),FALSE)/(LEN(VLOOKUP($D355,素材!$1:$1016,COLUMN($F$1),FALSE)) - LEN(SUBSTITUTE(VLOOKUP($D355,素材!$1:$1016,COLUMN($F$1),FALSE), "・", 0)) + 1), 0)</f>
        <v>0</v>
      </c>
      <c r="AR355">
        <f>IF(ISNUMBER(SEARCH(SUBSTITUTE(AR$1,RIGHT(AR$1,2),""),VLOOKUP($D355,素材!$1:$1016,COLUMN($F$1),FALSE))),VLOOKUP($C355,武器!$1:$998,COLUMN($O$1),FALSE)*VLOOKUP($D355,素材!$1:$1016,COLUMN($E$1),FALSE)/(LEN(VLOOKUP($D355,素材!$1:$1016,COLUMN($F$1),FALSE)) - LEN(SUBSTITUTE(VLOOKUP($D355,素材!$1:$1016,COLUMN($F$1),FALSE), "・", 0)) + 1), 0)</f>
        <v>0</v>
      </c>
      <c r="AS355">
        <f>IF(ISNUMBER(SEARCH(SUBSTITUTE(AS$1,RIGHT(AS$1,2),""),VLOOKUP($D355,素材!$1:$1016,COLUMN($F$1),FALSE))),VLOOKUP($C355,武器!$1:$998,COLUMN($O$1),FALSE)*VLOOKUP($D355,素材!$1:$1016,COLUMN($E$1),FALSE)/(LEN(VLOOKUP($D355,素材!$1:$1016,COLUMN($F$1),FALSE)) - LEN(SUBSTITUTE(VLOOKUP($D355,素材!$1:$1016,COLUMN($F$1),FALSE), "・", 0)) + 1), 0)</f>
        <v>0</v>
      </c>
      <c r="AT355">
        <f>IF(ISNUMBER(SEARCH(SUBSTITUTE(AT$1,RIGHT(AT$1,2),""),VLOOKUP($D355,素材!$1:$1016,COLUMN($F$1),FALSE))),VLOOKUP($C355,武器!$1:$998,COLUMN($O$1),FALSE)*VLOOKUP($D355,素材!$1:$1016,COLUMN($E$1),FALSE)/(LEN(VLOOKUP($D355,素材!$1:$1016,COLUMN($F$1),FALSE)) - LEN(SUBSTITUTE(VLOOKUP($D355,素材!$1:$1016,COLUMN($F$1),FALSE), "・", 0)) + 1), 0)</f>
        <v>0</v>
      </c>
      <c r="AU355">
        <f>IF(ISNUMBER(SEARCH(SUBSTITUTE(AU$1,RIGHT(AU$1,2),""),VLOOKUP($D355,素材!$1:$1016,COLUMN($F$1),FALSE))),VLOOKUP($C355,武器!$1:$998,COLUMN($O$1),FALSE)*VLOOKUP($D355,素材!$1:$1016,COLUMN($E$1),FALSE)/(LEN(VLOOKUP($D355,素材!$1:$1016,COLUMN($F$1),FALSE)) - LEN(SUBSTITUTE(VLOOKUP($D355,素材!$1:$1016,COLUMN($F$1),FALSE), "・", 0)) + 1), 0)</f>
        <v>0</v>
      </c>
      <c r="AV355">
        <f>IF(ISNUMBER(SEARCH(SUBSTITUTE(AV$1,RIGHT(AV$1,2),""),VLOOKUP($D355,素材!$1:$1016,COLUMN($F$1),FALSE))),VLOOKUP($C355,武器!$1:$998,COLUMN($O$1),FALSE)*VLOOKUP($D355,素材!$1:$1016,COLUMN($E$1),FALSE)/(LEN(VLOOKUP($D355,素材!$1:$1016,COLUMN($F$1),FALSE)) - LEN(SUBSTITUTE(VLOOKUP($D355,素材!$1:$1016,COLUMN($F$1),FALSE), "・", 0)) + 1), 0)</f>
        <v>0</v>
      </c>
      <c r="AW355">
        <f>IF(ISNUMBER(SEARCH(SUBSTITUTE(AW$1,RIGHT(AW$1,2),""),VLOOKUP($D355,素材!$1:$1016,COLUMN($F$1),FALSE))),VLOOKUP($C355,武器!$1:$998,COLUMN($O$1),FALSE)*VLOOKUP($D355,素材!$1:$1016,COLUMN($E$1),FALSE)/(LEN(VLOOKUP($D355,素材!$1:$1016,COLUMN($F$1),FALSE)) - LEN(SUBSTITUTE(VLOOKUP($D355,素材!$1:$1016,COLUMN($F$1),FALSE), "・", 0)) + 1), 0)</f>
        <v>0</v>
      </c>
      <c r="AX355">
        <f>IF(ISNUMBER(SEARCH(SUBSTITUTE(AX$1,RIGHT(AX$1,2),""),VLOOKUP($D355,素材!$1:$1016,COLUMN($F$1),FALSE))),VLOOKUP($C355,武器!$1:$998,COLUMN($O$1),FALSE)*VLOOKUP($D355,素材!$1:$1016,COLUMN($E$1),FALSE)/(LEN(VLOOKUP($D355,素材!$1:$1016,COLUMN($F$1),FALSE)) - LEN(SUBSTITUTE(VLOOKUP($D355,素材!$1:$1016,COLUMN($F$1),FALSE), "・", 0)) + 1), 0)</f>
        <v>0</v>
      </c>
      <c r="AY355">
        <f>IF(ISNUMBER(SEARCH(SUBSTITUTE(AY$1,RIGHT(AY$1,2),""),VLOOKUP($D355,素材!$1:$1016,COLUMN($F$1),FALSE))),VLOOKUP($C355,武器!$1:$998,COLUMN($O$1),FALSE)*VLOOKUP($D355,素材!$1:$1016,COLUMN($E$1),FALSE)/(LEN(VLOOKUP($D355,素材!$1:$1016,COLUMN($F$1),FALSE)) - LEN(SUBSTITUTE(VLOOKUP($D355,素材!$1:$1016,COLUMN($F$1),FALSE), "・", 0)) + 1), 0)</f>
        <v>0</v>
      </c>
      <c r="AZ355">
        <f>IF(ISNUMBER(SEARCH(SUBSTITUTE(AZ$1,RIGHT(AZ$1,2),""),VLOOKUP($D355,素材!$1:$1016,COLUMN($F$1),FALSE))),VLOOKUP($C355,武器!$1:$998,COLUMN($O$1),FALSE)*VLOOKUP($D355,素材!$1:$1016,COLUMN($E$1),FALSE)/(LEN(VLOOKUP($D355,素材!$1:$1016,COLUMN($F$1),FALSE)) - LEN(SUBSTITUTE(VLOOKUP($D355,素材!$1:$1016,COLUMN($F$1),FALSE), "・", 0)) + 1), 0)</f>
        <v>0</v>
      </c>
      <c r="BA355">
        <f>IF(ISNUMBER(SEARCH(SUBSTITUTE(BA$1,RIGHT(BA$1,2),""),VLOOKUP($D355,素材!$1:$1016,COLUMN($F$1),FALSE))),VLOOKUP($C355,武器!$1:$998,COLUMN($O$1),FALSE)*VLOOKUP($D355,素材!$1:$1016,COLUMN($E$1),FALSE)/(LEN(VLOOKUP($D355,素材!$1:$1016,COLUMN($F$1),FALSE)) - LEN(SUBSTITUTE(VLOOKUP($D355,素材!$1:$1016,COLUMN($F$1),FALSE), "・", 0)) + 1), 0)</f>
        <v>0</v>
      </c>
      <c r="BB355">
        <f>IF(ISNUMBER(SEARCH(SUBSTITUTE(BB$1,RIGHT(BB$1,2),""),VLOOKUP($D355,素材!$1:$1016,COLUMN($F$1),FALSE))),VLOOKUP($C355,武器!$1:$998,COLUMN($O$1),FALSE)*VLOOKUP($D355,素材!$1:$1016,COLUMN($E$1),FALSE)/(LEN(VLOOKUP($D355,素材!$1:$1016,COLUMN($F$1),FALSE)) - LEN(SUBSTITUTE(VLOOKUP($D355,素材!$1:$1016,COLUMN($F$1),FALSE), "・", 0)) + 1), 0)</f>
        <v>0</v>
      </c>
      <c r="BC355">
        <f>IF(ISNUMBER(SEARCH(SUBSTITUTE(BC$1,RIGHT(BC$1,2),""),VLOOKUP($D355,素材!$1:$1016,COLUMN($F$1),FALSE))),VLOOKUP($C355,武器!$1:$998,COLUMN($O$1),FALSE)*VLOOKUP($D355,素材!$1:$1016,COLUMN($E$1),FALSE)/(LEN(VLOOKUP($D355,素材!$1:$1016,COLUMN($F$1),FALSE)) - LEN(SUBSTITUTE(VLOOKUP($D355,素材!$1:$1016,COLUMN($F$1),FALSE), "・", 0)) + 1), 0)</f>
        <v>0</v>
      </c>
      <c r="BD355">
        <f>IF(ISNUMBER(SEARCH(SUBSTITUTE(BD$1,RIGHT(BD$1,2),""),VLOOKUP($D355,素材!$1:$1016,COLUMN($F$1),FALSE))),VLOOKUP($C355,武器!$1:$998,COLUMN($O$1),FALSE)*VLOOKUP($D355,素材!$1:$1016,COLUMN($E$1),FALSE)/(LEN(VLOOKUP($D355,素材!$1:$1016,COLUMN($F$1),FALSE)) - LEN(SUBSTITUTE(VLOOKUP($D355,素材!$1:$1016,COLUMN($F$1),FALSE), "・", 0)) + 1), 0)</f>
        <v>0</v>
      </c>
      <c r="BE355">
        <f>IF(ISNUMBER(SEARCH(SUBSTITUTE(BE$1,RIGHT(BE$1,2),""),VLOOKUP($D355,素材!$1:$1016,COLUMN($F$1),FALSE))),VLOOKUP($C355,武器!$1:$998,COLUMN($O$1),FALSE)*VLOOKUP($D355,素材!$1:$1016,COLUMN($E$1),FALSE)/(LEN(VLOOKUP($D355,素材!$1:$1016,COLUMN($F$1),FALSE)) - LEN(SUBSTITUTE(VLOOKUP($D355,素材!$1:$1016,COLUMN($F$1),FALSE), "・", 0)) + 1), 0)</f>
        <v>0</v>
      </c>
      <c r="CL355">
        <f>SUM(G355:I355)</f>
        <v>46</v>
      </c>
      <c r="CM355" s="22" t="str">
        <f>IF(E355="武器",IF(J355-1&gt;SUM(G355:I355),"盾",IF(MAX(G355:I355)=G355,"切断",IF(MAX(G355:I355)=H355,"貫通",IF(MAX(G355:I355)=I355,"打撃","射撃")))),E355)&amp;".webp"</f>
        <v>切断.webp</v>
      </c>
      <c r="CN355">
        <f>IFERROR(VLOOKUP($C355,武器!$1:$998,COLUMN(V$1),FALSE)*VLOOKUP($D355,素材!$1:$1016,COLUMN(N$1),FALSE)+IF(CI355="",0,VLOOKUP($CI355,装強!$1:$1008,COLUMN($CK$1),FALSE)),"")</f>
        <v>9000</v>
      </c>
      <c r="CO355">
        <f>VLOOKUP(D355,素材!$A:$O,COLUMN(素材!O$1),FALSE)</f>
        <v>0</v>
      </c>
      <c r="CP355" t="str">
        <f>VLOOKUP(C355,武器!$A:$W,COLUMN(武器!W$1),FALSE)</f>
        <v>長剣。長く重い分扱いにくいが威力が高い。</v>
      </c>
      <c r="CR355" t="str">
        <f t="shared" si="35"/>
        <v>e_355</v>
      </c>
      <c r="CS355">
        <f t="shared" si="36"/>
        <v>900000</v>
      </c>
    </row>
    <row r="356" spans="1:97" outlineLevel="1" x14ac:dyDescent="0.4">
      <c r="A356" t="str">
        <f t="shared" si="37"/>
        <v>黒鉄の長剣</v>
      </c>
      <c r="B356" t="str">
        <f>IFERROR(VLOOKUP($D356,素材!$1:$1016,COLUMN($B$1),FALSE)&amp;"・"&amp;VLOOKUP($C356,武器!$1:$998,COLUMN(B$1),FALSE),"")</f>
        <v>アダマンタイト・ロングソード</v>
      </c>
      <c r="C356" t="s">
        <v>195</v>
      </c>
      <c r="D356" s="24" t="s">
        <v>199</v>
      </c>
      <c r="E356" t="str">
        <f>IFERROR(VLOOKUP(C356,武器!$1:$998,COLUMN(C$1),FALSE),"")</f>
        <v>武器</v>
      </c>
      <c r="F356">
        <f>IFERROR(ROUNDDOWN((VLOOKUP($C356,武器!$1:$998,COLUMN(D$1),FALSE)+IFERROR(VLOOKUP($CI356,装強!$1:$999,COLUMN(F$1),FALSE),0))*VLOOKUP($D356,素材!$1:$1016,COLUMN(D$1),FALSE),0),"")</f>
        <v>132</v>
      </c>
      <c r="G356">
        <f>IFERROR(ROUNDDOWN((VLOOKUP($C356,武器!$1:$998,COLUMN(E$1),FALSE)+IFERROR(VLOOKUP($CI356,装強!$1:$999,COLUMN(G$1),FALSE),0))*VLOOKUP($D356,素材!$1:$1016,COLUMN($E$1),FALSE),0),"")</f>
        <v>30</v>
      </c>
      <c r="H356">
        <f>IFERROR(ROUNDDOWN((VLOOKUP($C356,武器!$1:$998,COLUMN(F$1),FALSE)+IFERROR(VLOOKUP($CI356,装強!$1:$999,COLUMN(H$1),FALSE),0))*VLOOKUP($D356,素材!$1:$1016,COLUMN($E$1),FALSE),0),"")</f>
        <v>18</v>
      </c>
      <c r="I356">
        <f>IFERROR(ROUNDDOWN((VLOOKUP($C356,武器!$1:$998,COLUMN(G$1),FALSE)+IFERROR(VLOOKUP($CI356,装強!$1:$999,COLUMN(I$1),FALSE),0))*VLOOKUP($D356,素材!$1:$1016,COLUMN($E$1),FALSE),0),"")</f>
        <v>6</v>
      </c>
      <c r="J356">
        <f>IFERROR(ROUNDDOWN((VLOOKUP($C356,武器!$1:$998,COLUMN(H$1),FALSE)+IFERROR(VLOOKUP($CI356,装強!$1:$999,COLUMN(J$1),FALSE),0))*VLOOKUP($D356,素材!$1:$1016,COLUMN($E$1),FALSE),0),"")</f>
        <v>40</v>
      </c>
      <c r="K356">
        <f>IFERROR(ROUNDDOWN((VLOOKUP($C356,武器!$1:$998,COLUMN(I$1),FALSE)+IFERROR(VLOOKUP($CI356,装強!$1:$999,COLUMN(K$1),FALSE),0))*VLOOKUP($D356,素材!$1:$1016,COLUMN($E$1),FALSE),0),"")</f>
        <v>0</v>
      </c>
      <c r="L356">
        <f>IFERROR(VLOOKUP($D356,素材!$1:$1016,COLUMN($F$1),FALSE),"")</f>
        <v>0</v>
      </c>
      <c r="M356">
        <f>IFERROR(VLOOKUP($C356,武器!$1:$998,COLUMN(AA$1),FALSE)*VLOOKUP($D356,素材!$1:$1016,COLUMN($G$1),FALSE),"")</f>
        <v>0</v>
      </c>
      <c r="N356">
        <f>IFERROR(VLOOKUP($C356,武器!$1:$998,COLUMN(I$1),FALSE),"")</f>
        <v>0</v>
      </c>
      <c r="O356" s="23">
        <f>IFERROR((VLOOKUP($C356,武器!$1:$998,COLUMN(K$1),FALSE)+VLOOKUP($D356,素材!$1:$1016,COLUMN(H$1),FALSE))*100+IFERROR(VLOOKUP($CI356,装強!$1:$999,COLUMN(O$1),FALSE),0),"")</f>
        <v>12.000000000000002</v>
      </c>
      <c r="P356" s="23">
        <f>IFERROR((VLOOKUP($C356,武器!$1:$998,COLUMN(L$1),FALSE)+VLOOKUP($D356,素材!$1:$1016,COLUMN(I$1),FALSE))*100+IFERROR(VLOOKUP($CI356,装強!$1:$999,COLUMN(P$1),FALSE),0),"")</f>
        <v>155</v>
      </c>
      <c r="Q356">
        <f>IFERROR(ROUNDUP(VLOOKUP($C356,武器!$1:$998,COLUMN(M$1),FALSE)*(VLOOKUP($D356,素材!$1:$1002,COLUMN(D$1),FALSE)/100),1),"")</f>
        <v>-2.9</v>
      </c>
      <c r="R356">
        <f>IFERROR(ROUNDUP(VLOOKUP($C356,武器!$1:$998,COLUMN(N$1),FALSE)*(VLOOKUP($D356,素材!$1:$1002,COLUMN(D$1),FALSE)/100),1),"")</f>
        <v>-2.9</v>
      </c>
      <c r="S356">
        <f>IFERROR(VLOOKUP($C356,武器!$1:$998,COLUMN(P$1),FALSE),"")</f>
        <v>0</v>
      </c>
      <c r="T356">
        <f>IFERROR(VLOOKUP($C356,武器!$1:$998,COLUMN(Q$1),FALSE),"")</f>
        <v>0</v>
      </c>
      <c r="U356">
        <f>IFERROR(VLOOKUP($C356,武器!$1:$998,COLUMN(R$1),FALSE),"")</f>
        <v>0</v>
      </c>
      <c r="V356">
        <f>IFERROR(VLOOKUP($C356,武器!$1:$998,COLUMN(Q$1),FALSE),"")</f>
        <v>0</v>
      </c>
      <c r="W356" t="str">
        <f>IFERROR(VLOOKUP($C356,武器!$1:$998,COLUMN(T$1),FALSE),"")</f>
        <v>A</v>
      </c>
      <c r="Y356">
        <f>IFERROR(VLOOKUP($C356,武器!$1:$998,COLUMN(U$1),FALSE),"")</f>
        <v>0</v>
      </c>
      <c r="Z356">
        <f>IFERROR(ROUNDUP(VLOOKUP($C356,武器!$1:$998,COLUMN(O$1),FALSE)*VLOOKUP($D356,素材!$1:$1016,COLUMN(E$1),FALSE),1),"")</f>
        <v>0</v>
      </c>
      <c r="AA356">
        <f>IF(ISNUMBER(SEARCH(SUBSTITUTE(AA$1,RIGHT(AA$1,2),""),VLOOKUP($D356,素材!$1:$1016,COLUMN($F$1),FALSE))),VLOOKUP($C356,武器!$1:$998,COLUMN($O$1),FALSE)*VLOOKUP($D356,素材!$1:$1016,COLUMN($E$1),FALSE)/(LEN(VLOOKUP($D356,素材!$1:$1016,COLUMN($F$1),FALSE)) - LEN(SUBSTITUTE(VLOOKUP($D356,素材!$1:$1016,COLUMN($F$1),FALSE), "・", 0)) + 1), 0)</f>
        <v>0</v>
      </c>
      <c r="AB356">
        <f>IF(ISNUMBER(SEARCH(SUBSTITUTE(AB$1,RIGHT(AB$1,2),""),VLOOKUP($D356,素材!$1:$1016,COLUMN($F$1),FALSE))),VLOOKUP($C356,武器!$1:$998,COLUMN($O$1),FALSE)*VLOOKUP($D356,素材!$1:$1016,COLUMN($E$1),FALSE)/(LEN(VLOOKUP($D356,素材!$1:$1016,COLUMN($F$1),FALSE)) - LEN(SUBSTITUTE(VLOOKUP($D356,素材!$1:$1016,COLUMN($F$1),FALSE), "・", 0)) + 1), 0)</f>
        <v>0</v>
      </c>
      <c r="AC356">
        <f>IF(ISNUMBER(SEARCH(SUBSTITUTE(AC$1,RIGHT(AC$1,2),""),VLOOKUP($D356,素材!$1:$1016,COLUMN($F$1),FALSE))),VLOOKUP($C356,武器!$1:$998,COLUMN($O$1),FALSE)*VLOOKUP($D356,素材!$1:$1016,COLUMN($E$1),FALSE)/(LEN(VLOOKUP($D356,素材!$1:$1016,COLUMN($F$1),FALSE)) - LEN(SUBSTITUTE(VLOOKUP($D356,素材!$1:$1016,COLUMN($F$1),FALSE), "・", 0)) + 1), 0)</f>
        <v>0</v>
      </c>
      <c r="AD356">
        <f>IF(ISNUMBER(SEARCH(SUBSTITUTE(AD$1,RIGHT(AD$1,2),""),VLOOKUP($D356,素材!$1:$1016,COLUMN($F$1),FALSE))),VLOOKUP($C356,武器!$1:$998,COLUMN($O$1),FALSE)*VLOOKUP($D356,素材!$1:$1016,COLUMN($E$1),FALSE)/(LEN(VLOOKUP($D356,素材!$1:$1016,COLUMN($F$1),FALSE)) - LEN(SUBSTITUTE(VLOOKUP($D356,素材!$1:$1016,COLUMN($F$1),FALSE), "・", 0)) + 1), 0)</f>
        <v>0</v>
      </c>
      <c r="AE356">
        <f>IF(ISNUMBER(SEARCH(SUBSTITUTE(AE$1,RIGHT(AE$1,2),""),VLOOKUP($D356,素材!$1:$1016,COLUMN($F$1),FALSE))),VLOOKUP($C356,武器!$1:$998,COLUMN($O$1),FALSE)*VLOOKUP($D356,素材!$1:$1016,COLUMN($E$1),FALSE)/(LEN(VLOOKUP($D356,素材!$1:$1016,COLUMN($F$1),FALSE)) - LEN(SUBSTITUTE(VLOOKUP($D356,素材!$1:$1016,COLUMN($F$1),FALSE), "・", 0)) + 1), 0)</f>
        <v>0</v>
      </c>
      <c r="AF356">
        <f>IF(ISNUMBER(SEARCH(SUBSTITUTE(AF$1,RIGHT(AF$1,2),""),VLOOKUP($D356,素材!$1:$1016,COLUMN($F$1),FALSE))),VLOOKUP($C356,武器!$1:$998,COLUMN($O$1),FALSE)*VLOOKUP($D356,素材!$1:$1016,COLUMN($E$1),FALSE)/(LEN(VLOOKUP($D356,素材!$1:$1016,COLUMN($F$1),FALSE)) - LEN(SUBSTITUTE(VLOOKUP($D356,素材!$1:$1016,COLUMN($F$1),FALSE), "・", 0)) + 1), 0)</f>
        <v>0</v>
      </c>
      <c r="AG356">
        <f>IF(ISNUMBER(SEARCH(SUBSTITUTE(AG$1,RIGHT(AG$1,2),""),VLOOKUP($D356,素材!$1:$1016,COLUMN($F$1),FALSE))),VLOOKUP($C356,武器!$1:$998,COLUMN($O$1),FALSE)*VLOOKUP($D356,素材!$1:$1016,COLUMN($E$1),FALSE)/(LEN(VLOOKUP($D356,素材!$1:$1016,COLUMN($F$1),FALSE)) - LEN(SUBSTITUTE(VLOOKUP($D356,素材!$1:$1016,COLUMN($F$1),FALSE), "・", 0)) + 1), 0)</f>
        <v>0</v>
      </c>
      <c r="AH356">
        <f>IF(ISNUMBER(SEARCH(SUBSTITUTE(AH$1,RIGHT(AH$1,2),""),VLOOKUP($D356,素材!$1:$1016,COLUMN($F$1),FALSE))),VLOOKUP($C356,武器!$1:$998,COLUMN($O$1),FALSE)*VLOOKUP($D356,素材!$1:$1016,COLUMN($E$1),FALSE)/(LEN(VLOOKUP($D356,素材!$1:$1016,COLUMN($F$1),FALSE)) - LEN(SUBSTITUTE(VLOOKUP($D356,素材!$1:$1016,COLUMN($F$1),FALSE), "・", 0)) + 1), 0)</f>
        <v>0</v>
      </c>
      <c r="AI356">
        <f>IF(ISNUMBER(SEARCH(SUBSTITUTE(AI$1,RIGHT(AI$1,2),""),VLOOKUP($D356,素材!$1:$1016,COLUMN($F$1),FALSE))),VLOOKUP($C356,武器!$1:$998,COLUMN($O$1),FALSE)*VLOOKUP($D356,素材!$1:$1016,COLUMN($E$1),FALSE)/(LEN(VLOOKUP($D356,素材!$1:$1016,COLUMN($F$1),FALSE)) - LEN(SUBSTITUTE(VLOOKUP($D356,素材!$1:$1016,COLUMN($F$1),FALSE), "・", 0)) + 1), 0)</f>
        <v>0</v>
      </c>
      <c r="AJ356">
        <f>IF(ISNUMBER(SEARCH(SUBSTITUTE(AJ$1,RIGHT(AJ$1,2),""),VLOOKUP($D356,素材!$1:$1016,COLUMN($F$1),FALSE))),VLOOKUP($C356,武器!$1:$998,COLUMN($O$1),FALSE)*VLOOKUP($D356,素材!$1:$1016,COLUMN($E$1),FALSE)/(LEN(VLOOKUP($D356,素材!$1:$1016,COLUMN($F$1),FALSE)) - LEN(SUBSTITUTE(VLOOKUP($D356,素材!$1:$1016,COLUMN($F$1),FALSE), "・", 0)) + 1), 0)</f>
        <v>0</v>
      </c>
      <c r="AK356">
        <f>IF(ISNUMBER(SEARCH(SUBSTITUTE(AK$1,RIGHT(AK$1,2),""),VLOOKUP($D356,素材!$1:$1016,COLUMN($F$1),FALSE))),VLOOKUP($C356,武器!$1:$998,COLUMN($O$1),FALSE)*VLOOKUP($D356,素材!$1:$1016,COLUMN($E$1),FALSE)/(LEN(VLOOKUP($D356,素材!$1:$1016,COLUMN($F$1),FALSE)) - LEN(SUBSTITUTE(VLOOKUP($D356,素材!$1:$1016,COLUMN($F$1),FALSE), "・", 0)) + 1), 0)</f>
        <v>0</v>
      </c>
      <c r="AL356">
        <f>IF(ISNUMBER(SEARCH(SUBSTITUTE(AL$1,RIGHT(AL$1,2),""),VLOOKUP($D356,素材!$1:$1016,COLUMN($F$1),FALSE))),VLOOKUP($C356,武器!$1:$998,COLUMN($O$1),FALSE)*VLOOKUP($D356,素材!$1:$1016,COLUMN($E$1),FALSE)/(LEN(VLOOKUP($D356,素材!$1:$1016,COLUMN($F$1),FALSE)) - LEN(SUBSTITUTE(VLOOKUP($D356,素材!$1:$1016,COLUMN($F$1),FALSE), "・", 0)) + 1), 0)</f>
        <v>0</v>
      </c>
      <c r="AM356">
        <f>IF(ISNUMBER(SEARCH(SUBSTITUTE(AM$1,RIGHT(AM$1,2),""),VLOOKUP($D356,素材!$1:$1016,COLUMN($F$1),FALSE))),VLOOKUP($C356,武器!$1:$998,COLUMN($O$1),FALSE)*VLOOKUP($D356,素材!$1:$1016,COLUMN($E$1),FALSE)/(LEN(VLOOKUP($D356,素材!$1:$1016,COLUMN($F$1),FALSE)) - LEN(SUBSTITUTE(VLOOKUP($D356,素材!$1:$1016,COLUMN($F$1),FALSE), "・", 0)) + 1), 0)</f>
        <v>0</v>
      </c>
      <c r="AN356">
        <f>IF(ISNUMBER(SEARCH(SUBSTITUTE(AN$1,RIGHT(AN$1,2),""),VLOOKUP($D356,素材!$1:$1016,COLUMN($F$1),FALSE))),VLOOKUP($C356,武器!$1:$998,COLUMN($O$1),FALSE)*VLOOKUP($D356,素材!$1:$1016,COLUMN($E$1),FALSE)/(LEN(VLOOKUP($D356,素材!$1:$1016,COLUMN($F$1),FALSE)) - LEN(SUBSTITUTE(VLOOKUP($D356,素材!$1:$1016,COLUMN($F$1),FALSE), "・", 0)) + 1), 0)</f>
        <v>0</v>
      </c>
      <c r="AO356">
        <f>IF(ISNUMBER(SEARCH(SUBSTITUTE(AO$1,RIGHT(AO$1,2),""),VLOOKUP($D356,素材!$1:$1016,COLUMN($F$1),FALSE))),VLOOKUP($C356,武器!$1:$998,COLUMN($O$1),FALSE)*VLOOKUP($D356,素材!$1:$1016,COLUMN($E$1),FALSE)/(LEN(VLOOKUP($D356,素材!$1:$1016,COLUMN($F$1),FALSE)) - LEN(SUBSTITUTE(VLOOKUP($D356,素材!$1:$1016,COLUMN($F$1),FALSE), "・", 0)) + 1), 0)</f>
        <v>0</v>
      </c>
      <c r="AP356">
        <f>IF(ISNUMBER(SEARCH(SUBSTITUTE(AP$1,RIGHT(AP$1,2),""),VLOOKUP($D356,素材!$1:$1016,COLUMN($F$1),FALSE))),VLOOKUP($C356,武器!$1:$998,COLUMN($O$1),FALSE)*VLOOKUP($D356,素材!$1:$1016,COLUMN($E$1),FALSE)/(LEN(VLOOKUP($D356,素材!$1:$1016,COLUMN($F$1),FALSE)) - LEN(SUBSTITUTE(VLOOKUP($D356,素材!$1:$1016,COLUMN($F$1),FALSE), "・", 0)) + 1), 0)</f>
        <v>0</v>
      </c>
      <c r="AQ356">
        <f>IF(ISNUMBER(SEARCH(SUBSTITUTE(AQ$1,RIGHT(AQ$1,2),""),VLOOKUP($D356,素材!$1:$1016,COLUMN($F$1),FALSE))),VLOOKUP($C356,武器!$1:$998,COLUMN($O$1),FALSE)*VLOOKUP($D356,素材!$1:$1016,COLUMN($E$1),FALSE)/(LEN(VLOOKUP($D356,素材!$1:$1016,COLUMN($F$1),FALSE)) - LEN(SUBSTITUTE(VLOOKUP($D356,素材!$1:$1016,COLUMN($F$1),FALSE), "・", 0)) + 1), 0)</f>
        <v>0</v>
      </c>
      <c r="AR356">
        <f>IF(ISNUMBER(SEARCH(SUBSTITUTE(AR$1,RIGHT(AR$1,2),""),VLOOKUP($D356,素材!$1:$1016,COLUMN($F$1),FALSE))),VLOOKUP($C356,武器!$1:$998,COLUMN($O$1),FALSE)*VLOOKUP($D356,素材!$1:$1016,COLUMN($E$1),FALSE)/(LEN(VLOOKUP($D356,素材!$1:$1016,COLUMN($F$1),FALSE)) - LEN(SUBSTITUTE(VLOOKUP($D356,素材!$1:$1016,COLUMN($F$1),FALSE), "・", 0)) + 1), 0)</f>
        <v>0</v>
      </c>
      <c r="AS356">
        <f>IF(ISNUMBER(SEARCH(SUBSTITUTE(AS$1,RIGHT(AS$1,2),""),VLOOKUP($D356,素材!$1:$1016,COLUMN($F$1),FALSE))),VLOOKUP($C356,武器!$1:$998,COLUMN($O$1),FALSE)*VLOOKUP($D356,素材!$1:$1016,COLUMN($E$1),FALSE)/(LEN(VLOOKUP($D356,素材!$1:$1016,COLUMN($F$1),FALSE)) - LEN(SUBSTITUTE(VLOOKUP($D356,素材!$1:$1016,COLUMN($F$1),FALSE), "・", 0)) + 1), 0)</f>
        <v>0</v>
      </c>
      <c r="AT356">
        <f>IF(ISNUMBER(SEARCH(SUBSTITUTE(AT$1,RIGHT(AT$1,2),""),VLOOKUP($D356,素材!$1:$1016,COLUMN($F$1),FALSE))),VLOOKUP($C356,武器!$1:$998,COLUMN($O$1),FALSE)*VLOOKUP($D356,素材!$1:$1016,COLUMN($E$1),FALSE)/(LEN(VLOOKUP($D356,素材!$1:$1016,COLUMN($F$1),FALSE)) - LEN(SUBSTITUTE(VLOOKUP($D356,素材!$1:$1016,COLUMN($F$1),FALSE), "・", 0)) + 1), 0)</f>
        <v>0</v>
      </c>
      <c r="AU356">
        <f>IF(ISNUMBER(SEARCH(SUBSTITUTE(AU$1,RIGHT(AU$1,2),""),VLOOKUP($D356,素材!$1:$1016,COLUMN($F$1),FALSE))),VLOOKUP($C356,武器!$1:$998,COLUMN($O$1),FALSE)*VLOOKUP($D356,素材!$1:$1016,COLUMN($E$1),FALSE)/(LEN(VLOOKUP($D356,素材!$1:$1016,COLUMN($F$1),FALSE)) - LEN(SUBSTITUTE(VLOOKUP($D356,素材!$1:$1016,COLUMN($F$1),FALSE), "・", 0)) + 1), 0)</f>
        <v>0</v>
      </c>
      <c r="AV356">
        <f>IF(ISNUMBER(SEARCH(SUBSTITUTE(AV$1,RIGHT(AV$1,2),""),VLOOKUP($D356,素材!$1:$1016,COLUMN($F$1),FALSE))),VLOOKUP($C356,武器!$1:$998,COLUMN($O$1),FALSE)*VLOOKUP($D356,素材!$1:$1016,COLUMN($E$1),FALSE)/(LEN(VLOOKUP($D356,素材!$1:$1016,COLUMN($F$1),FALSE)) - LEN(SUBSTITUTE(VLOOKUP($D356,素材!$1:$1016,COLUMN($F$1),FALSE), "・", 0)) + 1), 0)</f>
        <v>0</v>
      </c>
      <c r="AW356">
        <f>IF(ISNUMBER(SEARCH(SUBSTITUTE(AW$1,RIGHT(AW$1,2),""),VLOOKUP($D356,素材!$1:$1016,COLUMN($F$1),FALSE))),VLOOKUP($C356,武器!$1:$998,COLUMN($O$1),FALSE)*VLOOKUP($D356,素材!$1:$1016,COLUMN($E$1),FALSE)/(LEN(VLOOKUP($D356,素材!$1:$1016,COLUMN($F$1),FALSE)) - LEN(SUBSTITUTE(VLOOKUP($D356,素材!$1:$1016,COLUMN($F$1),FALSE), "・", 0)) + 1), 0)</f>
        <v>0</v>
      </c>
      <c r="AX356">
        <f>IF(ISNUMBER(SEARCH(SUBSTITUTE(AX$1,RIGHT(AX$1,2),""),VLOOKUP($D356,素材!$1:$1016,COLUMN($F$1),FALSE))),VLOOKUP($C356,武器!$1:$998,COLUMN($O$1),FALSE)*VLOOKUP($D356,素材!$1:$1016,COLUMN($E$1),FALSE)/(LEN(VLOOKUP($D356,素材!$1:$1016,COLUMN($F$1),FALSE)) - LEN(SUBSTITUTE(VLOOKUP($D356,素材!$1:$1016,COLUMN($F$1),FALSE), "・", 0)) + 1), 0)</f>
        <v>0</v>
      </c>
      <c r="AY356">
        <f>IF(ISNUMBER(SEARCH(SUBSTITUTE(AY$1,RIGHT(AY$1,2),""),VLOOKUP($D356,素材!$1:$1016,COLUMN($F$1),FALSE))),VLOOKUP($C356,武器!$1:$998,COLUMN($O$1),FALSE)*VLOOKUP($D356,素材!$1:$1016,COLUMN($E$1),FALSE)/(LEN(VLOOKUP($D356,素材!$1:$1016,COLUMN($F$1),FALSE)) - LEN(SUBSTITUTE(VLOOKUP($D356,素材!$1:$1016,COLUMN($F$1),FALSE), "・", 0)) + 1), 0)</f>
        <v>0</v>
      </c>
      <c r="AZ356">
        <f>IF(ISNUMBER(SEARCH(SUBSTITUTE(AZ$1,RIGHT(AZ$1,2),""),VLOOKUP($D356,素材!$1:$1016,COLUMN($F$1),FALSE))),VLOOKUP($C356,武器!$1:$998,COLUMN($O$1),FALSE)*VLOOKUP($D356,素材!$1:$1016,COLUMN($E$1),FALSE)/(LEN(VLOOKUP($D356,素材!$1:$1016,COLUMN($F$1),FALSE)) - LEN(SUBSTITUTE(VLOOKUP($D356,素材!$1:$1016,COLUMN($F$1),FALSE), "・", 0)) + 1), 0)</f>
        <v>0</v>
      </c>
      <c r="BA356">
        <f>IF(ISNUMBER(SEARCH(SUBSTITUTE(BA$1,RIGHT(BA$1,2),""),VLOOKUP($D356,素材!$1:$1016,COLUMN($F$1),FALSE))),VLOOKUP($C356,武器!$1:$998,COLUMN($O$1),FALSE)*VLOOKUP($D356,素材!$1:$1016,COLUMN($E$1),FALSE)/(LEN(VLOOKUP($D356,素材!$1:$1016,COLUMN($F$1),FALSE)) - LEN(SUBSTITUTE(VLOOKUP($D356,素材!$1:$1016,COLUMN($F$1),FALSE), "・", 0)) + 1), 0)</f>
        <v>0</v>
      </c>
      <c r="BB356">
        <f>IF(ISNUMBER(SEARCH(SUBSTITUTE(BB$1,RIGHT(BB$1,2),""),VLOOKUP($D356,素材!$1:$1016,COLUMN($F$1),FALSE))),VLOOKUP($C356,武器!$1:$998,COLUMN($O$1),FALSE)*VLOOKUP($D356,素材!$1:$1016,COLUMN($E$1),FALSE)/(LEN(VLOOKUP($D356,素材!$1:$1016,COLUMN($F$1),FALSE)) - LEN(SUBSTITUTE(VLOOKUP($D356,素材!$1:$1016,COLUMN($F$1),FALSE), "・", 0)) + 1), 0)</f>
        <v>0</v>
      </c>
      <c r="BC356">
        <f>IF(ISNUMBER(SEARCH(SUBSTITUTE(BC$1,RIGHT(BC$1,2),""),VLOOKUP($D356,素材!$1:$1016,COLUMN($F$1),FALSE))),VLOOKUP($C356,武器!$1:$998,COLUMN($O$1),FALSE)*VLOOKUP($D356,素材!$1:$1016,COLUMN($E$1),FALSE)/(LEN(VLOOKUP($D356,素材!$1:$1016,COLUMN($F$1),FALSE)) - LEN(SUBSTITUTE(VLOOKUP($D356,素材!$1:$1016,COLUMN($F$1),FALSE), "・", 0)) + 1), 0)</f>
        <v>0</v>
      </c>
      <c r="BD356">
        <f>IF(ISNUMBER(SEARCH(SUBSTITUTE(BD$1,RIGHT(BD$1,2),""),VLOOKUP($D356,素材!$1:$1016,COLUMN($F$1),FALSE))),VLOOKUP($C356,武器!$1:$998,COLUMN($O$1),FALSE)*VLOOKUP($D356,素材!$1:$1016,COLUMN($E$1),FALSE)/(LEN(VLOOKUP($D356,素材!$1:$1016,COLUMN($F$1),FALSE)) - LEN(SUBSTITUTE(VLOOKUP($D356,素材!$1:$1016,COLUMN($F$1),FALSE), "・", 0)) + 1), 0)</f>
        <v>0</v>
      </c>
      <c r="BE356">
        <f>IF(ISNUMBER(SEARCH(SUBSTITUTE(BE$1,RIGHT(BE$1,2),""),VLOOKUP($D356,素材!$1:$1016,COLUMN($F$1),FALSE))),VLOOKUP($C356,武器!$1:$998,COLUMN($O$1),FALSE)*VLOOKUP($D356,素材!$1:$1016,COLUMN($E$1),FALSE)/(LEN(VLOOKUP($D356,素材!$1:$1016,COLUMN($F$1),FALSE)) - LEN(SUBSTITUTE(VLOOKUP($D356,素材!$1:$1016,COLUMN($F$1),FALSE), "・", 0)) + 1), 0)</f>
        <v>0</v>
      </c>
      <c r="CL356">
        <f>SUM(G356:I356)</f>
        <v>54</v>
      </c>
      <c r="CM356" s="22" t="str">
        <f>IF(E356="武器",IF(J356-1&gt;SUM(G356:I356),"盾",IF(MAX(G356:I356)=G356,"切断",IF(MAX(G356:I356)=H356,"貫通",IF(MAX(G356:I356)=I356,"打撃","射撃")))),E356)&amp;".webp"</f>
        <v>切断.webp</v>
      </c>
      <c r="CN356">
        <f>IFERROR(VLOOKUP($C356,武器!$1:$998,COLUMN(V$1),FALSE)*VLOOKUP($D356,素材!$1:$1016,COLUMN(N$1),FALSE)+IF(CI356="",0,VLOOKUP($CI356,装強!$1:$1008,COLUMN($CK$1),FALSE)),"")</f>
        <v>10000</v>
      </c>
      <c r="CO356">
        <f>VLOOKUP(D356,素材!$A:$O,COLUMN(素材!O$1),FALSE)</f>
        <v>0</v>
      </c>
      <c r="CP356" t="str">
        <f>VLOOKUP(C356,武器!$A:$W,COLUMN(武器!W$1),FALSE)</f>
        <v>長剣。長く重い分扱いにくいが威力が高い。</v>
      </c>
      <c r="CR356" t="str">
        <f t="shared" si="35"/>
        <v>e_356</v>
      </c>
      <c r="CS356">
        <f t="shared" si="36"/>
        <v>1000000</v>
      </c>
    </row>
    <row r="357" spans="1:97" outlineLevel="1" x14ac:dyDescent="0.4">
      <c r="A357" t="str">
        <f t="shared" si="37"/>
        <v>銀鋼の鎧</v>
      </c>
      <c r="B357" t="str">
        <f>IFERROR(VLOOKUP($D357,素材!$1:$1016,COLUMN($B$1),FALSE)&amp;"・"&amp;VLOOKUP($C357,武器!$1:$998,COLUMN(B$1),FALSE),"")</f>
        <v>シルバーメタル・アーマー</v>
      </c>
      <c r="C357" t="s">
        <v>198</v>
      </c>
      <c r="D357" s="24" t="s">
        <v>197</v>
      </c>
      <c r="E357" t="str">
        <f>IFERROR(VLOOKUP(C357,武器!$1:$998,COLUMN(C$1),FALSE),"")</f>
        <v>体</v>
      </c>
      <c r="F357">
        <f>IFERROR(ROUNDDOWN((VLOOKUP($C357,武器!$1:$998,COLUMN(D$1),FALSE)+IFERROR(VLOOKUP($CI357,装強!$1:$999,COLUMN(F$1),FALSE),0))*VLOOKUP($D357,素材!$1:$1016,COLUMN(D$1),FALSE),0),"")</f>
        <v>0</v>
      </c>
      <c r="G357">
        <f>IFERROR(ROUNDDOWN((VLOOKUP($C357,武器!$1:$998,COLUMN(E$1),FALSE)+IFERROR(VLOOKUP($CI357,装強!$1:$999,COLUMN(G$1),FALSE),0))*VLOOKUP($D357,素材!$1:$1016,COLUMN($E$1),FALSE),0),"")</f>
        <v>0</v>
      </c>
      <c r="H357">
        <f>IFERROR(ROUNDDOWN((VLOOKUP($C357,武器!$1:$998,COLUMN(F$1),FALSE)+IFERROR(VLOOKUP($CI357,装強!$1:$999,COLUMN(H$1),FALSE),0))*VLOOKUP($D357,素材!$1:$1016,COLUMN($E$1),FALSE),0),"")</f>
        <v>0</v>
      </c>
      <c r="I357">
        <f>IFERROR(ROUNDDOWN((VLOOKUP($C357,武器!$1:$998,COLUMN(G$1),FALSE)+IFERROR(VLOOKUP($CI357,装強!$1:$999,COLUMN(I$1),FALSE),0))*VLOOKUP($D357,素材!$1:$1016,COLUMN($E$1),FALSE),0),"")</f>
        <v>0</v>
      </c>
      <c r="J357">
        <f>IFERROR(ROUNDDOWN((VLOOKUP($C357,武器!$1:$998,COLUMN(H$1),FALSE)+IFERROR(VLOOKUP($CI357,装強!$1:$999,COLUMN(J$1),FALSE),0))*VLOOKUP($D357,素材!$1:$1016,COLUMN($E$1),FALSE),0),"")</f>
        <v>0</v>
      </c>
      <c r="K357">
        <f>IFERROR(ROUNDDOWN((VLOOKUP($C357,武器!$1:$998,COLUMN(I$1),FALSE)+IFERROR(VLOOKUP($CI357,装強!$1:$999,COLUMN(K$1),FALSE),0))*VLOOKUP($D357,素材!$1:$1016,COLUMN($E$1),FALSE),0),"")</f>
        <v>0</v>
      </c>
      <c r="L357">
        <f>IFERROR(VLOOKUP($D357,素材!$1:$1016,COLUMN($F$1),FALSE),"")</f>
        <v>0</v>
      </c>
      <c r="M357">
        <f>IFERROR(VLOOKUP($C357,武器!$1:$998,COLUMN(AA$1),FALSE)*VLOOKUP($D357,素材!$1:$1016,COLUMN($G$1),FALSE),"")</f>
        <v>0</v>
      </c>
      <c r="N357">
        <f>IFERROR(VLOOKUP($C357,武器!$1:$998,COLUMN(I$1),FALSE),"")</f>
        <v>0</v>
      </c>
      <c r="O357" s="23">
        <f>IFERROR((VLOOKUP($C357,武器!$1:$998,COLUMN(K$1),FALSE)+VLOOKUP($D357,素材!$1:$1016,COLUMN(H$1),FALSE))*100+IFERROR(VLOOKUP($CI357,装強!$1:$999,COLUMN(O$1),FALSE),0),"")</f>
        <v>5</v>
      </c>
      <c r="P357" s="23">
        <f>IFERROR((VLOOKUP($C357,武器!$1:$998,COLUMN(L$1),FALSE)+VLOOKUP($D357,素材!$1:$1016,COLUMN(I$1),FALSE))*100+IFERROR(VLOOKUP($CI357,装強!$1:$999,COLUMN(P$1),FALSE),0),"")</f>
        <v>10</v>
      </c>
      <c r="Q357">
        <f>IFERROR(ROUNDUP(VLOOKUP($C357,武器!$1:$998,COLUMN(M$1),FALSE)*(VLOOKUP($D357,素材!$1:$1002,COLUMN(D$1),FALSE)/100),1),"")</f>
        <v>-7.5</v>
      </c>
      <c r="R357">
        <f>IFERROR(ROUNDUP(VLOOKUP($C357,武器!$1:$998,COLUMN(N$1),FALSE)*(VLOOKUP($D357,素材!$1:$1002,COLUMN(D$1),FALSE)/100),1),"")</f>
        <v>0</v>
      </c>
      <c r="S357">
        <f>IFERROR(VLOOKUP($C357,武器!$1:$998,COLUMN(P$1),FALSE),"")</f>
        <v>0</v>
      </c>
      <c r="T357">
        <f>IFERROR(VLOOKUP($C357,武器!$1:$998,COLUMN(Q$1),FALSE),"")</f>
        <v>0</v>
      </c>
      <c r="U357">
        <f>IFERROR(VLOOKUP($C357,武器!$1:$998,COLUMN(R$1),FALSE),"")</f>
        <v>0</v>
      </c>
      <c r="V357">
        <f>IFERROR(VLOOKUP($C357,武器!$1:$998,COLUMN(Q$1),FALSE),"")</f>
        <v>0</v>
      </c>
      <c r="W357">
        <f>IFERROR(VLOOKUP($C357,武器!$1:$998,COLUMN(T$1),FALSE),"")</f>
        <v>0</v>
      </c>
      <c r="Y357">
        <f>IFERROR(VLOOKUP($C357,武器!$1:$998,COLUMN(U$1),FALSE),"")</f>
        <v>0</v>
      </c>
      <c r="Z357">
        <f>IFERROR(ROUNDUP(VLOOKUP($C357,武器!$1:$998,COLUMN(O$1),FALSE)*VLOOKUP($D357,素材!$1:$1016,COLUMN(E$1),FALSE),1),"")</f>
        <v>24.5</v>
      </c>
      <c r="AA357">
        <f>IF(ISNUMBER(SEARCH(SUBSTITUTE(AA$1,RIGHT(AA$1,2),""),VLOOKUP($D357,素材!$1:$1016,COLUMN($F$1),FALSE))),VLOOKUP($C357,武器!$1:$998,COLUMN($O$1),FALSE)*VLOOKUP($D357,素材!$1:$1016,COLUMN($E$1),FALSE)/(LEN(VLOOKUP($D357,素材!$1:$1016,COLUMN($F$1),FALSE)) - LEN(SUBSTITUTE(VLOOKUP($D357,素材!$1:$1016,COLUMN($F$1),FALSE), "・", 0)) + 1), 0)</f>
        <v>0</v>
      </c>
      <c r="AB357">
        <f>IF(ISNUMBER(SEARCH(SUBSTITUTE(AB$1,RIGHT(AB$1,2),""),VLOOKUP($D357,素材!$1:$1016,COLUMN($F$1),FALSE))),VLOOKUP($C357,武器!$1:$998,COLUMN($O$1),FALSE)*VLOOKUP($D357,素材!$1:$1016,COLUMN($E$1),FALSE)/(LEN(VLOOKUP($D357,素材!$1:$1016,COLUMN($F$1),FALSE)) - LEN(SUBSTITUTE(VLOOKUP($D357,素材!$1:$1016,COLUMN($F$1),FALSE), "・", 0)) + 1), 0)</f>
        <v>0</v>
      </c>
      <c r="AC357">
        <f>IF(ISNUMBER(SEARCH(SUBSTITUTE(AC$1,RIGHT(AC$1,2),""),VLOOKUP($D357,素材!$1:$1016,COLUMN($F$1),FALSE))),VLOOKUP($C357,武器!$1:$998,COLUMN($O$1),FALSE)*VLOOKUP($D357,素材!$1:$1016,COLUMN($E$1),FALSE)/(LEN(VLOOKUP($D357,素材!$1:$1016,COLUMN($F$1),FALSE)) - LEN(SUBSTITUTE(VLOOKUP($D357,素材!$1:$1016,COLUMN($F$1),FALSE), "・", 0)) + 1), 0)</f>
        <v>0</v>
      </c>
      <c r="AD357">
        <f>IF(ISNUMBER(SEARCH(SUBSTITUTE(AD$1,RIGHT(AD$1,2),""),VLOOKUP($D357,素材!$1:$1016,COLUMN($F$1),FALSE))),VLOOKUP($C357,武器!$1:$998,COLUMN($O$1),FALSE)*VLOOKUP($D357,素材!$1:$1016,COLUMN($E$1),FALSE)/(LEN(VLOOKUP($D357,素材!$1:$1016,COLUMN($F$1),FALSE)) - LEN(SUBSTITUTE(VLOOKUP($D357,素材!$1:$1016,COLUMN($F$1),FALSE), "・", 0)) + 1), 0)</f>
        <v>0</v>
      </c>
      <c r="AE357">
        <f>IF(ISNUMBER(SEARCH(SUBSTITUTE(AE$1,RIGHT(AE$1,2),""),VLOOKUP($D357,素材!$1:$1016,COLUMN($F$1),FALSE))),VLOOKUP($C357,武器!$1:$998,COLUMN($O$1),FALSE)*VLOOKUP($D357,素材!$1:$1016,COLUMN($E$1),FALSE)/(LEN(VLOOKUP($D357,素材!$1:$1016,COLUMN($F$1),FALSE)) - LEN(SUBSTITUTE(VLOOKUP($D357,素材!$1:$1016,COLUMN($F$1),FALSE), "・", 0)) + 1), 0)</f>
        <v>0</v>
      </c>
      <c r="AF357">
        <f>IF(ISNUMBER(SEARCH(SUBSTITUTE(AF$1,RIGHT(AF$1,2),""),VLOOKUP($D357,素材!$1:$1016,COLUMN($F$1),FALSE))),VLOOKUP($C357,武器!$1:$998,COLUMN($O$1),FALSE)*VLOOKUP($D357,素材!$1:$1016,COLUMN($E$1),FALSE)/(LEN(VLOOKUP($D357,素材!$1:$1016,COLUMN($F$1),FALSE)) - LEN(SUBSTITUTE(VLOOKUP($D357,素材!$1:$1016,COLUMN($F$1),FALSE), "・", 0)) + 1), 0)</f>
        <v>0</v>
      </c>
      <c r="AG357">
        <f>IF(ISNUMBER(SEARCH(SUBSTITUTE(AG$1,RIGHT(AG$1,2),""),VLOOKUP($D357,素材!$1:$1016,COLUMN($F$1),FALSE))),VLOOKUP($C357,武器!$1:$998,COLUMN($O$1),FALSE)*VLOOKUP($D357,素材!$1:$1016,COLUMN($E$1),FALSE)/(LEN(VLOOKUP($D357,素材!$1:$1016,COLUMN($F$1),FALSE)) - LEN(SUBSTITUTE(VLOOKUP($D357,素材!$1:$1016,COLUMN($F$1),FALSE), "・", 0)) + 1), 0)</f>
        <v>0</v>
      </c>
      <c r="AH357">
        <f>IF(ISNUMBER(SEARCH(SUBSTITUTE(AH$1,RIGHT(AH$1,2),""),VLOOKUP($D357,素材!$1:$1016,COLUMN($F$1),FALSE))),VLOOKUP($C357,武器!$1:$998,COLUMN($O$1),FALSE)*VLOOKUP($D357,素材!$1:$1016,COLUMN($E$1),FALSE)/(LEN(VLOOKUP($D357,素材!$1:$1016,COLUMN($F$1),FALSE)) - LEN(SUBSTITUTE(VLOOKUP($D357,素材!$1:$1016,COLUMN($F$1),FALSE), "・", 0)) + 1), 0)</f>
        <v>0</v>
      </c>
      <c r="AI357">
        <f>IF(ISNUMBER(SEARCH(SUBSTITUTE(AI$1,RIGHT(AI$1,2),""),VLOOKUP($D357,素材!$1:$1016,COLUMN($F$1),FALSE))),VLOOKUP($C357,武器!$1:$998,COLUMN($O$1),FALSE)*VLOOKUP($D357,素材!$1:$1016,COLUMN($E$1),FALSE)/(LEN(VLOOKUP($D357,素材!$1:$1016,COLUMN($F$1),FALSE)) - LEN(SUBSTITUTE(VLOOKUP($D357,素材!$1:$1016,COLUMN($F$1),FALSE), "・", 0)) + 1), 0)</f>
        <v>0</v>
      </c>
      <c r="AJ357">
        <f>IF(ISNUMBER(SEARCH(SUBSTITUTE(AJ$1,RIGHT(AJ$1,2),""),VLOOKUP($D357,素材!$1:$1016,COLUMN($F$1),FALSE))),VLOOKUP($C357,武器!$1:$998,COLUMN($O$1),FALSE)*VLOOKUP($D357,素材!$1:$1016,COLUMN($E$1),FALSE)/(LEN(VLOOKUP($D357,素材!$1:$1016,COLUMN($F$1),FALSE)) - LEN(SUBSTITUTE(VLOOKUP($D357,素材!$1:$1016,COLUMN($F$1),FALSE), "・", 0)) + 1), 0)</f>
        <v>0</v>
      </c>
      <c r="AK357">
        <f>IF(ISNUMBER(SEARCH(SUBSTITUTE(AK$1,RIGHT(AK$1,2),""),VLOOKUP($D357,素材!$1:$1016,COLUMN($F$1),FALSE))),VLOOKUP($C357,武器!$1:$998,COLUMN($O$1),FALSE)*VLOOKUP($D357,素材!$1:$1016,COLUMN($E$1),FALSE)/(LEN(VLOOKUP($D357,素材!$1:$1016,COLUMN($F$1),FALSE)) - LEN(SUBSTITUTE(VLOOKUP($D357,素材!$1:$1016,COLUMN($F$1),FALSE), "・", 0)) + 1), 0)</f>
        <v>0</v>
      </c>
      <c r="AL357">
        <f>IF(ISNUMBER(SEARCH(SUBSTITUTE(AL$1,RIGHT(AL$1,2),""),VLOOKUP($D357,素材!$1:$1016,COLUMN($F$1),FALSE))),VLOOKUP($C357,武器!$1:$998,COLUMN($O$1),FALSE)*VLOOKUP($D357,素材!$1:$1016,COLUMN($E$1),FALSE)/(LEN(VLOOKUP($D357,素材!$1:$1016,COLUMN($F$1),FALSE)) - LEN(SUBSTITUTE(VLOOKUP($D357,素材!$1:$1016,COLUMN($F$1),FALSE), "・", 0)) + 1), 0)</f>
        <v>0</v>
      </c>
      <c r="AM357">
        <f>IF(ISNUMBER(SEARCH(SUBSTITUTE(AM$1,RIGHT(AM$1,2),""),VLOOKUP($D357,素材!$1:$1016,COLUMN($F$1),FALSE))),VLOOKUP($C357,武器!$1:$998,COLUMN($O$1),FALSE)*VLOOKUP($D357,素材!$1:$1016,COLUMN($E$1),FALSE)/(LEN(VLOOKUP($D357,素材!$1:$1016,COLUMN($F$1),FALSE)) - LEN(SUBSTITUTE(VLOOKUP($D357,素材!$1:$1016,COLUMN($F$1),FALSE), "・", 0)) + 1), 0)</f>
        <v>0</v>
      </c>
      <c r="AN357">
        <f>IF(ISNUMBER(SEARCH(SUBSTITUTE(AN$1,RIGHT(AN$1,2),""),VLOOKUP($D357,素材!$1:$1016,COLUMN($F$1),FALSE))),VLOOKUP($C357,武器!$1:$998,COLUMN($O$1),FALSE)*VLOOKUP($D357,素材!$1:$1016,COLUMN($E$1),FALSE)/(LEN(VLOOKUP($D357,素材!$1:$1016,COLUMN($F$1),FALSE)) - LEN(SUBSTITUTE(VLOOKUP($D357,素材!$1:$1016,COLUMN($F$1),FALSE), "・", 0)) + 1), 0)</f>
        <v>0</v>
      </c>
      <c r="AO357">
        <f>IF(ISNUMBER(SEARCH(SUBSTITUTE(AO$1,RIGHT(AO$1,2),""),VLOOKUP($D357,素材!$1:$1016,COLUMN($F$1),FALSE))),VLOOKUP($C357,武器!$1:$998,COLUMN($O$1),FALSE)*VLOOKUP($D357,素材!$1:$1016,COLUMN($E$1),FALSE)/(LEN(VLOOKUP($D357,素材!$1:$1016,COLUMN($F$1),FALSE)) - LEN(SUBSTITUTE(VLOOKUP($D357,素材!$1:$1016,COLUMN($F$1),FALSE), "・", 0)) + 1), 0)</f>
        <v>0</v>
      </c>
      <c r="AP357">
        <f>IF(ISNUMBER(SEARCH(SUBSTITUTE(AP$1,RIGHT(AP$1,2),""),VLOOKUP($D357,素材!$1:$1016,COLUMN($F$1),FALSE))),VLOOKUP($C357,武器!$1:$998,COLUMN($O$1),FALSE)*VLOOKUP($D357,素材!$1:$1016,COLUMN($E$1),FALSE)/(LEN(VLOOKUP($D357,素材!$1:$1016,COLUMN($F$1),FALSE)) - LEN(SUBSTITUTE(VLOOKUP($D357,素材!$1:$1016,COLUMN($F$1),FALSE), "・", 0)) + 1), 0)</f>
        <v>0</v>
      </c>
      <c r="AQ357">
        <f>IF(ISNUMBER(SEARCH(SUBSTITUTE(AQ$1,RIGHT(AQ$1,2),""),VLOOKUP($D357,素材!$1:$1016,COLUMN($F$1),FALSE))),VLOOKUP($C357,武器!$1:$998,COLUMN($O$1),FALSE)*VLOOKUP($D357,素材!$1:$1016,COLUMN($E$1),FALSE)/(LEN(VLOOKUP($D357,素材!$1:$1016,COLUMN($F$1),FALSE)) - LEN(SUBSTITUTE(VLOOKUP($D357,素材!$1:$1016,COLUMN($F$1),FALSE), "・", 0)) + 1), 0)</f>
        <v>0</v>
      </c>
      <c r="AR357">
        <f>IF(ISNUMBER(SEARCH(SUBSTITUTE(AR$1,RIGHT(AR$1,2),""),VLOOKUP($D357,素材!$1:$1016,COLUMN($F$1),FALSE))),VLOOKUP($C357,武器!$1:$998,COLUMN($O$1),FALSE)*VLOOKUP($D357,素材!$1:$1016,COLUMN($E$1),FALSE)/(LEN(VLOOKUP($D357,素材!$1:$1016,COLUMN($F$1),FALSE)) - LEN(SUBSTITUTE(VLOOKUP($D357,素材!$1:$1016,COLUMN($F$1),FALSE), "・", 0)) + 1), 0)</f>
        <v>0</v>
      </c>
      <c r="AS357">
        <f>IF(ISNUMBER(SEARCH(SUBSTITUTE(AS$1,RIGHT(AS$1,2),""),VLOOKUP($D357,素材!$1:$1016,COLUMN($F$1),FALSE))),VLOOKUP($C357,武器!$1:$998,COLUMN($O$1),FALSE)*VLOOKUP($D357,素材!$1:$1016,COLUMN($E$1),FALSE)/(LEN(VLOOKUP($D357,素材!$1:$1016,COLUMN($F$1),FALSE)) - LEN(SUBSTITUTE(VLOOKUP($D357,素材!$1:$1016,COLUMN($F$1),FALSE), "・", 0)) + 1), 0)</f>
        <v>0</v>
      </c>
      <c r="AT357">
        <f>IF(ISNUMBER(SEARCH(SUBSTITUTE(AT$1,RIGHT(AT$1,2),""),VLOOKUP($D357,素材!$1:$1016,COLUMN($F$1),FALSE))),VLOOKUP($C357,武器!$1:$998,COLUMN($O$1),FALSE)*VLOOKUP($D357,素材!$1:$1016,COLUMN($E$1),FALSE)/(LEN(VLOOKUP($D357,素材!$1:$1016,COLUMN($F$1),FALSE)) - LEN(SUBSTITUTE(VLOOKUP($D357,素材!$1:$1016,COLUMN($F$1),FALSE), "・", 0)) + 1), 0)</f>
        <v>0</v>
      </c>
      <c r="AU357">
        <f>IF(ISNUMBER(SEARCH(SUBSTITUTE(AU$1,RIGHT(AU$1,2),""),VLOOKUP($D357,素材!$1:$1016,COLUMN($F$1),FALSE))),VLOOKUP($C357,武器!$1:$998,COLUMN($O$1),FALSE)*VLOOKUP($D357,素材!$1:$1016,COLUMN($E$1),FALSE)/(LEN(VLOOKUP($D357,素材!$1:$1016,COLUMN($F$1),FALSE)) - LEN(SUBSTITUTE(VLOOKUP($D357,素材!$1:$1016,COLUMN($F$1),FALSE), "・", 0)) + 1), 0)</f>
        <v>0</v>
      </c>
      <c r="AV357">
        <f>IF(ISNUMBER(SEARCH(SUBSTITUTE(AV$1,RIGHT(AV$1,2),""),VLOOKUP($D357,素材!$1:$1016,COLUMN($F$1),FALSE))),VLOOKUP($C357,武器!$1:$998,COLUMN($O$1),FALSE)*VLOOKUP($D357,素材!$1:$1016,COLUMN($E$1),FALSE)/(LEN(VLOOKUP($D357,素材!$1:$1016,COLUMN($F$1),FALSE)) - LEN(SUBSTITUTE(VLOOKUP($D357,素材!$1:$1016,COLUMN($F$1),FALSE), "・", 0)) + 1), 0)</f>
        <v>0</v>
      </c>
      <c r="AW357">
        <f>IF(ISNUMBER(SEARCH(SUBSTITUTE(AW$1,RIGHT(AW$1,2),""),VLOOKUP($D357,素材!$1:$1016,COLUMN($F$1),FALSE))),VLOOKUP($C357,武器!$1:$998,COLUMN($O$1),FALSE)*VLOOKUP($D357,素材!$1:$1016,COLUMN($E$1),FALSE)/(LEN(VLOOKUP($D357,素材!$1:$1016,COLUMN($F$1),FALSE)) - LEN(SUBSTITUTE(VLOOKUP($D357,素材!$1:$1016,COLUMN($F$1),FALSE), "・", 0)) + 1), 0)</f>
        <v>0</v>
      </c>
      <c r="AX357">
        <f>IF(ISNUMBER(SEARCH(SUBSTITUTE(AX$1,RIGHT(AX$1,2),""),VLOOKUP($D357,素材!$1:$1016,COLUMN($F$1),FALSE))),VLOOKUP($C357,武器!$1:$998,COLUMN($O$1),FALSE)*VLOOKUP($D357,素材!$1:$1016,COLUMN($E$1),FALSE)/(LEN(VLOOKUP($D357,素材!$1:$1016,COLUMN($F$1),FALSE)) - LEN(SUBSTITUTE(VLOOKUP($D357,素材!$1:$1016,COLUMN($F$1),FALSE), "・", 0)) + 1), 0)</f>
        <v>0</v>
      </c>
      <c r="AY357">
        <f>IF(ISNUMBER(SEARCH(SUBSTITUTE(AY$1,RIGHT(AY$1,2),""),VLOOKUP($D357,素材!$1:$1016,COLUMN($F$1),FALSE))),VLOOKUP($C357,武器!$1:$998,COLUMN($O$1),FALSE)*VLOOKUP($D357,素材!$1:$1016,COLUMN($E$1),FALSE)/(LEN(VLOOKUP($D357,素材!$1:$1016,COLUMN($F$1),FALSE)) - LEN(SUBSTITUTE(VLOOKUP($D357,素材!$1:$1016,COLUMN($F$1),FALSE), "・", 0)) + 1), 0)</f>
        <v>0</v>
      </c>
      <c r="AZ357">
        <f>IF(ISNUMBER(SEARCH(SUBSTITUTE(AZ$1,RIGHT(AZ$1,2),""),VLOOKUP($D357,素材!$1:$1016,COLUMN($F$1),FALSE))),VLOOKUP($C357,武器!$1:$998,COLUMN($O$1),FALSE)*VLOOKUP($D357,素材!$1:$1016,COLUMN($E$1),FALSE)/(LEN(VLOOKUP($D357,素材!$1:$1016,COLUMN($F$1),FALSE)) - LEN(SUBSTITUTE(VLOOKUP($D357,素材!$1:$1016,COLUMN($F$1),FALSE), "・", 0)) + 1), 0)</f>
        <v>0</v>
      </c>
      <c r="BA357">
        <f>IF(ISNUMBER(SEARCH(SUBSTITUTE(BA$1,RIGHT(BA$1,2),""),VLOOKUP($D357,素材!$1:$1016,COLUMN($F$1),FALSE))),VLOOKUP($C357,武器!$1:$998,COLUMN($O$1),FALSE)*VLOOKUP($D357,素材!$1:$1016,COLUMN($E$1),FALSE)/(LEN(VLOOKUP($D357,素材!$1:$1016,COLUMN($F$1),FALSE)) - LEN(SUBSTITUTE(VLOOKUP($D357,素材!$1:$1016,COLUMN($F$1),FALSE), "・", 0)) + 1), 0)</f>
        <v>0</v>
      </c>
      <c r="BB357">
        <f>IF(ISNUMBER(SEARCH(SUBSTITUTE(BB$1,RIGHT(BB$1,2),""),VLOOKUP($D357,素材!$1:$1016,COLUMN($F$1),FALSE))),VLOOKUP($C357,武器!$1:$998,COLUMN($O$1),FALSE)*VLOOKUP($D357,素材!$1:$1016,COLUMN($E$1),FALSE)/(LEN(VLOOKUP($D357,素材!$1:$1016,COLUMN($F$1),FALSE)) - LEN(SUBSTITUTE(VLOOKUP($D357,素材!$1:$1016,COLUMN($F$1),FALSE), "・", 0)) + 1), 0)</f>
        <v>0</v>
      </c>
      <c r="BC357">
        <f>IF(ISNUMBER(SEARCH(SUBSTITUTE(BC$1,RIGHT(BC$1,2),""),VLOOKUP($D357,素材!$1:$1016,COLUMN($F$1),FALSE))),VLOOKUP($C357,武器!$1:$998,COLUMN($O$1),FALSE)*VLOOKUP($D357,素材!$1:$1016,COLUMN($E$1),FALSE)/(LEN(VLOOKUP($D357,素材!$1:$1016,COLUMN($F$1),FALSE)) - LEN(SUBSTITUTE(VLOOKUP($D357,素材!$1:$1016,COLUMN($F$1),FALSE), "・", 0)) + 1), 0)</f>
        <v>0</v>
      </c>
      <c r="BD357">
        <f>IF(ISNUMBER(SEARCH(SUBSTITUTE(BD$1,RIGHT(BD$1,2),""),VLOOKUP($D357,素材!$1:$1016,COLUMN($F$1),FALSE))),VLOOKUP($C357,武器!$1:$998,COLUMN($O$1),FALSE)*VLOOKUP($D357,素材!$1:$1016,COLUMN($E$1),FALSE)/(LEN(VLOOKUP($D357,素材!$1:$1016,COLUMN($F$1),FALSE)) - LEN(SUBSTITUTE(VLOOKUP($D357,素材!$1:$1016,COLUMN($F$1),FALSE), "・", 0)) + 1), 0)</f>
        <v>0</v>
      </c>
      <c r="BE357">
        <f>IF(ISNUMBER(SEARCH(SUBSTITUTE(BE$1,RIGHT(BE$1,2),""),VLOOKUP($D357,素材!$1:$1016,COLUMN($F$1),FALSE))),VLOOKUP($C357,武器!$1:$998,COLUMN($O$1),FALSE)*VLOOKUP($D357,素材!$1:$1016,COLUMN($E$1),FALSE)/(LEN(VLOOKUP($D357,素材!$1:$1016,COLUMN($F$1),FALSE)) - LEN(SUBSTITUTE(VLOOKUP($D357,素材!$1:$1016,COLUMN($F$1),FALSE), "・", 0)) + 1), 0)</f>
        <v>0</v>
      </c>
      <c r="CL357">
        <f>SUM(G357:I357)</f>
        <v>0</v>
      </c>
      <c r="CM357" s="22" t="str">
        <f>IF(E357="武器",IF(J357-1&gt;SUM(G357:I357),"盾",IF(MAX(G357:I357)=G357,"切断",IF(MAX(G357:I357)=H357,"貫通",IF(MAX(G357:I357)=I357,"打撃","射撃")))),E357)&amp;".webp"</f>
        <v>体.webp</v>
      </c>
      <c r="CN357">
        <f>IFERROR(VLOOKUP($C357,武器!$1:$998,COLUMN(V$1),FALSE)*VLOOKUP($D357,素材!$1:$1016,COLUMN(N$1),FALSE)+IF(CI357="",0,VLOOKUP($CI357,装強!$1:$1008,COLUMN($CK$1),FALSE)),"")</f>
        <v>24000</v>
      </c>
      <c r="CO357">
        <f>VLOOKUP(D357,素材!$A:$O,COLUMN(素材!O$1),FALSE)</f>
        <v>0</v>
      </c>
      <c r="CP357" t="str">
        <f>VLOOKUP(C357,武器!$A:$W,COLUMN(武器!W$1),FALSE)</f>
        <v>HP 物理 魔法 体幹 出血 疲労 Cr</v>
      </c>
      <c r="CR357" t="str">
        <f t="shared" si="35"/>
        <v>e_357</v>
      </c>
      <c r="CS357">
        <f t="shared" si="36"/>
        <v>2400000</v>
      </c>
    </row>
    <row r="358" spans="1:97" outlineLevel="1" x14ac:dyDescent="0.4">
      <c r="A358" t="str">
        <f t="shared" si="37"/>
        <v>金鋼の鎧</v>
      </c>
      <c r="B358" t="str">
        <f>IFERROR(VLOOKUP($D358,素材!$1:$1016,COLUMN($B$1),FALSE)&amp;"・"&amp;VLOOKUP($C358,武器!$1:$998,COLUMN(B$1),FALSE),"")</f>
        <v>ゴールドメタル・アーマー</v>
      </c>
      <c r="C358" t="s">
        <v>198</v>
      </c>
      <c r="D358" s="24" t="s">
        <v>196</v>
      </c>
      <c r="E358" t="str">
        <f>IFERROR(VLOOKUP(C358,武器!$1:$998,COLUMN(C$1),FALSE),"")</f>
        <v>体</v>
      </c>
      <c r="F358">
        <f>IFERROR(ROUNDDOWN((VLOOKUP($C358,武器!$1:$998,COLUMN(D$1),FALSE)+IFERROR(VLOOKUP($CI358,装強!$1:$999,COLUMN(F$1),FALSE),0))*VLOOKUP($D358,素材!$1:$1016,COLUMN(D$1),FALSE),0),"")</f>
        <v>0</v>
      </c>
      <c r="G358">
        <f>IFERROR(ROUNDDOWN((VLOOKUP($C358,武器!$1:$998,COLUMN(E$1),FALSE)+IFERROR(VLOOKUP($CI358,装強!$1:$999,COLUMN(G$1),FALSE),0))*VLOOKUP($D358,素材!$1:$1016,COLUMN($E$1),FALSE),0),"")</f>
        <v>0</v>
      </c>
      <c r="H358">
        <f>IFERROR(ROUNDDOWN((VLOOKUP($C358,武器!$1:$998,COLUMN(F$1),FALSE)+IFERROR(VLOOKUP($CI358,装強!$1:$999,COLUMN(H$1),FALSE),0))*VLOOKUP($D358,素材!$1:$1016,COLUMN($E$1),FALSE),0),"")</f>
        <v>0</v>
      </c>
      <c r="I358">
        <f>IFERROR(ROUNDDOWN((VLOOKUP($C358,武器!$1:$998,COLUMN(G$1),FALSE)+IFERROR(VLOOKUP($CI358,装強!$1:$999,COLUMN(I$1),FALSE),0))*VLOOKUP($D358,素材!$1:$1016,COLUMN($E$1),FALSE),0),"")</f>
        <v>0</v>
      </c>
      <c r="J358">
        <f>IFERROR(ROUNDDOWN((VLOOKUP($C358,武器!$1:$998,COLUMN(H$1),FALSE)+IFERROR(VLOOKUP($CI358,装強!$1:$999,COLUMN(J$1),FALSE),0))*VLOOKUP($D358,素材!$1:$1016,COLUMN($E$1),FALSE),0),"")</f>
        <v>0</v>
      </c>
      <c r="K358">
        <f>IFERROR(ROUNDDOWN((VLOOKUP($C358,武器!$1:$998,COLUMN(I$1),FALSE)+IFERROR(VLOOKUP($CI358,装強!$1:$999,COLUMN(K$1),FALSE),0))*VLOOKUP($D358,素材!$1:$1016,COLUMN($E$1),FALSE),0),"")</f>
        <v>0</v>
      </c>
      <c r="L358" t="str">
        <f>IFERROR(VLOOKUP($D358,素材!$1:$1016,COLUMN($F$1),FALSE),"")</f>
        <v>魔法</v>
      </c>
      <c r="M358">
        <f>IFERROR(VLOOKUP($C358,武器!$1:$998,COLUMN(AA$1),FALSE)*VLOOKUP($D358,素材!$1:$1016,COLUMN($G$1),FALSE),"")</f>
        <v>0</v>
      </c>
      <c r="N358">
        <f>IFERROR(VLOOKUP($C358,武器!$1:$998,COLUMN(I$1),FALSE),"")</f>
        <v>0</v>
      </c>
      <c r="O358" s="23">
        <f>IFERROR((VLOOKUP($C358,武器!$1:$998,COLUMN(K$1),FALSE)+VLOOKUP($D358,素材!$1:$1016,COLUMN(H$1),FALSE))*100+IFERROR(VLOOKUP($CI358,装強!$1:$999,COLUMN(O$1),FALSE),0),"")</f>
        <v>5</v>
      </c>
      <c r="P358" s="23">
        <f>IFERROR((VLOOKUP($C358,武器!$1:$998,COLUMN(L$1),FALSE)+VLOOKUP($D358,素材!$1:$1016,COLUMN(I$1),FALSE))*100+IFERROR(VLOOKUP($CI358,装強!$1:$999,COLUMN(P$1),FALSE),0),"")</f>
        <v>10</v>
      </c>
      <c r="Q358">
        <f>IFERROR(ROUNDUP(VLOOKUP($C358,武器!$1:$998,COLUMN(M$1),FALSE)*(VLOOKUP($D358,素材!$1:$1002,COLUMN(D$1),FALSE)/100),1),"")</f>
        <v>-15</v>
      </c>
      <c r="R358">
        <f>IFERROR(ROUNDUP(VLOOKUP($C358,武器!$1:$998,COLUMN(N$1),FALSE)*(VLOOKUP($D358,素材!$1:$1002,COLUMN(D$1),FALSE)/100),1),"")</f>
        <v>0</v>
      </c>
      <c r="S358">
        <f>IFERROR(VLOOKUP($C358,武器!$1:$998,COLUMN(P$1),FALSE),"")</f>
        <v>0</v>
      </c>
      <c r="T358">
        <f>IFERROR(VLOOKUP($C358,武器!$1:$998,COLUMN(Q$1),FALSE),"")</f>
        <v>0</v>
      </c>
      <c r="U358">
        <f>IFERROR(VLOOKUP($C358,武器!$1:$998,COLUMN(R$1),FALSE),"")</f>
        <v>0</v>
      </c>
      <c r="V358">
        <f>IFERROR(VLOOKUP($C358,武器!$1:$998,COLUMN(Q$1),FALSE),"")</f>
        <v>0</v>
      </c>
      <c r="W358">
        <f>IFERROR(VLOOKUP($C358,武器!$1:$998,COLUMN(T$1),FALSE),"")</f>
        <v>0</v>
      </c>
      <c r="Y358">
        <f>IFERROR(VLOOKUP($C358,武器!$1:$998,COLUMN(U$1),FALSE),"")</f>
        <v>0</v>
      </c>
      <c r="Z358">
        <f>IFERROR(ROUNDUP(VLOOKUP($C358,武器!$1:$998,COLUMN(O$1),FALSE)*VLOOKUP($D358,素材!$1:$1016,COLUMN(E$1),FALSE),1),"")</f>
        <v>28</v>
      </c>
      <c r="AA358">
        <f>IF(ISNUMBER(SEARCH(SUBSTITUTE(AA$1,RIGHT(AA$1,2),""),VLOOKUP($D358,素材!$1:$1016,COLUMN($F$1),FALSE))),VLOOKUP($C358,武器!$1:$998,COLUMN($O$1),FALSE)*VLOOKUP($D358,素材!$1:$1016,COLUMN($E$1),FALSE)/(LEN(VLOOKUP($D358,素材!$1:$1016,COLUMN($F$1),FALSE)) - LEN(SUBSTITUTE(VLOOKUP($D358,素材!$1:$1016,COLUMN($F$1),FALSE), "・", 0)) + 1), 0)</f>
        <v>28</v>
      </c>
      <c r="AB358">
        <f>IF(ISNUMBER(SEARCH(SUBSTITUTE(AB$1,RIGHT(AB$1,2),""),VLOOKUP($D358,素材!$1:$1016,COLUMN($F$1),FALSE))),VLOOKUP($C358,武器!$1:$998,COLUMN($O$1),FALSE)*VLOOKUP($D358,素材!$1:$1016,COLUMN($E$1),FALSE)/(LEN(VLOOKUP($D358,素材!$1:$1016,COLUMN($F$1),FALSE)) - LEN(SUBSTITUTE(VLOOKUP($D358,素材!$1:$1016,COLUMN($F$1),FALSE), "・", 0)) + 1), 0)</f>
        <v>0</v>
      </c>
      <c r="AC358">
        <f>IF(ISNUMBER(SEARCH(SUBSTITUTE(AC$1,RIGHT(AC$1,2),""),VLOOKUP($D358,素材!$1:$1016,COLUMN($F$1),FALSE))),VLOOKUP($C358,武器!$1:$998,COLUMN($O$1),FALSE)*VLOOKUP($D358,素材!$1:$1016,COLUMN($E$1),FALSE)/(LEN(VLOOKUP($D358,素材!$1:$1016,COLUMN($F$1),FALSE)) - LEN(SUBSTITUTE(VLOOKUP($D358,素材!$1:$1016,COLUMN($F$1),FALSE), "・", 0)) + 1), 0)</f>
        <v>0</v>
      </c>
      <c r="AD358">
        <f>IF(ISNUMBER(SEARCH(SUBSTITUTE(AD$1,RIGHT(AD$1,2),""),VLOOKUP($D358,素材!$1:$1016,COLUMN($F$1),FALSE))),VLOOKUP($C358,武器!$1:$998,COLUMN($O$1),FALSE)*VLOOKUP($D358,素材!$1:$1016,COLUMN($E$1),FALSE)/(LEN(VLOOKUP($D358,素材!$1:$1016,COLUMN($F$1),FALSE)) - LEN(SUBSTITUTE(VLOOKUP($D358,素材!$1:$1016,COLUMN($F$1),FALSE), "・", 0)) + 1), 0)</f>
        <v>0</v>
      </c>
      <c r="AE358">
        <f>IF(ISNUMBER(SEARCH(SUBSTITUTE(AE$1,RIGHT(AE$1,2),""),VLOOKUP($D358,素材!$1:$1016,COLUMN($F$1),FALSE))),VLOOKUP($C358,武器!$1:$998,COLUMN($O$1),FALSE)*VLOOKUP($D358,素材!$1:$1016,COLUMN($E$1),FALSE)/(LEN(VLOOKUP($D358,素材!$1:$1016,COLUMN($F$1),FALSE)) - LEN(SUBSTITUTE(VLOOKUP($D358,素材!$1:$1016,COLUMN($F$1),FALSE), "・", 0)) + 1), 0)</f>
        <v>0</v>
      </c>
      <c r="AF358">
        <f>IF(ISNUMBER(SEARCH(SUBSTITUTE(AF$1,RIGHT(AF$1,2),""),VLOOKUP($D358,素材!$1:$1016,COLUMN($F$1),FALSE))),VLOOKUP($C358,武器!$1:$998,COLUMN($O$1),FALSE)*VLOOKUP($D358,素材!$1:$1016,COLUMN($E$1),FALSE)/(LEN(VLOOKUP($D358,素材!$1:$1016,COLUMN($F$1),FALSE)) - LEN(SUBSTITUTE(VLOOKUP($D358,素材!$1:$1016,COLUMN($F$1),FALSE), "・", 0)) + 1), 0)</f>
        <v>0</v>
      </c>
      <c r="AG358">
        <f>IF(ISNUMBER(SEARCH(SUBSTITUTE(AG$1,RIGHT(AG$1,2),""),VLOOKUP($D358,素材!$1:$1016,COLUMN($F$1),FALSE))),VLOOKUP($C358,武器!$1:$998,COLUMN($O$1),FALSE)*VLOOKUP($D358,素材!$1:$1016,COLUMN($E$1),FALSE)/(LEN(VLOOKUP($D358,素材!$1:$1016,COLUMN($F$1),FALSE)) - LEN(SUBSTITUTE(VLOOKUP($D358,素材!$1:$1016,COLUMN($F$1),FALSE), "・", 0)) + 1), 0)</f>
        <v>0</v>
      </c>
      <c r="AH358">
        <f>IF(ISNUMBER(SEARCH(SUBSTITUTE(AH$1,RIGHT(AH$1,2),""),VLOOKUP($D358,素材!$1:$1016,COLUMN($F$1),FALSE))),VLOOKUP($C358,武器!$1:$998,COLUMN($O$1),FALSE)*VLOOKUP($D358,素材!$1:$1016,COLUMN($E$1),FALSE)/(LEN(VLOOKUP($D358,素材!$1:$1016,COLUMN($F$1),FALSE)) - LEN(SUBSTITUTE(VLOOKUP($D358,素材!$1:$1016,COLUMN($F$1),FALSE), "・", 0)) + 1), 0)</f>
        <v>0</v>
      </c>
      <c r="AI358">
        <f>IF(ISNUMBER(SEARCH(SUBSTITUTE(AI$1,RIGHT(AI$1,2),""),VLOOKUP($D358,素材!$1:$1016,COLUMN($F$1),FALSE))),VLOOKUP($C358,武器!$1:$998,COLUMN($O$1),FALSE)*VLOOKUP($D358,素材!$1:$1016,COLUMN($E$1),FALSE)/(LEN(VLOOKUP($D358,素材!$1:$1016,COLUMN($F$1),FALSE)) - LEN(SUBSTITUTE(VLOOKUP($D358,素材!$1:$1016,COLUMN($F$1),FALSE), "・", 0)) + 1), 0)</f>
        <v>0</v>
      </c>
      <c r="AJ358">
        <f>IF(ISNUMBER(SEARCH(SUBSTITUTE(AJ$1,RIGHT(AJ$1,2),""),VLOOKUP($D358,素材!$1:$1016,COLUMN($F$1),FALSE))),VLOOKUP($C358,武器!$1:$998,COLUMN($O$1),FALSE)*VLOOKUP($D358,素材!$1:$1016,COLUMN($E$1),FALSE)/(LEN(VLOOKUP($D358,素材!$1:$1016,COLUMN($F$1),FALSE)) - LEN(SUBSTITUTE(VLOOKUP($D358,素材!$1:$1016,COLUMN($F$1),FALSE), "・", 0)) + 1), 0)</f>
        <v>0</v>
      </c>
      <c r="AK358">
        <f>IF(ISNUMBER(SEARCH(SUBSTITUTE(AK$1,RIGHT(AK$1,2),""),VLOOKUP($D358,素材!$1:$1016,COLUMN($F$1),FALSE))),VLOOKUP($C358,武器!$1:$998,COLUMN($O$1),FALSE)*VLOOKUP($D358,素材!$1:$1016,COLUMN($E$1),FALSE)/(LEN(VLOOKUP($D358,素材!$1:$1016,COLUMN($F$1),FALSE)) - LEN(SUBSTITUTE(VLOOKUP($D358,素材!$1:$1016,COLUMN($F$1),FALSE), "・", 0)) + 1), 0)</f>
        <v>0</v>
      </c>
      <c r="AL358">
        <f>IF(ISNUMBER(SEARCH(SUBSTITUTE(AL$1,RIGHT(AL$1,2),""),VLOOKUP($D358,素材!$1:$1016,COLUMN($F$1),FALSE))),VLOOKUP($C358,武器!$1:$998,COLUMN($O$1),FALSE)*VLOOKUP($D358,素材!$1:$1016,COLUMN($E$1),FALSE)/(LEN(VLOOKUP($D358,素材!$1:$1016,COLUMN($F$1),FALSE)) - LEN(SUBSTITUTE(VLOOKUP($D358,素材!$1:$1016,COLUMN($F$1),FALSE), "・", 0)) + 1), 0)</f>
        <v>0</v>
      </c>
      <c r="AM358">
        <f>IF(ISNUMBER(SEARCH(SUBSTITUTE(AM$1,RIGHT(AM$1,2),""),VLOOKUP($D358,素材!$1:$1016,COLUMN($F$1),FALSE))),VLOOKUP($C358,武器!$1:$998,COLUMN($O$1),FALSE)*VLOOKUP($D358,素材!$1:$1016,COLUMN($E$1),FALSE)/(LEN(VLOOKUP($D358,素材!$1:$1016,COLUMN($F$1),FALSE)) - LEN(SUBSTITUTE(VLOOKUP($D358,素材!$1:$1016,COLUMN($F$1),FALSE), "・", 0)) + 1), 0)</f>
        <v>0</v>
      </c>
      <c r="AN358">
        <f>IF(ISNUMBER(SEARCH(SUBSTITUTE(AN$1,RIGHT(AN$1,2),""),VLOOKUP($D358,素材!$1:$1016,COLUMN($F$1),FALSE))),VLOOKUP($C358,武器!$1:$998,COLUMN($O$1),FALSE)*VLOOKUP($D358,素材!$1:$1016,COLUMN($E$1),FALSE)/(LEN(VLOOKUP($D358,素材!$1:$1016,COLUMN($F$1),FALSE)) - LEN(SUBSTITUTE(VLOOKUP($D358,素材!$1:$1016,COLUMN($F$1),FALSE), "・", 0)) + 1), 0)</f>
        <v>0</v>
      </c>
      <c r="AO358">
        <f>IF(ISNUMBER(SEARCH(SUBSTITUTE(AO$1,RIGHT(AO$1,2),""),VLOOKUP($D358,素材!$1:$1016,COLUMN($F$1),FALSE))),VLOOKUP($C358,武器!$1:$998,COLUMN($O$1),FALSE)*VLOOKUP($D358,素材!$1:$1016,COLUMN($E$1),FALSE)/(LEN(VLOOKUP($D358,素材!$1:$1016,COLUMN($F$1),FALSE)) - LEN(SUBSTITUTE(VLOOKUP($D358,素材!$1:$1016,COLUMN($F$1),FALSE), "・", 0)) + 1), 0)</f>
        <v>0</v>
      </c>
      <c r="AP358">
        <f>IF(ISNUMBER(SEARCH(SUBSTITUTE(AP$1,RIGHT(AP$1,2),""),VLOOKUP($D358,素材!$1:$1016,COLUMN($F$1),FALSE))),VLOOKUP($C358,武器!$1:$998,COLUMN($O$1),FALSE)*VLOOKUP($D358,素材!$1:$1016,COLUMN($E$1),FALSE)/(LEN(VLOOKUP($D358,素材!$1:$1016,COLUMN($F$1),FALSE)) - LEN(SUBSTITUTE(VLOOKUP($D358,素材!$1:$1016,COLUMN($F$1),FALSE), "・", 0)) + 1), 0)</f>
        <v>0</v>
      </c>
      <c r="AQ358">
        <f>IF(ISNUMBER(SEARCH(SUBSTITUTE(AQ$1,RIGHT(AQ$1,2),""),VLOOKUP($D358,素材!$1:$1016,COLUMN($F$1),FALSE))),VLOOKUP($C358,武器!$1:$998,COLUMN($O$1),FALSE)*VLOOKUP($D358,素材!$1:$1016,COLUMN($E$1),FALSE)/(LEN(VLOOKUP($D358,素材!$1:$1016,COLUMN($F$1),FALSE)) - LEN(SUBSTITUTE(VLOOKUP($D358,素材!$1:$1016,COLUMN($F$1),FALSE), "・", 0)) + 1), 0)</f>
        <v>0</v>
      </c>
      <c r="AR358">
        <f>IF(ISNUMBER(SEARCH(SUBSTITUTE(AR$1,RIGHT(AR$1,2),""),VLOOKUP($D358,素材!$1:$1016,COLUMN($F$1),FALSE))),VLOOKUP($C358,武器!$1:$998,COLUMN($O$1),FALSE)*VLOOKUP($D358,素材!$1:$1016,COLUMN($E$1),FALSE)/(LEN(VLOOKUP($D358,素材!$1:$1016,COLUMN($F$1),FALSE)) - LEN(SUBSTITUTE(VLOOKUP($D358,素材!$1:$1016,COLUMN($F$1),FALSE), "・", 0)) + 1), 0)</f>
        <v>0</v>
      </c>
      <c r="AS358">
        <f>IF(ISNUMBER(SEARCH(SUBSTITUTE(AS$1,RIGHT(AS$1,2),""),VLOOKUP($D358,素材!$1:$1016,COLUMN($F$1),FALSE))),VLOOKUP($C358,武器!$1:$998,COLUMN($O$1),FALSE)*VLOOKUP($D358,素材!$1:$1016,COLUMN($E$1),FALSE)/(LEN(VLOOKUP($D358,素材!$1:$1016,COLUMN($F$1),FALSE)) - LEN(SUBSTITUTE(VLOOKUP($D358,素材!$1:$1016,COLUMN($F$1),FALSE), "・", 0)) + 1), 0)</f>
        <v>0</v>
      </c>
      <c r="AT358">
        <f>IF(ISNUMBER(SEARCH(SUBSTITUTE(AT$1,RIGHT(AT$1,2),""),VLOOKUP($D358,素材!$1:$1016,COLUMN($F$1),FALSE))),VLOOKUP($C358,武器!$1:$998,COLUMN($O$1),FALSE)*VLOOKUP($D358,素材!$1:$1016,COLUMN($E$1),FALSE)/(LEN(VLOOKUP($D358,素材!$1:$1016,COLUMN($F$1),FALSE)) - LEN(SUBSTITUTE(VLOOKUP($D358,素材!$1:$1016,COLUMN($F$1),FALSE), "・", 0)) + 1), 0)</f>
        <v>0</v>
      </c>
      <c r="AU358">
        <f>IF(ISNUMBER(SEARCH(SUBSTITUTE(AU$1,RIGHT(AU$1,2),""),VLOOKUP($D358,素材!$1:$1016,COLUMN($F$1),FALSE))),VLOOKUP($C358,武器!$1:$998,COLUMN($O$1),FALSE)*VLOOKUP($D358,素材!$1:$1016,COLUMN($E$1),FALSE)/(LEN(VLOOKUP($D358,素材!$1:$1016,COLUMN($F$1),FALSE)) - LEN(SUBSTITUTE(VLOOKUP($D358,素材!$1:$1016,COLUMN($F$1),FALSE), "・", 0)) + 1), 0)</f>
        <v>0</v>
      </c>
      <c r="AV358">
        <f>IF(ISNUMBER(SEARCH(SUBSTITUTE(AV$1,RIGHT(AV$1,2),""),VLOOKUP($D358,素材!$1:$1016,COLUMN($F$1),FALSE))),VLOOKUP($C358,武器!$1:$998,COLUMN($O$1),FALSE)*VLOOKUP($D358,素材!$1:$1016,COLUMN($E$1),FALSE)/(LEN(VLOOKUP($D358,素材!$1:$1016,COLUMN($F$1),FALSE)) - LEN(SUBSTITUTE(VLOOKUP($D358,素材!$1:$1016,COLUMN($F$1),FALSE), "・", 0)) + 1), 0)</f>
        <v>0</v>
      </c>
      <c r="AW358">
        <f>IF(ISNUMBER(SEARCH(SUBSTITUTE(AW$1,RIGHT(AW$1,2),""),VLOOKUP($D358,素材!$1:$1016,COLUMN($F$1),FALSE))),VLOOKUP($C358,武器!$1:$998,COLUMN($O$1),FALSE)*VLOOKUP($D358,素材!$1:$1016,COLUMN($E$1),FALSE)/(LEN(VLOOKUP($D358,素材!$1:$1016,COLUMN($F$1),FALSE)) - LEN(SUBSTITUTE(VLOOKUP($D358,素材!$1:$1016,COLUMN($F$1),FALSE), "・", 0)) + 1), 0)</f>
        <v>0</v>
      </c>
      <c r="AX358">
        <f>IF(ISNUMBER(SEARCH(SUBSTITUTE(AX$1,RIGHT(AX$1,2),""),VLOOKUP($D358,素材!$1:$1016,COLUMN($F$1),FALSE))),VLOOKUP($C358,武器!$1:$998,COLUMN($O$1),FALSE)*VLOOKUP($D358,素材!$1:$1016,COLUMN($E$1),FALSE)/(LEN(VLOOKUP($D358,素材!$1:$1016,COLUMN($F$1),FALSE)) - LEN(SUBSTITUTE(VLOOKUP($D358,素材!$1:$1016,COLUMN($F$1),FALSE), "・", 0)) + 1), 0)</f>
        <v>0</v>
      </c>
      <c r="AY358">
        <f>IF(ISNUMBER(SEARCH(SUBSTITUTE(AY$1,RIGHT(AY$1,2),""),VLOOKUP($D358,素材!$1:$1016,COLUMN($F$1),FALSE))),VLOOKUP($C358,武器!$1:$998,COLUMN($O$1),FALSE)*VLOOKUP($D358,素材!$1:$1016,COLUMN($E$1),FALSE)/(LEN(VLOOKUP($D358,素材!$1:$1016,COLUMN($F$1),FALSE)) - LEN(SUBSTITUTE(VLOOKUP($D358,素材!$1:$1016,COLUMN($F$1),FALSE), "・", 0)) + 1), 0)</f>
        <v>0</v>
      </c>
      <c r="AZ358">
        <f>IF(ISNUMBER(SEARCH(SUBSTITUTE(AZ$1,RIGHT(AZ$1,2),""),VLOOKUP($D358,素材!$1:$1016,COLUMN($F$1),FALSE))),VLOOKUP($C358,武器!$1:$998,COLUMN($O$1),FALSE)*VLOOKUP($D358,素材!$1:$1016,COLUMN($E$1),FALSE)/(LEN(VLOOKUP($D358,素材!$1:$1016,COLUMN($F$1),FALSE)) - LEN(SUBSTITUTE(VLOOKUP($D358,素材!$1:$1016,COLUMN($F$1),FALSE), "・", 0)) + 1), 0)</f>
        <v>0</v>
      </c>
      <c r="BA358">
        <f>IF(ISNUMBER(SEARCH(SUBSTITUTE(BA$1,RIGHT(BA$1,2),""),VLOOKUP($D358,素材!$1:$1016,COLUMN($F$1),FALSE))),VLOOKUP($C358,武器!$1:$998,COLUMN($O$1),FALSE)*VLOOKUP($D358,素材!$1:$1016,COLUMN($E$1),FALSE)/(LEN(VLOOKUP($D358,素材!$1:$1016,COLUMN($F$1),FALSE)) - LEN(SUBSTITUTE(VLOOKUP($D358,素材!$1:$1016,COLUMN($F$1),FALSE), "・", 0)) + 1), 0)</f>
        <v>0</v>
      </c>
      <c r="BB358">
        <f>IF(ISNUMBER(SEARCH(SUBSTITUTE(BB$1,RIGHT(BB$1,2),""),VLOOKUP($D358,素材!$1:$1016,COLUMN($F$1),FALSE))),VLOOKUP($C358,武器!$1:$998,COLUMN($O$1),FALSE)*VLOOKUP($D358,素材!$1:$1016,COLUMN($E$1),FALSE)/(LEN(VLOOKUP($D358,素材!$1:$1016,COLUMN($F$1),FALSE)) - LEN(SUBSTITUTE(VLOOKUP($D358,素材!$1:$1016,COLUMN($F$1),FALSE), "・", 0)) + 1), 0)</f>
        <v>0</v>
      </c>
      <c r="BC358">
        <f>IF(ISNUMBER(SEARCH(SUBSTITUTE(BC$1,RIGHT(BC$1,2),""),VLOOKUP($D358,素材!$1:$1016,COLUMN($F$1),FALSE))),VLOOKUP($C358,武器!$1:$998,COLUMN($O$1),FALSE)*VLOOKUP($D358,素材!$1:$1016,COLUMN($E$1),FALSE)/(LEN(VLOOKUP($D358,素材!$1:$1016,COLUMN($F$1),FALSE)) - LEN(SUBSTITUTE(VLOOKUP($D358,素材!$1:$1016,COLUMN($F$1),FALSE), "・", 0)) + 1), 0)</f>
        <v>28</v>
      </c>
      <c r="BD358">
        <f>IF(ISNUMBER(SEARCH(SUBSTITUTE(BD$1,RIGHT(BD$1,2),""),VLOOKUP($D358,素材!$1:$1016,COLUMN($F$1),FALSE))),VLOOKUP($C358,武器!$1:$998,COLUMN($O$1),FALSE)*VLOOKUP($D358,素材!$1:$1016,COLUMN($E$1),FALSE)/(LEN(VLOOKUP($D358,素材!$1:$1016,COLUMN($F$1),FALSE)) - LEN(SUBSTITUTE(VLOOKUP($D358,素材!$1:$1016,COLUMN($F$1),FALSE), "・", 0)) + 1), 0)</f>
        <v>0</v>
      </c>
      <c r="BE358">
        <f>IF(ISNUMBER(SEARCH(SUBSTITUTE(BE$1,RIGHT(BE$1,2),""),VLOOKUP($D358,素材!$1:$1016,COLUMN($F$1),FALSE))),VLOOKUP($C358,武器!$1:$998,COLUMN($O$1),FALSE)*VLOOKUP($D358,素材!$1:$1016,COLUMN($E$1),FALSE)/(LEN(VLOOKUP($D358,素材!$1:$1016,COLUMN($F$1),FALSE)) - LEN(SUBSTITUTE(VLOOKUP($D358,素材!$1:$1016,COLUMN($F$1),FALSE), "・", 0)) + 1), 0)</f>
        <v>0</v>
      </c>
      <c r="CL358">
        <f>SUM(G358:I358)</f>
        <v>0</v>
      </c>
      <c r="CM358" s="22" t="str">
        <f>IF(E358="武器",IF(J358-1&gt;SUM(G358:I358),"盾",IF(MAX(G358:I358)=G358,"切断",IF(MAX(G358:I358)=H358,"貫通",IF(MAX(G358:I358)=I358,"打撃","射撃")))),E358)&amp;".webp"</f>
        <v>体.webp</v>
      </c>
      <c r="CN358">
        <f>IFERROR(VLOOKUP($C358,武器!$1:$998,COLUMN(V$1),FALSE)*VLOOKUP($D358,素材!$1:$1016,COLUMN(N$1),FALSE)+IF(CI358="",0,VLOOKUP($CI358,装強!$1:$1008,COLUMN($CK$1),FALSE)),"")</f>
        <v>27000</v>
      </c>
      <c r="CO358">
        <f>VLOOKUP(D358,素材!$A:$O,COLUMN(素材!O$1),FALSE)</f>
        <v>0</v>
      </c>
      <c r="CP358" t="str">
        <f>VLOOKUP(C358,武器!$A:$W,COLUMN(武器!W$1),FALSE)</f>
        <v>HP 物理 魔法 体幹 出血 疲労 Cr</v>
      </c>
      <c r="CR358" t="str">
        <f t="shared" si="35"/>
        <v>e_358</v>
      </c>
      <c r="CS358">
        <f t="shared" si="36"/>
        <v>2700000</v>
      </c>
    </row>
    <row r="359" spans="1:97" outlineLevel="1" x14ac:dyDescent="0.4">
      <c r="A359" t="str">
        <f t="shared" si="37"/>
        <v>黒鋼の鎧</v>
      </c>
      <c r="B359" t="str">
        <f>IFERROR(VLOOKUP($D359,素材!$1:$1016,COLUMN($B$1),FALSE)&amp;"・"&amp;VLOOKUP($C359,武器!$1:$998,COLUMN(B$1),FALSE),"")</f>
        <v>ブラックメタル・アーマー</v>
      </c>
      <c r="C359" t="s">
        <v>198</v>
      </c>
      <c r="D359" s="24" t="s">
        <v>194</v>
      </c>
      <c r="E359" t="str">
        <f>IFERROR(VLOOKUP(C359,武器!$1:$998,COLUMN(C$1),FALSE),"")</f>
        <v>体</v>
      </c>
      <c r="F359">
        <f>IFERROR(ROUNDDOWN((VLOOKUP($C359,武器!$1:$998,COLUMN(D$1),FALSE)+IFERROR(VLOOKUP($CI359,装強!$1:$999,COLUMN(F$1),FALSE),0))*VLOOKUP($D359,素材!$1:$1016,COLUMN(D$1),FALSE),0),"")</f>
        <v>0</v>
      </c>
      <c r="G359">
        <f>IFERROR(ROUNDDOWN((VLOOKUP($C359,武器!$1:$998,COLUMN(E$1),FALSE)+IFERROR(VLOOKUP($CI359,装強!$1:$999,COLUMN(G$1),FALSE),0))*VLOOKUP($D359,素材!$1:$1016,COLUMN($E$1),FALSE),0),"")</f>
        <v>0</v>
      </c>
      <c r="H359">
        <f>IFERROR(ROUNDDOWN((VLOOKUP($C359,武器!$1:$998,COLUMN(F$1),FALSE)+IFERROR(VLOOKUP($CI359,装強!$1:$999,COLUMN(H$1),FALSE),0))*VLOOKUP($D359,素材!$1:$1016,COLUMN($E$1),FALSE),0),"")</f>
        <v>0</v>
      </c>
      <c r="I359">
        <f>IFERROR(ROUNDDOWN((VLOOKUP($C359,武器!$1:$998,COLUMN(G$1),FALSE)+IFERROR(VLOOKUP($CI359,装強!$1:$999,COLUMN(I$1),FALSE),0))*VLOOKUP($D359,素材!$1:$1016,COLUMN($E$1),FALSE),0),"")</f>
        <v>0</v>
      </c>
      <c r="J359">
        <f>IFERROR(ROUNDDOWN((VLOOKUP($C359,武器!$1:$998,COLUMN(H$1),FALSE)+IFERROR(VLOOKUP($CI359,装強!$1:$999,COLUMN(J$1),FALSE),0))*VLOOKUP($D359,素材!$1:$1016,COLUMN($E$1),FALSE),0),"")</f>
        <v>0</v>
      </c>
      <c r="K359">
        <f>IFERROR(ROUNDDOWN((VLOOKUP($C359,武器!$1:$998,COLUMN(I$1),FALSE)+IFERROR(VLOOKUP($CI359,装強!$1:$999,COLUMN(K$1),FALSE),0))*VLOOKUP($D359,素材!$1:$1016,COLUMN($E$1),FALSE),0),"")</f>
        <v>0</v>
      </c>
      <c r="L359" t="str">
        <f>IFERROR(VLOOKUP($D359,素材!$1:$1016,COLUMN($F$1),FALSE),"")</f>
        <v>物理</v>
      </c>
      <c r="M359">
        <f>IFERROR(VLOOKUP($C359,武器!$1:$998,COLUMN(AA$1),FALSE)*VLOOKUP($D359,素材!$1:$1016,COLUMN($G$1),FALSE),"")</f>
        <v>0</v>
      </c>
      <c r="N359">
        <f>IFERROR(VLOOKUP($C359,武器!$1:$998,COLUMN(I$1),FALSE),"")</f>
        <v>0</v>
      </c>
      <c r="O359" s="23">
        <f>IFERROR((VLOOKUP($C359,武器!$1:$998,COLUMN(K$1),FALSE)+VLOOKUP($D359,素材!$1:$1016,COLUMN(H$1),FALSE))*100+IFERROR(VLOOKUP($CI359,装強!$1:$999,COLUMN(O$1),FALSE),0),"")</f>
        <v>5</v>
      </c>
      <c r="P359" s="23">
        <f>IFERROR((VLOOKUP($C359,武器!$1:$998,COLUMN(L$1),FALSE)+VLOOKUP($D359,素材!$1:$1016,COLUMN(I$1),FALSE))*100+IFERROR(VLOOKUP($CI359,装強!$1:$999,COLUMN(P$1),FALSE),0),"")</f>
        <v>10</v>
      </c>
      <c r="Q359">
        <f>IFERROR(ROUNDUP(VLOOKUP($C359,武器!$1:$998,COLUMN(M$1),FALSE)*(VLOOKUP($D359,素材!$1:$1002,COLUMN(D$1),FALSE)/100),1),"")</f>
        <v>-18</v>
      </c>
      <c r="R359">
        <f>IFERROR(ROUNDUP(VLOOKUP($C359,武器!$1:$998,COLUMN(N$1),FALSE)*(VLOOKUP($D359,素材!$1:$1002,COLUMN(D$1),FALSE)/100),1),"")</f>
        <v>0</v>
      </c>
      <c r="S359">
        <f>IFERROR(VLOOKUP($C359,武器!$1:$998,COLUMN(P$1),FALSE),"")</f>
        <v>0</v>
      </c>
      <c r="T359">
        <f>IFERROR(VLOOKUP($C359,武器!$1:$998,COLUMN(Q$1),FALSE),"")</f>
        <v>0</v>
      </c>
      <c r="U359">
        <f>IFERROR(VLOOKUP($C359,武器!$1:$998,COLUMN(R$1),FALSE),"")</f>
        <v>0</v>
      </c>
      <c r="V359">
        <f>IFERROR(VLOOKUP($C359,武器!$1:$998,COLUMN(Q$1),FALSE),"")</f>
        <v>0</v>
      </c>
      <c r="W359">
        <f>IFERROR(VLOOKUP($C359,武器!$1:$998,COLUMN(T$1),FALSE),"")</f>
        <v>0</v>
      </c>
      <c r="Y359">
        <f>IFERROR(VLOOKUP($C359,武器!$1:$998,COLUMN(U$1),FALSE),"")</f>
        <v>0</v>
      </c>
      <c r="Z359">
        <f>IFERROR(ROUNDUP(VLOOKUP($C359,武器!$1:$998,COLUMN(O$1),FALSE)*VLOOKUP($D359,素材!$1:$1016,COLUMN(E$1),FALSE),1),"")</f>
        <v>35</v>
      </c>
      <c r="AA359">
        <f>IF(ISNUMBER(SEARCH(SUBSTITUTE(AA$1,RIGHT(AA$1,2),""),VLOOKUP($D359,素材!$1:$1016,COLUMN($F$1),FALSE))),VLOOKUP($C359,武器!$1:$998,COLUMN($O$1),FALSE)*VLOOKUP($D359,素材!$1:$1016,COLUMN($E$1),FALSE)/(LEN(VLOOKUP($D359,素材!$1:$1016,COLUMN($F$1),FALSE)) - LEN(SUBSTITUTE(VLOOKUP($D359,素材!$1:$1016,COLUMN($F$1),FALSE), "・", 0)) + 1), 0)</f>
        <v>0</v>
      </c>
      <c r="AB359">
        <f>IF(ISNUMBER(SEARCH(SUBSTITUTE(AB$1,RIGHT(AB$1,2),""),VLOOKUP($D359,素材!$1:$1016,COLUMN($F$1),FALSE))),VLOOKUP($C359,武器!$1:$998,COLUMN($O$1),FALSE)*VLOOKUP($D359,素材!$1:$1016,COLUMN($E$1),FALSE)/(LEN(VLOOKUP($D359,素材!$1:$1016,COLUMN($F$1),FALSE)) - LEN(SUBSTITUTE(VLOOKUP($D359,素材!$1:$1016,COLUMN($F$1),FALSE), "・", 0)) + 1), 0)</f>
        <v>0</v>
      </c>
      <c r="AC359">
        <f>IF(ISNUMBER(SEARCH(SUBSTITUTE(AC$1,RIGHT(AC$1,2),""),VLOOKUP($D359,素材!$1:$1016,COLUMN($F$1),FALSE))),VLOOKUP($C359,武器!$1:$998,COLUMN($O$1),FALSE)*VLOOKUP($D359,素材!$1:$1016,COLUMN($E$1),FALSE)/(LEN(VLOOKUP($D359,素材!$1:$1016,COLUMN($F$1),FALSE)) - LEN(SUBSTITUTE(VLOOKUP($D359,素材!$1:$1016,COLUMN($F$1),FALSE), "・", 0)) + 1), 0)</f>
        <v>0</v>
      </c>
      <c r="AD359">
        <f>IF(ISNUMBER(SEARCH(SUBSTITUTE(AD$1,RIGHT(AD$1,2),""),VLOOKUP($D359,素材!$1:$1016,COLUMN($F$1),FALSE))),VLOOKUP($C359,武器!$1:$998,COLUMN($O$1),FALSE)*VLOOKUP($D359,素材!$1:$1016,COLUMN($E$1),FALSE)/(LEN(VLOOKUP($D359,素材!$1:$1016,COLUMN($F$1),FALSE)) - LEN(SUBSTITUTE(VLOOKUP($D359,素材!$1:$1016,COLUMN($F$1),FALSE), "・", 0)) + 1), 0)</f>
        <v>0</v>
      </c>
      <c r="AE359">
        <f>IF(ISNUMBER(SEARCH(SUBSTITUTE(AE$1,RIGHT(AE$1,2),""),VLOOKUP($D359,素材!$1:$1016,COLUMN($F$1),FALSE))),VLOOKUP($C359,武器!$1:$998,COLUMN($O$1),FALSE)*VLOOKUP($D359,素材!$1:$1016,COLUMN($E$1),FALSE)/(LEN(VLOOKUP($D359,素材!$1:$1016,COLUMN($F$1),FALSE)) - LEN(SUBSTITUTE(VLOOKUP($D359,素材!$1:$1016,COLUMN($F$1),FALSE), "・", 0)) + 1), 0)</f>
        <v>0</v>
      </c>
      <c r="AF359">
        <f>IF(ISNUMBER(SEARCH(SUBSTITUTE(AF$1,RIGHT(AF$1,2),""),VLOOKUP($D359,素材!$1:$1016,COLUMN($F$1),FALSE))),VLOOKUP($C359,武器!$1:$998,COLUMN($O$1),FALSE)*VLOOKUP($D359,素材!$1:$1016,COLUMN($E$1),FALSE)/(LEN(VLOOKUP($D359,素材!$1:$1016,COLUMN($F$1),FALSE)) - LEN(SUBSTITUTE(VLOOKUP($D359,素材!$1:$1016,COLUMN($F$1),FALSE), "・", 0)) + 1), 0)</f>
        <v>0</v>
      </c>
      <c r="AG359">
        <f>IF(ISNUMBER(SEARCH(SUBSTITUTE(AG$1,RIGHT(AG$1,2),""),VLOOKUP($D359,素材!$1:$1016,COLUMN($F$1),FALSE))),VLOOKUP($C359,武器!$1:$998,COLUMN($O$1),FALSE)*VLOOKUP($D359,素材!$1:$1016,COLUMN($E$1),FALSE)/(LEN(VLOOKUP($D359,素材!$1:$1016,COLUMN($F$1),FALSE)) - LEN(SUBSTITUTE(VLOOKUP($D359,素材!$1:$1016,COLUMN($F$1),FALSE), "・", 0)) + 1), 0)</f>
        <v>0</v>
      </c>
      <c r="AH359">
        <f>IF(ISNUMBER(SEARCH(SUBSTITUTE(AH$1,RIGHT(AH$1,2),""),VLOOKUP($D359,素材!$1:$1016,COLUMN($F$1),FALSE))),VLOOKUP($C359,武器!$1:$998,COLUMN($O$1),FALSE)*VLOOKUP($D359,素材!$1:$1016,COLUMN($E$1),FALSE)/(LEN(VLOOKUP($D359,素材!$1:$1016,COLUMN($F$1),FALSE)) - LEN(SUBSTITUTE(VLOOKUP($D359,素材!$1:$1016,COLUMN($F$1),FALSE), "・", 0)) + 1), 0)</f>
        <v>0</v>
      </c>
      <c r="AI359">
        <f>IF(ISNUMBER(SEARCH(SUBSTITUTE(AI$1,RIGHT(AI$1,2),""),VLOOKUP($D359,素材!$1:$1016,COLUMN($F$1),FALSE))),VLOOKUP($C359,武器!$1:$998,COLUMN($O$1),FALSE)*VLOOKUP($D359,素材!$1:$1016,COLUMN($E$1),FALSE)/(LEN(VLOOKUP($D359,素材!$1:$1016,COLUMN($F$1),FALSE)) - LEN(SUBSTITUTE(VLOOKUP($D359,素材!$1:$1016,COLUMN($F$1),FALSE), "・", 0)) + 1), 0)</f>
        <v>0</v>
      </c>
      <c r="AJ359">
        <f>IF(ISNUMBER(SEARCH(SUBSTITUTE(AJ$1,RIGHT(AJ$1,2),""),VLOOKUP($D359,素材!$1:$1016,COLUMN($F$1),FALSE))),VLOOKUP($C359,武器!$1:$998,COLUMN($O$1),FALSE)*VLOOKUP($D359,素材!$1:$1016,COLUMN($E$1),FALSE)/(LEN(VLOOKUP($D359,素材!$1:$1016,COLUMN($F$1),FALSE)) - LEN(SUBSTITUTE(VLOOKUP($D359,素材!$1:$1016,COLUMN($F$1),FALSE), "・", 0)) + 1), 0)</f>
        <v>0</v>
      </c>
      <c r="AK359">
        <f>IF(ISNUMBER(SEARCH(SUBSTITUTE(AK$1,RIGHT(AK$1,2),""),VLOOKUP($D359,素材!$1:$1016,COLUMN($F$1),FALSE))),VLOOKUP($C359,武器!$1:$998,COLUMN($O$1),FALSE)*VLOOKUP($D359,素材!$1:$1016,COLUMN($E$1),FALSE)/(LEN(VLOOKUP($D359,素材!$1:$1016,COLUMN($F$1),FALSE)) - LEN(SUBSTITUTE(VLOOKUP($D359,素材!$1:$1016,COLUMN($F$1),FALSE), "・", 0)) + 1), 0)</f>
        <v>0</v>
      </c>
      <c r="AL359">
        <f>IF(ISNUMBER(SEARCH(SUBSTITUTE(AL$1,RIGHT(AL$1,2),""),VLOOKUP($D359,素材!$1:$1016,COLUMN($F$1),FALSE))),VLOOKUP($C359,武器!$1:$998,COLUMN($O$1),FALSE)*VLOOKUP($D359,素材!$1:$1016,COLUMN($E$1),FALSE)/(LEN(VLOOKUP($D359,素材!$1:$1016,COLUMN($F$1),FALSE)) - LEN(SUBSTITUTE(VLOOKUP($D359,素材!$1:$1016,COLUMN($F$1),FALSE), "・", 0)) + 1), 0)</f>
        <v>0</v>
      </c>
      <c r="AM359">
        <f>IF(ISNUMBER(SEARCH(SUBSTITUTE(AM$1,RIGHT(AM$1,2),""),VLOOKUP($D359,素材!$1:$1016,COLUMN($F$1),FALSE))),VLOOKUP($C359,武器!$1:$998,COLUMN($O$1),FALSE)*VLOOKUP($D359,素材!$1:$1016,COLUMN($E$1),FALSE)/(LEN(VLOOKUP($D359,素材!$1:$1016,COLUMN($F$1),FALSE)) - LEN(SUBSTITUTE(VLOOKUP($D359,素材!$1:$1016,COLUMN($F$1),FALSE), "・", 0)) + 1), 0)</f>
        <v>0</v>
      </c>
      <c r="AN359">
        <f>IF(ISNUMBER(SEARCH(SUBSTITUTE(AN$1,RIGHT(AN$1,2),""),VLOOKUP($D359,素材!$1:$1016,COLUMN($F$1),FALSE))),VLOOKUP($C359,武器!$1:$998,COLUMN($O$1),FALSE)*VLOOKUP($D359,素材!$1:$1016,COLUMN($E$1),FALSE)/(LEN(VLOOKUP($D359,素材!$1:$1016,COLUMN($F$1),FALSE)) - LEN(SUBSTITUTE(VLOOKUP($D359,素材!$1:$1016,COLUMN($F$1),FALSE), "・", 0)) + 1), 0)</f>
        <v>0</v>
      </c>
      <c r="AO359">
        <f>IF(ISNUMBER(SEARCH(SUBSTITUTE(AO$1,RIGHT(AO$1,2),""),VLOOKUP($D359,素材!$1:$1016,COLUMN($F$1),FALSE))),VLOOKUP($C359,武器!$1:$998,COLUMN($O$1),FALSE)*VLOOKUP($D359,素材!$1:$1016,COLUMN($E$1),FALSE)/(LEN(VLOOKUP($D359,素材!$1:$1016,COLUMN($F$1),FALSE)) - LEN(SUBSTITUTE(VLOOKUP($D359,素材!$1:$1016,COLUMN($F$1),FALSE), "・", 0)) + 1), 0)</f>
        <v>0</v>
      </c>
      <c r="AP359">
        <f>IF(ISNUMBER(SEARCH(SUBSTITUTE(AP$1,RIGHT(AP$1,2),""),VLOOKUP($D359,素材!$1:$1016,COLUMN($F$1),FALSE))),VLOOKUP($C359,武器!$1:$998,COLUMN($O$1),FALSE)*VLOOKUP($D359,素材!$1:$1016,COLUMN($E$1),FALSE)/(LEN(VLOOKUP($D359,素材!$1:$1016,COLUMN($F$1),FALSE)) - LEN(SUBSTITUTE(VLOOKUP($D359,素材!$1:$1016,COLUMN($F$1),FALSE), "・", 0)) + 1), 0)</f>
        <v>0</v>
      </c>
      <c r="AQ359">
        <f>IF(ISNUMBER(SEARCH(SUBSTITUTE(AQ$1,RIGHT(AQ$1,2),""),VLOOKUP($D359,素材!$1:$1016,COLUMN($F$1),FALSE))),VLOOKUP($C359,武器!$1:$998,COLUMN($O$1),FALSE)*VLOOKUP($D359,素材!$1:$1016,COLUMN($E$1),FALSE)/(LEN(VLOOKUP($D359,素材!$1:$1016,COLUMN($F$1),FALSE)) - LEN(SUBSTITUTE(VLOOKUP($D359,素材!$1:$1016,COLUMN($F$1),FALSE), "・", 0)) + 1), 0)</f>
        <v>0</v>
      </c>
      <c r="AR359">
        <f>IF(ISNUMBER(SEARCH(SUBSTITUTE(AR$1,RIGHT(AR$1,2),""),VLOOKUP($D359,素材!$1:$1016,COLUMN($F$1),FALSE))),VLOOKUP($C359,武器!$1:$998,COLUMN($O$1),FALSE)*VLOOKUP($D359,素材!$1:$1016,COLUMN($E$1),FALSE)/(LEN(VLOOKUP($D359,素材!$1:$1016,COLUMN($F$1),FALSE)) - LEN(SUBSTITUTE(VLOOKUP($D359,素材!$1:$1016,COLUMN($F$1),FALSE), "・", 0)) + 1), 0)</f>
        <v>0</v>
      </c>
      <c r="AS359">
        <f>IF(ISNUMBER(SEARCH(SUBSTITUTE(AS$1,RIGHT(AS$1,2),""),VLOOKUP($D359,素材!$1:$1016,COLUMN($F$1),FALSE))),VLOOKUP($C359,武器!$1:$998,COLUMN($O$1),FALSE)*VLOOKUP($D359,素材!$1:$1016,COLUMN($E$1),FALSE)/(LEN(VLOOKUP($D359,素材!$1:$1016,COLUMN($F$1),FALSE)) - LEN(SUBSTITUTE(VLOOKUP($D359,素材!$1:$1016,COLUMN($F$1),FALSE), "・", 0)) + 1), 0)</f>
        <v>0</v>
      </c>
      <c r="AT359">
        <f>IF(ISNUMBER(SEARCH(SUBSTITUTE(AT$1,RIGHT(AT$1,2),""),VLOOKUP($D359,素材!$1:$1016,COLUMN($F$1),FALSE))),VLOOKUP($C359,武器!$1:$998,COLUMN($O$1),FALSE)*VLOOKUP($D359,素材!$1:$1016,COLUMN($E$1),FALSE)/(LEN(VLOOKUP($D359,素材!$1:$1016,COLUMN($F$1),FALSE)) - LEN(SUBSTITUTE(VLOOKUP($D359,素材!$1:$1016,COLUMN($F$1),FALSE), "・", 0)) + 1), 0)</f>
        <v>0</v>
      </c>
      <c r="AU359">
        <f>IF(ISNUMBER(SEARCH(SUBSTITUTE(AU$1,RIGHT(AU$1,2),""),VLOOKUP($D359,素材!$1:$1016,COLUMN($F$1),FALSE))),VLOOKUP($C359,武器!$1:$998,COLUMN($O$1),FALSE)*VLOOKUP($D359,素材!$1:$1016,COLUMN($E$1),FALSE)/(LEN(VLOOKUP($D359,素材!$1:$1016,COLUMN($F$1),FALSE)) - LEN(SUBSTITUTE(VLOOKUP($D359,素材!$1:$1016,COLUMN($F$1),FALSE), "・", 0)) + 1), 0)</f>
        <v>0</v>
      </c>
      <c r="AV359">
        <f>IF(ISNUMBER(SEARCH(SUBSTITUTE(AV$1,RIGHT(AV$1,2),""),VLOOKUP($D359,素材!$1:$1016,COLUMN($F$1),FALSE))),VLOOKUP($C359,武器!$1:$998,COLUMN($O$1),FALSE)*VLOOKUP($D359,素材!$1:$1016,COLUMN($E$1),FALSE)/(LEN(VLOOKUP($D359,素材!$1:$1016,COLUMN($F$1),FALSE)) - LEN(SUBSTITUTE(VLOOKUP($D359,素材!$1:$1016,COLUMN($F$1),FALSE), "・", 0)) + 1), 0)</f>
        <v>0</v>
      </c>
      <c r="AW359">
        <f>IF(ISNUMBER(SEARCH(SUBSTITUTE(AW$1,RIGHT(AW$1,2),""),VLOOKUP($D359,素材!$1:$1016,COLUMN($F$1),FALSE))),VLOOKUP($C359,武器!$1:$998,COLUMN($O$1),FALSE)*VLOOKUP($D359,素材!$1:$1016,COLUMN($E$1),FALSE)/(LEN(VLOOKUP($D359,素材!$1:$1016,COLUMN($F$1),FALSE)) - LEN(SUBSTITUTE(VLOOKUP($D359,素材!$1:$1016,COLUMN($F$1),FALSE), "・", 0)) + 1), 0)</f>
        <v>0</v>
      </c>
      <c r="AX359">
        <f>IF(ISNUMBER(SEARCH(SUBSTITUTE(AX$1,RIGHT(AX$1,2),""),VLOOKUP($D359,素材!$1:$1016,COLUMN($F$1),FALSE))),VLOOKUP($C359,武器!$1:$998,COLUMN($O$1),FALSE)*VLOOKUP($D359,素材!$1:$1016,COLUMN($E$1),FALSE)/(LEN(VLOOKUP($D359,素材!$1:$1016,COLUMN($F$1),FALSE)) - LEN(SUBSTITUTE(VLOOKUP($D359,素材!$1:$1016,COLUMN($F$1),FALSE), "・", 0)) + 1), 0)</f>
        <v>0</v>
      </c>
      <c r="AY359">
        <f>IF(ISNUMBER(SEARCH(SUBSTITUTE(AY$1,RIGHT(AY$1,2),""),VLOOKUP($D359,素材!$1:$1016,COLUMN($F$1),FALSE))),VLOOKUP($C359,武器!$1:$998,COLUMN($O$1),FALSE)*VLOOKUP($D359,素材!$1:$1016,COLUMN($E$1),FALSE)/(LEN(VLOOKUP($D359,素材!$1:$1016,COLUMN($F$1),FALSE)) - LEN(SUBSTITUTE(VLOOKUP($D359,素材!$1:$1016,COLUMN($F$1),FALSE), "・", 0)) + 1), 0)</f>
        <v>0</v>
      </c>
      <c r="AZ359">
        <f>IF(ISNUMBER(SEARCH(SUBSTITUTE(AZ$1,RIGHT(AZ$1,2),""),VLOOKUP($D359,素材!$1:$1016,COLUMN($F$1),FALSE))),VLOOKUP($C359,武器!$1:$998,COLUMN($O$1),FALSE)*VLOOKUP($D359,素材!$1:$1016,COLUMN($E$1),FALSE)/(LEN(VLOOKUP($D359,素材!$1:$1016,COLUMN($F$1),FALSE)) - LEN(SUBSTITUTE(VLOOKUP($D359,素材!$1:$1016,COLUMN($F$1),FALSE), "・", 0)) + 1), 0)</f>
        <v>0</v>
      </c>
      <c r="BA359">
        <f>IF(ISNUMBER(SEARCH(SUBSTITUTE(BA$1,RIGHT(BA$1,2),""),VLOOKUP($D359,素材!$1:$1016,COLUMN($F$1),FALSE))),VLOOKUP($C359,武器!$1:$998,COLUMN($O$1),FALSE)*VLOOKUP($D359,素材!$1:$1016,COLUMN($E$1),FALSE)/(LEN(VLOOKUP($D359,素材!$1:$1016,COLUMN($F$1),FALSE)) - LEN(SUBSTITUTE(VLOOKUP($D359,素材!$1:$1016,COLUMN($F$1),FALSE), "・", 0)) + 1), 0)</f>
        <v>0</v>
      </c>
      <c r="BB359">
        <f>IF(ISNUMBER(SEARCH(SUBSTITUTE(BB$1,RIGHT(BB$1,2),""),VLOOKUP($D359,素材!$1:$1016,COLUMN($F$1),FALSE))),VLOOKUP($C359,武器!$1:$998,COLUMN($O$1),FALSE)*VLOOKUP($D359,素材!$1:$1016,COLUMN($E$1),FALSE)/(LEN(VLOOKUP($D359,素材!$1:$1016,COLUMN($F$1),FALSE)) - LEN(SUBSTITUTE(VLOOKUP($D359,素材!$1:$1016,COLUMN($F$1),FALSE), "・", 0)) + 1), 0)</f>
        <v>35</v>
      </c>
      <c r="BC359">
        <f>IF(ISNUMBER(SEARCH(SUBSTITUTE(BC$1,RIGHT(BC$1,2),""),VLOOKUP($D359,素材!$1:$1016,COLUMN($F$1),FALSE))),VLOOKUP($C359,武器!$1:$998,COLUMN($O$1),FALSE)*VLOOKUP($D359,素材!$1:$1016,COLUMN($E$1),FALSE)/(LEN(VLOOKUP($D359,素材!$1:$1016,COLUMN($F$1),FALSE)) - LEN(SUBSTITUTE(VLOOKUP($D359,素材!$1:$1016,COLUMN($F$1),FALSE), "・", 0)) + 1), 0)</f>
        <v>0</v>
      </c>
      <c r="BD359">
        <f>IF(ISNUMBER(SEARCH(SUBSTITUTE(BD$1,RIGHT(BD$1,2),""),VLOOKUP($D359,素材!$1:$1016,COLUMN($F$1),FALSE))),VLOOKUP($C359,武器!$1:$998,COLUMN($O$1),FALSE)*VLOOKUP($D359,素材!$1:$1016,COLUMN($E$1),FALSE)/(LEN(VLOOKUP($D359,素材!$1:$1016,COLUMN($F$1),FALSE)) - LEN(SUBSTITUTE(VLOOKUP($D359,素材!$1:$1016,COLUMN($F$1),FALSE), "・", 0)) + 1), 0)</f>
        <v>0</v>
      </c>
      <c r="BE359">
        <f>IF(ISNUMBER(SEARCH(SUBSTITUTE(BE$1,RIGHT(BE$1,2),""),VLOOKUP($D359,素材!$1:$1016,COLUMN($F$1),FALSE))),VLOOKUP($C359,武器!$1:$998,COLUMN($O$1),FALSE)*VLOOKUP($D359,素材!$1:$1016,COLUMN($E$1),FALSE)/(LEN(VLOOKUP($D359,素材!$1:$1016,COLUMN($F$1),FALSE)) - LEN(SUBSTITUTE(VLOOKUP($D359,素材!$1:$1016,COLUMN($F$1),FALSE), "・", 0)) + 1), 0)</f>
        <v>0</v>
      </c>
      <c r="CL359">
        <f>SUM(G359:I359)</f>
        <v>0</v>
      </c>
      <c r="CM359" s="22" t="str">
        <f>IF(E359="武器",IF(J359-1&gt;SUM(G359:I359),"盾",IF(MAX(G359:I359)=G359,"切断",IF(MAX(G359:I359)=H359,"貫通",IF(MAX(G359:I359)=I359,"打撃","射撃")))),E359)&amp;".webp"</f>
        <v>体.webp</v>
      </c>
      <c r="CN359">
        <f>IFERROR(VLOOKUP($C359,武器!$1:$998,COLUMN(V$1),FALSE)*VLOOKUP($D359,素材!$1:$1016,COLUMN(N$1),FALSE)+IF(CI359="",0,VLOOKUP($CI359,装強!$1:$1008,COLUMN($CK$1),FALSE)),"")</f>
        <v>30000</v>
      </c>
      <c r="CO359">
        <f>VLOOKUP(D359,素材!$A:$O,COLUMN(素材!O$1),FALSE)</f>
        <v>0</v>
      </c>
      <c r="CP359" t="str">
        <f>VLOOKUP(C359,武器!$A:$W,COLUMN(武器!W$1),FALSE)</f>
        <v>HP 物理 魔法 体幹 出血 疲労 Cr</v>
      </c>
      <c r="CR359" t="str">
        <f t="shared" si="35"/>
        <v>e_359</v>
      </c>
      <c r="CS359">
        <f t="shared" si="36"/>
        <v>3000000</v>
      </c>
    </row>
    <row r="360" spans="1:97" outlineLevel="1" x14ac:dyDescent="0.4">
      <c r="A360" t="str">
        <f t="shared" si="37"/>
        <v>銀鋼の長剣</v>
      </c>
      <c r="B360" t="str">
        <f>IFERROR(VLOOKUP($D360,素材!$1:$1016,COLUMN($B$1),FALSE)&amp;"・"&amp;VLOOKUP($C360,武器!$1:$998,COLUMN(B$1),FALSE),"")</f>
        <v>シルバーメタル・ロングソード</v>
      </c>
      <c r="C360" t="s">
        <v>195</v>
      </c>
      <c r="D360" s="24" t="s">
        <v>197</v>
      </c>
      <c r="E360" t="str">
        <f>IFERROR(VLOOKUP(C360,武器!$1:$998,COLUMN(C$1),FALSE),"")</f>
        <v>武器</v>
      </c>
      <c r="F360">
        <f>IFERROR(ROUNDDOWN((VLOOKUP($C360,武器!$1:$998,COLUMN(D$1),FALSE)+IFERROR(VLOOKUP($CI360,装強!$1:$999,COLUMN(F$1),FALSE),0))*VLOOKUP($D360,素材!$1:$1016,COLUMN(D$1),FALSE),0),"")</f>
        <v>57</v>
      </c>
      <c r="G360">
        <f>IFERROR(ROUNDDOWN((VLOOKUP($C360,武器!$1:$998,COLUMN(E$1),FALSE)+IFERROR(VLOOKUP($CI360,装強!$1:$999,COLUMN(G$1),FALSE),0))*VLOOKUP($D360,素材!$1:$1016,COLUMN($E$1),FALSE),0),"")</f>
        <v>26</v>
      </c>
      <c r="H360">
        <f>IFERROR(ROUNDDOWN((VLOOKUP($C360,武器!$1:$998,COLUMN(F$1),FALSE)+IFERROR(VLOOKUP($CI360,装強!$1:$999,COLUMN(H$1),FALSE),0))*VLOOKUP($D360,素材!$1:$1016,COLUMN($E$1),FALSE),0),"")</f>
        <v>15</v>
      </c>
      <c r="I360">
        <f>IFERROR(ROUNDDOWN((VLOOKUP($C360,武器!$1:$998,COLUMN(G$1),FALSE)+IFERROR(VLOOKUP($CI360,装強!$1:$999,COLUMN(I$1),FALSE),0))*VLOOKUP($D360,素材!$1:$1016,COLUMN($E$1),FALSE),0),"")</f>
        <v>5</v>
      </c>
      <c r="J360">
        <f>IFERROR(ROUNDDOWN((VLOOKUP($C360,武器!$1:$998,COLUMN(H$1),FALSE)+IFERROR(VLOOKUP($CI360,装強!$1:$999,COLUMN(J$1),FALSE),0))*VLOOKUP($D360,素材!$1:$1016,COLUMN($E$1),FALSE),0),"")</f>
        <v>35</v>
      </c>
      <c r="K360">
        <f>IFERROR(ROUNDDOWN((VLOOKUP($C360,武器!$1:$998,COLUMN(I$1),FALSE)+IFERROR(VLOOKUP($CI360,装強!$1:$999,COLUMN(K$1),FALSE),0))*VLOOKUP($D360,素材!$1:$1016,COLUMN($E$1),FALSE),0),"")</f>
        <v>0</v>
      </c>
      <c r="L360">
        <f>IFERROR(VLOOKUP($D360,素材!$1:$1016,COLUMN($F$1),FALSE),"")</f>
        <v>0</v>
      </c>
      <c r="M360">
        <f>IFERROR(VLOOKUP($C360,武器!$1:$998,COLUMN(AA$1),FALSE)*VLOOKUP($D360,素材!$1:$1016,COLUMN($G$1),FALSE),"")</f>
        <v>0</v>
      </c>
      <c r="N360">
        <f>IFERROR(VLOOKUP($C360,武器!$1:$998,COLUMN(I$1),FALSE),"")</f>
        <v>0</v>
      </c>
      <c r="O360" s="23">
        <f>IFERROR((VLOOKUP($C360,武器!$1:$998,COLUMN(K$1),FALSE)+VLOOKUP($D360,素材!$1:$1016,COLUMN(H$1),FALSE))*100+IFERROR(VLOOKUP($CI360,装強!$1:$999,COLUMN(O$1),FALSE),0),"")</f>
        <v>15.000000000000002</v>
      </c>
      <c r="P360" s="23">
        <f>IFERROR((VLOOKUP($C360,武器!$1:$998,COLUMN(L$1),FALSE)+VLOOKUP($D360,素材!$1:$1016,COLUMN(I$1),FALSE))*100+IFERROR(VLOOKUP($CI360,装強!$1:$999,COLUMN(P$1),FALSE),0),"")</f>
        <v>160</v>
      </c>
      <c r="Q360">
        <f>IFERROR(ROUNDUP(VLOOKUP($C360,武器!$1:$998,COLUMN(M$1),FALSE)*(VLOOKUP($D360,素材!$1:$1002,COLUMN(D$1),FALSE)/100),1),"")</f>
        <v>-1.3</v>
      </c>
      <c r="R360">
        <f>IFERROR(ROUNDUP(VLOOKUP($C360,武器!$1:$998,COLUMN(N$1),FALSE)*(VLOOKUP($D360,素材!$1:$1002,COLUMN(D$1),FALSE)/100),1),"")</f>
        <v>-1.3</v>
      </c>
      <c r="S360">
        <f>IFERROR(VLOOKUP($C360,武器!$1:$998,COLUMN(P$1),FALSE),"")</f>
        <v>0</v>
      </c>
      <c r="T360">
        <f>IFERROR(VLOOKUP($C360,武器!$1:$998,COLUMN(Q$1),FALSE),"")</f>
        <v>0</v>
      </c>
      <c r="U360">
        <f>IFERROR(VLOOKUP($C360,武器!$1:$998,COLUMN(R$1),FALSE),"")</f>
        <v>0</v>
      </c>
      <c r="V360">
        <f>IFERROR(VLOOKUP($C360,武器!$1:$998,COLUMN(Q$1),FALSE),"")</f>
        <v>0</v>
      </c>
      <c r="W360" t="str">
        <f>IFERROR(VLOOKUP($C360,武器!$1:$998,COLUMN(T$1),FALSE),"")</f>
        <v>A</v>
      </c>
      <c r="Y360">
        <f>IFERROR(VLOOKUP($C360,武器!$1:$998,COLUMN(U$1),FALSE),"")</f>
        <v>0</v>
      </c>
      <c r="Z360">
        <f>IFERROR(ROUNDUP(VLOOKUP($C360,武器!$1:$998,COLUMN(O$1),FALSE)*VLOOKUP($D360,素材!$1:$1016,COLUMN(E$1),FALSE),1),"")</f>
        <v>0</v>
      </c>
      <c r="AA360">
        <f>IF(ISNUMBER(SEARCH(SUBSTITUTE(AA$1,RIGHT(AA$1,2),""),VLOOKUP($D360,素材!$1:$1016,COLUMN($F$1),FALSE))),VLOOKUP($C360,武器!$1:$998,COLUMN($O$1),FALSE)*VLOOKUP($D360,素材!$1:$1016,COLUMN($E$1),FALSE)/(LEN(VLOOKUP($D360,素材!$1:$1016,COLUMN($F$1),FALSE)) - LEN(SUBSTITUTE(VLOOKUP($D360,素材!$1:$1016,COLUMN($F$1),FALSE), "・", 0)) + 1), 0)</f>
        <v>0</v>
      </c>
      <c r="AB360">
        <f>IF(ISNUMBER(SEARCH(SUBSTITUTE(AB$1,RIGHT(AB$1,2),""),VLOOKUP($D360,素材!$1:$1016,COLUMN($F$1),FALSE))),VLOOKUP($C360,武器!$1:$998,COLUMN($O$1),FALSE)*VLOOKUP($D360,素材!$1:$1016,COLUMN($E$1),FALSE)/(LEN(VLOOKUP($D360,素材!$1:$1016,COLUMN($F$1),FALSE)) - LEN(SUBSTITUTE(VLOOKUP($D360,素材!$1:$1016,COLUMN($F$1),FALSE), "・", 0)) + 1), 0)</f>
        <v>0</v>
      </c>
      <c r="AC360">
        <f>IF(ISNUMBER(SEARCH(SUBSTITUTE(AC$1,RIGHT(AC$1,2),""),VLOOKUP($D360,素材!$1:$1016,COLUMN($F$1),FALSE))),VLOOKUP($C360,武器!$1:$998,COLUMN($O$1),FALSE)*VLOOKUP($D360,素材!$1:$1016,COLUMN($E$1),FALSE)/(LEN(VLOOKUP($D360,素材!$1:$1016,COLUMN($F$1),FALSE)) - LEN(SUBSTITUTE(VLOOKUP($D360,素材!$1:$1016,COLUMN($F$1),FALSE), "・", 0)) + 1), 0)</f>
        <v>0</v>
      </c>
      <c r="AD360">
        <f>IF(ISNUMBER(SEARCH(SUBSTITUTE(AD$1,RIGHT(AD$1,2),""),VLOOKUP($D360,素材!$1:$1016,COLUMN($F$1),FALSE))),VLOOKUP($C360,武器!$1:$998,COLUMN($O$1),FALSE)*VLOOKUP($D360,素材!$1:$1016,COLUMN($E$1),FALSE)/(LEN(VLOOKUP($D360,素材!$1:$1016,COLUMN($F$1),FALSE)) - LEN(SUBSTITUTE(VLOOKUP($D360,素材!$1:$1016,COLUMN($F$1),FALSE), "・", 0)) + 1), 0)</f>
        <v>0</v>
      </c>
      <c r="AE360">
        <f>IF(ISNUMBER(SEARCH(SUBSTITUTE(AE$1,RIGHT(AE$1,2),""),VLOOKUP($D360,素材!$1:$1016,COLUMN($F$1),FALSE))),VLOOKUP($C360,武器!$1:$998,COLUMN($O$1),FALSE)*VLOOKUP($D360,素材!$1:$1016,COLUMN($E$1),FALSE)/(LEN(VLOOKUP($D360,素材!$1:$1016,COLUMN($F$1),FALSE)) - LEN(SUBSTITUTE(VLOOKUP($D360,素材!$1:$1016,COLUMN($F$1),FALSE), "・", 0)) + 1), 0)</f>
        <v>0</v>
      </c>
      <c r="AF360">
        <f>IF(ISNUMBER(SEARCH(SUBSTITUTE(AF$1,RIGHT(AF$1,2),""),VLOOKUP($D360,素材!$1:$1016,COLUMN($F$1),FALSE))),VLOOKUP($C360,武器!$1:$998,COLUMN($O$1),FALSE)*VLOOKUP($D360,素材!$1:$1016,COLUMN($E$1),FALSE)/(LEN(VLOOKUP($D360,素材!$1:$1016,COLUMN($F$1),FALSE)) - LEN(SUBSTITUTE(VLOOKUP($D360,素材!$1:$1016,COLUMN($F$1),FALSE), "・", 0)) + 1), 0)</f>
        <v>0</v>
      </c>
      <c r="AG360">
        <f>IF(ISNUMBER(SEARCH(SUBSTITUTE(AG$1,RIGHT(AG$1,2),""),VLOOKUP($D360,素材!$1:$1016,COLUMN($F$1),FALSE))),VLOOKUP($C360,武器!$1:$998,COLUMN($O$1),FALSE)*VLOOKUP($D360,素材!$1:$1016,COLUMN($E$1),FALSE)/(LEN(VLOOKUP($D360,素材!$1:$1016,COLUMN($F$1),FALSE)) - LEN(SUBSTITUTE(VLOOKUP($D360,素材!$1:$1016,COLUMN($F$1),FALSE), "・", 0)) + 1), 0)</f>
        <v>0</v>
      </c>
      <c r="AH360">
        <f>IF(ISNUMBER(SEARCH(SUBSTITUTE(AH$1,RIGHT(AH$1,2),""),VLOOKUP($D360,素材!$1:$1016,COLUMN($F$1),FALSE))),VLOOKUP($C360,武器!$1:$998,COLUMN($O$1),FALSE)*VLOOKUP($D360,素材!$1:$1016,COLUMN($E$1),FALSE)/(LEN(VLOOKUP($D360,素材!$1:$1016,COLUMN($F$1),FALSE)) - LEN(SUBSTITUTE(VLOOKUP($D360,素材!$1:$1016,COLUMN($F$1),FALSE), "・", 0)) + 1), 0)</f>
        <v>0</v>
      </c>
      <c r="AI360">
        <f>IF(ISNUMBER(SEARCH(SUBSTITUTE(AI$1,RIGHT(AI$1,2),""),VLOOKUP($D360,素材!$1:$1016,COLUMN($F$1),FALSE))),VLOOKUP($C360,武器!$1:$998,COLUMN($O$1),FALSE)*VLOOKUP($D360,素材!$1:$1016,COLUMN($E$1),FALSE)/(LEN(VLOOKUP($D360,素材!$1:$1016,COLUMN($F$1),FALSE)) - LEN(SUBSTITUTE(VLOOKUP($D360,素材!$1:$1016,COLUMN($F$1),FALSE), "・", 0)) + 1), 0)</f>
        <v>0</v>
      </c>
      <c r="AJ360">
        <f>IF(ISNUMBER(SEARCH(SUBSTITUTE(AJ$1,RIGHT(AJ$1,2),""),VLOOKUP($D360,素材!$1:$1016,COLUMN($F$1),FALSE))),VLOOKUP($C360,武器!$1:$998,COLUMN($O$1),FALSE)*VLOOKUP($D360,素材!$1:$1016,COLUMN($E$1),FALSE)/(LEN(VLOOKUP($D360,素材!$1:$1016,COLUMN($F$1),FALSE)) - LEN(SUBSTITUTE(VLOOKUP($D360,素材!$1:$1016,COLUMN($F$1),FALSE), "・", 0)) + 1), 0)</f>
        <v>0</v>
      </c>
      <c r="AK360">
        <f>IF(ISNUMBER(SEARCH(SUBSTITUTE(AK$1,RIGHT(AK$1,2),""),VLOOKUP($D360,素材!$1:$1016,COLUMN($F$1),FALSE))),VLOOKUP($C360,武器!$1:$998,COLUMN($O$1),FALSE)*VLOOKUP($D360,素材!$1:$1016,COLUMN($E$1),FALSE)/(LEN(VLOOKUP($D360,素材!$1:$1016,COLUMN($F$1),FALSE)) - LEN(SUBSTITUTE(VLOOKUP($D360,素材!$1:$1016,COLUMN($F$1),FALSE), "・", 0)) + 1), 0)</f>
        <v>0</v>
      </c>
      <c r="AL360">
        <f>IF(ISNUMBER(SEARCH(SUBSTITUTE(AL$1,RIGHT(AL$1,2),""),VLOOKUP($D360,素材!$1:$1016,COLUMN($F$1),FALSE))),VLOOKUP($C360,武器!$1:$998,COLUMN($O$1),FALSE)*VLOOKUP($D360,素材!$1:$1016,COLUMN($E$1),FALSE)/(LEN(VLOOKUP($D360,素材!$1:$1016,COLUMN($F$1),FALSE)) - LEN(SUBSTITUTE(VLOOKUP($D360,素材!$1:$1016,COLUMN($F$1),FALSE), "・", 0)) + 1), 0)</f>
        <v>0</v>
      </c>
      <c r="AM360">
        <f>IF(ISNUMBER(SEARCH(SUBSTITUTE(AM$1,RIGHT(AM$1,2),""),VLOOKUP($D360,素材!$1:$1016,COLUMN($F$1),FALSE))),VLOOKUP($C360,武器!$1:$998,COLUMN($O$1),FALSE)*VLOOKUP($D360,素材!$1:$1016,COLUMN($E$1),FALSE)/(LEN(VLOOKUP($D360,素材!$1:$1016,COLUMN($F$1),FALSE)) - LEN(SUBSTITUTE(VLOOKUP($D360,素材!$1:$1016,COLUMN($F$1),FALSE), "・", 0)) + 1), 0)</f>
        <v>0</v>
      </c>
      <c r="AN360">
        <f>IF(ISNUMBER(SEARCH(SUBSTITUTE(AN$1,RIGHT(AN$1,2),""),VLOOKUP($D360,素材!$1:$1016,COLUMN($F$1),FALSE))),VLOOKUP($C360,武器!$1:$998,COLUMN($O$1),FALSE)*VLOOKUP($D360,素材!$1:$1016,COLUMN($E$1),FALSE)/(LEN(VLOOKUP($D360,素材!$1:$1016,COLUMN($F$1),FALSE)) - LEN(SUBSTITUTE(VLOOKUP($D360,素材!$1:$1016,COLUMN($F$1),FALSE), "・", 0)) + 1), 0)</f>
        <v>0</v>
      </c>
      <c r="AO360">
        <f>IF(ISNUMBER(SEARCH(SUBSTITUTE(AO$1,RIGHT(AO$1,2),""),VLOOKUP($D360,素材!$1:$1016,COLUMN($F$1),FALSE))),VLOOKUP($C360,武器!$1:$998,COLUMN($O$1),FALSE)*VLOOKUP($D360,素材!$1:$1016,COLUMN($E$1),FALSE)/(LEN(VLOOKUP($D360,素材!$1:$1016,COLUMN($F$1),FALSE)) - LEN(SUBSTITUTE(VLOOKUP($D360,素材!$1:$1016,COLUMN($F$1),FALSE), "・", 0)) + 1), 0)</f>
        <v>0</v>
      </c>
      <c r="AP360">
        <f>IF(ISNUMBER(SEARCH(SUBSTITUTE(AP$1,RIGHT(AP$1,2),""),VLOOKUP($D360,素材!$1:$1016,COLUMN($F$1),FALSE))),VLOOKUP($C360,武器!$1:$998,COLUMN($O$1),FALSE)*VLOOKUP($D360,素材!$1:$1016,COLUMN($E$1),FALSE)/(LEN(VLOOKUP($D360,素材!$1:$1016,COLUMN($F$1),FALSE)) - LEN(SUBSTITUTE(VLOOKUP($D360,素材!$1:$1016,COLUMN($F$1),FALSE), "・", 0)) + 1), 0)</f>
        <v>0</v>
      </c>
      <c r="AQ360">
        <f>IF(ISNUMBER(SEARCH(SUBSTITUTE(AQ$1,RIGHT(AQ$1,2),""),VLOOKUP($D360,素材!$1:$1016,COLUMN($F$1),FALSE))),VLOOKUP($C360,武器!$1:$998,COLUMN($O$1),FALSE)*VLOOKUP($D360,素材!$1:$1016,COLUMN($E$1),FALSE)/(LEN(VLOOKUP($D360,素材!$1:$1016,COLUMN($F$1),FALSE)) - LEN(SUBSTITUTE(VLOOKUP($D360,素材!$1:$1016,COLUMN($F$1),FALSE), "・", 0)) + 1), 0)</f>
        <v>0</v>
      </c>
      <c r="AR360">
        <f>IF(ISNUMBER(SEARCH(SUBSTITUTE(AR$1,RIGHT(AR$1,2),""),VLOOKUP($D360,素材!$1:$1016,COLUMN($F$1),FALSE))),VLOOKUP($C360,武器!$1:$998,COLUMN($O$1),FALSE)*VLOOKUP($D360,素材!$1:$1016,COLUMN($E$1),FALSE)/(LEN(VLOOKUP($D360,素材!$1:$1016,COLUMN($F$1),FALSE)) - LEN(SUBSTITUTE(VLOOKUP($D360,素材!$1:$1016,COLUMN($F$1),FALSE), "・", 0)) + 1), 0)</f>
        <v>0</v>
      </c>
      <c r="AS360">
        <f>IF(ISNUMBER(SEARCH(SUBSTITUTE(AS$1,RIGHT(AS$1,2),""),VLOOKUP($D360,素材!$1:$1016,COLUMN($F$1),FALSE))),VLOOKUP($C360,武器!$1:$998,COLUMN($O$1),FALSE)*VLOOKUP($D360,素材!$1:$1016,COLUMN($E$1),FALSE)/(LEN(VLOOKUP($D360,素材!$1:$1016,COLUMN($F$1),FALSE)) - LEN(SUBSTITUTE(VLOOKUP($D360,素材!$1:$1016,COLUMN($F$1),FALSE), "・", 0)) + 1), 0)</f>
        <v>0</v>
      </c>
      <c r="AT360">
        <f>IF(ISNUMBER(SEARCH(SUBSTITUTE(AT$1,RIGHT(AT$1,2),""),VLOOKUP($D360,素材!$1:$1016,COLUMN($F$1),FALSE))),VLOOKUP($C360,武器!$1:$998,COLUMN($O$1),FALSE)*VLOOKUP($D360,素材!$1:$1016,COLUMN($E$1),FALSE)/(LEN(VLOOKUP($D360,素材!$1:$1016,COLUMN($F$1),FALSE)) - LEN(SUBSTITUTE(VLOOKUP($D360,素材!$1:$1016,COLUMN($F$1),FALSE), "・", 0)) + 1), 0)</f>
        <v>0</v>
      </c>
      <c r="AU360">
        <f>IF(ISNUMBER(SEARCH(SUBSTITUTE(AU$1,RIGHT(AU$1,2),""),VLOOKUP($D360,素材!$1:$1016,COLUMN($F$1),FALSE))),VLOOKUP($C360,武器!$1:$998,COLUMN($O$1),FALSE)*VLOOKUP($D360,素材!$1:$1016,COLUMN($E$1),FALSE)/(LEN(VLOOKUP($D360,素材!$1:$1016,COLUMN($F$1),FALSE)) - LEN(SUBSTITUTE(VLOOKUP($D360,素材!$1:$1016,COLUMN($F$1),FALSE), "・", 0)) + 1), 0)</f>
        <v>0</v>
      </c>
      <c r="AV360">
        <f>IF(ISNUMBER(SEARCH(SUBSTITUTE(AV$1,RIGHT(AV$1,2),""),VLOOKUP($D360,素材!$1:$1016,COLUMN($F$1),FALSE))),VLOOKUP($C360,武器!$1:$998,COLUMN($O$1),FALSE)*VLOOKUP($D360,素材!$1:$1016,COLUMN($E$1),FALSE)/(LEN(VLOOKUP($D360,素材!$1:$1016,COLUMN($F$1),FALSE)) - LEN(SUBSTITUTE(VLOOKUP($D360,素材!$1:$1016,COLUMN($F$1),FALSE), "・", 0)) + 1), 0)</f>
        <v>0</v>
      </c>
      <c r="AW360">
        <f>IF(ISNUMBER(SEARCH(SUBSTITUTE(AW$1,RIGHT(AW$1,2),""),VLOOKUP($D360,素材!$1:$1016,COLUMN($F$1),FALSE))),VLOOKUP($C360,武器!$1:$998,COLUMN($O$1),FALSE)*VLOOKUP($D360,素材!$1:$1016,COLUMN($E$1),FALSE)/(LEN(VLOOKUP($D360,素材!$1:$1016,COLUMN($F$1),FALSE)) - LEN(SUBSTITUTE(VLOOKUP($D360,素材!$1:$1016,COLUMN($F$1),FALSE), "・", 0)) + 1), 0)</f>
        <v>0</v>
      </c>
      <c r="AX360">
        <f>IF(ISNUMBER(SEARCH(SUBSTITUTE(AX$1,RIGHT(AX$1,2),""),VLOOKUP($D360,素材!$1:$1016,COLUMN($F$1),FALSE))),VLOOKUP($C360,武器!$1:$998,COLUMN($O$1),FALSE)*VLOOKUP($D360,素材!$1:$1016,COLUMN($E$1),FALSE)/(LEN(VLOOKUP($D360,素材!$1:$1016,COLUMN($F$1),FALSE)) - LEN(SUBSTITUTE(VLOOKUP($D360,素材!$1:$1016,COLUMN($F$1),FALSE), "・", 0)) + 1), 0)</f>
        <v>0</v>
      </c>
      <c r="AY360">
        <f>IF(ISNUMBER(SEARCH(SUBSTITUTE(AY$1,RIGHT(AY$1,2),""),VLOOKUP($D360,素材!$1:$1016,COLUMN($F$1),FALSE))),VLOOKUP($C360,武器!$1:$998,COLUMN($O$1),FALSE)*VLOOKUP($D360,素材!$1:$1016,COLUMN($E$1),FALSE)/(LEN(VLOOKUP($D360,素材!$1:$1016,COLUMN($F$1),FALSE)) - LEN(SUBSTITUTE(VLOOKUP($D360,素材!$1:$1016,COLUMN($F$1),FALSE), "・", 0)) + 1), 0)</f>
        <v>0</v>
      </c>
      <c r="AZ360">
        <f>IF(ISNUMBER(SEARCH(SUBSTITUTE(AZ$1,RIGHT(AZ$1,2),""),VLOOKUP($D360,素材!$1:$1016,COLUMN($F$1),FALSE))),VLOOKUP($C360,武器!$1:$998,COLUMN($O$1),FALSE)*VLOOKUP($D360,素材!$1:$1016,COLUMN($E$1),FALSE)/(LEN(VLOOKUP($D360,素材!$1:$1016,COLUMN($F$1),FALSE)) - LEN(SUBSTITUTE(VLOOKUP($D360,素材!$1:$1016,COLUMN($F$1),FALSE), "・", 0)) + 1), 0)</f>
        <v>0</v>
      </c>
      <c r="BA360">
        <f>IF(ISNUMBER(SEARCH(SUBSTITUTE(BA$1,RIGHT(BA$1,2),""),VLOOKUP($D360,素材!$1:$1016,COLUMN($F$1),FALSE))),VLOOKUP($C360,武器!$1:$998,COLUMN($O$1),FALSE)*VLOOKUP($D360,素材!$1:$1016,COLUMN($E$1),FALSE)/(LEN(VLOOKUP($D360,素材!$1:$1016,COLUMN($F$1),FALSE)) - LEN(SUBSTITUTE(VLOOKUP($D360,素材!$1:$1016,COLUMN($F$1),FALSE), "・", 0)) + 1), 0)</f>
        <v>0</v>
      </c>
      <c r="BB360">
        <f>IF(ISNUMBER(SEARCH(SUBSTITUTE(BB$1,RIGHT(BB$1,2),""),VLOOKUP($D360,素材!$1:$1016,COLUMN($F$1),FALSE))),VLOOKUP($C360,武器!$1:$998,COLUMN($O$1),FALSE)*VLOOKUP($D360,素材!$1:$1016,COLUMN($E$1),FALSE)/(LEN(VLOOKUP($D360,素材!$1:$1016,COLUMN($F$1),FALSE)) - LEN(SUBSTITUTE(VLOOKUP($D360,素材!$1:$1016,COLUMN($F$1),FALSE), "・", 0)) + 1), 0)</f>
        <v>0</v>
      </c>
      <c r="BC360">
        <f>IF(ISNUMBER(SEARCH(SUBSTITUTE(BC$1,RIGHT(BC$1,2),""),VLOOKUP($D360,素材!$1:$1016,COLUMN($F$1),FALSE))),VLOOKUP($C360,武器!$1:$998,COLUMN($O$1),FALSE)*VLOOKUP($D360,素材!$1:$1016,COLUMN($E$1),FALSE)/(LEN(VLOOKUP($D360,素材!$1:$1016,COLUMN($F$1),FALSE)) - LEN(SUBSTITUTE(VLOOKUP($D360,素材!$1:$1016,COLUMN($F$1),FALSE), "・", 0)) + 1), 0)</f>
        <v>0</v>
      </c>
      <c r="BD360">
        <f>IF(ISNUMBER(SEARCH(SUBSTITUTE(BD$1,RIGHT(BD$1,2),""),VLOOKUP($D360,素材!$1:$1016,COLUMN($F$1),FALSE))),VLOOKUP($C360,武器!$1:$998,COLUMN($O$1),FALSE)*VLOOKUP($D360,素材!$1:$1016,COLUMN($E$1),FALSE)/(LEN(VLOOKUP($D360,素材!$1:$1016,COLUMN($F$1),FALSE)) - LEN(SUBSTITUTE(VLOOKUP($D360,素材!$1:$1016,COLUMN($F$1),FALSE), "・", 0)) + 1), 0)</f>
        <v>0</v>
      </c>
      <c r="BE360">
        <f>IF(ISNUMBER(SEARCH(SUBSTITUTE(BE$1,RIGHT(BE$1,2),""),VLOOKUP($D360,素材!$1:$1016,COLUMN($F$1),FALSE))),VLOOKUP($C360,武器!$1:$998,COLUMN($O$1),FALSE)*VLOOKUP($D360,素材!$1:$1016,COLUMN($E$1),FALSE)/(LEN(VLOOKUP($D360,素材!$1:$1016,COLUMN($F$1),FALSE)) - LEN(SUBSTITUTE(VLOOKUP($D360,素材!$1:$1016,COLUMN($F$1),FALSE), "・", 0)) + 1), 0)</f>
        <v>0</v>
      </c>
      <c r="CL360">
        <f>SUM(G360:I360)</f>
        <v>46</v>
      </c>
      <c r="CM360" s="22" t="str">
        <f>IF(E360="武器",IF(J360-1&gt;SUM(G360:I360),"盾",IF(MAX(G360:I360)=G360,"切断",IF(MAX(G360:I360)=H360,"貫通",IF(MAX(G360:I360)=I360,"打撃","射撃")))),E360)&amp;".webp"</f>
        <v>切断.webp</v>
      </c>
      <c r="CN360">
        <f>IFERROR(VLOOKUP($C360,武器!$1:$998,COLUMN(V$1),FALSE)*VLOOKUP($D360,素材!$1:$1016,COLUMN(N$1),FALSE)+IF(CI360="",0,VLOOKUP($CI360,装強!$1:$1008,COLUMN($CK$1),FALSE)),"")</f>
        <v>16000</v>
      </c>
      <c r="CO360">
        <f>VLOOKUP(D360,素材!$A:$O,COLUMN(素材!O$1),FALSE)</f>
        <v>0</v>
      </c>
      <c r="CP360" t="str">
        <f>VLOOKUP(C360,武器!$A:$W,COLUMN(武器!W$1),FALSE)</f>
        <v>長剣。長く重い分扱いにくいが威力が高い。</v>
      </c>
      <c r="CR360" t="str">
        <f t="shared" si="35"/>
        <v>e_360</v>
      </c>
      <c r="CS360">
        <f t="shared" si="36"/>
        <v>1600000</v>
      </c>
    </row>
    <row r="361" spans="1:97" outlineLevel="1" x14ac:dyDescent="0.4">
      <c r="A361" t="str">
        <f t="shared" si="37"/>
        <v>金鋼の長剣</v>
      </c>
      <c r="B361" t="str">
        <f>IFERROR(VLOOKUP($D361,素材!$1:$1016,COLUMN($B$1),FALSE)&amp;"・"&amp;VLOOKUP($C361,武器!$1:$998,COLUMN(B$1),FALSE),"")</f>
        <v>ゴールドメタル・ロングソード</v>
      </c>
      <c r="C361" t="s">
        <v>195</v>
      </c>
      <c r="D361" s="24" t="s">
        <v>196</v>
      </c>
      <c r="E361" t="str">
        <f>IFERROR(VLOOKUP(C361,武器!$1:$998,COLUMN(C$1),FALSE),"")</f>
        <v>武器</v>
      </c>
      <c r="F361">
        <f>IFERROR(ROUNDDOWN((VLOOKUP($C361,武器!$1:$998,COLUMN(D$1),FALSE)+IFERROR(VLOOKUP($CI361,装強!$1:$999,COLUMN(F$1),FALSE),0))*VLOOKUP($D361,素材!$1:$1016,COLUMN(D$1),FALSE),0),"")</f>
        <v>115</v>
      </c>
      <c r="G361">
        <f>IFERROR(ROUNDDOWN((VLOOKUP($C361,武器!$1:$998,COLUMN(E$1),FALSE)+IFERROR(VLOOKUP($CI361,装強!$1:$999,COLUMN(G$1),FALSE),0))*VLOOKUP($D361,素材!$1:$1016,COLUMN($E$1),FALSE),0),"")</f>
        <v>30</v>
      </c>
      <c r="H361">
        <f>IFERROR(ROUNDDOWN((VLOOKUP($C361,武器!$1:$998,COLUMN(F$1),FALSE)+IFERROR(VLOOKUP($CI361,装強!$1:$999,COLUMN(H$1),FALSE),0))*VLOOKUP($D361,素材!$1:$1016,COLUMN($E$1),FALSE),0),"")</f>
        <v>18</v>
      </c>
      <c r="I361">
        <f>IFERROR(ROUNDDOWN((VLOOKUP($C361,武器!$1:$998,COLUMN(G$1),FALSE)+IFERROR(VLOOKUP($CI361,装強!$1:$999,COLUMN(I$1),FALSE),0))*VLOOKUP($D361,素材!$1:$1016,COLUMN($E$1),FALSE),0),"")</f>
        <v>6</v>
      </c>
      <c r="J361">
        <f>IFERROR(ROUNDDOWN((VLOOKUP($C361,武器!$1:$998,COLUMN(H$1),FALSE)+IFERROR(VLOOKUP($CI361,装強!$1:$999,COLUMN(J$1),FALSE),0))*VLOOKUP($D361,素材!$1:$1016,COLUMN($E$1),FALSE),0),"")</f>
        <v>40</v>
      </c>
      <c r="K361">
        <f>IFERROR(ROUNDDOWN((VLOOKUP($C361,武器!$1:$998,COLUMN(I$1),FALSE)+IFERROR(VLOOKUP($CI361,装強!$1:$999,COLUMN(K$1),FALSE),0))*VLOOKUP($D361,素材!$1:$1016,COLUMN($E$1),FALSE),0),"")</f>
        <v>0</v>
      </c>
      <c r="L361" t="str">
        <f>IFERROR(VLOOKUP($D361,素材!$1:$1016,COLUMN($F$1),FALSE),"")</f>
        <v>魔法</v>
      </c>
      <c r="M361">
        <f>IFERROR(VLOOKUP($C361,武器!$1:$998,COLUMN(AA$1),FALSE)*VLOOKUP($D361,素材!$1:$1016,COLUMN($G$1),FALSE),"")</f>
        <v>0</v>
      </c>
      <c r="N361">
        <f>IFERROR(VLOOKUP($C361,武器!$1:$998,COLUMN(I$1),FALSE),"")</f>
        <v>0</v>
      </c>
      <c r="O361" s="23">
        <f>IFERROR((VLOOKUP($C361,武器!$1:$998,COLUMN(K$1),FALSE)+VLOOKUP($D361,素材!$1:$1016,COLUMN(H$1),FALSE))*100+IFERROR(VLOOKUP($CI361,装強!$1:$999,COLUMN(O$1),FALSE),0),"")</f>
        <v>15.000000000000002</v>
      </c>
      <c r="P361" s="23">
        <f>IFERROR((VLOOKUP($C361,武器!$1:$998,COLUMN(L$1),FALSE)+VLOOKUP($D361,素材!$1:$1016,COLUMN(I$1),FALSE))*100+IFERROR(VLOOKUP($CI361,装強!$1:$999,COLUMN(P$1),FALSE),0),"")</f>
        <v>160</v>
      </c>
      <c r="Q361">
        <f>IFERROR(ROUNDUP(VLOOKUP($C361,武器!$1:$998,COLUMN(M$1),FALSE)*(VLOOKUP($D361,素材!$1:$1002,COLUMN(D$1),FALSE)/100),1),"")</f>
        <v>-2.5</v>
      </c>
      <c r="R361">
        <f>IFERROR(ROUNDUP(VLOOKUP($C361,武器!$1:$998,COLUMN(N$1),FALSE)*(VLOOKUP($D361,素材!$1:$1002,COLUMN(D$1),FALSE)/100),1),"")</f>
        <v>-2.5</v>
      </c>
      <c r="S361">
        <f>IFERROR(VLOOKUP($C361,武器!$1:$998,COLUMN(P$1),FALSE),"")</f>
        <v>0</v>
      </c>
      <c r="T361">
        <f>IFERROR(VLOOKUP($C361,武器!$1:$998,COLUMN(Q$1),FALSE),"")</f>
        <v>0</v>
      </c>
      <c r="U361">
        <f>IFERROR(VLOOKUP($C361,武器!$1:$998,COLUMN(R$1),FALSE),"")</f>
        <v>0</v>
      </c>
      <c r="V361">
        <f>IFERROR(VLOOKUP($C361,武器!$1:$998,COLUMN(Q$1),FALSE),"")</f>
        <v>0</v>
      </c>
      <c r="W361" t="str">
        <f>IFERROR(VLOOKUP($C361,武器!$1:$998,COLUMN(T$1),FALSE),"")</f>
        <v>A</v>
      </c>
      <c r="Y361">
        <f>IFERROR(VLOOKUP($C361,武器!$1:$998,COLUMN(U$1),FALSE),"")</f>
        <v>0</v>
      </c>
      <c r="Z361">
        <f>IFERROR(ROUNDUP(VLOOKUP($C361,武器!$1:$998,COLUMN(O$1),FALSE)*VLOOKUP($D361,素材!$1:$1016,COLUMN(E$1),FALSE),1),"")</f>
        <v>0</v>
      </c>
      <c r="AA361">
        <f>IF(ISNUMBER(SEARCH(SUBSTITUTE(AA$1,RIGHT(AA$1,2),""),VLOOKUP($D361,素材!$1:$1016,COLUMN($F$1),FALSE))),VLOOKUP($C361,武器!$1:$998,COLUMN($O$1),FALSE)*VLOOKUP($D361,素材!$1:$1016,COLUMN($E$1),FALSE)/(LEN(VLOOKUP($D361,素材!$1:$1016,COLUMN($F$1),FALSE)) - LEN(SUBSTITUTE(VLOOKUP($D361,素材!$1:$1016,COLUMN($F$1),FALSE), "・", 0)) + 1), 0)</f>
        <v>0</v>
      </c>
      <c r="AB361">
        <f>IF(ISNUMBER(SEARCH(SUBSTITUTE(AB$1,RIGHT(AB$1,2),""),VLOOKUP($D361,素材!$1:$1016,COLUMN($F$1),FALSE))),VLOOKUP($C361,武器!$1:$998,COLUMN($O$1),FALSE)*VLOOKUP($D361,素材!$1:$1016,COLUMN($E$1),FALSE)/(LEN(VLOOKUP($D361,素材!$1:$1016,COLUMN($F$1),FALSE)) - LEN(SUBSTITUTE(VLOOKUP($D361,素材!$1:$1016,COLUMN($F$1),FALSE), "・", 0)) + 1), 0)</f>
        <v>0</v>
      </c>
      <c r="AC361">
        <f>IF(ISNUMBER(SEARCH(SUBSTITUTE(AC$1,RIGHT(AC$1,2),""),VLOOKUP($D361,素材!$1:$1016,COLUMN($F$1),FALSE))),VLOOKUP($C361,武器!$1:$998,COLUMN($O$1),FALSE)*VLOOKUP($D361,素材!$1:$1016,COLUMN($E$1),FALSE)/(LEN(VLOOKUP($D361,素材!$1:$1016,COLUMN($F$1),FALSE)) - LEN(SUBSTITUTE(VLOOKUP($D361,素材!$1:$1016,COLUMN($F$1),FALSE), "・", 0)) + 1), 0)</f>
        <v>0</v>
      </c>
      <c r="AD361">
        <f>IF(ISNUMBER(SEARCH(SUBSTITUTE(AD$1,RIGHT(AD$1,2),""),VLOOKUP($D361,素材!$1:$1016,COLUMN($F$1),FALSE))),VLOOKUP($C361,武器!$1:$998,COLUMN($O$1),FALSE)*VLOOKUP($D361,素材!$1:$1016,COLUMN($E$1),FALSE)/(LEN(VLOOKUP($D361,素材!$1:$1016,COLUMN($F$1),FALSE)) - LEN(SUBSTITUTE(VLOOKUP($D361,素材!$1:$1016,COLUMN($F$1),FALSE), "・", 0)) + 1), 0)</f>
        <v>0</v>
      </c>
      <c r="AE361">
        <f>IF(ISNUMBER(SEARCH(SUBSTITUTE(AE$1,RIGHT(AE$1,2),""),VLOOKUP($D361,素材!$1:$1016,COLUMN($F$1),FALSE))),VLOOKUP($C361,武器!$1:$998,COLUMN($O$1),FALSE)*VLOOKUP($D361,素材!$1:$1016,COLUMN($E$1),FALSE)/(LEN(VLOOKUP($D361,素材!$1:$1016,COLUMN($F$1),FALSE)) - LEN(SUBSTITUTE(VLOOKUP($D361,素材!$1:$1016,COLUMN($F$1),FALSE), "・", 0)) + 1), 0)</f>
        <v>0</v>
      </c>
      <c r="AF361">
        <f>IF(ISNUMBER(SEARCH(SUBSTITUTE(AF$1,RIGHT(AF$1,2),""),VLOOKUP($D361,素材!$1:$1016,COLUMN($F$1),FALSE))),VLOOKUP($C361,武器!$1:$998,COLUMN($O$1),FALSE)*VLOOKUP($D361,素材!$1:$1016,COLUMN($E$1),FALSE)/(LEN(VLOOKUP($D361,素材!$1:$1016,COLUMN($F$1),FALSE)) - LEN(SUBSTITUTE(VLOOKUP($D361,素材!$1:$1016,COLUMN($F$1),FALSE), "・", 0)) + 1), 0)</f>
        <v>0</v>
      </c>
      <c r="AG361">
        <f>IF(ISNUMBER(SEARCH(SUBSTITUTE(AG$1,RIGHT(AG$1,2),""),VLOOKUP($D361,素材!$1:$1016,COLUMN($F$1),FALSE))),VLOOKUP($C361,武器!$1:$998,COLUMN($O$1),FALSE)*VLOOKUP($D361,素材!$1:$1016,COLUMN($E$1),FALSE)/(LEN(VLOOKUP($D361,素材!$1:$1016,COLUMN($F$1),FALSE)) - LEN(SUBSTITUTE(VLOOKUP($D361,素材!$1:$1016,COLUMN($F$1),FALSE), "・", 0)) + 1), 0)</f>
        <v>0</v>
      </c>
      <c r="AH361">
        <f>IF(ISNUMBER(SEARCH(SUBSTITUTE(AH$1,RIGHT(AH$1,2),""),VLOOKUP($D361,素材!$1:$1016,COLUMN($F$1),FALSE))),VLOOKUP($C361,武器!$1:$998,COLUMN($O$1),FALSE)*VLOOKUP($D361,素材!$1:$1016,COLUMN($E$1),FALSE)/(LEN(VLOOKUP($D361,素材!$1:$1016,COLUMN($F$1),FALSE)) - LEN(SUBSTITUTE(VLOOKUP($D361,素材!$1:$1016,COLUMN($F$1),FALSE), "・", 0)) + 1), 0)</f>
        <v>0</v>
      </c>
      <c r="AI361">
        <f>IF(ISNUMBER(SEARCH(SUBSTITUTE(AI$1,RIGHT(AI$1,2),""),VLOOKUP($D361,素材!$1:$1016,COLUMN($F$1),FALSE))),VLOOKUP($C361,武器!$1:$998,COLUMN($O$1),FALSE)*VLOOKUP($D361,素材!$1:$1016,COLUMN($E$1),FALSE)/(LEN(VLOOKUP($D361,素材!$1:$1016,COLUMN($F$1),FALSE)) - LEN(SUBSTITUTE(VLOOKUP($D361,素材!$1:$1016,COLUMN($F$1),FALSE), "・", 0)) + 1), 0)</f>
        <v>0</v>
      </c>
      <c r="AJ361">
        <f>IF(ISNUMBER(SEARCH(SUBSTITUTE(AJ$1,RIGHT(AJ$1,2),""),VLOOKUP($D361,素材!$1:$1016,COLUMN($F$1),FALSE))),VLOOKUP($C361,武器!$1:$998,COLUMN($O$1),FALSE)*VLOOKUP($D361,素材!$1:$1016,COLUMN($E$1),FALSE)/(LEN(VLOOKUP($D361,素材!$1:$1016,COLUMN($F$1),FALSE)) - LEN(SUBSTITUTE(VLOOKUP($D361,素材!$1:$1016,COLUMN($F$1),FALSE), "・", 0)) + 1), 0)</f>
        <v>0</v>
      </c>
      <c r="AK361">
        <f>IF(ISNUMBER(SEARCH(SUBSTITUTE(AK$1,RIGHT(AK$1,2),""),VLOOKUP($D361,素材!$1:$1016,COLUMN($F$1),FALSE))),VLOOKUP($C361,武器!$1:$998,COLUMN($O$1),FALSE)*VLOOKUP($D361,素材!$1:$1016,COLUMN($E$1),FALSE)/(LEN(VLOOKUP($D361,素材!$1:$1016,COLUMN($F$1),FALSE)) - LEN(SUBSTITUTE(VLOOKUP($D361,素材!$1:$1016,COLUMN($F$1),FALSE), "・", 0)) + 1), 0)</f>
        <v>0</v>
      </c>
      <c r="AL361">
        <f>IF(ISNUMBER(SEARCH(SUBSTITUTE(AL$1,RIGHT(AL$1,2),""),VLOOKUP($D361,素材!$1:$1016,COLUMN($F$1),FALSE))),VLOOKUP($C361,武器!$1:$998,COLUMN($O$1),FALSE)*VLOOKUP($D361,素材!$1:$1016,COLUMN($E$1),FALSE)/(LEN(VLOOKUP($D361,素材!$1:$1016,COLUMN($F$1),FALSE)) - LEN(SUBSTITUTE(VLOOKUP($D361,素材!$1:$1016,COLUMN($F$1),FALSE), "・", 0)) + 1), 0)</f>
        <v>0</v>
      </c>
      <c r="AM361">
        <f>IF(ISNUMBER(SEARCH(SUBSTITUTE(AM$1,RIGHT(AM$1,2),""),VLOOKUP($D361,素材!$1:$1016,COLUMN($F$1),FALSE))),VLOOKUP($C361,武器!$1:$998,COLUMN($O$1),FALSE)*VLOOKUP($D361,素材!$1:$1016,COLUMN($E$1),FALSE)/(LEN(VLOOKUP($D361,素材!$1:$1016,COLUMN($F$1),FALSE)) - LEN(SUBSTITUTE(VLOOKUP($D361,素材!$1:$1016,COLUMN($F$1),FALSE), "・", 0)) + 1), 0)</f>
        <v>0</v>
      </c>
      <c r="AN361">
        <f>IF(ISNUMBER(SEARCH(SUBSTITUTE(AN$1,RIGHT(AN$1,2),""),VLOOKUP($D361,素材!$1:$1016,COLUMN($F$1),FALSE))),VLOOKUP($C361,武器!$1:$998,COLUMN($O$1),FALSE)*VLOOKUP($D361,素材!$1:$1016,COLUMN($E$1),FALSE)/(LEN(VLOOKUP($D361,素材!$1:$1016,COLUMN($F$1),FALSE)) - LEN(SUBSTITUTE(VLOOKUP($D361,素材!$1:$1016,COLUMN($F$1),FALSE), "・", 0)) + 1), 0)</f>
        <v>0</v>
      </c>
      <c r="AO361">
        <f>IF(ISNUMBER(SEARCH(SUBSTITUTE(AO$1,RIGHT(AO$1,2),""),VLOOKUP($D361,素材!$1:$1016,COLUMN($F$1),FALSE))),VLOOKUP($C361,武器!$1:$998,COLUMN($O$1),FALSE)*VLOOKUP($D361,素材!$1:$1016,COLUMN($E$1),FALSE)/(LEN(VLOOKUP($D361,素材!$1:$1016,COLUMN($F$1),FALSE)) - LEN(SUBSTITUTE(VLOOKUP($D361,素材!$1:$1016,COLUMN($F$1),FALSE), "・", 0)) + 1), 0)</f>
        <v>0</v>
      </c>
      <c r="AP361">
        <f>IF(ISNUMBER(SEARCH(SUBSTITUTE(AP$1,RIGHT(AP$1,2),""),VLOOKUP($D361,素材!$1:$1016,COLUMN($F$1),FALSE))),VLOOKUP($C361,武器!$1:$998,COLUMN($O$1),FALSE)*VLOOKUP($D361,素材!$1:$1016,COLUMN($E$1),FALSE)/(LEN(VLOOKUP($D361,素材!$1:$1016,COLUMN($F$1),FALSE)) - LEN(SUBSTITUTE(VLOOKUP($D361,素材!$1:$1016,COLUMN($F$1),FALSE), "・", 0)) + 1), 0)</f>
        <v>0</v>
      </c>
      <c r="AQ361">
        <f>IF(ISNUMBER(SEARCH(SUBSTITUTE(AQ$1,RIGHT(AQ$1,2),""),VLOOKUP($D361,素材!$1:$1016,COLUMN($F$1),FALSE))),VLOOKUP($C361,武器!$1:$998,COLUMN($O$1),FALSE)*VLOOKUP($D361,素材!$1:$1016,COLUMN($E$1),FALSE)/(LEN(VLOOKUP($D361,素材!$1:$1016,COLUMN($F$1),FALSE)) - LEN(SUBSTITUTE(VLOOKUP($D361,素材!$1:$1016,COLUMN($F$1),FALSE), "・", 0)) + 1), 0)</f>
        <v>0</v>
      </c>
      <c r="AR361">
        <f>IF(ISNUMBER(SEARCH(SUBSTITUTE(AR$1,RIGHT(AR$1,2),""),VLOOKUP($D361,素材!$1:$1016,COLUMN($F$1),FALSE))),VLOOKUP($C361,武器!$1:$998,COLUMN($O$1),FALSE)*VLOOKUP($D361,素材!$1:$1016,COLUMN($E$1),FALSE)/(LEN(VLOOKUP($D361,素材!$1:$1016,COLUMN($F$1),FALSE)) - LEN(SUBSTITUTE(VLOOKUP($D361,素材!$1:$1016,COLUMN($F$1),FALSE), "・", 0)) + 1), 0)</f>
        <v>0</v>
      </c>
      <c r="AS361">
        <f>IF(ISNUMBER(SEARCH(SUBSTITUTE(AS$1,RIGHT(AS$1,2),""),VLOOKUP($D361,素材!$1:$1016,COLUMN($F$1),FALSE))),VLOOKUP($C361,武器!$1:$998,COLUMN($O$1),FALSE)*VLOOKUP($D361,素材!$1:$1016,COLUMN($E$1),FALSE)/(LEN(VLOOKUP($D361,素材!$1:$1016,COLUMN($F$1),FALSE)) - LEN(SUBSTITUTE(VLOOKUP($D361,素材!$1:$1016,COLUMN($F$1),FALSE), "・", 0)) + 1), 0)</f>
        <v>0</v>
      </c>
      <c r="AT361">
        <f>IF(ISNUMBER(SEARCH(SUBSTITUTE(AT$1,RIGHT(AT$1,2),""),VLOOKUP($D361,素材!$1:$1016,COLUMN($F$1),FALSE))),VLOOKUP($C361,武器!$1:$998,COLUMN($O$1),FALSE)*VLOOKUP($D361,素材!$1:$1016,COLUMN($E$1),FALSE)/(LEN(VLOOKUP($D361,素材!$1:$1016,COLUMN($F$1),FALSE)) - LEN(SUBSTITUTE(VLOOKUP($D361,素材!$1:$1016,COLUMN($F$1),FALSE), "・", 0)) + 1), 0)</f>
        <v>0</v>
      </c>
      <c r="AU361">
        <f>IF(ISNUMBER(SEARCH(SUBSTITUTE(AU$1,RIGHT(AU$1,2),""),VLOOKUP($D361,素材!$1:$1016,COLUMN($F$1),FALSE))),VLOOKUP($C361,武器!$1:$998,COLUMN($O$1),FALSE)*VLOOKUP($D361,素材!$1:$1016,COLUMN($E$1),FALSE)/(LEN(VLOOKUP($D361,素材!$1:$1016,COLUMN($F$1),FALSE)) - LEN(SUBSTITUTE(VLOOKUP($D361,素材!$1:$1016,COLUMN($F$1),FALSE), "・", 0)) + 1), 0)</f>
        <v>0</v>
      </c>
      <c r="AV361">
        <f>IF(ISNUMBER(SEARCH(SUBSTITUTE(AV$1,RIGHT(AV$1,2),""),VLOOKUP($D361,素材!$1:$1016,COLUMN($F$1),FALSE))),VLOOKUP($C361,武器!$1:$998,COLUMN($O$1),FALSE)*VLOOKUP($D361,素材!$1:$1016,COLUMN($E$1),FALSE)/(LEN(VLOOKUP($D361,素材!$1:$1016,COLUMN($F$1),FALSE)) - LEN(SUBSTITUTE(VLOOKUP($D361,素材!$1:$1016,COLUMN($F$1),FALSE), "・", 0)) + 1), 0)</f>
        <v>0</v>
      </c>
      <c r="AW361">
        <f>IF(ISNUMBER(SEARCH(SUBSTITUTE(AW$1,RIGHT(AW$1,2),""),VLOOKUP($D361,素材!$1:$1016,COLUMN($F$1),FALSE))),VLOOKUP($C361,武器!$1:$998,COLUMN($O$1),FALSE)*VLOOKUP($D361,素材!$1:$1016,COLUMN($E$1),FALSE)/(LEN(VLOOKUP($D361,素材!$1:$1016,COLUMN($F$1),FALSE)) - LEN(SUBSTITUTE(VLOOKUP($D361,素材!$1:$1016,COLUMN($F$1),FALSE), "・", 0)) + 1), 0)</f>
        <v>0</v>
      </c>
      <c r="AX361">
        <f>IF(ISNUMBER(SEARCH(SUBSTITUTE(AX$1,RIGHT(AX$1,2),""),VLOOKUP($D361,素材!$1:$1016,COLUMN($F$1),FALSE))),VLOOKUP($C361,武器!$1:$998,COLUMN($O$1),FALSE)*VLOOKUP($D361,素材!$1:$1016,COLUMN($E$1),FALSE)/(LEN(VLOOKUP($D361,素材!$1:$1016,COLUMN($F$1),FALSE)) - LEN(SUBSTITUTE(VLOOKUP($D361,素材!$1:$1016,COLUMN($F$1),FALSE), "・", 0)) + 1), 0)</f>
        <v>0</v>
      </c>
      <c r="AY361">
        <f>IF(ISNUMBER(SEARCH(SUBSTITUTE(AY$1,RIGHT(AY$1,2),""),VLOOKUP($D361,素材!$1:$1016,COLUMN($F$1),FALSE))),VLOOKUP($C361,武器!$1:$998,COLUMN($O$1),FALSE)*VLOOKUP($D361,素材!$1:$1016,COLUMN($E$1),FALSE)/(LEN(VLOOKUP($D361,素材!$1:$1016,COLUMN($F$1),FALSE)) - LEN(SUBSTITUTE(VLOOKUP($D361,素材!$1:$1016,COLUMN($F$1),FALSE), "・", 0)) + 1), 0)</f>
        <v>0</v>
      </c>
      <c r="AZ361">
        <f>IF(ISNUMBER(SEARCH(SUBSTITUTE(AZ$1,RIGHT(AZ$1,2),""),VLOOKUP($D361,素材!$1:$1016,COLUMN($F$1),FALSE))),VLOOKUP($C361,武器!$1:$998,COLUMN($O$1),FALSE)*VLOOKUP($D361,素材!$1:$1016,COLUMN($E$1),FALSE)/(LEN(VLOOKUP($D361,素材!$1:$1016,COLUMN($F$1),FALSE)) - LEN(SUBSTITUTE(VLOOKUP($D361,素材!$1:$1016,COLUMN($F$1),FALSE), "・", 0)) + 1), 0)</f>
        <v>0</v>
      </c>
      <c r="BA361">
        <f>IF(ISNUMBER(SEARCH(SUBSTITUTE(BA$1,RIGHT(BA$1,2),""),VLOOKUP($D361,素材!$1:$1016,COLUMN($F$1),FALSE))),VLOOKUP($C361,武器!$1:$998,COLUMN($O$1),FALSE)*VLOOKUP($D361,素材!$1:$1016,COLUMN($E$1),FALSE)/(LEN(VLOOKUP($D361,素材!$1:$1016,COLUMN($F$1),FALSE)) - LEN(SUBSTITUTE(VLOOKUP($D361,素材!$1:$1016,COLUMN($F$1),FALSE), "・", 0)) + 1), 0)</f>
        <v>0</v>
      </c>
      <c r="BB361">
        <f>IF(ISNUMBER(SEARCH(SUBSTITUTE(BB$1,RIGHT(BB$1,2),""),VLOOKUP($D361,素材!$1:$1016,COLUMN($F$1),FALSE))),VLOOKUP($C361,武器!$1:$998,COLUMN($O$1),FALSE)*VLOOKUP($D361,素材!$1:$1016,COLUMN($E$1),FALSE)/(LEN(VLOOKUP($D361,素材!$1:$1016,COLUMN($F$1),FALSE)) - LEN(SUBSTITUTE(VLOOKUP($D361,素材!$1:$1016,COLUMN($F$1),FALSE), "・", 0)) + 1), 0)</f>
        <v>0</v>
      </c>
      <c r="BC361">
        <f>IF(ISNUMBER(SEARCH(SUBSTITUTE(BC$1,RIGHT(BC$1,2),""),VLOOKUP($D361,素材!$1:$1016,COLUMN($F$1),FALSE))),VLOOKUP($C361,武器!$1:$998,COLUMN($O$1),FALSE)*VLOOKUP($D361,素材!$1:$1016,COLUMN($E$1),FALSE)/(LEN(VLOOKUP($D361,素材!$1:$1016,COLUMN($F$1),FALSE)) - LEN(SUBSTITUTE(VLOOKUP($D361,素材!$1:$1016,COLUMN($F$1),FALSE), "・", 0)) + 1), 0)</f>
        <v>0</v>
      </c>
      <c r="BD361">
        <f>IF(ISNUMBER(SEARCH(SUBSTITUTE(BD$1,RIGHT(BD$1,2),""),VLOOKUP($D361,素材!$1:$1016,COLUMN($F$1),FALSE))),VLOOKUP($C361,武器!$1:$998,COLUMN($O$1),FALSE)*VLOOKUP($D361,素材!$1:$1016,COLUMN($E$1),FALSE)/(LEN(VLOOKUP($D361,素材!$1:$1016,COLUMN($F$1),FALSE)) - LEN(SUBSTITUTE(VLOOKUP($D361,素材!$1:$1016,COLUMN($F$1),FALSE), "・", 0)) + 1), 0)</f>
        <v>0</v>
      </c>
      <c r="BE361">
        <f>IF(ISNUMBER(SEARCH(SUBSTITUTE(BE$1,RIGHT(BE$1,2),""),VLOOKUP($D361,素材!$1:$1016,COLUMN($F$1),FALSE))),VLOOKUP($C361,武器!$1:$998,COLUMN($O$1),FALSE)*VLOOKUP($D361,素材!$1:$1016,COLUMN($E$1),FALSE)/(LEN(VLOOKUP($D361,素材!$1:$1016,COLUMN($F$1),FALSE)) - LEN(SUBSTITUTE(VLOOKUP($D361,素材!$1:$1016,COLUMN($F$1),FALSE), "・", 0)) + 1), 0)</f>
        <v>0</v>
      </c>
      <c r="CL361">
        <f>SUM(G361:I361)</f>
        <v>54</v>
      </c>
      <c r="CM361" s="22" t="str">
        <f>IF(E361="武器",IF(J361-1&gt;SUM(G361:I361),"盾",IF(MAX(G361:I361)=G361,"切断",IF(MAX(G361:I361)=H361,"貫通",IF(MAX(G361:I361)=I361,"打撃","射撃")))),E361)&amp;".webp"</f>
        <v>切断.webp</v>
      </c>
      <c r="CN361">
        <f>IFERROR(VLOOKUP($C361,武器!$1:$998,COLUMN(V$1),FALSE)*VLOOKUP($D361,素材!$1:$1016,COLUMN(N$1),FALSE)+IF(CI361="",0,VLOOKUP($CI361,装強!$1:$1008,COLUMN($CK$1),FALSE)),"")</f>
        <v>18000</v>
      </c>
      <c r="CO361">
        <f>VLOOKUP(D361,素材!$A:$O,COLUMN(素材!O$1),FALSE)</f>
        <v>0</v>
      </c>
      <c r="CP361" t="str">
        <f>VLOOKUP(C361,武器!$A:$W,COLUMN(武器!W$1),FALSE)</f>
        <v>長剣。長く重い分扱いにくいが威力が高い。</v>
      </c>
      <c r="CR361" t="str">
        <f t="shared" si="35"/>
        <v>e_361</v>
      </c>
      <c r="CS361">
        <f t="shared" si="36"/>
        <v>1800000</v>
      </c>
    </row>
    <row r="362" spans="1:97" outlineLevel="1" x14ac:dyDescent="0.4">
      <c r="A362" t="str">
        <f t="shared" si="37"/>
        <v>黒鋼の長剣</v>
      </c>
      <c r="B362" t="str">
        <f>IFERROR(VLOOKUP($D362,素材!$1:$1016,COLUMN($B$1),FALSE)&amp;"・"&amp;VLOOKUP($C362,武器!$1:$998,COLUMN(B$1),FALSE),"")</f>
        <v>ブラックメタル・ロングソード</v>
      </c>
      <c r="C362" t="s">
        <v>195</v>
      </c>
      <c r="D362" s="24" t="s">
        <v>194</v>
      </c>
      <c r="E362" t="str">
        <f>IFERROR(VLOOKUP(C362,武器!$1:$998,COLUMN(C$1),FALSE),"")</f>
        <v>武器</v>
      </c>
      <c r="F362">
        <f>IFERROR(ROUNDDOWN((VLOOKUP($C362,武器!$1:$998,COLUMN(D$1),FALSE)+IFERROR(VLOOKUP($CI362,装強!$1:$999,COLUMN(F$1),FALSE),0))*VLOOKUP($D362,素材!$1:$1016,COLUMN(D$1),FALSE),0),"")</f>
        <v>138</v>
      </c>
      <c r="G362">
        <f>IFERROR(ROUNDDOWN((VLOOKUP($C362,武器!$1:$998,COLUMN(E$1),FALSE)+IFERROR(VLOOKUP($CI362,装強!$1:$999,COLUMN(G$1),FALSE),0))*VLOOKUP($D362,素材!$1:$1016,COLUMN($E$1),FALSE),0),"")</f>
        <v>37</v>
      </c>
      <c r="H362">
        <f>IFERROR(ROUNDDOWN((VLOOKUP($C362,武器!$1:$998,COLUMN(F$1),FALSE)+IFERROR(VLOOKUP($CI362,装強!$1:$999,COLUMN(H$1),FALSE),0))*VLOOKUP($D362,素材!$1:$1016,COLUMN($E$1),FALSE),0),"")</f>
        <v>22</v>
      </c>
      <c r="I362">
        <f>IFERROR(ROUNDDOWN((VLOOKUP($C362,武器!$1:$998,COLUMN(G$1),FALSE)+IFERROR(VLOOKUP($CI362,装強!$1:$999,COLUMN(I$1),FALSE),0))*VLOOKUP($D362,素材!$1:$1016,COLUMN($E$1),FALSE),0),"")</f>
        <v>7</v>
      </c>
      <c r="J362">
        <f>IFERROR(ROUNDDOWN((VLOOKUP($C362,武器!$1:$998,COLUMN(H$1),FALSE)+IFERROR(VLOOKUP($CI362,装強!$1:$999,COLUMN(J$1),FALSE),0))*VLOOKUP($D362,素材!$1:$1016,COLUMN($E$1),FALSE),0),"")</f>
        <v>50</v>
      </c>
      <c r="K362">
        <f>IFERROR(ROUNDDOWN((VLOOKUP($C362,武器!$1:$998,COLUMN(I$1),FALSE)+IFERROR(VLOOKUP($CI362,装強!$1:$999,COLUMN(K$1),FALSE),0))*VLOOKUP($D362,素材!$1:$1016,COLUMN($E$1),FALSE),0),"")</f>
        <v>0</v>
      </c>
      <c r="L362" t="str">
        <f>IFERROR(VLOOKUP($D362,素材!$1:$1016,COLUMN($F$1),FALSE),"")</f>
        <v>物理</v>
      </c>
      <c r="M362">
        <f>IFERROR(VLOOKUP($C362,武器!$1:$998,COLUMN(AA$1),FALSE)*VLOOKUP($D362,素材!$1:$1016,COLUMN($G$1),FALSE),"")</f>
        <v>0</v>
      </c>
      <c r="N362">
        <f>IFERROR(VLOOKUP($C362,武器!$1:$998,COLUMN(I$1),FALSE),"")</f>
        <v>0</v>
      </c>
      <c r="O362" s="23">
        <f>IFERROR((VLOOKUP($C362,武器!$1:$998,COLUMN(K$1),FALSE)+VLOOKUP($D362,素材!$1:$1016,COLUMN(H$1),FALSE))*100+IFERROR(VLOOKUP($CI362,装強!$1:$999,COLUMN(O$1),FALSE),0),"")</f>
        <v>15.000000000000002</v>
      </c>
      <c r="P362" s="23">
        <f>IFERROR((VLOOKUP($C362,武器!$1:$998,COLUMN(L$1),FALSE)+VLOOKUP($D362,素材!$1:$1016,COLUMN(I$1),FALSE))*100+IFERROR(VLOOKUP($CI362,装強!$1:$999,COLUMN(P$1),FALSE),0),"")</f>
        <v>160</v>
      </c>
      <c r="Q362">
        <f>IFERROR(ROUNDUP(VLOOKUP($C362,武器!$1:$998,COLUMN(M$1),FALSE)*(VLOOKUP($D362,素材!$1:$1002,COLUMN(D$1),FALSE)/100),1),"")</f>
        <v>-3</v>
      </c>
      <c r="R362">
        <f>IFERROR(ROUNDUP(VLOOKUP($C362,武器!$1:$998,COLUMN(N$1),FALSE)*(VLOOKUP($D362,素材!$1:$1002,COLUMN(D$1),FALSE)/100),1),"")</f>
        <v>-3</v>
      </c>
      <c r="S362">
        <f>IFERROR(VLOOKUP($C362,武器!$1:$998,COLUMN(P$1),FALSE),"")</f>
        <v>0</v>
      </c>
      <c r="T362">
        <f>IFERROR(VLOOKUP($C362,武器!$1:$998,COLUMN(Q$1),FALSE),"")</f>
        <v>0</v>
      </c>
      <c r="U362">
        <f>IFERROR(VLOOKUP($C362,武器!$1:$998,COLUMN(R$1),FALSE),"")</f>
        <v>0</v>
      </c>
      <c r="V362">
        <f>IFERROR(VLOOKUP($C362,武器!$1:$998,COLUMN(Q$1),FALSE),"")</f>
        <v>0</v>
      </c>
      <c r="W362" t="str">
        <f>IFERROR(VLOOKUP($C362,武器!$1:$998,COLUMN(T$1),FALSE),"")</f>
        <v>A</v>
      </c>
      <c r="Y362">
        <f>IFERROR(VLOOKUP($C362,武器!$1:$998,COLUMN(U$1),FALSE),"")</f>
        <v>0</v>
      </c>
      <c r="Z362">
        <f>IFERROR(ROUNDUP(VLOOKUP($C362,武器!$1:$998,COLUMN(O$1),FALSE)*VLOOKUP($D362,素材!$1:$1016,COLUMN(E$1),FALSE),1),"")</f>
        <v>0</v>
      </c>
      <c r="AA362">
        <f>IF(ISNUMBER(SEARCH(SUBSTITUTE(AA$1,RIGHT(AA$1,2),""),VLOOKUP($D362,素材!$1:$1016,COLUMN($F$1),FALSE))),VLOOKUP($C362,武器!$1:$998,COLUMN($O$1),FALSE)*VLOOKUP($D362,素材!$1:$1016,COLUMN($E$1),FALSE)/(LEN(VLOOKUP($D362,素材!$1:$1016,COLUMN($F$1),FALSE)) - LEN(SUBSTITUTE(VLOOKUP($D362,素材!$1:$1016,COLUMN($F$1),FALSE), "・", 0)) + 1), 0)</f>
        <v>0</v>
      </c>
      <c r="AB362">
        <f>IF(ISNUMBER(SEARCH(SUBSTITUTE(AB$1,RIGHT(AB$1,2),""),VLOOKUP($D362,素材!$1:$1016,COLUMN($F$1),FALSE))),VLOOKUP($C362,武器!$1:$998,COLUMN($O$1),FALSE)*VLOOKUP($D362,素材!$1:$1016,COLUMN($E$1),FALSE)/(LEN(VLOOKUP($D362,素材!$1:$1016,COLUMN($F$1),FALSE)) - LEN(SUBSTITUTE(VLOOKUP($D362,素材!$1:$1016,COLUMN($F$1),FALSE), "・", 0)) + 1), 0)</f>
        <v>0</v>
      </c>
      <c r="AC362">
        <f>IF(ISNUMBER(SEARCH(SUBSTITUTE(AC$1,RIGHT(AC$1,2),""),VLOOKUP($D362,素材!$1:$1016,COLUMN($F$1),FALSE))),VLOOKUP($C362,武器!$1:$998,COLUMN($O$1),FALSE)*VLOOKUP($D362,素材!$1:$1016,COLUMN($E$1),FALSE)/(LEN(VLOOKUP($D362,素材!$1:$1016,COLUMN($F$1),FALSE)) - LEN(SUBSTITUTE(VLOOKUP($D362,素材!$1:$1016,COLUMN($F$1),FALSE), "・", 0)) + 1), 0)</f>
        <v>0</v>
      </c>
      <c r="AD362">
        <f>IF(ISNUMBER(SEARCH(SUBSTITUTE(AD$1,RIGHT(AD$1,2),""),VLOOKUP($D362,素材!$1:$1016,COLUMN($F$1),FALSE))),VLOOKUP($C362,武器!$1:$998,COLUMN($O$1),FALSE)*VLOOKUP($D362,素材!$1:$1016,COLUMN($E$1),FALSE)/(LEN(VLOOKUP($D362,素材!$1:$1016,COLUMN($F$1),FALSE)) - LEN(SUBSTITUTE(VLOOKUP($D362,素材!$1:$1016,COLUMN($F$1),FALSE), "・", 0)) + 1), 0)</f>
        <v>0</v>
      </c>
      <c r="AE362">
        <f>IF(ISNUMBER(SEARCH(SUBSTITUTE(AE$1,RIGHT(AE$1,2),""),VLOOKUP($D362,素材!$1:$1016,COLUMN($F$1),FALSE))),VLOOKUP($C362,武器!$1:$998,COLUMN($O$1),FALSE)*VLOOKUP($D362,素材!$1:$1016,COLUMN($E$1),FALSE)/(LEN(VLOOKUP($D362,素材!$1:$1016,COLUMN($F$1),FALSE)) - LEN(SUBSTITUTE(VLOOKUP($D362,素材!$1:$1016,COLUMN($F$1),FALSE), "・", 0)) + 1), 0)</f>
        <v>0</v>
      </c>
      <c r="AF362">
        <f>IF(ISNUMBER(SEARCH(SUBSTITUTE(AF$1,RIGHT(AF$1,2),""),VLOOKUP($D362,素材!$1:$1016,COLUMN($F$1),FALSE))),VLOOKUP($C362,武器!$1:$998,COLUMN($O$1),FALSE)*VLOOKUP($D362,素材!$1:$1016,COLUMN($E$1),FALSE)/(LEN(VLOOKUP($D362,素材!$1:$1016,COLUMN($F$1),FALSE)) - LEN(SUBSTITUTE(VLOOKUP($D362,素材!$1:$1016,COLUMN($F$1),FALSE), "・", 0)) + 1), 0)</f>
        <v>0</v>
      </c>
      <c r="AG362">
        <f>IF(ISNUMBER(SEARCH(SUBSTITUTE(AG$1,RIGHT(AG$1,2),""),VLOOKUP($D362,素材!$1:$1016,COLUMN($F$1),FALSE))),VLOOKUP($C362,武器!$1:$998,COLUMN($O$1),FALSE)*VLOOKUP($D362,素材!$1:$1016,COLUMN($E$1),FALSE)/(LEN(VLOOKUP($D362,素材!$1:$1016,COLUMN($F$1),FALSE)) - LEN(SUBSTITUTE(VLOOKUP($D362,素材!$1:$1016,COLUMN($F$1),FALSE), "・", 0)) + 1), 0)</f>
        <v>0</v>
      </c>
      <c r="AH362">
        <f>IF(ISNUMBER(SEARCH(SUBSTITUTE(AH$1,RIGHT(AH$1,2),""),VLOOKUP($D362,素材!$1:$1016,COLUMN($F$1),FALSE))),VLOOKUP($C362,武器!$1:$998,COLUMN($O$1),FALSE)*VLOOKUP($D362,素材!$1:$1016,COLUMN($E$1),FALSE)/(LEN(VLOOKUP($D362,素材!$1:$1016,COLUMN($F$1),FALSE)) - LEN(SUBSTITUTE(VLOOKUP($D362,素材!$1:$1016,COLUMN($F$1),FALSE), "・", 0)) + 1), 0)</f>
        <v>0</v>
      </c>
      <c r="AI362">
        <f>IF(ISNUMBER(SEARCH(SUBSTITUTE(AI$1,RIGHT(AI$1,2),""),VLOOKUP($D362,素材!$1:$1016,COLUMN($F$1),FALSE))),VLOOKUP($C362,武器!$1:$998,COLUMN($O$1),FALSE)*VLOOKUP($D362,素材!$1:$1016,COLUMN($E$1),FALSE)/(LEN(VLOOKUP($D362,素材!$1:$1016,COLUMN($F$1),FALSE)) - LEN(SUBSTITUTE(VLOOKUP($D362,素材!$1:$1016,COLUMN($F$1),FALSE), "・", 0)) + 1), 0)</f>
        <v>0</v>
      </c>
      <c r="AJ362">
        <f>IF(ISNUMBER(SEARCH(SUBSTITUTE(AJ$1,RIGHT(AJ$1,2),""),VLOOKUP($D362,素材!$1:$1016,COLUMN($F$1),FALSE))),VLOOKUP($C362,武器!$1:$998,COLUMN($O$1),FALSE)*VLOOKUP($D362,素材!$1:$1016,COLUMN($E$1),FALSE)/(LEN(VLOOKUP($D362,素材!$1:$1016,COLUMN($F$1),FALSE)) - LEN(SUBSTITUTE(VLOOKUP($D362,素材!$1:$1016,COLUMN($F$1),FALSE), "・", 0)) + 1), 0)</f>
        <v>0</v>
      </c>
      <c r="AK362">
        <f>IF(ISNUMBER(SEARCH(SUBSTITUTE(AK$1,RIGHT(AK$1,2),""),VLOOKUP($D362,素材!$1:$1016,COLUMN($F$1),FALSE))),VLOOKUP($C362,武器!$1:$998,COLUMN($O$1),FALSE)*VLOOKUP($D362,素材!$1:$1016,COLUMN($E$1),FALSE)/(LEN(VLOOKUP($D362,素材!$1:$1016,COLUMN($F$1),FALSE)) - LEN(SUBSTITUTE(VLOOKUP($D362,素材!$1:$1016,COLUMN($F$1),FALSE), "・", 0)) + 1), 0)</f>
        <v>0</v>
      </c>
      <c r="AL362">
        <f>IF(ISNUMBER(SEARCH(SUBSTITUTE(AL$1,RIGHT(AL$1,2),""),VLOOKUP($D362,素材!$1:$1016,COLUMN($F$1),FALSE))),VLOOKUP($C362,武器!$1:$998,COLUMN($O$1),FALSE)*VLOOKUP($D362,素材!$1:$1016,COLUMN($E$1),FALSE)/(LEN(VLOOKUP($D362,素材!$1:$1016,COLUMN($F$1),FALSE)) - LEN(SUBSTITUTE(VLOOKUP($D362,素材!$1:$1016,COLUMN($F$1),FALSE), "・", 0)) + 1), 0)</f>
        <v>0</v>
      </c>
      <c r="AM362">
        <f>IF(ISNUMBER(SEARCH(SUBSTITUTE(AM$1,RIGHT(AM$1,2),""),VLOOKUP($D362,素材!$1:$1016,COLUMN($F$1),FALSE))),VLOOKUP($C362,武器!$1:$998,COLUMN($O$1),FALSE)*VLOOKUP($D362,素材!$1:$1016,COLUMN($E$1),FALSE)/(LEN(VLOOKUP($D362,素材!$1:$1016,COLUMN($F$1),FALSE)) - LEN(SUBSTITUTE(VLOOKUP($D362,素材!$1:$1016,COLUMN($F$1),FALSE), "・", 0)) + 1), 0)</f>
        <v>0</v>
      </c>
      <c r="AN362">
        <f>IF(ISNUMBER(SEARCH(SUBSTITUTE(AN$1,RIGHT(AN$1,2),""),VLOOKUP($D362,素材!$1:$1016,COLUMN($F$1),FALSE))),VLOOKUP($C362,武器!$1:$998,COLUMN($O$1),FALSE)*VLOOKUP($D362,素材!$1:$1016,COLUMN($E$1),FALSE)/(LEN(VLOOKUP($D362,素材!$1:$1016,COLUMN($F$1),FALSE)) - LEN(SUBSTITUTE(VLOOKUP($D362,素材!$1:$1016,COLUMN($F$1),FALSE), "・", 0)) + 1), 0)</f>
        <v>0</v>
      </c>
      <c r="AO362">
        <f>IF(ISNUMBER(SEARCH(SUBSTITUTE(AO$1,RIGHT(AO$1,2),""),VLOOKUP($D362,素材!$1:$1016,COLUMN($F$1),FALSE))),VLOOKUP($C362,武器!$1:$998,COLUMN($O$1),FALSE)*VLOOKUP($D362,素材!$1:$1016,COLUMN($E$1),FALSE)/(LEN(VLOOKUP($D362,素材!$1:$1016,COLUMN($F$1),FALSE)) - LEN(SUBSTITUTE(VLOOKUP($D362,素材!$1:$1016,COLUMN($F$1),FALSE), "・", 0)) + 1), 0)</f>
        <v>0</v>
      </c>
      <c r="AP362">
        <f>IF(ISNUMBER(SEARCH(SUBSTITUTE(AP$1,RIGHT(AP$1,2),""),VLOOKUP($D362,素材!$1:$1016,COLUMN($F$1),FALSE))),VLOOKUP($C362,武器!$1:$998,COLUMN($O$1),FALSE)*VLOOKUP($D362,素材!$1:$1016,COLUMN($E$1),FALSE)/(LEN(VLOOKUP($D362,素材!$1:$1016,COLUMN($F$1),FALSE)) - LEN(SUBSTITUTE(VLOOKUP($D362,素材!$1:$1016,COLUMN($F$1),FALSE), "・", 0)) + 1), 0)</f>
        <v>0</v>
      </c>
      <c r="AQ362">
        <f>IF(ISNUMBER(SEARCH(SUBSTITUTE(AQ$1,RIGHT(AQ$1,2),""),VLOOKUP($D362,素材!$1:$1016,COLUMN($F$1),FALSE))),VLOOKUP($C362,武器!$1:$998,COLUMN($O$1),FALSE)*VLOOKUP($D362,素材!$1:$1016,COLUMN($E$1),FALSE)/(LEN(VLOOKUP($D362,素材!$1:$1016,COLUMN($F$1),FALSE)) - LEN(SUBSTITUTE(VLOOKUP($D362,素材!$1:$1016,COLUMN($F$1),FALSE), "・", 0)) + 1), 0)</f>
        <v>0</v>
      </c>
      <c r="AR362">
        <f>IF(ISNUMBER(SEARCH(SUBSTITUTE(AR$1,RIGHT(AR$1,2),""),VLOOKUP($D362,素材!$1:$1016,COLUMN($F$1),FALSE))),VLOOKUP($C362,武器!$1:$998,COLUMN($O$1),FALSE)*VLOOKUP($D362,素材!$1:$1016,COLUMN($E$1),FALSE)/(LEN(VLOOKUP($D362,素材!$1:$1016,COLUMN($F$1),FALSE)) - LEN(SUBSTITUTE(VLOOKUP($D362,素材!$1:$1016,COLUMN($F$1),FALSE), "・", 0)) + 1), 0)</f>
        <v>0</v>
      </c>
      <c r="AS362">
        <f>IF(ISNUMBER(SEARCH(SUBSTITUTE(AS$1,RIGHT(AS$1,2),""),VLOOKUP($D362,素材!$1:$1016,COLUMN($F$1),FALSE))),VLOOKUP($C362,武器!$1:$998,COLUMN($O$1),FALSE)*VLOOKUP($D362,素材!$1:$1016,COLUMN($E$1),FALSE)/(LEN(VLOOKUP($D362,素材!$1:$1016,COLUMN($F$1),FALSE)) - LEN(SUBSTITUTE(VLOOKUP($D362,素材!$1:$1016,COLUMN($F$1),FALSE), "・", 0)) + 1), 0)</f>
        <v>0</v>
      </c>
      <c r="AT362">
        <f>IF(ISNUMBER(SEARCH(SUBSTITUTE(AT$1,RIGHT(AT$1,2),""),VLOOKUP($D362,素材!$1:$1016,COLUMN($F$1),FALSE))),VLOOKUP($C362,武器!$1:$998,COLUMN($O$1),FALSE)*VLOOKUP($D362,素材!$1:$1016,COLUMN($E$1),FALSE)/(LEN(VLOOKUP($D362,素材!$1:$1016,COLUMN($F$1),FALSE)) - LEN(SUBSTITUTE(VLOOKUP($D362,素材!$1:$1016,COLUMN($F$1),FALSE), "・", 0)) + 1), 0)</f>
        <v>0</v>
      </c>
      <c r="AU362">
        <f>IF(ISNUMBER(SEARCH(SUBSTITUTE(AU$1,RIGHT(AU$1,2),""),VLOOKUP($D362,素材!$1:$1016,COLUMN($F$1),FALSE))),VLOOKUP($C362,武器!$1:$998,COLUMN($O$1),FALSE)*VLOOKUP($D362,素材!$1:$1016,COLUMN($E$1),FALSE)/(LEN(VLOOKUP($D362,素材!$1:$1016,COLUMN($F$1),FALSE)) - LEN(SUBSTITUTE(VLOOKUP($D362,素材!$1:$1016,COLUMN($F$1),FALSE), "・", 0)) + 1), 0)</f>
        <v>0</v>
      </c>
      <c r="AV362">
        <f>IF(ISNUMBER(SEARCH(SUBSTITUTE(AV$1,RIGHT(AV$1,2),""),VLOOKUP($D362,素材!$1:$1016,COLUMN($F$1),FALSE))),VLOOKUP($C362,武器!$1:$998,COLUMN($O$1),FALSE)*VLOOKUP($D362,素材!$1:$1016,COLUMN($E$1),FALSE)/(LEN(VLOOKUP($D362,素材!$1:$1016,COLUMN($F$1),FALSE)) - LEN(SUBSTITUTE(VLOOKUP($D362,素材!$1:$1016,COLUMN($F$1),FALSE), "・", 0)) + 1), 0)</f>
        <v>0</v>
      </c>
      <c r="AW362">
        <f>IF(ISNUMBER(SEARCH(SUBSTITUTE(AW$1,RIGHT(AW$1,2),""),VLOOKUP($D362,素材!$1:$1016,COLUMN($F$1),FALSE))),VLOOKUP($C362,武器!$1:$998,COLUMN($O$1),FALSE)*VLOOKUP($D362,素材!$1:$1016,COLUMN($E$1),FALSE)/(LEN(VLOOKUP($D362,素材!$1:$1016,COLUMN($F$1),FALSE)) - LEN(SUBSTITUTE(VLOOKUP($D362,素材!$1:$1016,COLUMN($F$1),FALSE), "・", 0)) + 1), 0)</f>
        <v>0</v>
      </c>
      <c r="AX362">
        <f>IF(ISNUMBER(SEARCH(SUBSTITUTE(AX$1,RIGHT(AX$1,2),""),VLOOKUP($D362,素材!$1:$1016,COLUMN($F$1),FALSE))),VLOOKUP($C362,武器!$1:$998,COLUMN($O$1),FALSE)*VLOOKUP($D362,素材!$1:$1016,COLUMN($E$1),FALSE)/(LEN(VLOOKUP($D362,素材!$1:$1016,COLUMN($F$1),FALSE)) - LEN(SUBSTITUTE(VLOOKUP($D362,素材!$1:$1016,COLUMN($F$1),FALSE), "・", 0)) + 1), 0)</f>
        <v>0</v>
      </c>
      <c r="AY362">
        <f>IF(ISNUMBER(SEARCH(SUBSTITUTE(AY$1,RIGHT(AY$1,2),""),VLOOKUP($D362,素材!$1:$1016,COLUMN($F$1),FALSE))),VLOOKUP($C362,武器!$1:$998,COLUMN($O$1),FALSE)*VLOOKUP($D362,素材!$1:$1016,COLUMN($E$1),FALSE)/(LEN(VLOOKUP($D362,素材!$1:$1016,COLUMN($F$1),FALSE)) - LEN(SUBSTITUTE(VLOOKUP($D362,素材!$1:$1016,COLUMN($F$1),FALSE), "・", 0)) + 1), 0)</f>
        <v>0</v>
      </c>
      <c r="AZ362">
        <f>IF(ISNUMBER(SEARCH(SUBSTITUTE(AZ$1,RIGHT(AZ$1,2),""),VLOOKUP($D362,素材!$1:$1016,COLUMN($F$1),FALSE))),VLOOKUP($C362,武器!$1:$998,COLUMN($O$1),FALSE)*VLOOKUP($D362,素材!$1:$1016,COLUMN($E$1),FALSE)/(LEN(VLOOKUP($D362,素材!$1:$1016,COLUMN($F$1),FALSE)) - LEN(SUBSTITUTE(VLOOKUP($D362,素材!$1:$1016,COLUMN($F$1),FALSE), "・", 0)) + 1), 0)</f>
        <v>0</v>
      </c>
      <c r="BA362">
        <f>IF(ISNUMBER(SEARCH(SUBSTITUTE(BA$1,RIGHT(BA$1,2),""),VLOOKUP($D362,素材!$1:$1016,COLUMN($F$1),FALSE))),VLOOKUP($C362,武器!$1:$998,COLUMN($O$1),FALSE)*VLOOKUP($D362,素材!$1:$1016,COLUMN($E$1),FALSE)/(LEN(VLOOKUP($D362,素材!$1:$1016,COLUMN($F$1),FALSE)) - LEN(SUBSTITUTE(VLOOKUP($D362,素材!$1:$1016,COLUMN($F$1),FALSE), "・", 0)) + 1), 0)</f>
        <v>0</v>
      </c>
      <c r="BB362">
        <f>IF(ISNUMBER(SEARCH(SUBSTITUTE(BB$1,RIGHT(BB$1,2),""),VLOOKUP($D362,素材!$1:$1016,COLUMN($F$1),FALSE))),VLOOKUP($C362,武器!$1:$998,COLUMN($O$1),FALSE)*VLOOKUP($D362,素材!$1:$1016,COLUMN($E$1),FALSE)/(LEN(VLOOKUP($D362,素材!$1:$1016,COLUMN($F$1),FALSE)) - LEN(SUBSTITUTE(VLOOKUP($D362,素材!$1:$1016,COLUMN($F$1),FALSE), "・", 0)) + 1), 0)</f>
        <v>0</v>
      </c>
      <c r="BC362">
        <f>IF(ISNUMBER(SEARCH(SUBSTITUTE(BC$1,RIGHT(BC$1,2),""),VLOOKUP($D362,素材!$1:$1016,COLUMN($F$1),FALSE))),VLOOKUP($C362,武器!$1:$998,COLUMN($O$1),FALSE)*VLOOKUP($D362,素材!$1:$1016,COLUMN($E$1),FALSE)/(LEN(VLOOKUP($D362,素材!$1:$1016,COLUMN($F$1),FALSE)) - LEN(SUBSTITUTE(VLOOKUP($D362,素材!$1:$1016,COLUMN($F$1),FALSE), "・", 0)) + 1), 0)</f>
        <v>0</v>
      </c>
      <c r="BD362">
        <f>IF(ISNUMBER(SEARCH(SUBSTITUTE(BD$1,RIGHT(BD$1,2),""),VLOOKUP($D362,素材!$1:$1016,COLUMN($F$1),FALSE))),VLOOKUP($C362,武器!$1:$998,COLUMN($O$1),FALSE)*VLOOKUP($D362,素材!$1:$1016,COLUMN($E$1),FALSE)/(LEN(VLOOKUP($D362,素材!$1:$1016,COLUMN($F$1),FALSE)) - LEN(SUBSTITUTE(VLOOKUP($D362,素材!$1:$1016,COLUMN($F$1),FALSE), "・", 0)) + 1), 0)</f>
        <v>0</v>
      </c>
      <c r="BE362">
        <f>IF(ISNUMBER(SEARCH(SUBSTITUTE(BE$1,RIGHT(BE$1,2),""),VLOOKUP($D362,素材!$1:$1016,COLUMN($F$1),FALSE))),VLOOKUP($C362,武器!$1:$998,COLUMN($O$1),FALSE)*VLOOKUP($D362,素材!$1:$1016,COLUMN($E$1),FALSE)/(LEN(VLOOKUP($D362,素材!$1:$1016,COLUMN($F$1),FALSE)) - LEN(SUBSTITUTE(VLOOKUP($D362,素材!$1:$1016,COLUMN($F$1),FALSE), "・", 0)) + 1), 0)</f>
        <v>0</v>
      </c>
      <c r="CL362">
        <f>SUM(G362:I362)</f>
        <v>66</v>
      </c>
      <c r="CM362" s="22" t="str">
        <f>IF(E362="武器",IF(J362-1&gt;SUM(G362:I362),"盾",IF(MAX(G362:I362)=G362,"切断",IF(MAX(G362:I362)=H362,"貫通",IF(MAX(G362:I362)=I362,"打撃","射撃")))),E362)&amp;".webp"</f>
        <v>切断.webp</v>
      </c>
      <c r="CN362">
        <f>IFERROR(VLOOKUP($C362,武器!$1:$998,COLUMN(V$1),FALSE)*VLOOKUP($D362,素材!$1:$1016,COLUMN(N$1),FALSE)+IF(CI362="",0,VLOOKUP($CI362,装強!$1:$1008,COLUMN($CK$1),FALSE)),"")</f>
        <v>20000</v>
      </c>
      <c r="CO362">
        <f>VLOOKUP(D362,素材!$A:$O,COLUMN(素材!O$1),FALSE)</f>
        <v>0</v>
      </c>
      <c r="CP362" t="str">
        <f>VLOOKUP(C362,武器!$A:$W,COLUMN(武器!W$1),FALSE)</f>
        <v>長剣。長く重い分扱いにくいが威力が高い。</v>
      </c>
      <c r="CR362" t="str">
        <f t="shared" si="35"/>
        <v>e_362</v>
      </c>
      <c r="CS362">
        <f t="shared" si="36"/>
        <v>2000000</v>
      </c>
    </row>
    <row r="363" spans="1:97" outlineLevel="1" x14ac:dyDescent="0.4">
      <c r="A363" t="str">
        <f t="shared" ref="A363:A365" si="38">D363&amp;"の"&amp;C363</f>
        <v>虹宝鋼の鎧</v>
      </c>
      <c r="B363" t="str">
        <f>IFERROR(VLOOKUP($D363,素材!$1:$1016,COLUMN($B$1),FALSE)&amp;"・"&amp;VLOOKUP($C363,武器!$1:$998,COLUMN(B$1),FALSE),"")</f>
        <v>レインボーメタル・アーマー</v>
      </c>
      <c r="C363" t="s">
        <v>198</v>
      </c>
      <c r="D363" s="24" t="s">
        <v>1221</v>
      </c>
      <c r="E363" t="str">
        <f>IFERROR(VLOOKUP(C363,武器!$1:$998,COLUMN(C$1),FALSE),"")</f>
        <v>体</v>
      </c>
      <c r="F363">
        <f>IFERROR(ROUNDDOWN((VLOOKUP($C363,武器!$1:$998,COLUMN(D$1),FALSE)+IFERROR(VLOOKUP($CI363,装強!$1:$999,COLUMN(F$1),FALSE),0))*VLOOKUP($D363,素材!$1:$1016,COLUMN(D$1),FALSE),0),"")</f>
        <v>0</v>
      </c>
      <c r="G363">
        <f>IFERROR(ROUNDDOWN((VLOOKUP($C363,武器!$1:$998,COLUMN(E$1),FALSE)+IFERROR(VLOOKUP($CI363,装強!$1:$999,COLUMN(G$1),FALSE),0))*VLOOKUP($D363,素材!$1:$1016,COLUMN($E$1),FALSE),0),"")</f>
        <v>0</v>
      </c>
      <c r="H363">
        <f>IFERROR(ROUNDDOWN((VLOOKUP($C363,武器!$1:$998,COLUMN(F$1),FALSE)+IFERROR(VLOOKUP($CI363,装強!$1:$999,COLUMN(H$1),FALSE),0))*VLOOKUP($D363,素材!$1:$1016,COLUMN($E$1),FALSE),0),"")</f>
        <v>0</v>
      </c>
      <c r="I363">
        <f>IFERROR(ROUNDDOWN((VLOOKUP($C363,武器!$1:$998,COLUMN(G$1),FALSE)+IFERROR(VLOOKUP($CI363,装強!$1:$999,COLUMN(I$1),FALSE),0))*VLOOKUP($D363,素材!$1:$1016,COLUMN($E$1),FALSE),0),"")</f>
        <v>0</v>
      </c>
      <c r="J363">
        <f>IFERROR(ROUNDDOWN((VLOOKUP($C363,武器!$1:$998,COLUMN(H$1),FALSE)+IFERROR(VLOOKUP($CI363,装強!$1:$999,COLUMN(J$1),FALSE),0))*VLOOKUP($D363,素材!$1:$1016,COLUMN($E$1),FALSE),0),"")</f>
        <v>0</v>
      </c>
      <c r="K363">
        <f>IFERROR(ROUNDDOWN((VLOOKUP($C363,武器!$1:$998,COLUMN(I$1),FALSE)+IFERROR(VLOOKUP($CI363,装強!$1:$999,COLUMN(K$1),FALSE),0))*VLOOKUP($D363,素材!$1:$1016,COLUMN($E$1),FALSE),0),"")</f>
        <v>0</v>
      </c>
      <c r="L363" t="str">
        <f>IFERROR(VLOOKUP($D363,素材!$1:$1016,COLUMN($F$1),FALSE),"")</f>
        <v>炎・氷・雷・酸・光・闇</v>
      </c>
      <c r="M363">
        <f>IFERROR(VLOOKUP($C363,武器!$1:$998,COLUMN(AA$1),FALSE)*VLOOKUP($D363,素材!$1:$1016,COLUMN($G$1),FALSE),"")</f>
        <v>0</v>
      </c>
      <c r="N363">
        <f>IFERROR(VLOOKUP($C363,武器!$1:$998,COLUMN(I$1),FALSE),"")</f>
        <v>0</v>
      </c>
      <c r="O363" s="23">
        <f>IFERROR((VLOOKUP($C363,武器!$1:$998,COLUMN(K$1),FALSE)+VLOOKUP($D363,素材!$1:$1016,COLUMN(H$1),FALSE))*100+IFERROR(VLOOKUP($CI363,装強!$1:$999,COLUMN(O$1),FALSE),0),"")</f>
        <v>0</v>
      </c>
      <c r="P363" s="23">
        <f>IFERROR((VLOOKUP($C363,武器!$1:$998,COLUMN(L$1),FALSE)+VLOOKUP($D363,素材!$1:$1016,COLUMN(I$1),FALSE))*100+IFERROR(VLOOKUP($CI363,装強!$1:$999,COLUMN(P$1),FALSE),0),"")</f>
        <v>0</v>
      </c>
      <c r="Q363">
        <f>IFERROR(ROUNDUP(VLOOKUP($C363,武器!$1:$998,COLUMN(M$1),FALSE)*(VLOOKUP($D363,素材!$1:$1002,COLUMN(D$1),FALSE)/100),1),"")</f>
        <v>-15</v>
      </c>
      <c r="R363">
        <f>IFERROR(ROUNDUP(VLOOKUP($C363,武器!$1:$998,COLUMN(N$1),FALSE)*(VLOOKUP($D363,素材!$1:$1002,COLUMN(D$1),FALSE)/100),1),"")</f>
        <v>0</v>
      </c>
      <c r="S363">
        <f>IFERROR(VLOOKUP($C363,武器!$1:$998,COLUMN(P$1),FALSE),"")</f>
        <v>0</v>
      </c>
      <c r="T363">
        <f>IFERROR(VLOOKUP($C363,武器!$1:$998,COLUMN(Q$1),FALSE),"")</f>
        <v>0</v>
      </c>
      <c r="U363">
        <f>IFERROR(VLOOKUP($C363,武器!$1:$998,COLUMN(R$1),FALSE),"")</f>
        <v>0</v>
      </c>
      <c r="V363">
        <f>IFERROR(VLOOKUP($C363,武器!$1:$998,COLUMN(Q$1),FALSE),"")</f>
        <v>0</v>
      </c>
      <c r="W363">
        <f>IFERROR(VLOOKUP($C363,武器!$1:$998,COLUMN(T$1),FALSE),"")</f>
        <v>0</v>
      </c>
      <c r="Y363">
        <f>IFERROR(VLOOKUP($C363,武器!$1:$998,COLUMN(U$1),FALSE),"")</f>
        <v>0</v>
      </c>
      <c r="Z363">
        <f>IFERROR(ROUNDUP(VLOOKUP($C363,武器!$1:$998,COLUMN(O$1),FALSE)*VLOOKUP($D363,素材!$1:$1016,COLUMN(E$1),FALSE),1),"")</f>
        <v>24.5</v>
      </c>
      <c r="AA363">
        <f>IF(ISNUMBER(SEARCH(SUBSTITUTE(AA$1,RIGHT(AA$1,2),""),VLOOKUP($D363,素材!$1:$1016,COLUMN($F$1),FALSE))),VLOOKUP($C363,武器!$1:$998,COLUMN($O$1),FALSE)*VLOOKUP($D363,素材!$1:$1016,COLUMN($E$1),FALSE)/(LEN(VLOOKUP($D363,素材!$1:$1016,COLUMN($F$1),FALSE)) - LEN(SUBSTITUTE(VLOOKUP($D363,素材!$1:$1016,COLUMN($F$1),FALSE), "・", 0)) + 1), 0)</f>
        <v>0</v>
      </c>
      <c r="AB363">
        <f>IF(ISNUMBER(SEARCH(SUBSTITUTE(AB$1,RIGHT(AB$1,2),""),VLOOKUP($D363,素材!$1:$1016,COLUMN($F$1),FALSE))),VLOOKUP($C363,武器!$1:$998,COLUMN($O$1),FALSE)*VLOOKUP($D363,素材!$1:$1016,COLUMN($E$1),FALSE)/(LEN(VLOOKUP($D363,素材!$1:$1016,COLUMN($F$1),FALSE)) - LEN(SUBSTITUTE(VLOOKUP($D363,素材!$1:$1016,COLUMN($F$1),FALSE), "・", 0)) + 1), 0)</f>
        <v>0</v>
      </c>
      <c r="AC363">
        <f>IF(ISNUMBER(SEARCH(SUBSTITUTE(AC$1,RIGHT(AC$1,2),""),VLOOKUP($D363,素材!$1:$1016,COLUMN($F$1),FALSE))),VLOOKUP($C363,武器!$1:$998,COLUMN($O$1),FALSE)*VLOOKUP($D363,素材!$1:$1016,COLUMN($E$1),FALSE)/(LEN(VLOOKUP($D363,素材!$1:$1016,COLUMN($F$1),FALSE)) - LEN(SUBSTITUTE(VLOOKUP($D363,素材!$1:$1016,COLUMN($F$1),FALSE), "・", 0)) + 1), 0)</f>
        <v>0</v>
      </c>
      <c r="AD363">
        <f>IF(ISNUMBER(SEARCH(SUBSTITUTE(AD$1,RIGHT(AD$1,2),""),VLOOKUP($D363,素材!$1:$1016,COLUMN($F$1),FALSE))),VLOOKUP($C363,武器!$1:$998,COLUMN($O$1),FALSE)*VLOOKUP($D363,素材!$1:$1016,COLUMN($E$1),FALSE)/(LEN(VLOOKUP($D363,素材!$1:$1016,COLUMN($F$1),FALSE)) - LEN(SUBSTITUTE(VLOOKUP($D363,素材!$1:$1016,COLUMN($F$1),FALSE), "・", 0)) + 1), 0)</f>
        <v>0</v>
      </c>
      <c r="AE363">
        <f>IF(ISNUMBER(SEARCH(SUBSTITUTE(AE$1,RIGHT(AE$1,2),""),VLOOKUP($D363,素材!$1:$1016,COLUMN($F$1),FALSE))),VLOOKUP($C363,武器!$1:$998,COLUMN($O$1),FALSE)*VLOOKUP($D363,素材!$1:$1016,COLUMN($E$1),FALSE)/(LEN(VLOOKUP($D363,素材!$1:$1016,COLUMN($F$1),FALSE)) - LEN(SUBSTITUTE(VLOOKUP($D363,素材!$1:$1016,COLUMN($F$1),FALSE), "・", 0)) + 1), 0)</f>
        <v>24.5</v>
      </c>
      <c r="AF363">
        <f>IF(ISNUMBER(SEARCH(SUBSTITUTE(AF$1,RIGHT(AF$1,2),""),VLOOKUP($D363,素材!$1:$1016,COLUMN($F$1),FALSE))),VLOOKUP($C363,武器!$1:$998,COLUMN($O$1),FALSE)*VLOOKUP($D363,素材!$1:$1016,COLUMN($E$1),FALSE)/(LEN(VLOOKUP($D363,素材!$1:$1016,COLUMN($F$1),FALSE)) - LEN(SUBSTITUTE(VLOOKUP($D363,素材!$1:$1016,COLUMN($F$1),FALSE), "・", 0)) + 1), 0)</f>
        <v>24.5</v>
      </c>
      <c r="AG363">
        <f>IF(ISNUMBER(SEARCH(SUBSTITUTE(AG$1,RIGHT(AG$1,2),""),VLOOKUP($D363,素材!$1:$1016,COLUMN($F$1),FALSE))),VLOOKUP($C363,武器!$1:$998,COLUMN($O$1),FALSE)*VLOOKUP($D363,素材!$1:$1016,COLUMN($E$1),FALSE)/(LEN(VLOOKUP($D363,素材!$1:$1016,COLUMN($F$1),FALSE)) - LEN(SUBSTITUTE(VLOOKUP($D363,素材!$1:$1016,COLUMN($F$1),FALSE), "・", 0)) + 1), 0)</f>
        <v>24.5</v>
      </c>
      <c r="AH363">
        <f>IF(ISNUMBER(SEARCH(SUBSTITUTE(AH$1,RIGHT(AH$1,2),""),VLOOKUP($D363,素材!$1:$1016,COLUMN($F$1),FALSE))),VLOOKUP($C363,武器!$1:$998,COLUMN($O$1),FALSE)*VLOOKUP($D363,素材!$1:$1016,COLUMN($E$1),FALSE)/(LEN(VLOOKUP($D363,素材!$1:$1016,COLUMN($F$1),FALSE)) - LEN(SUBSTITUTE(VLOOKUP($D363,素材!$1:$1016,COLUMN($F$1),FALSE), "・", 0)) + 1), 0)</f>
        <v>24.5</v>
      </c>
      <c r="AI363">
        <f>IF(ISNUMBER(SEARCH(SUBSTITUTE(AI$1,RIGHT(AI$1,2),""),VLOOKUP($D363,素材!$1:$1016,COLUMN($F$1),FALSE))),VLOOKUP($C363,武器!$1:$998,COLUMN($O$1),FALSE)*VLOOKUP($D363,素材!$1:$1016,COLUMN($E$1),FALSE)/(LEN(VLOOKUP($D363,素材!$1:$1016,COLUMN($F$1),FALSE)) - LEN(SUBSTITUTE(VLOOKUP($D363,素材!$1:$1016,COLUMN($F$1),FALSE), "・", 0)) + 1), 0)</f>
        <v>0</v>
      </c>
      <c r="AJ363">
        <f>IF(ISNUMBER(SEARCH(SUBSTITUTE(AJ$1,RIGHT(AJ$1,2),""),VLOOKUP($D363,素材!$1:$1016,COLUMN($F$1),FALSE))),VLOOKUP($C363,武器!$1:$998,COLUMN($O$1),FALSE)*VLOOKUP($D363,素材!$1:$1016,COLUMN($E$1),FALSE)/(LEN(VLOOKUP($D363,素材!$1:$1016,COLUMN($F$1),FALSE)) - LEN(SUBSTITUTE(VLOOKUP($D363,素材!$1:$1016,COLUMN($F$1),FALSE), "・", 0)) + 1), 0)</f>
        <v>24.5</v>
      </c>
      <c r="AK363">
        <f>IF(ISNUMBER(SEARCH(SUBSTITUTE(AK$1,RIGHT(AK$1,2),""),VLOOKUP($D363,素材!$1:$1016,COLUMN($F$1),FALSE))),VLOOKUP($C363,武器!$1:$998,COLUMN($O$1),FALSE)*VLOOKUP($D363,素材!$1:$1016,COLUMN($E$1),FALSE)/(LEN(VLOOKUP($D363,素材!$1:$1016,COLUMN($F$1),FALSE)) - LEN(SUBSTITUTE(VLOOKUP($D363,素材!$1:$1016,COLUMN($F$1),FALSE), "・", 0)) + 1), 0)</f>
        <v>24.5</v>
      </c>
      <c r="AL363">
        <f>IF(ISNUMBER(SEARCH(SUBSTITUTE(AL$1,RIGHT(AL$1,2),""),VLOOKUP($D363,素材!$1:$1016,COLUMN($F$1),FALSE))),VLOOKUP($C363,武器!$1:$998,COLUMN($O$1),FALSE)*VLOOKUP($D363,素材!$1:$1016,COLUMN($E$1),FALSE)/(LEN(VLOOKUP($D363,素材!$1:$1016,COLUMN($F$1),FALSE)) - LEN(SUBSTITUTE(VLOOKUP($D363,素材!$1:$1016,COLUMN($F$1),FALSE), "・", 0)) + 1), 0)</f>
        <v>0</v>
      </c>
      <c r="AM363">
        <f>IF(ISNUMBER(SEARCH(SUBSTITUTE(AM$1,RIGHT(AM$1,2),""),VLOOKUP($D363,素材!$1:$1016,COLUMN($F$1),FALSE))),VLOOKUP($C363,武器!$1:$998,COLUMN($O$1),FALSE)*VLOOKUP($D363,素材!$1:$1016,COLUMN($E$1),FALSE)/(LEN(VLOOKUP($D363,素材!$1:$1016,COLUMN($F$1),FALSE)) - LEN(SUBSTITUTE(VLOOKUP($D363,素材!$1:$1016,COLUMN($F$1),FALSE), "・", 0)) + 1), 0)</f>
        <v>0</v>
      </c>
      <c r="AN363">
        <f>IF(ISNUMBER(SEARCH(SUBSTITUTE(AN$1,RIGHT(AN$1,2),""),VLOOKUP($D363,素材!$1:$1016,COLUMN($F$1),FALSE))),VLOOKUP($C363,武器!$1:$998,COLUMN($O$1),FALSE)*VLOOKUP($D363,素材!$1:$1016,COLUMN($E$1),FALSE)/(LEN(VLOOKUP($D363,素材!$1:$1016,COLUMN($F$1),FALSE)) - LEN(SUBSTITUTE(VLOOKUP($D363,素材!$1:$1016,COLUMN($F$1),FALSE), "・", 0)) + 1), 0)</f>
        <v>0</v>
      </c>
      <c r="AO363">
        <f>IF(ISNUMBER(SEARCH(SUBSTITUTE(AO$1,RIGHT(AO$1,2),""),VLOOKUP($D363,素材!$1:$1016,COLUMN($F$1),FALSE))),VLOOKUP($C363,武器!$1:$998,COLUMN($O$1),FALSE)*VLOOKUP($D363,素材!$1:$1016,COLUMN($E$1),FALSE)/(LEN(VLOOKUP($D363,素材!$1:$1016,COLUMN($F$1),FALSE)) - LEN(SUBSTITUTE(VLOOKUP($D363,素材!$1:$1016,COLUMN($F$1),FALSE), "・", 0)) + 1), 0)</f>
        <v>0</v>
      </c>
      <c r="AP363">
        <f>IF(ISNUMBER(SEARCH(SUBSTITUTE(AP$1,RIGHT(AP$1,2),""),VLOOKUP($D363,素材!$1:$1016,COLUMN($F$1),FALSE))),VLOOKUP($C363,武器!$1:$998,COLUMN($O$1),FALSE)*VLOOKUP($D363,素材!$1:$1016,COLUMN($E$1),FALSE)/(LEN(VLOOKUP($D363,素材!$1:$1016,COLUMN($F$1),FALSE)) - LEN(SUBSTITUTE(VLOOKUP($D363,素材!$1:$1016,COLUMN($F$1),FALSE), "・", 0)) + 1), 0)</f>
        <v>0</v>
      </c>
      <c r="AQ363">
        <f>IF(ISNUMBER(SEARCH(SUBSTITUTE(AQ$1,RIGHT(AQ$1,2),""),VLOOKUP($D363,素材!$1:$1016,COLUMN($F$1),FALSE))),VLOOKUP($C363,武器!$1:$998,COLUMN($O$1),FALSE)*VLOOKUP($D363,素材!$1:$1016,COLUMN($E$1),FALSE)/(LEN(VLOOKUP($D363,素材!$1:$1016,COLUMN($F$1),FALSE)) - LEN(SUBSTITUTE(VLOOKUP($D363,素材!$1:$1016,COLUMN($F$1),FALSE), "・", 0)) + 1), 0)</f>
        <v>0</v>
      </c>
      <c r="AR363">
        <f>IF(ISNUMBER(SEARCH(SUBSTITUTE(AR$1,RIGHT(AR$1,2),""),VLOOKUP($D363,素材!$1:$1016,COLUMN($F$1),FALSE))),VLOOKUP($C363,武器!$1:$998,COLUMN($O$1),FALSE)*VLOOKUP($D363,素材!$1:$1016,COLUMN($E$1),FALSE)/(LEN(VLOOKUP($D363,素材!$1:$1016,COLUMN($F$1),FALSE)) - LEN(SUBSTITUTE(VLOOKUP($D363,素材!$1:$1016,COLUMN($F$1),FALSE), "・", 0)) + 1), 0)</f>
        <v>0</v>
      </c>
      <c r="AS363">
        <f>IF(ISNUMBER(SEARCH(SUBSTITUTE(AS$1,RIGHT(AS$1,2),""),VLOOKUP($D363,素材!$1:$1016,COLUMN($F$1),FALSE))),VLOOKUP($C363,武器!$1:$998,COLUMN($O$1),FALSE)*VLOOKUP($D363,素材!$1:$1016,COLUMN($E$1),FALSE)/(LEN(VLOOKUP($D363,素材!$1:$1016,COLUMN($F$1),FALSE)) - LEN(SUBSTITUTE(VLOOKUP($D363,素材!$1:$1016,COLUMN($F$1),FALSE), "・", 0)) + 1), 0)</f>
        <v>0</v>
      </c>
      <c r="AT363">
        <f>IF(ISNUMBER(SEARCH(SUBSTITUTE(AT$1,RIGHT(AT$1,2),""),VLOOKUP($D363,素材!$1:$1016,COLUMN($F$1),FALSE))),VLOOKUP($C363,武器!$1:$998,COLUMN($O$1),FALSE)*VLOOKUP($D363,素材!$1:$1016,COLUMN($E$1),FALSE)/(LEN(VLOOKUP($D363,素材!$1:$1016,COLUMN($F$1),FALSE)) - LEN(SUBSTITUTE(VLOOKUP($D363,素材!$1:$1016,COLUMN($F$1),FALSE), "・", 0)) + 1), 0)</f>
        <v>0</v>
      </c>
      <c r="AU363">
        <f>IF(ISNUMBER(SEARCH(SUBSTITUTE(AU$1,RIGHT(AU$1,2),""),VLOOKUP($D363,素材!$1:$1016,COLUMN($F$1),FALSE))),VLOOKUP($C363,武器!$1:$998,COLUMN($O$1),FALSE)*VLOOKUP($D363,素材!$1:$1016,COLUMN($E$1),FALSE)/(LEN(VLOOKUP($D363,素材!$1:$1016,COLUMN($F$1),FALSE)) - LEN(SUBSTITUTE(VLOOKUP($D363,素材!$1:$1016,COLUMN($F$1),FALSE), "・", 0)) + 1), 0)</f>
        <v>0</v>
      </c>
      <c r="AV363">
        <f>IF(ISNUMBER(SEARCH(SUBSTITUTE(AV$1,RIGHT(AV$1,2),""),VLOOKUP($D363,素材!$1:$1016,COLUMN($F$1),FALSE))),VLOOKUP($C363,武器!$1:$998,COLUMN($O$1),FALSE)*VLOOKUP($D363,素材!$1:$1016,COLUMN($E$1),FALSE)/(LEN(VLOOKUP($D363,素材!$1:$1016,COLUMN($F$1),FALSE)) - LEN(SUBSTITUTE(VLOOKUP($D363,素材!$1:$1016,COLUMN($F$1),FALSE), "・", 0)) + 1), 0)</f>
        <v>0</v>
      </c>
      <c r="AW363">
        <f>IF(ISNUMBER(SEARCH(SUBSTITUTE(AW$1,RIGHT(AW$1,2),""),VLOOKUP($D363,素材!$1:$1016,COLUMN($F$1),FALSE))),VLOOKUP($C363,武器!$1:$998,COLUMN($O$1),FALSE)*VLOOKUP($D363,素材!$1:$1016,COLUMN($E$1),FALSE)/(LEN(VLOOKUP($D363,素材!$1:$1016,COLUMN($F$1),FALSE)) - LEN(SUBSTITUTE(VLOOKUP($D363,素材!$1:$1016,COLUMN($F$1),FALSE), "・", 0)) + 1), 0)</f>
        <v>0</v>
      </c>
      <c r="AX363">
        <f>IF(ISNUMBER(SEARCH(SUBSTITUTE(AX$1,RIGHT(AX$1,2),""),VLOOKUP($D363,素材!$1:$1016,COLUMN($F$1),FALSE))),VLOOKUP($C363,武器!$1:$998,COLUMN($O$1),FALSE)*VLOOKUP($D363,素材!$1:$1016,COLUMN($E$1),FALSE)/(LEN(VLOOKUP($D363,素材!$1:$1016,COLUMN($F$1),FALSE)) - LEN(SUBSTITUTE(VLOOKUP($D363,素材!$1:$1016,COLUMN($F$1),FALSE), "・", 0)) + 1), 0)</f>
        <v>0</v>
      </c>
      <c r="AY363">
        <f>IF(ISNUMBER(SEARCH(SUBSTITUTE(AY$1,RIGHT(AY$1,2),""),VLOOKUP($D363,素材!$1:$1016,COLUMN($F$1),FALSE))),VLOOKUP($C363,武器!$1:$998,COLUMN($O$1),FALSE)*VLOOKUP($D363,素材!$1:$1016,COLUMN($E$1),FALSE)/(LEN(VLOOKUP($D363,素材!$1:$1016,COLUMN($F$1),FALSE)) - LEN(SUBSTITUTE(VLOOKUP($D363,素材!$1:$1016,COLUMN($F$1),FALSE), "・", 0)) + 1), 0)</f>
        <v>0</v>
      </c>
      <c r="AZ363">
        <f>IF(ISNUMBER(SEARCH(SUBSTITUTE(AZ$1,RIGHT(AZ$1,2),""),VLOOKUP($D363,素材!$1:$1016,COLUMN($F$1),FALSE))),VLOOKUP($C363,武器!$1:$998,COLUMN($O$1),FALSE)*VLOOKUP($D363,素材!$1:$1016,COLUMN($E$1),FALSE)/(LEN(VLOOKUP($D363,素材!$1:$1016,COLUMN($F$1),FALSE)) - LEN(SUBSTITUTE(VLOOKUP($D363,素材!$1:$1016,COLUMN($F$1),FALSE), "・", 0)) + 1), 0)</f>
        <v>0</v>
      </c>
      <c r="BA363">
        <f>IF(ISNUMBER(SEARCH(SUBSTITUTE(BA$1,RIGHT(BA$1,2),""),VLOOKUP($D363,素材!$1:$1016,COLUMN($F$1),FALSE))),VLOOKUP($C363,武器!$1:$998,COLUMN($O$1),FALSE)*VLOOKUP($D363,素材!$1:$1016,COLUMN($E$1),FALSE)/(LEN(VLOOKUP($D363,素材!$1:$1016,COLUMN($F$1),FALSE)) - LEN(SUBSTITUTE(VLOOKUP($D363,素材!$1:$1016,COLUMN($F$1),FALSE), "・", 0)) + 1), 0)</f>
        <v>0</v>
      </c>
      <c r="BB363">
        <f>IF(ISNUMBER(SEARCH(SUBSTITUTE(BB$1,RIGHT(BB$1,2),""),VLOOKUP($D363,素材!$1:$1016,COLUMN($F$1),FALSE))),VLOOKUP($C363,武器!$1:$998,COLUMN($O$1),FALSE)*VLOOKUP($D363,素材!$1:$1016,COLUMN($E$1),FALSE)/(LEN(VLOOKUP($D363,素材!$1:$1016,COLUMN($F$1),FALSE)) - LEN(SUBSTITUTE(VLOOKUP($D363,素材!$1:$1016,COLUMN($F$1),FALSE), "・", 0)) + 1), 0)</f>
        <v>0</v>
      </c>
      <c r="BC363">
        <f>IF(ISNUMBER(SEARCH(SUBSTITUTE(BC$1,RIGHT(BC$1,2),""),VLOOKUP($D363,素材!$1:$1016,COLUMN($F$1),FALSE))),VLOOKUP($C363,武器!$1:$998,COLUMN($O$1),FALSE)*VLOOKUP($D363,素材!$1:$1016,COLUMN($E$1),FALSE)/(LEN(VLOOKUP($D363,素材!$1:$1016,COLUMN($F$1),FALSE)) - LEN(SUBSTITUTE(VLOOKUP($D363,素材!$1:$1016,COLUMN($F$1),FALSE), "・", 0)) + 1), 0)</f>
        <v>0</v>
      </c>
      <c r="BD363">
        <f>IF(ISNUMBER(SEARCH(SUBSTITUTE(BD$1,RIGHT(BD$1,2),""),VLOOKUP($D363,素材!$1:$1016,COLUMN($F$1),FALSE))),VLOOKUP($C363,武器!$1:$998,COLUMN($O$1),FALSE)*VLOOKUP($D363,素材!$1:$1016,COLUMN($E$1),FALSE)/(LEN(VLOOKUP($D363,素材!$1:$1016,COLUMN($F$1),FALSE)) - LEN(SUBSTITUTE(VLOOKUP($D363,素材!$1:$1016,COLUMN($F$1),FALSE), "・", 0)) + 1), 0)</f>
        <v>0</v>
      </c>
      <c r="BE363">
        <f>IF(ISNUMBER(SEARCH(SUBSTITUTE(BE$1,RIGHT(BE$1,2),""),VLOOKUP($D363,素材!$1:$1016,COLUMN($F$1),FALSE))),VLOOKUP($C363,武器!$1:$998,COLUMN($O$1),FALSE)*VLOOKUP($D363,素材!$1:$1016,COLUMN($E$1),FALSE)/(LEN(VLOOKUP($D363,素材!$1:$1016,COLUMN($F$1),FALSE)) - LEN(SUBSTITUTE(VLOOKUP($D363,素材!$1:$1016,COLUMN($F$1),FALSE), "・", 0)) + 1), 0)</f>
        <v>0</v>
      </c>
      <c r="CL363">
        <f>SUM(G363:I363)</f>
        <v>0</v>
      </c>
      <c r="CM363" s="22" t="str">
        <f>IF(E363="武器",IF(J363-1&gt;SUM(G363:I363),"盾",IF(MAX(G363:I363)=G363,"切断",IF(MAX(G363:I363)=H363,"貫通",IF(MAX(G363:I363)=I363,"打撃","射撃")))),E363)&amp;".webp"</f>
        <v>体.webp</v>
      </c>
      <c r="CN363">
        <f>IFERROR(VLOOKUP($C363,武器!$1:$998,COLUMN(V$1),FALSE)*VLOOKUP($D363,素材!$1:$1016,COLUMN(N$1),FALSE)+IF(CI363="",0,VLOOKUP($CI363,装強!$1:$1008,COLUMN($CK$1),FALSE)),"")</f>
        <v>1500000</v>
      </c>
      <c r="CO363">
        <f>VLOOKUP(D363,素材!$A:$O,COLUMN(素材!O$1),FALSE)</f>
        <v>0</v>
      </c>
      <c r="CP363" t="str">
        <f>VLOOKUP(C363,武器!$A:$W,COLUMN(武器!W$1),FALSE)</f>
        <v>HP 物理 魔法 体幹 出血 疲労 Cr</v>
      </c>
      <c r="CR363" t="str">
        <f t="shared" si="35"/>
        <v>e_363</v>
      </c>
      <c r="CS363">
        <f t="shared" si="36"/>
        <v>150000000</v>
      </c>
    </row>
    <row r="364" spans="1:97" outlineLevel="1" x14ac:dyDescent="0.4">
      <c r="A364" t="s">
        <v>1262</v>
      </c>
      <c r="B364" t="s">
        <v>1263</v>
      </c>
      <c r="C364" t="s">
        <v>1261</v>
      </c>
      <c r="D364" s="24" t="s">
        <v>1221</v>
      </c>
      <c r="E364" t="str">
        <f>IFERROR(VLOOKUP(C364,武器!$1:$998,COLUMN(C$1),FALSE),"")</f>
        <v>武器</v>
      </c>
      <c r="F364">
        <f>IFERROR(ROUNDDOWN((VLOOKUP($C364,武器!$1:$998,COLUMN(D$1),FALSE)+IFERROR(VLOOKUP($CI364,装強!$1:$999,COLUMN(F$1),FALSE),0))*VLOOKUP($D364,素材!$1:$1016,COLUMN(D$1),FALSE),0),"")</f>
        <v>105</v>
      </c>
      <c r="G364">
        <f>IFERROR(ROUNDDOWN((VLOOKUP($C364,武器!$1:$998,COLUMN(E$1),FALSE)+IFERROR(VLOOKUP($CI364,装強!$1:$999,COLUMN(G$1),FALSE),0))*VLOOKUP($D364,素材!$1:$1016,COLUMN($E$1),FALSE),0),"")</f>
        <v>24</v>
      </c>
      <c r="H364">
        <f>IFERROR(ROUNDDOWN((VLOOKUP($C364,武器!$1:$998,COLUMN(F$1),FALSE)+IFERROR(VLOOKUP($CI364,装強!$1:$999,COLUMN(H$1),FALSE),0))*VLOOKUP($D364,素材!$1:$1016,COLUMN($E$1),FALSE),0),"")</f>
        <v>14</v>
      </c>
      <c r="I364">
        <f>IFERROR(ROUNDDOWN((VLOOKUP($C364,武器!$1:$998,COLUMN(G$1),FALSE)+IFERROR(VLOOKUP($CI364,装強!$1:$999,COLUMN(I$1),FALSE),0))*VLOOKUP($D364,素材!$1:$1016,COLUMN($E$1),FALSE),0),"")</f>
        <v>3</v>
      </c>
      <c r="J364">
        <f>IFERROR(ROUNDDOWN((VLOOKUP($C364,武器!$1:$998,COLUMN(H$1),FALSE)+IFERROR(VLOOKUP($CI364,装強!$1:$999,COLUMN(J$1),FALSE),0))*VLOOKUP($D364,素材!$1:$1016,COLUMN($E$1),FALSE),0),"")</f>
        <v>29</v>
      </c>
      <c r="K364">
        <f>IFERROR(ROUNDDOWN((VLOOKUP($C364,武器!$1:$998,COLUMN(I$1),FALSE)+IFERROR(VLOOKUP($CI364,装強!$1:$999,COLUMN(K$1),FALSE),0))*VLOOKUP($D364,素材!$1:$1016,COLUMN($E$1),FALSE),0),"")</f>
        <v>0</v>
      </c>
      <c r="L364" t="str">
        <f>IFERROR(VLOOKUP($D364,素材!$1:$1016,COLUMN($F$1),FALSE),"")</f>
        <v>炎・氷・雷・酸・光・闇</v>
      </c>
      <c r="M364">
        <f>IFERROR(VLOOKUP($C364,武器!$1:$998,COLUMN(AA$1),FALSE)*VLOOKUP($D364,素材!$1:$1016,COLUMN($G$1),FALSE),"")</f>
        <v>216</v>
      </c>
      <c r="N364">
        <f>IFERROR(VLOOKUP($C364,武器!$1:$998,COLUMN(I$1),FALSE),"")</f>
        <v>0</v>
      </c>
      <c r="O364" s="23">
        <f>IFERROR((VLOOKUP($C364,武器!$1:$998,COLUMN(K$1),FALSE)+VLOOKUP($D364,素材!$1:$1016,COLUMN(H$1),FALSE))*100+IFERROR(VLOOKUP($CI364,装強!$1:$999,COLUMN(O$1),FALSE),0),"")</f>
        <v>10</v>
      </c>
      <c r="P364" s="23">
        <f>IFERROR((VLOOKUP($C364,武器!$1:$998,COLUMN(L$1),FALSE)+VLOOKUP($D364,素材!$1:$1016,COLUMN(I$1),FALSE))*100+IFERROR(VLOOKUP($CI364,装強!$1:$999,COLUMN(P$1),FALSE),0),"")</f>
        <v>175</v>
      </c>
      <c r="Q364">
        <f>IFERROR(ROUNDUP(VLOOKUP($C364,武器!$1:$998,COLUMN(M$1),FALSE)*(VLOOKUP($D364,素材!$1:$1002,COLUMN(D$1),FALSE)/100),1),"")</f>
        <v>0</v>
      </c>
      <c r="R364">
        <f>IFERROR(ROUNDUP(VLOOKUP($C364,武器!$1:$998,COLUMN(N$1),FALSE)*(VLOOKUP($D364,素材!$1:$1002,COLUMN(D$1),FALSE)/100),1),"")</f>
        <v>0</v>
      </c>
      <c r="S364">
        <f>IFERROR(VLOOKUP($C364,武器!$1:$998,COLUMN(P$1),FALSE),"")</f>
        <v>0</v>
      </c>
      <c r="T364">
        <f>IFERROR(VLOOKUP($C364,武器!$1:$998,COLUMN(Q$1),FALSE),"")</f>
        <v>0</v>
      </c>
      <c r="U364">
        <f>IFERROR(VLOOKUP($C364,武器!$1:$998,COLUMN(R$1),FALSE),"")</f>
        <v>0</v>
      </c>
      <c r="V364">
        <f>IFERROR(VLOOKUP($C364,武器!$1:$998,COLUMN(Q$1),FALSE),"")</f>
        <v>0</v>
      </c>
      <c r="W364" t="str">
        <f>IFERROR(VLOOKUP($C364,武器!$1:$998,COLUMN(T$1),FALSE),"")</f>
        <v>A</v>
      </c>
      <c r="Y364">
        <f>IFERROR(VLOOKUP($C364,武器!$1:$998,COLUMN(U$1),FALSE),"")</f>
        <v>0</v>
      </c>
      <c r="Z364">
        <f>IFERROR(ROUNDUP(VLOOKUP($C364,武器!$1:$998,COLUMN(O$1),FALSE)*VLOOKUP($D364,素材!$1:$1016,COLUMN(E$1),FALSE),1),"")</f>
        <v>0</v>
      </c>
      <c r="AA364">
        <f>IF(ISNUMBER(SEARCH(SUBSTITUTE(AA$1,RIGHT(AA$1,2),""),VLOOKUP($D364,素材!$1:$1016,COLUMN($F$1),FALSE))),VLOOKUP($C364,武器!$1:$998,COLUMN($O$1),FALSE)*VLOOKUP($D364,素材!$1:$1016,COLUMN($E$1),FALSE)/(LEN(VLOOKUP($D364,素材!$1:$1016,COLUMN($F$1),FALSE)) - LEN(SUBSTITUTE(VLOOKUP($D364,素材!$1:$1016,COLUMN($F$1),FALSE), "・", 0)) + 1), 0)</f>
        <v>0</v>
      </c>
      <c r="AB364">
        <f>IF(ISNUMBER(SEARCH(SUBSTITUTE(AB$1,RIGHT(AB$1,2),""),VLOOKUP($D364,素材!$1:$1016,COLUMN($F$1),FALSE))),VLOOKUP($C364,武器!$1:$998,COLUMN($O$1),FALSE)*VLOOKUP($D364,素材!$1:$1016,COLUMN($E$1),FALSE)/(LEN(VLOOKUP($D364,素材!$1:$1016,COLUMN($F$1),FALSE)) - LEN(SUBSTITUTE(VLOOKUP($D364,素材!$1:$1016,COLUMN($F$1),FALSE), "・", 0)) + 1), 0)</f>
        <v>0</v>
      </c>
      <c r="AC364">
        <f>IF(ISNUMBER(SEARCH(SUBSTITUTE(AC$1,RIGHT(AC$1,2),""),VLOOKUP($D364,素材!$1:$1016,COLUMN($F$1),FALSE))),VLOOKUP($C364,武器!$1:$998,COLUMN($O$1),FALSE)*VLOOKUP($D364,素材!$1:$1016,COLUMN($E$1),FALSE)/(LEN(VLOOKUP($D364,素材!$1:$1016,COLUMN($F$1),FALSE)) - LEN(SUBSTITUTE(VLOOKUP($D364,素材!$1:$1016,COLUMN($F$1),FALSE), "・", 0)) + 1), 0)</f>
        <v>0</v>
      </c>
      <c r="AD364">
        <f>IF(ISNUMBER(SEARCH(SUBSTITUTE(AD$1,RIGHT(AD$1,2),""),VLOOKUP($D364,素材!$1:$1016,COLUMN($F$1),FALSE))),VLOOKUP($C364,武器!$1:$998,COLUMN($O$1),FALSE)*VLOOKUP($D364,素材!$1:$1016,COLUMN($E$1),FALSE)/(LEN(VLOOKUP($D364,素材!$1:$1016,COLUMN($F$1),FALSE)) - LEN(SUBSTITUTE(VLOOKUP($D364,素材!$1:$1016,COLUMN($F$1),FALSE), "・", 0)) + 1), 0)</f>
        <v>0</v>
      </c>
      <c r="AE364">
        <f>IF(ISNUMBER(SEARCH(SUBSTITUTE(AE$1,RIGHT(AE$1,2),""),VLOOKUP($D364,素材!$1:$1016,COLUMN($F$1),FALSE))),VLOOKUP($C364,武器!$1:$998,COLUMN($O$1),FALSE)*VLOOKUP($D364,素材!$1:$1016,COLUMN($E$1),FALSE)/(LEN(VLOOKUP($D364,素材!$1:$1016,COLUMN($F$1),FALSE)) - LEN(SUBSTITUTE(VLOOKUP($D364,素材!$1:$1016,COLUMN($F$1),FALSE), "・", 0)) + 1), 0)</f>
        <v>0</v>
      </c>
      <c r="AF364">
        <f>IF(ISNUMBER(SEARCH(SUBSTITUTE(AF$1,RIGHT(AF$1,2),""),VLOOKUP($D364,素材!$1:$1016,COLUMN($F$1),FALSE))),VLOOKUP($C364,武器!$1:$998,COLUMN($O$1),FALSE)*VLOOKUP($D364,素材!$1:$1016,COLUMN($E$1),FALSE)/(LEN(VLOOKUP($D364,素材!$1:$1016,COLUMN($F$1),FALSE)) - LEN(SUBSTITUTE(VLOOKUP($D364,素材!$1:$1016,COLUMN($F$1),FALSE), "・", 0)) + 1), 0)</f>
        <v>0</v>
      </c>
      <c r="AG364">
        <f>IF(ISNUMBER(SEARCH(SUBSTITUTE(AG$1,RIGHT(AG$1,2),""),VLOOKUP($D364,素材!$1:$1016,COLUMN($F$1),FALSE))),VLOOKUP($C364,武器!$1:$998,COLUMN($O$1),FALSE)*VLOOKUP($D364,素材!$1:$1016,COLUMN($E$1),FALSE)/(LEN(VLOOKUP($D364,素材!$1:$1016,COLUMN($F$1),FALSE)) - LEN(SUBSTITUTE(VLOOKUP($D364,素材!$1:$1016,COLUMN($F$1),FALSE), "・", 0)) + 1), 0)</f>
        <v>0</v>
      </c>
      <c r="AH364">
        <f>IF(ISNUMBER(SEARCH(SUBSTITUTE(AH$1,RIGHT(AH$1,2),""),VLOOKUP($D364,素材!$1:$1016,COLUMN($F$1),FALSE))),VLOOKUP($C364,武器!$1:$998,COLUMN($O$1),FALSE)*VLOOKUP($D364,素材!$1:$1016,COLUMN($E$1),FALSE)/(LEN(VLOOKUP($D364,素材!$1:$1016,COLUMN($F$1),FALSE)) - LEN(SUBSTITUTE(VLOOKUP($D364,素材!$1:$1016,COLUMN($F$1),FALSE), "・", 0)) + 1), 0)</f>
        <v>0</v>
      </c>
      <c r="AI364">
        <f>IF(ISNUMBER(SEARCH(SUBSTITUTE(AI$1,RIGHT(AI$1,2),""),VLOOKUP($D364,素材!$1:$1016,COLUMN($F$1),FALSE))),VLOOKUP($C364,武器!$1:$998,COLUMN($O$1),FALSE)*VLOOKUP($D364,素材!$1:$1016,COLUMN($E$1),FALSE)/(LEN(VLOOKUP($D364,素材!$1:$1016,COLUMN($F$1),FALSE)) - LEN(SUBSTITUTE(VLOOKUP($D364,素材!$1:$1016,COLUMN($F$1),FALSE), "・", 0)) + 1), 0)</f>
        <v>0</v>
      </c>
      <c r="AJ364">
        <f>IF(ISNUMBER(SEARCH(SUBSTITUTE(AJ$1,RIGHT(AJ$1,2),""),VLOOKUP($D364,素材!$1:$1016,COLUMN($F$1),FALSE))),VLOOKUP($C364,武器!$1:$998,COLUMN($O$1),FALSE)*VLOOKUP($D364,素材!$1:$1016,COLUMN($E$1),FALSE)/(LEN(VLOOKUP($D364,素材!$1:$1016,COLUMN($F$1),FALSE)) - LEN(SUBSTITUTE(VLOOKUP($D364,素材!$1:$1016,COLUMN($F$1),FALSE), "・", 0)) + 1), 0)</f>
        <v>0</v>
      </c>
      <c r="AK364">
        <f>IF(ISNUMBER(SEARCH(SUBSTITUTE(AK$1,RIGHT(AK$1,2),""),VLOOKUP($D364,素材!$1:$1016,COLUMN($F$1),FALSE))),VLOOKUP($C364,武器!$1:$998,COLUMN($O$1),FALSE)*VLOOKUP($D364,素材!$1:$1016,COLUMN($E$1),FALSE)/(LEN(VLOOKUP($D364,素材!$1:$1016,COLUMN($F$1),FALSE)) - LEN(SUBSTITUTE(VLOOKUP($D364,素材!$1:$1016,COLUMN($F$1),FALSE), "・", 0)) + 1), 0)</f>
        <v>0</v>
      </c>
      <c r="AL364">
        <f>IF(ISNUMBER(SEARCH(SUBSTITUTE(AL$1,RIGHT(AL$1,2),""),VLOOKUP($D364,素材!$1:$1016,COLUMN($F$1),FALSE))),VLOOKUP($C364,武器!$1:$998,COLUMN($O$1),FALSE)*VLOOKUP($D364,素材!$1:$1016,COLUMN($E$1),FALSE)/(LEN(VLOOKUP($D364,素材!$1:$1016,COLUMN($F$1),FALSE)) - LEN(SUBSTITUTE(VLOOKUP($D364,素材!$1:$1016,COLUMN($F$1),FALSE), "・", 0)) + 1), 0)</f>
        <v>0</v>
      </c>
      <c r="AM364">
        <f>IF(ISNUMBER(SEARCH(SUBSTITUTE(AM$1,RIGHT(AM$1,2),""),VLOOKUP($D364,素材!$1:$1016,COLUMN($F$1),FALSE))),VLOOKUP($C364,武器!$1:$998,COLUMN($O$1),FALSE)*VLOOKUP($D364,素材!$1:$1016,COLUMN($E$1),FALSE)/(LEN(VLOOKUP($D364,素材!$1:$1016,COLUMN($F$1),FALSE)) - LEN(SUBSTITUTE(VLOOKUP($D364,素材!$1:$1016,COLUMN($F$1),FALSE), "・", 0)) + 1), 0)</f>
        <v>0</v>
      </c>
      <c r="AN364">
        <f>IF(ISNUMBER(SEARCH(SUBSTITUTE(AN$1,RIGHT(AN$1,2),""),VLOOKUP($D364,素材!$1:$1016,COLUMN($F$1),FALSE))),VLOOKUP($C364,武器!$1:$998,COLUMN($O$1),FALSE)*VLOOKUP($D364,素材!$1:$1016,COLUMN($E$1),FALSE)/(LEN(VLOOKUP($D364,素材!$1:$1016,COLUMN($F$1),FALSE)) - LEN(SUBSTITUTE(VLOOKUP($D364,素材!$1:$1016,COLUMN($F$1),FALSE), "・", 0)) + 1), 0)</f>
        <v>0</v>
      </c>
      <c r="AO364">
        <f>IF(ISNUMBER(SEARCH(SUBSTITUTE(AO$1,RIGHT(AO$1,2),""),VLOOKUP($D364,素材!$1:$1016,COLUMN($F$1),FALSE))),VLOOKUP($C364,武器!$1:$998,COLUMN($O$1),FALSE)*VLOOKUP($D364,素材!$1:$1016,COLUMN($E$1),FALSE)/(LEN(VLOOKUP($D364,素材!$1:$1016,COLUMN($F$1),FALSE)) - LEN(SUBSTITUTE(VLOOKUP($D364,素材!$1:$1016,COLUMN($F$1),FALSE), "・", 0)) + 1), 0)</f>
        <v>0</v>
      </c>
      <c r="AP364">
        <f>IF(ISNUMBER(SEARCH(SUBSTITUTE(AP$1,RIGHT(AP$1,2),""),VLOOKUP($D364,素材!$1:$1016,COLUMN($F$1),FALSE))),VLOOKUP($C364,武器!$1:$998,COLUMN($O$1),FALSE)*VLOOKUP($D364,素材!$1:$1016,COLUMN($E$1),FALSE)/(LEN(VLOOKUP($D364,素材!$1:$1016,COLUMN($F$1),FALSE)) - LEN(SUBSTITUTE(VLOOKUP($D364,素材!$1:$1016,COLUMN($F$1),FALSE), "・", 0)) + 1), 0)</f>
        <v>0</v>
      </c>
      <c r="AQ364">
        <f>IF(ISNUMBER(SEARCH(SUBSTITUTE(AQ$1,RIGHT(AQ$1,2),""),VLOOKUP($D364,素材!$1:$1016,COLUMN($F$1),FALSE))),VLOOKUP($C364,武器!$1:$998,COLUMN($O$1),FALSE)*VLOOKUP($D364,素材!$1:$1016,COLUMN($E$1),FALSE)/(LEN(VLOOKUP($D364,素材!$1:$1016,COLUMN($F$1),FALSE)) - LEN(SUBSTITUTE(VLOOKUP($D364,素材!$1:$1016,COLUMN($F$1),FALSE), "・", 0)) + 1), 0)</f>
        <v>0</v>
      </c>
      <c r="AR364">
        <f>IF(ISNUMBER(SEARCH(SUBSTITUTE(AR$1,RIGHT(AR$1,2),""),VLOOKUP($D364,素材!$1:$1016,COLUMN($F$1),FALSE))),VLOOKUP($C364,武器!$1:$998,COLUMN($O$1),FALSE)*VLOOKUP($D364,素材!$1:$1016,COLUMN($E$1),FALSE)/(LEN(VLOOKUP($D364,素材!$1:$1016,COLUMN($F$1),FALSE)) - LEN(SUBSTITUTE(VLOOKUP($D364,素材!$1:$1016,COLUMN($F$1),FALSE), "・", 0)) + 1), 0)</f>
        <v>0</v>
      </c>
      <c r="AS364">
        <f>IF(ISNUMBER(SEARCH(SUBSTITUTE(AS$1,RIGHT(AS$1,2),""),VLOOKUP($D364,素材!$1:$1016,COLUMN($F$1),FALSE))),VLOOKUP($C364,武器!$1:$998,COLUMN($O$1),FALSE)*VLOOKUP($D364,素材!$1:$1016,COLUMN($E$1),FALSE)/(LEN(VLOOKUP($D364,素材!$1:$1016,COLUMN($F$1),FALSE)) - LEN(SUBSTITUTE(VLOOKUP($D364,素材!$1:$1016,COLUMN($F$1),FALSE), "・", 0)) + 1), 0)</f>
        <v>0</v>
      </c>
      <c r="AT364">
        <f>IF(ISNUMBER(SEARCH(SUBSTITUTE(AT$1,RIGHT(AT$1,2),""),VLOOKUP($D364,素材!$1:$1016,COLUMN($F$1),FALSE))),VLOOKUP($C364,武器!$1:$998,COLUMN($O$1),FALSE)*VLOOKUP($D364,素材!$1:$1016,COLUMN($E$1),FALSE)/(LEN(VLOOKUP($D364,素材!$1:$1016,COLUMN($F$1),FALSE)) - LEN(SUBSTITUTE(VLOOKUP($D364,素材!$1:$1016,COLUMN($F$1),FALSE), "・", 0)) + 1), 0)</f>
        <v>0</v>
      </c>
      <c r="AU364">
        <f>IF(ISNUMBER(SEARCH(SUBSTITUTE(AU$1,RIGHT(AU$1,2),""),VLOOKUP($D364,素材!$1:$1016,COLUMN($F$1),FALSE))),VLOOKUP($C364,武器!$1:$998,COLUMN($O$1),FALSE)*VLOOKUP($D364,素材!$1:$1016,COLUMN($E$1),FALSE)/(LEN(VLOOKUP($D364,素材!$1:$1016,COLUMN($F$1),FALSE)) - LEN(SUBSTITUTE(VLOOKUP($D364,素材!$1:$1016,COLUMN($F$1),FALSE), "・", 0)) + 1), 0)</f>
        <v>0</v>
      </c>
      <c r="AV364">
        <f>IF(ISNUMBER(SEARCH(SUBSTITUTE(AV$1,RIGHT(AV$1,2),""),VLOOKUP($D364,素材!$1:$1016,COLUMN($F$1),FALSE))),VLOOKUP($C364,武器!$1:$998,COLUMN($O$1),FALSE)*VLOOKUP($D364,素材!$1:$1016,COLUMN($E$1),FALSE)/(LEN(VLOOKUP($D364,素材!$1:$1016,COLUMN($F$1),FALSE)) - LEN(SUBSTITUTE(VLOOKUP($D364,素材!$1:$1016,COLUMN($F$1),FALSE), "・", 0)) + 1), 0)</f>
        <v>0</v>
      </c>
      <c r="AW364">
        <f>IF(ISNUMBER(SEARCH(SUBSTITUTE(AW$1,RIGHT(AW$1,2),""),VLOOKUP($D364,素材!$1:$1016,COLUMN($F$1),FALSE))),VLOOKUP($C364,武器!$1:$998,COLUMN($O$1),FALSE)*VLOOKUP($D364,素材!$1:$1016,COLUMN($E$1),FALSE)/(LEN(VLOOKUP($D364,素材!$1:$1016,COLUMN($F$1),FALSE)) - LEN(SUBSTITUTE(VLOOKUP($D364,素材!$1:$1016,COLUMN($F$1),FALSE), "・", 0)) + 1), 0)</f>
        <v>0</v>
      </c>
      <c r="AX364">
        <f>IF(ISNUMBER(SEARCH(SUBSTITUTE(AX$1,RIGHT(AX$1,2),""),VLOOKUP($D364,素材!$1:$1016,COLUMN($F$1),FALSE))),VLOOKUP($C364,武器!$1:$998,COLUMN($O$1),FALSE)*VLOOKUP($D364,素材!$1:$1016,COLUMN($E$1),FALSE)/(LEN(VLOOKUP($D364,素材!$1:$1016,COLUMN($F$1),FALSE)) - LEN(SUBSTITUTE(VLOOKUP($D364,素材!$1:$1016,COLUMN($F$1),FALSE), "・", 0)) + 1), 0)</f>
        <v>0</v>
      </c>
      <c r="AY364">
        <f>IF(ISNUMBER(SEARCH(SUBSTITUTE(AY$1,RIGHT(AY$1,2),""),VLOOKUP($D364,素材!$1:$1016,COLUMN($F$1),FALSE))),VLOOKUP($C364,武器!$1:$998,COLUMN($O$1),FALSE)*VLOOKUP($D364,素材!$1:$1016,COLUMN($E$1),FALSE)/(LEN(VLOOKUP($D364,素材!$1:$1016,COLUMN($F$1),FALSE)) - LEN(SUBSTITUTE(VLOOKUP($D364,素材!$1:$1016,COLUMN($F$1),FALSE), "・", 0)) + 1), 0)</f>
        <v>0</v>
      </c>
      <c r="AZ364">
        <f>IF(ISNUMBER(SEARCH(SUBSTITUTE(AZ$1,RIGHT(AZ$1,2),""),VLOOKUP($D364,素材!$1:$1016,COLUMN($F$1),FALSE))),VLOOKUP($C364,武器!$1:$998,COLUMN($O$1),FALSE)*VLOOKUP($D364,素材!$1:$1016,COLUMN($E$1),FALSE)/(LEN(VLOOKUP($D364,素材!$1:$1016,COLUMN($F$1),FALSE)) - LEN(SUBSTITUTE(VLOOKUP($D364,素材!$1:$1016,COLUMN($F$1),FALSE), "・", 0)) + 1), 0)</f>
        <v>0</v>
      </c>
      <c r="BA364">
        <f>IF(ISNUMBER(SEARCH(SUBSTITUTE(BA$1,RIGHT(BA$1,2),""),VLOOKUP($D364,素材!$1:$1016,COLUMN($F$1),FALSE))),VLOOKUP($C364,武器!$1:$998,COLUMN($O$1),FALSE)*VLOOKUP($D364,素材!$1:$1016,COLUMN($E$1),FALSE)/(LEN(VLOOKUP($D364,素材!$1:$1016,COLUMN($F$1),FALSE)) - LEN(SUBSTITUTE(VLOOKUP($D364,素材!$1:$1016,COLUMN($F$1),FALSE), "・", 0)) + 1), 0)</f>
        <v>0</v>
      </c>
      <c r="BB364">
        <f>IF(ISNUMBER(SEARCH(SUBSTITUTE(BB$1,RIGHT(BB$1,2),""),VLOOKUP($D364,素材!$1:$1016,COLUMN($F$1),FALSE))),VLOOKUP($C364,武器!$1:$998,COLUMN($O$1),FALSE)*VLOOKUP($D364,素材!$1:$1016,COLUMN($E$1),FALSE)/(LEN(VLOOKUP($D364,素材!$1:$1016,COLUMN($F$1),FALSE)) - LEN(SUBSTITUTE(VLOOKUP($D364,素材!$1:$1016,COLUMN($F$1),FALSE), "・", 0)) + 1), 0)</f>
        <v>0</v>
      </c>
      <c r="BC364">
        <f>IF(ISNUMBER(SEARCH(SUBSTITUTE(BC$1,RIGHT(BC$1,2),""),VLOOKUP($D364,素材!$1:$1016,COLUMN($F$1),FALSE))),VLOOKUP($C364,武器!$1:$998,COLUMN($O$1),FALSE)*VLOOKUP($D364,素材!$1:$1016,COLUMN($E$1),FALSE)/(LEN(VLOOKUP($D364,素材!$1:$1016,COLUMN($F$1),FALSE)) - LEN(SUBSTITUTE(VLOOKUP($D364,素材!$1:$1016,COLUMN($F$1),FALSE), "・", 0)) + 1), 0)</f>
        <v>0</v>
      </c>
      <c r="BD364">
        <f>IF(ISNUMBER(SEARCH(SUBSTITUTE(BD$1,RIGHT(BD$1,2),""),VLOOKUP($D364,素材!$1:$1016,COLUMN($F$1),FALSE))),VLOOKUP($C364,武器!$1:$998,COLUMN($O$1),FALSE)*VLOOKUP($D364,素材!$1:$1016,COLUMN($E$1),FALSE)/(LEN(VLOOKUP($D364,素材!$1:$1016,COLUMN($F$1),FALSE)) - LEN(SUBSTITUTE(VLOOKUP($D364,素材!$1:$1016,COLUMN($F$1),FALSE), "・", 0)) + 1), 0)</f>
        <v>0</v>
      </c>
      <c r="BE364">
        <f>IF(ISNUMBER(SEARCH(SUBSTITUTE(BE$1,RIGHT(BE$1,2),""),VLOOKUP($D364,素材!$1:$1016,COLUMN($F$1),FALSE))),VLOOKUP($C364,武器!$1:$998,COLUMN($O$1),FALSE)*VLOOKUP($D364,素材!$1:$1016,COLUMN($E$1),FALSE)/(LEN(VLOOKUP($D364,素材!$1:$1016,COLUMN($F$1),FALSE)) - LEN(SUBSTITUTE(VLOOKUP($D364,素材!$1:$1016,COLUMN($F$1),FALSE), "・", 0)) + 1), 0)</f>
        <v>0</v>
      </c>
      <c r="CL364">
        <f>SUM(G364:I364)</f>
        <v>41</v>
      </c>
      <c r="CM364" s="22" t="str">
        <f>IF(E364="武器",IF(J364-1&gt;SUM(G364:I364),"盾",IF(MAX(G364:I364)=G364,"切断",IF(MAX(G364:I364)=H364,"貫通",IF(MAX(G364:I364)=I364,"打撃","射撃")))),E364)&amp;".webp"</f>
        <v>切断.webp</v>
      </c>
      <c r="CN364">
        <f>IFERROR(VLOOKUP($C364,武器!$1:$998,COLUMN(V$1),FALSE)*VLOOKUP($D364,素材!$1:$1016,COLUMN(N$1),FALSE)+IF(CI364="",0,VLOOKUP($CI364,装強!$1:$1008,COLUMN($CK$1),FALSE)),"")</f>
        <v>1000000</v>
      </c>
      <c r="CO364">
        <f>VLOOKUP(D364,素材!$A:$O,COLUMN(素材!O$1),FALSE)</f>
        <v>0</v>
      </c>
      <c r="CP364" t="str">
        <f>VLOOKUP(C364,武器!$A:$W,COLUMN(武器!W$1),FALSE)</f>
        <v>刀。切断力に優れた武器で、Cr威力が高い</v>
      </c>
      <c r="CR364" t="str">
        <f t="shared" si="35"/>
        <v>e_364</v>
      </c>
      <c r="CS364">
        <f t="shared" si="36"/>
        <v>100000000</v>
      </c>
    </row>
    <row r="365" spans="1:97" outlineLevel="1" x14ac:dyDescent="0.4">
      <c r="A365" t="str">
        <f t="shared" si="38"/>
        <v>神玉鋼の刀</v>
      </c>
      <c r="B365" t="str">
        <f>IFERROR(VLOOKUP($D365,素材!$1:$1016,COLUMN($B$1),FALSE)&amp;"・"&amp;VLOOKUP($C365,武器!$1:$998,COLUMN(B$1),FALSE),"")</f>
        <v>ヘブンズジェルタイト・カタナ</v>
      </c>
      <c r="C365" t="s">
        <v>1261</v>
      </c>
      <c r="D365" s="24" t="s">
        <v>1219</v>
      </c>
      <c r="E365" t="str">
        <f>IFERROR(VLOOKUP(C365,武器!$1:$998,COLUMN(C$1),FALSE),"")</f>
        <v>武器</v>
      </c>
      <c r="F365">
        <f>IFERROR(ROUNDDOWN((VLOOKUP($C365,武器!$1:$998,COLUMN(D$1),FALSE)+IFERROR(VLOOKUP($CI365,装強!$1:$999,COLUMN(F$1),FALSE),0))*VLOOKUP($D365,素材!$1:$1016,COLUMN(D$1),FALSE),0),"")</f>
        <v>105</v>
      </c>
      <c r="G365">
        <f>IFERROR(ROUNDDOWN((VLOOKUP($C365,武器!$1:$998,COLUMN(E$1),FALSE)+IFERROR(VLOOKUP($CI365,装強!$1:$999,COLUMN(G$1),FALSE),0))*VLOOKUP($D365,素材!$1:$1016,COLUMN($E$1),FALSE),0),"")</f>
        <v>38</v>
      </c>
      <c r="H365">
        <f>IFERROR(ROUNDDOWN((VLOOKUP($C365,武器!$1:$998,COLUMN(F$1),FALSE)+IFERROR(VLOOKUP($CI365,装強!$1:$999,COLUMN(H$1),FALSE),0))*VLOOKUP($D365,素材!$1:$1016,COLUMN($E$1),FALSE),0),"")</f>
        <v>22</v>
      </c>
      <c r="I365">
        <f>IFERROR(ROUNDDOWN((VLOOKUP($C365,武器!$1:$998,COLUMN(G$1),FALSE)+IFERROR(VLOOKUP($CI365,装強!$1:$999,COLUMN(I$1),FALSE),0))*VLOOKUP($D365,素材!$1:$1016,COLUMN($E$1),FALSE),0),"")</f>
        <v>5</v>
      </c>
      <c r="J365">
        <f>IFERROR(ROUNDDOWN((VLOOKUP($C365,武器!$1:$998,COLUMN(H$1),FALSE)+IFERROR(VLOOKUP($CI365,装強!$1:$999,COLUMN(J$1),FALSE),0))*VLOOKUP($D365,素材!$1:$1016,COLUMN($E$1),FALSE),0),"")</f>
        <v>46</v>
      </c>
      <c r="K365">
        <f>IFERROR(ROUNDDOWN((VLOOKUP($C365,武器!$1:$998,COLUMN(I$1),FALSE)+IFERROR(VLOOKUP($CI365,装強!$1:$999,COLUMN(K$1),FALSE),0))*VLOOKUP($D365,素材!$1:$1016,COLUMN($E$1),FALSE),0),"")</f>
        <v>0</v>
      </c>
      <c r="L365">
        <f>IFERROR(VLOOKUP($D365,素材!$1:$1016,COLUMN($F$1),FALSE),"")</f>
        <v>0</v>
      </c>
      <c r="M365">
        <f>IFERROR(VLOOKUP($C365,武器!$1:$998,COLUMN(AA$1),FALSE)*VLOOKUP($D365,素材!$1:$1016,COLUMN($G$1),FALSE),"")</f>
        <v>0</v>
      </c>
      <c r="N365">
        <f>IFERROR(VLOOKUP($C365,武器!$1:$998,COLUMN(I$1),FALSE),"")</f>
        <v>0</v>
      </c>
      <c r="O365" s="23">
        <f>IFERROR((VLOOKUP($C365,武器!$1:$998,COLUMN(K$1),FALSE)+VLOOKUP($D365,素材!$1:$1016,COLUMN(H$1),FALSE))*100+IFERROR(VLOOKUP($CI365,装強!$1:$999,COLUMN(O$1),FALSE),0),"")</f>
        <v>25</v>
      </c>
      <c r="P365" s="23">
        <f>IFERROR((VLOOKUP($C365,武器!$1:$998,COLUMN(L$1),FALSE)+VLOOKUP($D365,素材!$1:$1016,COLUMN(I$1),FALSE))*100+IFERROR(VLOOKUP($CI365,装強!$1:$999,COLUMN(P$1),FALSE),0),"")</f>
        <v>195</v>
      </c>
      <c r="Q365">
        <f>IFERROR(ROUNDUP(VLOOKUP($C365,武器!$1:$998,COLUMN(M$1),FALSE)*(VLOOKUP($D365,素材!$1:$1002,COLUMN(D$1),FALSE)/100),1),"")</f>
        <v>0</v>
      </c>
      <c r="R365">
        <f>IFERROR(ROUNDUP(VLOOKUP($C365,武器!$1:$998,COLUMN(N$1),FALSE)*(VLOOKUP($D365,素材!$1:$1002,COLUMN(D$1),FALSE)/100),1),"")</f>
        <v>0</v>
      </c>
      <c r="S365">
        <f>IFERROR(VLOOKUP($C365,武器!$1:$998,COLUMN(P$1),FALSE),"")</f>
        <v>0</v>
      </c>
      <c r="T365">
        <f>IFERROR(VLOOKUP($C365,武器!$1:$998,COLUMN(Q$1),FALSE),"")</f>
        <v>0</v>
      </c>
      <c r="U365">
        <f>IFERROR(VLOOKUP($C365,武器!$1:$998,COLUMN(R$1),FALSE),"")</f>
        <v>0</v>
      </c>
      <c r="V365">
        <f>IFERROR(VLOOKUP($C365,武器!$1:$998,COLUMN(Q$1),FALSE),"")</f>
        <v>0</v>
      </c>
      <c r="W365" t="str">
        <f>IFERROR(VLOOKUP($C365,武器!$1:$998,COLUMN(T$1),FALSE),"")</f>
        <v>A</v>
      </c>
      <c r="Y365">
        <f>IFERROR(VLOOKUP($C365,武器!$1:$998,COLUMN(U$1),FALSE),"")</f>
        <v>0</v>
      </c>
      <c r="Z365">
        <f>IFERROR(ROUNDUP(VLOOKUP($C365,武器!$1:$998,COLUMN(O$1),FALSE)*VLOOKUP($D365,素材!$1:$1016,COLUMN(E$1),FALSE),1),"")</f>
        <v>0</v>
      </c>
      <c r="AA365">
        <f>IF(ISNUMBER(SEARCH(SUBSTITUTE(AA$1,RIGHT(AA$1,2),""),VLOOKUP($D365,素材!$1:$1016,COLUMN($F$1),FALSE))),VLOOKUP($C365,武器!$1:$998,COLUMN($O$1),FALSE)*VLOOKUP($D365,素材!$1:$1016,COLUMN($E$1),FALSE)/(LEN(VLOOKUP($D365,素材!$1:$1016,COLUMN($F$1),FALSE)) - LEN(SUBSTITUTE(VLOOKUP($D365,素材!$1:$1016,COLUMN($F$1),FALSE), "・", 0)) + 1), 0)</f>
        <v>0</v>
      </c>
      <c r="AB365">
        <f>IF(ISNUMBER(SEARCH(SUBSTITUTE(AB$1,RIGHT(AB$1,2),""),VLOOKUP($D365,素材!$1:$1016,COLUMN($F$1),FALSE))),VLOOKUP($C365,武器!$1:$998,COLUMN($O$1),FALSE)*VLOOKUP($D365,素材!$1:$1016,COLUMN($E$1),FALSE)/(LEN(VLOOKUP($D365,素材!$1:$1016,COLUMN($F$1),FALSE)) - LEN(SUBSTITUTE(VLOOKUP($D365,素材!$1:$1016,COLUMN($F$1),FALSE), "・", 0)) + 1), 0)</f>
        <v>0</v>
      </c>
      <c r="AC365">
        <f>IF(ISNUMBER(SEARCH(SUBSTITUTE(AC$1,RIGHT(AC$1,2),""),VLOOKUP($D365,素材!$1:$1016,COLUMN($F$1),FALSE))),VLOOKUP($C365,武器!$1:$998,COLUMN($O$1),FALSE)*VLOOKUP($D365,素材!$1:$1016,COLUMN($E$1),FALSE)/(LEN(VLOOKUP($D365,素材!$1:$1016,COLUMN($F$1),FALSE)) - LEN(SUBSTITUTE(VLOOKUP($D365,素材!$1:$1016,COLUMN($F$1),FALSE), "・", 0)) + 1), 0)</f>
        <v>0</v>
      </c>
      <c r="AD365">
        <f>IF(ISNUMBER(SEARCH(SUBSTITUTE(AD$1,RIGHT(AD$1,2),""),VLOOKUP($D365,素材!$1:$1016,COLUMN($F$1),FALSE))),VLOOKUP($C365,武器!$1:$998,COLUMN($O$1),FALSE)*VLOOKUP($D365,素材!$1:$1016,COLUMN($E$1),FALSE)/(LEN(VLOOKUP($D365,素材!$1:$1016,COLUMN($F$1),FALSE)) - LEN(SUBSTITUTE(VLOOKUP($D365,素材!$1:$1016,COLUMN($F$1),FALSE), "・", 0)) + 1), 0)</f>
        <v>0</v>
      </c>
      <c r="AE365">
        <f>IF(ISNUMBER(SEARCH(SUBSTITUTE(AE$1,RIGHT(AE$1,2),""),VLOOKUP($D365,素材!$1:$1016,COLUMN($F$1),FALSE))),VLOOKUP($C365,武器!$1:$998,COLUMN($O$1),FALSE)*VLOOKUP($D365,素材!$1:$1016,COLUMN($E$1),FALSE)/(LEN(VLOOKUP($D365,素材!$1:$1016,COLUMN($F$1),FALSE)) - LEN(SUBSTITUTE(VLOOKUP($D365,素材!$1:$1016,COLUMN($F$1),FALSE), "・", 0)) + 1), 0)</f>
        <v>0</v>
      </c>
      <c r="AF365">
        <f>IF(ISNUMBER(SEARCH(SUBSTITUTE(AF$1,RIGHT(AF$1,2),""),VLOOKUP($D365,素材!$1:$1016,COLUMN($F$1),FALSE))),VLOOKUP($C365,武器!$1:$998,COLUMN($O$1),FALSE)*VLOOKUP($D365,素材!$1:$1016,COLUMN($E$1),FALSE)/(LEN(VLOOKUP($D365,素材!$1:$1016,COLUMN($F$1),FALSE)) - LEN(SUBSTITUTE(VLOOKUP($D365,素材!$1:$1016,COLUMN($F$1),FALSE), "・", 0)) + 1), 0)</f>
        <v>0</v>
      </c>
      <c r="AG365">
        <f>IF(ISNUMBER(SEARCH(SUBSTITUTE(AG$1,RIGHT(AG$1,2),""),VLOOKUP($D365,素材!$1:$1016,COLUMN($F$1),FALSE))),VLOOKUP($C365,武器!$1:$998,COLUMN($O$1),FALSE)*VLOOKUP($D365,素材!$1:$1016,COLUMN($E$1),FALSE)/(LEN(VLOOKUP($D365,素材!$1:$1016,COLUMN($F$1),FALSE)) - LEN(SUBSTITUTE(VLOOKUP($D365,素材!$1:$1016,COLUMN($F$1),FALSE), "・", 0)) + 1), 0)</f>
        <v>0</v>
      </c>
      <c r="AH365">
        <f>IF(ISNUMBER(SEARCH(SUBSTITUTE(AH$1,RIGHT(AH$1,2),""),VLOOKUP($D365,素材!$1:$1016,COLUMN($F$1),FALSE))),VLOOKUP($C365,武器!$1:$998,COLUMN($O$1),FALSE)*VLOOKUP($D365,素材!$1:$1016,COLUMN($E$1),FALSE)/(LEN(VLOOKUP($D365,素材!$1:$1016,COLUMN($F$1),FALSE)) - LEN(SUBSTITUTE(VLOOKUP($D365,素材!$1:$1016,COLUMN($F$1),FALSE), "・", 0)) + 1), 0)</f>
        <v>0</v>
      </c>
      <c r="AI365">
        <f>IF(ISNUMBER(SEARCH(SUBSTITUTE(AI$1,RIGHT(AI$1,2),""),VLOOKUP($D365,素材!$1:$1016,COLUMN($F$1),FALSE))),VLOOKUP($C365,武器!$1:$998,COLUMN($O$1),FALSE)*VLOOKUP($D365,素材!$1:$1016,COLUMN($E$1),FALSE)/(LEN(VLOOKUP($D365,素材!$1:$1016,COLUMN($F$1),FALSE)) - LEN(SUBSTITUTE(VLOOKUP($D365,素材!$1:$1016,COLUMN($F$1),FALSE), "・", 0)) + 1), 0)</f>
        <v>0</v>
      </c>
      <c r="AJ365">
        <f>IF(ISNUMBER(SEARCH(SUBSTITUTE(AJ$1,RIGHT(AJ$1,2),""),VLOOKUP($D365,素材!$1:$1016,COLUMN($F$1),FALSE))),VLOOKUP($C365,武器!$1:$998,COLUMN($O$1),FALSE)*VLOOKUP($D365,素材!$1:$1016,COLUMN($E$1),FALSE)/(LEN(VLOOKUP($D365,素材!$1:$1016,COLUMN($F$1),FALSE)) - LEN(SUBSTITUTE(VLOOKUP($D365,素材!$1:$1016,COLUMN($F$1),FALSE), "・", 0)) + 1), 0)</f>
        <v>0</v>
      </c>
      <c r="AK365">
        <f>IF(ISNUMBER(SEARCH(SUBSTITUTE(AK$1,RIGHT(AK$1,2),""),VLOOKUP($D365,素材!$1:$1016,COLUMN($F$1),FALSE))),VLOOKUP($C365,武器!$1:$998,COLUMN($O$1),FALSE)*VLOOKUP($D365,素材!$1:$1016,COLUMN($E$1),FALSE)/(LEN(VLOOKUP($D365,素材!$1:$1016,COLUMN($F$1),FALSE)) - LEN(SUBSTITUTE(VLOOKUP($D365,素材!$1:$1016,COLUMN($F$1),FALSE), "・", 0)) + 1), 0)</f>
        <v>0</v>
      </c>
      <c r="AL365">
        <f>IF(ISNUMBER(SEARCH(SUBSTITUTE(AL$1,RIGHT(AL$1,2),""),VLOOKUP($D365,素材!$1:$1016,COLUMN($F$1),FALSE))),VLOOKUP($C365,武器!$1:$998,COLUMN($O$1),FALSE)*VLOOKUP($D365,素材!$1:$1016,COLUMN($E$1),FALSE)/(LEN(VLOOKUP($D365,素材!$1:$1016,COLUMN($F$1),FALSE)) - LEN(SUBSTITUTE(VLOOKUP($D365,素材!$1:$1016,COLUMN($F$1),FALSE), "・", 0)) + 1), 0)</f>
        <v>0</v>
      </c>
      <c r="AM365">
        <f>IF(ISNUMBER(SEARCH(SUBSTITUTE(AM$1,RIGHT(AM$1,2),""),VLOOKUP($D365,素材!$1:$1016,COLUMN($F$1),FALSE))),VLOOKUP($C365,武器!$1:$998,COLUMN($O$1),FALSE)*VLOOKUP($D365,素材!$1:$1016,COLUMN($E$1),FALSE)/(LEN(VLOOKUP($D365,素材!$1:$1016,COLUMN($F$1),FALSE)) - LEN(SUBSTITUTE(VLOOKUP($D365,素材!$1:$1016,COLUMN($F$1),FALSE), "・", 0)) + 1), 0)</f>
        <v>0</v>
      </c>
      <c r="AN365">
        <f>IF(ISNUMBER(SEARCH(SUBSTITUTE(AN$1,RIGHT(AN$1,2),""),VLOOKUP($D365,素材!$1:$1016,COLUMN($F$1),FALSE))),VLOOKUP($C365,武器!$1:$998,COLUMN($O$1),FALSE)*VLOOKUP($D365,素材!$1:$1016,COLUMN($E$1),FALSE)/(LEN(VLOOKUP($D365,素材!$1:$1016,COLUMN($F$1),FALSE)) - LEN(SUBSTITUTE(VLOOKUP($D365,素材!$1:$1016,COLUMN($F$1),FALSE), "・", 0)) + 1), 0)</f>
        <v>0</v>
      </c>
      <c r="AO365">
        <f>IF(ISNUMBER(SEARCH(SUBSTITUTE(AO$1,RIGHT(AO$1,2),""),VLOOKUP($D365,素材!$1:$1016,COLUMN($F$1),FALSE))),VLOOKUP($C365,武器!$1:$998,COLUMN($O$1),FALSE)*VLOOKUP($D365,素材!$1:$1016,COLUMN($E$1),FALSE)/(LEN(VLOOKUP($D365,素材!$1:$1016,COLUMN($F$1),FALSE)) - LEN(SUBSTITUTE(VLOOKUP($D365,素材!$1:$1016,COLUMN($F$1),FALSE), "・", 0)) + 1), 0)</f>
        <v>0</v>
      </c>
      <c r="AP365">
        <f>IF(ISNUMBER(SEARCH(SUBSTITUTE(AP$1,RIGHT(AP$1,2),""),VLOOKUP($D365,素材!$1:$1016,COLUMN($F$1),FALSE))),VLOOKUP($C365,武器!$1:$998,COLUMN($O$1),FALSE)*VLOOKUP($D365,素材!$1:$1016,COLUMN($E$1),FALSE)/(LEN(VLOOKUP($D365,素材!$1:$1016,COLUMN($F$1),FALSE)) - LEN(SUBSTITUTE(VLOOKUP($D365,素材!$1:$1016,COLUMN($F$1),FALSE), "・", 0)) + 1), 0)</f>
        <v>0</v>
      </c>
      <c r="AQ365">
        <f>IF(ISNUMBER(SEARCH(SUBSTITUTE(AQ$1,RIGHT(AQ$1,2),""),VLOOKUP($D365,素材!$1:$1016,COLUMN($F$1),FALSE))),VLOOKUP($C365,武器!$1:$998,COLUMN($O$1),FALSE)*VLOOKUP($D365,素材!$1:$1016,COLUMN($E$1),FALSE)/(LEN(VLOOKUP($D365,素材!$1:$1016,COLUMN($F$1),FALSE)) - LEN(SUBSTITUTE(VLOOKUP($D365,素材!$1:$1016,COLUMN($F$1),FALSE), "・", 0)) + 1), 0)</f>
        <v>0</v>
      </c>
      <c r="AR365">
        <f>IF(ISNUMBER(SEARCH(SUBSTITUTE(AR$1,RIGHT(AR$1,2),""),VLOOKUP($D365,素材!$1:$1016,COLUMN($F$1),FALSE))),VLOOKUP($C365,武器!$1:$998,COLUMN($O$1),FALSE)*VLOOKUP($D365,素材!$1:$1016,COLUMN($E$1),FALSE)/(LEN(VLOOKUP($D365,素材!$1:$1016,COLUMN($F$1),FALSE)) - LEN(SUBSTITUTE(VLOOKUP($D365,素材!$1:$1016,COLUMN($F$1),FALSE), "・", 0)) + 1), 0)</f>
        <v>0</v>
      </c>
      <c r="AS365">
        <f>IF(ISNUMBER(SEARCH(SUBSTITUTE(AS$1,RIGHT(AS$1,2),""),VLOOKUP($D365,素材!$1:$1016,COLUMN($F$1),FALSE))),VLOOKUP($C365,武器!$1:$998,COLUMN($O$1),FALSE)*VLOOKUP($D365,素材!$1:$1016,COLUMN($E$1),FALSE)/(LEN(VLOOKUP($D365,素材!$1:$1016,COLUMN($F$1),FALSE)) - LEN(SUBSTITUTE(VLOOKUP($D365,素材!$1:$1016,COLUMN($F$1),FALSE), "・", 0)) + 1), 0)</f>
        <v>0</v>
      </c>
      <c r="AT365">
        <f>IF(ISNUMBER(SEARCH(SUBSTITUTE(AT$1,RIGHT(AT$1,2),""),VLOOKUP($D365,素材!$1:$1016,COLUMN($F$1),FALSE))),VLOOKUP($C365,武器!$1:$998,COLUMN($O$1),FALSE)*VLOOKUP($D365,素材!$1:$1016,COLUMN($E$1),FALSE)/(LEN(VLOOKUP($D365,素材!$1:$1016,COLUMN($F$1),FALSE)) - LEN(SUBSTITUTE(VLOOKUP($D365,素材!$1:$1016,COLUMN($F$1),FALSE), "・", 0)) + 1), 0)</f>
        <v>0</v>
      </c>
      <c r="AU365">
        <f>IF(ISNUMBER(SEARCH(SUBSTITUTE(AU$1,RIGHT(AU$1,2),""),VLOOKUP($D365,素材!$1:$1016,COLUMN($F$1),FALSE))),VLOOKUP($C365,武器!$1:$998,COLUMN($O$1),FALSE)*VLOOKUP($D365,素材!$1:$1016,COLUMN($E$1),FALSE)/(LEN(VLOOKUP($D365,素材!$1:$1016,COLUMN($F$1),FALSE)) - LEN(SUBSTITUTE(VLOOKUP($D365,素材!$1:$1016,COLUMN($F$1),FALSE), "・", 0)) + 1), 0)</f>
        <v>0</v>
      </c>
      <c r="AV365">
        <f>IF(ISNUMBER(SEARCH(SUBSTITUTE(AV$1,RIGHT(AV$1,2),""),VLOOKUP($D365,素材!$1:$1016,COLUMN($F$1),FALSE))),VLOOKUP($C365,武器!$1:$998,COLUMN($O$1),FALSE)*VLOOKUP($D365,素材!$1:$1016,COLUMN($E$1),FALSE)/(LEN(VLOOKUP($D365,素材!$1:$1016,COLUMN($F$1),FALSE)) - LEN(SUBSTITUTE(VLOOKUP($D365,素材!$1:$1016,COLUMN($F$1),FALSE), "・", 0)) + 1), 0)</f>
        <v>0</v>
      </c>
      <c r="AW365">
        <f>IF(ISNUMBER(SEARCH(SUBSTITUTE(AW$1,RIGHT(AW$1,2),""),VLOOKUP($D365,素材!$1:$1016,COLUMN($F$1),FALSE))),VLOOKUP($C365,武器!$1:$998,COLUMN($O$1),FALSE)*VLOOKUP($D365,素材!$1:$1016,COLUMN($E$1),FALSE)/(LEN(VLOOKUP($D365,素材!$1:$1016,COLUMN($F$1),FALSE)) - LEN(SUBSTITUTE(VLOOKUP($D365,素材!$1:$1016,COLUMN($F$1),FALSE), "・", 0)) + 1), 0)</f>
        <v>0</v>
      </c>
      <c r="AX365">
        <f>IF(ISNUMBER(SEARCH(SUBSTITUTE(AX$1,RIGHT(AX$1,2),""),VLOOKUP($D365,素材!$1:$1016,COLUMN($F$1),FALSE))),VLOOKUP($C365,武器!$1:$998,COLUMN($O$1),FALSE)*VLOOKUP($D365,素材!$1:$1016,COLUMN($E$1),FALSE)/(LEN(VLOOKUP($D365,素材!$1:$1016,COLUMN($F$1),FALSE)) - LEN(SUBSTITUTE(VLOOKUP($D365,素材!$1:$1016,COLUMN($F$1),FALSE), "・", 0)) + 1), 0)</f>
        <v>0</v>
      </c>
      <c r="AY365">
        <f>IF(ISNUMBER(SEARCH(SUBSTITUTE(AY$1,RIGHT(AY$1,2),""),VLOOKUP($D365,素材!$1:$1016,COLUMN($F$1),FALSE))),VLOOKUP($C365,武器!$1:$998,COLUMN($O$1),FALSE)*VLOOKUP($D365,素材!$1:$1016,COLUMN($E$1),FALSE)/(LEN(VLOOKUP($D365,素材!$1:$1016,COLUMN($F$1),FALSE)) - LEN(SUBSTITUTE(VLOOKUP($D365,素材!$1:$1016,COLUMN($F$1),FALSE), "・", 0)) + 1), 0)</f>
        <v>0</v>
      </c>
      <c r="AZ365">
        <f>IF(ISNUMBER(SEARCH(SUBSTITUTE(AZ$1,RIGHT(AZ$1,2),""),VLOOKUP($D365,素材!$1:$1016,COLUMN($F$1),FALSE))),VLOOKUP($C365,武器!$1:$998,COLUMN($O$1),FALSE)*VLOOKUP($D365,素材!$1:$1016,COLUMN($E$1),FALSE)/(LEN(VLOOKUP($D365,素材!$1:$1016,COLUMN($F$1),FALSE)) - LEN(SUBSTITUTE(VLOOKUP($D365,素材!$1:$1016,COLUMN($F$1),FALSE), "・", 0)) + 1), 0)</f>
        <v>0</v>
      </c>
      <c r="BA365">
        <f>IF(ISNUMBER(SEARCH(SUBSTITUTE(BA$1,RIGHT(BA$1,2),""),VLOOKUP($D365,素材!$1:$1016,COLUMN($F$1),FALSE))),VLOOKUP($C365,武器!$1:$998,COLUMN($O$1),FALSE)*VLOOKUP($D365,素材!$1:$1016,COLUMN($E$1),FALSE)/(LEN(VLOOKUP($D365,素材!$1:$1016,COLUMN($F$1),FALSE)) - LEN(SUBSTITUTE(VLOOKUP($D365,素材!$1:$1016,COLUMN($F$1),FALSE), "・", 0)) + 1), 0)</f>
        <v>0</v>
      </c>
      <c r="BB365">
        <f>IF(ISNUMBER(SEARCH(SUBSTITUTE(BB$1,RIGHT(BB$1,2),""),VLOOKUP($D365,素材!$1:$1016,COLUMN($F$1),FALSE))),VLOOKUP($C365,武器!$1:$998,COLUMN($O$1),FALSE)*VLOOKUP($D365,素材!$1:$1016,COLUMN($E$1),FALSE)/(LEN(VLOOKUP($D365,素材!$1:$1016,COLUMN($F$1),FALSE)) - LEN(SUBSTITUTE(VLOOKUP($D365,素材!$1:$1016,COLUMN($F$1),FALSE), "・", 0)) + 1), 0)</f>
        <v>0</v>
      </c>
      <c r="BC365">
        <f>IF(ISNUMBER(SEARCH(SUBSTITUTE(BC$1,RIGHT(BC$1,2),""),VLOOKUP($D365,素材!$1:$1016,COLUMN($F$1),FALSE))),VLOOKUP($C365,武器!$1:$998,COLUMN($O$1),FALSE)*VLOOKUP($D365,素材!$1:$1016,COLUMN($E$1),FALSE)/(LEN(VLOOKUP($D365,素材!$1:$1016,COLUMN($F$1),FALSE)) - LEN(SUBSTITUTE(VLOOKUP($D365,素材!$1:$1016,COLUMN($F$1),FALSE), "・", 0)) + 1), 0)</f>
        <v>0</v>
      </c>
      <c r="BD365">
        <f>IF(ISNUMBER(SEARCH(SUBSTITUTE(BD$1,RIGHT(BD$1,2),""),VLOOKUP($D365,素材!$1:$1016,COLUMN($F$1),FALSE))),VLOOKUP($C365,武器!$1:$998,COLUMN($O$1),FALSE)*VLOOKUP($D365,素材!$1:$1016,COLUMN($E$1),FALSE)/(LEN(VLOOKUP($D365,素材!$1:$1016,COLUMN($F$1),FALSE)) - LEN(SUBSTITUTE(VLOOKUP($D365,素材!$1:$1016,COLUMN($F$1),FALSE), "・", 0)) + 1), 0)</f>
        <v>0</v>
      </c>
      <c r="BE365">
        <f>IF(ISNUMBER(SEARCH(SUBSTITUTE(BE$1,RIGHT(BE$1,2),""),VLOOKUP($D365,素材!$1:$1016,COLUMN($F$1),FALSE))),VLOOKUP($C365,武器!$1:$998,COLUMN($O$1),FALSE)*VLOOKUP($D365,素材!$1:$1016,COLUMN($E$1),FALSE)/(LEN(VLOOKUP($D365,素材!$1:$1016,COLUMN($F$1),FALSE)) - LEN(SUBSTITUTE(VLOOKUP($D365,素材!$1:$1016,COLUMN($F$1),FALSE), "・", 0)) + 1), 0)</f>
        <v>0</v>
      </c>
      <c r="CL365">
        <f>SUM(G365:I365)</f>
        <v>65</v>
      </c>
      <c r="CM365" s="22" t="str">
        <f>IF(E365="武器",IF(J365-1&gt;SUM(G365:I365),"盾",IF(MAX(G365:I365)=G365,"切断",IF(MAX(G365:I365)=H365,"貫通",IF(MAX(G365:I365)=I365,"打撃","射撃")))),E365)&amp;".webp"</f>
        <v>切断.webp</v>
      </c>
      <c r="CN365">
        <f>IFERROR(VLOOKUP($C365,武器!$1:$998,COLUMN(V$1),FALSE)*VLOOKUP($D365,素材!$1:$1016,COLUMN(N$1),FALSE)+IF(CI365="",0,VLOOKUP($CI365,装強!$1:$1008,COLUMN($CK$1),FALSE)),"")</f>
        <v>1000000</v>
      </c>
      <c r="CO365">
        <f>VLOOKUP(D365,素材!$A:$O,COLUMN(素材!O$1),FALSE)</f>
        <v>0</v>
      </c>
      <c r="CP365" t="str">
        <f>VLOOKUP(C365,武器!$A:$W,COLUMN(武器!W$1),FALSE)</f>
        <v>刀。切断力に優れた武器で、Cr威力が高い</v>
      </c>
      <c r="CR365" t="str">
        <f t="shared" si="35"/>
        <v>e_365</v>
      </c>
      <c r="CS365">
        <f t="shared" si="36"/>
        <v>100000000</v>
      </c>
    </row>
    <row r="366" spans="1:97" outlineLevel="1" x14ac:dyDescent="0.4">
      <c r="A366" t="s">
        <v>1048</v>
      </c>
      <c r="B366" t="str">
        <f>IFERROR(VLOOKUP($D366,素材!$1:$1016,COLUMN($B$1),FALSE)&amp;"・"&amp;VLOOKUP($C366,武器!$1:$998,COLUMN(B$1),FALSE),"")</f>
        <v>ブラックメタル・マント</v>
      </c>
      <c r="C366" t="s">
        <v>1264</v>
      </c>
      <c r="D366" s="24" t="s">
        <v>194</v>
      </c>
      <c r="E366" t="str">
        <f>IFERROR(VLOOKUP(C366,武器!$1:$998,COLUMN(C$1),FALSE),"")</f>
        <v>装飾</v>
      </c>
      <c r="F366">
        <f>IFERROR(ROUNDDOWN((VLOOKUP($C366,武器!$1:$998,COLUMN(D$1),FALSE)+IFERROR(VLOOKUP($CI366,装強!$1:$999,COLUMN(F$1),FALSE),0))*VLOOKUP($D366,素材!$1:$1016,COLUMN(D$1),FALSE),0),"")</f>
        <v>0</v>
      </c>
      <c r="G366">
        <f>IFERROR(ROUNDDOWN((VLOOKUP($C366,武器!$1:$998,COLUMN(E$1),FALSE)+IFERROR(VLOOKUP($CI366,装強!$1:$999,COLUMN(G$1),FALSE),0))*VLOOKUP($D366,素材!$1:$1016,COLUMN($E$1),FALSE),0),"")</f>
        <v>0</v>
      </c>
      <c r="H366">
        <f>IFERROR(ROUNDDOWN((VLOOKUP($C366,武器!$1:$998,COLUMN(F$1),FALSE)+IFERROR(VLOOKUP($CI366,装強!$1:$999,COLUMN(H$1),FALSE),0))*VLOOKUP($D366,素材!$1:$1016,COLUMN($E$1),FALSE),0),"")</f>
        <v>0</v>
      </c>
      <c r="I366">
        <f>IFERROR(ROUNDDOWN((VLOOKUP($C366,武器!$1:$998,COLUMN(G$1),FALSE)+IFERROR(VLOOKUP($CI366,装強!$1:$999,COLUMN(I$1),FALSE),0))*VLOOKUP($D366,素材!$1:$1016,COLUMN($E$1),FALSE),0),"")</f>
        <v>0</v>
      </c>
      <c r="J366">
        <f>IFERROR(ROUNDDOWN((VLOOKUP($C366,武器!$1:$998,COLUMN(H$1),FALSE)+IFERROR(VLOOKUP($CI366,装強!$1:$999,COLUMN(J$1),FALSE),0))*VLOOKUP($D366,素材!$1:$1016,COLUMN($E$1),FALSE),0),"")</f>
        <v>0</v>
      </c>
      <c r="K366">
        <f>IFERROR(ROUNDDOWN((VLOOKUP($C366,武器!$1:$998,COLUMN(I$1),FALSE)+IFERROR(VLOOKUP($CI366,装強!$1:$999,COLUMN(K$1),FALSE),0))*VLOOKUP($D366,素材!$1:$1016,COLUMN($E$1),FALSE),0),"")</f>
        <v>0</v>
      </c>
      <c r="L366" t="str">
        <f>IFERROR(VLOOKUP($D366,素材!$1:$1016,COLUMN($F$1),FALSE),"")</f>
        <v>物理</v>
      </c>
      <c r="M366">
        <f>IFERROR(VLOOKUP($C366,武器!$1:$998,COLUMN(AA$1),FALSE)*VLOOKUP($D366,素材!$1:$1016,COLUMN($G$1),FALSE),"")</f>
        <v>0</v>
      </c>
      <c r="N366">
        <f>IFERROR(VLOOKUP($C366,武器!$1:$998,COLUMN(I$1),FALSE),"")</f>
        <v>0</v>
      </c>
      <c r="O366" s="23">
        <f>IFERROR((VLOOKUP($C366,武器!$1:$998,COLUMN(K$1),FALSE)+VLOOKUP($D366,素材!$1:$1016,COLUMN(H$1),FALSE))*100+IFERROR(VLOOKUP($CI366,装強!$1:$999,COLUMN(O$1),FALSE),0),"")</f>
        <v>5</v>
      </c>
      <c r="P366" s="23">
        <f>IFERROR((VLOOKUP($C366,武器!$1:$998,COLUMN(L$1),FALSE)+VLOOKUP($D366,素材!$1:$1016,COLUMN(I$1),FALSE))*100+IFERROR(VLOOKUP($CI366,装強!$1:$999,COLUMN(P$1),FALSE),0),"")</f>
        <v>10</v>
      </c>
      <c r="Q366">
        <f>IFERROR(ROUNDUP(VLOOKUP($C366,武器!$1:$998,COLUMN(M$1),FALSE)*(VLOOKUP($D366,素材!$1:$1002,COLUMN(D$1),FALSE)/100),1),"")</f>
        <v>0</v>
      </c>
      <c r="R366">
        <f>IFERROR(ROUNDUP(VLOOKUP($C366,武器!$1:$998,COLUMN(N$1),FALSE)*(VLOOKUP($D366,素材!$1:$1002,COLUMN(D$1),FALSE)/100),1),"")</f>
        <v>0</v>
      </c>
      <c r="S366">
        <f>IFERROR(VLOOKUP($C366,武器!$1:$998,COLUMN(P$1),FALSE),"")</f>
        <v>0</v>
      </c>
      <c r="T366">
        <f>IFERROR(VLOOKUP($C366,武器!$1:$998,COLUMN(Q$1),FALSE),"")</f>
        <v>0</v>
      </c>
      <c r="U366">
        <f>IFERROR(VLOOKUP($C366,武器!$1:$998,COLUMN(R$1),FALSE),"")</f>
        <v>0</v>
      </c>
      <c r="V366">
        <f>IFERROR(VLOOKUP($C366,武器!$1:$998,COLUMN(Q$1),FALSE),"")</f>
        <v>0</v>
      </c>
      <c r="W366">
        <f>IFERROR(VLOOKUP($C366,武器!$1:$998,COLUMN(T$1),FALSE),"")</f>
        <v>0</v>
      </c>
      <c r="Y366">
        <f>IFERROR(VLOOKUP($C366,武器!$1:$998,COLUMN(U$1),FALSE),"")</f>
        <v>0</v>
      </c>
      <c r="Z366">
        <f>IFERROR(ROUNDUP(VLOOKUP($C366,武器!$1:$998,COLUMN(O$1),FALSE)*VLOOKUP($D366,素材!$1:$1016,COLUMN(E$1),FALSE),1),"")</f>
        <v>0</v>
      </c>
      <c r="AA366">
        <f>IF(ISNUMBER(SEARCH(SUBSTITUTE(AA$1,RIGHT(AA$1,2),""),VLOOKUP($D366,素材!$1:$1016,COLUMN($F$1),FALSE))),VLOOKUP($C366,武器!$1:$998,COLUMN($O$1),FALSE)*VLOOKUP($D366,素材!$1:$1016,COLUMN($E$1),FALSE)/(LEN(VLOOKUP($D366,素材!$1:$1016,COLUMN($F$1),FALSE)) - LEN(SUBSTITUTE(VLOOKUP($D366,素材!$1:$1016,COLUMN($F$1),FALSE), "・", 0)) + 1), 0)</f>
        <v>0</v>
      </c>
      <c r="AB366">
        <f>IF(ISNUMBER(SEARCH(SUBSTITUTE(AB$1,RIGHT(AB$1,2),""),VLOOKUP($D366,素材!$1:$1016,COLUMN($F$1),FALSE))),VLOOKUP($C366,武器!$1:$998,COLUMN($O$1),FALSE)*VLOOKUP($D366,素材!$1:$1016,COLUMN($E$1),FALSE)/(LEN(VLOOKUP($D366,素材!$1:$1016,COLUMN($F$1),FALSE)) - LEN(SUBSTITUTE(VLOOKUP($D366,素材!$1:$1016,COLUMN($F$1),FALSE), "・", 0)) + 1), 0)</f>
        <v>0</v>
      </c>
      <c r="AC366">
        <f>IF(ISNUMBER(SEARCH(SUBSTITUTE(AC$1,RIGHT(AC$1,2),""),VLOOKUP($D366,素材!$1:$1016,COLUMN($F$1),FALSE))),VLOOKUP($C366,武器!$1:$998,COLUMN($O$1),FALSE)*VLOOKUP($D366,素材!$1:$1016,COLUMN($E$1),FALSE)/(LEN(VLOOKUP($D366,素材!$1:$1016,COLUMN($F$1),FALSE)) - LEN(SUBSTITUTE(VLOOKUP($D366,素材!$1:$1016,COLUMN($F$1),FALSE), "・", 0)) + 1), 0)</f>
        <v>0</v>
      </c>
      <c r="AD366">
        <f>IF(ISNUMBER(SEARCH(SUBSTITUTE(AD$1,RIGHT(AD$1,2),""),VLOOKUP($D366,素材!$1:$1016,COLUMN($F$1),FALSE))),VLOOKUP($C366,武器!$1:$998,COLUMN($O$1),FALSE)*VLOOKUP($D366,素材!$1:$1016,COLUMN($E$1),FALSE)/(LEN(VLOOKUP($D366,素材!$1:$1016,COLUMN($F$1),FALSE)) - LEN(SUBSTITUTE(VLOOKUP($D366,素材!$1:$1016,COLUMN($F$1),FALSE), "・", 0)) + 1), 0)</f>
        <v>0</v>
      </c>
      <c r="AE366">
        <f>IF(ISNUMBER(SEARCH(SUBSTITUTE(AE$1,RIGHT(AE$1,2),""),VLOOKUP($D366,素材!$1:$1016,COLUMN($F$1),FALSE))),VLOOKUP($C366,武器!$1:$998,COLUMN($O$1),FALSE)*VLOOKUP($D366,素材!$1:$1016,COLUMN($E$1),FALSE)/(LEN(VLOOKUP($D366,素材!$1:$1016,COLUMN($F$1),FALSE)) - LEN(SUBSTITUTE(VLOOKUP($D366,素材!$1:$1016,COLUMN($F$1),FALSE), "・", 0)) + 1), 0)+IF($CI366&lt;&gt;"",VLOOKUP($CI366,装強!$A$1:AZ$1005,COLUMN(装強!AZ$1),FALSE),0)</f>
        <v>0</v>
      </c>
      <c r="AF366">
        <f>IF(ISNUMBER(SEARCH(SUBSTITUTE(AF$1,RIGHT(AF$1,2),""),VLOOKUP($D366,素材!$1:$1016,COLUMN($F$1),FALSE))),VLOOKUP($C366,武器!$1:$998,COLUMN($O$1),FALSE)*VLOOKUP($D366,素材!$1:$1016,COLUMN($E$1),FALSE)/(LEN(VLOOKUP($D366,素材!$1:$1016,COLUMN($F$1),FALSE)) - LEN(SUBSTITUTE(VLOOKUP($D366,素材!$1:$1016,COLUMN($F$1),FALSE), "・", 0)) + 1), 0)+IF($CI366&lt;&gt;"",VLOOKUP($CI366,装強!$A$1:BA$1005,COLUMN(装強!BA$1),FALSE),0)</f>
        <v>0</v>
      </c>
      <c r="AG366">
        <f>IF(ISNUMBER(SEARCH(SUBSTITUTE(AG$1,RIGHT(AG$1,2),""),VLOOKUP($D366,素材!$1:$1016,COLUMN($F$1),FALSE))),VLOOKUP($C366,武器!$1:$998,COLUMN($O$1),FALSE)*VLOOKUP($D366,素材!$1:$1016,COLUMN($E$1),FALSE)/(LEN(VLOOKUP($D366,素材!$1:$1016,COLUMN($F$1),FALSE)) - LEN(SUBSTITUTE(VLOOKUP($D366,素材!$1:$1016,COLUMN($F$1),FALSE), "・", 0)) + 1), 0)+IF($CI366&lt;&gt;"",VLOOKUP($CI366,装強!$A$1:BB$1005,COLUMN(装強!BB$1),FALSE),0)</f>
        <v>0</v>
      </c>
      <c r="AH366">
        <f>IF(ISNUMBER(SEARCH(SUBSTITUTE(AH$1,RIGHT(AH$1,2),""),VLOOKUP($D366,素材!$1:$1016,COLUMN($F$1),FALSE))),VLOOKUP($C366,武器!$1:$998,COLUMN($O$1),FALSE)*VLOOKUP($D366,素材!$1:$1016,COLUMN($E$1),FALSE)/(LEN(VLOOKUP($D366,素材!$1:$1016,COLUMN($F$1),FALSE)) - LEN(SUBSTITUTE(VLOOKUP($D366,素材!$1:$1016,COLUMN($F$1),FALSE), "・", 0)) + 1), 0)+IF($CI366&lt;&gt;"",VLOOKUP($CI366,装強!$A$1:BC$1005,COLUMN(装強!BC$1),FALSE),0)</f>
        <v>0</v>
      </c>
      <c r="AI366">
        <f>IF(ISNUMBER(SEARCH(SUBSTITUTE(AI$1,RIGHT(AI$1,2),""),VLOOKUP($D366,素材!$1:$1016,COLUMN($F$1),FALSE))),VLOOKUP($C366,武器!$1:$998,COLUMN($O$1),FALSE)*VLOOKUP($D366,素材!$1:$1016,COLUMN($E$1),FALSE)/(LEN(VLOOKUP($D366,素材!$1:$1016,COLUMN($F$1),FALSE)) - LEN(SUBSTITUTE(VLOOKUP($D366,素材!$1:$1016,COLUMN($F$1),FALSE), "・", 0)) + 1), 0)+IF($CI366&lt;&gt;"",VLOOKUP($CI366,装強!$A$1:BD$1005,COLUMN(装強!BD$1),FALSE),0)</f>
        <v>0</v>
      </c>
      <c r="AJ366">
        <f>IF(ISNUMBER(SEARCH(SUBSTITUTE(AJ$1,RIGHT(AJ$1,2),""),VLOOKUP($D366,素材!$1:$1016,COLUMN($F$1),FALSE))),VLOOKUP($C366,武器!$1:$998,COLUMN($O$1),FALSE)*VLOOKUP($D366,素材!$1:$1016,COLUMN($E$1),FALSE)/(LEN(VLOOKUP($D366,素材!$1:$1016,COLUMN($F$1),FALSE)) - LEN(SUBSTITUTE(VLOOKUP($D366,素材!$1:$1016,COLUMN($F$1),FALSE), "・", 0)) + 1), 0)+IF($CI366&lt;&gt;"",VLOOKUP($CI366,装強!$A$1:BE$1005,COLUMN(装強!BE$1),FALSE),0)</f>
        <v>0</v>
      </c>
      <c r="AK366">
        <f>IF(ISNUMBER(SEARCH(SUBSTITUTE(AK$1,RIGHT(AK$1,2),""),VLOOKUP($D366,素材!$1:$1016,COLUMN($F$1),FALSE))),VLOOKUP($C366,武器!$1:$998,COLUMN($O$1),FALSE)*VLOOKUP($D366,素材!$1:$1016,COLUMN($E$1),FALSE)/(LEN(VLOOKUP($D366,素材!$1:$1016,COLUMN($F$1),FALSE)) - LEN(SUBSTITUTE(VLOOKUP($D366,素材!$1:$1016,COLUMN($F$1),FALSE), "・", 0)) + 1), 0)+IF($CI366&lt;&gt;"",VLOOKUP($CI366,装強!$A$1:BF$1005,COLUMN(装強!BF$1),FALSE),0)</f>
        <v>-10</v>
      </c>
      <c r="AL366">
        <f>IF(ISNUMBER(SEARCH(SUBSTITUTE(AL$1,RIGHT(AL$1,2),""),VLOOKUP($D366,素材!$1:$1016,COLUMN($F$1),FALSE))),VLOOKUP($C366,武器!$1:$998,COLUMN($O$1),FALSE)*VLOOKUP($D366,素材!$1:$1016,COLUMN($E$1),FALSE)/(LEN(VLOOKUP($D366,素材!$1:$1016,COLUMN($F$1),FALSE)) - LEN(SUBSTITUTE(VLOOKUP($D366,素材!$1:$1016,COLUMN($F$1),FALSE), "・", 0)) + 1), 0)+IF($CI366&lt;&gt;"",VLOOKUP($CI366,装強!$A$1:BG$1005,COLUMN(装強!BG$1),FALSE),0)</f>
        <v>0</v>
      </c>
      <c r="AM366">
        <f>IF(ISNUMBER(SEARCH(SUBSTITUTE(AM$1,RIGHT(AM$1,2),""),VLOOKUP($D366,素材!$1:$1016,COLUMN($F$1),FALSE))),VLOOKUP($C366,武器!$1:$998,COLUMN($O$1),FALSE)*VLOOKUP($D366,素材!$1:$1016,COLUMN($E$1),FALSE)/(LEN(VLOOKUP($D366,素材!$1:$1016,COLUMN($F$1),FALSE)) - LEN(SUBSTITUTE(VLOOKUP($D366,素材!$1:$1016,COLUMN($F$1),FALSE), "・", 0)) + 1), 0)+IF($CI366&lt;&gt;"",VLOOKUP($CI366,装強!$A$1:BH$1005,COLUMN(装強!BH$1),FALSE),0)</f>
        <v>0</v>
      </c>
      <c r="AN366">
        <f>IF(ISNUMBER(SEARCH(SUBSTITUTE(AN$1,RIGHT(AN$1,2),""),VLOOKUP($D366,素材!$1:$1016,COLUMN($F$1),FALSE))),VLOOKUP($C366,武器!$1:$998,COLUMN($O$1),FALSE)*VLOOKUP($D366,素材!$1:$1016,COLUMN($E$1),FALSE)/(LEN(VLOOKUP($D366,素材!$1:$1016,COLUMN($F$1),FALSE)) - LEN(SUBSTITUTE(VLOOKUP($D366,素材!$1:$1016,COLUMN($F$1),FALSE), "・", 0)) + 1), 0)+IF($CI366&lt;&gt;"",VLOOKUP($CI366,装強!$A$1:BI$1005,COLUMN(装強!BI$1),FALSE),0)</f>
        <v>0</v>
      </c>
      <c r="AO366">
        <f>IF(ISNUMBER(SEARCH(SUBSTITUTE(AO$1,RIGHT(AO$1,2),""),VLOOKUP($D366,素材!$1:$1016,COLUMN($F$1),FALSE))),VLOOKUP($C366,武器!$1:$998,COLUMN($O$1),FALSE)*VLOOKUP($D366,素材!$1:$1016,COLUMN($E$1),FALSE)/(LEN(VLOOKUP($D366,素材!$1:$1016,COLUMN($F$1),FALSE)) - LEN(SUBSTITUTE(VLOOKUP($D366,素材!$1:$1016,COLUMN($F$1),FALSE), "・", 0)) + 1), 0)+IF($CI366&lt;&gt;"",VLOOKUP($CI366,装強!$A$1:BK$1005,COLUMN(装強!BK$1),FALSE),0)</f>
        <v>0</v>
      </c>
      <c r="AP366">
        <f>IF(ISNUMBER(SEARCH(SUBSTITUTE(AP$1,RIGHT(AP$1,2),""),VLOOKUP($D366,素材!$1:$1016,COLUMN($F$1),FALSE))),VLOOKUP($C366,武器!$1:$998,COLUMN($O$1),FALSE)*VLOOKUP($D366,素材!$1:$1016,COLUMN($E$1),FALSE)/(LEN(VLOOKUP($D366,素材!$1:$1016,COLUMN($F$1),FALSE)) - LEN(SUBSTITUTE(VLOOKUP($D366,素材!$1:$1016,COLUMN($F$1),FALSE), "・", 0)) + 1), 0)+IF($CI366&lt;&gt;"",VLOOKUP($CI366,装強!$A$1:BL$1005,COLUMN(装強!BL$1),FALSE),0)</f>
        <v>0</v>
      </c>
      <c r="AQ366">
        <f>IF(ISNUMBER(SEARCH(SUBSTITUTE(AQ$1,RIGHT(AQ$1,2),""),VLOOKUP($D366,素材!$1:$1016,COLUMN($F$1),FALSE))),VLOOKUP($C366,武器!$1:$998,COLUMN($O$1),FALSE)*VLOOKUP($D366,素材!$1:$1016,COLUMN($E$1),FALSE)/(LEN(VLOOKUP($D366,素材!$1:$1016,COLUMN($F$1),FALSE)) - LEN(SUBSTITUTE(VLOOKUP($D366,素材!$1:$1016,COLUMN($F$1),FALSE), "・", 0)) + 1), 0)+IF($CI366&lt;&gt;"",VLOOKUP($CI366,装強!$A$1:BM$1005,COLUMN(装強!BM$1),FALSE),0)</f>
        <v>0</v>
      </c>
      <c r="AR366">
        <f>IF(ISNUMBER(SEARCH(SUBSTITUTE(AR$1,RIGHT(AR$1,2),""),VLOOKUP($D366,素材!$1:$1016,COLUMN($F$1),FALSE))),VLOOKUP($C366,武器!$1:$998,COLUMN($O$1),FALSE)*VLOOKUP($D366,素材!$1:$1016,COLUMN($E$1),FALSE)/(LEN(VLOOKUP($D366,素材!$1:$1016,COLUMN($F$1),FALSE)) - LEN(SUBSTITUTE(VLOOKUP($D366,素材!$1:$1016,COLUMN($F$1),FALSE), "・", 0)) + 1), 0)+IF($CI366&lt;&gt;"",VLOOKUP($CI366,装強!$A$1:BN$1005,COLUMN(装強!BN$1),FALSE),0)</f>
        <v>0</v>
      </c>
      <c r="AS366">
        <f>IF(ISNUMBER(SEARCH(SUBSTITUTE(AS$1,RIGHT(AS$1,2),""),VLOOKUP($D366,素材!$1:$1016,COLUMN($F$1),FALSE))),VLOOKUP($C366,武器!$1:$998,COLUMN($O$1),FALSE)*VLOOKUP($D366,素材!$1:$1016,COLUMN($E$1),FALSE)/(LEN(VLOOKUP($D366,素材!$1:$1016,COLUMN($F$1),FALSE)) - LEN(SUBSTITUTE(VLOOKUP($D366,素材!$1:$1016,COLUMN($F$1),FALSE), "・", 0)) + 1), 0)+IF($CI366&lt;&gt;"",VLOOKUP($CI366,装強!$A$1:BO$1005,COLUMN(装強!BO$1),FALSE),0)</f>
        <v>0</v>
      </c>
      <c r="AT366">
        <f>IF(ISNUMBER(SEARCH(SUBSTITUTE(AT$1,RIGHT(AT$1,2),""),VLOOKUP($D366,素材!$1:$1016,COLUMN($F$1),FALSE))),VLOOKUP($C366,武器!$1:$998,COLUMN($O$1),FALSE)*VLOOKUP($D366,素材!$1:$1016,COLUMN($E$1),FALSE)/(LEN(VLOOKUP($D366,素材!$1:$1016,COLUMN($F$1),FALSE)) - LEN(SUBSTITUTE(VLOOKUP($D366,素材!$1:$1016,COLUMN($F$1),FALSE), "・", 0)) + 1), 0)+IF($CI366&lt;&gt;"",VLOOKUP($CI366,装強!$A$1:BP$1005,COLUMN(装強!BP$1),FALSE),0)</f>
        <v>0</v>
      </c>
      <c r="AU366">
        <f>IF(ISNUMBER(SEARCH(SUBSTITUTE(AU$1,RIGHT(AU$1,2),""),VLOOKUP($D366,素材!$1:$1016,COLUMN($F$1),FALSE))),VLOOKUP($C366,武器!$1:$998,COLUMN($O$1),FALSE)*VLOOKUP($D366,素材!$1:$1016,COLUMN($E$1),FALSE)/(LEN(VLOOKUP($D366,素材!$1:$1016,COLUMN($F$1),FALSE)) - LEN(SUBSTITUTE(VLOOKUP($D366,素材!$1:$1016,COLUMN($F$1),FALSE), "・", 0)) + 1), 0)+IF($CI366&lt;&gt;"",VLOOKUP($CI366,装強!$A$1:BQ$1005,COLUMN(装強!BQ$1),FALSE),0)</f>
        <v>0</v>
      </c>
      <c r="AV366">
        <f>IF(ISNUMBER(SEARCH(SUBSTITUTE(AV$1,RIGHT(AV$1,2),""),VLOOKUP($D366,素材!$1:$1016,COLUMN($F$1),FALSE))),VLOOKUP($C366,武器!$1:$998,COLUMN($O$1),FALSE)*VLOOKUP($D366,素材!$1:$1016,COLUMN($E$1),FALSE)/(LEN(VLOOKUP($D366,素材!$1:$1016,COLUMN($F$1),FALSE)) - LEN(SUBSTITUTE(VLOOKUP($D366,素材!$1:$1016,COLUMN($F$1),FALSE), "・", 0)) + 1), 0)+IF($CI366&lt;&gt;"",VLOOKUP($CI366,装強!$A$1:BR$1005,COLUMN(装強!BR$1),FALSE),0)</f>
        <v>0</v>
      </c>
      <c r="AW366">
        <f>IF(ISNUMBER(SEARCH(SUBSTITUTE(AW$1,RIGHT(AW$1,2),""),VLOOKUP($D366,素材!$1:$1016,COLUMN($F$1),FALSE))),VLOOKUP($C366,武器!$1:$998,COLUMN($O$1),FALSE)*VLOOKUP($D366,素材!$1:$1016,COLUMN($E$1),FALSE)/(LEN(VLOOKUP($D366,素材!$1:$1016,COLUMN($F$1),FALSE)) - LEN(SUBSTITUTE(VLOOKUP($D366,素材!$1:$1016,COLUMN($F$1),FALSE), "・", 0)) + 1), 0)+IF($CI366&lt;&gt;"",VLOOKUP($CI366,装強!$A$1:BS$1005,COLUMN(装強!BS$1),FALSE),0)</f>
        <v>0</v>
      </c>
      <c r="AX366">
        <f>IF(ISNUMBER(SEARCH(SUBSTITUTE(AX$1,RIGHT(AX$1,2),""),VLOOKUP($D366,素材!$1:$1016,COLUMN($F$1),FALSE))),VLOOKUP($C366,武器!$1:$998,COLUMN($O$1),FALSE)*VLOOKUP($D366,素材!$1:$1016,COLUMN($E$1),FALSE)/(LEN(VLOOKUP($D366,素材!$1:$1016,COLUMN($F$1),FALSE)) - LEN(SUBSTITUTE(VLOOKUP($D366,素材!$1:$1016,COLUMN($F$1),FALSE), "・", 0)) + 1), 0)+IF($CI366&lt;&gt;"",VLOOKUP($CI366,装強!$A$1:BT$1005,COLUMN(装強!BT$1),FALSE),0)</f>
        <v>0</v>
      </c>
      <c r="AY366">
        <f>IF(ISNUMBER(SEARCH(SUBSTITUTE(AY$1,RIGHT(AY$1,2),""),VLOOKUP($D366,素材!$1:$1016,COLUMN($F$1),FALSE))),VLOOKUP($C366,武器!$1:$998,COLUMN($O$1),FALSE)*VLOOKUP($D366,素材!$1:$1016,COLUMN($E$1),FALSE)/(LEN(VLOOKUP($D366,素材!$1:$1016,COLUMN($F$1),FALSE)) - LEN(SUBSTITUTE(VLOOKUP($D366,素材!$1:$1016,COLUMN($F$1),FALSE), "・", 0)) + 1), 0)+IF($CI366&lt;&gt;"",VLOOKUP($CI366,装強!$A$1:BU$1005,COLUMN(装強!BU$1),FALSE),0)</f>
        <v>0</v>
      </c>
      <c r="AZ366">
        <f>IF(ISNUMBER(SEARCH(SUBSTITUTE(AZ$1,RIGHT(AZ$1,2),""),VLOOKUP($D366,素材!$1:$1016,COLUMN($F$1),FALSE))),VLOOKUP($C366,武器!$1:$998,COLUMN($O$1),FALSE)*VLOOKUP($D366,素材!$1:$1016,COLUMN($E$1),FALSE)/(LEN(VLOOKUP($D366,素材!$1:$1016,COLUMN($F$1),FALSE)) - LEN(SUBSTITUTE(VLOOKUP($D366,素材!$1:$1016,COLUMN($F$1),FALSE), "・", 0)) + 1), 0)+IF($CI366&lt;&gt;"",VLOOKUP($CI366,装強!$A$1:BV$1005,COLUMN(装強!BV$1),FALSE),0)</f>
        <v>0</v>
      </c>
      <c r="BA366">
        <f>IF(ISNUMBER(SEARCH(SUBSTITUTE(BA$1,RIGHT(BA$1,2),""),VLOOKUP($D366,素材!$1:$1016,COLUMN($F$1),FALSE))),VLOOKUP($C366,武器!$1:$998,COLUMN($O$1),FALSE)*VLOOKUP($D366,素材!$1:$1016,COLUMN($E$1),FALSE)/(LEN(VLOOKUP($D366,素材!$1:$1016,COLUMN($F$1),FALSE)) - LEN(SUBSTITUTE(VLOOKUP($D366,素材!$1:$1016,COLUMN($F$1),FALSE), "・", 0)) + 1), 0)</f>
        <v>0</v>
      </c>
      <c r="BB366">
        <f>IF(ISNUMBER(SEARCH(SUBSTITUTE(BB$1,RIGHT(BB$1,2),""),VLOOKUP($D366,素材!$1:$1016,COLUMN($F$1),FALSE))),VLOOKUP($C366,武器!$1:$998,COLUMN($O$1),FALSE)*VLOOKUP($D366,素材!$1:$1016,COLUMN($E$1),FALSE)/(LEN(VLOOKUP($D366,素材!$1:$1016,COLUMN($F$1),FALSE)) - LEN(SUBSTITUTE(VLOOKUP($D366,素材!$1:$1016,COLUMN($F$1),FALSE), "・", 0)) + 1), 0)</f>
        <v>0</v>
      </c>
      <c r="BC366">
        <f>IF(ISNUMBER(SEARCH(SUBSTITUTE(BC$1,RIGHT(BC$1,2),""),VLOOKUP($D366,素材!$1:$1016,COLUMN($F$1),FALSE))),VLOOKUP($C366,武器!$1:$998,COLUMN($O$1),FALSE)*VLOOKUP($D366,素材!$1:$1016,COLUMN($E$1),FALSE)/(LEN(VLOOKUP($D366,素材!$1:$1016,COLUMN($F$1),FALSE)) - LEN(SUBSTITUTE(VLOOKUP($D366,素材!$1:$1016,COLUMN($F$1),FALSE), "・", 0)) + 1), 0)</f>
        <v>0</v>
      </c>
      <c r="BD366">
        <f>IF(ISNUMBER(SEARCH(SUBSTITUTE(BD$1,RIGHT(BD$1,2),""),VLOOKUP($D366,素材!$1:$1016,COLUMN($F$1),FALSE))),VLOOKUP($C366,武器!$1:$998,COLUMN($O$1),FALSE)*VLOOKUP($D366,素材!$1:$1016,COLUMN($E$1),FALSE)/(LEN(VLOOKUP($D366,素材!$1:$1016,COLUMN($F$1),FALSE)) - LEN(SUBSTITUTE(VLOOKUP($D366,素材!$1:$1016,COLUMN($F$1),FALSE), "・", 0)) + 1), 0)</f>
        <v>0</v>
      </c>
      <c r="BE366">
        <f>IF(ISNUMBER(SEARCH(SUBSTITUTE(BE$1,RIGHT(BE$1,2),""),VLOOKUP($D366,素材!$1:$1016,COLUMN($F$1),FALSE))),VLOOKUP($C366,武器!$1:$998,COLUMN($O$1),FALSE)*VLOOKUP($D366,素材!$1:$1016,COLUMN($E$1),FALSE)/(LEN(VLOOKUP($D366,素材!$1:$1016,COLUMN($F$1),FALSE)) - LEN(SUBSTITUTE(VLOOKUP($D366,素材!$1:$1016,COLUMN($F$1),FALSE), "・", 0)) + 1), 0)</f>
        <v>0</v>
      </c>
      <c r="CI366" t="s">
        <v>16</v>
      </c>
      <c r="CL366">
        <f>SUM(G366:I366)</f>
        <v>0</v>
      </c>
      <c r="CM366" s="22" t="str">
        <f>IF(E366="武器",IF(J366-1&gt;SUM(G366:I366),"盾",IF(MAX(G366:I366)=G366,"切断",IF(MAX(G366:I366)=H366,"貫通",IF(MAX(G366:I366)=I366,"打撃","射撃")))),E366)&amp;".webp"</f>
        <v>装飾.webp</v>
      </c>
      <c r="CN366">
        <f>IFERROR(VLOOKUP($C366,武器!$1:$998,COLUMN(V$1),FALSE)*VLOOKUP($D366,素材!$1:$1016,COLUMN(N$1),FALSE)+IF(CI366="",0,VLOOKUP($CI366,装強!$1:$1008,COLUMN($CK$1),FALSE)),"")</f>
        <v>10000</v>
      </c>
      <c r="CO366">
        <f>VLOOKUP(D366,素材!$A:$O,COLUMN(素材!O$1),FALSE)</f>
        <v>0</v>
      </c>
      <c r="CP366" t="str">
        <f>VLOOKUP(C366,武器!$A:$W,COLUMN(武器!W$1),FALSE)</f>
        <v xml:space="preserve">防御 隠密 </v>
      </c>
      <c r="CR366" t="str">
        <f t="shared" ref="CR366:CR392" si="39">"e_"&amp;ROW(CR366)</f>
        <v>e_366</v>
      </c>
      <c r="CS366">
        <f t="shared" si="36"/>
        <v>1000000</v>
      </c>
    </row>
    <row r="367" spans="1:97" outlineLevel="1" x14ac:dyDescent="0.4">
      <c r="A367" t="s">
        <v>1265</v>
      </c>
      <c r="B367" t="str">
        <f>IFERROR(VLOOKUP($D367,素材!$1:$1016,COLUMN($B$1),FALSE)&amp;"・"&amp;VLOOKUP($C367,武器!$1:$998,COLUMN(B$1),FALSE),"")</f>
        <v>ファイアドレイクスケール・マント</v>
      </c>
      <c r="C367" t="s">
        <v>1264</v>
      </c>
      <c r="D367" s="24" t="s">
        <v>245</v>
      </c>
      <c r="E367" t="str">
        <f>IFERROR(VLOOKUP(C367,武器!$1:$998,COLUMN(C$1),FALSE),"")</f>
        <v>装飾</v>
      </c>
      <c r="F367">
        <f>IFERROR(ROUNDDOWN((VLOOKUP($C367,武器!$1:$998,COLUMN(D$1),FALSE)+IFERROR(VLOOKUP($CI367,装強!$1:$999,COLUMN(F$1),FALSE),0))*VLOOKUP($D367,素材!$1:$1016,COLUMN(D$1),FALSE),0),"")</f>
        <v>0</v>
      </c>
      <c r="G367">
        <f>IFERROR(ROUNDDOWN((VLOOKUP($C367,武器!$1:$998,COLUMN(E$1),FALSE)+IFERROR(VLOOKUP($CI367,装強!$1:$999,COLUMN(G$1),FALSE),0))*VLOOKUP($D367,素材!$1:$1016,COLUMN($E$1),FALSE),0),"")</f>
        <v>0</v>
      </c>
      <c r="H367">
        <f>IFERROR(ROUNDDOWN((VLOOKUP($C367,武器!$1:$998,COLUMN(F$1),FALSE)+IFERROR(VLOOKUP($CI367,装強!$1:$999,COLUMN(H$1),FALSE),0))*VLOOKUP($D367,素材!$1:$1016,COLUMN($E$1),FALSE),0),"")</f>
        <v>0</v>
      </c>
      <c r="I367">
        <f>IFERROR(ROUNDDOWN((VLOOKUP($C367,武器!$1:$998,COLUMN(G$1),FALSE)+IFERROR(VLOOKUP($CI367,装強!$1:$999,COLUMN(I$1),FALSE),0))*VLOOKUP($D367,素材!$1:$1016,COLUMN($E$1),FALSE),0),"")</f>
        <v>0</v>
      </c>
      <c r="J367">
        <f>IFERROR(ROUNDDOWN((VLOOKUP($C367,武器!$1:$998,COLUMN(H$1),FALSE)+IFERROR(VLOOKUP($CI367,装強!$1:$999,COLUMN(J$1),FALSE),0))*VLOOKUP($D367,素材!$1:$1016,COLUMN($E$1),FALSE),0),"")</f>
        <v>0</v>
      </c>
      <c r="K367">
        <f>IFERROR(ROUNDDOWN((VLOOKUP($C367,武器!$1:$998,COLUMN(I$1),FALSE)+IFERROR(VLOOKUP($CI367,装強!$1:$999,COLUMN(K$1),FALSE),0))*VLOOKUP($D367,素材!$1:$1016,COLUMN($E$1),FALSE),0),"")</f>
        <v>0</v>
      </c>
      <c r="L367" t="str">
        <f>IFERROR(VLOOKUP($D367,素材!$1:$1016,COLUMN($F$1),FALSE),"")</f>
        <v>炎</v>
      </c>
      <c r="M367">
        <f>IFERROR(VLOOKUP($C367,武器!$1:$998,COLUMN(AA$1),FALSE)*VLOOKUP($D367,素材!$1:$1016,COLUMN($G$1),FALSE),"")</f>
        <v>0</v>
      </c>
      <c r="N367">
        <f>IFERROR(VLOOKUP($C367,武器!$1:$998,COLUMN(I$1),FALSE),"")</f>
        <v>0</v>
      </c>
      <c r="O367" s="23" t="str">
        <f>IFERROR((VLOOKUP($C367,武器!$1:$998,COLUMN(K$1),FALSE)+VLOOKUP($D367,素材!$1:$1016,COLUMN(H$1),FALSE))*100+IFERROR(VLOOKUP($CI367,装強!$1:$999,COLUMN(O$1),FALSE),0),"")</f>
        <v/>
      </c>
      <c r="P367" s="23" t="str">
        <f>IFERROR((VLOOKUP($C367,武器!$1:$998,COLUMN(L$1),FALSE)+VLOOKUP($D367,素材!$1:$1016,COLUMN(I$1),FALSE))*100+IFERROR(VLOOKUP($CI367,装強!$1:$999,COLUMN(P$1),FALSE),0),"")</f>
        <v/>
      </c>
      <c r="Q367">
        <f>IFERROR(ROUNDUP(VLOOKUP($C367,武器!$1:$998,COLUMN(M$1),FALSE)*(VLOOKUP($D367,素材!$1:$1002,COLUMN(D$1),FALSE)/100),1),"")</f>
        <v>0</v>
      </c>
      <c r="R367">
        <f>IFERROR(ROUNDUP(VLOOKUP($C367,武器!$1:$998,COLUMN(N$1),FALSE)*(VLOOKUP($D367,素材!$1:$1002,COLUMN(D$1),FALSE)/100),1),"")</f>
        <v>0</v>
      </c>
      <c r="S367">
        <f>IFERROR(VLOOKUP($C367,武器!$1:$998,COLUMN(P$1),FALSE),"")</f>
        <v>0</v>
      </c>
      <c r="T367">
        <f>IFERROR(VLOOKUP($C367,武器!$1:$998,COLUMN(Q$1),FALSE),"")</f>
        <v>0</v>
      </c>
      <c r="U367">
        <f>IFERROR(VLOOKUP($C367,武器!$1:$998,COLUMN(R$1),FALSE),"")</f>
        <v>0</v>
      </c>
      <c r="V367">
        <f>IFERROR(VLOOKUP($C367,武器!$1:$998,COLUMN(Q$1),FALSE),"")</f>
        <v>0</v>
      </c>
      <c r="W367">
        <f>IFERROR(VLOOKUP($C367,武器!$1:$998,COLUMN(T$1),FALSE),"")</f>
        <v>0</v>
      </c>
      <c r="Y367">
        <f>IFERROR(VLOOKUP($C367,武器!$1:$998,COLUMN(U$1),FALSE),"")</f>
        <v>0</v>
      </c>
      <c r="Z367">
        <f>IFERROR(ROUNDUP(VLOOKUP($C367,武器!$1:$998,COLUMN(O$1),FALSE)*VLOOKUP($D367,素材!$1:$1016,COLUMN(E$1),FALSE),1),"")</f>
        <v>0</v>
      </c>
      <c r="AA367">
        <f>IF(ISNUMBER(SEARCH(SUBSTITUTE(AA$1,RIGHT(AA$1,2),""),VLOOKUP($D367,素材!$1:$1016,COLUMN($F$1),FALSE))),VLOOKUP($C367,武器!$1:$998,COLUMN($O$1),FALSE)*VLOOKUP($D367,素材!$1:$1016,COLUMN($E$1),FALSE)/(LEN(VLOOKUP($D367,素材!$1:$1016,COLUMN($F$1),FALSE)) - LEN(SUBSTITUTE(VLOOKUP($D367,素材!$1:$1016,COLUMN($F$1),FALSE), "・", 0)) + 1), 0)</f>
        <v>0</v>
      </c>
      <c r="AB367">
        <f>IF(ISNUMBER(SEARCH(SUBSTITUTE(AB$1,RIGHT(AB$1,2),""),VLOOKUP($D367,素材!$1:$1016,COLUMN($F$1),FALSE))),VLOOKUP($C367,武器!$1:$998,COLUMN($O$1),FALSE)*VLOOKUP($D367,素材!$1:$1016,COLUMN($E$1),FALSE)/(LEN(VLOOKUP($D367,素材!$1:$1016,COLUMN($F$1),FALSE)) - LEN(SUBSTITUTE(VLOOKUP($D367,素材!$1:$1016,COLUMN($F$1),FALSE), "・", 0)) + 1), 0)</f>
        <v>0</v>
      </c>
      <c r="AC367">
        <f>IF(ISNUMBER(SEARCH(SUBSTITUTE(AC$1,RIGHT(AC$1,2),""),VLOOKUP($D367,素材!$1:$1016,COLUMN($F$1),FALSE))),VLOOKUP($C367,武器!$1:$998,COLUMN($O$1),FALSE)*VLOOKUP($D367,素材!$1:$1016,COLUMN($E$1),FALSE)/(LEN(VLOOKUP($D367,素材!$1:$1016,COLUMN($F$1),FALSE)) - LEN(SUBSTITUTE(VLOOKUP($D367,素材!$1:$1016,COLUMN($F$1),FALSE), "・", 0)) + 1), 0)</f>
        <v>0</v>
      </c>
      <c r="AD367">
        <f>IF(ISNUMBER(SEARCH(SUBSTITUTE(AD$1,RIGHT(AD$1,2),""),VLOOKUP($D367,素材!$1:$1016,COLUMN($F$1),FALSE))),VLOOKUP($C367,武器!$1:$998,COLUMN($O$1),FALSE)*VLOOKUP($D367,素材!$1:$1016,COLUMN($E$1),FALSE)/(LEN(VLOOKUP($D367,素材!$1:$1016,COLUMN($F$1),FALSE)) - LEN(SUBSTITUTE(VLOOKUP($D367,素材!$1:$1016,COLUMN($F$1),FALSE), "・", 0)) + 1), 0)</f>
        <v>0</v>
      </c>
      <c r="AE367">
        <f>IF(ISNUMBER(SEARCH(SUBSTITUTE(AE$1,RIGHT(AE$1,2),""),VLOOKUP($D367,素材!$1:$1016,COLUMN($F$1),FALSE))),VLOOKUP($C367,武器!$1:$998,COLUMN($O$1),FALSE)*VLOOKUP($D367,素材!$1:$1016,COLUMN($E$1),FALSE)/(LEN(VLOOKUP($D367,素材!$1:$1016,COLUMN($F$1),FALSE)) - LEN(SUBSTITUTE(VLOOKUP($D367,素材!$1:$1016,COLUMN($F$1),FALSE), "・", 0)) + 1), 0)+IF($CI367&lt;&gt;"",VLOOKUP($CI367,装強!$A$1:AZ$1005,COLUMN(装強!AZ$1),FALSE),0)</f>
        <v>15</v>
      </c>
      <c r="AF367">
        <f>IF(ISNUMBER(SEARCH(SUBSTITUTE(AF$1,RIGHT(AF$1,2),""),VLOOKUP($D367,素材!$1:$1016,COLUMN($F$1),FALSE))),VLOOKUP($C367,武器!$1:$998,COLUMN($O$1),FALSE)*VLOOKUP($D367,素材!$1:$1016,COLUMN($E$1),FALSE)/(LEN(VLOOKUP($D367,素材!$1:$1016,COLUMN($F$1),FALSE)) - LEN(SUBSTITUTE(VLOOKUP($D367,素材!$1:$1016,COLUMN($F$1),FALSE), "・", 0)) + 1), 0)+IF($CI367&lt;&gt;"",VLOOKUP($CI367,装強!$A$1:BA$1005,COLUMN(装強!BA$1),FALSE),0)</f>
        <v>0</v>
      </c>
      <c r="AG367">
        <f>IF(ISNUMBER(SEARCH(SUBSTITUTE(AG$1,RIGHT(AG$1,2),""),VLOOKUP($D367,素材!$1:$1016,COLUMN($F$1),FALSE))),VLOOKUP($C367,武器!$1:$998,COLUMN($O$1),FALSE)*VLOOKUP($D367,素材!$1:$1016,COLUMN($E$1),FALSE)/(LEN(VLOOKUP($D367,素材!$1:$1016,COLUMN($F$1),FALSE)) - LEN(SUBSTITUTE(VLOOKUP($D367,素材!$1:$1016,COLUMN($F$1),FALSE), "・", 0)) + 1), 0)+IF($CI367&lt;&gt;"",VLOOKUP($CI367,装強!$A$1:BB$1005,COLUMN(装強!BB$1),FALSE),0)</f>
        <v>0</v>
      </c>
      <c r="AH367">
        <f>IF(ISNUMBER(SEARCH(SUBSTITUTE(AH$1,RIGHT(AH$1,2),""),VLOOKUP($D367,素材!$1:$1016,COLUMN($F$1),FALSE))),VLOOKUP($C367,武器!$1:$998,COLUMN($O$1),FALSE)*VLOOKUP($D367,素材!$1:$1016,COLUMN($E$1),FALSE)/(LEN(VLOOKUP($D367,素材!$1:$1016,COLUMN($F$1),FALSE)) - LEN(SUBSTITUTE(VLOOKUP($D367,素材!$1:$1016,COLUMN($F$1),FALSE), "・", 0)) + 1), 0)+IF($CI367&lt;&gt;"",VLOOKUP($CI367,装強!$A$1:BC$1005,COLUMN(装強!BC$1),FALSE),0)</f>
        <v>0</v>
      </c>
      <c r="AI367">
        <f>IF(ISNUMBER(SEARCH(SUBSTITUTE(AI$1,RIGHT(AI$1,2),""),VLOOKUP($D367,素材!$1:$1016,COLUMN($F$1),FALSE))),VLOOKUP($C367,武器!$1:$998,COLUMN($O$1),FALSE)*VLOOKUP($D367,素材!$1:$1016,COLUMN($E$1),FALSE)/(LEN(VLOOKUP($D367,素材!$1:$1016,COLUMN($F$1),FALSE)) - LEN(SUBSTITUTE(VLOOKUP($D367,素材!$1:$1016,COLUMN($F$1),FALSE), "・", 0)) + 1), 0)+IF($CI367&lt;&gt;"",VLOOKUP($CI367,装強!$A$1:BD$1005,COLUMN(装強!BD$1),FALSE),0)</f>
        <v>0</v>
      </c>
      <c r="AJ367">
        <f>IF(ISNUMBER(SEARCH(SUBSTITUTE(AJ$1,RIGHT(AJ$1,2),""),VLOOKUP($D367,素材!$1:$1016,COLUMN($F$1),FALSE))),VLOOKUP($C367,武器!$1:$998,COLUMN($O$1),FALSE)*VLOOKUP($D367,素材!$1:$1016,COLUMN($E$1),FALSE)/(LEN(VLOOKUP($D367,素材!$1:$1016,COLUMN($F$1),FALSE)) - LEN(SUBSTITUTE(VLOOKUP($D367,素材!$1:$1016,COLUMN($F$1),FALSE), "・", 0)) + 1), 0)+IF($CI367&lt;&gt;"",VLOOKUP($CI367,装強!$A$1:BE$1005,COLUMN(装強!BE$1),FALSE),0)</f>
        <v>0</v>
      </c>
      <c r="AK367">
        <f>IF(ISNUMBER(SEARCH(SUBSTITUTE(AK$1,RIGHT(AK$1,2),""),VLOOKUP($D367,素材!$1:$1016,COLUMN($F$1),FALSE))),VLOOKUP($C367,武器!$1:$998,COLUMN($O$1),FALSE)*VLOOKUP($D367,素材!$1:$1016,COLUMN($E$1),FALSE)/(LEN(VLOOKUP($D367,素材!$1:$1016,COLUMN($F$1),FALSE)) - LEN(SUBSTITUTE(VLOOKUP($D367,素材!$1:$1016,COLUMN($F$1),FALSE), "・", 0)) + 1), 0)+IF($CI367&lt;&gt;"",VLOOKUP($CI367,装強!$A$1:BF$1005,COLUMN(装強!BF$1),FALSE),0)</f>
        <v>0</v>
      </c>
      <c r="AL367">
        <f>IF(ISNUMBER(SEARCH(SUBSTITUTE(AL$1,RIGHT(AL$1,2),""),VLOOKUP($D367,素材!$1:$1016,COLUMN($F$1),FALSE))),VLOOKUP($C367,武器!$1:$998,COLUMN($O$1),FALSE)*VLOOKUP($D367,素材!$1:$1016,COLUMN($E$1),FALSE)/(LEN(VLOOKUP($D367,素材!$1:$1016,COLUMN($F$1),FALSE)) - LEN(SUBSTITUTE(VLOOKUP($D367,素材!$1:$1016,COLUMN($F$1),FALSE), "・", 0)) + 1), 0)+IF($CI367&lt;&gt;"",VLOOKUP($CI367,装強!$A$1:BG$1005,COLUMN(装強!BG$1),FALSE),0)</f>
        <v>0</v>
      </c>
      <c r="AM367">
        <f>IF(ISNUMBER(SEARCH(SUBSTITUTE(AM$1,RIGHT(AM$1,2),""),VLOOKUP($D367,素材!$1:$1016,COLUMN($F$1),FALSE))),VLOOKUP($C367,武器!$1:$998,COLUMN($O$1),FALSE)*VLOOKUP($D367,素材!$1:$1016,COLUMN($E$1),FALSE)/(LEN(VLOOKUP($D367,素材!$1:$1016,COLUMN($F$1),FALSE)) - LEN(SUBSTITUTE(VLOOKUP($D367,素材!$1:$1016,COLUMN($F$1),FALSE), "・", 0)) + 1), 0)+IF($CI367&lt;&gt;"",VLOOKUP($CI367,装強!$A$1:BH$1005,COLUMN(装強!BH$1),FALSE),0)</f>
        <v>0</v>
      </c>
      <c r="AN367">
        <f>IF(ISNUMBER(SEARCH(SUBSTITUTE(AN$1,RIGHT(AN$1,2),""),VLOOKUP($D367,素材!$1:$1016,COLUMN($F$1),FALSE))),VLOOKUP($C367,武器!$1:$998,COLUMN($O$1),FALSE)*VLOOKUP($D367,素材!$1:$1016,COLUMN($E$1),FALSE)/(LEN(VLOOKUP($D367,素材!$1:$1016,COLUMN($F$1),FALSE)) - LEN(SUBSTITUTE(VLOOKUP($D367,素材!$1:$1016,COLUMN($F$1),FALSE), "・", 0)) + 1), 0)+IF($CI367&lt;&gt;"",VLOOKUP($CI367,装強!$A$1:BI$1005,COLUMN(装強!BI$1),FALSE),0)</f>
        <v>0</v>
      </c>
      <c r="AO367">
        <f>IF(ISNUMBER(SEARCH(SUBSTITUTE(AO$1,RIGHT(AO$1,2),""),VLOOKUP($D367,素材!$1:$1016,COLUMN($F$1),FALSE))),VLOOKUP($C367,武器!$1:$998,COLUMN($O$1),FALSE)*VLOOKUP($D367,素材!$1:$1016,COLUMN($E$1),FALSE)/(LEN(VLOOKUP($D367,素材!$1:$1016,COLUMN($F$1),FALSE)) - LEN(SUBSTITUTE(VLOOKUP($D367,素材!$1:$1016,COLUMN($F$1),FALSE), "・", 0)) + 1), 0)+IF($CI367&lt;&gt;"",VLOOKUP($CI367,装強!$A$1:BK$1005,COLUMN(装強!BK$1),FALSE),0)</f>
        <v>0</v>
      </c>
      <c r="AP367">
        <f>IF(ISNUMBER(SEARCH(SUBSTITUTE(AP$1,RIGHT(AP$1,2),""),VLOOKUP($D367,素材!$1:$1016,COLUMN($F$1),FALSE))),VLOOKUP($C367,武器!$1:$998,COLUMN($O$1),FALSE)*VLOOKUP($D367,素材!$1:$1016,COLUMN($E$1),FALSE)/(LEN(VLOOKUP($D367,素材!$1:$1016,COLUMN($F$1),FALSE)) - LEN(SUBSTITUTE(VLOOKUP($D367,素材!$1:$1016,COLUMN($F$1),FALSE), "・", 0)) + 1), 0)+IF($CI367&lt;&gt;"",VLOOKUP($CI367,装強!$A$1:BL$1005,COLUMN(装強!BL$1),FALSE),0)</f>
        <v>0</v>
      </c>
      <c r="AQ367">
        <f>IF(ISNUMBER(SEARCH(SUBSTITUTE(AQ$1,RIGHT(AQ$1,2),""),VLOOKUP($D367,素材!$1:$1016,COLUMN($F$1),FALSE))),VLOOKUP($C367,武器!$1:$998,COLUMN($O$1),FALSE)*VLOOKUP($D367,素材!$1:$1016,COLUMN($E$1),FALSE)/(LEN(VLOOKUP($D367,素材!$1:$1016,COLUMN($F$1),FALSE)) - LEN(SUBSTITUTE(VLOOKUP($D367,素材!$1:$1016,COLUMN($F$1),FALSE), "・", 0)) + 1), 0)+IF($CI367&lt;&gt;"",VLOOKUP($CI367,装強!$A$1:BM$1005,COLUMN(装強!BM$1),FALSE),0)</f>
        <v>0</v>
      </c>
      <c r="AR367">
        <f>IF(ISNUMBER(SEARCH(SUBSTITUTE(AR$1,RIGHT(AR$1,2),""),VLOOKUP($D367,素材!$1:$1016,COLUMN($F$1),FALSE))),VLOOKUP($C367,武器!$1:$998,COLUMN($O$1),FALSE)*VLOOKUP($D367,素材!$1:$1016,COLUMN($E$1),FALSE)/(LEN(VLOOKUP($D367,素材!$1:$1016,COLUMN($F$1),FALSE)) - LEN(SUBSTITUTE(VLOOKUP($D367,素材!$1:$1016,COLUMN($F$1),FALSE), "・", 0)) + 1), 0)+IF($CI367&lt;&gt;"",VLOOKUP($CI367,装強!$A$1:BN$1005,COLUMN(装強!BN$1),FALSE),0)</f>
        <v>0</v>
      </c>
      <c r="AS367">
        <f>IF(ISNUMBER(SEARCH(SUBSTITUTE(AS$1,RIGHT(AS$1,2),""),VLOOKUP($D367,素材!$1:$1016,COLUMN($F$1),FALSE))),VLOOKUP($C367,武器!$1:$998,COLUMN($O$1),FALSE)*VLOOKUP($D367,素材!$1:$1016,COLUMN($E$1),FALSE)/(LEN(VLOOKUP($D367,素材!$1:$1016,COLUMN($F$1),FALSE)) - LEN(SUBSTITUTE(VLOOKUP($D367,素材!$1:$1016,COLUMN($F$1),FALSE), "・", 0)) + 1), 0)+IF($CI367&lt;&gt;"",VLOOKUP($CI367,装強!$A$1:BO$1005,COLUMN(装強!BO$1),FALSE),0)</f>
        <v>0</v>
      </c>
      <c r="AT367">
        <f>IF(ISNUMBER(SEARCH(SUBSTITUTE(AT$1,RIGHT(AT$1,2),""),VLOOKUP($D367,素材!$1:$1016,COLUMN($F$1),FALSE))),VLOOKUP($C367,武器!$1:$998,COLUMN($O$1),FALSE)*VLOOKUP($D367,素材!$1:$1016,COLUMN($E$1),FALSE)/(LEN(VLOOKUP($D367,素材!$1:$1016,COLUMN($F$1),FALSE)) - LEN(SUBSTITUTE(VLOOKUP($D367,素材!$1:$1016,COLUMN($F$1),FALSE), "・", 0)) + 1), 0)+IF($CI367&lt;&gt;"",VLOOKUP($CI367,装強!$A$1:BP$1005,COLUMN(装強!BP$1),FALSE),0)</f>
        <v>0</v>
      </c>
      <c r="AU367">
        <f>IF(ISNUMBER(SEARCH(SUBSTITUTE(AU$1,RIGHT(AU$1,2),""),VLOOKUP($D367,素材!$1:$1016,COLUMN($F$1),FALSE))),VLOOKUP($C367,武器!$1:$998,COLUMN($O$1),FALSE)*VLOOKUP($D367,素材!$1:$1016,COLUMN($E$1),FALSE)/(LEN(VLOOKUP($D367,素材!$1:$1016,COLUMN($F$1),FALSE)) - LEN(SUBSTITUTE(VLOOKUP($D367,素材!$1:$1016,COLUMN($F$1),FALSE), "・", 0)) + 1), 0)+IF($CI367&lt;&gt;"",VLOOKUP($CI367,装強!$A$1:BQ$1005,COLUMN(装強!BQ$1),FALSE),0)</f>
        <v>0</v>
      </c>
      <c r="AV367">
        <f>IF(ISNUMBER(SEARCH(SUBSTITUTE(AV$1,RIGHT(AV$1,2),""),VLOOKUP($D367,素材!$1:$1016,COLUMN($F$1),FALSE))),VLOOKUP($C367,武器!$1:$998,COLUMN($O$1),FALSE)*VLOOKUP($D367,素材!$1:$1016,COLUMN($E$1),FALSE)/(LEN(VLOOKUP($D367,素材!$1:$1016,COLUMN($F$1),FALSE)) - LEN(SUBSTITUTE(VLOOKUP($D367,素材!$1:$1016,COLUMN($F$1),FALSE), "・", 0)) + 1), 0)+IF($CI367&lt;&gt;"",VLOOKUP($CI367,装強!$A$1:BR$1005,COLUMN(装強!BR$1),FALSE),0)</f>
        <v>0</v>
      </c>
      <c r="AW367">
        <f>IF(ISNUMBER(SEARCH(SUBSTITUTE(AW$1,RIGHT(AW$1,2),""),VLOOKUP($D367,素材!$1:$1016,COLUMN($F$1),FALSE))),VLOOKUP($C367,武器!$1:$998,COLUMN($O$1),FALSE)*VLOOKUP($D367,素材!$1:$1016,COLUMN($E$1),FALSE)/(LEN(VLOOKUP($D367,素材!$1:$1016,COLUMN($F$1),FALSE)) - LEN(SUBSTITUTE(VLOOKUP($D367,素材!$1:$1016,COLUMN($F$1),FALSE), "・", 0)) + 1), 0)+IF($CI367&lt;&gt;"",VLOOKUP($CI367,装強!$A$1:BS$1005,COLUMN(装強!BS$1),FALSE),0)</f>
        <v>0</v>
      </c>
      <c r="AX367">
        <f>IF(ISNUMBER(SEARCH(SUBSTITUTE(AX$1,RIGHT(AX$1,2),""),VLOOKUP($D367,素材!$1:$1016,COLUMN($F$1),FALSE))),VLOOKUP($C367,武器!$1:$998,COLUMN($O$1),FALSE)*VLOOKUP($D367,素材!$1:$1016,COLUMN($E$1),FALSE)/(LEN(VLOOKUP($D367,素材!$1:$1016,COLUMN($F$1),FALSE)) - LEN(SUBSTITUTE(VLOOKUP($D367,素材!$1:$1016,COLUMN($F$1),FALSE), "・", 0)) + 1), 0)+IF($CI367&lt;&gt;"",VLOOKUP($CI367,装強!$A$1:BT$1005,COLUMN(装強!BT$1),FALSE),0)</f>
        <v>0</v>
      </c>
      <c r="AY367">
        <f>IF(ISNUMBER(SEARCH(SUBSTITUTE(AY$1,RIGHT(AY$1,2),""),VLOOKUP($D367,素材!$1:$1016,COLUMN($F$1),FALSE))),VLOOKUP($C367,武器!$1:$998,COLUMN($O$1),FALSE)*VLOOKUP($D367,素材!$1:$1016,COLUMN($E$1),FALSE)/(LEN(VLOOKUP($D367,素材!$1:$1016,COLUMN($F$1),FALSE)) - LEN(SUBSTITUTE(VLOOKUP($D367,素材!$1:$1016,COLUMN($F$1),FALSE), "・", 0)) + 1), 0)+IF($CI367&lt;&gt;"",VLOOKUP($CI367,装強!$A$1:BU$1005,COLUMN(装強!BU$1),FALSE),0)</f>
        <v>0</v>
      </c>
      <c r="AZ367">
        <f>IF(ISNUMBER(SEARCH(SUBSTITUTE(AZ$1,RIGHT(AZ$1,2),""),VLOOKUP($D367,素材!$1:$1016,COLUMN($F$1),FALSE))),VLOOKUP($C367,武器!$1:$998,COLUMN($O$1),FALSE)*VLOOKUP($D367,素材!$1:$1016,COLUMN($E$1),FALSE)/(LEN(VLOOKUP($D367,素材!$1:$1016,COLUMN($F$1),FALSE)) - LEN(SUBSTITUTE(VLOOKUP($D367,素材!$1:$1016,COLUMN($F$1),FALSE), "・", 0)) + 1), 0)+IF($CI367&lt;&gt;"",VLOOKUP($CI367,装強!$A$1:BV$1005,COLUMN(装強!BV$1),FALSE),0)</f>
        <v>0</v>
      </c>
      <c r="BA367">
        <f>IF(ISNUMBER(SEARCH(SUBSTITUTE(BA$1,RIGHT(BA$1,2),""),VLOOKUP($D367,素材!$1:$1016,COLUMN($F$1),FALSE))),VLOOKUP($C367,武器!$1:$998,COLUMN($O$1),FALSE)*VLOOKUP($D367,素材!$1:$1016,COLUMN($E$1),FALSE)/(LEN(VLOOKUP($D367,素材!$1:$1016,COLUMN($F$1),FALSE)) - LEN(SUBSTITUTE(VLOOKUP($D367,素材!$1:$1016,COLUMN($F$1),FALSE), "・", 0)) + 1), 0)+IF($CI367&lt;&gt;"",VLOOKUP($CI367,装強!$A$1:BW$1005,COLUMN(装強!BW$1),FALSE),0)</f>
        <v>0</v>
      </c>
      <c r="BB367">
        <f>IF(ISNUMBER(SEARCH(SUBSTITUTE(BB$1,RIGHT(BB$1,2),""),VLOOKUP($D367,素材!$1:$1016,COLUMN($F$1),FALSE))),VLOOKUP($C367,武器!$1:$998,COLUMN($O$1),FALSE)*VLOOKUP($D367,素材!$1:$1016,COLUMN($E$1),FALSE)/(LEN(VLOOKUP($D367,素材!$1:$1016,COLUMN($F$1),FALSE)) - LEN(SUBSTITUTE(VLOOKUP($D367,素材!$1:$1016,COLUMN($F$1),FALSE), "・", 0)) + 1), 0)+IF($CI367&lt;&gt;"",VLOOKUP($CI367,装強!$A$1:BX$1005,COLUMN(装強!BX$1),FALSE),0)</f>
        <v>0</v>
      </c>
      <c r="BC367">
        <f>IF(ISNUMBER(SEARCH(SUBSTITUTE(BC$1,RIGHT(BC$1,2),""),VLOOKUP($D367,素材!$1:$1016,COLUMN($F$1),FALSE))),VLOOKUP($C367,武器!$1:$998,COLUMN($O$1),FALSE)*VLOOKUP($D367,素材!$1:$1016,COLUMN($E$1),FALSE)/(LEN(VLOOKUP($D367,素材!$1:$1016,COLUMN($F$1),FALSE)) - LEN(SUBSTITUTE(VLOOKUP($D367,素材!$1:$1016,COLUMN($F$1),FALSE), "・", 0)) + 1), 0)+IF($CI367&lt;&gt;"",VLOOKUP($CI367,装強!$A$1:BY$1005,COLUMN(装強!BY$1),FALSE),0)</f>
        <v>0</v>
      </c>
      <c r="BD367">
        <f>IF(ISNUMBER(SEARCH(SUBSTITUTE(BD$1,RIGHT(BD$1,2),""),VLOOKUP($D367,素材!$1:$1016,COLUMN($F$1),FALSE))),VLOOKUP($C367,武器!$1:$998,COLUMN($O$1),FALSE)*VLOOKUP($D367,素材!$1:$1016,COLUMN($E$1),FALSE)/(LEN(VLOOKUP($D367,素材!$1:$1016,COLUMN($F$1),FALSE)) - LEN(SUBSTITUTE(VLOOKUP($D367,素材!$1:$1016,COLUMN($F$1),FALSE), "・", 0)) + 1), 0)+IF($CI367&lt;&gt;"",VLOOKUP($CI367,装強!$A$1:BZ$1005,COLUMN(装強!BZ$1),FALSE),0)</f>
        <v>0</v>
      </c>
      <c r="BE367">
        <f>IF(ISNUMBER(SEARCH(SUBSTITUTE(BE$1,RIGHT(BE$1,2),""),VLOOKUP($D367,素材!$1:$1016,COLUMN($F$1),FALSE))),VLOOKUP($C367,武器!$1:$998,COLUMN($O$1),FALSE)*VLOOKUP($D367,素材!$1:$1016,COLUMN($E$1),FALSE)/(LEN(VLOOKUP($D367,素材!$1:$1016,COLUMN($F$1),FALSE)) - LEN(SUBSTITUTE(VLOOKUP($D367,素材!$1:$1016,COLUMN($F$1),FALSE), "・", 0)) + 1), 0)+IF($CI367&lt;&gt;"",VLOOKUP($CI367,装強!$A$1:CA$1005,COLUMN(装強!CA$1),FALSE),0)</f>
        <v>0</v>
      </c>
      <c r="CI367" t="s">
        <v>14</v>
      </c>
      <c r="CL367">
        <f>SUM(G367:I367)</f>
        <v>0</v>
      </c>
      <c r="CM367" s="22" t="str">
        <f>IF(E367="武器",IF(J367-1&gt;SUM(G367:I367),"盾",IF(MAX(G367:I367)=G367,"切断",IF(MAX(G367:I367)=H367,"貫通",IF(MAX(G367:I367)=I367,"打撃","射撃")))),E367)&amp;".webp"</f>
        <v>装飾.webp</v>
      </c>
      <c r="CN367">
        <f>IFERROR(VLOOKUP($C367,武器!$1:$998,COLUMN(V$1),FALSE)*VLOOKUP($D367,素材!$1:$1016,COLUMN(N$1),FALSE)+IF(CI367="",0,VLOOKUP($CI367,装強!$1:$1008,COLUMN($CK$1),FALSE)),"")</f>
        <v>5500</v>
      </c>
      <c r="CO367" t="str">
        <f>VLOOKUP(D367,素材!$A:$O,COLUMN(素材!O$1),FALSE)</f>
        <v>炎属性を持つドラゴン型生物から採取される鱗素材。強力な炎属性防御を備えており、耐熱性が求められる場面で特に有用です。</v>
      </c>
      <c r="CP367" t="str">
        <f>VLOOKUP(C367,武器!$A:$W,COLUMN(武器!W$1),FALSE)</f>
        <v xml:space="preserve">防御 隠密 </v>
      </c>
      <c r="CR367" t="str">
        <f t="shared" si="39"/>
        <v>e_367</v>
      </c>
      <c r="CS367">
        <f t="shared" ref="CS367:CS370" si="40">CN367*100</f>
        <v>550000</v>
      </c>
    </row>
    <row r="368" spans="1:97" ht="37.5" outlineLevel="1" x14ac:dyDescent="0.4">
      <c r="A368" s="1" t="s">
        <v>1266</v>
      </c>
      <c r="B368" t="str">
        <f>IFERROR(VLOOKUP($D368,素材!$1:$1016,COLUMN($B$1),FALSE)&amp;"・"&amp;VLOOKUP($C368,武器!$1:$998,COLUMN(B$1),FALSE),"")</f>
        <v>アイスドレイクスケール・マント</v>
      </c>
      <c r="C368" t="s">
        <v>1264</v>
      </c>
      <c r="D368" s="24" t="s">
        <v>248</v>
      </c>
      <c r="E368" t="str">
        <f>IFERROR(VLOOKUP(C368,武器!$1:$998,COLUMN(C$1),FALSE),"")</f>
        <v>装飾</v>
      </c>
      <c r="F368">
        <f>IFERROR(ROUNDDOWN((VLOOKUP($C368,武器!$1:$998,COLUMN(D$1),FALSE)+IFERROR(VLOOKUP($CI368,装強!$1:$999,COLUMN(F$1),FALSE),0))*VLOOKUP($D368,素材!$1:$1016,COLUMN(D$1),FALSE),0),"")</f>
        <v>0</v>
      </c>
      <c r="G368">
        <f>IFERROR(ROUNDDOWN((VLOOKUP($C368,武器!$1:$998,COLUMN(E$1),FALSE)+IFERROR(VLOOKUP($CI368,装強!$1:$999,COLUMN(G$1),FALSE),0))*VLOOKUP($D368,素材!$1:$1016,COLUMN($E$1),FALSE),0),"")</f>
        <v>0</v>
      </c>
      <c r="H368">
        <f>IFERROR(ROUNDDOWN((VLOOKUP($C368,武器!$1:$998,COLUMN(F$1),FALSE)+IFERROR(VLOOKUP($CI368,装強!$1:$999,COLUMN(H$1),FALSE),0))*VLOOKUP($D368,素材!$1:$1016,COLUMN($E$1),FALSE),0),"")</f>
        <v>0</v>
      </c>
      <c r="I368">
        <f>IFERROR(ROUNDDOWN((VLOOKUP($C368,武器!$1:$998,COLUMN(G$1),FALSE)+IFERROR(VLOOKUP($CI368,装強!$1:$999,COLUMN(I$1),FALSE),0))*VLOOKUP($D368,素材!$1:$1016,COLUMN($E$1),FALSE),0),"")</f>
        <v>0</v>
      </c>
      <c r="J368">
        <f>IFERROR(ROUNDDOWN((VLOOKUP($C368,武器!$1:$998,COLUMN(H$1),FALSE)+IFERROR(VLOOKUP($CI368,装強!$1:$999,COLUMN(J$1),FALSE),0))*VLOOKUP($D368,素材!$1:$1016,COLUMN($E$1),FALSE),0),"")</f>
        <v>0</v>
      </c>
      <c r="K368">
        <f>IFERROR(ROUNDDOWN((VLOOKUP($C368,武器!$1:$998,COLUMN(I$1),FALSE)+IFERROR(VLOOKUP($CI368,装強!$1:$999,COLUMN(K$1),FALSE),0))*VLOOKUP($D368,素材!$1:$1016,COLUMN($E$1),FALSE),0),"")</f>
        <v>0</v>
      </c>
      <c r="L368" t="str">
        <f>IFERROR(VLOOKUP($D368,素材!$1:$1016,COLUMN($F$1),FALSE),"")</f>
        <v>氷</v>
      </c>
      <c r="M368">
        <f>IFERROR(VLOOKUP($C368,武器!$1:$998,COLUMN(AA$1),FALSE)*VLOOKUP($D368,素材!$1:$1016,COLUMN($G$1),FALSE),"")</f>
        <v>0</v>
      </c>
      <c r="N368">
        <f>IFERROR(VLOOKUP($C368,武器!$1:$998,COLUMN(I$1),FALSE),"")</f>
        <v>0</v>
      </c>
      <c r="O368" s="23" t="str">
        <f>IFERROR((VLOOKUP($C368,武器!$1:$998,COLUMN(K$1),FALSE)+VLOOKUP($D368,素材!$1:$1016,COLUMN(H$1),FALSE))*100+IFERROR(VLOOKUP($CI368,装強!$1:$999,COLUMN(O$1),FALSE),0),"")</f>
        <v/>
      </c>
      <c r="P368" s="23" t="str">
        <f>IFERROR((VLOOKUP($C368,武器!$1:$998,COLUMN(L$1),FALSE)+VLOOKUP($D368,素材!$1:$1016,COLUMN(I$1),FALSE))*100+IFERROR(VLOOKUP($CI368,装強!$1:$999,COLUMN(P$1),FALSE),0),"")</f>
        <v/>
      </c>
      <c r="Q368">
        <f>IFERROR(ROUNDUP(VLOOKUP($C368,武器!$1:$998,COLUMN(M$1),FALSE)*(VLOOKUP($D368,素材!$1:$1002,COLUMN(D$1),FALSE)/100),1),"")</f>
        <v>0</v>
      </c>
      <c r="R368">
        <f>IFERROR(ROUNDUP(VLOOKUP($C368,武器!$1:$998,COLUMN(N$1),FALSE)*(VLOOKUP($D368,素材!$1:$1002,COLUMN(D$1),FALSE)/100),1),"")</f>
        <v>0</v>
      </c>
      <c r="S368">
        <f>IFERROR(VLOOKUP($C368,武器!$1:$998,COLUMN(P$1),FALSE),"")</f>
        <v>0</v>
      </c>
      <c r="T368">
        <f>IFERROR(VLOOKUP($C368,武器!$1:$998,COLUMN(Q$1),FALSE),"")</f>
        <v>0</v>
      </c>
      <c r="U368">
        <f>IFERROR(VLOOKUP($C368,武器!$1:$998,COLUMN(R$1),FALSE),"")</f>
        <v>0</v>
      </c>
      <c r="V368">
        <f>IFERROR(VLOOKUP($C368,武器!$1:$998,COLUMN(Q$1),FALSE),"")</f>
        <v>0</v>
      </c>
      <c r="W368">
        <f>IFERROR(VLOOKUP($C368,武器!$1:$998,COLUMN(T$1),FALSE),"")</f>
        <v>0</v>
      </c>
      <c r="Y368">
        <f>IFERROR(VLOOKUP($C368,武器!$1:$998,COLUMN(U$1),FALSE),"")</f>
        <v>0</v>
      </c>
      <c r="Z368">
        <f>IFERROR(ROUNDUP(VLOOKUP($C368,武器!$1:$998,COLUMN(O$1),FALSE)*VLOOKUP($D368,素材!$1:$1016,COLUMN(E$1),FALSE),1),"")</f>
        <v>0</v>
      </c>
      <c r="AA368">
        <f>IF(ISNUMBER(SEARCH(SUBSTITUTE(AA$1,RIGHT(AA$1,2),""),VLOOKUP($D368,素材!$1:$1016,COLUMN($F$1),FALSE))),VLOOKUP($C368,武器!$1:$998,COLUMN($O$1),FALSE)*VLOOKUP($D368,素材!$1:$1016,COLUMN($E$1),FALSE)/(LEN(VLOOKUP($D368,素材!$1:$1016,COLUMN($F$1),FALSE)) - LEN(SUBSTITUTE(VLOOKUP($D368,素材!$1:$1016,COLUMN($F$1),FALSE), "・", 0)) + 1), 0)</f>
        <v>0</v>
      </c>
      <c r="AB368">
        <f>IF(ISNUMBER(SEARCH(SUBSTITUTE(AB$1,RIGHT(AB$1,2),""),VLOOKUP($D368,素材!$1:$1016,COLUMN($F$1),FALSE))),VLOOKUP($C368,武器!$1:$998,COLUMN($O$1),FALSE)*VLOOKUP($D368,素材!$1:$1016,COLUMN($E$1),FALSE)/(LEN(VLOOKUP($D368,素材!$1:$1016,COLUMN($F$1),FALSE)) - LEN(SUBSTITUTE(VLOOKUP($D368,素材!$1:$1016,COLUMN($F$1),FALSE), "・", 0)) + 1), 0)</f>
        <v>0</v>
      </c>
      <c r="AC368">
        <f>IF(ISNUMBER(SEARCH(SUBSTITUTE(AC$1,RIGHT(AC$1,2),""),VLOOKUP($D368,素材!$1:$1016,COLUMN($F$1),FALSE))),VLOOKUP($C368,武器!$1:$998,COLUMN($O$1),FALSE)*VLOOKUP($D368,素材!$1:$1016,COLUMN($E$1),FALSE)/(LEN(VLOOKUP($D368,素材!$1:$1016,COLUMN($F$1),FALSE)) - LEN(SUBSTITUTE(VLOOKUP($D368,素材!$1:$1016,COLUMN($F$1),FALSE), "・", 0)) + 1), 0)</f>
        <v>0</v>
      </c>
      <c r="AD368">
        <f>IF(ISNUMBER(SEARCH(SUBSTITUTE(AD$1,RIGHT(AD$1,2),""),VLOOKUP($D368,素材!$1:$1016,COLUMN($F$1),FALSE))),VLOOKUP($C368,武器!$1:$998,COLUMN($O$1),FALSE)*VLOOKUP($D368,素材!$1:$1016,COLUMN($E$1),FALSE)/(LEN(VLOOKUP($D368,素材!$1:$1016,COLUMN($F$1),FALSE)) - LEN(SUBSTITUTE(VLOOKUP($D368,素材!$1:$1016,COLUMN($F$1),FALSE), "・", 0)) + 1), 0)</f>
        <v>0</v>
      </c>
      <c r="AE368">
        <f>IF(ISNUMBER(SEARCH(SUBSTITUTE(AE$1,RIGHT(AE$1,2),""),VLOOKUP($D368,素材!$1:$1016,COLUMN($F$1),FALSE))),VLOOKUP($C368,武器!$1:$998,COLUMN($O$1),FALSE)*VLOOKUP($D368,素材!$1:$1016,COLUMN($E$1),FALSE)/(LEN(VLOOKUP($D368,素材!$1:$1016,COLUMN($F$1),FALSE)) - LEN(SUBSTITUTE(VLOOKUP($D368,素材!$1:$1016,COLUMN($F$1),FALSE), "・", 0)) + 1), 0)+IF($CI368&lt;&gt;"",VLOOKUP($CI368,装強!$A$1:AZ$1005,COLUMN(装強!AZ$1),FALSE),0)</f>
        <v>0</v>
      </c>
      <c r="AF368">
        <f>IF(ISNUMBER(SEARCH(SUBSTITUTE(AF$1,RIGHT(AF$1,2),""),VLOOKUP($D368,素材!$1:$1016,COLUMN($F$1),FALSE))),VLOOKUP($C368,武器!$1:$998,COLUMN($O$1),FALSE)*VLOOKUP($D368,素材!$1:$1016,COLUMN($E$1),FALSE)/(LEN(VLOOKUP($D368,素材!$1:$1016,COLUMN($F$1),FALSE)) - LEN(SUBSTITUTE(VLOOKUP($D368,素材!$1:$1016,COLUMN($F$1),FALSE), "・", 0)) + 1), 0)+IF($CI368&lt;&gt;"",VLOOKUP($CI368,装強!$A$1:BA$1005,COLUMN(装強!BA$1),FALSE),0)</f>
        <v>15</v>
      </c>
      <c r="AG368">
        <f>IF(ISNUMBER(SEARCH(SUBSTITUTE(AG$1,RIGHT(AG$1,2),""),VLOOKUP($D368,素材!$1:$1016,COLUMN($F$1),FALSE))),VLOOKUP($C368,武器!$1:$998,COLUMN($O$1),FALSE)*VLOOKUP($D368,素材!$1:$1016,COLUMN($E$1),FALSE)/(LEN(VLOOKUP($D368,素材!$1:$1016,COLUMN($F$1),FALSE)) - LEN(SUBSTITUTE(VLOOKUP($D368,素材!$1:$1016,COLUMN($F$1),FALSE), "・", 0)) + 1), 0)+IF($CI368&lt;&gt;"",VLOOKUP($CI368,装強!$A$1:BB$1005,COLUMN(装強!BB$1),FALSE),0)</f>
        <v>0</v>
      </c>
      <c r="AH368">
        <f>IF(ISNUMBER(SEARCH(SUBSTITUTE(AH$1,RIGHT(AH$1,2),""),VLOOKUP($D368,素材!$1:$1016,COLUMN($F$1),FALSE))),VLOOKUP($C368,武器!$1:$998,COLUMN($O$1),FALSE)*VLOOKUP($D368,素材!$1:$1016,COLUMN($E$1),FALSE)/(LEN(VLOOKUP($D368,素材!$1:$1016,COLUMN($F$1),FALSE)) - LEN(SUBSTITUTE(VLOOKUP($D368,素材!$1:$1016,COLUMN($F$1),FALSE), "・", 0)) + 1), 0)+IF($CI368&lt;&gt;"",VLOOKUP($CI368,装強!$A$1:BC$1005,COLUMN(装強!BC$1),FALSE),0)</f>
        <v>0</v>
      </c>
      <c r="AI368">
        <f>IF(ISNUMBER(SEARCH(SUBSTITUTE(AI$1,RIGHT(AI$1,2),""),VLOOKUP($D368,素材!$1:$1016,COLUMN($F$1),FALSE))),VLOOKUP($C368,武器!$1:$998,COLUMN($O$1),FALSE)*VLOOKUP($D368,素材!$1:$1016,COLUMN($E$1),FALSE)/(LEN(VLOOKUP($D368,素材!$1:$1016,COLUMN($F$1),FALSE)) - LEN(SUBSTITUTE(VLOOKUP($D368,素材!$1:$1016,COLUMN($F$1),FALSE), "・", 0)) + 1), 0)+IF($CI368&lt;&gt;"",VLOOKUP($CI368,装強!$A$1:BD$1005,COLUMN(装強!BD$1),FALSE),0)</f>
        <v>0</v>
      </c>
      <c r="AJ368">
        <f>IF(ISNUMBER(SEARCH(SUBSTITUTE(AJ$1,RIGHT(AJ$1,2),""),VLOOKUP($D368,素材!$1:$1016,COLUMN($F$1),FALSE))),VLOOKUP($C368,武器!$1:$998,COLUMN($O$1),FALSE)*VLOOKUP($D368,素材!$1:$1016,COLUMN($E$1),FALSE)/(LEN(VLOOKUP($D368,素材!$1:$1016,COLUMN($F$1),FALSE)) - LEN(SUBSTITUTE(VLOOKUP($D368,素材!$1:$1016,COLUMN($F$1),FALSE), "・", 0)) + 1), 0)+IF($CI368&lt;&gt;"",VLOOKUP($CI368,装強!$A$1:BE$1005,COLUMN(装強!BE$1),FALSE),0)</f>
        <v>0</v>
      </c>
      <c r="AK368">
        <f>IF(ISNUMBER(SEARCH(SUBSTITUTE(AK$1,RIGHT(AK$1,2),""),VLOOKUP($D368,素材!$1:$1016,COLUMN($F$1),FALSE))),VLOOKUP($C368,武器!$1:$998,COLUMN($O$1),FALSE)*VLOOKUP($D368,素材!$1:$1016,COLUMN($E$1),FALSE)/(LEN(VLOOKUP($D368,素材!$1:$1016,COLUMN($F$1),FALSE)) - LEN(SUBSTITUTE(VLOOKUP($D368,素材!$1:$1016,COLUMN($F$1),FALSE), "・", 0)) + 1), 0)+IF($CI368&lt;&gt;"",VLOOKUP($CI368,装強!$A$1:BF$1005,COLUMN(装強!BF$1),FALSE),0)</f>
        <v>0</v>
      </c>
      <c r="AL368">
        <f>IF(ISNUMBER(SEARCH(SUBSTITUTE(AL$1,RIGHT(AL$1,2),""),VLOOKUP($D368,素材!$1:$1016,COLUMN($F$1),FALSE))),VLOOKUP($C368,武器!$1:$998,COLUMN($O$1),FALSE)*VLOOKUP($D368,素材!$1:$1016,COLUMN($E$1),FALSE)/(LEN(VLOOKUP($D368,素材!$1:$1016,COLUMN($F$1),FALSE)) - LEN(SUBSTITUTE(VLOOKUP($D368,素材!$1:$1016,COLUMN($F$1),FALSE), "・", 0)) + 1), 0)+IF($CI368&lt;&gt;"",VLOOKUP($CI368,装強!$A$1:BG$1005,COLUMN(装強!BG$1),FALSE),0)</f>
        <v>0</v>
      </c>
      <c r="AM368">
        <f>IF(ISNUMBER(SEARCH(SUBSTITUTE(AM$1,RIGHT(AM$1,2),""),VLOOKUP($D368,素材!$1:$1016,COLUMN($F$1),FALSE))),VLOOKUP($C368,武器!$1:$998,COLUMN($O$1),FALSE)*VLOOKUP($D368,素材!$1:$1016,COLUMN($E$1),FALSE)/(LEN(VLOOKUP($D368,素材!$1:$1016,COLUMN($F$1),FALSE)) - LEN(SUBSTITUTE(VLOOKUP($D368,素材!$1:$1016,COLUMN($F$1),FALSE), "・", 0)) + 1), 0)+IF($CI368&lt;&gt;"",VLOOKUP($CI368,装強!$A$1:BH$1005,COLUMN(装強!BH$1),FALSE),0)</f>
        <v>0</v>
      </c>
      <c r="AN368">
        <f>IF(ISNUMBER(SEARCH(SUBSTITUTE(AN$1,RIGHT(AN$1,2),""),VLOOKUP($D368,素材!$1:$1016,COLUMN($F$1),FALSE))),VLOOKUP($C368,武器!$1:$998,COLUMN($O$1),FALSE)*VLOOKUP($D368,素材!$1:$1016,COLUMN($E$1),FALSE)/(LEN(VLOOKUP($D368,素材!$1:$1016,COLUMN($F$1),FALSE)) - LEN(SUBSTITUTE(VLOOKUP($D368,素材!$1:$1016,COLUMN($F$1),FALSE), "・", 0)) + 1), 0)+IF($CI368&lt;&gt;"",VLOOKUP($CI368,装強!$A$1:BI$1005,COLUMN(装強!BI$1),FALSE),0)</f>
        <v>0</v>
      </c>
      <c r="AO368">
        <f>IF(ISNUMBER(SEARCH(SUBSTITUTE(AO$1,RIGHT(AO$1,2),""),VLOOKUP($D368,素材!$1:$1016,COLUMN($F$1),FALSE))),VLOOKUP($C368,武器!$1:$998,COLUMN($O$1),FALSE)*VLOOKUP($D368,素材!$1:$1016,COLUMN($E$1),FALSE)/(LEN(VLOOKUP($D368,素材!$1:$1016,COLUMN($F$1),FALSE)) - LEN(SUBSTITUTE(VLOOKUP($D368,素材!$1:$1016,COLUMN($F$1),FALSE), "・", 0)) + 1), 0)+IF($CI368&lt;&gt;"",VLOOKUP($CI368,装強!$A$1:BK$1005,COLUMN(装強!BK$1),FALSE),0)</f>
        <v>0</v>
      </c>
      <c r="AP368">
        <f>IF(ISNUMBER(SEARCH(SUBSTITUTE(AP$1,RIGHT(AP$1,2),""),VLOOKUP($D368,素材!$1:$1016,COLUMN($F$1),FALSE))),VLOOKUP($C368,武器!$1:$998,COLUMN($O$1),FALSE)*VLOOKUP($D368,素材!$1:$1016,COLUMN($E$1),FALSE)/(LEN(VLOOKUP($D368,素材!$1:$1016,COLUMN($F$1),FALSE)) - LEN(SUBSTITUTE(VLOOKUP($D368,素材!$1:$1016,COLUMN($F$1),FALSE), "・", 0)) + 1), 0)+IF($CI368&lt;&gt;"",VLOOKUP($CI368,装強!$A$1:BL$1005,COLUMN(装強!BL$1),FALSE),0)</f>
        <v>0</v>
      </c>
      <c r="AQ368">
        <f>IF(ISNUMBER(SEARCH(SUBSTITUTE(AQ$1,RIGHT(AQ$1,2),""),VLOOKUP($D368,素材!$1:$1016,COLUMN($F$1),FALSE))),VLOOKUP($C368,武器!$1:$998,COLUMN($O$1),FALSE)*VLOOKUP($D368,素材!$1:$1016,COLUMN($E$1),FALSE)/(LEN(VLOOKUP($D368,素材!$1:$1016,COLUMN($F$1),FALSE)) - LEN(SUBSTITUTE(VLOOKUP($D368,素材!$1:$1016,COLUMN($F$1),FALSE), "・", 0)) + 1), 0)+IF($CI368&lt;&gt;"",VLOOKUP($CI368,装強!$A$1:BM$1005,COLUMN(装強!BM$1),FALSE),0)</f>
        <v>0</v>
      </c>
      <c r="AR368">
        <f>IF(ISNUMBER(SEARCH(SUBSTITUTE(AR$1,RIGHT(AR$1,2),""),VLOOKUP($D368,素材!$1:$1016,COLUMN($F$1),FALSE))),VLOOKUP($C368,武器!$1:$998,COLUMN($O$1),FALSE)*VLOOKUP($D368,素材!$1:$1016,COLUMN($E$1),FALSE)/(LEN(VLOOKUP($D368,素材!$1:$1016,COLUMN($F$1),FALSE)) - LEN(SUBSTITUTE(VLOOKUP($D368,素材!$1:$1016,COLUMN($F$1),FALSE), "・", 0)) + 1), 0)+IF($CI368&lt;&gt;"",VLOOKUP($CI368,装強!$A$1:BN$1005,COLUMN(装強!BN$1),FALSE),0)</f>
        <v>0</v>
      </c>
      <c r="AS368">
        <f>IF(ISNUMBER(SEARCH(SUBSTITUTE(AS$1,RIGHT(AS$1,2),""),VLOOKUP($D368,素材!$1:$1016,COLUMN($F$1),FALSE))),VLOOKUP($C368,武器!$1:$998,COLUMN($O$1),FALSE)*VLOOKUP($D368,素材!$1:$1016,COLUMN($E$1),FALSE)/(LEN(VLOOKUP($D368,素材!$1:$1016,COLUMN($F$1),FALSE)) - LEN(SUBSTITUTE(VLOOKUP($D368,素材!$1:$1016,COLUMN($F$1),FALSE), "・", 0)) + 1), 0)+IF($CI368&lt;&gt;"",VLOOKUP($CI368,装強!$A$1:BO$1005,COLUMN(装強!BO$1),FALSE),0)</f>
        <v>0</v>
      </c>
      <c r="AT368">
        <f>IF(ISNUMBER(SEARCH(SUBSTITUTE(AT$1,RIGHT(AT$1,2),""),VLOOKUP($D368,素材!$1:$1016,COLUMN($F$1),FALSE))),VLOOKUP($C368,武器!$1:$998,COLUMN($O$1),FALSE)*VLOOKUP($D368,素材!$1:$1016,COLUMN($E$1),FALSE)/(LEN(VLOOKUP($D368,素材!$1:$1016,COLUMN($F$1),FALSE)) - LEN(SUBSTITUTE(VLOOKUP($D368,素材!$1:$1016,COLUMN($F$1),FALSE), "・", 0)) + 1), 0)+IF($CI368&lt;&gt;"",VLOOKUP($CI368,装強!$A$1:BP$1005,COLUMN(装強!BP$1),FALSE),0)</f>
        <v>0</v>
      </c>
      <c r="AU368">
        <f>IF(ISNUMBER(SEARCH(SUBSTITUTE(AU$1,RIGHT(AU$1,2),""),VLOOKUP($D368,素材!$1:$1016,COLUMN($F$1),FALSE))),VLOOKUP($C368,武器!$1:$998,COLUMN($O$1),FALSE)*VLOOKUP($D368,素材!$1:$1016,COLUMN($E$1),FALSE)/(LEN(VLOOKUP($D368,素材!$1:$1016,COLUMN($F$1),FALSE)) - LEN(SUBSTITUTE(VLOOKUP($D368,素材!$1:$1016,COLUMN($F$1),FALSE), "・", 0)) + 1), 0)+IF($CI368&lt;&gt;"",VLOOKUP($CI368,装強!$A$1:BQ$1005,COLUMN(装強!BQ$1),FALSE),0)</f>
        <v>0</v>
      </c>
      <c r="AV368">
        <f>IF(ISNUMBER(SEARCH(SUBSTITUTE(AV$1,RIGHT(AV$1,2),""),VLOOKUP($D368,素材!$1:$1016,COLUMN($F$1),FALSE))),VLOOKUP($C368,武器!$1:$998,COLUMN($O$1),FALSE)*VLOOKUP($D368,素材!$1:$1016,COLUMN($E$1),FALSE)/(LEN(VLOOKUP($D368,素材!$1:$1016,COLUMN($F$1),FALSE)) - LEN(SUBSTITUTE(VLOOKUP($D368,素材!$1:$1016,COLUMN($F$1),FALSE), "・", 0)) + 1), 0)+IF($CI368&lt;&gt;"",VLOOKUP($CI368,装強!$A$1:BR$1005,COLUMN(装強!BR$1),FALSE),0)</f>
        <v>0</v>
      </c>
      <c r="AW368">
        <f>IF(ISNUMBER(SEARCH(SUBSTITUTE(AW$1,RIGHT(AW$1,2),""),VLOOKUP($D368,素材!$1:$1016,COLUMN($F$1),FALSE))),VLOOKUP($C368,武器!$1:$998,COLUMN($O$1),FALSE)*VLOOKUP($D368,素材!$1:$1016,COLUMN($E$1),FALSE)/(LEN(VLOOKUP($D368,素材!$1:$1016,COLUMN($F$1),FALSE)) - LEN(SUBSTITUTE(VLOOKUP($D368,素材!$1:$1016,COLUMN($F$1),FALSE), "・", 0)) + 1), 0)+IF($CI368&lt;&gt;"",VLOOKUP($CI368,装強!$A$1:BS$1005,COLUMN(装強!BS$1),FALSE),0)</f>
        <v>0</v>
      </c>
      <c r="AX368">
        <f>IF(ISNUMBER(SEARCH(SUBSTITUTE(AX$1,RIGHT(AX$1,2),""),VLOOKUP($D368,素材!$1:$1016,COLUMN($F$1),FALSE))),VLOOKUP($C368,武器!$1:$998,COLUMN($O$1),FALSE)*VLOOKUP($D368,素材!$1:$1016,COLUMN($E$1),FALSE)/(LEN(VLOOKUP($D368,素材!$1:$1016,COLUMN($F$1),FALSE)) - LEN(SUBSTITUTE(VLOOKUP($D368,素材!$1:$1016,COLUMN($F$1),FALSE), "・", 0)) + 1), 0)+IF($CI368&lt;&gt;"",VLOOKUP($CI368,装強!$A$1:BT$1005,COLUMN(装強!BT$1),FALSE),0)</f>
        <v>0</v>
      </c>
      <c r="AY368">
        <f>IF(ISNUMBER(SEARCH(SUBSTITUTE(AY$1,RIGHT(AY$1,2),""),VLOOKUP($D368,素材!$1:$1016,COLUMN($F$1),FALSE))),VLOOKUP($C368,武器!$1:$998,COLUMN($O$1),FALSE)*VLOOKUP($D368,素材!$1:$1016,COLUMN($E$1),FALSE)/(LEN(VLOOKUP($D368,素材!$1:$1016,COLUMN($F$1),FALSE)) - LEN(SUBSTITUTE(VLOOKUP($D368,素材!$1:$1016,COLUMN($F$1),FALSE), "・", 0)) + 1), 0)+IF($CI368&lt;&gt;"",VLOOKUP($CI368,装強!$A$1:BU$1005,COLUMN(装強!BU$1),FALSE),0)</f>
        <v>0</v>
      </c>
      <c r="AZ368">
        <f>IF(ISNUMBER(SEARCH(SUBSTITUTE(AZ$1,RIGHT(AZ$1,2),""),VLOOKUP($D368,素材!$1:$1016,COLUMN($F$1),FALSE))),VLOOKUP($C368,武器!$1:$998,COLUMN($O$1),FALSE)*VLOOKUP($D368,素材!$1:$1016,COLUMN($E$1),FALSE)/(LEN(VLOOKUP($D368,素材!$1:$1016,COLUMN($F$1),FALSE)) - LEN(SUBSTITUTE(VLOOKUP($D368,素材!$1:$1016,COLUMN($F$1),FALSE), "・", 0)) + 1), 0)+IF($CI368&lt;&gt;"",VLOOKUP($CI368,装強!$A$1:BV$1005,COLUMN(装強!BV$1),FALSE),0)</f>
        <v>0</v>
      </c>
      <c r="BA368">
        <f>IF(ISNUMBER(SEARCH(SUBSTITUTE(BA$1,RIGHT(BA$1,2),""),VLOOKUP($D368,素材!$1:$1016,COLUMN($F$1),FALSE))),VLOOKUP($C368,武器!$1:$998,COLUMN($O$1),FALSE)*VLOOKUP($D368,素材!$1:$1016,COLUMN($E$1),FALSE)/(LEN(VLOOKUP($D368,素材!$1:$1016,COLUMN($F$1),FALSE)) - LEN(SUBSTITUTE(VLOOKUP($D368,素材!$1:$1016,COLUMN($F$1),FALSE), "・", 0)) + 1), 0)+IF($CI368&lt;&gt;"",VLOOKUP($CI368,装強!$A$1:BW$1005,COLUMN(装強!BW$1),FALSE),0)</f>
        <v>0</v>
      </c>
      <c r="BB368">
        <f>IF(ISNUMBER(SEARCH(SUBSTITUTE(BB$1,RIGHT(BB$1,2),""),VLOOKUP($D368,素材!$1:$1016,COLUMN($F$1),FALSE))),VLOOKUP($C368,武器!$1:$998,COLUMN($O$1),FALSE)*VLOOKUP($D368,素材!$1:$1016,COLUMN($E$1),FALSE)/(LEN(VLOOKUP($D368,素材!$1:$1016,COLUMN($F$1),FALSE)) - LEN(SUBSTITUTE(VLOOKUP($D368,素材!$1:$1016,COLUMN($F$1),FALSE), "・", 0)) + 1), 0)+IF($CI368&lt;&gt;"",VLOOKUP($CI368,装強!$A$1:BX$1005,COLUMN(装強!BX$1),FALSE),0)</f>
        <v>0</v>
      </c>
      <c r="BC368">
        <f>IF(ISNUMBER(SEARCH(SUBSTITUTE(BC$1,RIGHT(BC$1,2),""),VLOOKUP($D368,素材!$1:$1016,COLUMN($F$1),FALSE))),VLOOKUP($C368,武器!$1:$998,COLUMN($O$1),FALSE)*VLOOKUP($D368,素材!$1:$1016,COLUMN($E$1),FALSE)/(LEN(VLOOKUP($D368,素材!$1:$1016,COLUMN($F$1),FALSE)) - LEN(SUBSTITUTE(VLOOKUP($D368,素材!$1:$1016,COLUMN($F$1),FALSE), "・", 0)) + 1), 0)+IF($CI368&lt;&gt;"",VLOOKUP($CI368,装強!$A$1:BY$1005,COLUMN(装強!BY$1),FALSE),0)</f>
        <v>0</v>
      </c>
      <c r="BD368">
        <f>IF(ISNUMBER(SEARCH(SUBSTITUTE(BD$1,RIGHT(BD$1,2),""),VLOOKUP($D368,素材!$1:$1016,COLUMN($F$1),FALSE))),VLOOKUP($C368,武器!$1:$998,COLUMN($O$1),FALSE)*VLOOKUP($D368,素材!$1:$1016,COLUMN($E$1),FALSE)/(LEN(VLOOKUP($D368,素材!$1:$1016,COLUMN($F$1),FALSE)) - LEN(SUBSTITUTE(VLOOKUP($D368,素材!$1:$1016,COLUMN($F$1),FALSE), "・", 0)) + 1), 0)+IF($CI368&lt;&gt;"",VLOOKUP($CI368,装強!$A$1:BZ$1005,COLUMN(装強!BZ$1),FALSE),0)</f>
        <v>0</v>
      </c>
      <c r="BE368">
        <f>IF(ISNUMBER(SEARCH(SUBSTITUTE(BE$1,RIGHT(BE$1,2),""),VLOOKUP($D368,素材!$1:$1016,COLUMN($F$1),FALSE))),VLOOKUP($C368,武器!$1:$998,COLUMN($O$1),FALSE)*VLOOKUP($D368,素材!$1:$1016,COLUMN($E$1),FALSE)/(LEN(VLOOKUP($D368,素材!$1:$1016,COLUMN($F$1),FALSE)) - LEN(SUBSTITUTE(VLOOKUP($D368,素材!$1:$1016,COLUMN($F$1),FALSE), "・", 0)) + 1), 0)+IF($CI368&lt;&gt;"",VLOOKUP($CI368,装強!$A$1:CA$1005,COLUMN(装強!CA$1),FALSE),0)</f>
        <v>0</v>
      </c>
      <c r="CI368" t="s">
        <v>12</v>
      </c>
      <c r="CL368">
        <f>SUM(G368:I368)</f>
        <v>0</v>
      </c>
      <c r="CM368" s="22" t="str">
        <f>IF(E368="武器",IF(J368-1&gt;SUM(G368:I368),"盾",IF(MAX(G368:I368)=G368,"切断",IF(MAX(G368:I368)=H368,"貫通",IF(MAX(G368:I368)=I368,"打撃","射撃")))),E368)&amp;".webp"</f>
        <v>装飾.webp</v>
      </c>
      <c r="CN368">
        <f>IFERROR(VLOOKUP($C368,武器!$1:$998,COLUMN(V$1),FALSE)*VLOOKUP($D368,素材!$1:$1016,COLUMN(N$1),FALSE)+IF(CI368="",0,VLOOKUP($CI368,装強!$1:$1008,COLUMN($CK$1),FALSE)),"")</f>
        <v>5500</v>
      </c>
      <c r="CO368" t="str">
        <f>VLOOKUP(D368,素材!$A:$O,COLUMN(素材!O$1),FALSE)</f>
        <v>氷属性を持つドラゴン型生物から採取される鱗素材。極寒の環境や冷気攻撃への対策として優れた性能を発揮します。</v>
      </c>
      <c r="CP368" t="str">
        <f>VLOOKUP(C368,武器!$A:$W,COLUMN(武器!W$1),FALSE)</f>
        <v xml:space="preserve">防御 隠密 </v>
      </c>
      <c r="CR368" t="str">
        <f t="shared" si="39"/>
        <v>e_368</v>
      </c>
      <c r="CS368">
        <f t="shared" si="40"/>
        <v>550000</v>
      </c>
    </row>
    <row r="369" spans="1:97" ht="37.5" outlineLevel="1" x14ac:dyDescent="0.4">
      <c r="A369" s="1" t="s">
        <v>1045</v>
      </c>
      <c r="B369" t="str">
        <f>IFERROR(VLOOKUP($D369,素材!$1:$1016,COLUMN($B$1),FALSE)&amp;"・"&amp;VLOOKUP($C369,武器!$1:$998,COLUMN(B$1),FALSE),"")</f>
        <v>サンダードレイクスケール・マント</v>
      </c>
      <c r="C369" t="s">
        <v>1264</v>
      </c>
      <c r="D369" s="24" t="s">
        <v>249</v>
      </c>
      <c r="E369" t="str">
        <f>IFERROR(VLOOKUP(C369,武器!$1:$998,COLUMN(C$1),FALSE),"")</f>
        <v>装飾</v>
      </c>
      <c r="F369">
        <f>IFERROR(ROUNDDOWN((VLOOKUP($C369,武器!$1:$998,COLUMN(D$1),FALSE)+IFERROR(VLOOKUP($CI369,装強!$1:$999,COLUMN(F$1),FALSE),0))*VLOOKUP($D369,素材!$1:$1016,COLUMN(D$1),FALSE),0),"")</f>
        <v>0</v>
      </c>
      <c r="G369">
        <f>IFERROR(ROUNDDOWN((VLOOKUP($C369,武器!$1:$998,COLUMN(E$1),FALSE)+IFERROR(VLOOKUP($CI369,装強!$1:$999,COLUMN(G$1),FALSE),0))*VLOOKUP($D369,素材!$1:$1016,COLUMN($E$1),FALSE),0),"")</f>
        <v>0</v>
      </c>
      <c r="H369">
        <f>IFERROR(ROUNDDOWN((VLOOKUP($C369,武器!$1:$998,COLUMN(F$1),FALSE)+IFERROR(VLOOKUP($CI369,装強!$1:$999,COLUMN(H$1),FALSE),0))*VLOOKUP($D369,素材!$1:$1016,COLUMN($E$1),FALSE),0),"")</f>
        <v>0</v>
      </c>
      <c r="I369">
        <f>IFERROR(ROUNDDOWN((VLOOKUP($C369,武器!$1:$998,COLUMN(G$1),FALSE)+IFERROR(VLOOKUP($CI369,装強!$1:$999,COLUMN(I$1),FALSE),0))*VLOOKUP($D369,素材!$1:$1016,COLUMN($E$1),FALSE),0),"")</f>
        <v>0</v>
      </c>
      <c r="J369">
        <f>IFERROR(ROUNDDOWN((VLOOKUP($C369,武器!$1:$998,COLUMN(H$1),FALSE)+IFERROR(VLOOKUP($CI369,装強!$1:$999,COLUMN(J$1),FALSE),0))*VLOOKUP($D369,素材!$1:$1016,COLUMN($E$1),FALSE),0),"")</f>
        <v>0</v>
      </c>
      <c r="K369">
        <f>IFERROR(ROUNDDOWN((VLOOKUP($C369,武器!$1:$998,COLUMN(I$1),FALSE)+IFERROR(VLOOKUP($CI369,装強!$1:$999,COLUMN(K$1),FALSE),0))*VLOOKUP($D369,素材!$1:$1016,COLUMN($E$1),FALSE),0),"")</f>
        <v>0</v>
      </c>
      <c r="L369" t="str">
        <f>IFERROR(VLOOKUP($D369,素材!$1:$1016,COLUMN($F$1),FALSE),"")</f>
        <v>雷</v>
      </c>
      <c r="M369">
        <f>IFERROR(VLOOKUP($C369,武器!$1:$998,COLUMN(AA$1),FALSE)*VLOOKUP($D369,素材!$1:$1016,COLUMN($G$1),FALSE),"")</f>
        <v>0</v>
      </c>
      <c r="N369">
        <f>IFERROR(VLOOKUP($C369,武器!$1:$998,COLUMN(I$1),FALSE),"")</f>
        <v>0</v>
      </c>
      <c r="O369" s="23" t="str">
        <f>IFERROR((VLOOKUP($C369,武器!$1:$998,COLUMN(K$1),FALSE)+VLOOKUP($D369,素材!$1:$1016,COLUMN(H$1),FALSE))*100+IFERROR(VLOOKUP($CI369,装強!$1:$999,COLUMN(O$1),FALSE),0),"")</f>
        <v/>
      </c>
      <c r="P369" s="23" t="str">
        <f>IFERROR((VLOOKUP($C369,武器!$1:$998,COLUMN(L$1),FALSE)+VLOOKUP($D369,素材!$1:$1016,COLUMN(I$1),FALSE))*100+IFERROR(VLOOKUP($CI369,装強!$1:$999,COLUMN(P$1),FALSE),0),"")</f>
        <v/>
      </c>
      <c r="Q369">
        <f>IFERROR(ROUNDUP(VLOOKUP($C369,武器!$1:$998,COLUMN(M$1),FALSE)*(VLOOKUP($D369,素材!$1:$1002,COLUMN(D$1),FALSE)/100),1),"")</f>
        <v>0</v>
      </c>
      <c r="R369">
        <f>IFERROR(ROUNDUP(VLOOKUP($C369,武器!$1:$998,COLUMN(N$1),FALSE)*(VLOOKUP($D369,素材!$1:$1002,COLUMN(D$1),FALSE)/100),1),"")</f>
        <v>0</v>
      </c>
      <c r="S369">
        <f>IFERROR(VLOOKUP($C369,武器!$1:$998,COLUMN(P$1),FALSE),"")</f>
        <v>0</v>
      </c>
      <c r="T369">
        <f>IFERROR(VLOOKUP($C369,武器!$1:$998,COLUMN(Q$1),FALSE),"")</f>
        <v>0</v>
      </c>
      <c r="U369">
        <f>IFERROR(VLOOKUP($C369,武器!$1:$998,COLUMN(R$1),FALSE),"")</f>
        <v>0</v>
      </c>
      <c r="V369">
        <f>IFERROR(VLOOKUP($C369,武器!$1:$998,COLUMN(Q$1),FALSE),"")</f>
        <v>0</v>
      </c>
      <c r="W369">
        <f>IFERROR(VLOOKUP($C369,武器!$1:$998,COLUMN(T$1),FALSE),"")</f>
        <v>0</v>
      </c>
      <c r="Y369">
        <f>IFERROR(VLOOKUP($C369,武器!$1:$998,COLUMN(U$1),FALSE),"")</f>
        <v>0</v>
      </c>
      <c r="Z369">
        <f>IFERROR(ROUNDUP(VLOOKUP($C369,武器!$1:$998,COLUMN(O$1),FALSE)*VLOOKUP($D369,素材!$1:$1016,COLUMN(E$1),FALSE),1),"")</f>
        <v>0</v>
      </c>
      <c r="AA369">
        <f>IF(ISNUMBER(SEARCH(SUBSTITUTE(AA$1,RIGHT(AA$1,2),""),VLOOKUP($D369,素材!$1:$1016,COLUMN($F$1),FALSE))),VLOOKUP($C369,武器!$1:$998,COLUMN($O$1),FALSE)*VLOOKUP($D369,素材!$1:$1016,COLUMN($E$1),FALSE)/(LEN(VLOOKUP($D369,素材!$1:$1016,COLUMN($F$1),FALSE)) - LEN(SUBSTITUTE(VLOOKUP($D369,素材!$1:$1016,COLUMN($F$1),FALSE), "・", 0)) + 1), 0)</f>
        <v>0</v>
      </c>
      <c r="AB369">
        <f>IF(ISNUMBER(SEARCH(SUBSTITUTE(AB$1,RIGHT(AB$1,2),""),VLOOKUP($D369,素材!$1:$1016,COLUMN($F$1),FALSE))),VLOOKUP($C369,武器!$1:$998,COLUMN($O$1),FALSE)*VLOOKUP($D369,素材!$1:$1016,COLUMN($E$1),FALSE)/(LEN(VLOOKUP($D369,素材!$1:$1016,COLUMN($F$1),FALSE)) - LEN(SUBSTITUTE(VLOOKUP($D369,素材!$1:$1016,COLUMN($F$1),FALSE), "・", 0)) + 1), 0)</f>
        <v>0</v>
      </c>
      <c r="AC369">
        <f>IF(ISNUMBER(SEARCH(SUBSTITUTE(AC$1,RIGHT(AC$1,2),""),VLOOKUP($D369,素材!$1:$1016,COLUMN($F$1),FALSE))),VLOOKUP($C369,武器!$1:$998,COLUMN($O$1),FALSE)*VLOOKUP($D369,素材!$1:$1016,COLUMN($E$1),FALSE)/(LEN(VLOOKUP($D369,素材!$1:$1016,COLUMN($F$1),FALSE)) - LEN(SUBSTITUTE(VLOOKUP($D369,素材!$1:$1016,COLUMN($F$1),FALSE), "・", 0)) + 1), 0)</f>
        <v>0</v>
      </c>
      <c r="AD369">
        <f>IF(ISNUMBER(SEARCH(SUBSTITUTE(AD$1,RIGHT(AD$1,2),""),VLOOKUP($D369,素材!$1:$1016,COLUMN($F$1),FALSE))),VLOOKUP($C369,武器!$1:$998,COLUMN($O$1),FALSE)*VLOOKUP($D369,素材!$1:$1016,COLUMN($E$1),FALSE)/(LEN(VLOOKUP($D369,素材!$1:$1016,COLUMN($F$1),FALSE)) - LEN(SUBSTITUTE(VLOOKUP($D369,素材!$1:$1016,COLUMN($F$1),FALSE), "・", 0)) + 1), 0)</f>
        <v>0</v>
      </c>
      <c r="AE369">
        <f>IF(ISNUMBER(SEARCH(SUBSTITUTE(AE$1,RIGHT(AE$1,2),""),VLOOKUP($D369,素材!$1:$1016,COLUMN($F$1),FALSE))),VLOOKUP($C369,武器!$1:$998,COLUMN($O$1),FALSE)*VLOOKUP($D369,素材!$1:$1016,COLUMN($E$1),FALSE)/(LEN(VLOOKUP($D369,素材!$1:$1016,COLUMN($F$1),FALSE)) - LEN(SUBSTITUTE(VLOOKUP($D369,素材!$1:$1016,COLUMN($F$1),FALSE), "・", 0)) + 1), 0)+IF($CI369&lt;&gt;"",VLOOKUP($CI369,装強!$A$1:AZ$1005,COLUMN(装強!AZ$1),FALSE),0)</f>
        <v>0</v>
      </c>
      <c r="AF369">
        <f>IF(ISNUMBER(SEARCH(SUBSTITUTE(AF$1,RIGHT(AF$1,2),""),VLOOKUP($D369,素材!$1:$1016,COLUMN($F$1),FALSE))),VLOOKUP($C369,武器!$1:$998,COLUMN($O$1),FALSE)*VLOOKUP($D369,素材!$1:$1016,COLUMN($E$1),FALSE)/(LEN(VLOOKUP($D369,素材!$1:$1016,COLUMN($F$1),FALSE)) - LEN(SUBSTITUTE(VLOOKUP($D369,素材!$1:$1016,COLUMN($F$1),FALSE), "・", 0)) + 1), 0)+IF($CI369&lt;&gt;"",VLOOKUP($CI369,装強!$A$1:BA$1005,COLUMN(装強!BA$1),FALSE),0)</f>
        <v>0</v>
      </c>
      <c r="AG369">
        <f>IF(ISNUMBER(SEARCH(SUBSTITUTE(AG$1,RIGHT(AG$1,2),""),VLOOKUP($D369,素材!$1:$1016,COLUMN($F$1),FALSE))),VLOOKUP($C369,武器!$1:$998,COLUMN($O$1),FALSE)*VLOOKUP($D369,素材!$1:$1016,COLUMN($E$1),FALSE)/(LEN(VLOOKUP($D369,素材!$1:$1016,COLUMN($F$1),FALSE)) - LEN(SUBSTITUTE(VLOOKUP($D369,素材!$1:$1016,COLUMN($F$1),FALSE), "・", 0)) + 1), 0)+IF($CI369&lt;&gt;"",VLOOKUP($CI369,装強!$A$1:BB$1005,COLUMN(装強!BB$1),FALSE),0)</f>
        <v>15</v>
      </c>
      <c r="AH369">
        <f>IF(ISNUMBER(SEARCH(SUBSTITUTE(AH$1,RIGHT(AH$1,2),""),VLOOKUP($D369,素材!$1:$1016,COLUMN($F$1),FALSE))),VLOOKUP($C369,武器!$1:$998,COLUMN($O$1),FALSE)*VLOOKUP($D369,素材!$1:$1016,COLUMN($E$1),FALSE)/(LEN(VLOOKUP($D369,素材!$1:$1016,COLUMN($F$1),FALSE)) - LEN(SUBSTITUTE(VLOOKUP($D369,素材!$1:$1016,COLUMN($F$1),FALSE), "・", 0)) + 1), 0)+IF($CI369&lt;&gt;"",VLOOKUP($CI369,装強!$A$1:BC$1005,COLUMN(装強!BC$1),FALSE),0)</f>
        <v>0</v>
      </c>
      <c r="AI369">
        <f>IF(ISNUMBER(SEARCH(SUBSTITUTE(AI$1,RIGHT(AI$1,2),""),VLOOKUP($D369,素材!$1:$1016,COLUMN($F$1),FALSE))),VLOOKUP($C369,武器!$1:$998,COLUMN($O$1),FALSE)*VLOOKUP($D369,素材!$1:$1016,COLUMN($E$1),FALSE)/(LEN(VLOOKUP($D369,素材!$1:$1016,COLUMN($F$1),FALSE)) - LEN(SUBSTITUTE(VLOOKUP($D369,素材!$1:$1016,COLUMN($F$1),FALSE), "・", 0)) + 1), 0)+IF($CI369&lt;&gt;"",VLOOKUP($CI369,装強!$A$1:BD$1005,COLUMN(装強!BD$1),FALSE),0)</f>
        <v>0</v>
      </c>
      <c r="AJ369">
        <f>IF(ISNUMBER(SEARCH(SUBSTITUTE(AJ$1,RIGHT(AJ$1,2),""),VLOOKUP($D369,素材!$1:$1016,COLUMN($F$1),FALSE))),VLOOKUP($C369,武器!$1:$998,COLUMN($O$1),FALSE)*VLOOKUP($D369,素材!$1:$1016,COLUMN($E$1),FALSE)/(LEN(VLOOKUP($D369,素材!$1:$1016,COLUMN($F$1),FALSE)) - LEN(SUBSTITUTE(VLOOKUP($D369,素材!$1:$1016,COLUMN($F$1),FALSE), "・", 0)) + 1), 0)+IF($CI369&lt;&gt;"",VLOOKUP($CI369,装強!$A$1:BE$1005,COLUMN(装強!BE$1),FALSE),0)</f>
        <v>0</v>
      </c>
      <c r="AK369">
        <f>IF(ISNUMBER(SEARCH(SUBSTITUTE(AK$1,RIGHT(AK$1,2),""),VLOOKUP($D369,素材!$1:$1016,COLUMN($F$1),FALSE))),VLOOKUP($C369,武器!$1:$998,COLUMN($O$1),FALSE)*VLOOKUP($D369,素材!$1:$1016,COLUMN($E$1),FALSE)/(LEN(VLOOKUP($D369,素材!$1:$1016,COLUMN($F$1),FALSE)) - LEN(SUBSTITUTE(VLOOKUP($D369,素材!$1:$1016,COLUMN($F$1),FALSE), "・", 0)) + 1), 0)+IF($CI369&lt;&gt;"",VLOOKUP($CI369,装強!$A$1:BF$1005,COLUMN(装強!BF$1),FALSE),0)</f>
        <v>0</v>
      </c>
      <c r="AL369">
        <f>IF(ISNUMBER(SEARCH(SUBSTITUTE(AL$1,RIGHT(AL$1,2),""),VLOOKUP($D369,素材!$1:$1016,COLUMN($F$1),FALSE))),VLOOKUP($C369,武器!$1:$998,COLUMN($O$1),FALSE)*VLOOKUP($D369,素材!$1:$1016,COLUMN($E$1),FALSE)/(LEN(VLOOKUP($D369,素材!$1:$1016,COLUMN($F$1),FALSE)) - LEN(SUBSTITUTE(VLOOKUP($D369,素材!$1:$1016,COLUMN($F$1),FALSE), "・", 0)) + 1), 0)+IF($CI369&lt;&gt;"",VLOOKUP($CI369,装強!$A$1:BG$1005,COLUMN(装強!BG$1),FALSE),0)</f>
        <v>0</v>
      </c>
      <c r="AM369">
        <f>IF(ISNUMBER(SEARCH(SUBSTITUTE(AM$1,RIGHT(AM$1,2),""),VLOOKUP($D369,素材!$1:$1016,COLUMN($F$1),FALSE))),VLOOKUP($C369,武器!$1:$998,COLUMN($O$1),FALSE)*VLOOKUP($D369,素材!$1:$1016,COLUMN($E$1),FALSE)/(LEN(VLOOKUP($D369,素材!$1:$1016,COLUMN($F$1),FALSE)) - LEN(SUBSTITUTE(VLOOKUP($D369,素材!$1:$1016,COLUMN($F$1),FALSE), "・", 0)) + 1), 0)+IF($CI369&lt;&gt;"",VLOOKUP($CI369,装強!$A$1:BH$1005,COLUMN(装強!BH$1),FALSE),0)</f>
        <v>0</v>
      </c>
      <c r="AN369">
        <f>IF(ISNUMBER(SEARCH(SUBSTITUTE(AN$1,RIGHT(AN$1,2),""),VLOOKUP($D369,素材!$1:$1016,COLUMN($F$1),FALSE))),VLOOKUP($C369,武器!$1:$998,COLUMN($O$1),FALSE)*VLOOKUP($D369,素材!$1:$1016,COLUMN($E$1),FALSE)/(LEN(VLOOKUP($D369,素材!$1:$1016,COLUMN($F$1),FALSE)) - LEN(SUBSTITUTE(VLOOKUP($D369,素材!$1:$1016,COLUMN($F$1),FALSE), "・", 0)) + 1), 0)+IF($CI369&lt;&gt;"",VLOOKUP($CI369,装強!$A$1:BI$1005,COLUMN(装強!BI$1),FALSE),0)</f>
        <v>0</v>
      </c>
      <c r="AO369">
        <f>IF(ISNUMBER(SEARCH(SUBSTITUTE(AO$1,RIGHT(AO$1,2),""),VLOOKUP($D369,素材!$1:$1016,COLUMN($F$1),FALSE))),VLOOKUP($C369,武器!$1:$998,COLUMN($O$1),FALSE)*VLOOKUP($D369,素材!$1:$1016,COLUMN($E$1),FALSE)/(LEN(VLOOKUP($D369,素材!$1:$1016,COLUMN($F$1),FALSE)) - LEN(SUBSTITUTE(VLOOKUP($D369,素材!$1:$1016,COLUMN($F$1),FALSE), "・", 0)) + 1), 0)+IF($CI369&lt;&gt;"",VLOOKUP($CI369,装強!$A$1:BK$1005,COLUMN(装強!BK$1),FALSE),0)</f>
        <v>0</v>
      </c>
      <c r="AP369">
        <f>IF(ISNUMBER(SEARCH(SUBSTITUTE(AP$1,RIGHT(AP$1,2),""),VLOOKUP($D369,素材!$1:$1016,COLUMN($F$1),FALSE))),VLOOKUP($C369,武器!$1:$998,COLUMN($O$1),FALSE)*VLOOKUP($D369,素材!$1:$1016,COLUMN($E$1),FALSE)/(LEN(VLOOKUP($D369,素材!$1:$1016,COLUMN($F$1),FALSE)) - LEN(SUBSTITUTE(VLOOKUP($D369,素材!$1:$1016,COLUMN($F$1),FALSE), "・", 0)) + 1), 0)+IF($CI369&lt;&gt;"",VLOOKUP($CI369,装強!$A$1:BL$1005,COLUMN(装強!BL$1),FALSE),0)</f>
        <v>0</v>
      </c>
      <c r="AQ369">
        <f>IF(ISNUMBER(SEARCH(SUBSTITUTE(AQ$1,RIGHT(AQ$1,2),""),VLOOKUP($D369,素材!$1:$1016,COLUMN($F$1),FALSE))),VLOOKUP($C369,武器!$1:$998,COLUMN($O$1),FALSE)*VLOOKUP($D369,素材!$1:$1016,COLUMN($E$1),FALSE)/(LEN(VLOOKUP($D369,素材!$1:$1016,COLUMN($F$1),FALSE)) - LEN(SUBSTITUTE(VLOOKUP($D369,素材!$1:$1016,COLUMN($F$1),FALSE), "・", 0)) + 1), 0)+IF($CI369&lt;&gt;"",VLOOKUP($CI369,装強!$A$1:BM$1005,COLUMN(装強!BM$1),FALSE),0)</f>
        <v>0</v>
      </c>
      <c r="AR369">
        <f>IF(ISNUMBER(SEARCH(SUBSTITUTE(AR$1,RIGHT(AR$1,2),""),VLOOKUP($D369,素材!$1:$1016,COLUMN($F$1),FALSE))),VLOOKUP($C369,武器!$1:$998,COLUMN($O$1),FALSE)*VLOOKUP($D369,素材!$1:$1016,COLUMN($E$1),FALSE)/(LEN(VLOOKUP($D369,素材!$1:$1016,COLUMN($F$1),FALSE)) - LEN(SUBSTITUTE(VLOOKUP($D369,素材!$1:$1016,COLUMN($F$1),FALSE), "・", 0)) + 1), 0)+IF($CI369&lt;&gt;"",VLOOKUP($CI369,装強!$A$1:BN$1005,COLUMN(装強!BN$1),FALSE),0)</f>
        <v>0</v>
      </c>
      <c r="AS369">
        <f>IF(ISNUMBER(SEARCH(SUBSTITUTE(AS$1,RIGHT(AS$1,2),""),VLOOKUP($D369,素材!$1:$1016,COLUMN($F$1),FALSE))),VLOOKUP($C369,武器!$1:$998,COLUMN($O$1),FALSE)*VLOOKUP($D369,素材!$1:$1016,COLUMN($E$1),FALSE)/(LEN(VLOOKUP($D369,素材!$1:$1016,COLUMN($F$1),FALSE)) - LEN(SUBSTITUTE(VLOOKUP($D369,素材!$1:$1016,COLUMN($F$1),FALSE), "・", 0)) + 1), 0)+IF($CI369&lt;&gt;"",VLOOKUP($CI369,装強!$A$1:BO$1005,COLUMN(装強!BO$1),FALSE),0)</f>
        <v>0</v>
      </c>
      <c r="AT369">
        <f>IF(ISNUMBER(SEARCH(SUBSTITUTE(AT$1,RIGHT(AT$1,2),""),VLOOKUP($D369,素材!$1:$1016,COLUMN($F$1),FALSE))),VLOOKUP($C369,武器!$1:$998,COLUMN($O$1),FALSE)*VLOOKUP($D369,素材!$1:$1016,COLUMN($E$1),FALSE)/(LEN(VLOOKUP($D369,素材!$1:$1016,COLUMN($F$1),FALSE)) - LEN(SUBSTITUTE(VLOOKUP($D369,素材!$1:$1016,COLUMN($F$1),FALSE), "・", 0)) + 1), 0)+IF($CI369&lt;&gt;"",VLOOKUP($CI369,装強!$A$1:BP$1005,COLUMN(装強!BP$1),FALSE),0)</f>
        <v>0</v>
      </c>
      <c r="AU369">
        <f>IF(ISNUMBER(SEARCH(SUBSTITUTE(AU$1,RIGHT(AU$1,2),""),VLOOKUP($D369,素材!$1:$1016,COLUMN($F$1),FALSE))),VLOOKUP($C369,武器!$1:$998,COLUMN($O$1),FALSE)*VLOOKUP($D369,素材!$1:$1016,COLUMN($E$1),FALSE)/(LEN(VLOOKUP($D369,素材!$1:$1016,COLUMN($F$1),FALSE)) - LEN(SUBSTITUTE(VLOOKUP($D369,素材!$1:$1016,COLUMN($F$1),FALSE), "・", 0)) + 1), 0)+IF($CI369&lt;&gt;"",VLOOKUP($CI369,装強!$A$1:BQ$1005,COLUMN(装強!BQ$1),FALSE),0)</f>
        <v>0</v>
      </c>
      <c r="AV369">
        <f>IF(ISNUMBER(SEARCH(SUBSTITUTE(AV$1,RIGHT(AV$1,2),""),VLOOKUP($D369,素材!$1:$1016,COLUMN($F$1),FALSE))),VLOOKUP($C369,武器!$1:$998,COLUMN($O$1),FALSE)*VLOOKUP($D369,素材!$1:$1016,COLUMN($E$1),FALSE)/(LEN(VLOOKUP($D369,素材!$1:$1016,COLUMN($F$1),FALSE)) - LEN(SUBSTITUTE(VLOOKUP($D369,素材!$1:$1016,COLUMN($F$1),FALSE), "・", 0)) + 1), 0)+IF($CI369&lt;&gt;"",VLOOKUP($CI369,装強!$A$1:BR$1005,COLUMN(装強!BR$1),FALSE),0)</f>
        <v>0</v>
      </c>
      <c r="AW369">
        <f>IF(ISNUMBER(SEARCH(SUBSTITUTE(AW$1,RIGHT(AW$1,2),""),VLOOKUP($D369,素材!$1:$1016,COLUMN($F$1),FALSE))),VLOOKUP($C369,武器!$1:$998,COLUMN($O$1),FALSE)*VLOOKUP($D369,素材!$1:$1016,COLUMN($E$1),FALSE)/(LEN(VLOOKUP($D369,素材!$1:$1016,COLUMN($F$1),FALSE)) - LEN(SUBSTITUTE(VLOOKUP($D369,素材!$1:$1016,COLUMN($F$1),FALSE), "・", 0)) + 1), 0)+IF($CI369&lt;&gt;"",VLOOKUP($CI369,装強!$A$1:BS$1005,COLUMN(装強!BS$1),FALSE),0)</f>
        <v>0</v>
      </c>
      <c r="AX369">
        <f>IF(ISNUMBER(SEARCH(SUBSTITUTE(AX$1,RIGHT(AX$1,2),""),VLOOKUP($D369,素材!$1:$1016,COLUMN($F$1),FALSE))),VLOOKUP($C369,武器!$1:$998,COLUMN($O$1),FALSE)*VLOOKUP($D369,素材!$1:$1016,COLUMN($E$1),FALSE)/(LEN(VLOOKUP($D369,素材!$1:$1016,COLUMN($F$1),FALSE)) - LEN(SUBSTITUTE(VLOOKUP($D369,素材!$1:$1016,COLUMN($F$1),FALSE), "・", 0)) + 1), 0)+IF($CI369&lt;&gt;"",VLOOKUP($CI369,装強!$A$1:BT$1005,COLUMN(装強!BT$1),FALSE),0)</f>
        <v>0</v>
      </c>
      <c r="AY369">
        <f>IF(ISNUMBER(SEARCH(SUBSTITUTE(AY$1,RIGHT(AY$1,2),""),VLOOKUP($D369,素材!$1:$1016,COLUMN($F$1),FALSE))),VLOOKUP($C369,武器!$1:$998,COLUMN($O$1),FALSE)*VLOOKUP($D369,素材!$1:$1016,COLUMN($E$1),FALSE)/(LEN(VLOOKUP($D369,素材!$1:$1016,COLUMN($F$1),FALSE)) - LEN(SUBSTITUTE(VLOOKUP($D369,素材!$1:$1016,COLUMN($F$1),FALSE), "・", 0)) + 1), 0)+IF($CI369&lt;&gt;"",VLOOKUP($CI369,装強!$A$1:BU$1005,COLUMN(装強!BU$1),FALSE),0)</f>
        <v>0</v>
      </c>
      <c r="AZ369">
        <f>IF(ISNUMBER(SEARCH(SUBSTITUTE(AZ$1,RIGHT(AZ$1,2),""),VLOOKUP($D369,素材!$1:$1016,COLUMN($F$1),FALSE))),VLOOKUP($C369,武器!$1:$998,COLUMN($O$1),FALSE)*VLOOKUP($D369,素材!$1:$1016,COLUMN($E$1),FALSE)/(LEN(VLOOKUP($D369,素材!$1:$1016,COLUMN($F$1),FALSE)) - LEN(SUBSTITUTE(VLOOKUP($D369,素材!$1:$1016,COLUMN($F$1),FALSE), "・", 0)) + 1), 0)+IF($CI369&lt;&gt;"",VLOOKUP($CI369,装強!$A$1:BV$1005,COLUMN(装強!BV$1),FALSE),0)</f>
        <v>0</v>
      </c>
      <c r="BA369">
        <f>IF(ISNUMBER(SEARCH(SUBSTITUTE(BA$1,RIGHT(BA$1,2),""),VLOOKUP($D369,素材!$1:$1016,COLUMN($F$1),FALSE))),VLOOKUP($C369,武器!$1:$998,COLUMN($O$1),FALSE)*VLOOKUP($D369,素材!$1:$1016,COLUMN($E$1),FALSE)/(LEN(VLOOKUP($D369,素材!$1:$1016,COLUMN($F$1),FALSE)) - LEN(SUBSTITUTE(VLOOKUP($D369,素材!$1:$1016,COLUMN($F$1),FALSE), "・", 0)) + 1), 0)+IF($CI369&lt;&gt;"",VLOOKUP($CI369,装強!$A$1:BW$1005,COLUMN(装強!BW$1),FALSE),0)</f>
        <v>0</v>
      </c>
      <c r="BB369">
        <f>IF(ISNUMBER(SEARCH(SUBSTITUTE(BB$1,RIGHT(BB$1,2),""),VLOOKUP($D369,素材!$1:$1016,COLUMN($F$1),FALSE))),VLOOKUP($C369,武器!$1:$998,COLUMN($O$1),FALSE)*VLOOKUP($D369,素材!$1:$1016,COLUMN($E$1),FALSE)/(LEN(VLOOKUP($D369,素材!$1:$1016,COLUMN($F$1),FALSE)) - LEN(SUBSTITUTE(VLOOKUP($D369,素材!$1:$1016,COLUMN($F$1),FALSE), "・", 0)) + 1), 0)+IF($CI369&lt;&gt;"",VLOOKUP($CI369,装強!$A$1:BX$1005,COLUMN(装強!BX$1),FALSE),0)</f>
        <v>0</v>
      </c>
      <c r="BC369">
        <f>IF(ISNUMBER(SEARCH(SUBSTITUTE(BC$1,RIGHT(BC$1,2),""),VLOOKUP($D369,素材!$1:$1016,COLUMN($F$1),FALSE))),VLOOKUP($C369,武器!$1:$998,COLUMN($O$1),FALSE)*VLOOKUP($D369,素材!$1:$1016,COLUMN($E$1),FALSE)/(LEN(VLOOKUP($D369,素材!$1:$1016,COLUMN($F$1),FALSE)) - LEN(SUBSTITUTE(VLOOKUP($D369,素材!$1:$1016,COLUMN($F$1),FALSE), "・", 0)) + 1), 0)+IF($CI369&lt;&gt;"",VLOOKUP($CI369,装強!$A$1:BY$1005,COLUMN(装強!BY$1),FALSE),0)</f>
        <v>0</v>
      </c>
      <c r="BD369">
        <f>IF(ISNUMBER(SEARCH(SUBSTITUTE(BD$1,RIGHT(BD$1,2),""),VLOOKUP($D369,素材!$1:$1016,COLUMN($F$1),FALSE))),VLOOKUP($C369,武器!$1:$998,COLUMN($O$1),FALSE)*VLOOKUP($D369,素材!$1:$1016,COLUMN($E$1),FALSE)/(LEN(VLOOKUP($D369,素材!$1:$1016,COLUMN($F$1),FALSE)) - LEN(SUBSTITUTE(VLOOKUP($D369,素材!$1:$1016,COLUMN($F$1),FALSE), "・", 0)) + 1), 0)+IF($CI369&lt;&gt;"",VLOOKUP($CI369,装強!$A$1:BZ$1005,COLUMN(装強!BZ$1),FALSE),0)</f>
        <v>0</v>
      </c>
      <c r="BE369">
        <f>IF(ISNUMBER(SEARCH(SUBSTITUTE(BE$1,RIGHT(BE$1,2),""),VLOOKUP($D369,素材!$1:$1016,COLUMN($F$1),FALSE))),VLOOKUP($C369,武器!$1:$998,COLUMN($O$1),FALSE)*VLOOKUP($D369,素材!$1:$1016,COLUMN($E$1),FALSE)/(LEN(VLOOKUP($D369,素材!$1:$1016,COLUMN($F$1),FALSE)) - LEN(SUBSTITUTE(VLOOKUP($D369,素材!$1:$1016,COLUMN($F$1),FALSE), "・", 0)) + 1), 0)+IF($CI369&lt;&gt;"",VLOOKUP($CI369,装強!$A$1:CA$1005,COLUMN(装強!CA$1),FALSE),0)</f>
        <v>0</v>
      </c>
      <c r="CI369" t="s">
        <v>10</v>
      </c>
      <c r="CL369">
        <f>SUM(G369:I369)</f>
        <v>0</v>
      </c>
      <c r="CM369" s="22" t="str">
        <f>IF(E369="武器",IF(J369-1&gt;SUM(G369:I369),"盾",IF(MAX(G369:I369)=G369,"切断",IF(MAX(G369:I369)=H369,"貫通",IF(MAX(G369:I369)=I369,"打撃","射撃")))),E369)&amp;".webp"</f>
        <v>装飾.webp</v>
      </c>
      <c r="CN369">
        <f>IFERROR(VLOOKUP($C369,武器!$1:$998,COLUMN(V$1),FALSE)*VLOOKUP($D369,素材!$1:$1016,COLUMN(N$1),FALSE)+IF(CI369="",0,VLOOKUP($CI369,装強!$1:$1008,COLUMN($CK$1),FALSE)),"")</f>
        <v>5500</v>
      </c>
      <c r="CO369" t="str">
        <f>VLOOKUP(D369,素材!$A:$O,COLUMN(素材!O$1),FALSE)</f>
        <v>雷属性を持つドラゴン型生物から採取される鱗素材。雷属性攻撃への耐性を強化し、武器の電撃効果を高めることも可能です。</v>
      </c>
      <c r="CP369" t="str">
        <f>VLOOKUP(C369,武器!$A:$W,COLUMN(武器!W$1),FALSE)</f>
        <v xml:space="preserve">防御 隠密 </v>
      </c>
      <c r="CR369" t="str">
        <f t="shared" si="39"/>
        <v>e_369</v>
      </c>
      <c r="CS369">
        <f t="shared" si="40"/>
        <v>550000</v>
      </c>
    </row>
    <row r="370" spans="1:97" ht="37.5" outlineLevel="1" x14ac:dyDescent="0.4">
      <c r="A370" s="1" t="s">
        <v>1044</v>
      </c>
      <c r="B370" t="str">
        <f>IFERROR(VLOOKUP($D370,素材!$1:$1016,COLUMN($B$1),FALSE)&amp;"・"&amp;VLOOKUP($C370,武器!$1:$998,COLUMN(B$1),FALSE),"")</f>
        <v>アシッドドレイクスケール・マント</v>
      </c>
      <c r="C370" t="s">
        <v>1264</v>
      </c>
      <c r="D370" s="24" t="s">
        <v>953</v>
      </c>
      <c r="E370" t="str">
        <f>IFERROR(VLOOKUP(C370,武器!$1:$998,COLUMN(C$1),FALSE),"")</f>
        <v>装飾</v>
      </c>
      <c r="F370">
        <f>IFERROR(ROUNDDOWN((VLOOKUP($C370,武器!$1:$998,COLUMN(D$1),FALSE)+IFERROR(VLOOKUP($CI370,装強!$1:$999,COLUMN(F$1),FALSE),0))*VLOOKUP($D370,素材!$1:$1016,COLUMN(D$1),FALSE),0),"")</f>
        <v>0</v>
      </c>
      <c r="G370">
        <f>IFERROR(ROUNDDOWN((VLOOKUP($C370,武器!$1:$998,COLUMN(E$1),FALSE)+IFERROR(VLOOKUP($CI370,装強!$1:$999,COLUMN(G$1),FALSE),0))*VLOOKUP($D370,素材!$1:$1016,COLUMN($E$1),FALSE),0),"")</f>
        <v>0</v>
      </c>
      <c r="H370">
        <f>IFERROR(ROUNDDOWN((VLOOKUP($C370,武器!$1:$998,COLUMN(F$1),FALSE)+IFERROR(VLOOKUP($CI370,装強!$1:$999,COLUMN(H$1),FALSE),0))*VLOOKUP($D370,素材!$1:$1016,COLUMN($E$1),FALSE),0),"")</f>
        <v>0</v>
      </c>
      <c r="I370">
        <f>IFERROR(ROUNDDOWN((VLOOKUP($C370,武器!$1:$998,COLUMN(G$1),FALSE)+IFERROR(VLOOKUP($CI370,装強!$1:$999,COLUMN(I$1),FALSE),0))*VLOOKUP($D370,素材!$1:$1016,COLUMN($E$1),FALSE),0),"")</f>
        <v>0</v>
      </c>
      <c r="J370">
        <f>IFERROR(ROUNDDOWN((VLOOKUP($C370,武器!$1:$998,COLUMN(H$1),FALSE)+IFERROR(VLOOKUP($CI370,装強!$1:$999,COLUMN(J$1),FALSE),0))*VLOOKUP($D370,素材!$1:$1016,COLUMN($E$1),FALSE),0),"")</f>
        <v>0</v>
      </c>
      <c r="K370">
        <f>IFERROR(ROUNDDOWN((VLOOKUP($C370,武器!$1:$998,COLUMN(I$1),FALSE)+IFERROR(VLOOKUP($CI370,装強!$1:$999,COLUMN(K$1),FALSE),0))*VLOOKUP($D370,素材!$1:$1016,COLUMN($E$1),FALSE),0),"")</f>
        <v>0</v>
      </c>
      <c r="L370" t="str">
        <f>IFERROR(VLOOKUP($D370,素材!$1:$1016,COLUMN($F$1),FALSE),"")</f>
        <v>雷</v>
      </c>
      <c r="M370">
        <f>IFERROR(VLOOKUP($C370,武器!$1:$998,COLUMN(AA$1),FALSE)*VLOOKUP($D370,素材!$1:$1016,COLUMN($G$1),FALSE),"")</f>
        <v>0</v>
      </c>
      <c r="N370">
        <f>IFERROR(VLOOKUP($C370,武器!$1:$998,COLUMN(I$1),FALSE),"")</f>
        <v>0</v>
      </c>
      <c r="O370" s="23" t="str">
        <f>IFERROR((VLOOKUP($C370,武器!$1:$998,COLUMN(K$1),FALSE)+VLOOKUP($D370,素材!$1:$1016,COLUMN(H$1),FALSE))*100+IFERROR(VLOOKUP($CI370,装強!$1:$999,COLUMN(O$1),FALSE),0),"")</f>
        <v/>
      </c>
      <c r="P370" s="23" t="str">
        <f>IFERROR((VLOOKUP($C370,武器!$1:$998,COLUMN(L$1),FALSE)+VLOOKUP($D370,素材!$1:$1016,COLUMN(I$1),FALSE))*100+IFERROR(VLOOKUP($CI370,装強!$1:$999,COLUMN(P$1),FALSE),0),"")</f>
        <v/>
      </c>
      <c r="Q370">
        <f>IFERROR(ROUNDUP(VLOOKUP($C370,武器!$1:$998,COLUMN(M$1),FALSE)*(VLOOKUP($D370,素材!$1:$1002,COLUMN(D$1),FALSE)/100),1),"")</f>
        <v>0</v>
      </c>
      <c r="R370">
        <f>IFERROR(ROUNDUP(VLOOKUP($C370,武器!$1:$998,COLUMN(N$1),FALSE)*(VLOOKUP($D370,素材!$1:$1002,COLUMN(D$1),FALSE)/100),1),"")</f>
        <v>0</v>
      </c>
      <c r="S370">
        <f>IFERROR(VLOOKUP($C370,武器!$1:$998,COLUMN(P$1),FALSE),"")</f>
        <v>0</v>
      </c>
      <c r="T370">
        <f>IFERROR(VLOOKUP($C370,武器!$1:$998,COLUMN(Q$1),FALSE),"")</f>
        <v>0</v>
      </c>
      <c r="U370">
        <f>IFERROR(VLOOKUP($C370,武器!$1:$998,COLUMN(R$1),FALSE),"")</f>
        <v>0</v>
      </c>
      <c r="V370">
        <f>IFERROR(VLOOKUP($C370,武器!$1:$998,COLUMN(Q$1),FALSE),"")</f>
        <v>0</v>
      </c>
      <c r="W370">
        <f>IFERROR(VLOOKUP($C370,武器!$1:$998,COLUMN(T$1),FALSE),"")</f>
        <v>0</v>
      </c>
      <c r="Y370">
        <f>IFERROR(VLOOKUP($C370,武器!$1:$998,COLUMN(U$1),FALSE),"")</f>
        <v>0</v>
      </c>
      <c r="Z370">
        <f>IFERROR(ROUNDUP(VLOOKUP($C370,武器!$1:$998,COLUMN(O$1),FALSE)*VLOOKUP($D370,素材!$1:$1016,COLUMN(E$1),FALSE),1),"")</f>
        <v>0</v>
      </c>
      <c r="AA370">
        <f>IF(ISNUMBER(SEARCH(SUBSTITUTE(AA$1,RIGHT(AA$1,2),""),VLOOKUP($D370,素材!$1:$1016,COLUMN($F$1),FALSE))),VLOOKUP($C370,武器!$1:$998,COLUMN($O$1),FALSE)*VLOOKUP($D370,素材!$1:$1016,COLUMN($E$1),FALSE)/(LEN(VLOOKUP($D370,素材!$1:$1016,COLUMN($F$1),FALSE)) - LEN(SUBSTITUTE(VLOOKUP($D370,素材!$1:$1016,COLUMN($F$1),FALSE), "・", 0)) + 1), 0)</f>
        <v>0</v>
      </c>
      <c r="AB370">
        <f>IF(ISNUMBER(SEARCH(SUBSTITUTE(AB$1,RIGHT(AB$1,2),""),VLOOKUP($D370,素材!$1:$1016,COLUMN($F$1),FALSE))),VLOOKUP($C370,武器!$1:$998,COLUMN($O$1),FALSE)*VLOOKUP($D370,素材!$1:$1016,COLUMN($E$1),FALSE)/(LEN(VLOOKUP($D370,素材!$1:$1016,COLUMN($F$1),FALSE)) - LEN(SUBSTITUTE(VLOOKUP($D370,素材!$1:$1016,COLUMN($F$1),FALSE), "・", 0)) + 1), 0)</f>
        <v>0</v>
      </c>
      <c r="AC370">
        <f>IF(ISNUMBER(SEARCH(SUBSTITUTE(AC$1,RIGHT(AC$1,2),""),VLOOKUP($D370,素材!$1:$1016,COLUMN($F$1),FALSE))),VLOOKUP($C370,武器!$1:$998,COLUMN($O$1),FALSE)*VLOOKUP($D370,素材!$1:$1016,COLUMN($E$1),FALSE)/(LEN(VLOOKUP($D370,素材!$1:$1016,COLUMN($F$1),FALSE)) - LEN(SUBSTITUTE(VLOOKUP($D370,素材!$1:$1016,COLUMN($F$1),FALSE), "・", 0)) + 1), 0)</f>
        <v>0</v>
      </c>
      <c r="AD370">
        <f>IF(ISNUMBER(SEARCH(SUBSTITUTE(AD$1,RIGHT(AD$1,2),""),VLOOKUP($D370,素材!$1:$1016,COLUMN($F$1),FALSE))),VLOOKUP($C370,武器!$1:$998,COLUMN($O$1),FALSE)*VLOOKUP($D370,素材!$1:$1016,COLUMN($E$1),FALSE)/(LEN(VLOOKUP($D370,素材!$1:$1016,COLUMN($F$1),FALSE)) - LEN(SUBSTITUTE(VLOOKUP($D370,素材!$1:$1016,COLUMN($F$1),FALSE), "・", 0)) + 1), 0)</f>
        <v>0</v>
      </c>
      <c r="AE370">
        <f>IF(ISNUMBER(SEARCH(SUBSTITUTE(AE$1,RIGHT(AE$1,2),""),VLOOKUP($D370,素材!$1:$1016,COLUMN($F$1),FALSE))),VLOOKUP($C370,武器!$1:$998,COLUMN($O$1),FALSE)*VLOOKUP($D370,素材!$1:$1016,COLUMN($E$1),FALSE)/(LEN(VLOOKUP($D370,素材!$1:$1016,COLUMN($F$1),FALSE)) - LEN(SUBSTITUTE(VLOOKUP($D370,素材!$1:$1016,COLUMN($F$1),FALSE), "・", 0)) + 1), 0)+IF($CI370&lt;&gt;"",VLOOKUP($CI370,装強!$A$1:AZ$1005,COLUMN(装強!AZ$1),FALSE),0)</f>
        <v>0</v>
      </c>
      <c r="AF370">
        <f>IF(ISNUMBER(SEARCH(SUBSTITUTE(AF$1,RIGHT(AF$1,2),""),VLOOKUP($D370,素材!$1:$1016,COLUMN($F$1),FALSE))),VLOOKUP($C370,武器!$1:$998,COLUMN($O$1),FALSE)*VLOOKUP($D370,素材!$1:$1016,COLUMN($E$1),FALSE)/(LEN(VLOOKUP($D370,素材!$1:$1016,COLUMN($F$1),FALSE)) - LEN(SUBSTITUTE(VLOOKUP($D370,素材!$1:$1016,COLUMN($F$1),FALSE), "・", 0)) + 1), 0)+IF($CI370&lt;&gt;"",VLOOKUP($CI370,装強!$A$1:BA$1005,COLUMN(装強!BA$1),FALSE),0)</f>
        <v>0</v>
      </c>
      <c r="AG370">
        <f>IF(ISNUMBER(SEARCH(SUBSTITUTE(AG$1,RIGHT(AG$1,2),""),VLOOKUP($D370,素材!$1:$1016,COLUMN($F$1),FALSE))),VLOOKUP($C370,武器!$1:$998,COLUMN($O$1),FALSE)*VLOOKUP($D370,素材!$1:$1016,COLUMN($E$1),FALSE)/(LEN(VLOOKUP($D370,素材!$1:$1016,COLUMN($F$1),FALSE)) - LEN(SUBSTITUTE(VLOOKUP($D370,素材!$1:$1016,COLUMN($F$1),FALSE), "・", 0)) + 1), 0)+IF($CI370&lt;&gt;"",VLOOKUP($CI370,装強!$A$1:BB$1005,COLUMN(装強!BB$1),FALSE),0)</f>
        <v>0</v>
      </c>
      <c r="AH370">
        <f>IF(ISNUMBER(SEARCH(SUBSTITUTE(AH$1,RIGHT(AH$1,2),""),VLOOKUP($D370,素材!$1:$1016,COLUMN($F$1),FALSE))),VLOOKUP($C370,武器!$1:$998,COLUMN($O$1),FALSE)*VLOOKUP($D370,素材!$1:$1016,COLUMN($E$1),FALSE)/(LEN(VLOOKUP($D370,素材!$1:$1016,COLUMN($F$1),FALSE)) - LEN(SUBSTITUTE(VLOOKUP($D370,素材!$1:$1016,COLUMN($F$1),FALSE), "・", 0)) + 1), 0)+IF($CI370&lt;&gt;"",VLOOKUP($CI370,装強!$A$1:BC$1005,COLUMN(装強!BC$1),FALSE),0)</f>
        <v>15</v>
      </c>
      <c r="AI370">
        <f>IF(ISNUMBER(SEARCH(SUBSTITUTE(AI$1,RIGHT(AI$1,2),""),VLOOKUP($D370,素材!$1:$1016,COLUMN($F$1),FALSE))),VLOOKUP($C370,武器!$1:$998,COLUMN($O$1),FALSE)*VLOOKUP($D370,素材!$1:$1016,COLUMN($E$1),FALSE)/(LEN(VLOOKUP($D370,素材!$1:$1016,COLUMN($F$1),FALSE)) - LEN(SUBSTITUTE(VLOOKUP($D370,素材!$1:$1016,COLUMN($F$1),FALSE), "・", 0)) + 1), 0)+IF($CI370&lt;&gt;"",VLOOKUP($CI370,装強!$A$1:BD$1005,COLUMN(装強!BD$1),FALSE),0)</f>
        <v>0</v>
      </c>
      <c r="AJ370">
        <f>IF(ISNUMBER(SEARCH(SUBSTITUTE(AJ$1,RIGHT(AJ$1,2),""),VLOOKUP($D370,素材!$1:$1016,COLUMN($F$1),FALSE))),VLOOKUP($C370,武器!$1:$998,COLUMN($O$1),FALSE)*VLOOKUP($D370,素材!$1:$1016,COLUMN($E$1),FALSE)/(LEN(VLOOKUP($D370,素材!$1:$1016,COLUMN($F$1),FALSE)) - LEN(SUBSTITUTE(VLOOKUP($D370,素材!$1:$1016,COLUMN($F$1),FALSE), "・", 0)) + 1), 0)+IF($CI370&lt;&gt;"",VLOOKUP($CI370,装強!$A$1:BE$1005,COLUMN(装強!BE$1),FALSE),0)</f>
        <v>0</v>
      </c>
      <c r="AK370">
        <f>IF(ISNUMBER(SEARCH(SUBSTITUTE(AK$1,RIGHT(AK$1,2),""),VLOOKUP($D370,素材!$1:$1016,COLUMN($F$1),FALSE))),VLOOKUP($C370,武器!$1:$998,COLUMN($O$1),FALSE)*VLOOKUP($D370,素材!$1:$1016,COLUMN($E$1),FALSE)/(LEN(VLOOKUP($D370,素材!$1:$1016,COLUMN($F$1),FALSE)) - LEN(SUBSTITUTE(VLOOKUP($D370,素材!$1:$1016,COLUMN($F$1),FALSE), "・", 0)) + 1), 0)+IF($CI370&lt;&gt;"",VLOOKUP($CI370,装強!$A$1:BF$1005,COLUMN(装強!BF$1),FALSE),0)</f>
        <v>0</v>
      </c>
      <c r="AL370">
        <f>IF(ISNUMBER(SEARCH(SUBSTITUTE(AL$1,RIGHT(AL$1,2),""),VLOOKUP($D370,素材!$1:$1016,COLUMN($F$1),FALSE))),VLOOKUP($C370,武器!$1:$998,COLUMN($O$1),FALSE)*VLOOKUP($D370,素材!$1:$1016,COLUMN($E$1),FALSE)/(LEN(VLOOKUP($D370,素材!$1:$1016,COLUMN($F$1),FALSE)) - LEN(SUBSTITUTE(VLOOKUP($D370,素材!$1:$1016,COLUMN($F$1),FALSE), "・", 0)) + 1), 0)+IF($CI370&lt;&gt;"",VLOOKUP($CI370,装強!$A$1:BG$1005,COLUMN(装強!BG$1),FALSE),0)</f>
        <v>0</v>
      </c>
      <c r="AM370">
        <f>IF(ISNUMBER(SEARCH(SUBSTITUTE(AM$1,RIGHT(AM$1,2),""),VLOOKUP($D370,素材!$1:$1016,COLUMN($F$1),FALSE))),VLOOKUP($C370,武器!$1:$998,COLUMN($O$1),FALSE)*VLOOKUP($D370,素材!$1:$1016,COLUMN($E$1),FALSE)/(LEN(VLOOKUP($D370,素材!$1:$1016,COLUMN($F$1),FALSE)) - LEN(SUBSTITUTE(VLOOKUP($D370,素材!$1:$1016,COLUMN($F$1),FALSE), "・", 0)) + 1), 0)+IF($CI370&lt;&gt;"",VLOOKUP($CI370,装強!$A$1:BH$1005,COLUMN(装強!BH$1),FALSE),0)</f>
        <v>0</v>
      </c>
      <c r="AN370">
        <f>IF(ISNUMBER(SEARCH(SUBSTITUTE(AN$1,RIGHT(AN$1,2),""),VLOOKUP($D370,素材!$1:$1016,COLUMN($F$1),FALSE))),VLOOKUP($C370,武器!$1:$998,COLUMN($O$1),FALSE)*VLOOKUP($D370,素材!$1:$1016,COLUMN($E$1),FALSE)/(LEN(VLOOKUP($D370,素材!$1:$1016,COLUMN($F$1),FALSE)) - LEN(SUBSTITUTE(VLOOKUP($D370,素材!$1:$1016,COLUMN($F$1),FALSE), "・", 0)) + 1), 0)+IF($CI370&lt;&gt;"",VLOOKUP($CI370,装強!$A$1:BI$1005,COLUMN(装強!BI$1),FALSE),0)</f>
        <v>0</v>
      </c>
      <c r="AO370">
        <f>IF(ISNUMBER(SEARCH(SUBSTITUTE(AO$1,RIGHT(AO$1,2),""),VLOOKUP($D370,素材!$1:$1016,COLUMN($F$1),FALSE))),VLOOKUP($C370,武器!$1:$998,COLUMN($O$1),FALSE)*VLOOKUP($D370,素材!$1:$1016,COLUMN($E$1),FALSE)/(LEN(VLOOKUP($D370,素材!$1:$1016,COLUMN($F$1),FALSE)) - LEN(SUBSTITUTE(VLOOKUP($D370,素材!$1:$1016,COLUMN($F$1),FALSE), "・", 0)) + 1), 0)+IF($CI370&lt;&gt;"",VLOOKUP($CI370,装強!$A$1:BK$1005,COLUMN(装強!BK$1),FALSE),0)</f>
        <v>0</v>
      </c>
      <c r="AP370">
        <f>IF(ISNUMBER(SEARCH(SUBSTITUTE(AP$1,RIGHT(AP$1,2),""),VLOOKUP($D370,素材!$1:$1016,COLUMN($F$1),FALSE))),VLOOKUP($C370,武器!$1:$998,COLUMN($O$1),FALSE)*VLOOKUP($D370,素材!$1:$1016,COLUMN($E$1),FALSE)/(LEN(VLOOKUP($D370,素材!$1:$1016,COLUMN($F$1),FALSE)) - LEN(SUBSTITUTE(VLOOKUP($D370,素材!$1:$1016,COLUMN($F$1),FALSE), "・", 0)) + 1), 0)+IF($CI370&lt;&gt;"",VLOOKUP($CI370,装強!$A$1:BL$1005,COLUMN(装強!BL$1),FALSE),0)</f>
        <v>0</v>
      </c>
      <c r="AQ370">
        <f>IF(ISNUMBER(SEARCH(SUBSTITUTE(AQ$1,RIGHT(AQ$1,2),""),VLOOKUP($D370,素材!$1:$1016,COLUMN($F$1),FALSE))),VLOOKUP($C370,武器!$1:$998,COLUMN($O$1),FALSE)*VLOOKUP($D370,素材!$1:$1016,COLUMN($E$1),FALSE)/(LEN(VLOOKUP($D370,素材!$1:$1016,COLUMN($F$1),FALSE)) - LEN(SUBSTITUTE(VLOOKUP($D370,素材!$1:$1016,COLUMN($F$1),FALSE), "・", 0)) + 1), 0)+IF($CI370&lt;&gt;"",VLOOKUP($CI370,装強!$A$1:BM$1005,COLUMN(装強!BM$1),FALSE),0)</f>
        <v>0</v>
      </c>
      <c r="AR370">
        <f>IF(ISNUMBER(SEARCH(SUBSTITUTE(AR$1,RIGHT(AR$1,2),""),VLOOKUP($D370,素材!$1:$1016,COLUMN($F$1),FALSE))),VLOOKUP($C370,武器!$1:$998,COLUMN($O$1),FALSE)*VLOOKUP($D370,素材!$1:$1016,COLUMN($E$1),FALSE)/(LEN(VLOOKUP($D370,素材!$1:$1016,COLUMN($F$1),FALSE)) - LEN(SUBSTITUTE(VLOOKUP($D370,素材!$1:$1016,COLUMN($F$1),FALSE), "・", 0)) + 1), 0)+IF($CI370&lt;&gt;"",VLOOKUP($CI370,装強!$A$1:BN$1005,COLUMN(装強!BN$1),FALSE),0)</f>
        <v>0</v>
      </c>
      <c r="AS370">
        <f>IF(ISNUMBER(SEARCH(SUBSTITUTE(AS$1,RIGHT(AS$1,2),""),VLOOKUP($D370,素材!$1:$1016,COLUMN($F$1),FALSE))),VLOOKUP($C370,武器!$1:$998,COLUMN($O$1),FALSE)*VLOOKUP($D370,素材!$1:$1016,COLUMN($E$1),FALSE)/(LEN(VLOOKUP($D370,素材!$1:$1016,COLUMN($F$1),FALSE)) - LEN(SUBSTITUTE(VLOOKUP($D370,素材!$1:$1016,COLUMN($F$1),FALSE), "・", 0)) + 1), 0)+IF($CI370&lt;&gt;"",VLOOKUP($CI370,装強!$A$1:BO$1005,COLUMN(装強!BO$1),FALSE),0)</f>
        <v>0</v>
      </c>
      <c r="AT370">
        <f>IF(ISNUMBER(SEARCH(SUBSTITUTE(AT$1,RIGHT(AT$1,2),""),VLOOKUP($D370,素材!$1:$1016,COLUMN($F$1),FALSE))),VLOOKUP($C370,武器!$1:$998,COLUMN($O$1),FALSE)*VLOOKUP($D370,素材!$1:$1016,COLUMN($E$1),FALSE)/(LEN(VLOOKUP($D370,素材!$1:$1016,COLUMN($F$1),FALSE)) - LEN(SUBSTITUTE(VLOOKUP($D370,素材!$1:$1016,COLUMN($F$1),FALSE), "・", 0)) + 1), 0)+IF($CI370&lt;&gt;"",VLOOKUP($CI370,装強!$A$1:BP$1005,COLUMN(装強!BP$1),FALSE),0)</f>
        <v>0</v>
      </c>
      <c r="AU370">
        <f>IF(ISNUMBER(SEARCH(SUBSTITUTE(AU$1,RIGHT(AU$1,2),""),VLOOKUP($D370,素材!$1:$1016,COLUMN($F$1),FALSE))),VLOOKUP($C370,武器!$1:$998,COLUMN($O$1),FALSE)*VLOOKUP($D370,素材!$1:$1016,COLUMN($E$1),FALSE)/(LEN(VLOOKUP($D370,素材!$1:$1016,COLUMN($F$1),FALSE)) - LEN(SUBSTITUTE(VLOOKUP($D370,素材!$1:$1016,COLUMN($F$1),FALSE), "・", 0)) + 1), 0)+IF($CI370&lt;&gt;"",VLOOKUP($CI370,装強!$A$1:BQ$1005,COLUMN(装強!BQ$1),FALSE),0)</f>
        <v>0</v>
      </c>
      <c r="AV370">
        <f>IF(ISNUMBER(SEARCH(SUBSTITUTE(AV$1,RIGHT(AV$1,2),""),VLOOKUP($D370,素材!$1:$1016,COLUMN($F$1),FALSE))),VLOOKUP($C370,武器!$1:$998,COLUMN($O$1),FALSE)*VLOOKUP($D370,素材!$1:$1016,COLUMN($E$1),FALSE)/(LEN(VLOOKUP($D370,素材!$1:$1016,COLUMN($F$1),FALSE)) - LEN(SUBSTITUTE(VLOOKUP($D370,素材!$1:$1016,COLUMN($F$1),FALSE), "・", 0)) + 1), 0)+IF($CI370&lt;&gt;"",VLOOKUP($CI370,装強!$A$1:BR$1005,COLUMN(装強!BR$1),FALSE),0)</f>
        <v>0</v>
      </c>
      <c r="AW370">
        <f>IF(ISNUMBER(SEARCH(SUBSTITUTE(AW$1,RIGHT(AW$1,2),""),VLOOKUP($D370,素材!$1:$1016,COLUMN($F$1),FALSE))),VLOOKUP($C370,武器!$1:$998,COLUMN($O$1),FALSE)*VLOOKUP($D370,素材!$1:$1016,COLUMN($E$1),FALSE)/(LEN(VLOOKUP($D370,素材!$1:$1016,COLUMN($F$1),FALSE)) - LEN(SUBSTITUTE(VLOOKUP($D370,素材!$1:$1016,COLUMN($F$1),FALSE), "・", 0)) + 1), 0)+IF($CI370&lt;&gt;"",VLOOKUP($CI370,装強!$A$1:BS$1005,COLUMN(装強!BS$1),FALSE),0)</f>
        <v>0</v>
      </c>
      <c r="AX370">
        <f>IF(ISNUMBER(SEARCH(SUBSTITUTE(AX$1,RIGHT(AX$1,2),""),VLOOKUP($D370,素材!$1:$1016,COLUMN($F$1),FALSE))),VLOOKUP($C370,武器!$1:$998,COLUMN($O$1),FALSE)*VLOOKUP($D370,素材!$1:$1016,COLUMN($E$1),FALSE)/(LEN(VLOOKUP($D370,素材!$1:$1016,COLUMN($F$1),FALSE)) - LEN(SUBSTITUTE(VLOOKUP($D370,素材!$1:$1016,COLUMN($F$1),FALSE), "・", 0)) + 1), 0)+IF($CI370&lt;&gt;"",VLOOKUP($CI370,装強!$A$1:BT$1005,COLUMN(装強!BT$1),FALSE),0)</f>
        <v>0</v>
      </c>
      <c r="AY370">
        <f>IF(ISNUMBER(SEARCH(SUBSTITUTE(AY$1,RIGHT(AY$1,2),""),VLOOKUP($D370,素材!$1:$1016,COLUMN($F$1),FALSE))),VLOOKUP($C370,武器!$1:$998,COLUMN($O$1),FALSE)*VLOOKUP($D370,素材!$1:$1016,COLUMN($E$1),FALSE)/(LEN(VLOOKUP($D370,素材!$1:$1016,COLUMN($F$1),FALSE)) - LEN(SUBSTITUTE(VLOOKUP($D370,素材!$1:$1016,COLUMN($F$1),FALSE), "・", 0)) + 1), 0)+IF($CI370&lt;&gt;"",VLOOKUP($CI370,装強!$A$1:BU$1005,COLUMN(装強!BU$1),FALSE),0)</f>
        <v>0</v>
      </c>
      <c r="AZ370">
        <f>IF(ISNUMBER(SEARCH(SUBSTITUTE(AZ$1,RIGHT(AZ$1,2),""),VLOOKUP($D370,素材!$1:$1016,COLUMN($F$1),FALSE))),VLOOKUP($C370,武器!$1:$998,COLUMN($O$1),FALSE)*VLOOKUP($D370,素材!$1:$1016,COLUMN($E$1),FALSE)/(LEN(VLOOKUP($D370,素材!$1:$1016,COLUMN($F$1),FALSE)) - LEN(SUBSTITUTE(VLOOKUP($D370,素材!$1:$1016,COLUMN($F$1),FALSE), "・", 0)) + 1), 0)+IF($CI370&lt;&gt;"",VLOOKUP($CI370,装強!$A$1:BV$1005,COLUMN(装強!BV$1),FALSE),0)</f>
        <v>0</v>
      </c>
      <c r="BA370">
        <f>IF(ISNUMBER(SEARCH(SUBSTITUTE(BA$1,RIGHT(BA$1,2),""),VLOOKUP($D370,素材!$1:$1016,COLUMN($F$1),FALSE))),VLOOKUP($C370,武器!$1:$998,COLUMN($O$1),FALSE)*VLOOKUP($D370,素材!$1:$1016,COLUMN($E$1),FALSE)/(LEN(VLOOKUP($D370,素材!$1:$1016,COLUMN($F$1),FALSE)) - LEN(SUBSTITUTE(VLOOKUP($D370,素材!$1:$1016,COLUMN($F$1),FALSE), "・", 0)) + 1), 0)+IF($CI370&lt;&gt;"",VLOOKUP($CI370,装強!$A$1:BW$1005,COLUMN(装強!BW$1),FALSE),0)</f>
        <v>0</v>
      </c>
      <c r="BB370">
        <f>IF(ISNUMBER(SEARCH(SUBSTITUTE(BB$1,RIGHT(BB$1,2),""),VLOOKUP($D370,素材!$1:$1016,COLUMN($F$1),FALSE))),VLOOKUP($C370,武器!$1:$998,COLUMN($O$1),FALSE)*VLOOKUP($D370,素材!$1:$1016,COLUMN($E$1),FALSE)/(LEN(VLOOKUP($D370,素材!$1:$1016,COLUMN($F$1),FALSE)) - LEN(SUBSTITUTE(VLOOKUP($D370,素材!$1:$1016,COLUMN($F$1),FALSE), "・", 0)) + 1), 0)+IF($CI370&lt;&gt;"",VLOOKUP($CI370,装強!$A$1:BX$1005,COLUMN(装強!BX$1),FALSE),0)</f>
        <v>0</v>
      </c>
      <c r="BC370">
        <f>IF(ISNUMBER(SEARCH(SUBSTITUTE(BC$1,RIGHT(BC$1,2),""),VLOOKUP($D370,素材!$1:$1016,COLUMN($F$1),FALSE))),VLOOKUP($C370,武器!$1:$998,COLUMN($O$1),FALSE)*VLOOKUP($D370,素材!$1:$1016,COLUMN($E$1),FALSE)/(LEN(VLOOKUP($D370,素材!$1:$1016,COLUMN($F$1),FALSE)) - LEN(SUBSTITUTE(VLOOKUP($D370,素材!$1:$1016,COLUMN($F$1),FALSE), "・", 0)) + 1), 0)+IF($CI370&lt;&gt;"",VLOOKUP($CI370,装強!$A$1:BY$1005,COLUMN(装強!BY$1),FALSE),0)</f>
        <v>0</v>
      </c>
      <c r="BD370">
        <f>IF(ISNUMBER(SEARCH(SUBSTITUTE(BD$1,RIGHT(BD$1,2),""),VLOOKUP($D370,素材!$1:$1016,COLUMN($F$1),FALSE))),VLOOKUP($C370,武器!$1:$998,COLUMN($O$1),FALSE)*VLOOKUP($D370,素材!$1:$1016,COLUMN($E$1),FALSE)/(LEN(VLOOKUP($D370,素材!$1:$1016,COLUMN($F$1),FALSE)) - LEN(SUBSTITUTE(VLOOKUP($D370,素材!$1:$1016,COLUMN($F$1),FALSE), "・", 0)) + 1), 0)+IF($CI370&lt;&gt;"",VLOOKUP($CI370,装強!$A$1:BZ$1005,COLUMN(装強!BZ$1),FALSE),0)</f>
        <v>0</v>
      </c>
      <c r="BE370">
        <f>IF(ISNUMBER(SEARCH(SUBSTITUTE(BE$1,RIGHT(BE$1,2),""),VLOOKUP($D370,素材!$1:$1016,COLUMN($F$1),FALSE))),VLOOKUP($C370,武器!$1:$998,COLUMN($O$1),FALSE)*VLOOKUP($D370,素材!$1:$1016,COLUMN($E$1),FALSE)/(LEN(VLOOKUP($D370,素材!$1:$1016,COLUMN($F$1),FALSE)) - LEN(SUBSTITUTE(VLOOKUP($D370,素材!$1:$1016,COLUMN($F$1),FALSE), "・", 0)) + 1), 0)+IF($CI370&lt;&gt;"",VLOOKUP($CI370,装強!$A$1:CA$1005,COLUMN(装強!CA$1),FALSE),0)</f>
        <v>0</v>
      </c>
      <c r="CI370" t="s">
        <v>8</v>
      </c>
      <c r="CL370">
        <f>SUM(G370:I370)</f>
        <v>0</v>
      </c>
      <c r="CM370" s="22" t="str">
        <f>IF(E370="武器",IF(J370-1&gt;SUM(G370:I370),"盾",IF(MAX(G370:I370)=G370,"切断",IF(MAX(G370:I370)=H370,"貫通",IF(MAX(G370:I370)=I370,"打撃","射撃")))),E370)&amp;".webp"</f>
        <v>装飾.webp</v>
      </c>
      <c r="CN370">
        <f>IFERROR(VLOOKUP($C370,武器!$1:$998,COLUMN(V$1),FALSE)*VLOOKUP($D370,素材!$1:$1016,COLUMN(N$1),FALSE)+IF(CI370="",0,VLOOKUP($CI370,装強!$1:$1008,COLUMN($CK$1),FALSE)),"")</f>
        <v>5500</v>
      </c>
      <c r="CO370" t="str">
        <f>VLOOKUP(D370,素材!$A:$O,COLUMN(素材!O$1),FALSE)</f>
        <v>酸性の体液を持つドラゴン型生物から採取される鱗素材。特殊な酸属性耐性を提供し、毒性や腐食性のある環境に適した防具の製作に適しています。</v>
      </c>
      <c r="CP370" t="str">
        <f>VLOOKUP(C370,武器!$A:$W,COLUMN(武器!W$1),FALSE)</f>
        <v xml:space="preserve">防御 隠密 </v>
      </c>
      <c r="CR370" t="str">
        <f t="shared" si="39"/>
        <v>e_370</v>
      </c>
      <c r="CS370">
        <f t="shared" si="40"/>
        <v>550000</v>
      </c>
    </row>
    <row r="371" spans="1:97" outlineLevel="1" x14ac:dyDescent="0.4">
      <c r="A371" t="s">
        <v>1286</v>
      </c>
      <c r="B371" t="s">
        <v>1287</v>
      </c>
      <c r="C371" t="s">
        <v>204</v>
      </c>
      <c r="D371" s="24" t="s">
        <v>1227</v>
      </c>
      <c r="E371" t="str">
        <f>IFERROR(VLOOKUP(C371,武器!$1:$998,COLUMN(C$1),FALSE),"")</f>
        <v>装飾</v>
      </c>
      <c r="F371">
        <f>IFERROR(ROUNDDOWN((VLOOKUP($C371,武器!$1:$998,COLUMN(D$1),FALSE)+IFERROR(VLOOKUP($CI371,装強!$1:$999,COLUMN(F$1),FALSE),0))*VLOOKUP($D371,素材!$1:$1016,COLUMN(D$1),FALSE),0),"")</f>
        <v>0</v>
      </c>
      <c r="G371">
        <f>IFERROR(ROUNDDOWN((VLOOKUP($C371,武器!$1:$998,COLUMN(E$1),FALSE)+IFERROR(VLOOKUP($CI371,装強!$1:$999,COLUMN(G$1),FALSE),0))*VLOOKUP($D371,素材!$1:$1016,COLUMN($E$1),FALSE),0),"")</f>
        <v>0</v>
      </c>
      <c r="H371">
        <f>IFERROR(ROUNDDOWN((VLOOKUP($C371,武器!$1:$998,COLUMN(F$1),FALSE)+IFERROR(VLOOKUP($CI371,装強!$1:$999,COLUMN(H$1),FALSE),0))*VLOOKUP($D371,素材!$1:$1016,COLUMN($E$1),FALSE),0),"")</f>
        <v>0</v>
      </c>
      <c r="I371">
        <f>IFERROR(ROUNDDOWN((VLOOKUP($C371,武器!$1:$998,COLUMN(G$1),FALSE)+IFERROR(VLOOKUP($CI371,装強!$1:$999,COLUMN(I$1),FALSE),0))*VLOOKUP($D371,素材!$1:$1016,COLUMN($E$1),FALSE),0),"")</f>
        <v>0</v>
      </c>
      <c r="J371">
        <f>IFERROR(ROUNDDOWN((VLOOKUP($C371,武器!$1:$998,COLUMN(H$1),FALSE)+IFERROR(VLOOKUP($CI371,装強!$1:$999,COLUMN(J$1),FALSE),0))*VLOOKUP($D371,素材!$1:$1016,COLUMN($E$1),FALSE),0),"")</f>
        <v>0</v>
      </c>
      <c r="K371">
        <f>IFERROR(ROUNDDOWN((VLOOKUP($C371,武器!$1:$998,COLUMN(I$1),FALSE)+IFERROR(VLOOKUP($CI371,装強!$1:$999,COLUMN(K$1),FALSE),0))*VLOOKUP($D371,素材!$1:$1016,COLUMN($E$1),FALSE),0),"")</f>
        <v>0</v>
      </c>
      <c r="L371" t="str">
        <f>IFERROR(VLOOKUP($D371,素材!$1:$1016,COLUMN($F$1),FALSE),"")</f>
        <v>悪</v>
      </c>
      <c r="M371">
        <f>IFERROR(VLOOKUP($C371,武器!$1:$998,COLUMN(AA$1),FALSE)*VLOOKUP($D371,素材!$1:$1016,COLUMN($G$1),FALSE),"")</f>
        <v>0</v>
      </c>
      <c r="N371">
        <f>IFERROR(VLOOKUP($C371,武器!$1:$998,COLUMN(I$1),FALSE),"")</f>
        <v>0</v>
      </c>
      <c r="O371" s="23">
        <f>IFERROR((VLOOKUP($C371,武器!$1:$998,COLUMN(K$1),FALSE)+VLOOKUP($D371,素材!$1:$1016,COLUMN(H$1),FALSE))*100+IFERROR(VLOOKUP($CI371,装強!$1:$999,COLUMN(O$1),FALSE),0),"")</f>
        <v>0</v>
      </c>
      <c r="P371" s="23">
        <f>IFERROR((VLOOKUP($C371,武器!$1:$998,COLUMN(L$1),FALSE)+VLOOKUP($D371,素材!$1:$1016,COLUMN(I$1),FALSE))*100+IFERROR(VLOOKUP($CI371,装強!$1:$999,COLUMN(P$1),FALSE),0),"")</f>
        <v>0</v>
      </c>
      <c r="Q371">
        <f>IFERROR(ROUNDUP(VLOOKUP($C371,武器!$1:$998,COLUMN(M$1),FALSE)*(VLOOKUP($D371,素材!$1:$1002,COLUMN(D$1),FALSE)/100),1),"")</f>
        <v>0</v>
      </c>
      <c r="R371">
        <f>IFERROR(ROUNDUP(VLOOKUP($C371,武器!$1:$998,COLUMN(N$1),FALSE)*(VLOOKUP($D371,素材!$1:$1002,COLUMN(D$1),FALSE)/100),1),"")</f>
        <v>0</v>
      </c>
      <c r="S371">
        <f>IFERROR(VLOOKUP($C371,武器!$1:$998,COLUMN(P$1),FALSE),"")</f>
        <v>0</v>
      </c>
      <c r="T371">
        <f>IFERROR(VLOOKUP($C371,武器!$1:$998,COLUMN(Q$1),FALSE),"")</f>
        <v>0</v>
      </c>
      <c r="U371">
        <f>IFERROR(VLOOKUP($C371,武器!$1:$998,COLUMN(R$1),FALSE),"")</f>
        <v>0</v>
      </c>
      <c r="V371">
        <f>IFERROR(VLOOKUP($C371,武器!$1:$998,COLUMN(Q$1),FALSE),"")</f>
        <v>0</v>
      </c>
      <c r="W371">
        <f>IFERROR(VLOOKUP($C371,武器!$1:$998,COLUMN(T$1),FALSE),"")</f>
        <v>0</v>
      </c>
      <c r="Y371">
        <f>IFERROR(VLOOKUP($C371,武器!$1:$998,COLUMN(U$1),FALSE),"")</f>
        <v>0</v>
      </c>
      <c r="Z371">
        <f>IFERROR(ROUNDUP(VLOOKUP($C371,武器!$1:$998,COLUMN(O$1),FALSE)*VLOOKUP($D371,素材!$1:$1016,COLUMN(E$1),FALSE),1),"")</f>
        <v>0</v>
      </c>
      <c r="AA371">
        <f>IF(ISNUMBER(SEARCH(SUBSTITUTE(AA$1,RIGHT(AA$1,2),""),VLOOKUP($D371,素材!$1:$1016,COLUMN($F$1),FALSE))),VLOOKUP($C371,武器!$1:$998,COLUMN($O$1),FALSE)*VLOOKUP($D371,素材!$1:$1016,COLUMN($E$1),FALSE)/(LEN(VLOOKUP($D371,素材!$1:$1016,COLUMN($F$1),FALSE)) - LEN(SUBSTITUTE(VLOOKUP($D371,素材!$1:$1016,COLUMN($F$1),FALSE), "・", 0)) + 1), 0)</f>
        <v>0</v>
      </c>
      <c r="AB371">
        <f>IF(ISNUMBER(SEARCH(SUBSTITUTE(AB$1,RIGHT(AB$1,2),""),VLOOKUP($D371,素材!$1:$1016,COLUMN($F$1),FALSE))),VLOOKUP($C371,武器!$1:$998,COLUMN($O$1),FALSE)*VLOOKUP($D371,素材!$1:$1016,COLUMN($E$1),FALSE)/(LEN(VLOOKUP($D371,素材!$1:$1016,COLUMN($F$1),FALSE)) - LEN(SUBSTITUTE(VLOOKUP($D371,素材!$1:$1016,COLUMN($F$1),FALSE), "・", 0)) + 1), 0)</f>
        <v>0</v>
      </c>
      <c r="AC371">
        <f>IF(ISNUMBER(SEARCH(SUBSTITUTE(AC$1,RIGHT(AC$1,2),""),VLOOKUP($D371,素材!$1:$1016,COLUMN($F$1),FALSE))),VLOOKUP($C371,武器!$1:$998,COLUMN($O$1),FALSE)*VLOOKUP($D371,素材!$1:$1016,COLUMN($E$1),FALSE)/(LEN(VLOOKUP($D371,素材!$1:$1016,COLUMN($F$1),FALSE)) - LEN(SUBSTITUTE(VLOOKUP($D371,素材!$1:$1016,COLUMN($F$1),FALSE), "・", 0)) + 1), 0)</f>
        <v>0</v>
      </c>
      <c r="AD371">
        <f>IF(ISNUMBER(SEARCH(SUBSTITUTE(AD$1,RIGHT(AD$1,2),""),VLOOKUP($D371,素材!$1:$1016,COLUMN($F$1),FALSE))),VLOOKUP($C371,武器!$1:$998,COLUMN($O$1),FALSE)*VLOOKUP($D371,素材!$1:$1016,COLUMN($E$1),FALSE)/(LEN(VLOOKUP($D371,素材!$1:$1016,COLUMN($F$1),FALSE)) - LEN(SUBSTITUTE(VLOOKUP($D371,素材!$1:$1016,COLUMN($F$1),FALSE), "・", 0)) + 1), 0)</f>
        <v>0</v>
      </c>
      <c r="AE371">
        <f>IF(ISNUMBER(SEARCH(SUBSTITUTE(AE$1,RIGHT(AE$1,2),""),VLOOKUP($D371,素材!$1:$1016,COLUMN($F$1),FALSE))),VLOOKUP($C371,武器!$1:$998,COLUMN($O$1),FALSE)*VLOOKUP($D371,素材!$1:$1016,COLUMN($E$1),FALSE)/(LEN(VLOOKUP($D371,素材!$1:$1016,COLUMN($F$1),FALSE)) - LEN(SUBSTITUTE(VLOOKUP($D371,素材!$1:$1016,COLUMN($F$1),FALSE), "・", 0)) + 1), 0)+IF($CI371&lt;&gt;"",VLOOKUP($CI371,装強!$A$1:AZ$1005,COLUMN(装強!AZ$1),FALSE),0)</f>
        <v>0</v>
      </c>
      <c r="AF371">
        <f>IF(ISNUMBER(SEARCH(SUBSTITUTE(AF$1,RIGHT(AF$1,2),""),VLOOKUP($D371,素材!$1:$1016,COLUMN($F$1),FALSE))),VLOOKUP($C371,武器!$1:$998,COLUMN($O$1),FALSE)*VLOOKUP($D371,素材!$1:$1016,COLUMN($E$1),FALSE)/(LEN(VLOOKUP($D371,素材!$1:$1016,COLUMN($F$1),FALSE)) - LEN(SUBSTITUTE(VLOOKUP($D371,素材!$1:$1016,COLUMN($F$1),FALSE), "・", 0)) + 1), 0)+IF($CI371&lt;&gt;"",VLOOKUP($CI371,装強!$A$1:BA$1005,COLUMN(装強!BA$1),FALSE),0)</f>
        <v>0</v>
      </c>
      <c r="AG371">
        <f>IF(ISNUMBER(SEARCH(SUBSTITUTE(AG$1,RIGHT(AG$1,2),""),VLOOKUP($D371,素材!$1:$1016,COLUMN($F$1),FALSE))),VLOOKUP($C371,武器!$1:$998,COLUMN($O$1),FALSE)*VLOOKUP($D371,素材!$1:$1016,COLUMN($E$1),FALSE)/(LEN(VLOOKUP($D371,素材!$1:$1016,COLUMN($F$1),FALSE)) - LEN(SUBSTITUTE(VLOOKUP($D371,素材!$1:$1016,COLUMN($F$1),FALSE), "・", 0)) + 1), 0)+IF($CI371&lt;&gt;"",VLOOKUP($CI371,装強!$A$1:BB$1005,COLUMN(装強!BB$1),FALSE),0)</f>
        <v>0</v>
      </c>
      <c r="AH371">
        <f>IF(ISNUMBER(SEARCH(SUBSTITUTE(AH$1,RIGHT(AH$1,2),""),VLOOKUP($D371,素材!$1:$1016,COLUMN($F$1),FALSE))),VLOOKUP($C371,武器!$1:$998,COLUMN($O$1),FALSE)*VLOOKUP($D371,素材!$1:$1016,COLUMN($E$1),FALSE)/(LEN(VLOOKUP($D371,素材!$1:$1016,COLUMN($F$1),FALSE)) - LEN(SUBSTITUTE(VLOOKUP($D371,素材!$1:$1016,COLUMN($F$1),FALSE), "・", 0)) + 1), 0)+IF($CI371&lt;&gt;"",VLOOKUP($CI371,装強!$A$1:BC$1005,COLUMN(装強!BC$1),FALSE),0)</f>
        <v>0</v>
      </c>
      <c r="AI371">
        <f>IF(ISNUMBER(SEARCH(SUBSTITUTE(AI$1,RIGHT(AI$1,2),""),VLOOKUP($D371,素材!$1:$1016,COLUMN($F$1),FALSE))),VLOOKUP($C371,武器!$1:$998,COLUMN($O$1),FALSE)*VLOOKUP($D371,素材!$1:$1016,COLUMN($E$1),FALSE)/(LEN(VLOOKUP($D371,素材!$1:$1016,COLUMN($F$1),FALSE)) - LEN(SUBSTITUTE(VLOOKUP($D371,素材!$1:$1016,COLUMN($F$1),FALSE), "・", 0)) + 1), 0)+IF($CI371&lt;&gt;"",VLOOKUP($CI371,装強!$A$1:BD$1005,COLUMN(装強!BD$1),FALSE),0)</f>
        <v>0</v>
      </c>
      <c r="AJ371">
        <f>IF(ISNUMBER(SEARCH(SUBSTITUTE(AJ$1,RIGHT(AJ$1,2),""),VLOOKUP($D371,素材!$1:$1016,COLUMN($F$1),FALSE))),VLOOKUP($C371,武器!$1:$998,COLUMN($O$1),FALSE)*VLOOKUP($D371,素材!$1:$1016,COLUMN($E$1),FALSE)/(LEN(VLOOKUP($D371,素材!$1:$1016,COLUMN($F$1),FALSE)) - LEN(SUBSTITUTE(VLOOKUP($D371,素材!$1:$1016,COLUMN($F$1),FALSE), "・", 0)) + 1), 0)+IF($CI371&lt;&gt;"",VLOOKUP($CI371,装強!$A$1:BE$1005,COLUMN(装強!BE$1),FALSE),0)</f>
        <v>0</v>
      </c>
      <c r="AK371">
        <f>IF(ISNUMBER(SEARCH(SUBSTITUTE(AK$1,RIGHT(AK$1,2),""),VLOOKUP($D371,素材!$1:$1016,COLUMN($F$1),FALSE))),VLOOKUP($C371,武器!$1:$998,COLUMN($O$1),FALSE)*VLOOKUP($D371,素材!$1:$1016,COLUMN($E$1),FALSE)/(LEN(VLOOKUP($D371,素材!$1:$1016,COLUMN($F$1),FALSE)) - LEN(SUBSTITUTE(VLOOKUP($D371,素材!$1:$1016,COLUMN($F$1),FALSE), "・", 0)) + 1), 0)+IF($CI371&lt;&gt;"",VLOOKUP($CI371,装強!$A$1:BF$1005,COLUMN(装強!BF$1),FALSE),0)</f>
        <v>0</v>
      </c>
      <c r="AL371">
        <f>IF(ISNUMBER(SEARCH(SUBSTITUTE(AL$1,RIGHT(AL$1,2),""),VLOOKUP($D371,素材!$1:$1016,COLUMN($F$1),FALSE))),VLOOKUP($C371,武器!$1:$998,COLUMN($O$1),FALSE)*VLOOKUP($D371,素材!$1:$1016,COLUMN($E$1),FALSE)/(LEN(VLOOKUP($D371,素材!$1:$1016,COLUMN($F$1),FALSE)) - LEN(SUBSTITUTE(VLOOKUP($D371,素材!$1:$1016,COLUMN($F$1),FALSE), "・", 0)) + 1), 0)+IF($CI371&lt;&gt;"",VLOOKUP($CI371,装強!$A$1:BG$1005,COLUMN(装強!BG$1),FALSE),0)</f>
        <v>0</v>
      </c>
      <c r="AM371">
        <f>IF(ISNUMBER(SEARCH(SUBSTITUTE(AM$1,RIGHT(AM$1,2),""),VLOOKUP($D371,素材!$1:$1016,COLUMN($F$1),FALSE))),VLOOKUP($C371,武器!$1:$998,COLUMN($O$1),FALSE)*VLOOKUP($D371,素材!$1:$1016,COLUMN($E$1),FALSE)/(LEN(VLOOKUP($D371,素材!$1:$1016,COLUMN($F$1),FALSE)) - LEN(SUBSTITUTE(VLOOKUP($D371,素材!$1:$1016,COLUMN($F$1),FALSE), "・", 0)) + 1), 0)+IF($CI371&lt;&gt;"",VLOOKUP($CI371,装強!$A$1:BH$1005,COLUMN(装強!BH$1),FALSE),0)</f>
        <v>0</v>
      </c>
      <c r="AN371">
        <f>IF(ISNUMBER(SEARCH(SUBSTITUTE(AN$1,RIGHT(AN$1,2),""),VLOOKUP($D371,素材!$1:$1016,COLUMN($F$1),FALSE))),VLOOKUP($C371,武器!$1:$998,COLUMN($O$1),FALSE)*VLOOKUP($D371,素材!$1:$1016,COLUMN($E$1),FALSE)/(LEN(VLOOKUP($D371,素材!$1:$1016,COLUMN($F$1),FALSE)) - LEN(SUBSTITUTE(VLOOKUP($D371,素材!$1:$1016,COLUMN($F$1),FALSE), "・", 0)) + 1), 0)+IF($CI371&lt;&gt;"",VLOOKUP($CI371,装強!$A$1:BI$1005,COLUMN(装強!BI$1),FALSE),0)</f>
        <v>0</v>
      </c>
      <c r="AO371">
        <f>IF(ISNUMBER(SEARCH(SUBSTITUTE(AO$1,RIGHT(AO$1,2),""),VLOOKUP($D371,素材!$1:$1016,COLUMN($F$1),FALSE))),VLOOKUP($C371,武器!$1:$998,COLUMN($O$1),FALSE)*VLOOKUP($D371,素材!$1:$1016,COLUMN($E$1),FALSE)/(LEN(VLOOKUP($D371,素材!$1:$1016,COLUMN($F$1),FALSE)) - LEN(SUBSTITUTE(VLOOKUP($D371,素材!$1:$1016,COLUMN($F$1),FALSE), "・", 0)) + 1), 0)+IF($CI371&lt;&gt;"",VLOOKUP($CI371,装強!$A$1:BK$1005,COLUMN(装強!BK$1),FALSE),0)</f>
        <v>0</v>
      </c>
      <c r="AP371">
        <f>IF(ISNUMBER(SEARCH(SUBSTITUTE(AP$1,RIGHT(AP$1,2),""),VLOOKUP($D371,素材!$1:$1016,COLUMN($F$1),FALSE))),VLOOKUP($C371,武器!$1:$998,COLUMN($O$1),FALSE)*VLOOKUP($D371,素材!$1:$1016,COLUMN($E$1),FALSE)/(LEN(VLOOKUP($D371,素材!$1:$1016,COLUMN($F$1),FALSE)) - LEN(SUBSTITUTE(VLOOKUP($D371,素材!$1:$1016,COLUMN($F$1),FALSE), "・", 0)) + 1), 0)+IF($CI371&lt;&gt;"",VLOOKUP($CI371,装強!$A$1:BL$1005,COLUMN(装強!BL$1),FALSE),0)</f>
        <v>0</v>
      </c>
      <c r="AQ371">
        <f>IF(ISNUMBER(SEARCH(SUBSTITUTE(AQ$1,RIGHT(AQ$1,2),""),VLOOKUP($D371,素材!$1:$1016,COLUMN($F$1),FALSE))),VLOOKUP($C371,武器!$1:$998,COLUMN($O$1),FALSE)*VLOOKUP($D371,素材!$1:$1016,COLUMN($E$1),FALSE)/(LEN(VLOOKUP($D371,素材!$1:$1016,COLUMN($F$1),FALSE)) - LEN(SUBSTITUTE(VLOOKUP($D371,素材!$1:$1016,COLUMN($F$1),FALSE), "・", 0)) + 1), 0)+IF($CI371&lt;&gt;"",VLOOKUP($CI371,装強!$A$1:BM$1005,COLUMN(装強!BM$1),FALSE),0)</f>
        <v>0</v>
      </c>
      <c r="AR371">
        <f>IF(ISNUMBER(SEARCH(SUBSTITUTE(AR$1,RIGHT(AR$1,2),""),VLOOKUP($D371,素材!$1:$1016,COLUMN($F$1),FALSE))),VLOOKUP($C371,武器!$1:$998,COLUMN($O$1),FALSE)*VLOOKUP($D371,素材!$1:$1016,COLUMN($E$1),FALSE)/(LEN(VLOOKUP($D371,素材!$1:$1016,COLUMN($F$1),FALSE)) - LEN(SUBSTITUTE(VLOOKUP($D371,素材!$1:$1016,COLUMN($F$1),FALSE), "・", 0)) + 1), 0)+IF($CI371&lt;&gt;"",VLOOKUP($CI371,装強!$A$1:BN$1005,COLUMN(装強!BN$1),FALSE),0)</f>
        <v>0</v>
      </c>
      <c r="AS371">
        <f>IF(ISNUMBER(SEARCH(SUBSTITUTE(AS$1,RIGHT(AS$1,2),""),VLOOKUP($D371,素材!$1:$1016,COLUMN($F$1),FALSE))),VLOOKUP($C371,武器!$1:$998,COLUMN($O$1),FALSE)*VLOOKUP($D371,素材!$1:$1016,COLUMN($E$1),FALSE)/(LEN(VLOOKUP($D371,素材!$1:$1016,COLUMN($F$1),FALSE)) - LEN(SUBSTITUTE(VLOOKUP($D371,素材!$1:$1016,COLUMN($F$1),FALSE), "・", 0)) + 1), 0)+IF($CI371&lt;&gt;"",VLOOKUP($CI371,装強!$A$1:BO$1005,COLUMN(装強!BO$1),FALSE),0)</f>
        <v>0</v>
      </c>
      <c r="AT371">
        <f>IF(ISNUMBER(SEARCH(SUBSTITUTE(AT$1,RIGHT(AT$1,2),""),VLOOKUP($D371,素材!$1:$1016,COLUMN($F$1),FALSE))),VLOOKUP($C371,武器!$1:$998,COLUMN($O$1),FALSE)*VLOOKUP($D371,素材!$1:$1016,COLUMN($E$1),FALSE)/(LEN(VLOOKUP($D371,素材!$1:$1016,COLUMN($F$1),FALSE)) - LEN(SUBSTITUTE(VLOOKUP($D371,素材!$1:$1016,COLUMN($F$1),FALSE), "・", 0)) + 1), 0)+IF($CI371&lt;&gt;"",VLOOKUP($CI371,装強!$A$1:BP$1005,COLUMN(装強!BP$1),FALSE),0)</f>
        <v>0</v>
      </c>
      <c r="AU371">
        <f>IF(ISNUMBER(SEARCH(SUBSTITUTE(AU$1,RIGHT(AU$1,2),""),VLOOKUP($D371,素材!$1:$1016,COLUMN($F$1),FALSE))),VLOOKUP($C371,武器!$1:$998,COLUMN($O$1),FALSE)*VLOOKUP($D371,素材!$1:$1016,COLUMN($E$1),FALSE)/(LEN(VLOOKUP($D371,素材!$1:$1016,COLUMN($F$1),FALSE)) - LEN(SUBSTITUTE(VLOOKUP($D371,素材!$1:$1016,COLUMN($F$1),FALSE), "・", 0)) + 1), 0)+IF($CI371&lt;&gt;"",VLOOKUP($CI371,装強!$A$1:BQ$1005,COLUMN(装強!BQ$1),FALSE),0)</f>
        <v>0</v>
      </c>
      <c r="AV371">
        <f>IF(ISNUMBER(SEARCH(SUBSTITUTE(AV$1,RIGHT(AV$1,2),""),VLOOKUP($D371,素材!$1:$1016,COLUMN($F$1),FALSE))),VLOOKUP($C371,武器!$1:$998,COLUMN($O$1),FALSE)*VLOOKUP($D371,素材!$1:$1016,COLUMN($E$1),FALSE)/(LEN(VLOOKUP($D371,素材!$1:$1016,COLUMN($F$1),FALSE)) - LEN(SUBSTITUTE(VLOOKUP($D371,素材!$1:$1016,COLUMN($F$1),FALSE), "・", 0)) + 1), 0)+IF($CI371&lt;&gt;"",VLOOKUP($CI371,装強!$A$1:BR$1005,COLUMN(装強!BR$1),FALSE),0)</f>
        <v>0</v>
      </c>
      <c r="AW371">
        <f>IF(ISNUMBER(SEARCH(SUBSTITUTE(AW$1,RIGHT(AW$1,2),""),VLOOKUP($D371,素材!$1:$1016,COLUMN($F$1),FALSE))),VLOOKUP($C371,武器!$1:$998,COLUMN($O$1),FALSE)*VLOOKUP($D371,素材!$1:$1016,COLUMN($E$1),FALSE)/(LEN(VLOOKUP($D371,素材!$1:$1016,COLUMN($F$1),FALSE)) - LEN(SUBSTITUTE(VLOOKUP($D371,素材!$1:$1016,COLUMN($F$1),FALSE), "・", 0)) + 1), 0)+IF($CI371&lt;&gt;"",VLOOKUP($CI371,装強!$A$1:BS$1005,COLUMN(装強!BS$1),FALSE),0)</f>
        <v>0</v>
      </c>
      <c r="AX371">
        <f>IF(ISNUMBER(SEARCH(SUBSTITUTE(AX$1,RIGHT(AX$1,2),""),VLOOKUP($D371,素材!$1:$1016,COLUMN($F$1),FALSE))),VLOOKUP($C371,武器!$1:$998,COLUMN($O$1),FALSE)*VLOOKUP($D371,素材!$1:$1016,COLUMN($E$1),FALSE)/(LEN(VLOOKUP($D371,素材!$1:$1016,COLUMN($F$1),FALSE)) - LEN(SUBSTITUTE(VLOOKUP($D371,素材!$1:$1016,COLUMN($F$1),FALSE), "・", 0)) + 1), 0)+IF($CI371&lt;&gt;"",VLOOKUP($CI371,装強!$A$1:BT$1005,COLUMN(装強!BT$1),FALSE),0)</f>
        <v>0</v>
      </c>
      <c r="AY371">
        <f>IF(ISNUMBER(SEARCH(SUBSTITUTE(AY$1,RIGHT(AY$1,2),""),VLOOKUP($D371,素材!$1:$1016,COLUMN($F$1),FALSE))),VLOOKUP($C371,武器!$1:$998,COLUMN($O$1),FALSE)*VLOOKUP($D371,素材!$1:$1016,COLUMN($E$1),FALSE)/(LEN(VLOOKUP($D371,素材!$1:$1016,COLUMN($F$1),FALSE)) - LEN(SUBSTITUTE(VLOOKUP($D371,素材!$1:$1016,COLUMN($F$1),FALSE), "・", 0)) + 1), 0)+IF($CI371&lt;&gt;"",VLOOKUP($CI371,装強!$A$1:BU$1005,COLUMN(装強!BU$1),FALSE),0)</f>
        <v>0</v>
      </c>
      <c r="AZ371">
        <f>IF(ISNUMBER(SEARCH(SUBSTITUTE(AZ$1,RIGHT(AZ$1,2),""),VLOOKUP($D371,素材!$1:$1016,COLUMN($F$1),FALSE))),VLOOKUP($C371,武器!$1:$998,COLUMN($O$1),FALSE)*VLOOKUP($D371,素材!$1:$1016,COLUMN($E$1),FALSE)/(LEN(VLOOKUP($D371,素材!$1:$1016,COLUMN($F$1),FALSE)) - LEN(SUBSTITUTE(VLOOKUP($D371,素材!$1:$1016,COLUMN($F$1),FALSE), "・", 0)) + 1), 0)+IF($CI371&lt;&gt;"",VLOOKUP($CI371,装強!$A$1:BV$1005,COLUMN(装強!BV$1),FALSE),0)</f>
        <v>0</v>
      </c>
      <c r="BA371">
        <f>IF(ISNUMBER(SEARCH(SUBSTITUTE(BA$1,RIGHT(BA$1,2),""),VLOOKUP($D371,素材!$1:$1016,COLUMN($F$1),FALSE))),VLOOKUP($C371,武器!$1:$998,COLUMN($O$1),FALSE)*VLOOKUP($D371,素材!$1:$1016,COLUMN($E$1),FALSE)/(LEN(VLOOKUP($D371,素材!$1:$1016,COLUMN($F$1),FALSE)) - LEN(SUBSTITUTE(VLOOKUP($D371,素材!$1:$1016,COLUMN($F$1),FALSE), "・", 0)) + 1), 0)+IF($CI371&lt;&gt;"",VLOOKUP($CI371,装強!$A$1:BW$1005,COLUMN(装強!BW$1),FALSE),0)</f>
        <v>0</v>
      </c>
      <c r="BB371">
        <f>IF(ISNUMBER(SEARCH(SUBSTITUTE(BB$1,RIGHT(BB$1,2),""),VLOOKUP($D371,素材!$1:$1016,COLUMN($F$1),FALSE))),VLOOKUP($C371,武器!$1:$998,COLUMN($O$1),FALSE)*VLOOKUP($D371,素材!$1:$1016,COLUMN($E$1),FALSE)/(LEN(VLOOKUP($D371,素材!$1:$1016,COLUMN($F$1),FALSE)) - LEN(SUBSTITUTE(VLOOKUP($D371,素材!$1:$1016,COLUMN($F$1),FALSE), "・", 0)) + 1), 0)+IF($CI371&lt;&gt;"",VLOOKUP($CI371,装強!$A$1:BX$1005,COLUMN(装強!BX$1),FALSE),0)</f>
        <v>0</v>
      </c>
      <c r="BC371">
        <f>IF(ISNUMBER(SEARCH(SUBSTITUTE(BC$1,RIGHT(BC$1,2),""),VLOOKUP($D371,素材!$1:$1016,COLUMN($F$1),FALSE))),VLOOKUP($C371,武器!$1:$998,COLUMN($O$1),FALSE)*VLOOKUP($D371,素材!$1:$1016,COLUMN($E$1),FALSE)/(LEN(VLOOKUP($D371,素材!$1:$1016,COLUMN($F$1),FALSE)) - LEN(SUBSTITUTE(VLOOKUP($D371,素材!$1:$1016,COLUMN($F$1),FALSE), "・", 0)) + 1), 0)+IF($CI371&lt;&gt;"",VLOOKUP($CI371,装強!$A$1:BY$1005,COLUMN(装強!BY$1),FALSE),0)</f>
        <v>0</v>
      </c>
      <c r="BD371">
        <f>IF(ISNUMBER(SEARCH(SUBSTITUTE(BD$1,RIGHT(BD$1,2),""),VLOOKUP($D371,素材!$1:$1016,COLUMN($F$1),FALSE))),VLOOKUP($C371,武器!$1:$998,COLUMN($O$1),FALSE)*VLOOKUP($D371,素材!$1:$1016,COLUMN($E$1),FALSE)/(LEN(VLOOKUP($D371,素材!$1:$1016,COLUMN($F$1),FALSE)) - LEN(SUBSTITUTE(VLOOKUP($D371,素材!$1:$1016,COLUMN($F$1),FALSE), "・", 0)) + 1), 0)+IF($CI371&lt;&gt;"",VLOOKUP($CI371,装強!$A$1:BZ$1005,COLUMN(装強!BZ$1),FALSE),0)</f>
        <v>0</v>
      </c>
      <c r="BE371">
        <f>IF(ISNUMBER(SEARCH(SUBSTITUTE(BE$1,RIGHT(BE$1,2),""),VLOOKUP($D371,素材!$1:$1016,COLUMN($F$1),FALSE))),VLOOKUP($C371,武器!$1:$998,COLUMN($O$1),FALSE)*VLOOKUP($D371,素材!$1:$1016,COLUMN($E$1),FALSE)/(LEN(VLOOKUP($D371,素材!$1:$1016,COLUMN($F$1),FALSE)) - LEN(SUBSTITUTE(VLOOKUP($D371,素材!$1:$1016,COLUMN($F$1),FALSE), "・", 0)) + 1), 0)+IF($CI371&lt;&gt;"",VLOOKUP($CI371,装強!$A$1:CA$1005,COLUMN(装強!CA$1),FALSE),0)</f>
        <v>0</v>
      </c>
      <c r="CI371" t="s">
        <v>42</v>
      </c>
      <c r="CL371">
        <f>SUM(G371:I371)</f>
        <v>0</v>
      </c>
      <c r="CM371" s="22" t="str">
        <f>IF(E371="武器",IF(J371-1&gt;SUM(G371:I371),"盾",IF(MAX(G371:I371)=G371,"切断",IF(MAX(G371:I371)=H371,"貫通",IF(MAX(G371:I371)=I371,"打撃","射撃")))),E371)&amp;".webp"</f>
        <v>装飾.webp</v>
      </c>
      <c r="CN371">
        <f>IFERROR(VLOOKUP($C371,武器!$1:$998,COLUMN(V$1),FALSE)*VLOOKUP($D371,素材!$1:$1016,COLUMN(N$1),FALSE)+IF(CI371="",0,VLOOKUP($CI371,装強!$1:$1008,COLUMN($CK$1),FALSE)),"")</f>
        <v>6000</v>
      </c>
      <c r="CO371" t="str">
        <f>VLOOKUP(D371,素材!$A:$O,COLUMN(素材!O$1),FALSE)</f>
        <v>神聖な力を持つ木材。武器として使用すると善属性が付加され、防具に使用すると呪いへの耐性が強化される。</v>
      </c>
      <c r="CP371" t="str">
        <f>VLOOKUP(C371,武器!$A:$W,COLUMN(武器!W$1),FALSE)</f>
        <v xml:space="preserve">HP ST 攻撃 防御 体幹 怯み 疲労 </v>
      </c>
      <c r="CR371" t="str">
        <f t="shared" si="39"/>
        <v>e_371</v>
      </c>
      <c r="CS371">
        <f t="shared" ref="CS371:CS392" si="41">CN371*100</f>
        <v>600000</v>
      </c>
    </row>
    <row r="372" spans="1:97" outlineLevel="1" x14ac:dyDescent="0.4">
      <c r="A372" t="s">
        <v>1267</v>
      </c>
      <c r="B372" t="str">
        <f>IFERROR(VLOOKUP($D372,素材!$1:$1016,COLUMN($B$1),FALSE)&amp;"・"&amp;VLOOKUP($C372,武器!$1:$998,COLUMN(B$1),FALSE),"")</f>
        <v>ホロウウッド・ローブ</v>
      </c>
      <c r="C372" t="s">
        <v>1268</v>
      </c>
      <c r="D372" s="24" t="s">
        <v>1227</v>
      </c>
      <c r="E372" t="str">
        <f>IFERROR(VLOOKUP(C372,武器!$1:$998,COLUMN(C$1),FALSE),"")</f>
        <v>体</v>
      </c>
      <c r="F372">
        <f>IFERROR(ROUNDDOWN((VLOOKUP($C372,武器!$1:$998,COLUMN(D$1),FALSE)+IFERROR(VLOOKUP($CI372,装強!$1:$999,COLUMN(F$1),FALSE),0))*VLOOKUP($D372,素材!$1:$1016,COLUMN(D$1),FALSE),0),"")</f>
        <v>0</v>
      </c>
      <c r="G372">
        <f>IFERROR(ROUNDDOWN((VLOOKUP($C372,武器!$1:$998,COLUMN(E$1),FALSE)+IFERROR(VLOOKUP($CI372,装強!$1:$999,COLUMN(G$1),FALSE),0))*VLOOKUP($D372,素材!$1:$1016,COLUMN($E$1),FALSE),0),"")</f>
        <v>0</v>
      </c>
      <c r="H372">
        <f>IFERROR(ROUNDDOWN((VLOOKUP($C372,武器!$1:$998,COLUMN(F$1),FALSE)+IFERROR(VLOOKUP($CI372,装強!$1:$999,COLUMN(H$1),FALSE),0))*VLOOKUP($D372,素材!$1:$1016,COLUMN($E$1),FALSE),0),"")</f>
        <v>0</v>
      </c>
      <c r="I372">
        <f>IFERROR(ROUNDDOWN((VLOOKUP($C372,武器!$1:$998,COLUMN(G$1),FALSE)+IFERROR(VLOOKUP($CI372,装強!$1:$999,COLUMN(I$1),FALSE),0))*VLOOKUP($D372,素材!$1:$1016,COLUMN($E$1),FALSE),0),"")</f>
        <v>0</v>
      </c>
      <c r="J372">
        <f>IFERROR(ROUNDDOWN((VLOOKUP($C372,武器!$1:$998,COLUMN(H$1),FALSE)+IFERROR(VLOOKUP($CI372,装強!$1:$999,COLUMN(J$1),FALSE),0))*VLOOKUP($D372,素材!$1:$1016,COLUMN($E$1),FALSE),0),"")</f>
        <v>0</v>
      </c>
      <c r="K372">
        <f>IFERROR(ROUNDDOWN((VLOOKUP($C372,武器!$1:$998,COLUMN(I$1),FALSE)+IFERROR(VLOOKUP($CI372,装強!$1:$999,COLUMN(K$1),FALSE),0))*VLOOKUP($D372,素材!$1:$1016,COLUMN($E$1),FALSE),0),"")</f>
        <v>0</v>
      </c>
      <c r="L372" t="str">
        <f>IFERROR(VLOOKUP($D372,素材!$1:$1016,COLUMN($F$1),FALSE),"")</f>
        <v>悪</v>
      </c>
      <c r="M372">
        <f>IFERROR(VLOOKUP($C372,武器!$1:$998,COLUMN(AA$1),FALSE)*VLOOKUP($D372,素材!$1:$1016,COLUMN($G$1),FALSE),"")</f>
        <v>0</v>
      </c>
      <c r="N372">
        <f>IFERROR(VLOOKUP($C372,武器!$1:$998,COLUMN(I$1),FALSE),"")</f>
        <v>0</v>
      </c>
      <c r="O372" s="23">
        <f>IFERROR((VLOOKUP($C372,武器!$1:$998,COLUMN(K$1),FALSE)+VLOOKUP($D372,素材!$1:$1016,COLUMN(H$1),FALSE))*100+IFERROR(VLOOKUP($CI372,装強!$1:$999,COLUMN(O$1),FALSE),0),"")</f>
        <v>0</v>
      </c>
      <c r="P372" s="23">
        <f>IFERROR((VLOOKUP($C372,武器!$1:$998,COLUMN(L$1),FALSE)+VLOOKUP($D372,素材!$1:$1016,COLUMN(I$1),FALSE))*100+IFERROR(VLOOKUP($CI372,装強!$1:$999,COLUMN(P$1),FALSE),0),"")</f>
        <v>0</v>
      </c>
      <c r="Q372">
        <f>IFERROR(ROUNDUP(VLOOKUP($C372,武器!$1:$998,COLUMN(M$1),FALSE)*(VLOOKUP($D372,素材!$1:$1002,COLUMN(D$1),FALSE)/100),1),"")</f>
        <v>0</v>
      </c>
      <c r="R372">
        <f>IFERROR(ROUNDUP(VLOOKUP($C372,武器!$1:$998,COLUMN(N$1),FALSE)*(VLOOKUP($D372,素材!$1:$1002,COLUMN(D$1),FALSE)/100),1),"")</f>
        <v>0</v>
      </c>
      <c r="S372">
        <f>IFERROR(VLOOKUP($C372,武器!$1:$998,COLUMN(P$1),FALSE),"")</f>
        <v>0</v>
      </c>
      <c r="T372">
        <f>IFERROR(VLOOKUP($C372,武器!$1:$998,COLUMN(Q$1),FALSE),"")</f>
        <v>0</v>
      </c>
      <c r="U372">
        <f>IFERROR(VLOOKUP($C372,武器!$1:$998,COLUMN(R$1),FALSE),"")</f>
        <v>0</v>
      </c>
      <c r="V372">
        <f>IFERROR(VLOOKUP($C372,武器!$1:$998,COLUMN(Q$1),FALSE),"")</f>
        <v>0</v>
      </c>
      <c r="W372">
        <f>IFERROR(VLOOKUP($C372,武器!$1:$998,COLUMN(T$1),FALSE),"")</f>
        <v>0</v>
      </c>
      <c r="Y372">
        <f>IFERROR(VLOOKUP($C372,武器!$1:$998,COLUMN(U$1),FALSE),"")</f>
        <v>0</v>
      </c>
      <c r="Z372">
        <f>IFERROR(ROUNDUP(VLOOKUP($C372,武器!$1:$998,COLUMN(O$1),FALSE)*VLOOKUP($D372,素材!$1:$1016,COLUMN(E$1),FALSE),1),"")</f>
        <v>7</v>
      </c>
      <c r="AA372">
        <f>IF(ISNUMBER(SEARCH(SUBSTITUTE(AA$1,RIGHT(AA$1,2),""),VLOOKUP($D372,素材!$1:$1016,COLUMN($F$1),FALSE))),VLOOKUP($C372,武器!$1:$998,COLUMN($O$1),FALSE)*VLOOKUP($D372,素材!$1:$1016,COLUMN($E$1),FALSE)/(LEN(VLOOKUP($D372,素材!$1:$1016,COLUMN($F$1),FALSE)) - LEN(SUBSTITUTE(VLOOKUP($D372,素材!$1:$1016,COLUMN($F$1),FALSE), "・", 0)) + 1), 0)</f>
        <v>0</v>
      </c>
      <c r="AB372">
        <f>IF(ISNUMBER(SEARCH(SUBSTITUTE(AB$1,RIGHT(AB$1,2),""),VLOOKUP($D372,素材!$1:$1016,COLUMN($F$1),FALSE))),VLOOKUP($C372,武器!$1:$998,COLUMN($O$1),FALSE)*VLOOKUP($D372,素材!$1:$1016,COLUMN($E$1),FALSE)/(LEN(VLOOKUP($D372,素材!$1:$1016,COLUMN($F$1),FALSE)) - LEN(SUBSTITUTE(VLOOKUP($D372,素材!$1:$1016,COLUMN($F$1),FALSE), "・", 0)) + 1), 0)</f>
        <v>0</v>
      </c>
      <c r="AC372">
        <f>IF(ISNUMBER(SEARCH(SUBSTITUTE(AC$1,RIGHT(AC$1,2),""),VLOOKUP($D372,素材!$1:$1016,COLUMN($F$1),FALSE))),VLOOKUP($C372,武器!$1:$998,COLUMN($O$1),FALSE)*VLOOKUP($D372,素材!$1:$1016,COLUMN($E$1),FALSE)/(LEN(VLOOKUP($D372,素材!$1:$1016,COLUMN($F$1),FALSE)) - LEN(SUBSTITUTE(VLOOKUP($D372,素材!$1:$1016,COLUMN($F$1),FALSE), "・", 0)) + 1), 0)</f>
        <v>0</v>
      </c>
      <c r="AD372">
        <f>IF(ISNUMBER(SEARCH(SUBSTITUTE(AD$1,RIGHT(AD$1,2),""),VLOOKUP($D372,素材!$1:$1016,COLUMN($F$1),FALSE))),VLOOKUP($C372,武器!$1:$998,COLUMN($O$1),FALSE)*VLOOKUP($D372,素材!$1:$1016,COLUMN($E$1),FALSE)/(LEN(VLOOKUP($D372,素材!$1:$1016,COLUMN($F$1),FALSE)) - LEN(SUBSTITUTE(VLOOKUP($D372,素材!$1:$1016,COLUMN($F$1),FALSE), "・", 0)) + 1), 0)</f>
        <v>0</v>
      </c>
      <c r="AE372">
        <f>IF(ISNUMBER(SEARCH(SUBSTITUTE(AE$1,RIGHT(AE$1,2),""),VLOOKUP($D372,素材!$1:$1016,COLUMN($F$1),FALSE))),VLOOKUP($C372,武器!$1:$998,COLUMN($O$1),FALSE)*VLOOKUP($D372,素材!$1:$1016,COLUMN($E$1),FALSE)/(LEN(VLOOKUP($D372,素材!$1:$1016,COLUMN($F$1),FALSE)) - LEN(SUBSTITUTE(VLOOKUP($D372,素材!$1:$1016,COLUMN($F$1),FALSE), "・", 0)) + 1), 0)+IF($CI372&lt;&gt;"",VLOOKUP($CI372,装強!$A$1:AZ$1005,COLUMN(装強!AZ$1),FALSE),0)</f>
        <v>0</v>
      </c>
      <c r="AF372">
        <f>IF(ISNUMBER(SEARCH(SUBSTITUTE(AF$1,RIGHT(AF$1,2),""),VLOOKUP($D372,素材!$1:$1016,COLUMN($F$1),FALSE))),VLOOKUP($C372,武器!$1:$998,COLUMN($O$1),FALSE)*VLOOKUP($D372,素材!$1:$1016,COLUMN($E$1),FALSE)/(LEN(VLOOKUP($D372,素材!$1:$1016,COLUMN($F$1),FALSE)) - LEN(SUBSTITUTE(VLOOKUP($D372,素材!$1:$1016,COLUMN($F$1),FALSE), "・", 0)) + 1), 0)+IF($CI372&lt;&gt;"",VLOOKUP($CI372,装強!$A$1:BA$1005,COLUMN(装強!BA$1),FALSE),0)</f>
        <v>0</v>
      </c>
      <c r="AG372">
        <f>IF(ISNUMBER(SEARCH(SUBSTITUTE(AG$1,RIGHT(AG$1,2),""),VLOOKUP($D372,素材!$1:$1016,COLUMN($F$1),FALSE))),VLOOKUP($C372,武器!$1:$998,COLUMN($O$1),FALSE)*VLOOKUP($D372,素材!$1:$1016,COLUMN($E$1),FALSE)/(LEN(VLOOKUP($D372,素材!$1:$1016,COLUMN($F$1),FALSE)) - LEN(SUBSTITUTE(VLOOKUP($D372,素材!$1:$1016,COLUMN($F$1),FALSE), "・", 0)) + 1), 0)+IF($CI372&lt;&gt;"",VLOOKUP($CI372,装強!$A$1:BB$1005,COLUMN(装強!BB$1),FALSE),0)</f>
        <v>0</v>
      </c>
      <c r="AH372">
        <f>IF(ISNUMBER(SEARCH(SUBSTITUTE(AH$1,RIGHT(AH$1,2),""),VLOOKUP($D372,素材!$1:$1016,COLUMN($F$1),FALSE))),VLOOKUP($C372,武器!$1:$998,COLUMN($O$1),FALSE)*VLOOKUP($D372,素材!$1:$1016,COLUMN($E$1),FALSE)/(LEN(VLOOKUP($D372,素材!$1:$1016,COLUMN($F$1),FALSE)) - LEN(SUBSTITUTE(VLOOKUP($D372,素材!$1:$1016,COLUMN($F$1),FALSE), "・", 0)) + 1), 0)+IF($CI372&lt;&gt;"",VLOOKUP($CI372,装強!$A$1:BC$1005,COLUMN(装強!BC$1),FALSE),0)</f>
        <v>0</v>
      </c>
      <c r="AI372">
        <f>IF(ISNUMBER(SEARCH(SUBSTITUTE(AI$1,RIGHT(AI$1,2),""),VLOOKUP($D372,素材!$1:$1016,COLUMN($F$1),FALSE))),VLOOKUP($C372,武器!$1:$998,COLUMN($O$1),FALSE)*VLOOKUP($D372,素材!$1:$1016,COLUMN($E$1),FALSE)/(LEN(VLOOKUP($D372,素材!$1:$1016,COLUMN($F$1),FALSE)) - LEN(SUBSTITUTE(VLOOKUP($D372,素材!$1:$1016,COLUMN($F$1),FALSE), "・", 0)) + 1), 0)+IF($CI372&lt;&gt;"",VLOOKUP($CI372,装強!$A$1:BD$1005,COLUMN(装強!BD$1),FALSE),0)</f>
        <v>0</v>
      </c>
      <c r="AJ372">
        <f>IF(ISNUMBER(SEARCH(SUBSTITUTE(AJ$1,RIGHT(AJ$1,2),""),VLOOKUP($D372,素材!$1:$1016,COLUMN($F$1),FALSE))),VLOOKUP($C372,武器!$1:$998,COLUMN($O$1),FALSE)*VLOOKUP($D372,素材!$1:$1016,COLUMN($E$1),FALSE)/(LEN(VLOOKUP($D372,素材!$1:$1016,COLUMN($F$1),FALSE)) - LEN(SUBSTITUTE(VLOOKUP($D372,素材!$1:$1016,COLUMN($F$1),FALSE), "・", 0)) + 1), 0)+IF($CI372&lt;&gt;"",VLOOKUP($CI372,装強!$A$1:BE$1005,COLUMN(装強!BE$1),FALSE),0)</f>
        <v>0</v>
      </c>
      <c r="AK372">
        <f>IF(ISNUMBER(SEARCH(SUBSTITUTE(AK$1,RIGHT(AK$1,2),""),VLOOKUP($D372,素材!$1:$1016,COLUMN($F$1),FALSE))),VLOOKUP($C372,武器!$1:$998,COLUMN($O$1),FALSE)*VLOOKUP($D372,素材!$1:$1016,COLUMN($E$1),FALSE)/(LEN(VLOOKUP($D372,素材!$1:$1016,COLUMN($F$1),FALSE)) - LEN(SUBSTITUTE(VLOOKUP($D372,素材!$1:$1016,COLUMN($F$1),FALSE), "・", 0)) + 1), 0)+IF($CI372&lt;&gt;"",VLOOKUP($CI372,装強!$A$1:BF$1005,COLUMN(装強!BF$1),FALSE),0)</f>
        <v>0</v>
      </c>
      <c r="AL372">
        <f>IF(ISNUMBER(SEARCH(SUBSTITUTE(AL$1,RIGHT(AL$1,2),""),VLOOKUP($D372,素材!$1:$1016,COLUMN($F$1),FALSE))),VLOOKUP($C372,武器!$1:$998,COLUMN($O$1),FALSE)*VLOOKUP($D372,素材!$1:$1016,COLUMN($E$1),FALSE)/(LEN(VLOOKUP($D372,素材!$1:$1016,COLUMN($F$1),FALSE)) - LEN(SUBSTITUTE(VLOOKUP($D372,素材!$1:$1016,COLUMN($F$1),FALSE), "・", 0)) + 1), 0)+IF($CI372&lt;&gt;"",VLOOKUP($CI372,装強!$A$1:BG$1005,COLUMN(装強!BG$1),FALSE),0)</f>
        <v>0</v>
      </c>
      <c r="AM372">
        <f>IF(ISNUMBER(SEARCH(SUBSTITUTE(AM$1,RIGHT(AM$1,2),""),VLOOKUP($D372,素材!$1:$1016,COLUMN($F$1),FALSE))),VLOOKUP($C372,武器!$1:$998,COLUMN($O$1),FALSE)*VLOOKUP($D372,素材!$1:$1016,COLUMN($E$1),FALSE)/(LEN(VLOOKUP($D372,素材!$1:$1016,COLUMN($F$1),FALSE)) - LEN(SUBSTITUTE(VLOOKUP($D372,素材!$1:$1016,COLUMN($F$1),FALSE), "・", 0)) + 1), 0)+IF($CI372&lt;&gt;"",VLOOKUP($CI372,装強!$A$1:BH$1005,COLUMN(装強!BH$1),FALSE),0)</f>
        <v>7</v>
      </c>
      <c r="AN372">
        <f>IF(ISNUMBER(SEARCH(SUBSTITUTE(AN$1,RIGHT(AN$1,2),""),VLOOKUP($D372,素材!$1:$1016,COLUMN($F$1),FALSE))),VLOOKUP($C372,武器!$1:$998,COLUMN($O$1),FALSE)*VLOOKUP($D372,素材!$1:$1016,COLUMN($E$1),FALSE)/(LEN(VLOOKUP($D372,素材!$1:$1016,COLUMN($F$1),FALSE)) - LEN(SUBSTITUTE(VLOOKUP($D372,素材!$1:$1016,COLUMN($F$1),FALSE), "・", 0)) + 1), 0)+IF($CI372&lt;&gt;"",VLOOKUP($CI372,装強!$A$1:BI$1005,COLUMN(装強!BI$1),FALSE),0)</f>
        <v>0</v>
      </c>
      <c r="AO372">
        <f>IF(ISNUMBER(SEARCH(SUBSTITUTE(AO$1,RIGHT(AO$1,2),""),VLOOKUP($D372,素材!$1:$1016,COLUMN($F$1),FALSE))),VLOOKUP($C372,武器!$1:$998,COLUMN($O$1),FALSE)*VLOOKUP($D372,素材!$1:$1016,COLUMN($E$1),FALSE)/(LEN(VLOOKUP($D372,素材!$1:$1016,COLUMN($F$1),FALSE)) - LEN(SUBSTITUTE(VLOOKUP($D372,素材!$1:$1016,COLUMN($F$1),FALSE), "・", 0)) + 1), 0)+IF($CI372&lt;&gt;"",VLOOKUP($CI372,装強!$A$1:BK$1005,COLUMN(装強!BK$1),FALSE),0)</f>
        <v>0</v>
      </c>
      <c r="AP372">
        <f>IF(ISNUMBER(SEARCH(SUBSTITUTE(AP$1,RIGHT(AP$1,2),""),VLOOKUP($D372,素材!$1:$1016,COLUMN($F$1),FALSE))),VLOOKUP($C372,武器!$1:$998,COLUMN($O$1),FALSE)*VLOOKUP($D372,素材!$1:$1016,COLUMN($E$1),FALSE)/(LEN(VLOOKUP($D372,素材!$1:$1016,COLUMN($F$1),FALSE)) - LEN(SUBSTITUTE(VLOOKUP($D372,素材!$1:$1016,COLUMN($F$1),FALSE), "・", 0)) + 1), 0)+IF($CI372&lt;&gt;"",VLOOKUP($CI372,装強!$A$1:BL$1005,COLUMN(装強!BL$1),FALSE),0)</f>
        <v>0</v>
      </c>
      <c r="AQ372">
        <f>IF(ISNUMBER(SEARCH(SUBSTITUTE(AQ$1,RIGHT(AQ$1,2),""),VLOOKUP($D372,素材!$1:$1016,COLUMN($F$1),FALSE))),VLOOKUP($C372,武器!$1:$998,COLUMN($O$1),FALSE)*VLOOKUP($D372,素材!$1:$1016,COLUMN($E$1),FALSE)/(LEN(VLOOKUP($D372,素材!$1:$1016,COLUMN($F$1),FALSE)) - LEN(SUBSTITUTE(VLOOKUP($D372,素材!$1:$1016,COLUMN($F$1),FALSE), "・", 0)) + 1), 0)+IF($CI372&lt;&gt;"",VLOOKUP($CI372,装強!$A$1:BM$1005,COLUMN(装強!BM$1),FALSE),0)</f>
        <v>0</v>
      </c>
      <c r="AR372">
        <f>IF(ISNUMBER(SEARCH(SUBSTITUTE(AR$1,RIGHT(AR$1,2),""),VLOOKUP($D372,素材!$1:$1016,COLUMN($F$1),FALSE))),VLOOKUP($C372,武器!$1:$998,COLUMN($O$1),FALSE)*VLOOKUP($D372,素材!$1:$1016,COLUMN($E$1),FALSE)/(LEN(VLOOKUP($D372,素材!$1:$1016,COLUMN($F$1),FALSE)) - LEN(SUBSTITUTE(VLOOKUP($D372,素材!$1:$1016,COLUMN($F$1),FALSE), "・", 0)) + 1), 0)+IF($CI372&lt;&gt;"",VLOOKUP($CI372,装強!$A$1:BN$1005,COLUMN(装強!BN$1),FALSE),0)</f>
        <v>0</v>
      </c>
      <c r="AS372">
        <f>IF(ISNUMBER(SEARCH(SUBSTITUTE(AS$1,RIGHT(AS$1,2),""),VLOOKUP($D372,素材!$1:$1016,COLUMN($F$1),FALSE))),VLOOKUP($C372,武器!$1:$998,COLUMN($O$1),FALSE)*VLOOKUP($D372,素材!$1:$1016,COLUMN($E$1),FALSE)/(LEN(VLOOKUP($D372,素材!$1:$1016,COLUMN($F$1),FALSE)) - LEN(SUBSTITUTE(VLOOKUP($D372,素材!$1:$1016,COLUMN($F$1),FALSE), "・", 0)) + 1), 0)+IF($CI372&lt;&gt;"",VLOOKUP($CI372,装強!$A$1:BO$1005,COLUMN(装強!BO$1),FALSE),0)</f>
        <v>0</v>
      </c>
      <c r="AT372">
        <f>IF(ISNUMBER(SEARCH(SUBSTITUTE(AT$1,RIGHT(AT$1,2),""),VLOOKUP($D372,素材!$1:$1016,COLUMN($F$1),FALSE))),VLOOKUP($C372,武器!$1:$998,COLUMN($O$1),FALSE)*VLOOKUP($D372,素材!$1:$1016,COLUMN($E$1),FALSE)/(LEN(VLOOKUP($D372,素材!$1:$1016,COLUMN($F$1),FALSE)) - LEN(SUBSTITUTE(VLOOKUP($D372,素材!$1:$1016,COLUMN($F$1),FALSE), "・", 0)) + 1), 0)+IF($CI372&lt;&gt;"",VLOOKUP($CI372,装強!$A$1:BP$1005,COLUMN(装強!BP$1),FALSE),0)</f>
        <v>0</v>
      </c>
      <c r="AU372">
        <f>IF(ISNUMBER(SEARCH(SUBSTITUTE(AU$1,RIGHT(AU$1,2),""),VLOOKUP($D372,素材!$1:$1016,COLUMN($F$1),FALSE))),VLOOKUP($C372,武器!$1:$998,COLUMN($O$1),FALSE)*VLOOKUP($D372,素材!$1:$1016,COLUMN($E$1),FALSE)/(LEN(VLOOKUP($D372,素材!$1:$1016,COLUMN($F$1),FALSE)) - LEN(SUBSTITUTE(VLOOKUP($D372,素材!$1:$1016,COLUMN($F$1),FALSE), "・", 0)) + 1), 0)+IF($CI372&lt;&gt;"",VLOOKUP($CI372,装強!$A$1:BQ$1005,COLUMN(装強!BQ$1),FALSE),0)</f>
        <v>0</v>
      </c>
      <c r="AV372">
        <f>IF(ISNUMBER(SEARCH(SUBSTITUTE(AV$1,RIGHT(AV$1,2),""),VLOOKUP($D372,素材!$1:$1016,COLUMN($F$1),FALSE))),VLOOKUP($C372,武器!$1:$998,COLUMN($O$1),FALSE)*VLOOKUP($D372,素材!$1:$1016,COLUMN($E$1),FALSE)/(LEN(VLOOKUP($D372,素材!$1:$1016,COLUMN($F$1),FALSE)) - LEN(SUBSTITUTE(VLOOKUP($D372,素材!$1:$1016,COLUMN($F$1),FALSE), "・", 0)) + 1), 0)+IF($CI372&lt;&gt;"",VLOOKUP($CI372,装強!$A$1:BR$1005,COLUMN(装強!BR$1),FALSE),0)</f>
        <v>0</v>
      </c>
      <c r="AW372">
        <f>IF(ISNUMBER(SEARCH(SUBSTITUTE(AW$1,RIGHT(AW$1,2),""),VLOOKUP($D372,素材!$1:$1016,COLUMN($F$1),FALSE))),VLOOKUP($C372,武器!$1:$998,COLUMN($O$1),FALSE)*VLOOKUP($D372,素材!$1:$1016,COLUMN($E$1),FALSE)/(LEN(VLOOKUP($D372,素材!$1:$1016,COLUMN($F$1),FALSE)) - LEN(SUBSTITUTE(VLOOKUP($D372,素材!$1:$1016,COLUMN($F$1),FALSE), "・", 0)) + 1), 0)+IF($CI372&lt;&gt;"",VLOOKUP($CI372,装強!$A$1:BS$1005,COLUMN(装強!BS$1),FALSE),0)</f>
        <v>0</v>
      </c>
      <c r="AX372">
        <f>IF(ISNUMBER(SEARCH(SUBSTITUTE(AX$1,RIGHT(AX$1,2),""),VLOOKUP($D372,素材!$1:$1016,COLUMN($F$1),FALSE))),VLOOKUP($C372,武器!$1:$998,COLUMN($O$1),FALSE)*VLOOKUP($D372,素材!$1:$1016,COLUMN($E$1),FALSE)/(LEN(VLOOKUP($D372,素材!$1:$1016,COLUMN($F$1),FALSE)) - LEN(SUBSTITUTE(VLOOKUP($D372,素材!$1:$1016,COLUMN($F$1),FALSE), "・", 0)) + 1), 0)+IF($CI372&lt;&gt;"",VLOOKUP($CI372,装強!$A$1:BT$1005,COLUMN(装強!BT$1),FALSE),0)</f>
        <v>0</v>
      </c>
      <c r="AY372">
        <f>IF(ISNUMBER(SEARCH(SUBSTITUTE(AY$1,RIGHT(AY$1,2),""),VLOOKUP($D372,素材!$1:$1016,COLUMN($F$1),FALSE))),VLOOKUP($C372,武器!$1:$998,COLUMN($O$1),FALSE)*VLOOKUP($D372,素材!$1:$1016,COLUMN($E$1),FALSE)/(LEN(VLOOKUP($D372,素材!$1:$1016,COLUMN($F$1),FALSE)) - LEN(SUBSTITUTE(VLOOKUP($D372,素材!$1:$1016,COLUMN($F$1),FALSE), "・", 0)) + 1), 0)+IF($CI372&lt;&gt;"",VLOOKUP($CI372,装強!$A$1:BU$1005,COLUMN(装強!BU$1),FALSE),0)</f>
        <v>0</v>
      </c>
      <c r="AZ372">
        <f>IF(ISNUMBER(SEARCH(SUBSTITUTE(AZ$1,RIGHT(AZ$1,2),""),VLOOKUP($D372,素材!$1:$1016,COLUMN($F$1),FALSE))),VLOOKUP($C372,武器!$1:$998,COLUMN($O$1),FALSE)*VLOOKUP($D372,素材!$1:$1016,COLUMN($E$1),FALSE)/(LEN(VLOOKUP($D372,素材!$1:$1016,COLUMN($F$1),FALSE)) - LEN(SUBSTITUTE(VLOOKUP($D372,素材!$1:$1016,COLUMN($F$1),FALSE), "・", 0)) + 1), 0)+IF($CI372&lt;&gt;"",VLOOKUP($CI372,装強!$A$1:BV$1005,COLUMN(装強!BV$1),FALSE),0)</f>
        <v>0</v>
      </c>
      <c r="BA372">
        <f>IF(ISNUMBER(SEARCH(SUBSTITUTE(BA$1,RIGHT(BA$1,2),""),VLOOKUP($D372,素材!$1:$1016,COLUMN($F$1),FALSE))),VLOOKUP($C372,武器!$1:$998,COLUMN($O$1),FALSE)*VLOOKUP($D372,素材!$1:$1016,COLUMN($E$1),FALSE)/(LEN(VLOOKUP($D372,素材!$1:$1016,COLUMN($F$1),FALSE)) - LEN(SUBSTITUTE(VLOOKUP($D372,素材!$1:$1016,COLUMN($F$1),FALSE), "・", 0)) + 1), 0)+IF($CI372&lt;&gt;"",VLOOKUP($CI372,装強!$A$1:BW$1005,COLUMN(装強!BW$1),FALSE),0)</f>
        <v>0</v>
      </c>
      <c r="BB372">
        <f>IF(ISNUMBER(SEARCH(SUBSTITUTE(BB$1,RIGHT(BB$1,2),""),VLOOKUP($D372,素材!$1:$1016,COLUMN($F$1),FALSE))),VLOOKUP($C372,武器!$1:$998,COLUMN($O$1),FALSE)*VLOOKUP($D372,素材!$1:$1016,COLUMN($E$1),FALSE)/(LEN(VLOOKUP($D372,素材!$1:$1016,COLUMN($F$1),FALSE)) - LEN(SUBSTITUTE(VLOOKUP($D372,素材!$1:$1016,COLUMN($F$1),FALSE), "・", 0)) + 1), 0)+IF($CI372&lt;&gt;"",VLOOKUP($CI372,装強!$A$1:BX$1005,COLUMN(装強!BX$1),FALSE),0)</f>
        <v>0</v>
      </c>
      <c r="BC372">
        <f>IF(ISNUMBER(SEARCH(SUBSTITUTE(BC$1,RIGHT(BC$1,2),""),VLOOKUP($D372,素材!$1:$1016,COLUMN($F$1),FALSE))),VLOOKUP($C372,武器!$1:$998,COLUMN($O$1),FALSE)*VLOOKUP($D372,素材!$1:$1016,COLUMN($E$1),FALSE)/(LEN(VLOOKUP($D372,素材!$1:$1016,COLUMN($F$1),FALSE)) - LEN(SUBSTITUTE(VLOOKUP($D372,素材!$1:$1016,COLUMN($F$1),FALSE), "・", 0)) + 1), 0)+IF($CI372&lt;&gt;"",VLOOKUP($CI372,装強!$A$1:BY$1005,COLUMN(装強!BY$1),FALSE),0)</f>
        <v>0</v>
      </c>
      <c r="BD372">
        <f>IF(ISNUMBER(SEARCH(SUBSTITUTE(BD$1,RIGHT(BD$1,2),""),VLOOKUP($D372,素材!$1:$1016,COLUMN($F$1),FALSE))),VLOOKUP($C372,武器!$1:$998,COLUMN($O$1),FALSE)*VLOOKUP($D372,素材!$1:$1016,COLUMN($E$1),FALSE)/(LEN(VLOOKUP($D372,素材!$1:$1016,COLUMN($F$1),FALSE)) - LEN(SUBSTITUTE(VLOOKUP($D372,素材!$1:$1016,COLUMN($F$1),FALSE), "・", 0)) + 1), 0)+IF($CI372&lt;&gt;"",VLOOKUP($CI372,装強!$A$1:BZ$1005,COLUMN(装強!BZ$1),FALSE),0)</f>
        <v>0</v>
      </c>
      <c r="BE372">
        <f>IF(ISNUMBER(SEARCH(SUBSTITUTE(BE$1,RIGHT(BE$1,2),""),VLOOKUP($D372,素材!$1:$1016,COLUMN($F$1),FALSE))),VLOOKUP($C372,武器!$1:$998,COLUMN($O$1),FALSE)*VLOOKUP($D372,素材!$1:$1016,COLUMN($E$1),FALSE)/(LEN(VLOOKUP($D372,素材!$1:$1016,COLUMN($F$1),FALSE)) - LEN(SUBSTITUTE(VLOOKUP($D372,素材!$1:$1016,COLUMN($F$1),FALSE), "・", 0)) + 1), 0)+IF($CI372&lt;&gt;"",VLOOKUP($CI372,装強!$A$1:CA$1005,COLUMN(装強!CA$1),FALSE),0)</f>
        <v>0</v>
      </c>
      <c r="CI372" t="s">
        <v>40</v>
      </c>
      <c r="CL372">
        <f>SUM(G372:I372)</f>
        <v>0</v>
      </c>
      <c r="CM372" s="22" t="str">
        <f>IF(E372="武器",IF(J372-1&gt;SUM(G372:I372),"盾",IF(MAX(G372:I372)=G372,"切断",IF(MAX(G372:I372)=H372,"貫通",IF(MAX(G372:I372)=I372,"打撃","射撃")))),E372)&amp;".webp"</f>
        <v>体.webp</v>
      </c>
      <c r="CN372">
        <f>IFERROR(VLOOKUP($C372,武器!$1:$998,COLUMN(V$1),FALSE)*VLOOKUP($D372,素材!$1:$1016,COLUMN(N$1),FALSE)+IF(CI372="",0,VLOOKUP($CI372,装強!$1:$1008,COLUMN($CK$1),FALSE)),"")</f>
        <v>12000</v>
      </c>
      <c r="CO372" t="str">
        <f>VLOOKUP(D372,素材!$A:$O,COLUMN(素材!O$1),FALSE)</f>
        <v>神聖な力を持つ木材。武器として使用すると善属性が付加され、防具に使用すると呪いへの耐性が強化される。</v>
      </c>
      <c r="CP372" t="str">
        <f>VLOOKUP(C372,武器!$A:$W,COLUMN(武器!W$1),FALSE)</f>
        <v>HP 物理 魔法 体幹 出血 疲労 Cr</v>
      </c>
      <c r="CR372" t="str">
        <f t="shared" si="39"/>
        <v>e_372</v>
      </c>
      <c r="CS372">
        <f t="shared" ref="CS372" si="42">CN372*100</f>
        <v>1200000</v>
      </c>
    </row>
    <row r="373" spans="1:97" ht="37.5" outlineLevel="1" x14ac:dyDescent="0.4">
      <c r="A373" s="1" t="s">
        <v>1280</v>
      </c>
      <c r="B373" t="s">
        <v>1281</v>
      </c>
      <c r="C373" t="s">
        <v>1271</v>
      </c>
      <c r="D373" s="24" t="s">
        <v>1227</v>
      </c>
      <c r="E373" t="str">
        <f>IFERROR(VLOOKUP(C373,武器!$1:$998,COLUMN(C$1),FALSE),"")</f>
        <v>足</v>
      </c>
      <c r="F373">
        <f>IFERROR(ROUNDDOWN((VLOOKUP($C373,武器!$1:$998,COLUMN(D$1),FALSE)+IFERROR(VLOOKUP($CI373,装強!$1:$999,COLUMN(F$1),FALSE),0))*VLOOKUP($D373,素材!$1:$1016,COLUMN(D$1),FALSE),0),"")</f>
        <v>0</v>
      </c>
      <c r="G373">
        <f>IFERROR(ROUNDDOWN((VLOOKUP($C373,武器!$1:$998,COLUMN(E$1),FALSE)+IFERROR(VLOOKUP($CI373,装強!$1:$999,COLUMN(G$1),FALSE),0))*VLOOKUP($D373,素材!$1:$1016,COLUMN($E$1),FALSE),0),"")</f>
        <v>0</v>
      </c>
      <c r="H373">
        <f>IFERROR(ROUNDDOWN((VLOOKUP($C373,武器!$1:$998,COLUMN(F$1),FALSE)+IFERROR(VLOOKUP($CI373,装強!$1:$999,COLUMN(H$1),FALSE),0))*VLOOKUP($D373,素材!$1:$1016,COLUMN($E$1),FALSE),0),"")</f>
        <v>0</v>
      </c>
      <c r="I373">
        <f>IFERROR(ROUNDDOWN((VLOOKUP($C373,武器!$1:$998,COLUMN(G$1),FALSE)+IFERROR(VLOOKUP($CI373,装強!$1:$999,COLUMN(I$1),FALSE),0))*VLOOKUP($D373,素材!$1:$1016,COLUMN($E$1),FALSE),0),"")</f>
        <v>35</v>
      </c>
      <c r="J373">
        <f>IFERROR(ROUNDDOWN((VLOOKUP($C373,武器!$1:$998,COLUMN(H$1),FALSE)+IFERROR(VLOOKUP($CI373,装強!$1:$999,COLUMN(J$1),FALSE),0))*VLOOKUP($D373,素材!$1:$1016,COLUMN($E$1),FALSE),0),"")</f>
        <v>0</v>
      </c>
      <c r="K373">
        <f>IFERROR(ROUNDDOWN((VLOOKUP($C373,武器!$1:$998,COLUMN(I$1),FALSE)+IFERROR(VLOOKUP($CI373,装強!$1:$999,COLUMN(K$1),FALSE),0))*VLOOKUP($D373,素材!$1:$1016,COLUMN($E$1),FALSE),0),"")</f>
        <v>0</v>
      </c>
      <c r="L373" t="str">
        <f>IFERROR(VLOOKUP($D373,素材!$1:$1016,COLUMN($F$1),FALSE),"")</f>
        <v>悪</v>
      </c>
      <c r="M373">
        <f>IFERROR(VLOOKUP($C373,武器!$1:$998,COLUMN(AA$1),FALSE)*VLOOKUP($D373,素材!$1:$1016,COLUMN($G$1),FALSE),"")</f>
        <v>0</v>
      </c>
      <c r="N373">
        <f>IFERROR(VLOOKUP($C373,武器!$1:$998,COLUMN(I$1),FALSE),"")</f>
        <v>0</v>
      </c>
      <c r="O373" s="23">
        <f>IFERROR((VLOOKUP($C373,武器!$1:$998,COLUMN(K$1),FALSE)+VLOOKUP($D373,素材!$1:$1016,COLUMN(H$1),FALSE))*100+IFERROR(VLOOKUP($CI373,装強!$1:$999,COLUMN(O$1),FALSE),0),"")</f>
        <v>10</v>
      </c>
      <c r="P373" s="23">
        <f>IFERROR((VLOOKUP($C373,武器!$1:$998,COLUMN(L$1),FALSE)+VLOOKUP($D373,素材!$1:$1016,COLUMN(I$1),FALSE))*100+IFERROR(VLOOKUP($CI373,装強!$1:$999,COLUMN(P$1),FALSE),0),"")</f>
        <v>150</v>
      </c>
      <c r="Q373">
        <f>IFERROR(ROUNDUP(VLOOKUP($C373,武器!$1:$998,COLUMN(M$1),FALSE)*(VLOOKUP($D373,素材!$1:$1002,COLUMN(D$1),FALSE)/100),1),"")</f>
        <v>0</v>
      </c>
      <c r="R373">
        <f>IFERROR(ROUNDUP(VLOOKUP($C373,武器!$1:$998,COLUMN(N$1),FALSE)*(VLOOKUP($D373,素材!$1:$1002,COLUMN(D$1),FALSE)/100),1),"")</f>
        <v>0</v>
      </c>
      <c r="S373">
        <f>IFERROR(VLOOKUP($C373,武器!$1:$998,COLUMN(P$1),FALSE),"")</f>
        <v>0</v>
      </c>
      <c r="T373">
        <f>IFERROR(VLOOKUP($C373,武器!$1:$998,COLUMN(Q$1),FALSE),"")</f>
        <v>0</v>
      </c>
      <c r="U373">
        <f>IFERROR(VLOOKUP($C373,武器!$1:$998,COLUMN(R$1),FALSE),"")</f>
        <v>0</v>
      </c>
      <c r="V373">
        <f>IFERROR(VLOOKUP($C373,武器!$1:$998,COLUMN(Q$1),FALSE),"")</f>
        <v>0</v>
      </c>
      <c r="W373">
        <f>IFERROR(VLOOKUP($C373,武器!$1:$998,COLUMN(T$1),FALSE),"")</f>
        <v>0</v>
      </c>
      <c r="Y373" t="str">
        <f>IFERROR(VLOOKUP($C373,武器!$1:$998,COLUMN(U$1),FALSE),"")</f>
        <v>足</v>
      </c>
      <c r="Z373">
        <f>IFERROR(ROUNDUP(VLOOKUP($C373,武器!$1:$998,COLUMN(O$1),FALSE)*VLOOKUP($D373,素材!$1:$1016,COLUMN(E$1),FALSE),1),"")</f>
        <v>5.3</v>
      </c>
      <c r="AA373">
        <f>IF(ISNUMBER(SEARCH(SUBSTITUTE(AA$1,RIGHT(AA$1,2),""),VLOOKUP($D373,素材!$1:$1016,COLUMN($F$1),FALSE))),VLOOKUP($C373,武器!$1:$998,COLUMN($O$1),FALSE)*VLOOKUP($D373,素材!$1:$1016,COLUMN($E$1),FALSE)/(LEN(VLOOKUP($D373,素材!$1:$1016,COLUMN($F$1),FALSE)) - LEN(SUBSTITUTE(VLOOKUP($D373,素材!$1:$1016,COLUMN($F$1),FALSE), "・", 0)) + 1), 0)</f>
        <v>0</v>
      </c>
      <c r="AB373">
        <f>IF(ISNUMBER(SEARCH(SUBSTITUTE(AB$1,RIGHT(AB$1,2),""),VLOOKUP($D373,素材!$1:$1016,COLUMN($F$1),FALSE))),VLOOKUP($C373,武器!$1:$998,COLUMN($O$1),FALSE)*VLOOKUP($D373,素材!$1:$1016,COLUMN($E$1),FALSE)/(LEN(VLOOKUP($D373,素材!$1:$1016,COLUMN($F$1),FALSE)) - LEN(SUBSTITUTE(VLOOKUP($D373,素材!$1:$1016,COLUMN($F$1),FALSE), "・", 0)) + 1), 0)</f>
        <v>0</v>
      </c>
      <c r="AC373">
        <f>IF(ISNUMBER(SEARCH(SUBSTITUTE(AC$1,RIGHT(AC$1,2),""),VLOOKUP($D373,素材!$1:$1016,COLUMN($F$1),FALSE))),VLOOKUP($C373,武器!$1:$998,COLUMN($O$1),FALSE)*VLOOKUP($D373,素材!$1:$1016,COLUMN($E$1),FALSE)/(LEN(VLOOKUP($D373,素材!$1:$1016,COLUMN($F$1),FALSE)) - LEN(SUBSTITUTE(VLOOKUP($D373,素材!$1:$1016,COLUMN($F$1),FALSE), "・", 0)) + 1), 0)</f>
        <v>0</v>
      </c>
      <c r="AD373">
        <f>IF(ISNUMBER(SEARCH(SUBSTITUTE(AD$1,RIGHT(AD$1,2),""),VLOOKUP($D373,素材!$1:$1016,COLUMN($F$1),FALSE))),VLOOKUP($C373,武器!$1:$998,COLUMN($O$1),FALSE)*VLOOKUP($D373,素材!$1:$1016,COLUMN($E$1),FALSE)/(LEN(VLOOKUP($D373,素材!$1:$1016,COLUMN($F$1),FALSE)) - LEN(SUBSTITUTE(VLOOKUP($D373,素材!$1:$1016,COLUMN($F$1),FALSE), "・", 0)) + 1), 0)</f>
        <v>0</v>
      </c>
      <c r="AE373">
        <f>IF(ISNUMBER(SEARCH(SUBSTITUTE(AE$1,RIGHT(AE$1,2),""),VLOOKUP($D373,素材!$1:$1016,COLUMN($F$1),FALSE))),VLOOKUP($C373,武器!$1:$998,COLUMN($O$1),FALSE)*VLOOKUP($D373,素材!$1:$1016,COLUMN($E$1),FALSE)/(LEN(VLOOKUP($D373,素材!$1:$1016,COLUMN($F$1),FALSE)) - LEN(SUBSTITUTE(VLOOKUP($D373,素材!$1:$1016,COLUMN($F$1),FALSE), "・", 0)) + 1), 0)+IF($CI373&lt;&gt;"",VLOOKUP($CI373,装強!$A$1:AZ$1005,COLUMN(装強!AZ$1),FALSE),0)</f>
        <v>0</v>
      </c>
      <c r="AF373">
        <f>IF(ISNUMBER(SEARCH(SUBSTITUTE(AF$1,RIGHT(AF$1,2),""),VLOOKUP($D373,素材!$1:$1016,COLUMN($F$1),FALSE))),VLOOKUP($C373,武器!$1:$998,COLUMN($O$1),FALSE)*VLOOKUP($D373,素材!$1:$1016,COLUMN($E$1),FALSE)/(LEN(VLOOKUP($D373,素材!$1:$1016,COLUMN($F$1),FALSE)) - LEN(SUBSTITUTE(VLOOKUP($D373,素材!$1:$1016,COLUMN($F$1),FALSE), "・", 0)) + 1), 0)+IF($CI373&lt;&gt;"",VLOOKUP($CI373,装強!$A$1:BA$1005,COLUMN(装強!BA$1),FALSE),0)</f>
        <v>0</v>
      </c>
      <c r="AG373">
        <f>IF(ISNUMBER(SEARCH(SUBSTITUTE(AG$1,RIGHT(AG$1,2),""),VLOOKUP($D373,素材!$1:$1016,COLUMN($F$1),FALSE))),VLOOKUP($C373,武器!$1:$998,COLUMN($O$1),FALSE)*VLOOKUP($D373,素材!$1:$1016,COLUMN($E$1),FALSE)/(LEN(VLOOKUP($D373,素材!$1:$1016,COLUMN($F$1),FALSE)) - LEN(SUBSTITUTE(VLOOKUP($D373,素材!$1:$1016,COLUMN($F$1),FALSE), "・", 0)) + 1), 0)+IF($CI373&lt;&gt;"",VLOOKUP($CI373,装強!$A$1:BB$1005,COLUMN(装強!BB$1),FALSE),0)</f>
        <v>0</v>
      </c>
      <c r="AH373">
        <f>IF(ISNUMBER(SEARCH(SUBSTITUTE(AH$1,RIGHT(AH$1,2),""),VLOOKUP($D373,素材!$1:$1016,COLUMN($F$1),FALSE))),VLOOKUP($C373,武器!$1:$998,COLUMN($O$1),FALSE)*VLOOKUP($D373,素材!$1:$1016,COLUMN($E$1),FALSE)/(LEN(VLOOKUP($D373,素材!$1:$1016,COLUMN($F$1),FALSE)) - LEN(SUBSTITUTE(VLOOKUP($D373,素材!$1:$1016,COLUMN($F$1),FALSE), "・", 0)) + 1), 0)+IF($CI373&lt;&gt;"",VLOOKUP($CI373,装強!$A$1:BC$1005,COLUMN(装強!BC$1),FALSE),0)</f>
        <v>0</v>
      </c>
      <c r="AI373">
        <f>IF(ISNUMBER(SEARCH(SUBSTITUTE(AI$1,RIGHT(AI$1,2),""),VLOOKUP($D373,素材!$1:$1016,COLUMN($F$1),FALSE))),VLOOKUP($C373,武器!$1:$998,COLUMN($O$1),FALSE)*VLOOKUP($D373,素材!$1:$1016,COLUMN($E$1),FALSE)/(LEN(VLOOKUP($D373,素材!$1:$1016,COLUMN($F$1),FALSE)) - LEN(SUBSTITUTE(VLOOKUP($D373,素材!$1:$1016,COLUMN($F$1),FALSE), "・", 0)) + 1), 0)+IF($CI373&lt;&gt;"",VLOOKUP($CI373,装強!$A$1:BD$1005,COLUMN(装強!BD$1),FALSE),0)</f>
        <v>0</v>
      </c>
      <c r="AJ373">
        <f>IF(ISNUMBER(SEARCH(SUBSTITUTE(AJ$1,RIGHT(AJ$1,2),""),VLOOKUP($D373,素材!$1:$1016,COLUMN($F$1),FALSE))),VLOOKUP($C373,武器!$1:$998,COLUMN($O$1),FALSE)*VLOOKUP($D373,素材!$1:$1016,COLUMN($E$1),FALSE)/(LEN(VLOOKUP($D373,素材!$1:$1016,COLUMN($F$1),FALSE)) - LEN(SUBSTITUTE(VLOOKUP($D373,素材!$1:$1016,COLUMN($F$1),FALSE), "・", 0)) + 1), 0)+IF($CI373&lt;&gt;"",VLOOKUP($CI373,装強!$A$1:BE$1005,COLUMN(装強!BE$1),FALSE),0)</f>
        <v>0</v>
      </c>
      <c r="AK373">
        <f>IF(ISNUMBER(SEARCH(SUBSTITUTE(AK$1,RIGHT(AK$1,2),""),VLOOKUP($D373,素材!$1:$1016,COLUMN($F$1),FALSE))),VLOOKUP($C373,武器!$1:$998,COLUMN($O$1),FALSE)*VLOOKUP($D373,素材!$1:$1016,COLUMN($E$1),FALSE)/(LEN(VLOOKUP($D373,素材!$1:$1016,COLUMN($F$1),FALSE)) - LEN(SUBSTITUTE(VLOOKUP($D373,素材!$1:$1016,COLUMN($F$1),FALSE), "・", 0)) + 1), 0)+IF($CI373&lt;&gt;"",VLOOKUP($CI373,装強!$A$1:BF$1005,COLUMN(装強!BF$1),FALSE),0)</f>
        <v>0</v>
      </c>
      <c r="AL373">
        <f>IF(ISNUMBER(SEARCH(SUBSTITUTE(AL$1,RIGHT(AL$1,2),""),VLOOKUP($D373,素材!$1:$1016,COLUMN($F$1),FALSE))),VLOOKUP($C373,武器!$1:$998,COLUMN($O$1),FALSE)*VLOOKUP($D373,素材!$1:$1016,COLUMN($E$1),FALSE)/(LEN(VLOOKUP($D373,素材!$1:$1016,COLUMN($F$1),FALSE)) - LEN(SUBSTITUTE(VLOOKUP($D373,素材!$1:$1016,COLUMN($F$1),FALSE), "・", 0)) + 1), 0)+IF($CI373&lt;&gt;"",VLOOKUP($CI373,装強!$A$1:BG$1005,COLUMN(装強!BG$1),FALSE),0)</f>
        <v>0</v>
      </c>
      <c r="AM373">
        <f>IF(ISNUMBER(SEARCH(SUBSTITUTE(AM$1,RIGHT(AM$1,2),""),VLOOKUP($D373,素材!$1:$1016,COLUMN($F$1),FALSE))),VLOOKUP($C373,武器!$1:$998,COLUMN($O$1),FALSE)*VLOOKUP($D373,素材!$1:$1016,COLUMN($E$1),FALSE)/(LEN(VLOOKUP($D373,素材!$1:$1016,COLUMN($F$1),FALSE)) - LEN(SUBSTITUTE(VLOOKUP($D373,素材!$1:$1016,COLUMN($F$1),FALSE), "・", 0)) + 1), 0)+IF($CI373&lt;&gt;"",VLOOKUP($CI373,装強!$A$1:BH$1005,COLUMN(装強!BH$1),FALSE),0)</f>
        <v>5.25</v>
      </c>
      <c r="AN373">
        <f>IF(ISNUMBER(SEARCH(SUBSTITUTE(AN$1,RIGHT(AN$1,2),""),VLOOKUP($D373,素材!$1:$1016,COLUMN($F$1),FALSE))),VLOOKUP($C373,武器!$1:$998,COLUMN($O$1),FALSE)*VLOOKUP($D373,素材!$1:$1016,COLUMN($E$1),FALSE)/(LEN(VLOOKUP($D373,素材!$1:$1016,COLUMN($F$1),FALSE)) - LEN(SUBSTITUTE(VLOOKUP($D373,素材!$1:$1016,COLUMN($F$1),FALSE), "・", 0)) + 1), 0)+IF($CI373&lt;&gt;"",VLOOKUP($CI373,装強!$A$1:BI$1005,COLUMN(装強!BI$1),FALSE),0)</f>
        <v>0</v>
      </c>
      <c r="AO373">
        <f>IF(ISNUMBER(SEARCH(SUBSTITUTE(AO$1,RIGHT(AO$1,2),""),VLOOKUP($D373,素材!$1:$1016,COLUMN($F$1),FALSE))),VLOOKUP($C373,武器!$1:$998,COLUMN($O$1),FALSE)*VLOOKUP($D373,素材!$1:$1016,COLUMN($E$1),FALSE)/(LEN(VLOOKUP($D373,素材!$1:$1016,COLUMN($F$1),FALSE)) - LEN(SUBSTITUTE(VLOOKUP($D373,素材!$1:$1016,COLUMN($F$1),FALSE), "・", 0)) + 1), 0)+IF($CI373&lt;&gt;"",VLOOKUP($CI373,装強!$A$1:BK$1005,COLUMN(装強!BK$1),FALSE),0)</f>
        <v>0</v>
      </c>
      <c r="AP373">
        <f>IF(ISNUMBER(SEARCH(SUBSTITUTE(AP$1,RIGHT(AP$1,2),""),VLOOKUP($D373,素材!$1:$1016,COLUMN($F$1),FALSE))),VLOOKUP($C373,武器!$1:$998,COLUMN($O$1),FALSE)*VLOOKUP($D373,素材!$1:$1016,COLUMN($E$1),FALSE)/(LEN(VLOOKUP($D373,素材!$1:$1016,COLUMN($F$1),FALSE)) - LEN(SUBSTITUTE(VLOOKUP($D373,素材!$1:$1016,COLUMN($F$1),FALSE), "・", 0)) + 1), 0)+IF($CI373&lt;&gt;"",VLOOKUP($CI373,装強!$A$1:BL$1005,COLUMN(装強!BL$1),FALSE),0)</f>
        <v>0</v>
      </c>
      <c r="AQ373">
        <f>IF(ISNUMBER(SEARCH(SUBSTITUTE(AQ$1,RIGHT(AQ$1,2),""),VLOOKUP($D373,素材!$1:$1016,COLUMN($F$1),FALSE))),VLOOKUP($C373,武器!$1:$998,COLUMN($O$1),FALSE)*VLOOKUP($D373,素材!$1:$1016,COLUMN($E$1),FALSE)/(LEN(VLOOKUP($D373,素材!$1:$1016,COLUMN($F$1),FALSE)) - LEN(SUBSTITUTE(VLOOKUP($D373,素材!$1:$1016,COLUMN($F$1),FALSE), "・", 0)) + 1), 0)+IF($CI373&lt;&gt;"",VLOOKUP($CI373,装強!$A$1:BM$1005,COLUMN(装強!BM$1),FALSE),0)</f>
        <v>0</v>
      </c>
      <c r="AR373">
        <f>IF(ISNUMBER(SEARCH(SUBSTITUTE(AR$1,RIGHT(AR$1,2),""),VLOOKUP($D373,素材!$1:$1016,COLUMN($F$1),FALSE))),VLOOKUP($C373,武器!$1:$998,COLUMN($O$1),FALSE)*VLOOKUP($D373,素材!$1:$1016,COLUMN($E$1),FALSE)/(LEN(VLOOKUP($D373,素材!$1:$1016,COLUMN($F$1),FALSE)) - LEN(SUBSTITUTE(VLOOKUP($D373,素材!$1:$1016,COLUMN($F$1),FALSE), "・", 0)) + 1), 0)+IF($CI373&lt;&gt;"",VLOOKUP($CI373,装強!$A$1:BN$1005,COLUMN(装強!BN$1),FALSE),0)</f>
        <v>0</v>
      </c>
      <c r="AS373">
        <f>IF(ISNUMBER(SEARCH(SUBSTITUTE(AS$1,RIGHT(AS$1,2),""),VLOOKUP($D373,素材!$1:$1016,COLUMN($F$1),FALSE))),VLOOKUP($C373,武器!$1:$998,COLUMN($O$1),FALSE)*VLOOKUP($D373,素材!$1:$1016,COLUMN($E$1),FALSE)/(LEN(VLOOKUP($D373,素材!$1:$1016,COLUMN($F$1),FALSE)) - LEN(SUBSTITUTE(VLOOKUP($D373,素材!$1:$1016,COLUMN($F$1),FALSE), "・", 0)) + 1), 0)+IF($CI373&lt;&gt;"",VLOOKUP($CI373,装強!$A$1:BO$1005,COLUMN(装強!BO$1),FALSE),0)</f>
        <v>0</v>
      </c>
      <c r="AT373">
        <f>IF(ISNUMBER(SEARCH(SUBSTITUTE(AT$1,RIGHT(AT$1,2),""),VLOOKUP($D373,素材!$1:$1016,COLUMN($F$1),FALSE))),VLOOKUP($C373,武器!$1:$998,COLUMN($O$1),FALSE)*VLOOKUP($D373,素材!$1:$1016,COLUMN($E$1),FALSE)/(LEN(VLOOKUP($D373,素材!$1:$1016,COLUMN($F$1),FALSE)) - LEN(SUBSTITUTE(VLOOKUP($D373,素材!$1:$1016,COLUMN($F$1),FALSE), "・", 0)) + 1), 0)+IF($CI373&lt;&gt;"",VLOOKUP($CI373,装強!$A$1:BP$1005,COLUMN(装強!BP$1),FALSE),0)</f>
        <v>0</v>
      </c>
      <c r="AU373">
        <f>IF(ISNUMBER(SEARCH(SUBSTITUTE(AU$1,RIGHT(AU$1,2),""),VLOOKUP($D373,素材!$1:$1016,COLUMN($F$1),FALSE))),VLOOKUP($C373,武器!$1:$998,COLUMN($O$1),FALSE)*VLOOKUP($D373,素材!$1:$1016,COLUMN($E$1),FALSE)/(LEN(VLOOKUP($D373,素材!$1:$1016,COLUMN($F$1),FALSE)) - LEN(SUBSTITUTE(VLOOKUP($D373,素材!$1:$1016,COLUMN($F$1),FALSE), "・", 0)) + 1), 0)+IF($CI373&lt;&gt;"",VLOOKUP($CI373,装強!$A$1:BQ$1005,COLUMN(装強!BQ$1),FALSE),0)</f>
        <v>0</v>
      </c>
      <c r="AV373">
        <f>IF(ISNUMBER(SEARCH(SUBSTITUTE(AV$1,RIGHT(AV$1,2),""),VLOOKUP($D373,素材!$1:$1016,COLUMN($F$1),FALSE))),VLOOKUP($C373,武器!$1:$998,COLUMN($O$1),FALSE)*VLOOKUP($D373,素材!$1:$1016,COLUMN($E$1),FALSE)/(LEN(VLOOKUP($D373,素材!$1:$1016,COLUMN($F$1),FALSE)) - LEN(SUBSTITUTE(VLOOKUP($D373,素材!$1:$1016,COLUMN($F$1),FALSE), "・", 0)) + 1), 0)+IF($CI373&lt;&gt;"",VLOOKUP($CI373,装強!$A$1:BR$1005,COLUMN(装強!BR$1),FALSE),0)</f>
        <v>0</v>
      </c>
      <c r="AW373">
        <f>IF(ISNUMBER(SEARCH(SUBSTITUTE(AW$1,RIGHT(AW$1,2),""),VLOOKUP($D373,素材!$1:$1016,COLUMN($F$1),FALSE))),VLOOKUP($C373,武器!$1:$998,COLUMN($O$1),FALSE)*VLOOKUP($D373,素材!$1:$1016,COLUMN($E$1),FALSE)/(LEN(VLOOKUP($D373,素材!$1:$1016,COLUMN($F$1),FALSE)) - LEN(SUBSTITUTE(VLOOKUP($D373,素材!$1:$1016,COLUMN($F$1),FALSE), "・", 0)) + 1), 0)+IF($CI373&lt;&gt;"",VLOOKUP($CI373,装強!$A$1:BS$1005,COLUMN(装強!BS$1),FALSE),0)</f>
        <v>0</v>
      </c>
      <c r="AX373">
        <f>IF(ISNUMBER(SEARCH(SUBSTITUTE(AX$1,RIGHT(AX$1,2),""),VLOOKUP($D373,素材!$1:$1016,COLUMN($F$1),FALSE))),VLOOKUP($C373,武器!$1:$998,COLUMN($O$1),FALSE)*VLOOKUP($D373,素材!$1:$1016,COLUMN($E$1),FALSE)/(LEN(VLOOKUP($D373,素材!$1:$1016,COLUMN($F$1),FALSE)) - LEN(SUBSTITUTE(VLOOKUP($D373,素材!$1:$1016,COLUMN($F$1),FALSE), "・", 0)) + 1), 0)+IF($CI373&lt;&gt;"",VLOOKUP($CI373,装強!$A$1:BT$1005,COLUMN(装強!BT$1),FALSE),0)</f>
        <v>0</v>
      </c>
      <c r="AY373">
        <f>IF(ISNUMBER(SEARCH(SUBSTITUTE(AY$1,RIGHT(AY$1,2),""),VLOOKUP($D373,素材!$1:$1016,COLUMN($F$1),FALSE))),VLOOKUP($C373,武器!$1:$998,COLUMN($O$1),FALSE)*VLOOKUP($D373,素材!$1:$1016,COLUMN($E$1),FALSE)/(LEN(VLOOKUP($D373,素材!$1:$1016,COLUMN($F$1),FALSE)) - LEN(SUBSTITUTE(VLOOKUP($D373,素材!$1:$1016,COLUMN($F$1),FALSE), "・", 0)) + 1), 0)+IF($CI373&lt;&gt;"",VLOOKUP($CI373,装強!$A$1:BU$1005,COLUMN(装強!BU$1),FALSE),0)</f>
        <v>0</v>
      </c>
      <c r="AZ373">
        <f>IF(ISNUMBER(SEARCH(SUBSTITUTE(AZ$1,RIGHT(AZ$1,2),""),VLOOKUP($D373,素材!$1:$1016,COLUMN($F$1),FALSE))),VLOOKUP($C373,武器!$1:$998,COLUMN($O$1),FALSE)*VLOOKUP($D373,素材!$1:$1016,COLUMN($E$1),FALSE)/(LEN(VLOOKUP($D373,素材!$1:$1016,COLUMN($F$1),FALSE)) - LEN(SUBSTITUTE(VLOOKUP($D373,素材!$1:$1016,COLUMN($F$1),FALSE), "・", 0)) + 1), 0)+IF($CI373&lt;&gt;"",VLOOKUP($CI373,装強!$A$1:BV$1005,COLUMN(装強!BV$1),FALSE),0)</f>
        <v>0</v>
      </c>
      <c r="BA373">
        <f>IF(ISNUMBER(SEARCH(SUBSTITUTE(BA$1,RIGHT(BA$1,2),""),VLOOKUP($D373,素材!$1:$1016,COLUMN($F$1),FALSE))),VLOOKUP($C373,武器!$1:$998,COLUMN($O$1),FALSE)*VLOOKUP($D373,素材!$1:$1016,COLUMN($E$1),FALSE)/(LEN(VLOOKUP($D373,素材!$1:$1016,COLUMN($F$1),FALSE)) - LEN(SUBSTITUTE(VLOOKUP($D373,素材!$1:$1016,COLUMN($F$1),FALSE), "・", 0)) + 1), 0)+IF($CI373&lt;&gt;"",VLOOKUP($CI373,装強!$A$1:BW$1005,COLUMN(装強!BW$1),FALSE),0)</f>
        <v>0</v>
      </c>
      <c r="BB373">
        <f>IF(ISNUMBER(SEARCH(SUBSTITUTE(BB$1,RIGHT(BB$1,2),""),VLOOKUP($D373,素材!$1:$1016,COLUMN($F$1),FALSE))),VLOOKUP($C373,武器!$1:$998,COLUMN($O$1),FALSE)*VLOOKUP($D373,素材!$1:$1016,COLUMN($E$1),FALSE)/(LEN(VLOOKUP($D373,素材!$1:$1016,COLUMN($F$1),FALSE)) - LEN(SUBSTITUTE(VLOOKUP($D373,素材!$1:$1016,COLUMN($F$1),FALSE), "・", 0)) + 1), 0)+IF($CI373&lt;&gt;"",VLOOKUP($CI373,装強!$A$1:BX$1005,COLUMN(装強!BX$1),FALSE),0)</f>
        <v>0</v>
      </c>
      <c r="BC373">
        <f>IF(ISNUMBER(SEARCH(SUBSTITUTE(BC$1,RIGHT(BC$1,2),""),VLOOKUP($D373,素材!$1:$1016,COLUMN($F$1),FALSE))),VLOOKUP($C373,武器!$1:$998,COLUMN($O$1),FALSE)*VLOOKUP($D373,素材!$1:$1016,COLUMN($E$1),FALSE)/(LEN(VLOOKUP($D373,素材!$1:$1016,COLUMN($F$1),FALSE)) - LEN(SUBSTITUTE(VLOOKUP($D373,素材!$1:$1016,COLUMN($F$1),FALSE), "・", 0)) + 1), 0)+IF($CI373&lt;&gt;"",VLOOKUP($CI373,装強!$A$1:BY$1005,COLUMN(装強!BY$1),FALSE),0)</f>
        <v>0</v>
      </c>
      <c r="BD373">
        <f>IF(ISNUMBER(SEARCH(SUBSTITUTE(BD$1,RIGHT(BD$1,2),""),VLOOKUP($D373,素材!$1:$1016,COLUMN($F$1),FALSE))),VLOOKUP($C373,武器!$1:$998,COLUMN($O$1),FALSE)*VLOOKUP($D373,素材!$1:$1016,COLUMN($E$1),FALSE)/(LEN(VLOOKUP($D373,素材!$1:$1016,COLUMN($F$1),FALSE)) - LEN(SUBSTITUTE(VLOOKUP($D373,素材!$1:$1016,COLUMN($F$1),FALSE), "・", 0)) + 1), 0)+IF($CI373&lt;&gt;"",VLOOKUP($CI373,装強!$A$1:BZ$1005,COLUMN(装強!BZ$1),FALSE),0)</f>
        <v>0</v>
      </c>
      <c r="BE373">
        <f>IF(ISNUMBER(SEARCH(SUBSTITUTE(BE$1,RIGHT(BE$1,2),""),VLOOKUP($D373,素材!$1:$1016,COLUMN($F$1),FALSE))),VLOOKUP($C373,武器!$1:$998,COLUMN($O$1),FALSE)*VLOOKUP($D373,素材!$1:$1016,COLUMN($E$1),FALSE)/(LEN(VLOOKUP($D373,素材!$1:$1016,COLUMN($F$1),FALSE)) - LEN(SUBSTITUTE(VLOOKUP($D373,素材!$1:$1016,COLUMN($F$1),FALSE), "・", 0)) + 1), 0)+IF($CI373&lt;&gt;"",VLOOKUP($CI373,装強!$A$1:CA$1005,COLUMN(装強!CA$1),FALSE),0)</f>
        <v>0</v>
      </c>
      <c r="CI373" t="s">
        <v>20</v>
      </c>
      <c r="CL373">
        <f>SUM(G373:I373)</f>
        <v>35</v>
      </c>
      <c r="CM373" s="22" t="str">
        <f>IF(E373="武器",IF(J373-1&gt;SUM(G373:I373),"盾",IF(MAX(G373:I373)=G373,"切断",IF(MAX(G373:I373)=H373,"貫通",IF(MAX(G373:I373)=I373,"打撃","射撃")))),E373)&amp;".webp"</f>
        <v>足.webp</v>
      </c>
      <c r="CN373">
        <f>IFERROR(VLOOKUP($C373,武器!$1:$998,COLUMN(V$1),FALSE)*VLOOKUP($D373,素材!$1:$1016,COLUMN(N$1),FALSE)+IF(CI373="",0,VLOOKUP($CI373,装強!$1:$1008,COLUMN($CK$1),FALSE)),"")</f>
        <v>6000</v>
      </c>
      <c r="CO373" t="str">
        <f>VLOOKUP(D373,素材!$A:$O,COLUMN(素材!O$1),FALSE)</f>
        <v>神聖な力を持つ木材。武器として使用すると善属性が付加され、防具に使用すると呪いへの耐性が強化される。</v>
      </c>
      <c r="CP373" t="str">
        <f>VLOOKUP(C373,武器!$A:$W,COLUMN(武器!W$1),FALSE)</f>
        <v>速度 隠密 軽業 体幹</v>
      </c>
      <c r="CR373" t="str">
        <f t="shared" si="39"/>
        <v>e_373</v>
      </c>
      <c r="CS373">
        <f t="shared" si="41"/>
        <v>600000</v>
      </c>
    </row>
    <row r="374" spans="1:97" outlineLevel="1" x14ac:dyDescent="0.4">
      <c r="A374" s="1" t="s">
        <v>1285</v>
      </c>
      <c r="B374" t="str">
        <f>IFERROR(VLOOKUP($D374,素材!$1:$1016,COLUMN($B$1),FALSE)&amp;"・"&amp;VLOOKUP($C374,武器!$1:$998,COLUMN(B$1),FALSE),"")</f>
        <v>ホロウウッド・サークレット</v>
      </c>
      <c r="C374" t="s">
        <v>1272</v>
      </c>
      <c r="D374" s="24" t="s">
        <v>1227</v>
      </c>
      <c r="E374" t="str">
        <f>IFERROR(VLOOKUP(C374,武器!$1:$998,COLUMN(C$1),FALSE),"")</f>
        <v>頭</v>
      </c>
      <c r="F374">
        <f>IFERROR(ROUNDDOWN((VLOOKUP($C374,武器!$1:$998,COLUMN(D$1),FALSE)+IFERROR(VLOOKUP($CI374,装強!$1:$999,COLUMN(F$1),FALSE),0))*VLOOKUP($D374,素材!$1:$1016,COLUMN(D$1),FALSE),0),"")</f>
        <v>0</v>
      </c>
      <c r="G374">
        <f>IFERROR(ROUNDDOWN((VLOOKUP($C374,武器!$1:$998,COLUMN(E$1),FALSE)+IFERROR(VLOOKUP($CI374,装強!$1:$999,COLUMN(G$1),FALSE),0))*VLOOKUP($D374,素材!$1:$1016,COLUMN($E$1),FALSE),0),"")</f>
        <v>0</v>
      </c>
      <c r="H374">
        <f>IFERROR(ROUNDDOWN((VLOOKUP($C374,武器!$1:$998,COLUMN(F$1),FALSE)+IFERROR(VLOOKUP($CI374,装強!$1:$999,COLUMN(H$1),FALSE),0))*VLOOKUP($D374,素材!$1:$1016,COLUMN($E$1),FALSE),0),"")</f>
        <v>0</v>
      </c>
      <c r="I374">
        <f>IFERROR(ROUNDDOWN((VLOOKUP($C374,武器!$1:$998,COLUMN(G$1),FALSE)+IFERROR(VLOOKUP($CI374,装強!$1:$999,COLUMN(I$1),FALSE),0))*VLOOKUP($D374,素材!$1:$1016,COLUMN($E$1),FALSE),0),"")</f>
        <v>0</v>
      </c>
      <c r="J374">
        <f>IFERROR(ROUNDDOWN((VLOOKUP($C374,武器!$1:$998,COLUMN(H$1),FALSE)+IFERROR(VLOOKUP($CI374,装強!$1:$999,COLUMN(J$1),FALSE),0))*VLOOKUP($D374,素材!$1:$1016,COLUMN($E$1),FALSE),0),"")</f>
        <v>0</v>
      </c>
      <c r="K374">
        <f>IFERROR(ROUNDDOWN((VLOOKUP($C374,武器!$1:$998,COLUMN(I$1),FALSE)+IFERROR(VLOOKUP($CI374,装強!$1:$999,COLUMN(K$1),FALSE),0))*VLOOKUP($D374,素材!$1:$1016,COLUMN($E$1),FALSE),0),"")</f>
        <v>0</v>
      </c>
      <c r="L374" t="str">
        <f>IFERROR(VLOOKUP($D374,素材!$1:$1016,COLUMN($F$1),FALSE),"")</f>
        <v>悪</v>
      </c>
      <c r="M374">
        <f>IFERROR(VLOOKUP($C374,武器!$1:$998,COLUMN(AA$1),FALSE)*VLOOKUP($D374,素材!$1:$1016,COLUMN($G$1),FALSE),"")</f>
        <v>0</v>
      </c>
      <c r="N374">
        <f>IFERROR(VLOOKUP($C374,武器!$1:$998,COLUMN(I$1),FALSE),"")</f>
        <v>0</v>
      </c>
      <c r="O374" s="23">
        <f>IFERROR((VLOOKUP($C374,武器!$1:$998,COLUMN(K$1),FALSE)+VLOOKUP($D374,素材!$1:$1016,COLUMN(H$1),FALSE))*100+IFERROR(VLOOKUP($CI374,装強!$1:$999,COLUMN(O$1),FALSE),0),"")</f>
        <v>0</v>
      </c>
      <c r="P374" s="23">
        <f>IFERROR((VLOOKUP($C374,武器!$1:$998,COLUMN(L$1),FALSE)+VLOOKUP($D374,素材!$1:$1016,COLUMN(I$1),FALSE))*100+IFERROR(VLOOKUP($CI374,装強!$1:$999,COLUMN(P$1),FALSE),0),"")</f>
        <v>0</v>
      </c>
      <c r="Q374">
        <f>IFERROR(ROUNDUP(VLOOKUP($C374,武器!$1:$998,COLUMN(M$1),FALSE)*(VLOOKUP($D374,素材!$1:$1002,COLUMN(D$1),FALSE)/100),1),"")</f>
        <v>0</v>
      </c>
      <c r="R374">
        <f>IFERROR(ROUNDUP(VLOOKUP($C374,武器!$1:$998,COLUMN(N$1),FALSE)*(VLOOKUP($D374,素材!$1:$1002,COLUMN(D$1),FALSE)/100),1),"")</f>
        <v>0</v>
      </c>
      <c r="S374">
        <f>IFERROR(VLOOKUP($C374,武器!$1:$998,COLUMN(P$1),FALSE),"")</f>
        <v>0</v>
      </c>
      <c r="T374">
        <f>IFERROR(VLOOKUP($C374,武器!$1:$998,COLUMN(Q$1),FALSE),"")</f>
        <v>0</v>
      </c>
      <c r="U374">
        <f>IFERROR(VLOOKUP($C374,武器!$1:$998,COLUMN(R$1),FALSE),"")</f>
        <v>0</v>
      </c>
      <c r="V374">
        <f>IFERROR(VLOOKUP($C374,武器!$1:$998,COLUMN(Q$1),FALSE),"")</f>
        <v>0</v>
      </c>
      <c r="W374">
        <f>IFERROR(VLOOKUP($C374,武器!$1:$998,COLUMN(T$1),FALSE),"")</f>
        <v>0</v>
      </c>
      <c r="Y374">
        <f>IFERROR(VLOOKUP($C374,武器!$1:$998,COLUMN(U$1),FALSE),"")</f>
        <v>0</v>
      </c>
      <c r="Z374">
        <f>IFERROR(ROUNDUP(VLOOKUP($C374,武器!$1:$998,COLUMN(O$1),FALSE)*VLOOKUP($D374,素材!$1:$1016,COLUMN(E$1),FALSE),1),"")</f>
        <v>2.5</v>
      </c>
      <c r="AA374">
        <f>IF(ISNUMBER(SEARCH(SUBSTITUTE(AA$1,RIGHT(AA$1,2),""),VLOOKUP($D374,素材!$1:$1016,COLUMN($F$1),FALSE))),VLOOKUP($C374,武器!$1:$998,COLUMN($O$1),FALSE)*VLOOKUP($D374,素材!$1:$1016,COLUMN($E$1),FALSE)/(LEN(VLOOKUP($D374,素材!$1:$1016,COLUMN($F$1),FALSE)) - LEN(SUBSTITUTE(VLOOKUP($D374,素材!$1:$1016,COLUMN($F$1),FALSE), "・", 0)) + 1), 0)</f>
        <v>0</v>
      </c>
      <c r="AB374">
        <f>IF(ISNUMBER(SEARCH(SUBSTITUTE(AB$1,RIGHT(AB$1,2),""),VLOOKUP($D374,素材!$1:$1016,COLUMN($F$1),FALSE))),VLOOKUP($C374,武器!$1:$998,COLUMN($O$1),FALSE)*VLOOKUP($D374,素材!$1:$1016,COLUMN($E$1),FALSE)/(LEN(VLOOKUP($D374,素材!$1:$1016,COLUMN($F$1),FALSE)) - LEN(SUBSTITUTE(VLOOKUP($D374,素材!$1:$1016,COLUMN($F$1),FALSE), "・", 0)) + 1), 0)</f>
        <v>0</v>
      </c>
      <c r="AC374">
        <f>IF(ISNUMBER(SEARCH(SUBSTITUTE(AC$1,RIGHT(AC$1,2),""),VLOOKUP($D374,素材!$1:$1016,COLUMN($F$1),FALSE))),VLOOKUP($C374,武器!$1:$998,COLUMN($O$1),FALSE)*VLOOKUP($D374,素材!$1:$1016,COLUMN($E$1),FALSE)/(LEN(VLOOKUP($D374,素材!$1:$1016,COLUMN($F$1),FALSE)) - LEN(SUBSTITUTE(VLOOKUP($D374,素材!$1:$1016,COLUMN($F$1),FALSE), "・", 0)) + 1), 0)</f>
        <v>0</v>
      </c>
      <c r="AD374">
        <f>IF(ISNUMBER(SEARCH(SUBSTITUTE(AD$1,RIGHT(AD$1,2),""),VLOOKUP($D374,素材!$1:$1016,COLUMN($F$1),FALSE))),VLOOKUP($C374,武器!$1:$998,COLUMN($O$1),FALSE)*VLOOKUP($D374,素材!$1:$1016,COLUMN($E$1),FALSE)/(LEN(VLOOKUP($D374,素材!$1:$1016,COLUMN($F$1),FALSE)) - LEN(SUBSTITUTE(VLOOKUP($D374,素材!$1:$1016,COLUMN($F$1),FALSE), "・", 0)) + 1), 0)</f>
        <v>0</v>
      </c>
      <c r="AE374">
        <f>IF(ISNUMBER(SEARCH(SUBSTITUTE(AE$1,RIGHT(AE$1,2),""),VLOOKUP($D374,素材!$1:$1016,COLUMN($F$1),FALSE))),VLOOKUP($C374,武器!$1:$998,COLUMN($O$1),FALSE)*VLOOKUP($D374,素材!$1:$1016,COLUMN($E$1),FALSE)/(LEN(VLOOKUP($D374,素材!$1:$1016,COLUMN($F$1),FALSE)) - LEN(SUBSTITUTE(VLOOKUP($D374,素材!$1:$1016,COLUMN($F$1),FALSE), "・", 0)) + 1), 0)+IF($CI374&lt;&gt;"",VLOOKUP($CI374,装強!$A$1:AZ$1005,COLUMN(装強!AZ$1),FALSE),0)</f>
        <v>0</v>
      </c>
      <c r="AF374">
        <f>IF(ISNUMBER(SEARCH(SUBSTITUTE(AF$1,RIGHT(AF$1,2),""),VLOOKUP($D374,素材!$1:$1016,COLUMN($F$1),FALSE))),VLOOKUP($C374,武器!$1:$998,COLUMN($O$1),FALSE)*VLOOKUP($D374,素材!$1:$1016,COLUMN($E$1),FALSE)/(LEN(VLOOKUP($D374,素材!$1:$1016,COLUMN($F$1),FALSE)) - LEN(SUBSTITUTE(VLOOKUP($D374,素材!$1:$1016,COLUMN($F$1),FALSE), "・", 0)) + 1), 0)+IF($CI374&lt;&gt;"",VLOOKUP($CI374,装強!$A$1:BA$1005,COLUMN(装強!BA$1),FALSE),0)</f>
        <v>0</v>
      </c>
      <c r="AG374">
        <f>IF(ISNUMBER(SEARCH(SUBSTITUTE(AG$1,RIGHT(AG$1,2),""),VLOOKUP($D374,素材!$1:$1016,COLUMN($F$1),FALSE))),VLOOKUP($C374,武器!$1:$998,COLUMN($O$1),FALSE)*VLOOKUP($D374,素材!$1:$1016,COLUMN($E$1),FALSE)/(LEN(VLOOKUP($D374,素材!$1:$1016,COLUMN($F$1),FALSE)) - LEN(SUBSTITUTE(VLOOKUP($D374,素材!$1:$1016,COLUMN($F$1),FALSE), "・", 0)) + 1), 0)+IF($CI374&lt;&gt;"",VLOOKUP($CI374,装強!$A$1:BB$1005,COLUMN(装強!BB$1),FALSE),0)</f>
        <v>0</v>
      </c>
      <c r="AH374">
        <f>IF(ISNUMBER(SEARCH(SUBSTITUTE(AH$1,RIGHT(AH$1,2),""),VLOOKUP($D374,素材!$1:$1016,COLUMN($F$1),FALSE))),VLOOKUP($C374,武器!$1:$998,COLUMN($O$1),FALSE)*VLOOKUP($D374,素材!$1:$1016,COLUMN($E$1),FALSE)/(LEN(VLOOKUP($D374,素材!$1:$1016,COLUMN($F$1),FALSE)) - LEN(SUBSTITUTE(VLOOKUP($D374,素材!$1:$1016,COLUMN($F$1),FALSE), "・", 0)) + 1), 0)+IF($CI374&lt;&gt;"",VLOOKUP($CI374,装強!$A$1:BC$1005,COLUMN(装強!BC$1),FALSE),0)</f>
        <v>0</v>
      </c>
      <c r="AI374">
        <f>IF(ISNUMBER(SEARCH(SUBSTITUTE(AI$1,RIGHT(AI$1,2),""),VLOOKUP($D374,素材!$1:$1016,COLUMN($F$1),FALSE))),VLOOKUP($C374,武器!$1:$998,COLUMN($O$1),FALSE)*VLOOKUP($D374,素材!$1:$1016,COLUMN($E$1),FALSE)/(LEN(VLOOKUP($D374,素材!$1:$1016,COLUMN($F$1),FALSE)) - LEN(SUBSTITUTE(VLOOKUP($D374,素材!$1:$1016,COLUMN($F$1),FALSE), "・", 0)) + 1), 0)+IF($CI374&lt;&gt;"",VLOOKUP($CI374,装強!$A$1:BD$1005,COLUMN(装強!BD$1),FALSE),0)</f>
        <v>0</v>
      </c>
      <c r="AJ374">
        <f>IF(ISNUMBER(SEARCH(SUBSTITUTE(AJ$1,RIGHT(AJ$1,2),""),VLOOKUP($D374,素材!$1:$1016,COLUMN($F$1),FALSE))),VLOOKUP($C374,武器!$1:$998,COLUMN($O$1),FALSE)*VLOOKUP($D374,素材!$1:$1016,COLUMN($E$1),FALSE)/(LEN(VLOOKUP($D374,素材!$1:$1016,COLUMN($F$1),FALSE)) - LEN(SUBSTITUTE(VLOOKUP($D374,素材!$1:$1016,COLUMN($F$1),FALSE), "・", 0)) + 1), 0)+IF($CI374&lt;&gt;"",VLOOKUP($CI374,装強!$A$1:BE$1005,COLUMN(装強!BE$1),FALSE),0)</f>
        <v>0</v>
      </c>
      <c r="AK374">
        <f>IF(ISNUMBER(SEARCH(SUBSTITUTE(AK$1,RIGHT(AK$1,2),""),VLOOKUP($D374,素材!$1:$1016,COLUMN($F$1),FALSE))),VLOOKUP($C374,武器!$1:$998,COLUMN($O$1),FALSE)*VLOOKUP($D374,素材!$1:$1016,COLUMN($E$1),FALSE)/(LEN(VLOOKUP($D374,素材!$1:$1016,COLUMN($F$1),FALSE)) - LEN(SUBSTITUTE(VLOOKUP($D374,素材!$1:$1016,COLUMN($F$1),FALSE), "・", 0)) + 1), 0)+IF($CI374&lt;&gt;"",VLOOKUP($CI374,装強!$A$1:BF$1005,COLUMN(装強!BF$1),FALSE),0)</f>
        <v>0</v>
      </c>
      <c r="AL374">
        <f>IF(ISNUMBER(SEARCH(SUBSTITUTE(AL$1,RIGHT(AL$1,2),""),VLOOKUP($D374,素材!$1:$1016,COLUMN($F$1),FALSE))),VLOOKUP($C374,武器!$1:$998,COLUMN($O$1),FALSE)*VLOOKUP($D374,素材!$1:$1016,COLUMN($E$1),FALSE)/(LEN(VLOOKUP($D374,素材!$1:$1016,COLUMN($F$1),FALSE)) - LEN(SUBSTITUTE(VLOOKUP($D374,素材!$1:$1016,COLUMN($F$1),FALSE), "・", 0)) + 1), 0)+IF($CI374&lt;&gt;"",VLOOKUP($CI374,装強!$A$1:BG$1005,COLUMN(装強!BG$1),FALSE),0)</f>
        <v>0</v>
      </c>
      <c r="AM374">
        <f>IF(ISNUMBER(SEARCH(SUBSTITUTE(AM$1,RIGHT(AM$1,2),""),VLOOKUP($D374,素材!$1:$1016,COLUMN($F$1),FALSE))),VLOOKUP($C374,武器!$1:$998,COLUMN($O$1),FALSE)*VLOOKUP($D374,素材!$1:$1016,COLUMN($E$1),FALSE)/(LEN(VLOOKUP($D374,素材!$1:$1016,COLUMN($F$1),FALSE)) - LEN(SUBSTITUTE(VLOOKUP($D374,素材!$1:$1016,COLUMN($F$1),FALSE), "・", 0)) + 1), 0)+IF($CI374&lt;&gt;"",VLOOKUP($CI374,装強!$A$1:BH$1005,COLUMN(装強!BH$1),FALSE),0)</f>
        <v>2.4500000000000002</v>
      </c>
      <c r="AN374">
        <f>IF(ISNUMBER(SEARCH(SUBSTITUTE(AN$1,RIGHT(AN$1,2),""),VLOOKUP($D374,素材!$1:$1016,COLUMN($F$1),FALSE))),VLOOKUP($C374,武器!$1:$998,COLUMN($O$1),FALSE)*VLOOKUP($D374,素材!$1:$1016,COLUMN($E$1),FALSE)/(LEN(VLOOKUP($D374,素材!$1:$1016,COLUMN($F$1),FALSE)) - LEN(SUBSTITUTE(VLOOKUP($D374,素材!$1:$1016,COLUMN($F$1),FALSE), "・", 0)) + 1), 0)+IF($CI374&lt;&gt;"",VLOOKUP($CI374,装強!$A$1:BI$1005,COLUMN(装強!BI$1),FALSE),0)</f>
        <v>0</v>
      </c>
      <c r="AO374">
        <f>IF(ISNUMBER(SEARCH(SUBSTITUTE(AO$1,RIGHT(AO$1,2),""),VLOOKUP($D374,素材!$1:$1016,COLUMN($F$1),FALSE))),VLOOKUP($C374,武器!$1:$998,COLUMN($O$1),FALSE)*VLOOKUP($D374,素材!$1:$1016,COLUMN($E$1),FALSE)/(LEN(VLOOKUP($D374,素材!$1:$1016,COLUMN($F$1),FALSE)) - LEN(SUBSTITUTE(VLOOKUP($D374,素材!$1:$1016,COLUMN($F$1),FALSE), "・", 0)) + 1), 0)+IF($CI374&lt;&gt;"",VLOOKUP($CI374,装強!$A$1:BK$1005,COLUMN(装強!BK$1),FALSE),0)</f>
        <v>0</v>
      </c>
      <c r="AP374">
        <f>IF(ISNUMBER(SEARCH(SUBSTITUTE(AP$1,RIGHT(AP$1,2),""),VLOOKUP($D374,素材!$1:$1016,COLUMN($F$1),FALSE))),VLOOKUP($C374,武器!$1:$998,COLUMN($O$1),FALSE)*VLOOKUP($D374,素材!$1:$1016,COLUMN($E$1),FALSE)/(LEN(VLOOKUP($D374,素材!$1:$1016,COLUMN($F$1),FALSE)) - LEN(SUBSTITUTE(VLOOKUP($D374,素材!$1:$1016,COLUMN($F$1),FALSE), "・", 0)) + 1), 0)+IF($CI374&lt;&gt;"",VLOOKUP($CI374,装強!$A$1:BL$1005,COLUMN(装強!BL$1),FALSE),0)</f>
        <v>0</v>
      </c>
      <c r="AQ374">
        <f>IF(ISNUMBER(SEARCH(SUBSTITUTE(AQ$1,RIGHT(AQ$1,2),""),VLOOKUP($D374,素材!$1:$1016,COLUMN($F$1),FALSE))),VLOOKUP($C374,武器!$1:$998,COLUMN($O$1),FALSE)*VLOOKUP($D374,素材!$1:$1016,COLUMN($E$1),FALSE)/(LEN(VLOOKUP($D374,素材!$1:$1016,COLUMN($F$1),FALSE)) - LEN(SUBSTITUTE(VLOOKUP($D374,素材!$1:$1016,COLUMN($F$1),FALSE), "・", 0)) + 1), 0)+IF($CI374&lt;&gt;"",VLOOKUP($CI374,装強!$A$1:BM$1005,COLUMN(装強!BM$1),FALSE),0)</f>
        <v>0</v>
      </c>
      <c r="AR374">
        <f>IF(ISNUMBER(SEARCH(SUBSTITUTE(AR$1,RIGHT(AR$1,2),""),VLOOKUP($D374,素材!$1:$1016,COLUMN($F$1),FALSE))),VLOOKUP($C374,武器!$1:$998,COLUMN($O$1),FALSE)*VLOOKUP($D374,素材!$1:$1016,COLUMN($E$1),FALSE)/(LEN(VLOOKUP($D374,素材!$1:$1016,COLUMN($F$1),FALSE)) - LEN(SUBSTITUTE(VLOOKUP($D374,素材!$1:$1016,COLUMN($F$1),FALSE), "・", 0)) + 1), 0)+IF($CI374&lt;&gt;"",VLOOKUP($CI374,装強!$A$1:BN$1005,COLUMN(装強!BN$1),FALSE),0)</f>
        <v>0</v>
      </c>
      <c r="AS374">
        <f>IF(ISNUMBER(SEARCH(SUBSTITUTE(AS$1,RIGHT(AS$1,2),""),VLOOKUP($D374,素材!$1:$1016,COLUMN($F$1),FALSE))),VLOOKUP($C374,武器!$1:$998,COLUMN($O$1),FALSE)*VLOOKUP($D374,素材!$1:$1016,COLUMN($E$1),FALSE)/(LEN(VLOOKUP($D374,素材!$1:$1016,COLUMN($F$1),FALSE)) - LEN(SUBSTITUTE(VLOOKUP($D374,素材!$1:$1016,COLUMN($F$1),FALSE), "・", 0)) + 1), 0)+IF($CI374&lt;&gt;"",VLOOKUP($CI374,装強!$A$1:BO$1005,COLUMN(装強!BO$1),FALSE),0)</f>
        <v>0</v>
      </c>
      <c r="AT374">
        <f>IF(ISNUMBER(SEARCH(SUBSTITUTE(AT$1,RIGHT(AT$1,2),""),VLOOKUP($D374,素材!$1:$1016,COLUMN($F$1),FALSE))),VLOOKUP($C374,武器!$1:$998,COLUMN($O$1),FALSE)*VLOOKUP($D374,素材!$1:$1016,COLUMN($E$1),FALSE)/(LEN(VLOOKUP($D374,素材!$1:$1016,COLUMN($F$1),FALSE)) - LEN(SUBSTITUTE(VLOOKUP($D374,素材!$1:$1016,COLUMN($F$1),FALSE), "・", 0)) + 1), 0)+IF($CI374&lt;&gt;"",VLOOKUP($CI374,装強!$A$1:BP$1005,COLUMN(装強!BP$1),FALSE),0)</f>
        <v>0</v>
      </c>
      <c r="AU374">
        <f>IF(ISNUMBER(SEARCH(SUBSTITUTE(AU$1,RIGHT(AU$1,2),""),VLOOKUP($D374,素材!$1:$1016,COLUMN($F$1),FALSE))),VLOOKUP($C374,武器!$1:$998,COLUMN($O$1),FALSE)*VLOOKUP($D374,素材!$1:$1016,COLUMN($E$1),FALSE)/(LEN(VLOOKUP($D374,素材!$1:$1016,COLUMN($F$1),FALSE)) - LEN(SUBSTITUTE(VLOOKUP($D374,素材!$1:$1016,COLUMN($F$1),FALSE), "・", 0)) + 1), 0)+IF($CI374&lt;&gt;"",VLOOKUP($CI374,装強!$A$1:BQ$1005,COLUMN(装強!BQ$1),FALSE),0)</f>
        <v>0</v>
      </c>
      <c r="AV374">
        <f>IF(ISNUMBER(SEARCH(SUBSTITUTE(AV$1,RIGHT(AV$1,2),""),VLOOKUP($D374,素材!$1:$1016,COLUMN($F$1),FALSE))),VLOOKUP($C374,武器!$1:$998,COLUMN($O$1),FALSE)*VLOOKUP($D374,素材!$1:$1016,COLUMN($E$1),FALSE)/(LEN(VLOOKUP($D374,素材!$1:$1016,COLUMN($F$1),FALSE)) - LEN(SUBSTITUTE(VLOOKUP($D374,素材!$1:$1016,COLUMN($F$1),FALSE), "・", 0)) + 1), 0)+IF($CI374&lt;&gt;"",VLOOKUP($CI374,装強!$A$1:BR$1005,COLUMN(装強!BR$1),FALSE),0)</f>
        <v>0</v>
      </c>
      <c r="AW374">
        <f>IF(ISNUMBER(SEARCH(SUBSTITUTE(AW$1,RIGHT(AW$1,2),""),VLOOKUP($D374,素材!$1:$1016,COLUMN($F$1),FALSE))),VLOOKUP($C374,武器!$1:$998,COLUMN($O$1),FALSE)*VLOOKUP($D374,素材!$1:$1016,COLUMN($E$1),FALSE)/(LEN(VLOOKUP($D374,素材!$1:$1016,COLUMN($F$1),FALSE)) - LEN(SUBSTITUTE(VLOOKUP($D374,素材!$1:$1016,COLUMN($F$1),FALSE), "・", 0)) + 1), 0)+IF($CI374&lt;&gt;"",VLOOKUP($CI374,装強!$A$1:BS$1005,COLUMN(装強!BS$1),FALSE),0)</f>
        <v>0</v>
      </c>
      <c r="AX374">
        <f>IF(ISNUMBER(SEARCH(SUBSTITUTE(AX$1,RIGHT(AX$1,2),""),VLOOKUP($D374,素材!$1:$1016,COLUMN($F$1),FALSE))),VLOOKUP($C374,武器!$1:$998,COLUMN($O$1),FALSE)*VLOOKUP($D374,素材!$1:$1016,COLUMN($E$1),FALSE)/(LEN(VLOOKUP($D374,素材!$1:$1016,COLUMN($F$1),FALSE)) - LEN(SUBSTITUTE(VLOOKUP($D374,素材!$1:$1016,COLUMN($F$1),FALSE), "・", 0)) + 1), 0)+IF($CI374&lt;&gt;"",VLOOKUP($CI374,装強!$A$1:BT$1005,COLUMN(装強!BT$1),FALSE),0)</f>
        <v>0</v>
      </c>
      <c r="AY374">
        <f>IF(ISNUMBER(SEARCH(SUBSTITUTE(AY$1,RIGHT(AY$1,2),""),VLOOKUP($D374,素材!$1:$1016,COLUMN($F$1),FALSE))),VLOOKUP($C374,武器!$1:$998,COLUMN($O$1),FALSE)*VLOOKUP($D374,素材!$1:$1016,COLUMN($E$1),FALSE)/(LEN(VLOOKUP($D374,素材!$1:$1016,COLUMN($F$1),FALSE)) - LEN(SUBSTITUTE(VLOOKUP($D374,素材!$1:$1016,COLUMN($F$1),FALSE), "・", 0)) + 1), 0)+IF($CI374&lt;&gt;"",VLOOKUP($CI374,装強!$A$1:BU$1005,COLUMN(装強!BU$1),FALSE),0)</f>
        <v>0</v>
      </c>
      <c r="AZ374">
        <f>IF(ISNUMBER(SEARCH(SUBSTITUTE(AZ$1,RIGHT(AZ$1,2),""),VLOOKUP($D374,素材!$1:$1016,COLUMN($F$1),FALSE))),VLOOKUP($C374,武器!$1:$998,COLUMN($O$1),FALSE)*VLOOKUP($D374,素材!$1:$1016,COLUMN($E$1),FALSE)/(LEN(VLOOKUP($D374,素材!$1:$1016,COLUMN($F$1),FALSE)) - LEN(SUBSTITUTE(VLOOKUP($D374,素材!$1:$1016,COLUMN($F$1),FALSE), "・", 0)) + 1), 0)+IF($CI374&lt;&gt;"",VLOOKUP($CI374,装強!$A$1:BV$1005,COLUMN(装強!BV$1),FALSE),0)</f>
        <v>0</v>
      </c>
      <c r="BA374">
        <f>IF(ISNUMBER(SEARCH(SUBSTITUTE(BA$1,RIGHT(BA$1,2),""),VLOOKUP($D374,素材!$1:$1016,COLUMN($F$1),FALSE))),VLOOKUP($C374,武器!$1:$998,COLUMN($O$1),FALSE)*VLOOKUP($D374,素材!$1:$1016,COLUMN($E$1),FALSE)/(LEN(VLOOKUP($D374,素材!$1:$1016,COLUMN($F$1),FALSE)) - LEN(SUBSTITUTE(VLOOKUP($D374,素材!$1:$1016,COLUMN($F$1),FALSE), "・", 0)) + 1), 0)+IF($CI374&lt;&gt;"",VLOOKUP($CI374,装強!$A$1:BW$1005,COLUMN(装強!BW$1),FALSE),0)</f>
        <v>0</v>
      </c>
      <c r="BB374">
        <f>IF(ISNUMBER(SEARCH(SUBSTITUTE(BB$1,RIGHT(BB$1,2),""),VLOOKUP($D374,素材!$1:$1016,COLUMN($F$1),FALSE))),VLOOKUP($C374,武器!$1:$998,COLUMN($O$1),FALSE)*VLOOKUP($D374,素材!$1:$1016,COLUMN($E$1),FALSE)/(LEN(VLOOKUP($D374,素材!$1:$1016,COLUMN($F$1),FALSE)) - LEN(SUBSTITUTE(VLOOKUP($D374,素材!$1:$1016,COLUMN($F$1),FALSE), "・", 0)) + 1), 0)+IF($CI374&lt;&gt;"",VLOOKUP($CI374,装強!$A$1:BX$1005,COLUMN(装強!BX$1),FALSE),0)</f>
        <v>0</v>
      </c>
      <c r="BC374">
        <f>IF(ISNUMBER(SEARCH(SUBSTITUTE(BC$1,RIGHT(BC$1,2),""),VLOOKUP($D374,素材!$1:$1016,COLUMN($F$1),FALSE))),VLOOKUP($C374,武器!$1:$998,COLUMN($O$1),FALSE)*VLOOKUP($D374,素材!$1:$1016,COLUMN($E$1),FALSE)/(LEN(VLOOKUP($D374,素材!$1:$1016,COLUMN($F$1),FALSE)) - LEN(SUBSTITUTE(VLOOKUP($D374,素材!$1:$1016,COLUMN($F$1),FALSE), "・", 0)) + 1), 0)+IF($CI374&lt;&gt;"",VLOOKUP($CI374,装強!$A$1:BY$1005,COLUMN(装強!BY$1),FALSE),0)</f>
        <v>0</v>
      </c>
      <c r="BD374">
        <f>IF(ISNUMBER(SEARCH(SUBSTITUTE(BD$1,RIGHT(BD$1,2),""),VLOOKUP($D374,素材!$1:$1016,COLUMN($F$1),FALSE))),VLOOKUP($C374,武器!$1:$998,COLUMN($O$1),FALSE)*VLOOKUP($D374,素材!$1:$1016,COLUMN($E$1),FALSE)/(LEN(VLOOKUP($D374,素材!$1:$1016,COLUMN($F$1),FALSE)) - LEN(SUBSTITUTE(VLOOKUP($D374,素材!$1:$1016,COLUMN($F$1),FALSE), "・", 0)) + 1), 0)+IF($CI374&lt;&gt;"",VLOOKUP($CI374,装強!$A$1:BZ$1005,COLUMN(装強!BZ$1),FALSE),0)</f>
        <v>7.5</v>
      </c>
      <c r="BE374">
        <f>IF(ISNUMBER(SEARCH(SUBSTITUTE(BE$1,RIGHT(BE$1,2),""),VLOOKUP($D374,素材!$1:$1016,COLUMN($F$1),FALSE))),VLOOKUP($C374,武器!$1:$998,COLUMN($O$1),FALSE)*VLOOKUP($D374,素材!$1:$1016,COLUMN($E$1),FALSE)/(LEN(VLOOKUP($D374,素材!$1:$1016,COLUMN($F$1),FALSE)) - LEN(SUBSTITUTE(VLOOKUP($D374,素材!$1:$1016,COLUMN($F$1),FALSE), "・", 0)) + 1), 0)+IF($CI374&lt;&gt;"",VLOOKUP($CI374,装強!$A$1:CA$1005,COLUMN(装強!CA$1),FALSE),0)</f>
        <v>30</v>
      </c>
      <c r="CI374" t="s">
        <v>1277</v>
      </c>
      <c r="CL374">
        <f>SUM(G374:I374)</f>
        <v>0</v>
      </c>
      <c r="CM374" s="22" t="str">
        <f>IF(E374="武器",IF(J374-1&gt;SUM(G374:I374),"盾",IF(MAX(G374:I374)=G374,"切断",IF(MAX(G374:I374)=H374,"貫通",IF(MAX(G374:I374)=I374,"打撃","射撃")))),E374)&amp;".webp"</f>
        <v>頭.webp</v>
      </c>
      <c r="CN374">
        <f>IFERROR(VLOOKUP($C374,武器!$1:$998,COLUMN(V$1),FALSE)*VLOOKUP($D374,素材!$1:$1016,COLUMN(N$1),FALSE)+IF(CI374="",0,VLOOKUP($CI374,装強!$1:$1008,COLUMN($CK$1),FALSE)),"")</f>
        <v>6000</v>
      </c>
      <c r="CO374" t="str">
        <f>VLOOKUP(D374,素材!$A:$O,COLUMN(素材!O$1),FALSE)</f>
        <v>神聖な力を持つ木材。武器として使用すると善属性が付加され、防具に使用すると呪いへの耐性が強化される。</v>
      </c>
      <c r="CP374" t="str">
        <f>VLOOKUP(C374,武器!$A:$W,COLUMN(武器!W$1),FALSE)</f>
        <v>命中 魔力 魔防 Cr</v>
      </c>
      <c r="CR374" t="str">
        <f t="shared" si="39"/>
        <v>e_374</v>
      </c>
      <c r="CS374">
        <f t="shared" si="41"/>
        <v>600000</v>
      </c>
    </row>
    <row r="375" spans="1:97" ht="37.5" outlineLevel="1" x14ac:dyDescent="0.4">
      <c r="A375" s="1" t="s">
        <v>1288</v>
      </c>
      <c r="B375" t="s">
        <v>1289</v>
      </c>
      <c r="C375" t="s">
        <v>1261</v>
      </c>
      <c r="D375" s="24" t="s">
        <v>194</v>
      </c>
      <c r="E375" t="str">
        <f>IFERROR(VLOOKUP(C375,武器!$1:$998,COLUMN(C$1),FALSE),"")</f>
        <v>武器</v>
      </c>
      <c r="F375">
        <f>IFERROR(ROUNDDOWN((VLOOKUP($C375,武器!$1:$998,COLUMN(D$1),FALSE)+IFERROR(VLOOKUP($CI375,装強!$1:$999,COLUMN(F$1),FALSE),0))*VLOOKUP($D375,素材!$1:$1016,COLUMN(D$1),FALSE),0),"")</f>
        <v>126</v>
      </c>
      <c r="G375">
        <f>IFERROR(ROUNDDOWN((VLOOKUP($C375,武器!$1:$998,COLUMN(E$1),FALSE)+IFERROR(VLOOKUP($CI375,装強!$1:$999,COLUMN(G$1),FALSE),0))*VLOOKUP($D375,素材!$1:$1016,COLUMN($E$1),FALSE),0),"")</f>
        <v>35</v>
      </c>
      <c r="H375">
        <f>IFERROR(ROUNDDOWN((VLOOKUP($C375,武器!$1:$998,COLUMN(F$1),FALSE)+IFERROR(VLOOKUP($CI375,装強!$1:$999,COLUMN(H$1),FALSE),0))*VLOOKUP($D375,素材!$1:$1016,COLUMN($E$1),FALSE),0),"")</f>
        <v>20</v>
      </c>
      <c r="I375">
        <f>IFERROR(ROUNDDOWN((VLOOKUP($C375,武器!$1:$998,COLUMN(G$1),FALSE)+IFERROR(VLOOKUP($CI375,装強!$1:$999,COLUMN(I$1),FALSE),0))*VLOOKUP($D375,素材!$1:$1016,COLUMN($E$1),FALSE),0),"")</f>
        <v>5</v>
      </c>
      <c r="J375">
        <f>IFERROR(ROUNDDOWN((VLOOKUP($C375,武器!$1:$998,COLUMN(H$1),FALSE)+IFERROR(VLOOKUP($CI375,装強!$1:$999,COLUMN(J$1),FALSE),0))*VLOOKUP($D375,素材!$1:$1016,COLUMN($E$1),FALSE),0),"")</f>
        <v>42</v>
      </c>
      <c r="K375">
        <f>IFERROR(ROUNDDOWN((VLOOKUP($C375,武器!$1:$998,COLUMN(I$1),FALSE)+IFERROR(VLOOKUP($CI375,装強!$1:$999,COLUMN(K$1),FALSE),0))*VLOOKUP($D375,素材!$1:$1016,COLUMN($E$1),FALSE),0),"")</f>
        <v>0</v>
      </c>
      <c r="L375" t="str">
        <f>IFERROR(VLOOKUP($D375,素材!$1:$1016,COLUMN($F$1),FALSE),"")</f>
        <v>物理</v>
      </c>
      <c r="M375">
        <f>IFERROR(VLOOKUP($C375,武器!$1:$998,COLUMN(AA$1),FALSE)*VLOOKUP($D375,素材!$1:$1016,COLUMN($G$1),FALSE),"")</f>
        <v>0</v>
      </c>
      <c r="N375">
        <f>IFERROR(VLOOKUP($C375,武器!$1:$998,COLUMN(I$1),FALSE),"")</f>
        <v>0</v>
      </c>
      <c r="O375" s="23">
        <f>IFERROR((VLOOKUP($C375,武器!$1:$998,COLUMN(K$1),FALSE)+VLOOKUP($D375,素材!$1:$1016,COLUMN(H$1),FALSE))*100+IFERROR(VLOOKUP($CI375,装強!$1:$999,COLUMN(O$1),FALSE),0),"")</f>
        <v>15.000000000000002</v>
      </c>
      <c r="P375" s="23">
        <f>IFERROR((VLOOKUP($C375,武器!$1:$998,COLUMN(L$1),FALSE)+VLOOKUP($D375,素材!$1:$1016,COLUMN(I$1),FALSE))*100+IFERROR(VLOOKUP($CI375,装強!$1:$999,COLUMN(P$1),FALSE),0),"")</f>
        <v>185</v>
      </c>
      <c r="Q375">
        <f>IFERROR(ROUNDUP(VLOOKUP($C375,武器!$1:$998,COLUMN(M$1),FALSE)*(VLOOKUP($D375,素材!$1:$1002,COLUMN(D$1),FALSE)/100),1),"")</f>
        <v>0</v>
      </c>
      <c r="R375">
        <f>IFERROR(ROUNDUP(VLOOKUP($C375,武器!$1:$998,COLUMN(N$1),FALSE)*(VLOOKUP($D375,素材!$1:$1002,COLUMN(D$1),FALSE)/100),1),"")</f>
        <v>0</v>
      </c>
      <c r="S375">
        <f>IFERROR(VLOOKUP($C375,武器!$1:$998,COLUMN(P$1),FALSE),"")</f>
        <v>0</v>
      </c>
      <c r="T375">
        <f>IFERROR(VLOOKUP($C375,武器!$1:$998,COLUMN(Q$1),FALSE),"")</f>
        <v>0</v>
      </c>
      <c r="U375">
        <f>IFERROR(VLOOKUP($C375,武器!$1:$998,COLUMN(R$1),FALSE),"")</f>
        <v>0</v>
      </c>
      <c r="V375">
        <f>IFERROR(VLOOKUP($C375,武器!$1:$998,COLUMN(Q$1),FALSE),"")</f>
        <v>0</v>
      </c>
      <c r="W375" t="str">
        <f>IFERROR(VLOOKUP($C375,武器!$1:$998,COLUMN(T$1),FALSE),"")</f>
        <v>A</v>
      </c>
      <c r="Y375">
        <f>IFERROR(VLOOKUP($C375,武器!$1:$998,COLUMN(U$1),FALSE),"")</f>
        <v>0</v>
      </c>
      <c r="Z375">
        <f>IFERROR(ROUNDUP(VLOOKUP($C375,武器!$1:$998,COLUMN(O$1),FALSE)*VLOOKUP($D375,素材!$1:$1016,COLUMN(E$1),FALSE),1),"")</f>
        <v>0</v>
      </c>
      <c r="AA375">
        <f>IF(ISNUMBER(SEARCH(SUBSTITUTE(AA$1,RIGHT(AA$1,2),""),VLOOKUP($D375,素材!$1:$1016,COLUMN($F$1),FALSE))),VLOOKUP($C375,武器!$1:$998,COLUMN($O$1),FALSE)*VLOOKUP($D375,素材!$1:$1016,COLUMN($E$1),FALSE)/(LEN(VLOOKUP($D375,素材!$1:$1016,COLUMN($F$1),FALSE)) - LEN(SUBSTITUTE(VLOOKUP($D375,素材!$1:$1016,COLUMN($F$1),FALSE), "・", 0)) + 1), 0)</f>
        <v>0</v>
      </c>
      <c r="AB375">
        <f>IF(ISNUMBER(SEARCH(SUBSTITUTE(AB$1,RIGHT(AB$1,2),""),VLOOKUP($D375,素材!$1:$1016,COLUMN($F$1),FALSE))),VLOOKUP($C375,武器!$1:$998,COLUMN($O$1),FALSE)*VLOOKUP($D375,素材!$1:$1016,COLUMN($E$1),FALSE)/(LEN(VLOOKUP($D375,素材!$1:$1016,COLUMN($F$1),FALSE)) - LEN(SUBSTITUTE(VLOOKUP($D375,素材!$1:$1016,COLUMN($F$1),FALSE), "・", 0)) + 1), 0)</f>
        <v>0</v>
      </c>
      <c r="AC375">
        <f>IF(ISNUMBER(SEARCH(SUBSTITUTE(AC$1,RIGHT(AC$1,2),""),VLOOKUP($D375,素材!$1:$1016,COLUMN($F$1),FALSE))),VLOOKUP($C375,武器!$1:$998,COLUMN($O$1),FALSE)*VLOOKUP($D375,素材!$1:$1016,COLUMN($E$1),FALSE)/(LEN(VLOOKUP($D375,素材!$1:$1016,COLUMN($F$1),FALSE)) - LEN(SUBSTITUTE(VLOOKUP($D375,素材!$1:$1016,COLUMN($F$1),FALSE), "・", 0)) + 1), 0)</f>
        <v>0</v>
      </c>
      <c r="AD375">
        <f>IF(ISNUMBER(SEARCH(SUBSTITUTE(AD$1,RIGHT(AD$1,2),""),VLOOKUP($D375,素材!$1:$1016,COLUMN($F$1),FALSE))),VLOOKUP($C375,武器!$1:$998,COLUMN($O$1),FALSE)*VLOOKUP($D375,素材!$1:$1016,COLUMN($E$1),FALSE)/(LEN(VLOOKUP($D375,素材!$1:$1016,COLUMN($F$1),FALSE)) - LEN(SUBSTITUTE(VLOOKUP($D375,素材!$1:$1016,COLUMN($F$1),FALSE), "・", 0)) + 1), 0)</f>
        <v>0</v>
      </c>
      <c r="AE375">
        <f>IF(ISNUMBER(SEARCH(SUBSTITUTE(AE$1,RIGHT(AE$1,2),""),VLOOKUP($D375,素材!$1:$1016,COLUMN($F$1),FALSE))),VLOOKUP($C375,武器!$1:$998,COLUMN($O$1),FALSE)*VLOOKUP($D375,素材!$1:$1016,COLUMN($E$1),FALSE)/(LEN(VLOOKUP($D375,素材!$1:$1016,COLUMN($F$1),FALSE)) - LEN(SUBSTITUTE(VLOOKUP($D375,素材!$1:$1016,COLUMN($F$1),FALSE), "・", 0)) + 1), 0)+IF($CI375&lt;&gt;"",VLOOKUP($CI375,装強!$A$1:AZ$1005,COLUMN(装強!AZ$1),FALSE),0)</f>
        <v>0</v>
      </c>
      <c r="AF375">
        <f>IF(ISNUMBER(SEARCH(SUBSTITUTE(AF$1,RIGHT(AF$1,2),""),VLOOKUP($D375,素材!$1:$1016,COLUMN($F$1),FALSE))),VLOOKUP($C375,武器!$1:$998,COLUMN($O$1),FALSE)*VLOOKUP($D375,素材!$1:$1016,COLUMN($E$1),FALSE)/(LEN(VLOOKUP($D375,素材!$1:$1016,COLUMN($F$1),FALSE)) - LEN(SUBSTITUTE(VLOOKUP($D375,素材!$1:$1016,COLUMN($F$1),FALSE), "・", 0)) + 1), 0)+IF($CI375&lt;&gt;"",VLOOKUP($CI375,装強!$A$1:BA$1005,COLUMN(装強!BA$1),FALSE),0)</f>
        <v>0</v>
      </c>
      <c r="AG375">
        <f>IF(ISNUMBER(SEARCH(SUBSTITUTE(AG$1,RIGHT(AG$1,2),""),VLOOKUP($D375,素材!$1:$1016,COLUMN($F$1),FALSE))),VLOOKUP($C375,武器!$1:$998,COLUMN($O$1),FALSE)*VLOOKUP($D375,素材!$1:$1016,COLUMN($E$1),FALSE)/(LEN(VLOOKUP($D375,素材!$1:$1016,COLUMN($F$1),FALSE)) - LEN(SUBSTITUTE(VLOOKUP($D375,素材!$1:$1016,COLUMN($F$1),FALSE), "・", 0)) + 1), 0)+IF($CI375&lt;&gt;"",VLOOKUP($CI375,装強!$A$1:BB$1005,COLUMN(装強!BB$1),FALSE),0)</f>
        <v>0</v>
      </c>
      <c r="AH375">
        <f>IF(ISNUMBER(SEARCH(SUBSTITUTE(AH$1,RIGHT(AH$1,2),""),VLOOKUP($D375,素材!$1:$1016,COLUMN($F$1),FALSE))),VLOOKUP($C375,武器!$1:$998,COLUMN($O$1),FALSE)*VLOOKUP($D375,素材!$1:$1016,COLUMN($E$1),FALSE)/(LEN(VLOOKUP($D375,素材!$1:$1016,COLUMN($F$1),FALSE)) - LEN(SUBSTITUTE(VLOOKUP($D375,素材!$1:$1016,COLUMN($F$1),FALSE), "・", 0)) + 1), 0)+IF($CI375&lt;&gt;"",VLOOKUP($CI375,装強!$A$1:BC$1005,COLUMN(装強!BC$1),FALSE),0)</f>
        <v>0</v>
      </c>
      <c r="AI375">
        <f>IF(ISNUMBER(SEARCH(SUBSTITUTE(AI$1,RIGHT(AI$1,2),""),VLOOKUP($D375,素材!$1:$1016,COLUMN($F$1),FALSE))),VLOOKUP($C375,武器!$1:$998,COLUMN($O$1),FALSE)*VLOOKUP($D375,素材!$1:$1016,COLUMN($E$1),FALSE)/(LEN(VLOOKUP($D375,素材!$1:$1016,COLUMN($F$1),FALSE)) - LEN(SUBSTITUTE(VLOOKUP($D375,素材!$1:$1016,COLUMN($F$1),FALSE), "・", 0)) + 1), 0)+IF($CI375&lt;&gt;"",VLOOKUP($CI375,装強!$A$1:BD$1005,COLUMN(装強!BD$1),FALSE),0)</f>
        <v>0</v>
      </c>
      <c r="AJ375">
        <f>IF(ISNUMBER(SEARCH(SUBSTITUTE(AJ$1,RIGHT(AJ$1,2),""),VLOOKUP($D375,素材!$1:$1016,COLUMN($F$1),FALSE))),VLOOKUP($C375,武器!$1:$998,COLUMN($O$1),FALSE)*VLOOKUP($D375,素材!$1:$1016,COLUMN($E$1),FALSE)/(LEN(VLOOKUP($D375,素材!$1:$1016,COLUMN($F$1),FALSE)) - LEN(SUBSTITUTE(VLOOKUP($D375,素材!$1:$1016,COLUMN($F$1),FALSE), "・", 0)) + 1), 0)+IF($CI375&lt;&gt;"",VLOOKUP($CI375,装強!$A$1:BE$1005,COLUMN(装強!BE$1),FALSE),0)</f>
        <v>0</v>
      </c>
      <c r="AK375">
        <f>IF(ISNUMBER(SEARCH(SUBSTITUTE(AK$1,RIGHT(AK$1,2),""),VLOOKUP($D375,素材!$1:$1016,COLUMN($F$1),FALSE))),VLOOKUP($C375,武器!$1:$998,COLUMN($O$1),FALSE)*VLOOKUP($D375,素材!$1:$1016,COLUMN($E$1),FALSE)/(LEN(VLOOKUP($D375,素材!$1:$1016,COLUMN($F$1),FALSE)) - LEN(SUBSTITUTE(VLOOKUP($D375,素材!$1:$1016,COLUMN($F$1),FALSE), "・", 0)) + 1), 0)+IF($CI375&lt;&gt;"",VLOOKUP($CI375,装強!$A$1:BF$1005,COLUMN(装強!BF$1),FALSE),0)</f>
        <v>0</v>
      </c>
      <c r="AL375">
        <f>IF(ISNUMBER(SEARCH(SUBSTITUTE(AL$1,RIGHT(AL$1,2),""),VLOOKUP($D375,素材!$1:$1016,COLUMN($F$1),FALSE))),VLOOKUP($C375,武器!$1:$998,COLUMN($O$1),FALSE)*VLOOKUP($D375,素材!$1:$1016,COLUMN($E$1),FALSE)/(LEN(VLOOKUP($D375,素材!$1:$1016,COLUMN($F$1),FALSE)) - LEN(SUBSTITUTE(VLOOKUP($D375,素材!$1:$1016,COLUMN($F$1),FALSE), "・", 0)) + 1), 0)+IF($CI375&lt;&gt;"",VLOOKUP($CI375,装強!$A$1:BG$1005,COLUMN(装強!BG$1),FALSE),0)</f>
        <v>0</v>
      </c>
      <c r="AM375">
        <f>IF(ISNUMBER(SEARCH(SUBSTITUTE(AM$1,RIGHT(AM$1,2),""),VLOOKUP($D375,素材!$1:$1016,COLUMN($F$1),FALSE))),VLOOKUP($C375,武器!$1:$998,COLUMN($O$1),FALSE)*VLOOKUP($D375,素材!$1:$1016,COLUMN($E$1),FALSE)/(LEN(VLOOKUP($D375,素材!$1:$1016,COLUMN($F$1),FALSE)) - LEN(SUBSTITUTE(VLOOKUP($D375,素材!$1:$1016,COLUMN($F$1),FALSE), "・", 0)) + 1), 0)+IF($CI375&lt;&gt;"",VLOOKUP($CI375,装強!$A$1:BH$1005,COLUMN(装強!BH$1),FALSE),0)</f>
        <v>0</v>
      </c>
      <c r="AN375">
        <f>IF(ISNUMBER(SEARCH(SUBSTITUTE(AN$1,RIGHT(AN$1,2),""),VLOOKUP($D375,素材!$1:$1016,COLUMN($F$1),FALSE))),VLOOKUP($C375,武器!$1:$998,COLUMN($O$1),FALSE)*VLOOKUP($D375,素材!$1:$1016,COLUMN($E$1),FALSE)/(LEN(VLOOKUP($D375,素材!$1:$1016,COLUMN($F$1),FALSE)) - LEN(SUBSTITUTE(VLOOKUP($D375,素材!$1:$1016,COLUMN($F$1),FALSE), "・", 0)) + 1), 0)+IF($CI375&lt;&gt;"",VLOOKUP($CI375,装強!$A$1:BI$1005,COLUMN(装強!BI$1),FALSE),0)</f>
        <v>0</v>
      </c>
      <c r="AO375">
        <f>IF(ISNUMBER(SEARCH(SUBSTITUTE(AO$1,RIGHT(AO$1,2),""),VLOOKUP($D375,素材!$1:$1016,COLUMN($F$1),FALSE))),VLOOKUP($C375,武器!$1:$998,COLUMN($O$1),FALSE)*VLOOKUP($D375,素材!$1:$1016,COLUMN($E$1),FALSE)/(LEN(VLOOKUP($D375,素材!$1:$1016,COLUMN($F$1),FALSE)) - LEN(SUBSTITUTE(VLOOKUP($D375,素材!$1:$1016,COLUMN($F$1),FALSE), "・", 0)) + 1), 0)+IF($CI375&lt;&gt;"",VLOOKUP($CI375,装強!$A$1:BK$1005,COLUMN(装強!BK$1),FALSE),0)</f>
        <v>0</v>
      </c>
      <c r="AP375">
        <f>IF(ISNUMBER(SEARCH(SUBSTITUTE(AP$1,RIGHT(AP$1,2),""),VLOOKUP($D375,素材!$1:$1016,COLUMN($F$1),FALSE))),VLOOKUP($C375,武器!$1:$998,COLUMN($O$1),FALSE)*VLOOKUP($D375,素材!$1:$1016,COLUMN($E$1),FALSE)/(LEN(VLOOKUP($D375,素材!$1:$1016,COLUMN($F$1),FALSE)) - LEN(SUBSTITUTE(VLOOKUP($D375,素材!$1:$1016,COLUMN($F$1),FALSE), "・", 0)) + 1), 0)+IF($CI375&lt;&gt;"",VLOOKUP($CI375,装強!$A$1:BL$1005,COLUMN(装強!BL$1),FALSE),0)</f>
        <v>0</v>
      </c>
      <c r="AQ375">
        <f>IF(ISNUMBER(SEARCH(SUBSTITUTE(AQ$1,RIGHT(AQ$1,2),""),VLOOKUP($D375,素材!$1:$1016,COLUMN($F$1),FALSE))),VLOOKUP($C375,武器!$1:$998,COLUMN($O$1),FALSE)*VLOOKUP($D375,素材!$1:$1016,COLUMN($E$1),FALSE)/(LEN(VLOOKUP($D375,素材!$1:$1016,COLUMN($F$1),FALSE)) - LEN(SUBSTITUTE(VLOOKUP($D375,素材!$1:$1016,COLUMN($F$1),FALSE), "・", 0)) + 1), 0)+IF($CI375&lt;&gt;"",VLOOKUP($CI375,装強!$A$1:BM$1005,COLUMN(装強!BM$1),FALSE),0)</f>
        <v>0</v>
      </c>
      <c r="AR375">
        <f>IF(ISNUMBER(SEARCH(SUBSTITUTE(AR$1,RIGHT(AR$1,2),""),VLOOKUP($D375,素材!$1:$1016,COLUMN($F$1),FALSE))),VLOOKUP($C375,武器!$1:$998,COLUMN($O$1),FALSE)*VLOOKUP($D375,素材!$1:$1016,COLUMN($E$1),FALSE)/(LEN(VLOOKUP($D375,素材!$1:$1016,COLUMN($F$1),FALSE)) - LEN(SUBSTITUTE(VLOOKUP($D375,素材!$1:$1016,COLUMN($F$1),FALSE), "・", 0)) + 1), 0)+IF($CI375&lt;&gt;"",VLOOKUP($CI375,装強!$A$1:BN$1005,COLUMN(装強!BN$1),FALSE),0)</f>
        <v>0</v>
      </c>
      <c r="AS375">
        <f>IF(ISNUMBER(SEARCH(SUBSTITUTE(AS$1,RIGHT(AS$1,2),""),VLOOKUP($D375,素材!$1:$1016,COLUMN($F$1),FALSE))),VLOOKUP($C375,武器!$1:$998,COLUMN($O$1),FALSE)*VLOOKUP($D375,素材!$1:$1016,COLUMN($E$1),FALSE)/(LEN(VLOOKUP($D375,素材!$1:$1016,COLUMN($F$1),FALSE)) - LEN(SUBSTITUTE(VLOOKUP($D375,素材!$1:$1016,COLUMN($F$1),FALSE), "・", 0)) + 1), 0)+IF($CI375&lt;&gt;"",VLOOKUP($CI375,装強!$A$1:BO$1005,COLUMN(装強!BO$1),FALSE),0)</f>
        <v>0</v>
      </c>
      <c r="AT375">
        <f>IF(ISNUMBER(SEARCH(SUBSTITUTE(AT$1,RIGHT(AT$1,2),""),VLOOKUP($D375,素材!$1:$1016,COLUMN($F$1),FALSE))),VLOOKUP($C375,武器!$1:$998,COLUMN($O$1),FALSE)*VLOOKUP($D375,素材!$1:$1016,COLUMN($E$1),FALSE)/(LEN(VLOOKUP($D375,素材!$1:$1016,COLUMN($F$1),FALSE)) - LEN(SUBSTITUTE(VLOOKUP($D375,素材!$1:$1016,COLUMN($F$1),FALSE), "・", 0)) + 1), 0)+IF($CI375&lt;&gt;"",VLOOKUP($CI375,装強!$A$1:BP$1005,COLUMN(装強!BP$1),FALSE),0)</f>
        <v>0</v>
      </c>
      <c r="AU375">
        <f>IF(ISNUMBER(SEARCH(SUBSTITUTE(AU$1,RIGHT(AU$1,2),""),VLOOKUP($D375,素材!$1:$1016,COLUMN($F$1),FALSE))),VLOOKUP($C375,武器!$1:$998,COLUMN($O$1),FALSE)*VLOOKUP($D375,素材!$1:$1016,COLUMN($E$1),FALSE)/(LEN(VLOOKUP($D375,素材!$1:$1016,COLUMN($F$1),FALSE)) - LEN(SUBSTITUTE(VLOOKUP($D375,素材!$1:$1016,COLUMN($F$1),FALSE), "・", 0)) + 1), 0)+IF($CI375&lt;&gt;"",VLOOKUP($CI375,装強!$A$1:BQ$1005,COLUMN(装強!BQ$1),FALSE),0)</f>
        <v>0</v>
      </c>
      <c r="AV375">
        <f>IF(ISNUMBER(SEARCH(SUBSTITUTE(AV$1,RIGHT(AV$1,2),""),VLOOKUP($D375,素材!$1:$1016,COLUMN($F$1),FALSE))),VLOOKUP($C375,武器!$1:$998,COLUMN($O$1),FALSE)*VLOOKUP($D375,素材!$1:$1016,COLUMN($E$1),FALSE)/(LEN(VLOOKUP($D375,素材!$1:$1016,COLUMN($F$1),FALSE)) - LEN(SUBSTITUTE(VLOOKUP($D375,素材!$1:$1016,COLUMN($F$1),FALSE), "・", 0)) + 1), 0)+IF($CI375&lt;&gt;"",VLOOKUP($CI375,装強!$A$1:BR$1005,COLUMN(装強!BR$1),FALSE),0)</f>
        <v>0</v>
      </c>
      <c r="AW375">
        <f>IF(ISNUMBER(SEARCH(SUBSTITUTE(AW$1,RIGHT(AW$1,2),""),VLOOKUP($D375,素材!$1:$1016,COLUMN($F$1),FALSE))),VLOOKUP($C375,武器!$1:$998,COLUMN($O$1),FALSE)*VLOOKUP($D375,素材!$1:$1016,COLUMN($E$1),FALSE)/(LEN(VLOOKUP($D375,素材!$1:$1016,COLUMN($F$1),FALSE)) - LEN(SUBSTITUTE(VLOOKUP($D375,素材!$1:$1016,COLUMN($F$1),FALSE), "・", 0)) + 1), 0)+IF($CI375&lt;&gt;"",VLOOKUP($CI375,装強!$A$1:BS$1005,COLUMN(装強!BS$1),FALSE),0)</f>
        <v>0</v>
      </c>
      <c r="AX375">
        <f>IF(ISNUMBER(SEARCH(SUBSTITUTE(AX$1,RIGHT(AX$1,2),""),VLOOKUP($D375,素材!$1:$1016,COLUMN($F$1),FALSE))),VLOOKUP($C375,武器!$1:$998,COLUMN($O$1),FALSE)*VLOOKUP($D375,素材!$1:$1016,COLUMN($E$1),FALSE)/(LEN(VLOOKUP($D375,素材!$1:$1016,COLUMN($F$1),FALSE)) - LEN(SUBSTITUTE(VLOOKUP($D375,素材!$1:$1016,COLUMN($F$1),FALSE), "・", 0)) + 1), 0)+IF($CI375&lt;&gt;"",VLOOKUP($CI375,装強!$A$1:BT$1005,COLUMN(装強!BT$1),FALSE),0)</f>
        <v>0</v>
      </c>
      <c r="AY375">
        <f>IF(ISNUMBER(SEARCH(SUBSTITUTE(AY$1,RIGHT(AY$1,2),""),VLOOKUP($D375,素材!$1:$1016,COLUMN($F$1),FALSE))),VLOOKUP($C375,武器!$1:$998,COLUMN($O$1),FALSE)*VLOOKUP($D375,素材!$1:$1016,COLUMN($E$1),FALSE)/(LEN(VLOOKUP($D375,素材!$1:$1016,COLUMN($F$1),FALSE)) - LEN(SUBSTITUTE(VLOOKUP($D375,素材!$1:$1016,COLUMN($F$1),FALSE), "・", 0)) + 1), 0)+IF($CI375&lt;&gt;"",VLOOKUP($CI375,装強!$A$1:BU$1005,COLUMN(装強!BU$1),FALSE),0)</f>
        <v>0</v>
      </c>
      <c r="AZ375">
        <f>IF(ISNUMBER(SEARCH(SUBSTITUTE(AZ$1,RIGHT(AZ$1,2),""),VLOOKUP($D375,素材!$1:$1016,COLUMN($F$1),FALSE))),VLOOKUP($C375,武器!$1:$998,COLUMN($O$1),FALSE)*VLOOKUP($D375,素材!$1:$1016,COLUMN($E$1),FALSE)/(LEN(VLOOKUP($D375,素材!$1:$1016,COLUMN($F$1),FALSE)) - LEN(SUBSTITUTE(VLOOKUP($D375,素材!$1:$1016,COLUMN($F$1),FALSE), "・", 0)) + 1), 0)+IF($CI375&lt;&gt;"",VLOOKUP($CI375,装強!$A$1:BV$1005,COLUMN(装強!BV$1),FALSE),0)</f>
        <v>0</v>
      </c>
      <c r="BA375">
        <f>IF(ISNUMBER(SEARCH(SUBSTITUTE(BA$1,RIGHT(BA$1,2),""),VLOOKUP($D375,素材!$1:$1016,COLUMN($F$1),FALSE))),VLOOKUP($C375,武器!$1:$998,COLUMN($O$1),FALSE)*VLOOKUP($D375,素材!$1:$1016,COLUMN($E$1),FALSE)/(LEN(VLOOKUP($D375,素材!$1:$1016,COLUMN($F$1),FALSE)) - LEN(SUBSTITUTE(VLOOKUP($D375,素材!$1:$1016,COLUMN($F$1),FALSE), "・", 0)) + 1), 0)+IF($CI375&lt;&gt;"",VLOOKUP($CI375,装強!$A$1:BW$1005,COLUMN(装強!BW$1),FALSE),0)</f>
        <v>0</v>
      </c>
      <c r="BB375">
        <f>IF(ISNUMBER(SEARCH(SUBSTITUTE(BB$1,RIGHT(BB$1,2),""),VLOOKUP($D375,素材!$1:$1016,COLUMN($F$1),FALSE))),VLOOKUP($C375,武器!$1:$998,COLUMN($O$1),FALSE)*VLOOKUP($D375,素材!$1:$1016,COLUMN($E$1),FALSE)/(LEN(VLOOKUP($D375,素材!$1:$1016,COLUMN($F$1),FALSE)) - LEN(SUBSTITUTE(VLOOKUP($D375,素材!$1:$1016,COLUMN($F$1),FALSE), "・", 0)) + 1), 0)+IF($CI375&lt;&gt;"",VLOOKUP($CI375,装強!$A$1:BX$1005,COLUMN(装強!BX$1),FALSE),0)</f>
        <v>0</v>
      </c>
      <c r="BC375">
        <f>IF(ISNUMBER(SEARCH(SUBSTITUTE(BC$1,RIGHT(BC$1,2),""),VLOOKUP($D375,素材!$1:$1016,COLUMN($F$1),FALSE))),VLOOKUP($C375,武器!$1:$998,COLUMN($O$1),FALSE)*VLOOKUP($D375,素材!$1:$1016,COLUMN($E$1),FALSE)/(LEN(VLOOKUP($D375,素材!$1:$1016,COLUMN($F$1),FALSE)) - LEN(SUBSTITUTE(VLOOKUP($D375,素材!$1:$1016,COLUMN($F$1),FALSE), "・", 0)) + 1), 0)+IF($CI375&lt;&gt;"",VLOOKUP($CI375,装強!$A$1:BY$1005,COLUMN(装強!BY$1),FALSE),0)</f>
        <v>0</v>
      </c>
      <c r="BD375">
        <f>IF(ISNUMBER(SEARCH(SUBSTITUTE(BD$1,RIGHT(BD$1,2),""),VLOOKUP($D375,素材!$1:$1016,COLUMN($F$1),FALSE))),VLOOKUP($C375,武器!$1:$998,COLUMN($O$1),FALSE)*VLOOKUP($D375,素材!$1:$1016,COLUMN($E$1),FALSE)/(LEN(VLOOKUP($D375,素材!$1:$1016,COLUMN($F$1),FALSE)) - LEN(SUBSTITUTE(VLOOKUP($D375,素材!$1:$1016,COLUMN($F$1),FALSE), "・", 0)) + 1), 0)+IF($CI375&lt;&gt;"",VLOOKUP($CI375,装強!$A$1:BZ$1005,COLUMN(装強!BZ$1),FALSE),0)</f>
        <v>0</v>
      </c>
      <c r="BE375">
        <f>IF(ISNUMBER(SEARCH(SUBSTITUTE(BE$1,RIGHT(BE$1,2),""),VLOOKUP($D375,素材!$1:$1016,COLUMN($F$1),FALSE))),VLOOKUP($C375,武器!$1:$998,COLUMN($O$1),FALSE)*VLOOKUP($D375,素材!$1:$1016,COLUMN($E$1),FALSE)/(LEN(VLOOKUP($D375,素材!$1:$1016,COLUMN($F$1),FALSE)) - LEN(SUBSTITUTE(VLOOKUP($D375,素材!$1:$1016,COLUMN($F$1),FALSE), "・", 0)) + 1), 0)+IF($CI375&lt;&gt;"",VLOOKUP($CI375,装強!$A$1:CA$1005,COLUMN(装強!CA$1),FALSE),0)</f>
        <v>0</v>
      </c>
      <c r="CL375">
        <f>SUM(G375:I375)</f>
        <v>60</v>
      </c>
      <c r="CM375" s="22" t="str">
        <f>IF(E375="武器",IF(J375-1&gt;SUM(G375:I375),"盾",IF(MAX(G375:I375)=G375,"切断",IF(MAX(G375:I375)=H375,"貫通",IF(MAX(G375:I375)=I375,"打撃","射撃")))),E375)&amp;".webp"</f>
        <v>切断.webp</v>
      </c>
      <c r="CN375">
        <f>IFERROR(VLOOKUP($C375,武器!$1:$998,COLUMN(V$1),FALSE)*VLOOKUP($D375,素材!$1:$1016,COLUMN(N$1),FALSE)+IF(CI375="",0,VLOOKUP($CI375,装強!$1:$1008,COLUMN($CK$1),FALSE)),"")</f>
        <v>20000</v>
      </c>
      <c r="CO375">
        <f>VLOOKUP(D375,素材!$A:$O,COLUMN(素材!O$1),FALSE)</f>
        <v>0</v>
      </c>
      <c r="CP375" t="str">
        <f>VLOOKUP(C375,武器!$A:$W,COLUMN(武器!W$1),FALSE)</f>
        <v>刀。切断力に優れた武器で、Cr威力が高い</v>
      </c>
      <c r="CR375" t="str">
        <f t="shared" si="39"/>
        <v>e_375</v>
      </c>
      <c r="CS375">
        <f t="shared" si="41"/>
        <v>2000000</v>
      </c>
    </row>
    <row r="376" spans="1:97" outlineLevel="1" x14ac:dyDescent="0.4">
      <c r="A376" s="1" t="s">
        <v>1291</v>
      </c>
      <c r="B376" t="s">
        <v>1292</v>
      </c>
      <c r="C376" t="s">
        <v>1261</v>
      </c>
      <c r="D376" s="24" t="s">
        <v>1290</v>
      </c>
      <c r="E376" t="str">
        <f>IFERROR(VLOOKUP(C376,武器!$1:$998,COLUMN(C$1),FALSE),"")</f>
        <v>武器</v>
      </c>
      <c r="F376">
        <f>IFERROR(ROUNDDOWN((VLOOKUP($C376,武器!$1:$998,COLUMN(D$1),FALSE)+IFERROR(VLOOKUP($CI376,装強!$1:$999,COLUMN(F$1),FALSE),0))*VLOOKUP($D376,素材!$1:$1016,COLUMN(D$1),FALSE),0),"")</f>
        <v>105</v>
      </c>
      <c r="G376">
        <f>IFERROR(ROUNDDOWN((VLOOKUP($C376,武器!$1:$998,COLUMN(E$1),FALSE)+IFERROR(VLOOKUP($CI376,装強!$1:$999,COLUMN(G$1),FALSE),0))*VLOOKUP($D376,素材!$1:$1016,COLUMN($E$1),FALSE),0),"")</f>
        <v>17</v>
      </c>
      <c r="H376">
        <f>IFERROR(ROUNDDOWN((VLOOKUP($C376,武器!$1:$998,COLUMN(F$1),FALSE)+IFERROR(VLOOKUP($CI376,装強!$1:$999,COLUMN(H$1),FALSE),0))*VLOOKUP($D376,素材!$1:$1016,COLUMN($E$1),FALSE),0),"")</f>
        <v>10</v>
      </c>
      <c r="I376">
        <f>IFERROR(ROUNDDOWN((VLOOKUP($C376,武器!$1:$998,COLUMN(G$1),FALSE)+IFERROR(VLOOKUP($CI376,装強!$1:$999,COLUMN(I$1),FALSE),0))*VLOOKUP($D376,素材!$1:$1016,COLUMN($E$1),FALSE),0),"")</f>
        <v>2</v>
      </c>
      <c r="J376">
        <f>IFERROR(ROUNDDOWN((VLOOKUP($C376,武器!$1:$998,COLUMN(H$1),FALSE)+IFERROR(VLOOKUP($CI376,装強!$1:$999,COLUMN(J$1),FALSE),0))*VLOOKUP($D376,素材!$1:$1016,COLUMN($E$1),FALSE),0),"")</f>
        <v>21</v>
      </c>
      <c r="K376">
        <f>IFERROR(ROUNDDOWN((VLOOKUP($C376,武器!$1:$998,COLUMN(I$1),FALSE)+IFERROR(VLOOKUP($CI376,装強!$1:$999,COLUMN(K$1),FALSE),0))*VLOOKUP($D376,素材!$1:$1016,COLUMN($E$1),FALSE),0),"")</f>
        <v>0</v>
      </c>
      <c r="L376" t="str">
        <f>IFERROR(VLOOKUP($D376,素材!$1:$1016,COLUMN($F$1),FALSE),"")</f>
        <v>闇</v>
      </c>
      <c r="M376">
        <f>IFERROR(VLOOKUP($C376,武器!$1:$998,COLUMN(AA$1),FALSE)*VLOOKUP($D376,素材!$1:$1016,COLUMN($G$1),FALSE),"")</f>
        <v>48</v>
      </c>
      <c r="N376">
        <f>IFERROR(VLOOKUP($C376,武器!$1:$998,COLUMN(I$1),FALSE),"")</f>
        <v>0</v>
      </c>
      <c r="O376" s="23">
        <f>IFERROR((VLOOKUP($C376,武器!$1:$998,COLUMN(K$1),FALSE)+VLOOKUP($D376,素材!$1:$1016,COLUMN(H$1),FALSE))*100+IFERROR(VLOOKUP($CI376,装強!$1:$999,COLUMN(O$1),FALSE),0),"")</f>
        <v>12.000000000000002</v>
      </c>
      <c r="P376" s="23">
        <f>IFERROR((VLOOKUP($C376,武器!$1:$998,COLUMN(L$1),FALSE)+VLOOKUP($D376,素材!$1:$1016,COLUMN(I$1),FALSE))*100+IFERROR(VLOOKUP($CI376,装強!$1:$999,COLUMN(P$1),FALSE),0),"")</f>
        <v>180</v>
      </c>
      <c r="Q376">
        <f>IFERROR(ROUNDUP(VLOOKUP($C376,武器!$1:$998,COLUMN(M$1),FALSE)*(VLOOKUP($D376,素材!$1:$1002,COLUMN(D$1),FALSE)/100),1),"")</f>
        <v>0</v>
      </c>
      <c r="R376">
        <f>IFERROR(ROUNDUP(VLOOKUP($C376,武器!$1:$998,COLUMN(N$1),FALSE)*(VLOOKUP($D376,素材!$1:$1002,COLUMN(D$1),FALSE)/100),1),"")</f>
        <v>0</v>
      </c>
      <c r="S376">
        <f>IFERROR(VLOOKUP($C376,武器!$1:$998,COLUMN(P$1),FALSE),"")</f>
        <v>0</v>
      </c>
      <c r="T376">
        <f>IFERROR(VLOOKUP($C376,武器!$1:$998,COLUMN(Q$1),FALSE),"")</f>
        <v>0</v>
      </c>
      <c r="U376">
        <f>IFERROR(VLOOKUP($C376,武器!$1:$998,COLUMN(R$1),FALSE),"")</f>
        <v>0</v>
      </c>
      <c r="V376">
        <f>IFERROR(VLOOKUP($C376,武器!$1:$998,COLUMN(Q$1),FALSE),"")</f>
        <v>0</v>
      </c>
      <c r="W376" t="str">
        <f>IFERROR(VLOOKUP($C376,武器!$1:$998,COLUMN(T$1),FALSE),"")</f>
        <v>A</v>
      </c>
      <c r="Y376">
        <f>IFERROR(VLOOKUP($C376,武器!$1:$998,COLUMN(U$1),FALSE),"")</f>
        <v>0</v>
      </c>
      <c r="Z376">
        <f>IFERROR(ROUNDUP(VLOOKUP($C376,武器!$1:$998,COLUMN(O$1),FALSE)*VLOOKUP($D376,素材!$1:$1016,COLUMN(E$1),FALSE),1),"")</f>
        <v>0</v>
      </c>
      <c r="AA376">
        <f>IF(ISNUMBER(SEARCH(SUBSTITUTE(AA$1,RIGHT(AA$1,2),""),VLOOKUP($D376,素材!$1:$1016,COLUMN($F$1),FALSE))),VLOOKUP($C376,武器!$1:$998,COLUMN($O$1),FALSE)*VLOOKUP($D376,素材!$1:$1016,COLUMN($E$1),FALSE)/(LEN(VLOOKUP($D376,素材!$1:$1016,COLUMN($F$1),FALSE)) - LEN(SUBSTITUTE(VLOOKUP($D376,素材!$1:$1016,COLUMN($F$1),FALSE), "・", 0)) + 1), 0)</f>
        <v>0</v>
      </c>
      <c r="AB376">
        <f>IF(ISNUMBER(SEARCH(SUBSTITUTE(AB$1,RIGHT(AB$1,2),""),VLOOKUP($D376,素材!$1:$1016,COLUMN($F$1),FALSE))),VLOOKUP($C376,武器!$1:$998,COLUMN($O$1),FALSE)*VLOOKUP($D376,素材!$1:$1016,COLUMN($E$1),FALSE)/(LEN(VLOOKUP($D376,素材!$1:$1016,COLUMN($F$1),FALSE)) - LEN(SUBSTITUTE(VLOOKUP($D376,素材!$1:$1016,COLUMN($F$1),FALSE), "・", 0)) + 1), 0)</f>
        <v>0</v>
      </c>
      <c r="AC376">
        <f>IF(ISNUMBER(SEARCH(SUBSTITUTE(AC$1,RIGHT(AC$1,2),""),VLOOKUP($D376,素材!$1:$1016,COLUMN($F$1),FALSE))),VLOOKUP($C376,武器!$1:$998,COLUMN($O$1),FALSE)*VLOOKUP($D376,素材!$1:$1016,COLUMN($E$1),FALSE)/(LEN(VLOOKUP($D376,素材!$1:$1016,COLUMN($F$1),FALSE)) - LEN(SUBSTITUTE(VLOOKUP($D376,素材!$1:$1016,COLUMN($F$1),FALSE), "・", 0)) + 1), 0)</f>
        <v>0</v>
      </c>
      <c r="AD376">
        <f>IF(ISNUMBER(SEARCH(SUBSTITUTE(AD$1,RIGHT(AD$1,2),""),VLOOKUP($D376,素材!$1:$1016,COLUMN($F$1),FALSE))),VLOOKUP($C376,武器!$1:$998,COLUMN($O$1),FALSE)*VLOOKUP($D376,素材!$1:$1016,COLUMN($E$1),FALSE)/(LEN(VLOOKUP($D376,素材!$1:$1016,COLUMN($F$1),FALSE)) - LEN(SUBSTITUTE(VLOOKUP($D376,素材!$1:$1016,COLUMN($F$1),FALSE), "・", 0)) + 1), 0)</f>
        <v>0</v>
      </c>
      <c r="AE376">
        <f>IF(ISNUMBER(SEARCH(SUBSTITUTE(AE$1,RIGHT(AE$1,2),""),VLOOKUP($D376,素材!$1:$1016,COLUMN($F$1),FALSE))),VLOOKUP($C376,武器!$1:$998,COLUMN($O$1),FALSE)*VLOOKUP($D376,素材!$1:$1016,COLUMN($E$1),FALSE)/(LEN(VLOOKUP($D376,素材!$1:$1016,COLUMN($F$1),FALSE)) - LEN(SUBSTITUTE(VLOOKUP($D376,素材!$1:$1016,COLUMN($F$1),FALSE), "・", 0)) + 1), 0)+IF($CI376&lt;&gt;"",VLOOKUP($CI376,装強!$A$1:AZ$1005,COLUMN(装強!AZ$1),FALSE),0)</f>
        <v>0</v>
      </c>
      <c r="AF376">
        <f>IF(ISNUMBER(SEARCH(SUBSTITUTE(AF$1,RIGHT(AF$1,2),""),VLOOKUP($D376,素材!$1:$1016,COLUMN($F$1),FALSE))),VLOOKUP($C376,武器!$1:$998,COLUMN($O$1),FALSE)*VLOOKUP($D376,素材!$1:$1016,COLUMN($E$1),FALSE)/(LEN(VLOOKUP($D376,素材!$1:$1016,COLUMN($F$1),FALSE)) - LEN(SUBSTITUTE(VLOOKUP($D376,素材!$1:$1016,COLUMN($F$1),FALSE), "・", 0)) + 1), 0)+IF($CI376&lt;&gt;"",VLOOKUP($CI376,装強!$A$1:BA$1005,COLUMN(装強!BA$1),FALSE),0)</f>
        <v>0</v>
      </c>
      <c r="AG376">
        <f>IF(ISNUMBER(SEARCH(SUBSTITUTE(AG$1,RIGHT(AG$1,2),""),VLOOKUP($D376,素材!$1:$1016,COLUMN($F$1),FALSE))),VLOOKUP($C376,武器!$1:$998,COLUMN($O$1),FALSE)*VLOOKUP($D376,素材!$1:$1016,COLUMN($E$1),FALSE)/(LEN(VLOOKUP($D376,素材!$1:$1016,COLUMN($F$1),FALSE)) - LEN(SUBSTITUTE(VLOOKUP($D376,素材!$1:$1016,COLUMN($F$1),FALSE), "・", 0)) + 1), 0)+IF($CI376&lt;&gt;"",VLOOKUP($CI376,装強!$A$1:BB$1005,COLUMN(装強!BB$1),FALSE),0)</f>
        <v>0</v>
      </c>
      <c r="AH376">
        <f>IF(ISNUMBER(SEARCH(SUBSTITUTE(AH$1,RIGHT(AH$1,2),""),VLOOKUP($D376,素材!$1:$1016,COLUMN($F$1),FALSE))),VLOOKUP($C376,武器!$1:$998,COLUMN($O$1),FALSE)*VLOOKUP($D376,素材!$1:$1016,COLUMN($E$1),FALSE)/(LEN(VLOOKUP($D376,素材!$1:$1016,COLUMN($F$1),FALSE)) - LEN(SUBSTITUTE(VLOOKUP($D376,素材!$1:$1016,COLUMN($F$1),FALSE), "・", 0)) + 1), 0)+IF($CI376&lt;&gt;"",VLOOKUP($CI376,装強!$A$1:BC$1005,COLUMN(装強!BC$1),FALSE),0)</f>
        <v>0</v>
      </c>
      <c r="AI376">
        <f>IF(ISNUMBER(SEARCH(SUBSTITUTE(AI$1,RIGHT(AI$1,2),""),VLOOKUP($D376,素材!$1:$1016,COLUMN($F$1),FALSE))),VLOOKUP($C376,武器!$1:$998,COLUMN($O$1),FALSE)*VLOOKUP($D376,素材!$1:$1016,COLUMN($E$1),FALSE)/(LEN(VLOOKUP($D376,素材!$1:$1016,COLUMN($F$1),FALSE)) - LEN(SUBSTITUTE(VLOOKUP($D376,素材!$1:$1016,COLUMN($F$1),FALSE), "・", 0)) + 1), 0)+IF($CI376&lt;&gt;"",VLOOKUP($CI376,装強!$A$1:BD$1005,COLUMN(装強!BD$1),FALSE),0)</f>
        <v>0</v>
      </c>
      <c r="AJ376">
        <f>IF(ISNUMBER(SEARCH(SUBSTITUTE(AJ$1,RIGHT(AJ$1,2),""),VLOOKUP($D376,素材!$1:$1016,COLUMN($F$1),FALSE))),VLOOKUP($C376,武器!$1:$998,COLUMN($O$1),FALSE)*VLOOKUP($D376,素材!$1:$1016,COLUMN($E$1),FALSE)/(LEN(VLOOKUP($D376,素材!$1:$1016,COLUMN($F$1),FALSE)) - LEN(SUBSTITUTE(VLOOKUP($D376,素材!$1:$1016,COLUMN($F$1),FALSE), "・", 0)) + 1), 0)+IF($CI376&lt;&gt;"",VLOOKUP($CI376,装強!$A$1:BE$1005,COLUMN(装強!BE$1),FALSE),0)</f>
        <v>0</v>
      </c>
      <c r="AK376">
        <f>IF(ISNUMBER(SEARCH(SUBSTITUTE(AK$1,RIGHT(AK$1,2),""),VLOOKUP($D376,素材!$1:$1016,COLUMN($F$1),FALSE))),VLOOKUP($C376,武器!$1:$998,COLUMN($O$1),FALSE)*VLOOKUP($D376,素材!$1:$1016,COLUMN($E$1),FALSE)/(LEN(VLOOKUP($D376,素材!$1:$1016,COLUMN($F$1),FALSE)) - LEN(SUBSTITUTE(VLOOKUP($D376,素材!$1:$1016,COLUMN($F$1),FALSE), "・", 0)) + 1), 0)+IF($CI376&lt;&gt;"",VLOOKUP($CI376,装強!$A$1:BF$1005,COLUMN(装強!BF$1),FALSE),0)</f>
        <v>0</v>
      </c>
      <c r="AL376">
        <f>IF(ISNUMBER(SEARCH(SUBSTITUTE(AL$1,RIGHT(AL$1,2),""),VLOOKUP($D376,素材!$1:$1016,COLUMN($F$1),FALSE))),VLOOKUP($C376,武器!$1:$998,COLUMN($O$1),FALSE)*VLOOKUP($D376,素材!$1:$1016,COLUMN($E$1),FALSE)/(LEN(VLOOKUP($D376,素材!$1:$1016,COLUMN($F$1),FALSE)) - LEN(SUBSTITUTE(VLOOKUP($D376,素材!$1:$1016,COLUMN($F$1),FALSE), "・", 0)) + 1), 0)+IF($CI376&lt;&gt;"",VLOOKUP($CI376,装強!$A$1:BG$1005,COLUMN(装強!BG$1),FALSE),0)</f>
        <v>0</v>
      </c>
      <c r="AM376">
        <f>IF(ISNUMBER(SEARCH(SUBSTITUTE(AM$1,RIGHT(AM$1,2),""),VLOOKUP($D376,素材!$1:$1016,COLUMN($F$1),FALSE))),VLOOKUP($C376,武器!$1:$998,COLUMN($O$1),FALSE)*VLOOKUP($D376,素材!$1:$1016,COLUMN($E$1),FALSE)/(LEN(VLOOKUP($D376,素材!$1:$1016,COLUMN($F$1),FALSE)) - LEN(SUBSTITUTE(VLOOKUP($D376,素材!$1:$1016,COLUMN($F$1),FALSE), "・", 0)) + 1), 0)+IF($CI376&lt;&gt;"",VLOOKUP($CI376,装強!$A$1:BH$1005,COLUMN(装強!BH$1),FALSE),0)</f>
        <v>0</v>
      </c>
      <c r="AN376">
        <f>IF(ISNUMBER(SEARCH(SUBSTITUTE(AN$1,RIGHT(AN$1,2),""),VLOOKUP($D376,素材!$1:$1016,COLUMN($F$1),FALSE))),VLOOKUP($C376,武器!$1:$998,COLUMN($O$1),FALSE)*VLOOKUP($D376,素材!$1:$1016,COLUMN($E$1),FALSE)/(LEN(VLOOKUP($D376,素材!$1:$1016,COLUMN($F$1),FALSE)) - LEN(SUBSTITUTE(VLOOKUP($D376,素材!$1:$1016,COLUMN($F$1),FALSE), "・", 0)) + 1), 0)+IF($CI376&lt;&gt;"",VLOOKUP($CI376,装強!$A$1:BI$1005,COLUMN(装強!BI$1),FALSE),0)</f>
        <v>0</v>
      </c>
      <c r="AO376">
        <f>IF(ISNUMBER(SEARCH(SUBSTITUTE(AO$1,RIGHT(AO$1,2),""),VLOOKUP($D376,素材!$1:$1016,COLUMN($F$1),FALSE))),VLOOKUP($C376,武器!$1:$998,COLUMN($O$1),FALSE)*VLOOKUP($D376,素材!$1:$1016,COLUMN($E$1),FALSE)/(LEN(VLOOKUP($D376,素材!$1:$1016,COLUMN($F$1),FALSE)) - LEN(SUBSTITUTE(VLOOKUP($D376,素材!$1:$1016,COLUMN($F$1),FALSE), "・", 0)) + 1), 0)+IF($CI376&lt;&gt;"",VLOOKUP($CI376,装強!$A$1:BK$1005,COLUMN(装強!BK$1),FALSE),0)</f>
        <v>0</v>
      </c>
      <c r="AP376">
        <f>IF(ISNUMBER(SEARCH(SUBSTITUTE(AP$1,RIGHT(AP$1,2),""),VLOOKUP($D376,素材!$1:$1016,COLUMN($F$1),FALSE))),VLOOKUP($C376,武器!$1:$998,COLUMN($O$1),FALSE)*VLOOKUP($D376,素材!$1:$1016,COLUMN($E$1),FALSE)/(LEN(VLOOKUP($D376,素材!$1:$1016,COLUMN($F$1),FALSE)) - LEN(SUBSTITUTE(VLOOKUP($D376,素材!$1:$1016,COLUMN($F$1),FALSE), "・", 0)) + 1), 0)+IF($CI376&lt;&gt;"",VLOOKUP($CI376,装強!$A$1:BL$1005,COLUMN(装強!BL$1),FALSE),0)</f>
        <v>0</v>
      </c>
      <c r="AQ376">
        <f>IF(ISNUMBER(SEARCH(SUBSTITUTE(AQ$1,RIGHT(AQ$1,2),""),VLOOKUP($D376,素材!$1:$1016,COLUMN($F$1),FALSE))),VLOOKUP($C376,武器!$1:$998,COLUMN($O$1),FALSE)*VLOOKUP($D376,素材!$1:$1016,COLUMN($E$1),FALSE)/(LEN(VLOOKUP($D376,素材!$1:$1016,COLUMN($F$1),FALSE)) - LEN(SUBSTITUTE(VLOOKUP($D376,素材!$1:$1016,COLUMN($F$1),FALSE), "・", 0)) + 1), 0)+IF($CI376&lt;&gt;"",VLOOKUP($CI376,装強!$A$1:BM$1005,COLUMN(装強!BM$1),FALSE),0)</f>
        <v>0</v>
      </c>
      <c r="AR376">
        <f>IF(ISNUMBER(SEARCH(SUBSTITUTE(AR$1,RIGHT(AR$1,2),""),VLOOKUP($D376,素材!$1:$1016,COLUMN($F$1),FALSE))),VLOOKUP($C376,武器!$1:$998,COLUMN($O$1),FALSE)*VLOOKUP($D376,素材!$1:$1016,COLUMN($E$1),FALSE)/(LEN(VLOOKUP($D376,素材!$1:$1016,COLUMN($F$1),FALSE)) - LEN(SUBSTITUTE(VLOOKUP($D376,素材!$1:$1016,COLUMN($F$1),FALSE), "・", 0)) + 1), 0)+IF($CI376&lt;&gt;"",VLOOKUP($CI376,装強!$A$1:BN$1005,COLUMN(装強!BN$1),FALSE),0)</f>
        <v>0</v>
      </c>
      <c r="AS376">
        <f>IF(ISNUMBER(SEARCH(SUBSTITUTE(AS$1,RIGHT(AS$1,2),""),VLOOKUP($D376,素材!$1:$1016,COLUMN($F$1),FALSE))),VLOOKUP($C376,武器!$1:$998,COLUMN($O$1),FALSE)*VLOOKUP($D376,素材!$1:$1016,COLUMN($E$1),FALSE)/(LEN(VLOOKUP($D376,素材!$1:$1016,COLUMN($F$1),FALSE)) - LEN(SUBSTITUTE(VLOOKUP($D376,素材!$1:$1016,COLUMN($F$1),FALSE), "・", 0)) + 1), 0)+IF($CI376&lt;&gt;"",VLOOKUP($CI376,装強!$A$1:BO$1005,COLUMN(装強!BO$1),FALSE),0)</f>
        <v>0</v>
      </c>
      <c r="AT376">
        <f>IF(ISNUMBER(SEARCH(SUBSTITUTE(AT$1,RIGHT(AT$1,2),""),VLOOKUP($D376,素材!$1:$1016,COLUMN($F$1),FALSE))),VLOOKUP($C376,武器!$1:$998,COLUMN($O$1),FALSE)*VLOOKUP($D376,素材!$1:$1016,COLUMN($E$1),FALSE)/(LEN(VLOOKUP($D376,素材!$1:$1016,COLUMN($F$1),FALSE)) - LEN(SUBSTITUTE(VLOOKUP($D376,素材!$1:$1016,COLUMN($F$1),FALSE), "・", 0)) + 1), 0)+IF($CI376&lt;&gt;"",VLOOKUP($CI376,装強!$A$1:BP$1005,COLUMN(装強!BP$1),FALSE),0)</f>
        <v>0</v>
      </c>
      <c r="AU376">
        <f>IF(ISNUMBER(SEARCH(SUBSTITUTE(AU$1,RIGHT(AU$1,2),""),VLOOKUP($D376,素材!$1:$1016,COLUMN($F$1),FALSE))),VLOOKUP($C376,武器!$1:$998,COLUMN($O$1),FALSE)*VLOOKUP($D376,素材!$1:$1016,COLUMN($E$1),FALSE)/(LEN(VLOOKUP($D376,素材!$1:$1016,COLUMN($F$1),FALSE)) - LEN(SUBSTITUTE(VLOOKUP($D376,素材!$1:$1016,COLUMN($F$1),FALSE), "・", 0)) + 1), 0)+IF($CI376&lt;&gt;"",VLOOKUP($CI376,装強!$A$1:BQ$1005,COLUMN(装強!BQ$1),FALSE),0)</f>
        <v>0</v>
      </c>
      <c r="AV376">
        <f>IF(ISNUMBER(SEARCH(SUBSTITUTE(AV$1,RIGHT(AV$1,2),""),VLOOKUP($D376,素材!$1:$1016,COLUMN($F$1),FALSE))),VLOOKUP($C376,武器!$1:$998,COLUMN($O$1),FALSE)*VLOOKUP($D376,素材!$1:$1016,COLUMN($E$1),FALSE)/(LEN(VLOOKUP($D376,素材!$1:$1016,COLUMN($F$1),FALSE)) - LEN(SUBSTITUTE(VLOOKUP($D376,素材!$1:$1016,COLUMN($F$1),FALSE), "・", 0)) + 1), 0)+IF($CI376&lt;&gt;"",VLOOKUP($CI376,装強!$A$1:BR$1005,COLUMN(装強!BR$1),FALSE),0)</f>
        <v>0</v>
      </c>
      <c r="AW376">
        <f>IF(ISNUMBER(SEARCH(SUBSTITUTE(AW$1,RIGHT(AW$1,2),""),VLOOKUP($D376,素材!$1:$1016,COLUMN($F$1),FALSE))),VLOOKUP($C376,武器!$1:$998,COLUMN($O$1),FALSE)*VLOOKUP($D376,素材!$1:$1016,COLUMN($E$1),FALSE)/(LEN(VLOOKUP($D376,素材!$1:$1016,COLUMN($F$1),FALSE)) - LEN(SUBSTITUTE(VLOOKUP($D376,素材!$1:$1016,COLUMN($F$1),FALSE), "・", 0)) + 1), 0)+IF($CI376&lt;&gt;"",VLOOKUP($CI376,装強!$A$1:BS$1005,COLUMN(装強!BS$1),FALSE),0)</f>
        <v>0</v>
      </c>
      <c r="AX376">
        <f>IF(ISNUMBER(SEARCH(SUBSTITUTE(AX$1,RIGHT(AX$1,2),""),VLOOKUP($D376,素材!$1:$1016,COLUMN($F$1),FALSE))),VLOOKUP($C376,武器!$1:$998,COLUMN($O$1),FALSE)*VLOOKUP($D376,素材!$1:$1016,COLUMN($E$1),FALSE)/(LEN(VLOOKUP($D376,素材!$1:$1016,COLUMN($F$1),FALSE)) - LEN(SUBSTITUTE(VLOOKUP($D376,素材!$1:$1016,COLUMN($F$1),FALSE), "・", 0)) + 1), 0)+IF($CI376&lt;&gt;"",VLOOKUP($CI376,装強!$A$1:BT$1005,COLUMN(装強!BT$1),FALSE),0)</f>
        <v>0</v>
      </c>
      <c r="AY376">
        <f>IF(ISNUMBER(SEARCH(SUBSTITUTE(AY$1,RIGHT(AY$1,2),""),VLOOKUP($D376,素材!$1:$1016,COLUMN($F$1),FALSE))),VLOOKUP($C376,武器!$1:$998,COLUMN($O$1),FALSE)*VLOOKUP($D376,素材!$1:$1016,COLUMN($E$1),FALSE)/(LEN(VLOOKUP($D376,素材!$1:$1016,COLUMN($F$1),FALSE)) - LEN(SUBSTITUTE(VLOOKUP($D376,素材!$1:$1016,COLUMN($F$1),FALSE), "・", 0)) + 1), 0)+IF($CI376&lt;&gt;"",VLOOKUP($CI376,装強!$A$1:BU$1005,COLUMN(装強!BU$1),FALSE),0)</f>
        <v>0</v>
      </c>
      <c r="AZ376">
        <f>IF(ISNUMBER(SEARCH(SUBSTITUTE(AZ$1,RIGHT(AZ$1,2),""),VLOOKUP($D376,素材!$1:$1016,COLUMN($F$1),FALSE))),VLOOKUP($C376,武器!$1:$998,COLUMN($O$1),FALSE)*VLOOKUP($D376,素材!$1:$1016,COLUMN($E$1),FALSE)/(LEN(VLOOKUP($D376,素材!$1:$1016,COLUMN($F$1),FALSE)) - LEN(SUBSTITUTE(VLOOKUP($D376,素材!$1:$1016,COLUMN($F$1),FALSE), "・", 0)) + 1), 0)+IF($CI376&lt;&gt;"",VLOOKUP($CI376,装強!$A$1:BV$1005,COLUMN(装強!BV$1),FALSE),0)</f>
        <v>0</v>
      </c>
      <c r="BA376">
        <f>IF(ISNUMBER(SEARCH(SUBSTITUTE(BA$1,RIGHT(BA$1,2),""),VLOOKUP($D376,素材!$1:$1016,COLUMN($F$1),FALSE))),VLOOKUP($C376,武器!$1:$998,COLUMN($O$1),FALSE)*VLOOKUP($D376,素材!$1:$1016,COLUMN($E$1),FALSE)/(LEN(VLOOKUP($D376,素材!$1:$1016,COLUMN($F$1),FALSE)) - LEN(SUBSTITUTE(VLOOKUP($D376,素材!$1:$1016,COLUMN($F$1),FALSE), "・", 0)) + 1), 0)+IF($CI376&lt;&gt;"",VLOOKUP($CI376,装強!$A$1:BW$1005,COLUMN(装強!BW$1),FALSE),0)</f>
        <v>0</v>
      </c>
      <c r="BB376">
        <f>IF(ISNUMBER(SEARCH(SUBSTITUTE(BB$1,RIGHT(BB$1,2),""),VLOOKUP($D376,素材!$1:$1016,COLUMN($F$1),FALSE))),VLOOKUP($C376,武器!$1:$998,COLUMN($O$1),FALSE)*VLOOKUP($D376,素材!$1:$1016,COLUMN($E$1),FALSE)/(LEN(VLOOKUP($D376,素材!$1:$1016,COLUMN($F$1),FALSE)) - LEN(SUBSTITUTE(VLOOKUP($D376,素材!$1:$1016,COLUMN($F$1),FALSE), "・", 0)) + 1), 0)+IF($CI376&lt;&gt;"",VLOOKUP($CI376,装強!$A$1:BX$1005,COLUMN(装強!BX$1),FALSE),0)</f>
        <v>0</v>
      </c>
      <c r="BC376">
        <f>IF(ISNUMBER(SEARCH(SUBSTITUTE(BC$1,RIGHT(BC$1,2),""),VLOOKUP($D376,素材!$1:$1016,COLUMN($F$1),FALSE))),VLOOKUP($C376,武器!$1:$998,COLUMN($O$1),FALSE)*VLOOKUP($D376,素材!$1:$1016,COLUMN($E$1),FALSE)/(LEN(VLOOKUP($D376,素材!$1:$1016,COLUMN($F$1),FALSE)) - LEN(SUBSTITUTE(VLOOKUP($D376,素材!$1:$1016,COLUMN($F$1),FALSE), "・", 0)) + 1), 0)+IF($CI376&lt;&gt;"",VLOOKUP($CI376,装強!$A$1:BY$1005,COLUMN(装強!BY$1),FALSE),0)</f>
        <v>0</v>
      </c>
      <c r="BD376">
        <f>IF(ISNUMBER(SEARCH(SUBSTITUTE(BD$1,RIGHT(BD$1,2),""),VLOOKUP($D376,素材!$1:$1016,COLUMN($F$1),FALSE))),VLOOKUP($C376,武器!$1:$998,COLUMN($O$1),FALSE)*VLOOKUP($D376,素材!$1:$1016,COLUMN($E$1),FALSE)/(LEN(VLOOKUP($D376,素材!$1:$1016,COLUMN($F$1),FALSE)) - LEN(SUBSTITUTE(VLOOKUP($D376,素材!$1:$1016,COLUMN($F$1),FALSE), "・", 0)) + 1), 0)+IF($CI376&lt;&gt;"",VLOOKUP($CI376,装強!$A$1:BZ$1005,COLUMN(装強!BZ$1),FALSE),0)</f>
        <v>0</v>
      </c>
      <c r="BE376">
        <f>IF(ISNUMBER(SEARCH(SUBSTITUTE(BE$1,RIGHT(BE$1,2),""),VLOOKUP($D376,素材!$1:$1016,COLUMN($F$1),FALSE))),VLOOKUP($C376,武器!$1:$998,COLUMN($O$1),FALSE)*VLOOKUP($D376,素材!$1:$1016,COLUMN($E$1),FALSE)/(LEN(VLOOKUP($D376,素材!$1:$1016,COLUMN($F$1),FALSE)) - LEN(SUBSTITUTE(VLOOKUP($D376,素材!$1:$1016,COLUMN($F$1),FALSE), "・", 0)) + 1), 0)+IF($CI376&lt;&gt;"",VLOOKUP($CI376,装強!$A$1:CA$1005,COLUMN(装強!CA$1),FALSE),0)</f>
        <v>0</v>
      </c>
      <c r="CL376">
        <f>SUM(G376:I376)</f>
        <v>29</v>
      </c>
      <c r="CM376" s="22" t="str">
        <f>IF(E376="武器",IF(J376-1&gt;SUM(G376:I376),"盾",IF(MAX(G376:I376)=G376,"切断",IF(MAX(G376:I376)=H376,"貫通",IF(MAX(G376:I376)=I376,"打撃","射撃")))),E376)&amp;".webp"</f>
        <v>切断.webp</v>
      </c>
      <c r="CN376">
        <f>IFERROR(VLOOKUP($C376,武器!$1:$998,COLUMN(V$1),FALSE)*VLOOKUP($D376,素材!$1:$1016,COLUMN(N$1),FALSE)+IF(CI376="",0,VLOOKUP($CI376,装強!$1:$1008,COLUMN($CK$1),FALSE)),"")</f>
        <v>10000</v>
      </c>
      <c r="CO376">
        <f>VLOOKUP(D376,素材!$A:$O,COLUMN(素材!O$1),FALSE)</f>
        <v>0</v>
      </c>
      <c r="CP376" t="str">
        <f>VLOOKUP(C376,武器!$A:$W,COLUMN(武器!W$1),FALSE)</f>
        <v>刀。切断力に優れた武器で、Cr威力が高い</v>
      </c>
      <c r="CR376" t="str">
        <f t="shared" si="39"/>
        <v>e_376</v>
      </c>
      <c r="CS376">
        <f t="shared" ref="CS376" si="43">CN376*100</f>
        <v>1000000</v>
      </c>
    </row>
    <row r="377" spans="1:97" outlineLevel="1" x14ac:dyDescent="0.4">
      <c r="B377" t="str">
        <f>IFERROR(VLOOKUP($D377,素材!$1:$1016,COLUMN($B$1),FALSE)&amp;"・"&amp;VLOOKUP($C377,武器!$1:$998,COLUMN(B$1),FALSE),"")</f>
        <v/>
      </c>
      <c r="D377" s="24"/>
      <c r="E377" t="str">
        <f>IFERROR(VLOOKUP(C377,武器!$1:$998,COLUMN(C$1),FALSE),"")</f>
        <v/>
      </c>
      <c r="F377" t="str">
        <f>IFERROR(ROUNDDOWN((VLOOKUP($C377,武器!$1:$998,COLUMN(D$1),FALSE)+IFERROR(VLOOKUP($CI377,装強!$1:$999,COLUMN(F$1),FALSE),0))*VLOOKUP($D377,素材!$1:$1016,COLUMN(D$1),FALSE),0),"")</f>
        <v/>
      </c>
      <c r="G377" t="str">
        <f>IFERROR(ROUNDDOWN((VLOOKUP($C377,武器!$1:$998,COLUMN(E$1),FALSE)+IFERROR(VLOOKUP($CI377,装強!$1:$999,COLUMN(G$1),FALSE),0))*VLOOKUP($D377,素材!$1:$1016,COLUMN($E$1),FALSE),0),"")</f>
        <v/>
      </c>
      <c r="H377" t="str">
        <f>IFERROR(ROUNDDOWN((VLOOKUP($C377,武器!$1:$998,COLUMN(F$1),FALSE)+IFERROR(VLOOKUP($CI377,装強!$1:$999,COLUMN(H$1),FALSE),0))*VLOOKUP($D377,素材!$1:$1016,COLUMN($E$1),FALSE),0),"")</f>
        <v/>
      </c>
      <c r="I377" t="str">
        <f>IFERROR(ROUNDDOWN((VLOOKUP($C377,武器!$1:$998,COLUMN(G$1),FALSE)+IFERROR(VLOOKUP($CI377,装強!$1:$999,COLUMN(I$1),FALSE),0))*VLOOKUP($D377,素材!$1:$1016,COLUMN($E$1),FALSE),0),"")</f>
        <v/>
      </c>
      <c r="J377" t="str">
        <f>IFERROR(ROUNDDOWN((VLOOKUP($C377,武器!$1:$998,COLUMN(H$1),FALSE)+IFERROR(VLOOKUP($CI377,装強!$1:$999,COLUMN(J$1),FALSE),0))*VLOOKUP($D377,素材!$1:$1016,COLUMN($E$1),FALSE),0),"")</f>
        <v/>
      </c>
      <c r="K377" t="str">
        <f>IFERROR(ROUNDDOWN((VLOOKUP($C377,武器!$1:$998,COLUMN(I$1),FALSE)+IFERROR(VLOOKUP($CI377,装強!$1:$999,COLUMN(K$1),FALSE),0))*VLOOKUP($D377,素材!$1:$1016,COLUMN($E$1),FALSE),0),"")</f>
        <v/>
      </c>
      <c r="L377" t="str">
        <f>IFERROR(VLOOKUP($D377,素材!$1:$1016,COLUMN($F$1),FALSE),"")</f>
        <v/>
      </c>
      <c r="M377" t="str">
        <f>IFERROR(VLOOKUP($C377,武器!$1:$998,COLUMN(AA$1),FALSE)*VLOOKUP($D377,素材!$1:$1016,COLUMN($G$1),FALSE),"")</f>
        <v/>
      </c>
      <c r="N377" t="str">
        <f>IFERROR(VLOOKUP($C377,武器!$1:$998,COLUMN(I$1),FALSE),"")</f>
        <v/>
      </c>
      <c r="O377" s="23" t="str">
        <f>IFERROR((VLOOKUP($C377,武器!$1:$998,COLUMN(K$1),FALSE)+VLOOKUP($D377,素材!$1:$1016,COLUMN(H$1),FALSE))*100+IFERROR(VLOOKUP($CI377,装強!$1:$999,COLUMN(O$1),FALSE),0),"")</f>
        <v/>
      </c>
      <c r="P377" s="23" t="str">
        <f>IFERROR((VLOOKUP($C377,武器!$1:$998,COLUMN(L$1),FALSE)+VLOOKUP($D377,素材!$1:$1016,COLUMN(I$1),FALSE))*100+IFERROR(VLOOKUP($CI377,装強!$1:$999,COLUMN(P$1),FALSE),0),"")</f>
        <v/>
      </c>
      <c r="Q377" t="str">
        <f>IFERROR(ROUNDUP(VLOOKUP($C377,武器!$1:$998,COLUMN(M$1),FALSE)*(VLOOKUP($D377,素材!$1:$1002,COLUMN(D$1),FALSE)/100),1),"")</f>
        <v/>
      </c>
      <c r="R377" t="str">
        <f>IFERROR(ROUNDUP(VLOOKUP($C377,武器!$1:$998,COLUMN(N$1),FALSE)*(VLOOKUP($D377,素材!$1:$1002,COLUMN(D$1),FALSE)/100),1),"")</f>
        <v/>
      </c>
      <c r="S377" t="str">
        <f>IFERROR(VLOOKUP($C377,武器!$1:$998,COLUMN(P$1),FALSE),"")</f>
        <v/>
      </c>
      <c r="T377" t="str">
        <f>IFERROR(VLOOKUP($C377,武器!$1:$998,COLUMN(Q$1),FALSE),"")</f>
        <v/>
      </c>
      <c r="U377" t="str">
        <f>IFERROR(VLOOKUP($C377,武器!$1:$998,COLUMN(R$1),FALSE),"")</f>
        <v/>
      </c>
      <c r="V377" t="str">
        <f>IFERROR(VLOOKUP($C377,武器!$1:$998,COLUMN(Q$1),FALSE),"")</f>
        <v/>
      </c>
      <c r="W377" t="str">
        <f>IFERROR(VLOOKUP($C377,武器!$1:$998,COLUMN(T$1),FALSE),"")</f>
        <v/>
      </c>
      <c r="Y377" t="str">
        <f>IFERROR(VLOOKUP($C377,武器!$1:$998,COLUMN(U$1),FALSE),"")</f>
        <v/>
      </c>
      <c r="Z377" t="str">
        <f>IFERROR(ROUNDUP(VLOOKUP($C377,武器!$1:$998,COLUMN(O$1),FALSE)*VLOOKUP($D377,素材!$1:$1016,COLUMN(E$1),FALSE),1),"")</f>
        <v/>
      </c>
      <c r="AA377">
        <f>IF(ISNUMBER(SEARCH(SUBSTITUTE(AA$1,RIGHT(AA$1,2),""),VLOOKUP($D377,素材!$1:$1016,COLUMN($F$1),FALSE))),VLOOKUP($C377,武器!$1:$998,COLUMN($O$1),FALSE)*VLOOKUP($D377,素材!$1:$1016,COLUMN($E$1),FALSE)/(LEN(VLOOKUP($D377,素材!$1:$1016,COLUMN($F$1),FALSE)) - LEN(SUBSTITUTE(VLOOKUP($D377,素材!$1:$1016,COLUMN($F$1),FALSE), "・", 0)) + 1), 0)</f>
        <v>0</v>
      </c>
      <c r="AB377">
        <f>IF(ISNUMBER(SEARCH(SUBSTITUTE(AB$1,RIGHT(AB$1,2),""),VLOOKUP($D377,素材!$1:$1016,COLUMN($F$1),FALSE))),VLOOKUP($C377,武器!$1:$998,COLUMN($O$1),FALSE)*VLOOKUP($D377,素材!$1:$1016,COLUMN($E$1),FALSE)/(LEN(VLOOKUP($D377,素材!$1:$1016,COLUMN($F$1),FALSE)) - LEN(SUBSTITUTE(VLOOKUP($D377,素材!$1:$1016,COLUMN($F$1),FALSE), "・", 0)) + 1), 0)</f>
        <v>0</v>
      </c>
      <c r="AC377">
        <f>IF(ISNUMBER(SEARCH(SUBSTITUTE(AC$1,RIGHT(AC$1,2),""),VLOOKUP($D377,素材!$1:$1016,COLUMN($F$1),FALSE))),VLOOKUP($C377,武器!$1:$998,COLUMN($O$1),FALSE)*VLOOKUP($D377,素材!$1:$1016,COLUMN($E$1),FALSE)/(LEN(VLOOKUP($D377,素材!$1:$1016,COLUMN($F$1),FALSE)) - LEN(SUBSTITUTE(VLOOKUP($D377,素材!$1:$1016,COLUMN($F$1),FALSE), "・", 0)) + 1), 0)</f>
        <v>0</v>
      </c>
      <c r="AD377">
        <f>IF(ISNUMBER(SEARCH(SUBSTITUTE(AD$1,RIGHT(AD$1,2),""),VLOOKUP($D377,素材!$1:$1016,COLUMN($F$1),FALSE))),VLOOKUP($C377,武器!$1:$998,COLUMN($O$1),FALSE)*VLOOKUP($D377,素材!$1:$1016,COLUMN($E$1),FALSE)/(LEN(VLOOKUP($D377,素材!$1:$1016,COLUMN($F$1),FALSE)) - LEN(SUBSTITUTE(VLOOKUP($D377,素材!$1:$1016,COLUMN($F$1),FALSE), "・", 0)) + 1), 0)</f>
        <v>0</v>
      </c>
      <c r="AE377">
        <f>IF(ISNUMBER(SEARCH(SUBSTITUTE(AE$1,RIGHT(AE$1,2),""),VLOOKUP($D377,素材!$1:$1016,COLUMN($F$1),FALSE))),VLOOKUP($C377,武器!$1:$998,COLUMN($O$1),FALSE)*VLOOKUP($D377,素材!$1:$1016,COLUMN($E$1),FALSE)/(LEN(VLOOKUP($D377,素材!$1:$1016,COLUMN($F$1),FALSE)) - LEN(SUBSTITUTE(VLOOKUP($D377,素材!$1:$1016,COLUMN($F$1),FALSE), "・", 0)) + 1), 0)+IF($CI377&lt;&gt;"",VLOOKUP($CI377,装強!$A$1:AZ$1005,COLUMN(装強!AZ$1),FALSE),0)</f>
        <v>0</v>
      </c>
      <c r="AF377">
        <f>IF(ISNUMBER(SEARCH(SUBSTITUTE(AF$1,RIGHT(AF$1,2),""),VLOOKUP($D377,素材!$1:$1016,COLUMN($F$1),FALSE))),VLOOKUP($C377,武器!$1:$998,COLUMN($O$1),FALSE)*VLOOKUP($D377,素材!$1:$1016,COLUMN($E$1),FALSE)/(LEN(VLOOKUP($D377,素材!$1:$1016,COLUMN($F$1),FALSE)) - LEN(SUBSTITUTE(VLOOKUP($D377,素材!$1:$1016,COLUMN($F$1),FALSE), "・", 0)) + 1), 0)+IF($CI377&lt;&gt;"",VLOOKUP($CI377,装強!$A$1:BA$1005,COLUMN(装強!BA$1),FALSE),0)</f>
        <v>0</v>
      </c>
      <c r="AG377">
        <f>IF(ISNUMBER(SEARCH(SUBSTITUTE(AG$1,RIGHT(AG$1,2),""),VLOOKUP($D377,素材!$1:$1016,COLUMN($F$1),FALSE))),VLOOKUP($C377,武器!$1:$998,COLUMN($O$1),FALSE)*VLOOKUP($D377,素材!$1:$1016,COLUMN($E$1),FALSE)/(LEN(VLOOKUP($D377,素材!$1:$1016,COLUMN($F$1),FALSE)) - LEN(SUBSTITUTE(VLOOKUP($D377,素材!$1:$1016,COLUMN($F$1),FALSE), "・", 0)) + 1), 0)+IF($CI377&lt;&gt;"",VLOOKUP($CI377,装強!$A$1:BB$1005,COLUMN(装強!BB$1),FALSE),0)</f>
        <v>0</v>
      </c>
      <c r="AH377">
        <f>IF(ISNUMBER(SEARCH(SUBSTITUTE(AH$1,RIGHT(AH$1,2),""),VLOOKUP($D377,素材!$1:$1016,COLUMN($F$1),FALSE))),VLOOKUP($C377,武器!$1:$998,COLUMN($O$1),FALSE)*VLOOKUP($D377,素材!$1:$1016,COLUMN($E$1),FALSE)/(LEN(VLOOKUP($D377,素材!$1:$1016,COLUMN($F$1),FALSE)) - LEN(SUBSTITUTE(VLOOKUP($D377,素材!$1:$1016,COLUMN($F$1),FALSE), "・", 0)) + 1), 0)+IF($CI377&lt;&gt;"",VLOOKUP($CI377,装強!$A$1:BC$1005,COLUMN(装強!BC$1),FALSE),0)</f>
        <v>0</v>
      </c>
      <c r="AI377">
        <f>IF(ISNUMBER(SEARCH(SUBSTITUTE(AI$1,RIGHT(AI$1,2),""),VLOOKUP($D377,素材!$1:$1016,COLUMN($F$1),FALSE))),VLOOKUP($C377,武器!$1:$998,COLUMN($O$1),FALSE)*VLOOKUP($D377,素材!$1:$1016,COLUMN($E$1),FALSE)/(LEN(VLOOKUP($D377,素材!$1:$1016,COLUMN($F$1),FALSE)) - LEN(SUBSTITUTE(VLOOKUP($D377,素材!$1:$1016,COLUMN($F$1),FALSE), "・", 0)) + 1), 0)+IF($CI377&lt;&gt;"",VLOOKUP($CI377,装強!$A$1:BD$1005,COLUMN(装強!BD$1),FALSE),0)</f>
        <v>0</v>
      </c>
      <c r="AJ377">
        <f>IF(ISNUMBER(SEARCH(SUBSTITUTE(AJ$1,RIGHT(AJ$1,2),""),VLOOKUP($D377,素材!$1:$1016,COLUMN($F$1),FALSE))),VLOOKUP($C377,武器!$1:$998,COLUMN($O$1),FALSE)*VLOOKUP($D377,素材!$1:$1016,COLUMN($E$1),FALSE)/(LEN(VLOOKUP($D377,素材!$1:$1016,COLUMN($F$1),FALSE)) - LEN(SUBSTITUTE(VLOOKUP($D377,素材!$1:$1016,COLUMN($F$1),FALSE), "・", 0)) + 1), 0)+IF($CI377&lt;&gt;"",VLOOKUP($CI377,装強!$A$1:BE$1005,COLUMN(装強!BE$1),FALSE),0)</f>
        <v>0</v>
      </c>
      <c r="AK377">
        <f>IF(ISNUMBER(SEARCH(SUBSTITUTE(AK$1,RIGHT(AK$1,2),""),VLOOKUP($D377,素材!$1:$1016,COLUMN($F$1),FALSE))),VLOOKUP($C377,武器!$1:$998,COLUMN($O$1),FALSE)*VLOOKUP($D377,素材!$1:$1016,COLUMN($E$1),FALSE)/(LEN(VLOOKUP($D377,素材!$1:$1016,COLUMN($F$1),FALSE)) - LEN(SUBSTITUTE(VLOOKUP($D377,素材!$1:$1016,COLUMN($F$1),FALSE), "・", 0)) + 1), 0)+IF($CI377&lt;&gt;"",VLOOKUP($CI377,装強!$A$1:BF$1005,COLUMN(装強!BF$1),FALSE),0)</f>
        <v>0</v>
      </c>
      <c r="AL377">
        <f>IF(ISNUMBER(SEARCH(SUBSTITUTE(AL$1,RIGHT(AL$1,2),""),VLOOKUP($D377,素材!$1:$1016,COLUMN($F$1),FALSE))),VLOOKUP($C377,武器!$1:$998,COLUMN($O$1),FALSE)*VLOOKUP($D377,素材!$1:$1016,COLUMN($E$1),FALSE)/(LEN(VLOOKUP($D377,素材!$1:$1016,COLUMN($F$1),FALSE)) - LEN(SUBSTITUTE(VLOOKUP($D377,素材!$1:$1016,COLUMN($F$1),FALSE), "・", 0)) + 1), 0)+IF($CI377&lt;&gt;"",VLOOKUP($CI377,装強!$A$1:BG$1005,COLUMN(装強!BG$1),FALSE),0)</f>
        <v>0</v>
      </c>
      <c r="AM377">
        <f>IF(ISNUMBER(SEARCH(SUBSTITUTE(AM$1,RIGHT(AM$1,2),""),VLOOKUP($D377,素材!$1:$1016,COLUMN($F$1),FALSE))),VLOOKUP($C377,武器!$1:$998,COLUMN($O$1),FALSE)*VLOOKUP($D377,素材!$1:$1016,COLUMN($E$1),FALSE)/(LEN(VLOOKUP($D377,素材!$1:$1016,COLUMN($F$1),FALSE)) - LEN(SUBSTITUTE(VLOOKUP($D377,素材!$1:$1016,COLUMN($F$1),FALSE), "・", 0)) + 1), 0)+IF($CI377&lt;&gt;"",VLOOKUP($CI377,装強!$A$1:BH$1005,COLUMN(装強!BH$1),FALSE),0)</f>
        <v>0</v>
      </c>
      <c r="AN377">
        <f>IF(ISNUMBER(SEARCH(SUBSTITUTE(AN$1,RIGHT(AN$1,2),""),VLOOKUP($D377,素材!$1:$1016,COLUMN($F$1),FALSE))),VLOOKUP($C377,武器!$1:$998,COLUMN($O$1),FALSE)*VLOOKUP($D377,素材!$1:$1016,COLUMN($E$1),FALSE)/(LEN(VLOOKUP($D377,素材!$1:$1016,COLUMN($F$1),FALSE)) - LEN(SUBSTITUTE(VLOOKUP($D377,素材!$1:$1016,COLUMN($F$1),FALSE), "・", 0)) + 1), 0)+IF($CI377&lt;&gt;"",VLOOKUP($CI377,装強!$A$1:BI$1005,COLUMN(装強!BI$1),FALSE),0)</f>
        <v>0</v>
      </c>
      <c r="AO377">
        <f>IF(ISNUMBER(SEARCH(SUBSTITUTE(AO$1,RIGHT(AO$1,2),""),VLOOKUP($D377,素材!$1:$1016,COLUMN($F$1),FALSE))),VLOOKUP($C377,武器!$1:$998,COLUMN($O$1),FALSE)*VLOOKUP($D377,素材!$1:$1016,COLUMN($E$1),FALSE)/(LEN(VLOOKUP($D377,素材!$1:$1016,COLUMN($F$1),FALSE)) - LEN(SUBSTITUTE(VLOOKUP($D377,素材!$1:$1016,COLUMN($F$1),FALSE), "・", 0)) + 1), 0)+IF($CI377&lt;&gt;"",VLOOKUP($CI377,装強!$A$1:BK$1005,COLUMN(装強!BK$1),FALSE),0)</f>
        <v>0</v>
      </c>
      <c r="AP377">
        <f>IF(ISNUMBER(SEARCH(SUBSTITUTE(AP$1,RIGHT(AP$1,2),""),VLOOKUP($D377,素材!$1:$1016,COLUMN($F$1),FALSE))),VLOOKUP($C377,武器!$1:$998,COLUMN($O$1),FALSE)*VLOOKUP($D377,素材!$1:$1016,COLUMN($E$1),FALSE)/(LEN(VLOOKUP($D377,素材!$1:$1016,COLUMN($F$1),FALSE)) - LEN(SUBSTITUTE(VLOOKUP($D377,素材!$1:$1016,COLUMN($F$1),FALSE), "・", 0)) + 1), 0)+IF($CI377&lt;&gt;"",VLOOKUP($CI377,装強!$A$1:BL$1005,COLUMN(装強!BL$1),FALSE),0)</f>
        <v>0</v>
      </c>
      <c r="AQ377">
        <f>IF(ISNUMBER(SEARCH(SUBSTITUTE(AQ$1,RIGHT(AQ$1,2),""),VLOOKUP($D377,素材!$1:$1016,COLUMN($F$1),FALSE))),VLOOKUP($C377,武器!$1:$998,COLUMN($O$1),FALSE)*VLOOKUP($D377,素材!$1:$1016,COLUMN($E$1),FALSE)/(LEN(VLOOKUP($D377,素材!$1:$1016,COLUMN($F$1),FALSE)) - LEN(SUBSTITUTE(VLOOKUP($D377,素材!$1:$1016,COLUMN($F$1),FALSE), "・", 0)) + 1), 0)+IF($CI377&lt;&gt;"",VLOOKUP($CI377,装強!$A$1:BM$1005,COLUMN(装強!BM$1),FALSE),0)</f>
        <v>0</v>
      </c>
      <c r="AR377">
        <f>IF(ISNUMBER(SEARCH(SUBSTITUTE(AR$1,RIGHT(AR$1,2),""),VLOOKUP($D377,素材!$1:$1016,COLUMN($F$1),FALSE))),VLOOKUP($C377,武器!$1:$998,COLUMN($O$1),FALSE)*VLOOKUP($D377,素材!$1:$1016,COLUMN($E$1),FALSE)/(LEN(VLOOKUP($D377,素材!$1:$1016,COLUMN($F$1),FALSE)) - LEN(SUBSTITUTE(VLOOKUP($D377,素材!$1:$1016,COLUMN($F$1),FALSE), "・", 0)) + 1), 0)+IF($CI377&lt;&gt;"",VLOOKUP($CI377,装強!$A$1:BN$1005,COLUMN(装強!BN$1),FALSE),0)</f>
        <v>0</v>
      </c>
      <c r="AS377">
        <f>IF(ISNUMBER(SEARCH(SUBSTITUTE(AS$1,RIGHT(AS$1,2),""),VLOOKUP($D377,素材!$1:$1016,COLUMN($F$1),FALSE))),VLOOKUP($C377,武器!$1:$998,COLUMN($O$1),FALSE)*VLOOKUP($D377,素材!$1:$1016,COLUMN($E$1),FALSE)/(LEN(VLOOKUP($D377,素材!$1:$1016,COLUMN($F$1),FALSE)) - LEN(SUBSTITUTE(VLOOKUP($D377,素材!$1:$1016,COLUMN($F$1),FALSE), "・", 0)) + 1), 0)+IF($CI377&lt;&gt;"",VLOOKUP($CI377,装強!$A$1:BO$1005,COLUMN(装強!BO$1),FALSE),0)</f>
        <v>0</v>
      </c>
      <c r="AT377">
        <f>IF(ISNUMBER(SEARCH(SUBSTITUTE(AT$1,RIGHT(AT$1,2),""),VLOOKUP($D377,素材!$1:$1016,COLUMN($F$1),FALSE))),VLOOKUP($C377,武器!$1:$998,COLUMN($O$1),FALSE)*VLOOKUP($D377,素材!$1:$1016,COLUMN($E$1),FALSE)/(LEN(VLOOKUP($D377,素材!$1:$1016,COLUMN($F$1),FALSE)) - LEN(SUBSTITUTE(VLOOKUP($D377,素材!$1:$1016,COLUMN($F$1),FALSE), "・", 0)) + 1), 0)+IF($CI377&lt;&gt;"",VLOOKUP($CI377,装強!$A$1:BP$1005,COLUMN(装強!BP$1),FALSE),0)</f>
        <v>0</v>
      </c>
      <c r="AU377">
        <f>IF(ISNUMBER(SEARCH(SUBSTITUTE(AU$1,RIGHT(AU$1,2),""),VLOOKUP($D377,素材!$1:$1016,COLUMN($F$1),FALSE))),VLOOKUP($C377,武器!$1:$998,COLUMN($O$1),FALSE)*VLOOKUP($D377,素材!$1:$1016,COLUMN($E$1),FALSE)/(LEN(VLOOKUP($D377,素材!$1:$1016,COLUMN($F$1),FALSE)) - LEN(SUBSTITUTE(VLOOKUP($D377,素材!$1:$1016,COLUMN($F$1),FALSE), "・", 0)) + 1), 0)+IF($CI377&lt;&gt;"",VLOOKUP($CI377,装強!$A$1:BQ$1005,COLUMN(装強!BQ$1),FALSE),0)</f>
        <v>0</v>
      </c>
      <c r="AV377">
        <f>IF(ISNUMBER(SEARCH(SUBSTITUTE(AV$1,RIGHT(AV$1,2),""),VLOOKUP($D377,素材!$1:$1016,COLUMN($F$1),FALSE))),VLOOKUP($C377,武器!$1:$998,COLUMN($O$1),FALSE)*VLOOKUP($D377,素材!$1:$1016,COLUMN($E$1),FALSE)/(LEN(VLOOKUP($D377,素材!$1:$1016,COLUMN($F$1),FALSE)) - LEN(SUBSTITUTE(VLOOKUP($D377,素材!$1:$1016,COLUMN($F$1),FALSE), "・", 0)) + 1), 0)+IF($CI377&lt;&gt;"",VLOOKUP($CI377,装強!$A$1:BR$1005,COLUMN(装強!BR$1),FALSE),0)</f>
        <v>0</v>
      </c>
      <c r="AW377">
        <f>IF(ISNUMBER(SEARCH(SUBSTITUTE(AW$1,RIGHT(AW$1,2),""),VLOOKUP($D377,素材!$1:$1016,COLUMN($F$1),FALSE))),VLOOKUP($C377,武器!$1:$998,COLUMN($O$1),FALSE)*VLOOKUP($D377,素材!$1:$1016,COLUMN($E$1),FALSE)/(LEN(VLOOKUP($D377,素材!$1:$1016,COLUMN($F$1),FALSE)) - LEN(SUBSTITUTE(VLOOKUP($D377,素材!$1:$1016,COLUMN($F$1),FALSE), "・", 0)) + 1), 0)+IF($CI377&lt;&gt;"",VLOOKUP($CI377,装強!$A$1:BS$1005,COLUMN(装強!BS$1),FALSE),0)</f>
        <v>0</v>
      </c>
      <c r="AX377">
        <f>IF(ISNUMBER(SEARCH(SUBSTITUTE(AX$1,RIGHT(AX$1,2),""),VLOOKUP($D377,素材!$1:$1016,COLUMN($F$1),FALSE))),VLOOKUP($C377,武器!$1:$998,COLUMN($O$1),FALSE)*VLOOKUP($D377,素材!$1:$1016,COLUMN($E$1),FALSE)/(LEN(VLOOKUP($D377,素材!$1:$1016,COLUMN($F$1),FALSE)) - LEN(SUBSTITUTE(VLOOKUP($D377,素材!$1:$1016,COLUMN($F$1),FALSE), "・", 0)) + 1), 0)+IF($CI377&lt;&gt;"",VLOOKUP($CI377,装強!$A$1:BT$1005,COLUMN(装強!BT$1),FALSE),0)</f>
        <v>0</v>
      </c>
      <c r="AY377">
        <f>IF(ISNUMBER(SEARCH(SUBSTITUTE(AY$1,RIGHT(AY$1,2),""),VLOOKUP($D377,素材!$1:$1016,COLUMN($F$1),FALSE))),VLOOKUP($C377,武器!$1:$998,COLUMN($O$1),FALSE)*VLOOKUP($D377,素材!$1:$1016,COLUMN($E$1),FALSE)/(LEN(VLOOKUP($D377,素材!$1:$1016,COLUMN($F$1),FALSE)) - LEN(SUBSTITUTE(VLOOKUP($D377,素材!$1:$1016,COLUMN($F$1),FALSE), "・", 0)) + 1), 0)+IF($CI377&lt;&gt;"",VLOOKUP($CI377,装強!$A$1:BU$1005,COLUMN(装強!BU$1),FALSE),0)</f>
        <v>0</v>
      </c>
      <c r="AZ377">
        <f>IF(ISNUMBER(SEARCH(SUBSTITUTE(AZ$1,RIGHT(AZ$1,2),""),VLOOKUP($D377,素材!$1:$1016,COLUMN($F$1),FALSE))),VLOOKUP($C377,武器!$1:$998,COLUMN($O$1),FALSE)*VLOOKUP($D377,素材!$1:$1016,COLUMN($E$1),FALSE)/(LEN(VLOOKUP($D377,素材!$1:$1016,COLUMN($F$1),FALSE)) - LEN(SUBSTITUTE(VLOOKUP($D377,素材!$1:$1016,COLUMN($F$1),FALSE), "・", 0)) + 1), 0)+IF($CI377&lt;&gt;"",VLOOKUP($CI377,装強!$A$1:BV$1005,COLUMN(装強!BV$1),FALSE),0)</f>
        <v>0</v>
      </c>
      <c r="BA377">
        <f>IF(ISNUMBER(SEARCH(SUBSTITUTE(BA$1,RIGHT(BA$1,2),""),VLOOKUP($D377,素材!$1:$1016,COLUMN($F$1),FALSE))),VLOOKUP($C377,武器!$1:$998,COLUMN($O$1),FALSE)*VLOOKUP($D377,素材!$1:$1016,COLUMN($E$1),FALSE)/(LEN(VLOOKUP($D377,素材!$1:$1016,COLUMN($F$1),FALSE)) - LEN(SUBSTITUTE(VLOOKUP($D377,素材!$1:$1016,COLUMN($F$1),FALSE), "・", 0)) + 1), 0)+IF($CI377&lt;&gt;"",VLOOKUP($CI377,装強!$A$1:BW$1005,COLUMN(装強!BW$1),FALSE),0)</f>
        <v>0</v>
      </c>
      <c r="BB377">
        <f>IF(ISNUMBER(SEARCH(SUBSTITUTE(BB$1,RIGHT(BB$1,2),""),VLOOKUP($D377,素材!$1:$1016,COLUMN($F$1),FALSE))),VLOOKUP($C377,武器!$1:$998,COLUMN($O$1),FALSE)*VLOOKUP($D377,素材!$1:$1016,COLUMN($E$1),FALSE)/(LEN(VLOOKUP($D377,素材!$1:$1016,COLUMN($F$1),FALSE)) - LEN(SUBSTITUTE(VLOOKUP($D377,素材!$1:$1016,COLUMN($F$1),FALSE), "・", 0)) + 1), 0)+IF($CI377&lt;&gt;"",VLOOKUP($CI377,装強!$A$1:BX$1005,COLUMN(装強!BX$1),FALSE),0)</f>
        <v>0</v>
      </c>
      <c r="BC377">
        <f>IF(ISNUMBER(SEARCH(SUBSTITUTE(BC$1,RIGHT(BC$1,2),""),VLOOKUP($D377,素材!$1:$1016,COLUMN($F$1),FALSE))),VLOOKUP($C377,武器!$1:$998,COLUMN($O$1),FALSE)*VLOOKUP($D377,素材!$1:$1016,COLUMN($E$1),FALSE)/(LEN(VLOOKUP($D377,素材!$1:$1016,COLUMN($F$1),FALSE)) - LEN(SUBSTITUTE(VLOOKUP($D377,素材!$1:$1016,COLUMN($F$1),FALSE), "・", 0)) + 1), 0)+IF($CI377&lt;&gt;"",VLOOKUP($CI377,装強!$A$1:BY$1005,COLUMN(装強!BY$1),FALSE),0)</f>
        <v>0</v>
      </c>
      <c r="BD377">
        <f>IF(ISNUMBER(SEARCH(SUBSTITUTE(BD$1,RIGHT(BD$1,2),""),VLOOKUP($D377,素材!$1:$1016,COLUMN($F$1),FALSE))),VLOOKUP($C377,武器!$1:$998,COLUMN($O$1),FALSE)*VLOOKUP($D377,素材!$1:$1016,COLUMN($E$1),FALSE)/(LEN(VLOOKUP($D377,素材!$1:$1016,COLUMN($F$1),FALSE)) - LEN(SUBSTITUTE(VLOOKUP($D377,素材!$1:$1016,COLUMN($F$1),FALSE), "・", 0)) + 1), 0)+IF($CI377&lt;&gt;"",VLOOKUP($CI377,装強!$A$1:BZ$1005,COLUMN(装強!BZ$1),FALSE),0)</f>
        <v>0</v>
      </c>
      <c r="BE377">
        <f>IF(ISNUMBER(SEARCH(SUBSTITUTE(BE$1,RIGHT(BE$1,2),""),VLOOKUP($D377,素材!$1:$1016,COLUMN($F$1),FALSE))),VLOOKUP($C377,武器!$1:$998,COLUMN($O$1),FALSE)*VLOOKUP($D377,素材!$1:$1016,COLUMN($E$1),FALSE)/(LEN(VLOOKUP($D377,素材!$1:$1016,COLUMN($F$1),FALSE)) - LEN(SUBSTITUTE(VLOOKUP($D377,素材!$1:$1016,COLUMN($F$1),FALSE), "・", 0)) + 1), 0)+IF($CI377&lt;&gt;"",VLOOKUP($CI377,装強!$A$1:CA$1005,COLUMN(装強!CA$1),FALSE),0)</f>
        <v>0</v>
      </c>
      <c r="CL377">
        <f>SUM(G377:I377)</f>
        <v>0</v>
      </c>
      <c r="CM377" s="22" t="str">
        <f>IF(E377="武器",IF(J377-1&gt;SUM(G377:I377),"盾",IF(MAX(G377:I377)=G377,"切断",IF(MAX(G377:I377)=H377,"貫通",IF(MAX(G377:I377)=I377,"打撃","射撃")))),E377)&amp;".webp"</f>
        <v>.webp</v>
      </c>
      <c r="CN377" t="str">
        <f>IFERROR(VLOOKUP($C377,武器!$1:$998,COLUMN(V$1),FALSE)*VLOOKUP($D377,素材!$1:$1016,COLUMN(N$1),FALSE)+IF(CI377="",0,VLOOKUP($CI377,装強!$1:$1008,COLUMN($CK$1),FALSE)),"")</f>
        <v/>
      </c>
      <c r="CO377" t="e">
        <f>VLOOKUP(D377,素材!$A:$O,COLUMN(素材!O$1),FALSE)</f>
        <v>#N/A</v>
      </c>
      <c r="CP377" t="e">
        <f>VLOOKUP(C377,武器!$A:$W,COLUMN(武器!W$1),FALSE)</f>
        <v>#N/A</v>
      </c>
      <c r="CR377" t="str">
        <f t="shared" si="39"/>
        <v>e_377</v>
      </c>
      <c r="CS377" t="e">
        <f t="shared" si="41"/>
        <v>#VALUE!</v>
      </c>
    </row>
    <row r="378" spans="1:97" x14ac:dyDescent="0.4">
      <c r="B378" t="str">
        <f>IFERROR(VLOOKUP($D378,素材!$1:$1016,COLUMN($B$1),FALSE)&amp;"・"&amp;VLOOKUP($C378,武器!$1:$998,COLUMN(B$1),FALSE),"")</f>
        <v/>
      </c>
      <c r="D378" s="24"/>
      <c r="E378" t="str">
        <f>IFERROR(VLOOKUP(C378,武器!$1:$998,COLUMN(C$1),FALSE),"")</f>
        <v/>
      </c>
      <c r="F378" t="str">
        <f>IFERROR(ROUNDDOWN((VLOOKUP($C378,武器!$1:$998,COLUMN(D$1),FALSE)+IFERROR(VLOOKUP($CI378,装強!$1:$999,COLUMN(F$1),FALSE),0))*VLOOKUP($D378,素材!$1:$1016,COLUMN(D$1),FALSE),0),"")</f>
        <v/>
      </c>
      <c r="G378" t="str">
        <f>IFERROR(ROUNDDOWN((VLOOKUP($C378,武器!$1:$998,COLUMN(E$1),FALSE)+IFERROR(VLOOKUP($CI378,装強!$1:$999,COLUMN(G$1),FALSE),0))*VLOOKUP($D378,素材!$1:$1016,COLUMN($E$1),FALSE),0),"")</f>
        <v/>
      </c>
      <c r="H378" t="str">
        <f>IFERROR(ROUNDDOWN((VLOOKUP($C378,武器!$1:$998,COLUMN(F$1),FALSE)+IFERROR(VLOOKUP($CI378,装強!$1:$999,COLUMN(H$1),FALSE),0))*VLOOKUP($D378,素材!$1:$1016,COLUMN($E$1),FALSE),0),"")</f>
        <v/>
      </c>
      <c r="I378" t="str">
        <f>IFERROR(ROUNDDOWN((VLOOKUP($C378,武器!$1:$998,COLUMN(G$1),FALSE)+IFERROR(VLOOKUP($CI378,装強!$1:$999,COLUMN(I$1),FALSE),0))*VLOOKUP($D378,素材!$1:$1016,COLUMN($E$1),FALSE),0),"")</f>
        <v/>
      </c>
      <c r="J378" t="str">
        <f>IFERROR(ROUNDDOWN((VLOOKUP($C378,武器!$1:$998,COLUMN(H$1),FALSE)+IFERROR(VLOOKUP($CI378,装強!$1:$999,COLUMN(J$1),FALSE),0))*VLOOKUP($D378,素材!$1:$1016,COLUMN($E$1),FALSE),0),"")</f>
        <v/>
      </c>
      <c r="K378" t="str">
        <f>IFERROR(ROUNDDOWN((VLOOKUP($C378,武器!$1:$998,COLUMN(I$1),FALSE)+IFERROR(VLOOKUP($CI378,装強!$1:$999,COLUMN(K$1),FALSE),0))*VLOOKUP($D378,素材!$1:$1016,COLUMN($E$1),FALSE),0),"")</f>
        <v/>
      </c>
      <c r="L378" t="str">
        <f>IFERROR(VLOOKUP($D378,素材!$1:$1016,COLUMN($F$1),FALSE),"")</f>
        <v/>
      </c>
      <c r="M378" t="str">
        <f>IFERROR(VLOOKUP($C378,武器!$1:$998,COLUMN(AA$1),FALSE)*VLOOKUP($D378,素材!$1:$1016,COLUMN($G$1),FALSE),"")</f>
        <v/>
      </c>
      <c r="N378" t="str">
        <f>IFERROR(VLOOKUP($C378,武器!$1:$998,COLUMN(I$1),FALSE),"")</f>
        <v/>
      </c>
      <c r="O378" s="23" t="str">
        <f>IFERROR((VLOOKUP($C378,武器!$1:$998,COLUMN(K$1),FALSE)+VLOOKUP($D378,素材!$1:$1016,COLUMN(H$1),FALSE))*100+IFERROR(VLOOKUP($CI378,装強!$1:$999,COLUMN(O$1),FALSE),0),"")</f>
        <v/>
      </c>
      <c r="P378" s="23" t="str">
        <f>IFERROR((VLOOKUP($C378,武器!$1:$998,COLUMN(L$1),FALSE)+VLOOKUP($D378,素材!$1:$1016,COLUMN(I$1),FALSE))*100+IFERROR(VLOOKUP($CI378,装強!$1:$999,COLUMN(P$1),FALSE),0),"")</f>
        <v/>
      </c>
      <c r="Q378" t="str">
        <f>IFERROR(ROUNDUP(VLOOKUP($C378,武器!$1:$998,COLUMN(M$1),FALSE)*(VLOOKUP($D378,素材!$1:$1002,COLUMN(D$1),FALSE)/100),1),"")</f>
        <v/>
      </c>
      <c r="R378" t="str">
        <f>IFERROR(ROUNDUP(VLOOKUP($C378,武器!$1:$998,COLUMN(N$1),FALSE)*(VLOOKUP($D378,素材!$1:$1002,COLUMN(D$1),FALSE)/100),1),"")</f>
        <v/>
      </c>
      <c r="S378" t="str">
        <f>IFERROR(VLOOKUP($C378,武器!$1:$998,COLUMN(P$1),FALSE),"")</f>
        <v/>
      </c>
      <c r="T378" t="str">
        <f>IFERROR(VLOOKUP($C378,武器!$1:$998,COLUMN(Q$1),FALSE),"")</f>
        <v/>
      </c>
      <c r="U378" t="str">
        <f>IFERROR(VLOOKUP($C378,武器!$1:$998,COLUMN(R$1),FALSE),"")</f>
        <v/>
      </c>
      <c r="V378" t="str">
        <f>IFERROR(VLOOKUP($C378,武器!$1:$998,COLUMN(Q$1),FALSE),"")</f>
        <v/>
      </c>
      <c r="W378" t="str">
        <f>IFERROR(VLOOKUP($C378,武器!$1:$998,COLUMN(T$1),FALSE),"")</f>
        <v/>
      </c>
      <c r="Y378" t="str">
        <f>IFERROR(VLOOKUP($C378,武器!$1:$998,COLUMN(U$1),FALSE),"")</f>
        <v/>
      </c>
      <c r="Z378" t="str">
        <f>IFERROR(ROUNDUP(VLOOKUP($C378,武器!$1:$998,COLUMN(O$1),FALSE)*VLOOKUP($D378,素材!$1:$1016,COLUMN(E$1),FALSE),1),"")</f>
        <v/>
      </c>
      <c r="AA378">
        <f>IF(ISNUMBER(SEARCH(SUBSTITUTE(AA$1,RIGHT(AA$1,2),""),VLOOKUP($D378,素材!$1:$1016,COLUMN($F$1),FALSE))),VLOOKUP($C378,武器!$1:$998,COLUMN($O$1),FALSE)*VLOOKUP($D378,素材!$1:$1016,COLUMN($E$1),FALSE)/(LEN(VLOOKUP($D378,素材!$1:$1016,COLUMN($F$1),FALSE)) - LEN(SUBSTITUTE(VLOOKUP($D378,素材!$1:$1016,COLUMN($F$1),FALSE), "・", 0)) + 1), 0)</f>
        <v>0</v>
      </c>
      <c r="AB378">
        <f>IF(ISNUMBER(SEARCH(SUBSTITUTE(AB$1,RIGHT(AB$1,2),""),VLOOKUP($D378,素材!$1:$1016,COLUMN($F$1),FALSE))),VLOOKUP($C378,武器!$1:$998,COLUMN($O$1),FALSE)*VLOOKUP($D378,素材!$1:$1016,COLUMN($E$1),FALSE)/(LEN(VLOOKUP($D378,素材!$1:$1016,COLUMN($F$1),FALSE)) - LEN(SUBSTITUTE(VLOOKUP($D378,素材!$1:$1016,COLUMN($F$1),FALSE), "・", 0)) + 1), 0)</f>
        <v>0</v>
      </c>
      <c r="AC378">
        <f>IF(ISNUMBER(SEARCH(SUBSTITUTE(AC$1,RIGHT(AC$1,2),""),VLOOKUP($D378,素材!$1:$1016,COLUMN($F$1),FALSE))),VLOOKUP($C378,武器!$1:$998,COLUMN($O$1),FALSE)*VLOOKUP($D378,素材!$1:$1016,COLUMN($E$1),FALSE)/(LEN(VLOOKUP($D378,素材!$1:$1016,COLUMN($F$1),FALSE)) - LEN(SUBSTITUTE(VLOOKUP($D378,素材!$1:$1016,COLUMN($F$1),FALSE), "・", 0)) + 1), 0)</f>
        <v>0</v>
      </c>
      <c r="AD378">
        <f>IF(ISNUMBER(SEARCH(SUBSTITUTE(AD$1,RIGHT(AD$1,2),""),VLOOKUP($D378,素材!$1:$1016,COLUMN($F$1),FALSE))),VLOOKUP($C378,武器!$1:$998,COLUMN($O$1),FALSE)*VLOOKUP($D378,素材!$1:$1016,COLUMN($E$1),FALSE)/(LEN(VLOOKUP($D378,素材!$1:$1016,COLUMN($F$1),FALSE)) - LEN(SUBSTITUTE(VLOOKUP($D378,素材!$1:$1016,COLUMN($F$1),FALSE), "・", 0)) + 1), 0)</f>
        <v>0</v>
      </c>
      <c r="AE378">
        <f>IF(ISNUMBER(SEARCH(SUBSTITUTE(AE$1,RIGHT(AE$1,2),""),VLOOKUP($D378,素材!$1:$1016,COLUMN($F$1),FALSE))),VLOOKUP($C378,武器!$1:$998,COLUMN($O$1),FALSE)*VLOOKUP($D378,素材!$1:$1016,COLUMN($E$1),FALSE)/(LEN(VLOOKUP($D378,素材!$1:$1016,COLUMN($F$1),FALSE)) - LEN(SUBSTITUTE(VLOOKUP($D378,素材!$1:$1016,COLUMN($F$1),FALSE), "・", 0)) + 1), 0)+IF($CI378&lt;&gt;"",VLOOKUP($CI378,装強!$A$1:AZ$1005,COLUMN(装強!AZ$1),FALSE),0)</f>
        <v>0</v>
      </c>
      <c r="AF378">
        <f>IF(ISNUMBER(SEARCH(SUBSTITUTE(AF$1,RIGHT(AF$1,2),""),VLOOKUP($D378,素材!$1:$1016,COLUMN($F$1),FALSE))),VLOOKUP($C378,武器!$1:$998,COLUMN($O$1),FALSE)*VLOOKUP($D378,素材!$1:$1016,COLUMN($E$1),FALSE)/(LEN(VLOOKUP($D378,素材!$1:$1016,COLUMN($F$1),FALSE)) - LEN(SUBSTITUTE(VLOOKUP($D378,素材!$1:$1016,COLUMN($F$1),FALSE), "・", 0)) + 1), 0)+IF($CI378&lt;&gt;"",VLOOKUP($CI378,装強!$A$1:BA$1005,COLUMN(装強!BA$1),FALSE),0)</f>
        <v>0</v>
      </c>
      <c r="AG378">
        <f>IF(ISNUMBER(SEARCH(SUBSTITUTE(AG$1,RIGHT(AG$1,2),""),VLOOKUP($D378,素材!$1:$1016,COLUMN($F$1),FALSE))),VLOOKUP($C378,武器!$1:$998,COLUMN($O$1),FALSE)*VLOOKUP($D378,素材!$1:$1016,COLUMN($E$1),FALSE)/(LEN(VLOOKUP($D378,素材!$1:$1016,COLUMN($F$1),FALSE)) - LEN(SUBSTITUTE(VLOOKUP($D378,素材!$1:$1016,COLUMN($F$1),FALSE), "・", 0)) + 1), 0)+IF($CI378&lt;&gt;"",VLOOKUP($CI378,装強!$A$1:BB$1005,COLUMN(装強!BB$1),FALSE),0)</f>
        <v>0</v>
      </c>
      <c r="AH378">
        <f>IF(ISNUMBER(SEARCH(SUBSTITUTE(AH$1,RIGHT(AH$1,2),""),VLOOKUP($D378,素材!$1:$1016,COLUMN($F$1),FALSE))),VLOOKUP($C378,武器!$1:$998,COLUMN($O$1),FALSE)*VLOOKUP($D378,素材!$1:$1016,COLUMN($E$1),FALSE)/(LEN(VLOOKUP($D378,素材!$1:$1016,COLUMN($F$1),FALSE)) - LEN(SUBSTITUTE(VLOOKUP($D378,素材!$1:$1016,COLUMN($F$1),FALSE), "・", 0)) + 1), 0)+IF($CI378&lt;&gt;"",VLOOKUP($CI378,装強!$A$1:BC$1005,COLUMN(装強!BC$1),FALSE),0)</f>
        <v>0</v>
      </c>
      <c r="AI378">
        <f>IF(ISNUMBER(SEARCH(SUBSTITUTE(AI$1,RIGHT(AI$1,2),""),VLOOKUP($D378,素材!$1:$1016,COLUMN($F$1),FALSE))),VLOOKUP($C378,武器!$1:$998,COLUMN($O$1),FALSE)*VLOOKUP($D378,素材!$1:$1016,COLUMN($E$1),FALSE)/(LEN(VLOOKUP($D378,素材!$1:$1016,COLUMN($F$1),FALSE)) - LEN(SUBSTITUTE(VLOOKUP($D378,素材!$1:$1016,COLUMN($F$1),FALSE), "・", 0)) + 1), 0)+IF($CI378&lt;&gt;"",VLOOKUP($CI378,装強!$A$1:BD$1005,COLUMN(装強!BD$1),FALSE),0)</f>
        <v>0</v>
      </c>
      <c r="AJ378">
        <f>IF(ISNUMBER(SEARCH(SUBSTITUTE(AJ$1,RIGHT(AJ$1,2),""),VLOOKUP($D378,素材!$1:$1016,COLUMN($F$1),FALSE))),VLOOKUP($C378,武器!$1:$998,COLUMN($O$1),FALSE)*VLOOKUP($D378,素材!$1:$1016,COLUMN($E$1),FALSE)/(LEN(VLOOKUP($D378,素材!$1:$1016,COLUMN($F$1),FALSE)) - LEN(SUBSTITUTE(VLOOKUP($D378,素材!$1:$1016,COLUMN($F$1),FALSE), "・", 0)) + 1), 0)+IF($CI378&lt;&gt;"",VLOOKUP($CI378,装強!$A$1:BE$1005,COLUMN(装強!BE$1),FALSE),0)</f>
        <v>0</v>
      </c>
      <c r="AK378">
        <f>IF(ISNUMBER(SEARCH(SUBSTITUTE(AK$1,RIGHT(AK$1,2),""),VLOOKUP($D378,素材!$1:$1016,COLUMN($F$1),FALSE))),VLOOKUP($C378,武器!$1:$998,COLUMN($O$1),FALSE)*VLOOKUP($D378,素材!$1:$1016,COLUMN($E$1),FALSE)/(LEN(VLOOKUP($D378,素材!$1:$1016,COLUMN($F$1),FALSE)) - LEN(SUBSTITUTE(VLOOKUP($D378,素材!$1:$1016,COLUMN($F$1),FALSE), "・", 0)) + 1), 0)+IF($CI378&lt;&gt;"",VLOOKUP($CI378,装強!$A$1:BF$1005,COLUMN(装強!BF$1),FALSE),0)</f>
        <v>0</v>
      </c>
      <c r="AL378">
        <f>IF(ISNUMBER(SEARCH(SUBSTITUTE(AL$1,RIGHT(AL$1,2),""),VLOOKUP($D378,素材!$1:$1016,COLUMN($F$1),FALSE))),VLOOKUP($C378,武器!$1:$998,COLUMN($O$1),FALSE)*VLOOKUP($D378,素材!$1:$1016,COLUMN($E$1),FALSE)/(LEN(VLOOKUP($D378,素材!$1:$1016,COLUMN($F$1),FALSE)) - LEN(SUBSTITUTE(VLOOKUP($D378,素材!$1:$1016,COLUMN($F$1),FALSE), "・", 0)) + 1), 0)+IF($CI378&lt;&gt;"",VLOOKUP($CI378,装強!$A$1:BG$1005,COLUMN(装強!BG$1),FALSE),0)</f>
        <v>0</v>
      </c>
      <c r="AM378">
        <f>IF(ISNUMBER(SEARCH(SUBSTITUTE(AM$1,RIGHT(AM$1,2),""),VLOOKUP($D378,素材!$1:$1016,COLUMN($F$1),FALSE))),VLOOKUP($C378,武器!$1:$998,COLUMN($O$1),FALSE)*VLOOKUP($D378,素材!$1:$1016,COLUMN($E$1),FALSE)/(LEN(VLOOKUP($D378,素材!$1:$1016,COLUMN($F$1),FALSE)) - LEN(SUBSTITUTE(VLOOKUP($D378,素材!$1:$1016,COLUMN($F$1),FALSE), "・", 0)) + 1), 0)+IF($CI378&lt;&gt;"",VLOOKUP($CI378,装強!$A$1:BH$1005,COLUMN(装強!BH$1),FALSE),0)</f>
        <v>0</v>
      </c>
      <c r="AN378">
        <f>IF(ISNUMBER(SEARCH(SUBSTITUTE(AN$1,RIGHT(AN$1,2),""),VLOOKUP($D378,素材!$1:$1016,COLUMN($F$1),FALSE))),VLOOKUP($C378,武器!$1:$998,COLUMN($O$1),FALSE)*VLOOKUP($D378,素材!$1:$1016,COLUMN($E$1),FALSE)/(LEN(VLOOKUP($D378,素材!$1:$1016,COLUMN($F$1),FALSE)) - LEN(SUBSTITUTE(VLOOKUP($D378,素材!$1:$1016,COLUMN($F$1),FALSE), "・", 0)) + 1), 0)+IF($CI378&lt;&gt;"",VLOOKUP($CI378,装強!$A$1:BI$1005,COLUMN(装強!BI$1),FALSE),0)</f>
        <v>0</v>
      </c>
      <c r="AO378">
        <f>IF(ISNUMBER(SEARCH(SUBSTITUTE(AO$1,RIGHT(AO$1,2),""),VLOOKUP($D378,素材!$1:$1016,COLUMN($F$1),FALSE))),VLOOKUP($C378,武器!$1:$998,COLUMN($O$1),FALSE)*VLOOKUP($D378,素材!$1:$1016,COLUMN($E$1),FALSE)/(LEN(VLOOKUP($D378,素材!$1:$1016,COLUMN($F$1),FALSE)) - LEN(SUBSTITUTE(VLOOKUP($D378,素材!$1:$1016,COLUMN($F$1),FALSE), "・", 0)) + 1), 0)+IF($CI378&lt;&gt;"",VLOOKUP($CI378,装強!$A$1:BK$1005,COLUMN(装強!BK$1),FALSE),0)</f>
        <v>0</v>
      </c>
      <c r="AP378">
        <f>IF(ISNUMBER(SEARCH(SUBSTITUTE(AP$1,RIGHT(AP$1,2),""),VLOOKUP($D378,素材!$1:$1016,COLUMN($F$1),FALSE))),VLOOKUP($C378,武器!$1:$998,COLUMN($O$1),FALSE)*VLOOKUP($D378,素材!$1:$1016,COLUMN($E$1),FALSE)/(LEN(VLOOKUP($D378,素材!$1:$1016,COLUMN($F$1),FALSE)) - LEN(SUBSTITUTE(VLOOKUP($D378,素材!$1:$1016,COLUMN($F$1),FALSE), "・", 0)) + 1), 0)+IF($CI378&lt;&gt;"",VLOOKUP($CI378,装強!$A$1:BL$1005,COLUMN(装強!BL$1),FALSE),0)</f>
        <v>0</v>
      </c>
      <c r="AQ378">
        <f>IF(ISNUMBER(SEARCH(SUBSTITUTE(AQ$1,RIGHT(AQ$1,2),""),VLOOKUP($D378,素材!$1:$1016,COLUMN($F$1),FALSE))),VLOOKUP($C378,武器!$1:$998,COLUMN($O$1),FALSE)*VLOOKUP($D378,素材!$1:$1016,COLUMN($E$1),FALSE)/(LEN(VLOOKUP($D378,素材!$1:$1016,COLUMN($F$1),FALSE)) - LEN(SUBSTITUTE(VLOOKUP($D378,素材!$1:$1016,COLUMN($F$1),FALSE), "・", 0)) + 1), 0)+IF($CI378&lt;&gt;"",VLOOKUP($CI378,装強!$A$1:BM$1005,COLUMN(装強!BM$1),FALSE),0)</f>
        <v>0</v>
      </c>
      <c r="AR378">
        <f>IF(ISNUMBER(SEARCH(SUBSTITUTE(AR$1,RIGHT(AR$1,2),""),VLOOKUP($D378,素材!$1:$1016,COLUMN($F$1),FALSE))),VLOOKUP($C378,武器!$1:$998,COLUMN($O$1),FALSE)*VLOOKUP($D378,素材!$1:$1016,COLUMN($E$1),FALSE)/(LEN(VLOOKUP($D378,素材!$1:$1016,COLUMN($F$1),FALSE)) - LEN(SUBSTITUTE(VLOOKUP($D378,素材!$1:$1016,COLUMN($F$1),FALSE), "・", 0)) + 1), 0)+IF($CI378&lt;&gt;"",VLOOKUP($CI378,装強!$A$1:BN$1005,COLUMN(装強!BN$1),FALSE),0)</f>
        <v>0</v>
      </c>
      <c r="AS378">
        <f>IF(ISNUMBER(SEARCH(SUBSTITUTE(AS$1,RIGHT(AS$1,2),""),VLOOKUP($D378,素材!$1:$1016,COLUMN($F$1),FALSE))),VLOOKUP($C378,武器!$1:$998,COLUMN($O$1),FALSE)*VLOOKUP($D378,素材!$1:$1016,COLUMN($E$1),FALSE)/(LEN(VLOOKUP($D378,素材!$1:$1016,COLUMN($F$1),FALSE)) - LEN(SUBSTITUTE(VLOOKUP($D378,素材!$1:$1016,COLUMN($F$1),FALSE), "・", 0)) + 1), 0)+IF($CI378&lt;&gt;"",VLOOKUP($CI378,装強!$A$1:BO$1005,COLUMN(装強!BO$1),FALSE),0)</f>
        <v>0</v>
      </c>
      <c r="AT378">
        <f>IF(ISNUMBER(SEARCH(SUBSTITUTE(AT$1,RIGHT(AT$1,2),""),VLOOKUP($D378,素材!$1:$1016,COLUMN($F$1),FALSE))),VLOOKUP($C378,武器!$1:$998,COLUMN($O$1),FALSE)*VLOOKUP($D378,素材!$1:$1016,COLUMN($E$1),FALSE)/(LEN(VLOOKUP($D378,素材!$1:$1016,COLUMN($F$1),FALSE)) - LEN(SUBSTITUTE(VLOOKUP($D378,素材!$1:$1016,COLUMN($F$1),FALSE), "・", 0)) + 1), 0)+IF($CI378&lt;&gt;"",VLOOKUP($CI378,装強!$A$1:BP$1005,COLUMN(装強!BP$1),FALSE),0)</f>
        <v>0</v>
      </c>
      <c r="AU378">
        <f>IF(ISNUMBER(SEARCH(SUBSTITUTE(AU$1,RIGHT(AU$1,2),""),VLOOKUP($D378,素材!$1:$1016,COLUMN($F$1),FALSE))),VLOOKUP($C378,武器!$1:$998,COLUMN($O$1),FALSE)*VLOOKUP($D378,素材!$1:$1016,COLUMN($E$1),FALSE)/(LEN(VLOOKUP($D378,素材!$1:$1016,COLUMN($F$1),FALSE)) - LEN(SUBSTITUTE(VLOOKUP($D378,素材!$1:$1016,COLUMN($F$1),FALSE), "・", 0)) + 1), 0)+IF($CI378&lt;&gt;"",VLOOKUP($CI378,装強!$A$1:BQ$1005,COLUMN(装強!BQ$1),FALSE),0)</f>
        <v>0</v>
      </c>
      <c r="AV378">
        <f>IF(ISNUMBER(SEARCH(SUBSTITUTE(AV$1,RIGHT(AV$1,2),""),VLOOKUP($D378,素材!$1:$1016,COLUMN($F$1),FALSE))),VLOOKUP($C378,武器!$1:$998,COLUMN($O$1),FALSE)*VLOOKUP($D378,素材!$1:$1016,COLUMN($E$1),FALSE)/(LEN(VLOOKUP($D378,素材!$1:$1016,COLUMN($F$1),FALSE)) - LEN(SUBSTITUTE(VLOOKUP($D378,素材!$1:$1016,COLUMN($F$1),FALSE), "・", 0)) + 1), 0)+IF($CI378&lt;&gt;"",VLOOKUP($CI378,装強!$A$1:BR$1005,COLUMN(装強!BR$1),FALSE),0)</f>
        <v>0</v>
      </c>
      <c r="AW378">
        <f>IF(ISNUMBER(SEARCH(SUBSTITUTE(AW$1,RIGHT(AW$1,2),""),VLOOKUP($D378,素材!$1:$1016,COLUMN($F$1),FALSE))),VLOOKUP($C378,武器!$1:$998,COLUMN($O$1),FALSE)*VLOOKUP($D378,素材!$1:$1016,COLUMN($E$1),FALSE)/(LEN(VLOOKUP($D378,素材!$1:$1016,COLUMN($F$1),FALSE)) - LEN(SUBSTITUTE(VLOOKUP($D378,素材!$1:$1016,COLUMN($F$1),FALSE), "・", 0)) + 1), 0)+IF($CI378&lt;&gt;"",VLOOKUP($CI378,装強!$A$1:BS$1005,COLUMN(装強!BS$1),FALSE),0)</f>
        <v>0</v>
      </c>
      <c r="AX378">
        <f>IF(ISNUMBER(SEARCH(SUBSTITUTE(AX$1,RIGHT(AX$1,2),""),VLOOKUP($D378,素材!$1:$1016,COLUMN($F$1),FALSE))),VLOOKUP($C378,武器!$1:$998,COLUMN($O$1),FALSE)*VLOOKUP($D378,素材!$1:$1016,COLUMN($E$1),FALSE)/(LEN(VLOOKUP($D378,素材!$1:$1016,COLUMN($F$1),FALSE)) - LEN(SUBSTITUTE(VLOOKUP($D378,素材!$1:$1016,COLUMN($F$1),FALSE), "・", 0)) + 1), 0)+IF($CI378&lt;&gt;"",VLOOKUP($CI378,装強!$A$1:BT$1005,COLUMN(装強!BT$1),FALSE),0)</f>
        <v>0</v>
      </c>
      <c r="AY378">
        <f>IF(ISNUMBER(SEARCH(SUBSTITUTE(AY$1,RIGHT(AY$1,2),""),VLOOKUP($D378,素材!$1:$1016,COLUMN($F$1),FALSE))),VLOOKUP($C378,武器!$1:$998,COLUMN($O$1),FALSE)*VLOOKUP($D378,素材!$1:$1016,COLUMN($E$1),FALSE)/(LEN(VLOOKUP($D378,素材!$1:$1016,COLUMN($F$1),FALSE)) - LEN(SUBSTITUTE(VLOOKUP($D378,素材!$1:$1016,COLUMN($F$1),FALSE), "・", 0)) + 1), 0)+IF($CI378&lt;&gt;"",VLOOKUP($CI378,装強!$A$1:BU$1005,COLUMN(装強!BU$1),FALSE),0)</f>
        <v>0</v>
      </c>
      <c r="AZ378">
        <f>IF(ISNUMBER(SEARCH(SUBSTITUTE(AZ$1,RIGHT(AZ$1,2),""),VLOOKUP($D378,素材!$1:$1016,COLUMN($F$1),FALSE))),VLOOKUP($C378,武器!$1:$998,COLUMN($O$1),FALSE)*VLOOKUP($D378,素材!$1:$1016,COLUMN($E$1),FALSE)/(LEN(VLOOKUP($D378,素材!$1:$1016,COLUMN($F$1),FALSE)) - LEN(SUBSTITUTE(VLOOKUP($D378,素材!$1:$1016,COLUMN($F$1),FALSE), "・", 0)) + 1), 0)+IF($CI378&lt;&gt;"",VLOOKUP($CI378,装強!$A$1:BV$1005,COLUMN(装強!BV$1),FALSE),0)</f>
        <v>0</v>
      </c>
      <c r="BA378">
        <f>IF(ISNUMBER(SEARCH(SUBSTITUTE(BA$1,RIGHT(BA$1,2),""),VLOOKUP($D378,素材!$1:$1016,COLUMN($F$1),FALSE))),VLOOKUP($C378,武器!$1:$998,COLUMN($O$1),FALSE)*VLOOKUP($D378,素材!$1:$1016,COLUMN($E$1),FALSE)/(LEN(VLOOKUP($D378,素材!$1:$1016,COLUMN($F$1),FALSE)) - LEN(SUBSTITUTE(VLOOKUP($D378,素材!$1:$1016,COLUMN($F$1),FALSE), "・", 0)) + 1), 0)+IF($CI378&lt;&gt;"",VLOOKUP($CI378,装強!$A$1:BW$1005,COLUMN(装強!BW$1),FALSE),0)</f>
        <v>0</v>
      </c>
      <c r="BB378">
        <f>IF(ISNUMBER(SEARCH(SUBSTITUTE(BB$1,RIGHT(BB$1,2),""),VLOOKUP($D378,素材!$1:$1016,COLUMN($F$1),FALSE))),VLOOKUP($C378,武器!$1:$998,COLUMN($O$1),FALSE)*VLOOKUP($D378,素材!$1:$1016,COLUMN($E$1),FALSE)/(LEN(VLOOKUP($D378,素材!$1:$1016,COLUMN($F$1),FALSE)) - LEN(SUBSTITUTE(VLOOKUP($D378,素材!$1:$1016,COLUMN($F$1),FALSE), "・", 0)) + 1), 0)+IF($CI378&lt;&gt;"",VLOOKUP($CI378,装強!$A$1:BX$1005,COLUMN(装強!BX$1),FALSE),0)</f>
        <v>0</v>
      </c>
      <c r="BC378">
        <f>IF(ISNUMBER(SEARCH(SUBSTITUTE(BC$1,RIGHT(BC$1,2),""),VLOOKUP($D378,素材!$1:$1016,COLUMN($F$1),FALSE))),VLOOKUP($C378,武器!$1:$998,COLUMN($O$1),FALSE)*VLOOKUP($D378,素材!$1:$1016,COLUMN($E$1),FALSE)/(LEN(VLOOKUP($D378,素材!$1:$1016,COLUMN($F$1),FALSE)) - LEN(SUBSTITUTE(VLOOKUP($D378,素材!$1:$1016,COLUMN($F$1),FALSE), "・", 0)) + 1), 0)+IF($CI378&lt;&gt;"",VLOOKUP($CI378,装強!$A$1:BY$1005,COLUMN(装強!BY$1),FALSE),0)</f>
        <v>0</v>
      </c>
      <c r="BD378">
        <f>IF(ISNUMBER(SEARCH(SUBSTITUTE(BD$1,RIGHT(BD$1,2),""),VLOOKUP($D378,素材!$1:$1016,COLUMN($F$1),FALSE))),VLOOKUP($C378,武器!$1:$998,COLUMN($O$1),FALSE)*VLOOKUP($D378,素材!$1:$1016,COLUMN($E$1),FALSE)/(LEN(VLOOKUP($D378,素材!$1:$1016,COLUMN($F$1),FALSE)) - LEN(SUBSTITUTE(VLOOKUP($D378,素材!$1:$1016,COLUMN($F$1),FALSE), "・", 0)) + 1), 0)+IF($CI378&lt;&gt;"",VLOOKUP($CI378,装強!$A$1:BZ$1005,COLUMN(装強!BZ$1),FALSE),0)</f>
        <v>0</v>
      </c>
      <c r="BE378">
        <f>IF(ISNUMBER(SEARCH(SUBSTITUTE(BE$1,RIGHT(BE$1,2),""),VLOOKUP($D378,素材!$1:$1016,COLUMN($F$1),FALSE))),VLOOKUP($C378,武器!$1:$998,COLUMN($O$1),FALSE)*VLOOKUP($D378,素材!$1:$1016,COLUMN($E$1),FALSE)/(LEN(VLOOKUP($D378,素材!$1:$1016,COLUMN($F$1),FALSE)) - LEN(SUBSTITUTE(VLOOKUP($D378,素材!$1:$1016,COLUMN($F$1),FALSE), "・", 0)) + 1), 0)+IF($CI378&lt;&gt;"",VLOOKUP($CI378,装強!$A$1:CA$1005,COLUMN(装強!CA$1),FALSE),0)</f>
        <v>0</v>
      </c>
      <c r="CL378">
        <f>SUM(G378:I378)</f>
        <v>0</v>
      </c>
      <c r="CM378" s="22" t="str">
        <f>IF(E378="武器",IF(J378-1&gt;SUM(G378:I378),"盾",IF(MAX(G378:I378)=G378,"切断",IF(MAX(G378:I378)=H378,"貫通",IF(MAX(G378:I378)=I378,"打撃","射撃")))),E378)&amp;".webp"</f>
        <v>.webp</v>
      </c>
      <c r="CN378" t="str">
        <f>IFERROR(VLOOKUP($C378,武器!$1:$998,COLUMN(V$1),FALSE)*VLOOKUP($D378,素材!$1:$1016,COLUMN(N$1),FALSE)+IF(CI378="",0,VLOOKUP($CI378,装強!$1:$1008,COLUMN($CK$1),FALSE)),"")</f>
        <v/>
      </c>
      <c r="CO378" t="e">
        <f>VLOOKUP(D378,素材!$A:$O,COLUMN(素材!O$1),FALSE)</f>
        <v>#N/A</v>
      </c>
      <c r="CP378" t="e">
        <f>VLOOKUP(C378,武器!$A:$W,COLUMN(武器!W$1),FALSE)</f>
        <v>#N/A</v>
      </c>
      <c r="CR378" t="str">
        <f t="shared" si="39"/>
        <v>e_378</v>
      </c>
      <c r="CS378" t="e">
        <f t="shared" si="41"/>
        <v>#VALUE!</v>
      </c>
    </row>
    <row r="379" spans="1:97" x14ac:dyDescent="0.4">
      <c r="B379" t="str">
        <f>IFERROR(VLOOKUP($D379,素材!$1:$1016,COLUMN($B$1),FALSE)&amp;"・"&amp;VLOOKUP($C379,武器!$1:$998,COLUMN(B$1),FALSE),"")</f>
        <v/>
      </c>
      <c r="D379" s="24"/>
      <c r="E379" t="str">
        <f>IFERROR(VLOOKUP(C379,武器!$1:$998,COLUMN(C$1),FALSE),"")</f>
        <v/>
      </c>
      <c r="F379" t="str">
        <f>IFERROR(ROUNDDOWN((VLOOKUP($C379,武器!$1:$998,COLUMN(D$1),FALSE)+IFERROR(VLOOKUP($CI379,装強!$1:$999,COLUMN(F$1),FALSE),0))*VLOOKUP($D379,素材!$1:$1016,COLUMN(D$1),FALSE),0),"")</f>
        <v/>
      </c>
      <c r="G379" t="str">
        <f>IFERROR(ROUNDDOWN((VLOOKUP($C379,武器!$1:$998,COLUMN(E$1),FALSE)+IFERROR(VLOOKUP($CI379,装強!$1:$999,COLUMN(G$1),FALSE),0))*VLOOKUP($D379,素材!$1:$1016,COLUMN($E$1),FALSE),0),"")</f>
        <v/>
      </c>
      <c r="H379" t="str">
        <f>IFERROR(ROUNDDOWN((VLOOKUP($C379,武器!$1:$998,COLUMN(F$1),FALSE)+IFERROR(VLOOKUP($CI379,装強!$1:$999,COLUMN(H$1),FALSE),0))*VLOOKUP($D379,素材!$1:$1016,COLUMN($E$1),FALSE),0),"")</f>
        <v/>
      </c>
      <c r="I379" t="str">
        <f>IFERROR(ROUNDDOWN((VLOOKUP($C379,武器!$1:$998,COLUMN(G$1),FALSE)+IFERROR(VLOOKUP($CI379,装強!$1:$999,COLUMN(I$1),FALSE),0))*VLOOKUP($D379,素材!$1:$1016,COLUMN($E$1),FALSE),0),"")</f>
        <v/>
      </c>
      <c r="J379" t="str">
        <f>IFERROR(ROUNDDOWN((VLOOKUP($C379,武器!$1:$998,COLUMN(H$1),FALSE)+IFERROR(VLOOKUP($CI379,装強!$1:$999,COLUMN(J$1),FALSE),0))*VLOOKUP($D379,素材!$1:$1016,COLUMN($E$1),FALSE),0),"")</f>
        <v/>
      </c>
      <c r="K379" t="str">
        <f>IFERROR(ROUNDDOWN((VLOOKUP($C379,武器!$1:$998,COLUMN(I$1),FALSE)+IFERROR(VLOOKUP($CI379,装強!$1:$999,COLUMN(K$1),FALSE),0))*VLOOKUP($D379,素材!$1:$1016,COLUMN($E$1),FALSE),0),"")</f>
        <v/>
      </c>
      <c r="L379" t="str">
        <f>IFERROR(VLOOKUP($D379,素材!$1:$1016,COLUMN($F$1),FALSE),"")</f>
        <v/>
      </c>
      <c r="M379" t="str">
        <f>IFERROR(VLOOKUP($C379,武器!$1:$998,COLUMN(AA$1),FALSE)*VLOOKUP($D379,素材!$1:$1016,COLUMN($G$1),FALSE),"")</f>
        <v/>
      </c>
      <c r="N379" t="str">
        <f>IFERROR(VLOOKUP($C379,武器!$1:$998,COLUMN(I$1),FALSE),"")</f>
        <v/>
      </c>
      <c r="O379" s="23" t="str">
        <f>IFERROR((VLOOKUP($C379,武器!$1:$998,COLUMN(K$1),FALSE)+VLOOKUP($D379,素材!$1:$1016,COLUMN(H$1),FALSE))*100+IFERROR(VLOOKUP($CI379,装強!$1:$999,COLUMN(O$1),FALSE),0),"")</f>
        <v/>
      </c>
      <c r="P379" s="23" t="str">
        <f>IFERROR((VLOOKUP($C379,武器!$1:$998,COLUMN(L$1),FALSE)+VLOOKUP($D379,素材!$1:$1016,COLUMN(I$1),FALSE))*100+IFERROR(VLOOKUP($CI379,装強!$1:$999,COLUMN(P$1),FALSE),0),"")</f>
        <v/>
      </c>
      <c r="Q379" t="str">
        <f>IFERROR(ROUNDUP(VLOOKUP($C379,武器!$1:$998,COLUMN(M$1),FALSE)*(VLOOKUP($D379,素材!$1:$1002,COLUMN(D$1),FALSE)/100),1),"")</f>
        <v/>
      </c>
      <c r="R379" t="str">
        <f>IFERROR(ROUNDUP(VLOOKUP($C379,武器!$1:$998,COLUMN(N$1),FALSE)*(VLOOKUP($D379,素材!$1:$1002,COLUMN(D$1),FALSE)/100),1),"")</f>
        <v/>
      </c>
      <c r="S379" t="str">
        <f>IFERROR(VLOOKUP($C379,武器!$1:$998,COLUMN(P$1),FALSE),"")</f>
        <v/>
      </c>
      <c r="T379" t="str">
        <f>IFERROR(VLOOKUP($C379,武器!$1:$998,COLUMN(Q$1),FALSE),"")</f>
        <v/>
      </c>
      <c r="U379" t="str">
        <f>IFERROR(VLOOKUP($C379,武器!$1:$998,COLUMN(R$1),FALSE),"")</f>
        <v/>
      </c>
      <c r="V379" t="str">
        <f>IFERROR(VLOOKUP($C379,武器!$1:$998,COLUMN(Q$1),FALSE),"")</f>
        <v/>
      </c>
      <c r="W379" t="str">
        <f>IFERROR(VLOOKUP($C379,武器!$1:$998,COLUMN(T$1),FALSE),"")</f>
        <v/>
      </c>
      <c r="Y379" t="str">
        <f>IFERROR(VLOOKUP($C379,武器!$1:$998,COLUMN(U$1),FALSE),"")</f>
        <v/>
      </c>
      <c r="Z379" t="str">
        <f>IFERROR(ROUNDUP(VLOOKUP($C379,武器!$1:$998,COLUMN(O$1),FALSE)*VLOOKUP($D379,素材!$1:$1016,COLUMN(E$1),FALSE),1),"")</f>
        <v/>
      </c>
      <c r="AA379">
        <f>IF(ISNUMBER(SEARCH(SUBSTITUTE(AA$1,RIGHT(AA$1,2),""),VLOOKUP($D379,素材!$1:$1016,COLUMN($F$1),FALSE))),VLOOKUP($C379,武器!$1:$998,COLUMN($O$1),FALSE)*VLOOKUP($D379,素材!$1:$1016,COLUMN($E$1),FALSE)/(LEN(VLOOKUP($D379,素材!$1:$1016,COLUMN($F$1),FALSE)) - LEN(SUBSTITUTE(VLOOKUP($D379,素材!$1:$1016,COLUMN($F$1),FALSE), "・", 0)) + 1), 0)</f>
        <v>0</v>
      </c>
      <c r="AB379">
        <f>IF(ISNUMBER(SEARCH(SUBSTITUTE(AB$1,RIGHT(AB$1,2),""),VLOOKUP($D379,素材!$1:$1016,COLUMN($F$1),FALSE))),VLOOKUP($C379,武器!$1:$998,COLUMN($O$1),FALSE)*VLOOKUP($D379,素材!$1:$1016,COLUMN($E$1),FALSE)/(LEN(VLOOKUP($D379,素材!$1:$1016,COLUMN($F$1),FALSE)) - LEN(SUBSTITUTE(VLOOKUP($D379,素材!$1:$1016,COLUMN($F$1),FALSE), "・", 0)) + 1), 0)</f>
        <v>0</v>
      </c>
      <c r="AC379">
        <f>IF(ISNUMBER(SEARCH(SUBSTITUTE(AC$1,RIGHT(AC$1,2),""),VLOOKUP($D379,素材!$1:$1016,COLUMN($F$1),FALSE))),VLOOKUP($C379,武器!$1:$998,COLUMN($O$1),FALSE)*VLOOKUP($D379,素材!$1:$1016,COLUMN($E$1),FALSE)/(LEN(VLOOKUP($D379,素材!$1:$1016,COLUMN($F$1),FALSE)) - LEN(SUBSTITUTE(VLOOKUP($D379,素材!$1:$1016,COLUMN($F$1),FALSE), "・", 0)) + 1), 0)</f>
        <v>0</v>
      </c>
      <c r="AD379">
        <f>IF(ISNUMBER(SEARCH(SUBSTITUTE(AD$1,RIGHT(AD$1,2),""),VLOOKUP($D379,素材!$1:$1016,COLUMN($F$1),FALSE))),VLOOKUP($C379,武器!$1:$998,COLUMN($O$1),FALSE)*VLOOKUP($D379,素材!$1:$1016,COLUMN($E$1),FALSE)/(LEN(VLOOKUP($D379,素材!$1:$1016,COLUMN($F$1),FALSE)) - LEN(SUBSTITUTE(VLOOKUP($D379,素材!$1:$1016,COLUMN($F$1),FALSE), "・", 0)) + 1), 0)</f>
        <v>0</v>
      </c>
      <c r="AE379">
        <f>IF(ISNUMBER(SEARCH(SUBSTITUTE(AE$1,RIGHT(AE$1,2),""),VLOOKUP($D379,素材!$1:$1016,COLUMN($F$1),FALSE))),VLOOKUP($C379,武器!$1:$998,COLUMN($O$1),FALSE)*VLOOKUP($D379,素材!$1:$1016,COLUMN($E$1),FALSE)/(LEN(VLOOKUP($D379,素材!$1:$1016,COLUMN($F$1),FALSE)) - LEN(SUBSTITUTE(VLOOKUP($D379,素材!$1:$1016,COLUMN($F$1),FALSE), "・", 0)) + 1), 0)+IF($CI379&lt;&gt;"",VLOOKUP($CI379,装強!$A$1:AZ$1005,COLUMN(装強!AZ$1),FALSE),0)</f>
        <v>0</v>
      </c>
      <c r="AF379">
        <f>IF(ISNUMBER(SEARCH(SUBSTITUTE(AF$1,RIGHT(AF$1,2),""),VLOOKUP($D379,素材!$1:$1016,COLUMN($F$1),FALSE))),VLOOKUP($C379,武器!$1:$998,COLUMN($O$1),FALSE)*VLOOKUP($D379,素材!$1:$1016,COLUMN($E$1),FALSE)/(LEN(VLOOKUP($D379,素材!$1:$1016,COLUMN($F$1),FALSE)) - LEN(SUBSTITUTE(VLOOKUP($D379,素材!$1:$1016,COLUMN($F$1),FALSE), "・", 0)) + 1), 0)+IF($CI379&lt;&gt;"",VLOOKUP($CI379,装強!$A$1:BA$1005,COLUMN(装強!BA$1),FALSE),0)</f>
        <v>0</v>
      </c>
      <c r="AG379">
        <f>IF(ISNUMBER(SEARCH(SUBSTITUTE(AG$1,RIGHT(AG$1,2),""),VLOOKUP($D379,素材!$1:$1016,COLUMN($F$1),FALSE))),VLOOKUP($C379,武器!$1:$998,COLUMN($O$1),FALSE)*VLOOKUP($D379,素材!$1:$1016,COLUMN($E$1),FALSE)/(LEN(VLOOKUP($D379,素材!$1:$1016,COLUMN($F$1),FALSE)) - LEN(SUBSTITUTE(VLOOKUP($D379,素材!$1:$1016,COLUMN($F$1),FALSE), "・", 0)) + 1), 0)+IF($CI379&lt;&gt;"",VLOOKUP($CI379,装強!$A$1:BB$1005,COLUMN(装強!BB$1),FALSE),0)</f>
        <v>0</v>
      </c>
      <c r="AH379">
        <f>IF(ISNUMBER(SEARCH(SUBSTITUTE(AH$1,RIGHT(AH$1,2),""),VLOOKUP($D379,素材!$1:$1016,COLUMN($F$1),FALSE))),VLOOKUP($C379,武器!$1:$998,COLUMN($O$1),FALSE)*VLOOKUP($D379,素材!$1:$1016,COLUMN($E$1),FALSE)/(LEN(VLOOKUP($D379,素材!$1:$1016,COLUMN($F$1),FALSE)) - LEN(SUBSTITUTE(VLOOKUP($D379,素材!$1:$1016,COLUMN($F$1),FALSE), "・", 0)) + 1), 0)+IF($CI379&lt;&gt;"",VLOOKUP($CI379,装強!$A$1:BC$1005,COLUMN(装強!BC$1),FALSE),0)</f>
        <v>0</v>
      </c>
      <c r="AI379">
        <f>IF(ISNUMBER(SEARCH(SUBSTITUTE(AI$1,RIGHT(AI$1,2),""),VLOOKUP($D379,素材!$1:$1016,COLUMN($F$1),FALSE))),VLOOKUP($C379,武器!$1:$998,COLUMN($O$1),FALSE)*VLOOKUP($D379,素材!$1:$1016,COLUMN($E$1),FALSE)/(LEN(VLOOKUP($D379,素材!$1:$1016,COLUMN($F$1),FALSE)) - LEN(SUBSTITUTE(VLOOKUP($D379,素材!$1:$1016,COLUMN($F$1),FALSE), "・", 0)) + 1), 0)+IF($CI379&lt;&gt;"",VLOOKUP($CI379,装強!$A$1:BD$1005,COLUMN(装強!BD$1),FALSE),0)</f>
        <v>0</v>
      </c>
      <c r="AJ379">
        <f>IF(ISNUMBER(SEARCH(SUBSTITUTE(AJ$1,RIGHT(AJ$1,2),""),VLOOKUP($D379,素材!$1:$1016,COLUMN($F$1),FALSE))),VLOOKUP($C379,武器!$1:$998,COLUMN($O$1),FALSE)*VLOOKUP($D379,素材!$1:$1016,COLUMN($E$1),FALSE)/(LEN(VLOOKUP($D379,素材!$1:$1016,COLUMN($F$1),FALSE)) - LEN(SUBSTITUTE(VLOOKUP($D379,素材!$1:$1016,COLUMN($F$1),FALSE), "・", 0)) + 1), 0)+IF($CI379&lt;&gt;"",VLOOKUP($CI379,装強!$A$1:BE$1005,COLUMN(装強!BE$1),FALSE),0)</f>
        <v>0</v>
      </c>
      <c r="AK379">
        <f>IF(ISNUMBER(SEARCH(SUBSTITUTE(AK$1,RIGHT(AK$1,2),""),VLOOKUP($D379,素材!$1:$1016,COLUMN($F$1),FALSE))),VLOOKUP($C379,武器!$1:$998,COLUMN($O$1),FALSE)*VLOOKUP($D379,素材!$1:$1016,COLUMN($E$1),FALSE)/(LEN(VLOOKUP($D379,素材!$1:$1016,COLUMN($F$1),FALSE)) - LEN(SUBSTITUTE(VLOOKUP($D379,素材!$1:$1016,COLUMN($F$1),FALSE), "・", 0)) + 1), 0)+IF($CI379&lt;&gt;"",VLOOKUP($CI379,装強!$A$1:BF$1005,COLUMN(装強!BF$1),FALSE),0)</f>
        <v>0</v>
      </c>
      <c r="AL379">
        <f>IF(ISNUMBER(SEARCH(SUBSTITUTE(AL$1,RIGHT(AL$1,2),""),VLOOKUP($D379,素材!$1:$1016,COLUMN($F$1),FALSE))),VLOOKUP($C379,武器!$1:$998,COLUMN($O$1),FALSE)*VLOOKUP($D379,素材!$1:$1016,COLUMN($E$1),FALSE)/(LEN(VLOOKUP($D379,素材!$1:$1016,COLUMN($F$1),FALSE)) - LEN(SUBSTITUTE(VLOOKUP($D379,素材!$1:$1016,COLUMN($F$1),FALSE), "・", 0)) + 1), 0)+IF($CI379&lt;&gt;"",VLOOKUP($CI379,装強!$A$1:BG$1005,COLUMN(装強!BG$1),FALSE),0)</f>
        <v>0</v>
      </c>
      <c r="AM379">
        <f>IF(ISNUMBER(SEARCH(SUBSTITUTE(AM$1,RIGHT(AM$1,2),""),VLOOKUP($D379,素材!$1:$1016,COLUMN($F$1),FALSE))),VLOOKUP($C379,武器!$1:$998,COLUMN($O$1),FALSE)*VLOOKUP($D379,素材!$1:$1016,COLUMN($E$1),FALSE)/(LEN(VLOOKUP($D379,素材!$1:$1016,COLUMN($F$1),FALSE)) - LEN(SUBSTITUTE(VLOOKUP($D379,素材!$1:$1016,COLUMN($F$1),FALSE), "・", 0)) + 1), 0)+IF($CI379&lt;&gt;"",VLOOKUP($CI379,装強!$A$1:BH$1005,COLUMN(装強!BH$1),FALSE),0)</f>
        <v>0</v>
      </c>
      <c r="AN379">
        <f>IF(ISNUMBER(SEARCH(SUBSTITUTE(AN$1,RIGHT(AN$1,2),""),VLOOKUP($D379,素材!$1:$1016,COLUMN($F$1),FALSE))),VLOOKUP($C379,武器!$1:$998,COLUMN($O$1),FALSE)*VLOOKUP($D379,素材!$1:$1016,COLUMN($E$1),FALSE)/(LEN(VLOOKUP($D379,素材!$1:$1016,COLUMN($F$1),FALSE)) - LEN(SUBSTITUTE(VLOOKUP($D379,素材!$1:$1016,COLUMN($F$1),FALSE), "・", 0)) + 1), 0)+IF($CI379&lt;&gt;"",VLOOKUP($CI379,装強!$A$1:BI$1005,COLUMN(装強!BI$1),FALSE),0)</f>
        <v>0</v>
      </c>
      <c r="AO379">
        <f>IF(ISNUMBER(SEARCH(SUBSTITUTE(AO$1,RIGHT(AO$1,2),""),VLOOKUP($D379,素材!$1:$1016,COLUMN($F$1),FALSE))),VLOOKUP($C379,武器!$1:$998,COLUMN($O$1),FALSE)*VLOOKUP($D379,素材!$1:$1016,COLUMN($E$1),FALSE)/(LEN(VLOOKUP($D379,素材!$1:$1016,COLUMN($F$1),FALSE)) - LEN(SUBSTITUTE(VLOOKUP($D379,素材!$1:$1016,COLUMN($F$1),FALSE), "・", 0)) + 1), 0)+IF($CI379&lt;&gt;"",VLOOKUP($CI379,装強!$A$1:BK$1005,COLUMN(装強!BK$1),FALSE),0)</f>
        <v>0</v>
      </c>
      <c r="AP379">
        <f>IF(ISNUMBER(SEARCH(SUBSTITUTE(AP$1,RIGHT(AP$1,2),""),VLOOKUP($D379,素材!$1:$1016,COLUMN($F$1),FALSE))),VLOOKUP($C379,武器!$1:$998,COLUMN($O$1),FALSE)*VLOOKUP($D379,素材!$1:$1016,COLUMN($E$1),FALSE)/(LEN(VLOOKUP($D379,素材!$1:$1016,COLUMN($F$1),FALSE)) - LEN(SUBSTITUTE(VLOOKUP($D379,素材!$1:$1016,COLUMN($F$1),FALSE), "・", 0)) + 1), 0)+IF($CI379&lt;&gt;"",VLOOKUP($CI379,装強!$A$1:BL$1005,COLUMN(装強!BL$1),FALSE),0)</f>
        <v>0</v>
      </c>
      <c r="AQ379">
        <f>IF(ISNUMBER(SEARCH(SUBSTITUTE(AQ$1,RIGHT(AQ$1,2),""),VLOOKUP($D379,素材!$1:$1016,COLUMN($F$1),FALSE))),VLOOKUP($C379,武器!$1:$998,COLUMN($O$1),FALSE)*VLOOKUP($D379,素材!$1:$1016,COLUMN($E$1),FALSE)/(LEN(VLOOKUP($D379,素材!$1:$1016,COLUMN($F$1),FALSE)) - LEN(SUBSTITUTE(VLOOKUP($D379,素材!$1:$1016,COLUMN($F$1),FALSE), "・", 0)) + 1), 0)+IF($CI379&lt;&gt;"",VLOOKUP($CI379,装強!$A$1:BM$1005,COLUMN(装強!BM$1),FALSE),0)</f>
        <v>0</v>
      </c>
      <c r="AR379">
        <f>IF(ISNUMBER(SEARCH(SUBSTITUTE(AR$1,RIGHT(AR$1,2),""),VLOOKUP($D379,素材!$1:$1016,COLUMN($F$1),FALSE))),VLOOKUP($C379,武器!$1:$998,COLUMN($O$1),FALSE)*VLOOKUP($D379,素材!$1:$1016,COLUMN($E$1),FALSE)/(LEN(VLOOKUP($D379,素材!$1:$1016,COLUMN($F$1),FALSE)) - LEN(SUBSTITUTE(VLOOKUP($D379,素材!$1:$1016,COLUMN($F$1),FALSE), "・", 0)) + 1), 0)+IF($CI379&lt;&gt;"",VLOOKUP($CI379,装強!$A$1:BN$1005,COLUMN(装強!BN$1),FALSE),0)</f>
        <v>0</v>
      </c>
      <c r="AS379">
        <f>IF(ISNUMBER(SEARCH(SUBSTITUTE(AS$1,RIGHT(AS$1,2),""),VLOOKUP($D379,素材!$1:$1016,COLUMN($F$1),FALSE))),VLOOKUP($C379,武器!$1:$998,COLUMN($O$1),FALSE)*VLOOKUP($D379,素材!$1:$1016,COLUMN($E$1),FALSE)/(LEN(VLOOKUP($D379,素材!$1:$1016,COLUMN($F$1),FALSE)) - LEN(SUBSTITUTE(VLOOKUP($D379,素材!$1:$1016,COLUMN($F$1),FALSE), "・", 0)) + 1), 0)+IF($CI379&lt;&gt;"",VLOOKUP($CI379,装強!$A$1:BO$1005,COLUMN(装強!BO$1),FALSE),0)</f>
        <v>0</v>
      </c>
      <c r="AT379">
        <f>IF(ISNUMBER(SEARCH(SUBSTITUTE(AT$1,RIGHT(AT$1,2),""),VLOOKUP($D379,素材!$1:$1016,COLUMN($F$1),FALSE))),VLOOKUP($C379,武器!$1:$998,COLUMN($O$1),FALSE)*VLOOKUP($D379,素材!$1:$1016,COLUMN($E$1),FALSE)/(LEN(VLOOKUP($D379,素材!$1:$1016,COLUMN($F$1),FALSE)) - LEN(SUBSTITUTE(VLOOKUP($D379,素材!$1:$1016,COLUMN($F$1),FALSE), "・", 0)) + 1), 0)+IF($CI379&lt;&gt;"",VLOOKUP($CI379,装強!$A$1:BP$1005,COLUMN(装強!BP$1),FALSE),0)</f>
        <v>0</v>
      </c>
      <c r="AU379">
        <f>IF(ISNUMBER(SEARCH(SUBSTITUTE(AU$1,RIGHT(AU$1,2),""),VLOOKUP($D379,素材!$1:$1016,COLUMN($F$1),FALSE))),VLOOKUP($C379,武器!$1:$998,COLUMN($O$1),FALSE)*VLOOKUP($D379,素材!$1:$1016,COLUMN($E$1),FALSE)/(LEN(VLOOKUP($D379,素材!$1:$1016,COLUMN($F$1),FALSE)) - LEN(SUBSTITUTE(VLOOKUP($D379,素材!$1:$1016,COLUMN($F$1),FALSE), "・", 0)) + 1), 0)+IF($CI379&lt;&gt;"",VLOOKUP($CI379,装強!$A$1:BQ$1005,COLUMN(装強!BQ$1),FALSE),0)</f>
        <v>0</v>
      </c>
      <c r="AV379">
        <f>IF(ISNUMBER(SEARCH(SUBSTITUTE(AV$1,RIGHT(AV$1,2),""),VLOOKUP($D379,素材!$1:$1016,COLUMN($F$1),FALSE))),VLOOKUP($C379,武器!$1:$998,COLUMN($O$1),FALSE)*VLOOKUP($D379,素材!$1:$1016,COLUMN($E$1),FALSE)/(LEN(VLOOKUP($D379,素材!$1:$1016,COLUMN($F$1),FALSE)) - LEN(SUBSTITUTE(VLOOKUP($D379,素材!$1:$1016,COLUMN($F$1),FALSE), "・", 0)) + 1), 0)+IF($CI379&lt;&gt;"",VLOOKUP($CI379,装強!$A$1:BR$1005,COLUMN(装強!BR$1),FALSE),0)</f>
        <v>0</v>
      </c>
      <c r="AW379">
        <f>IF(ISNUMBER(SEARCH(SUBSTITUTE(AW$1,RIGHT(AW$1,2),""),VLOOKUP($D379,素材!$1:$1016,COLUMN($F$1),FALSE))),VLOOKUP($C379,武器!$1:$998,COLUMN($O$1),FALSE)*VLOOKUP($D379,素材!$1:$1016,COLUMN($E$1),FALSE)/(LEN(VLOOKUP($D379,素材!$1:$1016,COLUMN($F$1),FALSE)) - LEN(SUBSTITUTE(VLOOKUP($D379,素材!$1:$1016,COLUMN($F$1),FALSE), "・", 0)) + 1), 0)+IF($CI379&lt;&gt;"",VLOOKUP($CI379,装強!$A$1:BS$1005,COLUMN(装強!BS$1),FALSE),0)</f>
        <v>0</v>
      </c>
      <c r="AX379">
        <f>IF(ISNUMBER(SEARCH(SUBSTITUTE(AX$1,RIGHT(AX$1,2),""),VLOOKUP($D379,素材!$1:$1016,COLUMN($F$1),FALSE))),VLOOKUP($C379,武器!$1:$998,COLUMN($O$1),FALSE)*VLOOKUP($D379,素材!$1:$1016,COLUMN($E$1),FALSE)/(LEN(VLOOKUP($D379,素材!$1:$1016,COLUMN($F$1),FALSE)) - LEN(SUBSTITUTE(VLOOKUP($D379,素材!$1:$1016,COLUMN($F$1),FALSE), "・", 0)) + 1), 0)+IF($CI379&lt;&gt;"",VLOOKUP($CI379,装強!$A$1:BT$1005,COLUMN(装強!BT$1),FALSE),0)</f>
        <v>0</v>
      </c>
      <c r="AY379">
        <f>IF(ISNUMBER(SEARCH(SUBSTITUTE(AY$1,RIGHT(AY$1,2),""),VLOOKUP($D379,素材!$1:$1016,COLUMN($F$1),FALSE))),VLOOKUP($C379,武器!$1:$998,COLUMN($O$1),FALSE)*VLOOKUP($D379,素材!$1:$1016,COLUMN($E$1),FALSE)/(LEN(VLOOKUP($D379,素材!$1:$1016,COLUMN($F$1),FALSE)) - LEN(SUBSTITUTE(VLOOKUP($D379,素材!$1:$1016,COLUMN($F$1),FALSE), "・", 0)) + 1), 0)+IF($CI379&lt;&gt;"",VLOOKUP($CI379,装強!$A$1:BU$1005,COLUMN(装強!BU$1),FALSE),0)</f>
        <v>0</v>
      </c>
      <c r="AZ379">
        <f>IF(ISNUMBER(SEARCH(SUBSTITUTE(AZ$1,RIGHT(AZ$1,2),""),VLOOKUP($D379,素材!$1:$1016,COLUMN($F$1),FALSE))),VLOOKUP($C379,武器!$1:$998,COLUMN($O$1),FALSE)*VLOOKUP($D379,素材!$1:$1016,COLUMN($E$1),FALSE)/(LEN(VLOOKUP($D379,素材!$1:$1016,COLUMN($F$1),FALSE)) - LEN(SUBSTITUTE(VLOOKUP($D379,素材!$1:$1016,COLUMN($F$1),FALSE), "・", 0)) + 1), 0)+IF($CI379&lt;&gt;"",VLOOKUP($CI379,装強!$A$1:BV$1005,COLUMN(装強!BV$1),FALSE),0)</f>
        <v>0</v>
      </c>
      <c r="BA379">
        <f>IF(ISNUMBER(SEARCH(SUBSTITUTE(BA$1,RIGHT(BA$1,2),""),VLOOKUP($D379,素材!$1:$1016,COLUMN($F$1),FALSE))),VLOOKUP($C379,武器!$1:$998,COLUMN($O$1),FALSE)*VLOOKUP($D379,素材!$1:$1016,COLUMN($E$1),FALSE)/(LEN(VLOOKUP($D379,素材!$1:$1016,COLUMN($F$1),FALSE)) - LEN(SUBSTITUTE(VLOOKUP($D379,素材!$1:$1016,COLUMN($F$1),FALSE), "・", 0)) + 1), 0)+IF($CI379&lt;&gt;"",VLOOKUP($CI379,装強!$A$1:BW$1005,COLUMN(装強!BW$1),FALSE),0)</f>
        <v>0</v>
      </c>
      <c r="BB379">
        <f>IF(ISNUMBER(SEARCH(SUBSTITUTE(BB$1,RIGHT(BB$1,2),""),VLOOKUP($D379,素材!$1:$1016,COLUMN($F$1),FALSE))),VLOOKUP($C379,武器!$1:$998,COLUMN($O$1),FALSE)*VLOOKUP($D379,素材!$1:$1016,COLUMN($E$1),FALSE)/(LEN(VLOOKUP($D379,素材!$1:$1016,COLUMN($F$1),FALSE)) - LEN(SUBSTITUTE(VLOOKUP($D379,素材!$1:$1016,COLUMN($F$1),FALSE), "・", 0)) + 1), 0)+IF($CI379&lt;&gt;"",VLOOKUP($CI379,装強!$A$1:BX$1005,COLUMN(装強!BX$1),FALSE),0)</f>
        <v>0</v>
      </c>
      <c r="BC379">
        <f>IF(ISNUMBER(SEARCH(SUBSTITUTE(BC$1,RIGHT(BC$1,2),""),VLOOKUP($D379,素材!$1:$1016,COLUMN($F$1),FALSE))),VLOOKUP($C379,武器!$1:$998,COLUMN($O$1),FALSE)*VLOOKUP($D379,素材!$1:$1016,COLUMN($E$1),FALSE)/(LEN(VLOOKUP($D379,素材!$1:$1016,COLUMN($F$1),FALSE)) - LEN(SUBSTITUTE(VLOOKUP($D379,素材!$1:$1016,COLUMN($F$1),FALSE), "・", 0)) + 1), 0)+IF($CI379&lt;&gt;"",VLOOKUP($CI379,装強!$A$1:BY$1005,COLUMN(装強!BY$1),FALSE),0)</f>
        <v>0</v>
      </c>
      <c r="BD379">
        <f>IF(ISNUMBER(SEARCH(SUBSTITUTE(BD$1,RIGHT(BD$1,2),""),VLOOKUP($D379,素材!$1:$1016,COLUMN($F$1),FALSE))),VLOOKUP($C379,武器!$1:$998,COLUMN($O$1),FALSE)*VLOOKUP($D379,素材!$1:$1016,COLUMN($E$1),FALSE)/(LEN(VLOOKUP($D379,素材!$1:$1016,COLUMN($F$1),FALSE)) - LEN(SUBSTITUTE(VLOOKUP($D379,素材!$1:$1016,COLUMN($F$1),FALSE), "・", 0)) + 1), 0)+IF($CI379&lt;&gt;"",VLOOKUP($CI379,装強!$A$1:BZ$1005,COLUMN(装強!BZ$1),FALSE),0)</f>
        <v>0</v>
      </c>
      <c r="BE379">
        <f>IF(ISNUMBER(SEARCH(SUBSTITUTE(BE$1,RIGHT(BE$1,2),""),VLOOKUP($D379,素材!$1:$1016,COLUMN($F$1),FALSE))),VLOOKUP($C379,武器!$1:$998,COLUMN($O$1),FALSE)*VLOOKUP($D379,素材!$1:$1016,COLUMN($E$1),FALSE)/(LEN(VLOOKUP($D379,素材!$1:$1016,COLUMN($F$1),FALSE)) - LEN(SUBSTITUTE(VLOOKUP($D379,素材!$1:$1016,COLUMN($F$1),FALSE), "・", 0)) + 1), 0)+IF($CI379&lt;&gt;"",VLOOKUP($CI379,装強!$A$1:CA$1005,COLUMN(装強!CA$1),FALSE),0)</f>
        <v>0</v>
      </c>
      <c r="CL379">
        <f>SUM(G379:I379)</f>
        <v>0</v>
      </c>
      <c r="CM379" s="22" t="str">
        <f>IF(E379="武器",IF(J379-1&gt;SUM(G379:I379),"盾",IF(MAX(G379:I379)=G379,"切断",IF(MAX(G379:I379)=H379,"貫通",IF(MAX(G379:I379)=I379,"打撃","射撃")))),E379)&amp;".webp"</f>
        <v>.webp</v>
      </c>
      <c r="CN379" t="str">
        <f>IFERROR(VLOOKUP($C379,武器!$1:$998,COLUMN(V$1),FALSE)*VLOOKUP($D379,素材!$1:$1016,COLUMN(N$1),FALSE)+IF(CI379="",0,VLOOKUP($CI379,装強!$1:$1008,COLUMN($CK$1),FALSE)),"")</f>
        <v/>
      </c>
      <c r="CO379" t="e">
        <f>VLOOKUP(D379,素材!$A:$O,COLUMN(素材!O$1),FALSE)</f>
        <v>#N/A</v>
      </c>
      <c r="CP379" t="e">
        <f>VLOOKUP(C379,武器!$A:$W,COLUMN(武器!W$1),FALSE)</f>
        <v>#N/A</v>
      </c>
      <c r="CR379" t="str">
        <f t="shared" si="39"/>
        <v>e_379</v>
      </c>
      <c r="CS379" t="e">
        <f t="shared" si="41"/>
        <v>#VALUE!</v>
      </c>
    </row>
    <row r="380" spans="1:97" x14ac:dyDescent="0.4">
      <c r="B380" t="str">
        <f>IFERROR(VLOOKUP($D380,素材!$1:$1016,COLUMN($B$1),FALSE)&amp;"・"&amp;VLOOKUP($C380,武器!$1:$998,COLUMN(B$1),FALSE),"")</f>
        <v/>
      </c>
      <c r="D380" s="24"/>
      <c r="E380" t="str">
        <f>IFERROR(VLOOKUP(C380,武器!$1:$998,COLUMN(C$1),FALSE),"")</f>
        <v/>
      </c>
      <c r="F380" t="str">
        <f>IFERROR(ROUNDDOWN((VLOOKUP($C380,武器!$1:$998,COLUMN(D$1),FALSE)+IFERROR(VLOOKUP($CI380,装強!$1:$999,COLUMN(F$1),FALSE),0))*VLOOKUP($D380,素材!$1:$1016,COLUMN(D$1),FALSE),0),"")</f>
        <v/>
      </c>
      <c r="G380" t="str">
        <f>IFERROR(ROUNDDOWN((VLOOKUP($C380,武器!$1:$998,COLUMN(E$1),FALSE)+IFERROR(VLOOKUP($CI380,装強!$1:$999,COLUMN(G$1),FALSE),0))*VLOOKUP($D380,素材!$1:$1016,COLUMN($E$1),FALSE),0),"")</f>
        <v/>
      </c>
      <c r="H380" t="str">
        <f>IFERROR(ROUNDDOWN((VLOOKUP($C380,武器!$1:$998,COLUMN(F$1),FALSE)+IFERROR(VLOOKUP($CI380,装強!$1:$999,COLUMN(H$1),FALSE),0))*VLOOKUP($D380,素材!$1:$1016,COLUMN($E$1),FALSE),0),"")</f>
        <v/>
      </c>
      <c r="I380" t="str">
        <f>IFERROR(ROUNDDOWN((VLOOKUP($C380,武器!$1:$998,COLUMN(G$1),FALSE)+IFERROR(VLOOKUP($CI380,装強!$1:$999,COLUMN(I$1),FALSE),0))*VLOOKUP($D380,素材!$1:$1016,COLUMN($E$1),FALSE),0),"")</f>
        <v/>
      </c>
      <c r="J380" t="str">
        <f>IFERROR(ROUNDDOWN((VLOOKUP($C380,武器!$1:$998,COLUMN(H$1),FALSE)+IFERROR(VLOOKUP($CI380,装強!$1:$999,COLUMN(J$1),FALSE),0))*VLOOKUP($D380,素材!$1:$1016,COLUMN($E$1),FALSE),0),"")</f>
        <v/>
      </c>
      <c r="K380" t="str">
        <f>IFERROR(ROUNDDOWN((VLOOKUP($C380,武器!$1:$998,COLUMN(I$1),FALSE)+IFERROR(VLOOKUP($CI380,装強!$1:$999,COLUMN(K$1),FALSE),0))*VLOOKUP($D380,素材!$1:$1016,COLUMN($E$1),FALSE),0),"")</f>
        <v/>
      </c>
      <c r="L380" t="str">
        <f>IFERROR(VLOOKUP($D380,素材!$1:$1016,COLUMN($F$1),FALSE),"")</f>
        <v/>
      </c>
      <c r="M380" t="str">
        <f>IFERROR(VLOOKUP($C380,武器!$1:$998,COLUMN(AA$1),FALSE)*VLOOKUP($D380,素材!$1:$1016,COLUMN($G$1),FALSE),"")</f>
        <v/>
      </c>
      <c r="N380" t="str">
        <f>IFERROR(VLOOKUP($C380,武器!$1:$998,COLUMN(I$1),FALSE),"")</f>
        <v/>
      </c>
      <c r="O380" s="23" t="str">
        <f>IFERROR((VLOOKUP($C380,武器!$1:$998,COLUMN(K$1),FALSE)+VLOOKUP($D380,素材!$1:$1016,COLUMN(H$1),FALSE))*100+IFERROR(VLOOKUP($CI380,装強!$1:$999,COLUMN(O$1),FALSE),0),"")</f>
        <v/>
      </c>
      <c r="P380" s="23" t="str">
        <f>IFERROR((VLOOKUP($C380,武器!$1:$998,COLUMN(L$1),FALSE)+VLOOKUP($D380,素材!$1:$1016,COLUMN(I$1),FALSE))*100+IFERROR(VLOOKUP($CI380,装強!$1:$999,COLUMN(P$1),FALSE),0),"")</f>
        <v/>
      </c>
      <c r="Q380" t="str">
        <f>IFERROR(ROUNDUP(VLOOKUP($C380,武器!$1:$998,COLUMN(M$1),FALSE)*(VLOOKUP($D380,素材!$1:$1002,COLUMN(D$1),FALSE)/100),1),"")</f>
        <v/>
      </c>
      <c r="R380" t="str">
        <f>IFERROR(ROUNDUP(VLOOKUP($C380,武器!$1:$998,COLUMN(N$1),FALSE)*(VLOOKUP($D380,素材!$1:$1002,COLUMN(D$1),FALSE)/100),1),"")</f>
        <v/>
      </c>
      <c r="S380" t="str">
        <f>IFERROR(VLOOKUP($C380,武器!$1:$998,COLUMN(P$1),FALSE),"")</f>
        <v/>
      </c>
      <c r="T380" t="str">
        <f>IFERROR(VLOOKUP($C380,武器!$1:$998,COLUMN(Q$1),FALSE),"")</f>
        <v/>
      </c>
      <c r="U380" t="str">
        <f>IFERROR(VLOOKUP($C380,武器!$1:$998,COLUMN(R$1),FALSE),"")</f>
        <v/>
      </c>
      <c r="V380" t="str">
        <f>IFERROR(VLOOKUP($C380,武器!$1:$998,COLUMN(Q$1),FALSE),"")</f>
        <v/>
      </c>
      <c r="W380" t="str">
        <f>IFERROR(VLOOKUP($C380,武器!$1:$998,COLUMN(T$1),FALSE),"")</f>
        <v/>
      </c>
      <c r="Y380" t="str">
        <f>IFERROR(VLOOKUP($C380,武器!$1:$998,COLUMN(U$1),FALSE),"")</f>
        <v/>
      </c>
      <c r="Z380" t="str">
        <f>IFERROR(ROUNDUP(VLOOKUP($C380,武器!$1:$998,COLUMN(O$1),FALSE)*VLOOKUP($D380,素材!$1:$1016,COLUMN(E$1),FALSE),1),"")</f>
        <v/>
      </c>
      <c r="AA380">
        <f>IF(ISNUMBER(SEARCH(SUBSTITUTE(AA$1,RIGHT(AA$1,2),""),VLOOKUP($D380,素材!$1:$1016,COLUMN($F$1),FALSE))),VLOOKUP($C380,武器!$1:$998,COLUMN($O$1),FALSE)*VLOOKUP($D380,素材!$1:$1016,COLUMN($E$1),FALSE)/(LEN(VLOOKUP($D380,素材!$1:$1016,COLUMN($F$1),FALSE)) - LEN(SUBSTITUTE(VLOOKUP($D380,素材!$1:$1016,COLUMN($F$1),FALSE), "・", 0)) + 1), 0)</f>
        <v>0</v>
      </c>
      <c r="AB380">
        <f>IF(ISNUMBER(SEARCH(SUBSTITUTE(AB$1,RIGHT(AB$1,2),""),VLOOKUP($D380,素材!$1:$1016,COLUMN($F$1),FALSE))),VLOOKUP($C380,武器!$1:$998,COLUMN($O$1),FALSE)*VLOOKUP($D380,素材!$1:$1016,COLUMN($E$1),FALSE)/(LEN(VLOOKUP($D380,素材!$1:$1016,COLUMN($F$1),FALSE)) - LEN(SUBSTITUTE(VLOOKUP($D380,素材!$1:$1016,COLUMN($F$1),FALSE), "・", 0)) + 1), 0)</f>
        <v>0</v>
      </c>
      <c r="AC380">
        <f>IF(ISNUMBER(SEARCH(SUBSTITUTE(AC$1,RIGHT(AC$1,2),""),VLOOKUP($D380,素材!$1:$1016,COLUMN($F$1),FALSE))),VLOOKUP($C380,武器!$1:$998,COLUMN($O$1),FALSE)*VLOOKUP($D380,素材!$1:$1016,COLUMN($E$1),FALSE)/(LEN(VLOOKUP($D380,素材!$1:$1016,COLUMN($F$1),FALSE)) - LEN(SUBSTITUTE(VLOOKUP($D380,素材!$1:$1016,COLUMN($F$1),FALSE), "・", 0)) + 1), 0)</f>
        <v>0</v>
      </c>
      <c r="AD380">
        <f>IF(ISNUMBER(SEARCH(SUBSTITUTE(AD$1,RIGHT(AD$1,2),""),VLOOKUP($D380,素材!$1:$1016,COLUMN($F$1),FALSE))),VLOOKUP($C380,武器!$1:$998,COLUMN($O$1),FALSE)*VLOOKUP($D380,素材!$1:$1016,COLUMN($E$1),FALSE)/(LEN(VLOOKUP($D380,素材!$1:$1016,COLUMN($F$1),FALSE)) - LEN(SUBSTITUTE(VLOOKUP($D380,素材!$1:$1016,COLUMN($F$1),FALSE), "・", 0)) + 1), 0)</f>
        <v>0</v>
      </c>
      <c r="AE380">
        <f>IF(ISNUMBER(SEARCH(SUBSTITUTE(AE$1,RIGHT(AE$1,2),""),VLOOKUP($D380,素材!$1:$1016,COLUMN($F$1),FALSE))),VLOOKUP($C380,武器!$1:$998,COLUMN($O$1),FALSE)*VLOOKUP($D380,素材!$1:$1016,COLUMN($E$1),FALSE)/(LEN(VLOOKUP($D380,素材!$1:$1016,COLUMN($F$1),FALSE)) - LEN(SUBSTITUTE(VLOOKUP($D380,素材!$1:$1016,COLUMN($F$1),FALSE), "・", 0)) + 1), 0)+IF($CI380&lt;&gt;"",VLOOKUP($CI380,装強!$A$1:AZ$1005,COLUMN(装強!AZ$1),FALSE),0)</f>
        <v>0</v>
      </c>
      <c r="AF380">
        <f>IF(ISNUMBER(SEARCH(SUBSTITUTE(AF$1,RIGHT(AF$1,2),""),VLOOKUP($D380,素材!$1:$1016,COLUMN($F$1),FALSE))),VLOOKUP($C380,武器!$1:$998,COLUMN($O$1),FALSE)*VLOOKUP($D380,素材!$1:$1016,COLUMN($E$1),FALSE)/(LEN(VLOOKUP($D380,素材!$1:$1016,COLUMN($F$1),FALSE)) - LEN(SUBSTITUTE(VLOOKUP($D380,素材!$1:$1016,COLUMN($F$1),FALSE), "・", 0)) + 1), 0)+IF($CI380&lt;&gt;"",VLOOKUP($CI380,装強!$A$1:BA$1005,COLUMN(装強!BA$1),FALSE),0)</f>
        <v>0</v>
      </c>
      <c r="AG380">
        <f>IF(ISNUMBER(SEARCH(SUBSTITUTE(AG$1,RIGHT(AG$1,2),""),VLOOKUP($D380,素材!$1:$1016,COLUMN($F$1),FALSE))),VLOOKUP($C380,武器!$1:$998,COLUMN($O$1),FALSE)*VLOOKUP($D380,素材!$1:$1016,COLUMN($E$1),FALSE)/(LEN(VLOOKUP($D380,素材!$1:$1016,COLUMN($F$1),FALSE)) - LEN(SUBSTITUTE(VLOOKUP($D380,素材!$1:$1016,COLUMN($F$1),FALSE), "・", 0)) + 1), 0)+IF($CI380&lt;&gt;"",VLOOKUP($CI380,装強!$A$1:BB$1005,COLUMN(装強!BB$1),FALSE),0)</f>
        <v>0</v>
      </c>
      <c r="AH380">
        <f>IF(ISNUMBER(SEARCH(SUBSTITUTE(AH$1,RIGHT(AH$1,2),""),VLOOKUP($D380,素材!$1:$1016,COLUMN($F$1),FALSE))),VLOOKUP($C380,武器!$1:$998,COLUMN($O$1),FALSE)*VLOOKUP($D380,素材!$1:$1016,COLUMN($E$1),FALSE)/(LEN(VLOOKUP($D380,素材!$1:$1016,COLUMN($F$1),FALSE)) - LEN(SUBSTITUTE(VLOOKUP($D380,素材!$1:$1016,COLUMN($F$1),FALSE), "・", 0)) + 1), 0)+IF($CI380&lt;&gt;"",VLOOKUP($CI380,装強!$A$1:BC$1005,COLUMN(装強!BC$1),FALSE),0)</f>
        <v>0</v>
      </c>
      <c r="AI380">
        <f>IF(ISNUMBER(SEARCH(SUBSTITUTE(AI$1,RIGHT(AI$1,2),""),VLOOKUP($D380,素材!$1:$1016,COLUMN($F$1),FALSE))),VLOOKUP($C380,武器!$1:$998,COLUMN($O$1),FALSE)*VLOOKUP($D380,素材!$1:$1016,COLUMN($E$1),FALSE)/(LEN(VLOOKUP($D380,素材!$1:$1016,COLUMN($F$1),FALSE)) - LEN(SUBSTITUTE(VLOOKUP($D380,素材!$1:$1016,COLUMN($F$1),FALSE), "・", 0)) + 1), 0)+IF($CI380&lt;&gt;"",VLOOKUP($CI380,装強!$A$1:BD$1005,COLUMN(装強!BD$1),FALSE),0)</f>
        <v>0</v>
      </c>
      <c r="AJ380">
        <f>IF(ISNUMBER(SEARCH(SUBSTITUTE(AJ$1,RIGHT(AJ$1,2),""),VLOOKUP($D380,素材!$1:$1016,COLUMN($F$1),FALSE))),VLOOKUP($C380,武器!$1:$998,COLUMN($O$1),FALSE)*VLOOKUP($D380,素材!$1:$1016,COLUMN($E$1),FALSE)/(LEN(VLOOKUP($D380,素材!$1:$1016,COLUMN($F$1),FALSE)) - LEN(SUBSTITUTE(VLOOKUP($D380,素材!$1:$1016,COLUMN($F$1),FALSE), "・", 0)) + 1), 0)+IF($CI380&lt;&gt;"",VLOOKUP($CI380,装強!$A$1:BE$1005,COLUMN(装強!BE$1),FALSE),0)</f>
        <v>0</v>
      </c>
      <c r="AK380">
        <f>IF(ISNUMBER(SEARCH(SUBSTITUTE(AK$1,RIGHT(AK$1,2),""),VLOOKUP($D380,素材!$1:$1016,COLUMN($F$1),FALSE))),VLOOKUP($C380,武器!$1:$998,COLUMN($O$1),FALSE)*VLOOKUP($D380,素材!$1:$1016,COLUMN($E$1),FALSE)/(LEN(VLOOKUP($D380,素材!$1:$1016,COLUMN($F$1),FALSE)) - LEN(SUBSTITUTE(VLOOKUP($D380,素材!$1:$1016,COLUMN($F$1),FALSE), "・", 0)) + 1), 0)+IF($CI380&lt;&gt;"",VLOOKUP($CI380,装強!$A$1:BF$1005,COLUMN(装強!BF$1),FALSE),0)</f>
        <v>0</v>
      </c>
      <c r="AL380">
        <f>IF(ISNUMBER(SEARCH(SUBSTITUTE(AL$1,RIGHT(AL$1,2),""),VLOOKUP($D380,素材!$1:$1016,COLUMN($F$1),FALSE))),VLOOKUP($C380,武器!$1:$998,COLUMN($O$1),FALSE)*VLOOKUP($D380,素材!$1:$1016,COLUMN($E$1),FALSE)/(LEN(VLOOKUP($D380,素材!$1:$1016,COLUMN($F$1),FALSE)) - LEN(SUBSTITUTE(VLOOKUP($D380,素材!$1:$1016,COLUMN($F$1),FALSE), "・", 0)) + 1), 0)+IF($CI380&lt;&gt;"",VLOOKUP($CI380,装強!$A$1:BG$1005,COLUMN(装強!BG$1),FALSE),0)</f>
        <v>0</v>
      </c>
      <c r="AM380">
        <f>IF(ISNUMBER(SEARCH(SUBSTITUTE(AM$1,RIGHT(AM$1,2),""),VLOOKUP($D380,素材!$1:$1016,COLUMN($F$1),FALSE))),VLOOKUP($C380,武器!$1:$998,COLUMN($O$1),FALSE)*VLOOKUP($D380,素材!$1:$1016,COLUMN($E$1),FALSE)/(LEN(VLOOKUP($D380,素材!$1:$1016,COLUMN($F$1),FALSE)) - LEN(SUBSTITUTE(VLOOKUP($D380,素材!$1:$1016,COLUMN($F$1),FALSE), "・", 0)) + 1), 0)+IF($CI380&lt;&gt;"",VLOOKUP($CI380,装強!$A$1:BH$1005,COLUMN(装強!BH$1),FALSE),0)</f>
        <v>0</v>
      </c>
      <c r="AN380">
        <f>IF(ISNUMBER(SEARCH(SUBSTITUTE(AN$1,RIGHT(AN$1,2),""),VLOOKUP($D380,素材!$1:$1016,COLUMN($F$1),FALSE))),VLOOKUP($C380,武器!$1:$998,COLUMN($O$1),FALSE)*VLOOKUP($D380,素材!$1:$1016,COLUMN($E$1),FALSE)/(LEN(VLOOKUP($D380,素材!$1:$1016,COLUMN($F$1),FALSE)) - LEN(SUBSTITUTE(VLOOKUP($D380,素材!$1:$1016,COLUMN($F$1),FALSE), "・", 0)) + 1), 0)+IF($CI380&lt;&gt;"",VLOOKUP($CI380,装強!$A$1:BI$1005,COLUMN(装強!BI$1),FALSE),0)</f>
        <v>0</v>
      </c>
      <c r="AO380">
        <f>IF(ISNUMBER(SEARCH(SUBSTITUTE(AO$1,RIGHT(AO$1,2),""),VLOOKUP($D380,素材!$1:$1016,COLUMN($F$1),FALSE))),VLOOKUP($C380,武器!$1:$998,COLUMN($O$1),FALSE)*VLOOKUP($D380,素材!$1:$1016,COLUMN($E$1),FALSE)/(LEN(VLOOKUP($D380,素材!$1:$1016,COLUMN($F$1),FALSE)) - LEN(SUBSTITUTE(VLOOKUP($D380,素材!$1:$1016,COLUMN($F$1),FALSE), "・", 0)) + 1), 0)+IF($CI380&lt;&gt;"",VLOOKUP($CI380,装強!$A$1:BK$1005,COLUMN(装強!BK$1),FALSE),0)</f>
        <v>0</v>
      </c>
      <c r="AP380">
        <f>IF(ISNUMBER(SEARCH(SUBSTITUTE(AP$1,RIGHT(AP$1,2),""),VLOOKUP($D380,素材!$1:$1016,COLUMN($F$1),FALSE))),VLOOKUP($C380,武器!$1:$998,COLUMN($O$1),FALSE)*VLOOKUP($D380,素材!$1:$1016,COLUMN($E$1),FALSE)/(LEN(VLOOKUP($D380,素材!$1:$1016,COLUMN($F$1),FALSE)) - LEN(SUBSTITUTE(VLOOKUP($D380,素材!$1:$1016,COLUMN($F$1),FALSE), "・", 0)) + 1), 0)+IF($CI380&lt;&gt;"",VLOOKUP($CI380,装強!$A$1:BL$1005,COLUMN(装強!BL$1),FALSE),0)</f>
        <v>0</v>
      </c>
      <c r="AQ380">
        <f>IF(ISNUMBER(SEARCH(SUBSTITUTE(AQ$1,RIGHT(AQ$1,2),""),VLOOKUP($D380,素材!$1:$1016,COLUMN($F$1),FALSE))),VLOOKUP($C380,武器!$1:$998,COLUMN($O$1),FALSE)*VLOOKUP($D380,素材!$1:$1016,COLUMN($E$1),FALSE)/(LEN(VLOOKUP($D380,素材!$1:$1016,COLUMN($F$1),FALSE)) - LEN(SUBSTITUTE(VLOOKUP($D380,素材!$1:$1016,COLUMN($F$1),FALSE), "・", 0)) + 1), 0)+IF($CI380&lt;&gt;"",VLOOKUP($CI380,装強!$A$1:BM$1005,COLUMN(装強!BM$1),FALSE),0)</f>
        <v>0</v>
      </c>
      <c r="AR380">
        <f>IF(ISNUMBER(SEARCH(SUBSTITUTE(AR$1,RIGHT(AR$1,2),""),VLOOKUP($D380,素材!$1:$1016,COLUMN($F$1),FALSE))),VLOOKUP($C380,武器!$1:$998,COLUMN($O$1),FALSE)*VLOOKUP($D380,素材!$1:$1016,COLUMN($E$1),FALSE)/(LEN(VLOOKUP($D380,素材!$1:$1016,COLUMN($F$1),FALSE)) - LEN(SUBSTITUTE(VLOOKUP($D380,素材!$1:$1016,COLUMN($F$1),FALSE), "・", 0)) + 1), 0)+IF($CI380&lt;&gt;"",VLOOKUP($CI380,装強!$A$1:BN$1005,COLUMN(装強!BN$1),FALSE),0)</f>
        <v>0</v>
      </c>
      <c r="AS380">
        <f>IF(ISNUMBER(SEARCH(SUBSTITUTE(AS$1,RIGHT(AS$1,2),""),VLOOKUP($D380,素材!$1:$1016,COLUMN($F$1),FALSE))),VLOOKUP($C380,武器!$1:$998,COLUMN($O$1),FALSE)*VLOOKUP($D380,素材!$1:$1016,COLUMN($E$1),FALSE)/(LEN(VLOOKUP($D380,素材!$1:$1016,COLUMN($F$1),FALSE)) - LEN(SUBSTITUTE(VLOOKUP($D380,素材!$1:$1016,COLUMN($F$1),FALSE), "・", 0)) + 1), 0)+IF($CI380&lt;&gt;"",VLOOKUP($CI380,装強!$A$1:BO$1005,COLUMN(装強!BO$1),FALSE),0)</f>
        <v>0</v>
      </c>
      <c r="AT380">
        <f>IF(ISNUMBER(SEARCH(SUBSTITUTE(AT$1,RIGHT(AT$1,2),""),VLOOKUP($D380,素材!$1:$1016,COLUMN($F$1),FALSE))),VLOOKUP($C380,武器!$1:$998,COLUMN($O$1),FALSE)*VLOOKUP($D380,素材!$1:$1016,COLUMN($E$1),FALSE)/(LEN(VLOOKUP($D380,素材!$1:$1016,COLUMN($F$1),FALSE)) - LEN(SUBSTITUTE(VLOOKUP($D380,素材!$1:$1016,COLUMN($F$1),FALSE), "・", 0)) + 1), 0)+IF($CI380&lt;&gt;"",VLOOKUP($CI380,装強!$A$1:BP$1005,COLUMN(装強!BP$1),FALSE),0)</f>
        <v>0</v>
      </c>
      <c r="AU380">
        <f>IF(ISNUMBER(SEARCH(SUBSTITUTE(AU$1,RIGHT(AU$1,2),""),VLOOKUP($D380,素材!$1:$1016,COLUMN($F$1),FALSE))),VLOOKUP($C380,武器!$1:$998,COLUMN($O$1),FALSE)*VLOOKUP($D380,素材!$1:$1016,COLUMN($E$1),FALSE)/(LEN(VLOOKUP($D380,素材!$1:$1016,COLUMN($F$1),FALSE)) - LEN(SUBSTITUTE(VLOOKUP($D380,素材!$1:$1016,COLUMN($F$1),FALSE), "・", 0)) + 1), 0)+IF($CI380&lt;&gt;"",VLOOKUP($CI380,装強!$A$1:BQ$1005,COLUMN(装強!BQ$1),FALSE),0)</f>
        <v>0</v>
      </c>
      <c r="AV380">
        <f>IF(ISNUMBER(SEARCH(SUBSTITUTE(AV$1,RIGHT(AV$1,2),""),VLOOKUP($D380,素材!$1:$1016,COLUMN($F$1),FALSE))),VLOOKUP($C380,武器!$1:$998,COLUMN($O$1),FALSE)*VLOOKUP($D380,素材!$1:$1016,COLUMN($E$1),FALSE)/(LEN(VLOOKUP($D380,素材!$1:$1016,COLUMN($F$1),FALSE)) - LEN(SUBSTITUTE(VLOOKUP($D380,素材!$1:$1016,COLUMN($F$1),FALSE), "・", 0)) + 1), 0)+IF($CI380&lt;&gt;"",VLOOKUP($CI380,装強!$A$1:BR$1005,COLUMN(装強!BR$1),FALSE),0)</f>
        <v>0</v>
      </c>
      <c r="AW380">
        <f>IF(ISNUMBER(SEARCH(SUBSTITUTE(AW$1,RIGHT(AW$1,2),""),VLOOKUP($D380,素材!$1:$1016,COLUMN($F$1),FALSE))),VLOOKUP($C380,武器!$1:$998,COLUMN($O$1),FALSE)*VLOOKUP($D380,素材!$1:$1016,COLUMN($E$1),FALSE)/(LEN(VLOOKUP($D380,素材!$1:$1016,COLUMN($F$1),FALSE)) - LEN(SUBSTITUTE(VLOOKUP($D380,素材!$1:$1016,COLUMN($F$1),FALSE), "・", 0)) + 1), 0)+IF($CI380&lt;&gt;"",VLOOKUP($CI380,装強!$A$1:BS$1005,COLUMN(装強!BS$1),FALSE),0)</f>
        <v>0</v>
      </c>
      <c r="AX380">
        <f>IF(ISNUMBER(SEARCH(SUBSTITUTE(AX$1,RIGHT(AX$1,2),""),VLOOKUP($D380,素材!$1:$1016,COLUMN($F$1),FALSE))),VLOOKUP($C380,武器!$1:$998,COLUMN($O$1),FALSE)*VLOOKUP($D380,素材!$1:$1016,COLUMN($E$1),FALSE)/(LEN(VLOOKUP($D380,素材!$1:$1016,COLUMN($F$1),FALSE)) - LEN(SUBSTITUTE(VLOOKUP($D380,素材!$1:$1016,COLUMN($F$1),FALSE), "・", 0)) + 1), 0)+IF($CI380&lt;&gt;"",VLOOKUP($CI380,装強!$A$1:BT$1005,COLUMN(装強!BT$1),FALSE),0)</f>
        <v>0</v>
      </c>
      <c r="AY380">
        <f>IF(ISNUMBER(SEARCH(SUBSTITUTE(AY$1,RIGHT(AY$1,2),""),VLOOKUP($D380,素材!$1:$1016,COLUMN($F$1),FALSE))),VLOOKUP($C380,武器!$1:$998,COLUMN($O$1),FALSE)*VLOOKUP($D380,素材!$1:$1016,COLUMN($E$1),FALSE)/(LEN(VLOOKUP($D380,素材!$1:$1016,COLUMN($F$1),FALSE)) - LEN(SUBSTITUTE(VLOOKUP($D380,素材!$1:$1016,COLUMN($F$1),FALSE), "・", 0)) + 1), 0)+IF($CI380&lt;&gt;"",VLOOKUP($CI380,装強!$A$1:BU$1005,COLUMN(装強!BU$1),FALSE),0)</f>
        <v>0</v>
      </c>
      <c r="AZ380">
        <f>IF(ISNUMBER(SEARCH(SUBSTITUTE(AZ$1,RIGHT(AZ$1,2),""),VLOOKUP($D380,素材!$1:$1016,COLUMN($F$1),FALSE))),VLOOKUP($C380,武器!$1:$998,COLUMN($O$1),FALSE)*VLOOKUP($D380,素材!$1:$1016,COLUMN($E$1),FALSE)/(LEN(VLOOKUP($D380,素材!$1:$1016,COLUMN($F$1),FALSE)) - LEN(SUBSTITUTE(VLOOKUP($D380,素材!$1:$1016,COLUMN($F$1),FALSE), "・", 0)) + 1), 0)+IF($CI380&lt;&gt;"",VLOOKUP($CI380,装強!$A$1:BV$1005,COLUMN(装強!BV$1),FALSE),0)</f>
        <v>0</v>
      </c>
      <c r="BA380">
        <f>IF(ISNUMBER(SEARCH(SUBSTITUTE(BA$1,RIGHT(BA$1,2),""),VLOOKUP($D380,素材!$1:$1016,COLUMN($F$1),FALSE))),VLOOKUP($C380,武器!$1:$998,COLUMN($O$1),FALSE)*VLOOKUP($D380,素材!$1:$1016,COLUMN($E$1),FALSE)/(LEN(VLOOKUP($D380,素材!$1:$1016,COLUMN($F$1),FALSE)) - LEN(SUBSTITUTE(VLOOKUP($D380,素材!$1:$1016,COLUMN($F$1),FALSE), "・", 0)) + 1), 0)+IF($CI380&lt;&gt;"",VLOOKUP($CI380,装強!$A$1:BW$1005,COLUMN(装強!BW$1),FALSE),0)</f>
        <v>0</v>
      </c>
      <c r="BB380">
        <f>IF(ISNUMBER(SEARCH(SUBSTITUTE(BB$1,RIGHT(BB$1,2),""),VLOOKUP($D380,素材!$1:$1016,COLUMN($F$1),FALSE))),VLOOKUP($C380,武器!$1:$998,COLUMN($O$1),FALSE)*VLOOKUP($D380,素材!$1:$1016,COLUMN($E$1),FALSE)/(LEN(VLOOKUP($D380,素材!$1:$1016,COLUMN($F$1),FALSE)) - LEN(SUBSTITUTE(VLOOKUP($D380,素材!$1:$1016,COLUMN($F$1),FALSE), "・", 0)) + 1), 0)+IF($CI380&lt;&gt;"",VLOOKUP($CI380,装強!$A$1:BX$1005,COLUMN(装強!BX$1),FALSE),0)</f>
        <v>0</v>
      </c>
      <c r="BC380">
        <f>IF(ISNUMBER(SEARCH(SUBSTITUTE(BC$1,RIGHT(BC$1,2),""),VLOOKUP($D380,素材!$1:$1016,COLUMN($F$1),FALSE))),VLOOKUP($C380,武器!$1:$998,COLUMN($O$1),FALSE)*VLOOKUP($D380,素材!$1:$1016,COLUMN($E$1),FALSE)/(LEN(VLOOKUP($D380,素材!$1:$1016,COLUMN($F$1),FALSE)) - LEN(SUBSTITUTE(VLOOKUP($D380,素材!$1:$1016,COLUMN($F$1),FALSE), "・", 0)) + 1), 0)+IF($CI380&lt;&gt;"",VLOOKUP($CI380,装強!$A$1:BY$1005,COLUMN(装強!BY$1),FALSE),0)</f>
        <v>0</v>
      </c>
      <c r="BD380">
        <f>IF(ISNUMBER(SEARCH(SUBSTITUTE(BD$1,RIGHT(BD$1,2),""),VLOOKUP($D380,素材!$1:$1016,COLUMN($F$1),FALSE))),VLOOKUP($C380,武器!$1:$998,COLUMN($O$1),FALSE)*VLOOKUP($D380,素材!$1:$1016,COLUMN($E$1),FALSE)/(LEN(VLOOKUP($D380,素材!$1:$1016,COLUMN($F$1),FALSE)) - LEN(SUBSTITUTE(VLOOKUP($D380,素材!$1:$1016,COLUMN($F$1),FALSE), "・", 0)) + 1), 0)+IF($CI380&lt;&gt;"",VLOOKUP($CI380,装強!$A$1:BZ$1005,COLUMN(装強!BZ$1),FALSE),0)</f>
        <v>0</v>
      </c>
      <c r="BE380">
        <f>IF(ISNUMBER(SEARCH(SUBSTITUTE(BE$1,RIGHT(BE$1,2),""),VLOOKUP($D380,素材!$1:$1016,COLUMN($F$1),FALSE))),VLOOKUP($C380,武器!$1:$998,COLUMN($O$1),FALSE)*VLOOKUP($D380,素材!$1:$1016,COLUMN($E$1),FALSE)/(LEN(VLOOKUP($D380,素材!$1:$1016,COLUMN($F$1),FALSE)) - LEN(SUBSTITUTE(VLOOKUP($D380,素材!$1:$1016,COLUMN($F$1),FALSE), "・", 0)) + 1), 0)+IF($CI380&lt;&gt;"",VLOOKUP($CI380,装強!$A$1:CA$1005,COLUMN(装強!CA$1),FALSE),0)</f>
        <v>0</v>
      </c>
      <c r="CL380">
        <f>SUM(G380:I380)</f>
        <v>0</v>
      </c>
      <c r="CM380" s="22" t="str">
        <f>IF(E380="武器",IF(J380-1&gt;SUM(G380:I380),"盾",IF(MAX(G380:I380)=G380,"切断",IF(MAX(G380:I380)=H380,"貫通",IF(MAX(G380:I380)=I380,"打撃","射撃")))),E380)&amp;".webp"</f>
        <v>.webp</v>
      </c>
      <c r="CN380" t="str">
        <f>IFERROR(VLOOKUP($C380,武器!$1:$998,COLUMN(V$1),FALSE)*VLOOKUP($D380,素材!$1:$1016,COLUMN(N$1),FALSE)+IF(CI380="",0,VLOOKUP($CI380,装強!$1:$1008,COLUMN($CK$1),FALSE)),"")</f>
        <v/>
      </c>
      <c r="CO380" t="e">
        <f>VLOOKUP(D380,素材!$A:$O,COLUMN(素材!O$1),FALSE)</f>
        <v>#N/A</v>
      </c>
      <c r="CP380" t="e">
        <f>VLOOKUP(C380,武器!$A:$W,COLUMN(武器!W$1),FALSE)</f>
        <v>#N/A</v>
      </c>
      <c r="CR380" t="str">
        <f t="shared" si="39"/>
        <v>e_380</v>
      </c>
      <c r="CS380" t="e">
        <f t="shared" si="41"/>
        <v>#VALUE!</v>
      </c>
    </row>
    <row r="381" spans="1:97" x14ac:dyDescent="0.4">
      <c r="B381" t="str">
        <f>IFERROR(VLOOKUP($D381,素材!$1:$1016,COLUMN($B$1),FALSE)&amp;"・"&amp;VLOOKUP($C381,武器!$1:$998,COLUMN(B$1),FALSE),"")</f>
        <v/>
      </c>
      <c r="D381" s="24"/>
      <c r="E381" t="str">
        <f>IFERROR(VLOOKUP(C381,武器!$1:$998,COLUMN(C$1),FALSE),"")</f>
        <v/>
      </c>
      <c r="F381" t="str">
        <f>IFERROR(ROUNDDOWN((VLOOKUP($C381,武器!$1:$998,COLUMN(D$1),FALSE)+IFERROR(VLOOKUP($CI381,装強!$1:$999,COLUMN(F$1),FALSE),0))*VLOOKUP($D381,素材!$1:$1016,COLUMN(D$1),FALSE),0),"")</f>
        <v/>
      </c>
      <c r="G381" t="str">
        <f>IFERROR(ROUNDDOWN((VLOOKUP($C381,武器!$1:$998,COLUMN(E$1),FALSE)+IFERROR(VLOOKUP($CI381,装強!$1:$999,COLUMN(G$1),FALSE),0))*VLOOKUP($D381,素材!$1:$1016,COLUMN($E$1),FALSE),0),"")</f>
        <v/>
      </c>
      <c r="H381" t="str">
        <f>IFERROR(ROUNDDOWN((VLOOKUP($C381,武器!$1:$998,COLUMN(F$1),FALSE)+IFERROR(VLOOKUP($CI381,装強!$1:$999,COLUMN(H$1),FALSE),0))*VLOOKUP($D381,素材!$1:$1016,COLUMN($E$1),FALSE),0),"")</f>
        <v/>
      </c>
      <c r="I381" t="str">
        <f>IFERROR(ROUNDDOWN((VLOOKUP($C381,武器!$1:$998,COLUMN(G$1),FALSE)+IFERROR(VLOOKUP($CI381,装強!$1:$999,COLUMN(I$1),FALSE),0))*VLOOKUP($D381,素材!$1:$1016,COLUMN($E$1),FALSE),0),"")</f>
        <v/>
      </c>
      <c r="J381" t="str">
        <f>IFERROR(ROUNDDOWN((VLOOKUP($C381,武器!$1:$998,COLUMN(H$1),FALSE)+IFERROR(VLOOKUP($CI381,装強!$1:$999,COLUMN(J$1),FALSE),0))*VLOOKUP($D381,素材!$1:$1016,COLUMN($E$1),FALSE),0),"")</f>
        <v/>
      </c>
      <c r="K381" t="str">
        <f>IFERROR(ROUNDDOWN((VLOOKUP($C381,武器!$1:$998,COLUMN(I$1),FALSE)+IFERROR(VLOOKUP($CI381,装強!$1:$999,COLUMN(K$1),FALSE),0))*VLOOKUP($D381,素材!$1:$1016,COLUMN($E$1),FALSE),0),"")</f>
        <v/>
      </c>
      <c r="L381" t="str">
        <f>IFERROR(VLOOKUP($D381,素材!$1:$1016,COLUMN($F$1),FALSE),"")</f>
        <v/>
      </c>
      <c r="M381" t="str">
        <f>IFERROR(VLOOKUP($C381,武器!$1:$998,COLUMN(AA$1),FALSE)*VLOOKUP($D381,素材!$1:$1016,COLUMN($G$1),FALSE),"")</f>
        <v/>
      </c>
      <c r="N381" t="str">
        <f>IFERROR(VLOOKUP($C381,武器!$1:$998,COLUMN(I$1),FALSE),"")</f>
        <v/>
      </c>
      <c r="O381" s="23" t="str">
        <f>IFERROR((VLOOKUP($C381,武器!$1:$998,COLUMN(K$1),FALSE)+VLOOKUP($D381,素材!$1:$1016,COLUMN(H$1),FALSE))*100+IFERROR(VLOOKUP($CI381,装強!$1:$999,COLUMN(O$1),FALSE),0),"")</f>
        <v/>
      </c>
      <c r="P381" s="23" t="str">
        <f>IFERROR((VLOOKUP($C381,武器!$1:$998,COLUMN(L$1),FALSE)+VLOOKUP($D381,素材!$1:$1016,COLUMN(I$1),FALSE))*100+IFERROR(VLOOKUP($CI381,装強!$1:$999,COLUMN(P$1),FALSE),0),"")</f>
        <v/>
      </c>
      <c r="Q381" t="str">
        <f>IFERROR(ROUNDUP(VLOOKUP($C381,武器!$1:$998,COLUMN(M$1),FALSE)*(VLOOKUP($D381,素材!$1:$1002,COLUMN(D$1),FALSE)/100),1),"")</f>
        <v/>
      </c>
      <c r="R381" t="str">
        <f>IFERROR(ROUNDUP(VLOOKUP($C381,武器!$1:$998,COLUMN(N$1),FALSE)*(VLOOKUP($D381,素材!$1:$1002,COLUMN(D$1),FALSE)/100),1),"")</f>
        <v/>
      </c>
      <c r="S381" t="str">
        <f>IFERROR(VLOOKUP($C381,武器!$1:$998,COLUMN(P$1),FALSE),"")</f>
        <v/>
      </c>
      <c r="T381" t="str">
        <f>IFERROR(VLOOKUP($C381,武器!$1:$998,COLUMN(Q$1),FALSE),"")</f>
        <v/>
      </c>
      <c r="U381" t="str">
        <f>IFERROR(VLOOKUP($C381,武器!$1:$998,COLUMN(R$1),FALSE),"")</f>
        <v/>
      </c>
      <c r="V381" t="str">
        <f>IFERROR(VLOOKUP($C381,武器!$1:$998,COLUMN(Q$1),FALSE),"")</f>
        <v/>
      </c>
      <c r="W381" t="str">
        <f>IFERROR(VLOOKUP($C381,武器!$1:$998,COLUMN(T$1),FALSE),"")</f>
        <v/>
      </c>
      <c r="Y381" t="str">
        <f>IFERROR(VLOOKUP($C381,武器!$1:$998,COLUMN(U$1),FALSE),"")</f>
        <v/>
      </c>
      <c r="Z381" t="str">
        <f>IFERROR(ROUNDUP(VLOOKUP($C381,武器!$1:$998,COLUMN(O$1),FALSE)*VLOOKUP($D381,素材!$1:$1016,COLUMN(E$1),FALSE),1),"")</f>
        <v/>
      </c>
      <c r="AA381">
        <f>IF(ISNUMBER(SEARCH(SUBSTITUTE(AA$1,RIGHT(AA$1,2),""),VLOOKUP($D381,素材!$1:$1016,COLUMN($F$1),FALSE))),VLOOKUP($C381,武器!$1:$998,COLUMN($O$1),FALSE)*VLOOKUP($D381,素材!$1:$1016,COLUMN($E$1),FALSE)/(LEN(VLOOKUP($D381,素材!$1:$1016,COLUMN($F$1),FALSE)) - LEN(SUBSTITUTE(VLOOKUP($D381,素材!$1:$1016,COLUMN($F$1),FALSE), "・", 0)) + 1), 0)</f>
        <v>0</v>
      </c>
      <c r="AB381">
        <f>IF(ISNUMBER(SEARCH(SUBSTITUTE(AB$1,RIGHT(AB$1,2),""),VLOOKUP($D381,素材!$1:$1016,COLUMN($F$1),FALSE))),VLOOKUP($C381,武器!$1:$998,COLUMN($O$1),FALSE)*VLOOKUP($D381,素材!$1:$1016,COLUMN($E$1),FALSE)/(LEN(VLOOKUP($D381,素材!$1:$1016,COLUMN($F$1),FALSE)) - LEN(SUBSTITUTE(VLOOKUP($D381,素材!$1:$1016,COLUMN($F$1),FALSE), "・", 0)) + 1), 0)</f>
        <v>0</v>
      </c>
      <c r="AC381">
        <f>IF(ISNUMBER(SEARCH(SUBSTITUTE(AC$1,RIGHT(AC$1,2),""),VLOOKUP($D381,素材!$1:$1016,COLUMN($F$1),FALSE))),VLOOKUP($C381,武器!$1:$998,COLUMN($O$1),FALSE)*VLOOKUP($D381,素材!$1:$1016,COLUMN($E$1),FALSE)/(LEN(VLOOKUP($D381,素材!$1:$1016,COLUMN($F$1),FALSE)) - LEN(SUBSTITUTE(VLOOKUP($D381,素材!$1:$1016,COLUMN($F$1),FALSE), "・", 0)) + 1), 0)</f>
        <v>0</v>
      </c>
      <c r="AD381">
        <f>IF(ISNUMBER(SEARCH(SUBSTITUTE(AD$1,RIGHT(AD$1,2),""),VLOOKUP($D381,素材!$1:$1016,COLUMN($F$1),FALSE))),VLOOKUP($C381,武器!$1:$998,COLUMN($O$1),FALSE)*VLOOKUP($D381,素材!$1:$1016,COLUMN($E$1),FALSE)/(LEN(VLOOKUP($D381,素材!$1:$1016,COLUMN($F$1),FALSE)) - LEN(SUBSTITUTE(VLOOKUP($D381,素材!$1:$1016,COLUMN($F$1),FALSE), "・", 0)) + 1), 0)</f>
        <v>0</v>
      </c>
      <c r="AE381">
        <f>IF(ISNUMBER(SEARCH(SUBSTITUTE(AE$1,RIGHT(AE$1,2),""),VLOOKUP($D381,素材!$1:$1016,COLUMN($F$1),FALSE))),VLOOKUP($C381,武器!$1:$998,COLUMN($O$1),FALSE)*VLOOKUP($D381,素材!$1:$1016,COLUMN($E$1),FALSE)/(LEN(VLOOKUP($D381,素材!$1:$1016,COLUMN($F$1),FALSE)) - LEN(SUBSTITUTE(VLOOKUP($D381,素材!$1:$1016,COLUMN($F$1),FALSE), "・", 0)) + 1), 0)+IF($CI381&lt;&gt;"",VLOOKUP($CI381,装強!$A$1:AZ$1005,COLUMN(装強!AZ$1),FALSE),0)</f>
        <v>0</v>
      </c>
      <c r="AF381">
        <f>IF(ISNUMBER(SEARCH(SUBSTITUTE(AF$1,RIGHT(AF$1,2),""),VLOOKUP($D381,素材!$1:$1016,COLUMN($F$1),FALSE))),VLOOKUP($C381,武器!$1:$998,COLUMN($O$1),FALSE)*VLOOKUP($D381,素材!$1:$1016,COLUMN($E$1),FALSE)/(LEN(VLOOKUP($D381,素材!$1:$1016,COLUMN($F$1),FALSE)) - LEN(SUBSTITUTE(VLOOKUP($D381,素材!$1:$1016,COLUMN($F$1),FALSE), "・", 0)) + 1), 0)+IF($CI381&lt;&gt;"",VLOOKUP($CI381,装強!$A$1:BA$1005,COLUMN(装強!BA$1),FALSE),0)</f>
        <v>0</v>
      </c>
      <c r="AG381">
        <f>IF(ISNUMBER(SEARCH(SUBSTITUTE(AG$1,RIGHT(AG$1,2),""),VLOOKUP($D381,素材!$1:$1016,COLUMN($F$1),FALSE))),VLOOKUP($C381,武器!$1:$998,COLUMN($O$1),FALSE)*VLOOKUP($D381,素材!$1:$1016,COLUMN($E$1),FALSE)/(LEN(VLOOKUP($D381,素材!$1:$1016,COLUMN($F$1),FALSE)) - LEN(SUBSTITUTE(VLOOKUP($D381,素材!$1:$1016,COLUMN($F$1),FALSE), "・", 0)) + 1), 0)+IF($CI381&lt;&gt;"",VLOOKUP($CI381,装強!$A$1:BB$1005,COLUMN(装強!BB$1),FALSE),0)</f>
        <v>0</v>
      </c>
      <c r="AH381">
        <f>IF(ISNUMBER(SEARCH(SUBSTITUTE(AH$1,RIGHT(AH$1,2),""),VLOOKUP($D381,素材!$1:$1016,COLUMN($F$1),FALSE))),VLOOKUP($C381,武器!$1:$998,COLUMN($O$1),FALSE)*VLOOKUP($D381,素材!$1:$1016,COLUMN($E$1),FALSE)/(LEN(VLOOKUP($D381,素材!$1:$1016,COLUMN($F$1),FALSE)) - LEN(SUBSTITUTE(VLOOKUP($D381,素材!$1:$1016,COLUMN($F$1),FALSE), "・", 0)) + 1), 0)+IF($CI381&lt;&gt;"",VLOOKUP($CI381,装強!$A$1:BC$1005,COLUMN(装強!BC$1),FALSE),0)</f>
        <v>0</v>
      </c>
      <c r="AI381">
        <f>IF(ISNUMBER(SEARCH(SUBSTITUTE(AI$1,RIGHT(AI$1,2),""),VLOOKUP($D381,素材!$1:$1016,COLUMN($F$1),FALSE))),VLOOKUP($C381,武器!$1:$998,COLUMN($O$1),FALSE)*VLOOKUP($D381,素材!$1:$1016,COLUMN($E$1),FALSE)/(LEN(VLOOKUP($D381,素材!$1:$1016,COLUMN($F$1),FALSE)) - LEN(SUBSTITUTE(VLOOKUP($D381,素材!$1:$1016,COLUMN($F$1),FALSE), "・", 0)) + 1), 0)+IF($CI381&lt;&gt;"",VLOOKUP($CI381,装強!$A$1:BD$1005,COLUMN(装強!BD$1),FALSE),0)</f>
        <v>0</v>
      </c>
      <c r="AJ381">
        <f>IF(ISNUMBER(SEARCH(SUBSTITUTE(AJ$1,RIGHT(AJ$1,2),""),VLOOKUP($D381,素材!$1:$1016,COLUMN($F$1),FALSE))),VLOOKUP($C381,武器!$1:$998,COLUMN($O$1),FALSE)*VLOOKUP($D381,素材!$1:$1016,COLUMN($E$1),FALSE)/(LEN(VLOOKUP($D381,素材!$1:$1016,COLUMN($F$1),FALSE)) - LEN(SUBSTITUTE(VLOOKUP($D381,素材!$1:$1016,COLUMN($F$1),FALSE), "・", 0)) + 1), 0)+IF($CI381&lt;&gt;"",VLOOKUP($CI381,装強!$A$1:BE$1005,COLUMN(装強!BE$1),FALSE),0)</f>
        <v>0</v>
      </c>
      <c r="AK381">
        <f>IF(ISNUMBER(SEARCH(SUBSTITUTE(AK$1,RIGHT(AK$1,2),""),VLOOKUP($D381,素材!$1:$1016,COLUMN($F$1),FALSE))),VLOOKUP($C381,武器!$1:$998,COLUMN($O$1),FALSE)*VLOOKUP($D381,素材!$1:$1016,COLUMN($E$1),FALSE)/(LEN(VLOOKUP($D381,素材!$1:$1016,COLUMN($F$1),FALSE)) - LEN(SUBSTITUTE(VLOOKUP($D381,素材!$1:$1016,COLUMN($F$1),FALSE), "・", 0)) + 1), 0)+IF($CI381&lt;&gt;"",VLOOKUP($CI381,装強!$A$1:BF$1005,COLUMN(装強!BF$1),FALSE),0)</f>
        <v>0</v>
      </c>
      <c r="AL381">
        <f>IF(ISNUMBER(SEARCH(SUBSTITUTE(AL$1,RIGHT(AL$1,2),""),VLOOKUP($D381,素材!$1:$1016,COLUMN($F$1),FALSE))),VLOOKUP($C381,武器!$1:$998,COLUMN($O$1),FALSE)*VLOOKUP($D381,素材!$1:$1016,COLUMN($E$1),FALSE)/(LEN(VLOOKUP($D381,素材!$1:$1016,COLUMN($F$1),FALSE)) - LEN(SUBSTITUTE(VLOOKUP($D381,素材!$1:$1016,COLUMN($F$1),FALSE), "・", 0)) + 1), 0)+IF($CI381&lt;&gt;"",VLOOKUP($CI381,装強!$A$1:BG$1005,COLUMN(装強!BG$1),FALSE),0)</f>
        <v>0</v>
      </c>
      <c r="AM381">
        <f>IF(ISNUMBER(SEARCH(SUBSTITUTE(AM$1,RIGHT(AM$1,2),""),VLOOKUP($D381,素材!$1:$1016,COLUMN($F$1),FALSE))),VLOOKUP($C381,武器!$1:$998,COLUMN($O$1),FALSE)*VLOOKUP($D381,素材!$1:$1016,COLUMN($E$1),FALSE)/(LEN(VLOOKUP($D381,素材!$1:$1016,COLUMN($F$1),FALSE)) - LEN(SUBSTITUTE(VLOOKUP($D381,素材!$1:$1016,COLUMN($F$1),FALSE), "・", 0)) + 1), 0)+IF($CI381&lt;&gt;"",VLOOKUP($CI381,装強!$A$1:BH$1005,COLUMN(装強!BH$1),FALSE),0)</f>
        <v>0</v>
      </c>
      <c r="AN381">
        <f>IF(ISNUMBER(SEARCH(SUBSTITUTE(AN$1,RIGHT(AN$1,2),""),VLOOKUP($D381,素材!$1:$1016,COLUMN($F$1),FALSE))),VLOOKUP($C381,武器!$1:$998,COLUMN($O$1),FALSE)*VLOOKUP($D381,素材!$1:$1016,COLUMN($E$1),FALSE)/(LEN(VLOOKUP($D381,素材!$1:$1016,COLUMN($F$1),FALSE)) - LEN(SUBSTITUTE(VLOOKUP($D381,素材!$1:$1016,COLUMN($F$1),FALSE), "・", 0)) + 1), 0)+IF($CI381&lt;&gt;"",VLOOKUP($CI381,装強!$A$1:BI$1005,COLUMN(装強!BI$1),FALSE),0)</f>
        <v>0</v>
      </c>
      <c r="AO381">
        <f>IF(ISNUMBER(SEARCH(SUBSTITUTE(AO$1,RIGHT(AO$1,2),""),VLOOKUP($D381,素材!$1:$1016,COLUMN($F$1),FALSE))),VLOOKUP($C381,武器!$1:$998,COLUMN($O$1),FALSE)*VLOOKUP($D381,素材!$1:$1016,COLUMN($E$1),FALSE)/(LEN(VLOOKUP($D381,素材!$1:$1016,COLUMN($F$1),FALSE)) - LEN(SUBSTITUTE(VLOOKUP($D381,素材!$1:$1016,COLUMN($F$1),FALSE), "・", 0)) + 1), 0)+IF($CI381&lt;&gt;"",VLOOKUP($CI381,装強!$A$1:BK$1005,COLUMN(装強!BK$1),FALSE),0)</f>
        <v>0</v>
      </c>
      <c r="AP381">
        <f>IF(ISNUMBER(SEARCH(SUBSTITUTE(AP$1,RIGHT(AP$1,2),""),VLOOKUP($D381,素材!$1:$1016,COLUMN($F$1),FALSE))),VLOOKUP($C381,武器!$1:$998,COLUMN($O$1),FALSE)*VLOOKUP($D381,素材!$1:$1016,COLUMN($E$1),FALSE)/(LEN(VLOOKUP($D381,素材!$1:$1016,COLUMN($F$1),FALSE)) - LEN(SUBSTITUTE(VLOOKUP($D381,素材!$1:$1016,COLUMN($F$1),FALSE), "・", 0)) + 1), 0)+IF($CI381&lt;&gt;"",VLOOKUP($CI381,装強!$A$1:BL$1005,COLUMN(装強!BL$1),FALSE),0)</f>
        <v>0</v>
      </c>
      <c r="AQ381">
        <f>IF(ISNUMBER(SEARCH(SUBSTITUTE(AQ$1,RIGHT(AQ$1,2),""),VLOOKUP($D381,素材!$1:$1016,COLUMN($F$1),FALSE))),VLOOKUP($C381,武器!$1:$998,COLUMN($O$1),FALSE)*VLOOKUP($D381,素材!$1:$1016,COLUMN($E$1),FALSE)/(LEN(VLOOKUP($D381,素材!$1:$1016,COLUMN($F$1),FALSE)) - LEN(SUBSTITUTE(VLOOKUP($D381,素材!$1:$1016,COLUMN($F$1),FALSE), "・", 0)) + 1), 0)+IF($CI381&lt;&gt;"",VLOOKUP($CI381,装強!$A$1:BM$1005,COLUMN(装強!BM$1),FALSE),0)</f>
        <v>0</v>
      </c>
      <c r="AR381">
        <f>IF(ISNUMBER(SEARCH(SUBSTITUTE(AR$1,RIGHT(AR$1,2),""),VLOOKUP($D381,素材!$1:$1016,COLUMN($F$1),FALSE))),VLOOKUP($C381,武器!$1:$998,COLUMN($O$1),FALSE)*VLOOKUP($D381,素材!$1:$1016,COLUMN($E$1),FALSE)/(LEN(VLOOKUP($D381,素材!$1:$1016,COLUMN($F$1),FALSE)) - LEN(SUBSTITUTE(VLOOKUP($D381,素材!$1:$1016,COLUMN($F$1),FALSE), "・", 0)) + 1), 0)+IF($CI381&lt;&gt;"",VLOOKUP($CI381,装強!$A$1:BN$1005,COLUMN(装強!BN$1),FALSE),0)</f>
        <v>0</v>
      </c>
      <c r="AS381">
        <f>IF(ISNUMBER(SEARCH(SUBSTITUTE(AS$1,RIGHT(AS$1,2),""),VLOOKUP($D381,素材!$1:$1016,COLUMN($F$1),FALSE))),VLOOKUP($C381,武器!$1:$998,COLUMN($O$1),FALSE)*VLOOKUP($D381,素材!$1:$1016,COLUMN($E$1),FALSE)/(LEN(VLOOKUP($D381,素材!$1:$1016,COLUMN($F$1),FALSE)) - LEN(SUBSTITUTE(VLOOKUP($D381,素材!$1:$1016,COLUMN($F$1),FALSE), "・", 0)) + 1), 0)+IF($CI381&lt;&gt;"",VLOOKUP($CI381,装強!$A$1:BO$1005,COLUMN(装強!BO$1),FALSE),0)</f>
        <v>0</v>
      </c>
      <c r="AT381">
        <f>IF(ISNUMBER(SEARCH(SUBSTITUTE(AT$1,RIGHT(AT$1,2),""),VLOOKUP($D381,素材!$1:$1016,COLUMN($F$1),FALSE))),VLOOKUP($C381,武器!$1:$998,COLUMN($O$1),FALSE)*VLOOKUP($D381,素材!$1:$1016,COLUMN($E$1),FALSE)/(LEN(VLOOKUP($D381,素材!$1:$1016,COLUMN($F$1),FALSE)) - LEN(SUBSTITUTE(VLOOKUP($D381,素材!$1:$1016,COLUMN($F$1),FALSE), "・", 0)) + 1), 0)+IF($CI381&lt;&gt;"",VLOOKUP($CI381,装強!$A$1:BP$1005,COLUMN(装強!BP$1),FALSE),0)</f>
        <v>0</v>
      </c>
      <c r="AU381">
        <f>IF(ISNUMBER(SEARCH(SUBSTITUTE(AU$1,RIGHT(AU$1,2),""),VLOOKUP($D381,素材!$1:$1016,COLUMN($F$1),FALSE))),VLOOKUP($C381,武器!$1:$998,COLUMN($O$1),FALSE)*VLOOKUP($D381,素材!$1:$1016,COLUMN($E$1),FALSE)/(LEN(VLOOKUP($D381,素材!$1:$1016,COLUMN($F$1),FALSE)) - LEN(SUBSTITUTE(VLOOKUP($D381,素材!$1:$1016,COLUMN($F$1),FALSE), "・", 0)) + 1), 0)+IF($CI381&lt;&gt;"",VLOOKUP($CI381,装強!$A$1:BQ$1005,COLUMN(装強!BQ$1),FALSE),0)</f>
        <v>0</v>
      </c>
      <c r="AV381">
        <f>IF(ISNUMBER(SEARCH(SUBSTITUTE(AV$1,RIGHT(AV$1,2),""),VLOOKUP($D381,素材!$1:$1016,COLUMN($F$1),FALSE))),VLOOKUP($C381,武器!$1:$998,COLUMN($O$1),FALSE)*VLOOKUP($D381,素材!$1:$1016,COLUMN($E$1),FALSE)/(LEN(VLOOKUP($D381,素材!$1:$1016,COLUMN($F$1),FALSE)) - LEN(SUBSTITUTE(VLOOKUP($D381,素材!$1:$1016,COLUMN($F$1),FALSE), "・", 0)) + 1), 0)+IF($CI381&lt;&gt;"",VLOOKUP($CI381,装強!$A$1:BR$1005,COLUMN(装強!BR$1),FALSE),0)</f>
        <v>0</v>
      </c>
      <c r="AW381">
        <f>IF(ISNUMBER(SEARCH(SUBSTITUTE(AW$1,RIGHT(AW$1,2),""),VLOOKUP($D381,素材!$1:$1016,COLUMN($F$1),FALSE))),VLOOKUP($C381,武器!$1:$998,COLUMN($O$1),FALSE)*VLOOKUP($D381,素材!$1:$1016,COLUMN($E$1),FALSE)/(LEN(VLOOKUP($D381,素材!$1:$1016,COLUMN($F$1),FALSE)) - LEN(SUBSTITUTE(VLOOKUP($D381,素材!$1:$1016,COLUMN($F$1),FALSE), "・", 0)) + 1), 0)+IF($CI381&lt;&gt;"",VLOOKUP($CI381,装強!$A$1:BS$1005,COLUMN(装強!BS$1),FALSE),0)</f>
        <v>0</v>
      </c>
      <c r="AX381">
        <f>IF(ISNUMBER(SEARCH(SUBSTITUTE(AX$1,RIGHT(AX$1,2),""),VLOOKUP($D381,素材!$1:$1016,COLUMN($F$1),FALSE))),VLOOKUP($C381,武器!$1:$998,COLUMN($O$1),FALSE)*VLOOKUP($D381,素材!$1:$1016,COLUMN($E$1),FALSE)/(LEN(VLOOKUP($D381,素材!$1:$1016,COLUMN($F$1),FALSE)) - LEN(SUBSTITUTE(VLOOKUP($D381,素材!$1:$1016,COLUMN($F$1),FALSE), "・", 0)) + 1), 0)+IF($CI381&lt;&gt;"",VLOOKUP($CI381,装強!$A$1:BT$1005,COLUMN(装強!BT$1),FALSE),0)</f>
        <v>0</v>
      </c>
      <c r="AY381">
        <f>IF(ISNUMBER(SEARCH(SUBSTITUTE(AY$1,RIGHT(AY$1,2),""),VLOOKUP($D381,素材!$1:$1016,COLUMN($F$1),FALSE))),VLOOKUP($C381,武器!$1:$998,COLUMN($O$1),FALSE)*VLOOKUP($D381,素材!$1:$1016,COLUMN($E$1),FALSE)/(LEN(VLOOKUP($D381,素材!$1:$1016,COLUMN($F$1),FALSE)) - LEN(SUBSTITUTE(VLOOKUP($D381,素材!$1:$1016,COLUMN($F$1),FALSE), "・", 0)) + 1), 0)+IF($CI381&lt;&gt;"",VLOOKUP($CI381,装強!$A$1:BU$1005,COLUMN(装強!BU$1),FALSE),0)</f>
        <v>0</v>
      </c>
      <c r="AZ381">
        <f>IF(ISNUMBER(SEARCH(SUBSTITUTE(AZ$1,RIGHT(AZ$1,2),""),VLOOKUP($D381,素材!$1:$1016,COLUMN($F$1),FALSE))),VLOOKUP($C381,武器!$1:$998,COLUMN($O$1),FALSE)*VLOOKUP($D381,素材!$1:$1016,COLUMN($E$1),FALSE)/(LEN(VLOOKUP($D381,素材!$1:$1016,COLUMN($F$1),FALSE)) - LEN(SUBSTITUTE(VLOOKUP($D381,素材!$1:$1016,COLUMN($F$1),FALSE), "・", 0)) + 1), 0)+IF($CI381&lt;&gt;"",VLOOKUP($CI381,装強!$A$1:BV$1005,COLUMN(装強!BV$1),FALSE),0)</f>
        <v>0</v>
      </c>
      <c r="BA381">
        <f>IF(ISNUMBER(SEARCH(SUBSTITUTE(BA$1,RIGHT(BA$1,2),""),VLOOKUP($D381,素材!$1:$1016,COLUMN($F$1),FALSE))),VLOOKUP($C381,武器!$1:$998,COLUMN($O$1),FALSE)*VLOOKUP($D381,素材!$1:$1016,COLUMN($E$1),FALSE)/(LEN(VLOOKUP($D381,素材!$1:$1016,COLUMN($F$1),FALSE)) - LEN(SUBSTITUTE(VLOOKUP($D381,素材!$1:$1016,COLUMN($F$1),FALSE), "・", 0)) + 1), 0)+IF($CI381&lt;&gt;"",VLOOKUP($CI381,装強!$A$1:BW$1005,COLUMN(装強!BW$1),FALSE),0)</f>
        <v>0</v>
      </c>
      <c r="BB381">
        <f>IF(ISNUMBER(SEARCH(SUBSTITUTE(BB$1,RIGHT(BB$1,2),""),VLOOKUP($D381,素材!$1:$1016,COLUMN($F$1),FALSE))),VLOOKUP($C381,武器!$1:$998,COLUMN($O$1),FALSE)*VLOOKUP($D381,素材!$1:$1016,COLUMN($E$1),FALSE)/(LEN(VLOOKUP($D381,素材!$1:$1016,COLUMN($F$1),FALSE)) - LEN(SUBSTITUTE(VLOOKUP($D381,素材!$1:$1016,COLUMN($F$1),FALSE), "・", 0)) + 1), 0)+IF($CI381&lt;&gt;"",VLOOKUP($CI381,装強!$A$1:BX$1005,COLUMN(装強!BX$1),FALSE),0)</f>
        <v>0</v>
      </c>
      <c r="BC381">
        <f>IF(ISNUMBER(SEARCH(SUBSTITUTE(BC$1,RIGHT(BC$1,2),""),VLOOKUP($D381,素材!$1:$1016,COLUMN($F$1),FALSE))),VLOOKUP($C381,武器!$1:$998,COLUMN($O$1),FALSE)*VLOOKUP($D381,素材!$1:$1016,COLUMN($E$1),FALSE)/(LEN(VLOOKUP($D381,素材!$1:$1016,COLUMN($F$1),FALSE)) - LEN(SUBSTITUTE(VLOOKUP($D381,素材!$1:$1016,COLUMN($F$1),FALSE), "・", 0)) + 1), 0)+IF($CI381&lt;&gt;"",VLOOKUP($CI381,装強!$A$1:BY$1005,COLUMN(装強!BY$1),FALSE),0)</f>
        <v>0</v>
      </c>
      <c r="BD381">
        <f>IF(ISNUMBER(SEARCH(SUBSTITUTE(BD$1,RIGHT(BD$1,2),""),VLOOKUP($D381,素材!$1:$1016,COLUMN($F$1),FALSE))),VLOOKUP($C381,武器!$1:$998,COLUMN($O$1),FALSE)*VLOOKUP($D381,素材!$1:$1016,COLUMN($E$1),FALSE)/(LEN(VLOOKUP($D381,素材!$1:$1016,COLUMN($F$1),FALSE)) - LEN(SUBSTITUTE(VLOOKUP($D381,素材!$1:$1016,COLUMN($F$1),FALSE), "・", 0)) + 1), 0)+IF($CI381&lt;&gt;"",VLOOKUP($CI381,装強!$A$1:BZ$1005,COLUMN(装強!BZ$1),FALSE),0)</f>
        <v>0</v>
      </c>
      <c r="BE381">
        <f>IF(ISNUMBER(SEARCH(SUBSTITUTE(BE$1,RIGHT(BE$1,2),""),VLOOKUP($D381,素材!$1:$1016,COLUMN($F$1),FALSE))),VLOOKUP($C381,武器!$1:$998,COLUMN($O$1),FALSE)*VLOOKUP($D381,素材!$1:$1016,COLUMN($E$1),FALSE)/(LEN(VLOOKUP($D381,素材!$1:$1016,COLUMN($F$1),FALSE)) - LEN(SUBSTITUTE(VLOOKUP($D381,素材!$1:$1016,COLUMN($F$1),FALSE), "・", 0)) + 1), 0)+IF($CI381&lt;&gt;"",VLOOKUP($CI381,装強!$A$1:CA$1005,COLUMN(装強!CA$1),FALSE),0)</f>
        <v>0</v>
      </c>
      <c r="CL381">
        <f>SUM(G381:I381)</f>
        <v>0</v>
      </c>
      <c r="CM381" s="22" t="str">
        <f>IF(E381="武器",IF(J381-1&gt;SUM(G381:I381),"盾",IF(MAX(G381:I381)=G381,"切断",IF(MAX(G381:I381)=H381,"貫通",IF(MAX(G381:I381)=I381,"打撃","射撃")))),E381)&amp;".webp"</f>
        <v>.webp</v>
      </c>
      <c r="CN381" t="str">
        <f>IFERROR(VLOOKUP($C381,武器!$1:$998,COLUMN(V$1),FALSE)*VLOOKUP($D381,素材!$1:$1016,COLUMN(N$1),FALSE)+IF(CI381="",0,VLOOKUP($CI381,装強!$1:$1008,COLUMN($CK$1),FALSE)),"")</f>
        <v/>
      </c>
      <c r="CO381" t="e">
        <f>VLOOKUP(D381,素材!$A:$O,COLUMN(素材!O$1),FALSE)</f>
        <v>#N/A</v>
      </c>
      <c r="CP381" t="e">
        <f>VLOOKUP(C381,武器!$A:$W,COLUMN(武器!W$1),FALSE)</f>
        <v>#N/A</v>
      </c>
      <c r="CR381" t="str">
        <f t="shared" si="39"/>
        <v>e_381</v>
      </c>
      <c r="CS381" t="e">
        <f t="shared" si="41"/>
        <v>#VALUE!</v>
      </c>
    </row>
    <row r="382" spans="1:97" x14ac:dyDescent="0.4">
      <c r="B382" t="str">
        <f>IFERROR(VLOOKUP($D382,素材!$1:$1016,COLUMN($B$1),FALSE)&amp;"・"&amp;VLOOKUP($C382,武器!$1:$998,COLUMN(B$1),FALSE),"")</f>
        <v/>
      </c>
      <c r="D382" s="24"/>
      <c r="E382" t="str">
        <f>IFERROR(VLOOKUP(C382,武器!$1:$998,COLUMN(C$1),FALSE),"")</f>
        <v/>
      </c>
      <c r="F382" t="str">
        <f>IFERROR(ROUNDDOWN((VLOOKUP($C382,武器!$1:$998,COLUMN(D$1),FALSE)+IFERROR(VLOOKUP($CI382,装強!$1:$999,COLUMN(F$1),FALSE),0))*VLOOKUP($D382,素材!$1:$1016,COLUMN(D$1),FALSE),0),"")</f>
        <v/>
      </c>
      <c r="G382" t="str">
        <f>IFERROR(ROUNDDOWN((VLOOKUP($C382,武器!$1:$998,COLUMN(E$1),FALSE)+IFERROR(VLOOKUP($CI382,装強!$1:$999,COLUMN(G$1),FALSE),0))*VLOOKUP($D382,素材!$1:$1016,COLUMN($E$1),FALSE),0),"")</f>
        <v/>
      </c>
      <c r="H382" t="str">
        <f>IFERROR(ROUNDDOWN((VLOOKUP($C382,武器!$1:$998,COLUMN(F$1),FALSE)+IFERROR(VLOOKUP($CI382,装強!$1:$999,COLUMN(H$1),FALSE),0))*VLOOKUP($D382,素材!$1:$1016,COLUMN($E$1),FALSE),0),"")</f>
        <v/>
      </c>
      <c r="I382" t="str">
        <f>IFERROR(ROUNDDOWN((VLOOKUP($C382,武器!$1:$998,COLUMN(G$1),FALSE)+IFERROR(VLOOKUP($CI382,装強!$1:$999,COLUMN(I$1),FALSE),0))*VLOOKUP($D382,素材!$1:$1016,COLUMN($E$1),FALSE),0),"")</f>
        <v/>
      </c>
      <c r="J382" t="str">
        <f>IFERROR(ROUNDDOWN((VLOOKUP($C382,武器!$1:$998,COLUMN(H$1),FALSE)+IFERROR(VLOOKUP($CI382,装強!$1:$999,COLUMN(J$1),FALSE),0))*VLOOKUP($D382,素材!$1:$1016,COLUMN($E$1),FALSE),0),"")</f>
        <v/>
      </c>
      <c r="K382" t="str">
        <f>IFERROR(ROUNDDOWN((VLOOKUP($C382,武器!$1:$998,COLUMN(I$1),FALSE)+IFERROR(VLOOKUP($CI382,装強!$1:$999,COLUMN(K$1),FALSE),0))*VLOOKUP($D382,素材!$1:$1016,COLUMN($E$1),FALSE),0),"")</f>
        <v/>
      </c>
      <c r="L382" t="str">
        <f>IFERROR(VLOOKUP($D382,素材!$1:$1016,COLUMN($F$1),FALSE),"")</f>
        <v/>
      </c>
      <c r="M382" t="str">
        <f>IFERROR(VLOOKUP($C382,武器!$1:$998,COLUMN(AA$1),FALSE)*VLOOKUP($D382,素材!$1:$1016,COLUMN($G$1),FALSE),"")</f>
        <v/>
      </c>
      <c r="N382" t="str">
        <f>IFERROR(VLOOKUP($C382,武器!$1:$998,COLUMN(I$1),FALSE),"")</f>
        <v/>
      </c>
      <c r="O382" s="23" t="str">
        <f>IFERROR((VLOOKUP($C382,武器!$1:$998,COLUMN(K$1),FALSE)+VLOOKUP($D382,素材!$1:$1016,COLUMN(H$1),FALSE))*100+IFERROR(VLOOKUP($CI382,装強!$1:$999,COLUMN(O$1),FALSE),0),"")</f>
        <v/>
      </c>
      <c r="P382" s="23" t="str">
        <f>IFERROR((VLOOKUP($C382,武器!$1:$998,COLUMN(L$1),FALSE)+VLOOKUP($D382,素材!$1:$1016,COLUMN(I$1),FALSE))*100+IFERROR(VLOOKUP($CI382,装強!$1:$999,COLUMN(P$1),FALSE),0),"")</f>
        <v/>
      </c>
      <c r="Q382" t="str">
        <f>IFERROR(ROUNDUP(VLOOKUP($C382,武器!$1:$998,COLUMN(M$1),FALSE)*(VLOOKUP($D382,素材!$1:$1002,COLUMN(D$1),FALSE)/100),1),"")</f>
        <v/>
      </c>
      <c r="R382" t="str">
        <f>IFERROR(ROUNDUP(VLOOKUP($C382,武器!$1:$998,COLUMN(N$1),FALSE)*(VLOOKUP($D382,素材!$1:$1002,COLUMN(D$1),FALSE)/100),1),"")</f>
        <v/>
      </c>
      <c r="S382" t="str">
        <f>IFERROR(VLOOKUP($C382,武器!$1:$998,COLUMN(P$1),FALSE),"")</f>
        <v/>
      </c>
      <c r="T382" t="str">
        <f>IFERROR(VLOOKUP($C382,武器!$1:$998,COLUMN(Q$1),FALSE),"")</f>
        <v/>
      </c>
      <c r="U382" t="str">
        <f>IFERROR(VLOOKUP($C382,武器!$1:$998,COLUMN(R$1),FALSE),"")</f>
        <v/>
      </c>
      <c r="V382" t="str">
        <f>IFERROR(VLOOKUP($C382,武器!$1:$998,COLUMN(Q$1),FALSE),"")</f>
        <v/>
      </c>
      <c r="W382" t="str">
        <f>IFERROR(VLOOKUP($C382,武器!$1:$998,COLUMN(T$1),FALSE),"")</f>
        <v/>
      </c>
      <c r="Y382" t="str">
        <f>IFERROR(VLOOKUP($C382,武器!$1:$998,COLUMN(U$1),FALSE),"")</f>
        <v/>
      </c>
      <c r="Z382" t="str">
        <f>IFERROR(ROUNDUP(VLOOKUP($C382,武器!$1:$998,COLUMN(O$1),FALSE)*VLOOKUP($D382,素材!$1:$1016,COLUMN(E$1),FALSE),1),"")</f>
        <v/>
      </c>
      <c r="AA382">
        <f>IF(ISNUMBER(SEARCH(SUBSTITUTE(AA$1,RIGHT(AA$1,2),""),VLOOKUP($D382,素材!$1:$1016,COLUMN($F$1),FALSE))),VLOOKUP($C382,武器!$1:$998,COLUMN($O$1),FALSE)*VLOOKUP($D382,素材!$1:$1016,COLUMN($E$1),FALSE)/(LEN(VLOOKUP($D382,素材!$1:$1016,COLUMN($F$1),FALSE)) - LEN(SUBSTITUTE(VLOOKUP($D382,素材!$1:$1016,COLUMN($F$1),FALSE), "・", 0)) + 1), 0)</f>
        <v>0</v>
      </c>
      <c r="AB382">
        <f>IF(ISNUMBER(SEARCH(SUBSTITUTE(AB$1,RIGHT(AB$1,2),""),VLOOKUP($D382,素材!$1:$1016,COLUMN($F$1),FALSE))),VLOOKUP($C382,武器!$1:$998,COLUMN($O$1),FALSE)*VLOOKUP($D382,素材!$1:$1016,COLUMN($E$1),FALSE)/(LEN(VLOOKUP($D382,素材!$1:$1016,COLUMN($F$1),FALSE)) - LEN(SUBSTITUTE(VLOOKUP($D382,素材!$1:$1016,COLUMN($F$1),FALSE), "・", 0)) + 1), 0)</f>
        <v>0</v>
      </c>
      <c r="AC382">
        <f>IF(ISNUMBER(SEARCH(SUBSTITUTE(AC$1,RIGHT(AC$1,2),""),VLOOKUP($D382,素材!$1:$1016,COLUMN($F$1),FALSE))),VLOOKUP($C382,武器!$1:$998,COLUMN($O$1),FALSE)*VLOOKUP($D382,素材!$1:$1016,COLUMN($E$1),FALSE)/(LEN(VLOOKUP($D382,素材!$1:$1016,COLUMN($F$1),FALSE)) - LEN(SUBSTITUTE(VLOOKUP($D382,素材!$1:$1016,COLUMN($F$1),FALSE), "・", 0)) + 1), 0)</f>
        <v>0</v>
      </c>
      <c r="AD382">
        <f>IF(ISNUMBER(SEARCH(SUBSTITUTE(AD$1,RIGHT(AD$1,2),""),VLOOKUP($D382,素材!$1:$1016,COLUMN($F$1),FALSE))),VLOOKUP($C382,武器!$1:$998,COLUMN($O$1),FALSE)*VLOOKUP($D382,素材!$1:$1016,COLUMN($E$1),FALSE)/(LEN(VLOOKUP($D382,素材!$1:$1016,COLUMN($F$1),FALSE)) - LEN(SUBSTITUTE(VLOOKUP($D382,素材!$1:$1016,COLUMN($F$1),FALSE), "・", 0)) + 1), 0)</f>
        <v>0</v>
      </c>
      <c r="AE382">
        <f>IF(ISNUMBER(SEARCH(SUBSTITUTE(AE$1,RIGHT(AE$1,2),""),VLOOKUP($D382,素材!$1:$1016,COLUMN($F$1),FALSE))),VLOOKUP($C382,武器!$1:$998,COLUMN($O$1),FALSE)*VLOOKUP($D382,素材!$1:$1016,COLUMN($E$1),FALSE)/(LEN(VLOOKUP($D382,素材!$1:$1016,COLUMN($F$1),FALSE)) - LEN(SUBSTITUTE(VLOOKUP($D382,素材!$1:$1016,COLUMN($F$1),FALSE), "・", 0)) + 1), 0)+IF($CI382&lt;&gt;"",VLOOKUP($CI382,装強!$A$1:AZ$1005,COLUMN(装強!AZ$1),FALSE),0)</f>
        <v>0</v>
      </c>
      <c r="AF382">
        <f>IF(ISNUMBER(SEARCH(SUBSTITUTE(AF$1,RIGHT(AF$1,2),""),VLOOKUP($D382,素材!$1:$1016,COLUMN($F$1),FALSE))),VLOOKUP($C382,武器!$1:$998,COLUMN($O$1),FALSE)*VLOOKUP($D382,素材!$1:$1016,COLUMN($E$1),FALSE)/(LEN(VLOOKUP($D382,素材!$1:$1016,COLUMN($F$1),FALSE)) - LEN(SUBSTITUTE(VLOOKUP($D382,素材!$1:$1016,COLUMN($F$1),FALSE), "・", 0)) + 1), 0)+IF($CI382&lt;&gt;"",VLOOKUP($CI382,装強!$A$1:BA$1005,COLUMN(装強!BA$1),FALSE),0)</f>
        <v>0</v>
      </c>
      <c r="AG382">
        <f>IF(ISNUMBER(SEARCH(SUBSTITUTE(AG$1,RIGHT(AG$1,2),""),VLOOKUP($D382,素材!$1:$1016,COLUMN($F$1),FALSE))),VLOOKUP($C382,武器!$1:$998,COLUMN($O$1),FALSE)*VLOOKUP($D382,素材!$1:$1016,COLUMN($E$1),FALSE)/(LEN(VLOOKUP($D382,素材!$1:$1016,COLUMN($F$1),FALSE)) - LEN(SUBSTITUTE(VLOOKUP($D382,素材!$1:$1016,COLUMN($F$1),FALSE), "・", 0)) + 1), 0)+IF($CI382&lt;&gt;"",VLOOKUP($CI382,装強!$A$1:BB$1005,COLUMN(装強!BB$1),FALSE),0)</f>
        <v>0</v>
      </c>
      <c r="AH382">
        <f>IF(ISNUMBER(SEARCH(SUBSTITUTE(AH$1,RIGHT(AH$1,2),""),VLOOKUP($D382,素材!$1:$1016,COLUMN($F$1),FALSE))),VLOOKUP($C382,武器!$1:$998,COLUMN($O$1),FALSE)*VLOOKUP($D382,素材!$1:$1016,COLUMN($E$1),FALSE)/(LEN(VLOOKUP($D382,素材!$1:$1016,COLUMN($F$1),FALSE)) - LEN(SUBSTITUTE(VLOOKUP($D382,素材!$1:$1016,COLUMN($F$1),FALSE), "・", 0)) + 1), 0)+IF($CI382&lt;&gt;"",VLOOKUP($CI382,装強!$A$1:BC$1005,COLUMN(装強!BC$1),FALSE),0)</f>
        <v>0</v>
      </c>
      <c r="AI382">
        <f>IF(ISNUMBER(SEARCH(SUBSTITUTE(AI$1,RIGHT(AI$1,2),""),VLOOKUP($D382,素材!$1:$1016,COLUMN($F$1),FALSE))),VLOOKUP($C382,武器!$1:$998,COLUMN($O$1),FALSE)*VLOOKUP($D382,素材!$1:$1016,COLUMN($E$1),FALSE)/(LEN(VLOOKUP($D382,素材!$1:$1016,COLUMN($F$1),FALSE)) - LEN(SUBSTITUTE(VLOOKUP($D382,素材!$1:$1016,COLUMN($F$1),FALSE), "・", 0)) + 1), 0)+IF($CI382&lt;&gt;"",VLOOKUP($CI382,装強!$A$1:BD$1005,COLUMN(装強!BD$1),FALSE),0)</f>
        <v>0</v>
      </c>
      <c r="AJ382">
        <f>IF(ISNUMBER(SEARCH(SUBSTITUTE(AJ$1,RIGHT(AJ$1,2),""),VLOOKUP($D382,素材!$1:$1016,COLUMN($F$1),FALSE))),VLOOKUP($C382,武器!$1:$998,COLUMN($O$1),FALSE)*VLOOKUP($D382,素材!$1:$1016,COLUMN($E$1),FALSE)/(LEN(VLOOKUP($D382,素材!$1:$1016,COLUMN($F$1),FALSE)) - LEN(SUBSTITUTE(VLOOKUP($D382,素材!$1:$1016,COLUMN($F$1),FALSE), "・", 0)) + 1), 0)+IF($CI382&lt;&gt;"",VLOOKUP($CI382,装強!$A$1:BE$1005,COLUMN(装強!BE$1),FALSE),0)</f>
        <v>0</v>
      </c>
      <c r="AK382">
        <f>IF(ISNUMBER(SEARCH(SUBSTITUTE(AK$1,RIGHT(AK$1,2),""),VLOOKUP($D382,素材!$1:$1016,COLUMN($F$1),FALSE))),VLOOKUP($C382,武器!$1:$998,COLUMN($O$1),FALSE)*VLOOKUP($D382,素材!$1:$1016,COLUMN($E$1),FALSE)/(LEN(VLOOKUP($D382,素材!$1:$1016,COLUMN($F$1),FALSE)) - LEN(SUBSTITUTE(VLOOKUP($D382,素材!$1:$1016,COLUMN($F$1),FALSE), "・", 0)) + 1), 0)+IF($CI382&lt;&gt;"",VLOOKUP($CI382,装強!$A$1:BF$1005,COLUMN(装強!BF$1),FALSE),0)</f>
        <v>0</v>
      </c>
      <c r="AL382">
        <f>IF(ISNUMBER(SEARCH(SUBSTITUTE(AL$1,RIGHT(AL$1,2),""),VLOOKUP($D382,素材!$1:$1016,COLUMN($F$1),FALSE))),VLOOKUP($C382,武器!$1:$998,COLUMN($O$1),FALSE)*VLOOKUP($D382,素材!$1:$1016,COLUMN($E$1),FALSE)/(LEN(VLOOKUP($D382,素材!$1:$1016,COLUMN($F$1),FALSE)) - LEN(SUBSTITUTE(VLOOKUP($D382,素材!$1:$1016,COLUMN($F$1),FALSE), "・", 0)) + 1), 0)+IF($CI382&lt;&gt;"",VLOOKUP($CI382,装強!$A$1:BG$1005,COLUMN(装強!BG$1),FALSE),0)</f>
        <v>0</v>
      </c>
      <c r="AM382">
        <f>IF(ISNUMBER(SEARCH(SUBSTITUTE(AM$1,RIGHT(AM$1,2),""),VLOOKUP($D382,素材!$1:$1016,COLUMN($F$1),FALSE))),VLOOKUP($C382,武器!$1:$998,COLUMN($O$1),FALSE)*VLOOKUP($D382,素材!$1:$1016,COLUMN($E$1),FALSE)/(LEN(VLOOKUP($D382,素材!$1:$1016,COLUMN($F$1),FALSE)) - LEN(SUBSTITUTE(VLOOKUP($D382,素材!$1:$1016,COLUMN($F$1),FALSE), "・", 0)) + 1), 0)+IF($CI382&lt;&gt;"",VLOOKUP($CI382,装強!$A$1:BH$1005,COLUMN(装強!BH$1),FALSE),0)</f>
        <v>0</v>
      </c>
      <c r="AN382">
        <f>IF(ISNUMBER(SEARCH(SUBSTITUTE(AN$1,RIGHT(AN$1,2),""),VLOOKUP($D382,素材!$1:$1016,COLUMN($F$1),FALSE))),VLOOKUP($C382,武器!$1:$998,COLUMN($O$1),FALSE)*VLOOKUP($D382,素材!$1:$1016,COLUMN($E$1),FALSE)/(LEN(VLOOKUP($D382,素材!$1:$1016,COLUMN($F$1),FALSE)) - LEN(SUBSTITUTE(VLOOKUP($D382,素材!$1:$1016,COLUMN($F$1),FALSE), "・", 0)) + 1), 0)+IF($CI382&lt;&gt;"",VLOOKUP($CI382,装強!$A$1:BI$1005,COLUMN(装強!BI$1),FALSE),0)</f>
        <v>0</v>
      </c>
      <c r="AO382">
        <f>IF(ISNUMBER(SEARCH(SUBSTITUTE(AO$1,RIGHT(AO$1,2),""),VLOOKUP($D382,素材!$1:$1016,COLUMN($F$1),FALSE))),VLOOKUP($C382,武器!$1:$998,COLUMN($O$1),FALSE)*VLOOKUP($D382,素材!$1:$1016,COLUMN($E$1),FALSE)/(LEN(VLOOKUP($D382,素材!$1:$1016,COLUMN($F$1),FALSE)) - LEN(SUBSTITUTE(VLOOKUP($D382,素材!$1:$1016,COLUMN($F$1),FALSE), "・", 0)) + 1), 0)+IF($CI382&lt;&gt;"",VLOOKUP($CI382,装強!$A$1:BK$1005,COLUMN(装強!BK$1),FALSE),0)</f>
        <v>0</v>
      </c>
      <c r="AP382">
        <f>IF(ISNUMBER(SEARCH(SUBSTITUTE(AP$1,RIGHT(AP$1,2),""),VLOOKUP($D382,素材!$1:$1016,COLUMN($F$1),FALSE))),VLOOKUP($C382,武器!$1:$998,COLUMN($O$1),FALSE)*VLOOKUP($D382,素材!$1:$1016,COLUMN($E$1),FALSE)/(LEN(VLOOKUP($D382,素材!$1:$1016,COLUMN($F$1),FALSE)) - LEN(SUBSTITUTE(VLOOKUP($D382,素材!$1:$1016,COLUMN($F$1),FALSE), "・", 0)) + 1), 0)+IF($CI382&lt;&gt;"",VLOOKUP($CI382,装強!$A$1:BL$1005,COLUMN(装強!BL$1),FALSE),0)</f>
        <v>0</v>
      </c>
      <c r="AQ382">
        <f>IF(ISNUMBER(SEARCH(SUBSTITUTE(AQ$1,RIGHT(AQ$1,2),""),VLOOKUP($D382,素材!$1:$1016,COLUMN($F$1),FALSE))),VLOOKUP($C382,武器!$1:$998,COLUMN($O$1),FALSE)*VLOOKUP($D382,素材!$1:$1016,COLUMN($E$1),FALSE)/(LEN(VLOOKUP($D382,素材!$1:$1016,COLUMN($F$1),FALSE)) - LEN(SUBSTITUTE(VLOOKUP($D382,素材!$1:$1016,COLUMN($F$1),FALSE), "・", 0)) + 1), 0)+IF($CI382&lt;&gt;"",VLOOKUP($CI382,装強!$A$1:BM$1005,COLUMN(装強!BM$1),FALSE),0)</f>
        <v>0</v>
      </c>
      <c r="AR382">
        <f>IF(ISNUMBER(SEARCH(SUBSTITUTE(AR$1,RIGHT(AR$1,2),""),VLOOKUP($D382,素材!$1:$1016,COLUMN($F$1),FALSE))),VLOOKUP($C382,武器!$1:$998,COLUMN($O$1),FALSE)*VLOOKUP($D382,素材!$1:$1016,COLUMN($E$1),FALSE)/(LEN(VLOOKUP($D382,素材!$1:$1016,COLUMN($F$1),FALSE)) - LEN(SUBSTITUTE(VLOOKUP($D382,素材!$1:$1016,COLUMN($F$1),FALSE), "・", 0)) + 1), 0)+IF($CI382&lt;&gt;"",VLOOKUP($CI382,装強!$A$1:BN$1005,COLUMN(装強!BN$1),FALSE),0)</f>
        <v>0</v>
      </c>
      <c r="AS382">
        <f>IF(ISNUMBER(SEARCH(SUBSTITUTE(AS$1,RIGHT(AS$1,2),""),VLOOKUP($D382,素材!$1:$1016,COLUMN($F$1),FALSE))),VLOOKUP($C382,武器!$1:$998,COLUMN($O$1),FALSE)*VLOOKUP($D382,素材!$1:$1016,COLUMN($E$1),FALSE)/(LEN(VLOOKUP($D382,素材!$1:$1016,COLUMN($F$1),FALSE)) - LEN(SUBSTITUTE(VLOOKUP($D382,素材!$1:$1016,COLUMN($F$1),FALSE), "・", 0)) + 1), 0)+IF($CI382&lt;&gt;"",VLOOKUP($CI382,装強!$A$1:BO$1005,COLUMN(装強!BO$1),FALSE),0)</f>
        <v>0</v>
      </c>
      <c r="AT382">
        <f>IF(ISNUMBER(SEARCH(SUBSTITUTE(AT$1,RIGHT(AT$1,2),""),VLOOKUP($D382,素材!$1:$1016,COLUMN($F$1),FALSE))),VLOOKUP($C382,武器!$1:$998,COLUMN($O$1),FALSE)*VLOOKUP($D382,素材!$1:$1016,COLUMN($E$1),FALSE)/(LEN(VLOOKUP($D382,素材!$1:$1016,COLUMN($F$1),FALSE)) - LEN(SUBSTITUTE(VLOOKUP($D382,素材!$1:$1016,COLUMN($F$1),FALSE), "・", 0)) + 1), 0)+IF($CI382&lt;&gt;"",VLOOKUP($CI382,装強!$A$1:BP$1005,COLUMN(装強!BP$1),FALSE),0)</f>
        <v>0</v>
      </c>
      <c r="AU382">
        <f>IF(ISNUMBER(SEARCH(SUBSTITUTE(AU$1,RIGHT(AU$1,2),""),VLOOKUP($D382,素材!$1:$1016,COLUMN($F$1),FALSE))),VLOOKUP($C382,武器!$1:$998,COLUMN($O$1),FALSE)*VLOOKUP($D382,素材!$1:$1016,COLUMN($E$1),FALSE)/(LEN(VLOOKUP($D382,素材!$1:$1016,COLUMN($F$1),FALSE)) - LEN(SUBSTITUTE(VLOOKUP($D382,素材!$1:$1016,COLUMN($F$1),FALSE), "・", 0)) + 1), 0)+IF($CI382&lt;&gt;"",VLOOKUP($CI382,装強!$A$1:BQ$1005,COLUMN(装強!BQ$1),FALSE),0)</f>
        <v>0</v>
      </c>
      <c r="AV382">
        <f>IF(ISNUMBER(SEARCH(SUBSTITUTE(AV$1,RIGHT(AV$1,2),""),VLOOKUP($D382,素材!$1:$1016,COLUMN($F$1),FALSE))),VLOOKUP($C382,武器!$1:$998,COLUMN($O$1),FALSE)*VLOOKUP($D382,素材!$1:$1016,COLUMN($E$1),FALSE)/(LEN(VLOOKUP($D382,素材!$1:$1016,COLUMN($F$1),FALSE)) - LEN(SUBSTITUTE(VLOOKUP($D382,素材!$1:$1016,COLUMN($F$1),FALSE), "・", 0)) + 1), 0)+IF($CI382&lt;&gt;"",VLOOKUP($CI382,装強!$A$1:BR$1005,COLUMN(装強!BR$1),FALSE),0)</f>
        <v>0</v>
      </c>
      <c r="AW382">
        <f>IF(ISNUMBER(SEARCH(SUBSTITUTE(AW$1,RIGHT(AW$1,2),""),VLOOKUP($D382,素材!$1:$1016,COLUMN($F$1),FALSE))),VLOOKUP($C382,武器!$1:$998,COLUMN($O$1),FALSE)*VLOOKUP($D382,素材!$1:$1016,COLUMN($E$1),FALSE)/(LEN(VLOOKUP($D382,素材!$1:$1016,COLUMN($F$1),FALSE)) - LEN(SUBSTITUTE(VLOOKUP($D382,素材!$1:$1016,COLUMN($F$1),FALSE), "・", 0)) + 1), 0)+IF($CI382&lt;&gt;"",VLOOKUP($CI382,装強!$A$1:BS$1005,COLUMN(装強!BS$1),FALSE),0)</f>
        <v>0</v>
      </c>
      <c r="AX382">
        <f>IF(ISNUMBER(SEARCH(SUBSTITUTE(AX$1,RIGHT(AX$1,2),""),VLOOKUP($D382,素材!$1:$1016,COLUMN($F$1),FALSE))),VLOOKUP($C382,武器!$1:$998,COLUMN($O$1),FALSE)*VLOOKUP($D382,素材!$1:$1016,COLUMN($E$1),FALSE)/(LEN(VLOOKUP($D382,素材!$1:$1016,COLUMN($F$1),FALSE)) - LEN(SUBSTITUTE(VLOOKUP($D382,素材!$1:$1016,COLUMN($F$1),FALSE), "・", 0)) + 1), 0)+IF($CI382&lt;&gt;"",VLOOKUP($CI382,装強!$A$1:BT$1005,COLUMN(装強!BT$1),FALSE),0)</f>
        <v>0</v>
      </c>
      <c r="AY382">
        <f>IF(ISNUMBER(SEARCH(SUBSTITUTE(AY$1,RIGHT(AY$1,2),""),VLOOKUP($D382,素材!$1:$1016,COLUMN($F$1),FALSE))),VLOOKUP($C382,武器!$1:$998,COLUMN($O$1),FALSE)*VLOOKUP($D382,素材!$1:$1016,COLUMN($E$1),FALSE)/(LEN(VLOOKUP($D382,素材!$1:$1016,COLUMN($F$1),FALSE)) - LEN(SUBSTITUTE(VLOOKUP($D382,素材!$1:$1016,COLUMN($F$1),FALSE), "・", 0)) + 1), 0)+IF($CI382&lt;&gt;"",VLOOKUP($CI382,装強!$A$1:BU$1005,COLUMN(装強!BU$1),FALSE),0)</f>
        <v>0</v>
      </c>
      <c r="AZ382">
        <f>IF(ISNUMBER(SEARCH(SUBSTITUTE(AZ$1,RIGHT(AZ$1,2),""),VLOOKUP($D382,素材!$1:$1016,COLUMN($F$1),FALSE))),VLOOKUP($C382,武器!$1:$998,COLUMN($O$1),FALSE)*VLOOKUP($D382,素材!$1:$1016,COLUMN($E$1),FALSE)/(LEN(VLOOKUP($D382,素材!$1:$1016,COLUMN($F$1),FALSE)) - LEN(SUBSTITUTE(VLOOKUP($D382,素材!$1:$1016,COLUMN($F$1),FALSE), "・", 0)) + 1), 0)+IF($CI382&lt;&gt;"",VLOOKUP($CI382,装強!$A$1:BV$1005,COLUMN(装強!BV$1),FALSE),0)</f>
        <v>0</v>
      </c>
      <c r="BA382">
        <f>IF(ISNUMBER(SEARCH(SUBSTITUTE(BA$1,RIGHT(BA$1,2),""),VLOOKUP($D382,素材!$1:$1016,COLUMN($F$1),FALSE))),VLOOKUP($C382,武器!$1:$998,COLUMN($O$1),FALSE)*VLOOKUP($D382,素材!$1:$1016,COLUMN($E$1),FALSE)/(LEN(VLOOKUP($D382,素材!$1:$1016,COLUMN($F$1),FALSE)) - LEN(SUBSTITUTE(VLOOKUP($D382,素材!$1:$1016,COLUMN($F$1),FALSE), "・", 0)) + 1), 0)+IF($CI382&lt;&gt;"",VLOOKUP($CI382,装強!$A$1:BW$1005,COLUMN(装強!BW$1),FALSE),0)</f>
        <v>0</v>
      </c>
      <c r="BB382">
        <f>IF(ISNUMBER(SEARCH(SUBSTITUTE(BB$1,RIGHT(BB$1,2),""),VLOOKUP($D382,素材!$1:$1016,COLUMN($F$1),FALSE))),VLOOKUP($C382,武器!$1:$998,COLUMN($O$1),FALSE)*VLOOKUP($D382,素材!$1:$1016,COLUMN($E$1),FALSE)/(LEN(VLOOKUP($D382,素材!$1:$1016,COLUMN($F$1),FALSE)) - LEN(SUBSTITUTE(VLOOKUP($D382,素材!$1:$1016,COLUMN($F$1),FALSE), "・", 0)) + 1), 0)+IF($CI382&lt;&gt;"",VLOOKUP($CI382,装強!$A$1:BX$1005,COLUMN(装強!BX$1),FALSE),0)</f>
        <v>0</v>
      </c>
      <c r="BC382">
        <f>IF(ISNUMBER(SEARCH(SUBSTITUTE(BC$1,RIGHT(BC$1,2),""),VLOOKUP($D382,素材!$1:$1016,COLUMN($F$1),FALSE))),VLOOKUP($C382,武器!$1:$998,COLUMN($O$1),FALSE)*VLOOKUP($D382,素材!$1:$1016,COLUMN($E$1),FALSE)/(LEN(VLOOKUP($D382,素材!$1:$1016,COLUMN($F$1),FALSE)) - LEN(SUBSTITUTE(VLOOKUP($D382,素材!$1:$1016,COLUMN($F$1),FALSE), "・", 0)) + 1), 0)+IF($CI382&lt;&gt;"",VLOOKUP($CI382,装強!$A$1:BY$1005,COLUMN(装強!BY$1),FALSE),0)</f>
        <v>0</v>
      </c>
      <c r="BD382">
        <f>IF(ISNUMBER(SEARCH(SUBSTITUTE(BD$1,RIGHT(BD$1,2),""),VLOOKUP($D382,素材!$1:$1016,COLUMN($F$1),FALSE))),VLOOKUP($C382,武器!$1:$998,COLUMN($O$1),FALSE)*VLOOKUP($D382,素材!$1:$1016,COLUMN($E$1),FALSE)/(LEN(VLOOKUP($D382,素材!$1:$1016,COLUMN($F$1),FALSE)) - LEN(SUBSTITUTE(VLOOKUP($D382,素材!$1:$1016,COLUMN($F$1),FALSE), "・", 0)) + 1), 0)+IF($CI382&lt;&gt;"",VLOOKUP($CI382,装強!$A$1:BZ$1005,COLUMN(装強!BZ$1),FALSE),0)</f>
        <v>0</v>
      </c>
      <c r="BE382">
        <f>IF(ISNUMBER(SEARCH(SUBSTITUTE(BE$1,RIGHT(BE$1,2),""),VLOOKUP($D382,素材!$1:$1016,COLUMN($F$1),FALSE))),VLOOKUP($C382,武器!$1:$998,COLUMN($O$1),FALSE)*VLOOKUP($D382,素材!$1:$1016,COLUMN($E$1),FALSE)/(LEN(VLOOKUP($D382,素材!$1:$1016,COLUMN($F$1),FALSE)) - LEN(SUBSTITUTE(VLOOKUP($D382,素材!$1:$1016,COLUMN($F$1),FALSE), "・", 0)) + 1), 0)+IF($CI382&lt;&gt;"",VLOOKUP($CI382,装強!$A$1:CA$1005,COLUMN(装強!CA$1),FALSE),0)</f>
        <v>0</v>
      </c>
      <c r="CL382">
        <f>SUM(G382:I382)</f>
        <v>0</v>
      </c>
      <c r="CM382" s="22" t="str">
        <f>IF(E382="武器",IF(J382-1&gt;SUM(G382:I382),"盾",IF(MAX(G382:I382)=G382,"切断",IF(MAX(G382:I382)=H382,"貫通",IF(MAX(G382:I382)=I382,"打撃","射撃")))),E382)&amp;".webp"</f>
        <v>.webp</v>
      </c>
      <c r="CN382" t="str">
        <f>IFERROR(VLOOKUP($C382,武器!$1:$998,COLUMN(V$1),FALSE)*VLOOKUP($D382,素材!$1:$1016,COLUMN(N$1),FALSE)+IF(CI382="",0,VLOOKUP($CI382,装強!$1:$1008,COLUMN($CK$1),FALSE)),"")</f>
        <v/>
      </c>
      <c r="CO382" t="e">
        <f>VLOOKUP(D382,素材!$A:$O,COLUMN(素材!O$1),FALSE)</f>
        <v>#N/A</v>
      </c>
      <c r="CP382" t="e">
        <f>VLOOKUP(C382,武器!$A:$W,COLUMN(武器!W$1),FALSE)</f>
        <v>#N/A</v>
      </c>
      <c r="CR382" t="str">
        <f t="shared" si="39"/>
        <v>e_382</v>
      </c>
      <c r="CS382" t="e">
        <f t="shared" si="41"/>
        <v>#VALUE!</v>
      </c>
    </row>
    <row r="383" spans="1:97" x14ac:dyDescent="0.4">
      <c r="B383" t="str">
        <f>IFERROR(VLOOKUP($D383,素材!$1:$1016,COLUMN($B$1),FALSE)&amp;"・"&amp;VLOOKUP($C383,武器!$1:$998,COLUMN(B$1),FALSE),"")</f>
        <v/>
      </c>
      <c r="D383" s="24"/>
      <c r="E383" t="str">
        <f>IFERROR(VLOOKUP(C383,武器!$1:$998,COLUMN(C$1),FALSE),"")</f>
        <v/>
      </c>
      <c r="F383" t="str">
        <f>IFERROR(ROUNDDOWN((VLOOKUP($C383,武器!$1:$998,COLUMN(D$1),FALSE)+IFERROR(VLOOKUP($CI383,装強!$1:$999,COLUMN(F$1),FALSE),0))*VLOOKUP($D383,素材!$1:$1016,COLUMN(D$1),FALSE),0),"")</f>
        <v/>
      </c>
      <c r="G383" t="str">
        <f>IFERROR(ROUNDDOWN((VLOOKUP($C383,武器!$1:$998,COLUMN(E$1),FALSE)+IFERROR(VLOOKUP($CI383,装強!$1:$999,COLUMN(G$1),FALSE),0))*VLOOKUP($D383,素材!$1:$1016,COLUMN($E$1),FALSE),0),"")</f>
        <v/>
      </c>
      <c r="H383" t="str">
        <f>IFERROR(ROUNDDOWN((VLOOKUP($C383,武器!$1:$998,COLUMN(F$1),FALSE)+IFERROR(VLOOKUP($CI383,装強!$1:$999,COLUMN(H$1),FALSE),0))*VLOOKUP($D383,素材!$1:$1016,COLUMN($E$1),FALSE),0),"")</f>
        <v/>
      </c>
      <c r="I383" t="str">
        <f>IFERROR(ROUNDDOWN((VLOOKUP($C383,武器!$1:$998,COLUMN(G$1),FALSE)+IFERROR(VLOOKUP($CI383,装強!$1:$999,COLUMN(I$1),FALSE),0))*VLOOKUP($D383,素材!$1:$1016,COLUMN($E$1),FALSE),0),"")</f>
        <v/>
      </c>
      <c r="J383" t="str">
        <f>IFERROR(ROUNDDOWN((VLOOKUP($C383,武器!$1:$998,COLUMN(H$1),FALSE)+IFERROR(VLOOKUP($CI383,装強!$1:$999,COLUMN(J$1),FALSE),0))*VLOOKUP($D383,素材!$1:$1016,COLUMN($E$1),FALSE),0),"")</f>
        <v/>
      </c>
      <c r="K383" t="str">
        <f>IFERROR(ROUNDDOWN((VLOOKUP($C383,武器!$1:$998,COLUMN(I$1),FALSE)+IFERROR(VLOOKUP($CI383,装強!$1:$999,COLUMN(K$1),FALSE),0))*VLOOKUP($D383,素材!$1:$1016,COLUMN($E$1),FALSE),0),"")</f>
        <v/>
      </c>
      <c r="L383" t="str">
        <f>IFERROR(VLOOKUP($D383,素材!$1:$1016,COLUMN($F$1),FALSE),"")</f>
        <v/>
      </c>
      <c r="M383" t="str">
        <f>IFERROR(VLOOKUP($C383,武器!$1:$998,COLUMN(AA$1),FALSE)*VLOOKUP($D383,素材!$1:$1016,COLUMN($G$1),FALSE),"")</f>
        <v/>
      </c>
      <c r="N383" t="str">
        <f>IFERROR(VLOOKUP($C383,武器!$1:$998,COLUMN(I$1),FALSE),"")</f>
        <v/>
      </c>
      <c r="O383" s="23" t="str">
        <f>IFERROR((VLOOKUP($C383,武器!$1:$998,COLUMN(K$1),FALSE)+VLOOKUP($D383,素材!$1:$1016,COLUMN(H$1),FALSE))*100+IFERROR(VLOOKUP($CI383,装強!$1:$999,COLUMN(O$1),FALSE),0),"")</f>
        <v/>
      </c>
      <c r="P383" s="23" t="str">
        <f>IFERROR((VLOOKUP($C383,武器!$1:$998,COLUMN(L$1),FALSE)+VLOOKUP($D383,素材!$1:$1016,COLUMN(I$1),FALSE))*100+IFERROR(VLOOKUP($CI383,装強!$1:$999,COLUMN(P$1),FALSE),0),"")</f>
        <v/>
      </c>
      <c r="Q383" t="str">
        <f>IFERROR(ROUNDUP(VLOOKUP($C383,武器!$1:$998,COLUMN(M$1),FALSE)*(VLOOKUP($D383,素材!$1:$1002,COLUMN(D$1),FALSE)/100),1),"")</f>
        <v/>
      </c>
      <c r="R383" t="str">
        <f>IFERROR(ROUNDUP(VLOOKUP($C383,武器!$1:$998,COLUMN(N$1),FALSE)*(VLOOKUP($D383,素材!$1:$1002,COLUMN(D$1),FALSE)/100),1),"")</f>
        <v/>
      </c>
      <c r="S383" t="str">
        <f>IFERROR(VLOOKUP($C383,武器!$1:$998,COLUMN(P$1),FALSE),"")</f>
        <v/>
      </c>
      <c r="T383" t="str">
        <f>IFERROR(VLOOKUP($C383,武器!$1:$998,COLUMN(Q$1),FALSE),"")</f>
        <v/>
      </c>
      <c r="U383" t="str">
        <f>IFERROR(VLOOKUP($C383,武器!$1:$998,COLUMN(R$1),FALSE),"")</f>
        <v/>
      </c>
      <c r="V383" t="str">
        <f>IFERROR(VLOOKUP($C383,武器!$1:$998,COLUMN(Q$1),FALSE),"")</f>
        <v/>
      </c>
      <c r="W383" t="str">
        <f>IFERROR(VLOOKUP($C383,武器!$1:$998,COLUMN(T$1),FALSE),"")</f>
        <v/>
      </c>
      <c r="Y383" t="str">
        <f>IFERROR(VLOOKUP($C383,武器!$1:$998,COLUMN(U$1),FALSE),"")</f>
        <v/>
      </c>
      <c r="Z383" t="str">
        <f>IFERROR(ROUNDUP(VLOOKUP($C383,武器!$1:$998,COLUMN(O$1),FALSE)*VLOOKUP($D383,素材!$1:$1016,COLUMN(E$1),FALSE),1),"")</f>
        <v/>
      </c>
      <c r="AA383">
        <f>IF(ISNUMBER(SEARCH(SUBSTITUTE(AA$1,RIGHT(AA$1,2),""),VLOOKUP($D383,素材!$1:$1016,COLUMN($F$1),FALSE))),VLOOKUP($C383,武器!$1:$998,COLUMN($O$1),FALSE)*VLOOKUP($D383,素材!$1:$1016,COLUMN($E$1),FALSE)/(LEN(VLOOKUP($D383,素材!$1:$1016,COLUMN($F$1),FALSE)) - LEN(SUBSTITUTE(VLOOKUP($D383,素材!$1:$1016,COLUMN($F$1),FALSE), "・", 0)) + 1), 0)</f>
        <v>0</v>
      </c>
      <c r="AB383">
        <f>IF(ISNUMBER(SEARCH(SUBSTITUTE(AB$1,RIGHT(AB$1,2),""),VLOOKUP($D383,素材!$1:$1016,COLUMN($F$1),FALSE))),VLOOKUP($C383,武器!$1:$998,COLUMN($O$1),FALSE)*VLOOKUP($D383,素材!$1:$1016,COLUMN($E$1),FALSE)/(LEN(VLOOKUP($D383,素材!$1:$1016,COLUMN($F$1),FALSE)) - LEN(SUBSTITUTE(VLOOKUP($D383,素材!$1:$1016,COLUMN($F$1),FALSE), "・", 0)) + 1), 0)</f>
        <v>0</v>
      </c>
      <c r="AC383">
        <f>IF(ISNUMBER(SEARCH(SUBSTITUTE(AC$1,RIGHT(AC$1,2),""),VLOOKUP($D383,素材!$1:$1016,COLUMN($F$1),FALSE))),VLOOKUP($C383,武器!$1:$998,COLUMN($O$1),FALSE)*VLOOKUP($D383,素材!$1:$1016,COLUMN($E$1),FALSE)/(LEN(VLOOKUP($D383,素材!$1:$1016,COLUMN($F$1),FALSE)) - LEN(SUBSTITUTE(VLOOKUP($D383,素材!$1:$1016,COLUMN($F$1),FALSE), "・", 0)) + 1), 0)</f>
        <v>0</v>
      </c>
      <c r="AD383">
        <f>IF(ISNUMBER(SEARCH(SUBSTITUTE(AD$1,RIGHT(AD$1,2),""),VLOOKUP($D383,素材!$1:$1016,COLUMN($F$1),FALSE))),VLOOKUP($C383,武器!$1:$998,COLUMN($O$1),FALSE)*VLOOKUP($D383,素材!$1:$1016,COLUMN($E$1),FALSE)/(LEN(VLOOKUP($D383,素材!$1:$1016,COLUMN($F$1),FALSE)) - LEN(SUBSTITUTE(VLOOKUP($D383,素材!$1:$1016,COLUMN($F$1),FALSE), "・", 0)) + 1), 0)</f>
        <v>0</v>
      </c>
      <c r="AE383">
        <f>IF(ISNUMBER(SEARCH(SUBSTITUTE(AE$1,RIGHT(AE$1,2),""),VLOOKUP($D383,素材!$1:$1016,COLUMN($F$1),FALSE))),VLOOKUP($C383,武器!$1:$998,COLUMN($O$1),FALSE)*VLOOKUP($D383,素材!$1:$1016,COLUMN($E$1),FALSE)/(LEN(VLOOKUP($D383,素材!$1:$1016,COLUMN($F$1),FALSE)) - LEN(SUBSTITUTE(VLOOKUP($D383,素材!$1:$1016,COLUMN($F$1),FALSE), "・", 0)) + 1), 0)+IF($CI383&lt;&gt;"",VLOOKUP($CI383,装強!$A$1:AZ$1005,COLUMN(装強!AZ$1),FALSE),0)</f>
        <v>0</v>
      </c>
      <c r="AF383">
        <f>IF(ISNUMBER(SEARCH(SUBSTITUTE(AF$1,RIGHT(AF$1,2),""),VLOOKUP($D383,素材!$1:$1016,COLUMN($F$1),FALSE))),VLOOKUP($C383,武器!$1:$998,COLUMN($O$1),FALSE)*VLOOKUP($D383,素材!$1:$1016,COLUMN($E$1),FALSE)/(LEN(VLOOKUP($D383,素材!$1:$1016,COLUMN($F$1),FALSE)) - LEN(SUBSTITUTE(VLOOKUP($D383,素材!$1:$1016,COLUMN($F$1),FALSE), "・", 0)) + 1), 0)+IF($CI383&lt;&gt;"",VLOOKUP($CI383,装強!$A$1:BA$1005,COLUMN(装強!BA$1),FALSE),0)</f>
        <v>0</v>
      </c>
      <c r="AG383">
        <f>IF(ISNUMBER(SEARCH(SUBSTITUTE(AG$1,RIGHT(AG$1,2),""),VLOOKUP($D383,素材!$1:$1016,COLUMN($F$1),FALSE))),VLOOKUP($C383,武器!$1:$998,COLUMN($O$1),FALSE)*VLOOKUP($D383,素材!$1:$1016,COLUMN($E$1),FALSE)/(LEN(VLOOKUP($D383,素材!$1:$1016,COLUMN($F$1),FALSE)) - LEN(SUBSTITUTE(VLOOKUP($D383,素材!$1:$1016,COLUMN($F$1),FALSE), "・", 0)) + 1), 0)+IF($CI383&lt;&gt;"",VLOOKUP($CI383,装強!$A$1:BB$1005,COLUMN(装強!BB$1),FALSE),0)</f>
        <v>0</v>
      </c>
      <c r="AH383">
        <f>IF(ISNUMBER(SEARCH(SUBSTITUTE(AH$1,RIGHT(AH$1,2),""),VLOOKUP($D383,素材!$1:$1016,COLUMN($F$1),FALSE))),VLOOKUP($C383,武器!$1:$998,COLUMN($O$1),FALSE)*VLOOKUP($D383,素材!$1:$1016,COLUMN($E$1),FALSE)/(LEN(VLOOKUP($D383,素材!$1:$1016,COLUMN($F$1),FALSE)) - LEN(SUBSTITUTE(VLOOKUP($D383,素材!$1:$1016,COLUMN($F$1),FALSE), "・", 0)) + 1), 0)+IF($CI383&lt;&gt;"",VLOOKUP($CI383,装強!$A$1:BC$1005,COLUMN(装強!BC$1),FALSE),0)</f>
        <v>0</v>
      </c>
      <c r="AI383">
        <f>IF(ISNUMBER(SEARCH(SUBSTITUTE(AI$1,RIGHT(AI$1,2),""),VLOOKUP($D383,素材!$1:$1016,COLUMN($F$1),FALSE))),VLOOKUP($C383,武器!$1:$998,COLUMN($O$1),FALSE)*VLOOKUP($D383,素材!$1:$1016,COLUMN($E$1),FALSE)/(LEN(VLOOKUP($D383,素材!$1:$1016,COLUMN($F$1),FALSE)) - LEN(SUBSTITUTE(VLOOKUP($D383,素材!$1:$1016,COLUMN($F$1),FALSE), "・", 0)) + 1), 0)+IF($CI383&lt;&gt;"",VLOOKUP($CI383,装強!$A$1:BD$1005,COLUMN(装強!BD$1),FALSE),0)</f>
        <v>0</v>
      </c>
      <c r="AJ383">
        <f>IF(ISNUMBER(SEARCH(SUBSTITUTE(AJ$1,RIGHT(AJ$1,2),""),VLOOKUP($D383,素材!$1:$1016,COLUMN($F$1),FALSE))),VLOOKUP($C383,武器!$1:$998,COLUMN($O$1),FALSE)*VLOOKUP($D383,素材!$1:$1016,COLUMN($E$1),FALSE)/(LEN(VLOOKUP($D383,素材!$1:$1016,COLUMN($F$1),FALSE)) - LEN(SUBSTITUTE(VLOOKUP($D383,素材!$1:$1016,COLUMN($F$1),FALSE), "・", 0)) + 1), 0)+IF($CI383&lt;&gt;"",VLOOKUP($CI383,装強!$A$1:BE$1005,COLUMN(装強!BE$1),FALSE),0)</f>
        <v>0</v>
      </c>
      <c r="AK383">
        <f>IF(ISNUMBER(SEARCH(SUBSTITUTE(AK$1,RIGHT(AK$1,2),""),VLOOKUP($D383,素材!$1:$1016,COLUMN($F$1),FALSE))),VLOOKUP($C383,武器!$1:$998,COLUMN($O$1),FALSE)*VLOOKUP($D383,素材!$1:$1016,COLUMN($E$1),FALSE)/(LEN(VLOOKUP($D383,素材!$1:$1016,COLUMN($F$1),FALSE)) - LEN(SUBSTITUTE(VLOOKUP($D383,素材!$1:$1016,COLUMN($F$1),FALSE), "・", 0)) + 1), 0)+IF($CI383&lt;&gt;"",VLOOKUP($CI383,装強!$A$1:BF$1005,COLUMN(装強!BF$1),FALSE),0)</f>
        <v>0</v>
      </c>
      <c r="AL383">
        <f>IF(ISNUMBER(SEARCH(SUBSTITUTE(AL$1,RIGHT(AL$1,2),""),VLOOKUP($D383,素材!$1:$1016,COLUMN($F$1),FALSE))),VLOOKUP($C383,武器!$1:$998,COLUMN($O$1),FALSE)*VLOOKUP($D383,素材!$1:$1016,COLUMN($E$1),FALSE)/(LEN(VLOOKUP($D383,素材!$1:$1016,COLUMN($F$1),FALSE)) - LEN(SUBSTITUTE(VLOOKUP($D383,素材!$1:$1016,COLUMN($F$1),FALSE), "・", 0)) + 1), 0)+IF($CI383&lt;&gt;"",VLOOKUP($CI383,装強!$A$1:BG$1005,COLUMN(装強!BG$1),FALSE),0)</f>
        <v>0</v>
      </c>
      <c r="AM383">
        <f>IF(ISNUMBER(SEARCH(SUBSTITUTE(AM$1,RIGHT(AM$1,2),""),VLOOKUP($D383,素材!$1:$1016,COLUMN($F$1),FALSE))),VLOOKUP($C383,武器!$1:$998,COLUMN($O$1),FALSE)*VLOOKUP($D383,素材!$1:$1016,COLUMN($E$1),FALSE)/(LEN(VLOOKUP($D383,素材!$1:$1016,COLUMN($F$1),FALSE)) - LEN(SUBSTITUTE(VLOOKUP($D383,素材!$1:$1016,COLUMN($F$1),FALSE), "・", 0)) + 1), 0)+IF($CI383&lt;&gt;"",VLOOKUP($CI383,装強!$A$1:BH$1005,COLUMN(装強!BH$1),FALSE),0)</f>
        <v>0</v>
      </c>
      <c r="AN383">
        <f>IF(ISNUMBER(SEARCH(SUBSTITUTE(AN$1,RIGHT(AN$1,2),""),VLOOKUP($D383,素材!$1:$1016,COLUMN($F$1),FALSE))),VLOOKUP($C383,武器!$1:$998,COLUMN($O$1),FALSE)*VLOOKUP($D383,素材!$1:$1016,COLUMN($E$1),FALSE)/(LEN(VLOOKUP($D383,素材!$1:$1016,COLUMN($F$1),FALSE)) - LEN(SUBSTITUTE(VLOOKUP($D383,素材!$1:$1016,COLUMN($F$1),FALSE), "・", 0)) + 1), 0)+IF($CI383&lt;&gt;"",VLOOKUP($CI383,装強!$A$1:BI$1005,COLUMN(装強!BI$1),FALSE),0)</f>
        <v>0</v>
      </c>
      <c r="AO383">
        <f>IF(ISNUMBER(SEARCH(SUBSTITUTE(AO$1,RIGHT(AO$1,2),""),VLOOKUP($D383,素材!$1:$1016,COLUMN($F$1),FALSE))),VLOOKUP($C383,武器!$1:$998,COLUMN($O$1),FALSE)*VLOOKUP($D383,素材!$1:$1016,COLUMN($E$1),FALSE)/(LEN(VLOOKUP($D383,素材!$1:$1016,COLUMN($F$1),FALSE)) - LEN(SUBSTITUTE(VLOOKUP($D383,素材!$1:$1016,COLUMN($F$1),FALSE), "・", 0)) + 1), 0)+IF($CI383&lt;&gt;"",VLOOKUP($CI383,装強!$A$1:BK$1005,COLUMN(装強!BK$1),FALSE),0)</f>
        <v>0</v>
      </c>
      <c r="AP383">
        <f>IF(ISNUMBER(SEARCH(SUBSTITUTE(AP$1,RIGHT(AP$1,2),""),VLOOKUP($D383,素材!$1:$1016,COLUMN($F$1),FALSE))),VLOOKUP($C383,武器!$1:$998,COLUMN($O$1),FALSE)*VLOOKUP($D383,素材!$1:$1016,COLUMN($E$1),FALSE)/(LEN(VLOOKUP($D383,素材!$1:$1016,COLUMN($F$1),FALSE)) - LEN(SUBSTITUTE(VLOOKUP($D383,素材!$1:$1016,COLUMN($F$1),FALSE), "・", 0)) + 1), 0)+IF($CI383&lt;&gt;"",VLOOKUP($CI383,装強!$A$1:BL$1005,COLUMN(装強!BL$1),FALSE),0)</f>
        <v>0</v>
      </c>
      <c r="AQ383">
        <f>IF(ISNUMBER(SEARCH(SUBSTITUTE(AQ$1,RIGHT(AQ$1,2),""),VLOOKUP($D383,素材!$1:$1016,COLUMN($F$1),FALSE))),VLOOKUP($C383,武器!$1:$998,COLUMN($O$1),FALSE)*VLOOKUP($D383,素材!$1:$1016,COLUMN($E$1),FALSE)/(LEN(VLOOKUP($D383,素材!$1:$1016,COLUMN($F$1),FALSE)) - LEN(SUBSTITUTE(VLOOKUP($D383,素材!$1:$1016,COLUMN($F$1),FALSE), "・", 0)) + 1), 0)+IF($CI383&lt;&gt;"",VLOOKUP($CI383,装強!$A$1:BM$1005,COLUMN(装強!BM$1),FALSE),0)</f>
        <v>0</v>
      </c>
      <c r="AR383">
        <f>IF(ISNUMBER(SEARCH(SUBSTITUTE(AR$1,RIGHT(AR$1,2),""),VLOOKUP($D383,素材!$1:$1016,COLUMN($F$1),FALSE))),VLOOKUP($C383,武器!$1:$998,COLUMN($O$1),FALSE)*VLOOKUP($D383,素材!$1:$1016,COLUMN($E$1),FALSE)/(LEN(VLOOKUP($D383,素材!$1:$1016,COLUMN($F$1),FALSE)) - LEN(SUBSTITUTE(VLOOKUP($D383,素材!$1:$1016,COLUMN($F$1),FALSE), "・", 0)) + 1), 0)+IF($CI383&lt;&gt;"",VLOOKUP($CI383,装強!$A$1:BN$1005,COLUMN(装強!BN$1),FALSE),0)</f>
        <v>0</v>
      </c>
      <c r="AS383">
        <f>IF(ISNUMBER(SEARCH(SUBSTITUTE(AS$1,RIGHT(AS$1,2),""),VLOOKUP($D383,素材!$1:$1016,COLUMN($F$1),FALSE))),VLOOKUP($C383,武器!$1:$998,COLUMN($O$1),FALSE)*VLOOKUP($D383,素材!$1:$1016,COLUMN($E$1),FALSE)/(LEN(VLOOKUP($D383,素材!$1:$1016,COLUMN($F$1),FALSE)) - LEN(SUBSTITUTE(VLOOKUP($D383,素材!$1:$1016,COLUMN($F$1),FALSE), "・", 0)) + 1), 0)+IF($CI383&lt;&gt;"",VLOOKUP($CI383,装強!$A$1:BO$1005,COLUMN(装強!BO$1),FALSE),0)</f>
        <v>0</v>
      </c>
      <c r="AT383">
        <f>IF(ISNUMBER(SEARCH(SUBSTITUTE(AT$1,RIGHT(AT$1,2),""),VLOOKUP($D383,素材!$1:$1016,COLUMN($F$1),FALSE))),VLOOKUP($C383,武器!$1:$998,COLUMN($O$1),FALSE)*VLOOKUP($D383,素材!$1:$1016,COLUMN($E$1),FALSE)/(LEN(VLOOKUP($D383,素材!$1:$1016,COLUMN($F$1),FALSE)) - LEN(SUBSTITUTE(VLOOKUP($D383,素材!$1:$1016,COLUMN($F$1),FALSE), "・", 0)) + 1), 0)+IF($CI383&lt;&gt;"",VLOOKUP($CI383,装強!$A$1:BP$1005,COLUMN(装強!BP$1),FALSE),0)</f>
        <v>0</v>
      </c>
      <c r="AU383">
        <f>IF(ISNUMBER(SEARCH(SUBSTITUTE(AU$1,RIGHT(AU$1,2),""),VLOOKUP($D383,素材!$1:$1016,COLUMN($F$1),FALSE))),VLOOKUP($C383,武器!$1:$998,COLUMN($O$1),FALSE)*VLOOKUP($D383,素材!$1:$1016,COLUMN($E$1),FALSE)/(LEN(VLOOKUP($D383,素材!$1:$1016,COLUMN($F$1),FALSE)) - LEN(SUBSTITUTE(VLOOKUP($D383,素材!$1:$1016,COLUMN($F$1),FALSE), "・", 0)) + 1), 0)+IF($CI383&lt;&gt;"",VLOOKUP($CI383,装強!$A$1:BQ$1005,COLUMN(装強!BQ$1),FALSE),0)</f>
        <v>0</v>
      </c>
      <c r="AV383">
        <f>IF(ISNUMBER(SEARCH(SUBSTITUTE(AV$1,RIGHT(AV$1,2),""),VLOOKUP($D383,素材!$1:$1016,COLUMN($F$1),FALSE))),VLOOKUP($C383,武器!$1:$998,COLUMN($O$1),FALSE)*VLOOKUP($D383,素材!$1:$1016,COLUMN($E$1),FALSE)/(LEN(VLOOKUP($D383,素材!$1:$1016,COLUMN($F$1),FALSE)) - LEN(SUBSTITUTE(VLOOKUP($D383,素材!$1:$1016,COLUMN($F$1),FALSE), "・", 0)) + 1), 0)+IF($CI383&lt;&gt;"",VLOOKUP($CI383,装強!$A$1:BR$1005,COLUMN(装強!BR$1),FALSE),0)</f>
        <v>0</v>
      </c>
      <c r="AW383">
        <f>IF(ISNUMBER(SEARCH(SUBSTITUTE(AW$1,RIGHT(AW$1,2),""),VLOOKUP($D383,素材!$1:$1016,COLUMN($F$1),FALSE))),VLOOKUP($C383,武器!$1:$998,COLUMN($O$1),FALSE)*VLOOKUP($D383,素材!$1:$1016,COLUMN($E$1),FALSE)/(LEN(VLOOKUP($D383,素材!$1:$1016,COLUMN($F$1),FALSE)) - LEN(SUBSTITUTE(VLOOKUP($D383,素材!$1:$1016,COLUMN($F$1),FALSE), "・", 0)) + 1), 0)+IF($CI383&lt;&gt;"",VLOOKUP($CI383,装強!$A$1:BS$1005,COLUMN(装強!BS$1),FALSE),0)</f>
        <v>0</v>
      </c>
      <c r="AX383">
        <f>IF(ISNUMBER(SEARCH(SUBSTITUTE(AX$1,RIGHT(AX$1,2),""),VLOOKUP($D383,素材!$1:$1016,COLUMN($F$1),FALSE))),VLOOKUP($C383,武器!$1:$998,COLUMN($O$1),FALSE)*VLOOKUP($D383,素材!$1:$1016,COLUMN($E$1),FALSE)/(LEN(VLOOKUP($D383,素材!$1:$1016,COLUMN($F$1),FALSE)) - LEN(SUBSTITUTE(VLOOKUP($D383,素材!$1:$1016,COLUMN($F$1),FALSE), "・", 0)) + 1), 0)+IF($CI383&lt;&gt;"",VLOOKUP($CI383,装強!$A$1:BT$1005,COLUMN(装強!BT$1),FALSE),0)</f>
        <v>0</v>
      </c>
      <c r="AY383">
        <f>IF(ISNUMBER(SEARCH(SUBSTITUTE(AY$1,RIGHT(AY$1,2),""),VLOOKUP($D383,素材!$1:$1016,COLUMN($F$1),FALSE))),VLOOKUP($C383,武器!$1:$998,COLUMN($O$1),FALSE)*VLOOKUP($D383,素材!$1:$1016,COLUMN($E$1),FALSE)/(LEN(VLOOKUP($D383,素材!$1:$1016,COLUMN($F$1),FALSE)) - LEN(SUBSTITUTE(VLOOKUP($D383,素材!$1:$1016,COLUMN($F$1),FALSE), "・", 0)) + 1), 0)+IF($CI383&lt;&gt;"",VLOOKUP($CI383,装強!$A$1:BU$1005,COLUMN(装強!BU$1),FALSE),0)</f>
        <v>0</v>
      </c>
      <c r="AZ383">
        <f>IF(ISNUMBER(SEARCH(SUBSTITUTE(AZ$1,RIGHT(AZ$1,2),""),VLOOKUP($D383,素材!$1:$1016,COLUMN($F$1),FALSE))),VLOOKUP($C383,武器!$1:$998,COLUMN($O$1),FALSE)*VLOOKUP($D383,素材!$1:$1016,COLUMN($E$1),FALSE)/(LEN(VLOOKUP($D383,素材!$1:$1016,COLUMN($F$1),FALSE)) - LEN(SUBSTITUTE(VLOOKUP($D383,素材!$1:$1016,COLUMN($F$1),FALSE), "・", 0)) + 1), 0)+IF($CI383&lt;&gt;"",VLOOKUP($CI383,装強!$A$1:BV$1005,COLUMN(装強!BV$1),FALSE),0)</f>
        <v>0</v>
      </c>
      <c r="BA383">
        <f>IF(ISNUMBER(SEARCH(SUBSTITUTE(BA$1,RIGHT(BA$1,2),""),VLOOKUP($D383,素材!$1:$1016,COLUMN($F$1),FALSE))),VLOOKUP($C383,武器!$1:$998,COLUMN($O$1),FALSE)*VLOOKUP($D383,素材!$1:$1016,COLUMN($E$1),FALSE)/(LEN(VLOOKUP($D383,素材!$1:$1016,COLUMN($F$1),FALSE)) - LEN(SUBSTITUTE(VLOOKUP($D383,素材!$1:$1016,COLUMN($F$1),FALSE), "・", 0)) + 1), 0)+IF($CI383&lt;&gt;"",VLOOKUP($CI383,装強!$A$1:BW$1005,COLUMN(装強!BW$1),FALSE),0)</f>
        <v>0</v>
      </c>
      <c r="BB383">
        <f>IF(ISNUMBER(SEARCH(SUBSTITUTE(BB$1,RIGHT(BB$1,2),""),VLOOKUP($D383,素材!$1:$1016,COLUMN($F$1),FALSE))),VLOOKUP($C383,武器!$1:$998,COLUMN($O$1),FALSE)*VLOOKUP($D383,素材!$1:$1016,COLUMN($E$1),FALSE)/(LEN(VLOOKUP($D383,素材!$1:$1016,COLUMN($F$1),FALSE)) - LEN(SUBSTITUTE(VLOOKUP($D383,素材!$1:$1016,COLUMN($F$1),FALSE), "・", 0)) + 1), 0)+IF($CI383&lt;&gt;"",VLOOKUP($CI383,装強!$A$1:BX$1005,COLUMN(装強!BX$1),FALSE),0)</f>
        <v>0</v>
      </c>
      <c r="BC383">
        <f>IF(ISNUMBER(SEARCH(SUBSTITUTE(BC$1,RIGHT(BC$1,2),""),VLOOKUP($D383,素材!$1:$1016,COLUMN($F$1),FALSE))),VLOOKUP($C383,武器!$1:$998,COLUMN($O$1),FALSE)*VLOOKUP($D383,素材!$1:$1016,COLUMN($E$1),FALSE)/(LEN(VLOOKUP($D383,素材!$1:$1016,COLUMN($F$1),FALSE)) - LEN(SUBSTITUTE(VLOOKUP($D383,素材!$1:$1016,COLUMN($F$1),FALSE), "・", 0)) + 1), 0)+IF($CI383&lt;&gt;"",VLOOKUP($CI383,装強!$A$1:BY$1005,COLUMN(装強!BY$1),FALSE),0)</f>
        <v>0</v>
      </c>
      <c r="BD383">
        <f>IF(ISNUMBER(SEARCH(SUBSTITUTE(BD$1,RIGHT(BD$1,2),""),VLOOKUP($D383,素材!$1:$1016,COLUMN($F$1),FALSE))),VLOOKUP($C383,武器!$1:$998,COLUMN($O$1),FALSE)*VLOOKUP($D383,素材!$1:$1016,COLUMN($E$1),FALSE)/(LEN(VLOOKUP($D383,素材!$1:$1016,COLUMN($F$1),FALSE)) - LEN(SUBSTITUTE(VLOOKUP($D383,素材!$1:$1016,COLUMN($F$1),FALSE), "・", 0)) + 1), 0)+IF($CI383&lt;&gt;"",VLOOKUP($CI383,装強!$A$1:BZ$1005,COLUMN(装強!BZ$1),FALSE),0)</f>
        <v>0</v>
      </c>
      <c r="BE383">
        <f>IF(ISNUMBER(SEARCH(SUBSTITUTE(BE$1,RIGHT(BE$1,2),""),VLOOKUP($D383,素材!$1:$1016,COLUMN($F$1),FALSE))),VLOOKUP($C383,武器!$1:$998,COLUMN($O$1),FALSE)*VLOOKUP($D383,素材!$1:$1016,COLUMN($E$1),FALSE)/(LEN(VLOOKUP($D383,素材!$1:$1016,COLUMN($F$1),FALSE)) - LEN(SUBSTITUTE(VLOOKUP($D383,素材!$1:$1016,COLUMN($F$1),FALSE), "・", 0)) + 1), 0)+IF($CI383&lt;&gt;"",VLOOKUP($CI383,装強!$A$1:CA$1005,COLUMN(装強!CA$1),FALSE),0)</f>
        <v>0</v>
      </c>
      <c r="CL383">
        <f>SUM(G383:I383)</f>
        <v>0</v>
      </c>
      <c r="CM383" s="22" t="str">
        <f>IF(E383="武器",IF(J383-1&gt;SUM(G383:I383),"盾",IF(MAX(G383:I383)=G383,"切断",IF(MAX(G383:I383)=H383,"貫通",IF(MAX(G383:I383)=I383,"打撃","射撃")))),E383)&amp;".webp"</f>
        <v>.webp</v>
      </c>
      <c r="CN383" t="str">
        <f>IFERROR(VLOOKUP($C383,武器!$1:$998,COLUMN(V$1),FALSE)*VLOOKUP($D383,素材!$1:$1016,COLUMN(N$1),FALSE)+IF(CI383="",0,VLOOKUP($CI383,装強!$1:$1008,COLUMN($CK$1),FALSE)),"")</f>
        <v/>
      </c>
      <c r="CO383" t="e">
        <f>VLOOKUP(D383,素材!$A:$O,COLUMN(素材!O$1),FALSE)</f>
        <v>#N/A</v>
      </c>
      <c r="CP383" t="e">
        <f>VLOOKUP(C383,武器!$A:$W,COLUMN(武器!W$1),FALSE)</f>
        <v>#N/A</v>
      </c>
      <c r="CR383" t="str">
        <f t="shared" si="39"/>
        <v>e_383</v>
      </c>
      <c r="CS383" t="e">
        <f t="shared" si="41"/>
        <v>#VALUE!</v>
      </c>
    </row>
    <row r="384" spans="1:97" x14ac:dyDescent="0.4">
      <c r="B384" t="str">
        <f>IFERROR(VLOOKUP($D384,素材!$1:$1016,COLUMN($B$1),FALSE)&amp;"・"&amp;VLOOKUP($C384,武器!$1:$998,COLUMN(B$1),FALSE),"")</f>
        <v/>
      </c>
      <c r="D384" s="24"/>
      <c r="E384" t="str">
        <f>IFERROR(VLOOKUP(C384,武器!$1:$998,COLUMN(C$1),FALSE),"")</f>
        <v/>
      </c>
      <c r="F384" t="str">
        <f>IFERROR(ROUNDDOWN((VLOOKUP($C384,武器!$1:$998,COLUMN(D$1),FALSE)+IFERROR(VLOOKUP($CI384,装強!$1:$999,COLUMN(F$1),FALSE),0))*VLOOKUP($D384,素材!$1:$1016,COLUMN(D$1),FALSE),0),"")</f>
        <v/>
      </c>
      <c r="G384" t="str">
        <f>IFERROR(ROUNDDOWN((VLOOKUP($C384,武器!$1:$998,COLUMN(E$1),FALSE)+IFERROR(VLOOKUP($CI384,装強!$1:$999,COLUMN(G$1),FALSE),0))*VLOOKUP($D384,素材!$1:$1016,COLUMN($E$1),FALSE),0),"")</f>
        <v/>
      </c>
      <c r="H384" t="str">
        <f>IFERROR(ROUNDDOWN((VLOOKUP($C384,武器!$1:$998,COLUMN(F$1),FALSE)+IFERROR(VLOOKUP($CI384,装強!$1:$999,COLUMN(H$1),FALSE),0))*VLOOKUP($D384,素材!$1:$1016,COLUMN($E$1),FALSE),0),"")</f>
        <v/>
      </c>
      <c r="I384" t="str">
        <f>IFERROR(ROUNDDOWN((VLOOKUP($C384,武器!$1:$998,COLUMN(G$1),FALSE)+IFERROR(VLOOKUP($CI384,装強!$1:$999,COLUMN(I$1),FALSE),0))*VLOOKUP($D384,素材!$1:$1016,COLUMN($E$1),FALSE),0),"")</f>
        <v/>
      </c>
      <c r="J384" t="str">
        <f>IFERROR(ROUNDDOWN((VLOOKUP($C384,武器!$1:$998,COLUMN(H$1),FALSE)+IFERROR(VLOOKUP($CI384,装強!$1:$999,COLUMN(J$1),FALSE),0))*VLOOKUP($D384,素材!$1:$1016,COLUMN($E$1),FALSE),0),"")</f>
        <v/>
      </c>
      <c r="K384" t="str">
        <f>IFERROR(ROUNDDOWN((VLOOKUP($C384,武器!$1:$998,COLUMN(I$1),FALSE)+IFERROR(VLOOKUP($CI384,装強!$1:$999,COLUMN(K$1),FALSE),0))*VLOOKUP($D384,素材!$1:$1016,COLUMN($E$1),FALSE),0),"")</f>
        <v/>
      </c>
      <c r="L384" t="str">
        <f>IFERROR(VLOOKUP($D384,素材!$1:$1016,COLUMN($F$1),FALSE),"")</f>
        <v/>
      </c>
      <c r="M384" t="str">
        <f>IFERROR(VLOOKUP($C384,武器!$1:$998,COLUMN(AA$1),FALSE)*VLOOKUP($D384,素材!$1:$1016,COLUMN($G$1),FALSE),"")</f>
        <v/>
      </c>
      <c r="N384" t="str">
        <f>IFERROR(VLOOKUP($C384,武器!$1:$998,COLUMN(I$1),FALSE),"")</f>
        <v/>
      </c>
      <c r="O384" s="23" t="str">
        <f>IFERROR((VLOOKUP($C384,武器!$1:$998,COLUMN(K$1),FALSE)+VLOOKUP($D384,素材!$1:$1016,COLUMN(H$1),FALSE))*100+IFERROR(VLOOKUP($CI384,装強!$1:$999,COLUMN(O$1),FALSE),0),"")</f>
        <v/>
      </c>
      <c r="P384" s="23" t="str">
        <f>IFERROR((VLOOKUP($C384,武器!$1:$998,COLUMN(L$1),FALSE)+VLOOKUP($D384,素材!$1:$1016,COLUMN(I$1),FALSE))*100+IFERROR(VLOOKUP($CI384,装強!$1:$999,COLUMN(P$1),FALSE),0),"")</f>
        <v/>
      </c>
      <c r="Q384" t="str">
        <f>IFERROR(ROUNDUP(VLOOKUP($C384,武器!$1:$998,COLUMN(M$1),FALSE)*(VLOOKUP($D384,素材!$1:$1002,COLUMN(D$1),FALSE)/100),1),"")</f>
        <v/>
      </c>
      <c r="R384" t="str">
        <f>IFERROR(ROUNDUP(VLOOKUP($C384,武器!$1:$998,COLUMN(N$1),FALSE)*(VLOOKUP($D384,素材!$1:$1002,COLUMN(D$1),FALSE)/100),1),"")</f>
        <v/>
      </c>
      <c r="S384" t="str">
        <f>IFERROR(VLOOKUP($C384,武器!$1:$998,COLUMN(P$1),FALSE),"")</f>
        <v/>
      </c>
      <c r="T384" t="str">
        <f>IFERROR(VLOOKUP($C384,武器!$1:$998,COLUMN(Q$1),FALSE),"")</f>
        <v/>
      </c>
      <c r="U384" t="str">
        <f>IFERROR(VLOOKUP($C384,武器!$1:$998,COLUMN(R$1),FALSE),"")</f>
        <v/>
      </c>
      <c r="V384" t="str">
        <f>IFERROR(VLOOKUP($C384,武器!$1:$998,COLUMN(Q$1),FALSE),"")</f>
        <v/>
      </c>
      <c r="W384" t="str">
        <f>IFERROR(VLOOKUP($C384,武器!$1:$998,COLUMN(T$1),FALSE),"")</f>
        <v/>
      </c>
      <c r="Y384" t="str">
        <f>IFERROR(VLOOKUP($C384,武器!$1:$998,COLUMN(U$1),FALSE),"")</f>
        <v/>
      </c>
      <c r="Z384" t="str">
        <f>IFERROR(ROUNDUP(VLOOKUP($C384,武器!$1:$998,COLUMN(O$1),FALSE)*VLOOKUP($D384,素材!$1:$1016,COLUMN(E$1),FALSE),1),"")</f>
        <v/>
      </c>
      <c r="AA384">
        <f>IF(ISNUMBER(SEARCH(SUBSTITUTE(AA$1,RIGHT(AA$1,2),""),VLOOKUP($D384,素材!$1:$1016,COLUMN($F$1),FALSE))),VLOOKUP($C384,武器!$1:$998,COLUMN($O$1),FALSE)*VLOOKUP($D384,素材!$1:$1016,COLUMN($E$1),FALSE)/(LEN(VLOOKUP($D384,素材!$1:$1016,COLUMN($F$1),FALSE)) - LEN(SUBSTITUTE(VLOOKUP($D384,素材!$1:$1016,COLUMN($F$1),FALSE), "・", 0)) + 1), 0)</f>
        <v>0</v>
      </c>
      <c r="AB384">
        <f>IF(ISNUMBER(SEARCH(SUBSTITUTE(AB$1,RIGHT(AB$1,2),""),VLOOKUP($D384,素材!$1:$1016,COLUMN($F$1),FALSE))),VLOOKUP($C384,武器!$1:$998,COLUMN($O$1),FALSE)*VLOOKUP($D384,素材!$1:$1016,COLUMN($E$1),FALSE)/(LEN(VLOOKUP($D384,素材!$1:$1016,COLUMN($F$1),FALSE)) - LEN(SUBSTITUTE(VLOOKUP($D384,素材!$1:$1016,COLUMN($F$1),FALSE), "・", 0)) + 1), 0)</f>
        <v>0</v>
      </c>
      <c r="AC384">
        <f>IF(ISNUMBER(SEARCH(SUBSTITUTE(AC$1,RIGHT(AC$1,2),""),VLOOKUP($D384,素材!$1:$1016,COLUMN($F$1),FALSE))),VLOOKUP($C384,武器!$1:$998,COLUMN($O$1),FALSE)*VLOOKUP($D384,素材!$1:$1016,COLUMN($E$1),FALSE)/(LEN(VLOOKUP($D384,素材!$1:$1016,COLUMN($F$1),FALSE)) - LEN(SUBSTITUTE(VLOOKUP($D384,素材!$1:$1016,COLUMN($F$1),FALSE), "・", 0)) + 1), 0)</f>
        <v>0</v>
      </c>
      <c r="AD384">
        <f>IF(ISNUMBER(SEARCH(SUBSTITUTE(AD$1,RIGHT(AD$1,2),""),VLOOKUP($D384,素材!$1:$1016,COLUMN($F$1),FALSE))),VLOOKUP($C384,武器!$1:$998,COLUMN($O$1),FALSE)*VLOOKUP($D384,素材!$1:$1016,COLUMN($E$1),FALSE)/(LEN(VLOOKUP($D384,素材!$1:$1016,COLUMN($F$1),FALSE)) - LEN(SUBSTITUTE(VLOOKUP($D384,素材!$1:$1016,COLUMN($F$1),FALSE), "・", 0)) + 1), 0)</f>
        <v>0</v>
      </c>
      <c r="AE384">
        <f>IF(ISNUMBER(SEARCH(SUBSTITUTE(AE$1,RIGHT(AE$1,2),""),VLOOKUP($D384,素材!$1:$1016,COLUMN($F$1),FALSE))),VLOOKUP($C384,武器!$1:$998,COLUMN($O$1),FALSE)*VLOOKUP($D384,素材!$1:$1016,COLUMN($E$1),FALSE)/(LEN(VLOOKUP($D384,素材!$1:$1016,COLUMN($F$1),FALSE)) - LEN(SUBSTITUTE(VLOOKUP($D384,素材!$1:$1016,COLUMN($F$1),FALSE), "・", 0)) + 1), 0)+IF($CI384&lt;&gt;"",VLOOKUP($CI384,装強!$A$1:AZ$1005,COLUMN(装強!AZ$1),FALSE),0)</f>
        <v>0</v>
      </c>
      <c r="AF384">
        <f>IF(ISNUMBER(SEARCH(SUBSTITUTE(AF$1,RIGHT(AF$1,2),""),VLOOKUP($D384,素材!$1:$1016,COLUMN($F$1),FALSE))),VLOOKUP($C384,武器!$1:$998,COLUMN($O$1),FALSE)*VLOOKUP($D384,素材!$1:$1016,COLUMN($E$1),FALSE)/(LEN(VLOOKUP($D384,素材!$1:$1016,COLUMN($F$1),FALSE)) - LEN(SUBSTITUTE(VLOOKUP($D384,素材!$1:$1016,COLUMN($F$1),FALSE), "・", 0)) + 1), 0)+IF($CI384&lt;&gt;"",VLOOKUP($CI384,装強!$A$1:BA$1005,COLUMN(装強!BA$1),FALSE),0)</f>
        <v>0</v>
      </c>
      <c r="AG384">
        <f>IF(ISNUMBER(SEARCH(SUBSTITUTE(AG$1,RIGHT(AG$1,2),""),VLOOKUP($D384,素材!$1:$1016,COLUMN($F$1),FALSE))),VLOOKUP($C384,武器!$1:$998,COLUMN($O$1),FALSE)*VLOOKUP($D384,素材!$1:$1016,COLUMN($E$1),FALSE)/(LEN(VLOOKUP($D384,素材!$1:$1016,COLUMN($F$1),FALSE)) - LEN(SUBSTITUTE(VLOOKUP($D384,素材!$1:$1016,COLUMN($F$1),FALSE), "・", 0)) + 1), 0)+IF($CI384&lt;&gt;"",VLOOKUP($CI384,装強!$A$1:BB$1005,COLUMN(装強!BB$1),FALSE),0)</f>
        <v>0</v>
      </c>
      <c r="AH384">
        <f>IF(ISNUMBER(SEARCH(SUBSTITUTE(AH$1,RIGHT(AH$1,2),""),VLOOKUP($D384,素材!$1:$1016,COLUMN($F$1),FALSE))),VLOOKUP($C384,武器!$1:$998,COLUMN($O$1),FALSE)*VLOOKUP($D384,素材!$1:$1016,COLUMN($E$1),FALSE)/(LEN(VLOOKUP($D384,素材!$1:$1016,COLUMN($F$1),FALSE)) - LEN(SUBSTITUTE(VLOOKUP($D384,素材!$1:$1016,COLUMN($F$1),FALSE), "・", 0)) + 1), 0)+IF($CI384&lt;&gt;"",VLOOKUP($CI384,装強!$A$1:BC$1005,COLUMN(装強!BC$1),FALSE),0)</f>
        <v>0</v>
      </c>
      <c r="AI384">
        <f>IF(ISNUMBER(SEARCH(SUBSTITUTE(AI$1,RIGHT(AI$1,2),""),VLOOKUP($D384,素材!$1:$1016,COLUMN($F$1),FALSE))),VLOOKUP($C384,武器!$1:$998,COLUMN($O$1),FALSE)*VLOOKUP($D384,素材!$1:$1016,COLUMN($E$1),FALSE)/(LEN(VLOOKUP($D384,素材!$1:$1016,COLUMN($F$1),FALSE)) - LEN(SUBSTITUTE(VLOOKUP($D384,素材!$1:$1016,COLUMN($F$1),FALSE), "・", 0)) + 1), 0)+IF($CI384&lt;&gt;"",VLOOKUP($CI384,装強!$A$1:BD$1005,COLUMN(装強!BD$1),FALSE),0)</f>
        <v>0</v>
      </c>
      <c r="AJ384">
        <f>IF(ISNUMBER(SEARCH(SUBSTITUTE(AJ$1,RIGHT(AJ$1,2),""),VLOOKUP($D384,素材!$1:$1016,COLUMN($F$1),FALSE))),VLOOKUP($C384,武器!$1:$998,COLUMN($O$1),FALSE)*VLOOKUP($D384,素材!$1:$1016,COLUMN($E$1),FALSE)/(LEN(VLOOKUP($D384,素材!$1:$1016,COLUMN($F$1),FALSE)) - LEN(SUBSTITUTE(VLOOKUP($D384,素材!$1:$1016,COLUMN($F$1),FALSE), "・", 0)) + 1), 0)+IF($CI384&lt;&gt;"",VLOOKUP($CI384,装強!$A$1:BE$1005,COLUMN(装強!BE$1),FALSE),0)</f>
        <v>0</v>
      </c>
      <c r="AK384">
        <f>IF(ISNUMBER(SEARCH(SUBSTITUTE(AK$1,RIGHT(AK$1,2),""),VLOOKUP($D384,素材!$1:$1016,COLUMN($F$1),FALSE))),VLOOKUP($C384,武器!$1:$998,COLUMN($O$1),FALSE)*VLOOKUP($D384,素材!$1:$1016,COLUMN($E$1),FALSE)/(LEN(VLOOKUP($D384,素材!$1:$1016,COLUMN($F$1),FALSE)) - LEN(SUBSTITUTE(VLOOKUP($D384,素材!$1:$1016,COLUMN($F$1),FALSE), "・", 0)) + 1), 0)+IF($CI384&lt;&gt;"",VLOOKUP($CI384,装強!$A$1:BF$1005,COLUMN(装強!BF$1),FALSE),0)</f>
        <v>0</v>
      </c>
      <c r="AL384">
        <f>IF(ISNUMBER(SEARCH(SUBSTITUTE(AL$1,RIGHT(AL$1,2),""),VLOOKUP($D384,素材!$1:$1016,COLUMN($F$1),FALSE))),VLOOKUP($C384,武器!$1:$998,COLUMN($O$1),FALSE)*VLOOKUP($D384,素材!$1:$1016,COLUMN($E$1),FALSE)/(LEN(VLOOKUP($D384,素材!$1:$1016,COLUMN($F$1),FALSE)) - LEN(SUBSTITUTE(VLOOKUP($D384,素材!$1:$1016,COLUMN($F$1),FALSE), "・", 0)) + 1), 0)+IF($CI384&lt;&gt;"",VLOOKUP($CI384,装強!$A$1:BG$1005,COLUMN(装強!BG$1),FALSE),0)</f>
        <v>0</v>
      </c>
      <c r="AM384">
        <f>IF(ISNUMBER(SEARCH(SUBSTITUTE(AM$1,RIGHT(AM$1,2),""),VLOOKUP($D384,素材!$1:$1016,COLUMN($F$1),FALSE))),VLOOKUP($C384,武器!$1:$998,COLUMN($O$1),FALSE)*VLOOKUP($D384,素材!$1:$1016,COLUMN($E$1),FALSE)/(LEN(VLOOKUP($D384,素材!$1:$1016,COLUMN($F$1),FALSE)) - LEN(SUBSTITUTE(VLOOKUP($D384,素材!$1:$1016,COLUMN($F$1),FALSE), "・", 0)) + 1), 0)+IF($CI384&lt;&gt;"",VLOOKUP($CI384,装強!$A$1:BH$1005,COLUMN(装強!BH$1),FALSE),0)</f>
        <v>0</v>
      </c>
      <c r="AN384">
        <f>IF(ISNUMBER(SEARCH(SUBSTITUTE(AN$1,RIGHT(AN$1,2),""),VLOOKUP($D384,素材!$1:$1016,COLUMN($F$1),FALSE))),VLOOKUP($C384,武器!$1:$998,COLUMN($O$1),FALSE)*VLOOKUP($D384,素材!$1:$1016,COLUMN($E$1),FALSE)/(LEN(VLOOKUP($D384,素材!$1:$1016,COLUMN($F$1),FALSE)) - LEN(SUBSTITUTE(VLOOKUP($D384,素材!$1:$1016,COLUMN($F$1),FALSE), "・", 0)) + 1), 0)+IF($CI384&lt;&gt;"",VLOOKUP($CI384,装強!$A$1:BI$1005,COLUMN(装強!BI$1),FALSE),0)</f>
        <v>0</v>
      </c>
      <c r="AO384">
        <f>IF(ISNUMBER(SEARCH(SUBSTITUTE(AO$1,RIGHT(AO$1,2),""),VLOOKUP($D384,素材!$1:$1016,COLUMN($F$1),FALSE))),VLOOKUP($C384,武器!$1:$998,COLUMN($O$1),FALSE)*VLOOKUP($D384,素材!$1:$1016,COLUMN($E$1),FALSE)/(LEN(VLOOKUP($D384,素材!$1:$1016,COLUMN($F$1),FALSE)) - LEN(SUBSTITUTE(VLOOKUP($D384,素材!$1:$1016,COLUMN($F$1),FALSE), "・", 0)) + 1), 0)+IF($CI384&lt;&gt;"",VLOOKUP($CI384,装強!$A$1:BK$1005,COLUMN(装強!BK$1),FALSE),0)</f>
        <v>0</v>
      </c>
      <c r="AP384">
        <f>IF(ISNUMBER(SEARCH(SUBSTITUTE(AP$1,RIGHT(AP$1,2),""),VLOOKUP($D384,素材!$1:$1016,COLUMN($F$1),FALSE))),VLOOKUP($C384,武器!$1:$998,COLUMN($O$1),FALSE)*VLOOKUP($D384,素材!$1:$1016,COLUMN($E$1),FALSE)/(LEN(VLOOKUP($D384,素材!$1:$1016,COLUMN($F$1),FALSE)) - LEN(SUBSTITUTE(VLOOKUP($D384,素材!$1:$1016,COLUMN($F$1),FALSE), "・", 0)) + 1), 0)+IF($CI384&lt;&gt;"",VLOOKUP($CI384,装強!$A$1:BL$1005,COLUMN(装強!BL$1),FALSE),0)</f>
        <v>0</v>
      </c>
      <c r="AQ384">
        <f>IF(ISNUMBER(SEARCH(SUBSTITUTE(AQ$1,RIGHT(AQ$1,2),""),VLOOKUP($D384,素材!$1:$1016,COLUMN($F$1),FALSE))),VLOOKUP($C384,武器!$1:$998,COLUMN($O$1),FALSE)*VLOOKUP($D384,素材!$1:$1016,COLUMN($E$1),FALSE)/(LEN(VLOOKUP($D384,素材!$1:$1016,COLUMN($F$1),FALSE)) - LEN(SUBSTITUTE(VLOOKUP($D384,素材!$1:$1016,COLUMN($F$1),FALSE), "・", 0)) + 1), 0)+IF($CI384&lt;&gt;"",VLOOKUP($CI384,装強!$A$1:BM$1005,COLUMN(装強!BM$1),FALSE),0)</f>
        <v>0</v>
      </c>
      <c r="AR384">
        <f>IF(ISNUMBER(SEARCH(SUBSTITUTE(AR$1,RIGHT(AR$1,2),""),VLOOKUP($D384,素材!$1:$1016,COLUMN($F$1),FALSE))),VLOOKUP($C384,武器!$1:$998,COLUMN($O$1),FALSE)*VLOOKUP($D384,素材!$1:$1016,COLUMN($E$1),FALSE)/(LEN(VLOOKUP($D384,素材!$1:$1016,COLUMN($F$1),FALSE)) - LEN(SUBSTITUTE(VLOOKUP($D384,素材!$1:$1016,COLUMN($F$1),FALSE), "・", 0)) + 1), 0)+IF($CI384&lt;&gt;"",VLOOKUP($CI384,装強!$A$1:BN$1005,COLUMN(装強!BN$1),FALSE),0)</f>
        <v>0</v>
      </c>
      <c r="AS384">
        <f>IF(ISNUMBER(SEARCH(SUBSTITUTE(AS$1,RIGHT(AS$1,2),""),VLOOKUP($D384,素材!$1:$1016,COLUMN($F$1),FALSE))),VLOOKUP($C384,武器!$1:$998,COLUMN($O$1),FALSE)*VLOOKUP($D384,素材!$1:$1016,COLUMN($E$1),FALSE)/(LEN(VLOOKUP($D384,素材!$1:$1016,COLUMN($F$1),FALSE)) - LEN(SUBSTITUTE(VLOOKUP($D384,素材!$1:$1016,COLUMN($F$1),FALSE), "・", 0)) + 1), 0)+IF($CI384&lt;&gt;"",VLOOKUP($CI384,装強!$A$1:BO$1005,COLUMN(装強!BO$1),FALSE),0)</f>
        <v>0</v>
      </c>
      <c r="AT384">
        <f>IF(ISNUMBER(SEARCH(SUBSTITUTE(AT$1,RIGHT(AT$1,2),""),VLOOKUP($D384,素材!$1:$1016,COLUMN($F$1),FALSE))),VLOOKUP($C384,武器!$1:$998,COLUMN($O$1),FALSE)*VLOOKUP($D384,素材!$1:$1016,COLUMN($E$1),FALSE)/(LEN(VLOOKUP($D384,素材!$1:$1016,COLUMN($F$1),FALSE)) - LEN(SUBSTITUTE(VLOOKUP($D384,素材!$1:$1016,COLUMN($F$1),FALSE), "・", 0)) + 1), 0)+IF($CI384&lt;&gt;"",VLOOKUP($CI384,装強!$A$1:BP$1005,COLUMN(装強!BP$1),FALSE),0)</f>
        <v>0</v>
      </c>
      <c r="AU384">
        <f>IF(ISNUMBER(SEARCH(SUBSTITUTE(AU$1,RIGHT(AU$1,2),""),VLOOKUP($D384,素材!$1:$1016,COLUMN($F$1),FALSE))),VLOOKUP($C384,武器!$1:$998,COLUMN($O$1),FALSE)*VLOOKUP($D384,素材!$1:$1016,COLUMN($E$1),FALSE)/(LEN(VLOOKUP($D384,素材!$1:$1016,COLUMN($F$1),FALSE)) - LEN(SUBSTITUTE(VLOOKUP($D384,素材!$1:$1016,COLUMN($F$1),FALSE), "・", 0)) + 1), 0)+IF($CI384&lt;&gt;"",VLOOKUP($CI384,装強!$A$1:BQ$1005,COLUMN(装強!BQ$1),FALSE),0)</f>
        <v>0</v>
      </c>
      <c r="AV384">
        <f>IF(ISNUMBER(SEARCH(SUBSTITUTE(AV$1,RIGHT(AV$1,2),""),VLOOKUP($D384,素材!$1:$1016,COLUMN($F$1),FALSE))),VLOOKUP($C384,武器!$1:$998,COLUMN($O$1),FALSE)*VLOOKUP($D384,素材!$1:$1016,COLUMN($E$1),FALSE)/(LEN(VLOOKUP($D384,素材!$1:$1016,COLUMN($F$1),FALSE)) - LEN(SUBSTITUTE(VLOOKUP($D384,素材!$1:$1016,COLUMN($F$1),FALSE), "・", 0)) + 1), 0)+IF($CI384&lt;&gt;"",VLOOKUP($CI384,装強!$A$1:BR$1005,COLUMN(装強!BR$1),FALSE),0)</f>
        <v>0</v>
      </c>
      <c r="AW384">
        <f>IF(ISNUMBER(SEARCH(SUBSTITUTE(AW$1,RIGHT(AW$1,2),""),VLOOKUP($D384,素材!$1:$1016,COLUMN($F$1),FALSE))),VLOOKUP($C384,武器!$1:$998,COLUMN($O$1),FALSE)*VLOOKUP($D384,素材!$1:$1016,COLUMN($E$1),FALSE)/(LEN(VLOOKUP($D384,素材!$1:$1016,COLUMN($F$1),FALSE)) - LEN(SUBSTITUTE(VLOOKUP($D384,素材!$1:$1016,COLUMN($F$1),FALSE), "・", 0)) + 1), 0)+IF($CI384&lt;&gt;"",VLOOKUP($CI384,装強!$A$1:BS$1005,COLUMN(装強!BS$1),FALSE),0)</f>
        <v>0</v>
      </c>
      <c r="AX384">
        <f>IF(ISNUMBER(SEARCH(SUBSTITUTE(AX$1,RIGHT(AX$1,2),""),VLOOKUP($D384,素材!$1:$1016,COLUMN($F$1),FALSE))),VLOOKUP($C384,武器!$1:$998,COLUMN($O$1),FALSE)*VLOOKUP($D384,素材!$1:$1016,COLUMN($E$1),FALSE)/(LEN(VLOOKUP($D384,素材!$1:$1016,COLUMN($F$1),FALSE)) - LEN(SUBSTITUTE(VLOOKUP($D384,素材!$1:$1016,COLUMN($F$1),FALSE), "・", 0)) + 1), 0)+IF($CI384&lt;&gt;"",VLOOKUP($CI384,装強!$A$1:BT$1005,COLUMN(装強!BT$1),FALSE),0)</f>
        <v>0</v>
      </c>
      <c r="AY384">
        <f>IF(ISNUMBER(SEARCH(SUBSTITUTE(AY$1,RIGHT(AY$1,2),""),VLOOKUP($D384,素材!$1:$1016,COLUMN($F$1),FALSE))),VLOOKUP($C384,武器!$1:$998,COLUMN($O$1),FALSE)*VLOOKUP($D384,素材!$1:$1016,COLUMN($E$1),FALSE)/(LEN(VLOOKUP($D384,素材!$1:$1016,COLUMN($F$1),FALSE)) - LEN(SUBSTITUTE(VLOOKUP($D384,素材!$1:$1016,COLUMN($F$1),FALSE), "・", 0)) + 1), 0)+IF($CI384&lt;&gt;"",VLOOKUP($CI384,装強!$A$1:BU$1005,COLUMN(装強!BU$1),FALSE),0)</f>
        <v>0</v>
      </c>
      <c r="AZ384">
        <f>IF(ISNUMBER(SEARCH(SUBSTITUTE(AZ$1,RIGHT(AZ$1,2),""),VLOOKUP($D384,素材!$1:$1016,COLUMN($F$1),FALSE))),VLOOKUP($C384,武器!$1:$998,COLUMN($O$1),FALSE)*VLOOKUP($D384,素材!$1:$1016,COLUMN($E$1),FALSE)/(LEN(VLOOKUP($D384,素材!$1:$1016,COLUMN($F$1),FALSE)) - LEN(SUBSTITUTE(VLOOKUP($D384,素材!$1:$1016,COLUMN($F$1),FALSE), "・", 0)) + 1), 0)+IF($CI384&lt;&gt;"",VLOOKUP($CI384,装強!$A$1:BV$1005,COLUMN(装強!BV$1),FALSE),0)</f>
        <v>0</v>
      </c>
      <c r="BA384">
        <f>IF(ISNUMBER(SEARCH(SUBSTITUTE(BA$1,RIGHT(BA$1,2),""),VLOOKUP($D384,素材!$1:$1016,COLUMN($F$1),FALSE))),VLOOKUP($C384,武器!$1:$998,COLUMN($O$1),FALSE)*VLOOKUP($D384,素材!$1:$1016,COLUMN($E$1),FALSE)/(LEN(VLOOKUP($D384,素材!$1:$1016,COLUMN($F$1),FALSE)) - LEN(SUBSTITUTE(VLOOKUP($D384,素材!$1:$1016,COLUMN($F$1),FALSE), "・", 0)) + 1), 0)+IF($CI384&lt;&gt;"",VLOOKUP($CI384,装強!$A$1:BW$1005,COLUMN(装強!BW$1),FALSE),0)</f>
        <v>0</v>
      </c>
      <c r="BB384">
        <f>IF(ISNUMBER(SEARCH(SUBSTITUTE(BB$1,RIGHT(BB$1,2),""),VLOOKUP($D384,素材!$1:$1016,COLUMN($F$1),FALSE))),VLOOKUP($C384,武器!$1:$998,COLUMN($O$1),FALSE)*VLOOKUP($D384,素材!$1:$1016,COLUMN($E$1),FALSE)/(LEN(VLOOKUP($D384,素材!$1:$1016,COLUMN($F$1),FALSE)) - LEN(SUBSTITUTE(VLOOKUP($D384,素材!$1:$1016,COLUMN($F$1),FALSE), "・", 0)) + 1), 0)+IF($CI384&lt;&gt;"",VLOOKUP($CI384,装強!$A$1:BX$1005,COLUMN(装強!BX$1),FALSE),0)</f>
        <v>0</v>
      </c>
      <c r="BC384">
        <f>IF(ISNUMBER(SEARCH(SUBSTITUTE(BC$1,RIGHT(BC$1,2),""),VLOOKUP($D384,素材!$1:$1016,COLUMN($F$1),FALSE))),VLOOKUP($C384,武器!$1:$998,COLUMN($O$1),FALSE)*VLOOKUP($D384,素材!$1:$1016,COLUMN($E$1),FALSE)/(LEN(VLOOKUP($D384,素材!$1:$1016,COLUMN($F$1),FALSE)) - LEN(SUBSTITUTE(VLOOKUP($D384,素材!$1:$1016,COLUMN($F$1),FALSE), "・", 0)) + 1), 0)+IF($CI384&lt;&gt;"",VLOOKUP($CI384,装強!$A$1:BY$1005,COLUMN(装強!BY$1),FALSE),0)</f>
        <v>0</v>
      </c>
      <c r="BD384">
        <f>IF(ISNUMBER(SEARCH(SUBSTITUTE(BD$1,RIGHT(BD$1,2),""),VLOOKUP($D384,素材!$1:$1016,COLUMN($F$1),FALSE))),VLOOKUP($C384,武器!$1:$998,COLUMN($O$1),FALSE)*VLOOKUP($D384,素材!$1:$1016,COLUMN($E$1),FALSE)/(LEN(VLOOKUP($D384,素材!$1:$1016,COLUMN($F$1),FALSE)) - LEN(SUBSTITUTE(VLOOKUP($D384,素材!$1:$1016,COLUMN($F$1),FALSE), "・", 0)) + 1), 0)+IF($CI384&lt;&gt;"",VLOOKUP($CI384,装強!$A$1:BZ$1005,COLUMN(装強!BZ$1),FALSE),0)</f>
        <v>0</v>
      </c>
      <c r="BE384">
        <f>IF(ISNUMBER(SEARCH(SUBSTITUTE(BE$1,RIGHT(BE$1,2),""),VLOOKUP($D384,素材!$1:$1016,COLUMN($F$1),FALSE))),VLOOKUP($C384,武器!$1:$998,COLUMN($O$1),FALSE)*VLOOKUP($D384,素材!$1:$1016,COLUMN($E$1),FALSE)/(LEN(VLOOKUP($D384,素材!$1:$1016,COLUMN($F$1),FALSE)) - LEN(SUBSTITUTE(VLOOKUP($D384,素材!$1:$1016,COLUMN($F$1),FALSE), "・", 0)) + 1), 0)+IF($CI384&lt;&gt;"",VLOOKUP($CI384,装強!$A$1:CA$1005,COLUMN(装強!CA$1),FALSE),0)</f>
        <v>0</v>
      </c>
      <c r="CL384">
        <f>SUM(G384:I384)</f>
        <v>0</v>
      </c>
      <c r="CM384" s="22" t="str">
        <f>IF(E384="武器",IF(J384-1&gt;SUM(G384:I384),"盾",IF(MAX(G384:I384)=G384,"切断",IF(MAX(G384:I384)=H384,"貫通",IF(MAX(G384:I384)=I384,"打撃","射撃")))),E384)&amp;".webp"</f>
        <v>.webp</v>
      </c>
      <c r="CN384" t="str">
        <f>IFERROR(VLOOKUP($C384,武器!$1:$998,COLUMN(V$1),FALSE)*VLOOKUP($D384,素材!$1:$1016,COLUMN(N$1),FALSE)+IF(CI384="",0,VLOOKUP($CI384,装強!$1:$1008,COLUMN($CK$1),FALSE)),"")</f>
        <v/>
      </c>
      <c r="CO384" t="e">
        <f>VLOOKUP(D384,素材!$A:$O,COLUMN(素材!O$1),FALSE)</f>
        <v>#N/A</v>
      </c>
      <c r="CP384" t="e">
        <f>VLOOKUP(C384,武器!$A:$W,COLUMN(武器!W$1),FALSE)</f>
        <v>#N/A</v>
      </c>
      <c r="CR384" t="str">
        <f t="shared" si="39"/>
        <v>e_384</v>
      </c>
      <c r="CS384" t="e">
        <f t="shared" si="41"/>
        <v>#VALUE!</v>
      </c>
    </row>
    <row r="385" spans="2:97" x14ac:dyDescent="0.4">
      <c r="B385" t="str">
        <f>IFERROR(VLOOKUP($D385,素材!$1:$1016,COLUMN($B$1),FALSE)&amp;"・"&amp;VLOOKUP($C385,武器!$1:$998,COLUMN(B$1),FALSE),"")</f>
        <v/>
      </c>
      <c r="D385" s="24"/>
      <c r="E385" t="str">
        <f>IFERROR(VLOOKUP(C385,武器!$1:$998,COLUMN(C$1),FALSE),"")</f>
        <v/>
      </c>
      <c r="F385" t="str">
        <f>IFERROR(ROUNDDOWN((VLOOKUP($C385,武器!$1:$998,COLUMN(D$1),FALSE)+IFERROR(VLOOKUP($CI385,装強!$1:$999,COLUMN(F$1),FALSE),0))*VLOOKUP($D385,素材!$1:$1016,COLUMN(D$1),FALSE),0),"")</f>
        <v/>
      </c>
      <c r="G385" t="str">
        <f>IFERROR(ROUNDDOWN((VLOOKUP($C385,武器!$1:$998,COLUMN(E$1),FALSE)+IFERROR(VLOOKUP($CI385,装強!$1:$999,COLUMN(G$1),FALSE),0))*VLOOKUP($D385,素材!$1:$1016,COLUMN($E$1),FALSE),0),"")</f>
        <v/>
      </c>
      <c r="H385" t="str">
        <f>IFERROR(ROUNDDOWN((VLOOKUP($C385,武器!$1:$998,COLUMN(F$1),FALSE)+IFERROR(VLOOKUP($CI385,装強!$1:$999,COLUMN(H$1),FALSE),0))*VLOOKUP($D385,素材!$1:$1016,COLUMN($E$1),FALSE),0),"")</f>
        <v/>
      </c>
      <c r="I385" t="str">
        <f>IFERROR(ROUNDDOWN((VLOOKUP($C385,武器!$1:$998,COLUMN(G$1),FALSE)+IFERROR(VLOOKUP($CI385,装強!$1:$999,COLUMN(I$1),FALSE),0))*VLOOKUP($D385,素材!$1:$1016,COLUMN($E$1),FALSE),0),"")</f>
        <v/>
      </c>
      <c r="J385" t="str">
        <f>IFERROR(ROUNDDOWN((VLOOKUP($C385,武器!$1:$998,COLUMN(H$1),FALSE)+IFERROR(VLOOKUP($CI385,装強!$1:$999,COLUMN(J$1),FALSE),0))*VLOOKUP($D385,素材!$1:$1016,COLUMN($E$1),FALSE),0),"")</f>
        <v/>
      </c>
      <c r="K385" t="str">
        <f>IFERROR(ROUNDDOWN((VLOOKUP($C385,武器!$1:$998,COLUMN(I$1),FALSE)+IFERROR(VLOOKUP($CI385,装強!$1:$999,COLUMN(K$1),FALSE),0))*VLOOKUP($D385,素材!$1:$1016,COLUMN($E$1),FALSE),0),"")</f>
        <v/>
      </c>
      <c r="L385" t="str">
        <f>IFERROR(VLOOKUP($D385,素材!$1:$1016,COLUMN($F$1),FALSE),"")</f>
        <v/>
      </c>
      <c r="M385" t="str">
        <f>IFERROR(VLOOKUP($C385,武器!$1:$998,COLUMN(AA$1),FALSE)*VLOOKUP($D385,素材!$1:$1016,COLUMN($G$1),FALSE),"")</f>
        <v/>
      </c>
      <c r="N385" t="str">
        <f>IFERROR(VLOOKUP($C385,武器!$1:$998,COLUMN(I$1),FALSE),"")</f>
        <v/>
      </c>
      <c r="O385" s="23" t="str">
        <f>IFERROR((VLOOKUP($C385,武器!$1:$998,COLUMN(K$1),FALSE)+VLOOKUP($D385,素材!$1:$1016,COLUMN(H$1),FALSE))*100+IFERROR(VLOOKUP($CI385,装強!$1:$999,COLUMN(O$1),FALSE),0),"")</f>
        <v/>
      </c>
      <c r="P385" s="23" t="str">
        <f>IFERROR((VLOOKUP($C385,武器!$1:$998,COLUMN(L$1),FALSE)+VLOOKUP($D385,素材!$1:$1016,COLUMN(I$1),FALSE))*100+IFERROR(VLOOKUP($CI385,装強!$1:$999,COLUMN(P$1),FALSE),0),"")</f>
        <v/>
      </c>
      <c r="Q385" t="str">
        <f>IFERROR(ROUNDUP(VLOOKUP($C385,武器!$1:$998,COLUMN(M$1),FALSE)*(VLOOKUP($D385,素材!$1:$1002,COLUMN(D$1),FALSE)/100),1),"")</f>
        <v/>
      </c>
      <c r="R385" t="str">
        <f>IFERROR(ROUNDUP(VLOOKUP($C385,武器!$1:$998,COLUMN(N$1),FALSE)*(VLOOKUP($D385,素材!$1:$1002,COLUMN(D$1),FALSE)/100),1),"")</f>
        <v/>
      </c>
      <c r="S385" t="str">
        <f>IFERROR(VLOOKUP($C385,武器!$1:$998,COLUMN(P$1),FALSE),"")</f>
        <v/>
      </c>
      <c r="T385" t="str">
        <f>IFERROR(VLOOKUP($C385,武器!$1:$998,COLUMN(Q$1),FALSE),"")</f>
        <v/>
      </c>
      <c r="U385" t="str">
        <f>IFERROR(VLOOKUP($C385,武器!$1:$998,COLUMN(R$1),FALSE),"")</f>
        <v/>
      </c>
      <c r="V385" t="str">
        <f>IFERROR(VLOOKUP($C385,武器!$1:$998,COLUMN(Q$1),FALSE),"")</f>
        <v/>
      </c>
      <c r="W385" t="str">
        <f>IFERROR(VLOOKUP($C385,武器!$1:$998,COLUMN(T$1),FALSE),"")</f>
        <v/>
      </c>
      <c r="Y385" t="str">
        <f>IFERROR(VLOOKUP($C385,武器!$1:$998,COLUMN(U$1),FALSE),"")</f>
        <v/>
      </c>
      <c r="Z385" t="str">
        <f>IFERROR(ROUNDUP(VLOOKUP($C385,武器!$1:$998,COLUMN(O$1),FALSE)*VLOOKUP($D385,素材!$1:$1016,COLUMN(E$1),FALSE),1),"")</f>
        <v/>
      </c>
      <c r="AA385">
        <f>IF(ISNUMBER(SEARCH(SUBSTITUTE(AA$1,RIGHT(AA$1,2),""),VLOOKUP($D385,素材!$1:$1016,COLUMN($F$1),FALSE))),VLOOKUP($C385,武器!$1:$998,COLUMN($O$1),FALSE)*VLOOKUP($D385,素材!$1:$1016,COLUMN($E$1),FALSE)/(LEN(VLOOKUP($D385,素材!$1:$1016,COLUMN($F$1),FALSE)) - LEN(SUBSTITUTE(VLOOKUP($D385,素材!$1:$1016,COLUMN($F$1),FALSE), "・", 0)) + 1), 0)</f>
        <v>0</v>
      </c>
      <c r="AB385">
        <f>IF(ISNUMBER(SEARCH(SUBSTITUTE(AB$1,RIGHT(AB$1,2),""),VLOOKUP($D385,素材!$1:$1016,COLUMN($F$1),FALSE))),VLOOKUP($C385,武器!$1:$998,COLUMN($O$1),FALSE)*VLOOKUP($D385,素材!$1:$1016,COLUMN($E$1),FALSE)/(LEN(VLOOKUP($D385,素材!$1:$1016,COLUMN($F$1),FALSE)) - LEN(SUBSTITUTE(VLOOKUP($D385,素材!$1:$1016,COLUMN($F$1),FALSE), "・", 0)) + 1), 0)</f>
        <v>0</v>
      </c>
      <c r="AC385">
        <f>IF(ISNUMBER(SEARCH(SUBSTITUTE(AC$1,RIGHT(AC$1,2),""),VLOOKUP($D385,素材!$1:$1016,COLUMN($F$1),FALSE))),VLOOKUP($C385,武器!$1:$998,COLUMN($O$1),FALSE)*VLOOKUP($D385,素材!$1:$1016,COLUMN($E$1),FALSE)/(LEN(VLOOKUP($D385,素材!$1:$1016,COLUMN($F$1),FALSE)) - LEN(SUBSTITUTE(VLOOKUP($D385,素材!$1:$1016,COLUMN($F$1),FALSE), "・", 0)) + 1), 0)</f>
        <v>0</v>
      </c>
      <c r="AD385">
        <f>IF(ISNUMBER(SEARCH(SUBSTITUTE(AD$1,RIGHT(AD$1,2),""),VLOOKUP($D385,素材!$1:$1016,COLUMN($F$1),FALSE))),VLOOKUP($C385,武器!$1:$998,COLUMN($O$1),FALSE)*VLOOKUP($D385,素材!$1:$1016,COLUMN($E$1),FALSE)/(LEN(VLOOKUP($D385,素材!$1:$1016,COLUMN($F$1),FALSE)) - LEN(SUBSTITUTE(VLOOKUP($D385,素材!$1:$1016,COLUMN($F$1),FALSE), "・", 0)) + 1), 0)</f>
        <v>0</v>
      </c>
      <c r="AE385">
        <f>IF(ISNUMBER(SEARCH(SUBSTITUTE(AE$1,RIGHT(AE$1,2),""),VLOOKUP($D385,素材!$1:$1016,COLUMN($F$1),FALSE))),VLOOKUP($C385,武器!$1:$998,COLUMN($O$1),FALSE)*VLOOKUP($D385,素材!$1:$1016,COLUMN($E$1),FALSE)/(LEN(VLOOKUP($D385,素材!$1:$1016,COLUMN($F$1),FALSE)) - LEN(SUBSTITUTE(VLOOKUP($D385,素材!$1:$1016,COLUMN($F$1),FALSE), "・", 0)) + 1), 0)+IF($CI385&lt;&gt;"",VLOOKUP($CI385,装強!$A$1:AZ$1005,COLUMN(装強!AZ$1),FALSE),0)</f>
        <v>0</v>
      </c>
      <c r="AF385">
        <f>IF(ISNUMBER(SEARCH(SUBSTITUTE(AF$1,RIGHT(AF$1,2),""),VLOOKUP($D385,素材!$1:$1016,COLUMN($F$1),FALSE))),VLOOKUP($C385,武器!$1:$998,COLUMN($O$1),FALSE)*VLOOKUP($D385,素材!$1:$1016,COLUMN($E$1),FALSE)/(LEN(VLOOKUP($D385,素材!$1:$1016,COLUMN($F$1),FALSE)) - LEN(SUBSTITUTE(VLOOKUP($D385,素材!$1:$1016,COLUMN($F$1),FALSE), "・", 0)) + 1), 0)+IF($CI385&lt;&gt;"",VLOOKUP($CI385,装強!$A$1:BA$1005,COLUMN(装強!BA$1),FALSE),0)</f>
        <v>0</v>
      </c>
      <c r="AG385">
        <f>IF(ISNUMBER(SEARCH(SUBSTITUTE(AG$1,RIGHT(AG$1,2),""),VLOOKUP($D385,素材!$1:$1016,COLUMN($F$1),FALSE))),VLOOKUP($C385,武器!$1:$998,COLUMN($O$1),FALSE)*VLOOKUP($D385,素材!$1:$1016,COLUMN($E$1),FALSE)/(LEN(VLOOKUP($D385,素材!$1:$1016,COLUMN($F$1),FALSE)) - LEN(SUBSTITUTE(VLOOKUP($D385,素材!$1:$1016,COLUMN($F$1),FALSE), "・", 0)) + 1), 0)+IF($CI385&lt;&gt;"",VLOOKUP($CI385,装強!$A$1:BB$1005,COLUMN(装強!BB$1),FALSE),0)</f>
        <v>0</v>
      </c>
      <c r="AH385">
        <f>IF(ISNUMBER(SEARCH(SUBSTITUTE(AH$1,RIGHT(AH$1,2),""),VLOOKUP($D385,素材!$1:$1016,COLUMN($F$1),FALSE))),VLOOKUP($C385,武器!$1:$998,COLUMN($O$1),FALSE)*VLOOKUP($D385,素材!$1:$1016,COLUMN($E$1),FALSE)/(LEN(VLOOKUP($D385,素材!$1:$1016,COLUMN($F$1),FALSE)) - LEN(SUBSTITUTE(VLOOKUP($D385,素材!$1:$1016,COLUMN($F$1),FALSE), "・", 0)) + 1), 0)+IF($CI385&lt;&gt;"",VLOOKUP($CI385,装強!$A$1:BC$1005,COLUMN(装強!BC$1),FALSE),0)</f>
        <v>0</v>
      </c>
      <c r="AI385">
        <f>IF(ISNUMBER(SEARCH(SUBSTITUTE(AI$1,RIGHT(AI$1,2),""),VLOOKUP($D385,素材!$1:$1016,COLUMN($F$1),FALSE))),VLOOKUP($C385,武器!$1:$998,COLUMN($O$1),FALSE)*VLOOKUP($D385,素材!$1:$1016,COLUMN($E$1),FALSE)/(LEN(VLOOKUP($D385,素材!$1:$1016,COLUMN($F$1),FALSE)) - LEN(SUBSTITUTE(VLOOKUP($D385,素材!$1:$1016,COLUMN($F$1),FALSE), "・", 0)) + 1), 0)+IF($CI385&lt;&gt;"",VLOOKUP($CI385,装強!$A$1:BD$1005,COLUMN(装強!BD$1),FALSE),0)</f>
        <v>0</v>
      </c>
      <c r="AJ385">
        <f>IF(ISNUMBER(SEARCH(SUBSTITUTE(AJ$1,RIGHT(AJ$1,2),""),VLOOKUP($D385,素材!$1:$1016,COLUMN($F$1),FALSE))),VLOOKUP($C385,武器!$1:$998,COLUMN($O$1),FALSE)*VLOOKUP($D385,素材!$1:$1016,COLUMN($E$1),FALSE)/(LEN(VLOOKUP($D385,素材!$1:$1016,COLUMN($F$1),FALSE)) - LEN(SUBSTITUTE(VLOOKUP($D385,素材!$1:$1016,COLUMN($F$1),FALSE), "・", 0)) + 1), 0)+IF($CI385&lt;&gt;"",VLOOKUP($CI385,装強!$A$1:BE$1005,COLUMN(装強!BE$1),FALSE),0)</f>
        <v>0</v>
      </c>
      <c r="AK385">
        <f>IF(ISNUMBER(SEARCH(SUBSTITUTE(AK$1,RIGHT(AK$1,2),""),VLOOKUP($D385,素材!$1:$1016,COLUMN($F$1),FALSE))),VLOOKUP($C385,武器!$1:$998,COLUMN($O$1),FALSE)*VLOOKUP($D385,素材!$1:$1016,COLUMN($E$1),FALSE)/(LEN(VLOOKUP($D385,素材!$1:$1016,COLUMN($F$1),FALSE)) - LEN(SUBSTITUTE(VLOOKUP($D385,素材!$1:$1016,COLUMN($F$1),FALSE), "・", 0)) + 1), 0)+IF($CI385&lt;&gt;"",VLOOKUP($CI385,装強!$A$1:BF$1005,COLUMN(装強!BF$1),FALSE),0)</f>
        <v>0</v>
      </c>
      <c r="AL385">
        <f>IF(ISNUMBER(SEARCH(SUBSTITUTE(AL$1,RIGHT(AL$1,2),""),VLOOKUP($D385,素材!$1:$1016,COLUMN($F$1),FALSE))),VLOOKUP($C385,武器!$1:$998,COLUMN($O$1),FALSE)*VLOOKUP($D385,素材!$1:$1016,COLUMN($E$1),FALSE)/(LEN(VLOOKUP($D385,素材!$1:$1016,COLUMN($F$1),FALSE)) - LEN(SUBSTITUTE(VLOOKUP($D385,素材!$1:$1016,COLUMN($F$1),FALSE), "・", 0)) + 1), 0)+IF($CI385&lt;&gt;"",VLOOKUP($CI385,装強!$A$1:BG$1005,COLUMN(装強!BG$1),FALSE),0)</f>
        <v>0</v>
      </c>
      <c r="AM385">
        <f>IF(ISNUMBER(SEARCH(SUBSTITUTE(AM$1,RIGHT(AM$1,2),""),VLOOKUP($D385,素材!$1:$1016,COLUMN($F$1),FALSE))),VLOOKUP($C385,武器!$1:$998,COLUMN($O$1),FALSE)*VLOOKUP($D385,素材!$1:$1016,COLUMN($E$1),FALSE)/(LEN(VLOOKUP($D385,素材!$1:$1016,COLUMN($F$1),FALSE)) - LEN(SUBSTITUTE(VLOOKUP($D385,素材!$1:$1016,COLUMN($F$1),FALSE), "・", 0)) + 1), 0)+IF($CI385&lt;&gt;"",VLOOKUP($CI385,装強!$A$1:BH$1005,COLUMN(装強!BH$1),FALSE),0)</f>
        <v>0</v>
      </c>
      <c r="AN385">
        <f>IF(ISNUMBER(SEARCH(SUBSTITUTE(AN$1,RIGHT(AN$1,2),""),VLOOKUP($D385,素材!$1:$1016,COLUMN($F$1),FALSE))),VLOOKUP($C385,武器!$1:$998,COLUMN($O$1),FALSE)*VLOOKUP($D385,素材!$1:$1016,COLUMN($E$1),FALSE)/(LEN(VLOOKUP($D385,素材!$1:$1016,COLUMN($F$1),FALSE)) - LEN(SUBSTITUTE(VLOOKUP($D385,素材!$1:$1016,COLUMN($F$1),FALSE), "・", 0)) + 1), 0)+IF($CI385&lt;&gt;"",VLOOKUP($CI385,装強!$A$1:BI$1005,COLUMN(装強!BI$1),FALSE),0)</f>
        <v>0</v>
      </c>
      <c r="AO385">
        <f>IF(ISNUMBER(SEARCH(SUBSTITUTE(AO$1,RIGHT(AO$1,2),""),VLOOKUP($D385,素材!$1:$1016,COLUMN($F$1),FALSE))),VLOOKUP($C385,武器!$1:$998,COLUMN($O$1),FALSE)*VLOOKUP($D385,素材!$1:$1016,COLUMN($E$1),FALSE)/(LEN(VLOOKUP($D385,素材!$1:$1016,COLUMN($F$1),FALSE)) - LEN(SUBSTITUTE(VLOOKUP($D385,素材!$1:$1016,COLUMN($F$1),FALSE), "・", 0)) + 1), 0)+IF($CI385&lt;&gt;"",VLOOKUP($CI385,装強!$A$1:BK$1005,COLUMN(装強!BK$1),FALSE),0)</f>
        <v>0</v>
      </c>
      <c r="AP385">
        <f>IF(ISNUMBER(SEARCH(SUBSTITUTE(AP$1,RIGHT(AP$1,2),""),VLOOKUP($D385,素材!$1:$1016,COLUMN($F$1),FALSE))),VLOOKUP($C385,武器!$1:$998,COLUMN($O$1),FALSE)*VLOOKUP($D385,素材!$1:$1016,COLUMN($E$1),FALSE)/(LEN(VLOOKUP($D385,素材!$1:$1016,COLUMN($F$1),FALSE)) - LEN(SUBSTITUTE(VLOOKUP($D385,素材!$1:$1016,COLUMN($F$1),FALSE), "・", 0)) + 1), 0)+IF($CI385&lt;&gt;"",VLOOKUP($CI385,装強!$A$1:BL$1005,COLUMN(装強!BL$1),FALSE),0)</f>
        <v>0</v>
      </c>
      <c r="AQ385">
        <f>IF(ISNUMBER(SEARCH(SUBSTITUTE(AQ$1,RIGHT(AQ$1,2),""),VLOOKUP($D385,素材!$1:$1016,COLUMN($F$1),FALSE))),VLOOKUP($C385,武器!$1:$998,COLUMN($O$1),FALSE)*VLOOKUP($D385,素材!$1:$1016,COLUMN($E$1),FALSE)/(LEN(VLOOKUP($D385,素材!$1:$1016,COLUMN($F$1),FALSE)) - LEN(SUBSTITUTE(VLOOKUP($D385,素材!$1:$1016,COLUMN($F$1),FALSE), "・", 0)) + 1), 0)+IF($CI385&lt;&gt;"",VLOOKUP($CI385,装強!$A$1:BM$1005,COLUMN(装強!BM$1),FALSE),0)</f>
        <v>0</v>
      </c>
      <c r="AR385">
        <f>IF(ISNUMBER(SEARCH(SUBSTITUTE(AR$1,RIGHT(AR$1,2),""),VLOOKUP($D385,素材!$1:$1016,COLUMN($F$1),FALSE))),VLOOKUP($C385,武器!$1:$998,COLUMN($O$1),FALSE)*VLOOKUP($D385,素材!$1:$1016,COLUMN($E$1),FALSE)/(LEN(VLOOKUP($D385,素材!$1:$1016,COLUMN($F$1),FALSE)) - LEN(SUBSTITUTE(VLOOKUP($D385,素材!$1:$1016,COLUMN($F$1),FALSE), "・", 0)) + 1), 0)+IF($CI385&lt;&gt;"",VLOOKUP($CI385,装強!$A$1:BN$1005,COLUMN(装強!BN$1),FALSE),0)</f>
        <v>0</v>
      </c>
      <c r="AS385">
        <f>IF(ISNUMBER(SEARCH(SUBSTITUTE(AS$1,RIGHT(AS$1,2),""),VLOOKUP($D385,素材!$1:$1016,COLUMN($F$1),FALSE))),VLOOKUP($C385,武器!$1:$998,COLUMN($O$1),FALSE)*VLOOKUP($D385,素材!$1:$1016,COLUMN($E$1),FALSE)/(LEN(VLOOKUP($D385,素材!$1:$1016,COLUMN($F$1),FALSE)) - LEN(SUBSTITUTE(VLOOKUP($D385,素材!$1:$1016,COLUMN($F$1),FALSE), "・", 0)) + 1), 0)+IF($CI385&lt;&gt;"",VLOOKUP($CI385,装強!$A$1:BO$1005,COLUMN(装強!BO$1),FALSE),0)</f>
        <v>0</v>
      </c>
      <c r="AT385">
        <f>IF(ISNUMBER(SEARCH(SUBSTITUTE(AT$1,RIGHT(AT$1,2),""),VLOOKUP($D385,素材!$1:$1016,COLUMN($F$1),FALSE))),VLOOKUP($C385,武器!$1:$998,COLUMN($O$1),FALSE)*VLOOKUP($D385,素材!$1:$1016,COLUMN($E$1),FALSE)/(LEN(VLOOKUP($D385,素材!$1:$1016,COLUMN($F$1),FALSE)) - LEN(SUBSTITUTE(VLOOKUP($D385,素材!$1:$1016,COLUMN($F$1),FALSE), "・", 0)) + 1), 0)+IF($CI385&lt;&gt;"",VLOOKUP($CI385,装強!$A$1:BP$1005,COLUMN(装強!BP$1),FALSE),0)</f>
        <v>0</v>
      </c>
      <c r="AU385">
        <f>IF(ISNUMBER(SEARCH(SUBSTITUTE(AU$1,RIGHT(AU$1,2),""),VLOOKUP($D385,素材!$1:$1016,COLUMN($F$1),FALSE))),VLOOKUP($C385,武器!$1:$998,COLUMN($O$1),FALSE)*VLOOKUP($D385,素材!$1:$1016,COLUMN($E$1),FALSE)/(LEN(VLOOKUP($D385,素材!$1:$1016,COLUMN($F$1),FALSE)) - LEN(SUBSTITUTE(VLOOKUP($D385,素材!$1:$1016,COLUMN($F$1),FALSE), "・", 0)) + 1), 0)+IF($CI385&lt;&gt;"",VLOOKUP($CI385,装強!$A$1:BQ$1005,COLUMN(装強!BQ$1),FALSE),0)</f>
        <v>0</v>
      </c>
      <c r="AV385">
        <f>IF(ISNUMBER(SEARCH(SUBSTITUTE(AV$1,RIGHT(AV$1,2),""),VLOOKUP($D385,素材!$1:$1016,COLUMN($F$1),FALSE))),VLOOKUP($C385,武器!$1:$998,COLUMN($O$1),FALSE)*VLOOKUP($D385,素材!$1:$1016,COLUMN($E$1),FALSE)/(LEN(VLOOKUP($D385,素材!$1:$1016,COLUMN($F$1),FALSE)) - LEN(SUBSTITUTE(VLOOKUP($D385,素材!$1:$1016,COLUMN($F$1),FALSE), "・", 0)) + 1), 0)+IF($CI385&lt;&gt;"",VLOOKUP($CI385,装強!$A$1:BR$1005,COLUMN(装強!BR$1),FALSE),0)</f>
        <v>0</v>
      </c>
      <c r="AW385">
        <f>IF(ISNUMBER(SEARCH(SUBSTITUTE(AW$1,RIGHT(AW$1,2),""),VLOOKUP($D385,素材!$1:$1016,COLUMN($F$1),FALSE))),VLOOKUP($C385,武器!$1:$998,COLUMN($O$1),FALSE)*VLOOKUP($D385,素材!$1:$1016,COLUMN($E$1),FALSE)/(LEN(VLOOKUP($D385,素材!$1:$1016,COLUMN($F$1),FALSE)) - LEN(SUBSTITUTE(VLOOKUP($D385,素材!$1:$1016,COLUMN($F$1),FALSE), "・", 0)) + 1), 0)+IF($CI385&lt;&gt;"",VLOOKUP($CI385,装強!$A$1:BS$1005,COLUMN(装強!BS$1),FALSE),0)</f>
        <v>0</v>
      </c>
      <c r="AX385">
        <f>IF(ISNUMBER(SEARCH(SUBSTITUTE(AX$1,RIGHT(AX$1,2),""),VLOOKUP($D385,素材!$1:$1016,COLUMN($F$1),FALSE))),VLOOKUP($C385,武器!$1:$998,COLUMN($O$1),FALSE)*VLOOKUP($D385,素材!$1:$1016,COLUMN($E$1),FALSE)/(LEN(VLOOKUP($D385,素材!$1:$1016,COLUMN($F$1),FALSE)) - LEN(SUBSTITUTE(VLOOKUP($D385,素材!$1:$1016,COLUMN($F$1),FALSE), "・", 0)) + 1), 0)+IF($CI385&lt;&gt;"",VLOOKUP($CI385,装強!$A$1:BT$1005,COLUMN(装強!BT$1),FALSE),0)</f>
        <v>0</v>
      </c>
      <c r="AY385">
        <f>IF(ISNUMBER(SEARCH(SUBSTITUTE(AY$1,RIGHT(AY$1,2),""),VLOOKUP($D385,素材!$1:$1016,COLUMN($F$1),FALSE))),VLOOKUP($C385,武器!$1:$998,COLUMN($O$1),FALSE)*VLOOKUP($D385,素材!$1:$1016,COLUMN($E$1),FALSE)/(LEN(VLOOKUP($D385,素材!$1:$1016,COLUMN($F$1),FALSE)) - LEN(SUBSTITUTE(VLOOKUP($D385,素材!$1:$1016,COLUMN($F$1),FALSE), "・", 0)) + 1), 0)+IF($CI385&lt;&gt;"",VLOOKUP($CI385,装強!$A$1:BU$1005,COLUMN(装強!BU$1),FALSE),0)</f>
        <v>0</v>
      </c>
      <c r="AZ385">
        <f>IF(ISNUMBER(SEARCH(SUBSTITUTE(AZ$1,RIGHT(AZ$1,2),""),VLOOKUP($D385,素材!$1:$1016,COLUMN($F$1),FALSE))),VLOOKUP($C385,武器!$1:$998,COLUMN($O$1),FALSE)*VLOOKUP($D385,素材!$1:$1016,COLUMN($E$1),FALSE)/(LEN(VLOOKUP($D385,素材!$1:$1016,COLUMN($F$1),FALSE)) - LEN(SUBSTITUTE(VLOOKUP($D385,素材!$1:$1016,COLUMN($F$1),FALSE), "・", 0)) + 1), 0)+IF($CI385&lt;&gt;"",VLOOKUP($CI385,装強!$A$1:BV$1005,COLUMN(装強!BV$1),FALSE),0)</f>
        <v>0</v>
      </c>
      <c r="BA385">
        <f>IF(ISNUMBER(SEARCH(SUBSTITUTE(BA$1,RIGHT(BA$1,2),""),VLOOKUP($D385,素材!$1:$1016,COLUMN($F$1),FALSE))),VLOOKUP($C385,武器!$1:$998,COLUMN($O$1),FALSE)*VLOOKUP($D385,素材!$1:$1016,COLUMN($E$1),FALSE)/(LEN(VLOOKUP($D385,素材!$1:$1016,COLUMN($F$1),FALSE)) - LEN(SUBSTITUTE(VLOOKUP($D385,素材!$1:$1016,COLUMN($F$1),FALSE), "・", 0)) + 1), 0)+IF($CI385&lt;&gt;"",VLOOKUP($CI385,装強!$A$1:BW$1005,COLUMN(装強!BW$1),FALSE),0)</f>
        <v>0</v>
      </c>
      <c r="BB385">
        <f>IF(ISNUMBER(SEARCH(SUBSTITUTE(BB$1,RIGHT(BB$1,2),""),VLOOKUP($D385,素材!$1:$1016,COLUMN($F$1),FALSE))),VLOOKUP($C385,武器!$1:$998,COLUMN($O$1),FALSE)*VLOOKUP($D385,素材!$1:$1016,COLUMN($E$1),FALSE)/(LEN(VLOOKUP($D385,素材!$1:$1016,COLUMN($F$1),FALSE)) - LEN(SUBSTITUTE(VLOOKUP($D385,素材!$1:$1016,COLUMN($F$1),FALSE), "・", 0)) + 1), 0)+IF($CI385&lt;&gt;"",VLOOKUP($CI385,装強!$A$1:BX$1005,COLUMN(装強!BX$1),FALSE),0)</f>
        <v>0</v>
      </c>
      <c r="BC385">
        <f>IF(ISNUMBER(SEARCH(SUBSTITUTE(BC$1,RIGHT(BC$1,2),""),VLOOKUP($D385,素材!$1:$1016,COLUMN($F$1),FALSE))),VLOOKUP($C385,武器!$1:$998,COLUMN($O$1),FALSE)*VLOOKUP($D385,素材!$1:$1016,COLUMN($E$1),FALSE)/(LEN(VLOOKUP($D385,素材!$1:$1016,COLUMN($F$1),FALSE)) - LEN(SUBSTITUTE(VLOOKUP($D385,素材!$1:$1016,COLUMN($F$1),FALSE), "・", 0)) + 1), 0)+IF($CI385&lt;&gt;"",VLOOKUP($CI385,装強!$A$1:BY$1005,COLUMN(装強!BY$1),FALSE),0)</f>
        <v>0</v>
      </c>
      <c r="BD385">
        <f>IF(ISNUMBER(SEARCH(SUBSTITUTE(BD$1,RIGHT(BD$1,2),""),VLOOKUP($D385,素材!$1:$1016,COLUMN($F$1),FALSE))),VLOOKUP($C385,武器!$1:$998,COLUMN($O$1),FALSE)*VLOOKUP($D385,素材!$1:$1016,COLUMN($E$1),FALSE)/(LEN(VLOOKUP($D385,素材!$1:$1016,COLUMN($F$1),FALSE)) - LEN(SUBSTITUTE(VLOOKUP($D385,素材!$1:$1016,COLUMN($F$1),FALSE), "・", 0)) + 1), 0)+IF($CI385&lt;&gt;"",VLOOKUP($CI385,装強!$A$1:BZ$1005,COLUMN(装強!BZ$1),FALSE),0)</f>
        <v>0</v>
      </c>
      <c r="BE385">
        <f>IF(ISNUMBER(SEARCH(SUBSTITUTE(BE$1,RIGHT(BE$1,2),""),VLOOKUP($D385,素材!$1:$1016,COLUMN($F$1),FALSE))),VLOOKUP($C385,武器!$1:$998,COLUMN($O$1),FALSE)*VLOOKUP($D385,素材!$1:$1016,COLUMN($E$1),FALSE)/(LEN(VLOOKUP($D385,素材!$1:$1016,COLUMN($F$1),FALSE)) - LEN(SUBSTITUTE(VLOOKUP($D385,素材!$1:$1016,COLUMN($F$1),FALSE), "・", 0)) + 1), 0)+IF($CI385&lt;&gt;"",VLOOKUP($CI385,装強!$A$1:CA$1005,COLUMN(装強!CA$1),FALSE),0)</f>
        <v>0</v>
      </c>
      <c r="CL385">
        <f>SUM(G385:I385)</f>
        <v>0</v>
      </c>
      <c r="CM385" s="22" t="str">
        <f>IF(E385="武器",IF(J385-1&gt;SUM(G385:I385),"盾",IF(MAX(G385:I385)=G385,"切断",IF(MAX(G385:I385)=H385,"貫通",IF(MAX(G385:I385)=I385,"打撃","射撃")))),E385)&amp;".webp"</f>
        <v>.webp</v>
      </c>
      <c r="CN385" t="str">
        <f>IFERROR(VLOOKUP($C385,武器!$1:$998,COLUMN(V$1),FALSE)*VLOOKUP($D385,素材!$1:$1016,COLUMN(N$1),FALSE)+IF(CI385="",0,VLOOKUP($CI385,装強!$1:$1008,COLUMN($CK$1),FALSE)),"")</f>
        <v/>
      </c>
      <c r="CO385" t="e">
        <f>VLOOKUP(D385,素材!$A:$O,COLUMN(素材!O$1),FALSE)</f>
        <v>#N/A</v>
      </c>
      <c r="CP385" t="e">
        <f>VLOOKUP(C385,武器!$A:$W,COLUMN(武器!W$1),FALSE)</f>
        <v>#N/A</v>
      </c>
      <c r="CR385" t="str">
        <f t="shared" si="39"/>
        <v>e_385</v>
      </c>
      <c r="CS385" t="e">
        <f t="shared" si="41"/>
        <v>#VALUE!</v>
      </c>
    </row>
    <row r="386" spans="2:97" x14ac:dyDescent="0.4">
      <c r="B386" t="str">
        <f>IFERROR(VLOOKUP($D386,素材!$1:$1016,COLUMN($B$1),FALSE)&amp;"・"&amp;VLOOKUP($C386,武器!$1:$998,COLUMN(B$1),FALSE),"")</f>
        <v/>
      </c>
      <c r="D386" s="24"/>
      <c r="E386" t="str">
        <f>IFERROR(VLOOKUP(C386,武器!$1:$998,COLUMN(C$1),FALSE),"")</f>
        <v/>
      </c>
      <c r="F386" t="str">
        <f>IFERROR(ROUNDDOWN((VLOOKUP($C386,武器!$1:$998,COLUMN(D$1),FALSE)+IFERROR(VLOOKUP($CI386,装強!$1:$999,COLUMN(F$1),FALSE),0))*VLOOKUP($D386,素材!$1:$1016,COLUMN(D$1),FALSE),0),"")</f>
        <v/>
      </c>
      <c r="G386" t="str">
        <f>IFERROR(ROUNDDOWN((VLOOKUP($C386,武器!$1:$998,COLUMN(E$1),FALSE)+IFERROR(VLOOKUP($CI386,装強!$1:$999,COLUMN(G$1),FALSE),0))*VLOOKUP($D386,素材!$1:$1016,COLUMN($E$1),FALSE),0),"")</f>
        <v/>
      </c>
      <c r="H386" t="str">
        <f>IFERROR(ROUNDDOWN((VLOOKUP($C386,武器!$1:$998,COLUMN(F$1),FALSE)+IFERROR(VLOOKUP($CI386,装強!$1:$999,COLUMN(H$1),FALSE),0))*VLOOKUP($D386,素材!$1:$1016,COLUMN($E$1),FALSE),0),"")</f>
        <v/>
      </c>
      <c r="I386" t="str">
        <f>IFERROR(ROUNDDOWN((VLOOKUP($C386,武器!$1:$998,COLUMN(G$1),FALSE)+IFERROR(VLOOKUP($CI386,装強!$1:$999,COLUMN(I$1),FALSE),0))*VLOOKUP($D386,素材!$1:$1016,COLUMN($E$1),FALSE),0),"")</f>
        <v/>
      </c>
      <c r="J386" t="str">
        <f>IFERROR(ROUNDDOWN((VLOOKUP($C386,武器!$1:$998,COLUMN(H$1),FALSE)+IFERROR(VLOOKUP($CI386,装強!$1:$999,COLUMN(J$1),FALSE),0))*VLOOKUP($D386,素材!$1:$1016,COLUMN($E$1),FALSE),0),"")</f>
        <v/>
      </c>
      <c r="K386" t="str">
        <f>IFERROR(ROUNDDOWN((VLOOKUP($C386,武器!$1:$998,COLUMN(I$1),FALSE)+IFERROR(VLOOKUP($CI386,装強!$1:$999,COLUMN(K$1),FALSE),0))*VLOOKUP($D386,素材!$1:$1016,COLUMN($E$1),FALSE),0),"")</f>
        <v/>
      </c>
      <c r="L386" t="str">
        <f>IFERROR(VLOOKUP($D386,素材!$1:$1016,COLUMN($F$1),FALSE),"")</f>
        <v/>
      </c>
      <c r="M386" t="str">
        <f>IFERROR(VLOOKUP($C386,武器!$1:$998,COLUMN(AA$1),FALSE)*VLOOKUP($D386,素材!$1:$1016,COLUMN($G$1),FALSE),"")</f>
        <v/>
      </c>
      <c r="N386" t="str">
        <f>IFERROR(VLOOKUP($C386,武器!$1:$998,COLUMN(I$1),FALSE),"")</f>
        <v/>
      </c>
      <c r="O386" s="23" t="str">
        <f>IFERROR((VLOOKUP($C386,武器!$1:$998,COLUMN(K$1),FALSE)+VLOOKUP($D386,素材!$1:$1016,COLUMN(H$1),FALSE))*100+IFERROR(VLOOKUP($CI386,装強!$1:$999,COLUMN(O$1),FALSE),0),"")</f>
        <v/>
      </c>
      <c r="P386" s="23" t="str">
        <f>IFERROR((VLOOKUP($C386,武器!$1:$998,COLUMN(L$1),FALSE)+VLOOKUP($D386,素材!$1:$1016,COLUMN(I$1),FALSE))*100+IFERROR(VLOOKUP($CI386,装強!$1:$999,COLUMN(P$1),FALSE),0),"")</f>
        <v/>
      </c>
      <c r="Q386" t="str">
        <f>IFERROR(ROUNDUP(VLOOKUP($C386,武器!$1:$998,COLUMN(M$1),FALSE)*(VLOOKUP($D386,素材!$1:$1002,COLUMN(D$1),FALSE)/100),1),"")</f>
        <v/>
      </c>
      <c r="R386" t="str">
        <f>IFERROR(ROUNDUP(VLOOKUP($C386,武器!$1:$998,COLUMN(N$1),FALSE)*(VLOOKUP($D386,素材!$1:$1002,COLUMN(D$1),FALSE)/100),1),"")</f>
        <v/>
      </c>
      <c r="S386" t="str">
        <f>IFERROR(VLOOKUP($C386,武器!$1:$998,COLUMN(P$1),FALSE),"")</f>
        <v/>
      </c>
      <c r="T386" t="str">
        <f>IFERROR(VLOOKUP($C386,武器!$1:$998,COLUMN(Q$1),FALSE),"")</f>
        <v/>
      </c>
      <c r="U386" t="str">
        <f>IFERROR(VLOOKUP($C386,武器!$1:$998,COLUMN(R$1),FALSE),"")</f>
        <v/>
      </c>
      <c r="V386" t="str">
        <f>IFERROR(VLOOKUP($C386,武器!$1:$998,COLUMN(Q$1),FALSE),"")</f>
        <v/>
      </c>
      <c r="W386" t="str">
        <f>IFERROR(VLOOKUP($C386,武器!$1:$998,COLUMN(T$1),FALSE),"")</f>
        <v/>
      </c>
      <c r="Y386" t="str">
        <f>IFERROR(VLOOKUP($C386,武器!$1:$998,COLUMN(U$1),FALSE),"")</f>
        <v/>
      </c>
      <c r="Z386" t="str">
        <f>IFERROR(ROUNDUP(VLOOKUP($C386,武器!$1:$998,COLUMN(O$1),FALSE)*VLOOKUP($D386,素材!$1:$1016,COLUMN(E$1),FALSE),1),"")</f>
        <v/>
      </c>
      <c r="AA386">
        <f>IF(ISNUMBER(SEARCH(SUBSTITUTE(AA$1,RIGHT(AA$1,2),""),VLOOKUP($D386,素材!$1:$1016,COLUMN($F$1),FALSE))),VLOOKUP($C386,武器!$1:$998,COLUMN($O$1),FALSE)*VLOOKUP($D386,素材!$1:$1016,COLUMN($E$1),FALSE)/(LEN(VLOOKUP($D386,素材!$1:$1016,COLUMN($F$1),FALSE)) - LEN(SUBSTITUTE(VLOOKUP($D386,素材!$1:$1016,COLUMN($F$1),FALSE), "・", 0)) + 1), 0)</f>
        <v>0</v>
      </c>
      <c r="AB386">
        <f>IF(ISNUMBER(SEARCH(SUBSTITUTE(AB$1,RIGHT(AB$1,2),""),VLOOKUP($D386,素材!$1:$1016,COLUMN($F$1),FALSE))),VLOOKUP($C386,武器!$1:$998,COLUMN($O$1),FALSE)*VLOOKUP($D386,素材!$1:$1016,COLUMN($E$1),FALSE)/(LEN(VLOOKUP($D386,素材!$1:$1016,COLUMN($F$1),FALSE)) - LEN(SUBSTITUTE(VLOOKUP($D386,素材!$1:$1016,COLUMN($F$1),FALSE), "・", 0)) + 1), 0)</f>
        <v>0</v>
      </c>
      <c r="AC386">
        <f>IF(ISNUMBER(SEARCH(SUBSTITUTE(AC$1,RIGHT(AC$1,2),""),VLOOKUP($D386,素材!$1:$1016,COLUMN($F$1),FALSE))),VLOOKUP($C386,武器!$1:$998,COLUMN($O$1),FALSE)*VLOOKUP($D386,素材!$1:$1016,COLUMN($E$1),FALSE)/(LEN(VLOOKUP($D386,素材!$1:$1016,COLUMN($F$1),FALSE)) - LEN(SUBSTITUTE(VLOOKUP($D386,素材!$1:$1016,COLUMN($F$1),FALSE), "・", 0)) + 1), 0)</f>
        <v>0</v>
      </c>
      <c r="AD386">
        <f>IF(ISNUMBER(SEARCH(SUBSTITUTE(AD$1,RIGHT(AD$1,2),""),VLOOKUP($D386,素材!$1:$1016,COLUMN($F$1),FALSE))),VLOOKUP($C386,武器!$1:$998,COLUMN($O$1),FALSE)*VLOOKUP($D386,素材!$1:$1016,COLUMN($E$1),FALSE)/(LEN(VLOOKUP($D386,素材!$1:$1016,COLUMN($F$1),FALSE)) - LEN(SUBSTITUTE(VLOOKUP($D386,素材!$1:$1016,COLUMN($F$1),FALSE), "・", 0)) + 1), 0)</f>
        <v>0</v>
      </c>
      <c r="AE386">
        <f>IF(ISNUMBER(SEARCH(SUBSTITUTE(AE$1,RIGHT(AE$1,2),""),VLOOKUP($D386,素材!$1:$1016,COLUMN($F$1),FALSE))),VLOOKUP($C386,武器!$1:$998,COLUMN($O$1),FALSE)*VLOOKUP($D386,素材!$1:$1016,COLUMN($E$1),FALSE)/(LEN(VLOOKUP($D386,素材!$1:$1016,COLUMN($F$1),FALSE)) - LEN(SUBSTITUTE(VLOOKUP($D386,素材!$1:$1016,COLUMN($F$1),FALSE), "・", 0)) + 1), 0)+IF($CI386&lt;&gt;"",VLOOKUP($CI386,装強!$A$1:AZ$1005,COLUMN(装強!AZ$1),FALSE),0)</f>
        <v>0</v>
      </c>
      <c r="AF386">
        <f>IF(ISNUMBER(SEARCH(SUBSTITUTE(AF$1,RIGHT(AF$1,2),""),VLOOKUP($D386,素材!$1:$1016,COLUMN($F$1),FALSE))),VLOOKUP($C386,武器!$1:$998,COLUMN($O$1),FALSE)*VLOOKUP($D386,素材!$1:$1016,COLUMN($E$1),FALSE)/(LEN(VLOOKUP($D386,素材!$1:$1016,COLUMN($F$1),FALSE)) - LEN(SUBSTITUTE(VLOOKUP($D386,素材!$1:$1016,COLUMN($F$1),FALSE), "・", 0)) + 1), 0)+IF($CI386&lt;&gt;"",VLOOKUP($CI386,装強!$A$1:BA$1005,COLUMN(装強!BA$1),FALSE),0)</f>
        <v>0</v>
      </c>
      <c r="AG386">
        <f>IF(ISNUMBER(SEARCH(SUBSTITUTE(AG$1,RIGHT(AG$1,2),""),VLOOKUP($D386,素材!$1:$1016,COLUMN($F$1),FALSE))),VLOOKUP($C386,武器!$1:$998,COLUMN($O$1),FALSE)*VLOOKUP($D386,素材!$1:$1016,COLUMN($E$1),FALSE)/(LEN(VLOOKUP($D386,素材!$1:$1016,COLUMN($F$1),FALSE)) - LEN(SUBSTITUTE(VLOOKUP($D386,素材!$1:$1016,COLUMN($F$1),FALSE), "・", 0)) + 1), 0)+IF($CI386&lt;&gt;"",VLOOKUP($CI386,装強!$A$1:BB$1005,COLUMN(装強!BB$1),FALSE),0)</f>
        <v>0</v>
      </c>
      <c r="AH386">
        <f>IF(ISNUMBER(SEARCH(SUBSTITUTE(AH$1,RIGHT(AH$1,2),""),VLOOKUP($D386,素材!$1:$1016,COLUMN($F$1),FALSE))),VLOOKUP($C386,武器!$1:$998,COLUMN($O$1),FALSE)*VLOOKUP($D386,素材!$1:$1016,COLUMN($E$1),FALSE)/(LEN(VLOOKUP($D386,素材!$1:$1016,COLUMN($F$1),FALSE)) - LEN(SUBSTITUTE(VLOOKUP($D386,素材!$1:$1016,COLUMN($F$1),FALSE), "・", 0)) + 1), 0)+IF($CI386&lt;&gt;"",VLOOKUP($CI386,装強!$A$1:BC$1005,COLUMN(装強!BC$1),FALSE),0)</f>
        <v>0</v>
      </c>
      <c r="AI386">
        <f>IF(ISNUMBER(SEARCH(SUBSTITUTE(AI$1,RIGHT(AI$1,2),""),VLOOKUP($D386,素材!$1:$1016,COLUMN($F$1),FALSE))),VLOOKUP($C386,武器!$1:$998,COLUMN($O$1),FALSE)*VLOOKUP($D386,素材!$1:$1016,COLUMN($E$1),FALSE)/(LEN(VLOOKUP($D386,素材!$1:$1016,COLUMN($F$1),FALSE)) - LEN(SUBSTITUTE(VLOOKUP($D386,素材!$1:$1016,COLUMN($F$1),FALSE), "・", 0)) + 1), 0)+IF($CI386&lt;&gt;"",VLOOKUP($CI386,装強!$A$1:BD$1005,COLUMN(装強!BD$1),FALSE),0)</f>
        <v>0</v>
      </c>
      <c r="AJ386">
        <f>IF(ISNUMBER(SEARCH(SUBSTITUTE(AJ$1,RIGHT(AJ$1,2),""),VLOOKUP($D386,素材!$1:$1016,COLUMN($F$1),FALSE))),VLOOKUP($C386,武器!$1:$998,COLUMN($O$1),FALSE)*VLOOKUP($D386,素材!$1:$1016,COLUMN($E$1),FALSE)/(LEN(VLOOKUP($D386,素材!$1:$1016,COLUMN($F$1),FALSE)) - LEN(SUBSTITUTE(VLOOKUP($D386,素材!$1:$1016,COLUMN($F$1),FALSE), "・", 0)) + 1), 0)+IF($CI386&lt;&gt;"",VLOOKUP($CI386,装強!$A$1:BE$1005,COLUMN(装強!BE$1),FALSE),0)</f>
        <v>0</v>
      </c>
      <c r="AK386">
        <f>IF(ISNUMBER(SEARCH(SUBSTITUTE(AK$1,RIGHT(AK$1,2),""),VLOOKUP($D386,素材!$1:$1016,COLUMN($F$1),FALSE))),VLOOKUP($C386,武器!$1:$998,COLUMN($O$1),FALSE)*VLOOKUP($D386,素材!$1:$1016,COLUMN($E$1),FALSE)/(LEN(VLOOKUP($D386,素材!$1:$1016,COLUMN($F$1),FALSE)) - LEN(SUBSTITUTE(VLOOKUP($D386,素材!$1:$1016,COLUMN($F$1),FALSE), "・", 0)) + 1), 0)+IF($CI386&lt;&gt;"",VLOOKUP($CI386,装強!$A$1:BF$1005,COLUMN(装強!BF$1),FALSE),0)</f>
        <v>0</v>
      </c>
      <c r="AL386">
        <f>IF(ISNUMBER(SEARCH(SUBSTITUTE(AL$1,RIGHT(AL$1,2),""),VLOOKUP($D386,素材!$1:$1016,COLUMN($F$1),FALSE))),VLOOKUP($C386,武器!$1:$998,COLUMN($O$1),FALSE)*VLOOKUP($D386,素材!$1:$1016,COLUMN($E$1),FALSE)/(LEN(VLOOKUP($D386,素材!$1:$1016,COLUMN($F$1),FALSE)) - LEN(SUBSTITUTE(VLOOKUP($D386,素材!$1:$1016,COLUMN($F$1),FALSE), "・", 0)) + 1), 0)+IF($CI386&lt;&gt;"",VLOOKUP($CI386,装強!$A$1:BG$1005,COLUMN(装強!BG$1),FALSE),0)</f>
        <v>0</v>
      </c>
      <c r="AM386">
        <f>IF(ISNUMBER(SEARCH(SUBSTITUTE(AM$1,RIGHT(AM$1,2),""),VLOOKUP($D386,素材!$1:$1016,COLUMN($F$1),FALSE))),VLOOKUP($C386,武器!$1:$998,COLUMN($O$1),FALSE)*VLOOKUP($D386,素材!$1:$1016,COLUMN($E$1),FALSE)/(LEN(VLOOKUP($D386,素材!$1:$1016,COLUMN($F$1),FALSE)) - LEN(SUBSTITUTE(VLOOKUP($D386,素材!$1:$1016,COLUMN($F$1),FALSE), "・", 0)) + 1), 0)+IF($CI386&lt;&gt;"",VLOOKUP($CI386,装強!$A$1:BH$1005,COLUMN(装強!BH$1),FALSE),0)</f>
        <v>0</v>
      </c>
      <c r="AN386">
        <f>IF(ISNUMBER(SEARCH(SUBSTITUTE(AN$1,RIGHT(AN$1,2),""),VLOOKUP($D386,素材!$1:$1016,COLUMN($F$1),FALSE))),VLOOKUP($C386,武器!$1:$998,COLUMN($O$1),FALSE)*VLOOKUP($D386,素材!$1:$1016,COLUMN($E$1),FALSE)/(LEN(VLOOKUP($D386,素材!$1:$1016,COLUMN($F$1),FALSE)) - LEN(SUBSTITUTE(VLOOKUP($D386,素材!$1:$1016,COLUMN($F$1),FALSE), "・", 0)) + 1), 0)+IF($CI386&lt;&gt;"",VLOOKUP($CI386,装強!$A$1:BI$1005,COLUMN(装強!BI$1),FALSE),0)</f>
        <v>0</v>
      </c>
      <c r="AO386">
        <f>IF(ISNUMBER(SEARCH(SUBSTITUTE(AO$1,RIGHT(AO$1,2),""),VLOOKUP($D386,素材!$1:$1016,COLUMN($F$1),FALSE))),VLOOKUP($C386,武器!$1:$998,COLUMN($O$1),FALSE)*VLOOKUP($D386,素材!$1:$1016,COLUMN($E$1),FALSE)/(LEN(VLOOKUP($D386,素材!$1:$1016,COLUMN($F$1),FALSE)) - LEN(SUBSTITUTE(VLOOKUP($D386,素材!$1:$1016,COLUMN($F$1),FALSE), "・", 0)) + 1), 0)+IF($CI386&lt;&gt;"",VLOOKUP($CI386,装強!$A$1:BK$1005,COLUMN(装強!BK$1),FALSE),0)</f>
        <v>0</v>
      </c>
      <c r="AP386">
        <f>IF(ISNUMBER(SEARCH(SUBSTITUTE(AP$1,RIGHT(AP$1,2),""),VLOOKUP($D386,素材!$1:$1016,COLUMN($F$1),FALSE))),VLOOKUP($C386,武器!$1:$998,COLUMN($O$1),FALSE)*VLOOKUP($D386,素材!$1:$1016,COLUMN($E$1),FALSE)/(LEN(VLOOKUP($D386,素材!$1:$1016,COLUMN($F$1),FALSE)) - LEN(SUBSTITUTE(VLOOKUP($D386,素材!$1:$1016,COLUMN($F$1),FALSE), "・", 0)) + 1), 0)+IF($CI386&lt;&gt;"",VLOOKUP($CI386,装強!$A$1:BL$1005,COLUMN(装強!BL$1),FALSE),0)</f>
        <v>0</v>
      </c>
      <c r="AQ386">
        <f>IF(ISNUMBER(SEARCH(SUBSTITUTE(AQ$1,RIGHT(AQ$1,2),""),VLOOKUP($D386,素材!$1:$1016,COLUMN($F$1),FALSE))),VLOOKUP($C386,武器!$1:$998,COLUMN($O$1),FALSE)*VLOOKUP($D386,素材!$1:$1016,COLUMN($E$1),FALSE)/(LEN(VLOOKUP($D386,素材!$1:$1016,COLUMN($F$1),FALSE)) - LEN(SUBSTITUTE(VLOOKUP($D386,素材!$1:$1016,COLUMN($F$1),FALSE), "・", 0)) + 1), 0)+IF($CI386&lt;&gt;"",VLOOKUP($CI386,装強!$A$1:BM$1005,COLUMN(装強!BM$1),FALSE),0)</f>
        <v>0</v>
      </c>
      <c r="AR386">
        <f>IF(ISNUMBER(SEARCH(SUBSTITUTE(AR$1,RIGHT(AR$1,2),""),VLOOKUP($D386,素材!$1:$1016,COLUMN($F$1),FALSE))),VLOOKUP($C386,武器!$1:$998,COLUMN($O$1),FALSE)*VLOOKUP($D386,素材!$1:$1016,COLUMN($E$1),FALSE)/(LEN(VLOOKUP($D386,素材!$1:$1016,COLUMN($F$1),FALSE)) - LEN(SUBSTITUTE(VLOOKUP($D386,素材!$1:$1016,COLUMN($F$1),FALSE), "・", 0)) + 1), 0)+IF($CI386&lt;&gt;"",VLOOKUP($CI386,装強!$A$1:BN$1005,COLUMN(装強!BN$1),FALSE),0)</f>
        <v>0</v>
      </c>
      <c r="AS386">
        <f>IF(ISNUMBER(SEARCH(SUBSTITUTE(AS$1,RIGHT(AS$1,2),""),VLOOKUP($D386,素材!$1:$1016,COLUMN($F$1),FALSE))),VLOOKUP($C386,武器!$1:$998,COLUMN($O$1),FALSE)*VLOOKUP($D386,素材!$1:$1016,COLUMN($E$1),FALSE)/(LEN(VLOOKUP($D386,素材!$1:$1016,COLUMN($F$1),FALSE)) - LEN(SUBSTITUTE(VLOOKUP($D386,素材!$1:$1016,COLUMN($F$1),FALSE), "・", 0)) + 1), 0)+IF($CI386&lt;&gt;"",VLOOKUP($CI386,装強!$A$1:BO$1005,COLUMN(装強!BO$1),FALSE),0)</f>
        <v>0</v>
      </c>
      <c r="AT386">
        <f>IF(ISNUMBER(SEARCH(SUBSTITUTE(AT$1,RIGHT(AT$1,2),""),VLOOKUP($D386,素材!$1:$1016,COLUMN($F$1),FALSE))),VLOOKUP($C386,武器!$1:$998,COLUMN($O$1),FALSE)*VLOOKUP($D386,素材!$1:$1016,COLUMN($E$1),FALSE)/(LEN(VLOOKUP($D386,素材!$1:$1016,COLUMN($F$1),FALSE)) - LEN(SUBSTITUTE(VLOOKUP($D386,素材!$1:$1016,COLUMN($F$1),FALSE), "・", 0)) + 1), 0)+IF($CI386&lt;&gt;"",VLOOKUP($CI386,装強!$A$1:BP$1005,COLUMN(装強!BP$1),FALSE),0)</f>
        <v>0</v>
      </c>
      <c r="AU386">
        <f>IF(ISNUMBER(SEARCH(SUBSTITUTE(AU$1,RIGHT(AU$1,2),""),VLOOKUP($D386,素材!$1:$1016,COLUMN($F$1),FALSE))),VLOOKUP($C386,武器!$1:$998,COLUMN($O$1),FALSE)*VLOOKUP($D386,素材!$1:$1016,COLUMN($E$1),FALSE)/(LEN(VLOOKUP($D386,素材!$1:$1016,COLUMN($F$1),FALSE)) - LEN(SUBSTITUTE(VLOOKUP($D386,素材!$1:$1016,COLUMN($F$1),FALSE), "・", 0)) + 1), 0)+IF($CI386&lt;&gt;"",VLOOKUP($CI386,装強!$A$1:BQ$1005,COLUMN(装強!BQ$1),FALSE),0)</f>
        <v>0</v>
      </c>
      <c r="AV386">
        <f>IF(ISNUMBER(SEARCH(SUBSTITUTE(AV$1,RIGHT(AV$1,2),""),VLOOKUP($D386,素材!$1:$1016,COLUMN($F$1),FALSE))),VLOOKUP($C386,武器!$1:$998,COLUMN($O$1),FALSE)*VLOOKUP($D386,素材!$1:$1016,COLUMN($E$1),FALSE)/(LEN(VLOOKUP($D386,素材!$1:$1016,COLUMN($F$1),FALSE)) - LEN(SUBSTITUTE(VLOOKUP($D386,素材!$1:$1016,COLUMN($F$1),FALSE), "・", 0)) + 1), 0)+IF($CI386&lt;&gt;"",VLOOKUP($CI386,装強!$A$1:BR$1005,COLUMN(装強!BR$1),FALSE),0)</f>
        <v>0</v>
      </c>
      <c r="AW386">
        <f>IF(ISNUMBER(SEARCH(SUBSTITUTE(AW$1,RIGHT(AW$1,2),""),VLOOKUP($D386,素材!$1:$1016,COLUMN($F$1),FALSE))),VLOOKUP($C386,武器!$1:$998,COLUMN($O$1),FALSE)*VLOOKUP($D386,素材!$1:$1016,COLUMN($E$1),FALSE)/(LEN(VLOOKUP($D386,素材!$1:$1016,COLUMN($F$1),FALSE)) - LEN(SUBSTITUTE(VLOOKUP($D386,素材!$1:$1016,COLUMN($F$1),FALSE), "・", 0)) + 1), 0)+IF($CI386&lt;&gt;"",VLOOKUP($CI386,装強!$A$1:BS$1005,COLUMN(装強!BS$1),FALSE),0)</f>
        <v>0</v>
      </c>
      <c r="AX386">
        <f>IF(ISNUMBER(SEARCH(SUBSTITUTE(AX$1,RIGHT(AX$1,2),""),VLOOKUP($D386,素材!$1:$1016,COLUMN($F$1),FALSE))),VLOOKUP($C386,武器!$1:$998,COLUMN($O$1),FALSE)*VLOOKUP($D386,素材!$1:$1016,COLUMN($E$1),FALSE)/(LEN(VLOOKUP($D386,素材!$1:$1016,COLUMN($F$1),FALSE)) - LEN(SUBSTITUTE(VLOOKUP($D386,素材!$1:$1016,COLUMN($F$1),FALSE), "・", 0)) + 1), 0)+IF($CI386&lt;&gt;"",VLOOKUP($CI386,装強!$A$1:BT$1005,COLUMN(装強!BT$1),FALSE),0)</f>
        <v>0</v>
      </c>
      <c r="AY386">
        <f>IF(ISNUMBER(SEARCH(SUBSTITUTE(AY$1,RIGHT(AY$1,2),""),VLOOKUP($D386,素材!$1:$1016,COLUMN($F$1),FALSE))),VLOOKUP($C386,武器!$1:$998,COLUMN($O$1),FALSE)*VLOOKUP($D386,素材!$1:$1016,COLUMN($E$1),FALSE)/(LEN(VLOOKUP($D386,素材!$1:$1016,COLUMN($F$1),FALSE)) - LEN(SUBSTITUTE(VLOOKUP($D386,素材!$1:$1016,COLUMN($F$1),FALSE), "・", 0)) + 1), 0)+IF($CI386&lt;&gt;"",VLOOKUP($CI386,装強!$A$1:BU$1005,COLUMN(装強!BU$1),FALSE),0)</f>
        <v>0</v>
      </c>
      <c r="AZ386">
        <f>IF(ISNUMBER(SEARCH(SUBSTITUTE(AZ$1,RIGHT(AZ$1,2),""),VLOOKUP($D386,素材!$1:$1016,COLUMN($F$1),FALSE))),VLOOKUP($C386,武器!$1:$998,COLUMN($O$1),FALSE)*VLOOKUP($D386,素材!$1:$1016,COLUMN($E$1),FALSE)/(LEN(VLOOKUP($D386,素材!$1:$1016,COLUMN($F$1),FALSE)) - LEN(SUBSTITUTE(VLOOKUP($D386,素材!$1:$1016,COLUMN($F$1),FALSE), "・", 0)) + 1), 0)+IF($CI386&lt;&gt;"",VLOOKUP($CI386,装強!$A$1:BV$1005,COLUMN(装強!BV$1),FALSE),0)</f>
        <v>0</v>
      </c>
      <c r="BA386">
        <f>IF(ISNUMBER(SEARCH(SUBSTITUTE(BA$1,RIGHT(BA$1,2),""),VLOOKUP($D386,素材!$1:$1016,COLUMN($F$1),FALSE))),VLOOKUP($C386,武器!$1:$998,COLUMN($O$1),FALSE)*VLOOKUP($D386,素材!$1:$1016,COLUMN($E$1),FALSE)/(LEN(VLOOKUP($D386,素材!$1:$1016,COLUMN($F$1),FALSE)) - LEN(SUBSTITUTE(VLOOKUP($D386,素材!$1:$1016,COLUMN($F$1),FALSE), "・", 0)) + 1), 0)+IF($CI386&lt;&gt;"",VLOOKUP($CI386,装強!$A$1:BW$1005,COLUMN(装強!BW$1),FALSE),0)</f>
        <v>0</v>
      </c>
      <c r="BB386">
        <f>IF(ISNUMBER(SEARCH(SUBSTITUTE(BB$1,RIGHT(BB$1,2),""),VLOOKUP($D386,素材!$1:$1016,COLUMN($F$1),FALSE))),VLOOKUP($C386,武器!$1:$998,COLUMN($O$1),FALSE)*VLOOKUP($D386,素材!$1:$1016,COLUMN($E$1),FALSE)/(LEN(VLOOKUP($D386,素材!$1:$1016,COLUMN($F$1),FALSE)) - LEN(SUBSTITUTE(VLOOKUP($D386,素材!$1:$1016,COLUMN($F$1),FALSE), "・", 0)) + 1), 0)+IF($CI386&lt;&gt;"",VLOOKUP($CI386,装強!$A$1:BX$1005,COLUMN(装強!BX$1),FALSE),0)</f>
        <v>0</v>
      </c>
      <c r="BC386">
        <f>IF(ISNUMBER(SEARCH(SUBSTITUTE(BC$1,RIGHT(BC$1,2),""),VLOOKUP($D386,素材!$1:$1016,COLUMN($F$1),FALSE))),VLOOKUP($C386,武器!$1:$998,COLUMN($O$1),FALSE)*VLOOKUP($D386,素材!$1:$1016,COLUMN($E$1),FALSE)/(LEN(VLOOKUP($D386,素材!$1:$1016,COLUMN($F$1),FALSE)) - LEN(SUBSTITUTE(VLOOKUP($D386,素材!$1:$1016,COLUMN($F$1),FALSE), "・", 0)) + 1), 0)+IF($CI386&lt;&gt;"",VLOOKUP($CI386,装強!$A$1:BY$1005,COLUMN(装強!BY$1),FALSE),0)</f>
        <v>0</v>
      </c>
      <c r="BD386">
        <f>IF(ISNUMBER(SEARCH(SUBSTITUTE(BD$1,RIGHT(BD$1,2),""),VLOOKUP($D386,素材!$1:$1016,COLUMN($F$1),FALSE))),VLOOKUP($C386,武器!$1:$998,COLUMN($O$1),FALSE)*VLOOKUP($D386,素材!$1:$1016,COLUMN($E$1),FALSE)/(LEN(VLOOKUP($D386,素材!$1:$1016,COLUMN($F$1),FALSE)) - LEN(SUBSTITUTE(VLOOKUP($D386,素材!$1:$1016,COLUMN($F$1),FALSE), "・", 0)) + 1), 0)+IF($CI386&lt;&gt;"",VLOOKUP($CI386,装強!$A$1:BZ$1005,COLUMN(装強!BZ$1),FALSE),0)</f>
        <v>0</v>
      </c>
      <c r="BE386">
        <f>IF(ISNUMBER(SEARCH(SUBSTITUTE(BE$1,RIGHT(BE$1,2),""),VLOOKUP($D386,素材!$1:$1016,COLUMN($F$1),FALSE))),VLOOKUP($C386,武器!$1:$998,COLUMN($O$1),FALSE)*VLOOKUP($D386,素材!$1:$1016,COLUMN($E$1),FALSE)/(LEN(VLOOKUP($D386,素材!$1:$1016,COLUMN($F$1),FALSE)) - LEN(SUBSTITUTE(VLOOKUP($D386,素材!$1:$1016,COLUMN($F$1),FALSE), "・", 0)) + 1), 0)+IF($CI386&lt;&gt;"",VLOOKUP($CI386,装強!$A$1:CA$1005,COLUMN(装強!CA$1),FALSE),0)</f>
        <v>0</v>
      </c>
      <c r="CL386">
        <f>SUM(G386:I386)</f>
        <v>0</v>
      </c>
      <c r="CM386" s="22" t="str">
        <f>IF(E386="武器",IF(J386-1&gt;SUM(G386:I386),"盾",IF(MAX(G386:I386)=G386,"切断",IF(MAX(G386:I386)=H386,"貫通",IF(MAX(G386:I386)=I386,"打撃","射撃")))),E386)&amp;".webp"</f>
        <v>.webp</v>
      </c>
      <c r="CN386" t="str">
        <f>IFERROR(VLOOKUP($C386,武器!$1:$998,COLUMN(V$1),FALSE)*VLOOKUP($D386,素材!$1:$1016,COLUMN(N$1),FALSE)+IF(CI386="",0,VLOOKUP($CI386,装強!$1:$1008,COLUMN($CK$1),FALSE)),"")</f>
        <v/>
      </c>
      <c r="CO386" t="e">
        <f>VLOOKUP(D386,素材!$A:$O,COLUMN(素材!O$1),FALSE)</f>
        <v>#N/A</v>
      </c>
      <c r="CP386" t="e">
        <f>VLOOKUP(C386,武器!$A:$W,COLUMN(武器!W$1),FALSE)</f>
        <v>#N/A</v>
      </c>
      <c r="CR386" t="str">
        <f t="shared" si="39"/>
        <v>e_386</v>
      </c>
      <c r="CS386" t="e">
        <f t="shared" si="41"/>
        <v>#VALUE!</v>
      </c>
    </row>
    <row r="387" spans="2:97" x14ac:dyDescent="0.4">
      <c r="B387" t="str">
        <f>IFERROR(VLOOKUP($D387,素材!$1:$1016,COLUMN($B$1),FALSE)&amp;"・"&amp;VLOOKUP($C387,武器!$1:$998,COLUMN(B$1),FALSE),"")</f>
        <v/>
      </c>
      <c r="D387" s="24"/>
      <c r="E387" t="str">
        <f>IFERROR(VLOOKUP(C387,武器!$1:$998,COLUMN(C$1),FALSE),"")</f>
        <v/>
      </c>
      <c r="F387" t="str">
        <f>IFERROR(ROUNDDOWN((VLOOKUP($C387,武器!$1:$998,COLUMN(D$1),FALSE)+IFERROR(VLOOKUP($CI387,装強!$1:$999,COLUMN(F$1),FALSE),0))*VLOOKUP($D387,素材!$1:$1016,COLUMN(D$1),FALSE),0),"")</f>
        <v/>
      </c>
      <c r="G387" t="str">
        <f>IFERROR(ROUNDDOWN((VLOOKUP($C387,武器!$1:$998,COLUMN(E$1),FALSE)+IFERROR(VLOOKUP($CI387,装強!$1:$999,COLUMN(G$1),FALSE),0))*VLOOKUP($D387,素材!$1:$1016,COLUMN($E$1),FALSE),0),"")</f>
        <v/>
      </c>
      <c r="H387" t="str">
        <f>IFERROR(ROUNDDOWN((VLOOKUP($C387,武器!$1:$998,COLUMN(F$1),FALSE)+IFERROR(VLOOKUP($CI387,装強!$1:$999,COLUMN(H$1),FALSE),0))*VLOOKUP($D387,素材!$1:$1016,COLUMN($E$1),FALSE),0),"")</f>
        <v/>
      </c>
      <c r="I387" t="str">
        <f>IFERROR(ROUNDDOWN((VLOOKUP($C387,武器!$1:$998,COLUMN(G$1),FALSE)+IFERROR(VLOOKUP($CI387,装強!$1:$999,COLUMN(I$1),FALSE),0))*VLOOKUP($D387,素材!$1:$1016,COLUMN($E$1),FALSE),0),"")</f>
        <v/>
      </c>
      <c r="J387" t="str">
        <f>IFERROR(ROUNDDOWN((VLOOKUP($C387,武器!$1:$998,COLUMN(H$1),FALSE)+IFERROR(VLOOKUP($CI387,装強!$1:$999,COLUMN(J$1),FALSE),0))*VLOOKUP($D387,素材!$1:$1016,COLUMN($E$1),FALSE),0),"")</f>
        <v/>
      </c>
      <c r="K387" t="str">
        <f>IFERROR(ROUNDDOWN((VLOOKUP($C387,武器!$1:$998,COLUMN(I$1),FALSE)+IFERROR(VLOOKUP($CI387,装強!$1:$999,COLUMN(K$1),FALSE),0))*VLOOKUP($D387,素材!$1:$1016,COLUMN($E$1),FALSE),0),"")</f>
        <v/>
      </c>
      <c r="L387" t="str">
        <f>IFERROR(VLOOKUP($D387,素材!$1:$1016,COLUMN($F$1),FALSE),"")</f>
        <v/>
      </c>
      <c r="M387" t="str">
        <f>IFERROR(VLOOKUP($C387,武器!$1:$998,COLUMN(AA$1),FALSE)*VLOOKUP($D387,素材!$1:$1016,COLUMN($G$1),FALSE),"")</f>
        <v/>
      </c>
      <c r="N387" t="str">
        <f>IFERROR(VLOOKUP($C387,武器!$1:$998,COLUMN(I$1),FALSE),"")</f>
        <v/>
      </c>
      <c r="O387" s="23" t="str">
        <f>IFERROR((VLOOKUP($C387,武器!$1:$998,COLUMN(K$1),FALSE)+VLOOKUP($D387,素材!$1:$1016,COLUMN(H$1),FALSE))*100+IFERROR(VLOOKUP($CI387,装強!$1:$999,COLUMN(O$1),FALSE),0),"")</f>
        <v/>
      </c>
      <c r="P387" s="23" t="str">
        <f>IFERROR((VLOOKUP($C387,武器!$1:$998,COLUMN(L$1),FALSE)+VLOOKUP($D387,素材!$1:$1016,COLUMN(I$1),FALSE))*100+IFERROR(VLOOKUP($CI387,装強!$1:$999,COLUMN(P$1),FALSE),0),"")</f>
        <v/>
      </c>
      <c r="Q387" t="str">
        <f>IFERROR(ROUNDUP(VLOOKUP($C387,武器!$1:$998,COLUMN(M$1),FALSE)*(VLOOKUP($D387,素材!$1:$1002,COLUMN(D$1),FALSE)/100),1),"")</f>
        <v/>
      </c>
      <c r="R387" t="str">
        <f>IFERROR(ROUNDUP(VLOOKUP($C387,武器!$1:$998,COLUMN(N$1),FALSE)*(VLOOKUP($D387,素材!$1:$1002,COLUMN(D$1),FALSE)/100),1),"")</f>
        <v/>
      </c>
      <c r="S387" t="str">
        <f>IFERROR(VLOOKUP($C387,武器!$1:$998,COLUMN(P$1),FALSE),"")</f>
        <v/>
      </c>
      <c r="T387" t="str">
        <f>IFERROR(VLOOKUP($C387,武器!$1:$998,COLUMN(Q$1),FALSE),"")</f>
        <v/>
      </c>
      <c r="U387" t="str">
        <f>IFERROR(VLOOKUP($C387,武器!$1:$998,COLUMN(R$1),FALSE),"")</f>
        <v/>
      </c>
      <c r="V387" t="str">
        <f>IFERROR(VLOOKUP($C387,武器!$1:$998,COLUMN(Q$1),FALSE),"")</f>
        <v/>
      </c>
      <c r="W387" t="str">
        <f>IFERROR(VLOOKUP($C387,武器!$1:$998,COLUMN(T$1),FALSE),"")</f>
        <v/>
      </c>
      <c r="Y387" t="str">
        <f>IFERROR(VLOOKUP($C387,武器!$1:$998,COLUMN(U$1),FALSE),"")</f>
        <v/>
      </c>
      <c r="Z387" t="str">
        <f>IFERROR(ROUNDUP(VLOOKUP($C387,武器!$1:$998,COLUMN(O$1),FALSE)*VLOOKUP($D387,素材!$1:$1016,COLUMN(E$1),FALSE),1),"")</f>
        <v/>
      </c>
      <c r="AA387">
        <f>IF(ISNUMBER(SEARCH(SUBSTITUTE(AA$1,RIGHT(AA$1,2),""),VLOOKUP($D387,素材!$1:$1016,COLUMN($F$1),FALSE))),VLOOKUP($C387,武器!$1:$998,COLUMN($O$1),FALSE)*VLOOKUP($D387,素材!$1:$1016,COLUMN($E$1),FALSE)/(LEN(VLOOKUP($D387,素材!$1:$1016,COLUMN($F$1),FALSE)) - LEN(SUBSTITUTE(VLOOKUP($D387,素材!$1:$1016,COLUMN($F$1),FALSE), "・", 0)) + 1), 0)</f>
        <v>0</v>
      </c>
      <c r="AB387">
        <f>IF(ISNUMBER(SEARCH(SUBSTITUTE(AB$1,RIGHT(AB$1,2),""),VLOOKUP($D387,素材!$1:$1016,COLUMN($F$1),FALSE))),VLOOKUP($C387,武器!$1:$998,COLUMN($O$1),FALSE)*VLOOKUP($D387,素材!$1:$1016,COLUMN($E$1),FALSE)/(LEN(VLOOKUP($D387,素材!$1:$1016,COLUMN($F$1),FALSE)) - LEN(SUBSTITUTE(VLOOKUP($D387,素材!$1:$1016,COLUMN($F$1),FALSE), "・", 0)) + 1), 0)</f>
        <v>0</v>
      </c>
      <c r="AC387">
        <f>IF(ISNUMBER(SEARCH(SUBSTITUTE(AC$1,RIGHT(AC$1,2),""),VLOOKUP($D387,素材!$1:$1016,COLUMN($F$1),FALSE))),VLOOKUP($C387,武器!$1:$998,COLUMN($O$1),FALSE)*VLOOKUP($D387,素材!$1:$1016,COLUMN($E$1),FALSE)/(LEN(VLOOKUP($D387,素材!$1:$1016,COLUMN($F$1),FALSE)) - LEN(SUBSTITUTE(VLOOKUP($D387,素材!$1:$1016,COLUMN($F$1),FALSE), "・", 0)) + 1), 0)</f>
        <v>0</v>
      </c>
      <c r="AD387">
        <f>IF(ISNUMBER(SEARCH(SUBSTITUTE(AD$1,RIGHT(AD$1,2),""),VLOOKUP($D387,素材!$1:$1016,COLUMN($F$1),FALSE))),VLOOKUP($C387,武器!$1:$998,COLUMN($O$1),FALSE)*VLOOKUP($D387,素材!$1:$1016,COLUMN($E$1),FALSE)/(LEN(VLOOKUP($D387,素材!$1:$1016,COLUMN($F$1),FALSE)) - LEN(SUBSTITUTE(VLOOKUP($D387,素材!$1:$1016,COLUMN($F$1),FALSE), "・", 0)) + 1), 0)</f>
        <v>0</v>
      </c>
      <c r="AE387">
        <f>IF(ISNUMBER(SEARCH(SUBSTITUTE(AE$1,RIGHT(AE$1,2),""),VLOOKUP($D387,素材!$1:$1016,COLUMN($F$1),FALSE))),VLOOKUP($C387,武器!$1:$998,COLUMN($O$1),FALSE)*VLOOKUP($D387,素材!$1:$1016,COLUMN($E$1),FALSE)/(LEN(VLOOKUP($D387,素材!$1:$1016,COLUMN($F$1),FALSE)) - LEN(SUBSTITUTE(VLOOKUP($D387,素材!$1:$1016,COLUMN($F$1),FALSE), "・", 0)) + 1), 0)+IF($CI387&lt;&gt;"",VLOOKUP($CI387,装強!$A$1:AZ$1005,COLUMN(装強!AZ$1),FALSE),0)</f>
        <v>0</v>
      </c>
      <c r="AF387">
        <f>IF(ISNUMBER(SEARCH(SUBSTITUTE(AF$1,RIGHT(AF$1,2),""),VLOOKUP($D387,素材!$1:$1016,COLUMN($F$1),FALSE))),VLOOKUP($C387,武器!$1:$998,COLUMN($O$1),FALSE)*VLOOKUP($D387,素材!$1:$1016,COLUMN($E$1),FALSE)/(LEN(VLOOKUP($D387,素材!$1:$1016,COLUMN($F$1),FALSE)) - LEN(SUBSTITUTE(VLOOKUP($D387,素材!$1:$1016,COLUMN($F$1),FALSE), "・", 0)) + 1), 0)+IF($CI387&lt;&gt;"",VLOOKUP($CI387,装強!$A$1:BA$1005,COLUMN(装強!BA$1),FALSE),0)</f>
        <v>0</v>
      </c>
      <c r="AG387">
        <f>IF(ISNUMBER(SEARCH(SUBSTITUTE(AG$1,RIGHT(AG$1,2),""),VLOOKUP($D387,素材!$1:$1016,COLUMN($F$1),FALSE))),VLOOKUP($C387,武器!$1:$998,COLUMN($O$1),FALSE)*VLOOKUP($D387,素材!$1:$1016,COLUMN($E$1),FALSE)/(LEN(VLOOKUP($D387,素材!$1:$1016,COLUMN($F$1),FALSE)) - LEN(SUBSTITUTE(VLOOKUP($D387,素材!$1:$1016,COLUMN($F$1),FALSE), "・", 0)) + 1), 0)+IF($CI387&lt;&gt;"",VLOOKUP($CI387,装強!$A$1:BB$1005,COLUMN(装強!BB$1),FALSE),0)</f>
        <v>0</v>
      </c>
      <c r="AH387">
        <f>IF(ISNUMBER(SEARCH(SUBSTITUTE(AH$1,RIGHT(AH$1,2),""),VLOOKUP($D387,素材!$1:$1016,COLUMN($F$1),FALSE))),VLOOKUP($C387,武器!$1:$998,COLUMN($O$1),FALSE)*VLOOKUP($D387,素材!$1:$1016,COLUMN($E$1),FALSE)/(LEN(VLOOKUP($D387,素材!$1:$1016,COLUMN($F$1),FALSE)) - LEN(SUBSTITUTE(VLOOKUP($D387,素材!$1:$1016,COLUMN($F$1),FALSE), "・", 0)) + 1), 0)+IF($CI387&lt;&gt;"",VLOOKUP($CI387,装強!$A$1:BC$1005,COLUMN(装強!BC$1),FALSE),0)</f>
        <v>0</v>
      </c>
      <c r="AI387">
        <f>IF(ISNUMBER(SEARCH(SUBSTITUTE(AI$1,RIGHT(AI$1,2),""),VLOOKUP($D387,素材!$1:$1016,COLUMN($F$1),FALSE))),VLOOKUP($C387,武器!$1:$998,COLUMN($O$1),FALSE)*VLOOKUP($D387,素材!$1:$1016,COLUMN($E$1),FALSE)/(LEN(VLOOKUP($D387,素材!$1:$1016,COLUMN($F$1),FALSE)) - LEN(SUBSTITUTE(VLOOKUP($D387,素材!$1:$1016,COLUMN($F$1),FALSE), "・", 0)) + 1), 0)+IF($CI387&lt;&gt;"",VLOOKUP($CI387,装強!$A$1:BD$1005,COLUMN(装強!BD$1),FALSE),0)</f>
        <v>0</v>
      </c>
      <c r="AJ387">
        <f>IF(ISNUMBER(SEARCH(SUBSTITUTE(AJ$1,RIGHT(AJ$1,2),""),VLOOKUP($D387,素材!$1:$1016,COLUMN($F$1),FALSE))),VLOOKUP($C387,武器!$1:$998,COLUMN($O$1),FALSE)*VLOOKUP($D387,素材!$1:$1016,COLUMN($E$1),FALSE)/(LEN(VLOOKUP($D387,素材!$1:$1016,COLUMN($F$1),FALSE)) - LEN(SUBSTITUTE(VLOOKUP($D387,素材!$1:$1016,COLUMN($F$1),FALSE), "・", 0)) + 1), 0)+IF($CI387&lt;&gt;"",VLOOKUP($CI387,装強!$A$1:BE$1005,COLUMN(装強!BE$1),FALSE),0)</f>
        <v>0</v>
      </c>
      <c r="AK387">
        <f>IF(ISNUMBER(SEARCH(SUBSTITUTE(AK$1,RIGHT(AK$1,2),""),VLOOKUP($D387,素材!$1:$1016,COLUMN($F$1),FALSE))),VLOOKUP($C387,武器!$1:$998,COLUMN($O$1),FALSE)*VLOOKUP($D387,素材!$1:$1016,COLUMN($E$1),FALSE)/(LEN(VLOOKUP($D387,素材!$1:$1016,COLUMN($F$1),FALSE)) - LEN(SUBSTITUTE(VLOOKUP($D387,素材!$1:$1016,COLUMN($F$1),FALSE), "・", 0)) + 1), 0)+IF($CI387&lt;&gt;"",VLOOKUP($CI387,装強!$A$1:BF$1005,COLUMN(装強!BF$1),FALSE),0)</f>
        <v>0</v>
      </c>
      <c r="AL387">
        <f>IF(ISNUMBER(SEARCH(SUBSTITUTE(AL$1,RIGHT(AL$1,2),""),VLOOKUP($D387,素材!$1:$1016,COLUMN($F$1),FALSE))),VLOOKUP($C387,武器!$1:$998,COLUMN($O$1),FALSE)*VLOOKUP($D387,素材!$1:$1016,COLUMN($E$1),FALSE)/(LEN(VLOOKUP($D387,素材!$1:$1016,COLUMN($F$1),FALSE)) - LEN(SUBSTITUTE(VLOOKUP($D387,素材!$1:$1016,COLUMN($F$1),FALSE), "・", 0)) + 1), 0)+IF($CI387&lt;&gt;"",VLOOKUP($CI387,装強!$A$1:BG$1005,COLUMN(装強!BG$1),FALSE),0)</f>
        <v>0</v>
      </c>
      <c r="AM387">
        <f>IF(ISNUMBER(SEARCH(SUBSTITUTE(AM$1,RIGHT(AM$1,2),""),VLOOKUP($D387,素材!$1:$1016,COLUMN($F$1),FALSE))),VLOOKUP($C387,武器!$1:$998,COLUMN($O$1),FALSE)*VLOOKUP($D387,素材!$1:$1016,COLUMN($E$1),FALSE)/(LEN(VLOOKUP($D387,素材!$1:$1016,COLUMN($F$1),FALSE)) - LEN(SUBSTITUTE(VLOOKUP($D387,素材!$1:$1016,COLUMN($F$1),FALSE), "・", 0)) + 1), 0)+IF($CI387&lt;&gt;"",VLOOKUP($CI387,装強!$A$1:BH$1005,COLUMN(装強!BH$1),FALSE),0)</f>
        <v>0</v>
      </c>
      <c r="AN387">
        <f>IF(ISNUMBER(SEARCH(SUBSTITUTE(AN$1,RIGHT(AN$1,2),""),VLOOKUP($D387,素材!$1:$1016,COLUMN($F$1),FALSE))),VLOOKUP($C387,武器!$1:$998,COLUMN($O$1),FALSE)*VLOOKUP($D387,素材!$1:$1016,COLUMN($E$1),FALSE)/(LEN(VLOOKUP($D387,素材!$1:$1016,COLUMN($F$1),FALSE)) - LEN(SUBSTITUTE(VLOOKUP($D387,素材!$1:$1016,COLUMN($F$1),FALSE), "・", 0)) + 1), 0)+IF($CI387&lt;&gt;"",VLOOKUP($CI387,装強!$A$1:BI$1005,COLUMN(装強!BI$1),FALSE),0)</f>
        <v>0</v>
      </c>
      <c r="AO387">
        <f>IF(ISNUMBER(SEARCH(SUBSTITUTE(AO$1,RIGHT(AO$1,2),""),VLOOKUP($D387,素材!$1:$1016,COLUMN($F$1),FALSE))),VLOOKUP($C387,武器!$1:$998,COLUMN($O$1),FALSE)*VLOOKUP($D387,素材!$1:$1016,COLUMN($E$1),FALSE)/(LEN(VLOOKUP($D387,素材!$1:$1016,COLUMN($F$1),FALSE)) - LEN(SUBSTITUTE(VLOOKUP($D387,素材!$1:$1016,COLUMN($F$1),FALSE), "・", 0)) + 1), 0)+IF($CI387&lt;&gt;"",VLOOKUP($CI387,装強!$A$1:BK$1005,COLUMN(装強!BK$1),FALSE),0)</f>
        <v>0</v>
      </c>
      <c r="AP387">
        <f>IF(ISNUMBER(SEARCH(SUBSTITUTE(AP$1,RIGHT(AP$1,2),""),VLOOKUP($D387,素材!$1:$1016,COLUMN($F$1),FALSE))),VLOOKUP($C387,武器!$1:$998,COLUMN($O$1),FALSE)*VLOOKUP($D387,素材!$1:$1016,COLUMN($E$1),FALSE)/(LEN(VLOOKUP($D387,素材!$1:$1016,COLUMN($F$1),FALSE)) - LEN(SUBSTITUTE(VLOOKUP($D387,素材!$1:$1016,COLUMN($F$1),FALSE), "・", 0)) + 1), 0)+IF($CI387&lt;&gt;"",VLOOKUP($CI387,装強!$A$1:BL$1005,COLUMN(装強!BL$1),FALSE),0)</f>
        <v>0</v>
      </c>
      <c r="AQ387">
        <f>IF(ISNUMBER(SEARCH(SUBSTITUTE(AQ$1,RIGHT(AQ$1,2),""),VLOOKUP($D387,素材!$1:$1016,COLUMN($F$1),FALSE))),VLOOKUP($C387,武器!$1:$998,COLUMN($O$1),FALSE)*VLOOKUP($D387,素材!$1:$1016,COLUMN($E$1),FALSE)/(LEN(VLOOKUP($D387,素材!$1:$1016,COLUMN($F$1),FALSE)) - LEN(SUBSTITUTE(VLOOKUP($D387,素材!$1:$1016,COLUMN($F$1),FALSE), "・", 0)) + 1), 0)+IF($CI387&lt;&gt;"",VLOOKUP($CI387,装強!$A$1:BM$1005,COLUMN(装強!BM$1),FALSE),0)</f>
        <v>0</v>
      </c>
      <c r="AR387">
        <f>IF(ISNUMBER(SEARCH(SUBSTITUTE(AR$1,RIGHT(AR$1,2),""),VLOOKUP($D387,素材!$1:$1016,COLUMN($F$1),FALSE))),VLOOKUP($C387,武器!$1:$998,COLUMN($O$1),FALSE)*VLOOKUP($D387,素材!$1:$1016,COLUMN($E$1),FALSE)/(LEN(VLOOKUP($D387,素材!$1:$1016,COLUMN($F$1),FALSE)) - LEN(SUBSTITUTE(VLOOKUP($D387,素材!$1:$1016,COLUMN($F$1),FALSE), "・", 0)) + 1), 0)+IF($CI387&lt;&gt;"",VLOOKUP($CI387,装強!$A$1:BN$1005,COLUMN(装強!BN$1),FALSE),0)</f>
        <v>0</v>
      </c>
      <c r="AS387">
        <f>IF(ISNUMBER(SEARCH(SUBSTITUTE(AS$1,RIGHT(AS$1,2),""),VLOOKUP($D387,素材!$1:$1016,COLUMN($F$1),FALSE))),VLOOKUP($C387,武器!$1:$998,COLUMN($O$1),FALSE)*VLOOKUP($D387,素材!$1:$1016,COLUMN($E$1),FALSE)/(LEN(VLOOKUP($D387,素材!$1:$1016,COLUMN($F$1),FALSE)) - LEN(SUBSTITUTE(VLOOKUP($D387,素材!$1:$1016,COLUMN($F$1),FALSE), "・", 0)) + 1), 0)+IF($CI387&lt;&gt;"",VLOOKUP($CI387,装強!$A$1:BO$1005,COLUMN(装強!BO$1),FALSE),0)</f>
        <v>0</v>
      </c>
      <c r="AT387">
        <f>IF(ISNUMBER(SEARCH(SUBSTITUTE(AT$1,RIGHT(AT$1,2),""),VLOOKUP($D387,素材!$1:$1016,COLUMN($F$1),FALSE))),VLOOKUP($C387,武器!$1:$998,COLUMN($O$1),FALSE)*VLOOKUP($D387,素材!$1:$1016,COLUMN($E$1),FALSE)/(LEN(VLOOKUP($D387,素材!$1:$1016,COLUMN($F$1),FALSE)) - LEN(SUBSTITUTE(VLOOKUP($D387,素材!$1:$1016,COLUMN($F$1),FALSE), "・", 0)) + 1), 0)+IF($CI387&lt;&gt;"",VLOOKUP($CI387,装強!$A$1:BP$1005,COLUMN(装強!BP$1),FALSE),0)</f>
        <v>0</v>
      </c>
      <c r="AU387">
        <f>IF(ISNUMBER(SEARCH(SUBSTITUTE(AU$1,RIGHT(AU$1,2),""),VLOOKUP($D387,素材!$1:$1016,COLUMN($F$1),FALSE))),VLOOKUP($C387,武器!$1:$998,COLUMN($O$1),FALSE)*VLOOKUP($D387,素材!$1:$1016,COLUMN($E$1),FALSE)/(LEN(VLOOKUP($D387,素材!$1:$1016,COLUMN($F$1),FALSE)) - LEN(SUBSTITUTE(VLOOKUP($D387,素材!$1:$1016,COLUMN($F$1),FALSE), "・", 0)) + 1), 0)+IF($CI387&lt;&gt;"",VLOOKUP($CI387,装強!$A$1:BQ$1005,COLUMN(装強!BQ$1),FALSE),0)</f>
        <v>0</v>
      </c>
      <c r="AV387">
        <f>IF(ISNUMBER(SEARCH(SUBSTITUTE(AV$1,RIGHT(AV$1,2),""),VLOOKUP($D387,素材!$1:$1016,COLUMN($F$1),FALSE))),VLOOKUP($C387,武器!$1:$998,COLUMN($O$1),FALSE)*VLOOKUP($D387,素材!$1:$1016,COLUMN($E$1),FALSE)/(LEN(VLOOKUP($D387,素材!$1:$1016,COLUMN($F$1),FALSE)) - LEN(SUBSTITUTE(VLOOKUP($D387,素材!$1:$1016,COLUMN($F$1),FALSE), "・", 0)) + 1), 0)+IF($CI387&lt;&gt;"",VLOOKUP($CI387,装強!$A$1:BR$1005,COLUMN(装強!BR$1),FALSE),0)</f>
        <v>0</v>
      </c>
      <c r="AW387">
        <f>IF(ISNUMBER(SEARCH(SUBSTITUTE(AW$1,RIGHT(AW$1,2),""),VLOOKUP($D387,素材!$1:$1016,COLUMN($F$1),FALSE))),VLOOKUP($C387,武器!$1:$998,COLUMN($O$1),FALSE)*VLOOKUP($D387,素材!$1:$1016,COLUMN($E$1),FALSE)/(LEN(VLOOKUP($D387,素材!$1:$1016,COLUMN($F$1),FALSE)) - LEN(SUBSTITUTE(VLOOKUP($D387,素材!$1:$1016,COLUMN($F$1),FALSE), "・", 0)) + 1), 0)+IF($CI387&lt;&gt;"",VLOOKUP($CI387,装強!$A$1:BS$1005,COLUMN(装強!BS$1),FALSE),0)</f>
        <v>0</v>
      </c>
      <c r="AX387">
        <f>IF(ISNUMBER(SEARCH(SUBSTITUTE(AX$1,RIGHT(AX$1,2),""),VLOOKUP($D387,素材!$1:$1016,COLUMN($F$1),FALSE))),VLOOKUP($C387,武器!$1:$998,COLUMN($O$1),FALSE)*VLOOKUP($D387,素材!$1:$1016,COLUMN($E$1),FALSE)/(LEN(VLOOKUP($D387,素材!$1:$1016,COLUMN($F$1),FALSE)) - LEN(SUBSTITUTE(VLOOKUP($D387,素材!$1:$1016,COLUMN($F$1),FALSE), "・", 0)) + 1), 0)+IF($CI387&lt;&gt;"",VLOOKUP($CI387,装強!$A$1:BT$1005,COLUMN(装強!BT$1),FALSE),0)</f>
        <v>0</v>
      </c>
      <c r="AY387">
        <f>IF(ISNUMBER(SEARCH(SUBSTITUTE(AY$1,RIGHT(AY$1,2),""),VLOOKUP($D387,素材!$1:$1016,COLUMN($F$1),FALSE))),VLOOKUP($C387,武器!$1:$998,COLUMN($O$1),FALSE)*VLOOKUP($D387,素材!$1:$1016,COLUMN($E$1),FALSE)/(LEN(VLOOKUP($D387,素材!$1:$1016,COLUMN($F$1),FALSE)) - LEN(SUBSTITUTE(VLOOKUP($D387,素材!$1:$1016,COLUMN($F$1),FALSE), "・", 0)) + 1), 0)+IF($CI387&lt;&gt;"",VLOOKUP($CI387,装強!$A$1:BU$1005,COLUMN(装強!BU$1),FALSE),0)</f>
        <v>0</v>
      </c>
      <c r="AZ387">
        <f>IF(ISNUMBER(SEARCH(SUBSTITUTE(AZ$1,RIGHT(AZ$1,2),""),VLOOKUP($D387,素材!$1:$1016,COLUMN($F$1),FALSE))),VLOOKUP($C387,武器!$1:$998,COLUMN($O$1),FALSE)*VLOOKUP($D387,素材!$1:$1016,COLUMN($E$1),FALSE)/(LEN(VLOOKUP($D387,素材!$1:$1016,COLUMN($F$1),FALSE)) - LEN(SUBSTITUTE(VLOOKUP($D387,素材!$1:$1016,COLUMN($F$1),FALSE), "・", 0)) + 1), 0)+IF($CI387&lt;&gt;"",VLOOKUP($CI387,装強!$A$1:BV$1005,COLUMN(装強!BV$1),FALSE),0)</f>
        <v>0</v>
      </c>
      <c r="BA387">
        <f>IF(ISNUMBER(SEARCH(SUBSTITUTE(BA$1,RIGHT(BA$1,2),""),VLOOKUP($D387,素材!$1:$1016,COLUMN($F$1),FALSE))),VLOOKUP($C387,武器!$1:$998,COLUMN($O$1),FALSE)*VLOOKUP($D387,素材!$1:$1016,COLUMN($E$1),FALSE)/(LEN(VLOOKUP($D387,素材!$1:$1016,COLUMN($F$1),FALSE)) - LEN(SUBSTITUTE(VLOOKUP($D387,素材!$1:$1016,COLUMN($F$1),FALSE), "・", 0)) + 1), 0)+IF($CI387&lt;&gt;"",VLOOKUP($CI387,装強!$A$1:BW$1005,COLUMN(装強!BW$1),FALSE),0)</f>
        <v>0</v>
      </c>
      <c r="BB387">
        <f>IF(ISNUMBER(SEARCH(SUBSTITUTE(BB$1,RIGHT(BB$1,2),""),VLOOKUP($D387,素材!$1:$1016,COLUMN($F$1),FALSE))),VLOOKUP($C387,武器!$1:$998,COLUMN($O$1),FALSE)*VLOOKUP($D387,素材!$1:$1016,COLUMN($E$1),FALSE)/(LEN(VLOOKUP($D387,素材!$1:$1016,COLUMN($F$1),FALSE)) - LEN(SUBSTITUTE(VLOOKUP($D387,素材!$1:$1016,COLUMN($F$1),FALSE), "・", 0)) + 1), 0)+IF($CI387&lt;&gt;"",VLOOKUP($CI387,装強!$A$1:BX$1005,COLUMN(装強!BX$1),FALSE),0)</f>
        <v>0</v>
      </c>
      <c r="BC387">
        <f>IF(ISNUMBER(SEARCH(SUBSTITUTE(BC$1,RIGHT(BC$1,2),""),VLOOKUP($D387,素材!$1:$1016,COLUMN($F$1),FALSE))),VLOOKUP($C387,武器!$1:$998,COLUMN($O$1),FALSE)*VLOOKUP($D387,素材!$1:$1016,COLUMN($E$1),FALSE)/(LEN(VLOOKUP($D387,素材!$1:$1016,COLUMN($F$1),FALSE)) - LEN(SUBSTITUTE(VLOOKUP($D387,素材!$1:$1016,COLUMN($F$1),FALSE), "・", 0)) + 1), 0)+IF($CI387&lt;&gt;"",VLOOKUP($CI387,装強!$A$1:BY$1005,COLUMN(装強!BY$1),FALSE),0)</f>
        <v>0</v>
      </c>
      <c r="BD387">
        <f>IF(ISNUMBER(SEARCH(SUBSTITUTE(BD$1,RIGHT(BD$1,2),""),VLOOKUP($D387,素材!$1:$1016,COLUMN($F$1),FALSE))),VLOOKUP($C387,武器!$1:$998,COLUMN($O$1),FALSE)*VLOOKUP($D387,素材!$1:$1016,COLUMN($E$1),FALSE)/(LEN(VLOOKUP($D387,素材!$1:$1016,COLUMN($F$1),FALSE)) - LEN(SUBSTITUTE(VLOOKUP($D387,素材!$1:$1016,COLUMN($F$1),FALSE), "・", 0)) + 1), 0)+IF($CI387&lt;&gt;"",VLOOKUP($CI387,装強!$A$1:BZ$1005,COLUMN(装強!BZ$1),FALSE),0)</f>
        <v>0</v>
      </c>
      <c r="BE387">
        <f>IF(ISNUMBER(SEARCH(SUBSTITUTE(BE$1,RIGHT(BE$1,2),""),VLOOKUP($D387,素材!$1:$1016,COLUMN($F$1),FALSE))),VLOOKUP($C387,武器!$1:$998,COLUMN($O$1),FALSE)*VLOOKUP($D387,素材!$1:$1016,COLUMN($E$1),FALSE)/(LEN(VLOOKUP($D387,素材!$1:$1016,COLUMN($F$1),FALSE)) - LEN(SUBSTITUTE(VLOOKUP($D387,素材!$1:$1016,COLUMN($F$1),FALSE), "・", 0)) + 1), 0)+IF($CI387&lt;&gt;"",VLOOKUP($CI387,装強!$A$1:CA$1005,COLUMN(装強!CA$1),FALSE),0)</f>
        <v>0</v>
      </c>
      <c r="CL387">
        <f>SUM(G387:I387)</f>
        <v>0</v>
      </c>
      <c r="CM387" s="22" t="str">
        <f>IF(E387="武器",IF(J387-1&gt;SUM(G387:I387),"盾",IF(MAX(G387:I387)=G387,"切断",IF(MAX(G387:I387)=H387,"貫通",IF(MAX(G387:I387)=I387,"打撃","射撃")))),E387)&amp;".webp"</f>
        <v>.webp</v>
      </c>
      <c r="CN387" t="str">
        <f>IFERROR(VLOOKUP($C387,武器!$1:$998,COLUMN(V$1),FALSE)*VLOOKUP($D387,素材!$1:$1016,COLUMN(N$1),FALSE)+IF(CI387="",0,VLOOKUP($CI387,装強!$1:$1008,COLUMN($CK$1),FALSE)),"")</f>
        <v/>
      </c>
      <c r="CO387" t="e">
        <f>VLOOKUP(D387,素材!$A:$O,COLUMN(素材!O$1),FALSE)</f>
        <v>#N/A</v>
      </c>
      <c r="CP387" t="e">
        <f>VLOOKUP(C387,武器!$A:$W,COLUMN(武器!W$1),FALSE)</f>
        <v>#N/A</v>
      </c>
      <c r="CR387" t="str">
        <f t="shared" si="39"/>
        <v>e_387</v>
      </c>
      <c r="CS387" t="e">
        <f t="shared" si="41"/>
        <v>#VALUE!</v>
      </c>
    </row>
    <row r="388" spans="2:97" x14ac:dyDescent="0.4">
      <c r="B388" t="str">
        <f>IFERROR(VLOOKUP($D388,素材!$1:$1016,COLUMN($B$1),FALSE)&amp;"・"&amp;VLOOKUP($C388,武器!$1:$998,COLUMN(B$1),FALSE),"")</f>
        <v/>
      </c>
      <c r="D388" s="24"/>
      <c r="E388" t="str">
        <f>IFERROR(VLOOKUP(C388,武器!$1:$998,COLUMN(C$1),FALSE),"")</f>
        <v/>
      </c>
      <c r="F388" t="str">
        <f>IFERROR(ROUNDDOWN((VLOOKUP($C388,武器!$1:$998,COLUMN(D$1),FALSE)+IFERROR(VLOOKUP($CI388,装強!$1:$999,COLUMN(F$1),FALSE),0))*VLOOKUP($D388,素材!$1:$1016,COLUMN(D$1),FALSE),0),"")</f>
        <v/>
      </c>
      <c r="G388" t="str">
        <f>IFERROR(ROUNDDOWN((VLOOKUP($C388,武器!$1:$998,COLUMN(E$1),FALSE)+IFERROR(VLOOKUP($CI388,装強!$1:$999,COLUMN(G$1),FALSE),0))*VLOOKUP($D388,素材!$1:$1016,COLUMN($E$1),FALSE),0),"")</f>
        <v/>
      </c>
      <c r="H388" t="str">
        <f>IFERROR(ROUNDDOWN((VLOOKUP($C388,武器!$1:$998,COLUMN(F$1),FALSE)+IFERROR(VLOOKUP($CI388,装強!$1:$999,COLUMN(H$1),FALSE),0))*VLOOKUP($D388,素材!$1:$1016,COLUMN($E$1),FALSE),0),"")</f>
        <v/>
      </c>
      <c r="I388" t="str">
        <f>IFERROR(ROUNDDOWN((VLOOKUP($C388,武器!$1:$998,COLUMN(G$1),FALSE)+IFERROR(VLOOKUP($CI388,装強!$1:$999,COLUMN(I$1),FALSE),0))*VLOOKUP($D388,素材!$1:$1016,COLUMN($E$1),FALSE),0),"")</f>
        <v/>
      </c>
      <c r="J388" t="str">
        <f>IFERROR(ROUNDDOWN((VLOOKUP($C388,武器!$1:$998,COLUMN(H$1),FALSE)+IFERROR(VLOOKUP($CI388,装強!$1:$999,COLUMN(J$1),FALSE),0))*VLOOKUP($D388,素材!$1:$1016,COLUMN($E$1),FALSE),0),"")</f>
        <v/>
      </c>
      <c r="K388" t="str">
        <f>IFERROR(ROUNDDOWN((VLOOKUP($C388,武器!$1:$998,COLUMN(I$1),FALSE)+IFERROR(VLOOKUP($CI388,装強!$1:$999,COLUMN(K$1),FALSE),0))*VLOOKUP($D388,素材!$1:$1016,COLUMN($E$1),FALSE),0),"")</f>
        <v/>
      </c>
      <c r="L388" t="str">
        <f>IFERROR(VLOOKUP($D388,素材!$1:$1016,COLUMN($F$1),FALSE),"")</f>
        <v/>
      </c>
      <c r="M388" t="str">
        <f>IFERROR(VLOOKUP($C388,武器!$1:$998,COLUMN(AA$1),FALSE)*VLOOKUP($D388,素材!$1:$1016,COLUMN($G$1),FALSE),"")</f>
        <v/>
      </c>
      <c r="N388" t="str">
        <f>IFERROR(VLOOKUP($C388,武器!$1:$998,COLUMN(I$1),FALSE),"")</f>
        <v/>
      </c>
      <c r="O388" s="23" t="str">
        <f>IFERROR((VLOOKUP($C388,武器!$1:$998,COLUMN(K$1),FALSE)+VLOOKUP($D388,素材!$1:$1016,COLUMN(H$1),FALSE))*100+IFERROR(VLOOKUP($CI388,装強!$1:$999,COLUMN(O$1),FALSE),0),"")</f>
        <v/>
      </c>
      <c r="P388" s="23" t="str">
        <f>IFERROR((VLOOKUP($C388,武器!$1:$998,COLUMN(L$1),FALSE)+VLOOKUP($D388,素材!$1:$1016,COLUMN(I$1),FALSE))*100+IFERROR(VLOOKUP($CI388,装強!$1:$999,COLUMN(P$1),FALSE),0),"")</f>
        <v/>
      </c>
      <c r="Q388" t="str">
        <f>IFERROR(ROUNDUP(VLOOKUP($C388,武器!$1:$998,COLUMN(M$1),FALSE)*(VLOOKUP($D388,素材!$1:$1002,COLUMN(D$1),FALSE)/100),1),"")</f>
        <v/>
      </c>
      <c r="R388" t="str">
        <f>IFERROR(ROUNDUP(VLOOKUP($C388,武器!$1:$998,COLUMN(N$1),FALSE)*(VLOOKUP($D388,素材!$1:$1002,COLUMN(D$1),FALSE)/100),1),"")</f>
        <v/>
      </c>
      <c r="S388" t="str">
        <f>IFERROR(VLOOKUP($C388,武器!$1:$998,COLUMN(P$1),FALSE),"")</f>
        <v/>
      </c>
      <c r="T388" t="str">
        <f>IFERROR(VLOOKUP($C388,武器!$1:$998,COLUMN(Q$1),FALSE),"")</f>
        <v/>
      </c>
      <c r="U388" t="str">
        <f>IFERROR(VLOOKUP($C388,武器!$1:$998,COLUMN(R$1),FALSE),"")</f>
        <v/>
      </c>
      <c r="V388" t="str">
        <f>IFERROR(VLOOKUP($C388,武器!$1:$998,COLUMN(Q$1),FALSE),"")</f>
        <v/>
      </c>
      <c r="W388" t="str">
        <f>IFERROR(VLOOKUP($C388,武器!$1:$998,COLUMN(T$1),FALSE),"")</f>
        <v/>
      </c>
      <c r="Y388" t="str">
        <f>IFERROR(VLOOKUP($C388,武器!$1:$998,COLUMN(U$1),FALSE),"")</f>
        <v/>
      </c>
      <c r="Z388" t="str">
        <f>IFERROR(ROUNDUP(VLOOKUP($C388,武器!$1:$998,COLUMN(O$1),FALSE)*VLOOKUP($D388,素材!$1:$1016,COLUMN(E$1),FALSE),1),"")</f>
        <v/>
      </c>
      <c r="AA388">
        <f>IF(ISNUMBER(SEARCH(SUBSTITUTE(AA$1,RIGHT(AA$1,2),""),VLOOKUP($D388,素材!$1:$1016,COLUMN($F$1),FALSE))),VLOOKUP($C388,武器!$1:$998,COLUMN($O$1),FALSE)*VLOOKUP($D388,素材!$1:$1016,COLUMN($E$1),FALSE)/(LEN(VLOOKUP($D388,素材!$1:$1016,COLUMN($F$1),FALSE)) - LEN(SUBSTITUTE(VLOOKUP($D388,素材!$1:$1016,COLUMN($F$1),FALSE), "・", 0)) + 1), 0)</f>
        <v>0</v>
      </c>
      <c r="AB388">
        <f>IF(ISNUMBER(SEARCH(SUBSTITUTE(AB$1,RIGHT(AB$1,2),""),VLOOKUP($D388,素材!$1:$1016,COLUMN($F$1),FALSE))),VLOOKUP($C388,武器!$1:$998,COLUMN($O$1),FALSE)*VLOOKUP($D388,素材!$1:$1016,COLUMN($E$1),FALSE)/(LEN(VLOOKUP($D388,素材!$1:$1016,COLUMN($F$1),FALSE)) - LEN(SUBSTITUTE(VLOOKUP($D388,素材!$1:$1016,COLUMN($F$1),FALSE), "・", 0)) + 1), 0)</f>
        <v>0</v>
      </c>
      <c r="AC388">
        <f>IF(ISNUMBER(SEARCH(SUBSTITUTE(AC$1,RIGHT(AC$1,2),""),VLOOKUP($D388,素材!$1:$1016,COLUMN($F$1),FALSE))),VLOOKUP($C388,武器!$1:$998,COLUMN($O$1),FALSE)*VLOOKUP($D388,素材!$1:$1016,COLUMN($E$1),FALSE)/(LEN(VLOOKUP($D388,素材!$1:$1016,COLUMN($F$1),FALSE)) - LEN(SUBSTITUTE(VLOOKUP($D388,素材!$1:$1016,COLUMN($F$1),FALSE), "・", 0)) + 1), 0)</f>
        <v>0</v>
      </c>
      <c r="AD388">
        <f>IF(ISNUMBER(SEARCH(SUBSTITUTE(AD$1,RIGHT(AD$1,2),""),VLOOKUP($D388,素材!$1:$1016,COLUMN($F$1),FALSE))),VLOOKUP($C388,武器!$1:$998,COLUMN($O$1),FALSE)*VLOOKUP($D388,素材!$1:$1016,COLUMN($E$1),FALSE)/(LEN(VLOOKUP($D388,素材!$1:$1016,COLUMN($F$1),FALSE)) - LEN(SUBSTITUTE(VLOOKUP($D388,素材!$1:$1016,COLUMN($F$1),FALSE), "・", 0)) + 1), 0)</f>
        <v>0</v>
      </c>
      <c r="AE388">
        <f>IF(ISNUMBER(SEARCH(SUBSTITUTE(AE$1,RIGHT(AE$1,2),""),VLOOKUP($D388,素材!$1:$1016,COLUMN($F$1),FALSE))),VLOOKUP($C388,武器!$1:$998,COLUMN($O$1),FALSE)*VLOOKUP($D388,素材!$1:$1016,COLUMN($E$1),FALSE)/(LEN(VLOOKUP($D388,素材!$1:$1016,COLUMN($F$1),FALSE)) - LEN(SUBSTITUTE(VLOOKUP($D388,素材!$1:$1016,COLUMN($F$1),FALSE), "・", 0)) + 1), 0)+IF($CI388&lt;&gt;"",VLOOKUP($CI388,装強!$A$1:AZ$1005,COLUMN(装強!AZ$1),FALSE),0)</f>
        <v>0</v>
      </c>
      <c r="AF388">
        <f>IF(ISNUMBER(SEARCH(SUBSTITUTE(AF$1,RIGHT(AF$1,2),""),VLOOKUP($D388,素材!$1:$1016,COLUMN($F$1),FALSE))),VLOOKUP($C388,武器!$1:$998,COLUMN($O$1),FALSE)*VLOOKUP($D388,素材!$1:$1016,COLUMN($E$1),FALSE)/(LEN(VLOOKUP($D388,素材!$1:$1016,COLUMN($F$1),FALSE)) - LEN(SUBSTITUTE(VLOOKUP($D388,素材!$1:$1016,COLUMN($F$1),FALSE), "・", 0)) + 1), 0)+IF($CI388&lt;&gt;"",VLOOKUP($CI388,装強!$A$1:BA$1005,COLUMN(装強!BA$1),FALSE),0)</f>
        <v>0</v>
      </c>
      <c r="AG388">
        <f>IF(ISNUMBER(SEARCH(SUBSTITUTE(AG$1,RIGHT(AG$1,2),""),VLOOKUP($D388,素材!$1:$1016,COLUMN($F$1),FALSE))),VLOOKUP($C388,武器!$1:$998,COLUMN($O$1),FALSE)*VLOOKUP($D388,素材!$1:$1016,COLUMN($E$1),FALSE)/(LEN(VLOOKUP($D388,素材!$1:$1016,COLUMN($F$1),FALSE)) - LEN(SUBSTITUTE(VLOOKUP($D388,素材!$1:$1016,COLUMN($F$1),FALSE), "・", 0)) + 1), 0)+IF($CI388&lt;&gt;"",VLOOKUP($CI388,装強!$A$1:BB$1005,COLUMN(装強!BB$1),FALSE),0)</f>
        <v>0</v>
      </c>
      <c r="AH388">
        <f>IF(ISNUMBER(SEARCH(SUBSTITUTE(AH$1,RIGHT(AH$1,2),""),VLOOKUP($D388,素材!$1:$1016,COLUMN($F$1),FALSE))),VLOOKUP($C388,武器!$1:$998,COLUMN($O$1),FALSE)*VLOOKUP($D388,素材!$1:$1016,COLUMN($E$1),FALSE)/(LEN(VLOOKUP($D388,素材!$1:$1016,COLUMN($F$1),FALSE)) - LEN(SUBSTITUTE(VLOOKUP($D388,素材!$1:$1016,COLUMN($F$1),FALSE), "・", 0)) + 1), 0)+IF($CI388&lt;&gt;"",VLOOKUP($CI388,装強!$A$1:BC$1005,COLUMN(装強!BC$1),FALSE),0)</f>
        <v>0</v>
      </c>
      <c r="AI388">
        <f>IF(ISNUMBER(SEARCH(SUBSTITUTE(AI$1,RIGHT(AI$1,2),""),VLOOKUP($D388,素材!$1:$1016,COLUMN($F$1),FALSE))),VLOOKUP($C388,武器!$1:$998,COLUMN($O$1),FALSE)*VLOOKUP($D388,素材!$1:$1016,COLUMN($E$1),FALSE)/(LEN(VLOOKUP($D388,素材!$1:$1016,COLUMN($F$1),FALSE)) - LEN(SUBSTITUTE(VLOOKUP($D388,素材!$1:$1016,COLUMN($F$1),FALSE), "・", 0)) + 1), 0)+IF($CI388&lt;&gt;"",VLOOKUP($CI388,装強!$A$1:BD$1005,COLUMN(装強!BD$1),FALSE),0)</f>
        <v>0</v>
      </c>
      <c r="AJ388">
        <f>IF(ISNUMBER(SEARCH(SUBSTITUTE(AJ$1,RIGHT(AJ$1,2),""),VLOOKUP($D388,素材!$1:$1016,COLUMN($F$1),FALSE))),VLOOKUP($C388,武器!$1:$998,COLUMN($O$1),FALSE)*VLOOKUP($D388,素材!$1:$1016,COLUMN($E$1),FALSE)/(LEN(VLOOKUP($D388,素材!$1:$1016,COLUMN($F$1),FALSE)) - LEN(SUBSTITUTE(VLOOKUP($D388,素材!$1:$1016,COLUMN($F$1),FALSE), "・", 0)) + 1), 0)+IF($CI388&lt;&gt;"",VLOOKUP($CI388,装強!$A$1:BE$1005,COLUMN(装強!BE$1),FALSE),0)</f>
        <v>0</v>
      </c>
      <c r="AK388">
        <f>IF(ISNUMBER(SEARCH(SUBSTITUTE(AK$1,RIGHT(AK$1,2),""),VLOOKUP($D388,素材!$1:$1016,COLUMN($F$1),FALSE))),VLOOKUP($C388,武器!$1:$998,COLUMN($O$1),FALSE)*VLOOKUP($D388,素材!$1:$1016,COLUMN($E$1),FALSE)/(LEN(VLOOKUP($D388,素材!$1:$1016,COLUMN($F$1),FALSE)) - LEN(SUBSTITUTE(VLOOKUP($D388,素材!$1:$1016,COLUMN($F$1),FALSE), "・", 0)) + 1), 0)+IF($CI388&lt;&gt;"",VLOOKUP($CI388,装強!$A$1:BF$1005,COLUMN(装強!BF$1),FALSE),0)</f>
        <v>0</v>
      </c>
      <c r="AL388">
        <f>IF(ISNUMBER(SEARCH(SUBSTITUTE(AL$1,RIGHT(AL$1,2),""),VLOOKUP($D388,素材!$1:$1016,COLUMN($F$1),FALSE))),VLOOKUP($C388,武器!$1:$998,COLUMN($O$1),FALSE)*VLOOKUP($D388,素材!$1:$1016,COLUMN($E$1),FALSE)/(LEN(VLOOKUP($D388,素材!$1:$1016,COLUMN($F$1),FALSE)) - LEN(SUBSTITUTE(VLOOKUP($D388,素材!$1:$1016,COLUMN($F$1),FALSE), "・", 0)) + 1), 0)+IF($CI388&lt;&gt;"",VLOOKUP($CI388,装強!$A$1:BG$1005,COLUMN(装強!BG$1),FALSE),0)</f>
        <v>0</v>
      </c>
      <c r="AM388">
        <f>IF(ISNUMBER(SEARCH(SUBSTITUTE(AM$1,RIGHT(AM$1,2),""),VLOOKUP($D388,素材!$1:$1016,COLUMN($F$1),FALSE))),VLOOKUP($C388,武器!$1:$998,COLUMN($O$1),FALSE)*VLOOKUP($D388,素材!$1:$1016,COLUMN($E$1),FALSE)/(LEN(VLOOKUP($D388,素材!$1:$1016,COLUMN($F$1),FALSE)) - LEN(SUBSTITUTE(VLOOKUP($D388,素材!$1:$1016,COLUMN($F$1),FALSE), "・", 0)) + 1), 0)+IF($CI388&lt;&gt;"",VLOOKUP($CI388,装強!$A$1:BH$1005,COLUMN(装強!BH$1),FALSE),0)</f>
        <v>0</v>
      </c>
      <c r="AN388">
        <f>IF(ISNUMBER(SEARCH(SUBSTITUTE(AN$1,RIGHT(AN$1,2),""),VLOOKUP($D388,素材!$1:$1016,COLUMN($F$1),FALSE))),VLOOKUP($C388,武器!$1:$998,COLUMN($O$1),FALSE)*VLOOKUP($D388,素材!$1:$1016,COLUMN($E$1),FALSE)/(LEN(VLOOKUP($D388,素材!$1:$1016,COLUMN($F$1),FALSE)) - LEN(SUBSTITUTE(VLOOKUP($D388,素材!$1:$1016,COLUMN($F$1),FALSE), "・", 0)) + 1), 0)+IF($CI388&lt;&gt;"",VLOOKUP($CI388,装強!$A$1:BI$1005,COLUMN(装強!BI$1),FALSE),0)</f>
        <v>0</v>
      </c>
      <c r="AO388">
        <f>IF(ISNUMBER(SEARCH(SUBSTITUTE(AO$1,RIGHT(AO$1,2),""),VLOOKUP($D388,素材!$1:$1016,COLUMN($F$1),FALSE))),VLOOKUP($C388,武器!$1:$998,COLUMN($O$1),FALSE)*VLOOKUP($D388,素材!$1:$1016,COLUMN($E$1),FALSE)/(LEN(VLOOKUP($D388,素材!$1:$1016,COLUMN($F$1),FALSE)) - LEN(SUBSTITUTE(VLOOKUP($D388,素材!$1:$1016,COLUMN($F$1),FALSE), "・", 0)) + 1), 0)+IF($CI388&lt;&gt;"",VLOOKUP($CI388,装強!$A$1:BK$1005,COLUMN(装強!BK$1),FALSE),0)</f>
        <v>0</v>
      </c>
      <c r="AP388">
        <f>IF(ISNUMBER(SEARCH(SUBSTITUTE(AP$1,RIGHT(AP$1,2),""),VLOOKUP($D388,素材!$1:$1016,COLUMN($F$1),FALSE))),VLOOKUP($C388,武器!$1:$998,COLUMN($O$1),FALSE)*VLOOKUP($D388,素材!$1:$1016,COLUMN($E$1),FALSE)/(LEN(VLOOKUP($D388,素材!$1:$1016,COLUMN($F$1),FALSE)) - LEN(SUBSTITUTE(VLOOKUP($D388,素材!$1:$1016,COLUMN($F$1),FALSE), "・", 0)) + 1), 0)+IF($CI388&lt;&gt;"",VLOOKUP($CI388,装強!$A$1:BL$1005,COLUMN(装強!BL$1),FALSE),0)</f>
        <v>0</v>
      </c>
      <c r="AQ388">
        <f>IF(ISNUMBER(SEARCH(SUBSTITUTE(AQ$1,RIGHT(AQ$1,2),""),VLOOKUP($D388,素材!$1:$1016,COLUMN($F$1),FALSE))),VLOOKUP($C388,武器!$1:$998,COLUMN($O$1),FALSE)*VLOOKUP($D388,素材!$1:$1016,COLUMN($E$1),FALSE)/(LEN(VLOOKUP($D388,素材!$1:$1016,COLUMN($F$1),FALSE)) - LEN(SUBSTITUTE(VLOOKUP($D388,素材!$1:$1016,COLUMN($F$1),FALSE), "・", 0)) + 1), 0)+IF($CI388&lt;&gt;"",VLOOKUP($CI388,装強!$A$1:BM$1005,COLUMN(装強!BM$1),FALSE),0)</f>
        <v>0</v>
      </c>
      <c r="AR388">
        <f>IF(ISNUMBER(SEARCH(SUBSTITUTE(AR$1,RIGHT(AR$1,2),""),VLOOKUP($D388,素材!$1:$1016,COLUMN($F$1),FALSE))),VLOOKUP($C388,武器!$1:$998,COLUMN($O$1),FALSE)*VLOOKUP($D388,素材!$1:$1016,COLUMN($E$1),FALSE)/(LEN(VLOOKUP($D388,素材!$1:$1016,COLUMN($F$1),FALSE)) - LEN(SUBSTITUTE(VLOOKUP($D388,素材!$1:$1016,COLUMN($F$1),FALSE), "・", 0)) + 1), 0)+IF($CI388&lt;&gt;"",VLOOKUP($CI388,装強!$A$1:BN$1005,COLUMN(装強!BN$1),FALSE),0)</f>
        <v>0</v>
      </c>
      <c r="AS388">
        <f>IF(ISNUMBER(SEARCH(SUBSTITUTE(AS$1,RIGHT(AS$1,2),""),VLOOKUP($D388,素材!$1:$1016,COLUMN($F$1),FALSE))),VLOOKUP($C388,武器!$1:$998,COLUMN($O$1),FALSE)*VLOOKUP($D388,素材!$1:$1016,COLUMN($E$1),FALSE)/(LEN(VLOOKUP($D388,素材!$1:$1016,COLUMN($F$1),FALSE)) - LEN(SUBSTITUTE(VLOOKUP($D388,素材!$1:$1016,COLUMN($F$1),FALSE), "・", 0)) + 1), 0)+IF($CI388&lt;&gt;"",VLOOKUP($CI388,装強!$A$1:BO$1005,COLUMN(装強!BO$1),FALSE),0)</f>
        <v>0</v>
      </c>
      <c r="AT388">
        <f>IF(ISNUMBER(SEARCH(SUBSTITUTE(AT$1,RIGHT(AT$1,2),""),VLOOKUP($D388,素材!$1:$1016,COLUMN($F$1),FALSE))),VLOOKUP($C388,武器!$1:$998,COLUMN($O$1),FALSE)*VLOOKUP($D388,素材!$1:$1016,COLUMN($E$1),FALSE)/(LEN(VLOOKUP($D388,素材!$1:$1016,COLUMN($F$1),FALSE)) - LEN(SUBSTITUTE(VLOOKUP($D388,素材!$1:$1016,COLUMN($F$1),FALSE), "・", 0)) + 1), 0)+IF($CI388&lt;&gt;"",VLOOKUP($CI388,装強!$A$1:BP$1005,COLUMN(装強!BP$1),FALSE),0)</f>
        <v>0</v>
      </c>
      <c r="AU388">
        <f>IF(ISNUMBER(SEARCH(SUBSTITUTE(AU$1,RIGHT(AU$1,2),""),VLOOKUP($D388,素材!$1:$1016,COLUMN($F$1),FALSE))),VLOOKUP($C388,武器!$1:$998,COLUMN($O$1),FALSE)*VLOOKUP($D388,素材!$1:$1016,COLUMN($E$1),FALSE)/(LEN(VLOOKUP($D388,素材!$1:$1016,COLUMN($F$1),FALSE)) - LEN(SUBSTITUTE(VLOOKUP($D388,素材!$1:$1016,COLUMN($F$1),FALSE), "・", 0)) + 1), 0)+IF($CI388&lt;&gt;"",VLOOKUP($CI388,装強!$A$1:BQ$1005,COLUMN(装強!BQ$1),FALSE),0)</f>
        <v>0</v>
      </c>
      <c r="AV388">
        <f>IF(ISNUMBER(SEARCH(SUBSTITUTE(AV$1,RIGHT(AV$1,2),""),VLOOKUP($D388,素材!$1:$1016,COLUMN($F$1),FALSE))),VLOOKUP($C388,武器!$1:$998,COLUMN($O$1),FALSE)*VLOOKUP($D388,素材!$1:$1016,COLUMN($E$1),FALSE)/(LEN(VLOOKUP($D388,素材!$1:$1016,COLUMN($F$1),FALSE)) - LEN(SUBSTITUTE(VLOOKUP($D388,素材!$1:$1016,COLUMN($F$1),FALSE), "・", 0)) + 1), 0)+IF($CI388&lt;&gt;"",VLOOKUP($CI388,装強!$A$1:BR$1005,COLUMN(装強!BR$1),FALSE),0)</f>
        <v>0</v>
      </c>
      <c r="AW388">
        <f>IF(ISNUMBER(SEARCH(SUBSTITUTE(AW$1,RIGHT(AW$1,2),""),VLOOKUP($D388,素材!$1:$1016,COLUMN($F$1),FALSE))),VLOOKUP($C388,武器!$1:$998,COLUMN($O$1),FALSE)*VLOOKUP($D388,素材!$1:$1016,COLUMN($E$1),FALSE)/(LEN(VLOOKUP($D388,素材!$1:$1016,COLUMN($F$1),FALSE)) - LEN(SUBSTITUTE(VLOOKUP($D388,素材!$1:$1016,COLUMN($F$1),FALSE), "・", 0)) + 1), 0)+IF($CI388&lt;&gt;"",VLOOKUP($CI388,装強!$A$1:BS$1005,COLUMN(装強!BS$1),FALSE),0)</f>
        <v>0</v>
      </c>
      <c r="AX388">
        <f>IF(ISNUMBER(SEARCH(SUBSTITUTE(AX$1,RIGHT(AX$1,2),""),VLOOKUP($D388,素材!$1:$1016,COLUMN($F$1),FALSE))),VLOOKUP($C388,武器!$1:$998,COLUMN($O$1),FALSE)*VLOOKUP($D388,素材!$1:$1016,COLUMN($E$1),FALSE)/(LEN(VLOOKUP($D388,素材!$1:$1016,COLUMN($F$1),FALSE)) - LEN(SUBSTITUTE(VLOOKUP($D388,素材!$1:$1016,COLUMN($F$1),FALSE), "・", 0)) + 1), 0)+IF($CI388&lt;&gt;"",VLOOKUP($CI388,装強!$A$1:BT$1005,COLUMN(装強!BT$1),FALSE),0)</f>
        <v>0</v>
      </c>
      <c r="AY388">
        <f>IF(ISNUMBER(SEARCH(SUBSTITUTE(AY$1,RIGHT(AY$1,2),""),VLOOKUP($D388,素材!$1:$1016,COLUMN($F$1),FALSE))),VLOOKUP($C388,武器!$1:$998,COLUMN($O$1),FALSE)*VLOOKUP($D388,素材!$1:$1016,COLUMN($E$1),FALSE)/(LEN(VLOOKUP($D388,素材!$1:$1016,COLUMN($F$1),FALSE)) - LEN(SUBSTITUTE(VLOOKUP($D388,素材!$1:$1016,COLUMN($F$1),FALSE), "・", 0)) + 1), 0)+IF($CI388&lt;&gt;"",VLOOKUP($CI388,装強!$A$1:BU$1005,COLUMN(装強!BU$1),FALSE),0)</f>
        <v>0</v>
      </c>
      <c r="AZ388">
        <f>IF(ISNUMBER(SEARCH(SUBSTITUTE(AZ$1,RIGHT(AZ$1,2),""),VLOOKUP($D388,素材!$1:$1016,COLUMN($F$1),FALSE))),VLOOKUP($C388,武器!$1:$998,COLUMN($O$1),FALSE)*VLOOKUP($D388,素材!$1:$1016,COLUMN($E$1),FALSE)/(LEN(VLOOKUP($D388,素材!$1:$1016,COLUMN($F$1),FALSE)) - LEN(SUBSTITUTE(VLOOKUP($D388,素材!$1:$1016,COLUMN($F$1),FALSE), "・", 0)) + 1), 0)+IF($CI388&lt;&gt;"",VLOOKUP($CI388,装強!$A$1:BV$1005,COLUMN(装強!BV$1),FALSE),0)</f>
        <v>0</v>
      </c>
      <c r="BA388">
        <f>IF(ISNUMBER(SEARCH(SUBSTITUTE(BA$1,RIGHT(BA$1,2),""),VLOOKUP($D388,素材!$1:$1016,COLUMN($F$1),FALSE))),VLOOKUP($C388,武器!$1:$998,COLUMN($O$1),FALSE)*VLOOKUP($D388,素材!$1:$1016,COLUMN($E$1),FALSE)/(LEN(VLOOKUP($D388,素材!$1:$1016,COLUMN($F$1),FALSE)) - LEN(SUBSTITUTE(VLOOKUP($D388,素材!$1:$1016,COLUMN($F$1),FALSE), "・", 0)) + 1), 0)+IF($CI388&lt;&gt;"",VLOOKUP($CI388,装強!$A$1:BW$1005,COLUMN(装強!BW$1),FALSE),0)</f>
        <v>0</v>
      </c>
      <c r="BB388">
        <f>IF(ISNUMBER(SEARCH(SUBSTITUTE(BB$1,RIGHT(BB$1,2),""),VLOOKUP($D388,素材!$1:$1016,COLUMN($F$1),FALSE))),VLOOKUP($C388,武器!$1:$998,COLUMN($O$1),FALSE)*VLOOKUP($D388,素材!$1:$1016,COLUMN($E$1),FALSE)/(LEN(VLOOKUP($D388,素材!$1:$1016,COLUMN($F$1),FALSE)) - LEN(SUBSTITUTE(VLOOKUP($D388,素材!$1:$1016,COLUMN($F$1),FALSE), "・", 0)) + 1), 0)+IF($CI388&lt;&gt;"",VLOOKUP($CI388,装強!$A$1:BX$1005,COLUMN(装強!BX$1),FALSE),0)</f>
        <v>0</v>
      </c>
      <c r="BC388">
        <f>IF(ISNUMBER(SEARCH(SUBSTITUTE(BC$1,RIGHT(BC$1,2),""),VLOOKUP($D388,素材!$1:$1016,COLUMN($F$1),FALSE))),VLOOKUP($C388,武器!$1:$998,COLUMN($O$1),FALSE)*VLOOKUP($D388,素材!$1:$1016,COLUMN($E$1),FALSE)/(LEN(VLOOKUP($D388,素材!$1:$1016,COLUMN($F$1),FALSE)) - LEN(SUBSTITUTE(VLOOKUP($D388,素材!$1:$1016,COLUMN($F$1),FALSE), "・", 0)) + 1), 0)+IF($CI388&lt;&gt;"",VLOOKUP($CI388,装強!$A$1:BY$1005,COLUMN(装強!BY$1),FALSE),0)</f>
        <v>0</v>
      </c>
      <c r="BD388">
        <f>IF(ISNUMBER(SEARCH(SUBSTITUTE(BD$1,RIGHT(BD$1,2),""),VLOOKUP($D388,素材!$1:$1016,COLUMN($F$1),FALSE))),VLOOKUP($C388,武器!$1:$998,COLUMN($O$1),FALSE)*VLOOKUP($D388,素材!$1:$1016,COLUMN($E$1),FALSE)/(LEN(VLOOKUP($D388,素材!$1:$1016,COLUMN($F$1),FALSE)) - LEN(SUBSTITUTE(VLOOKUP($D388,素材!$1:$1016,COLUMN($F$1),FALSE), "・", 0)) + 1), 0)+IF($CI388&lt;&gt;"",VLOOKUP($CI388,装強!$A$1:BZ$1005,COLUMN(装強!BZ$1),FALSE),0)</f>
        <v>0</v>
      </c>
      <c r="BE388">
        <f>IF(ISNUMBER(SEARCH(SUBSTITUTE(BE$1,RIGHT(BE$1,2),""),VLOOKUP($D388,素材!$1:$1016,COLUMN($F$1),FALSE))),VLOOKUP($C388,武器!$1:$998,COLUMN($O$1),FALSE)*VLOOKUP($D388,素材!$1:$1016,COLUMN($E$1),FALSE)/(LEN(VLOOKUP($D388,素材!$1:$1016,COLUMN($F$1),FALSE)) - LEN(SUBSTITUTE(VLOOKUP($D388,素材!$1:$1016,COLUMN($F$1),FALSE), "・", 0)) + 1), 0)+IF($CI388&lt;&gt;"",VLOOKUP($CI388,装強!$A$1:CA$1005,COLUMN(装強!CA$1),FALSE),0)</f>
        <v>0</v>
      </c>
      <c r="CL388">
        <f>SUM(G388:I388)</f>
        <v>0</v>
      </c>
      <c r="CM388" s="22" t="str">
        <f>IF(E388="武器",IF(J388-1&gt;SUM(G388:I388),"盾",IF(MAX(G388:I388)=G388,"切断",IF(MAX(G388:I388)=H388,"貫通",IF(MAX(G388:I388)=I388,"打撃","射撃")))),E388)&amp;".webp"</f>
        <v>.webp</v>
      </c>
      <c r="CN388" t="str">
        <f>IFERROR(VLOOKUP($C388,武器!$1:$998,COLUMN(V$1),FALSE)*VLOOKUP($D388,素材!$1:$1016,COLUMN(N$1),FALSE)+IF(CI388="",0,VLOOKUP($CI388,装強!$1:$1008,COLUMN($CK$1),FALSE)),"")</f>
        <v/>
      </c>
      <c r="CO388" t="e">
        <f>VLOOKUP(D388,素材!$A:$O,COLUMN(素材!O$1),FALSE)</f>
        <v>#N/A</v>
      </c>
      <c r="CP388" t="e">
        <f>VLOOKUP(C388,武器!$A:$W,COLUMN(武器!W$1),FALSE)</f>
        <v>#N/A</v>
      </c>
      <c r="CR388" t="str">
        <f t="shared" si="39"/>
        <v>e_388</v>
      </c>
      <c r="CS388" t="e">
        <f t="shared" si="41"/>
        <v>#VALUE!</v>
      </c>
    </row>
    <row r="389" spans="2:97" x14ac:dyDescent="0.4">
      <c r="B389" t="str">
        <f>IFERROR(VLOOKUP($D389,素材!$1:$1016,COLUMN($B$1),FALSE)&amp;"・"&amp;VLOOKUP($C389,武器!$1:$998,COLUMN(B$1),FALSE),"")</f>
        <v/>
      </c>
      <c r="D389" s="24"/>
      <c r="E389" t="str">
        <f>IFERROR(VLOOKUP(C389,武器!$1:$998,COLUMN(C$1),FALSE),"")</f>
        <v/>
      </c>
      <c r="F389" t="str">
        <f>IFERROR(ROUNDDOWN((VLOOKUP($C389,武器!$1:$998,COLUMN(D$1),FALSE)+IFERROR(VLOOKUP($CI389,装強!$1:$999,COLUMN(F$1),FALSE),0))*VLOOKUP($D389,素材!$1:$1016,COLUMN(D$1),FALSE),0),"")</f>
        <v/>
      </c>
      <c r="G389" t="str">
        <f>IFERROR(ROUNDDOWN((VLOOKUP($C389,武器!$1:$998,COLUMN(E$1),FALSE)+IFERROR(VLOOKUP($CI389,装強!$1:$999,COLUMN(G$1),FALSE),0))*VLOOKUP($D389,素材!$1:$1016,COLUMN($E$1),FALSE),0),"")</f>
        <v/>
      </c>
      <c r="H389" t="str">
        <f>IFERROR(ROUNDDOWN((VLOOKUP($C389,武器!$1:$998,COLUMN(F$1),FALSE)+IFERROR(VLOOKUP($CI389,装強!$1:$999,COLUMN(H$1),FALSE),0))*VLOOKUP($D389,素材!$1:$1016,COLUMN($E$1),FALSE),0),"")</f>
        <v/>
      </c>
      <c r="I389" t="str">
        <f>IFERROR(ROUNDDOWN((VLOOKUP($C389,武器!$1:$998,COLUMN(G$1),FALSE)+IFERROR(VLOOKUP($CI389,装強!$1:$999,COLUMN(I$1),FALSE),0))*VLOOKUP($D389,素材!$1:$1016,COLUMN($E$1),FALSE),0),"")</f>
        <v/>
      </c>
      <c r="J389" t="str">
        <f>IFERROR(ROUNDDOWN((VLOOKUP($C389,武器!$1:$998,COLUMN(H$1),FALSE)+IFERROR(VLOOKUP($CI389,装強!$1:$999,COLUMN(J$1),FALSE),0))*VLOOKUP($D389,素材!$1:$1016,COLUMN($E$1),FALSE),0),"")</f>
        <v/>
      </c>
      <c r="K389" t="str">
        <f>IFERROR(ROUNDDOWN((VLOOKUP($C389,武器!$1:$998,COLUMN(I$1),FALSE)+IFERROR(VLOOKUP($CI389,装強!$1:$999,COLUMN(K$1),FALSE),0))*VLOOKUP($D389,素材!$1:$1016,COLUMN($E$1),FALSE),0),"")</f>
        <v/>
      </c>
      <c r="L389" t="str">
        <f>IFERROR(VLOOKUP($D389,素材!$1:$1016,COLUMN($F$1),FALSE),"")</f>
        <v/>
      </c>
      <c r="M389" t="str">
        <f>IFERROR(VLOOKUP($C389,武器!$1:$998,COLUMN(AA$1),FALSE)*VLOOKUP($D389,素材!$1:$1016,COLUMN($G$1),FALSE),"")</f>
        <v/>
      </c>
      <c r="N389" t="str">
        <f>IFERROR(VLOOKUP($C389,武器!$1:$998,COLUMN(I$1),FALSE),"")</f>
        <v/>
      </c>
      <c r="O389" s="23" t="str">
        <f>IFERROR((VLOOKUP($C389,武器!$1:$998,COLUMN(K$1),FALSE)+VLOOKUP($D389,素材!$1:$1016,COLUMN(H$1),FALSE))*100+IFERROR(VLOOKUP($CI389,装強!$1:$999,COLUMN(O$1),FALSE),0),"")</f>
        <v/>
      </c>
      <c r="P389" s="23" t="str">
        <f>IFERROR((VLOOKUP($C389,武器!$1:$998,COLUMN(L$1),FALSE)+VLOOKUP($D389,素材!$1:$1016,COLUMN(I$1),FALSE))*100+IFERROR(VLOOKUP($CI389,装強!$1:$999,COLUMN(P$1),FALSE),0),"")</f>
        <v/>
      </c>
      <c r="Q389" t="str">
        <f>IFERROR(ROUNDUP(VLOOKUP($C389,武器!$1:$998,COLUMN(M$1),FALSE)*(VLOOKUP($D389,素材!$1:$1002,COLUMN(D$1),FALSE)/100),1),"")</f>
        <v/>
      </c>
      <c r="R389" t="str">
        <f>IFERROR(ROUNDUP(VLOOKUP($C389,武器!$1:$998,COLUMN(N$1),FALSE)*(VLOOKUP($D389,素材!$1:$1002,COLUMN(D$1),FALSE)/100),1),"")</f>
        <v/>
      </c>
      <c r="S389" t="str">
        <f>IFERROR(VLOOKUP($C389,武器!$1:$998,COLUMN(P$1),FALSE),"")</f>
        <v/>
      </c>
      <c r="T389" t="str">
        <f>IFERROR(VLOOKUP($C389,武器!$1:$998,COLUMN(Q$1),FALSE),"")</f>
        <v/>
      </c>
      <c r="U389" t="str">
        <f>IFERROR(VLOOKUP($C389,武器!$1:$998,COLUMN(R$1),FALSE),"")</f>
        <v/>
      </c>
      <c r="V389" t="str">
        <f>IFERROR(VLOOKUP($C389,武器!$1:$998,COLUMN(Q$1),FALSE),"")</f>
        <v/>
      </c>
      <c r="W389" t="str">
        <f>IFERROR(VLOOKUP($C389,武器!$1:$998,COLUMN(T$1),FALSE),"")</f>
        <v/>
      </c>
      <c r="Y389" t="str">
        <f>IFERROR(VLOOKUP($C389,武器!$1:$998,COLUMN(U$1),FALSE),"")</f>
        <v/>
      </c>
      <c r="Z389" t="str">
        <f>IFERROR(ROUNDUP(VLOOKUP($C389,武器!$1:$998,COLUMN(O$1),FALSE)*VLOOKUP($D389,素材!$1:$1016,COLUMN(E$1),FALSE),1),"")</f>
        <v/>
      </c>
      <c r="AA389">
        <f>IF(ISNUMBER(SEARCH(SUBSTITUTE(AA$1,RIGHT(AA$1,2),""),VLOOKUP($D389,素材!$1:$1016,COLUMN($F$1),FALSE))),VLOOKUP($C389,武器!$1:$998,COLUMN($O$1),FALSE)*VLOOKUP($D389,素材!$1:$1016,COLUMN($E$1),FALSE)/(LEN(VLOOKUP($D389,素材!$1:$1016,COLUMN($F$1),FALSE)) - LEN(SUBSTITUTE(VLOOKUP($D389,素材!$1:$1016,COLUMN($F$1),FALSE), "・", 0)) + 1), 0)</f>
        <v>0</v>
      </c>
      <c r="AB389">
        <f>IF(ISNUMBER(SEARCH(SUBSTITUTE(AB$1,RIGHT(AB$1,2),""),VLOOKUP($D389,素材!$1:$1016,COLUMN($F$1),FALSE))),VLOOKUP($C389,武器!$1:$998,COLUMN($O$1),FALSE)*VLOOKUP($D389,素材!$1:$1016,COLUMN($E$1),FALSE)/(LEN(VLOOKUP($D389,素材!$1:$1016,COLUMN($F$1),FALSE)) - LEN(SUBSTITUTE(VLOOKUP($D389,素材!$1:$1016,COLUMN($F$1),FALSE), "・", 0)) + 1), 0)</f>
        <v>0</v>
      </c>
      <c r="AC389">
        <f>IF(ISNUMBER(SEARCH(SUBSTITUTE(AC$1,RIGHT(AC$1,2),""),VLOOKUP($D389,素材!$1:$1016,COLUMN($F$1),FALSE))),VLOOKUP($C389,武器!$1:$998,COLUMN($O$1),FALSE)*VLOOKUP($D389,素材!$1:$1016,COLUMN($E$1),FALSE)/(LEN(VLOOKUP($D389,素材!$1:$1016,COLUMN($F$1),FALSE)) - LEN(SUBSTITUTE(VLOOKUP($D389,素材!$1:$1016,COLUMN($F$1),FALSE), "・", 0)) + 1), 0)</f>
        <v>0</v>
      </c>
      <c r="AD389">
        <f>IF(ISNUMBER(SEARCH(SUBSTITUTE(AD$1,RIGHT(AD$1,2),""),VLOOKUP($D389,素材!$1:$1016,COLUMN($F$1),FALSE))),VLOOKUP($C389,武器!$1:$998,COLUMN($O$1),FALSE)*VLOOKUP($D389,素材!$1:$1016,COLUMN($E$1),FALSE)/(LEN(VLOOKUP($D389,素材!$1:$1016,COLUMN($F$1),FALSE)) - LEN(SUBSTITUTE(VLOOKUP($D389,素材!$1:$1016,COLUMN($F$1),FALSE), "・", 0)) + 1), 0)</f>
        <v>0</v>
      </c>
      <c r="AE389">
        <f>IF(ISNUMBER(SEARCH(SUBSTITUTE(AE$1,RIGHT(AE$1,2),""),VLOOKUP($D389,素材!$1:$1016,COLUMN($F$1),FALSE))),VLOOKUP($C389,武器!$1:$998,COLUMN($O$1),FALSE)*VLOOKUP($D389,素材!$1:$1016,COLUMN($E$1),FALSE)/(LEN(VLOOKUP($D389,素材!$1:$1016,COLUMN($F$1),FALSE)) - LEN(SUBSTITUTE(VLOOKUP($D389,素材!$1:$1016,COLUMN($F$1),FALSE), "・", 0)) + 1), 0)+IF($CI389&lt;&gt;"",VLOOKUP($CI389,装強!$A$1:AZ$1005,COLUMN(装強!AZ$1),FALSE),0)</f>
        <v>0</v>
      </c>
      <c r="AF389">
        <f>IF(ISNUMBER(SEARCH(SUBSTITUTE(AF$1,RIGHT(AF$1,2),""),VLOOKUP($D389,素材!$1:$1016,COLUMN($F$1),FALSE))),VLOOKUP($C389,武器!$1:$998,COLUMN($O$1),FALSE)*VLOOKUP($D389,素材!$1:$1016,COLUMN($E$1),FALSE)/(LEN(VLOOKUP($D389,素材!$1:$1016,COLUMN($F$1),FALSE)) - LEN(SUBSTITUTE(VLOOKUP($D389,素材!$1:$1016,COLUMN($F$1),FALSE), "・", 0)) + 1), 0)+IF($CI389&lt;&gt;"",VLOOKUP($CI389,装強!$A$1:BA$1005,COLUMN(装強!BA$1),FALSE),0)</f>
        <v>0</v>
      </c>
      <c r="AG389">
        <f>IF(ISNUMBER(SEARCH(SUBSTITUTE(AG$1,RIGHT(AG$1,2),""),VLOOKUP($D389,素材!$1:$1016,COLUMN($F$1),FALSE))),VLOOKUP($C389,武器!$1:$998,COLUMN($O$1),FALSE)*VLOOKUP($D389,素材!$1:$1016,COLUMN($E$1),FALSE)/(LEN(VLOOKUP($D389,素材!$1:$1016,COLUMN($F$1),FALSE)) - LEN(SUBSTITUTE(VLOOKUP($D389,素材!$1:$1016,COLUMN($F$1),FALSE), "・", 0)) + 1), 0)+IF($CI389&lt;&gt;"",VLOOKUP($CI389,装強!$A$1:BB$1005,COLUMN(装強!BB$1),FALSE),0)</f>
        <v>0</v>
      </c>
      <c r="AH389">
        <f>IF(ISNUMBER(SEARCH(SUBSTITUTE(AH$1,RIGHT(AH$1,2),""),VLOOKUP($D389,素材!$1:$1016,COLUMN($F$1),FALSE))),VLOOKUP($C389,武器!$1:$998,COLUMN($O$1),FALSE)*VLOOKUP($D389,素材!$1:$1016,COLUMN($E$1),FALSE)/(LEN(VLOOKUP($D389,素材!$1:$1016,COLUMN($F$1),FALSE)) - LEN(SUBSTITUTE(VLOOKUP($D389,素材!$1:$1016,COLUMN($F$1),FALSE), "・", 0)) + 1), 0)+IF($CI389&lt;&gt;"",VLOOKUP($CI389,装強!$A$1:BC$1005,COLUMN(装強!BC$1),FALSE),0)</f>
        <v>0</v>
      </c>
      <c r="AI389">
        <f>IF(ISNUMBER(SEARCH(SUBSTITUTE(AI$1,RIGHT(AI$1,2),""),VLOOKUP($D389,素材!$1:$1016,COLUMN($F$1),FALSE))),VLOOKUP($C389,武器!$1:$998,COLUMN($O$1),FALSE)*VLOOKUP($D389,素材!$1:$1016,COLUMN($E$1),FALSE)/(LEN(VLOOKUP($D389,素材!$1:$1016,COLUMN($F$1),FALSE)) - LEN(SUBSTITUTE(VLOOKUP($D389,素材!$1:$1016,COLUMN($F$1),FALSE), "・", 0)) + 1), 0)+IF($CI389&lt;&gt;"",VLOOKUP($CI389,装強!$A$1:BD$1005,COLUMN(装強!BD$1),FALSE),0)</f>
        <v>0</v>
      </c>
      <c r="AJ389">
        <f>IF(ISNUMBER(SEARCH(SUBSTITUTE(AJ$1,RIGHT(AJ$1,2),""),VLOOKUP($D389,素材!$1:$1016,COLUMN($F$1),FALSE))),VLOOKUP($C389,武器!$1:$998,COLUMN($O$1),FALSE)*VLOOKUP($D389,素材!$1:$1016,COLUMN($E$1),FALSE)/(LEN(VLOOKUP($D389,素材!$1:$1016,COLUMN($F$1),FALSE)) - LEN(SUBSTITUTE(VLOOKUP($D389,素材!$1:$1016,COLUMN($F$1),FALSE), "・", 0)) + 1), 0)+IF($CI389&lt;&gt;"",VLOOKUP($CI389,装強!$A$1:BE$1005,COLUMN(装強!BE$1),FALSE),0)</f>
        <v>0</v>
      </c>
      <c r="AK389">
        <f>IF(ISNUMBER(SEARCH(SUBSTITUTE(AK$1,RIGHT(AK$1,2),""),VLOOKUP($D389,素材!$1:$1016,COLUMN($F$1),FALSE))),VLOOKUP($C389,武器!$1:$998,COLUMN($O$1),FALSE)*VLOOKUP($D389,素材!$1:$1016,COLUMN($E$1),FALSE)/(LEN(VLOOKUP($D389,素材!$1:$1016,COLUMN($F$1),FALSE)) - LEN(SUBSTITUTE(VLOOKUP($D389,素材!$1:$1016,COLUMN($F$1),FALSE), "・", 0)) + 1), 0)+IF($CI389&lt;&gt;"",VLOOKUP($CI389,装強!$A$1:BF$1005,COLUMN(装強!BF$1),FALSE),0)</f>
        <v>0</v>
      </c>
      <c r="AL389">
        <f>IF(ISNUMBER(SEARCH(SUBSTITUTE(AL$1,RIGHT(AL$1,2),""),VLOOKUP($D389,素材!$1:$1016,COLUMN($F$1),FALSE))),VLOOKUP($C389,武器!$1:$998,COLUMN($O$1),FALSE)*VLOOKUP($D389,素材!$1:$1016,COLUMN($E$1),FALSE)/(LEN(VLOOKUP($D389,素材!$1:$1016,COLUMN($F$1),FALSE)) - LEN(SUBSTITUTE(VLOOKUP($D389,素材!$1:$1016,COLUMN($F$1),FALSE), "・", 0)) + 1), 0)+IF($CI389&lt;&gt;"",VLOOKUP($CI389,装強!$A$1:BG$1005,COLUMN(装強!BG$1),FALSE),0)</f>
        <v>0</v>
      </c>
      <c r="AM389">
        <f>IF(ISNUMBER(SEARCH(SUBSTITUTE(AM$1,RIGHT(AM$1,2),""),VLOOKUP($D389,素材!$1:$1016,COLUMN($F$1),FALSE))),VLOOKUP($C389,武器!$1:$998,COLUMN($O$1),FALSE)*VLOOKUP($D389,素材!$1:$1016,COLUMN($E$1),FALSE)/(LEN(VLOOKUP($D389,素材!$1:$1016,COLUMN($F$1),FALSE)) - LEN(SUBSTITUTE(VLOOKUP($D389,素材!$1:$1016,COLUMN($F$1),FALSE), "・", 0)) + 1), 0)+IF($CI389&lt;&gt;"",VLOOKUP($CI389,装強!$A$1:BH$1005,COLUMN(装強!BH$1),FALSE),0)</f>
        <v>0</v>
      </c>
      <c r="AN389">
        <f>IF(ISNUMBER(SEARCH(SUBSTITUTE(AN$1,RIGHT(AN$1,2),""),VLOOKUP($D389,素材!$1:$1016,COLUMN($F$1),FALSE))),VLOOKUP($C389,武器!$1:$998,COLUMN($O$1),FALSE)*VLOOKUP($D389,素材!$1:$1016,COLUMN($E$1),FALSE)/(LEN(VLOOKUP($D389,素材!$1:$1016,COLUMN($F$1),FALSE)) - LEN(SUBSTITUTE(VLOOKUP($D389,素材!$1:$1016,COLUMN($F$1),FALSE), "・", 0)) + 1), 0)+IF($CI389&lt;&gt;"",VLOOKUP($CI389,装強!$A$1:BI$1005,COLUMN(装強!BI$1),FALSE),0)</f>
        <v>0</v>
      </c>
      <c r="AO389">
        <f>IF(ISNUMBER(SEARCH(SUBSTITUTE(AO$1,RIGHT(AO$1,2),""),VLOOKUP($D389,素材!$1:$1016,COLUMN($F$1),FALSE))),VLOOKUP($C389,武器!$1:$998,COLUMN($O$1),FALSE)*VLOOKUP($D389,素材!$1:$1016,COLUMN($E$1),FALSE)/(LEN(VLOOKUP($D389,素材!$1:$1016,COLUMN($F$1),FALSE)) - LEN(SUBSTITUTE(VLOOKUP($D389,素材!$1:$1016,COLUMN($F$1),FALSE), "・", 0)) + 1), 0)+IF($CI389&lt;&gt;"",VLOOKUP($CI389,装強!$A$1:BK$1005,COLUMN(装強!BK$1),FALSE),0)</f>
        <v>0</v>
      </c>
      <c r="AP389">
        <f>IF(ISNUMBER(SEARCH(SUBSTITUTE(AP$1,RIGHT(AP$1,2),""),VLOOKUP($D389,素材!$1:$1016,COLUMN($F$1),FALSE))),VLOOKUP($C389,武器!$1:$998,COLUMN($O$1),FALSE)*VLOOKUP($D389,素材!$1:$1016,COLUMN($E$1),FALSE)/(LEN(VLOOKUP($D389,素材!$1:$1016,COLUMN($F$1),FALSE)) - LEN(SUBSTITUTE(VLOOKUP($D389,素材!$1:$1016,COLUMN($F$1),FALSE), "・", 0)) + 1), 0)+IF($CI389&lt;&gt;"",VLOOKUP($CI389,装強!$A$1:BL$1005,COLUMN(装強!BL$1),FALSE),0)</f>
        <v>0</v>
      </c>
      <c r="AQ389">
        <f>IF(ISNUMBER(SEARCH(SUBSTITUTE(AQ$1,RIGHT(AQ$1,2),""),VLOOKUP($D389,素材!$1:$1016,COLUMN($F$1),FALSE))),VLOOKUP($C389,武器!$1:$998,COLUMN($O$1),FALSE)*VLOOKUP($D389,素材!$1:$1016,COLUMN($E$1),FALSE)/(LEN(VLOOKUP($D389,素材!$1:$1016,COLUMN($F$1),FALSE)) - LEN(SUBSTITUTE(VLOOKUP($D389,素材!$1:$1016,COLUMN($F$1),FALSE), "・", 0)) + 1), 0)+IF($CI389&lt;&gt;"",VLOOKUP($CI389,装強!$A$1:BM$1005,COLUMN(装強!BM$1),FALSE),0)</f>
        <v>0</v>
      </c>
      <c r="AR389">
        <f>IF(ISNUMBER(SEARCH(SUBSTITUTE(AR$1,RIGHT(AR$1,2),""),VLOOKUP($D389,素材!$1:$1016,COLUMN($F$1),FALSE))),VLOOKUP($C389,武器!$1:$998,COLUMN($O$1),FALSE)*VLOOKUP($D389,素材!$1:$1016,COLUMN($E$1),FALSE)/(LEN(VLOOKUP($D389,素材!$1:$1016,COLUMN($F$1),FALSE)) - LEN(SUBSTITUTE(VLOOKUP($D389,素材!$1:$1016,COLUMN($F$1),FALSE), "・", 0)) + 1), 0)+IF($CI389&lt;&gt;"",VLOOKUP($CI389,装強!$A$1:BN$1005,COLUMN(装強!BN$1),FALSE),0)</f>
        <v>0</v>
      </c>
      <c r="AS389">
        <f>IF(ISNUMBER(SEARCH(SUBSTITUTE(AS$1,RIGHT(AS$1,2),""),VLOOKUP($D389,素材!$1:$1016,COLUMN($F$1),FALSE))),VLOOKUP($C389,武器!$1:$998,COLUMN($O$1),FALSE)*VLOOKUP($D389,素材!$1:$1016,COLUMN($E$1),FALSE)/(LEN(VLOOKUP($D389,素材!$1:$1016,COLUMN($F$1),FALSE)) - LEN(SUBSTITUTE(VLOOKUP($D389,素材!$1:$1016,COLUMN($F$1),FALSE), "・", 0)) + 1), 0)+IF($CI389&lt;&gt;"",VLOOKUP($CI389,装強!$A$1:BO$1005,COLUMN(装強!BO$1),FALSE),0)</f>
        <v>0</v>
      </c>
      <c r="AT389">
        <f>IF(ISNUMBER(SEARCH(SUBSTITUTE(AT$1,RIGHT(AT$1,2),""),VLOOKUP($D389,素材!$1:$1016,COLUMN($F$1),FALSE))),VLOOKUP($C389,武器!$1:$998,COLUMN($O$1),FALSE)*VLOOKUP($D389,素材!$1:$1016,COLUMN($E$1),FALSE)/(LEN(VLOOKUP($D389,素材!$1:$1016,COLUMN($F$1),FALSE)) - LEN(SUBSTITUTE(VLOOKUP($D389,素材!$1:$1016,COLUMN($F$1),FALSE), "・", 0)) + 1), 0)+IF($CI389&lt;&gt;"",VLOOKUP($CI389,装強!$A$1:BP$1005,COLUMN(装強!BP$1),FALSE),0)</f>
        <v>0</v>
      </c>
      <c r="AU389">
        <f>IF(ISNUMBER(SEARCH(SUBSTITUTE(AU$1,RIGHT(AU$1,2),""),VLOOKUP($D389,素材!$1:$1016,COLUMN($F$1),FALSE))),VLOOKUP($C389,武器!$1:$998,COLUMN($O$1),FALSE)*VLOOKUP($D389,素材!$1:$1016,COLUMN($E$1),FALSE)/(LEN(VLOOKUP($D389,素材!$1:$1016,COLUMN($F$1),FALSE)) - LEN(SUBSTITUTE(VLOOKUP($D389,素材!$1:$1016,COLUMN($F$1),FALSE), "・", 0)) + 1), 0)+IF($CI389&lt;&gt;"",VLOOKUP($CI389,装強!$A$1:BQ$1005,COLUMN(装強!BQ$1),FALSE),0)</f>
        <v>0</v>
      </c>
      <c r="AV389">
        <f>IF(ISNUMBER(SEARCH(SUBSTITUTE(AV$1,RIGHT(AV$1,2),""),VLOOKUP($D389,素材!$1:$1016,COLUMN($F$1),FALSE))),VLOOKUP($C389,武器!$1:$998,COLUMN($O$1),FALSE)*VLOOKUP($D389,素材!$1:$1016,COLUMN($E$1),FALSE)/(LEN(VLOOKUP($D389,素材!$1:$1016,COLUMN($F$1),FALSE)) - LEN(SUBSTITUTE(VLOOKUP($D389,素材!$1:$1016,COLUMN($F$1),FALSE), "・", 0)) + 1), 0)+IF($CI389&lt;&gt;"",VLOOKUP($CI389,装強!$A$1:BR$1005,COLUMN(装強!BR$1),FALSE),0)</f>
        <v>0</v>
      </c>
      <c r="AW389">
        <f>IF(ISNUMBER(SEARCH(SUBSTITUTE(AW$1,RIGHT(AW$1,2),""),VLOOKUP($D389,素材!$1:$1016,COLUMN($F$1),FALSE))),VLOOKUP($C389,武器!$1:$998,COLUMN($O$1),FALSE)*VLOOKUP($D389,素材!$1:$1016,COLUMN($E$1),FALSE)/(LEN(VLOOKUP($D389,素材!$1:$1016,COLUMN($F$1),FALSE)) - LEN(SUBSTITUTE(VLOOKUP($D389,素材!$1:$1016,COLUMN($F$1),FALSE), "・", 0)) + 1), 0)+IF($CI389&lt;&gt;"",VLOOKUP($CI389,装強!$A$1:BS$1005,COLUMN(装強!BS$1),FALSE),0)</f>
        <v>0</v>
      </c>
      <c r="AX389">
        <f>IF(ISNUMBER(SEARCH(SUBSTITUTE(AX$1,RIGHT(AX$1,2),""),VLOOKUP($D389,素材!$1:$1016,COLUMN($F$1),FALSE))),VLOOKUP($C389,武器!$1:$998,COLUMN($O$1),FALSE)*VLOOKUP($D389,素材!$1:$1016,COLUMN($E$1),FALSE)/(LEN(VLOOKUP($D389,素材!$1:$1016,COLUMN($F$1),FALSE)) - LEN(SUBSTITUTE(VLOOKUP($D389,素材!$1:$1016,COLUMN($F$1),FALSE), "・", 0)) + 1), 0)+IF($CI389&lt;&gt;"",VLOOKUP($CI389,装強!$A$1:BT$1005,COLUMN(装強!BT$1),FALSE),0)</f>
        <v>0</v>
      </c>
      <c r="AY389">
        <f>IF(ISNUMBER(SEARCH(SUBSTITUTE(AY$1,RIGHT(AY$1,2),""),VLOOKUP($D389,素材!$1:$1016,COLUMN($F$1),FALSE))),VLOOKUP($C389,武器!$1:$998,COLUMN($O$1),FALSE)*VLOOKUP($D389,素材!$1:$1016,COLUMN($E$1),FALSE)/(LEN(VLOOKUP($D389,素材!$1:$1016,COLUMN($F$1),FALSE)) - LEN(SUBSTITUTE(VLOOKUP($D389,素材!$1:$1016,COLUMN($F$1),FALSE), "・", 0)) + 1), 0)+IF($CI389&lt;&gt;"",VLOOKUP($CI389,装強!$A$1:BU$1005,COLUMN(装強!BU$1),FALSE),0)</f>
        <v>0</v>
      </c>
      <c r="AZ389">
        <f>IF(ISNUMBER(SEARCH(SUBSTITUTE(AZ$1,RIGHT(AZ$1,2),""),VLOOKUP($D389,素材!$1:$1016,COLUMN($F$1),FALSE))),VLOOKUP($C389,武器!$1:$998,COLUMN($O$1),FALSE)*VLOOKUP($D389,素材!$1:$1016,COLUMN($E$1),FALSE)/(LEN(VLOOKUP($D389,素材!$1:$1016,COLUMN($F$1),FALSE)) - LEN(SUBSTITUTE(VLOOKUP($D389,素材!$1:$1016,COLUMN($F$1),FALSE), "・", 0)) + 1), 0)+IF($CI389&lt;&gt;"",VLOOKUP($CI389,装強!$A$1:BV$1005,COLUMN(装強!BV$1),FALSE),0)</f>
        <v>0</v>
      </c>
      <c r="BA389">
        <f>IF(ISNUMBER(SEARCH(SUBSTITUTE(BA$1,RIGHT(BA$1,2),""),VLOOKUP($D389,素材!$1:$1016,COLUMN($F$1),FALSE))),VLOOKUP($C389,武器!$1:$998,COLUMN($O$1),FALSE)*VLOOKUP($D389,素材!$1:$1016,COLUMN($E$1),FALSE)/(LEN(VLOOKUP($D389,素材!$1:$1016,COLUMN($F$1),FALSE)) - LEN(SUBSTITUTE(VLOOKUP($D389,素材!$1:$1016,COLUMN($F$1),FALSE), "・", 0)) + 1), 0)+IF($CI389&lt;&gt;"",VLOOKUP($CI389,装強!$A$1:BW$1005,COLUMN(装強!BW$1),FALSE),0)</f>
        <v>0</v>
      </c>
      <c r="BB389">
        <f>IF(ISNUMBER(SEARCH(SUBSTITUTE(BB$1,RIGHT(BB$1,2),""),VLOOKUP($D389,素材!$1:$1016,COLUMN($F$1),FALSE))),VLOOKUP($C389,武器!$1:$998,COLUMN($O$1),FALSE)*VLOOKUP($D389,素材!$1:$1016,COLUMN($E$1),FALSE)/(LEN(VLOOKUP($D389,素材!$1:$1016,COLUMN($F$1),FALSE)) - LEN(SUBSTITUTE(VLOOKUP($D389,素材!$1:$1016,COLUMN($F$1),FALSE), "・", 0)) + 1), 0)+IF($CI389&lt;&gt;"",VLOOKUP($CI389,装強!$A$1:BX$1005,COLUMN(装強!BX$1),FALSE),0)</f>
        <v>0</v>
      </c>
      <c r="BC389">
        <f>IF(ISNUMBER(SEARCH(SUBSTITUTE(BC$1,RIGHT(BC$1,2),""),VLOOKUP($D389,素材!$1:$1016,COLUMN($F$1),FALSE))),VLOOKUP($C389,武器!$1:$998,COLUMN($O$1),FALSE)*VLOOKUP($D389,素材!$1:$1016,COLUMN($E$1),FALSE)/(LEN(VLOOKUP($D389,素材!$1:$1016,COLUMN($F$1),FALSE)) - LEN(SUBSTITUTE(VLOOKUP($D389,素材!$1:$1016,COLUMN($F$1),FALSE), "・", 0)) + 1), 0)+IF($CI389&lt;&gt;"",VLOOKUP($CI389,装強!$A$1:BY$1005,COLUMN(装強!BY$1),FALSE),0)</f>
        <v>0</v>
      </c>
      <c r="BD389">
        <f>IF(ISNUMBER(SEARCH(SUBSTITUTE(BD$1,RIGHT(BD$1,2),""),VLOOKUP($D389,素材!$1:$1016,COLUMN($F$1),FALSE))),VLOOKUP($C389,武器!$1:$998,COLUMN($O$1),FALSE)*VLOOKUP($D389,素材!$1:$1016,COLUMN($E$1),FALSE)/(LEN(VLOOKUP($D389,素材!$1:$1016,COLUMN($F$1),FALSE)) - LEN(SUBSTITUTE(VLOOKUP($D389,素材!$1:$1016,COLUMN($F$1),FALSE), "・", 0)) + 1), 0)+IF($CI389&lt;&gt;"",VLOOKUP($CI389,装強!$A$1:BZ$1005,COLUMN(装強!BZ$1),FALSE),0)</f>
        <v>0</v>
      </c>
      <c r="BE389">
        <f>IF(ISNUMBER(SEARCH(SUBSTITUTE(BE$1,RIGHT(BE$1,2),""),VLOOKUP($D389,素材!$1:$1016,COLUMN($F$1),FALSE))),VLOOKUP($C389,武器!$1:$998,COLUMN($O$1),FALSE)*VLOOKUP($D389,素材!$1:$1016,COLUMN($E$1),FALSE)/(LEN(VLOOKUP($D389,素材!$1:$1016,COLUMN($F$1),FALSE)) - LEN(SUBSTITUTE(VLOOKUP($D389,素材!$1:$1016,COLUMN($F$1),FALSE), "・", 0)) + 1), 0)+IF($CI389&lt;&gt;"",VLOOKUP($CI389,装強!$A$1:CA$1005,COLUMN(装強!CA$1),FALSE),0)</f>
        <v>0</v>
      </c>
      <c r="CL389">
        <f>SUM(G389:I389)</f>
        <v>0</v>
      </c>
      <c r="CM389" s="22" t="str">
        <f>IF(E389="武器",IF(J389-1&gt;SUM(G389:I389),"盾",IF(MAX(G389:I389)=G389,"切断",IF(MAX(G389:I389)=H389,"貫通",IF(MAX(G389:I389)=I389,"打撃","射撃")))),E389)&amp;".webp"</f>
        <v>.webp</v>
      </c>
      <c r="CN389" t="str">
        <f>IFERROR(VLOOKUP($C389,武器!$1:$998,COLUMN(V$1),FALSE)*VLOOKUP($D389,素材!$1:$1016,COLUMN(N$1),FALSE)+IF(CI389="",0,VLOOKUP($CI389,装強!$1:$1008,COLUMN($CK$1),FALSE)),"")</f>
        <v/>
      </c>
      <c r="CO389" t="e">
        <f>VLOOKUP(D389,素材!$A:$O,COLUMN(素材!O$1),FALSE)</f>
        <v>#N/A</v>
      </c>
      <c r="CP389" t="e">
        <f>VLOOKUP(C389,武器!$A:$W,COLUMN(武器!W$1),FALSE)</f>
        <v>#N/A</v>
      </c>
      <c r="CR389" t="str">
        <f t="shared" si="39"/>
        <v>e_389</v>
      </c>
      <c r="CS389" t="e">
        <f t="shared" si="41"/>
        <v>#VALUE!</v>
      </c>
    </row>
    <row r="390" spans="2:97" x14ac:dyDescent="0.4">
      <c r="B390" t="str">
        <f>IFERROR(VLOOKUP($D390,素材!$1:$1016,COLUMN($B$1),FALSE)&amp;"・"&amp;VLOOKUP($C390,武器!$1:$998,COLUMN(B$1),FALSE),"")</f>
        <v/>
      </c>
      <c r="D390" s="24"/>
      <c r="E390" t="str">
        <f>IFERROR(VLOOKUP(C390,武器!$1:$998,COLUMN(C$1),FALSE),"")</f>
        <v/>
      </c>
      <c r="F390" t="str">
        <f>IFERROR(ROUNDDOWN((VLOOKUP($C390,武器!$1:$998,COLUMN(D$1),FALSE)+IFERROR(VLOOKUP($CI390,装強!$1:$999,COLUMN(F$1),FALSE),0))*VLOOKUP($D390,素材!$1:$1016,COLUMN(D$1),FALSE),0),"")</f>
        <v/>
      </c>
      <c r="G390" t="str">
        <f>IFERROR(ROUNDDOWN((VLOOKUP($C390,武器!$1:$998,COLUMN(E$1),FALSE)+IFERROR(VLOOKUP($CI390,装強!$1:$999,COLUMN(G$1),FALSE),0))*VLOOKUP($D390,素材!$1:$1016,COLUMN($E$1),FALSE),0),"")</f>
        <v/>
      </c>
      <c r="H390" t="str">
        <f>IFERROR(ROUNDDOWN((VLOOKUP($C390,武器!$1:$998,COLUMN(F$1),FALSE)+IFERROR(VLOOKUP($CI390,装強!$1:$999,COLUMN(H$1),FALSE),0))*VLOOKUP($D390,素材!$1:$1016,COLUMN($E$1),FALSE),0),"")</f>
        <v/>
      </c>
      <c r="I390" t="str">
        <f>IFERROR(ROUNDDOWN((VLOOKUP($C390,武器!$1:$998,COLUMN(G$1),FALSE)+IFERROR(VLOOKUP($CI390,装強!$1:$999,COLUMN(I$1),FALSE),0))*VLOOKUP($D390,素材!$1:$1016,COLUMN($E$1),FALSE),0),"")</f>
        <v/>
      </c>
      <c r="J390" t="str">
        <f>IFERROR(ROUNDDOWN((VLOOKUP($C390,武器!$1:$998,COLUMN(H$1),FALSE)+IFERROR(VLOOKUP($CI390,装強!$1:$999,COLUMN(J$1),FALSE),0))*VLOOKUP($D390,素材!$1:$1016,COLUMN($E$1),FALSE),0),"")</f>
        <v/>
      </c>
      <c r="K390" t="str">
        <f>IFERROR(ROUNDDOWN((VLOOKUP($C390,武器!$1:$998,COLUMN(I$1),FALSE)+IFERROR(VLOOKUP($CI390,装強!$1:$999,COLUMN(K$1),FALSE),0))*VLOOKUP($D390,素材!$1:$1016,COLUMN($E$1),FALSE),0),"")</f>
        <v/>
      </c>
      <c r="L390" t="str">
        <f>IFERROR(VLOOKUP($D390,素材!$1:$1016,COLUMN($F$1),FALSE),"")</f>
        <v/>
      </c>
      <c r="M390" t="str">
        <f>IFERROR(VLOOKUP($C390,武器!$1:$998,COLUMN(AA$1),FALSE)*VLOOKUP($D390,素材!$1:$1016,COLUMN($G$1),FALSE),"")</f>
        <v/>
      </c>
      <c r="N390" t="str">
        <f>IFERROR(VLOOKUP($C390,武器!$1:$998,COLUMN(I$1),FALSE),"")</f>
        <v/>
      </c>
      <c r="O390" s="23" t="str">
        <f>IFERROR((VLOOKUP($C390,武器!$1:$998,COLUMN(K$1),FALSE)+VLOOKUP($D390,素材!$1:$1016,COLUMN(H$1),FALSE))*100+IFERROR(VLOOKUP($CI390,装強!$1:$999,COLUMN(O$1),FALSE),0),"")</f>
        <v/>
      </c>
      <c r="P390" s="23" t="str">
        <f>IFERROR((VLOOKUP($C390,武器!$1:$998,COLUMN(L$1),FALSE)+VLOOKUP($D390,素材!$1:$1016,COLUMN(I$1),FALSE))*100+IFERROR(VLOOKUP($CI390,装強!$1:$999,COLUMN(P$1),FALSE),0),"")</f>
        <v/>
      </c>
      <c r="Q390" t="str">
        <f>IFERROR(ROUNDUP(VLOOKUP($C390,武器!$1:$998,COLUMN(M$1),FALSE)*(VLOOKUP($D390,素材!$1:$1002,COLUMN(D$1),FALSE)/100),1),"")</f>
        <v/>
      </c>
      <c r="R390" t="str">
        <f>IFERROR(ROUNDUP(VLOOKUP($C390,武器!$1:$998,COLUMN(N$1),FALSE)*(VLOOKUP($D390,素材!$1:$1002,COLUMN(D$1),FALSE)/100),1),"")</f>
        <v/>
      </c>
      <c r="S390" t="str">
        <f>IFERROR(VLOOKUP($C390,武器!$1:$998,COLUMN(P$1),FALSE),"")</f>
        <v/>
      </c>
      <c r="T390" t="str">
        <f>IFERROR(VLOOKUP($C390,武器!$1:$998,COLUMN(Q$1),FALSE),"")</f>
        <v/>
      </c>
      <c r="U390" t="str">
        <f>IFERROR(VLOOKUP($C390,武器!$1:$998,COLUMN(R$1),FALSE),"")</f>
        <v/>
      </c>
      <c r="V390" t="str">
        <f>IFERROR(VLOOKUP($C390,武器!$1:$998,COLUMN(Q$1),FALSE),"")</f>
        <v/>
      </c>
      <c r="W390" t="str">
        <f>IFERROR(VLOOKUP($C390,武器!$1:$998,COLUMN(T$1),FALSE),"")</f>
        <v/>
      </c>
      <c r="Y390" t="str">
        <f>IFERROR(VLOOKUP($C390,武器!$1:$998,COLUMN(U$1),FALSE),"")</f>
        <v/>
      </c>
      <c r="Z390" t="str">
        <f>IFERROR(ROUNDUP(VLOOKUP($C390,武器!$1:$998,COLUMN(O$1),FALSE)*VLOOKUP($D390,素材!$1:$1016,COLUMN(E$1),FALSE),1),"")</f>
        <v/>
      </c>
      <c r="AA390">
        <f>IF(ISNUMBER(SEARCH(SUBSTITUTE(AA$1,RIGHT(AA$1,2),""),VLOOKUP($D390,素材!$1:$1016,COLUMN($F$1),FALSE))),VLOOKUP($C390,武器!$1:$998,COLUMN($O$1),FALSE)*VLOOKUP($D390,素材!$1:$1016,COLUMN($E$1),FALSE)/(LEN(VLOOKUP($D390,素材!$1:$1016,COLUMN($F$1),FALSE)) - LEN(SUBSTITUTE(VLOOKUP($D390,素材!$1:$1016,COLUMN($F$1),FALSE), "・", 0)) + 1), 0)</f>
        <v>0</v>
      </c>
      <c r="AB390">
        <f>IF(ISNUMBER(SEARCH(SUBSTITUTE(AB$1,RIGHT(AB$1,2),""),VLOOKUP($D390,素材!$1:$1016,COLUMN($F$1),FALSE))),VLOOKUP($C390,武器!$1:$998,COLUMN($O$1),FALSE)*VLOOKUP($D390,素材!$1:$1016,COLUMN($E$1),FALSE)/(LEN(VLOOKUP($D390,素材!$1:$1016,COLUMN($F$1),FALSE)) - LEN(SUBSTITUTE(VLOOKUP($D390,素材!$1:$1016,COLUMN($F$1),FALSE), "・", 0)) + 1), 0)</f>
        <v>0</v>
      </c>
      <c r="AC390">
        <f>IF(ISNUMBER(SEARCH(SUBSTITUTE(AC$1,RIGHT(AC$1,2),""),VLOOKUP($D390,素材!$1:$1016,COLUMN($F$1),FALSE))),VLOOKUP($C390,武器!$1:$998,COLUMN($O$1),FALSE)*VLOOKUP($D390,素材!$1:$1016,COLUMN($E$1),FALSE)/(LEN(VLOOKUP($D390,素材!$1:$1016,COLUMN($F$1),FALSE)) - LEN(SUBSTITUTE(VLOOKUP($D390,素材!$1:$1016,COLUMN($F$1),FALSE), "・", 0)) + 1), 0)</f>
        <v>0</v>
      </c>
      <c r="AD390">
        <f>IF(ISNUMBER(SEARCH(SUBSTITUTE(AD$1,RIGHT(AD$1,2),""),VLOOKUP($D390,素材!$1:$1016,COLUMN($F$1),FALSE))),VLOOKUP($C390,武器!$1:$998,COLUMN($O$1),FALSE)*VLOOKUP($D390,素材!$1:$1016,COLUMN($E$1),FALSE)/(LEN(VLOOKUP($D390,素材!$1:$1016,COLUMN($F$1),FALSE)) - LEN(SUBSTITUTE(VLOOKUP($D390,素材!$1:$1016,COLUMN($F$1),FALSE), "・", 0)) + 1), 0)</f>
        <v>0</v>
      </c>
      <c r="AE390">
        <f>IF(ISNUMBER(SEARCH(SUBSTITUTE(AE$1,RIGHT(AE$1,2),""),VLOOKUP($D390,素材!$1:$1016,COLUMN($F$1),FALSE))),VLOOKUP($C390,武器!$1:$998,COLUMN($O$1),FALSE)*VLOOKUP($D390,素材!$1:$1016,COLUMN($E$1),FALSE)/(LEN(VLOOKUP($D390,素材!$1:$1016,COLUMN($F$1),FALSE)) - LEN(SUBSTITUTE(VLOOKUP($D390,素材!$1:$1016,COLUMN($F$1),FALSE), "・", 0)) + 1), 0)+IF($CI390&lt;&gt;"",VLOOKUP($CI390,装強!$A$1:AZ$1005,COLUMN(装強!AZ$1),FALSE),0)</f>
        <v>0</v>
      </c>
      <c r="AF390">
        <f>IF(ISNUMBER(SEARCH(SUBSTITUTE(AF$1,RIGHT(AF$1,2),""),VLOOKUP($D390,素材!$1:$1016,COLUMN($F$1),FALSE))),VLOOKUP($C390,武器!$1:$998,COLUMN($O$1),FALSE)*VLOOKUP($D390,素材!$1:$1016,COLUMN($E$1),FALSE)/(LEN(VLOOKUP($D390,素材!$1:$1016,COLUMN($F$1),FALSE)) - LEN(SUBSTITUTE(VLOOKUP($D390,素材!$1:$1016,COLUMN($F$1),FALSE), "・", 0)) + 1), 0)+IF($CI390&lt;&gt;"",VLOOKUP($CI390,装強!$A$1:BA$1005,COLUMN(装強!BA$1),FALSE),0)</f>
        <v>0</v>
      </c>
      <c r="AG390">
        <f>IF(ISNUMBER(SEARCH(SUBSTITUTE(AG$1,RIGHT(AG$1,2),""),VLOOKUP($D390,素材!$1:$1016,COLUMN($F$1),FALSE))),VLOOKUP($C390,武器!$1:$998,COLUMN($O$1),FALSE)*VLOOKUP($D390,素材!$1:$1016,COLUMN($E$1),FALSE)/(LEN(VLOOKUP($D390,素材!$1:$1016,COLUMN($F$1),FALSE)) - LEN(SUBSTITUTE(VLOOKUP($D390,素材!$1:$1016,COLUMN($F$1),FALSE), "・", 0)) + 1), 0)+IF($CI390&lt;&gt;"",VLOOKUP($CI390,装強!$A$1:BB$1005,COLUMN(装強!BB$1),FALSE),0)</f>
        <v>0</v>
      </c>
      <c r="AH390">
        <f>IF(ISNUMBER(SEARCH(SUBSTITUTE(AH$1,RIGHT(AH$1,2),""),VLOOKUP($D390,素材!$1:$1016,COLUMN($F$1),FALSE))),VLOOKUP($C390,武器!$1:$998,COLUMN($O$1),FALSE)*VLOOKUP($D390,素材!$1:$1016,COLUMN($E$1),FALSE)/(LEN(VLOOKUP($D390,素材!$1:$1016,COLUMN($F$1),FALSE)) - LEN(SUBSTITUTE(VLOOKUP($D390,素材!$1:$1016,COLUMN($F$1),FALSE), "・", 0)) + 1), 0)+IF($CI390&lt;&gt;"",VLOOKUP($CI390,装強!$A$1:BC$1005,COLUMN(装強!BC$1),FALSE),0)</f>
        <v>0</v>
      </c>
      <c r="AI390">
        <f>IF(ISNUMBER(SEARCH(SUBSTITUTE(AI$1,RIGHT(AI$1,2),""),VLOOKUP($D390,素材!$1:$1016,COLUMN($F$1),FALSE))),VLOOKUP($C390,武器!$1:$998,COLUMN($O$1),FALSE)*VLOOKUP($D390,素材!$1:$1016,COLUMN($E$1),FALSE)/(LEN(VLOOKUP($D390,素材!$1:$1016,COLUMN($F$1),FALSE)) - LEN(SUBSTITUTE(VLOOKUP($D390,素材!$1:$1016,COLUMN($F$1),FALSE), "・", 0)) + 1), 0)+IF($CI390&lt;&gt;"",VLOOKUP($CI390,装強!$A$1:BD$1005,COLUMN(装強!BD$1),FALSE),0)</f>
        <v>0</v>
      </c>
      <c r="AJ390">
        <f>IF(ISNUMBER(SEARCH(SUBSTITUTE(AJ$1,RIGHT(AJ$1,2),""),VLOOKUP($D390,素材!$1:$1016,COLUMN($F$1),FALSE))),VLOOKUP($C390,武器!$1:$998,COLUMN($O$1),FALSE)*VLOOKUP($D390,素材!$1:$1016,COLUMN($E$1),FALSE)/(LEN(VLOOKUP($D390,素材!$1:$1016,COLUMN($F$1),FALSE)) - LEN(SUBSTITUTE(VLOOKUP($D390,素材!$1:$1016,COLUMN($F$1),FALSE), "・", 0)) + 1), 0)+IF($CI390&lt;&gt;"",VLOOKUP($CI390,装強!$A$1:BE$1005,COLUMN(装強!BE$1),FALSE),0)</f>
        <v>0</v>
      </c>
      <c r="AK390">
        <f>IF(ISNUMBER(SEARCH(SUBSTITUTE(AK$1,RIGHT(AK$1,2),""),VLOOKUP($D390,素材!$1:$1016,COLUMN($F$1),FALSE))),VLOOKUP($C390,武器!$1:$998,COLUMN($O$1),FALSE)*VLOOKUP($D390,素材!$1:$1016,COLUMN($E$1),FALSE)/(LEN(VLOOKUP($D390,素材!$1:$1016,COLUMN($F$1),FALSE)) - LEN(SUBSTITUTE(VLOOKUP($D390,素材!$1:$1016,COLUMN($F$1),FALSE), "・", 0)) + 1), 0)+IF($CI390&lt;&gt;"",VLOOKUP($CI390,装強!$A$1:BF$1005,COLUMN(装強!BF$1),FALSE),0)</f>
        <v>0</v>
      </c>
      <c r="AL390">
        <f>IF(ISNUMBER(SEARCH(SUBSTITUTE(AL$1,RIGHT(AL$1,2),""),VLOOKUP($D390,素材!$1:$1016,COLUMN($F$1),FALSE))),VLOOKUP($C390,武器!$1:$998,COLUMN($O$1),FALSE)*VLOOKUP($D390,素材!$1:$1016,COLUMN($E$1),FALSE)/(LEN(VLOOKUP($D390,素材!$1:$1016,COLUMN($F$1),FALSE)) - LEN(SUBSTITUTE(VLOOKUP($D390,素材!$1:$1016,COLUMN($F$1),FALSE), "・", 0)) + 1), 0)+IF($CI390&lt;&gt;"",VLOOKUP($CI390,装強!$A$1:BG$1005,COLUMN(装強!BG$1),FALSE),0)</f>
        <v>0</v>
      </c>
      <c r="AM390">
        <f>IF(ISNUMBER(SEARCH(SUBSTITUTE(AM$1,RIGHT(AM$1,2),""),VLOOKUP($D390,素材!$1:$1016,COLUMN($F$1),FALSE))),VLOOKUP($C390,武器!$1:$998,COLUMN($O$1),FALSE)*VLOOKUP($D390,素材!$1:$1016,COLUMN($E$1),FALSE)/(LEN(VLOOKUP($D390,素材!$1:$1016,COLUMN($F$1),FALSE)) - LEN(SUBSTITUTE(VLOOKUP($D390,素材!$1:$1016,COLUMN($F$1),FALSE), "・", 0)) + 1), 0)+IF($CI390&lt;&gt;"",VLOOKUP($CI390,装強!$A$1:BH$1005,COLUMN(装強!BH$1),FALSE),0)</f>
        <v>0</v>
      </c>
      <c r="AN390">
        <f>IF(ISNUMBER(SEARCH(SUBSTITUTE(AN$1,RIGHT(AN$1,2),""),VLOOKUP($D390,素材!$1:$1016,COLUMN($F$1),FALSE))),VLOOKUP($C390,武器!$1:$998,COLUMN($O$1),FALSE)*VLOOKUP($D390,素材!$1:$1016,COLUMN($E$1),FALSE)/(LEN(VLOOKUP($D390,素材!$1:$1016,COLUMN($F$1),FALSE)) - LEN(SUBSTITUTE(VLOOKUP($D390,素材!$1:$1016,COLUMN($F$1),FALSE), "・", 0)) + 1), 0)+IF($CI390&lt;&gt;"",VLOOKUP($CI390,装強!$A$1:BI$1005,COLUMN(装強!BI$1),FALSE),0)</f>
        <v>0</v>
      </c>
      <c r="AO390">
        <f>IF(ISNUMBER(SEARCH(SUBSTITUTE(AO$1,RIGHT(AO$1,2),""),VLOOKUP($D390,素材!$1:$1016,COLUMN($F$1),FALSE))),VLOOKUP($C390,武器!$1:$998,COLUMN($O$1),FALSE)*VLOOKUP($D390,素材!$1:$1016,COLUMN($E$1),FALSE)/(LEN(VLOOKUP($D390,素材!$1:$1016,COLUMN($F$1),FALSE)) - LEN(SUBSTITUTE(VLOOKUP($D390,素材!$1:$1016,COLUMN($F$1),FALSE), "・", 0)) + 1), 0)+IF($CI390&lt;&gt;"",VLOOKUP($CI390,装強!$A$1:BK$1005,COLUMN(装強!BK$1),FALSE),0)</f>
        <v>0</v>
      </c>
      <c r="AP390">
        <f>IF(ISNUMBER(SEARCH(SUBSTITUTE(AP$1,RIGHT(AP$1,2),""),VLOOKUP($D390,素材!$1:$1016,COLUMN($F$1),FALSE))),VLOOKUP($C390,武器!$1:$998,COLUMN($O$1),FALSE)*VLOOKUP($D390,素材!$1:$1016,COLUMN($E$1),FALSE)/(LEN(VLOOKUP($D390,素材!$1:$1016,COLUMN($F$1),FALSE)) - LEN(SUBSTITUTE(VLOOKUP($D390,素材!$1:$1016,COLUMN($F$1),FALSE), "・", 0)) + 1), 0)+IF($CI390&lt;&gt;"",VLOOKUP($CI390,装強!$A$1:BL$1005,COLUMN(装強!BL$1),FALSE),0)</f>
        <v>0</v>
      </c>
      <c r="AQ390">
        <f>IF(ISNUMBER(SEARCH(SUBSTITUTE(AQ$1,RIGHT(AQ$1,2),""),VLOOKUP($D390,素材!$1:$1016,COLUMN($F$1),FALSE))),VLOOKUP($C390,武器!$1:$998,COLUMN($O$1),FALSE)*VLOOKUP($D390,素材!$1:$1016,COLUMN($E$1),FALSE)/(LEN(VLOOKUP($D390,素材!$1:$1016,COLUMN($F$1),FALSE)) - LEN(SUBSTITUTE(VLOOKUP($D390,素材!$1:$1016,COLUMN($F$1),FALSE), "・", 0)) + 1), 0)+IF($CI390&lt;&gt;"",VLOOKUP($CI390,装強!$A$1:BM$1005,COLUMN(装強!BM$1),FALSE),0)</f>
        <v>0</v>
      </c>
      <c r="AR390">
        <f>IF(ISNUMBER(SEARCH(SUBSTITUTE(AR$1,RIGHT(AR$1,2),""),VLOOKUP($D390,素材!$1:$1016,COLUMN($F$1),FALSE))),VLOOKUP($C390,武器!$1:$998,COLUMN($O$1),FALSE)*VLOOKUP($D390,素材!$1:$1016,COLUMN($E$1),FALSE)/(LEN(VLOOKUP($D390,素材!$1:$1016,COLUMN($F$1),FALSE)) - LEN(SUBSTITUTE(VLOOKUP($D390,素材!$1:$1016,COLUMN($F$1),FALSE), "・", 0)) + 1), 0)+IF($CI390&lt;&gt;"",VLOOKUP($CI390,装強!$A$1:BN$1005,COLUMN(装強!BN$1),FALSE),0)</f>
        <v>0</v>
      </c>
      <c r="AS390">
        <f>IF(ISNUMBER(SEARCH(SUBSTITUTE(AS$1,RIGHT(AS$1,2),""),VLOOKUP($D390,素材!$1:$1016,COLUMN($F$1),FALSE))),VLOOKUP($C390,武器!$1:$998,COLUMN($O$1),FALSE)*VLOOKUP($D390,素材!$1:$1016,COLUMN($E$1),FALSE)/(LEN(VLOOKUP($D390,素材!$1:$1016,COLUMN($F$1),FALSE)) - LEN(SUBSTITUTE(VLOOKUP($D390,素材!$1:$1016,COLUMN($F$1),FALSE), "・", 0)) + 1), 0)+IF($CI390&lt;&gt;"",VLOOKUP($CI390,装強!$A$1:BO$1005,COLUMN(装強!BO$1),FALSE),0)</f>
        <v>0</v>
      </c>
      <c r="AT390">
        <f>IF(ISNUMBER(SEARCH(SUBSTITUTE(AT$1,RIGHT(AT$1,2),""),VLOOKUP($D390,素材!$1:$1016,COLUMN($F$1),FALSE))),VLOOKUP($C390,武器!$1:$998,COLUMN($O$1),FALSE)*VLOOKUP($D390,素材!$1:$1016,COLUMN($E$1),FALSE)/(LEN(VLOOKUP($D390,素材!$1:$1016,COLUMN($F$1),FALSE)) - LEN(SUBSTITUTE(VLOOKUP($D390,素材!$1:$1016,COLUMN($F$1),FALSE), "・", 0)) + 1), 0)+IF($CI390&lt;&gt;"",VLOOKUP($CI390,装強!$A$1:BP$1005,COLUMN(装強!BP$1),FALSE),0)</f>
        <v>0</v>
      </c>
      <c r="AU390">
        <f>IF(ISNUMBER(SEARCH(SUBSTITUTE(AU$1,RIGHT(AU$1,2),""),VLOOKUP($D390,素材!$1:$1016,COLUMN($F$1),FALSE))),VLOOKUP($C390,武器!$1:$998,COLUMN($O$1),FALSE)*VLOOKUP($D390,素材!$1:$1016,COLUMN($E$1),FALSE)/(LEN(VLOOKUP($D390,素材!$1:$1016,COLUMN($F$1),FALSE)) - LEN(SUBSTITUTE(VLOOKUP($D390,素材!$1:$1016,COLUMN($F$1),FALSE), "・", 0)) + 1), 0)+IF($CI390&lt;&gt;"",VLOOKUP($CI390,装強!$A$1:BQ$1005,COLUMN(装強!BQ$1),FALSE),0)</f>
        <v>0</v>
      </c>
      <c r="AV390">
        <f>IF(ISNUMBER(SEARCH(SUBSTITUTE(AV$1,RIGHT(AV$1,2),""),VLOOKUP($D390,素材!$1:$1016,COLUMN($F$1),FALSE))),VLOOKUP($C390,武器!$1:$998,COLUMN($O$1),FALSE)*VLOOKUP($D390,素材!$1:$1016,COLUMN($E$1),FALSE)/(LEN(VLOOKUP($D390,素材!$1:$1016,COLUMN($F$1),FALSE)) - LEN(SUBSTITUTE(VLOOKUP($D390,素材!$1:$1016,COLUMN($F$1),FALSE), "・", 0)) + 1), 0)+IF($CI390&lt;&gt;"",VLOOKUP($CI390,装強!$A$1:BR$1005,COLUMN(装強!BR$1),FALSE),0)</f>
        <v>0</v>
      </c>
      <c r="AW390">
        <f>IF(ISNUMBER(SEARCH(SUBSTITUTE(AW$1,RIGHT(AW$1,2),""),VLOOKUP($D390,素材!$1:$1016,COLUMN($F$1),FALSE))),VLOOKUP($C390,武器!$1:$998,COLUMN($O$1),FALSE)*VLOOKUP($D390,素材!$1:$1016,COLUMN($E$1),FALSE)/(LEN(VLOOKUP($D390,素材!$1:$1016,COLUMN($F$1),FALSE)) - LEN(SUBSTITUTE(VLOOKUP($D390,素材!$1:$1016,COLUMN($F$1),FALSE), "・", 0)) + 1), 0)+IF($CI390&lt;&gt;"",VLOOKUP($CI390,装強!$A$1:BS$1005,COLUMN(装強!BS$1),FALSE),0)</f>
        <v>0</v>
      </c>
      <c r="AX390">
        <f>IF(ISNUMBER(SEARCH(SUBSTITUTE(AX$1,RIGHT(AX$1,2),""),VLOOKUP($D390,素材!$1:$1016,COLUMN($F$1),FALSE))),VLOOKUP($C390,武器!$1:$998,COLUMN($O$1),FALSE)*VLOOKUP($D390,素材!$1:$1016,COLUMN($E$1),FALSE)/(LEN(VLOOKUP($D390,素材!$1:$1016,COLUMN($F$1),FALSE)) - LEN(SUBSTITUTE(VLOOKUP($D390,素材!$1:$1016,COLUMN($F$1),FALSE), "・", 0)) + 1), 0)+IF($CI390&lt;&gt;"",VLOOKUP($CI390,装強!$A$1:BT$1005,COLUMN(装強!BT$1),FALSE),0)</f>
        <v>0</v>
      </c>
      <c r="AY390">
        <f>IF(ISNUMBER(SEARCH(SUBSTITUTE(AY$1,RIGHT(AY$1,2),""),VLOOKUP($D390,素材!$1:$1016,COLUMN($F$1),FALSE))),VLOOKUP($C390,武器!$1:$998,COLUMN($O$1),FALSE)*VLOOKUP($D390,素材!$1:$1016,COLUMN($E$1),FALSE)/(LEN(VLOOKUP($D390,素材!$1:$1016,COLUMN($F$1),FALSE)) - LEN(SUBSTITUTE(VLOOKUP($D390,素材!$1:$1016,COLUMN($F$1),FALSE), "・", 0)) + 1), 0)+IF($CI390&lt;&gt;"",VLOOKUP($CI390,装強!$A$1:BU$1005,COLUMN(装強!BU$1),FALSE),0)</f>
        <v>0</v>
      </c>
      <c r="AZ390">
        <f>IF(ISNUMBER(SEARCH(SUBSTITUTE(AZ$1,RIGHT(AZ$1,2),""),VLOOKUP($D390,素材!$1:$1016,COLUMN($F$1),FALSE))),VLOOKUP($C390,武器!$1:$998,COLUMN($O$1),FALSE)*VLOOKUP($D390,素材!$1:$1016,COLUMN($E$1),FALSE)/(LEN(VLOOKUP($D390,素材!$1:$1016,COLUMN($F$1),FALSE)) - LEN(SUBSTITUTE(VLOOKUP($D390,素材!$1:$1016,COLUMN($F$1),FALSE), "・", 0)) + 1), 0)+IF($CI390&lt;&gt;"",VLOOKUP($CI390,装強!$A$1:BV$1005,COLUMN(装強!BV$1),FALSE),0)</f>
        <v>0</v>
      </c>
      <c r="BA390">
        <f>IF(ISNUMBER(SEARCH(SUBSTITUTE(BA$1,RIGHT(BA$1,2),""),VLOOKUP($D390,素材!$1:$1016,COLUMN($F$1),FALSE))),VLOOKUP($C390,武器!$1:$998,COLUMN($O$1),FALSE)*VLOOKUP($D390,素材!$1:$1016,COLUMN($E$1),FALSE)/(LEN(VLOOKUP($D390,素材!$1:$1016,COLUMN($F$1),FALSE)) - LEN(SUBSTITUTE(VLOOKUP($D390,素材!$1:$1016,COLUMN($F$1),FALSE), "・", 0)) + 1), 0)+IF($CI390&lt;&gt;"",VLOOKUP($CI390,装強!$A$1:BW$1005,COLUMN(装強!BW$1),FALSE),0)</f>
        <v>0</v>
      </c>
      <c r="BB390">
        <f>IF(ISNUMBER(SEARCH(SUBSTITUTE(BB$1,RIGHT(BB$1,2),""),VLOOKUP($D390,素材!$1:$1016,COLUMN($F$1),FALSE))),VLOOKUP($C390,武器!$1:$998,COLUMN($O$1),FALSE)*VLOOKUP($D390,素材!$1:$1016,COLUMN($E$1),FALSE)/(LEN(VLOOKUP($D390,素材!$1:$1016,COLUMN($F$1),FALSE)) - LEN(SUBSTITUTE(VLOOKUP($D390,素材!$1:$1016,COLUMN($F$1),FALSE), "・", 0)) + 1), 0)+IF($CI390&lt;&gt;"",VLOOKUP($CI390,装強!$A$1:BX$1005,COLUMN(装強!BX$1),FALSE),0)</f>
        <v>0</v>
      </c>
      <c r="BC390">
        <f>IF(ISNUMBER(SEARCH(SUBSTITUTE(BC$1,RIGHT(BC$1,2),""),VLOOKUP($D390,素材!$1:$1016,COLUMN($F$1),FALSE))),VLOOKUP($C390,武器!$1:$998,COLUMN($O$1),FALSE)*VLOOKUP($D390,素材!$1:$1016,COLUMN($E$1),FALSE)/(LEN(VLOOKUP($D390,素材!$1:$1016,COLUMN($F$1),FALSE)) - LEN(SUBSTITUTE(VLOOKUP($D390,素材!$1:$1016,COLUMN($F$1),FALSE), "・", 0)) + 1), 0)+IF($CI390&lt;&gt;"",VLOOKUP($CI390,装強!$A$1:BY$1005,COLUMN(装強!BY$1),FALSE),0)</f>
        <v>0</v>
      </c>
      <c r="BD390">
        <f>IF(ISNUMBER(SEARCH(SUBSTITUTE(BD$1,RIGHT(BD$1,2),""),VLOOKUP($D390,素材!$1:$1016,COLUMN($F$1),FALSE))),VLOOKUP($C390,武器!$1:$998,COLUMN($O$1),FALSE)*VLOOKUP($D390,素材!$1:$1016,COLUMN($E$1),FALSE)/(LEN(VLOOKUP($D390,素材!$1:$1016,COLUMN($F$1),FALSE)) - LEN(SUBSTITUTE(VLOOKUP($D390,素材!$1:$1016,COLUMN($F$1),FALSE), "・", 0)) + 1), 0)+IF($CI390&lt;&gt;"",VLOOKUP($CI390,装強!$A$1:BZ$1005,COLUMN(装強!BZ$1),FALSE),0)</f>
        <v>0</v>
      </c>
      <c r="BE390">
        <f>IF(ISNUMBER(SEARCH(SUBSTITUTE(BE$1,RIGHT(BE$1,2),""),VLOOKUP($D390,素材!$1:$1016,COLUMN($F$1),FALSE))),VLOOKUP($C390,武器!$1:$998,COLUMN($O$1),FALSE)*VLOOKUP($D390,素材!$1:$1016,COLUMN($E$1),FALSE)/(LEN(VLOOKUP($D390,素材!$1:$1016,COLUMN($F$1),FALSE)) - LEN(SUBSTITUTE(VLOOKUP($D390,素材!$1:$1016,COLUMN($F$1),FALSE), "・", 0)) + 1), 0)+IF($CI390&lt;&gt;"",VLOOKUP($CI390,装強!$A$1:CA$1005,COLUMN(装強!CA$1),FALSE),0)</f>
        <v>0</v>
      </c>
      <c r="CL390">
        <f>SUM(G390:I390)</f>
        <v>0</v>
      </c>
      <c r="CM390" s="22" t="str">
        <f>IF(E390="武器",IF(J390-1&gt;SUM(G390:I390),"盾",IF(MAX(G390:I390)=G390,"切断",IF(MAX(G390:I390)=H390,"貫通",IF(MAX(G390:I390)=I390,"打撃","射撃")))),E390)&amp;".webp"</f>
        <v>.webp</v>
      </c>
      <c r="CN390" t="str">
        <f>IFERROR(VLOOKUP($C390,武器!$1:$998,COLUMN(V$1),FALSE)*VLOOKUP($D390,素材!$1:$1016,COLUMN(N$1),FALSE)+IF(CI390="",0,VLOOKUP($CI390,装強!$1:$1008,COLUMN($CK$1),FALSE)),"")</f>
        <v/>
      </c>
      <c r="CO390" t="e">
        <f>VLOOKUP(D390,素材!$A:$O,COLUMN(素材!O$1),FALSE)</f>
        <v>#N/A</v>
      </c>
      <c r="CP390" t="e">
        <f>VLOOKUP(C390,武器!$A:$W,COLUMN(武器!W$1),FALSE)</f>
        <v>#N/A</v>
      </c>
      <c r="CR390" t="str">
        <f t="shared" si="39"/>
        <v>e_390</v>
      </c>
      <c r="CS390" t="e">
        <f t="shared" si="41"/>
        <v>#VALUE!</v>
      </c>
    </row>
    <row r="391" spans="2:97" x14ac:dyDescent="0.4">
      <c r="B391" t="str">
        <f>IFERROR(VLOOKUP($D391,素材!$1:$1016,COLUMN($B$1),FALSE)&amp;"・"&amp;VLOOKUP($C391,武器!$1:$998,COLUMN(B$1),FALSE),"")</f>
        <v/>
      </c>
      <c r="D391" s="24"/>
      <c r="E391" t="str">
        <f>IFERROR(VLOOKUP(C391,武器!$1:$998,COLUMN(C$1),FALSE),"")</f>
        <v/>
      </c>
      <c r="F391" t="str">
        <f>IFERROR(ROUNDDOWN((VLOOKUP($C391,武器!$1:$998,COLUMN(D$1),FALSE)+IFERROR(VLOOKUP($CI391,装強!$1:$999,COLUMN(F$1),FALSE),0))*VLOOKUP($D391,素材!$1:$1016,COLUMN(D$1),FALSE),0),"")</f>
        <v/>
      </c>
      <c r="G391" t="str">
        <f>IFERROR(ROUNDDOWN((VLOOKUP($C391,武器!$1:$998,COLUMN(E$1),FALSE)+IFERROR(VLOOKUP($CI391,装強!$1:$999,COLUMN(G$1),FALSE),0))*VLOOKUP($D391,素材!$1:$1016,COLUMN($E$1),FALSE),0),"")</f>
        <v/>
      </c>
      <c r="H391" t="str">
        <f>IFERROR(ROUNDDOWN((VLOOKUP($C391,武器!$1:$998,COLUMN(F$1),FALSE)+IFERROR(VLOOKUP($CI391,装強!$1:$999,COLUMN(H$1),FALSE),0))*VLOOKUP($D391,素材!$1:$1016,COLUMN($E$1),FALSE),0),"")</f>
        <v/>
      </c>
      <c r="I391" t="str">
        <f>IFERROR(ROUNDDOWN((VLOOKUP($C391,武器!$1:$998,COLUMN(G$1),FALSE)+IFERROR(VLOOKUP($CI391,装強!$1:$999,COLUMN(I$1),FALSE),0))*VLOOKUP($D391,素材!$1:$1016,COLUMN($E$1),FALSE),0),"")</f>
        <v/>
      </c>
      <c r="J391" t="str">
        <f>IFERROR(ROUNDDOWN((VLOOKUP($C391,武器!$1:$998,COLUMN(H$1),FALSE)+IFERROR(VLOOKUP($CI391,装強!$1:$999,COLUMN(J$1),FALSE),0))*VLOOKUP($D391,素材!$1:$1016,COLUMN($E$1),FALSE),0),"")</f>
        <v/>
      </c>
      <c r="K391" t="str">
        <f>IFERROR(ROUNDDOWN((VLOOKUP($C391,武器!$1:$998,COLUMN(I$1),FALSE)+IFERROR(VLOOKUP($CI391,装強!$1:$999,COLUMN(K$1),FALSE),0))*VLOOKUP($D391,素材!$1:$1016,COLUMN($E$1),FALSE),0),"")</f>
        <v/>
      </c>
      <c r="L391" t="str">
        <f>IFERROR(VLOOKUP($D391,素材!$1:$1016,COLUMN($F$1),FALSE),"")</f>
        <v/>
      </c>
      <c r="M391" t="str">
        <f>IFERROR(VLOOKUP($C391,武器!$1:$998,COLUMN(AA$1),FALSE)*VLOOKUP($D391,素材!$1:$1016,COLUMN($G$1),FALSE),"")</f>
        <v/>
      </c>
      <c r="N391" t="str">
        <f>IFERROR(VLOOKUP($C391,武器!$1:$998,COLUMN(I$1),FALSE),"")</f>
        <v/>
      </c>
      <c r="O391" s="23" t="str">
        <f>IFERROR((VLOOKUP($C391,武器!$1:$998,COLUMN(K$1),FALSE)+VLOOKUP($D391,素材!$1:$1016,COLUMN(H$1),FALSE))*100+IFERROR(VLOOKUP($CI391,装強!$1:$999,COLUMN(O$1),FALSE),0),"")</f>
        <v/>
      </c>
      <c r="P391" s="23" t="str">
        <f>IFERROR((VLOOKUP($C391,武器!$1:$998,COLUMN(L$1),FALSE)+VLOOKUP($D391,素材!$1:$1016,COLUMN(I$1),FALSE))*100+IFERROR(VLOOKUP($CI391,装強!$1:$999,COLUMN(P$1),FALSE),0),"")</f>
        <v/>
      </c>
      <c r="Q391" t="str">
        <f>IFERROR(ROUNDUP(VLOOKUP($C391,武器!$1:$998,COLUMN(M$1),FALSE)*(VLOOKUP($D391,素材!$1:$1002,COLUMN(D$1),FALSE)/100),1),"")</f>
        <v/>
      </c>
      <c r="R391" t="str">
        <f>IFERROR(ROUNDUP(VLOOKUP($C391,武器!$1:$998,COLUMN(N$1),FALSE)*(VLOOKUP($D391,素材!$1:$1002,COLUMN(D$1),FALSE)/100),1),"")</f>
        <v/>
      </c>
      <c r="S391" t="str">
        <f>IFERROR(VLOOKUP($C391,武器!$1:$998,COLUMN(P$1),FALSE),"")</f>
        <v/>
      </c>
      <c r="T391" t="str">
        <f>IFERROR(VLOOKUP($C391,武器!$1:$998,COLUMN(Q$1),FALSE),"")</f>
        <v/>
      </c>
      <c r="U391" t="str">
        <f>IFERROR(VLOOKUP($C391,武器!$1:$998,COLUMN(R$1),FALSE),"")</f>
        <v/>
      </c>
      <c r="V391" t="str">
        <f>IFERROR(VLOOKUP($C391,武器!$1:$998,COLUMN(Q$1),FALSE),"")</f>
        <v/>
      </c>
      <c r="W391" t="str">
        <f>IFERROR(VLOOKUP($C391,武器!$1:$998,COLUMN(T$1),FALSE),"")</f>
        <v/>
      </c>
      <c r="Y391" t="str">
        <f>IFERROR(VLOOKUP($C391,武器!$1:$998,COLUMN(U$1),FALSE),"")</f>
        <v/>
      </c>
      <c r="Z391" t="str">
        <f>IFERROR(ROUNDUP(VLOOKUP($C391,武器!$1:$998,COLUMN(O$1),FALSE)*VLOOKUP($D391,素材!$1:$1016,COLUMN(E$1),FALSE),1),"")</f>
        <v/>
      </c>
      <c r="AA391">
        <f>IF(ISNUMBER(SEARCH(SUBSTITUTE(AA$1,RIGHT(AA$1,2),""),VLOOKUP($D391,素材!$1:$1016,COLUMN($F$1),FALSE))),VLOOKUP($C391,武器!$1:$998,COLUMN($O$1),FALSE)*VLOOKUP($D391,素材!$1:$1016,COLUMN($E$1),FALSE)/(LEN(VLOOKUP($D391,素材!$1:$1016,COLUMN($F$1),FALSE)) - LEN(SUBSTITUTE(VLOOKUP($D391,素材!$1:$1016,COLUMN($F$1),FALSE), "・", 0)) + 1), 0)</f>
        <v>0</v>
      </c>
      <c r="AB391">
        <f>IF(ISNUMBER(SEARCH(SUBSTITUTE(AB$1,RIGHT(AB$1,2),""),VLOOKUP($D391,素材!$1:$1016,COLUMN($F$1),FALSE))),VLOOKUP($C391,武器!$1:$998,COLUMN($O$1),FALSE)*VLOOKUP($D391,素材!$1:$1016,COLUMN($E$1),FALSE)/(LEN(VLOOKUP($D391,素材!$1:$1016,COLUMN($F$1),FALSE)) - LEN(SUBSTITUTE(VLOOKUP($D391,素材!$1:$1016,COLUMN($F$1),FALSE), "・", 0)) + 1), 0)</f>
        <v>0</v>
      </c>
      <c r="AC391">
        <f>IF(ISNUMBER(SEARCH(SUBSTITUTE(AC$1,RIGHT(AC$1,2),""),VLOOKUP($D391,素材!$1:$1016,COLUMN($F$1),FALSE))),VLOOKUP($C391,武器!$1:$998,COLUMN($O$1),FALSE)*VLOOKUP($D391,素材!$1:$1016,COLUMN($E$1),FALSE)/(LEN(VLOOKUP($D391,素材!$1:$1016,COLUMN($F$1),FALSE)) - LEN(SUBSTITUTE(VLOOKUP($D391,素材!$1:$1016,COLUMN($F$1),FALSE), "・", 0)) + 1), 0)</f>
        <v>0</v>
      </c>
      <c r="AD391">
        <f>IF(ISNUMBER(SEARCH(SUBSTITUTE(AD$1,RIGHT(AD$1,2),""),VLOOKUP($D391,素材!$1:$1016,COLUMN($F$1),FALSE))),VLOOKUP($C391,武器!$1:$998,COLUMN($O$1),FALSE)*VLOOKUP($D391,素材!$1:$1016,COLUMN($E$1),FALSE)/(LEN(VLOOKUP($D391,素材!$1:$1016,COLUMN($F$1),FALSE)) - LEN(SUBSTITUTE(VLOOKUP($D391,素材!$1:$1016,COLUMN($F$1),FALSE), "・", 0)) + 1), 0)</f>
        <v>0</v>
      </c>
      <c r="AE391">
        <f>IF(ISNUMBER(SEARCH(SUBSTITUTE(AE$1,RIGHT(AE$1,2),""),VLOOKUP($D391,素材!$1:$1016,COLUMN($F$1),FALSE))),VLOOKUP($C391,武器!$1:$998,COLUMN($O$1),FALSE)*VLOOKUP($D391,素材!$1:$1016,COLUMN($E$1),FALSE)/(LEN(VLOOKUP($D391,素材!$1:$1016,COLUMN($F$1),FALSE)) - LEN(SUBSTITUTE(VLOOKUP($D391,素材!$1:$1016,COLUMN($F$1),FALSE), "・", 0)) + 1), 0)+IF($CI391&lt;&gt;"",VLOOKUP($CI391,装強!$A$1:AZ$1005,COLUMN(装強!AZ$1),FALSE),0)</f>
        <v>0</v>
      </c>
      <c r="AF391">
        <f>IF(ISNUMBER(SEARCH(SUBSTITUTE(AF$1,RIGHT(AF$1,2),""),VLOOKUP($D391,素材!$1:$1016,COLUMN($F$1),FALSE))),VLOOKUP($C391,武器!$1:$998,COLUMN($O$1),FALSE)*VLOOKUP($D391,素材!$1:$1016,COLUMN($E$1),FALSE)/(LEN(VLOOKUP($D391,素材!$1:$1016,COLUMN($F$1),FALSE)) - LEN(SUBSTITUTE(VLOOKUP($D391,素材!$1:$1016,COLUMN($F$1),FALSE), "・", 0)) + 1), 0)+IF($CI391&lt;&gt;"",VLOOKUP($CI391,装強!$A$1:BA$1005,COLUMN(装強!BA$1),FALSE),0)</f>
        <v>0</v>
      </c>
      <c r="AG391">
        <f>IF(ISNUMBER(SEARCH(SUBSTITUTE(AG$1,RIGHT(AG$1,2),""),VLOOKUP($D391,素材!$1:$1016,COLUMN($F$1),FALSE))),VLOOKUP($C391,武器!$1:$998,COLUMN($O$1),FALSE)*VLOOKUP($D391,素材!$1:$1016,COLUMN($E$1),FALSE)/(LEN(VLOOKUP($D391,素材!$1:$1016,COLUMN($F$1),FALSE)) - LEN(SUBSTITUTE(VLOOKUP($D391,素材!$1:$1016,COLUMN($F$1),FALSE), "・", 0)) + 1), 0)+IF($CI391&lt;&gt;"",VLOOKUP($CI391,装強!$A$1:BB$1005,COLUMN(装強!BB$1),FALSE),0)</f>
        <v>0</v>
      </c>
      <c r="AH391">
        <f>IF(ISNUMBER(SEARCH(SUBSTITUTE(AH$1,RIGHT(AH$1,2),""),VLOOKUP($D391,素材!$1:$1016,COLUMN($F$1),FALSE))),VLOOKUP($C391,武器!$1:$998,COLUMN($O$1),FALSE)*VLOOKUP($D391,素材!$1:$1016,COLUMN($E$1),FALSE)/(LEN(VLOOKUP($D391,素材!$1:$1016,COLUMN($F$1),FALSE)) - LEN(SUBSTITUTE(VLOOKUP($D391,素材!$1:$1016,COLUMN($F$1),FALSE), "・", 0)) + 1), 0)+IF($CI391&lt;&gt;"",VLOOKUP($CI391,装強!$A$1:BC$1005,COLUMN(装強!BC$1),FALSE),0)</f>
        <v>0</v>
      </c>
      <c r="AI391">
        <f>IF(ISNUMBER(SEARCH(SUBSTITUTE(AI$1,RIGHT(AI$1,2),""),VLOOKUP($D391,素材!$1:$1016,COLUMN($F$1),FALSE))),VLOOKUP($C391,武器!$1:$998,COLUMN($O$1),FALSE)*VLOOKUP($D391,素材!$1:$1016,COLUMN($E$1),FALSE)/(LEN(VLOOKUP($D391,素材!$1:$1016,COLUMN($F$1),FALSE)) - LEN(SUBSTITUTE(VLOOKUP($D391,素材!$1:$1016,COLUMN($F$1),FALSE), "・", 0)) + 1), 0)+IF($CI391&lt;&gt;"",VLOOKUP($CI391,装強!$A$1:BD$1005,COLUMN(装強!BD$1),FALSE),0)</f>
        <v>0</v>
      </c>
      <c r="AJ391">
        <f>IF(ISNUMBER(SEARCH(SUBSTITUTE(AJ$1,RIGHT(AJ$1,2),""),VLOOKUP($D391,素材!$1:$1016,COLUMN($F$1),FALSE))),VLOOKUP($C391,武器!$1:$998,COLUMN($O$1),FALSE)*VLOOKUP($D391,素材!$1:$1016,COLUMN($E$1),FALSE)/(LEN(VLOOKUP($D391,素材!$1:$1016,COLUMN($F$1),FALSE)) - LEN(SUBSTITUTE(VLOOKUP($D391,素材!$1:$1016,COLUMN($F$1),FALSE), "・", 0)) + 1), 0)+IF($CI391&lt;&gt;"",VLOOKUP($CI391,装強!$A$1:BE$1005,COLUMN(装強!BE$1),FALSE),0)</f>
        <v>0</v>
      </c>
      <c r="AK391">
        <f>IF(ISNUMBER(SEARCH(SUBSTITUTE(AK$1,RIGHT(AK$1,2),""),VLOOKUP($D391,素材!$1:$1016,COLUMN($F$1),FALSE))),VLOOKUP($C391,武器!$1:$998,COLUMN($O$1),FALSE)*VLOOKUP($D391,素材!$1:$1016,COLUMN($E$1),FALSE)/(LEN(VLOOKUP($D391,素材!$1:$1016,COLUMN($F$1),FALSE)) - LEN(SUBSTITUTE(VLOOKUP($D391,素材!$1:$1016,COLUMN($F$1),FALSE), "・", 0)) + 1), 0)+IF($CI391&lt;&gt;"",VLOOKUP($CI391,装強!$A$1:BF$1005,COLUMN(装強!BF$1),FALSE),0)</f>
        <v>0</v>
      </c>
      <c r="AL391">
        <f>IF(ISNUMBER(SEARCH(SUBSTITUTE(AL$1,RIGHT(AL$1,2),""),VLOOKUP($D391,素材!$1:$1016,COLUMN($F$1),FALSE))),VLOOKUP($C391,武器!$1:$998,COLUMN($O$1),FALSE)*VLOOKUP($D391,素材!$1:$1016,COLUMN($E$1),FALSE)/(LEN(VLOOKUP($D391,素材!$1:$1016,COLUMN($F$1),FALSE)) - LEN(SUBSTITUTE(VLOOKUP($D391,素材!$1:$1016,COLUMN($F$1),FALSE), "・", 0)) + 1), 0)+IF($CI391&lt;&gt;"",VLOOKUP($CI391,装強!$A$1:BG$1005,COLUMN(装強!BG$1),FALSE),0)</f>
        <v>0</v>
      </c>
      <c r="AM391">
        <f>IF(ISNUMBER(SEARCH(SUBSTITUTE(AM$1,RIGHT(AM$1,2),""),VLOOKUP($D391,素材!$1:$1016,COLUMN($F$1),FALSE))),VLOOKUP($C391,武器!$1:$998,COLUMN($O$1),FALSE)*VLOOKUP($D391,素材!$1:$1016,COLUMN($E$1),FALSE)/(LEN(VLOOKUP($D391,素材!$1:$1016,COLUMN($F$1),FALSE)) - LEN(SUBSTITUTE(VLOOKUP($D391,素材!$1:$1016,COLUMN($F$1),FALSE), "・", 0)) + 1), 0)+IF($CI391&lt;&gt;"",VLOOKUP($CI391,装強!$A$1:BH$1005,COLUMN(装強!BH$1),FALSE),0)</f>
        <v>0</v>
      </c>
      <c r="AN391">
        <f>IF(ISNUMBER(SEARCH(SUBSTITUTE(AN$1,RIGHT(AN$1,2),""),VLOOKUP($D391,素材!$1:$1016,COLUMN($F$1),FALSE))),VLOOKUP($C391,武器!$1:$998,COLUMN($O$1),FALSE)*VLOOKUP($D391,素材!$1:$1016,COLUMN($E$1),FALSE)/(LEN(VLOOKUP($D391,素材!$1:$1016,COLUMN($F$1),FALSE)) - LEN(SUBSTITUTE(VLOOKUP($D391,素材!$1:$1016,COLUMN($F$1),FALSE), "・", 0)) + 1), 0)+IF($CI391&lt;&gt;"",VLOOKUP($CI391,装強!$A$1:BI$1005,COLUMN(装強!BI$1),FALSE),0)</f>
        <v>0</v>
      </c>
      <c r="AO391">
        <f>IF(ISNUMBER(SEARCH(SUBSTITUTE(AO$1,RIGHT(AO$1,2),""),VLOOKUP($D391,素材!$1:$1016,COLUMN($F$1),FALSE))),VLOOKUP($C391,武器!$1:$998,COLUMN($O$1),FALSE)*VLOOKUP($D391,素材!$1:$1016,COLUMN($E$1),FALSE)/(LEN(VLOOKUP($D391,素材!$1:$1016,COLUMN($F$1),FALSE)) - LEN(SUBSTITUTE(VLOOKUP($D391,素材!$1:$1016,COLUMN($F$1),FALSE), "・", 0)) + 1), 0)+IF($CI391&lt;&gt;"",VLOOKUP($CI391,装強!$A$1:BK$1005,COLUMN(装強!BK$1),FALSE),0)</f>
        <v>0</v>
      </c>
      <c r="AP391">
        <f>IF(ISNUMBER(SEARCH(SUBSTITUTE(AP$1,RIGHT(AP$1,2),""),VLOOKUP($D391,素材!$1:$1016,COLUMN($F$1),FALSE))),VLOOKUP($C391,武器!$1:$998,COLUMN($O$1),FALSE)*VLOOKUP($D391,素材!$1:$1016,COLUMN($E$1),FALSE)/(LEN(VLOOKUP($D391,素材!$1:$1016,COLUMN($F$1),FALSE)) - LEN(SUBSTITUTE(VLOOKUP($D391,素材!$1:$1016,COLUMN($F$1),FALSE), "・", 0)) + 1), 0)+IF($CI391&lt;&gt;"",VLOOKUP($CI391,装強!$A$1:BL$1005,COLUMN(装強!BL$1),FALSE),0)</f>
        <v>0</v>
      </c>
      <c r="AQ391">
        <f>IF(ISNUMBER(SEARCH(SUBSTITUTE(AQ$1,RIGHT(AQ$1,2),""),VLOOKUP($D391,素材!$1:$1016,COLUMN($F$1),FALSE))),VLOOKUP($C391,武器!$1:$998,COLUMN($O$1),FALSE)*VLOOKUP($D391,素材!$1:$1016,COLUMN($E$1),FALSE)/(LEN(VLOOKUP($D391,素材!$1:$1016,COLUMN($F$1),FALSE)) - LEN(SUBSTITUTE(VLOOKUP($D391,素材!$1:$1016,COLUMN($F$1),FALSE), "・", 0)) + 1), 0)+IF($CI391&lt;&gt;"",VLOOKUP($CI391,装強!$A$1:BM$1005,COLUMN(装強!BM$1),FALSE),0)</f>
        <v>0</v>
      </c>
      <c r="AR391">
        <f>IF(ISNUMBER(SEARCH(SUBSTITUTE(AR$1,RIGHT(AR$1,2),""),VLOOKUP($D391,素材!$1:$1016,COLUMN($F$1),FALSE))),VLOOKUP($C391,武器!$1:$998,COLUMN($O$1),FALSE)*VLOOKUP($D391,素材!$1:$1016,COLUMN($E$1),FALSE)/(LEN(VLOOKUP($D391,素材!$1:$1016,COLUMN($F$1),FALSE)) - LEN(SUBSTITUTE(VLOOKUP($D391,素材!$1:$1016,COLUMN($F$1),FALSE), "・", 0)) + 1), 0)+IF($CI391&lt;&gt;"",VLOOKUP($CI391,装強!$A$1:BN$1005,COLUMN(装強!BN$1),FALSE),0)</f>
        <v>0</v>
      </c>
      <c r="AS391">
        <f>IF(ISNUMBER(SEARCH(SUBSTITUTE(AS$1,RIGHT(AS$1,2),""),VLOOKUP($D391,素材!$1:$1016,COLUMN($F$1),FALSE))),VLOOKUP($C391,武器!$1:$998,COLUMN($O$1),FALSE)*VLOOKUP($D391,素材!$1:$1016,COLUMN($E$1),FALSE)/(LEN(VLOOKUP($D391,素材!$1:$1016,COLUMN($F$1),FALSE)) - LEN(SUBSTITUTE(VLOOKUP($D391,素材!$1:$1016,COLUMN($F$1),FALSE), "・", 0)) + 1), 0)+IF($CI391&lt;&gt;"",VLOOKUP($CI391,装強!$A$1:BO$1005,COLUMN(装強!BO$1),FALSE),0)</f>
        <v>0</v>
      </c>
      <c r="AT391">
        <f>IF(ISNUMBER(SEARCH(SUBSTITUTE(AT$1,RIGHT(AT$1,2),""),VLOOKUP($D391,素材!$1:$1016,COLUMN($F$1),FALSE))),VLOOKUP($C391,武器!$1:$998,COLUMN($O$1),FALSE)*VLOOKUP($D391,素材!$1:$1016,COLUMN($E$1),FALSE)/(LEN(VLOOKUP($D391,素材!$1:$1016,COLUMN($F$1),FALSE)) - LEN(SUBSTITUTE(VLOOKUP($D391,素材!$1:$1016,COLUMN($F$1),FALSE), "・", 0)) + 1), 0)+IF($CI391&lt;&gt;"",VLOOKUP($CI391,装強!$A$1:BP$1005,COLUMN(装強!BP$1),FALSE),0)</f>
        <v>0</v>
      </c>
      <c r="AU391">
        <f>IF(ISNUMBER(SEARCH(SUBSTITUTE(AU$1,RIGHT(AU$1,2),""),VLOOKUP($D391,素材!$1:$1016,COLUMN($F$1),FALSE))),VLOOKUP($C391,武器!$1:$998,COLUMN($O$1),FALSE)*VLOOKUP($D391,素材!$1:$1016,COLUMN($E$1),FALSE)/(LEN(VLOOKUP($D391,素材!$1:$1016,COLUMN($F$1),FALSE)) - LEN(SUBSTITUTE(VLOOKUP($D391,素材!$1:$1016,COLUMN($F$1),FALSE), "・", 0)) + 1), 0)+IF($CI391&lt;&gt;"",VLOOKUP($CI391,装強!$A$1:BQ$1005,COLUMN(装強!BQ$1),FALSE),0)</f>
        <v>0</v>
      </c>
      <c r="AV391">
        <f>IF(ISNUMBER(SEARCH(SUBSTITUTE(AV$1,RIGHT(AV$1,2),""),VLOOKUP($D391,素材!$1:$1016,COLUMN($F$1),FALSE))),VLOOKUP($C391,武器!$1:$998,COLUMN($O$1),FALSE)*VLOOKUP($D391,素材!$1:$1016,COLUMN($E$1),FALSE)/(LEN(VLOOKUP($D391,素材!$1:$1016,COLUMN($F$1),FALSE)) - LEN(SUBSTITUTE(VLOOKUP($D391,素材!$1:$1016,COLUMN($F$1),FALSE), "・", 0)) + 1), 0)+IF($CI391&lt;&gt;"",VLOOKUP($CI391,装強!$A$1:BR$1005,COLUMN(装強!BR$1),FALSE),0)</f>
        <v>0</v>
      </c>
      <c r="AW391">
        <f>IF(ISNUMBER(SEARCH(SUBSTITUTE(AW$1,RIGHT(AW$1,2),""),VLOOKUP($D391,素材!$1:$1016,COLUMN($F$1),FALSE))),VLOOKUP($C391,武器!$1:$998,COLUMN($O$1),FALSE)*VLOOKUP($D391,素材!$1:$1016,COLUMN($E$1),FALSE)/(LEN(VLOOKUP($D391,素材!$1:$1016,COLUMN($F$1),FALSE)) - LEN(SUBSTITUTE(VLOOKUP($D391,素材!$1:$1016,COLUMN($F$1),FALSE), "・", 0)) + 1), 0)+IF($CI391&lt;&gt;"",VLOOKUP($CI391,装強!$A$1:BS$1005,COLUMN(装強!BS$1),FALSE),0)</f>
        <v>0</v>
      </c>
      <c r="AX391">
        <f>IF(ISNUMBER(SEARCH(SUBSTITUTE(AX$1,RIGHT(AX$1,2),""),VLOOKUP($D391,素材!$1:$1016,COLUMN($F$1),FALSE))),VLOOKUP($C391,武器!$1:$998,COLUMN($O$1),FALSE)*VLOOKUP($D391,素材!$1:$1016,COLUMN($E$1),FALSE)/(LEN(VLOOKUP($D391,素材!$1:$1016,COLUMN($F$1),FALSE)) - LEN(SUBSTITUTE(VLOOKUP($D391,素材!$1:$1016,COLUMN($F$1),FALSE), "・", 0)) + 1), 0)+IF($CI391&lt;&gt;"",VLOOKUP($CI391,装強!$A$1:BT$1005,COLUMN(装強!BT$1),FALSE),0)</f>
        <v>0</v>
      </c>
      <c r="AY391">
        <f>IF(ISNUMBER(SEARCH(SUBSTITUTE(AY$1,RIGHT(AY$1,2),""),VLOOKUP($D391,素材!$1:$1016,COLUMN($F$1),FALSE))),VLOOKUP($C391,武器!$1:$998,COLUMN($O$1),FALSE)*VLOOKUP($D391,素材!$1:$1016,COLUMN($E$1),FALSE)/(LEN(VLOOKUP($D391,素材!$1:$1016,COLUMN($F$1),FALSE)) - LEN(SUBSTITUTE(VLOOKUP($D391,素材!$1:$1016,COLUMN($F$1),FALSE), "・", 0)) + 1), 0)+IF($CI391&lt;&gt;"",VLOOKUP($CI391,装強!$A$1:BU$1005,COLUMN(装強!BU$1),FALSE),0)</f>
        <v>0</v>
      </c>
      <c r="AZ391">
        <f>IF(ISNUMBER(SEARCH(SUBSTITUTE(AZ$1,RIGHT(AZ$1,2),""),VLOOKUP($D391,素材!$1:$1016,COLUMN($F$1),FALSE))),VLOOKUP($C391,武器!$1:$998,COLUMN($O$1),FALSE)*VLOOKUP($D391,素材!$1:$1016,COLUMN($E$1),FALSE)/(LEN(VLOOKUP($D391,素材!$1:$1016,COLUMN($F$1),FALSE)) - LEN(SUBSTITUTE(VLOOKUP($D391,素材!$1:$1016,COLUMN($F$1),FALSE), "・", 0)) + 1), 0)+IF($CI391&lt;&gt;"",VLOOKUP($CI391,装強!$A$1:BV$1005,COLUMN(装強!BV$1),FALSE),0)</f>
        <v>0</v>
      </c>
      <c r="BA391">
        <f>IF(ISNUMBER(SEARCH(SUBSTITUTE(BA$1,RIGHT(BA$1,2),""),VLOOKUP($D391,素材!$1:$1016,COLUMN($F$1),FALSE))),VLOOKUP($C391,武器!$1:$998,COLUMN($O$1),FALSE)*VLOOKUP($D391,素材!$1:$1016,COLUMN($E$1),FALSE)/(LEN(VLOOKUP($D391,素材!$1:$1016,COLUMN($F$1),FALSE)) - LEN(SUBSTITUTE(VLOOKUP($D391,素材!$1:$1016,COLUMN($F$1),FALSE), "・", 0)) + 1), 0)+IF($CI391&lt;&gt;"",VLOOKUP($CI391,装強!$A$1:BW$1005,COLUMN(装強!BW$1),FALSE),0)</f>
        <v>0</v>
      </c>
      <c r="BB391">
        <f>IF(ISNUMBER(SEARCH(SUBSTITUTE(BB$1,RIGHT(BB$1,2),""),VLOOKUP($D391,素材!$1:$1016,COLUMN($F$1),FALSE))),VLOOKUP($C391,武器!$1:$998,COLUMN($O$1),FALSE)*VLOOKUP($D391,素材!$1:$1016,COLUMN($E$1),FALSE)/(LEN(VLOOKUP($D391,素材!$1:$1016,COLUMN($F$1),FALSE)) - LEN(SUBSTITUTE(VLOOKUP($D391,素材!$1:$1016,COLUMN($F$1),FALSE), "・", 0)) + 1), 0)+IF($CI391&lt;&gt;"",VLOOKUP($CI391,装強!$A$1:BX$1005,COLUMN(装強!BX$1),FALSE),0)</f>
        <v>0</v>
      </c>
      <c r="BC391">
        <f>IF(ISNUMBER(SEARCH(SUBSTITUTE(BC$1,RIGHT(BC$1,2),""),VLOOKUP($D391,素材!$1:$1016,COLUMN($F$1),FALSE))),VLOOKUP($C391,武器!$1:$998,COLUMN($O$1),FALSE)*VLOOKUP($D391,素材!$1:$1016,COLUMN($E$1),FALSE)/(LEN(VLOOKUP($D391,素材!$1:$1016,COLUMN($F$1),FALSE)) - LEN(SUBSTITUTE(VLOOKUP($D391,素材!$1:$1016,COLUMN($F$1),FALSE), "・", 0)) + 1), 0)+IF($CI391&lt;&gt;"",VLOOKUP($CI391,装強!$A$1:BY$1005,COLUMN(装強!BY$1),FALSE),0)</f>
        <v>0</v>
      </c>
      <c r="BD391">
        <f>IF(ISNUMBER(SEARCH(SUBSTITUTE(BD$1,RIGHT(BD$1,2),""),VLOOKUP($D391,素材!$1:$1016,COLUMN($F$1),FALSE))),VLOOKUP($C391,武器!$1:$998,COLUMN($O$1),FALSE)*VLOOKUP($D391,素材!$1:$1016,COLUMN($E$1),FALSE)/(LEN(VLOOKUP($D391,素材!$1:$1016,COLUMN($F$1),FALSE)) - LEN(SUBSTITUTE(VLOOKUP($D391,素材!$1:$1016,COLUMN($F$1),FALSE), "・", 0)) + 1), 0)+IF($CI391&lt;&gt;"",VLOOKUP($CI391,装強!$A$1:BZ$1005,COLUMN(装強!BZ$1),FALSE),0)</f>
        <v>0</v>
      </c>
      <c r="BE391">
        <f>IF(ISNUMBER(SEARCH(SUBSTITUTE(BE$1,RIGHT(BE$1,2),""),VLOOKUP($D391,素材!$1:$1016,COLUMN($F$1),FALSE))),VLOOKUP($C391,武器!$1:$998,COLUMN($O$1),FALSE)*VLOOKUP($D391,素材!$1:$1016,COLUMN($E$1),FALSE)/(LEN(VLOOKUP($D391,素材!$1:$1016,COLUMN($F$1),FALSE)) - LEN(SUBSTITUTE(VLOOKUP($D391,素材!$1:$1016,COLUMN($F$1),FALSE), "・", 0)) + 1), 0)+IF($CI391&lt;&gt;"",VLOOKUP($CI391,装強!$A$1:CA$1005,COLUMN(装強!CA$1),FALSE),0)</f>
        <v>0</v>
      </c>
      <c r="CL391">
        <f>SUM(G391:I391)</f>
        <v>0</v>
      </c>
      <c r="CM391" s="22" t="str">
        <f>IF(E391="武器",IF(J391-1&gt;SUM(G391:I391),"盾",IF(MAX(G391:I391)=G391,"切断",IF(MAX(G391:I391)=H391,"貫通",IF(MAX(G391:I391)=I391,"打撃","射撃")))),E391)&amp;".webp"</f>
        <v>.webp</v>
      </c>
      <c r="CN391" t="str">
        <f>IFERROR(VLOOKUP($C391,武器!$1:$998,COLUMN(V$1),FALSE)*VLOOKUP($D391,素材!$1:$1016,COLUMN(N$1),FALSE)+IF(CI391="",0,VLOOKUP($CI391,装強!$1:$1008,COLUMN($CK$1),FALSE)),"")</f>
        <v/>
      </c>
      <c r="CO391" t="e">
        <f>VLOOKUP(D391,素材!$A:$O,COLUMN(素材!O$1),FALSE)</f>
        <v>#N/A</v>
      </c>
      <c r="CP391" t="e">
        <f>VLOOKUP(C391,武器!$A:$W,COLUMN(武器!W$1),FALSE)</f>
        <v>#N/A</v>
      </c>
      <c r="CR391" t="str">
        <f t="shared" si="39"/>
        <v>e_391</v>
      </c>
      <c r="CS391" t="e">
        <f t="shared" si="41"/>
        <v>#VALUE!</v>
      </c>
    </row>
    <row r="392" spans="2:97" x14ac:dyDescent="0.4">
      <c r="B392" t="str">
        <f>IFERROR(VLOOKUP($D392,素材!$1:$1016,COLUMN($B$1),FALSE)&amp;"・"&amp;VLOOKUP($C392,武器!$1:$998,COLUMN(B$1),FALSE),"")</f>
        <v/>
      </c>
      <c r="D392" s="24"/>
      <c r="E392" t="str">
        <f>IFERROR(VLOOKUP(C392,武器!$1:$998,COLUMN(C$1),FALSE),"")</f>
        <v/>
      </c>
      <c r="F392" t="str">
        <f>IFERROR(ROUNDDOWN((VLOOKUP($C392,武器!$1:$998,COLUMN(D$1),FALSE)+IFERROR(VLOOKUP($CI392,装強!$1:$999,COLUMN(F$1),FALSE),0))*VLOOKUP($D392,素材!$1:$1016,COLUMN(D$1),FALSE),0),"")</f>
        <v/>
      </c>
      <c r="G392" t="str">
        <f>IFERROR(ROUNDDOWN((VLOOKUP($C392,武器!$1:$998,COLUMN(E$1),FALSE)+IFERROR(VLOOKUP($CI392,装強!$1:$999,COLUMN(G$1),FALSE),0))*VLOOKUP($D392,素材!$1:$1016,COLUMN($E$1),FALSE),0),"")</f>
        <v/>
      </c>
      <c r="H392" t="str">
        <f>IFERROR(ROUNDDOWN((VLOOKUP($C392,武器!$1:$998,COLUMN(F$1),FALSE)+IFERROR(VLOOKUP($CI392,装強!$1:$999,COLUMN(H$1),FALSE),0))*VLOOKUP($D392,素材!$1:$1016,COLUMN($E$1),FALSE),0),"")</f>
        <v/>
      </c>
      <c r="I392" t="str">
        <f>IFERROR(ROUNDDOWN((VLOOKUP($C392,武器!$1:$998,COLUMN(G$1),FALSE)+IFERROR(VLOOKUP($CI392,装強!$1:$999,COLUMN(I$1),FALSE),0))*VLOOKUP($D392,素材!$1:$1016,COLUMN($E$1),FALSE),0),"")</f>
        <v/>
      </c>
      <c r="J392" t="str">
        <f>IFERROR(ROUNDDOWN((VLOOKUP($C392,武器!$1:$998,COLUMN(H$1),FALSE)+IFERROR(VLOOKUP($CI392,装強!$1:$999,COLUMN(J$1),FALSE),0))*VLOOKUP($D392,素材!$1:$1016,COLUMN($E$1),FALSE),0),"")</f>
        <v/>
      </c>
      <c r="K392" t="str">
        <f>IFERROR(ROUNDDOWN((VLOOKUP($C392,武器!$1:$998,COLUMN(I$1),FALSE)+IFERROR(VLOOKUP($CI392,装強!$1:$999,COLUMN(K$1),FALSE),0))*VLOOKUP($D392,素材!$1:$1016,COLUMN($E$1),FALSE),0),"")</f>
        <v/>
      </c>
      <c r="L392" t="str">
        <f>IFERROR(VLOOKUP($D392,素材!$1:$1016,COLUMN($F$1),FALSE),"")</f>
        <v/>
      </c>
      <c r="M392" t="str">
        <f>IFERROR(VLOOKUP($C392,武器!$1:$998,COLUMN(AA$1),FALSE)*VLOOKUP($D392,素材!$1:$1016,COLUMN($G$1),FALSE),"")</f>
        <v/>
      </c>
      <c r="N392" t="str">
        <f>IFERROR(VLOOKUP($C392,武器!$1:$998,COLUMN(I$1),FALSE),"")</f>
        <v/>
      </c>
      <c r="O392" s="23" t="str">
        <f>IFERROR((VLOOKUP($C392,武器!$1:$998,COLUMN(K$1),FALSE)+VLOOKUP($D392,素材!$1:$1016,COLUMN(H$1),FALSE))*100+IFERROR(VLOOKUP($CI392,装強!$1:$999,COLUMN(O$1),FALSE),0),"")</f>
        <v/>
      </c>
      <c r="P392" s="23" t="str">
        <f>IFERROR((VLOOKUP($C392,武器!$1:$998,COLUMN(L$1),FALSE)+VLOOKUP($D392,素材!$1:$1016,COLUMN(I$1),FALSE))*100+IFERROR(VLOOKUP($CI392,装強!$1:$999,COLUMN(P$1),FALSE),0),"")</f>
        <v/>
      </c>
      <c r="Q392" t="str">
        <f>IFERROR(ROUNDUP(VLOOKUP($C392,武器!$1:$998,COLUMN(M$1),FALSE)*(VLOOKUP($D392,素材!$1:$1002,COLUMN(D$1),FALSE)/100),1),"")</f>
        <v/>
      </c>
      <c r="R392" t="str">
        <f>IFERROR(ROUNDUP(VLOOKUP($C392,武器!$1:$998,COLUMN(N$1),FALSE)*(VLOOKUP($D392,素材!$1:$1002,COLUMN(D$1),FALSE)/100),1),"")</f>
        <v/>
      </c>
      <c r="S392" t="str">
        <f>IFERROR(VLOOKUP($C392,武器!$1:$998,COLUMN(P$1),FALSE),"")</f>
        <v/>
      </c>
      <c r="T392" t="str">
        <f>IFERROR(VLOOKUP($C392,武器!$1:$998,COLUMN(Q$1),FALSE),"")</f>
        <v/>
      </c>
      <c r="U392" t="str">
        <f>IFERROR(VLOOKUP($C392,武器!$1:$998,COLUMN(R$1),FALSE),"")</f>
        <v/>
      </c>
      <c r="V392" t="str">
        <f>IFERROR(VLOOKUP($C392,武器!$1:$998,COLUMN(Q$1),FALSE),"")</f>
        <v/>
      </c>
      <c r="W392" t="str">
        <f>IFERROR(VLOOKUP($C392,武器!$1:$998,COLUMN(T$1),FALSE),"")</f>
        <v/>
      </c>
      <c r="Y392" t="str">
        <f>IFERROR(VLOOKUP($C392,武器!$1:$998,COLUMN(U$1),FALSE),"")</f>
        <v/>
      </c>
      <c r="Z392" t="str">
        <f>IFERROR(ROUNDUP(VLOOKUP($C392,武器!$1:$998,COLUMN(O$1),FALSE)*VLOOKUP($D392,素材!$1:$1016,COLUMN(E$1),FALSE),1),"")</f>
        <v/>
      </c>
      <c r="AA392">
        <f>IF(ISNUMBER(SEARCH(SUBSTITUTE(AA$1,RIGHT(AA$1,2),""),VLOOKUP($D392,素材!$1:$1016,COLUMN($F$1),FALSE))),VLOOKUP($C392,武器!$1:$998,COLUMN($O$1),FALSE)*VLOOKUP($D392,素材!$1:$1016,COLUMN($E$1),FALSE)/(LEN(VLOOKUP($D392,素材!$1:$1016,COLUMN($F$1),FALSE)) - LEN(SUBSTITUTE(VLOOKUP($D392,素材!$1:$1016,COLUMN($F$1),FALSE), "・", 0)) + 1), 0)</f>
        <v>0</v>
      </c>
      <c r="AB392">
        <f>IF(ISNUMBER(SEARCH(SUBSTITUTE(AB$1,RIGHT(AB$1,2),""),VLOOKUP($D392,素材!$1:$1016,COLUMN($F$1),FALSE))),VLOOKUP($C392,武器!$1:$998,COLUMN($O$1),FALSE)*VLOOKUP($D392,素材!$1:$1016,COLUMN($E$1),FALSE)/(LEN(VLOOKUP($D392,素材!$1:$1016,COLUMN($F$1),FALSE)) - LEN(SUBSTITUTE(VLOOKUP($D392,素材!$1:$1016,COLUMN($F$1),FALSE), "・", 0)) + 1), 0)</f>
        <v>0</v>
      </c>
      <c r="AC392">
        <f>IF(ISNUMBER(SEARCH(SUBSTITUTE(AC$1,RIGHT(AC$1,2),""),VLOOKUP($D392,素材!$1:$1016,COLUMN($F$1),FALSE))),VLOOKUP($C392,武器!$1:$998,COLUMN($O$1),FALSE)*VLOOKUP($D392,素材!$1:$1016,COLUMN($E$1),FALSE)/(LEN(VLOOKUP($D392,素材!$1:$1016,COLUMN($F$1),FALSE)) - LEN(SUBSTITUTE(VLOOKUP($D392,素材!$1:$1016,COLUMN($F$1),FALSE), "・", 0)) + 1), 0)</f>
        <v>0</v>
      </c>
      <c r="AD392">
        <f>IF(ISNUMBER(SEARCH(SUBSTITUTE(AD$1,RIGHT(AD$1,2),""),VLOOKUP($D392,素材!$1:$1016,COLUMN($F$1),FALSE))),VLOOKUP($C392,武器!$1:$998,COLUMN($O$1),FALSE)*VLOOKUP($D392,素材!$1:$1016,COLUMN($E$1),FALSE)/(LEN(VLOOKUP($D392,素材!$1:$1016,COLUMN($F$1),FALSE)) - LEN(SUBSTITUTE(VLOOKUP($D392,素材!$1:$1016,COLUMN($F$1),FALSE), "・", 0)) + 1), 0)</f>
        <v>0</v>
      </c>
      <c r="AE392">
        <f>IF(ISNUMBER(SEARCH(SUBSTITUTE(AE$1,RIGHT(AE$1,2),""),VLOOKUP($D392,素材!$1:$1016,COLUMN($F$1),FALSE))),VLOOKUP($C392,武器!$1:$998,COLUMN($O$1),FALSE)*VLOOKUP($D392,素材!$1:$1016,COLUMN($E$1),FALSE)/(LEN(VLOOKUP($D392,素材!$1:$1016,COLUMN($F$1),FALSE)) - LEN(SUBSTITUTE(VLOOKUP($D392,素材!$1:$1016,COLUMN($F$1),FALSE), "・", 0)) + 1), 0)+IF($CI392&lt;&gt;"",VLOOKUP($CI392,装強!$A$1:AZ$1005,COLUMN(装強!AZ$1),FALSE),0)</f>
        <v>0</v>
      </c>
      <c r="AF392">
        <f>IF(ISNUMBER(SEARCH(SUBSTITUTE(AF$1,RIGHT(AF$1,2),""),VLOOKUP($D392,素材!$1:$1016,COLUMN($F$1),FALSE))),VLOOKUP($C392,武器!$1:$998,COLUMN($O$1),FALSE)*VLOOKUP($D392,素材!$1:$1016,COLUMN($E$1),FALSE)/(LEN(VLOOKUP($D392,素材!$1:$1016,COLUMN($F$1),FALSE)) - LEN(SUBSTITUTE(VLOOKUP($D392,素材!$1:$1016,COLUMN($F$1),FALSE), "・", 0)) + 1), 0)+IF($CI392&lt;&gt;"",VLOOKUP($CI392,装強!$A$1:BA$1005,COLUMN(装強!BA$1),FALSE),0)</f>
        <v>0</v>
      </c>
      <c r="AG392">
        <f>IF(ISNUMBER(SEARCH(SUBSTITUTE(AG$1,RIGHT(AG$1,2),""),VLOOKUP($D392,素材!$1:$1016,COLUMN($F$1),FALSE))),VLOOKUP($C392,武器!$1:$998,COLUMN($O$1),FALSE)*VLOOKUP($D392,素材!$1:$1016,COLUMN($E$1),FALSE)/(LEN(VLOOKUP($D392,素材!$1:$1016,COLUMN($F$1),FALSE)) - LEN(SUBSTITUTE(VLOOKUP($D392,素材!$1:$1016,COLUMN($F$1),FALSE), "・", 0)) + 1), 0)+IF($CI392&lt;&gt;"",VLOOKUP($CI392,装強!$A$1:BB$1005,COLUMN(装強!BB$1),FALSE),0)</f>
        <v>0</v>
      </c>
      <c r="AH392">
        <f>IF(ISNUMBER(SEARCH(SUBSTITUTE(AH$1,RIGHT(AH$1,2),""),VLOOKUP($D392,素材!$1:$1016,COLUMN($F$1),FALSE))),VLOOKUP($C392,武器!$1:$998,COLUMN($O$1),FALSE)*VLOOKUP($D392,素材!$1:$1016,COLUMN($E$1),FALSE)/(LEN(VLOOKUP($D392,素材!$1:$1016,COLUMN($F$1),FALSE)) - LEN(SUBSTITUTE(VLOOKUP($D392,素材!$1:$1016,COLUMN($F$1),FALSE), "・", 0)) + 1), 0)+IF($CI392&lt;&gt;"",VLOOKUP($CI392,装強!$A$1:BC$1005,COLUMN(装強!BC$1),FALSE),0)</f>
        <v>0</v>
      </c>
      <c r="AI392">
        <f>IF(ISNUMBER(SEARCH(SUBSTITUTE(AI$1,RIGHT(AI$1,2),""),VLOOKUP($D392,素材!$1:$1016,COLUMN($F$1),FALSE))),VLOOKUP($C392,武器!$1:$998,COLUMN($O$1),FALSE)*VLOOKUP($D392,素材!$1:$1016,COLUMN($E$1),FALSE)/(LEN(VLOOKUP($D392,素材!$1:$1016,COLUMN($F$1),FALSE)) - LEN(SUBSTITUTE(VLOOKUP($D392,素材!$1:$1016,COLUMN($F$1),FALSE), "・", 0)) + 1), 0)+IF($CI392&lt;&gt;"",VLOOKUP($CI392,装強!$A$1:BD$1005,COLUMN(装強!BD$1),FALSE),0)</f>
        <v>0</v>
      </c>
      <c r="AJ392">
        <f>IF(ISNUMBER(SEARCH(SUBSTITUTE(AJ$1,RIGHT(AJ$1,2),""),VLOOKUP($D392,素材!$1:$1016,COLUMN($F$1),FALSE))),VLOOKUP($C392,武器!$1:$998,COLUMN($O$1),FALSE)*VLOOKUP($D392,素材!$1:$1016,COLUMN($E$1),FALSE)/(LEN(VLOOKUP($D392,素材!$1:$1016,COLUMN($F$1),FALSE)) - LEN(SUBSTITUTE(VLOOKUP($D392,素材!$1:$1016,COLUMN($F$1),FALSE), "・", 0)) + 1), 0)+IF($CI392&lt;&gt;"",VLOOKUP($CI392,装強!$A$1:BE$1005,COLUMN(装強!BE$1),FALSE),0)</f>
        <v>0</v>
      </c>
      <c r="AK392">
        <f>IF(ISNUMBER(SEARCH(SUBSTITUTE(AK$1,RIGHT(AK$1,2),""),VLOOKUP($D392,素材!$1:$1016,COLUMN($F$1),FALSE))),VLOOKUP($C392,武器!$1:$998,COLUMN($O$1),FALSE)*VLOOKUP($D392,素材!$1:$1016,COLUMN($E$1),FALSE)/(LEN(VLOOKUP($D392,素材!$1:$1016,COLUMN($F$1),FALSE)) - LEN(SUBSTITUTE(VLOOKUP($D392,素材!$1:$1016,COLUMN($F$1),FALSE), "・", 0)) + 1), 0)+IF($CI392&lt;&gt;"",VLOOKUP($CI392,装強!$A$1:BF$1005,COLUMN(装強!BF$1),FALSE),0)</f>
        <v>0</v>
      </c>
      <c r="AL392">
        <f>IF(ISNUMBER(SEARCH(SUBSTITUTE(AL$1,RIGHT(AL$1,2),""),VLOOKUP($D392,素材!$1:$1016,COLUMN($F$1),FALSE))),VLOOKUP($C392,武器!$1:$998,COLUMN($O$1),FALSE)*VLOOKUP($D392,素材!$1:$1016,COLUMN($E$1),FALSE)/(LEN(VLOOKUP($D392,素材!$1:$1016,COLUMN($F$1),FALSE)) - LEN(SUBSTITUTE(VLOOKUP($D392,素材!$1:$1016,COLUMN($F$1),FALSE), "・", 0)) + 1), 0)+IF($CI392&lt;&gt;"",VLOOKUP($CI392,装強!$A$1:BG$1005,COLUMN(装強!BG$1),FALSE),0)</f>
        <v>0</v>
      </c>
      <c r="AM392">
        <f>IF(ISNUMBER(SEARCH(SUBSTITUTE(AM$1,RIGHT(AM$1,2),""),VLOOKUP($D392,素材!$1:$1016,COLUMN($F$1),FALSE))),VLOOKUP($C392,武器!$1:$998,COLUMN($O$1),FALSE)*VLOOKUP($D392,素材!$1:$1016,COLUMN($E$1),FALSE)/(LEN(VLOOKUP($D392,素材!$1:$1016,COLUMN($F$1),FALSE)) - LEN(SUBSTITUTE(VLOOKUP($D392,素材!$1:$1016,COLUMN($F$1),FALSE), "・", 0)) + 1), 0)+IF($CI392&lt;&gt;"",VLOOKUP($CI392,装強!$A$1:BH$1005,COLUMN(装強!BH$1),FALSE),0)</f>
        <v>0</v>
      </c>
      <c r="AN392">
        <f>IF(ISNUMBER(SEARCH(SUBSTITUTE(AN$1,RIGHT(AN$1,2),""),VLOOKUP($D392,素材!$1:$1016,COLUMN($F$1),FALSE))),VLOOKUP($C392,武器!$1:$998,COLUMN($O$1),FALSE)*VLOOKUP($D392,素材!$1:$1016,COLUMN($E$1),FALSE)/(LEN(VLOOKUP($D392,素材!$1:$1016,COLUMN($F$1),FALSE)) - LEN(SUBSTITUTE(VLOOKUP($D392,素材!$1:$1016,COLUMN($F$1),FALSE), "・", 0)) + 1), 0)+IF($CI392&lt;&gt;"",VLOOKUP($CI392,装強!$A$1:BI$1005,COLUMN(装強!BI$1),FALSE),0)</f>
        <v>0</v>
      </c>
      <c r="AO392">
        <f>IF(ISNUMBER(SEARCH(SUBSTITUTE(AO$1,RIGHT(AO$1,2),""),VLOOKUP($D392,素材!$1:$1016,COLUMN($F$1),FALSE))),VLOOKUP($C392,武器!$1:$998,COLUMN($O$1),FALSE)*VLOOKUP($D392,素材!$1:$1016,COLUMN($E$1),FALSE)/(LEN(VLOOKUP($D392,素材!$1:$1016,COLUMN($F$1),FALSE)) - LEN(SUBSTITUTE(VLOOKUP($D392,素材!$1:$1016,COLUMN($F$1),FALSE), "・", 0)) + 1), 0)+IF($CI392&lt;&gt;"",VLOOKUP($CI392,装強!$A$1:BK$1005,COLUMN(装強!BK$1),FALSE),0)</f>
        <v>0</v>
      </c>
      <c r="AP392">
        <f>IF(ISNUMBER(SEARCH(SUBSTITUTE(AP$1,RIGHT(AP$1,2),""),VLOOKUP($D392,素材!$1:$1016,COLUMN($F$1),FALSE))),VLOOKUP($C392,武器!$1:$998,COLUMN($O$1),FALSE)*VLOOKUP($D392,素材!$1:$1016,COLUMN($E$1),FALSE)/(LEN(VLOOKUP($D392,素材!$1:$1016,COLUMN($F$1),FALSE)) - LEN(SUBSTITUTE(VLOOKUP($D392,素材!$1:$1016,COLUMN($F$1),FALSE), "・", 0)) + 1), 0)+IF($CI392&lt;&gt;"",VLOOKUP($CI392,装強!$A$1:BL$1005,COLUMN(装強!BL$1),FALSE),0)</f>
        <v>0</v>
      </c>
      <c r="AQ392">
        <f>IF(ISNUMBER(SEARCH(SUBSTITUTE(AQ$1,RIGHT(AQ$1,2),""),VLOOKUP($D392,素材!$1:$1016,COLUMN($F$1),FALSE))),VLOOKUP($C392,武器!$1:$998,COLUMN($O$1),FALSE)*VLOOKUP($D392,素材!$1:$1016,COLUMN($E$1),FALSE)/(LEN(VLOOKUP($D392,素材!$1:$1016,COLUMN($F$1),FALSE)) - LEN(SUBSTITUTE(VLOOKUP($D392,素材!$1:$1016,COLUMN($F$1),FALSE), "・", 0)) + 1), 0)+IF($CI392&lt;&gt;"",VLOOKUP($CI392,装強!$A$1:BM$1005,COLUMN(装強!BM$1),FALSE),0)</f>
        <v>0</v>
      </c>
      <c r="AR392">
        <f>IF(ISNUMBER(SEARCH(SUBSTITUTE(AR$1,RIGHT(AR$1,2),""),VLOOKUP($D392,素材!$1:$1016,COLUMN($F$1),FALSE))),VLOOKUP($C392,武器!$1:$998,COLUMN($O$1),FALSE)*VLOOKUP($D392,素材!$1:$1016,COLUMN($E$1),FALSE)/(LEN(VLOOKUP($D392,素材!$1:$1016,COLUMN($F$1),FALSE)) - LEN(SUBSTITUTE(VLOOKUP($D392,素材!$1:$1016,COLUMN($F$1),FALSE), "・", 0)) + 1), 0)+IF($CI392&lt;&gt;"",VLOOKUP($CI392,装強!$A$1:BN$1005,COLUMN(装強!BN$1),FALSE),0)</f>
        <v>0</v>
      </c>
      <c r="AS392">
        <f>IF(ISNUMBER(SEARCH(SUBSTITUTE(AS$1,RIGHT(AS$1,2),""),VLOOKUP($D392,素材!$1:$1016,COLUMN($F$1),FALSE))),VLOOKUP($C392,武器!$1:$998,COLUMN($O$1),FALSE)*VLOOKUP($D392,素材!$1:$1016,COLUMN($E$1),FALSE)/(LEN(VLOOKUP($D392,素材!$1:$1016,COLUMN($F$1),FALSE)) - LEN(SUBSTITUTE(VLOOKUP($D392,素材!$1:$1016,COLUMN($F$1),FALSE), "・", 0)) + 1), 0)+IF($CI392&lt;&gt;"",VLOOKUP($CI392,装強!$A$1:BO$1005,COLUMN(装強!BO$1),FALSE),0)</f>
        <v>0</v>
      </c>
      <c r="AT392">
        <f>IF(ISNUMBER(SEARCH(SUBSTITUTE(AT$1,RIGHT(AT$1,2),""),VLOOKUP($D392,素材!$1:$1016,COLUMN($F$1),FALSE))),VLOOKUP($C392,武器!$1:$998,COLUMN($O$1),FALSE)*VLOOKUP($D392,素材!$1:$1016,COLUMN($E$1),FALSE)/(LEN(VLOOKUP($D392,素材!$1:$1016,COLUMN($F$1),FALSE)) - LEN(SUBSTITUTE(VLOOKUP($D392,素材!$1:$1016,COLUMN($F$1),FALSE), "・", 0)) + 1), 0)+IF($CI392&lt;&gt;"",VLOOKUP($CI392,装強!$A$1:BP$1005,COLUMN(装強!BP$1),FALSE),0)</f>
        <v>0</v>
      </c>
      <c r="AU392">
        <f>IF(ISNUMBER(SEARCH(SUBSTITUTE(AU$1,RIGHT(AU$1,2),""),VLOOKUP($D392,素材!$1:$1016,COLUMN($F$1),FALSE))),VLOOKUP($C392,武器!$1:$998,COLUMN($O$1),FALSE)*VLOOKUP($D392,素材!$1:$1016,COLUMN($E$1),FALSE)/(LEN(VLOOKUP($D392,素材!$1:$1016,COLUMN($F$1),FALSE)) - LEN(SUBSTITUTE(VLOOKUP($D392,素材!$1:$1016,COLUMN($F$1),FALSE), "・", 0)) + 1), 0)+IF($CI392&lt;&gt;"",VLOOKUP($CI392,装強!$A$1:BQ$1005,COLUMN(装強!BQ$1),FALSE),0)</f>
        <v>0</v>
      </c>
      <c r="AV392">
        <f>IF(ISNUMBER(SEARCH(SUBSTITUTE(AV$1,RIGHT(AV$1,2),""),VLOOKUP($D392,素材!$1:$1016,COLUMN($F$1),FALSE))),VLOOKUP($C392,武器!$1:$998,COLUMN($O$1),FALSE)*VLOOKUP($D392,素材!$1:$1016,COLUMN($E$1),FALSE)/(LEN(VLOOKUP($D392,素材!$1:$1016,COLUMN($F$1),FALSE)) - LEN(SUBSTITUTE(VLOOKUP($D392,素材!$1:$1016,COLUMN($F$1),FALSE), "・", 0)) + 1), 0)+IF($CI392&lt;&gt;"",VLOOKUP($CI392,装強!$A$1:BR$1005,COLUMN(装強!BR$1),FALSE),0)</f>
        <v>0</v>
      </c>
      <c r="AW392">
        <f>IF(ISNUMBER(SEARCH(SUBSTITUTE(AW$1,RIGHT(AW$1,2),""),VLOOKUP($D392,素材!$1:$1016,COLUMN($F$1),FALSE))),VLOOKUP($C392,武器!$1:$998,COLUMN($O$1),FALSE)*VLOOKUP($D392,素材!$1:$1016,COLUMN($E$1),FALSE)/(LEN(VLOOKUP($D392,素材!$1:$1016,COLUMN($F$1),FALSE)) - LEN(SUBSTITUTE(VLOOKUP($D392,素材!$1:$1016,COLUMN($F$1),FALSE), "・", 0)) + 1), 0)+IF($CI392&lt;&gt;"",VLOOKUP($CI392,装強!$A$1:BS$1005,COLUMN(装強!BS$1),FALSE),0)</f>
        <v>0</v>
      </c>
      <c r="AX392">
        <f>IF(ISNUMBER(SEARCH(SUBSTITUTE(AX$1,RIGHT(AX$1,2),""),VLOOKUP($D392,素材!$1:$1016,COLUMN($F$1),FALSE))),VLOOKUP($C392,武器!$1:$998,COLUMN($O$1),FALSE)*VLOOKUP($D392,素材!$1:$1016,COLUMN($E$1),FALSE)/(LEN(VLOOKUP($D392,素材!$1:$1016,COLUMN($F$1),FALSE)) - LEN(SUBSTITUTE(VLOOKUP($D392,素材!$1:$1016,COLUMN($F$1),FALSE), "・", 0)) + 1), 0)+IF($CI392&lt;&gt;"",VLOOKUP($CI392,装強!$A$1:BT$1005,COLUMN(装強!BT$1),FALSE),0)</f>
        <v>0</v>
      </c>
      <c r="AY392">
        <f>IF(ISNUMBER(SEARCH(SUBSTITUTE(AY$1,RIGHT(AY$1,2),""),VLOOKUP($D392,素材!$1:$1016,COLUMN($F$1),FALSE))),VLOOKUP($C392,武器!$1:$998,COLUMN($O$1),FALSE)*VLOOKUP($D392,素材!$1:$1016,COLUMN($E$1),FALSE)/(LEN(VLOOKUP($D392,素材!$1:$1016,COLUMN($F$1),FALSE)) - LEN(SUBSTITUTE(VLOOKUP($D392,素材!$1:$1016,COLUMN($F$1),FALSE), "・", 0)) + 1), 0)+IF($CI392&lt;&gt;"",VLOOKUP($CI392,装強!$A$1:BU$1005,COLUMN(装強!BU$1),FALSE),0)</f>
        <v>0</v>
      </c>
      <c r="AZ392">
        <f>IF(ISNUMBER(SEARCH(SUBSTITUTE(AZ$1,RIGHT(AZ$1,2),""),VLOOKUP($D392,素材!$1:$1016,COLUMN($F$1),FALSE))),VLOOKUP($C392,武器!$1:$998,COLUMN($O$1),FALSE)*VLOOKUP($D392,素材!$1:$1016,COLUMN($E$1),FALSE)/(LEN(VLOOKUP($D392,素材!$1:$1016,COLUMN($F$1),FALSE)) - LEN(SUBSTITUTE(VLOOKUP($D392,素材!$1:$1016,COLUMN($F$1),FALSE), "・", 0)) + 1), 0)+IF($CI392&lt;&gt;"",VLOOKUP($CI392,装強!$A$1:BV$1005,COLUMN(装強!BV$1),FALSE),0)</f>
        <v>0</v>
      </c>
      <c r="BA392">
        <f>IF(ISNUMBER(SEARCH(SUBSTITUTE(BA$1,RIGHT(BA$1,2),""),VLOOKUP($D392,素材!$1:$1016,COLUMN($F$1),FALSE))),VLOOKUP($C392,武器!$1:$998,COLUMN($O$1),FALSE)*VLOOKUP($D392,素材!$1:$1016,COLUMN($E$1),FALSE)/(LEN(VLOOKUP($D392,素材!$1:$1016,COLUMN($F$1),FALSE)) - LEN(SUBSTITUTE(VLOOKUP($D392,素材!$1:$1016,COLUMN($F$1),FALSE), "・", 0)) + 1), 0)+IF($CI392&lt;&gt;"",VLOOKUP($CI392,装強!$A$1:BW$1005,COLUMN(装強!BW$1),FALSE),0)</f>
        <v>0</v>
      </c>
      <c r="BB392">
        <f>IF(ISNUMBER(SEARCH(SUBSTITUTE(BB$1,RIGHT(BB$1,2),""),VLOOKUP($D392,素材!$1:$1016,COLUMN($F$1),FALSE))),VLOOKUP($C392,武器!$1:$998,COLUMN($O$1),FALSE)*VLOOKUP($D392,素材!$1:$1016,COLUMN($E$1),FALSE)/(LEN(VLOOKUP($D392,素材!$1:$1016,COLUMN($F$1),FALSE)) - LEN(SUBSTITUTE(VLOOKUP($D392,素材!$1:$1016,COLUMN($F$1),FALSE), "・", 0)) + 1), 0)+IF($CI392&lt;&gt;"",VLOOKUP($CI392,装強!$A$1:BX$1005,COLUMN(装強!BX$1),FALSE),0)</f>
        <v>0</v>
      </c>
      <c r="BC392">
        <f>IF(ISNUMBER(SEARCH(SUBSTITUTE(BC$1,RIGHT(BC$1,2),""),VLOOKUP($D392,素材!$1:$1016,COLUMN($F$1),FALSE))),VLOOKUP($C392,武器!$1:$998,COLUMN($O$1),FALSE)*VLOOKUP($D392,素材!$1:$1016,COLUMN($E$1),FALSE)/(LEN(VLOOKUP($D392,素材!$1:$1016,COLUMN($F$1),FALSE)) - LEN(SUBSTITUTE(VLOOKUP($D392,素材!$1:$1016,COLUMN($F$1),FALSE), "・", 0)) + 1), 0)+IF($CI392&lt;&gt;"",VLOOKUP($CI392,装強!$A$1:BY$1005,COLUMN(装強!BY$1),FALSE),0)</f>
        <v>0</v>
      </c>
      <c r="BD392">
        <f>IF(ISNUMBER(SEARCH(SUBSTITUTE(BD$1,RIGHT(BD$1,2),""),VLOOKUP($D392,素材!$1:$1016,COLUMN($F$1),FALSE))),VLOOKUP($C392,武器!$1:$998,COLUMN($O$1),FALSE)*VLOOKUP($D392,素材!$1:$1016,COLUMN($E$1),FALSE)/(LEN(VLOOKUP($D392,素材!$1:$1016,COLUMN($F$1),FALSE)) - LEN(SUBSTITUTE(VLOOKUP($D392,素材!$1:$1016,COLUMN($F$1),FALSE), "・", 0)) + 1), 0)+IF($CI392&lt;&gt;"",VLOOKUP($CI392,装強!$A$1:BZ$1005,COLUMN(装強!BZ$1),FALSE),0)</f>
        <v>0</v>
      </c>
      <c r="BE392">
        <f>IF(ISNUMBER(SEARCH(SUBSTITUTE(BE$1,RIGHT(BE$1,2),""),VLOOKUP($D392,素材!$1:$1016,COLUMN($F$1),FALSE))),VLOOKUP($C392,武器!$1:$998,COLUMN($O$1),FALSE)*VLOOKUP($D392,素材!$1:$1016,COLUMN($E$1),FALSE)/(LEN(VLOOKUP($D392,素材!$1:$1016,COLUMN($F$1),FALSE)) - LEN(SUBSTITUTE(VLOOKUP($D392,素材!$1:$1016,COLUMN($F$1),FALSE), "・", 0)) + 1), 0)+IF($CI392&lt;&gt;"",VLOOKUP($CI392,装強!$A$1:CA$1005,COLUMN(装強!CA$1),FALSE),0)</f>
        <v>0</v>
      </c>
      <c r="CL392">
        <f>SUM(G392:I392)</f>
        <v>0</v>
      </c>
      <c r="CM392" s="22" t="str">
        <f>IF(E392="武器",IF(J392-1&gt;SUM(G392:I392),"盾",IF(MAX(G392:I392)=G392,"切断",IF(MAX(G392:I392)=H392,"貫通",IF(MAX(G392:I392)=I392,"打撃","射撃")))),E392)&amp;".webp"</f>
        <v>.webp</v>
      </c>
      <c r="CN392" t="str">
        <f>IFERROR(VLOOKUP($C392,武器!$1:$998,COLUMN(V$1),FALSE)*VLOOKUP($D392,素材!$1:$1016,COLUMN(N$1),FALSE)+IF(CI392="",0,VLOOKUP($CI392,装強!$1:$1008,COLUMN($CK$1),FALSE)),"")</f>
        <v/>
      </c>
      <c r="CO392" t="e">
        <f>VLOOKUP(D392,素材!$A:$O,COLUMN(素材!O$1),FALSE)</f>
        <v>#N/A</v>
      </c>
      <c r="CP392" t="e">
        <f>VLOOKUP(C392,武器!$A:$W,COLUMN(武器!W$1),FALSE)</f>
        <v>#N/A</v>
      </c>
      <c r="CR392" t="str">
        <f t="shared" si="39"/>
        <v>e_392</v>
      </c>
      <c r="CS392" t="e">
        <f t="shared" si="41"/>
        <v>#VALUE!</v>
      </c>
    </row>
  </sheetData>
  <phoneticPr fontId="2"/>
  <pageMargins left="0.7" right="0.7" top="0.75" bottom="0.75" header="0.3" footer="0.3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D4402-2A3A-49F0-BC37-4F5669903C31}">
  <sheetPr codeName="Sheet3">
    <tabColor theme="8" tint="0.79998168889431442"/>
  </sheetPr>
  <dimension ref="A1:BW351"/>
  <sheetViews>
    <sheetView zoomScale="85" zoomScaleNormal="85" workbookViewId="0">
      <pane xSplit="6" ySplit="2" topLeftCell="G5" activePane="bottomRight" state="frozen"/>
      <selection pane="topRight" activeCell="F1" sqref="F1"/>
      <selection pane="bottomLeft" activeCell="A3" sqref="A3"/>
      <selection pane="bottomRight" activeCell="F5" sqref="F5:AA7"/>
    </sheetView>
  </sheetViews>
  <sheetFormatPr defaultRowHeight="18.75" outlineLevelRow="1" outlineLevelCol="1" x14ac:dyDescent="0.4"/>
  <cols>
    <col min="1" max="2" width="15.5" customWidth="1"/>
    <col min="3" max="4" width="4.625" customWidth="1"/>
    <col min="5" max="5" width="5.625" customWidth="1"/>
    <col min="6" max="6" width="43.25" style="1" customWidth="1"/>
    <col min="7" max="7" width="4.875" customWidth="1"/>
    <col min="8" max="10" width="5.75" hidden="1" customWidth="1" outlineLevel="1"/>
    <col min="11" max="11" width="6.5" hidden="1" customWidth="1" outlineLevel="1"/>
    <col min="12" max="13" width="5.125" hidden="1" customWidth="1" outlineLevel="1"/>
    <col min="14" max="14" width="7" hidden="1" customWidth="1" outlineLevel="1"/>
    <col min="15" max="15" width="8" hidden="1" customWidth="1" outlineLevel="1"/>
    <col min="16" max="16" width="5" style="29" hidden="1" customWidth="1" outlineLevel="1"/>
    <col min="17" max="17" width="7" style="29" hidden="1" customWidth="1" outlineLevel="1"/>
    <col min="18" max="21" width="6.25" hidden="1" customWidth="1" outlineLevel="1"/>
    <col min="22" max="22" width="8.375" hidden="1" customWidth="1" outlineLevel="1"/>
    <col min="23" max="23" width="6.25" hidden="1" customWidth="1" outlineLevel="1"/>
    <col min="24" max="24" width="5.5" hidden="1" customWidth="1" outlineLevel="1"/>
    <col min="25" max="26" width="6.25" hidden="1" customWidth="1" outlineLevel="1"/>
    <col min="27" max="27" width="4.875" customWidth="1" collapsed="1"/>
    <col min="28" max="51" width="4.875" hidden="1" customWidth="1" outlineLevel="1"/>
    <col min="52" max="52" width="4.875" customWidth="1" collapsed="1"/>
    <col min="53" max="53" width="4.875" customWidth="1"/>
    <col min="54" max="58" width="4.875" hidden="1" customWidth="1" outlineLevel="1"/>
    <col min="59" max="59" width="5.25" bestFit="1" customWidth="1" collapsed="1"/>
    <col min="60" max="60" width="5.25" bestFit="1" customWidth="1"/>
    <col min="61" max="61" width="9" bestFit="1" customWidth="1"/>
    <col min="62" max="62" width="13" bestFit="1" customWidth="1"/>
  </cols>
  <sheetData>
    <row r="1" spans="1:75" s="2" customFormat="1" ht="54.75" thickBot="1" x14ac:dyDescent="0.45">
      <c r="A1" s="18" t="s">
        <v>193</v>
      </c>
      <c r="B1" s="18" t="s">
        <v>192</v>
      </c>
      <c r="C1" s="21" t="s">
        <v>191</v>
      </c>
      <c r="D1" s="21" t="s">
        <v>190</v>
      </c>
      <c r="E1" s="21" t="s">
        <v>189</v>
      </c>
      <c r="F1" s="21" t="s">
        <v>102</v>
      </c>
      <c r="G1" s="20" t="s">
        <v>188</v>
      </c>
      <c r="H1" s="20" t="s">
        <v>187</v>
      </c>
      <c r="I1" s="20" t="s">
        <v>186</v>
      </c>
      <c r="J1" s="20" t="s">
        <v>185</v>
      </c>
      <c r="K1" s="31" t="s">
        <v>184</v>
      </c>
      <c r="L1" s="31" t="s">
        <v>183</v>
      </c>
      <c r="M1" s="31" t="s">
        <v>182</v>
      </c>
      <c r="N1" s="31" t="s">
        <v>181</v>
      </c>
      <c r="O1" s="20" t="s">
        <v>180</v>
      </c>
      <c r="P1" s="31" t="s">
        <v>179</v>
      </c>
      <c r="Q1" s="31" t="s">
        <v>178</v>
      </c>
      <c r="R1" s="18" t="s">
        <v>491</v>
      </c>
      <c r="S1" s="18" t="s">
        <v>490</v>
      </c>
      <c r="T1" s="16" t="s">
        <v>175</v>
      </c>
      <c r="U1" s="16" t="s">
        <v>174</v>
      </c>
      <c r="V1" s="16" t="s">
        <v>173</v>
      </c>
      <c r="W1" s="17" t="s">
        <v>172</v>
      </c>
      <c r="X1" s="16" t="s">
        <v>171</v>
      </c>
      <c r="Y1" s="16" t="s">
        <v>170</v>
      </c>
      <c r="Z1" s="16" t="s">
        <v>169</v>
      </c>
      <c r="AA1" s="15" t="s">
        <v>168</v>
      </c>
      <c r="AB1" s="15" t="s">
        <v>167</v>
      </c>
      <c r="AC1" s="11" t="s">
        <v>166</v>
      </c>
      <c r="AD1" s="11" t="s">
        <v>165</v>
      </c>
      <c r="AE1" s="11" t="s">
        <v>164</v>
      </c>
      <c r="AF1" s="14" t="s">
        <v>163</v>
      </c>
      <c r="AG1" s="14" t="s">
        <v>162</v>
      </c>
      <c r="AH1" s="14" t="s">
        <v>161</v>
      </c>
      <c r="AI1" s="14" t="s">
        <v>160</v>
      </c>
      <c r="AJ1" s="14" t="s">
        <v>159</v>
      </c>
      <c r="AK1" s="14" t="s">
        <v>158</v>
      </c>
      <c r="AL1" s="14" t="s">
        <v>157</v>
      </c>
      <c r="AM1" s="13" t="s">
        <v>156</v>
      </c>
      <c r="AN1" s="13" t="s">
        <v>489</v>
      </c>
      <c r="AO1" s="12" t="s">
        <v>154</v>
      </c>
      <c r="AP1" s="11" t="s">
        <v>152</v>
      </c>
      <c r="AQ1" s="11" t="s">
        <v>151</v>
      </c>
      <c r="AR1" s="11" t="s">
        <v>150</v>
      </c>
      <c r="AS1" s="11" t="s">
        <v>149</v>
      </c>
      <c r="AT1" s="11" t="s">
        <v>148</v>
      </c>
      <c r="AU1" s="11" t="s">
        <v>147</v>
      </c>
      <c r="AV1" s="11" t="s">
        <v>146</v>
      </c>
      <c r="AW1" s="11" t="s">
        <v>145</v>
      </c>
      <c r="AX1" s="11" t="s">
        <v>144</v>
      </c>
      <c r="AY1" s="11" t="s">
        <v>143</v>
      </c>
      <c r="AZ1" s="10" t="s">
        <v>142</v>
      </c>
      <c r="BA1" s="10" t="s">
        <v>141</v>
      </c>
      <c r="BB1" s="8" t="s">
        <v>140</v>
      </c>
      <c r="BC1" s="10" t="s">
        <v>139</v>
      </c>
      <c r="BD1" s="9" t="s">
        <v>138</v>
      </c>
      <c r="BE1" s="8" t="s">
        <v>137</v>
      </c>
      <c r="BF1" s="8" t="s">
        <v>136</v>
      </c>
      <c r="BG1" s="2" t="s">
        <v>486</v>
      </c>
      <c r="BH1" s="2" t="s">
        <v>485</v>
      </c>
      <c r="BI1" s="2" t="s">
        <v>484</v>
      </c>
      <c r="BJ1" s="2" t="s">
        <v>488</v>
      </c>
      <c r="BK1" s="2" t="s">
        <v>108</v>
      </c>
      <c r="BL1" s="2" t="s">
        <v>105</v>
      </c>
      <c r="BM1" s="2" t="s">
        <v>487</v>
      </c>
      <c r="BO1" s="27" t="s">
        <v>261</v>
      </c>
      <c r="BP1" s="2" t="s">
        <v>260</v>
      </c>
      <c r="BQ1" s="2" t="s">
        <v>108</v>
      </c>
      <c r="BR1" s="2" t="s">
        <v>279</v>
      </c>
      <c r="BS1"/>
      <c r="BT1"/>
      <c r="BU1"/>
      <c r="BV1"/>
      <c r="BW1"/>
    </row>
    <row r="2" spans="1:75" x14ac:dyDescent="0.4">
      <c r="A2" s="1" t="s">
        <v>258</v>
      </c>
      <c r="B2" s="1" t="s">
        <v>258</v>
      </c>
      <c r="C2" s="1" t="s">
        <v>258</v>
      </c>
      <c r="D2" s="1" t="s">
        <v>258</v>
      </c>
      <c r="E2" s="1" t="s">
        <v>258</v>
      </c>
      <c r="G2" s="1" t="s">
        <v>258</v>
      </c>
      <c r="H2" s="1" t="s">
        <v>258</v>
      </c>
      <c r="I2" s="1" t="s">
        <v>258</v>
      </c>
      <c r="J2" s="1" t="s">
        <v>258</v>
      </c>
      <c r="K2" s="1" t="s">
        <v>258</v>
      </c>
      <c r="L2" s="1" t="s">
        <v>258</v>
      </c>
      <c r="M2" s="1" t="s">
        <v>258</v>
      </c>
      <c r="N2" s="1" t="s">
        <v>258</v>
      </c>
      <c r="O2" t="s">
        <v>259</v>
      </c>
      <c r="P2" s="30" t="s">
        <v>258</v>
      </c>
      <c r="Q2" s="30" t="s">
        <v>258</v>
      </c>
      <c r="R2" s="1" t="s">
        <v>258</v>
      </c>
      <c r="S2" s="1" t="s">
        <v>258</v>
      </c>
      <c r="T2" s="1" t="s">
        <v>258</v>
      </c>
      <c r="U2" s="1" t="s">
        <v>258</v>
      </c>
      <c r="V2" s="1" t="s">
        <v>258</v>
      </c>
      <c r="W2" s="1" t="s">
        <v>258</v>
      </c>
      <c r="X2" s="1" t="s">
        <v>258</v>
      </c>
      <c r="Y2" s="1" t="s">
        <v>258</v>
      </c>
      <c r="Z2" s="1" t="s">
        <v>258</v>
      </c>
      <c r="AA2" s="1" t="s">
        <v>258</v>
      </c>
      <c r="BP2" t="str">
        <f>"i_"&amp;ROW(BP2)</f>
        <v>i_2</v>
      </c>
    </row>
    <row r="3" spans="1:75" ht="37.5" x14ac:dyDescent="0.4">
      <c r="A3" t="s">
        <v>481</v>
      </c>
      <c r="B3" t="s">
        <v>483</v>
      </c>
      <c r="C3" s="24" t="s">
        <v>279</v>
      </c>
      <c r="D3" s="24"/>
      <c r="E3" t="s">
        <v>1181</v>
      </c>
      <c r="F3" s="1" t="s">
        <v>462</v>
      </c>
      <c r="BG3">
        <v>60</v>
      </c>
      <c r="BL3">
        <v>50</v>
      </c>
      <c r="BM3">
        <f>BL3*100</f>
        <v>5000</v>
      </c>
      <c r="BO3" t="s">
        <v>482</v>
      </c>
      <c r="BP3" t="str">
        <f t="shared" ref="BP3:BP68" si="0">"i_"&amp;ROW(BP3)</f>
        <v>i_3</v>
      </c>
      <c r="BQ3">
        <v>5</v>
      </c>
      <c r="BR3" t="b">
        <v>1</v>
      </c>
    </row>
    <row r="4" spans="1:75" ht="37.5" x14ac:dyDescent="0.4">
      <c r="A4" t="s">
        <v>1182</v>
      </c>
      <c r="B4" t="s">
        <v>1184</v>
      </c>
      <c r="C4" s="24" t="s">
        <v>279</v>
      </c>
      <c r="D4" s="24"/>
      <c r="E4" t="s">
        <v>1181</v>
      </c>
      <c r="F4" s="1" t="s">
        <v>462</v>
      </c>
      <c r="BG4">
        <v>90</v>
      </c>
      <c r="BL4">
        <v>300</v>
      </c>
      <c r="BM4">
        <f t="shared" ref="BM4:BM5" si="1">BL4*100</f>
        <v>30000</v>
      </c>
      <c r="BO4" t="s">
        <v>482</v>
      </c>
      <c r="BP4" t="str">
        <f t="shared" si="0"/>
        <v>i_4</v>
      </c>
      <c r="BQ4">
        <v>5</v>
      </c>
      <c r="BR4" t="b">
        <v>1</v>
      </c>
    </row>
    <row r="5" spans="1:75" ht="37.5" x14ac:dyDescent="0.4">
      <c r="A5" t="s">
        <v>1183</v>
      </c>
      <c r="B5" t="s">
        <v>1185</v>
      </c>
      <c r="C5" s="24" t="s">
        <v>279</v>
      </c>
      <c r="D5" s="24"/>
      <c r="E5" t="s">
        <v>1181</v>
      </c>
      <c r="F5" s="1" t="s">
        <v>462</v>
      </c>
      <c r="BG5">
        <v>120</v>
      </c>
      <c r="BL5">
        <v>2000</v>
      </c>
      <c r="BM5">
        <f t="shared" si="1"/>
        <v>200000</v>
      </c>
      <c r="BO5" t="s">
        <v>482</v>
      </c>
      <c r="BP5" t="str">
        <f t="shared" si="0"/>
        <v>i_5</v>
      </c>
      <c r="BQ5">
        <v>5</v>
      </c>
      <c r="BR5" t="b">
        <v>1</v>
      </c>
    </row>
    <row r="6" spans="1:75" ht="37.5" outlineLevel="1" x14ac:dyDescent="0.4">
      <c r="A6" t="s">
        <v>479</v>
      </c>
      <c r="B6" t="s">
        <v>480</v>
      </c>
      <c r="C6" s="24" t="s">
        <v>279</v>
      </c>
      <c r="D6" s="24"/>
      <c r="E6" t="s">
        <v>467</v>
      </c>
      <c r="F6" s="1" t="s">
        <v>461</v>
      </c>
      <c r="BG6">
        <v>10</v>
      </c>
      <c r="BH6">
        <v>1</v>
      </c>
      <c r="BI6">
        <v>40</v>
      </c>
      <c r="BL6">
        <v>40</v>
      </c>
      <c r="BM6">
        <f t="shared" ref="BM6:BM69" si="2">BL6*100</f>
        <v>4000</v>
      </c>
      <c r="BN6">
        <f>BH6*BI6+BG6</f>
        <v>50</v>
      </c>
      <c r="BO6" t="s">
        <v>471</v>
      </c>
      <c r="BP6" t="str">
        <f t="shared" si="0"/>
        <v>i_6</v>
      </c>
      <c r="BQ6">
        <v>1</v>
      </c>
      <c r="BR6" t="b">
        <v>1</v>
      </c>
    </row>
    <row r="7" spans="1:75" ht="37.5" outlineLevel="1" x14ac:dyDescent="0.4">
      <c r="A7" t="s">
        <v>477</v>
      </c>
      <c r="B7" t="s">
        <v>478</v>
      </c>
      <c r="C7" s="24" t="s">
        <v>279</v>
      </c>
      <c r="D7" s="24"/>
      <c r="E7" t="s">
        <v>467</v>
      </c>
      <c r="F7" s="1" t="s">
        <v>274</v>
      </c>
      <c r="BG7">
        <v>20</v>
      </c>
      <c r="BH7">
        <v>3</v>
      </c>
      <c r="BI7">
        <v>15</v>
      </c>
      <c r="BL7">
        <v>300</v>
      </c>
      <c r="BM7">
        <f t="shared" si="2"/>
        <v>30000</v>
      </c>
      <c r="BN7">
        <f>BH7*BI7+BG7</f>
        <v>65</v>
      </c>
      <c r="BO7" t="s">
        <v>471</v>
      </c>
      <c r="BP7" t="str">
        <f t="shared" si="0"/>
        <v>i_7</v>
      </c>
      <c r="BQ7">
        <v>1</v>
      </c>
      <c r="BR7" t="b">
        <v>1</v>
      </c>
    </row>
    <row r="8" spans="1:75" ht="37.5" outlineLevel="1" x14ac:dyDescent="0.4">
      <c r="A8" t="s">
        <v>475</v>
      </c>
      <c r="B8" t="s">
        <v>476</v>
      </c>
      <c r="C8" s="24" t="s">
        <v>279</v>
      </c>
      <c r="D8" s="24"/>
      <c r="E8" t="s">
        <v>467</v>
      </c>
      <c r="F8" s="1" t="s">
        <v>271</v>
      </c>
      <c r="BG8">
        <v>30</v>
      </c>
      <c r="BH8">
        <v>10</v>
      </c>
      <c r="BI8">
        <v>5</v>
      </c>
      <c r="BL8">
        <v>2000</v>
      </c>
      <c r="BM8">
        <f t="shared" si="2"/>
        <v>200000</v>
      </c>
      <c r="BN8">
        <f>BH8*BI8+BG8</f>
        <v>80</v>
      </c>
      <c r="BO8" t="s">
        <v>471</v>
      </c>
      <c r="BP8" t="str">
        <f t="shared" si="0"/>
        <v>i_8</v>
      </c>
      <c r="BQ8">
        <v>1</v>
      </c>
      <c r="BR8" t="b">
        <v>1</v>
      </c>
    </row>
    <row r="9" spans="1:75" ht="37.5" outlineLevel="1" x14ac:dyDescent="0.4">
      <c r="A9" t="s">
        <v>473</v>
      </c>
      <c r="B9" t="s">
        <v>474</v>
      </c>
      <c r="C9" s="24" t="s">
        <v>279</v>
      </c>
      <c r="D9" s="24"/>
      <c r="E9" t="s">
        <v>467</v>
      </c>
      <c r="F9" s="1" t="s">
        <v>268</v>
      </c>
      <c r="BG9">
        <v>50</v>
      </c>
      <c r="BL9">
        <v>5000</v>
      </c>
      <c r="BM9">
        <f t="shared" si="2"/>
        <v>500000</v>
      </c>
      <c r="BN9">
        <f>BH9*BI9+BG9</f>
        <v>50</v>
      </c>
      <c r="BO9" t="s">
        <v>471</v>
      </c>
      <c r="BP9" t="str">
        <f t="shared" si="0"/>
        <v>i_9</v>
      </c>
      <c r="BQ9">
        <v>1</v>
      </c>
      <c r="BR9" t="b">
        <v>1</v>
      </c>
    </row>
    <row r="10" spans="1:75" ht="37.5" outlineLevel="1" x14ac:dyDescent="0.4">
      <c r="A10" t="s">
        <v>470</v>
      </c>
      <c r="B10" t="s">
        <v>472</v>
      </c>
      <c r="C10" s="24" t="s">
        <v>279</v>
      </c>
      <c r="D10" s="24"/>
      <c r="E10" t="s">
        <v>467</v>
      </c>
      <c r="F10" s="1" t="s">
        <v>265</v>
      </c>
      <c r="BG10">
        <v>100</v>
      </c>
      <c r="BL10">
        <v>10000</v>
      </c>
      <c r="BM10">
        <f t="shared" si="2"/>
        <v>1000000</v>
      </c>
      <c r="BN10">
        <f>BH10*BI10+BG10</f>
        <v>100</v>
      </c>
      <c r="BO10" t="s">
        <v>471</v>
      </c>
      <c r="BP10" t="str">
        <f t="shared" si="0"/>
        <v>i_10</v>
      </c>
      <c r="BQ10">
        <v>1</v>
      </c>
      <c r="BR10" t="b">
        <v>1</v>
      </c>
    </row>
    <row r="11" spans="1:75" ht="45.75" customHeight="1" outlineLevel="1" x14ac:dyDescent="0.4">
      <c r="A11" t="s">
        <v>469</v>
      </c>
      <c r="B11" t="s">
        <v>468</v>
      </c>
      <c r="C11" s="24"/>
      <c r="D11" s="24"/>
      <c r="E11" t="s">
        <v>467</v>
      </c>
      <c r="F11" s="1" t="s">
        <v>466</v>
      </c>
      <c r="M11" t="s">
        <v>465</v>
      </c>
      <c r="N11">
        <v>35</v>
      </c>
      <c r="T11">
        <v>1</v>
      </c>
      <c r="U11">
        <v>6</v>
      </c>
      <c r="V11">
        <v>1</v>
      </c>
      <c r="X11" t="s">
        <v>464</v>
      </c>
      <c r="BL11">
        <v>800</v>
      </c>
      <c r="BM11">
        <f t="shared" si="2"/>
        <v>80000</v>
      </c>
      <c r="BO11" t="s">
        <v>463</v>
      </c>
      <c r="BP11" t="str">
        <f t="shared" si="0"/>
        <v>i_11</v>
      </c>
      <c r="BQ11">
        <v>1</v>
      </c>
      <c r="BR11">
        <v>5</v>
      </c>
    </row>
    <row r="12" spans="1:75" ht="45.75" customHeight="1" outlineLevel="1" x14ac:dyDescent="0.4">
      <c r="C12" s="24"/>
      <c r="D12" s="24"/>
      <c r="BM12">
        <f t="shared" si="2"/>
        <v>0</v>
      </c>
      <c r="BP12" t="str">
        <f t="shared" si="0"/>
        <v>i_12</v>
      </c>
      <c r="BQ12">
        <v>1</v>
      </c>
      <c r="BR12" t="b">
        <v>1</v>
      </c>
    </row>
    <row r="13" spans="1:75" ht="45.75" customHeight="1" outlineLevel="1" x14ac:dyDescent="0.4">
      <c r="C13" s="24"/>
      <c r="D13" s="24"/>
      <c r="BM13">
        <f t="shared" si="2"/>
        <v>0</v>
      </c>
      <c r="BP13" t="str">
        <f t="shared" si="0"/>
        <v>i_13</v>
      </c>
    </row>
    <row r="14" spans="1:75" ht="45.75" customHeight="1" x14ac:dyDescent="0.4">
      <c r="B14" t="s">
        <v>460</v>
      </c>
      <c r="C14" s="24"/>
      <c r="D14" s="24"/>
      <c r="BM14">
        <f t="shared" si="2"/>
        <v>0</v>
      </c>
      <c r="BP14" t="str">
        <f t="shared" si="0"/>
        <v>i_14</v>
      </c>
    </row>
    <row r="15" spans="1:75" x14ac:dyDescent="0.4">
      <c r="A15" t="s">
        <v>193</v>
      </c>
      <c r="B15" t="s">
        <v>192</v>
      </c>
      <c r="C15" s="24" t="s">
        <v>459</v>
      </c>
      <c r="D15" s="24" t="s">
        <v>458</v>
      </c>
      <c r="E15" t="s">
        <v>457</v>
      </c>
      <c r="F15" s="1" t="s">
        <v>456</v>
      </c>
      <c r="BM15">
        <f t="shared" si="2"/>
        <v>0</v>
      </c>
      <c r="BP15" t="str">
        <f t="shared" si="0"/>
        <v>i_15</v>
      </c>
    </row>
    <row r="16" spans="1:75" ht="37.5" hidden="1" outlineLevel="1" x14ac:dyDescent="0.4">
      <c r="A16" t="s">
        <v>455</v>
      </c>
      <c r="B16" t="s">
        <v>454</v>
      </c>
      <c r="C16" s="24" t="s">
        <v>287</v>
      </c>
      <c r="D16" s="24"/>
      <c r="E16" t="s">
        <v>190</v>
      </c>
      <c r="F16" s="1" t="s">
        <v>323</v>
      </c>
      <c r="BL16">
        <v>5000</v>
      </c>
      <c r="BM16">
        <f t="shared" si="2"/>
        <v>500000</v>
      </c>
      <c r="BP16" t="str">
        <f t="shared" si="0"/>
        <v>i_16</v>
      </c>
    </row>
    <row r="17" spans="1:68" ht="37.5" hidden="1" outlineLevel="1" x14ac:dyDescent="0.4">
      <c r="A17" t="s">
        <v>453</v>
      </c>
      <c r="B17" t="s">
        <v>452</v>
      </c>
      <c r="C17" s="24" t="s">
        <v>287</v>
      </c>
      <c r="D17" s="24"/>
      <c r="E17" t="s">
        <v>190</v>
      </c>
      <c r="F17" s="1" t="s">
        <v>320</v>
      </c>
      <c r="BL17">
        <v>4500</v>
      </c>
      <c r="BM17">
        <f t="shared" si="2"/>
        <v>450000</v>
      </c>
      <c r="BP17" t="str">
        <f t="shared" si="0"/>
        <v>i_17</v>
      </c>
    </row>
    <row r="18" spans="1:68" ht="37.5" hidden="1" outlineLevel="1" x14ac:dyDescent="0.4">
      <c r="A18" t="s">
        <v>451</v>
      </c>
      <c r="B18" t="s">
        <v>450</v>
      </c>
      <c r="C18" s="24" t="s">
        <v>287</v>
      </c>
      <c r="D18" s="24"/>
      <c r="E18" t="s">
        <v>190</v>
      </c>
      <c r="F18" s="1" t="s">
        <v>317</v>
      </c>
      <c r="BL18">
        <v>6000</v>
      </c>
      <c r="BM18">
        <f t="shared" si="2"/>
        <v>600000</v>
      </c>
      <c r="BP18" t="str">
        <f t="shared" si="0"/>
        <v>i_18</v>
      </c>
    </row>
    <row r="19" spans="1:68" ht="37.5" hidden="1" outlineLevel="1" x14ac:dyDescent="0.4">
      <c r="A19" t="s">
        <v>449</v>
      </c>
      <c r="B19" t="s">
        <v>448</v>
      </c>
      <c r="C19" s="24" t="s">
        <v>287</v>
      </c>
      <c r="D19" s="24"/>
      <c r="E19" t="s">
        <v>190</v>
      </c>
      <c r="F19" s="1" t="s">
        <v>314</v>
      </c>
      <c r="BL19">
        <v>3000</v>
      </c>
      <c r="BM19">
        <f t="shared" si="2"/>
        <v>300000</v>
      </c>
      <c r="BP19" t="str">
        <f t="shared" si="0"/>
        <v>i_19</v>
      </c>
    </row>
    <row r="20" spans="1:68" hidden="1" outlineLevel="1" x14ac:dyDescent="0.4">
      <c r="A20" t="s">
        <v>447</v>
      </c>
      <c r="B20" t="s">
        <v>446</v>
      </c>
      <c r="C20" s="24" t="s">
        <v>287</v>
      </c>
      <c r="D20" s="24"/>
      <c r="E20" t="s">
        <v>190</v>
      </c>
      <c r="F20" s="1" t="s">
        <v>311</v>
      </c>
      <c r="BL20">
        <v>2800</v>
      </c>
      <c r="BM20">
        <f t="shared" si="2"/>
        <v>280000</v>
      </c>
      <c r="BP20" t="str">
        <f t="shared" si="0"/>
        <v>i_20</v>
      </c>
    </row>
    <row r="21" spans="1:68" ht="37.5" hidden="1" outlineLevel="1" x14ac:dyDescent="0.4">
      <c r="A21" t="s">
        <v>445</v>
      </c>
      <c r="B21" t="s">
        <v>444</v>
      </c>
      <c r="C21" s="24" t="s">
        <v>287</v>
      </c>
      <c r="D21" s="24"/>
      <c r="E21" t="s">
        <v>190</v>
      </c>
      <c r="F21" s="1" t="s">
        <v>308</v>
      </c>
      <c r="BL21">
        <v>10000</v>
      </c>
      <c r="BM21">
        <f t="shared" si="2"/>
        <v>1000000</v>
      </c>
      <c r="BP21" t="str">
        <f t="shared" si="0"/>
        <v>i_21</v>
      </c>
    </row>
    <row r="22" spans="1:68" ht="37.5" hidden="1" outlineLevel="1" x14ac:dyDescent="0.4">
      <c r="A22" t="s">
        <v>443</v>
      </c>
      <c r="B22" t="s">
        <v>442</v>
      </c>
      <c r="C22" s="24" t="s">
        <v>287</v>
      </c>
      <c r="D22" s="24"/>
      <c r="E22" t="s">
        <v>190</v>
      </c>
      <c r="F22" s="1" t="s">
        <v>305</v>
      </c>
      <c r="BL22">
        <v>3500</v>
      </c>
      <c r="BM22">
        <f t="shared" si="2"/>
        <v>350000</v>
      </c>
      <c r="BP22" t="str">
        <f t="shared" si="0"/>
        <v>i_22</v>
      </c>
    </row>
    <row r="23" spans="1:68" ht="37.5" hidden="1" outlineLevel="1" x14ac:dyDescent="0.4">
      <c r="A23" t="s">
        <v>441</v>
      </c>
      <c r="B23" t="s">
        <v>440</v>
      </c>
      <c r="C23" s="24" t="s">
        <v>287</v>
      </c>
      <c r="D23" s="24"/>
      <c r="E23" t="s">
        <v>190</v>
      </c>
      <c r="F23" s="1" t="s">
        <v>302</v>
      </c>
      <c r="BL23">
        <v>3200</v>
      </c>
      <c r="BM23">
        <f t="shared" si="2"/>
        <v>320000</v>
      </c>
      <c r="BP23" t="str">
        <f t="shared" si="0"/>
        <v>i_23</v>
      </c>
    </row>
    <row r="24" spans="1:68" ht="37.5" hidden="1" outlineLevel="1" x14ac:dyDescent="0.4">
      <c r="A24" t="s">
        <v>439</v>
      </c>
      <c r="B24" t="s">
        <v>438</v>
      </c>
      <c r="C24" s="24" t="s">
        <v>287</v>
      </c>
      <c r="D24" s="24"/>
      <c r="E24" t="s">
        <v>190</v>
      </c>
      <c r="F24" s="1" t="s">
        <v>299</v>
      </c>
      <c r="BL24">
        <v>2900</v>
      </c>
      <c r="BM24">
        <f t="shared" si="2"/>
        <v>290000</v>
      </c>
      <c r="BP24" t="str">
        <f t="shared" si="0"/>
        <v>i_24</v>
      </c>
    </row>
    <row r="25" spans="1:68" ht="37.5" hidden="1" outlineLevel="1" x14ac:dyDescent="0.4">
      <c r="A25" t="s">
        <v>437</v>
      </c>
      <c r="B25" t="s">
        <v>436</v>
      </c>
      <c r="C25" s="24" t="s">
        <v>287</v>
      </c>
      <c r="D25" s="24"/>
      <c r="E25" t="s">
        <v>190</v>
      </c>
      <c r="F25" s="1" t="s">
        <v>296</v>
      </c>
      <c r="BL25">
        <v>4200</v>
      </c>
      <c r="BM25">
        <f t="shared" si="2"/>
        <v>420000</v>
      </c>
      <c r="BP25" t="str">
        <f t="shared" si="0"/>
        <v>i_25</v>
      </c>
    </row>
    <row r="26" spans="1:68" ht="37.5" hidden="1" outlineLevel="1" x14ac:dyDescent="0.4">
      <c r="A26" t="s">
        <v>435</v>
      </c>
      <c r="B26" t="s">
        <v>434</v>
      </c>
      <c r="C26" s="24" t="s">
        <v>287</v>
      </c>
      <c r="D26" s="24"/>
      <c r="E26" t="s">
        <v>190</v>
      </c>
      <c r="F26" s="1" t="s">
        <v>293</v>
      </c>
      <c r="BL26">
        <v>2700</v>
      </c>
      <c r="BM26">
        <f t="shared" si="2"/>
        <v>270000</v>
      </c>
      <c r="BP26" t="str">
        <f t="shared" si="0"/>
        <v>i_26</v>
      </c>
    </row>
    <row r="27" spans="1:68" ht="37.5" hidden="1" outlineLevel="1" x14ac:dyDescent="0.4">
      <c r="A27" t="s">
        <v>433</v>
      </c>
      <c r="B27" t="s">
        <v>432</v>
      </c>
      <c r="C27" s="24" t="s">
        <v>287</v>
      </c>
      <c r="D27" s="24"/>
      <c r="E27" t="s">
        <v>190</v>
      </c>
      <c r="F27" s="1" t="s">
        <v>290</v>
      </c>
      <c r="BL27">
        <v>4000</v>
      </c>
      <c r="BM27">
        <f t="shared" si="2"/>
        <v>400000</v>
      </c>
      <c r="BP27" t="str">
        <f t="shared" si="0"/>
        <v>i_27</v>
      </c>
    </row>
    <row r="28" spans="1:68" ht="37.5" hidden="1" outlineLevel="1" x14ac:dyDescent="0.4">
      <c r="A28" t="s">
        <v>431</v>
      </c>
      <c r="B28" t="s">
        <v>430</v>
      </c>
      <c r="C28" s="24" t="s">
        <v>287</v>
      </c>
      <c r="D28" s="24"/>
      <c r="E28" t="s">
        <v>190</v>
      </c>
      <c r="F28" s="1" t="s">
        <v>286</v>
      </c>
      <c r="BL28">
        <v>3800</v>
      </c>
      <c r="BM28">
        <f t="shared" si="2"/>
        <v>380000</v>
      </c>
      <c r="BP28" t="str">
        <f t="shared" si="0"/>
        <v>i_28</v>
      </c>
    </row>
    <row r="29" spans="1:68" ht="37.5" collapsed="1" x14ac:dyDescent="0.4">
      <c r="A29" t="s">
        <v>429</v>
      </c>
      <c r="B29" t="s">
        <v>428</v>
      </c>
      <c r="C29" s="24" t="s">
        <v>287</v>
      </c>
      <c r="D29" s="24"/>
      <c r="E29" t="s">
        <v>190</v>
      </c>
      <c r="F29" s="1" t="s">
        <v>323</v>
      </c>
      <c r="H29">
        <v>1</v>
      </c>
      <c r="BL29">
        <v>2500</v>
      </c>
      <c r="BM29">
        <f t="shared" si="2"/>
        <v>250000</v>
      </c>
      <c r="BP29" t="str">
        <f t="shared" si="0"/>
        <v>i_29</v>
      </c>
    </row>
    <row r="30" spans="1:68" ht="37.5" hidden="1" outlineLevel="1" x14ac:dyDescent="0.4">
      <c r="A30" t="s">
        <v>427</v>
      </c>
      <c r="B30" t="s">
        <v>426</v>
      </c>
      <c r="C30" s="24" t="s">
        <v>287</v>
      </c>
      <c r="D30" s="24"/>
      <c r="E30" t="s">
        <v>190</v>
      </c>
      <c r="F30" s="1" t="s">
        <v>320</v>
      </c>
      <c r="H30">
        <v>1</v>
      </c>
      <c r="BL30">
        <v>2250</v>
      </c>
      <c r="BM30">
        <f t="shared" si="2"/>
        <v>225000</v>
      </c>
      <c r="BP30" t="str">
        <f t="shared" si="0"/>
        <v>i_30</v>
      </c>
    </row>
    <row r="31" spans="1:68" ht="37.5" hidden="1" outlineLevel="1" x14ac:dyDescent="0.4">
      <c r="A31" t="s">
        <v>425</v>
      </c>
      <c r="B31" t="s">
        <v>424</v>
      </c>
      <c r="C31" s="24" t="s">
        <v>287</v>
      </c>
      <c r="D31" s="24"/>
      <c r="E31" t="s">
        <v>190</v>
      </c>
      <c r="F31" s="1" t="s">
        <v>317</v>
      </c>
      <c r="H31">
        <v>1</v>
      </c>
      <c r="BL31">
        <v>3000</v>
      </c>
      <c r="BM31">
        <f t="shared" si="2"/>
        <v>300000</v>
      </c>
      <c r="BP31" t="str">
        <f t="shared" si="0"/>
        <v>i_31</v>
      </c>
    </row>
    <row r="32" spans="1:68" ht="37.5" hidden="1" outlineLevel="1" x14ac:dyDescent="0.4">
      <c r="A32" t="s">
        <v>423</v>
      </c>
      <c r="B32" t="s">
        <v>422</v>
      </c>
      <c r="C32" s="24" t="s">
        <v>287</v>
      </c>
      <c r="D32" s="24"/>
      <c r="E32" t="s">
        <v>190</v>
      </c>
      <c r="F32" s="1" t="s">
        <v>314</v>
      </c>
      <c r="H32">
        <v>1</v>
      </c>
      <c r="BL32">
        <v>1500</v>
      </c>
      <c r="BM32">
        <f t="shared" si="2"/>
        <v>150000</v>
      </c>
      <c r="BP32" t="str">
        <f t="shared" si="0"/>
        <v>i_32</v>
      </c>
    </row>
    <row r="33" spans="1:68" hidden="1" outlineLevel="1" x14ac:dyDescent="0.4">
      <c r="A33" t="s">
        <v>421</v>
      </c>
      <c r="B33" t="s">
        <v>420</v>
      </c>
      <c r="C33" s="24" t="s">
        <v>287</v>
      </c>
      <c r="D33" s="24"/>
      <c r="E33" t="s">
        <v>190</v>
      </c>
      <c r="F33" s="1" t="s">
        <v>311</v>
      </c>
      <c r="H33">
        <v>1</v>
      </c>
      <c r="BL33">
        <v>1400</v>
      </c>
      <c r="BM33">
        <f t="shared" si="2"/>
        <v>140000</v>
      </c>
      <c r="BP33" t="str">
        <f t="shared" si="0"/>
        <v>i_33</v>
      </c>
    </row>
    <row r="34" spans="1:68" ht="37.5" hidden="1" outlineLevel="1" x14ac:dyDescent="0.4">
      <c r="A34" t="s">
        <v>419</v>
      </c>
      <c r="B34" t="s">
        <v>418</v>
      </c>
      <c r="C34" s="24" t="s">
        <v>287</v>
      </c>
      <c r="D34" s="24"/>
      <c r="E34" t="s">
        <v>190</v>
      </c>
      <c r="F34" s="1" t="s">
        <v>308</v>
      </c>
      <c r="H34">
        <v>1</v>
      </c>
      <c r="BL34">
        <v>5000</v>
      </c>
      <c r="BM34">
        <f t="shared" si="2"/>
        <v>500000</v>
      </c>
      <c r="BP34" t="str">
        <f t="shared" si="0"/>
        <v>i_34</v>
      </c>
    </row>
    <row r="35" spans="1:68" ht="37.5" hidden="1" outlineLevel="1" x14ac:dyDescent="0.4">
      <c r="A35" t="s">
        <v>417</v>
      </c>
      <c r="B35" t="s">
        <v>416</v>
      </c>
      <c r="C35" s="24" t="s">
        <v>287</v>
      </c>
      <c r="D35" s="24"/>
      <c r="E35" t="s">
        <v>190</v>
      </c>
      <c r="F35" s="1" t="s">
        <v>305</v>
      </c>
      <c r="H35">
        <v>1</v>
      </c>
      <c r="BL35">
        <v>1750</v>
      </c>
      <c r="BM35">
        <f t="shared" si="2"/>
        <v>175000</v>
      </c>
      <c r="BP35" t="str">
        <f t="shared" si="0"/>
        <v>i_35</v>
      </c>
    </row>
    <row r="36" spans="1:68" ht="37.5" hidden="1" outlineLevel="1" x14ac:dyDescent="0.4">
      <c r="A36" t="s">
        <v>415</v>
      </c>
      <c r="B36" t="s">
        <v>414</v>
      </c>
      <c r="C36" s="24" t="s">
        <v>287</v>
      </c>
      <c r="D36" s="24"/>
      <c r="E36" t="s">
        <v>190</v>
      </c>
      <c r="F36" s="1" t="s">
        <v>302</v>
      </c>
      <c r="H36">
        <v>1</v>
      </c>
      <c r="BL36">
        <v>1600</v>
      </c>
      <c r="BM36">
        <f t="shared" si="2"/>
        <v>160000</v>
      </c>
      <c r="BP36" t="str">
        <f t="shared" si="0"/>
        <v>i_36</v>
      </c>
    </row>
    <row r="37" spans="1:68" ht="37.5" hidden="1" outlineLevel="1" x14ac:dyDescent="0.4">
      <c r="A37" t="s">
        <v>413</v>
      </c>
      <c r="B37" t="s">
        <v>412</v>
      </c>
      <c r="C37" s="24" t="s">
        <v>287</v>
      </c>
      <c r="D37" s="24"/>
      <c r="E37" t="s">
        <v>190</v>
      </c>
      <c r="F37" s="1" t="s">
        <v>299</v>
      </c>
      <c r="H37">
        <v>1</v>
      </c>
      <c r="BL37">
        <v>1450</v>
      </c>
      <c r="BM37">
        <f t="shared" si="2"/>
        <v>145000</v>
      </c>
      <c r="BP37" t="str">
        <f t="shared" si="0"/>
        <v>i_37</v>
      </c>
    </row>
    <row r="38" spans="1:68" ht="37.5" hidden="1" outlineLevel="1" x14ac:dyDescent="0.4">
      <c r="A38" t="s">
        <v>411</v>
      </c>
      <c r="B38" t="s">
        <v>410</v>
      </c>
      <c r="C38" s="24" t="s">
        <v>287</v>
      </c>
      <c r="D38" s="24"/>
      <c r="E38" t="s">
        <v>190</v>
      </c>
      <c r="F38" s="1" t="s">
        <v>296</v>
      </c>
      <c r="H38">
        <v>1</v>
      </c>
      <c r="BL38">
        <v>2100</v>
      </c>
      <c r="BM38">
        <f t="shared" si="2"/>
        <v>210000</v>
      </c>
      <c r="BP38" t="str">
        <f t="shared" si="0"/>
        <v>i_38</v>
      </c>
    </row>
    <row r="39" spans="1:68" ht="37.5" hidden="1" outlineLevel="1" x14ac:dyDescent="0.4">
      <c r="A39" t="s">
        <v>409</v>
      </c>
      <c r="B39" t="s">
        <v>408</v>
      </c>
      <c r="C39" s="24" t="s">
        <v>287</v>
      </c>
      <c r="D39" s="24"/>
      <c r="E39" t="s">
        <v>190</v>
      </c>
      <c r="F39" s="1" t="s">
        <v>293</v>
      </c>
      <c r="H39">
        <v>1</v>
      </c>
      <c r="BL39">
        <v>1350</v>
      </c>
      <c r="BM39">
        <f t="shared" si="2"/>
        <v>135000</v>
      </c>
      <c r="BP39" t="str">
        <f t="shared" si="0"/>
        <v>i_39</v>
      </c>
    </row>
    <row r="40" spans="1:68" ht="37.5" hidden="1" outlineLevel="1" x14ac:dyDescent="0.4">
      <c r="A40" t="s">
        <v>407</v>
      </c>
      <c r="B40" t="s">
        <v>406</v>
      </c>
      <c r="C40" s="24" t="s">
        <v>287</v>
      </c>
      <c r="D40" s="24"/>
      <c r="E40" t="s">
        <v>190</v>
      </c>
      <c r="F40" s="1" t="s">
        <v>290</v>
      </c>
      <c r="H40">
        <v>1</v>
      </c>
      <c r="BL40">
        <v>2000</v>
      </c>
      <c r="BM40">
        <f t="shared" si="2"/>
        <v>200000</v>
      </c>
      <c r="BP40" t="str">
        <f t="shared" si="0"/>
        <v>i_40</v>
      </c>
    </row>
    <row r="41" spans="1:68" ht="37.5" hidden="1" outlineLevel="1" x14ac:dyDescent="0.4">
      <c r="A41" t="s">
        <v>405</v>
      </c>
      <c r="B41" t="s">
        <v>404</v>
      </c>
      <c r="C41" s="24" t="s">
        <v>287</v>
      </c>
      <c r="D41" s="24"/>
      <c r="E41" t="s">
        <v>190</v>
      </c>
      <c r="F41" s="1" t="s">
        <v>286</v>
      </c>
      <c r="H41">
        <v>1</v>
      </c>
      <c r="BL41">
        <v>1900</v>
      </c>
      <c r="BM41">
        <f t="shared" si="2"/>
        <v>190000</v>
      </c>
      <c r="BP41" t="str">
        <f t="shared" si="0"/>
        <v>i_41</v>
      </c>
    </row>
    <row r="42" spans="1:68" ht="37.5" collapsed="1" x14ac:dyDescent="0.4">
      <c r="A42" t="s">
        <v>403</v>
      </c>
      <c r="B42" t="s">
        <v>402</v>
      </c>
      <c r="C42" s="24" t="s">
        <v>287</v>
      </c>
      <c r="D42" s="24"/>
      <c r="E42" t="s">
        <v>190</v>
      </c>
      <c r="F42" s="1" t="s">
        <v>323</v>
      </c>
      <c r="H42">
        <v>2</v>
      </c>
      <c r="BL42">
        <v>5000</v>
      </c>
      <c r="BM42">
        <f t="shared" si="2"/>
        <v>500000</v>
      </c>
      <c r="BP42" t="str">
        <f t="shared" si="0"/>
        <v>i_42</v>
      </c>
    </row>
    <row r="43" spans="1:68" ht="37.5" hidden="1" outlineLevel="1" x14ac:dyDescent="0.4">
      <c r="A43" t="s">
        <v>401</v>
      </c>
      <c r="B43" t="s">
        <v>400</v>
      </c>
      <c r="C43" s="24" t="s">
        <v>287</v>
      </c>
      <c r="D43" s="24"/>
      <c r="E43" t="s">
        <v>190</v>
      </c>
      <c r="F43" s="1" t="s">
        <v>320</v>
      </c>
      <c r="H43">
        <v>2</v>
      </c>
      <c r="BL43">
        <v>4500</v>
      </c>
      <c r="BM43">
        <f t="shared" si="2"/>
        <v>450000</v>
      </c>
      <c r="BP43" t="str">
        <f t="shared" si="0"/>
        <v>i_43</v>
      </c>
    </row>
    <row r="44" spans="1:68" ht="37.5" hidden="1" outlineLevel="1" x14ac:dyDescent="0.4">
      <c r="A44" t="s">
        <v>399</v>
      </c>
      <c r="B44" t="s">
        <v>398</v>
      </c>
      <c r="C44" s="24" t="s">
        <v>287</v>
      </c>
      <c r="D44" s="24"/>
      <c r="E44" t="s">
        <v>190</v>
      </c>
      <c r="F44" s="1" t="s">
        <v>317</v>
      </c>
      <c r="H44">
        <v>2</v>
      </c>
      <c r="BL44">
        <v>6000</v>
      </c>
      <c r="BM44">
        <f t="shared" si="2"/>
        <v>600000</v>
      </c>
      <c r="BP44" t="str">
        <f t="shared" si="0"/>
        <v>i_44</v>
      </c>
    </row>
    <row r="45" spans="1:68" ht="37.5" hidden="1" outlineLevel="1" x14ac:dyDescent="0.4">
      <c r="A45" t="s">
        <v>397</v>
      </c>
      <c r="B45" t="s">
        <v>396</v>
      </c>
      <c r="C45" s="24" t="s">
        <v>287</v>
      </c>
      <c r="D45" s="24"/>
      <c r="E45" t="s">
        <v>190</v>
      </c>
      <c r="F45" s="1" t="s">
        <v>314</v>
      </c>
      <c r="H45">
        <v>2</v>
      </c>
      <c r="BL45">
        <v>3000</v>
      </c>
      <c r="BM45">
        <f t="shared" si="2"/>
        <v>300000</v>
      </c>
      <c r="BP45" t="str">
        <f t="shared" si="0"/>
        <v>i_45</v>
      </c>
    </row>
    <row r="46" spans="1:68" hidden="1" outlineLevel="1" x14ac:dyDescent="0.4">
      <c r="A46" t="s">
        <v>395</v>
      </c>
      <c r="B46" t="s">
        <v>394</v>
      </c>
      <c r="C46" s="24" t="s">
        <v>287</v>
      </c>
      <c r="D46" s="24"/>
      <c r="E46" t="s">
        <v>190</v>
      </c>
      <c r="F46" s="1" t="s">
        <v>311</v>
      </c>
      <c r="H46">
        <v>2</v>
      </c>
      <c r="BL46">
        <v>2800</v>
      </c>
      <c r="BM46">
        <f t="shared" si="2"/>
        <v>280000</v>
      </c>
      <c r="BP46" t="str">
        <f t="shared" si="0"/>
        <v>i_46</v>
      </c>
    </row>
    <row r="47" spans="1:68" ht="37.5" hidden="1" outlineLevel="1" x14ac:dyDescent="0.4">
      <c r="A47" t="s">
        <v>393</v>
      </c>
      <c r="B47" t="s">
        <v>392</v>
      </c>
      <c r="C47" s="24" t="s">
        <v>287</v>
      </c>
      <c r="D47" s="24"/>
      <c r="E47" t="s">
        <v>190</v>
      </c>
      <c r="F47" s="1" t="s">
        <v>308</v>
      </c>
      <c r="H47">
        <v>2</v>
      </c>
      <c r="BL47">
        <v>10000</v>
      </c>
      <c r="BM47">
        <f t="shared" si="2"/>
        <v>1000000</v>
      </c>
      <c r="BP47" t="str">
        <f t="shared" si="0"/>
        <v>i_47</v>
      </c>
    </row>
    <row r="48" spans="1:68" ht="37.5" hidden="1" outlineLevel="1" x14ac:dyDescent="0.4">
      <c r="A48" t="s">
        <v>391</v>
      </c>
      <c r="B48" t="s">
        <v>390</v>
      </c>
      <c r="C48" s="24" t="s">
        <v>287</v>
      </c>
      <c r="D48" s="24"/>
      <c r="E48" t="s">
        <v>190</v>
      </c>
      <c r="F48" s="1" t="s">
        <v>305</v>
      </c>
      <c r="H48">
        <v>2</v>
      </c>
      <c r="BL48">
        <v>3500</v>
      </c>
      <c r="BM48">
        <f t="shared" si="2"/>
        <v>350000</v>
      </c>
      <c r="BP48" t="str">
        <f t="shared" si="0"/>
        <v>i_48</v>
      </c>
    </row>
    <row r="49" spans="1:68" ht="37.5" hidden="1" outlineLevel="1" x14ac:dyDescent="0.4">
      <c r="A49" t="s">
        <v>389</v>
      </c>
      <c r="B49" t="s">
        <v>388</v>
      </c>
      <c r="C49" s="24" t="s">
        <v>287</v>
      </c>
      <c r="D49" s="24"/>
      <c r="E49" t="s">
        <v>190</v>
      </c>
      <c r="F49" s="1" t="s">
        <v>302</v>
      </c>
      <c r="H49">
        <v>2</v>
      </c>
      <c r="BL49">
        <v>3200</v>
      </c>
      <c r="BM49">
        <f t="shared" si="2"/>
        <v>320000</v>
      </c>
      <c r="BP49" t="str">
        <f t="shared" si="0"/>
        <v>i_49</v>
      </c>
    </row>
    <row r="50" spans="1:68" ht="37.5" hidden="1" outlineLevel="1" x14ac:dyDescent="0.4">
      <c r="A50" t="s">
        <v>387</v>
      </c>
      <c r="B50" t="s">
        <v>386</v>
      </c>
      <c r="C50" s="24" t="s">
        <v>287</v>
      </c>
      <c r="D50" s="24"/>
      <c r="E50" t="s">
        <v>190</v>
      </c>
      <c r="F50" s="1" t="s">
        <v>299</v>
      </c>
      <c r="H50">
        <v>2</v>
      </c>
      <c r="BL50">
        <v>2900</v>
      </c>
      <c r="BM50">
        <f t="shared" si="2"/>
        <v>290000</v>
      </c>
      <c r="BP50" t="str">
        <f t="shared" si="0"/>
        <v>i_50</v>
      </c>
    </row>
    <row r="51" spans="1:68" ht="37.5" hidden="1" outlineLevel="1" x14ac:dyDescent="0.4">
      <c r="A51" t="s">
        <v>385</v>
      </c>
      <c r="B51" t="s">
        <v>384</v>
      </c>
      <c r="C51" s="24" t="s">
        <v>287</v>
      </c>
      <c r="D51" s="24"/>
      <c r="E51" t="s">
        <v>190</v>
      </c>
      <c r="F51" s="1" t="s">
        <v>296</v>
      </c>
      <c r="H51">
        <v>2</v>
      </c>
      <c r="BL51">
        <v>4200</v>
      </c>
      <c r="BM51">
        <f t="shared" si="2"/>
        <v>420000</v>
      </c>
      <c r="BP51" t="str">
        <f t="shared" si="0"/>
        <v>i_51</v>
      </c>
    </row>
    <row r="52" spans="1:68" ht="37.5" hidden="1" outlineLevel="1" x14ac:dyDescent="0.4">
      <c r="A52" t="s">
        <v>383</v>
      </c>
      <c r="B52" t="s">
        <v>382</v>
      </c>
      <c r="C52" s="24" t="s">
        <v>287</v>
      </c>
      <c r="D52" s="24"/>
      <c r="E52" t="s">
        <v>190</v>
      </c>
      <c r="F52" s="1" t="s">
        <v>293</v>
      </c>
      <c r="H52">
        <v>2</v>
      </c>
      <c r="BL52">
        <v>2700</v>
      </c>
      <c r="BM52">
        <f t="shared" si="2"/>
        <v>270000</v>
      </c>
      <c r="BP52" t="str">
        <f t="shared" si="0"/>
        <v>i_52</v>
      </c>
    </row>
    <row r="53" spans="1:68" ht="37.5" hidden="1" outlineLevel="1" x14ac:dyDescent="0.4">
      <c r="A53" t="s">
        <v>381</v>
      </c>
      <c r="B53" t="s">
        <v>380</v>
      </c>
      <c r="C53" s="24" t="s">
        <v>287</v>
      </c>
      <c r="D53" s="24"/>
      <c r="E53" t="s">
        <v>190</v>
      </c>
      <c r="F53" s="1" t="s">
        <v>290</v>
      </c>
      <c r="H53">
        <v>2</v>
      </c>
      <c r="BL53">
        <v>4000</v>
      </c>
      <c r="BM53">
        <f t="shared" si="2"/>
        <v>400000</v>
      </c>
      <c r="BP53" t="str">
        <f t="shared" si="0"/>
        <v>i_53</v>
      </c>
    </row>
    <row r="54" spans="1:68" ht="37.5" hidden="1" outlineLevel="1" x14ac:dyDescent="0.4">
      <c r="A54" t="s">
        <v>379</v>
      </c>
      <c r="B54" t="s">
        <v>378</v>
      </c>
      <c r="C54" s="24" t="s">
        <v>287</v>
      </c>
      <c r="D54" s="24"/>
      <c r="E54" t="s">
        <v>190</v>
      </c>
      <c r="F54" s="1" t="s">
        <v>286</v>
      </c>
      <c r="H54">
        <v>2</v>
      </c>
      <c r="BL54">
        <v>3800</v>
      </c>
      <c r="BM54">
        <f t="shared" si="2"/>
        <v>380000</v>
      </c>
      <c r="BP54" t="str">
        <f t="shared" si="0"/>
        <v>i_54</v>
      </c>
    </row>
    <row r="55" spans="1:68" ht="37.5" hidden="1" outlineLevel="1" x14ac:dyDescent="0.4">
      <c r="A55" t="s">
        <v>377</v>
      </c>
      <c r="B55" t="s">
        <v>376</v>
      </c>
      <c r="C55" s="24" t="s">
        <v>287</v>
      </c>
      <c r="D55" s="24"/>
      <c r="E55" t="s">
        <v>190</v>
      </c>
      <c r="F55" s="1" t="s">
        <v>323</v>
      </c>
      <c r="H55">
        <v>3</v>
      </c>
      <c r="BL55">
        <v>7500</v>
      </c>
      <c r="BM55">
        <f t="shared" si="2"/>
        <v>750000</v>
      </c>
      <c r="BP55" t="str">
        <f t="shared" si="0"/>
        <v>i_55</v>
      </c>
    </row>
    <row r="56" spans="1:68" ht="37.5" hidden="1" outlineLevel="1" x14ac:dyDescent="0.4">
      <c r="A56" t="s">
        <v>375</v>
      </c>
      <c r="B56" t="s">
        <v>374</v>
      </c>
      <c r="C56" s="24" t="s">
        <v>287</v>
      </c>
      <c r="D56" s="24"/>
      <c r="E56" t="s">
        <v>190</v>
      </c>
      <c r="F56" s="1" t="s">
        <v>320</v>
      </c>
      <c r="H56">
        <v>3</v>
      </c>
      <c r="BL56">
        <v>6750</v>
      </c>
      <c r="BM56">
        <f t="shared" si="2"/>
        <v>675000</v>
      </c>
      <c r="BP56" t="str">
        <f t="shared" si="0"/>
        <v>i_56</v>
      </c>
    </row>
    <row r="57" spans="1:68" ht="37.5" hidden="1" outlineLevel="1" x14ac:dyDescent="0.4">
      <c r="A57" t="s">
        <v>373</v>
      </c>
      <c r="B57" t="s">
        <v>372</v>
      </c>
      <c r="C57" s="24" t="s">
        <v>287</v>
      </c>
      <c r="D57" s="24"/>
      <c r="E57" t="s">
        <v>190</v>
      </c>
      <c r="F57" s="1" t="s">
        <v>317</v>
      </c>
      <c r="H57">
        <v>3</v>
      </c>
      <c r="BL57">
        <v>9000</v>
      </c>
      <c r="BM57">
        <f t="shared" si="2"/>
        <v>900000</v>
      </c>
      <c r="BP57" t="str">
        <f t="shared" si="0"/>
        <v>i_57</v>
      </c>
    </row>
    <row r="58" spans="1:68" ht="37.5" hidden="1" outlineLevel="1" x14ac:dyDescent="0.4">
      <c r="A58" t="s">
        <v>371</v>
      </c>
      <c r="B58" t="s">
        <v>370</v>
      </c>
      <c r="C58" s="24" t="s">
        <v>287</v>
      </c>
      <c r="D58" s="24"/>
      <c r="E58" t="s">
        <v>190</v>
      </c>
      <c r="F58" s="1" t="s">
        <v>314</v>
      </c>
      <c r="H58">
        <v>3</v>
      </c>
      <c r="BL58">
        <v>4500</v>
      </c>
      <c r="BM58">
        <f t="shared" si="2"/>
        <v>450000</v>
      </c>
      <c r="BP58" t="str">
        <f t="shared" si="0"/>
        <v>i_58</v>
      </c>
    </row>
    <row r="59" spans="1:68" hidden="1" outlineLevel="1" x14ac:dyDescent="0.4">
      <c r="A59" t="s">
        <v>369</v>
      </c>
      <c r="B59" t="s">
        <v>368</v>
      </c>
      <c r="C59" s="24" t="s">
        <v>287</v>
      </c>
      <c r="D59" s="24"/>
      <c r="E59" t="s">
        <v>190</v>
      </c>
      <c r="F59" s="1" t="s">
        <v>311</v>
      </c>
      <c r="H59">
        <v>3</v>
      </c>
      <c r="BL59">
        <v>4200</v>
      </c>
      <c r="BM59">
        <f t="shared" si="2"/>
        <v>420000</v>
      </c>
      <c r="BP59" t="str">
        <f t="shared" si="0"/>
        <v>i_59</v>
      </c>
    </row>
    <row r="60" spans="1:68" ht="37.5" hidden="1" outlineLevel="1" x14ac:dyDescent="0.4">
      <c r="A60" t="s">
        <v>367</v>
      </c>
      <c r="B60" t="s">
        <v>366</v>
      </c>
      <c r="C60" s="24" t="s">
        <v>287</v>
      </c>
      <c r="D60" s="24"/>
      <c r="E60" t="s">
        <v>190</v>
      </c>
      <c r="F60" s="1" t="s">
        <v>308</v>
      </c>
      <c r="H60">
        <v>3</v>
      </c>
      <c r="BL60">
        <v>15000</v>
      </c>
      <c r="BM60">
        <f t="shared" si="2"/>
        <v>1500000</v>
      </c>
      <c r="BP60" t="str">
        <f t="shared" si="0"/>
        <v>i_60</v>
      </c>
    </row>
    <row r="61" spans="1:68" ht="37.5" hidden="1" outlineLevel="1" x14ac:dyDescent="0.4">
      <c r="A61" t="s">
        <v>365</v>
      </c>
      <c r="B61" t="s">
        <v>364</v>
      </c>
      <c r="C61" s="24" t="s">
        <v>287</v>
      </c>
      <c r="D61" s="24"/>
      <c r="E61" t="s">
        <v>190</v>
      </c>
      <c r="F61" s="1" t="s">
        <v>305</v>
      </c>
      <c r="H61">
        <v>3</v>
      </c>
      <c r="BL61">
        <v>5250</v>
      </c>
      <c r="BM61">
        <f t="shared" si="2"/>
        <v>525000</v>
      </c>
      <c r="BP61" t="str">
        <f t="shared" si="0"/>
        <v>i_61</v>
      </c>
    </row>
    <row r="62" spans="1:68" ht="37.5" hidden="1" outlineLevel="1" x14ac:dyDescent="0.4">
      <c r="A62" t="s">
        <v>363</v>
      </c>
      <c r="B62" t="s">
        <v>362</v>
      </c>
      <c r="C62" s="24" t="s">
        <v>287</v>
      </c>
      <c r="D62" s="24"/>
      <c r="E62" t="s">
        <v>190</v>
      </c>
      <c r="F62" s="1" t="s">
        <v>302</v>
      </c>
      <c r="H62">
        <v>3</v>
      </c>
      <c r="BL62">
        <v>4800</v>
      </c>
      <c r="BM62">
        <f t="shared" si="2"/>
        <v>480000</v>
      </c>
      <c r="BP62" t="str">
        <f t="shared" si="0"/>
        <v>i_62</v>
      </c>
    </row>
    <row r="63" spans="1:68" ht="37.5" hidden="1" outlineLevel="1" x14ac:dyDescent="0.4">
      <c r="A63" t="s">
        <v>361</v>
      </c>
      <c r="B63" t="s">
        <v>360</v>
      </c>
      <c r="C63" s="24" t="s">
        <v>287</v>
      </c>
      <c r="D63" s="24"/>
      <c r="E63" t="s">
        <v>190</v>
      </c>
      <c r="F63" s="1" t="s">
        <v>299</v>
      </c>
      <c r="H63">
        <v>3</v>
      </c>
      <c r="BL63">
        <v>4350</v>
      </c>
      <c r="BM63">
        <f t="shared" si="2"/>
        <v>435000</v>
      </c>
      <c r="BP63" t="str">
        <f t="shared" si="0"/>
        <v>i_63</v>
      </c>
    </row>
    <row r="64" spans="1:68" ht="37.5" hidden="1" outlineLevel="1" x14ac:dyDescent="0.4">
      <c r="A64" t="s">
        <v>359</v>
      </c>
      <c r="B64" t="s">
        <v>358</v>
      </c>
      <c r="C64" s="24" t="s">
        <v>287</v>
      </c>
      <c r="D64" s="24"/>
      <c r="E64" t="s">
        <v>190</v>
      </c>
      <c r="F64" s="1" t="s">
        <v>296</v>
      </c>
      <c r="H64">
        <v>3</v>
      </c>
      <c r="BL64">
        <v>6300</v>
      </c>
      <c r="BM64">
        <f t="shared" si="2"/>
        <v>630000</v>
      </c>
      <c r="BP64" t="str">
        <f t="shared" si="0"/>
        <v>i_64</v>
      </c>
    </row>
    <row r="65" spans="1:68" ht="37.5" hidden="1" outlineLevel="1" x14ac:dyDescent="0.4">
      <c r="A65" t="s">
        <v>357</v>
      </c>
      <c r="B65" t="s">
        <v>356</v>
      </c>
      <c r="C65" s="24" t="s">
        <v>287</v>
      </c>
      <c r="D65" s="24"/>
      <c r="E65" t="s">
        <v>190</v>
      </c>
      <c r="F65" s="1" t="s">
        <v>293</v>
      </c>
      <c r="H65">
        <v>3</v>
      </c>
      <c r="BL65">
        <v>4050</v>
      </c>
      <c r="BM65">
        <f t="shared" si="2"/>
        <v>405000</v>
      </c>
      <c r="BP65" t="str">
        <f t="shared" si="0"/>
        <v>i_65</v>
      </c>
    </row>
    <row r="66" spans="1:68" ht="37.5" hidden="1" outlineLevel="1" x14ac:dyDescent="0.4">
      <c r="A66" t="s">
        <v>355</v>
      </c>
      <c r="B66" t="s">
        <v>354</v>
      </c>
      <c r="C66" s="24" t="s">
        <v>287</v>
      </c>
      <c r="D66" s="24"/>
      <c r="E66" t="s">
        <v>190</v>
      </c>
      <c r="F66" s="1" t="s">
        <v>290</v>
      </c>
      <c r="H66">
        <v>3</v>
      </c>
      <c r="BL66">
        <v>6000</v>
      </c>
      <c r="BM66">
        <f t="shared" si="2"/>
        <v>600000</v>
      </c>
      <c r="BP66" t="str">
        <f t="shared" si="0"/>
        <v>i_66</v>
      </c>
    </row>
    <row r="67" spans="1:68" ht="37.5" hidden="1" outlineLevel="1" x14ac:dyDescent="0.4">
      <c r="A67" t="s">
        <v>353</v>
      </c>
      <c r="B67" t="s">
        <v>352</v>
      </c>
      <c r="C67" s="24" t="s">
        <v>287</v>
      </c>
      <c r="D67" s="24"/>
      <c r="E67" t="s">
        <v>190</v>
      </c>
      <c r="F67" s="1" t="s">
        <v>286</v>
      </c>
      <c r="H67">
        <v>3</v>
      </c>
      <c r="BL67">
        <v>5700</v>
      </c>
      <c r="BM67">
        <f t="shared" si="2"/>
        <v>570000</v>
      </c>
      <c r="BP67" t="str">
        <f t="shared" si="0"/>
        <v>i_67</v>
      </c>
    </row>
    <row r="68" spans="1:68" ht="37.5" hidden="1" outlineLevel="1" x14ac:dyDescent="0.4">
      <c r="A68" t="s">
        <v>351</v>
      </c>
      <c r="B68" t="s">
        <v>350</v>
      </c>
      <c r="C68" s="24" t="s">
        <v>287</v>
      </c>
      <c r="D68" s="24"/>
      <c r="E68" t="s">
        <v>190</v>
      </c>
      <c r="F68" s="1" t="s">
        <v>323</v>
      </c>
      <c r="H68">
        <v>4</v>
      </c>
      <c r="BL68">
        <v>10000</v>
      </c>
      <c r="BM68">
        <f t="shared" si="2"/>
        <v>1000000</v>
      </c>
      <c r="BP68" t="str">
        <f t="shared" si="0"/>
        <v>i_68</v>
      </c>
    </row>
    <row r="69" spans="1:68" ht="37.5" hidden="1" outlineLevel="1" x14ac:dyDescent="0.4">
      <c r="A69" t="s">
        <v>349</v>
      </c>
      <c r="B69" t="s">
        <v>348</v>
      </c>
      <c r="C69" s="24" t="s">
        <v>287</v>
      </c>
      <c r="D69" s="24"/>
      <c r="E69" t="s">
        <v>190</v>
      </c>
      <c r="F69" s="1" t="s">
        <v>320</v>
      </c>
      <c r="H69">
        <v>4</v>
      </c>
      <c r="BL69">
        <v>9000</v>
      </c>
      <c r="BM69">
        <f t="shared" si="2"/>
        <v>900000</v>
      </c>
      <c r="BP69" t="str">
        <f t="shared" ref="BP69:BP132" si="3">"i_"&amp;ROW(BP69)</f>
        <v>i_69</v>
      </c>
    </row>
    <row r="70" spans="1:68" ht="37.5" hidden="1" outlineLevel="1" x14ac:dyDescent="0.4">
      <c r="A70" t="s">
        <v>347</v>
      </c>
      <c r="B70" t="s">
        <v>346</v>
      </c>
      <c r="C70" s="24" t="s">
        <v>287</v>
      </c>
      <c r="D70" s="24"/>
      <c r="E70" t="s">
        <v>190</v>
      </c>
      <c r="F70" s="1" t="s">
        <v>317</v>
      </c>
      <c r="H70">
        <v>4</v>
      </c>
      <c r="BL70">
        <v>12000</v>
      </c>
      <c r="BM70">
        <f t="shared" ref="BM70:BM133" si="4">BL70*100</f>
        <v>1200000</v>
      </c>
      <c r="BP70" t="str">
        <f t="shared" si="3"/>
        <v>i_70</v>
      </c>
    </row>
    <row r="71" spans="1:68" ht="37.5" hidden="1" outlineLevel="1" x14ac:dyDescent="0.4">
      <c r="A71" t="s">
        <v>345</v>
      </c>
      <c r="B71" t="s">
        <v>344</v>
      </c>
      <c r="C71" s="24" t="s">
        <v>287</v>
      </c>
      <c r="D71" s="24"/>
      <c r="E71" t="s">
        <v>190</v>
      </c>
      <c r="F71" s="1" t="s">
        <v>314</v>
      </c>
      <c r="H71">
        <v>4</v>
      </c>
      <c r="BL71">
        <v>6000</v>
      </c>
      <c r="BM71">
        <f t="shared" si="4"/>
        <v>600000</v>
      </c>
      <c r="BP71" t="str">
        <f t="shared" si="3"/>
        <v>i_71</v>
      </c>
    </row>
    <row r="72" spans="1:68" hidden="1" outlineLevel="1" x14ac:dyDescent="0.4">
      <c r="A72" t="s">
        <v>343</v>
      </c>
      <c r="B72" t="s">
        <v>342</v>
      </c>
      <c r="C72" s="24" t="s">
        <v>287</v>
      </c>
      <c r="D72" s="24"/>
      <c r="E72" t="s">
        <v>190</v>
      </c>
      <c r="F72" s="1" t="s">
        <v>311</v>
      </c>
      <c r="H72">
        <v>4</v>
      </c>
      <c r="BL72">
        <v>5600</v>
      </c>
      <c r="BM72">
        <f t="shared" si="4"/>
        <v>560000</v>
      </c>
      <c r="BP72" t="str">
        <f t="shared" si="3"/>
        <v>i_72</v>
      </c>
    </row>
    <row r="73" spans="1:68" ht="37.5" hidden="1" outlineLevel="1" x14ac:dyDescent="0.4">
      <c r="A73" t="s">
        <v>341</v>
      </c>
      <c r="B73" t="s">
        <v>340</v>
      </c>
      <c r="C73" s="24" t="s">
        <v>287</v>
      </c>
      <c r="D73" s="24"/>
      <c r="E73" t="s">
        <v>190</v>
      </c>
      <c r="F73" s="1" t="s">
        <v>308</v>
      </c>
      <c r="H73">
        <v>4</v>
      </c>
      <c r="BL73">
        <v>20000</v>
      </c>
      <c r="BM73">
        <f t="shared" si="4"/>
        <v>2000000</v>
      </c>
      <c r="BP73" t="str">
        <f t="shared" si="3"/>
        <v>i_73</v>
      </c>
    </row>
    <row r="74" spans="1:68" ht="37.5" hidden="1" outlineLevel="1" x14ac:dyDescent="0.4">
      <c r="A74" t="s">
        <v>339</v>
      </c>
      <c r="B74" t="s">
        <v>338</v>
      </c>
      <c r="C74" s="24" t="s">
        <v>287</v>
      </c>
      <c r="D74" s="24"/>
      <c r="E74" t="s">
        <v>190</v>
      </c>
      <c r="F74" s="1" t="s">
        <v>305</v>
      </c>
      <c r="H74">
        <v>4</v>
      </c>
      <c r="BL74">
        <v>7000</v>
      </c>
      <c r="BM74">
        <f t="shared" si="4"/>
        <v>700000</v>
      </c>
      <c r="BP74" t="str">
        <f t="shared" si="3"/>
        <v>i_74</v>
      </c>
    </row>
    <row r="75" spans="1:68" ht="37.5" hidden="1" outlineLevel="1" x14ac:dyDescent="0.4">
      <c r="A75" t="s">
        <v>337</v>
      </c>
      <c r="B75" t="s">
        <v>336</v>
      </c>
      <c r="C75" s="24" t="s">
        <v>287</v>
      </c>
      <c r="D75" s="24"/>
      <c r="E75" t="s">
        <v>190</v>
      </c>
      <c r="F75" s="1" t="s">
        <v>302</v>
      </c>
      <c r="H75">
        <v>4</v>
      </c>
      <c r="BL75">
        <v>6400</v>
      </c>
      <c r="BM75">
        <f t="shared" si="4"/>
        <v>640000</v>
      </c>
      <c r="BP75" t="str">
        <f t="shared" si="3"/>
        <v>i_75</v>
      </c>
    </row>
    <row r="76" spans="1:68" ht="37.5" hidden="1" outlineLevel="1" x14ac:dyDescent="0.4">
      <c r="A76" t="s">
        <v>335</v>
      </c>
      <c r="B76" t="s">
        <v>334</v>
      </c>
      <c r="C76" s="24" t="s">
        <v>287</v>
      </c>
      <c r="D76" s="24"/>
      <c r="E76" t="s">
        <v>190</v>
      </c>
      <c r="F76" s="1" t="s">
        <v>299</v>
      </c>
      <c r="H76">
        <v>4</v>
      </c>
      <c r="BL76">
        <v>5800</v>
      </c>
      <c r="BM76">
        <f t="shared" si="4"/>
        <v>580000</v>
      </c>
      <c r="BP76" t="str">
        <f t="shared" si="3"/>
        <v>i_76</v>
      </c>
    </row>
    <row r="77" spans="1:68" ht="37.5" hidden="1" outlineLevel="1" x14ac:dyDescent="0.4">
      <c r="A77" t="s">
        <v>333</v>
      </c>
      <c r="B77" t="s">
        <v>332</v>
      </c>
      <c r="C77" s="24" t="s">
        <v>287</v>
      </c>
      <c r="D77" s="24"/>
      <c r="E77" t="s">
        <v>190</v>
      </c>
      <c r="F77" s="1" t="s">
        <v>296</v>
      </c>
      <c r="H77">
        <v>4</v>
      </c>
      <c r="BL77">
        <v>8400</v>
      </c>
      <c r="BM77">
        <f t="shared" si="4"/>
        <v>840000</v>
      </c>
      <c r="BP77" t="str">
        <f t="shared" si="3"/>
        <v>i_77</v>
      </c>
    </row>
    <row r="78" spans="1:68" ht="37.5" hidden="1" outlineLevel="1" x14ac:dyDescent="0.4">
      <c r="A78" t="s">
        <v>331</v>
      </c>
      <c r="B78" t="s">
        <v>330</v>
      </c>
      <c r="C78" s="24" t="s">
        <v>287</v>
      </c>
      <c r="D78" s="24"/>
      <c r="E78" t="s">
        <v>190</v>
      </c>
      <c r="F78" s="1" t="s">
        <v>293</v>
      </c>
      <c r="H78">
        <v>4</v>
      </c>
      <c r="BL78">
        <v>5400</v>
      </c>
      <c r="BM78">
        <f t="shared" si="4"/>
        <v>540000</v>
      </c>
      <c r="BP78" t="str">
        <f t="shared" si="3"/>
        <v>i_78</v>
      </c>
    </row>
    <row r="79" spans="1:68" ht="37.5" hidden="1" outlineLevel="1" x14ac:dyDescent="0.4">
      <c r="A79" t="s">
        <v>329</v>
      </c>
      <c r="B79" t="s">
        <v>328</v>
      </c>
      <c r="C79" s="24" t="s">
        <v>287</v>
      </c>
      <c r="D79" s="24"/>
      <c r="E79" t="s">
        <v>190</v>
      </c>
      <c r="F79" s="1" t="s">
        <v>290</v>
      </c>
      <c r="H79">
        <v>4</v>
      </c>
      <c r="BL79">
        <v>8000</v>
      </c>
      <c r="BM79">
        <f t="shared" si="4"/>
        <v>800000</v>
      </c>
      <c r="BP79" t="str">
        <f t="shared" si="3"/>
        <v>i_79</v>
      </c>
    </row>
    <row r="80" spans="1:68" ht="37.5" hidden="1" outlineLevel="1" x14ac:dyDescent="0.4">
      <c r="A80" t="s">
        <v>327</v>
      </c>
      <c r="B80" t="s">
        <v>326</v>
      </c>
      <c r="C80" s="24" t="s">
        <v>287</v>
      </c>
      <c r="D80" s="24"/>
      <c r="E80" t="s">
        <v>190</v>
      </c>
      <c r="F80" s="1" t="s">
        <v>286</v>
      </c>
      <c r="H80">
        <v>4</v>
      </c>
      <c r="BL80">
        <v>7600</v>
      </c>
      <c r="BM80">
        <f t="shared" si="4"/>
        <v>760000</v>
      </c>
      <c r="BP80" t="str">
        <f t="shared" si="3"/>
        <v>i_80</v>
      </c>
    </row>
    <row r="81" spans="1:68" ht="37.5" hidden="1" outlineLevel="1" x14ac:dyDescent="0.4">
      <c r="A81" t="s">
        <v>325</v>
      </c>
      <c r="B81" t="s">
        <v>324</v>
      </c>
      <c r="C81" s="24" t="s">
        <v>287</v>
      </c>
      <c r="D81" s="24"/>
      <c r="E81" t="s">
        <v>190</v>
      </c>
      <c r="F81" s="1" t="s">
        <v>323</v>
      </c>
      <c r="H81">
        <v>5</v>
      </c>
      <c r="BL81">
        <v>12500</v>
      </c>
      <c r="BM81">
        <f t="shared" si="4"/>
        <v>1250000</v>
      </c>
      <c r="BP81" t="str">
        <f t="shared" si="3"/>
        <v>i_81</v>
      </c>
    </row>
    <row r="82" spans="1:68" ht="37.5" hidden="1" outlineLevel="1" x14ac:dyDescent="0.4">
      <c r="A82" t="s">
        <v>322</v>
      </c>
      <c r="B82" t="s">
        <v>321</v>
      </c>
      <c r="C82" s="24" t="s">
        <v>287</v>
      </c>
      <c r="D82" s="24"/>
      <c r="E82" t="s">
        <v>190</v>
      </c>
      <c r="F82" s="1" t="s">
        <v>320</v>
      </c>
      <c r="H82">
        <v>5</v>
      </c>
      <c r="BL82">
        <v>11250</v>
      </c>
      <c r="BM82">
        <f t="shared" si="4"/>
        <v>1125000</v>
      </c>
      <c r="BP82" t="str">
        <f t="shared" si="3"/>
        <v>i_82</v>
      </c>
    </row>
    <row r="83" spans="1:68" ht="37.5" hidden="1" outlineLevel="1" x14ac:dyDescent="0.4">
      <c r="A83" t="s">
        <v>319</v>
      </c>
      <c r="B83" t="s">
        <v>318</v>
      </c>
      <c r="C83" s="24" t="s">
        <v>287</v>
      </c>
      <c r="D83" s="24"/>
      <c r="E83" t="s">
        <v>190</v>
      </c>
      <c r="F83" s="1" t="s">
        <v>317</v>
      </c>
      <c r="H83">
        <v>5</v>
      </c>
      <c r="BL83">
        <v>15000</v>
      </c>
      <c r="BM83">
        <f t="shared" si="4"/>
        <v>1500000</v>
      </c>
      <c r="BP83" t="str">
        <f t="shared" si="3"/>
        <v>i_83</v>
      </c>
    </row>
    <row r="84" spans="1:68" ht="37.5" hidden="1" outlineLevel="1" x14ac:dyDescent="0.4">
      <c r="A84" t="s">
        <v>316</v>
      </c>
      <c r="B84" t="s">
        <v>315</v>
      </c>
      <c r="C84" s="24" t="s">
        <v>287</v>
      </c>
      <c r="D84" s="24"/>
      <c r="E84" t="s">
        <v>190</v>
      </c>
      <c r="F84" s="1" t="s">
        <v>314</v>
      </c>
      <c r="H84">
        <v>5</v>
      </c>
      <c r="BL84">
        <v>7500</v>
      </c>
      <c r="BM84">
        <f t="shared" si="4"/>
        <v>750000</v>
      </c>
      <c r="BP84" t="str">
        <f t="shared" si="3"/>
        <v>i_84</v>
      </c>
    </row>
    <row r="85" spans="1:68" hidden="1" outlineLevel="1" x14ac:dyDescent="0.4">
      <c r="A85" t="s">
        <v>313</v>
      </c>
      <c r="B85" t="s">
        <v>312</v>
      </c>
      <c r="C85" s="24" t="s">
        <v>287</v>
      </c>
      <c r="D85" s="24"/>
      <c r="E85" t="s">
        <v>190</v>
      </c>
      <c r="F85" s="1" t="s">
        <v>311</v>
      </c>
      <c r="H85">
        <v>5</v>
      </c>
      <c r="BL85">
        <v>7000</v>
      </c>
      <c r="BM85">
        <f t="shared" si="4"/>
        <v>700000</v>
      </c>
      <c r="BP85" t="str">
        <f t="shared" si="3"/>
        <v>i_85</v>
      </c>
    </row>
    <row r="86" spans="1:68" ht="37.5" hidden="1" outlineLevel="1" x14ac:dyDescent="0.4">
      <c r="A86" t="s">
        <v>310</v>
      </c>
      <c r="B86" t="s">
        <v>309</v>
      </c>
      <c r="C86" s="24" t="s">
        <v>287</v>
      </c>
      <c r="D86" s="24"/>
      <c r="E86" t="s">
        <v>190</v>
      </c>
      <c r="F86" s="1" t="s">
        <v>308</v>
      </c>
      <c r="H86">
        <v>5</v>
      </c>
      <c r="BL86">
        <v>25000</v>
      </c>
      <c r="BM86">
        <f t="shared" si="4"/>
        <v>2500000</v>
      </c>
      <c r="BP86" t="str">
        <f t="shared" si="3"/>
        <v>i_86</v>
      </c>
    </row>
    <row r="87" spans="1:68" ht="37.5" hidden="1" outlineLevel="1" x14ac:dyDescent="0.4">
      <c r="A87" t="s">
        <v>307</v>
      </c>
      <c r="B87" t="s">
        <v>306</v>
      </c>
      <c r="C87" s="24" t="s">
        <v>287</v>
      </c>
      <c r="D87" s="24"/>
      <c r="E87" t="s">
        <v>190</v>
      </c>
      <c r="F87" s="1" t="s">
        <v>305</v>
      </c>
      <c r="H87">
        <v>5</v>
      </c>
      <c r="BL87">
        <v>8750</v>
      </c>
      <c r="BM87">
        <f t="shared" si="4"/>
        <v>875000</v>
      </c>
      <c r="BP87" t="str">
        <f t="shared" si="3"/>
        <v>i_87</v>
      </c>
    </row>
    <row r="88" spans="1:68" ht="37.5" hidden="1" outlineLevel="1" x14ac:dyDescent="0.4">
      <c r="A88" t="s">
        <v>304</v>
      </c>
      <c r="B88" t="s">
        <v>303</v>
      </c>
      <c r="C88" s="24" t="s">
        <v>287</v>
      </c>
      <c r="D88" s="24"/>
      <c r="E88" t="s">
        <v>190</v>
      </c>
      <c r="F88" s="1" t="s">
        <v>302</v>
      </c>
      <c r="H88">
        <v>5</v>
      </c>
      <c r="BL88">
        <v>8000</v>
      </c>
      <c r="BM88">
        <f t="shared" si="4"/>
        <v>800000</v>
      </c>
      <c r="BP88" t="str">
        <f t="shared" si="3"/>
        <v>i_88</v>
      </c>
    </row>
    <row r="89" spans="1:68" ht="37.5" hidden="1" outlineLevel="1" x14ac:dyDescent="0.4">
      <c r="A89" t="s">
        <v>301</v>
      </c>
      <c r="B89" t="s">
        <v>300</v>
      </c>
      <c r="C89" s="24" t="s">
        <v>287</v>
      </c>
      <c r="D89" s="24"/>
      <c r="E89" t="s">
        <v>190</v>
      </c>
      <c r="F89" s="1" t="s">
        <v>299</v>
      </c>
      <c r="H89">
        <v>5</v>
      </c>
      <c r="BL89">
        <v>7250</v>
      </c>
      <c r="BM89">
        <f t="shared" si="4"/>
        <v>725000</v>
      </c>
      <c r="BP89" t="str">
        <f t="shared" si="3"/>
        <v>i_89</v>
      </c>
    </row>
    <row r="90" spans="1:68" ht="37.5" hidden="1" outlineLevel="1" x14ac:dyDescent="0.4">
      <c r="A90" t="s">
        <v>298</v>
      </c>
      <c r="B90" t="s">
        <v>297</v>
      </c>
      <c r="C90" s="24" t="s">
        <v>287</v>
      </c>
      <c r="D90" s="24"/>
      <c r="E90" t="s">
        <v>190</v>
      </c>
      <c r="F90" s="1" t="s">
        <v>296</v>
      </c>
      <c r="H90">
        <v>5</v>
      </c>
      <c r="BL90">
        <v>10500</v>
      </c>
      <c r="BM90">
        <f t="shared" si="4"/>
        <v>1050000</v>
      </c>
      <c r="BP90" t="str">
        <f t="shared" si="3"/>
        <v>i_90</v>
      </c>
    </row>
    <row r="91" spans="1:68" ht="37.5" hidden="1" outlineLevel="1" x14ac:dyDescent="0.4">
      <c r="A91" t="s">
        <v>295</v>
      </c>
      <c r="B91" t="s">
        <v>294</v>
      </c>
      <c r="C91" s="24" t="s">
        <v>287</v>
      </c>
      <c r="D91" s="24"/>
      <c r="E91" t="s">
        <v>190</v>
      </c>
      <c r="F91" s="1" t="s">
        <v>293</v>
      </c>
      <c r="H91">
        <v>5</v>
      </c>
      <c r="BL91">
        <v>6750</v>
      </c>
      <c r="BM91">
        <f t="shared" si="4"/>
        <v>675000</v>
      </c>
      <c r="BP91" t="str">
        <f t="shared" si="3"/>
        <v>i_91</v>
      </c>
    </row>
    <row r="92" spans="1:68" ht="37.5" hidden="1" outlineLevel="1" x14ac:dyDescent="0.4">
      <c r="A92" t="s">
        <v>292</v>
      </c>
      <c r="B92" t="s">
        <v>291</v>
      </c>
      <c r="C92" s="24" t="s">
        <v>287</v>
      </c>
      <c r="D92" s="24"/>
      <c r="E92" t="s">
        <v>190</v>
      </c>
      <c r="F92" s="1" t="s">
        <v>290</v>
      </c>
      <c r="H92">
        <v>5</v>
      </c>
      <c r="BL92">
        <v>10000</v>
      </c>
      <c r="BM92">
        <f t="shared" si="4"/>
        <v>1000000</v>
      </c>
      <c r="BP92" t="str">
        <f t="shared" si="3"/>
        <v>i_92</v>
      </c>
    </row>
    <row r="93" spans="1:68" ht="37.5" hidden="1" outlineLevel="1" x14ac:dyDescent="0.4">
      <c r="A93" t="s">
        <v>289</v>
      </c>
      <c r="B93" t="s">
        <v>288</v>
      </c>
      <c r="C93" s="24" t="s">
        <v>287</v>
      </c>
      <c r="D93" s="24"/>
      <c r="E93" t="s">
        <v>190</v>
      </c>
      <c r="F93" s="1" t="s">
        <v>286</v>
      </c>
      <c r="H93">
        <v>5</v>
      </c>
      <c r="BL93">
        <v>9500</v>
      </c>
      <c r="BM93">
        <f t="shared" si="4"/>
        <v>950000</v>
      </c>
      <c r="BP93" t="str">
        <f t="shared" si="3"/>
        <v>i_93</v>
      </c>
    </row>
    <row r="94" spans="1:68" hidden="1" outlineLevel="1" x14ac:dyDescent="0.4">
      <c r="C94" s="24"/>
      <c r="D94" s="24"/>
      <c r="BM94">
        <f t="shared" si="4"/>
        <v>0</v>
      </c>
      <c r="BP94" t="str">
        <f t="shared" si="3"/>
        <v>i_94</v>
      </c>
    </row>
    <row r="95" spans="1:68" hidden="1" outlineLevel="1" x14ac:dyDescent="0.4">
      <c r="C95" s="24"/>
      <c r="D95" s="24"/>
      <c r="BM95">
        <f t="shared" si="4"/>
        <v>0</v>
      </c>
      <c r="BP95" t="str">
        <f t="shared" si="3"/>
        <v>i_95</v>
      </c>
    </row>
    <row r="96" spans="1:68" hidden="1" outlineLevel="1" x14ac:dyDescent="0.4">
      <c r="C96" s="24"/>
      <c r="D96" s="24"/>
      <c r="BM96">
        <f t="shared" si="4"/>
        <v>0</v>
      </c>
      <c r="BP96" t="str">
        <f t="shared" si="3"/>
        <v>i_96</v>
      </c>
    </row>
    <row r="97" spans="1:68" collapsed="1" x14ac:dyDescent="0.4">
      <c r="C97" s="24"/>
      <c r="D97" s="24"/>
      <c r="BM97">
        <f t="shared" si="4"/>
        <v>0</v>
      </c>
      <c r="BP97" t="str">
        <f t="shared" si="3"/>
        <v>i_97</v>
      </c>
    </row>
    <row r="98" spans="1:68" x14ac:dyDescent="0.4">
      <c r="B98" t="s">
        <v>285</v>
      </c>
      <c r="C98" s="24"/>
      <c r="D98" s="24"/>
      <c r="BM98">
        <f t="shared" si="4"/>
        <v>0</v>
      </c>
      <c r="BP98" t="str">
        <f t="shared" si="3"/>
        <v>i_98</v>
      </c>
    </row>
    <row r="99" spans="1:68" ht="75" hidden="1" outlineLevel="1" x14ac:dyDescent="0.4">
      <c r="A99" t="s">
        <v>284</v>
      </c>
      <c r="B99" t="s">
        <v>283</v>
      </c>
      <c r="C99" s="24" t="s">
        <v>279</v>
      </c>
      <c r="D99" s="24"/>
      <c r="E99" t="s">
        <v>190</v>
      </c>
      <c r="F99" s="1" t="s">
        <v>282</v>
      </c>
      <c r="BL99">
        <v>30</v>
      </c>
      <c r="BM99">
        <f t="shared" si="4"/>
        <v>3000</v>
      </c>
      <c r="BP99" t="str">
        <f t="shared" si="3"/>
        <v>i_99</v>
      </c>
    </row>
    <row r="100" spans="1:68" ht="112.5" hidden="1" outlineLevel="1" x14ac:dyDescent="0.4">
      <c r="A100" t="s">
        <v>281</v>
      </c>
      <c r="B100" t="s">
        <v>280</v>
      </c>
      <c r="C100" s="24" t="s">
        <v>279</v>
      </c>
      <c r="D100" s="24"/>
      <c r="E100" t="s">
        <v>190</v>
      </c>
      <c r="F100" s="1" t="s">
        <v>278</v>
      </c>
      <c r="BL100">
        <v>300</v>
      </c>
      <c r="BM100">
        <f t="shared" si="4"/>
        <v>30000</v>
      </c>
      <c r="BP100" t="str">
        <f t="shared" si="3"/>
        <v>i_100</v>
      </c>
    </row>
    <row r="101" spans="1:68" hidden="1" outlineLevel="1" x14ac:dyDescent="0.4">
      <c r="A101" t="s">
        <v>1177</v>
      </c>
      <c r="B101" t="s">
        <v>1178</v>
      </c>
      <c r="C101" s="24" t="s">
        <v>287</v>
      </c>
      <c r="D101" s="24"/>
      <c r="E101" t="s">
        <v>190</v>
      </c>
      <c r="F101" s="1" t="s">
        <v>1179</v>
      </c>
      <c r="H101">
        <v>1</v>
      </c>
      <c r="BL101">
        <v>200</v>
      </c>
      <c r="BM101">
        <f t="shared" si="4"/>
        <v>20000</v>
      </c>
      <c r="BP101" t="str">
        <f t="shared" si="3"/>
        <v>i_101</v>
      </c>
    </row>
    <row r="102" spans="1:68" hidden="1" outlineLevel="1" x14ac:dyDescent="0.4">
      <c r="A102" t="s">
        <v>1180</v>
      </c>
      <c r="B102" t="s">
        <v>1178</v>
      </c>
      <c r="C102" s="24" t="s">
        <v>287</v>
      </c>
      <c r="D102" s="24"/>
      <c r="E102" t="s">
        <v>190</v>
      </c>
      <c r="F102" s="1" t="s">
        <v>1179</v>
      </c>
      <c r="H102">
        <v>1</v>
      </c>
      <c r="BL102">
        <v>500</v>
      </c>
      <c r="BM102">
        <f>BL102*100</f>
        <v>50000</v>
      </c>
      <c r="BP102" t="str">
        <f t="shared" si="3"/>
        <v>i_102</v>
      </c>
    </row>
    <row r="103" spans="1:68" hidden="1" outlineLevel="1" x14ac:dyDescent="0.4">
      <c r="C103" s="24"/>
      <c r="D103" s="24"/>
      <c r="BM103">
        <f t="shared" si="4"/>
        <v>0</v>
      </c>
      <c r="BP103" t="str">
        <f t="shared" si="3"/>
        <v>i_103</v>
      </c>
    </row>
    <row r="104" spans="1:68" hidden="1" outlineLevel="1" x14ac:dyDescent="0.4">
      <c r="C104" s="24"/>
      <c r="D104" s="24"/>
      <c r="BM104">
        <f t="shared" si="4"/>
        <v>0</v>
      </c>
      <c r="BP104" t="str">
        <f t="shared" si="3"/>
        <v>i_104</v>
      </c>
    </row>
    <row r="105" spans="1:68" hidden="1" outlineLevel="1" x14ac:dyDescent="0.4">
      <c r="C105" s="24"/>
      <c r="D105" s="24"/>
      <c r="BM105">
        <f t="shared" si="4"/>
        <v>0</v>
      </c>
      <c r="BP105" t="str">
        <f t="shared" si="3"/>
        <v>i_105</v>
      </c>
    </row>
    <row r="106" spans="1:68" hidden="1" outlineLevel="1" x14ac:dyDescent="0.4">
      <c r="C106" s="24"/>
      <c r="D106" s="24"/>
      <c r="BM106">
        <f t="shared" si="4"/>
        <v>0</v>
      </c>
      <c r="BP106" t="str">
        <f t="shared" si="3"/>
        <v>i_106</v>
      </c>
    </row>
    <row r="107" spans="1:68" hidden="1" outlineLevel="1" x14ac:dyDescent="0.4">
      <c r="C107" s="24"/>
      <c r="D107" s="24"/>
      <c r="BM107">
        <f t="shared" si="4"/>
        <v>0</v>
      </c>
      <c r="BP107" t="str">
        <f t="shared" si="3"/>
        <v>i_107</v>
      </c>
    </row>
    <row r="108" spans="1:68" hidden="1" outlineLevel="1" x14ac:dyDescent="0.4">
      <c r="C108" s="24"/>
      <c r="D108" s="24"/>
      <c r="BM108">
        <f t="shared" si="4"/>
        <v>0</v>
      </c>
      <c r="BP108" t="str">
        <f t="shared" si="3"/>
        <v>i_108</v>
      </c>
    </row>
    <row r="109" spans="1:68" hidden="1" outlineLevel="1" x14ac:dyDescent="0.4">
      <c r="C109" s="24"/>
      <c r="D109" s="24"/>
      <c r="BM109">
        <f t="shared" si="4"/>
        <v>0</v>
      </c>
      <c r="BP109" t="str">
        <f t="shared" si="3"/>
        <v>i_109</v>
      </c>
    </row>
    <row r="110" spans="1:68" hidden="1" outlineLevel="1" x14ac:dyDescent="0.4">
      <c r="C110" s="24"/>
      <c r="D110" s="24"/>
      <c r="BM110">
        <f t="shared" si="4"/>
        <v>0</v>
      </c>
      <c r="BP110" t="str">
        <f t="shared" si="3"/>
        <v>i_110</v>
      </c>
    </row>
    <row r="111" spans="1:68" hidden="1" outlineLevel="1" x14ac:dyDescent="0.4">
      <c r="C111" s="24"/>
      <c r="D111" s="24"/>
      <c r="BM111">
        <f t="shared" si="4"/>
        <v>0</v>
      </c>
      <c r="BP111" t="str">
        <f t="shared" si="3"/>
        <v>i_111</v>
      </c>
    </row>
    <row r="112" spans="1:68" hidden="1" outlineLevel="1" x14ac:dyDescent="0.4">
      <c r="C112" s="24"/>
      <c r="D112" s="24"/>
      <c r="BM112">
        <f t="shared" si="4"/>
        <v>0</v>
      </c>
      <c r="BP112" t="str">
        <f t="shared" si="3"/>
        <v>i_112</v>
      </c>
    </row>
    <row r="113" spans="1:75" hidden="1" outlineLevel="1" x14ac:dyDescent="0.4">
      <c r="C113" s="24"/>
      <c r="D113" s="24"/>
      <c r="BM113">
        <f t="shared" si="4"/>
        <v>0</v>
      </c>
      <c r="BP113" t="str">
        <f t="shared" si="3"/>
        <v>i_113</v>
      </c>
    </row>
    <row r="114" spans="1:75" hidden="1" outlineLevel="1" x14ac:dyDescent="0.4">
      <c r="C114" s="24"/>
      <c r="D114" s="24"/>
      <c r="BM114">
        <f t="shared" si="4"/>
        <v>0</v>
      </c>
      <c r="BP114" t="str">
        <f t="shared" si="3"/>
        <v>i_114</v>
      </c>
    </row>
    <row r="115" spans="1:75" collapsed="1" x14ac:dyDescent="0.4">
      <c r="B115" t="s">
        <v>277</v>
      </c>
      <c r="C115" s="24"/>
      <c r="D115" s="24"/>
      <c r="BM115">
        <f t="shared" si="4"/>
        <v>0</v>
      </c>
      <c r="BP115" t="str">
        <f t="shared" si="3"/>
        <v>i_115</v>
      </c>
    </row>
    <row r="116" spans="1:75" x14ac:dyDescent="0.4">
      <c r="A116" t="str">
        <f>素材!A3</f>
        <v>銅</v>
      </c>
      <c r="B116" t="str">
        <f>IFERROR(VLOOKUP(A116,素材!$A:$O,COLUMN(素材!B$1),FALSE),"")</f>
        <v>カッパー</v>
      </c>
      <c r="C116" s="24" t="str">
        <f>IFERROR(VLOOKUP(A116,素材!$A:$O,COLUMN(素材!M$1),FALSE),"")</f>
        <v>鉱石</v>
      </c>
      <c r="D116" s="24"/>
      <c r="E116" t="s">
        <v>190</v>
      </c>
      <c r="F116" s="1" t="str">
        <f>IFERROR(VLOOKUP(A116,素材!$A:$O,COLUMN(素材!O$1),FALSE),"")</f>
        <v>低価値、利用頻度は高くよく取れる</v>
      </c>
      <c r="BL116">
        <f>IFERROR(VLOOKUP(A116,素材!$A:$O,COLUMN(素材!N$1),FALSE),"")</f>
        <v>50</v>
      </c>
      <c r="BM116">
        <f t="shared" si="4"/>
        <v>5000</v>
      </c>
      <c r="BO116" t="str">
        <f>素材!M3&amp;".webp"</f>
        <v>鉱石.webp</v>
      </c>
      <c r="BP116" t="str">
        <f t="shared" si="3"/>
        <v>i_116</v>
      </c>
      <c r="BQ116">
        <v>1</v>
      </c>
      <c r="BR116" t="b">
        <v>1</v>
      </c>
      <c r="BS116" t="s">
        <v>276</v>
      </c>
      <c r="BT116" t="s">
        <v>275</v>
      </c>
      <c r="BU116">
        <v>20</v>
      </c>
      <c r="BV116">
        <v>3</v>
      </c>
      <c r="BW116">
        <v>15</v>
      </c>
    </row>
    <row r="117" spans="1:75" outlineLevel="1" x14ac:dyDescent="0.4">
      <c r="A117" t="str">
        <f>素材!A4</f>
        <v>銀</v>
      </c>
      <c r="B117" t="str">
        <f>IFERROR(VLOOKUP(A117,素材!$A:$O,COLUMN(素材!B$1),FALSE),"")</f>
        <v>シルバー</v>
      </c>
      <c r="C117" s="24" t="str">
        <f>IFERROR(VLOOKUP(A117,素材!$A:$O,COLUMN(素材!M$1),FALSE),"")</f>
        <v>鉱石</v>
      </c>
      <c r="D117" s="24"/>
      <c r="E117" t="s">
        <v>190</v>
      </c>
      <c r="F117" s="1" t="str">
        <f>IFERROR(VLOOKUP(A117,素材!$A:$O,COLUMN(素材!O$1),FALSE),"")</f>
        <v>魔道具を作るのに使用される。価値はそれなり</v>
      </c>
      <c r="BL117">
        <f>IFERROR(VLOOKUP(A117,素材!$A:$O,COLUMN(素材!N$1),FALSE),"")</f>
        <v>500</v>
      </c>
      <c r="BM117">
        <f t="shared" si="4"/>
        <v>50000</v>
      </c>
      <c r="BO117" t="str">
        <f>素材!M4&amp;".webp"</f>
        <v>鉱石.webp</v>
      </c>
      <c r="BP117" t="str">
        <f t="shared" si="3"/>
        <v>i_117</v>
      </c>
      <c r="BQ117">
        <v>1</v>
      </c>
      <c r="BR117" t="b">
        <v>1</v>
      </c>
      <c r="BS117" t="s">
        <v>273</v>
      </c>
      <c r="BT117" t="s">
        <v>272</v>
      </c>
      <c r="BU117">
        <v>30</v>
      </c>
      <c r="BV117">
        <v>10</v>
      </c>
      <c r="BW117">
        <v>5</v>
      </c>
    </row>
    <row r="118" spans="1:75" ht="37.5" outlineLevel="1" x14ac:dyDescent="0.4">
      <c r="A118" t="str">
        <f>素材!A5</f>
        <v>金</v>
      </c>
      <c r="B118" t="str">
        <f>IFERROR(VLOOKUP(A118,素材!$A:$O,COLUMN(素材!B$1),FALSE),"")</f>
        <v>ゴールド</v>
      </c>
      <c r="C118" s="24" t="str">
        <f>IFERROR(VLOOKUP(A118,素材!$A:$O,COLUMN(素材!M$1),FALSE),"")</f>
        <v>鉱石</v>
      </c>
      <c r="D118" s="24"/>
      <c r="E118" t="s">
        <v>190</v>
      </c>
      <c r="F118" s="1" t="str">
        <f>IFERROR(VLOOKUP(A118,素材!$A:$O,COLUMN(素材!O$1),FALSE),"")</f>
        <v>魔法文字を書くのに使用させる。金銭的価値が非常に高い</v>
      </c>
      <c r="BL118">
        <f>IFERROR(VLOOKUP(A118,素材!$A:$O,COLUMN(素材!N$1),FALSE),"")</f>
        <v>2500</v>
      </c>
      <c r="BM118">
        <f t="shared" si="4"/>
        <v>250000</v>
      </c>
      <c r="BO118" t="str">
        <f>素材!M5&amp;".webp"</f>
        <v>鉱石.webp</v>
      </c>
      <c r="BP118" t="str">
        <f t="shared" si="3"/>
        <v>i_118</v>
      </c>
      <c r="BQ118">
        <v>1</v>
      </c>
      <c r="BR118" t="b">
        <v>1</v>
      </c>
      <c r="BS118" t="s">
        <v>270</v>
      </c>
      <c r="BT118" t="s">
        <v>269</v>
      </c>
      <c r="BU118">
        <v>50</v>
      </c>
      <c r="BV118" t="s">
        <v>258</v>
      </c>
      <c r="BW118" t="s">
        <v>258</v>
      </c>
    </row>
    <row r="119" spans="1:75" ht="37.5" outlineLevel="1" x14ac:dyDescent="0.4">
      <c r="A119" t="str">
        <f>素材!A6</f>
        <v>白金</v>
      </c>
      <c r="B119" t="str">
        <f>IFERROR(VLOOKUP(A119,素材!$A:$O,COLUMN(素材!B$1),FALSE),"")</f>
        <v>プラチナ</v>
      </c>
      <c r="C119" s="24" t="str">
        <f>IFERROR(VLOOKUP(A119,素材!$A:$O,COLUMN(素材!M$1),FALSE),"")</f>
        <v>鉱石</v>
      </c>
      <c r="D119" s="24"/>
      <c r="E119" t="s">
        <v>190</v>
      </c>
      <c r="F119" s="1" t="str">
        <f>IFERROR(VLOOKUP(A119,素材!$A:$O,COLUMN(素材!O$1),FALSE),"")</f>
        <v>最高位の魔法文字を書くのに使用される。貴金属では最も高価値</v>
      </c>
      <c r="BL119">
        <f>IFERROR(VLOOKUP(A119,素材!$A:$O,COLUMN(素材!N$1),FALSE),"")</f>
        <v>5000</v>
      </c>
      <c r="BM119">
        <f t="shared" si="4"/>
        <v>500000</v>
      </c>
      <c r="BO119" t="str">
        <f>素材!M6&amp;".webp"</f>
        <v>鉱石.webp</v>
      </c>
      <c r="BP119" t="str">
        <f t="shared" si="3"/>
        <v>i_119</v>
      </c>
      <c r="BQ119">
        <v>1</v>
      </c>
      <c r="BR119" t="b">
        <v>1</v>
      </c>
      <c r="BS119" t="s">
        <v>267</v>
      </c>
      <c r="BT119" t="s">
        <v>266</v>
      </c>
      <c r="BU119">
        <v>100</v>
      </c>
      <c r="BV119" t="s">
        <v>258</v>
      </c>
      <c r="BW119" t="s">
        <v>258</v>
      </c>
    </row>
    <row r="120" spans="1:75" ht="37.5" outlineLevel="1" x14ac:dyDescent="0.4">
      <c r="A120" t="str">
        <f>素材!A7</f>
        <v>鉄</v>
      </c>
      <c r="B120" t="str">
        <f>IFERROR(VLOOKUP(A120,素材!$A:$O,COLUMN(素材!B$1),FALSE),"")</f>
        <v>アイアン</v>
      </c>
      <c r="C120" s="24" t="str">
        <f>IFERROR(VLOOKUP(A120,素材!$A:$O,COLUMN(素材!M$1),FALSE),"")</f>
        <v>鉱石</v>
      </c>
      <c r="D120" s="24"/>
      <c r="E120" t="s">
        <v>190</v>
      </c>
      <c r="F120" s="1" t="str">
        <f>IFERROR(VLOOKUP(A120,素材!$A:$O,COLUMN(素材!O$1),FALSE),"")</f>
        <v>一般的な鉄。量産品を作るのに使用されることが多い</v>
      </c>
      <c r="BL120">
        <f>IFERROR(VLOOKUP(A120,素材!$A:$O,COLUMN(素材!N$1),FALSE),"")</f>
        <v>200</v>
      </c>
      <c r="BM120">
        <f t="shared" si="4"/>
        <v>20000</v>
      </c>
      <c r="BO120" t="str">
        <f>素材!M7&amp;".webp"</f>
        <v>鉱石.webp</v>
      </c>
      <c r="BP120" t="str">
        <f t="shared" si="3"/>
        <v>i_120</v>
      </c>
    </row>
    <row r="121" spans="1:75" ht="37.5" outlineLevel="1" x14ac:dyDescent="0.4">
      <c r="A121" t="str">
        <f>素材!A8</f>
        <v>鋼</v>
      </c>
      <c r="B121" t="str">
        <f>IFERROR(VLOOKUP(A121,素材!$A:$O,COLUMN(素材!B$1),FALSE),"")</f>
        <v>スチール</v>
      </c>
      <c r="C121" s="24" t="str">
        <f>IFERROR(VLOOKUP(A121,素材!$A:$O,COLUMN(素材!M$1),FALSE),"")</f>
        <v>鉱石</v>
      </c>
      <c r="D121" s="24"/>
      <c r="E121" t="s">
        <v>190</v>
      </c>
      <c r="F121" s="1" t="str">
        <f>IFERROR(VLOOKUP(A121,素材!$A:$O,COLUMN(素材!O$1),FALSE),"")</f>
        <v>鍛えられた鉄。硬度が高く安価なためよく使用される。</v>
      </c>
      <c r="BL121">
        <f>IFERROR(VLOOKUP(A121,素材!$A:$O,COLUMN(素材!N$1),FALSE),"")</f>
        <v>450</v>
      </c>
      <c r="BM121">
        <f t="shared" si="4"/>
        <v>45000</v>
      </c>
      <c r="BO121" t="str">
        <f>素材!M8&amp;".webp"</f>
        <v>鉱石.webp</v>
      </c>
      <c r="BP121" t="str">
        <f t="shared" si="3"/>
        <v>i_121</v>
      </c>
    </row>
    <row r="122" spans="1:75" ht="56.25" outlineLevel="1" x14ac:dyDescent="0.4">
      <c r="A122" t="str">
        <f>素材!A9</f>
        <v>深い水晶</v>
      </c>
      <c r="B122" t="str">
        <f>IFERROR(VLOOKUP(A122,素材!$A:$O,COLUMN(素材!B$1),FALSE),"")</f>
        <v>ディープクリスタル</v>
      </c>
      <c r="C122" s="24" t="str">
        <f>IFERROR(VLOOKUP(A122,素材!$A:$O,COLUMN(素材!M$1),FALSE),"")</f>
        <v>水晶</v>
      </c>
      <c r="D122" s="24"/>
      <c r="E122" t="s">
        <v>190</v>
      </c>
      <c r="F122" s="1" t="str">
        <f>IFERROR(VLOOKUP(A122,素材!$A:$O,COLUMN(素材!O$1),FALSE),"")</f>
        <v>能力:深い水晶開放[HPを20消費して武器の威力+25]、深い水晶内包[HPを20消費して物理軽減+25上昇]</v>
      </c>
      <c r="BL122">
        <f>IFERROR(VLOOKUP(A122,素材!$A:$O,COLUMN(素材!N$1),FALSE),"")</f>
        <v>1500</v>
      </c>
      <c r="BM122">
        <f t="shared" si="4"/>
        <v>150000</v>
      </c>
      <c r="BO122" t="str">
        <f>素材!M9&amp;".webp"</f>
        <v>水晶.webp</v>
      </c>
      <c r="BP122" t="str">
        <f t="shared" si="3"/>
        <v>i_122</v>
      </c>
    </row>
    <row r="123" spans="1:75" outlineLevel="1" x14ac:dyDescent="0.4">
      <c r="A123" t="str">
        <f>素材!A10</f>
        <v>黒鋼鉄</v>
      </c>
      <c r="B123" t="str">
        <f>IFERROR(VLOOKUP(A123,素材!$A:$O,COLUMN(素材!B$1),FALSE),"")</f>
        <v>ブラックスティール</v>
      </c>
      <c r="C123" s="24" t="str">
        <f>IFERROR(VLOOKUP(A123,素材!$A:$O,COLUMN(素材!M$1),FALSE),"")</f>
        <v>鉱石</v>
      </c>
      <c r="D123" s="24"/>
      <c r="E123" t="s">
        <v>190</v>
      </c>
      <c r="F123" s="1">
        <f>IFERROR(VLOOKUP(A123,素材!$A:$O,COLUMN(素材!O$1),FALSE),"")</f>
        <v>0</v>
      </c>
      <c r="BL123">
        <f>IFERROR(VLOOKUP(A123,素材!$A:$O,COLUMN(素材!N$1),FALSE),"")</f>
        <v>1500</v>
      </c>
      <c r="BM123">
        <f t="shared" si="4"/>
        <v>150000</v>
      </c>
      <c r="BO123" t="str">
        <f>素材!M10&amp;".webp"</f>
        <v>鉱石.webp</v>
      </c>
      <c r="BP123" t="str">
        <f t="shared" si="3"/>
        <v>i_123</v>
      </c>
    </row>
    <row r="124" spans="1:75" outlineLevel="1" x14ac:dyDescent="0.4">
      <c r="A124" t="str">
        <f>素材!A11</f>
        <v>冷気鉄</v>
      </c>
      <c r="B124" t="str">
        <f>IFERROR(VLOOKUP(A124,素材!$A:$O,COLUMN(素材!B$1),FALSE),"")</f>
        <v>ドゥララン</v>
      </c>
      <c r="C124" s="24" t="str">
        <f>IFERROR(VLOOKUP(A124,素材!$A:$O,COLUMN(素材!M$1),FALSE),"")</f>
        <v>鉱石</v>
      </c>
      <c r="D124" s="24"/>
      <c r="E124" t="s">
        <v>190</v>
      </c>
      <c r="F124" s="1">
        <f>IFERROR(VLOOKUP(A124,素材!$A:$O,COLUMN(素材!O$1),FALSE),"")</f>
        <v>0</v>
      </c>
      <c r="BL124">
        <f>IFERROR(VLOOKUP(A124,素材!$A:$O,COLUMN(素材!N$1),FALSE),"")</f>
        <v>1500</v>
      </c>
      <c r="BM124">
        <f t="shared" si="4"/>
        <v>150000</v>
      </c>
      <c r="BO124" t="str">
        <f>素材!M11&amp;".webp"</f>
        <v>鉱石.webp</v>
      </c>
      <c r="BP124" t="str">
        <f t="shared" si="3"/>
        <v>i_124</v>
      </c>
    </row>
    <row r="125" spans="1:75" outlineLevel="1" x14ac:dyDescent="0.4">
      <c r="A125" t="str">
        <f>素材!A12</f>
        <v>熱鉄</v>
      </c>
      <c r="B125" t="str">
        <f>IFERROR(VLOOKUP(A125,素材!$A:$O,COLUMN(素材!B$1),FALSE),"")</f>
        <v>ヒートスティール</v>
      </c>
      <c r="C125" s="24" t="str">
        <f>IFERROR(VLOOKUP(A125,素材!$A:$O,COLUMN(素材!M$1),FALSE),"")</f>
        <v>鉱石</v>
      </c>
      <c r="D125" s="24"/>
      <c r="E125" t="s">
        <v>190</v>
      </c>
      <c r="F125" s="1">
        <f>IFERROR(VLOOKUP(A125,素材!$A:$O,COLUMN(素材!O$1),FALSE),"")</f>
        <v>0</v>
      </c>
      <c r="BL125">
        <f>IFERROR(VLOOKUP(A125,素材!$A:$O,COLUMN(素材!N$1),FALSE),"")</f>
        <v>1500</v>
      </c>
      <c r="BM125">
        <f t="shared" si="4"/>
        <v>150000</v>
      </c>
      <c r="BO125" t="str">
        <f>素材!M12&amp;".webp"</f>
        <v>鉱石.webp</v>
      </c>
      <c r="BP125" t="str">
        <f t="shared" si="3"/>
        <v>i_125</v>
      </c>
    </row>
    <row r="126" spans="1:75" outlineLevel="1" x14ac:dyDescent="0.4">
      <c r="A126" t="str">
        <f>素材!A13</f>
        <v>滅鉄柱</v>
      </c>
      <c r="B126" t="str">
        <f>IFERROR(VLOOKUP(A126,素材!$A:$O,COLUMN(素材!B$1),FALSE),"")</f>
        <v>ネロスティール</v>
      </c>
      <c r="C126" s="24" t="str">
        <f>IFERROR(VLOOKUP(A126,素材!$A:$O,COLUMN(素材!M$1),FALSE),"")</f>
        <v>鉱石</v>
      </c>
      <c r="D126" s="24"/>
      <c r="E126" t="s">
        <v>190</v>
      </c>
      <c r="F126" s="1">
        <f>IFERROR(VLOOKUP(A126,素材!$A:$O,COLUMN(素材!O$1),FALSE),"")</f>
        <v>0</v>
      </c>
      <c r="BL126">
        <f>IFERROR(VLOOKUP(A126,素材!$A:$O,COLUMN(素材!N$1),FALSE),"")</f>
        <v>1500</v>
      </c>
      <c r="BM126">
        <f t="shared" si="4"/>
        <v>150000</v>
      </c>
      <c r="BO126" t="str">
        <f>素材!M13&amp;".webp"</f>
        <v>鉱石.webp</v>
      </c>
      <c r="BP126" t="str">
        <f t="shared" si="3"/>
        <v>i_126</v>
      </c>
    </row>
    <row r="127" spans="1:75" ht="56.25" outlineLevel="1" x14ac:dyDescent="0.4">
      <c r="A127" t="str">
        <f>素材!A14</f>
        <v>水晶鉄</v>
      </c>
      <c r="B127" t="str">
        <f>IFERROR(VLOOKUP(A127,素材!$A:$O,COLUMN(素材!B$1),FALSE),"")</f>
        <v>クリスタルスティール</v>
      </c>
      <c r="C127" s="24" t="str">
        <f>IFERROR(VLOOKUP(A127,素材!$A:$O,COLUMN(素材!M$1),FALSE),"")</f>
        <v>水晶</v>
      </c>
      <c r="D127" s="24"/>
      <c r="E127" t="s">
        <v>190</v>
      </c>
      <c r="F127" s="1" t="str">
        <f>IFERROR(VLOOKUP(A127,素材!$A:$O,COLUMN(素材!O$1),FALSE),"")</f>
        <v>水晶と鉄が融合した素材。武器に使用すると魔法効果が高まり、防具に使用すると魔法防御力が強化される。</v>
      </c>
      <c r="BL127">
        <f>IFERROR(VLOOKUP(A127,素材!$A:$O,COLUMN(素材!N$1),FALSE),"")</f>
        <v>1500</v>
      </c>
      <c r="BM127">
        <f t="shared" si="4"/>
        <v>150000</v>
      </c>
      <c r="BO127" t="str">
        <f>素材!M14&amp;".webp"</f>
        <v>水晶.webp</v>
      </c>
      <c r="BP127" t="str">
        <f t="shared" si="3"/>
        <v>i_127</v>
      </c>
    </row>
    <row r="128" spans="1:75" outlineLevel="1" x14ac:dyDescent="0.4">
      <c r="A128" t="str">
        <f>素材!A15</f>
        <v>幽鉄</v>
      </c>
      <c r="B128" t="str">
        <f>IFERROR(VLOOKUP(A128,素材!$A:$O,COLUMN(素材!B$1),FALSE),"")</f>
        <v>セレン</v>
      </c>
      <c r="C128" s="24" t="str">
        <f>IFERROR(VLOOKUP(A128,素材!$A:$O,COLUMN(素材!M$1),FALSE),"")</f>
        <v>鉱石</v>
      </c>
      <c r="D128" s="24"/>
      <c r="E128" t="s">
        <v>190</v>
      </c>
      <c r="F128" s="1">
        <f>IFERROR(VLOOKUP(A128,素材!$A:$O,COLUMN(素材!O$1),FALSE),"")</f>
        <v>0</v>
      </c>
      <c r="BL128">
        <f>IFERROR(VLOOKUP(A128,素材!$A:$O,COLUMN(素材!N$1),FALSE),"")</f>
        <v>2000</v>
      </c>
      <c r="BM128">
        <f t="shared" si="4"/>
        <v>200000</v>
      </c>
      <c r="BO128" t="str">
        <f>素材!M15&amp;".webp"</f>
        <v>鉱石.webp</v>
      </c>
      <c r="BP128" t="str">
        <f t="shared" si="3"/>
        <v>i_128</v>
      </c>
    </row>
    <row r="129" spans="1:68" outlineLevel="1" x14ac:dyDescent="0.4">
      <c r="A129" t="str">
        <f>素材!A16</f>
        <v>善の鉄</v>
      </c>
      <c r="B129" t="str">
        <f>IFERROR(VLOOKUP(A129,素材!$A:$O,COLUMN(素材!B$1),FALSE),"")</f>
        <v>フリスタリン</v>
      </c>
      <c r="C129" s="24" t="str">
        <f>IFERROR(VLOOKUP(A129,素材!$A:$O,COLUMN(素材!M$1),FALSE),"")</f>
        <v>鉱石</v>
      </c>
      <c r="D129" s="24"/>
      <c r="E129" t="s">
        <v>190</v>
      </c>
      <c r="F129" s="1">
        <f>IFERROR(VLOOKUP(A129,素材!$A:$O,COLUMN(素材!O$1),FALSE),"")</f>
        <v>0</v>
      </c>
      <c r="BL129">
        <f>IFERROR(VLOOKUP(A129,素材!$A:$O,COLUMN(素材!N$1),FALSE),"")</f>
        <v>2000</v>
      </c>
      <c r="BM129">
        <f t="shared" si="4"/>
        <v>200000</v>
      </c>
      <c r="BO129" t="str">
        <f>素材!M16&amp;".webp"</f>
        <v>鉱石.webp</v>
      </c>
      <c r="BP129" t="str">
        <f t="shared" si="3"/>
        <v>i_129</v>
      </c>
    </row>
    <row r="130" spans="1:68" outlineLevel="1" x14ac:dyDescent="0.4">
      <c r="A130" t="str">
        <f>素材!A17</f>
        <v>悪の鉄</v>
      </c>
      <c r="B130" t="str">
        <f>IFERROR(VLOOKUP(A130,素材!$A:$O,COLUMN(素材!B$1),FALSE),"")</f>
        <v>エルスタリン</v>
      </c>
      <c r="C130" s="24" t="str">
        <f>IFERROR(VLOOKUP(A130,素材!$A:$O,COLUMN(素材!M$1),FALSE),"")</f>
        <v>鉱石</v>
      </c>
      <c r="D130" s="24"/>
      <c r="E130" t="s">
        <v>190</v>
      </c>
      <c r="F130" s="1">
        <f>IFERROR(VLOOKUP(A130,素材!$A:$O,COLUMN(素材!O$1),FALSE),"")</f>
        <v>0</v>
      </c>
      <c r="BL130">
        <f>IFERROR(VLOOKUP(A130,素材!$A:$O,COLUMN(素材!N$1),FALSE),"")</f>
        <v>2000</v>
      </c>
      <c r="BM130">
        <f t="shared" si="4"/>
        <v>200000</v>
      </c>
      <c r="BO130" t="str">
        <f>素材!M17&amp;".webp"</f>
        <v>鉱石.webp</v>
      </c>
      <c r="BP130" t="str">
        <f t="shared" si="3"/>
        <v>i_130</v>
      </c>
    </row>
    <row r="131" spans="1:68" outlineLevel="1" x14ac:dyDescent="0.4">
      <c r="A131" t="str">
        <f>素材!A18</f>
        <v>溶鉄</v>
      </c>
      <c r="B131" t="str">
        <f>IFERROR(VLOOKUP(A131,素材!$A:$O,COLUMN(素材!B$1),FALSE),"")</f>
        <v>マグマログ</v>
      </c>
      <c r="C131" s="24" t="str">
        <f>IFERROR(VLOOKUP(A131,素材!$A:$O,COLUMN(素材!M$1),FALSE),"")</f>
        <v>鉱石</v>
      </c>
      <c r="D131" s="24"/>
      <c r="E131" t="s">
        <v>190</v>
      </c>
      <c r="F131" s="1">
        <f>IFERROR(VLOOKUP(A131,素材!$A:$O,COLUMN(素材!O$1),FALSE),"")</f>
        <v>0</v>
      </c>
      <c r="BL131">
        <f>IFERROR(VLOOKUP(A131,素材!$A:$O,COLUMN(素材!N$1),FALSE),"")</f>
        <v>3500</v>
      </c>
      <c r="BM131">
        <f t="shared" si="4"/>
        <v>350000</v>
      </c>
      <c r="BO131" t="str">
        <f>素材!M18&amp;".webp"</f>
        <v>鉱石.webp</v>
      </c>
      <c r="BP131" t="str">
        <f t="shared" si="3"/>
        <v>i_131</v>
      </c>
    </row>
    <row r="132" spans="1:68" outlineLevel="1" x14ac:dyDescent="0.4">
      <c r="A132" t="str">
        <f>素材!A22</f>
        <v>金鉄</v>
      </c>
      <c r="B132" t="str">
        <f>IFERROR(VLOOKUP(A132,素材!$A:$O,COLUMN(素材!B$1),FALSE),"")</f>
        <v>オリハルコン</v>
      </c>
      <c r="C132" s="24" t="str">
        <f>IFERROR(VLOOKUP(A132,素材!$A:$O,COLUMN(素材!M$1),FALSE),"")</f>
        <v>鉱石</v>
      </c>
      <c r="D132" s="24"/>
      <c r="E132" t="s">
        <v>190</v>
      </c>
      <c r="F132" s="1">
        <f>IFERROR(VLOOKUP(A132,素材!$A:$O,COLUMN(素材!O$1),FALSE),"")</f>
        <v>0</v>
      </c>
      <c r="BL132">
        <f>IFERROR(VLOOKUP(A132,素材!$A:$O,COLUMN(素材!N$1),FALSE),"")</f>
        <v>4500</v>
      </c>
      <c r="BM132">
        <f t="shared" si="4"/>
        <v>450000</v>
      </c>
      <c r="BO132" t="str">
        <f>素材!M19&amp;".webp"</f>
        <v>水晶.webp</v>
      </c>
      <c r="BP132" t="str">
        <f t="shared" si="3"/>
        <v>i_132</v>
      </c>
    </row>
    <row r="133" spans="1:68" outlineLevel="1" x14ac:dyDescent="0.4">
      <c r="A133" t="str">
        <f>素材!A23</f>
        <v>黒鉄</v>
      </c>
      <c r="B133" t="str">
        <f>IFERROR(VLOOKUP(A133,素材!$A:$O,COLUMN(素材!B$1),FALSE),"")</f>
        <v>アダマンタイト</v>
      </c>
      <c r="C133" s="24" t="str">
        <f>IFERROR(VLOOKUP(A133,素材!$A:$O,COLUMN(素材!M$1),FALSE),"")</f>
        <v>鉱石</v>
      </c>
      <c r="D133" s="24"/>
      <c r="E133" t="s">
        <v>190</v>
      </c>
      <c r="F133" s="1">
        <f>IFERROR(VLOOKUP(A133,素材!$A:$O,COLUMN(素材!O$1),FALSE),"")</f>
        <v>0</v>
      </c>
      <c r="BL133">
        <f>IFERROR(VLOOKUP(A133,素材!$A:$O,COLUMN(素材!N$1),FALSE),"")</f>
        <v>5000</v>
      </c>
      <c r="BM133">
        <f t="shared" si="4"/>
        <v>500000</v>
      </c>
      <c r="BO133" t="str">
        <f>素材!M21&amp;".webp"</f>
        <v>鉱石.webp</v>
      </c>
      <c r="BP133" t="str">
        <f t="shared" ref="BP133:BP196" si="5">"i_"&amp;ROW(BP133)</f>
        <v>i_133</v>
      </c>
    </row>
    <row r="134" spans="1:68" outlineLevel="1" x14ac:dyDescent="0.4">
      <c r="A134" t="str">
        <f>素材!A24</f>
        <v>銀鋼</v>
      </c>
      <c r="B134" t="str">
        <f>IFERROR(VLOOKUP(A134,素材!$A:$O,COLUMN(素材!B$1),FALSE),"")</f>
        <v>シルバーメタル</v>
      </c>
      <c r="C134" s="24" t="str">
        <f>IFERROR(VLOOKUP(A134,素材!$A:$O,COLUMN(素材!M$1),FALSE),"")</f>
        <v>鉱石</v>
      </c>
      <c r="D134" s="24"/>
      <c r="E134" t="s">
        <v>190</v>
      </c>
      <c r="F134" s="1">
        <f>IFERROR(VLOOKUP(A134,素材!$A:$O,COLUMN(素材!O$1),FALSE),"")</f>
        <v>0</v>
      </c>
      <c r="BL134">
        <f>IFERROR(VLOOKUP(A134,素材!$A:$O,COLUMN(素材!N$1),FALSE),"")</f>
        <v>8000</v>
      </c>
      <c r="BM134">
        <f t="shared" ref="BM134:BM197" si="6">BL134*100</f>
        <v>800000</v>
      </c>
      <c r="BO134" t="str">
        <f>素材!M22&amp;".webp"</f>
        <v>鉱石.webp</v>
      </c>
      <c r="BP134" t="str">
        <f t="shared" si="5"/>
        <v>i_134</v>
      </c>
    </row>
    <row r="135" spans="1:68" outlineLevel="1" x14ac:dyDescent="0.4">
      <c r="A135" t="str">
        <f>素材!A25</f>
        <v>金鋼</v>
      </c>
      <c r="B135" t="str">
        <f>IFERROR(VLOOKUP(A135,素材!$A:$O,COLUMN(素材!B$1),FALSE),"")</f>
        <v>ゴールドメタル</v>
      </c>
      <c r="C135" s="24" t="str">
        <f>IFERROR(VLOOKUP(A135,素材!$A:$O,COLUMN(素材!M$1),FALSE),"")</f>
        <v>鉱石</v>
      </c>
      <c r="D135" s="24"/>
      <c r="E135" t="s">
        <v>190</v>
      </c>
      <c r="F135" s="1">
        <f>IFERROR(VLOOKUP(A135,素材!$A:$O,COLUMN(素材!O$1),FALSE),"")</f>
        <v>0</v>
      </c>
      <c r="BL135">
        <f>IFERROR(VLOOKUP(A135,素材!$A:$O,COLUMN(素材!N$1),FALSE),"")</f>
        <v>9000</v>
      </c>
      <c r="BM135">
        <f t="shared" si="6"/>
        <v>900000</v>
      </c>
      <c r="BO135" t="str">
        <f>素材!M23&amp;".webp"</f>
        <v>鉱石.webp</v>
      </c>
      <c r="BP135" t="str">
        <f t="shared" si="5"/>
        <v>i_135</v>
      </c>
    </row>
    <row r="136" spans="1:68" outlineLevel="1" x14ac:dyDescent="0.4">
      <c r="A136" t="str">
        <f>素材!A26</f>
        <v>黒鋼</v>
      </c>
      <c r="B136" t="str">
        <f>IFERROR(VLOOKUP(A136,素材!$A:$O,COLUMN(素材!B$1),FALSE),"")</f>
        <v>ブラックメタル</v>
      </c>
      <c r="C136" s="24" t="str">
        <f>IFERROR(VLOOKUP(A136,素材!$A:$O,COLUMN(素材!M$1),FALSE),"")</f>
        <v>鉱石</v>
      </c>
      <c r="D136" s="24"/>
      <c r="E136" t="s">
        <v>190</v>
      </c>
      <c r="F136" s="1">
        <f>IFERROR(VLOOKUP(A136,素材!$A:$O,COLUMN(素材!O$1),FALSE),"")</f>
        <v>0</v>
      </c>
      <c r="BL136">
        <f>IFERROR(VLOOKUP(A136,素材!$A:$O,COLUMN(素材!N$1),FALSE),"")</f>
        <v>10000</v>
      </c>
      <c r="BM136">
        <f t="shared" si="6"/>
        <v>1000000</v>
      </c>
      <c r="BO136" t="str">
        <f>素材!M24&amp;".webp"</f>
        <v>鉱石.webp</v>
      </c>
      <c r="BP136" t="str">
        <f t="shared" si="5"/>
        <v>i_136</v>
      </c>
    </row>
    <row r="137" spans="1:68" outlineLevel="1" x14ac:dyDescent="0.4">
      <c r="A137" t="str">
        <f>素材!A20</f>
        <v>虚無鉱</v>
      </c>
      <c r="B137" t="str">
        <f>IFERROR(VLOOKUP(A137,素材!$A:$O,COLUMN(素材!B$1),FALSE),"")</f>
        <v>オルダーク</v>
      </c>
      <c r="C137" s="24" t="str">
        <f>IFERROR(VLOOKUP(A137,素材!$A:$O,COLUMN(素材!M$1),FALSE),"")</f>
        <v>鉱石</v>
      </c>
      <c r="D137" s="24"/>
      <c r="E137" t="s">
        <v>190</v>
      </c>
      <c r="F137" s="1">
        <f>IFERROR(VLOOKUP(A137,素材!$A:$O,COLUMN(素材!O$1),FALSE),"")</f>
        <v>0</v>
      </c>
      <c r="BL137">
        <f>IFERROR(VLOOKUP(A137,素材!$A:$O,COLUMN(素材!N$1),FALSE)/500,"")</f>
        <v>10</v>
      </c>
      <c r="BM137">
        <f t="shared" si="6"/>
        <v>1000</v>
      </c>
      <c r="BO137" t="str">
        <f>素材!M25&amp;".webp"</f>
        <v>鉱石.webp</v>
      </c>
      <c r="BP137" t="str">
        <f t="shared" si="5"/>
        <v>i_137</v>
      </c>
    </row>
    <row r="138" spans="1:68" outlineLevel="1" x14ac:dyDescent="0.4">
      <c r="A138">
        <f>素材!A30</f>
        <v>0</v>
      </c>
      <c r="B138" t="str">
        <f>IFERROR(VLOOKUP(A138,素材!$A:$O,COLUMN(素材!B$1),FALSE),"")</f>
        <v/>
      </c>
      <c r="C138" s="24" t="str">
        <f>IFERROR(VLOOKUP(A138,素材!$A:$O,COLUMN(素材!M$1),FALSE),"")</f>
        <v/>
      </c>
      <c r="D138" s="24"/>
      <c r="E138" t="s">
        <v>190</v>
      </c>
      <c r="F138" s="1" t="str">
        <f>IFERROR(VLOOKUP(A138,素材!$A:$O,COLUMN(素材!O$1),FALSE),"")</f>
        <v/>
      </c>
      <c r="BL138" t="str">
        <f>IFERROR(VLOOKUP(A138,素材!$A:$O,COLUMN(素材!N$1),FALSE)/500,"")</f>
        <v/>
      </c>
      <c r="BM138" t="e">
        <f t="shared" si="6"/>
        <v>#VALUE!</v>
      </c>
      <c r="BO138" t="str">
        <f>素材!M26&amp;".webp"</f>
        <v>鉱石.webp</v>
      </c>
      <c r="BP138" t="str">
        <f t="shared" si="5"/>
        <v>i_138</v>
      </c>
    </row>
    <row r="139" spans="1:68" outlineLevel="1" x14ac:dyDescent="0.4">
      <c r="A139" t="str">
        <f>素材!A31</f>
        <v>名前</v>
      </c>
      <c r="B139" t="str">
        <f>IFERROR(VLOOKUP(A139,素材!$A:$O,COLUMN(素材!B$1),FALSE),"")</f>
        <v>英名</v>
      </c>
      <c r="C139" s="24" t="str">
        <f>IFERROR(VLOOKUP(A139,素材!$A:$O,COLUMN(素材!M$1),FALSE),"")</f>
        <v>種別</v>
      </c>
      <c r="D139" s="24"/>
      <c r="E139" t="s">
        <v>190</v>
      </c>
      <c r="F139" s="1" t="str">
        <f>IFERROR(VLOOKUP(A139,素材!$A:$O,COLUMN(素材!O$1),FALSE),"")</f>
        <v>説明</v>
      </c>
      <c r="BL139" t="str">
        <f>IFERROR(VLOOKUP(A139,素材!$A:$O,COLUMN(素材!N$1),FALSE)/500,"")</f>
        <v/>
      </c>
      <c r="BM139" t="e">
        <f t="shared" si="6"/>
        <v>#VALUE!</v>
      </c>
      <c r="BO139" t="str">
        <f>素材!M20&amp;".webp"</f>
        <v>鉱石.webp</v>
      </c>
      <c r="BP139" t="str">
        <f t="shared" si="5"/>
        <v>i_139</v>
      </c>
    </row>
    <row r="140" spans="1:68" ht="56.25" outlineLevel="1" x14ac:dyDescent="0.4">
      <c r="A140" t="str">
        <f>素材!A32</f>
        <v>皮</v>
      </c>
      <c r="B140" t="str">
        <f>IFERROR(VLOOKUP(A140,素材!$A:$O,COLUMN(素材!B$1),FALSE),"")</f>
        <v>レザー</v>
      </c>
      <c r="C140" s="24" t="str">
        <f>IFERROR(VLOOKUP(A140,素材!$A:$O,COLUMN(素材!M$1),FALSE),"")</f>
        <v>皮</v>
      </c>
      <c r="D140" s="24"/>
      <c r="E140" t="s">
        <v>190</v>
      </c>
      <c r="F140" s="1" t="str">
        <f>IFERROR(VLOOKUP(A140,素材!$A:$O,COLUMN(素材!O$1),FALSE),"")</f>
        <v>一般的な皮素材で、防具や軽量装備の材料として最適です。耐久性は高くありませんが、軽量で扱いやすい点が特徴です。</v>
      </c>
      <c r="BL140">
        <f>IFERROR(VLOOKUP(A140,素材!$A:$O,COLUMN(素材!N$1),FALSE)/500,"")</f>
        <v>0.2</v>
      </c>
      <c r="BM140">
        <f t="shared" si="6"/>
        <v>20</v>
      </c>
      <c r="BO140" t="str">
        <f>素材!M30&amp;".webp"</f>
        <v>.webp</v>
      </c>
      <c r="BP140" t="str">
        <f t="shared" si="5"/>
        <v>i_140</v>
      </c>
    </row>
    <row r="141" spans="1:68" ht="56.25" outlineLevel="1" x14ac:dyDescent="0.4">
      <c r="A141" t="str">
        <f>素材!A33</f>
        <v>獣皮</v>
      </c>
      <c r="B141" t="str">
        <f>IFERROR(VLOOKUP(A141,素材!$A:$O,COLUMN(素材!B$1),FALSE),"")</f>
        <v>ビーストレザー</v>
      </c>
      <c r="C141" s="24" t="str">
        <f>IFERROR(VLOOKUP(A141,素材!$A:$O,COLUMN(素材!M$1),FALSE),"")</f>
        <v>皮</v>
      </c>
      <c r="D141" s="24"/>
      <c r="E141" t="s">
        <v>190</v>
      </c>
      <c r="F141" s="1" t="str">
        <f>IFERROR(VLOOKUP(A141,素材!$A:$O,COLUMN(素材!O$1),FALSE),"")</f>
        <v>野生動物から得られる丈夫な皮素材。皮装備の性能を向上させ、基本的な防護性能を備えています。</v>
      </c>
      <c r="BM141">
        <f t="shared" si="6"/>
        <v>0</v>
      </c>
      <c r="BO141" t="str">
        <f>素材!M31&amp;".webp"</f>
        <v>種別.webp</v>
      </c>
      <c r="BP141" t="str">
        <f t="shared" si="5"/>
        <v>i_141</v>
      </c>
    </row>
    <row r="142" spans="1:68" ht="56.25" outlineLevel="1" x14ac:dyDescent="0.4">
      <c r="A142" t="str">
        <f>素材!A34</f>
        <v>軽皮</v>
      </c>
      <c r="B142" t="str">
        <f>IFERROR(VLOOKUP(A142,素材!$A:$O,COLUMN(素材!B$1),FALSE),"")</f>
        <v>ライトレザー</v>
      </c>
      <c r="C142" s="24" t="str">
        <f>IFERROR(VLOOKUP(A142,素材!$A:$O,COLUMN(素材!M$1),FALSE),"")</f>
        <v>皮</v>
      </c>
      <c r="D142" s="24"/>
      <c r="E142" t="s">
        <v>190</v>
      </c>
      <c r="F142" s="1" t="str">
        <f>IFERROR(VLOOKUP(A142,素材!$A:$O,COLUMN(素材!O$1),FALSE),"")</f>
        <v>高品質な加工を施した軽量の皮素材。軽量化により動きやすさを確保しつつ、適度な防御力を提供します。</v>
      </c>
      <c r="BM142">
        <f t="shared" si="6"/>
        <v>0</v>
      </c>
      <c r="BO142" t="str">
        <f>素材!M32&amp;".webp"</f>
        <v>皮.webp</v>
      </c>
      <c r="BP142" t="str">
        <f t="shared" si="5"/>
        <v>i_142</v>
      </c>
    </row>
    <row r="143" spans="1:68" ht="56.25" outlineLevel="1" x14ac:dyDescent="0.4">
      <c r="A143" t="str">
        <f>素材!A35</f>
        <v>魔獣皮</v>
      </c>
      <c r="B143" t="str">
        <f>IFERROR(VLOOKUP(A143,素材!$A:$O,COLUMN(素材!B$1),FALSE),"")</f>
        <v>マジックレザー</v>
      </c>
      <c r="C143" s="24" t="str">
        <f>IFERROR(VLOOKUP(A143,素材!$A:$O,COLUMN(素材!M$1),FALSE),"")</f>
        <v>皮</v>
      </c>
      <c r="D143" s="24"/>
      <c r="E143" t="s">
        <v>190</v>
      </c>
      <c r="F143" s="1" t="str">
        <f>IFERROR(VLOOKUP(A143,素材!$A:$O,COLUMN(素材!O$1),FALSE),"")</f>
        <v>魔力を帯びた特殊な皮素材。魔法防御や属性耐性を強化する効果があり、高レベルの冒険者に重宝されます。</v>
      </c>
      <c r="BM143">
        <f t="shared" si="6"/>
        <v>0</v>
      </c>
      <c r="BO143" t="str">
        <f>素材!M33&amp;".webp"</f>
        <v>皮.webp</v>
      </c>
      <c r="BP143" t="str">
        <f t="shared" si="5"/>
        <v>i_143</v>
      </c>
    </row>
    <row r="144" spans="1:68" ht="56.25" outlineLevel="1" x14ac:dyDescent="0.4">
      <c r="A144" t="str">
        <f>素材!A36</f>
        <v>炎蜥蜴の鱗</v>
      </c>
      <c r="B144" t="str">
        <f>IFERROR(VLOOKUP(A144,素材!$A:$O,COLUMN(素材!B$1),FALSE),"")</f>
        <v>ファイアドレイクスケール</v>
      </c>
      <c r="C144" s="24" t="str">
        <f>IFERROR(VLOOKUP(A144,素材!$A:$O,COLUMN(素材!M$1),FALSE),"")</f>
        <v>鱗</v>
      </c>
      <c r="D144" s="24"/>
      <c r="E144" t="s">
        <v>190</v>
      </c>
      <c r="F144" s="1" t="str">
        <f>IFERROR(VLOOKUP(A144,素材!$A:$O,COLUMN(素材!O$1),FALSE),"")</f>
        <v>炎属性を持つドラゴン型生物から採取される鱗素材。強力な炎属性防御を備えており、耐熱性が求められる場面で特に有用です。</v>
      </c>
      <c r="BM144">
        <f t="shared" si="6"/>
        <v>0</v>
      </c>
      <c r="BO144" t="str">
        <f>素材!M34&amp;".webp"</f>
        <v>皮.webp</v>
      </c>
      <c r="BP144" t="str">
        <f t="shared" si="5"/>
        <v>i_144</v>
      </c>
    </row>
    <row r="145" spans="1:68" ht="56.25" outlineLevel="1" x14ac:dyDescent="0.4">
      <c r="A145" t="str">
        <f>素材!A37</f>
        <v>氷蜥蜴の鱗</v>
      </c>
      <c r="B145" t="str">
        <f>IFERROR(VLOOKUP(A145,素材!$A:$O,COLUMN(素材!B$1),FALSE),"")</f>
        <v>アイスドレイクスケール</v>
      </c>
      <c r="C145" s="24" t="str">
        <f>IFERROR(VLOOKUP(A145,素材!$A:$O,COLUMN(素材!M$1),FALSE),"")</f>
        <v>鱗</v>
      </c>
      <c r="D145" s="24"/>
      <c r="E145" t="s">
        <v>190</v>
      </c>
      <c r="F145" s="1" t="str">
        <f>IFERROR(VLOOKUP(A145,素材!$A:$O,COLUMN(素材!O$1),FALSE),"")</f>
        <v>氷属性を持つドラゴン型生物から採取される鱗素材。極寒の環境や冷気攻撃への対策として優れた性能を発揮します。</v>
      </c>
      <c r="BM145">
        <f t="shared" si="6"/>
        <v>0</v>
      </c>
      <c r="BO145" t="str">
        <f>素材!M35&amp;".webp"</f>
        <v>皮.webp</v>
      </c>
      <c r="BP145" t="str">
        <f t="shared" si="5"/>
        <v>i_145</v>
      </c>
    </row>
    <row r="146" spans="1:68" ht="56.25" outlineLevel="1" x14ac:dyDescent="0.4">
      <c r="A146" t="str">
        <f>素材!A38</f>
        <v>雷蜥蜴の鱗</v>
      </c>
      <c r="B146" t="str">
        <f>IFERROR(VLOOKUP(A146,素材!$A:$O,COLUMN(素材!B$1),FALSE),"")</f>
        <v>サンダードレイクスケール</v>
      </c>
      <c r="C146" s="24" t="str">
        <f>IFERROR(VLOOKUP(A146,素材!$A:$O,COLUMN(素材!M$1),FALSE),"")</f>
        <v>鱗</v>
      </c>
      <c r="D146" s="24"/>
      <c r="E146" t="s">
        <v>190</v>
      </c>
      <c r="F146" s="1" t="str">
        <f>IFERROR(VLOOKUP(A146,素材!$A:$O,COLUMN(素材!O$1),FALSE),"")</f>
        <v>雷属性を持つドラゴン型生物から採取される鱗素材。雷属性攻撃への耐性を強化し、武器の電撃効果を高めることも可能です。</v>
      </c>
      <c r="BM146">
        <f t="shared" si="6"/>
        <v>0</v>
      </c>
      <c r="BO146" t="str">
        <f>素材!M36&amp;".webp"</f>
        <v>鱗.webp</v>
      </c>
      <c r="BP146" t="str">
        <f t="shared" si="5"/>
        <v>i_146</v>
      </c>
    </row>
    <row r="147" spans="1:68" ht="75" outlineLevel="1" x14ac:dyDescent="0.4">
      <c r="A147" t="str">
        <f>素材!A39</f>
        <v>酸蜥蜴の鱗</v>
      </c>
      <c r="B147" t="str">
        <f>IFERROR(VLOOKUP(A147,素材!$A:$O,COLUMN(素材!B$1),FALSE),"")</f>
        <v>アシッドドレイクスケール</v>
      </c>
      <c r="C147" s="24" t="str">
        <f>IFERROR(VLOOKUP(A147,素材!$A:$O,COLUMN(素材!M$1),FALSE),"")</f>
        <v>鱗</v>
      </c>
      <c r="D147" s="24"/>
      <c r="E147" t="s">
        <v>190</v>
      </c>
      <c r="F147" s="1" t="str">
        <f>IFERROR(VLOOKUP(A147,素材!$A:$O,COLUMN(素材!O$1),FALSE),"")</f>
        <v>酸性の体液を持つドラゴン型生物から採取される鱗素材。特殊な酸属性耐性を提供し、毒性や腐食性のある環境に適した防具の製作に適しています。</v>
      </c>
      <c r="BM147">
        <f t="shared" si="6"/>
        <v>0</v>
      </c>
      <c r="BO147" t="str">
        <f>素材!M37&amp;".webp"</f>
        <v>鱗.webp</v>
      </c>
      <c r="BP147" t="str">
        <f t="shared" si="5"/>
        <v>i_147</v>
      </c>
    </row>
    <row r="148" spans="1:68" ht="75" outlineLevel="1" x14ac:dyDescent="0.4">
      <c r="A148" t="str">
        <f>素材!A40</f>
        <v>影蜥蜴の鱗</v>
      </c>
      <c r="B148" t="str">
        <f>IFERROR(VLOOKUP(A148,素材!$A:$O,COLUMN(素材!B$1),FALSE),"")</f>
        <v>シャドウスケール</v>
      </c>
      <c r="C148" s="24" t="str">
        <f>IFERROR(VLOOKUP(A148,素材!$A:$O,COLUMN(素材!M$1),FALSE),"")</f>
        <v>鱗</v>
      </c>
      <c r="D148" s="24"/>
      <c r="E148" t="s">
        <v>190</v>
      </c>
      <c r="F148" s="1" t="str">
        <f>IFERROR(VLOOKUP(A148,素材!$A:$O,COLUMN(素材!O$1),FALSE),"")</f>
        <v>酸性の体液を持つドラゴン型生物から採取される鱗素材。特殊な酸属性耐性を提供し、毒性や腐食性のある環境に適した防具の製作に適しています。</v>
      </c>
      <c r="BM148">
        <f t="shared" si="6"/>
        <v>0</v>
      </c>
      <c r="BO148" t="str">
        <f>素材!M38&amp;".webp"</f>
        <v>鱗.webp</v>
      </c>
      <c r="BP148" t="str">
        <f t="shared" si="5"/>
        <v>i_148</v>
      </c>
    </row>
    <row r="149" spans="1:68" outlineLevel="1" x14ac:dyDescent="0.4">
      <c r="A149">
        <f>素材!A41</f>
        <v>0</v>
      </c>
      <c r="B149" t="str">
        <f>IFERROR(VLOOKUP(A149,素材!$A:$O,COLUMN(素材!B$1),FALSE),"")</f>
        <v/>
      </c>
      <c r="C149" s="24" t="str">
        <f>IFERROR(VLOOKUP(A149,素材!$A:$O,COLUMN(素材!M$1),FALSE),"")</f>
        <v/>
      </c>
      <c r="D149" s="24"/>
      <c r="E149" t="s">
        <v>190</v>
      </c>
      <c r="F149" s="1" t="str">
        <f>IFERROR(VLOOKUP(A149,素材!$A:$O,COLUMN(素材!O$1),FALSE),"")</f>
        <v/>
      </c>
      <c r="BM149">
        <f t="shared" si="6"/>
        <v>0</v>
      </c>
      <c r="BO149" t="str">
        <f>素材!M39&amp;".webp"</f>
        <v>鱗.webp</v>
      </c>
      <c r="BP149" t="str">
        <f t="shared" si="5"/>
        <v>i_149</v>
      </c>
    </row>
    <row r="150" spans="1:68" outlineLevel="1" x14ac:dyDescent="0.4">
      <c r="A150">
        <f>素材!A42</f>
        <v>0</v>
      </c>
      <c r="B150" t="str">
        <f>IFERROR(VLOOKUP(A150,素材!$A:$O,COLUMN(素材!B$1),FALSE),"")</f>
        <v/>
      </c>
      <c r="C150" s="24" t="str">
        <f>IFERROR(VLOOKUP(A150,素材!$A:$O,COLUMN(素材!M$1),FALSE),"")</f>
        <v/>
      </c>
      <c r="D150" s="24"/>
      <c r="E150" t="s">
        <v>190</v>
      </c>
      <c r="F150" s="1" t="str">
        <f>IFERROR(VLOOKUP(A150,素材!$A:$O,COLUMN(素材!O$1),FALSE),"")</f>
        <v/>
      </c>
      <c r="BM150">
        <f t="shared" si="6"/>
        <v>0</v>
      </c>
      <c r="BO150" t="str">
        <f>素材!M40&amp;".webp"</f>
        <v>鱗.webp</v>
      </c>
      <c r="BP150" t="str">
        <f t="shared" si="5"/>
        <v>i_150</v>
      </c>
    </row>
    <row r="151" spans="1:68" outlineLevel="1" x14ac:dyDescent="0.4">
      <c r="A151">
        <f>素材!A43</f>
        <v>0</v>
      </c>
      <c r="B151" t="str">
        <f>IFERROR(VLOOKUP(A151,素材!$A:$O,COLUMN(素材!B$1),FALSE),"")</f>
        <v/>
      </c>
      <c r="C151" s="24" t="str">
        <f>IFERROR(VLOOKUP(A151,素材!$A:$O,COLUMN(素材!M$1),FALSE),"")</f>
        <v/>
      </c>
      <c r="D151" s="24"/>
      <c r="E151" t="s">
        <v>190</v>
      </c>
      <c r="F151" s="1" t="str">
        <f>IFERROR(VLOOKUP(A151,素材!$A:$O,COLUMN(素材!O$1),FALSE),"")</f>
        <v/>
      </c>
      <c r="BM151">
        <f t="shared" si="6"/>
        <v>0</v>
      </c>
      <c r="BO151" t="str">
        <f>素材!M41&amp;".webp"</f>
        <v>.webp</v>
      </c>
      <c r="BP151" t="str">
        <f t="shared" si="5"/>
        <v>i_151</v>
      </c>
    </row>
    <row r="152" spans="1:68" outlineLevel="1" x14ac:dyDescent="0.4">
      <c r="A152" t="str">
        <f>素材!A44</f>
        <v>2. 木材（ウッド）素材例</v>
      </c>
      <c r="B152">
        <f>IFERROR(VLOOKUP(A152,素材!$A:$O,COLUMN(素材!B$1),FALSE),"")</f>
        <v>0</v>
      </c>
      <c r="C152" s="24">
        <f>IFERROR(VLOOKUP(A152,素材!$A:$O,COLUMN(素材!M$1),FALSE),"")</f>
        <v>0</v>
      </c>
      <c r="D152" s="24"/>
      <c r="E152" t="s">
        <v>190</v>
      </c>
      <c r="F152" s="1">
        <f>IFERROR(VLOOKUP(A152,素材!$A:$O,COLUMN(素材!O$1),FALSE),"")</f>
        <v>0</v>
      </c>
      <c r="BM152">
        <f t="shared" si="6"/>
        <v>0</v>
      </c>
      <c r="BO152" t="str">
        <f>素材!M42&amp;".webp"</f>
        <v>.webp</v>
      </c>
      <c r="BP152" t="str">
        <f t="shared" si="5"/>
        <v>i_152</v>
      </c>
    </row>
    <row r="153" spans="1:68" outlineLevel="1" x14ac:dyDescent="0.4">
      <c r="A153">
        <f>素材!A45</f>
        <v>0</v>
      </c>
      <c r="B153" t="str">
        <f>IFERROR(VLOOKUP(A153,素材!$A:$O,COLUMN(素材!B$1),FALSE),"")</f>
        <v/>
      </c>
      <c r="C153" s="24" t="str">
        <f>IFERROR(VLOOKUP(A153,素材!$A:$O,COLUMN(素材!M$1),FALSE),"")</f>
        <v/>
      </c>
      <c r="D153" s="24"/>
      <c r="E153" t="s">
        <v>190</v>
      </c>
      <c r="F153" s="1" t="str">
        <f>IFERROR(VLOOKUP(A153,素材!$A:$O,COLUMN(素材!O$1),FALSE),"")</f>
        <v/>
      </c>
      <c r="BM153">
        <f t="shared" si="6"/>
        <v>0</v>
      </c>
      <c r="BO153" t="str">
        <f>素材!M43&amp;".webp"</f>
        <v>.webp</v>
      </c>
      <c r="BP153" t="str">
        <f t="shared" si="5"/>
        <v>i_153</v>
      </c>
    </row>
    <row r="154" spans="1:68" outlineLevel="1" x14ac:dyDescent="0.4">
      <c r="A154" t="str">
        <f>素材!A46</f>
        <v>名前</v>
      </c>
      <c r="B154" t="str">
        <f>IFERROR(VLOOKUP(A154,素材!$A:$O,COLUMN(素材!B$1),FALSE),"")</f>
        <v>英名</v>
      </c>
      <c r="C154" s="24" t="str">
        <f>IFERROR(VLOOKUP(A154,素材!$A:$O,COLUMN(素材!M$1),FALSE),"")</f>
        <v>種別</v>
      </c>
      <c r="D154" s="24"/>
      <c r="E154" t="s">
        <v>190</v>
      </c>
      <c r="F154" s="1" t="str">
        <f>IFERROR(VLOOKUP(A154,素材!$A:$O,COLUMN(素材!O$1),FALSE),"")</f>
        <v>説明</v>
      </c>
      <c r="BM154">
        <f t="shared" si="6"/>
        <v>0</v>
      </c>
      <c r="BO154" t="str">
        <f>素材!M44&amp;".webp"</f>
        <v>.webp</v>
      </c>
      <c r="BP154" t="str">
        <f t="shared" si="5"/>
        <v>i_154</v>
      </c>
    </row>
    <row r="155" spans="1:68" ht="56.25" outlineLevel="1" x14ac:dyDescent="0.4">
      <c r="A155" t="str">
        <f>素材!A48</f>
        <v>黒の木</v>
      </c>
      <c r="B155" t="str">
        <f>IFERROR(VLOOKUP(A155,素材!$A:$O,COLUMN(素材!B$1),FALSE),"")</f>
        <v>ブラックウッド</v>
      </c>
      <c r="C155" s="24" t="str">
        <f>IFERROR(VLOOKUP(A155,素材!$A:$O,COLUMN(素材!M$1),FALSE),"")</f>
        <v>木材</v>
      </c>
      <c r="D155" s="24"/>
      <c r="E155" t="s">
        <v>190</v>
      </c>
      <c r="F155" s="1" t="str">
        <f>IFERROR(VLOOKUP(A155,素材!$A:$O,COLUMN(素材!O$1),FALSE),"")</f>
        <v>音を増幅させる性質を持つ木材。武器に使用すると音波効果を付加し、防具に使用すると音耐性が強化される。</v>
      </c>
      <c r="BM155">
        <f t="shared" si="6"/>
        <v>0</v>
      </c>
      <c r="BO155" t="str">
        <f>素材!M45&amp;".webp"</f>
        <v>.webp</v>
      </c>
      <c r="BP155" t="str">
        <f t="shared" si="5"/>
        <v>i_155</v>
      </c>
    </row>
    <row r="156" spans="1:68" ht="56.25" outlineLevel="1" x14ac:dyDescent="0.4">
      <c r="A156" t="str">
        <f>素材!A49</f>
        <v>黒の芯木</v>
      </c>
      <c r="B156" t="str">
        <f>IFERROR(VLOOKUP(A156,素材!$A:$O,COLUMN(素材!B$1),FALSE),"")</f>
        <v>ブラックウッドコア</v>
      </c>
      <c r="C156" s="24" t="str">
        <f>IFERROR(VLOOKUP(A156,素材!$A:$O,COLUMN(素材!M$1),FALSE),"")</f>
        <v>木材</v>
      </c>
      <c r="D156" s="24"/>
      <c r="E156" t="s">
        <v>190</v>
      </c>
      <c r="F156" s="1" t="str">
        <f>IFERROR(VLOOKUP(A156,素材!$A:$O,COLUMN(素材!O$1),FALSE),"")</f>
        <v>音を増幅させる性質を持つ木材。武器に使用すると音波効果を付加し、防具に使用すると音耐性が強化される。</v>
      </c>
      <c r="BM156">
        <f t="shared" si="6"/>
        <v>0</v>
      </c>
      <c r="BO156" t="str">
        <f>素材!M46&amp;".webp"</f>
        <v>種別.webp</v>
      </c>
      <c r="BP156" t="str">
        <f t="shared" si="5"/>
        <v>i_156</v>
      </c>
    </row>
    <row r="157" spans="1:68" ht="56.25" outlineLevel="1" x14ac:dyDescent="0.4">
      <c r="A157" t="str">
        <f>素材!A50</f>
        <v>音響樹</v>
      </c>
      <c r="B157" t="str">
        <f>IFERROR(VLOOKUP(A157,素材!$A:$O,COLUMN(素材!B$1),FALSE),"")</f>
        <v>ソニックウッド</v>
      </c>
      <c r="C157" s="24" t="str">
        <f>IFERROR(VLOOKUP(A157,素材!$A:$O,COLUMN(素材!M$1),FALSE),"")</f>
        <v>木材</v>
      </c>
      <c r="D157" s="24"/>
      <c r="E157" t="s">
        <v>190</v>
      </c>
      <c r="F157" s="1" t="str">
        <f>IFERROR(VLOOKUP(A157,素材!$A:$O,COLUMN(素材!O$1),FALSE),"")</f>
        <v>音を増幅させる性質を持つ木材。武器に使用すると音波効果を付加し、防具に使用すると音耐性が強化される。</v>
      </c>
      <c r="BM157">
        <f t="shared" si="6"/>
        <v>0</v>
      </c>
      <c r="BO157" t="str">
        <f>素材!M48&amp;".webp"</f>
        <v>木材.webp</v>
      </c>
      <c r="BP157" t="str">
        <f t="shared" si="5"/>
        <v>i_157</v>
      </c>
    </row>
    <row r="158" spans="1:68" ht="56.25" outlineLevel="1" x14ac:dyDescent="0.4">
      <c r="A158" t="str">
        <f>素材!A51</f>
        <v>雷樹</v>
      </c>
      <c r="B158" t="str">
        <f>IFERROR(VLOOKUP(A158,素材!$A:$O,COLUMN(素材!B$1),FALSE),"")</f>
        <v>サンダーウッド</v>
      </c>
      <c r="C158" s="24" t="str">
        <f>IFERROR(VLOOKUP(A158,素材!$A:$O,COLUMN(素材!M$1),FALSE),"")</f>
        <v>木材</v>
      </c>
      <c r="D158" s="24"/>
      <c r="E158" t="s">
        <v>190</v>
      </c>
      <c r="F158" s="1" t="str">
        <f>IFERROR(VLOOKUP(A158,素材!$A:$O,COLUMN(素材!O$1),FALSE),"")</f>
        <v>雷を引き寄せる性質がある木材。武器に使用すると電撃属性を付加し、防具に使用すると雷耐性が強化される。</v>
      </c>
      <c r="BM158">
        <f t="shared" si="6"/>
        <v>0</v>
      </c>
      <c r="BO158" t="str">
        <f>素材!M49&amp;".webp"</f>
        <v>木材.webp</v>
      </c>
      <c r="BP158" t="str">
        <f t="shared" si="5"/>
        <v>i_158</v>
      </c>
    </row>
    <row r="159" spans="1:68" ht="56.25" outlineLevel="1" x14ac:dyDescent="0.4">
      <c r="A159" t="str">
        <f>素材!A52</f>
        <v>聖木</v>
      </c>
      <c r="B159" t="str">
        <f>IFERROR(VLOOKUP(A159,素材!$A:$O,COLUMN(素材!B$1),FALSE),"")</f>
        <v>セイクリッドウッド</v>
      </c>
      <c r="C159" s="24" t="str">
        <f>IFERROR(VLOOKUP(A159,素材!$A:$O,COLUMN(素材!M$1),FALSE),"")</f>
        <v>木材</v>
      </c>
      <c r="D159" s="24"/>
      <c r="E159" t="s">
        <v>190</v>
      </c>
      <c r="F159" s="1" t="str">
        <f>IFERROR(VLOOKUP(A159,素材!$A:$O,COLUMN(素材!O$1),FALSE),"")</f>
        <v>神聖な力を持つ木材。武器として使用すると善属性が付加され、防具に使用すると呪いへの耐性が強化される。</v>
      </c>
      <c r="BM159">
        <f t="shared" si="6"/>
        <v>0</v>
      </c>
      <c r="BO159" t="str">
        <f>素材!M50&amp;".webp"</f>
        <v>木材.webp</v>
      </c>
      <c r="BP159" t="str">
        <f t="shared" si="5"/>
        <v>i_159</v>
      </c>
    </row>
    <row r="160" spans="1:68" ht="56.25" outlineLevel="1" x14ac:dyDescent="0.4">
      <c r="A160" t="str">
        <f>素材!A57</f>
        <v>亡霊樹</v>
      </c>
      <c r="B160" t="str">
        <f>IFERROR(VLOOKUP(A160,素材!$A:$O,COLUMN(素材!B$1),FALSE),"")</f>
        <v>スピリットウッド</v>
      </c>
      <c r="C160" s="24" t="str">
        <f>IFERROR(VLOOKUP(A160,素材!$A:$O,COLUMN(素材!M$1),FALSE),"")</f>
        <v>木材</v>
      </c>
      <c r="D160" s="24"/>
      <c r="E160" t="s">
        <v>190</v>
      </c>
      <c r="F160" s="1" t="str">
        <f>IFERROR(VLOOKUP(A160,素材!$A:$O,COLUMN(素材!O$1),FALSE),"")</f>
        <v>精神的なエネルギーを吸収する木材。武器に使用すると精神的耐性が上昇、防具に使用すると精神耐性がさらに強化される。</v>
      </c>
      <c r="BM160">
        <f t="shared" si="6"/>
        <v>0</v>
      </c>
      <c r="BO160" t="str">
        <f>素材!M51&amp;".webp"</f>
        <v>木材.webp</v>
      </c>
      <c r="BP160" t="str">
        <f t="shared" si="5"/>
        <v>i_160</v>
      </c>
    </row>
    <row r="161" spans="1:68" ht="56.25" outlineLevel="1" x14ac:dyDescent="0.4">
      <c r="A161" t="str">
        <f>素材!A58</f>
        <v>月影木</v>
      </c>
      <c r="B161" t="str">
        <f>IFERROR(VLOOKUP(A161,素材!$A:$O,COLUMN(素材!B$1),FALSE),"")</f>
        <v>ムーンシャドーウッド</v>
      </c>
      <c r="C161" s="24" t="str">
        <f>IFERROR(VLOOKUP(A161,素材!$A:$O,COLUMN(素材!M$1),FALSE),"")</f>
        <v>木材</v>
      </c>
      <c r="D161" s="24"/>
      <c r="E161" t="s">
        <v>190</v>
      </c>
      <c r="F161" s="1" t="str">
        <f>IFERROR(VLOOKUP(A161,素材!$A:$O,COLUMN(素材!O$1),FALSE),"")</f>
        <v>月光を浴びて育った木材で、闇の力に影響されやすい。武器に使用すると攻撃に闇属性が付加され、防具に使用すると闇耐性が強化される。</v>
      </c>
      <c r="BM161">
        <f t="shared" si="6"/>
        <v>0</v>
      </c>
      <c r="BO161" t="str">
        <f>素材!M52&amp;".webp"</f>
        <v>木材.webp</v>
      </c>
      <c r="BP161" t="str">
        <f t="shared" si="5"/>
        <v>i_161</v>
      </c>
    </row>
    <row r="162" spans="1:68" outlineLevel="1" x14ac:dyDescent="0.4">
      <c r="A162">
        <f>素材!A59</f>
        <v>0</v>
      </c>
      <c r="B162" t="str">
        <f>IFERROR(VLOOKUP(A162,素材!$A:$O,COLUMN(素材!B$1),FALSE),"")</f>
        <v/>
      </c>
      <c r="C162" s="24" t="str">
        <f>IFERROR(VLOOKUP(A162,素材!$A:$O,COLUMN(素材!M$1),FALSE),"")</f>
        <v/>
      </c>
      <c r="D162" s="24"/>
      <c r="E162" t="s">
        <v>190</v>
      </c>
      <c r="F162" s="1" t="str">
        <f>IFERROR(VLOOKUP(A162,素材!$A:$O,COLUMN(素材!O$1),FALSE),"")</f>
        <v/>
      </c>
      <c r="BM162">
        <f t="shared" si="6"/>
        <v>0</v>
      </c>
      <c r="BO162" t="str">
        <f>素材!M57&amp;".webp"</f>
        <v>木材.webp</v>
      </c>
      <c r="BP162" t="str">
        <f t="shared" si="5"/>
        <v>i_162</v>
      </c>
    </row>
    <row r="163" spans="1:68" outlineLevel="1" x14ac:dyDescent="0.4">
      <c r="A163">
        <f>素材!A60</f>
        <v>0</v>
      </c>
      <c r="B163" t="str">
        <f>IFERROR(VLOOKUP(A163,素材!$A:$O,COLUMN(素材!B$1),FALSE),"")</f>
        <v/>
      </c>
      <c r="C163" s="24" t="str">
        <f>IFERROR(VLOOKUP(A163,素材!$A:$O,COLUMN(素材!M$1),FALSE),"")</f>
        <v/>
      </c>
      <c r="D163" s="24"/>
      <c r="E163" t="s">
        <v>190</v>
      </c>
      <c r="F163" s="1" t="str">
        <f>IFERROR(VLOOKUP(A163,素材!$A:$O,COLUMN(素材!O$1),FALSE),"")</f>
        <v/>
      </c>
      <c r="BM163">
        <f t="shared" si="6"/>
        <v>0</v>
      </c>
      <c r="BO163" t="str">
        <f>素材!M58&amp;".webp"</f>
        <v>木材.webp</v>
      </c>
      <c r="BP163" t="str">
        <f t="shared" si="5"/>
        <v>i_163</v>
      </c>
    </row>
    <row r="164" spans="1:68" outlineLevel="1" x14ac:dyDescent="0.4">
      <c r="A164" t="str">
        <f>素材!A61</f>
        <v>3. 骨（ボーン）素材例</v>
      </c>
      <c r="B164">
        <f>IFERROR(VLOOKUP(A164,素材!$A:$O,COLUMN(素材!B$1),FALSE),"")</f>
        <v>0</v>
      </c>
      <c r="C164" s="24">
        <f>IFERROR(VLOOKUP(A164,素材!$A:$O,COLUMN(素材!M$1),FALSE),"")</f>
        <v>0</v>
      </c>
      <c r="D164" s="24"/>
      <c r="E164" t="s">
        <v>190</v>
      </c>
      <c r="F164" s="1">
        <f>IFERROR(VLOOKUP(A164,素材!$A:$O,COLUMN(素材!O$1),FALSE),"")</f>
        <v>0</v>
      </c>
      <c r="BM164">
        <f t="shared" si="6"/>
        <v>0</v>
      </c>
      <c r="BO164" t="str">
        <f>素材!M59&amp;".webp"</f>
        <v>.webp</v>
      </c>
      <c r="BP164" t="str">
        <f t="shared" si="5"/>
        <v>i_164</v>
      </c>
    </row>
    <row r="165" spans="1:68" outlineLevel="1" x14ac:dyDescent="0.4">
      <c r="A165">
        <f>素材!A62</f>
        <v>0</v>
      </c>
      <c r="B165" t="str">
        <f>IFERROR(VLOOKUP(A165,素材!$A:$O,COLUMN(素材!B$1),FALSE),"")</f>
        <v/>
      </c>
      <c r="C165" s="24" t="str">
        <f>IFERROR(VLOOKUP(A165,素材!$A:$O,COLUMN(素材!M$1),FALSE),"")</f>
        <v/>
      </c>
      <c r="D165" s="24"/>
      <c r="E165" t="s">
        <v>190</v>
      </c>
      <c r="F165" s="1" t="str">
        <f>IFERROR(VLOOKUP(A165,素材!$A:$O,COLUMN(素材!O$1),FALSE),"")</f>
        <v/>
      </c>
      <c r="BM165">
        <f t="shared" si="6"/>
        <v>0</v>
      </c>
      <c r="BO165" t="str">
        <f>素材!M60&amp;".webp"</f>
        <v>.webp</v>
      </c>
      <c r="BP165" t="str">
        <f t="shared" si="5"/>
        <v>i_165</v>
      </c>
    </row>
    <row r="166" spans="1:68" outlineLevel="1" x14ac:dyDescent="0.4">
      <c r="A166" t="str">
        <f>素材!A63</f>
        <v>名前</v>
      </c>
      <c r="B166" t="str">
        <f>IFERROR(VLOOKUP(A166,素材!$A:$O,COLUMN(素材!B$1),FALSE),"")</f>
        <v>英名</v>
      </c>
      <c r="C166" s="24" t="str">
        <f>IFERROR(VLOOKUP(A166,素材!$A:$O,COLUMN(素材!M$1),FALSE),"")</f>
        <v>種別</v>
      </c>
      <c r="D166" s="24"/>
      <c r="E166" t="s">
        <v>190</v>
      </c>
      <c r="F166" s="1" t="str">
        <f>IFERROR(VLOOKUP(A166,素材!$A:$O,COLUMN(素材!O$1),FALSE),"")</f>
        <v>説明</v>
      </c>
      <c r="BM166">
        <f t="shared" si="6"/>
        <v>0</v>
      </c>
      <c r="BO166" t="str">
        <f>素材!M61&amp;".webp"</f>
        <v>.webp</v>
      </c>
      <c r="BP166" t="str">
        <f t="shared" si="5"/>
        <v>i_166</v>
      </c>
    </row>
    <row r="167" spans="1:68" ht="37.5" outlineLevel="1" x14ac:dyDescent="0.4">
      <c r="A167" t="str">
        <f>素材!A67</f>
        <v>龍骨</v>
      </c>
      <c r="B167" t="str">
        <f>IFERROR(VLOOKUP(A167,素材!$A:$O,COLUMN(素材!B$1),FALSE),"")</f>
        <v>ドラゴンボーン</v>
      </c>
      <c r="C167" s="24" t="str">
        <f>IFERROR(VLOOKUP(A167,素材!$A:$O,COLUMN(素材!M$1),FALSE),"")</f>
        <v>骨</v>
      </c>
      <c r="D167" s="24"/>
      <c r="E167" t="s">
        <v>190</v>
      </c>
      <c r="F167" s="1" t="str">
        <f>IFERROR(VLOOKUP(A167,素材!$A:$O,COLUMN(素材!O$1),FALSE),"")</f>
        <v>竜の骨から作られた素材。竜に対する攻撃力が高まり、竜からの攻撃を軽減する効果を持つ。</v>
      </c>
      <c r="BM167">
        <f t="shared" si="6"/>
        <v>0</v>
      </c>
      <c r="BO167" t="str">
        <f>素材!M62&amp;".webp"</f>
        <v>.webp</v>
      </c>
      <c r="BP167" t="str">
        <f t="shared" si="5"/>
        <v>i_167</v>
      </c>
    </row>
    <row r="168" spans="1:68" ht="56.25" outlineLevel="1" x14ac:dyDescent="0.4">
      <c r="A168" t="str">
        <f>素材!A68</f>
        <v>亡者骨</v>
      </c>
      <c r="B168" t="str">
        <f>IFERROR(VLOOKUP(A168,素材!$A:$O,COLUMN(素材!B$1),FALSE),"")</f>
        <v>ゴーストボーン</v>
      </c>
      <c r="C168" s="24" t="str">
        <f>IFERROR(VLOOKUP(A168,素材!$A:$O,COLUMN(素材!M$1),FALSE),"")</f>
        <v>骨</v>
      </c>
      <c r="D168" s="24"/>
      <c r="E168" t="s">
        <v>190</v>
      </c>
      <c r="F168" s="1" t="str">
        <f>IFERROR(VLOOKUP(A168,素材!$A:$O,COLUMN(素材!O$1),FALSE),"")</f>
        <v>不死者の骨。武器に使用すると不死者への打撃が強化され、防具に使用すると悪への耐性が付加される。</v>
      </c>
      <c r="BM168">
        <f t="shared" si="6"/>
        <v>0</v>
      </c>
      <c r="BO168" t="str">
        <f>素材!M63&amp;".webp"</f>
        <v>種別.webp</v>
      </c>
      <c r="BP168" t="str">
        <f t="shared" si="5"/>
        <v>i_168</v>
      </c>
    </row>
    <row r="169" spans="1:68" ht="56.25" outlineLevel="1" x14ac:dyDescent="0.4">
      <c r="A169" t="str">
        <f>素材!A69</f>
        <v>盲目の骨</v>
      </c>
      <c r="B169" t="str">
        <f>IFERROR(VLOOKUP(A169,素材!$A:$O,COLUMN(素材!B$1),FALSE),"")</f>
        <v>ブラインドボーン</v>
      </c>
      <c r="C169" s="24" t="str">
        <f>IFERROR(VLOOKUP(A169,素材!$A:$O,COLUMN(素材!M$1),FALSE),"")</f>
        <v>骨</v>
      </c>
      <c r="D169" s="24"/>
      <c r="E169" t="s">
        <v>190</v>
      </c>
      <c r="F169" s="1" t="str">
        <f>IFERROR(VLOOKUP(A169,素材!$A:$O,COLUMN(素材!O$1),FALSE),"")</f>
        <v>特殊な暗闇効果を持つ骨。武器に使用すると攻撃に暗闇効果が追加され、防具に使用すると盲目耐性が付加される。</v>
      </c>
      <c r="BM169">
        <f t="shared" si="6"/>
        <v>0</v>
      </c>
      <c r="BO169" t="str">
        <f>素材!M67&amp;".webp"</f>
        <v>骨.webp</v>
      </c>
      <c r="BP169" t="str">
        <f t="shared" si="5"/>
        <v>i_169</v>
      </c>
    </row>
    <row r="170" spans="1:68" ht="56.25" outlineLevel="1" x14ac:dyDescent="0.4">
      <c r="A170" t="str">
        <f>素材!A70</f>
        <v>幻骨</v>
      </c>
      <c r="B170" t="str">
        <f>IFERROR(VLOOKUP(A170,素材!$A:$O,COLUMN(素材!B$1),FALSE),"")</f>
        <v>ミラージュボーン</v>
      </c>
      <c r="C170" s="24" t="str">
        <f>IFERROR(VLOOKUP(A170,素材!$A:$O,COLUMN(素材!M$1),FALSE),"")</f>
        <v>骨</v>
      </c>
      <c r="D170" s="24"/>
      <c r="E170" t="s">
        <v>190</v>
      </c>
      <c r="F170" s="1" t="str">
        <f>IFERROR(VLOOKUP(A170,素材!$A:$O,COLUMN(素材!O$1),FALSE),"")</f>
        <v>幻覚の力を持つ素材。武器に使用すると攻撃に幻覚を誘発し、防具に使用すると幻覚耐性が強化される。</v>
      </c>
      <c r="BM170">
        <f t="shared" si="6"/>
        <v>0</v>
      </c>
      <c r="BO170" t="str">
        <f>素材!M68&amp;".webp"</f>
        <v>骨.webp</v>
      </c>
      <c r="BP170" t="str">
        <f t="shared" si="5"/>
        <v>i_170</v>
      </c>
    </row>
    <row r="171" spans="1:68" ht="56.25" outlineLevel="1" x14ac:dyDescent="0.4">
      <c r="A171" t="str">
        <f>素材!A71</f>
        <v>呪骨</v>
      </c>
      <c r="B171" t="str">
        <f>IFERROR(VLOOKUP(A171,素材!$A:$O,COLUMN(素材!B$1),FALSE),"")</f>
        <v>カースドボーン</v>
      </c>
      <c r="C171" s="24" t="str">
        <f>IFERROR(VLOOKUP(A171,素材!$A:$O,COLUMN(素材!M$1),FALSE),"")</f>
        <v>骨</v>
      </c>
      <c r="D171" s="24"/>
      <c r="E171" t="s">
        <v>190</v>
      </c>
      <c r="F171" s="1" t="str">
        <f>IFERROR(VLOOKUP(A171,素材!$A:$O,COLUMN(素材!O$1),FALSE),"")</f>
        <v>呪いを帯びた骨。武器に使用すると攻撃に呪い効果が追加され、防具に使用すると呪い耐性が強化される。</v>
      </c>
      <c r="BM171">
        <f t="shared" si="6"/>
        <v>0</v>
      </c>
      <c r="BO171" t="str">
        <f>素材!M69&amp;".webp"</f>
        <v>骨.webp</v>
      </c>
      <c r="BP171" t="str">
        <f t="shared" si="5"/>
        <v>i_171</v>
      </c>
    </row>
    <row r="172" spans="1:68" outlineLevel="1" x14ac:dyDescent="0.4">
      <c r="A172">
        <f>素材!A72</f>
        <v>0</v>
      </c>
      <c r="B172" t="str">
        <f>IFERROR(VLOOKUP(A172,素材!$A:$O,COLUMN(素材!B$1),FALSE),"")</f>
        <v/>
      </c>
      <c r="C172" s="24" t="str">
        <f>IFERROR(VLOOKUP(A172,素材!$A:$O,COLUMN(素材!M$1),FALSE),"")</f>
        <v/>
      </c>
      <c r="D172" s="24"/>
      <c r="E172" t="s">
        <v>190</v>
      </c>
      <c r="F172" s="1" t="str">
        <f>IFERROR(VLOOKUP(A172,素材!$A:$O,COLUMN(素材!O$1),FALSE),"")</f>
        <v/>
      </c>
      <c r="BM172">
        <f t="shared" si="6"/>
        <v>0</v>
      </c>
      <c r="BO172" t="str">
        <f>素材!M70&amp;".webp"</f>
        <v>骨.webp</v>
      </c>
      <c r="BP172" t="str">
        <f t="shared" si="5"/>
        <v>i_172</v>
      </c>
    </row>
    <row r="173" spans="1:68" outlineLevel="1" x14ac:dyDescent="0.4">
      <c r="A173" t="str">
        <f>素材!A64</f>
        <v>死霊の骨</v>
      </c>
      <c r="B173" t="str">
        <f>IFERROR(VLOOKUP(A173,素材!$A:$O,COLUMN(素材!B$1),FALSE),"")</f>
        <v>ボーン</v>
      </c>
      <c r="C173" s="24" t="str">
        <f>IFERROR(VLOOKUP(A173,素材!$A:$O,COLUMN(素材!M$1),FALSE),"")</f>
        <v>骨</v>
      </c>
      <c r="D173" s="24"/>
      <c r="E173" t="s">
        <v>190</v>
      </c>
      <c r="F173" s="1" t="str">
        <f>IFERROR(VLOOKUP(A173,素材!$A:$O,COLUMN(素材!O$1),FALSE),"")</f>
        <v>スケルトンの骨、負のエネルギーが宿っている</v>
      </c>
      <c r="BM173">
        <f t="shared" si="6"/>
        <v>0</v>
      </c>
      <c r="BO173" t="str">
        <f>素材!M71&amp;".webp"</f>
        <v>骨.webp</v>
      </c>
      <c r="BP173" t="str">
        <f t="shared" si="5"/>
        <v>i_173</v>
      </c>
    </row>
    <row r="174" spans="1:68" outlineLevel="1" x14ac:dyDescent="0.4">
      <c r="A174" t="str">
        <f>素材!A65</f>
        <v>毒の牙</v>
      </c>
      <c r="B174" t="str">
        <f>IFERROR(VLOOKUP(A174,素材!$A:$O,COLUMN(素材!B$1),FALSE),"")</f>
        <v>ボーン</v>
      </c>
      <c r="C174" s="24" t="str">
        <f>IFERROR(VLOOKUP(A174,素材!$A:$O,COLUMN(素材!M$1),FALSE),"")</f>
        <v>骨</v>
      </c>
      <c r="D174" s="24"/>
      <c r="E174" t="s">
        <v>190</v>
      </c>
      <c r="F174" s="1" t="str">
        <f>IFERROR(VLOOKUP(A174,素材!$A:$O,COLUMN(素材!O$1),FALSE),"")</f>
        <v>ゾンビの牙、毒々しい液が先端からこぼれている</v>
      </c>
      <c r="BM174">
        <f t="shared" si="6"/>
        <v>0</v>
      </c>
      <c r="BO174" t="str">
        <f>素材!M72&amp;".webp"</f>
        <v>.webp</v>
      </c>
      <c r="BP174" t="str">
        <f t="shared" si="5"/>
        <v>i_174</v>
      </c>
    </row>
    <row r="175" spans="1:68" outlineLevel="1" x14ac:dyDescent="0.4">
      <c r="A175" t="str">
        <f>素材!A66</f>
        <v>鋭利な爪</v>
      </c>
      <c r="B175" t="str">
        <f>IFERROR(VLOOKUP(A175,素材!$A:$O,COLUMN(素材!B$1),FALSE),"")</f>
        <v>ボーン</v>
      </c>
      <c r="C175" s="24" t="str">
        <f>IFERROR(VLOOKUP(A175,素材!$A:$O,COLUMN(素材!M$1),FALSE),"")</f>
        <v>骨</v>
      </c>
      <c r="D175" s="24"/>
      <c r="E175" t="s">
        <v>190</v>
      </c>
      <c r="F175" s="1" t="str">
        <f>IFERROR(VLOOKUP(A175,素材!$A:$O,COLUMN(素材!O$1),FALSE),"")</f>
        <v>動物や、モンスターがもつ鋭い爪</v>
      </c>
      <c r="BM175">
        <f t="shared" si="6"/>
        <v>0</v>
      </c>
      <c r="BO175" t="str">
        <f>素材!M64&amp;".webp"</f>
        <v>骨.webp</v>
      </c>
      <c r="BP175" t="str">
        <f t="shared" si="5"/>
        <v>i_175</v>
      </c>
    </row>
    <row r="176" spans="1:68" outlineLevel="1" x14ac:dyDescent="0.4">
      <c r="A176">
        <f>素材!A73</f>
        <v>0</v>
      </c>
      <c r="B176" t="str">
        <f>IFERROR(VLOOKUP(A176,素材!$A:$O,COLUMN(素材!B$1),FALSE),"")</f>
        <v/>
      </c>
      <c r="C176" s="24" t="str">
        <f>IFERROR(VLOOKUP(A176,素材!$A:$O,COLUMN(素材!M$1),FALSE),"")</f>
        <v/>
      </c>
      <c r="D176" s="24"/>
      <c r="E176" t="s">
        <v>190</v>
      </c>
      <c r="F176" s="1" t="str">
        <f>IFERROR(VLOOKUP(A176,素材!$A:$O,COLUMN(素材!O$1),FALSE),"")</f>
        <v/>
      </c>
      <c r="BM176">
        <f t="shared" si="6"/>
        <v>0</v>
      </c>
      <c r="BO176" t="str">
        <f>素材!M65&amp;".webp"</f>
        <v>骨.webp</v>
      </c>
      <c r="BP176" t="str">
        <f t="shared" si="5"/>
        <v>i_176</v>
      </c>
    </row>
    <row r="177" spans="1:68" outlineLevel="1" x14ac:dyDescent="0.4">
      <c r="A177">
        <f>素材!A74</f>
        <v>0</v>
      </c>
      <c r="B177" t="str">
        <f>IFERROR(VLOOKUP(A177,素材!$A:$O,COLUMN(素材!B$1),FALSE),"")</f>
        <v/>
      </c>
      <c r="C177" s="24" t="str">
        <f>IFERROR(VLOOKUP(A177,素材!$A:$O,COLUMN(素材!M$1),FALSE),"")</f>
        <v/>
      </c>
      <c r="D177" s="24"/>
      <c r="E177" t="s">
        <v>190</v>
      </c>
      <c r="F177" s="1" t="str">
        <f>IFERROR(VLOOKUP(A177,素材!$A:$O,COLUMN(素材!O$1),FALSE),"")</f>
        <v/>
      </c>
      <c r="BM177">
        <f t="shared" si="6"/>
        <v>0</v>
      </c>
      <c r="BO177" t="str">
        <f>素材!M66&amp;".webp"</f>
        <v>骨.webp</v>
      </c>
      <c r="BP177" t="str">
        <f t="shared" si="5"/>
        <v>i_177</v>
      </c>
    </row>
    <row r="178" spans="1:68" outlineLevel="1" x14ac:dyDescent="0.4">
      <c r="A178">
        <f>素材!A75</f>
        <v>0</v>
      </c>
      <c r="B178" t="str">
        <f>IFERROR(VLOOKUP(A178,素材!$A:$O,COLUMN(素材!B$1),FALSE),"")</f>
        <v/>
      </c>
      <c r="C178" s="24" t="str">
        <f>IFERROR(VLOOKUP(A178,素材!$A:$O,COLUMN(素材!M$1),FALSE),"")</f>
        <v/>
      </c>
      <c r="D178" s="24"/>
      <c r="E178" t="s">
        <v>190</v>
      </c>
      <c r="F178" s="1" t="str">
        <f>IFERROR(VLOOKUP(A178,素材!$A:$O,COLUMN(素材!O$1),FALSE),"")</f>
        <v/>
      </c>
      <c r="BM178">
        <f t="shared" si="6"/>
        <v>0</v>
      </c>
      <c r="BO178" t="str">
        <f>素材!M73&amp;".webp"</f>
        <v>.webp</v>
      </c>
      <c r="BP178" t="str">
        <f t="shared" si="5"/>
        <v>i_178</v>
      </c>
    </row>
    <row r="179" spans="1:68" outlineLevel="1" x14ac:dyDescent="0.4">
      <c r="A179">
        <f>素材!A76</f>
        <v>0</v>
      </c>
      <c r="B179" t="str">
        <f>IFERROR(VLOOKUP(A179,素材!$A:$O,COLUMN(素材!B$1),FALSE),"")</f>
        <v/>
      </c>
      <c r="C179" s="24" t="str">
        <f>IFERROR(VLOOKUP(A179,素材!$A:$O,COLUMN(素材!M$1),FALSE),"")</f>
        <v/>
      </c>
      <c r="D179" s="24"/>
      <c r="E179" t="s">
        <v>190</v>
      </c>
      <c r="F179" s="1" t="str">
        <f>IFERROR(VLOOKUP(A179,素材!$A:$O,COLUMN(素材!O$1),FALSE),"")</f>
        <v/>
      </c>
      <c r="BM179">
        <f t="shared" si="6"/>
        <v>0</v>
      </c>
      <c r="BO179" t="str">
        <f>素材!M74&amp;".webp"</f>
        <v>.webp</v>
      </c>
      <c r="BP179" t="str">
        <f t="shared" si="5"/>
        <v>i_179</v>
      </c>
    </row>
    <row r="180" spans="1:68" outlineLevel="1" x14ac:dyDescent="0.4">
      <c r="A180">
        <f>素材!A77</f>
        <v>0</v>
      </c>
      <c r="B180" t="str">
        <f>IFERROR(VLOOKUP(A180,素材!$A:$O,COLUMN(素材!B$1),FALSE),"")</f>
        <v/>
      </c>
      <c r="C180" s="24" t="str">
        <f>IFERROR(VLOOKUP(A180,素材!$A:$O,COLUMN(素材!M$1),FALSE),"")</f>
        <v/>
      </c>
      <c r="D180" s="24"/>
      <c r="E180" t="s">
        <v>190</v>
      </c>
      <c r="F180" s="1" t="str">
        <f>IFERROR(VLOOKUP(A180,素材!$A:$O,COLUMN(素材!O$1),FALSE),"")</f>
        <v/>
      </c>
      <c r="BM180">
        <f t="shared" si="6"/>
        <v>0</v>
      </c>
      <c r="BO180" t="str">
        <f>素材!M75&amp;".webp"</f>
        <v>.webp</v>
      </c>
      <c r="BP180" t="str">
        <f t="shared" si="5"/>
        <v>i_180</v>
      </c>
    </row>
    <row r="181" spans="1:68" outlineLevel="1" x14ac:dyDescent="0.4">
      <c r="A181">
        <f>素材!A78</f>
        <v>0</v>
      </c>
      <c r="B181" t="str">
        <f>IFERROR(VLOOKUP(A181,素材!$A:$O,COLUMN(素材!B$1),FALSE),"")</f>
        <v/>
      </c>
      <c r="C181" s="24" t="str">
        <f>IFERROR(VLOOKUP(A181,素材!$A:$O,COLUMN(素材!M$1),FALSE),"")</f>
        <v/>
      </c>
      <c r="D181" s="24"/>
      <c r="E181" t="s">
        <v>190</v>
      </c>
      <c r="F181" s="1" t="str">
        <f>IFERROR(VLOOKUP(A181,素材!$A:$O,COLUMN(素材!O$1),FALSE),"")</f>
        <v/>
      </c>
      <c r="BM181">
        <f t="shared" si="6"/>
        <v>0</v>
      </c>
      <c r="BO181" t="str">
        <f>素材!M76&amp;".webp"</f>
        <v>.webp</v>
      </c>
      <c r="BP181" t="str">
        <f t="shared" si="5"/>
        <v>i_181</v>
      </c>
    </row>
    <row r="182" spans="1:68" outlineLevel="1" x14ac:dyDescent="0.4">
      <c r="A182">
        <f>素材!A79</f>
        <v>0</v>
      </c>
      <c r="B182" t="str">
        <f>IFERROR(VLOOKUP(A182,素材!$A:$O,COLUMN(素材!B$1),FALSE),"")</f>
        <v/>
      </c>
      <c r="C182" s="24" t="str">
        <f>IFERROR(VLOOKUP(A182,素材!$A:$O,COLUMN(素材!M$1),FALSE),"")</f>
        <v/>
      </c>
      <c r="D182" s="24"/>
      <c r="E182" t="s">
        <v>190</v>
      </c>
      <c r="F182" s="1" t="str">
        <f>IFERROR(VLOOKUP(A182,素材!$A:$O,COLUMN(素材!O$1),FALSE),"")</f>
        <v/>
      </c>
      <c r="BM182">
        <f t="shared" si="6"/>
        <v>0</v>
      </c>
      <c r="BO182" t="str">
        <f>素材!M77&amp;".webp"</f>
        <v>.webp</v>
      </c>
      <c r="BP182" t="str">
        <f t="shared" si="5"/>
        <v>i_182</v>
      </c>
    </row>
    <row r="183" spans="1:68" outlineLevel="1" x14ac:dyDescent="0.4">
      <c r="A183">
        <f>素材!A80</f>
        <v>0</v>
      </c>
      <c r="B183" t="str">
        <f>IFERROR(VLOOKUP(A183,素材!$A:$O,COLUMN(素材!B$1),FALSE),"")</f>
        <v/>
      </c>
      <c r="C183" s="24" t="str">
        <f>IFERROR(VLOOKUP(A183,素材!$A:$O,COLUMN(素材!M$1),FALSE),"")</f>
        <v/>
      </c>
      <c r="D183" s="24"/>
      <c r="E183" t="s">
        <v>190</v>
      </c>
      <c r="F183" s="1" t="str">
        <f>IFERROR(VLOOKUP(A183,素材!$A:$O,COLUMN(素材!O$1),FALSE),"")</f>
        <v/>
      </c>
      <c r="BM183">
        <f t="shared" si="6"/>
        <v>0</v>
      </c>
      <c r="BO183" t="str">
        <f>素材!M78&amp;".webp"</f>
        <v>.webp</v>
      </c>
      <c r="BP183" t="str">
        <f t="shared" si="5"/>
        <v>i_183</v>
      </c>
    </row>
    <row r="184" spans="1:68" outlineLevel="1" x14ac:dyDescent="0.4">
      <c r="A184">
        <f>素材!A81</f>
        <v>0</v>
      </c>
      <c r="B184" t="str">
        <f>IFERROR(VLOOKUP(A184,素材!$A:$O,COLUMN(素材!B$1),FALSE),"")</f>
        <v/>
      </c>
      <c r="C184" s="24" t="str">
        <f>IFERROR(VLOOKUP(A184,素材!$A:$O,COLUMN(素材!M$1),FALSE),"")</f>
        <v/>
      </c>
      <c r="D184" s="24"/>
      <c r="E184" t="s">
        <v>190</v>
      </c>
      <c r="F184" s="1" t="str">
        <f>IFERROR(VLOOKUP(A184,素材!$A:$O,COLUMN(素材!O$1),FALSE),"")</f>
        <v/>
      </c>
      <c r="BM184">
        <f t="shared" si="6"/>
        <v>0</v>
      </c>
      <c r="BO184" t="str">
        <f>素材!M79&amp;".webp"</f>
        <v>.webp</v>
      </c>
      <c r="BP184" t="str">
        <f t="shared" si="5"/>
        <v>i_184</v>
      </c>
    </row>
    <row r="185" spans="1:68" outlineLevel="1" x14ac:dyDescent="0.4">
      <c r="D185" s="24"/>
      <c r="BM185">
        <f t="shared" si="6"/>
        <v>0</v>
      </c>
      <c r="BO185" t="str">
        <f>素材!M80&amp;".webp"</f>
        <v>.webp</v>
      </c>
      <c r="BP185" t="str">
        <f t="shared" si="5"/>
        <v>i_185</v>
      </c>
    </row>
    <row r="186" spans="1:68" outlineLevel="1" x14ac:dyDescent="0.4">
      <c r="D186" s="24"/>
      <c r="BM186">
        <f t="shared" si="6"/>
        <v>0</v>
      </c>
      <c r="BO186" t="str">
        <f>素材!M81&amp;".webp"</f>
        <v>.webp</v>
      </c>
      <c r="BP186" t="str">
        <f t="shared" si="5"/>
        <v>i_186</v>
      </c>
    </row>
    <row r="187" spans="1:68" outlineLevel="1" x14ac:dyDescent="0.4">
      <c r="D187" s="24"/>
      <c r="BM187">
        <f t="shared" si="6"/>
        <v>0</v>
      </c>
      <c r="BO187" t="str">
        <f>素材!M82&amp;".webp"</f>
        <v>.webp</v>
      </c>
      <c r="BP187" t="str">
        <f t="shared" si="5"/>
        <v>i_187</v>
      </c>
    </row>
    <row r="188" spans="1:68" outlineLevel="1" x14ac:dyDescent="0.4">
      <c r="D188" s="24"/>
      <c r="BM188">
        <f t="shared" si="6"/>
        <v>0</v>
      </c>
      <c r="BO188" t="str">
        <f>素材!M83&amp;".webp"</f>
        <v>.webp</v>
      </c>
      <c r="BP188" t="str">
        <f t="shared" si="5"/>
        <v>i_188</v>
      </c>
    </row>
    <row r="189" spans="1:68" outlineLevel="1" x14ac:dyDescent="0.4">
      <c r="D189" s="24"/>
      <c r="BM189">
        <f t="shared" si="6"/>
        <v>0</v>
      </c>
      <c r="BO189" t="str">
        <f>素材!M84&amp;".webp"</f>
        <v>.webp</v>
      </c>
      <c r="BP189" t="str">
        <f t="shared" si="5"/>
        <v>i_189</v>
      </c>
    </row>
    <row r="190" spans="1:68" outlineLevel="1" x14ac:dyDescent="0.4">
      <c r="D190" s="24"/>
      <c r="BM190">
        <f t="shared" si="6"/>
        <v>0</v>
      </c>
      <c r="BO190" t="str">
        <f>素材!M85&amp;".webp"</f>
        <v>.webp</v>
      </c>
      <c r="BP190" t="str">
        <f t="shared" si="5"/>
        <v>i_190</v>
      </c>
    </row>
    <row r="191" spans="1:68" outlineLevel="1" x14ac:dyDescent="0.4">
      <c r="D191" s="24"/>
      <c r="BM191">
        <f t="shared" si="6"/>
        <v>0</v>
      </c>
      <c r="BO191" t="str">
        <f>素材!M86&amp;".webp"</f>
        <v>.webp</v>
      </c>
      <c r="BP191" t="str">
        <f t="shared" si="5"/>
        <v>i_191</v>
      </c>
    </row>
    <row r="192" spans="1:68" outlineLevel="1" x14ac:dyDescent="0.4">
      <c r="D192" s="24"/>
      <c r="BM192">
        <f t="shared" si="6"/>
        <v>0</v>
      </c>
      <c r="BO192" t="str">
        <f>素材!M87&amp;".webp"</f>
        <v>.webp</v>
      </c>
      <c r="BP192" t="str">
        <f t="shared" si="5"/>
        <v>i_192</v>
      </c>
    </row>
    <row r="193" spans="3:68" outlineLevel="1" x14ac:dyDescent="0.4">
      <c r="D193" s="24"/>
      <c r="BM193">
        <f t="shared" si="6"/>
        <v>0</v>
      </c>
      <c r="BO193" t="str">
        <f>素材!M88&amp;".webp"</f>
        <v>.webp</v>
      </c>
      <c r="BP193" t="str">
        <f t="shared" si="5"/>
        <v>i_193</v>
      </c>
    </row>
    <row r="194" spans="3:68" outlineLevel="1" x14ac:dyDescent="0.4">
      <c r="D194" s="24"/>
      <c r="BM194">
        <f t="shared" si="6"/>
        <v>0</v>
      </c>
      <c r="BO194" t="str">
        <f>素材!M89&amp;".webp"</f>
        <v>.webp</v>
      </c>
      <c r="BP194" t="str">
        <f t="shared" si="5"/>
        <v>i_194</v>
      </c>
    </row>
    <row r="195" spans="3:68" outlineLevel="1" x14ac:dyDescent="0.4">
      <c r="D195" s="24"/>
      <c r="BM195">
        <f t="shared" si="6"/>
        <v>0</v>
      </c>
      <c r="BO195" t="str">
        <f>素材!M90&amp;".webp"</f>
        <v>.webp</v>
      </c>
      <c r="BP195" t="str">
        <f t="shared" si="5"/>
        <v>i_195</v>
      </c>
    </row>
    <row r="196" spans="3:68" outlineLevel="1" x14ac:dyDescent="0.4">
      <c r="D196" s="24"/>
      <c r="BM196">
        <f t="shared" si="6"/>
        <v>0</v>
      </c>
      <c r="BO196" t="str">
        <f>素材!M91&amp;".webp"</f>
        <v>.webp</v>
      </c>
      <c r="BP196" t="str">
        <f t="shared" si="5"/>
        <v>i_196</v>
      </c>
    </row>
    <row r="197" spans="3:68" outlineLevel="1" x14ac:dyDescent="0.4">
      <c r="D197" s="24"/>
      <c r="BM197">
        <f t="shared" si="6"/>
        <v>0</v>
      </c>
      <c r="BO197" t="str">
        <f>素材!M92&amp;".webp"</f>
        <v>.webp</v>
      </c>
      <c r="BP197" t="str">
        <f t="shared" ref="BP197:BP260" si="7">"i_"&amp;ROW(BP197)</f>
        <v>i_197</v>
      </c>
    </row>
    <row r="198" spans="3:68" outlineLevel="1" x14ac:dyDescent="0.4">
      <c r="D198" s="24"/>
      <c r="BM198">
        <f t="shared" ref="BM198:BM261" si="8">BL198*100</f>
        <v>0</v>
      </c>
      <c r="BO198" t="str">
        <f>素材!M93&amp;".webp"</f>
        <v>.webp</v>
      </c>
      <c r="BP198" t="str">
        <f t="shared" si="7"/>
        <v>i_198</v>
      </c>
    </row>
    <row r="199" spans="3:68" outlineLevel="1" x14ac:dyDescent="0.4">
      <c r="D199" s="24"/>
      <c r="BM199">
        <f t="shared" si="8"/>
        <v>0</v>
      </c>
      <c r="BO199" t="str">
        <f>素材!M94&amp;".webp"</f>
        <v>.webp</v>
      </c>
      <c r="BP199" t="str">
        <f t="shared" si="7"/>
        <v>i_199</v>
      </c>
    </row>
    <row r="200" spans="3:68" outlineLevel="1" x14ac:dyDescent="0.4">
      <c r="D200" s="24"/>
      <c r="BM200">
        <f t="shared" si="8"/>
        <v>0</v>
      </c>
      <c r="BO200" t="str">
        <f>素材!M95&amp;".webp"</f>
        <v>.webp</v>
      </c>
      <c r="BP200" t="str">
        <f t="shared" si="7"/>
        <v>i_200</v>
      </c>
    </row>
    <row r="201" spans="3:68" outlineLevel="1" x14ac:dyDescent="0.4">
      <c r="D201" s="24"/>
      <c r="BM201">
        <f t="shared" si="8"/>
        <v>0</v>
      </c>
      <c r="BO201" t="str">
        <f>素材!M96&amp;".webp"</f>
        <v>.webp</v>
      </c>
      <c r="BP201" t="str">
        <f t="shared" si="7"/>
        <v>i_201</v>
      </c>
    </row>
    <row r="202" spans="3:68" outlineLevel="1" x14ac:dyDescent="0.4">
      <c r="D202" s="24"/>
      <c r="BM202">
        <f t="shared" si="8"/>
        <v>0</v>
      </c>
      <c r="BO202" t="str">
        <f>素材!M97&amp;".webp"</f>
        <v>.webp</v>
      </c>
      <c r="BP202" t="str">
        <f t="shared" si="7"/>
        <v>i_202</v>
      </c>
    </row>
    <row r="203" spans="3:68" outlineLevel="1" x14ac:dyDescent="0.4">
      <c r="D203" s="24"/>
      <c r="BM203">
        <f t="shared" si="8"/>
        <v>0</v>
      </c>
      <c r="BO203" t="str">
        <f>素材!M98&amp;".webp"</f>
        <v>.webp</v>
      </c>
      <c r="BP203" t="str">
        <f t="shared" si="7"/>
        <v>i_203</v>
      </c>
    </row>
    <row r="204" spans="3:68" outlineLevel="1" x14ac:dyDescent="0.4">
      <c r="D204" s="24"/>
      <c r="BM204">
        <f t="shared" si="8"/>
        <v>0</v>
      </c>
      <c r="BO204" t="str">
        <f>素材!M99&amp;".webp"</f>
        <v>.webp</v>
      </c>
      <c r="BP204" t="str">
        <f t="shared" si="7"/>
        <v>i_204</v>
      </c>
    </row>
    <row r="205" spans="3:68" x14ac:dyDescent="0.4">
      <c r="D205" s="24"/>
      <c r="BM205">
        <f t="shared" si="8"/>
        <v>0</v>
      </c>
      <c r="BO205" t="str">
        <f>素材!M100&amp;".webp"</f>
        <v>.webp</v>
      </c>
      <c r="BP205" t="str">
        <f t="shared" si="7"/>
        <v>i_205</v>
      </c>
    </row>
    <row r="206" spans="3:68" x14ac:dyDescent="0.4">
      <c r="C206" s="24"/>
      <c r="D206" s="24"/>
      <c r="BM206">
        <f t="shared" si="8"/>
        <v>0</v>
      </c>
      <c r="BO206" t="str">
        <f>素材!M101&amp;".webp"</f>
        <v>.webp</v>
      </c>
      <c r="BP206" t="str">
        <f t="shared" si="7"/>
        <v>i_206</v>
      </c>
    </row>
    <row r="207" spans="3:68" outlineLevel="1" x14ac:dyDescent="0.4">
      <c r="C207" s="24"/>
      <c r="D207" s="24"/>
      <c r="BM207">
        <f t="shared" si="8"/>
        <v>0</v>
      </c>
      <c r="BO207" t="str">
        <f>素材!M102&amp;".webp"</f>
        <v>.webp</v>
      </c>
      <c r="BP207" t="str">
        <f t="shared" si="7"/>
        <v>i_207</v>
      </c>
    </row>
    <row r="208" spans="3:68" outlineLevel="1" x14ac:dyDescent="0.4">
      <c r="C208" s="24"/>
      <c r="D208" s="24"/>
      <c r="BM208">
        <f t="shared" si="8"/>
        <v>0</v>
      </c>
      <c r="BO208" t="str">
        <f>素材!M103&amp;".webp"</f>
        <v>.webp</v>
      </c>
      <c r="BP208" t="str">
        <f t="shared" si="7"/>
        <v>i_208</v>
      </c>
    </row>
    <row r="209" spans="3:68" outlineLevel="1" x14ac:dyDescent="0.4">
      <c r="C209" s="24"/>
      <c r="D209" s="24"/>
      <c r="BM209">
        <f t="shared" si="8"/>
        <v>0</v>
      </c>
      <c r="BO209" t="str">
        <f>素材!M104&amp;".webp"</f>
        <v>.webp</v>
      </c>
      <c r="BP209" t="str">
        <f t="shared" si="7"/>
        <v>i_209</v>
      </c>
    </row>
    <row r="210" spans="3:68" outlineLevel="1" x14ac:dyDescent="0.4">
      <c r="C210" s="24"/>
      <c r="D210" s="24"/>
      <c r="BM210">
        <f t="shared" si="8"/>
        <v>0</v>
      </c>
      <c r="BO210" t="str">
        <f>素材!M105&amp;".webp"</f>
        <v>.webp</v>
      </c>
      <c r="BP210" t="str">
        <f t="shared" si="7"/>
        <v>i_210</v>
      </c>
    </row>
    <row r="211" spans="3:68" outlineLevel="1" x14ac:dyDescent="0.4">
      <c r="C211" s="24"/>
      <c r="D211" s="24"/>
      <c r="BM211">
        <f t="shared" si="8"/>
        <v>0</v>
      </c>
      <c r="BO211" t="str">
        <f>素材!M106&amp;".webp"</f>
        <v>.webp</v>
      </c>
      <c r="BP211" t="str">
        <f t="shared" si="7"/>
        <v>i_211</v>
      </c>
    </row>
    <row r="212" spans="3:68" outlineLevel="1" x14ac:dyDescent="0.4">
      <c r="C212" s="24"/>
      <c r="D212" s="24"/>
      <c r="BM212">
        <f t="shared" si="8"/>
        <v>0</v>
      </c>
      <c r="BO212" t="str">
        <f>素材!M107&amp;".webp"</f>
        <v>.webp</v>
      </c>
      <c r="BP212" t="str">
        <f t="shared" si="7"/>
        <v>i_212</v>
      </c>
    </row>
    <row r="213" spans="3:68" outlineLevel="1" x14ac:dyDescent="0.4">
      <c r="C213" s="24"/>
      <c r="D213" s="24"/>
      <c r="BM213">
        <f t="shared" si="8"/>
        <v>0</v>
      </c>
      <c r="BO213" t="str">
        <f>素材!M108&amp;".webp"</f>
        <v>.webp</v>
      </c>
      <c r="BP213" t="str">
        <f t="shared" si="7"/>
        <v>i_213</v>
      </c>
    </row>
    <row r="214" spans="3:68" outlineLevel="1" x14ac:dyDescent="0.4">
      <c r="C214" s="24"/>
      <c r="D214" s="24"/>
      <c r="BM214">
        <f t="shared" si="8"/>
        <v>0</v>
      </c>
      <c r="BO214" t="str">
        <f>素材!M109&amp;".webp"</f>
        <v>.webp</v>
      </c>
      <c r="BP214" t="str">
        <f t="shared" si="7"/>
        <v>i_214</v>
      </c>
    </row>
    <row r="215" spans="3:68" outlineLevel="1" x14ac:dyDescent="0.4">
      <c r="C215" s="24"/>
      <c r="D215" s="24"/>
      <c r="BM215">
        <f t="shared" si="8"/>
        <v>0</v>
      </c>
      <c r="BO215" t="str">
        <f>素材!M110&amp;".webp"</f>
        <v>.webp</v>
      </c>
      <c r="BP215" t="str">
        <f t="shared" si="7"/>
        <v>i_215</v>
      </c>
    </row>
    <row r="216" spans="3:68" outlineLevel="1" x14ac:dyDescent="0.4">
      <c r="C216" s="24"/>
      <c r="D216" s="24"/>
      <c r="BM216">
        <f t="shared" si="8"/>
        <v>0</v>
      </c>
      <c r="BO216" t="str">
        <f>素材!M111&amp;".webp"</f>
        <v>.webp</v>
      </c>
      <c r="BP216" t="str">
        <f t="shared" si="7"/>
        <v>i_216</v>
      </c>
    </row>
    <row r="217" spans="3:68" outlineLevel="1" x14ac:dyDescent="0.4">
      <c r="C217" s="24"/>
      <c r="D217" s="24"/>
      <c r="BM217">
        <f t="shared" si="8"/>
        <v>0</v>
      </c>
      <c r="BO217" t="str">
        <f>素材!M112&amp;".webp"</f>
        <v>.webp</v>
      </c>
      <c r="BP217" t="str">
        <f t="shared" si="7"/>
        <v>i_217</v>
      </c>
    </row>
    <row r="218" spans="3:68" outlineLevel="1" x14ac:dyDescent="0.4">
      <c r="C218" s="24"/>
      <c r="D218" s="24"/>
      <c r="BM218">
        <f t="shared" si="8"/>
        <v>0</v>
      </c>
      <c r="BO218" t="str">
        <f>素材!M113&amp;".webp"</f>
        <v>.webp</v>
      </c>
      <c r="BP218" t="str">
        <f t="shared" si="7"/>
        <v>i_218</v>
      </c>
    </row>
    <row r="219" spans="3:68" outlineLevel="1" x14ac:dyDescent="0.4">
      <c r="C219" s="24"/>
      <c r="D219" s="24"/>
      <c r="BM219">
        <f t="shared" si="8"/>
        <v>0</v>
      </c>
      <c r="BO219" t="str">
        <f>素材!M114&amp;".webp"</f>
        <v>.webp</v>
      </c>
      <c r="BP219" t="str">
        <f t="shared" si="7"/>
        <v>i_219</v>
      </c>
    </row>
    <row r="220" spans="3:68" outlineLevel="1" x14ac:dyDescent="0.4">
      <c r="D220" s="24"/>
      <c r="BM220">
        <f t="shared" si="8"/>
        <v>0</v>
      </c>
      <c r="BO220" t="str">
        <f>素材!M115&amp;".webp"</f>
        <v>.webp</v>
      </c>
      <c r="BP220" t="str">
        <f t="shared" si="7"/>
        <v>i_220</v>
      </c>
    </row>
    <row r="221" spans="3:68" outlineLevel="1" x14ac:dyDescent="0.4">
      <c r="D221" s="24"/>
      <c r="BM221">
        <f t="shared" si="8"/>
        <v>0</v>
      </c>
      <c r="BO221" t="str">
        <f>素材!M116&amp;".webp"</f>
        <v>.webp</v>
      </c>
      <c r="BP221" t="str">
        <f t="shared" si="7"/>
        <v>i_221</v>
      </c>
    </row>
    <row r="222" spans="3:68" outlineLevel="1" x14ac:dyDescent="0.4">
      <c r="D222" s="24"/>
      <c r="BM222">
        <f t="shared" si="8"/>
        <v>0</v>
      </c>
      <c r="BO222" t="str">
        <f>素材!M117&amp;".webp"</f>
        <v>.webp</v>
      </c>
      <c r="BP222" t="str">
        <f t="shared" si="7"/>
        <v>i_222</v>
      </c>
    </row>
    <row r="223" spans="3:68" outlineLevel="1" x14ac:dyDescent="0.4">
      <c r="D223" s="24"/>
      <c r="BM223">
        <f t="shared" si="8"/>
        <v>0</v>
      </c>
      <c r="BO223" t="str">
        <f>素材!M118&amp;".webp"</f>
        <v>.webp</v>
      </c>
      <c r="BP223" t="str">
        <f t="shared" si="7"/>
        <v>i_223</v>
      </c>
    </row>
    <row r="224" spans="3:68" outlineLevel="1" x14ac:dyDescent="0.4">
      <c r="D224" s="24"/>
      <c r="BM224">
        <f t="shared" si="8"/>
        <v>0</v>
      </c>
      <c r="BO224" t="str">
        <f>素材!M119&amp;".webp"</f>
        <v>.webp</v>
      </c>
      <c r="BP224" t="str">
        <f t="shared" si="7"/>
        <v>i_224</v>
      </c>
    </row>
    <row r="225" spans="4:68" outlineLevel="1" x14ac:dyDescent="0.4">
      <c r="D225" s="24"/>
      <c r="BM225">
        <f t="shared" si="8"/>
        <v>0</v>
      </c>
      <c r="BO225" t="str">
        <f>素材!M120&amp;".webp"</f>
        <v>.webp</v>
      </c>
      <c r="BP225" t="str">
        <f t="shared" si="7"/>
        <v>i_225</v>
      </c>
    </row>
    <row r="226" spans="4:68" outlineLevel="1" x14ac:dyDescent="0.4">
      <c r="D226" s="24"/>
      <c r="BM226">
        <f t="shared" si="8"/>
        <v>0</v>
      </c>
      <c r="BO226" t="str">
        <f>素材!M121&amp;".webp"</f>
        <v>.webp</v>
      </c>
      <c r="BP226" t="str">
        <f t="shared" si="7"/>
        <v>i_226</v>
      </c>
    </row>
    <row r="227" spans="4:68" outlineLevel="1" x14ac:dyDescent="0.4">
      <c r="D227" s="24"/>
      <c r="BM227">
        <f t="shared" si="8"/>
        <v>0</v>
      </c>
      <c r="BO227" t="str">
        <f>素材!M122&amp;".webp"</f>
        <v>.webp</v>
      </c>
      <c r="BP227" t="str">
        <f t="shared" si="7"/>
        <v>i_227</v>
      </c>
    </row>
    <row r="228" spans="4:68" outlineLevel="1" x14ac:dyDescent="0.4">
      <c r="D228" s="24"/>
      <c r="BM228">
        <f t="shared" si="8"/>
        <v>0</v>
      </c>
      <c r="BO228" t="str">
        <f>素材!M123&amp;".webp"</f>
        <v>.webp</v>
      </c>
      <c r="BP228" t="str">
        <f t="shared" si="7"/>
        <v>i_228</v>
      </c>
    </row>
    <row r="229" spans="4:68" outlineLevel="1" x14ac:dyDescent="0.4">
      <c r="D229" s="24"/>
      <c r="BM229">
        <f t="shared" si="8"/>
        <v>0</v>
      </c>
      <c r="BO229" t="str">
        <f>素材!M124&amp;".webp"</f>
        <v>.webp</v>
      </c>
      <c r="BP229" t="str">
        <f t="shared" si="7"/>
        <v>i_229</v>
      </c>
    </row>
    <row r="230" spans="4:68" outlineLevel="1" x14ac:dyDescent="0.4">
      <c r="D230" s="24"/>
      <c r="BM230">
        <f t="shared" si="8"/>
        <v>0</v>
      </c>
      <c r="BO230" t="str">
        <f>素材!M125&amp;".webp"</f>
        <v>.webp</v>
      </c>
      <c r="BP230" t="str">
        <f t="shared" si="7"/>
        <v>i_230</v>
      </c>
    </row>
    <row r="231" spans="4:68" outlineLevel="1" x14ac:dyDescent="0.4">
      <c r="D231" s="24"/>
      <c r="BM231">
        <f t="shared" si="8"/>
        <v>0</v>
      </c>
      <c r="BO231" t="str">
        <f>素材!M126&amp;".webp"</f>
        <v>.webp</v>
      </c>
      <c r="BP231" t="str">
        <f t="shared" si="7"/>
        <v>i_231</v>
      </c>
    </row>
    <row r="232" spans="4:68" outlineLevel="1" x14ac:dyDescent="0.4">
      <c r="D232" s="24"/>
      <c r="BM232">
        <f t="shared" si="8"/>
        <v>0</v>
      </c>
      <c r="BO232" t="str">
        <f>素材!M127&amp;".webp"</f>
        <v>.webp</v>
      </c>
      <c r="BP232" t="str">
        <f t="shared" si="7"/>
        <v>i_232</v>
      </c>
    </row>
    <row r="233" spans="4:68" outlineLevel="1" x14ac:dyDescent="0.4">
      <c r="D233" s="24"/>
      <c r="BM233">
        <f t="shared" si="8"/>
        <v>0</v>
      </c>
      <c r="BO233" t="str">
        <f>素材!M128&amp;".webp"</f>
        <v>.webp</v>
      </c>
      <c r="BP233" t="str">
        <f t="shared" si="7"/>
        <v>i_233</v>
      </c>
    </row>
    <row r="234" spans="4:68" outlineLevel="1" x14ac:dyDescent="0.4">
      <c r="D234" s="24"/>
      <c r="BM234">
        <f t="shared" si="8"/>
        <v>0</v>
      </c>
      <c r="BO234" t="str">
        <f>素材!M129&amp;".webp"</f>
        <v>.webp</v>
      </c>
      <c r="BP234" t="str">
        <f t="shared" si="7"/>
        <v>i_234</v>
      </c>
    </row>
    <row r="235" spans="4:68" outlineLevel="1" x14ac:dyDescent="0.4">
      <c r="D235" s="24"/>
      <c r="BM235">
        <f t="shared" si="8"/>
        <v>0</v>
      </c>
      <c r="BO235" t="str">
        <f>素材!M130&amp;".webp"</f>
        <v>.webp</v>
      </c>
      <c r="BP235" t="str">
        <f t="shared" si="7"/>
        <v>i_235</v>
      </c>
    </row>
    <row r="236" spans="4:68" outlineLevel="1" x14ac:dyDescent="0.4">
      <c r="D236" s="24"/>
      <c r="BM236">
        <f t="shared" si="8"/>
        <v>0</v>
      </c>
      <c r="BO236" t="str">
        <f>素材!M131&amp;".webp"</f>
        <v>.webp</v>
      </c>
      <c r="BP236" t="str">
        <f t="shared" si="7"/>
        <v>i_236</v>
      </c>
    </row>
    <row r="237" spans="4:68" outlineLevel="1" x14ac:dyDescent="0.4">
      <c r="D237" s="24"/>
      <c r="BM237">
        <f t="shared" si="8"/>
        <v>0</v>
      </c>
      <c r="BO237" t="str">
        <f>素材!M132&amp;".webp"</f>
        <v>.webp</v>
      </c>
      <c r="BP237" t="str">
        <f t="shared" si="7"/>
        <v>i_237</v>
      </c>
    </row>
    <row r="238" spans="4:68" outlineLevel="1" x14ac:dyDescent="0.4">
      <c r="D238" s="24"/>
      <c r="BM238">
        <f t="shared" si="8"/>
        <v>0</v>
      </c>
      <c r="BO238" t="str">
        <f>素材!M133&amp;".webp"</f>
        <v>.webp</v>
      </c>
      <c r="BP238" t="str">
        <f t="shared" si="7"/>
        <v>i_238</v>
      </c>
    </row>
    <row r="239" spans="4:68" outlineLevel="1" x14ac:dyDescent="0.4">
      <c r="D239" s="24"/>
      <c r="BM239">
        <f t="shared" si="8"/>
        <v>0</v>
      </c>
      <c r="BO239" t="str">
        <f>素材!M134&amp;".webp"</f>
        <v>.webp</v>
      </c>
      <c r="BP239" t="str">
        <f t="shared" si="7"/>
        <v>i_239</v>
      </c>
    </row>
    <row r="240" spans="4:68" outlineLevel="1" x14ac:dyDescent="0.4">
      <c r="D240" s="24"/>
      <c r="BM240">
        <f t="shared" si="8"/>
        <v>0</v>
      </c>
      <c r="BO240" t="str">
        <f>素材!M135&amp;".webp"</f>
        <v>.webp</v>
      </c>
      <c r="BP240" t="str">
        <f t="shared" si="7"/>
        <v>i_240</v>
      </c>
    </row>
    <row r="241" spans="3:68" outlineLevel="1" x14ac:dyDescent="0.4">
      <c r="D241" s="24"/>
      <c r="BM241">
        <f t="shared" si="8"/>
        <v>0</v>
      </c>
      <c r="BO241" t="str">
        <f>素材!M136&amp;".webp"</f>
        <v>.webp</v>
      </c>
      <c r="BP241" t="str">
        <f t="shared" si="7"/>
        <v>i_241</v>
      </c>
    </row>
    <row r="242" spans="3:68" outlineLevel="1" x14ac:dyDescent="0.4">
      <c r="D242" s="24"/>
      <c r="BM242">
        <f t="shared" si="8"/>
        <v>0</v>
      </c>
      <c r="BO242" t="str">
        <f>素材!M137&amp;".webp"</f>
        <v>.webp</v>
      </c>
      <c r="BP242" t="str">
        <f t="shared" si="7"/>
        <v>i_242</v>
      </c>
    </row>
    <row r="243" spans="3:68" outlineLevel="1" x14ac:dyDescent="0.4">
      <c r="D243" s="24"/>
      <c r="BM243">
        <f t="shared" si="8"/>
        <v>0</v>
      </c>
      <c r="BO243" t="str">
        <f>素材!M138&amp;".webp"</f>
        <v>.webp</v>
      </c>
      <c r="BP243" t="str">
        <f t="shared" si="7"/>
        <v>i_243</v>
      </c>
    </row>
    <row r="244" spans="3:68" outlineLevel="1" x14ac:dyDescent="0.4">
      <c r="D244" s="24"/>
      <c r="BM244">
        <f t="shared" si="8"/>
        <v>0</v>
      </c>
      <c r="BO244" t="str">
        <f>素材!M139&amp;".webp"</f>
        <v>.webp</v>
      </c>
      <c r="BP244" t="str">
        <f t="shared" si="7"/>
        <v>i_244</v>
      </c>
    </row>
    <row r="245" spans="3:68" outlineLevel="1" x14ac:dyDescent="0.4">
      <c r="D245" s="24"/>
      <c r="BM245">
        <f t="shared" si="8"/>
        <v>0</v>
      </c>
      <c r="BO245" t="str">
        <f>素材!M140&amp;".webp"</f>
        <v>.webp</v>
      </c>
      <c r="BP245" t="str">
        <f t="shared" si="7"/>
        <v>i_245</v>
      </c>
    </row>
    <row r="246" spans="3:68" outlineLevel="1" x14ac:dyDescent="0.4">
      <c r="D246" s="24"/>
      <c r="BM246">
        <f t="shared" si="8"/>
        <v>0</v>
      </c>
      <c r="BO246" t="str">
        <f>素材!M141&amp;".webp"</f>
        <v>.webp</v>
      </c>
      <c r="BP246" t="str">
        <f t="shared" si="7"/>
        <v>i_246</v>
      </c>
    </row>
    <row r="247" spans="3:68" outlineLevel="1" x14ac:dyDescent="0.4">
      <c r="D247" s="24"/>
      <c r="BM247">
        <f t="shared" si="8"/>
        <v>0</v>
      </c>
      <c r="BO247" t="str">
        <f>素材!M142&amp;".webp"</f>
        <v>.webp</v>
      </c>
      <c r="BP247" t="str">
        <f t="shared" si="7"/>
        <v>i_247</v>
      </c>
    </row>
    <row r="248" spans="3:68" outlineLevel="1" x14ac:dyDescent="0.4">
      <c r="D248" s="24"/>
      <c r="BM248">
        <f t="shared" si="8"/>
        <v>0</v>
      </c>
      <c r="BO248" t="str">
        <f>素材!M143&amp;".webp"</f>
        <v>.webp</v>
      </c>
      <c r="BP248" t="str">
        <f t="shared" si="7"/>
        <v>i_248</v>
      </c>
    </row>
    <row r="249" spans="3:68" outlineLevel="1" x14ac:dyDescent="0.4">
      <c r="D249" s="24"/>
      <c r="BM249">
        <f t="shared" si="8"/>
        <v>0</v>
      </c>
      <c r="BO249" t="str">
        <f>素材!M144&amp;".webp"</f>
        <v>.webp</v>
      </c>
      <c r="BP249" t="str">
        <f t="shared" si="7"/>
        <v>i_249</v>
      </c>
    </row>
    <row r="250" spans="3:68" outlineLevel="1" x14ac:dyDescent="0.4">
      <c r="D250" s="24"/>
      <c r="BM250">
        <f t="shared" si="8"/>
        <v>0</v>
      </c>
      <c r="BO250" t="str">
        <f>素材!M145&amp;".webp"</f>
        <v>.webp</v>
      </c>
      <c r="BP250" t="str">
        <f t="shared" si="7"/>
        <v>i_250</v>
      </c>
    </row>
    <row r="251" spans="3:68" outlineLevel="1" x14ac:dyDescent="0.4">
      <c r="D251" s="24"/>
      <c r="BM251">
        <f t="shared" si="8"/>
        <v>0</v>
      </c>
      <c r="BO251" t="str">
        <f>素材!M146&amp;".webp"</f>
        <v>.webp</v>
      </c>
      <c r="BP251" t="str">
        <f t="shared" si="7"/>
        <v>i_251</v>
      </c>
    </row>
    <row r="252" spans="3:68" outlineLevel="1" x14ac:dyDescent="0.4">
      <c r="D252" s="24"/>
      <c r="BM252">
        <f t="shared" si="8"/>
        <v>0</v>
      </c>
      <c r="BO252" t="str">
        <f>素材!M147&amp;".webp"</f>
        <v>.webp</v>
      </c>
      <c r="BP252" t="str">
        <f t="shared" si="7"/>
        <v>i_252</v>
      </c>
    </row>
    <row r="253" spans="3:68" outlineLevel="1" x14ac:dyDescent="0.4">
      <c r="D253" s="24"/>
      <c r="BM253">
        <f t="shared" si="8"/>
        <v>0</v>
      </c>
      <c r="BO253" t="str">
        <f>素材!M148&amp;".webp"</f>
        <v>.webp</v>
      </c>
      <c r="BP253" t="str">
        <f t="shared" si="7"/>
        <v>i_253</v>
      </c>
    </row>
    <row r="254" spans="3:68" outlineLevel="1" x14ac:dyDescent="0.4">
      <c r="D254" s="24"/>
      <c r="BM254">
        <f t="shared" si="8"/>
        <v>0</v>
      </c>
      <c r="BO254" t="str">
        <f>素材!M149&amp;".webp"</f>
        <v>.webp</v>
      </c>
      <c r="BP254" t="str">
        <f t="shared" si="7"/>
        <v>i_254</v>
      </c>
    </row>
    <row r="255" spans="3:68" outlineLevel="1" x14ac:dyDescent="0.4">
      <c r="C255" s="24"/>
      <c r="D255" s="24"/>
      <c r="BM255">
        <f t="shared" si="8"/>
        <v>0</v>
      </c>
      <c r="BO255" t="str">
        <f>素材!M150&amp;".webp"</f>
        <v>.webp</v>
      </c>
      <c r="BP255" t="str">
        <f t="shared" si="7"/>
        <v>i_255</v>
      </c>
    </row>
    <row r="256" spans="3:68" outlineLevel="1" x14ac:dyDescent="0.4">
      <c r="C256" s="24"/>
      <c r="D256" s="24"/>
      <c r="BM256">
        <f t="shared" si="8"/>
        <v>0</v>
      </c>
      <c r="BO256" t="str">
        <f>素材!M151&amp;".webp"</f>
        <v>.webp</v>
      </c>
      <c r="BP256" t="str">
        <f t="shared" si="7"/>
        <v>i_256</v>
      </c>
    </row>
    <row r="257" spans="3:68" outlineLevel="1" x14ac:dyDescent="0.4">
      <c r="C257" s="24"/>
      <c r="D257" s="24"/>
      <c r="BM257">
        <f t="shared" si="8"/>
        <v>0</v>
      </c>
      <c r="BO257" t="str">
        <f>素材!M152&amp;".webp"</f>
        <v>.webp</v>
      </c>
      <c r="BP257" t="str">
        <f t="shared" si="7"/>
        <v>i_257</v>
      </c>
    </row>
    <row r="258" spans="3:68" outlineLevel="1" x14ac:dyDescent="0.4">
      <c r="C258" s="24"/>
      <c r="D258" s="24"/>
      <c r="BM258">
        <f t="shared" si="8"/>
        <v>0</v>
      </c>
      <c r="BO258" t="str">
        <f>素材!M153&amp;".webp"</f>
        <v>.webp</v>
      </c>
      <c r="BP258" t="str">
        <f t="shared" si="7"/>
        <v>i_258</v>
      </c>
    </row>
    <row r="259" spans="3:68" outlineLevel="1" x14ac:dyDescent="0.4">
      <c r="C259" s="24"/>
      <c r="D259" s="24"/>
      <c r="BM259">
        <f t="shared" si="8"/>
        <v>0</v>
      </c>
      <c r="BO259" t="str">
        <f>素材!M154&amp;".webp"</f>
        <v>.webp</v>
      </c>
      <c r="BP259" t="str">
        <f t="shared" si="7"/>
        <v>i_259</v>
      </c>
    </row>
    <row r="260" spans="3:68" outlineLevel="1" x14ac:dyDescent="0.4">
      <c r="C260" s="24"/>
      <c r="D260" s="24"/>
      <c r="BM260">
        <f t="shared" si="8"/>
        <v>0</v>
      </c>
      <c r="BO260" t="str">
        <f>素材!M155&amp;".webp"</f>
        <v>.webp</v>
      </c>
      <c r="BP260" t="str">
        <f t="shared" si="7"/>
        <v>i_260</v>
      </c>
    </row>
    <row r="261" spans="3:68" outlineLevel="1" x14ac:dyDescent="0.4">
      <c r="C261" s="24"/>
      <c r="D261" s="24"/>
      <c r="BM261">
        <f t="shared" si="8"/>
        <v>0</v>
      </c>
      <c r="BO261" t="str">
        <f>素材!M156&amp;".webp"</f>
        <v>.webp</v>
      </c>
      <c r="BP261" t="str">
        <f t="shared" ref="BP261:BP324" si="9">"i_"&amp;ROW(BP261)</f>
        <v>i_261</v>
      </c>
    </row>
    <row r="262" spans="3:68" outlineLevel="1" x14ac:dyDescent="0.4">
      <c r="C262" s="24"/>
      <c r="D262" s="24"/>
      <c r="BM262">
        <f t="shared" ref="BM262:BM325" si="10">BL262*100</f>
        <v>0</v>
      </c>
      <c r="BO262" t="str">
        <f>素材!M157&amp;".webp"</f>
        <v>.webp</v>
      </c>
      <c r="BP262" t="str">
        <f t="shared" si="9"/>
        <v>i_262</v>
      </c>
    </row>
    <row r="263" spans="3:68" outlineLevel="1" x14ac:dyDescent="0.4">
      <c r="C263" s="24"/>
      <c r="D263" s="24"/>
      <c r="BM263">
        <f t="shared" si="10"/>
        <v>0</v>
      </c>
      <c r="BO263" t="str">
        <f>素材!M158&amp;".webp"</f>
        <v>.webp</v>
      </c>
      <c r="BP263" t="str">
        <f t="shared" si="9"/>
        <v>i_263</v>
      </c>
    </row>
    <row r="264" spans="3:68" outlineLevel="1" x14ac:dyDescent="0.4">
      <c r="C264" s="24"/>
      <c r="D264" s="24"/>
      <c r="BM264">
        <f t="shared" si="10"/>
        <v>0</v>
      </c>
      <c r="BO264" t="str">
        <f>素材!M159&amp;".webp"</f>
        <v>.webp</v>
      </c>
      <c r="BP264" t="str">
        <f t="shared" si="9"/>
        <v>i_264</v>
      </c>
    </row>
    <row r="265" spans="3:68" outlineLevel="1" x14ac:dyDescent="0.4">
      <c r="C265" s="24"/>
      <c r="D265" s="24"/>
      <c r="BM265">
        <f t="shared" si="10"/>
        <v>0</v>
      </c>
      <c r="BO265" t="str">
        <f>素材!M160&amp;".webp"</f>
        <v>.webp</v>
      </c>
      <c r="BP265" t="str">
        <f t="shared" si="9"/>
        <v>i_265</v>
      </c>
    </row>
    <row r="266" spans="3:68" outlineLevel="1" x14ac:dyDescent="0.4">
      <c r="C266" s="24"/>
      <c r="D266" s="24"/>
      <c r="BM266">
        <f t="shared" si="10"/>
        <v>0</v>
      </c>
      <c r="BO266" t="str">
        <f>素材!M161&amp;".webp"</f>
        <v>.webp</v>
      </c>
      <c r="BP266" t="str">
        <f t="shared" si="9"/>
        <v>i_266</v>
      </c>
    </row>
    <row r="267" spans="3:68" outlineLevel="1" x14ac:dyDescent="0.4">
      <c r="C267" s="24"/>
      <c r="D267" s="24"/>
      <c r="BM267">
        <f t="shared" si="10"/>
        <v>0</v>
      </c>
      <c r="BO267" t="str">
        <f>素材!M162&amp;".webp"</f>
        <v>.webp</v>
      </c>
      <c r="BP267" t="str">
        <f t="shared" si="9"/>
        <v>i_267</v>
      </c>
    </row>
    <row r="268" spans="3:68" outlineLevel="1" x14ac:dyDescent="0.4">
      <c r="C268" s="24"/>
      <c r="D268" s="24"/>
      <c r="BM268">
        <f t="shared" si="10"/>
        <v>0</v>
      </c>
      <c r="BO268" t="str">
        <f>素材!M163&amp;".webp"</f>
        <v>.webp</v>
      </c>
      <c r="BP268" t="str">
        <f t="shared" si="9"/>
        <v>i_268</v>
      </c>
    </row>
    <row r="269" spans="3:68" outlineLevel="1" x14ac:dyDescent="0.4">
      <c r="D269" s="24"/>
      <c r="BM269">
        <f t="shared" si="10"/>
        <v>0</v>
      </c>
      <c r="BO269" t="str">
        <f>素材!M164&amp;".webp"</f>
        <v>.webp</v>
      </c>
      <c r="BP269" t="str">
        <f t="shared" si="9"/>
        <v>i_269</v>
      </c>
    </row>
    <row r="270" spans="3:68" outlineLevel="1" x14ac:dyDescent="0.4">
      <c r="D270" s="24"/>
      <c r="BM270">
        <f t="shared" si="10"/>
        <v>0</v>
      </c>
      <c r="BO270" t="str">
        <f>素材!M165&amp;".webp"</f>
        <v>.webp</v>
      </c>
      <c r="BP270" t="str">
        <f t="shared" si="9"/>
        <v>i_270</v>
      </c>
    </row>
    <row r="271" spans="3:68" outlineLevel="1" x14ac:dyDescent="0.4">
      <c r="D271" s="24"/>
      <c r="BM271">
        <f t="shared" si="10"/>
        <v>0</v>
      </c>
      <c r="BO271" t="str">
        <f>素材!M166&amp;".webp"</f>
        <v>.webp</v>
      </c>
      <c r="BP271" t="str">
        <f t="shared" si="9"/>
        <v>i_271</v>
      </c>
    </row>
    <row r="272" spans="3:68" outlineLevel="1" x14ac:dyDescent="0.4">
      <c r="D272" s="24"/>
      <c r="BM272">
        <f t="shared" si="10"/>
        <v>0</v>
      </c>
      <c r="BO272" t="str">
        <f>素材!M167&amp;".webp"</f>
        <v>.webp</v>
      </c>
      <c r="BP272" t="str">
        <f t="shared" si="9"/>
        <v>i_272</v>
      </c>
    </row>
    <row r="273" spans="4:68" outlineLevel="1" x14ac:dyDescent="0.4">
      <c r="D273" s="24"/>
      <c r="BM273">
        <f t="shared" si="10"/>
        <v>0</v>
      </c>
      <c r="BO273" t="str">
        <f>素材!M168&amp;".webp"</f>
        <v>.webp</v>
      </c>
      <c r="BP273" t="str">
        <f t="shared" si="9"/>
        <v>i_273</v>
      </c>
    </row>
    <row r="274" spans="4:68" outlineLevel="1" x14ac:dyDescent="0.4">
      <c r="D274" s="24"/>
      <c r="BM274">
        <f t="shared" si="10"/>
        <v>0</v>
      </c>
      <c r="BO274" t="str">
        <f>素材!M169&amp;".webp"</f>
        <v>.webp</v>
      </c>
      <c r="BP274" t="str">
        <f t="shared" si="9"/>
        <v>i_274</v>
      </c>
    </row>
    <row r="275" spans="4:68" outlineLevel="1" x14ac:dyDescent="0.4">
      <c r="D275" s="24"/>
      <c r="BM275">
        <f t="shared" si="10"/>
        <v>0</v>
      </c>
      <c r="BO275" t="str">
        <f>素材!M170&amp;".webp"</f>
        <v>.webp</v>
      </c>
      <c r="BP275" t="str">
        <f t="shared" si="9"/>
        <v>i_275</v>
      </c>
    </row>
    <row r="276" spans="4:68" outlineLevel="1" x14ac:dyDescent="0.4">
      <c r="D276" s="24"/>
      <c r="BM276">
        <f t="shared" si="10"/>
        <v>0</v>
      </c>
      <c r="BO276" t="str">
        <f>素材!M171&amp;".webp"</f>
        <v>.webp</v>
      </c>
      <c r="BP276" t="str">
        <f t="shared" si="9"/>
        <v>i_276</v>
      </c>
    </row>
    <row r="277" spans="4:68" outlineLevel="1" x14ac:dyDescent="0.4">
      <c r="D277" s="24"/>
      <c r="BM277">
        <f t="shared" si="10"/>
        <v>0</v>
      </c>
      <c r="BO277" t="str">
        <f>素材!M172&amp;".webp"</f>
        <v>.webp</v>
      </c>
      <c r="BP277" t="str">
        <f t="shared" si="9"/>
        <v>i_277</v>
      </c>
    </row>
    <row r="278" spans="4:68" outlineLevel="1" x14ac:dyDescent="0.4">
      <c r="D278" s="24"/>
      <c r="BM278">
        <f t="shared" si="10"/>
        <v>0</v>
      </c>
      <c r="BO278" t="str">
        <f>素材!M173&amp;".webp"</f>
        <v>.webp</v>
      </c>
      <c r="BP278" t="str">
        <f t="shared" si="9"/>
        <v>i_278</v>
      </c>
    </row>
    <row r="279" spans="4:68" outlineLevel="1" x14ac:dyDescent="0.4">
      <c r="D279" s="24"/>
      <c r="BM279">
        <f t="shared" si="10"/>
        <v>0</v>
      </c>
      <c r="BO279" t="str">
        <f>素材!M174&amp;".webp"</f>
        <v>.webp</v>
      </c>
      <c r="BP279" t="str">
        <f t="shared" si="9"/>
        <v>i_279</v>
      </c>
    </row>
    <row r="280" spans="4:68" outlineLevel="1" x14ac:dyDescent="0.4">
      <c r="D280" s="24"/>
      <c r="BM280">
        <f t="shared" si="10"/>
        <v>0</v>
      </c>
      <c r="BO280" t="str">
        <f>素材!M175&amp;".webp"</f>
        <v>.webp</v>
      </c>
      <c r="BP280" t="str">
        <f t="shared" si="9"/>
        <v>i_280</v>
      </c>
    </row>
    <row r="281" spans="4:68" outlineLevel="1" x14ac:dyDescent="0.4">
      <c r="D281" s="24"/>
      <c r="BM281">
        <f t="shared" si="10"/>
        <v>0</v>
      </c>
      <c r="BO281" t="str">
        <f>素材!M176&amp;".webp"</f>
        <v>.webp</v>
      </c>
      <c r="BP281" t="str">
        <f t="shared" si="9"/>
        <v>i_281</v>
      </c>
    </row>
    <row r="282" spans="4:68" outlineLevel="1" x14ac:dyDescent="0.4">
      <c r="D282" s="24"/>
      <c r="BM282">
        <f t="shared" si="10"/>
        <v>0</v>
      </c>
      <c r="BO282" t="str">
        <f>素材!M177&amp;".webp"</f>
        <v>.webp</v>
      </c>
      <c r="BP282" t="str">
        <f t="shared" si="9"/>
        <v>i_282</v>
      </c>
    </row>
    <row r="283" spans="4:68" outlineLevel="1" x14ac:dyDescent="0.4">
      <c r="D283" s="24"/>
      <c r="BM283">
        <f t="shared" si="10"/>
        <v>0</v>
      </c>
      <c r="BO283" t="str">
        <f>素材!M178&amp;".webp"</f>
        <v>.webp</v>
      </c>
      <c r="BP283" t="str">
        <f t="shared" si="9"/>
        <v>i_283</v>
      </c>
    </row>
    <row r="284" spans="4:68" outlineLevel="1" x14ac:dyDescent="0.4">
      <c r="D284" s="24"/>
      <c r="BM284">
        <f t="shared" si="10"/>
        <v>0</v>
      </c>
      <c r="BO284" t="str">
        <f>素材!M179&amp;".webp"</f>
        <v>.webp</v>
      </c>
      <c r="BP284" t="str">
        <f t="shared" si="9"/>
        <v>i_284</v>
      </c>
    </row>
    <row r="285" spans="4:68" outlineLevel="1" x14ac:dyDescent="0.4">
      <c r="D285" s="24"/>
      <c r="BM285">
        <f t="shared" si="10"/>
        <v>0</v>
      </c>
      <c r="BO285" t="str">
        <f>素材!M180&amp;".webp"</f>
        <v>.webp</v>
      </c>
      <c r="BP285" t="str">
        <f t="shared" si="9"/>
        <v>i_285</v>
      </c>
    </row>
    <row r="286" spans="4:68" outlineLevel="1" x14ac:dyDescent="0.4">
      <c r="D286" s="24"/>
      <c r="BM286">
        <f t="shared" si="10"/>
        <v>0</v>
      </c>
      <c r="BO286" t="str">
        <f>素材!M181&amp;".webp"</f>
        <v>.webp</v>
      </c>
      <c r="BP286" t="str">
        <f t="shared" si="9"/>
        <v>i_286</v>
      </c>
    </row>
    <row r="287" spans="4:68" outlineLevel="1" x14ac:dyDescent="0.4">
      <c r="D287" s="24"/>
      <c r="BM287">
        <f t="shared" si="10"/>
        <v>0</v>
      </c>
      <c r="BO287" t="str">
        <f>素材!M182&amp;".webp"</f>
        <v>.webp</v>
      </c>
      <c r="BP287" t="str">
        <f t="shared" si="9"/>
        <v>i_287</v>
      </c>
    </row>
    <row r="288" spans="4:68" outlineLevel="1" x14ac:dyDescent="0.4">
      <c r="D288" s="24"/>
      <c r="BM288">
        <f t="shared" si="10"/>
        <v>0</v>
      </c>
      <c r="BO288" t="str">
        <f>素材!M183&amp;".webp"</f>
        <v>.webp</v>
      </c>
      <c r="BP288" t="str">
        <f t="shared" si="9"/>
        <v>i_288</v>
      </c>
    </row>
    <row r="289" spans="3:68" outlineLevel="1" x14ac:dyDescent="0.4">
      <c r="D289" s="24"/>
      <c r="BM289">
        <f t="shared" si="10"/>
        <v>0</v>
      </c>
      <c r="BO289" t="str">
        <f>素材!M184&amp;".webp"</f>
        <v>.webp</v>
      </c>
      <c r="BP289" t="str">
        <f t="shared" si="9"/>
        <v>i_289</v>
      </c>
    </row>
    <row r="290" spans="3:68" outlineLevel="1" x14ac:dyDescent="0.4">
      <c r="D290" s="24"/>
      <c r="BM290">
        <f t="shared" si="10"/>
        <v>0</v>
      </c>
      <c r="BO290" t="str">
        <f>素材!M185&amp;".webp"</f>
        <v>.webp</v>
      </c>
      <c r="BP290" t="str">
        <f t="shared" si="9"/>
        <v>i_290</v>
      </c>
    </row>
    <row r="291" spans="3:68" outlineLevel="1" x14ac:dyDescent="0.4">
      <c r="D291" s="24"/>
      <c r="BM291">
        <f t="shared" si="10"/>
        <v>0</v>
      </c>
      <c r="BO291" t="str">
        <f>素材!M186&amp;".webp"</f>
        <v>.webp</v>
      </c>
      <c r="BP291" t="str">
        <f t="shared" si="9"/>
        <v>i_291</v>
      </c>
    </row>
    <row r="292" spans="3:68" outlineLevel="1" x14ac:dyDescent="0.4">
      <c r="D292" s="24"/>
      <c r="BM292">
        <f t="shared" si="10"/>
        <v>0</v>
      </c>
      <c r="BO292" t="str">
        <f>素材!M187&amp;".webp"</f>
        <v>.webp</v>
      </c>
      <c r="BP292" t="str">
        <f t="shared" si="9"/>
        <v>i_292</v>
      </c>
    </row>
    <row r="293" spans="3:68" outlineLevel="1" x14ac:dyDescent="0.4">
      <c r="D293" s="24"/>
      <c r="BM293">
        <f t="shared" si="10"/>
        <v>0</v>
      </c>
      <c r="BO293" t="str">
        <f>素材!M188&amp;".webp"</f>
        <v>.webp</v>
      </c>
      <c r="BP293" t="str">
        <f t="shared" si="9"/>
        <v>i_293</v>
      </c>
    </row>
    <row r="294" spans="3:68" outlineLevel="1" x14ac:dyDescent="0.4">
      <c r="D294" s="24"/>
      <c r="BM294">
        <f t="shared" si="10"/>
        <v>0</v>
      </c>
      <c r="BO294" t="str">
        <f>素材!M189&amp;".webp"</f>
        <v>.webp</v>
      </c>
      <c r="BP294" t="str">
        <f t="shared" si="9"/>
        <v>i_294</v>
      </c>
    </row>
    <row r="295" spans="3:68" outlineLevel="1" x14ac:dyDescent="0.4">
      <c r="D295" s="24"/>
      <c r="BM295">
        <f t="shared" si="10"/>
        <v>0</v>
      </c>
      <c r="BO295" t="str">
        <f>素材!M190&amp;".webp"</f>
        <v>.webp</v>
      </c>
      <c r="BP295" t="str">
        <f t="shared" si="9"/>
        <v>i_295</v>
      </c>
    </row>
    <row r="296" spans="3:68" outlineLevel="1" x14ac:dyDescent="0.4">
      <c r="D296" s="24"/>
      <c r="BM296">
        <f t="shared" si="10"/>
        <v>0</v>
      </c>
      <c r="BO296" t="str">
        <f>素材!M191&amp;".webp"</f>
        <v>.webp</v>
      </c>
      <c r="BP296" t="str">
        <f t="shared" si="9"/>
        <v>i_296</v>
      </c>
    </row>
    <row r="297" spans="3:68" outlineLevel="1" x14ac:dyDescent="0.4">
      <c r="D297" s="24"/>
      <c r="BM297">
        <f t="shared" si="10"/>
        <v>0</v>
      </c>
      <c r="BO297" t="str">
        <f>素材!M192&amp;".webp"</f>
        <v>.webp</v>
      </c>
      <c r="BP297" t="str">
        <f t="shared" si="9"/>
        <v>i_297</v>
      </c>
    </row>
    <row r="298" spans="3:68" outlineLevel="1" x14ac:dyDescent="0.4">
      <c r="D298" s="24"/>
      <c r="BM298">
        <f t="shared" si="10"/>
        <v>0</v>
      </c>
      <c r="BO298" t="str">
        <f>素材!M193&amp;".webp"</f>
        <v>.webp</v>
      </c>
      <c r="BP298" t="str">
        <f t="shared" si="9"/>
        <v>i_298</v>
      </c>
    </row>
    <row r="299" spans="3:68" outlineLevel="1" x14ac:dyDescent="0.4">
      <c r="D299" s="24"/>
      <c r="BM299">
        <f t="shared" si="10"/>
        <v>0</v>
      </c>
      <c r="BO299" t="str">
        <f>素材!M194&amp;".webp"</f>
        <v>.webp</v>
      </c>
      <c r="BP299" t="str">
        <f t="shared" si="9"/>
        <v>i_299</v>
      </c>
    </row>
    <row r="300" spans="3:68" outlineLevel="1" x14ac:dyDescent="0.4">
      <c r="D300" s="24"/>
      <c r="BM300">
        <f t="shared" si="10"/>
        <v>0</v>
      </c>
      <c r="BO300" t="str">
        <f>素材!M195&amp;".webp"</f>
        <v>.webp</v>
      </c>
      <c r="BP300" t="str">
        <f t="shared" si="9"/>
        <v>i_300</v>
      </c>
    </row>
    <row r="301" spans="3:68" outlineLevel="1" x14ac:dyDescent="0.4">
      <c r="D301" s="24"/>
      <c r="BM301">
        <f t="shared" si="10"/>
        <v>0</v>
      </c>
      <c r="BO301" t="str">
        <f>素材!M196&amp;".webp"</f>
        <v>.webp</v>
      </c>
      <c r="BP301" t="str">
        <f t="shared" si="9"/>
        <v>i_301</v>
      </c>
    </row>
    <row r="302" spans="3:68" outlineLevel="1" x14ac:dyDescent="0.4">
      <c r="D302" s="24"/>
      <c r="BM302">
        <f t="shared" si="10"/>
        <v>0</v>
      </c>
      <c r="BO302" t="str">
        <f>素材!M197&amp;".webp"</f>
        <v>.webp</v>
      </c>
      <c r="BP302" t="str">
        <f t="shared" si="9"/>
        <v>i_302</v>
      </c>
    </row>
    <row r="303" spans="3:68" outlineLevel="1" x14ac:dyDescent="0.4">
      <c r="D303" s="24"/>
      <c r="BM303">
        <f t="shared" si="10"/>
        <v>0</v>
      </c>
      <c r="BO303" t="str">
        <f>素材!M198&amp;".webp"</f>
        <v>.webp</v>
      </c>
      <c r="BP303" t="str">
        <f t="shared" si="9"/>
        <v>i_303</v>
      </c>
    </row>
    <row r="304" spans="3:68" outlineLevel="1" x14ac:dyDescent="0.4">
      <c r="C304" s="24"/>
      <c r="D304" s="24"/>
      <c r="BM304">
        <f t="shared" si="10"/>
        <v>0</v>
      </c>
      <c r="BO304" t="str">
        <f>素材!M199&amp;".webp"</f>
        <v>.webp</v>
      </c>
      <c r="BP304" t="str">
        <f t="shared" si="9"/>
        <v>i_304</v>
      </c>
    </row>
    <row r="305" spans="3:68" outlineLevel="1" x14ac:dyDescent="0.4">
      <c r="C305" s="24"/>
      <c r="D305" s="24"/>
      <c r="BM305">
        <f t="shared" si="10"/>
        <v>0</v>
      </c>
      <c r="BO305" t="str">
        <f>素材!M200&amp;".webp"</f>
        <v>.webp</v>
      </c>
      <c r="BP305" t="str">
        <f t="shared" si="9"/>
        <v>i_305</v>
      </c>
    </row>
    <row r="306" spans="3:68" outlineLevel="1" x14ac:dyDescent="0.4">
      <c r="C306" s="24"/>
      <c r="D306" s="24"/>
      <c r="BM306">
        <f t="shared" si="10"/>
        <v>0</v>
      </c>
      <c r="BO306" t="str">
        <f>素材!M201&amp;".webp"</f>
        <v>.webp</v>
      </c>
      <c r="BP306" t="str">
        <f t="shared" si="9"/>
        <v>i_306</v>
      </c>
    </row>
    <row r="307" spans="3:68" outlineLevel="1" x14ac:dyDescent="0.4">
      <c r="C307" s="24"/>
      <c r="D307" s="24"/>
      <c r="BM307">
        <f t="shared" si="10"/>
        <v>0</v>
      </c>
      <c r="BO307" t="str">
        <f>素材!M202&amp;".webp"</f>
        <v>.webp</v>
      </c>
      <c r="BP307" t="str">
        <f t="shared" si="9"/>
        <v>i_307</v>
      </c>
    </row>
    <row r="308" spans="3:68" outlineLevel="1" x14ac:dyDescent="0.4">
      <c r="C308" s="24"/>
      <c r="D308" s="24"/>
      <c r="BM308">
        <f t="shared" si="10"/>
        <v>0</v>
      </c>
      <c r="BO308" t="str">
        <f>素材!M203&amp;".webp"</f>
        <v>.webp</v>
      </c>
      <c r="BP308" t="str">
        <f t="shared" si="9"/>
        <v>i_308</v>
      </c>
    </row>
    <row r="309" spans="3:68" outlineLevel="1" x14ac:dyDescent="0.4">
      <c r="C309" s="24"/>
      <c r="D309" s="24"/>
      <c r="BM309">
        <f t="shared" si="10"/>
        <v>0</v>
      </c>
      <c r="BO309" t="str">
        <f>素材!M204&amp;".webp"</f>
        <v>.webp</v>
      </c>
      <c r="BP309" t="str">
        <f t="shared" si="9"/>
        <v>i_309</v>
      </c>
    </row>
    <row r="310" spans="3:68" outlineLevel="1" x14ac:dyDescent="0.4">
      <c r="C310" s="24"/>
      <c r="D310" s="24"/>
      <c r="BM310">
        <f t="shared" si="10"/>
        <v>0</v>
      </c>
      <c r="BO310" t="str">
        <f>素材!M205&amp;".webp"</f>
        <v>.webp</v>
      </c>
      <c r="BP310" t="str">
        <f t="shared" si="9"/>
        <v>i_310</v>
      </c>
    </row>
    <row r="311" spans="3:68" outlineLevel="1" x14ac:dyDescent="0.4">
      <c r="C311" s="24"/>
      <c r="D311" s="24"/>
      <c r="BM311">
        <f t="shared" si="10"/>
        <v>0</v>
      </c>
      <c r="BO311" t="str">
        <f>素材!M206&amp;".webp"</f>
        <v>.webp</v>
      </c>
      <c r="BP311" t="str">
        <f t="shared" si="9"/>
        <v>i_311</v>
      </c>
    </row>
    <row r="312" spans="3:68" outlineLevel="1" x14ac:dyDescent="0.4">
      <c r="C312" s="24"/>
      <c r="D312" s="24"/>
      <c r="BM312">
        <f t="shared" si="10"/>
        <v>0</v>
      </c>
      <c r="BO312" t="str">
        <f>素材!M207&amp;".webp"</f>
        <v>.webp</v>
      </c>
      <c r="BP312" t="str">
        <f t="shared" si="9"/>
        <v>i_312</v>
      </c>
    </row>
    <row r="313" spans="3:68" outlineLevel="1" x14ac:dyDescent="0.4">
      <c r="C313" s="24"/>
      <c r="D313" s="24"/>
      <c r="BM313">
        <f t="shared" si="10"/>
        <v>0</v>
      </c>
      <c r="BO313" t="str">
        <f>素材!M208&amp;".webp"</f>
        <v>.webp</v>
      </c>
      <c r="BP313" t="str">
        <f t="shared" si="9"/>
        <v>i_313</v>
      </c>
    </row>
    <row r="314" spans="3:68" outlineLevel="1" x14ac:dyDescent="0.4">
      <c r="C314" s="24"/>
      <c r="D314" s="24"/>
      <c r="BM314">
        <f t="shared" si="10"/>
        <v>0</v>
      </c>
      <c r="BO314" t="str">
        <f>素材!M209&amp;".webp"</f>
        <v>.webp</v>
      </c>
      <c r="BP314" t="str">
        <f t="shared" si="9"/>
        <v>i_314</v>
      </c>
    </row>
    <row r="315" spans="3:68" outlineLevel="1" x14ac:dyDescent="0.4">
      <c r="C315" s="24"/>
      <c r="D315" s="24"/>
      <c r="BM315">
        <f t="shared" si="10"/>
        <v>0</v>
      </c>
      <c r="BO315" t="str">
        <f>素材!M210&amp;".webp"</f>
        <v>.webp</v>
      </c>
      <c r="BP315" t="str">
        <f t="shared" si="9"/>
        <v>i_315</v>
      </c>
    </row>
    <row r="316" spans="3:68" outlineLevel="1" x14ac:dyDescent="0.4">
      <c r="C316" s="24"/>
      <c r="D316" s="24"/>
      <c r="BM316">
        <f t="shared" si="10"/>
        <v>0</v>
      </c>
      <c r="BO316" t="str">
        <f>素材!M211&amp;".webp"</f>
        <v>.webp</v>
      </c>
      <c r="BP316" t="str">
        <f t="shared" si="9"/>
        <v>i_316</v>
      </c>
    </row>
    <row r="317" spans="3:68" outlineLevel="1" x14ac:dyDescent="0.4">
      <c r="C317" s="24"/>
      <c r="D317" s="24"/>
      <c r="BM317">
        <f t="shared" si="10"/>
        <v>0</v>
      </c>
      <c r="BO317" t="str">
        <f>素材!M212&amp;".webp"</f>
        <v>.webp</v>
      </c>
      <c r="BP317" t="str">
        <f t="shared" si="9"/>
        <v>i_317</v>
      </c>
    </row>
    <row r="318" spans="3:68" outlineLevel="1" x14ac:dyDescent="0.4">
      <c r="D318" s="24"/>
      <c r="BM318">
        <f t="shared" si="10"/>
        <v>0</v>
      </c>
      <c r="BO318" t="str">
        <f>素材!M213&amp;".webp"</f>
        <v>.webp</v>
      </c>
      <c r="BP318" t="str">
        <f t="shared" si="9"/>
        <v>i_318</v>
      </c>
    </row>
    <row r="319" spans="3:68" outlineLevel="1" x14ac:dyDescent="0.4">
      <c r="D319" s="24"/>
      <c r="BM319">
        <f t="shared" si="10"/>
        <v>0</v>
      </c>
      <c r="BO319" t="str">
        <f>素材!M214&amp;".webp"</f>
        <v>.webp</v>
      </c>
      <c r="BP319" t="str">
        <f t="shared" si="9"/>
        <v>i_319</v>
      </c>
    </row>
    <row r="320" spans="3:68" outlineLevel="1" x14ac:dyDescent="0.4">
      <c r="D320" s="24"/>
      <c r="BM320">
        <f t="shared" si="10"/>
        <v>0</v>
      </c>
      <c r="BO320" t="str">
        <f>素材!M215&amp;".webp"</f>
        <v>.webp</v>
      </c>
      <c r="BP320" t="str">
        <f t="shared" si="9"/>
        <v>i_320</v>
      </c>
    </row>
    <row r="321" spans="4:68" outlineLevel="1" x14ac:dyDescent="0.4">
      <c r="D321" s="24"/>
      <c r="BM321">
        <f t="shared" si="10"/>
        <v>0</v>
      </c>
      <c r="BO321" t="str">
        <f>素材!M216&amp;".webp"</f>
        <v>.webp</v>
      </c>
      <c r="BP321" t="str">
        <f t="shared" si="9"/>
        <v>i_321</v>
      </c>
    </row>
    <row r="322" spans="4:68" outlineLevel="1" x14ac:dyDescent="0.4">
      <c r="D322" s="24"/>
      <c r="BM322">
        <f t="shared" si="10"/>
        <v>0</v>
      </c>
      <c r="BO322" t="str">
        <f>素材!M217&amp;".webp"</f>
        <v>.webp</v>
      </c>
      <c r="BP322" t="str">
        <f t="shared" si="9"/>
        <v>i_322</v>
      </c>
    </row>
    <row r="323" spans="4:68" outlineLevel="1" x14ac:dyDescent="0.4">
      <c r="D323" s="24"/>
      <c r="BM323">
        <f t="shared" si="10"/>
        <v>0</v>
      </c>
      <c r="BO323" t="str">
        <f>素材!M218&amp;".webp"</f>
        <v>.webp</v>
      </c>
      <c r="BP323" t="str">
        <f t="shared" si="9"/>
        <v>i_323</v>
      </c>
    </row>
    <row r="324" spans="4:68" outlineLevel="1" x14ac:dyDescent="0.4">
      <c r="D324" s="24"/>
      <c r="BM324">
        <f t="shared" si="10"/>
        <v>0</v>
      </c>
      <c r="BO324" t="str">
        <f>素材!M219&amp;".webp"</f>
        <v>.webp</v>
      </c>
      <c r="BP324" t="str">
        <f t="shared" si="9"/>
        <v>i_324</v>
      </c>
    </row>
    <row r="325" spans="4:68" outlineLevel="1" x14ac:dyDescent="0.4">
      <c r="D325" s="24"/>
      <c r="BM325">
        <f t="shared" si="10"/>
        <v>0</v>
      </c>
      <c r="BO325" t="str">
        <f>素材!M220&amp;".webp"</f>
        <v>.webp</v>
      </c>
      <c r="BP325" t="str">
        <f t="shared" ref="BP325:BP351" si="11">"i_"&amp;ROW(BP325)</f>
        <v>i_325</v>
      </c>
    </row>
    <row r="326" spans="4:68" outlineLevel="1" x14ac:dyDescent="0.4">
      <c r="D326" s="24"/>
      <c r="BM326">
        <f t="shared" ref="BM326:BM351" si="12">BL326*100</f>
        <v>0</v>
      </c>
      <c r="BO326" t="str">
        <f>素材!M221&amp;".webp"</f>
        <v>.webp</v>
      </c>
      <c r="BP326" t="str">
        <f t="shared" si="11"/>
        <v>i_326</v>
      </c>
    </row>
    <row r="327" spans="4:68" outlineLevel="1" x14ac:dyDescent="0.4">
      <c r="D327" s="24"/>
      <c r="BM327">
        <f t="shared" si="12"/>
        <v>0</v>
      </c>
      <c r="BO327" t="str">
        <f>素材!M222&amp;".webp"</f>
        <v>.webp</v>
      </c>
      <c r="BP327" t="str">
        <f t="shared" si="11"/>
        <v>i_327</v>
      </c>
    </row>
    <row r="328" spans="4:68" outlineLevel="1" x14ac:dyDescent="0.4">
      <c r="D328" s="24"/>
      <c r="BM328">
        <f t="shared" si="12"/>
        <v>0</v>
      </c>
      <c r="BO328" t="str">
        <f>素材!M223&amp;".webp"</f>
        <v>.webp</v>
      </c>
      <c r="BP328" t="str">
        <f t="shared" si="11"/>
        <v>i_328</v>
      </c>
    </row>
    <row r="329" spans="4:68" outlineLevel="1" x14ac:dyDescent="0.4">
      <c r="D329" s="24"/>
      <c r="BM329">
        <f t="shared" si="12"/>
        <v>0</v>
      </c>
      <c r="BO329" t="str">
        <f>素材!M224&amp;".webp"</f>
        <v>.webp</v>
      </c>
      <c r="BP329" t="str">
        <f t="shared" si="11"/>
        <v>i_329</v>
      </c>
    </row>
    <row r="330" spans="4:68" outlineLevel="1" x14ac:dyDescent="0.4">
      <c r="D330" s="24"/>
      <c r="BM330">
        <f t="shared" si="12"/>
        <v>0</v>
      </c>
      <c r="BO330" t="str">
        <f>素材!M225&amp;".webp"</f>
        <v>.webp</v>
      </c>
      <c r="BP330" t="str">
        <f t="shared" si="11"/>
        <v>i_330</v>
      </c>
    </row>
    <row r="331" spans="4:68" outlineLevel="1" x14ac:dyDescent="0.4">
      <c r="D331" s="24"/>
      <c r="BM331">
        <f t="shared" si="12"/>
        <v>0</v>
      </c>
      <c r="BO331" t="str">
        <f>素材!M226&amp;".webp"</f>
        <v>.webp</v>
      </c>
      <c r="BP331" t="str">
        <f t="shared" si="11"/>
        <v>i_331</v>
      </c>
    </row>
    <row r="332" spans="4:68" outlineLevel="1" x14ac:dyDescent="0.4">
      <c r="D332" s="24"/>
      <c r="BM332">
        <f t="shared" si="12"/>
        <v>0</v>
      </c>
      <c r="BO332" t="str">
        <f>素材!M227&amp;".webp"</f>
        <v>.webp</v>
      </c>
      <c r="BP332" t="str">
        <f t="shared" si="11"/>
        <v>i_332</v>
      </c>
    </row>
    <row r="333" spans="4:68" outlineLevel="1" x14ac:dyDescent="0.4">
      <c r="D333" s="24"/>
      <c r="BM333">
        <f t="shared" si="12"/>
        <v>0</v>
      </c>
      <c r="BO333" t="str">
        <f>素材!M228&amp;".webp"</f>
        <v>.webp</v>
      </c>
      <c r="BP333" t="str">
        <f t="shared" si="11"/>
        <v>i_333</v>
      </c>
    </row>
    <row r="334" spans="4:68" outlineLevel="1" x14ac:dyDescent="0.4">
      <c r="D334" s="24"/>
      <c r="BM334">
        <f t="shared" si="12"/>
        <v>0</v>
      </c>
      <c r="BO334" t="str">
        <f>素材!M229&amp;".webp"</f>
        <v>.webp</v>
      </c>
      <c r="BP334" t="str">
        <f t="shared" si="11"/>
        <v>i_334</v>
      </c>
    </row>
    <row r="335" spans="4:68" outlineLevel="1" x14ac:dyDescent="0.4">
      <c r="D335" s="24"/>
      <c r="BM335">
        <f t="shared" si="12"/>
        <v>0</v>
      </c>
      <c r="BO335" t="str">
        <f>素材!M230&amp;".webp"</f>
        <v>.webp</v>
      </c>
      <c r="BP335" t="str">
        <f t="shared" si="11"/>
        <v>i_335</v>
      </c>
    </row>
    <row r="336" spans="4:68" outlineLevel="1" x14ac:dyDescent="0.4">
      <c r="D336" s="24"/>
      <c r="BM336">
        <f t="shared" si="12"/>
        <v>0</v>
      </c>
      <c r="BO336" t="str">
        <f>素材!M231&amp;".webp"</f>
        <v>.webp</v>
      </c>
      <c r="BP336" t="str">
        <f t="shared" si="11"/>
        <v>i_336</v>
      </c>
    </row>
    <row r="337" spans="4:68" outlineLevel="1" x14ac:dyDescent="0.4">
      <c r="D337" s="24"/>
      <c r="BM337">
        <f t="shared" si="12"/>
        <v>0</v>
      </c>
      <c r="BO337" t="str">
        <f>素材!M232&amp;".webp"</f>
        <v>.webp</v>
      </c>
      <c r="BP337" t="str">
        <f t="shared" si="11"/>
        <v>i_337</v>
      </c>
    </row>
    <row r="338" spans="4:68" outlineLevel="1" x14ac:dyDescent="0.4">
      <c r="D338" s="24"/>
      <c r="BM338">
        <f t="shared" si="12"/>
        <v>0</v>
      </c>
      <c r="BO338" t="str">
        <f>素材!M233&amp;".webp"</f>
        <v>.webp</v>
      </c>
      <c r="BP338" t="str">
        <f t="shared" si="11"/>
        <v>i_338</v>
      </c>
    </row>
    <row r="339" spans="4:68" outlineLevel="1" x14ac:dyDescent="0.4">
      <c r="D339" s="24"/>
      <c r="BM339">
        <f t="shared" si="12"/>
        <v>0</v>
      </c>
      <c r="BO339" t="str">
        <f>素材!M234&amp;".webp"</f>
        <v>.webp</v>
      </c>
      <c r="BP339" t="str">
        <f t="shared" si="11"/>
        <v>i_339</v>
      </c>
    </row>
    <row r="340" spans="4:68" outlineLevel="1" x14ac:dyDescent="0.4">
      <c r="D340" s="24"/>
      <c r="BM340">
        <f t="shared" si="12"/>
        <v>0</v>
      </c>
      <c r="BO340" t="str">
        <f>素材!M235&amp;".webp"</f>
        <v>.webp</v>
      </c>
      <c r="BP340" t="str">
        <f t="shared" si="11"/>
        <v>i_340</v>
      </c>
    </row>
    <row r="341" spans="4:68" outlineLevel="1" x14ac:dyDescent="0.4">
      <c r="D341" s="24"/>
      <c r="BM341">
        <f t="shared" si="12"/>
        <v>0</v>
      </c>
      <c r="BO341" t="str">
        <f>素材!M236&amp;".webp"</f>
        <v>.webp</v>
      </c>
      <c r="BP341" t="str">
        <f t="shared" si="11"/>
        <v>i_341</v>
      </c>
    </row>
    <row r="342" spans="4:68" outlineLevel="1" x14ac:dyDescent="0.4">
      <c r="D342" s="24"/>
      <c r="BM342">
        <f t="shared" si="12"/>
        <v>0</v>
      </c>
      <c r="BO342" t="str">
        <f>素材!M237&amp;".webp"</f>
        <v>.webp</v>
      </c>
      <c r="BP342" t="str">
        <f t="shared" si="11"/>
        <v>i_342</v>
      </c>
    </row>
    <row r="343" spans="4:68" outlineLevel="1" x14ac:dyDescent="0.4">
      <c r="D343" s="24"/>
      <c r="BM343">
        <f t="shared" si="12"/>
        <v>0</v>
      </c>
      <c r="BO343" t="str">
        <f>素材!M238&amp;".webp"</f>
        <v>.webp</v>
      </c>
      <c r="BP343" t="str">
        <f t="shared" si="11"/>
        <v>i_343</v>
      </c>
    </row>
    <row r="344" spans="4:68" outlineLevel="1" x14ac:dyDescent="0.4">
      <c r="D344" s="24"/>
      <c r="BM344">
        <f t="shared" si="12"/>
        <v>0</v>
      </c>
      <c r="BO344" t="str">
        <f>素材!M239&amp;".webp"</f>
        <v>.webp</v>
      </c>
      <c r="BP344" t="str">
        <f t="shared" si="11"/>
        <v>i_344</v>
      </c>
    </row>
    <row r="345" spans="4:68" outlineLevel="1" x14ac:dyDescent="0.4">
      <c r="D345" s="24"/>
      <c r="BM345">
        <f t="shared" si="12"/>
        <v>0</v>
      </c>
      <c r="BO345" t="str">
        <f>素材!M240&amp;".webp"</f>
        <v>.webp</v>
      </c>
      <c r="BP345" t="str">
        <f t="shared" si="11"/>
        <v>i_345</v>
      </c>
    </row>
    <row r="346" spans="4:68" outlineLevel="1" x14ac:dyDescent="0.4">
      <c r="D346" s="24"/>
      <c r="BM346">
        <f t="shared" si="12"/>
        <v>0</v>
      </c>
      <c r="BO346" t="str">
        <f>素材!M241&amp;".webp"</f>
        <v>.webp</v>
      </c>
      <c r="BP346" t="str">
        <f t="shared" si="11"/>
        <v>i_346</v>
      </c>
    </row>
    <row r="347" spans="4:68" outlineLevel="1" x14ac:dyDescent="0.4">
      <c r="D347" s="24"/>
      <c r="BM347">
        <f t="shared" si="12"/>
        <v>0</v>
      </c>
      <c r="BO347" t="str">
        <f>素材!M242&amp;".webp"</f>
        <v>.webp</v>
      </c>
      <c r="BP347" t="str">
        <f t="shared" si="11"/>
        <v>i_347</v>
      </c>
    </row>
    <row r="348" spans="4:68" outlineLevel="1" x14ac:dyDescent="0.4">
      <c r="D348" s="24"/>
      <c r="BM348">
        <f t="shared" si="12"/>
        <v>0</v>
      </c>
      <c r="BO348" t="str">
        <f>素材!M243&amp;".webp"</f>
        <v>.webp</v>
      </c>
      <c r="BP348" t="str">
        <f t="shared" si="11"/>
        <v>i_348</v>
      </c>
    </row>
    <row r="349" spans="4:68" outlineLevel="1" x14ac:dyDescent="0.4">
      <c r="D349" s="24"/>
      <c r="BM349">
        <f t="shared" si="12"/>
        <v>0</v>
      </c>
      <c r="BO349" t="str">
        <f>素材!M244&amp;".webp"</f>
        <v>.webp</v>
      </c>
      <c r="BP349" t="str">
        <f t="shared" si="11"/>
        <v>i_349</v>
      </c>
    </row>
    <row r="350" spans="4:68" outlineLevel="1" x14ac:dyDescent="0.4">
      <c r="D350" s="24"/>
      <c r="BM350">
        <f t="shared" si="12"/>
        <v>0</v>
      </c>
      <c r="BO350" t="str">
        <f>素材!M245&amp;".webp"</f>
        <v>.webp</v>
      </c>
      <c r="BP350" t="str">
        <f t="shared" si="11"/>
        <v>i_350</v>
      </c>
    </row>
    <row r="351" spans="4:68" outlineLevel="1" x14ac:dyDescent="0.4">
      <c r="D351" s="24"/>
      <c r="BM351">
        <f t="shared" si="12"/>
        <v>0</v>
      </c>
      <c r="BO351" t="str">
        <f>素材!M246&amp;".webp"</f>
        <v>.webp</v>
      </c>
      <c r="BP351" t="str">
        <f t="shared" si="11"/>
        <v>i_351</v>
      </c>
    </row>
  </sheetData>
  <phoneticPr fontId="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006AF-5519-4AC2-ABDD-8F459CDD6E6E}">
  <sheetPr codeName="Sheet4">
    <tabColor theme="8" tint="0.79998168889431442"/>
  </sheetPr>
  <dimension ref="A1:AP73"/>
  <sheetViews>
    <sheetView zoomScaleNormal="100" workbookViewId="0">
      <pane xSplit="1" ySplit="2" topLeftCell="M40" activePane="bottomRight" state="frozen"/>
      <selection pane="topRight" activeCell="B1" sqref="B1"/>
      <selection pane="bottomLeft" activeCell="A3" sqref="A3"/>
      <selection pane="bottomRight" activeCell="R27" sqref="R27:Y27"/>
    </sheetView>
  </sheetViews>
  <sheetFormatPr defaultColWidth="7.625" defaultRowHeight="18.75" outlineLevelCol="1" x14ac:dyDescent="0.4"/>
  <cols>
    <col min="1" max="1" width="11.25" customWidth="1"/>
    <col min="2" max="2" width="15.125" bestFit="1" customWidth="1"/>
    <col min="3" max="3" width="4" bestFit="1" customWidth="1"/>
    <col min="4" max="4" width="9.25" customWidth="1"/>
    <col min="5" max="5" width="5.375" bestFit="1" customWidth="1"/>
    <col min="6" max="6" width="5.25" bestFit="1" customWidth="1"/>
    <col min="7" max="7" width="6.75" customWidth="1"/>
    <col min="8" max="8" width="6" style="29" bestFit="1" customWidth="1"/>
    <col min="9" max="9" width="7.75" style="29" bestFit="1" customWidth="1"/>
    <col min="10" max="10" width="7.75" style="29" customWidth="1"/>
    <col min="11" max="12" width="9.75" style="1" customWidth="1"/>
    <col min="14" max="14" width="9.625" bestFit="1" customWidth="1"/>
    <col min="15" max="15" width="36.5" customWidth="1"/>
    <col min="16" max="16" width="9.625" bestFit="1" customWidth="1"/>
    <col min="19" max="42" width="7.625" customWidth="1" outlineLevel="1"/>
  </cols>
  <sheetData>
    <row r="1" spans="1:42" s="48" customFormat="1" ht="30.75" thickBot="1" x14ac:dyDescent="0.45">
      <c r="A1" s="48" t="s">
        <v>1043</v>
      </c>
      <c r="B1" s="48" t="s">
        <v>1042</v>
      </c>
      <c r="C1" s="48" t="s">
        <v>135</v>
      </c>
      <c r="D1" s="48" t="s">
        <v>1041</v>
      </c>
      <c r="E1" s="48" t="s">
        <v>948</v>
      </c>
      <c r="F1" s="48" t="s">
        <v>182</v>
      </c>
      <c r="G1" s="48" t="s">
        <v>181</v>
      </c>
      <c r="H1" s="51" t="s">
        <v>1040</v>
      </c>
      <c r="I1" s="51" t="s">
        <v>1039</v>
      </c>
      <c r="J1" s="51" t="s">
        <v>1274</v>
      </c>
      <c r="K1" s="47" t="s">
        <v>1038</v>
      </c>
      <c r="L1" s="47" t="s">
        <v>1037</v>
      </c>
      <c r="M1" s="48" t="s">
        <v>189</v>
      </c>
      <c r="N1" s="48" t="s">
        <v>105</v>
      </c>
      <c r="O1" s="48" t="s">
        <v>102</v>
      </c>
      <c r="P1" s="48" t="s">
        <v>1036</v>
      </c>
      <c r="Q1" s="48" t="s">
        <v>1273</v>
      </c>
      <c r="R1" s="53" t="s">
        <v>163</v>
      </c>
      <c r="S1" s="53" t="s">
        <v>162</v>
      </c>
      <c r="T1" s="53" t="s">
        <v>161</v>
      </c>
      <c r="U1" s="53" t="s">
        <v>160</v>
      </c>
      <c r="V1" s="53" t="s">
        <v>159</v>
      </c>
      <c r="W1" s="54" t="s">
        <v>157</v>
      </c>
      <c r="X1" s="54" t="s">
        <v>158</v>
      </c>
      <c r="Y1" s="55" t="s">
        <v>156</v>
      </c>
      <c r="Z1" s="55" t="s">
        <v>489</v>
      </c>
      <c r="AA1" s="56" t="s">
        <v>154</v>
      </c>
      <c r="AB1" s="57" t="s">
        <v>1295</v>
      </c>
      <c r="AC1" s="58" t="s">
        <v>151</v>
      </c>
      <c r="AD1" s="58" t="s">
        <v>150</v>
      </c>
      <c r="AE1" s="58" t="s">
        <v>149</v>
      </c>
      <c r="AF1" s="58" t="s">
        <v>148</v>
      </c>
      <c r="AG1" s="58" t="s">
        <v>147</v>
      </c>
      <c r="AH1" s="58" t="s">
        <v>146</v>
      </c>
      <c r="AI1" s="58" t="s">
        <v>145</v>
      </c>
      <c r="AJ1" s="58" t="s">
        <v>144</v>
      </c>
      <c r="AK1" s="59" t="s">
        <v>143</v>
      </c>
      <c r="AL1" s="60" t="s">
        <v>142</v>
      </c>
      <c r="AM1" s="60" t="s">
        <v>141</v>
      </c>
      <c r="AN1" s="4" t="s">
        <v>1296</v>
      </c>
      <c r="AO1" s="61" t="s">
        <v>1297</v>
      </c>
      <c r="AP1" s="62" t="s">
        <v>1298</v>
      </c>
    </row>
    <row r="2" spans="1:42" ht="26.25" customHeight="1" x14ac:dyDescent="0.4">
      <c r="A2" s="1" t="s">
        <v>258</v>
      </c>
      <c r="B2" s="1" t="s">
        <v>258</v>
      </c>
      <c r="C2" s="1" t="s">
        <v>258</v>
      </c>
      <c r="D2" s="1" t="s">
        <v>258</v>
      </c>
      <c r="E2" s="1" t="s">
        <v>258</v>
      </c>
      <c r="F2" s="1" t="s">
        <v>258</v>
      </c>
      <c r="G2" s="1" t="s">
        <v>258</v>
      </c>
      <c r="H2" s="30" t="s">
        <v>258</v>
      </c>
      <c r="I2" s="30" t="s">
        <v>258</v>
      </c>
      <c r="J2" s="30"/>
      <c r="K2" s="1" t="s">
        <v>1035</v>
      </c>
      <c r="L2" s="1" t="s">
        <v>1034</v>
      </c>
      <c r="M2" s="1" t="s">
        <v>1033</v>
      </c>
      <c r="N2" s="1" t="s">
        <v>258</v>
      </c>
      <c r="O2" s="1" t="s">
        <v>258</v>
      </c>
      <c r="P2" s="1" t="s">
        <v>258</v>
      </c>
    </row>
    <row r="3" spans="1:42" x14ac:dyDescent="0.4">
      <c r="A3" s="47" t="s">
        <v>1032</v>
      </c>
      <c r="B3" s="1" t="s">
        <v>1031</v>
      </c>
      <c r="C3" s="1">
        <v>10</v>
      </c>
      <c r="D3" s="1">
        <v>100</v>
      </c>
      <c r="E3" s="1">
        <v>10</v>
      </c>
      <c r="F3" s="1"/>
      <c r="G3" s="1">
        <v>0</v>
      </c>
      <c r="H3" s="30"/>
      <c r="I3" s="30"/>
      <c r="J3" s="30"/>
      <c r="M3" s="1" t="s">
        <v>871</v>
      </c>
      <c r="N3" s="1">
        <f t="shared" ref="N3:N26" si="0">IF(P3&lt;&gt;"",P3/100,"")</f>
        <v>50</v>
      </c>
      <c r="O3" s="1" t="s">
        <v>1030</v>
      </c>
      <c r="P3" s="1">
        <v>5000</v>
      </c>
      <c r="T3">
        <v>-5</v>
      </c>
    </row>
    <row r="4" spans="1:42" ht="37.5" x14ac:dyDescent="0.4">
      <c r="A4" s="47" t="s">
        <v>1029</v>
      </c>
      <c r="B4" s="1" t="s">
        <v>1028</v>
      </c>
      <c r="C4" s="1">
        <v>15</v>
      </c>
      <c r="D4" s="1">
        <v>50</v>
      </c>
      <c r="E4" s="1">
        <v>15</v>
      </c>
      <c r="F4" s="1"/>
      <c r="G4" s="1">
        <v>0</v>
      </c>
      <c r="H4" s="30"/>
      <c r="I4" s="30"/>
      <c r="J4" s="30"/>
      <c r="M4" s="1" t="s">
        <v>871</v>
      </c>
      <c r="N4" s="1">
        <f t="shared" si="0"/>
        <v>500</v>
      </c>
      <c r="O4" s="1" t="s">
        <v>1027</v>
      </c>
      <c r="P4" s="1">
        <v>50000</v>
      </c>
      <c r="T4">
        <v>-5</v>
      </c>
    </row>
    <row r="5" spans="1:42" ht="37.5" x14ac:dyDescent="0.4">
      <c r="A5" s="47" t="s">
        <v>1026</v>
      </c>
      <c r="B5" s="1" t="s">
        <v>1025</v>
      </c>
      <c r="C5" s="1">
        <v>25</v>
      </c>
      <c r="D5" s="1">
        <v>120</v>
      </c>
      <c r="E5" s="1">
        <v>10</v>
      </c>
      <c r="F5" s="1"/>
      <c r="G5" s="1">
        <v>0</v>
      </c>
      <c r="H5" s="30"/>
      <c r="I5" s="30"/>
      <c r="J5" s="30"/>
      <c r="M5" s="1" t="s">
        <v>871</v>
      </c>
      <c r="N5" s="1">
        <f t="shared" si="0"/>
        <v>2500</v>
      </c>
      <c r="O5" s="1" t="s">
        <v>1024</v>
      </c>
      <c r="P5" s="1">
        <v>250000</v>
      </c>
      <c r="T5">
        <v>-5</v>
      </c>
    </row>
    <row r="6" spans="1:42" ht="37.5" x14ac:dyDescent="0.4">
      <c r="A6" s="47" t="s">
        <v>1023</v>
      </c>
      <c r="B6" s="1" t="s">
        <v>1022</v>
      </c>
      <c r="C6" s="1">
        <v>35</v>
      </c>
      <c r="D6" s="1">
        <v>105</v>
      </c>
      <c r="E6" s="1">
        <v>20</v>
      </c>
      <c r="F6" s="1"/>
      <c r="G6" s="1">
        <v>0</v>
      </c>
      <c r="H6" s="30"/>
      <c r="I6" s="30"/>
      <c r="J6" s="30"/>
      <c r="M6" s="1" t="s">
        <v>871</v>
      </c>
      <c r="N6" s="1">
        <f t="shared" si="0"/>
        <v>5000</v>
      </c>
      <c r="O6" s="1" t="s">
        <v>1021</v>
      </c>
      <c r="P6" s="1">
        <v>500000</v>
      </c>
      <c r="T6">
        <v>-5</v>
      </c>
    </row>
    <row r="7" spans="1:42" ht="37.5" x14ac:dyDescent="0.4">
      <c r="A7" t="s">
        <v>257</v>
      </c>
      <c r="B7" t="s">
        <v>1020</v>
      </c>
      <c r="C7">
        <v>15</v>
      </c>
      <c r="D7">
        <v>100</v>
      </c>
      <c r="E7">
        <v>20</v>
      </c>
      <c r="F7" s="1"/>
      <c r="G7" s="1">
        <v>0</v>
      </c>
      <c r="H7" s="30"/>
      <c r="I7" s="30"/>
      <c r="J7" s="30"/>
      <c r="M7" t="s">
        <v>1019</v>
      </c>
      <c r="N7" s="1">
        <f t="shared" si="0"/>
        <v>200</v>
      </c>
      <c r="O7" s="1" t="s">
        <v>1018</v>
      </c>
      <c r="P7">
        <v>20000</v>
      </c>
      <c r="T7">
        <v>-5</v>
      </c>
    </row>
    <row r="8" spans="1:42" ht="37.5" x14ac:dyDescent="0.4">
      <c r="A8" s="47" t="s">
        <v>1017</v>
      </c>
      <c r="B8" s="1" t="s">
        <v>1016</v>
      </c>
      <c r="C8" s="1">
        <v>20</v>
      </c>
      <c r="D8" s="1">
        <v>105</v>
      </c>
      <c r="E8" s="1">
        <v>27</v>
      </c>
      <c r="F8" s="1"/>
      <c r="G8" s="1">
        <v>0</v>
      </c>
      <c r="H8" s="30"/>
      <c r="I8" s="30"/>
      <c r="J8" s="30"/>
      <c r="M8" s="1" t="s">
        <v>871</v>
      </c>
      <c r="N8" s="1">
        <f t="shared" si="0"/>
        <v>450</v>
      </c>
      <c r="O8" s="1" t="s">
        <v>1015</v>
      </c>
      <c r="P8" s="1">
        <v>45000</v>
      </c>
      <c r="T8">
        <v>-5</v>
      </c>
    </row>
    <row r="9" spans="1:42" ht="56.25" x14ac:dyDescent="0.4">
      <c r="A9" s="50" t="s">
        <v>1014</v>
      </c>
      <c r="B9" s="50" t="s">
        <v>1013</v>
      </c>
      <c r="C9" s="1">
        <v>25</v>
      </c>
      <c r="D9" s="1">
        <v>100</v>
      </c>
      <c r="E9" s="1">
        <v>25</v>
      </c>
      <c r="F9" s="1"/>
      <c r="G9" s="1">
        <v>0</v>
      </c>
      <c r="H9" s="30"/>
      <c r="I9" s="30"/>
      <c r="J9" s="30"/>
      <c r="K9" s="1" t="s">
        <v>1012</v>
      </c>
      <c r="L9" s="1" t="s">
        <v>1011</v>
      </c>
      <c r="M9" s="1" t="s">
        <v>984</v>
      </c>
      <c r="N9" s="1">
        <f t="shared" si="0"/>
        <v>1500</v>
      </c>
      <c r="O9" s="1" t="s">
        <v>1010</v>
      </c>
      <c r="P9" s="1">
        <v>150000</v>
      </c>
    </row>
    <row r="10" spans="1:42" x14ac:dyDescent="0.4">
      <c r="A10" s="50" t="s">
        <v>244</v>
      </c>
      <c r="B10" s="50" t="s">
        <v>1009</v>
      </c>
      <c r="C10" s="1">
        <v>25</v>
      </c>
      <c r="D10" s="1">
        <v>100</v>
      </c>
      <c r="E10" s="1">
        <v>20</v>
      </c>
      <c r="F10" s="1" t="s">
        <v>1008</v>
      </c>
      <c r="G10" s="1">
        <v>35</v>
      </c>
      <c r="H10" s="30"/>
      <c r="I10" s="30"/>
      <c r="J10" s="30"/>
      <c r="M10" t="s">
        <v>871</v>
      </c>
      <c r="N10" s="1">
        <f t="shared" si="0"/>
        <v>1500</v>
      </c>
      <c r="P10" s="1">
        <v>150000</v>
      </c>
      <c r="T10">
        <v>10</v>
      </c>
    </row>
    <row r="11" spans="1:42" x14ac:dyDescent="0.4">
      <c r="A11" s="50" t="s">
        <v>243</v>
      </c>
      <c r="B11" s="50" t="s">
        <v>1007</v>
      </c>
      <c r="C11" s="1">
        <v>25</v>
      </c>
      <c r="D11" s="1">
        <v>100</v>
      </c>
      <c r="E11" s="1">
        <v>20</v>
      </c>
      <c r="F11" s="1" t="s">
        <v>1006</v>
      </c>
      <c r="G11" s="1">
        <v>35</v>
      </c>
      <c r="H11" s="30"/>
      <c r="I11" s="30"/>
      <c r="J11" s="30"/>
      <c r="M11" t="s">
        <v>871</v>
      </c>
      <c r="N11" s="1">
        <f t="shared" si="0"/>
        <v>1500</v>
      </c>
      <c r="P11" s="1">
        <v>150000</v>
      </c>
      <c r="R11">
        <v>10</v>
      </c>
    </row>
    <row r="12" spans="1:42" x14ac:dyDescent="0.4">
      <c r="A12" s="50" t="s">
        <v>205</v>
      </c>
      <c r="B12" s="50" t="s">
        <v>1005</v>
      </c>
      <c r="C12" s="1">
        <v>25</v>
      </c>
      <c r="D12" s="1">
        <v>100</v>
      </c>
      <c r="E12" s="1">
        <v>20</v>
      </c>
      <c r="F12" s="1" t="s">
        <v>1004</v>
      </c>
      <c r="G12" s="1">
        <v>35</v>
      </c>
      <c r="H12" s="30"/>
      <c r="I12" s="30"/>
      <c r="J12" s="30"/>
      <c r="M12" t="s">
        <v>871</v>
      </c>
      <c r="N12" s="1">
        <f t="shared" si="0"/>
        <v>1500</v>
      </c>
      <c r="P12" s="1">
        <v>150000</v>
      </c>
      <c r="S12">
        <v>10</v>
      </c>
    </row>
    <row r="13" spans="1:42" x14ac:dyDescent="0.4">
      <c r="A13" s="50" t="s">
        <v>1003</v>
      </c>
      <c r="B13" s="50" t="s">
        <v>1002</v>
      </c>
      <c r="C13" s="1">
        <v>25</v>
      </c>
      <c r="D13" s="1">
        <v>100</v>
      </c>
      <c r="E13" s="1">
        <v>20</v>
      </c>
      <c r="H13" s="30">
        <v>0.05</v>
      </c>
      <c r="I13" s="30">
        <v>0.1</v>
      </c>
      <c r="J13" s="30"/>
      <c r="M13" t="s">
        <v>871</v>
      </c>
      <c r="N13" s="1">
        <f t="shared" si="0"/>
        <v>1500</v>
      </c>
      <c r="P13" s="1">
        <v>150000</v>
      </c>
    </row>
    <row r="14" spans="1:42" ht="37.5" x14ac:dyDescent="0.4">
      <c r="A14" s="50" t="s">
        <v>1001</v>
      </c>
      <c r="B14" s="50" t="s">
        <v>1000</v>
      </c>
      <c r="C14" s="1">
        <v>25</v>
      </c>
      <c r="D14" s="1">
        <v>100</v>
      </c>
      <c r="E14" s="1">
        <v>20</v>
      </c>
      <c r="K14" s="1" t="s">
        <v>999</v>
      </c>
      <c r="L14" s="1" t="s">
        <v>998</v>
      </c>
      <c r="M14" s="1" t="s">
        <v>984</v>
      </c>
      <c r="N14" s="1">
        <f t="shared" si="0"/>
        <v>1500</v>
      </c>
      <c r="O14" t="s">
        <v>997</v>
      </c>
      <c r="P14" s="1">
        <v>150000</v>
      </c>
    </row>
    <row r="15" spans="1:42" x14ac:dyDescent="0.4">
      <c r="A15" s="50" t="s">
        <v>996</v>
      </c>
      <c r="B15" s="50" t="s">
        <v>995</v>
      </c>
      <c r="C15" s="1">
        <v>25</v>
      </c>
      <c r="D15" s="1">
        <v>100</v>
      </c>
      <c r="E15" s="1">
        <v>20</v>
      </c>
      <c r="M15" t="s">
        <v>871</v>
      </c>
      <c r="N15" s="1">
        <f t="shared" si="0"/>
        <v>2000</v>
      </c>
      <c r="P15" s="1">
        <v>200000</v>
      </c>
    </row>
    <row r="16" spans="1:42" x14ac:dyDescent="0.4">
      <c r="A16" s="50" t="s">
        <v>994</v>
      </c>
      <c r="B16" s="50" t="s">
        <v>993</v>
      </c>
      <c r="C16" s="1">
        <v>25</v>
      </c>
      <c r="D16" s="1">
        <v>100</v>
      </c>
      <c r="E16" s="1">
        <v>20</v>
      </c>
      <c r="F16" t="s">
        <v>992</v>
      </c>
      <c r="G16" s="1">
        <v>35</v>
      </c>
      <c r="M16" t="s">
        <v>871</v>
      </c>
      <c r="N16" s="1">
        <f t="shared" si="0"/>
        <v>2000</v>
      </c>
      <c r="P16" s="1">
        <v>200000</v>
      </c>
    </row>
    <row r="17" spans="1:24" x14ac:dyDescent="0.4">
      <c r="A17" s="50" t="s">
        <v>991</v>
      </c>
      <c r="B17" s="50" t="s">
        <v>990</v>
      </c>
      <c r="C17" s="1">
        <v>25</v>
      </c>
      <c r="D17" s="1">
        <v>100</v>
      </c>
      <c r="E17" s="1">
        <v>20</v>
      </c>
      <c r="F17" t="s">
        <v>989</v>
      </c>
      <c r="G17" s="1">
        <v>35</v>
      </c>
      <c r="M17" t="s">
        <v>871</v>
      </c>
      <c r="N17" s="1">
        <f t="shared" si="0"/>
        <v>2000</v>
      </c>
      <c r="P17" s="1">
        <v>200000</v>
      </c>
    </row>
    <row r="18" spans="1:24" x14ac:dyDescent="0.4">
      <c r="A18" s="50" t="s">
        <v>1212</v>
      </c>
      <c r="B18" s="50" t="s">
        <v>1213</v>
      </c>
      <c r="C18" s="1">
        <v>30</v>
      </c>
      <c r="D18" s="1">
        <v>100</v>
      </c>
      <c r="E18" s="1">
        <v>25</v>
      </c>
      <c r="F18" t="s">
        <v>1004</v>
      </c>
      <c r="G18" s="1">
        <v>35</v>
      </c>
      <c r="H18" s="30">
        <v>0.02</v>
      </c>
      <c r="M18" t="s">
        <v>871</v>
      </c>
      <c r="N18" s="1">
        <f t="shared" si="0"/>
        <v>3500</v>
      </c>
      <c r="P18" s="1">
        <v>350000</v>
      </c>
      <c r="R18">
        <v>5</v>
      </c>
      <c r="S18">
        <v>10</v>
      </c>
    </row>
    <row r="19" spans="1:24" ht="37.5" x14ac:dyDescent="0.4">
      <c r="A19" s="50" t="s">
        <v>988</v>
      </c>
      <c r="B19" s="50" t="s">
        <v>987</v>
      </c>
      <c r="C19" s="1">
        <v>35</v>
      </c>
      <c r="D19" s="1">
        <v>100</v>
      </c>
      <c r="E19" s="1">
        <v>25</v>
      </c>
      <c r="F19" t="s">
        <v>986</v>
      </c>
      <c r="G19" s="1">
        <v>40</v>
      </c>
      <c r="H19" s="30">
        <v>0.05</v>
      </c>
      <c r="K19" s="1" t="s">
        <v>985</v>
      </c>
      <c r="M19" s="1" t="s">
        <v>984</v>
      </c>
      <c r="N19" s="1">
        <f t="shared" si="0"/>
        <v>5000</v>
      </c>
      <c r="P19" s="1">
        <v>500000</v>
      </c>
      <c r="X19">
        <v>10</v>
      </c>
    </row>
    <row r="20" spans="1:24" ht="37.5" x14ac:dyDescent="0.4">
      <c r="A20" s="50" t="s">
        <v>1214</v>
      </c>
      <c r="B20" s="50" t="s">
        <v>1216</v>
      </c>
      <c r="C20" s="1">
        <v>35</v>
      </c>
      <c r="D20" s="1">
        <v>100</v>
      </c>
      <c r="E20" s="1">
        <v>25</v>
      </c>
      <c r="F20" t="s">
        <v>1215</v>
      </c>
      <c r="G20" s="1">
        <v>40</v>
      </c>
      <c r="H20" s="30">
        <v>0.02</v>
      </c>
      <c r="I20" s="29">
        <v>0.05</v>
      </c>
      <c r="K20" s="1" t="s">
        <v>1225</v>
      </c>
      <c r="M20" t="s">
        <v>871</v>
      </c>
      <c r="N20" s="1">
        <f>IF(P20&lt;&gt;"",P20/100,"")</f>
        <v>5000</v>
      </c>
      <c r="P20" s="1">
        <v>500000</v>
      </c>
      <c r="W20">
        <v>10</v>
      </c>
    </row>
    <row r="21" spans="1:24" x14ac:dyDescent="0.4">
      <c r="A21" s="50" t="s">
        <v>983</v>
      </c>
      <c r="B21" s="50" t="s">
        <v>982</v>
      </c>
      <c r="C21" s="1">
        <v>35</v>
      </c>
      <c r="D21" s="1">
        <v>65</v>
      </c>
      <c r="E21" s="1">
        <v>25</v>
      </c>
      <c r="H21" s="30">
        <v>0.02</v>
      </c>
      <c r="I21" s="29">
        <v>0.05</v>
      </c>
      <c r="M21" t="s">
        <v>871</v>
      </c>
      <c r="N21" s="1">
        <f t="shared" si="0"/>
        <v>4000</v>
      </c>
      <c r="P21" s="1">
        <v>400000</v>
      </c>
    </row>
    <row r="22" spans="1:24" x14ac:dyDescent="0.4">
      <c r="A22" s="50" t="s">
        <v>200</v>
      </c>
      <c r="B22" s="50" t="s">
        <v>981</v>
      </c>
      <c r="C22" s="1">
        <v>35</v>
      </c>
      <c r="D22" s="1">
        <v>100</v>
      </c>
      <c r="E22" s="1">
        <v>35</v>
      </c>
      <c r="F22" t="s">
        <v>977</v>
      </c>
      <c r="H22" s="29">
        <v>0.02</v>
      </c>
      <c r="I22" s="29">
        <v>0.05</v>
      </c>
      <c r="M22" t="s">
        <v>871</v>
      </c>
      <c r="N22" s="1">
        <f t="shared" si="0"/>
        <v>4500</v>
      </c>
      <c r="P22" s="1">
        <v>450000</v>
      </c>
    </row>
    <row r="23" spans="1:24" x14ac:dyDescent="0.4">
      <c r="A23" s="50" t="s">
        <v>199</v>
      </c>
      <c r="B23" s="50" t="s">
        <v>980</v>
      </c>
      <c r="C23" s="1">
        <v>35</v>
      </c>
      <c r="D23" s="1">
        <v>115</v>
      </c>
      <c r="E23" s="1">
        <v>40</v>
      </c>
      <c r="H23" s="29">
        <v>0.02</v>
      </c>
      <c r="I23" s="29">
        <v>0.05</v>
      </c>
      <c r="M23" t="s">
        <v>871</v>
      </c>
      <c r="N23" s="1">
        <f t="shared" si="0"/>
        <v>5000</v>
      </c>
      <c r="P23" s="1">
        <v>500000</v>
      </c>
    </row>
    <row r="24" spans="1:24" x14ac:dyDescent="0.4">
      <c r="A24" s="50" t="s">
        <v>197</v>
      </c>
      <c r="B24" s="50" t="s">
        <v>979</v>
      </c>
      <c r="C24" s="1">
        <v>45</v>
      </c>
      <c r="D24" s="1">
        <v>50</v>
      </c>
      <c r="E24" s="1">
        <v>35</v>
      </c>
      <c r="H24" s="30">
        <v>0.05</v>
      </c>
      <c r="I24" s="29">
        <v>0.1</v>
      </c>
      <c r="M24" t="s">
        <v>871</v>
      </c>
      <c r="N24" s="1">
        <f t="shared" si="0"/>
        <v>8000</v>
      </c>
      <c r="P24" s="1">
        <v>800000</v>
      </c>
      <c r="Q24" t="s">
        <v>1222</v>
      </c>
    </row>
    <row r="25" spans="1:24" x14ac:dyDescent="0.4">
      <c r="A25" s="50" t="s">
        <v>196</v>
      </c>
      <c r="B25" s="50" t="s">
        <v>978</v>
      </c>
      <c r="C25" s="1">
        <v>45</v>
      </c>
      <c r="D25" s="1">
        <v>100</v>
      </c>
      <c r="E25" s="1">
        <v>40</v>
      </c>
      <c r="F25" t="s">
        <v>977</v>
      </c>
      <c r="H25" s="30">
        <v>0.05</v>
      </c>
      <c r="I25" s="29">
        <v>0.1</v>
      </c>
      <c r="M25" t="s">
        <v>871</v>
      </c>
      <c r="N25" s="1">
        <f t="shared" si="0"/>
        <v>9000</v>
      </c>
      <c r="P25" s="1">
        <v>900000</v>
      </c>
      <c r="Q25" t="s">
        <v>1223</v>
      </c>
    </row>
    <row r="26" spans="1:24" x14ac:dyDescent="0.4">
      <c r="A26" s="50" t="s">
        <v>976</v>
      </c>
      <c r="B26" s="50" t="s">
        <v>975</v>
      </c>
      <c r="C26" s="1">
        <v>45</v>
      </c>
      <c r="D26" s="1">
        <v>120</v>
      </c>
      <c r="E26" s="1">
        <v>50</v>
      </c>
      <c r="F26" t="s">
        <v>948</v>
      </c>
      <c r="H26" s="30">
        <v>0.05</v>
      </c>
      <c r="I26" s="29">
        <v>0.1</v>
      </c>
      <c r="M26" t="s">
        <v>871</v>
      </c>
      <c r="N26" s="1">
        <f t="shared" si="0"/>
        <v>10000</v>
      </c>
      <c r="P26" s="1">
        <v>1000000</v>
      </c>
      <c r="Q26" t="s">
        <v>1224</v>
      </c>
    </row>
    <row r="27" spans="1:24" x14ac:dyDescent="0.4">
      <c r="A27" s="50" t="s">
        <v>1221</v>
      </c>
      <c r="B27" s="50" t="s">
        <v>1217</v>
      </c>
      <c r="C27" s="1">
        <v>55</v>
      </c>
      <c r="D27" s="1">
        <v>100</v>
      </c>
      <c r="E27" s="1">
        <v>35</v>
      </c>
      <c r="F27" t="s">
        <v>1218</v>
      </c>
      <c r="G27" s="1">
        <v>180</v>
      </c>
      <c r="M27" t="s">
        <v>871</v>
      </c>
      <c r="N27" s="1">
        <f>IF(P27&lt;&gt;"",P27/100,"")</f>
        <v>500000</v>
      </c>
      <c r="P27" s="1">
        <v>50000000</v>
      </c>
      <c r="R27">
        <v>10</v>
      </c>
      <c r="S27">
        <v>10</v>
      </c>
      <c r="T27">
        <v>10</v>
      </c>
      <c r="U27">
        <v>10</v>
      </c>
      <c r="W27">
        <v>10</v>
      </c>
      <c r="X27">
        <v>10</v>
      </c>
    </row>
    <row r="28" spans="1:24" ht="27" x14ac:dyDescent="0.4">
      <c r="A28" s="50" t="s">
        <v>1219</v>
      </c>
      <c r="B28" s="50" t="s">
        <v>1220</v>
      </c>
      <c r="C28" s="1">
        <v>55</v>
      </c>
      <c r="D28" s="1">
        <v>100</v>
      </c>
      <c r="E28" s="1">
        <v>55</v>
      </c>
      <c r="G28" s="1"/>
      <c r="H28" s="29">
        <v>0.15</v>
      </c>
      <c r="I28" s="29">
        <v>0.2</v>
      </c>
      <c r="M28" t="s">
        <v>871</v>
      </c>
      <c r="N28" s="1">
        <f>IF(P28&lt;&gt;"",P28/100,"")</f>
        <v>500000</v>
      </c>
      <c r="P28" s="1">
        <v>50000000</v>
      </c>
    </row>
    <row r="29" spans="1:24" x14ac:dyDescent="0.4">
      <c r="N29" s="1"/>
    </row>
    <row r="30" spans="1:24" x14ac:dyDescent="0.4">
      <c r="N30" s="1" t="str">
        <f>IF(P30&lt;&gt;"",P30/500,"")</f>
        <v/>
      </c>
    </row>
    <row r="31" spans="1:24" ht="36" x14ac:dyDescent="0.4">
      <c r="A31" s="39" t="s">
        <v>193</v>
      </c>
      <c r="B31" s="39" t="s">
        <v>87</v>
      </c>
      <c r="C31" s="39" t="s">
        <v>913</v>
      </c>
      <c r="D31" s="39" t="s">
        <v>974</v>
      </c>
      <c r="E31" s="39" t="s">
        <v>973</v>
      </c>
      <c r="F31" s="39" t="s">
        <v>911</v>
      </c>
      <c r="G31" s="39" t="s">
        <v>910</v>
      </c>
      <c r="H31" s="49" t="s">
        <v>179</v>
      </c>
      <c r="I31" s="49" t="s">
        <v>178</v>
      </c>
      <c r="J31" s="49"/>
      <c r="K31" s="39" t="s">
        <v>909</v>
      </c>
      <c r="L31" s="39" t="s">
        <v>908</v>
      </c>
      <c r="M31" s="39" t="s">
        <v>457</v>
      </c>
      <c r="N31" s="48" t="s">
        <v>907</v>
      </c>
      <c r="O31" s="39" t="s">
        <v>869</v>
      </c>
      <c r="P31" s="39" t="s">
        <v>907</v>
      </c>
    </row>
    <row r="32" spans="1:24" ht="54" x14ac:dyDescent="0.4">
      <c r="A32" s="39" t="s">
        <v>963</v>
      </c>
      <c r="B32" s="39" t="s">
        <v>972</v>
      </c>
      <c r="C32" s="39">
        <v>10</v>
      </c>
      <c r="D32" s="39">
        <v>40</v>
      </c>
      <c r="E32" s="39">
        <v>10</v>
      </c>
      <c r="F32" s="39" t="s">
        <v>258</v>
      </c>
      <c r="G32" s="39" t="s">
        <v>258</v>
      </c>
      <c r="H32" s="49" t="s">
        <v>258</v>
      </c>
      <c r="I32" s="49" t="s">
        <v>258</v>
      </c>
      <c r="J32" s="49"/>
      <c r="K32" s="39" t="s">
        <v>258</v>
      </c>
      <c r="L32" s="39" t="s">
        <v>258</v>
      </c>
      <c r="M32" s="39" t="s">
        <v>963</v>
      </c>
      <c r="N32" s="48">
        <v>100</v>
      </c>
      <c r="O32" s="39" t="s">
        <v>971</v>
      </c>
      <c r="P32" s="39"/>
    </row>
    <row r="33" spans="1:23" ht="54" x14ac:dyDescent="0.4">
      <c r="A33" s="39" t="s">
        <v>970</v>
      </c>
      <c r="B33" s="39" t="s">
        <v>969</v>
      </c>
      <c r="C33" s="39">
        <v>15</v>
      </c>
      <c r="D33" s="39">
        <v>40</v>
      </c>
      <c r="E33" s="39">
        <v>15</v>
      </c>
      <c r="F33" s="39" t="s">
        <v>258</v>
      </c>
      <c r="G33" s="39" t="s">
        <v>258</v>
      </c>
      <c r="H33" s="49" t="s">
        <v>258</v>
      </c>
      <c r="I33" s="49" t="s">
        <v>258</v>
      </c>
      <c r="J33" s="49"/>
      <c r="K33" s="39" t="s">
        <v>258</v>
      </c>
      <c r="L33" s="39" t="s">
        <v>258</v>
      </c>
      <c r="M33" s="39" t="s">
        <v>963</v>
      </c>
      <c r="N33" s="48">
        <v>200</v>
      </c>
      <c r="O33" s="39" t="s">
        <v>968</v>
      </c>
      <c r="P33" s="39"/>
    </row>
    <row r="34" spans="1:23" ht="54" x14ac:dyDescent="0.4">
      <c r="A34" s="39" t="s">
        <v>250</v>
      </c>
      <c r="B34" s="39" t="s">
        <v>967</v>
      </c>
      <c r="C34" s="39">
        <v>20</v>
      </c>
      <c r="D34" s="39">
        <v>25</v>
      </c>
      <c r="E34" s="39">
        <v>15</v>
      </c>
      <c r="F34" s="39" t="s">
        <v>258</v>
      </c>
      <c r="G34" s="39" t="s">
        <v>258</v>
      </c>
      <c r="H34" s="49" t="s">
        <v>258</v>
      </c>
      <c r="I34" s="49" t="s">
        <v>258</v>
      </c>
      <c r="J34" s="49"/>
      <c r="K34" s="39" t="s">
        <v>258</v>
      </c>
      <c r="L34" s="39" t="s">
        <v>258</v>
      </c>
      <c r="M34" s="39" t="s">
        <v>963</v>
      </c>
      <c r="N34" s="48">
        <v>500</v>
      </c>
      <c r="O34" s="39" t="s">
        <v>966</v>
      </c>
      <c r="P34" s="39"/>
    </row>
    <row r="35" spans="1:23" ht="54" x14ac:dyDescent="0.4">
      <c r="A35" s="39" t="s">
        <v>202</v>
      </c>
      <c r="B35" s="39" t="s">
        <v>965</v>
      </c>
      <c r="C35" s="39">
        <v>25</v>
      </c>
      <c r="D35" s="39">
        <v>75</v>
      </c>
      <c r="E35" s="39">
        <v>15</v>
      </c>
      <c r="F35" s="39" t="s">
        <v>964</v>
      </c>
      <c r="G35" s="39" t="s">
        <v>258</v>
      </c>
      <c r="H35" s="49" t="s">
        <v>258</v>
      </c>
      <c r="I35" s="49" t="s">
        <v>258</v>
      </c>
      <c r="J35" s="49"/>
      <c r="K35" s="39" t="s">
        <v>258</v>
      </c>
      <c r="L35" s="39" t="s">
        <v>258</v>
      </c>
      <c r="M35" s="39" t="s">
        <v>963</v>
      </c>
      <c r="N35" s="48">
        <v>1500</v>
      </c>
      <c r="O35" s="39" t="s">
        <v>962</v>
      </c>
      <c r="P35" s="39"/>
    </row>
    <row r="36" spans="1:23" ht="72" x14ac:dyDescent="0.4">
      <c r="A36" s="39" t="s">
        <v>245</v>
      </c>
      <c r="B36" s="39" t="s">
        <v>961</v>
      </c>
      <c r="C36" s="39">
        <v>30</v>
      </c>
      <c r="D36" s="39">
        <v>80</v>
      </c>
      <c r="E36" s="39">
        <v>25</v>
      </c>
      <c r="F36" s="39" t="s">
        <v>960</v>
      </c>
      <c r="G36" s="39">
        <v>25</v>
      </c>
      <c r="H36" s="49" t="s">
        <v>258</v>
      </c>
      <c r="I36" s="49" t="s">
        <v>258</v>
      </c>
      <c r="J36" s="49"/>
      <c r="K36" s="39" t="s">
        <v>258</v>
      </c>
      <c r="L36" s="39" t="s">
        <v>258</v>
      </c>
      <c r="M36" s="39" t="s">
        <v>951</v>
      </c>
      <c r="N36" s="48">
        <v>5500</v>
      </c>
      <c r="O36" s="39" t="s">
        <v>959</v>
      </c>
      <c r="P36" s="39"/>
      <c r="S36">
        <v>10</v>
      </c>
    </row>
    <row r="37" spans="1:23" ht="56.25" x14ac:dyDescent="0.4">
      <c r="A37" s="47" t="s">
        <v>248</v>
      </c>
      <c r="B37" s="1" t="s">
        <v>958</v>
      </c>
      <c r="C37" s="39">
        <v>30</v>
      </c>
      <c r="D37" s="39">
        <v>80</v>
      </c>
      <c r="E37" s="39">
        <v>25</v>
      </c>
      <c r="F37" s="39" t="s">
        <v>957</v>
      </c>
      <c r="G37" s="39">
        <v>25</v>
      </c>
      <c r="H37" s="30" t="s">
        <v>258</v>
      </c>
      <c r="I37" s="30" t="s">
        <v>258</v>
      </c>
      <c r="J37" s="30"/>
      <c r="K37" s="1" t="s">
        <v>258</v>
      </c>
      <c r="L37" s="1" t="s">
        <v>258</v>
      </c>
      <c r="M37" s="1" t="s">
        <v>951</v>
      </c>
      <c r="N37" s="1">
        <v>5500</v>
      </c>
      <c r="O37" s="1" t="s">
        <v>956</v>
      </c>
      <c r="P37" s="1">
        <v>300000</v>
      </c>
      <c r="R37">
        <v>10</v>
      </c>
    </row>
    <row r="38" spans="1:23" ht="56.25" x14ac:dyDescent="0.4">
      <c r="A38" s="47" t="s">
        <v>249</v>
      </c>
      <c r="B38" s="1" t="s">
        <v>955</v>
      </c>
      <c r="C38" s="39">
        <v>30</v>
      </c>
      <c r="D38" s="39">
        <v>80</v>
      </c>
      <c r="E38" s="39">
        <v>25</v>
      </c>
      <c r="F38" s="39" t="s">
        <v>934</v>
      </c>
      <c r="G38" s="39">
        <v>25</v>
      </c>
      <c r="H38" s="30" t="s">
        <v>258</v>
      </c>
      <c r="I38" s="30" t="s">
        <v>258</v>
      </c>
      <c r="J38" s="30"/>
      <c r="K38" s="1" t="s">
        <v>258</v>
      </c>
      <c r="L38" s="1" t="s">
        <v>258</v>
      </c>
      <c r="M38" s="1" t="s">
        <v>951</v>
      </c>
      <c r="N38" s="1">
        <v>5500</v>
      </c>
      <c r="O38" s="1" t="s">
        <v>954</v>
      </c>
      <c r="P38" s="1">
        <v>300000</v>
      </c>
      <c r="T38">
        <v>10</v>
      </c>
    </row>
    <row r="39" spans="1:23" ht="75" x14ac:dyDescent="0.4">
      <c r="A39" s="47" t="s">
        <v>953</v>
      </c>
      <c r="B39" s="1" t="s">
        <v>952</v>
      </c>
      <c r="C39" s="39">
        <v>30</v>
      </c>
      <c r="D39" s="39">
        <v>80</v>
      </c>
      <c r="E39" s="39">
        <v>25</v>
      </c>
      <c r="F39" s="39" t="s">
        <v>934</v>
      </c>
      <c r="G39" s="39">
        <v>25</v>
      </c>
      <c r="H39" s="30" t="s">
        <v>258</v>
      </c>
      <c r="I39" s="30" t="s">
        <v>258</v>
      </c>
      <c r="J39" s="30"/>
      <c r="K39" s="1" t="s">
        <v>258</v>
      </c>
      <c r="L39" s="1" t="s">
        <v>258</v>
      </c>
      <c r="M39" s="1" t="s">
        <v>951</v>
      </c>
      <c r="N39" s="1">
        <v>5500</v>
      </c>
      <c r="O39" s="1" t="s">
        <v>950</v>
      </c>
      <c r="P39" s="1">
        <v>400000</v>
      </c>
      <c r="U39">
        <v>10</v>
      </c>
    </row>
    <row r="40" spans="1:23" ht="75" x14ac:dyDescent="0.4">
      <c r="A40" s="47" t="s">
        <v>1269</v>
      </c>
      <c r="B40" s="1" t="s">
        <v>1270</v>
      </c>
      <c r="C40" s="39">
        <v>30</v>
      </c>
      <c r="D40" s="39">
        <v>80</v>
      </c>
      <c r="E40" s="39">
        <v>25</v>
      </c>
      <c r="F40" s="39" t="s">
        <v>1215</v>
      </c>
      <c r="G40" s="39">
        <v>25</v>
      </c>
      <c r="H40" s="30" t="s">
        <v>258</v>
      </c>
      <c r="I40" s="30" t="s">
        <v>258</v>
      </c>
      <c r="J40" s="30"/>
      <c r="K40" s="1" t="s">
        <v>258</v>
      </c>
      <c r="L40" s="1" t="s">
        <v>258</v>
      </c>
      <c r="M40" s="1" t="s">
        <v>951</v>
      </c>
      <c r="N40" s="1">
        <v>5500</v>
      </c>
      <c r="O40" s="1" t="s">
        <v>950</v>
      </c>
      <c r="P40" s="1">
        <v>400000</v>
      </c>
      <c r="W40">
        <v>10</v>
      </c>
    </row>
    <row r="41" spans="1:23" x14ac:dyDescent="0.4">
      <c r="A41" s="47"/>
      <c r="B41" s="1"/>
      <c r="C41" s="1"/>
      <c r="D41" s="1"/>
      <c r="E41" s="1"/>
      <c r="F41" s="1"/>
      <c r="G41" s="1"/>
      <c r="H41" s="30"/>
      <c r="I41" s="30"/>
      <c r="J41" s="30"/>
      <c r="M41" s="1"/>
      <c r="N41" s="1"/>
      <c r="O41" s="1"/>
      <c r="P41" s="1"/>
    </row>
    <row r="42" spans="1:23" x14ac:dyDescent="0.4">
      <c r="N42" s="1" t="str">
        <f>IF(P42&lt;&gt;"",P42/500,"")</f>
        <v/>
      </c>
    </row>
    <row r="43" spans="1:23" x14ac:dyDescent="0.4">
      <c r="N43" s="1" t="str">
        <f>IF(P43&lt;&gt;"",P43/500,"")</f>
        <v/>
      </c>
    </row>
    <row r="44" spans="1:23" x14ac:dyDescent="0.4">
      <c r="A44" s="48" t="s">
        <v>949</v>
      </c>
      <c r="N44" s="1" t="str">
        <f>IF(P44&lt;&gt;"",P44/500,"")</f>
        <v/>
      </c>
    </row>
    <row r="45" spans="1:23" x14ac:dyDescent="0.4">
      <c r="N45" s="1" t="str">
        <f>IF(P45&lt;&gt;"",P45/500,"")</f>
        <v/>
      </c>
    </row>
    <row r="46" spans="1:23" x14ac:dyDescent="0.4">
      <c r="A46" s="39" t="s">
        <v>193</v>
      </c>
      <c r="B46" s="39" t="s">
        <v>87</v>
      </c>
      <c r="C46" s="39" t="s">
        <v>913</v>
      </c>
      <c r="D46" s="39" t="s">
        <v>912</v>
      </c>
      <c r="E46" s="39" t="s">
        <v>948</v>
      </c>
      <c r="F46" s="39" t="s">
        <v>911</v>
      </c>
      <c r="G46" s="39" t="s">
        <v>910</v>
      </c>
      <c r="H46" s="49"/>
      <c r="I46" s="49"/>
      <c r="J46" s="49"/>
      <c r="K46" s="39" t="s">
        <v>909</v>
      </c>
      <c r="L46" s="39" t="s">
        <v>908</v>
      </c>
      <c r="M46" s="39" t="s">
        <v>457</v>
      </c>
      <c r="N46" s="48" t="s">
        <v>105</v>
      </c>
      <c r="O46" s="39" t="s">
        <v>869</v>
      </c>
      <c r="P46" s="39" t="s">
        <v>907</v>
      </c>
    </row>
    <row r="47" spans="1:23" x14ac:dyDescent="0.4">
      <c r="A47" s="47" t="s">
        <v>255</v>
      </c>
      <c r="B47" s="1" t="s">
        <v>947</v>
      </c>
      <c r="C47" s="1">
        <v>10</v>
      </c>
      <c r="D47" s="1">
        <v>75</v>
      </c>
      <c r="E47" s="1">
        <v>15</v>
      </c>
      <c r="F47" s="1"/>
      <c r="G47" s="1"/>
      <c r="H47" s="30"/>
      <c r="I47" s="30"/>
      <c r="J47" s="30"/>
      <c r="M47" s="1" t="s">
        <v>916</v>
      </c>
      <c r="N47" s="1">
        <v>100</v>
      </c>
      <c r="O47" s="1" t="s">
        <v>946</v>
      </c>
      <c r="P47" s="1">
        <v>150000</v>
      </c>
    </row>
    <row r="48" spans="1:23" ht="56.25" x14ac:dyDescent="0.4">
      <c r="A48" s="47" t="s">
        <v>945</v>
      </c>
      <c r="B48" s="1" t="s">
        <v>944</v>
      </c>
      <c r="C48" s="1">
        <v>20</v>
      </c>
      <c r="D48" s="1">
        <v>65</v>
      </c>
      <c r="E48" s="1">
        <v>20</v>
      </c>
      <c r="F48" s="1"/>
      <c r="G48" s="1"/>
      <c r="H48" s="30"/>
      <c r="I48" s="30"/>
      <c r="J48" s="30"/>
      <c r="M48" s="1" t="s">
        <v>916</v>
      </c>
      <c r="N48" s="1">
        <v>300</v>
      </c>
      <c r="O48" s="1" t="s">
        <v>937</v>
      </c>
      <c r="P48" s="1">
        <v>150000</v>
      </c>
    </row>
    <row r="49" spans="1:38" ht="56.25" x14ac:dyDescent="0.4">
      <c r="A49" s="47" t="s">
        <v>943</v>
      </c>
      <c r="B49" s="1" t="s">
        <v>942</v>
      </c>
      <c r="C49" s="1">
        <v>30</v>
      </c>
      <c r="D49" s="1">
        <v>65</v>
      </c>
      <c r="E49" s="1">
        <v>25</v>
      </c>
      <c r="F49" s="1"/>
      <c r="G49" s="1"/>
      <c r="H49" s="30"/>
      <c r="I49" s="30"/>
      <c r="J49" s="30"/>
      <c r="M49" s="1" t="s">
        <v>916</v>
      </c>
      <c r="N49" s="1">
        <v>600</v>
      </c>
      <c r="O49" s="1" t="s">
        <v>937</v>
      </c>
      <c r="P49" s="1">
        <v>150000</v>
      </c>
    </row>
    <row r="50" spans="1:38" ht="56.25" x14ac:dyDescent="0.4">
      <c r="A50" s="47" t="s">
        <v>941</v>
      </c>
      <c r="B50" s="1" t="s">
        <v>940</v>
      </c>
      <c r="C50" s="1">
        <v>20</v>
      </c>
      <c r="D50" s="1">
        <v>55</v>
      </c>
      <c r="E50" s="1">
        <v>10</v>
      </c>
      <c r="F50" s="1" t="s">
        <v>939</v>
      </c>
      <c r="G50" s="1">
        <v>20</v>
      </c>
      <c r="H50" s="30"/>
      <c r="I50" s="30"/>
      <c r="J50" s="30"/>
      <c r="K50" s="1" t="s">
        <v>938</v>
      </c>
      <c r="L50" s="1" t="s">
        <v>159</v>
      </c>
      <c r="M50" s="1" t="s">
        <v>916</v>
      </c>
      <c r="N50" s="1">
        <f t="shared" ref="N50:N62" si="1">IF(P50&lt;&gt;"",P50/500,"")</f>
        <v>300</v>
      </c>
      <c r="O50" s="1" t="s">
        <v>937</v>
      </c>
      <c r="P50" s="1">
        <v>150000</v>
      </c>
    </row>
    <row r="51" spans="1:38" ht="56.25" x14ac:dyDescent="0.4">
      <c r="A51" s="47" t="s">
        <v>936</v>
      </c>
      <c r="B51" s="1" t="s">
        <v>935</v>
      </c>
      <c r="C51" s="1">
        <v>30</v>
      </c>
      <c r="D51" s="1">
        <v>60</v>
      </c>
      <c r="E51" s="1">
        <v>15</v>
      </c>
      <c r="F51" s="1" t="s">
        <v>934</v>
      </c>
      <c r="G51" s="1">
        <v>25</v>
      </c>
      <c r="H51" s="30"/>
      <c r="I51" s="30"/>
      <c r="J51" s="30"/>
      <c r="K51" s="1" t="s">
        <v>933</v>
      </c>
      <c r="L51" s="1" t="s">
        <v>932</v>
      </c>
      <c r="M51" s="1" t="s">
        <v>916</v>
      </c>
      <c r="N51" s="1">
        <f t="shared" si="1"/>
        <v>360</v>
      </c>
      <c r="O51" s="1" t="s">
        <v>931</v>
      </c>
      <c r="P51" s="1">
        <v>180000</v>
      </c>
    </row>
    <row r="52" spans="1:38" ht="56.25" x14ac:dyDescent="0.4">
      <c r="A52" s="47" t="s">
        <v>930</v>
      </c>
      <c r="B52" s="1" t="s">
        <v>929</v>
      </c>
      <c r="C52" s="1">
        <v>35</v>
      </c>
      <c r="D52" s="1">
        <v>60</v>
      </c>
      <c r="E52" s="1">
        <v>20</v>
      </c>
      <c r="F52" s="1" t="s">
        <v>928</v>
      </c>
      <c r="G52" s="1">
        <v>20</v>
      </c>
      <c r="H52" s="30"/>
      <c r="I52" s="30"/>
      <c r="J52" s="30"/>
      <c r="K52" s="1" t="s">
        <v>927</v>
      </c>
      <c r="M52" s="1" t="s">
        <v>916</v>
      </c>
      <c r="N52" s="1">
        <f t="shared" si="1"/>
        <v>400</v>
      </c>
      <c r="O52" s="1" t="s">
        <v>926</v>
      </c>
      <c r="P52" s="1">
        <v>200000</v>
      </c>
      <c r="X52">
        <v>5</v>
      </c>
      <c r="Z52">
        <v>5</v>
      </c>
      <c r="AI52">
        <v>5</v>
      </c>
      <c r="AL52">
        <v>5</v>
      </c>
    </row>
    <row r="53" spans="1:38" ht="56.25" x14ac:dyDescent="0.4">
      <c r="A53" s="47" t="s">
        <v>1226</v>
      </c>
      <c r="B53" s="1" t="s">
        <v>1228</v>
      </c>
      <c r="C53" s="1">
        <v>35</v>
      </c>
      <c r="D53" s="1">
        <v>75</v>
      </c>
      <c r="E53" s="1">
        <v>35</v>
      </c>
      <c r="F53" s="1" t="s">
        <v>992</v>
      </c>
      <c r="G53" s="1">
        <v>50</v>
      </c>
      <c r="H53" s="30"/>
      <c r="I53" s="30"/>
      <c r="J53" s="30"/>
      <c r="M53" s="1" t="s">
        <v>916</v>
      </c>
      <c r="N53" s="1">
        <f t="shared" ref="N53:N57" si="2">IF(P53&lt;&gt;"",P53/100,"")</f>
        <v>6000</v>
      </c>
      <c r="O53" s="1" t="s">
        <v>926</v>
      </c>
      <c r="P53" s="1">
        <v>600000</v>
      </c>
      <c r="X53">
        <v>5</v>
      </c>
      <c r="Z53">
        <v>5</v>
      </c>
      <c r="AI53">
        <v>5</v>
      </c>
      <c r="AL53">
        <v>5</v>
      </c>
    </row>
    <row r="54" spans="1:38" ht="56.25" x14ac:dyDescent="0.4">
      <c r="A54" s="47" t="s">
        <v>1227</v>
      </c>
      <c r="B54" s="1" t="s">
        <v>1229</v>
      </c>
      <c r="C54" s="1">
        <v>35</v>
      </c>
      <c r="D54" s="1">
        <v>75</v>
      </c>
      <c r="E54" s="1">
        <v>35</v>
      </c>
      <c r="F54" s="1" t="s">
        <v>1230</v>
      </c>
      <c r="G54" s="1">
        <v>50</v>
      </c>
      <c r="H54" s="30"/>
      <c r="I54" s="30"/>
      <c r="J54" s="30"/>
      <c r="M54" s="1" t="s">
        <v>916</v>
      </c>
      <c r="N54" s="1">
        <f t="shared" si="2"/>
        <v>6000</v>
      </c>
      <c r="O54" s="1" t="s">
        <v>926</v>
      </c>
      <c r="P54" s="1">
        <v>600000</v>
      </c>
      <c r="R54">
        <v>5</v>
      </c>
      <c r="W54">
        <v>5</v>
      </c>
      <c r="Y54">
        <v>5</v>
      </c>
      <c r="AA54">
        <v>5</v>
      </c>
      <c r="AE54">
        <v>5</v>
      </c>
    </row>
    <row r="55" spans="1:38" ht="56.25" x14ac:dyDescent="0.4">
      <c r="A55" s="47" t="s">
        <v>1233</v>
      </c>
      <c r="B55" s="1" t="s">
        <v>1235</v>
      </c>
      <c r="C55" s="1">
        <v>50</v>
      </c>
      <c r="D55" s="1">
        <v>75</v>
      </c>
      <c r="E55" s="1">
        <v>45</v>
      </c>
      <c r="F55" s="1" t="s">
        <v>992</v>
      </c>
      <c r="G55" s="1">
        <v>75</v>
      </c>
      <c r="H55" s="30"/>
      <c r="I55" s="30"/>
      <c r="J55" s="30"/>
      <c r="K55" s="1" t="s">
        <v>1231</v>
      </c>
      <c r="M55" s="1" t="s">
        <v>916</v>
      </c>
      <c r="N55" s="1">
        <f t="shared" ref="N55:N56" si="3">IF(P55&lt;&gt;"",P55/100,"")</f>
        <v>35000</v>
      </c>
      <c r="O55" s="1" t="s">
        <v>926</v>
      </c>
      <c r="P55" s="1">
        <v>3500000</v>
      </c>
      <c r="X55">
        <v>5</v>
      </c>
      <c r="Z55">
        <v>5</v>
      </c>
      <c r="AI55">
        <v>5</v>
      </c>
      <c r="AL55">
        <v>5</v>
      </c>
    </row>
    <row r="56" spans="1:38" ht="56.25" x14ac:dyDescent="0.4">
      <c r="A56" s="47" t="s">
        <v>1234</v>
      </c>
      <c r="B56" s="1" t="s">
        <v>1236</v>
      </c>
      <c r="C56" s="1">
        <v>50</v>
      </c>
      <c r="D56" s="1">
        <v>75</v>
      </c>
      <c r="E56" s="1">
        <v>45</v>
      </c>
      <c r="F56" s="1" t="s">
        <v>1230</v>
      </c>
      <c r="G56" s="1">
        <v>75</v>
      </c>
      <c r="H56" s="30"/>
      <c r="I56" s="30"/>
      <c r="J56" s="30"/>
      <c r="K56" s="1" t="s">
        <v>1232</v>
      </c>
      <c r="M56" s="1" t="s">
        <v>916</v>
      </c>
      <c r="N56" s="1">
        <f t="shared" si="3"/>
        <v>35000</v>
      </c>
      <c r="O56" s="1" t="s">
        <v>926</v>
      </c>
      <c r="P56" s="1">
        <v>3500000</v>
      </c>
      <c r="R56">
        <v>5</v>
      </c>
      <c r="W56">
        <v>5</v>
      </c>
      <c r="Y56">
        <v>5</v>
      </c>
      <c r="AA56">
        <v>5</v>
      </c>
      <c r="AE56">
        <v>5</v>
      </c>
    </row>
    <row r="57" spans="1:38" ht="56.25" x14ac:dyDescent="0.4">
      <c r="A57" s="47" t="s">
        <v>925</v>
      </c>
      <c r="B57" s="1" t="s">
        <v>924</v>
      </c>
      <c r="C57" s="1">
        <v>40</v>
      </c>
      <c r="D57" s="1">
        <v>50</v>
      </c>
      <c r="E57" s="1">
        <v>15</v>
      </c>
      <c r="F57" s="1" t="s">
        <v>129</v>
      </c>
      <c r="G57" s="1">
        <v>20</v>
      </c>
      <c r="H57" s="30"/>
      <c r="I57" s="30"/>
      <c r="J57" s="30"/>
      <c r="K57" s="1" t="s">
        <v>923</v>
      </c>
      <c r="M57" s="1" t="s">
        <v>916</v>
      </c>
      <c r="N57" s="1">
        <f t="shared" si="2"/>
        <v>2500</v>
      </c>
      <c r="O57" s="1" t="s">
        <v>922</v>
      </c>
      <c r="P57" s="1">
        <v>250000</v>
      </c>
      <c r="AB57">
        <v>15</v>
      </c>
    </row>
    <row r="58" spans="1:38" ht="75" x14ac:dyDescent="0.4">
      <c r="A58" s="47" t="s">
        <v>921</v>
      </c>
      <c r="B58" s="1" t="s">
        <v>920</v>
      </c>
      <c r="C58" s="1">
        <v>45</v>
      </c>
      <c r="D58" s="1">
        <v>55</v>
      </c>
      <c r="E58" s="1">
        <v>20</v>
      </c>
      <c r="F58" s="1" t="s">
        <v>919</v>
      </c>
      <c r="G58" s="1">
        <v>25</v>
      </c>
      <c r="H58" s="30"/>
      <c r="I58" s="30"/>
      <c r="J58" s="30"/>
      <c r="K58" s="1" t="s">
        <v>918</v>
      </c>
      <c r="L58" s="1" t="s">
        <v>917</v>
      </c>
      <c r="M58" s="1" t="s">
        <v>916</v>
      </c>
      <c r="N58" s="1">
        <f>IF(P58&lt;&gt;"",P58/100,"")</f>
        <v>2800</v>
      </c>
      <c r="O58" s="1" t="s">
        <v>915</v>
      </c>
      <c r="P58" s="1">
        <v>280000</v>
      </c>
    </row>
    <row r="59" spans="1:38" x14ac:dyDescent="0.4">
      <c r="N59" s="1" t="str">
        <f t="shared" si="1"/>
        <v/>
      </c>
    </row>
    <row r="60" spans="1:38" x14ac:dyDescent="0.4">
      <c r="N60" s="1" t="str">
        <f t="shared" si="1"/>
        <v/>
      </c>
    </row>
    <row r="61" spans="1:38" x14ac:dyDescent="0.4">
      <c r="A61" s="48" t="s">
        <v>914</v>
      </c>
      <c r="N61" s="1" t="str">
        <f t="shared" si="1"/>
        <v/>
      </c>
    </row>
    <row r="62" spans="1:38" x14ac:dyDescent="0.4">
      <c r="N62" s="1" t="str">
        <f t="shared" si="1"/>
        <v/>
      </c>
    </row>
    <row r="63" spans="1:38" x14ac:dyDescent="0.4">
      <c r="A63" s="39" t="s">
        <v>193</v>
      </c>
      <c r="B63" s="39" t="s">
        <v>87</v>
      </c>
      <c r="C63" s="39" t="s">
        <v>913</v>
      </c>
      <c r="D63" s="39" t="s">
        <v>912</v>
      </c>
      <c r="E63" s="48" t="s">
        <v>948</v>
      </c>
      <c r="F63" s="39" t="s">
        <v>911</v>
      </c>
      <c r="G63" s="39" t="s">
        <v>910</v>
      </c>
      <c r="H63" s="49"/>
      <c r="I63" s="49"/>
      <c r="J63" s="49"/>
      <c r="K63" s="39" t="s">
        <v>909</v>
      </c>
      <c r="L63" s="39" t="s">
        <v>908</v>
      </c>
      <c r="M63" s="39" t="s">
        <v>457</v>
      </c>
      <c r="N63" s="48" t="s">
        <v>105</v>
      </c>
      <c r="O63" s="39" t="s">
        <v>869</v>
      </c>
      <c r="P63" s="39" t="s">
        <v>907</v>
      </c>
    </row>
    <row r="64" spans="1:38" ht="37.5" x14ac:dyDescent="0.4">
      <c r="A64" s="47" t="s">
        <v>1186</v>
      </c>
      <c r="B64" s="1" t="s">
        <v>1189</v>
      </c>
      <c r="C64" s="1">
        <v>8</v>
      </c>
      <c r="D64" s="1">
        <v>75</v>
      </c>
      <c r="E64" s="1">
        <v>10</v>
      </c>
      <c r="F64" s="1" t="s">
        <v>1190</v>
      </c>
      <c r="G64" s="1">
        <v>10</v>
      </c>
      <c r="H64" s="30"/>
      <c r="I64" s="30"/>
      <c r="J64" s="30"/>
      <c r="M64" s="1" t="s">
        <v>880</v>
      </c>
      <c r="N64" s="1">
        <v>50</v>
      </c>
      <c r="O64" s="1" t="s">
        <v>1192</v>
      </c>
      <c r="P64" s="1"/>
    </row>
    <row r="65" spans="1:16" ht="37.5" x14ac:dyDescent="0.4">
      <c r="A65" s="47" t="s">
        <v>1187</v>
      </c>
      <c r="B65" s="1" t="s">
        <v>1189</v>
      </c>
      <c r="C65" s="1">
        <v>8</v>
      </c>
      <c r="D65" s="1">
        <v>75</v>
      </c>
      <c r="E65" s="1">
        <v>10</v>
      </c>
      <c r="F65" s="1" t="s">
        <v>1191</v>
      </c>
      <c r="G65" s="1">
        <v>10</v>
      </c>
      <c r="H65" s="30"/>
      <c r="I65" s="30"/>
      <c r="J65" s="30"/>
      <c r="M65" s="1" t="s">
        <v>880</v>
      </c>
      <c r="N65" s="1">
        <v>50</v>
      </c>
      <c r="O65" s="1" t="s">
        <v>1193</v>
      </c>
      <c r="P65" s="1">
        <v>400000</v>
      </c>
    </row>
    <row r="66" spans="1:16" x14ac:dyDescent="0.4">
      <c r="A66" s="47" t="s">
        <v>1188</v>
      </c>
      <c r="B66" s="1" t="s">
        <v>1189</v>
      </c>
      <c r="C66" s="1">
        <v>8</v>
      </c>
      <c r="D66" s="1">
        <v>75</v>
      </c>
      <c r="E66" s="1">
        <v>12</v>
      </c>
      <c r="F66" s="1"/>
      <c r="G66" s="1"/>
      <c r="H66" s="30"/>
      <c r="I66" s="30"/>
      <c r="J66" s="30"/>
      <c r="M66" s="1" t="s">
        <v>880</v>
      </c>
      <c r="N66" s="1">
        <v>75</v>
      </c>
      <c r="O66" s="1" t="s">
        <v>1194</v>
      </c>
      <c r="P66" s="1">
        <v>400000</v>
      </c>
    </row>
    <row r="67" spans="1:16" ht="56.25" x14ac:dyDescent="0.4">
      <c r="A67" s="47" t="s">
        <v>906</v>
      </c>
      <c r="B67" s="1" t="s">
        <v>1237</v>
      </c>
      <c r="C67" s="1">
        <v>45</v>
      </c>
      <c r="D67" s="1">
        <v>110</v>
      </c>
      <c r="E67" s="1">
        <v>25</v>
      </c>
      <c r="F67" s="1" t="s">
        <v>905</v>
      </c>
      <c r="G67" s="1">
        <v>30</v>
      </c>
      <c r="H67" s="30"/>
      <c r="I67" s="30"/>
      <c r="J67" s="30"/>
      <c r="K67" s="1" t="s">
        <v>904</v>
      </c>
      <c r="L67" s="1" t="s">
        <v>903</v>
      </c>
      <c r="M67" s="1" t="s">
        <v>880</v>
      </c>
      <c r="N67" s="1">
        <f t="shared" ref="N67:N72" si="4">IF(P67&lt;&gt;"",P67/500,"")</f>
        <v>800</v>
      </c>
      <c r="O67" s="1" t="s">
        <v>902</v>
      </c>
      <c r="P67" s="1">
        <v>400000</v>
      </c>
    </row>
    <row r="68" spans="1:16" ht="56.25" x14ac:dyDescent="0.4">
      <c r="A68" s="47" t="s">
        <v>901</v>
      </c>
      <c r="B68" s="1" t="s">
        <v>900</v>
      </c>
      <c r="C68" s="1">
        <v>35</v>
      </c>
      <c r="D68" s="1">
        <v>75</v>
      </c>
      <c r="E68" s="1">
        <v>15</v>
      </c>
      <c r="F68" s="1" t="s">
        <v>899</v>
      </c>
      <c r="G68" s="1">
        <v>20</v>
      </c>
      <c r="H68" s="30"/>
      <c r="I68" s="30"/>
      <c r="J68" s="30"/>
      <c r="K68" s="1" t="s">
        <v>898</v>
      </c>
      <c r="L68" s="1" t="s">
        <v>897</v>
      </c>
      <c r="M68" s="1" t="s">
        <v>880</v>
      </c>
      <c r="N68" s="1">
        <f t="shared" si="4"/>
        <v>400</v>
      </c>
      <c r="O68" s="1" t="s">
        <v>896</v>
      </c>
      <c r="P68" s="1">
        <v>200000</v>
      </c>
    </row>
    <row r="69" spans="1:16" ht="56.25" x14ac:dyDescent="0.4">
      <c r="A69" s="47" t="s">
        <v>895</v>
      </c>
      <c r="B69" s="1" t="s">
        <v>894</v>
      </c>
      <c r="C69" s="1">
        <v>30</v>
      </c>
      <c r="D69" s="1">
        <v>80</v>
      </c>
      <c r="E69" s="1">
        <v>15</v>
      </c>
      <c r="F69" s="1" t="s">
        <v>893</v>
      </c>
      <c r="G69" s="1">
        <v>20</v>
      </c>
      <c r="H69" s="30"/>
      <c r="I69" s="30"/>
      <c r="J69" s="30"/>
      <c r="K69" s="1" t="s">
        <v>892</v>
      </c>
      <c r="L69" s="1" t="s">
        <v>150</v>
      </c>
      <c r="M69" s="1" t="s">
        <v>880</v>
      </c>
      <c r="N69" s="1">
        <f t="shared" si="4"/>
        <v>360</v>
      </c>
      <c r="O69" s="1" t="s">
        <v>891</v>
      </c>
      <c r="P69" s="1">
        <v>180000</v>
      </c>
    </row>
    <row r="70" spans="1:16" ht="56.25" x14ac:dyDescent="0.4">
      <c r="A70" s="47" t="s">
        <v>890</v>
      </c>
      <c r="B70" s="1" t="s">
        <v>889</v>
      </c>
      <c r="C70" s="1">
        <v>40</v>
      </c>
      <c r="D70" s="1">
        <v>70</v>
      </c>
      <c r="E70" s="1">
        <v>15</v>
      </c>
      <c r="F70" s="1" t="s">
        <v>888</v>
      </c>
      <c r="G70" s="1">
        <v>25</v>
      </c>
      <c r="H70" s="30"/>
      <c r="I70" s="30"/>
      <c r="J70" s="30"/>
      <c r="K70" s="1" t="s">
        <v>887</v>
      </c>
      <c r="L70" s="1" t="s">
        <v>149</v>
      </c>
      <c r="M70" s="1" t="s">
        <v>880</v>
      </c>
      <c r="N70" s="1">
        <f t="shared" si="4"/>
        <v>500</v>
      </c>
      <c r="O70" s="1" t="s">
        <v>886</v>
      </c>
      <c r="P70" s="1">
        <v>250000</v>
      </c>
    </row>
    <row r="71" spans="1:16" ht="56.25" x14ac:dyDescent="0.4">
      <c r="A71" s="47" t="s">
        <v>885</v>
      </c>
      <c r="B71" s="1" t="s">
        <v>884</v>
      </c>
      <c r="C71" s="1">
        <v>50</v>
      </c>
      <c r="D71" s="1">
        <v>85</v>
      </c>
      <c r="E71" s="1">
        <v>25</v>
      </c>
      <c r="F71" s="1" t="s">
        <v>883</v>
      </c>
      <c r="G71" s="1">
        <v>30</v>
      </c>
      <c r="H71" s="30"/>
      <c r="I71" s="30"/>
      <c r="J71" s="30"/>
      <c r="K71" s="1" t="s">
        <v>882</v>
      </c>
      <c r="L71" s="1" t="s">
        <v>881</v>
      </c>
      <c r="M71" s="1" t="s">
        <v>880</v>
      </c>
      <c r="N71" s="1">
        <f t="shared" si="4"/>
        <v>600</v>
      </c>
      <c r="O71" s="1" t="s">
        <v>879</v>
      </c>
      <c r="P71" s="1">
        <v>300000</v>
      </c>
    </row>
    <row r="72" spans="1:16" x14ac:dyDescent="0.4">
      <c r="N72" s="1" t="str">
        <f t="shared" si="4"/>
        <v/>
      </c>
    </row>
    <row r="73" spans="1:16" x14ac:dyDescent="0.4">
      <c r="N73" s="1" t="str">
        <f>IF(P73&lt;&gt;"",P73/500,"")</f>
        <v/>
      </c>
    </row>
  </sheetData>
  <phoneticPr fontId="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AD7C2-5DA0-4B4C-995A-4EBA5DA60E7B}">
  <sheetPr codeName="Sheet5">
    <tabColor theme="8" tint="0.79998168889431442"/>
  </sheetPr>
  <dimension ref="A1:AS1003"/>
  <sheetViews>
    <sheetView zoomScaleNormal="100" workbookViewId="0">
      <pane xSplit="3" ySplit="1" topLeftCell="D81" activePane="bottomRight" state="frozen"/>
      <selection pane="topRight" activeCell="D1" sqref="D1"/>
      <selection pane="bottomLeft" activeCell="A3" sqref="A3"/>
      <selection pane="bottomRight" activeCell="E92" sqref="E92"/>
    </sheetView>
  </sheetViews>
  <sheetFormatPr defaultRowHeight="18.75" outlineLevelRow="1" outlineLevelCol="1" x14ac:dyDescent="0.4"/>
  <cols>
    <col min="2" max="2" width="21.375" bestFit="1" customWidth="1"/>
    <col min="3" max="3" width="5.5" bestFit="1" customWidth="1"/>
    <col min="4" max="4" width="6" bestFit="1" customWidth="1"/>
    <col min="5" max="6" width="6.125" bestFit="1" customWidth="1"/>
    <col min="7" max="7" width="6" bestFit="1" customWidth="1"/>
    <col min="8" max="8" width="7.125" style="29" customWidth="1"/>
    <col min="9" max="9" width="6.125" style="29" customWidth="1"/>
    <col min="10" max="10" width="7.125" customWidth="1" outlineLevel="1"/>
    <col min="11" max="11" width="6.375" style="29" customWidth="1" outlineLevel="1"/>
    <col min="12" max="12" width="8" style="29" customWidth="1" outlineLevel="1"/>
    <col min="13" max="13" width="5.875" customWidth="1" outlineLevel="1"/>
    <col min="14" max="14" width="5.875" customWidth="1"/>
    <col min="15" max="15" width="5.875" hidden="1" customWidth="1" outlineLevel="1"/>
    <col min="16" max="16" width="9" hidden="1" customWidth="1" outlineLevel="1"/>
    <col min="17" max="17" width="7.375" hidden="1" customWidth="1" outlineLevel="1"/>
    <col min="18" max="18" width="9" hidden="1" customWidth="1" outlineLevel="1"/>
    <col min="19" max="20" width="9" style="33" hidden="1" customWidth="1" outlineLevel="1"/>
    <col min="21" max="21" width="18" customWidth="1" collapsed="1"/>
    <col min="22" max="22" width="5.5" customWidth="1" outlineLevel="1"/>
    <col min="23" max="23" width="31.75" customWidth="1" outlineLevel="1"/>
    <col min="24" max="24" width="24.75" customWidth="1" outlineLevel="1"/>
    <col min="25" max="25" width="9" customWidth="1" outlineLevel="1"/>
    <col min="26" max="26" width="6.25" customWidth="1"/>
    <col min="27" max="27" width="7.125" style="32" customWidth="1"/>
    <col min="28" max="28" width="6" bestFit="1" customWidth="1"/>
    <col min="29" max="29" width="6" customWidth="1"/>
    <col min="30" max="30" width="10.5" bestFit="1" customWidth="1"/>
    <col min="31" max="34" width="12.75" bestFit="1" customWidth="1"/>
  </cols>
  <sheetData>
    <row r="1" spans="1:37" ht="36.75" thickBot="1" x14ac:dyDescent="0.25">
      <c r="A1" s="18" t="s">
        <v>193</v>
      </c>
      <c r="B1" s="18" t="s">
        <v>192</v>
      </c>
      <c r="C1" s="21" t="s">
        <v>189</v>
      </c>
      <c r="D1" s="20" t="s">
        <v>188</v>
      </c>
      <c r="E1" s="20" t="s">
        <v>187</v>
      </c>
      <c r="F1" s="20" t="s">
        <v>186</v>
      </c>
      <c r="G1" s="20" t="s">
        <v>185</v>
      </c>
      <c r="H1" s="31" t="s">
        <v>184</v>
      </c>
      <c r="I1" s="31" t="s">
        <v>183</v>
      </c>
      <c r="J1" s="20" t="s">
        <v>878</v>
      </c>
      <c r="K1" s="31" t="s">
        <v>179</v>
      </c>
      <c r="L1" s="31" t="s">
        <v>178</v>
      </c>
      <c r="M1" s="18" t="s">
        <v>177</v>
      </c>
      <c r="N1" s="18" t="s">
        <v>176</v>
      </c>
      <c r="O1" s="17" t="s">
        <v>168</v>
      </c>
      <c r="P1" s="16" t="s">
        <v>175</v>
      </c>
      <c r="Q1" s="16" t="s">
        <v>174</v>
      </c>
      <c r="R1" s="16" t="s">
        <v>173</v>
      </c>
      <c r="S1" s="17" t="s">
        <v>172</v>
      </c>
      <c r="T1" s="16" t="s">
        <v>171</v>
      </c>
      <c r="U1" s="16" t="s">
        <v>877</v>
      </c>
      <c r="V1" s="16" t="s">
        <v>105</v>
      </c>
      <c r="W1" s="16" t="s">
        <v>102</v>
      </c>
      <c r="X1" s="16" t="s">
        <v>876</v>
      </c>
      <c r="Y1" s="16"/>
      <c r="Z1" s="16" t="s">
        <v>875</v>
      </c>
      <c r="AA1" s="46" t="s">
        <v>874</v>
      </c>
      <c r="AB1" t="s">
        <v>873</v>
      </c>
      <c r="AC1" t="s">
        <v>872</v>
      </c>
      <c r="AD1" t="s">
        <v>871</v>
      </c>
      <c r="AE1" t="s">
        <v>870</v>
      </c>
      <c r="AG1" s="25" t="s">
        <v>868</v>
      </c>
      <c r="AH1" s="25" t="s">
        <v>869</v>
      </c>
      <c r="AJ1" t="s">
        <v>868</v>
      </c>
      <c r="AK1" t="s">
        <v>867</v>
      </c>
    </row>
    <row r="2" spans="1:37" ht="9" customHeight="1" thickBot="1" x14ac:dyDescent="0.25">
      <c r="A2" s="18"/>
      <c r="B2" s="18"/>
      <c r="C2" s="21"/>
      <c r="D2" s="20"/>
      <c r="E2" s="20"/>
      <c r="F2" s="20"/>
      <c r="G2" s="20"/>
      <c r="H2" s="31"/>
      <c r="I2" s="31"/>
      <c r="J2" s="20"/>
      <c r="K2" s="31"/>
      <c r="L2" s="31"/>
      <c r="M2" s="18"/>
      <c r="N2" s="18"/>
      <c r="O2" s="18"/>
      <c r="P2" s="16"/>
      <c r="Q2" s="16"/>
      <c r="R2" s="16"/>
      <c r="S2" s="17"/>
      <c r="T2" s="16"/>
      <c r="U2" s="16"/>
      <c r="V2" s="16"/>
      <c r="W2" s="16"/>
      <c r="X2" s="16"/>
      <c r="Y2" s="16"/>
      <c r="Z2" s="16"/>
      <c r="AA2" s="46"/>
      <c r="AB2" s="42"/>
      <c r="AC2" s="42"/>
      <c r="AD2">
        <v>0</v>
      </c>
      <c r="AE2">
        <v>71</v>
      </c>
      <c r="AG2" s="25" t="s">
        <v>865</v>
      </c>
      <c r="AH2" s="44" t="s">
        <v>866</v>
      </c>
      <c r="AJ2" t="s">
        <v>865</v>
      </c>
      <c r="AK2" t="s">
        <v>843</v>
      </c>
    </row>
    <row r="3" spans="1:37" ht="38.25" thickBot="1" x14ac:dyDescent="0.2">
      <c r="A3" t="s">
        <v>242</v>
      </c>
      <c r="B3" t="s">
        <v>865</v>
      </c>
      <c r="C3" t="s">
        <v>566</v>
      </c>
      <c r="D3" s="29">
        <v>1</v>
      </c>
      <c r="E3" s="29">
        <f t="shared" ref="E3:E10" si="0">AA3-SUM(F3:G3)</f>
        <v>0.5</v>
      </c>
      <c r="F3" s="29">
        <v>0.4</v>
      </c>
      <c r="G3" s="29">
        <v>0.1</v>
      </c>
      <c r="H3" s="29">
        <v>0.65</v>
      </c>
      <c r="J3" s="42"/>
      <c r="K3" s="29">
        <v>0.1</v>
      </c>
      <c r="L3" s="29">
        <v>1.75</v>
      </c>
      <c r="S3" s="33">
        <v>1</v>
      </c>
      <c r="T3" s="33" t="s">
        <v>615</v>
      </c>
      <c r="U3" s="1" t="s">
        <v>820</v>
      </c>
      <c r="V3" s="1">
        <v>1</v>
      </c>
      <c r="W3" s="1" t="s">
        <v>864</v>
      </c>
      <c r="X3" t="s">
        <v>818</v>
      </c>
      <c r="Y3" s="30"/>
      <c r="Z3" s="30">
        <f t="shared" ref="Z3:Z14" si="1">SUM(E3:G3)</f>
        <v>1</v>
      </c>
      <c r="AA3" s="43">
        <v>1</v>
      </c>
      <c r="AB3" s="42">
        <f t="shared" ref="AB3:AB34" si="2">Z3*D3</f>
        <v>1</v>
      </c>
      <c r="AC3" s="42">
        <f t="shared" ref="AC3:AC34" si="3">Z3*(D3+SUM(M3:N3)/50)*(1+K3*(L3+0.25))</f>
        <v>1.2</v>
      </c>
      <c r="AD3" t="s">
        <v>242</v>
      </c>
      <c r="AE3">
        <v>1</v>
      </c>
      <c r="AG3" s="45" t="s">
        <v>863</v>
      </c>
      <c r="AH3" s="44" t="s">
        <v>862</v>
      </c>
      <c r="AJ3" t="s">
        <v>861</v>
      </c>
      <c r="AK3" t="s">
        <v>843</v>
      </c>
    </row>
    <row r="4" spans="1:37" ht="38.25" thickBot="1" x14ac:dyDescent="0.25">
      <c r="A4" t="s">
        <v>857</v>
      </c>
      <c r="B4" t="s">
        <v>861</v>
      </c>
      <c r="C4" t="s">
        <v>566</v>
      </c>
      <c r="D4" s="29">
        <v>1</v>
      </c>
      <c r="E4" s="29">
        <f t="shared" si="0"/>
        <v>0.55000000000000004</v>
      </c>
      <c r="F4" s="29">
        <v>0.4</v>
      </c>
      <c r="G4" s="29">
        <v>0.1</v>
      </c>
      <c r="H4" s="29">
        <v>0.85</v>
      </c>
      <c r="J4" s="42"/>
      <c r="K4" s="29">
        <v>0.1</v>
      </c>
      <c r="L4" s="29">
        <v>1.75</v>
      </c>
      <c r="S4" s="33">
        <v>1</v>
      </c>
      <c r="T4" s="33" t="s">
        <v>615</v>
      </c>
      <c r="U4" t="s">
        <v>860</v>
      </c>
      <c r="V4" s="1">
        <v>1.5</v>
      </c>
      <c r="W4" s="1" t="s">
        <v>859</v>
      </c>
      <c r="X4" t="s">
        <v>858</v>
      </c>
      <c r="Y4" s="30"/>
      <c r="Z4" s="30">
        <f t="shared" si="1"/>
        <v>1.05</v>
      </c>
      <c r="AA4" s="43">
        <v>1.05</v>
      </c>
      <c r="AB4" s="42">
        <f t="shared" si="2"/>
        <v>1.05</v>
      </c>
      <c r="AC4" s="42">
        <f t="shared" si="3"/>
        <v>1.26</v>
      </c>
      <c r="AD4" t="s">
        <v>857</v>
      </c>
      <c r="AE4">
        <v>2</v>
      </c>
      <c r="AG4" s="25" t="s">
        <v>855</v>
      </c>
      <c r="AH4" s="44" t="s">
        <v>856</v>
      </c>
      <c r="AJ4" t="s">
        <v>855</v>
      </c>
      <c r="AK4" t="s">
        <v>849</v>
      </c>
    </row>
    <row r="5" spans="1:37" ht="38.25" thickBot="1" x14ac:dyDescent="0.25">
      <c r="A5" t="s">
        <v>851</v>
      </c>
      <c r="B5" t="s">
        <v>855</v>
      </c>
      <c r="C5" t="s">
        <v>566</v>
      </c>
      <c r="D5" s="29">
        <v>1</v>
      </c>
      <c r="E5" s="29">
        <f t="shared" si="0"/>
        <v>0.4</v>
      </c>
      <c r="F5" s="29">
        <v>0.6</v>
      </c>
      <c r="G5" s="29">
        <v>0</v>
      </c>
      <c r="H5" s="29">
        <v>0.45</v>
      </c>
      <c r="J5" s="29"/>
      <c r="K5" s="29">
        <v>0.1</v>
      </c>
      <c r="L5" s="29">
        <v>1.75</v>
      </c>
      <c r="S5" s="33">
        <v>1</v>
      </c>
      <c r="T5" s="33" t="s">
        <v>615</v>
      </c>
      <c r="U5" t="s">
        <v>854</v>
      </c>
      <c r="V5" s="1">
        <v>1</v>
      </c>
      <c r="W5" s="1" t="s">
        <v>853</v>
      </c>
      <c r="X5" t="s">
        <v>852</v>
      </c>
      <c r="Y5" s="30"/>
      <c r="Z5" s="30">
        <f t="shared" si="1"/>
        <v>1</v>
      </c>
      <c r="AA5" s="43">
        <v>1</v>
      </c>
      <c r="AB5" s="42">
        <f t="shared" si="2"/>
        <v>1</v>
      </c>
      <c r="AC5" s="42">
        <f t="shared" si="3"/>
        <v>1.2</v>
      </c>
      <c r="AD5" t="s">
        <v>851</v>
      </c>
      <c r="AE5">
        <v>1</v>
      </c>
      <c r="AG5" s="25" t="s">
        <v>848</v>
      </c>
      <c r="AH5" s="44" t="s">
        <v>850</v>
      </c>
      <c r="AJ5" t="s">
        <v>848</v>
      </c>
      <c r="AK5" t="s">
        <v>849</v>
      </c>
    </row>
    <row r="6" spans="1:37" ht="38.25" thickBot="1" x14ac:dyDescent="0.25">
      <c r="A6" t="s">
        <v>845</v>
      </c>
      <c r="B6" t="s">
        <v>848</v>
      </c>
      <c r="C6" t="s">
        <v>566</v>
      </c>
      <c r="D6" s="29">
        <v>1</v>
      </c>
      <c r="E6" s="29">
        <f t="shared" si="0"/>
        <v>0.4</v>
      </c>
      <c r="F6" s="29">
        <v>0.55000000000000004</v>
      </c>
      <c r="G6" s="29">
        <v>0.1</v>
      </c>
      <c r="H6" s="29">
        <v>0.85</v>
      </c>
      <c r="J6" s="42"/>
      <c r="K6" s="29">
        <v>0.1</v>
      </c>
      <c r="L6" s="29">
        <v>1.75</v>
      </c>
      <c r="S6" s="33">
        <v>1</v>
      </c>
      <c r="T6" s="33" t="s">
        <v>615</v>
      </c>
      <c r="U6" t="s">
        <v>651</v>
      </c>
      <c r="V6" s="1">
        <v>1.5</v>
      </c>
      <c r="W6" s="1" t="s">
        <v>847</v>
      </c>
      <c r="X6" t="s">
        <v>846</v>
      </c>
      <c r="Y6" s="30"/>
      <c r="Z6" s="30">
        <f t="shared" si="1"/>
        <v>1.05</v>
      </c>
      <c r="AA6" s="43">
        <v>1.05</v>
      </c>
      <c r="AB6" s="42">
        <f t="shared" si="2"/>
        <v>1.05</v>
      </c>
      <c r="AC6" s="42">
        <f t="shared" si="3"/>
        <v>1.26</v>
      </c>
      <c r="AD6" t="s">
        <v>845</v>
      </c>
      <c r="AE6">
        <v>2</v>
      </c>
      <c r="AG6" s="25" t="s">
        <v>842</v>
      </c>
      <c r="AH6" s="44" t="s">
        <v>844</v>
      </c>
      <c r="AJ6" t="s">
        <v>842</v>
      </c>
      <c r="AK6" t="s">
        <v>843</v>
      </c>
    </row>
    <row r="7" spans="1:37" ht="38.25" thickBot="1" x14ac:dyDescent="0.25">
      <c r="A7" t="s">
        <v>839</v>
      </c>
      <c r="B7" t="s">
        <v>842</v>
      </c>
      <c r="C7" t="s">
        <v>566</v>
      </c>
      <c r="D7" s="29">
        <v>1</v>
      </c>
      <c r="E7" s="29">
        <f t="shared" si="0"/>
        <v>0.60000000000000009</v>
      </c>
      <c r="F7" s="29">
        <v>0.4</v>
      </c>
      <c r="G7" s="29">
        <v>0.1</v>
      </c>
      <c r="H7" s="29">
        <v>0.85</v>
      </c>
      <c r="J7" s="42"/>
      <c r="K7" s="29">
        <v>0.1</v>
      </c>
      <c r="L7" s="29">
        <v>1.75</v>
      </c>
      <c r="S7" s="33">
        <v>1</v>
      </c>
      <c r="T7" s="33" t="s">
        <v>615</v>
      </c>
      <c r="U7" t="s">
        <v>651</v>
      </c>
      <c r="V7" s="1">
        <v>1.5</v>
      </c>
      <c r="W7" s="1" t="s">
        <v>841</v>
      </c>
      <c r="X7" t="s">
        <v>840</v>
      </c>
      <c r="Y7" s="30"/>
      <c r="Z7" s="30">
        <f t="shared" si="1"/>
        <v>1.1000000000000001</v>
      </c>
      <c r="AA7" s="43">
        <v>1.1000000000000001</v>
      </c>
      <c r="AB7" s="42">
        <f t="shared" si="2"/>
        <v>1.1000000000000001</v>
      </c>
      <c r="AC7" s="42">
        <f t="shared" si="3"/>
        <v>1.32</v>
      </c>
      <c r="AD7" t="s">
        <v>839</v>
      </c>
      <c r="AE7">
        <v>2.5</v>
      </c>
      <c r="AG7" s="25" t="s">
        <v>837</v>
      </c>
      <c r="AH7" s="44" t="s">
        <v>838</v>
      </c>
      <c r="AJ7" t="s">
        <v>837</v>
      </c>
      <c r="AK7" t="s">
        <v>798</v>
      </c>
    </row>
    <row r="8" spans="1:37" ht="38.25" thickBot="1" x14ac:dyDescent="0.25">
      <c r="A8" t="s">
        <v>241</v>
      </c>
      <c r="B8" t="s">
        <v>837</v>
      </c>
      <c r="C8" t="s">
        <v>566</v>
      </c>
      <c r="D8" s="29">
        <v>1.05</v>
      </c>
      <c r="E8" s="29">
        <f t="shared" si="0"/>
        <v>0.7</v>
      </c>
      <c r="F8" s="29">
        <v>0.4</v>
      </c>
      <c r="G8" s="29">
        <v>0.1</v>
      </c>
      <c r="H8" s="29">
        <v>0.85</v>
      </c>
      <c r="J8" s="42"/>
      <c r="K8" s="29">
        <v>0.1</v>
      </c>
      <c r="L8" s="29">
        <v>1.75</v>
      </c>
      <c r="S8" s="33">
        <v>1</v>
      </c>
      <c r="T8" s="33" t="s">
        <v>615</v>
      </c>
      <c r="V8" s="1">
        <v>2</v>
      </c>
      <c r="W8" s="1" t="s">
        <v>836</v>
      </c>
      <c r="X8" t="s">
        <v>707</v>
      </c>
      <c r="Y8" s="30"/>
      <c r="Z8" s="30">
        <f t="shared" si="1"/>
        <v>1.2000000000000002</v>
      </c>
      <c r="AA8" s="43">
        <v>1.2</v>
      </c>
      <c r="AB8" s="42">
        <f t="shared" si="2"/>
        <v>1.2600000000000002</v>
      </c>
      <c r="AC8" s="42">
        <f t="shared" si="3"/>
        <v>1.5120000000000002</v>
      </c>
      <c r="AD8" t="s">
        <v>241</v>
      </c>
      <c r="AE8">
        <v>3</v>
      </c>
      <c r="AG8" s="25" t="s">
        <v>834</v>
      </c>
      <c r="AH8" s="44" t="s">
        <v>835</v>
      </c>
      <c r="AJ8" t="s">
        <v>834</v>
      </c>
      <c r="AK8" t="s">
        <v>768</v>
      </c>
    </row>
    <row r="9" spans="1:37" ht="38.25" thickBot="1" x14ac:dyDescent="0.25">
      <c r="A9" t="s">
        <v>832</v>
      </c>
      <c r="B9" t="s">
        <v>834</v>
      </c>
      <c r="C9" t="s">
        <v>566</v>
      </c>
      <c r="D9" s="29">
        <v>1.1000000000000001</v>
      </c>
      <c r="E9" s="29">
        <f t="shared" si="0"/>
        <v>0.8</v>
      </c>
      <c r="F9" s="29">
        <v>0.4</v>
      </c>
      <c r="G9" s="29">
        <v>0.1</v>
      </c>
      <c r="H9" s="29">
        <v>0.85</v>
      </c>
      <c r="J9" s="42"/>
      <c r="K9" s="29">
        <v>0.1</v>
      </c>
      <c r="L9" s="29">
        <v>1.75</v>
      </c>
      <c r="M9">
        <v>-2.5</v>
      </c>
      <c r="N9">
        <v>-2.5</v>
      </c>
      <c r="S9" s="33">
        <v>1</v>
      </c>
      <c r="T9" s="33" t="s">
        <v>615</v>
      </c>
      <c r="V9" s="1">
        <v>2</v>
      </c>
      <c r="W9" s="1" t="s">
        <v>833</v>
      </c>
      <c r="X9" t="s">
        <v>774</v>
      </c>
      <c r="Y9" s="30"/>
      <c r="Z9" s="30">
        <f t="shared" si="1"/>
        <v>1.3000000000000003</v>
      </c>
      <c r="AA9" s="43">
        <v>1.3</v>
      </c>
      <c r="AB9" s="42">
        <f t="shared" si="2"/>
        <v>1.4300000000000004</v>
      </c>
      <c r="AC9" s="42">
        <f t="shared" si="3"/>
        <v>1.5600000000000003</v>
      </c>
      <c r="AD9" t="s">
        <v>832</v>
      </c>
      <c r="AE9">
        <v>3.5</v>
      </c>
      <c r="AG9" s="25" t="s">
        <v>830</v>
      </c>
      <c r="AH9" s="44" t="s">
        <v>831</v>
      </c>
      <c r="AJ9" t="s">
        <v>830</v>
      </c>
      <c r="AK9" t="s">
        <v>768</v>
      </c>
    </row>
    <row r="10" spans="1:37" ht="38.25" thickBot="1" x14ac:dyDescent="0.25">
      <c r="A10" t="s">
        <v>827</v>
      </c>
      <c r="B10" t="s">
        <v>830</v>
      </c>
      <c r="C10" t="s">
        <v>566</v>
      </c>
      <c r="D10" s="29">
        <v>1.1499999999999999</v>
      </c>
      <c r="E10" s="29">
        <f t="shared" si="0"/>
        <v>0.95</v>
      </c>
      <c r="F10" s="29">
        <v>0.4</v>
      </c>
      <c r="G10" s="29">
        <v>0.15</v>
      </c>
      <c r="H10" s="29">
        <v>0.85</v>
      </c>
      <c r="J10" s="42"/>
      <c r="K10" s="29">
        <v>0.1</v>
      </c>
      <c r="L10" s="29">
        <v>1.75</v>
      </c>
      <c r="M10">
        <v>-7.5</v>
      </c>
      <c r="N10">
        <v>-5</v>
      </c>
      <c r="S10" s="33">
        <v>1</v>
      </c>
      <c r="T10" s="33" t="s">
        <v>615</v>
      </c>
      <c r="V10" s="1">
        <v>3</v>
      </c>
      <c r="W10" s="1" t="s">
        <v>829</v>
      </c>
      <c r="X10" t="s">
        <v>828</v>
      </c>
      <c r="Y10" s="30"/>
      <c r="Z10" s="30">
        <f t="shared" si="1"/>
        <v>1.5</v>
      </c>
      <c r="AA10" s="43">
        <v>1.5</v>
      </c>
      <c r="AB10" s="42">
        <f t="shared" si="2"/>
        <v>1.7249999999999999</v>
      </c>
      <c r="AC10" s="42">
        <f t="shared" si="3"/>
        <v>1.6199999999999999</v>
      </c>
      <c r="AD10" t="s">
        <v>827</v>
      </c>
      <c r="AE10">
        <v>4</v>
      </c>
      <c r="AG10" s="25" t="s">
        <v>821</v>
      </c>
      <c r="AH10" s="44" t="s">
        <v>819</v>
      </c>
      <c r="AJ10" t="s">
        <v>821</v>
      </c>
      <c r="AK10" t="s">
        <v>826</v>
      </c>
    </row>
    <row r="11" spans="1:37" ht="26.25" thickBot="1" x14ac:dyDescent="0.25">
      <c r="H11"/>
      <c r="I11"/>
      <c r="J11" s="42"/>
      <c r="K11" s="29">
        <v>0</v>
      </c>
      <c r="L11" s="29">
        <v>0</v>
      </c>
      <c r="S11" s="33">
        <v>1</v>
      </c>
      <c r="T11" s="33" t="s">
        <v>615</v>
      </c>
      <c r="V11" s="1">
        <v>71</v>
      </c>
      <c r="W11" s="1" t="s">
        <v>500</v>
      </c>
      <c r="X11" t="s">
        <v>500</v>
      </c>
      <c r="Z11" s="30">
        <f t="shared" si="1"/>
        <v>0</v>
      </c>
      <c r="AA11" s="43">
        <v>0</v>
      </c>
      <c r="AB11" s="42">
        <f t="shared" si="2"/>
        <v>0</v>
      </c>
      <c r="AC11" s="42">
        <f t="shared" si="3"/>
        <v>0</v>
      </c>
      <c r="AD11" t="s">
        <v>822</v>
      </c>
      <c r="AE11">
        <v>1</v>
      </c>
      <c r="AG11" s="25" t="s">
        <v>824</v>
      </c>
      <c r="AH11" s="44" t="s">
        <v>825</v>
      </c>
      <c r="AJ11" t="s">
        <v>824</v>
      </c>
      <c r="AK11" t="s">
        <v>823</v>
      </c>
    </row>
    <row r="12" spans="1:37" ht="38.25" thickBot="1" x14ac:dyDescent="0.25">
      <c r="A12" t="s">
        <v>822</v>
      </c>
      <c r="B12" t="s">
        <v>821</v>
      </c>
      <c r="C12" t="s">
        <v>566</v>
      </c>
      <c r="D12" s="29">
        <v>1</v>
      </c>
      <c r="E12" s="29">
        <v>0.47499999999999998</v>
      </c>
      <c r="F12" s="29">
        <v>0.47499999999999998</v>
      </c>
      <c r="G12" s="29">
        <v>0.1</v>
      </c>
      <c r="H12" s="29">
        <v>0.65</v>
      </c>
      <c r="K12" s="29">
        <v>0.1</v>
      </c>
      <c r="L12" s="29">
        <v>1.5</v>
      </c>
      <c r="S12" s="33">
        <v>1</v>
      </c>
      <c r="T12" s="33" t="s">
        <v>615</v>
      </c>
      <c r="U12" s="1" t="s">
        <v>820</v>
      </c>
      <c r="V12" s="1">
        <v>1</v>
      </c>
      <c r="W12" s="1" t="s">
        <v>819</v>
      </c>
      <c r="X12" t="s">
        <v>818</v>
      </c>
      <c r="Y12" s="30"/>
      <c r="Z12" s="30">
        <f t="shared" si="1"/>
        <v>1.05</v>
      </c>
      <c r="AA12" s="43">
        <v>1.05</v>
      </c>
      <c r="AB12" s="42">
        <f t="shared" si="2"/>
        <v>1.05</v>
      </c>
      <c r="AC12" s="42">
        <f t="shared" si="3"/>
        <v>1.2337500000000001</v>
      </c>
      <c r="AD12" t="s">
        <v>240</v>
      </c>
      <c r="AE12">
        <v>2</v>
      </c>
      <c r="AG12" s="25" t="s">
        <v>813</v>
      </c>
      <c r="AH12" s="44" t="s">
        <v>817</v>
      </c>
      <c r="AJ12" t="s">
        <v>813</v>
      </c>
      <c r="AK12" t="s">
        <v>810</v>
      </c>
    </row>
    <row r="13" spans="1:37" ht="38.25" thickBot="1" x14ac:dyDescent="0.25">
      <c r="A13" t="s">
        <v>240</v>
      </c>
      <c r="B13" t="s">
        <v>816</v>
      </c>
      <c r="C13" t="s">
        <v>566</v>
      </c>
      <c r="D13" s="29">
        <v>1</v>
      </c>
      <c r="E13" s="29">
        <v>0.6</v>
      </c>
      <c r="F13" s="29">
        <v>0.45</v>
      </c>
      <c r="G13" s="29">
        <v>0.15</v>
      </c>
      <c r="H13" s="29">
        <v>0.95</v>
      </c>
      <c r="J13" s="42"/>
      <c r="K13" s="29">
        <v>0.1</v>
      </c>
      <c r="L13" s="29">
        <v>1.5</v>
      </c>
      <c r="S13" s="33">
        <v>1</v>
      </c>
      <c r="T13" s="33" t="s">
        <v>615</v>
      </c>
      <c r="U13" t="s">
        <v>651</v>
      </c>
      <c r="V13" s="1">
        <v>1.5</v>
      </c>
      <c r="W13" s="1" t="s">
        <v>815</v>
      </c>
      <c r="X13" t="s">
        <v>542</v>
      </c>
      <c r="Y13" s="30"/>
      <c r="Z13" s="30">
        <f t="shared" si="1"/>
        <v>1.2</v>
      </c>
      <c r="AA13" s="43">
        <v>1.1499999999999999</v>
      </c>
      <c r="AB13" s="42">
        <f t="shared" si="2"/>
        <v>1.2</v>
      </c>
      <c r="AC13" s="42">
        <f t="shared" si="3"/>
        <v>1.41</v>
      </c>
      <c r="AD13" t="s">
        <v>239</v>
      </c>
      <c r="AE13">
        <v>2.5</v>
      </c>
      <c r="AG13" s="25" t="s">
        <v>809</v>
      </c>
      <c r="AH13" s="44" t="s">
        <v>814</v>
      </c>
      <c r="AJ13" t="s">
        <v>809</v>
      </c>
      <c r="AK13" t="s">
        <v>810</v>
      </c>
    </row>
    <row r="14" spans="1:37" ht="57" thickBot="1" x14ac:dyDescent="0.25">
      <c r="A14" t="s">
        <v>239</v>
      </c>
      <c r="B14" t="s">
        <v>813</v>
      </c>
      <c r="C14" t="s">
        <v>566</v>
      </c>
      <c r="D14" s="29">
        <v>1.1000000000000001</v>
      </c>
      <c r="E14" s="29">
        <v>0.6</v>
      </c>
      <c r="F14" s="29">
        <v>0.4</v>
      </c>
      <c r="G14" s="29">
        <v>0.16</v>
      </c>
      <c r="H14" s="29">
        <v>1.1499999999999999</v>
      </c>
      <c r="J14" s="42"/>
      <c r="K14" s="29">
        <v>0.1</v>
      </c>
      <c r="L14" s="29">
        <v>1.5</v>
      </c>
      <c r="M14">
        <v>-2.5</v>
      </c>
      <c r="N14">
        <v>-2.5</v>
      </c>
      <c r="S14" s="33">
        <v>1</v>
      </c>
      <c r="T14" s="33" t="s">
        <v>615</v>
      </c>
      <c r="V14" s="1">
        <v>2</v>
      </c>
      <c r="W14" s="1" t="s">
        <v>812</v>
      </c>
      <c r="X14" t="s">
        <v>585</v>
      </c>
      <c r="Y14" s="30"/>
      <c r="Z14" s="30">
        <f t="shared" si="1"/>
        <v>1.1599999999999999</v>
      </c>
      <c r="AA14" s="43">
        <v>1.1499999999999999</v>
      </c>
      <c r="AB14" s="42">
        <f t="shared" si="2"/>
        <v>1.276</v>
      </c>
      <c r="AC14" s="42">
        <f t="shared" si="3"/>
        <v>1.363</v>
      </c>
      <c r="AD14" t="s">
        <v>238</v>
      </c>
      <c r="AE14">
        <v>3</v>
      </c>
      <c r="AG14" s="25" t="s">
        <v>805</v>
      </c>
      <c r="AH14" s="44" t="s">
        <v>811</v>
      </c>
      <c r="AJ14" t="s">
        <v>805</v>
      </c>
      <c r="AK14" t="s">
        <v>810</v>
      </c>
    </row>
    <row r="15" spans="1:37" ht="38.25" thickBot="1" x14ac:dyDescent="0.25">
      <c r="A15" t="s">
        <v>238</v>
      </c>
      <c r="B15" t="s">
        <v>809</v>
      </c>
      <c r="C15" t="s">
        <v>566</v>
      </c>
      <c r="D15" s="29">
        <v>1.1499999999999999</v>
      </c>
      <c r="E15" s="29">
        <f>AA15-SUM(F15:G15)</f>
        <v>0.75000000000000011</v>
      </c>
      <c r="F15" s="29">
        <v>0.45</v>
      </c>
      <c r="G15" s="29">
        <v>0.15</v>
      </c>
      <c r="H15" s="29">
        <v>1</v>
      </c>
      <c r="J15" s="42"/>
      <c r="K15" s="29">
        <v>0.1</v>
      </c>
      <c r="L15" s="29">
        <v>1.5</v>
      </c>
      <c r="M15">
        <v>-2.5</v>
      </c>
      <c r="N15">
        <v>-2.5</v>
      </c>
      <c r="S15" s="33">
        <v>1</v>
      </c>
      <c r="T15" s="33" t="s">
        <v>615</v>
      </c>
      <c r="V15" s="1">
        <v>2</v>
      </c>
      <c r="W15" s="1" t="s">
        <v>808</v>
      </c>
      <c r="X15" t="s">
        <v>585</v>
      </c>
      <c r="Y15" s="30"/>
      <c r="Z15" s="30">
        <v>1.25</v>
      </c>
      <c r="AA15" s="43">
        <v>1.35</v>
      </c>
      <c r="AB15" s="42">
        <f t="shared" si="2"/>
        <v>1.4375</v>
      </c>
      <c r="AC15" s="42">
        <f t="shared" si="3"/>
        <v>1.5421874999999998</v>
      </c>
      <c r="AD15" t="s">
        <v>237</v>
      </c>
      <c r="AE15">
        <v>4</v>
      </c>
      <c r="AG15" s="25" t="s">
        <v>801</v>
      </c>
      <c r="AH15" s="44" t="s">
        <v>807</v>
      </c>
      <c r="AJ15" t="s">
        <v>801</v>
      </c>
      <c r="AK15" t="s">
        <v>806</v>
      </c>
    </row>
    <row r="16" spans="1:37" ht="57" thickBot="1" x14ac:dyDescent="0.25">
      <c r="A16" t="s">
        <v>237</v>
      </c>
      <c r="B16" t="s">
        <v>805</v>
      </c>
      <c r="C16" t="s">
        <v>566</v>
      </c>
      <c r="D16" s="29">
        <v>1.25</v>
      </c>
      <c r="E16" s="29">
        <f>AA16-SUM(F16:G16)</f>
        <v>0.9</v>
      </c>
      <c r="F16" s="29">
        <v>0.45</v>
      </c>
      <c r="G16" s="29">
        <v>0.2</v>
      </c>
      <c r="H16" s="29">
        <v>1.1000000000000001</v>
      </c>
      <c r="K16" s="29">
        <v>0.1</v>
      </c>
      <c r="L16" s="29">
        <v>1.5</v>
      </c>
      <c r="M16">
        <v>-7.5</v>
      </c>
      <c r="N16">
        <v>-7.5</v>
      </c>
      <c r="S16" s="33">
        <v>1</v>
      </c>
      <c r="T16" s="33" t="s">
        <v>615</v>
      </c>
      <c r="V16" s="1">
        <v>3</v>
      </c>
      <c r="W16" s="1" t="s">
        <v>804</v>
      </c>
      <c r="X16" t="s">
        <v>710</v>
      </c>
      <c r="Y16" s="30"/>
      <c r="Z16" s="30">
        <v>1.25</v>
      </c>
      <c r="AA16" s="43">
        <v>1.55</v>
      </c>
      <c r="AB16" s="42">
        <f t="shared" si="2"/>
        <v>1.5625</v>
      </c>
      <c r="AC16" s="42">
        <f t="shared" si="3"/>
        <v>1.3953125</v>
      </c>
      <c r="AD16" t="s">
        <v>236</v>
      </c>
      <c r="AE16">
        <v>2.5</v>
      </c>
      <c r="AG16" s="25" t="s">
        <v>797</v>
      </c>
      <c r="AH16" s="44" t="s">
        <v>803</v>
      </c>
      <c r="AJ16" t="s">
        <v>797</v>
      </c>
      <c r="AK16" t="s">
        <v>802</v>
      </c>
    </row>
    <row r="17" spans="1:37" ht="38.25" thickBot="1" x14ac:dyDescent="0.25">
      <c r="A17" t="s">
        <v>236</v>
      </c>
      <c r="B17" t="s">
        <v>801</v>
      </c>
      <c r="C17" t="s">
        <v>566</v>
      </c>
      <c r="D17" s="29">
        <v>1</v>
      </c>
      <c r="E17" s="29">
        <v>0.45</v>
      </c>
      <c r="F17" s="29">
        <v>0.65</v>
      </c>
      <c r="G17" s="29">
        <v>0</v>
      </c>
      <c r="H17" s="29">
        <v>0.8</v>
      </c>
      <c r="K17" s="29">
        <v>0.15</v>
      </c>
      <c r="L17" s="29">
        <v>1.25</v>
      </c>
      <c r="S17" s="33">
        <v>1</v>
      </c>
      <c r="T17" s="33" t="s">
        <v>615</v>
      </c>
      <c r="U17" t="s">
        <v>651</v>
      </c>
      <c r="V17" s="1">
        <v>2</v>
      </c>
      <c r="W17" s="1" t="s">
        <v>800</v>
      </c>
      <c r="X17" t="s">
        <v>503</v>
      </c>
      <c r="Y17" s="30"/>
      <c r="Z17" s="30">
        <f t="shared" ref="Z17:Z56" si="4">SUM(E17:G17)</f>
        <v>1.1000000000000001</v>
      </c>
      <c r="AA17" s="43">
        <v>1.2</v>
      </c>
      <c r="AB17" s="42">
        <f t="shared" si="2"/>
        <v>1.1000000000000001</v>
      </c>
      <c r="AC17" s="42">
        <f t="shared" si="3"/>
        <v>1.3475000000000001</v>
      </c>
      <c r="AD17" t="s">
        <v>235</v>
      </c>
      <c r="AE17">
        <v>2</v>
      </c>
      <c r="AG17" s="25" t="s">
        <v>791</v>
      </c>
      <c r="AH17" s="44" t="s">
        <v>799</v>
      </c>
      <c r="AJ17" t="s">
        <v>791</v>
      </c>
      <c r="AK17" t="s">
        <v>798</v>
      </c>
    </row>
    <row r="18" spans="1:37" ht="38.25" thickBot="1" x14ac:dyDescent="0.25">
      <c r="A18" t="s">
        <v>235</v>
      </c>
      <c r="B18" t="s">
        <v>797</v>
      </c>
      <c r="C18" t="s">
        <v>566</v>
      </c>
      <c r="D18" s="29">
        <v>1.1000000000000001</v>
      </c>
      <c r="E18" s="29">
        <f>AA18-SUM(F18:G18)</f>
        <v>0.20000000000000007</v>
      </c>
      <c r="F18" s="29">
        <v>0.9</v>
      </c>
      <c r="G18" s="29">
        <v>0</v>
      </c>
      <c r="H18" s="29">
        <v>0.85</v>
      </c>
      <c r="K18" s="29">
        <v>0.1</v>
      </c>
      <c r="L18" s="29">
        <v>1.5</v>
      </c>
      <c r="S18" s="33">
        <v>1</v>
      </c>
      <c r="T18" s="33" t="s">
        <v>615</v>
      </c>
      <c r="U18" t="s">
        <v>651</v>
      </c>
      <c r="V18" s="1">
        <v>1.5</v>
      </c>
      <c r="W18" s="1" t="s">
        <v>796</v>
      </c>
      <c r="X18" t="s">
        <v>503</v>
      </c>
      <c r="Y18" s="30"/>
      <c r="Z18" s="30">
        <f t="shared" si="4"/>
        <v>1.1000000000000001</v>
      </c>
      <c r="AA18" s="43">
        <v>1.1000000000000001</v>
      </c>
      <c r="AB18" s="42">
        <f t="shared" si="2"/>
        <v>1.2100000000000002</v>
      </c>
      <c r="AC18" s="42">
        <f t="shared" si="3"/>
        <v>1.4217500000000003</v>
      </c>
      <c r="AD18">
        <v>0</v>
      </c>
      <c r="AE18">
        <v>70</v>
      </c>
      <c r="AG18" s="25" t="s">
        <v>787</v>
      </c>
      <c r="AH18" s="44" t="s">
        <v>795</v>
      </c>
      <c r="AJ18" t="s">
        <v>787</v>
      </c>
      <c r="AK18" t="s">
        <v>794</v>
      </c>
    </row>
    <row r="19" spans="1:37" ht="19.5" thickBot="1" x14ac:dyDescent="0.25">
      <c r="D19" s="29"/>
      <c r="E19" s="29"/>
      <c r="F19" s="29"/>
      <c r="G19" s="29"/>
      <c r="J19" s="29"/>
      <c r="M19" s="23"/>
      <c r="V19" s="1">
        <v>71</v>
      </c>
      <c r="W19" s="1" t="s">
        <v>500</v>
      </c>
      <c r="X19" t="s">
        <v>500</v>
      </c>
      <c r="Y19" s="30"/>
      <c r="Z19" s="30">
        <f t="shared" si="4"/>
        <v>0</v>
      </c>
      <c r="AA19" s="43">
        <v>0</v>
      </c>
      <c r="AB19" s="42">
        <f t="shared" si="2"/>
        <v>0</v>
      </c>
      <c r="AC19" s="42">
        <f t="shared" si="3"/>
        <v>0</v>
      </c>
      <c r="AD19" t="s">
        <v>792</v>
      </c>
      <c r="AE19">
        <v>2</v>
      </c>
      <c r="AG19" s="25" t="s">
        <v>783</v>
      </c>
      <c r="AH19" s="44" t="s">
        <v>781</v>
      </c>
      <c r="AJ19" t="s">
        <v>783</v>
      </c>
      <c r="AK19" t="s">
        <v>793</v>
      </c>
    </row>
    <row r="20" spans="1:37" ht="38.25" thickBot="1" x14ac:dyDescent="0.25">
      <c r="A20" t="s">
        <v>792</v>
      </c>
      <c r="B20" t="s">
        <v>791</v>
      </c>
      <c r="C20" t="s">
        <v>566</v>
      </c>
      <c r="D20" s="29">
        <v>1.1499999999999999</v>
      </c>
      <c r="E20" s="29">
        <f t="shared" ref="E20:E38" si="5">AA20-SUM(F20:G20)</f>
        <v>0.75000000000000011</v>
      </c>
      <c r="F20" s="29">
        <v>0</v>
      </c>
      <c r="G20" s="29">
        <v>0.35</v>
      </c>
      <c r="H20" s="29">
        <v>0.9</v>
      </c>
      <c r="K20" s="29">
        <v>0.1</v>
      </c>
      <c r="L20" s="29">
        <v>1.75</v>
      </c>
      <c r="N20">
        <v>-5</v>
      </c>
      <c r="S20" s="33">
        <v>1</v>
      </c>
      <c r="T20" s="33" t="s">
        <v>615</v>
      </c>
      <c r="U20" t="s">
        <v>651</v>
      </c>
      <c r="V20" s="1">
        <v>2</v>
      </c>
      <c r="W20" s="1" t="s">
        <v>790</v>
      </c>
      <c r="X20" t="s">
        <v>739</v>
      </c>
      <c r="Y20" s="30"/>
      <c r="Z20" s="30">
        <f t="shared" si="4"/>
        <v>1.1000000000000001</v>
      </c>
      <c r="AA20" s="43">
        <v>1.1000000000000001</v>
      </c>
      <c r="AB20" s="42">
        <f t="shared" si="2"/>
        <v>1.2649999999999999</v>
      </c>
      <c r="AC20" s="42">
        <f t="shared" si="3"/>
        <v>1.3859999999999997</v>
      </c>
      <c r="AD20" t="s">
        <v>788</v>
      </c>
      <c r="AE20">
        <v>2</v>
      </c>
      <c r="AG20" s="25" t="s">
        <v>779</v>
      </c>
      <c r="AH20" s="44" t="s">
        <v>778</v>
      </c>
      <c r="AJ20" t="s">
        <v>779</v>
      </c>
      <c r="AK20" t="s">
        <v>789</v>
      </c>
    </row>
    <row r="21" spans="1:37" ht="38.25" thickBot="1" x14ac:dyDescent="0.25">
      <c r="A21" t="s">
        <v>788</v>
      </c>
      <c r="B21" t="s">
        <v>787</v>
      </c>
      <c r="C21" t="s">
        <v>566</v>
      </c>
      <c r="D21" s="29">
        <v>1.1499999999999999</v>
      </c>
      <c r="E21" s="29">
        <f t="shared" si="5"/>
        <v>0.75000000000000011</v>
      </c>
      <c r="F21" s="29">
        <v>0</v>
      </c>
      <c r="G21" s="29">
        <v>0.35</v>
      </c>
      <c r="H21" s="29">
        <v>0.9</v>
      </c>
      <c r="K21" s="29">
        <v>0.15</v>
      </c>
      <c r="L21" s="29">
        <v>1.5</v>
      </c>
      <c r="N21">
        <v>-5</v>
      </c>
      <c r="S21" s="33">
        <v>1</v>
      </c>
      <c r="T21" s="33" t="s">
        <v>615</v>
      </c>
      <c r="U21" t="s">
        <v>651</v>
      </c>
      <c r="V21" s="1">
        <v>2</v>
      </c>
      <c r="W21" s="1" t="s">
        <v>786</v>
      </c>
      <c r="X21" t="s">
        <v>739</v>
      </c>
      <c r="Y21" s="30"/>
      <c r="Z21" s="30">
        <f t="shared" si="4"/>
        <v>1.1000000000000001</v>
      </c>
      <c r="AA21" s="43">
        <v>1.1000000000000001</v>
      </c>
      <c r="AB21" s="42">
        <f t="shared" si="2"/>
        <v>1.2649999999999999</v>
      </c>
      <c r="AC21" s="42">
        <f t="shared" si="3"/>
        <v>1.4581874999999997</v>
      </c>
      <c r="AD21" t="s">
        <v>784</v>
      </c>
      <c r="AE21">
        <v>1</v>
      </c>
      <c r="AG21" s="25" t="s">
        <v>776</v>
      </c>
      <c r="AH21" s="44" t="s">
        <v>775</v>
      </c>
      <c r="AJ21" t="s">
        <v>776</v>
      </c>
      <c r="AK21" t="s">
        <v>785</v>
      </c>
    </row>
    <row r="22" spans="1:37" ht="38.25" thickBot="1" x14ac:dyDescent="0.25">
      <c r="A22" t="s">
        <v>784</v>
      </c>
      <c r="B22" t="s">
        <v>783</v>
      </c>
      <c r="C22" t="s">
        <v>566</v>
      </c>
      <c r="D22" s="29">
        <v>1</v>
      </c>
      <c r="E22" s="29">
        <f t="shared" si="5"/>
        <v>0.42499999999999999</v>
      </c>
      <c r="F22" s="29">
        <v>0.42499999999999999</v>
      </c>
      <c r="G22" s="29">
        <v>0</v>
      </c>
      <c r="H22" s="29">
        <v>0.5</v>
      </c>
      <c r="K22" s="29">
        <v>0.2</v>
      </c>
      <c r="L22" s="29">
        <v>1.25</v>
      </c>
      <c r="S22" s="33">
        <v>1</v>
      </c>
      <c r="T22" s="33" t="s">
        <v>615</v>
      </c>
      <c r="U22" t="s">
        <v>782</v>
      </c>
      <c r="V22" s="1">
        <v>1</v>
      </c>
      <c r="W22" s="1" t="s">
        <v>781</v>
      </c>
      <c r="X22" t="s">
        <v>505</v>
      </c>
      <c r="Y22" s="30"/>
      <c r="Z22" s="30">
        <f t="shared" si="4"/>
        <v>0.85</v>
      </c>
      <c r="AA22" s="43">
        <v>0.85</v>
      </c>
      <c r="AB22" s="42">
        <f t="shared" si="2"/>
        <v>0.85</v>
      </c>
      <c r="AC22" s="42">
        <f t="shared" si="3"/>
        <v>1.105</v>
      </c>
      <c r="AD22" t="s">
        <v>233</v>
      </c>
      <c r="AE22">
        <v>3</v>
      </c>
      <c r="AG22" s="25" t="s">
        <v>770</v>
      </c>
      <c r="AH22" s="44" t="s">
        <v>769</v>
      </c>
      <c r="AJ22" t="s">
        <v>770</v>
      </c>
      <c r="AK22" t="s">
        <v>780</v>
      </c>
    </row>
    <row r="23" spans="1:37" ht="38.25" thickBot="1" x14ac:dyDescent="0.25">
      <c r="A23" t="s">
        <v>234</v>
      </c>
      <c r="B23" t="s">
        <v>779</v>
      </c>
      <c r="C23" t="s">
        <v>566</v>
      </c>
      <c r="D23" s="29">
        <v>1.05</v>
      </c>
      <c r="E23" s="29">
        <f t="shared" si="5"/>
        <v>0.4</v>
      </c>
      <c r="F23" s="29">
        <v>0.7</v>
      </c>
      <c r="G23" s="29">
        <v>0.15</v>
      </c>
      <c r="H23" s="29">
        <v>0.85</v>
      </c>
      <c r="K23" s="29">
        <v>0.1</v>
      </c>
      <c r="L23" s="29">
        <v>1.5</v>
      </c>
      <c r="S23" s="33">
        <v>1</v>
      </c>
      <c r="T23" s="33" t="s">
        <v>615</v>
      </c>
      <c r="U23" t="s">
        <v>746</v>
      </c>
      <c r="V23" s="1">
        <v>1.5</v>
      </c>
      <c r="W23" s="1" t="s">
        <v>778</v>
      </c>
      <c r="X23" t="s">
        <v>777</v>
      </c>
      <c r="Y23" s="30"/>
      <c r="Z23" s="30">
        <f t="shared" si="4"/>
        <v>1.25</v>
      </c>
      <c r="AA23" s="43">
        <v>1.25</v>
      </c>
      <c r="AB23" s="42">
        <f t="shared" si="2"/>
        <v>1.3125</v>
      </c>
      <c r="AC23" s="42">
        <f t="shared" si="3"/>
        <v>1.5421875</v>
      </c>
      <c r="AD23" t="s">
        <v>234</v>
      </c>
      <c r="AE23">
        <v>2</v>
      </c>
      <c r="AG23" s="25" t="s">
        <v>767</v>
      </c>
      <c r="AH23" s="44" t="s">
        <v>765</v>
      </c>
      <c r="AJ23" t="s">
        <v>767</v>
      </c>
      <c r="AK23" t="s">
        <v>730</v>
      </c>
    </row>
    <row r="24" spans="1:37" ht="38.25" thickBot="1" x14ac:dyDescent="0.25">
      <c r="A24" t="s">
        <v>233</v>
      </c>
      <c r="B24" t="s">
        <v>776</v>
      </c>
      <c r="C24" t="s">
        <v>566</v>
      </c>
      <c r="D24" s="29">
        <v>1.1499999999999999</v>
      </c>
      <c r="E24" s="29">
        <f t="shared" si="5"/>
        <v>0.4</v>
      </c>
      <c r="F24" s="29">
        <v>0.8</v>
      </c>
      <c r="G24" s="29">
        <v>0.15</v>
      </c>
      <c r="H24" s="29">
        <v>0.85</v>
      </c>
      <c r="K24" s="29">
        <v>0.1</v>
      </c>
      <c r="L24" s="29">
        <v>1.5</v>
      </c>
      <c r="N24">
        <v>-5</v>
      </c>
      <c r="S24" s="33">
        <v>1</v>
      </c>
      <c r="T24" s="33" t="s">
        <v>615</v>
      </c>
      <c r="U24" t="s">
        <v>714</v>
      </c>
      <c r="V24" s="1">
        <v>2</v>
      </c>
      <c r="W24" s="1" t="s">
        <v>775</v>
      </c>
      <c r="X24" t="s">
        <v>774</v>
      </c>
      <c r="Y24" s="30"/>
      <c r="Z24" s="30">
        <f t="shared" si="4"/>
        <v>1.35</v>
      </c>
      <c r="AA24" s="43">
        <v>1.35</v>
      </c>
      <c r="AB24" s="42">
        <f t="shared" si="2"/>
        <v>1.5525</v>
      </c>
      <c r="AC24" s="42">
        <f t="shared" si="3"/>
        <v>1.6655624999999998</v>
      </c>
      <c r="AD24" t="s">
        <v>771</v>
      </c>
      <c r="AE24">
        <v>3.5</v>
      </c>
      <c r="AG24" s="25" t="s">
        <v>762</v>
      </c>
      <c r="AH24" s="44" t="s">
        <v>773</v>
      </c>
      <c r="AJ24" t="s">
        <v>762</v>
      </c>
      <c r="AK24" t="s">
        <v>772</v>
      </c>
    </row>
    <row r="25" spans="1:37" ht="38.25" thickBot="1" x14ac:dyDescent="0.25">
      <c r="A25" t="s">
        <v>771</v>
      </c>
      <c r="B25" t="s">
        <v>770</v>
      </c>
      <c r="C25" t="s">
        <v>566</v>
      </c>
      <c r="D25" s="29">
        <v>1.1000000000000001</v>
      </c>
      <c r="E25" s="29">
        <f t="shared" si="5"/>
        <v>0.44999999999999996</v>
      </c>
      <c r="F25" s="29">
        <v>0.85</v>
      </c>
      <c r="G25" s="29">
        <v>0.15</v>
      </c>
      <c r="H25" s="29">
        <v>0.95</v>
      </c>
      <c r="K25" s="29">
        <v>0.1</v>
      </c>
      <c r="L25" s="29">
        <v>1.5</v>
      </c>
      <c r="M25">
        <v>-7.5</v>
      </c>
      <c r="N25">
        <v>-7.5</v>
      </c>
      <c r="S25" s="33">
        <v>1</v>
      </c>
      <c r="T25" s="33" t="s">
        <v>615</v>
      </c>
      <c r="U25" t="s">
        <v>714</v>
      </c>
      <c r="V25" s="1">
        <v>3</v>
      </c>
      <c r="W25" s="1" t="s">
        <v>769</v>
      </c>
      <c r="X25" t="s">
        <v>661</v>
      </c>
      <c r="Y25" s="30"/>
      <c r="Z25" s="30">
        <f t="shared" si="4"/>
        <v>1.4499999999999997</v>
      </c>
      <c r="AA25" s="43">
        <v>1.45</v>
      </c>
      <c r="AB25" s="42">
        <f t="shared" si="2"/>
        <v>1.5949999999999998</v>
      </c>
      <c r="AC25" s="42">
        <f t="shared" si="3"/>
        <v>1.363</v>
      </c>
      <c r="AD25" t="s">
        <v>232</v>
      </c>
      <c r="AE25">
        <v>4</v>
      </c>
      <c r="AG25" s="25" t="s">
        <v>758</v>
      </c>
      <c r="AH25" s="44" t="s">
        <v>757</v>
      </c>
      <c r="AJ25" t="s">
        <v>758</v>
      </c>
      <c r="AK25" t="s">
        <v>768</v>
      </c>
    </row>
    <row r="26" spans="1:37" ht="38.25" thickBot="1" x14ac:dyDescent="0.25">
      <c r="A26" t="s">
        <v>232</v>
      </c>
      <c r="B26" t="s">
        <v>767</v>
      </c>
      <c r="C26" t="s">
        <v>566</v>
      </c>
      <c r="D26" s="29">
        <v>1.1499999999999999</v>
      </c>
      <c r="E26" s="29">
        <f t="shared" si="5"/>
        <v>0</v>
      </c>
      <c r="F26" s="29">
        <v>0.95</v>
      </c>
      <c r="G26" s="29">
        <v>0.45</v>
      </c>
      <c r="H26" s="29">
        <v>1</v>
      </c>
      <c r="J26">
        <v>-5</v>
      </c>
      <c r="K26" s="29">
        <v>0.05</v>
      </c>
      <c r="L26" s="29">
        <v>1.75</v>
      </c>
      <c r="M26">
        <v>-5</v>
      </c>
      <c r="N26">
        <v>-5</v>
      </c>
      <c r="S26" s="33">
        <v>1</v>
      </c>
      <c r="T26" s="33" t="s">
        <v>615</v>
      </c>
      <c r="U26" t="s">
        <v>766</v>
      </c>
      <c r="V26" s="1">
        <v>3</v>
      </c>
      <c r="W26" s="1" t="s">
        <v>765</v>
      </c>
      <c r="X26" t="s">
        <v>710</v>
      </c>
      <c r="Y26" s="30"/>
      <c r="Z26" s="30">
        <f t="shared" si="4"/>
        <v>1.4</v>
      </c>
      <c r="AA26" s="43">
        <v>1.4</v>
      </c>
      <c r="AB26" s="42">
        <f t="shared" si="2"/>
        <v>1.6099999999999999</v>
      </c>
      <c r="AC26" s="42">
        <f t="shared" si="3"/>
        <v>1.4629999999999999</v>
      </c>
      <c r="AD26" t="s">
        <v>764</v>
      </c>
      <c r="AE26">
        <v>3</v>
      </c>
      <c r="AG26" s="25" t="s">
        <v>753</v>
      </c>
      <c r="AH26" s="44" t="s">
        <v>752</v>
      </c>
      <c r="AJ26" t="s">
        <v>753</v>
      </c>
      <c r="AK26" t="s">
        <v>763</v>
      </c>
    </row>
    <row r="27" spans="1:37" ht="38.25" thickBot="1" x14ac:dyDescent="0.25">
      <c r="A27" t="s">
        <v>231</v>
      </c>
      <c r="B27" t="s">
        <v>762</v>
      </c>
      <c r="C27" t="s">
        <v>566</v>
      </c>
      <c r="D27" s="29">
        <v>1.1000000000000001</v>
      </c>
      <c r="E27" s="29">
        <f t="shared" si="5"/>
        <v>0.39999999999999991</v>
      </c>
      <c r="F27" s="29">
        <v>0.5</v>
      </c>
      <c r="G27" s="29">
        <v>0.3</v>
      </c>
      <c r="H27" s="29">
        <v>0.95</v>
      </c>
      <c r="K27" s="29">
        <v>0.1</v>
      </c>
      <c r="L27" s="29">
        <v>1.5</v>
      </c>
      <c r="M27">
        <v>-5</v>
      </c>
      <c r="N27">
        <v>-5</v>
      </c>
      <c r="S27" s="33">
        <v>1</v>
      </c>
      <c r="T27" s="33" t="s">
        <v>615</v>
      </c>
      <c r="V27" s="1">
        <v>2.5</v>
      </c>
      <c r="W27" s="1" t="s">
        <v>761</v>
      </c>
      <c r="X27" t="s">
        <v>500</v>
      </c>
      <c r="Y27" s="30"/>
      <c r="Z27" s="30">
        <f t="shared" si="4"/>
        <v>1.2</v>
      </c>
      <c r="AA27" s="43">
        <v>1.2</v>
      </c>
      <c r="AB27" s="42">
        <f t="shared" si="2"/>
        <v>1.32</v>
      </c>
      <c r="AC27" s="42">
        <f t="shared" si="3"/>
        <v>1.2690000000000001</v>
      </c>
      <c r="AD27" t="s">
        <v>748</v>
      </c>
      <c r="AE27">
        <v>3</v>
      </c>
      <c r="AG27" s="25" t="s">
        <v>747</v>
      </c>
      <c r="AH27" s="44" t="s">
        <v>745</v>
      </c>
      <c r="AJ27" t="s">
        <v>747</v>
      </c>
      <c r="AK27" t="s">
        <v>760</v>
      </c>
    </row>
    <row r="28" spans="1:37" ht="38.25" thickBot="1" x14ac:dyDescent="0.25">
      <c r="A28" t="s">
        <v>759</v>
      </c>
      <c r="B28" t="s">
        <v>758</v>
      </c>
      <c r="C28" t="s">
        <v>566</v>
      </c>
      <c r="D28" s="29">
        <v>1.1000000000000001</v>
      </c>
      <c r="E28" s="29">
        <f t="shared" si="5"/>
        <v>0.54999999999999993</v>
      </c>
      <c r="F28" s="29">
        <v>0.45</v>
      </c>
      <c r="G28" s="29">
        <v>0.2</v>
      </c>
      <c r="H28" s="29">
        <v>0.95</v>
      </c>
      <c r="K28" s="29">
        <v>0.1</v>
      </c>
      <c r="L28" s="29">
        <v>1.75</v>
      </c>
      <c r="M28">
        <v>-7.5</v>
      </c>
      <c r="N28">
        <v>-7.5</v>
      </c>
      <c r="S28" s="33">
        <v>1</v>
      </c>
      <c r="T28" s="33" t="s">
        <v>615</v>
      </c>
      <c r="V28" s="1">
        <v>2.5</v>
      </c>
      <c r="W28" s="1" t="s">
        <v>757</v>
      </c>
      <c r="X28" t="s">
        <v>756</v>
      </c>
      <c r="Y28" s="30"/>
      <c r="Z28" s="30">
        <f t="shared" si="4"/>
        <v>1.2</v>
      </c>
      <c r="AA28" s="43">
        <v>1.2</v>
      </c>
      <c r="AB28" s="42">
        <f t="shared" si="2"/>
        <v>1.32</v>
      </c>
      <c r="AC28" s="42">
        <f t="shared" si="3"/>
        <v>1.1519999999999999</v>
      </c>
      <c r="AD28" t="s">
        <v>230</v>
      </c>
      <c r="AE28">
        <v>2</v>
      </c>
      <c r="AG28" s="25" t="s">
        <v>742</v>
      </c>
      <c r="AH28" s="44" t="s">
        <v>740</v>
      </c>
      <c r="AJ28" t="s">
        <v>742</v>
      </c>
      <c r="AK28" t="s">
        <v>755</v>
      </c>
    </row>
    <row r="29" spans="1:37" ht="38.25" thickBot="1" x14ac:dyDescent="0.25">
      <c r="A29" t="s">
        <v>754</v>
      </c>
      <c r="B29" t="s">
        <v>753</v>
      </c>
      <c r="C29" t="s">
        <v>566</v>
      </c>
      <c r="D29" s="29">
        <v>1.05</v>
      </c>
      <c r="E29" s="29">
        <f t="shared" si="5"/>
        <v>0.60000000000000009</v>
      </c>
      <c r="F29" s="29">
        <v>0.6</v>
      </c>
      <c r="G29" s="29">
        <v>0.1</v>
      </c>
      <c r="H29" s="29">
        <v>0.95</v>
      </c>
      <c r="K29" s="29">
        <v>0.1</v>
      </c>
      <c r="L29" s="29">
        <v>1.5</v>
      </c>
      <c r="M29">
        <v>-2.5</v>
      </c>
      <c r="N29">
        <v>-5</v>
      </c>
      <c r="S29" s="33">
        <v>1</v>
      </c>
      <c r="T29" s="33" t="s">
        <v>615</v>
      </c>
      <c r="V29" s="1">
        <v>2.5</v>
      </c>
      <c r="W29" s="1" t="s">
        <v>752</v>
      </c>
      <c r="X29" t="s">
        <v>500</v>
      </c>
      <c r="Y29" s="30"/>
      <c r="Z29" s="30">
        <f t="shared" si="4"/>
        <v>1.3000000000000003</v>
      </c>
      <c r="AA29" s="43">
        <v>1.3</v>
      </c>
      <c r="AB29" s="42">
        <f t="shared" si="2"/>
        <v>1.3650000000000004</v>
      </c>
      <c r="AC29" s="42">
        <f t="shared" si="3"/>
        <v>1.3747500000000006</v>
      </c>
      <c r="AD29" t="s">
        <v>751</v>
      </c>
      <c r="AE29">
        <v>4</v>
      </c>
      <c r="AG29" s="25" t="s">
        <v>749</v>
      </c>
      <c r="AH29" s="44" t="s">
        <v>750</v>
      </c>
      <c r="AJ29" t="s">
        <v>749</v>
      </c>
      <c r="AK29" t="s">
        <v>733</v>
      </c>
    </row>
    <row r="30" spans="1:37" ht="19.5" thickBot="1" x14ac:dyDescent="0.25">
      <c r="A30" t="s">
        <v>748</v>
      </c>
      <c r="B30" t="s">
        <v>747</v>
      </c>
      <c r="C30" t="s">
        <v>566</v>
      </c>
      <c r="D30" s="29">
        <v>1</v>
      </c>
      <c r="E30" s="29">
        <f t="shared" si="5"/>
        <v>0.14999999999999991</v>
      </c>
      <c r="F30" s="29">
        <v>0.9</v>
      </c>
      <c r="G30" s="29">
        <v>0.15</v>
      </c>
      <c r="H30" s="29">
        <v>0.95</v>
      </c>
      <c r="K30" s="29">
        <v>0.15</v>
      </c>
      <c r="L30" s="29">
        <v>1.5</v>
      </c>
      <c r="M30">
        <v>-2.5</v>
      </c>
      <c r="N30">
        <v>-2.5</v>
      </c>
      <c r="S30" s="33">
        <v>1</v>
      </c>
      <c r="T30" s="33" t="s">
        <v>615</v>
      </c>
      <c r="U30" t="s">
        <v>746</v>
      </c>
      <c r="V30" s="1">
        <v>2</v>
      </c>
      <c r="W30" s="1" t="s">
        <v>745</v>
      </c>
      <c r="X30" t="s">
        <v>696</v>
      </c>
      <c r="Y30" s="30"/>
      <c r="Z30" s="30">
        <f t="shared" si="4"/>
        <v>1.1999999999999997</v>
      </c>
      <c r="AA30" s="43">
        <v>1.2</v>
      </c>
      <c r="AB30" s="42">
        <f t="shared" si="2"/>
        <v>1.1999999999999997</v>
      </c>
      <c r="AC30" s="42">
        <f t="shared" si="3"/>
        <v>1.3634999999999997</v>
      </c>
      <c r="AD30" t="s">
        <v>229</v>
      </c>
      <c r="AE30">
        <v>3</v>
      </c>
      <c r="AG30" s="25" t="s">
        <v>736</v>
      </c>
      <c r="AH30" s="44" t="s">
        <v>744</v>
      </c>
      <c r="AJ30" t="s">
        <v>736</v>
      </c>
      <c r="AK30" t="s">
        <v>743</v>
      </c>
    </row>
    <row r="31" spans="1:37" ht="57" thickBot="1" x14ac:dyDescent="0.25">
      <c r="A31" t="s">
        <v>230</v>
      </c>
      <c r="B31" t="s">
        <v>742</v>
      </c>
      <c r="C31" t="s">
        <v>566</v>
      </c>
      <c r="D31" s="29">
        <v>1.05</v>
      </c>
      <c r="E31" s="29">
        <f t="shared" si="5"/>
        <v>0.10000000000000009</v>
      </c>
      <c r="F31" s="29">
        <v>0</v>
      </c>
      <c r="G31" s="29">
        <v>1</v>
      </c>
      <c r="H31" s="29">
        <v>0.95</v>
      </c>
      <c r="J31">
        <v>25</v>
      </c>
      <c r="K31" s="29">
        <v>0.05</v>
      </c>
      <c r="L31" s="29">
        <v>1.5</v>
      </c>
      <c r="S31" s="33">
        <v>1</v>
      </c>
      <c r="T31" s="33" t="s">
        <v>615</v>
      </c>
      <c r="U31" t="s">
        <v>741</v>
      </c>
      <c r="V31" s="1">
        <v>1.5</v>
      </c>
      <c r="W31" s="1" t="s">
        <v>1294</v>
      </c>
      <c r="X31" t="s">
        <v>739</v>
      </c>
      <c r="Y31" s="30"/>
      <c r="Z31" s="30">
        <f t="shared" si="4"/>
        <v>1.1000000000000001</v>
      </c>
      <c r="AA31" s="43">
        <v>1.1000000000000001</v>
      </c>
      <c r="AB31" s="42">
        <f t="shared" si="2"/>
        <v>1.1550000000000002</v>
      </c>
      <c r="AC31" s="42">
        <f t="shared" si="3"/>
        <v>1.2560625000000001</v>
      </c>
      <c r="AD31" t="s">
        <v>738</v>
      </c>
      <c r="AE31">
        <v>4</v>
      </c>
      <c r="AG31" s="25" t="s">
        <v>732</v>
      </c>
      <c r="AH31" s="44" t="s">
        <v>731</v>
      </c>
      <c r="AJ31" t="s">
        <v>732</v>
      </c>
      <c r="AK31" t="s">
        <v>737</v>
      </c>
    </row>
    <row r="32" spans="1:37" ht="38.25" thickBot="1" x14ac:dyDescent="0.25">
      <c r="A32" t="s">
        <v>229</v>
      </c>
      <c r="B32" t="s">
        <v>736</v>
      </c>
      <c r="C32" t="s">
        <v>566</v>
      </c>
      <c r="D32" s="29">
        <v>1.1000000000000001</v>
      </c>
      <c r="E32" s="29">
        <f t="shared" si="5"/>
        <v>0</v>
      </c>
      <c r="F32" s="29">
        <v>0</v>
      </c>
      <c r="G32" s="29">
        <v>1.1499999999999999</v>
      </c>
      <c r="H32" s="29">
        <v>0.95</v>
      </c>
      <c r="K32" s="29">
        <v>0.15</v>
      </c>
      <c r="L32" s="29">
        <v>1.25</v>
      </c>
      <c r="N32">
        <v>-2</v>
      </c>
      <c r="S32" s="33">
        <v>1</v>
      </c>
      <c r="T32" s="33" t="s">
        <v>615</v>
      </c>
      <c r="V32" s="1">
        <v>2</v>
      </c>
      <c r="W32" s="1" t="s">
        <v>734</v>
      </c>
      <c r="X32" t="s">
        <v>696</v>
      </c>
      <c r="Y32" s="30"/>
      <c r="Z32" s="30">
        <f t="shared" si="4"/>
        <v>1.1499999999999999</v>
      </c>
      <c r="AA32" s="43">
        <v>1.1499999999999999</v>
      </c>
      <c r="AB32" s="42">
        <f t="shared" si="2"/>
        <v>1.2649999999999999</v>
      </c>
      <c r="AC32" s="42">
        <f t="shared" si="3"/>
        <v>1.4932749999999999</v>
      </c>
      <c r="AD32" t="s">
        <v>718</v>
      </c>
      <c r="AE32">
        <v>3.5</v>
      </c>
      <c r="AG32" s="25" t="s">
        <v>724</v>
      </c>
      <c r="AH32" s="44" t="s">
        <v>723</v>
      </c>
      <c r="AJ32" t="s">
        <v>724</v>
      </c>
      <c r="AK32" t="s">
        <v>733</v>
      </c>
    </row>
    <row r="33" spans="1:37" ht="38.25" thickBot="1" x14ac:dyDescent="0.25">
      <c r="A33" t="s">
        <v>256</v>
      </c>
      <c r="B33" t="s">
        <v>735</v>
      </c>
      <c r="C33" t="s">
        <v>566</v>
      </c>
      <c r="D33" s="29">
        <v>1.2</v>
      </c>
      <c r="E33" s="29">
        <f t="shared" si="5"/>
        <v>0</v>
      </c>
      <c r="F33" s="29">
        <v>0</v>
      </c>
      <c r="G33" s="29">
        <v>1.1499999999999999</v>
      </c>
      <c r="H33" s="29">
        <v>0.95</v>
      </c>
      <c r="K33" s="29">
        <v>0.15</v>
      </c>
      <c r="L33" s="29">
        <v>1.25</v>
      </c>
      <c r="N33">
        <v>-5</v>
      </c>
      <c r="S33" s="33">
        <v>1</v>
      </c>
      <c r="T33" s="33" t="s">
        <v>615</v>
      </c>
      <c r="V33" s="1">
        <v>3</v>
      </c>
      <c r="W33" s="1" t="s">
        <v>734</v>
      </c>
      <c r="X33" t="s">
        <v>696</v>
      </c>
      <c r="Y33" s="30"/>
      <c r="Z33" s="30">
        <f t="shared" si="4"/>
        <v>1.1499999999999999</v>
      </c>
      <c r="AA33" s="43">
        <v>1.1499999999999999</v>
      </c>
      <c r="AB33" s="42">
        <f t="shared" si="2"/>
        <v>1.38</v>
      </c>
      <c r="AC33" s="42">
        <f t="shared" si="3"/>
        <v>1.5496249999999998</v>
      </c>
      <c r="AD33" t="s">
        <v>718</v>
      </c>
      <c r="AE33">
        <v>3.5</v>
      </c>
      <c r="AG33" s="25" t="s">
        <v>724</v>
      </c>
      <c r="AH33" s="44" t="s">
        <v>723</v>
      </c>
      <c r="AJ33" t="s">
        <v>724</v>
      </c>
      <c r="AK33" t="s">
        <v>733</v>
      </c>
    </row>
    <row r="34" spans="1:37" ht="38.25" thickBot="1" x14ac:dyDescent="0.25">
      <c r="A34" t="s">
        <v>228</v>
      </c>
      <c r="B34" t="s">
        <v>732</v>
      </c>
      <c r="C34" t="s">
        <v>566</v>
      </c>
      <c r="D34" s="29">
        <v>1.05</v>
      </c>
      <c r="E34" s="29">
        <f t="shared" si="5"/>
        <v>0</v>
      </c>
      <c r="F34" s="29">
        <v>0.6</v>
      </c>
      <c r="G34" s="29">
        <v>0.6</v>
      </c>
      <c r="H34" s="29">
        <v>0.95</v>
      </c>
      <c r="J34">
        <v>10</v>
      </c>
      <c r="K34" s="29">
        <v>0.1</v>
      </c>
      <c r="L34" s="29">
        <v>1.25</v>
      </c>
      <c r="M34">
        <v>-2.5</v>
      </c>
      <c r="N34">
        <v>-2.5</v>
      </c>
      <c r="S34" s="33">
        <v>1</v>
      </c>
      <c r="T34" s="33" t="s">
        <v>615</v>
      </c>
      <c r="V34" s="1">
        <v>2</v>
      </c>
      <c r="W34" s="1" t="s">
        <v>731</v>
      </c>
      <c r="X34" t="s">
        <v>500</v>
      </c>
      <c r="Y34" s="30"/>
      <c r="Z34" s="30">
        <f t="shared" si="4"/>
        <v>1.2</v>
      </c>
      <c r="AA34" s="43">
        <v>1.2</v>
      </c>
      <c r="AB34" s="42">
        <f t="shared" si="2"/>
        <v>1.26</v>
      </c>
      <c r="AC34" s="42">
        <f t="shared" si="3"/>
        <v>1.3109999999999999</v>
      </c>
      <c r="AD34" t="s">
        <v>227</v>
      </c>
      <c r="AE34">
        <v>3</v>
      </c>
      <c r="AG34" s="25" t="s">
        <v>721</v>
      </c>
      <c r="AH34" s="44" t="s">
        <v>720</v>
      </c>
      <c r="AJ34" t="s">
        <v>721</v>
      </c>
      <c r="AK34" t="s">
        <v>730</v>
      </c>
    </row>
    <row r="35" spans="1:37" ht="19.5" thickBot="1" x14ac:dyDescent="0.25">
      <c r="A35" t="s">
        <v>729</v>
      </c>
      <c r="B35" t="s">
        <v>728</v>
      </c>
      <c r="C35" t="s">
        <v>566</v>
      </c>
      <c r="D35" s="29">
        <v>1.05</v>
      </c>
      <c r="E35" s="29">
        <f t="shared" si="5"/>
        <v>0</v>
      </c>
      <c r="F35" s="29">
        <v>0.3</v>
      </c>
      <c r="G35" s="29">
        <v>0.95</v>
      </c>
      <c r="H35" s="29">
        <v>0.95</v>
      </c>
      <c r="K35" s="29">
        <v>0.05</v>
      </c>
      <c r="L35" s="29">
        <v>1.25</v>
      </c>
      <c r="S35" s="33">
        <v>1</v>
      </c>
      <c r="T35" s="33" t="s">
        <v>615</v>
      </c>
      <c r="V35" s="1">
        <v>2</v>
      </c>
      <c r="W35" s="1" t="s">
        <v>727</v>
      </c>
      <c r="X35" t="s">
        <v>661</v>
      </c>
      <c r="Y35" s="30"/>
      <c r="Z35" s="30">
        <f t="shared" si="4"/>
        <v>1.25</v>
      </c>
      <c r="AA35" s="43">
        <v>1.25</v>
      </c>
      <c r="AB35" s="42">
        <f t="shared" ref="AB35:AB72" si="6">Z35*D35</f>
        <v>1.3125</v>
      </c>
      <c r="AC35" s="42">
        <f t="shared" ref="AC35:AC58" si="7">Z35*(D35+SUM(M35:N35)/50)*(1+K35*(L35+0.25))</f>
        <v>1.4109375</v>
      </c>
      <c r="AD35" t="s">
        <v>226</v>
      </c>
      <c r="AE35">
        <v>3.5</v>
      </c>
      <c r="AG35" s="25" t="s">
        <v>717</v>
      </c>
      <c r="AH35" s="44" t="s">
        <v>716</v>
      </c>
      <c r="AJ35" t="s">
        <v>717</v>
      </c>
      <c r="AK35" t="s">
        <v>726</v>
      </c>
    </row>
    <row r="36" spans="1:37" ht="38.25" thickBot="1" x14ac:dyDescent="0.25">
      <c r="A36" t="s">
        <v>725</v>
      </c>
      <c r="B36" t="s">
        <v>724</v>
      </c>
      <c r="C36" t="s">
        <v>566</v>
      </c>
      <c r="D36" s="29">
        <v>1.1000000000000001</v>
      </c>
      <c r="E36" s="29">
        <f t="shared" si="5"/>
        <v>0</v>
      </c>
      <c r="F36" s="29">
        <v>0</v>
      </c>
      <c r="G36" s="29">
        <v>1.25</v>
      </c>
      <c r="H36" s="29">
        <v>0.95</v>
      </c>
      <c r="J36">
        <v>-15</v>
      </c>
      <c r="K36" s="29">
        <v>0.05</v>
      </c>
      <c r="L36" s="29">
        <v>1.5</v>
      </c>
      <c r="M36">
        <v>-2.5</v>
      </c>
      <c r="N36">
        <v>-2.5</v>
      </c>
      <c r="S36" s="33">
        <v>1</v>
      </c>
      <c r="T36" s="33" t="s">
        <v>615</v>
      </c>
      <c r="V36" s="1">
        <v>2</v>
      </c>
      <c r="W36" s="1" t="s">
        <v>723</v>
      </c>
      <c r="X36" t="s">
        <v>500</v>
      </c>
      <c r="Y36" s="30"/>
      <c r="Z36" s="30">
        <f t="shared" si="4"/>
        <v>1.25</v>
      </c>
      <c r="AA36" s="43">
        <v>1.25</v>
      </c>
      <c r="AB36" s="42">
        <f t="shared" si="6"/>
        <v>1.375</v>
      </c>
      <c r="AC36" s="42">
        <f t="shared" si="7"/>
        <v>1.359375</v>
      </c>
      <c r="AD36" t="s">
        <v>225</v>
      </c>
      <c r="AE36">
        <v>2</v>
      </c>
      <c r="AG36" s="25" t="s">
        <v>715</v>
      </c>
      <c r="AH36" s="44" t="s">
        <v>713</v>
      </c>
    </row>
    <row r="37" spans="1:37" ht="38.25" thickBot="1" x14ac:dyDescent="0.25">
      <c r="A37" t="s">
        <v>722</v>
      </c>
      <c r="B37" t="s">
        <v>721</v>
      </c>
      <c r="C37" t="s">
        <v>566</v>
      </c>
      <c r="D37" s="29">
        <v>1.1499999999999999</v>
      </c>
      <c r="E37" s="29">
        <f t="shared" si="5"/>
        <v>0</v>
      </c>
      <c r="F37" s="29">
        <v>0.85</v>
      </c>
      <c r="G37" s="29">
        <v>0.35</v>
      </c>
      <c r="H37" s="29">
        <v>0.9</v>
      </c>
      <c r="J37">
        <v>-15</v>
      </c>
      <c r="K37" s="29">
        <v>7.4999999999999997E-2</v>
      </c>
      <c r="L37" s="29">
        <v>1.7</v>
      </c>
      <c r="S37" s="33">
        <v>1</v>
      </c>
      <c r="T37" s="33" t="s">
        <v>615</v>
      </c>
      <c r="V37" s="1">
        <v>1.5</v>
      </c>
      <c r="W37" s="1" t="s">
        <v>720</v>
      </c>
      <c r="X37" t="s">
        <v>719</v>
      </c>
      <c r="Y37" s="30"/>
      <c r="Z37" s="30">
        <f t="shared" si="4"/>
        <v>1.2</v>
      </c>
      <c r="AA37" s="43">
        <v>1.2</v>
      </c>
      <c r="AB37" s="42">
        <f t="shared" si="6"/>
        <v>1.38</v>
      </c>
      <c r="AC37" s="42">
        <f t="shared" si="7"/>
        <v>1.5818249999999998</v>
      </c>
      <c r="AD37" t="s">
        <v>706</v>
      </c>
      <c r="AE37">
        <v>3</v>
      </c>
      <c r="AG37" s="25" t="s">
        <v>712</v>
      </c>
      <c r="AH37" s="44" t="s">
        <v>711</v>
      </c>
    </row>
    <row r="38" spans="1:37" ht="38.25" thickBot="1" x14ac:dyDescent="0.25">
      <c r="A38" t="s">
        <v>718</v>
      </c>
      <c r="B38" t="s">
        <v>717</v>
      </c>
      <c r="C38" t="s">
        <v>566</v>
      </c>
      <c r="D38" s="29">
        <v>1.3</v>
      </c>
      <c r="E38" s="29">
        <f t="shared" si="5"/>
        <v>0</v>
      </c>
      <c r="F38" s="29">
        <v>0.85</v>
      </c>
      <c r="G38" s="29">
        <v>0.35</v>
      </c>
      <c r="H38" s="29">
        <v>0.9</v>
      </c>
      <c r="J38">
        <v>-15</v>
      </c>
      <c r="K38" s="29">
        <v>7.4999999999999997E-2</v>
      </c>
      <c r="L38" s="29">
        <v>1.7</v>
      </c>
      <c r="M38">
        <v>-2.5</v>
      </c>
      <c r="N38">
        <v>-2.5</v>
      </c>
      <c r="S38" s="33">
        <v>1</v>
      </c>
      <c r="T38" s="33" t="s">
        <v>615</v>
      </c>
      <c r="V38" s="1">
        <v>2</v>
      </c>
      <c r="W38" s="1" t="s">
        <v>716</v>
      </c>
      <c r="X38" t="s">
        <v>696</v>
      </c>
      <c r="Y38" s="30"/>
      <c r="Z38" s="30">
        <f t="shared" si="4"/>
        <v>1.2</v>
      </c>
      <c r="AA38" s="43">
        <v>1.2</v>
      </c>
      <c r="AB38" s="42">
        <f t="shared" si="6"/>
        <v>1.56</v>
      </c>
      <c r="AC38" s="42">
        <f t="shared" si="7"/>
        <v>1.6505999999999998</v>
      </c>
      <c r="AD38" t="s">
        <v>702</v>
      </c>
      <c r="AE38">
        <v>3</v>
      </c>
      <c r="AG38" s="25" t="s">
        <v>709</v>
      </c>
      <c r="AH38" s="44" t="s">
        <v>708</v>
      </c>
    </row>
    <row r="39" spans="1:37" ht="19.5" thickBot="1" x14ac:dyDescent="0.25">
      <c r="D39" s="29"/>
      <c r="E39" s="29"/>
      <c r="F39" s="29"/>
      <c r="G39" s="29"/>
      <c r="V39" s="1">
        <v>71</v>
      </c>
      <c r="W39" s="1" t="s">
        <v>500</v>
      </c>
      <c r="X39" t="s">
        <v>500</v>
      </c>
      <c r="Y39" s="30"/>
      <c r="Z39" s="30">
        <f t="shared" si="4"/>
        <v>0</v>
      </c>
      <c r="AA39" s="43">
        <v>0</v>
      </c>
      <c r="AB39" s="42">
        <f t="shared" si="6"/>
        <v>0</v>
      </c>
      <c r="AC39" s="42">
        <f t="shared" si="7"/>
        <v>0</v>
      </c>
      <c r="AD39" t="s">
        <v>224</v>
      </c>
      <c r="AE39">
        <v>3.5</v>
      </c>
      <c r="AG39" s="25" t="s">
        <v>705</v>
      </c>
      <c r="AH39" s="44" t="s">
        <v>704</v>
      </c>
    </row>
    <row r="40" spans="1:37" ht="19.5" thickBot="1" x14ac:dyDescent="0.25">
      <c r="A40" t="s">
        <v>227</v>
      </c>
      <c r="B40" t="s">
        <v>715</v>
      </c>
      <c r="C40" t="s">
        <v>566</v>
      </c>
      <c r="D40" s="29">
        <v>1.1000000000000001</v>
      </c>
      <c r="E40" s="29">
        <f>AA40-SUM(F40:G40)</f>
        <v>0</v>
      </c>
      <c r="F40" s="29">
        <v>0</v>
      </c>
      <c r="G40" s="29">
        <v>1.1000000000000001</v>
      </c>
      <c r="H40" s="29">
        <v>0.95</v>
      </c>
      <c r="J40">
        <v>-5</v>
      </c>
      <c r="K40" s="29">
        <v>0.1</v>
      </c>
      <c r="L40" s="29">
        <v>1.5</v>
      </c>
      <c r="M40">
        <v>-2.5</v>
      </c>
      <c r="S40" s="33">
        <v>1</v>
      </c>
      <c r="T40" s="33" t="s">
        <v>615</v>
      </c>
      <c r="U40" t="s">
        <v>714</v>
      </c>
      <c r="V40" s="1">
        <v>2</v>
      </c>
      <c r="W40" s="1" t="s">
        <v>713</v>
      </c>
      <c r="X40" t="s">
        <v>696</v>
      </c>
      <c r="Y40" s="30"/>
      <c r="Z40" s="30">
        <f t="shared" si="4"/>
        <v>1.1000000000000001</v>
      </c>
      <c r="AA40" s="43">
        <v>1.1000000000000001</v>
      </c>
      <c r="AB40" s="42">
        <f t="shared" si="6"/>
        <v>1.2100000000000002</v>
      </c>
      <c r="AC40" s="42">
        <f t="shared" si="7"/>
        <v>1.3571250000000004</v>
      </c>
      <c r="AD40" t="s">
        <v>694</v>
      </c>
      <c r="AE40">
        <v>4</v>
      </c>
      <c r="AG40" s="25" t="s">
        <v>701</v>
      </c>
      <c r="AH40" s="44" t="s">
        <v>699</v>
      </c>
    </row>
    <row r="41" spans="1:37" ht="38.25" thickBot="1" x14ac:dyDescent="0.25">
      <c r="A41" t="s">
        <v>226</v>
      </c>
      <c r="B41" t="s">
        <v>712</v>
      </c>
      <c r="C41" t="s">
        <v>566</v>
      </c>
      <c r="D41" s="29">
        <v>1.25</v>
      </c>
      <c r="E41" s="29">
        <f>AA41-SUM(F41:G41)</f>
        <v>0</v>
      </c>
      <c r="F41" s="29">
        <v>0</v>
      </c>
      <c r="G41" s="29">
        <v>1.2</v>
      </c>
      <c r="H41" s="29">
        <v>1.05</v>
      </c>
      <c r="J41">
        <v>-15</v>
      </c>
      <c r="K41" s="29">
        <v>0.1</v>
      </c>
      <c r="L41" s="29">
        <v>1.5</v>
      </c>
      <c r="M41">
        <v>-5</v>
      </c>
      <c r="N41">
        <v>-5</v>
      </c>
      <c r="S41" s="33">
        <v>1</v>
      </c>
      <c r="T41" s="33" t="s">
        <v>615</v>
      </c>
      <c r="V41" s="1">
        <v>2.5</v>
      </c>
      <c r="W41" s="1" t="s">
        <v>711</v>
      </c>
      <c r="X41" t="s">
        <v>710</v>
      </c>
      <c r="Y41" s="30"/>
      <c r="Z41" s="30">
        <f t="shared" si="4"/>
        <v>1.2</v>
      </c>
      <c r="AA41" s="43">
        <v>1.2</v>
      </c>
      <c r="AB41" s="42">
        <f t="shared" si="6"/>
        <v>1.5</v>
      </c>
      <c r="AC41" s="42">
        <f t="shared" si="7"/>
        <v>1.4805000000000001</v>
      </c>
      <c r="AD41" t="s">
        <v>223</v>
      </c>
      <c r="AE41">
        <v>3</v>
      </c>
      <c r="AG41" s="25" t="s">
        <v>698</v>
      </c>
      <c r="AH41" s="44" t="s">
        <v>697</v>
      </c>
    </row>
    <row r="42" spans="1:37" ht="26.25" thickBot="1" x14ac:dyDescent="0.25">
      <c r="D42" s="29"/>
      <c r="E42" s="29"/>
      <c r="F42" s="29"/>
      <c r="G42" s="29"/>
      <c r="V42" s="1">
        <v>71</v>
      </c>
      <c r="W42" s="1" t="s">
        <v>500</v>
      </c>
      <c r="X42" t="s">
        <v>500</v>
      </c>
      <c r="Y42" s="30"/>
      <c r="Z42" s="30">
        <f t="shared" si="4"/>
        <v>0</v>
      </c>
      <c r="AA42" s="43">
        <v>0</v>
      </c>
      <c r="AB42" s="42">
        <f t="shared" si="6"/>
        <v>0</v>
      </c>
      <c r="AC42" s="42">
        <f t="shared" si="7"/>
        <v>0</v>
      </c>
      <c r="AD42" t="s">
        <v>688</v>
      </c>
      <c r="AE42">
        <v>3.5</v>
      </c>
      <c r="AG42" s="25" t="s">
        <v>693</v>
      </c>
      <c r="AH42" s="44" t="s">
        <v>692</v>
      </c>
    </row>
    <row r="43" spans="1:37" ht="38.25" thickBot="1" x14ac:dyDescent="0.25">
      <c r="A43" t="s">
        <v>225</v>
      </c>
      <c r="B43" t="s">
        <v>709</v>
      </c>
      <c r="C43" t="s">
        <v>566</v>
      </c>
      <c r="D43" s="29">
        <v>1.25</v>
      </c>
      <c r="E43" s="29">
        <f>AA43-SUM(F43:G43)</f>
        <v>0.44999999999999996</v>
      </c>
      <c r="F43" s="29">
        <v>0.55000000000000004</v>
      </c>
      <c r="G43" s="29">
        <v>0.05</v>
      </c>
      <c r="H43" s="29">
        <v>0.85</v>
      </c>
      <c r="J43">
        <v>-15</v>
      </c>
      <c r="K43" s="29">
        <v>0.05</v>
      </c>
      <c r="L43" s="29">
        <v>2</v>
      </c>
      <c r="S43" s="33">
        <v>1</v>
      </c>
      <c r="T43" s="33" t="s">
        <v>615</v>
      </c>
      <c r="U43" t="s">
        <v>700</v>
      </c>
      <c r="V43" s="1">
        <v>2</v>
      </c>
      <c r="W43" s="1" t="s">
        <v>708</v>
      </c>
      <c r="X43" t="s">
        <v>707</v>
      </c>
      <c r="Y43" s="30"/>
      <c r="Z43" s="30">
        <f t="shared" si="4"/>
        <v>1.05</v>
      </c>
      <c r="AA43" s="43">
        <v>1.05</v>
      </c>
      <c r="AB43" s="42">
        <f t="shared" si="6"/>
        <v>1.3125</v>
      </c>
      <c r="AC43" s="42">
        <f t="shared" si="7"/>
        <v>1.46015625</v>
      </c>
      <c r="AD43" t="s">
        <v>684</v>
      </c>
      <c r="AE43">
        <v>4</v>
      </c>
      <c r="AG43" s="25" t="s">
        <v>691</v>
      </c>
      <c r="AH43" s="44" t="s">
        <v>690</v>
      </c>
    </row>
    <row r="44" spans="1:37" ht="38.25" thickBot="1" x14ac:dyDescent="0.25">
      <c r="A44" t="s">
        <v>706</v>
      </c>
      <c r="B44" t="s">
        <v>705</v>
      </c>
      <c r="C44" t="s">
        <v>566</v>
      </c>
      <c r="D44" s="29">
        <v>1.3</v>
      </c>
      <c r="E44" s="29">
        <f>AA44-SUM(F44:G44)</f>
        <v>0.54999999999999993</v>
      </c>
      <c r="F44" s="29">
        <v>0.6</v>
      </c>
      <c r="G44" s="29">
        <v>0.05</v>
      </c>
      <c r="H44" s="29">
        <v>0.9</v>
      </c>
      <c r="J44">
        <v>-15</v>
      </c>
      <c r="K44" s="29">
        <v>0.05</v>
      </c>
      <c r="L44" s="29">
        <v>2</v>
      </c>
      <c r="M44">
        <v>-2.5</v>
      </c>
      <c r="N44">
        <v>-2.5</v>
      </c>
      <c r="S44" s="33">
        <v>1</v>
      </c>
      <c r="T44" s="33" t="s">
        <v>615</v>
      </c>
      <c r="V44" s="1">
        <v>2.5</v>
      </c>
      <c r="W44" s="1" t="s">
        <v>704</v>
      </c>
      <c r="X44" t="s">
        <v>661</v>
      </c>
      <c r="Y44" s="30"/>
      <c r="Z44" s="30">
        <f t="shared" si="4"/>
        <v>1.2</v>
      </c>
      <c r="AA44" s="43">
        <v>1.2</v>
      </c>
      <c r="AB44" s="42">
        <f t="shared" si="6"/>
        <v>1.56</v>
      </c>
      <c r="AC44" s="42">
        <f t="shared" si="7"/>
        <v>1.6020000000000001</v>
      </c>
      <c r="AD44" t="s">
        <v>703</v>
      </c>
      <c r="AE44">
        <v>1</v>
      </c>
      <c r="AG44" s="25" t="s">
        <v>687</v>
      </c>
      <c r="AH44" s="44" t="s">
        <v>686</v>
      </c>
    </row>
    <row r="45" spans="1:37" ht="26.25" thickBot="1" x14ac:dyDescent="0.25">
      <c r="D45" s="29"/>
      <c r="E45" s="29"/>
      <c r="F45" s="29"/>
      <c r="G45" s="29"/>
      <c r="V45" s="1">
        <v>71</v>
      </c>
      <c r="W45" s="1" t="s">
        <v>500</v>
      </c>
      <c r="X45" t="s">
        <v>500</v>
      </c>
      <c r="Y45" s="30"/>
      <c r="Z45" s="30">
        <f t="shared" si="4"/>
        <v>0</v>
      </c>
      <c r="AA45" s="43">
        <v>0</v>
      </c>
      <c r="AB45" s="42">
        <f t="shared" si="6"/>
        <v>0</v>
      </c>
      <c r="AC45" s="42">
        <f t="shared" si="7"/>
        <v>0</v>
      </c>
      <c r="AD45" s="1" t="s">
        <v>222</v>
      </c>
      <c r="AE45" s="1">
        <v>2</v>
      </c>
      <c r="AF45" s="1"/>
      <c r="AG45" s="25" t="s">
        <v>683</v>
      </c>
      <c r="AH45" s="44" t="s">
        <v>682</v>
      </c>
    </row>
    <row r="46" spans="1:37" ht="19.5" thickBot="1" x14ac:dyDescent="0.25">
      <c r="A46" t="s">
        <v>702</v>
      </c>
      <c r="B46" t="s">
        <v>701</v>
      </c>
      <c r="C46" t="s">
        <v>566</v>
      </c>
      <c r="D46" s="29">
        <v>1.1499999999999999</v>
      </c>
      <c r="E46" s="29">
        <f>AA46-SUM(F46:G46)</f>
        <v>0.90000000000000013</v>
      </c>
      <c r="F46" s="29">
        <v>0</v>
      </c>
      <c r="G46" s="29">
        <v>0.2</v>
      </c>
      <c r="H46" s="29">
        <v>0.9</v>
      </c>
      <c r="J46">
        <v>-15</v>
      </c>
      <c r="K46" s="29">
        <v>0.05</v>
      </c>
      <c r="L46" s="29">
        <v>1.75</v>
      </c>
      <c r="M46">
        <v>-2.5</v>
      </c>
      <c r="S46" s="33">
        <v>1</v>
      </c>
      <c r="T46" s="33" t="s">
        <v>615</v>
      </c>
      <c r="U46" t="s">
        <v>700</v>
      </c>
      <c r="V46" s="1">
        <v>1.5</v>
      </c>
      <c r="W46" s="1" t="s">
        <v>699</v>
      </c>
      <c r="X46" t="s">
        <v>585</v>
      </c>
      <c r="Y46" s="30"/>
      <c r="Z46" s="30">
        <f t="shared" si="4"/>
        <v>1.1000000000000001</v>
      </c>
      <c r="AA46" s="43">
        <v>1.1000000000000001</v>
      </c>
      <c r="AB46" s="42">
        <f t="shared" si="6"/>
        <v>1.2649999999999999</v>
      </c>
      <c r="AC46" s="42">
        <f t="shared" si="7"/>
        <v>1.331</v>
      </c>
      <c r="AD46" s="1" t="s">
        <v>221</v>
      </c>
      <c r="AE46" s="1">
        <v>3</v>
      </c>
      <c r="AF46" s="1"/>
      <c r="AG46" s="25" t="s">
        <v>672</v>
      </c>
      <c r="AH46" s="44" t="s">
        <v>670</v>
      </c>
    </row>
    <row r="47" spans="1:37" ht="38.25" thickBot="1" x14ac:dyDescent="0.25">
      <c r="A47" t="s">
        <v>224</v>
      </c>
      <c r="B47" t="s">
        <v>698</v>
      </c>
      <c r="C47" t="s">
        <v>566</v>
      </c>
      <c r="D47" s="29">
        <v>1.1499999999999999</v>
      </c>
      <c r="E47" s="29">
        <f>AA47-SUM(F47:G47)</f>
        <v>0.95</v>
      </c>
      <c r="F47" s="29">
        <v>0</v>
      </c>
      <c r="G47" s="29">
        <v>0.3</v>
      </c>
      <c r="H47" s="29">
        <v>1</v>
      </c>
      <c r="J47">
        <v>-15</v>
      </c>
      <c r="K47" s="29">
        <v>0.05</v>
      </c>
      <c r="L47" s="29">
        <v>1.75</v>
      </c>
      <c r="M47">
        <v>-2.5</v>
      </c>
      <c r="S47" s="33">
        <v>1</v>
      </c>
      <c r="T47" s="33" t="s">
        <v>615</v>
      </c>
      <c r="V47" s="1">
        <v>2</v>
      </c>
      <c r="W47" s="1" t="s">
        <v>697</v>
      </c>
      <c r="X47" t="s">
        <v>696</v>
      </c>
      <c r="Y47" s="30"/>
      <c r="Z47" s="30">
        <f t="shared" si="4"/>
        <v>1.25</v>
      </c>
      <c r="AA47" s="43">
        <v>1.25</v>
      </c>
      <c r="AB47" s="42">
        <f t="shared" si="6"/>
        <v>1.4375</v>
      </c>
      <c r="AC47" s="42">
        <f t="shared" si="7"/>
        <v>1.5125</v>
      </c>
      <c r="AD47" s="1" t="s">
        <v>695</v>
      </c>
      <c r="AE47" s="1">
        <v>3</v>
      </c>
      <c r="AF47" s="1"/>
      <c r="AG47" s="25" t="s">
        <v>668</v>
      </c>
      <c r="AH47" s="44" t="s">
        <v>666</v>
      </c>
    </row>
    <row r="48" spans="1:37" ht="38.25" thickBot="1" x14ac:dyDescent="0.25">
      <c r="A48" t="s">
        <v>694</v>
      </c>
      <c r="B48" t="s">
        <v>693</v>
      </c>
      <c r="C48" t="s">
        <v>566</v>
      </c>
      <c r="D48" s="29">
        <v>1.3</v>
      </c>
      <c r="E48" s="29">
        <f>AA48-SUM(F48:G48)</f>
        <v>0.85</v>
      </c>
      <c r="F48" s="29">
        <v>0</v>
      </c>
      <c r="G48" s="29">
        <v>0.4</v>
      </c>
      <c r="H48" s="29">
        <v>1.05</v>
      </c>
      <c r="J48">
        <v>-15</v>
      </c>
      <c r="K48" s="29">
        <v>0.05</v>
      </c>
      <c r="L48" s="29">
        <v>1.75</v>
      </c>
      <c r="M48">
        <v>-5</v>
      </c>
      <c r="N48">
        <v>-5</v>
      </c>
      <c r="S48" s="33">
        <v>1</v>
      </c>
      <c r="T48" s="33" t="s">
        <v>615</v>
      </c>
      <c r="V48" s="1">
        <v>2.5</v>
      </c>
      <c r="W48" s="1" t="s">
        <v>692</v>
      </c>
      <c r="X48" t="s">
        <v>649</v>
      </c>
      <c r="Y48" s="30"/>
      <c r="Z48" s="30">
        <f t="shared" si="4"/>
        <v>1.25</v>
      </c>
      <c r="AA48" s="43">
        <v>1.25</v>
      </c>
      <c r="AB48" s="42">
        <f t="shared" si="6"/>
        <v>1.625</v>
      </c>
      <c r="AC48" s="42">
        <f t="shared" si="7"/>
        <v>1.5125000000000002</v>
      </c>
      <c r="AD48" s="1" t="s">
        <v>219</v>
      </c>
      <c r="AE48" s="1">
        <v>3.5</v>
      </c>
      <c r="AF48" s="1"/>
      <c r="AG48" s="25" t="s">
        <v>664</v>
      </c>
      <c r="AH48" s="44" t="s">
        <v>662</v>
      </c>
    </row>
    <row r="49" spans="1:45" ht="26.25" thickBot="1" x14ac:dyDescent="0.25">
      <c r="D49" s="29"/>
      <c r="E49" s="29"/>
      <c r="F49" s="29"/>
      <c r="G49" s="29"/>
      <c r="V49" s="1">
        <v>71</v>
      </c>
      <c r="W49" s="1" t="s">
        <v>500</v>
      </c>
      <c r="X49" t="s">
        <v>500</v>
      </c>
      <c r="Y49" s="30"/>
      <c r="Z49" s="30">
        <f t="shared" si="4"/>
        <v>0</v>
      </c>
      <c r="AA49" s="43">
        <v>0</v>
      </c>
      <c r="AB49" s="42">
        <f t="shared" si="6"/>
        <v>0</v>
      </c>
      <c r="AC49" s="42">
        <f t="shared" si="7"/>
        <v>0</v>
      </c>
      <c r="AD49" s="1" t="s">
        <v>654</v>
      </c>
      <c r="AE49" s="1">
        <v>4</v>
      </c>
      <c r="AF49" s="1"/>
      <c r="AG49" s="25" t="s">
        <v>659</v>
      </c>
      <c r="AH49" s="44" t="s">
        <v>658</v>
      </c>
    </row>
    <row r="50" spans="1:45" ht="38.25" thickBot="1" x14ac:dyDescent="0.25">
      <c r="A50" t="s">
        <v>223</v>
      </c>
      <c r="B50" t="s">
        <v>691</v>
      </c>
      <c r="C50" t="s">
        <v>566</v>
      </c>
      <c r="D50" s="29">
        <v>1.05</v>
      </c>
      <c r="E50" s="29">
        <f>AA50-SUM(F50:G50)</f>
        <v>0.90000000000000013</v>
      </c>
      <c r="F50" s="29">
        <v>0</v>
      </c>
      <c r="G50" s="29">
        <v>0.2</v>
      </c>
      <c r="H50" s="29">
        <v>0.55000000000000004</v>
      </c>
      <c r="K50" s="29">
        <v>0.1</v>
      </c>
      <c r="L50" s="29">
        <v>1.5</v>
      </c>
      <c r="P50">
        <v>1</v>
      </c>
      <c r="S50" s="33">
        <v>1</v>
      </c>
      <c r="T50" s="33" t="s">
        <v>615</v>
      </c>
      <c r="V50" s="1">
        <v>2.5</v>
      </c>
      <c r="W50" s="1" t="s">
        <v>690</v>
      </c>
      <c r="X50" t="s">
        <v>689</v>
      </c>
      <c r="Y50" s="30"/>
      <c r="Z50" s="30">
        <f t="shared" si="4"/>
        <v>1.1000000000000001</v>
      </c>
      <c r="AA50" s="43">
        <v>1.1000000000000001</v>
      </c>
      <c r="AB50" s="42">
        <f t="shared" si="6"/>
        <v>1.1550000000000002</v>
      </c>
      <c r="AC50" s="42">
        <f t="shared" si="7"/>
        <v>1.3571250000000004</v>
      </c>
      <c r="AD50" t="s">
        <v>218</v>
      </c>
      <c r="AE50">
        <v>2</v>
      </c>
      <c r="AG50" s="25" t="s">
        <v>656</v>
      </c>
      <c r="AH50" s="44" t="s">
        <v>655</v>
      </c>
    </row>
    <row r="51" spans="1:45" ht="38.25" thickBot="1" x14ac:dyDescent="0.25">
      <c r="A51" t="s">
        <v>688</v>
      </c>
      <c r="B51" t="s">
        <v>687</v>
      </c>
      <c r="C51" t="s">
        <v>566</v>
      </c>
      <c r="D51" s="29">
        <v>1.1499999999999999</v>
      </c>
      <c r="E51" s="29">
        <f>AA51-SUM(F51:G51)</f>
        <v>0.89999999999999991</v>
      </c>
      <c r="F51" s="29">
        <v>0</v>
      </c>
      <c r="G51" s="29">
        <v>0.25</v>
      </c>
      <c r="H51" s="29">
        <v>0.65</v>
      </c>
      <c r="K51" s="29">
        <v>0.1</v>
      </c>
      <c r="L51" s="29">
        <v>1.5</v>
      </c>
      <c r="M51">
        <v>-5</v>
      </c>
      <c r="N51">
        <v>-2.5</v>
      </c>
      <c r="P51">
        <v>1</v>
      </c>
      <c r="S51" s="33">
        <v>1</v>
      </c>
      <c r="T51" s="33" t="s">
        <v>615</v>
      </c>
      <c r="V51" s="1">
        <v>3</v>
      </c>
      <c r="W51" s="1" t="s">
        <v>686</v>
      </c>
      <c r="X51" t="s">
        <v>685</v>
      </c>
      <c r="Y51" s="30"/>
      <c r="Z51" s="30">
        <f t="shared" si="4"/>
        <v>1.1499999999999999</v>
      </c>
      <c r="AA51" s="43">
        <v>1.1499999999999999</v>
      </c>
      <c r="AB51" s="42">
        <f t="shared" si="6"/>
        <v>1.3224999999999998</v>
      </c>
      <c r="AC51" s="42">
        <f t="shared" si="7"/>
        <v>1.3512499999999996</v>
      </c>
      <c r="AD51" t="s">
        <v>217</v>
      </c>
      <c r="AE51">
        <v>3</v>
      </c>
      <c r="AG51" s="25" t="s">
        <v>653</v>
      </c>
      <c r="AH51" s="44" t="s">
        <v>650</v>
      </c>
    </row>
    <row r="52" spans="1:45" ht="38.25" thickBot="1" x14ac:dyDescent="0.25">
      <c r="A52" t="s">
        <v>684</v>
      </c>
      <c r="B52" t="s">
        <v>683</v>
      </c>
      <c r="C52" t="s">
        <v>566</v>
      </c>
      <c r="D52" s="29">
        <v>1.25</v>
      </c>
      <c r="E52" s="29">
        <f>AA52-SUM(F52:G52)</f>
        <v>0.79999999999999993</v>
      </c>
      <c r="F52" s="29">
        <v>0</v>
      </c>
      <c r="G52" s="29">
        <v>0.35</v>
      </c>
      <c r="H52" s="29">
        <v>0.65</v>
      </c>
      <c r="K52" s="29">
        <v>0.1</v>
      </c>
      <c r="L52" s="29">
        <v>1.5</v>
      </c>
      <c r="M52">
        <v>-7.5</v>
      </c>
      <c r="N52">
        <v>-5</v>
      </c>
      <c r="P52">
        <v>1</v>
      </c>
      <c r="S52" s="33">
        <v>1</v>
      </c>
      <c r="T52" s="33" t="s">
        <v>615</v>
      </c>
      <c r="V52" s="1">
        <v>4</v>
      </c>
      <c r="W52" s="1" t="s">
        <v>682</v>
      </c>
      <c r="X52" t="s">
        <v>681</v>
      </c>
      <c r="Y52" s="30"/>
      <c r="Z52" s="30">
        <f t="shared" si="4"/>
        <v>1.1499999999999999</v>
      </c>
      <c r="AA52" s="43">
        <v>1.1499999999999999</v>
      </c>
      <c r="AB52" s="42">
        <f t="shared" si="6"/>
        <v>1.4375</v>
      </c>
      <c r="AC52" s="42">
        <f t="shared" si="7"/>
        <v>1.3512499999999998</v>
      </c>
      <c r="AD52" t="s">
        <v>680</v>
      </c>
      <c r="AG52" s="25" t="s">
        <v>679</v>
      </c>
      <c r="AH52" s="44" t="s">
        <v>678</v>
      </c>
    </row>
    <row r="53" spans="1:45" ht="19.5" thickBot="1" x14ac:dyDescent="0.25">
      <c r="D53" s="29"/>
      <c r="E53" s="29"/>
      <c r="F53" s="29"/>
      <c r="G53" s="29"/>
      <c r="V53" s="1">
        <v>71</v>
      </c>
      <c r="W53" s="1" t="s">
        <v>500</v>
      </c>
      <c r="Y53" s="30"/>
      <c r="Z53" s="30">
        <f t="shared" si="4"/>
        <v>0</v>
      </c>
      <c r="AA53" s="43">
        <v>0</v>
      </c>
      <c r="AB53" s="42">
        <f t="shared" si="6"/>
        <v>0</v>
      </c>
      <c r="AC53" s="42">
        <f t="shared" si="7"/>
        <v>0</v>
      </c>
      <c r="AD53" t="s">
        <v>214</v>
      </c>
      <c r="AE53">
        <v>2.5</v>
      </c>
      <c r="AG53" s="25" t="s">
        <v>674</v>
      </c>
      <c r="AH53" s="44" t="s">
        <v>677</v>
      </c>
    </row>
    <row r="54" spans="1:45" ht="38.25" thickBot="1" x14ac:dyDescent="0.25">
      <c r="A54" s="1" t="s">
        <v>218</v>
      </c>
      <c r="B54" s="1" t="s">
        <v>676</v>
      </c>
      <c r="C54" t="s">
        <v>566</v>
      </c>
      <c r="D54" s="36">
        <v>1.1000000000000001</v>
      </c>
      <c r="E54" s="36">
        <v>0.25</v>
      </c>
      <c r="F54" s="36">
        <v>0.25</v>
      </c>
      <c r="G54" s="36"/>
      <c r="H54" s="30"/>
      <c r="I54" s="36">
        <v>1</v>
      </c>
      <c r="J54" s="36"/>
      <c r="K54" s="30">
        <v>0.1</v>
      </c>
      <c r="L54" s="30">
        <v>1.3</v>
      </c>
      <c r="M54">
        <v>-2.5</v>
      </c>
      <c r="P54">
        <v>2</v>
      </c>
      <c r="S54" s="33">
        <v>1</v>
      </c>
      <c r="T54" s="33" t="s">
        <v>615</v>
      </c>
      <c r="V54" s="1">
        <v>1.5</v>
      </c>
      <c r="W54" s="1" t="s">
        <v>675</v>
      </c>
      <c r="X54" t="s">
        <v>624</v>
      </c>
      <c r="Y54" s="30"/>
      <c r="Z54" s="30">
        <f t="shared" si="4"/>
        <v>0.5</v>
      </c>
      <c r="AA54" s="43">
        <v>1</v>
      </c>
      <c r="AB54" s="42">
        <f t="shared" si="6"/>
        <v>0.55000000000000004</v>
      </c>
      <c r="AC54" s="42">
        <f t="shared" si="7"/>
        <v>0.606375</v>
      </c>
      <c r="AD54" s="1" t="s">
        <v>211</v>
      </c>
      <c r="AE54" s="1">
        <v>2</v>
      </c>
      <c r="AF54" s="36"/>
      <c r="AG54" s="25"/>
      <c r="AH54" s="25"/>
      <c r="AI54" s="36"/>
      <c r="AJ54" s="36"/>
      <c r="AK54" s="36"/>
      <c r="AL54" s="36"/>
      <c r="AM54" s="1"/>
      <c r="AN54" s="1"/>
      <c r="AO54" s="1"/>
      <c r="AP54" s="1"/>
      <c r="AQ54" s="1"/>
      <c r="AR54" s="1"/>
      <c r="AS54" s="1"/>
    </row>
    <row r="55" spans="1:45" ht="38.25" outlineLevel="1" thickBot="1" x14ac:dyDescent="0.25">
      <c r="A55" s="1" t="s">
        <v>217</v>
      </c>
      <c r="B55" s="1" t="s">
        <v>674</v>
      </c>
      <c r="C55" t="s">
        <v>566</v>
      </c>
      <c r="D55" s="36">
        <v>1.2</v>
      </c>
      <c r="E55" s="36">
        <v>0.25</v>
      </c>
      <c r="F55" s="36">
        <v>0.25</v>
      </c>
      <c r="G55" s="36"/>
      <c r="H55" s="30"/>
      <c r="I55" s="36">
        <v>1.1499999999999999</v>
      </c>
      <c r="J55" s="36"/>
      <c r="K55" s="30">
        <v>0.1</v>
      </c>
      <c r="L55" s="30">
        <v>1.3</v>
      </c>
      <c r="M55">
        <v>-5</v>
      </c>
      <c r="N55">
        <v>-2.5</v>
      </c>
      <c r="P55">
        <v>2</v>
      </c>
      <c r="S55" s="33">
        <v>1</v>
      </c>
      <c r="T55" s="33" t="s">
        <v>615</v>
      </c>
      <c r="V55" s="1">
        <v>2</v>
      </c>
      <c r="W55" s="1" t="s">
        <v>673</v>
      </c>
      <c r="X55" t="s">
        <v>562</v>
      </c>
      <c r="Y55" s="30"/>
      <c r="Z55" s="30">
        <f t="shared" si="4"/>
        <v>0.5</v>
      </c>
      <c r="AA55" s="43">
        <v>1.1499999999999999</v>
      </c>
      <c r="AB55" s="42">
        <f t="shared" si="6"/>
        <v>0.6</v>
      </c>
      <c r="AC55" s="42">
        <f t="shared" si="7"/>
        <v>0.606375</v>
      </c>
      <c r="AD55" s="1" t="s">
        <v>608</v>
      </c>
      <c r="AE55" s="1">
        <v>5</v>
      </c>
      <c r="AF55" s="36"/>
      <c r="AG55" s="25"/>
      <c r="AH55" s="25"/>
      <c r="AI55" s="36"/>
      <c r="AJ55" s="36"/>
      <c r="AK55" s="36"/>
      <c r="AL55" s="36"/>
      <c r="AM55" s="1"/>
      <c r="AN55" s="1"/>
      <c r="AO55" s="1"/>
      <c r="AP55" s="1"/>
      <c r="AQ55" s="1"/>
      <c r="AR55" s="1"/>
      <c r="AS55" s="1"/>
    </row>
    <row r="56" spans="1:45" ht="38.25" outlineLevel="1" thickBot="1" x14ac:dyDescent="0.25">
      <c r="A56" s="1" t="s">
        <v>577</v>
      </c>
      <c r="B56" s="1" t="s">
        <v>576</v>
      </c>
      <c r="C56" t="s">
        <v>566</v>
      </c>
      <c r="D56" s="36">
        <v>1.2</v>
      </c>
      <c r="E56" s="36">
        <v>0.25</v>
      </c>
      <c r="F56" s="36">
        <v>0.25</v>
      </c>
      <c r="G56" s="36"/>
      <c r="H56" s="30"/>
      <c r="I56" s="36">
        <v>1</v>
      </c>
      <c r="J56" s="36"/>
      <c r="K56" s="30">
        <v>0.1</v>
      </c>
      <c r="L56" s="30">
        <v>1.3</v>
      </c>
      <c r="M56">
        <v>-7.5</v>
      </c>
      <c r="N56">
        <v>-7.5</v>
      </c>
      <c r="P56">
        <v>2</v>
      </c>
      <c r="S56" s="33">
        <v>1</v>
      </c>
      <c r="T56" s="33" t="s">
        <v>615</v>
      </c>
      <c r="V56" s="1">
        <v>3</v>
      </c>
      <c r="W56" s="1" t="s">
        <v>574</v>
      </c>
      <c r="X56" t="s">
        <v>573</v>
      </c>
      <c r="Y56" s="30"/>
      <c r="Z56" s="30">
        <f t="shared" si="4"/>
        <v>0.5</v>
      </c>
      <c r="AA56" s="43">
        <v>1</v>
      </c>
      <c r="AB56" s="42">
        <f t="shared" si="6"/>
        <v>0.6</v>
      </c>
      <c r="AC56" s="42">
        <f t="shared" si="7"/>
        <v>0.51974999999999993</v>
      </c>
      <c r="AD56" s="1" t="s">
        <v>605</v>
      </c>
      <c r="AE56" s="1">
        <v>2.5</v>
      </c>
      <c r="AF56" s="1"/>
      <c r="AG56" s="25"/>
      <c r="AH56" s="25"/>
    </row>
    <row r="57" spans="1:45" ht="19.5" outlineLevel="1" thickBot="1" x14ac:dyDescent="0.25">
      <c r="A57" s="1"/>
      <c r="B57" s="1"/>
      <c r="D57" s="36"/>
      <c r="E57" s="36"/>
      <c r="F57" s="36"/>
      <c r="G57" s="36"/>
      <c r="H57" s="30"/>
      <c r="I57" s="36"/>
      <c r="J57" s="36"/>
      <c r="K57" s="30"/>
      <c r="L57" s="30"/>
      <c r="V57" s="1"/>
      <c r="W57" s="1"/>
      <c r="Y57" s="30"/>
      <c r="Z57" s="30"/>
      <c r="AA57" s="43"/>
      <c r="AB57" s="42">
        <f t="shared" si="6"/>
        <v>0</v>
      </c>
      <c r="AC57" s="42">
        <f t="shared" si="7"/>
        <v>0</v>
      </c>
      <c r="AD57" s="1"/>
      <c r="AE57" s="1"/>
      <c r="AF57" s="1"/>
      <c r="AG57" s="25"/>
      <c r="AH57" s="25"/>
    </row>
    <row r="58" spans="1:45" ht="19.5" thickBot="1" x14ac:dyDescent="0.25">
      <c r="A58" s="1"/>
      <c r="B58" s="1"/>
      <c r="C58" s="1"/>
      <c r="D58" s="36"/>
      <c r="E58" s="36"/>
      <c r="F58" s="36"/>
      <c r="G58" s="36"/>
      <c r="H58" s="30"/>
      <c r="I58" s="30"/>
      <c r="J58" s="36"/>
      <c r="K58" s="30"/>
      <c r="L58" s="30"/>
      <c r="V58" s="1">
        <v>71</v>
      </c>
      <c r="W58" s="1" t="s">
        <v>500</v>
      </c>
      <c r="Y58" s="30"/>
      <c r="Z58" s="30">
        <f t="shared" ref="Z58:Z72" si="8">SUM(E58:G58)</f>
        <v>0</v>
      </c>
      <c r="AA58" s="43">
        <v>0</v>
      </c>
      <c r="AB58" s="42">
        <f t="shared" si="6"/>
        <v>0</v>
      </c>
      <c r="AC58" s="42">
        <f t="shared" si="7"/>
        <v>0</v>
      </c>
      <c r="AD58" s="1" t="s">
        <v>602</v>
      </c>
      <c r="AE58" s="1">
        <v>4</v>
      </c>
      <c r="AF58" s="1"/>
      <c r="AG58" s="25"/>
      <c r="AH58" s="25"/>
    </row>
    <row r="59" spans="1:45" ht="19.5" thickBot="1" x14ac:dyDescent="0.25">
      <c r="A59" t="s">
        <v>222</v>
      </c>
      <c r="B59" t="s">
        <v>672</v>
      </c>
      <c r="C59" t="s">
        <v>652</v>
      </c>
      <c r="D59" s="29">
        <v>1</v>
      </c>
      <c r="E59" s="29">
        <f t="shared" ref="E59:E64" si="9">AA59-SUM(F59:G59)</f>
        <v>0.4</v>
      </c>
      <c r="F59" s="29">
        <v>0</v>
      </c>
      <c r="G59" s="29">
        <v>0.4</v>
      </c>
      <c r="H59" s="29">
        <v>1.1499999999999999</v>
      </c>
      <c r="K59" s="29">
        <v>0.05</v>
      </c>
      <c r="L59" s="29">
        <v>1.25</v>
      </c>
      <c r="S59" s="33">
        <v>1</v>
      </c>
      <c r="T59" s="33" t="s">
        <v>615</v>
      </c>
      <c r="U59" t="s">
        <v>671</v>
      </c>
      <c r="V59" s="1">
        <v>1.5</v>
      </c>
      <c r="W59" s="1" t="s">
        <v>670</v>
      </c>
      <c r="X59" t="s">
        <v>669</v>
      </c>
      <c r="Y59" s="30"/>
      <c r="Z59" s="30">
        <f t="shared" si="8"/>
        <v>0.8</v>
      </c>
      <c r="AA59" s="43">
        <v>0.8</v>
      </c>
      <c r="AB59" s="42">
        <f t="shared" si="6"/>
        <v>0.8</v>
      </c>
      <c r="AC59" s="42">
        <f t="shared" ref="AC59:AC64" si="10">MAX(Z59,H59)*(D59+SUM(M59:N59)/50)*(1+K59*(L59+0.25))</f>
        <v>1.2362499999999998</v>
      </c>
      <c r="AD59" t="s">
        <v>213</v>
      </c>
      <c r="AE59">
        <v>3</v>
      </c>
      <c r="AG59" s="25" t="s">
        <v>576</v>
      </c>
      <c r="AH59" s="44" t="s">
        <v>574</v>
      </c>
    </row>
    <row r="60" spans="1:45" ht="38.25" outlineLevel="1" thickBot="1" x14ac:dyDescent="0.25">
      <c r="A60" s="1" t="s">
        <v>221</v>
      </c>
      <c r="B60" s="1" t="s">
        <v>668</v>
      </c>
      <c r="C60" t="s">
        <v>652</v>
      </c>
      <c r="D60" s="36">
        <v>1</v>
      </c>
      <c r="E60" s="29">
        <f t="shared" si="9"/>
        <v>0</v>
      </c>
      <c r="F60" s="36">
        <v>0</v>
      </c>
      <c r="G60" s="36">
        <v>0.8</v>
      </c>
      <c r="H60" s="30">
        <v>1.25</v>
      </c>
      <c r="I60" s="30"/>
      <c r="J60" s="36"/>
      <c r="K60" s="30">
        <v>0.05</v>
      </c>
      <c r="L60" s="30">
        <v>1.25</v>
      </c>
      <c r="S60" s="33">
        <v>1</v>
      </c>
      <c r="T60" s="33" t="s">
        <v>615</v>
      </c>
      <c r="U60" t="s">
        <v>667</v>
      </c>
      <c r="V60" s="1">
        <v>1.5</v>
      </c>
      <c r="W60" s="1" t="s">
        <v>666</v>
      </c>
      <c r="X60" t="s">
        <v>665</v>
      </c>
      <c r="Y60" s="30"/>
      <c r="Z60" s="30">
        <f t="shared" si="8"/>
        <v>0.8</v>
      </c>
      <c r="AA60" s="43">
        <v>0.8</v>
      </c>
      <c r="AB60" s="42">
        <f t="shared" si="6"/>
        <v>0.8</v>
      </c>
      <c r="AC60" s="42">
        <f t="shared" si="10"/>
        <v>1.34375</v>
      </c>
      <c r="AD60" s="1" t="s">
        <v>620</v>
      </c>
      <c r="AE60" s="1">
        <v>4</v>
      </c>
      <c r="AF60" s="36"/>
      <c r="AG60" s="25" t="s">
        <v>645</v>
      </c>
      <c r="AH60" s="44" t="s">
        <v>643</v>
      </c>
      <c r="AI60" s="36"/>
      <c r="AJ60" s="36"/>
      <c r="AK60" s="36"/>
      <c r="AL60" s="36"/>
      <c r="AM60" s="1"/>
      <c r="AN60" s="1"/>
      <c r="AO60" s="1"/>
      <c r="AP60" s="1"/>
      <c r="AQ60" s="1"/>
      <c r="AR60" s="1"/>
      <c r="AS60" s="1"/>
    </row>
    <row r="61" spans="1:45" ht="38.25" outlineLevel="1" thickBot="1" x14ac:dyDescent="0.25">
      <c r="A61" s="1" t="s">
        <v>220</v>
      </c>
      <c r="B61" s="1" t="s">
        <v>664</v>
      </c>
      <c r="C61" t="s">
        <v>652</v>
      </c>
      <c r="D61" s="36">
        <v>1.1000000000000001</v>
      </c>
      <c r="E61" s="29">
        <f t="shared" si="9"/>
        <v>0.45</v>
      </c>
      <c r="F61" s="36">
        <v>0</v>
      </c>
      <c r="G61" s="36">
        <v>0.45</v>
      </c>
      <c r="H61" s="30">
        <v>1.25</v>
      </c>
      <c r="I61" s="30"/>
      <c r="J61" s="36"/>
      <c r="K61" s="30">
        <v>0.05</v>
      </c>
      <c r="L61" s="30">
        <v>1.25</v>
      </c>
      <c r="M61">
        <v>-5</v>
      </c>
      <c r="S61" s="33">
        <v>1</v>
      </c>
      <c r="T61" s="33" t="s">
        <v>615</v>
      </c>
      <c r="U61" t="s">
        <v>663</v>
      </c>
      <c r="V61" s="1">
        <v>2</v>
      </c>
      <c r="W61" s="1" t="s">
        <v>662</v>
      </c>
      <c r="X61" t="s">
        <v>661</v>
      </c>
      <c r="Y61" s="30"/>
      <c r="Z61" s="30">
        <f t="shared" si="8"/>
        <v>0.9</v>
      </c>
      <c r="AA61" s="43">
        <v>0.9</v>
      </c>
      <c r="AB61" s="42">
        <f t="shared" si="6"/>
        <v>0.9900000000000001</v>
      </c>
      <c r="AC61" s="42">
        <f t="shared" si="10"/>
        <v>1.34375</v>
      </c>
      <c r="AD61" s="1" t="s">
        <v>660</v>
      </c>
      <c r="AE61" s="1"/>
      <c r="AF61" s="36"/>
      <c r="AG61" s="25" t="s">
        <v>641</v>
      </c>
      <c r="AH61" s="44" t="s">
        <v>639</v>
      </c>
      <c r="AI61" s="36"/>
      <c r="AJ61" s="36"/>
      <c r="AK61" s="36"/>
      <c r="AL61" s="36"/>
      <c r="AM61" s="1"/>
      <c r="AN61" s="1"/>
      <c r="AO61" s="1"/>
      <c r="AP61" s="1"/>
      <c r="AQ61" s="1"/>
      <c r="AR61" s="1"/>
      <c r="AS61" s="1"/>
    </row>
    <row r="62" spans="1:45" ht="38.25" outlineLevel="1" thickBot="1" x14ac:dyDescent="0.25">
      <c r="A62" s="1" t="s">
        <v>219</v>
      </c>
      <c r="B62" s="1" t="s">
        <v>659</v>
      </c>
      <c r="C62" t="s">
        <v>652</v>
      </c>
      <c r="D62" s="36">
        <v>1.1499999999999999</v>
      </c>
      <c r="E62" s="29">
        <f t="shared" si="9"/>
        <v>0</v>
      </c>
      <c r="F62" s="36">
        <v>0</v>
      </c>
      <c r="G62" s="36">
        <v>0.85</v>
      </c>
      <c r="H62" s="30">
        <v>1.35</v>
      </c>
      <c r="I62" s="30"/>
      <c r="J62" s="36"/>
      <c r="K62" s="30">
        <v>0.05</v>
      </c>
      <c r="L62" s="30">
        <v>1.25</v>
      </c>
      <c r="M62">
        <v>-5</v>
      </c>
      <c r="S62" s="33">
        <v>1</v>
      </c>
      <c r="T62" s="33" t="s">
        <v>615</v>
      </c>
      <c r="U62" t="s">
        <v>651</v>
      </c>
      <c r="V62" s="1">
        <v>2</v>
      </c>
      <c r="W62" s="1" t="s">
        <v>658</v>
      </c>
      <c r="X62" t="s">
        <v>649</v>
      </c>
      <c r="Y62" s="30"/>
      <c r="Z62" s="30">
        <f t="shared" si="8"/>
        <v>0.85</v>
      </c>
      <c r="AA62" s="43">
        <v>0.85</v>
      </c>
      <c r="AB62" s="42">
        <f t="shared" si="6"/>
        <v>0.97749999999999992</v>
      </c>
      <c r="AC62" s="42">
        <f t="shared" si="10"/>
        <v>1.5238124999999996</v>
      </c>
      <c r="AD62" s="1" t="s">
        <v>646</v>
      </c>
      <c r="AE62" s="1">
        <v>2</v>
      </c>
      <c r="AF62" s="36"/>
      <c r="AG62" s="25" t="s">
        <v>638</v>
      </c>
      <c r="AH62" s="44" t="s">
        <v>635</v>
      </c>
      <c r="AI62" s="36"/>
      <c r="AJ62" s="36"/>
      <c r="AK62" s="36"/>
      <c r="AL62" s="36"/>
      <c r="AM62" s="1"/>
      <c r="AN62" s="1"/>
      <c r="AO62" s="1"/>
      <c r="AP62" s="1"/>
      <c r="AQ62" s="1"/>
      <c r="AR62" s="1"/>
      <c r="AS62" s="1"/>
    </row>
    <row r="63" spans="1:45" ht="38.25" outlineLevel="1" thickBot="1" x14ac:dyDescent="0.25">
      <c r="A63" s="1" t="s">
        <v>657</v>
      </c>
      <c r="B63" s="1" t="s">
        <v>656</v>
      </c>
      <c r="C63" t="s">
        <v>652</v>
      </c>
      <c r="D63" s="36">
        <v>1.1000000000000001</v>
      </c>
      <c r="E63" s="29">
        <f t="shared" si="9"/>
        <v>0</v>
      </c>
      <c r="F63" s="36">
        <v>0.6</v>
      </c>
      <c r="G63" s="36">
        <v>0.4</v>
      </c>
      <c r="H63" s="30">
        <v>1.35</v>
      </c>
      <c r="I63" s="30"/>
      <c r="J63" s="36"/>
      <c r="K63" s="30">
        <v>0.05</v>
      </c>
      <c r="L63" s="30">
        <v>1.25</v>
      </c>
      <c r="M63">
        <v>-5</v>
      </c>
      <c r="N63">
        <v>-5</v>
      </c>
      <c r="S63" s="33">
        <v>1</v>
      </c>
      <c r="T63" s="33" t="s">
        <v>615</v>
      </c>
      <c r="U63" t="s">
        <v>651</v>
      </c>
      <c r="V63" s="1">
        <v>3</v>
      </c>
      <c r="W63" s="1" t="s">
        <v>655</v>
      </c>
      <c r="X63" t="s">
        <v>649</v>
      </c>
      <c r="Y63" s="30"/>
      <c r="Z63" s="30">
        <f t="shared" si="8"/>
        <v>1</v>
      </c>
      <c r="AA63" s="43">
        <v>1</v>
      </c>
      <c r="AB63" s="42">
        <f t="shared" si="6"/>
        <v>1.1000000000000001</v>
      </c>
      <c r="AC63" s="42">
        <f t="shared" si="10"/>
        <v>1.3061250000000002</v>
      </c>
      <c r="AD63" s="1" t="s">
        <v>216</v>
      </c>
      <c r="AE63" s="1">
        <v>3</v>
      </c>
      <c r="AF63" s="36"/>
      <c r="AG63" s="25" t="s">
        <v>633</v>
      </c>
      <c r="AH63" s="44" t="s">
        <v>630</v>
      </c>
      <c r="AI63" s="36"/>
      <c r="AJ63" s="36"/>
      <c r="AK63" s="36"/>
      <c r="AL63" s="36"/>
      <c r="AM63" s="1"/>
      <c r="AN63" s="1"/>
      <c r="AO63" s="1"/>
      <c r="AP63" s="1"/>
      <c r="AQ63" s="1"/>
      <c r="AR63" s="1"/>
      <c r="AS63" s="1"/>
    </row>
    <row r="64" spans="1:45" ht="38.25" outlineLevel="1" thickBot="1" x14ac:dyDescent="0.25">
      <c r="A64" s="1" t="s">
        <v>654</v>
      </c>
      <c r="B64" s="1" t="s">
        <v>653</v>
      </c>
      <c r="C64" t="s">
        <v>652</v>
      </c>
      <c r="D64" s="36">
        <v>1.1499999999999999</v>
      </c>
      <c r="E64" s="29">
        <f t="shared" si="9"/>
        <v>0</v>
      </c>
      <c r="F64" s="36">
        <v>0</v>
      </c>
      <c r="G64" s="36">
        <v>0.85</v>
      </c>
      <c r="H64" s="30">
        <v>1.4</v>
      </c>
      <c r="I64" s="30"/>
      <c r="J64" s="36"/>
      <c r="K64" s="30">
        <v>0.05</v>
      </c>
      <c r="L64" s="30">
        <v>1.25</v>
      </c>
      <c r="M64">
        <v>-7.5</v>
      </c>
      <c r="N64">
        <v>-5</v>
      </c>
      <c r="S64" s="33">
        <v>1</v>
      </c>
      <c r="T64" s="33" t="s">
        <v>615</v>
      </c>
      <c r="U64" t="s">
        <v>651</v>
      </c>
      <c r="V64" s="1">
        <v>3</v>
      </c>
      <c r="W64" s="1" t="s">
        <v>650</v>
      </c>
      <c r="X64" t="s">
        <v>649</v>
      </c>
      <c r="Y64" s="30"/>
      <c r="Z64" s="30">
        <f t="shared" si="8"/>
        <v>0.85</v>
      </c>
      <c r="AA64" s="43">
        <v>0.85</v>
      </c>
      <c r="AB64" s="42">
        <f t="shared" si="6"/>
        <v>0.97749999999999992</v>
      </c>
      <c r="AC64" s="42">
        <f t="shared" si="10"/>
        <v>1.3544999999999998</v>
      </c>
      <c r="AD64" s="1" t="s">
        <v>215</v>
      </c>
      <c r="AE64" s="1">
        <v>3.5</v>
      </c>
      <c r="AF64" s="36"/>
      <c r="AG64" s="25"/>
      <c r="AH64" s="25"/>
      <c r="AI64" s="36"/>
      <c r="AJ64" s="36"/>
      <c r="AK64" s="36"/>
      <c r="AL64" s="36"/>
      <c r="AM64" s="1"/>
      <c r="AN64" s="1"/>
      <c r="AO64" s="1"/>
      <c r="AP64" s="1"/>
      <c r="AQ64" s="1"/>
      <c r="AR64" s="1"/>
      <c r="AS64" s="1"/>
    </row>
    <row r="65" spans="1:45" ht="19.5" outlineLevel="1" thickBot="1" x14ac:dyDescent="0.25">
      <c r="A65" s="1"/>
      <c r="B65" s="1"/>
      <c r="C65" s="1"/>
      <c r="D65" s="36"/>
      <c r="E65" s="36"/>
      <c r="F65" s="36"/>
      <c r="G65" s="36"/>
      <c r="H65" s="30"/>
      <c r="I65" s="30"/>
      <c r="J65" s="36"/>
      <c r="K65" s="30"/>
      <c r="L65" s="30"/>
      <c r="V65" s="1">
        <v>71</v>
      </c>
      <c r="W65" s="1" t="s">
        <v>500</v>
      </c>
      <c r="X65" t="s">
        <v>500</v>
      </c>
      <c r="Y65" s="30"/>
      <c r="Z65" s="30">
        <f t="shared" ref="Z65:Z67" si="11">SUM(E65:G65)</f>
        <v>0</v>
      </c>
      <c r="AA65" s="43">
        <v>0.85</v>
      </c>
      <c r="AB65" s="42">
        <f t="shared" ref="AB65:AB67" si="12">Z65*D65</f>
        <v>0</v>
      </c>
      <c r="AC65" s="42">
        <f t="shared" ref="AC65:AC67" si="13">MAX(Z65,H65)*(D65+SUM(M65:N65)/50)*(1+K65*(L65+0.25))</f>
        <v>0</v>
      </c>
      <c r="AD65" s="1" t="s">
        <v>648</v>
      </c>
      <c r="AE65" s="1">
        <v>2</v>
      </c>
      <c r="AF65" s="36"/>
      <c r="AG65" s="25"/>
      <c r="AH65" s="25"/>
      <c r="AI65" s="36"/>
      <c r="AJ65" s="36"/>
      <c r="AK65" s="36"/>
      <c r="AL65" s="36"/>
      <c r="AM65" s="1"/>
      <c r="AN65" s="1"/>
      <c r="AO65" s="1"/>
      <c r="AP65" s="1"/>
      <c r="AQ65" s="1"/>
      <c r="AR65" s="1"/>
      <c r="AS65" s="1"/>
    </row>
    <row r="66" spans="1:45" ht="19.5" thickBot="1" x14ac:dyDescent="0.25">
      <c r="A66" s="1" t="s">
        <v>1257</v>
      </c>
      <c r="B66" s="1" t="s">
        <v>1258</v>
      </c>
      <c r="C66" s="1" t="s">
        <v>510</v>
      </c>
      <c r="D66" s="36">
        <v>1.05</v>
      </c>
      <c r="E66" s="36"/>
      <c r="F66" s="36"/>
      <c r="G66" s="36">
        <v>0.85</v>
      </c>
      <c r="H66" s="30">
        <v>0.85</v>
      </c>
      <c r="I66" s="30"/>
      <c r="J66" s="36"/>
      <c r="K66" s="30">
        <v>0.1</v>
      </c>
      <c r="L66" s="30">
        <v>1.35</v>
      </c>
      <c r="M66" s="1"/>
      <c r="N66" s="1"/>
      <c r="O66" s="36">
        <v>0.05</v>
      </c>
      <c r="S66" s="33">
        <v>1</v>
      </c>
      <c r="T66" s="33" t="s">
        <v>615</v>
      </c>
      <c r="U66" t="s">
        <v>510</v>
      </c>
      <c r="V66" s="1">
        <v>1</v>
      </c>
      <c r="W66" s="1" t="s">
        <v>500</v>
      </c>
      <c r="X66" t="s">
        <v>509</v>
      </c>
      <c r="Y66" s="30"/>
      <c r="Z66" s="30">
        <f t="shared" si="11"/>
        <v>0.85</v>
      </c>
      <c r="AA66" s="43">
        <v>0.85</v>
      </c>
      <c r="AB66" s="42">
        <f t="shared" si="12"/>
        <v>0.89249999999999996</v>
      </c>
      <c r="AC66" s="42">
        <f t="shared" si="13"/>
        <v>1.0353000000000001</v>
      </c>
      <c r="AD66" s="37"/>
      <c r="AE66" s="29"/>
      <c r="AF66" s="29"/>
      <c r="AG66" s="25"/>
      <c r="AH66" s="25"/>
    </row>
    <row r="67" spans="1:45" ht="19.5" thickBot="1" x14ac:dyDescent="0.25">
      <c r="A67" s="1" t="s">
        <v>1198</v>
      </c>
      <c r="B67" s="1" t="s">
        <v>1197</v>
      </c>
      <c r="C67" s="1" t="s">
        <v>510</v>
      </c>
      <c r="D67" s="36">
        <v>1</v>
      </c>
      <c r="E67" s="36">
        <v>0.35</v>
      </c>
      <c r="F67" s="36">
        <v>0.5</v>
      </c>
      <c r="G67" s="36">
        <v>0.05</v>
      </c>
      <c r="H67" s="30">
        <v>0.65</v>
      </c>
      <c r="I67" s="30"/>
      <c r="J67" s="36"/>
      <c r="K67" s="30">
        <v>0.1</v>
      </c>
      <c r="L67" s="30">
        <v>1.5</v>
      </c>
      <c r="M67" s="1"/>
      <c r="N67" s="1"/>
      <c r="O67" s="36">
        <v>0</v>
      </c>
      <c r="S67" s="33">
        <v>1</v>
      </c>
      <c r="T67" s="33" t="s">
        <v>615</v>
      </c>
      <c r="U67" t="s">
        <v>510</v>
      </c>
      <c r="V67" s="1">
        <v>1</v>
      </c>
      <c r="W67" s="1" t="s">
        <v>500</v>
      </c>
      <c r="X67" t="s">
        <v>509</v>
      </c>
      <c r="Y67" s="30"/>
      <c r="Z67" s="30">
        <f t="shared" si="11"/>
        <v>0.9</v>
      </c>
      <c r="AA67" s="43">
        <v>0.85</v>
      </c>
      <c r="AB67" s="42">
        <f t="shared" si="12"/>
        <v>0.9</v>
      </c>
      <c r="AC67" s="42">
        <f t="shared" si="13"/>
        <v>1.0575000000000001</v>
      </c>
      <c r="AD67" s="37"/>
      <c r="AE67" s="29"/>
      <c r="AF67" s="29"/>
      <c r="AG67" s="25"/>
      <c r="AH67" s="25"/>
    </row>
    <row r="68" spans="1:45" ht="19.5" thickBot="1" x14ac:dyDescent="0.25">
      <c r="A68" s="1"/>
      <c r="B68" s="1"/>
      <c r="C68" s="1"/>
      <c r="D68" s="36"/>
      <c r="E68" s="36"/>
      <c r="F68" s="36"/>
      <c r="G68" s="36"/>
      <c r="H68" s="30"/>
      <c r="I68" s="30"/>
      <c r="J68" s="36"/>
      <c r="K68" s="30"/>
      <c r="L68" s="30"/>
      <c r="M68" s="1"/>
      <c r="N68" s="1"/>
      <c r="O68" s="1"/>
      <c r="V68" s="1">
        <v>71</v>
      </c>
      <c r="W68" s="1" t="s">
        <v>500</v>
      </c>
      <c r="X68" t="s">
        <v>500</v>
      </c>
      <c r="Y68" s="30"/>
      <c r="Z68" s="30">
        <f t="shared" si="8"/>
        <v>0</v>
      </c>
      <c r="AA68" s="43">
        <v>0</v>
      </c>
      <c r="AB68" s="42">
        <f t="shared" si="6"/>
        <v>0</v>
      </c>
      <c r="AC68" s="42">
        <f t="shared" ref="AC68:AC75" si="14">Z68*(D68+SUM(M68:N68)/50)*(1+K68*(L68+0.25))</f>
        <v>0</v>
      </c>
      <c r="AD68" s="1" t="s">
        <v>647</v>
      </c>
      <c r="AE68" s="1">
        <v>8</v>
      </c>
      <c r="AF68" s="1"/>
      <c r="AG68" s="25"/>
      <c r="AH68" s="25"/>
    </row>
    <row r="69" spans="1:45" ht="38.25" thickBot="1" x14ac:dyDescent="0.25">
      <c r="A69" s="1" t="s">
        <v>646</v>
      </c>
      <c r="B69" s="1" t="s">
        <v>645</v>
      </c>
      <c r="C69" s="1" t="s">
        <v>637</v>
      </c>
      <c r="D69" s="36">
        <v>1</v>
      </c>
      <c r="E69" s="36">
        <v>0</v>
      </c>
      <c r="F69" s="36">
        <v>0.15</v>
      </c>
      <c r="G69" s="36">
        <v>0.5</v>
      </c>
      <c r="H69" s="30">
        <v>0.75</v>
      </c>
      <c r="I69" s="30"/>
      <c r="J69" s="36"/>
      <c r="K69" s="30">
        <v>0.05</v>
      </c>
      <c r="L69" s="30">
        <v>1.5</v>
      </c>
      <c r="M69" s="1"/>
      <c r="N69" s="1"/>
      <c r="O69" s="1"/>
      <c r="T69" s="33" t="s">
        <v>615</v>
      </c>
      <c r="U69" t="s">
        <v>644</v>
      </c>
      <c r="V69" s="1">
        <v>1.5</v>
      </c>
      <c r="W69" s="1" t="s">
        <v>643</v>
      </c>
      <c r="X69" t="s">
        <v>642</v>
      </c>
      <c r="Y69" s="30"/>
      <c r="Z69" s="30">
        <f t="shared" si="8"/>
        <v>0.65</v>
      </c>
      <c r="AA69" s="43">
        <v>0.65</v>
      </c>
      <c r="AB69" s="42">
        <f t="shared" si="6"/>
        <v>0.65</v>
      </c>
      <c r="AC69" s="42">
        <f t="shared" si="14"/>
        <v>0.70687499999999992</v>
      </c>
      <c r="AD69" s="1" t="s">
        <v>597</v>
      </c>
      <c r="AE69" s="1">
        <v>6</v>
      </c>
      <c r="AF69" s="1"/>
      <c r="AG69" s="25"/>
      <c r="AH69" s="25"/>
    </row>
    <row r="70" spans="1:45" ht="19.5" thickBot="1" x14ac:dyDescent="0.25">
      <c r="A70" s="1" t="s">
        <v>216</v>
      </c>
      <c r="B70" s="1" t="s">
        <v>641</v>
      </c>
      <c r="C70" s="1" t="s">
        <v>637</v>
      </c>
      <c r="D70" s="36">
        <v>1.1000000000000001</v>
      </c>
      <c r="E70" s="36">
        <v>0</v>
      </c>
      <c r="F70" s="36">
        <v>0.25</v>
      </c>
      <c r="G70" s="36">
        <v>0.7</v>
      </c>
      <c r="H70" s="30">
        <v>0.9</v>
      </c>
      <c r="I70" s="30"/>
      <c r="J70" s="36"/>
      <c r="K70" s="30">
        <v>0.05</v>
      </c>
      <c r="L70" s="30">
        <v>1.5</v>
      </c>
      <c r="M70" s="1"/>
      <c r="N70" s="1"/>
      <c r="O70" s="1"/>
      <c r="T70" s="33" t="s">
        <v>615</v>
      </c>
      <c r="U70" t="s">
        <v>640</v>
      </c>
      <c r="V70" s="1">
        <v>2</v>
      </c>
      <c r="W70" s="1" t="s">
        <v>639</v>
      </c>
      <c r="X70" t="s">
        <v>624</v>
      </c>
      <c r="Y70" s="30"/>
      <c r="Z70" s="30">
        <f t="shared" si="8"/>
        <v>0.95</v>
      </c>
      <c r="AA70" s="43">
        <v>0.95</v>
      </c>
      <c r="AB70" s="42">
        <f t="shared" si="6"/>
        <v>1.0449999999999999</v>
      </c>
      <c r="AC70" s="42">
        <f t="shared" si="14"/>
        <v>1.1364374999999998</v>
      </c>
      <c r="AD70" s="1" t="s">
        <v>593</v>
      </c>
      <c r="AE70" s="1">
        <v>4</v>
      </c>
      <c r="AF70" s="1"/>
      <c r="AG70" s="25"/>
      <c r="AH70" s="25"/>
    </row>
    <row r="71" spans="1:45" ht="38.25" thickBot="1" x14ac:dyDescent="0.25">
      <c r="A71" s="1" t="s">
        <v>215</v>
      </c>
      <c r="B71" s="1" t="s">
        <v>638</v>
      </c>
      <c r="C71" s="1" t="s">
        <v>637</v>
      </c>
      <c r="D71" s="36">
        <v>1.1499999999999999</v>
      </c>
      <c r="E71" s="36">
        <v>0</v>
      </c>
      <c r="F71" s="36">
        <v>0.3</v>
      </c>
      <c r="G71" s="36">
        <v>0.8</v>
      </c>
      <c r="H71" s="30">
        <v>0.95</v>
      </c>
      <c r="I71" s="30"/>
      <c r="J71" s="36"/>
      <c r="K71" s="30">
        <v>0.05</v>
      </c>
      <c r="L71" s="30">
        <v>1.5</v>
      </c>
      <c r="M71" s="1">
        <v>-4</v>
      </c>
      <c r="N71" s="1">
        <v>-4</v>
      </c>
      <c r="O71" s="1"/>
      <c r="T71" s="33" t="s">
        <v>615</v>
      </c>
      <c r="U71" t="s">
        <v>636</v>
      </c>
      <c r="V71" s="1">
        <v>3</v>
      </c>
      <c r="W71" s="1" t="s">
        <v>635</v>
      </c>
      <c r="X71" t="s">
        <v>562</v>
      </c>
      <c r="Y71" s="30"/>
      <c r="Z71" s="30">
        <f t="shared" si="8"/>
        <v>1.1000000000000001</v>
      </c>
      <c r="AA71" s="43">
        <v>1.1000000000000001</v>
      </c>
      <c r="AB71" s="42">
        <f t="shared" si="6"/>
        <v>1.2649999999999999</v>
      </c>
      <c r="AC71" s="42">
        <f t="shared" si="14"/>
        <v>1.1842874999999999</v>
      </c>
      <c r="AD71" s="1" t="s">
        <v>634</v>
      </c>
      <c r="AE71" s="1">
        <v>10</v>
      </c>
      <c r="AF71" s="1"/>
      <c r="AG71" s="25"/>
      <c r="AH71" s="25"/>
    </row>
    <row r="72" spans="1:45" ht="19.5" thickBot="1" x14ac:dyDescent="0.25">
      <c r="A72" s="1" t="s">
        <v>632</v>
      </c>
      <c r="B72" s="1" t="s">
        <v>633</v>
      </c>
      <c r="C72" s="1" t="s">
        <v>632</v>
      </c>
      <c r="D72" s="36">
        <v>1.2</v>
      </c>
      <c r="E72" s="36">
        <v>0</v>
      </c>
      <c r="F72" s="36">
        <v>0</v>
      </c>
      <c r="G72" s="36">
        <v>0.65</v>
      </c>
      <c r="H72" s="30">
        <v>0.75</v>
      </c>
      <c r="I72" s="30"/>
      <c r="J72" s="36"/>
      <c r="K72" s="30">
        <v>0.05</v>
      </c>
      <c r="L72" s="30">
        <v>1.25</v>
      </c>
      <c r="M72" s="1"/>
      <c r="N72" s="1"/>
      <c r="O72" s="1"/>
      <c r="T72" s="33" t="s">
        <v>615</v>
      </c>
      <c r="U72" t="s">
        <v>631</v>
      </c>
      <c r="V72" s="1">
        <v>2</v>
      </c>
      <c r="W72" s="1" t="s">
        <v>630</v>
      </c>
      <c r="X72" t="s">
        <v>629</v>
      </c>
      <c r="Y72" s="30"/>
      <c r="Z72" s="30">
        <f t="shared" si="8"/>
        <v>0.65</v>
      </c>
      <c r="AA72" s="43">
        <v>0.65</v>
      </c>
      <c r="AB72" s="42">
        <f t="shared" si="6"/>
        <v>0.78</v>
      </c>
      <c r="AC72" s="42">
        <f t="shared" si="14"/>
        <v>0.83850000000000002</v>
      </c>
      <c r="AD72" s="1" t="s">
        <v>587</v>
      </c>
      <c r="AE72" s="1">
        <v>2</v>
      </c>
      <c r="AF72" s="1"/>
      <c r="AG72" s="25"/>
      <c r="AH72" s="25"/>
    </row>
    <row r="73" spans="1:45" ht="19.5" thickBot="1" x14ac:dyDescent="0.25">
      <c r="A73" s="1"/>
      <c r="B73" s="1"/>
      <c r="C73" s="1"/>
      <c r="D73" s="36"/>
      <c r="E73" s="36"/>
      <c r="F73" s="36"/>
      <c r="G73" s="36"/>
      <c r="H73" s="30"/>
      <c r="I73" s="30"/>
      <c r="J73" s="36"/>
      <c r="K73" s="30"/>
      <c r="L73" s="30"/>
      <c r="M73" s="1"/>
      <c r="N73" s="1"/>
      <c r="O73" s="1"/>
      <c r="V73" s="1">
        <v>71</v>
      </c>
      <c r="W73" s="1" t="s">
        <v>500</v>
      </c>
      <c r="X73" t="s">
        <v>500</v>
      </c>
      <c r="Y73" s="30"/>
      <c r="Z73" s="30"/>
      <c r="AB73" s="1"/>
      <c r="AC73" s="42">
        <f t="shared" si="14"/>
        <v>0</v>
      </c>
      <c r="AD73" s="1" t="s">
        <v>583</v>
      </c>
      <c r="AE73" s="1">
        <v>2</v>
      </c>
      <c r="AF73" s="1"/>
      <c r="AG73" s="25"/>
      <c r="AH73" s="25"/>
    </row>
    <row r="74" spans="1:45" ht="19.5" thickBot="1" x14ac:dyDescent="0.25">
      <c r="A74" t="s">
        <v>628</v>
      </c>
      <c r="B74" t="s">
        <v>627</v>
      </c>
      <c r="C74" t="s">
        <v>581</v>
      </c>
      <c r="E74">
        <v>0</v>
      </c>
      <c r="F74" s="36"/>
      <c r="G74" s="36"/>
      <c r="I74" s="41">
        <v>2</v>
      </c>
      <c r="K74" s="29">
        <v>0.1</v>
      </c>
      <c r="L74" s="29">
        <v>1.5</v>
      </c>
      <c r="Q74">
        <v>1</v>
      </c>
      <c r="R74">
        <v>1</v>
      </c>
      <c r="S74">
        <v>1</v>
      </c>
      <c r="T74" s="33" t="s">
        <v>625</v>
      </c>
      <c r="V74" s="1">
        <v>2.5</v>
      </c>
      <c r="W74" s="1" t="s">
        <v>500</v>
      </c>
      <c r="X74" t="s">
        <v>624</v>
      </c>
      <c r="Y74" s="30"/>
      <c r="Z74" s="30"/>
      <c r="AA74" s="43">
        <f>I74/2</f>
        <v>1</v>
      </c>
      <c r="AB74" s="1"/>
      <c r="AC74" s="42">
        <f t="shared" si="14"/>
        <v>0</v>
      </c>
      <c r="AD74" s="1" t="s">
        <v>623</v>
      </c>
      <c r="AE74" s="1">
        <v>4</v>
      </c>
      <c r="AF74" s="1"/>
      <c r="AG74" s="25"/>
      <c r="AH74" s="25"/>
    </row>
    <row r="75" spans="1:45" ht="19.5" thickBot="1" x14ac:dyDescent="0.25">
      <c r="A75" t="s">
        <v>214</v>
      </c>
      <c r="B75" t="s">
        <v>626</v>
      </c>
      <c r="C75" t="s">
        <v>581</v>
      </c>
      <c r="E75">
        <v>0</v>
      </c>
      <c r="F75" s="36"/>
      <c r="G75" s="36"/>
      <c r="I75" s="41">
        <v>2.7</v>
      </c>
      <c r="K75" s="29">
        <v>0.1</v>
      </c>
      <c r="L75" s="29">
        <v>1.5</v>
      </c>
      <c r="Q75">
        <v>1</v>
      </c>
      <c r="R75">
        <v>1</v>
      </c>
      <c r="S75">
        <v>1</v>
      </c>
      <c r="T75" s="33" t="s">
        <v>625</v>
      </c>
      <c r="V75" s="1">
        <v>2.5</v>
      </c>
      <c r="W75" s="1" t="s">
        <v>500</v>
      </c>
      <c r="X75" t="s">
        <v>624</v>
      </c>
      <c r="Y75" s="30"/>
      <c r="Z75" s="30"/>
      <c r="AA75" s="43">
        <f>I75/2</f>
        <v>1.35</v>
      </c>
      <c r="AB75" s="1"/>
      <c r="AC75" s="42">
        <f t="shared" si="14"/>
        <v>0</v>
      </c>
      <c r="AD75" s="1" t="s">
        <v>623</v>
      </c>
      <c r="AE75" s="1">
        <v>4</v>
      </c>
      <c r="AF75" s="1"/>
      <c r="AG75" s="25"/>
      <c r="AH75" s="25"/>
    </row>
    <row r="76" spans="1:45" ht="19.5" outlineLevel="1" thickBot="1" x14ac:dyDescent="0.25">
      <c r="A76" t="s">
        <v>213</v>
      </c>
      <c r="B76" t="s">
        <v>622</v>
      </c>
      <c r="C76" t="s">
        <v>581</v>
      </c>
      <c r="E76">
        <v>0</v>
      </c>
      <c r="F76" s="36"/>
      <c r="G76" s="36"/>
      <c r="I76" s="41">
        <v>3.9</v>
      </c>
      <c r="K76" s="29">
        <v>0.1</v>
      </c>
      <c r="L76" s="29">
        <v>1.5</v>
      </c>
      <c r="Q76">
        <v>1</v>
      </c>
      <c r="R76">
        <v>1</v>
      </c>
      <c r="S76">
        <v>1</v>
      </c>
      <c r="T76" s="33" t="s">
        <v>464</v>
      </c>
      <c r="V76" s="1">
        <v>3</v>
      </c>
      <c r="W76" s="1" t="s">
        <v>500</v>
      </c>
      <c r="X76" t="s">
        <v>562</v>
      </c>
      <c r="Y76" s="30"/>
      <c r="Z76" s="30"/>
      <c r="AA76" s="43"/>
      <c r="AB76" s="1"/>
      <c r="AC76" s="1"/>
      <c r="AD76" s="1" t="s">
        <v>621</v>
      </c>
      <c r="AE76" s="1">
        <v>1</v>
      </c>
      <c r="AF76" s="1"/>
      <c r="AG76" s="25"/>
      <c r="AH76" s="25"/>
    </row>
    <row r="77" spans="1:45" ht="19.5" outlineLevel="1" thickBot="1" x14ac:dyDescent="0.25">
      <c r="A77" s="1" t="s">
        <v>620</v>
      </c>
      <c r="B77" s="1" t="s">
        <v>619</v>
      </c>
      <c r="C77" t="s">
        <v>581</v>
      </c>
      <c r="D77" s="36"/>
      <c r="E77" s="36">
        <v>0</v>
      </c>
      <c r="F77" s="36"/>
      <c r="G77" s="36"/>
      <c r="H77" s="30"/>
      <c r="I77" s="36">
        <v>6</v>
      </c>
      <c r="J77" s="36"/>
      <c r="K77" s="30">
        <v>0.1</v>
      </c>
      <c r="L77" s="30">
        <v>1.5</v>
      </c>
      <c r="M77" s="1">
        <v>-15</v>
      </c>
      <c r="N77" s="1">
        <v>-15</v>
      </c>
      <c r="O77" s="1"/>
      <c r="Q77">
        <v>1</v>
      </c>
      <c r="R77">
        <v>1</v>
      </c>
      <c r="S77">
        <v>1</v>
      </c>
      <c r="T77" s="33" t="s">
        <v>615</v>
      </c>
      <c r="V77" s="1">
        <v>4</v>
      </c>
      <c r="W77" s="1" t="s">
        <v>500</v>
      </c>
      <c r="X77" t="s">
        <v>618</v>
      </c>
      <c r="Y77" s="30"/>
      <c r="Z77" s="30"/>
      <c r="AB77" s="1"/>
      <c r="AC77" s="1"/>
      <c r="AD77" s="1"/>
      <c r="AE77" s="1"/>
      <c r="AF77" s="1"/>
      <c r="AG77" s="25"/>
      <c r="AH77" s="25"/>
    </row>
    <row r="78" spans="1:45" ht="19.5" outlineLevel="1" thickBot="1" x14ac:dyDescent="0.25">
      <c r="A78" s="1" t="s">
        <v>617</v>
      </c>
      <c r="B78" s="1" t="s">
        <v>616</v>
      </c>
      <c r="C78" t="s">
        <v>581</v>
      </c>
      <c r="D78" s="36"/>
      <c r="E78" s="36">
        <v>0</v>
      </c>
      <c r="F78" s="36"/>
      <c r="G78" s="36"/>
      <c r="H78" s="30"/>
      <c r="I78" s="36">
        <v>10</v>
      </c>
      <c r="J78" s="36"/>
      <c r="K78" s="30">
        <v>0.1</v>
      </c>
      <c r="L78" s="30">
        <v>1.5</v>
      </c>
      <c r="M78" s="1">
        <v>-50</v>
      </c>
      <c r="N78" s="1">
        <v>-40</v>
      </c>
      <c r="O78" s="1"/>
      <c r="Q78">
        <v>1</v>
      </c>
      <c r="R78">
        <v>1</v>
      </c>
      <c r="S78">
        <v>1</v>
      </c>
      <c r="T78" s="33" t="s">
        <v>615</v>
      </c>
      <c r="V78" s="1">
        <v>6</v>
      </c>
      <c r="W78" s="1" t="s">
        <v>500</v>
      </c>
      <c r="X78" t="s">
        <v>614</v>
      </c>
      <c r="Y78" s="30"/>
      <c r="Z78" s="30"/>
      <c r="AB78" s="1"/>
      <c r="AC78" s="1"/>
      <c r="AD78" s="1"/>
      <c r="AE78" s="1"/>
      <c r="AF78" s="1"/>
      <c r="AG78" s="25"/>
      <c r="AH78" s="25"/>
    </row>
    <row r="79" spans="1:45" ht="19.5" outlineLevel="1" thickBot="1" x14ac:dyDescent="0.25">
      <c r="A79" s="1"/>
      <c r="B79" s="1"/>
      <c r="D79" s="36"/>
      <c r="E79" s="36"/>
      <c r="F79" s="36"/>
      <c r="G79" s="36"/>
      <c r="H79" s="30"/>
      <c r="I79" s="36"/>
      <c r="J79" s="36"/>
      <c r="K79" s="30"/>
      <c r="L79" s="30"/>
      <c r="M79" s="1"/>
      <c r="N79" s="1"/>
      <c r="O79" s="1"/>
      <c r="V79" s="1">
        <v>71</v>
      </c>
      <c r="W79" s="1" t="s">
        <v>500</v>
      </c>
      <c r="Y79" s="30"/>
      <c r="Z79" s="30"/>
      <c r="AB79" s="1"/>
      <c r="AC79" s="1"/>
      <c r="AD79" s="1"/>
      <c r="AE79" s="1"/>
      <c r="AF79" s="1"/>
      <c r="AG79" s="25"/>
      <c r="AH79" s="25"/>
    </row>
    <row r="80" spans="1:45" ht="19.5" outlineLevel="1" thickBot="1" x14ac:dyDescent="0.25">
      <c r="A80" s="1"/>
      <c r="B80" s="1"/>
      <c r="D80" s="36"/>
      <c r="E80" s="36"/>
      <c r="F80" s="36"/>
      <c r="G80" s="36"/>
      <c r="H80" s="30"/>
      <c r="I80" s="36"/>
      <c r="J80" s="36"/>
      <c r="K80" s="30"/>
      <c r="L80" s="30"/>
      <c r="M80" s="1"/>
      <c r="N80" s="1"/>
      <c r="O80" s="1"/>
      <c r="V80" s="1">
        <v>71</v>
      </c>
      <c r="W80" s="1" t="s">
        <v>500</v>
      </c>
      <c r="Y80" s="30"/>
      <c r="Z80" s="30"/>
      <c r="AB80" s="1"/>
      <c r="AC80" s="1"/>
      <c r="AD80" s="1"/>
      <c r="AE80" s="1"/>
      <c r="AF80" s="1"/>
      <c r="AG80" s="25"/>
      <c r="AH80" s="25"/>
    </row>
    <row r="81" spans="1:34" ht="38.25" outlineLevel="1" thickBot="1" x14ac:dyDescent="0.25">
      <c r="A81" s="1" t="s">
        <v>212</v>
      </c>
      <c r="B81" s="1" t="s">
        <v>613</v>
      </c>
      <c r="C81" s="1" t="s">
        <v>581</v>
      </c>
      <c r="D81" s="36"/>
      <c r="E81" s="36">
        <v>0</v>
      </c>
      <c r="F81" s="36"/>
      <c r="G81" s="36"/>
      <c r="H81" s="30"/>
      <c r="I81" s="36">
        <v>2.5700000000000003</v>
      </c>
      <c r="J81" s="36"/>
      <c r="K81" s="30">
        <v>0.1</v>
      </c>
      <c r="L81" s="30">
        <v>1.4</v>
      </c>
      <c r="M81" s="1"/>
      <c r="N81" s="1">
        <v>-15</v>
      </c>
      <c r="O81" s="1"/>
      <c r="Q81" s="40">
        <v>2</v>
      </c>
      <c r="R81" s="40">
        <v>6</v>
      </c>
      <c r="S81" s="40">
        <v>6</v>
      </c>
      <c r="V81" s="1">
        <v>2</v>
      </c>
      <c r="W81" s="1" t="s">
        <v>500</v>
      </c>
      <c r="X81" t="s">
        <v>612</v>
      </c>
      <c r="Y81" s="30"/>
      <c r="Z81" s="30"/>
      <c r="AB81" s="1"/>
      <c r="AC81" s="1"/>
      <c r="AD81" s="1" t="s">
        <v>611</v>
      </c>
      <c r="AE81" s="1">
        <v>1</v>
      </c>
      <c r="AF81" s="1"/>
      <c r="AG81" s="25"/>
      <c r="AH81" s="25"/>
    </row>
    <row r="82" spans="1:34" ht="19.5" outlineLevel="1" thickBot="1" x14ac:dyDescent="0.25">
      <c r="A82" s="1" t="s">
        <v>211</v>
      </c>
      <c r="B82" s="1" t="s">
        <v>610</v>
      </c>
      <c r="C82" s="1" t="s">
        <v>581</v>
      </c>
      <c r="D82" s="36"/>
      <c r="E82" s="36">
        <v>0</v>
      </c>
      <c r="F82" s="36"/>
      <c r="G82" s="36"/>
      <c r="H82" s="30"/>
      <c r="I82" s="36">
        <v>1.8</v>
      </c>
      <c r="J82" s="36"/>
      <c r="K82" s="30">
        <v>0.15</v>
      </c>
      <c r="L82" s="30">
        <v>1.75</v>
      </c>
      <c r="M82" s="1"/>
      <c r="N82" s="1"/>
      <c r="O82" s="1"/>
      <c r="Q82" s="40">
        <v>3</v>
      </c>
      <c r="R82" s="40">
        <v>1</v>
      </c>
      <c r="S82" s="40">
        <v>12</v>
      </c>
      <c r="V82" s="1">
        <v>2</v>
      </c>
      <c r="W82" s="1" t="s">
        <v>500</v>
      </c>
      <c r="X82" t="s">
        <v>542</v>
      </c>
      <c r="Y82" s="30"/>
      <c r="Z82" s="30"/>
      <c r="AB82" s="1"/>
      <c r="AC82" s="1"/>
      <c r="AD82" s="1" t="s">
        <v>609</v>
      </c>
      <c r="AE82" s="1">
        <v>1</v>
      </c>
      <c r="AF82" s="1"/>
      <c r="AG82" s="25"/>
      <c r="AH82" s="25"/>
    </row>
    <row r="83" spans="1:34" ht="19.5" outlineLevel="1" thickBot="1" x14ac:dyDescent="0.25">
      <c r="A83" s="1" t="s">
        <v>608</v>
      </c>
      <c r="B83" s="1" t="s">
        <v>607</v>
      </c>
      <c r="C83" s="1" t="s">
        <v>581</v>
      </c>
      <c r="D83" s="36"/>
      <c r="E83" s="36">
        <v>0</v>
      </c>
      <c r="F83" s="36"/>
      <c r="G83" s="36"/>
      <c r="H83" s="30"/>
      <c r="I83" s="36">
        <v>3.2</v>
      </c>
      <c r="J83" s="36"/>
      <c r="K83" s="30">
        <v>0.1</v>
      </c>
      <c r="L83" s="30">
        <v>1.4</v>
      </c>
      <c r="M83" s="1">
        <v>-7.5</v>
      </c>
      <c r="N83" s="1"/>
      <c r="O83" s="1"/>
      <c r="Q83" s="40">
        <v>2</v>
      </c>
      <c r="R83" s="40">
        <v>1</v>
      </c>
      <c r="S83" s="40">
        <v>10</v>
      </c>
      <c r="V83" s="1">
        <v>5</v>
      </c>
      <c r="W83" s="1" t="s">
        <v>500</v>
      </c>
      <c r="X83" t="s">
        <v>603</v>
      </c>
      <c r="Y83" s="30"/>
      <c r="Z83" s="30"/>
      <c r="AB83" s="1"/>
      <c r="AC83" s="1"/>
      <c r="AD83" s="1" t="s">
        <v>606</v>
      </c>
      <c r="AE83" s="1">
        <v>1</v>
      </c>
      <c r="AF83" s="1"/>
      <c r="AG83" s="25"/>
      <c r="AH83" s="25"/>
    </row>
    <row r="84" spans="1:34" ht="19.5" outlineLevel="1" thickBot="1" x14ac:dyDescent="0.25">
      <c r="A84" s="1" t="s">
        <v>605</v>
      </c>
      <c r="B84" s="1" t="s">
        <v>604</v>
      </c>
      <c r="C84" s="1" t="s">
        <v>581</v>
      </c>
      <c r="D84" s="36"/>
      <c r="E84" s="36">
        <v>0</v>
      </c>
      <c r="F84" s="36"/>
      <c r="G84" s="36"/>
      <c r="H84" s="30"/>
      <c r="I84" s="36">
        <v>1.6</v>
      </c>
      <c r="J84" s="36"/>
      <c r="K84" s="30">
        <v>0.1</v>
      </c>
      <c r="L84" s="30">
        <v>1.25</v>
      </c>
      <c r="M84" s="1"/>
      <c r="N84" s="1"/>
      <c r="O84" s="1"/>
      <c r="Q84" s="40">
        <v>8</v>
      </c>
      <c r="R84" s="40">
        <v>1</v>
      </c>
      <c r="S84" s="40">
        <v>24</v>
      </c>
      <c r="V84" s="1">
        <v>2.5</v>
      </c>
      <c r="W84" s="1" t="s">
        <v>500</v>
      </c>
      <c r="X84" t="s">
        <v>603</v>
      </c>
      <c r="Y84" s="30"/>
      <c r="Z84" s="30"/>
      <c r="AB84" s="1"/>
      <c r="AC84" s="1"/>
      <c r="AD84" s="1" t="s">
        <v>541</v>
      </c>
      <c r="AE84" s="1">
        <v>1</v>
      </c>
      <c r="AF84" s="1"/>
      <c r="AG84" s="25"/>
      <c r="AH84" s="25"/>
    </row>
    <row r="85" spans="1:34" ht="19.5" outlineLevel="1" thickBot="1" x14ac:dyDescent="0.25">
      <c r="A85" s="1" t="s">
        <v>602</v>
      </c>
      <c r="B85" s="1" t="s">
        <v>601</v>
      </c>
      <c r="C85" s="1" t="s">
        <v>581</v>
      </c>
      <c r="D85" s="36"/>
      <c r="E85" s="36">
        <v>0</v>
      </c>
      <c r="F85" s="36"/>
      <c r="G85" s="36"/>
      <c r="H85" s="30"/>
      <c r="I85" s="36">
        <v>2.0499999999999998</v>
      </c>
      <c r="J85" s="36"/>
      <c r="K85" s="30">
        <v>0.1</v>
      </c>
      <c r="L85" s="30">
        <v>1.5</v>
      </c>
      <c r="M85" s="1">
        <v>-5</v>
      </c>
      <c r="N85" s="1"/>
      <c r="O85" s="1"/>
      <c r="Q85" s="40">
        <v>4</v>
      </c>
      <c r="R85" s="40">
        <v>1</v>
      </c>
      <c r="S85" s="40">
        <v>20</v>
      </c>
      <c r="V85" s="1">
        <v>4</v>
      </c>
      <c r="W85" s="1" t="s">
        <v>500</v>
      </c>
      <c r="X85" t="s">
        <v>595</v>
      </c>
      <c r="Y85" s="30"/>
      <c r="Z85" s="30"/>
      <c r="AB85" s="1"/>
      <c r="AC85" s="1"/>
      <c r="AD85" s="1" t="s">
        <v>600</v>
      </c>
      <c r="AE85" s="1">
        <v>1</v>
      </c>
      <c r="AF85" s="1"/>
      <c r="AG85" s="25"/>
      <c r="AH85" s="25"/>
    </row>
    <row r="86" spans="1:34" ht="19.5" outlineLevel="1" thickBot="1" x14ac:dyDescent="0.25">
      <c r="A86" s="1" t="s">
        <v>599</v>
      </c>
      <c r="B86" s="1" t="s">
        <v>598</v>
      </c>
      <c r="C86" s="1" t="s">
        <v>581</v>
      </c>
      <c r="D86" s="36"/>
      <c r="E86" s="36">
        <v>0</v>
      </c>
      <c r="F86" s="36"/>
      <c r="G86" s="36"/>
      <c r="H86" s="30"/>
      <c r="I86" s="36">
        <v>2.0499999999999998</v>
      </c>
      <c r="J86" s="36"/>
      <c r="K86" s="30">
        <v>0.1</v>
      </c>
      <c r="L86" s="30">
        <v>1.5</v>
      </c>
      <c r="M86" s="1">
        <v>-10</v>
      </c>
      <c r="N86" s="1">
        <v>-20</v>
      </c>
      <c r="O86" s="1"/>
      <c r="Q86" s="40">
        <v>7</v>
      </c>
      <c r="R86" s="40">
        <v>2</v>
      </c>
      <c r="S86" s="40">
        <v>70</v>
      </c>
      <c r="V86" s="1">
        <v>8</v>
      </c>
      <c r="W86" s="1" t="s">
        <v>500</v>
      </c>
      <c r="X86" t="s">
        <v>589</v>
      </c>
      <c r="Y86" s="30"/>
      <c r="Z86" s="30"/>
      <c r="AB86" s="1"/>
      <c r="AC86" s="1"/>
      <c r="AD86" s="1" t="s">
        <v>0</v>
      </c>
      <c r="AE86" s="1">
        <v>1</v>
      </c>
      <c r="AF86" s="1"/>
      <c r="AG86" s="25"/>
      <c r="AH86" s="25"/>
    </row>
    <row r="87" spans="1:34" ht="19.5" outlineLevel="1" thickBot="1" x14ac:dyDescent="0.25">
      <c r="A87" s="1" t="s">
        <v>597</v>
      </c>
      <c r="B87" s="1" t="s">
        <v>596</v>
      </c>
      <c r="C87" s="1" t="s">
        <v>581</v>
      </c>
      <c r="D87" s="36"/>
      <c r="E87" s="36">
        <v>0</v>
      </c>
      <c r="F87" s="36"/>
      <c r="G87" s="36"/>
      <c r="H87" s="30"/>
      <c r="I87" s="36">
        <v>5.04</v>
      </c>
      <c r="J87" s="36"/>
      <c r="K87" s="30">
        <v>0.1</v>
      </c>
      <c r="L87" s="30">
        <v>1.75</v>
      </c>
      <c r="M87" s="1">
        <v>-15</v>
      </c>
      <c r="N87" s="1"/>
      <c r="O87" s="1"/>
      <c r="Q87" s="40">
        <v>1</v>
      </c>
      <c r="R87" s="40">
        <v>1</v>
      </c>
      <c r="S87" s="40">
        <v>5</v>
      </c>
      <c r="V87" s="1">
        <v>6</v>
      </c>
      <c r="W87" s="1" t="s">
        <v>500</v>
      </c>
      <c r="X87" t="s">
        <v>595</v>
      </c>
      <c r="Y87" s="30"/>
      <c r="Z87" s="30"/>
      <c r="AB87" s="1"/>
      <c r="AC87" s="1"/>
      <c r="AD87" s="1" t="s">
        <v>208</v>
      </c>
      <c r="AE87" s="1">
        <v>3</v>
      </c>
      <c r="AF87" s="1"/>
      <c r="AG87" s="25"/>
      <c r="AH87" s="25"/>
    </row>
    <row r="88" spans="1:34" ht="19.5" outlineLevel="1" thickBot="1" x14ac:dyDescent="0.25">
      <c r="A88" s="1"/>
      <c r="B88" s="1"/>
      <c r="C88" s="1"/>
      <c r="D88" s="36"/>
      <c r="E88" s="36"/>
      <c r="F88" s="36"/>
      <c r="G88" s="36"/>
      <c r="H88" s="30"/>
      <c r="I88" s="36"/>
      <c r="J88" s="36"/>
      <c r="K88" s="30"/>
      <c r="L88" s="30"/>
      <c r="M88" s="1"/>
      <c r="N88" s="1"/>
      <c r="O88" s="1"/>
      <c r="P88" s="1"/>
      <c r="Q88" s="1"/>
      <c r="R88" s="1"/>
      <c r="S88" s="1"/>
      <c r="V88" s="1">
        <v>71</v>
      </c>
      <c r="W88" s="1" t="s">
        <v>500</v>
      </c>
      <c r="X88" t="s">
        <v>500</v>
      </c>
      <c r="Y88" s="30"/>
      <c r="Z88" s="30"/>
      <c r="AB88" s="1"/>
      <c r="AC88" s="1"/>
      <c r="AD88" s="1" t="s">
        <v>594</v>
      </c>
      <c r="AE88" s="1">
        <v>2.5</v>
      </c>
      <c r="AF88" s="1"/>
      <c r="AG88" s="25"/>
      <c r="AH88" s="25"/>
    </row>
    <row r="89" spans="1:34" ht="19.5" outlineLevel="1" thickBot="1" x14ac:dyDescent="0.25">
      <c r="A89" s="1" t="s">
        <v>593</v>
      </c>
      <c r="B89" s="1" t="s">
        <v>592</v>
      </c>
      <c r="C89" s="1" t="s">
        <v>581</v>
      </c>
      <c r="D89" s="36"/>
      <c r="E89" s="36">
        <v>0</v>
      </c>
      <c r="F89" s="36"/>
      <c r="G89" s="36"/>
      <c r="H89" s="30"/>
      <c r="I89" s="36">
        <v>3.5</v>
      </c>
      <c r="J89" s="36"/>
      <c r="K89" s="30">
        <v>0.15</v>
      </c>
      <c r="L89" s="30">
        <v>1.35</v>
      </c>
      <c r="M89" s="1">
        <v>-4</v>
      </c>
      <c r="N89" s="1">
        <v>-5.5</v>
      </c>
      <c r="O89" s="1"/>
      <c r="Q89" s="40">
        <v>1</v>
      </c>
      <c r="R89" s="40">
        <v>1</v>
      </c>
      <c r="S89" s="40">
        <v>6</v>
      </c>
      <c r="V89" s="1">
        <v>4</v>
      </c>
      <c r="W89" s="1" t="s">
        <v>500</v>
      </c>
      <c r="X89" t="s">
        <v>585</v>
      </c>
      <c r="Y89" s="30"/>
      <c r="Z89" s="30"/>
      <c r="AB89" s="1"/>
      <c r="AC89" s="1"/>
      <c r="AD89" s="1" t="s">
        <v>246</v>
      </c>
      <c r="AE89" s="1">
        <v>2</v>
      </c>
      <c r="AF89" s="1"/>
      <c r="AG89" s="25"/>
      <c r="AH89" s="25"/>
    </row>
    <row r="90" spans="1:34" ht="19.5" outlineLevel="1" thickBot="1" x14ac:dyDescent="0.25">
      <c r="A90" s="1" t="s">
        <v>591</v>
      </c>
      <c r="B90" s="1" t="s">
        <v>590</v>
      </c>
      <c r="C90" s="1" t="s">
        <v>581</v>
      </c>
      <c r="D90" s="36"/>
      <c r="E90" s="36">
        <v>0</v>
      </c>
      <c r="F90" s="36"/>
      <c r="G90" s="36"/>
      <c r="H90" s="30"/>
      <c r="I90" s="36">
        <v>2.5</v>
      </c>
      <c r="J90" s="36"/>
      <c r="K90" s="30">
        <v>0.1</v>
      </c>
      <c r="L90" s="30">
        <v>1.5</v>
      </c>
      <c r="M90" s="1">
        <v>-25</v>
      </c>
      <c r="N90" s="1">
        <v>-40</v>
      </c>
      <c r="O90" s="1"/>
      <c r="Q90" s="40">
        <v>10</v>
      </c>
      <c r="R90" s="40">
        <v>2</v>
      </c>
      <c r="S90" s="40">
        <v>100</v>
      </c>
      <c r="V90" s="1">
        <v>10</v>
      </c>
      <c r="W90" s="1" t="s">
        <v>500</v>
      </c>
      <c r="X90" t="s">
        <v>589</v>
      </c>
      <c r="Y90" s="30"/>
      <c r="Z90" s="30"/>
      <c r="AB90" s="1"/>
      <c r="AC90" s="1"/>
      <c r="AD90" s="1" t="s">
        <v>588</v>
      </c>
      <c r="AE90" s="1">
        <v>2</v>
      </c>
      <c r="AF90" s="1"/>
      <c r="AG90" s="25"/>
      <c r="AH90" s="25"/>
    </row>
    <row r="91" spans="1:34" ht="19.5" outlineLevel="1" thickBot="1" x14ac:dyDescent="0.25">
      <c r="A91" s="1" t="s">
        <v>587</v>
      </c>
      <c r="B91" s="1" t="s">
        <v>586</v>
      </c>
      <c r="C91" s="1" t="s">
        <v>581</v>
      </c>
      <c r="D91" s="36"/>
      <c r="E91" s="36">
        <v>0</v>
      </c>
      <c r="F91" s="36"/>
      <c r="G91" s="36"/>
      <c r="H91" s="30"/>
      <c r="I91" s="36">
        <v>2.5</v>
      </c>
      <c r="J91" s="36"/>
      <c r="K91" s="30">
        <v>0.2</v>
      </c>
      <c r="L91" s="30">
        <v>2</v>
      </c>
      <c r="M91" s="1"/>
      <c r="N91" s="1"/>
      <c r="O91" s="1"/>
      <c r="Q91" s="40">
        <v>1</v>
      </c>
      <c r="R91" s="40">
        <v>4</v>
      </c>
      <c r="S91" s="40">
        <v>1</v>
      </c>
      <c r="V91" s="1">
        <v>2</v>
      </c>
      <c r="W91" s="1" t="s">
        <v>500</v>
      </c>
      <c r="X91" t="s">
        <v>585</v>
      </c>
      <c r="Y91" s="30"/>
      <c r="Z91" s="30"/>
      <c r="AB91" s="1"/>
      <c r="AC91" s="1"/>
      <c r="AD91" s="1" t="s">
        <v>584</v>
      </c>
      <c r="AE91" s="1">
        <v>1</v>
      </c>
      <c r="AF91" s="1"/>
      <c r="AG91" s="25"/>
      <c r="AH91" s="25"/>
    </row>
    <row r="92" spans="1:34" ht="38.25" outlineLevel="1" thickBot="1" x14ac:dyDescent="0.25">
      <c r="A92" s="1" t="s">
        <v>583</v>
      </c>
      <c r="B92" s="1" t="s">
        <v>582</v>
      </c>
      <c r="C92" s="1" t="s">
        <v>581</v>
      </c>
      <c r="D92" s="36"/>
      <c r="E92" s="36">
        <v>0</v>
      </c>
      <c r="F92" s="36"/>
      <c r="G92" s="36"/>
      <c r="H92" s="30"/>
      <c r="I92" s="36">
        <v>4</v>
      </c>
      <c r="J92" s="36"/>
      <c r="K92" s="30">
        <v>0.2</v>
      </c>
      <c r="L92" s="30">
        <v>1.75</v>
      </c>
      <c r="M92" s="1">
        <v>-5</v>
      </c>
      <c r="N92" s="1">
        <v>-5</v>
      </c>
      <c r="O92" s="1"/>
      <c r="Q92" s="40">
        <v>1</v>
      </c>
      <c r="R92" s="40">
        <v>4</v>
      </c>
      <c r="S92" s="40">
        <v>1</v>
      </c>
      <c r="V92" s="1">
        <v>2</v>
      </c>
      <c r="W92" s="1" t="s">
        <v>500</v>
      </c>
      <c r="X92" t="s">
        <v>580</v>
      </c>
      <c r="Y92" s="30"/>
      <c r="Z92" s="30"/>
      <c r="AB92" s="1"/>
      <c r="AC92" s="1"/>
      <c r="AD92" s="1" t="s">
        <v>579</v>
      </c>
      <c r="AE92" s="1">
        <v>1</v>
      </c>
      <c r="AF92" s="1"/>
      <c r="AG92" s="25"/>
      <c r="AH92" s="25"/>
    </row>
    <row r="93" spans="1:34" ht="19.5" outlineLevel="1" thickBot="1" x14ac:dyDescent="0.25">
      <c r="A93" s="1"/>
      <c r="B93" s="1"/>
      <c r="C93" s="1"/>
      <c r="D93" s="36"/>
      <c r="E93" s="36"/>
      <c r="F93" s="36"/>
      <c r="G93" s="36"/>
      <c r="H93" s="30"/>
      <c r="I93" s="30"/>
      <c r="J93" s="36"/>
      <c r="K93" s="30"/>
      <c r="L93" s="30"/>
      <c r="M93" s="30"/>
      <c r="N93" s="30"/>
      <c r="O93" s="30"/>
      <c r="V93" s="1">
        <v>71</v>
      </c>
      <c r="W93" s="1" t="s">
        <v>500</v>
      </c>
      <c r="X93" t="s">
        <v>500</v>
      </c>
      <c r="Y93" s="30"/>
      <c r="Z93" s="30"/>
      <c r="AB93" s="1"/>
      <c r="AC93" s="1"/>
      <c r="AD93" s="1" t="s">
        <v>578</v>
      </c>
      <c r="AE93" s="1">
        <v>1</v>
      </c>
      <c r="AF93" s="1"/>
      <c r="AG93" s="25"/>
      <c r="AH93" s="25"/>
    </row>
    <row r="94" spans="1:34" ht="38.25" outlineLevel="1" thickBot="1" x14ac:dyDescent="0.25">
      <c r="A94" s="1" t="s">
        <v>577</v>
      </c>
      <c r="B94" s="1" t="s">
        <v>576</v>
      </c>
      <c r="C94" s="1" t="s">
        <v>575</v>
      </c>
      <c r="D94" s="36">
        <v>1</v>
      </c>
      <c r="E94" s="36">
        <v>0</v>
      </c>
      <c r="F94" s="36"/>
      <c r="G94" s="36"/>
      <c r="H94" s="30"/>
      <c r="I94" s="30"/>
      <c r="J94" s="36"/>
      <c r="K94" s="30">
        <v>0.05</v>
      </c>
      <c r="L94" s="30">
        <v>1.5</v>
      </c>
      <c r="M94" s="1">
        <v>-7.5</v>
      </c>
      <c r="N94" s="1">
        <v>-7.5</v>
      </c>
      <c r="O94" s="1"/>
      <c r="V94" s="1">
        <v>3</v>
      </c>
      <c r="W94" s="1" t="s">
        <v>574</v>
      </c>
      <c r="X94" t="s">
        <v>573</v>
      </c>
      <c r="Y94" s="30"/>
      <c r="Z94" s="30"/>
      <c r="AB94" s="1"/>
      <c r="AC94" s="1"/>
      <c r="AD94" s="1" t="s">
        <v>572</v>
      </c>
      <c r="AE94" s="1">
        <v>1</v>
      </c>
      <c r="AF94" s="1"/>
      <c r="AG94" s="25"/>
      <c r="AH94" s="25"/>
    </row>
    <row r="95" spans="1:34" ht="19.5" outlineLevel="1" thickBot="1" x14ac:dyDescent="0.25">
      <c r="A95" s="1" t="s">
        <v>571</v>
      </c>
      <c r="B95" s="1" t="s">
        <v>570</v>
      </c>
      <c r="C95" s="1" t="s">
        <v>566</v>
      </c>
      <c r="D95" s="36">
        <v>1</v>
      </c>
      <c r="E95" s="36">
        <v>1.1000000000000001</v>
      </c>
      <c r="F95" s="36"/>
      <c r="G95" s="36">
        <v>0.35</v>
      </c>
      <c r="H95" s="30"/>
      <c r="I95" s="30"/>
      <c r="J95" s="36"/>
      <c r="K95" s="30">
        <v>0.05</v>
      </c>
      <c r="L95" s="30">
        <v>1.5</v>
      </c>
      <c r="M95" s="1"/>
      <c r="N95" s="1">
        <v>-4</v>
      </c>
      <c r="O95" s="1"/>
      <c r="V95" s="1">
        <v>3</v>
      </c>
      <c r="W95" s="1" t="s">
        <v>500</v>
      </c>
      <c r="X95" t="s">
        <v>569</v>
      </c>
      <c r="Y95" s="30"/>
      <c r="Z95" s="30"/>
      <c r="AB95" s="1"/>
      <c r="AC95" s="1"/>
      <c r="AD95" s="1" t="s">
        <v>90</v>
      </c>
      <c r="AE95" s="1">
        <v>1</v>
      </c>
      <c r="AF95" s="1"/>
      <c r="AG95" s="25"/>
      <c r="AH95" s="25"/>
    </row>
    <row r="96" spans="1:34" ht="19.5" outlineLevel="1" thickBot="1" x14ac:dyDescent="0.25">
      <c r="A96" s="1" t="s">
        <v>568</v>
      </c>
      <c r="B96" s="1" t="s">
        <v>567</v>
      </c>
      <c r="C96" s="1" t="s">
        <v>566</v>
      </c>
      <c r="D96" s="36">
        <v>1</v>
      </c>
      <c r="E96" s="36">
        <v>0</v>
      </c>
      <c r="F96" s="36"/>
      <c r="G96" s="36">
        <v>1.1000000000000001</v>
      </c>
      <c r="H96" s="30"/>
      <c r="I96" s="30"/>
      <c r="J96" s="36"/>
      <c r="K96" s="30">
        <v>0.05</v>
      </c>
      <c r="L96" s="30">
        <v>1.5</v>
      </c>
      <c r="M96" s="1">
        <v>-3.5</v>
      </c>
      <c r="N96" s="1">
        <v>-2.5</v>
      </c>
      <c r="O96" s="1"/>
      <c r="V96" s="1">
        <v>3</v>
      </c>
      <c r="W96" s="1" t="s">
        <v>500</v>
      </c>
      <c r="X96" t="s">
        <v>515</v>
      </c>
      <c r="Y96" s="30"/>
      <c r="Z96" s="30"/>
      <c r="AB96" s="1"/>
      <c r="AC96" s="1"/>
      <c r="AD96" s="1" t="s">
        <v>96</v>
      </c>
      <c r="AE96" s="1">
        <v>1</v>
      </c>
      <c r="AF96" s="1"/>
      <c r="AG96" s="25"/>
      <c r="AH96" s="25"/>
    </row>
    <row r="97" spans="1:34" ht="19.5" outlineLevel="1" thickBot="1" x14ac:dyDescent="0.25">
      <c r="A97" s="1"/>
      <c r="B97" s="1"/>
      <c r="C97" s="1"/>
      <c r="D97" s="36"/>
      <c r="E97" s="36"/>
      <c r="F97" s="36"/>
      <c r="G97" s="36"/>
      <c r="H97" s="30"/>
      <c r="I97" s="30"/>
      <c r="J97" s="36"/>
      <c r="K97" s="30"/>
      <c r="L97" s="30"/>
      <c r="M97" s="1"/>
      <c r="N97" s="1"/>
      <c r="O97" s="1"/>
      <c r="V97" s="1">
        <v>71</v>
      </c>
      <c r="W97" s="1" t="s">
        <v>500</v>
      </c>
      <c r="X97" t="s">
        <v>500</v>
      </c>
      <c r="Y97" s="30"/>
      <c r="Z97" s="30"/>
      <c r="AB97" s="1"/>
      <c r="AC97" s="1"/>
      <c r="AD97" s="1" t="s">
        <v>565</v>
      </c>
      <c r="AE97" s="1">
        <v>1</v>
      </c>
      <c r="AF97" s="1"/>
      <c r="AG97" s="25"/>
      <c r="AH97" s="25"/>
    </row>
    <row r="98" spans="1:34" ht="19.5" outlineLevel="1" thickBot="1" x14ac:dyDescent="0.25">
      <c r="A98" s="1" t="s">
        <v>564</v>
      </c>
      <c r="B98" s="1" t="s">
        <v>563</v>
      </c>
      <c r="C98" s="1" t="s">
        <v>558</v>
      </c>
      <c r="D98" s="36">
        <v>1</v>
      </c>
      <c r="E98" s="36"/>
      <c r="F98" s="36"/>
      <c r="G98" s="36"/>
      <c r="H98" s="30"/>
      <c r="I98" s="30"/>
      <c r="J98" s="36"/>
      <c r="K98" s="30">
        <v>0.05</v>
      </c>
      <c r="L98" s="30">
        <v>1.5</v>
      </c>
      <c r="M98" s="1"/>
      <c r="N98" s="1"/>
      <c r="O98" s="1"/>
      <c r="V98" s="1">
        <v>2</v>
      </c>
      <c r="W98" s="1" t="s">
        <v>500</v>
      </c>
      <c r="X98" t="s">
        <v>562</v>
      </c>
      <c r="Y98" s="30"/>
      <c r="Z98" s="30"/>
      <c r="AB98" s="39"/>
      <c r="AC98" s="39"/>
      <c r="AD98" s="39" t="s">
        <v>561</v>
      </c>
      <c r="AE98" s="39">
        <v>1</v>
      </c>
      <c r="AF98" s="39"/>
      <c r="AG98" s="25"/>
      <c r="AH98" s="25"/>
    </row>
    <row r="99" spans="1:34" ht="19.5" outlineLevel="1" thickBot="1" x14ac:dyDescent="0.25">
      <c r="A99" s="1" t="s">
        <v>560</v>
      </c>
      <c r="B99" s="1" t="s">
        <v>559</v>
      </c>
      <c r="C99" s="1" t="s">
        <v>558</v>
      </c>
      <c r="D99" s="36">
        <v>1</v>
      </c>
      <c r="E99" s="36"/>
      <c r="F99" s="36"/>
      <c r="G99" s="36"/>
      <c r="H99" s="30"/>
      <c r="I99" s="30"/>
      <c r="J99" s="36"/>
      <c r="K99" s="30">
        <v>0.05</v>
      </c>
      <c r="L99" s="30">
        <v>1.5</v>
      </c>
      <c r="M99" s="1"/>
      <c r="N99" s="1"/>
      <c r="O99" s="1"/>
      <c r="V99" s="1">
        <v>2</v>
      </c>
      <c r="W99" s="1" t="s">
        <v>500</v>
      </c>
      <c r="X99" t="s">
        <v>557</v>
      </c>
      <c r="Y99" s="30"/>
      <c r="Z99" s="30"/>
      <c r="AB99" s="1"/>
      <c r="AC99" s="1"/>
      <c r="AD99" s="1" t="s">
        <v>556</v>
      </c>
      <c r="AE99" s="1">
        <v>1</v>
      </c>
      <c r="AF99" s="1"/>
      <c r="AG99" s="25"/>
      <c r="AH99" s="25"/>
    </row>
    <row r="100" spans="1:34" ht="19.5" outlineLevel="1" thickBot="1" x14ac:dyDescent="0.25">
      <c r="A100" s="1"/>
      <c r="B100" s="1"/>
      <c r="C100" s="1"/>
      <c r="D100" s="36"/>
      <c r="E100" s="36"/>
      <c r="F100" s="36"/>
      <c r="G100" s="36"/>
      <c r="H100" s="30"/>
      <c r="I100" s="30"/>
      <c r="J100" s="36"/>
      <c r="K100" s="30"/>
      <c r="L100" s="30"/>
      <c r="M100" s="1"/>
      <c r="N100" s="1"/>
      <c r="O100" s="1"/>
      <c r="V100" s="1">
        <v>71</v>
      </c>
      <c r="W100" s="1" t="s">
        <v>500</v>
      </c>
      <c r="X100" t="s">
        <v>500</v>
      </c>
      <c r="Y100" s="30"/>
      <c r="Z100" s="30"/>
      <c r="AB100" s="1"/>
      <c r="AC100" s="1"/>
      <c r="AD100" s="1" t="s">
        <v>206</v>
      </c>
      <c r="AE100" s="1">
        <v>1</v>
      </c>
      <c r="AF100" s="1"/>
      <c r="AG100" s="25"/>
      <c r="AH100" s="25"/>
    </row>
    <row r="101" spans="1:34" ht="19.5" thickBot="1" x14ac:dyDescent="0.25">
      <c r="A101" s="1"/>
      <c r="B101" s="1"/>
      <c r="C101" s="1"/>
      <c r="D101" s="36"/>
      <c r="E101" s="36"/>
      <c r="F101" s="36"/>
      <c r="G101" s="36"/>
      <c r="H101" s="30"/>
      <c r="I101" s="30"/>
      <c r="J101" s="36"/>
      <c r="K101" s="30"/>
      <c r="L101" s="30"/>
      <c r="M101" s="1"/>
      <c r="N101" s="1"/>
      <c r="O101" s="1"/>
      <c r="V101" s="1">
        <v>71</v>
      </c>
      <c r="W101" s="1" t="s">
        <v>500</v>
      </c>
      <c r="X101" t="s">
        <v>500</v>
      </c>
      <c r="Y101" s="30"/>
      <c r="Z101" s="30"/>
      <c r="AD101" t="s">
        <v>555</v>
      </c>
      <c r="AE101">
        <v>1</v>
      </c>
      <c r="AG101" s="25"/>
      <c r="AH101" s="25"/>
    </row>
    <row r="102" spans="1:34" ht="19.5" thickBot="1" x14ac:dyDescent="0.25">
      <c r="A102" s="1"/>
      <c r="B102" s="1"/>
      <c r="C102" s="1"/>
      <c r="D102" s="36"/>
      <c r="E102" s="36"/>
      <c r="F102" s="36"/>
      <c r="G102" s="36"/>
      <c r="H102" s="30"/>
      <c r="I102" s="30"/>
      <c r="J102" s="36"/>
      <c r="K102" s="30"/>
      <c r="L102" s="30"/>
      <c r="M102" s="1"/>
      <c r="N102" s="1"/>
      <c r="O102" s="1"/>
      <c r="V102" s="1">
        <v>71</v>
      </c>
      <c r="W102" s="1" t="s">
        <v>500</v>
      </c>
      <c r="X102" t="s">
        <v>500</v>
      </c>
      <c r="Y102" s="30"/>
      <c r="Z102" s="30"/>
      <c r="AD102" t="s">
        <v>554</v>
      </c>
      <c r="AE102">
        <v>5</v>
      </c>
      <c r="AG102" s="25"/>
      <c r="AH102" s="25"/>
    </row>
    <row r="103" spans="1:34" ht="19.5" thickBot="1" x14ac:dyDescent="0.25">
      <c r="A103" s="1" t="s">
        <v>553</v>
      </c>
      <c r="B103" s="1" t="s">
        <v>552</v>
      </c>
      <c r="C103" s="1" t="s">
        <v>525</v>
      </c>
      <c r="D103" s="36"/>
      <c r="E103" s="36"/>
      <c r="F103" s="36"/>
      <c r="G103" s="36">
        <v>0.85</v>
      </c>
      <c r="H103" s="30"/>
      <c r="I103" s="30"/>
      <c r="J103" s="36"/>
      <c r="K103" s="30">
        <v>0.05</v>
      </c>
      <c r="L103" s="30">
        <v>1.25</v>
      </c>
      <c r="M103" s="1">
        <v>-7.5</v>
      </c>
      <c r="N103" s="1"/>
      <c r="O103" s="36">
        <v>0.35</v>
      </c>
      <c r="V103" s="1">
        <v>2</v>
      </c>
      <c r="W103" s="1" t="s">
        <v>1282</v>
      </c>
      <c r="X103" t="s">
        <v>500</v>
      </c>
      <c r="Y103" s="30"/>
      <c r="Z103" s="30"/>
      <c r="AD103" t="s">
        <v>551</v>
      </c>
      <c r="AE103">
        <v>3</v>
      </c>
      <c r="AG103" s="25"/>
      <c r="AH103" s="25"/>
    </row>
    <row r="104" spans="1:34" ht="19.5" thickBot="1" x14ac:dyDescent="0.25">
      <c r="A104" s="1" t="s">
        <v>550</v>
      </c>
      <c r="B104" s="1" t="s">
        <v>549</v>
      </c>
      <c r="C104" s="1" t="s">
        <v>525</v>
      </c>
      <c r="D104" s="36"/>
      <c r="E104" s="36"/>
      <c r="F104" s="36"/>
      <c r="G104" s="36">
        <v>0.85</v>
      </c>
      <c r="H104" s="30"/>
      <c r="I104" s="30"/>
      <c r="J104" s="36"/>
      <c r="K104" s="30">
        <v>0.05</v>
      </c>
      <c r="L104" s="30">
        <v>1.25</v>
      </c>
      <c r="M104" s="1">
        <v>-5</v>
      </c>
      <c r="N104" s="1"/>
      <c r="O104" s="36">
        <v>0.2</v>
      </c>
      <c r="V104" s="1">
        <v>1.5</v>
      </c>
      <c r="W104" s="1" t="s">
        <v>1282</v>
      </c>
      <c r="X104" t="s">
        <v>548</v>
      </c>
      <c r="Y104" s="30"/>
      <c r="Z104" s="30"/>
      <c r="AB104" s="38"/>
      <c r="AC104" s="38"/>
      <c r="AD104" s="37" t="s">
        <v>547</v>
      </c>
      <c r="AE104" s="29">
        <v>4</v>
      </c>
      <c r="AF104" s="29"/>
      <c r="AG104" s="25"/>
      <c r="AH104" s="25"/>
    </row>
    <row r="105" spans="1:34" ht="19.5" thickBot="1" x14ac:dyDescent="0.25">
      <c r="A105" s="1" t="s">
        <v>1195</v>
      </c>
      <c r="B105" s="1" t="s">
        <v>1196</v>
      </c>
      <c r="C105" s="1" t="s">
        <v>525</v>
      </c>
      <c r="D105" s="36"/>
      <c r="E105" s="36"/>
      <c r="F105" s="36"/>
      <c r="G105" s="36"/>
      <c r="H105" s="30"/>
      <c r="I105" s="30"/>
      <c r="J105" s="36"/>
      <c r="K105" s="30"/>
      <c r="L105" s="30"/>
      <c r="M105" s="1"/>
      <c r="N105" s="1"/>
      <c r="O105" s="36">
        <v>0.1</v>
      </c>
      <c r="V105" s="1">
        <v>1</v>
      </c>
      <c r="W105" s="1" t="s">
        <v>1282</v>
      </c>
      <c r="X105" t="s">
        <v>503</v>
      </c>
      <c r="Y105" s="30"/>
      <c r="Z105" s="30"/>
      <c r="AB105" s="38"/>
      <c r="AC105" s="38"/>
      <c r="AD105" s="37"/>
      <c r="AE105" s="29"/>
      <c r="AF105" s="29"/>
      <c r="AG105" s="25"/>
      <c r="AH105" s="25"/>
    </row>
    <row r="106" spans="1:34" ht="19.5" thickBot="1" x14ac:dyDescent="0.25">
      <c r="A106" s="1" t="s">
        <v>546</v>
      </c>
      <c r="B106" s="1" t="s">
        <v>545</v>
      </c>
      <c r="C106" s="1" t="s">
        <v>525</v>
      </c>
      <c r="D106" s="36"/>
      <c r="E106" s="36"/>
      <c r="F106" s="36"/>
      <c r="G106" s="36"/>
      <c r="H106" s="30"/>
      <c r="I106" s="30"/>
      <c r="J106" s="36"/>
      <c r="K106" s="30"/>
      <c r="L106" s="30"/>
      <c r="M106" s="1"/>
      <c r="N106" s="1"/>
      <c r="O106" s="36">
        <v>7.0000000000000007E-2</v>
      </c>
      <c r="V106" s="1">
        <v>1</v>
      </c>
      <c r="W106" s="1" t="s">
        <v>1284</v>
      </c>
      <c r="X106" t="s">
        <v>503</v>
      </c>
      <c r="Y106" s="30"/>
      <c r="Z106" s="30"/>
      <c r="AB106" s="38"/>
      <c r="AC106" s="38"/>
      <c r="AD106" s="37"/>
      <c r="AE106" s="29"/>
      <c r="AF106" s="29"/>
      <c r="AG106" s="25"/>
      <c r="AH106" s="25"/>
    </row>
    <row r="107" spans="1:34" ht="19.5" thickBot="1" x14ac:dyDescent="0.25">
      <c r="A107" s="1" t="s">
        <v>544</v>
      </c>
      <c r="B107" s="1" t="s">
        <v>543</v>
      </c>
      <c r="C107" s="1" t="s">
        <v>525</v>
      </c>
      <c r="D107" s="36"/>
      <c r="E107" s="36"/>
      <c r="F107" s="36"/>
      <c r="G107" s="36"/>
      <c r="H107" s="30"/>
      <c r="I107" s="30"/>
      <c r="J107" s="36"/>
      <c r="K107" s="30"/>
      <c r="L107" s="30"/>
      <c r="M107" s="1"/>
      <c r="N107" s="1"/>
      <c r="O107" s="36">
        <v>0.1</v>
      </c>
      <c r="V107" s="1">
        <v>1</v>
      </c>
      <c r="W107" s="1" t="s">
        <v>1282</v>
      </c>
      <c r="X107" t="s">
        <v>542</v>
      </c>
      <c r="Y107" s="30"/>
      <c r="Z107" s="30"/>
      <c r="AB107" s="38"/>
      <c r="AC107" s="38"/>
      <c r="AD107" s="37"/>
      <c r="AE107" s="29"/>
      <c r="AF107" s="29"/>
      <c r="AG107" s="25"/>
      <c r="AH107" s="25"/>
    </row>
    <row r="108" spans="1:34" ht="19.5" thickBot="1" x14ac:dyDescent="0.25">
      <c r="A108" s="1" t="s">
        <v>541</v>
      </c>
      <c r="B108" s="1" t="s">
        <v>540</v>
      </c>
      <c r="C108" s="1" t="s">
        <v>525</v>
      </c>
      <c r="D108" s="36"/>
      <c r="E108" s="36"/>
      <c r="F108" s="36"/>
      <c r="G108" s="36"/>
      <c r="H108" s="30"/>
      <c r="I108" s="30"/>
      <c r="J108" s="36"/>
      <c r="K108" s="30"/>
      <c r="L108" s="30"/>
      <c r="M108" s="1"/>
      <c r="N108" s="1"/>
      <c r="O108" s="36">
        <v>0.05</v>
      </c>
      <c r="V108" s="1">
        <v>1</v>
      </c>
      <c r="W108" s="1" t="s">
        <v>1283</v>
      </c>
      <c r="X108" t="s">
        <v>507</v>
      </c>
      <c r="Y108" s="30"/>
      <c r="Z108" s="30"/>
      <c r="AB108" s="38"/>
      <c r="AC108" s="38"/>
      <c r="AD108" s="37"/>
      <c r="AE108" s="29"/>
      <c r="AF108" s="29"/>
      <c r="AG108" s="25"/>
      <c r="AH108" s="25"/>
    </row>
    <row r="109" spans="1:34" ht="19.5" thickBot="1" x14ac:dyDescent="0.25">
      <c r="A109" s="1" t="s">
        <v>208</v>
      </c>
      <c r="B109" s="1" t="s">
        <v>539</v>
      </c>
      <c r="C109" s="1" t="s">
        <v>521</v>
      </c>
      <c r="D109" s="36"/>
      <c r="E109" s="36"/>
      <c r="F109" s="36"/>
      <c r="G109" s="36"/>
      <c r="H109" s="30"/>
      <c r="I109" s="30"/>
      <c r="J109" s="36"/>
      <c r="K109" s="30"/>
      <c r="L109" s="30"/>
      <c r="M109" s="1">
        <v>-15</v>
      </c>
      <c r="N109" s="1"/>
      <c r="O109" s="36">
        <v>0.7</v>
      </c>
      <c r="V109" s="1">
        <v>3</v>
      </c>
      <c r="W109" s="1" t="s">
        <v>533</v>
      </c>
      <c r="X109" t="s">
        <v>538</v>
      </c>
      <c r="Y109" s="30"/>
      <c r="Z109" s="30"/>
      <c r="AB109" s="38"/>
      <c r="AC109" s="38"/>
      <c r="AD109" s="37"/>
      <c r="AE109" s="29"/>
      <c r="AF109" s="29"/>
      <c r="AG109" s="25"/>
      <c r="AH109" s="25"/>
    </row>
    <row r="110" spans="1:34" ht="19.5" thickBot="1" x14ac:dyDescent="0.25">
      <c r="A110" s="1" t="s">
        <v>207</v>
      </c>
      <c r="B110" s="1" t="s">
        <v>537</v>
      </c>
      <c r="C110" s="1" t="s">
        <v>521</v>
      </c>
      <c r="D110" s="36"/>
      <c r="E110" s="36"/>
      <c r="F110" s="36"/>
      <c r="G110" s="36"/>
      <c r="H110" s="30"/>
      <c r="I110" s="30"/>
      <c r="J110" s="36"/>
      <c r="K110" s="30"/>
      <c r="L110" s="30"/>
      <c r="M110" s="1">
        <v>-7.5</v>
      </c>
      <c r="N110" s="1"/>
      <c r="O110" s="36">
        <v>0.5</v>
      </c>
      <c r="V110" s="1">
        <v>2.5</v>
      </c>
      <c r="W110" s="1" t="s">
        <v>533</v>
      </c>
      <c r="X110" t="s">
        <v>536</v>
      </c>
      <c r="Y110" s="30"/>
      <c r="Z110" s="30"/>
      <c r="AB110" s="38"/>
      <c r="AC110" s="38"/>
      <c r="AD110" s="37"/>
      <c r="AE110" s="29"/>
      <c r="AF110" s="29"/>
      <c r="AG110" s="25"/>
      <c r="AH110" s="25"/>
    </row>
    <row r="111" spans="1:34" ht="19.5" thickBot="1" x14ac:dyDescent="0.25">
      <c r="A111" s="1" t="s">
        <v>247</v>
      </c>
      <c r="B111" s="1" t="s">
        <v>535</v>
      </c>
      <c r="C111" s="1" t="s">
        <v>521</v>
      </c>
      <c r="D111" s="36"/>
      <c r="E111" s="36"/>
      <c r="F111" s="36"/>
      <c r="G111" s="36"/>
      <c r="H111" s="30"/>
      <c r="I111" s="30"/>
      <c r="J111" s="36"/>
      <c r="K111" s="30"/>
      <c r="L111" s="30"/>
      <c r="M111" s="1"/>
      <c r="N111" s="1"/>
      <c r="O111" s="36">
        <v>0.3</v>
      </c>
      <c r="V111" s="1">
        <v>2</v>
      </c>
      <c r="W111" s="1" t="s">
        <v>533</v>
      </c>
      <c r="X111" t="s">
        <v>511</v>
      </c>
      <c r="Y111" s="30"/>
      <c r="Z111" s="30"/>
      <c r="AB111" s="38"/>
      <c r="AC111" s="38"/>
      <c r="AD111" s="37"/>
      <c r="AE111" s="29"/>
      <c r="AF111" s="29"/>
      <c r="AG111" s="25"/>
      <c r="AH111" s="25"/>
    </row>
    <row r="112" spans="1:34" ht="19.5" thickBot="1" x14ac:dyDescent="0.25">
      <c r="A112" s="1" t="s">
        <v>246</v>
      </c>
      <c r="B112" s="1" t="s">
        <v>534</v>
      </c>
      <c r="C112" s="1" t="s">
        <v>521</v>
      </c>
      <c r="D112" s="36"/>
      <c r="E112" s="36"/>
      <c r="F112" s="36"/>
      <c r="G112" s="36"/>
      <c r="H112" s="30"/>
      <c r="I112" s="30"/>
      <c r="J112" s="36"/>
      <c r="K112" s="30"/>
      <c r="L112" s="30"/>
      <c r="M112" s="1"/>
      <c r="N112" s="1"/>
      <c r="O112" s="36">
        <v>0.2</v>
      </c>
      <c r="V112" s="1">
        <v>2</v>
      </c>
      <c r="W112" s="1" t="s">
        <v>533</v>
      </c>
      <c r="X112" t="s">
        <v>532</v>
      </c>
      <c r="Y112" s="30"/>
      <c r="Z112" s="30"/>
      <c r="AB112" s="38"/>
      <c r="AC112" s="38"/>
      <c r="AD112" s="37"/>
      <c r="AE112" s="29"/>
      <c r="AF112" s="29"/>
      <c r="AG112" s="25"/>
      <c r="AH112" s="25"/>
    </row>
    <row r="113" spans="1:34" ht="19.5" thickBot="1" x14ac:dyDescent="0.25">
      <c r="A113" t="s">
        <v>206</v>
      </c>
      <c r="B113" t="s">
        <v>531</v>
      </c>
      <c r="C113" s="1" t="s">
        <v>530</v>
      </c>
      <c r="D113" s="36"/>
      <c r="G113" s="36">
        <v>1</v>
      </c>
      <c r="K113" s="30">
        <v>0.1</v>
      </c>
      <c r="L113" s="30">
        <v>1.5</v>
      </c>
      <c r="O113" s="36">
        <v>0.15</v>
      </c>
      <c r="U113" t="s">
        <v>530</v>
      </c>
      <c r="V113" s="1">
        <v>1</v>
      </c>
      <c r="W113" s="1" t="s">
        <v>529</v>
      </c>
      <c r="X113" t="s">
        <v>528</v>
      </c>
      <c r="Y113" s="30"/>
      <c r="Z113" s="30"/>
      <c r="AB113" s="35"/>
      <c r="AC113" s="35"/>
      <c r="AD113" s="37"/>
      <c r="AE113" s="29"/>
      <c r="AF113" s="29"/>
      <c r="AG113" s="25"/>
      <c r="AH113" s="25"/>
    </row>
    <row r="114" spans="1:34" ht="19.5" thickBot="1" x14ac:dyDescent="0.25">
      <c r="A114" t="s">
        <v>527</v>
      </c>
      <c r="B114" t="s">
        <v>526</v>
      </c>
      <c r="C114" s="1" t="s">
        <v>525</v>
      </c>
      <c r="D114" s="36"/>
      <c r="V114" s="1">
        <v>2</v>
      </c>
      <c r="W114" s="1" t="s">
        <v>500</v>
      </c>
      <c r="X114" t="s">
        <v>524</v>
      </c>
      <c r="Y114" s="30"/>
      <c r="Z114" s="30"/>
      <c r="AB114" s="35"/>
      <c r="AC114" s="35"/>
      <c r="AD114" s="34"/>
      <c r="AE114" s="29"/>
      <c r="AF114" s="29"/>
      <c r="AG114" s="25"/>
      <c r="AH114" s="25"/>
    </row>
    <row r="115" spans="1:34" ht="19.5" thickBot="1" x14ac:dyDescent="0.25">
      <c r="A115" t="s">
        <v>523</v>
      </c>
      <c r="B115" t="s">
        <v>522</v>
      </c>
      <c r="C115" s="1" t="s">
        <v>521</v>
      </c>
      <c r="D115" s="36"/>
      <c r="V115" s="1">
        <v>3</v>
      </c>
      <c r="W115" s="1" t="s">
        <v>500</v>
      </c>
      <c r="X115" t="s">
        <v>520</v>
      </c>
      <c r="Y115" s="30"/>
      <c r="Z115" s="30"/>
      <c r="AB115" s="35"/>
      <c r="AC115" s="35"/>
      <c r="AD115" s="34"/>
      <c r="AE115" s="29"/>
      <c r="AF115" s="29"/>
      <c r="AG115" s="25"/>
      <c r="AH115" s="25"/>
    </row>
    <row r="116" spans="1:34" ht="19.5" thickBot="1" x14ac:dyDescent="0.25">
      <c r="A116" t="s">
        <v>519</v>
      </c>
      <c r="B116" t="s">
        <v>518</v>
      </c>
      <c r="C116" s="1" t="s">
        <v>517</v>
      </c>
      <c r="D116" s="36"/>
      <c r="E116" s="29">
        <v>0.25</v>
      </c>
      <c r="F116" s="29">
        <v>0.1</v>
      </c>
      <c r="G116" s="29">
        <v>0.05</v>
      </c>
      <c r="H116" s="29">
        <v>0.1</v>
      </c>
      <c r="K116" s="29">
        <v>0.05</v>
      </c>
      <c r="U116" t="s">
        <v>516</v>
      </c>
      <c r="V116" s="1">
        <v>2</v>
      </c>
      <c r="W116" s="1" t="s">
        <v>500</v>
      </c>
      <c r="X116" t="s">
        <v>515</v>
      </c>
      <c r="Y116" s="30"/>
      <c r="Z116" s="30"/>
      <c r="AB116" s="35"/>
      <c r="AC116" s="35"/>
      <c r="AD116" s="34"/>
      <c r="AE116" s="29"/>
      <c r="AF116" s="29"/>
      <c r="AG116" s="25"/>
      <c r="AH116" s="25"/>
    </row>
    <row r="117" spans="1:34" ht="19.5" thickBot="1" x14ac:dyDescent="0.25">
      <c r="C117" s="1"/>
      <c r="D117" s="36"/>
      <c r="E117" s="29"/>
      <c r="F117" s="29"/>
      <c r="G117" s="29"/>
      <c r="V117" s="1"/>
      <c r="W117" s="1"/>
      <c r="Y117" s="30"/>
      <c r="Z117" s="30"/>
      <c r="AB117" s="35"/>
      <c r="AC117" s="35"/>
      <c r="AD117" s="34"/>
      <c r="AE117" s="29"/>
      <c r="AF117" s="29"/>
      <c r="AG117" s="25"/>
      <c r="AH117" s="25"/>
    </row>
    <row r="118" spans="1:34" ht="19.5" thickBot="1" x14ac:dyDescent="0.25">
      <c r="A118" s="1" t="s">
        <v>101</v>
      </c>
      <c r="B118" s="1" t="s">
        <v>100</v>
      </c>
      <c r="C118" s="1" t="s">
        <v>502</v>
      </c>
      <c r="D118" s="36"/>
      <c r="E118" s="36"/>
      <c r="F118" s="36"/>
      <c r="G118" s="36"/>
      <c r="H118" s="30"/>
      <c r="I118" s="30"/>
      <c r="J118" s="36"/>
      <c r="K118" s="30"/>
      <c r="L118" s="30"/>
      <c r="M118" s="1"/>
      <c r="N118" s="1"/>
      <c r="O118" s="36"/>
      <c r="V118" s="1">
        <v>1</v>
      </c>
      <c r="W118" s="1" t="s">
        <v>514</v>
      </c>
      <c r="X118" t="s">
        <v>513</v>
      </c>
      <c r="Y118" s="30"/>
      <c r="Z118" s="30"/>
      <c r="AB118" s="38"/>
      <c r="AC118" s="38"/>
      <c r="AD118" s="37"/>
      <c r="AE118" s="29"/>
      <c r="AF118" s="29"/>
      <c r="AG118" s="25"/>
      <c r="AH118" s="25"/>
    </row>
    <row r="119" spans="1:34" ht="19.5" thickBot="1" x14ac:dyDescent="0.25">
      <c r="A119" s="1" t="s">
        <v>0</v>
      </c>
      <c r="B119" s="1" t="s">
        <v>99</v>
      </c>
      <c r="C119" s="1" t="s">
        <v>502</v>
      </c>
      <c r="D119" s="36"/>
      <c r="E119" s="36"/>
      <c r="F119" s="36"/>
      <c r="G119" s="36"/>
      <c r="H119" s="30"/>
      <c r="I119" s="30"/>
      <c r="J119" s="36"/>
      <c r="K119" s="30"/>
      <c r="L119" s="30"/>
      <c r="M119" s="1"/>
      <c r="N119" s="1"/>
      <c r="O119" s="36"/>
      <c r="V119" s="1">
        <v>1</v>
      </c>
      <c r="W119" s="1" t="s">
        <v>512</v>
      </c>
      <c r="X119" t="s">
        <v>511</v>
      </c>
      <c r="Y119" s="30"/>
      <c r="Z119" s="30"/>
      <c r="AB119" s="38"/>
      <c r="AC119" s="38"/>
      <c r="AD119" s="37"/>
      <c r="AE119" s="29"/>
      <c r="AF119" s="29"/>
      <c r="AG119" s="25"/>
      <c r="AH119" s="25"/>
    </row>
    <row r="120" spans="1:34" ht="19.5" thickBot="1" x14ac:dyDescent="0.25">
      <c r="A120" s="1" t="s">
        <v>96</v>
      </c>
      <c r="B120" s="1" t="s">
        <v>95</v>
      </c>
      <c r="C120" s="1" t="s">
        <v>502</v>
      </c>
      <c r="D120" s="36"/>
      <c r="E120" s="36"/>
      <c r="F120" s="36"/>
      <c r="G120" s="36"/>
      <c r="H120" s="30"/>
      <c r="I120" s="30"/>
      <c r="J120" s="36"/>
      <c r="K120" s="36"/>
      <c r="L120" s="36"/>
      <c r="M120" s="1"/>
      <c r="O120" s="36"/>
      <c r="V120" s="1">
        <v>1</v>
      </c>
      <c r="W120" s="1" t="s">
        <v>508</v>
      </c>
      <c r="X120" t="s">
        <v>507</v>
      </c>
      <c r="Y120" s="30"/>
      <c r="Z120" s="30"/>
      <c r="AB120" s="35"/>
      <c r="AC120" s="35"/>
      <c r="AD120" s="37"/>
      <c r="AE120" s="29"/>
      <c r="AF120" s="29"/>
      <c r="AG120" s="25"/>
      <c r="AH120" s="25"/>
    </row>
    <row r="121" spans="1:34" ht="19.5" thickBot="1" x14ac:dyDescent="0.25">
      <c r="A121" s="1" t="s">
        <v>94</v>
      </c>
      <c r="B121" s="1" t="s">
        <v>1259</v>
      </c>
      <c r="C121" s="1" t="s">
        <v>502</v>
      </c>
      <c r="D121" s="36"/>
      <c r="E121" s="36"/>
      <c r="F121" s="36"/>
      <c r="G121" s="36"/>
      <c r="H121" s="30"/>
      <c r="I121" s="30"/>
      <c r="J121" s="36"/>
      <c r="K121" s="30">
        <v>0</v>
      </c>
      <c r="L121" s="30">
        <v>0</v>
      </c>
      <c r="M121" s="1"/>
      <c r="O121" s="36">
        <v>0.05</v>
      </c>
      <c r="V121" s="1">
        <v>1</v>
      </c>
      <c r="W121" s="1" t="s">
        <v>506</v>
      </c>
      <c r="X121" t="s">
        <v>505</v>
      </c>
      <c r="Y121" s="30"/>
      <c r="Z121" s="30"/>
      <c r="AB121" s="35"/>
      <c r="AC121" s="35"/>
      <c r="AD121" s="37"/>
      <c r="AE121" s="29"/>
      <c r="AF121" s="29"/>
      <c r="AG121" s="25"/>
      <c r="AH121" s="25"/>
    </row>
    <row r="122" spans="1:34" ht="19.5" thickBot="1" x14ac:dyDescent="0.25">
      <c r="A122" s="1" t="s">
        <v>92</v>
      </c>
      <c r="B122" s="1" t="s">
        <v>91</v>
      </c>
      <c r="C122" s="1" t="s">
        <v>502</v>
      </c>
      <c r="D122" s="36"/>
      <c r="E122" s="36"/>
      <c r="F122" s="36"/>
      <c r="G122" s="36"/>
      <c r="H122" s="30"/>
      <c r="I122" s="30"/>
      <c r="J122" s="36"/>
      <c r="K122" s="30"/>
      <c r="L122" s="30"/>
      <c r="M122" s="1"/>
      <c r="N122" s="1"/>
      <c r="O122" s="1"/>
      <c r="V122" s="1">
        <v>1</v>
      </c>
      <c r="W122" s="1" t="s">
        <v>504</v>
      </c>
      <c r="X122" t="s">
        <v>503</v>
      </c>
      <c r="Y122" s="30"/>
      <c r="Z122" s="30"/>
      <c r="AB122" s="35"/>
      <c r="AC122" s="35"/>
      <c r="AD122" s="37"/>
      <c r="AE122" s="29"/>
      <c r="AF122" s="29"/>
      <c r="AG122" s="25"/>
      <c r="AH122" s="25"/>
    </row>
    <row r="123" spans="1:34" ht="19.5" thickBot="1" x14ac:dyDescent="0.25">
      <c r="A123" s="1" t="s">
        <v>90</v>
      </c>
      <c r="B123" s="1" t="s">
        <v>89</v>
      </c>
      <c r="C123" s="1" t="s">
        <v>502</v>
      </c>
      <c r="D123" s="36"/>
      <c r="E123" s="36"/>
      <c r="F123" s="36"/>
      <c r="G123" s="36"/>
      <c r="H123" s="30"/>
      <c r="I123" s="30"/>
      <c r="J123" s="36"/>
      <c r="K123" s="36"/>
      <c r="L123" s="36"/>
      <c r="M123" s="1"/>
      <c r="V123" s="1">
        <v>1</v>
      </c>
      <c r="W123" s="1" t="s">
        <v>500</v>
      </c>
      <c r="X123" t="s">
        <v>501</v>
      </c>
      <c r="Y123" s="30"/>
      <c r="Z123" s="30"/>
      <c r="AB123" s="35"/>
      <c r="AC123" s="35"/>
      <c r="AD123" s="34"/>
      <c r="AE123" s="29"/>
      <c r="AF123" s="29"/>
      <c r="AG123" s="25"/>
      <c r="AH123" s="25"/>
    </row>
    <row r="124" spans="1:34" ht="19.5" thickBot="1" x14ac:dyDescent="0.25">
      <c r="X124" t="s">
        <v>500</v>
      </c>
      <c r="Y124" s="30"/>
      <c r="Z124" s="30"/>
      <c r="AB124" s="35"/>
      <c r="AC124" s="35"/>
      <c r="AD124" s="34"/>
      <c r="AE124" s="29"/>
      <c r="AF124" s="29"/>
      <c r="AG124" s="25"/>
      <c r="AH124" s="25"/>
    </row>
    <row r="125" spans="1:34" ht="19.5" thickBot="1" x14ac:dyDescent="0.25">
      <c r="X125" t="s">
        <v>500</v>
      </c>
      <c r="Y125" s="30"/>
      <c r="Z125" s="30"/>
      <c r="AB125" s="35"/>
      <c r="AC125" s="35"/>
      <c r="AD125" s="34"/>
      <c r="AE125" s="29"/>
      <c r="AF125" s="29"/>
      <c r="AG125" s="25"/>
      <c r="AH125" s="25"/>
    </row>
    <row r="126" spans="1:34" ht="36.75" thickBot="1" x14ac:dyDescent="0.25">
      <c r="A126" s="18" t="s">
        <v>193</v>
      </c>
      <c r="B126" s="18" t="s">
        <v>192</v>
      </c>
      <c r="C126" s="21" t="s">
        <v>189</v>
      </c>
      <c r="D126" s="20" t="s">
        <v>188</v>
      </c>
      <c r="E126" s="20" t="s">
        <v>187</v>
      </c>
      <c r="F126" s="20" t="s">
        <v>186</v>
      </c>
      <c r="G126" s="20" t="s">
        <v>185</v>
      </c>
      <c r="H126" s="31" t="s">
        <v>184</v>
      </c>
      <c r="I126" s="31" t="s">
        <v>183</v>
      </c>
      <c r="J126" s="20" t="s">
        <v>878</v>
      </c>
      <c r="K126" s="31" t="s">
        <v>179</v>
      </c>
      <c r="L126" s="31" t="s">
        <v>178</v>
      </c>
      <c r="M126" s="18" t="s">
        <v>177</v>
      </c>
      <c r="N126" s="18" t="s">
        <v>176</v>
      </c>
      <c r="O126" s="17" t="s">
        <v>168</v>
      </c>
      <c r="P126" s="16" t="s">
        <v>175</v>
      </c>
      <c r="Q126" s="16" t="s">
        <v>174</v>
      </c>
      <c r="R126" s="16" t="s">
        <v>173</v>
      </c>
      <c r="S126" s="17" t="s">
        <v>172</v>
      </c>
      <c r="T126" s="16" t="s">
        <v>171</v>
      </c>
      <c r="AB126" s="35"/>
      <c r="AC126" s="35"/>
      <c r="AD126" s="34"/>
      <c r="AE126" s="29"/>
      <c r="AF126" s="29"/>
      <c r="AG126" s="25"/>
      <c r="AH126" s="25"/>
    </row>
    <row r="127" spans="1:34" ht="19.5" thickBot="1" x14ac:dyDescent="0.25">
      <c r="A127" t="s">
        <v>1241</v>
      </c>
      <c r="B127" t="s">
        <v>1250</v>
      </c>
      <c r="C127" t="s">
        <v>1241</v>
      </c>
      <c r="D127" s="29">
        <v>0.95</v>
      </c>
      <c r="E127" s="29">
        <v>0</v>
      </c>
      <c r="F127" s="29">
        <v>0</v>
      </c>
      <c r="G127" s="29">
        <v>1</v>
      </c>
      <c r="H127" s="29">
        <v>0.7</v>
      </c>
      <c r="I127" s="29" t="s">
        <v>1256</v>
      </c>
      <c r="J127">
        <v>0.1</v>
      </c>
      <c r="K127" s="29">
        <v>0.1</v>
      </c>
      <c r="L127" s="29">
        <v>1.25</v>
      </c>
      <c r="M127" s="29">
        <v>0</v>
      </c>
      <c r="N127" s="29">
        <v>-0.05</v>
      </c>
      <c r="O127" s="29" t="s">
        <v>1256</v>
      </c>
      <c r="P127" s="29" t="s">
        <v>1256</v>
      </c>
      <c r="Q127" s="29" t="s">
        <v>1256</v>
      </c>
      <c r="R127" s="29" t="s">
        <v>1256</v>
      </c>
      <c r="S127" s="33">
        <v>2</v>
      </c>
      <c r="T127" t="s">
        <v>1242</v>
      </c>
      <c r="AB127" s="35"/>
      <c r="AC127" s="35"/>
      <c r="AD127" s="34"/>
      <c r="AE127" s="29"/>
      <c r="AF127" s="29"/>
      <c r="AG127" s="25"/>
      <c r="AH127" s="25"/>
    </row>
    <row r="128" spans="1:34" ht="19.5" thickBot="1" x14ac:dyDescent="0.25">
      <c r="A128" t="s">
        <v>1243</v>
      </c>
      <c r="B128" t="s">
        <v>1251</v>
      </c>
      <c r="C128" t="s">
        <v>1243</v>
      </c>
      <c r="D128" s="29">
        <v>1.05</v>
      </c>
      <c r="E128" s="29">
        <v>0</v>
      </c>
      <c r="F128" s="29">
        <v>0.8</v>
      </c>
      <c r="G128" s="29">
        <v>0.2</v>
      </c>
      <c r="H128" s="29">
        <v>0.5</v>
      </c>
      <c r="I128" s="29" t="s">
        <v>1256</v>
      </c>
      <c r="J128">
        <v>7.0000000000000007E-2</v>
      </c>
      <c r="K128" s="29">
        <v>0.1</v>
      </c>
      <c r="L128" s="29">
        <v>1.5</v>
      </c>
      <c r="M128" s="29">
        <v>-0.03</v>
      </c>
      <c r="N128" s="29">
        <v>-0.03</v>
      </c>
      <c r="O128" s="29" t="s">
        <v>1256</v>
      </c>
      <c r="P128" s="29" t="s">
        <v>1256</v>
      </c>
      <c r="Q128" s="29" t="s">
        <v>1256</v>
      </c>
      <c r="R128" s="29" t="s">
        <v>1256</v>
      </c>
      <c r="S128" s="33">
        <v>1</v>
      </c>
      <c r="T128" t="s">
        <v>1244</v>
      </c>
      <c r="AB128" s="35"/>
      <c r="AC128" s="35"/>
      <c r="AD128" s="34"/>
      <c r="AE128" s="29"/>
      <c r="AF128" s="29"/>
      <c r="AG128" s="25"/>
      <c r="AH128" s="25"/>
    </row>
    <row r="129" spans="1:34" ht="19.5" thickBot="1" x14ac:dyDescent="0.25">
      <c r="A129" t="s">
        <v>1245</v>
      </c>
      <c r="B129" t="s">
        <v>1252</v>
      </c>
      <c r="C129" t="s">
        <v>1245</v>
      </c>
      <c r="D129" s="29">
        <v>1</v>
      </c>
      <c r="E129" s="29">
        <v>0.4</v>
      </c>
      <c r="F129" s="29">
        <v>0.4</v>
      </c>
      <c r="G129" s="29">
        <v>0.1</v>
      </c>
      <c r="H129" s="29">
        <v>0.4</v>
      </c>
      <c r="I129" s="29" t="s">
        <v>1256</v>
      </c>
      <c r="J129">
        <v>7.0000000000000007E-2</v>
      </c>
      <c r="K129" s="29">
        <v>0.2</v>
      </c>
      <c r="L129" s="29">
        <v>1.4</v>
      </c>
      <c r="M129" s="29">
        <v>-0.03</v>
      </c>
      <c r="N129" s="29">
        <v>-0.03</v>
      </c>
      <c r="O129" s="29" t="s">
        <v>1256</v>
      </c>
      <c r="P129" s="29" t="s">
        <v>1256</v>
      </c>
      <c r="Q129" s="29" t="s">
        <v>1256</v>
      </c>
      <c r="R129" s="29" t="s">
        <v>1256</v>
      </c>
      <c r="S129" s="33">
        <v>1</v>
      </c>
      <c r="T129" t="s">
        <v>1244</v>
      </c>
      <c r="AB129" s="35"/>
      <c r="AC129" s="35"/>
      <c r="AD129" s="34"/>
      <c r="AE129" s="29"/>
      <c r="AF129" s="29"/>
      <c r="AG129" s="25"/>
      <c r="AH129" s="25"/>
    </row>
    <row r="130" spans="1:34" ht="19.5" thickBot="1" x14ac:dyDescent="0.25">
      <c r="A130" t="s">
        <v>1246</v>
      </c>
      <c r="B130" t="s">
        <v>1253</v>
      </c>
      <c r="C130" t="s">
        <v>1246</v>
      </c>
      <c r="D130" s="29">
        <v>1</v>
      </c>
      <c r="E130" s="29">
        <v>0.5</v>
      </c>
      <c r="F130" s="29">
        <v>0.3</v>
      </c>
      <c r="G130" s="29">
        <v>0.2</v>
      </c>
      <c r="H130" s="29">
        <v>0.65</v>
      </c>
      <c r="I130" s="29" t="s">
        <v>1256</v>
      </c>
      <c r="J130">
        <v>0.1</v>
      </c>
      <c r="K130" s="29">
        <v>0.15</v>
      </c>
      <c r="L130" s="29">
        <v>1.4</v>
      </c>
      <c r="M130" s="29">
        <v>0</v>
      </c>
      <c r="N130" s="29">
        <v>-0.05</v>
      </c>
      <c r="O130" s="29" t="s">
        <v>1256</v>
      </c>
      <c r="P130" s="29" t="s">
        <v>1256</v>
      </c>
      <c r="Q130" s="29" t="s">
        <v>1256</v>
      </c>
      <c r="R130" s="29" t="s">
        <v>1256</v>
      </c>
      <c r="S130" s="33">
        <v>2</v>
      </c>
      <c r="T130" t="s">
        <v>1242</v>
      </c>
      <c r="AG130" s="25"/>
      <c r="AH130" s="25"/>
    </row>
    <row r="131" spans="1:34" ht="19.5" thickBot="1" x14ac:dyDescent="0.25">
      <c r="A131" t="s">
        <v>1247</v>
      </c>
      <c r="B131" t="s">
        <v>1254</v>
      </c>
      <c r="C131" t="s">
        <v>1247</v>
      </c>
      <c r="D131" s="29">
        <v>0.85</v>
      </c>
      <c r="E131" s="29">
        <v>0</v>
      </c>
      <c r="F131" s="29">
        <v>0</v>
      </c>
      <c r="G131" s="29">
        <v>0.7</v>
      </c>
      <c r="H131" s="29">
        <v>0.3</v>
      </c>
      <c r="I131" s="29" t="s">
        <v>1256</v>
      </c>
      <c r="J131">
        <v>0.05</v>
      </c>
      <c r="K131" s="29">
        <v>0.05</v>
      </c>
      <c r="L131" s="29">
        <v>1.2</v>
      </c>
      <c r="M131" s="29">
        <v>-0.01</v>
      </c>
      <c r="N131" s="29">
        <v>0</v>
      </c>
      <c r="O131" s="29" t="s">
        <v>1256</v>
      </c>
      <c r="P131" s="29" t="s">
        <v>1256</v>
      </c>
      <c r="Q131" s="29" t="s">
        <v>1256</v>
      </c>
      <c r="R131" s="29" t="s">
        <v>1256</v>
      </c>
      <c r="S131" s="33">
        <v>1</v>
      </c>
      <c r="T131" t="s">
        <v>1248</v>
      </c>
      <c r="AG131" s="25"/>
      <c r="AH131" s="25"/>
    </row>
    <row r="132" spans="1:34" ht="19.5" thickBot="1" x14ac:dyDescent="0.25">
      <c r="A132" t="s">
        <v>1249</v>
      </c>
      <c r="B132" t="s">
        <v>1255</v>
      </c>
      <c r="C132" t="s">
        <v>1249</v>
      </c>
      <c r="D132" s="29">
        <v>0.95</v>
      </c>
      <c r="E132" s="29">
        <v>0</v>
      </c>
      <c r="F132" s="29">
        <v>0</v>
      </c>
      <c r="G132" s="29">
        <v>0.9</v>
      </c>
      <c r="H132" s="29">
        <v>0.35</v>
      </c>
      <c r="I132" s="29" t="s">
        <v>1256</v>
      </c>
      <c r="J132">
        <v>0.05</v>
      </c>
      <c r="K132" s="29">
        <v>0.1</v>
      </c>
      <c r="L132" s="29">
        <v>1.3</v>
      </c>
      <c r="M132" s="29">
        <v>-0.05</v>
      </c>
      <c r="N132" s="29">
        <v>-0.05</v>
      </c>
      <c r="O132" s="29" t="s">
        <v>1256</v>
      </c>
      <c r="P132" s="29" t="s">
        <v>1256</v>
      </c>
      <c r="Q132" s="29" t="s">
        <v>1256</v>
      </c>
      <c r="R132" s="29" t="s">
        <v>1256</v>
      </c>
      <c r="S132" s="33">
        <v>1</v>
      </c>
      <c r="T132" t="s">
        <v>1248</v>
      </c>
      <c r="AG132" s="25"/>
      <c r="AH132" s="25"/>
    </row>
    <row r="133" spans="1:34" ht="19.5" thickBot="1" x14ac:dyDescent="0.25">
      <c r="AG133" s="25"/>
      <c r="AH133" s="25"/>
    </row>
    <row r="134" spans="1:34" ht="19.5" thickBot="1" x14ac:dyDescent="0.25">
      <c r="AG134" s="25"/>
      <c r="AH134" s="25"/>
    </row>
    <row r="135" spans="1:34" ht="19.5" thickBot="1" x14ac:dyDescent="0.25">
      <c r="AG135" s="25"/>
      <c r="AH135" s="25"/>
    </row>
    <row r="136" spans="1:34" ht="19.5" thickBot="1" x14ac:dyDescent="0.25">
      <c r="AG136" s="25"/>
      <c r="AH136" s="25"/>
    </row>
    <row r="137" spans="1:34" ht="19.5" thickBot="1" x14ac:dyDescent="0.25">
      <c r="AG137" s="25"/>
      <c r="AH137" s="25"/>
    </row>
    <row r="138" spans="1:34" ht="19.5" thickBot="1" x14ac:dyDescent="0.25">
      <c r="AG138" s="25"/>
      <c r="AH138" s="25"/>
    </row>
    <row r="139" spans="1:34" ht="19.5" thickBot="1" x14ac:dyDescent="0.25">
      <c r="AG139" s="25"/>
      <c r="AH139" s="25"/>
    </row>
    <row r="140" spans="1:34" ht="19.5" thickBot="1" x14ac:dyDescent="0.25">
      <c r="AG140" s="25"/>
      <c r="AH140" s="25"/>
    </row>
    <row r="141" spans="1:34" ht="19.5" thickBot="1" x14ac:dyDescent="0.25">
      <c r="AG141" s="25"/>
      <c r="AH141" s="25"/>
    </row>
    <row r="142" spans="1:34" ht="19.5" thickBot="1" x14ac:dyDescent="0.25">
      <c r="AG142" s="25"/>
      <c r="AH142" s="25"/>
    </row>
    <row r="143" spans="1:34" ht="19.5" thickBot="1" x14ac:dyDescent="0.25">
      <c r="AG143" s="25"/>
      <c r="AH143" s="25"/>
    </row>
    <row r="144" spans="1:34" ht="19.5" thickBot="1" x14ac:dyDescent="0.25">
      <c r="AG144" s="25"/>
      <c r="AH144" s="25"/>
    </row>
    <row r="145" spans="33:34" ht="19.5" thickBot="1" x14ac:dyDescent="0.25">
      <c r="AG145" s="25"/>
      <c r="AH145" s="25"/>
    </row>
    <row r="146" spans="33:34" ht="19.5" thickBot="1" x14ac:dyDescent="0.25">
      <c r="AG146" s="25"/>
      <c r="AH146" s="25"/>
    </row>
    <row r="147" spans="33:34" ht="19.5" thickBot="1" x14ac:dyDescent="0.25">
      <c r="AG147" s="25"/>
      <c r="AH147" s="25"/>
    </row>
    <row r="148" spans="33:34" ht="19.5" thickBot="1" x14ac:dyDescent="0.25">
      <c r="AG148" s="25"/>
      <c r="AH148" s="25"/>
    </row>
    <row r="149" spans="33:34" ht="19.5" thickBot="1" x14ac:dyDescent="0.25">
      <c r="AG149" s="25"/>
      <c r="AH149" s="25"/>
    </row>
    <row r="150" spans="33:34" ht="19.5" thickBot="1" x14ac:dyDescent="0.25">
      <c r="AG150" s="25"/>
      <c r="AH150" s="25"/>
    </row>
    <row r="151" spans="33:34" ht="19.5" thickBot="1" x14ac:dyDescent="0.25">
      <c r="AG151" s="25"/>
      <c r="AH151" s="25"/>
    </row>
    <row r="152" spans="33:34" ht="19.5" thickBot="1" x14ac:dyDescent="0.25">
      <c r="AG152" s="25"/>
      <c r="AH152" s="25"/>
    </row>
    <row r="153" spans="33:34" ht="19.5" thickBot="1" x14ac:dyDescent="0.25">
      <c r="AG153" s="25"/>
      <c r="AH153" s="25"/>
    </row>
    <row r="154" spans="33:34" ht="19.5" thickBot="1" x14ac:dyDescent="0.25">
      <c r="AG154" s="25"/>
      <c r="AH154" s="25"/>
    </row>
    <row r="155" spans="33:34" ht="19.5" thickBot="1" x14ac:dyDescent="0.25">
      <c r="AG155" s="25"/>
      <c r="AH155" s="25"/>
    </row>
    <row r="156" spans="33:34" ht="19.5" thickBot="1" x14ac:dyDescent="0.25">
      <c r="AG156" s="25"/>
      <c r="AH156" s="25"/>
    </row>
    <row r="157" spans="33:34" ht="19.5" thickBot="1" x14ac:dyDescent="0.25">
      <c r="AG157" s="25"/>
      <c r="AH157" s="25"/>
    </row>
    <row r="158" spans="33:34" ht="19.5" thickBot="1" x14ac:dyDescent="0.25">
      <c r="AG158" s="25"/>
      <c r="AH158" s="25"/>
    </row>
    <row r="159" spans="33:34" ht="19.5" thickBot="1" x14ac:dyDescent="0.25">
      <c r="AG159" s="25"/>
      <c r="AH159" s="25"/>
    </row>
    <row r="160" spans="33:34" ht="19.5" thickBot="1" x14ac:dyDescent="0.25">
      <c r="AG160" s="25"/>
      <c r="AH160" s="25"/>
    </row>
    <row r="161" spans="33:34" ht="19.5" thickBot="1" x14ac:dyDescent="0.25">
      <c r="AG161" s="25"/>
      <c r="AH161" s="25"/>
    </row>
    <row r="162" spans="33:34" ht="19.5" thickBot="1" x14ac:dyDescent="0.25">
      <c r="AG162" s="25"/>
      <c r="AH162" s="25"/>
    </row>
    <row r="163" spans="33:34" ht="19.5" thickBot="1" x14ac:dyDescent="0.25">
      <c r="AG163" s="25"/>
      <c r="AH163" s="25"/>
    </row>
    <row r="164" spans="33:34" ht="19.5" thickBot="1" x14ac:dyDescent="0.25">
      <c r="AG164" s="25"/>
      <c r="AH164" s="25"/>
    </row>
    <row r="165" spans="33:34" ht="19.5" thickBot="1" x14ac:dyDescent="0.25">
      <c r="AG165" s="25"/>
      <c r="AH165" s="25"/>
    </row>
    <row r="166" spans="33:34" ht="19.5" thickBot="1" x14ac:dyDescent="0.25">
      <c r="AG166" s="25"/>
      <c r="AH166" s="25"/>
    </row>
    <row r="167" spans="33:34" ht="19.5" thickBot="1" x14ac:dyDescent="0.25">
      <c r="AG167" s="25"/>
      <c r="AH167" s="25"/>
    </row>
    <row r="168" spans="33:34" ht="19.5" thickBot="1" x14ac:dyDescent="0.25">
      <c r="AG168" s="25"/>
      <c r="AH168" s="25"/>
    </row>
    <row r="169" spans="33:34" ht="19.5" thickBot="1" x14ac:dyDescent="0.25">
      <c r="AG169" s="25"/>
      <c r="AH169" s="25"/>
    </row>
    <row r="170" spans="33:34" ht="19.5" thickBot="1" x14ac:dyDescent="0.25">
      <c r="AG170" s="25"/>
      <c r="AH170" s="25"/>
    </row>
    <row r="171" spans="33:34" ht="19.5" thickBot="1" x14ac:dyDescent="0.25">
      <c r="AG171" s="25"/>
      <c r="AH171" s="25"/>
    </row>
    <row r="172" spans="33:34" ht="19.5" thickBot="1" x14ac:dyDescent="0.25">
      <c r="AG172" s="25"/>
      <c r="AH172" s="25"/>
    </row>
    <row r="173" spans="33:34" ht="19.5" thickBot="1" x14ac:dyDescent="0.25">
      <c r="AG173" s="25"/>
      <c r="AH173" s="25"/>
    </row>
    <row r="174" spans="33:34" ht="19.5" thickBot="1" x14ac:dyDescent="0.25">
      <c r="AG174" s="25"/>
      <c r="AH174" s="25"/>
    </row>
    <row r="175" spans="33:34" ht="19.5" thickBot="1" x14ac:dyDescent="0.25">
      <c r="AG175" s="25"/>
      <c r="AH175" s="25"/>
    </row>
    <row r="176" spans="33:34" ht="19.5" thickBot="1" x14ac:dyDescent="0.25">
      <c r="AG176" s="25"/>
      <c r="AH176" s="25"/>
    </row>
    <row r="177" spans="33:34" ht="19.5" thickBot="1" x14ac:dyDescent="0.25">
      <c r="AG177" s="25"/>
      <c r="AH177" s="25"/>
    </row>
    <row r="178" spans="33:34" ht="19.5" thickBot="1" x14ac:dyDescent="0.25">
      <c r="AG178" s="25"/>
      <c r="AH178" s="25"/>
    </row>
    <row r="179" spans="33:34" ht="19.5" thickBot="1" x14ac:dyDescent="0.25">
      <c r="AG179" s="25"/>
      <c r="AH179" s="25"/>
    </row>
    <row r="180" spans="33:34" ht="19.5" thickBot="1" x14ac:dyDescent="0.25">
      <c r="AG180" s="25"/>
      <c r="AH180" s="25"/>
    </row>
    <row r="181" spans="33:34" ht="19.5" thickBot="1" x14ac:dyDescent="0.25">
      <c r="AG181" s="25"/>
      <c r="AH181" s="25"/>
    </row>
    <row r="182" spans="33:34" ht="19.5" thickBot="1" x14ac:dyDescent="0.25">
      <c r="AG182" s="25"/>
      <c r="AH182" s="25"/>
    </row>
    <row r="183" spans="33:34" ht="19.5" thickBot="1" x14ac:dyDescent="0.25">
      <c r="AG183" s="25"/>
      <c r="AH183" s="25"/>
    </row>
    <row r="184" spans="33:34" ht="19.5" thickBot="1" x14ac:dyDescent="0.25">
      <c r="AG184" s="25"/>
      <c r="AH184" s="25"/>
    </row>
    <row r="185" spans="33:34" ht="19.5" thickBot="1" x14ac:dyDescent="0.25">
      <c r="AG185" s="25"/>
      <c r="AH185" s="25"/>
    </row>
    <row r="186" spans="33:34" ht="19.5" thickBot="1" x14ac:dyDescent="0.25">
      <c r="AG186" s="25"/>
      <c r="AH186" s="25"/>
    </row>
    <row r="187" spans="33:34" ht="19.5" thickBot="1" x14ac:dyDescent="0.25">
      <c r="AG187" s="25"/>
      <c r="AH187" s="25"/>
    </row>
    <row r="188" spans="33:34" ht="19.5" thickBot="1" x14ac:dyDescent="0.25">
      <c r="AG188" s="25"/>
      <c r="AH188" s="25"/>
    </row>
    <row r="189" spans="33:34" ht="19.5" thickBot="1" x14ac:dyDescent="0.25">
      <c r="AG189" s="25"/>
      <c r="AH189" s="25"/>
    </row>
    <row r="190" spans="33:34" ht="19.5" thickBot="1" x14ac:dyDescent="0.25">
      <c r="AG190" s="25"/>
      <c r="AH190" s="25"/>
    </row>
    <row r="191" spans="33:34" ht="19.5" thickBot="1" x14ac:dyDescent="0.25">
      <c r="AG191" s="25"/>
      <c r="AH191" s="25"/>
    </row>
    <row r="192" spans="33:34" ht="19.5" thickBot="1" x14ac:dyDescent="0.25">
      <c r="AG192" s="25"/>
      <c r="AH192" s="25"/>
    </row>
    <row r="193" spans="33:34" ht="19.5" thickBot="1" x14ac:dyDescent="0.25">
      <c r="AG193" s="25"/>
      <c r="AH193" s="25"/>
    </row>
    <row r="194" spans="33:34" ht="19.5" thickBot="1" x14ac:dyDescent="0.25">
      <c r="AG194" s="25"/>
      <c r="AH194" s="25"/>
    </row>
    <row r="195" spans="33:34" ht="19.5" thickBot="1" x14ac:dyDescent="0.25">
      <c r="AG195" s="25"/>
      <c r="AH195" s="25"/>
    </row>
    <row r="196" spans="33:34" ht="19.5" thickBot="1" x14ac:dyDescent="0.25">
      <c r="AG196" s="25"/>
      <c r="AH196" s="25"/>
    </row>
    <row r="197" spans="33:34" ht="19.5" thickBot="1" x14ac:dyDescent="0.25">
      <c r="AG197" s="25"/>
      <c r="AH197" s="25"/>
    </row>
    <row r="198" spans="33:34" ht="19.5" thickBot="1" x14ac:dyDescent="0.25">
      <c r="AG198" s="25"/>
      <c r="AH198" s="25"/>
    </row>
    <row r="199" spans="33:34" ht="19.5" thickBot="1" x14ac:dyDescent="0.25">
      <c r="AG199" s="25"/>
      <c r="AH199" s="25"/>
    </row>
    <row r="200" spans="33:34" ht="19.5" thickBot="1" x14ac:dyDescent="0.25">
      <c r="AG200" s="25"/>
      <c r="AH200" s="25"/>
    </row>
    <row r="201" spans="33:34" ht="19.5" thickBot="1" x14ac:dyDescent="0.25">
      <c r="AG201" s="25"/>
      <c r="AH201" s="25"/>
    </row>
    <row r="202" spans="33:34" ht="19.5" thickBot="1" x14ac:dyDescent="0.25">
      <c r="AG202" s="25"/>
      <c r="AH202" s="25"/>
    </row>
    <row r="203" spans="33:34" ht="19.5" thickBot="1" x14ac:dyDescent="0.25">
      <c r="AG203" s="25"/>
      <c r="AH203" s="25"/>
    </row>
    <row r="204" spans="33:34" ht="19.5" thickBot="1" x14ac:dyDescent="0.25">
      <c r="AG204" s="25"/>
      <c r="AH204" s="25"/>
    </row>
    <row r="205" spans="33:34" ht="19.5" thickBot="1" x14ac:dyDescent="0.25">
      <c r="AG205" s="25"/>
      <c r="AH205" s="25"/>
    </row>
    <row r="206" spans="33:34" ht="19.5" thickBot="1" x14ac:dyDescent="0.25">
      <c r="AG206" s="25"/>
      <c r="AH206" s="25"/>
    </row>
    <row r="207" spans="33:34" ht="19.5" thickBot="1" x14ac:dyDescent="0.25">
      <c r="AG207" s="25"/>
      <c r="AH207" s="25"/>
    </row>
    <row r="208" spans="33:34" ht="19.5" thickBot="1" x14ac:dyDescent="0.25">
      <c r="AG208" s="25"/>
      <c r="AH208" s="25"/>
    </row>
    <row r="209" spans="33:34" ht="19.5" thickBot="1" x14ac:dyDescent="0.25">
      <c r="AG209" s="25"/>
      <c r="AH209" s="25"/>
    </row>
    <row r="210" spans="33:34" ht="19.5" thickBot="1" x14ac:dyDescent="0.25">
      <c r="AG210" s="25"/>
      <c r="AH210" s="25"/>
    </row>
    <row r="211" spans="33:34" ht="19.5" thickBot="1" x14ac:dyDescent="0.25">
      <c r="AG211" s="25"/>
      <c r="AH211" s="25"/>
    </row>
    <row r="212" spans="33:34" ht="19.5" thickBot="1" x14ac:dyDescent="0.25">
      <c r="AG212" s="25"/>
      <c r="AH212" s="25"/>
    </row>
    <row r="213" spans="33:34" ht="19.5" thickBot="1" x14ac:dyDescent="0.25">
      <c r="AG213" s="25"/>
      <c r="AH213" s="25"/>
    </row>
    <row r="214" spans="33:34" ht="19.5" thickBot="1" x14ac:dyDescent="0.25">
      <c r="AG214" s="25"/>
      <c r="AH214" s="25"/>
    </row>
    <row r="215" spans="33:34" ht="19.5" thickBot="1" x14ac:dyDescent="0.25">
      <c r="AG215" s="25"/>
      <c r="AH215" s="25"/>
    </row>
    <row r="216" spans="33:34" ht="19.5" thickBot="1" x14ac:dyDescent="0.25">
      <c r="AG216" s="25"/>
      <c r="AH216" s="25"/>
    </row>
    <row r="217" spans="33:34" ht="19.5" thickBot="1" x14ac:dyDescent="0.25">
      <c r="AG217" s="25"/>
      <c r="AH217" s="25"/>
    </row>
    <row r="218" spans="33:34" ht="19.5" thickBot="1" x14ac:dyDescent="0.25">
      <c r="AG218" s="25"/>
      <c r="AH218" s="25"/>
    </row>
    <row r="219" spans="33:34" ht="19.5" thickBot="1" x14ac:dyDescent="0.25">
      <c r="AG219" s="25"/>
      <c r="AH219" s="25"/>
    </row>
    <row r="220" spans="33:34" ht="19.5" thickBot="1" x14ac:dyDescent="0.25">
      <c r="AG220" s="25"/>
      <c r="AH220" s="25"/>
    </row>
    <row r="221" spans="33:34" ht="19.5" thickBot="1" x14ac:dyDescent="0.25">
      <c r="AG221" s="25"/>
      <c r="AH221" s="25"/>
    </row>
    <row r="222" spans="33:34" ht="19.5" thickBot="1" x14ac:dyDescent="0.25">
      <c r="AG222" s="25"/>
      <c r="AH222" s="25"/>
    </row>
    <row r="223" spans="33:34" ht="19.5" thickBot="1" x14ac:dyDescent="0.25">
      <c r="AG223" s="25"/>
      <c r="AH223" s="25"/>
    </row>
    <row r="224" spans="33:34" ht="19.5" thickBot="1" x14ac:dyDescent="0.25">
      <c r="AG224" s="25"/>
      <c r="AH224" s="25"/>
    </row>
    <row r="225" spans="33:34" ht="19.5" thickBot="1" x14ac:dyDescent="0.25">
      <c r="AG225" s="25"/>
      <c r="AH225" s="25"/>
    </row>
    <row r="226" spans="33:34" ht="19.5" thickBot="1" x14ac:dyDescent="0.25">
      <c r="AG226" s="25"/>
      <c r="AH226" s="25"/>
    </row>
    <row r="227" spans="33:34" ht="19.5" thickBot="1" x14ac:dyDescent="0.25">
      <c r="AG227" s="25"/>
      <c r="AH227" s="25"/>
    </row>
    <row r="228" spans="33:34" ht="19.5" thickBot="1" x14ac:dyDescent="0.25">
      <c r="AG228" s="25"/>
      <c r="AH228" s="25"/>
    </row>
    <row r="229" spans="33:34" ht="19.5" thickBot="1" x14ac:dyDescent="0.25">
      <c r="AG229" s="25"/>
      <c r="AH229" s="25"/>
    </row>
    <row r="230" spans="33:34" ht="19.5" thickBot="1" x14ac:dyDescent="0.25">
      <c r="AG230" s="25"/>
      <c r="AH230" s="25"/>
    </row>
    <row r="231" spans="33:34" ht="19.5" thickBot="1" x14ac:dyDescent="0.25">
      <c r="AG231" s="25"/>
      <c r="AH231" s="25"/>
    </row>
    <row r="232" spans="33:34" ht="19.5" thickBot="1" x14ac:dyDescent="0.25">
      <c r="AG232" s="25"/>
      <c r="AH232" s="25"/>
    </row>
    <row r="233" spans="33:34" ht="19.5" thickBot="1" x14ac:dyDescent="0.25">
      <c r="AG233" s="25"/>
      <c r="AH233" s="25"/>
    </row>
    <row r="234" spans="33:34" ht="19.5" thickBot="1" x14ac:dyDescent="0.25">
      <c r="AG234" s="25"/>
      <c r="AH234" s="25"/>
    </row>
    <row r="235" spans="33:34" ht="19.5" thickBot="1" x14ac:dyDescent="0.25">
      <c r="AG235" s="25"/>
      <c r="AH235" s="25"/>
    </row>
    <row r="236" spans="33:34" ht="19.5" thickBot="1" x14ac:dyDescent="0.25">
      <c r="AG236" s="25"/>
      <c r="AH236" s="25"/>
    </row>
    <row r="237" spans="33:34" ht="19.5" thickBot="1" x14ac:dyDescent="0.25">
      <c r="AG237" s="25"/>
      <c r="AH237" s="25"/>
    </row>
    <row r="238" spans="33:34" ht="19.5" thickBot="1" x14ac:dyDescent="0.25">
      <c r="AG238" s="25"/>
      <c r="AH238" s="25"/>
    </row>
    <row r="239" spans="33:34" ht="19.5" thickBot="1" x14ac:dyDescent="0.25">
      <c r="AG239" s="25"/>
      <c r="AH239" s="25"/>
    </row>
    <row r="240" spans="33:34" ht="19.5" thickBot="1" x14ac:dyDescent="0.25">
      <c r="AG240" s="25"/>
      <c r="AH240" s="25"/>
    </row>
    <row r="241" spans="6:34" ht="19.5" thickBot="1" x14ac:dyDescent="0.25">
      <c r="AG241" s="25"/>
      <c r="AH241" s="25"/>
    </row>
    <row r="242" spans="6:34" ht="19.5" thickBot="1" x14ac:dyDescent="0.25">
      <c r="AG242" s="25"/>
      <c r="AH242" s="25"/>
    </row>
    <row r="243" spans="6:34" ht="19.5" thickBot="1" x14ac:dyDescent="0.25">
      <c r="AG243" s="25"/>
      <c r="AH243" s="25"/>
    </row>
    <row r="244" spans="6:34" ht="19.5" thickBot="1" x14ac:dyDescent="0.25">
      <c r="F244">
        <v>0.2</v>
      </c>
      <c r="AG244" s="25"/>
      <c r="AH244" s="25"/>
    </row>
    <row r="245" spans="6:34" ht="19.5" thickBot="1" x14ac:dyDescent="0.25">
      <c r="F245">
        <v>0.5</v>
      </c>
      <c r="AG245" s="25"/>
      <c r="AH245" s="25"/>
    </row>
    <row r="246" spans="6:34" ht="19.5" thickBot="1" x14ac:dyDescent="0.25">
      <c r="F246">
        <v>0.8</v>
      </c>
      <c r="AG246" s="25"/>
      <c r="AH246" s="25"/>
    </row>
    <row r="247" spans="6:34" ht="19.5" thickBot="1" x14ac:dyDescent="0.25">
      <c r="AG247" s="25"/>
      <c r="AH247" s="25"/>
    </row>
    <row r="248" spans="6:34" ht="19.5" thickBot="1" x14ac:dyDescent="0.25">
      <c r="AG248" s="25"/>
      <c r="AH248" s="25"/>
    </row>
    <row r="249" spans="6:34" ht="19.5" thickBot="1" x14ac:dyDescent="0.25">
      <c r="F249">
        <v>0.25</v>
      </c>
      <c r="AG249" s="25"/>
      <c r="AH249" s="25"/>
    </row>
    <row r="250" spans="6:34" ht="19.5" thickBot="1" x14ac:dyDescent="0.25">
      <c r="F250">
        <v>0.55000000000000004</v>
      </c>
      <c r="AG250" s="25"/>
      <c r="AH250" s="25"/>
    </row>
    <row r="251" spans="6:34" ht="19.5" thickBot="1" x14ac:dyDescent="0.25">
      <c r="F251">
        <v>0.85</v>
      </c>
      <c r="AG251" s="25"/>
      <c r="AH251" s="25"/>
    </row>
    <row r="252" spans="6:34" ht="19.5" thickBot="1" x14ac:dyDescent="0.25">
      <c r="AG252" s="25"/>
      <c r="AH252" s="25"/>
    </row>
    <row r="253" spans="6:34" ht="19.5" thickBot="1" x14ac:dyDescent="0.25">
      <c r="AG253" s="25"/>
      <c r="AH253" s="25"/>
    </row>
    <row r="254" spans="6:34" ht="19.5" thickBot="1" x14ac:dyDescent="0.25">
      <c r="F254">
        <v>0.2</v>
      </c>
      <c r="AG254" s="25"/>
      <c r="AH254" s="25"/>
    </row>
    <row r="255" spans="6:34" ht="19.5" thickBot="1" x14ac:dyDescent="0.25">
      <c r="F255">
        <v>0.5</v>
      </c>
      <c r="AG255" s="25"/>
      <c r="AH255" s="25"/>
    </row>
    <row r="256" spans="6:34" ht="19.5" thickBot="1" x14ac:dyDescent="0.25">
      <c r="F256">
        <v>0.8</v>
      </c>
      <c r="AG256" s="25"/>
      <c r="AH256" s="25"/>
    </row>
    <row r="257" spans="5:34" ht="19.5" thickBot="1" x14ac:dyDescent="0.25">
      <c r="AG257" s="25"/>
      <c r="AH257" s="25"/>
    </row>
    <row r="258" spans="5:34" ht="19.5" thickBot="1" x14ac:dyDescent="0.25">
      <c r="AG258" s="25"/>
      <c r="AH258" s="25"/>
    </row>
    <row r="259" spans="5:34" ht="19.5" thickBot="1" x14ac:dyDescent="0.25">
      <c r="AG259" s="25"/>
      <c r="AH259" s="25"/>
    </row>
    <row r="260" spans="5:34" ht="19.5" thickBot="1" x14ac:dyDescent="0.25">
      <c r="AG260" s="25"/>
      <c r="AH260" s="25"/>
    </row>
    <row r="261" spans="5:34" ht="19.5" thickBot="1" x14ac:dyDescent="0.25">
      <c r="AG261" s="25"/>
      <c r="AH261" s="25"/>
    </row>
    <row r="262" spans="5:34" ht="19.5" thickBot="1" x14ac:dyDescent="0.25">
      <c r="AG262" s="25"/>
      <c r="AH262" s="25"/>
    </row>
    <row r="263" spans="5:34" ht="19.5" thickBot="1" x14ac:dyDescent="0.25">
      <c r="AG263" s="25"/>
      <c r="AH263" s="25"/>
    </row>
    <row r="264" spans="5:34" ht="19.5" thickBot="1" x14ac:dyDescent="0.25">
      <c r="AG264" s="25"/>
      <c r="AH264" s="25"/>
    </row>
    <row r="265" spans="5:34" ht="19.5" thickBot="1" x14ac:dyDescent="0.25">
      <c r="AG265" s="25"/>
      <c r="AH265" s="25"/>
    </row>
    <row r="266" spans="5:34" ht="19.5" thickBot="1" x14ac:dyDescent="0.25">
      <c r="AG266" s="25"/>
      <c r="AH266" s="25"/>
    </row>
    <row r="267" spans="5:34" ht="19.5" thickBot="1" x14ac:dyDescent="0.25">
      <c r="AG267" s="25"/>
      <c r="AH267" s="25"/>
    </row>
    <row r="268" spans="5:34" ht="19.5" thickBot="1" x14ac:dyDescent="0.25">
      <c r="AG268" s="25"/>
      <c r="AH268" s="25"/>
    </row>
    <row r="269" spans="5:34" ht="19.5" thickBot="1" x14ac:dyDescent="0.25">
      <c r="E269" t="s">
        <v>499</v>
      </c>
      <c r="F269" t="s">
        <v>497</v>
      </c>
      <c r="G269" t="s">
        <v>496</v>
      </c>
      <c r="AG269" s="25"/>
      <c r="AH269" s="25"/>
    </row>
    <row r="270" spans="5:34" ht="19.5" thickBot="1" x14ac:dyDescent="0.25">
      <c r="AG270" s="25"/>
      <c r="AH270" s="25"/>
    </row>
    <row r="271" spans="5:34" ht="19.5" thickBot="1" x14ac:dyDescent="0.25">
      <c r="AG271" s="25"/>
      <c r="AH271" s="25"/>
    </row>
    <row r="272" spans="5:34" ht="19.5" thickBot="1" x14ac:dyDescent="0.25">
      <c r="AG272" s="25"/>
      <c r="AH272" s="25"/>
    </row>
    <row r="273" spans="4:34" ht="19.5" thickBot="1" x14ac:dyDescent="0.25">
      <c r="AG273" s="25"/>
      <c r="AH273" s="25"/>
    </row>
    <row r="274" spans="4:34" ht="19.5" thickBot="1" x14ac:dyDescent="0.25">
      <c r="AG274" s="25"/>
      <c r="AH274" s="25"/>
    </row>
    <row r="275" spans="4:34" ht="19.5" thickBot="1" x14ac:dyDescent="0.25">
      <c r="D275" t="s">
        <v>499</v>
      </c>
      <c r="E275" t="s">
        <v>497</v>
      </c>
      <c r="F275" t="s">
        <v>496</v>
      </c>
      <c r="G275" t="s">
        <v>495</v>
      </c>
      <c r="AG275" s="25"/>
      <c r="AH275" s="25"/>
    </row>
    <row r="276" spans="4:34" ht="19.5" thickBot="1" x14ac:dyDescent="0.25">
      <c r="AG276" s="25"/>
      <c r="AH276" s="25"/>
    </row>
    <row r="277" spans="4:34" ht="19.5" thickBot="1" x14ac:dyDescent="0.25">
      <c r="AG277" s="25"/>
      <c r="AH277" s="25"/>
    </row>
    <row r="278" spans="4:34" ht="19.5" thickBot="1" x14ac:dyDescent="0.25">
      <c r="AG278" s="25"/>
      <c r="AH278" s="25"/>
    </row>
    <row r="279" spans="4:34" ht="19.5" thickBot="1" x14ac:dyDescent="0.25">
      <c r="AG279" s="25"/>
      <c r="AH279" s="25"/>
    </row>
    <row r="280" spans="4:34" ht="19.5" thickBot="1" x14ac:dyDescent="0.25">
      <c r="AG280" s="25"/>
      <c r="AH280" s="25"/>
    </row>
    <row r="281" spans="4:34" ht="19.5" thickBot="1" x14ac:dyDescent="0.25">
      <c r="AG281" s="25"/>
      <c r="AH281" s="25"/>
    </row>
    <row r="282" spans="4:34" ht="19.5" thickBot="1" x14ac:dyDescent="0.25">
      <c r="D282" t="s">
        <v>498</v>
      </c>
      <c r="E282" t="s">
        <v>497</v>
      </c>
      <c r="F282" t="s">
        <v>496</v>
      </c>
      <c r="G282" t="s">
        <v>495</v>
      </c>
      <c r="AG282" s="25"/>
      <c r="AH282" s="25"/>
    </row>
    <row r="283" spans="4:34" ht="19.5" thickBot="1" x14ac:dyDescent="0.25">
      <c r="D283">
        <v>0.15</v>
      </c>
      <c r="E283">
        <v>0.15</v>
      </c>
      <c r="F283">
        <v>0.15</v>
      </c>
      <c r="G283">
        <v>0.15</v>
      </c>
      <c r="AG283" s="25"/>
      <c r="AH283" s="25"/>
    </row>
    <row r="284" spans="4:34" ht="19.5" thickBot="1" x14ac:dyDescent="0.25">
      <c r="D284">
        <v>0.5</v>
      </c>
      <c r="E284">
        <v>0.25</v>
      </c>
      <c r="F284">
        <v>0.15</v>
      </c>
      <c r="G284">
        <v>0.15</v>
      </c>
      <c r="AG284" s="25"/>
      <c r="AH284" s="25"/>
    </row>
    <row r="285" spans="4:34" ht="19.5" thickBot="1" x14ac:dyDescent="0.25">
      <c r="D285">
        <v>0.25</v>
      </c>
      <c r="E285">
        <v>0.5</v>
      </c>
      <c r="F285">
        <v>0</v>
      </c>
      <c r="G285">
        <v>0</v>
      </c>
      <c r="AG285" s="25"/>
      <c r="AH285" s="25"/>
    </row>
    <row r="286" spans="4:34" ht="19.5" thickBot="1" x14ac:dyDescent="0.25">
      <c r="D286">
        <v>0.25</v>
      </c>
      <c r="E286">
        <v>0.4</v>
      </c>
      <c r="F286">
        <v>0</v>
      </c>
      <c r="G286">
        <v>0</v>
      </c>
      <c r="AG286" s="25"/>
      <c r="AH286" s="25"/>
    </row>
    <row r="287" spans="4:34" ht="19.5" thickBot="1" x14ac:dyDescent="0.25">
      <c r="D287">
        <v>1</v>
      </c>
      <c r="E287">
        <v>1</v>
      </c>
      <c r="F287">
        <v>1</v>
      </c>
      <c r="G287">
        <v>1</v>
      </c>
      <c r="AG287" s="25"/>
      <c r="AH287" s="25"/>
    </row>
    <row r="288" spans="4:34" ht="19.5" thickBot="1" x14ac:dyDescent="0.25">
      <c r="D288">
        <v>0.15</v>
      </c>
      <c r="E288">
        <v>0.05</v>
      </c>
      <c r="F288">
        <v>0.1</v>
      </c>
      <c r="G288">
        <v>1</v>
      </c>
      <c r="AG288" s="25"/>
      <c r="AH288" s="25"/>
    </row>
    <row r="289" spans="4:34" ht="19.5" thickBot="1" x14ac:dyDescent="0.25">
      <c r="D289">
        <v>0.4</v>
      </c>
      <c r="E289">
        <v>0.1</v>
      </c>
      <c r="F289">
        <v>0.4</v>
      </c>
      <c r="G289">
        <v>0.4</v>
      </c>
      <c r="AG289" s="25"/>
      <c r="AH289" s="25"/>
    </row>
    <row r="290" spans="4:34" ht="19.5" thickBot="1" x14ac:dyDescent="0.25">
      <c r="D290">
        <v>0.4</v>
      </c>
      <c r="E290">
        <v>0.1</v>
      </c>
      <c r="F290">
        <v>0.4</v>
      </c>
      <c r="G290">
        <v>0.4</v>
      </c>
      <c r="AG290" s="25"/>
      <c r="AH290" s="25"/>
    </row>
    <row r="291" spans="4:34" ht="19.5" thickBot="1" x14ac:dyDescent="0.25">
      <c r="D291">
        <v>0.5</v>
      </c>
      <c r="E291">
        <v>0.1</v>
      </c>
      <c r="F291">
        <v>0.25</v>
      </c>
      <c r="G291">
        <v>0.5</v>
      </c>
      <c r="AG291" s="25"/>
      <c r="AH291" s="25"/>
    </row>
    <row r="292" spans="4:34" ht="19.5" thickBot="1" x14ac:dyDescent="0.25">
      <c r="D292">
        <v>0.4</v>
      </c>
      <c r="E292">
        <v>0.1</v>
      </c>
      <c r="F292">
        <v>0.4</v>
      </c>
      <c r="G292">
        <v>0.25</v>
      </c>
      <c r="AG292" s="25"/>
      <c r="AH292" s="25"/>
    </row>
    <row r="293" spans="4:34" ht="19.5" thickBot="1" x14ac:dyDescent="0.25">
      <c r="D293">
        <v>0.15</v>
      </c>
      <c r="E293">
        <v>0</v>
      </c>
      <c r="F293">
        <v>0.1</v>
      </c>
      <c r="G293">
        <v>0.05</v>
      </c>
      <c r="AG293" s="25"/>
      <c r="AH293" s="25"/>
    </row>
    <row r="294" spans="4:34" ht="19.5" thickBot="1" x14ac:dyDescent="0.25">
      <c r="D294">
        <v>0.05</v>
      </c>
      <c r="E294">
        <v>0</v>
      </c>
      <c r="F294">
        <v>0.02</v>
      </c>
      <c r="G294">
        <v>0.05</v>
      </c>
      <c r="AG294" s="25"/>
      <c r="AH294" s="25"/>
    </row>
    <row r="295" spans="4:34" ht="19.5" thickBot="1" x14ac:dyDescent="0.25">
      <c r="D295">
        <v>0.15</v>
      </c>
      <c r="E295">
        <v>0</v>
      </c>
      <c r="F295">
        <v>0.1</v>
      </c>
      <c r="G295">
        <v>0.1</v>
      </c>
      <c r="AG295" s="25"/>
      <c r="AH295" s="25"/>
    </row>
    <row r="296" spans="4:34" ht="19.5" thickBot="1" x14ac:dyDescent="0.25">
      <c r="D296">
        <v>0.35</v>
      </c>
      <c r="E296">
        <v>0.35</v>
      </c>
      <c r="F296">
        <v>0.35</v>
      </c>
      <c r="G296">
        <v>0.35</v>
      </c>
      <c r="AG296" s="25"/>
      <c r="AH296" s="25"/>
    </row>
    <row r="297" spans="4:34" ht="19.5" thickBot="1" x14ac:dyDescent="0.25">
      <c r="D297">
        <v>0.5</v>
      </c>
      <c r="E297">
        <v>0.5</v>
      </c>
      <c r="F297">
        <v>0.5</v>
      </c>
      <c r="G297">
        <v>0.5</v>
      </c>
      <c r="AG297" s="25"/>
      <c r="AH297" s="25"/>
    </row>
    <row r="298" spans="4:34" ht="19.5" thickBot="1" x14ac:dyDescent="0.25">
      <c r="D298">
        <v>0.15</v>
      </c>
      <c r="E298">
        <v>0</v>
      </c>
      <c r="F298">
        <v>0.05</v>
      </c>
      <c r="G298">
        <v>0.35</v>
      </c>
      <c r="AG298" s="25"/>
      <c r="AH298" s="25"/>
    </row>
    <row r="299" spans="4:34" ht="19.5" thickBot="1" x14ac:dyDescent="0.25">
      <c r="D299">
        <v>0.4</v>
      </c>
      <c r="E299">
        <v>0.1</v>
      </c>
      <c r="F299">
        <v>0.4</v>
      </c>
      <c r="G299">
        <v>0.25</v>
      </c>
      <c r="AG299" s="25"/>
      <c r="AH299" s="25"/>
    </row>
    <row r="300" spans="4:34" ht="19.5" thickBot="1" x14ac:dyDescent="0.25">
      <c r="D300">
        <v>0.1</v>
      </c>
      <c r="E300">
        <v>0</v>
      </c>
      <c r="F300">
        <v>0</v>
      </c>
      <c r="G300">
        <v>0.1</v>
      </c>
      <c r="AG300" s="25"/>
      <c r="AH300" s="25"/>
    </row>
    <row r="301" spans="4:34" ht="19.5" thickBot="1" x14ac:dyDescent="0.25">
      <c r="D301">
        <v>0.05</v>
      </c>
      <c r="E301">
        <v>0</v>
      </c>
      <c r="F301">
        <v>0</v>
      </c>
      <c r="G301">
        <v>0.05</v>
      </c>
      <c r="AG301" s="25"/>
      <c r="AH301" s="25"/>
    </row>
    <row r="302" spans="4:34" ht="19.5" thickBot="1" x14ac:dyDescent="0.25">
      <c r="D302">
        <v>0.1</v>
      </c>
      <c r="E302">
        <v>0</v>
      </c>
      <c r="F302">
        <v>0</v>
      </c>
      <c r="G302">
        <v>0.25</v>
      </c>
      <c r="AG302" s="25"/>
      <c r="AH302" s="25"/>
    </row>
    <row r="303" spans="4:34" ht="19.5" thickBot="1" x14ac:dyDescent="0.25">
      <c r="D303">
        <v>0.85</v>
      </c>
      <c r="E303">
        <v>0.25</v>
      </c>
      <c r="F303">
        <v>0.7</v>
      </c>
      <c r="G303">
        <v>0.65</v>
      </c>
      <c r="AG303" s="25"/>
      <c r="AH303" s="25"/>
    </row>
    <row r="304" spans="4:34" ht="19.5" thickBot="1" x14ac:dyDescent="0.25">
      <c r="D304">
        <v>0.15</v>
      </c>
      <c r="E304">
        <v>0</v>
      </c>
      <c r="F304">
        <v>0.1</v>
      </c>
      <c r="G304">
        <v>0.1</v>
      </c>
      <c r="AG304" s="25"/>
      <c r="AH304" s="25"/>
    </row>
    <row r="305" spans="4:34" ht="19.5" thickBot="1" x14ac:dyDescent="0.25">
      <c r="D305">
        <v>0.1</v>
      </c>
      <c r="E305">
        <v>0</v>
      </c>
      <c r="F305">
        <v>0</v>
      </c>
      <c r="G305">
        <v>0.1</v>
      </c>
      <c r="AG305" s="25"/>
      <c r="AH305" s="25"/>
    </row>
    <row r="306" spans="4:34" ht="19.5" thickBot="1" x14ac:dyDescent="0.25">
      <c r="E306" t="s">
        <v>497</v>
      </c>
      <c r="F306" t="s">
        <v>496</v>
      </c>
      <c r="G306" t="s">
        <v>495</v>
      </c>
      <c r="AG306" s="25"/>
      <c r="AH306" s="25"/>
    </row>
    <row r="307" spans="4:34" ht="19.5" thickBot="1" x14ac:dyDescent="0.25">
      <c r="E307">
        <v>0.25</v>
      </c>
      <c r="F307">
        <v>0.25</v>
      </c>
      <c r="G307">
        <v>0.25</v>
      </c>
      <c r="AG307" s="25"/>
      <c r="AH307" s="25"/>
    </row>
    <row r="308" spans="4:34" ht="19.5" thickBot="1" x14ac:dyDescent="0.25">
      <c r="E308">
        <v>0.25</v>
      </c>
      <c r="F308">
        <v>0.25</v>
      </c>
      <c r="G308">
        <v>0.25</v>
      </c>
      <c r="AG308" s="25"/>
      <c r="AH308" s="25"/>
    </row>
    <row r="309" spans="4:34" ht="19.5" thickBot="1" x14ac:dyDescent="0.25">
      <c r="E309">
        <v>0.25</v>
      </c>
      <c r="F309">
        <v>0.25</v>
      </c>
      <c r="G309">
        <v>0.25</v>
      </c>
      <c r="AG309" s="25"/>
      <c r="AH309" s="25"/>
    </row>
    <row r="310" spans="4:34" ht="19.5" thickBot="1" x14ac:dyDescent="0.25">
      <c r="E310">
        <v>0.25</v>
      </c>
      <c r="F310">
        <v>0.25</v>
      </c>
      <c r="G310">
        <v>0.25</v>
      </c>
      <c r="AG310" s="25"/>
      <c r="AH310" s="25"/>
    </row>
    <row r="311" spans="4:34" ht="19.5" thickBot="1" x14ac:dyDescent="0.25">
      <c r="E311">
        <v>0.25</v>
      </c>
      <c r="F311">
        <v>0.25</v>
      </c>
      <c r="G311">
        <v>0.25</v>
      </c>
      <c r="AG311" s="25"/>
      <c r="AH311" s="25"/>
    </row>
    <row r="312" spans="4:34" ht="19.5" thickBot="1" x14ac:dyDescent="0.25">
      <c r="E312">
        <v>0.25</v>
      </c>
      <c r="F312">
        <v>0.25</v>
      </c>
      <c r="G312">
        <v>0.25</v>
      </c>
      <c r="AG312" s="25"/>
      <c r="AH312" s="25"/>
    </row>
    <row r="313" spans="4:34" ht="19.5" thickBot="1" x14ac:dyDescent="0.25">
      <c r="E313">
        <v>0.25</v>
      </c>
      <c r="F313">
        <v>0.25</v>
      </c>
      <c r="G313">
        <v>0.25</v>
      </c>
      <c r="AG313" s="25"/>
      <c r="AH313" s="25"/>
    </row>
    <row r="314" spans="4:34" ht="19.5" thickBot="1" x14ac:dyDescent="0.25">
      <c r="E314">
        <v>0.25</v>
      </c>
      <c r="F314">
        <v>0.25</v>
      </c>
      <c r="G314">
        <v>0.25</v>
      </c>
      <c r="AG314" s="25"/>
      <c r="AH314" s="25"/>
    </row>
    <row r="315" spans="4:34" ht="19.5" thickBot="1" x14ac:dyDescent="0.25">
      <c r="E315">
        <v>0.25</v>
      </c>
      <c r="F315">
        <v>0.25</v>
      </c>
      <c r="G315">
        <v>0.25</v>
      </c>
      <c r="AG315" s="25"/>
      <c r="AH315" s="25"/>
    </row>
    <row r="316" spans="4:34" ht="19.5" thickBot="1" x14ac:dyDescent="0.25">
      <c r="E316">
        <v>0.25</v>
      </c>
      <c r="F316">
        <v>0.25</v>
      </c>
      <c r="G316">
        <v>0.25</v>
      </c>
      <c r="AG316" s="25"/>
      <c r="AH316" s="25"/>
    </row>
    <row r="317" spans="4:34" ht="19.5" thickBot="1" x14ac:dyDescent="0.25">
      <c r="E317">
        <v>0.25</v>
      </c>
      <c r="F317">
        <v>0.25</v>
      </c>
      <c r="G317">
        <v>0.25</v>
      </c>
      <c r="AG317" s="25"/>
      <c r="AH317" s="25"/>
    </row>
    <row r="318" spans="4:34" ht="19.5" thickBot="1" x14ac:dyDescent="0.25">
      <c r="E318">
        <v>0.25</v>
      </c>
      <c r="F318">
        <v>0.25</v>
      </c>
      <c r="G318">
        <v>0.25</v>
      </c>
      <c r="AG318" s="25"/>
      <c r="AH318" s="25"/>
    </row>
    <row r="319" spans="4:34" ht="19.5" thickBot="1" x14ac:dyDescent="0.25">
      <c r="E319">
        <v>0.25</v>
      </c>
      <c r="F319">
        <v>0.25</v>
      </c>
      <c r="G319">
        <v>0.25</v>
      </c>
      <c r="AG319" s="25"/>
      <c r="AH319" s="25"/>
    </row>
    <row r="320" spans="4:34" ht="19.5" thickBot="1" x14ac:dyDescent="0.25">
      <c r="E320">
        <v>0.25</v>
      </c>
      <c r="F320">
        <v>0.25</v>
      </c>
      <c r="G320">
        <v>0.25</v>
      </c>
      <c r="AG320" s="25"/>
      <c r="AH320" s="25"/>
    </row>
    <row r="321" spans="5:34" ht="19.5" thickBot="1" x14ac:dyDescent="0.25">
      <c r="E321">
        <v>0.25</v>
      </c>
      <c r="F321">
        <v>0.25</v>
      </c>
      <c r="G321">
        <v>0.25</v>
      </c>
      <c r="AG321" s="25"/>
      <c r="AH321" s="25"/>
    </row>
    <row r="322" spans="5:34" ht="19.5" thickBot="1" x14ac:dyDescent="0.25">
      <c r="E322">
        <v>0.25</v>
      </c>
      <c r="F322">
        <v>0.25</v>
      </c>
      <c r="G322">
        <v>0.25</v>
      </c>
      <c r="AG322" s="25"/>
      <c r="AH322" s="25"/>
    </row>
    <row r="323" spans="5:34" ht="19.5" thickBot="1" x14ac:dyDescent="0.25">
      <c r="E323">
        <v>0.25</v>
      </c>
      <c r="F323">
        <v>0.25</v>
      </c>
      <c r="G323">
        <v>0.25</v>
      </c>
      <c r="AG323" s="25"/>
      <c r="AH323" s="25"/>
    </row>
    <row r="324" spans="5:34" ht="19.5" thickBot="1" x14ac:dyDescent="0.25">
      <c r="E324">
        <v>0.25</v>
      </c>
      <c r="F324">
        <v>0.25</v>
      </c>
      <c r="G324">
        <v>0.25</v>
      </c>
      <c r="AG324" s="25"/>
      <c r="AH324" s="25"/>
    </row>
    <row r="325" spans="5:34" ht="19.5" thickBot="1" x14ac:dyDescent="0.25">
      <c r="E325">
        <v>0.25</v>
      </c>
      <c r="F325">
        <v>0.25</v>
      </c>
      <c r="G325">
        <v>0.25</v>
      </c>
      <c r="AG325" s="25"/>
      <c r="AH325" s="25"/>
    </row>
    <row r="326" spans="5:34" ht="19.5" thickBot="1" x14ac:dyDescent="0.25">
      <c r="E326">
        <v>0.25</v>
      </c>
      <c r="F326">
        <v>0.25</v>
      </c>
      <c r="G326">
        <v>0.25</v>
      </c>
      <c r="AG326" s="25"/>
      <c r="AH326" s="25"/>
    </row>
    <row r="327" spans="5:34" ht="19.5" thickBot="1" x14ac:dyDescent="0.25">
      <c r="E327">
        <v>0.25</v>
      </c>
      <c r="F327">
        <v>0.25</v>
      </c>
      <c r="G327">
        <v>0.25</v>
      </c>
      <c r="AG327" s="25"/>
      <c r="AH327" s="25"/>
    </row>
    <row r="328" spans="5:34" ht="19.5" thickBot="1" x14ac:dyDescent="0.25">
      <c r="E328">
        <v>0.25</v>
      </c>
      <c r="F328">
        <v>0.25</v>
      </c>
      <c r="G328">
        <v>0.25</v>
      </c>
      <c r="AG328" s="25"/>
      <c r="AH328" s="25"/>
    </row>
    <row r="329" spans="5:34" ht="19.5" thickBot="1" x14ac:dyDescent="0.25">
      <c r="E329">
        <v>0.25</v>
      </c>
      <c r="F329">
        <v>0.25</v>
      </c>
      <c r="G329">
        <v>0.25</v>
      </c>
      <c r="AG329" s="25"/>
      <c r="AH329" s="25"/>
    </row>
    <row r="330" spans="5:34" ht="19.5" thickBot="1" x14ac:dyDescent="0.25">
      <c r="E330">
        <v>0.25</v>
      </c>
      <c r="F330">
        <v>0.25</v>
      </c>
      <c r="G330">
        <v>0.25</v>
      </c>
      <c r="AG330" s="25"/>
      <c r="AH330" s="25"/>
    </row>
    <row r="331" spans="5:34" ht="19.5" thickBot="1" x14ac:dyDescent="0.25">
      <c r="E331">
        <v>0.25</v>
      </c>
      <c r="F331">
        <v>0.25</v>
      </c>
      <c r="G331">
        <v>0.25</v>
      </c>
      <c r="AG331" s="25"/>
      <c r="AH331" s="25"/>
    </row>
    <row r="332" spans="5:34" ht="19.5" thickBot="1" x14ac:dyDescent="0.25">
      <c r="E332">
        <v>0.25</v>
      </c>
      <c r="F332">
        <v>0.25</v>
      </c>
      <c r="G332">
        <v>0.25</v>
      </c>
      <c r="AG332" s="25"/>
      <c r="AH332" s="25"/>
    </row>
    <row r="333" spans="5:34" ht="19.5" thickBot="1" x14ac:dyDescent="0.25">
      <c r="E333">
        <v>0.25</v>
      </c>
      <c r="F333">
        <v>0.25</v>
      </c>
      <c r="G333">
        <v>0.25</v>
      </c>
      <c r="AG333" s="25"/>
      <c r="AH333" s="25"/>
    </row>
    <row r="334" spans="5:34" ht="19.5" thickBot="1" x14ac:dyDescent="0.25">
      <c r="E334">
        <v>0.25</v>
      </c>
      <c r="F334">
        <v>0.25</v>
      </c>
      <c r="G334">
        <v>0.25</v>
      </c>
      <c r="AG334" s="25"/>
      <c r="AH334" s="25"/>
    </row>
    <row r="335" spans="5:34" ht="19.5" thickBot="1" x14ac:dyDescent="0.25">
      <c r="E335">
        <v>0.25</v>
      </c>
      <c r="F335">
        <v>0.25</v>
      </c>
      <c r="G335">
        <v>0.25</v>
      </c>
      <c r="AG335" s="25"/>
      <c r="AH335" s="25"/>
    </row>
    <row r="336" spans="5:34" ht="19.5" thickBot="1" x14ac:dyDescent="0.25">
      <c r="E336">
        <v>0.25</v>
      </c>
      <c r="F336">
        <v>0.25</v>
      </c>
      <c r="G336">
        <v>0.25</v>
      </c>
      <c r="AG336" s="25"/>
      <c r="AH336" s="25"/>
    </row>
    <row r="337" spans="5:34" ht="19.5" thickBot="1" x14ac:dyDescent="0.25">
      <c r="E337">
        <v>0.25</v>
      </c>
      <c r="F337">
        <v>0.25</v>
      </c>
      <c r="G337">
        <v>0.25</v>
      </c>
      <c r="AG337" s="25"/>
      <c r="AH337" s="25"/>
    </row>
    <row r="338" spans="5:34" ht="19.5" thickBot="1" x14ac:dyDescent="0.25">
      <c r="E338">
        <v>0.25</v>
      </c>
      <c r="F338">
        <v>0.25</v>
      </c>
      <c r="G338">
        <v>0.25</v>
      </c>
      <c r="AG338" s="25"/>
      <c r="AH338" s="25"/>
    </row>
    <row r="339" spans="5:34" ht="19.5" thickBot="1" x14ac:dyDescent="0.25">
      <c r="E339">
        <v>0.25</v>
      </c>
      <c r="F339">
        <v>0.25</v>
      </c>
      <c r="G339">
        <v>0.25</v>
      </c>
      <c r="AG339" s="25"/>
      <c r="AH339" s="25"/>
    </row>
    <row r="340" spans="5:34" ht="19.5" thickBot="1" x14ac:dyDescent="0.25">
      <c r="E340">
        <v>0.25</v>
      </c>
      <c r="F340">
        <v>0.25</v>
      </c>
      <c r="G340">
        <v>0.25</v>
      </c>
      <c r="AG340" s="25"/>
      <c r="AH340" s="25"/>
    </row>
    <row r="341" spans="5:34" ht="19.5" thickBot="1" x14ac:dyDescent="0.25">
      <c r="E341">
        <v>0.25</v>
      </c>
      <c r="F341">
        <v>0.25</v>
      </c>
      <c r="G341">
        <v>0.25</v>
      </c>
      <c r="AG341" s="25"/>
      <c r="AH341" s="25"/>
    </row>
    <row r="342" spans="5:34" ht="19.5" thickBot="1" x14ac:dyDescent="0.25">
      <c r="E342">
        <v>0.25</v>
      </c>
      <c r="F342">
        <v>0.25</v>
      </c>
      <c r="G342">
        <v>0.25</v>
      </c>
      <c r="AG342" s="25"/>
      <c r="AH342" s="25"/>
    </row>
    <row r="343" spans="5:34" ht="19.5" thickBot="1" x14ac:dyDescent="0.25">
      <c r="E343">
        <v>0.25</v>
      </c>
      <c r="F343">
        <v>0.25</v>
      </c>
      <c r="G343">
        <v>0.25</v>
      </c>
      <c r="AG343" s="25"/>
      <c r="AH343" s="25"/>
    </row>
    <row r="344" spans="5:34" ht="19.5" thickBot="1" x14ac:dyDescent="0.25">
      <c r="E344">
        <v>0.25</v>
      </c>
      <c r="F344">
        <v>0.25</v>
      </c>
      <c r="G344">
        <v>0.25</v>
      </c>
      <c r="AG344" s="25"/>
      <c r="AH344" s="25"/>
    </row>
    <row r="345" spans="5:34" ht="19.5" thickBot="1" x14ac:dyDescent="0.25">
      <c r="E345">
        <v>0.25</v>
      </c>
      <c r="F345">
        <v>0.25</v>
      </c>
      <c r="G345">
        <v>0.25</v>
      </c>
      <c r="AG345" s="25"/>
      <c r="AH345" s="25"/>
    </row>
    <row r="346" spans="5:34" ht="19.5" thickBot="1" x14ac:dyDescent="0.25">
      <c r="E346">
        <v>0.25</v>
      </c>
      <c r="F346">
        <v>0.25</v>
      </c>
      <c r="G346">
        <v>0.25</v>
      </c>
      <c r="AG346" s="25"/>
      <c r="AH346" s="25"/>
    </row>
    <row r="347" spans="5:34" ht="19.5" thickBot="1" x14ac:dyDescent="0.25">
      <c r="E347">
        <v>0.25</v>
      </c>
      <c r="F347">
        <v>0.25</v>
      </c>
      <c r="G347">
        <v>0.25</v>
      </c>
      <c r="AG347" s="25"/>
      <c r="AH347" s="25"/>
    </row>
    <row r="348" spans="5:34" ht="19.5" thickBot="1" x14ac:dyDescent="0.25">
      <c r="E348">
        <v>0.25</v>
      </c>
      <c r="F348">
        <v>0.25</v>
      </c>
      <c r="G348">
        <v>0.25</v>
      </c>
      <c r="AG348" s="25"/>
      <c r="AH348" s="25"/>
    </row>
    <row r="349" spans="5:34" ht="19.5" thickBot="1" x14ac:dyDescent="0.25">
      <c r="E349">
        <v>0.25</v>
      </c>
      <c r="F349">
        <v>0.25</v>
      </c>
      <c r="G349">
        <v>0.25</v>
      </c>
      <c r="AG349" s="25"/>
      <c r="AH349" s="25"/>
    </row>
    <row r="350" spans="5:34" ht="19.5" thickBot="1" x14ac:dyDescent="0.25">
      <c r="E350">
        <v>0.25</v>
      </c>
      <c r="F350">
        <v>0.25</v>
      </c>
      <c r="G350">
        <v>0.25</v>
      </c>
      <c r="AG350" s="25"/>
      <c r="AH350" s="25"/>
    </row>
    <row r="351" spans="5:34" ht="19.5" thickBot="1" x14ac:dyDescent="0.25">
      <c r="E351">
        <v>0.25</v>
      </c>
      <c r="F351">
        <v>0.25</v>
      </c>
      <c r="G351">
        <v>0.25</v>
      </c>
      <c r="AG351" s="25"/>
      <c r="AH351" s="25"/>
    </row>
    <row r="352" spans="5:34" ht="19.5" thickBot="1" x14ac:dyDescent="0.25">
      <c r="E352">
        <v>0.25</v>
      </c>
      <c r="F352">
        <v>0.25</v>
      </c>
      <c r="G352">
        <v>0.25</v>
      </c>
      <c r="AG352" s="25"/>
      <c r="AH352" s="25"/>
    </row>
    <row r="353" spans="5:34" ht="19.5" thickBot="1" x14ac:dyDescent="0.25">
      <c r="E353">
        <v>0.25</v>
      </c>
      <c r="F353">
        <v>0.25</v>
      </c>
      <c r="G353">
        <v>0.25</v>
      </c>
      <c r="AG353" s="25"/>
      <c r="AH353" s="25"/>
    </row>
    <row r="354" spans="5:34" ht="19.5" thickBot="1" x14ac:dyDescent="0.25">
      <c r="E354">
        <v>0.25</v>
      </c>
      <c r="F354">
        <v>0.25</v>
      </c>
      <c r="G354">
        <v>0.25</v>
      </c>
      <c r="AG354" s="25"/>
      <c r="AH354" s="25"/>
    </row>
    <row r="355" spans="5:34" ht="19.5" thickBot="1" x14ac:dyDescent="0.25">
      <c r="E355">
        <v>0.25</v>
      </c>
      <c r="F355">
        <v>0.25</v>
      </c>
      <c r="G355">
        <v>0.25</v>
      </c>
      <c r="AG355" s="25"/>
      <c r="AH355" s="25"/>
    </row>
    <row r="356" spans="5:34" ht="19.5" thickBot="1" x14ac:dyDescent="0.25">
      <c r="E356">
        <v>0.25</v>
      </c>
      <c r="F356">
        <v>0.25</v>
      </c>
      <c r="G356">
        <v>0.25</v>
      </c>
      <c r="AG356" s="25"/>
      <c r="AH356" s="25"/>
    </row>
    <row r="357" spans="5:34" ht="19.5" thickBot="1" x14ac:dyDescent="0.25">
      <c r="E357">
        <v>0.25</v>
      </c>
      <c r="F357">
        <v>0.25</v>
      </c>
      <c r="G357">
        <v>0.25</v>
      </c>
      <c r="AG357" s="25"/>
      <c r="AH357" s="25"/>
    </row>
    <row r="358" spans="5:34" ht="19.5" thickBot="1" x14ac:dyDescent="0.25">
      <c r="E358">
        <v>0.25</v>
      </c>
      <c r="F358">
        <v>0.25</v>
      </c>
      <c r="G358">
        <v>0.25</v>
      </c>
      <c r="AG358" s="25"/>
      <c r="AH358" s="25"/>
    </row>
    <row r="359" spans="5:34" ht="19.5" thickBot="1" x14ac:dyDescent="0.25">
      <c r="E359">
        <v>0.25</v>
      </c>
      <c r="F359">
        <v>0.25</v>
      </c>
      <c r="G359">
        <v>0.25</v>
      </c>
      <c r="AG359" s="25"/>
      <c r="AH359" s="25"/>
    </row>
    <row r="360" spans="5:34" ht="19.5" thickBot="1" x14ac:dyDescent="0.25">
      <c r="E360">
        <v>0.25</v>
      </c>
      <c r="F360">
        <v>0.25</v>
      </c>
      <c r="G360">
        <v>0.25</v>
      </c>
      <c r="AG360" s="25"/>
      <c r="AH360" s="25"/>
    </row>
    <row r="361" spans="5:34" ht="19.5" thickBot="1" x14ac:dyDescent="0.25">
      <c r="E361">
        <v>0.25</v>
      </c>
      <c r="F361">
        <v>0.25</v>
      </c>
      <c r="G361">
        <v>0.25</v>
      </c>
      <c r="AG361" s="25"/>
      <c r="AH361" s="25"/>
    </row>
    <row r="362" spans="5:34" ht="19.5" thickBot="1" x14ac:dyDescent="0.25">
      <c r="E362">
        <v>0.25</v>
      </c>
      <c r="F362">
        <v>0.25</v>
      </c>
      <c r="G362">
        <v>0.25</v>
      </c>
      <c r="AG362" s="25"/>
      <c r="AH362" s="25"/>
    </row>
    <row r="363" spans="5:34" ht="19.5" thickBot="1" x14ac:dyDescent="0.25">
      <c r="E363">
        <v>0.25</v>
      </c>
      <c r="F363">
        <v>0.25</v>
      </c>
      <c r="G363">
        <v>0.25</v>
      </c>
      <c r="AG363" s="25"/>
      <c r="AH363" s="25"/>
    </row>
    <row r="364" spans="5:34" ht="19.5" thickBot="1" x14ac:dyDescent="0.25">
      <c r="E364">
        <v>0.25</v>
      </c>
      <c r="F364">
        <v>0.25</v>
      </c>
      <c r="G364">
        <v>0.25</v>
      </c>
      <c r="AG364" s="25"/>
      <c r="AH364" s="25"/>
    </row>
    <row r="365" spans="5:34" ht="19.5" thickBot="1" x14ac:dyDescent="0.25">
      <c r="E365">
        <v>0.25</v>
      </c>
      <c r="F365">
        <v>0.25</v>
      </c>
      <c r="G365">
        <v>0.25</v>
      </c>
      <c r="AG365" s="25"/>
      <c r="AH365" s="25"/>
    </row>
    <row r="366" spans="5:34" ht="19.5" thickBot="1" x14ac:dyDescent="0.25">
      <c r="E366">
        <v>0.25</v>
      </c>
      <c r="F366">
        <v>0.25</v>
      </c>
      <c r="G366">
        <v>0.25</v>
      </c>
      <c r="AG366" s="25"/>
      <c r="AH366" s="25"/>
    </row>
    <row r="367" spans="5:34" ht="19.5" thickBot="1" x14ac:dyDescent="0.25">
      <c r="E367">
        <v>0.25</v>
      </c>
      <c r="F367">
        <v>0.25</v>
      </c>
      <c r="G367">
        <v>0.25</v>
      </c>
      <c r="AG367" s="25"/>
      <c r="AH367" s="25"/>
    </row>
    <row r="368" spans="5:34" ht="19.5" thickBot="1" x14ac:dyDescent="0.25">
      <c r="E368">
        <v>0.25</v>
      </c>
      <c r="F368">
        <v>0.25</v>
      </c>
      <c r="G368">
        <v>0.25</v>
      </c>
      <c r="AG368" s="25"/>
      <c r="AH368" s="25"/>
    </row>
    <row r="369" spans="4:34" ht="19.5" thickBot="1" x14ac:dyDescent="0.25">
      <c r="E369">
        <v>0.25</v>
      </c>
      <c r="F369">
        <v>0.25</v>
      </c>
      <c r="G369">
        <v>0.25</v>
      </c>
      <c r="AG369" s="25"/>
      <c r="AH369" s="25"/>
    </row>
    <row r="370" spans="4:34" ht="19.5" thickBot="1" x14ac:dyDescent="0.25">
      <c r="E370">
        <v>0.25</v>
      </c>
      <c r="F370">
        <v>0.25</v>
      </c>
      <c r="G370">
        <v>0.25</v>
      </c>
      <c r="AG370" s="25"/>
      <c r="AH370" s="25"/>
    </row>
    <row r="371" spans="4:34" ht="19.5" thickBot="1" x14ac:dyDescent="0.25">
      <c r="E371">
        <v>0.25</v>
      </c>
      <c r="F371">
        <v>0.25</v>
      </c>
      <c r="G371">
        <v>0.25</v>
      </c>
      <c r="AG371" s="25"/>
      <c r="AH371" s="25"/>
    </row>
    <row r="372" spans="4:34" ht="19.5" thickBot="1" x14ac:dyDescent="0.25">
      <c r="D372">
        <v>0.35</v>
      </c>
      <c r="E372">
        <v>0.25</v>
      </c>
      <c r="F372">
        <v>0.25</v>
      </c>
      <c r="G372">
        <v>0.25</v>
      </c>
      <c r="AG372" s="25"/>
      <c r="AH372" s="25"/>
    </row>
    <row r="373" spans="4:34" ht="19.5" thickBot="1" x14ac:dyDescent="0.25">
      <c r="AG373" s="25"/>
      <c r="AH373" s="25"/>
    </row>
    <row r="374" spans="4:34" ht="19.5" thickBot="1" x14ac:dyDescent="0.25">
      <c r="AG374" s="25"/>
      <c r="AH374" s="25"/>
    </row>
    <row r="375" spans="4:34" ht="19.5" thickBot="1" x14ac:dyDescent="0.25">
      <c r="AG375" s="25"/>
      <c r="AH375" s="25"/>
    </row>
    <row r="376" spans="4:34" ht="19.5" thickBot="1" x14ac:dyDescent="0.25">
      <c r="AG376" s="25"/>
      <c r="AH376" s="25"/>
    </row>
    <row r="377" spans="4:34" ht="19.5" thickBot="1" x14ac:dyDescent="0.25">
      <c r="AG377" s="25"/>
      <c r="AH377" s="25"/>
    </row>
    <row r="378" spans="4:34" ht="19.5" thickBot="1" x14ac:dyDescent="0.25">
      <c r="AG378" s="25"/>
      <c r="AH378" s="25"/>
    </row>
    <row r="379" spans="4:34" ht="19.5" thickBot="1" x14ac:dyDescent="0.25">
      <c r="AG379" s="25"/>
      <c r="AH379" s="25"/>
    </row>
    <row r="380" spans="4:34" ht="19.5" thickBot="1" x14ac:dyDescent="0.25">
      <c r="AG380" s="25"/>
      <c r="AH380" s="25"/>
    </row>
    <row r="381" spans="4:34" ht="19.5" thickBot="1" x14ac:dyDescent="0.25">
      <c r="AG381" s="25"/>
      <c r="AH381" s="25"/>
    </row>
    <row r="382" spans="4:34" ht="19.5" thickBot="1" x14ac:dyDescent="0.25">
      <c r="AG382" s="25"/>
      <c r="AH382" s="25"/>
    </row>
    <row r="383" spans="4:34" ht="19.5" thickBot="1" x14ac:dyDescent="0.25">
      <c r="AG383" s="25"/>
      <c r="AH383" s="25"/>
    </row>
    <row r="384" spans="4:34" ht="19.5" thickBot="1" x14ac:dyDescent="0.25">
      <c r="AG384" s="25"/>
      <c r="AH384" s="25"/>
    </row>
    <row r="385" spans="33:34" ht="19.5" thickBot="1" x14ac:dyDescent="0.25">
      <c r="AG385" s="25"/>
      <c r="AH385" s="25"/>
    </row>
    <row r="386" spans="33:34" ht="19.5" thickBot="1" x14ac:dyDescent="0.25">
      <c r="AG386" s="25"/>
      <c r="AH386" s="25"/>
    </row>
    <row r="387" spans="33:34" ht="19.5" thickBot="1" x14ac:dyDescent="0.25">
      <c r="AG387" s="25"/>
      <c r="AH387" s="25"/>
    </row>
    <row r="388" spans="33:34" ht="19.5" thickBot="1" x14ac:dyDescent="0.25">
      <c r="AG388" s="25"/>
      <c r="AH388" s="25"/>
    </row>
    <row r="389" spans="33:34" ht="19.5" thickBot="1" x14ac:dyDescent="0.25">
      <c r="AG389" s="25"/>
      <c r="AH389" s="25"/>
    </row>
    <row r="390" spans="33:34" ht="19.5" thickBot="1" x14ac:dyDescent="0.25">
      <c r="AG390" s="25"/>
      <c r="AH390" s="25"/>
    </row>
    <row r="391" spans="33:34" ht="19.5" thickBot="1" x14ac:dyDescent="0.25">
      <c r="AG391" s="25"/>
      <c r="AH391" s="25"/>
    </row>
    <row r="392" spans="33:34" ht="19.5" thickBot="1" x14ac:dyDescent="0.25">
      <c r="AG392" s="25"/>
      <c r="AH392" s="25"/>
    </row>
    <row r="393" spans="33:34" ht="19.5" thickBot="1" x14ac:dyDescent="0.25">
      <c r="AG393" s="25"/>
      <c r="AH393" s="25"/>
    </row>
    <row r="394" spans="33:34" ht="19.5" thickBot="1" x14ac:dyDescent="0.25">
      <c r="AG394" s="25"/>
      <c r="AH394" s="25"/>
    </row>
    <row r="395" spans="33:34" ht="19.5" thickBot="1" x14ac:dyDescent="0.25">
      <c r="AG395" s="25"/>
      <c r="AH395" s="25"/>
    </row>
    <row r="396" spans="33:34" ht="19.5" thickBot="1" x14ac:dyDescent="0.25">
      <c r="AG396" s="25"/>
      <c r="AH396" s="25"/>
    </row>
    <row r="397" spans="33:34" ht="19.5" thickBot="1" x14ac:dyDescent="0.25">
      <c r="AG397" s="25"/>
      <c r="AH397" s="25"/>
    </row>
    <row r="398" spans="33:34" ht="19.5" thickBot="1" x14ac:dyDescent="0.25">
      <c r="AG398" s="25"/>
      <c r="AH398" s="25"/>
    </row>
    <row r="399" spans="33:34" ht="19.5" thickBot="1" x14ac:dyDescent="0.25">
      <c r="AG399" s="25"/>
      <c r="AH399" s="25"/>
    </row>
    <row r="400" spans="33:34" ht="19.5" thickBot="1" x14ac:dyDescent="0.25">
      <c r="AG400" s="25"/>
      <c r="AH400" s="25"/>
    </row>
    <row r="401" spans="33:34" ht="19.5" thickBot="1" x14ac:dyDescent="0.25">
      <c r="AG401" s="25"/>
      <c r="AH401" s="25"/>
    </row>
    <row r="402" spans="33:34" ht="19.5" thickBot="1" x14ac:dyDescent="0.25">
      <c r="AG402" s="25"/>
      <c r="AH402" s="25"/>
    </row>
    <row r="403" spans="33:34" ht="19.5" thickBot="1" x14ac:dyDescent="0.25">
      <c r="AG403" s="25"/>
      <c r="AH403" s="25"/>
    </row>
    <row r="404" spans="33:34" ht="19.5" thickBot="1" x14ac:dyDescent="0.25">
      <c r="AG404" s="25"/>
      <c r="AH404" s="25"/>
    </row>
    <row r="405" spans="33:34" ht="19.5" thickBot="1" x14ac:dyDescent="0.25">
      <c r="AG405" s="25"/>
      <c r="AH405" s="25"/>
    </row>
    <row r="406" spans="33:34" ht="19.5" thickBot="1" x14ac:dyDescent="0.25">
      <c r="AG406" s="25"/>
      <c r="AH406" s="25"/>
    </row>
    <row r="407" spans="33:34" ht="19.5" thickBot="1" x14ac:dyDescent="0.25">
      <c r="AG407" s="25"/>
      <c r="AH407" s="25"/>
    </row>
    <row r="408" spans="33:34" ht="19.5" thickBot="1" x14ac:dyDescent="0.25">
      <c r="AG408" s="25"/>
      <c r="AH408" s="25"/>
    </row>
    <row r="409" spans="33:34" ht="19.5" thickBot="1" x14ac:dyDescent="0.25">
      <c r="AG409" s="25"/>
      <c r="AH409" s="25"/>
    </row>
    <row r="410" spans="33:34" ht="19.5" thickBot="1" x14ac:dyDescent="0.25">
      <c r="AG410" s="25"/>
      <c r="AH410" s="25"/>
    </row>
    <row r="411" spans="33:34" ht="19.5" thickBot="1" x14ac:dyDescent="0.25">
      <c r="AG411" s="25"/>
      <c r="AH411" s="25"/>
    </row>
    <row r="412" spans="33:34" ht="19.5" thickBot="1" x14ac:dyDescent="0.25">
      <c r="AG412" s="25"/>
      <c r="AH412" s="25"/>
    </row>
    <row r="413" spans="33:34" ht="19.5" thickBot="1" x14ac:dyDescent="0.25">
      <c r="AG413" s="25"/>
      <c r="AH413" s="25"/>
    </row>
    <row r="414" spans="33:34" ht="19.5" thickBot="1" x14ac:dyDescent="0.25">
      <c r="AG414" s="25"/>
      <c r="AH414" s="25"/>
    </row>
    <row r="415" spans="33:34" ht="19.5" thickBot="1" x14ac:dyDescent="0.25">
      <c r="AG415" s="25"/>
      <c r="AH415" s="25"/>
    </row>
    <row r="416" spans="33:34" ht="19.5" thickBot="1" x14ac:dyDescent="0.25">
      <c r="AG416" s="25"/>
      <c r="AH416" s="25"/>
    </row>
    <row r="417" spans="4:34" ht="19.5" thickBot="1" x14ac:dyDescent="0.25">
      <c r="AG417" s="25"/>
      <c r="AH417" s="25"/>
    </row>
    <row r="418" spans="4:34" ht="19.5" thickBot="1" x14ac:dyDescent="0.25">
      <c r="AG418" s="25"/>
      <c r="AH418" s="25"/>
    </row>
    <row r="419" spans="4:34" ht="19.5" thickBot="1" x14ac:dyDescent="0.25">
      <c r="D419" t="s">
        <v>124</v>
      </c>
      <c r="E419" t="s">
        <v>494</v>
      </c>
      <c r="F419" t="s">
        <v>493</v>
      </c>
      <c r="G419" t="s">
        <v>492</v>
      </c>
      <c r="AG419" s="25"/>
      <c r="AH419" s="25"/>
    </row>
    <row r="420" spans="4:34" ht="19.5" thickBot="1" x14ac:dyDescent="0.25">
      <c r="E420">
        <v>-25</v>
      </c>
      <c r="AG420" s="25"/>
      <c r="AH420" s="25"/>
    </row>
    <row r="421" spans="4:34" ht="19.5" thickBot="1" x14ac:dyDescent="0.25">
      <c r="AG421" s="25"/>
      <c r="AH421" s="25"/>
    </row>
    <row r="422" spans="4:34" ht="19.5" thickBot="1" x14ac:dyDescent="0.25">
      <c r="AG422" s="25"/>
      <c r="AH422" s="25"/>
    </row>
    <row r="423" spans="4:34" ht="19.5" thickBot="1" x14ac:dyDescent="0.25">
      <c r="AG423" s="25"/>
      <c r="AH423" s="25"/>
    </row>
    <row r="424" spans="4:34" ht="19.5" thickBot="1" x14ac:dyDescent="0.25">
      <c r="AG424" s="25"/>
      <c r="AH424" s="25"/>
    </row>
    <row r="425" spans="4:34" ht="19.5" thickBot="1" x14ac:dyDescent="0.25">
      <c r="AG425" s="25"/>
      <c r="AH425" s="25"/>
    </row>
    <row r="426" spans="4:34" ht="19.5" thickBot="1" x14ac:dyDescent="0.25">
      <c r="AG426" s="25"/>
      <c r="AH426" s="25"/>
    </row>
    <row r="427" spans="4:34" ht="19.5" thickBot="1" x14ac:dyDescent="0.25">
      <c r="AG427" s="25"/>
      <c r="AH427" s="25"/>
    </row>
    <row r="428" spans="4:34" ht="19.5" thickBot="1" x14ac:dyDescent="0.25">
      <c r="AG428" s="25"/>
      <c r="AH428" s="25"/>
    </row>
    <row r="429" spans="4:34" ht="19.5" thickBot="1" x14ac:dyDescent="0.25">
      <c r="AG429" s="25"/>
      <c r="AH429" s="25"/>
    </row>
    <row r="430" spans="4:34" ht="19.5" thickBot="1" x14ac:dyDescent="0.25">
      <c r="AG430" s="25"/>
      <c r="AH430" s="25"/>
    </row>
    <row r="431" spans="4:34" ht="19.5" thickBot="1" x14ac:dyDescent="0.25">
      <c r="AG431" s="25"/>
      <c r="AH431" s="25"/>
    </row>
    <row r="432" spans="4:34" ht="19.5" thickBot="1" x14ac:dyDescent="0.25">
      <c r="AG432" s="25"/>
      <c r="AH432" s="25"/>
    </row>
    <row r="433" spans="33:34" ht="19.5" thickBot="1" x14ac:dyDescent="0.25">
      <c r="AG433" s="25"/>
      <c r="AH433" s="25"/>
    </row>
    <row r="434" spans="33:34" ht="19.5" thickBot="1" x14ac:dyDescent="0.25">
      <c r="AG434" s="25"/>
      <c r="AH434" s="25"/>
    </row>
    <row r="435" spans="33:34" ht="19.5" thickBot="1" x14ac:dyDescent="0.25">
      <c r="AG435" s="25"/>
      <c r="AH435" s="25"/>
    </row>
    <row r="436" spans="33:34" ht="19.5" thickBot="1" x14ac:dyDescent="0.25">
      <c r="AG436" s="25"/>
      <c r="AH436" s="25"/>
    </row>
    <row r="437" spans="33:34" ht="19.5" thickBot="1" x14ac:dyDescent="0.25">
      <c r="AG437" s="25"/>
      <c r="AH437" s="25"/>
    </row>
    <row r="438" spans="33:34" ht="19.5" thickBot="1" x14ac:dyDescent="0.25">
      <c r="AG438" s="25"/>
      <c r="AH438" s="25"/>
    </row>
    <row r="439" spans="33:34" ht="19.5" thickBot="1" x14ac:dyDescent="0.25">
      <c r="AG439" s="25"/>
      <c r="AH439" s="25"/>
    </row>
    <row r="440" spans="33:34" ht="19.5" thickBot="1" x14ac:dyDescent="0.25">
      <c r="AG440" s="25"/>
      <c r="AH440" s="25"/>
    </row>
    <row r="441" spans="33:34" ht="19.5" thickBot="1" x14ac:dyDescent="0.25">
      <c r="AG441" s="25"/>
      <c r="AH441" s="25"/>
    </row>
    <row r="442" spans="33:34" ht="19.5" thickBot="1" x14ac:dyDescent="0.25">
      <c r="AG442" s="25"/>
      <c r="AH442" s="25"/>
    </row>
    <row r="443" spans="33:34" ht="19.5" thickBot="1" x14ac:dyDescent="0.25">
      <c r="AG443" s="25"/>
      <c r="AH443" s="25"/>
    </row>
    <row r="444" spans="33:34" ht="19.5" thickBot="1" x14ac:dyDescent="0.25">
      <c r="AG444" s="25"/>
      <c r="AH444" s="25"/>
    </row>
    <row r="445" spans="33:34" ht="19.5" thickBot="1" x14ac:dyDescent="0.25">
      <c r="AG445" s="25"/>
      <c r="AH445" s="25"/>
    </row>
    <row r="446" spans="33:34" ht="19.5" thickBot="1" x14ac:dyDescent="0.25">
      <c r="AG446" s="25"/>
      <c r="AH446" s="25"/>
    </row>
    <row r="447" spans="33:34" ht="19.5" thickBot="1" x14ac:dyDescent="0.25">
      <c r="AG447" s="25"/>
      <c r="AH447" s="25"/>
    </row>
    <row r="448" spans="33:34" ht="19.5" thickBot="1" x14ac:dyDescent="0.25">
      <c r="AG448" s="25"/>
      <c r="AH448" s="25"/>
    </row>
    <row r="449" spans="4:34" ht="19.5" thickBot="1" x14ac:dyDescent="0.25">
      <c r="AG449" s="25"/>
      <c r="AH449" s="25"/>
    </row>
    <row r="450" spans="4:34" ht="19.5" thickBot="1" x14ac:dyDescent="0.25">
      <c r="AG450" s="25"/>
      <c r="AH450" s="25"/>
    </row>
    <row r="451" spans="4:34" ht="19.5" thickBot="1" x14ac:dyDescent="0.25">
      <c r="AG451" s="25"/>
      <c r="AH451" s="25"/>
    </row>
    <row r="452" spans="4:34" ht="19.5" thickBot="1" x14ac:dyDescent="0.25">
      <c r="AG452" s="25"/>
      <c r="AH452" s="25"/>
    </row>
    <row r="453" spans="4:34" ht="19.5" thickBot="1" x14ac:dyDescent="0.25">
      <c r="AG453" s="25"/>
      <c r="AH453" s="25"/>
    </row>
    <row r="454" spans="4:34" ht="19.5" thickBot="1" x14ac:dyDescent="0.25">
      <c r="AG454" s="25"/>
      <c r="AH454" s="25"/>
    </row>
    <row r="455" spans="4:34" ht="19.5" thickBot="1" x14ac:dyDescent="0.25">
      <c r="AG455" s="25"/>
      <c r="AH455" s="25"/>
    </row>
    <row r="456" spans="4:34" ht="19.5" thickBot="1" x14ac:dyDescent="0.25">
      <c r="AG456" s="25"/>
      <c r="AH456" s="25"/>
    </row>
    <row r="457" spans="4:34" ht="19.5" thickBot="1" x14ac:dyDescent="0.25">
      <c r="D457">
        <v>1</v>
      </c>
      <c r="AG457" s="25"/>
      <c r="AH457" s="25"/>
    </row>
    <row r="458" spans="4:34" ht="19.5" thickBot="1" x14ac:dyDescent="0.25">
      <c r="D458">
        <v>1</v>
      </c>
      <c r="AG458" s="25"/>
      <c r="AH458" s="25"/>
    </row>
    <row r="459" spans="4:34" ht="19.5" thickBot="1" x14ac:dyDescent="0.25">
      <c r="D459">
        <v>1</v>
      </c>
      <c r="AG459" s="25"/>
      <c r="AH459" s="25"/>
    </row>
    <row r="460" spans="4:34" ht="19.5" thickBot="1" x14ac:dyDescent="0.25">
      <c r="AG460" s="25"/>
      <c r="AH460" s="25"/>
    </row>
    <row r="461" spans="4:34" ht="19.5" thickBot="1" x14ac:dyDescent="0.25">
      <c r="AG461" s="25"/>
      <c r="AH461" s="25"/>
    </row>
    <row r="462" spans="4:34" ht="19.5" thickBot="1" x14ac:dyDescent="0.25">
      <c r="AG462" s="25"/>
      <c r="AH462" s="25"/>
    </row>
    <row r="463" spans="4:34" ht="19.5" thickBot="1" x14ac:dyDescent="0.25">
      <c r="D463">
        <v>1</v>
      </c>
      <c r="AG463" s="25"/>
      <c r="AH463" s="25"/>
    </row>
    <row r="464" spans="4:34" ht="19.5" thickBot="1" x14ac:dyDescent="0.25">
      <c r="D464">
        <v>1</v>
      </c>
      <c r="G464">
        <v>0.85</v>
      </c>
      <c r="H464" s="29">
        <v>0.18</v>
      </c>
      <c r="AG464" s="25"/>
      <c r="AH464" s="25"/>
    </row>
    <row r="465" spans="4:34" ht="19.5" thickBot="1" x14ac:dyDescent="0.25">
      <c r="D465">
        <v>1</v>
      </c>
      <c r="G465">
        <v>0.85</v>
      </c>
      <c r="H465" s="29">
        <v>0.18</v>
      </c>
      <c r="K465" s="29">
        <v>5</v>
      </c>
      <c r="L465" s="29">
        <v>125</v>
      </c>
      <c r="AG465" s="25"/>
      <c r="AH465" s="25"/>
    </row>
    <row r="466" spans="4:34" ht="19.5" thickBot="1" x14ac:dyDescent="0.25">
      <c r="D466">
        <v>1</v>
      </c>
      <c r="G466">
        <v>0.85</v>
      </c>
      <c r="H466" s="29">
        <v>0.18</v>
      </c>
      <c r="AG466" s="25"/>
      <c r="AH466" s="25"/>
    </row>
    <row r="467" spans="4:34" ht="19.5" thickBot="1" x14ac:dyDescent="0.25">
      <c r="D467">
        <v>1</v>
      </c>
      <c r="G467">
        <v>0.85</v>
      </c>
      <c r="H467" s="29">
        <v>0.18</v>
      </c>
      <c r="K467" s="29">
        <v>5</v>
      </c>
      <c r="L467" s="29">
        <v>125</v>
      </c>
      <c r="AG467" s="25"/>
      <c r="AH467" s="25"/>
    </row>
    <row r="468" spans="4:34" ht="19.5" thickBot="1" x14ac:dyDescent="0.25">
      <c r="D468">
        <v>1</v>
      </c>
      <c r="AG468" s="25"/>
      <c r="AH468" s="25"/>
    </row>
    <row r="469" spans="4:34" ht="19.5" thickBot="1" x14ac:dyDescent="0.25">
      <c r="AG469" s="25"/>
      <c r="AH469" s="25"/>
    </row>
    <row r="470" spans="4:34" ht="19.5" thickBot="1" x14ac:dyDescent="0.25">
      <c r="D470">
        <v>1</v>
      </c>
      <c r="AG470" s="25"/>
      <c r="AH470" s="25"/>
    </row>
    <row r="471" spans="4:34" ht="19.5" thickBot="1" x14ac:dyDescent="0.25">
      <c r="D471">
        <v>1</v>
      </c>
      <c r="G471">
        <v>1</v>
      </c>
      <c r="H471" s="29">
        <v>0.15</v>
      </c>
      <c r="K471" s="29">
        <v>5</v>
      </c>
      <c r="L471" s="29">
        <v>125</v>
      </c>
      <c r="AG471" s="25"/>
      <c r="AH471" s="25"/>
    </row>
    <row r="472" spans="4:34" ht="19.5" thickBot="1" x14ac:dyDescent="0.25">
      <c r="D472">
        <v>1</v>
      </c>
      <c r="G472">
        <v>1</v>
      </c>
      <c r="H472" s="29">
        <v>0.15</v>
      </c>
      <c r="K472" s="29">
        <v>5</v>
      </c>
      <c r="L472" s="29">
        <v>125</v>
      </c>
      <c r="AG472" s="25"/>
      <c r="AH472" s="25"/>
    </row>
    <row r="473" spans="4:34" ht="19.5" thickBot="1" x14ac:dyDescent="0.25">
      <c r="AG473" s="25"/>
      <c r="AH473" s="25"/>
    </row>
    <row r="474" spans="4:34" ht="19.5" thickBot="1" x14ac:dyDescent="0.25">
      <c r="AG474" s="25"/>
      <c r="AH474" s="25"/>
    </row>
    <row r="475" spans="4:34" ht="19.5" thickBot="1" x14ac:dyDescent="0.25">
      <c r="AG475" s="25"/>
      <c r="AH475" s="25"/>
    </row>
    <row r="476" spans="4:34" ht="19.5" thickBot="1" x14ac:dyDescent="0.25">
      <c r="AG476" s="25"/>
      <c r="AH476" s="25"/>
    </row>
    <row r="477" spans="4:34" ht="19.5" thickBot="1" x14ac:dyDescent="0.25">
      <c r="AG477" s="25"/>
      <c r="AH477" s="25"/>
    </row>
    <row r="478" spans="4:34" ht="19.5" thickBot="1" x14ac:dyDescent="0.25">
      <c r="AG478" s="25"/>
      <c r="AH478" s="25"/>
    </row>
    <row r="479" spans="4:34" ht="19.5" thickBot="1" x14ac:dyDescent="0.25">
      <c r="AG479" s="25"/>
      <c r="AH479" s="25"/>
    </row>
    <row r="480" spans="4:34" ht="19.5" thickBot="1" x14ac:dyDescent="0.25">
      <c r="AG480" s="25"/>
      <c r="AH480" s="25"/>
    </row>
    <row r="481" spans="33:34" ht="19.5" thickBot="1" x14ac:dyDescent="0.25">
      <c r="AG481" s="25"/>
      <c r="AH481" s="25"/>
    </row>
    <row r="482" spans="33:34" ht="19.5" thickBot="1" x14ac:dyDescent="0.25">
      <c r="AG482" s="25"/>
      <c r="AH482" s="25"/>
    </row>
    <row r="483" spans="33:34" ht="19.5" thickBot="1" x14ac:dyDescent="0.25">
      <c r="AG483" s="25"/>
      <c r="AH483" s="25"/>
    </row>
    <row r="484" spans="33:34" ht="19.5" thickBot="1" x14ac:dyDescent="0.25">
      <c r="AG484" s="25"/>
      <c r="AH484" s="25"/>
    </row>
    <row r="485" spans="33:34" ht="19.5" thickBot="1" x14ac:dyDescent="0.25">
      <c r="AG485" s="25"/>
      <c r="AH485" s="25"/>
    </row>
    <row r="486" spans="33:34" ht="19.5" thickBot="1" x14ac:dyDescent="0.25">
      <c r="AG486" s="25"/>
      <c r="AH486" s="25"/>
    </row>
    <row r="487" spans="33:34" ht="19.5" thickBot="1" x14ac:dyDescent="0.25">
      <c r="AG487" s="25"/>
      <c r="AH487" s="25"/>
    </row>
    <row r="488" spans="33:34" ht="19.5" thickBot="1" x14ac:dyDescent="0.25">
      <c r="AG488" s="25"/>
      <c r="AH488" s="25"/>
    </row>
    <row r="489" spans="33:34" ht="19.5" thickBot="1" x14ac:dyDescent="0.25">
      <c r="AG489" s="25"/>
      <c r="AH489" s="25"/>
    </row>
    <row r="490" spans="33:34" ht="19.5" thickBot="1" x14ac:dyDescent="0.25">
      <c r="AG490" s="25"/>
      <c r="AH490" s="25"/>
    </row>
    <row r="491" spans="33:34" ht="19.5" thickBot="1" x14ac:dyDescent="0.25">
      <c r="AG491" s="25"/>
      <c r="AH491" s="25"/>
    </row>
    <row r="492" spans="33:34" ht="19.5" thickBot="1" x14ac:dyDescent="0.25">
      <c r="AG492" s="25"/>
      <c r="AH492" s="25"/>
    </row>
    <row r="493" spans="33:34" ht="19.5" thickBot="1" x14ac:dyDescent="0.25">
      <c r="AG493" s="25"/>
      <c r="AH493" s="25"/>
    </row>
    <row r="494" spans="33:34" ht="19.5" thickBot="1" x14ac:dyDescent="0.25">
      <c r="AG494" s="25"/>
      <c r="AH494" s="25"/>
    </row>
    <row r="495" spans="33:34" ht="19.5" thickBot="1" x14ac:dyDescent="0.25">
      <c r="AG495" s="25"/>
      <c r="AH495" s="25"/>
    </row>
    <row r="496" spans="33:34" ht="19.5" thickBot="1" x14ac:dyDescent="0.25">
      <c r="AG496" s="25"/>
      <c r="AH496" s="25"/>
    </row>
    <row r="497" spans="33:34" ht="19.5" thickBot="1" x14ac:dyDescent="0.25">
      <c r="AG497" s="25"/>
      <c r="AH497" s="25"/>
    </row>
    <row r="498" spans="33:34" ht="19.5" thickBot="1" x14ac:dyDescent="0.25">
      <c r="AG498" s="25"/>
      <c r="AH498" s="25"/>
    </row>
    <row r="499" spans="33:34" ht="19.5" thickBot="1" x14ac:dyDescent="0.25">
      <c r="AG499" s="25"/>
      <c r="AH499" s="25"/>
    </row>
    <row r="500" spans="33:34" ht="19.5" thickBot="1" x14ac:dyDescent="0.25">
      <c r="AG500" s="25"/>
      <c r="AH500" s="25"/>
    </row>
    <row r="501" spans="33:34" ht="19.5" thickBot="1" x14ac:dyDescent="0.25">
      <c r="AG501" s="25"/>
      <c r="AH501" s="25"/>
    </row>
    <row r="502" spans="33:34" ht="19.5" thickBot="1" x14ac:dyDescent="0.25">
      <c r="AG502" s="25"/>
      <c r="AH502" s="25"/>
    </row>
    <row r="503" spans="33:34" ht="19.5" thickBot="1" x14ac:dyDescent="0.25">
      <c r="AG503" s="25"/>
      <c r="AH503" s="25"/>
    </row>
    <row r="504" spans="33:34" ht="19.5" thickBot="1" x14ac:dyDescent="0.25">
      <c r="AG504" s="25"/>
      <c r="AH504" s="25"/>
    </row>
    <row r="505" spans="33:34" ht="19.5" thickBot="1" x14ac:dyDescent="0.25">
      <c r="AG505" s="25"/>
      <c r="AH505" s="25"/>
    </row>
    <row r="506" spans="33:34" ht="19.5" thickBot="1" x14ac:dyDescent="0.25">
      <c r="AG506" s="25"/>
      <c r="AH506" s="25"/>
    </row>
    <row r="507" spans="33:34" ht="19.5" thickBot="1" x14ac:dyDescent="0.25">
      <c r="AG507" s="25"/>
      <c r="AH507" s="25"/>
    </row>
    <row r="508" spans="33:34" ht="19.5" thickBot="1" x14ac:dyDescent="0.25">
      <c r="AG508" s="25"/>
      <c r="AH508" s="25"/>
    </row>
    <row r="509" spans="33:34" ht="19.5" thickBot="1" x14ac:dyDescent="0.25">
      <c r="AG509" s="25"/>
      <c r="AH509" s="25"/>
    </row>
    <row r="510" spans="33:34" ht="19.5" thickBot="1" x14ac:dyDescent="0.25">
      <c r="AG510" s="25"/>
      <c r="AH510" s="25"/>
    </row>
    <row r="511" spans="33:34" ht="19.5" thickBot="1" x14ac:dyDescent="0.25">
      <c r="AG511" s="25"/>
      <c r="AH511" s="25"/>
    </row>
    <row r="512" spans="33:34" ht="19.5" thickBot="1" x14ac:dyDescent="0.25">
      <c r="AG512" s="25"/>
      <c r="AH512" s="25"/>
    </row>
    <row r="513" spans="33:34" ht="19.5" thickBot="1" x14ac:dyDescent="0.25">
      <c r="AG513" s="25"/>
      <c r="AH513" s="25"/>
    </row>
    <row r="514" spans="33:34" ht="19.5" thickBot="1" x14ac:dyDescent="0.25">
      <c r="AG514" s="25"/>
      <c r="AH514" s="25"/>
    </row>
    <row r="515" spans="33:34" ht="19.5" thickBot="1" x14ac:dyDescent="0.25">
      <c r="AG515" s="25"/>
      <c r="AH515" s="25"/>
    </row>
    <row r="516" spans="33:34" ht="19.5" thickBot="1" x14ac:dyDescent="0.25">
      <c r="AG516" s="25"/>
      <c r="AH516" s="25"/>
    </row>
    <row r="517" spans="33:34" ht="19.5" thickBot="1" x14ac:dyDescent="0.25">
      <c r="AG517" s="25"/>
      <c r="AH517" s="25"/>
    </row>
    <row r="518" spans="33:34" ht="19.5" thickBot="1" x14ac:dyDescent="0.25">
      <c r="AG518" s="25"/>
      <c r="AH518" s="25"/>
    </row>
    <row r="519" spans="33:34" ht="19.5" thickBot="1" x14ac:dyDescent="0.25">
      <c r="AG519" s="25"/>
      <c r="AH519" s="25"/>
    </row>
    <row r="520" spans="33:34" ht="19.5" thickBot="1" x14ac:dyDescent="0.25">
      <c r="AG520" s="25"/>
      <c r="AH520" s="25"/>
    </row>
    <row r="521" spans="33:34" ht="19.5" thickBot="1" x14ac:dyDescent="0.25">
      <c r="AG521" s="25"/>
      <c r="AH521" s="25"/>
    </row>
    <row r="522" spans="33:34" ht="19.5" thickBot="1" x14ac:dyDescent="0.25">
      <c r="AG522" s="25"/>
      <c r="AH522" s="25"/>
    </row>
    <row r="523" spans="33:34" ht="19.5" thickBot="1" x14ac:dyDescent="0.25">
      <c r="AG523" s="25"/>
      <c r="AH523" s="25"/>
    </row>
    <row r="524" spans="33:34" ht="19.5" thickBot="1" x14ac:dyDescent="0.25">
      <c r="AG524" s="25"/>
      <c r="AH524" s="25"/>
    </row>
    <row r="525" spans="33:34" ht="19.5" thickBot="1" x14ac:dyDescent="0.25">
      <c r="AG525" s="25"/>
      <c r="AH525" s="25"/>
    </row>
    <row r="526" spans="33:34" ht="19.5" thickBot="1" x14ac:dyDescent="0.25">
      <c r="AG526" s="25"/>
      <c r="AH526" s="25"/>
    </row>
    <row r="527" spans="33:34" ht="19.5" thickBot="1" x14ac:dyDescent="0.25">
      <c r="AG527" s="25"/>
      <c r="AH527" s="25"/>
    </row>
    <row r="528" spans="33:34" ht="19.5" thickBot="1" x14ac:dyDescent="0.25">
      <c r="AG528" s="25"/>
      <c r="AH528" s="25"/>
    </row>
    <row r="529" spans="33:34" ht="19.5" thickBot="1" x14ac:dyDescent="0.25">
      <c r="AG529" s="25"/>
      <c r="AH529" s="25"/>
    </row>
    <row r="530" spans="33:34" ht="19.5" thickBot="1" x14ac:dyDescent="0.25">
      <c r="AG530" s="25"/>
      <c r="AH530" s="25"/>
    </row>
    <row r="531" spans="33:34" ht="19.5" thickBot="1" x14ac:dyDescent="0.25">
      <c r="AG531" s="25"/>
      <c r="AH531" s="25"/>
    </row>
    <row r="532" spans="33:34" ht="19.5" thickBot="1" x14ac:dyDescent="0.25">
      <c r="AG532" s="25"/>
      <c r="AH532" s="25"/>
    </row>
    <row r="533" spans="33:34" ht="19.5" thickBot="1" x14ac:dyDescent="0.25">
      <c r="AG533" s="25"/>
      <c r="AH533" s="25"/>
    </row>
    <row r="534" spans="33:34" ht="19.5" thickBot="1" x14ac:dyDescent="0.25">
      <c r="AG534" s="25"/>
      <c r="AH534" s="25"/>
    </row>
    <row r="535" spans="33:34" ht="19.5" thickBot="1" x14ac:dyDescent="0.25">
      <c r="AG535" s="25"/>
      <c r="AH535" s="25"/>
    </row>
    <row r="536" spans="33:34" ht="19.5" thickBot="1" x14ac:dyDescent="0.25">
      <c r="AG536" s="25"/>
      <c r="AH536" s="25"/>
    </row>
    <row r="537" spans="33:34" ht="19.5" thickBot="1" x14ac:dyDescent="0.25">
      <c r="AG537" s="25"/>
      <c r="AH537" s="25"/>
    </row>
    <row r="538" spans="33:34" ht="19.5" thickBot="1" x14ac:dyDescent="0.25">
      <c r="AG538" s="25"/>
      <c r="AH538" s="25"/>
    </row>
    <row r="539" spans="33:34" ht="19.5" thickBot="1" x14ac:dyDescent="0.25">
      <c r="AG539" s="25"/>
      <c r="AH539" s="25"/>
    </row>
    <row r="540" spans="33:34" ht="19.5" thickBot="1" x14ac:dyDescent="0.25">
      <c r="AG540" s="25"/>
      <c r="AH540" s="25"/>
    </row>
    <row r="541" spans="33:34" ht="19.5" thickBot="1" x14ac:dyDescent="0.25">
      <c r="AG541" s="25"/>
      <c r="AH541" s="25"/>
    </row>
    <row r="542" spans="33:34" ht="19.5" thickBot="1" x14ac:dyDescent="0.25">
      <c r="AG542" s="25"/>
      <c r="AH542" s="25"/>
    </row>
    <row r="543" spans="33:34" ht="19.5" thickBot="1" x14ac:dyDescent="0.25">
      <c r="AG543" s="25"/>
      <c r="AH543" s="25"/>
    </row>
    <row r="544" spans="33:34" ht="19.5" thickBot="1" x14ac:dyDescent="0.25">
      <c r="AG544" s="25"/>
      <c r="AH544" s="25"/>
    </row>
    <row r="545" spans="33:34" ht="19.5" thickBot="1" x14ac:dyDescent="0.25">
      <c r="AG545" s="25"/>
      <c r="AH545" s="25"/>
    </row>
    <row r="546" spans="33:34" ht="19.5" thickBot="1" x14ac:dyDescent="0.25">
      <c r="AG546" s="25"/>
      <c r="AH546" s="25"/>
    </row>
    <row r="547" spans="33:34" ht="19.5" thickBot="1" x14ac:dyDescent="0.25">
      <c r="AG547" s="25"/>
      <c r="AH547" s="25"/>
    </row>
    <row r="548" spans="33:34" ht="19.5" thickBot="1" x14ac:dyDescent="0.25">
      <c r="AG548" s="25"/>
      <c r="AH548" s="25"/>
    </row>
    <row r="549" spans="33:34" ht="19.5" thickBot="1" x14ac:dyDescent="0.25">
      <c r="AG549" s="25"/>
      <c r="AH549" s="25"/>
    </row>
    <row r="550" spans="33:34" ht="19.5" thickBot="1" x14ac:dyDescent="0.25">
      <c r="AG550" s="25"/>
      <c r="AH550" s="25"/>
    </row>
    <row r="551" spans="33:34" ht="19.5" thickBot="1" x14ac:dyDescent="0.25">
      <c r="AG551" s="25"/>
      <c r="AH551" s="25"/>
    </row>
    <row r="552" spans="33:34" ht="19.5" thickBot="1" x14ac:dyDescent="0.25">
      <c r="AG552" s="25"/>
      <c r="AH552" s="25"/>
    </row>
    <row r="553" spans="33:34" ht="19.5" thickBot="1" x14ac:dyDescent="0.25">
      <c r="AG553" s="25"/>
      <c r="AH553" s="25"/>
    </row>
    <row r="554" spans="33:34" ht="19.5" thickBot="1" x14ac:dyDescent="0.25">
      <c r="AG554" s="25"/>
      <c r="AH554" s="25"/>
    </row>
    <row r="555" spans="33:34" ht="19.5" thickBot="1" x14ac:dyDescent="0.25">
      <c r="AG555" s="25"/>
      <c r="AH555" s="25"/>
    </row>
    <row r="556" spans="33:34" ht="19.5" thickBot="1" x14ac:dyDescent="0.25">
      <c r="AG556" s="25"/>
      <c r="AH556" s="25"/>
    </row>
    <row r="557" spans="33:34" ht="19.5" thickBot="1" x14ac:dyDescent="0.25">
      <c r="AG557" s="25"/>
      <c r="AH557" s="25"/>
    </row>
    <row r="558" spans="33:34" ht="19.5" thickBot="1" x14ac:dyDescent="0.25">
      <c r="AG558" s="25"/>
      <c r="AH558" s="25"/>
    </row>
    <row r="559" spans="33:34" ht="19.5" thickBot="1" x14ac:dyDescent="0.25">
      <c r="AG559" s="25"/>
      <c r="AH559" s="25"/>
    </row>
    <row r="560" spans="33:34" ht="19.5" thickBot="1" x14ac:dyDescent="0.25">
      <c r="AG560" s="25"/>
      <c r="AH560" s="25"/>
    </row>
    <row r="561" spans="33:34" ht="19.5" thickBot="1" x14ac:dyDescent="0.25">
      <c r="AG561" s="25"/>
      <c r="AH561" s="25"/>
    </row>
    <row r="562" spans="33:34" ht="19.5" thickBot="1" x14ac:dyDescent="0.25">
      <c r="AG562" s="25"/>
      <c r="AH562" s="25"/>
    </row>
    <row r="563" spans="33:34" ht="19.5" thickBot="1" x14ac:dyDescent="0.25">
      <c r="AG563" s="25"/>
      <c r="AH563" s="25"/>
    </row>
    <row r="564" spans="33:34" ht="19.5" thickBot="1" x14ac:dyDescent="0.25">
      <c r="AG564" s="25"/>
      <c r="AH564" s="25"/>
    </row>
    <row r="565" spans="33:34" ht="19.5" thickBot="1" x14ac:dyDescent="0.25">
      <c r="AG565" s="25"/>
      <c r="AH565" s="25"/>
    </row>
    <row r="566" spans="33:34" ht="19.5" thickBot="1" x14ac:dyDescent="0.25">
      <c r="AG566" s="25"/>
      <c r="AH566" s="25"/>
    </row>
    <row r="567" spans="33:34" ht="19.5" thickBot="1" x14ac:dyDescent="0.25">
      <c r="AG567" s="25"/>
      <c r="AH567" s="25"/>
    </row>
    <row r="568" spans="33:34" ht="19.5" thickBot="1" x14ac:dyDescent="0.25">
      <c r="AG568" s="25"/>
      <c r="AH568" s="25"/>
    </row>
    <row r="569" spans="33:34" ht="19.5" thickBot="1" x14ac:dyDescent="0.25">
      <c r="AG569" s="25"/>
      <c r="AH569" s="25"/>
    </row>
    <row r="570" spans="33:34" ht="19.5" thickBot="1" x14ac:dyDescent="0.25">
      <c r="AG570" s="25"/>
      <c r="AH570" s="25"/>
    </row>
    <row r="571" spans="33:34" ht="19.5" thickBot="1" x14ac:dyDescent="0.25">
      <c r="AG571" s="25"/>
      <c r="AH571" s="25"/>
    </row>
    <row r="572" spans="33:34" ht="19.5" thickBot="1" x14ac:dyDescent="0.25">
      <c r="AG572" s="25"/>
      <c r="AH572" s="25"/>
    </row>
    <row r="573" spans="33:34" ht="19.5" thickBot="1" x14ac:dyDescent="0.25">
      <c r="AG573" s="25"/>
      <c r="AH573" s="25"/>
    </row>
    <row r="574" spans="33:34" ht="19.5" thickBot="1" x14ac:dyDescent="0.25">
      <c r="AG574" s="25"/>
      <c r="AH574" s="25"/>
    </row>
    <row r="575" spans="33:34" ht="19.5" thickBot="1" x14ac:dyDescent="0.25">
      <c r="AG575" s="25"/>
      <c r="AH575" s="25"/>
    </row>
    <row r="576" spans="33:34" ht="19.5" thickBot="1" x14ac:dyDescent="0.25">
      <c r="AG576" s="25"/>
      <c r="AH576" s="25"/>
    </row>
    <row r="577" spans="33:34" ht="19.5" thickBot="1" x14ac:dyDescent="0.25">
      <c r="AG577" s="25"/>
      <c r="AH577" s="25"/>
    </row>
    <row r="578" spans="33:34" ht="19.5" thickBot="1" x14ac:dyDescent="0.25">
      <c r="AG578" s="25"/>
      <c r="AH578" s="25"/>
    </row>
    <row r="579" spans="33:34" ht="19.5" thickBot="1" x14ac:dyDescent="0.25">
      <c r="AG579" s="25"/>
      <c r="AH579" s="25"/>
    </row>
    <row r="580" spans="33:34" ht="19.5" thickBot="1" x14ac:dyDescent="0.25">
      <c r="AG580" s="25"/>
      <c r="AH580" s="25"/>
    </row>
    <row r="581" spans="33:34" ht="19.5" thickBot="1" x14ac:dyDescent="0.25">
      <c r="AG581" s="25"/>
      <c r="AH581" s="25"/>
    </row>
    <row r="582" spans="33:34" ht="19.5" thickBot="1" x14ac:dyDescent="0.25">
      <c r="AG582" s="25"/>
      <c r="AH582" s="25"/>
    </row>
    <row r="583" spans="33:34" ht="19.5" thickBot="1" x14ac:dyDescent="0.25">
      <c r="AG583" s="25"/>
      <c r="AH583" s="25"/>
    </row>
    <row r="584" spans="33:34" ht="19.5" thickBot="1" x14ac:dyDescent="0.25">
      <c r="AG584" s="25"/>
      <c r="AH584" s="25"/>
    </row>
    <row r="585" spans="33:34" ht="19.5" thickBot="1" x14ac:dyDescent="0.25">
      <c r="AG585" s="25"/>
      <c r="AH585" s="25"/>
    </row>
    <row r="586" spans="33:34" ht="19.5" thickBot="1" x14ac:dyDescent="0.25">
      <c r="AG586" s="25"/>
      <c r="AH586" s="25"/>
    </row>
    <row r="587" spans="33:34" ht="19.5" thickBot="1" x14ac:dyDescent="0.25">
      <c r="AG587" s="25"/>
      <c r="AH587" s="25"/>
    </row>
    <row r="588" spans="33:34" ht="19.5" thickBot="1" x14ac:dyDescent="0.25">
      <c r="AG588" s="25"/>
      <c r="AH588" s="25"/>
    </row>
    <row r="589" spans="33:34" ht="19.5" thickBot="1" x14ac:dyDescent="0.25">
      <c r="AG589" s="25"/>
      <c r="AH589" s="25"/>
    </row>
    <row r="590" spans="33:34" ht="19.5" thickBot="1" x14ac:dyDescent="0.25">
      <c r="AG590" s="25"/>
      <c r="AH590" s="25"/>
    </row>
    <row r="591" spans="33:34" ht="19.5" thickBot="1" x14ac:dyDescent="0.25">
      <c r="AG591" s="25"/>
      <c r="AH591" s="25"/>
    </row>
    <row r="592" spans="33:34" ht="19.5" thickBot="1" x14ac:dyDescent="0.25">
      <c r="AG592" s="25"/>
      <c r="AH592" s="25"/>
    </row>
    <row r="593" spans="33:34" ht="19.5" thickBot="1" x14ac:dyDescent="0.25">
      <c r="AG593" s="25"/>
      <c r="AH593" s="25"/>
    </row>
    <row r="594" spans="33:34" ht="19.5" thickBot="1" x14ac:dyDescent="0.25">
      <c r="AG594" s="25"/>
      <c r="AH594" s="25"/>
    </row>
    <row r="595" spans="33:34" ht="19.5" thickBot="1" x14ac:dyDescent="0.25">
      <c r="AG595" s="25"/>
      <c r="AH595" s="25"/>
    </row>
    <row r="596" spans="33:34" ht="19.5" thickBot="1" x14ac:dyDescent="0.25">
      <c r="AG596" s="25"/>
      <c r="AH596" s="25"/>
    </row>
    <row r="597" spans="33:34" ht="19.5" thickBot="1" x14ac:dyDescent="0.25">
      <c r="AG597" s="25"/>
      <c r="AH597" s="25"/>
    </row>
    <row r="598" spans="33:34" ht="19.5" thickBot="1" x14ac:dyDescent="0.25">
      <c r="AG598" s="25"/>
      <c r="AH598" s="25"/>
    </row>
    <row r="599" spans="33:34" ht="19.5" thickBot="1" x14ac:dyDescent="0.25">
      <c r="AG599" s="25"/>
      <c r="AH599" s="25"/>
    </row>
    <row r="600" spans="33:34" ht="19.5" thickBot="1" x14ac:dyDescent="0.25">
      <c r="AG600" s="25"/>
      <c r="AH600" s="25"/>
    </row>
    <row r="601" spans="33:34" ht="19.5" thickBot="1" x14ac:dyDescent="0.25">
      <c r="AG601" s="25"/>
      <c r="AH601" s="25"/>
    </row>
    <row r="602" spans="33:34" ht="19.5" thickBot="1" x14ac:dyDescent="0.25">
      <c r="AG602" s="25"/>
      <c r="AH602" s="25"/>
    </row>
    <row r="603" spans="33:34" ht="19.5" thickBot="1" x14ac:dyDescent="0.25">
      <c r="AG603" s="25"/>
      <c r="AH603" s="25"/>
    </row>
    <row r="604" spans="33:34" ht="19.5" thickBot="1" x14ac:dyDescent="0.25">
      <c r="AG604" s="25"/>
      <c r="AH604" s="25"/>
    </row>
    <row r="605" spans="33:34" ht="19.5" thickBot="1" x14ac:dyDescent="0.25">
      <c r="AG605" s="25"/>
      <c r="AH605" s="25"/>
    </row>
    <row r="606" spans="33:34" ht="19.5" thickBot="1" x14ac:dyDescent="0.25">
      <c r="AG606" s="25"/>
      <c r="AH606" s="25"/>
    </row>
    <row r="607" spans="33:34" ht="19.5" thickBot="1" x14ac:dyDescent="0.25">
      <c r="AG607" s="25"/>
      <c r="AH607" s="25"/>
    </row>
    <row r="608" spans="33:34" ht="19.5" thickBot="1" x14ac:dyDescent="0.25">
      <c r="AG608" s="25"/>
      <c r="AH608" s="25"/>
    </row>
    <row r="609" spans="33:34" ht="19.5" thickBot="1" x14ac:dyDescent="0.25">
      <c r="AG609" s="25"/>
      <c r="AH609" s="25"/>
    </row>
    <row r="610" spans="33:34" ht="19.5" thickBot="1" x14ac:dyDescent="0.25">
      <c r="AG610" s="25"/>
      <c r="AH610" s="25"/>
    </row>
    <row r="611" spans="33:34" ht="19.5" thickBot="1" x14ac:dyDescent="0.25">
      <c r="AG611" s="25"/>
      <c r="AH611" s="25"/>
    </row>
    <row r="612" spans="33:34" ht="19.5" thickBot="1" x14ac:dyDescent="0.25">
      <c r="AG612" s="25"/>
      <c r="AH612" s="25"/>
    </row>
    <row r="613" spans="33:34" ht="19.5" thickBot="1" x14ac:dyDescent="0.25">
      <c r="AG613" s="25"/>
      <c r="AH613" s="25"/>
    </row>
    <row r="614" spans="33:34" ht="19.5" thickBot="1" x14ac:dyDescent="0.25">
      <c r="AG614" s="25"/>
      <c r="AH614" s="25"/>
    </row>
    <row r="615" spans="33:34" ht="19.5" thickBot="1" x14ac:dyDescent="0.25">
      <c r="AG615" s="25"/>
      <c r="AH615" s="25"/>
    </row>
    <row r="616" spans="33:34" ht="19.5" thickBot="1" x14ac:dyDescent="0.25">
      <c r="AG616" s="25"/>
      <c r="AH616" s="25"/>
    </row>
    <row r="617" spans="33:34" ht="19.5" thickBot="1" x14ac:dyDescent="0.25">
      <c r="AG617" s="25"/>
      <c r="AH617" s="25"/>
    </row>
    <row r="618" spans="33:34" ht="19.5" thickBot="1" x14ac:dyDescent="0.25">
      <c r="AG618" s="25"/>
      <c r="AH618" s="25"/>
    </row>
    <row r="619" spans="33:34" ht="19.5" thickBot="1" x14ac:dyDescent="0.25">
      <c r="AG619" s="25"/>
      <c r="AH619" s="25"/>
    </row>
    <row r="620" spans="33:34" ht="19.5" thickBot="1" x14ac:dyDescent="0.25">
      <c r="AG620" s="25"/>
      <c r="AH620" s="25"/>
    </row>
    <row r="621" spans="33:34" ht="19.5" thickBot="1" x14ac:dyDescent="0.25">
      <c r="AG621" s="25"/>
      <c r="AH621" s="25"/>
    </row>
    <row r="622" spans="33:34" ht="19.5" thickBot="1" x14ac:dyDescent="0.25">
      <c r="AG622" s="25"/>
      <c r="AH622" s="25"/>
    </row>
    <row r="623" spans="33:34" ht="19.5" thickBot="1" x14ac:dyDescent="0.25">
      <c r="AG623" s="25"/>
      <c r="AH623" s="25"/>
    </row>
    <row r="624" spans="33:34" ht="19.5" thickBot="1" x14ac:dyDescent="0.25">
      <c r="AG624" s="25"/>
      <c r="AH624" s="25"/>
    </row>
    <row r="625" spans="33:34" ht="19.5" thickBot="1" x14ac:dyDescent="0.25">
      <c r="AG625" s="25"/>
      <c r="AH625" s="25"/>
    </row>
    <row r="626" spans="33:34" ht="19.5" thickBot="1" x14ac:dyDescent="0.25">
      <c r="AG626" s="25"/>
      <c r="AH626" s="25"/>
    </row>
    <row r="627" spans="33:34" ht="19.5" thickBot="1" x14ac:dyDescent="0.25">
      <c r="AG627" s="25"/>
      <c r="AH627" s="25"/>
    </row>
    <row r="628" spans="33:34" ht="19.5" thickBot="1" x14ac:dyDescent="0.25">
      <c r="AG628" s="25"/>
      <c r="AH628" s="25"/>
    </row>
    <row r="629" spans="33:34" ht="19.5" thickBot="1" x14ac:dyDescent="0.25">
      <c r="AG629" s="25"/>
      <c r="AH629" s="25"/>
    </row>
    <row r="630" spans="33:34" ht="19.5" thickBot="1" x14ac:dyDescent="0.25">
      <c r="AG630" s="25"/>
      <c r="AH630" s="25"/>
    </row>
    <row r="631" spans="33:34" ht="19.5" thickBot="1" x14ac:dyDescent="0.25">
      <c r="AG631" s="25"/>
      <c r="AH631" s="25"/>
    </row>
    <row r="632" spans="33:34" ht="19.5" thickBot="1" x14ac:dyDescent="0.25">
      <c r="AG632" s="25"/>
      <c r="AH632" s="25"/>
    </row>
    <row r="633" spans="33:34" ht="19.5" thickBot="1" x14ac:dyDescent="0.25">
      <c r="AG633" s="25"/>
      <c r="AH633" s="25"/>
    </row>
    <row r="634" spans="33:34" ht="19.5" thickBot="1" x14ac:dyDescent="0.25">
      <c r="AG634" s="25"/>
      <c r="AH634" s="25"/>
    </row>
    <row r="635" spans="33:34" ht="19.5" thickBot="1" x14ac:dyDescent="0.25">
      <c r="AG635" s="25"/>
      <c r="AH635" s="25"/>
    </row>
    <row r="636" spans="33:34" ht="19.5" thickBot="1" x14ac:dyDescent="0.25">
      <c r="AG636" s="25"/>
      <c r="AH636" s="25"/>
    </row>
    <row r="637" spans="33:34" ht="19.5" thickBot="1" x14ac:dyDescent="0.25">
      <c r="AG637" s="25"/>
      <c r="AH637" s="25"/>
    </row>
    <row r="638" spans="33:34" ht="19.5" thickBot="1" x14ac:dyDescent="0.25">
      <c r="AG638" s="25"/>
      <c r="AH638" s="25"/>
    </row>
    <row r="639" spans="33:34" ht="19.5" thickBot="1" x14ac:dyDescent="0.25">
      <c r="AG639" s="25"/>
      <c r="AH639" s="25"/>
    </row>
    <row r="640" spans="33:34" ht="19.5" thickBot="1" x14ac:dyDescent="0.25">
      <c r="AG640" s="25"/>
      <c r="AH640" s="25"/>
    </row>
    <row r="641" spans="33:34" ht="19.5" thickBot="1" x14ac:dyDescent="0.25">
      <c r="AG641" s="25"/>
      <c r="AH641" s="25"/>
    </row>
    <row r="642" spans="33:34" ht="19.5" thickBot="1" x14ac:dyDescent="0.25">
      <c r="AG642" s="25"/>
      <c r="AH642" s="25"/>
    </row>
    <row r="643" spans="33:34" ht="19.5" thickBot="1" x14ac:dyDescent="0.25">
      <c r="AG643" s="25"/>
      <c r="AH643" s="25"/>
    </row>
    <row r="644" spans="33:34" ht="19.5" thickBot="1" x14ac:dyDescent="0.25">
      <c r="AG644" s="25"/>
      <c r="AH644" s="25"/>
    </row>
    <row r="645" spans="33:34" ht="19.5" thickBot="1" x14ac:dyDescent="0.25">
      <c r="AG645" s="25"/>
      <c r="AH645" s="25"/>
    </row>
    <row r="646" spans="33:34" ht="19.5" thickBot="1" x14ac:dyDescent="0.25">
      <c r="AG646" s="25"/>
      <c r="AH646" s="25"/>
    </row>
    <row r="647" spans="33:34" ht="19.5" thickBot="1" x14ac:dyDescent="0.25">
      <c r="AG647" s="25"/>
      <c r="AH647" s="25"/>
    </row>
    <row r="648" spans="33:34" ht="19.5" thickBot="1" x14ac:dyDescent="0.25">
      <c r="AG648" s="25"/>
      <c r="AH648" s="25"/>
    </row>
    <row r="649" spans="33:34" ht="19.5" thickBot="1" x14ac:dyDescent="0.25">
      <c r="AG649" s="25"/>
      <c r="AH649" s="25"/>
    </row>
    <row r="650" spans="33:34" ht="19.5" thickBot="1" x14ac:dyDescent="0.25">
      <c r="AG650" s="25"/>
      <c r="AH650" s="25"/>
    </row>
    <row r="651" spans="33:34" ht="19.5" thickBot="1" x14ac:dyDescent="0.25">
      <c r="AG651" s="25"/>
      <c r="AH651" s="25"/>
    </row>
    <row r="652" spans="33:34" ht="19.5" thickBot="1" x14ac:dyDescent="0.25">
      <c r="AG652" s="25"/>
      <c r="AH652" s="25"/>
    </row>
    <row r="653" spans="33:34" ht="19.5" thickBot="1" x14ac:dyDescent="0.25">
      <c r="AG653" s="25"/>
      <c r="AH653" s="25"/>
    </row>
    <row r="654" spans="33:34" ht="19.5" thickBot="1" x14ac:dyDescent="0.25">
      <c r="AG654" s="25"/>
      <c r="AH654" s="25"/>
    </row>
    <row r="655" spans="33:34" ht="19.5" thickBot="1" x14ac:dyDescent="0.25">
      <c r="AG655" s="25"/>
      <c r="AH655" s="25"/>
    </row>
    <row r="656" spans="33:34" ht="19.5" thickBot="1" x14ac:dyDescent="0.25">
      <c r="AG656" s="25"/>
      <c r="AH656" s="25"/>
    </row>
    <row r="657" spans="33:34" ht="19.5" thickBot="1" x14ac:dyDescent="0.25">
      <c r="AG657" s="25"/>
      <c r="AH657" s="25"/>
    </row>
    <row r="658" spans="33:34" ht="19.5" thickBot="1" x14ac:dyDescent="0.25">
      <c r="AG658" s="25"/>
      <c r="AH658" s="25"/>
    </row>
    <row r="659" spans="33:34" ht="19.5" thickBot="1" x14ac:dyDescent="0.25">
      <c r="AG659" s="25"/>
      <c r="AH659" s="25"/>
    </row>
    <row r="660" spans="33:34" ht="19.5" thickBot="1" x14ac:dyDescent="0.25">
      <c r="AG660" s="25"/>
      <c r="AH660" s="25"/>
    </row>
    <row r="661" spans="33:34" ht="19.5" thickBot="1" x14ac:dyDescent="0.25">
      <c r="AG661" s="25"/>
      <c r="AH661" s="25"/>
    </row>
    <row r="662" spans="33:34" ht="19.5" thickBot="1" x14ac:dyDescent="0.25">
      <c r="AG662" s="25"/>
      <c r="AH662" s="25"/>
    </row>
    <row r="663" spans="33:34" ht="19.5" thickBot="1" x14ac:dyDescent="0.25">
      <c r="AG663" s="25"/>
      <c r="AH663" s="25"/>
    </row>
    <row r="664" spans="33:34" ht="19.5" thickBot="1" x14ac:dyDescent="0.25">
      <c r="AG664" s="25"/>
      <c r="AH664" s="25"/>
    </row>
    <row r="665" spans="33:34" ht="19.5" thickBot="1" x14ac:dyDescent="0.25">
      <c r="AG665" s="25"/>
      <c r="AH665" s="25"/>
    </row>
    <row r="666" spans="33:34" ht="19.5" thickBot="1" x14ac:dyDescent="0.25">
      <c r="AG666" s="25"/>
      <c r="AH666" s="25"/>
    </row>
    <row r="667" spans="33:34" ht="19.5" thickBot="1" x14ac:dyDescent="0.25">
      <c r="AG667" s="25"/>
      <c r="AH667" s="25"/>
    </row>
    <row r="668" spans="33:34" ht="19.5" thickBot="1" x14ac:dyDescent="0.25">
      <c r="AG668" s="25"/>
      <c r="AH668" s="25"/>
    </row>
    <row r="669" spans="33:34" ht="19.5" thickBot="1" x14ac:dyDescent="0.25">
      <c r="AG669" s="25"/>
      <c r="AH669" s="25"/>
    </row>
    <row r="670" spans="33:34" ht="19.5" thickBot="1" x14ac:dyDescent="0.25">
      <c r="AG670" s="25"/>
      <c r="AH670" s="25"/>
    </row>
    <row r="671" spans="33:34" ht="19.5" thickBot="1" x14ac:dyDescent="0.25">
      <c r="AG671" s="25"/>
      <c r="AH671" s="25"/>
    </row>
    <row r="672" spans="33:34" ht="19.5" thickBot="1" x14ac:dyDescent="0.25">
      <c r="AG672" s="25"/>
      <c r="AH672" s="25"/>
    </row>
    <row r="673" spans="33:34" ht="19.5" thickBot="1" x14ac:dyDescent="0.25">
      <c r="AG673" s="25"/>
      <c r="AH673" s="25"/>
    </row>
    <row r="674" spans="33:34" ht="19.5" thickBot="1" x14ac:dyDescent="0.25">
      <c r="AG674" s="25"/>
      <c r="AH674" s="25"/>
    </row>
    <row r="675" spans="33:34" ht="19.5" thickBot="1" x14ac:dyDescent="0.25">
      <c r="AG675" s="25"/>
      <c r="AH675" s="25"/>
    </row>
    <row r="676" spans="33:34" ht="19.5" thickBot="1" x14ac:dyDescent="0.25">
      <c r="AG676" s="25"/>
      <c r="AH676" s="25"/>
    </row>
    <row r="677" spans="33:34" ht="19.5" thickBot="1" x14ac:dyDescent="0.25">
      <c r="AG677" s="25"/>
      <c r="AH677" s="25"/>
    </row>
    <row r="678" spans="33:34" ht="19.5" thickBot="1" x14ac:dyDescent="0.25">
      <c r="AG678" s="25"/>
      <c r="AH678" s="25"/>
    </row>
    <row r="679" spans="33:34" ht="19.5" thickBot="1" x14ac:dyDescent="0.25">
      <c r="AG679" s="25"/>
      <c r="AH679" s="25"/>
    </row>
    <row r="680" spans="33:34" ht="19.5" thickBot="1" x14ac:dyDescent="0.25">
      <c r="AG680" s="25"/>
      <c r="AH680" s="25"/>
    </row>
    <row r="681" spans="33:34" ht="19.5" thickBot="1" x14ac:dyDescent="0.25">
      <c r="AG681" s="25"/>
      <c r="AH681" s="25"/>
    </row>
    <row r="682" spans="33:34" ht="19.5" thickBot="1" x14ac:dyDescent="0.25">
      <c r="AG682" s="25"/>
      <c r="AH682" s="25"/>
    </row>
    <row r="683" spans="33:34" ht="19.5" thickBot="1" x14ac:dyDescent="0.25">
      <c r="AG683" s="25"/>
      <c r="AH683" s="25"/>
    </row>
    <row r="684" spans="33:34" ht="19.5" thickBot="1" x14ac:dyDescent="0.25">
      <c r="AG684" s="25"/>
      <c r="AH684" s="25"/>
    </row>
    <row r="685" spans="33:34" ht="19.5" thickBot="1" x14ac:dyDescent="0.25">
      <c r="AG685" s="25"/>
      <c r="AH685" s="25"/>
    </row>
    <row r="686" spans="33:34" ht="19.5" thickBot="1" x14ac:dyDescent="0.25">
      <c r="AG686" s="25"/>
      <c r="AH686" s="25"/>
    </row>
    <row r="687" spans="33:34" ht="19.5" thickBot="1" x14ac:dyDescent="0.25">
      <c r="AG687" s="25"/>
      <c r="AH687" s="25"/>
    </row>
    <row r="688" spans="33:34" ht="19.5" thickBot="1" x14ac:dyDescent="0.25">
      <c r="AG688" s="25"/>
      <c r="AH688" s="25"/>
    </row>
    <row r="689" spans="33:34" ht="19.5" thickBot="1" x14ac:dyDescent="0.25">
      <c r="AG689" s="25"/>
      <c r="AH689" s="25"/>
    </row>
    <row r="690" spans="33:34" ht="19.5" thickBot="1" x14ac:dyDescent="0.25">
      <c r="AG690" s="25"/>
      <c r="AH690" s="25"/>
    </row>
    <row r="691" spans="33:34" ht="19.5" thickBot="1" x14ac:dyDescent="0.25">
      <c r="AG691" s="25"/>
      <c r="AH691" s="25"/>
    </row>
    <row r="692" spans="33:34" ht="19.5" thickBot="1" x14ac:dyDescent="0.25">
      <c r="AG692" s="25"/>
      <c r="AH692" s="25"/>
    </row>
    <row r="693" spans="33:34" ht="19.5" thickBot="1" x14ac:dyDescent="0.25">
      <c r="AG693" s="25"/>
      <c r="AH693" s="25"/>
    </row>
    <row r="694" spans="33:34" ht="19.5" thickBot="1" x14ac:dyDescent="0.25">
      <c r="AG694" s="25"/>
      <c r="AH694" s="25"/>
    </row>
    <row r="695" spans="33:34" ht="19.5" thickBot="1" x14ac:dyDescent="0.25">
      <c r="AG695" s="25"/>
      <c r="AH695" s="25"/>
    </row>
    <row r="696" spans="33:34" ht="19.5" thickBot="1" x14ac:dyDescent="0.25">
      <c r="AG696" s="25"/>
      <c r="AH696" s="25"/>
    </row>
    <row r="697" spans="33:34" ht="19.5" thickBot="1" x14ac:dyDescent="0.25">
      <c r="AG697" s="25"/>
      <c r="AH697" s="25"/>
    </row>
    <row r="698" spans="33:34" ht="19.5" thickBot="1" x14ac:dyDescent="0.25">
      <c r="AG698" s="25"/>
      <c r="AH698" s="25"/>
    </row>
    <row r="699" spans="33:34" ht="19.5" thickBot="1" x14ac:dyDescent="0.25">
      <c r="AG699" s="25"/>
      <c r="AH699" s="25"/>
    </row>
    <row r="700" spans="33:34" ht="19.5" thickBot="1" x14ac:dyDescent="0.25">
      <c r="AG700" s="25"/>
      <c r="AH700" s="25"/>
    </row>
    <row r="701" spans="33:34" ht="19.5" thickBot="1" x14ac:dyDescent="0.25">
      <c r="AG701" s="25"/>
      <c r="AH701" s="25"/>
    </row>
    <row r="702" spans="33:34" ht="19.5" thickBot="1" x14ac:dyDescent="0.25">
      <c r="AG702" s="25"/>
      <c r="AH702" s="25"/>
    </row>
    <row r="703" spans="33:34" ht="19.5" thickBot="1" x14ac:dyDescent="0.25">
      <c r="AG703" s="25"/>
      <c r="AH703" s="25"/>
    </row>
    <row r="704" spans="33:34" ht="19.5" thickBot="1" x14ac:dyDescent="0.25">
      <c r="AG704" s="25"/>
      <c r="AH704" s="25"/>
    </row>
    <row r="705" spans="33:34" ht="19.5" thickBot="1" x14ac:dyDescent="0.25">
      <c r="AG705" s="25"/>
      <c r="AH705" s="25"/>
    </row>
    <row r="706" spans="33:34" ht="19.5" thickBot="1" x14ac:dyDescent="0.25">
      <c r="AG706" s="25"/>
      <c r="AH706" s="25"/>
    </row>
    <row r="707" spans="33:34" ht="19.5" thickBot="1" x14ac:dyDescent="0.25">
      <c r="AG707" s="25"/>
      <c r="AH707" s="25"/>
    </row>
    <row r="708" spans="33:34" ht="19.5" thickBot="1" x14ac:dyDescent="0.25">
      <c r="AG708" s="25"/>
      <c r="AH708" s="25"/>
    </row>
    <row r="709" spans="33:34" ht="19.5" thickBot="1" x14ac:dyDescent="0.25">
      <c r="AG709" s="25"/>
      <c r="AH709" s="25"/>
    </row>
    <row r="710" spans="33:34" ht="19.5" thickBot="1" x14ac:dyDescent="0.25">
      <c r="AG710" s="25"/>
      <c r="AH710" s="25"/>
    </row>
    <row r="711" spans="33:34" ht="19.5" thickBot="1" x14ac:dyDescent="0.25">
      <c r="AG711" s="25"/>
      <c r="AH711" s="25"/>
    </row>
    <row r="712" spans="33:34" ht="19.5" thickBot="1" x14ac:dyDescent="0.25">
      <c r="AG712" s="25"/>
      <c r="AH712" s="25"/>
    </row>
    <row r="713" spans="33:34" ht="19.5" thickBot="1" x14ac:dyDescent="0.25">
      <c r="AG713" s="25"/>
      <c r="AH713" s="25"/>
    </row>
    <row r="714" spans="33:34" ht="19.5" thickBot="1" x14ac:dyDescent="0.25">
      <c r="AG714" s="25"/>
      <c r="AH714" s="25"/>
    </row>
    <row r="715" spans="33:34" ht="19.5" thickBot="1" x14ac:dyDescent="0.25">
      <c r="AG715" s="25"/>
      <c r="AH715" s="25"/>
    </row>
    <row r="716" spans="33:34" ht="19.5" thickBot="1" x14ac:dyDescent="0.25">
      <c r="AG716" s="25"/>
      <c r="AH716" s="25"/>
    </row>
    <row r="717" spans="33:34" ht="19.5" thickBot="1" x14ac:dyDescent="0.25">
      <c r="AG717" s="25"/>
      <c r="AH717" s="25"/>
    </row>
    <row r="718" spans="33:34" ht="19.5" thickBot="1" x14ac:dyDescent="0.25">
      <c r="AG718" s="25"/>
      <c r="AH718" s="25"/>
    </row>
    <row r="719" spans="33:34" ht="19.5" thickBot="1" x14ac:dyDescent="0.25">
      <c r="AG719" s="25"/>
      <c r="AH719" s="25"/>
    </row>
    <row r="720" spans="33:34" ht="19.5" thickBot="1" x14ac:dyDescent="0.25">
      <c r="AG720" s="25"/>
      <c r="AH720" s="25"/>
    </row>
    <row r="721" spans="33:34" ht="19.5" thickBot="1" x14ac:dyDescent="0.25">
      <c r="AG721" s="25"/>
      <c r="AH721" s="25"/>
    </row>
    <row r="722" spans="33:34" ht="19.5" thickBot="1" x14ac:dyDescent="0.25">
      <c r="AG722" s="25"/>
      <c r="AH722" s="25"/>
    </row>
    <row r="723" spans="33:34" ht="19.5" thickBot="1" x14ac:dyDescent="0.25">
      <c r="AG723" s="25"/>
      <c r="AH723" s="25"/>
    </row>
    <row r="724" spans="33:34" ht="19.5" thickBot="1" x14ac:dyDescent="0.25">
      <c r="AG724" s="25"/>
      <c r="AH724" s="25"/>
    </row>
    <row r="725" spans="33:34" ht="19.5" thickBot="1" x14ac:dyDescent="0.25">
      <c r="AG725" s="25"/>
      <c r="AH725" s="25"/>
    </row>
    <row r="726" spans="33:34" ht="19.5" thickBot="1" x14ac:dyDescent="0.25">
      <c r="AG726" s="25"/>
      <c r="AH726" s="25"/>
    </row>
    <row r="727" spans="33:34" ht="19.5" thickBot="1" x14ac:dyDescent="0.25">
      <c r="AG727" s="25"/>
      <c r="AH727" s="25"/>
    </row>
    <row r="728" spans="33:34" ht="19.5" thickBot="1" x14ac:dyDescent="0.25">
      <c r="AG728" s="25"/>
      <c r="AH728" s="25"/>
    </row>
    <row r="729" spans="33:34" ht="19.5" thickBot="1" x14ac:dyDescent="0.25">
      <c r="AG729" s="25"/>
      <c r="AH729" s="25"/>
    </row>
    <row r="730" spans="33:34" ht="19.5" thickBot="1" x14ac:dyDescent="0.25">
      <c r="AG730" s="25"/>
      <c r="AH730" s="25"/>
    </row>
    <row r="731" spans="33:34" ht="19.5" thickBot="1" x14ac:dyDescent="0.25">
      <c r="AG731" s="25"/>
      <c r="AH731" s="25"/>
    </row>
    <row r="732" spans="33:34" ht="19.5" thickBot="1" x14ac:dyDescent="0.25">
      <c r="AG732" s="25"/>
      <c r="AH732" s="25"/>
    </row>
    <row r="733" spans="33:34" ht="19.5" thickBot="1" x14ac:dyDescent="0.25">
      <c r="AG733" s="25"/>
      <c r="AH733" s="25"/>
    </row>
    <row r="734" spans="33:34" ht="19.5" thickBot="1" x14ac:dyDescent="0.25">
      <c r="AG734" s="25"/>
      <c r="AH734" s="25"/>
    </row>
    <row r="735" spans="33:34" ht="19.5" thickBot="1" x14ac:dyDescent="0.25">
      <c r="AG735" s="25"/>
      <c r="AH735" s="25"/>
    </row>
    <row r="736" spans="33:34" ht="19.5" thickBot="1" x14ac:dyDescent="0.25">
      <c r="AG736" s="25"/>
      <c r="AH736" s="25"/>
    </row>
    <row r="737" spans="33:34" ht="19.5" thickBot="1" x14ac:dyDescent="0.25">
      <c r="AG737" s="25"/>
      <c r="AH737" s="25"/>
    </row>
    <row r="738" spans="33:34" ht="19.5" thickBot="1" x14ac:dyDescent="0.25">
      <c r="AG738" s="25"/>
      <c r="AH738" s="25"/>
    </row>
    <row r="739" spans="33:34" ht="19.5" thickBot="1" x14ac:dyDescent="0.25">
      <c r="AG739" s="25"/>
      <c r="AH739" s="25"/>
    </row>
    <row r="740" spans="33:34" ht="19.5" thickBot="1" x14ac:dyDescent="0.25">
      <c r="AG740" s="25"/>
      <c r="AH740" s="25"/>
    </row>
    <row r="741" spans="33:34" ht="19.5" thickBot="1" x14ac:dyDescent="0.25">
      <c r="AG741" s="25"/>
      <c r="AH741" s="25"/>
    </row>
    <row r="742" spans="33:34" ht="19.5" thickBot="1" x14ac:dyDescent="0.25">
      <c r="AG742" s="25"/>
      <c r="AH742" s="25"/>
    </row>
    <row r="743" spans="33:34" ht="19.5" thickBot="1" x14ac:dyDescent="0.25">
      <c r="AG743" s="25"/>
      <c r="AH743" s="25"/>
    </row>
    <row r="744" spans="33:34" ht="19.5" thickBot="1" x14ac:dyDescent="0.25">
      <c r="AG744" s="25"/>
      <c r="AH744" s="25"/>
    </row>
    <row r="745" spans="33:34" ht="19.5" thickBot="1" x14ac:dyDescent="0.25">
      <c r="AG745" s="25"/>
      <c r="AH745" s="25"/>
    </row>
    <row r="746" spans="33:34" ht="19.5" thickBot="1" x14ac:dyDescent="0.25">
      <c r="AG746" s="25"/>
      <c r="AH746" s="25"/>
    </row>
    <row r="747" spans="33:34" ht="19.5" thickBot="1" x14ac:dyDescent="0.25">
      <c r="AG747" s="25"/>
      <c r="AH747" s="25"/>
    </row>
    <row r="748" spans="33:34" ht="19.5" thickBot="1" x14ac:dyDescent="0.25">
      <c r="AG748" s="25"/>
      <c r="AH748" s="25"/>
    </row>
    <row r="749" spans="33:34" ht="19.5" thickBot="1" x14ac:dyDescent="0.25">
      <c r="AG749" s="25"/>
      <c r="AH749" s="25"/>
    </row>
    <row r="750" spans="33:34" ht="19.5" thickBot="1" x14ac:dyDescent="0.25">
      <c r="AG750" s="25"/>
      <c r="AH750" s="25"/>
    </row>
    <row r="751" spans="33:34" ht="19.5" thickBot="1" x14ac:dyDescent="0.25">
      <c r="AG751" s="25"/>
      <c r="AH751" s="25"/>
    </row>
    <row r="752" spans="33:34" ht="19.5" thickBot="1" x14ac:dyDescent="0.25">
      <c r="AG752" s="25"/>
      <c r="AH752" s="25"/>
    </row>
    <row r="753" spans="33:34" ht="19.5" thickBot="1" x14ac:dyDescent="0.25">
      <c r="AG753" s="25"/>
      <c r="AH753" s="25"/>
    </row>
    <row r="754" spans="33:34" ht="19.5" thickBot="1" x14ac:dyDescent="0.25">
      <c r="AG754" s="25"/>
      <c r="AH754" s="25"/>
    </row>
    <row r="755" spans="33:34" ht="19.5" thickBot="1" x14ac:dyDescent="0.25">
      <c r="AG755" s="25"/>
      <c r="AH755" s="25"/>
    </row>
    <row r="756" spans="33:34" ht="19.5" thickBot="1" x14ac:dyDescent="0.25">
      <c r="AG756" s="25"/>
      <c r="AH756" s="25"/>
    </row>
    <row r="757" spans="33:34" ht="19.5" thickBot="1" x14ac:dyDescent="0.25">
      <c r="AG757" s="25"/>
      <c r="AH757" s="25"/>
    </row>
    <row r="758" spans="33:34" ht="19.5" thickBot="1" x14ac:dyDescent="0.25">
      <c r="AG758" s="25"/>
      <c r="AH758" s="25"/>
    </row>
    <row r="759" spans="33:34" ht="19.5" thickBot="1" x14ac:dyDescent="0.25">
      <c r="AG759" s="25"/>
      <c r="AH759" s="25"/>
    </row>
    <row r="760" spans="33:34" ht="19.5" thickBot="1" x14ac:dyDescent="0.25">
      <c r="AG760" s="25"/>
      <c r="AH760" s="25"/>
    </row>
    <row r="761" spans="33:34" ht="19.5" thickBot="1" x14ac:dyDescent="0.25">
      <c r="AG761" s="25"/>
      <c r="AH761" s="25"/>
    </row>
    <row r="762" spans="33:34" ht="19.5" thickBot="1" x14ac:dyDescent="0.25">
      <c r="AG762" s="25"/>
      <c r="AH762" s="25"/>
    </row>
    <row r="763" spans="33:34" ht="19.5" thickBot="1" x14ac:dyDescent="0.25">
      <c r="AG763" s="25"/>
      <c r="AH763" s="25"/>
    </row>
    <row r="764" spans="33:34" ht="19.5" thickBot="1" x14ac:dyDescent="0.25">
      <c r="AG764" s="25"/>
      <c r="AH764" s="25"/>
    </row>
    <row r="765" spans="33:34" ht="19.5" thickBot="1" x14ac:dyDescent="0.25">
      <c r="AG765" s="25"/>
      <c r="AH765" s="25"/>
    </row>
    <row r="766" spans="33:34" ht="19.5" thickBot="1" x14ac:dyDescent="0.25">
      <c r="AG766" s="25"/>
      <c r="AH766" s="25"/>
    </row>
    <row r="767" spans="33:34" ht="19.5" thickBot="1" x14ac:dyDescent="0.25">
      <c r="AG767" s="25"/>
      <c r="AH767" s="25"/>
    </row>
    <row r="768" spans="33:34" ht="19.5" thickBot="1" x14ac:dyDescent="0.25">
      <c r="AG768" s="25"/>
      <c r="AH768" s="25"/>
    </row>
    <row r="769" spans="33:34" ht="19.5" thickBot="1" x14ac:dyDescent="0.25">
      <c r="AG769" s="25"/>
      <c r="AH769" s="25"/>
    </row>
    <row r="770" spans="33:34" ht="19.5" thickBot="1" x14ac:dyDescent="0.25">
      <c r="AG770" s="25"/>
      <c r="AH770" s="25"/>
    </row>
    <row r="771" spans="33:34" ht="19.5" thickBot="1" x14ac:dyDescent="0.25">
      <c r="AG771" s="25"/>
      <c r="AH771" s="25"/>
    </row>
    <row r="772" spans="33:34" ht="19.5" thickBot="1" x14ac:dyDescent="0.25">
      <c r="AG772" s="25"/>
      <c r="AH772" s="25"/>
    </row>
    <row r="773" spans="33:34" ht="19.5" thickBot="1" x14ac:dyDescent="0.25">
      <c r="AG773" s="25"/>
      <c r="AH773" s="25"/>
    </row>
    <row r="774" spans="33:34" ht="19.5" thickBot="1" x14ac:dyDescent="0.25">
      <c r="AG774" s="25"/>
      <c r="AH774" s="25"/>
    </row>
    <row r="775" spans="33:34" ht="19.5" thickBot="1" x14ac:dyDescent="0.25">
      <c r="AG775" s="25"/>
      <c r="AH775" s="25"/>
    </row>
    <row r="776" spans="33:34" ht="19.5" thickBot="1" x14ac:dyDescent="0.25">
      <c r="AG776" s="25"/>
      <c r="AH776" s="25"/>
    </row>
    <row r="777" spans="33:34" ht="19.5" thickBot="1" x14ac:dyDescent="0.25">
      <c r="AG777" s="25"/>
      <c r="AH777" s="25"/>
    </row>
    <row r="778" spans="33:34" ht="19.5" thickBot="1" x14ac:dyDescent="0.25">
      <c r="AG778" s="25"/>
      <c r="AH778" s="25"/>
    </row>
    <row r="779" spans="33:34" ht="19.5" thickBot="1" x14ac:dyDescent="0.25">
      <c r="AG779" s="25"/>
      <c r="AH779" s="25"/>
    </row>
    <row r="780" spans="33:34" ht="19.5" thickBot="1" x14ac:dyDescent="0.25">
      <c r="AG780" s="25"/>
      <c r="AH780" s="25"/>
    </row>
    <row r="781" spans="33:34" ht="19.5" thickBot="1" x14ac:dyDescent="0.25">
      <c r="AG781" s="25"/>
      <c r="AH781" s="25"/>
    </row>
    <row r="782" spans="33:34" ht="19.5" thickBot="1" x14ac:dyDescent="0.25">
      <c r="AG782" s="25"/>
      <c r="AH782" s="25"/>
    </row>
    <row r="783" spans="33:34" ht="19.5" thickBot="1" x14ac:dyDescent="0.25">
      <c r="AG783" s="25"/>
      <c r="AH783" s="25"/>
    </row>
    <row r="784" spans="33:34" ht="19.5" thickBot="1" x14ac:dyDescent="0.25">
      <c r="AG784" s="25"/>
      <c r="AH784" s="25"/>
    </row>
    <row r="785" spans="33:34" ht="19.5" thickBot="1" x14ac:dyDescent="0.25">
      <c r="AG785" s="25"/>
      <c r="AH785" s="25"/>
    </row>
    <row r="786" spans="33:34" ht="19.5" thickBot="1" x14ac:dyDescent="0.25">
      <c r="AG786" s="25"/>
      <c r="AH786" s="25"/>
    </row>
    <row r="787" spans="33:34" ht="19.5" thickBot="1" x14ac:dyDescent="0.25">
      <c r="AG787" s="25"/>
      <c r="AH787" s="25"/>
    </row>
    <row r="788" spans="33:34" ht="19.5" thickBot="1" x14ac:dyDescent="0.25">
      <c r="AG788" s="25"/>
      <c r="AH788" s="25"/>
    </row>
    <row r="789" spans="33:34" ht="19.5" thickBot="1" x14ac:dyDescent="0.25">
      <c r="AG789" s="25"/>
      <c r="AH789" s="25"/>
    </row>
    <row r="790" spans="33:34" ht="19.5" thickBot="1" x14ac:dyDescent="0.25">
      <c r="AG790" s="25"/>
      <c r="AH790" s="25"/>
    </row>
    <row r="791" spans="33:34" ht="19.5" thickBot="1" x14ac:dyDescent="0.25">
      <c r="AG791" s="25"/>
      <c r="AH791" s="25"/>
    </row>
    <row r="792" spans="33:34" ht="19.5" thickBot="1" x14ac:dyDescent="0.25">
      <c r="AG792" s="25"/>
      <c r="AH792" s="25"/>
    </row>
    <row r="793" spans="33:34" ht="19.5" thickBot="1" x14ac:dyDescent="0.25">
      <c r="AG793" s="25"/>
      <c r="AH793" s="25"/>
    </row>
    <row r="794" spans="33:34" ht="19.5" thickBot="1" x14ac:dyDescent="0.25">
      <c r="AG794" s="25"/>
      <c r="AH794" s="25"/>
    </row>
    <row r="795" spans="33:34" ht="19.5" thickBot="1" x14ac:dyDescent="0.25">
      <c r="AG795" s="25"/>
      <c r="AH795" s="25"/>
    </row>
    <row r="796" spans="33:34" ht="19.5" thickBot="1" x14ac:dyDescent="0.25">
      <c r="AG796" s="25"/>
      <c r="AH796" s="25"/>
    </row>
    <row r="797" spans="33:34" ht="19.5" thickBot="1" x14ac:dyDescent="0.25">
      <c r="AG797" s="25"/>
      <c r="AH797" s="25"/>
    </row>
    <row r="798" spans="33:34" ht="19.5" thickBot="1" x14ac:dyDescent="0.25">
      <c r="AG798" s="25"/>
      <c r="AH798" s="25"/>
    </row>
    <row r="799" spans="33:34" ht="19.5" thickBot="1" x14ac:dyDescent="0.25">
      <c r="AG799" s="25"/>
      <c r="AH799" s="25"/>
    </row>
    <row r="800" spans="33:34" ht="19.5" thickBot="1" x14ac:dyDescent="0.25">
      <c r="AG800" s="25"/>
      <c r="AH800" s="25"/>
    </row>
    <row r="801" spans="33:34" ht="19.5" thickBot="1" x14ac:dyDescent="0.25">
      <c r="AG801" s="25"/>
      <c r="AH801" s="25"/>
    </row>
    <row r="802" spans="33:34" ht="19.5" thickBot="1" x14ac:dyDescent="0.25">
      <c r="AG802" s="25"/>
      <c r="AH802" s="25"/>
    </row>
    <row r="803" spans="33:34" ht="19.5" thickBot="1" x14ac:dyDescent="0.25">
      <c r="AG803" s="25"/>
      <c r="AH803" s="25"/>
    </row>
    <row r="804" spans="33:34" ht="19.5" thickBot="1" x14ac:dyDescent="0.25">
      <c r="AG804" s="25"/>
      <c r="AH804" s="25"/>
    </row>
    <row r="805" spans="33:34" ht="19.5" thickBot="1" x14ac:dyDescent="0.25">
      <c r="AG805" s="25"/>
      <c r="AH805" s="25"/>
    </row>
    <row r="806" spans="33:34" ht="19.5" thickBot="1" x14ac:dyDescent="0.25">
      <c r="AG806" s="25"/>
      <c r="AH806" s="25"/>
    </row>
    <row r="807" spans="33:34" ht="19.5" thickBot="1" x14ac:dyDescent="0.25">
      <c r="AG807" s="25"/>
      <c r="AH807" s="25"/>
    </row>
    <row r="808" spans="33:34" ht="19.5" thickBot="1" x14ac:dyDescent="0.25">
      <c r="AG808" s="25"/>
      <c r="AH808" s="25"/>
    </row>
    <row r="809" spans="33:34" ht="19.5" thickBot="1" x14ac:dyDescent="0.25">
      <c r="AG809" s="25"/>
      <c r="AH809" s="25"/>
    </row>
    <row r="810" spans="33:34" ht="19.5" thickBot="1" x14ac:dyDescent="0.25">
      <c r="AG810" s="25"/>
      <c r="AH810" s="25"/>
    </row>
    <row r="811" spans="33:34" ht="19.5" thickBot="1" x14ac:dyDescent="0.25">
      <c r="AG811" s="25"/>
      <c r="AH811" s="25"/>
    </row>
    <row r="812" spans="33:34" ht="19.5" thickBot="1" x14ac:dyDescent="0.25">
      <c r="AG812" s="25"/>
      <c r="AH812" s="25"/>
    </row>
    <row r="813" spans="33:34" ht="19.5" thickBot="1" x14ac:dyDescent="0.25">
      <c r="AG813" s="25"/>
      <c r="AH813" s="25"/>
    </row>
    <row r="814" spans="33:34" ht="19.5" thickBot="1" x14ac:dyDescent="0.25">
      <c r="AG814" s="25"/>
      <c r="AH814" s="25"/>
    </row>
    <row r="815" spans="33:34" ht="19.5" thickBot="1" x14ac:dyDescent="0.25">
      <c r="AG815" s="25"/>
      <c r="AH815" s="25"/>
    </row>
    <row r="816" spans="33:34" ht="19.5" thickBot="1" x14ac:dyDescent="0.25">
      <c r="AG816" s="25"/>
      <c r="AH816" s="25"/>
    </row>
    <row r="817" spans="33:34" ht="19.5" thickBot="1" x14ac:dyDescent="0.25">
      <c r="AG817" s="25"/>
      <c r="AH817" s="25"/>
    </row>
    <row r="818" spans="33:34" ht="19.5" thickBot="1" x14ac:dyDescent="0.25">
      <c r="AG818" s="25"/>
      <c r="AH818" s="25"/>
    </row>
    <row r="819" spans="33:34" ht="19.5" thickBot="1" x14ac:dyDescent="0.25">
      <c r="AG819" s="25"/>
      <c r="AH819" s="25"/>
    </row>
    <row r="820" spans="33:34" ht="19.5" thickBot="1" x14ac:dyDescent="0.25">
      <c r="AG820" s="25"/>
      <c r="AH820" s="25"/>
    </row>
    <row r="821" spans="33:34" ht="19.5" thickBot="1" x14ac:dyDescent="0.25">
      <c r="AG821" s="25"/>
      <c r="AH821" s="25"/>
    </row>
    <row r="822" spans="33:34" ht="19.5" thickBot="1" x14ac:dyDescent="0.25">
      <c r="AG822" s="25"/>
      <c r="AH822" s="25"/>
    </row>
    <row r="823" spans="33:34" ht="19.5" thickBot="1" x14ac:dyDescent="0.25">
      <c r="AG823" s="25"/>
      <c r="AH823" s="25"/>
    </row>
    <row r="824" spans="33:34" ht="19.5" thickBot="1" x14ac:dyDescent="0.25">
      <c r="AG824" s="25"/>
      <c r="AH824" s="25"/>
    </row>
    <row r="825" spans="33:34" ht="19.5" thickBot="1" x14ac:dyDescent="0.25">
      <c r="AG825" s="25"/>
      <c r="AH825" s="25"/>
    </row>
    <row r="826" spans="33:34" ht="19.5" thickBot="1" x14ac:dyDescent="0.25">
      <c r="AG826" s="25"/>
      <c r="AH826" s="25"/>
    </row>
    <row r="827" spans="33:34" ht="19.5" thickBot="1" x14ac:dyDescent="0.25">
      <c r="AG827" s="25"/>
      <c r="AH827" s="25"/>
    </row>
    <row r="828" spans="33:34" ht="19.5" thickBot="1" x14ac:dyDescent="0.25">
      <c r="AG828" s="25"/>
      <c r="AH828" s="25"/>
    </row>
    <row r="829" spans="33:34" ht="19.5" thickBot="1" x14ac:dyDescent="0.25">
      <c r="AG829" s="25"/>
      <c r="AH829" s="25"/>
    </row>
    <row r="830" spans="33:34" ht="19.5" thickBot="1" x14ac:dyDescent="0.25">
      <c r="AG830" s="25"/>
      <c r="AH830" s="25"/>
    </row>
    <row r="831" spans="33:34" ht="19.5" thickBot="1" x14ac:dyDescent="0.25">
      <c r="AG831" s="25"/>
      <c r="AH831" s="25"/>
    </row>
    <row r="832" spans="33:34" ht="19.5" thickBot="1" x14ac:dyDescent="0.25">
      <c r="AG832" s="25"/>
      <c r="AH832" s="25"/>
    </row>
    <row r="833" spans="33:34" ht="19.5" thickBot="1" x14ac:dyDescent="0.25">
      <c r="AG833" s="25"/>
      <c r="AH833" s="25"/>
    </row>
    <row r="834" spans="33:34" ht="19.5" thickBot="1" x14ac:dyDescent="0.25">
      <c r="AG834" s="25"/>
      <c r="AH834" s="25"/>
    </row>
    <row r="835" spans="33:34" ht="19.5" thickBot="1" x14ac:dyDescent="0.25">
      <c r="AG835" s="25"/>
      <c r="AH835" s="25"/>
    </row>
    <row r="836" spans="33:34" ht="19.5" thickBot="1" x14ac:dyDescent="0.25">
      <c r="AG836" s="25"/>
      <c r="AH836" s="25"/>
    </row>
    <row r="837" spans="33:34" ht="19.5" thickBot="1" x14ac:dyDescent="0.25">
      <c r="AG837" s="25"/>
      <c r="AH837" s="25"/>
    </row>
    <row r="838" spans="33:34" ht="19.5" thickBot="1" x14ac:dyDescent="0.25">
      <c r="AG838" s="25"/>
      <c r="AH838" s="25"/>
    </row>
    <row r="839" spans="33:34" ht="19.5" thickBot="1" x14ac:dyDescent="0.25">
      <c r="AG839" s="25"/>
      <c r="AH839" s="25"/>
    </row>
    <row r="840" spans="33:34" ht="19.5" thickBot="1" x14ac:dyDescent="0.25">
      <c r="AG840" s="25"/>
      <c r="AH840" s="25"/>
    </row>
    <row r="841" spans="33:34" ht="19.5" thickBot="1" x14ac:dyDescent="0.25">
      <c r="AG841" s="25"/>
      <c r="AH841" s="25"/>
    </row>
    <row r="842" spans="33:34" ht="19.5" thickBot="1" x14ac:dyDescent="0.25">
      <c r="AG842" s="25"/>
      <c r="AH842" s="25"/>
    </row>
    <row r="843" spans="33:34" ht="19.5" thickBot="1" x14ac:dyDescent="0.25">
      <c r="AG843" s="25"/>
      <c r="AH843" s="25"/>
    </row>
    <row r="844" spans="33:34" ht="19.5" thickBot="1" x14ac:dyDescent="0.25">
      <c r="AG844" s="25"/>
      <c r="AH844" s="25"/>
    </row>
    <row r="845" spans="33:34" ht="19.5" thickBot="1" x14ac:dyDescent="0.25">
      <c r="AG845" s="25"/>
      <c r="AH845" s="25"/>
    </row>
    <row r="846" spans="33:34" ht="19.5" thickBot="1" x14ac:dyDescent="0.25">
      <c r="AG846" s="25"/>
      <c r="AH846" s="25"/>
    </row>
    <row r="847" spans="33:34" ht="19.5" thickBot="1" x14ac:dyDescent="0.25">
      <c r="AG847" s="25"/>
      <c r="AH847" s="25"/>
    </row>
    <row r="848" spans="33:34" ht="19.5" thickBot="1" x14ac:dyDescent="0.25">
      <c r="AG848" s="25"/>
      <c r="AH848" s="25"/>
    </row>
    <row r="849" spans="33:34" ht="19.5" thickBot="1" x14ac:dyDescent="0.25">
      <c r="AG849" s="25"/>
      <c r="AH849" s="25"/>
    </row>
    <row r="850" spans="33:34" ht="19.5" thickBot="1" x14ac:dyDescent="0.25">
      <c r="AG850" s="25"/>
      <c r="AH850" s="25"/>
    </row>
    <row r="851" spans="33:34" ht="19.5" thickBot="1" x14ac:dyDescent="0.25">
      <c r="AG851" s="25"/>
      <c r="AH851" s="25"/>
    </row>
    <row r="852" spans="33:34" ht="19.5" thickBot="1" x14ac:dyDescent="0.25">
      <c r="AG852" s="25"/>
      <c r="AH852" s="25"/>
    </row>
    <row r="853" spans="33:34" ht="19.5" thickBot="1" x14ac:dyDescent="0.25">
      <c r="AG853" s="25"/>
      <c r="AH853" s="25"/>
    </row>
    <row r="854" spans="33:34" ht="19.5" thickBot="1" x14ac:dyDescent="0.25">
      <c r="AG854" s="25"/>
      <c r="AH854" s="25"/>
    </row>
    <row r="855" spans="33:34" ht="19.5" thickBot="1" x14ac:dyDescent="0.25">
      <c r="AG855" s="25"/>
      <c r="AH855" s="25"/>
    </row>
    <row r="856" spans="33:34" ht="19.5" thickBot="1" x14ac:dyDescent="0.25">
      <c r="AG856" s="25"/>
      <c r="AH856" s="25"/>
    </row>
    <row r="857" spans="33:34" ht="19.5" thickBot="1" x14ac:dyDescent="0.25">
      <c r="AG857" s="25"/>
      <c r="AH857" s="25"/>
    </row>
    <row r="858" spans="33:34" ht="19.5" thickBot="1" x14ac:dyDescent="0.25">
      <c r="AG858" s="25"/>
      <c r="AH858" s="25"/>
    </row>
    <row r="859" spans="33:34" ht="19.5" thickBot="1" x14ac:dyDescent="0.25">
      <c r="AG859" s="25"/>
      <c r="AH859" s="25"/>
    </row>
    <row r="860" spans="33:34" ht="19.5" thickBot="1" x14ac:dyDescent="0.25">
      <c r="AG860" s="25"/>
      <c r="AH860" s="25"/>
    </row>
    <row r="861" spans="33:34" ht="19.5" thickBot="1" x14ac:dyDescent="0.25">
      <c r="AG861" s="25"/>
      <c r="AH861" s="25"/>
    </row>
    <row r="862" spans="33:34" ht="19.5" thickBot="1" x14ac:dyDescent="0.25">
      <c r="AG862" s="25"/>
      <c r="AH862" s="25"/>
    </row>
    <row r="863" spans="33:34" ht="19.5" thickBot="1" x14ac:dyDescent="0.25">
      <c r="AG863" s="25"/>
      <c r="AH863" s="25"/>
    </row>
    <row r="864" spans="33:34" ht="19.5" thickBot="1" x14ac:dyDescent="0.25">
      <c r="AG864" s="25"/>
      <c r="AH864" s="25"/>
    </row>
    <row r="865" spans="33:34" ht="19.5" thickBot="1" x14ac:dyDescent="0.25">
      <c r="AG865" s="25"/>
      <c r="AH865" s="25"/>
    </row>
    <row r="866" spans="33:34" ht="19.5" thickBot="1" x14ac:dyDescent="0.25">
      <c r="AG866" s="25"/>
      <c r="AH866" s="25"/>
    </row>
    <row r="867" spans="33:34" ht="19.5" thickBot="1" x14ac:dyDescent="0.25">
      <c r="AG867" s="25"/>
      <c r="AH867" s="25"/>
    </row>
    <row r="868" spans="33:34" ht="19.5" thickBot="1" x14ac:dyDescent="0.25">
      <c r="AG868" s="25"/>
      <c r="AH868" s="25"/>
    </row>
    <row r="869" spans="33:34" ht="19.5" thickBot="1" x14ac:dyDescent="0.25">
      <c r="AG869" s="25"/>
      <c r="AH869" s="25"/>
    </row>
    <row r="870" spans="33:34" ht="19.5" thickBot="1" x14ac:dyDescent="0.25">
      <c r="AG870" s="25"/>
      <c r="AH870" s="25"/>
    </row>
    <row r="871" spans="33:34" ht="19.5" thickBot="1" x14ac:dyDescent="0.25">
      <c r="AG871" s="25"/>
      <c r="AH871" s="25"/>
    </row>
    <row r="872" spans="33:34" ht="19.5" thickBot="1" x14ac:dyDescent="0.25">
      <c r="AG872" s="25"/>
      <c r="AH872" s="25"/>
    </row>
    <row r="873" spans="33:34" ht="19.5" thickBot="1" x14ac:dyDescent="0.25">
      <c r="AG873" s="25"/>
      <c r="AH873" s="25"/>
    </row>
    <row r="874" spans="33:34" ht="19.5" thickBot="1" x14ac:dyDescent="0.25">
      <c r="AG874" s="25"/>
      <c r="AH874" s="25"/>
    </row>
    <row r="875" spans="33:34" ht="19.5" thickBot="1" x14ac:dyDescent="0.25">
      <c r="AG875" s="25"/>
      <c r="AH875" s="25"/>
    </row>
    <row r="876" spans="33:34" ht="19.5" thickBot="1" x14ac:dyDescent="0.25">
      <c r="AG876" s="25"/>
      <c r="AH876" s="25"/>
    </row>
    <row r="877" spans="33:34" ht="19.5" thickBot="1" x14ac:dyDescent="0.25">
      <c r="AG877" s="25"/>
      <c r="AH877" s="25"/>
    </row>
    <row r="878" spans="33:34" ht="19.5" thickBot="1" x14ac:dyDescent="0.25">
      <c r="AG878" s="25"/>
      <c r="AH878" s="25"/>
    </row>
    <row r="879" spans="33:34" ht="19.5" thickBot="1" x14ac:dyDescent="0.25">
      <c r="AG879" s="25"/>
      <c r="AH879" s="25"/>
    </row>
    <row r="880" spans="33:34" ht="19.5" thickBot="1" x14ac:dyDescent="0.25">
      <c r="AG880" s="25"/>
      <c r="AH880" s="25"/>
    </row>
    <row r="881" spans="33:34" ht="19.5" thickBot="1" x14ac:dyDescent="0.25">
      <c r="AG881" s="25"/>
      <c r="AH881" s="25"/>
    </row>
    <row r="882" spans="33:34" ht="19.5" thickBot="1" x14ac:dyDescent="0.25">
      <c r="AG882" s="25"/>
      <c r="AH882" s="25"/>
    </row>
    <row r="883" spans="33:34" ht="19.5" thickBot="1" x14ac:dyDescent="0.25">
      <c r="AG883" s="25"/>
      <c r="AH883" s="25"/>
    </row>
    <row r="884" spans="33:34" ht="19.5" thickBot="1" x14ac:dyDescent="0.25">
      <c r="AG884" s="25"/>
      <c r="AH884" s="25"/>
    </row>
    <row r="885" spans="33:34" ht="19.5" thickBot="1" x14ac:dyDescent="0.25">
      <c r="AG885" s="25"/>
      <c r="AH885" s="25"/>
    </row>
    <row r="886" spans="33:34" ht="19.5" thickBot="1" x14ac:dyDescent="0.25">
      <c r="AG886" s="25"/>
      <c r="AH886" s="25"/>
    </row>
    <row r="887" spans="33:34" ht="19.5" thickBot="1" x14ac:dyDescent="0.25">
      <c r="AG887" s="25"/>
      <c r="AH887" s="25"/>
    </row>
    <row r="888" spans="33:34" ht="19.5" thickBot="1" x14ac:dyDescent="0.25">
      <c r="AG888" s="25"/>
      <c r="AH888" s="25"/>
    </row>
    <row r="889" spans="33:34" ht="19.5" thickBot="1" x14ac:dyDescent="0.25">
      <c r="AG889" s="25"/>
      <c r="AH889" s="25"/>
    </row>
    <row r="890" spans="33:34" ht="19.5" thickBot="1" x14ac:dyDescent="0.25">
      <c r="AG890" s="25"/>
      <c r="AH890" s="25"/>
    </row>
    <row r="891" spans="33:34" ht="19.5" thickBot="1" x14ac:dyDescent="0.25">
      <c r="AG891" s="25"/>
      <c r="AH891" s="25"/>
    </row>
    <row r="892" spans="33:34" ht="19.5" thickBot="1" x14ac:dyDescent="0.25">
      <c r="AG892" s="25"/>
      <c r="AH892" s="25"/>
    </row>
    <row r="893" spans="33:34" ht="19.5" thickBot="1" x14ac:dyDescent="0.25">
      <c r="AG893" s="25"/>
      <c r="AH893" s="25"/>
    </row>
    <row r="894" spans="33:34" ht="19.5" thickBot="1" x14ac:dyDescent="0.25">
      <c r="AG894" s="25"/>
      <c r="AH894" s="25"/>
    </row>
    <row r="895" spans="33:34" ht="19.5" thickBot="1" x14ac:dyDescent="0.25">
      <c r="AG895" s="25"/>
      <c r="AH895" s="25"/>
    </row>
    <row r="896" spans="33:34" ht="19.5" thickBot="1" x14ac:dyDescent="0.25">
      <c r="AG896" s="25"/>
      <c r="AH896" s="25"/>
    </row>
    <row r="897" spans="33:34" ht="19.5" thickBot="1" x14ac:dyDescent="0.25">
      <c r="AG897" s="25"/>
      <c r="AH897" s="25"/>
    </row>
    <row r="898" spans="33:34" ht="19.5" thickBot="1" x14ac:dyDescent="0.25">
      <c r="AG898" s="25"/>
      <c r="AH898" s="25"/>
    </row>
    <row r="899" spans="33:34" ht="19.5" thickBot="1" x14ac:dyDescent="0.25">
      <c r="AG899" s="25"/>
      <c r="AH899" s="25"/>
    </row>
    <row r="900" spans="33:34" ht="19.5" thickBot="1" x14ac:dyDescent="0.25">
      <c r="AG900" s="25"/>
      <c r="AH900" s="25"/>
    </row>
    <row r="901" spans="33:34" ht="19.5" thickBot="1" x14ac:dyDescent="0.25">
      <c r="AG901" s="25"/>
      <c r="AH901" s="25"/>
    </row>
    <row r="902" spans="33:34" ht="19.5" thickBot="1" x14ac:dyDescent="0.25">
      <c r="AG902" s="25"/>
      <c r="AH902" s="25"/>
    </row>
    <row r="903" spans="33:34" ht="19.5" thickBot="1" x14ac:dyDescent="0.25">
      <c r="AG903" s="25"/>
      <c r="AH903" s="25"/>
    </row>
    <row r="904" spans="33:34" ht="19.5" thickBot="1" x14ac:dyDescent="0.25">
      <c r="AG904" s="25"/>
      <c r="AH904" s="25"/>
    </row>
    <row r="905" spans="33:34" ht="19.5" thickBot="1" x14ac:dyDescent="0.25">
      <c r="AG905" s="25"/>
      <c r="AH905" s="25"/>
    </row>
    <row r="906" spans="33:34" ht="19.5" thickBot="1" x14ac:dyDescent="0.25">
      <c r="AG906" s="25"/>
      <c r="AH906" s="25"/>
    </row>
    <row r="907" spans="33:34" ht="19.5" thickBot="1" x14ac:dyDescent="0.25">
      <c r="AG907" s="25"/>
      <c r="AH907" s="25"/>
    </row>
    <row r="908" spans="33:34" ht="19.5" thickBot="1" x14ac:dyDescent="0.25">
      <c r="AG908" s="25"/>
      <c r="AH908" s="25"/>
    </row>
    <row r="909" spans="33:34" ht="19.5" thickBot="1" x14ac:dyDescent="0.25">
      <c r="AG909" s="25"/>
      <c r="AH909" s="25"/>
    </row>
    <row r="910" spans="33:34" ht="19.5" thickBot="1" x14ac:dyDescent="0.25">
      <c r="AG910" s="25"/>
      <c r="AH910" s="25"/>
    </row>
    <row r="911" spans="33:34" ht="19.5" thickBot="1" x14ac:dyDescent="0.25">
      <c r="AG911" s="25"/>
      <c r="AH911" s="25"/>
    </row>
    <row r="912" spans="33:34" ht="19.5" thickBot="1" x14ac:dyDescent="0.25">
      <c r="AG912" s="25"/>
      <c r="AH912" s="25"/>
    </row>
    <row r="913" spans="33:34" ht="19.5" thickBot="1" x14ac:dyDescent="0.25">
      <c r="AG913" s="25"/>
      <c r="AH913" s="25"/>
    </row>
    <row r="914" spans="33:34" ht="19.5" thickBot="1" x14ac:dyDescent="0.25">
      <c r="AG914" s="25"/>
      <c r="AH914" s="25"/>
    </row>
    <row r="915" spans="33:34" ht="19.5" thickBot="1" x14ac:dyDescent="0.25">
      <c r="AG915" s="25"/>
      <c r="AH915" s="25"/>
    </row>
    <row r="916" spans="33:34" ht="19.5" thickBot="1" x14ac:dyDescent="0.25">
      <c r="AG916" s="25"/>
      <c r="AH916" s="25"/>
    </row>
    <row r="917" spans="33:34" ht="19.5" thickBot="1" x14ac:dyDescent="0.25">
      <c r="AG917" s="25"/>
      <c r="AH917" s="25"/>
    </row>
    <row r="918" spans="33:34" ht="19.5" thickBot="1" x14ac:dyDescent="0.25">
      <c r="AG918" s="25"/>
      <c r="AH918" s="25"/>
    </row>
    <row r="919" spans="33:34" ht="19.5" thickBot="1" x14ac:dyDescent="0.25">
      <c r="AG919" s="25"/>
      <c r="AH919" s="25"/>
    </row>
    <row r="920" spans="33:34" ht="19.5" thickBot="1" x14ac:dyDescent="0.25">
      <c r="AG920" s="25"/>
      <c r="AH920" s="25"/>
    </row>
    <row r="921" spans="33:34" ht="19.5" thickBot="1" x14ac:dyDescent="0.25">
      <c r="AG921" s="25"/>
      <c r="AH921" s="25"/>
    </row>
    <row r="922" spans="33:34" ht="19.5" thickBot="1" x14ac:dyDescent="0.25">
      <c r="AG922" s="25"/>
      <c r="AH922" s="25"/>
    </row>
    <row r="923" spans="33:34" ht="19.5" thickBot="1" x14ac:dyDescent="0.25">
      <c r="AG923" s="25"/>
      <c r="AH923" s="25"/>
    </row>
    <row r="924" spans="33:34" ht="19.5" thickBot="1" x14ac:dyDescent="0.25">
      <c r="AG924" s="25"/>
      <c r="AH924" s="25"/>
    </row>
    <row r="925" spans="33:34" ht="19.5" thickBot="1" x14ac:dyDescent="0.25">
      <c r="AG925" s="25"/>
      <c r="AH925" s="25"/>
    </row>
    <row r="926" spans="33:34" ht="19.5" thickBot="1" x14ac:dyDescent="0.25">
      <c r="AG926" s="25"/>
      <c r="AH926" s="25"/>
    </row>
    <row r="927" spans="33:34" ht="19.5" thickBot="1" x14ac:dyDescent="0.25">
      <c r="AG927" s="25"/>
      <c r="AH927" s="25"/>
    </row>
    <row r="928" spans="33:34" ht="19.5" thickBot="1" x14ac:dyDescent="0.25">
      <c r="AG928" s="25"/>
      <c r="AH928" s="25"/>
    </row>
    <row r="929" spans="33:34" ht="19.5" thickBot="1" x14ac:dyDescent="0.25">
      <c r="AG929" s="25"/>
      <c r="AH929" s="25"/>
    </row>
    <row r="930" spans="33:34" ht="19.5" thickBot="1" x14ac:dyDescent="0.25">
      <c r="AG930" s="25"/>
      <c r="AH930" s="25"/>
    </row>
    <row r="931" spans="33:34" ht="19.5" thickBot="1" x14ac:dyDescent="0.25">
      <c r="AG931" s="25"/>
      <c r="AH931" s="25"/>
    </row>
    <row r="932" spans="33:34" ht="19.5" thickBot="1" x14ac:dyDescent="0.25">
      <c r="AG932" s="25"/>
      <c r="AH932" s="25"/>
    </row>
    <row r="933" spans="33:34" ht="19.5" thickBot="1" x14ac:dyDescent="0.25">
      <c r="AG933" s="25"/>
      <c r="AH933" s="25"/>
    </row>
    <row r="934" spans="33:34" ht="19.5" thickBot="1" x14ac:dyDescent="0.25">
      <c r="AG934" s="25"/>
      <c r="AH934" s="25"/>
    </row>
    <row r="935" spans="33:34" ht="19.5" thickBot="1" x14ac:dyDescent="0.25">
      <c r="AG935" s="25"/>
      <c r="AH935" s="25"/>
    </row>
    <row r="936" spans="33:34" ht="19.5" thickBot="1" x14ac:dyDescent="0.25">
      <c r="AG936" s="25"/>
      <c r="AH936" s="25"/>
    </row>
    <row r="937" spans="33:34" ht="19.5" thickBot="1" x14ac:dyDescent="0.25">
      <c r="AG937" s="25"/>
      <c r="AH937" s="25"/>
    </row>
    <row r="938" spans="33:34" ht="19.5" thickBot="1" x14ac:dyDescent="0.25">
      <c r="AG938" s="25"/>
      <c r="AH938" s="25"/>
    </row>
    <row r="939" spans="33:34" ht="19.5" thickBot="1" x14ac:dyDescent="0.25">
      <c r="AG939" s="25"/>
      <c r="AH939" s="25"/>
    </row>
    <row r="940" spans="33:34" ht="19.5" thickBot="1" x14ac:dyDescent="0.25">
      <c r="AG940" s="25"/>
      <c r="AH940" s="25"/>
    </row>
    <row r="941" spans="33:34" ht="19.5" thickBot="1" x14ac:dyDescent="0.25">
      <c r="AG941" s="25"/>
      <c r="AH941" s="25"/>
    </row>
    <row r="942" spans="33:34" ht="19.5" thickBot="1" x14ac:dyDescent="0.25">
      <c r="AG942" s="25"/>
      <c r="AH942" s="25"/>
    </row>
    <row r="943" spans="33:34" ht="19.5" thickBot="1" x14ac:dyDescent="0.25">
      <c r="AG943" s="25"/>
      <c r="AH943" s="25"/>
    </row>
    <row r="944" spans="33:34" ht="19.5" thickBot="1" x14ac:dyDescent="0.25">
      <c r="AG944" s="25"/>
      <c r="AH944" s="25"/>
    </row>
    <row r="945" spans="33:34" ht="19.5" thickBot="1" x14ac:dyDescent="0.25">
      <c r="AG945" s="25"/>
      <c r="AH945" s="25"/>
    </row>
    <row r="946" spans="33:34" ht="19.5" thickBot="1" x14ac:dyDescent="0.25">
      <c r="AG946" s="25"/>
      <c r="AH946" s="25"/>
    </row>
    <row r="947" spans="33:34" ht="19.5" thickBot="1" x14ac:dyDescent="0.25">
      <c r="AG947" s="25"/>
      <c r="AH947" s="25"/>
    </row>
    <row r="948" spans="33:34" ht="19.5" thickBot="1" x14ac:dyDescent="0.25">
      <c r="AG948" s="25"/>
      <c r="AH948" s="25"/>
    </row>
    <row r="949" spans="33:34" ht="19.5" thickBot="1" x14ac:dyDescent="0.25">
      <c r="AG949" s="25"/>
      <c r="AH949" s="25"/>
    </row>
    <row r="950" spans="33:34" ht="19.5" thickBot="1" x14ac:dyDescent="0.25">
      <c r="AG950" s="25"/>
      <c r="AH950" s="25"/>
    </row>
    <row r="951" spans="33:34" ht="19.5" thickBot="1" x14ac:dyDescent="0.25">
      <c r="AG951" s="25"/>
      <c r="AH951" s="25"/>
    </row>
    <row r="952" spans="33:34" ht="19.5" thickBot="1" x14ac:dyDescent="0.25">
      <c r="AG952" s="25"/>
      <c r="AH952" s="25"/>
    </row>
    <row r="953" spans="33:34" ht="19.5" thickBot="1" x14ac:dyDescent="0.25">
      <c r="AG953" s="25"/>
      <c r="AH953" s="25"/>
    </row>
    <row r="954" spans="33:34" ht="19.5" thickBot="1" x14ac:dyDescent="0.25">
      <c r="AG954" s="25"/>
      <c r="AH954" s="25"/>
    </row>
    <row r="955" spans="33:34" ht="19.5" thickBot="1" x14ac:dyDescent="0.25">
      <c r="AG955" s="25"/>
      <c r="AH955" s="25"/>
    </row>
    <row r="956" spans="33:34" ht="19.5" thickBot="1" x14ac:dyDescent="0.25">
      <c r="AG956" s="25"/>
      <c r="AH956" s="25"/>
    </row>
    <row r="957" spans="33:34" ht="19.5" thickBot="1" x14ac:dyDescent="0.25">
      <c r="AG957" s="25"/>
      <c r="AH957" s="25"/>
    </row>
    <row r="958" spans="33:34" ht="19.5" thickBot="1" x14ac:dyDescent="0.25">
      <c r="AG958" s="25"/>
      <c r="AH958" s="25"/>
    </row>
    <row r="959" spans="33:34" ht="19.5" thickBot="1" x14ac:dyDescent="0.25">
      <c r="AG959" s="25"/>
      <c r="AH959" s="25"/>
    </row>
    <row r="960" spans="33:34" ht="19.5" thickBot="1" x14ac:dyDescent="0.25">
      <c r="AG960" s="25"/>
      <c r="AH960" s="25"/>
    </row>
    <row r="961" spans="33:34" ht="19.5" thickBot="1" x14ac:dyDescent="0.25">
      <c r="AG961" s="25"/>
      <c r="AH961" s="25"/>
    </row>
    <row r="962" spans="33:34" ht="19.5" thickBot="1" x14ac:dyDescent="0.25">
      <c r="AG962" s="25"/>
      <c r="AH962" s="25"/>
    </row>
    <row r="963" spans="33:34" ht="19.5" thickBot="1" x14ac:dyDescent="0.25">
      <c r="AG963" s="25"/>
      <c r="AH963" s="25"/>
    </row>
    <row r="964" spans="33:34" ht="19.5" thickBot="1" x14ac:dyDescent="0.25">
      <c r="AG964" s="25"/>
      <c r="AH964" s="25"/>
    </row>
    <row r="965" spans="33:34" ht="19.5" thickBot="1" x14ac:dyDescent="0.25">
      <c r="AG965" s="25"/>
      <c r="AH965" s="25"/>
    </row>
    <row r="966" spans="33:34" ht="19.5" thickBot="1" x14ac:dyDescent="0.25">
      <c r="AG966" s="25"/>
      <c r="AH966" s="25"/>
    </row>
    <row r="967" spans="33:34" ht="19.5" thickBot="1" x14ac:dyDescent="0.25">
      <c r="AG967" s="25"/>
      <c r="AH967" s="25"/>
    </row>
    <row r="968" spans="33:34" ht="19.5" thickBot="1" x14ac:dyDescent="0.25">
      <c r="AG968" s="25"/>
      <c r="AH968" s="25"/>
    </row>
    <row r="969" spans="33:34" ht="19.5" thickBot="1" x14ac:dyDescent="0.25">
      <c r="AG969" s="25"/>
      <c r="AH969" s="25"/>
    </row>
    <row r="970" spans="33:34" ht="19.5" thickBot="1" x14ac:dyDescent="0.25">
      <c r="AG970" s="25"/>
      <c r="AH970" s="25"/>
    </row>
    <row r="971" spans="33:34" ht="19.5" thickBot="1" x14ac:dyDescent="0.25">
      <c r="AG971" s="25"/>
      <c r="AH971" s="25"/>
    </row>
    <row r="972" spans="33:34" ht="19.5" thickBot="1" x14ac:dyDescent="0.25">
      <c r="AG972" s="25"/>
      <c r="AH972" s="25"/>
    </row>
    <row r="973" spans="33:34" ht="19.5" thickBot="1" x14ac:dyDescent="0.25">
      <c r="AG973" s="25"/>
      <c r="AH973" s="25"/>
    </row>
    <row r="974" spans="33:34" ht="19.5" thickBot="1" x14ac:dyDescent="0.25">
      <c r="AG974" s="25"/>
      <c r="AH974" s="25"/>
    </row>
    <row r="975" spans="33:34" ht="19.5" thickBot="1" x14ac:dyDescent="0.25">
      <c r="AG975" s="25"/>
      <c r="AH975" s="25"/>
    </row>
    <row r="976" spans="33:34" ht="19.5" thickBot="1" x14ac:dyDescent="0.25">
      <c r="AG976" s="25"/>
      <c r="AH976" s="25"/>
    </row>
    <row r="977" spans="33:34" ht="19.5" thickBot="1" x14ac:dyDescent="0.25">
      <c r="AG977" s="25"/>
      <c r="AH977" s="25"/>
    </row>
    <row r="978" spans="33:34" ht="19.5" thickBot="1" x14ac:dyDescent="0.25">
      <c r="AG978" s="25"/>
      <c r="AH978" s="25"/>
    </row>
    <row r="979" spans="33:34" ht="19.5" thickBot="1" x14ac:dyDescent="0.25">
      <c r="AG979" s="25"/>
      <c r="AH979" s="25"/>
    </row>
    <row r="980" spans="33:34" ht="19.5" thickBot="1" x14ac:dyDescent="0.25">
      <c r="AG980" s="25"/>
      <c r="AH980" s="25"/>
    </row>
    <row r="981" spans="33:34" ht="19.5" thickBot="1" x14ac:dyDescent="0.25">
      <c r="AG981" s="25"/>
      <c r="AH981" s="25"/>
    </row>
    <row r="982" spans="33:34" ht="19.5" thickBot="1" x14ac:dyDescent="0.25">
      <c r="AG982" s="25"/>
      <c r="AH982" s="25"/>
    </row>
    <row r="983" spans="33:34" ht="19.5" thickBot="1" x14ac:dyDescent="0.25">
      <c r="AG983" s="25"/>
      <c r="AH983" s="25"/>
    </row>
    <row r="984" spans="33:34" ht="19.5" thickBot="1" x14ac:dyDescent="0.25">
      <c r="AG984" s="25"/>
      <c r="AH984" s="25"/>
    </row>
    <row r="985" spans="33:34" ht="19.5" thickBot="1" x14ac:dyDescent="0.25">
      <c r="AG985" s="25"/>
      <c r="AH985" s="25"/>
    </row>
    <row r="986" spans="33:34" ht="19.5" thickBot="1" x14ac:dyDescent="0.25">
      <c r="AG986" s="25"/>
      <c r="AH986" s="25"/>
    </row>
    <row r="987" spans="33:34" ht="19.5" thickBot="1" x14ac:dyDescent="0.25">
      <c r="AG987" s="25"/>
      <c r="AH987" s="25"/>
    </row>
    <row r="988" spans="33:34" ht="19.5" thickBot="1" x14ac:dyDescent="0.25">
      <c r="AG988" s="25"/>
      <c r="AH988" s="25"/>
    </row>
    <row r="989" spans="33:34" ht="19.5" thickBot="1" x14ac:dyDescent="0.25">
      <c r="AG989" s="25"/>
      <c r="AH989" s="25"/>
    </row>
    <row r="990" spans="33:34" ht="19.5" thickBot="1" x14ac:dyDescent="0.25">
      <c r="AG990" s="25"/>
      <c r="AH990" s="25"/>
    </row>
    <row r="991" spans="33:34" ht="19.5" thickBot="1" x14ac:dyDescent="0.25">
      <c r="AG991" s="25"/>
      <c r="AH991" s="25"/>
    </row>
    <row r="992" spans="33:34" ht="19.5" thickBot="1" x14ac:dyDescent="0.25">
      <c r="AG992" s="25"/>
      <c r="AH992" s="25"/>
    </row>
    <row r="993" spans="33:34" ht="19.5" thickBot="1" x14ac:dyDescent="0.25">
      <c r="AG993" s="25"/>
      <c r="AH993" s="25"/>
    </row>
    <row r="994" spans="33:34" ht="19.5" thickBot="1" x14ac:dyDescent="0.25">
      <c r="AG994" s="25"/>
      <c r="AH994" s="25"/>
    </row>
    <row r="995" spans="33:34" ht="19.5" thickBot="1" x14ac:dyDescent="0.25">
      <c r="AG995" s="25"/>
      <c r="AH995" s="25"/>
    </row>
    <row r="996" spans="33:34" ht="19.5" thickBot="1" x14ac:dyDescent="0.25">
      <c r="AG996" s="25"/>
      <c r="AH996" s="25"/>
    </row>
    <row r="997" spans="33:34" ht="19.5" thickBot="1" x14ac:dyDescent="0.25">
      <c r="AG997" s="25"/>
      <c r="AH997" s="25"/>
    </row>
    <row r="998" spans="33:34" ht="19.5" thickBot="1" x14ac:dyDescent="0.25">
      <c r="AG998" s="25"/>
      <c r="AH998" s="25"/>
    </row>
    <row r="999" spans="33:34" ht="19.5" thickBot="1" x14ac:dyDescent="0.25">
      <c r="AG999" s="25"/>
      <c r="AH999" s="25"/>
    </row>
    <row r="1000" spans="33:34" ht="19.5" thickBot="1" x14ac:dyDescent="0.25">
      <c r="AG1000" s="25"/>
      <c r="AH1000" s="25"/>
    </row>
    <row r="1001" spans="33:34" ht="19.5" thickBot="1" x14ac:dyDescent="0.25">
      <c r="AG1001" s="25"/>
      <c r="AH1001" s="25"/>
    </row>
    <row r="1002" spans="33:34" ht="19.5" thickBot="1" x14ac:dyDescent="0.25">
      <c r="AG1002" s="25"/>
      <c r="AH1002" s="25"/>
    </row>
    <row r="1003" spans="33:34" ht="19.5" thickBot="1" x14ac:dyDescent="0.25">
      <c r="AG1003" s="25"/>
      <c r="AH1003" s="25"/>
    </row>
  </sheetData>
  <phoneticPr fontId="2"/>
  <pageMargins left="0.7" right="0.7" top="0.75" bottom="0.75" header="0.3" footer="0.3"/>
  <pageSetup paperSize="9" orientation="portrait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B5C39-B0BF-46D8-AFAB-E0FE514B93C2}">
  <sheetPr codeName="Sheet6">
    <tabColor theme="8" tint="0.79998168889431442"/>
  </sheetPr>
  <dimension ref="A1:DJ60"/>
  <sheetViews>
    <sheetView tabSelected="1" workbookViewId="0">
      <pane xSplit="5" ySplit="9" topLeftCell="F38" activePane="bottomRight" state="frozen"/>
      <selection pane="topRight" activeCell="F1" sqref="F1"/>
      <selection pane="bottomLeft" activeCell="A8" sqref="A8"/>
      <selection pane="bottomRight" activeCell="G1" sqref="G1"/>
    </sheetView>
  </sheetViews>
  <sheetFormatPr defaultColWidth="5.125" defaultRowHeight="18.75" outlineLevelRow="1" outlineLevelCol="1" x14ac:dyDescent="0.4"/>
  <cols>
    <col min="1" max="2" width="15.125" customWidth="1"/>
    <col min="7" max="7" width="5.125" outlineLevel="1"/>
    <col min="8" max="46" width="5.125" customWidth="1" outlineLevel="1"/>
    <col min="48" max="62" width="5.125" customWidth="1" outlineLevel="1"/>
    <col min="64" max="77" width="0" hidden="1" customWidth="1" outlineLevel="1"/>
    <col min="78" max="78" width="5.125" collapsed="1"/>
    <col min="81" max="91" width="5.125" customWidth="1" outlineLevel="1"/>
    <col min="93" max="107" width="0" hidden="1" customWidth="1" outlineLevel="1"/>
    <col min="108" max="108" width="5.125" collapsed="1"/>
    <col min="111" max="111" width="5.5" bestFit="1" customWidth="1"/>
  </cols>
  <sheetData>
    <row r="1" spans="1:114" s="2" customFormat="1" ht="36" customHeight="1" thickBot="1" x14ac:dyDescent="0.3">
      <c r="A1" s="18" t="s">
        <v>193</v>
      </c>
      <c r="B1" s="18" t="s">
        <v>192</v>
      </c>
      <c r="C1" s="21" t="s">
        <v>191</v>
      </c>
      <c r="D1" s="21" t="s">
        <v>190</v>
      </c>
      <c r="E1" s="21" t="s">
        <v>189</v>
      </c>
      <c r="F1" s="20" t="s">
        <v>188</v>
      </c>
      <c r="G1" s="20" t="s">
        <v>1299</v>
      </c>
      <c r="H1" s="20" t="s">
        <v>187</v>
      </c>
      <c r="I1" s="20" t="s">
        <v>186</v>
      </c>
      <c r="J1" s="20" t="s">
        <v>185</v>
      </c>
      <c r="K1" s="61" t="s">
        <v>1210</v>
      </c>
      <c r="L1" s="62" t="s">
        <v>1211</v>
      </c>
      <c r="M1" s="53" t="s">
        <v>960</v>
      </c>
      <c r="N1" s="53" t="s">
        <v>957</v>
      </c>
      <c r="O1" s="53" t="s">
        <v>934</v>
      </c>
      <c r="P1" s="53" t="s">
        <v>1199</v>
      </c>
      <c r="Q1" s="53" t="s">
        <v>939</v>
      </c>
      <c r="R1" s="54" t="s">
        <v>986</v>
      </c>
      <c r="S1" s="54" t="s">
        <v>1207</v>
      </c>
      <c r="T1" s="55" t="s">
        <v>928</v>
      </c>
      <c r="U1" s="55" t="s">
        <v>899</v>
      </c>
      <c r="V1" s="63" t="s">
        <v>486</v>
      </c>
      <c r="W1" s="57" t="s">
        <v>1208</v>
      </c>
      <c r="X1" s="58" t="s">
        <v>1200</v>
      </c>
      <c r="Y1" s="58" t="s">
        <v>893</v>
      </c>
      <c r="Z1" s="58" t="s">
        <v>888</v>
      </c>
      <c r="AA1" s="58" t="s">
        <v>1201</v>
      </c>
      <c r="AB1" s="57" t="s">
        <v>1300</v>
      </c>
      <c r="AC1" s="58" t="s">
        <v>1202</v>
      </c>
      <c r="AD1" s="58" t="s">
        <v>883</v>
      </c>
      <c r="AE1" s="58" t="s">
        <v>1203</v>
      </c>
      <c r="AF1" s="59" t="s">
        <v>1204</v>
      </c>
      <c r="AG1" s="60" t="s">
        <v>1205</v>
      </c>
      <c r="AH1" s="60" t="s">
        <v>1206</v>
      </c>
      <c r="AI1" s="4" t="s">
        <v>1209</v>
      </c>
      <c r="AJ1" s="19" t="s">
        <v>179</v>
      </c>
      <c r="AK1" s="19" t="s">
        <v>178</v>
      </c>
      <c r="AL1" s="18" t="s">
        <v>177</v>
      </c>
      <c r="AM1" s="18" t="s">
        <v>176</v>
      </c>
      <c r="AN1" s="16" t="s">
        <v>175</v>
      </c>
      <c r="AO1" s="16" t="s">
        <v>174</v>
      </c>
      <c r="AP1" s="16" t="s">
        <v>173</v>
      </c>
      <c r="AQ1" s="17" t="s">
        <v>172</v>
      </c>
      <c r="AR1" s="16" t="s">
        <v>171</v>
      </c>
      <c r="AS1" s="16" t="s">
        <v>170</v>
      </c>
      <c r="AT1" s="16" t="s">
        <v>169</v>
      </c>
      <c r="AU1" s="15" t="s">
        <v>168</v>
      </c>
      <c r="AV1" s="15" t="s">
        <v>167</v>
      </c>
      <c r="AW1" s="11" t="s">
        <v>166</v>
      </c>
      <c r="AX1" s="11" t="s">
        <v>165</v>
      </c>
      <c r="AY1" s="11" t="s">
        <v>164</v>
      </c>
      <c r="AZ1" s="14" t="s">
        <v>163</v>
      </c>
      <c r="BA1" s="14" t="s">
        <v>162</v>
      </c>
      <c r="BB1" s="14" t="s">
        <v>161</v>
      </c>
      <c r="BC1" s="14" t="s">
        <v>160</v>
      </c>
      <c r="BD1" s="14" t="s">
        <v>159</v>
      </c>
      <c r="BE1" s="14" t="s">
        <v>158</v>
      </c>
      <c r="BF1" s="14" t="s">
        <v>157</v>
      </c>
      <c r="BG1" s="13" t="s">
        <v>156</v>
      </c>
      <c r="BH1" s="13" t="s">
        <v>155</v>
      </c>
      <c r="BI1" s="12" t="s">
        <v>154</v>
      </c>
      <c r="BJ1" s="12" t="s">
        <v>153</v>
      </c>
      <c r="BK1" s="11" t="s">
        <v>152</v>
      </c>
      <c r="BL1" s="11" t="s">
        <v>151</v>
      </c>
      <c r="BM1" s="11" t="s">
        <v>150</v>
      </c>
      <c r="BN1" s="11" t="s">
        <v>149</v>
      </c>
      <c r="BO1" s="11" t="s">
        <v>148</v>
      </c>
      <c r="BP1" s="11" t="s">
        <v>147</v>
      </c>
      <c r="BQ1" s="11" t="s">
        <v>146</v>
      </c>
      <c r="BR1" s="11" t="s">
        <v>145</v>
      </c>
      <c r="BS1" s="11" t="s">
        <v>144</v>
      </c>
      <c r="BT1" s="11" t="s">
        <v>143</v>
      </c>
      <c r="BU1" s="10" t="s">
        <v>142</v>
      </c>
      <c r="BV1" s="10" t="s">
        <v>141</v>
      </c>
      <c r="BW1" s="8" t="s">
        <v>140</v>
      </c>
      <c r="BX1" s="10" t="s">
        <v>139</v>
      </c>
      <c r="BY1" s="9" t="s">
        <v>138</v>
      </c>
      <c r="BZ1" s="8" t="s">
        <v>137</v>
      </c>
      <c r="CA1" s="8" t="s">
        <v>136</v>
      </c>
      <c r="CB1" s="6" t="s">
        <v>135</v>
      </c>
      <c r="CC1" s="6" t="s">
        <v>134</v>
      </c>
      <c r="CD1" s="6" t="s">
        <v>133</v>
      </c>
      <c r="CE1" s="6" t="s">
        <v>132</v>
      </c>
      <c r="CF1" s="6" t="s">
        <v>131</v>
      </c>
      <c r="CG1" s="6" t="s">
        <v>130</v>
      </c>
      <c r="CH1" s="6" t="s">
        <v>66</v>
      </c>
      <c r="CI1" s="7" t="s">
        <v>129</v>
      </c>
      <c r="CJ1" s="6" t="s">
        <v>128</v>
      </c>
      <c r="CK1" s="6" t="s">
        <v>127</v>
      </c>
      <c r="CL1" s="5" t="s">
        <v>126</v>
      </c>
      <c r="CM1" s="5" t="s">
        <v>125</v>
      </c>
      <c r="CN1" s="3" t="s">
        <v>124</v>
      </c>
      <c r="CO1" s="3" t="s">
        <v>123</v>
      </c>
      <c r="CP1" s="3" t="s">
        <v>122</v>
      </c>
      <c r="CQ1" s="3" t="s">
        <v>121</v>
      </c>
      <c r="CR1" s="3" t="s">
        <v>120</v>
      </c>
      <c r="CS1" s="3" t="s">
        <v>119</v>
      </c>
      <c r="CT1" s="4" t="s">
        <v>118</v>
      </c>
      <c r="CU1" s="3" t="s">
        <v>117</v>
      </c>
      <c r="CV1" s="3" t="s">
        <v>116</v>
      </c>
      <c r="CW1" s="3" t="s">
        <v>115</v>
      </c>
      <c r="CX1" s="3" t="s">
        <v>114</v>
      </c>
      <c r="CY1" s="3" t="s">
        <v>113</v>
      </c>
      <c r="CZ1" s="3" t="s">
        <v>112</v>
      </c>
      <c r="DA1" s="3" t="s">
        <v>111</v>
      </c>
      <c r="DB1" s="3" t="s">
        <v>110</v>
      </c>
      <c r="DC1" s="3" t="s">
        <v>109</v>
      </c>
      <c r="DD1" s="2" t="s">
        <v>108</v>
      </c>
      <c r="DE1" s="2" t="s">
        <v>107</v>
      </c>
      <c r="DF1" s="2" t="s">
        <v>106</v>
      </c>
      <c r="DG1" s="2" t="s">
        <v>105</v>
      </c>
      <c r="DH1" s="2" t="s">
        <v>104</v>
      </c>
      <c r="DI1" s="2" t="s">
        <v>103</v>
      </c>
      <c r="DJ1" s="2" t="s">
        <v>102</v>
      </c>
    </row>
    <row r="2" spans="1:114" ht="13.5" customHeight="1" x14ac:dyDescent="0.4">
      <c r="A2" s="1" t="s">
        <v>101</v>
      </c>
      <c r="B2" s="1" t="s">
        <v>100</v>
      </c>
      <c r="C2" t="str">
        <f>武器!W118</f>
        <v>命中,速度,盲目,幻覚,感知,鑑定</v>
      </c>
    </row>
    <row r="3" spans="1:114" ht="13.5" customHeight="1" x14ac:dyDescent="0.4">
      <c r="A3" s="1" t="s">
        <v>0</v>
      </c>
      <c r="B3" s="1" t="s">
        <v>99</v>
      </c>
      <c r="C3" t="str">
        <f>武器!W119</f>
        <v xml:space="preserve">防御 隠密 </v>
      </c>
    </row>
    <row r="4" spans="1:114" ht="13.5" customHeight="1" x14ac:dyDescent="0.4">
      <c r="A4" s="1" t="s">
        <v>98</v>
      </c>
      <c r="B4" s="1" t="s">
        <v>97</v>
      </c>
      <c r="C4" t="str">
        <f>武器!W66</f>
        <v/>
      </c>
    </row>
    <row r="5" spans="1:114" ht="13.5" customHeight="1" x14ac:dyDescent="0.4">
      <c r="A5" s="1" t="s">
        <v>96</v>
      </c>
      <c r="B5" s="1" t="s">
        <v>95</v>
      </c>
      <c r="C5" t="str">
        <f>武器!W120</f>
        <v xml:space="preserve">HP ST 攻撃 防御 体幹 怯み 疲労 </v>
      </c>
    </row>
    <row r="6" spans="1:114" ht="13.5" customHeight="1" x14ac:dyDescent="0.4">
      <c r="A6" s="1" t="s">
        <v>94</v>
      </c>
      <c r="B6" s="1" t="s">
        <v>93</v>
      </c>
      <c r="C6" t="str">
        <f>武器!W121</f>
        <v xml:space="preserve">攻撃 魔力 速度 命中 </v>
      </c>
    </row>
    <row r="7" spans="1:114" ht="13.5" customHeight="1" x14ac:dyDescent="0.4">
      <c r="A7" s="1" t="s">
        <v>92</v>
      </c>
      <c r="B7" s="1" t="s">
        <v>91</v>
      </c>
      <c r="C7" t="str">
        <f>武器!W122</f>
        <v xml:space="preserve">魔防 精神 幻覚 石化 呪い 即死 </v>
      </c>
    </row>
    <row r="8" spans="1:114" ht="13.5" customHeight="1" x14ac:dyDescent="0.4">
      <c r="A8" s="1" t="s">
        <v>90</v>
      </c>
      <c r="B8" s="1" t="s">
        <v>89</v>
      </c>
      <c r="C8" t="str">
        <f>武器!W123</f>
        <v/>
      </c>
    </row>
    <row r="9" spans="1:114" ht="21" customHeight="1" x14ac:dyDescent="0.4">
      <c r="A9" s="1"/>
      <c r="B9" s="1"/>
    </row>
    <row r="10" spans="1:114" ht="21" customHeight="1" x14ac:dyDescent="0.4">
      <c r="A10" s="1" t="s">
        <v>88</v>
      </c>
      <c r="B10" s="1" t="s">
        <v>87</v>
      </c>
    </row>
    <row r="11" spans="1:114" x14ac:dyDescent="0.4">
      <c r="A11" s="1" t="s">
        <v>86</v>
      </c>
      <c r="B11" s="1" t="s">
        <v>85</v>
      </c>
      <c r="CC11">
        <v>5</v>
      </c>
      <c r="DG11">
        <f>(SUM(F11:AV11,CC11:CM11)*100)+(SUM(AW11:CA11)*200)+(SUM(CN11:DD11)*50)</f>
        <v>500</v>
      </c>
    </row>
    <row r="12" spans="1:114" outlineLevel="1" x14ac:dyDescent="0.4">
      <c r="A12" s="1" t="s">
        <v>84</v>
      </c>
      <c r="B12" s="1" t="s">
        <v>83</v>
      </c>
      <c r="CF12">
        <v>5</v>
      </c>
      <c r="DG12">
        <f>(SUM(F12:AV12,CC12:CM12)*100)+(SUM(AW12:CA12)*200)+(SUM(CN12:DD12)*50)</f>
        <v>500</v>
      </c>
    </row>
    <row r="13" spans="1:114" outlineLevel="1" x14ac:dyDescent="0.4">
      <c r="A13" s="1" t="s">
        <v>82</v>
      </c>
      <c r="B13" s="1" t="s">
        <v>81</v>
      </c>
      <c r="CG13">
        <v>5</v>
      </c>
      <c r="DG13">
        <f>(SUM(F13:AV13,CC13:CM13)*100)+(SUM(AW13:CA13)*200)+(SUM(CN13:DD13)*50)</f>
        <v>500</v>
      </c>
    </row>
    <row r="14" spans="1:114" outlineLevel="1" x14ac:dyDescent="0.4">
      <c r="A14" s="1" t="s">
        <v>80</v>
      </c>
      <c r="B14" s="1" t="s">
        <v>79</v>
      </c>
      <c r="CH14">
        <v>5</v>
      </c>
      <c r="DG14">
        <f>(SUM(F14:AV14,CC14:CM14)*100)+(SUM(AW14:CA14)*200)+(SUM(CN14:DD14)*50)</f>
        <v>500</v>
      </c>
    </row>
    <row r="15" spans="1:114" outlineLevel="1" x14ac:dyDescent="0.4">
      <c r="A15" s="1" t="s">
        <v>78</v>
      </c>
      <c r="B15" s="1" t="s">
        <v>77</v>
      </c>
      <c r="CI15">
        <v>5</v>
      </c>
      <c r="DG15">
        <f>(SUM(F15:AV15,CC15:CM15)*100)+(SUM(AW15:CA15)*200)+(SUM(CN15:DD15)*50)</f>
        <v>500</v>
      </c>
    </row>
    <row r="16" spans="1:114" outlineLevel="1" x14ac:dyDescent="0.4">
      <c r="A16" s="1" t="s">
        <v>76</v>
      </c>
      <c r="B16" s="1" t="s">
        <v>75</v>
      </c>
      <c r="CJ16">
        <v>5</v>
      </c>
      <c r="DG16">
        <f>(SUM(F16:AV16,CC16:CM16)*100)+(SUM(AW16:CA16)*200)+(SUM(CN16:DD16)*50)</f>
        <v>500</v>
      </c>
    </row>
    <row r="17" spans="1:111" outlineLevel="1" x14ac:dyDescent="0.4">
      <c r="A17" s="1" t="s">
        <v>74</v>
      </c>
      <c r="B17" s="1" t="s">
        <v>73</v>
      </c>
      <c r="CK17">
        <v>5</v>
      </c>
      <c r="DG17">
        <f>(SUM(F17:AV17,CC17:CM17)*100)+(SUM(AW17:CA17)*200)+(SUM(CN17:DD17)*50)</f>
        <v>500</v>
      </c>
    </row>
    <row r="18" spans="1:111" outlineLevel="1" x14ac:dyDescent="0.4">
      <c r="A18" s="1" t="s">
        <v>72</v>
      </c>
      <c r="B18" s="1" t="s">
        <v>71</v>
      </c>
      <c r="CC18">
        <f>CC11+5</f>
        <v>10</v>
      </c>
      <c r="DG18">
        <f>(SUM(F18:AV18,CC18:CM18)*100)+(SUM(AW18:CA18)*200)+(SUM(CN18:DD18)*50)</f>
        <v>1000</v>
      </c>
    </row>
    <row r="19" spans="1:111" outlineLevel="1" x14ac:dyDescent="0.4">
      <c r="A19" s="1" t="s">
        <v>70</v>
      </c>
      <c r="B19" s="1" t="s">
        <v>69</v>
      </c>
      <c r="CF19">
        <f>CF12+5</f>
        <v>10</v>
      </c>
      <c r="DG19">
        <f>(SUM(F19:AV19,CC19:CM19)*100)+(SUM(AW19:CA19)*200)+(SUM(CN19:DD19)*50)</f>
        <v>1000</v>
      </c>
    </row>
    <row r="20" spans="1:111" outlineLevel="1" x14ac:dyDescent="0.4">
      <c r="A20" s="1" t="s">
        <v>68</v>
      </c>
      <c r="B20" s="1" t="s">
        <v>67</v>
      </c>
      <c r="CG20">
        <f>CG13+5</f>
        <v>10</v>
      </c>
      <c r="DG20">
        <f>(SUM(F20:AV20,CC20:CM20)*100)+(SUM(AW20:CA20)*200)+(SUM(CN20:DD20)*50)</f>
        <v>1000</v>
      </c>
    </row>
    <row r="21" spans="1:111" outlineLevel="1" x14ac:dyDescent="0.4">
      <c r="A21" s="1" t="s">
        <v>66</v>
      </c>
      <c r="B21" s="1" t="s">
        <v>65</v>
      </c>
      <c r="CH21">
        <f>CH14+5</f>
        <v>10</v>
      </c>
      <c r="DG21">
        <f>(SUM(F21:AV21,CC21:CM21)*100)+(SUM(AW21:CA21)*200)+(SUM(CN21:DD21)*50)</f>
        <v>1000</v>
      </c>
    </row>
    <row r="22" spans="1:111" outlineLevel="1" x14ac:dyDescent="0.4">
      <c r="A22" s="1" t="s">
        <v>64</v>
      </c>
      <c r="B22" s="1" t="s">
        <v>63</v>
      </c>
      <c r="CI22">
        <f>CI15+5</f>
        <v>10</v>
      </c>
      <c r="DG22">
        <f>(SUM(F22:AV22,CC22:CM22)*100)+(SUM(AW22:CA22)*200)+(SUM(CN22:DD22)*50)</f>
        <v>1000</v>
      </c>
    </row>
    <row r="23" spans="1:111" outlineLevel="1" x14ac:dyDescent="0.4">
      <c r="A23" s="1" t="s">
        <v>62</v>
      </c>
      <c r="B23" s="1" t="s">
        <v>61</v>
      </c>
      <c r="CJ23">
        <f>CJ16+5</f>
        <v>10</v>
      </c>
      <c r="DG23">
        <f>(SUM(F23:AV23,CC23:CM23)*100)+(SUM(AW23:CA23)*200)+(SUM(CN23:DD23)*50)</f>
        <v>1000</v>
      </c>
    </row>
    <row r="24" spans="1:111" outlineLevel="1" x14ac:dyDescent="0.4">
      <c r="A24" s="1" t="s">
        <v>60</v>
      </c>
      <c r="B24" s="1" t="s">
        <v>59</v>
      </c>
      <c r="CK24">
        <f>CK17+5</f>
        <v>10</v>
      </c>
      <c r="DG24">
        <f>(SUM(F24:AV24,CC24:CM24)*100)+(SUM(AW24:CA24)*200)+(SUM(CN24:DD24)*50)</f>
        <v>1000</v>
      </c>
    </row>
    <row r="25" spans="1:111" outlineLevel="1" x14ac:dyDescent="0.4">
      <c r="A25" s="1" t="s">
        <v>58</v>
      </c>
      <c r="B25" s="1" t="s">
        <v>57</v>
      </c>
      <c r="CC25">
        <f>CC18+5</f>
        <v>15</v>
      </c>
      <c r="DG25">
        <f>(SUM(F25:AV25,CC25:CM25)*100)+(SUM(AW25:CA25)*200)+(SUM(CN25:DD25)*50)</f>
        <v>1500</v>
      </c>
    </row>
    <row r="26" spans="1:111" outlineLevel="1" x14ac:dyDescent="0.4">
      <c r="A26" s="1" t="s">
        <v>56</v>
      </c>
      <c r="B26" s="1" t="s">
        <v>55</v>
      </c>
      <c r="CF26">
        <f>CF19+5</f>
        <v>15</v>
      </c>
      <c r="DG26">
        <f>(SUM(F26:AV26,CC26:CM26)*100)+(SUM(AW26:CA26)*200)+(SUM(CN26:DD26)*50)</f>
        <v>1500</v>
      </c>
    </row>
    <row r="27" spans="1:111" outlineLevel="1" x14ac:dyDescent="0.4">
      <c r="A27" s="1" t="s">
        <v>54</v>
      </c>
      <c r="B27" s="1" t="s">
        <v>53</v>
      </c>
      <c r="CG27">
        <f>CG20+5</f>
        <v>15</v>
      </c>
      <c r="DG27">
        <f>(SUM(F27:AV27,CC27:CM27)*100)+(SUM(AW27:CA27)*200)+(SUM(CN27:DD27)*50)</f>
        <v>1500</v>
      </c>
    </row>
    <row r="28" spans="1:111" outlineLevel="1" x14ac:dyDescent="0.4">
      <c r="A28" s="1" t="s">
        <v>52</v>
      </c>
      <c r="B28" s="1" t="s">
        <v>51</v>
      </c>
      <c r="CH28">
        <f>CH21+5</f>
        <v>15</v>
      </c>
      <c r="DG28">
        <f>(SUM(F28:AV28,CC28:CM28)*100)+(SUM(AW28:CA28)*200)+(SUM(CN28:DD28)*50)</f>
        <v>1500</v>
      </c>
    </row>
    <row r="29" spans="1:111" outlineLevel="1" x14ac:dyDescent="0.4">
      <c r="A29" s="1" t="s">
        <v>50</v>
      </c>
      <c r="B29" s="1" t="s">
        <v>49</v>
      </c>
      <c r="CI29">
        <f>CI22+5</f>
        <v>15</v>
      </c>
      <c r="DG29">
        <f>(SUM(F29:AV29,CC29:CM29)*100)+(SUM(AW29:CA29)*200)+(SUM(CN29:DD29)*50)</f>
        <v>1500</v>
      </c>
    </row>
    <row r="30" spans="1:111" outlineLevel="1" x14ac:dyDescent="0.4">
      <c r="A30" s="1" t="s">
        <v>48</v>
      </c>
      <c r="B30" s="1" t="s">
        <v>47</v>
      </c>
      <c r="CJ30">
        <f>CJ23+5</f>
        <v>15</v>
      </c>
      <c r="DG30">
        <f>(SUM(F30:AV30,CC30:CM30)*100)+(SUM(AW30:CA30)*200)+(SUM(CN30:DD30)*50)</f>
        <v>1500</v>
      </c>
    </row>
    <row r="31" spans="1:111" outlineLevel="1" x14ac:dyDescent="0.4">
      <c r="A31" t="s">
        <v>46</v>
      </c>
      <c r="B31" s="1" t="s">
        <v>45</v>
      </c>
      <c r="CK31">
        <f>CK24+5</f>
        <v>15</v>
      </c>
      <c r="DG31">
        <f>(SUM(F31:AV31,CC31:CM31)*100)+(SUM(AW31:CA31)*200)+(SUM(CN31:DD31)*50)</f>
        <v>1500</v>
      </c>
    </row>
    <row r="32" spans="1:111" outlineLevel="1" x14ac:dyDescent="0.4">
      <c r="A32" t="s">
        <v>44</v>
      </c>
      <c r="B32" s="1" t="s">
        <v>43</v>
      </c>
      <c r="CC32">
        <f>CC25+5</f>
        <v>20</v>
      </c>
      <c r="DG32">
        <f>(SUM(F32:AV32,CC32:CM32)*100)+(SUM(AW32:CA32)*200)+(SUM(CN32:DD32)*50)</f>
        <v>2000</v>
      </c>
    </row>
    <row r="33" spans="1:111" outlineLevel="1" x14ac:dyDescent="0.4">
      <c r="A33" t="s">
        <v>42</v>
      </c>
      <c r="B33" s="1" t="s">
        <v>41</v>
      </c>
      <c r="CF33">
        <f>CF26+5</f>
        <v>20</v>
      </c>
      <c r="DG33">
        <f>(SUM(F33:AV33,CC33:CM33)*100)+(SUM(AW33:CA33)*200)+(SUM(CN33:DD33)*50)</f>
        <v>2000</v>
      </c>
    </row>
    <row r="34" spans="1:111" outlineLevel="1" x14ac:dyDescent="0.4">
      <c r="A34" t="s">
        <v>40</v>
      </c>
      <c r="B34" s="1" t="s">
        <v>39</v>
      </c>
      <c r="CG34">
        <f>CG27+5</f>
        <v>20</v>
      </c>
      <c r="DG34">
        <f>(SUM(F34:AV34,CC34:CM34)*100)+(SUM(AW34:CA34)*200)+(SUM(CN34:DD34)*50)</f>
        <v>2000</v>
      </c>
    </row>
    <row r="35" spans="1:111" outlineLevel="1" x14ac:dyDescent="0.4">
      <c r="A35" t="s">
        <v>38</v>
      </c>
      <c r="B35" s="1" t="s">
        <v>37</v>
      </c>
      <c r="CH35">
        <f>CH28+5</f>
        <v>20</v>
      </c>
      <c r="DG35">
        <f>(SUM(F35:AV35,CC35:CM35)*100)+(SUM(AW35:CA35)*200)+(SUM(CN35:DD35)*50)</f>
        <v>2000</v>
      </c>
    </row>
    <row r="36" spans="1:111" ht="37.5" outlineLevel="1" x14ac:dyDescent="0.4">
      <c r="A36" t="s">
        <v>36</v>
      </c>
      <c r="B36" s="1" t="s">
        <v>35</v>
      </c>
      <c r="CI36">
        <f>CI29+5</f>
        <v>20</v>
      </c>
      <c r="DG36">
        <f>(SUM(F36:AV36,CC36:CM36)*100)+(SUM(AW36:CA36)*200)+(SUM(CN36:DD36)*50)</f>
        <v>2000</v>
      </c>
    </row>
    <row r="37" spans="1:111" outlineLevel="1" x14ac:dyDescent="0.4">
      <c r="A37" t="s">
        <v>34</v>
      </c>
      <c r="B37" s="1" t="s">
        <v>33</v>
      </c>
      <c r="CJ37">
        <f>CJ30+5</f>
        <v>20</v>
      </c>
      <c r="DG37">
        <f>(SUM(F37:AV37,CC37:CM37)*100)+(SUM(AW37:CA37)*200)+(SUM(CN37:DD37)*50)</f>
        <v>2000</v>
      </c>
    </row>
    <row r="38" spans="1:111" outlineLevel="1" x14ac:dyDescent="0.4">
      <c r="A38" t="s">
        <v>32</v>
      </c>
      <c r="B38" s="1" t="s">
        <v>31</v>
      </c>
      <c r="CK38">
        <f>CK31+5</f>
        <v>20</v>
      </c>
      <c r="DG38">
        <f>(SUM(F38:AV38,CC38:CM38)*100)+(SUM(AW38:CA38)*200)+(SUM(CN38:DD38)*50)</f>
        <v>2000</v>
      </c>
    </row>
    <row r="39" spans="1:111" outlineLevel="1" x14ac:dyDescent="0.4">
      <c r="A39" t="s">
        <v>30</v>
      </c>
      <c r="B39" s="1" t="s">
        <v>29</v>
      </c>
      <c r="CC39">
        <f>CC32+5</f>
        <v>25</v>
      </c>
      <c r="DG39">
        <f>(SUM(F39:AV39,CC39:CM39)*100)+(SUM(AW39:CA39)*200)+(SUM(CN39:DD39)*50)</f>
        <v>2500</v>
      </c>
    </row>
    <row r="40" spans="1:111" outlineLevel="1" x14ac:dyDescent="0.4">
      <c r="A40" t="s">
        <v>28</v>
      </c>
      <c r="B40" s="1" t="s">
        <v>27</v>
      </c>
      <c r="CF40">
        <f>CF33+5</f>
        <v>25</v>
      </c>
      <c r="DG40">
        <f>(SUM(F40:AV40,CC40:CM40)*100)+(SUM(AW40:CA40)*200)+(SUM(CN40:DD40)*50)</f>
        <v>2500</v>
      </c>
    </row>
    <row r="41" spans="1:111" outlineLevel="1" x14ac:dyDescent="0.4">
      <c r="A41" t="s">
        <v>26</v>
      </c>
      <c r="B41" s="1" t="s">
        <v>25</v>
      </c>
      <c r="CG41">
        <f>CG34+5</f>
        <v>25</v>
      </c>
      <c r="DG41">
        <f>(SUM(F41:AV41,CC41:CM41)*100)+(SUM(AW41:CA41)*200)+(SUM(CN41:DD41)*50)</f>
        <v>2500</v>
      </c>
    </row>
    <row r="42" spans="1:111" outlineLevel="1" x14ac:dyDescent="0.4">
      <c r="A42" t="s">
        <v>24</v>
      </c>
      <c r="B42" s="1" t="s">
        <v>23</v>
      </c>
      <c r="CH42">
        <f>CH35+5</f>
        <v>25</v>
      </c>
      <c r="DG42">
        <f>(SUM(F42:AV42,CC42:CM42)*100)+(SUM(AW42:CA42)*200)+(SUM(CN42:DD42)*50)</f>
        <v>2500</v>
      </c>
    </row>
    <row r="43" spans="1:111" outlineLevel="1" x14ac:dyDescent="0.4">
      <c r="A43" t="s">
        <v>22</v>
      </c>
      <c r="B43" s="1" t="s">
        <v>21</v>
      </c>
      <c r="CI43">
        <f>CI36+5</f>
        <v>25</v>
      </c>
      <c r="DG43">
        <f>(SUM(F43:AV43,CC43:CM43)*100)+(SUM(AW43:CA43)*200)+(SUM(CN43:DD43)*50)</f>
        <v>2500</v>
      </c>
    </row>
    <row r="44" spans="1:111" outlineLevel="1" x14ac:dyDescent="0.4">
      <c r="A44" t="s">
        <v>20</v>
      </c>
      <c r="B44" s="1" t="s">
        <v>19</v>
      </c>
      <c r="CJ44">
        <f>CJ37+5</f>
        <v>25</v>
      </c>
      <c r="DG44">
        <f>(SUM(F44:AV44,CC44:CM44)*100)+(SUM(AW44:CA44)*200)+(SUM(CN44:DD44)*50)</f>
        <v>2500</v>
      </c>
    </row>
    <row r="45" spans="1:111" outlineLevel="1" x14ac:dyDescent="0.4">
      <c r="A45" t="s">
        <v>18</v>
      </c>
      <c r="B45" s="1" t="s">
        <v>17</v>
      </c>
      <c r="CK45">
        <f>CK38+5</f>
        <v>25</v>
      </c>
      <c r="DG45">
        <f>(SUM(F45:AV45,CC45:CM45)*100)+(SUM(AW45:CA45)*200)+(SUM(CN45:DD45)*50)</f>
        <v>2500</v>
      </c>
    </row>
    <row r="46" spans="1:111" outlineLevel="1" x14ac:dyDescent="0.4">
      <c r="B46" s="1"/>
    </row>
    <row r="47" spans="1:111" outlineLevel="1" x14ac:dyDescent="0.4">
      <c r="A47" t="s">
        <v>1275</v>
      </c>
      <c r="B47" s="1"/>
      <c r="BZ47">
        <v>2.5</v>
      </c>
      <c r="CA47">
        <v>10</v>
      </c>
    </row>
    <row r="48" spans="1:111" outlineLevel="1" x14ac:dyDescent="0.4">
      <c r="A48" t="s">
        <v>1276</v>
      </c>
      <c r="B48" s="1"/>
      <c r="BZ48">
        <f>BZ47+2.5</f>
        <v>5</v>
      </c>
      <c r="CA48">
        <f>CA47+10</f>
        <v>20</v>
      </c>
    </row>
    <row r="49" spans="1:111" outlineLevel="1" x14ac:dyDescent="0.4">
      <c r="A49" t="s">
        <v>1277</v>
      </c>
      <c r="B49" s="1"/>
      <c r="BZ49">
        <f t="shared" ref="BZ49:BZ51" si="0">BZ48+2.5</f>
        <v>7.5</v>
      </c>
      <c r="CA49">
        <f t="shared" ref="CA49:CA50" si="1">CA48+10</f>
        <v>30</v>
      </c>
    </row>
    <row r="50" spans="1:111" outlineLevel="1" x14ac:dyDescent="0.4">
      <c r="A50" t="s">
        <v>1278</v>
      </c>
      <c r="B50" s="1"/>
      <c r="BZ50">
        <f t="shared" si="0"/>
        <v>10</v>
      </c>
      <c r="CA50">
        <f t="shared" si="1"/>
        <v>40</v>
      </c>
    </row>
    <row r="51" spans="1:111" outlineLevel="1" x14ac:dyDescent="0.4">
      <c r="A51" t="s">
        <v>1279</v>
      </c>
      <c r="BZ51">
        <f t="shared" si="0"/>
        <v>12.5</v>
      </c>
      <c r="CA51">
        <f>CA50+10</f>
        <v>50</v>
      </c>
      <c r="DG51">
        <f>(SUM(F51:AV51,CC51:CM51)*100)+(SUM(AW51:CA51)*200)+(SUM(CN51:DD51)*50)</f>
        <v>12500</v>
      </c>
    </row>
    <row r="52" spans="1:111" x14ac:dyDescent="0.4">
      <c r="DG52">
        <f>(SUM(F52:AV52,CC52:CM52)*100)+(SUM(AW52:CA52)*200)+(SUM(CN52:DD52)*50)</f>
        <v>0</v>
      </c>
    </row>
    <row r="53" spans="1:111" x14ac:dyDescent="0.4">
      <c r="A53" t="s">
        <v>16</v>
      </c>
      <c r="B53" s="1" t="s">
        <v>15</v>
      </c>
      <c r="C53" s="1" t="s">
        <v>0</v>
      </c>
      <c r="BF53">
        <v>-10</v>
      </c>
      <c r="CN53">
        <v>60</v>
      </c>
      <c r="DG53">
        <f>(SUM(F53:AV53,CC53:CM53)*100)+(SUM(AW53:CA53)*200)+(SUM(CN53:DD53)*50)</f>
        <v>1000</v>
      </c>
    </row>
    <row r="54" spans="1:111" x14ac:dyDescent="0.4">
      <c r="A54" t="s">
        <v>14</v>
      </c>
      <c r="B54" s="1" t="s">
        <v>13</v>
      </c>
      <c r="C54" s="1" t="s">
        <v>0</v>
      </c>
      <c r="AZ54">
        <v>15</v>
      </c>
      <c r="DG54">
        <f>(SUM(F54:AV54,CC54:CM54)*100)+(SUM(AW54:CA54)*200)+(SUM(CN54:DD54)*50)</f>
        <v>3000</v>
      </c>
    </row>
    <row r="55" spans="1:111" x14ac:dyDescent="0.4">
      <c r="A55" t="s">
        <v>12</v>
      </c>
      <c r="B55" s="1" t="s">
        <v>11</v>
      </c>
      <c r="C55" s="1" t="s">
        <v>0</v>
      </c>
      <c r="BA55">
        <v>15</v>
      </c>
      <c r="DG55">
        <f>(SUM(F55:AV55,CC55:CM55)*100)+(SUM(AW55:CA55)*200)+(SUM(CN55:DD55)*50)</f>
        <v>3000</v>
      </c>
    </row>
    <row r="56" spans="1:111" ht="37.5" x14ac:dyDescent="0.4">
      <c r="A56" t="s">
        <v>10</v>
      </c>
      <c r="B56" s="1" t="s">
        <v>9</v>
      </c>
      <c r="C56" s="1" t="s">
        <v>0</v>
      </c>
      <c r="BB56">
        <v>15</v>
      </c>
      <c r="DG56">
        <f>(SUM(F56:AV56,CC56:CM56)*100)+(SUM(AW56:CA56)*200)+(SUM(CN56:DD56)*50)</f>
        <v>3000</v>
      </c>
    </row>
    <row r="57" spans="1:111" x14ac:dyDescent="0.4">
      <c r="A57" t="s">
        <v>8</v>
      </c>
      <c r="B57" s="1" t="s">
        <v>7</v>
      </c>
      <c r="C57" s="1" t="s">
        <v>0</v>
      </c>
      <c r="BC57">
        <v>15</v>
      </c>
      <c r="DG57">
        <f>(SUM(F57:AV57,CC57:CM57)*100)+(SUM(AW57:CA57)*200)+(SUM(CN57:DD57)*50)</f>
        <v>3000</v>
      </c>
    </row>
    <row r="58" spans="1:111" x14ac:dyDescent="0.4">
      <c r="A58" t="s">
        <v>6</v>
      </c>
      <c r="B58" s="1" t="s">
        <v>5</v>
      </c>
      <c r="C58" s="1" t="s">
        <v>0</v>
      </c>
      <c r="BD58">
        <v>15</v>
      </c>
      <c r="DG58">
        <f>(SUM(F58:AV58,CC58:CM58)*100)+(SUM(AW58:CA58)*200)+(SUM(CN58:DD58)*50)</f>
        <v>3000</v>
      </c>
    </row>
    <row r="59" spans="1:111" x14ac:dyDescent="0.4">
      <c r="A59" t="s">
        <v>4</v>
      </c>
      <c r="B59" s="1" t="s">
        <v>3</v>
      </c>
      <c r="C59" s="1" t="s">
        <v>0</v>
      </c>
      <c r="BE59">
        <v>15</v>
      </c>
      <c r="DG59">
        <f>(SUM(F59:AV59,CC59:CM59)*100)+(SUM(AW59:CA59)*200)+(SUM(CN59:DD59)*50)</f>
        <v>3000</v>
      </c>
    </row>
    <row r="60" spans="1:111" x14ac:dyDescent="0.4">
      <c r="A60" t="s">
        <v>2</v>
      </c>
      <c r="B60" s="1" t="s">
        <v>1</v>
      </c>
      <c r="C60" s="1" t="s">
        <v>0</v>
      </c>
      <c r="BF60">
        <v>15</v>
      </c>
      <c r="DG60">
        <f>(SUM(F60:AV60,CC60:CM60)*100)+(SUM(AW60:CA60)*200)+(SUM(CN60:DD60)*50)</f>
        <v>3000</v>
      </c>
    </row>
  </sheetData>
  <phoneticPr fontId="2"/>
  <pageMargins left="0.7" right="0.7" top="0.75" bottom="0.75" header="0.3" footer="0.3"/>
  <pageSetup paperSize="9" orientation="portrait" horizontalDpi="4294967293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C3870-46DF-49B1-BC22-93BD7CD95387}">
  <sheetPr codeName="Sheet7">
    <tabColor theme="7" tint="0.79998168889431442"/>
  </sheetPr>
  <dimension ref="A1:AV6"/>
  <sheetViews>
    <sheetView zoomScaleNormal="100" workbookViewId="0">
      <pane xSplit="2" ySplit="1" topLeftCell="P2" activePane="bottomRight" state="frozen"/>
      <selection pane="topRight" activeCell="C1" sqref="C1"/>
      <selection pane="bottomLeft" activeCell="A2" sqref="A2"/>
      <selection pane="bottomRight" activeCell="AG3" sqref="AC3:AG3"/>
    </sheetView>
  </sheetViews>
  <sheetFormatPr defaultRowHeight="18.75" x14ac:dyDescent="0.4"/>
  <cols>
    <col min="1" max="1" width="15.125" bestFit="1" customWidth="1"/>
    <col min="2" max="2" width="20.375" customWidth="1"/>
    <col min="5" max="6" width="5.25" bestFit="1" customWidth="1"/>
    <col min="27" max="29" width="9" style="1"/>
  </cols>
  <sheetData>
    <row r="1" spans="1:48" x14ac:dyDescent="0.4">
      <c r="A1" s="21" t="s">
        <v>1147</v>
      </c>
      <c r="B1" s="21" t="s">
        <v>1146</v>
      </c>
      <c r="C1" s="52" t="s">
        <v>1145</v>
      </c>
      <c r="D1" s="52" t="s">
        <v>1144</v>
      </c>
      <c r="E1" s="52" t="s">
        <v>1143</v>
      </c>
      <c r="F1" s="52" t="s">
        <v>1142</v>
      </c>
      <c r="G1" s="52" t="s">
        <v>1141</v>
      </c>
      <c r="H1" s="52" t="s">
        <v>1140</v>
      </c>
      <c r="I1" s="52" t="s">
        <v>1139</v>
      </c>
      <c r="J1" s="52" t="s">
        <v>1138</v>
      </c>
      <c r="K1" s="52" t="s">
        <v>1137</v>
      </c>
      <c r="L1" s="52" t="s">
        <v>1136</v>
      </c>
      <c r="M1" s="52" t="s">
        <v>1135</v>
      </c>
      <c r="N1" s="52" t="s">
        <v>1134</v>
      </c>
      <c r="O1" s="52" t="s">
        <v>1133</v>
      </c>
      <c r="P1" s="52" t="s">
        <v>1132</v>
      </c>
      <c r="Q1" s="52" t="s">
        <v>1131</v>
      </c>
      <c r="R1" s="52" t="s">
        <v>1130</v>
      </c>
      <c r="S1" s="52" t="s">
        <v>1129</v>
      </c>
      <c r="T1" s="52" t="s">
        <v>1128</v>
      </c>
      <c r="U1" s="52" t="s">
        <v>1127</v>
      </c>
      <c r="V1" s="52" t="s">
        <v>1126</v>
      </c>
      <c r="W1" s="52" t="s">
        <v>1125</v>
      </c>
      <c r="X1" s="52" t="s">
        <v>1124</v>
      </c>
      <c r="Y1" s="52" t="s">
        <v>1123</v>
      </c>
      <c r="Z1" s="52" t="s">
        <v>1122</v>
      </c>
      <c r="AA1" s="52" t="s">
        <v>1121</v>
      </c>
      <c r="AB1" s="52" t="s">
        <v>1120</v>
      </c>
      <c r="AC1" s="52" t="s">
        <v>1119</v>
      </c>
      <c r="AD1" s="52" t="s">
        <v>1118</v>
      </c>
      <c r="AE1" s="52" t="s">
        <v>1117</v>
      </c>
      <c r="AF1" s="52" t="s">
        <v>1116</v>
      </c>
      <c r="AG1" s="52" t="s">
        <v>1115</v>
      </c>
      <c r="AH1" s="52" t="s">
        <v>1114</v>
      </c>
      <c r="AI1" s="52" t="s">
        <v>1113</v>
      </c>
      <c r="AJ1" s="52" t="s">
        <v>1112</v>
      </c>
      <c r="AK1" s="52" t="s">
        <v>1111</v>
      </c>
      <c r="AL1" s="52" t="s">
        <v>1110</v>
      </c>
      <c r="AM1" s="52" t="s">
        <v>1109</v>
      </c>
      <c r="AN1" s="52" t="s">
        <v>1108</v>
      </c>
      <c r="AO1" s="52" t="s">
        <v>1107</v>
      </c>
      <c r="AP1" s="52" t="s">
        <v>1106</v>
      </c>
      <c r="AQ1" s="52" t="s">
        <v>1105</v>
      </c>
      <c r="AR1" s="52" t="s">
        <v>1104</v>
      </c>
      <c r="AS1" s="52" t="s">
        <v>1103</v>
      </c>
      <c r="AT1" s="52" t="s">
        <v>1102</v>
      </c>
      <c r="AU1" s="52" t="s">
        <v>1101</v>
      </c>
      <c r="AV1" s="52" t="s">
        <v>1100</v>
      </c>
    </row>
    <row r="2" spans="1:48" x14ac:dyDescent="0.4">
      <c r="A2" t="s">
        <v>1238</v>
      </c>
      <c r="C2" t="s">
        <v>481</v>
      </c>
      <c r="D2" t="s">
        <v>479</v>
      </c>
      <c r="E2" t="s">
        <v>477</v>
      </c>
      <c r="F2" t="s">
        <v>473</v>
      </c>
      <c r="G2" t="s">
        <v>469</v>
      </c>
      <c r="H2" t="s">
        <v>1099</v>
      </c>
      <c r="J2" t="s">
        <v>1098</v>
      </c>
      <c r="K2" t="s">
        <v>1097</v>
      </c>
      <c r="M2" t="s">
        <v>1096</v>
      </c>
      <c r="N2" t="s">
        <v>1095</v>
      </c>
      <c r="O2" s="1" t="s">
        <v>1094</v>
      </c>
      <c r="P2" s="1" t="s">
        <v>1093</v>
      </c>
      <c r="Q2" s="1" t="s">
        <v>1092</v>
      </c>
      <c r="R2" s="1" t="s">
        <v>1091</v>
      </c>
      <c r="S2" t="s">
        <v>1090</v>
      </c>
      <c r="T2" t="s">
        <v>1089</v>
      </c>
      <c r="U2" t="s">
        <v>1088</v>
      </c>
      <c r="V2" t="s">
        <v>1087</v>
      </c>
      <c r="W2" t="s">
        <v>1086</v>
      </c>
      <c r="X2" t="s">
        <v>1085</v>
      </c>
      <c r="Y2" t="s">
        <v>1084</v>
      </c>
      <c r="Z2" t="s">
        <v>1083</v>
      </c>
      <c r="AA2" t="s">
        <v>1082</v>
      </c>
      <c r="AB2"/>
      <c r="AC2" t="s">
        <v>1081</v>
      </c>
      <c r="AD2" t="s">
        <v>1080</v>
      </c>
      <c r="AE2" t="s">
        <v>1079</v>
      </c>
      <c r="AF2" t="s">
        <v>1078</v>
      </c>
      <c r="AG2" t="s">
        <v>1077</v>
      </c>
      <c r="AH2" t="s">
        <v>1076</v>
      </c>
      <c r="AJ2" t="s">
        <v>1075</v>
      </c>
      <c r="AK2" t="s">
        <v>1074</v>
      </c>
      <c r="AL2" t="s">
        <v>1073</v>
      </c>
      <c r="AM2" t="s">
        <v>1072</v>
      </c>
      <c r="AN2" t="s">
        <v>1071</v>
      </c>
      <c r="AO2" t="s">
        <v>1070</v>
      </c>
      <c r="AP2" t="s">
        <v>1069</v>
      </c>
      <c r="AQ2" t="s">
        <v>1068</v>
      </c>
      <c r="AR2" t="s">
        <v>1067</v>
      </c>
      <c r="AS2" t="s">
        <v>1066</v>
      </c>
      <c r="AT2" t="s">
        <v>1065</v>
      </c>
      <c r="AU2" t="s">
        <v>1064</v>
      </c>
      <c r="AV2" t="s">
        <v>1063</v>
      </c>
    </row>
    <row r="3" spans="1:48" ht="37.5" x14ac:dyDescent="0.4">
      <c r="A3" t="s">
        <v>1239</v>
      </c>
      <c r="C3" t="s">
        <v>481</v>
      </c>
      <c r="D3" t="s">
        <v>479</v>
      </c>
      <c r="E3" t="s">
        <v>477</v>
      </c>
      <c r="F3" t="s">
        <v>473</v>
      </c>
      <c r="G3" t="s">
        <v>469</v>
      </c>
      <c r="H3" t="s">
        <v>1062</v>
      </c>
      <c r="J3" t="s">
        <v>1061</v>
      </c>
      <c r="K3" t="s">
        <v>1060</v>
      </c>
      <c r="M3" t="s">
        <v>1059</v>
      </c>
      <c r="N3" t="s">
        <v>1058</v>
      </c>
      <c r="O3" s="1" t="s">
        <v>1057</v>
      </c>
      <c r="P3" s="1" t="s">
        <v>1056</v>
      </c>
      <c r="Q3" s="1" t="s">
        <v>1055</v>
      </c>
      <c r="R3" s="1" t="s">
        <v>1054</v>
      </c>
      <c r="S3" s="1"/>
      <c r="T3" s="1"/>
      <c r="U3" t="s">
        <v>1053</v>
      </c>
      <c r="V3" t="s">
        <v>1052</v>
      </c>
      <c r="W3" t="s">
        <v>1051</v>
      </c>
      <c r="X3" t="s">
        <v>1050</v>
      </c>
      <c r="Y3" s="1"/>
      <c r="Z3" s="1"/>
      <c r="AA3" t="s">
        <v>1049</v>
      </c>
      <c r="AB3"/>
      <c r="AC3" t="s">
        <v>1048</v>
      </c>
      <c r="AD3" t="s">
        <v>1047</v>
      </c>
      <c r="AE3" s="1" t="s">
        <v>1046</v>
      </c>
      <c r="AF3" s="1" t="s">
        <v>1045</v>
      </c>
      <c r="AG3" s="1" t="s">
        <v>1044</v>
      </c>
    </row>
    <row r="4" spans="1:48" x14ac:dyDescent="0.4">
      <c r="AA4"/>
      <c r="AB4"/>
      <c r="AC4"/>
    </row>
    <row r="5" spans="1:48" x14ac:dyDescent="0.4">
      <c r="AB5"/>
    </row>
    <row r="6" spans="1:48" x14ac:dyDescent="0.4">
      <c r="AB6"/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カテゴリ</vt:lpstr>
      <vt:lpstr>装備品</vt:lpstr>
      <vt:lpstr>アイテム</vt:lpstr>
      <vt:lpstr>素材</vt:lpstr>
      <vt:lpstr>武器</vt:lpstr>
      <vt:lpstr>装強</vt:lpstr>
      <vt:lpstr>ショップ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syuya kikuti</dc:creator>
  <cp:lastModifiedBy>syuya kikuti</cp:lastModifiedBy>
  <dcterms:created xsi:type="dcterms:W3CDTF">2024-12-13T08:42:41Z</dcterms:created>
  <dcterms:modified xsi:type="dcterms:W3CDTF">2025-09-15T07:30:42Z</dcterms:modified>
</cp:coreProperties>
</file>